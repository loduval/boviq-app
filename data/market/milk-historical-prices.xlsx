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3.11.01.13 MILK\MILK.GEN\MILK MARKET OBSERVATORY\MMO Web Site\Excel_files\31. HIS\PRI\"/>
    </mc:Choice>
  </mc:AlternateContent>
  <xr:revisionPtr revIDLastSave="0" documentId="13_ncr:1_{FB22CC82-2896-46F9-9965-E4A0D874A8A3}" xr6:coauthVersionLast="47" xr6:coauthVersionMax="47" xr10:uidLastSave="{00000000-0000-0000-0000-000000000000}"/>
  <bookViews>
    <workbookView xWindow="-108" yWindow="-108" windowWidth="23256" windowHeight="12456" tabRatio="696" xr2:uid="{00000000-000D-0000-FFFF-FFFF00000000}"/>
  </bookViews>
  <sheets>
    <sheet name="Raw Milk Prices" sheetId="1" r:id="rId1"/>
    <sheet name="Organic milk prices" sheetId="13175" r:id="rId2"/>
    <sheet name="Dairy Products Prices" sheetId="13174" r:id="rId3"/>
    <sheet name="param" sheetId="13176" state="hidden" r:id="rId4"/>
  </sheets>
  <externalReferences>
    <externalReference r:id="rId5"/>
    <externalReference r:id="rId6"/>
  </externalReferences>
  <definedNames>
    <definedName name="cur_line" localSheetId="1">#REF!</definedName>
    <definedName name="cur_line">param!$B$7</definedName>
    <definedName name="_xlnm.Print_Area" localSheetId="1">'Organic milk prices'!$A$1:$AC$41</definedName>
    <definedName name="_xlnm.Print_Area" localSheetId="0">'Raw Milk Prices'!$A:$AE</definedName>
    <definedName name="_xlnm.Print_Titles" localSheetId="2">'Dairy Products Prices'!$6:$6</definedName>
    <definedName name="_xlnm.Print_Titles" localSheetId="1">'Organic milk prices'!$4:$5</definedName>
    <definedName name="_xlnm.Print_Titles" localSheetId="0">'Raw Milk Prices'!$5:$7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15" i="13176" l="1"/>
  <c r="A1215" i="13176"/>
  <c r="B1214" i="13176"/>
  <c r="A1214" i="13176"/>
  <c r="B1213" i="13176"/>
  <c r="A1213" i="13176"/>
  <c r="B1212" i="13176"/>
  <c r="A1212" i="13176"/>
  <c r="B1211" i="13176"/>
  <c r="A1211" i="13176"/>
  <c r="B1210" i="13176"/>
  <c r="A1210" i="13176"/>
  <c r="B1209" i="13176"/>
  <c r="A1209" i="13176"/>
  <c r="B1208" i="13176"/>
  <c r="A1208" i="13176"/>
  <c r="B1207" i="13176"/>
  <c r="A1207" i="13176"/>
  <c r="B1206" i="13176"/>
  <c r="A1206" i="13176"/>
  <c r="B1205" i="13176"/>
  <c r="A1205" i="13176"/>
  <c r="B1204" i="13176"/>
  <c r="A1204" i="13176"/>
  <c r="B1203" i="13176"/>
  <c r="A1203" i="13176"/>
  <c r="B1202" i="13176"/>
  <c r="A1202" i="13176"/>
  <c r="B1201" i="13176"/>
  <c r="A1201" i="13176"/>
  <c r="B1200" i="13176"/>
  <c r="A1200" i="13176"/>
  <c r="B1199" i="13176"/>
  <c r="A1199" i="13176"/>
  <c r="B1198" i="13176"/>
  <c r="A1198" i="13176"/>
  <c r="B1197" i="13176"/>
  <c r="A1197" i="13176"/>
  <c r="B1196" i="13176"/>
  <c r="A1196" i="13176"/>
  <c r="B1195" i="13176"/>
  <c r="A1195" i="13176"/>
  <c r="B1194" i="13176"/>
  <c r="A1194" i="13176"/>
  <c r="B1193" i="13176"/>
  <c r="A1193" i="13176"/>
  <c r="B1192" i="13176"/>
  <c r="A1192" i="13176"/>
  <c r="B1191" i="13176"/>
  <c r="A1191" i="13176"/>
  <c r="B1190" i="13176"/>
  <c r="A1190" i="13176"/>
  <c r="B1189" i="13176"/>
  <c r="A1189" i="13176"/>
  <c r="B1188" i="13176"/>
  <c r="A1188" i="13176"/>
  <c r="B1187" i="13176"/>
  <c r="A1187" i="13176"/>
  <c r="B1186" i="13176"/>
  <c r="A1186" i="13176"/>
  <c r="B1185" i="13176"/>
  <c r="A1185" i="13176"/>
  <c r="B1184" i="13176"/>
  <c r="A1184" i="13176"/>
  <c r="B1183" i="13176"/>
  <c r="A1183" i="13176"/>
  <c r="B1182" i="13176"/>
  <c r="A1182" i="13176"/>
  <c r="B1181" i="13176"/>
  <c r="A1181" i="13176"/>
  <c r="B1180" i="13176"/>
  <c r="A1180" i="13176"/>
  <c r="B1179" i="13176"/>
  <c r="A1179" i="13176"/>
  <c r="B1178" i="13176"/>
  <c r="A1178" i="13176"/>
  <c r="B1177" i="13176"/>
  <c r="A1177" i="13176"/>
  <c r="B1176" i="13176"/>
  <c r="A1176" i="13176"/>
  <c r="B1175" i="13176"/>
  <c r="A1175" i="13176"/>
  <c r="B1174" i="13176"/>
  <c r="A1174" i="13176"/>
  <c r="B1173" i="13176"/>
  <c r="A1173" i="13176"/>
  <c r="B1172" i="13176"/>
  <c r="A1172" i="13176"/>
  <c r="B1171" i="13176"/>
  <c r="A1171" i="13176"/>
  <c r="B1170" i="13176"/>
  <c r="A1170" i="13176"/>
  <c r="B1169" i="13176"/>
  <c r="A1169" i="13176"/>
  <c r="B1168" i="13176"/>
  <c r="A1168" i="13176"/>
  <c r="B1167" i="13176"/>
  <c r="A1167" i="13176"/>
  <c r="B1166" i="13176"/>
  <c r="A1166" i="13176"/>
  <c r="B1165" i="13176"/>
  <c r="A1165" i="13176"/>
  <c r="B1164" i="13176"/>
  <c r="A1164" i="13176"/>
  <c r="B1163" i="13176"/>
  <c r="A1163" i="13176"/>
  <c r="B1162" i="13176"/>
  <c r="A1162" i="13176"/>
  <c r="B1161" i="13176"/>
  <c r="A1161" i="13176"/>
  <c r="B1160" i="13176"/>
  <c r="A1160" i="13176"/>
  <c r="B1159" i="13176"/>
  <c r="A1159" i="13176"/>
  <c r="B1158" i="13176"/>
  <c r="A1158" i="13176"/>
  <c r="B1157" i="13176"/>
  <c r="A1157" i="13176"/>
  <c r="B1156" i="13176"/>
  <c r="A1156" i="13176"/>
  <c r="B1155" i="13176"/>
  <c r="A1155" i="13176"/>
  <c r="B1154" i="13176"/>
  <c r="A1154" i="13176"/>
  <c r="B1153" i="13176"/>
  <c r="A1153" i="13176"/>
  <c r="B1152" i="13176"/>
  <c r="A1152" i="13176"/>
  <c r="B1151" i="13176"/>
  <c r="A1151" i="13176"/>
  <c r="B1150" i="13176"/>
  <c r="A1150" i="13176"/>
  <c r="B1149" i="13176"/>
  <c r="A1149" i="13176"/>
  <c r="B1148" i="13176"/>
  <c r="A1148" i="13176"/>
  <c r="B1147" i="13176"/>
  <c r="A1147" i="13176"/>
  <c r="B1146" i="13176"/>
  <c r="A1146" i="13176"/>
  <c r="B1145" i="13176"/>
  <c r="A1145" i="13176"/>
  <c r="B1144" i="13176"/>
  <c r="A1144" i="13176"/>
  <c r="B1143" i="13176"/>
  <c r="A1143" i="13176"/>
  <c r="B1142" i="13176"/>
  <c r="A1142" i="13176"/>
  <c r="B1141" i="13176"/>
  <c r="A1141" i="13176"/>
  <c r="B1140" i="13176"/>
  <c r="A1140" i="13176"/>
  <c r="B1139" i="13176"/>
  <c r="A1139" i="13176"/>
  <c r="B1138" i="13176"/>
  <c r="A1138" i="13176"/>
  <c r="B1137" i="13176"/>
  <c r="A1137" i="13176"/>
  <c r="B1136" i="13176"/>
  <c r="A1136" i="13176"/>
  <c r="B1135" i="13176"/>
  <c r="A1135" i="13176"/>
  <c r="B1134" i="13176"/>
  <c r="A1134" i="13176"/>
  <c r="B1133" i="13176"/>
  <c r="A1133" i="13176"/>
  <c r="B1132" i="13176"/>
  <c r="A1132" i="13176"/>
  <c r="B1131" i="13176"/>
  <c r="A1131" i="13176"/>
  <c r="B1130" i="13176"/>
  <c r="A1130" i="13176"/>
  <c r="B1129" i="13176"/>
  <c r="A1129" i="13176"/>
  <c r="B1128" i="13176"/>
  <c r="A1128" i="13176"/>
  <c r="B1127" i="13176"/>
  <c r="A1127" i="13176"/>
  <c r="B1126" i="13176"/>
  <c r="A1126" i="13176"/>
  <c r="B1125" i="13176"/>
  <c r="A1125" i="13176"/>
  <c r="B1124" i="13176"/>
  <c r="A1124" i="13176"/>
  <c r="B1123" i="13176"/>
  <c r="A1123" i="13176"/>
  <c r="B1122" i="13176"/>
  <c r="A1122" i="13176"/>
  <c r="B1121" i="13176"/>
  <c r="A1121" i="13176"/>
  <c r="B1120" i="13176"/>
  <c r="A1120" i="13176"/>
  <c r="B1119" i="13176"/>
  <c r="A1119" i="13176"/>
  <c r="B1118" i="13176"/>
  <c r="A1118" i="13176"/>
  <c r="B1117" i="13176"/>
  <c r="A1117" i="13176"/>
  <c r="B1116" i="13176"/>
  <c r="A1116" i="13176"/>
  <c r="B1115" i="13176"/>
  <c r="A1115" i="13176"/>
  <c r="B1114" i="13176"/>
  <c r="A1114" i="13176"/>
  <c r="B1113" i="13176"/>
  <c r="A1113" i="13176"/>
  <c r="B1112" i="13176"/>
  <c r="A1112" i="13176"/>
  <c r="B1111" i="13176"/>
  <c r="A1111" i="13176"/>
  <c r="B1110" i="13176"/>
  <c r="A1110" i="13176"/>
  <c r="B1109" i="13176"/>
  <c r="A1109" i="13176"/>
  <c r="B1108" i="13176"/>
  <c r="A1108" i="13176"/>
  <c r="B1107" i="13176"/>
  <c r="A1107" i="13176"/>
  <c r="B1106" i="13176"/>
  <c r="A1106" i="13176"/>
  <c r="B1105" i="13176"/>
  <c r="A1105" i="13176"/>
  <c r="B1104" i="13176"/>
  <c r="A1104" i="13176"/>
  <c r="B1103" i="13176"/>
  <c r="A1103" i="13176"/>
  <c r="B1102" i="13176"/>
  <c r="A1102" i="13176"/>
  <c r="B1101" i="13176"/>
  <c r="A1101" i="13176"/>
  <c r="B1100" i="13176"/>
  <c r="A1100" i="13176"/>
  <c r="B1099" i="13176"/>
  <c r="A1099" i="13176"/>
  <c r="B1098" i="13176"/>
  <c r="A1098" i="13176"/>
  <c r="B1097" i="13176"/>
  <c r="A1097" i="13176"/>
  <c r="B1096" i="13176"/>
  <c r="A1096" i="13176"/>
  <c r="B1095" i="13176"/>
  <c r="A1095" i="13176"/>
  <c r="B1094" i="13176"/>
  <c r="A1094" i="13176"/>
  <c r="B1093" i="13176"/>
  <c r="A1093" i="13176"/>
  <c r="B1092" i="13176"/>
  <c r="A1092" i="13176"/>
  <c r="B1091" i="13176"/>
  <c r="A1091" i="13176"/>
  <c r="B1090" i="13176"/>
  <c r="A1090" i="13176"/>
  <c r="B1089" i="13176"/>
  <c r="A1089" i="13176"/>
  <c r="B1088" i="13176"/>
  <c r="A1088" i="13176"/>
  <c r="B1087" i="13176"/>
  <c r="A1087" i="13176"/>
  <c r="B1086" i="13176"/>
  <c r="A1086" i="13176"/>
  <c r="B1085" i="13176"/>
  <c r="A1085" i="13176"/>
  <c r="B1084" i="13176"/>
  <c r="A1084" i="13176"/>
  <c r="B1083" i="13176"/>
  <c r="A1083" i="13176"/>
  <c r="B1082" i="13176"/>
  <c r="A1082" i="13176"/>
  <c r="B1081" i="13176"/>
  <c r="A1081" i="13176"/>
  <c r="B1080" i="13176"/>
  <c r="A1080" i="13176"/>
  <c r="B1079" i="13176"/>
  <c r="A1079" i="13176"/>
  <c r="B1078" i="13176"/>
  <c r="A1078" i="13176"/>
  <c r="B1077" i="13176"/>
  <c r="A1077" i="13176"/>
  <c r="B1076" i="13176"/>
  <c r="A1076" i="13176"/>
  <c r="B1075" i="13176"/>
  <c r="A1075" i="13176"/>
  <c r="B1074" i="13176"/>
  <c r="A1074" i="13176"/>
  <c r="B1073" i="13176"/>
  <c r="A1073" i="13176"/>
  <c r="B1072" i="13176"/>
  <c r="A1072" i="13176"/>
  <c r="B1071" i="13176"/>
  <c r="A1071" i="13176"/>
  <c r="B1070" i="13176"/>
  <c r="A1070" i="13176"/>
  <c r="B1069" i="13176"/>
  <c r="A1069" i="13176"/>
  <c r="B1068" i="13176"/>
  <c r="A1068" i="13176"/>
  <c r="B1067" i="13176"/>
  <c r="A1067" i="13176"/>
  <c r="B1066" i="13176"/>
  <c r="A1066" i="13176"/>
  <c r="B1065" i="13176"/>
  <c r="A1065" i="13176"/>
  <c r="B1064" i="13176"/>
  <c r="A1064" i="13176"/>
  <c r="B1063" i="13176"/>
  <c r="A1063" i="13176"/>
  <c r="B1062" i="13176"/>
  <c r="A1062" i="13176"/>
  <c r="B1061" i="13176"/>
  <c r="A1061" i="13176"/>
  <c r="B1060" i="13176"/>
  <c r="A1060" i="13176"/>
  <c r="B1059" i="13176"/>
  <c r="A1059" i="13176"/>
  <c r="B1058" i="13176"/>
  <c r="A1058" i="13176"/>
  <c r="B1057" i="13176"/>
  <c r="A1057" i="13176"/>
  <c r="B1056" i="13176"/>
  <c r="A1056" i="13176"/>
  <c r="B1055" i="13176"/>
  <c r="A1055" i="13176"/>
  <c r="B1054" i="13176"/>
  <c r="A1054" i="13176"/>
  <c r="B1053" i="13176"/>
  <c r="A1053" i="13176"/>
  <c r="B1052" i="13176"/>
  <c r="A1052" i="13176"/>
  <c r="B1051" i="13176"/>
  <c r="A1051" i="13176"/>
  <c r="B1050" i="13176"/>
  <c r="A1050" i="13176"/>
  <c r="B1049" i="13176"/>
  <c r="A1049" i="13176"/>
  <c r="B1048" i="13176"/>
  <c r="A1048" i="13176"/>
  <c r="B1047" i="13176"/>
  <c r="A1047" i="13176"/>
  <c r="B1046" i="13176"/>
  <c r="A1046" i="13176"/>
  <c r="B1045" i="13176"/>
  <c r="A1045" i="13176"/>
  <c r="B1044" i="13176"/>
  <c r="A1044" i="13176"/>
  <c r="B1043" i="13176"/>
  <c r="A1043" i="13176"/>
  <c r="B1042" i="13176"/>
  <c r="A1042" i="13176"/>
  <c r="B1041" i="13176"/>
  <c r="A1041" i="13176"/>
  <c r="B1040" i="13176"/>
  <c r="A1040" i="13176"/>
  <c r="B1039" i="13176"/>
  <c r="A1039" i="13176"/>
  <c r="B1038" i="13176"/>
  <c r="A1038" i="13176"/>
  <c r="B1037" i="13176"/>
  <c r="A1037" i="13176"/>
  <c r="B1036" i="13176"/>
  <c r="A1036" i="13176"/>
  <c r="B1035" i="13176"/>
  <c r="A1035" i="13176"/>
  <c r="B1034" i="13176"/>
  <c r="A1034" i="13176"/>
  <c r="B1033" i="13176"/>
  <c r="A1033" i="13176"/>
  <c r="B1032" i="13176"/>
  <c r="A1032" i="13176"/>
  <c r="B1031" i="13176"/>
  <c r="A1031" i="13176"/>
  <c r="B1030" i="13176"/>
  <c r="A1030" i="13176"/>
  <c r="B1029" i="13176"/>
  <c r="A1029" i="13176"/>
  <c r="B1028" i="13176"/>
  <c r="A1028" i="13176"/>
  <c r="B1027" i="13176"/>
  <c r="A1027" i="13176"/>
  <c r="B1026" i="13176"/>
  <c r="A1026" i="13176"/>
  <c r="B1025" i="13176"/>
  <c r="A1025" i="13176"/>
  <c r="B1024" i="13176"/>
  <c r="A1024" i="13176"/>
  <c r="B1023" i="13176"/>
  <c r="A1023" i="13176"/>
  <c r="B1022" i="13176"/>
  <c r="A1022" i="13176"/>
  <c r="B1021" i="13176"/>
  <c r="A1021" i="13176"/>
  <c r="B1020" i="13176"/>
  <c r="A1020" i="13176"/>
  <c r="B1019" i="13176"/>
  <c r="A1019" i="13176"/>
  <c r="B1018" i="13176"/>
  <c r="A1018" i="13176"/>
  <c r="B1017" i="13176"/>
  <c r="A1017" i="13176"/>
  <c r="B1016" i="13176"/>
  <c r="A1016" i="13176"/>
  <c r="B1015" i="13176"/>
  <c r="A1015" i="13176"/>
  <c r="B1014" i="13176"/>
  <c r="A1014" i="13176"/>
  <c r="B1013" i="13176"/>
  <c r="A1013" i="13176"/>
  <c r="B1012" i="13176"/>
  <c r="A1012" i="13176"/>
  <c r="B1011" i="13176"/>
  <c r="A1011" i="13176"/>
  <c r="B1010" i="13176"/>
  <c r="A1010" i="13176"/>
  <c r="B1009" i="13176"/>
  <c r="A1009" i="13176"/>
  <c r="B1008" i="13176"/>
  <c r="A1008" i="13176"/>
  <c r="B1007" i="13176"/>
  <c r="A1007" i="13176"/>
  <c r="B1006" i="13176"/>
  <c r="A1006" i="13176"/>
  <c r="B1005" i="13176"/>
  <c r="A1005" i="13176"/>
  <c r="B1004" i="13176"/>
  <c r="A1004" i="13176"/>
  <c r="B1003" i="13176"/>
  <c r="A1003" i="13176"/>
  <c r="B1002" i="13176"/>
  <c r="A1002" i="13176"/>
  <c r="B1001" i="13176"/>
  <c r="A1001" i="13176"/>
  <c r="B1000" i="13176"/>
  <c r="A1000" i="13176"/>
  <c r="B999" i="13176"/>
  <c r="A999" i="13176"/>
  <c r="B998" i="13176"/>
  <c r="A998" i="13176"/>
  <c r="B997" i="13176"/>
  <c r="A997" i="13176"/>
  <c r="B996" i="13176"/>
  <c r="A996" i="13176"/>
  <c r="B995" i="13176"/>
  <c r="A995" i="13176"/>
  <c r="B994" i="13176"/>
  <c r="A994" i="13176"/>
  <c r="B993" i="13176"/>
  <c r="A993" i="13176"/>
  <c r="B992" i="13176"/>
  <c r="A992" i="13176"/>
  <c r="B991" i="13176"/>
  <c r="A991" i="13176"/>
  <c r="B990" i="13176"/>
  <c r="A990" i="13176"/>
  <c r="B989" i="13176"/>
  <c r="A989" i="13176"/>
  <c r="B988" i="13176"/>
  <c r="A988" i="13176"/>
  <c r="B987" i="13176"/>
  <c r="A987" i="13176"/>
  <c r="B986" i="13176"/>
  <c r="A986" i="13176"/>
  <c r="B985" i="13176"/>
  <c r="A985" i="13176"/>
  <c r="B984" i="13176"/>
  <c r="A984" i="13176"/>
  <c r="B983" i="13176"/>
  <c r="A983" i="13176"/>
  <c r="B982" i="13176"/>
  <c r="A982" i="13176"/>
  <c r="B981" i="13176"/>
  <c r="A981" i="13176"/>
  <c r="B980" i="13176"/>
  <c r="A980" i="13176"/>
  <c r="B979" i="13176"/>
  <c r="A979" i="13176"/>
  <c r="B978" i="13176"/>
  <c r="A978" i="13176"/>
  <c r="B977" i="13176"/>
  <c r="A977" i="13176"/>
  <c r="B976" i="13176"/>
  <c r="A976" i="13176"/>
  <c r="B975" i="13176"/>
  <c r="A975" i="13176"/>
  <c r="B974" i="13176"/>
  <c r="A974" i="13176"/>
  <c r="B973" i="13176"/>
  <c r="A973" i="13176"/>
  <c r="B972" i="13176"/>
  <c r="A972" i="13176"/>
  <c r="B971" i="13176"/>
  <c r="A971" i="13176"/>
  <c r="B970" i="13176"/>
  <c r="A970" i="13176"/>
  <c r="B969" i="13176"/>
  <c r="A969" i="13176"/>
  <c r="B968" i="13176"/>
  <c r="A968" i="13176"/>
  <c r="B967" i="13176"/>
  <c r="A967" i="13176"/>
  <c r="B966" i="13176"/>
  <c r="A966" i="13176"/>
  <c r="B965" i="13176"/>
  <c r="A965" i="13176"/>
  <c r="B964" i="13176"/>
  <c r="A964" i="13176"/>
  <c r="B963" i="13176"/>
  <c r="A963" i="13176"/>
  <c r="B962" i="13176"/>
  <c r="A962" i="13176"/>
  <c r="B961" i="13176"/>
  <c r="A961" i="13176"/>
  <c r="B960" i="13176"/>
  <c r="A960" i="13176"/>
  <c r="B959" i="13176"/>
  <c r="A959" i="13176"/>
  <c r="B958" i="13176"/>
  <c r="A958" i="13176"/>
  <c r="B957" i="13176"/>
  <c r="A957" i="13176"/>
  <c r="B956" i="13176"/>
  <c r="A956" i="13176"/>
  <c r="B955" i="13176"/>
  <c r="A955" i="13176"/>
  <c r="B954" i="13176"/>
  <c r="A954" i="13176"/>
  <c r="B953" i="13176"/>
  <c r="A953" i="13176"/>
  <c r="B952" i="13176"/>
  <c r="A952" i="13176"/>
  <c r="B951" i="13176"/>
  <c r="A951" i="13176"/>
  <c r="B950" i="13176"/>
  <c r="A950" i="13176"/>
  <c r="B949" i="13176"/>
  <c r="A949" i="13176"/>
  <c r="B948" i="13176"/>
  <c r="A948" i="13176"/>
  <c r="B947" i="13176"/>
  <c r="A947" i="13176"/>
  <c r="B946" i="13176"/>
  <c r="A946" i="13176"/>
  <c r="B945" i="13176"/>
  <c r="A945" i="13176"/>
  <c r="B944" i="13176"/>
  <c r="A944" i="13176"/>
  <c r="B943" i="13176"/>
  <c r="A943" i="13176"/>
  <c r="B942" i="13176"/>
  <c r="A942" i="13176"/>
  <c r="B941" i="13176"/>
  <c r="A941" i="13176"/>
  <c r="B940" i="13176"/>
  <c r="A940" i="13176"/>
  <c r="B939" i="13176"/>
  <c r="A939" i="13176"/>
  <c r="B938" i="13176"/>
  <c r="A938" i="13176"/>
  <c r="B937" i="13176"/>
  <c r="A937" i="13176"/>
  <c r="B936" i="13176"/>
  <c r="A936" i="13176"/>
  <c r="B935" i="13176"/>
  <c r="A935" i="13176"/>
  <c r="B934" i="13176"/>
  <c r="A934" i="13176"/>
  <c r="B933" i="13176"/>
  <c r="A933" i="13176"/>
  <c r="B932" i="13176"/>
  <c r="A932" i="13176"/>
  <c r="B931" i="13176"/>
  <c r="A931" i="13176"/>
  <c r="B930" i="13176"/>
  <c r="A930" i="13176"/>
  <c r="B929" i="13176"/>
  <c r="A929" i="13176"/>
  <c r="B928" i="13176"/>
  <c r="A928" i="13176"/>
  <c r="B927" i="13176"/>
  <c r="A927" i="13176"/>
  <c r="B926" i="13176"/>
  <c r="A926" i="13176"/>
  <c r="B925" i="13176"/>
  <c r="A925" i="13176"/>
  <c r="B924" i="13176"/>
  <c r="A924" i="13176"/>
  <c r="B923" i="13176"/>
  <c r="A923" i="13176"/>
  <c r="B922" i="13176"/>
  <c r="A922" i="13176"/>
  <c r="B921" i="13176"/>
  <c r="A921" i="13176"/>
  <c r="B920" i="13176"/>
  <c r="A920" i="13176"/>
  <c r="B919" i="13176"/>
  <c r="A919" i="13176"/>
  <c r="B918" i="13176"/>
  <c r="A918" i="13176"/>
  <c r="B917" i="13176"/>
  <c r="A917" i="13176"/>
  <c r="B916" i="13176"/>
  <c r="A916" i="13176"/>
  <c r="B915" i="13176"/>
  <c r="A915" i="13176"/>
  <c r="B914" i="13176"/>
  <c r="A914" i="13176"/>
  <c r="B913" i="13176"/>
  <c r="A913" i="13176"/>
  <c r="B912" i="13176"/>
  <c r="A912" i="13176"/>
  <c r="B911" i="13176"/>
  <c r="A911" i="13176"/>
  <c r="B910" i="13176"/>
  <c r="A910" i="13176"/>
  <c r="B909" i="13176"/>
  <c r="A909" i="13176"/>
  <c r="B908" i="13176"/>
  <c r="A908" i="13176"/>
  <c r="B907" i="13176"/>
  <c r="A907" i="13176"/>
  <c r="B906" i="13176"/>
  <c r="A906" i="13176"/>
  <c r="B905" i="13176"/>
  <c r="A905" i="13176"/>
  <c r="B904" i="13176"/>
  <c r="A904" i="13176"/>
  <c r="B903" i="13176"/>
  <c r="A903" i="13176"/>
  <c r="B902" i="13176"/>
  <c r="A902" i="13176"/>
  <c r="B901" i="13176"/>
  <c r="A901" i="13176"/>
  <c r="B900" i="13176"/>
  <c r="A900" i="13176"/>
  <c r="B899" i="13176"/>
  <c r="A899" i="13176"/>
  <c r="B898" i="13176"/>
  <c r="A898" i="13176"/>
  <c r="B897" i="13176"/>
  <c r="A897" i="13176"/>
  <c r="B896" i="13176"/>
  <c r="A896" i="13176"/>
  <c r="B895" i="13176"/>
  <c r="A895" i="13176"/>
  <c r="B894" i="13176"/>
  <c r="A894" i="13176"/>
  <c r="B893" i="13176"/>
  <c r="A893" i="13176"/>
  <c r="B892" i="13176"/>
  <c r="A892" i="13176"/>
  <c r="B891" i="13176"/>
  <c r="A891" i="13176"/>
  <c r="B890" i="13176"/>
  <c r="A890" i="13176"/>
  <c r="B889" i="13176"/>
  <c r="A889" i="13176"/>
  <c r="B888" i="13176"/>
  <c r="A888" i="13176"/>
  <c r="B887" i="13176"/>
  <c r="A887" i="13176"/>
  <c r="B886" i="13176"/>
  <c r="A886" i="13176"/>
  <c r="B885" i="13176"/>
  <c r="A885" i="13176"/>
  <c r="B884" i="13176"/>
  <c r="A884" i="13176"/>
  <c r="B883" i="13176"/>
  <c r="A883" i="13176"/>
  <c r="B882" i="13176"/>
  <c r="A882" i="13176"/>
  <c r="B881" i="13176"/>
  <c r="A881" i="13176"/>
  <c r="B880" i="13176"/>
  <c r="A880" i="13176"/>
  <c r="B879" i="13176"/>
  <c r="A879" i="13176"/>
  <c r="B878" i="13176"/>
  <c r="A878" i="13176"/>
  <c r="B877" i="13176"/>
  <c r="A877" i="13176"/>
  <c r="B876" i="13176"/>
  <c r="A876" i="13176"/>
  <c r="B875" i="13176"/>
  <c r="A875" i="13176"/>
  <c r="B874" i="13176"/>
  <c r="A874" i="13176"/>
  <c r="B873" i="13176"/>
  <c r="A873" i="13176"/>
  <c r="B872" i="13176"/>
  <c r="A872" i="13176"/>
  <c r="B871" i="13176"/>
  <c r="A871" i="13176"/>
  <c r="B870" i="13176"/>
  <c r="A870" i="13176"/>
  <c r="B869" i="13176"/>
  <c r="A869" i="13176"/>
  <c r="B868" i="13176"/>
  <c r="A868" i="13176"/>
  <c r="B867" i="13176"/>
  <c r="A867" i="13176"/>
  <c r="B866" i="13176"/>
  <c r="A866" i="13176"/>
  <c r="B865" i="13176"/>
  <c r="A865" i="13176"/>
  <c r="B864" i="13176"/>
  <c r="A864" i="13176"/>
  <c r="B863" i="13176"/>
  <c r="A863" i="13176"/>
  <c r="B862" i="13176"/>
  <c r="A862" i="13176"/>
  <c r="B861" i="13176"/>
  <c r="A861" i="13176"/>
  <c r="B860" i="13176"/>
  <c r="A860" i="13176"/>
  <c r="B859" i="13176"/>
  <c r="A859" i="13176"/>
  <c r="B858" i="13176"/>
  <c r="A858" i="13176"/>
  <c r="B857" i="13176"/>
  <c r="A857" i="13176"/>
  <c r="B856" i="13176"/>
  <c r="A856" i="13176"/>
  <c r="B855" i="13176"/>
  <c r="A855" i="13176"/>
  <c r="B854" i="13176"/>
  <c r="A854" i="13176"/>
  <c r="B853" i="13176"/>
  <c r="A853" i="13176"/>
  <c r="B852" i="13176"/>
  <c r="A852" i="13176"/>
  <c r="B851" i="13176"/>
  <c r="A851" i="13176"/>
  <c r="B850" i="13176"/>
  <c r="A850" i="13176"/>
  <c r="B849" i="13176"/>
  <c r="A849" i="13176"/>
  <c r="B848" i="13176"/>
  <c r="A848" i="13176"/>
  <c r="B847" i="13176"/>
  <c r="A847" i="13176"/>
  <c r="B846" i="13176"/>
  <c r="A846" i="13176"/>
  <c r="B845" i="13176"/>
  <c r="A845" i="13176"/>
  <c r="B844" i="13176"/>
  <c r="A844" i="13176"/>
  <c r="B843" i="13176"/>
  <c r="A843" i="13176"/>
  <c r="B842" i="13176"/>
  <c r="A842" i="13176"/>
  <c r="B841" i="13176"/>
  <c r="A841" i="13176"/>
  <c r="B840" i="13176"/>
  <c r="A840" i="13176"/>
  <c r="B839" i="13176"/>
  <c r="A839" i="13176"/>
  <c r="B838" i="13176"/>
  <c r="A838" i="13176"/>
  <c r="B837" i="13176"/>
  <c r="A837" i="13176"/>
  <c r="B836" i="13176"/>
  <c r="A836" i="13176"/>
  <c r="B835" i="13176"/>
  <c r="A835" i="13176"/>
  <c r="B834" i="13176"/>
  <c r="A834" i="13176"/>
  <c r="B833" i="13176"/>
  <c r="A833" i="13176"/>
  <c r="B832" i="13176"/>
  <c r="A832" i="13176"/>
  <c r="B831" i="13176"/>
  <c r="A831" i="13176"/>
  <c r="B830" i="13176"/>
  <c r="A830" i="13176"/>
  <c r="B829" i="13176"/>
  <c r="A829" i="13176"/>
  <c r="B828" i="13176"/>
  <c r="A828" i="13176"/>
  <c r="B827" i="13176"/>
  <c r="A827" i="13176"/>
  <c r="B826" i="13176"/>
  <c r="A826" i="13176"/>
  <c r="B825" i="13176"/>
  <c r="A825" i="13176"/>
  <c r="B824" i="13176"/>
  <c r="A824" i="13176"/>
  <c r="B823" i="13176"/>
  <c r="A823" i="13176"/>
  <c r="B822" i="13176"/>
  <c r="A822" i="13176"/>
  <c r="B821" i="13176"/>
  <c r="A821" i="13176"/>
  <c r="B820" i="13176"/>
  <c r="A820" i="13176"/>
  <c r="B819" i="13176"/>
  <c r="A819" i="13176"/>
  <c r="B818" i="13176"/>
  <c r="A818" i="13176"/>
  <c r="B817" i="13176"/>
  <c r="A817" i="13176"/>
  <c r="B816" i="13176"/>
  <c r="A816" i="13176"/>
  <c r="B815" i="13176"/>
  <c r="A815" i="13176"/>
  <c r="B814" i="13176"/>
  <c r="A814" i="13176"/>
  <c r="B813" i="13176"/>
  <c r="A813" i="13176"/>
  <c r="B812" i="13176"/>
  <c r="A812" i="13176"/>
  <c r="B811" i="13176"/>
  <c r="A811" i="13176"/>
  <c r="B810" i="13176"/>
  <c r="A810" i="13176"/>
  <c r="B809" i="13176"/>
  <c r="A809" i="13176"/>
  <c r="B808" i="13176"/>
  <c r="A808" i="13176"/>
  <c r="B807" i="13176"/>
  <c r="A807" i="13176"/>
  <c r="B806" i="13176"/>
  <c r="A806" i="13176"/>
  <c r="B805" i="13176"/>
  <c r="A805" i="13176"/>
  <c r="B804" i="13176"/>
  <c r="A804" i="13176"/>
  <c r="B803" i="13176"/>
  <c r="A803" i="13176"/>
  <c r="B802" i="13176"/>
  <c r="A802" i="13176"/>
  <c r="B801" i="13176"/>
  <c r="A801" i="13176"/>
  <c r="B800" i="13176"/>
  <c r="A800" i="13176"/>
  <c r="B799" i="13176"/>
  <c r="A799" i="13176"/>
  <c r="B798" i="13176"/>
  <c r="A798" i="13176"/>
  <c r="B797" i="13176"/>
  <c r="A797" i="13176"/>
  <c r="B796" i="13176"/>
  <c r="A796" i="13176"/>
  <c r="B795" i="13176"/>
  <c r="A795" i="13176"/>
  <c r="B794" i="13176"/>
  <c r="A794" i="13176"/>
  <c r="B793" i="13176"/>
  <c r="A793" i="13176"/>
  <c r="B792" i="13176"/>
  <c r="A792" i="13176"/>
  <c r="B791" i="13176"/>
  <c r="A791" i="13176"/>
  <c r="B790" i="13176"/>
  <c r="A790" i="13176"/>
  <c r="B789" i="13176"/>
  <c r="A789" i="13176"/>
  <c r="B788" i="13176"/>
  <c r="A788" i="13176"/>
  <c r="B787" i="13176"/>
  <c r="A787" i="13176"/>
  <c r="B786" i="13176"/>
  <c r="A786" i="13176"/>
  <c r="B785" i="13176"/>
  <c r="A785" i="13176"/>
  <c r="B784" i="13176"/>
  <c r="A784" i="13176"/>
  <c r="B783" i="13176"/>
  <c r="A783" i="13176"/>
  <c r="B782" i="13176"/>
  <c r="A782" i="13176"/>
  <c r="B781" i="13176"/>
  <c r="A781" i="13176"/>
  <c r="B780" i="13176"/>
  <c r="A780" i="13176"/>
  <c r="B779" i="13176"/>
  <c r="A779" i="13176"/>
  <c r="B778" i="13176"/>
  <c r="A778" i="13176"/>
  <c r="B777" i="13176"/>
  <c r="A777" i="13176"/>
  <c r="B776" i="13176"/>
  <c r="A776" i="13176"/>
  <c r="B775" i="13176"/>
  <c r="A775" i="13176"/>
  <c r="B774" i="13176"/>
  <c r="A774" i="13176"/>
  <c r="B773" i="13176"/>
  <c r="A773" i="13176"/>
  <c r="B772" i="13176"/>
  <c r="A772" i="13176"/>
  <c r="B771" i="13176"/>
  <c r="A771" i="13176"/>
  <c r="B770" i="13176"/>
  <c r="A770" i="13176"/>
  <c r="B769" i="13176"/>
  <c r="A769" i="13176"/>
  <c r="B768" i="13176"/>
  <c r="A768" i="13176"/>
  <c r="B767" i="13176"/>
  <c r="A767" i="13176"/>
  <c r="B766" i="13176"/>
  <c r="A766" i="13176"/>
  <c r="B765" i="13176"/>
  <c r="A765" i="13176"/>
  <c r="B764" i="13176"/>
  <c r="A764" i="13176"/>
  <c r="B763" i="13176"/>
  <c r="A763" i="13176"/>
  <c r="B762" i="13176"/>
  <c r="A762" i="13176"/>
  <c r="B761" i="13176"/>
  <c r="A761" i="13176"/>
  <c r="B760" i="13176"/>
  <c r="A760" i="13176"/>
  <c r="B759" i="13176"/>
  <c r="A759" i="13176"/>
  <c r="B758" i="13176"/>
  <c r="A758" i="13176"/>
  <c r="B757" i="13176"/>
  <c r="A757" i="13176"/>
  <c r="B756" i="13176"/>
  <c r="A756" i="13176"/>
  <c r="B755" i="13176"/>
  <c r="A755" i="13176"/>
  <c r="B754" i="13176"/>
  <c r="A754" i="13176"/>
  <c r="B753" i="13176"/>
  <c r="A753" i="13176"/>
  <c r="B752" i="13176"/>
  <c r="A752" i="13176"/>
  <c r="B751" i="13176"/>
  <c r="A751" i="13176"/>
  <c r="B750" i="13176"/>
  <c r="A750" i="13176"/>
  <c r="B749" i="13176"/>
  <c r="A749" i="13176"/>
  <c r="B748" i="13176"/>
  <c r="A748" i="13176"/>
  <c r="B747" i="13176"/>
  <c r="A747" i="13176"/>
  <c r="B746" i="13176"/>
  <c r="A746" i="13176"/>
  <c r="B745" i="13176"/>
  <c r="A745" i="13176"/>
  <c r="B744" i="13176"/>
  <c r="A744" i="13176"/>
  <c r="B743" i="13176"/>
  <c r="A743" i="13176"/>
  <c r="B742" i="13176"/>
  <c r="A742" i="13176"/>
  <c r="B741" i="13176"/>
  <c r="A741" i="13176"/>
  <c r="B740" i="13176"/>
  <c r="A740" i="13176"/>
  <c r="B739" i="13176"/>
  <c r="A739" i="13176"/>
  <c r="B738" i="13176"/>
  <c r="A738" i="13176"/>
  <c r="B737" i="13176"/>
  <c r="A737" i="13176"/>
  <c r="B736" i="13176"/>
  <c r="A736" i="13176"/>
  <c r="B735" i="13176"/>
  <c r="A735" i="13176"/>
  <c r="B734" i="13176"/>
  <c r="A734" i="13176"/>
  <c r="B733" i="13176"/>
  <c r="A733" i="13176"/>
  <c r="B732" i="13176"/>
  <c r="A732" i="13176"/>
  <c r="B731" i="13176"/>
  <c r="A731" i="13176"/>
  <c r="B730" i="13176"/>
  <c r="A730" i="13176"/>
  <c r="B729" i="13176"/>
  <c r="A729" i="13176"/>
  <c r="B728" i="13176"/>
  <c r="A728" i="13176"/>
  <c r="B727" i="13176"/>
  <c r="A727" i="13176"/>
  <c r="B726" i="13176"/>
  <c r="A726" i="13176"/>
  <c r="B725" i="13176"/>
  <c r="A725" i="13176"/>
  <c r="B724" i="13176"/>
  <c r="A724" i="13176"/>
  <c r="B723" i="13176"/>
  <c r="A723" i="13176"/>
  <c r="B722" i="13176"/>
  <c r="A722" i="13176"/>
  <c r="B721" i="13176"/>
  <c r="A721" i="13176"/>
  <c r="B720" i="13176"/>
  <c r="A720" i="13176"/>
  <c r="B719" i="13176"/>
  <c r="A719" i="13176"/>
  <c r="B718" i="13176"/>
  <c r="A718" i="13176"/>
  <c r="B717" i="13176"/>
  <c r="A717" i="13176"/>
  <c r="B716" i="13176"/>
  <c r="A716" i="13176"/>
  <c r="B715" i="13176"/>
  <c r="A715" i="13176"/>
  <c r="B714" i="13176"/>
  <c r="A714" i="13176"/>
  <c r="B713" i="13176"/>
  <c r="A713" i="13176"/>
  <c r="B712" i="13176"/>
  <c r="A712" i="13176"/>
  <c r="B711" i="13176"/>
  <c r="A711" i="13176"/>
  <c r="B710" i="13176"/>
  <c r="A710" i="13176"/>
  <c r="B709" i="13176"/>
  <c r="A709" i="13176"/>
  <c r="B708" i="13176"/>
  <c r="A708" i="13176"/>
  <c r="B707" i="13176"/>
  <c r="A707" i="13176"/>
  <c r="B706" i="13176"/>
  <c r="A706" i="13176"/>
  <c r="B705" i="13176"/>
  <c r="A705" i="13176"/>
  <c r="B704" i="13176"/>
  <c r="A704" i="13176"/>
  <c r="B703" i="13176"/>
  <c r="A703" i="13176"/>
  <c r="B702" i="13176"/>
  <c r="A702" i="13176"/>
  <c r="B701" i="13176"/>
  <c r="A701" i="13176"/>
  <c r="B700" i="13176"/>
  <c r="A700" i="13176"/>
  <c r="B699" i="13176"/>
  <c r="A699" i="13176"/>
  <c r="B698" i="13176"/>
  <c r="A698" i="13176"/>
  <c r="B697" i="13176"/>
  <c r="A697" i="13176"/>
  <c r="B696" i="13176"/>
  <c r="A696" i="13176"/>
  <c r="B695" i="13176"/>
  <c r="A695" i="13176"/>
  <c r="B694" i="13176"/>
  <c r="A694" i="13176"/>
  <c r="B693" i="13176"/>
  <c r="A693" i="13176"/>
  <c r="B692" i="13176"/>
  <c r="A692" i="13176"/>
  <c r="B691" i="13176"/>
  <c r="A691" i="13176"/>
  <c r="B690" i="13176"/>
  <c r="A690" i="13176"/>
  <c r="B689" i="13176"/>
  <c r="A689" i="13176"/>
  <c r="B688" i="13176"/>
  <c r="A688" i="13176"/>
  <c r="B687" i="13176"/>
  <c r="A687" i="13176"/>
  <c r="B686" i="13176"/>
  <c r="A686" i="13176"/>
  <c r="B685" i="13176"/>
  <c r="A685" i="13176"/>
  <c r="B684" i="13176"/>
  <c r="A684" i="13176"/>
  <c r="B683" i="13176"/>
  <c r="A683" i="13176"/>
  <c r="B682" i="13176"/>
  <c r="A682" i="13176"/>
  <c r="B681" i="13176"/>
  <c r="A681" i="13176"/>
  <c r="B680" i="13176"/>
  <c r="A680" i="13176"/>
  <c r="B679" i="13176"/>
  <c r="A679" i="13176"/>
  <c r="B678" i="13176"/>
  <c r="A678" i="13176"/>
  <c r="B677" i="13176"/>
  <c r="A677" i="13176"/>
  <c r="B676" i="13176"/>
  <c r="A676" i="13176"/>
  <c r="B675" i="13176"/>
  <c r="A675" i="13176"/>
  <c r="B674" i="13176"/>
  <c r="A674" i="13176"/>
  <c r="B673" i="13176"/>
  <c r="A673" i="13176"/>
  <c r="B672" i="13176"/>
  <c r="A672" i="13176"/>
  <c r="B671" i="13176"/>
  <c r="A671" i="13176"/>
  <c r="B670" i="13176"/>
  <c r="A670" i="13176"/>
  <c r="B669" i="13176"/>
  <c r="A669" i="13176"/>
  <c r="B668" i="13176"/>
  <c r="A668" i="13176"/>
  <c r="B667" i="13176"/>
  <c r="A667" i="13176"/>
  <c r="B666" i="13176"/>
  <c r="A666" i="13176"/>
  <c r="B665" i="13176"/>
  <c r="A665" i="13176"/>
  <c r="B664" i="13176"/>
  <c r="A664" i="13176"/>
  <c r="B663" i="13176"/>
  <c r="A663" i="13176"/>
  <c r="B662" i="13176"/>
  <c r="A662" i="13176"/>
  <c r="B661" i="13176"/>
  <c r="A661" i="13176"/>
  <c r="B660" i="13176"/>
  <c r="A660" i="13176"/>
  <c r="B659" i="13176"/>
  <c r="A659" i="13176"/>
  <c r="B658" i="13176"/>
  <c r="A658" i="13176"/>
  <c r="B657" i="13176"/>
  <c r="A657" i="13176"/>
  <c r="B656" i="13176"/>
  <c r="A656" i="13176"/>
  <c r="B655" i="13176"/>
  <c r="A655" i="13176"/>
  <c r="B654" i="13176"/>
  <c r="A654" i="13176"/>
  <c r="B653" i="13176"/>
  <c r="A653" i="13176"/>
  <c r="B652" i="13176"/>
  <c r="A652" i="13176"/>
  <c r="B651" i="13176"/>
  <c r="A651" i="13176"/>
  <c r="B650" i="13176"/>
  <c r="A650" i="13176"/>
  <c r="B649" i="13176"/>
  <c r="A649" i="13176"/>
  <c r="B648" i="13176"/>
  <c r="A648" i="13176"/>
  <c r="B647" i="13176"/>
  <c r="A647" i="13176"/>
  <c r="B646" i="13176"/>
  <c r="A646" i="13176"/>
  <c r="B645" i="13176"/>
  <c r="A645" i="13176"/>
  <c r="B644" i="13176"/>
  <c r="A644" i="13176"/>
  <c r="B643" i="13176"/>
  <c r="A643" i="13176"/>
  <c r="B642" i="13176"/>
  <c r="A642" i="13176"/>
  <c r="B641" i="13176"/>
  <c r="A641" i="13176"/>
  <c r="B640" i="13176"/>
  <c r="A640" i="13176"/>
  <c r="B639" i="13176"/>
  <c r="A639" i="13176"/>
  <c r="B638" i="13176"/>
  <c r="A638" i="13176"/>
  <c r="B637" i="13176"/>
  <c r="A637" i="13176"/>
  <c r="B636" i="13176"/>
  <c r="A636" i="13176"/>
  <c r="B635" i="13176"/>
  <c r="A635" i="13176"/>
  <c r="B634" i="13176"/>
  <c r="A634" i="13176"/>
  <c r="B633" i="13176"/>
  <c r="A633" i="13176"/>
  <c r="B632" i="13176"/>
  <c r="A632" i="13176"/>
  <c r="B631" i="13176"/>
  <c r="A631" i="13176"/>
  <c r="B630" i="13176"/>
  <c r="A630" i="13176"/>
  <c r="B629" i="13176"/>
  <c r="A629" i="13176"/>
  <c r="B628" i="13176"/>
  <c r="A628" i="13176"/>
  <c r="B627" i="13176"/>
  <c r="A627" i="13176"/>
  <c r="B626" i="13176"/>
  <c r="A626" i="13176"/>
  <c r="B625" i="13176"/>
  <c r="A625" i="13176"/>
  <c r="B624" i="13176"/>
  <c r="A624" i="13176"/>
  <c r="B623" i="13176"/>
  <c r="A623" i="13176"/>
  <c r="B622" i="13176"/>
  <c r="A622" i="13176"/>
  <c r="B621" i="13176"/>
  <c r="A621" i="13176"/>
  <c r="B620" i="13176"/>
  <c r="A620" i="13176"/>
  <c r="B619" i="13176"/>
  <c r="A619" i="13176"/>
  <c r="B618" i="13176"/>
  <c r="A618" i="13176"/>
  <c r="B617" i="13176"/>
  <c r="A617" i="13176"/>
  <c r="B616" i="13176"/>
  <c r="A616" i="13176"/>
  <c r="B615" i="13176"/>
  <c r="A615" i="13176"/>
  <c r="B614" i="13176"/>
  <c r="A614" i="13176"/>
  <c r="B613" i="13176"/>
  <c r="A613" i="13176"/>
  <c r="B612" i="13176"/>
  <c r="A612" i="13176"/>
  <c r="B611" i="13176"/>
  <c r="A611" i="13176"/>
  <c r="B610" i="13176"/>
  <c r="A610" i="13176"/>
  <c r="B609" i="13176"/>
  <c r="A609" i="13176"/>
  <c r="B608" i="13176"/>
  <c r="A608" i="13176"/>
  <c r="B607" i="13176"/>
  <c r="A607" i="13176"/>
  <c r="B606" i="13176"/>
  <c r="A606" i="13176"/>
  <c r="B605" i="13176"/>
  <c r="A605" i="13176"/>
  <c r="B604" i="13176"/>
  <c r="A604" i="13176"/>
  <c r="B603" i="13176"/>
  <c r="A603" i="13176"/>
  <c r="B602" i="13176"/>
  <c r="A602" i="13176"/>
  <c r="B601" i="13176"/>
  <c r="A601" i="13176"/>
  <c r="B600" i="13176"/>
  <c r="A600" i="13176"/>
  <c r="B599" i="13176"/>
  <c r="A599" i="13176"/>
  <c r="B598" i="13176"/>
  <c r="A598" i="13176"/>
  <c r="B597" i="13176"/>
  <c r="A597" i="13176"/>
  <c r="B596" i="13176"/>
  <c r="A596" i="13176"/>
  <c r="B595" i="13176"/>
  <c r="A595" i="13176"/>
  <c r="B594" i="13176"/>
  <c r="A594" i="13176"/>
  <c r="B593" i="13176"/>
  <c r="A593" i="13176"/>
  <c r="B592" i="13176"/>
  <c r="A592" i="13176"/>
  <c r="B591" i="13176"/>
  <c r="A591" i="13176"/>
  <c r="B590" i="13176"/>
  <c r="A590" i="13176"/>
  <c r="B589" i="13176"/>
  <c r="A589" i="13176"/>
  <c r="B588" i="13176"/>
  <c r="A588" i="13176"/>
  <c r="B587" i="13176"/>
  <c r="A587" i="13176"/>
  <c r="B586" i="13176"/>
  <c r="A586" i="13176"/>
  <c r="B585" i="13176"/>
  <c r="A585" i="13176"/>
  <c r="B584" i="13176"/>
  <c r="A584" i="13176"/>
  <c r="B583" i="13176"/>
  <c r="A583" i="13176"/>
  <c r="B582" i="13176"/>
  <c r="A582" i="13176"/>
  <c r="B581" i="13176"/>
  <c r="A581" i="13176"/>
  <c r="B580" i="13176"/>
  <c r="A580" i="13176"/>
  <c r="B579" i="13176"/>
  <c r="A579" i="13176"/>
  <c r="B578" i="13176"/>
  <c r="A578" i="13176"/>
  <c r="B577" i="13176"/>
  <c r="A577" i="13176"/>
  <c r="B576" i="13176"/>
  <c r="A576" i="13176"/>
  <c r="B575" i="13176"/>
  <c r="A575" i="13176"/>
  <c r="B574" i="13176"/>
  <c r="A574" i="13176"/>
  <c r="B573" i="13176"/>
  <c r="A573" i="13176"/>
  <c r="B572" i="13176"/>
  <c r="A572" i="13176"/>
  <c r="B571" i="13176"/>
  <c r="A571" i="13176"/>
  <c r="B570" i="13176"/>
  <c r="A570" i="13176"/>
  <c r="B569" i="13176"/>
  <c r="A569" i="13176"/>
  <c r="B568" i="13176"/>
  <c r="A568" i="13176"/>
  <c r="B567" i="13176"/>
  <c r="A567" i="13176"/>
  <c r="B566" i="13176"/>
  <c r="A566" i="13176"/>
  <c r="B565" i="13176"/>
  <c r="A565" i="13176"/>
  <c r="B564" i="13176"/>
  <c r="A564" i="13176"/>
  <c r="B563" i="13176"/>
  <c r="A563" i="13176"/>
  <c r="B562" i="13176"/>
  <c r="A562" i="13176"/>
  <c r="B561" i="13176"/>
  <c r="A561" i="13176"/>
  <c r="B560" i="13176"/>
  <c r="A560" i="13176"/>
  <c r="B559" i="13176"/>
  <c r="A559" i="13176"/>
  <c r="B558" i="13176"/>
  <c r="A558" i="13176"/>
  <c r="B557" i="13176"/>
  <c r="A557" i="13176"/>
  <c r="B556" i="13176"/>
  <c r="A556" i="13176"/>
  <c r="B555" i="13176"/>
  <c r="A555" i="13176"/>
  <c r="B554" i="13176"/>
  <c r="A554" i="13176"/>
  <c r="B553" i="13176"/>
  <c r="A553" i="13176"/>
  <c r="B552" i="13176"/>
  <c r="A552" i="13176"/>
  <c r="B551" i="13176"/>
  <c r="A551" i="13176"/>
  <c r="B550" i="13176"/>
  <c r="A550" i="13176"/>
  <c r="B549" i="13176"/>
  <c r="A549" i="13176"/>
  <c r="B548" i="13176"/>
  <c r="A548" i="13176"/>
  <c r="B547" i="13176"/>
  <c r="A547" i="13176"/>
  <c r="B546" i="13176"/>
  <c r="A546" i="13176"/>
  <c r="B545" i="13176"/>
  <c r="A545" i="13176"/>
  <c r="B544" i="13176"/>
  <c r="A544" i="13176"/>
  <c r="B543" i="13176"/>
  <c r="A543" i="13176"/>
  <c r="B542" i="13176"/>
  <c r="A542" i="13176"/>
  <c r="B541" i="13176"/>
  <c r="A541" i="13176"/>
  <c r="B540" i="13176"/>
  <c r="A540" i="13176"/>
  <c r="B539" i="13176"/>
  <c r="A539" i="13176"/>
  <c r="B538" i="13176"/>
  <c r="A538" i="13176"/>
  <c r="B537" i="13176"/>
  <c r="A537" i="13176"/>
  <c r="B536" i="13176"/>
  <c r="A536" i="13176"/>
  <c r="B535" i="13176"/>
  <c r="A535" i="13176"/>
  <c r="B534" i="13176"/>
  <c r="A534" i="13176"/>
  <c r="B533" i="13176"/>
  <c r="A533" i="13176"/>
  <c r="B532" i="13176"/>
  <c r="A532" i="13176"/>
  <c r="B531" i="13176"/>
  <c r="A531" i="13176"/>
  <c r="B530" i="13176"/>
  <c r="A530" i="13176"/>
  <c r="B529" i="13176"/>
  <c r="A529" i="13176"/>
  <c r="B528" i="13176"/>
  <c r="A528" i="13176"/>
  <c r="B527" i="13176"/>
  <c r="AL527" i="13176" s="1"/>
  <c r="A527" i="13176"/>
  <c r="B526" i="13176"/>
  <c r="A526" i="13176"/>
  <c r="B525" i="13176"/>
  <c r="A525" i="13176"/>
  <c r="B524" i="13176"/>
  <c r="A524" i="13176"/>
  <c r="B523" i="13176"/>
  <c r="A523" i="13176"/>
  <c r="B522" i="13176"/>
  <c r="A522" i="13176"/>
  <c r="B521" i="13176"/>
  <c r="A521" i="13176"/>
  <c r="B520" i="13176"/>
  <c r="A520" i="13176"/>
  <c r="B519" i="13176"/>
  <c r="A519" i="13176"/>
  <c r="B518" i="13176"/>
  <c r="A518" i="13176"/>
  <c r="B517" i="13176"/>
  <c r="A517" i="13176"/>
  <c r="B516" i="13176"/>
  <c r="A516" i="13176"/>
  <c r="B515" i="13176"/>
  <c r="A515" i="13176"/>
  <c r="B514" i="13176"/>
  <c r="A514" i="13176"/>
  <c r="B513" i="13176"/>
  <c r="A513" i="13176"/>
  <c r="B512" i="13176"/>
  <c r="AL512" i="13176" s="1"/>
  <c r="A512" i="13176"/>
  <c r="B511" i="13176"/>
  <c r="AL511" i="13176" s="1"/>
  <c r="A511" i="13176"/>
  <c r="B510" i="13176"/>
  <c r="A510" i="13176"/>
  <c r="B509" i="13176"/>
  <c r="A509" i="13176"/>
  <c r="B508" i="13176"/>
  <c r="A508" i="13176"/>
  <c r="B507" i="13176"/>
  <c r="A507" i="13176"/>
  <c r="B506" i="13176"/>
  <c r="A506" i="13176"/>
  <c r="B505" i="13176"/>
  <c r="A505" i="13176"/>
  <c r="B504" i="13176"/>
  <c r="A504" i="13176"/>
  <c r="B503" i="13176"/>
  <c r="A503" i="13176"/>
  <c r="B502" i="13176"/>
  <c r="A502" i="13176"/>
  <c r="B501" i="13176"/>
  <c r="A501" i="13176"/>
  <c r="B500" i="13176"/>
  <c r="A500" i="13176"/>
  <c r="B499" i="13176"/>
  <c r="A499" i="13176"/>
  <c r="B498" i="13176"/>
  <c r="A498" i="13176"/>
  <c r="B497" i="13176"/>
  <c r="A497" i="13176"/>
  <c r="B496" i="13176"/>
  <c r="A496" i="13176"/>
  <c r="B495" i="13176"/>
  <c r="A495" i="13176"/>
  <c r="B494" i="13176"/>
  <c r="L494" i="13176" s="1"/>
  <c r="A494" i="13176"/>
  <c r="B493" i="13176"/>
  <c r="A493" i="13176"/>
  <c r="B492" i="13176"/>
  <c r="AP492" i="13176" s="1"/>
  <c r="A492" i="13176"/>
  <c r="B491" i="13176"/>
  <c r="A491" i="13176"/>
  <c r="B490" i="13176"/>
  <c r="A490" i="13176"/>
  <c r="B489" i="13176"/>
  <c r="A489" i="13176"/>
  <c r="B488" i="13176"/>
  <c r="A488" i="13176"/>
  <c r="B487" i="13176"/>
  <c r="AR487" i="13176" s="1"/>
  <c r="A487" i="13176"/>
  <c r="B486" i="13176"/>
  <c r="A486" i="13176"/>
  <c r="B485" i="13176"/>
  <c r="A485" i="13176"/>
  <c r="B484" i="13176"/>
  <c r="A484" i="13176"/>
  <c r="B483" i="13176"/>
  <c r="A483" i="13176"/>
  <c r="B482" i="13176"/>
  <c r="A482" i="13176"/>
  <c r="B481" i="13176"/>
  <c r="A481" i="13176"/>
  <c r="B480" i="13176"/>
  <c r="A480" i="13176"/>
  <c r="B479" i="13176"/>
  <c r="BC479" i="13176" s="1"/>
  <c r="A479" i="13176"/>
  <c r="B478" i="13176"/>
  <c r="A478" i="13176"/>
  <c r="B477" i="13176"/>
  <c r="AI477" i="13176" s="1"/>
  <c r="A477" i="13176"/>
  <c r="B476" i="13176"/>
  <c r="BB476" i="13176" s="1"/>
  <c r="A476" i="13176"/>
  <c r="A6" i="13176"/>
  <c r="B3" i="13176" s="1"/>
  <c r="BD5" i="13176"/>
  <c r="BC5" i="13176"/>
  <c r="BB5" i="13176"/>
  <c r="BA5" i="13176"/>
  <c r="AZ5" i="13176"/>
  <c r="AY5" i="13176"/>
  <c r="AX5" i="13176"/>
  <c r="AW5" i="13176"/>
  <c r="AV5" i="13176"/>
  <c r="AU5" i="13176"/>
  <c r="AT5" i="13176"/>
  <c r="AS5" i="13176"/>
  <c r="AR5" i="13176"/>
  <c r="AQ5" i="13176"/>
  <c r="AQ602" i="13176" s="1"/>
  <c r="AP5" i="13176"/>
  <c r="AO5" i="13176"/>
  <c r="AO546" i="13176" s="1"/>
  <c r="AN5" i="13176"/>
  <c r="AM5" i="13176"/>
  <c r="AL5" i="13176"/>
  <c r="AK5" i="13176"/>
  <c r="AJ5" i="13176"/>
  <c r="AI5" i="13176"/>
  <c r="AH5" i="13176"/>
  <c r="AG5" i="13176"/>
  <c r="AF5" i="13176"/>
  <c r="AE5" i="13176"/>
  <c r="AD5" i="13176"/>
  <c r="AC5" i="13176"/>
  <c r="AB5" i="13176"/>
  <c r="AA5" i="13176"/>
  <c r="AA591" i="13176" s="1"/>
  <c r="Z5" i="13176"/>
  <c r="Y5" i="13176"/>
  <c r="Y547" i="13176" s="1"/>
  <c r="X5" i="13176"/>
  <c r="W5" i="13176"/>
  <c r="V5" i="13176"/>
  <c r="U5" i="13176"/>
  <c r="T5" i="13176"/>
  <c r="S5" i="13176"/>
  <c r="R5" i="13176"/>
  <c r="Q5" i="13176"/>
  <c r="P5" i="13176"/>
  <c r="O5" i="13176"/>
  <c r="N5" i="13176"/>
  <c r="M5" i="13176"/>
  <c r="L5" i="13176"/>
  <c r="K5" i="13176"/>
  <c r="K555" i="13176" s="1"/>
  <c r="J5" i="13176"/>
  <c r="I5" i="13176"/>
  <c r="H5" i="13176"/>
  <c r="G5" i="13176"/>
  <c r="F5" i="13176"/>
  <c r="E5" i="13176"/>
  <c r="D5" i="13176"/>
  <c r="C5" i="13176"/>
  <c r="U493" i="13176" l="1"/>
  <c r="AC502" i="13176"/>
  <c r="Q490" i="13176"/>
  <c r="AI525" i="13176"/>
  <c r="AU524" i="13176"/>
  <c r="AR482" i="13176"/>
  <c r="AX510" i="13176"/>
  <c r="S502" i="13176"/>
  <c r="AG529" i="13176"/>
  <c r="AI505" i="13176"/>
  <c r="AA537" i="13176"/>
  <c r="V549" i="13176"/>
  <c r="BA514" i="13176"/>
  <c r="AA491" i="13176"/>
  <c r="AO515" i="13176"/>
  <c r="E517" i="13176"/>
  <c r="AA526" i="13176"/>
  <c r="K534" i="13176"/>
  <c r="P505" i="13176"/>
  <c r="Z524" i="13176"/>
  <c r="AR505" i="13176"/>
  <c r="N522" i="13176"/>
  <c r="AW505" i="13176"/>
  <c r="AX523" i="13176"/>
  <c r="AQ535" i="13176"/>
  <c r="BA477" i="13176"/>
  <c r="AM485" i="13176"/>
  <c r="AY499" i="13176"/>
  <c r="AQ520" i="13176"/>
  <c r="AL477" i="13176"/>
  <c r="BB477" i="13176"/>
  <c r="AH478" i="13176"/>
  <c r="AN486" i="13176"/>
  <c r="C493" i="13176"/>
  <c r="G500" i="13176"/>
  <c r="K506" i="13176"/>
  <c r="AQ521" i="13176"/>
  <c r="Q494" i="13176"/>
  <c r="AX501" i="13176"/>
  <c r="AH507" i="13176"/>
  <c r="S522" i="13176"/>
  <c r="K546" i="13176"/>
  <c r="AA554" i="13176"/>
  <c r="AW480" i="13176"/>
  <c r="AM488" i="13176"/>
  <c r="AI494" i="13176"/>
  <c r="AY502" i="13176"/>
  <c r="BB508" i="13176"/>
  <c r="O523" i="13176"/>
  <c r="K508" i="13176"/>
  <c r="O531" i="13176"/>
  <c r="AQ547" i="13176"/>
  <c r="AQ516" i="13176"/>
  <c r="AB529" i="13176"/>
  <c r="U481" i="13176"/>
  <c r="N489" i="13176"/>
  <c r="BC495" i="13176"/>
  <c r="AV502" i="13176"/>
  <c r="AH477" i="13176"/>
  <c r="AG509" i="13176"/>
  <c r="J477" i="13176"/>
  <c r="BB490" i="13176"/>
  <c r="AY496" i="13176"/>
  <c r="AV503" i="13176"/>
  <c r="C517" i="13176"/>
  <c r="AX477" i="13176"/>
  <c r="AA557" i="13176"/>
  <c r="AE516" i="13176"/>
  <c r="O477" i="13176"/>
  <c r="P516" i="13176"/>
  <c r="AV517" i="13176"/>
  <c r="P477" i="13176"/>
  <c r="AO483" i="13176"/>
  <c r="AH497" i="13176"/>
  <c r="O504" i="13176"/>
  <c r="AA518" i="13176"/>
  <c r="AA590" i="13176"/>
  <c r="AO484" i="13176"/>
  <c r="AQ498" i="13176"/>
  <c r="AE505" i="13176"/>
  <c r="AM491" i="13176"/>
  <c r="P478" i="13176"/>
  <c r="P491" i="13176"/>
  <c r="I540" i="13176"/>
  <c r="AI478" i="13176"/>
  <c r="AH491" i="13176"/>
  <c r="AI491" i="13176"/>
  <c r="AP532" i="13176"/>
  <c r="AX478" i="13176"/>
  <c r="AY491" i="13176"/>
  <c r="AT502" i="13176"/>
  <c r="AF491" i="13176"/>
  <c r="M535" i="13176"/>
  <c r="AQ487" i="13176"/>
  <c r="AC497" i="13176"/>
  <c r="AX502" i="13176"/>
  <c r="S508" i="13176"/>
  <c r="L520" i="13176"/>
  <c r="B7" i="13176"/>
  <c r="O520" i="13176"/>
  <c r="AG520" i="13176"/>
  <c r="AX498" i="13176"/>
  <c r="T478" i="13176"/>
  <c r="U536" i="13176"/>
  <c r="N512" i="13176"/>
  <c r="M476" i="13176"/>
  <c r="AI481" i="13176"/>
  <c r="Y483" i="13176"/>
  <c r="AW484" i="13176"/>
  <c r="Z486" i="13176"/>
  <c r="Y488" i="13176"/>
  <c r="Q489" i="13176"/>
  <c r="S490" i="13176"/>
  <c r="Z498" i="13176"/>
  <c r="I503" i="13176"/>
  <c r="AE504" i="13176"/>
  <c r="P518" i="13176"/>
  <c r="K526" i="13176"/>
  <c r="AX529" i="13176"/>
  <c r="M484" i="13176"/>
  <c r="BD485" i="13176"/>
  <c r="AO481" i="13176"/>
  <c r="AC483" i="13176"/>
  <c r="BA484" i="13176"/>
  <c r="AO486" i="13176"/>
  <c r="AC488" i="13176"/>
  <c r="V489" i="13176"/>
  <c r="AH490" i="13176"/>
  <c r="AO491" i="13176"/>
  <c r="AU493" i="13176"/>
  <c r="J502" i="13176"/>
  <c r="J503" i="13176"/>
  <c r="AL504" i="13176"/>
  <c r="K516" i="13176"/>
  <c r="I522" i="13176"/>
  <c r="AO542" i="13176"/>
  <c r="I548" i="13176"/>
  <c r="AQ585" i="13176"/>
  <c r="AA592" i="13176"/>
  <c r="J489" i="13176"/>
  <c r="BD530" i="13176"/>
  <c r="K548" i="13176"/>
  <c r="AI485" i="13176"/>
  <c r="BB488" i="13176"/>
  <c r="AX489" i="13176"/>
  <c r="AG513" i="13176"/>
  <c r="Y516" i="13176"/>
  <c r="BB519" i="13176"/>
  <c r="AQ522" i="13176"/>
  <c r="AQ536" i="13176"/>
  <c r="V498" i="13176"/>
  <c r="AD507" i="13176"/>
  <c r="AT503" i="13176"/>
  <c r="N476" i="13176"/>
  <c r="AC476" i="13176"/>
  <c r="AD483" i="13176"/>
  <c r="BB484" i="13176"/>
  <c r="AP486" i="13176"/>
  <c r="AD488" i="13176"/>
  <c r="AC489" i="13176"/>
  <c r="AK490" i="13176"/>
  <c r="AQ491" i="13176"/>
  <c r="O496" i="13176"/>
  <c r="O502" i="13176"/>
  <c r="N503" i="13176"/>
  <c r="AV504" i="13176"/>
  <c r="P510" i="13176"/>
  <c r="AF476" i="13176"/>
  <c r="AA502" i="13176"/>
  <c r="S503" i="13176"/>
  <c r="S507" i="13176"/>
  <c r="L510" i="13176"/>
  <c r="AA516" i="13176"/>
  <c r="F527" i="13176"/>
  <c r="P484" i="13176"/>
  <c r="I483" i="13176"/>
  <c r="AC484" i="13176"/>
  <c r="J476" i="13176"/>
  <c r="BB478" i="13176"/>
  <c r="V481" i="13176"/>
  <c r="N483" i="13176"/>
  <c r="AG484" i="13176"/>
  <c r="P486" i="13176"/>
  <c r="P488" i="13176"/>
  <c r="P489" i="13176"/>
  <c r="BB492" i="13176"/>
  <c r="AR488" i="13176"/>
  <c r="AH489" i="13176"/>
  <c r="AV491" i="13176"/>
  <c r="AP493" i="13176"/>
  <c r="J556" i="13176"/>
  <c r="AU497" i="13176"/>
  <c r="K499" i="13176"/>
  <c r="AF502" i="13176"/>
  <c r="AA503" i="13176"/>
  <c r="F505" i="13176"/>
  <c r="AW507" i="13176"/>
  <c r="N510" i="13176"/>
  <c r="I527" i="13176"/>
  <c r="C502" i="13176"/>
  <c r="S505" i="13176"/>
  <c r="AI518" i="13176"/>
  <c r="AY528" i="13176"/>
  <c r="AV476" i="13176"/>
  <c r="AR478" i="13176"/>
  <c r="Q480" i="13176"/>
  <c r="X482" i="13176"/>
  <c r="AY483" i="13176"/>
  <c r="O485" i="13176"/>
  <c r="E487" i="13176"/>
  <c r="AU488" i="13176"/>
  <c r="AL489" i="13176"/>
  <c r="BB491" i="13176"/>
  <c r="AW491" i="13176"/>
  <c r="AY493" i="13176"/>
  <c r="J497" i="13176"/>
  <c r="S499" i="13176"/>
  <c r="AH502" i="13176"/>
  <c r="AE503" i="13176"/>
  <c r="J505" i="13176"/>
  <c r="AY507" i="13176"/>
  <c r="S510" i="13176"/>
  <c r="N514" i="13176"/>
  <c r="I520" i="13176"/>
  <c r="K527" i="13176"/>
  <c r="AH483" i="13176"/>
  <c r="AT486" i="13176"/>
  <c r="AF488" i="13176"/>
  <c r="AE489" i="13176"/>
  <c r="AL490" i="13176"/>
  <c r="AR491" i="13176"/>
  <c r="AU496" i="13176"/>
  <c r="P503" i="13176"/>
  <c r="P507" i="13176"/>
  <c r="Q488" i="13176"/>
  <c r="AI476" i="13176"/>
  <c r="M480" i="13176"/>
  <c r="E482" i="13176"/>
  <c r="AT483" i="13176"/>
  <c r="AO516" i="13176"/>
  <c r="AZ485" i="13176"/>
  <c r="BA476" i="13176"/>
  <c r="L478" i="13176"/>
  <c r="AF480" i="13176"/>
  <c r="Y482" i="13176"/>
  <c r="BB483" i="13176"/>
  <c r="P485" i="13176"/>
  <c r="U487" i="13176"/>
  <c r="AW488" i="13176"/>
  <c r="AO489" i="13176"/>
  <c r="I491" i="13176"/>
  <c r="K497" i="13176"/>
  <c r="AO499" i="13176"/>
  <c r="AI502" i="13176"/>
  <c r="AI503" i="13176"/>
  <c r="K505" i="13176"/>
  <c r="Y527" i="13176"/>
  <c r="K550" i="13176"/>
  <c r="BA480" i="13176"/>
  <c r="AQ482" i="13176"/>
  <c r="AH488" i="13176"/>
  <c r="AG489" i="13176"/>
  <c r="AT491" i="13176"/>
  <c r="Y493" i="13176"/>
  <c r="AH528" i="13176"/>
  <c r="AL476" i="13176"/>
  <c r="P480" i="13176"/>
  <c r="U482" i="13176"/>
  <c r="AX483" i="13176"/>
  <c r="L485" i="13176"/>
  <c r="AK507" i="13176"/>
  <c r="BA518" i="13176"/>
  <c r="O478" i="13176"/>
  <c r="AK480" i="13176"/>
  <c r="AN482" i="13176"/>
  <c r="AF485" i="13176"/>
  <c r="Y487" i="13176"/>
  <c r="AX488" i="13176"/>
  <c r="AT489" i="13176"/>
  <c r="K491" i="13176"/>
  <c r="AV494" i="13176"/>
  <c r="N497" i="13176"/>
  <c r="AO502" i="13176"/>
  <c r="AK503" i="13176"/>
  <c r="N505" i="13176"/>
  <c r="V524" i="13176"/>
  <c r="AQ527" i="13176"/>
  <c r="AU503" i="13176"/>
  <c r="G497" i="13176"/>
  <c r="W496" i="13176"/>
  <c r="AP477" i="13176"/>
  <c r="AE478" i="13176"/>
  <c r="BD480" i="13176"/>
  <c r="L484" i="13176"/>
  <c r="AK485" i="13176"/>
  <c r="AY489" i="13176"/>
  <c r="V491" i="13176"/>
  <c r="F492" i="13176"/>
  <c r="P494" i="13176"/>
  <c r="AF497" i="13176"/>
  <c r="AU502" i="13176"/>
  <c r="P508" i="13176"/>
  <c r="S511" i="13176"/>
  <c r="C515" i="13176"/>
  <c r="C521" i="13176"/>
  <c r="AQ524" i="13176"/>
  <c r="AE511" i="13176"/>
  <c r="V515" i="13176"/>
  <c r="Y517" i="13176"/>
  <c r="I521" i="13176"/>
  <c r="I489" i="13176"/>
  <c r="AB491" i="13176"/>
  <c r="J492" i="13176"/>
  <c r="AQ497" i="13176"/>
  <c r="P501" i="13176"/>
  <c r="AK505" i="13176"/>
  <c r="AE508" i="13176"/>
  <c r="AH511" i="13176"/>
  <c r="AI515" i="13176"/>
  <c r="AA517" i="13176"/>
  <c r="K521" i="13176"/>
  <c r="H488" i="13176"/>
  <c r="M489" i="13176"/>
  <c r="AQ490" i="13176"/>
  <c r="AD491" i="13176"/>
  <c r="AB492" i="13176"/>
  <c r="AU494" i="13176"/>
  <c r="V501" i="13176"/>
  <c r="J504" i="13176"/>
  <c r="AV505" i="13176"/>
  <c r="AV508" i="13176"/>
  <c r="AL515" i="13176"/>
  <c r="AA521" i="13176"/>
  <c r="AA547" i="13176"/>
  <c r="BB489" i="13176"/>
  <c r="I492" i="13176"/>
  <c r="O481" i="13176"/>
  <c r="AD477" i="13176"/>
  <c r="BA478" i="13176"/>
  <c r="J483" i="13176"/>
  <c r="AF484" i="13176"/>
  <c r="F486" i="13176"/>
  <c r="M488" i="13176"/>
  <c r="N490" i="13176"/>
  <c r="AE491" i="13176"/>
  <c r="AI492" i="13176"/>
  <c r="AT498" i="13176"/>
  <c r="N504" i="13176"/>
  <c r="K529" i="13176"/>
  <c r="AU518" i="13176"/>
  <c r="K535" i="13176"/>
  <c r="I541" i="13176"/>
  <c r="D1210" i="13176"/>
  <c r="D1212" i="13176"/>
  <c r="D1209" i="13176"/>
  <c r="D1211" i="13176"/>
  <c r="D1213" i="13176"/>
  <c r="D1195" i="13176"/>
  <c r="D1204" i="13176"/>
  <c r="D1187" i="13176"/>
  <c r="D1192" i="13176"/>
  <c r="D1201" i="13176"/>
  <c r="D1202" i="13176"/>
  <c r="D1179" i="13176"/>
  <c r="D1171" i="13176"/>
  <c r="D1188" i="13176"/>
  <c r="D1168" i="13176"/>
  <c r="D1177" i="13176"/>
  <c r="D1196" i="13176"/>
  <c r="D1205" i="13176"/>
  <c r="D1153" i="13176"/>
  <c r="D1169" i="13176"/>
  <c r="D1185" i="13176"/>
  <c r="D1163" i="13176"/>
  <c r="D1161" i="13176"/>
  <c r="D1160" i="13176"/>
  <c r="D1145" i="13176"/>
  <c r="D1141" i="13176"/>
  <c r="D1155" i="13176"/>
  <c r="D1138" i="13176"/>
  <c r="D1130" i="13176"/>
  <c r="D1154" i="13176"/>
  <c r="D1146" i="13176"/>
  <c r="D1134" i="13176"/>
  <c r="D1137" i="13176"/>
  <c r="D1129" i="13176"/>
  <c r="D1126" i="13176"/>
  <c r="D1125" i="13176"/>
  <c r="D1115" i="13176"/>
  <c r="D1118" i="13176"/>
  <c r="D1133" i="13176"/>
  <c r="D1122" i="13176"/>
  <c r="D1091" i="13176"/>
  <c r="D1107" i="13176"/>
  <c r="D1100" i="13176"/>
  <c r="D1088" i="13176"/>
  <c r="D1080" i="13176"/>
  <c r="D1087" i="13176"/>
  <c r="D1099" i="13176"/>
  <c r="D1092" i="13176"/>
  <c r="D1084" i="13176"/>
  <c r="D1075" i="13176"/>
  <c r="D1072" i="13176"/>
  <c r="D1061" i="13176"/>
  <c r="D1083" i="13176"/>
  <c r="D1076" i="13176"/>
  <c r="D1108" i="13176"/>
  <c r="D1095" i="13176"/>
  <c r="D1071" i="13176"/>
  <c r="D1063" i="13176"/>
  <c r="D1116" i="13176"/>
  <c r="D1090" i="13176"/>
  <c r="D1059" i="13176"/>
  <c r="D1054" i="13176"/>
  <c r="D1040" i="13176"/>
  <c r="D1050" i="13176"/>
  <c r="D1049" i="13176"/>
  <c r="D1045" i="13176"/>
  <c r="D1037" i="13176"/>
  <c r="D1051" i="13176"/>
  <c r="D1106" i="13176"/>
  <c r="D1067" i="13176"/>
  <c r="D1041" i="13176"/>
  <c r="D1058" i="13176"/>
  <c r="D1031" i="13176"/>
  <c r="D1016" i="13176"/>
  <c r="D1008" i="13176"/>
  <c r="D1032" i="13176"/>
  <c r="D1036" i="13176"/>
  <c r="D1025" i="13176"/>
  <c r="D1033" i="13176"/>
  <c r="D1017" i="13176"/>
  <c r="D1009" i="13176"/>
  <c r="D1055" i="13176"/>
  <c r="D1000" i="13176"/>
  <c r="D997" i="13176"/>
  <c r="D989" i="13176"/>
  <c r="D981" i="13176"/>
  <c r="D1001" i="13176"/>
  <c r="D1022" i="13176"/>
  <c r="D1010" i="13176"/>
  <c r="D991" i="13176"/>
  <c r="D990" i="13176"/>
  <c r="D1004" i="13176"/>
  <c r="D973" i="13176"/>
  <c r="D974" i="13176"/>
  <c r="D983" i="13176"/>
  <c r="D955" i="13176"/>
  <c r="D952" i="13176"/>
  <c r="D946" i="13176"/>
  <c r="D938" i="13176"/>
  <c r="D930" i="13176"/>
  <c r="D982" i="13176"/>
  <c r="D961" i="13176"/>
  <c r="D957" i="13176"/>
  <c r="D965" i="13176"/>
  <c r="D929" i="13176"/>
  <c r="D887" i="13176"/>
  <c r="D923" i="13176"/>
  <c r="D915" i="13176"/>
  <c r="D902" i="13176"/>
  <c r="D894" i="13176"/>
  <c r="D886" i="13176"/>
  <c r="D878" i="13176"/>
  <c r="D910" i="13176"/>
  <c r="D917" i="13176"/>
  <c r="D939" i="13176"/>
  <c r="D937" i="13176"/>
  <c r="D922" i="13176"/>
  <c r="D914" i="13176"/>
  <c r="D912" i="13176"/>
  <c r="D901" i="13176"/>
  <c r="D893" i="13176"/>
  <c r="D885" i="13176"/>
  <c r="D947" i="13176"/>
  <c r="D906" i="13176"/>
  <c r="D898" i="13176"/>
  <c r="D890" i="13176"/>
  <c r="D882" i="13176"/>
  <c r="D909" i="13176"/>
  <c r="D870" i="13176"/>
  <c r="D868" i="13176"/>
  <c r="D877" i="13176"/>
  <c r="D874" i="13176"/>
  <c r="D860" i="13176"/>
  <c r="D852" i="13176"/>
  <c r="D844" i="13176"/>
  <c r="D872" i="13176"/>
  <c r="D969" i="13176"/>
  <c r="D931" i="13176"/>
  <c r="D856" i="13176"/>
  <c r="D833" i="13176"/>
  <c r="D817" i="13176"/>
  <c r="D809" i="13176"/>
  <c r="D801" i="13176"/>
  <c r="D793" i="13176"/>
  <c r="D785" i="13176"/>
  <c r="D836" i="13176"/>
  <c r="D840" i="13176"/>
  <c r="D864" i="13176"/>
  <c r="D830" i="13176"/>
  <c r="D816" i="13176"/>
  <c r="D808" i="13176"/>
  <c r="D800" i="13176"/>
  <c r="D792" i="13176"/>
  <c r="D848" i="13176"/>
  <c r="D832" i="13176"/>
  <c r="D796" i="13176"/>
  <c r="D777" i="13176"/>
  <c r="D769" i="13176"/>
  <c r="D761" i="13176"/>
  <c r="D753" i="13176"/>
  <c r="D827" i="13176"/>
  <c r="D820" i="13176"/>
  <c r="D788" i="13176"/>
  <c r="D835" i="13176"/>
  <c r="D784" i="13176"/>
  <c r="D779" i="13176"/>
  <c r="D771" i="13176"/>
  <c r="D787" i="13176"/>
  <c r="D804" i="13176"/>
  <c r="D773" i="13176"/>
  <c r="D765" i="13176"/>
  <c r="D757" i="13176"/>
  <c r="D749" i="13176"/>
  <c r="D812" i="13176"/>
  <c r="D824" i="13176"/>
  <c r="D780" i="13176"/>
  <c r="D734" i="13176"/>
  <c r="D726" i="13176"/>
  <c r="D718" i="13176"/>
  <c r="D710" i="13176"/>
  <c r="D741" i="13176"/>
  <c r="D745" i="13176"/>
  <c r="D743" i="13176"/>
  <c r="D739" i="13176"/>
  <c r="D730" i="13176"/>
  <c r="D722" i="13176"/>
  <c r="D714" i="13176"/>
  <c r="D706" i="13176"/>
  <c r="D729" i="13176"/>
  <c r="D721" i="13176"/>
  <c r="D713" i="13176"/>
  <c r="D695" i="13176"/>
  <c r="D702" i="13176"/>
  <c r="D698" i="13176"/>
  <c r="D687" i="13176"/>
  <c r="D679" i="13176"/>
  <c r="D671" i="13176"/>
  <c r="D694" i="13176"/>
  <c r="D689" i="13176"/>
  <c r="D681" i="13176"/>
  <c r="D691" i="13176"/>
  <c r="D683" i="13176"/>
  <c r="D675" i="13176"/>
  <c r="D667" i="13176"/>
  <c r="D655" i="13176"/>
  <c r="D647" i="13176"/>
  <c r="D639" i="13176"/>
  <c r="D631" i="13176"/>
  <c r="D654" i="13176"/>
  <c r="D646" i="13176"/>
  <c r="D638" i="13176"/>
  <c r="D665" i="13176"/>
  <c r="D658" i="13176"/>
  <c r="D616" i="13176"/>
  <c r="D612" i="13176"/>
  <c r="D642" i="13176"/>
  <c r="D624" i="13176"/>
  <c r="D618" i="13176"/>
  <c r="D630" i="13176"/>
  <c r="D626" i="13176"/>
  <c r="D614" i="13176"/>
  <c r="D650" i="13176"/>
  <c r="D625" i="13176"/>
  <c r="D613" i="13176"/>
  <c r="D600" i="13176"/>
  <c r="D634" i="13176"/>
  <c r="D604" i="13176"/>
  <c r="D619" i="13176"/>
  <c r="D601" i="13176"/>
  <c r="D603" i="13176"/>
  <c r="D585" i="13176"/>
  <c r="D673" i="13176"/>
  <c r="D602" i="13176"/>
  <c r="D550" i="13176"/>
  <c r="D559" i="13176"/>
  <c r="D548" i="13176"/>
  <c r="D556" i="13176"/>
  <c r="D596" i="13176"/>
  <c r="D546" i="13176"/>
  <c r="D521" i="13176"/>
  <c r="D543" i="13176"/>
  <c r="D518" i="13176"/>
  <c r="D595" i="13176"/>
  <c r="D532" i="13176"/>
  <c r="D515" i="13176"/>
  <c r="D491" i="13176"/>
  <c r="D524" i="13176"/>
  <c r="D516" i="13176"/>
  <c r="P479" i="13176"/>
  <c r="U479" i="13176"/>
  <c r="G488" i="13176"/>
  <c r="AM489" i="13176"/>
  <c r="Y500" i="13176"/>
  <c r="BC1213" i="13176"/>
  <c r="BC1202" i="13176"/>
  <c r="BC1192" i="13176"/>
  <c r="BC1187" i="13176"/>
  <c r="BC1210" i="13176"/>
  <c r="BC1185" i="13176"/>
  <c r="BC1177" i="13176"/>
  <c r="BC1171" i="13176"/>
  <c r="BC1188" i="13176"/>
  <c r="BC1174" i="13176"/>
  <c r="BC1176" i="13176"/>
  <c r="BC1153" i="13176"/>
  <c r="BC1205" i="13176"/>
  <c r="BC1166" i="13176"/>
  <c r="BC1169" i="13176"/>
  <c r="BC1161" i="13176"/>
  <c r="BC1163" i="13176"/>
  <c r="BC1154" i="13176"/>
  <c r="BC1138" i="13176"/>
  <c r="BC1130" i="13176"/>
  <c r="BC1146" i="13176"/>
  <c r="BC1156" i="13176"/>
  <c r="BC1134" i="13176"/>
  <c r="BC1179" i="13176"/>
  <c r="BC1122" i="13176"/>
  <c r="BC1115" i="13176"/>
  <c r="BC1131" i="13176"/>
  <c r="BC1126" i="13176"/>
  <c r="BC1139" i="13176"/>
  <c r="BC1118" i="13176"/>
  <c r="BC1121" i="13176"/>
  <c r="BC1149" i="13176"/>
  <c r="BC1145" i="13176"/>
  <c r="BC1123" i="13176"/>
  <c r="BC1116" i="13176"/>
  <c r="BC1108" i="13176"/>
  <c r="BC1100" i="13176"/>
  <c r="BC1107" i="13176"/>
  <c r="BC1095" i="13176"/>
  <c r="BC1096" i="13176"/>
  <c r="BC1099" i="13176"/>
  <c r="BC1087" i="13176"/>
  <c r="BC1119" i="13176"/>
  <c r="BC1092" i="13176"/>
  <c r="BC1081" i="13176"/>
  <c r="BC1088" i="13176"/>
  <c r="BC1076" i="13176"/>
  <c r="BC1073" i="13176"/>
  <c r="BC1080" i="13176"/>
  <c r="BC1084" i="13176"/>
  <c r="BC1072" i="13176"/>
  <c r="BC1067" i="13176"/>
  <c r="BC1059" i="13176"/>
  <c r="BC1089" i="13176"/>
  <c r="BC1062" i="13176"/>
  <c r="BC1040" i="13176"/>
  <c r="BC1051" i="13176"/>
  <c r="BC1058" i="13176"/>
  <c r="BC1049" i="13176"/>
  <c r="BC1050" i="13176"/>
  <c r="BC1041" i="13176"/>
  <c r="BC1033" i="13176"/>
  <c r="BC1032" i="13176"/>
  <c r="BC1016" i="13176"/>
  <c r="BC1008" i="13176"/>
  <c r="BC1025" i="13176"/>
  <c r="BC1036" i="13176"/>
  <c r="BC1023" i="13176"/>
  <c r="BC1014" i="13176"/>
  <c r="BC1001" i="13176"/>
  <c r="BC989" i="13176"/>
  <c r="BC981" i="13176"/>
  <c r="BC999" i="13176"/>
  <c r="BC998" i="13176"/>
  <c r="BC1009" i="13176"/>
  <c r="BC1006" i="13176"/>
  <c r="BC1024" i="13176"/>
  <c r="BC1000" i="13176"/>
  <c r="BC990" i="13176"/>
  <c r="BC982" i="13176"/>
  <c r="BC979" i="13176"/>
  <c r="BC973" i="13176"/>
  <c r="BC987" i="13176"/>
  <c r="BC974" i="13176"/>
  <c r="BC978" i="13176"/>
  <c r="BC995" i="13176"/>
  <c r="BC972" i="13176"/>
  <c r="BC947" i="13176"/>
  <c r="BC939" i="13176"/>
  <c r="BC931" i="13176"/>
  <c r="BC923" i="13176"/>
  <c r="BC915" i="13176"/>
  <c r="BC907" i="13176"/>
  <c r="BC906" i="13176"/>
  <c r="BC898" i="13176"/>
  <c r="BC890" i="13176"/>
  <c r="BC882" i="13176"/>
  <c r="BC874" i="13176"/>
  <c r="BC887" i="13176"/>
  <c r="BC895" i="13176"/>
  <c r="BC865" i="13176"/>
  <c r="BC857" i="13176"/>
  <c r="BC867" i="13176"/>
  <c r="BC903" i="13176"/>
  <c r="BC871" i="13176"/>
  <c r="BC864" i="13176"/>
  <c r="BC856" i="13176"/>
  <c r="BC848" i="13176"/>
  <c r="BC840" i="13176"/>
  <c r="BC879" i="13176"/>
  <c r="BC832" i="13176"/>
  <c r="BC821" i="13176"/>
  <c r="BC813" i="13176"/>
  <c r="BC805" i="13176"/>
  <c r="BC797" i="13176"/>
  <c r="BC789" i="13176"/>
  <c r="BC824" i="13176"/>
  <c r="BC820" i="13176"/>
  <c r="BC812" i="13176"/>
  <c r="BC804" i="13176"/>
  <c r="BC796" i="13176"/>
  <c r="BC788" i="13176"/>
  <c r="BC773" i="13176"/>
  <c r="BC765" i="13176"/>
  <c r="BC757" i="13176"/>
  <c r="BC749" i="13176"/>
  <c r="BC775" i="13176"/>
  <c r="BC767" i="13176"/>
  <c r="BC761" i="13176"/>
  <c r="BC759" i="13176"/>
  <c r="BC745" i="13176"/>
  <c r="BC741" i="13176"/>
  <c r="BC769" i="13176"/>
  <c r="BC753" i="13176"/>
  <c r="BC751" i="13176"/>
  <c r="BC716" i="13176"/>
  <c r="BC743" i="13176"/>
  <c r="BC729" i="13176"/>
  <c r="BC721" i="13176"/>
  <c r="BC685" i="13176"/>
  <c r="BC677" i="13176"/>
  <c r="BC726" i="13176"/>
  <c r="BC702" i="13176"/>
  <c r="BC694" i="13176"/>
  <c r="BC734" i="13176"/>
  <c r="BC710" i="13176"/>
  <c r="BC708" i="13176"/>
  <c r="BC718" i="13176"/>
  <c r="BC691" i="13176"/>
  <c r="BC700" i="13176"/>
  <c r="BC688" i="13176"/>
  <c r="BC680" i="13176"/>
  <c r="BC669" i="13176"/>
  <c r="BC664" i="13176"/>
  <c r="BC683" i="13176"/>
  <c r="BC675" i="13176"/>
  <c r="BC672" i="13176"/>
  <c r="BC661" i="13176"/>
  <c r="BC651" i="13176"/>
  <c r="BC777" i="13176"/>
  <c r="BC667" i="13176"/>
  <c r="BC650" i="13176"/>
  <c r="BC642" i="13176"/>
  <c r="BC634" i="13176"/>
  <c r="BC626" i="13176"/>
  <c r="BC614" i="13176"/>
  <c r="BC613" i="13176"/>
  <c r="BC610" i="13176"/>
  <c r="BC602" i="13176"/>
  <c r="BC586" i="13176"/>
  <c r="BC546" i="13176"/>
  <c r="BC550" i="13176"/>
  <c r="BC543" i="13176"/>
  <c r="BC520" i="13176"/>
  <c r="BC539" i="13176"/>
  <c r="BC535" i="13176"/>
  <c r="BC503" i="13176"/>
  <c r="BC523" i="13176"/>
  <c r="BC505" i="13176"/>
  <c r="BC515" i="13176"/>
  <c r="BC507" i="13176"/>
  <c r="BC527" i="13176"/>
  <c r="AE479" i="13176"/>
  <c r="W491" i="13176"/>
  <c r="AM513" i="13176"/>
  <c r="H1212" i="13176"/>
  <c r="H1209" i="13176"/>
  <c r="H1214" i="13176"/>
  <c r="H1213" i="13176"/>
  <c r="H1210" i="13176"/>
  <c r="H1204" i="13176"/>
  <c r="H1202" i="13176"/>
  <c r="H1201" i="13176"/>
  <c r="H1206" i="13176"/>
  <c r="H1207" i="13176"/>
  <c r="H1205" i="13176"/>
  <c r="H1193" i="13176"/>
  <c r="H1177" i="13176"/>
  <c r="H1198" i="13176"/>
  <c r="H1182" i="13176"/>
  <c r="H1185" i="13176"/>
  <c r="H1169" i="13176"/>
  <c r="H1187" i="13176"/>
  <c r="H1181" i="13176"/>
  <c r="H1166" i="13176"/>
  <c r="H1163" i="13176"/>
  <c r="H1171" i="13176"/>
  <c r="H1161" i="13176"/>
  <c r="H1174" i="13176"/>
  <c r="H1179" i="13176"/>
  <c r="H1154" i="13176"/>
  <c r="H1138" i="13176"/>
  <c r="H1130" i="13176"/>
  <c r="H1135" i="13176"/>
  <c r="H1156" i="13176"/>
  <c r="H1146" i="13176"/>
  <c r="H1134" i="13176"/>
  <c r="H1126" i="13176"/>
  <c r="H1107" i="13176"/>
  <c r="H1099" i="13176"/>
  <c r="H1127" i="13176"/>
  <c r="H1118" i="13176"/>
  <c r="H1122" i="13176"/>
  <c r="H1151" i="13176"/>
  <c r="H1116" i="13176"/>
  <c r="H1108" i="13176"/>
  <c r="H1123" i="13176"/>
  <c r="H1131" i="13176"/>
  <c r="H1113" i="13176"/>
  <c r="H1100" i="13176"/>
  <c r="H1080" i="13176"/>
  <c r="H1095" i="13176"/>
  <c r="H1109" i="13176"/>
  <c r="H1096" i="13176"/>
  <c r="H1089" i="13176"/>
  <c r="H1076" i="13176"/>
  <c r="H1092" i="13176"/>
  <c r="H1081" i="13176"/>
  <c r="H1071" i="13176"/>
  <c r="H1063" i="13176"/>
  <c r="H1105" i="13176"/>
  <c r="H1073" i="13176"/>
  <c r="H1085" i="13176"/>
  <c r="H1139" i="13176"/>
  <c r="H1067" i="13176"/>
  <c r="H1084" i="13176"/>
  <c r="H1110" i="13176"/>
  <c r="H1103" i="13176"/>
  <c r="H1072" i="13176"/>
  <c r="H1050" i="13176"/>
  <c r="H1064" i="13176"/>
  <c r="H1051" i="13176"/>
  <c r="H1042" i="13176"/>
  <c r="H1069" i="13176"/>
  <c r="H1041" i="13176"/>
  <c r="H1033" i="13176"/>
  <c r="H1055" i="13176"/>
  <c r="H1046" i="13176"/>
  <c r="H1061" i="13176"/>
  <c r="H1052" i="13176"/>
  <c r="H1059" i="13176"/>
  <c r="H1030" i="13176"/>
  <c r="H1010" i="13176"/>
  <c r="H1025" i="13176"/>
  <c r="H1038" i="13176"/>
  <c r="H1034" i="13176"/>
  <c r="H1021" i="13176"/>
  <c r="H1019" i="13176"/>
  <c r="H1017" i="13176"/>
  <c r="H1009" i="13176"/>
  <c r="H1022" i="13176"/>
  <c r="H1014" i="13176"/>
  <c r="H1011" i="13176"/>
  <c r="H1023" i="13176"/>
  <c r="H1001" i="13176"/>
  <c r="H1026" i="13176"/>
  <c r="H993" i="13176"/>
  <c r="H990" i="13176"/>
  <c r="H982" i="13176"/>
  <c r="H1004" i="13176"/>
  <c r="H995" i="13176"/>
  <c r="H987" i="13176"/>
  <c r="H1043" i="13176"/>
  <c r="H1006" i="13176"/>
  <c r="H992" i="13176"/>
  <c r="H984" i="13176"/>
  <c r="H998" i="13176"/>
  <c r="H965" i="13176"/>
  <c r="H979" i="13176"/>
  <c r="H985" i="13176"/>
  <c r="H973" i="13176"/>
  <c r="H974" i="13176"/>
  <c r="H969" i="13176"/>
  <c r="H999" i="13176"/>
  <c r="H1012" i="13176"/>
  <c r="H966" i="13176"/>
  <c r="H977" i="13176"/>
  <c r="H976" i="13176"/>
  <c r="H955" i="13176"/>
  <c r="H952" i="13176"/>
  <c r="H971" i="13176"/>
  <c r="H963" i="13176"/>
  <c r="H948" i="13176"/>
  <c r="H961" i="13176"/>
  <c r="H957" i="13176"/>
  <c r="H947" i="13176"/>
  <c r="H967" i="13176"/>
  <c r="H944" i="13176"/>
  <c r="H936" i="13176"/>
  <c r="H928" i="13176"/>
  <c r="H951" i="13176"/>
  <c r="H950" i="13176"/>
  <c r="H925" i="13176"/>
  <c r="H923" i="13176"/>
  <c r="H915" i="13176"/>
  <c r="H870" i="13176"/>
  <c r="H949" i="13176"/>
  <c r="H920" i="13176"/>
  <c r="H939" i="13176"/>
  <c r="H906" i="13176"/>
  <c r="H898" i="13176"/>
  <c r="H890" i="13176"/>
  <c r="H882" i="13176"/>
  <c r="H874" i="13176"/>
  <c r="H903" i="13176"/>
  <c r="H895" i="13176"/>
  <c r="H887" i="13176"/>
  <c r="H941" i="13176"/>
  <c r="H909" i="13176"/>
  <c r="H933" i="13176"/>
  <c r="H931" i="13176"/>
  <c r="H900" i="13176"/>
  <c r="H892" i="13176"/>
  <c r="H884" i="13176"/>
  <c r="H868" i="13176"/>
  <c r="H879" i="13176"/>
  <c r="H849" i="13176"/>
  <c r="H841" i="13176"/>
  <c r="H911" i="13176"/>
  <c r="H872" i="13176"/>
  <c r="H871" i="13176"/>
  <c r="H864" i="13176"/>
  <c r="H856" i="13176"/>
  <c r="H848" i="13176"/>
  <c r="H840" i="13176"/>
  <c r="H867" i="13176"/>
  <c r="H861" i="13176"/>
  <c r="H853" i="13176"/>
  <c r="H845" i="13176"/>
  <c r="H876" i="13176"/>
  <c r="H850" i="13176"/>
  <c r="H784" i="13176"/>
  <c r="H813" i="13176"/>
  <c r="H805" i="13176"/>
  <c r="H797" i="13176"/>
  <c r="H858" i="13176"/>
  <c r="H837" i="13176"/>
  <c r="H832" i="13176"/>
  <c r="H842" i="13176"/>
  <c r="H824" i="13176"/>
  <c r="H820" i="13176"/>
  <c r="H812" i="13176"/>
  <c r="H804" i="13176"/>
  <c r="H796" i="13176"/>
  <c r="H788" i="13176"/>
  <c r="H866" i="13176"/>
  <c r="H827" i="13176"/>
  <c r="H817" i="13176"/>
  <c r="H809" i="13176"/>
  <c r="H801" i="13176"/>
  <c r="H793" i="13176"/>
  <c r="H779" i="13176"/>
  <c r="H771" i="13176"/>
  <c r="H763" i="13176"/>
  <c r="H755" i="13176"/>
  <c r="H814" i="13176"/>
  <c r="H789" i="13176"/>
  <c r="H773" i="13176"/>
  <c r="H765" i="13176"/>
  <c r="H757" i="13176"/>
  <c r="H749" i="13176"/>
  <c r="H741" i="13176"/>
  <c r="H798" i="13176"/>
  <c r="H785" i="13176"/>
  <c r="H746" i="13176"/>
  <c r="H822" i="13176"/>
  <c r="H790" i="13176"/>
  <c r="H833" i="13176"/>
  <c r="H780" i="13176"/>
  <c r="H806" i="13176"/>
  <c r="H786" i="13176"/>
  <c r="H777" i="13176"/>
  <c r="H769" i="13176"/>
  <c r="H761" i="13176"/>
  <c r="H753" i="13176"/>
  <c r="H745" i="13176"/>
  <c r="H774" i="13176"/>
  <c r="H766" i="13176"/>
  <c r="H758" i="13176"/>
  <c r="H750" i="13176"/>
  <c r="H742" i="13176"/>
  <c r="H747" i="13176"/>
  <c r="H735" i="13176"/>
  <c r="H727" i="13176"/>
  <c r="H719" i="13176"/>
  <c r="H711" i="13176"/>
  <c r="H732" i="13176"/>
  <c r="H724" i="13176"/>
  <c r="H716" i="13176"/>
  <c r="H708" i="13176"/>
  <c r="H729" i="13176"/>
  <c r="H721" i="13176"/>
  <c r="H734" i="13176"/>
  <c r="H726" i="13176"/>
  <c r="H718" i="13176"/>
  <c r="H710" i="13176"/>
  <c r="H702" i="13176"/>
  <c r="H731" i="13176"/>
  <c r="H723" i="13176"/>
  <c r="H715" i="13176"/>
  <c r="H707" i="13176"/>
  <c r="H696" i="13176"/>
  <c r="H694" i="13176"/>
  <c r="H689" i="13176"/>
  <c r="H681" i="13176"/>
  <c r="H673" i="13176"/>
  <c r="H704" i="13176"/>
  <c r="H691" i="13176"/>
  <c r="H683" i="13176"/>
  <c r="H675" i="13176"/>
  <c r="H699" i="13176"/>
  <c r="H703" i="13176"/>
  <c r="H688" i="13176"/>
  <c r="H680" i="13176"/>
  <c r="H672" i="13176"/>
  <c r="H664" i="13176"/>
  <c r="H685" i="13176"/>
  <c r="H677" i="13176"/>
  <c r="H669" i="13176"/>
  <c r="H695" i="13176"/>
  <c r="H646" i="13176"/>
  <c r="H638" i="13176"/>
  <c r="H630" i="13176"/>
  <c r="H651" i="13176"/>
  <c r="H643" i="13176"/>
  <c r="H635" i="13176"/>
  <c r="H656" i="13176"/>
  <c r="H648" i="13176"/>
  <c r="H640" i="13176"/>
  <c r="H667" i="13176"/>
  <c r="H665" i="13176"/>
  <c r="H658" i="13176"/>
  <c r="H655" i="13176"/>
  <c r="H647" i="13176"/>
  <c r="H639" i="13176"/>
  <c r="H662" i="13176"/>
  <c r="H661" i="13176"/>
  <c r="H652" i="13176"/>
  <c r="H627" i="13176"/>
  <c r="H636" i="13176"/>
  <c r="H624" i="13176"/>
  <c r="H631" i="13176"/>
  <c r="H621" i="13176"/>
  <c r="H608" i="13176"/>
  <c r="H644" i="13176"/>
  <c r="H613" i="13176"/>
  <c r="H632" i="13176"/>
  <c r="H619" i="13176"/>
  <c r="H610" i="13176"/>
  <c r="H615" i="13176"/>
  <c r="H600" i="13176"/>
  <c r="H604" i="13176"/>
  <c r="H601" i="13176"/>
  <c r="H605" i="13176"/>
  <c r="H585" i="13176"/>
  <c r="H603" i="13176"/>
  <c r="H606" i="13176"/>
  <c r="H602" i="13176"/>
  <c r="H548" i="13176"/>
  <c r="H599" i="13176"/>
  <c r="H556" i="13176"/>
  <c r="H546" i="13176"/>
  <c r="H552" i="13176"/>
  <c r="H598" i="13176"/>
  <c r="H550" i="13176"/>
  <c r="H559" i="13176"/>
  <c r="H516" i="13176"/>
  <c r="H547" i="13176"/>
  <c r="H537" i="13176"/>
  <c r="H502" i="13176"/>
  <c r="H491" i="13176"/>
  <c r="H521" i="13176"/>
  <c r="H517" i="13176"/>
  <c r="H510" i="13176"/>
  <c r="H503" i="13176"/>
  <c r="H529" i="13176"/>
  <c r="X1202" i="13176"/>
  <c r="X1215" i="13176"/>
  <c r="X1207" i="13176"/>
  <c r="X1182" i="13176"/>
  <c r="X1168" i="13176"/>
  <c r="X1191" i="13176"/>
  <c r="X1185" i="13176"/>
  <c r="X1177" i="13176"/>
  <c r="X1184" i="13176"/>
  <c r="X1169" i="13176"/>
  <c r="X1160" i="13176"/>
  <c r="X1171" i="13176"/>
  <c r="X1174" i="13176"/>
  <c r="X1210" i="13176"/>
  <c r="X1166" i="13176"/>
  <c r="X1161" i="13176"/>
  <c r="X1154" i="13176"/>
  <c r="X1153" i="13176"/>
  <c r="X1138" i="13176"/>
  <c r="X1130" i="13176"/>
  <c r="X1145" i="13176"/>
  <c r="X1135" i="13176"/>
  <c r="X1163" i="13176"/>
  <c r="X1134" i="13176"/>
  <c r="X1146" i="13176"/>
  <c r="X1139" i="13176"/>
  <c r="X1131" i="13176"/>
  <c r="X1123" i="13176"/>
  <c r="X1112" i="13176"/>
  <c r="X1118" i="13176"/>
  <c r="X1136" i="13176"/>
  <c r="X1126" i="13176"/>
  <c r="X1122" i="13176"/>
  <c r="X1127" i="13176"/>
  <c r="X1116" i="13176"/>
  <c r="X1113" i="13176"/>
  <c r="X1105" i="13176"/>
  <c r="X1080" i="13176"/>
  <c r="X1100" i="13176"/>
  <c r="X1108" i="13176"/>
  <c r="X1092" i="13176"/>
  <c r="X1084" i="13176"/>
  <c r="X1104" i="13176"/>
  <c r="X1095" i="13176"/>
  <c r="X1072" i="13176"/>
  <c r="X1071" i="13176"/>
  <c r="X1063" i="13176"/>
  <c r="X1089" i="13176"/>
  <c r="X1076" i="13176"/>
  <c r="X1077" i="13176"/>
  <c r="X1073" i="13176"/>
  <c r="X1067" i="13176"/>
  <c r="X1094" i="13176"/>
  <c r="X1081" i="13176"/>
  <c r="X1078" i="13176"/>
  <c r="X1055" i="13176"/>
  <c r="X1045" i="13176"/>
  <c r="X1037" i="13176"/>
  <c r="X1059" i="13176"/>
  <c r="X1051" i="13176"/>
  <c r="X1041" i="13176"/>
  <c r="X1046" i="13176"/>
  <c r="X1038" i="13176"/>
  <c r="X1033" i="13176"/>
  <c r="X1029" i="13176"/>
  <c r="X1030" i="13176"/>
  <c r="X1017" i="13176"/>
  <c r="X1009" i="13176"/>
  <c r="X1025" i="13176"/>
  <c r="X997" i="13176"/>
  <c r="X989" i="13176"/>
  <c r="X1014" i="13176"/>
  <c r="X991" i="13176"/>
  <c r="X983" i="13176"/>
  <c r="X1006" i="13176"/>
  <c r="X1001" i="13176"/>
  <c r="X1011" i="13176"/>
  <c r="X1003" i="13176"/>
  <c r="X990" i="13176"/>
  <c r="X995" i="13176"/>
  <c r="X987" i="13176"/>
  <c r="X982" i="13176"/>
  <c r="X984" i="13176"/>
  <c r="X979" i="13176"/>
  <c r="X974" i="13176"/>
  <c r="X992" i="13176"/>
  <c r="X947" i="13176"/>
  <c r="X939" i="13176"/>
  <c r="X931" i="13176"/>
  <c r="X923" i="13176"/>
  <c r="X915" i="13176"/>
  <c r="X944" i="13176"/>
  <c r="X936" i="13176"/>
  <c r="X902" i="13176"/>
  <c r="X894" i="13176"/>
  <c r="X906" i="13176"/>
  <c r="X898" i="13176"/>
  <c r="X890" i="13176"/>
  <c r="X882" i="13176"/>
  <c r="X874" i="13176"/>
  <c r="X903" i="13176"/>
  <c r="X895" i="13176"/>
  <c r="X887" i="13176"/>
  <c r="X879" i="13176"/>
  <c r="X884" i="13176"/>
  <c r="X912" i="13176"/>
  <c r="X871" i="13176"/>
  <c r="X892" i="13176"/>
  <c r="X868" i="13176"/>
  <c r="X876" i="13176"/>
  <c r="X864" i="13176"/>
  <c r="X856" i="13176"/>
  <c r="X848" i="13176"/>
  <c r="X840" i="13176"/>
  <c r="X832" i="13176"/>
  <c r="X900" i="13176"/>
  <c r="X861" i="13176"/>
  <c r="X853" i="13176"/>
  <c r="X845" i="13176"/>
  <c r="X837" i="13176"/>
  <c r="X824" i="13176"/>
  <c r="X818" i="13176"/>
  <c r="X830" i="13176"/>
  <c r="X820" i="13176"/>
  <c r="X812" i="13176"/>
  <c r="X804" i="13176"/>
  <c r="X796" i="13176"/>
  <c r="X788" i="13176"/>
  <c r="X829" i="13176"/>
  <c r="X817" i="13176"/>
  <c r="X809" i="13176"/>
  <c r="X801" i="13176"/>
  <c r="X793" i="13176"/>
  <c r="X779" i="13176"/>
  <c r="X778" i="13176"/>
  <c r="X770" i="13176"/>
  <c r="X762" i="13176"/>
  <c r="X754" i="13176"/>
  <c r="X780" i="13176"/>
  <c r="X772" i="13176"/>
  <c r="X764" i="13176"/>
  <c r="X777" i="13176"/>
  <c r="X769" i="13176"/>
  <c r="X761" i="13176"/>
  <c r="X753" i="13176"/>
  <c r="X745" i="13176"/>
  <c r="X774" i="13176"/>
  <c r="X758" i="13176"/>
  <c r="X756" i="13176"/>
  <c r="X737" i="13176"/>
  <c r="X742" i="13176"/>
  <c r="X766" i="13176"/>
  <c r="X750" i="13176"/>
  <c r="X729" i="13176"/>
  <c r="X721" i="13176"/>
  <c r="X785" i="13176"/>
  <c r="X734" i="13176"/>
  <c r="X726" i="13176"/>
  <c r="X718" i="13176"/>
  <c r="X710" i="13176"/>
  <c r="X715" i="13176"/>
  <c r="X713" i="13176"/>
  <c r="X690" i="13176"/>
  <c r="X682" i="13176"/>
  <c r="X674" i="13176"/>
  <c r="X723" i="13176"/>
  <c r="X707" i="13176"/>
  <c r="X699" i="13176"/>
  <c r="X689" i="13176"/>
  <c r="X681" i="13176"/>
  <c r="X673" i="13176"/>
  <c r="X731" i="13176"/>
  <c r="X694" i="13176"/>
  <c r="X691" i="13176"/>
  <c r="X683" i="13176"/>
  <c r="X675" i="13176"/>
  <c r="X667" i="13176"/>
  <c r="X685" i="13176"/>
  <c r="X680" i="13176"/>
  <c r="X677" i="13176"/>
  <c r="X666" i="13176"/>
  <c r="X661" i="13176"/>
  <c r="X669" i="13176"/>
  <c r="X688" i="13176"/>
  <c r="X672" i="13176"/>
  <c r="X664" i="13176"/>
  <c r="X658" i="13176"/>
  <c r="X655" i="13176"/>
  <c r="X647" i="13176"/>
  <c r="X639" i="13176"/>
  <c r="X631" i="13176"/>
  <c r="X614" i="13176"/>
  <c r="X618" i="13176"/>
  <c r="X623" i="13176"/>
  <c r="X613" i="13176"/>
  <c r="X610" i="13176"/>
  <c r="X607" i="13176"/>
  <c r="X548" i="13176"/>
  <c r="X591" i="13176"/>
  <c r="X546" i="13176"/>
  <c r="X532" i="13176"/>
  <c r="X520" i="13176"/>
  <c r="X503" i="13176"/>
  <c r="X521" i="13176"/>
  <c r="X523" i="13176"/>
  <c r="X516" i="13176"/>
  <c r="AN1215" i="13176"/>
  <c r="AN1207" i="13176"/>
  <c r="AN1202" i="13176"/>
  <c r="AN1210" i="13176"/>
  <c r="AN1185" i="13176"/>
  <c r="AN1168" i="13176"/>
  <c r="AN1184" i="13176"/>
  <c r="AN1182" i="13176"/>
  <c r="AN1177" i="13176"/>
  <c r="AN1169" i="13176"/>
  <c r="AN1171" i="13176"/>
  <c r="AN1174" i="13176"/>
  <c r="AN1161" i="13176"/>
  <c r="AN1163" i="13176"/>
  <c r="AN1180" i="13176"/>
  <c r="AN1160" i="13176"/>
  <c r="AN1166" i="13176"/>
  <c r="AN1159" i="13176"/>
  <c r="AN1154" i="13176"/>
  <c r="AN1146" i="13176"/>
  <c r="AN1138" i="13176"/>
  <c r="AN1130" i="13176"/>
  <c r="AN1135" i="13176"/>
  <c r="AN1145" i="13176"/>
  <c r="AN1134" i="13176"/>
  <c r="AN1143" i="13176"/>
  <c r="AN1139" i="13176"/>
  <c r="AN1131" i="13176"/>
  <c r="AN1153" i="13176"/>
  <c r="AN1127" i="13176"/>
  <c r="AN1112" i="13176"/>
  <c r="AN1136" i="13176"/>
  <c r="AN1123" i="13176"/>
  <c r="AN1118" i="13176"/>
  <c r="AN1128" i="13176"/>
  <c r="AN1122" i="13176"/>
  <c r="AN1116" i="13176"/>
  <c r="AN1113" i="13176"/>
  <c r="AN1105" i="13176"/>
  <c r="AN1108" i="13176"/>
  <c r="AN1096" i="13176"/>
  <c r="AN1080" i="13176"/>
  <c r="AN1104" i="13176"/>
  <c r="AN1092" i="13176"/>
  <c r="AN1084" i="13176"/>
  <c r="AN1073" i="13176"/>
  <c r="AN1089" i="13176"/>
  <c r="AN1071" i="13176"/>
  <c r="AN1063" i="13176"/>
  <c r="AN1126" i="13176"/>
  <c r="AN1081" i="13176"/>
  <c r="AN1072" i="13176"/>
  <c r="AN1086" i="13176"/>
  <c r="AN1085" i="13176"/>
  <c r="AN1067" i="13176"/>
  <c r="AN1059" i="13176"/>
  <c r="AN1045" i="13176"/>
  <c r="AN1037" i="13176"/>
  <c r="AN1100" i="13176"/>
  <c r="AN1055" i="13176"/>
  <c r="AN1076" i="13176"/>
  <c r="AN1054" i="13176"/>
  <c r="AN1041" i="13176"/>
  <c r="AN1051" i="13176"/>
  <c r="AN1046" i="13176"/>
  <c r="AN1038" i="13176"/>
  <c r="AN1030" i="13176"/>
  <c r="AN1025" i="13176"/>
  <c r="AN1022" i="13176"/>
  <c r="AN1009" i="13176"/>
  <c r="AN1017" i="13176"/>
  <c r="AN1029" i="13176"/>
  <c r="AN989" i="13176"/>
  <c r="AN1014" i="13176"/>
  <c r="AN1011" i="13176"/>
  <c r="AN991" i="13176"/>
  <c r="AN983" i="13176"/>
  <c r="AN1033" i="13176"/>
  <c r="AN1001" i="13176"/>
  <c r="AN990" i="13176"/>
  <c r="AN1003" i="13176"/>
  <c r="AN995" i="13176"/>
  <c r="AN987" i="13176"/>
  <c r="AN1006" i="13176"/>
  <c r="AN974" i="13176"/>
  <c r="AN982" i="13176"/>
  <c r="AN979" i="13176"/>
  <c r="AN984" i="13176"/>
  <c r="AN975" i="13176"/>
  <c r="AN976" i="13176"/>
  <c r="AN992" i="13176"/>
  <c r="AN947" i="13176"/>
  <c r="AN939" i="13176"/>
  <c r="AN931" i="13176"/>
  <c r="AN923" i="13176"/>
  <c r="AN915" i="13176"/>
  <c r="AN944" i="13176"/>
  <c r="AN936" i="13176"/>
  <c r="AN906" i="13176"/>
  <c r="AN898" i="13176"/>
  <c r="AN890" i="13176"/>
  <c r="AN882" i="13176"/>
  <c r="AN874" i="13176"/>
  <c r="AN903" i="13176"/>
  <c r="AN895" i="13176"/>
  <c r="AN887" i="13176"/>
  <c r="AN879" i="13176"/>
  <c r="AN910" i="13176"/>
  <c r="AN884" i="13176"/>
  <c r="AN871" i="13176"/>
  <c r="AN868" i="13176"/>
  <c r="AN892" i="13176"/>
  <c r="AN876" i="13176"/>
  <c r="AN900" i="13176"/>
  <c r="AN864" i="13176"/>
  <c r="AN856" i="13176"/>
  <c r="AN848" i="13176"/>
  <c r="AN840" i="13176"/>
  <c r="AN832" i="13176"/>
  <c r="AN861" i="13176"/>
  <c r="AN853" i="13176"/>
  <c r="AN845" i="13176"/>
  <c r="AN837" i="13176"/>
  <c r="AN818" i="13176"/>
  <c r="AN820" i="13176"/>
  <c r="AN812" i="13176"/>
  <c r="AN804" i="13176"/>
  <c r="AN796" i="13176"/>
  <c r="AN788" i="13176"/>
  <c r="AN817" i="13176"/>
  <c r="AN809" i="13176"/>
  <c r="AN801" i="13176"/>
  <c r="AN793" i="13176"/>
  <c r="AN779" i="13176"/>
  <c r="AN785" i="13176"/>
  <c r="AN778" i="13176"/>
  <c r="AN770" i="13176"/>
  <c r="AN762" i="13176"/>
  <c r="AN772" i="13176"/>
  <c r="AN764" i="13176"/>
  <c r="AN780" i="13176"/>
  <c r="AN777" i="13176"/>
  <c r="AN769" i="13176"/>
  <c r="AN761" i="13176"/>
  <c r="AN753" i="13176"/>
  <c r="AN745" i="13176"/>
  <c r="AN758" i="13176"/>
  <c r="AN756" i="13176"/>
  <c r="AN742" i="13176"/>
  <c r="AN750" i="13176"/>
  <c r="AN766" i="13176"/>
  <c r="AN737" i="13176"/>
  <c r="AN729" i="13176"/>
  <c r="AN721" i="13176"/>
  <c r="AN734" i="13176"/>
  <c r="AN726" i="13176"/>
  <c r="AN718" i="13176"/>
  <c r="AN710" i="13176"/>
  <c r="AN690" i="13176"/>
  <c r="AN682" i="13176"/>
  <c r="AN674" i="13176"/>
  <c r="AN723" i="13176"/>
  <c r="AN748" i="13176"/>
  <c r="AN707" i="13176"/>
  <c r="AN774" i="13176"/>
  <c r="AN681" i="13176"/>
  <c r="AN731" i="13176"/>
  <c r="AN693" i="13176"/>
  <c r="AN691" i="13176"/>
  <c r="AN683" i="13176"/>
  <c r="AN675" i="13176"/>
  <c r="AN667" i="13176"/>
  <c r="AN740" i="13176"/>
  <c r="AN699" i="13176"/>
  <c r="AN715" i="13176"/>
  <c r="AN713" i="13176"/>
  <c r="AN694" i="13176"/>
  <c r="AN685" i="13176"/>
  <c r="AN666" i="13176"/>
  <c r="AN680" i="13176"/>
  <c r="AN677" i="13176"/>
  <c r="AN669" i="13176"/>
  <c r="AN672" i="13176"/>
  <c r="AN664" i="13176"/>
  <c r="AN688" i="13176"/>
  <c r="AN661" i="13176"/>
  <c r="AN658" i="13176"/>
  <c r="AN655" i="13176"/>
  <c r="AN647" i="13176"/>
  <c r="AN639" i="13176"/>
  <c r="AN631" i="13176"/>
  <c r="AN614" i="13176"/>
  <c r="AN616" i="13176"/>
  <c r="AN613" i="13176"/>
  <c r="AN618" i="13176"/>
  <c r="AN610" i="13176"/>
  <c r="AN607" i="13176"/>
  <c r="AN623" i="13176"/>
  <c r="AN548" i="13176"/>
  <c r="AN546" i="13176"/>
  <c r="AN516" i="13176"/>
  <c r="AN540" i="13176"/>
  <c r="AN521" i="13176"/>
  <c r="AN522" i="13176"/>
  <c r="AN520" i="13176"/>
  <c r="AN517" i="13176"/>
  <c r="AN485" i="13176"/>
  <c r="AN488" i="13176"/>
  <c r="AN489" i="13176"/>
  <c r="AN497" i="13176"/>
  <c r="BD1209" i="13176"/>
  <c r="BD1210" i="13176"/>
  <c r="BD1202" i="13176"/>
  <c r="BD1201" i="13176"/>
  <c r="BD1168" i="13176"/>
  <c r="BD1199" i="13176"/>
  <c r="BD1176" i="13176"/>
  <c r="BD1182" i="13176"/>
  <c r="BD1153" i="13176"/>
  <c r="BD1185" i="13176"/>
  <c r="BD1166" i="13176"/>
  <c r="BD1177" i="13176"/>
  <c r="BD1193" i="13176"/>
  <c r="BD1169" i="13176"/>
  <c r="BD1161" i="13176"/>
  <c r="BD1138" i="13176"/>
  <c r="BD1146" i="13176"/>
  <c r="BD1135" i="13176"/>
  <c r="BD1154" i="13176"/>
  <c r="BD1160" i="13176"/>
  <c r="BD1174" i="13176"/>
  <c r="BD1151" i="13176"/>
  <c r="BD1145" i="13176"/>
  <c r="BD1139" i="13176"/>
  <c r="BD1131" i="13176"/>
  <c r="BD1130" i="13176"/>
  <c r="BD1122" i="13176"/>
  <c r="BD1115" i="13176"/>
  <c r="BD1107" i="13176"/>
  <c r="BD1134" i="13176"/>
  <c r="BD1126" i="13176"/>
  <c r="BD1118" i="13176"/>
  <c r="BD1121" i="13176"/>
  <c r="BD1127" i="13176"/>
  <c r="BD1123" i="13176"/>
  <c r="BD1116" i="13176"/>
  <c r="BD1119" i="13176"/>
  <c r="BD1112" i="13176"/>
  <c r="BD1104" i="13176"/>
  <c r="BD1096" i="13176"/>
  <c r="BD1099" i="13176"/>
  <c r="BD1113" i="13176"/>
  <c r="BD1092" i="13176"/>
  <c r="BD1105" i="13176"/>
  <c r="BD1089" i="13176"/>
  <c r="BD1081" i="13176"/>
  <c r="BD1088" i="13176"/>
  <c r="BD1108" i="13176"/>
  <c r="BD1087" i="13176"/>
  <c r="BD1063" i="13176"/>
  <c r="BD1076" i="13176"/>
  <c r="BD1073" i="13176"/>
  <c r="BD1071" i="13176"/>
  <c r="BD1080" i="13176"/>
  <c r="BD1084" i="13176"/>
  <c r="BD1072" i="13176"/>
  <c r="BD1100" i="13176"/>
  <c r="BD1055" i="13176"/>
  <c r="BD1067" i="13176"/>
  <c r="BD1051" i="13176"/>
  <c r="BD1058" i="13176"/>
  <c r="BD1045" i="13176"/>
  <c r="BD1050" i="13176"/>
  <c r="BD1064" i="13176"/>
  <c r="BD1052" i="13176"/>
  <c r="BD1025" i="13176"/>
  <c r="BD1046" i="13176"/>
  <c r="BD1022" i="13176"/>
  <c r="BD1030" i="13176"/>
  <c r="BD1056" i="13176"/>
  <c r="BD1041" i="13176"/>
  <c r="BD1033" i="13176"/>
  <c r="BD1037" i="13176"/>
  <c r="BD1009" i="13176"/>
  <c r="BD1038" i="13176"/>
  <c r="BD1014" i="13176"/>
  <c r="BD1001" i="13176"/>
  <c r="BD1026" i="13176"/>
  <c r="BD989" i="13176"/>
  <c r="BD981" i="13176"/>
  <c r="BD1019" i="13176"/>
  <c r="BD1015" i="13176"/>
  <c r="BD997" i="13176"/>
  <c r="BD998" i="13176"/>
  <c r="BD1059" i="13176"/>
  <c r="BD1018" i="13176"/>
  <c r="BD1006" i="13176"/>
  <c r="BD1000" i="13176"/>
  <c r="BD990" i="13176"/>
  <c r="BD982" i="13176"/>
  <c r="BD1017" i="13176"/>
  <c r="BD1020" i="13176"/>
  <c r="BD995" i="13176"/>
  <c r="BD987" i="13176"/>
  <c r="BD979" i="13176"/>
  <c r="BD973" i="13176"/>
  <c r="BD965" i="13176"/>
  <c r="BD974" i="13176"/>
  <c r="BD922" i="13176"/>
  <c r="BD943" i="13176"/>
  <c r="BD935" i="13176"/>
  <c r="BD927" i="13176"/>
  <c r="BD961" i="13176"/>
  <c r="BD957" i="13176"/>
  <c r="BD955" i="13176"/>
  <c r="BD960" i="13176"/>
  <c r="BD947" i="13176"/>
  <c r="BD939" i="13176"/>
  <c r="BD931" i="13176"/>
  <c r="BD923" i="13176"/>
  <c r="BD958" i="13176"/>
  <c r="BD915" i="13176"/>
  <c r="BD928" i="13176"/>
  <c r="BD966" i="13176"/>
  <c r="BD875" i="13176"/>
  <c r="BD914" i="13176"/>
  <c r="BD919" i="13176"/>
  <c r="BD944" i="13176"/>
  <c r="BD920" i="13176"/>
  <c r="BD909" i="13176"/>
  <c r="BD907" i="13176"/>
  <c r="BD906" i="13176"/>
  <c r="BD898" i="13176"/>
  <c r="BD890" i="13176"/>
  <c r="BD882" i="13176"/>
  <c r="BD903" i="13176"/>
  <c r="BD895" i="13176"/>
  <c r="BD887" i="13176"/>
  <c r="BD879" i="13176"/>
  <c r="BD936" i="13176"/>
  <c r="BD911" i="13176"/>
  <c r="BD836" i="13176"/>
  <c r="BD865" i="13176"/>
  <c r="BD857" i="13176"/>
  <c r="BD849" i="13176"/>
  <c r="BD841" i="13176"/>
  <c r="BD867" i="13176"/>
  <c r="BD871" i="13176"/>
  <c r="BD913" i="13176"/>
  <c r="BD874" i="13176"/>
  <c r="BD864" i="13176"/>
  <c r="BD856" i="13176"/>
  <c r="BD848" i="13176"/>
  <c r="BD840" i="13176"/>
  <c r="BD833" i="13176"/>
  <c r="BD837" i="13176"/>
  <c r="BD861" i="13176"/>
  <c r="BD832" i="13176"/>
  <c r="BD816" i="13176"/>
  <c r="BD808" i="13176"/>
  <c r="BD800" i="13176"/>
  <c r="BD792" i="13176"/>
  <c r="BD813" i="13176"/>
  <c r="BD805" i="13176"/>
  <c r="BD797" i="13176"/>
  <c r="BD789" i="13176"/>
  <c r="BD845" i="13176"/>
  <c r="BD830" i="13176"/>
  <c r="BD828" i="13176"/>
  <c r="BD824" i="13176"/>
  <c r="BD820" i="13176"/>
  <c r="BD812" i="13176"/>
  <c r="BD804" i="13176"/>
  <c r="BD796" i="13176"/>
  <c r="BD853" i="13176"/>
  <c r="BD785" i="13176"/>
  <c r="BD766" i="13176"/>
  <c r="BD758" i="13176"/>
  <c r="BD801" i="13176"/>
  <c r="BD788" i="13176"/>
  <c r="BD757" i="13176"/>
  <c r="BD749" i="13176"/>
  <c r="BD783" i="13176"/>
  <c r="BD770" i="13176"/>
  <c r="BD762" i="13176"/>
  <c r="BD754" i="13176"/>
  <c r="BD746" i="13176"/>
  <c r="BD809" i="13176"/>
  <c r="BD784" i="13176"/>
  <c r="BD793" i="13176"/>
  <c r="BD777" i="13176"/>
  <c r="BD769" i="13176"/>
  <c r="BD761" i="13176"/>
  <c r="BD753" i="13176"/>
  <c r="BD715" i="13176"/>
  <c r="BD745" i="13176"/>
  <c r="BD750" i="13176"/>
  <c r="BD741" i="13176"/>
  <c r="BD730" i="13176"/>
  <c r="BD722" i="13176"/>
  <c r="BD714" i="13176"/>
  <c r="BD706" i="13176"/>
  <c r="BD735" i="13176"/>
  <c r="BD727" i="13176"/>
  <c r="BD719" i="13176"/>
  <c r="BD711" i="13176"/>
  <c r="BD827" i="13176"/>
  <c r="BD742" i="13176"/>
  <c r="BD729" i="13176"/>
  <c r="BD721" i="13176"/>
  <c r="BD713" i="13176"/>
  <c r="BD734" i="13176"/>
  <c r="BD726" i="13176"/>
  <c r="BD718" i="13176"/>
  <c r="BD710" i="13176"/>
  <c r="BD698" i="13176"/>
  <c r="BD702" i="13176"/>
  <c r="BD699" i="13176"/>
  <c r="BD673" i="13176"/>
  <c r="BD665" i="13176"/>
  <c r="BD686" i="13176"/>
  <c r="BD678" i="13176"/>
  <c r="BD817" i="13176"/>
  <c r="BD683" i="13176"/>
  <c r="BD675" i="13176"/>
  <c r="BD667" i="13176"/>
  <c r="BD688" i="13176"/>
  <c r="BD680" i="13176"/>
  <c r="BD672" i="13176"/>
  <c r="BD670" i="13176"/>
  <c r="BD692" i="13176"/>
  <c r="BD654" i="13176"/>
  <c r="BD646" i="13176"/>
  <c r="BD638" i="13176"/>
  <c r="BD630" i="13176"/>
  <c r="BD691" i="13176"/>
  <c r="BD659" i="13176"/>
  <c r="BD651" i="13176"/>
  <c r="BD643" i="13176"/>
  <c r="BD635" i="13176"/>
  <c r="BD703" i="13176"/>
  <c r="BD693" i="13176"/>
  <c r="BD650" i="13176"/>
  <c r="BD642" i="13176"/>
  <c r="BD634" i="13176"/>
  <c r="BD639" i="13176"/>
  <c r="BD626" i="13176"/>
  <c r="BD664" i="13176"/>
  <c r="BD627" i="13176"/>
  <c r="BD647" i="13176"/>
  <c r="BD623" i="13176"/>
  <c r="BD615" i="13176"/>
  <c r="BD611" i="13176"/>
  <c r="BD613" i="13176"/>
  <c r="BD655" i="13176"/>
  <c r="BD610" i="13176"/>
  <c r="BD601" i="13176"/>
  <c r="BD616" i="13176"/>
  <c r="BD619" i="13176"/>
  <c r="BD600" i="13176"/>
  <c r="BD631" i="13176"/>
  <c r="BD586" i="13176"/>
  <c r="BD585" i="13176"/>
  <c r="BD587" i="13176"/>
  <c r="BD546" i="13176"/>
  <c r="BD592" i="13176"/>
  <c r="BD595" i="13176"/>
  <c r="BD553" i="13176"/>
  <c r="BD521" i="13176"/>
  <c r="BD540" i="13176"/>
  <c r="BD529" i="13176"/>
  <c r="BD591" i="13176"/>
  <c r="BD526" i="13176"/>
  <c r="BD516" i="13176"/>
  <c r="BD537" i="13176"/>
  <c r="BD590" i="13176"/>
  <c r="BD557" i="13176"/>
  <c r="BD535" i="13176"/>
  <c r="BD503" i="13176"/>
  <c r="BD505" i="13176"/>
  <c r="BD502" i="13176"/>
  <c r="BD488" i="13176"/>
  <c r="BD538" i="13176"/>
  <c r="BD491" i="13176"/>
  <c r="BD507" i="13176"/>
  <c r="BD525" i="13176"/>
  <c r="BD510" i="13176"/>
  <c r="BD508" i="13176"/>
  <c r="BD534" i="13176"/>
  <c r="BD532" i="13176"/>
  <c r="BD536" i="13176"/>
  <c r="BD518" i="13176"/>
  <c r="BD504" i="13176"/>
  <c r="AI479" i="13176"/>
  <c r="D498" i="13176"/>
  <c r="AX500" i="13176"/>
  <c r="AJ1197" i="13176"/>
  <c r="AJ1213" i="13176"/>
  <c r="AJ1205" i="13176"/>
  <c r="AJ1187" i="13176"/>
  <c r="AJ1174" i="13176"/>
  <c r="AJ1208" i="13176"/>
  <c r="AJ1192" i="13176"/>
  <c r="AJ1182" i="13176"/>
  <c r="AJ1179" i="13176"/>
  <c r="AJ1176" i="13176"/>
  <c r="AJ1169" i="13176"/>
  <c r="AJ1172" i="13176"/>
  <c r="AJ1195" i="13176"/>
  <c r="AJ1153" i="13176"/>
  <c r="AJ1161" i="13176"/>
  <c r="AJ1159" i="13176"/>
  <c r="AJ1164" i="13176"/>
  <c r="AJ1151" i="13176"/>
  <c r="AJ1133" i="13176"/>
  <c r="AJ1138" i="13176"/>
  <c r="AJ1130" i="13176"/>
  <c r="AJ1147" i="13176"/>
  <c r="AJ1137" i="13176"/>
  <c r="AJ1143" i="13176"/>
  <c r="AJ1122" i="13176"/>
  <c r="AJ1126" i="13176"/>
  <c r="AJ1124" i="13176"/>
  <c r="AJ1115" i="13176"/>
  <c r="AJ1107" i="13176"/>
  <c r="AJ1134" i="13176"/>
  <c r="AJ1129" i="13176"/>
  <c r="AJ1121" i="13176"/>
  <c r="AJ1118" i="13176"/>
  <c r="AJ1117" i="13176"/>
  <c r="AJ1119" i="13176"/>
  <c r="AJ1095" i="13176"/>
  <c r="AJ1096" i="13176"/>
  <c r="AJ1099" i="13176"/>
  <c r="AJ1088" i="13176"/>
  <c r="AJ1080" i="13176"/>
  <c r="AJ1084" i="13176"/>
  <c r="AJ1076" i="13176"/>
  <c r="AJ1091" i="13176"/>
  <c r="AJ1083" i="13176"/>
  <c r="AJ1087" i="13176"/>
  <c r="AJ1072" i="13176"/>
  <c r="AJ1092" i="13176"/>
  <c r="AJ1106" i="13176"/>
  <c r="AJ1082" i="13176"/>
  <c r="AJ1052" i="13176"/>
  <c r="AJ1050" i="13176"/>
  <c r="AJ1049" i="13176"/>
  <c r="AJ1016" i="13176"/>
  <c r="AJ1008" i="13176"/>
  <c r="AJ1015" i="13176"/>
  <c r="AJ989" i="13176"/>
  <c r="AJ981" i="13176"/>
  <c r="AJ999" i="13176"/>
  <c r="AJ1012" i="13176"/>
  <c r="AJ1000" i="13176"/>
  <c r="AJ1004" i="13176"/>
  <c r="AJ1009" i="13176"/>
  <c r="AJ973" i="13176"/>
  <c r="AJ1001" i="13176"/>
  <c r="AJ982" i="13176"/>
  <c r="AJ974" i="13176"/>
  <c r="AJ990" i="13176"/>
  <c r="AJ900" i="13176"/>
  <c r="AJ902" i="13176"/>
  <c r="AJ894" i="13176"/>
  <c r="AJ886" i="13176"/>
  <c r="AJ878" i="13176"/>
  <c r="AJ870" i="13176"/>
  <c r="AJ909" i="13176"/>
  <c r="AJ890" i="13176"/>
  <c r="AJ874" i="13176"/>
  <c r="AJ898" i="13176"/>
  <c r="AJ860" i="13176"/>
  <c r="AJ852" i="13176"/>
  <c r="AJ882" i="13176"/>
  <c r="AJ906" i="13176"/>
  <c r="AJ869" i="13176"/>
  <c r="AJ828" i="13176"/>
  <c r="AJ816" i="13176"/>
  <c r="AJ808" i="13176"/>
  <c r="AJ800" i="13176"/>
  <c r="AJ792" i="13176"/>
  <c r="AJ821" i="13176"/>
  <c r="AJ827" i="13176"/>
  <c r="AJ777" i="13176"/>
  <c r="AJ784" i="13176"/>
  <c r="AJ779" i="13176"/>
  <c r="AJ771" i="13176"/>
  <c r="AJ778" i="13176"/>
  <c r="AJ770" i="13176"/>
  <c r="AJ762" i="13176"/>
  <c r="AJ756" i="13176"/>
  <c r="AJ754" i="13176"/>
  <c r="AJ764" i="13176"/>
  <c r="AJ786" i="13176"/>
  <c r="AJ772" i="13176"/>
  <c r="AJ746" i="13176"/>
  <c r="AJ719" i="13176"/>
  <c r="AJ713" i="13176"/>
  <c r="AJ711" i="13176"/>
  <c r="AJ688" i="13176"/>
  <c r="AJ680" i="13176"/>
  <c r="AJ729" i="13176"/>
  <c r="AJ703" i="13176"/>
  <c r="AJ685" i="13176"/>
  <c r="AJ677" i="13176"/>
  <c r="AJ669" i="13176"/>
  <c r="AJ687" i="13176"/>
  <c r="AJ689" i="13176"/>
  <c r="AJ681" i="13176"/>
  <c r="AJ691" i="13176"/>
  <c r="AJ683" i="13176"/>
  <c r="AJ721" i="13176"/>
  <c r="AJ686" i="13176"/>
  <c r="AJ667" i="13176"/>
  <c r="AJ675" i="13176"/>
  <c r="AJ670" i="13176"/>
  <c r="AJ672" i="13176"/>
  <c r="AJ664" i="13176"/>
  <c r="AJ654" i="13176"/>
  <c r="AJ646" i="13176"/>
  <c r="AJ678" i="13176"/>
  <c r="AJ612" i="13176"/>
  <c r="AJ615" i="13176"/>
  <c r="AJ616" i="13176"/>
  <c r="AJ608" i="13176"/>
  <c r="AJ605" i="13176"/>
  <c r="AJ613" i="13176"/>
  <c r="AJ662" i="13176"/>
  <c r="AJ555" i="13176"/>
  <c r="AJ546" i="13176"/>
  <c r="AJ559" i="13176"/>
  <c r="AJ550" i="13176"/>
  <c r="AJ518" i="13176"/>
  <c r="AJ488" i="13176"/>
  <c r="AJ508" i="13176"/>
  <c r="AJ528" i="13176"/>
  <c r="AJ516" i="13176"/>
  <c r="AJ537" i="13176"/>
  <c r="AJ515" i="13176"/>
  <c r="AJ502" i="13176"/>
  <c r="AJ510" i="13176"/>
  <c r="W1209" i="13176"/>
  <c r="W1210" i="13176"/>
  <c r="W1201" i="13176"/>
  <c r="W1202" i="13176"/>
  <c r="W1182" i="13176"/>
  <c r="W1168" i="13176"/>
  <c r="W1194" i="13176"/>
  <c r="W1185" i="13176"/>
  <c r="W1177" i="13176"/>
  <c r="W1169" i="13176"/>
  <c r="W1178" i="13176"/>
  <c r="W1160" i="13176"/>
  <c r="W1153" i="13176"/>
  <c r="W1174" i="13176"/>
  <c r="W1154" i="13176"/>
  <c r="W1138" i="13176"/>
  <c r="W1161" i="13176"/>
  <c r="W1145" i="13176"/>
  <c r="W1135" i="13176"/>
  <c r="W1151" i="13176"/>
  <c r="W1166" i="13176"/>
  <c r="W1146" i="13176"/>
  <c r="W1139" i="13176"/>
  <c r="W1131" i="13176"/>
  <c r="W1123" i="13176"/>
  <c r="W1115" i="13176"/>
  <c r="W1107" i="13176"/>
  <c r="W1118" i="13176"/>
  <c r="W1134" i="13176"/>
  <c r="W1126" i="13176"/>
  <c r="W1122" i="13176"/>
  <c r="W1130" i="13176"/>
  <c r="W1127" i="13176"/>
  <c r="W1116" i="13176"/>
  <c r="W1099" i="13176"/>
  <c r="W1100" i="13176"/>
  <c r="W1112" i="13176"/>
  <c r="W1108" i="13176"/>
  <c r="W1092" i="13176"/>
  <c r="W1113" i="13176"/>
  <c r="W1089" i="13176"/>
  <c r="W1081" i="13176"/>
  <c r="W1105" i="13176"/>
  <c r="W1072" i="13176"/>
  <c r="W1095" i="13176"/>
  <c r="W1071" i="13176"/>
  <c r="W1063" i="13176"/>
  <c r="W1080" i="13176"/>
  <c r="W1084" i="13176"/>
  <c r="W1104" i="13176"/>
  <c r="W1076" i="13176"/>
  <c r="W1088" i="13176"/>
  <c r="W1077" i="13176"/>
  <c r="W1073" i="13176"/>
  <c r="W1087" i="13176"/>
  <c r="W1064" i="13176"/>
  <c r="W1055" i="13176"/>
  <c r="W1052" i="13176"/>
  <c r="W1058" i="13176"/>
  <c r="W1045" i="13176"/>
  <c r="W1050" i="13176"/>
  <c r="W1049" i="13176"/>
  <c r="W1067" i="13176"/>
  <c r="W1059" i="13176"/>
  <c r="W1062" i="13176"/>
  <c r="W1051" i="13176"/>
  <c r="W1098" i="13176"/>
  <c r="W1022" i="13176"/>
  <c r="W1037" i="13176"/>
  <c r="W1038" i="13176"/>
  <c r="W1033" i="13176"/>
  <c r="W1029" i="13176"/>
  <c r="W1046" i="13176"/>
  <c r="W1031" i="13176"/>
  <c r="W1030" i="13176"/>
  <c r="W1017" i="13176"/>
  <c r="W1009" i="13176"/>
  <c r="W1025" i="13176"/>
  <c r="W1041" i="13176"/>
  <c r="W1014" i="13176"/>
  <c r="W989" i="13176"/>
  <c r="W981" i="13176"/>
  <c r="W1000" i="13176"/>
  <c r="W1006" i="13176"/>
  <c r="W1001" i="13176"/>
  <c r="W988" i="13176"/>
  <c r="W1015" i="13176"/>
  <c r="W990" i="13176"/>
  <c r="W995" i="13176"/>
  <c r="W987" i="13176"/>
  <c r="W965" i="13176"/>
  <c r="W982" i="13176"/>
  <c r="W973" i="13176"/>
  <c r="W1007" i="13176"/>
  <c r="W979" i="13176"/>
  <c r="W966" i="13176"/>
  <c r="W961" i="13176"/>
  <c r="W930" i="13176"/>
  <c r="W922" i="13176"/>
  <c r="W957" i="13176"/>
  <c r="W943" i="13176"/>
  <c r="W935" i="13176"/>
  <c r="W927" i="13176"/>
  <c r="W974" i="13176"/>
  <c r="W952" i="13176"/>
  <c r="W954" i="13176"/>
  <c r="W960" i="13176"/>
  <c r="W958" i="13176"/>
  <c r="W955" i="13176"/>
  <c r="W947" i="13176"/>
  <c r="W939" i="13176"/>
  <c r="W931" i="13176"/>
  <c r="W923" i="13176"/>
  <c r="W962" i="13176"/>
  <c r="W953" i="13176"/>
  <c r="W919" i="13176"/>
  <c r="W909" i="13176"/>
  <c r="W936" i="13176"/>
  <c r="W920" i="13176"/>
  <c r="W914" i="13176"/>
  <c r="W883" i="13176"/>
  <c r="W875" i="13176"/>
  <c r="W928" i="13176"/>
  <c r="W908" i="13176"/>
  <c r="W906" i="13176"/>
  <c r="W898" i="13176"/>
  <c r="W890" i="13176"/>
  <c r="W882" i="13176"/>
  <c r="W944" i="13176"/>
  <c r="W915" i="13176"/>
  <c r="W903" i="13176"/>
  <c r="W895" i="13176"/>
  <c r="W887" i="13176"/>
  <c r="W879" i="13176"/>
  <c r="W874" i="13176"/>
  <c r="W860" i="13176"/>
  <c r="W844" i="13176"/>
  <c r="W836" i="13176"/>
  <c r="W871" i="13176"/>
  <c r="W865" i="13176"/>
  <c r="W857" i="13176"/>
  <c r="W849" i="13176"/>
  <c r="W841" i="13176"/>
  <c r="W864" i="13176"/>
  <c r="W856" i="13176"/>
  <c r="W848" i="13176"/>
  <c r="W840" i="13176"/>
  <c r="W853" i="13176"/>
  <c r="W832" i="13176"/>
  <c r="W824" i="13176"/>
  <c r="W816" i="13176"/>
  <c r="W808" i="13176"/>
  <c r="W800" i="13176"/>
  <c r="W792" i="13176"/>
  <c r="W861" i="13176"/>
  <c r="W837" i="13176"/>
  <c r="W826" i="13176"/>
  <c r="W813" i="13176"/>
  <c r="W805" i="13176"/>
  <c r="W797" i="13176"/>
  <c r="W789" i="13176"/>
  <c r="W823" i="13176"/>
  <c r="W845" i="13176"/>
  <c r="W833" i="13176"/>
  <c r="W830" i="13176"/>
  <c r="W825" i="13176"/>
  <c r="W820" i="13176"/>
  <c r="W812" i="13176"/>
  <c r="W804" i="13176"/>
  <c r="W796" i="13176"/>
  <c r="W785" i="13176"/>
  <c r="W766" i="13176"/>
  <c r="W758" i="13176"/>
  <c r="W817" i="13176"/>
  <c r="W801" i="13176"/>
  <c r="W757" i="13176"/>
  <c r="W749" i="13176"/>
  <c r="W829" i="13176"/>
  <c r="W783" i="13176"/>
  <c r="W782" i="13176"/>
  <c r="W770" i="13176"/>
  <c r="W762" i="13176"/>
  <c r="W754" i="13176"/>
  <c r="W746" i="13176"/>
  <c r="W809" i="13176"/>
  <c r="W784" i="13176"/>
  <c r="W780" i="13176"/>
  <c r="W788" i="13176"/>
  <c r="W777" i="13176"/>
  <c r="W769" i="13176"/>
  <c r="W761" i="13176"/>
  <c r="W753" i="13176"/>
  <c r="W715" i="13176"/>
  <c r="W707" i="13176"/>
  <c r="W730" i="13176"/>
  <c r="W722" i="13176"/>
  <c r="W714" i="13176"/>
  <c r="W706" i="13176"/>
  <c r="W793" i="13176"/>
  <c r="W741" i="13176"/>
  <c r="W735" i="13176"/>
  <c r="W727" i="13176"/>
  <c r="W719" i="13176"/>
  <c r="W711" i="13176"/>
  <c r="W742" i="13176"/>
  <c r="W750" i="13176"/>
  <c r="W729" i="13176"/>
  <c r="W721" i="13176"/>
  <c r="W713" i="13176"/>
  <c r="W745" i="13176"/>
  <c r="W734" i="13176"/>
  <c r="W726" i="13176"/>
  <c r="W718" i="13176"/>
  <c r="W710" i="13176"/>
  <c r="W699" i="13176"/>
  <c r="W703" i="13176"/>
  <c r="W695" i="13176"/>
  <c r="W673" i="13176"/>
  <c r="W665" i="13176"/>
  <c r="W686" i="13176"/>
  <c r="W678" i="13176"/>
  <c r="W691" i="13176"/>
  <c r="W683" i="13176"/>
  <c r="W675" i="13176"/>
  <c r="W667" i="13176"/>
  <c r="W698" i="13176"/>
  <c r="W688" i="13176"/>
  <c r="W680" i="13176"/>
  <c r="W672" i="13176"/>
  <c r="W654" i="13176"/>
  <c r="W646" i="13176"/>
  <c r="W638" i="13176"/>
  <c r="W660" i="13176"/>
  <c r="W651" i="13176"/>
  <c r="W643" i="13176"/>
  <c r="W635" i="13176"/>
  <c r="W670" i="13176"/>
  <c r="W702" i="13176"/>
  <c r="W664" i="13176"/>
  <c r="W658" i="13176"/>
  <c r="W650" i="13176"/>
  <c r="W642" i="13176"/>
  <c r="W634" i="13176"/>
  <c r="W655" i="13176"/>
  <c r="W626" i="13176"/>
  <c r="W630" i="13176"/>
  <c r="W619" i="13176"/>
  <c r="W639" i="13176"/>
  <c r="W631" i="13176"/>
  <c r="W616" i="13176"/>
  <c r="W618" i="13176"/>
  <c r="W611" i="13176"/>
  <c r="W647" i="13176"/>
  <c r="W613" i="13176"/>
  <c r="W621" i="13176"/>
  <c r="W610" i="13176"/>
  <c r="W627" i="13176"/>
  <c r="W600" i="13176"/>
  <c r="W584" i="13176"/>
  <c r="W586" i="13176"/>
  <c r="W585" i="13176"/>
  <c r="W592" i="13176"/>
  <c r="W589" i="13176"/>
  <c r="W590" i="13176"/>
  <c r="W601" i="13176"/>
  <c r="W587" i="13176"/>
  <c r="W553" i="13176"/>
  <c r="W591" i="13176"/>
  <c r="W588" i="13176"/>
  <c r="W617" i="13176"/>
  <c r="W543" i="13176"/>
  <c r="W516" i="13176"/>
  <c r="W524" i="13176"/>
  <c r="W518" i="13176"/>
  <c r="W547" i="13176"/>
  <c r="W546" i="13176"/>
  <c r="W520" i="13176"/>
  <c r="W522" i="13176"/>
  <c r="W502" i="13176"/>
  <c r="W517" i="13176"/>
  <c r="W515" i="13176"/>
  <c r="AF500" i="13176"/>
  <c r="AJ479" i="13176"/>
  <c r="AN496" i="13176"/>
  <c r="BC500" i="13176"/>
  <c r="AM502" i="13176"/>
  <c r="BC489" i="13176"/>
  <c r="AM479" i="13176"/>
  <c r="H484" i="13176"/>
  <c r="X488" i="13176"/>
  <c r="Q479" i="13176"/>
  <c r="D488" i="13176"/>
  <c r="AM481" i="13176"/>
  <c r="BD476" i="13176"/>
  <c r="AY479" i="13176"/>
  <c r="D487" i="13176"/>
  <c r="AZ501" i="13176"/>
  <c r="T1187" i="13176"/>
  <c r="T1213" i="13176"/>
  <c r="T1205" i="13176"/>
  <c r="T1192" i="13176"/>
  <c r="T1174" i="13176"/>
  <c r="T1166" i="13176"/>
  <c r="T1182" i="13176"/>
  <c r="T1208" i="13176"/>
  <c r="T1179" i="13176"/>
  <c r="T1197" i="13176"/>
  <c r="T1161" i="13176"/>
  <c r="T1178" i="13176"/>
  <c r="T1169" i="13176"/>
  <c r="T1153" i="13176"/>
  <c r="T1145" i="13176"/>
  <c r="T1180" i="13176"/>
  <c r="T1141" i="13176"/>
  <c r="T1133" i="13176"/>
  <c r="T1138" i="13176"/>
  <c r="T1130" i="13176"/>
  <c r="T1151" i="13176"/>
  <c r="T1137" i="13176"/>
  <c r="T1121" i="13176"/>
  <c r="T1115" i="13176"/>
  <c r="T1107" i="13176"/>
  <c r="T1134" i="13176"/>
  <c r="T1118" i="13176"/>
  <c r="T1125" i="13176"/>
  <c r="T1126" i="13176"/>
  <c r="T1122" i="13176"/>
  <c r="T1099" i="13176"/>
  <c r="T1096" i="13176"/>
  <c r="T1129" i="13176"/>
  <c r="T1088" i="13176"/>
  <c r="T1080" i="13176"/>
  <c r="T1124" i="13176"/>
  <c r="T1072" i="13176"/>
  <c r="T1084" i="13176"/>
  <c r="T1074" i="13176"/>
  <c r="T1091" i="13176"/>
  <c r="T1075" i="13176"/>
  <c r="T1076" i="13176"/>
  <c r="T1083" i="13176"/>
  <c r="T1087" i="13176"/>
  <c r="T1092" i="13176"/>
  <c r="T1016" i="13176"/>
  <c r="T1008" i="13176"/>
  <c r="T1023" i="13176"/>
  <c r="T1015" i="13176"/>
  <c r="T1031" i="13176"/>
  <c r="T1009" i="13176"/>
  <c r="T1017" i="13176"/>
  <c r="T997" i="13176"/>
  <c r="T989" i="13176"/>
  <c r="T1000" i="13176"/>
  <c r="T1001" i="13176"/>
  <c r="T1012" i="13176"/>
  <c r="T974" i="13176"/>
  <c r="T990" i="13176"/>
  <c r="T982" i="13176"/>
  <c r="T973" i="13176"/>
  <c r="T981" i="13176"/>
  <c r="T950" i="13176"/>
  <c r="T951" i="13176"/>
  <c r="T900" i="13176"/>
  <c r="T909" i="13176"/>
  <c r="T902" i="13176"/>
  <c r="T894" i="13176"/>
  <c r="T886" i="13176"/>
  <c r="T878" i="13176"/>
  <c r="T870" i="13176"/>
  <c r="T972" i="13176"/>
  <c r="T910" i="13176"/>
  <c r="T908" i="13176"/>
  <c r="T890" i="13176"/>
  <c r="T874" i="13176"/>
  <c r="T898" i="13176"/>
  <c r="T860" i="13176"/>
  <c r="T852" i="13176"/>
  <c r="T882" i="13176"/>
  <c r="T906" i="13176"/>
  <c r="T816" i="13176"/>
  <c r="T808" i="13176"/>
  <c r="T800" i="13176"/>
  <c r="T792" i="13176"/>
  <c r="T821" i="13176"/>
  <c r="T830" i="13176"/>
  <c r="T777" i="13176"/>
  <c r="T779" i="13176"/>
  <c r="T771" i="13176"/>
  <c r="T783" i="13176"/>
  <c r="T778" i="13176"/>
  <c r="T770" i="13176"/>
  <c r="T784" i="13176"/>
  <c r="T762" i="13176"/>
  <c r="T780" i="13176"/>
  <c r="T756" i="13176"/>
  <c r="T731" i="13176"/>
  <c r="T754" i="13176"/>
  <c r="T764" i="13176"/>
  <c r="T772" i="13176"/>
  <c r="T735" i="13176"/>
  <c r="T719" i="13176"/>
  <c r="T746" i="13176"/>
  <c r="T688" i="13176"/>
  <c r="T680" i="13176"/>
  <c r="T713" i="13176"/>
  <c r="T711" i="13176"/>
  <c r="T685" i="13176"/>
  <c r="T677" i="13176"/>
  <c r="T669" i="13176"/>
  <c r="T729" i="13176"/>
  <c r="T687" i="13176"/>
  <c r="T703" i="13176"/>
  <c r="T697" i="13176"/>
  <c r="T689" i="13176"/>
  <c r="T681" i="13176"/>
  <c r="T721" i="13176"/>
  <c r="T691" i="13176"/>
  <c r="T683" i="13176"/>
  <c r="T686" i="13176"/>
  <c r="T675" i="13176"/>
  <c r="T667" i="13176"/>
  <c r="T662" i="13176"/>
  <c r="T654" i="13176"/>
  <c r="T646" i="13176"/>
  <c r="T638" i="13176"/>
  <c r="T670" i="13176"/>
  <c r="T672" i="13176"/>
  <c r="T678" i="13176"/>
  <c r="T612" i="13176"/>
  <c r="T664" i="13176"/>
  <c r="T608" i="13176"/>
  <c r="T613" i="13176"/>
  <c r="T605" i="13176"/>
  <c r="T555" i="13176"/>
  <c r="T589" i="13176"/>
  <c r="T550" i="13176"/>
  <c r="T516" i="13176"/>
  <c r="T526" i="13176"/>
  <c r="T546" i="13176"/>
  <c r="T515" i="13176"/>
  <c r="T510" i="13176"/>
  <c r="T521" i="13176"/>
  <c r="T520" i="13176"/>
  <c r="T502" i="13176"/>
  <c r="T507" i="13176"/>
  <c r="T537" i="13176"/>
  <c r="T508" i="13176"/>
  <c r="T529" i="13176"/>
  <c r="T525" i="13176"/>
  <c r="T534" i="13176"/>
  <c r="AJ480" i="13176"/>
  <c r="AZ512" i="13176"/>
  <c r="D483" i="13176"/>
  <c r="AN494" i="13176"/>
  <c r="AJ486" i="13176"/>
  <c r="T477" i="13176"/>
  <c r="BB479" i="13176"/>
  <c r="AM478" i="13176"/>
  <c r="AJ492" i="13176"/>
  <c r="G1215" i="13176"/>
  <c r="G1202" i="13176"/>
  <c r="G1207" i="13176"/>
  <c r="G1168" i="13176"/>
  <c r="G1177" i="13176"/>
  <c r="G1182" i="13176"/>
  <c r="G1185" i="13176"/>
  <c r="G1169" i="13176"/>
  <c r="G1210" i="13176"/>
  <c r="G1199" i="13176"/>
  <c r="G1184" i="13176"/>
  <c r="G1181" i="13176"/>
  <c r="G1166" i="13176"/>
  <c r="G1163" i="13176"/>
  <c r="G1171" i="13176"/>
  <c r="G1161" i="13176"/>
  <c r="G1174" i="13176"/>
  <c r="G1160" i="13176"/>
  <c r="G1145" i="13176"/>
  <c r="G1138" i="13176"/>
  <c r="G1130" i="13176"/>
  <c r="G1143" i="13176"/>
  <c r="G1154" i="13176"/>
  <c r="G1135" i="13176"/>
  <c r="G1153" i="13176"/>
  <c r="G1146" i="13176"/>
  <c r="G1134" i="13176"/>
  <c r="G1139" i="13176"/>
  <c r="G1126" i="13176"/>
  <c r="G1127" i="13176"/>
  <c r="G1118" i="13176"/>
  <c r="G1122" i="13176"/>
  <c r="G1119" i="13176"/>
  <c r="G1112" i="13176"/>
  <c r="G1136" i="13176"/>
  <c r="G1116" i="13176"/>
  <c r="G1142" i="13176"/>
  <c r="G1123" i="13176"/>
  <c r="G1131" i="13176"/>
  <c r="G1113" i="13176"/>
  <c r="G1105" i="13176"/>
  <c r="G1100" i="13176"/>
  <c r="G1088" i="13176"/>
  <c r="G1080" i="13176"/>
  <c r="G1104" i="13176"/>
  <c r="G1092" i="13176"/>
  <c r="G1084" i="13176"/>
  <c r="G1095" i="13176"/>
  <c r="G1108" i="13176"/>
  <c r="G1096" i="13176"/>
  <c r="G1072" i="13176"/>
  <c r="G1076" i="13176"/>
  <c r="G1077" i="13176"/>
  <c r="G1081" i="13176"/>
  <c r="G1071" i="13176"/>
  <c r="G1063" i="13176"/>
  <c r="G1073" i="13176"/>
  <c r="G1067" i="13176"/>
  <c r="G1089" i="13176"/>
  <c r="G1059" i="13176"/>
  <c r="G1049" i="13176"/>
  <c r="G1048" i="13176"/>
  <c r="G1045" i="13176"/>
  <c r="G1037" i="13176"/>
  <c r="G1094" i="13176"/>
  <c r="G1051" i="13176"/>
  <c r="G1056" i="13176"/>
  <c r="G1055" i="13176"/>
  <c r="G1046" i="13176"/>
  <c r="G1038" i="13176"/>
  <c r="G1041" i="13176"/>
  <c r="G1030" i="13176"/>
  <c r="G1025" i="13176"/>
  <c r="G1020" i="13176"/>
  <c r="G1033" i="13176"/>
  <c r="G1017" i="13176"/>
  <c r="G1009" i="13176"/>
  <c r="G1022" i="13176"/>
  <c r="G997" i="13176"/>
  <c r="G989" i="13176"/>
  <c r="G1001" i="13176"/>
  <c r="G991" i="13176"/>
  <c r="G983" i="13176"/>
  <c r="G1014" i="13176"/>
  <c r="G1011" i="13176"/>
  <c r="G990" i="13176"/>
  <c r="G995" i="13176"/>
  <c r="G987" i="13176"/>
  <c r="G1006" i="13176"/>
  <c r="G992" i="13176"/>
  <c r="G984" i="13176"/>
  <c r="G979" i="13176"/>
  <c r="G974" i="13176"/>
  <c r="G982" i="13176"/>
  <c r="G947" i="13176"/>
  <c r="G939" i="13176"/>
  <c r="G931" i="13176"/>
  <c r="G923" i="13176"/>
  <c r="G915" i="13176"/>
  <c r="G976" i="13176"/>
  <c r="G944" i="13176"/>
  <c r="G936" i="13176"/>
  <c r="G902" i="13176"/>
  <c r="G894" i="13176"/>
  <c r="G870" i="13176"/>
  <c r="G951" i="13176"/>
  <c r="G906" i="13176"/>
  <c r="G898" i="13176"/>
  <c r="G890" i="13176"/>
  <c r="G882" i="13176"/>
  <c r="G874" i="13176"/>
  <c r="G903" i="13176"/>
  <c r="G895" i="13176"/>
  <c r="G887" i="13176"/>
  <c r="G879" i="13176"/>
  <c r="G950" i="13176"/>
  <c r="G884" i="13176"/>
  <c r="G868" i="13176"/>
  <c r="G892" i="13176"/>
  <c r="G871" i="13176"/>
  <c r="G864" i="13176"/>
  <c r="G856" i="13176"/>
  <c r="G848" i="13176"/>
  <c r="G840" i="13176"/>
  <c r="G832" i="13176"/>
  <c r="G900" i="13176"/>
  <c r="G861" i="13176"/>
  <c r="G853" i="13176"/>
  <c r="G845" i="13176"/>
  <c r="G837" i="13176"/>
  <c r="G829" i="13176"/>
  <c r="G818" i="13176"/>
  <c r="G876" i="13176"/>
  <c r="G824" i="13176"/>
  <c r="G820" i="13176"/>
  <c r="G812" i="13176"/>
  <c r="G804" i="13176"/>
  <c r="G796" i="13176"/>
  <c r="G788" i="13176"/>
  <c r="G817" i="13176"/>
  <c r="G809" i="13176"/>
  <c r="G801" i="13176"/>
  <c r="G793" i="13176"/>
  <c r="G779" i="13176"/>
  <c r="G785" i="13176"/>
  <c r="G778" i="13176"/>
  <c r="G770" i="13176"/>
  <c r="G762" i="13176"/>
  <c r="G754" i="13176"/>
  <c r="G780" i="13176"/>
  <c r="G772" i="13176"/>
  <c r="G764" i="13176"/>
  <c r="G777" i="13176"/>
  <c r="G769" i="13176"/>
  <c r="G761" i="13176"/>
  <c r="G753" i="13176"/>
  <c r="G745" i="13176"/>
  <c r="G774" i="13176"/>
  <c r="G742" i="13176"/>
  <c r="G758" i="13176"/>
  <c r="G756" i="13176"/>
  <c r="G748" i="13176"/>
  <c r="G766" i="13176"/>
  <c r="G729" i="13176"/>
  <c r="G721" i="13176"/>
  <c r="G734" i="13176"/>
  <c r="G726" i="13176"/>
  <c r="G718" i="13176"/>
  <c r="G710" i="13176"/>
  <c r="G702" i="13176"/>
  <c r="G750" i="13176"/>
  <c r="G697" i="13176"/>
  <c r="G690" i="13176"/>
  <c r="G682" i="13176"/>
  <c r="G674" i="13176"/>
  <c r="G715" i="13176"/>
  <c r="G713" i="13176"/>
  <c r="G723" i="13176"/>
  <c r="G693" i="13176"/>
  <c r="G707" i="13176"/>
  <c r="G694" i="13176"/>
  <c r="G689" i="13176"/>
  <c r="G681" i="13176"/>
  <c r="G673" i="13176"/>
  <c r="G731" i="13176"/>
  <c r="G691" i="13176"/>
  <c r="G683" i="13176"/>
  <c r="G675" i="13176"/>
  <c r="G667" i="13176"/>
  <c r="G699" i="13176"/>
  <c r="G685" i="13176"/>
  <c r="G680" i="13176"/>
  <c r="G664" i="13176"/>
  <c r="G677" i="13176"/>
  <c r="G666" i="13176"/>
  <c r="G688" i="13176"/>
  <c r="G669" i="13176"/>
  <c r="G658" i="13176"/>
  <c r="G672" i="13176"/>
  <c r="G655" i="13176"/>
  <c r="G647" i="13176"/>
  <c r="G639" i="13176"/>
  <c r="G631" i="13176"/>
  <c r="G661" i="13176"/>
  <c r="G614" i="13176"/>
  <c r="G613" i="13176"/>
  <c r="G610" i="13176"/>
  <c r="G607" i="13176"/>
  <c r="G615" i="13176"/>
  <c r="G548" i="13176"/>
  <c r="G599" i="13176"/>
  <c r="G546" i="13176"/>
  <c r="G552" i="13176"/>
  <c r="G521" i="13176"/>
  <c r="G527" i="13176"/>
  <c r="G520" i="13176"/>
  <c r="G516" i="13176"/>
  <c r="G502" i="13176"/>
  <c r="G508" i="13176"/>
  <c r="G528" i="13176"/>
  <c r="G517" i="13176"/>
  <c r="G523" i="13176"/>
  <c r="AN481" i="13176"/>
  <c r="X487" i="13176"/>
  <c r="AN501" i="13176"/>
  <c r="AW495" i="13176"/>
  <c r="AF495" i="13176"/>
  <c r="O495" i="13176"/>
  <c r="AU495" i="13176"/>
  <c r="AC495" i="13176"/>
  <c r="K495" i="13176"/>
  <c r="AP495" i="13176"/>
  <c r="Y495" i="13176"/>
  <c r="G495" i="13176"/>
  <c r="AO495" i="13176"/>
  <c r="X495" i="13176"/>
  <c r="F495" i="13176"/>
  <c r="AM495" i="13176"/>
  <c r="V495" i="13176"/>
  <c r="D495" i="13176"/>
  <c r="AX495" i="13176"/>
  <c r="Z495" i="13176"/>
  <c r="AV495" i="13176"/>
  <c r="W495" i="13176"/>
  <c r="AT495" i="13176"/>
  <c r="U495" i="13176"/>
  <c r="AL495" i="13176"/>
  <c r="P495" i="13176"/>
  <c r="AR495" i="13176"/>
  <c r="T495" i="13176"/>
  <c r="AQ495" i="13176"/>
  <c r="S495" i="13176"/>
  <c r="AN495" i="13176"/>
  <c r="Q495" i="13176"/>
  <c r="AJ495" i="13176"/>
  <c r="M495" i="13176"/>
  <c r="AK495" i="13176"/>
  <c r="N495" i="13176"/>
  <c r="AI495" i="13176"/>
  <c r="L495" i="13176"/>
  <c r="BD495" i="13176"/>
  <c r="AH495" i="13176"/>
  <c r="J495" i="13176"/>
  <c r="BB495" i="13176"/>
  <c r="AE495" i="13176"/>
  <c r="H495" i="13176"/>
  <c r="BA495" i="13176"/>
  <c r="AD495" i="13176"/>
  <c r="E495" i="13176"/>
  <c r="AZ495" i="13176"/>
  <c r="AB495" i="13176"/>
  <c r="C495" i="13176"/>
  <c r="AZ1195" i="13176"/>
  <c r="AZ1196" i="13176"/>
  <c r="AZ1176" i="13176"/>
  <c r="AZ1188" i="13176"/>
  <c r="AZ1162" i="13176"/>
  <c r="AZ1172" i="13176"/>
  <c r="AZ1158" i="13176"/>
  <c r="AZ1142" i="13176"/>
  <c r="AZ1132" i="13176"/>
  <c r="AZ1125" i="13176"/>
  <c r="AZ1121" i="13176"/>
  <c r="AZ1095" i="13176"/>
  <c r="AZ1123" i="13176"/>
  <c r="AZ1101" i="13176"/>
  <c r="AZ1086" i="13176"/>
  <c r="AZ1096" i="13176"/>
  <c r="AZ1077" i="13176"/>
  <c r="AZ1075" i="13176"/>
  <c r="AZ1071" i="13176"/>
  <c r="AZ1106" i="13176"/>
  <c r="AZ1078" i="13176"/>
  <c r="AZ1058" i="13176"/>
  <c r="AZ1070" i="13176"/>
  <c r="AZ1048" i="13176"/>
  <c r="AZ1017" i="13176"/>
  <c r="AZ1050" i="13176"/>
  <c r="AZ1049" i="13176"/>
  <c r="AZ1029" i="13176"/>
  <c r="AZ1022" i="13176"/>
  <c r="AZ1031" i="13176"/>
  <c r="AZ1036" i="13176"/>
  <c r="AZ1023" i="13176"/>
  <c r="AZ1004" i="13176"/>
  <c r="AZ998" i="13176"/>
  <c r="AZ997" i="13176"/>
  <c r="AZ1013" i="13176"/>
  <c r="AZ978" i="13176"/>
  <c r="AZ950" i="13176"/>
  <c r="AZ951" i="13176"/>
  <c r="AZ955" i="13176"/>
  <c r="AZ960" i="13176"/>
  <c r="AZ917" i="13176"/>
  <c r="AZ918" i="13176"/>
  <c r="AZ909" i="13176"/>
  <c r="AZ912" i="13176"/>
  <c r="AZ907" i="13176"/>
  <c r="AZ866" i="13176"/>
  <c r="AZ867" i="13176"/>
  <c r="AZ835" i="13176"/>
  <c r="AZ822" i="13176"/>
  <c r="AZ829" i="13176"/>
  <c r="AZ830" i="13176"/>
  <c r="AZ787" i="13176"/>
  <c r="AZ782" i="13176"/>
  <c r="AZ859" i="13176"/>
  <c r="AZ828" i="13176"/>
  <c r="AZ791" i="13176"/>
  <c r="AZ824" i="13176"/>
  <c r="AZ783" i="13176"/>
  <c r="AZ799" i="13176"/>
  <c r="AZ831" i="13176"/>
  <c r="AZ739" i="13176"/>
  <c r="AZ748" i="13176"/>
  <c r="AZ693" i="13176"/>
  <c r="AZ692" i="13176"/>
  <c r="AZ691" i="13176"/>
  <c r="AZ743" i="13176"/>
  <c r="AZ697" i="13176"/>
  <c r="AZ662" i="13176"/>
  <c r="AZ663" i="13176"/>
  <c r="AZ645" i="13176"/>
  <c r="AZ618" i="13176"/>
  <c r="AZ668" i="13176"/>
  <c r="AZ615" i="13176"/>
  <c r="AZ637" i="13176"/>
  <c r="AZ621" i="13176"/>
  <c r="AZ624" i="13176"/>
  <c r="AZ620" i="13176"/>
  <c r="AZ585" i="13176"/>
  <c r="AZ553" i="13176"/>
  <c r="AZ590" i="13176"/>
  <c r="AZ587" i="13176"/>
  <c r="AZ552" i="13176"/>
  <c r="AZ591" i="13176"/>
  <c r="AZ588" i="13176"/>
  <c r="AZ592" i="13176"/>
  <c r="AZ589" i="13176"/>
  <c r="AZ521" i="13176"/>
  <c r="AZ532" i="13176"/>
  <c r="AZ540" i="13176"/>
  <c r="AZ518" i="13176"/>
  <c r="AZ586" i="13176"/>
  <c r="AZ527" i="13176"/>
  <c r="AZ526" i="13176"/>
  <c r="AZ535" i="13176"/>
  <c r="AZ503" i="13176"/>
  <c r="AZ505" i="13176"/>
  <c r="AZ502" i="13176"/>
  <c r="AZ510" i="13176"/>
  <c r="AZ517" i="13176"/>
  <c r="AZ520" i="13176"/>
  <c r="AN487" i="13176"/>
  <c r="I495" i="13176"/>
  <c r="AZ497" i="13176"/>
  <c r="AM1209" i="13176"/>
  <c r="AM1210" i="13176"/>
  <c r="AM1201" i="13176"/>
  <c r="AM1202" i="13176"/>
  <c r="AM1195" i="13176"/>
  <c r="AM1185" i="13176"/>
  <c r="AM1168" i="13176"/>
  <c r="AM1192" i="13176"/>
  <c r="AM1182" i="13176"/>
  <c r="AM1174" i="13176"/>
  <c r="AM1153" i="13176"/>
  <c r="AM1161" i="13176"/>
  <c r="AM1180" i="13176"/>
  <c r="AM1177" i="13176"/>
  <c r="AM1160" i="13176"/>
  <c r="AM1197" i="13176"/>
  <c r="AM1166" i="13176"/>
  <c r="AM1169" i="13176"/>
  <c r="AM1146" i="13176"/>
  <c r="AM1164" i="13176"/>
  <c r="AM1151" i="13176"/>
  <c r="AM1141" i="13176"/>
  <c r="AM1138" i="13176"/>
  <c r="AM1135" i="13176"/>
  <c r="AM1145" i="13176"/>
  <c r="AM1154" i="13176"/>
  <c r="AM1143" i="13176"/>
  <c r="AM1139" i="13176"/>
  <c r="AM1131" i="13176"/>
  <c r="AM1126" i="13176"/>
  <c r="AM1159" i="13176"/>
  <c r="AM1115" i="13176"/>
  <c r="AM1107" i="13176"/>
  <c r="AM1127" i="13176"/>
  <c r="AM1134" i="13176"/>
  <c r="AM1130" i="13176"/>
  <c r="AM1123" i="13176"/>
  <c r="AM1118" i="13176"/>
  <c r="AM1119" i="13176"/>
  <c r="AM1122" i="13176"/>
  <c r="AM1116" i="13176"/>
  <c r="AM1108" i="13176"/>
  <c r="AM1105" i="13176"/>
  <c r="AM1099" i="13176"/>
  <c r="AM1096" i="13176"/>
  <c r="AM1112" i="13176"/>
  <c r="AM1104" i="13176"/>
  <c r="AM1100" i="13176"/>
  <c r="AM1092" i="13176"/>
  <c r="AM1113" i="13176"/>
  <c r="AM1089" i="13176"/>
  <c r="AM1081" i="13176"/>
  <c r="AM1076" i="13176"/>
  <c r="AM1084" i="13176"/>
  <c r="AM1073" i="13176"/>
  <c r="AM1071" i="13176"/>
  <c r="AM1063" i="13176"/>
  <c r="AM1088" i="13176"/>
  <c r="AM1072" i="13176"/>
  <c r="AM1087" i="13176"/>
  <c r="AM1064" i="13176"/>
  <c r="AM1059" i="13176"/>
  <c r="AM1045" i="13176"/>
  <c r="AM1067" i="13176"/>
  <c r="AM1052" i="13176"/>
  <c r="AM1055" i="13176"/>
  <c r="AM1058" i="13176"/>
  <c r="AM1054" i="13176"/>
  <c r="AM1080" i="13176"/>
  <c r="AM1037" i="13176"/>
  <c r="AM1033" i="13176"/>
  <c r="AM1038" i="13176"/>
  <c r="AM1030" i="13176"/>
  <c r="AM1025" i="13176"/>
  <c r="AM1022" i="13176"/>
  <c r="AM1046" i="13176"/>
  <c r="AM1026" i="13176"/>
  <c r="AM1041" i="13176"/>
  <c r="AM1009" i="13176"/>
  <c r="AM1014" i="13176"/>
  <c r="AM989" i="13176"/>
  <c r="AM981" i="13176"/>
  <c r="AM997" i="13176"/>
  <c r="AM998" i="13176"/>
  <c r="AM1029" i="13176"/>
  <c r="AM1015" i="13176"/>
  <c r="AM1000" i="13176"/>
  <c r="AM988" i="13176"/>
  <c r="AM1051" i="13176"/>
  <c r="AM1021" i="13176"/>
  <c r="AM1004" i="13176"/>
  <c r="AM1001" i="13176"/>
  <c r="AM990" i="13176"/>
  <c r="AM982" i="13176"/>
  <c r="AM995" i="13176"/>
  <c r="AM987" i="13176"/>
  <c r="AM1017" i="13176"/>
  <c r="AM974" i="13176"/>
  <c r="AM965" i="13176"/>
  <c r="AM979" i="13176"/>
  <c r="AM977" i="13176"/>
  <c r="AM973" i="13176"/>
  <c r="AM1006" i="13176"/>
  <c r="AM966" i="13176"/>
  <c r="AM930" i="13176"/>
  <c r="AM922" i="13176"/>
  <c r="AM955" i="13176"/>
  <c r="AM950" i="13176"/>
  <c r="AM943" i="13176"/>
  <c r="AM935" i="13176"/>
  <c r="AM927" i="13176"/>
  <c r="AM962" i="13176"/>
  <c r="AM952" i="13176"/>
  <c r="AM961" i="13176"/>
  <c r="AM947" i="13176"/>
  <c r="AM939" i="13176"/>
  <c r="AM931" i="13176"/>
  <c r="AM923" i="13176"/>
  <c r="AM957" i="13176"/>
  <c r="AM936" i="13176"/>
  <c r="AM928" i="13176"/>
  <c r="AM909" i="13176"/>
  <c r="AM883" i="13176"/>
  <c r="AM875" i="13176"/>
  <c r="AM980" i="13176"/>
  <c r="AM915" i="13176"/>
  <c r="AM911" i="13176"/>
  <c r="AM944" i="13176"/>
  <c r="AM906" i="13176"/>
  <c r="AM898" i="13176"/>
  <c r="AM890" i="13176"/>
  <c r="AM882" i="13176"/>
  <c r="AM918" i="13176"/>
  <c r="AM914" i="13176"/>
  <c r="AM919" i="13176"/>
  <c r="AM903" i="13176"/>
  <c r="AM895" i="13176"/>
  <c r="AM887" i="13176"/>
  <c r="AM879" i="13176"/>
  <c r="AM874" i="13176"/>
  <c r="AM871" i="13176"/>
  <c r="AM908" i="13176"/>
  <c r="AM860" i="13176"/>
  <c r="AM836" i="13176"/>
  <c r="AM865" i="13176"/>
  <c r="AM857" i="13176"/>
  <c r="AM849" i="13176"/>
  <c r="AM841" i="13176"/>
  <c r="AM920" i="13176"/>
  <c r="AM910" i="13176"/>
  <c r="AM864" i="13176"/>
  <c r="AM856" i="13176"/>
  <c r="AM848" i="13176"/>
  <c r="AM840" i="13176"/>
  <c r="AM861" i="13176"/>
  <c r="AM837" i="13176"/>
  <c r="AM816" i="13176"/>
  <c r="AM808" i="13176"/>
  <c r="AM800" i="13176"/>
  <c r="AM792" i="13176"/>
  <c r="AM833" i="13176"/>
  <c r="AM824" i="13176"/>
  <c r="AM813" i="13176"/>
  <c r="AM805" i="13176"/>
  <c r="AM797" i="13176"/>
  <c r="AM789" i="13176"/>
  <c r="AM845" i="13176"/>
  <c r="AM827" i="13176"/>
  <c r="AM832" i="13176"/>
  <c r="AM823" i="13176"/>
  <c r="AM820" i="13176"/>
  <c r="AM812" i="13176"/>
  <c r="AM804" i="13176"/>
  <c r="AM796" i="13176"/>
  <c r="AM817" i="13176"/>
  <c r="AM766" i="13176"/>
  <c r="AM758" i="13176"/>
  <c r="AM784" i="13176"/>
  <c r="AM801" i="13176"/>
  <c r="AM757" i="13176"/>
  <c r="AM749" i="13176"/>
  <c r="AM785" i="13176"/>
  <c r="AM770" i="13176"/>
  <c r="AM762" i="13176"/>
  <c r="AM754" i="13176"/>
  <c r="AM746" i="13176"/>
  <c r="AM853" i="13176"/>
  <c r="AM809" i="13176"/>
  <c r="AM788" i="13176"/>
  <c r="AM780" i="13176"/>
  <c r="AM793" i="13176"/>
  <c r="AM777" i="13176"/>
  <c r="AM769" i="13176"/>
  <c r="AM761" i="13176"/>
  <c r="AM753" i="13176"/>
  <c r="AM715" i="13176"/>
  <c r="AM707" i="13176"/>
  <c r="AM742" i="13176"/>
  <c r="AM730" i="13176"/>
  <c r="AM722" i="13176"/>
  <c r="AM714" i="13176"/>
  <c r="AM706" i="13176"/>
  <c r="AM782" i="13176"/>
  <c r="AM735" i="13176"/>
  <c r="AM727" i="13176"/>
  <c r="AM719" i="13176"/>
  <c r="AM711" i="13176"/>
  <c r="AM750" i="13176"/>
  <c r="AM745" i="13176"/>
  <c r="AM737" i="13176"/>
  <c r="AM729" i="13176"/>
  <c r="AM721" i="13176"/>
  <c r="AM713" i="13176"/>
  <c r="AM734" i="13176"/>
  <c r="AM726" i="13176"/>
  <c r="AM718" i="13176"/>
  <c r="AM710" i="13176"/>
  <c r="AM703" i="13176"/>
  <c r="AM702" i="13176"/>
  <c r="AM698" i="13176"/>
  <c r="AM673" i="13176"/>
  <c r="AM665" i="13176"/>
  <c r="AM741" i="13176"/>
  <c r="AM686" i="13176"/>
  <c r="AM678" i="13176"/>
  <c r="AM691" i="13176"/>
  <c r="AM683" i="13176"/>
  <c r="AM675" i="13176"/>
  <c r="AM667" i="13176"/>
  <c r="AM695" i="13176"/>
  <c r="AM688" i="13176"/>
  <c r="AM680" i="13176"/>
  <c r="AM672" i="13176"/>
  <c r="AM699" i="13176"/>
  <c r="AM670" i="13176"/>
  <c r="AM654" i="13176"/>
  <c r="AM646" i="13176"/>
  <c r="AM638" i="13176"/>
  <c r="AM664" i="13176"/>
  <c r="AM651" i="13176"/>
  <c r="AM643" i="13176"/>
  <c r="AM635" i="13176"/>
  <c r="AM662" i="13176"/>
  <c r="AM658" i="13176"/>
  <c r="AM650" i="13176"/>
  <c r="AM642" i="13176"/>
  <c r="AM634" i="13176"/>
  <c r="AM631" i="13176"/>
  <c r="AM639" i="13176"/>
  <c r="AM615" i="13176"/>
  <c r="AM611" i="13176"/>
  <c r="AM647" i="13176"/>
  <c r="AM619" i="13176"/>
  <c r="AM627" i="13176"/>
  <c r="AM626" i="13176"/>
  <c r="AM616" i="13176"/>
  <c r="AM613" i="13176"/>
  <c r="AM618" i="13176"/>
  <c r="AM630" i="13176"/>
  <c r="AM610" i="13176"/>
  <c r="AM600" i="13176"/>
  <c r="AM655" i="13176"/>
  <c r="AM585" i="13176"/>
  <c r="AM601" i="13176"/>
  <c r="AM599" i="13176"/>
  <c r="AM553" i="13176"/>
  <c r="AM556" i="13176"/>
  <c r="AM535" i="13176"/>
  <c r="AM541" i="13176"/>
  <c r="AM555" i="13176"/>
  <c r="AM546" i="13176"/>
  <c r="AM540" i="13176"/>
  <c r="AM532" i="13176"/>
  <c r="AM543" i="13176"/>
  <c r="AM537" i="13176"/>
  <c r="AM527" i="13176"/>
  <c r="AM518" i="13176"/>
  <c r="AM508" i="13176"/>
  <c r="AM516" i="13176"/>
  <c r="AM511" i="13176"/>
  <c r="AM504" i="13176"/>
  <c r="AM505" i="13176"/>
  <c r="AM503" i="13176"/>
  <c r="AM494" i="13176"/>
  <c r="AM510" i="13176"/>
  <c r="T476" i="13176"/>
  <c r="AA495" i="13176"/>
  <c r="AJ499" i="13176"/>
  <c r="AW479" i="13176"/>
  <c r="AF479" i="13176"/>
  <c r="O479" i="13176"/>
  <c r="AP479" i="13176"/>
  <c r="Y479" i="13176"/>
  <c r="G479" i="13176"/>
  <c r="AX479" i="13176"/>
  <c r="AD479" i="13176"/>
  <c r="K479" i="13176"/>
  <c r="AV479" i="13176"/>
  <c r="AC479" i="13176"/>
  <c r="J479" i="13176"/>
  <c r="AU479" i="13176"/>
  <c r="AB479" i="13176"/>
  <c r="I479" i="13176"/>
  <c r="AO479" i="13176"/>
  <c r="W479" i="13176"/>
  <c r="D479" i="13176"/>
  <c r="AN479" i="13176"/>
  <c r="V479" i="13176"/>
  <c r="C479" i="13176"/>
  <c r="AT479" i="13176"/>
  <c r="AA479" i="13176"/>
  <c r="H479" i="13176"/>
  <c r="AR479" i="13176"/>
  <c r="Z479" i="13176"/>
  <c r="F479" i="13176"/>
  <c r="AQ479" i="13176"/>
  <c r="X479" i="13176"/>
  <c r="E479" i="13176"/>
  <c r="AL479" i="13176"/>
  <c r="T479" i="13176"/>
  <c r="BD479" i="13176"/>
  <c r="AK479" i="13176"/>
  <c r="S479" i="13176"/>
  <c r="BA479" i="13176"/>
  <c r="AH479" i="13176"/>
  <c r="N479" i="13176"/>
  <c r="AZ479" i="13176"/>
  <c r="AG479" i="13176"/>
  <c r="M479" i="13176"/>
  <c r="D482" i="13176"/>
  <c r="T486" i="13176"/>
  <c r="AG495" i="13176"/>
  <c r="L479" i="13176"/>
  <c r="W486" i="13176"/>
  <c r="AY495" i="13176"/>
  <c r="AJ504" i="13176"/>
  <c r="AY500" i="13176"/>
  <c r="AH500" i="13176"/>
  <c r="Q500" i="13176"/>
  <c r="AW500" i="13176"/>
  <c r="AE500" i="13176"/>
  <c r="M500" i="13176"/>
  <c r="AR500" i="13176"/>
  <c r="AA500" i="13176"/>
  <c r="I500" i="13176"/>
  <c r="AQ500" i="13176"/>
  <c r="Z500" i="13176"/>
  <c r="H500" i="13176"/>
  <c r="AO500" i="13176"/>
  <c r="X500" i="13176"/>
  <c r="F500" i="13176"/>
  <c r="AV500" i="13176"/>
  <c r="W500" i="13176"/>
  <c r="AU500" i="13176"/>
  <c r="V500" i="13176"/>
  <c r="AT500" i="13176"/>
  <c r="U500" i="13176"/>
  <c r="AP500" i="13176"/>
  <c r="T500" i="13176"/>
  <c r="AN500" i="13176"/>
  <c r="S500" i="13176"/>
  <c r="AL500" i="13176"/>
  <c r="O500" i="13176"/>
  <c r="AM500" i="13176"/>
  <c r="P500" i="13176"/>
  <c r="AJ500" i="13176"/>
  <c r="L500" i="13176"/>
  <c r="AK500" i="13176"/>
  <c r="N500" i="13176"/>
  <c r="AI500" i="13176"/>
  <c r="K500" i="13176"/>
  <c r="BD500" i="13176"/>
  <c r="AG500" i="13176"/>
  <c r="J500" i="13176"/>
  <c r="BB500" i="13176"/>
  <c r="AD500" i="13176"/>
  <c r="E500" i="13176"/>
  <c r="BA500" i="13176"/>
  <c r="AC500" i="13176"/>
  <c r="D500" i="13176"/>
  <c r="AZ500" i="13176"/>
  <c r="AB500" i="13176"/>
  <c r="C500" i="13176"/>
  <c r="AM506" i="13176"/>
  <c r="AJ509" i="13176"/>
  <c r="AU506" i="13176"/>
  <c r="AD506" i="13176"/>
  <c r="M506" i="13176"/>
  <c r="AY506" i="13176"/>
  <c r="AH506" i="13176"/>
  <c r="Q506" i="13176"/>
  <c r="AZ506" i="13176"/>
  <c r="AF506" i="13176"/>
  <c r="L506" i="13176"/>
  <c r="AT506" i="13176"/>
  <c r="AA506" i="13176"/>
  <c r="H506" i="13176"/>
  <c r="AR506" i="13176"/>
  <c r="Z506" i="13176"/>
  <c r="G506" i="13176"/>
  <c r="AP506" i="13176"/>
  <c r="X506" i="13176"/>
  <c r="E506" i="13176"/>
  <c r="AO506" i="13176"/>
  <c r="W506" i="13176"/>
  <c r="D506" i="13176"/>
  <c r="AN506" i="13176"/>
  <c r="V506" i="13176"/>
  <c r="C506" i="13176"/>
  <c r="AI506" i="13176"/>
  <c r="J507" i="13176"/>
  <c r="L508" i="13176"/>
  <c r="U509" i="13176"/>
  <c r="BD509" i="13176"/>
  <c r="U513" i="13176"/>
  <c r="AU514" i="13176"/>
  <c r="AD514" i="13176"/>
  <c r="M514" i="13176"/>
  <c r="AY514" i="13176"/>
  <c r="AH514" i="13176"/>
  <c r="Q514" i="13176"/>
  <c r="BD514" i="13176"/>
  <c r="AK514" i="13176"/>
  <c r="S514" i="13176"/>
  <c r="AZ514" i="13176"/>
  <c r="AF514" i="13176"/>
  <c r="L514" i="13176"/>
  <c r="AX514" i="13176"/>
  <c r="AE514" i="13176"/>
  <c r="K514" i="13176"/>
  <c r="AV514" i="13176"/>
  <c r="AB514" i="13176"/>
  <c r="I514" i="13176"/>
  <c r="AT514" i="13176"/>
  <c r="AA514" i="13176"/>
  <c r="H514" i="13176"/>
  <c r="AR514" i="13176"/>
  <c r="Z514" i="13176"/>
  <c r="G514" i="13176"/>
  <c r="AQ514" i="13176"/>
  <c r="Y514" i="13176"/>
  <c r="F514" i="13176"/>
  <c r="AP514" i="13176"/>
  <c r="X514" i="13176"/>
  <c r="E514" i="13176"/>
  <c r="AM514" i="13176"/>
  <c r="BA516" i="13176"/>
  <c r="AX518" i="13176"/>
  <c r="AW519" i="13176"/>
  <c r="AP521" i="13176"/>
  <c r="AT522" i="13176"/>
  <c r="AR524" i="13176"/>
  <c r="L525" i="13176"/>
  <c r="AZ530" i="13176"/>
  <c r="AB532" i="13176"/>
  <c r="BB545" i="13176"/>
  <c r="BD549" i="13176"/>
  <c r="AU482" i="13176"/>
  <c r="AD482" i="13176"/>
  <c r="M482" i="13176"/>
  <c r="AZ482" i="13176"/>
  <c r="AH482" i="13176"/>
  <c r="P482" i="13176"/>
  <c r="AT482" i="13176"/>
  <c r="AB482" i="13176"/>
  <c r="J482" i="13176"/>
  <c r="V482" i="13176"/>
  <c r="AO482" i="13176"/>
  <c r="E483" i="13176"/>
  <c r="AA483" i="13176"/>
  <c r="AU483" i="13176"/>
  <c r="J484" i="13176"/>
  <c r="AD484" i="13176"/>
  <c r="AX484" i="13176"/>
  <c r="M485" i="13176"/>
  <c r="AG485" i="13176"/>
  <c r="BA485" i="13176"/>
  <c r="Q486" i="13176"/>
  <c r="AK486" i="13176"/>
  <c r="AP512" i="13176"/>
  <c r="Z512" i="13176"/>
  <c r="I512" i="13176"/>
  <c r="AU512" i="13176"/>
  <c r="AD512" i="13176"/>
  <c r="M512" i="13176"/>
  <c r="BC512" i="13176"/>
  <c r="AJ512" i="13176"/>
  <c r="Q512" i="13176"/>
  <c r="AY512" i="13176"/>
  <c r="AF512" i="13176"/>
  <c r="L512" i="13176"/>
  <c r="AX512" i="13176"/>
  <c r="AE512" i="13176"/>
  <c r="K512" i="13176"/>
  <c r="AV512" i="13176"/>
  <c r="AB512" i="13176"/>
  <c r="H512" i="13176"/>
  <c r="AT512" i="13176"/>
  <c r="AA512" i="13176"/>
  <c r="G512" i="13176"/>
  <c r="AR512" i="13176"/>
  <c r="Y512" i="13176"/>
  <c r="F512" i="13176"/>
  <c r="AQ512" i="13176"/>
  <c r="X512" i="13176"/>
  <c r="E512" i="13176"/>
  <c r="AO512" i="13176"/>
  <c r="W512" i="13176"/>
  <c r="D512" i="13176"/>
  <c r="AM512" i="13176"/>
  <c r="V513" i="13176"/>
  <c r="C514" i="13176"/>
  <c r="AN514" i="13176"/>
  <c r="AY517" i="13176"/>
  <c r="BA519" i="13176"/>
  <c r="P525" i="13176"/>
  <c r="AC526" i="13176"/>
  <c r="AE532" i="13176"/>
  <c r="AD534" i="13176"/>
  <c r="S540" i="13176"/>
  <c r="Q545" i="13176"/>
  <c r="E1210" i="13176"/>
  <c r="E1187" i="13176"/>
  <c r="E1192" i="13176"/>
  <c r="E1184" i="13176"/>
  <c r="E1213" i="13176"/>
  <c r="E1202" i="13176"/>
  <c r="E1205" i="13176"/>
  <c r="E1185" i="13176"/>
  <c r="E1179" i="13176"/>
  <c r="E1171" i="13176"/>
  <c r="E1177" i="13176"/>
  <c r="E1166" i="13176"/>
  <c r="E1153" i="13176"/>
  <c r="E1169" i="13176"/>
  <c r="E1163" i="13176"/>
  <c r="E1161" i="13176"/>
  <c r="E1174" i="13176"/>
  <c r="E1154" i="13176"/>
  <c r="E1145" i="13176"/>
  <c r="E1138" i="13176"/>
  <c r="E1156" i="13176"/>
  <c r="E1146" i="13176"/>
  <c r="E1137" i="13176"/>
  <c r="E1134" i="13176"/>
  <c r="E1139" i="13176"/>
  <c r="E1130" i="13176"/>
  <c r="E1126" i="13176"/>
  <c r="E1115" i="13176"/>
  <c r="E1118" i="13176"/>
  <c r="E1122" i="13176"/>
  <c r="E1116" i="13176"/>
  <c r="E1108" i="13176"/>
  <c r="E1107" i="13176"/>
  <c r="E1100" i="13176"/>
  <c r="E1087" i="13176"/>
  <c r="E1123" i="13176"/>
  <c r="E1099" i="13176"/>
  <c r="E1092" i="13176"/>
  <c r="E1095" i="13176"/>
  <c r="E1088" i="13176"/>
  <c r="E1072" i="13176"/>
  <c r="E1076" i="13176"/>
  <c r="E1081" i="13176"/>
  <c r="E1073" i="13176"/>
  <c r="E1131" i="13176"/>
  <c r="E1101" i="13176"/>
  <c r="E1089" i="13176"/>
  <c r="E1084" i="13176"/>
  <c r="E1080" i="13176"/>
  <c r="E1067" i="13176"/>
  <c r="E1059" i="13176"/>
  <c r="E1096" i="13176"/>
  <c r="E1054" i="13176"/>
  <c r="E1040" i="13176"/>
  <c r="E1051" i="13176"/>
  <c r="E1058" i="13176"/>
  <c r="E1041" i="13176"/>
  <c r="E1016" i="13176"/>
  <c r="E1008" i="13176"/>
  <c r="E1032" i="13176"/>
  <c r="E1062" i="13176"/>
  <c r="E1025" i="13176"/>
  <c r="E1012" i="13176"/>
  <c r="E1033" i="13176"/>
  <c r="E1006" i="13176"/>
  <c r="E1000" i="13176"/>
  <c r="E1009" i="13176"/>
  <c r="E997" i="13176"/>
  <c r="E989" i="13176"/>
  <c r="E981" i="13176"/>
  <c r="E1017" i="13176"/>
  <c r="E1001" i="13176"/>
  <c r="E1014" i="13176"/>
  <c r="E990" i="13176"/>
  <c r="E982" i="13176"/>
  <c r="E1004" i="13176"/>
  <c r="E995" i="13176"/>
  <c r="E975" i="13176"/>
  <c r="E979" i="13176"/>
  <c r="E973" i="13176"/>
  <c r="E987" i="13176"/>
  <c r="E974" i="13176"/>
  <c r="E947" i="13176"/>
  <c r="E939" i="13176"/>
  <c r="E931" i="13176"/>
  <c r="E923" i="13176"/>
  <c r="E915" i="13176"/>
  <c r="E907" i="13176"/>
  <c r="E899" i="13176"/>
  <c r="E906" i="13176"/>
  <c r="E898" i="13176"/>
  <c r="E890" i="13176"/>
  <c r="E882" i="13176"/>
  <c r="E874" i="13176"/>
  <c r="E887" i="13176"/>
  <c r="E879" i="13176"/>
  <c r="E865" i="13176"/>
  <c r="E857" i="13176"/>
  <c r="E849" i="13176"/>
  <c r="E895" i="13176"/>
  <c r="E871" i="13176"/>
  <c r="E864" i="13176"/>
  <c r="E856" i="13176"/>
  <c r="E848" i="13176"/>
  <c r="E840" i="13176"/>
  <c r="E903" i="13176"/>
  <c r="E867" i="13176"/>
  <c r="E825" i="13176"/>
  <c r="E821" i="13176"/>
  <c r="E813" i="13176"/>
  <c r="E805" i="13176"/>
  <c r="E797" i="13176"/>
  <c r="E789" i="13176"/>
  <c r="E832" i="13176"/>
  <c r="E827" i="13176"/>
  <c r="E824" i="13176"/>
  <c r="E820" i="13176"/>
  <c r="E812" i="13176"/>
  <c r="E804" i="13176"/>
  <c r="E796" i="13176"/>
  <c r="E788" i="13176"/>
  <c r="E773" i="13176"/>
  <c r="E765" i="13176"/>
  <c r="E757" i="13176"/>
  <c r="E749" i="13176"/>
  <c r="E781" i="13176"/>
  <c r="E775" i="13176"/>
  <c r="E767" i="13176"/>
  <c r="E780" i="13176"/>
  <c r="E777" i="13176"/>
  <c r="E741" i="13176"/>
  <c r="E751" i="13176"/>
  <c r="E745" i="13176"/>
  <c r="E761" i="13176"/>
  <c r="E769" i="13176"/>
  <c r="E759" i="13176"/>
  <c r="E729" i="13176"/>
  <c r="E721" i="13176"/>
  <c r="E685" i="13176"/>
  <c r="E677" i="13176"/>
  <c r="E702" i="13176"/>
  <c r="E726" i="13176"/>
  <c r="E753" i="13176"/>
  <c r="E734" i="13176"/>
  <c r="E716" i="13176"/>
  <c r="E710" i="13176"/>
  <c r="E718" i="13176"/>
  <c r="E708" i="13176"/>
  <c r="E688" i="13176"/>
  <c r="E680" i="13176"/>
  <c r="E661" i="13176"/>
  <c r="E683" i="13176"/>
  <c r="E664" i="13176"/>
  <c r="E675" i="13176"/>
  <c r="E651" i="13176"/>
  <c r="E643" i="13176"/>
  <c r="E667" i="13176"/>
  <c r="E691" i="13176"/>
  <c r="E669" i="13176"/>
  <c r="E672" i="13176"/>
  <c r="E658" i="13176"/>
  <c r="E650" i="13176"/>
  <c r="E642" i="13176"/>
  <c r="E634" i="13176"/>
  <c r="E618" i="13176"/>
  <c r="E626" i="13176"/>
  <c r="E614" i="13176"/>
  <c r="E613" i="13176"/>
  <c r="E619" i="13176"/>
  <c r="E610" i="13176"/>
  <c r="E602" i="13176"/>
  <c r="E552" i="13176"/>
  <c r="E550" i="13176"/>
  <c r="E547" i="13176"/>
  <c r="U1210" i="13176"/>
  <c r="U1212" i="13176"/>
  <c r="U1209" i="13176"/>
  <c r="U1211" i="13176"/>
  <c r="U1201" i="13176"/>
  <c r="U1196" i="13176"/>
  <c r="U1202" i="13176"/>
  <c r="U1187" i="13176"/>
  <c r="U1205" i="13176"/>
  <c r="U1192" i="13176"/>
  <c r="U1194" i="13176"/>
  <c r="U1204" i="13176"/>
  <c r="U1188" i="13176"/>
  <c r="U1171" i="13176"/>
  <c r="U1168" i="13176"/>
  <c r="U1179" i="13176"/>
  <c r="U1185" i="13176"/>
  <c r="U1177" i="13176"/>
  <c r="U1161" i="13176"/>
  <c r="U1178" i="13176"/>
  <c r="U1169" i="13176"/>
  <c r="U1160" i="13176"/>
  <c r="U1153" i="13176"/>
  <c r="U1180" i="13176"/>
  <c r="U1197" i="13176"/>
  <c r="U1162" i="13176"/>
  <c r="U1155" i="13176"/>
  <c r="U1154" i="13176"/>
  <c r="U1141" i="13176"/>
  <c r="U1138" i="13176"/>
  <c r="U1130" i="13176"/>
  <c r="U1145" i="13176"/>
  <c r="U1163" i="13176"/>
  <c r="U1134" i="13176"/>
  <c r="U1133" i="13176"/>
  <c r="U1121" i="13176"/>
  <c r="U1115" i="13176"/>
  <c r="U1118" i="13176"/>
  <c r="U1125" i="13176"/>
  <c r="U1146" i="13176"/>
  <c r="U1126" i="13176"/>
  <c r="U1122" i="13176"/>
  <c r="U1129" i="13176"/>
  <c r="U1124" i="13176"/>
  <c r="U1099" i="13176"/>
  <c r="U1091" i="13176"/>
  <c r="U1088" i="13176"/>
  <c r="U1080" i="13176"/>
  <c r="U1100" i="13176"/>
  <c r="U1087" i="13176"/>
  <c r="U1116" i="13176"/>
  <c r="U1092" i="13176"/>
  <c r="U1084" i="13176"/>
  <c r="U1108" i="13176"/>
  <c r="U1072" i="13176"/>
  <c r="U1090" i="13176"/>
  <c r="U1071" i="13176"/>
  <c r="U1063" i="13176"/>
  <c r="U1107" i="13176"/>
  <c r="U1101" i="13176"/>
  <c r="U1075" i="13176"/>
  <c r="U1076" i="13176"/>
  <c r="U1137" i="13176"/>
  <c r="U1103" i="13176"/>
  <c r="U1083" i="13176"/>
  <c r="U1055" i="13176"/>
  <c r="U1052" i="13176"/>
  <c r="U1040" i="13176"/>
  <c r="U1058" i="13176"/>
  <c r="U1045" i="13176"/>
  <c r="U1037" i="13176"/>
  <c r="U1067" i="13176"/>
  <c r="U1059" i="13176"/>
  <c r="U1062" i="13176"/>
  <c r="U1051" i="13176"/>
  <c r="U1032" i="13176"/>
  <c r="U1022" i="13176"/>
  <c r="U1070" i="13176"/>
  <c r="U1016" i="13176"/>
  <c r="U1008" i="13176"/>
  <c r="U1053" i="13176"/>
  <c r="U1026" i="13176"/>
  <c r="U1033" i="13176"/>
  <c r="U1029" i="13176"/>
  <c r="U1031" i="13176"/>
  <c r="U1017" i="13176"/>
  <c r="U1009" i="13176"/>
  <c r="U1041" i="13176"/>
  <c r="U1010" i="13176"/>
  <c r="U997" i="13176"/>
  <c r="U989" i="13176"/>
  <c r="U981" i="13176"/>
  <c r="U1004" i="13176"/>
  <c r="U1000" i="13176"/>
  <c r="U1025" i="13176"/>
  <c r="U991" i="13176"/>
  <c r="U1001" i="13176"/>
  <c r="U990" i="13176"/>
  <c r="U974" i="13176"/>
  <c r="U975" i="13176"/>
  <c r="U983" i="13176"/>
  <c r="U982" i="13176"/>
  <c r="U973" i="13176"/>
  <c r="U961" i="13176"/>
  <c r="U946" i="13176"/>
  <c r="U938" i="13176"/>
  <c r="U930" i="13176"/>
  <c r="U922" i="13176"/>
  <c r="U957" i="13176"/>
  <c r="U952" i="13176"/>
  <c r="U965" i="13176"/>
  <c r="U960" i="13176"/>
  <c r="U958" i="13176"/>
  <c r="U955" i="13176"/>
  <c r="U969" i="13176"/>
  <c r="U887" i="13176"/>
  <c r="U923" i="13176"/>
  <c r="U909" i="13176"/>
  <c r="U914" i="13176"/>
  <c r="U911" i="13176"/>
  <c r="U902" i="13176"/>
  <c r="U894" i="13176"/>
  <c r="U886" i="13176"/>
  <c r="U878" i="13176"/>
  <c r="U939" i="13176"/>
  <c r="U937" i="13176"/>
  <c r="U910" i="13176"/>
  <c r="U908" i="13176"/>
  <c r="U901" i="13176"/>
  <c r="U893" i="13176"/>
  <c r="U885" i="13176"/>
  <c r="U947" i="13176"/>
  <c r="U931" i="13176"/>
  <c r="U929" i="13176"/>
  <c r="U915" i="13176"/>
  <c r="U906" i="13176"/>
  <c r="U898" i="13176"/>
  <c r="U890" i="13176"/>
  <c r="U882" i="13176"/>
  <c r="U877" i="13176"/>
  <c r="U874" i="13176"/>
  <c r="U860" i="13176"/>
  <c r="U852" i="13176"/>
  <c r="U844" i="13176"/>
  <c r="U836" i="13176"/>
  <c r="U870" i="13176"/>
  <c r="U856" i="13176"/>
  <c r="U817" i="13176"/>
  <c r="U809" i="13176"/>
  <c r="U801" i="13176"/>
  <c r="U793" i="13176"/>
  <c r="U785" i="13176"/>
  <c r="U840" i="13176"/>
  <c r="U832" i="13176"/>
  <c r="U824" i="13176"/>
  <c r="U827" i="13176"/>
  <c r="U864" i="13176"/>
  <c r="U816" i="13176"/>
  <c r="U808" i="13176"/>
  <c r="U800" i="13176"/>
  <c r="U792" i="13176"/>
  <c r="U826" i="13176"/>
  <c r="U848" i="13176"/>
  <c r="U835" i="13176"/>
  <c r="U830" i="13176"/>
  <c r="U825" i="13176"/>
  <c r="U777" i="13176"/>
  <c r="U769" i="13176"/>
  <c r="U761" i="13176"/>
  <c r="U753" i="13176"/>
  <c r="U820" i="13176"/>
  <c r="U779" i="13176"/>
  <c r="U771" i="13176"/>
  <c r="U804" i="13176"/>
  <c r="U773" i="13176"/>
  <c r="U765" i="13176"/>
  <c r="U757" i="13176"/>
  <c r="U749" i="13176"/>
  <c r="U812" i="13176"/>
  <c r="U784" i="13176"/>
  <c r="U791" i="13176"/>
  <c r="U780" i="13176"/>
  <c r="U796" i="13176"/>
  <c r="U745" i="13176"/>
  <c r="U734" i="13176"/>
  <c r="U726" i="13176"/>
  <c r="U718" i="13176"/>
  <c r="U710" i="13176"/>
  <c r="U788" i="13176"/>
  <c r="U787" i="13176"/>
  <c r="U730" i="13176"/>
  <c r="U722" i="13176"/>
  <c r="U714" i="13176"/>
  <c r="U706" i="13176"/>
  <c r="U741" i="13176"/>
  <c r="U743" i="13176"/>
  <c r="U739" i="13176"/>
  <c r="U729" i="13176"/>
  <c r="U721" i="13176"/>
  <c r="U713" i="13176"/>
  <c r="U687" i="13176"/>
  <c r="U679" i="13176"/>
  <c r="U671" i="13176"/>
  <c r="U697" i="13176"/>
  <c r="U689" i="13176"/>
  <c r="U681" i="13176"/>
  <c r="U691" i="13176"/>
  <c r="U683" i="13176"/>
  <c r="U675" i="13176"/>
  <c r="U667" i="13176"/>
  <c r="U702" i="13176"/>
  <c r="U698" i="13176"/>
  <c r="U655" i="13176"/>
  <c r="U647" i="13176"/>
  <c r="U639" i="13176"/>
  <c r="U631" i="13176"/>
  <c r="U665" i="13176"/>
  <c r="U662" i="13176"/>
  <c r="U654" i="13176"/>
  <c r="U646" i="13176"/>
  <c r="U638" i="13176"/>
  <c r="U663" i="13176"/>
  <c r="U694" i="13176"/>
  <c r="U673" i="13176"/>
  <c r="U658" i="13176"/>
  <c r="U626" i="13176"/>
  <c r="U630" i="13176"/>
  <c r="U642" i="13176"/>
  <c r="U612" i="13176"/>
  <c r="U619" i="13176"/>
  <c r="U616" i="13176"/>
  <c r="U614" i="13176"/>
  <c r="U650" i="13176"/>
  <c r="U618" i="13176"/>
  <c r="U659" i="13176"/>
  <c r="U624" i="13176"/>
  <c r="U634" i="13176"/>
  <c r="U613" i="13176"/>
  <c r="U604" i="13176"/>
  <c r="U603" i="13176"/>
  <c r="U602" i="13176"/>
  <c r="U600" i="13176"/>
  <c r="U621" i="13176"/>
  <c r="U585" i="13176"/>
  <c r="U555" i="13176"/>
  <c r="U589" i="13176"/>
  <c r="U586" i="13176"/>
  <c r="U550" i="13176"/>
  <c r="U548" i="13176"/>
  <c r="U590" i="13176"/>
  <c r="U601" i="13176"/>
  <c r="U587" i="13176"/>
  <c r="U591" i="13176"/>
  <c r="U588" i="13176"/>
  <c r="U546" i="13176"/>
  <c r="U543" i="13176"/>
  <c r="U542" i="13176"/>
  <c r="U521" i="13176"/>
  <c r="U527" i="13176"/>
  <c r="U535" i="13176"/>
  <c r="U518" i="13176"/>
  <c r="U540" i="13176"/>
  <c r="AK1210" i="13176"/>
  <c r="AK1212" i="13176"/>
  <c r="AK1209" i="13176"/>
  <c r="AK1211" i="13176"/>
  <c r="AK1205" i="13176"/>
  <c r="AK1187" i="13176"/>
  <c r="AK1204" i="13176"/>
  <c r="AK1201" i="13176"/>
  <c r="AK1202" i="13176"/>
  <c r="AK1192" i="13176"/>
  <c r="AK1198" i="13176"/>
  <c r="AK1171" i="13176"/>
  <c r="AK1163" i="13176"/>
  <c r="AK1185" i="13176"/>
  <c r="AK1179" i="13176"/>
  <c r="AK1176" i="13176"/>
  <c r="AK1188" i="13176"/>
  <c r="AK1195" i="13176"/>
  <c r="AK1162" i="13176"/>
  <c r="AK1153" i="13176"/>
  <c r="AK1161" i="13176"/>
  <c r="AK1160" i="13176"/>
  <c r="AK1177" i="13176"/>
  <c r="AK1169" i="13176"/>
  <c r="AK1146" i="13176"/>
  <c r="AK1157" i="13176"/>
  <c r="AK1138" i="13176"/>
  <c r="AK1130" i="13176"/>
  <c r="AK1147" i="13176"/>
  <c r="AK1145" i="13176"/>
  <c r="AK1155" i="13176"/>
  <c r="AK1154" i="13176"/>
  <c r="AK1134" i="13176"/>
  <c r="AK1133" i="13176"/>
  <c r="AK1126" i="13176"/>
  <c r="AK1115" i="13176"/>
  <c r="AK1129" i="13176"/>
  <c r="AK1121" i="13176"/>
  <c r="AK1118" i="13176"/>
  <c r="AK1137" i="13176"/>
  <c r="AK1122" i="13176"/>
  <c r="AK1091" i="13176"/>
  <c r="AK1108" i="13176"/>
  <c r="AK1099" i="13176"/>
  <c r="AK1088" i="13176"/>
  <c r="AK1080" i="13176"/>
  <c r="AK1107" i="13176"/>
  <c r="AK1087" i="13176"/>
  <c r="AK1116" i="13176"/>
  <c r="AK1100" i="13176"/>
  <c r="AK1092" i="13176"/>
  <c r="AK1084" i="13176"/>
  <c r="AK1076" i="13176"/>
  <c r="AK1097" i="13176"/>
  <c r="AK1090" i="13176"/>
  <c r="AK1071" i="13176"/>
  <c r="AK1063" i="13176"/>
  <c r="AK1083" i="13176"/>
  <c r="AK1072" i="13176"/>
  <c r="AK1051" i="13176"/>
  <c r="AK1059" i="13176"/>
  <c r="AK1040" i="13176"/>
  <c r="AK1067" i="13176"/>
  <c r="AK1045" i="13176"/>
  <c r="AK1037" i="13176"/>
  <c r="AK1062" i="13176"/>
  <c r="AK1052" i="13176"/>
  <c r="AK1055" i="13176"/>
  <c r="AK1050" i="13176"/>
  <c r="AK1070" i="13176"/>
  <c r="AK1054" i="13176"/>
  <c r="AK1033" i="13176"/>
  <c r="AK1058" i="13176"/>
  <c r="AK1025" i="13176"/>
  <c r="AK1016" i="13176"/>
  <c r="AK1008" i="13176"/>
  <c r="AK1022" i="13176"/>
  <c r="AK1032" i="13176"/>
  <c r="AK1026" i="13176"/>
  <c r="AK1041" i="13176"/>
  <c r="AK1009" i="13176"/>
  <c r="AK1017" i="13176"/>
  <c r="AK1010" i="13176"/>
  <c r="AK1019" i="13176"/>
  <c r="AK989" i="13176"/>
  <c r="AK981" i="13176"/>
  <c r="AK997" i="13176"/>
  <c r="AK991" i="13176"/>
  <c r="AK1018" i="13176"/>
  <c r="AK1000" i="13176"/>
  <c r="AK1004" i="13176"/>
  <c r="AK1001" i="13176"/>
  <c r="AK990" i="13176"/>
  <c r="AK982" i="13176"/>
  <c r="AK974" i="13176"/>
  <c r="AK983" i="13176"/>
  <c r="AK1020" i="13176"/>
  <c r="AK975" i="13176"/>
  <c r="AK960" i="13176"/>
  <c r="AK955" i="13176"/>
  <c r="AK950" i="13176"/>
  <c r="AK946" i="13176"/>
  <c r="AK938" i="13176"/>
  <c r="AK930" i="13176"/>
  <c r="AK922" i="13176"/>
  <c r="AK977" i="13176"/>
  <c r="AK973" i="13176"/>
  <c r="AK965" i="13176"/>
  <c r="AK969" i="13176"/>
  <c r="AK952" i="13176"/>
  <c r="AK972" i="13176"/>
  <c r="AK961" i="13176"/>
  <c r="AK957" i="13176"/>
  <c r="AK902" i="13176"/>
  <c r="AK894" i="13176"/>
  <c r="AK886" i="13176"/>
  <c r="AK878" i="13176"/>
  <c r="AK939" i="13176"/>
  <c r="AK909" i="13176"/>
  <c r="AK937" i="13176"/>
  <c r="AK915" i="13176"/>
  <c r="AK931" i="13176"/>
  <c r="AK911" i="13176"/>
  <c r="AK947" i="13176"/>
  <c r="AK929" i="13176"/>
  <c r="AK901" i="13176"/>
  <c r="AK893" i="13176"/>
  <c r="AK885" i="13176"/>
  <c r="AK918" i="13176"/>
  <c r="AK914" i="13176"/>
  <c r="AK906" i="13176"/>
  <c r="AK898" i="13176"/>
  <c r="AK890" i="13176"/>
  <c r="AK882" i="13176"/>
  <c r="AK923" i="13176"/>
  <c r="AK874" i="13176"/>
  <c r="AK877" i="13176"/>
  <c r="AK870" i="13176"/>
  <c r="AK860" i="13176"/>
  <c r="AK852" i="13176"/>
  <c r="AK844" i="13176"/>
  <c r="AK836" i="13176"/>
  <c r="AK869" i="13176"/>
  <c r="AK817" i="13176"/>
  <c r="AK801" i="13176"/>
  <c r="AK840" i="13176"/>
  <c r="AK864" i="13176"/>
  <c r="AK816" i="13176"/>
  <c r="AK808" i="13176"/>
  <c r="AK800" i="13176"/>
  <c r="AK792" i="13176"/>
  <c r="AK835" i="13176"/>
  <c r="AK848" i="13176"/>
  <c r="AK824" i="13176"/>
  <c r="AK827" i="13176"/>
  <c r="AK832" i="13176"/>
  <c r="AK826" i="13176"/>
  <c r="AK823" i="13176"/>
  <c r="AK820" i="13176"/>
  <c r="AK777" i="13176"/>
  <c r="AK769" i="13176"/>
  <c r="AK761" i="13176"/>
  <c r="AK753" i="13176"/>
  <c r="AK856" i="13176"/>
  <c r="AK804" i="13176"/>
  <c r="AK784" i="13176"/>
  <c r="AK779" i="13176"/>
  <c r="AK771" i="13176"/>
  <c r="AK773" i="13176"/>
  <c r="AK765" i="13176"/>
  <c r="AK757" i="13176"/>
  <c r="AK749" i="13176"/>
  <c r="AK812" i="13176"/>
  <c r="AK787" i="13176"/>
  <c r="AK788" i="13176"/>
  <c r="AK791" i="13176"/>
  <c r="AK796" i="13176"/>
  <c r="AK780" i="13176"/>
  <c r="AK726" i="13176"/>
  <c r="AK718" i="13176"/>
  <c r="AK710" i="13176"/>
  <c r="AK741" i="13176"/>
  <c r="AK743" i="13176"/>
  <c r="AK730" i="13176"/>
  <c r="AK722" i="13176"/>
  <c r="AK714" i="13176"/>
  <c r="AK706" i="13176"/>
  <c r="AK745" i="13176"/>
  <c r="AK737" i="13176"/>
  <c r="AK729" i="13176"/>
  <c r="AK721" i="13176"/>
  <c r="AK713" i="13176"/>
  <c r="AK687" i="13176"/>
  <c r="AK679" i="13176"/>
  <c r="AK698" i="13176"/>
  <c r="AK702" i="13176"/>
  <c r="AK689" i="13176"/>
  <c r="AK681" i="13176"/>
  <c r="AK691" i="13176"/>
  <c r="AK683" i="13176"/>
  <c r="AK675" i="13176"/>
  <c r="AK667" i="13176"/>
  <c r="AK695" i="13176"/>
  <c r="AK665" i="13176"/>
  <c r="AK655" i="13176"/>
  <c r="AK647" i="13176"/>
  <c r="AK639" i="13176"/>
  <c r="AK631" i="13176"/>
  <c r="AK692" i="13176"/>
  <c r="AK654" i="13176"/>
  <c r="AK646" i="13176"/>
  <c r="AK638" i="13176"/>
  <c r="AK673" i="13176"/>
  <c r="AK693" i="13176"/>
  <c r="AK662" i="13176"/>
  <c r="AK642" i="13176"/>
  <c r="AK612" i="13176"/>
  <c r="AK624" i="13176"/>
  <c r="AK621" i="13176"/>
  <c r="AK660" i="13176"/>
  <c r="AK620" i="13176"/>
  <c r="AK614" i="13176"/>
  <c r="AK650" i="13176"/>
  <c r="AK619" i="13176"/>
  <c r="AK616" i="13176"/>
  <c r="AK634" i="13176"/>
  <c r="AK626" i="13176"/>
  <c r="AK613" i="13176"/>
  <c r="AK602" i="13176"/>
  <c r="AK600" i="13176"/>
  <c r="AK585" i="13176"/>
  <c r="AK601" i="13176"/>
  <c r="AK618" i="13176"/>
  <c r="AK658" i="13176"/>
  <c r="AK604" i="13176"/>
  <c r="AK603" i="13176"/>
  <c r="AK546" i="13176"/>
  <c r="AK599" i="13176"/>
  <c r="AK630" i="13176"/>
  <c r="AK553" i="13176"/>
  <c r="AK598" i="13176"/>
  <c r="AK552" i="13176"/>
  <c r="AK535" i="13176"/>
  <c r="AK555" i="13176"/>
  <c r="AK547" i="13176"/>
  <c r="AK548" i="13176"/>
  <c r="AK540" i="13176"/>
  <c r="AK532" i="13176"/>
  <c r="AK550" i="13176"/>
  <c r="AK521" i="13176"/>
  <c r="AK556" i="13176"/>
  <c r="AK537" i="13176"/>
  <c r="BA1213" i="13176"/>
  <c r="BA1195" i="13176"/>
  <c r="BA1187" i="13176"/>
  <c r="BA1208" i="13176"/>
  <c r="BA1174" i="13176"/>
  <c r="BA1179" i="13176"/>
  <c r="BA1182" i="13176"/>
  <c r="BA1176" i="13176"/>
  <c r="BA1205" i="13176"/>
  <c r="BA1153" i="13176"/>
  <c r="BA1169" i="13176"/>
  <c r="BA1161" i="13176"/>
  <c r="BA1133" i="13176"/>
  <c r="BA1138" i="13176"/>
  <c r="BA1130" i="13176"/>
  <c r="BA1122" i="13176"/>
  <c r="BA1137" i="13176"/>
  <c r="BA1134" i="13176"/>
  <c r="BA1129" i="13176"/>
  <c r="BA1115" i="13176"/>
  <c r="BA1107" i="13176"/>
  <c r="BA1151" i="13176"/>
  <c r="BA1126" i="13176"/>
  <c r="BA1118" i="13176"/>
  <c r="BA1117" i="13176"/>
  <c r="BA1121" i="13176"/>
  <c r="BA1094" i="13176"/>
  <c r="BA1095" i="13176"/>
  <c r="BA1088" i="13176"/>
  <c r="BA1096" i="13176"/>
  <c r="BA1099" i="13176"/>
  <c r="BA1083" i="13176"/>
  <c r="BA1091" i="13176"/>
  <c r="BA1087" i="13176"/>
  <c r="BA1092" i="13176"/>
  <c r="BA1076" i="13176"/>
  <c r="BA1071" i="13176"/>
  <c r="BA1084" i="13176"/>
  <c r="BA1054" i="13176"/>
  <c r="BA1049" i="13176"/>
  <c r="BA1016" i="13176"/>
  <c r="BA1008" i="13176"/>
  <c r="BA1031" i="13176"/>
  <c r="BA1015" i="13176"/>
  <c r="BA1023" i="13176"/>
  <c r="BA1001" i="13176"/>
  <c r="BA1004" i="13176"/>
  <c r="BA989" i="13176"/>
  <c r="BA981" i="13176"/>
  <c r="BA1012" i="13176"/>
  <c r="BA997" i="13176"/>
  <c r="BA1009" i="13176"/>
  <c r="BA1000" i="13176"/>
  <c r="BA982" i="13176"/>
  <c r="BA973" i="13176"/>
  <c r="BA990" i="13176"/>
  <c r="BA974" i="13176"/>
  <c r="BA950" i="13176"/>
  <c r="BA951" i="13176"/>
  <c r="BA900" i="13176"/>
  <c r="BA902" i="13176"/>
  <c r="BA894" i="13176"/>
  <c r="BA886" i="13176"/>
  <c r="BA878" i="13176"/>
  <c r="BA870" i="13176"/>
  <c r="BA890" i="13176"/>
  <c r="BA898" i="13176"/>
  <c r="BA866" i="13176"/>
  <c r="BA860" i="13176"/>
  <c r="BA852" i="13176"/>
  <c r="BA882" i="13176"/>
  <c r="BA867" i="13176"/>
  <c r="BA906" i="13176"/>
  <c r="BA816" i="13176"/>
  <c r="BA808" i="13176"/>
  <c r="BA800" i="13176"/>
  <c r="BA792" i="13176"/>
  <c r="BA821" i="13176"/>
  <c r="BA830" i="13176"/>
  <c r="BA828" i="13176"/>
  <c r="BA777" i="13176"/>
  <c r="BA779" i="13176"/>
  <c r="BA771" i="13176"/>
  <c r="BA874" i="13176"/>
  <c r="BA783" i="13176"/>
  <c r="BA778" i="13176"/>
  <c r="BA770" i="13176"/>
  <c r="BA762" i="13176"/>
  <c r="BA784" i="13176"/>
  <c r="BA754" i="13176"/>
  <c r="BA764" i="13176"/>
  <c r="BA746" i="13176"/>
  <c r="BA772" i="13176"/>
  <c r="BA719" i="13176"/>
  <c r="BA748" i="13176"/>
  <c r="BA688" i="13176"/>
  <c r="BA680" i="13176"/>
  <c r="BA729" i="13176"/>
  <c r="BA685" i="13176"/>
  <c r="BA677" i="13176"/>
  <c r="BA695" i="13176"/>
  <c r="BA687" i="13176"/>
  <c r="BA697" i="13176"/>
  <c r="BA689" i="13176"/>
  <c r="BA681" i="13176"/>
  <c r="BA721" i="13176"/>
  <c r="BA713" i="13176"/>
  <c r="BA703" i="13176"/>
  <c r="BA756" i="13176"/>
  <c r="BA711" i="13176"/>
  <c r="BA683" i="13176"/>
  <c r="BA686" i="13176"/>
  <c r="BA670" i="13176"/>
  <c r="BA664" i="13176"/>
  <c r="BA675" i="13176"/>
  <c r="BA672" i="13176"/>
  <c r="BA654" i="13176"/>
  <c r="BA646" i="13176"/>
  <c r="BA678" i="13176"/>
  <c r="BA667" i="13176"/>
  <c r="BA612" i="13176"/>
  <c r="BA621" i="13176"/>
  <c r="BA613" i="13176"/>
  <c r="BA605" i="13176"/>
  <c r="BA550" i="13176"/>
  <c r="BA546" i="13176"/>
  <c r="BA589" i="13176"/>
  <c r="BA552" i="13176"/>
  <c r="BA537" i="13176"/>
  <c r="K476" i="13176"/>
  <c r="AD476" i="13176"/>
  <c r="AW476" i="13176"/>
  <c r="L477" i="13176"/>
  <c r="AF477" i="13176"/>
  <c r="AY477" i="13176"/>
  <c r="M478" i="13176"/>
  <c r="AF478" i="13176"/>
  <c r="AY478" i="13176"/>
  <c r="N480" i="13176"/>
  <c r="AG480" i="13176"/>
  <c r="BB480" i="13176"/>
  <c r="P481" i="13176"/>
  <c r="AL481" i="13176"/>
  <c r="AW487" i="13176"/>
  <c r="AF487" i="13176"/>
  <c r="O487" i="13176"/>
  <c r="BB487" i="13176"/>
  <c r="AJ487" i="13176"/>
  <c r="S487" i="13176"/>
  <c r="AV487" i="13176"/>
  <c r="AD487" i="13176"/>
  <c r="L487" i="13176"/>
  <c r="V487" i="13176"/>
  <c r="AO487" i="13176"/>
  <c r="E488" i="13176"/>
  <c r="O490" i="13176"/>
  <c r="AI490" i="13176"/>
  <c r="BC490" i="13176"/>
  <c r="Q491" i="13176"/>
  <c r="G492" i="13176"/>
  <c r="AC492" i="13176"/>
  <c r="BC492" i="13176"/>
  <c r="V493" i="13176"/>
  <c r="AQ493" i="13176"/>
  <c r="M494" i="13176"/>
  <c r="AJ494" i="13176"/>
  <c r="P496" i="13176"/>
  <c r="AO496" i="13176"/>
  <c r="H497" i="13176"/>
  <c r="AD497" i="13176"/>
  <c r="BD497" i="13176"/>
  <c r="W498" i="13176"/>
  <c r="AR498" i="13176"/>
  <c r="N499" i="13176"/>
  <c r="AK499" i="13176"/>
  <c r="Q501" i="13176"/>
  <c r="AQ501" i="13176"/>
  <c r="L502" i="13176"/>
  <c r="E503" i="13176"/>
  <c r="AG503" i="13176"/>
  <c r="AP504" i="13176"/>
  <c r="Z504" i="13176"/>
  <c r="I504" i="13176"/>
  <c r="AU504" i="13176"/>
  <c r="AD504" i="13176"/>
  <c r="M504" i="13176"/>
  <c r="AY504" i="13176"/>
  <c r="AF504" i="13176"/>
  <c r="L504" i="13176"/>
  <c r="AT504" i="13176"/>
  <c r="AA504" i="13176"/>
  <c r="G504" i="13176"/>
  <c r="AR504" i="13176"/>
  <c r="Y504" i="13176"/>
  <c r="F504" i="13176"/>
  <c r="AO504" i="13176"/>
  <c r="W504" i="13176"/>
  <c r="D504" i="13176"/>
  <c r="AN504" i="13176"/>
  <c r="V504" i="13176"/>
  <c r="C504" i="13176"/>
  <c r="AG504" i="13176"/>
  <c r="AG505" i="13176"/>
  <c r="F506" i="13176"/>
  <c r="AJ506" i="13176"/>
  <c r="L507" i="13176"/>
  <c r="AL507" i="13176"/>
  <c r="N508" i="13176"/>
  <c r="AW508" i="13176"/>
  <c r="Z509" i="13176"/>
  <c r="AK510" i="13176"/>
  <c r="U511" i="13176"/>
  <c r="F1209" i="13176"/>
  <c r="F1210" i="13176"/>
  <c r="F1192" i="13176"/>
  <c r="F1190" i="13176"/>
  <c r="F1202" i="13176"/>
  <c r="F1201" i="13176"/>
  <c r="F1168" i="13176"/>
  <c r="F1177" i="13176"/>
  <c r="F1196" i="13176"/>
  <c r="F1182" i="13176"/>
  <c r="F1166" i="13176"/>
  <c r="F1153" i="13176"/>
  <c r="F1169" i="13176"/>
  <c r="F1199" i="13176"/>
  <c r="F1185" i="13176"/>
  <c r="F1161" i="13176"/>
  <c r="F1174" i="13176"/>
  <c r="F1151" i="13176"/>
  <c r="F1145" i="13176"/>
  <c r="F1138" i="13176"/>
  <c r="F1143" i="13176"/>
  <c r="F1154" i="13176"/>
  <c r="F1135" i="13176"/>
  <c r="F1146" i="13176"/>
  <c r="F1160" i="13176"/>
  <c r="F1139" i="13176"/>
  <c r="F1131" i="13176"/>
  <c r="F1130" i="13176"/>
  <c r="F1126" i="13176"/>
  <c r="F1115" i="13176"/>
  <c r="F1107" i="13176"/>
  <c r="F1127" i="13176"/>
  <c r="F1118" i="13176"/>
  <c r="F1122" i="13176"/>
  <c r="F1119" i="13176"/>
  <c r="F1134" i="13176"/>
  <c r="F1116" i="13176"/>
  <c r="F1123" i="13176"/>
  <c r="F1105" i="13176"/>
  <c r="F1100" i="13176"/>
  <c r="F1104" i="13176"/>
  <c r="F1121" i="13176"/>
  <c r="F1112" i="13176"/>
  <c r="F1099" i="13176"/>
  <c r="F1092" i="13176"/>
  <c r="F1095" i="13176"/>
  <c r="F1108" i="13176"/>
  <c r="F1096" i="13176"/>
  <c r="F1089" i="13176"/>
  <c r="F1081" i="13176"/>
  <c r="F1088" i="13176"/>
  <c r="F1072" i="13176"/>
  <c r="F1076" i="13176"/>
  <c r="F1113" i="13176"/>
  <c r="F1087" i="13176"/>
  <c r="F1077" i="13176"/>
  <c r="F1071" i="13176"/>
  <c r="F1063" i="13176"/>
  <c r="F1073" i="13176"/>
  <c r="F1084" i="13176"/>
  <c r="F1080" i="13176"/>
  <c r="F1059" i="13176"/>
  <c r="F1050" i="13176"/>
  <c r="F1049" i="13176"/>
  <c r="F1048" i="13176"/>
  <c r="F1045" i="13176"/>
  <c r="F1064" i="13176"/>
  <c r="F1051" i="13176"/>
  <c r="F1067" i="13176"/>
  <c r="F1058" i="13176"/>
  <c r="F1056" i="13176"/>
  <c r="F1062" i="13176"/>
  <c r="F1055" i="13176"/>
  <c r="F1041" i="13176"/>
  <c r="F1030" i="13176"/>
  <c r="F1037" i="13176"/>
  <c r="F1038" i="13176"/>
  <c r="F1025" i="13176"/>
  <c r="F1046" i="13176"/>
  <c r="F1052" i="13176"/>
  <c r="F1033" i="13176"/>
  <c r="F1017" i="13176"/>
  <c r="F1009" i="13176"/>
  <c r="F1022" i="13176"/>
  <c r="F1014" i="13176"/>
  <c r="F1000" i="13176"/>
  <c r="F989" i="13176"/>
  <c r="F981" i="13176"/>
  <c r="F1001" i="13176"/>
  <c r="F988" i="13176"/>
  <c r="F990" i="13176"/>
  <c r="F1015" i="13176"/>
  <c r="F1004" i="13176"/>
  <c r="F995" i="13176"/>
  <c r="F987" i="13176"/>
  <c r="F965" i="13176"/>
  <c r="F979" i="13176"/>
  <c r="F973" i="13176"/>
  <c r="F974" i="13176"/>
  <c r="F982" i="13176"/>
  <c r="F1006" i="13176"/>
  <c r="F930" i="13176"/>
  <c r="F922" i="13176"/>
  <c r="F955" i="13176"/>
  <c r="F952" i="13176"/>
  <c r="F966" i="13176"/>
  <c r="F943" i="13176"/>
  <c r="F935" i="13176"/>
  <c r="F927" i="13176"/>
  <c r="F961" i="13176"/>
  <c r="F977" i="13176"/>
  <c r="F957" i="13176"/>
  <c r="F947" i="13176"/>
  <c r="F939" i="13176"/>
  <c r="F931" i="13176"/>
  <c r="F923" i="13176"/>
  <c r="F915" i="13176"/>
  <c r="F936" i="13176"/>
  <c r="F919" i="13176"/>
  <c r="F891" i="13176"/>
  <c r="F883" i="13176"/>
  <c r="F875" i="13176"/>
  <c r="F920" i="13176"/>
  <c r="F908" i="13176"/>
  <c r="F928" i="13176"/>
  <c r="F914" i="13176"/>
  <c r="F906" i="13176"/>
  <c r="F898" i="13176"/>
  <c r="F890" i="13176"/>
  <c r="F882" i="13176"/>
  <c r="F944" i="13176"/>
  <c r="F909" i="13176"/>
  <c r="F903" i="13176"/>
  <c r="F895" i="13176"/>
  <c r="F887" i="13176"/>
  <c r="F879" i="13176"/>
  <c r="F860" i="13176"/>
  <c r="F844" i="13176"/>
  <c r="F836" i="13176"/>
  <c r="F874" i="13176"/>
  <c r="F865" i="13176"/>
  <c r="F857" i="13176"/>
  <c r="F849" i="13176"/>
  <c r="F841" i="13176"/>
  <c r="F871" i="13176"/>
  <c r="F864" i="13176"/>
  <c r="F856" i="13176"/>
  <c r="F848" i="13176"/>
  <c r="F840" i="13176"/>
  <c r="F867" i="13176"/>
  <c r="F833" i="13176"/>
  <c r="F853" i="13176"/>
  <c r="F816" i="13176"/>
  <c r="F808" i="13176"/>
  <c r="F800" i="13176"/>
  <c r="F792" i="13176"/>
  <c r="F861" i="13176"/>
  <c r="F813" i="13176"/>
  <c r="F805" i="13176"/>
  <c r="F797" i="13176"/>
  <c r="F789" i="13176"/>
  <c r="F837" i="13176"/>
  <c r="F832" i="13176"/>
  <c r="F845" i="13176"/>
  <c r="F827" i="13176"/>
  <c r="F824" i="13176"/>
  <c r="F820" i="13176"/>
  <c r="F812" i="13176"/>
  <c r="F804" i="13176"/>
  <c r="F796" i="13176"/>
  <c r="F793" i="13176"/>
  <c r="F766" i="13176"/>
  <c r="F758" i="13176"/>
  <c r="F817" i="13176"/>
  <c r="F788" i="13176"/>
  <c r="F784" i="13176"/>
  <c r="F801" i="13176"/>
  <c r="F757" i="13176"/>
  <c r="F749" i="13176"/>
  <c r="F785" i="13176"/>
  <c r="F770" i="13176"/>
  <c r="F762" i="13176"/>
  <c r="F754" i="13176"/>
  <c r="F746" i="13176"/>
  <c r="F809" i="13176"/>
  <c r="F780" i="13176"/>
  <c r="F777" i="13176"/>
  <c r="F769" i="13176"/>
  <c r="F761" i="13176"/>
  <c r="F753" i="13176"/>
  <c r="F715" i="13176"/>
  <c r="F707" i="13176"/>
  <c r="F741" i="13176"/>
  <c r="F745" i="13176"/>
  <c r="F742" i="13176"/>
  <c r="F730" i="13176"/>
  <c r="F722" i="13176"/>
  <c r="F714" i="13176"/>
  <c r="F706" i="13176"/>
  <c r="F735" i="13176"/>
  <c r="F727" i="13176"/>
  <c r="F719" i="13176"/>
  <c r="F711" i="13176"/>
  <c r="F729" i="13176"/>
  <c r="F721" i="13176"/>
  <c r="F713" i="13176"/>
  <c r="F734" i="13176"/>
  <c r="F726" i="13176"/>
  <c r="F718" i="13176"/>
  <c r="F710" i="13176"/>
  <c r="F702" i="13176"/>
  <c r="F698" i="13176"/>
  <c r="F673" i="13176"/>
  <c r="F686" i="13176"/>
  <c r="F678" i="13176"/>
  <c r="F691" i="13176"/>
  <c r="F683" i="13176"/>
  <c r="F675" i="13176"/>
  <c r="F667" i="13176"/>
  <c r="F750" i="13176"/>
  <c r="F688" i="13176"/>
  <c r="F680" i="13176"/>
  <c r="F672" i="13176"/>
  <c r="F664" i="13176"/>
  <c r="F654" i="13176"/>
  <c r="F646" i="13176"/>
  <c r="F638" i="13176"/>
  <c r="F699" i="13176"/>
  <c r="F651" i="13176"/>
  <c r="F643" i="13176"/>
  <c r="F635" i="13176"/>
  <c r="F703" i="13176"/>
  <c r="F665" i="13176"/>
  <c r="F670" i="13176"/>
  <c r="F658" i="13176"/>
  <c r="F650" i="13176"/>
  <c r="F642" i="13176"/>
  <c r="F634" i="13176"/>
  <c r="F662" i="13176"/>
  <c r="F655" i="13176"/>
  <c r="F627" i="13176"/>
  <c r="F618" i="13176"/>
  <c r="F639" i="13176"/>
  <c r="F626" i="13176"/>
  <c r="F630" i="13176"/>
  <c r="F631" i="13176"/>
  <c r="F621" i="13176"/>
  <c r="F611" i="13176"/>
  <c r="F647" i="13176"/>
  <c r="F613" i="13176"/>
  <c r="F619" i="13176"/>
  <c r="F610" i="13176"/>
  <c r="F600" i="13176"/>
  <c r="F601" i="13176"/>
  <c r="F585" i="13176"/>
  <c r="F587" i="13176"/>
  <c r="F559" i="13176"/>
  <c r="F556" i="13176"/>
  <c r="F546" i="13176"/>
  <c r="F596" i="13176"/>
  <c r="F598" i="13176"/>
  <c r="F535" i="13176"/>
  <c r="F526" i="13176"/>
  <c r="F554" i="13176"/>
  <c r="F552" i="13176"/>
  <c r="F547" i="13176"/>
  <c r="F516" i="13176"/>
  <c r="V1202" i="13176"/>
  <c r="V1187" i="13176"/>
  <c r="V1213" i="13176"/>
  <c r="V1184" i="13176"/>
  <c r="V1205" i="13176"/>
  <c r="V1210" i="13176"/>
  <c r="V1185" i="13176"/>
  <c r="V1171" i="13176"/>
  <c r="V1179" i="13176"/>
  <c r="V1194" i="13176"/>
  <c r="V1177" i="13176"/>
  <c r="V1166" i="13176"/>
  <c r="V1161" i="13176"/>
  <c r="V1169" i="13176"/>
  <c r="V1153" i="13176"/>
  <c r="V1174" i="13176"/>
  <c r="V1163" i="13176"/>
  <c r="V1154" i="13176"/>
  <c r="V1156" i="13176"/>
  <c r="V1138" i="13176"/>
  <c r="V1145" i="13176"/>
  <c r="V1137" i="13176"/>
  <c r="V1134" i="13176"/>
  <c r="V1146" i="13176"/>
  <c r="V1123" i="13176"/>
  <c r="V1121" i="13176"/>
  <c r="V1115" i="13176"/>
  <c r="V1118" i="13176"/>
  <c r="V1126" i="13176"/>
  <c r="V1122" i="13176"/>
  <c r="V1131" i="13176"/>
  <c r="V1130" i="13176"/>
  <c r="V1139" i="13176"/>
  <c r="V1116" i="13176"/>
  <c r="V1108" i="13176"/>
  <c r="V1099" i="13176"/>
  <c r="V1096" i="13176"/>
  <c r="V1149" i="13176"/>
  <c r="V1100" i="13176"/>
  <c r="V1087" i="13176"/>
  <c r="V1092" i="13176"/>
  <c r="V1107" i="13176"/>
  <c r="V1072" i="13176"/>
  <c r="V1080" i="13176"/>
  <c r="V1084" i="13176"/>
  <c r="V1089" i="13176"/>
  <c r="V1076" i="13176"/>
  <c r="V1088" i="13176"/>
  <c r="V1073" i="13176"/>
  <c r="V1081" i="13176"/>
  <c r="V1067" i="13176"/>
  <c r="V1059" i="13176"/>
  <c r="V1040" i="13176"/>
  <c r="V1058" i="13176"/>
  <c r="V1050" i="13176"/>
  <c r="V1049" i="13176"/>
  <c r="V1062" i="13176"/>
  <c r="V1051" i="13176"/>
  <c r="V1041" i="13176"/>
  <c r="V1016" i="13176"/>
  <c r="V1008" i="13176"/>
  <c r="V1033" i="13176"/>
  <c r="V1025" i="13176"/>
  <c r="V1009" i="13176"/>
  <c r="V1017" i="13176"/>
  <c r="V997" i="13176"/>
  <c r="V989" i="13176"/>
  <c r="V981" i="13176"/>
  <c r="V1004" i="13176"/>
  <c r="V1000" i="13176"/>
  <c r="V1014" i="13176"/>
  <c r="V1006" i="13176"/>
  <c r="V1001" i="13176"/>
  <c r="V1032" i="13176"/>
  <c r="V990" i="13176"/>
  <c r="V982" i="13176"/>
  <c r="V995" i="13176"/>
  <c r="V979" i="13176"/>
  <c r="V974" i="13176"/>
  <c r="V987" i="13176"/>
  <c r="V978" i="13176"/>
  <c r="V973" i="13176"/>
  <c r="V1002" i="13176"/>
  <c r="V947" i="13176"/>
  <c r="V939" i="13176"/>
  <c r="V931" i="13176"/>
  <c r="V923" i="13176"/>
  <c r="V915" i="13176"/>
  <c r="V907" i="13176"/>
  <c r="V910" i="13176"/>
  <c r="V906" i="13176"/>
  <c r="V898" i="13176"/>
  <c r="V890" i="13176"/>
  <c r="V882" i="13176"/>
  <c r="V874" i="13176"/>
  <c r="V887" i="13176"/>
  <c r="V879" i="13176"/>
  <c r="V895" i="13176"/>
  <c r="V871" i="13176"/>
  <c r="V865" i="13176"/>
  <c r="V857" i="13176"/>
  <c r="V849" i="13176"/>
  <c r="V903" i="13176"/>
  <c r="V864" i="13176"/>
  <c r="V856" i="13176"/>
  <c r="V848" i="13176"/>
  <c r="V840" i="13176"/>
  <c r="V832" i="13176"/>
  <c r="V821" i="13176"/>
  <c r="V813" i="13176"/>
  <c r="V805" i="13176"/>
  <c r="V797" i="13176"/>
  <c r="V789" i="13176"/>
  <c r="V825" i="13176"/>
  <c r="V820" i="13176"/>
  <c r="V812" i="13176"/>
  <c r="V804" i="13176"/>
  <c r="V796" i="13176"/>
  <c r="V788" i="13176"/>
  <c r="V773" i="13176"/>
  <c r="V765" i="13176"/>
  <c r="V757" i="13176"/>
  <c r="V749" i="13176"/>
  <c r="V775" i="13176"/>
  <c r="V767" i="13176"/>
  <c r="V780" i="13176"/>
  <c r="V751" i="13176"/>
  <c r="V777" i="13176"/>
  <c r="V737" i="13176"/>
  <c r="V761" i="13176"/>
  <c r="V741" i="13176"/>
  <c r="V759" i="13176"/>
  <c r="V769" i="13176"/>
  <c r="V781" i="13176"/>
  <c r="V753" i="13176"/>
  <c r="V743" i="13176"/>
  <c r="V729" i="13176"/>
  <c r="V721" i="13176"/>
  <c r="V685" i="13176"/>
  <c r="V677" i="13176"/>
  <c r="V726" i="13176"/>
  <c r="V716" i="13176"/>
  <c r="V734" i="13176"/>
  <c r="V693" i="13176"/>
  <c r="V692" i="13176"/>
  <c r="V745" i="13176"/>
  <c r="V710" i="13176"/>
  <c r="V718" i="13176"/>
  <c r="V702" i="13176"/>
  <c r="V688" i="13176"/>
  <c r="V680" i="13176"/>
  <c r="V700" i="13176"/>
  <c r="V683" i="13176"/>
  <c r="V675" i="13176"/>
  <c r="V667" i="13176"/>
  <c r="V661" i="13176"/>
  <c r="V669" i="13176"/>
  <c r="V651" i="13176"/>
  <c r="V691" i="13176"/>
  <c r="V672" i="13176"/>
  <c r="V708" i="13176"/>
  <c r="V664" i="13176"/>
  <c r="V658" i="13176"/>
  <c r="V650" i="13176"/>
  <c r="V642" i="13176"/>
  <c r="V634" i="13176"/>
  <c r="V626" i="13176"/>
  <c r="V619" i="13176"/>
  <c r="V614" i="13176"/>
  <c r="V618" i="13176"/>
  <c r="V613" i="13176"/>
  <c r="V610" i="13176"/>
  <c r="V602" i="13176"/>
  <c r="V550" i="13176"/>
  <c r="V586" i="13176"/>
  <c r="V518" i="13176"/>
  <c r="V546" i="13176"/>
  <c r="AL1213" i="13176"/>
  <c r="AL1205" i="13176"/>
  <c r="AL1194" i="13176"/>
  <c r="AL1187" i="13176"/>
  <c r="AL1202" i="13176"/>
  <c r="AL1210" i="13176"/>
  <c r="AL1185" i="13176"/>
  <c r="AL1171" i="13176"/>
  <c r="AL1192" i="13176"/>
  <c r="AL1179" i="13176"/>
  <c r="AL1174" i="13176"/>
  <c r="AL1153" i="13176"/>
  <c r="AL1163" i="13176"/>
  <c r="AL1161" i="13176"/>
  <c r="AL1180" i="13176"/>
  <c r="AL1188" i="13176"/>
  <c r="AL1177" i="13176"/>
  <c r="AL1166" i="13176"/>
  <c r="AL1169" i="13176"/>
  <c r="AL1154" i="13176"/>
  <c r="AL1156" i="13176"/>
  <c r="AL1146" i="13176"/>
  <c r="AL1141" i="13176"/>
  <c r="AL1138" i="13176"/>
  <c r="AL1145" i="13176"/>
  <c r="AL1134" i="13176"/>
  <c r="AL1126" i="13176"/>
  <c r="AL1115" i="13176"/>
  <c r="AL1130" i="13176"/>
  <c r="AL1131" i="13176"/>
  <c r="AL1121" i="13176"/>
  <c r="AL1123" i="13176"/>
  <c r="AL1118" i="13176"/>
  <c r="AL1139" i="13176"/>
  <c r="AL1119" i="13176"/>
  <c r="AL1122" i="13176"/>
  <c r="AL1116" i="13176"/>
  <c r="AL1108" i="13176"/>
  <c r="AL1099" i="13176"/>
  <c r="AL1096" i="13176"/>
  <c r="AL1107" i="13176"/>
  <c r="AL1087" i="13176"/>
  <c r="AL1100" i="13176"/>
  <c r="AL1092" i="13176"/>
  <c r="AL1080" i="13176"/>
  <c r="AL1076" i="13176"/>
  <c r="AL1084" i="13176"/>
  <c r="AL1073" i="13176"/>
  <c r="AL1089" i="13176"/>
  <c r="AL1088" i="13176"/>
  <c r="AL1081" i="13176"/>
  <c r="AL1072" i="13176"/>
  <c r="AL1098" i="13176"/>
  <c r="AL1067" i="13176"/>
  <c r="AL1059" i="13176"/>
  <c r="AL1051" i="13176"/>
  <c r="AL1040" i="13176"/>
  <c r="AL1062" i="13176"/>
  <c r="AL1058" i="13176"/>
  <c r="AL1054" i="13176"/>
  <c r="AL1041" i="13176"/>
  <c r="AL1033" i="13176"/>
  <c r="AL1025" i="13176"/>
  <c r="AL1016" i="13176"/>
  <c r="AL1008" i="13176"/>
  <c r="AL1032" i="13176"/>
  <c r="AL1023" i="13176"/>
  <c r="AL1026" i="13176"/>
  <c r="AL1017" i="13176"/>
  <c r="AL1006" i="13176"/>
  <c r="AL1014" i="13176"/>
  <c r="AL989" i="13176"/>
  <c r="AL981" i="13176"/>
  <c r="AL997" i="13176"/>
  <c r="AL1000" i="13176"/>
  <c r="AL1004" i="13176"/>
  <c r="AL1009" i="13176"/>
  <c r="AL1001" i="13176"/>
  <c r="AL990" i="13176"/>
  <c r="AL982" i="13176"/>
  <c r="AL974" i="13176"/>
  <c r="AL1036" i="13176"/>
  <c r="AL987" i="13176"/>
  <c r="AL979" i="13176"/>
  <c r="AL975" i="13176"/>
  <c r="AL977" i="13176"/>
  <c r="AL973" i="13176"/>
  <c r="AL951" i="13176"/>
  <c r="AL995" i="13176"/>
  <c r="AL947" i="13176"/>
  <c r="AL939" i="13176"/>
  <c r="AL931" i="13176"/>
  <c r="AL923" i="13176"/>
  <c r="AL915" i="13176"/>
  <c r="AL906" i="13176"/>
  <c r="AL898" i="13176"/>
  <c r="AL890" i="13176"/>
  <c r="AL882" i="13176"/>
  <c r="AL874" i="13176"/>
  <c r="AL887" i="13176"/>
  <c r="AL879" i="13176"/>
  <c r="AL871" i="13176"/>
  <c r="AL867" i="13176"/>
  <c r="AL895" i="13176"/>
  <c r="AL865" i="13176"/>
  <c r="AL857" i="13176"/>
  <c r="AL903" i="13176"/>
  <c r="AL864" i="13176"/>
  <c r="AL856" i="13176"/>
  <c r="AL848" i="13176"/>
  <c r="AL840" i="13176"/>
  <c r="AL824" i="13176"/>
  <c r="AL821" i="13176"/>
  <c r="AL813" i="13176"/>
  <c r="AL805" i="13176"/>
  <c r="AL797" i="13176"/>
  <c r="AL789" i="13176"/>
  <c r="AL827" i="13176"/>
  <c r="AL832" i="13176"/>
  <c r="AL820" i="13176"/>
  <c r="AL812" i="13176"/>
  <c r="AL804" i="13176"/>
  <c r="AL796" i="13176"/>
  <c r="AL788" i="13176"/>
  <c r="AL773" i="13176"/>
  <c r="AL765" i="13176"/>
  <c r="AL757" i="13176"/>
  <c r="AL749" i="13176"/>
  <c r="AL775" i="13176"/>
  <c r="AL767" i="13176"/>
  <c r="AL780" i="13176"/>
  <c r="AL777" i="13176"/>
  <c r="AL741" i="13176"/>
  <c r="AL761" i="13176"/>
  <c r="AL759" i="13176"/>
  <c r="AL769" i="13176"/>
  <c r="AL745" i="13176"/>
  <c r="AL753" i="13176"/>
  <c r="AL716" i="13176"/>
  <c r="AL751" i="13176"/>
  <c r="AL737" i="13176"/>
  <c r="AL729" i="13176"/>
  <c r="AL721" i="13176"/>
  <c r="AL694" i="13176"/>
  <c r="AL685" i="13176"/>
  <c r="AL677" i="13176"/>
  <c r="AL726" i="13176"/>
  <c r="AL702" i="13176"/>
  <c r="AL734" i="13176"/>
  <c r="AL710" i="13176"/>
  <c r="AL708" i="13176"/>
  <c r="AL688" i="13176"/>
  <c r="AL680" i="13176"/>
  <c r="AL667" i="13176"/>
  <c r="AL683" i="13176"/>
  <c r="AL675" i="13176"/>
  <c r="AL669" i="13176"/>
  <c r="AL672" i="13176"/>
  <c r="AL718" i="13176"/>
  <c r="AL664" i="13176"/>
  <c r="AL691" i="13176"/>
  <c r="AL651" i="13176"/>
  <c r="AL661" i="13176"/>
  <c r="AL658" i="13176"/>
  <c r="AL650" i="13176"/>
  <c r="AL642" i="13176"/>
  <c r="AL634" i="13176"/>
  <c r="AL614" i="13176"/>
  <c r="AL619" i="13176"/>
  <c r="AL626" i="13176"/>
  <c r="AL613" i="13176"/>
  <c r="AL618" i="13176"/>
  <c r="AL602" i="13176"/>
  <c r="AL610" i="13176"/>
  <c r="AL550" i="13176"/>
  <c r="AL559" i="13176"/>
  <c r="AL555" i="13176"/>
  <c r="AL526" i="13176"/>
  <c r="AL535" i="13176"/>
  <c r="AL520" i="13176"/>
  <c r="AL558" i="13176"/>
  <c r="AL546" i="13176"/>
  <c r="AL552" i="13176"/>
  <c r="AL543" i="13176"/>
  <c r="BB1210" i="13176"/>
  <c r="BB1212" i="13176"/>
  <c r="BB1209" i="13176"/>
  <c r="BB1211" i="13176"/>
  <c r="BB1204" i="13176"/>
  <c r="BB1202" i="13176"/>
  <c r="BB1192" i="13176"/>
  <c r="BB1187" i="13176"/>
  <c r="BB1205" i="13176"/>
  <c r="BB1177" i="13176"/>
  <c r="BB1196" i="13176"/>
  <c r="BB1171" i="13176"/>
  <c r="BB1163" i="13176"/>
  <c r="BB1190" i="13176"/>
  <c r="BB1188" i="13176"/>
  <c r="BB1201" i="13176"/>
  <c r="BB1185" i="13176"/>
  <c r="BB1179" i="13176"/>
  <c r="BB1160" i="13176"/>
  <c r="BB1159" i="13176"/>
  <c r="BB1176" i="13176"/>
  <c r="BB1153" i="13176"/>
  <c r="BB1193" i="13176"/>
  <c r="BB1181" i="13176"/>
  <c r="BB1169" i="13176"/>
  <c r="BB1162" i="13176"/>
  <c r="BB1145" i="13176"/>
  <c r="BB1161" i="13176"/>
  <c r="BB1172" i="13176"/>
  <c r="BB1158" i="13176"/>
  <c r="BB1138" i="13176"/>
  <c r="BB1130" i="13176"/>
  <c r="BB1146" i="13176"/>
  <c r="BB1155" i="13176"/>
  <c r="BB1154" i="13176"/>
  <c r="BB1134" i="13176"/>
  <c r="BB1129" i="13176"/>
  <c r="BB1122" i="13176"/>
  <c r="BB1120" i="13176"/>
  <c r="BB1115" i="13176"/>
  <c r="BB1126" i="13176"/>
  <c r="BB1137" i="13176"/>
  <c r="BB1118" i="13176"/>
  <c r="BB1117" i="13176"/>
  <c r="BB1121" i="13176"/>
  <c r="BB1133" i="13176"/>
  <c r="BB1108" i="13176"/>
  <c r="BB1100" i="13176"/>
  <c r="BB1107" i="13176"/>
  <c r="BB1091" i="13176"/>
  <c r="BB1095" i="13176"/>
  <c r="BB1088" i="13176"/>
  <c r="BB1080" i="13176"/>
  <c r="BB1116" i="13176"/>
  <c r="BB1087" i="13176"/>
  <c r="BB1092" i="13176"/>
  <c r="BB1084" i="13176"/>
  <c r="BB1090" i="13176"/>
  <c r="BB1083" i="13176"/>
  <c r="BB1099" i="13176"/>
  <c r="BB1063" i="13176"/>
  <c r="BB1076" i="13176"/>
  <c r="BB1103" i="13176"/>
  <c r="BB1072" i="13176"/>
  <c r="BB1059" i="13176"/>
  <c r="BB1055" i="13176"/>
  <c r="BB1054" i="13176"/>
  <c r="BB1067" i="13176"/>
  <c r="BB1062" i="13176"/>
  <c r="BB1040" i="13176"/>
  <c r="BB1051" i="13176"/>
  <c r="BB1058" i="13176"/>
  <c r="BB1045" i="13176"/>
  <c r="BB1070" i="13176"/>
  <c r="BB1048" i="13176"/>
  <c r="BB1049" i="13176"/>
  <c r="BB1050" i="13176"/>
  <c r="BB1032" i="13176"/>
  <c r="BB1016" i="13176"/>
  <c r="BB1008" i="13176"/>
  <c r="BB1029" i="13176"/>
  <c r="BB1025" i="13176"/>
  <c r="BB1022" i="13176"/>
  <c r="BB1052" i="13176"/>
  <c r="BB1031" i="13176"/>
  <c r="BB1041" i="13176"/>
  <c r="BB1036" i="13176"/>
  <c r="BB1033" i="13176"/>
  <c r="BB1023" i="13176"/>
  <c r="BB1009" i="13176"/>
  <c r="BB1001" i="13176"/>
  <c r="BB989" i="13176"/>
  <c r="BB981" i="13176"/>
  <c r="BB997" i="13176"/>
  <c r="BB991" i="13176"/>
  <c r="BB1000" i="13176"/>
  <c r="BB1010" i="13176"/>
  <c r="BB990" i="13176"/>
  <c r="BB982" i="13176"/>
  <c r="BB975" i="13176"/>
  <c r="BB973" i="13176"/>
  <c r="BB983" i="13176"/>
  <c r="BB974" i="13176"/>
  <c r="BB946" i="13176"/>
  <c r="BB938" i="13176"/>
  <c r="BB930" i="13176"/>
  <c r="BB922" i="13176"/>
  <c r="BB950" i="13176"/>
  <c r="BB965" i="13176"/>
  <c r="BB961" i="13176"/>
  <c r="BB957" i="13176"/>
  <c r="BB951" i="13176"/>
  <c r="BB969" i="13176"/>
  <c r="BB955" i="13176"/>
  <c r="BB960" i="13176"/>
  <c r="BB915" i="13176"/>
  <c r="BB939" i="13176"/>
  <c r="BB937" i="13176"/>
  <c r="BB902" i="13176"/>
  <c r="BB894" i="13176"/>
  <c r="BB886" i="13176"/>
  <c r="BB878" i="13176"/>
  <c r="BB914" i="13176"/>
  <c r="BB931" i="13176"/>
  <c r="BB929" i="13176"/>
  <c r="BB947" i="13176"/>
  <c r="BB909" i="13176"/>
  <c r="BB901" i="13176"/>
  <c r="BB893" i="13176"/>
  <c r="BB885" i="13176"/>
  <c r="BB958" i="13176"/>
  <c r="BB923" i="13176"/>
  <c r="BB907" i="13176"/>
  <c r="BB906" i="13176"/>
  <c r="BB898" i="13176"/>
  <c r="BB890" i="13176"/>
  <c r="BB882" i="13176"/>
  <c r="BB877" i="13176"/>
  <c r="BB870" i="13176"/>
  <c r="BB921" i="13176"/>
  <c r="BB860" i="13176"/>
  <c r="BB852" i="13176"/>
  <c r="BB844" i="13176"/>
  <c r="BB836" i="13176"/>
  <c r="BB874" i="13176"/>
  <c r="BB840" i="13176"/>
  <c r="BB864" i="13176"/>
  <c r="BB835" i="13176"/>
  <c r="BB832" i="13176"/>
  <c r="BB816" i="13176"/>
  <c r="BB808" i="13176"/>
  <c r="BB800" i="13176"/>
  <c r="BB792" i="13176"/>
  <c r="BB848" i="13176"/>
  <c r="BB825" i="13176"/>
  <c r="BB822" i="13176"/>
  <c r="BB830" i="13176"/>
  <c r="BB856" i="13176"/>
  <c r="BB824" i="13176"/>
  <c r="BB777" i="13176"/>
  <c r="BB769" i="13176"/>
  <c r="BB761" i="13176"/>
  <c r="BB753" i="13176"/>
  <c r="BB804" i="13176"/>
  <c r="BB779" i="13176"/>
  <c r="BB771" i="13176"/>
  <c r="BB788" i="13176"/>
  <c r="BB773" i="13176"/>
  <c r="BB765" i="13176"/>
  <c r="BB757" i="13176"/>
  <c r="BB749" i="13176"/>
  <c r="BB812" i="13176"/>
  <c r="BB791" i="13176"/>
  <c r="BB784" i="13176"/>
  <c r="BB796" i="13176"/>
  <c r="BB718" i="13176"/>
  <c r="BB710" i="13176"/>
  <c r="BB745" i="13176"/>
  <c r="BB820" i="13176"/>
  <c r="BB741" i="13176"/>
  <c r="BB736" i="13176"/>
  <c r="BB730" i="13176"/>
  <c r="BB722" i="13176"/>
  <c r="BB714" i="13176"/>
  <c r="BB706" i="13176"/>
  <c r="BB743" i="13176"/>
  <c r="BB729" i="13176"/>
  <c r="BB721" i="13176"/>
  <c r="BB713" i="13176"/>
  <c r="BB698" i="13176"/>
  <c r="BB702" i="13176"/>
  <c r="BB695" i="13176"/>
  <c r="BB687" i="13176"/>
  <c r="BB679" i="13176"/>
  <c r="BB696" i="13176"/>
  <c r="BB694" i="13176"/>
  <c r="BB697" i="13176"/>
  <c r="BB689" i="13176"/>
  <c r="BB681" i="13176"/>
  <c r="BB683" i="13176"/>
  <c r="BB675" i="13176"/>
  <c r="BB667" i="13176"/>
  <c r="BB693" i="13176"/>
  <c r="BB692" i="13176"/>
  <c r="BB691" i="13176"/>
  <c r="BB655" i="13176"/>
  <c r="BB647" i="13176"/>
  <c r="BB639" i="13176"/>
  <c r="BB673" i="13176"/>
  <c r="BB662" i="13176"/>
  <c r="BB654" i="13176"/>
  <c r="BB646" i="13176"/>
  <c r="BB638" i="13176"/>
  <c r="BB663" i="13176"/>
  <c r="BB665" i="13176"/>
  <c r="BB642" i="13176"/>
  <c r="BB618" i="13176"/>
  <c r="BB650" i="13176"/>
  <c r="BB626" i="13176"/>
  <c r="BB614" i="13176"/>
  <c r="BB630" i="13176"/>
  <c r="BB634" i="13176"/>
  <c r="BB613" i="13176"/>
  <c r="BB601" i="13176"/>
  <c r="BB603" i="13176"/>
  <c r="BB604" i="13176"/>
  <c r="BB600" i="13176"/>
  <c r="BB602" i="13176"/>
  <c r="BB585" i="13176"/>
  <c r="BB587" i="13176"/>
  <c r="BB586" i="13176"/>
  <c r="BB590" i="13176"/>
  <c r="BB552" i="13176"/>
  <c r="BB591" i="13176"/>
  <c r="BB588" i="13176"/>
  <c r="BB592" i="13176"/>
  <c r="BB589" i="13176"/>
  <c r="BB548" i="13176"/>
  <c r="BB546" i="13176"/>
  <c r="BB532" i="13176"/>
  <c r="BB518" i="13176"/>
  <c r="BB527" i="13176"/>
  <c r="BB526" i="13176"/>
  <c r="BB516" i="13176"/>
  <c r="BB554" i="13176"/>
  <c r="BB543" i="13176"/>
  <c r="BB537" i="13176"/>
  <c r="BB550" i="13176"/>
  <c r="BB535" i="13176"/>
  <c r="L476" i="13176"/>
  <c r="AE476" i="13176"/>
  <c r="AX476" i="13176"/>
  <c r="N477" i="13176"/>
  <c r="AG477" i="13176"/>
  <c r="AZ477" i="13176"/>
  <c r="N478" i="13176"/>
  <c r="AG478" i="13176"/>
  <c r="AZ478" i="13176"/>
  <c r="O480" i="13176"/>
  <c r="AI480" i="13176"/>
  <c r="BC480" i="13176"/>
  <c r="Q481" i="13176"/>
  <c r="C482" i="13176"/>
  <c r="W482" i="13176"/>
  <c r="AP482" i="13176"/>
  <c r="F483" i="13176"/>
  <c r="AB483" i="13176"/>
  <c r="AV483" i="13176"/>
  <c r="K484" i="13176"/>
  <c r="AE484" i="13176"/>
  <c r="AZ484" i="13176"/>
  <c r="N485" i="13176"/>
  <c r="AH485" i="13176"/>
  <c r="BC485" i="13176"/>
  <c r="S486" i="13176"/>
  <c r="C487" i="13176"/>
  <c r="W487" i="13176"/>
  <c r="AP487" i="13176"/>
  <c r="F488" i="13176"/>
  <c r="AA488" i="13176"/>
  <c r="AV488" i="13176"/>
  <c r="K489" i="13176"/>
  <c r="AF489" i="13176"/>
  <c r="AZ489" i="13176"/>
  <c r="P490" i="13176"/>
  <c r="AJ490" i="13176"/>
  <c r="BD490" i="13176"/>
  <c r="U491" i="13176"/>
  <c r="H492" i="13176"/>
  <c r="AE492" i="13176"/>
  <c r="W493" i="13176"/>
  <c r="O494" i="13176"/>
  <c r="AK494" i="13176"/>
  <c r="Q496" i="13176"/>
  <c r="AQ496" i="13176"/>
  <c r="I497" i="13176"/>
  <c r="AE497" i="13176"/>
  <c r="X498" i="13176"/>
  <c r="O499" i="13176"/>
  <c r="AL499" i="13176"/>
  <c r="S501" i="13176"/>
  <c r="AT501" i="13176"/>
  <c r="M502" i="13176"/>
  <c r="AH503" i="13176"/>
  <c r="E504" i="13176"/>
  <c r="AH504" i="13176"/>
  <c r="AH505" i="13176"/>
  <c r="I506" i="13176"/>
  <c r="AK506" i="13176"/>
  <c r="M507" i="13176"/>
  <c r="AM507" i="13176"/>
  <c r="O508" i="13176"/>
  <c r="AX508" i="13176"/>
  <c r="AD509" i="13176"/>
  <c r="V511" i="13176"/>
  <c r="C512" i="13176"/>
  <c r="AN512" i="13176"/>
  <c r="W513" i="13176"/>
  <c r="D514" i="13176"/>
  <c r="AO514" i="13176"/>
  <c r="AE515" i="13176"/>
  <c r="N516" i="13176"/>
  <c r="AM517" i="13176"/>
  <c r="AU521" i="13176"/>
  <c r="AV523" i="13176"/>
  <c r="N524" i="13176"/>
  <c r="AF526" i="13176"/>
  <c r="AX527" i="13176"/>
  <c r="AK534" i="13176"/>
  <c r="AR493" i="13176"/>
  <c r="AB493" i="13176"/>
  <c r="K493" i="13176"/>
  <c r="BA493" i="13176"/>
  <c r="AI493" i="13176"/>
  <c r="Q493" i="13176"/>
  <c r="AW493" i="13176"/>
  <c r="AE493" i="13176"/>
  <c r="M493" i="13176"/>
  <c r="AV493" i="13176"/>
  <c r="AD493" i="13176"/>
  <c r="L493" i="13176"/>
  <c r="AT493" i="13176"/>
  <c r="AA493" i="13176"/>
  <c r="I493" i="13176"/>
  <c r="X493" i="13176"/>
  <c r="AX493" i="13176"/>
  <c r="T496" i="13176"/>
  <c r="AT496" i="13176"/>
  <c r="AU498" i="13176"/>
  <c r="AD498" i="13176"/>
  <c r="M498" i="13176"/>
  <c r="BD498" i="13176"/>
  <c r="AL498" i="13176"/>
  <c r="U498" i="13176"/>
  <c r="C498" i="13176"/>
  <c r="AZ498" i="13176"/>
  <c r="AH498" i="13176"/>
  <c r="P498" i="13176"/>
  <c r="AY498" i="13176"/>
  <c r="AG498" i="13176"/>
  <c r="O498" i="13176"/>
  <c r="AW498" i="13176"/>
  <c r="AE498" i="13176"/>
  <c r="L498" i="13176"/>
  <c r="Y498" i="13176"/>
  <c r="AV498" i="13176"/>
  <c r="P499" i="13176"/>
  <c r="AM499" i="13176"/>
  <c r="T501" i="13176"/>
  <c r="AU501" i="13176"/>
  <c r="N502" i="13176"/>
  <c r="AK502" i="13176"/>
  <c r="H504" i="13176"/>
  <c r="AI504" i="13176"/>
  <c r="J506" i="13176"/>
  <c r="AL506" i="13176"/>
  <c r="O507" i="13176"/>
  <c r="AT507" i="13176"/>
  <c r="BA508" i="13176"/>
  <c r="AE509" i="13176"/>
  <c r="AU510" i="13176"/>
  <c r="AB511" i="13176"/>
  <c r="J512" i="13176"/>
  <c r="AW512" i="13176"/>
  <c r="AD513" i="13176"/>
  <c r="J514" i="13176"/>
  <c r="AW514" i="13176"/>
  <c r="AH515" i="13176"/>
  <c r="O516" i="13176"/>
  <c r="AR521" i="13176"/>
  <c r="AW521" i="13176"/>
  <c r="E523" i="13176"/>
  <c r="Q524" i="13176"/>
  <c r="AE525" i="13176"/>
  <c r="AH526" i="13176"/>
  <c r="AR531" i="13176"/>
  <c r="AB531" i="13176"/>
  <c r="K531" i="13176"/>
  <c r="AP531" i="13176"/>
  <c r="Z531" i="13176"/>
  <c r="I531" i="13176"/>
  <c r="AT531" i="13176"/>
  <c r="Y531" i="13176"/>
  <c r="F531" i="13176"/>
  <c r="AQ531" i="13176"/>
  <c r="X531" i="13176"/>
  <c r="E531" i="13176"/>
  <c r="AO531" i="13176"/>
  <c r="W531" i="13176"/>
  <c r="D531" i="13176"/>
  <c r="AL531" i="13176"/>
  <c r="T531" i="13176"/>
  <c r="AW531" i="13176"/>
  <c r="AD531" i="13176"/>
  <c r="J531" i="13176"/>
  <c r="BC531" i="13176"/>
  <c r="AE531" i="13176"/>
  <c r="BA531" i="13176"/>
  <c r="AA531" i="13176"/>
  <c r="AZ531" i="13176"/>
  <c r="V531" i="13176"/>
  <c r="AY531" i="13176"/>
  <c r="U531" i="13176"/>
  <c r="AV531" i="13176"/>
  <c r="Q531" i="13176"/>
  <c r="AU531" i="13176"/>
  <c r="P531" i="13176"/>
  <c r="AM531" i="13176"/>
  <c r="N531" i="13176"/>
  <c r="AK531" i="13176"/>
  <c r="M531" i="13176"/>
  <c r="AJ531" i="13176"/>
  <c r="L531" i="13176"/>
  <c r="AI531" i="13176"/>
  <c r="H531" i="13176"/>
  <c r="AH531" i="13176"/>
  <c r="G531" i="13176"/>
  <c r="AG531" i="13176"/>
  <c r="C531" i="13176"/>
  <c r="AX532" i="13176"/>
  <c r="BA534" i="13176"/>
  <c r="AN541" i="13176"/>
  <c r="AY519" i="13176"/>
  <c r="AH519" i="13176"/>
  <c r="Q519" i="13176"/>
  <c r="AM519" i="13176"/>
  <c r="V519" i="13176"/>
  <c r="D519" i="13176"/>
  <c r="BD519" i="13176"/>
  <c r="AL519" i="13176"/>
  <c r="U519" i="13176"/>
  <c r="C519" i="13176"/>
  <c r="AZ519" i="13176"/>
  <c r="AG519" i="13176"/>
  <c r="O519" i="13176"/>
  <c r="AP519" i="13176"/>
  <c r="Y519" i="13176"/>
  <c r="G519" i="13176"/>
  <c r="AX519" i="13176"/>
  <c r="AB519" i="13176"/>
  <c r="E519" i="13176"/>
  <c r="AV519" i="13176"/>
  <c r="Z519" i="13176"/>
  <c r="AT519" i="13176"/>
  <c r="W519" i="13176"/>
  <c r="AQ519" i="13176"/>
  <c r="S519" i="13176"/>
  <c r="AO519" i="13176"/>
  <c r="P519" i="13176"/>
  <c r="AK519" i="13176"/>
  <c r="M519" i="13176"/>
  <c r="AJ519" i="13176"/>
  <c r="L519" i="13176"/>
  <c r="AI519" i="13176"/>
  <c r="K519" i="13176"/>
  <c r="AF519" i="13176"/>
  <c r="J519" i="13176"/>
  <c r="BC519" i="13176"/>
  <c r="AE519" i="13176"/>
  <c r="I519" i="13176"/>
  <c r="BA521" i="13176"/>
  <c r="AK526" i="13176"/>
  <c r="E546" i="13176"/>
  <c r="P476" i="13176"/>
  <c r="AJ476" i="13176"/>
  <c r="BC476" i="13176"/>
  <c r="Q477" i="13176"/>
  <c r="AJ477" i="13176"/>
  <c r="BC477" i="13176"/>
  <c r="Q478" i="13176"/>
  <c r="AJ478" i="13176"/>
  <c r="BD478" i="13176"/>
  <c r="S480" i="13176"/>
  <c r="AL480" i="13176"/>
  <c r="BC486" i="13176"/>
  <c r="AL486" i="13176"/>
  <c r="V486" i="13176"/>
  <c r="E486" i="13176"/>
  <c r="AM486" i="13176"/>
  <c r="U486" i="13176"/>
  <c r="C486" i="13176"/>
  <c r="AY486" i="13176"/>
  <c r="AG486" i="13176"/>
  <c r="O486" i="13176"/>
  <c r="X486" i="13176"/>
  <c r="AQ486" i="13176"/>
  <c r="F487" i="13176"/>
  <c r="Z487" i="13176"/>
  <c r="AT487" i="13176"/>
  <c r="K488" i="13176"/>
  <c r="AE488" i="13176"/>
  <c r="AZ488" i="13176"/>
  <c r="O489" i="13176"/>
  <c r="AI489" i="13176"/>
  <c r="BD489" i="13176"/>
  <c r="T490" i="13176"/>
  <c r="AN490" i="13176"/>
  <c r="C491" i="13176"/>
  <c r="Z491" i="13176"/>
  <c r="AU491" i="13176"/>
  <c r="K492" i="13176"/>
  <c r="AK492" i="13176"/>
  <c r="D493" i="13176"/>
  <c r="Z493" i="13176"/>
  <c r="AZ493" i="13176"/>
  <c r="S494" i="13176"/>
  <c r="AO494" i="13176"/>
  <c r="X496" i="13176"/>
  <c r="AV496" i="13176"/>
  <c r="L497" i="13176"/>
  <c r="AL497" i="13176"/>
  <c r="E498" i="13176"/>
  <c r="AA498" i="13176"/>
  <c r="BA498" i="13176"/>
  <c r="T499" i="13176"/>
  <c r="AP499" i="13176"/>
  <c r="Y501" i="13176"/>
  <c r="AY501" i="13176"/>
  <c r="P502" i="13176"/>
  <c r="L503" i="13176"/>
  <c r="AL503" i="13176"/>
  <c r="K504" i="13176"/>
  <c r="AK504" i="13176"/>
  <c r="AL505" i="13176"/>
  <c r="N506" i="13176"/>
  <c r="AQ506" i="13176"/>
  <c r="Q507" i="13176"/>
  <c r="AX507" i="13176"/>
  <c r="AI509" i="13176"/>
  <c r="M510" i="13176"/>
  <c r="AY510" i="13176"/>
  <c r="AG511" i="13176"/>
  <c r="O512" i="13176"/>
  <c r="BA512" i="13176"/>
  <c r="AH513" i="13176"/>
  <c r="O514" i="13176"/>
  <c r="BB514" i="13176"/>
  <c r="U516" i="13176"/>
  <c r="E518" i="13176"/>
  <c r="F519" i="13176"/>
  <c r="F520" i="13176"/>
  <c r="F521" i="13176"/>
  <c r="L523" i="13176"/>
  <c r="AL525" i="13176"/>
  <c r="AR526" i="13176"/>
  <c r="BC528" i="13176"/>
  <c r="AI529" i="13176"/>
  <c r="S531" i="13176"/>
  <c r="BB541" i="13176"/>
  <c r="AE550" i="13176"/>
  <c r="BA481" i="13176"/>
  <c r="AJ481" i="13176"/>
  <c r="T481" i="13176"/>
  <c r="C481" i="13176"/>
  <c r="BC481" i="13176"/>
  <c r="AK481" i="13176"/>
  <c r="S481" i="13176"/>
  <c r="AW481" i="13176"/>
  <c r="AE481" i="13176"/>
  <c r="M481" i="13176"/>
  <c r="W481" i="13176"/>
  <c r="AP481" i="13176"/>
  <c r="F482" i="13176"/>
  <c r="Z482" i="13176"/>
  <c r="AV482" i="13176"/>
  <c r="K483" i="13176"/>
  <c r="AF483" i="13176"/>
  <c r="AZ483" i="13176"/>
  <c r="N484" i="13176"/>
  <c r="AI484" i="13176"/>
  <c r="BC484" i="13176"/>
  <c r="Q485" i="13176"/>
  <c r="AL485" i="13176"/>
  <c r="J1209" i="13176"/>
  <c r="J1211" i="13176"/>
  <c r="J1210" i="13176"/>
  <c r="J1212" i="13176"/>
  <c r="J1204" i="13176"/>
  <c r="J1197" i="13176"/>
  <c r="J1202" i="13176"/>
  <c r="J1201" i="13176"/>
  <c r="J1185" i="13176"/>
  <c r="J1195" i="13176"/>
  <c r="J1176" i="13176"/>
  <c r="J1177" i="13176"/>
  <c r="J1182" i="13176"/>
  <c r="J1169" i="13176"/>
  <c r="J1174" i="13176"/>
  <c r="J1166" i="13176"/>
  <c r="J1187" i="13176"/>
  <c r="J1190" i="13176"/>
  <c r="J1163" i="13176"/>
  <c r="J1171" i="13176"/>
  <c r="J1168" i="13176"/>
  <c r="J1161" i="13176"/>
  <c r="J1179" i="13176"/>
  <c r="J1160" i="13176"/>
  <c r="J1184" i="13176"/>
  <c r="J1145" i="13176"/>
  <c r="J1156" i="13176"/>
  <c r="J1154" i="13176"/>
  <c r="J1146" i="13176"/>
  <c r="J1129" i="13176"/>
  <c r="J1153" i="13176"/>
  <c r="J1134" i="13176"/>
  <c r="J1126" i="13176"/>
  <c r="J1131" i="13176"/>
  <c r="J1151" i="13176"/>
  <c r="J1147" i="13176"/>
  <c r="J1118" i="13176"/>
  <c r="J1117" i="13176"/>
  <c r="J1136" i="13176"/>
  <c r="J1116" i="13176"/>
  <c r="J1108" i="13176"/>
  <c r="J1123" i="13176"/>
  <c r="J1113" i="13176"/>
  <c r="J1121" i="13176"/>
  <c r="J1107" i="13176"/>
  <c r="J1115" i="13176"/>
  <c r="J1092" i="13176"/>
  <c r="J1084" i="13176"/>
  <c r="J1095" i="13176"/>
  <c r="J1099" i="13176"/>
  <c r="J1096" i="13176"/>
  <c r="J1105" i="13176"/>
  <c r="J1091" i="13176"/>
  <c r="J1083" i="13176"/>
  <c r="J1081" i="13176"/>
  <c r="J1100" i="13176"/>
  <c r="J1073" i="13176"/>
  <c r="J1097" i="13176"/>
  <c r="J1067" i="13176"/>
  <c r="J1059" i="13176"/>
  <c r="J1090" i="13176"/>
  <c r="J1064" i="13176"/>
  <c r="J1089" i="13176"/>
  <c r="J1066" i="13176"/>
  <c r="J1051" i="13176"/>
  <c r="J1074" i="13176"/>
  <c r="J1069" i="13176"/>
  <c r="J1041" i="13176"/>
  <c r="J1033" i="13176"/>
  <c r="J1046" i="13176"/>
  <c r="J1038" i="13176"/>
  <c r="J1058" i="13176"/>
  <c r="J1052" i="13176"/>
  <c r="J1061" i="13176"/>
  <c r="J1032" i="13176"/>
  <c r="J1025" i="13176"/>
  <c r="J1027" i="13176"/>
  <c r="J1022" i="13176"/>
  <c r="J1014" i="13176"/>
  <c r="J1006" i="13176"/>
  <c r="J1011" i="13176"/>
  <c r="J1040" i="13176"/>
  <c r="J1026" i="13176"/>
  <c r="J1043" i="13176"/>
  <c r="J1023" i="13176"/>
  <c r="J1016" i="13176"/>
  <c r="J1001" i="13176"/>
  <c r="J1008" i="13176"/>
  <c r="J1009" i="13176"/>
  <c r="J1030" i="13176"/>
  <c r="J1017" i="13176"/>
  <c r="J990" i="13176"/>
  <c r="J995" i="13176"/>
  <c r="J987" i="13176"/>
  <c r="J979" i="13176"/>
  <c r="J992" i="13176"/>
  <c r="J984" i="13176"/>
  <c r="J999" i="13176"/>
  <c r="J998" i="13176"/>
  <c r="J997" i="13176"/>
  <c r="J989" i="13176"/>
  <c r="J965" i="13176"/>
  <c r="J981" i="13176"/>
  <c r="J973" i="13176"/>
  <c r="J1000" i="13176"/>
  <c r="J974" i="13176"/>
  <c r="J966" i="13176"/>
  <c r="J982" i="13176"/>
  <c r="J976" i="13176"/>
  <c r="J971" i="13176"/>
  <c r="J975" i="13176"/>
  <c r="J963" i="13176"/>
  <c r="J947" i="13176"/>
  <c r="J939" i="13176"/>
  <c r="J931" i="13176"/>
  <c r="J923" i="13176"/>
  <c r="J957" i="13176"/>
  <c r="J944" i="13176"/>
  <c r="J950" i="13176"/>
  <c r="J951" i="13176"/>
  <c r="J870" i="13176"/>
  <c r="J915" i="13176"/>
  <c r="J946" i="13176"/>
  <c r="J938" i="13176"/>
  <c r="J936" i="13176"/>
  <c r="J920" i="13176"/>
  <c r="J930" i="13176"/>
  <c r="J921" i="13176"/>
  <c r="J917" i="13176"/>
  <c r="J928" i="13176"/>
  <c r="J906" i="13176"/>
  <c r="J914" i="13176"/>
  <c r="J903" i="13176"/>
  <c r="J895" i="13176"/>
  <c r="J887" i="13176"/>
  <c r="J879" i="13176"/>
  <c r="J922" i="13176"/>
  <c r="J909" i="13176"/>
  <c r="J900" i="13176"/>
  <c r="J892" i="13176"/>
  <c r="J884" i="13176"/>
  <c r="J911" i="13176"/>
  <c r="J905" i="13176"/>
  <c r="J897" i="13176"/>
  <c r="J889" i="13176"/>
  <c r="J881" i="13176"/>
  <c r="J868" i="13176"/>
  <c r="J864" i="13176"/>
  <c r="J856" i="13176"/>
  <c r="J848" i="13176"/>
  <c r="J840" i="13176"/>
  <c r="J871" i="13176"/>
  <c r="J867" i="13176"/>
  <c r="J861" i="13176"/>
  <c r="J853" i="13176"/>
  <c r="J845" i="13176"/>
  <c r="J837" i="13176"/>
  <c r="J876" i="13176"/>
  <c r="J866" i="13176"/>
  <c r="J858" i="13176"/>
  <c r="J850" i="13176"/>
  <c r="J842" i="13176"/>
  <c r="J847" i="13176"/>
  <c r="J792" i="13176"/>
  <c r="J784" i="13176"/>
  <c r="J855" i="13176"/>
  <c r="J832" i="13176"/>
  <c r="J820" i="13176"/>
  <c r="J812" i="13176"/>
  <c r="J839" i="13176"/>
  <c r="J827" i="13176"/>
  <c r="J824" i="13176"/>
  <c r="J817" i="13176"/>
  <c r="J809" i="13176"/>
  <c r="J801" i="13176"/>
  <c r="J793" i="13176"/>
  <c r="J863" i="13176"/>
  <c r="J822" i="13176"/>
  <c r="J814" i="13176"/>
  <c r="J806" i="13176"/>
  <c r="J798" i="13176"/>
  <c r="J835" i="13176"/>
  <c r="J768" i="13176"/>
  <c r="J760" i="13176"/>
  <c r="J752" i="13176"/>
  <c r="J811" i="13176"/>
  <c r="J787" i="13176"/>
  <c r="J785" i="13176"/>
  <c r="J826" i="13176"/>
  <c r="J795" i="13176"/>
  <c r="J819" i="13176"/>
  <c r="J790" i="13176"/>
  <c r="J780" i="13176"/>
  <c r="J777" i="13176"/>
  <c r="J769" i="13176"/>
  <c r="J761" i="13176"/>
  <c r="J753" i="13176"/>
  <c r="J745" i="13176"/>
  <c r="J803" i="13176"/>
  <c r="J774" i="13176"/>
  <c r="J766" i="13176"/>
  <c r="J758" i="13176"/>
  <c r="J750" i="13176"/>
  <c r="J783" i="13176"/>
  <c r="J779" i="13176"/>
  <c r="J771" i="13176"/>
  <c r="J763" i="13176"/>
  <c r="J755" i="13176"/>
  <c r="J747" i="13176"/>
  <c r="J729" i="13176"/>
  <c r="J721" i="13176"/>
  <c r="J713" i="13176"/>
  <c r="J734" i="13176"/>
  <c r="J726" i="13176"/>
  <c r="J718" i="13176"/>
  <c r="J710" i="13176"/>
  <c r="J702" i="13176"/>
  <c r="J731" i="13176"/>
  <c r="J723" i="13176"/>
  <c r="J715" i="13176"/>
  <c r="J707" i="13176"/>
  <c r="J737" i="13176"/>
  <c r="J742" i="13176"/>
  <c r="J691" i="13176"/>
  <c r="J683" i="13176"/>
  <c r="J675" i="13176"/>
  <c r="J667" i="13176"/>
  <c r="J699" i="13176"/>
  <c r="J688" i="13176"/>
  <c r="J680" i="13176"/>
  <c r="J685" i="13176"/>
  <c r="J677" i="13176"/>
  <c r="J669" i="13176"/>
  <c r="J695" i="13176"/>
  <c r="J697" i="13176"/>
  <c r="J696" i="13176"/>
  <c r="J654" i="13176"/>
  <c r="J646" i="13176"/>
  <c r="J638" i="13176"/>
  <c r="J630" i="13176"/>
  <c r="J664" i="13176"/>
  <c r="J659" i="13176"/>
  <c r="J655" i="13176"/>
  <c r="J672" i="13176"/>
  <c r="J662" i="13176"/>
  <c r="J661" i="13176"/>
  <c r="J649" i="13176"/>
  <c r="J624" i="13176"/>
  <c r="J633" i="13176"/>
  <c r="J621" i="13176"/>
  <c r="J657" i="13176"/>
  <c r="J620" i="13176"/>
  <c r="J617" i="13176"/>
  <c r="J613" i="13176"/>
  <c r="J641" i="13176"/>
  <c r="J610" i="13176"/>
  <c r="J619" i="13176"/>
  <c r="J615" i="13176"/>
  <c r="J612" i="13176"/>
  <c r="J601" i="13176"/>
  <c r="J585" i="13176"/>
  <c r="J603" i="13176"/>
  <c r="J602" i="13176"/>
  <c r="J553" i="13176"/>
  <c r="J546" i="13176"/>
  <c r="J552" i="13176"/>
  <c r="J600" i="13176"/>
  <c r="J559" i="13176"/>
  <c r="J548" i="13176"/>
  <c r="J527" i="13176"/>
  <c r="J535" i="13176"/>
  <c r="J544" i="13176"/>
  <c r="J520" i="13176"/>
  <c r="J543" i="13176"/>
  <c r="J516" i="13176"/>
  <c r="J532" i="13176"/>
  <c r="Z1215" i="13176"/>
  <c r="Z1189" i="13176"/>
  <c r="Z1207" i="13176"/>
  <c r="Z1185" i="13176"/>
  <c r="Z1204" i="13176"/>
  <c r="Z1187" i="13176"/>
  <c r="Z1179" i="13176"/>
  <c r="Z1177" i="13176"/>
  <c r="Z1212" i="13176"/>
  <c r="Z1196" i="13176"/>
  <c r="Z1169" i="13176"/>
  <c r="Z1174" i="13176"/>
  <c r="Z1182" i="13176"/>
  <c r="Z1160" i="13176"/>
  <c r="Z1171" i="13176"/>
  <c r="Z1168" i="13176"/>
  <c r="Z1154" i="13176"/>
  <c r="Z1163" i="13176"/>
  <c r="Z1147" i="13176"/>
  <c r="Z1151" i="13176"/>
  <c r="Z1134" i="13176"/>
  <c r="Z1126" i="13176"/>
  <c r="Z1146" i="13176"/>
  <c r="Z1139" i="13176"/>
  <c r="Z1131" i="13176"/>
  <c r="Z1141" i="13176"/>
  <c r="Z1133" i="13176"/>
  <c r="Z1118" i="13176"/>
  <c r="Z1119" i="13176"/>
  <c r="Z1116" i="13176"/>
  <c r="Z1108" i="13176"/>
  <c r="Z1124" i="13176"/>
  <c r="Z1113" i="13176"/>
  <c r="Z1100" i="13176"/>
  <c r="Z1109" i="13176"/>
  <c r="Z1105" i="13176"/>
  <c r="Z1092" i="13176"/>
  <c r="Z1084" i="13176"/>
  <c r="Z1076" i="13176"/>
  <c r="Z1089" i="13176"/>
  <c r="Z1095" i="13176"/>
  <c r="Z1090" i="13176"/>
  <c r="Z1074" i="13176"/>
  <c r="Z1073" i="13176"/>
  <c r="Z1091" i="13176"/>
  <c r="Z1067" i="13176"/>
  <c r="Z1059" i="13176"/>
  <c r="Z1081" i="13176"/>
  <c r="Z1083" i="13176"/>
  <c r="Z1064" i="13176"/>
  <c r="Z1049" i="13176"/>
  <c r="Z1048" i="13176"/>
  <c r="Z1042" i="13176"/>
  <c r="Z1051" i="13176"/>
  <c r="Z1041" i="13176"/>
  <c r="Z1033" i="13176"/>
  <c r="Z1086" i="13176"/>
  <c r="Z1046" i="13176"/>
  <c r="Z1053" i="13176"/>
  <c r="Z1034" i="13176"/>
  <c r="Z1038" i="13176"/>
  <c r="Z1030" i="13176"/>
  <c r="Z1020" i="13176"/>
  <c r="Z1017" i="13176"/>
  <c r="Z1009" i="13176"/>
  <c r="Z1025" i="13176"/>
  <c r="Z1014" i="13176"/>
  <c r="Z1022" i="13176"/>
  <c r="Z1000" i="13176"/>
  <c r="Z1006" i="13176"/>
  <c r="Z1001" i="13176"/>
  <c r="Z1011" i="13176"/>
  <c r="Z990" i="13176"/>
  <c r="Z982" i="13176"/>
  <c r="Z995" i="13176"/>
  <c r="Z987" i="13176"/>
  <c r="Z1008" i="13176"/>
  <c r="Z992" i="13176"/>
  <c r="Z984" i="13176"/>
  <c r="Z1016" i="13176"/>
  <c r="Z997" i="13176"/>
  <c r="Z973" i="13176"/>
  <c r="Z979" i="13176"/>
  <c r="Z981" i="13176"/>
  <c r="Z971" i="13176"/>
  <c r="Z989" i="13176"/>
  <c r="Z947" i="13176"/>
  <c r="Z939" i="13176"/>
  <c r="Z931" i="13176"/>
  <c r="Z923" i="13176"/>
  <c r="Z944" i="13176"/>
  <c r="Z936" i="13176"/>
  <c r="Z908" i="13176"/>
  <c r="Z906" i="13176"/>
  <c r="Z898" i="13176"/>
  <c r="Z890" i="13176"/>
  <c r="Z882" i="13176"/>
  <c r="Z874" i="13176"/>
  <c r="Z903" i="13176"/>
  <c r="Z895" i="13176"/>
  <c r="Z887" i="13176"/>
  <c r="Z879" i="13176"/>
  <c r="Z871" i="13176"/>
  <c r="Z950" i="13176"/>
  <c r="Z900" i="13176"/>
  <c r="Z892" i="13176"/>
  <c r="Z884" i="13176"/>
  <c r="Z876" i="13176"/>
  <c r="Z881" i="13176"/>
  <c r="Z905" i="13176"/>
  <c r="Z889" i="13176"/>
  <c r="Z868" i="13176"/>
  <c r="Z864" i="13176"/>
  <c r="Z856" i="13176"/>
  <c r="Z861" i="13176"/>
  <c r="Z853" i="13176"/>
  <c r="Z845" i="13176"/>
  <c r="Z837" i="13176"/>
  <c r="Z897" i="13176"/>
  <c r="Z866" i="13176"/>
  <c r="Z858" i="13176"/>
  <c r="Z850" i="13176"/>
  <c r="Z867" i="13176"/>
  <c r="Z820" i="13176"/>
  <c r="Z812" i="13176"/>
  <c r="Z804" i="13176"/>
  <c r="Z796" i="13176"/>
  <c r="Z829" i="13176"/>
  <c r="Z817" i="13176"/>
  <c r="Z809" i="13176"/>
  <c r="Z801" i="13176"/>
  <c r="Z793" i="13176"/>
  <c r="Z822" i="13176"/>
  <c r="Z814" i="13176"/>
  <c r="Z783" i="13176"/>
  <c r="Z777" i="13176"/>
  <c r="Z769" i="13176"/>
  <c r="Z785" i="13176"/>
  <c r="Z774" i="13176"/>
  <c r="Z766" i="13176"/>
  <c r="Z758" i="13176"/>
  <c r="Z750" i="13176"/>
  <c r="Z771" i="13176"/>
  <c r="Z779" i="13176"/>
  <c r="Z742" i="13176"/>
  <c r="Z761" i="13176"/>
  <c r="Z729" i="13176"/>
  <c r="Z763" i="13176"/>
  <c r="Z755" i="13176"/>
  <c r="Z743" i="13176"/>
  <c r="Z734" i="13176"/>
  <c r="Z726" i="13176"/>
  <c r="Z718" i="13176"/>
  <c r="Z753" i="13176"/>
  <c r="Z739" i="13176"/>
  <c r="Z745" i="13176"/>
  <c r="Z731" i="13176"/>
  <c r="Z723" i="13176"/>
  <c r="Z715" i="13176"/>
  <c r="Z747" i="13176"/>
  <c r="Z687" i="13176"/>
  <c r="Z679" i="13176"/>
  <c r="Z720" i="13176"/>
  <c r="Z704" i="13176"/>
  <c r="Z696" i="13176"/>
  <c r="Z728" i="13176"/>
  <c r="Z712" i="13176"/>
  <c r="Z710" i="13176"/>
  <c r="Z688" i="13176"/>
  <c r="Z680" i="13176"/>
  <c r="Z672" i="13176"/>
  <c r="Z664" i="13176"/>
  <c r="Z702" i="13176"/>
  <c r="Z690" i="13176"/>
  <c r="Z682" i="13176"/>
  <c r="Z677" i="13176"/>
  <c r="Z666" i="13176"/>
  <c r="Z661" i="13176"/>
  <c r="Z669" i="13176"/>
  <c r="Z663" i="13176"/>
  <c r="Z685" i="13176"/>
  <c r="Z671" i="13176"/>
  <c r="Z655" i="13176"/>
  <c r="Z610" i="13176"/>
  <c r="Z674" i="13176"/>
  <c r="Z621" i="13176"/>
  <c r="Z620" i="13176"/>
  <c r="Z615" i="13176"/>
  <c r="Z612" i="13176"/>
  <c r="Z548" i="13176"/>
  <c r="Z546" i="13176"/>
  <c r="Z604" i="13176"/>
  <c r="Z527" i="13176"/>
  <c r="Z520" i="13176"/>
  <c r="Z516" i="13176"/>
  <c r="AP1215" i="13176"/>
  <c r="AP1189" i="13176"/>
  <c r="AP1207" i="13176"/>
  <c r="AP1204" i="13176"/>
  <c r="AP1185" i="13176"/>
  <c r="AP1212" i="13176"/>
  <c r="AP1194" i="13176"/>
  <c r="AP1187" i="13176"/>
  <c r="AP1182" i="13176"/>
  <c r="AP1179" i="13176"/>
  <c r="AP1177" i="13176"/>
  <c r="AP1169" i="13176"/>
  <c r="AP1174" i="13176"/>
  <c r="AP1163" i="13176"/>
  <c r="AP1160" i="13176"/>
  <c r="AP1154" i="13176"/>
  <c r="AP1171" i="13176"/>
  <c r="AP1168" i="13176"/>
  <c r="AP1151" i="13176"/>
  <c r="AP1134" i="13176"/>
  <c r="AP1126" i="13176"/>
  <c r="AP1139" i="13176"/>
  <c r="AP1131" i="13176"/>
  <c r="AP1146" i="13176"/>
  <c r="AP1133" i="13176"/>
  <c r="AP1123" i="13176"/>
  <c r="AP1118" i="13176"/>
  <c r="AP1121" i="13176"/>
  <c r="AP1116" i="13176"/>
  <c r="AP1108" i="13176"/>
  <c r="AP1113" i="13176"/>
  <c r="AP1109" i="13176"/>
  <c r="AP1105" i="13176"/>
  <c r="AP1100" i="13176"/>
  <c r="AP1092" i="13176"/>
  <c r="AP1084" i="13176"/>
  <c r="AP1076" i="13176"/>
  <c r="AP1089" i="13176"/>
  <c r="AP1095" i="13176"/>
  <c r="AP1090" i="13176"/>
  <c r="AP1081" i="13176"/>
  <c r="AP1091" i="13176"/>
  <c r="AP1083" i="13176"/>
  <c r="AP1086" i="13176"/>
  <c r="AP1067" i="13176"/>
  <c r="AP1059" i="13176"/>
  <c r="AP1094" i="13176"/>
  <c r="AP1064" i="13176"/>
  <c r="AP1082" i="13176"/>
  <c r="AP1074" i="13176"/>
  <c r="AP1073" i="13176"/>
  <c r="AP1042" i="13176"/>
  <c r="AP1052" i="13176"/>
  <c r="AP1041" i="13176"/>
  <c r="AP1033" i="13176"/>
  <c r="AP1051" i="13176"/>
  <c r="AP1046" i="13176"/>
  <c r="AP1022" i="13176"/>
  <c r="AP1026" i="13176"/>
  <c r="AP1009" i="13176"/>
  <c r="AP1017" i="13176"/>
  <c r="AP1014" i="13176"/>
  <c r="AP1034" i="13176"/>
  <c r="AP1030" i="13176"/>
  <c r="AP1025" i="13176"/>
  <c r="AP1011" i="13176"/>
  <c r="AP1000" i="13176"/>
  <c r="AP1038" i="13176"/>
  <c r="AP1008" i="13176"/>
  <c r="AP1001" i="13176"/>
  <c r="AP990" i="13176"/>
  <c r="AP982" i="13176"/>
  <c r="AP1016" i="13176"/>
  <c r="AP995" i="13176"/>
  <c r="AP987" i="13176"/>
  <c r="AP1006" i="13176"/>
  <c r="AP992" i="13176"/>
  <c r="AP984" i="13176"/>
  <c r="AP979" i="13176"/>
  <c r="AP981" i="13176"/>
  <c r="AP976" i="13176"/>
  <c r="AP973" i="13176"/>
  <c r="AP989" i="13176"/>
  <c r="AP971" i="13176"/>
  <c r="AP947" i="13176"/>
  <c r="AP939" i="13176"/>
  <c r="AP931" i="13176"/>
  <c r="AP923" i="13176"/>
  <c r="AP944" i="13176"/>
  <c r="AP936" i="13176"/>
  <c r="AP909" i="13176"/>
  <c r="AP906" i="13176"/>
  <c r="AP898" i="13176"/>
  <c r="AP890" i="13176"/>
  <c r="AP882" i="13176"/>
  <c r="AP903" i="13176"/>
  <c r="AP895" i="13176"/>
  <c r="AP887" i="13176"/>
  <c r="AP879" i="13176"/>
  <c r="AP908" i="13176"/>
  <c r="AP900" i="13176"/>
  <c r="AP892" i="13176"/>
  <c r="AP884" i="13176"/>
  <c r="AP876" i="13176"/>
  <c r="AP881" i="13176"/>
  <c r="AP905" i="13176"/>
  <c r="AP868" i="13176"/>
  <c r="AP889" i="13176"/>
  <c r="AP864" i="13176"/>
  <c r="AP856" i="13176"/>
  <c r="AP897" i="13176"/>
  <c r="AP861" i="13176"/>
  <c r="AP853" i="13176"/>
  <c r="AP845" i="13176"/>
  <c r="AP837" i="13176"/>
  <c r="AP873" i="13176"/>
  <c r="AP858" i="13176"/>
  <c r="AP850" i="13176"/>
  <c r="AP827" i="13176"/>
  <c r="AP866" i="13176"/>
  <c r="AP820" i="13176"/>
  <c r="AP812" i="13176"/>
  <c r="AP804" i="13176"/>
  <c r="AP826" i="13176"/>
  <c r="AP817" i="13176"/>
  <c r="AP809" i="13176"/>
  <c r="AP801" i="13176"/>
  <c r="AP793" i="13176"/>
  <c r="AP814" i="13176"/>
  <c r="AP785" i="13176"/>
  <c r="AP780" i="13176"/>
  <c r="AP777" i="13176"/>
  <c r="AP769" i="13176"/>
  <c r="AP782" i="13176"/>
  <c r="AP774" i="13176"/>
  <c r="AP766" i="13176"/>
  <c r="AP758" i="13176"/>
  <c r="AP750" i="13176"/>
  <c r="AP742" i="13176"/>
  <c r="AP783" i="13176"/>
  <c r="AP779" i="13176"/>
  <c r="AP761" i="13176"/>
  <c r="AP745" i="13176"/>
  <c r="AP763" i="13176"/>
  <c r="AP755" i="13176"/>
  <c r="AP729" i="13176"/>
  <c r="AP753" i="13176"/>
  <c r="AP747" i="13176"/>
  <c r="AP734" i="13176"/>
  <c r="AP726" i="13176"/>
  <c r="AP718" i="13176"/>
  <c r="AP731" i="13176"/>
  <c r="AP723" i="13176"/>
  <c r="AP715" i="13176"/>
  <c r="AP704" i="13176"/>
  <c r="AP687" i="13176"/>
  <c r="AP679" i="13176"/>
  <c r="AP720" i="13176"/>
  <c r="AP702" i="13176"/>
  <c r="AP728" i="13176"/>
  <c r="AP712" i="13176"/>
  <c r="AP710" i="13176"/>
  <c r="AP771" i="13176"/>
  <c r="AP688" i="13176"/>
  <c r="AP680" i="13176"/>
  <c r="AP672" i="13176"/>
  <c r="AP664" i="13176"/>
  <c r="AP696" i="13176"/>
  <c r="AP690" i="13176"/>
  <c r="AP682" i="13176"/>
  <c r="AP677" i="13176"/>
  <c r="AP669" i="13176"/>
  <c r="AP671" i="13176"/>
  <c r="AP685" i="13176"/>
  <c r="AP694" i="13176"/>
  <c r="AP661" i="13176"/>
  <c r="AP662" i="13176"/>
  <c r="AP674" i="13176"/>
  <c r="AP666" i="13176"/>
  <c r="AP663" i="13176"/>
  <c r="AP610" i="13176"/>
  <c r="AP612" i="13176"/>
  <c r="AP604" i="13176"/>
  <c r="AP553" i="13176"/>
  <c r="AP548" i="13176"/>
  <c r="AP516" i="13176"/>
  <c r="AP546" i="13176"/>
  <c r="S476" i="13176"/>
  <c r="AK476" i="13176"/>
  <c r="S477" i="13176"/>
  <c r="AK477" i="13176"/>
  <c r="BD477" i="13176"/>
  <c r="S478" i="13176"/>
  <c r="AK478" i="13176"/>
  <c r="T480" i="13176"/>
  <c r="AN480" i="13176"/>
  <c r="D481" i="13176"/>
  <c r="X481" i="13176"/>
  <c r="AQ481" i="13176"/>
  <c r="G482" i="13176"/>
  <c r="AA482" i="13176"/>
  <c r="AW482" i="13176"/>
  <c r="L483" i="13176"/>
  <c r="AG483" i="13176"/>
  <c r="BA483" i="13176"/>
  <c r="O484" i="13176"/>
  <c r="AJ484" i="13176"/>
  <c r="BD484" i="13176"/>
  <c r="T485" i="13176"/>
  <c r="D486" i="13176"/>
  <c r="Y486" i="13176"/>
  <c r="AR486" i="13176"/>
  <c r="G487" i="13176"/>
  <c r="AA487" i="13176"/>
  <c r="AU487" i="13176"/>
  <c r="L488" i="13176"/>
  <c r="BA488" i="13176"/>
  <c r="AK489" i="13176"/>
  <c r="U490" i="13176"/>
  <c r="AO490" i="13176"/>
  <c r="M492" i="13176"/>
  <c r="AM492" i="13176"/>
  <c r="E493" i="13176"/>
  <c r="AC493" i="13176"/>
  <c r="BB493" i="13176"/>
  <c r="T494" i="13176"/>
  <c r="AQ494" i="13176"/>
  <c r="Y496" i="13176"/>
  <c r="AW496" i="13176"/>
  <c r="M497" i="13176"/>
  <c r="AM497" i="13176"/>
  <c r="F498" i="13176"/>
  <c r="AB498" i="13176"/>
  <c r="BB498" i="13176"/>
  <c r="U499" i="13176"/>
  <c r="AQ499" i="13176"/>
  <c r="Z501" i="13176"/>
  <c r="Q502" i="13176"/>
  <c r="M503" i="13176"/>
  <c r="L505" i="13176"/>
  <c r="O506" i="13176"/>
  <c r="AV506" i="13176"/>
  <c r="Z508" i="13176"/>
  <c r="P512" i="13176"/>
  <c r="BB512" i="13176"/>
  <c r="AI513" i="13176"/>
  <c r="P514" i="13176"/>
  <c r="BC514" i="13176"/>
  <c r="J518" i="13176"/>
  <c r="H519" i="13176"/>
  <c r="AC524" i="13176"/>
  <c r="AP525" i="13176"/>
  <c r="BA526" i="13176"/>
  <c r="AC531" i="13176"/>
  <c r="AW533" i="13176"/>
  <c r="AF533" i="13176"/>
  <c r="O533" i="13176"/>
  <c r="AU533" i="13176"/>
  <c r="AD533" i="13176"/>
  <c r="M533" i="13176"/>
  <c r="AT533" i="13176"/>
  <c r="AA533" i="13176"/>
  <c r="H533" i="13176"/>
  <c r="AR533" i="13176"/>
  <c r="Z533" i="13176"/>
  <c r="G533" i="13176"/>
  <c r="AQ533" i="13176"/>
  <c r="Y533" i="13176"/>
  <c r="F533" i="13176"/>
  <c r="AO533" i="13176"/>
  <c r="W533" i="13176"/>
  <c r="D533" i="13176"/>
  <c r="AN533" i="13176"/>
  <c r="V533" i="13176"/>
  <c r="C533" i="13176"/>
  <c r="AY533" i="13176"/>
  <c r="AE533" i="13176"/>
  <c r="K533" i="13176"/>
  <c r="AH533" i="13176"/>
  <c r="AC533" i="13176"/>
  <c r="BD533" i="13176"/>
  <c r="AB533" i="13176"/>
  <c r="BC533" i="13176"/>
  <c r="X533" i="13176"/>
  <c r="BA533" i="13176"/>
  <c r="T533" i="13176"/>
  <c r="AZ533" i="13176"/>
  <c r="S533" i="13176"/>
  <c r="AV533" i="13176"/>
  <c r="P533" i="13176"/>
  <c r="AP533" i="13176"/>
  <c r="N533" i="13176"/>
  <c r="AM533" i="13176"/>
  <c r="L533" i="13176"/>
  <c r="AL533" i="13176"/>
  <c r="J533" i="13176"/>
  <c r="AK533" i="13176"/>
  <c r="I533" i="13176"/>
  <c r="AJ533" i="13176"/>
  <c r="E533" i="13176"/>
  <c r="AR501" i="13176"/>
  <c r="AB501" i="13176"/>
  <c r="K501" i="13176"/>
  <c r="AW501" i="13176"/>
  <c r="AF501" i="13176"/>
  <c r="AV501" i="13176"/>
  <c r="AC501" i="13176"/>
  <c r="J501" i="13176"/>
  <c r="AP501" i="13176"/>
  <c r="X501" i="13176"/>
  <c r="F501" i="13176"/>
  <c r="AO501" i="13176"/>
  <c r="W501" i="13176"/>
  <c r="E501" i="13176"/>
  <c r="AM501" i="13176"/>
  <c r="U501" i="13176"/>
  <c r="C501" i="13176"/>
  <c r="AA501" i="13176"/>
  <c r="BA501" i="13176"/>
  <c r="AP503" i="13176"/>
  <c r="P506" i="13176"/>
  <c r="AW506" i="13176"/>
  <c r="BA507" i="13176"/>
  <c r="AC508" i="13176"/>
  <c r="AR509" i="13176"/>
  <c r="AB509" i="13176"/>
  <c r="K509" i="13176"/>
  <c r="AW509" i="13176"/>
  <c r="AF509" i="13176"/>
  <c r="O509" i="13176"/>
  <c r="BA509" i="13176"/>
  <c r="AH509" i="13176"/>
  <c r="N509" i="13176"/>
  <c r="AV509" i="13176"/>
  <c r="AC509" i="13176"/>
  <c r="I509" i="13176"/>
  <c r="AU509" i="13176"/>
  <c r="AA509" i="13176"/>
  <c r="H509" i="13176"/>
  <c r="AQ509" i="13176"/>
  <c r="Y509" i="13176"/>
  <c r="F509" i="13176"/>
  <c r="AP509" i="13176"/>
  <c r="X509" i="13176"/>
  <c r="E509" i="13176"/>
  <c r="AO509" i="13176"/>
  <c r="W509" i="13176"/>
  <c r="D509" i="13176"/>
  <c r="AN509" i="13176"/>
  <c r="V509" i="13176"/>
  <c r="C509" i="13176"/>
  <c r="AK509" i="13176"/>
  <c r="BB510" i="13176"/>
  <c r="AK511" i="13176"/>
  <c r="S512" i="13176"/>
  <c r="BD512" i="13176"/>
  <c r="AL513" i="13176"/>
  <c r="T514" i="13176"/>
  <c r="Q517" i="13176"/>
  <c r="M518" i="13176"/>
  <c r="N519" i="13176"/>
  <c r="AL524" i="13176"/>
  <c r="AT525" i="13176"/>
  <c r="J528" i="13176"/>
  <c r="BA529" i="13176"/>
  <c r="AF531" i="13176"/>
  <c r="Q533" i="13176"/>
  <c r="AY476" i="13176"/>
  <c r="AH476" i="13176"/>
  <c r="Q476" i="13176"/>
  <c r="AZ476" i="13176"/>
  <c r="AG476" i="13176"/>
  <c r="O476" i="13176"/>
  <c r="U476" i="13176"/>
  <c r="AM476" i="13176"/>
  <c r="AR485" i="13176"/>
  <c r="AB485" i="13176"/>
  <c r="K485" i="13176"/>
  <c r="AO485" i="13176"/>
  <c r="X485" i="13176"/>
  <c r="F485" i="13176"/>
  <c r="BB485" i="13176"/>
  <c r="AJ485" i="13176"/>
  <c r="S485" i="13176"/>
  <c r="V485" i="13176"/>
  <c r="AP485" i="13176"/>
  <c r="G486" i="13176"/>
  <c r="AA486" i="13176"/>
  <c r="AU486" i="13176"/>
  <c r="I487" i="13176"/>
  <c r="AC487" i="13176"/>
  <c r="AY487" i="13176"/>
  <c r="N488" i="13176"/>
  <c r="AI488" i="13176"/>
  <c r="BC488" i="13176"/>
  <c r="S489" i="13176"/>
  <c r="C490" i="13176"/>
  <c r="X490" i="13176"/>
  <c r="AC491" i="13176"/>
  <c r="AX491" i="13176"/>
  <c r="S492" i="13176"/>
  <c r="AO492" i="13176"/>
  <c r="G493" i="13176"/>
  <c r="AG493" i="13176"/>
  <c r="BD493" i="13176"/>
  <c r="W494" i="13176"/>
  <c r="E496" i="13176"/>
  <c r="AC496" i="13176"/>
  <c r="P497" i="13176"/>
  <c r="AP497" i="13176"/>
  <c r="H498" i="13176"/>
  <c r="AF498" i="13176"/>
  <c r="W499" i="13176"/>
  <c r="AU499" i="13176"/>
  <c r="D501" i="13176"/>
  <c r="AD501" i="13176"/>
  <c r="BB501" i="13176"/>
  <c r="P504" i="13176"/>
  <c r="AQ504" i="13176"/>
  <c r="O505" i="13176"/>
  <c r="S506" i="13176"/>
  <c r="AX506" i="13176"/>
  <c r="U507" i="13176"/>
  <c r="BB507" i="13176"/>
  <c r="AD508" i="13176"/>
  <c r="G509" i="13176"/>
  <c r="AL509" i="13176"/>
  <c r="Q510" i="13176"/>
  <c r="T512" i="13176"/>
  <c r="U514" i="13176"/>
  <c r="BD515" i="13176"/>
  <c r="AP515" i="13176"/>
  <c r="U517" i="13176"/>
  <c r="O518" i="13176"/>
  <c r="T519" i="13176"/>
  <c r="AD523" i="13176"/>
  <c r="U528" i="13176"/>
  <c r="AN531" i="13176"/>
  <c r="U533" i="13176"/>
  <c r="AL542" i="13176"/>
  <c r="C547" i="13176"/>
  <c r="AP496" i="13176"/>
  <c r="Z496" i="13176"/>
  <c r="I496" i="13176"/>
  <c r="AR496" i="13176"/>
  <c r="AA496" i="13176"/>
  <c r="H496" i="13176"/>
  <c r="AM496" i="13176"/>
  <c r="V496" i="13176"/>
  <c r="D496" i="13176"/>
  <c r="BD496" i="13176"/>
  <c r="AL496" i="13176"/>
  <c r="U496" i="13176"/>
  <c r="C496" i="13176"/>
  <c r="BB496" i="13176"/>
  <c r="AJ496" i="13176"/>
  <c r="S496" i="13176"/>
  <c r="AB496" i="13176"/>
  <c r="AX496" i="13176"/>
  <c r="G498" i="13176"/>
  <c r="AC498" i="13176"/>
  <c r="BC498" i="13176"/>
  <c r="V499" i="13176"/>
  <c r="AR499" i="13176"/>
  <c r="L1204" i="13176"/>
  <c r="L1209" i="13176"/>
  <c r="L1194" i="13176"/>
  <c r="L1201" i="13176"/>
  <c r="L1185" i="13176"/>
  <c r="L1187" i="13176"/>
  <c r="L1195" i="13176"/>
  <c r="L1190" i="13176"/>
  <c r="L1177" i="13176"/>
  <c r="L1182" i="13176"/>
  <c r="L1198" i="13176"/>
  <c r="L1169" i="13176"/>
  <c r="L1161" i="13176"/>
  <c r="L1189" i="13176"/>
  <c r="L1166" i="13176"/>
  <c r="L1171" i="13176"/>
  <c r="L1192" i="13176"/>
  <c r="L1179" i="13176"/>
  <c r="L1163" i="13176"/>
  <c r="L1168" i="13176"/>
  <c r="L1165" i="13176"/>
  <c r="L1154" i="13176"/>
  <c r="L1160" i="13176"/>
  <c r="L1173" i="13176"/>
  <c r="L1184" i="13176"/>
  <c r="L1156" i="13176"/>
  <c r="L1176" i="13176"/>
  <c r="L1137" i="13176"/>
  <c r="L1153" i="13176"/>
  <c r="L1134" i="13176"/>
  <c r="L1181" i="13176"/>
  <c r="L1151" i="13176"/>
  <c r="L1142" i="13176"/>
  <c r="L1141" i="13176"/>
  <c r="L1145" i="13176"/>
  <c r="L1138" i="13176"/>
  <c r="L1130" i="13176"/>
  <c r="L1129" i="13176"/>
  <c r="L1122" i="13176"/>
  <c r="L1124" i="13176"/>
  <c r="L1133" i="13176"/>
  <c r="L1143" i="13176"/>
  <c r="L1113" i="13176"/>
  <c r="L1105" i="13176"/>
  <c r="L1121" i="13176"/>
  <c r="L1115" i="13176"/>
  <c r="L1118" i="13176"/>
  <c r="L1126" i="13176"/>
  <c r="L1107" i="13176"/>
  <c r="L1104" i="13176"/>
  <c r="L1125" i="13176"/>
  <c r="L1092" i="13176"/>
  <c r="L1084" i="13176"/>
  <c r="L1095" i="13176"/>
  <c r="L1099" i="13176"/>
  <c r="L1091" i="13176"/>
  <c r="L1088" i="13176"/>
  <c r="L1080" i="13176"/>
  <c r="L1087" i="13176"/>
  <c r="L1083" i="13176"/>
  <c r="L1086" i="13176"/>
  <c r="L1112" i="13176"/>
  <c r="L1067" i="13176"/>
  <c r="L1096" i="13176"/>
  <c r="L1094" i="13176"/>
  <c r="L1075" i="13176"/>
  <c r="L1063" i="13176"/>
  <c r="L1051" i="13176"/>
  <c r="L1066" i="13176"/>
  <c r="L1041" i="13176"/>
  <c r="L1033" i="13176"/>
  <c r="L1071" i="13176"/>
  <c r="L1046" i="13176"/>
  <c r="L1038" i="13176"/>
  <c r="L1061" i="13176"/>
  <c r="L1058" i="13176"/>
  <c r="L1055" i="13176"/>
  <c r="L1076" i="13176"/>
  <c r="L1059" i="13176"/>
  <c r="L1054" i="13176"/>
  <c r="L1032" i="13176"/>
  <c r="L1025" i="13176"/>
  <c r="L1017" i="13176"/>
  <c r="L1009" i="13176"/>
  <c r="L1001" i="13176"/>
  <c r="L1037" i="13176"/>
  <c r="L1022" i="13176"/>
  <c r="L1049" i="13176"/>
  <c r="L1040" i="13176"/>
  <c r="L1023" i="13176"/>
  <c r="L1016" i="13176"/>
  <c r="L1008" i="13176"/>
  <c r="L1072" i="13176"/>
  <c r="L1030" i="13176"/>
  <c r="L1048" i="13176"/>
  <c r="L990" i="13176"/>
  <c r="L1029" i="13176"/>
  <c r="L1014" i="13176"/>
  <c r="L1045" i="13176"/>
  <c r="L995" i="13176"/>
  <c r="L987" i="13176"/>
  <c r="L1004" i="13176"/>
  <c r="L992" i="13176"/>
  <c r="L984" i="13176"/>
  <c r="L1006" i="13176"/>
  <c r="L998" i="13176"/>
  <c r="L997" i="13176"/>
  <c r="L989" i="13176"/>
  <c r="L1000" i="13176"/>
  <c r="L1003" i="13176"/>
  <c r="L981" i="13176"/>
  <c r="L979" i="13176"/>
  <c r="L973" i="13176"/>
  <c r="L976" i="13176"/>
  <c r="L963" i="13176"/>
  <c r="L961" i="13176"/>
  <c r="L947" i="13176"/>
  <c r="L939" i="13176"/>
  <c r="L931" i="13176"/>
  <c r="L923" i="13176"/>
  <c r="L915" i="13176"/>
  <c r="L957" i="13176"/>
  <c r="L944" i="13176"/>
  <c r="L936" i="13176"/>
  <c r="L950" i="13176"/>
  <c r="L951" i="13176"/>
  <c r="L965" i="13176"/>
  <c r="L946" i="13176"/>
  <c r="L938" i="13176"/>
  <c r="L930" i="13176"/>
  <c r="L922" i="13176"/>
  <c r="L927" i="13176"/>
  <c r="L925" i="13176"/>
  <c r="L943" i="13176"/>
  <c r="L919" i="13176"/>
  <c r="L906" i="13176"/>
  <c r="L898" i="13176"/>
  <c r="L890" i="13176"/>
  <c r="L882" i="13176"/>
  <c r="L874" i="13176"/>
  <c r="L960" i="13176"/>
  <c r="L914" i="13176"/>
  <c r="L909" i="13176"/>
  <c r="L900" i="13176"/>
  <c r="L892" i="13176"/>
  <c r="L884" i="13176"/>
  <c r="L876" i="13176"/>
  <c r="L905" i="13176"/>
  <c r="L897" i="13176"/>
  <c r="L889" i="13176"/>
  <c r="L935" i="13176"/>
  <c r="L933" i="13176"/>
  <c r="L911" i="13176"/>
  <c r="L902" i="13176"/>
  <c r="L894" i="13176"/>
  <c r="L886" i="13176"/>
  <c r="L878" i="13176"/>
  <c r="L870" i="13176"/>
  <c r="L881" i="13176"/>
  <c r="L864" i="13176"/>
  <c r="L856" i="13176"/>
  <c r="L848" i="13176"/>
  <c r="L840" i="13176"/>
  <c r="L861" i="13176"/>
  <c r="L845" i="13176"/>
  <c r="L837" i="13176"/>
  <c r="L867" i="13176"/>
  <c r="L847" i="13176"/>
  <c r="L839" i="13176"/>
  <c r="L844" i="13176"/>
  <c r="L836" i="13176"/>
  <c r="L868" i="13176"/>
  <c r="L852" i="13176"/>
  <c r="L832" i="13176"/>
  <c r="L820" i="13176"/>
  <c r="L812" i="13176"/>
  <c r="L804" i="13176"/>
  <c r="L796" i="13176"/>
  <c r="L828" i="13176"/>
  <c r="L824" i="13176"/>
  <c r="L827" i="13176"/>
  <c r="L817" i="13176"/>
  <c r="L809" i="13176"/>
  <c r="L801" i="13176"/>
  <c r="L860" i="13176"/>
  <c r="L835" i="13176"/>
  <c r="L826" i="13176"/>
  <c r="L811" i="13176"/>
  <c r="L803" i="13176"/>
  <c r="L795" i="13176"/>
  <c r="L765" i="13176"/>
  <c r="L757" i="13176"/>
  <c r="L808" i="13176"/>
  <c r="L788" i="13176"/>
  <c r="L823" i="13176"/>
  <c r="L784" i="13176"/>
  <c r="L816" i="13176"/>
  <c r="L792" i="13176"/>
  <c r="L777" i="13176"/>
  <c r="L769" i="13176"/>
  <c r="L761" i="13176"/>
  <c r="L753" i="13176"/>
  <c r="L800" i="13176"/>
  <c r="L779" i="13176"/>
  <c r="L771" i="13176"/>
  <c r="L763" i="13176"/>
  <c r="L783" i="13176"/>
  <c r="L782" i="13176"/>
  <c r="L776" i="13176"/>
  <c r="L768" i="13176"/>
  <c r="L760" i="13176"/>
  <c r="L752" i="13176"/>
  <c r="L741" i="13176"/>
  <c r="L745" i="13176"/>
  <c r="L729" i="13176"/>
  <c r="L721" i="13176"/>
  <c r="L713" i="13176"/>
  <c r="L734" i="13176"/>
  <c r="L726" i="13176"/>
  <c r="L718" i="13176"/>
  <c r="L710" i="13176"/>
  <c r="L749" i="13176"/>
  <c r="L731" i="13176"/>
  <c r="L723" i="13176"/>
  <c r="L715" i="13176"/>
  <c r="L737" i="13176"/>
  <c r="L702" i="13176"/>
  <c r="L698" i="13176"/>
  <c r="L691" i="13176"/>
  <c r="L683" i="13176"/>
  <c r="L675" i="13176"/>
  <c r="L667" i="13176"/>
  <c r="L688" i="13176"/>
  <c r="L680" i="13176"/>
  <c r="L672" i="13176"/>
  <c r="L685" i="13176"/>
  <c r="L677" i="13176"/>
  <c r="L697" i="13176"/>
  <c r="L696" i="13176"/>
  <c r="L687" i="13176"/>
  <c r="L664" i="13176"/>
  <c r="L651" i="13176"/>
  <c r="L643" i="13176"/>
  <c r="L635" i="13176"/>
  <c r="L627" i="13176"/>
  <c r="L658" i="13176"/>
  <c r="L650" i="13176"/>
  <c r="L642" i="13176"/>
  <c r="L634" i="13176"/>
  <c r="L669" i="13176"/>
  <c r="L661" i="13176"/>
  <c r="L663" i="13176"/>
  <c r="L646" i="13176"/>
  <c r="L624" i="13176"/>
  <c r="L626" i="13176"/>
  <c r="L630" i="13176"/>
  <c r="L654" i="13176"/>
  <c r="L613" i="13176"/>
  <c r="L610" i="13176"/>
  <c r="L638" i="13176"/>
  <c r="L619" i="13176"/>
  <c r="L612" i="13176"/>
  <c r="L618" i="13176"/>
  <c r="L616" i="13176"/>
  <c r="L587" i="13176"/>
  <c r="L623" i="13176"/>
  <c r="L584" i="13176"/>
  <c r="L556" i="13176"/>
  <c r="L546" i="13176"/>
  <c r="L555" i="13176"/>
  <c r="L552" i="13176"/>
  <c r="L600" i="13176"/>
  <c r="L559" i="13176"/>
  <c r="L550" i="13176"/>
  <c r="L518" i="13176"/>
  <c r="L553" i="13176"/>
  <c r="L516" i="13176"/>
  <c r="L532" i="13176"/>
  <c r="L524" i="13176"/>
  <c r="L537" i="13176"/>
  <c r="L585" i="13176"/>
  <c r="L521" i="13176"/>
  <c r="L548" i="13176"/>
  <c r="L527" i="13176"/>
  <c r="AB1209" i="13176"/>
  <c r="AB1185" i="13176"/>
  <c r="AB1204" i="13176"/>
  <c r="AB1212" i="13176"/>
  <c r="AB1184" i="13176"/>
  <c r="AB1179" i="13176"/>
  <c r="AB1193" i="13176"/>
  <c r="AB1196" i="13176"/>
  <c r="AB1169" i="13176"/>
  <c r="AB1161" i="13176"/>
  <c r="AB1187" i="13176"/>
  <c r="AB1171" i="13176"/>
  <c r="AB1168" i="13176"/>
  <c r="AB1182" i="13176"/>
  <c r="AB1173" i="13176"/>
  <c r="AB1154" i="13176"/>
  <c r="AB1163" i="13176"/>
  <c r="AB1162" i="13176"/>
  <c r="AB1156" i="13176"/>
  <c r="AB1153" i="13176"/>
  <c r="AB1155" i="13176"/>
  <c r="AB1165" i="13176"/>
  <c r="AB1145" i="13176"/>
  <c r="AB1143" i="13176"/>
  <c r="AB1137" i="13176"/>
  <c r="AB1134" i="13176"/>
  <c r="AB1126" i="13176"/>
  <c r="AB1146" i="13176"/>
  <c r="AB1160" i="13176"/>
  <c r="AB1201" i="13176"/>
  <c r="AB1141" i="13176"/>
  <c r="AB1133" i="13176"/>
  <c r="AB1118" i="13176"/>
  <c r="AB1117" i="13176"/>
  <c r="AB1138" i="13176"/>
  <c r="AB1122" i="13176"/>
  <c r="AB1116" i="13176"/>
  <c r="AB1108" i="13176"/>
  <c r="AB1130" i="13176"/>
  <c r="AB1113" i="13176"/>
  <c r="AB1129" i="13176"/>
  <c r="AB1115" i="13176"/>
  <c r="AB1107" i="13176"/>
  <c r="AB1100" i="13176"/>
  <c r="AB1092" i="13176"/>
  <c r="AB1084" i="13176"/>
  <c r="AB1076" i="13176"/>
  <c r="AB1089" i="13176"/>
  <c r="AB1081" i="13176"/>
  <c r="AB1091" i="13176"/>
  <c r="AB1099" i="13176"/>
  <c r="AB1072" i="13176"/>
  <c r="AB1095" i="13176"/>
  <c r="AB1080" i="13176"/>
  <c r="AB1075" i="13176"/>
  <c r="AB1073" i="13176"/>
  <c r="AB1067" i="13176"/>
  <c r="AB1059" i="13176"/>
  <c r="AB1088" i="13176"/>
  <c r="AB1083" i="13176"/>
  <c r="AB1069" i="13176"/>
  <c r="AB1087" i="13176"/>
  <c r="AB1079" i="13176"/>
  <c r="AB1050" i="13176"/>
  <c r="AB1051" i="13176"/>
  <c r="AB1061" i="13176"/>
  <c r="AB1041" i="13176"/>
  <c r="AB1033" i="13176"/>
  <c r="AB1046" i="13176"/>
  <c r="AB1038" i="13176"/>
  <c r="AB1043" i="13176"/>
  <c r="AB1040" i="13176"/>
  <c r="AB1057" i="13176"/>
  <c r="AB1031" i="13176"/>
  <c r="AB1017" i="13176"/>
  <c r="AB1009" i="13176"/>
  <c r="AB1025" i="13176"/>
  <c r="AB1014" i="13176"/>
  <c r="AB1006" i="13176"/>
  <c r="AB1011" i="13176"/>
  <c r="AB1022" i="13176"/>
  <c r="AB1032" i="13176"/>
  <c r="AB1000" i="13176"/>
  <c r="AB1001" i="13176"/>
  <c r="AB990" i="13176"/>
  <c r="AB982" i="13176"/>
  <c r="AB995" i="13176"/>
  <c r="AB987" i="13176"/>
  <c r="AB992" i="13176"/>
  <c r="AB1008" i="13176"/>
  <c r="AB1016" i="13176"/>
  <c r="AB989" i="13176"/>
  <c r="AB999" i="13176"/>
  <c r="AB998" i="13176"/>
  <c r="AB997" i="13176"/>
  <c r="AB994" i="13176"/>
  <c r="AB973" i="13176"/>
  <c r="AB981" i="13176"/>
  <c r="AB974" i="13176"/>
  <c r="AB971" i="13176"/>
  <c r="AB984" i="13176"/>
  <c r="AB952" i="13176"/>
  <c r="AB947" i="13176"/>
  <c r="AB944" i="13176"/>
  <c r="AB936" i="13176"/>
  <c r="AB950" i="13176"/>
  <c r="AB951" i="13176"/>
  <c r="AB946" i="13176"/>
  <c r="AB938" i="13176"/>
  <c r="AB930" i="13176"/>
  <c r="AB922" i="13176"/>
  <c r="AB914" i="13176"/>
  <c r="AB906" i="13176"/>
  <c r="AB898" i="13176"/>
  <c r="AB890" i="13176"/>
  <c r="AB882" i="13176"/>
  <c r="AB874" i="13176"/>
  <c r="AB903" i="13176"/>
  <c r="AB895" i="13176"/>
  <c r="AB887" i="13176"/>
  <c r="AB879" i="13176"/>
  <c r="AB871" i="13176"/>
  <c r="AB986" i="13176"/>
  <c r="AB900" i="13176"/>
  <c r="AB892" i="13176"/>
  <c r="AB884" i="13176"/>
  <c r="AB876" i="13176"/>
  <c r="AB905" i="13176"/>
  <c r="AB897" i="13176"/>
  <c r="AB889" i="13176"/>
  <c r="AB909" i="13176"/>
  <c r="AB902" i="13176"/>
  <c r="AB886" i="13176"/>
  <c r="AB864" i="13176"/>
  <c r="AB856" i="13176"/>
  <c r="AB848" i="13176"/>
  <c r="AB840" i="13176"/>
  <c r="AB832" i="13176"/>
  <c r="AB878" i="13176"/>
  <c r="AB870" i="13176"/>
  <c r="AB866" i="13176"/>
  <c r="AB858" i="13176"/>
  <c r="AB894" i="13176"/>
  <c r="AB820" i="13176"/>
  <c r="AB812" i="13176"/>
  <c r="AB804" i="13176"/>
  <c r="AB796" i="13176"/>
  <c r="AB788" i="13176"/>
  <c r="AB817" i="13176"/>
  <c r="AB809" i="13176"/>
  <c r="AB801" i="13176"/>
  <c r="AB793" i="13176"/>
  <c r="AB822" i="13176"/>
  <c r="AB814" i="13176"/>
  <c r="AB806" i="13176"/>
  <c r="AB824" i="13176"/>
  <c r="AB780" i="13176"/>
  <c r="AB777" i="13176"/>
  <c r="AB774" i="13176"/>
  <c r="AB766" i="13176"/>
  <c r="AB787" i="13176"/>
  <c r="AB779" i="13176"/>
  <c r="AB771" i="13176"/>
  <c r="AB763" i="13176"/>
  <c r="AB755" i="13176"/>
  <c r="AB768" i="13176"/>
  <c r="AB760" i="13176"/>
  <c r="AB758" i="13176"/>
  <c r="AB752" i="13176"/>
  <c r="AB742" i="13176"/>
  <c r="AB776" i="13176"/>
  <c r="AB729" i="13176"/>
  <c r="AB734" i="13176"/>
  <c r="AB726" i="13176"/>
  <c r="AB718" i="13176"/>
  <c r="AB750" i="13176"/>
  <c r="AB731" i="13176"/>
  <c r="AB723" i="13176"/>
  <c r="AB715" i="13176"/>
  <c r="AB699" i="13176"/>
  <c r="AB717" i="13176"/>
  <c r="AB709" i="13176"/>
  <c r="AB707" i="13176"/>
  <c r="AB691" i="13176"/>
  <c r="AB683" i="13176"/>
  <c r="AB675" i="13176"/>
  <c r="AB667" i="13176"/>
  <c r="AB725" i="13176"/>
  <c r="AB685" i="13176"/>
  <c r="AB677" i="13176"/>
  <c r="AB669" i="13176"/>
  <c r="AB661" i="13176"/>
  <c r="AB733" i="13176"/>
  <c r="AB687" i="13176"/>
  <c r="AB679" i="13176"/>
  <c r="AB666" i="13176"/>
  <c r="AB682" i="13176"/>
  <c r="AB671" i="13176"/>
  <c r="AB658" i="13176"/>
  <c r="AB690" i="13176"/>
  <c r="AB674" i="13176"/>
  <c r="AB618" i="13176"/>
  <c r="AB613" i="13176"/>
  <c r="AB612" i="13176"/>
  <c r="AB609" i="13176"/>
  <c r="AB585" i="13176"/>
  <c r="AB601" i="13176"/>
  <c r="AB548" i="13176"/>
  <c r="AB550" i="13176"/>
  <c r="AB546" i="13176"/>
  <c r="AB527" i="13176"/>
  <c r="AB518" i="13176"/>
  <c r="AB516" i="13176"/>
  <c r="AB540" i="13176"/>
  <c r="AR1196" i="13176"/>
  <c r="AR1204" i="13176"/>
  <c r="AR1209" i="13176"/>
  <c r="AR1201" i="13176"/>
  <c r="AR1185" i="13176"/>
  <c r="AR1212" i="13176"/>
  <c r="AR1182" i="13176"/>
  <c r="AR1179" i="13176"/>
  <c r="AR1187" i="13176"/>
  <c r="AR1169" i="13176"/>
  <c r="AR1171" i="13176"/>
  <c r="AR1163" i="13176"/>
  <c r="AR1173" i="13176"/>
  <c r="AR1162" i="13176"/>
  <c r="AR1160" i="13176"/>
  <c r="AR1154" i="13176"/>
  <c r="AR1165" i="13176"/>
  <c r="AR1168" i="13176"/>
  <c r="AR1156" i="13176"/>
  <c r="AR1178" i="13176"/>
  <c r="AR1153" i="13176"/>
  <c r="AR1137" i="13176"/>
  <c r="AR1145" i="13176"/>
  <c r="AR1134" i="13176"/>
  <c r="AR1126" i="13176"/>
  <c r="AR1155" i="13176"/>
  <c r="AR1146" i="13176"/>
  <c r="AR1133" i="13176"/>
  <c r="AR1141" i="13176"/>
  <c r="AR1118" i="13176"/>
  <c r="AR1138" i="13176"/>
  <c r="AR1121" i="13176"/>
  <c r="AR1130" i="13176"/>
  <c r="AR1117" i="13176"/>
  <c r="AR1129" i="13176"/>
  <c r="AR1116" i="13176"/>
  <c r="AR1108" i="13176"/>
  <c r="AR1122" i="13176"/>
  <c r="AR1113" i="13176"/>
  <c r="AR1125" i="13176"/>
  <c r="AR1115" i="13176"/>
  <c r="AR1107" i="13176"/>
  <c r="AR1099" i="13176"/>
  <c r="AR1100" i="13176"/>
  <c r="AR1124" i="13176"/>
  <c r="AR1092" i="13176"/>
  <c r="AR1084" i="13176"/>
  <c r="AR1089" i="13176"/>
  <c r="AR1081" i="13176"/>
  <c r="AR1095" i="13176"/>
  <c r="AR1091" i="13176"/>
  <c r="AR1102" i="13176"/>
  <c r="AR1072" i="13176"/>
  <c r="AR1088" i="13176"/>
  <c r="AR1083" i="13176"/>
  <c r="AR1087" i="13176"/>
  <c r="AR1067" i="13176"/>
  <c r="AR1059" i="13176"/>
  <c r="AR1073" i="13176"/>
  <c r="AR1069" i="13176"/>
  <c r="AR1098" i="13176"/>
  <c r="AR1080" i="13176"/>
  <c r="AR1075" i="13176"/>
  <c r="AR1061" i="13176"/>
  <c r="AR1049" i="13176"/>
  <c r="AR1048" i="13176"/>
  <c r="AR1041" i="13176"/>
  <c r="AR1033" i="13176"/>
  <c r="AR1046" i="13176"/>
  <c r="AR1043" i="13176"/>
  <c r="AR1040" i="13176"/>
  <c r="AR1032" i="13176"/>
  <c r="AR1009" i="13176"/>
  <c r="AR1014" i="13176"/>
  <c r="AR1006" i="13176"/>
  <c r="AR1011" i="13176"/>
  <c r="AR1025" i="13176"/>
  <c r="AR1000" i="13176"/>
  <c r="AR1022" i="13176"/>
  <c r="AR1001" i="13176"/>
  <c r="AR990" i="13176"/>
  <c r="AR982" i="13176"/>
  <c r="AR1008" i="13176"/>
  <c r="AR1004" i="13176"/>
  <c r="AR995" i="13176"/>
  <c r="AR987" i="13176"/>
  <c r="AR1016" i="13176"/>
  <c r="AR992" i="13176"/>
  <c r="AR984" i="13176"/>
  <c r="AR989" i="13176"/>
  <c r="AR981" i="13176"/>
  <c r="AR1031" i="13176"/>
  <c r="AR1017" i="13176"/>
  <c r="AR1013" i="13176"/>
  <c r="AR994" i="13176"/>
  <c r="AR976" i="13176"/>
  <c r="AR973" i="13176"/>
  <c r="AR977" i="13176"/>
  <c r="AR986" i="13176"/>
  <c r="AR974" i="13176"/>
  <c r="AR947" i="13176"/>
  <c r="AR952" i="13176"/>
  <c r="AR944" i="13176"/>
  <c r="AR936" i="13176"/>
  <c r="AR946" i="13176"/>
  <c r="AR938" i="13176"/>
  <c r="AR930" i="13176"/>
  <c r="AR922" i="13176"/>
  <c r="AR909" i="13176"/>
  <c r="AR906" i="13176"/>
  <c r="AR898" i="13176"/>
  <c r="AR890" i="13176"/>
  <c r="AR882" i="13176"/>
  <c r="AR874" i="13176"/>
  <c r="AR903" i="13176"/>
  <c r="AR895" i="13176"/>
  <c r="AR887" i="13176"/>
  <c r="AR879" i="13176"/>
  <c r="AR900" i="13176"/>
  <c r="AR892" i="13176"/>
  <c r="AR884" i="13176"/>
  <c r="AR950" i="13176"/>
  <c r="AR905" i="13176"/>
  <c r="AR897" i="13176"/>
  <c r="AR902" i="13176"/>
  <c r="AR886" i="13176"/>
  <c r="AR870" i="13176"/>
  <c r="AR864" i="13176"/>
  <c r="AR856" i="13176"/>
  <c r="AR848" i="13176"/>
  <c r="AR840" i="13176"/>
  <c r="AR832" i="13176"/>
  <c r="AR878" i="13176"/>
  <c r="AR894" i="13176"/>
  <c r="AR858" i="13176"/>
  <c r="AR866" i="13176"/>
  <c r="AR820" i="13176"/>
  <c r="AR812" i="13176"/>
  <c r="AR804" i="13176"/>
  <c r="AR796" i="13176"/>
  <c r="AR788" i="13176"/>
  <c r="AR823" i="13176"/>
  <c r="AR817" i="13176"/>
  <c r="AR809" i="13176"/>
  <c r="AR801" i="13176"/>
  <c r="AR793" i="13176"/>
  <c r="AR814" i="13176"/>
  <c r="AR806" i="13176"/>
  <c r="AR780" i="13176"/>
  <c r="AR777" i="13176"/>
  <c r="AR782" i="13176"/>
  <c r="AR774" i="13176"/>
  <c r="AR766" i="13176"/>
  <c r="AR779" i="13176"/>
  <c r="AR771" i="13176"/>
  <c r="AR763" i="13176"/>
  <c r="AR752" i="13176"/>
  <c r="AR776" i="13176"/>
  <c r="AR750" i="13176"/>
  <c r="AR729" i="13176"/>
  <c r="AR734" i="13176"/>
  <c r="AR726" i="13176"/>
  <c r="AR731" i="13176"/>
  <c r="AR723" i="13176"/>
  <c r="AR742" i="13176"/>
  <c r="AR768" i="13176"/>
  <c r="AR717" i="13176"/>
  <c r="AR709" i="13176"/>
  <c r="AR707" i="13176"/>
  <c r="AR760" i="13176"/>
  <c r="AR691" i="13176"/>
  <c r="AR683" i="13176"/>
  <c r="AR675" i="13176"/>
  <c r="AR667" i="13176"/>
  <c r="AR725" i="13176"/>
  <c r="AR758" i="13176"/>
  <c r="AR699" i="13176"/>
  <c r="AR685" i="13176"/>
  <c r="AR677" i="13176"/>
  <c r="AR669" i="13176"/>
  <c r="AR661" i="13176"/>
  <c r="AR733" i="13176"/>
  <c r="AR715" i="13176"/>
  <c r="AR687" i="13176"/>
  <c r="AR679" i="13176"/>
  <c r="AR671" i="13176"/>
  <c r="AR682" i="13176"/>
  <c r="AR658" i="13176"/>
  <c r="AR674" i="13176"/>
  <c r="AR690" i="13176"/>
  <c r="AR666" i="13176"/>
  <c r="AR663" i="13176"/>
  <c r="AR613" i="13176"/>
  <c r="AR618" i="13176"/>
  <c r="AR612" i="13176"/>
  <c r="AR601" i="13176"/>
  <c r="AR609" i="13176"/>
  <c r="AR548" i="13176"/>
  <c r="AR550" i="13176"/>
  <c r="AR585" i="13176"/>
  <c r="AR555" i="13176"/>
  <c r="AR546" i="13176"/>
  <c r="AR527" i="13176"/>
  <c r="AR518" i="13176"/>
  <c r="BA513" i="13176"/>
  <c r="AJ513" i="13176"/>
  <c r="T513" i="13176"/>
  <c r="C513" i="13176"/>
  <c r="AN513" i="13176"/>
  <c r="X513" i="13176"/>
  <c r="G513" i="13176"/>
  <c r="BD513" i="13176"/>
  <c r="AK513" i="13176"/>
  <c r="Q513" i="13176"/>
  <c r="AY513" i="13176"/>
  <c r="AF513" i="13176"/>
  <c r="M513" i="13176"/>
  <c r="AX513" i="13176"/>
  <c r="AE513" i="13176"/>
  <c r="L513" i="13176"/>
  <c r="AV513" i="13176"/>
  <c r="AC513" i="13176"/>
  <c r="J513" i="13176"/>
  <c r="AU513" i="13176"/>
  <c r="AB513" i="13176"/>
  <c r="I513" i="13176"/>
  <c r="AT513" i="13176"/>
  <c r="AA513" i="13176"/>
  <c r="H513" i="13176"/>
  <c r="AR513" i="13176"/>
  <c r="Z513" i="13176"/>
  <c r="F513" i="13176"/>
  <c r="AQ513" i="13176"/>
  <c r="Y513" i="13176"/>
  <c r="E513" i="13176"/>
  <c r="AO513" i="13176"/>
  <c r="V514" i="13176"/>
  <c r="AX515" i="13176"/>
  <c r="X519" i="13176"/>
  <c r="AG523" i="13176"/>
  <c r="AC528" i="13176"/>
  <c r="AY530" i="13176"/>
  <c r="AH530" i="13176"/>
  <c r="Q530" i="13176"/>
  <c r="AW530" i="13176"/>
  <c r="AF530" i="13176"/>
  <c r="O530" i="13176"/>
  <c r="AQ530" i="13176"/>
  <c r="Y530" i="13176"/>
  <c r="F530" i="13176"/>
  <c r="AP530" i="13176"/>
  <c r="X530" i="13176"/>
  <c r="E530" i="13176"/>
  <c r="AO530" i="13176"/>
  <c r="W530" i="13176"/>
  <c r="D530" i="13176"/>
  <c r="AL530" i="13176"/>
  <c r="T530" i="13176"/>
  <c r="AU530" i="13176"/>
  <c r="AB530" i="13176"/>
  <c r="I530" i="13176"/>
  <c r="AE530" i="13176"/>
  <c r="C530" i="13176"/>
  <c r="BC530" i="13176"/>
  <c r="AC530" i="13176"/>
  <c r="BB530" i="13176"/>
  <c r="AA530" i="13176"/>
  <c r="BA530" i="13176"/>
  <c r="Z530" i="13176"/>
  <c r="AX530" i="13176"/>
  <c r="U530" i="13176"/>
  <c r="AV530" i="13176"/>
  <c r="S530" i="13176"/>
  <c r="AR530" i="13176"/>
  <c r="N530" i="13176"/>
  <c r="AN530" i="13176"/>
  <c r="M530" i="13176"/>
  <c r="AM530" i="13176"/>
  <c r="L530" i="13176"/>
  <c r="AK530" i="13176"/>
  <c r="K530" i="13176"/>
  <c r="AJ530" i="13176"/>
  <c r="J530" i="13176"/>
  <c r="AI530" i="13176"/>
  <c r="H530" i="13176"/>
  <c r="AX531" i="13176"/>
  <c r="AG533" i="13176"/>
  <c r="AC535" i="13176"/>
  <c r="AL538" i="13176"/>
  <c r="AU490" i="13176"/>
  <c r="AD490" i="13176"/>
  <c r="M490" i="13176"/>
  <c r="AR490" i="13176"/>
  <c r="AA490" i="13176"/>
  <c r="I490" i="13176"/>
  <c r="AM490" i="13176"/>
  <c r="V490" i="13176"/>
  <c r="D490" i="13176"/>
  <c r="W490" i="13176"/>
  <c r="E491" i="13176"/>
  <c r="P492" i="13176"/>
  <c r="AN492" i="13176"/>
  <c r="F493" i="13176"/>
  <c r="AF493" i="13176"/>
  <c r="BC493" i="13176"/>
  <c r="BC494" i="13176"/>
  <c r="AL494" i="13176"/>
  <c r="V494" i="13176"/>
  <c r="E494" i="13176"/>
  <c r="AX494" i="13176"/>
  <c r="AF494" i="13176"/>
  <c r="N494" i="13176"/>
  <c r="AT494" i="13176"/>
  <c r="AB494" i="13176"/>
  <c r="J494" i="13176"/>
  <c r="AR494" i="13176"/>
  <c r="AA494" i="13176"/>
  <c r="I494" i="13176"/>
  <c r="AP494" i="13176"/>
  <c r="Y494" i="13176"/>
  <c r="G494" i="13176"/>
  <c r="Z494" i="13176"/>
  <c r="AY494" i="13176"/>
  <c r="G496" i="13176"/>
  <c r="AE496" i="13176"/>
  <c r="BA496" i="13176"/>
  <c r="V497" i="13176"/>
  <c r="AR497" i="13176"/>
  <c r="J498" i="13176"/>
  <c r="AJ498" i="13176"/>
  <c r="C499" i="13176"/>
  <c r="Z499" i="13176"/>
  <c r="H501" i="13176"/>
  <c r="AG501" i="13176"/>
  <c r="BD501" i="13176"/>
  <c r="S504" i="13176"/>
  <c r="AW504" i="13176"/>
  <c r="Q505" i="13176"/>
  <c r="AX505" i="13176"/>
  <c r="U506" i="13176"/>
  <c r="BB506" i="13176"/>
  <c r="AG508" i="13176"/>
  <c r="L509" i="13176"/>
  <c r="AT509" i="13176"/>
  <c r="AW511" i="13176"/>
  <c r="AF511" i="13176"/>
  <c r="O511" i="13176"/>
  <c r="BA511" i="13176"/>
  <c r="AJ511" i="13176"/>
  <c r="T511" i="13176"/>
  <c r="C511" i="13176"/>
  <c r="BC511" i="13176"/>
  <c r="AI511" i="13176"/>
  <c r="P511" i="13176"/>
  <c r="AX511" i="13176"/>
  <c r="AD511" i="13176"/>
  <c r="K511" i="13176"/>
  <c r="AV511" i="13176"/>
  <c r="AC511" i="13176"/>
  <c r="J511" i="13176"/>
  <c r="AT511" i="13176"/>
  <c r="AA511" i="13176"/>
  <c r="H511" i="13176"/>
  <c r="AR511" i="13176"/>
  <c r="Z511" i="13176"/>
  <c r="G511" i="13176"/>
  <c r="AQ511" i="13176"/>
  <c r="Y511" i="13176"/>
  <c r="F511" i="13176"/>
  <c r="AP511" i="13176"/>
  <c r="X511" i="13176"/>
  <c r="E511" i="13176"/>
  <c r="AO511" i="13176"/>
  <c r="W511" i="13176"/>
  <c r="D511" i="13176"/>
  <c r="AN511" i="13176"/>
  <c r="V512" i="13176"/>
  <c r="D513" i="13176"/>
  <c r="AP513" i="13176"/>
  <c r="W514" i="13176"/>
  <c r="BA515" i="13176"/>
  <c r="AA519" i="13176"/>
  <c r="U520" i="13176"/>
  <c r="U522" i="13176"/>
  <c r="AI523" i="13176"/>
  <c r="AW524" i="13176"/>
  <c r="G530" i="13176"/>
  <c r="BB531" i="13176"/>
  <c r="AI533" i="13176"/>
  <c r="AG535" i="13176"/>
  <c r="S538" i="13176"/>
  <c r="AN499" i="13176"/>
  <c r="X499" i="13176"/>
  <c r="G499" i="13176"/>
  <c r="BA499" i="13176"/>
  <c r="AI499" i="13176"/>
  <c r="Q499" i="13176"/>
  <c r="AW499" i="13176"/>
  <c r="AE499" i="13176"/>
  <c r="M499" i="13176"/>
  <c r="AV499" i="13176"/>
  <c r="AD499" i="13176"/>
  <c r="L499" i="13176"/>
  <c r="AT499" i="13176"/>
  <c r="AB499" i="13176"/>
  <c r="J499" i="13176"/>
  <c r="Y499" i="13176"/>
  <c r="AX499" i="13176"/>
  <c r="G501" i="13176"/>
  <c r="AE501" i="13176"/>
  <c r="BC501" i="13176"/>
  <c r="Q503" i="13176"/>
  <c r="Q504" i="13176"/>
  <c r="T506" i="13176"/>
  <c r="BA506" i="13176"/>
  <c r="Z507" i="13176"/>
  <c r="J509" i="13176"/>
  <c r="AM509" i="13176"/>
  <c r="U512" i="13176"/>
  <c r="N1213" i="13176"/>
  <c r="N1210" i="13176"/>
  <c r="N1212" i="13176"/>
  <c r="N1209" i="13176"/>
  <c r="N1201" i="13176"/>
  <c r="N1202" i="13176"/>
  <c r="N1185" i="13176"/>
  <c r="N1206" i="13176"/>
  <c r="N1187" i="13176"/>
  <c r="N1205" i="13176"/>
  <c r="N1204" i="13176"/>
  <c r="N1192" i="13176"/>
  <c r="N1195" i="13176"/>
  <c r="N1182" i="13176"/>
  <c r="N1169" i="13176"/>
  <c r="N1189" i="13176"/>
  <c r="N1171" i="13176"/>
  <c r="N1179" i="13176"/>
  <c r="N1190" i="13176"/>
  <c r="N1186" i="13176"/>
  <c r="N1184" i="13176"/>
  <c r="N1168" i="13176"/>
  <c r="N1177" i="13176"/>
  <c r="N1163" i="13176"/>
  <c r="N1165" i="13176"/>
  <c r="N1162" i="13176"/>
  <c r="N1170" i="13176"/>
  <c r="N1161" i="13176"/>
  <c r="N1154" i="13176"/>
  <c r="N1160" i="13176"/>
  <c r="N1173" i="13176"/>
  <c r="N1156" i="13176"/>
  <c r="N1153" i="13176"/>
  <c r="N1176" i="13176"/>
  <c r="N1155" i="13176"/>
  <c r="N1146" i="13176"/>
  <c r="N1134" i="13176"/>
  <c r="N1139" i="13176"/>
  <c r="N1131" i="13176"/>
  <c r="N1147" i="13176"/>
  <c r="N1145" i="13176"/>
  <c r="N1135" i="13176"/>
  <c r="N1127" i="13176"/>
  <c r="N1116" i="13176"/>
  <c r="N1138" i="13176"/>
  <c r="N1123" i="13176"/>
  <c r="N1121" i="13176"/>
  <c r="N1115" i="13176"/>
  <c r="N1118" i="13176"/>
  <c r="N1130" i="13176"/>
  <c r="N1126" i="13176"/>
  <c r="N1125" i="13176"/>
  <c r="N1107" i="13176"/>
  <c r="N1122" i="13176"/>
  <c r="N1104" i="13176"/>
  <c r="N1092" i="13176"/>
  <c r="N1101" i="13176"/>
  <c r="N1095" i="13176"/>
  <c r="N1089" i="13176"/>
  <c r="N1081" i="13176"/>
  <c r="N1099" i="13176"/>
  <c r="N1096" i="13176"/>
  <c r="N1112" i="13176"/>
  <c r="N1108" i="13176"/>
  <c r="N1100" i="13176"/>
  <c r="N1088" i="13176"/>
  <c r="N1083" i="13176"/>
  <c r="N1109" i="13176"/>
  <c r="N1073" i="13176"/>
  <c r="N1119" i="13176"/>
  <c r="N1067" i="13176"/>
  <c r="N1084" i="13176"/>
  <c r="N1080" i="13176"/>
  <c r="N1072" i="13176"/>
  <c r="N1066" i="13176"/>
  <c r="N1091" i="13176"/>
  <c r="N1076" i="13176"/>
  <c r="N1075" i="13176"/>
  <c r="N1063" i="13176"/>
  <c r="N1051" i="13176"/>
  <c r="N1068" i="13176"/>
  <c r="N1041" i="13176"/>
  <c r="N1071" i="13176"/>
  <c r="N1046" i="13176"/>
  <c r="N1038" i="13176"/>
  <c r="N1058" i="13176"/>
  <c r="N1055" i="13176"/>
  <c r="N1052" i="13176"/>
  <c r="N1059" i="13176"/>
  <c r="N1054" i="13176"/>
  <c r="N1048" i="13176"/>
  <c r="N1045" i="13176"/>
  <c r="N1049" i="13176"/>
  <c r="N1032" i="13176"/>
  <c r="N1025" i="13176"/>
  <c r="N1017" i="13176"/>
  <c r="N1009" i="13176"/>
  <c r="N1050" i="13176"/>
  <c r="N1037" i="13176"/>
  <c r="N1034" i="13176"/>
  <c r="N1022" i="13176"/>
  <c r="N1042" i="13176"/>
  <c r="N1033" i="13176"/>
  <c r="N1016" i="13176"/>
  <c r="N1008" i="13176"/>
  <c r="N1023" i="13176"/>
  <c r="N1026" i="13176"/>
  <c r="N1030" i="13176"/>
  <c r="N1029" i="13176"/>
  <c r="N1010" i="13176"/>
  <c r="N990" i="13176"/>
  <c r="N982" i="13176"/>
  <c r="N992" i="13176"/>
  <c r="N1011" i="13176"/>
  <c r="N998" i="13176"/>
  <c r="N997" i="13176"/>
  <c r="N989" i="13176"/>
  <c r="N981" i="13176"/>
  <c r="N1000" i="13176"/>
  <c r="N1003" i="13176"/>
  <c r="N1024" i="13176"/>
  <c r="N1001" i="13176"/>
  <c r="N991" i="13176"/>
  <c r="N973" i="13176"/>
  <c r="N974" i="13176"/>
  <c r="N976" i="13176"/>
  <c r="N983" i="13176"/>
  <c r="N975" i="13176"/>
  <c r="N965" i="13176"/>
  <c r="N978" i="13176"/>
  <c r="N984" i="13176"/>
  <c r="N966" i="13176"/>
  <c r="N947" i="13176"/>
  <c r="N939" i="13176"/>
  <c r="N931" i="13176"/>
  <c r="N923" i="13176"/>
  <c r="N961" i="13176"/>
  <c r="N944" i="13176"/>
  <c r="N957" i="13176"/>
  <c r="N950" i="13176"/>
  <c r="N970" i="13176"/>
  <c r="N946" i="13176"/>
  <c r="N943" i="13176"/>
  <c r="N935" i="13176"/>
  <c r="N927" i="13176"/>
  <c r="N960" i="13176"/>
  <c r="N952" i="13176"/>
  <c r="N915" i="13176"/>
  <c r="N940" i="13176"/>
  <c r="N938" i="13176"/>
  <c r="N919" i="13176"/>
  <c r="N930" i="13176"/>
  <c r="N903" i="13176"/>
  <c r="N895" i="13176"/>
  <c r="N887" i="13176"/>
  <c r="N879" i="13176"/>
  <c r="N914" i="13176"/>
  <c r="N909" i="13176"/>
  <c r="N948" i="13176"/>
  <c r="N922" i="13176"/>
  <c r="N911" i="13176"/>
  <c r="N954" i="13176"/>
  <c r="N902" i="13176"/>
  <c r="N894" i="13176"/>
  <c r="N886" i="13176"/>
  <c r="N907" i="13176"/>
  <c r="N899" i="13176"/>
  <c r="N891" i="13176"/>
  <c r="N883" i="13176"/>
  <c r="N864" i="13176"/>
  <c r="N856" i="13176"/>
  <c r="N848" i="13176"/>
  <c r="N840" i="13176"/>
  <c r="N861" i="13176"/>
  <c r="N853" i="13176"/>
  <c r="N845" i="13176"/>
  <c r="N837" i="13176"/>
  <c r="N867" i="13176"/>
  <c r="N875" i="13176"/>
  <c r="N871" i="13176"/>
  <c r="N878" i="13176"/>
  <c r="N860" i="13176"/>
  <c r="N852" i="13176"/>
  <c r="N844" i="13176"/>
  <c r="N836" i="13176"/>
  <c r="N865" i="13176"/>
  <c r="N849" i="13176"/>
  <c r="N832" i="13176"/>
  <c r="N820" i="13176"/>
  <c r="N812" i="13176"/>
  <c r="N804" i="13176"/>
  <c r="N796" i="13176"/>
  <c r="N824" i="13176"/>
  <c r="N817" i="13176"/>
  <c r="N809" i="13176"/>
  <c r="N801" i="13176"/>
  <c r="N793" i="13176"/>
  <c r="N827" i="13176"/>
  <c r="N870" i="13176"/>
  <c r="N857" i="13176"/>
  <c r="N826" i="13176"/>
  <c r="N823" i="13176"/>
  <c r="N816" i="13176"/>
  <c r="N808" i="13176"/>
  <c r="N800" i="13176"/>
  <c r="N833" i="13176"/>
  <c r="N805" i="13176"/>
  <c r="N788" i="13176"/>
  <c r="N784" i="13176"/>
  <c r="N770" i="13176"/>
  <c r="N762" i="13176"/>
  <c r="N754" i="13176"/>
  <c r="N789" i="13176"/>
  <c r="N785" i="13176"/>
  <c r="N780" i="13176"/>
  <c r="N841" i="13176"/>
  <c r="N813" i="13176"/>
  <c r="N792" i="13176"/>
  <c r="N777" i="13176"/>
  <c r="N769" i="13176"/>
  <c r="N761" i="13176"/>
  <c r="N753" i="13176"/>
  <c r="N745" i="13176"/>
  <c r="N774" i="13176"/>
  <c r="N766" i="13176"/>
  <c r="N758" i="13176"/>
  <c r="N750" i="13176"/>
  <c r="N797" i="13176"/>
  <c r="N779" i="13176"/>
  <c r="N771" i="13176"/>
  <c r="N821" i="13176"/>
  <c r="N773" i="13176"/>
  <c r="N765" i="13176"/>
  <c r="N757" i="13176"/>
  <c r="N749" i="13176"/>
  <c r="N746" i="13176"/>
  <c r="N734" i="13176"/>
  <c r="N726" i="13176"/>
  <c r="N718" i="13176"/>
  <c r="N710" i="13176"/>
  <c r="N731" i="13176"/>
  <c r="N723" i="13176"/>
  <c r="N715" i="13176"/>
  <c r="N707" i="13176"/>
  <c r="N737" i="13176"/>
  <c r="N742" i="13176"/>
  <c r="N741" i="13176"/>
  <c r="N730" i="13176"/>
  <c r="N722" i="13176"/>
  <c r="N714" i="13176"/>
  <c r="N706" i="13176"/>
  <c r="N702" i="13176"/>
  <c r="N694" i="13176"/>
  <c r="N698" i="13176"/>
  <c r="N691" i="13176"/>
  <c r="N683" i="13176"/>
  <c r="N675" i="13176"/>
  <c r="N688" i="13176"/>
  <c r="N680" i="13176"/>
  <c r="N672" i="13176"/>
  <c r="N699" i="13176"/>
  <c r="N685" i="13176"/>
  <c r="N677" i="13176"/>
  <c r="N669" i="13176"/>
  <c r="N690" i="13176"/>
  <c r="N682" i="13176"/>
  <c r="N703" i="13176"/>
  <c r="N696" i="13176"/>
  <c r="N687" i="13176"/>
  <c r="N740" i="13176"/>
  <c r="N674" i="13176"/>
  <c r="N664" i="13176"/>
  <c r="N666" i="13176"/>
  <c r="N658" i="13176"/>
  <c r="N650" i="13176"/>
  <c r="N642" i="13176"/>
  <c r="N634" i="13176"/>
  <c r="N695" i="13176"/>
  <c r="N655" i="13176"/>
  <c r="N647" i="13176"/>
  <c r="N639" i="13176"/>
  <c r="N661" i="13176"/>
  <c r="N663" i="13176"/>
  <c r="N654" i="13176"/>
  <c r="N646" i="13176"/>
  <c r="N638" i="13176"/>
  <c r="N697" i="13176"/>
  <c r="N627" i="13176"/>
  <c r="N626" i="13176"/>
  <c r="N630" i="13176"/>
  <c r="N613" i="13176"/>
  <c r="N651" i="13176"/>
  <c r="N631" i="13176"/>
  <c r="N610" i="13176"/>
  <c r="N615" i="13176"/>
  <c r="N635" i="13176"/>
  <c r="N619" i="13176"/>
  <c r="N612" i="13176"/>
  <c r="N623" i="13176"/>
  <c r="N618" i="13176"/>
  <c r="N616" i="13176"/>
  <c r="N614" i="13176"/>
  <c r="N601" i="13176"/>
  <c r="N604" i="13176"/>
  <c r="N605" i="13176"/>
  <c r="N603" i="13176"/>
  <c r="N602" i="13176"/>
  <c r="N600" i="13176"/>
  <c r="N546" i="13176"/>
  <c r="N585" i="13176"/>
  <c r="N555" i="13176"/>
  <c r="N643" i="13176"/>
  <c r="N586" i="13176"/>
  <c r="N518" i="13176"/>
  <c r="N550" i="13176"/>
  <c r="N540" i="13176"/>
  <c r="N520" i="13176"/>
  <c r="N553" i="13176"/>
  <c r="N543" i="13176"/>
  <c r="N532" i="13176"/>
  <c r="N548" i="13176"/>
  <c r="N527" i="13176"/>
  <c r="N535" i="13176"/>
  <c r="AD1209" i="13176"/>
  <c r="AD1206" i="13176"/>
  <c r="AD1185" i="13176"/>
  <c r="AD1187" i="13176"/>
  <c r="AD1214" i="13176"/>
  <c r="AD1201" i="13176"/>
  <c r="AD1177" i="13176"/>
  <c r="AD1169" i="13176"/>
  <c r="AD1184" i="13176"/>
  <c r="AD1168" i="13176"/>
  <c r="AD1170" i="13176"/>
  <c r="AD1173" i="13176"/>
  <c r="AD1179" i="13176"/>
  <c r="AD1154" i="13176"/>
  <c r="AD1146" i="13176"/>
  <c r="AD1165" i="13176"/>
  <c r="AD1153" i="13176"/>
  <c r="AD1145" i="13176"/>
  <c r="AD1134" i="13176"/>
  <c r="AD1139" i="13176"/>
  <c r="AD1160" i="13176"/>
  <c r="AD1141" i="13176"/>
  <c r="AD1138" i="13176"/>
  <c r="AD1122" i="13176"/>
  <c r="AD1126" i="13176"/>
  <c r="AD1125" i="13176"/>
  <c r="AD1116" i="13176"/>
  <c r="AD1108" i="13176"/>
  <c r="AD1113" i="13176"/>
  <c r="AD1130" i="13176"/>
  <c r="AD1127" i="13176"/>
  <c r="AD1115" i="13176"/>
  <c r="AD1121" i="13176"/>
  <c r="AD1112" i="13176"/>
  <c r="AD1100" i="13176"/>
  <c r="AD1118" i="13176"/>
  <c r="AD1135" i="13176"/>
  <c r="AD1089" i="13176"/>
  <c r="AD1081" i="13176"/>
  <c r="AD1095" i="13176"/>
  <c r="AD1107" i="13176"/>
  <c r="AD1091" i="13176"/>
  <c r="AD1083" i="13176"/>
  <c r="AD1099" i="13176"/>
  <c r="AD1096" i="13176"/>
  <c r="AD1080" i="13176"/>
  <c r="AD1097" i="13176"/>
  <c r="AD1084" i="13176"/>
  <c r="AD1076" i="13176"/>
  <c r="AD1067" i="13176"/>
  <c r="AD1059" i="13176"/>
  <c r="AD1088" i="13176"/>
  <c r="AD1066" i="13176"/>
  <c r="AD1092" i="13176"/>
  <c r="AD1071" i="13176"/>
  <c r="AD1063" i="13176"/>
  <c r="AD1055" i="13176"/>
  <c r="AD1058" i="13176"/>
  <c r="AD1046" i="13176"/>
  <c r="AD1038" i="13176"/>
  <c r="AD1030" i="13176"/>
  <c r="AD1072" i="13176"/>
  <c r="AD1045" i="13176"/>
  <c r="AD1037" i="13176"/>
  <c r="AD1017" i="13176"/>
  <c r="AD1009" i="13176"/>
  <c r="AD1014" i="13176"/>
  <c r="AD1006" i="13176"/>
  <c r="AD1040" i="13176"/>
  <c r="AD1022" i="13176"/>
  <c r="AD1032" i="13176"/>
  <c r="AD1016" i="13176"/>
  <c r="AD1001" i="13176"/>
  <c r="AD1010" i="13176"/>
  <c r="AD990" i="13176"/>
  <c r="AD982" i="13176"/>
  <c r="AD995" i="13176"/>
  <c r="AD987" i="13176"/>
  <c r="AD979" i="13176"/>
  <c r="AD1008" i="13176"/>
  <c r="AD989" i="13176"/>
  <c r="AD998" i="13176"/>
  <c r="AD997" i="13176"/>
  <c r="AD975" i="13176"/>
  <c r="AD991" i="13176"/>
  <c r="AD973" i="13176"/>
  <c r="AD1000" i="13176"/>
  <c r="AD983" i="13176"/>
  <c r="AD981" i="13176"/>
  <c r="AD974" i="13176"/>
  <c r="AD952" i="13176"/>
  <c r="AD950" i="13176"/>
  <c r="AD951" i="13176"/>
  <c r="AD946" i="13176"/>
  <c r="AD938" i="13176"/>
  <c r="AD930" i="13176"/>
  <c r="AD922" i="13176"/>
  <c r="AD943" i="13176"/>
  <c r="AD914" i="13176"/>
  <c r="AD903" i="13176"/>
  <c r="AD895" i="13176"/>
  <c r="AD887" i="13176"/>
  <c r="AD879" i="13176"/>
  <c r="AD871" i="13176"/>
  <c r="AD900" i="13176"/>
  <c r="AD892" i="13176"/>
  <c r="AD884" i="13176"/>
  <c r="AD876" i="13176"/>
  <c r="AD909" i="13176"/>
  <c r="AD902" i="13176"/>
  <c r="AD894" i="13176"/>
  <c r="AD886" i="13176"/>
  <c r="AD878" i="13176"/>
  <c r="AD899" i="13176"/>
  <c r="AD883" i="13176"/>
  <c r="AD875" i="13176"/>
  <c r="AD861" i="13176"/>
  <c r="AD853" i="13176"/>
  <c r="AD845" i="13176"/>
  <c r="AD837" i="13176"/>
  <c r="AD870" i="13176"/>
  <c r="AD891" i="13176"/>
  <c r="AD867" i="13176"/>
  <c r="AD860" i="13176"/>
  <c r="AD852" i="13176"/>
  <c r="AD844" i="13176"/>
  <c r="AD817" i="13176"/>
  <c r="AD809" i="13176"/>
  <c r="AD801" i="13176"/>
  <c r="AD793" i="13176"/>
  <c r="AD822" i="13176"/>
  <c r="AD819" i="13176"/>
  <c r="AD816" i="13176"/>
  <c r="AD808" i="13176"/>
  <c r="AD800" i="13176"/>
  <c r="AD792" i="13176"/>
  <c r="AD780" i="13176"/>
  <c r="AD777" i="13176"/>
  <c r="AD769" i="13176"/>
  <c r="AD761" i="13176"/>
  <c r="AD753" i="13176"/>
  <c r="AD745" i="13176"/>
  <c r="AD784" i="13176"/>
  <c r="AD785" i="13176"/>
  <c r="AD779" i="13176"/>
  <c r="AD771" i="13176"/>
  <c r="AD763" i="13176"/>
  <c r="AD773" i="13176"/>
  <c r="AD729" i="13176"/>
  <c r="AD721" i="13176"/>
  <c r="AD749" i="13176"/>
  <c r="AD741" i="13176"/>
  <c r="AD734" i="13176"/>
  <c r="AD726" i="13176"/>
  <c r="AD718" i="13176"/>
  <c r="AD739" i="13176"/>
  <c r="AD731" i="13176"/>
  <c r="AD757" i="13176"/>
  <c r="AD755" i="13176"/>
  <c r="AD720" i="13176"/>
  <c r="AD747" i="13176"/>
  <c r="AD689" i="13176"/>
  <c r="AD681" i="13176"/>
  <c r="AD673" i="13176"/>
  <c r="AD704" i="13176"/>
  <c r="AD691" i="13176"/>
  <c r="AD683" i="13176"/>
  <c r="AD688" i="13176"/>
  <c r="AD680" i="13176"/>
  <c r="AD672" i="13176"/>
  <c r="AD664" i="13176"/>
  <c r="AD722" i="13176"/>
  <c r="AD765" i="13176"/>
  <c r="AD714" i="13176"/>
  <c r="AD712" i="13176"/>
  <c r="AD698" i="13176"/>
  <c r="AD730" i="13176"/>
  <c r="AD684" i="13176"/>
  <c r="AD706" i="13176"/>
  <c r="AD665" i="13176"/>
  <c r="AD663" i="13176"/>
  <c r="AD679" i="13176"/>
  <c r="AD671" i="13176"/>
  <c r="AD655" i="13176"/>
  <c r="AD647" i="13176"/>
  <c r="AD676" i="13176"/>
  <c r="AD687" i="13176"/>
  <c r="AD654" i="13176"/>
  <c r="AD646" i="13176"/>
  <c r="AD638" i="13176"/>
  <c r="AD630" i="13176"/>
  <c r="AD613" i="13176"/>
  <c r="AD610" i="13176"/>
  <c r="AD612" i="13176"/>
  <c r="AD615" i="13176"/>
  <c r="AD606" i="13176"/>
  <c r="AD614" i="13176"/>
  <c r="AD590" i="13176"/>
  <c r="AD550" i="13176"/>
  <c r="AD546" i="13176"/>
  <c r="AD598" i="13176"/>
  <c r="AD521" i="13176"/>
  <c r="AD542" i="13176"/>
  <c r="AD527" i="13176"/>
  <c r="AD518" i="13176"/>
  <c r="AD535" i="13176"/>
  <c r="AD526" i="13176"/>
  <c r="AD520" i="13176"/>
  <c r="AD516" i="13176"/>
  <c r="AD548" i="13176"/>
  <c r="AD552" i="13176"/>
  <c r="AT1209" i="13176"/>
  <c r="AT1201" i="13176"/>
  <c r="AT1185" i="13176"/>
  <c r="AT1192" i="13176"/>
  <c r="AT1187" i="13176"/>
  <c r="AT1189" i="13176"/>
  <c r="AT1182" i="13176"/>
  <c r="AT1184" i="13176"/>
  <c r="AT1179" i="13176"/>
  <c r="AT1194" i="13176"/>
  <c r="AT1169" i="13176"/>
  <c r="AT1177" i="13176"/>
  <c r="AT1171" i="13176"/>
  <c r="AT1191" i="13176"/>
  <c r="AT1163" i="13176"/>
  <c r="AT1173" i="13176"/>
  <c r="AT1160" i="13176"/>
  <c r="AT1154" i="13176"/>
  <c r="AT1165" i="13176"/>
  <c r="AT1168" i="13176"/>
  <c r="AT1151" i="13176"/>
  <c r="AT1137" i="13176"/>
  <c r="AT1145" i="13176"/>
  <c r="AT1134" i="13176"/>
  <c r="AT1153" i="13176"/>
  <c r="AT1138" i="13176"/>
  <c r="AT1130" i="13176"/>
  <c r="AT1118" i="13176"/>
  <c r="AT1117" i="13176"/>
  <c r="AT1129" i="13176"/>
  <c r="AT1122" i="13176"/>
  <c r="AT1113" i="13176"/>
  <c r="AT1126" i="13176"/>
  <c r="AT1125" i="13176"/>
  <c r="AT1115" i="13176"/>
  <c r="AT1124" i="13176"/>
  <c r="AT1099" i="13176"/>
  <c r="AT1112" i="13176"/>
  <c r="AT1107" i="13176"/>
  <c r="AT1092" i="13176"/>
  <c r="AT1084" i="13176"/>
  <c r="AT1104" i="13176"/>
  <c r="AT1133" i="13176"/>
  <c r="AT1095" i="13176"/>
  <c r="AT1091" i="13176"/>
  <c r="AT1088" i="13176"/>
  <c r="AT1080" i="13176"/>
  <c r="AT1072" i="13176"/>
  <c r="AT1083" i="13176"/>
  <c r="AT1087" i="13176"/>
  <c r="AT1067" i="13176"/>
  <c r="AT1059" i="13176"/>
  <c r="AT1076" i="13176"/>
  <c r="AT1075" i="13176"/>
  <c r="AT1061" i="13176"/>
  <c r="AT1071" i="13176"/>
  <c r="AT1050" i="13176"/>
  <c r="AT1055" i="13176"/>
  <c r="AT1041" i="13176"/>
  <c r="AT1033" i="13176"/>
  <c r="AT1046" i="13176"/>
  <c r="AT1038" i="13176"/>
  <c r="AT1051" i="13176"/>
  <c r="AT1063" i="13176"/>
  <c r="AT1058" i="13176"/>
  <c r="AT1066" i="13176"/>
  <c r="AT1032" i="13176"/>
  <c r="AT1053" i="13176"/>
  <c r="AT1040" i="13176"/>
  <c r="AT1009" i="13176"/>
  <c r="AT1001" i="13176"/>
  <c r="AT1017" i="13176"/>
  <c r="AT1020" i="13176"/>
  <c r="AT1019" i="13176"/>
  <c r="AT1025" i="13176"/>
  <c r="AT1030" i="13176"/>
  <c r="AT1016" i="13176"/>
  <c r="AT1008" i="13176"/>
  <c r="AT1045" i="13176"/>
  <c r="AT1029" i="13176"/>
  <c r="AT1036" i="13176"/>
  <c r="AT1022" i="13176"/>
  <c r="AT1014" i="13176"/>
  <c r="AT1000" i="13176"/>
  <c r="AT990" i="13176"/>
  <c r="AT1004" i="13176"/>
  <c r="AT1003" i="13176"/>
  <c r="AT995" i="13176"/>
  <c r="AT987" i="13176"/>
  <c r="AT984" i="13176"/>
  <c r="AT1006" i="13176"/>
  <c r="AT1037" i="13176"/>
  <c r="AT989" i="13176"/>
  <c r="AT997" i="13176"/>
  <c r="AT979" i="13176"/>
  <c r="AT981" i="13176"/>
  <c r="AT976" i="13176"/>
  <c r="AT973" i="13176"/>
  <c r="AT999" i="13176"/>
  <c r="AT998" i="13176"/>
  <c r="AT947" i="13176"/>
  <c r="AT939" i="13176"/>
  <c r="AT931" i="13176"/>
  <c r="AT952" i="13176"/>
  <c r="AT965" i="13176"/>
  <c r="AT944" i="13176"/>
  <c r="AT961" i="13176"/>
  <c r="AT957" i="13176"/>
  <c r="AT946" i="13176"/>
  <c r="AT938" i="13176"/>
  <c r="AT930" i="13176"/>
  <c r="AT922" i="13176"/>
  <c r="AT950" i="13176"/>
  <c r="AT943" i="13176"/>
  <c r="AT906" i="13176"/>
  <c r="AT898" i="13176"/>
  <c r="AT890" i="13176"/>
  <c r="AT882" i="13176"/>
  <c r="AT874" i="13176"/>
  <c r="AT911" i="13176"/>
  <c r="AT935" i="13176"/>
  <c r="AT933" i="13176"/>
  <c r="AT900" i="13176"/>
  <c r="AT892" i="13176"/>
  <c r="AT884" i="13176"/>
  <c r="AT876" i="13176"/>
  <c r="AT917" i="13176"/>
  <c r="AT914" i="13176"/>
  <c r="AT910" i="13176"/>
  <c r="AT908" i="13176"/>
  <c r="AT918" i="13176"/>
  <c r="AT905" i="13176"/>
  <c r="AT897" i="13176"/>
  <c r="AT889" i="13176"/>
  <c r="AT881" i="13176"/>
  <c r="AT927" i="13176"/>
  <c r="AT925" i="13176"/>
  <c r="AT919" i="13176"/>
  <c r="AT902" i="13176"/>
  <c r="AT894" i="13176"/>
  <c r="AT886" i="13176"/>
  <c r="AT878" i="13176"/>
  <c r="AT868" i="13176"/>
  <c r="AT870" i="13176"/>
  <c r="AT864" i="13176"/>
  <c r="AT856" i="13176"/>
  <c r="AT848" i="13176"/>
  <c r="AT840" i="13176"/>
  <c r="AT845" i="13176"/>
  <c r="AT837" i="13176"/>
  <c r="AT866" i="13176"/>
  <c r="AT847" i="13176"/>
  <c r="AT839" i="13176"/>
  <c r="AT824" i="13176"/>
  <c r="AT852" i="13176"/>
  <c r="AT827" i="13176"/>
  <c r="AT820" i="13176"/>
  <c r="AT812" i="13176"/>
  <c r="AT804" i="13176"/>
  <c r="AT796" i="13176"/>
  <c r="AT832" i="13176"/>
  <c r="AT826" i="13176"/>
  <c r="AT817" i="13176"/>
  <c r="AT809" i="13176"/>
  <c r="AT860" i="13176"/>
  <c r="AT836" i="13176"/>
  <c r="AT803" i="13176"/>
  <c r="AT795" i="13176"/>
  <c r="AT844" i="13176"/>
  <c r="AT825" i="13176"/>
  <c r="AT822" i="13176"/>
  <c r="AT765" i="13176"/>
  <c r="AT757" i="13176"/>
  <c r="AT784" i="13176"/>
  <c r="AT792" i="13176"/>
  <c r="AT816" i="13176"/>
  <c r="AT780" i="13176"/>
  <c r="AT787" i="13176"/>
  <c r="AT777" i="13176"/>
  <c r="AT769" i="13176"/>
  <c r="AT761" i="13176"/>
  <c r="AT753" i="13176"/>
  <c r="AT745" i="13176"/>
  <c r="AT800" i="13176"/>
  <c r="AT788" i="13176"/>
  <c r="AT779" i="13176"/>
  <c r="AT771" i="13176"/>
  <c r="AT763" i="13176"/>
  <c r="AT783" i="13176"/>
  <c r="AT776" i="13176"/>
  <c r="AT768" i="13176"/>
  <c r="AT752" i="13176"/>
  <c r="AT808" i="13176"/>
  <c r="AT749" i="13176"/>
  <c r="AT729" i="13176"/>
  <c r="AT721" i="13176"/>
  <c r="AT713" i="13176"/>
  <c r="AT734" i="13176"/>
  <c r="AT726" i="13176"/>
  <c r="AT718" i="13176"/>
  <c r="AT710" i="13176"/>
  <c r="AT731" i="13176"/>
  <c r="AT723" i="13176"/>
  <c r="AT781" i="13176"/>
  <c r="AT741" i="13176"/>
  <c r="AT739" i="13176"/>
  <c r="AT702" i="13176"/>
  <c r="AT698" i="13176"/>
  <c r="AT693" i="13176"/>
  <c r="AT691" i="13176"/>
  <c r="AT683" i="13176"/>
  <c r="AT675" i="13176"/>
  <c r="AT667" i="13176"/>
  <c r="AT680" i="13176"/>
  <c r="AT672" i="13176"/>
  <c r="AT685" i="13176"/>
  <c r="AT677" i="13176"/>
  <c r="AT696" i="13176"/>
  <c r="AT736" i="13176"/>
  <c r="AT687" i="13176"/>
  <c r="AT669" i="13176"/>
  <c r="AT643" i="13176"/>
  <c r="AT664" i="13176"/>
  <c r="AT658" i="13176"/>
  <c r="AT650" i="13176"/>
  <c r="AT642" i="13176"/>
  <c r="AT634" i="13176"/>
  <c r="AT661" i="13176"/>
  <c r="AT697" i="13176"/>
  <c r="AT663" i="13176"/>
  <c r="AT654" i="13176"/>
  <c r="AT616" i="13176"/>
  <c r="AT638" i="13176"/>
  <c r="AT618" i="13176"/>
  <c r="AT610" i="13176"/>
  <c r="AT626" i="13176"/>
  <c r="AT625" i="13176"/>
  <c r="AT612" i="13176"/>
  <c r="AT630" i="13176"/>
  <c r="AT646" i="13176"/>
  <c r="AT617" i="13176"/>
  <c r="AT586" i="13176"/>
  <c r="AT550" i="13176"/>
  <c r="AT587" i="13176"/>
  <c r="AT584" i="13176"/>
  <c r="AT546" i="13176"/>
  <c r="AT600" i="13176"/>
  <c r="AT588" i="13176"/>
  <c r="AT585" i="13176"/>
  <c r="AT548" i="13176"/>
  <c r="AT554" i="13176"/>
  <c r="AT518" i="13176"/>
  <c r="AT537" i="13176"/>
  <c r="AT520" i="13176"/>
  <c r="AT516" i="13176"/>
  <c r="AT526" i="13176"/>
  <c r="D476" i="13176"/>
  <c r="W476" i="13176"/>
  <c r="AO476" i="13176"/>
  <c r="D477" i="13176"/>
  <c r="W477" i="13176"/>
  <c r="AO477" i="13176"/>
  <c r="D478" i="13176"/>
  <c r="X478" i="13176"/>
  <c r="AP478" i="13176"/>
  <c r="F480" i="13176"/>
  <c r="Y480" i="13176"/>
  <c r="AT480" i="13176"/>
  <c r="H481" i="13176"/>
  <c r="AB481" i="13176"/>
  <c r="AV481" i="13176"/>
  <c r="L482" i="13176"/>
  <c r="AG482" i="13176"/>
  <c r="BB482" i="13176"/>
  <c r="Q483" i="13176"/>
  <c r="AK483" i="13176"/>
  <c r="U484" i="13176"/>
  <c r="D485" i="13176"/>
  <c r="Y485" i="13176"/>
  <c r="AT485" i="13176"/>
  <c r="I486" i="13176"/>
  <c r="AC486" i="13176"/>
  <c r="AW486" i="13176"/>
  <c r="K487" i="13176"/>
  <c r="AG487" i="13176"/>
  <c r="BA487" i="13176"/>
  <c r="AK488" i="13176"/>
  <c r="F490" i="13176"/>
  <c r="Z490" i="13176"/>
  <c r="AV490" i="13176"/>
  <c r="J491" i="13176"/>
  <c r="BA491" i="13176"/>
  <c r="V492" i="13176"/>
  <c r="AQ492" i="13176"/>
  <c r="J493" i="13176"/>
  <c r="AJ493" i="13176"/>
  <c r="O1185" i="13176"/>
  <c r="O1211" i="13176"/>
  <c r="O1206" i="13176"/>
  <c r="O1184" i="13176"/>
  <c r="O1214" i="13176"/>
  <c r="O1169" i="13176"/>
  <c r="O1189" i="13176"/>
  <c r="O1162" i="13176"/>
  <c r="O1195" i="13176"/>
  <c r="O1170" i="13176"/>
  <c r="O1167" i="13176"/>
  <c r="O1154" i="13176"/>
  <c r="O1153" i="13176"/>
  <c r="O1176" i="13176"/>
  <c r="O1180" i="13176"/>
  <c r="O1159" i="13176"/>
  <c r="O1146" i="13176"/>
  <c r="O1134" i="13176"/>
  <c r="O1126" i="13176"/>
  <c r="O1139" i="13176"/>
  <c r="O1131" i="13176"/>
  <c r="O1177" i="13176"/>
  <c r="O1147" i="13176"/>
  <c r="O1145" i="13176"/>
  <c r="O1138" i="13176"/>
  <c r="O1130" i="13176"/>
  <c r="O1135" i="13176"/>
  <c r="O1116" i="13176"/>
  <c r="O1113" i="13176"/>
  <c r="O1140" i="13176"/>
  <c r="O1123" i="13176"/>
  <c r="O1115" i="13176"/>
  <c r="O1107" i="13176"/>
  <c r="O1118" i="13176"/>
  <c r="O1112" i="13176"/>
  <c r="O1122" i="13176"/>
  <c r="O1119" i="13176"/>
  <c r="O1104" i="13176"/>
  <c r="O1092" i="13176"/>
  <c r="O1084" i="13176"/>
  <c r="O1076" i="13176"/>
  <c r="O1099" i="13176"/>
  <c r="O1096" i="13176"/>
  <c r="O1117" i="13176"/>
  <c r="O1108" i="13176"/>
  <c r="O1100" i="13176"/>
  <c r="O1088" i="13176"/>
  <c r="O1127" i="13176"/>
  <c r="O1081" i="13176"/>
  <c r="O1073" i="13176"/>
  <c r="O1067" i="13176"/>
  <c r="O1090" i="13176"/>
  <c r="O1080" i="13176"/>
  <c r="O1072" i="13176"/>
  <c r="O1089" i="13176"/>
  <c r="O1071" i="13176"/>
  <c r="O1074" i="13176"/>
  <c r="O1041" i="13176"/>
  <c r="O1055" i="13176"/>
  <c r="O1077" i="13176"/>
  <c r="O1052" i="13176"/>
  <c r="O1059" i="13176"/>
  <c r="O1048" i="13176"/>
  <c r="O1045" i="13176"/>
  <c r="O1050" i="13176"/>
  <c r="O1042" i="13176"/>
  <c r="O1034" i="13176"/>
  <c r="O1051" i="13176"/>
  <c r="O1025" i="13176"/>
  <c r="O1017" i="13176"/>
  <c r="O1009" i="13176"/>
  <c r="O1063" i="13176"/>
  <c r="O1037" i="13176"/>
  <c r="O1014" i="13176"/>
  <c r="O1033" i="13176"/>
  <c r="O1016" i="13176"/>
  <c r="O1008" i="13176"/>
  <c r="O1026" i="13176"/>
  <c r="O1029" i="13176"/>
  <c r="O990" i="13176"/>
  <c r="O982" i="13176"/>
  <c r="O1010" i="13176"/>
  <c r="O995" i="13176"/>
  <c r="O987" i="13176"/>
  <c r="O992" i="13176"/>
  <c r="O984" i="13176"/>
  <c r="O998" i="13176"/>
  <c r="O997" i="13176"/>
  <c r="O989" i="13176"/>
  <c r="O981" i="13176"/>
  <c r="O1006" i="13176"/>
  <c r="O1000" i="13176"/>
  <c r="O1015" i="13176"/>
  <c r="O1001" i="13176"/>
  <c r="O991" i="13176"/>
  <c r="O983" i="13176"/>
  <c r="O973" i="13176"/>
  <c r="O979" i="13176"/>
  <c r="O974" i="13176"/>
  <c r="O988" i="13176"/>
  <c r="O976" i="13176"/>
  <c r="O996" i="13176"/>
  <c r="O975" i="13176"/>
  <c r="O978" i="13176"/>
  <c r="O947" i="13176"/>
  <c r="O939" i="13176"/>
  <c r="O931" i="13176"/>
  <c r="O946" i="13176"/>
  <c r="O938" i="13176"/>
  <c r="O930" i="13176"/>
  <c r="O922" i="13176"/>
  <c r="O943" i="13176"/>
  <c r="O952" i="13176"/>
  <c r="O948" i="13176"/>
  <c r="O906" i="13176"/>
  <c r="O898" i="13176"/>
  <c r="O900" i="13176"/>
  <c r="O892" i="13176"/>
  <c r="O884" i="13176"/>
  <c r="O876" i="13176"/>
  <c r="O911" i="13176"/>
  <c r="O902" i="13176"/>
  <c r="O894" i="13176"/>
  <c r="O886" i="13176"/>
  <c r="O878" i="13176"/>
  <c r="O870" i="13176"/>
  <c r="O907" i="13176"/>
  <c r="O899" i="13176"/>
  <c r="O891" i="13176"/>
  <c r="O883" i="13176"/>
  <c r="O875" i="13176"/>
  <c r="O896" i="13176"/>
  <c r="O864" i="13176"/>
  <c r="O867" i="13176"/>
  <c r="O866" i="13176"/>
  <c r="O858" i="13176"/>
  <c r="O850" i="13176"/>
  <c r="O904" i="13176"/>
  <c r="O860" i="13176"/>
  <c r="O852" i="13176"/>
  <c r="O888" i="13176"/>
  <c r="O868" i="13176"/>
  <c r="O865" i="13176"/>
  <c r="O857" i="13176"/>
  <c r="O849" i="13176"/>
  <c r="O841" i="13176"/>
  <c r="O820" i="13176"/>
  <c r="O822" i="13176"/>
  <c r="O814" i="13176"/>
  <c r="O806" i="13176"/>
  <c r="O826" i="13176"/>
  <c r="O816" i="13176"/>
  <c r="O808" i="13176"/>
  <c r="O800" i="13176"/>
  <c r="O792" i="13176"/>
  <c r="O833" i="13176"/>
  <c r="O821" i="13176"/>
  <c r="O813" i="13176"/>
  <c r="O805" i="13176"/>
  <c r="O797" i="13176"/>
  <c r="O789" i="13176"/>
  <c r="O777" i="13176"/>
  <c r="O769" i="13176"/>
  <c r="O761" i="13176"/>
  <c r="O753" i="13176"/>
  <c r="O774" i="13176"/>
  <c r="O766" i="13176"/>
  <c r="O758" i="13176"/>
  <c r="O750" i="13176"/>
  <c r="O779" i="13176"/>
  <c r="O776" i="13176"/>
  <c r="O768" i="13176"/>
  <c r="O782" i="13176"/>
  <c r="O773" i="13176"/>
  <c r="O765" i="13176"/>
  <c r="O757" i="13176"/>
  <c r="O749" i="13176"/>
  <c r="O746" i="13176"/>
  <c r="O784" i="13176"/>
  <c r="O762" i="13176"/>
  <c r="O760" i="13176"/>
  <c r="O729" i="13176"/>
  <c r="O754" i="13176"/>
  <c r="O734" i="13176"/>
  <c r="O726" i="13176"/>
  <c r="O718" i="13176"/>
  <c r="O710" i="13176"/>
  <c r="O770" i="13176"/>
  <c r="O752" i="13176"/>
  <c r="O731" i="13176"/>
  <c r="O717" i="13176"/>
  <c r="O778" i="13176"/>
  <c r="O742" i="13176"/>
  <c r="O741" i="13176"/>
  <c r="O730" i="13176"/>
  <c r="O722" i="13176"/>
  <c r="O686" i="13176"/>
  <c r="O678" i="13176"/>
  <c r="O691" i="13176"/>
  <c r="O683" i="13176"/>
  <c r="O675" i="13176"/>
  <c r="O711" i="13176"/>
  <c r="O735" i="13176"/>
  <c r="O709" i="13176"/>
  <c r="O688" i="13176"/>
  <c r="O680" i="13176"/>
  <c r="O685" i="13176"/>
  <c r="O677" i="13176"/>
  <c r="O669" i="13176"/>
  <c r="O719" i="13176"/>
  <c r="O703" i="13176"/>
  <c r="O687" i="13176"/>
  <c r="O727" i="13176"/>
  <c r="O693" i="13176"/>
  <c r="O689" i="13176"/>
  <c r="O681" i="13176"/>
  <c r="O668" i="13176"/>
  <c r="O665" i="13176"/>
  <c r="O661" i="13176"/>
  <c r="O670" i="13176"/>
  <c r="O662" i="13176"/>
  <c r="O654" i="13176"/>
  <c r="O676" i="13176"/>
  <c r="O673" i="13176"/>
  <c r="O684" i="13176"/>
  <c r="O651" i="13176"/>
  <c r="O643" i="13176"/>
  <c r="O635" i="13176"/>
  <c r="O627" i="13176"/>
  <c r="O610" i="13176"/>
  <c r="O619" i="13176"/>
  <c r="O614" i="13176"/>
  <c r="O603" i="13176"/>
  <c r="O611" i="13176"/>
  <c r="O550" i="13176"/>
  <c r="O548" i="13176"/>
  <c r="O587" i="13176"/>
  <c r="O553" i="13176"/>
  <c r="O543" i="13176"/>
  <c r="O532" i="13176"/>
  <c r="O537" i="13176"/>
  <c r="O527" i="13176"/>
  <c r="O535" i="13176"/>
  <c r="O526" i="13176"/>
  <c r="AE1213" i="13176"/>
  <c r="AE1210" i="13176"/>
  <c r="AE1212" i="13176"/>
  <c r="AE1209" i="13176"/>
  <c r="AE1195" i="13176"/>
  <c r="AE1192" i="13176"/>
  <c r="AE1206" i="13176"/>
  <c r="AE1205" i="13176"/>
  <c r="AE1185" i="13176"/>
  <c r="AE1204" i="13176"/>
  <c r="AE1187" i="13176"/>
  <c r="AE1201" i="13176"/>
  <c r="AE1177" i="13176"/>
  <c r="AE1189" i="13176"/>
  <c r="AE1169" i="13176"/>
  <c r="AE1184" i="13176"/>
  <c r="AE1186" i="13176"/>
  <c r="AE1171" i="13176"/>
  <c r="AE1202" i="13176"/>
  <c r="AE1182" i="13176"/>
  <c r="AE1168" i="13176"/>
  <c r="AE1170" i="13176"/>
  <c r="AE1173" i="13176"/>
  <c r="AE1199" i="13176"/>
  <c r="AE1179" i="13176"/>
  <c r="AE1154" i="13176"/>
  <c r="AE1163" i="13176"/>
  <c r="AE1156" i="13176"/>
  <c r="AE1176" i="13176"/>
  <c r="AE1193" i="13176"/>
  <c r="AE1161" i="13176"/>
  <c r="AE1153" i="13176"/>
  <c r="AE1165" i="13176"/>
  <c r="AE1160" i="13176"/>
  <c r="AE1181" i="13176"/>
  <c r="AE1145" i="13176"/>
  <c r="AE1134" i="13176"/>
  <c r="AE1139" i="13176"/>
  <c r="AE1131" i="13176"/>
  <c r="AE1146" i="13176"/>
  <c r="AE1135" i="13176"/>
  <c r="AE1122" i="13176"/>
  <c r="AE1126" i="13176"/>
  <c r="AE1125" i="13176"/>
  <c r="AE1138" i="13176"/>
  <c r="AE1116" i="13176"/>
  <c r="AE1130" i="13176"/>
  <c r="AE1127" i="13176"/>
  <c r="AE1155" i="13176"/>
  <c r="AE1150" i="13176"/>
  <c r="AE1115" i="13176"/>
  <c r="AE1121" i="13176"/>
  <c r="AE1123" i="13176"/>
  <c r="AE1118" i="13176"/>
  <c r="AE1100" i="13176"/>
  <c r="AE1092" i="13176"/>
  <c r="AE1109" i="13176"/>
  <c r="AE1112" i="13176"/>
  <c r="AE1089" i="13176"/>
  <c r="AE1081" i="13176"/>
  <c r="AE1108" i="13176"/>
  <c r="AE1095" i="13176"/>
  <c r="AE1099" i="13176"/>
  <c r="AE1096" i="13176"/>
  <c r="AE1104" i="13176"/>
  <c r="AE1088" i="13176"/>
  <c r="AE1080" i="13176"/>
  <c r="AE1084" i="13176"/>
  <c r="AE1076" i="13176"/>
  <c r="AE1075" i="13176"/>
  <c r="AE1067" i="13176"/>
  <c r="AE1059" i="13176"/>
  <c r="AE1073" i="13176"/>
  <c r="AE1077" i="13176"/>
  <c r="AE1107" i="13176"/>
  <c r="AE1091" i="13176"/>
  <c r="AE1083" i="13176"/>
  <c r="AE1066" i="13176"/>
  <c r="AE1072" i="13176"/>
  <c r="AE1058" i="13176"/>
  <c r="AE1051" i="13176"/>
  <c r="AE1071" i="13176"/>
  <c r="AE1041" i="13176"/>
  <c r="AE1046" i="13176"/>
  <c r="AE1038" i="13176"/>
  <c r="AE1063" i="13176"/>
  <c r="AE1056" i="13176"/>
  <c r="AE1045" i="13176"/>
  <c r="AE1034" i="13176"/>
  <c r="AE1037" i="13176"/>
  <c r="AE1033" i="13176"/>
  <c r="AE1030" i="13176"/>
  <c r="AE1017" i="13176"/>
  <c r="AE1009" i="13176"/>
  <c r="AE1042" i="13176"/>
  <c r="AE1025" i="13176"/>
  <c r="AE1068" i="13176"/>
  <c r="AE1022" i="13176"/>
  <c r="AE1032" i="13176"/>
  <c r="AE1016" i="13176"/>
  <c r="AE1008" i="13176"/>
  <c r="AE1055" i="13176"/>
  <c r="AE1048" i="13176"/>
  <c r="AE1023" i="13176"/>
  <c r="AE1010" i="13176"/>
  <c r="AE1001" i="13176"/>
  <c r="AE990" i="13176"/>
  <c r="AE982" i="13176"/>
  <c r="AE1011" i="13176"/>
  <c r="AE992" i="13176"/>
  <c r="AE989" i="13176"/>
  <c r="AE981" i="13176"/>
  <c r="AE998" i="13176"/>
  <c r="AE997" i="13176"/>
  <c r="AE1000" i="13176"/>
  <c r="AE991" i="13176"/>
  <c r="AE983" i="13176"/>
  <c r="AE973" i="13176"/>
  <c r="AE974" i="13176"/>
  <c r="AE984" i="13176"/>
  <c r="AE965" i="13176"/>
  <c r="AE961" i="13176"/>
  <c r="AE957" i="13176"/>
  <c r="AE966" i="13176"/>
  <c r="AE947" i="13176"/>
  <c r="AE939" i="13176"/>
  <c r="AE931" i="13176"/>
  <c r="AE923" i="13176"/>
  <c r="AE944" i="13176"/>
  <c r="AE970" i="13176"/>
  <c r="AE955" i="13176"/>
  <c r="AE950" i="13176"/>
  <c r="AE951" i="13176"/>
  <c r="AE946" i="13176"/>
  <c r="AE956" i="13176"/>
  <c r="AE962" i="13176"/>
  <c r="AE943" i="13176"/>
  <c r="AE935" i="13176"/>
  <c r="AE927" i="13176"/>
  <c r="AE938" i="13176"/>
  <c r="AE919" i="13176"/>
  <c r="AE914" i="13176"/>
  <c r="AE940" i="13176"/>
  <c r="AE930" i="13176"/>
  <c r="AE903" i="13176"/>
  <c r="AE895" i="13176"/>
  <c r="AE887" i="13176"/>
  <c r="AE879" i="13176"/>
  <c r="AE948" i="13176"/>
  <c r="AE922" i="13176"/>
  <c r="AE915" i="13176"/>
  <c r="AE909" i="13176"/>
  <c r="AE902" i="13176"/>
  <c r="AE894" i="13176"/>
  <c r="AE886" i="13176"/>
  <c r="AE899" i="13176"/>
  <c r="AE891" i="13176"/>
  <c r="AE883" i="13176"/>
  <c r="AE917" i="13176"/>
  <c r="AE871" i="13176"/>
  <c r="AE864" i="13176"/>
  <c r="AE856" i="13176"/>
  <c r="AE848" i="13176"/>
  <c r="AE840" i="13176"/>
  <c r="AE875" i="13176"/>
  <c r="AE861" i="13176"/>
  <c r="AE853" i="13176"/>
  <c r="AE845" i="13176"/>
  <c r="AE837" i="13176"/>
  <c r="AE907" i="13176"/>
  <c r="AE870" i="13176"/>
  <c r="AE878" i="13176"/>
  <c r="AE867" i="13176"/>
  <c r="AE860" i="13176"/>
  <c r="AE852" i="13176"/>
  <c r="AE844" i="13176"/>
  <c r="AE865" i="13176"/>
  <c r="AE849" i="13176"/>
  <c r="AE820" i="13176"/>
  <c r="AE812" i="13176"/>
  <c r="AE804" i="13176"/>
  <c r="AE796" i="13176"/>
  <c r="AE817" i="13176"/>
  <c r="AE809" i="13176"/>
  <c r="AE801" i="13176"/>
  <c r="AE793" i="13176"/>
  <c r="AE829" i="13176"/>
  <c r="AE825" i="13176"/>
  <c r="AE833" i="13176"/>
  <c r="AE857" i="13176"/>
  <c r="AE828" i="13176"/>
  <c r="AE824" i="13176"/>
  <c r="AE816" i="13176"/>
  <c r="AE808" i="13176"/>
  <c r="AE800" i="13176"/>
  <c r="AE841" i="13176"/>
  <c r="AE836" i="13176"/>
  <c r="AE832" i="13176"/>
  <c r="AE827" i="13176"/>
  <c r="AE770" i="13176"/>
  <c r="AE762" i="13176"/>
  <c r="AE754" i="13176"/>
  <c r="AE792" i="13176"/>
  <c r="AE780" i="13176"/>
  <c r="AE813" i="13176"/>
  <c r="AE777" i="13176"/>
  <c r="AE769" i="13176"/>
  <c r="AE761" i="13176"/>
  <c r="AE753" i="13176"/>
  <c r="AE745" i="13176"/>
  <c r="AE784" i="13176"/>
  <c r="AE774" i="13176"/>
  <c r="AE766" i="13176"/>
  <c r="AE758" i="13176"/>
  <c r="AE750" i="13176"/>
  <c r="AE797" i="13176"/>
  <c r="AE785" i="13176"/>
  <c r="AE779" i="13176"/>
  <c r="AE771" i="13176"/>
  <c r="AE821" i="13176"/>
  <c r="AE788" i="13176"/>
  <c r="AE773" i="13176"/>
  <c r="AE765" i="13176"/>
  <c r="AE757" i="13176"/>
  <c r="AE749" i="13176"/>
  <c r="AE789" i="13176"/>
  <c r="AE742" i="13176"/>
  <c r="AE741" i="13176"/>
  <c r="AE734" i="13176"/>
  <c r="AE726" i="13176"/>
  <c r="AE718" i="13176"/>
  <c r="AE710" i="13176"/>
  <c r="AE731" i="13176"/>
  <c r="AE723" i="13176"/>
  <c r="AE715" i="13176"/>
  <c r="AE707" i="13176"/>
  <c r="AE805" i="13176"/>
  <c r="AE746" i="13176"/>
  <c r="AE730" i="13176"/>
  <c r="AE722" i="13176"/>
  <c r="AE714" i="13176"/>
  <c r="AE706" i="13176"/>
  <c r="AE699" i="13176"/>
  <c r="AE691" i="13176"/>
  <c r="AE683" i="13176"/>
  <c r="AE703" i="13176"/>
  <c r="AE688" i="13176"/>
  <c r="AE680" i="13176"/>
  <c r="AE672" i="13176"/>
  <c r="AE685" i="13176"/>
  <c r="AE677" i="13176"/>
  <c r="AE669" i="13176"/>
  <c r="AE702" i="13176"/>
  <c r="AE690" i="13176"/>
  <c r="AE682" i="13176"/>
  <c r="AE698" i="13176"/>
  <c r="AE687" i="13176"/>
  <c r="AE661" i="13176"/>
  <c r="AE666" i="13176"/>
  <c r="AE663" i="13176"/>
  <c r="AE658" i="13176"/>
  <c r="AE650" i="13176"/>
  <c r="AE642" i="13176"/>
  <c r="AE634" i="13176"/>
  <c r="AE659" i="13176"/>
  <c r="AE655" i="13176"/>
  <c r="AE647" i="13176"/>
  <c r="AE639" i="13176"/>
  <c r="AE664" i="13176"/>
  <c r="AE674" i="13176"/>
  <c r="AE654" i="13176"/>
  <c r="AE646" i="13176"/>
  <c r="AE638" i="13176"/>
  <c r="AE630" i="13176"/>
  <c r="AE631" i="13176"/>
  <c r="AE651" i="13176"/>
  <c r="AE613" i="13176"/>
  <c r="AE610" i="13176"/>
  <c r="AE635" i="13176"/>
  <c r="AE624" i="13176"/>
  <c r="AE612" i="13176"/>
  <c r="AE615" i="13176"/>
  <c r="AE627" i="13176"/>
  <c r="AE643" i="13176"/>
  <c r="AE626" i="13176"/>
  <c r="AE614" i="13176"/>
  <c r="AE605" i="13176"/>
  <c r="AE602" i="13176"/>
  <c r="AE619" i="13176"/>
  <c r="AE600" i="13176"/>
  <c r="AE601" i="13176"/>
  <c r="AE587" i="13176"/>
  <c r="AE603" i="13176"/>
  <c r="AE556" i="13176"/>
  <c r="AE553" i="13176"/>
  <c r="AE604" i="13176"/>
  <c r="AE592" i="13176"/>
  <c r="AE552" i="13176"/>
  <c r="AE548" i="13176"/>
  <c r="AE537" i="13176"/>
  <c r="AE529" i="13176"/>
  <c r="AE526" i="13176"/>
  <c r="AE547" i="13176"/>
  <c r="AE546" i="13176"/>
  <c r="AU1206" i="13176"/>
  <c r="AU1201" i="13176"/>
  <c r="AU1209" i="13176"/>
  <c r="AU1185" i="13176"/>
  <c r="AU1214" i="13176"/>
  <c r="AU1187" i="13176"/>
  <c r="AU1184" i="13176"/>
  <c r="AU1179" i="13176"/>
  <c r="AU1169" i="13176"/>
  <c r="AU1177" i="13176"/>
  <c r="AU1168" i="13176"/>
  <c r="AU1173" i="13176"/>
  <c r="AU1160" i="13176"/>
  <c r="AU1154" i="13176"/>
  <c r="AU1146" i="13176"/>
  <c r="AU1165" i="13176"/>
  <c r="AU1170" i="13176"/>
  <c r="AU1145" i="13176"/>
  <c r="AU1134" i="13176"/>
  <c r="AU1139" i="13176"/>
  <c r="AU1153" i="13176"/>
  <c r="AU1141" i="13176"/>
  <c r="AU1138" i="13176"/>
  <c r="AU1127" i="13176"/>
  <c r="AU1118" i="13176"/>
  <c r="AU1152" i="13176"/>
  <c r="AU1130" i="13176"/>
  <c r="AU1116" i="13176"/>
  <c r="AU1108" i="13176"/>
  <c r="AU1122" i="13176"/>
  <c r="AU1113" i="13176"/>
  <c r="AU1126" i="13176"/>
  <c r="AU1125" i="13176"/>
  <c r="AU1115" i="13176"/>
  <c r="AU1135" i="13176"/>
  <c r="AU1112" i="13176"/>
  <c r="AU1099" i="13176"/>
  <c r="AU1107" i="13176"/>
  <c r="AU1100" i="13176"/>
  <c r="AU1092" i="13176"/>
  <c r="AU1089" i="13176"/>
  <c r="AU1091" i="13176"/>
  <c r="AU1083" i="13176"/>
  <c r="AU1095" i="13176"/>
  <c r="AU1072" i="13176"/>
  <c r="AU1093" i="13176"/>
  <c r="AU1088" i="13176"/>
  <c r="AU1067" i="13176"/>
  <c r="AU1085" i="13176"/>
  <c r="AU1096" i="13176"/>
  <c r="AU1076" i="13176"/>
  <c r="AU1075" i="13176"/>
  <c r="AU1066" i="13176"/>
  <c r="AU1080" i="13176"/>
  <c r="AU1071" i="13176"/>
  <c r="AU1063" i="13176"/>
  <c r="AU1084" i="13176"/>
  <c r="AU1050" i="13176"/>
  <c r="AU1055" i="13176"/>
  <c r="AU1077" i="13176"/>
  <c r="AU1046" i="13176"/>
  <c r="AU1038" i="13176"/>
  <c r="AU1030" i="13176"/>
  <c r="AU1058" i="13176"/>
  <c r="AU1045" i="13176"/>
  <c r="AU1037" i="13176"/>
  <c r="AU1032" i="13176"/>
  <c r="AU1040" i="13176"/>
  <c r="AU1009" i="13176"/>
  <c r="AU1014" i="13176"/>
  <c r="AU1006" i="13176"/>
  <c r="AU1016" i="13176"/>
  <c r="AU1008" i="13176"/>
  <c r="AU1029" i="13176"/>
  <c r="AU1022" i="13176"/>
  <c r="AU1010" i="13176"/>
  <c r="AU1000" i="13176"/>
  <c r="AU990" i="13176"/>
  <c r="AU982" i="13176"/>
  <c r="AU1001" i="13176"/>
  <c r="AU995" i="13176"/>
  <c r="AU987" i="13176"/>
  <c r="AU979" i="13176"/>
  <c r="AU989" i="13176"/>
  <c r="AU1013" i="13176"/>
  <c r="AU998" i="13176"/>
  <c r="AU997" i="13176"/>
  <c r="AU991" i="13176"/>
  <c r="AU981" i="13176"/>
  <c r="AU983" i="13176"/>
  <c r="AU973" i="13176"/>
  <c r="AU1002" i="13176"/>
  <c r="AU974" i="13176"/>
  <c r="AU978" i="13176"/>
  <c r="AU952" i="13176"/>
  <c r="AU946" i="13176"/>
  <c r="AU938" i="13176"/>
  <c r="AU930" i="13176"/>
  <c r="AU922" i="13176"/>
  <c r="AU914" i="13176"/>
  <c r="AU950" i="13176"/>
  <c r="AU943" i="13176"/>
  <c r="AU911" i="13176"/>
  <c r="AU903" i="13176"/>
  <c r="AU895" i="13176"/>
  <c r="AU887" i="13176"/>
  <c r="AU879" i="13176"/>
  <c r="AU871" i="13176"/>
  <c r="AU900" i="13176"/>
  <c r="AU892" i="13176"/>
  <c r="AU884" i="13176"/>
  <c r="AU902" i="13176"/>
  <c r="AU894" i="13176"/>
  <c r="AU886" i="13176"/>
  <c r="AU878" i="13176"/>
  <c r="AU899" i="13176"/>
  <c r="AU875" i="13176"/>
  <c r="AU870" i="13176"/>
  <c r="AU883" i="13176"/>
  <c r="AU861" i="13176"/>
  <c r="AU853" i="13176"/>
  <c r="AU845" i="13176"/>
  <c r="AU837" i="13176"/>
  <c r="AU891" i="13176"/>
  <c r="AU860" i="13176"/>
  <c r="AU852" i="13176"/>
  <c r="AU844" i="13176"/>
  <c r="AU823" i="13176"/>
  <c r="AU817" i="13176"/>
  <c r="AU809" i="13176"/>
  <c r="AU801" i="13176"/>
  <c r="AU793" i="13176"/>
  <c r="AU819" i="13176"/>
  <c r="AU816" i="13176"/>
  <c r="AU808" i="13176"/>
  <c r="AU800" i="13176"/>
  <c r="AU792" i="13176"/>
  <c r="AU784" i="13176"/>
  <c r="AU785" i="13176"/>
  <c r="AU829" i="13176"/>
  <c r="AU777" i="13176"/>
  <c r="AU769" i="13176"/>
  <c r="AU761" i="13176"/>
  <c r="AU753" i="13176"/>
  <c r="AU745" i="13176"/>
  <c r="AU779" i="13176"/>
  <c r="AU771" i="13176"/>
  <c r="AU763" i="13176"/>
  <c r="AU749" i="13176"/>
  <c r="AU773" i="13176"/>
  <c r="AU729" i="13176"/>
  <c r="AU721" i="13176"/>
  <c r="AU737" i="13176"/>
  <c r="AU734" i="13176"/>
  <c r="AU726" i="13176"/>
  <c r="AU718" i="13176"/>
  <c r="AU757" i="13176"/>
  <c r="AU755" i="13176"/>
  <c r="AU747" i="13176"/>
  <c r="AU731" i="13176"/>
  <c r="AU720" i="13176"/>
  <c r="AU741" i="13176"/>
  <c r="AU765" i="13176"/>
  <c r="AU739" i="13176"/>
  <c r="AU704" i="13176"/>
  <c r="AU689" i="13176"/>
  <c r="AU681" i="13176"/>
  <c r="AU673" i="13176"/>
  <c r="AU698" i="13176"/>
  <c r="AU683" i="13176"/>
  <c r="AU722" i="13176"/>
  <c r="AU714" i="13176"/>
  <c r="AU712" i="13176"/>
  <c r="AU688" i="13176"/>
  <c r="AU680" i="13176"/>
  <c r="AU672" i="13176"/>
  <c r="AU664" i="13176"/>
  <c r="AU706" i="13176"/>
  <c r="AU696" i="13176"/>
  <c r="AU684" i="13176"/>
  <c r="AU671" i="13176"/>
  <c r="AU679" i="13176"/>
  <c r="AU655" i="13176"/>
  <c r="AU647" i="13176"/>
  <c r="AU676" i="13176"/>
  <c r="AU730" i="13176"/>
  <c r="AU687" i="13176"/>
  <c r="AU663" i="13176"/>
  <c r="AU665" i="13176"/>
  <c r="AU654" i="13176"/>
  <c r="AU646" i="13176"/>
  <c r="AU638" i="13176"/>
  <c r="AU630" i="13176"/>
  <c r="AU613" i="13176"/>
  <c r="AU610" i="13176"/>
  <c r="AU612" i="13176"/>
  <c r="AU606" i="13176"/>
  <c r="AU615" i="13176"/>
  <c r="AU614" i="13176"/>
  <c r="AU548" i="13176"/>
  <c r="AU550" i="13176"/>
  <c r="AU546" i="13176"/>
  <c r="AU552" i="13176"/>
  <c r="AU540" i="13176"/>
  <c r="AU532" i="13176"/>
  <c r="AU527" i="13176"/>
  <c r="AU520" i="13176"/>
  <c r="AU516" i="13176"/>
  <c r="E476" i="13176"/>
  <c r="X476" i="13176"/>
  <c r="AP476" i="13176"/>
  <c r="E477" i="13176"/>
  <c r="X477" i="13176"/>
  <c r="F478" i="13176"/>
  <c r="Y478" i="13176"/>
  <c r="AQ478" i="13176"/>
  <c r="G480" i="13176"/>
  <c r="AA480" i="13176"/>
  <c r="AU480" i="13176"/>
  <c r="I481" i="13176"/>
  <c r="AC481" i="13176"/>
  <c r="AX481" i="13176"/>
  <c r="N482" i="13176"/>
  <c r="AI482" i="13176"/>
  <c r="BC482" i="13176"/>
  <c r="S483" i="13176"/>
  <c r="AL483" i="13176"/>
  <c r="BA489" i="13176"/>
  <c r="AJ489" i="13176"/>
  <c r="T489" i="13176"/>
  <c r="C489" i="13176"/>
  <c r="AV489" i="13176"/>
  <c r="AD489" i="13176"/>
  <c r="L489" i="13176"/>
  <c r="AP489" i="13176"/>
  <c r="Y489" i="13176"/>
  <c r="G489" i="13176"/>
  <c r="W489" i="13176"/>
  <c r="AQ489" i="13176"/>
  <c r="G490" i="13176"/>
  <c r="AB490" i="13176"/>
  <c r="AW490" i="13176"/>
  <c r="W492" i="13176"/>
  <c r="AR492" i="13176"/>
  <c r="N493" i="13176"/>
  <c r="AK493" i="13176"/>
  <c r="C494" i="13176"/>
  <c r="AC494" i="13176"/>
  <c r="AZ494" i="13176"/>
  <c r="J496" i="13176"/>
  <c r="AF496" i="13176"/>
  <c r="BC496" i="13176"/>
  <c r="W497" i="13176"/>
  <c r="AT497" i="13176"/>
  <c r="K498" i="13176"/>
  <c r="AK498" i="13176"/>
  <c r="D499" i="13176"/>
  <c r="AA499" i="13176"/>
  <c r="AZ499" i="13176"/>
  <c r="I501" i="13176"/>
  <c r="AH501" i="13176"/>
  <c r="AB502" i="13176"/>
  <c r="U503" i="13176"/>
  <c r="AY503" i="13176"/>
  <c r="T504" i="13176"/>
  <c r="AX504" i="13176"/>
  <c r="Y506" i="13176"/>
  <c r="BC506" i="13176"/>
  <c r="AE507" i="13176"/>
  <c r="AI508" i="13176"/>
  <c r="M509" i="13176"/>
  <c r="AX509" i="13176"/>
  <c r="AB510" i="13176"/>
  <c r="I511" i="13176"/>
  <c r="AU511" i="13176"/>
  <c r="AC512" i="13176"/>
  <c r="K513" i="13176"/>
  <c r="AW513" i="13176"/>
  <c r="AC514" i="13176"/>
  <c r="L515" i="13176"/>
  <c r="BB515" i="13176"/>
  <c r="AK516" i="13176"/>
  <c r="AE518" i="13176"/>
  <c r="AC519" i="13176"/>
  <c r="AC520" i="13176"/>
  <c r="Z521" i="13176"/>
  <c r="AK523" i="13176"/>
  <c r="AY524" i="13176"/>
  <c r="E526" i="13176"/>
  <c r="P530" i="13176"/>
  <c r="BD531" i="13176"/>
  <c r="AX533" i="13176"/>
  <c r="AC543" i="13176"/>
  <c r="AR477" i="13176"/>
  <c r="AB477" i="13176"/>
  <c r="K477" i="13176"/>
  <c r="AW477" i="13176"/>
  <c r="AE477" i="13176"/>
  <c r="M477" i="13176"/>
  <c r="U477" i="13176"/>
  <c r="AM477" i="13176"/>
  <c r="AY484" i="13176"/>
  <c r="AH484" i="13176"/>
  <c r="Q484" i="13176"/>
  <c r="AR484" i="13176"/>
  <c r="AA484" i="13176"/>
  <c r="I484" i="13176"/>
  <c r="AM484" i="13176"/>
  <c r="V484" i="13176"/>
  <c r="D484" i="13176"/>
  <c r="W484" i="13176"/>
  <c r="AP484" i="13176"/>
  <c r="E485" i="13176"/>
  <c r="Z485" i="13176"/>
  <c r="AU485" i="13176"/>
  <c r="J486" i="13176"/>
  <c r="AD486" i="13176"/>
  <c r="AX486" i="13176"/>
  <c r="M487" i="13176"/>
  <c r="AH487" i="13176"/>
  <c r="BC487" i="13176"/>
  <c r="S488" i="13176"/>
  <c r="AL488" i="13176"/>
  <c r="P1210" i="13176"/>
  <c r="P1209" i="13176"/>
  <c r="P1201" i="13176"/>
  <c r="P1185" i="13176"/>
  <c r="P1202" i="13176"/>
  <c r="P1187" i="13176"/>
  <c r="P1184" i="13176"/>
  <c r="P1195" i="13176"/>
  <c r="P1169" i="13176"/>
  <c r="P1179" i="13176"/>
  <c r="P1168" i="13176"/>
  <c r="P1186" i="13176"/>
  <c r="P1192" i="13176"/>
  <c r="P1173" i="13176"/>
  <c r="P1176" i="13176"/>
  <c r="P1165" i="13176"/>
  <c r="P1170" i="13176"/>
  <c r="P1167" i="13176"/>
  <c r="P1154" i="13176"/>
  <c r="P1161" i="13176"/>
  <c r="P1160" i="13176"/>
  <c r="P1177" i="13176"/>
  <c r="P1146" i="13176"/>
  <c r="P1155" i="13176"/>
  <c r="P1134" i="13176"/>
  <c r="P1126" i="13176"/>
  <c r="P1153" i="13176"/>
  <c r="P1139" i="13176"/>
  <c r="P1197" i="13176"/>
  <c r="P1145" i="13176"/>
  <c r="P1138" i="13176"/>
  <c r="P1130" i="13176"/>
  <c r="P1158" i="13176"/>
  <c r="P1143" i="13176"/>
  <c r="P1135" i="13176"/>
  <c r="P1116" i="13176"/>
  <c r="P1108" i="13176"/>
  <c r="P1128" i="13176"/>
  <c r="P1113" i="13176"/>
  <c r="P1123" i="13176"/>
  <c r="P1115" i="13176"/>
  <c r="P1107" i="13176"/>
  <c r="P1118" i="13176"/>
  <c r="P1112" i="13176"/>
  <c r="P1131" i="13176"/>
  <c r="P1122" i="13176"/>
  <c r="P1119" i="13176"/>
  <c r="P1127" i="13176"/>
  <c r="P1104" i="13176"/>
  <c r="P1076" i="13176"/>
  <c r="P1095" i="13176"/>
  <c r="P1099" i="13176"/>
  <c r="P1096" i="13176"/>
  <c r="P1114" i="13176"/>
  <c r="P1109" i="13176"/>
  <c r="P1105" i="13176"/>
  <c r="P1100" i="13176"/>
  <c r="P1067" i="13176"/>
  <c r="P1085" i="13176"/>
  <c r="P1097" i="13176"/>
  <c r="P1080" i="13176"/>
  <c r="P1072" i="13176"/>
  <c r="P1089" i="13176"/>
  <c r="P1071" i="13176"/>
  <c r="P1063" i="13176"/>
  <c r="P1088" i="13176"/>
  <c r="P1074" i="13176"/>
  <c r="P1077" i="13176"/>
  <c r="P1068" i="13176"/>
  <c r="P1041" i="13176"/>
  <c r="P1033" i="13176"/>
  <c r="P1046" i="13176"/>
  <c r="P1055" i="13176"/>
  <c r="P1073" i="13176"/>
  <c r="P1052" i="13176"/>
  <c r="P1081" i="13176"/>
  <c r="P1059" i="13176"/>
  <c r="P1050" i="13176"/>
  <c r="P1049" i="13176"/>
  <c r="P1051" i="13176"/>
  <c r="P1025" i="13176"/>
  <c r="P1017" i="13176"/>
  <c r="P1009" i="13176"/>
  <c r="P1001" i="13176"/>
  <c r="P1047" i="13176"/>
  <c r="P1014" i="13176"/>
  <c r="P1034" i="13176"/>
  <c r="P1022" i="13176"/>
  <c r="P1042" i="13176"/>
  <c r="P1038" i="13176"/>
  <c r="P1039" i="13176"/>
  <c r="P1026" i="13176"/>
  <c r="P1029" i="13176"/>
  <c r="P1030" i="13176"/>
  <c r="P1010" i="13176"/>
  <c r="P990" i="13176"/>
  <c r="P982" i="13176"/>
  <c r="P995" i="13176"/>
  <c r="P987" i="13176"/>
  <c r="P979" i="13176"/>
  <c r="P998" i="13176"/>
  <c r="P997" i="13176"/>
  <c r="P989" i="13176"/>
  <c r="P1006" i="13176"/>
  <c r="P1000" i="13176"/>
  <c r="P991" i="13176"/>
  <c r="P983" i="13176"/>
  <c r="P1008" i="13176"/>
  <c r="P996" i="13176"/>
  <c r="P1031" i="13176"/>
  <c r="P1016" i="13176"/>
  <c r="P974" i="13176"/>
  <c r="P975" i="13176"/>
  <c r="P965" i="13176"/>
  <c r="P978" i="13176"/>
  <c r="P963" i="13176"/>
  <c r="P947" i="13176"/>
  <c r="P939" i="13176"/>
  <c r="P931" i="13176"/>
  <c r="P923" i="13176"/>
  <c r="P961" i="13176"/>
  <c r="P944" i="13176"/>
  <c r="P936" i="13176"/>
  <c r="P928" i="13176"/>
  <c r="P957" i="13176"/>
  <c r="P950" i="13176"/>
  <c r="P938" i="13176"/>
  <c r="P930" i="13176"/>
  <c r="P922" i="13176"/>
  <c r="P973" i="13176"/>
  <c r="P967" i="13176"/>
  <c r="P943" i="13176"/>
  <c r="P981" i="13176"/>
  <c r="P952" i="13176"/>
  <c r="P927" i="13176"/>
  <c r="P919" i="13176"/>
  <c r="P920" i="13176"/>
  <c r="P914" i="13176"/>
  <c r="P909" i="13176"/>
  <c r="P900" i="13176"/>
  <c r="P892" i="13176"/>
  <c r="P884" i="13176"/>
  <c r="P876" i="13176"/>
  <c r="P955" i="13176"/>
  <c r="P945" i="13176"/>
  <c r="P911" i="13176"/>
  <c r="P902" i="13176"/>
  <c r="P894" i="13176"/>
  <c r="P886" i="13176"/>
  <c r="P878" i="13176"/>
  <c r="P937" i="13176"/>
  <c r="P935" i="13176"/>
  <c r="P907" i="13176"/>
  <c r="P899" i="13176"/>
  <c r="P891" i="13176"/>
  <c r="P883" i="13176"/>
  <c r="P958" i="13176"/>
  <c r="P929" i="13176"/>
  <c r="P864" i="13176"/>
  <c r="P856" i="13176"/>
  <c r="P848" i="13176"/>
  <c r="P840" i="13176"/>
  <c r="P832" i="13176"/>
  <c r="P861" i="13176"/>
  <c r="P853" i="13176"/>
  <c r="P845" i="13176"/>
  <c r="P837" i="13176"/>
  <c r="P915" i="13176"/>
  <c r="P866" i="13176"/>
  <c r="P858" i="13176"/>
  <c r="P850" i="13176"/>
  <c r="P875" i="13176"/>
  <c r="P910" i="13176"/>
  <c r="P860" i="13176"/>
  <c r="P868" i="13176"/>
  <c r="P865" i="13176"/>
  <c r="P857" i="13176"/>
  <c r="P849" i="13176"/>
  <c r="P841" i="13176"/>
  <c r="P870" i="13176"/>
  <c r="P862" i="13176"/>
  <c r="P846" i="13176"/>
  <c r="P817" i="13176"/>
  <c r="P809" i="13176"/>
  <c r="P801" i="13176"/>
  <c r="P793" i="13176"/>
  <c r="P824" i="13176"/>
  <c r="P814" i="13176"/>
  <c r="P806" i="13176"/>
  <c r="P798" i="13176"/>
  <c r="P826" i="13176"/>
  <c r="P854" i="13176"/>
  <c r="P816" i="13176"/>
  <c r="P808" i="13176"/>
  <c r="P800" i="13176"/>
  <c r="P792" i="13176"/>
  <c r="P833" i="13176"/>
  <c r="P823" i="13176"/>
  <c r="P821" i="13176"/>
  <c r="P813" i="13176"/>
  <c r="P805" i="13176"/>
  <c r="P797" i="13176"/>
  <c r="P802" i="13176"/>
  <c r="P767" i="13176"/>
  <c r="P759" i="13176"/>
  <c r="P789" i="13176"/>
  <c r="P785" i="13176"/>
  <c r="P777" i="13176"/>
  <c r="P769" i="13176"/>
  <c r="P761" i="13176"/>
  <c r="P753" i="13176"/>
  <c r="P745" i="13176"/>
  <c r="P810" i="13176"/>
  <c r="P758" i="13176"/>
  <c r="P750" i="13176"/>
  <c r="P779" i="13176"/>
  <c r="P771" i="13176"/>
  <c r="P763" i="13176"/>
  <c r="P755" i="13176"/>
  <c r="P747" i="13176"/>
  <c r="P794" i="13176"/>
  <c r="P782" i="13176"/>
  <c r="P818" i="13176"/>
  <c r="P773" i="13176"/>
  <c r="P765" i="13176"/>
  <c r="P757" i="13176"/>
  <c r="P749" i="13176"/>
  <c r="P784" i="13176"/>
  <c r="P778" i="13176"/>
  <c r="P770" i="13176"/>
  <c r="P762" i="13176"/>
  <c r="P754" i="13176"/>
  <c r="P751" i="13176"/>
  <c r="P726" i="13176"/>
  <c r="P718" i="13176"/>
  <c r="P710" i="13176"/>
  <c r="P702" i="13176"/>
  <c r="P731" i="13176"/>
  <c r="P723" i="13176"/>
  <c r="P715" i="13176"/>
  <c r="P707" i="13176"/>
  <c r="P736" i="13176"/>
  <c r="P728" i="13176"/>
  <c r="P720" i="13176"/>
  <c r="P712" i="13176"/>
  <c r="P742" i="13176"/>
  <c r="P741" i="13176"/>
  <c r="P730" i="13176"/>
  <c r="P722" i="13176"/>
  <c r="P714" i="13176"/>
  <c r="P706" i="13176"/>
  <c r="P711" i="13176"/>
  <c r="P698" i="13176"/>
  <c r="P685" i="13176"/>
  <c r="P677" i="13176"/>
  <c r="P669" i="13176"/>
  <c r="P704" i="13176"/>
  <c r="P699" i="13176"/>
  <c r="P746" i="13176"/>
  <c r="P703" i="13176"/>
  <c r="P687" i="13176"/>
  <c r="P679" i="13176"/>
  <c r="P696" i="13176"/>
  <c r="P693" i="13176"/>
  <c r="P689" i="13176"/>
  <c r="P681" i="13176"/>
  <c r="P673" i="13176"/>
  <c r="P694" i="13176"/>
  <c r="P692" i="13176"/>
  <c r="P655" i="13176"/>
  <c r="P647" i="13176"/>
  <c r="P639" i="13176"/>
  <c r="P631" i="13176"/>
  <c r="P665" i="13176"/>
  <c r="P661" i="13176"/>
  <c r="P652" i="13176"/>
  <c r="P644" i="13176"/>
  <c r="P636" i="13176"/>
  <c r="P671" i="13176"/>
  <c r="P663" i="13176"/>
  <c r="P654" i="13176"/>
  <c r="P651" i="13176"/>
  <c r="P643" i="13176"/>
  <c r="P635" i="13176"/>
  <c r="P627" i="13176"/>
  <c r="P610" i="13176"/>
  <c r="P648" i="13176"/>
  <c r="P619" i="13176"/>
  <c r="P615" i="13176"/>
  <c r="P612" i="13176"/>
  <c r="P656" i="13176"/>
  <c r="P632" i="13176"/>
  <c r="P623" i="13176"/>
  <c r="P618" i="13176"/>
  <c r="P616" i="13176"/>
  <c r="P614" i="13176"/>
  <c r="P601" i="13176"/>
  <c r="P640" i="13176"/>
  <c r="P602" i="13176"/>
  <c r="P622" i="13176"/>
  <c r="P600" i="13176"/>
  <c r="P588" i="13176"/>
  <c r="P585" i="13176"/>
  <c r="P586" i="13176"/>
  <c r="P550" i="13176"/>
  <c r="P548" i="13176"/>
  <c r="P587" i="13176"/>
  <c r="P553" i="13176"/>
  <c r="P584" i="13176"/>
  <c r="P520" i="13176"/>
  <c r="P540" i="13176"/>
  <c r="P555" i="13176"/>
  <c r="P542" i="13176"/>
  <c r="P537" i="13176"/>
  <c r="P521" i="13176"/>
  <c r="P552" i="13176"/>
  <c r="P535" i="13176"/>
  <c r="P546" i="13176"/>
  <c r="P526" i="13176"/>
  <c r="AF1206" i="13176"/>
  <c r="AF1185" i="13176"/>
  <c r="AF1211" i="13176"/>
  <c r="AF1214" i="13176"/>
  <c r="AF1184" i="13176"/>
  <c r="AF1177" i="13176"/>
  <c r="AF1189" i="13176"/>
  <c r="AF1169" i="13176"/>
  <c r="AF1198" i="13176"/>
  <c r="AF1190" i="13176"/>
  <c r="AF1181" i="13176"/>
  <c r="AF1170" i="13176"/>
  <c r="AF1154" i="13176"/>
  <c r="AF1176" i="13176"/>
  <c r="AF1153" i="13176"/>
  <c r="AF1134" i="13176"/>
  <c r="AF1126" i="13176"/>
  <c r="AF1139" i="13176"/>
  <c r="AF1131" i="13176"/>
  <c r="AF1146" i="13176"/>
  <c r="AF1138" i="13176"/>
  <c r="AF1130" i="13176"/>
  <c r="AF1142" i="13176"/>
  <c r="AF1135" i="13176"/>
  <c r="AF1122" i="13176"/>
  <c r="AF1116" i="13176"/>
  <c r="AF1140" i="13176"/>
  <c r="AF1113" i="13176"/>
  <c r="AF1127" i="13176"/>
  <c r="AF1115" i="13176"/>
  <c r="AF1107" i="13176"/>
  <c r="AF1112" i="13176"/>
  <c r="AF1123" i="13176"/>
  <c r="AF1118" i="13176"/>
  <c r="AF1132" i="13176"/>
  <c r="AF1092" i="13176"/>
  <c r="AF1084" i="13176"/>
  <c r="AF1076" i="13176"/>
  <c r="AF1108" i="13176"/>
  <c r="AF1104" i="13176"/>
  <c r="AF1088" i="13176"/>
  <c r="AF1145" i="13176"/>
  <c r="AF1100" i="13176"/>
  <c r="AF1080" i="13176"/>
  <c r="AF1067" i="13176"/>
  <c r="AF1090" i="13176"/>
  <c r="AF1073" i="13176"/>
  <c r="AF1089" i="13176"/>
  <c r="AF1099" i="13176"/>
  <c r="AF1081" i="13176"/>
  <c r="AF1096" i="13176"/>
  <c r="AF1071" i="13176"/>
  <c r="AF1051" i="13176"/>
  <c r="AF1041" i="13176"/>
  <c r="AF1059" i="13176"/>
  <c r="AF1063" i="13176"/>
  <c r="AF1045" i="13176"/>
  <c r="AF1072" i="13176"/>
  <c r="AF1085" i="13176"/>
  <c r="AF1055" i="13176"/>
  <c r="AF1048" i="13176"/>
  <c r="AF1042" i="13176"/>
  <c r="AF1034" i="13176"/>
  <c r="AF1037" i="13176"/>
  <c r="AF1033" i="13176"/>
  <c r="AF1017" i="13176"/>
  <c r="AF1009" i="13176"/>
  <c r="AF1025" i="13176"/>
  <c r="AF1014" i="13176"/>
  <c r="AF1016" i="13176"/>
  <c r="AF1008" i="13176"/>
  <c r="AF1052" i="13176"/>
  <c r="AF1001" i="13176"/>
  <c r="AF1010" i="13176"/>
  <c r="AF1006" i="13176"/>
  <c r="AF990" i="13176"/>
  <c r="AF982" i="13176"/>
  <c r="AF995" i="13176"/>
  <c r="AF987" i="13176"/>
  <c r="AF992" i="13176"/>
  <c r="AF984" i="13176"/>
  <c r="AF1015" i="13176"/>
  <c r="AF989" i="13176"/>
  <c r="AF981" i="13176"/>
  <c r="AF998" i="13176"/>
  <c r="AF997" i="13176"/>
  <c r="AF1000" i="13176"/>
  <c r="AF991" i="13176"/>
  <c r="AF983" i="13176"/>
  <c r="AF1007" i="13176"/>
  <c r="AF973" i="13176"/>
  <c r="AF988" i="13176"/>
  <c r="AF974" i="13176"/>
  <c r="AF996" i="13176"/>
  <c r="AF979" i="13176"/>
  <c r="AF947" i="13176"/>
  <c r="AF939" i="13176"/>
  <c r="AF931" i="13176"/>
  <c r="AF946" i="13176"/>
  <c r="AF938" i="13176"/>
  <c r="AF930" i="13176"/>
  <c r="AF943" i="13176"/>
  <c r="AF976" i="13176"/>
  <c r="AF948" i="13176"/>
  <c r="AF906" i="13176"/>
  <c r="AF898" i="13176"/>
  <c r="AF900" i="13176"/>
  <c r="AF892" i="13176"/>
  <c r="AF884" i="13176"/>
  <c r="AF876" i="13176"/>
  <c r="AF902" i="13176"/>
  <c r="AF894" i="13176"/>
  <c r="AF886" i="13176"/>
  <c r="AF878" i="13176"/>
  <c r="AF870" i="13176"/>
  <c r="AF899" i="13176"/>
  <c r="AF891" i="13176"/>
  <c r="AF883" i="13176"/>
  <c r="AF875" i="13176"/>
  <c r="AF907" i="13176"/>
  <c r="AF896" i="13176"/>
  <c r="AF864" i="13176"/>
  <c r="AF911" i="13176"/>
  <c r="AF868" i="13176"/>
  <c r="AF904" i="13176"/>
  <c r="AF858" i="13176"/>
  <c r="AF867" i="13176"/>
  <c r="AF888" i="13176"/>
  <c r="AF860" i="13176"/>
  <c r="AF852" i="13176"/>
  <c r="AF865" i="13176"/>
  <c r="AF857" i="13176"/>
  <c r="AF849" i="13176"/>
  <c r="AF820" i="13176"/>
  <c r="AF833" i="13176"/>
  <c r="AF822" i="13176"/>
  <c r="AF814" i="13176"/>
  <c r="AF806" i="13176"/>
  <c r="AF816" i="13176"/>
  <c r="AF808" i="13176"/>
  <c r="AF800" i="13176"/>
  <c r="AF792" i="13176"/>
  <c r="AF821" i="13176"/>
  <c r="AF813" i="13176"/>
  <c r="AF805" i="13176"/>
  <c r="AF797" i="13176"/>
  <c r="AF789" i="13176"/>
  <c r="AF777" i="13176"/>
  <c r="AF769" i="13176"/>
  <c r="AF761" i="13176"/>
  <c r="AF784" i="13176"/>
  <c r="AF774" i="13176"/>
  <c r="AF766" i="13176"/>
  <c r="AF758" i="13176"/>
  <c r="AF750" i="13176"/>
  <c r="AF779" i="13176"/>
  <c r="AF776" i="13176"/>
  <c r="AF768" i="13176"/>
  <c r="AF773" i="13176"/>
  <c r="AF765" i="13176"/>
  <c r="AF757" i="13176"/>
  <c r="AF749" i="13176"/>
  <c r="AF760" i="13176"/>
  <c r="AF754" i="13176"/>
  <c r="AF742" i="13176"/>
  <c r="AF752" i="13176"/>
  <c r="AF741" i="13176"/>
  <c r="AF770" i="13176"/>
  <c r="AF734" i="13176"/>
  <c r="AF726" i="13176"/>
  <c r="AF718" i="13176"/>
  <c r="AF710" i="13176"/>
  <c r="AF731" i="13176"/>
  <c r="AF778" i="13176"/>
  <c r="AF717" i="13176"/>
  <c r="AF746" i="13176"/>
  <c r="AF730" i="13176"/>
  <c r="AF722" i="13176"/>
  <c r="AF762" i="13176"/>
  <c r="AF693" i="13176"/>
  <c r="AF686" i="13176"/>
  <c r="AF678" i="13176"/>
  <c r="AF711" i="13176"/>
  <c r="AF709" i="13176"/>
  <c r="AF691" i="13176"/>
  <c r="AF683" i="13176"/>
  <c r="AF675" i="13176"/>
  <c r="AF735" i="13176"/>
  <c r="AF703" i="13176"/>
  <c r="AF688" i="13176"/>
  <c r="AF685" i="13176"/>
  <c r="AF677" i="13176"/>
  <c r="AF669" i="13176"/>
  <c r="AF719" i="13176"/>
  <c r="AF687" i="13176"/>
  <c r="AF727" i="13176"/>
  <c r="AF689" i="13176"/>
  <c r="AF681" i="13176"/>
  <c r="AF665" i="13176"/>
  <c r="AF670" i="13176"/>
  <c r="AF673" i="13176"/>
  <c r="AF676" i="13176"/>
  <c r="AF654" i="13176"/>
  <c r="AF684" i="13176"/>
  <c r="AF651" i="13176"/>
  <c r="AF643" i="13176"/>
  <c r="AF635" i="13176"/>
  <c r="AF627" i="13176"/>
  <c r="AF661" i="13176"/>
  <c r="AF610" i="13176"/>
  <c r="AF614" i="13176"/>
  <c r="AF619" i="13176"/>
  <c r="AF611" i="13176"/>
  <c r="AF556" i="13176"/>
  <c r="AF553" i="13176"/>
  <c r="AF550" i="13176"/>
  <c r="AF537" i="13176"/>
  <c r="AF527" i="13176"/>
  <c r="AF539" i="13176"/>
  <c r="AF518" i="13176"/>
  <c r="AF535" i="13176"/>
  <c r="AF516" i="13176"/>
  <c r="AF603" i="13176"/>
  <c r="AF548" i="13176"/>
  <c r="AF552" i="13176"/>
  <c r="AF540" i="13176"/>
  <c r="AF532" i="13176"/>
  <c r="AV1213" i="13176"/>
  <c r="AV1210" i="13176"/>
  <c r="AV1212" i="13176"/>
  <c r="AV1209" i="13176"/>
  <c r="AV1206" i="13176"/>
  <c r="AV1205" i="13176"/>
  <c r="AV1201" i="13176"/>
  <c r="AV1204" i="13176"/>
  <c r="AV1202" i="13176"/>
  <c r="AV1185" i="13176"/>
  <c r="AV1187" i="13176"/>
  <c r="AV1184" i="13176"/>
  <c r="AV1179" i="13176"/>
  <c r="AV1196" i="13176"/>
  <c r="AV1186" i="13176"/>
  <c r="AV1169" i="13176"/>
  <c r="AV1177" i="13176"/>
  <c r="AV1171" i="13176"/>
  <c r="AV1168" i="13176"/>
  <c r="AV1191" i="13176"/>
  <c r="AV1161" i="13176"/>
  <c r="AV1160" i="13176"/>
  <c r="AV1154" i="13176"/>
  <c r="AV1165" i="13176"/>
  <c r="AV1156" i="13176"/>
  <c r="AV1153" i="13176"/>
  <c r="AV1178" i="13176"/>
  <c r="AV1173" i="13176"/>
  <c r="AV1145" i="13176"/>
  <c r="AV1134" i="13176"/>
  <c r="AV1139" i="13176"/>
  <c r="AV1131" i="13176"/>
  <c r="AV1163" i="13176"/>
  <c r="AV1158" i="13176"/>
  <c r="AV1155" i="13176"/>
  <c r="AV1146" i="13176"/>
  <c r="AV1170" i="13176"/>
  <c r="AV1141" i="13176"/>
  <c r="AV1135" i="13176"/>
  <c r="AV1127" i="13176"/>
  <c r="AV1118" i="13176"/>
  <c r="AV1138" i="13176"/>
  <c r="AV1130" i="13176"/>
  <c r="AV1123" i="13176"/>
  <c r="AV1119" i="13176"/>
  <c r="AV1116" i="13176"/>
  <c r="AV1122" i="13176"/>
  <c r="AV1126" i="13176"/>
  <c r="AV1125" i="13176"/>
  <c r="AV1115" i="13176"/>
  <c r="AV1109" i="13176"/>
  <c r="AV1108" i="13176"/>
  <c r="AV1112" i="13176"/>
  <c r="AV1107" i="13176"/>
  <c r="AV1100" i="13176"/>
  <c r="AV1092" i="13176"/>
  <c r="AV1104" i="13176"/>
  <c r="AV1089" i="13176"/>
  <c r="AV1081" i="13176"/>
  <c r="AV1095" i="13176"/>
  <c r="AV1088" i="13176"/>
  <c r="AV1096" i="13176"/>
  <c r="AV1072" i="13176"/>
  <c r="AV1083" i="13176"/>
  <c r="AV1067" i="13176"/>
  <c r="AV1059" i="13176"/>
  <c r="AV1099" i="13176"/>
  <c r="AV1091" i="13176"/>
  <c r="AV1094" i="13176"/>
  <c r="AV1076" i="13176"/>
  <c r="AV1075" i="13176"/>
  <c r="AV1073" i="13176"/>
  <c r="AV1066" i="13176"/>
  <c r="AV1080" i="13176"/>
  <c r="AV1084" i="13176"/>
  <c r="AV1077" i="13176"/>
  <c r="AV1071" i="13176"/>
  <c r="AV1055" i="13176"/>
  <c r="AV1052" i="13176"/>
  <c r="AV1041" i="13176"/>
  <c r="AV1046" i="13176"/>
  <c r="AV1038" i="13176"/>
  <c r="AV1058" i="13176"/>
  <c r="AV1051" i="13176"/>
  <c r="AV1063" i="13176"/>
  <c r="AV1068" i="13176"/>
  <c r="AV1053" i="13176"/>
  <c r="AV1045" i="13176"/>
  <c r="AV1042" i="13176"/>
  <c r="AV1032" i="13176"/>
  <c r="AV1009" i="13176"/>
  <c r="AV1017" i="13176"/>
  <c r="AV1025" i="13176"/>
  <c r="AV1016" i="13176"/>
  <c r="AV1008" i="13176"/>
  <c r="AV1030" i="13176"/>
  <c r="AV1029" i="13176"/>
  <c r="AV1034" i="13176"/>
  <c r="AV1022" i="13176"/>
  <c r="AV1037" i="13176"/>
  <c r="AV1033" i="13176"/>
  <c r="AV1010" i="13176"/>
  <c r="AV1000" i="13176"/>
  <c r="AV1011" i="13176"/>
  <c r="AV990" i="13176"/>
  <c r="AV982" i="13176"/>
  <c r="AV1001" i="13176"/>
  <c r="AV992" i="13176"/>
  <c r="AV989" i="13176"/>
  <c r="AV981" i="13176"/>
  <c r="AV998" i="13176"/>
  <c r="AV997" i="13176"/>
  <c r="AV1027" i="13176"/>
  <c r="AV991" i="13176"/>
  <c r="AV983" i="13176"/>
  <c r="AV976" i="13176"/>
  <c r="AV973" i="13176"/>
  <c r="AV975" i="13176"/>
  <c r="AV984" i="13176"/>
  <c r="AV974" i="13176"/>
  <c r="AV965" i="13176"/>
  <c r="AV978" i="13176"/>
  <c r="AV966" i="13176"/>
  <c r="AV947" i="13176"/>
  <c r="AV939" i="13176"/>
  <c r="AV931" i="13176"/>
  <c r="AV923" i="13176"/>
  <c r="AV970" i="13176"/>
  <c r="AV944" i="13176"/>
  <c r="AV961" i="13176"/>
  <c r="AV957" i="13176"/>
  <c r="AV946" i="13176"/>
  <c r="AV950" i="13176"/>
  <c r="AV954" i="13176"/>
  <c r="AV943" i="13176"/>
  <c r="AV935" i="13176"/>
  <c r="AV927" i="13176"/>
  <c r="AV940" i="13176"/>
  <c r="AV930" i="13176"/>
  <c r="AV915" i="13176"/>
  <c r="AV948" i="13176"/>
  <c r="AV922" i="13176"/>
  <c r="AV903" i="13176"/>
  <c r="AV895" i="13176"/>
  <c r="AV887" i="13176"/>
  <c r="AV879" i="13176"/>
  <c r="AV951" i="13176"/>
  <c r="AV914" i="13176"/>
  <c r="AV919" i="13176"/>
  <c r="AV902" i="13176"/>
  <c r="AV894" i="13176"/>
  <c r="AV886" i="13176"/>
  <c r="AV938" i="13176"/>
  <c r="AV899" i="13176"/>
  <c r="AV891" i="13176"/>
  <c r="AV883" i="13176"/>
  <c r="AV875" i="13176"/>
  <c r="AV870" i="13176"/>
  <c r="AV864" i="13176"/>
  <c r="AV856" i="13176"/>
  <c r="AV848" i="13176"/>
  <c r="AV840" i="13176"/>
  <c r="AV861" i="13176"/>
  <c r="AV853" i="13176"/>
  <c r="AV845" i="13176"/>
  <c r="AV837" i="13176"/>
  <c r="AV878" i="13176"/>
  <c r="AV871" i="13176"/>
  <c r="AV860" i="13176"/>
  <c r="AV852" i="13176"/>
  <c r="AV844" i="13176"/>
  <c r="AV909" i="13176"/>
  <c r="AV824" i="13176"/>
  <c r="AV849" i="13176"/>
  <c r="AV833" i="13176"/>
  <c r="AV867" i="13176"/>
  <c r="AV820" i="13176"/>
  <c r="AV812" i="13176"/>
  <c r="AV804" i="13176"/>
  <c r="AV796" i="13176"/>
  <c r="AV832" i="13176"/>
  <c r="AV826" i="13176"/>
  <c r="AV823" i="13176"/>
  <c r="AV817" i="13176"/>
  <c r="AV809" i="13176"/>
  <c r="AV801" i="13176"/>
  <c r="AV793" i="13176"/>
  <c r="AV857" i="13176"/>
  <c r="AV836" i="13176"/>
  <c r="AV841" i="13176"/>
  <c r="AV825" i="13176"/>
  <c r="AV822" i="13176"/>
  <c r="AV816" i="13176"/>
  <c r="AV808" i="13176"/>
  <c r="AV800" i="13176"/>
  <c r="AV792" i="13176"/>
  <c r="AV829" i="13176"/>
  <c r="AV784" i="13176"/>
  <c r="AV770" i="13176"/>
  <c r="AV762" i="13176"/>
  <c r="AV754" i="13176"/>
  <c r="AV785" i="13176"/>
  <c r="AV813" i="13176"/>
  <c r="AV780" i="13176"/>
  <c r="AV777" i="13176"/>
  <c r="AV769" i="13176"/>
  <c r="AV761" i="13176"/>
  <c r="AV753" i="13176"/>
  <c r="AV745" i="13176"/>
  <c r="AV797" i="13176"/>
  <c r="AV788" i="13176"/>
  <c r="AV774" i="13176"/>
  <c r="AV766" i="13176"/>
  <c r="AV758" i="13176"/>
  <c r="AV750" i="13176"/>
  <c r="AV821" i="13176"/>
  <c r="AV779" i="13176"/>
  <c r="AV771" i="13176"/>
  <c r="AV789" i="13176"/>
  <c r="AV865" i="13176"/>
  <c r="AV805" i="13176"/>
  <c r="AV773" i="13176"/>
  <c r="AV765" i="13176"/>
  <c r="AV757" i="13176"/>
  <c r="AV749" i="13176"/>
  <c r="AV734" i="13176"/>
  <c r="AV726" i="13176"/>
  <c r="AV718" i="13176"/>
  <c r="AV710" i="13176"/>
  <c r="AV731" i="13176"/>
  <c r="AV723" i="13176"/>
  <c r="AV715" i="13176"/>
  <c r="AV707" i="13176"/>
  <c r="AV746" i="13176"/>
  <c r="AV742" i="13176"/>
  <c r="AV741" i="13176"/>
  <c r="AV730" i="13176"/>
  <c r="AV722" i="13176"/>
  <c r="AV714" i="13176"/>
  <c r="AV706" i="13176"/>
  <c r="AV703" i="13176"/>
  <c r="AV702" i="13176"/>
  <c r="AV698" i="13176"/>
  <c r="AV691" i="13176"/>
  <c r="AV688" i="13176"/>
  <c r="AV680" i="13176"/>
  <c r="AV672" i="13176"/>
  <c r="AV685" i="13176"/>
  <c r="AV677" i="13176"/>
  <c r="AV669" i="13176"/>
  <c r="AV699" i="13176"/>
  <c r="AV696" i="13176"/>
  <c r="AV694" i="13176"/>
  <c r="AV690" i="13176"/>
  <c r="AV682" i="13176"/>
  <c r="AV674" i="13176"/>
  <c r="AV687" i="13176"/>
  <c r="AV664" i="13176"/>
  <c r="AV658" i="13176"/>
  <c r="AV650" i="13176"/>
  <c r="AV642" i="13176"/>
  <c r="AV634" i="13176"/>
  <c r="AV661" i="13176"/>
  <c r="AV655" i="13176"/>
  <c r="AV647" i="13176"/>
  <c r="AV639" i="13176"/>
  <c r="AV666" i="13176"/>
  <c r="AV654" i="13176"/>
  <c r="AV646" i="13176"/>
  <c r="AV638" i="13176"/>
  <c r="AV631" i="13176"/>
  <c r="AV651" i="13176"/>
  <c r="AV613" i="13176"/>
  <c r="AV619" i="13176"/>
  <c r="AV616" i="13176"/>
  <c r="AV610" i="13176"/>
  <c r="AV635" i="13176"/>
  <c r="AV618" i="13176"/>
  <c r="AV627" i="13176"/>
  <c r="AV626" i="13176"/>
  <c r="AV612" i="13176"/>
  <c r="AV630" i="13176"/>
  <c r="AV623" i="13176"/>
  <c r="AV643" i="13176"/>
  <c r="AV615" i="13176"/>
  <c r="AV614" i="13176"/>
  <c r="AV601" i="13176"/>
  <c r="AV604" i="13176"/>
  <c r="AV603" i="13176"/>
  <c r="AV621" i="13176"/>
  <c r="AV602" i="13176"/>
  <c r="AV600" i="13176"/>
  <c r="AV586" i="13176"/>
  <c r="AV548" i="13176"/>
  <c r="AV590" i="13176"/>
  <c r="AV587" i="13176"/>
  <c r="AV605" i="13176"/>
  <c r="AV546" i="13176"/>
  <c r="AV584" i="13176"/>
  <c r="AV552" i="13176"/>
  <c r="AV588" i="13176"/>
  <c r="AV585" i="13176"/>
  <c r="AV524" i="13176"/>
  <c r="AV547" i="13176"/>
  <c r="AV532" i="13176"/>
  <c r="AV549" i="13176"/>
  <c r="AV543" i="13176"/>
  <c r="AV527" i="13176"/>
  <c r="AV518" i="13176"/>
  <c r="AV550" i="13176"/>
  <c r="AV516" i="13176"/>
  <c r="AV589" i="13176"/>
  <c r="AV526" i="13176"/>
  <c r="F476" i="13176"/>
  <c r="Y476" i="13176"/>
  <c r="AQ476" i="13176"/>
  <c r="F477" i="13176"/>
  <c r="Y477" i="13176"/>
  <c r="AQ477" i="13176"/>
  <c r="G478" i="13176"/>
  <c r="Z478" i="13176"/>
  <c r="H480" i="13176"/>
  <c r="AB480" i="13176"/>
  <c r="AV480" i="13176"/>
  <c r="J481" i="13176"/>
  <c r="AD481" i="13176"/>
  <c r="AY481" i="13176"/>
  <c r="O482" i="13176"/>
  <c r="AJ482" i="13176"/>
  <c r="BD482" i="13176"/>
  <c r="T483" i="13176"/>
  <c r="AM483" i="13176"/>
  <c r="C484" i="13176"/>
  <c r="X484" i="13176"/>
  <c r="AQ484" i="13176"/>
  <c r="G485" i="13176"/>
  <c r="AA485" i="13176"/>
  <c r="AV485" i="13176"/>
  <c r="K486" i="13176"/>
  <c r="AE486" i="13176"/>
  <c r="AZ486" i="13176"/>
  <c r="N487" i="13176"/>
  <c r="AI487" i="13176"/>
  <c r="BD487" i="13176"/>
  <c r="T488" i="13176"/>
  <c r="D489" i="13176"/>
  <c r="X489" i="13176"/>
  <c r="AR489" i="13176"/>
  <c r="H490" i="13176"/>
  <c r="AC490" i="13176"/>
  <c r="AX490" i="13176"/>
  <c r="L491" i="13176"/>
  <c r="AG491" i="13176"/>
  <c r="X492" i="13176"/>
  <c r="AT492" i="13176"/>
  <c r="O493" i="13176"/>
  <c r="AL493" i="13176"/>
  <c r="D494" i="13176"/>
  <c r="AD494" i="13176"/>
  <c r="BA494" i="13176"/>
  <c r="K496" i="13176"/>
  <c r="AG496" i="13176"/>
  <c r="Y497" i="13176"/>
  <c r="N498" i="13176"/>
  <c r="AM498" i="13176"/>
  <c r="E499" i="13176"/>
  <c r="AC499" i="13176"/>
  <c r="BB499" i="13176"/>
  <c r="L501" i="13176"/>
  <c r="AI501" i="13176"/>
  <c r="BA502" i="13176"/>
  <c r="U504" i="13176"/>
  <c r="AZ504" i="13176"/>
  <c r="U505" i="13176"/>
  <c r="BB505" i="13176"/>
  <c r="AB506" i="13176"/>
  <c r="BD506" i="13176"/>
  <c r="AF507" i="13176"/>
  <c r="P509" i="13176"/>
  <c r="AY509" i="13176"/>
  <c r="AE510" i="13176"/>
  <c r="L511" i="13176"/>
  <c r="AY511" i="13176"/>
  <c r="AG512" i="13176"/>
  <c r="N513" i="13176"/>
  <c r="AZ513" i="13176"/>
  <c r="AG514" i="13176"/>
  <c r="O515" i="13176"/>
  <c r="AD517" i="13176"/>
  <c r="AG518" i="13176"/>
  <c r="AD519" i="13176"/>
  <c r="AI522" i="13176"/>
  <c r="J526" i="13176"/>
  <c r="V530" i="13176"/>
  <c r="BB533" i="13176"/>
  <c r="AV535" i="13176"/>
  <c r="BB553" i="13176"/>
  <c r="BC478" i="13176"/>
  <c r="AL478" i="13176"/>
  <c r="V478" i="13176"/>
  <c r="E478" i="13176"/>
  <c r="AT478" i="13176"/>
  <c r="AB478" i="13176"/>
  <c r="J478" i="13176"/>
  <c r="U478" i="13176"/>
  <c r="AN478" i="13176"/>
  <c r="C480" i="13176"/>
  <c r="W480" i="13176"/>
  <c r="AQ480" i="13176"/>
  <c r="F481" i="13176"/>
  <c r="Z481" i="13176"/>
  <c r="AT481" i="13176"/>
  <c r="I482" i="13176"/>
  <c r="AE482" i="13176"/>
  <c r="AY482" i="13176"/>
  <c r="O483" i="13176"/>
  <c r="AI483" i="13176"/>
  <c r="BC483" i="13176"/>
  <c r="S484" i="13176"/>
  <c r="AL484" i="13176"/>
  <c r="M1201" i="13176"/>
  <c r="M1185" i="13176"/>
  <c r="M1209" i="13176"/>
  <c r="M1206" i="13176"/>
  <c r="M1187" i="13176"/>
  <c r="M1177" i="13176"/>
  <c r="M1214" i="13176"/>
  <c r="M1198" i="13176"/>
  <c r="M1169" i="13176"/>
  <c r="M1179" i="13176"/>
  <c r="M1190" i="13176"/>
  <c r="M1184" i="13176"/>
  <c r="M1168" i="13176"/>
  <c r="M1165" i="13176"/>
  <c r="M1162" i="13176"/>
  <c r="M1170" i="13176"/>
  <c r="M1154" i="13176"/>
  <c r="M1146" i="13176"/>
  <c r="M1160" i="13176"/>
  <c r="M1173" i="13176"/>
  <c r="M1153" i="13176"/>
  <c r="M1134" i="13176"/>
  <c r="M1139" i="13176"/>
  <c r="M1176" i="13176"/>
  <c r="M1141" i="13176"/>
  <c r="M1158" i="13176"/>
  <c r="M1145" i="13176"/>
  <c r="M1138" i="13176"/>
  <c r="M1143" i="13176"/>
  <c r="M1122" i="13176"/>
  <c r="M1135" i="13176"/>
  <c r="M1127" i="13176"/>
  <c r="M1116" i="13176"/>
  <c r="M1108" i="13176"/>
  <c r="M1113" i="13176"/>
  <c r="M1105" i="13176"/>
  <c r="M1121" i="13176"/>
  <c r="M1115" i="13176"/>
  <c r="M1118" i="13176"/>
  <c r="M1130" i="13176"/>
  <c r="M1126" i="13176"/>
  <c r="M1125" i="13176"/>
  <c r="M1112" i="13176"/>
  <c r="M1107" i="13176"/>
  <c r="M1095" i="13176"/>
  <c r="M1089" i="13176"/>
  <c r="M1081" i="13176"/>
  <c r="M1099" i="13176"/>
  <c r="M1096" i="13176"/>
  <c r="M1091" i="13176"/>
  <c r="M1083" i="13176"/>
  <c r="M1100" i="13176"/>
  <c r="M1092" i="13176"/>
  <c r="M1067" i="13176"/>
  <c r="M1059" i="13176"/>
  <c r="M1093" i="13176"/>
  <c r="M1084" i="13176"/>
  <c r="M1080" i="13176"/>
  <c r="M1072" i="13176"/>
  <c r="M1066" i="13176"/>
  <c r="M1088" i="13176"/>
  <c r="M1076" i="13176"/>
  <c r="M1075" i="13176"/>
  <c r="M1071" i="13176"/>
  <c r="M1063" i="13176"/>
  <c r="M1046" i="13176"/>
  <c r="M1038" i="13176"/>
  <c r="M1030" i="13176"/>
  <c r="M1058" i="13176"/>
  <c r="M1055" i="13176"/>
  <c r="M1054" i="13176"/>
  <c r="M1048" i="13176"/>
  <c r="M1045" i="13176"/>
  <c r="M1037" i="13176"/>
  <c r="M1032" i="13176"/>
  <c r="M1017" i="13176"/>
  <c r="M1009" i="13176"/>
  <c r="M1022" i="13176"/>
  <c r="M1014" i="13176"/>
  <c r="M1006" i="13176"/>
  <c r="M1040" i="13176"/>
  <c r="M1016" i="13176"/>
  <c r="M1029" i="13176"/>
  <c r="M990" i="13176"/>
  <c r="M982" i="13176"/>
  <c r="M1010" i="13176"/>
  <c r="M995" i="13176"/>
  <c r="M987" i="13176"/>
  <c r="M979" i="13176"/>
  <c r="M998" i="13176"/>
  <c r="M1028" i="13176"/>
  <c r="M997" i="13176"/>
  <c r="M989" i="13176"/>
  <c r="M1000" i="13176"/>
  <c r="M1003" i="13176"/>
  <c r="M1001" i="13176"/>
  <c r="M981" i="13176"/>
  <c r="M973" i="13176"/>
  <c r="M991" i="13176"/>
  <c r="M974" i="13176"/>
  <c r="M1008" i="13176"/>
  <c r="M983" i="13176"/>
  <c r="M975" i="13176"/>
  <c r="M978" i="13176"/>
  <c r="M950" i="13176"/>
  <c r="M951" i="13176"/>
  <c r="M946" i="13176"/>
  <c r="M938" i="13176"/>
  <c r="M930" i="13176"/>
  <c r="M922" i="13176"/>
  <c r="M943" i="13176"/>
  <c r="M952" i="13176"/>
  <c r="M903" i="13176"/>
  <c r="M895" i="13176"/>
  <c r="M887" i="13176"/>
  <c r="M879" i="13176"/>
  <c r="M871" i="13176"/>
  <c r="M914" i="13176"/>
  <c r="M909" i="13176"/>
  <c r="M900" i="13176"/>
  <c r="M892" i="13176"/>
  <c r="M884" i="13176"/>
  <c r="M876" i="13176"/>
  <c r="M911" i="13176"/>
  <c r="M902" i="13176"/>
  <c r="M894" i="13176"/>
  <c r="M886" i="13176"/>
  <c r="M878" i="13176"/>
  <c r="M870" i="13176"/>
  <c r="M899" i="13176"/>
  <c r="M883" i="13176"/>
  <c r="M861" i="13176"/>
  <c r="M853" i="13176"/>
  <c r="M845" i="13176"/>
  <c r="M837" i="13176"/>
  <c r="M907" i="13176"/>
  <c r="M867" i="13176"/>
  <c r="M875" i="13176"/>
  <c r="M891" i="13176"/>
  <c r="M868" i="13176"/>
  <c r="M860" i="13176"/>
  <c r="M852" i="13176"/>
  <c r="M844" i="13176"/>
  <c r="M836" i="13176"/>
  <c r="M817" i="13176"/>
  <c r="M809" i="13176"/>
  <c r="M801" i="13176"/>
  <c r="M793" i="13176"/>
  <c r="M822" i="13176"/>
  <c r="M819" i="13176"/>
  <c r="M823" i="13176"/>
  <c r="M816" i="13176"/>
  <c r="M808" i="13176"/>
  <c r="M800" i="13176"/>
  <c r="M792" i="13176"/>
  <c r="M784" i="13176"/>
  <c r="M785" i="13176"/>
  <c r="M780" i="13176"/>
  <c r="M777" i="13176"/>
  <c r="M769" i="13176"/>
  <c r="M761" i="13176"/>
  <c r="M753" i="13176"/>
  <c r="M745" i="13176"/>
  <c r="M779" i="13176"/>
  <c r="M771" i="13176"/>
  <c r="M763" i="13176"/>
  <c r="M782" i="13176"/>
  <c r="M765" i="13176"/>
  <c r="M747" i="13176"/>
  <c r="M729" i="13176"/>
  <c r="M721" i="13176"/>
  <c r="M773" i="13176"/>
  <c r="M734" i="13176"/>
  <c r="M726" i="13176"/>
  <c r="M718" i="13176"/>
  <c r="M749" i="13176"/>
  <c r="M731" i="13176"/>
  <c r="M720" i="13176"/>
  <c r="M757" i="13176"/>
  <c r="M755" i="13176"/>
  <c r="M737" i="13176"/>
  <c r="M693" i="13176"/>
  <c r="M692" i="13176"/>
  <c r="M689" i="13176"/>
  <c r="M681" i="13176"/>
  <c r="M698" i="13176"/>
  <c r="M691" i="13176"/>
  <c r="M683" i="13176"/>
  <c r="M688" i="13176"/>
  <c r="M680" i="13176"/>
  <c r="M672" i="13176"/>
  <c r="M664" i="13176"/>
  <c r="M704" i="13176"/>
  <c r="M722" i="13176"/>
  <c r="M741" i="13176"/>
  <c r="M714" i="13176"/>
  <c r="M712" i="13176"/>
  <c r="M730" i="13176"/>
  <c r="M706" i="13176"/>
  <c r="M684" i="13176"/>
  <c r="M696" i="13176"/>
  <c r="M679" i="13176"/>
  <c r="M655" i="13176"/>
  <c r="M647" i="13176"/>
  <c r="M665" i="13176"/>
  <c r="M671" i="13176"/>
  <c r="M663" i="13176"/>
  <c r="M687" i="13176"/>
  <c r="M676" i="13176"/>
  <c r="M673" i="13176"/>
  <c r="M654" i="13176"/>
  <c r="M646" i="13176"/>
  <c r="M638" i="13176"/>
  <c r="M630" i="13176"/>
  <c r="M613" i="13176"/>
  <c r="M610" i="13176"/>
  <c r="M660" i="13176"/>
  <c r="M612" i="13176"/>
  <c r="M623" i="13176"/>
  <c r="M616" i="13176"/>
  <c r="M606" i="13176"/>
  <c r="M614" i="13176"/>
  <c r="M556" i="13176"/>
  <c r="M546" i="13176"/>
  <c r="M552" i="13176"/>
  <c r="M550" i="13176"/>
  <c r="M548" i="13176"/>
  <c r="M553" i="13176"/>
  <c r="M526" i="13176"/>
  <c r="M540" i="13176"/>
  <c r="M516" i="13176"/>
  <c r="M537" i="13176"/>
  <c r="M527" i="13176"/>
  <c r="AC1209" i="13176"/>
  <c r="AC1190" i="13176"/>
  <c r="AC1195" i="13176"/>
  <c r="AC1185" i="13176"/>
  <c r="AC1187" i="13176"/>
  <c r="AC1201" i="13176"/>
  <c r="AC1176" i="13176"/>
  <c r="AC1189" i="13176"/>
  <c r="AC1177" i="13176"/>
  <c r="AC1196" i="13176"/>
  <c r="AC1169" i="13176"/>
  <c r="AC1161" i="13176"/>
  <c r="AC1184" i="13176"/>
  <c r="AC1171" i="13176"/>
  <c r="AC1182" i="13176"/>
  <c r="AC1173" i="13176"/>
  <c r="AC1179" i="13176"/>
  <c r="AC1154" i="13176"/>
  <c r="AC1163" i="13176"/>
  <c r="AC1156" i="13176"/>
  <c r="AC1165" i="13176"/>
  <c r="AC1160" i="13176"/>
  <c r="AC1153" i="13176"/>
  <c r="AC1145" i="13176"/>
  <c r="AC1137" i="13176"/>
  <c r="AC1168" i="13176"/>
  <c r="AC1151" i="13176"/>
  <c r="AC1134" i="13176"/>
  <c r="AC1158" i="13176"/>
  <c r="AC1141" i="13176"/>
  <c r="AC1138" i="13176"/>
  <c r="AC1130" i="13176"/>
  <c r="AC1118" i="13176"/>
  <c r="AC1133" i="13176"/>
  <c r="AC1122" i="13176"/>
  <c r="AC1126" i="13176"/>
  <c r="AC1113" i="13176"/>
  <c r="AC1142" i="13176"/>
  <c r="AC1129" i="13176"/>
  <c r="AC1115" i="13176"/>
  <c r="AC1121" i="13176"/>
  <c r="AC1092" i="13176"/>
  <c r="AC1084" i="13176"/>
  <c r="AC1112" i="13176"/>
  <c r="AC1095" i="13176"/>
  <c r="AC1107" i="13176"/>
  <c r="AC1091" i="13176"/>
  <c r="AC1104" i="13176"/>
  <c r="AC1099" i="13176"/>
  <c r="AC1096" i="13176"/>
  <c r="AC1088" i="13176"/>
  <c r="AC1080" i="13176"/>
  <c r="AC1072" i="13176"/>
  <c r="AC1076" i="13176"/>
  <c r="AC1067" i="13176"/>
  <c r="AC1059" i="13176"/>
  <c r="AC1083" i="13176"/>
  <c r="AC1094" i="13176"/>
  <c r="AC1087" i="13176"/>
  <c r="AC1086" i="13176"/>
  <c r="AC1066" i="13176"/>
  <c r="AC1055" i="13176"/>
  <c r="AC1058" i="13176"/>
  <c r="AC1054" i="13176"/>
  <c r="AC1051" i="13176"/>
  <c r="AC1071" i="13176"/>
  <c r="AC1061" i="13176"/>
  <c r="AC1041" i="13176"/>
  <c r="AC1033" i="13176"/>
  <c r="AC1046" i="13176"/>
  <c r="AC1038" i="13176"/>
  <c r="AC1063" i="13176"/>
  <c r="AC1037" i="13176"/>
  <c r="AC1030" i="13176"/>
  <c r="AC1017" i="13176"/>
  <c r="AC1009" i="13176"/>
  <c r="AC1001" i="13176"/>
  <c r="AC1025" i="13176"/>
  <c r="AC1021" i="13176"/>
  <c r="AC1040" i="13176"/>
  <c r="AC1022" i="13176"/>
  <c r="AC1032" i="13176"/>
  <c r="AC1016" i="13176"/>
  <c r="AC1008" i="13176"/>
  <c r="AC1045" i="13176"/>
  <c r="AC1000" i="13176"/>
  <c r="AC1023" i="13176"/>
  <c r="AC1006" i="13176"/>
  <c r="AC1014" i="13176"/>
  <c r="AC990" i="13176"/>
  <c r="AC995" i="13176"/>
  <c r="AC987" i="13176"/>
  <c r="AC984" i="13176"/>
  <c r="AC989" i="13176"/>
  <c r="AC999" i="13176"/>
  <c r="AC998" i="13176"/>
  <c r="AC997" i="13176"/>
  <c r="AC973" i="13176"/>
  <c r="AC978" i="13176"/>
  <c r="AC981" i="13176"/>
  <c r="AC979" i="13176"/>
  <c r="AC963" i="13176"/>
  <c r="AC961" i="13176"/>
  <c r="AC957" i="13176"/>
  <c r="AC952" i="13176"/>
  <c r="AC947" i="13176"/>
  <c r="AC939" i="13176"/>
  <c r="AC931" i="13176"/>
  <c r="AC960" i="13176"/>
  <c r="AC955" i="13176"/>
  <c r="AC944" i="13176"/>
  <c r="AC936" i="13176"/>
  <c r="AC965" i="13176"/>
  <c r="AC950" i="13176"/>
  <c r="AC956" i="13176"/>
  <c r="AC951" i="13176"/>
  <c r="AC946" i="13176"/>
  <c r="AC938" i="13176"/>
  <c r="AC930" i="13176"/>
  <c r="AC922" i="13176"/>
  <c r="AC919" i="13176"/>
  <c r="AC943" i="13176"/>
  <c r="AC914" i="13176"/>
  <c r="AC906" i="13176"/>
  <c r="AC898" i="13176"/>
  <c r="AC890" i="13176"/>
  <c r="AC882" i="13176"/>
  <c r="AC874" i="13176"/>
  <c r="AC908" i="13176"/>
  <c r="AC900" i="13176"/>
  <c r="AC892" i="13176"/>
  <c r="AC884" i="13176"/>
  <c r="AC876" i="13176"/>
  <c r="AC935" i="13176"/>
  <c r="AC933" i="13176"/>
  <c r="AC905" i="13176"/>
  <c r="AC897" i="13176"/>
  <c r="AC889" i="13176"/>
  <c r="AC909" i="13176"/>
  <c r="AC902" i="13176"/>
  <c r="AC894" i="13176"/>
  <c r="AC886" i="13176"/>
  <c r="AC878" i="13176"/>
  <c r="AC881" i="13176"/>
  <c r="AC927" i="13176"/>
  <c r="AC868" i="13176"/>
  <c r="AC864" i="13176"/>
  <c r="AC856" i="13176"/>
  <c r="AC848" i="13176"/>
  <c r="AC840" i="13176"/>
  <c r="AC861" i="13176"/>
  <c r="AC845" i="13176"/>
  <c r="AC837" i="13176"/>
  <c r="AC925" i="13176"/>
  <c r="AC870" i="13176"/>
  <c r="AC867" i="13176"/>
  <c r="AC847" i="13176"/>
  <c r="AC839" i="13176"/>
  <c r="AC852" i="13176"/>
  <c r="AC820" i="13176"/>
  <c r="AC812" i="13176"/>
  <c r="AC804" i="13176"/>
  <c r="AC796" i="13176"/>
  <c r="AC817" i="13176"/>
  <c r="AC809" i="13176"/>
  <c r="AC860" i="13176"/>
  <c r="AC824" i="13176"/>
  <c r="AC803" i="13176"/>
  <c r="AC795" i="13176"/>
  <c r="AC828" i="13176"/>
  <c r="AC827" i="13176"/>
  <c r="AC808" i="13176"/>
  <c r="AC765" i="13176"/>
  <c r="AC757" i="13176"/>
  <c r="AC836" i="13176"/>
  <c r="AC792" i="13176"/>
  <c r="AC816" i="13176"/>
  <c r="AC777" i="13176"/>
  <c r="AC769" i="13176"/>
  <c r="AC761" i="13176"/>
  <c r="AC753" i="13176"/>
  <c r="AC800" i="13176"/>
  <c r="AC784" i="13176"/>
  <c r="AC781" i="13176"/>
  <c r="AC832" i="13176"/>
  <c r="AC787" i="13176"/>
  <c r="AC779" i="13176"/>
  <c r="AC771" i="13176"/>
  <c r="AC763" i="13176"/>
  <c r="AC788" i="13176"/>
  <c r="AC844" i="13176"/>
  <c r="AC776" i="13176"/>
  <c r="AC768" i="13176"/>
  <c r="AC760" i="13176"/>
  <c r="AC752" i="13176"/>
  <c r="AC729" i="13176"/>
  <c r="AC721" i="13176"/>
  <c r="AC713" i="13176"/>
  <c r="AC749" i="13176"/>
  <c r="AC741" i="13176"/>
  <c r="AC734" i="13176"/>
  <c r="AC726" i="13176"/>
  <c r="AC718" i="13176"/>
  <c r="AC710" i="13176"/>
  <c r="AC731" i="13176"/>
  <c r="AC723" i="13176"/>
  <c r="AC715" i="13176"/>
  <c r="AC745" i="13176"/>
  <c r="AC694" i="13176"/>
  <c r="AC691" i="13176"/>
  <c r="AC683" i="13176"/>
  <c r="AC675" i="13176"/>
  <c r="AC667" i="13176"/>
  <c r="AC680" i="13176"/>
  <c r="AC672" i="13176"/>
  <c r="AC685" i="13176"/>
  <c r="AC677" i="13176"/>
  <c r="AC702" i="13176"/>
  <c r="AC687" i="13176"/>
  <c r="AC661" i="13176"/>
  <c r="AC643" i="13176"/>
  <c r="AC635" i="13176"/>
  <c r="AC627" i="13176"/>
  <c r="AC669" i="13176"/>
  <c r="AC663" i="13176"/>
  <c r="AC658" i="13176"/>
  <c r="AC650" i="13176"/>
  <c r="AC642" i="13176"/>
  <c r="AC634" i="13176"/>
  <c r="AC698" i="13176"/>
  <c r="AC664" i="13176"/>
  <c r="AC630" i="13176"/>
  <c r="AC618" i="13176"/>
  <c r="AC654" i="13176"/>
  <c r="AC610" i="13176"/>
  <c r="AC638" i="13176"/>
  <c r="AC624" i="13176"/>
  <c r="AC612" i="13176"/>
  <c r="AC615" i="13176"/>
  <c r="AC600" i="13176"/>
  <c r="AC646" i="13176"/>
  <c r="AC585" i="13176"/>
  <c r="AC626" i="13176"/>
  <c r="AC586" i="13176"/>
  <c r="AC587" i="13176"/>
  <c r="AC589" i="13176"/>
  <c r="AC590" i="13176"/>
  <c r="AC552" i="13176"/>
  <c r="AC548" i="13176"/>
  <c r="AC550" i="13176"/>
  <c r="AC546" i="13176"/>
  <c r="AC596" i="13176"/>
  <c r="AC592" i="13176"/>
  <c r="AC593" i="13176"/>
  <c r="AC532" i="13176"/>
  <c r="AC516" i="13176"/>
  <c r="C476" i="13176"/>
  <c r="V476" i="13176"/>
  <c r="AN476" i="13176"/>
  <c r="C477" i="13176"/>
  <c r="V477" i="13176"/>
  <c r="AN477" i="13176"/>
  <c r="C478" i="13176"/>
  <c r="W478" i="13176"/>
  <c r="AO478" i="13176"/>
  <c r="E480" i="13176"/>
  <c r="X480" i="13176"/>
  <c r="AR480" i="13176"/>
  <c r="G481" i="13176"/>
  <c r="AA481" i="13176"/>
  <c r="AU481" i="13176"/>
  <c r="K482" i="13176"/>
  <c r="AF482" i="13176"/>
  <c r="BA482" i="13176"/>
  <c r="P483" i="13176"/>
  <c r="AJ483" i="13176"/>
  <c r="BD483" i="13176"/>
  <c r="T484" i="13176"/>
  <c r="AN484" i="13176"/>
  <c r="C485" i="13176"/>
  <c r="W485" i="13176"/>
  <c r="AQ485" i="13176"/>
  <c r="H486" i="13176"/>
  <c r="AB486" i="13176"/>
  <c r="AV486" i="13176"/>
  <c r="J487" i="13176"/>
  <c r="AE487" i="13176"/>
  <c r="AZ487" i="13176"/>
  <c r="U489" i="13176"/>
  <c r="E490" i="13176"/>
  <c r="Y490" i="13176"/>
  <c r="AT490" i="13176"/>
  <c r="T492" i="13176"/>
  <c r="H493" i="13176"/>
  <c r="AH493" i="13176"/>
  <c r="X494" i="13176"/>
  <c r="AW494" i="13176"/>
  <c r="F496" i="13176"/>
  <c r="AD496" i="13176"/>
  <c r="AZ496" i="13176"/>
  <c r="U497" i="13176"/>
  <c r="I498" i="13176"/>
  <c r="AI498" i="13176"/>
  <c r="Q1208" i="13176"/>
  <c r="Q1211" i="13176"/>
  <c r="Q1187" i="13176"/>
  <c r="Q1169" i="13176"/>
  <c r="Q1182" i="13176"/>
  <c r="Q1179" i="13176"/>
  <c r="Q1186" i="13176"/>
  <c r="Q1192" i="13176"/>
  <c r="Q1185" i="13176"/>
  <c r="Q1167" i="13176"/>
  <c r="Q1161" i="13176"/>
  <c r="Q1153" i="13176"/>
  <c r="Q1155" i="13176"/>
  <c r="Q1146" i="13176"/>
  <c r="Q1159" i="13176"/>
  <c r="Q1154" i="13176"/>
  <c r="Q1139" i="13176"/>
  <c r="Q1177" i="13176"/>
  <c r="Q1145" i="13176"/>
  <c r="Q1138" i="13176"/>
  <c r="Q1130" i="13176"/>
  <c r="Q1122" i="13176"/>
  <c r="Q1135" i="13176"/>
  <c r="Q1143" i="13176"/>
  <c r="Q1137" i="13176"/>
  <c r="Q1129" i="13176"/>
  <c r="Q1128" i="13176"/>
  <c r="Q1113" i="13176"/>
  <c r="Q1123" i="13176"/>
  <c r="Q1121" i="13176"/>
  <c r="Q1115" i="13176"/>
  <c r="Q1107" i="13176"/>
  <c r="Q1119" i="13176"/>
  <c r="Q1127" i="13176"/>
  <c r="Q1117" i="13176"/>
  <c r="Q1092" i="13176"/>
  <c r="Q1081" i="13176"/>
  <c r="Q1099" i="13176"/>
  <c r="Q1096" i="13176"/>
  <c r="Q1094" i="13176"/>
  <c r="Q1109" i="13176"/>
  <c r="Q1088" i="13176"/>
  <c r="Q1080" i="13176"/>
  <c r="Q1105" i="13176"/>
  <c r="Q1087" i="13176"/>
  <c r="Q1090" i="13176"/>
  <c r="Q1072" i="13176"/>
  <c r="Q1071" i="13176"/>
  <c r="Q1063" i="13176"/>
  <c r="Q1074" i="13176"/>
  <c r="Q1068" i="13176"/>
  <c r="Q1077" i="13176"/>
  <c r="Q1073" i="13176"/>
  <c r="Q1046" i="13176"/>
  <c r="Q1038" i="13176"/>
  <c r="Q1078" i="13176"/>
  <c r="Q1055" i="13176"/>
  <c r="Q1052" i="13176"/>
  <c r="Q1050" i="13176"/>
  <c r="Q1049" i="13176"/>
  <c r="Q1042" i="13176"/>
  <c r="Q1017" i="13176"/>
  <c r="Q1014" i="13176"/>
  <c r="Q1006" i="13176"/>
  <c r="Q1034" i="13176"/>
  <c r="Q1022" i="13176"/>
  <c r="Q1016" i="13176"/>
  <c r="Q1008" i="13176"/>
  <c r="Q1026" i="13176"/>
  <c r="Q1030" i="13176"/>
  <c r="Q1010" i="13176"/>
  <c r="Q1031" i="13176"/>
  <c r="Q990" i="13176"/>
  <c r="Q995" i="13176"/>
  <c r="Q987" i="13176"/>
  <c r="Q992" i="13176"/>
  <c r="Q984" i="13176"/>
  <c r="Q997" i="13176"/>
  <c r="Q989" i="13176"/>
  <c r="Q981" i="13176"/>
  <c r="Q1004" i="13176"/>
  <c r="Q1000" i="13176"/>
  <c r="Q999" i="13176"/>
  <c r="Q1015" i="13176"/>
  <c r="Q1012" i="13176"/>
  <c r="Q985" i="13176"/>
  <c r="Q976" i="13176"/>
  <c r="Q975" i="13176"/>
  <c r="Q993" i="13176"/>
  <c r="Q983" i="13176"/>
  <c r="Q977" i="13176"/>
  <c r="Q973" i="13176"/>
  <c r="Q944" i="13176"/>
  <c r="Q943" i="13176"/>
  <c r="Q952" i="13176"/>
  <c r="Q954" i="13176"/>
  <c r="Q903" i="13176"/>
  <c r="Q895" i="13176"/>
  <c r="Q905" i="13176"/>
  <c r="Q911" i="13176"/>
  <c r="Q902" i="13176"/>
  <c r="Q894" i="13176"/>
  <c r="Q886" i="13176"/>
  <c r="Q878" i="13176"/>
  <c r="Q870" i="13176"/>
  <c r="Q907" i="13176"/>
  <c r="Q864" i="13176"/>
  <c r="Q893" i="13176"/>
  <c r="Q908" i="13176"/>
  <c r="Q877" i="13176"/>
  <c r="Q867" i="13176"/>
  <c r="Q901" i="13176"/>
  <c r="Q865" i="13176"/>
  <c r="Q857" i="13176"/>
  <c r="Q849" i="13176"/>
  <c r="Q885" i="13176"/>
  <c r="Q817" i="13176"/>
  <c r="Q809" i="13176"/>
  <c r="Q819" i="13176"/>
  <c r="Q811" i="13176"/>
  <c r="Q816" i="13176"/>
  <c r="Q808" i="13176"/>
  <c r="Q800" i="13176"/>
  <c r="Q792" i="13176"/>
  <c r="Q784" i="13176"/>
  <c r="Q821" i="13176"/>
  <c r="Q813" i="13176"/>
  <c r="Q805" i="13176"/>
  <c r="Q797" i="13176"/>
  <c r="Q789" i="13176"/>
  <c r="Q787" i="13176"/>
  <c r="Q779" i="13176"/>
  <c r="Q771" i="13176"/>
  <c r="Q763" i="13176"/>
  <c r="Q755" i="13176"/>
  <c r="Q773" i="13176"/>
  <c r="Q765" i="13176"/>
  <c r="Q778" i="13176"/>
  <c r="Q770" i="13176"/>
  <c r="Q762" i="13176"/>
  <c r="Q751" i="13176"/>
  <c r="Q734" i="13176"/>
  <c r="Q726" i="13176"/>
  <c r="Q718" i="13176"/>
  <c r="Q710" i="13176"/>
  <c r="Q731" i="13176"/>
  <c r="Q723" i="13176"/>
  <c r="Q715" i="13176"/>
  <c r="Q767" i="13176"/>
  <c r="Q749" i="13176"/>
  <c r="Q759" i="13176"/>
  <c r="Q757" i="13176"/>
  <c r="Q741" i="13176"/>
  <c r="Q730" i="13176"/>
  <c r="Q722" i="13176"/>
  <c r="Q775" i="13176"/>
  <c r="Q698" i="13176"/>
  <c r="Q691" i="13176"/>
  <c r="Q683" i="13176"/>
  <c r="Q675" i="13176"/>
  <c r="Q688" i="13176"/>
  <c r="Q680" i="13176"/>
  <c r="Q672" i="13176"/>
  <c r="Q732" i="13176"/>
  <c r="Q716" i="13176"/>
  <c r="Q714" i="13176"/>
  <c r="Q708" i="13176"/>
  <c r="Q706" i="13176"/>
  <c r="Q724" i="13176"/>
  <c r="Q686" i="13176"/>
  <c r="Q678" i="13176"/>
  <c r="Q689" i="13176"/>
  <c r="Q665" i="13176"/>
  <c r="Q667" i="13176"/>
  <c r="Q670" i="13176"/>
  <c r="Q662" i="13176"/>
  <c r="Q673" i="13176"/>
  <c r="Q681" i="13176"/>
  <c r="Q612" i="13176"/>
  <c r="Q616" i="13176"/>
  <c r="Q614" i="13176"/>
  <c r="Q611" i="13176"/>
  <c r="Q624" i="13176"/>
  <c r="Q600" i="13176"/>
  <c r="Q608" i="13176"/>
  <c r="Q550" i="13176"/>
  <c r="Q548" i="13176"/>
  <c r="Q584" i="13176"/>
  <c r="Q540" i="13176"/>
  <c r="Q553" i="13176"/>
  <c r="Q532" i="13176"/>
  <c r="Q537" i="13176"/>
  <c r="Q539" i="13176"/>
  <c r="Q547" i="13176"/>
  <c r="Q518" i="13176"/>
  <c r="AG1210" i="13176"/>
  <c r="AG1209" i="13176"/>
  <c r="AG1192" i="13176"/>
  <c r="AG1185" i="13176"/>
  <c r="AG1201" i="13176"/>
  <c r="AG1184" i="13176"/>
  <c r="AG1202" i="13176"/>
  <c r="AG1190" i="13176"/>
  <c r="AG1177" i="13176"/>
  <c r="AG1169" i="13176"/>
  <c r="AG1186" i="13176"/>
  <c r="AG1168" i="13176"/>
  <c r="AG1173" i="13176"/>
  <c r="AG1199" i="13176"/>
  <c r="AG1159" i="13176"/>
  <c r="AG1179" i="13176"/>
  <c r="AG1154" i="13176"/>
  <c r="AG1176" i="13176"/>
  <c r="AG1161" i="13176"/>
  <c r="AG1165" i="13176"/>
  <c r="AG1160" i="13176"/>
  <c r="AG1134" i="13176"/>
  <c r="AG1126" i="13176"/>
  <c r="AG1139" i="13176"/>
  <c r="AG1146" i="13176"/>
  <c r="AG1181" i="13176"/>
  <c r="AG1167" i="13176"/>
  <c r="AG1158" i="13176"/>
  <c r="AG1138" i="13176"/>
  <c r="AG1130" i="13176"/>
  <c r="AG1170" i="13176"/>
  <c r="AG1155" i="13176"/>
  <c r="AG1145" i="13176"/>
  <c r="AG1153" i="13176"/>
  <c r="AG1122" i="13176"/>
  <c r="AG1116" i="13176"/>
  <c r="AG1108" i="13176"/>
  <c r="AG1120" i="13176"/>
  <c r="AG1113" i="13176"/>
  <c r="AG1147" i="13176"/>
  <c r="AG1127" i="13176"/>
  <c r="AG1131" i="13176"/>
  <c r="AG1115" i="13176"/>
  <c r="AG1107" i="13176"/>
  <c r="AG1112" i="13176"/>
  <c r="AG1123" i="13176"/>
  <c r="AG1118" i="13176"/>
  <c r="AG1135" i="13176"/>
  <c r="AG1109" i="13176"/>
  <c r="AG1105" i="13176"/>
  <c r="AG1095" i="13176"/>
  <c r="AG1128" i="13176"/>
  <c r="AG1117" i="13176"/>
  <c r="AG1114" i="13176"/>
  <c r="AG1099" i="13176"/>
  <c r="AG1096" i="13176"/>
  <c r="AG1100" i="13176"/>
  <c r="AG1080" i="13176"/>
  <c r="AG1067" i="13176"/>
  <c r="AG1074" i="13176"/>
  <c r="AG1073" i="13176"/>
  <c r="AG1089" i="13176"/>
  <c r="AG1104" i="13176"/>
  <c r="AG1088" i="13176"/>
  <c r="AG1081" i="13176"/>
  <c r="AG1071" i="13176"/>
  <c r="AG1063" i="13176"/>
  <c r="AG1072" i="13176"/>
  <c r="AG1085" i="13176"/>
  <c r="AG1051" i="13176"/>
  <c r="AG1041" i="13176"/>
  <c r="AG1033" i="13176"/>
  <c r="AG1059" i="13176"/>
  <c r="AG1046" i="13176"/>
  <c r="AG1056" i="13176"/>
  <c r="AG1055" i="13176"/>
  <c r="AG1048" i="13176"/>
  <c r="AG1068" i="13176"/>
  <c r="AG1052" i="13176"/>
  <c r="AG1034" i="13176"/>
  <c r="AG1038" i="13176"/>
  <c r="AG1017" i="13176"/>
  <c r="AG1009" i="13176"/>
  <c r="AG1001" i="13176"/>
  <c r="AG1047" i="13176"/>
  <c r="AG1030" i="13176"/>
  <c r="AG1050" i="13176"/>
  <c r="AG1042" i="13176"/>
  <c r="AG1025" i="13176"/>
  <c r="AG1014" i="13176"/>
  <c r="AG1027" i="13176"/>
  <c r="AG1022" i="13176"/>
  <c r="AG1049" i="13176"/>
  <c r="AG1010" i="13176"/>
  <c r="AG1023" i="13176"/>
  <c r="AG1006" i="13176"/>
  <c r="AG990" i="13176"/>
  <c r="AG982" i="13176"/>
  <c r="AG1026" i="13176"/>
  <c r="AG995" i="13176"/>
  <c r="AG987" i="13176"/>
  <c r="AG979" i="13176"/>
  <c r="AG989" i="13176"/>
  <c r="AG998" i="13176"/>
  <c r="AG997" i="13176"/>
  <c r="AG1008" i="13176"/>
  <c r="AG1016" i="13176"/>
  <c r="AG1000" i="13176"/>
  <c r="AG991" i="13176"/>
  <c r="AG983" i="13176"/>
  <c r="AG1007" i="13176"/>
  <c r="AG973" i="13176"/>
  <c r="AG974" i="13176"/>
  <c r="AG981" i="13176"/>
  <c r="AG965" i="13176"/>
  <c r="AG963" i="13176"/>
  <c r="AG957" i="13176"/>
  <c r="AG947" i="13176"/>
  <c r="AG939" i="13176"/>
  <c r="AG931" i="13176"/>
  <c r="AG923" i="13176"/>
  <c r="AG944" i="13176"/>
  <c r="AG936" i="13176"/>
  <c r="AG928" i="13176"/>
  <c r="AG955" i="13176"/>
  <c r="AG967" i="13176"/>
  <c r="AG950" i="13176"/>
  <c r="AG938" i="13176"/>
  <c r="AG930" i="13176"/>
  <c r="AG922" i="13176"/>
  <c r="AG951" i="13176"/>
  <c r="AG943" i="13176"/>
  <c r="AG962" i="13176"/>
  <c r="AG920" i="13176"/>
  <c r="AG961" i="13176"/>
  <c r="AG900" i="13176"/>
  <c r="AG892" i="13176"/>
  <c r="AG884" i="13176"/>
  <c r="AG876" i="13176"/>
  <c r="AG945" i="13176"/>
  <c r="AG937" i="13176"/>
  <c r="AG915" i="13176"/>
  <c r="AG959" i="13176"/>
  <c r="AG935" i="13176"/>
  <c r="AG909" i="13176"/>
  <c r="AG902" i="13176"/>
  <c r="AG894" i="13176"/>
  <c r="AG886" i="13176"/>
  <c r="AG878" i="13176"/>
  <c r="AG899" i="13176"/>
  <c r="AG891" i="13176"/>
  <c r="AG883" i="13176"/>
  <c r="AG929" i="13176"/>
  <c r="AG907" i="13176"/>
  <c r="AG927" i="13176"/>
  <c r="AG911" i="13176"/>
  <c r="AG864" i="13176"/>
  <c r="AG856" i="13176"/>
  <c r="AG848" i="13176"/>
  <c r="AG840" i="13176"/>
  <c r="AG832" i="13176"/>
  <c r="AG875" i="13176"/>
  <c r="AG868" i="13176"/>
  <c r="AG861" i="13176"/>
  <c r="AG853" i="13176"/>
  <c r="AG845" i="13176"/>
  <c r="AG837" i="13176"/>
  <c r="AG858" i="13176"/>
  <c r="AG850" i="13176"/>
  <c r="AG870" i="13176"/>
  <c r="AG866" i="13176"/>
  <c r="AG867" i="13176"/>
  <c r="AG914" i="13176"/>
  <c r="AG919" i="13176"/>
  <c r="AG860" i="13176"/>
  <c r="AG865" i="13176"/>
  <c r="AG857" i="13176"/>
  <c r="AG849" i="13176"/>
  <c r="AG841" i="13176"/>
  <c r="AG862" i="13176"/>
  <c r="AG846" i="13176"/>
  <c r="AG817" i="13176"/>
  <c r="AG809" i="13176"/>
  <c r="AG801" i="13176"/>
  <c r="AG793" i="13176"/>
  <c r="AG833" i="13176"/>
  <c r="AG814" i="13176"/>
  <c r="AG806" i="13176"/>
  <c r="AG830" i="13176"/>
  <c r="AG854" i="13176"/>
  <c r="AG824" i="13176"/>
  <c r="AG816" i="13176"/>
  <c r="AG808" i="13176"/>
  <c r="AG800" i="13176"/>
  <c r="AG792" i="13176"/>
  <c r="AG821" i="13176"/>
  <c r="AG813" i="13176"/>
  <c r="AG805" i="13176"/>
  <c r="AG797" i="13176"/>
  <c r="AG838" i="13176"/>
  <c r="AG767" i="13176"/>
  <c r="AG759" i="13176"/>
  <c r="AG826" i="13176"/>
  <c r="AG777" i="13176"/>
  <c r="AG769" i="13176"/>
  <c r="AG761" i="13176"/>
  <c r="AG753" i="13176"/>
  <c r="AG745" i="13176"/>
  <c r="AG810" i="13176"/>
  <c r="AG784" i="13176"/>
  <c r="AG758" i="13176"/>
  <c r="AG750" i="13176"/>
  <c r="AG779" i="13176"/>
  <c r="AG771" i="13176"/>
  <c r="AG763" i="13176"/>
  <c r="AG755" i="13176"/>
  <c r="AG747" i="13176"/>
  <c r="AG794" i="13176"/>
  <c r="AG785" i="13176"/>
  <c r="AG818" i="13176"/>
  <c r="AG773" i="13176"/>
  <c r="AG765" i="13176"/>
  <c r="AG757" i="13176"/>
  <c r="AG749" i="13176"/>
  <c r="AG789" i="13176"/>
  <c r="AG778" i="13176"/>
  <c r="AG770" i="13176"/>
  <c r="AG762" i="13176"/>
  <c r="AG754" i="13176"/>
  <c r="AG802" i="13176"/>
  <c r="AG742" i="13176"/>
  <c r="AG741" i="13176"/>
  <c r="AG726" i="13176"/>
  <c r="AG718" i="13176"/>
  <c r="AG710" i="13176"/>
  <c r="AG702" i="13176"/>
  <c r="AG731" i="13176"/>
  <c r="AG723" i="13176"/>
  <c r="AG715" i="13176"/>
  <c r="AG707" i="13176"/>
  <c r="AG728" i="13176"/>
  <c r="AG720" i="13176"/>
  <c r="AG712" i="13176"/>
  <c r="AG746" i="13176"/>
  <c r="AG730" i="13176"/>
  <c r="AG722" i="13176"/>
  <c r="AG714" i="13176"/>
  <c r="AG706" i="13176"/>
  <c r="AG711" i="13176"/>
  <c r="AG703" i="13176"/>
  <c r="AG699" i="13176"/>
  <c r="AG692" i="13176"/>
  <c r="AG704" i="13176"/>
  <c r="AG685" i="13176"/>
  <c r="AG677" i="13176"/>
  <c r="AG669" i="13176"/>
  <c r="AG737" i="13176"/>
  <c r="AG700" i="13176"/>
  <c r="AG698" i="13176"/>
  <c r="AG687" i="13176"/>
  <c r="AG679" i="13176"/>
  <c r="AG751" i="13176"/>
  <c r="AG689" i="13176"/>
  <c r="AG681" i="13176"/>
  <c r="AG673" i="13176"/>
  <c r="AG665" i="13176"/>
  <c r="AG655" i="13176"/>
  <c r="AG647" i="13176"/>
  <c r="AG639" i="13176"/>
  <c r="AG631" i="13176"/>
  <c r="AG671" i="13176"/>
  <c r="AG652" i="13176"/>
  <c r="AG644" i="13176"/>
  <c r="AG636" i="13176"/>
  <c r="AG654" i="13176"/>
  <c r="AG651" i="13176"/>
  <c r="AG643" i="13176"/>
  <c r="AG635" i="13176"/>
  <c r="AG661" i="13176"/>
  <c r="AG648" i="13176"/>
  <c r="AG610" i="13176"/>
  <c r="AG624" i="13176"/>
  <c r="AG621" i="13176"/>
  <c r="AG612" i="13176"/>
  <c r="AG632" i="13176"/>
  <c r="AG656" i="13176"/>
  <c r="AG627" i="13176"/>
  <c r="AG614" i="13176"/>
  <c r="AG619" i="13176"/>
  <c r="AG640" i="13176"/>
  <c r="AG628" i="13176"/>
  <c r="AG602" i="13176"/>
  <c r="AG600" i="13176"/>
  <c r="AG585" i="13176"/>
  <c r="AG601" i="13176"/>
  <c r="AG546" i="13176"/>
  <c r="AG553" i="13176"/>
  <c r="AG596" i="13176"/>
  <c r="AG526" i="13176"/>
  <c r="AG516" i="13176"/>
  <c r="AG548" i="13176"/>
  <c r="AG552" i="13176"/>
  <c r="AG595" i="13176"/>
  <c r="AG540" i="13176"/>
  <c r="AG532" i="13176"/>
  <c r="AG556" i="13176"/>
  <c r="AG550" i="13176"/>
  <c r="AG543" i="13176"/>
  <c r="AW1211" i="13176"/>
  <c r="AW1185" i="13176"/>
  <c r="AW1214" i="13176"/>
  <c r="AW1184" i="13176"/>
  <c r="AW1189" i="13176"/>
  <c r="AW1176" i="13176"/>
  <c r="AW1177" i="13176"/>
  <c r="AW1206" i="13176"/>
  <c r="AW1154" i="13176"/>
  <c r="AW1153" i="13176"/>
  <c r="AW1170" i="13176"/>
  <c r="AW1167" i="13176"/>
  <c r="AW1145" i="13176"/>
  <c r="AW1134" i="13176"/>
  <c r="AW1126" i="13176"/>
  <c r="AW1147" i="13176"/>
  <c r="AW1139" i="13176"/>
  <c r="AW1131" i="13176"/>
  <c r="AW1146" i="13176"/>
  <c r="AW1141" i="13176"/>
  <c r="AW1138" i="13176"/>
  <c r="AW1130" i="13176"/>
  <c r="AW1135" i="13176"/>
  <c r="AW1162" i="13176"/>
  <c r="AW1123" i="13176"/>
  <c r="AW1119" i="13176"/>
  <c r="AW1116" i="13176"/>
  <c r="AW1140" i="13176"/>
  <c r="AW1122" i="13176"/>
  <c r="AW1113" i="13176"/>
  <c r="AW1115" i="13176"/>
  <c r="AW1107" i="13176"/>
  <c r="AW1142" i="13176"/>
  <c r="AW1132" i="13176"/>
  <c r="AW1112" i="13176"/>
  <c r="AW1124" i="13176"/>
  <c r="AW1108" i="13176"/>
  <c r="AW1118" i="13176"/>
  <c r="AW1100" i="13176"/>
  <c r="AW1092" i="13176"/>
  <c r="AW1084" i="13176"/>
  <c r="AW1076" i="13176"/>
  <c r="AW1104" i="13176"/>
  <c r="AW1127" i="13176"/>
  <c r="AW1088" i="13176"/>
  <c r="AW1096" i="13176"/>
  <c r="AW1099" i="13176"/>
  <c r="AW1072" i="13176"/>
  <c r="AW1089" i="13176"/>
  <c r="AW1090" i="13176"/>
  <c r="AW1081" i="13176"/>
  <c r="AW1067" i="13176"/>
  <c r="AW1059" i="13176"/>
  <c r="AW1073" i="13176"/>
  <c r="AW1080" i="13176"/>
  <c r="AW1074" i="13176"/>
  <c r="AW1077" i="13176"/>
  <c r="AW1055" i="13176"/>
  <c r="AW1052" i="13176"/>
  <c r="AW1041" i="13176"/>
  <c r="AW1051" i="13176"/>
  <c r="AW1063" i="13176"/>
  <c r="AW1045" i="13176"/>
  <c r="AW1042" i="13176"/>
  <c r="AW1034" i="13176"/>
  <c r="AW1009" i="13176"/>
  <c r="AW1017" i="13176"/>
  <c r="AW1014" i="13176"/>
  <c r="AW1006" i="13176"/>
  <c r="AW1021" i="13176"/>
  <c r="AW1025" i="13176"/>
  <c r="AW1016" i="13176"/>
  <c r="AW1008" i="13176"/>
  <c r="AW1037" i="13176"/>
  <c r="AW1033" i="13176"/>
  <c r="AW1000" i="13176"/>
  <c r="AW990" i="13176"/>
  <c r="AW982" i="13176"/>
  <c r="AW1001" i="13176"/>
  <c r="AW995" i="13176"/>
  <c r="AW987" i="13176"/>
  <c r="AW1015" i="13176"/>
  <c r="AW992" i="13176"/>
  <c r="AW984" i="13176"/>
  <c r="AW989" i="13176"/>
  <c r="AW981" i="13176"/>
  <c r="AW998" i="13176"/>
  <c r="AW997" i="13176"/>
  <c r="AW991" i="13176"/>
  <c r="AW983" i="13176"/>
  <c r="AW999" i="13176"/>
  <c r="AW1010" i="13176"/>
  <c r="AW988" i="13176"/>
  <c r="AW979" i="13176"/>
  <c r="AW996" i="13176"/>
  <c r="AW974" i="13176"/>
  <c r="AW978" i="13176"/>
  <c r="AW947" i="13176"/>
  <c r="AW939" i="13176"/>
  <c r="AW931" i="13176"/>
  <c r="AW952" i="13176"/>
  <c r="AW946" i="13176"/>
  <c r="AW938" i="13176"/>
  <c r="AW930" i="13176"/>
  <c r="AW943" i="13176"/>
  <c r="AW906" i="13176"/>
  <c r="AW898" i="13176"/>
  <c r="AW900" i="13176"/>
  <c r="AW892" i="13176"/>
  <c r="AW884" i="13176"/>
  <c r="AW876" i="13176"/>
  <c r="AW908" i="13176"/>
  <c r="AW902" i="13176"/>
  <c r="AW894" i="13176"/>
  <c r="AW886" i="13176"/>
  <c r="AW878" i="13176"/>
  <c r="AW870" i="13176"/>
  <c r="AW899" i="13176"/>
  <c r="AW891" i="13176"/>
  <c r="AW883" i="13176"/>
  <c r="AW896" i="13176"/>
  <c r="AW864" i="13176"/>
  <c r="AW904" i="13176"/>
  <c r="AW858" i="13176"/>
  <c r="AW888" i="13176"/>
  <c r="AW872" i="13176"/>
  <c r="AW860" i="13176"/>
  <c r="AW852" i="13176"/>
  <c r="AW867" i="13176"/>
  <c r="AW865" i="13176"/>
  <c r="AW857" i="13176"/>
  <c r="AW849" i="13176"/>
  <c r="AW868" i="13176"/>
  <c r="AW833" i="13176"/>
  <c r="AW820" i="13176"/>
  <c r="AW814" i="13176"/>
  <c r="AW806" i="13176"/>
  <c r="AW825" i="13176"/>
  <c r="AW816" i="13176"/>
  <c r="AW808" i="13176"/>
  <c r="AW800" i="13176"/>
  <c r="AW792" i="13176"/>
  <c r="AW821" i="13176"/>
  <c r="AW813" i="13176"/>
  <c r="AW805" i="13176"/>
  <c r="AW797" i="13176"/>
  <c r="AW789" i="13176"/>
  <c r="AW777" i="13176"/>
  <c r="AW769" i="13176"/>
  <c r="AW761" i="13176"/>
  <c r="AW774" i="13176"/>
  <c r="AW766" i="13176"/>
  <c r="AW758" i="13176"/>
  <c r="AW750" i="13176"/>
  <c r="AW779" i="13176"/>
  <c r="AW776" i="13176"/>
  <c r="AW768" i="13176"/>
  <c r="AW773" i="13176"/>
  <c r="AW765" i="13176"/>
  <c r="AW757" i="13176"/>
  <c r="AW749" i="13176"/>
  <c r="AW784" i="13176"/>
  <c r="AW754" i="13176"/>
  <c r="AW752" i="13176"/>
  <c r="AW770" i="13176"/>
  <c r="AW734" i="13176"/>
  <c r="AW726" i="13176"/>
  <c r="AW718" i="13176"/>
  <c r="AW710" i="13176"/>
  <c r="AW731" i="13176"/>
  <c r="AW746" i="13176"/>
  <c r="AW778" i="13176"/>
  <c r="AW742" i="13176"/>
  <c r="AW741" i="13176"/>
  <c r="AW717" i="13176"/>
  <c r="AW730" i="13176"/>
  <c r="AW762" i="13176"/>
  <c r="AW760" i="13176"/>
  <c r="AW711" i="13176"/>
  <c r="AW709" i="13176"/>
  <c r="AW686" i="13176"/>
  <c r="AW678" i="13176"/>
  <c r="AW735" i="13176"/>
  <c r="AW683" i="13176"/>
  <c r="AW675" i="13176"/>
  <c r="AW688" i="13176"/>
  <c r="AW719" i="13176"/>
  <c r="AW685" i="13176"/>
  <c r="AW677" i="13176"/>
  <c r="AW669" i="13176"/>
  <c r="AW695" i="13176"/>
  <c r="AW687" i="13176"/>
  <c r="AW703" i="13176"/>
  <c r="AW689" i="13176"/>
  <c r="AW681" i="13176"/>
  <c r="AW727" i="13176"/>
  <c r="AW670" i="13176"/>
  <c r="AW661" i="13176"/>
  <c r="AW673" i="13176"/>
  <c r="AW676" i="13176"/>
  <c r="AW684" i="13176"/>
  <c r="AW665" i="13176"/>
  <c r="AW651" i="13176"/>
  <c r="AW643" i="13176"/>
  <c r="AW635" i="13176"/>
  <c r="AW627" i="13176"/>
  <c r="AW619" i="13176"/>
  <c r="AW610" i="13176"/>
  <c r="AW614" i="13176"/>
  <c r="AW603" i="13176"/>
  <c r="AW611" i="13176"/>
  <c r="AW548" i="13176"/>
  <c r="AW550" i="13176"/>
  <c r="AW587" i="13176"/>
  <c r="AW552" i="13176"/>
  <c r="AW547" i="13176"/>
  <c r="AW527" i="13176"/>
  <c r="AW518" i="13176"/>
  <c r="AW516" i="13176"/>
  <c r="AW526" i="13176"/>
  <c r="AW535" i="13176"/>
  <c r="G476" i="13176"/>
  <c r="Z476" i="13176"/>
  <c r="AR476" i="13176"/>
  <c r="G477" i="13176"/>
  <c r="Z477" i="13176"/>
  <c r="AT477" i="13176"/>
  <c r="H478" i="13176"/>
  <c r="AA478" i="13176"/>
  <c r="AU478" i="13176"/>
  <c r="J480" i="13176"/>
  <c r="AC480" i="13176"/>
  <c r="K481" i="13176"/>
  <c r="AF481" i="13176"/>
  <c r="AZ481" i="13176"/>
  <c r="Q482" i="13176"/>
  <c r="AK482" i="13176"/>
  <c r="U483" i="13176"/>
  <c r="E484" i="13176"/>
  <c r="Y484" i="13176"/>
  <c r="AT484" i="13176"/>
  <c r="H485" i="13176"/>
  <c r="AC485" i="13176"/>
  <c r="AW485" i="13176"/>
  <c r="L486" i="13176"/>
  <c r="AF486" i="13176"/>
  <c r="BA486" i="13176"/>
  <c r="P487" i="13176"/>
  <c r="AK487" i="13176"/>
  <c r="U488" i="13176"/>
  <c r="E489" i="13176"/>
  <c r="Z489" i="13176"/>
  <c r="J490" i="13176"/>
  <c r="AE490" i="13176"/>
  <c r="AY490" i="13176"/>
  <c r="M491" i="13176"/>
  <c r="BA497" i="13176"/>
  <c r="AJ497" i="13176"/>
  <c r="T497" i="13176"/>
  <c r="C497" i="13176"/>
  <c r="AO497" i="13176"/>
  <c r="X497" i="13176"/>
  <c r="F497" i="13176"/>
  <c r="BC497" i="13176"/>
  <c r="AK497" i="13176"/>
  <c r="S497" i="13176"/>
  <c r="BB497" i="13176"/>
  <c r="AI497" i="13176"/>
  <c r="Q497" i="13176"/>
  <c r="AY497" i="13176"/>
  <c r="AG497" i="13176"/>
  <c r="O497" i="13176"/>
  <c r="Z497" i="13176"/>
  <c r="AV497" i="13176"/>
  <c r="Q498" i="13176"/>
  <c r="AN498" i="13176"/>
  <c r="F499" i="13176"/>
  <c r="AF499" i="13176"/>
  <c r="BC499" i="13176"/>
  <c r="M501" i="13176"/>
  <c r="AJ501" i="13176"/>
  <c r="AE502" i="13176"/>
  <c r="BB502" i="13176"/>
  <c r="BB503" i="13176"/>
  <c r="X504" i="13176"/>
  <c r="BA504" i="13176"/>
  <c r="Z505" i="13176"/>
  <c r="AC506" i="13176"/>
  <c r="AK508" i="13176"/>
  <c r="Q509" i="13176"/>
  <c r="AZ509" i="13176"/>
  <c r="AF510" i="13176"/>
  <c r="M511" i="13176"/>
  <c r="AZ511" i="13176"/>
  <c r="AH512" i="13176"/>
  <c r="O513" i="13176"/>
  <c r="BB513" i="13176"/>
  <c r="AI514" i="13176"/>
  <c r="P515" i="13176"/>
  <c r="AK517" i="13176"/>
  <c r="AN519" i="13176"/>
  <c r="AK520" i="13176"/>
  <c r="AC521" i="13176"/>
  <c r="AL522" i="13176"/>
  <c r="BA523" i="13176"/>
  <c r="AZ525" i="13176"/>
  <c r="AC527" i="13176"/>
  <c r="BB528" i="13176"/>
  <c r="AD530" i="13176"/>
  <c r="AL539" i="13176"/>
  <c r="BB544" i="13176"/>
  <c r="AP480" i="13176"/>
  <c r="Z480" i="13176"/>
  <c r="I480" i="13176"/>
  <c r="AM480" i="13176"/>
  <c r="V480" i="13176"/>
  <c r="D480" i="13176"/>
  <c r="AZ480" i="13176"/>
  <c r="AH480" i="13176"/>
  <c r="U480" i="13176"/>
  <c r="AO480" i="13176"/>
  <c r="E481" i="13176"/>
  <c r="Y481" i="13176"/>
  <c r="AR481" i="13176"/>
  <c r="H482" i="13176"/>
  <c r="AC482" i="13176"/>
  <c r="AX482" i="13176"/>
  <c r="AK484" i="13176"/>
  <c r="U485" i="13176"/>
  <c r="H487" i="13176"/>
  <c r="AB487" i="13176"/>
  <c r="AX487" i="13176"/>
  <c r="AP490" i="13176"/>
  <c r="U494" i="13176"/>
  <c r="AN483" i="13176"/>
  <c r="X483" i="13176"/>
  <c r="G483" i="13176"/>
  <c r="AW483" i="13176"/>
  <c r="AE483" i="13176"/>
  <c r="M483" i="13176"/>
  <c r="AQ483" i="13176"/>
  <c r="Z483" i="13176"/>
  <c r="H483" i="13176"/>
  <c r="V483" i="13176"/>
  <c r="AP483" i="13176"/>
  <c r="F484" i="13176"/>
  <c r="Z484" i="13176"/>
  <c r="AU484" i="13176"/>
  <c r="I485" i="13176"/>
  <c r="AD485" i="13176"/>
  <c r="AX485" i="13176"/>
  <c r="M486" i="13176"/>
  <c r="AH486" i="13176"/>
  <c r="BB486" i="13176"/>
  <c r="Q487" i="13176"/>
  <c r="AL487" i="13176"/>
  <c r="AN507" i="13176"/>
  <c r="X507" i="13176"/>
  <c r="G507" i="13176"/>
  <c r="AR507" i="13176"/>
  <c r="AB507" i="13176"/>
  <c r="K507" i="13176"/>
  <c r="AZ507" i="13176"/>
  <c r="AG507" i="13176"/>
  <c r="N507" i="13176"/>
  <c r="AV507" i="13176"/>
  <c r="AC507" i="13176"/>
  <c r="I507" i="13176"/>
  <c r="AU507" i="13176"/>
  <c r="AA507" i="13176"/>
  <c r="H507" i="13176"/>
  <c r="AQ507" i="13176"/>
  <c r="Y507" i="13176"/>
  <c r="E507" i="13176"/>
  <c r="AP507" i="13176"/>
  <c r="W507" i="13176"/>
  <c r="D507" i="13176"/>
  <c r="AO507" i="13176"/>
  <c r="V507" i="13176"/>
  <c r="C507" i="13176"/>
  <c r="AI507" i="13176"/>
  <c r="J508" i="13176"/>
  <c r="S509" i="13176"/>
  <c r="BB509" i="13176"/>
  <c r="AG510" i="13176"/>
  <c r="N511" i="13176"/>
  <c r="BB511" i="13176"/>
  <c r="AI512" i="13176"/>
  <c r="P513" i="13176"/>
  <c r="BC513" i="13176"/>
  <c r="AJ514" i="13176"/>
  <c r="Q515" i="13176"/>
  <c r="AL518" i="13176"/>
  <c r="AR519" i="13176"/>
  <c r="AE521" i="13176"/>
  <c r="F525" i="13176"/>
  <c r="L526" i="13176"/>
  <c r="AE527" i="13176"/>
  <c r="AG530" i="13176"/>
  <c r="M532" i="13176"/>
  <c r="AH534" i="13176"/>
  <c r="AJ536" i="13176"/>
  <c r="AK539" i="13176"/>
  <c r="U544" i="13176"/>
  <c r="N584" i="13176"/>
  <c r="AY492" i="13176"/>
  <c r="AH492" i="13176"/>
  <c r="Q492" i="13176"/>
  <c r="BD492" i="13176"/>
  <c r="AL492" i="13176"/>
  <c r="U492" i="13176"/>
  <c r="C492" i="13176"/>
  <c r="AZ492" i="13176"/>
  <c r="AG492" i="13176"/>
  <c r="O492" i="13176"/>
  <c r="AX492" i="13176"/>
  <c r="AF492" i="13176"/>
  <c r="N492" i="13176"/>
  <c r="AV492" i="13176"/>
  <c r="AD492" i="13176"/>
  <c r="L492" i="13176"/>
  <c r="Y492" i="13176"/>
  <c r="AU492" i="13176"/>
  <c r="P493" i="13176"/>
  <c r="AM493" i="13176"/>
  <c r="F494" i="13176"/>
  <c r="AE494" i="13176"/>
  <c r="BB494" i="13176"/>
  <c r="L496" i="13176"/>
  <c r="AH496" i="13176"/>
  <c r="AH1211" i="13176"/>
  <c r="AH1187" i="13176"/>
  <c r="AH1208" i="13176"/>
  <c r="AH1169" i="13176"/>
  <c r="AH1185" i="13176"/>
  <c r="AH1186" i="13176"/>
  <c r="AH1190" i="13176"/>
  <c r="AH1182" i="13176"/>
  <c r="AH1179" i="13176"/>
  <c r="AH1195" i="13176"/>
  <c r="AH1153" i="13176"/>
  <c r="AH1161" i="13176"/>
  <c r="AH1181" i="13176"/>
  <c r="AH1177" i="13176"/>
  <c r="AH1155" i="13176"/>
  <c r="AH1167" i="13176"/>
  <c r="AH1139" i="13176"/>
  <c r="AH1146" i="13176"/>
  <c r="AH1138" i="13176"/>
  <c r="AH1130" i="13176"/>
  <c r="AH1122" i="13176"/>
  <c r="AH1135" i="13176"/>
  <c r="AH1145" i="13176"/>
  <c r="AH1154" i="13176"/>
  <c r="AH1147" i="13176"/>
  <c r="AH1113" i="13176"/>
  <c r="AH1127" i="13176"/>
  <c r="AH1115" i="13176"/>
  <c r="AH1107" i="13176"/>
  <c r="AH1129" i="13176"/>
  <c r="AH1123" i="13176"/>
  <c r="AH1121" i="13176"/>
  <c r="AH1137" i="13176"/>
  <c r="AH1128" i="13176"/>
  <c r="AH1092" i="13176"/>
  <c r="AH1109" i="13176"/>
  <c r="AH1105" i="13176"/>
  <c r="AH1094" i="13176"/>
  <c r="AH1099" i="13176"/>
  <c r="AH1096" i="13176"/>
  <c r="AH1088" i="13176"/>
  <c r="AH1080" i="13176"/>
  <c r="AH1090" i="13176"/>
  <c r="AH1119" i="13176"/>
  <c r="AH1073" i="13176"/>
  <c r="AH1077" i="13176"/>
  <c r="AH1071" i="13176"/>
  <c r="AH1063" i="13176"/>
  <c r="AH1087" i="13176"/>
  <c r="AH1072" i="13176"/>
  <c r="AH1068" i="13176"/>
  <c r="AH1086" i="13176"/>
  <c r="AH1079" i="13176"/>
  <c r="AH1046" i="13176"/>
  <c r="AH1038" i="13176"/>
  <c r="AH1055" i="13176"/>
  <c r="AH1048" i="13176"/>
  <c r="AH1042" i="13176"/>
  <c r="AH1052" i="13176"/>
  <c r="AH1050" i="13176"/>
  <c r="AH1049" i="13176"/>
  <c r="AH1017" i="13176"/>
  <c r="AH1030" i="13176"/>
  <c r="AH1014" i="13176"/>
  <c r="AH1006" i="13176"/>
  <c r="AH1031" i="13176"/>
  <c r="AH1022" i="13176"/>
  <c r="AH1016" i="13176"/>
  <c r="AH1008" i="13176"/>
  <c r="AH1010" i="13176"/>
  <c r="AH1023" i="13176"/>
  <c r="AH1026" i="13176"/>
  <c r="AH990" i="13176"/>
  <c r="AH995" i="13176"/>
  <c r="AH987" i="13176"/>
  <c r="AH1034" i="13176"/>
  <c r="AH992" i="13176"/>
  <c r="AH984" i="13176"/>
  <c r="AH989" i="13176"/>
  <c r="AH981" i="13176"/>
  <c r="AH1015" i="13176"/>
  <c r="AH998" i="13176"/>
  <c r="AH997" i="13176"/>
  <c r="AH1012" i="13176"/>
  <c r="AH1000" i="13176"/>
  <c r="AH1024" i="13176"/>
  <c r="AH1007" i="13176"/>
  <c r="AH973" i="13176"/>
  <c r="AH985" i="13176"/>
  <c r="AH1004" i="13176"/>
  <c r="AH983" i="13176"/>
  <c r="AH1003" i="13176"/>
  <c r="AH993" i="13176"/>
  <c r="AH976" i="13176"/>
  <c r="AH975" i="13176"/>
  <c r="AH944" i="13176"/>
  <c r="AH950" i="13176"/>
  <c r="AH952" i="13176"/>
  <c r="AH903" i="13176"/>
  <c r="AH895" i="13176"/>
  <c r="AH902" i="13176"/>
  <c r="AH894" i="13176"/>
  <c r="AH886" i="13176"/>
  <c r="AH878" i="13176"/>
  <c r="AH870" i="13176"/>
  <c r="AH907" i="13176"/>
  <c r="AH911" i="13176"/>
  <c r="AH893" i="13176"/>
  <c r="AH864" i="13176"/>
  <c r="AH877" i="13176"/>
  <c r="AH866" i="13176"/>
  <c r="AH901" i="13176"/>
  <c r="AH867" i="13176"/>
  <c r="AH885" i="13176"/>
  <c r="AH865" i="13176"/>
  <c r="AH857" i="13176"/>
  <c r="AH817" i="13176"/>
  <c r="AH872" i="13176"/>
  <c r="AH830" i="13176"/>
  <c r="AH819" i="13176"/>
  <c r="AH811" i="13176"/>
  <c r="AH816" i="13176"/>
  <c r="AH808" i="13176"/>
  <c r="AH800" i="13176"/>
  <c r="AH792" i="13176"/>
  <c r="AH821" i="13176"/>
  <c r="AH813" i="13176"/>
  <c r="AH805" i="13176"/>
  <c r="AH797" i="13176"/>
  <c r="AH789" i="13176"/>
  <c r="AH779" i="13176"/>
  <c r="AH771" i="13176"/>
  <c r="AH763" i="13176"/>
  <c r="AH755" i="13176"/>
  <c r="AH773" i="13176"/>
  <c r="AH765" i="13176"/>
  <c r="AH778" i="13176"/>
  <c r="AH770" i="13176"/>
  <c r="AH762" i="13176"/>
  <c r="AH741" i="13176"/>
  <c r="AH734" i="13176"/>
  <c r="AH726" i="13176"/>
  <c r="AH718" i="13176"/>
  <c r="AH710" i="13176"/>
  <c r="AH767" i="13176"/>
  <c r="AH749" i="13176"/>
  <c r="AH731" i="13176"/>
  <c r="AH723" i="13176"/>
  <c r="AH739" i="13176"/>
  <c r="AH743" i="13176"/>
  <c r="AH736" i="13176"/>
  <c r="AH759" i="13176"/>
  <c r="AH757" i="13176"/>
  <c r="AH775" i="13176"/>
  <c r="AH730" i="13176"/>
  <c r="AH722" i="13176"/>
  <c r="AH751" i="13176"/>
  <c r="AH691" i="13176"/>
  <c r="AH683" i="13176"/>
  <c r="AH675" i="13176"/>
  <c r="AH688" i="13176"/>
  <c r="AH680" i="13176"/>
  <c r="AH672" i="13176"/>
  <c r="AH732" i="13176"/>
  <c r="AH716" i="13176"/>
  <c r="AH714" i="13176"/>
  <c r="AH698" i="13176"/>
  <c r="AH708" i="13176"/>
  <c r="AH706" i="13176"/>
  <c r="AH724" i="13176"/>
  <c r="AH686" i="13176"/>
  <c r="AH678" i="13176"/>
  <c r="AH665" i="13176"/>
  <c r="AH689" i="13176"/>
  <c r="AH667" i="13176"/>
  <c r="AH670" i="13176"/>
  <c r="AH673" i="13176"/>
  <c r="AH681" i="13176"/>
  <c r="AH624" i="13176"/>
  <c r="AH612" i="13176"/>
  <c r="AH614" i="13176"/>
  <c r="AH611" i="13176"/>
  <c r="AH616" i="13176"/>
  <c r="AH600" i="13176"/>
  <c r="AH608" i="13176"/>
  <c r="AH553" i="13176"/>
  <c r="AH548" i="13176"/>
  <c r="AH559" i="13176"/>
  <c r="AH537" i="13176"/>
  <c r="AH518" i="13176"/>
  <c r="AH520" i="13176"/>
  <c r="AH524" i="13176"/>
  <c r="AH532" i="13176"/>
  <c r="AH550" i="13176"/>
  <c r="AX1210" i="13176"/>
  <c r="AX1209" i="13176"/>
  <c r="AX1201" i="13176"/>
  <c r="AX1190" i="13176"/>
  <c r="AX1185" i="13176"/>
  <c r="AX1202" i="13176"/>
  <c r="AX1184" i="13176"/>
  <c r="AX1179" i="13176"/>
  <c r="AX1169" i="13176"/>
  <c r="AX1186" i="13176"/>
  <c r="AX1177" i="13176"/>
  <c r="AX1168" i="13176"/>
  <c r="AX1173" i="13176"/>
  <c r="AX1193" i="13176"/>
  <c r="AX1161" i="13176"/>
  <c r="AX1160" i="13176"/>
  <c r="AX1154" i="13176"/>
  <c r="AX1189" i="13176"/>
  <c r="AX1170" i="13176"/>
  <c r="AX1167" i="13176"/>
  <c r="AX1162" i="13176"/>
  <c r="AX1145" i="13176"/>
  <c r="AX1134" i="13176"/>
  <c r="AX1126" i="13176"/>
  <c r="AX1147" i="13176"/>
  <c r="AX1139" i="13176"/>
  <c r="AX1143" i="13176"/>
  <c r="AX1146" i="13176"/>
  <c r="AX1155" i="13176"/>
  <c r="AX1153" i="13176"/>
  <c r="AX1138" i="13176"/>
  <c r="AX1130" i="13176"/>
  <c r="AX1116" i="13176"/>
  <c r="AX1108" i="13176"/>
  <c r="AX1122" i="13176"/>
  <c r="AX1113" i="13176"/>
  <c r="AX1131" i="13176"/>
  <c r="AX1115" i="13176"/>
  <c r="AX1107" i="13176"/>
  <c r="AX1112" i="13176"/>
  <c r="AX1135" i="13176"/>
  <c r="AX1124" i="13176"/>
  <c r="AX1127" i="13176"/>
  <c r="AX1118" i="13176"/>
  <c r="AX1105" i="13176"/>
  <c r="AX1100" i="13176"/>
  <c r="AX1104" i="13176"/>
  <c r="AX1114" i="13176"/>
  <c r="AX1096" i="13176"/>
  <c r="AX1099" i="13176"/>
  <c r="AX1109" i="13176"/>
  <c r="AX1089" i="13176"/>
  <c r="AX1081" i="13176"/>
  <c r="AX1088" i="13176"/>
  <c r="AX1067" i="13176"/>
  <c r="AX1059" i="13176"/>
  <c r="AX1073" i="13176"/>
  <c r="AX1080" i="13176"/>
  <c r="AX1063" i="13176"/>
  <c r="AX1077" i="13176"/>
  <c r="AX1055" i="13176"/>
  <c r="AX1041" i="13176"/>
  <c r="AX1033" i="13176"/>
  <c r="AX1046" i="13176"/>
  <c r="AX1051" i="13176"/>
  <c r="AX1072" i="13176"/>
  <c r="AX1068" i="13176"/>
  <c r="AX1047" i="13176"/>
  <c r="AX1042" i="13176"/>
  <c r="AX1009" i="13176"/>
  <c r="AX1001" i="13176"/>
  <c r="AX1026" i="13176"/>
  <c r="AX1017" i="13176"/>
  <c r="AX1014" i="13176"/>
  <c r="AX1006" i="13176"/>
  <c r="AX1025" i="13176"/>
  <c r="AX1029" i="13176"/>
  <c r="AX1030" i="13176"/>
  <c r="AX1034" i="13176"/>
  <c r="AX1022" i="13176"/>
  <c r="AX1010" i="13176"/>
  <c r="AX1048" i="13176"/>
  <c r="AX1038" i="13176"/>
  <c r="AX1031" i="13176"/>
  <c r="AX990" i="13176"/>
  <c r="AX982" i="13176"/>
  <c r="AX995" i="13176"/>
  <c r="AX987" i="13176"/>
  <c r="AX979" i="13176"/>
  <c r="AX1008" i="13176"/>
  <c r="AX1007" i="13176"/>
  <c r="AX989" i="13176"/>
  <c r="AX1016" i="13176"/>
  <c r="AX998" i="13176"/>
  <c r="AX997" i="13176"/>
  <c r="AX991" i="13176"/>
  <c r="AX983" i="13176"/>
  <c r="AX999" i="13176"/>
  <c r="AX981" i="13176"/>
  <c r="AX1000" i="13176"/>
  <c r="AX973" i="13176"/>
  <c r="AX974" i="13176"/>
  <c r="AX965" i="13176"/>
  <c r="AX978" i="13176"/>
  <c r="AX947" i="13176"/>
  <c r="AX939" i="13176"/>
  <c r="AX931" i="13176"/>
  <c r="AX923" i="13176"/>
  <c r="AX952" i="13176"/>
  <c r="AX944" i="13176"/>
  <c r="AX936" i="13176"/>
  <c r="AX928" i="13176"/>
  <c r="AX967" i="13176"/>
  <c r="AX961" i="13176"/>
  <c r="AX957" i="13176"/>
  <c r="AX938" i="13176"/>
  <c r="AX930" i="13176"/>
  <c r="AX922" i="13176"/>
  <c r="AX950" i="13176"/>
  <c r="AX943" i="13176"/>
  <c r="AX954" i="13176"/>
  <c r="AX963" i="13176"/>
  <c r="AX951" i="13176"/>
  <c r="AX915" i="13176"/>
  <c r="AX911" i="13176"/>
  <c r="AX945" i="13176"/>
  <c r="AX900" i="13176"/>
  <c r="AX892" i="13176"/>
  <c r="AX884" i="13176"/>
  <c r="AX876" i="13176"/>
  <c r="AX955" i="13176"/>
  <c r="AX937" i="13176"/>
  <c r="AX935" i="13176"/>
  <c r="AX914" i="13176"/>
  <c r="AX902" i="13176"/>
  <c r="AX894" i="13176"/>
  <c r="AX886" i="13176"/>
  <c r="AX878" i="13176"/>
  <c r="AX929" i="13176"/>
  <c r="AX919" i="13176"/>
  <c r="AX927" i="13176"/>
  <c r="AX920" i="13176"/>
  <c r="AX899" i="13176"/>
  <c r="AX891" i="13176"/>
  <c r="AX883" i="13176"/>
  <c r="AX909" i="13176"/>
  <c r="AX875" i="13176"/>
  <c r="AX870" i="13176"/>
  <c r="AX864" i="13176"/>
  <c r="AX856" i="13176"/>
  <c r="AX848" i="13176"/>
  <c r="AX840" i="13176"/>
  <c r="AX832" i="13176"/>
  <c r="AX861" i="13176"/>
  <c r="AX853" i="13176"/>
  <c r="AX845" i="13176"/>
  <c r="AX837" i="13176"/>
  <c r="AX858" i="13176"/>
  <c r="AX850" i="13176"/>
  <c r="AX872" i="13176"/>
  <c r="AX860" i="13176"/>
  <c r="AX867" i="13176"/>
  <c r="AX865" i="13176"/>
  <c r="AX857" i="13176"/>
  <c r="AX849" i="13176"/>
  <c r="AX841" i="13176"/>
  <c r="AX868" i="13176"/>
  <c r="AX833" i="13176"/>
  <c r="AX846" i="13176"/>
  <c r="AX817" i="13176"/>
  <c r="AX809" i="13176"/>
  <c r="AX801" i="13176"/>
  <c r="AX793" i="13176"/>
  <c r="AX814" i="13176"/>
  <c r="AX806" i="13176"/>
  <c r="AX854" i="13176"/>
  <c r="AX816" i="13176"/>
  <c r="AX808" i="13176"/>
  <c r="AX800" i="13176"/>
  <c r="AX792" i="13176"/>
  <c r="AX822" i="13176"/>
  <c r="AX838" i="13176"/>
  <c r="AX821" i="13176"/>
  <c r="AX813" i="13176"/>
  <c r="AX805" i="13176"/>
  <c r="AX797" i="13176"/>
  <c r="AX767" i="13176"/>
  <c r="AX759" i="13176"/>
  <c r="AX785" i="13176"/>
  <c r="AX830" i="13176"/>
  <c r="AX862" i="13176"/>
  <c r="AX810" i="13176"/>
  <c r="AX780" i="13176"/>
  <c r="AX777" i="13176"/>
  <c r="AX769" i="13176"/>
  <c r="AX761" i="13176"/>
  <c r="AX753" i="13176"/>
  <c r="AX745" i="13176"/>
  <c r="AX758" i="13176"/>
  <c r="AX750" i="13176"/>
  <c r="AX794" i="13176"/>
  <c r="AX782" i="13176"/>
  <c r="AX779" i="13176"/>
  <c r="AX771" i="13176"/>
  <c r="AX763" i="13176"/>
  <c r="AX755" i="13176"/>
  <c r="AX747" i="13176"/>
  <c r="AX818" i="13176"/>
  <c r="AX789" i="13176"/>
  <c r="AX786" i="13176"/>
  <c r="AX773" i="13176"/>
  <c r="AX765" i="13176"/>
  <c r="AX757" i="13176"/>
  <c r="AX749" i="13176"/>
  <c r="AX802" i="13176"/>
  <c r="AX784" i="13176"/>
  <c r="AX778" i="13176"/>
  <c r="AX770" i="13176"/>
  <c r="AX762" i="13176"/>
  <c r="AX754" i="13176"/>
  <c r="AX726" i="13176"/>
  <c r="AX718" i="13176"/>
  <c r="AX710" i="13176"/>
  <c r="AX702" i="13176"/>
  <c r="AX731" i="13176"/>
  <c r="AX723" i="13176"/>
  <c r="AX715" i="13176"/>
  <c r="AX707" i="13176"/>
  <c r="AX746" i="13176"/>
  <c r="AX728" i="13176"/>
  <c r="AX720" i="13176"/>
  <c r="AX712" i="13176"/>
  <c r="AX742" i="13176"/>
  <c r="AX741" i="13176"/>
  <c r="AX751" i="13176"/>
  <c r="AX730" i="13176"/>
  <c r="AX722" i="13176"/>
  <c r="AX714" i="13176"/>
  <c r="AX706" i="13176"/>
  <c r="AX739" i="13176"/>
  <c r="AX703" i="13176"/>
  <c r="AX698" i="13176"/>
  <c r="AX691" i="13176"/>
  <c r="AX685" i="13176"/>
  <c r="AX677" i="13176"/>
  <c r="AX669" i="13176"/>
  <c r="AX699" i="13176"/>
  <c r="AX687" i="13176"/>
  <c r="AX679" i="13176"/>
  <c r="AX681" i="13176"/>
  <c r="AX673" i="13176"/>
  <c r="AX665" i="13176"/>
  <c r="AX704" i="13176"/>
  <c r="AX671" i="13176"/>
  <c r="AX661" i="13176"/>
  <c r="AX655" i="13176"/>
  <c r="AX647" i="13176"/>
  <c r="AX639" i="13176"/>
  <c r="AX631" i="13176"/>
  <c r="AX652" i="13176"/>
  <c r="AX644" i="13176"/>
  <c r="AX636" i="13176"/>
  <c r="AX663" i="13176"/>
  <c r="AX651" i="13176"/>
  <c r="AX643" i="13176"/>
  <c r="AX635" i="13176"/>
  <c r="AX648" i="13176"/>
  <c r="AX619" i="13176"/>
  <c r="AX610" i="13176"/>
  <c r="AX632" i="13176"/>
  <c r="AX627" i="13176"/>
  <c r="AX612" i="13176"/>
  <c r="AX656" i="13176"/>
  <c r="AX614" i="13176"/>
  <c r="AX640" i="13176"/>
  <c r="AX615" i="13176"/>
  <c r="AX621" i="13176"/>
  <c r="AX601" i="13176"/>
  <c r="AX602" i="13176"/>
  <c r="AX600" i="13176"/>
  <c r="AX586" i="13176"/>
  <c r="AX548" i="13176"/>
  <c r="AX590" i="13176"/>
  <c r="AX550" i="13176"/>
  <c r="AX552" i="13176"/>
  <c r="AX546" i="13176"/>
  <c r="AX591" i="13176"/>
  <c r="AX584" i="13176"/>
  <c r="AX588" i="13176"/>
  <c r="AX585" i="13176"/>
  <c r="AX589" i="13176"/>
  <c r="AX587" i="13176"/>
  <c r="AX554" i="13176"/>
  <c r="AX516" i="13176"/>
  <c r="AX520" i="13176"/>
  <c r="AX537" i="13176"/>
  <c r="AX526" i="13176"/>
  <c r="H476" i="13176"/>
  <c r="AA476" i="13176"/>
  <c r="AT476" i="13176"/>
  <c r="H477" i="13176"/>
  <c r="AA477" i="13176"/>
  <c r="AU477" i="13176"/>
  <c r="I478" i="13176"/>
  <c r="AC478" i="13176"/>
  <c r="AV478" i="13176"/>
  <c r="K480" i="13176"/>
  <c r="AD480" i="13176"/>
  <c r="AX480" i="13176"/>
  <c r="L481" i="13176"/>
  <c r="AG481" i="13176"/>
  <c r="BB481" i="13176"/>
  <c r="S482" i="13176"/>
  <c r="AL482" i="13176"/>
  <c r="AP488" i="13176"/>
  <c r="Z488" i="13176"/>
  <c r="I488" i="13176"/>
  <c r="AY488" i="13176"/>
  <c r="AG488" i="13176"/>
  <c r="O488" i="13176"/>
  <c r="AT488" i="13176"/>
  <c r="AB488" i="13176"/>
  <c r="J488" i="13176"/>
  <c r="V488" i="13176"/>
  <c r="AO488" i="13176"/>
  <c r="F489" i="13176"/>
  <c r="AA489" i="13176"/>
  <c r="AU489" i="13176"/>
  <c r="K490" i="13176"/>
  <c r="AF490" i="13176"/>
  <c r="AZ490" i="13176"/>
  <c r="N491" i="13176"/>
  <c r="D492" i="13176"/>
  <c r="Z492" i="13176"/>
  <c r="AW492" i="13176"/>
  <c r="S493" i="13176"/>
  <c r="AN493" i="13176"/>
  <c r="H494" i="13176"/>
  <c r="AG494" i="13176"/>
  <c r="BD494" i="13176"/>
  <c r="M496" i="13176"/>
  <c r="AI496" i="13176"/>
  <c r="D497" i="13176"/>
  <c r="AA497" i="13176"/>
  <c r="AW497" i="13176"/>
  <c r="S498" i="13176"/>
  <c r="AO498" i="13176"/>
  <c r="H499" i="13176"/>
  <c r="AG499" i="13176"/>
  <c r="BD499" i="13176"/>
  <c r="N501" i="13176"/>
  <c r="AK501" i="13176"/>
  <c r="AB503" i="13176"/>
  <c r="AB504" i="13176"/>
  <c r="BB504" i="13176"/>
  <c r="AC505" i="13176"/>
  <c r="AE506" i="13176"/>
  <c r="C1208" i="13176"/>
  <c r="C1195" i="13176"/>
  <c r="C1187" i="13176"/>
  <c r="C1213" i="13176"/>
  <c r="C1205" i="13176"/>
  <c r="C1174" i="13176"/>
  <c r="C1166" i="13176"/>
  <c r="C1179" i="13176"/>
  <c r="C1153" i="13176"/>
  <c r="C1145" i="13176"/>
  <c r="C1182" i="13176"/>
  <c r="C1169" i="13176"/>
  <c r="C1161" i="13176"/>
  <c r="C1151" i="13176"/>
  <c r="C1141" i="13176"/>
  <c r="C1133" i="13176"/>
  <c r="C1138" i="13176"/>
  <c r="C1130" i="13176"/>
  <c r="C1137" i="13176"/>
  <c r="C1129" i="13176"/>
  <c r="C1126" i="13176"/>
  <c r="C1125" i="13176"/>
  <c r="C1115" i="13176"/>
  <c r="C1107" i="13176"/>
  <c r="C1118" i="13176"/>
  <c r="C1122" i="13176"/>
  <c r="C1134" i="13176"/>
  <c r="C1088" i="13176"/>
  <c r="C1080" i="13176"/>
  <c r="C1092" i="13176"/>
  <c r="C1087" i="13176"/>
  <c r="C1075" i="13176"/>
  <c r="C1074" i="13176"/>
  <c r="C1072" i="13176"/>
  <c r="C1061" i="13176"/>
  <c r="C1083" i="13176"/>
  <c r="C1076" i="13176"/>
  <c r="C1099" i="13176"/>
  <c r="C1082" i="13176"/>
  <c r="C1091" i="13176"/>
  <c r="C1084" i="13176"/>
  <c r="C1050" i="13176"/>
  <c r="C1049" i="13176"/>
  <c r="C1031" i="13176"/>
  <c r="C1016" i="13176"/>
  <c r="C1008" i="13176"/>
  <c r="C1015" i="13176"/>
  <c r="C1012" i="13176"/>
  <c r="C1009" i="13176"/>
  <c r="C1000" i="13176"/>
  <c r="C997" i="13176"/>
  <c r="C989" i="13176"/>
  <c r="C1017" i="13176"/>
  <c r="C1001" i="13176"/>
  <c r="C982" i="13176"/>
  <c r="C981" i="13176"/>
  <c r="C990" i="13176"/>
  <c r="C973" i="13176"/>
  <c r="C974" i="13176"/>
  <c r="C900" i="13176"/>
  <c r="C892" i="13176"/>
  <c r="C902" i="13176"/>
  <c r="C894" i="13176"/>
  <c r="C886" i="13176"/>
  <c r="C878" i="13176"/>
  <c r="C870" i="13176"/>
  <c r="C908" i="13176"/>
  <c r="C901" i="13176"/>
  <c r="C890" i="13176"/>
  <c r="C874" i="13176"/>
  <c r="C860" i="13176"/>
  <c r="C852" i="13176"/>
  <c r="C844" i="13176"/>
  <c r="C898" i="13176"/>
  <c r="C882" i="13176"/>
  <c r="C830" i="13176"/>
  <c r="C816" i="13176"/>
  <c r="C808" i="13176"/>
  <c r="C800" i="13176"/>
  <c r="C792" i="13176"/>
  <c r="C821" i="13176"/>
  <c r="C906" i="13176"/>
  <c r="C828" i="13176"/>
  <c r="C777" i="13176"/>
  <c r="C784" i="13176"/>
  <c r="C779" i="13176"/>
  <c r="C771" i="13176"/>
  <c r="C778" i="13176"/>
  <c r="C770" i="13176"/>
  <c r="C780" i="13176"/>
  <c r="C762" i="13176"/>
  <c r="C746" i="13176"/>
  <c r="C731" i="13176"/>
  <c r="C756" i="13176"/>
  <c r="C764" i="13176"/>
  <c r="C754" i="13176"/>
  <c r="C748" i="13176"/>
  <c r="C735" i="13176"/>
  <c r="C719" i="13176"/>
  <c r="C772" i="13176"/>
  <c r="C688" i="13176"/>
  <c r="C680" i="13176"/>
  <c r="C685" i="13176"/>
  <c r="C677" i="13176"/>
  <c r="C669" i="13176"/>
  <c r="C713" i="13176"/>
  <c r="C729" i="13176"/>
  <c r="C711" i="13176"/>
  <c r="C687" i="13176"/>
  <c r="C693" i="13176"/>
  <c r="C692" i="13176"/>
  <c r="C689" i="13176"/>
  <c r="C681" i="13176"/>
  <c r="C703" i="13176"/>
  <c r="C721" i="13176"/>
  <c r="C691" i="13176"/>
  <c r="C683" i="13176"/>
  <c r="C663" i="13176"/>
  <c r="C655" i="13176"/>
  <c r="C686" i="13176"/>
  <c r="C664" i="13176"/>
  <c r="C675" i="13176"/>
  <c r="C654" i="13176"/>
  <c r="C646" i="13176"/>
  <c r="C638" i="13176"/>
  <c r="C667" i="13176"/>
  <c r="C670" i="13176"/>
  <c r="C678" i="13176"/>
  <c r="C672" i="13176"/>
  <c r="C616" i="13176"/>
  <c r="C612" i="13176"/>
  <c r="C608" i="13176"/>
  <c r="C613" i="13176"/>
  <c r="C579" i="13176"/>
  <c r="C605" i="13176"/>
  <c r="C565" i="13176"/>
  <c r="C571" i="13176"/>
  <c r="C583" i="13176"/>
  <c r="C577" i="13176"/>
  <c r="C563" i="13176"/>
  <c r="C569" i="13176"/>
  <c r="C550" i="13176"/>
  <c r="C561" i="13176"/>
  <c r="C567" i="13176"/>
  <c r="C581" i="13176"/>
  <c r="C546" i="13176"/>
  <c r="C575" i="13176"/>
  <c r="C518" i="13176"/>
  <c r="C520" i="13176"/>
  <c r="S1195" i="13176"/>
  <c r="S1188" i="13176"/>
  <c r="S1194" i="13176"/>
  <c r="S1176" i="13176"/>
  <c r="S1180" i="13176"/>
  <c r="S1159" i="13176"/>
  <c r="S1162" i="13176"/>
  <c r="S1143" i="13176"/>
  <c r="S1123" i="13176"/>
  <c r="S1119" i="13176"/>
  <c r="S1125" i="13176"/>
  <c r="S1117" i="13176"/>
  <c r="S1095" i="13176"/>
  <c r="S1096" i="13176"/>
  <c r="S1120" i="13176"/>
  <c r="S1102" i="13176"/>
  <c r="S1085" i="13176"/>
  <c r="S1077" i="13176"/>
  <c r="S1075" i="13176"/>
  <c r="S1078" i="13176"/>
  <c r="S1052" i="13176"/>
  <c r="S1058" i="13176"/>
  <c r="S1050" i="13176"/>
  <c r="S1049" i="13176"/>
  <c r="S1054" i="13176"/>
  <c r="S1062" i="13176"/>
  <c r="S1022" i="13176"/>
  <c r="S1026" i="13176"/>
  <c r="S1023" i="13176"/>
  <c r="S1029" i="13176"/>
  <c r="S1031" i="13176"/>
  <c r="S1020" i="13176"/>
  <c r="S1019" i="13176"/>
  <c r="S998" i="13176"/>
  <c r="S1004" i="13176"/>
  <c r="S1018" i="13176"/>
  <c r="S1021" i="13176"/>
  <c r="S978" i="13176"/>
  <c r="S950" i="13176"/>
  <c r="S952" i="13176"/>
  <c r="S954" i="13176"/>
  <c r="S960" i="13176"/>
  <c r="S958" i="13176"/>
  <c r="S955" i="13176"/>
  <c r="S909" i="13176"/>
  <c r="S911" i="13176"/>
  <c r="S910" i="13176"/>
  <c r="S908" i="13176"/>
  <c r="S843" i="13176"/>
  <c r="S824" i="13176"/>
  <c r="S827" i="13176"/>
  <c r="S823" i="13176"/>
  <c r="S835" i="13176"/>
  <c r="S831" i="13176"/>
  <c r="S830" i="13176"/>
  <c r="S825" i="13176"/>
  <c r="S838" i="13176"/>
  <c r="S783" i="13176"/>
  <c r="S791" i="13176"/>
  <c r="S743" i="13176"/>
  <c r="S739" i="13176"/>
  <c r="S696" i="13176"/>
  <c r="S695" i="13176"/>
  <c r="S697" i="13176"/>
  <c r="S694" i="13176"/>
  <c r="S700" i="13176"/>
  <c r="S692" i="13176"/>
  <c r="S668" i="13176"/>
  <c r="S663" i="13176"/>
  <c r="S693" i="13176"/>
  <c r="S645" i="13176"/>
  <c r="S615" i="13176"/>
  <c r="S625" i="13176"/>
  <c r="S616" i="13176"/>
  <c r="S618" i="13176"/>
  <c r="S624" i="13176"/>
  <c r="S637" i="13176"/>
  <c r="S585" i="13176"/>
  <c r="S555" i="13176"/>
  <c r="S552" i="13176"/>
  <c r="S586" i="13176"/>
  <c r="S590" i="13176"/>
  <c r="S587" i="13176"/>
  <c r="S584" i="13176"/>
  <c r="S588" i="13176"/>
  <c r="S543" i="13176"/>
  <c r="S532" i="13176"/>
  <c r="S537" i="13176"/>
  <c r="S527" i="13176"/>
  <c r="S535" i="13176"/>
  <c r="S526" i="13176"/>
  <c r="S518" i="13176"/>
  <c r="S589" i="13176"/>
  <c r="AI1195" i="13176"/>
  <c r="AI1198" i="13176"/>
  <c r="AI1190" i="13176"/>
  <c r="AI1176" i="13176"/>
  <c r="AI1188" i="13176"/>
  <c r="AI1183" i="13176"/>
  <c r="AI1157" i="13176"/>
  <c r="AI1167" i="13176"/>
  <c r="AI1158" i="13176"/>
  <c r="AI1147" i="13176"/>
  <c r="AI1124" i="13176"/>
  <c r="AI1143" i="13176"/>
  <c r="AI1123" i="13176"/>
  <c r="AI1121" i="13176"/>
  <c r="AI1132" i="13176"/>
  <c r="AI1128" i="13176"/>
  <c r="AI1117" i="13176"/>
  <c r="AI1119" i="13176"/>
  <c r="AI1101" i="13176"/>
  <c r="AI1095" i="13176"/>
  <c r="AI1096" i="13176"/>
  <c r="AI1102" i="13176"/>
  <c r="AI1077" i="13176"/>
  <c r="AI1075" i="13176"/>
  <c r="AI1093" i="13176"/>
  <c r="AI1086" i="13176"/>
  <c r="AI1085" i="13176"/>
  <c r="AI1062" i="13176"/>
  <c r="AI1052" i="13176"/>
  <c r="AI1050" i="13176"/>
  <c r="AI1049" i="13176"/>
  <c r="AI1070" i="13176"/>
  <c r="AI1031" i="13176"/>
  <c r="AI1022" i="13176"/>
  <c r="AI1023" i="13176"/>
  <c r="AI1026" i="13176"/>
  <c r="AI1035" i="13176"/>
  <c r="AI998" i="13176"/>
  <c r="AI997" i="13176"/>
  <c r="AI1004" i="13176"/>
  <c r="AI1003" i="13176"/>
  <c r="AI1013" i="13176"/>
  <c r="AI975" i="13176"/>
  <c r="AI950" i="13176"/>
  <c r="AI952" i="13176"/>
  <c r="AI909" i="13176"/>
  <c r="AI911" i="13176"/>
  <c r="AI917" i="13176"/>
  <c r="AI867" i="13176"/>
  <c r="AI918" i="13176"/>
  <c r="AI872" i="13176"/>
  <c r="AI873" i="13176"/>
  <c r="AI843" i="13176"/>
  <c r="AI835" i="13176"/>
  <c r="AI824" i="13176"/>
  <c r="AI827" i="13176"/>
  <c r="AI869" i="13176"/>
  <c r="AI826" i="13176"/>
  <c r="AI823" i="13176"/>
  <c r="AI787" i="13176"/>
  <c r="AI791" i="13176"/>
  <c r="AI799" i="13176"/>
  <c r="AI696" i="13176"/>
  <c r="AI695" i="13176"/>
  <c r="AI744" i="13176"/>
  <c r="AI693" i="13176"/>
  <c r="AI692" i="13176"/>
  <c r="AI663" i="13176"/>
  <c r="AI645" i="13176"/>
  <c r="AI621" i="13176"/>
  <c r="AI615" i="13176"/>
  <c r="AI619" i="13176"/>
  <c r="AI628" i="13176"/>
  <c r="AI637" i="13176"/>
  <c r="AI616" i="13176"/>
  <c r="AI629" i="13176"/>
  <c r="AI585" i="13176"/>
  <c r="AI587" i="13176"/>
  <c r="AI596" i="13176"/>
  <c r="AI598" i="13176"/>
  <c r="AI556" i="13176"/>
  <c r="AI553" i="13176"/>
  <c r="AI537" i="13176"/>
  <c r="AI527" i="13176"/>
  <c r="AI539" i="13176"/>
  <c r="AI526" i="13176"/>
  <c r="AI535" i="13176"/>
  <c r="AI597" i="13176"/>
  <c r="AI540" i="13176"/>
  <c r="AI532" i="13176"/>
  <c r="AI543" i="13176"/>
  <c r="AI521" i="13176"/>
  <c r="AY1211" i="13176"/>
  <c r="AY1187" i="13176"/>
  <c r="AY1208" i="13176"/>
  <c r="AY1182" i="13176"/>
  <c r="AY1169" i="13176"/>
  <c r="AY1186" i="13176"/>
  <c r="AY1177" i="13176"/>
  <c r="AY1179" i="13176"/>
  <c r="AY1185" i="13176"/>
  <c r="AY1153" i="13176"/>
  <c r="AY1167" i="13176"/>
  <c r="AY1155" i="13176"/>
  <c r="AY1145" i="13176"/>
  <c r="AY1139" i="13176"/>
  <c r="AY1161" i="13176"/>
  <c r="AY1143" i="13176"/>
  <c r="AY1146" i="13176"/>
  <c r="AY1138" i="13176"/>
  <c r="AY1130" i="13176"/>
  <c r="AY1122" i="13176"/>
  <c r="AY1154" i="13176"/>
  <c r="AY1135" i="13176"/>
  <c r="AY1162" i="13176"/>
  <c r="AY1113" i="13176"/>
  <c r="AY1129" i="13176"/>
  <c r="AY1115" i="13176"/>
  <c r="AY1107" i="13176"/>
  <c r="AY1137" i="13176"/>
  <c r="AY1127" i="13176"/>
  <c r="AY1117" i="13176"/>
  <c r="AY1088" i="13176"/>
  <c r="AY1080" i="13176"/>
  <c r="AY1096" i="13176"/>
  <c r="AY1099" i="13176"/>
  <c r="AY1090" i="13176"/>
  <c r="AY1109" i="13176"/>
  <c r="AY1105" i="13176"/>
  <c r="AY1097" i="13176"/>
  <c r="AY1087" i="13176"/>
  <c r="AY1063" i="13176"/>
  <c r="AY1077" i="13176"/>
  <c r="AY1071" i="13176"/>
  <c r="AY1068" i="13176"/>
  <c r="AY1072" i="13176"/>
  <c r="AY1055" i="13176"/>
  <c r="AY1078" i="13176"/>
  <c r="AY1046" i="13176"/>
  <c r="AY1038" i="13176"/>
  <c r="AY1042" i="13176"/>
  <c r="AY1048" i="13176"/>
  <c r="AY1017" i="13176"/>
  <c r="AY1014" i="13176"/>
  <c r="AY1006" i="13176"/>
  <c r="AY1016" i="13176"/>
  <c r="AY1008" i="13176"/>
  <c r="AY1030" i="13176"/>
  <c r="AY1034" i="13176"/>
  <c r="AY1022" i="13176"/>
  <c r="AY1010" i="13176"/>
  <c r="AY1031" i="13176"/>
  <c r="AY1023" i="13176"/>
  <c r="AY990" i="13176"/>
  <c r="AY995" i="13176"/>
  <c r="AY987" i="13176"/>
  <c r="AY1015" i="13176"/>
  <c r="AY992" i="13176"/>
  <c r="AY984" i="13176"/>
  <c r="AY989" i="13176"/>
  <c r="AY981" i="13176"/>
  <c r="AY1012" i="13176"/>
  <c r="AY998" i="13176"/>
  <c r="AY997" i="13176"/>
  <c r="AY1000" i="13176"/>
  <c r="AY985" i="13176"/>
  <c r="AY983" i="13176"/>
  <c r="AY973" i="13176"/>
  <c r="AY993" i="13176"/>
  <c r="AY944" i="13176"/>
  <c r="AY950" i="13176"/>
  <c r="AY951" i="13176"/>
  <c r="AY903" i="13176"/>
  <c r="AY908" i="13176"/>
  <c r="AY902" i="13176"/>
  <c r="AY894" i="13176"/>
  <c r="AY886" i="13176"/>
  <c r="AY878" i="13176"/>
  <c r="AY870" i="13176"/>
  <c r="AY893" i="13176"/>
  <c r="AY877" i="13176"/>
  <c r="AY864" i="13176"/>
  <c r="AY901" i="13176"/>
  <c r="AY885" i="13176"/>
  <c r="AY867" i="13176"/>
  <c r="AY865" i="13176"/>
  <c r="AY857" i="13176"/>
  <c r="AY817" i="13176"/>
  <c r="AY819" i="13176"/>
  <c r="AY811" i="13176"/>
  <c r="AY816" i="13176"/>
  <c r="AY808" i="13176"/>
  <c r="AY800" i="13176"/>
  <c r="AY792" i="13176"/>
  <c r="AY821" i="13176"/>
  <c r="AY813" i="13176"/>
  <c r="AY805" i="13176"/>
  <c r="AY797" i="13176"/>
  <c r="AY789" i="13176"/>
  <c r="AY830" i="13176"/>
  <c r="AY779" i="13176"/>
  <c r="AY771" i="13176"/>
  <c r="AY763" i="13176"/>
  <c r="AY781" i="13176"/>
  <c r="AY773" i="13176"/>
  <c r="AY765" i="13176"/>
  <c r="AY778" i="13176"/>
  <c r="AY770" i="13176"/>
  <c r="AY762" i="13176"/>
  <c r="AY749" i="13176"/>
  <c r="AY734" i="13176"/>
  <c r="AY726" i="13176"/>
  <c r="AY718" i="13176"/>
  <c r="AY710" i="13176"/>
  <c r="AY767" i="13176"/>
  <c r="AY731" i="13176"/>
  <c r="AY723" i="13176"/>
  <c r="AY759" i="13176"/>
  <c r="AY757" i="13176"/>
  <c r="AY741" i="13176"/>
  <c r="AY775" i="13176"/>
  <c r="AY751" i="13176"/>
  <c r="AY730" i="13176"/>
  <c r="AY722" i="13176"/>
  <c r="AY739" i="13176"/>
  <c r="AY683" i="13176"/>
  <c r="AY675" i="13176"/>
  <c r="AY698" i="13176"/>
  <c r="AY732" i="13176"/>
  <c r="AY688" i="13176"/>
  <c r="AY680" i="13176"/>
  <c r="AY672" i="13176"/>
  <c r="AY738" i="13176"/>
  <c r="AY714" i="13176"/>
  <c r="AY716" i="13176"/>
  <c r="AY708" i="13176"/>
  <c r="AY706" i="13176"/>
  <c r="AY686" i="13176"/>
  <c r="AY678" i="13176"/>
  <c r="AY689" i="13176"/>
  <c r="AY670" i="13176"/>
  <c r="AY673" i="13176"/>
  <c r="AY660" i="13176"/>
  <c r="AY662" i="13176"/>
  <c r="AY724" i="13176"/>
  <c r="AY681" i="13176"/>
  <c r="AY665" i="13176"/>
  <c r="AY612" i="13176"/>
  <c r="AY614" i="13176"/>
  <c r="AY615" i="13176"/>
  <c r="AY611" i="13176"/>
  <c r="AY667" i="13176"/>
  <c r="AY608" i="13176"/>
  <c r="AY600" i="13176"/>
  <c r="AY550" i="13176"/>
  <c r="AY547" i="13176"/>
  <c r="AY532" i="13176"/>
  <c r="AY548" i="13176"/>
  <c r="AY540" i="13176"/>
  <c r="AY518" i="13176"/>
  <c r="AY537" i="13176"/>
  <c r="AY526" i="13176"/>
  <c r="I476" i="13176"/>
  <c r="AB476" i="13176"/>
  <c r="AU476" i="13176"/>
  <c r="I477" i="13176"/>
  <c r="AC477" i="13176"/>
  <c r="AV477" i="13176"/>
  <c r="K478" i="13176"/>
  <c r="AD478" i="13176"/>
  <c r="AW478" i="13176"/>
  <c r="L480" i="13176"/>
  <c r="AE480" i="13176"/>
  <c r="AY480" i="13176"/>
  <c r="N481" i="13176"/>
  <c r="AH481" i="13176"/>
  <c r="BD481" i="13176"/>
  <c r="T482" i="13176"/>
  <c r="AM482" i="13176"/>
  <c r="C483" i="13176"/>
  <c r="W483" i="13176"/>
  <c r="AR483" i="13176"/>
  <c r="G484" i="13176"/>
  <c r="AB484" i="13176"/>
  <c r="AV484" i="13176"/>
  <c r="J485" i="13176"/>
  <c r="AE485" i="13176"/>
  <c r="AY485" i="13176"/>
  <c r="N486" i="13176"/>
  <c r="AI486" i="13176"/>
  <c r="BD486" i="13176"/>
  <c r="T487" i="13176"/>
  <c r="AM487" i="13176"/>
  <c r="C488" i="13176"/>
  <c r="W488" i="13176"/>
  <c r="AQ488" i="13176"/>
  <c r="H489" i="13176"/>
  <c r="AB489" i="13176"/>
  <c r="AW489" i="13176"/>
  <c r="L490" i="13176"/>
  <c r="AG490" i="13176"/>
  <c r="BA490" i="13176"/>
  <c r="O491" i="13176"/>
  <c r="AL491" i="13176"/>
  <c r="E492" i="13176"/>
  <c r="AA492" i="13176"/>
  <c r="BA492" i="13176"/>
  <c r="T493" i="13176"/>
  <c r="AO493" i="13176"/>
  <c r="K494" i="13176"/>
  <c r="AH494" i="13176"/>
  <c r="N496" i="13176"/>
  <c r="AK496" i="13176"/>
  <c r="E497" i="13176"/>
  <c r="AB497" i="13176"/>
  <c r="AX497" i="13176"/>
  <c r="T498" i="13176"/>
  <c r="AP498" i="13176"/>
  <c r="I499" i="13176"/>
  <c r="AH499" i="13176"/>
  <c r="O501" i="13176"/>
  <c r="AL501" i="13176"/>
  <c r="AG502" i="13176"/>
  <c r="AC503" i="13176"/>
  <c r="AC504" i="13176"/>
  <c r="BC504" i="13176"/>
  <c r="AD505" i="13176"/>
  <c r="AG506" i="13176"/>
  <c r="F507" i="13176"/>
  <c r="AJ507" i="13176"/>
  <c r="AR508" i="13176"/>
  <c r="T509" i="13176"/>
  <c r="BC509" i="13176"/>
  <c r="AI510" i="13176"/>
  <c r="Q511" i="13176"/>
  <c r="BD511" i="13176"/>
  <c r="AK512" i="13176"/>
  <c r="S513" i="13176"/>
  <c r="AL514" i="13176"/>
  <c r="C516" i="13176"/>
  <c r="AR516" i="13176"/>
  <c r="AP517" i="13176"/>
  <c r="AU519" i="13176"/>
  <c r="AP520" i="13176"/>
  <c r="AH521" i="13176"/>
  <c r="J525" i="13176"/>
  <c r="N526" i="13176"/>
  <c r="AG527" i="13176"/>
  <c r="BB529" i="13176"/>
  <c r="AT530" i="13176"/>
  <c r="P532" i="13176"/>
  <c r="L536" i="13176"/>
  <c r="AW522" i="13176"/>
  <c r="AF522" i="13176"/>
  <c r="O522" i="13176"/>
  <c r="AV522" i="13176"/>
  <c r="AD522" i="13176"/>
  <c r="L522" i="13176"/>
  <c r="AU522" i="13176"/>
  <c r="AC522" i="13176"/>
  <c r="K522" i="13176"/>
  <c r="AP522" i="13176"/>
  <c r="Y522" i="13176"/>
  <c r="G522" i="13176"/>
  <c r="AZ522" i="13176"/>
  <c r="AH522" i="13176"/>
  <c r="P522" i="13176"/>
  <c r="X522" i="13176"/>
  <c r="AX522" i="13176"/>
  <c r="P523" i="13176"/>
  <c r="AL523" i="13176"/>
  <c r="E524" i="13176"/>
  <c r="AD524" i="13176"/>
  <c r="AZ524" i="13176"/>
  <c r="U525" i="13176"/>
  <c r="AV525" i="13176"/>
  <c r="L528" i="13176"/>
  <c r="AL528" i="13176"/>
  <c r="L529" i="13176"/>
  <c r="AJ529" i="13176"/>
  <c r="L534" i="13176"/>
  <c r="AL534" i="13176"/>
  <c r="Y536" i="13176"/>
  <c r="T538" i="13176"/>
  <c r="N541" i="13176"/>
  <c r="BD541" i="13176"/>
  <c r="AM542" i="13176"/>
  <c r="W544" i="13176"/>
  <c r="T545" i="13176"/>
  <c r="W549" i="13176"/>
  <c r="AN552" i="13176"/>
  <c r="BA594" i="13176"/>
  <c r="AJ594" i="13176"/>
  <c r="T594" i="13176"/>
  <c r="C594" i="13176"/>
  <c r="AY594" i="13176"/>
  <c r="AH594" i="13176"/>
  <c r="Q594" i="13176"/>
  <c r="AW594" i="13176"/>
  <c r="AF594" i="13176"/>
  <c r="O594" i="13176"/>
  <c r="AU594" i="13176"/>
  <c r="AD594" i="13176"/>
  <c r="M594" i="13176"/>
  <c r="AR594" i="13176"/>
  <c r="AB594" i="13176"/>
  <c r="K594" i="13176"/>
  <c r="AP594" i="13176"/>
  <c r="Z594" i="13176"/>
  <c r="I594" i="13176"/>
  <c r="AN594" i="13176"/>
  <c r="X594" i="13176"/>
  <c r="G594" i="13176"/>
  <c r="BB594" i="13176"/>
  <c r="W594" i="13176"/>
  <c r="AZ594" i="13176"/>
  <c r="V594" i="13176"/>
  <c r="AX594" i="13176"/>
  <c r="U594" i="13176"/>
  <c r="AV594" i="13176"/>
  <c r="S594" i="13176"/>
  <c r="AT594" i="13176"/>
  <c r="P594" i="13176"/>
  <c r="AQ594" i="13176"/>
  <c r="N594" i="13176"/>
  <c r="AO594" i="13176"/>
  <c r="L594" i="13176"/>
  <c r="AM594" i="13176"/>
  <c r="J594" i="13176"/>
  <c r="AL594" i="13176"/>
  <c r="H594" i="13176"/>
  <c r="AK594" i="13176"/>
  <c r="F594" i="13176"/>
  <c r="AI594" i="13176"/>
  <c r="E594" i="13176"/>
  <c r="BD594" i="13176"/>
  <c r="BC594" i="13176"/>
  <c r="AG594" i="13176"/>
  <c r="AE594" i="13176"/>
  <c r="AC594" i="13176"/>
  <c r="AA594" i="13176"/>
  <c r="Y594" i="13176"/>
  <c r="D594" i="13176"/>
  <c r="BC510" i="13176"/>
  <c r="AL510" i="13176"/>
  <c r="V510" i="13176"/>
  <c r="E510" i="13176"/>
  <c r="AP510" i="13176"/>
  <c r="Z510" i="13176"/>
  <c r="I510" i="13176"/>
  <c r="U510" i="13176"/>
  <c r="AN510" i="13176"/>
  <c r="E515" i="13176"/>
  <c r="Y515" i="13176"/>
  <c r="AQ515" i="13176"/>
  <c r="I517" i="13176"/>
  <c r="AE517" i="13176"/>
  <c r="BA517" i="13176"/>
  <c r="AO518" i="13176"/>
  <c r="C522" i="13176"/>
  <c r="Z522" i="13176"/>
  <c r="AY522" i="13176"/>
  <c r="Q523" i="13176"/>
  <c r="AN523" i="13176"/>
  <c r="H524" i="13176"/>
  <c r="AE524" i="13176"/>
  <c r="BB524" i="13176"/>
  <c r="X525" i="13176"/>
  <c r="AX525" i="13176"/>
  <c r="N528" i="13176"/>
  <c r="AM528" i="13176"/>
  <c r="M529" i="13176"/>
  <c r="AM529" i="13176"/>
  <c r="AN532" i="13176"/>
  <c r="N534" i="13176"/>
  <c r="AM534" i="13176"/>
  <c r="AE536" i="13176"/>
  <c r="AZ537" i="13176"/>
  <c r="U538" i="13176"/>
  <c r="AR539" i="13176"/>
  <c r="AB539" i="13176"/>
  <c r="K539" i="13176"/>
  <c r="AP539" i="13176"/>
  <c r="Z539" i="13176"/>
  <c r="I539" i="13176"/>
  <c r="AX539" i="13176"/>
  <c r="AE539" i="13176"/>
  <c r="L539" i="13176"/>
  <c r="AW539" i="13176"/>
  <c r="AD539" i="13176"/>
  <c r="J539" i="13176"/>
  <c r="AV539" i="13176"/>
  <c r="AC539" i="13176"/>
  <c r="H539" i="13176"/>
  <c r="AT539" i="13176"/>
  <c r="Y539" i="13176"/>
  <c r="F539" i="13176"/>
  <c r="AQ539" i="13176"/>
  <c r="X539" i="13176"/>
  <c r="E539" i="13176"/>
  <c r="AO539" i="13176"/>
  <c r="W539" i="13176"/>
  <c r="D539" i="13176"/>
  <c r="AN539" i="13176"/>
  <c r="V539" i="13176"/>
  <c r="C539" i="13176"/>
  <c r="BA539" i="13176"/>
  <c r="AH539" i="13176"/>
  <c r="O539" i="13176"/>
  <c r="AM539" i="13176"/>
  <c r="P541" i="13176"/>
  <c r="AE544" i="13176"/>
  <c r="U545" i="13176"/>
  <c r="Y549" i="13176"/>
  <c r="AV554" i="13176"/>
  <c r="C562" i="13176"/>
  <c r="AY508" i="13176"/>
  <c r="AH508" i="13176"/>
  <c r="Q508" i="13176"/>
  <c r="BC508" i="13176"/>
  <c r="AL508" i="13176"/>
  <c r="V508" i="13176"/>
  <c r="E508" i="13176"/>
  <c r="U508" i="13176"/>
  <c r="AN508" i="13176"/>
  <c r="C510" i="13176"/>
  <c r="W510" i="13176"/>
  <c r="AO510" i="13176"/>
  <c r="F515" i="13176"/>
  <c r="Z515" i="13176"/>
  <c r="AT515" i="13176"/>
  <c r="J517" i="13176"/>
  <c r="AG517" i="13176"/>
  <c r="BB517" i="13176"/>
  <c r="D522" i="13176"/>
  <c r="AA522" i="13176"/>
  <c r="BA522" i="13176"/>
  <c r="S523" i="13176"/>
  <c r="AO523" i="13176"/>
  <c r="I524" i="13176"/>
  <c r="AF524" i="13176"/>
  <c r="BD524" i="13176"/>
  <c r="Y525" i="13176"/>
  <c r="AY525" i="13176"/>
  <c r="O528" i="13176"/>
  <c r="AQ528" i="13176"/>
  <c r="N529" i="13176"/>
  <c r="AO529" i="13176"/>
  <c r="O534" i="13176"/>
  <c r="AR534" i="13176"/>
  <c r="AF536" i="13176"/>
  <c r="Z538" i="13176"/>
  <c r="G539" i="13176"/>
  <c r="AU539" i="13176"/>
  <c r="S541" i="13176"/>
  <c r="AP542" i="13176"/>
  <c r="Z542" i="13176"/>
  <c r="I542" i="13176"/>
  <c r="AN542" i="13176"/>
  <c r="X542" i="13176"/>
  <c r="G542" i="13176"/>
  <c r="AZ542" i="13176"/>
  <c r="AG542" i="13176"/>
  <c r="N542" i="13176"/>
  <c r="AY542" i="13176"/>
  <c r="AF542" i="13176"/>
  <c r="M542" i="13176"/>
  <c r="AX542" i="13176"/>
  <c r="AE542" i="13176"/>
  <c r="L542" i="13176"/>
  <c r="AV542" i="13176"/>
  <c r="AC542" i="13176"/>
  <c r="J542" i="13176"/>
  <c r="AU542" i="13176"/>
  <c r="AB542" i="13176"/>
  <c r="H542" i="13176"/>
  <c r="AT542" i="13176"/>
  <c r="AA542" i="13176"/>
  <c r="F542" i="13176"/>
  <c r="AR542" i="13176"/>
  <c r="Y542" i="13176"/>
  <c r="E542" i="13176"/>
  <c r="AQ542" i="13176"/>
  <c r="W542" i="13176"/>
  <c r="D542" i="13176"/>
  <c r="BC542" i="13176"/>
  <c r="AJ542" i="13176"/>
  <c r="Q542" i="13176"/>
  <c r="AW542" i="13176"/>
  <c r="AI544" i="13176"/>
  <c r="Y545" i="13176"/>
  <c r="AI549" i="13176"/>
  <c r="AU617" i="13176"/>
  <c r="BA505" i="13176"/>
  <c r="AJ505" i="13176"/>
  <c r="T505" i="13176"/>
  <c r="C505" i="13176"/>
  <c r="AN505" i="13176"/>
  <c r="X505" i="13176"/>
  <c r="G505" i="13176"/>
  <c r="V505" i="13176"/>
  <c r="AO505" i="13176"/>
  <c r="C508" i="13176"/>
  <c r="W508" i="13176"/>
  <c r="AO508" i="13176"/>
  <c r="D510" i="13176"/>
  <c r="X510" i="13176"/>
  <c r="AQ510" i="13176"/>
  <c r="H515" i="13176"/>
  <c r="AA515" i="13176"/>
  <c r="AU515" i="13176"/>
  <c r="M517" i="13176"/>
  <c r="AH517" i="13176"/>
  <c r="BC517" i="13176"/>
  <c r="AR520" i="13176"/>
  <c r="AB520" i="13176"/>
  <c r="K520" i="13176"/>
  <c r="BB520" i="13176"/>
  <c r="AJ520" i="13176"/>
  <c r="S520" i="13176"/>
  <c r="BA520" i="13176"/>
  <c r="AI520" i="13176"/>
  <c r="Q520" i="13176"/>
  <c r="AW520" i="13176"/>
  <c r="AE520" i="13176"/>
  <c r="M520" i="13176"/>
  <c r="AM520" i="13176"/>
  <c r="V520" i="13176"/>
  <c r="D520" i="13176"/>
  <c r="Y520" i="13176"/>
  <c r="AV520" i="13176"/>
  <c r="M521" i="13176"/>
  <c r="AM521" i="13176"/>
  <c r="E522" i="13176"/>
  <c r="AB522" i="13176"/>
  <c r="BB522" i="13176"/>
  <c r="T523" i="13176"/>
  <c r="AQ523" i="13176"/>
  <c r="K524" i="13176"/>
  <c r="AG524" i="13176"/>
  <c r="AA525" i="13176"/>
  <c r="P528" i="13176"/>
  <c r="AT528" i="13176"/>
  <c r="O529" i="13176"/>
  <c r="AT529" i="13176"/>
  <c r="I532" i="13176"/>
  <c r="P534" i="13176"/>
  <c r="AW534" i="13176"/>
  <c r="AH536" i="13176"/>
  <c r="AD538" i="13176"/>
  <c r="M539" i="13176"/>
  <c r="AY539" i="13176"/>
  <c r="T541" i="13176"/>
  <c r="C542" i="13176"/>
  <c r="BA542" i="13176"/>
  <c r="AJ544" i="13176"/>
  <c r="AE545" i="13176"/>
  <c r="Y548" i="13176"/>
  <c r="AN549" i="13176"/>
  <c r="AW503" i="13176"/>
  <c r="AF503" i="13176"/>
  <c r="O503" i="13176"/>
  <c r="BA503" i="13176"/>
  <c r="AJ503" i="13176"/>
  <c r="T503" i="13176"/>
  <c r="C503" i="13176"/>
  <c r="V503" i="13176"/>
  <c r="AN503" i="13176"/>
  <c r="D505" i="13176"/>
  <c r="W505" i="13176"/>
  <c r="AP505" i="13176"/>
  <c r="D508" i="13176"/>
  <c r="X508" i="13176"/>
  <c r="AP508" i="13176"/>
  <c r="F510" i="13176"/>
  <c r="Y510" i="13176"/>
  <c r="AR510" i="13176"/>
  <c r="I515" i="13176"/>
  <c r="AC515" i="13176"/>
  <c r="AV515" i="13176"/>
  <c r="I516" i="13176"/>
  <c r="N517" i="13176"/>
  <c r="AI517" i="13176"/>
  <c r="BD517" i="13176"/>
  <c r="F522" i="13176"/>
  <c r="AE522" i="13176"/>
  <c r="BC522" i="13176"/>
  <c r="U523" i="13176"/>
  <c r="AU523" i="13176"/>
  <c r="AW525" i="13176"/>
  <c r="AF525" i="13176"/>
  <c r="O525" i="13176"/>
  <c r="AU525" i="13176"/>
  <c r="AD525" i="13176"/>
  <c r="M525" i="13176"/>
  <c r="AO525" i="13176"/>
  <c r="W525" i="13176"/>
  <c r="D525" i="13176"/>
  <c r="AN525" i="13176"/>
  <c r="V525" i="13176"/>
  <c r="C525" i="13176"/>
  <c r="BC525" i="13176"/>
  <c r="AJ525" i="13176"/>
  <c r="Q525" i="13176"/>
  <c r="AR525" i="13176"/>
  <c r="Z525" i="13176"/>
  <c r="G525" i="13176"/>
  <c r="AB525" i="13176"/>
  <c r="BA525" i="13176"/>
  <c r="Y526" i="13176"/>
  <c r="Q528" i="13176"/>
  <c r="AW528" i="13176"/>
  <c r="P529" i="13176"/>
  <c r="AU529" i="13176"/>
  <c r="Q534" i="13176"/>
  <c r="AX534" i="13176"/>
  <c r="AI536" i="13176"/>
  <c r="AE538" i="13176"/>
  <c r="N539" i="13176"/>
  <c r="AZ539" i="13176"/>
  <c r="U541" i="13176"/>
  <c r="K542" i="13176"/>
  <c r="BB542" i="13176"/>
  <c r="AO543" i="13176"/>
  <c r="AL544" i="13176"/>
  <c r="AI545" i="13176"/>
  <c r="AP549" i="13176"/>
  <c r="AZ491" i="13176"/>
  <c r="BC502" i="13176"/>
  <c r="AL502" i="13176"/>
  <c r="V502" i="13176"/>
  <c r="E502" i="13176"/>
  <c r="AP502" i="13176"/>
  <c r="Z502" i="13176"/>
  <c r="I502" i="13176"/>
  <c r="U502" i="13176"/>
  <c r="AN502" i="13176"/>
  <c r="D503" i="13176"/>
  <c r="W503" i="13176"/>
  <c r="AO503" i="13176"/>
  <c r="E505" i="13176"/>
  <c r="Y505" i="13176"/>
  <c r="AQ505" i="13176"/>
  <c r="F508" i="13176"/>
  <c r="Y508" i="13176"/>
  <c r="AQ508" i="13176"/>
  <c r="G510" i="13176"/>
  <c r="AA510" i="13176"/>
  <c r="AT510" i="13176"/>
  <c r="J515" i="13176"/>
  <c r="AD515" i="13176"/>
  <c r="AW515" i="13176"/>
  <c r="P517" i="13176"/>
  <c r="AJ517" i="13176"/>
  <c r="E520" i="13176"/>
  <c r="AA520" i="13176"/>
  <c r="AY520" i="13176"/>
  <c r="Q521" i="13176"/>
  <c r="AO521" i="13176"/>
  <c r="H522" i="13176"/>
  <c r="AG522" i="13176"/>
  <c r="BD522" i="13176"/>
  <c r="W523" i="13176"/>
  <c r="M524" i="13176"/>
  <c r="AI524" i="13176"/>
  <c r="E525" i="13176"/>
  <c r="AC525" i="13176"/>
  <c r="BB525" i="13176"/>
  <c r="T528" i="13176"/>
  <c r="AX528" i="13176"/>
  <c r="Q529" i="13176"/>
  <c r="AW529" i="13176"/>
  <c r="S534" i="13176"/>
  <c r="AZ534" i="13176"/>
  <c r="Y535" i="13176"/>
  <c r="AI538" i="13176"/>
  <c r="P539" i="13176"/>
  <c r="BB539" i="13176"/>
  <c r="V541" i="13176"/>
  <c r="O542" i="13176"/>
  <c r="BD542" i="13176"/>
  <c r="AM544" i="13176"/>
  <c r="AJ545" i="13176"/>
  <c r="Y546" i="13176"/>
  <c r="AQ549" i="13176"/>
  <c r="AU536" i="13176"/>
  <c r="AD536" i="13176"/>
  <c r="M536" i="13176"/>
  <c r="AR536" i="13176"/>
  <c r="AB536" i="13176"/>
  <c r="K536" i="13176"/>
  <c r="AW536" i="13176"/>
  <c r="AC536" i="13176"/>
  <c r="I536" i="13176"/>
  <c r="AV536" i="13176"/>
  <c r="AA536" i="13176"/>
  <c r="H536" i="13176"/>
  <c r="AT536" i="13176"/>
  <c r="Z536" i="13176"/>
  <c r="G536" i="13176"/>
  <c r="AP536" i="13176"/>
  <c r="X536" i="13176"/>
  <c r="E536" i="13176"/>
  <c r="AO536" i="13176"/>
  <c r="W536" i="13176"/>
  <c r="D536" i="13176"/>
  <c r="AN536" i="13176"/>
  <c r="V536" i="13176"/>
  <c r="C536" i="13176"/>
  <c r="AZ536" i="13176"/>
  <c r="AG536" i="13176"/>
  <c r="N536" i="13176"/>
  <c r="AK536" i="13176"/>
  <c r="AJ538" i="13176"/>
  <c r="AB541" i="13176"/>
  <c r="AO544" i="13176"/>
  <c r="AM545" i="13176"/>
  <c r="AY551" i="13176"/>
  <c r="AH551" i="13176"/>
  <c r="Q551" i="13176"/>
  <c r="AW551" i="13176"/>
  <c r="AF551" i="13176"/>
  <c r="O551" i="13176"/>
  <c r="AO551" i="13176"/>
  <c r="W551" i="13176"/>
  <c r="D551" i="13176"/>
  <c r="AN551" i="13176"/>
  <c r="V551" i="13176"/>
  <c r="C551" i="13176"/>
  <c r="AL551" i="13176"/>
  <c r="T551" i="13176"/>
  <c r="BD551" i="13176"/>
  <c r="AK551" i="13176"/>
  <c r="S551" i="13176"/>
  <c r="BA551" i="13176"/>
  <c r="AG551" i="13176"/>
  <c r="AZ551" i="13176"/>
  <c r="AE551" i="13176"/>
  <c r="L551" i="13176"/>
  <c r="AX551" i="13176"/>
  <c r="X551" i="13176"/>
  <c r="AV551" i="13176"/>
  <c r="U551" i="13176"/>
  <c r="AU551" i="13176"/>
  <c r="P551" i="13176"/>
  <c r="AT551" i="13176"/>
  <c r="N551" i="13176"/>
  <c r="AQ551" i="13176"/>
  <c r="K551" i="13176"/>
  <c r="AP551" i="13176"/>
  <c r="J551" i="13176"/>
  <c r="AM551" i="13176"/>
  <c r="I551" i="13176"/>
  <c r="AJ551" i="13176"/>
  <c r="H551" i="13176"/>
  <c r="AI551" i="13176"/>
  <c r="G551" i="13176"/>
  <c r="AC551" i="13176"/>
  <c r="E551" i="13176"/>
  <c r="BC551" i="13176"/>
  <c r="Z551" i="13176"/>
  <c r="S491" i="13176"/>
  <c r="AJ491" i="13176"/>
  <c r="D502" i="13176"/>
  <c r="X502" i="13176"/>
  <c r="AQ502" i="13176"/>
  <c r="F503" i="13176"/>
  <c r="Y503" i="13176"/>
  <c r="AQ503" i="13176"/>
  <c r="H505" i="13176"/>
  <c r="AA505" i="13176"/>
  <c r="AT505" i="13176"/>
  <c r="H508" i="13176"/>
  <c r="AA508" i="13176"/>
  <c r="AT508" i="13176"/>
  <c r="J510" i="13176"/>
  <c r="AC510" i="13176"/>
  <c r="AV510" i="13176"/>
  <c r="M515" i="13176"/>
  <c r="AF515" i="13176"/>
  <c r="AY515" i="13176"/>
  <c r="S517" i="13176"/>
  <c r="AL517" i="13176"/>
  <c r="J522" i="13176"/>
  <c r="AJ522" i="13176"/>
  <c r="AP523" i="13176"/>
  <c r="Z523" i="13176"/>
  <c r="I523" i="13176"/>
  <c r="AT523" i="13176"/>
  <c r="AB523" i="13176"/>
  <c r="J523" i="13176"/>
  <c r="AR523" i="13176"/>
  <c r="AA523" i="13176"/>
  <c r="H523" i="13176"/>
  <c r="AM523" i="13176"/>
  <c r="V523" i="13176"/>
  <c r="D523" i="13176"/>
  <c r="AW523" i="13176"/>
  <c r="AE523" i="13176"/>
  <c r="M523" i="13176"/>
  <c r="Y523" i="13176"/>
  <c r="AY523" i="13176"/>
  <c r="O524" i="13176"/>
  <c r="AM524" i="13176"/>
  <c r="H525" i="13176"/>
  <c r="AG525" i="13176"/>
  <c r="Y528" i="13176"/>
  <c r="AZ528" i="13176"/>
  <c r="U529" i="13176"/>
  <c r="AY529" i="13176"/>
  <c r="U534" i="13176"/>
  <c r="BB534" i="13176"/>
  <c r="F536" i="13176"/>
  <c r="AL536" i="13176"/>
  <c r="AK538" i="13176"/>
  <c r="S539" i="13176"/>
  <c r="BD539" i="13176"/>
  <c r="AH541" i="13176"/>
  <c r="S542" i="13176"/>
  <c r="BD543" i="13176"/>
  <c r="AX544" i="13176"/>
  <c r="AO545" i="13176"/>
  <c r="F551" i="13176"/>
  <c r="AN491" i="13176"/>
  <c r="X491" i="13176"/>
  <c r="G491" i="13176"/>
  <c r="T491" i="13176"/>
  <c r="AK491" i="13176"/>
  <c r="BC491" i="13176"/>
  <c r="F502" i="13176"/>
  <c r="Y502" i="13176"/>
  <c r="AR502" i="13176"/>
  <c r="G503" i="13176"/>
  <c r="Z503" i="13176"/>
  <c r="AR503" i="13176"/>
  <c r="I505" i="13176"/>
  <c r="AB505" i="13176"/>
  <c r="AU505" i="13176"/>
  <c r="I508" i="13176"/>
  <c r="AB508" i="13176"/>
  <c r="AU508" i="13176"/>
  <c r="K510" i="13176"/>
  <c r="AD510" i="13176"/>
  <c r="AW510" i="13176"/>
  <c r="N515" i="13176"/>
  <c r="AG515" i="13176"/>
  <c r="AZ515" i="13176"/>
  <c r="T517" i="13176"/>
  <c r="H520" i="13176"/>
  <c r="AF520" i="13176"/>
  <c r="BD520" i="13176"/>
  <c r="W521" i="13176"/>
  <c r="M522" i="13176"/>
  <c r="AK522" i="13176"/>
  <c r="C523" i="13176"/>
  <c r="AC523" i="13176"/>
  <c r="AZ523" i="13176"/>
  <c r="P524" i="13176"/>
  <c r="AN524" i="13176"/>
  <c r="I525" i="13176"/>
  <c r="AH525" i="13176"/>
  <c r="BC526" i="13176"/>
  <c r="Z528" i="13176"/>
  <c r="BA528" i="13176"/>
  <c r="AA529" i="13176"/>
  <c r="AZ529" i="13176"/>
  <c r="Y534" i="13176"/>
  <c r="BC534" i="13176"/>
  <c r="J536" i="13176"/>
  <c r="AM536" i="13176"/>
  <c r="T539" i="13176"/>
  <c r="AI541" i="13176"/>
  <c r="T542" i="13176"/>
  <c r="AQ545" i="13176"/>
  <c r="M551" i="13176"/>
  <c r="AJ597" i="13176"/>
  <c r="AY538" i="13176"/>
  <c r="AH538" i="13176"/>
  <c r="Q538" i="13176"/>
  <c r="AW538" i="13176"/>
  <c r="AF538" i="13176"/>
  <c r="O538" i="13176"/>
  <c r="AV538" i="13176"/>
  <c r="AC538" i="13176"/>
  <c r="J538" i="13176"/>
  <c r="AU538" i="13176"/>
  <c r="AB538" i="13176"/>
  <c r="I538" i="13176"/>
  <c r="AT538" i="13176"/>
  <c r="AA538" i="13176"/>
  <c r="H538" i="13176"/>
  <c r="AQ538" i="13176"/>
  <c r="Y538" i="13176"/>
  <c r="F538" i="13176"/>
  <c r="AP538" i="13176"/>
  <c r="X538" i="13176"/>
  <c r="E538" i="13176"/>
  <c r="AO538" i="13176"/>
  <c r="W538" i="13176"/>
  <c r="D538" i="13176"/>
  <c r="AN538" i="13176"/>
  <c r="V538" i="13176"/>
  <c r="C538" i="13176"/>
  <c r="BA538" i="13176"/>
  <c r="AG538" i="13176"/>
  <c r="M538" i="13176"/>
  <c r="AM538" i="13176"/>
  <c r="U539" i="13176"/>
  <c r="BB540" i="13176"/>
  <c r="AK541" i="13176"/>
  <c r="AU544" i="13176"/>
  <c r="AD544" i="13176"/>
  <c r="M544" i="13176"/>
  <c r="AR544" i="13176"/>
  <c r="AB544" i="13176"/>
  <c r="K544" i="13176"/>
  <c r="BA544" i="13176"/>
  <c r="AH544" i="13176"/>
  <c r="O544" i="13176"/>
  <c r="AZ544" i="13176"/>
  <c r="AG544" i="13176"/>
  <c r="N544" i="13176"/>
  <c r="AY544" i="13176"/>
  <c r="AF544" i="13176"/>
  <c r="L544" i="13176"/>
  <c r="AW544" i="13176"/>
  <c r="AC544" i="13176"/>
  <c r="I544" i="13176"/>
  <c r="AV544" i="13176"/>
  <c r="AA544" i="13176"/>
  <c r="H544" i="13176"/>
  <c r="AT544" i="13176"/>
  <c r="Z544" i="13176"/>
  <c r="G544" i="13176"/>
  <c r="AQ544" i="13176"/>
  <c r="Y544" i="13176"/>
  <c r="F544" i="13176"/>
  <c r="AP544" i="13176"/>
  <c r="X544" i="13176"/>
  <c r="E544" i="13176"/>
  <c r="AN544" i="13176"/>
  <c r="V544" i="13176"/>
  <c r="C544" i="13176"/>
  <c r="BD544" i="13176"/>
  <c r="AK544" i="13176"/>
  <c r="S544" i="13176"/>
  <c r="BC544" i="13176"/>
  <c r="AX545" i="13176"/>
  <c r="Y551" i="13176"/>
  <c r="AU517" i="13176"/>
  <c r="AT517" i="13176"/>
  <c r="AC517" i="13176"/>
  <c r="L517" i="13176"/>
  <c r="AR517" i="13176"/>
  <c r="AB517" i="13176"/>
  <c r="K517" i="13176"/>
  <c r="AX517" i="13176"/>
  <c r="AF517" i="13176"/>
  <c r="O517" i="13176"/>
  <c r="V517" i="13176"/>
  <c r="AO517" i="13176"/>
  <c r="I518" i="13176"/>
  <c r="BC521" i="13176"/>
  <c r="AL521" i="13176"/>
  <c r="V521" i="13176"/>
  <c r="E521" i="13176"/>
  <c r="AY521" i="13176"/>
  <c r="AG521" i="13176"/>
  <c r="O521" i="13176"/>
  <c r="AX521" i="13176"/>
  <c r="AF521" i="13176"/>
  <c r="N521" i="13176"/>
  <c r="AT521" i="13176"/>
  <c r="AB521" i="13176"/>
  <c r="J521" i="13176"/>
  <c r="BB521" i="13176"/>
  <c r="AJ521" i="13176"/>
  <c r="S521" i="13176"/>
  <c r="Y521" i="13176"/>
  <c r="AV521" i="13176"/>
  <c r="Q522" i="13176"/>
  <c r="AM522" i="13176"/>
  <c r="F523" i="13176"/>
  <c r="AF523" i="13176"/>
  <c r="BB523" i="13176"/>
  <c r="U524" i="13176"/>
  <c r="K525" i="13176"/>
  <c r="AK525" i="13176"/>
  <c r="BD527" i="13176"/>
  <c r="AE528" i="13176"/>
  <c r="AD529" i="13176"/>
  <c r="AE534" i="13176"/>
  <c r="O536" i="13176"/>
  <c r="AX536" i="13176"/>
  <c r="G538" i="13176"/>
  <c r="AR538" i="13176"/>
  <c r="AA539" i="13176"/>
  <c r="AL541" i="13176"/>
  <c r="V542" i="13176"/>
  <c r="D544" i="13176"/>
  <c r="AA551" i="13176"/>
  <c r="AN545" i="13176"/>
  <c r="X545" i="13176"/>
  <c r="G545" i="13176"/>
  <c r="BC545" i="13176"/>
  <c r="AL545" i="13176"/>
  <c r="V545" i="13176"/>
  <c r="E545" i="13176"/>
  <c r="BA545" i="13176"/>
  <c r="AH545" i="13176"/>
  <c r="O545" i="13176"/>
  <c r="AZ545" i="13176"/>
  <c r="AG545" i="13176"/>
  <c r="N545" i="13176"/>
  <c r="AY545" i="13176"/>
  <c r="AF545" i="13176"/>
  <c r="M545" i="13176"/>
  <c r="AW545" i="13176"/>
  <c r="AD545" i="13176"/>
  <c r="K545" i="13176"/>
  <c r="AV545" i="13176"/>
  <c r="AC545" i="13176"/>
  <c r="J545" i="13176"/>
  <c r="AU545" i="13176"/>
  <c r="AB545" i="13176"/>
  <c r="I545" i="13176"/>
  <c r="AT545" i="13176"/>
  <c r="AA545" i="13176"/>
  <c r="H545" i="13176"/>
  <c r="AR545" i="13176"/>
  <c r="Z545" i="13176"/>
  <c r="F545" i="13176"/>
  <c r="AP545" i="13176"/>
  <c r="W545" i="13176"/>
  <c r="C545" i="13176"/>
  <c r="AK545" i="13176"/>
  <c r="S545" i="13176"/>
  <c r="BD545" i="13176"/>
  <c r="AX549" i="13176"/>
  <c r="AG549" i="13176"/>
  <c r="P549" i="13176"/>
  <c r="AW549" i="13176"/>
  <c r="AF549" i="13176"/>
  <c r="O549" i="13176"/>
  <c r="AU549" i="13176"/>
  <c r="AD549" i="13176"/>
  <c r="M549" i="13176"/>
  <c r="AT549" i="13176"/>
  <c r="AC549" i="13176"/>
  <c r="L549" i="13176"/>
  <c r="AM549" i="13176"/>
  <c r="S549" i="13176"/>
  <c r="AL549" i="13176"/>
  <c r="Q549" i="13176"/>
  <c r="AK549" i="13176"/>
  <c r="N549" i="13176"/>
  <c r="AJ549" i="13176"/>
  <c r="K549" i="13176"/>
  <c r="BC549" i="13176"/>
  <c r="AH549" i="13176"/>
  <c r="I549" i="13176"/>
  <c r="BB549" i="13176"/>
  <c r="AE549" i="13176"/>
  <c r="H549" i="13176"/>
  <c r="BA549" i="13176"/>
  <c r="AB549" i="13176"/>
  <c r="G549" i="13176"/>
  <c r="AZ549" i="13176"/>
  <c r="AA549" i="13176"/>
  <c r="F549" i="13176"/>
  <c r="AY549" i="13176"/>
  <c r="Z549" i="13176"/>
  <c r="E549" i="13176"/>
  <c r="AR549" i="13176"/>
  <c r="X549" i="13176"/>
  <c r="C549" i="13176"/>
  <c r="AO549" i="13176"/>
  <c r="U549" i="13176"/>
  <c r="AB551" i="13176"/>
  <c r="AU528" i="13176"/>
  <c r="AD528" i="13176"/>
  <c r="M528" i="13176"/>
  <c r="AR528" i="13176"/>
  <c r="AB528" i="13176"/>
  <c r="K528" i="13176"/>
  <c r="AP528" i="13176"/>
  <c r="X528" i="13176"/>
  <c r="E528" i="13176"/>
  <c r="AO528" i="13176"/>
  <c r="W528" i="13176"/>
  <c r="D528" i="13176"/>
  <c r="AN528" i="13176"/>
  <c r="V528" i="13176"/>
  <c r="C528" i="13176"/>
  <c r="BD528" i="13176"/>
  <c r="AK528" i="13176"/>
  <c r="S528" i="13176"/>
  <c r="AV528" i="13176"/>
  <c r="AA528" i="13176"/>
  <c r="H528" i="13176"/>
  <c r="AF528" i="13176"/>
  <c r="AG534" i="13176"/>
  <c r="AX535" i="13176"/>
  <c r="P536" i="13176"/>
  <c r="AY536" i="13176"/>
  <c r="K538" i="13176"/>
  <c r="AX538" i="13176"/>
  <c r="I1204" i="13176"/>
  <c r="I1189" i="13176"/>
  <c r="I1215" i="13176"/>
  <c r="I1207" i="13176"/>
  <c r="I1185" i="13176"/>
  <c r="I1187" i="13176"/>
  <c r="I1177" i="13176"/>
  <c r="I1212" i="13176"/>
  <c r="I1182" i="13176"/>
  <c r="I1169" i="13176"/>
  <c r="I1174" i="13176"/>
  <c r="I1166" i="13176"/>
  <c r="I1181" i="13176"/>
  <c r="I1163" i="13176"/>
  <c r="I1171" i="13176"/>
  <c r="I1168" i="13176"/>
  <c r="I1179" i="13176"/>
  <c r="I1154" i="13176"/>
  <c r="I1160" i="13176"/>
  <c r="I1156" i="13176"/>
  <c r="I1146" i="13176"/>
  <c r="I1134" i="13176"/>
  <c r="I1126" i="13176"/>
  <c r="I1139" i="13176"/>
  <c r="I1131" i="13176"/>
  <c r="I1158" i="13176"/>
  <c r="I1151" i="13176"/>
  <c r="I1118" i="13176"/>
  <c r="I1141" i="13176"/>
  <c r="I1117" i="13176"/>
  <c r="I1133" i="13176"/>
  <c r="I1147" i="13176"/>
  <c r="I1116" i="13176"/>
  <c r="I1108" i="13176"/>
  <c r="I1123" i="13176"/>
  <c r="I1113" i="13176"/>
  <c r="I1121" i="13176"/>
  <c r="I1100" i="13176"/>
  <c r="I1092" i="13176"/>
  <c r="I1084" i="13176"/>
  <c r="I1076" i="13176"/>
  <c r="I1109" i="13176"/>
  <c r="I1089" i="13176"/>
  <c r="I1105" i="13176"/>
  <c r="I1081" i="13176"/>
  <c r="I1083" i="13176"/>
  <c r="I1086" i="13176"/>
  <c r="I1078" i="13176"/>
  <c r="I1073" i="13176"/>
  <c r="I1095" i="13176"/>
  <c r="I1067" i="13176"/>
  <c r="I1059" i="13176"/>
  <c r="I1090" i="13176"/>
  <c r="I1091" i="13176"/>
  <c r="I1064" i="13176"/>
  <c r="I1051" i="13176"/>
  <c r="I1042" i="13176"/>
  <c r="I1041" i="13176"/>
  <c r="I1033" i="13176"/>
  <c r="I1046" i="13176"/>
  <c r="I1052" i="13176"/>
  <c r="I1030" i="13176"/>
  <c r="I1025" i="13176"/>
  <c r="I1038" i="13176"/>
  <c r="I1034" i="13176"/>
  <c r="I1017" i="13176"/>
  <c r="I1009" i="13176"/>
  <c r="I1022" i="13176"/>
  <c r="I1014" i="13176"/>
  <c r="I1026" i="13176"/>
  <c r="I1000" i="13176"/>
  <c r="I1016" i="13176"/>
  <c r="I1001" i="13176"/>
  <c r="I1008" i="13176"/>
  <c r="I990" i="13176"/>
  <c r="I982" i="13176"/>
  <c r="I974" i="13176"/>
  <c r="I1011" i="13176"/>
  <c r="I1004" i="13176"/>
  <c r="I995" i="13176"/>
  <c r="I987" i="13176"/>
  <c r="I1006" i="13176"/>
  <c r="I992" i="13176"/>
  <c r="I984" i="13176"/>
  <c r="I999" i="13176"/>
  <c r="I998" i="13176"/>
  <c r="I989" i="13176"/>
  <c r="I979" i="13176"/>
  <c r="I981" i="13176"/>
  <c r="I997" i="13176"/>
  <c r="I973" i="13176"/>
  <c r="I977" i="13176"/>
  <c r="I976" i="13176"/>
  <c r="I971" i="13176"/>
  <c r="I947" i="13176"/>
  <c r="I939" i="13176"/>
  <c r="I931" i="13176"/>
  <c r="I923" i="13176"/>
  <c r="I944" i="13176"/>
  <c r="I936" i="13176"/>
  <c r="I950" i="13176"/>
  <c r="I906" i="13176"/>
  <c r="I898" i="13176"/>
  <c r="I890" i="13176"/>
  <c r="I882" i="13176"/>
  <c r="I874" i="13176"/>
  <c r="I903" i="13176"/>
  <c r="I895" i="13176"/>
  <c r="I887" i="13176"/>
  <c r="I879" i="13176"/>
  <c r="I871" i="13176"/>
  <c r="I909" i="13176"/>
  <c r="I900" i="13176"/>
  <c r="I892" i="13176"/>
  <c r="I884" i="13176"/>
  <c r="I876" i="13176"/>
  <c r="I868" i="13176"/>
  <c r="I905" i="13176"/>
  <c r="I881" i="13176"/>
  <c r="I889" i="13176"/>
  <c r="I864" i="13176"/>
  <c r="I856" i="13176"/>
  <c r="I867" i="13176"/>
  <c r="I861" i="13176"/>
  <c r="I853" i="13176"/>
  <c r="I845" i="13176"/>
  <c r="I837" i="13176"/>
  <c r="I897" i="13176"/>
  <c r="I866" i="13176"/>
  <c r="I858" i="13176"/>
  <c r="I850" i="13176"/>
  <c r="I820" i="13176"/>
  <c r="I812" i="13176"/>
  <c r="I804" i="13176"/>
  <c r="I796" i="13176"/>
  <c r="I827" i="13176"/>
  <c r="I817" i="13176"/>
  <c r="I809" i="13176"/>
  <c r="I801" i="13176"/>
  <c r="I793" i="13176"/>
  <c r="I822" i="13176"/>
  <c r="I814" i="13176"/>
  <c r="I806" i="13176"/>
  <c r="I785" i="13176"/>
  <c r="I780" i="13176"/>
  <c r="I777" i="13176"/>
  <c r="I769" i="13176"/>
  <c r="I774" i="13176"/>
  <c r="I766" i="13176"/>
  <c r="I758" i="13176"/>
  <c r="I750" i="13176"/>
  <c r="I742" i="13176"/>
  <c r="I771" i="13176"/>
  <c r="I747" i="13176"/>
  <c r="I745" i="13176"/>
  <c r="I783" i="13176"/>
  <c r="I739" i="13176"/>
  <c r="I779" i="13176"/>
  <c r="I729" i="13176"/>
  <c r="I761" i="13176"/>
  <c r="I763" i="13176"/>
  <c r="I734" i="13176"/>
  <c r="I726" i="13176"/>
  <c r="I718" i="13176"/>
  <c r="I755" i="13176"/>
  <c r="I731" i="13176"/>
  <c r="I723" i="13176"/>
  <c r="I715" i="13176"/>
  <c r="I753" i="13176"/>
  <c r="I736" i="13176"/>
  <c r="I687" i="13176"/>
  <c r="I679" i="13176"/>
  <c r="I702" i="13176"/>
  <c r="I720" i="13176"/>
  <c r="I704" i="13176"/>
  <c r="I728" i="13176"/>
  <c r="I737" i="13176"/>
  <c r="I688" i="13176"/>
  <c r="I680" i="13176"/>
  <c r="I672" i="13176"/>
  <c r="I664" i="13176"/>
  <c r="I712" i="13176"/>
  <c r="I690" i="13176"/>
  <c r="I682" i="13176"/>
  <c r="I674" i="13176"/>
  <c r="I654" i="13176"/>
  <c r="I677" i="13176"/>
  <c r="I666" i="13176"/>
  <c r="I710" i="13176"/>
  <c r="I685" i="13176"/>
  <c r="I669" i="13176"/>
  <c r="I655" i="13176"/>
  <c r="I671" i="13176"/>
  <c r="I662" i="13176"/>
  <c r="I661" i="13176"/>
  <c r="I610" i="13176"/>
  <c r="I663" i="13176"/>
  <c r="I615" i="13176"/>
  <c r="I604" i="13176"/>
  <c r="I612" i="13176"/>
  <c r="I546" i="13176"/>
  <c r="Y1212" i="13176"/>
  <c r="Y1209" i="13176"/>
  <c r="Y1214" i="13176"/>
  <c r="Y1213" i="13176"/>
  <c r="Y1210" i="13176"/>
  <c r="Y1206" i="13176"/>
  <c r="Y1205" i="13176"/>
  <c r="Y1207" i="13176"/>
  <c r="Y1204" i="13176"/>
  <c r="Y1201" i="13176"/>
  <c r="Y1179" i="13176"/>
  <c r="Y1185" i="13176"/>
  <c r="Y1177" i="13176"/>
  <c r="Y1169" i="13176"/>
  <c r="Y1202" i="13176"/>
  <c r="Y1164" i="13176"/>
  <c r="Y1171" i="13176"/>
  <c r="Y1174" i="13176"/>
  <c r="Y1182" i="13176"/>
  <c r="Y1154" i="13176"/>
  <c r="Y1163" i="13176"/>
  <c r="Y1187" i="13176"/>
  <c r="Y1156" i="13176"/>
  <c r="Y1138" i="13176"/>
  <c r="Y1130" i="13176"/>
  <c r="Y1135" i="13176"/>
  <c r="Y1161" i="13176"/>
  <c r="Y1147" i="13176"/>
  <c r="Y1151" i="13176"/>
  <c r="Y1134" i="13176"/>
  <c r="Y1146" i="13176"/>
  <c r="Y1166" i="13176"/>
  <c r="Y1107" i="13176"/>
  <c r="Y1099" i="13176"/>
  <c r="Y1118" i="13176"/>
  <c r="Y1126" i="13176"/>
  <c r="Y1122" i="13176"/>
  <c r="Y1162" i="13176"/>
  <c r="Y1131" i="13176"/>
  <c r="Y1127" i="13176"/>
  <c r="Y1116" i="13176"/>
  <c r="Y1108" i="13176"/>
  <c r="Y1139" i="13176"/>
  <c r="Y1124" i="13176"/>
  <c r="Y1113" i="13176"/>
  <c r="Y1110" i="13176"/>
  <c r="Y1100" i="13176"/>
  <c r="Y1109" i="13176"/>
  <c r="Y1105" i="13176"/>
  <c r="Y1089" i="13176"/>
  <c r="Y1095" i="13176"/>
  <c r="Y1072" i="13176"/>
  <c r="Y1071" i="13176"/>
  <c r="Y1063" i="13176"/>
  <c r="Y1084" i="13176"/>
  <c r="Y1076" i="13176"/>
  <c r="Y1073" i="13176"/>
  <c r="Y1067" i="13176"/>
  <c r="Y1081" i="13176"/>
  <c r="Y1078" i="13176"/>
  <c r="Y1096" i="13176"/>
  <c r="Y1092" i="13176"/>
  <c r="Y1064" i="13176"/>
  <c r="Y1055" i="13176"/>
  <c r="Y1049" i="13176"/>
  <c r="Y1048" i="13176"/>
  <c r="Y1042" i="13176"/>
  <c r="Y1069" i="13176"/>
  <c r="Y1059" i="13176"/>
  <c r="Y1051" i="13176"/>
  <c r="Y1061" i="13176"/>
  <c r="Y1041" i="13176"/>
  <c r="Y1033" i="13176"/>
  <c r="Y1046" i="13176"/>
  <c r="Y1034" i="13176"/>
  <c r="Y1038" i="13176"/>
  <c r="Y1026" i="13176"/>
  <c r="Y1030" i="13176"/>
  <c r="Y1031" i="13176"/>
  <c r="Y1017" i="13176"/>
  <c r="Y1009" i="13176"/>
  <c r="Y1025" i="13176"/>
  <c r="Y1014" i="13176"/>
  <c r="Y1043" i="13176"/>
  <c r="Y1011" i="13176"/>
  <c r="Y1006" i="13176"/>
  <c r="Y1022" i="13176"/>
  <c r="Y1001" i="13176"/>
  <c r="Y1003" i="13176"/>
  <c r="Y993" i="13176"/>
  <c r="Y990" i="13176"/>
  <c r="Y982" i="13176"/>
  <c r="Y1012" i="13176"/>
  <c r="Y995" i="13176"/>
  <c r="Y987" i="13176"/>
  <c r="Y992" i="13176"/>
  <c r="Y984" i="13176"/>
  <c r="Y965" i="13176"/>
  <c r="Y985" i="13176"/>
  <c r="Y1027" i="13176"/>
  <c r="Y969" i="13176"/>
  <c r="Y979" i="13176"/>
  <c r="Y974" i="13176"/>
  <c r="Y966" i="13176"/>
  <c r="Y963" i="13176"/>
  <c r="Y961" i="13176"/>
  <c r="Y971" i="13176"/>
  <c r="Y957" i="13176"/>
  <c r="Y948" i="13176"/>
  <c r="Y952" i="13176"/>
  <c r="Y967" i="13176"/>
  <c r="Y960" i="13176"/>
  <c r="Y958" i="13176"/>
  <c r="Y955" i="13176"/>
  <c r="Y947" i="13176"/>
  <c r="Y944" i="13176"/>
  <c r="Y936" i="13176"/>
  <c r="Y928" i="13176"/>
  <c r="Y925" i="13176"/>
  <c r="Y923" i="13176"/>
  <c r="Y949" i="13176"/>
  <c r="Y920" i="13176"/>
  <c r="Y956" i="13176"/>
  <c r="Y939" i="13176"/>
  <c r="Y906" i="13176"/>
  <c r="Y898" i="13176"/>
  <c r="Y890" i="13176"/>
  <c r="Y882" i="13176"/>
  <c r="Y874" i="13176"/>
  <c r="Y941" i="13176"/>
  <c r="Y933" i="13176"/>
  <c r="Y931" i="13176"/>
  <c r="Y915" i="13176"/>
  <c r="Y903" i="13176"/>
  <c r="Y895" i="13176"/>
  <c r="Y887" i="13176"/>
  <c r="Y900" i="13176"/>
  <c r="Y892" i="13176"/>
  <c r="Y884" i="13176"/>
  <c r="Y876" i="13176"/>
  <c r="Y879" i="13176"/>
  <c r="Y871" i="13176"/>
  <c r="Y841" i="13176"/>
  <c r="Y868" i="13176"/>
  <c r="Y864" i="13176"/>
  <c r="Y856" i="13176"/>
  <c r="Y848" i="13176"/>
  <c r="Y840" i="13176"/>
  <c r="Y861" i="13176"/>
  <c r="Y853" i="13176"/>
  <c r="Y845" i="13176"/>
  <c r="Y913" i="13176"/>
  <c r="Y832" i="13176"/>
  <c r="Y858" i="13176"/>
  <c r="Y813" i="13176"/>
  <c r="Y805" i="13176"/>
  <c r="Y797" i="13176"/>
  <c r="Y837" i="13176"/>
  <c r="Y823" i="13176"/>
  <c r="Y842" i="13176"/>
  <c r="Y833" i="13176"/>
  <c r="Y830" i="13176"/>
  <c r="Y866" i="13176"/>
  <c r="Y820" i="13176"/>
  <c r="Y812" i="13176"/>
  <c r="Y804" i="13176"/>
  <c r="Y796" i="13176"/>
  <c r="Y788" i="13176"/>
  <c r="Y817" i="13176"/>
  <c r="Y809" i="13176"/>
  <c r="Y801" i="13176"/>
  <c r="Y793" i="13176"/>
  <c r="Y850" i="13176"/>
  <c r="Y814" i="13176"/>
  <c r="Y789" i="13176"/>
  <c r="Y779" i="13176"/>
  <c r="Y771" i="13176"/>
  <c r="Y763" i="13176"/>
  <c r="Y755" i="13176"/>
  <c r="Y798" i="13176"/>
  <c r="Y765" i="13176"/>
  <c r="Y757" i="13176"/>
  <c r="Y749" i="13176"/>
  <c r="Y741" i="13176"/>
  <c r="Y822" i="13176"/>
  <c r="Y790" i="13176"/>
  <c r="Y746" i="13176"/>
  <c r="Y782" i="13176"/>
  <c r="Y806" i="13176"/>
  <c r="Y780" i="13176"/>
  <c r="Y828" i="13176"/>
  <c r="Y777" i="13176"/>
  <c r="Y769" i="13176"/>
  <c r="Y761" i="13176"/>
  <c r="Y753" i="13176"/>
  <c r="Y745" i="13176"/>
  <c r="Y785" i="13176"/>
  <c r="Y774" i="13176"/>
  <c r="Y766" i="13176"/>
  <c r="Y758" i="13176"/>
  <c r="Y750" i="13176"/>
  <c r="Y735" i="13176"/>
  <c r="Y727" i="13176"/>
  <c r="Y719" i="13176"/>
  <c r="Y711" i="13176"/>
  <c r="Y742" i="13176"/>
  <c r="Y732" i="13176"/>
  <c r="Y724" i="13176"/>
  <c r="Y716" i="13176"/>
  <c r="Y708" i="13176"/>
  <c r="Y729" i="13176"/>
  <c r="Y721" i="13176"/>
  <c r="Y743" i="13176"/>
  <c r="Y734" i="13176"/>
  <c r="Y726" i="13176"/>
  <c r="Y718" i="13176"/>
  <c r="Y710" i="13176"/>
  <c r="Y702" i="13176"/>
  <c r="Y739" i="13176"/>
  <c r="Y731" i="13176"/>
  <c r="Y723" i="13176"/>
  <c r="Y715" i="13176"/>
  <c r="Y707" i="13176"/>
  <c r="Y699" i="13176"/>
  <c r="Y747" i="13176"/>
  <c r="Y704" i="13176"/>
  <c r="Y703" i="13176"/>
  <c r="Y695" i="13176"/>
  <c r="Y689" i="13176"/>
  <c r="Y681" i="13176"/>
  <c r="Y673" i="13176"/>
  <c r="Y738" i="13176"/>
  <c r="Y697" i="13176"/>
  <c r="Y691" i="13176"/>
  <c r="Y683" i="13176"/>
  <c r="Y675" i="13176"/>
  <c r="Y688" i="13176"/>
  <c r="Y680" i="13176"/>
  <c r="Y672" i="13176"/>
  <c r="Y664" i="13176"/>
  <c r="Y685" i="13176"/>
  <c r="Y677" i="13176"/>
  <c r="Y669" i="13176"/>
  <c r="Y630" i="13176"/>
  <c r="Y667" i="13176"/>
  <c r="Y665" i="13176"/>
  <c r="Y661" i="13176"/>
  <c r="Y662" i="13176"/>
  <c r="Y651" i="13176"/>
  <c r="Y643" i="13176"/>
  <c r="Y635" i="13176"/>
  <c r="Y656" i="13176"/>
  <c r="Y648" i="13176"/>
  <c r="Y640" i="13176"/>
  <c r="Y658" i="13176"/>
  <c r="Y655" i="13176"/>
  <c r="Y647" i="13176"/>
  <c r="Y639" i="13176"/>
  <c r="Y636" i="13176"/>
  <c r="Y631" i="13176"/>
  <c r="Y616" i="13176"/>
  <c r="Y623" i="13176"/>
  <c r="Y608" i="13176"/>
  <c r="Y644" i="13176"/>
  <c r="Y632" i="13176"/>
  <c r="Y613" i="13176"/>
  <c r="Y624" i="13176"/>
  <c r="Y610" i="13176"/>
  <c r="Y621" i="13176"/>
  <c r="Y627" i="13176"/>
  <c r="Y604" i="13176"/>
  <c r="Y603" i="13176"/>
  <c r="Y605" i="13176"/>
  <c r="Y602" i="13176"/>
  <c r="Y606" i="13176"/>
  <c r="Y600" i="13176"/>
  <c r="Y652" i="13176"/>
  <c r="Y586" i="13176"/>
  <c r="Y585" i="13176"/>
  <c r="Y601" i="13176"/>
  <c r="Y587" i="13176"/>
  <c r="Y592" i="13176"/>
  <c r="Y589" i="13176"/>
  <c r="Y552" i="13176"/>
  <c r="Y550" i="13176"/>
  <c r="Y590" i="13176"/>
  <c r="Y591" i="13176"/>
  <c r="Y588" i="13176"/>
  <c r="AO1212" i="13176"/>
  <c r="AO1209" i="13176"/>
  <c r="AO1214" i="13176"/>
  <c r="AO1213" i="13176"/>
  <c r="AO1210" i="13176"/>
  <c r="AO1205" i="13176"/>
  <c r="AO1206" i="13176"/>
  <c r="AO1207" i="13176"/>
  <c r="AO1204" i="13176"/>
  <c r="AO1201" i="13176"/>
  <c r="AO1202" i="13176"/>
  <c r="AO1185" i="13176"/>
  <c r="AO1182" i="13176"/>
  <c r="AO1194" i="13176"/>
  <c r="AO1179" i="13176"/>
  <c r="AO1187" i="13176"/>
  <c r="AO1177" i="13176"/>
  <c r="AO1169" i="13176"/>
  <c r="AO1197" i="13176"/>
  <c r="AO1174" i="13176"/>
  <c r="AO1161" i="13176"/>
  <c r="AO1163" i="13176"/>
  <c r="AO1180" i="13176"/>
  <c r="AO1166" i="13176"/>
  <c r="AO1154" i="13176"/>
  <c r="AO1138" i="13176"/>
  <c r="AO1130" i="13176"/>
  <c r="AO1151" i="13176"/>
  <c r="AO1135" i="13176"/>
  <c r="AO1171" i="13176"/>
  <c r="AO1134" i="13176"/>
  <c r="AO1143" i="13176"/>
  <c r="AO1107" i="13176"/>
  <c r="AO1099" i="13176"/>
  <c r="AO1127" i="13176"/>
  <c r="AO1123" i="13176"/>
  <c r="AO1118" i="13176"/>
  <c r="AO1131" i="13176"/>
  <c r="AO1156" i="13176"/>
  <c r="AO1146" i="13176"/>
  <c r="AO1139" i="13176"/>
  <c r="AO1122" i="13176"/>
  <c r="AO1116" i="13176"/>
  <c r="AO1108" i="13176"/>
  <c r="AO1113" i="13176"/>
  <c r="AO1126" i="13176"/>
  <c r="AO1109" i="13176"/>
  <c r="AO1105" i="13176"/>
  <c r="AO1120" i="13176"/>
  <c r="AO1100" i="13176"/>
  <c r="AO1089" i="13176"/>
  <c r="AO1084" i="13176"/>
  <c r="AO1095" i="13176"/>
  <c r="AO1071" i="13176"/>
  <c r="AO1063" i="13176"/>
  <c r="AO1078" i="13176"/>
  <c r="AO1081" i="13176"/>
  <c r="AO1072" i="13176"/>
  <c r="AO1092" i="13176"/>
  <c r="AO1085" i="13176"/>
  <c r="AO1067" i="13176"/>
  <c r="AO1103" i="13176"/>
  <c r="AO1076" i="13176"/>
  <c r="AO1059" i="13176"/>
  <c r="AO1074" i="13176"/>
  <c r="AO1069" i="13176"/>
  <c r="AO1042" i="13176"/>
  <c r="AO1061" i="13176"/>
  <c r="AO1049" i="13176"/>
  <c r="AO1073" i="13176"/>
  <c r="AO1055" i="13176"/>
  <c r="AO1052" i="13176"/>
  <c r="AO1050" i="13176"/>
  <c r="AO1041" i="13176"/>
  <c r="AO1033" i="13176"/>
  <c r="AO1051" i="13176"/>
  <c r="AO1046" i="13176"/>
  <c r="AO1038" i="13176"/>
  <c r="AO1064" i="13176"/>
  <c r="AO1022" i="13176"/>
  <c r="AO1026" i="13176"/>
  <c r="AO1009" i="13176"/>
  <c r="AO1043" i="13176"/>
  <c r="AO1017" i="13176"/>
  <c r="AO1014" i="13176"/>
  <c r="AO1034" i="13176"/>
  <c r="AO1011" i="13176"/>
  <c r="AO997" i="13176"/>
  <c r="AO1030" i="13176"/>
  <c r="AO1025" i="13176"/>
  <c r="AO993" i="13176"/>
  <c r="AO985" i="13176"/>
  <c r="AO1012" i="13176"/>
  <c r="AO1004" i="13176"/>
  <c r="AO1028" i="13176"/>
  <c r="AO1001" i="13176"/>
  <c r="AO990" i="13176"/>
  <c r="AO982" i="13176"/>
  <c r="AO1003" i="13176"/>
  <c r="AO995" i="13176"/>
  <c r="AO987" i="13176"/>
  <c r="AO1006" i="13176"/>
  <c r="AO992" i="13176"/>
  <c r="AO984" i="13176"/>
  <c r="AO974" i="13176"/>
  <c r="AO965" i="13176"/>
  <c r="AO979" i="13176"/>
  <c r="AO975" i="13176"/>
  <c r="AO969" i="13176"/>
  <c r="AO977" i="13176"/>
  <c r="AO976" i="13176"/>
  <c r="AO966" i="13176"/>
  <c r="AO971" i="13176"/>
  <c r="AO955" i="13176"/>
  <c r="AO948" i="13176"/>
  <c r="AO967" i="13176"/>
  <c r="AO952" i="13176"/>
  <c r="AO947" i="13176"/>
  <c r="AO961" i="13176"/>
  <c r="AO957" i="13176"/>
  <c r="AO944" i="13176"/>
  <c r="AO936" i="13176"/>
  <c r="AO928" i="13176"/>
  <c r="AO909" i="13176"/>
  <c r="AO939" i="13176"/>
  <c r="AO915" i="13176"/>
  <c r="AO911" i="13176"/>
  <c r="AO933" i="13176"/>
  <c r="AO931" i="13176"/>
  <c r="AO906" i="13176"/>
  <c r="AO898" i="13176"/>
  <c r="AO890" i="13176"/>
  <c r="AO882" i="13176"/>
  <c r="AO874" i="13176"/>
  <c r="AO941" i="13176"/>
  <c r="AO903" i="13176"/>
  <c r="AO895" i="13176"/>
  <c r="AO887" i="13176"/>
  <c r="AO963" i="13176"/>
  <c r="AO917" i="13176"/>
  <c r="AO910" i="13176"/>
  <c r="AO925" i="13176"/>
  <c r="AO923" i="13176"/>
  <c r="AO920" i="13176"/>
  <c r="AO908" i="13176"/>
  <c r="AO900" i="13176"/>
  <c r="AO892" i="13176"/>
  <c r="AO884" i="13176"/>
  <c r="AO876" i="13176"/>
  <c r="AO879" i="13176"/>
  <c r="AO868" i="13176"/>
  <c r="AO841" i="13176"/>
  <c r="AO864" i="13176"/>
  <c r="AO856" i="13176"/>
  <c r="AO848" i="13176"/>
  <c r="AO840" i="13176"/>
  <c r="AO872" i="13176"/>
  <c r="AO861" i="13176"/>
  <c r="AO853" i="13176"/>
  <c r="AO845" i="13176"/>
  <c r="AO858" i="13176"/>
  <c r="AO837" i="13176"/>
  <c r="AO833" i="13176"/>
  <c r="AO824" i="13176"/>
  <c r="AO813" i="13176"/>
  <c r="AO805" i="13176"/>
  <c r="AO797" i="13176"/>
  <c r="AO871" i="13176"/>
  <c r="AO842" i="13176"/>
  <c r="AO827" i="13176"/>
  <c r="AO832" i="13176"/>
  <c r="AO820" i="13176"/>
  <c r="AO812" i="13176"/>
  <c r="AO804" i="13176"/>
  <c r="AO796" i="13176"/>
  <c r="AO788" i="13176"/>
  <c r="AO826" i="13176"/>
  <c r="AO823" i="13176"/>
  <c r="AO817" i="13176"/>
  <c r="AO809" i="13176"/>
  <c r="AO801" i="13176"/>
  <c r="AO793" i="13176"/>
  <c r="AO850" i="13176"/>
  <c r="AO771" i="13176"/>
  <c r="AO763" i="13176"/>
  <c r="AO755" i="13176"/>
  <c r="AO798" i="13176"/>
  <c r="AO790" i="13176"/>
  <c r="AO765" i="13176"/>
  <c r="AO757" i="13176"/>
  <c r="AO749" i="13176"/>
  <c r="AO741" i="13176"/>
  <c r="AO785" i="13176"/>
  <c r="AO746" i="13176"/>
  <c r="AO806" i="13176"/>
  <c r="AO780" i="13176"/>
  <c r="AO777" i="13176"/>
  <c r="AO769" i="13176"/>
  <c r="AO761" i="13176"/>
  <c r="AO753" i="13176"/>
  <c r="AO745" i="13176"/>
  <c r="AO789" i="13176"/>
  <c r="AO782" i="13176"/>
  <c r="AO774" i="13176"/>
  <c r="AO766" i="13176"/>
  <c r="AO758" i="13176"/>
  <c r="AO750" i="13176"/>
  <c r="AO814" i="13176"/>
  <c r="AO735" i="13176"/>
  <c r="AO727" i="13176"/>
  <c r="AO719" i="13176"/>
  <c r="AO711" i="13176"/>
  <c r="AO732" i="13176"/>
  <c r="AO724" i="13176"/>
  <c r="AO716" i="13176"/>
  <c r="AO708" i="13176"/>
  <c r="AO729" i="13176"/>
  <c r="AO721" i="13176"/>
  <c r="AO747" i="13176"/>
  <c r="AO734" i="13176"/>
  <c r="AO726" i="13176"/>
  <c r="AO718" i="13176"/>
  <c r="AO710" i="13176"/>
  <c r="AO702" i="13176"/>
  <c r="AO731" i="13176"/>
  <c r="AO723" i="13176"/>
  <c r="AO715" i="13176"/>
  <c r="AO707" i="13176"/>
  <c r="AO703" i="13176"/>
  <c r="AO704" i="13176"/>
  <c r="AO742" i="13176"/>
  <c r="AO689" i="13176"/>
  <c r="AO681" i="13176"/>
  <c r="AO673" i="13176"/>
  <c r="AO692" i="13176"/>
  <c r="AO691" i="13176"/>
  <c r="AO683" i="13176"/>
  <c r="AO675" i="13176"/>
  <c r="AO688" i="13176"/>
  <c r="AO680" i="13176"/>
  <c r="AO672" i="13176"/>
  <c r="AO664" i="13176"/>
  <c r="AO694" i="13176"/>
  <c r="AO685" i="13176"/>
  <c r="AO677" i="13176"/>
  <c r="AO669" i="13176"/>
  <c r="AO697" i="13176"/>
  <c r="AO696" i="13176"/>
  <c r="AO667" i="13176"/>
  <c r="AO630" i="13176"/>
  <c r="AO695" i="13176"/>
  <c r="AO651" i="13176"/>
  <c r="AO643" i="13176"/>
  <c r="AO635" i="13176"/>
  <c r="AO699" i="13176"/>
  <c r="AO656" i="13176"/>
  <c r="AO648" i="13176"/>
  <c r="AO640" i="13176"/>
  <c r="AO661" i="13176"/>
  <c r="AO658" i="13176"/>
  <c r="AO662" i="13176"/>
  <c r="AO655" i="13176"/>
  <c r="AO647" i="13176"/>
  <c r="AO639" i="13176"/>
  <c r="AO631" i="13176"/>
  <c r="AO636" i="13176"/>
  <c r="AO665" i="13176"/>
  <c r="AO624" i="13176"/>
  <c r="AO644" i="13176"/>
  <c r="AO632" i="13176"/>
  <c r="AO619" i="13176"/>
  <c r="AO608" i="13176"/>
  <c r="AO627" i="13176"/>
  <c r="AO613" i="13176"/>
  <c r="AO618" i="13176"/>
  <c r="AO628" i="13176"/>
  <c r="AO610" i="13176"/>
  <c r="AO652" i="13176"/>
  <c r="AO623" i="13176"/>
  <c r="AO600" i="13176"/>
  <c r="AO585" i="13176"/>
  <c r="AO587" i="13176"/>
  <c r="AO606" i="13176"/>
  <c r="AO601" i="13176"/>
  <c r="AO604" i="13176"/>
  <c r="AO603" i="13176"/>
  <c r="AO625" i="13176"/>
  <c r="AO602" i="13176"/>
  <c r="AO605" i="13176"/>
  <c r="AO550" i="13176"/>
  <c r="AO548" i="13176"/>
  <c r="AO559" i="13176"/>
  <c r="AO584" i="13176"/>
  <c r="AO555" i="13176"/>
  <c r="F491" i="13176"/>
  <c r="Y491" i="13176"/>
  <c r="AP491" i="13176"/>
  <c r="K502" i="13176"/>
  <c r="AD502" i="13176"/>
  <c r="AW502" i="13176"/>
  <c r="K503" i="13176"/>
  <c r="AD503" i="13176"/>
  <c r="AX503" i="13176"/>
  <c r="M505" i="13176"/>
  <c r="AF505" i="13176"/>
  <c r="AY505" i="13176"/>
  <c r="M508" i="13176"/>
  <c r="AF508" i="13176"/>
  <c r="AZ508" i="13176"/>
  <c r="O510" i="13176"/>
  <c r="AH510" i="13176"/>
  <c r="BA510" i="13176"/>
  <c r="S515" i="13176"/>
  <c r="AK515" i="13176"/>
  <c r="D517" i="13176"/>
  <c r="X517" i="13176"/>
  <c r="AQ517" i="13176"/>
  <c r="T522" i="13176"/>
  <c r="AO522" i="13176"/>
  <c r="K523" i="13176"/>
  <c r="AH523" i="13176"/>
  <c r="BD523" i="13176"/>
  <c r="N525" i="13176"/>
  <c r="AM525" i="13176"/>
  <c r="F528" i="13176"/>
  <c r="AG528" i="13176"/>
  <c r="AN529" i="13176"/>
  <c r="X529" i="13176"/>
  <c r="G529" i="13176"/>
  <c r="BC529" i="13176"/>
  <c r="AL529" i="13176"/>
  <c r="V529" i="13176"/>
  <c r="E529" i="13176"/>
  <c r="AR529" i="13176"/>
  <c r="Z529" i="13176"/>
  <c r="F529" i="13176"/>
  <c r="AQ529" i="13176"/>
  <c r="Y529" i="13176"/>
  <c r="D529" i="13176"/>
  <c r="AP529" i="13176"/>
  <c r="W529" i="13176"/>
  <c r="C529" i="13176"/>
  <c r="AK529" i="13176"/>
  <c r="S529" i="13176"/>
  <c r="AV529" i="13176"/>
  <c r="AC529" i="13176"/>
  <c r="J529" i="13176"/>
  <c r="AF529" i="13176"/>
  <c r="Q536" i="13176"/>
  <c r="BA536" i="13176"/>
  <c r="L538" i="13176"/>
  <c r="AZ538" i="13176"/>
  <c r="AG539" i="13176"/>
  <c r="AH542" i="13176"/>
  <c r="P544" i="13176"/>
  <c r="D545" i="13176"/>
  <c r="D549" i="13176"/>
  <c r="AD551" i="13176"/>
  <c r="AP534" i="13176"/>
  <c r="Z534" i="13176"/>
  <c r="I534" i="13176"/>
  <c r="AN534" i="13176"/>
  <c r="X534" i="13176"/>
  <c r="G534" i="13176"/>
  <c r="AV534" i="13176"/>
  <c r="AC534" i="13176"/>
  <c r="J534" i="13176"/>
  <c r="AU534" i="13176"/>
  <c r="AB534" i="13176"/>
  <c r="H534" i="13176"/>
  <c r="AT534" i="13176"/>
  <c r="AA534" i="13176"/>
  <c r="F534" i="13176"/>
  <c r="AQ534" i="13176"/>
  <c r="W534" i="13176"/>
  <c r="D534" i="13176"/>
  <c r="AO534" i="13176"/>
  <c r="V534" i="13176"/>
  <c r="C534" i="13176"/>
  <c r="AY534" i="13176"/>
  <c r="AF534" i="13176"/>
  <c r="M534" i="13176"/>
  <c r="AI534" i="13176"/>
  <c r="S536" i="13176"/>
  <c r="BB536" i="13176"/>
  <c r="N538" i="13176"/>
  <c r="BB538" i="13176"/>
  <c r="AW541" i="13176"/>
  <c r="AF541" i="13176"/>
  <c r="O541" i="13176"/>
  <c r="AU541" i="13176"/>
  <c r="AD541" i="13176"/>
  <c r="M541" i="13176"/>
  <c r="AZ541" i="13176"/>
  <c r="AG541" i="13176"/>
  <c r="L541" i="13176"/>
  <c r="AY541" i="13176"/>
  <c r="AE541" i="13176"/>
  <c r="K541" i="13176"/>
  <c r="AX541" i="13176"/>
  <c r="AC541" i="13176"/>
  <c r="J541" i="13176"/>
  <c r="AT541" i="13176"/>
  <c r="AA541" i="13176"/>
  <c r="H541" i="13176"/>
  <c r="AR541" i="13176"/>
  <c r="Z541" i="13176"/>
  <c r="G541" i="13176"/>
  <c r="AQ541" i="13176"/>
  <c r="Y541" i="13176"/>
  <c r="F541" i="13176"/>
  <c r="AP541" i="13176"/>
  <c r="X541" i="13176"/>
  <c r="E541" i="13176"/>
  <c r="AO541" i="13176"/>
  <c r="W541" i="13176"/>
  <c r="D541" i="13176"/>
  <c r="BC541" i="13176"/>
  <c r="AJ541" i="13176"/>
  <c r="Q541" i="13176"/>
  <c r="AV541" i="13176"/>
  <c r="AI542" i="13176"/>
  <c r="Q544" i="13176"/>
  <c r="L545" i="13176"/>
  <c r="AZ546" i="13176"/>
  <c r="J549" i="13176"/>
  <c r="AR551" i="13176"/>
  <c r="AN515" i="13176"/>
  <c r="X515" i="13176"/>
  <c r="G515" i="13176"/>
  <c r="AR515" i="13176"/>
  <c r="AB515" i="13176"/>
  <c r="K515" i="13176"/>
  <c r="U515" i="13176"/>
  <c r="AM515" i="13176"/>
  <c r="AZ516" i="13176"/>
  <c r="F517" i="13176"/>
  <c r="Z517" i="13176"/>
  <c r="AW517" i="13176"/>
  <c r="AO520" i="13176"/>
  <c r="V522" i="13176"/>
  <c r="AR522" i="13176"/>
  <c r="N523" i="13176"/>
  <c r="AJ523" i="13176"/>
  <c r="BA524" i="13176"/>
  <c r="AJ524" i="13176"/>
  <c r="T524" i="13176"/>
  <c r="C524" i="13176"/>
  <c r="AP524" i="13176"/>
  <c r="Y524" i="13176"/>
  <c r="G524" i="13176"/>
  <c r="AO524" i="13176"/>
  <c r="X524" i="13176"/>
  <c r="F524" i="13176"/>
  <c r="BC524" i="13176"/>
  <c r="AK524" i="13176"/>
  <c r="S524" i="13176"/>
  <c r="AT524" i="13176"/>
  <c r="AB524" i="13176"/>
  <c r="J524" i="13176"/>
  <c r="AA524" i="13176"/>
  <c r="AX524" i="13176"/>
  <c r="S525" i="13176"/>
  <c r="AQ525" i="13176"/>
  <c r="I528" i="13176"/>
  <c r="AI528" i="13176"/>
  <c r="I529" i="13176"/>
  <c r="AH529" i="13176"/>
  <c r="E534" i="13176"/>
  <c r="AJ534" i="13176"/>
  <c r="T536" i="13176"/>
  <c r="BC536" i="13176"/>
  <c r="P538" i="13176"/>
  <c r="BC538" i="13176"/>
  <c r="AJ539" i="13176"/>
  <c r="C541" i="13176"/>
  <c r="BA541" i="13176"/>
  <c r="AK542" i="13176"/>
  <c r="T544" i="13176"/>
  <c r="P545" i="13176"/>
  <c r="AN547" i="13176"/>
  <c r="T549" i="13176"/>
  <c r="BB551" i="13176"/>
  <c r="E516" i="13176"/>
  <c r="V516" i="13176"/>
  <c r="AL516" i="13176"/>
  <c r="BC516" i="13176"/>
  <c r="K518" i="13176"/>
  <c r="AC518" i="13176"/>
  <c r="H526" i="13176"/>
  <c r="AB526" i="13176"/>
  <c r="AU526" i="13176"/>
  <c r="H527" i="13176"/>
  <c r="AA527" i="13176"/>
  <c r="AT527" i="13176"/>
  <c r="K532" i="13176"/>
  <c r="AD532" i="13176"/>
  <c r="AW532" i="13176"/>
  <c r="L535" i="13176"/>
  <c r="AE535" i="13176"/>
  <c r="N537" i="13176"/>
  <c r="AG537" i="13176"/>
  <c r="O540" i="13176"/>
  <c r="AH540" i="13176"/>
  <c r="P543" i="13176"/>
  <c r="AK543" i="13176"/>
  <c r="D547" i="13176"/>
  <c r="X547" i="13176"/>
  <c r="AU547" i="13176"/>
  <c r="C578" i="13176"/>
  <c r="AY558" i="13176"/>
  <c r="AG558" i="13176"/>
  <c r="P558" i="13176"/>
  <c r="AW558" i="13176"/>
  <c r="AE558" i="13176"/>
  <c r="N558" i="13176"/>
  <c r="AU558" i="13176"/>
  <c r="AC558" i="13176"/>
  <c r="K558" i="13176"/>
  <c r="AR558" i="13176"/>
  <c r="AA558" i="13176"/>
  <c r="I558" i="13176"/>
  <c r="AP558" i="13176"/>
  <c r="Y558" i="13176"/>
  <c r="G558" i="13176"/>
  <c r="AM558" i="13176"/>
  <c r="W558" i="13176"/>
  <c r="E558" i="13176"/>
  <c r="BC558" i="13176"/>
  <c r="AK558" i="13176"/>
  <c r="U558" i="13176"/>
  <c r="C558" i="13176"/>
  <c r="AB558" i="13176"/>
  <c r="BD558" i="13176"/>
  <c r="Z558" i="13176"/>
  <c r="BB558" i="13176"/>
  <c r="X558" i="13176"/>
  <c r="BA558" i="13176"/>
  <c r="V558" i="13176"/>
  <c r="AZ558" i="13176"/>
  <c r="T558" i="13176"/>
  <c r="AX558" i="13176"/>
  <c r="S558" i="13176"/>
  <c r="AV558" i="13176"/>
  <c r="Q558" i="13176"/>
  <c r="AT558" i="13176"/>
  <c r="O558" i="13176"/>
  <c r="AQ558" i="13176"/>
  <c r="L558" i="13176"/>
  <c r="AO558" i="13176"/>
  <c r="J558" i="13176"/>
  <c r="AC591" i="13176"/>
  <c r="AN554" i="13176"/>
  <c r="X554" i="13176"/>
  <c r="G554" i="13176"/>
  <c r="BC554" i="13176"/>
  <c r="AL554" i="13176"/>
  <c r="V554" i="13176"/>
  <c r="E554" i="13176"/>
  <c r="BA554" i="13176"/>
  <c r="AJ554" i="13176"/>
  <c r="T554" i="13176"/>
  <c r="C554" i="13176"/>
  <c r="AW554" i="13176"/>
  <c r="AF554" i="13176"/>
  <c r="O554" i="13176"/>
  <c r="AU554" i="13176"/>
  <c r="AD554" i="13176"/>
  <c r="M554" i="13176"/>
  <c r="AQ554" i="13176"/>
  <c r="S554" i="13176"/>
  <c r="AP554" i="13176"/>
  <c r="Q554" i="13176"/>
  <c r="AO554" i="13176"/>
  <c r="P554" i="13176"/>
  <c r="AM554" i="13176"/>
  <c r="N554" i="13176"/>
  <c r="AK554" i="13176"/>
  <c r="L554" i="13176"/>
  <c r="AI554" i="13176"/>
  <c r="K554" i="13176"/>
  <c r="AG554" i="13176"/>
  <c r="I554" i="13176"/>
  <c r="BD554" i="13176"/>
  <c r="AE554" i="13176"/>
  <c r="H554" i="13176"/>
  <c r="AY554" i="13176"/>
  <c r="D558" i="13176"/>
  <c r="BD596" i="13176"/>
  <c r="AC598" i="13176"/>
  <c r="AQ600" i="13176"/>
  <c r="BA543" i="13176"/>
  <c r="AJ543" i="13176"/>
  <c r="T543" i="13176"/>
  <c r="C543" i="13176"/>
  <c r="AY543" i="13176"/>
  <c r="AH543" i="13176"/>
  <c r="Q543" i="13176"/>
  <c r="V543" i="13176"/>
  <c r="AN543" i="13176"/>
  <c r="AQ546" i="13176"/>
  <c r="G547" i="13176"/>
  <c r="AD547" i="13176"/>
  <c r="AX547" i="13176"/>
  <c r="D554" i="13176"/>
  <c r="AZ554" i="13176"/>
  <c r="AQ555" i="13176"/>
  <c r="F558" i="13176"/>
  <c r="AV611" i="13176"/>
  <c r="BC557" i="13176"/>
  <c r="AL557" i="13176"/>
  <c r="V557" i="13176"/>
  <c r="E557" i="13176"/>
  <c r="BA557" i="13176"/>
  <c r="AJ557" i="13176"/>
  <c r="T557" i="13176"/>
  <c r="C557" i="13176"/>
  <c r="AY557" i="13176"/>
  <c r="AH557" i="13176"/>
  <c r="Q557" i="13176"/>
  <c r="AW557" i="13176"/>
  <c r="AF557" i="13176"/>
  <c r="O557" i="13176"/>
  <c r="AU557" i="13176"/>
  <c r="AD557" i="13176"/>
  <c r="M557" i="13176"/>
  <c r="AR557" i="13176"/>
  <c r="AB557" i="13176"/>
  <c r="K557" i="13176"/>
  <c r="AP557" i="13176"/>
  <c r="BB557" i="13176"/>
  <c r="Y557" i="13176"/>
  <c r="AZ557" i="13176"/>
  <c r="X557" i="13176"/>
  <c r="AX557" i="13176"/>
  <c r="W557" i="13176"/>
  <c r="AV557" i="13176"/>
  <c r="U557" i="13176"/>
  <c r="AT557" i="13176"/>
  <c r="S557" i="13176"/>
  <c r="AQ557" i="13176"/>
  <c r="P557" i="13176"/>
  <c r="AO557" i="13176"/>
  <c r="N557" i="13176"/>
  <c r="AN557" i="13176"/>
  <c r="L557" i="13176"/>
  <c r="AM557" i="13176"/>
  <c r="J557" i="13176"/>
  <c r="AK557" i="13176"/>
  <c r="I557" i="13176"/>
  <c r="H558" i="13176"/>
  <c r="C580" i="13176"/>
  <c r="AQ584" i="13176"/>
  <c r="BC540" i="13176"/>
  <c r="AL540" i="13176"/>
  <c r="V540" i="13176"/>
  <c r="E540" i="13176"/>
  <c r="BA540" i="13176"/>
  <c r="AJ540" i="13176"/>
  <c r="T540" i="13176"/>
  <c r="C540" i="13176"/>
  <c r="W540" i="13176"/>
  <c r="AO540" i="13176"/>
  <c r="E543" i="13176"/>
  <c r="X543" i="13176"/>
  <c r="AP543" i="13176"/>
  <c r="J547" i="13176"/>
  <c r="AF547" i="13176"/>
  <c r="AZ547" i="13176"/>
  <c r="J554" i="13176"/>
  <c r="D557" i="13176"/>
  <c r="AD558" i="13176"/>
  <c r="C573" i="13176"/>
  <c r="AA596" i="13176"/>
  <c r="AN537" i="13176"/>
  <c r="X537" i="13176"/>
  <c r="G537" i="13176"/>
  <c r="BC537" i="13176"/>
  <c r="AL537" i="13176"/>
  <c r="V537" i="13176"/>
  <c r="E537" i="13176"/>
  <c r="U537" i="13176"/>
  <c r="AO537" i="13176"/>
  <c r="D540" i="13176"/>
  <c r="X540" i="13176"/>
  <c r="AP540" i="13176"/>
  <c r="F543" i="13176"/>
  <c r="Y543" i="13176"/>
  <c r="AQ543" i="13176"/>
  <c r="AA546" i="13176"/>
  <c r="M547" i="13176"/>
  <c r="AG547" i="13176"/>
  <c r="BA547" i="13176"/>
  <c r="U554" i="13176"/>
  <c r="AV555" i="13176"/>
  <c r="BB556" i="13176"/>
  <c r="F557" i="13176"/>
  <c r="AF558" i="13176"/>
  <c r="AQ559" i="13176"/>
  <c r="AP593" i="13176"/>
  <c r="Z593" i="13176"/>
  <c r="I593" i="13176"/>
  <c r="AN593" i="13176"/>
  <c r="X593" i="13176"/>
  <c r="G593" i="13176"/>
  <c r="BC593" i="13176"/>
  <c r="AL593" i="13176"/>
  <c r="V593" i="13176"/>
  <c r="E593" i="13176"/>
  <c r="BA593" i="13176"/>
  <c r="AJ593" i="13176"/>
  <c r="T593" i="13176"/>
  <c r="C593" i="13176"/>
  <c r="AY593" i="13176"/>
  <c r="AH593" i="13176"/>
  <c r="Q593" i="13176"/>
  <c r="AW593" i="13176"/>
  <c r="AF593" i="13176"/>
  <c r="O593" i="13176"/>
  <c r="AU593" i="13176"/>
  <c r="AD593" i="13176"/>
  <c r="M593" i="13176"/>
  <c r="AZ593" i="13176"/>
  <c r="W593" i="13176"/>
  <c r="AX593" i="13176"/>
  <c r="U593" i="13176"/>
  <c r="AV593" i="13176"/>
  <c r="S593" i="13176"/>
  <c r="AT593" i="13176"/>
  <c r="P593" i="13176"/>
  <c r="AR593" i="13176"/>
  <c r="N593" i="13176"/>
  <c r="AQ593" i="13176"/>
  <c r="L593" i="13176"/>
  <c r="AO593" i="13176"/>
  <c r="K593" i="13176"/>
  <c r="AM593" i="13176"/>
  <c r="J593" i="13176"/>
  <c r="AK593" i="13176"/>
  <c r="H593" i="13176"/>
  <c r="AI593" i="13176"/>
  <c r="F593" i="13176"/>
  <c r="AG593" i="13176"/>
  <c r="D593" i="13176"/>
  <c r="BA535" i="13176"/>
  <c r="AJ535" i="13176"/>
  <c r="T535" i="13176"/>
  <c r="C535" i="13176"/>
  <c r="AY535" i="13176"/>
  <c r="AH535" i="13176"/>
  <c r="Q535" i="13176"/>
  <c r="V535" i="13176"/>
  <c r="AN535" i="13176"/>
  <c r="C537" i="13176"/>
  <c r="W537" i="13176"/>
  <c r="AP537" i="13176"/>
  <c r="F540" i="13176"/>
  <c r="Y540" i="13176"/>
  <c r="AQ540" i="13176"/>
  <c r="G543" i="13176"/>
  <c r="Z543" i="13176"/>
  <c r="AR543" i="13176"/>
  <c r="N547" i="13176"/>
  <c r="AH547" i="13176"/>
  <c r="BB547" i="13176"/>
  <c r="W554" i="13176"/>
  <c r="G557" i="13176"/>
  <c r="AH558" i="13176"/>
  <c r="C574" i="13176"/>
  <c r="Y593" i="13176"/>
  <c r="AN518" i="13176"/>
  <c r="X518" i="13176"/>
  <c r="G518" i="13176"/>
  <c r="T518" i="13176"/>
  <c r="AK518" i="13176"/>
  <c r="BC518" i="13176"/>
  <c r="Q526" i="13176"/>
  <c r="AJ526" i="13176"/>
  <c r="P527" i="13176"/>
  <c r="AK527" i="13176"/>
  <c r="U532" i="13176"/>
  <c r="D535" i="13176"/>
  <c r="W535" i="13176"/>
  <c r="AO535" i="13176"/>
  <c r="D537" i="13176"/>
  <c r="Y537" i="13176"/>
  <c r="AQ537" i="13176"/>
  <c r="G540" i="13176"/>
  <c r="Z540" i="13176"/>
  <c r="AR540" i="13176"/>
  <c r="H543" i="13176"/>
  <c r="AA543" i="13176"/>
  <c r="AT543" i="13176"/>
  <c r="O547" i="13176"/>
  <c r="AI547" i="13176"/>
  <c r="BC547" i="13176"/>
  <c r="AQ548" i="13176"/>
  <c r="Y554" i="13176"/>
  <c r="H557" i="13176"/>
  <c r="AI558" i="13176"/>
  <c r="AA593" i="13176"/>
  <c r="BC532" i="13176"/>
  <c r="AL532" i="13176"/>
  <c r="V532" i="13176"/>
  <c r="E532" i="13176"/>
  <c r="BA532" i="13176"/>
  <c r="AJ532" i="13176"/>
  <c r="T532" i="13176"/>
  <c r="C532" i="13176"/>
  <c r="W532" i="13176"/>
  <c r="AO532" i="13176"/>
  <c r="E535" i="13176"/>
  <c r="X535" i="13176"/>
  <c r="AP535" i="13176"/>
  <c r="F537" i="13176"/>
  <c r="Z537" i="13176"/>
  <c r="AR537" i="13176"/>
  <c r="H540" i="13176"/>
  <c r="AA540" i="13176"/>
  <c r="AT540" i="13176"/>
  <c r="I543" i="13176"/>
  <c r="AB543" i="13176"/>
  <c r="AU543" i="13176"/>
  <c r="P547" i="13176"/>
  <c r="AJ547" i="13176"/>
  <c r="BD547" i="13176"/>
  <c r="Z554" i="13176"/>
  <c r="Z557" i="13176"/>
  <c r="AJ558" i="13176"/>
  <c r="BD589" i="13176"/>
  <c r="AB593" i="13176"/>
  <c r="AU595" i="13176"/>
  <c r="AD595" i="13176"/>
  <c r="M595" i="13176"/>
  <c r="AR595" i="13176"/>
  <c r="AB595" i="13176"/>
  <c r="K595" i="13176"/>
  <c r="AP595" i="13176"/>
  <c r="Z595" i="13176"/>
  <c r="I595" i="13176"/>
  <c r="AN595" i="13176"/>
  <c r="X595" i="13176"/>
  <c r="G595" i="13176"/>
  <c r="BC595" i="13176"/>
  <c r="AL595" i="13176"/>
  <c r="V595" i="13176"/>
  <c r="E595" i="13176"/>
  <c r="BA595" i="13176"/>
  <c r="AJ595" i="13176"/>
  <c r="T595" i="13176"/>
  <c r="C595" i="13176"/>
  <c r="AY595" i="13176"/>
  <c r="AH595" i="13176"/>
  <c r="Q595" i="13176"/>
  <c r="BB595" i="13176"/>
  <c r="Y595" i="13176"/>
  <c r="AZ595" i="13176"/>
  <c r="W595" i="13176"/>
  <c r="AX595" i="13176"/>
  <c r="U595" i="13176"/>
  <c r="AW595" i="13176"/>
  <c r="S595" i="13176"/>
  <c r="AV595" i="13176"/>
  <c r="P595" i="13176"/>
  <c r="AT595" i="13176"/>
  <c r="O595" i="13176"/>
  <c r="AQ595" i="13176"/>
  <c r="N595" i="13176"/>
  <c r="AO595" i="13176"/>
  <c r="L595" i="13176"/>
  <c r="AM595" i="13176"/>
  <c r="J595" i="13176"/>
  <c r="AK595" i="13176"/>
  <c r="H595" i="13176"/>
  <c r="AI595" i="13176"/>
  <c r="F595" i="13176"/>
  <c r="AC599" i="13176"/>
  <c r="BA602" i="13176"/>
  <c r="AT614" i="13176"/>
  <c r="AY597" i="13176"/>
  <c r="AH597" i="13176"/>
  <c r="Q597" i="13176"/>
  <c r="AW597" i="13176"/>
  <c r="AF597" i="13176"/>
  <c r="O597" i="13176"/>
  <c r="AU597" i="13176"/>
  <c r="AD597" i="13176"/>
  <c r="M597" i="13176"/>
  <c r="AR597" i="13176"/>
  <c r="AB597" i="13176"/>
  <c r="K597" i="13176"/>
  <c r="AP597" i="13176"/>
  <c r="Z597" i="13176"/>
  <c r="I597" i="13176"/>
  <c r="AN597" i="13176"/>
  <c r="X597" i="13176"/>
  <c r="G597" i="13176"/>
  <c r="BC597" i="13176"/>
  <c r="AL597" i="13176"/>
  <c r="V597" i="13176"/>
  <c r="E597" i="13176"/>
  <c r="AG597" i="13176"/>
  <c r="C597" i="13176"/>
  <c r="BD597" i="13176"/>
  <c r="AA597" i="13176"/>
  <c r="BB597" i="13176"/>
  <c r="Y597" i="13176"/>
  <c r="BA597" i="13176"/>
  <c r="W597" i="13176"/>
  <c r="AZ597" i="13176"/>
  <c r="U597" i="13176"/>
  <c r="AX597" i="13176"/>
  <c r="T597" i="13176"/>
  <c r="AV597" i="13176"/>
  <c r="S597" i="13176"/>
  <c r="AT597" i="13176"/>
  <c r="P597" i="13176"/>
  <c r="AQ597" i="13176"/>
  <c r="N597" i="13176"/>
  <c r="AO597" i="13176"/>
  <c r="L597" i="13176"/>
  <c r="AM597" i="13176"/>
  <c r="J597" i="13176"/>
  <c r="AK597" i="13176"/>
  <c r="H597" i="13176"/>
  <c r="BA527" i="13176"/>
  <c r="AJ527" i="13176"/>
  <c r="T527" i="13176"/>
  <c r="C527" i="13176"/>
  <c r="AY527" i="13176"/>
  <c r="AH527" i="13176"/>
  <c r="Q527" i="13176"/>
  <c r="V527" i="13176"/>
  <c r="AN527" i="13176"/>
  <c r="F532" i="13176"/>
  <c r="Y532" i="13176"/>
  <c r="AQ532" i="13176"/>
  <c r="G535" i="13176"/>
  <c r="Z535" i="13176"/>
  <c r="AR535" i="13176"/>
  <c r="I537" i="13176"/>
  <c r="AB537" i="13176"/>
  <c r="AU537" i="13176"/>
  <c r="J540" i="13176"/>
  <c r="AC540" i="13176"/>
  <c r="AV540" i="13176"/>
  <c r="K543" i="13176"/>
  <c r="AD543" i="13176"/>
  <c r="AW543" i="13176"/>
  <c r="S547" i="13176"/>
  <c r="AL547" i="13176"/>
  <c r="BD548" i="13176"/>
  <c r="AB554" i="13176"/>
  <c r="AC557" i="13176"/>
  <c r="C568" i="13176"/>
  <c r="AQ586" i="13176"/>
  <c r="AE593" i="13176"/>
  <c r="AA595" i="13176"/>
  <c r="D597" i="13176"/>
  <c r="AP526" i="13176"/>
  <c r="Z526" i="13176"/>
  <c r="I526" i="13176"/>
  <c r="AN526" i="13176"/>
  <c r="X526" i="13176"/>
  <c r="G526" i="13176"/>
  <c r="U526" i="13176"/>
  <c r="AM526" i="13176"/>
  <c r="K1201" i="13176"/>
  <c r="K1209" i="13176"/>
  <c r="K1185" i="13176"/>
  <c r="K1212" i="13176"/>
  <c r="K1184" i="13176"/>
  <c r="K1204" i="13176"/>
  <c r="K1182" i="13176"/>
  <c r="K1169" i="13176"/>
  <c r="K1161" i="13176"/>
  <c r="K1171" i="13176"/>
  <c r="K1163" i="13176"/>
  <c r="K1168" i="13176"/>
  <c r="K1165" i="13176"/>
  <c r="K1179" i="13176"/>
  <c r="K1154" i="13176"/>
  <c r="K1160" i="13176"/>
  <c r="K1173" i="13176"/>
  <c r="K1156" i="13176"/>
  <c r="K1153" i="13176"/>
  <c r="K1159" i="13176"/>
  <c r="K1155" i="13176"/>
  <c r="K1146" i="13176"/>
  <c r="K1137" i="13176"/>
  <c r="K1134" i="13176"/>
  <c r="K1126" i="13176"/>
  <c r="K1187" i="13176"/>
  <c r="K1147" i="13176"/>
  <c r="K1141" i="13176"/>
  <c r="K1133" i="13176"/>
  <c r="K1145" i="13176"/>
  <c r="K1129" i="13176"/>
  <c r="K1122" i="13176"/>
  <c r="K1124" i="13176"/>
  <c r="K1120" i="13176"/>
  <c r="K1138" i="13176"/>
  <c r="K1116" i="13176"/>
  <c r="K1108" i="13176"/>
  <c r="K1113" i="13176"/>
  <c r="K1105" i="13176"/>
  <c r="K1121" i="13176"/>
  <c r="K1115" i="13176"/>
  <c r="K1107" i="13176"/>
  <c r="K1130" i="13176"/>
  <c r="K1118" i="13176"/>
  <c r="K1092" i="13176"/>
  <c r="K1084" i="13176"/>
  <c r="K1076" i="13176"/>
  <c r="K1095" i="13176"/>
  <c r="K1089" i="13176"/>
  <c r="K1081" i="13176"/>
  <c r="K1091" i="13176"/>
  <c r="K1100" i="13176"/>
  <c r="K1087" i="13176"/>
  <c r="K1083" i="13176"/>
  <c r="K1073" i="13176"/>
  <c r="K1102" i="13176"/>
  <c r="K1067" i="13176"/>
  <c r="K1059" i="13176"/>
  <c r="K1099" i="13176"/>
  <c r="K1080" i="13176"/>
  <c r="K1069" i="13176"/>
  <c r="K1072" i="13176"/>
  <c r="K1051" i="13176"/>
  <c r="K1088" i="13176"/>
  <c r="K1041" i="13176"/>
  <c r="K1033" i="13176"/>
  <c r="K1046" i="13176"/>
  <c r="K1038" i="13176"/>
  <c r="K1061" i="13176"/>
  <c r="K1043" i="13176"/>
  <c r="K1040" i="13176"/>
  <c r="K1032" i="13176"/>
  <c r="K1025" i="13176"/>
  <c r="K1017" i="13176"/>
  <c r="K1009" i="13176"/>
  <c r="K1022" i="13176"/>
  <c r="K1014" i="13176"/>
  <c r="K1006" i="13176"/>
  <c r="K1011" i="13176"/>
  <c r="K1023" i="13176"/>
  <c r="K1016" i="13176"/>
  <c r="K1008" i="13176"/>
  <c r="K990" i="13176"/>
  <c r="K982" i="13176"/>
  <c r="K995" i="13176"/>
  <c r="K987" i="13176"/>
  <c r="K1004" i="13176"/>
  <c r="K992" i="13176"/>
  <c r="K998" i="13176"/>
  <c r="K997" i="13176"/>
  <c r="K989" i="13176"/>
  <c r="K1000" i="13176"/>
  <c r="K986" i="13176"/>
  <c r="K984" i="13176"/>
  <c r="K1001" i="13176"/>
  <c r="K981" i="13176"/>
  <c r="K973" i="13176"/>
  <c r="K994" i="13176"/>
  <c r="K974" i="13176"/>
  <c r="K1003" i="13176"/>
  <c r="K976" i="13176"/>
  <c r="K977" i="13176"/>
  <c r="K971" i="13176"/>
  <c r="K947" i="13176"/>
  <c r="K944" i="13176"/>
  <c r="K936" i="13176"/>
  <c r="K950" i="13176"/>
  <c r="K951" i="13176"/>
  <c r="K946" i="13176"/>
  <c r="K938" i="13176"/>
  <c r="K930" i="13176"/>
  <c r="K922" i="13176"/>
  <c r="K914" i="13176"/>
  <c r="K906" i="13176"/>
  <c r="K898" i="13176"/>
  <c r="K890" i="13176"/>
  <c r="K882" i="13176"/>
  <c r="K874" i="13176"/>
  <c r="K903" i="13176"/>
  <c r="K895" i="13176"/>
  <c r="K887" i="13176"/>
  <c r="K879" i="13176"/>
  <c r="K871" i="13176"/>
  <c r="K909" i="13176"/>
  <c r="K900" i="13176"/>
  <c r="K892" i="13176"/>
  <c r="K884" i="13176"/>
  <c r="K876" i="13176"/>
  <c r="K905" i="13176"/>
  <c r="K897" i="13176"/>
  <c r="K889" i="13176"/>
  <c r="K868" i="13176"/>
  <c r="K870" i="13176"/>
  <c r="K902" i="13176"/>
  <c r="K886" i="13176"/>
  <c r="K864" i="13176"/>
  <c r="K856" i="13176"/>
  <c r="K848" i="13176"/>
  <c r="K840" i="13176"/>
  <c r="K832" i="13176"/>
  <c r="K861" i="13176"/>
  <c r="K866" i="13176"/>
  <c r="K858" i="13176"/>
  <c r="K850" i="13176"/>
  <c r="K878" i="13176"/>
  <c r="K894" i="13176"/>
  <c r="K820" i="13176"/>
  <c r="K812" i="13176"/>
  <c r="K804" i="13176"/>
  <c r="K796" i="13176"/>
  <c r="K788" i="13176"/>
  <c r="K824" i="13176"/>
  <c r="K817" i="13176"/>
  <c r="K809" i="13176"/>
  <c r="K801" i="13176"/>
  <c r="K793" i="13176"/>
  <c r="K822" i="13176"/>
  <c r="K814" i="13176"/>
  <c r="K806" i="13176"/>
  <c r="K826" i="13176"/>
  <c r="K780" i="13176"/>
  <c r="K777" i="13176"/>
  <c r="K774" i="13176"/>
  <c r="K766" i="13176"/>
  <c r="K779" i="13176"/>
  <c r="K771" i="13176"/>
  <c r="K763" i="13176"/>
  <c r="K755" i="13176"/>
  <c r="K768" i="13176"/>
  <c r="K760" i="13176"/>
  <c r="K758" i="13176"/>
  <c r="K776" i="13176"/>
  <c r="K752" i="13176"/>
  <c r="K729" i="13176"/>
  <c r="K782" i="13176"/>
  <c r="K734" i="13176"/>
  <c r="K726" i="13176"/>
  <c r="K718" i="13176"/>
  <c r="K731" i="13176"/>
  <c r="K723" i="13176"/>
  <c r="K750" i="13176"/>
  <c r="K742" i="13176"/>
  <c r="K733" i="13176"/>
  <c r="K715" i="13176"/>
  <c r="K717" i="13176"/>
  <c r="K709" i="13176"/>
  <c r="K707" i="13176"/>
  <c r="K691" i="13176"/>
  <c r="K683" i="13176"/>
  <c r="K675" i="13176"/>
  <c r="K667" i="13176"/>
  <c r="K699" i="13176"/>
  <c r="K725" i="13176"/>
  <c r="K685" i="13176"/>
  <c r="K677" i="13176"/>
  <c r="K669" i="13176"/>
  <c r="K687" i="13176"/>
  <c r="K679" i="13176"/>
  <c r="K674" i="13176"/>
  <c r="K666" i="13176"/>
  <c r="K658" i="13176"/>
  <c r="K682" i="13176"/>
  <c r="K661" i="13176"/>
  <c r="K671" i="13176"/>
  <c r="K663" i="13176"/>
  <c r="K613" i="13176"/>
  <c r="K690" i="13176"/>
  <c r="K615" i="13176"/>
  <c r="K612" i="13176"/>
  <c r="K601" i="13176"/>
  <c r="K585" i="13176"/>
  <c r="K609" i="13176"/>
  <c r="K618" i="13176"/>
  <c r="AA1209" i="13176"/>
  <c r="AA1211" i="13176"/>
  <c r="AA1210" i="13176"/>
  <c r="AA1212" i="13176"/>
  <c r="AA1185" i="13176"/>
  <c r="AA1204" i="13176"/>
  <c r="AA1202" i="13176"/>
  <c r="AA1201" i="13176"/>
  <c r="AA1179" i="13176"/>
  <c r="AA1177" i="13176"/>
  <c r="AA1184" i="13176"/>
  <c r="AA1169" i="13176"/>
  <c r="AA1174" i="13176"/>
  <c r="AA1166" i="13176"/>
  <c r="AA1187" i="13176"/>
  <c r="AA1160" i="13176"/>
  <c r="AA1171" i="13176"/>
  <c r="AA1168" i="13176"/>
  <c r="AA1199" i="13176"/>
  <c r="AA1182" i="13176"/>
  <c r="AA1163" i="13176"/>
  <c r="AA1162" i="13176"/>
  <c r="AA1161" i="13176"/>
  <c r="AA1156" i="13176"/>
  <c r="AA1153" i="13176"/>
  <c r="AA1145" i="13176"/>
  <c r="AA1143" i="13176"/>
  <c r="AA1129" i="13176"/>
  <c r="AA1151" i="13176"/>
  <c r="AA1134" i="13176"/>
  <c r="AA1126" i="13176"/>
  <c r="AA1146" i="13176"/>
  <c r="AA1131" i="13176"/>
  <c r="AA1118" i="13176"/>
  <c r="AA1119" i="13176"/>
  <c r="AA1117" i="13176"/>
  <c r="AA1136" i="13176"/>
  <c r="AA1116" i="13176"/>
  <c r="AA1108" i="13176"/>
  <c r="AA1113" i="13176"/>
  <c r="AA1154" i="13176"/>
  <c r="AA1115" i="13176"/>
  <c r="AA1100" i="13176"/>
  <c r="AA1090" i="13176"/>
  <c r="AA1105" i="13176"/>
  <c r="AA1092" i="13176"/>
  <c r="AA1084" i="13176"/>
  <c r="AA1095" i="13176"/>
  <c r="AA1132" i="13176"/>
  <c r="AA1123" i="13176"/>
  <c r="AA1107" i="13176"/>
  <c r="AA1096" i="13176"/>
  <c r="AA1091" i="13176"/>
  <c r="AA1083" i="13176"/>
  <c r="AA1089" i="13176"/>
  <c r="AA1099" i="13176"/>
  <c r="AA1073" i="13176"/>
  <c r="AA1101" i="13176"/>
  <c r="AA1067" i="13176"/>
  <c r="AA1059" i="13176"/>
  <c r="AA1081" i="13176"/>
  <c r="AA1064" i="13176"/>
  <c r="AA1066" i="13176"/>
  <c r="AA1058" i="13176"/>
  <c r="AA1054" i="13176"/>
  <c r="AA1050" i="13176"/>
  <c r="AA1069" i="13176"/>
  <c r="AA1051" i="13176"/>
  <c r="AA1061" i="13176"/>
  <c r="AA1041" i="13176"/>
  <c r="AA1033" i="13176"/>
  <c r="AA1046" i="13176"/>
  <c r="AA1038" i="13176"/>
  <c r="AA1030" i="13176"/>
  <c r="AA1031" i="13176"/>
  <c r="AA1019" i="13176"/>
  <c r="AA1025" i="13176"/>
  <c r="AA1040" i="13176"/>
  <c r="AA1014" i="13176"/>
  <c r="AA1006" i="13176"/>
  <c r="AA1056" i="13176"/>
  <c r="AA1043" i="13176"/>
  <c r="AA1011" i="13176"/>
  <c r="AA1022" i="13176"/>
  <c r="AA1032" i="13176"/>
  <c r="AA1016" i="13176"/>
  <c r="AA1008" i="13176"/>
  <c r="AA1017" i="13176"/>
  <c r="AA1000" i="13176"/>
  <c r="AA1001" i="13176"/>
  <c r="AA990" i="13176"/>
  <c r="AA995" i="13176"/>
  <c r="AA987" i="13176"/>
  <c r="AA979" i="13176"/>
  <c r="AA992" i="13176"/>
  <c r="AA984" i="13176"/>
  <c r="AA989" i="13176"/>
  <c r="AA998" i="13176"/>
  <c r="AA965" i="13176"/>
  <c r="AA976" i="13176"/>
  <c r="AA1009" i="13176"/>
  <c r="AA982" i="13176"/>
  <c r="AA973" i="13176"/>
  <c r="AA999" i="13176"/>
  <c r="AA981" i="13176"/>
  <c r="AA974" i="13176"/>
  <c r="AA971" i="13176"/>
  <c r="AA963" i="13176"/>
  <c r="AA957" i="13176"/>
  <c r="AA960" i="13176"/>
  <c r="AA947" i="13176"/>
  <c r="AA939" i="13176"/>
  <c r="AA931" i="13176"/>
  <c r="AA923" i="13176"/>
  <c r="AA955" i="13176"/>
  <c r="AA944" i="13176"/>
  <c r="AA962" i="13176"/>
  <c r="AA950" i="13176"/>
  <c r="AA938" i="13176"/>
  <c r="AA920" i="13176"/>
  <c r="AA946" i="13176"/>
  <c r="AA936" i="13176"/>
  <c r="AA914" i="13176"/>
  <c r="AA911" i="13176"/>
  <c r="AA930" i="13176"/>
  <c r="AA928" i="13176"/>
  <c r="AA910" i="13176"/>
  <c r="AA951" i="13176"/>
  <c r="AA906" i="13176"/>
  <c r="AA922" i="13176"/>
  <c r="AA903" i="13176"/>
  <c r="AA895" i="13176"/>
  <c r="AA887" i="13176"/>
  <c r="AA879" i="13176"/>
  <c r="AA915" i="13176"/>
  <c r="AA912" i="13176"/>
  <c r="AA900" i="13176"/>
  <c r="AA892" i="13176"/>
  <c r="AA884" i="13176"/>
  <c r="AA905" i="13176"/>
  <c r="AA897" i="13176"/>
  <c r="AA889" i="13176"/>
  <c r="AA881" i="13176"/>
  <c r="AA871" i="13176"/>
  <c r="AA868" i="13176"/>
  <c r="AA864" i="13176"/>
  <c r="AA856" i="13176"/>
  <c r="AA848" i="13176"/>
  <c r="AA840" i="13176"/>
  <c r="AA876" i="13176"/>
  <c r="AA861" i="13176"/>
  <c r="AA853" i="13176"/>
  <c r="AA845" i="13176"/>
  <c r="AA837" i="13176"/>
  <c r="AA866" i="13176"/>
  <c r="AA858" i="13176"/>
  <c r="AA850" i="13176"/>
  <c r="AA842" i="13176"/>
  <c r="AA867" i="13176"/>
  <c r="AA832" i="13176"/>
  <c r="AA784" i="13176"/>
  <c r="AA909" i="13176"/>
  <c r="AA855" i="13176"/>
  <c r="AA839" i="13176"/>
  <c r="AA820" i="13176"/>
  <c r="AA812" i="13176"/>
  <c r="AA835" i="13176"/>
  <c r="AA863" i="13176"/>
  <c r="AA817" i="13176"/>
  <c r="AA809" i="13176"/>
  <c r="AA801" i="13176"/>
  <c r="AA793" i="13176"/>
  <c r="AA822" i="13176"/>
  <c r="AA814" i="13176"/>
  <c r="AA806" i="13176"/>
  <c r="AA798" i="13176"/>
  <c r="AA811" i="13176"/>
  <c r="AA768" i="13176"/>
  <c r="AA760" i="13176"/>
  <c r="AA752" i="13176"/>
  <c r="AA795" i="13176"/>
  <c r="AA790" i="13176"/>
  <c r="AA819" i="13176"/>
  <c r="AA847" i="13176"/>
  <c r="AA780" i="13176"/>
  <c r="AA803" i="13176"/>
  <c r="AA777" i="13176"/>
  <c r="AA769" i="13176"/>
  <c r="AA761" i="13176"/>
  <c r="AA753" i="13176"/>
  <c r="AA745" i="13176"/>
  <c r="AA785" i="13176"/>
  <c r="AA774" i="13176"/>
  <c r="AA766" i="13176"/>
  <c r="AA758" i="13176"/>
  <c r="AA750" i="13176"/>
  <c r="AA824" i="13176"/>
  <c r="AA787" i="13176"/>
  <c r="AA779" i="13176"/>
  <c r="AA771" i="13176"/>
  <c r="AA763" i="13176"/>
  <c r="AA755" i="13176"/>
  <c r="AA742" i="13176"/>
  <c r="AA729" i="13176"/>
  <c r="AA721" i="13176"/>
  <c r="AA713" i="13176"/>
  <c r="AA734" i="13176"/>
  <c r="AA726" i="13176"/>
  <c r="AA718" i="13176"/>
  <c r="AA710" i="13176"/>
  <c r="AA702" i="13176"/>
  <c r="AA739" i="13176"/>
  <c r="AA731" i="13176"/>
  <c r="AA723" i="13176"/>
  <c r="AA715" i="13176"/>
  <c r="AA707" i="13176"/>
  <c r="AA747" i="13176"/>
  <c r="AA699" i="13176"/>
  <c r="AA697" i="13176"/>
  <c r="AA696" i="13176"/>
  <c r="AA693" i="13176"/>
  <c r="AA694" i="13176"/>
  <c r="AA691" i="13176"/>
  <c r="AA683" i="13176"/>
  <c r="AA675" i="13176"/>
  <c r="AA667" i="13176"/>
  <c r="AA688" i="13176"/>
  <c r="AA680" i="13176"/>
  <c r="AA685" i="13176"/>
  <c r="AA677" i="13176"/>
  <c r="AA669" i="13176"/>
  <c r="AA736" i="13176"/>
  <c r="AA654" i="13176"/>
  <c r="AA646" i="13176"/>
  <c r="AA638" i="13176"/>
  <c r="AA630" i="13176"/>
  <c r="AA661" i="13176"/>
  <c r="AA672" i="13176"/>
  <c r="AA664" i="13176"/>
  <c r="AA655" i="13176"/>
  <c r="AA633" i="13176"/>
  <c r="AA657" i="13176"/>
  <c r="AA618" i="13176"/>
  <c r="AA613" i="13176"/>
  <c r="AA641" i="13176"/>
  <c r="AA610" i="13176"/>
  <c r="AA624" i="13176"/>
  <c r="AA615" i="13176"/>
  <c r="AA612" i="13176"/>
  <c r="AA603" i="13176"/>
  <c r="AA649" i="13176"/>
  <c r="AA628" i="13176"/>
  <c r="AA602" i="13176"/>
  <c r="AA600" i="13176"/>
  <c r="AA586" i="13176"/>
  <c r="AA585" i="13176"/>
  <c r="AA601" i="13176"/>
  <c r="AA588" i="13176"/>
  <c r="AA587" i="13176"/>
  <c r="AQ1209" i="13176"/>
  <c r="AQ1211" i="13176"/>
  <c r="AQ1210" i="13176"/>
  <c r="AQ1212" i="13176"/>
  <c r="AQ1204" i="13176"/>
  <c r="AQ1201" i="13176"/>
  <c r="AQ1202" i="13176"/>
  <c r="AQ1195" i="13176"/>
  <c r="AQ1185" i="13176"/>
  <c r="AQ1192" i="13176"/>
  <c r="AQ1184" i="13176"/>
  <c r="AQ1182" i="13176"/>
  <c r="AQ1194" i="13176"/>
  <c r="AQ1179" i="13176"/>
  <c r="AQ1187" i="13176"/>
  <c r="AQ1177" i="13176"/>
  <c r="AQ1169" i="13176"/>
  <c r="AQ1197" i="13176"/>
  <c r="AQ1174" i="13176"/>
  <c r="AQ1166" i="13176"/>
  <c r="AQ1163" i="13176"/>
  <c r="AQ1161" i="13176"/>
  <c r="AQ1160" i="13176"/>
  <c r="AQ1151" i="13176"/>
  <c r="AQ1178" i="13176"/>
  <c r="AQ1168" i="13176"/>
  <c r="AQ1171" i="13176"/>
  <c r="AQ1145" i="13176"/>
  <c r="AQ1134" i="13176"/>
  <c r="AQ1126" i="13176"/>
  <c r="AQ1131" i="13176"/>
  <c r="AQ1154" i="13176"/>
  <c r="AQ1153" i="13176"/>
  <c r="AQ1146" i="13176"/>
  <c r="AQ1156" i="13176"/>
  <c r="AQ1136" i="13176"/>
  <c r="AQ1123" i="13176"/>
  <c r="AQ1118" i="13176"/>
  <c r="AQ1121" i="13176"/>
  <c r="AQ1116" i="13176"/>
  <c r="AQ1108" i="13176"/>
  <c r="AQ1113" i="13176"/>
  <c r="AQ1132" i="13176"/>
  <c r="AQ1105" i="13176"/>
  <c r="AQ1115" i="13176"/>
  <c r="AQ1125" i="13176"/>
  <c r="AQ1099" i="13176"/>
  <c r="AQ1090" i="13176"/>
  <c r="AQ1107" i="13176"/>
  <c r="AQ1100" i="13176"/>
  <c r="AQ1092" i="13176"/>
  <c r="AQ1095" i="13176"/>
  <c r="AQ1091" i="13176"/>
  <c r="AQ1083" i="13176"/>
  <c r="AQ1089" i="13176"/>
  <c r="AQ1081" i="13176"/>
  <c r="AQ1101" i="13176"/>
  <c r="AQ1067" i="13176"/>
  <c r="AQ1059" i="13176"/>
  <c r="AQ1064" i="13176"/>
  <c r="AQ1110" i="13176"/>
  <c r="AQ1074" i="13176"/>
  <c r="AQ1073" i="13176"/>
  <c r="AQ1075" i="13176"/>
  <c r="AQ1069" i="13176"/>
  <c r="AQ1061" i="13176"/>
  <c r="AQ1049" i="13176"/>
  <c r="AQ1048" i="13176"/>
  <c r="AQ1050" i="13176"/>
  <c r="AQ1041" i="13176"/>
  <c r="AQ1033" i="13176"/>
  <c r="AQ1051" i="13176"/>
  <c r="AQ1046" i="13176"/>
  <c r="AQ1038" i="13176"/>
  <c r="AQ1058" i="13176"/>
  <c r="AQ1040" i="13176"/>
  <c r="AQ1032" i="13176"/>
  <c r="AQ1026" i="13176"/>
  <c r="AQ1017" i="13176"/>
  <c r="AQ1043" i="13176"/>
  <c r="AQ1014" i="13176"/>
  <c r="AQ1006" i="13176"/>
  <c r="AQ1011" i="13176"/>
  <c r="AQ1066" i="13176"/>
  <c r="AQ1030" i="13176"/>
  <c r="AQ1025" i="13176"/>
  <c r="AQ1016" i="13176"/>
  <c r="AQ1008" i="13176"/>
  <c r="AQ1000" i="13176"/>
  <c r="AQ1001" i="13176"/>
  <c r="AQ990" i="13176"/>
  <c r="AQ995" i="13176"/>
  <c r="AQ987" i="13176"/>
  <c r="AQ979" i="13176"/>
  <c r="AQ1009" i="13176"/>
  <c r="AQ992" i="13176"/>
  <c r="AQ984" i="13176"/>
  <c r="AQ989" i="13176"/>
  <c r="AQ974" i="13176"/>
  <c r="AQ965" i="13176"/>
  <c r="AQ982" i="13176"/>
  <c r="AQ981" i="13176"/>
  <c r="AQ976" i="13176"/>
  <c r="AQ973" i="13176"/>
  <c r="AQ971" i="13176"/>
  <c r="AQ947" i="13176"/>
  <c r="AQ939" i="13176"/>
  <c r="AQ931" i="13176"/>
  <c r="AQ923" i="13176"/>
  <c r="AQ952" i="13176"/>
  <c r="AQ944" i="13176"/>
  <c r="AQ957" i="13176"/>
  <c r="AQ963" i="13176"/>
  <c r="AQ936" i="13176"/>
  <c r="AQ949" i="13176"/>
  <c r="AQ946" i="13176"/>
  <c r="AQ930" i="13176"/>
  <c r="AQ909" i="13176"/>
  <c r="AQ928" i="13176"/>
  <c r="AQ915" i="13176"/>
  <c r="AQ922" i="13176"/>
  <c r="AQ911" i="13176"/>
  <c r="AQ906" i="13176"/>
  <c r="AQ903" i="13176"/>
  <c r="AQ895" i="13176"/>
  <c r="AQ887" i="13176"/>
  <c r="AQ879" i="13176"/>
  <c r="AQ954" i="13176"/>
  <c r="AQ917" i="13176"/>
  <c r="AQ914" i="13176"/>
  <c r="AQ910" i="13176"/>
  <c r="AQ908" i="13176"/>
  <c r="AQ900" i="13176"/>
  <c r="AQ892" i="13176"/>
  <c r="AQ884" i="13176"/>
  <c r="AQ920" i="13176"/>
  <c r="AQ905" i="13176"/>
  <c r="AQ897" i="13176"/>
  <c r="AQ889" i="13176"/>
  <c r="AQ881" i="13176"/>
  <c r="AQ868" i="13176"/>
  <c r="AQ876" i="13176"/>
  <c r="AQ864" i="13176"/>
  <c r="AQ856" i="13176"/>
  <c r="AQ848" i="13176"/>
  <c r="AQ840" i="13176"/>
  <c r="AQ861" i="13176"/>
  <c r="AQ853" i="13176"/>
  <c r="AQ845" i="13176"/>
  <c r="AQ837" i="13176"/>
  <c r="AQ938" i="13176"/>
  <c r="AQ953" i="13176"/>
  <c r="AQ873" i="13176"/>
  <c r="AQ858" i="13176"/>
  <c r="AQ850" i="13176"/>
  <c r="AQ842" i="13176"/>
  <c r="AQ871" i="13176"/>
  <c r="AQ866" i="13176"/>
  <c r="AQ855" i="13176"/>
  <c r="AQ824" i="13176"/>
  <c r="AQ835" i="13176"/>
  <c r="AQ839" i="13176"/>
  <c r="AQ832" i="13176"/>
  <c r="AQ812" i="13176"/>
  <c r="AQ863" i="13176"/>
  <c r="AQ826" i="13176"/>
  <c r="AQ817" i="13176"/>
  <c r="AQ809" i="13176"/>
  <c r="AQ801" i="13176"/>
  <c r="AQ793" i="13176"/>
  <c r="AQ814" i="13176"/>
  <c r="AQ806" i="13176"/>
  <c r="AQ798" i="13176"/>
  <c r="AQ847" i="13176"/>
  <c r="AQ768" i="13176"/>
  <c r="AQ760" i="13176"/>
  <c r="AQ752" i="13176"/>
  <c r="AQ795" i="13176"/>
  <c r="AQ790" i="13176"/>
  <c r="AQ785" i="13176"/>
  <c r="AQ822" i="13176"/>
  <c r="AQ819" i="13176"/>
  <c r="AQ825" i="13176"/>
  <c r="AQ803" i="13176"/>
  <c r="AQ787" i="13176"/>
  <c r="AQ777" i="13176"/>
  <c r="AQ769" i="13176"/>
  <c r="AQ761" i="13176"/>
  <c r="AQ753" i="13176"/>
  <c r="AQ745" i="13176"/>
  <c r="AQ782" i="13176"/>
  <c r="AQ774" i="13176"/>
  <c r="AQ766" i="13176"/>
  <c r="AQ758" i="13176"/>
  <c r="AQ750" i="13176"/>
  <c r="AQ783" i="13176"/>
  <c r="AQ779" i="13176"/>
  <c r="AQ771" i="13176"/>
  <c r="AQ763" i="13176"/>
  <c r="AQ755" i="13176"/>
  <c r="AQ747" i="13176"/>
  <c r="AQ737" i="13176"/>
  <c r="AQ729" i="13176"/>
  <c r="AQ721" i="13176"/>
  <c r="AQ713" i="13176"/>
  <c r="AQ734" i="13176"/>
  <c r="AQ726" i="13176"/>
  <c r="AQ718" i="13176"/>
  <c r="AQ710" i="13176"/>
  <c r="AQ702" i="13176"/>
  <c r="AQ731" i="13176"/>
  <c r="AQ723" i="13176"/>
  <c r="AQ715" i="13176"/>
  <c r="AQ707" i="13176"/>
  <c r="AQ811" i="13176"/>
  <c r="AQ742" i="13176"/>
  <c r="AQ691" i="13176"/>
  <c r="AQ683" i="13176"/>
  <c r="AQ675" i="13176"/>
  <c r="AQ667" i="13176"/>
  <c r="AQ688" i="13176"/>
  <c r="AQ680" i="13176"/>
  <c r="AQ699" i="13176"/>
  <c r="AQ685" i="13176"/>
  <c r="AQ677" i="13176"/>
  <c r="AQ669" i="13176"/>
  <c r="AQ697" i="13176"/>
  <c r="AQ696" i="13176"/>
  <c r="AQ654" i="13176"/>
  <c r="AQ646" i="13176"/>
  <c r="AQ638" i="13176"/>
  <c r="AQ630" i="13176"/>
  <c r="AQ672" i="13176"/>
  <c r="AQ664" i="13176"/>
  <c r="AQ661" i="13176"/>
  <c r="AQ662" i="13176"/>
  <c r="AQ633" i="13176"/>
  <c r="AQ624" i="13176"/>
  <c r="AQ657" i="13176"/>
  <c r="AQ619" i="13176"/>
  <c r="AQ641" i="13176"/>
  <c r="AQ616" i="13176"/>
  <c r="AQ613" i="13176"/>
  <c r="AQ618" i="13176"/>
  <c r="AQ610" i="13176"/>
  <c r="AQ659" i="13176"/>
  <c r="AQ623" i="13176"/>
  <c r="AQ649" i="13176"/>
  <c r="AQ625" i="13176"/>
  <c r="AQ612" i="13176"/>
  <c r="AQ601" i="13176"/>
  <c r="AQ622" i="13176"/>
  <c r="AQ603" i="13176"/>
  <c r="Q516" i="13176"/>
  <c r="AH516" i="13176"/>
  <c r="AY516" i="13176"/>
  <c r="F518" i="13176"/>
  <c r="Y518" i="13176"/>
  <c r="AP518" i="13176"/>
  <c r="C526" i="13176"/>
  <c r="V526" i="13176"/>
  <c r="AO526" i="13176"/>
  <c r="D527" i="13176"/>
  <c r="W527" i="13176"/>
  <c r="AO527" i="13176"/>
  <c r="G532" i="13176"/>
  <c r="Z532" i="13176"/>
  <c r="AR532" i="13176"/>
  <c r="H535" i="13176"/>
  <c r="AA535" i="13176"/>
  <c r="AT535" i="13176"/>
  <c r="J537" i="13176"/>
  <c r="AC537" i="13176"/>
  <c r="AV537" i="13176"/>
  <c r="K540" i="13176"/>
  <c r="AD540" i="13176"/>
  <c r="AW540" i="13176"/>
  <c r="L543" i="13176"/>
  <c r="AE543" i="13176"/>
  <c r="AX543" i="13176"/>
  <c r="T547" i="13176"/>
  <c r="AM547" i="13176"/>
  <c r="AA548" i="13176"/>
  <c r="AQ550" i="13176"/>
  <c r="AC554" i="13176"/>
  <c r="AE557" i="13176"/>
  <c r="AE559" i="13176"/>
  <c r="BB593" i="13176"/>
  <c r="AC595" i="13176"/>
  <c r="F597" i="13176"/>
  <c r="S516" i="13176"/>
  <c r="AI516" i="13176"/>
  <c r="H518" i="13176"/>
  <c r="Z518" i="13176"/>
  <c r="AQ518" i="13176"/>
  <c r="D526" i="13176"/>
  <c r="W526" i="13176"/>
  <c r="AQ526" i="13176"/>
  <c r="E527" i="13176"/>
  <c r="X527" i="13176"/>
  <c r="AP527" i="13176"/>
  <c r="H532" i="13176"/>
  <c r="AA532" i="13176"/>
  <c r="AT532" i="13176"/>
  <c r="I535" i="13176"/>
  <c r="AB535" i="13176"/>
  <c r="AU535" i="13176"/>
  <c r="K537" i="13176"/>
  <c r="AD537" i="13176"/>
  <c r="AW537" i="13176"/>
  <c r="L540" i="13176"/>
  <c r="AE540" i="13176"/>
  <c r="AX540" i="13176"/>
  <c r="M543" i="13176"/>
  <c r="AF543" i="13176"/>
  <c r="AZ543" i="13176"/>
  <c r="U547" i="13176"/>
  <c r="AA552" i="13176"/>
  <c r="AO553" i="13176"/>
  <c r="AH554" i="13176"/>
  <c r="AG557" i="13176"/>
  <c r="AE584" i="13176"/>
  <c r="AC588" i="13176"/>
  <c r="BD593" i="13176"/>
  <c r="AE595" i="13176"/>
  <c r="AC597" i="13176"/>
  <c r="AX608" i="13176"/>
  <c r="AT547" i="13176"/>
  <c r="AC547" i="13176"/>
  <c r="L547" i="13176"/>
  <c r="AR547" i="13176"/>
  <c r="AB547" i="13176"/>
  <c r="K547" i="13176"/>
  <c r="AP547" i="13176"/>
  <c r="Z547" i="13176"/>
  <c r="I547" i="13176"/>
  <c r="V547" i="13176"/>
  <c r="AO547" i="13176"/>
  <c r="AR554" i="13176"/>
  <c r="AI557" i="13176"/>
  <c r="AF595" i="13176"/>
  <c r="AE597" i="13176"/>
  <c r="S550" i="13176"/>
  <c r="AI550" i="13176"/>
  <c r="AZ550" i="13176"/>
  <c r="N552" i="13176"/>
  <c r="AI552" i="13176"/>
  <c r="BC552" i="13176"/>
  <c r="S553" i="13176"/>
  <c r="AN553" i="13176"/>
  <c r="V555" i="13176"/>
  <c r="AT555" i="13176"/>
  <c r="N556" i="13176"/>
  <c r="AO556" i="13176"/>
  <c r="N559" i="13176"/>
  <c r="AT559" i="13176"/>
  <c r="U584" i="13176"/>
  <c r="AY584" i="13176"/>
  <c r="Z588" i="13176"/>
  <c r="BD588" i="13176"/>
  <c r="AA589" i="13176"/>
  <c r="AW592" i="13176"/>
  <c r="AF592" i="13176"/>
  <c r="O592" i="13176"/>
  <c r="AU592" i="13176"/>
  <c r="AD592" i="13176"/>
  <c r="M592" i="13176"/>
  <c r="AR592" i="13176"/>
  <c r="AB592" i="13176"/>
  <c r="K592" i="13176"/>
  <c r="AP592" i="13176"/>
  <c r="Z592" i="13176"/>
  <c r="I592" i="13176"/>
  <c r="AN592" i="13176"/>
  <c r="X592" i="13176"/>
  <c r="G592" i="13176"/>
  <c r="BC592" i="13176"/>
  <c r="AL592" i="13176"/>
  <c r="V592" i="13176"/>
  <c r="E592" i="13176"/>
  <c r="BA592" i="13176"/>
  <c r="AJ592" i="13176"/>
  <c r="T592" i="13176"/>
  <c r="C592" i="13176"/>
  <c r="AG592" i="13176"/>
  <c r="H596" i="13176"/>
  <c r="AK596" i="13176"/>
  <c r="J598" i="13176"/>
  <c r="AM598" i="13176"/>
  <c r="J599" i="13176"/>
  <c r="AN599" i="13176"/>
  <c r="O552" i="13176"/>
  <c r="AJ552" i="13176"/>
  <c r="BD552" i="13176"/>
  <c r="U553" i="13176"/>
  <c r="W555" i="13176"/>
  <c r="O556" i="13176"/>
  <c r="AQ556" i="13176"/>
  <c r="O559" i="13176"/>
  <c r="AV559" i="13176"/>
  <c r="C576" i="13176"/>
  <c r="C582" i="13176"/>
  <c r="AZ584" i="13176"/>
  <c r="BC591" i="13176"/>
  <c r="AL591" i="13176"/>
  <c r="V591" i="13176"/>
  <c r="E591" i="13176"/>
  <c r="BA591" i="13176"/>
  <c r="AJ591" i="13176"/>
  <c r="T591" i="13176"/>
  <c r="C591" i="13176"/>
  <c r="AY591" i="13176"/>
  <c r="AH591" i="13176"/>
  <c r="Q591" i="13176"/>
  <c r="AW591" i="13176"/>
  <c r="AF591" i="13176"/>
  <c r="O591" i="13176"/>
  <c r="AU591" i="13176"/>
  <c r="AD591" i="13176"/>
  <c r="M591" i="13176"/>
  <c r="AR591" i="13176"/>
  <c r="AB591" i="13176"/>
  <c r="K591" i="13176"/>
  <c r="AP591" i="13176"/>
  <c r="Z591" i="13176"/>
  <c r="I591" i="13176"/>
  <c r="AE591" i="13176"/>
  <c r="D592" i="13176"/>
  <c r="AH592" i="13176"/>
  <c r="I596" i="13176"/>
  <c r="AM596" i="13176"/>
  <c r="L598" i="13176"/>
  <c r="AO598" i="13176"/>
  <c r="L599" i="13176"/>
  <c r="AO599" i="13176"/>
  <c r="AY555" i="13176"/>
  <c r="AH555" i="13176"/>
  <c r="Q555" i="13176"/>
  <c r="AW555" i="13176"/>
  <c r="AF555" i="13176"/>
  <c r="O555" i="13176"/>
  <c r="AU555" i="13176"/>
  <c r="AD555" i="13176"/>
  <c r="M555" i="13176"/>
  <c r="AP555" i="13176"/>
  <c r="Z555" i="13176"/>
  <c r="I555" i="13176"/>
  <c r="AN555" i="13176"/>
  <c r="X555" i="13176"/>
  <c r="G555" i="13176"/>
  <c r="Y555" i="13176"/>
  <c r="AX555" i="13176"/>
  <c r="P556" i="13176"/>
  <c r="AT556" i="13176"/>
  <c r="Q559" i="13176"/>
  <c r="AW559" i="13176"/>
  <c r="C570" i="13176"/>
  <c r="Y584" i="13176"/>
  <c r="BB584" i="13176"/>
  <c r="AY589" i="13176"/>
  <c r="AH589" i="13176"/>
  <c r="Q589" i="13176"/>
  <c r="AW589" i="13176"/>
  <c r="AF589" i="13176"/>
  <c r="O589" i="13176"/>
  <c r="AU589" i="13176"/>
  <c r="AD589" i="13176"/>
  <c r="M589" i="13176"/>
  <c r="AR589" i="13176"/>
  <c r="AB589" i="13176"/>
  <c r="K589" i="13176"/>
  <c r="AP589" i="13176"/>
  <c r="Z589" i="13176"/>
  <c r="I589" i="13176"/>
  <c r="AN589" i="13176"/>
  <c r="X589" i="13176"/>
  <c r="G589" i="13176"/>
  <c r="BC589" i="13176"/>
  <c r="AL589" i="13176"/>
  <c r="V589" i="13176"/>
  <c r="E589" i="13176"/>
  <c r="AE589" i="13176"/>
  <c r="AR590" i="13176"/>
  <c r="AB590" i="13176"/>
  <c r="K590" i="13176"/>
  <c r="AP590" i="13176"/>
  <c r="Z590" i="13176"/>
  <c r="I590" i="13176"/>
  <c r="AN590" i="13176"/>
  <c r="X590" i="13176"/>
  <c r="G590" i="13176"/>
  <c r="BC590" i="13176"/>
  <c r="AL590" i="13176"/>
  <c r="V590" i="13176"/>
  <c r="E590" i="13176"/>
  <c r="BA590" i="13176"/>
  <c r="AJ590" i="13176"/>
  <c r="T590" i="13176"/>
  <c r="C590" i="13176"/>
  <c r="AY590" i="13176"/>
  <c r="AH590" i="13176"/>
  <c r="Q590" i="13176"/>
  <c r="AW590" i="13176"/>
  <c r="AF590" i="13176"/>
  <c r="O590" i="13176"/>
  <c r="AE590" i="13176"/>
  <c r="D591" i="13176"/>
  <c r="AG591" i="13176"/>
  <c r="F592" i="13176"/>
  <c r="AI592" i="13176"/>
  <c r="J596" i="13176"/>
  <c r="AO596" i="13176"/>
  <c r="M598" i="13176"/>
  <c r="AQ598" i="13176"/>
  <c r="N599" i="13176"/>
  <c r="AQ599" i="13176"/>
  <c r="AT606" i="13176"/>
  <c r="AU553" i="13176"/>
  <c r="AR553" i="13176"/>
  <c r="AB553" i="13176"/>
  <c r="K553" i="13176"/>
  <c r="BC553" i="13176"/>
  <c r="AL553" i="13176"/>
  <c r="V553" i="13176"/>
  <c r="E553" i="13176"/>
  <c r="BA553" i="13176"/>
  <c r="AJ553" i="13176"/>
  <c r="T553" i="13176"/>
  <c r="C553" i="13176"/>
  <c r="X553" i="13176"/>
  <c r="AQ553" i="13176"/>
  <c r="C555" i="13176"/>
  <c r="AA555" i="13176"/>
  <c r="AZ555" i="13176"/>
  <c r="S556" i="13176"/>
  <c r="AU556" i="13176"/>
  <c r="T559" i="13176"/>
  <c r="AX559" i="13176"/>
  <c r="C564" i="13176"/>
  <c r="AA584" i="13176"/>
  <c r="BD584" i="13176"/>
  <c r="AN588" i="13176"/>
  <c r="X588" i="13176"/>
  <c r="G588" i="13176"/>
  <c r="BC588" i="13176"/>
  <c r="AL588" i="13176"/>
  <c r="V588" i="13176"/>
  <c r="E588" i="13176"/>
  <c r="BA588" i="13176"/>
  <c r="AJ588" i="13176"/>
  <c r="T588" i="13176"/>
  <c r="C588" i="13176"/>
  <c r="AY588" i="13176"/>
  <c r="AH588" i="13176"/>
  <c r="Q588" i="13176"/>
  <c r="AW588" i="13176"/>
  <c r="AF588" i="13176"/>
  <c r="O588" i="13176"/>
  <c r="AU588" i="13176"/>
  <c r="AD588" i="13176"/>
  <c r="M588" i="13176"/>
  <c r="AR588" i="13176"/>
  <c r="AB588" i="13176"/>
  <c r="K588" i="13176"/>
  <c r="AE588" i="13176"/>
  <c r="C589" i="13176"/>
  <c r="AG589" i="13176"/>
  <c r="D590" i="13176"/>
  <c r="AG590" i="13176"/>
  <c r="F591" i="13176"/>
  <c r="AI591" i="13176"/>
  <c r="H592" i="13176"/>
  <c r="AK592" i="13176"/>
  <c r="L596" i="13176"/>
  <c r="AP596" i="13176"/>
  <c r="N598" i="13176"/>
  <c r="AT598" i="13176"/>
  <c r="P599" i="13176"/>
  <c r="AT599" i="13176"/>
  <c r="BA622" i="13176"/>
  <c r="S548" i="13176"/>
  <c r="AI548" i="13176"/>
  <c r="AZ548" i="13176"/>
  <c r="F550" i="13176"/>
  <c r="W550" i="13176"/>
  <c r="AM550" i="13176"/>
  <c r="BD550" i="13176"/>
  <c r="T552" i="13176"/>
  <c r="AM552" i="13176"/>
  <c r="D553" i="13176"/>
  <c r="Y553" i="13176"/>
  <c r="AT553" i="13176"/>
  <c r="D555" i="13176"/>
  <c r="AB555" i="13176"/>
  <c r="BA555" i="13176"/>
  <c r="U556" i="13176"/>
  <c r="AV556" i="13176"/>
  <c r="V559" i="13176"/>
  <c r="AZ559" i="13176"/>
  <c r="AC584" i="13176"/>
  <c r="BA586" i="13176"/>
  <c r="AJ586" i="13176"/>
  <c r="T586" i="13176"/>
  <c r="C586" i="13176"/>
  <c r="AY586" i="13176"/>
  <c r="AH586" i="13176"/>
  <c r="Q586" i="13176"/>
  <c r="AW586" i="13176"/>
  <c r="AF586" i="13176"/>
  <c r="O586" i="13176"/>
  <c r="AU586" i="13176"/>
  <c r="AD586" i="13176"/>
  <c r="M586" i="13176"/>
  <c r="AR586" i="13176"/>
  <c r="AB586" i="13176"/>
  <c r="K586" i="13176"/>
  <c r="AP586" i="13176"/>
  <c r="Z586" i="13176"/>
  <c r="I586" i="13176"/>
  <c r="AN586" i="13176"/>
  <c r="X586" i="13176"/>
  <c r="G586" i="13176"/>
  <c r="AE586" i="13176"/>
  <c r="AU587" i="13176"/>
  <c r="AD587" i="13176"/>
  <c r="M587" i="13176"/>
  <c r="AR587" i="13176"/>
  <c r="AB587" i="13176"/>
  <c r="K587" i="13176"/>
  <c r="AP587" i="13176"/>
  <c r="Z587" i="13176"/>
  <c r="I587" i="13176"/>
  <c r="AN587" i="13176"/>
  <c r="X587" i="13176"/>
  <c r="G587" i="13176"/>
  <c r="BC587" i="13176"/>
  <c r="AL587" i="13176"/>
  <c r="V587" i="13176"/>
  <c r="E587" i="13176"/>
  <c r="BA587" i="13176"/>
  <c r="AJ587" i="13176"/>
  <c r="T587" i="13176"/>
  <c r="C587" i="13176"/>
  <c r="AY587" i="13176"/>
  <c r="AH587" i="13176"/>
  <c r="Q587" i="13176"/>
  <c r="AF587" i="13176"/>
  <c r="D588" i="13176"/>
  <c r="AG588" i="13176"/>
  <c r="D589" i="13176"/>
  <c r="AI589" i="13176"/>
  <c r="F590" i="13176"/>
  <c r="AI590" i="13176"/>
  <c r="G591" i="13176"/>
  <c r="AK591" i="13176"/>
  <c r="J592" i="13176"/>
  <c r="AM592" i="13176"/>
  <c r="N596" i="13176"/>
  <c r="AQ596" i="13176"/>
  <c r="P598" i="13176"/>
  <c r="AU598" i="13176"/>
  <c r="S599" i="13176"/>
  <c r="AV599" i="13176"/>
  <c r="AQ609" i="13176"/>
  <c r="AO612" i="13176"/>
  <c r="AK615" i="13176"/>
  <c r="O546" i="13176"/>
  <c r="AF546" i="13176"/>
  <c r="AW546" i="13176"/>
  <c r="C548" i="13176"/>
  <c r="T548" i="13176"/>
  <c r="AJ548" i="13176"/>
  <c r="BA548" i="13176"/>
  <c r="G550" i="13176"/>
  <c r="X550" i="13176"/>
  <c r="AN550" i="13176"/>
  <c r="U552" i="13176"/>
  <c r="F553" i="13176"/>
  <c r="Z553" i="13176"/>
  <c r="AV553" i="13176"/>
  <c r="E555" i="13176"/>
  <c r="AC555" i="13176"/>
  <c r="BB555" i="13176"/>
  <c r="W556" i="13176"/>
  <c r="AW556" i="13176"/>
  <c r="X559" i="13176"/>
  <c r="BB559" i="13176"/>
  <c r="AP585" i="13176"/>
  <c r="Z585" i="13176"/>
  <c r="I585" i="13176"/>
  <c r="AN585" i="13176"/>
  <c r="X585" i="13176"/>
  <c r="G585" i="13176"/>
  <c r="BC585" i="13176"/>
  <c r="AL585" i="13176"/>
  <c r="V585" i="13176"/>
  <c r="E585" i="13176"/>
  <c r="BA585" i="13176"/>
  <c r="AJ585" i="13176"/>
  <c r="T585" i="13176"/>
  <c r="C585" i="13176"/>
  <c r="AY585" i="13176"/>
  <c r="AH585" i="13176"/>
  <c r="Q585" i="13176"/>
  <c r="AW585" i="13176"/>
  <c r="AF585" i="13176"/>
  <c r="O585" i="13176"/>
  <c r="AU585" i="13176"/>
  <c r="AD585" i="13176"/>
  <c r="M585" i="13176"/>
  <c r="AE585" i="13176"/>
  <c r="D586" i="13176"/>
  <c r="AG586" i="13176"/>
  <c r="D587" i="13176"/>
  <c r="AG587" i="13176"/>
  <c r="F588" i="13176"/>
  <c r="AI588" i="13176"/>
  <c r="F589" i="13176"/>
  <c r="AJ589" i="13176"/>
  <c r="H590" i="13176"/>
  <c r="AK590" i="13176"/>
  <c r="H591" i="13176"/>
  <c r="AM591" i="13176"/>
  <c r="L592" i="13176"/>
  <c r="AO592" i="13176"/>
  <c r="P596" i="13176"/>
  <c r="AT596" i="13176"/>
  <c r="S598" i="13176"/>
  <c r="AV598" i="13176"/>
  <c r="U599" i="13176"/>
  <c r="AX599" i="13176"/>
  <c r="AU603" i="13176"/>
  <c r="AY552" i="13176"/>
  <c r="AH552" i="13176"/>
  <c r="Q552" i="13176"/>
  <c r="AR552" i="13176"/>
  <c r="AB552" i="13176"/>
  <c r="K552" i="13176"/>
  <c r="AP552" i="13176"/>
  <c r="Z552" i="13176"/>
  <c r="I552" i="13176"/>
  <c r="V552" i="13176"/>
  <c r="AO552" i="13176"/>
  <c r="G553" i="13176"/>
  <c r="AA553" i="13176"/>
  <c r="AW553" i="13176"/>
  <c r="F555" i="13176"/>
  <c r="AE555" i="13176"/>
  <c r="BC555" i="13176"/>
  <c r="Y556" i="13176"/>
  <c r="AX556" i="13176"/>
  <c r="Z559" i="13176"/>
  <c r="BD559" i="13176"/>
  <c r="AW584" i="13176"/>
  <c r="AF584" i="13176"/>
  <c r="O584" i="13176"/>
  <c r="AU584" i="13176"/>
  <c r="AD584" i="13176"/>
  <c r="M584" i="13176"/>
  <c r="AR584" i="13176"/>
  <c r="AB584" i="13176"/>
  <c r="K584" i="13176"/>
  <c r="AP584" i="13176"/>
  <c r="Z584" i="13176"/>
  <c r="I584" i="13176"/>
  <c r="AN584" i="13176"/>
  <c r="X584" i="13176"/>
  <c r="G584" i="13176"/>
  <c r="BC584" i="13176"/>
  <c r="AL584" i="13176"/>
  <c r="V584" i="13176"/>
  <c r="E584" i="13176"/>
  <c r="BA584" i="13176"/>
  <c r="AJ584" i="13176"/>
  <c r="T584" i="13176"/>
  <c r="C584" i="13176"/>
  <c r="AG584" i="13176"/>
  <c r="E586" i="13176"/>
  <c r="AI586" i="13176"/>
  <c r="H588" i="13176"/>
  <c r="AK588" i="13176"/>
  <c r="H589" i="13176"/>
  <c r="AK589" i="13176"/>
  <c r="J590" i="13176"/>
  <c r="AM590" i="13176"/>
  <c r="J591" i="13176"/>
  <c r="AN591" i="13176"/>
  <c r="N592" i="13176"/>
  <c r="AQ592" i="13176"/>
  <c r="S596" i="13176"/>
  <c r="AV596" i="13176"/>
  <c r="U598" i="13176"/>
  <c r="AX598" i="13176"/>
  <c r="W599" i="13176"/>
  <c r="AZ599" i="13176"/>
  <c r="AP601" i="13176"/>
  <c r="AZ605" i="13176"/>
  <c r="BB619" i="13176"/>
  <c r="Q546" i="13176"/>
  <c r="AH546" i="13176"/>
  <c r="AY546" i="13176"/>
  <c r="E548" i="13176"/>
  <c r="V548" i="13176"/>
  <c r="AL548" i="13176"/>
  <c r="BC548" i="13176"/>
  <c r="I550" i="13176"/>
  <c r="Z550" i="13176"/>
  <c r="AP550" i="13176"/>
  <c r="C552" i="13176"/>
  <c r="W552" i="13176"/>
  <c r="AQ552" i="13176"/>
  <c r="H553" i="13176"/>
  <c r="AC553" i="13176"/>
  <c r="AX553" i="13176"/>
  <c r="H555" i="13176"/>
  <c r="AG555" i="13176"/>
  <c r="BD555" i="13176"/>
  <c r="AA556" i="13176"/>
  <c r="AZ556" i="13176"/>
  <c r="AB559" i="13176"/>
  <c r="C572" i="13176"/>
  <c r="D584" i="13176"/>
  <c r="AH584" i="13176"/>
  <c r="F586" i="13176"/>
  <c r="AK586" i="13176"/>
  <c r="H587" i="13176"/>
  <c r="AK587" i="13176"/>
  <c r="I588" i="13176"/>
  <c r="AM588" i="13176"/>
  <c r="J589" i="13176"/>
  <c r="AM589" i="13176"/>
  <c r="L590" i="13176"/>
  <c r="AO590" i="13176"/>
  <c r="L591" i="13176"/>
  <c r="AO591" i="13176"/>
  <c r="P592" i="13176"/>
  <c r="AT592" i="13176"/>
  <c r="U596" i="13176"/>
  <c r="AX596" i="13176"/>
  <c r="W598" i="13176"/>
  <c r="AZ598" i="13176"/>
  <c r="X599" i="13176"/>
  <c r="BB599" i="13176"/>
  <c r="AN604" i="13176"/>
  <c r="AA623" i="13176"/>
  <c r="S546" i="13176"/>
  <c r="AI546" i="13176"/>
  <c r="F548" i="13176"/>
  <c r="W548" i="13176"/>
  <c r="AM548" i="13176"/>
  <c r="J550" i="13176"/>
  <c r="AA550" i="13176"/>
  <c r="D552" i="13176"/>
  <c r="X552" i="13176"/>
  <c r="AT552" i="13176"/>
  <c r="I553" i="13176"/>
  <c r="AD553" i="13176"/>
  <c r="AY553" i="13176"/>
  <c r="J555" i="13176"/>
  <c r="AI555" i="13176"/>
  <c r="AC556" i="13176"/>
  <c r="AD559" i="13176"/>
  <c r="C560" i="13176"/>
  <c r="C566" i="13176"/>
  <c r="F584" i="13176"/>
  <c r="AI584" i="13176"/>
  <c r="H586" i="13176"/>
  <c r="AL586" i="13176"/>
  <c r="J587" i="13176"/>
  <c r="AM587" i="13176"/>
  <c r="J588" i="13176"/>
  <c r="AO588" i="13176"/>
  <c r="L589" i="13176"/>
  <c r="AO589" i="13176"/>
  <c r="M590" i="13176"/>
  <c r="AQ590" i="13176"/>
  <c r="N591" i="13176"/>
  <c r="AQ591" i="13176"/>
  <c r="Q592" i="13176"/>
  <c r="AV592" i="13176"/>
  <c r="W596" i="13176"/>
  <c r="AZ596" i="13176"/>
  <c r="Y598" i="13176"/>
  <c r="BB598" i="13176"/>
  <c r="Y599" i="13176"/>
  <c r="BD599" i="13176"/>
  <c r="AZ628" i="13176"/>
  <c r="AR556" i="13176"/>
  <c r="AB556" i="13176"/>
  <c r="K556" i="13176"/>
  <c r="AP556" i="13176"/>
  <c r="Z556" i="13176"/>
  <c r="I556" i="13176"/>
  <c r="AN556" i="13176"/>
  <c r="X556" i="13176"/>
  <c r="G556" i="13176"/>
  <c r="BC556" i="13176"/>
  <c r="AL556" i="13176"/>
  <c r="V556" i="13176"/>
  <c r="E556" i="13176"/>
  <c r="BA556" i="13176"/>
  <c r="AJ556" i="13176"/>
  <c r="T556" i="13176"/>
  <c r="C556" i="13176"/>
  <c r="AY556" i="13176"/>
  <c r="AH556" i="13176"/>
  <c r="Q556" i="13176"/>
  <c r="AD556" i="13176"/>
  <c r="BD556" i="13176"/>
  <c r="H584" i="13176"/>
  <c r="AK584" i="13176"/>
  <c r="J586" i="13176"/>
  <c r="AM586" i="13176"/>
  <c r="L588" i="13176"/>
  <c r="AP588" i="13176"/>
  <c r="N589" i="13176"/>
  <c r="AQ589" i="13176"/>
  <c r="N590" i="13176"/>
  <c r="AT590" i="13176"/>
  <c r="P591" i="13176"/>
  <c r="AT591" i="13176"/>
  <c r="S592" i="13176"/>
  <c r="AX592" i="13176"/>
  <c r="Y596" i="13176"/>
  <c r="BB596" i="13176"/>
  <c r="AA598" i="13176"/>
  <c r="BD598" i="13176"/>
  <c r="AA599" i="13176"/>
  <c r="BB610" i="13176"/>
  <c r="AZ613" i="13176"/>
  <c r="AO616" i="13176"/>
  <c r="AU559" i="13176"/>
  <c r="AC559" i="13176"/>
  <c r="K559" i="13176"/>
  <c r="AR559" i="13176"/>
  <c r="AA559" i="13176"/>
  <c r="I559" i="13176"/>
  <c r="AP559" i="13176"/>
  <c r="Y559" i="13176"/>
  <c r="G559" i="13176"/>
  <c r="AM559" i="13176"/>
  <c r="W559" i="13176"/>
  <c r="E559" i="13176"/>
  <c r="BC559" i="13176"/>
  <c r="AK559" i="13176"/>
  <c r="U559" i="13176"/>
  <c r="C559" i="13176"/>
  <c r="BA559" i="13176"/>
  <c r="AI559" i="13176"/>
  <c r="S559" i="13176"/>
  <c r="AY559" i="13176"/>
  <c r="AG559" i="13176"/>
  <c r="P559" i="13176"/>
  <c r="AF559" i="13176"/>
  <c r="J584" i="13176"/>
  <c r="AM584" i="13176"/>
  <c r="L586" i="13176"/>
  <c r="AO586" i="13176"/>
  <c r="N587" i="13176"/>
  <c r="AQ587" i="13176"/>
  <c r="N588" i="13176"/>
  <c r="AQ588" i="13176"/>
  <c r="P589" i="13176"/>
  <c r="AT589" i="13176"/>
  <c r="P590" i="13176"/>
  <c r="AU590" i="13176"/>
  <c r="S591" i="13176"/>
  <c r="AV591" i="13176"/>
  <c r="U592" i="13176"/>
  <c r="AY592" i="13176"/>
  <c r="Z596" i="13176"/>
  <c r="AW600" i="13176"/>
  <c r="BD607" i="13176"/>
  <c r="BC599" i="13176"/>
  <c r="AL599" i="13176"/>
  <c r="V599" i="13176"/>
  <c r="E599" i="13176"/>
  <c r="BA599" i="13176"/>
  <c r="AJ599" i="13176"/>
  <c r="T599" i="13176"/>
  <c r="C599" i="13176"/>
  <c r="AY599" i="13176"/>
  <c r="AH599" i="13176"/>
  <c r="Q599" i="13176"/>
  <c r="AW599" i="13176"/>
  <c r="AF599" i="13176"/>
  <c r="O599" i="13176"/>
  <c r="AU599" i="13176"/>
  <c r="AD599" i="13176"/>
  <c r="M599" i="13176"/>
  <c r="AR599" i="13176"/>
  <c r="AB599" i="13176"/>
  <c r="K599" i="13176"/>
  <c r="AP599" i="13176"/>
  <c r="Z599" i="13176"/>
  <c r="I599" i="13176"/>
  <c r="AE599" i="13176"/>
  <c r="BB620" i="13176"/>
  <c r="BB629" i="13176"/>
  <c r="AR598" i="13176"/>
  <c r="AB598" i="13176"/>
  <c r="K598" i="13176"/>
  <c r="AP598" i="13176"/>
  <c r="Z598" i="13176"/>
  <c r="I598" i="13176"/>
  <c r="AN598" i="13176"/>
  <c r="X598" i="13176"/>
  <c r="G598" i="13176"/>
  <c r="BC598" i="13176"/>
  <c r="AL598" i="13176"/>
  <c r="V598" i="13176"/>
  <c r="E598" i="13176"/>
  <c r="BA598" i="13176"/>
  <c r="AJ598" i="13176"/>
  <c r="T598" i="13176"/>
  <c r="C598" i="13176"/>
  <c r="AY598" i="13176"/>
  <c r="AH598" i="13176"/>
  <c r="Q598" i="13176"/>
  <c r="AW598" i="13176"/>
  <c r="AF598" i="13176"/>
  <c r="O598" i="13176"/>
  <c r="AE598" i="13176"/>
  <c r="D599" i="13176"/>
  <c r="AG599" i="13176"/>
  <c r="AN596" i="13176"/>
  <c r="X596" i="13176"/>
  <c r="G596" i="13176"/>
  <c r="BC596" i="13176"/>
  <c r="AL596" i="13176"/>
  <c r="V596" i="13176"/>
  <c r="E596" i="13176"/>
  <c r="BA596" i="13176"/>
  <c r="AJ596" i="13176"/>
  <c r="T596" i="13176"/>
  <c r="C596" i="13176"/>
  <c r="AY596" i="13176"/>
  <c r="AH596" i="13176"/>
  <c r="Q596" i="13176"/>
  <c r="AW596" i="13176"/>
  <c r="AF596" i="13176"/>
  <c r="O596" i="13176"/>
  <c r="AU596" i="13176"/>
  <c r="AD596" i="13176"/>
  <c r="M596" i="13176"/>
  <c r="AR596" i="13176"/>
  <c r="AB596" i="13176"/>
  <c r="K596" i="13176"/>
  <c r="AE596" i="13176"/>
  <c r="D598" i="13176"/>
  <c r="AG598" i="13176"/>
  <c r="F599" i="13176"/>
  <c r="AI599" i="13176"/>
  <c r="S600" i="13176"/>
  <c r="AI600" i="13176"/>
  <c r="AZ600" i="13176"/>
  <c r="L601" i="13176"/>
  <c r="AC601" i="13176"/>
  <c r="AT601" i="13176"/>
  <c r="F602" i="13176"/>
  <c r="W602" i="13176"/>
  <c r="AM602" i="13176"/>
  <c r="BD602" i="13176"/>
  <c r="P603" i="13176"/>
  <c r="AG603" i="13176"/>
  <c r="AX603" i="13176"/>
  <c r="J604" i="13176"/>
  <c r="AA604" i="13176"/>
  <c r="AQ604" i="13176"/>
  <c r="D605" i="13176"/>
  <c r="U605" i="13176"/>
  <c r="AK605" i="13176"/>
  <c r="BB605" i="13176"/>
  <c r="N606" i="13176"/>
  <c r="AE606" i="13176"/>
  <c r="AV606" i="13176"/>
  <c r="H607" i="13176"/>
  <c r="Y607" i="13176"/>
  <c r="AO607" i="13176"/>
  <c r="S608" i="13176"/>
  <c r="AI608" i="13176"/>
  <c r="AZ608" i="13176"/>
  <c r="L609" i="13176"/>
  <c r="AC609" i="13176"/>
  <c r="AT609" i="13176"/>
  <c r="P611" i="13176"/>
  <c r="AG611" i="13176"/>
  <c r="AX611" i="13176"/>
  <c r="X617" i="13176"/>
  <c r="AA620" i="13176"/>
  <c r="S622" i="13176"/>
  <c r="AT622" i="13176"/>
  <c r="AK629" i="13176"/>
  <c r="AV681" i="13176"/>
  <c r="C600" i="13176"/>
  <c r="T600" i="13176"/>
  <c r="AJ600" i="13176"/>
  <c r="BA600" i="13176"/>
  <c r="M601" i="13176"/>
  <c r="AD601" i="13176"/>
  <c r="AU601" i="13176"/>
  <c r="G602" i="13176"/>
  <c r="X602" i="13176"/>
  <c r="AN602" i="13176"/>
  <c r="Q603" i="13176"/>
  <c r="AH603" i="13176"/>
  <c r="AY603" i="13176"/>
  <c r="K604" i="13176"/>
  <c r="AB604" i="13176"/>
  <c r="AR604" i="13176"/>
  <c r="E605" i="13176"/>
  <c r="V605" i="13176"/>
  <c r="AL605" i="13176"/>
  <c r="BC605" i="13176"/>
  <c r="O606" i="13176"/>
  <c r="AF606" i="13176"/>
  <c r="AW606" i="13176"/>
  <c r="I607" i="13176"/>
  <c r="Z607" i="13176"/>
  <c r="AP607" i="13176"/>
  <c r="BA608" i="13176"/>
  <c r="M609" i="13176"/>
  <c r="AD609" i="13176"/>
  <c r="AU609" i="13176"/>
  <c r="AP617" i="13176"/>
  <c r="Z617" i="13176"/>
  <c r="I617" i="13176"/>
  <c r="AN617" i="13176"/>
  <c r="BC617" i="13176"/>
  <c r="AL617" i="13176"/>
  <c r="V617" i="13176"/>
  <c r="E617" i="13176"/>
  <c r="BA617" i="13176"/>
  <c r="AJ617" i="13176"/>
  <c r="T617" i="13176"/>
  <c r="C617" i="13176"/>
  <c r="AW617" i="13176"/>
  <c r="AF617" i="13176"/>
  <c r="O617" i="13176"/>
  <c r="Y617" i="13176"/>
  <c r="AV617" i="13176"/>
  <c r="AN620" i="13176"/>
  <c r="X620" i="13176"/>
  <c r="G620" i="13176"/>
  <c r="BC620" i="13176"/>
  <c r="AL620" i="13176"/>
  <c r="V620" i="13176"/>
  <c r="E620" i="13176"/>
  <c r="BA620" i="13176"/>
  <c r="AJ620" i="13176"/>
  <c r="T620" i="13176"/>
  <c r="C620" i="13176"/>
  <c r="AY620" i="13176"/>
  <c r="AH620" i="13176"/>
  <c r="Q620" i="13176"/>
  <c r="AU620" i="13176"/>
  <c r="AD620" i="13176"/>
  <c r="M620" i="13176"/>
  <c r="AR620" i="13176"/>
  <c r="AB620" i="13176"/>
  <c r="K620" i="13176"/>
  <c r="AC620" i="13176"/>
  <c r="BD620" i="13176"/>
  <c r="T622" i="13176"/>
  <c r="AU622" i="13176"/>
  <c r="AP625" i="13176"/>
  <c r="Z625" i="13176"/>
  <c r="I625" i="13176"/>
  <c r="AN625" i="13176"/>
  <c r="X625" i="13176"/>
  <c r="G625" i="13176"/>
  <c r="BD625" i="13176"/>
  <c r="AM625" i="13176"/>
  <c r="W625" i="13176"/>
  <c r="F625" i="13176"/>
  <c r="BC625" i="13176"/>
  <c r="AL625" i="13176"/>
  <c r="V625" i="13176"/>
  <c r="E625" i="13176"/>
  <c r="BA625" i="13176"/>
  <c r="AJ625" i="13176"/>
  <c r="T625" i="13176"/>
  <c r="C625" i="13176"/>
  <c r="AY625" i="13176"/>
  <c r="AH625" i="13176"/>
  <c r="Q625" i="13176"/>
  <c r="AX625" i="13176"/>
  <c r="AG625" i="13176"/>
  <c r="P625" i="13176"/>
  <c r="AW625" i="13176"/>
  <c r="AF625" i="13176"/>
  <c r="O625" i="13176"/>
  <c r="AV625" i="13176"/>
  <c r="AE625" i="13176"/>
  <c r="N625" i="13176"/>
  <c r="AU625" i="13176"/>
  <c r="AD625" i="13176"/>
  <c r="M625" i="13176"/>
  <c r="AR625" i="13176"/>
  <c r="AQ629" i="13176"/>
  <c r="AW632" i="13176"/>
  <c r="AB663" i="13176"/>
  <c r="S603" i="13176"/>
  <c r="AI603" i="13176"/>
  <c r="AZ603" i="13176"/>
  <c r="L604" i="13176"/>
  <c r="AC604" i="13176"/>
  <c r="AT604" i="13176"/>
  <c r="F605" i="13176"/>
  <c r="W605" i="13176"/>
  <c r="AM605" i="13176"/>
  <c r="BD605" i="13176"/>
  <c r="P606" i="13176"/>
  <c r="AG606" i="13176"/>
  <c r="AX606" i="13176"/>
  <c r="J607" i="13176"/>
  <c r="AA607" i="13176"/>
  <c r="AQ607" i="13176"/>
  <c r="D608" i="13176"/>
  <c r="U608" i="13176"/>
  <c r="AK608" i="13176"/>
  <c r="BB608" i="13176"/>
  <c r="N609" i="13176"/>
  <c r="AE609" i="13176"/>
  <c r="AV609" i="13176"/>
  <c r="S611" i="13176"/>
  <c r="AI611" i="13176"/>
  <c r="AZ611" i="13176"/>
  <c r="D617" i="13176"/>
  <c r="AA617" i="13176"/>
  <c r="AX617" i="13176"/>
  <c r="D620" i="13176"/>
  <c r="AE620" i="13176"/>
  <c r="U622" i="13176"/>
  <c r="AV622" i="13176"/>
  <c r="AT629" i="13176"/>
  <c r="BC647" i="13176"/>
  <c r="BA650" i="13176"/>
  <c r="AY653" i="13176"/>
  <c r="AH653" i="13176"/>
  <c r="Q653" i="13176"/>
  <c r="AX653" i="13176"/>
  <c r="AG653" i="13176"/>
  <c r="P653" i="13176"/>
  <c r="AW653" i="13176"/>
  <c r="AF653" i="13176"/>
  <c r="O653" i="13176"/>
  <c r="AV653" i="13176"/>
  <c r="AE653" i="13176"/>
  <c r="N653" i="13176"/>
  <c r="AU653" i="13176"/>
  <c r="AD653" i="13176"/>
  <c r="M653" i="13176"/>
  <c r="AT653" i="13176"/>
  <c r="AC653" i="13176"/>
  <c r="L653" i="13176"/>
  <c r="AR653" i="13176"/>
  <c r="AB653" i="13176"/>
  <c r="K653" i="13176"/>
  <c r="AQ653" i="13176"/>
  <c r="AA653" i="13176"/>
  <c r="J653" i="13176"/>
  <c r="AP653" i="13176"/>
  <c r="Z653" i="13176"/>
  <c r="I653" i="13176"/>
  <c r="AO653" i="13176"/>
  <c r="Y653" i="13176"/>
  <c r="H653" i="13176"/>
  <c r="AN653" i="13176"/>
  <c r="X653" i="13176"/>
  <c r="G653" i="13176"/>
  <c r="BD653" i="13176"/>
  <c r="AM653" i="13176"/>
  <c r="W653" i="13176"/>
  <c r="F653" i="13176"/>
  <c r="BC653" i="13176"/>
  <c r="AL653" i="13176"/>
  <c r="V653" i="13176"/>
  <c r="E653" i="13176"/>
  <c r="BB653" i="13176"/>
  <c r="AK653" i="13176"/>
  <c r="U653" i="13176"/>
  <c r="D653" i="13176"/>
  <c r="BA653" i="13176"/>
  <c r="AJ653" i="13176"/>
  <c r="T653" i="13176"/>
  <c r="C653" i="13176"/>
  <c r="AW656" i="13176"/>
  <c r="X697" i="13176"/>
  <c r="E600" i="13176"/>
  <c r="V600" i="13176"/>
  <c r="AL600" i="13176"/>
  <c r="BC600" i="13176"/>
  <c r="O601" i="13176"/>
  <c r="AF601" i="13176"/>
  <c r="AW601" i="13176"/>
  <c r="I602" i="13176"/>
  <c r="Z602" i="13176"/>
  <c r="AP602" i="13176"/>
  <c r="C603" i="13176"/>
  <c r="T603" i="13176"/>
  <c r="AJ603" i="13176"/>
  <c r="BA603" i="13176"/>
  <c r="M604" i="13176"/>
  <c r="AD604" i="13176"/>
  <c r="AU604" i="13176"/>
  <c r="G605" i="13176"/>
  <c r="X605" i="13176"/>
  <c r="AN605" i="13176"/>
  <c r="Q606" i="13176"/>
  <c r="AH606" i="13176"/>
  <c r="AY606" i="13176"/>
  <c r="K607" i="13176"/>
  <c r="AB607" i="13176"/>
  <c r="AR607" i="13176"/>
  <c r="E608" i="13176"/>
  <c r="V608" i="13176"/>
  <c r="AL608" i="13176"/>
  <c r="BC608" i="13176"/>
  <c r="O609" i="13176"/>
  <c r="AF609" i="13176"/>
  <c r="AW609" i="13176"/>
  <c r="C611" i="13176"/>
  <c r="T611" i="13176"/>
  <c r="AJ611" i="13176"/>
  <c r="BA611" i="13176"/>
  <c r="F617" i="13176"/>
  <c r="AB617" i="13176"/>
  <c r="AY617" i="13176"/>
  <c r="F620" i="13176"/>
  <c r="AF620" i="13176"/>
  <c r="AY621" i="13176"/>
  <c r="AH621" i="13176"/>
  <c r="Q621" i="13176"/>
  <c r="AW621" i="13176"/>
  <c r="AF621" i="13176"/>
  <c r="O621" i="13176"/>
  <c r="AU621" i="13176"/>
  <c r="AD621" i="13176"/>
  <c r="M621" i="13176"/>
  <c r="AR621" i="13176"/>
  <c r="AB621" i="13176"/>
  <c r="K621" i="13176"/>
  <c r="AN621" i="13176"/>
  <c r="X621" i="13176"/>
  <c r="G621" i="13176"/>
  <c r="BC621" i="13176"/>
  <c r="AL621" i="13176"/>
  <c r="V621" i="13176"/>
  <c r="E621" i="13176"/>
  <c r="AA621" i="13176"/>
  <c r="BB621" i="13176"/>
  <c r="W622" i="13176"/>
  <c r="AX622" i="13176"/>
  <c r="S623" i="13176"/>
  <c r="AX623" i="13176"/>
  <c r="H625" i="13176"/>
  <c r="AZ625" i="13176"/>
  <c r="AQ628" i="13176"/>
  <c r="AZ629" i="13176"/>
  <c r="AR638" i="13176"/>
  <c r="AP641" i="13176"/>
  <c r="AN644" i="13176"/>
  <c r="S653" i="13176"/>
  <c r="S606" i="13176"/>
  <c r="AI606" i="13176"/>
  <c r="AZ606" i="13176"/>
  <c r="L607" i="13176"/>
  <c r="AC607" i="13176"/>
  <c r="AT607" i="13176"/>
  <c r="F608" i="13176"/>
  <c r="W608" i="13176"/>
  <c r="AM608" i="13176"/>
  <c r="BD608" i="13176"/>
  <c r="P609" i="13176"/>
  <c r="AG609" i="13176"/>
  <c r="AX609" i="13176"/>
  <c r="D611" i="13176"/>
  <c r="U611" i="13176"/>
  <c r="AK611" i="13176"/>
  <c r="BB611" i="13176"/>
  <c r="S614" i="13176"/>
  <c r="AI614" i="13176"/>
  <c r="AZ614" i="13176"/>
  <c r="L615" i="13176"/>
  <c r="AG615" i="13176"/>
  <c r="BA615" i="13176"/>
  <c r="G617" i="13176"/>
  <c r="AC617" i="13176"/>
  <c r="AZ617" i="13176"/>
  <c r="H620" i="13176"/>
  <c r="AG620" i="13176"/>
  <c r="C621" i="13176"/>
  <c r="AC621" i="13176"/>
  <c r="BD621" i="13176"/>
  <c r="Y622" i="13176"/>
  <c r="AZ622" i="13176"/>
  <c r="U623" i="13176"/>
  <c r="AZ623" i="13176"/>
  <c r="J625" i="13176"/>
  <c r="BB625" i="13176"/>
  <c r="AX628" i="13176"/>
  <c r="AU635" i="13176"/>
  <c r="AI653" i="13176"/>
  <c r="G600" i="13176"/>
  <c r="X600" i="13176"/>
  <c r="AN600" i="13176"/>
  <c r="Q601" i="13176"/>
  <c r="AH601" i="13176"/>
  <c r="AY601" i="13176"/>
  <c r="K602" i="13176"/>
  <c r="AB602" i="13176"/>
  <c r="AR602" i="13176"/>
  <c r="E603" i="13176"/>
  <c r="V603" i="13176"/>
  <c r="AL603" i="13176"/>
  <c r="BC603" i="13176"/>
  <c r="O604" i="13176"/>
  <c r="AF604" i="13176"/>
  <c r="AW604" i="13176"/>
  <c r="I605" i="13176"/>
  <c r="Z605" i="13176"/>
  <c r="AP605" i="13176"/>
  <c r="C606" i="13176"/>
  <c r="T606" i="13176"/>
  <c r="AJ606" i="13176"/>
  <c r="BA606" i="13176"/>
  <c r="M607" i="13176"/>
  <c r="AD607" i="13176"/>
  <c r="AU607" i="13176"/>
  <c r="G608" i="13176"/>
  <c r="X608" i="13176"/>
  <c r="AN608" i="13176"/>
  <c r="Q609" i="13176"/>
  <c r="AH609" i="13176"/>
  <c r="AY609" i="13176"/>
  <c r="K610" i="13176"/>
  <c r="AB610" i="13176"/>
  <c r="AR610" i="13176"/>
  <c r="E611" i="13176"/>
  <c r="V611" i="13176"/>
  <c r="AL611" i="13176"/>
  <c r="BC611" i="13176"/>
  <c r="O612" i="13176"/>
  <c r="AF612" i="13176"/>
  <c r="AW612" i="13176"/>
  <c r="I613" i="13176"/>
  <c r="Z613" i="13176"/>
  <c r="AP613" i="13176"/>
  <c r="C614" i="13176"/>
  <c r="T614" i="13176"/>
  <c r="AJ614" i="13176"/>
  <c r="BA614" i="13176"/>
  <c r="M615" i="13176"/>
  <c r="AH615" i="13176"/>
  <c r="BB615" i="13176"/>
  <c r="T616" i="13176"/>
  <c r="H617" i="13176"/>
  <c r="AD617" i="13176"/>
  <c r="BB617" i="13176"/>
  <c r="I620" i="13176"/>
  <c r="AI620" i="13176"/>
  <c r="D621" i="13176"/>
  <c r="AE621" i="13176"/>
  <c r="AA622" i="13176"/>
  <c r="W623" i="13176"/>
  <c r="BB623" i="13176"/>
  <c r="K625" i="13176"/>
  <c r="BC631" i="13176"/>
  <c r="AZ653" i="13176"/>
  <c r="AZ660" i="13176"/>
  <c r="S601" i="13176"/>
  <c r="AI601" i="13176"/>
  <c r="AZ601" i="13176"/>
  <c r="L602" i="13176"/>
  <c r="AC602" i="13176"/>
  <c r="AT602" i="13176"/>
  <c r="F603" i="13176"/>
  <c r="W603" i="13176"/>
  <c r="AM603" i="13176"/>
  <c r="BD603" i="13176"/>
  <c r="P604" i="13176"/>
  <c r="AG604" i="13176"/>
  <c r="AX604" i="13176"/>
  <c r="J605" i="13176"/>
  <c r="AA605" i="13176"/>
  <c r="AQ605" i="13176"/>
  <c r="D606" i="13176"/>
  <c r="U606" i="13176"/>
  <c r="AK606" i="13176"/>
  <c r="BB606" i="13176"/>
  <c r="N607" i="13176"/>
  <c r="AE607" i="13176"/>
  <c r="AV607" i="13176"/>
  <c r="S609" i="13176"/>
  <c r="AI609" i="13176"/>
  <c r="AZ609" i="13176"/>
  <c r="AE617" i="13176"/>
  <c r="BD617" i="13176"/>
  <c r="AR622" i="13176"/>
  <c r="AB622" i="13176"/>
  <c r="K622" i="13176"/>
  <c r="AP622" i="13176"/>
  <c r="Z622" i="13176"/>
  <c r="I622" i="13176"/>
  <c r="AN622" i="13176"/>
  <c r="X622" i="13176"/>
  <c r="G622" i="13176"/>
  <c r="BC622" i="13176"/>
  <c r="AL622" i="13176"/>
  <c r="V622" i="13176"/>
  <c r="E622" i="13176"/>
  <c r="AY622" i="13176"/>
  <c r="AH622" i="13176"/>
  <c r="Q622" i="13176"/>
  <c r="AW622" i="13176"/>
  <c r="AF622" i="13176"/>
  <c r="O622" i="13176"/>
  <c r="AC622" i="13176"/>
  <c r="BB622" i="13176"/>
  <c r="L625" i="13176"/>
  <c r="BA626" i="13176"/>
  <c r="AR630" i="13176"/>
  <c r="AT676" i="13176"/>
  <c r="AT684" i="13176"/>
  <c r="I600" i="13176"/>
  <c r="Z600" i="13176"/>
  <c r="AP600" i="13176"/>
  <c r="C601" i="13176"/>
  <c r="T601" i="13176"/>
  <c r="AJ601" i="13176"/>
  <c r="BA601" i="13176"/>
  <c r="M602" i="13176"/>
  <c r="AD602" i="13176"/>
  <c r="AU602" i="13176"/>
  <c r="G603" i="13176"/>
  <c r="X603" i="13176"/>
  <c r="AN603" i="13176"/>
  <c r="Q604" i="13176"/>
  <c r="AH604" i="13176"/>
  <c r="AY604" i="13176"/>
  <c r="K605" i="13176"/>
  <c r="AB605" i="13176"/>
  <c r="AR605" i="13176"/>
  <c r="E606" i="13176"/>
  <c r="V606" i="13176"/>
  <c r="AL606" i="13176"/>
  <c r="BC606" i="13176"/>
  <c r="O607" i="13176"/>
  <c r="AF607" i="13176"/>
  <c r="AW607" i="13176"/>
  <c r="I608" i="13176"/>
  <c r="Z608" i="13176"/>
  <c r="AP608" i="13176"/>
  <c r="C609" i="13176"/>
  <c r="T609" i="13176"/>
  <c r="AJ609" i="13176"/>
  <c r="BA609" i="13176"/>
  <c r="G611" i="13176"/>
  <c r="X611" i="13176"/>
  <c r="AN611" i="13176"/>
  <c r="K617" i="13176"/>
  <c r="AG617" i="13176"/>
  <c r="L620" i="13176"/>
  <c r="AM620" i="13176"/>
  <c r="C622" i="13176"/>
  <c r="AD622" i="13176"/>
  <c r="BD622" i="13176"/>
  <c r="AY629" i="13176"/>
  <c r="AH629" i="13176"/>
  <c r="Q629" i="13176"/>
  <c r="AX629" i="13176"/>
  <c r="AG629" i="13176"/>
  <c r="P629" i="13176"/>
  <c r="AW629" i="13176"/>
  <c r="AF629" i="13176"/>
  <c r="O629" i="13176"/>
  <c r="AV629" i="13176"/>
  <c r="AE629" i="13176"/>
  <c r="N629" i="13176"/>
  <c r="AU629" i="13176"/>
  <c r="AD629" i="13176"/>
  <c r="M629" i="13176"/>
  <c r="AR629" i="13176"/>
  <c r="AB629" i="13176"/>
  <c r="K629" i="13176"/>
  <c r="AP629" i="13176"/>
  <c r="Z629" i="13176"/>
  <c r="I629" i="13176"/>
  <c r="AO629" i="13176"/>
  <c r="Y629" i="13176"/>
  <c r="H629" i="13176"/>
  <c r="AN629" i="13176"/>
  <c r="X629" i="13176"/>
  <c r="G629" i="13176"/>
  <c r="BD629" i="13176"/>
  <c r="AM629" i="13176"/>
  <c r="W629" i="13176"/>
  <c r="F629" i="13176"/>
  <c r="BC629" i="13176"/>
  <c r="AL629" i="13176"/>
  <c r="V629" i="13176"/>
  <c r="E629" i="13176"/>
  <c r="BA629" i="13176"/>
  <c r="AJ629" i="13176"/>
  <c r="T629" i="13176"/>
  <c r="C629" i="13176"/>
  <c r="AR654" i="13176"/>
  <c r="AP657" i="13176"/>
  <c r="S604" i="13176"/>
  <c r="AI604" i="13176"/>
  <c r="AZ604" i="13176"/>
  <c r="L605" i="13176"/>
  <c r="AC605" i="13176"/>
  <c r="AT605" i="13176"/>
  <c r="F606" i="13176"/>
  <c r="W606" i="13176"/>
  <c r="AM606" i="13176"/>
  <c r="BD606" i="13176"/>
  <c r="P607" i="13176"/>
  <c r="AG607" i="13176"/>
  <c r="AX607" i="13176"/>
  <c r="J608" i="13176"/>
  <c r="AA608" i="13176"/>
  <c r="AQ608" i="13176"/>
  <c r="D609" i="13176"/>
  <c r="U609" i="13176"/>
  <c r="AK609" i="13176"/>
  <c r="BB609" i="13176"/>
  <c r="H611" i="13176"/>
  <c r="Y611" i="13176"/>
  <c r="AO611" i="13176"/>
  <c r="S612" i="13176"/>
  <c r="AI612" i="13176"/>
  <c r="AZ612" i="13176"/>
  <c r="AC613" i="13176"/>
  <c r="AT613" i="13176"/>
  <c r="F614" i="13176"/>
  <c r="W614" i="13176"/>
  <c r="AM614" i="13176"/>
  <c r="BD614" i="13176"/>
  <c r="Q615" i="13176"/>
  <c r="AW616" i="13176"/>
  <c r="AF616" i="13176"/>
  <c r="O616" i="13176"/>
  <c r="AR616" i="13176"/>
  <c r="AB616" i="13176"/>
  <c r="K616" i="13176"/>
  <c r="AP616" i="13176"/>
  <c r="Z616" i="13176"/>
  <c r="I616" i="13176"/>
  <c r="BC616" i="13176"/>
  <c r="AL616" i="13176"/>
  <c r="V616" i="13176"/>
  <c r="E616" i="13176"/>
  <c r="X616" i="13176"/>
  <c r="AU616" i="13176"/>
  <c r="L617" i="13176"/>
  <c r="AH617" i="13176"/>
  <c r="BA618" i="13176"/>
  <c r="AJ618" i="13176"/>
  <c r="T618" i="13176"/>
  <c r="C618" i="13176"/>
  <c r="AY618" i="13176"/>
  <c r="AH618" i="13176"/>
  <c r="Q618" i="13176"/>
  <c r="AW618" i="13176"/>
  <c r="AF618" i="13176"/>
  <c r="O618" i="13176"/>
  <c r="AU618" i="13176"/>
  <c r="AD618" i="13176"/>
  <c r="M618" i="13176"/>
  <c r="AP618" i="13176"/>
  <c r="Z618" i="13176"/>
  <c r="I618" i="13176"/>
  <c r="Y618" i="13176"/>
  <c r="AX618" i="13176"/>
  <c r="S619" i="13176"/>
  <c r="AT619" i="13176"/>
  <c r="N620" i="13176"/>
  <c r="AO620" i="13176"/>
  <c r="I621" i="13176"/>
  <c r="AJ621" i="13176"/>
  <c r="D622" i="13176"/>
  <c r="AE622" i="13176"/>
  <c r="AW624" i="13176"/>
  <c r="AF624" i="13176"/>
  <c r="O624" i="13176"/>
  <c r="AU624" i="13176"/>
  <c r="AD624" i="13176"/>
  <c r="M624" i="13176"/>
  <c r="AT624" i="13176"/>
  <c r="AR624" i="13176"/>
  <c r="AB624" i="13176"/>
  <c r="K624" i="13176"/>
  <c r="AP624" i="13176"/>
  <c r="Z624" i="13176"/>
  <c r="I624" i="13176"/>
  <c r="AN624" i="13176"/>
  <c r="X624" i="13176"/>
  <c r="G624" i="13176"/>
  <c r="BD624" i="13176"/>
  <c r="AM624" i="13176"/>
  <c r="W624" i="13176"/>
  <c r="F624" i="13176"/>
  <c r="BC624" i="13176"/>
  <c r="AL624" i="13176"/>
  <c r="V624" i="13176"/>
  <c r="E624" i="13176"/>
  <c r="BB624" i="13176"/>
  <c r="BA624" i="13176"/>
  <c r="AJ624" i="13176"/>
  <c r="T624" i="13176"/>
  <c r="C624" i="13176"/>
  <c r="AI624" i="13176"/>
  <c r="U625" i="13176"/>
  <c r="D629" i="13176"/>
  <c r="BC639" i="13176"/>
  <c r="BA642" i="13176"/>
  <c r="AY645" i="13176"/>
  <c r="AH645" i="13176"/>
  <c r="Q645" i="13176"/>
  <c r="AX645" i="13176"/>
  <c r="AG645" i="13176"/>
  <c r="P645" i="13176"/>
  <c r="AW645" i="13176"/>
  <c r="AF645" i="13176"/>
  <c r="O645" i="13176"/>
  <c r="AV645" i="13176"/>
  <c r="AE645" i="13176"/>
  <c r="N645" i="13176"/>
  <c r="AU645" i="13176"/>
  <c r="AD645" i="13176"/>
  <c r="M645" i="13176"/>
  <c r="AT645" i="13176"/>
  <c r="AC645" i="13176"/>
  <c r="L645" i="13176"/>
  <c r="AR645" i="13176"/>
  <c r="AB645" i="13176"/>
  <c r="K645" i="13176"/>
  <c r="AQ645" i="13176"/>
  <c r="AA645" i="13176"/>
  <c r="J645" i="13176"/>
  <c r="AP645" i="13176"/>
  <c r="Z645" i="13176"/>
  <c r="I645" i="13176"/>
  <c r="AO645" i="13176"/>
  <c r="Y645" i="13176"/>
  <c r="H645" i="13176"/>
  <c r="AN645" i="13176"/>
  <c r="X645" i="13176"/>
  <c r="G645" i="13176"/>
  <c r="BD645" i="13176"/>
  <c r="AM645" i="13176"/>
  <c r="W645" i="13176"/>
  <c r="F645" i="13176"/>
  <c r="BC645" i="13176"/>
  <c r="AL645" i="13176"/>
  <c r="V645" i="13176"/>
  <c r="E645" i="13176"/>
  <c r="BB645" i="13176"/>
  <c r="AK645" i="13176"/>
  <c r="U645" i="13176"/>
  <c r="D645" i="13176"/>
  <c r="BA645" i="13176"/>
  <c r="AJ645" i="13176"/>
  <c r="T645" i="13176"/>
  <c r="C645" i="13176"/>
  <c r="AW648" i="13176"/>
  <c r="AU651" i="13176"/>
  <c r="K600" i="13176"/>
  <c r="AB600" i="13176"/>
  <c r="AR600" i="13176"/>
  <c r="E601" i="13176"/>
  <c r="V601" i="13176"/>
  <c r="AL601" i="13176"/>
  <c r="BC601" i="13176"/>
  <c r="O602" i="13176"/>
  <c r="AF602" i="13176"/>
  <c r="AW602" i="13176"/>
  <c r="I603" i="13176"/>
  <c r="Z603" i="13176"/>
  <c r="AP603" i="13176"/>
  <c r="C604" i="13176"/>
  <c r="T604" i="13176"/>
  <c r="AJ604" i="13176"/>
  <c r="BA604" i="13176"/>
  <c r="M605" i="13176"/>
  <c r="AD605" i="13176"/>
  <c r="AU605" i="13176"/>
  <c r="G606" i="13176"/>
  <c r="X606" i="13176"/>
  <c r="AN606" i="13176"/>
  <c r="Q607" i="13176"/>
  <c r="AH607" i="13176"/>
  <c r="AY607" i="13176"/>
  <c r="K608" i="13176"/>
  <c r="AB608" i="13176"/>
  <c r="AR608" i="13176"/>
  <c r="E609" i="13176"/>
  <c r="V609" i="13176"/>
  <c r="AL609" i="13176"/>
  <c r="BC609" i="13176"/>
  <c r="I611" i="13176"/>
  <c r="Z611" i="13176"/>
  <c r="AP611" i="13176"/>
  <c r="M617" i="13176"/>
  <c r="AI617" i="13176"/>
  <c r="O620" i="13176"/>
  <c r="AP620" i="13176"/>
  <c r="F622" i="13176"/>
  <c r="AG622" i="13176"/>
  <c r="BC623" i="13176"/>
  <c r="AL623" i="13176"/>
  <c r="V623" i="13176"/>
  <c r="E623" i="13176"/>
  <c r="BA623" i="13176"/>
  <c r="AJ623" i="13176"/>
  <c r="T623" i="13176"/>
  <c r="C623" i="13176"/>
  <c r="AY623" i="13176"/>
  <c r="AH623" i="13176"/>
  <c r="Q623" i="13176"/>
  <c r="AW623" i="13176"/>
  <c r="AF623" i="13176"/>
  <c r="O623" i="13176"/>
  <c r="AU623" i="13176"/>
  <c r="AD623" i="13176"/>
  <c r="AT623" i="13176"/>
  <c r="AR623" i="13176"/>
  <c r="AB623" i="13176"/>
  <c r="K623" i="13176"/>
  <c r="AP623" i="13176"/>
  <c r="Z623" i="13176"/>
  <c r="I623" i="13176"/>
  <c r="AC623" i="13176"/>
  <c r="Y625" i="13176"/>
  <c r="AN628" i="13176"/>
  <c r="X628" i="13176"/>
  <c r="G628" i="13176"/>
  <c r="BD628" i="13176"/>
  <c r="AM628" i="13176"/>
  <c r="W628" i="13176"/>
  <c r="F628" i="13176"/>
  <c r="BC628" i="13176"/>
  <c r="AL628" i="13176"/>
  <c r="V628" i="13176"/>
  <c r="E628" i="13176"/>
  <c r="BB628" i="13176"/>
  <c r="AK628" i="13176"/>
  <c r="U628" i="13176"/>
  <c r="D628" i="13176"/>
  <c r="BA628" i="13176"/>
  <c r="AJ628" i="13176"/>
  <c r="T628" i="13176"/>
  <c r="C628" i="13176"/>
  <c r="AY628" i="13176"/>
  <c r="AH628" i="13176"/>
  <c r="Q628" i="13176"/>
  <c r="AW628" i="13176"/>
  <c r="AF628" i="13176"/>
  <c r="O628" i="13176"/>
  <c r="AV628" i="13176"/>
  <c r="AE628" i="13176"/>
  <c r="N628" i="13176"/>
  <c r="AU628" i="13176"/>
  <c r="AD628" i="13176"/>
  <c r="M628" i="13176"/>
  <c r="AT628" i="13176"/>
  <c r="AC628" i="13176"/>
  <c r="L628" i="13176"/>
  <c r="AR628" i="13176"/>
  <c r="AB628" i="13176"/>
  <c r="K628" i="13176"/>
  <c r="AP628" i="13176"/>
  <c r="Z628" i="13176"/>
  <c r="I628" i="13176"/>
  <c r="J629" i="13176"/>
  <c r="AP633" i="13176"/>
  <c r="AN636" i="13176"/>
  <c r="S607" i="13176"/>
  <c r="AI607" i="13176"/>
  <c r="AZ607" i="13176"/>
  <c r="L608" i="13176"/>
  <c r="AC608" i="13176"/>
  <c r="AT608" i="13176"/>
  <c r="F609" i="13176"/>
  <c r="W609" i="13176"/>
  <c r="AM609" i="13176"/>
  <c r="BD609" i="13176"/>
  <c r="J611" i="13176"/>
  <c r="AA611" i="13176"/>
  <c r="AQ611" i="13176"/>
  <c r="BB612" i="13176"/>
  <c r="H614" i="13176"/>
  <c r="Y614" i="13176"/>
  <c r="AO614" i="13176"/>
  <c r="BC615" i="13176"/>
  <c r="AL615" i="13176"/>
  <c r="V615" i="13176"/>
  <c r="AW615" i="13176"/>
  <c r="AF615" i="13176"/>
  <c r="O615" i="13176"/>
  <c r="AR615" i="13176"/>
  <c r="AB615" i="13176"/>
  <c r="T615" i="13176"/>
  <c r="AN615" i="13176"/>
  <c r="AA616" i="13176"/>
  <c r="AX616" i="13176"/>
  <c r="N617" i="13176"/>
  <c r="AK617" i="13176"/>
  <c r="P620" i="13176"/>
  <c r="AQ620" i="13176"/>
  <c r="L621" i="13176"/>
  <c r="AM621" i="13176"/>
  <c r="H622" i="13176"/>
  <c r="AI622" i="13176"/>
  <c r="D623" i="13176"/>
  <c r="AE623" i="13176"/>
  <c r="AA625" i="13176"/>
  <c r="AU627" i="13176"/>
  <c r="H628" i="13176"/>
  <c r="L629" i="13176"/>
  <c r="AX678" i="13176"/>
  <c r="M600" i="13176"/>
  <c r="AD600" i="13176"/>
  <c r="AU600" i="13176"/>
  <c r="G601" i="13176"/>
  <c r="X601" i="13176"/>
  <c r="AN601" i="13176"/>
  <c r="Q602" i="13176"/>
  <c r="AH602" i="13176"/>
  <c r="AY602" i="13176"/>
  <c r="K603" i="13176"/>
  <c r="AB603" i="13176"/>
  <c r="AR603" i="13176"/>
  <c r="E604" i="13176"/>
  <c r="V604" i="13176"/>
  <c r="AL604" i="13176"/>
  <c r="BC604" i="13176"/>
  <c r="O605" i="13176"/>
  <c r="AF605" i="13176"/>
  <c r="AW605" i="13176"/>
  <c r="I606" i="13176"/>
  <c r="Z606" i="13176"/>
  <c r="AP606" i="13176"/>
  <c r="C607" i="13176"/>
  <c r="T607" i="13176"/>
  <c r="AJ607" i="13176"/>
  <c r="BA607" i="13176"/>
  <c r="M608" i="13176"/>
  <c r="AD608" i="13176"/>
  <c r="AU608" i="13176"/>
  <c r="G609" i="13176"/>
  <c r="X609" i="13176"/>
  <c r="AN609" i="13176"/>
  <c r="Q610" i="13176"/>
  <c r="AH610" i="13176"/>
  <c r="AY610" i="13176"/>
  <c r="K611" i="13176"/>
  <c r="AB611" i="13176"/>
  <c r="AR611" i="13176"/>
  <c r="E612" i="13176"/>
  <c r="V612" i="13176"/>
  <c r="AL612" i="13176"/>
  <c r="BC612" i="13176"/>
  <c r="O613" i="13176"/>
  <c r="AF613" i="13176"/>
  <c r="AW613" i="13176"/>
  <c r="I614" i="13176"/>
  <c r="Z614" i="13176"/>
  <c r="AP614" i="13176"/>
  <c r="C615" i="13176"/>
  <c r="U615" i="13176"/>
  <c r="AO615" i="13176"/>
  <c r="F616" i="13176"/>
  <c r="AC616" i="13176"/>
  <c r="AY616" i="13176"/>
  <c r="P617" i="13176"/>
  <c r="AM617" i="13176"/>
  <c r="BC618" i="13176"/>
  <c r="S620" i="13176"/>
  <c r="AT620" i="13176"/>
  <c r="N621" i="13176"/>
  <c r="AO621" i="13176"/>
  <c r="J622" i="13176"/>
  <c r="AJ622" i="13176"/>
  <c r="F623" i="13176"/>
  <c r="AG623" i="13176"/>
  <c r="AB625" i="13176"/>
  <c r="J628" i="13176"/>
  <c r="S629" i="13176"/>
  <c r="S602" i="13176"/>
  <c r="AI602" i="13176"/>
  <c r="AZ602" i="13176"/>
  <c r="L603" i="13176"/>
  <c r="AC603" i="13176"/>
  <c r="AT603" i="13176"/>
  <c r="F604" i="13176"/>
  <c r="W604" i="13176"/>
  <c r="AM604" i="13176"/>
  <c r="BD604" i="13176"/>
  <c r="P605" i="13176"/>
  <c r="AG605" i="13176"/>
  <c r="AX605" i="13176"/>
  <c r="J606" i="13176"/>
  <c r="AA606" i="13176"/>
  <c r="AQ606" i="13176"/>
  <c r="D607" i="13176"/>
  <c r="U607" i="13176"/>
  <c r="AK607" i="13176"/>
  <c r="BB607" i="13176"/>
  <c r="N608" i="13176"/>
  <c r="AE608" i="13176"/>
  <c r="AV608" i="13176"/>
  <c r="H609" i="13176"/>
  <c r="Y609" i="13176"/>
  <c r="AO609" i="13176"/>
  <c r="S610" i="13176"/>
  <c r="AI610" i="13176"/>
  <c r="AZ610" i="13176"/>
  <c r="L611" i="13176"/>
  <c r="AC611" i="13176"/>
  <c r="AT611" i="13176"/>
  <c r="F612" i="13176"/>
  <c r="W612" i="13176"/>
  <c r="AM612" i="13176"/>
  <c r="BD612" i="13176"/>
  <c r="P613" i="13176"/>
  <c r="AG613" i="13176"/>
  <c r="AX613" i="13176"/>
  <c r="J614" i="13176"/>
  <c r="AA614" i="13176"/>
  <c r="AQ614" i="13176"/>
  <c r="D615" i="13176"/>
  <c r="W615" i="13176"/>
  <c r="AP615" i="13176"/>
  <c r="G616" i="13176"/>
  <c r="AD616" i="13176"/>
  <c r="AZ616" i="13176"/>
  <c r="Q617" i="13176"/>
  <c r="AO617" i="13176"/>
  <c r="G618" i="13176"/>
  <c r="AE618" i="13176"/>
  <c r="BD618" i="13176"/>
  <c r="Y619" i="13176"/>
  <c r="AZ619" i="13176"/>
  <c r="U620" i="13176"/>
  <c r="AV620" i="13176"/>
  <c r="P621" i="13176"/>
  <c r="AP621" i="13176"/>
  <c r="L622" i="13176"/>
  <c r="AK622" i="13176"/>
  <c r="G623" i="13176"/>
  <c r="AI623" i="13176"/>
  <c r="AV624" i="13176"/>
  <c r="AC625" i="13176"/>
  <c r="P628" i="13176"/>
  <c r="U629" i="13176"/>
  <c r="BC655" i="13176"/>
  <c r="AZ658" i="13176"/>
  <c r="AQ687" i="13176"/>
  <c r="O600" i="13176"/>
  <c r="AF600" i="13176"/>
  <c r="I601" i="13176"/>
  <c r="Z601" i="13176"/>
  <c r="C602" i="13176"/>
  <c r="T602" i="13176"/>
  <c r="AJ602" i="13176"/>
  <c r="M603" i="13176"/>
  <c r="AD603" i="13176"/>
  <c r="G604" i="13176"/>
  <c r="X604" i="13176"/>
  <c r="Q605" i="13176"/>
  <c r="AH605" i="13176"/>
  <c r="AY605" i="13176"/>
  <c r="K606" i="13176"/>
  <c r="AB606" i="13176"/>
  <c r="AR606" i="13176"/>
  <c r="E607" i="13176"/>
  <c r="V607" i="13176"/>
  <c r="AL607" i="13176"/>
  <c r="BC607" i="13176"/>
  <c r="O608" i="13176"/>
  <c r="AF608" i="13176"/>
  <c r="AW608" i="13176"/>
  <c r="I609" i="13176"/>
  <c r="Z609" i="13176"/>
  <c r="AP609" i="13176"/>
  <c r="C610" i="13176"/>
  <c r="T610" i="13176"/>
  <c r="AJ610" i="13176"/>
  <c r="BA610" i="13176"/>
  <c r="M611" i="13176"/>
  <c r="AD611" i="13176"/>
  <c r="AU611" i="13176"/>
  <c r="G612" i="13176"/>
  <c r="X612" i="13176"/>
  <c r="AN612" i="13176"/>
  <c r="Q613" i="13176"/>
  <c r="AH613" i="13176"/>
  <c r="AY613" i="13176"/>
  <c r="K614" i="13176"/>
  <c r="AB614" i="13176"/>
  <c r="AR614" i="13176"/>
  <c r="E615" i="13176"/>
  <c r="X615" i="13176"/>
  <c r="AQ615" i="13176"/>
  <c r="H616" i="13176"/>
  <c r="AE616" i="13176"/>
  <c r="BA616" i="13176"/>
  <c r="S617" i="13176"/>
  <c r="AQ617" i="13176"/>
  <c r="H618" i="13176"/>
  <c r="AG618" i="13176"/>
  <c r="AA619" i="13176"/>
  <c r="W620" i="13176"/>
  <c r="AW620" i="13176"/>
  <c r="S621" i="13176"/>
  <c r="AQ621" i="13176"/>
  <c r="M622" i="13176"/>
  <c r="AM622" i="13176"/>
  <c r="H623" i="13176"/>
  <c r="AK623" i="13176"/>
  <c r="N624" i="13176"/>
  <c r="AX624" i="13176"/>
  <c r="AI625" i="13176"/>
  <c r="S628" i="13176"/>
  <c r="AA629" i="13176"/>
  <c r="AR646" i="13176"/>
  <c r="AP649" i="13176"/>
  <c r="AN652" i="13176"/>
  <c r="AA662" i="13176"/>
  <c r="S605" i="13176"/>
  <c r="AI605" i="13176"/>
  <c r="L606" i="13176"/>
  <c r="AC606" i="13176"/>
  <c r="F607" i="13176"/>
  <c r="W607" i="13176"/>
  <c r="AM607" i="13176"/>
  <c r="P608" i="13176"/>
  <c r="AG608" i="13176"/>
  <c r="J609" i="13176"/>
  <c r="AA609" i="13176"/>
  <c r="D610" i="13176"/>
  <c r="U610" i="13176"/>
  <c r="AK610" i="13176"/>
  <c r="N611" i="13176"/>
  <c r="AE611" i="13176"/>
  <c r="H612" i="13176"/>
  <c r="Y612" i="13176"/>
  <c r="S613" i="13176"/>
  <c r="AI613" i="13176"/>
  <c r="L614" i="13176"/>
  <c r="AC614" i="13176"/>
  <c r="F615" i="13176"/>
  <c r="Y615" i="13176"/>
  <c r="AT615" i="13176"/>
  <c r="J616" i="13176"/>
  <c r="AG616" i="13176"/>
  <c r="BB616" i="13176"/>
  <c r="U617" i="13176"/>
  <c r="AR617" i="13176"/>
  <c r="J618" i="13176"/>
  <c r="AI618" i="13176"/>
  <c r="AU619" i="13176"/>
  <c r="AD619" i="13176"/>
  <c r="M619" i="13176"/>
  <c r="AR619" i="13176"/>
  <c r="AB619" i="13176"/>
  <c r="K619" i="13176"/>
  <c r="AP619" i="13176"/>
  <c r="Z619" i="13176"/>
  <c r="I619" i="13176"/>
  <c r="AN619" i="13176"/>
  <c r="X619" i="13176"/>
  <c r="G619" i="13176"/>
  <c r="BA619" i="13176"/>
  <c r="AJ619" i="13176"/>
  <c r="T619" i="13176"/>
  <c r="C619" i="13176"/>
  <c r="AY619" i="13176"/>
  <c r="AH619" i="13176"/>
  <c r="Q619" i="13176"/>
  <c r="AC619" i="13176"/>
  <c r="BC619" i="13176"/>
  <c r="Y620" i="13176"/>
  <c r="AX620" i="13176"/>
  <c r="T621" i="13176"/>
  <c r="AT621" i="13176"/>
  <c r="N622" i="13176"/>
  <c r="AO622" i="13176"/>
  <c r="J623" i="13176"/>
  <c r="AM623" i="13176"/>
  <c r="P624" i="13176"/>
  <c r="AY624" i="13176"/>
  <c r="AK625" i="13176"/>
  <c r="Y628" i="13176"/>
  <c r="AC629" i="13176"/>
  <c r="BA634" i="13176"/>
  <c r="AY637" i="13176"/>
  <c r="AH637" i="13176"/>
  <c r="Q637" i="13176"/>
  <c r="AX637" i="13176"/>
  <c r="AG637" i="13176"/>
  <c r="P637" i="13176"/>
  <c r="AW637" i="13176"/>
  <c r="AF637" i="13176"/>
  <c r="O637" i="13176"/>
  <c r="AV637" i="13176"/>
  <c r="AE637" i="13176"/>
  <c r="N637" i="13176"/>
  <c r="AU637" i="13176"/>
  <c r="AD637" i="13176"/>
  <c r="M637" i="13176"/>
  <c r="AT637" i="13176"/>
  <c r="AC637" i="13176"/>
  <c r="L637" i="13176"/>
  <c r="AR637" i="13176"/>
  <c r="AB637" i="13176"/>
  <c r="K637" i="13176"/>
  <c r="AQ637" i="13176"/>
  <c r="AA637" i="13176"/>
  <c r="J637" i="13176"/>
  <c r="AP637" i="13176"/>
  <c r="Z637" i="13176"/>
  <c r="I637" i="13176"/>
  <c r="AO637" i="13176"/>
  <c r="Y637" i="13176"/>
  <c r="H637" i="13176"/>
  <c r="AN637" i="13176"/>
  <c r="X637" i="13176"/>
  <c r="G637" i="13176"/>
  <c r="BD637" i="13176"/>
  <c r="AM637" i="13176"/>
  <c r="W637" i="13176"/>
  <c r="F637" i="13176"/>
  <c r="BC637" i="13176"/>
  <c r="AL637" i="13176"/>
  <c r="V637" i="13176"/>
  <c r="E637" i="13176"/>
  <c r="BB637" i="13176"/>
  <c r="AK637" i="13176"/>
  <c r="U637" i="13176"/>
  <c r="D637" i="13176"/>
  <c r="BA637" i="13176"/>
  <c r="AJ637" i="13176"/>
  <c r="T637" i="13176"/>
  <c r="C637" i="13176"/>
  <c r="AW640" i="13176"/>
  <c r="AU643" i="13176"/>
  <c r="Q632" i="13176"/>
  <c r="AH632" i="13176"/>
  <c r="AY632" i="13176"/>
  <c r="K633" i="13176"/>
  <c r="AB633" i="13176"/>
  <c r="AR633" i="13176"/>
  <c r="I636" i="13176"/>
  <c r="Z636" i="13176"/>
  <c r="AP636" i="13176"/>
  <c r="Q640" i="13176"/>
  <c r="AH640" i="13176"/>
  <c r="AY640" i="13176"/>
  <c r="K641" i="13176"/>
  <c r="AB641" i="13176"/>
  <c r="AR641" i="13176"/>
  <c r="I644" i="13176"/>
  <c r="Z644" i="13176"/>
  <c r="AP644" i="13176"/>
  <c r="Q648" i="13176"/>
  <c r="AH648" i="13176"/>
  <c r="AY648" i="13176"/>
  <c r="K649" i="13176"/>
  <c r="AB649" i="13176"/>
  <c r="AR649" i="13176"/>
  <c r="I652" i="13176"/>
  <c r="Z652" i="13176"/>
  <c r="AP652" i="13176"/>
  <c r="Q656" i="13176"/>
  <c r="AH656" i="13176"/>
  <c r="AY656" i="13176"/>
  <c r="K657" i="13176"/>
  <c r="AB657" i="13176"/>
  <c r="AR657" i="13176"/>
  <c r="AZ659" i="13176"/>
  <c r="AI659" i="13176"/>
  <c r="AX659" i="13176"/>
  <c r="AG659" i="13176"/>
  <c r="P659" i="13176"/>
  <c r="AW659" i="13176"/>
  <c r="AF659" i="13176"/>
  <c r="AU659" i="13176"/>
  <c r="AD659" i="13176"/>
  <c r="M659" i="13176"/>
  <c r="AP659" i="13176"/>
  <c r="Z659" i="13176"/>
  <c r="I659" i="13176"/>
  <c r="V659" i="13176"/>
  <c r="AR659" i="13176"/>
  <c r="N660" i="13176"/>
  <c r="AL660" i="13176"/>
  <c r="AX670" i="13176"/>
  <c r="AQ671" i="13176"/>
  <c r="S632" i="13176"/>
  <c r="AI632" i="13176"/>
  <c r="AZ632" i="13176"/>
  <c r="L633" i="13176"/>
  <c r="AC633" i="13176"/>
  <c r="AT633" i="13176"/>
  <c r="J636" i="13176"/>
  <c r="AA636" i="13176"/>
  <c r="AQ636" i="13176"/>
  <c r="S640" i="13176"/>
  <c r="AI640" i="13176"/>
  <c r="AZ640" i="13176"/>
  <c r="L641" i="13176"/>
  <c r="AC641" i="13176"/>
  <c r="AT641" i="13176"/>
  <c r="J644" i="13176"/>
  <c r="AA644" i="13176"/>
  <c r="AQ644" i="13176"/>
  <c r="S648" i="13176"/>
  <c r="AI648" i="13176"/>
  <c r="AZ648" i="13176"/>
  <c r="L649" i="13176"/>
  <c r="AC649" i="13176"/>
  <c r="AT649" i="13176"/>
  <c r="J652" i="13176"/>
  <c r="AA652" i="13176"/>
  <c r="AQ652" i="13176"/>
  <c r="S656" i="13176"/>
  <c r="AI656" i="13176"/>
  <c r="AZ656" i="13176"/>
  <c r="L657" i="13176"/>
  <c r="AC657" i="13176"/>
  <c r="AT657" i="13176"/>
  <c r="C659" i="13176"/>
  <c r="W659" i="13176"/>
  <c r="AT659" i="13176"/>
  <c r="O660" i="13176"/>
  <c r="AM660" i="13176"/>
  <c r="AV665" i="13176"/>
  <c r="BD669" i="13176"/>
  <c r="G626" i="13176"/>
  <c r="X626" i="13176"/>
  <c r="AN626" i="13176"/>
  <c r="Q627" i="13176"/>
  <c r="AH627" i="13176"/>
  <c r="AY627" i="13176"/>
  <c r="O630" i="13176"/>
  <c r="AF630" i="13176"/>
  <c r="AW630" i="13176"/>
  <c r="I631" i="13176"/>
  <c r="Z631" i="13176"/>
  <c r="AP631" i="13176"/>
  <c r="C632" i="13176"/>
  <c r="T632" i="13176"/>
  <c r="AJ632" i="13176"/>
  <c r="BA632" i="13176"/>
  <c r="M633" i="13176"/>
  <c r="AD633" i="13176"/>
  <c r="AU633" i="13176"/>
  <c r="G634" i="13176"/>
  <c r="X634" i="13176"/>
  <c r="AN634" i="13176"/>
  <c r="Q635" i="13176"/>
  <c r="AH635" i="13176"/>
  <c r="AY635" i="13176"/>
  <c r="K636" i="13176"/>
  <c r="AB636" i="13176"/>
  <c r="AR636" i="13176"/>
  <c r="O638" i="13176"/>
  <c r="AF638" i="13176"/>
  <c r="AW638" i="13176"/>
  <c r="I639" i="13176"/>
  <c r="Z639" i="13176"/>
  <c r="AP639" i="13176"/>
  <c r="C640" i="13176"/>
  <c r="T640" i="13176"/>
  <c r="AJ640" i="13176"/>
  <c r="BA640" i="13176"/>
  <c r="M641" i="13176"/>
  <c r="AD641" i="13176"/>
  <c r="AU641" i="13176"/>
  <c r="G642" i="13176"/>
  <c r="X642" i="13176"/>
  <c r="AN642" i="13176"/>
  <c r="Q643" i="13176"/>
  <c r="AH643" i="13176"/>
  <c r="AY643" i="13176"/>
  <c r="K644" i="13176"/>
  <c r="AB644" i="13176"/>
  <c r="AR644" i="13176"/>
  <c r="O646" i="13176"/>
  <c r="AF646" i="13176"/>
  <c r="AW646" i="13176"/>
  <c r="I647" i="13176"/>
  <c r="Z647" i="13176"/>
  <c r="AP647" i="13176"/>
  <c r="C648" i="13176"/>
  <c r="T648" i="13176"/>
  <c r="AJ648" i="13176"/>
  <c r="BA648" i="13176"/>
  <c r="M649" i="13176"/>
  <c r="AD649" i="13176"/>
  <c r="AU649" i="13176"/>
  <c r="G650" i="13176"/>
  <c r="X650" i="13176"/>
  <c r="AN650" i="13176"/>
  <c r="Q651" i="13176"/>
  <c r="AH651" i="13176"/>
  <c r="AY651" i="13176"/>
  <c r="K652" i="13176"/>
  <c r="AB652" i="13176"/>
  <c r="AR652" i="13176"/>
  <c r="AW654" i="13176"/>
  <c r="AP655" i="13176"/>
  <c r="C656" i="13176"/>
  <c r="T656" i="13176"/>
  <c r="AJ656" i="13176"/>
  <c r="BA656" i="13176"/>
  <c r="M657" i="13176"/>
  <c r="AD657" i="13176"/>
  <c r="AU657" i="13176"/>
  <c r="D659" i="13176"/>
  <c r="X659" i="13176"/>
  <c r="AV659" i="13176"/>
  <c r="P660" i="13176"/>
  <c r="AR660" i="13176"/>
  <c r="H626" i="13176"/>
  <c r="Y626" i="13176"/>
  <c r="AO626" i="13176"/>
  <c r="S627" i="13176"/>
  <c r="AI627" i="13176"/>
  <c r="AZ627" i="13176"/>
  <c r="P630" i="13176"/>
  <c r="AG630" i="13176"/>
  <c r="AX630" i="13176"/>
  <c r="J631" i="13176"/>
  <c r="AA631" i="13176"/>
  <c r="AQ631" i="13176"/>
  <c r="D632" i="13176"/>
  <c r="U632" i="13176"/>
  <c r="AK632" i="13176"/>
  <c r="BB632" i="13176"/>
  <c r="N633" i="13176"/>
  <c r="AE633" i="13176"/>
  <c r="AV633" i="13176"/>
  <c r="H634" i="13176"/>
  <c r="Y634" i="13176"/>
  <c r="AO634" i="13176"/>
  <c r="S635" i="13176"/>
  <c r="AI635" i="13176"/>
  <c r="AZ635" i="13176"/>
  <c r="L636" i="13176"/>
  <c r="AC636" i="13176"/>
  <c r="AT636" i="13176"/>
  <c r="P638" i="13176"/>
  <c r="AG638" i="13176"/>
  <c r="AX638" i="13176"/>
  <c r="J639" i="13176"/>
  <c r="AA639" i="13176"/>
  <c r="AQ639" i="13176"/>
  <c r="D640" i="13176"/>
  <c r="U640" i="13176"/>
  <c r="AK640" i="13176"/>
  <c r="BB640" i="13176"/>
  <c r="N641" i="13176"/>
  <c r="AE641" i="13176"/>
  <c r="AV641" i="13176"/>
  <c r="H642" i="13176"/>
  <c r="Y642" i="13176"/>
  <c r="AO642" i="13176"/>
  <c r="S643" i="13176"/>
  <c r="AI643" i="13176"/>
  <c r="AZ643" i="13176"/>
  <c r="L644" i="13176"/>
  <c r="AC644" i="13176"/>
  <c r="AT644" i="13176"/>
  <c r="P646" i="13176"/>
  <c r="AG646" i="13176"/>
  <c r="AX646" i="13176"/>
  <c r="J647" i="13176"/>
  <c r="AA647" i="13176"/>
  <c r="AQ647" i="13176"/>
  <c r="D648" i="13176"/>
  <c r="U648" i="13176"/>
  <c r="AK648" i="13176"/>
  <c r="BB648" i="13176"/>
  <c r="N649" i="13176"/>
  <c r="AE649" i="13176"/>
  <c r="AV649" i="13176"/>
  <c r="H650" i="13176"/>
  <c r="Y650" i="13176"/>
  <c r="AO650" i="13176"/>
  <c r="S651" i="13176"/>
  <c r="AI651" i="13176"/>
  <c r="AZ651" i="13176"/>
  <c r="L652" i="13176"/>
  <c r="AC652" i="13176"/>
  <c r="AT652" i="13176"/>
  <c r="AX654" i="13176"/>
  <c r="AQ655" i="13176"/>
  <c r="D656" i="13176"/>
  <c r="U656" i="13176"/>
  <c r="AK656" i="13176"/>
  <c r="BB656" i="13176"/>
  <c r="N657" i="13176"/>
  <c r="AE657" i="13176"/>
  <c r="AV657" i="13176"/>
  <c r="E659" i="13176"/>
  <c r="Y659" i="13176"/>
  <c r="AY659" i="13176"/>
  <c r="Q660" i="13176"/>
  <c r="AU660" i="13176"/>
  <c r="AZ667" i="13176"/>
  <c r="AT668" i="13176"/>
  <c r="AC668" i="13176"/>
  <c r="L668" i="13176"/>
  <c r="AQ668" i="13176"/>
  <c r="AA668" i="13176"/>
  <c r="J668" i="13176"/>
  <c r="AP668" i="13176"/>
  <c r="Z668" i="13176"/>
  <c r="I668" i="13176"/>
  <c r="AO668" i="13176"/>
  <c r="Y668" i="13176"/>
  <c r="H668" i="13176"/>
  <c r="AN668" i="13176"/>
  <c r="X668" i="13176"/>
  <c r="G668" i="13176"/>
  <c r="BD668" i="13176"/>
  <c r="AM668" i="13176"/>
  <c r="W668" i="13176"/>
  <c r="F668" i="13176"/>
  <c r="BC668" i="13176"/>
  <c r="AL668" i="13176"/>
  <c r="V668" i="13176"/>
  <c r="E668" i="13176"/>
  <c r="BB668" i="13176"/>
  <c r="AK668" i="13176"/>
  <c r="U668" i="13176"/>
  <c r="D668" i="13176"/>
  <c r="BA668" i="13176"/>
  <c r="AJ668" i="13176"/>
  <c r="T668" i="13176"/>
  <c r="C668" i="13176"/>
  <c r="AY668" i="13176"/>
  <c r="AH668" i="13176"/>
  <c r="Q668" i="13176"/>
  <c r="AX668" i="13176"/>
  <c r="AG668" i="13176"/>
  <c r="P668" i="13176"/>
  <c r="AV668" i="13176"/>
  <c r="AE668" i="13176"/>
  <c r="N668" i="13176"/>
  <c r="AY691" i="13176"/>
  <c r="AQ694" i="13176"/>
  <c r="I626" i="13176"/>
  <c r="Z626" i="13176"/>
  <c r="AP626" i="13176"/>
  <c r="C627" i="13176"/>
  <c r="T627" i="13176"/>
  <c r="AJ627" i="13176"/>
  <c r="BA627" i="13176"/>
  <c r="Q630" i="13176"/>
  <c r="AH630" i="13176"/>
  <c r="AY630" i="13176"/>
  <c r="K631" i="13176"/>
  <c r="AB631" i="13176"/>
  <c r="AR631" i="13176"/>
  <c r="E632" i="13176"/>
  <c r="V632" i="13176"/>
  <c r="AL632" i="13176"/>
  <c r="BC632" i="13176"/>
  <c r="O633" i="13176"/>
  <c r="AF633" i="13176"/>
  <c r="AW633" i="13176"/>
  <c r="I634" i="13176"/>
  <c r="Z634" i="13176"/>
  <c r="AP634" i="13176"/>
  <c r="C635" i="13176"/>
  <c r="T635" i="13176"/>
  <c r="AJ635" i="13176"/>
  <c r="BA635" i="13176"/>
  <c r="M636" i="13176"/>
  <c r="AD636" i="13176"/>
  <c r="AU636" i="13176"/>
  <c r="Q638" i="13176"/>
  <c r="AH638" i="13176"/>
  <c r="AY638" i="13176"/>
  <c r="K639" i="13176"/>
  <c r="AB639" i="13176"/>
  <c r="AR639" i="13176"/>
  <c r="E640" i="13176"/>
  <c r="V640" i="13176"/>
  <c r="AL640" i="13176"/>
  <c r="BC640" i="13176"/>
  <c r="O641" i="13176"/>
  <c r="AF641" i="13176"/>
  <c r="AW641" i="13176"/>
  <c r="I642" i="13176"/>
  <c r="Z642" i="13176"/>
  <c r="AP642" i="13176"/>
  <c r="C643" i="13176"/>
  <c r="T643" i="13176"/>
  <c r="AJ643" i="13176"/>
  <c r="BA643" i="13176"/>
  <c r="M644" i="13176"/>
  <c r="AD644" i="13176"/>
  <c r="AU644" i="13176"/>
  <c r="Q646" i="13176"/>
  <c r="AH646" i="13176"/>
  <c r="AY646" i="13176"/>
  <c r="K647" i="13176"/>
  <c r="AB647" i="13176"/>
  <c r="AR647" i="13176"/>
  <c r="E648" i="13176"/>
  <c r="V648" i="13176"/>
  <c r="AL648" i="13176"/>
  <c r="BC648" i="13176"/>
  <c r="O649" i="13176"/>
  <c r="AF649" i="13176"/>
  <c r="AW649" i="13176"/>
  <c r="I650" i="13176"/>
  <c r="Z650" i="13176"/>
  <c r="AP650" i="13176"/>
  <c r="C651" i="13176"/>
  <c r="T651" i="13176"/>
  <c r="AJ651" i="13176"/>
  <c r="BA651" i="13176"/>
  <c r="M652" i="13176"/>
  <c r="AD652" i="13176"/>
  <c r="AU652" i="13176"/>
  <c r="Q654" i="13176"/>
  <c r="AH654" i="13176"/>
  <c r="AY654" i="13176"/>
  <c r="K655" i="13176"/>
  <c r="AB655" i="13176"/>
  <c r="AR655" i="13176"/>
  <c r="E656" i="13176"/>
  <c r="V656" i="13176"/>
  <c r="AL656" i="13176"/>
  <c r="BC656" i="13176"/>
  <c r="O657" i="13176"/>
  <c r="AF657" i="13176"/>
  <c r="AW657" i="13176"/>
  <c r="I658" i="13176"/>
  <c r="Z658" i="13176"/>
  <c r="AP658" i="13176"/>
  <c r="F659" i="13176"/>
  <c r="AA659" i="13176"/>
  <c r="BA659" i="13176"/>
  <c r="S660" i="13176"/>
  <c r="AV660" i="13176"/>
  <c r="K668" i="13176"/>
  <c r="AO682" i="13176"/>
  <c r="BD685" i="13176"/>
  <c r="BB688" i="13176"/>
  <c r="J626" i="13176"/>
  <c r="AA626" i="13176"/>
  <c r="AQ626" i="13176"/>
  <c r="D627" i="13176"/>
  <c r="U627" i="13176"/>
  <c r="AK627" i="13176"/>
  <c r="BB627" i="13176"/>
  <c r="S630" i="13176"/>
  <c r="AI630" i="13176"/>
  <c r="AZ630" i="13176"/>
  <c r="L631" i="13176"/>
  <c r="AC631" i="13176"/>
  <c r="AT631" i="13176"/>
  <c r="F632" i="13176"/>
  <c r="W632" i="13176"/>
  <c r="AM632" i="13176"/>
  <c r="BD632" i="13176"/>
  <c r="P633" i="13176"/>
  <c r="AG633" i="13176"/>
  <c r="AX633" i="13176"/>
  <c r="J634" i="13176"/>
  <c r="AA634" i="13176"/>
  <c r="AQ634" i="13176"/>
  <c r="D635" i="13176"/>
  <c r="U635" i="13176"/>
  <c r="AK635" i="13176"/>
  <c r="BB635" i="13176"/>
  <c r="N636" i="13176"/>
  <c r="AE636" i="13176"/>
  <c r="AV636" i="13176"/>
  <c r="S638" i="13176"/>
  <c r="AI638" i="13176"/>
  <c r="AZ638" i="13176"/>
  <c r="L639" i="13176"/>
  <c r="AC639" i="13176"/>
  <c r="AT639" i="13176"/>
  <c r="F640" i="13176"/>
  <c r="W640" i="13176"/>
  <c r="AM640" i="13176"/>
  <c r="BD640" i="13176"/>
  <c r="P641" i="13176"/>
  <c r="AG641" i="13176"/>
  <c r="AX641" i="13176"/>
  <c r="J642" i="13176"/>
  <c r="AA642" i="13176"/>
  <c r="AQ642" i="13176"/>
  <c r="D643" i="13176"/>
  <c r="U643" i="13176"/>
  <c r="AK643" i="13176"/>
  <c r="BB643" i="13176"/>
  <c r="N644" i="13176"/>
  <c r="AE644" i="13176"/>
  <c r="AV644" i="13176"/>
  <c r="S646" i="13176"/>
  <c r="AI646" i="13176"/>
  <c r="AZ646" i="13176"/>
  <c r="L647" i="13176"/>
  <c r="AC647" i="13176"/>
  <c r="AT647" i="13176"/>
  <c r="F648" i="13176"/>
  <c r="W648" i="13176"/>
  <c r="AM648" i="13176"/>
  <c r="BD648" i="13176"/>
  <c r="P649" i="13176"/>
  <c r="AG649" i="13176"/>
  <c r="AX649" i="13176"/>
  <c r="J650" i="13176"/>
  <c r="AA650" i="13176"/>
  <c r="AQ650" i="13176"/>
  <c r="D651" i="13176"/>
  <c r="U651" i="13176"/>
  <c r="AK651" i="13176"/>
  <c r="BB651" i="13176"/>
  <c r="N652" i="13176"/>
  <c r="AE652" i="13176"/>
  <c r="AV652" i="13176"/>
  <c r="S654" i="13176"/>
  <c r="AI654" i="13176"/>
  <c r="AZ654" i="13176"/>
  <c r="L655" i="13176"/>
  <c r="AC655" i="13176"/>
  <c r="AT655" i="13176"/>
  <c r="F656" i="13176"/>
  <c r="W656" i="13176"/>
  <c r="AM656" i="13176"/>
  <c r="BD656" i="13176"/>
  <c r="P657" i="13176"/>
  <c r="AG657" i="13176"/>
  <c r="AX657" i="13176"/>
  <c r="J658" i="13176"/>
  <c r="AA658" i="13176"/>
  <c r="AQ658" i="13176"/>
  <c r="G659" i="13176"/>
  <c r="AB659" i="13176"/>
  <c r="BB659" i="13176"/>
  <c r="U660" i="13176"/>
  <c r="AW660" i="13176"/>
  <c r="S662" i="13176"/>
  <c r="AW662" i="13176"/>
  <c r="AO666" i="13176"/>
  <c r="M668" i="13176"/>
  <c r="AZ675" i="13176"/>
  <c r="AQ679" i="13176"/>
  <c r="K626" i="13176"/>
  <c r="AB626" i="13176"/>
  <c r="AR626" i="13176"/>
  <c r="E627" i="13176"/>
  <c r="V627" i="13176"/>
  <c r="AL627" i="13176"/>
  <c r="BC627" i="13176"/>
  <c r="C630" i="13176"/>
  <c r="T630" i="13176"/>
  <c r="AJ630" i="13176"/>
  <c r="BA630" i="13176"/>
  <c r="M631" i="13176"/>
  <c r="AD631" i="13176"/>
  <c r="AU631" i="13176"/>
  <c r="G632" i="13176"/>
  <c r="X632" i="13176"/>
  <c r="AN632" i="13176"/>
  <c r="Q633" i="13176"/>
  <c r="AH633" i="13176"/>
  <c r="AY633" i="13176"/>
  <c r="K634" i="13176"/>
  <c r="AB634" i="13176"/>
  <c r="AR634" i="13176"/>
  <c r="E635" i="13176"/>
  <c r="V635" i="13176"/>
  <c r="AL635" i="13176"/>
  <c r="BC635" i="13176"/>
  <c r="O636" i="13176"/>
  <c r="AF636" i="13176"/>
  <c r="AW636" i="13176"/>
  <c r="AJ638" i="13176"/>
  <c r="BA638" i="13176"/>
  <c r="M639" i="13176"/>
  <c r="AD639" i="13176"/>
  <c r="AU639" i="13176"/>
  <c r="G640" i="13176"/>
  <c r="X640" i="13176"/>
  <c r="AN640" i="13176"/>
  <c r="Q641" i="13176"/>
  <c r="AH641" i="13176"/>
  <c r="AY641" i="13176"/>
  <c r="K642" i="13176"/>
  <c r="AB642" i="13176"/>
  <c r="AR642" i="13176"/>
  <c r="V643" i="13176"/>
  <c r="AL643" i="13176"/>
  <c r="BC643" i="13176"/>
  <c r="O644" i="13176"/>
  <c r="AF644" i="13176"/>
  <c r="AW644" i="13176"/>
  <c r="G648" i="13176"/>
  <c r="X648" i="13176"/>
  <c r="AN648" i="13176"/>
  <c r="Q649" i="13176"/>
  <c r="AH649" i="13176"/>
  <c r="AY649" i="13176"/>
  <c r="K650" i="13176"/>
  <c r="AB650" i="13176"/>
  <c r="AR650" i="13176"/>
  <c r="O652" i="13176"/>
  <c r="AF652" i="13176"/>
  <c r="AW652" i="13176"/>
  <c r="G656" i="13176"/>
  <c r="X656" i="13176"/>
  <c r="AN656" i="13176"/>
  <c r="Q657" i="13176"/>
  <c r="AH657" i="13176"/>
  <c r="AY657" i="13176"/>
  <c r="H659" i="13176"/>
  <c r="AC659" i="13176"/>
  <c r="BC659" i="13176"/>
  <c r="V660" i="13176"/>
  <c r="AX660" i="13176"/>
  <c r="S633" i="13176"/>
  <c r="AI633" i="13176"/>
  <c r="AZ633" i="13176"/>
  <c r="S641" i="13176"/>
  <c r="AI641" i="13176"/>
  <c r="AZ641" i="13176"/>
  <c r="S649" i="13176"/>
  <c r="AI649" i="13176"/>
  <c r="AZ649" i="13176"/>
  <c r="S657" i="13176"/>
  <c r="AI657" i="13176"/>
  <c r="AZ657" i="13176"/>
  <c r="BB664" i="13176"/>
  <c r="BD677" i="13176"/>
  <c r="AE695" i="13176"/>
  <c r="M626" i="13176"/>
  <c r="AD626" i="13176"/>
  <c r="AU626" i="13176"/>
  <c r="G627" i="13176"/>
  <c r="X627" i="13176"/>
  <c r="AN627" i="13176"/>
  <c r="E630" i="13176"/>
  <c r="V630" i="13176"/>
  <c r="AL630" i="13176"/>
  <c r="BC630" i="13176"/>
  <c r="O631" i="13176"/>
  <c r="AF631" i="13176"/>
  <c r="AW631" i="13176"/>
  <c r="I632" i="13176"/>
  <c r="Z632" i="13176"/>
  <c r="AP632" i="13176"/>
  <c r="C633" i="13176"/>
  <c r="T633" i="13176"/>
  <c r="AJ633" i="13176"/>
  <c r="BA633" i="13176"/>
  <c r="M634" i="13176"/>
  <c r="AD634" i="13176"/>
  <c r="AU634" i="13176"/>
  <c r="G635" i="13176"/>
  <c r="X635" i="13176"/>
  <c r="AN635" i="13176"/>
  <c r="Q636" i="13176"/>
  <c r="AH636" i="13176"/>
  <c r="AY636" i="13176"/>
  <c r="E638" i="13176"/>
  <c r="V638" i="13176"/>
  <c r="AL638" i="13176"/>
  <c r="BC638" i="13176"/>
  <c r="O639" i="13176"/>
  <c r="AF639" i="13176"/>
  <c r="AW639" i="13176"/>
  <c r="I640" i="13176"/>
  <c r="Z640" i="13176"/>
  <c r="AP640" i="13176"/>
  <c r="C641" i="13176"/>
  <c r="T641" i="13176"/>
  <c r="AJ641" i="13176"/>
  <c r="BA641" i="13176"/>
  <c r="M642" i="13176"/>
  <c r="AD642" i="13176"/>
  <c r="AU642" i="13176"/>
  <c r="G643" i="13176"/>
  <c r="X643" i="13176"/>
  <c r="AN643" i="13176"/>
  <c r="Q644" i="13176"/>
  <c r="AH644" i="13176"/>
  <c r="AY644" i="13176"/>
  <c r="E646" i="13176"/>
  <c r="V646" i="13176"/>
  <c r="AL646" i="13176"/>
  <c r="BC646" i="13176"/>
  <c r="O647" i="13176"/>
  <c r="AF647" i="13176"/>
  <c r="AW647" i="13176"/>
  <c r="I648" i="13176"/>
  <c r="Z648" i="13176"/>
  <c r="AP648" i="13176"/>
  <c r="C649" i="13176"/>
  <c r="T649" i="13176"/>
  <c r="AJ649" i="13176"/>
  <c r="BA649" i="13176"/>
  <c r="M650" i="13176"/>
  <c r="AD650" i="13176"/>
  <c r="AU650" i="13176"/>
  <c r="G651" i="13176"/>
  <c r="X651" i="13176"/>
  <c r="AN651" i="13176"/>
  <c r="Q652" i="13176"/>
  <c r="AH652" i="13176"/>
  <c r="AY652" i="13176"/>
  <c r="E654" i="13176"/>
  <c r="V654" i="13176"/>
  <c r="AL654" i="13176"/>
  <c r="BC654" i="13176"/>
  <c r="O655" i="13176"/>
  <c r="AF655" i="13176"/>
  <c r="AW655" i="13176"/>
  <c r="I656" i="13176"/>
  <c r="Z656" i="13176"/>
  <c r="AP656" i="13176"/>
  <c r="C657" i="13176"/>
  <c r="T657" i="13176"/>
  <c r="AJ657" i="13176"/>
  <c r="BA657" i="13176"/>
  <c r="M658" i="13176"/>
  <c r="AD658" i="13176"/>
  <c r="AU658" i="13176"/>
  <c r="K659" i="13176"/>
  <c r="AH659" i="13176"/>
  <c r="AB660" i="13176"/>
  <c r="W662" i="13176"/>
  <c r="BA662" i="13176"/>
  <c r="AB668" i="13176"/>
  <c r="J632" i="13176"/>
  <c r="AA632" i="13176"/>
  <c r="AQ632" i="13176"/>
  <c r="D633" i="13176"/>
  <c r="U633" i="13176"/>
  <c r="AK633" i="13176"/>
  <c r="BB633" i="13176"/>
  <c r="S636" i="13176"/>
  <c r="AI636" i="13176"/>
  <c r="AZ636" i="13176"/>
  <c r="J640" i="13176"/>
  <c r="AA640" i="13176"/>
  <c r="AQ640" i="13176"/>
  <c r="D641" i="13176"/>
  <c r="U641" i="13176"/>
  <c r="AK641" i="13176"/>
  <c r="BB641" i="13176"/>
  <c r="S644" i="13176"/>
  <c r="AI644" i="13176"/>
  <c r="AZ644" i="13176"/>
  <c r="J648" i="13176"/>
  <c r="AA648" i="13176"/>
  <c r="AQ648" i="13176"/>
  <c r="D649" i="13176"/>
  <c r="U649" i="13176"/>
  <c r="AK649" i="13176"/>
  <c r="BB649" i="13176"/>
  <c r="S652" i="13176"/>
  <c r="AI652" i="13176"/>
  <c r="AZ652" i="13176"/>
  <c r="J656" i="13176"/>
  <c r="AA656" i="13176"/>
  <c r="AQ656" i="13176"/>
  <c r="D657" i="13176"/>
  <c r="U657" i="13176"/>
  <c r="AK657" i="13176"/>
  <c r="BB657" i="13176"/>
  <c r="L659" i="13176"/>
  <c r="AJ659" i="13176"/>
  <c r="AT660" i="13176"/>
  <c r="AC660" i="13176"/>
  <c r="L660" i="13176"/>
  <c r="AQ660" i="13176"/>
  <c r="AA660" i="13176"/>
  <c r="J660" i="13176"/>
  <c r="AP660" i="13176"/>
  <c r="Z660" i="13176"/>
  <c r="I660" i="13176"/>
  <c r="AO660" i="13176"/>
  <c r="Y660" i="13176"/>
  <c r="AN660" i="13176"/>
  <c r="X660" i="13176"/>
  <c r="G660" i="13176"/>
  <c r="BA660" i="13176"/>
  <c r="AJ660" i="13176"/>
  <c r="T660" i="13176"/>
  <c r="C660" i="13176"/>
  <c r="AD660" i="13176"/>
  <c r="BB660" i="13176"/>
  <c r="AD668" i="13176"/>
  <c r="AZ683" i="13176"/>
  <c r="AX686" i="13176"/>
  <c r="AV689" i="13176"/>
  <c r="AL692" i="13176"/>
  <c r="AZ705" i="13176"/>
  <c r="AI705" i="13176"/>
  <c r="AY705" i="13176"/>
  <c r="AH705" i="13176"/>
  <c r="Q705" i="13176"/>
  <c r="AX705" i="13176"/>
  <c r="AG705" i="13176"/>
  <c r="P705" i="13176"/>
  <c r="AW705" i="13176"/>
  <c r="AF705" i="13176"/>
  <c r="O705" i="13176"/>
  <c r="AV705" i="13176"/>
  <c r="AE705" i="13176"/>
  <c r="N705" i="13176"/>
  <c r="AU705" i="13176"/>
  <c r="AD705" i="13176"/>
  <c r="M705" i="13176"/>
  <c r="AT705" i="13176"/>
  <c r="AC705" i="13176"/>
  <c r="L705" i="13176"/>
  <c r="AR705" i="13176"/>
  <c r="AB705" i="13176"/>
  <c r="K705" i="13176"/>
  <c r="AP705" i="13176"/>
  <c r="Z705" i="13176"/>
  <c r="I705" i="13176"/>
  <c r="AO705" i="13176"/>
  <c r="Y705" i="13176"/>
  <c r="H705" i="13176"/>
  <c r="BD705" i="13176"/>
  <c r="AM705" i="13176"/>
  <c r="W705" i="13176"/>
  <c r="F705" i="13176"/>
  <c r="BC705" i="13176"/>
  <c r="AL705" i="13176"/>
  <c r="V705" i="13176"/>
  <c r="E705" i="13176"/>
  <c r="BB705" i="13176"/>
  <c r="AK705" i="13176"/>
  <c r="U705" i="13176"/>
  <c r="D705" i="13176"/>
  <c r="BA705" i="13176"/>
  <c r="AQ705" i="13176"/>
  <c r="AN705" i="13176"/>
  <c r="AJ705" i="13176"/>
  <c r="AA705" i="13176"/>
  <c r="X705" i="13176"/>
  <c r="T705" i="13176"/>
  <c r="S705" i="13176"/>
  <c r="J705" i="13176"/>
  <c r="G705" i="13176"/>
  <c r="C705" i="13176"/>
  <c r="O626" i="13176"/>
  <c r="AF626" i="13176"/>
  <c r="AW626" i="13176"/>
  <c r="I627" i="13176"/>
  <c r="Z627" i="13176"/>
  <c r="AP627" i="13176"/>
  <c r="G630" i="13176"/>
  <c r="X630" i="13176"/>
  <c r="AN630" i="13176"/>
  <c r="Q631" i="13176"/>
  <c r="AH631" i="13176"/>
  <c r="AY631" i="13176"/>
  <c r="K632" i="13176"/>
  <c r="AB632" i="13176"/>
  <c r="AR632" i="13176"/>
  <c r="E633" i="13176"/>
  <c r="V633" i="13176"/>
  <c r="AL633" i="13176"/>
  <c r="BC633" i="13176"/>
  <c r="O634" i="13176"/>
  <c r="AF634" i="13176"/>
  <c r="AW634" i="13176"/>
  <c r="I635" i="13176"/>
  <c r="Z635" i="13176"/>
  <c r="AP635" i="13176"/>
  <c r="C636" i="13176"/>
  <c r="T636" i="13176"/>
  <c r="AJ636" i="13176"/>
  <c r="BA636" i="13176"/>
  <c r="G638" i="13176"/>
  <c r="X638" i="13176"/>
  <c r="AN638" i="13176"/>
  <c r="Q639" i="13176"/>
  <c r="AH639" i="13176"/>
  <c r="AY639" i="13176"/>
  <c r="K640" i="13176"/>
  <c r="AB640" i="13176"/>
  <c r="AR640" i="13176"/>
  <c r="E641" i="13176"/>
  <c r="V641" i="13176"/>
  <c r="AL641" i="13176"/>
  <c r="BC641" i="13176"/>
  <c r="O642" i="13176"/>
  <c r="AF642" i="13176"/>
  <c r="AW642" i="13176"/>
  <c r="I643" i="13176"/>
  <c r="Z643" i="13176"/>
  <c r="AP643" i="13176"/>
  <c r="C644" i="13176"/>
  <c r="T644" i="13176"/>
  <c r="AJ644" i="13176"/>
  <c r="BA644" i="13176"/>
  <c r="G646" i="13176"/>
  <c r="X646" i="13176"/>
  <c r="AN646" i="13176"/>
  <c r="Q647" i="13176"/>
  <c r="AH647" i="13176"/>
  <c r="AY647" i="13176"/>
  <c r="K648" i="13176"/>
  <c r="AB648" i="13176"/>
  <c r="AR648" i="13176"/>
  <c r="E649" i="13176"/>
  <c r="V649" i="13176"/>
  <c r="AL649" i="13176"/>
  <c r="BC649" i="13176"/>
  <c r="O650" i="13176"/>
  <c r="AF650" i="13176"/>
  <c r="AW650" i="13176"/>
  <c r="I651" i="13176"/>
  <c r="Z651" i="13176"/>
  <c r="AP651" i="13176"/>
  <c r="C652" i="13176"/>
  <c r="T652" i="13176"/>
  <c r="AJ652" i="13176"/>
  <c r="BA652" i="13176"/>
  <c r="G654" i="13176"/>
  <c r="X654" i="13176"/>
  <c r="AN654" i="13176"/>
  <c r="Q655" i="13176"/>
  <c r="AH655" i="13176"/>
  <c r="AY655" i="13176"/>
  <c r="K656" i="13176"/>
  <c r="AB656" i="13176"/>
  <c r="AR656" i="13176"/>
  <c r="E657" i="13176"/>
  <c r="V657" i="13176"/>
  <c r="AL657" i="13176"/>
  <c r="BC657" i="13176"/>
  <c r="O658" i="13176"/>
  <c r="AF658" i="13176"/>
  <c r="AX658" i="13176"/>
  <c r="N659" i="13176"/>
  <c r="AK659" i="13176"/>
  <c r="D660" i="13176"/>
  <c r="AE660" i="13176"/>
  <c r="BC660" i="13176"/>
  <c r="Z662" i="13176"/>
  <c r="BD662" i="13176"/>
  <c r="AF668" i="13176"/>
  <c r="BB680" i="13176"/>
  <c r="AK700" i="13176"/>
  <c r="AO712" i="13176"/>
  <c r="P626" i="13176"/>
  <c r="AG626" i="13176"/>
  <c r="AX626" i="13176"/>
  <c r="J627" i="13176"/>
  <c r="AA627" i="13176"/>
  <c r="AQ627" i="13176"/>
  <c r="S631" i="13176"/>
  <c r="AI631" i="13176"/>
  <c r="AZ631" i="13176"/>
  <c r="L632" i="13176"/>
  <c r="AC632" i="13176"/>
  <c r="AT632" i="13176"/>
  <c r="F633" i="13176"/>
  <c r="W633" i="13176"/>
  <c r="AM633" i="13176"/>
  <c r="BD633" i="13176"/>
  <c r="P634" i="13176"/>
  <c r="AG634" i="13176"/>
  <c r="AX634" i="13176"/>
  <c r="J635" i="13176"/>
  <c r="AA635" i="13176"/>
  <c r="AQ635" i="13176"/>
  <c r="D636" i="13176"/>
  <c r="U636" i="13176"/>
  <c r="AK636" i="13176"/>
  <c r="BB636" i="13176"/>
  <c r="Y638" i="13176"/>
  <c r="AO638" i="13176"/>
  <c r="S639" i="13176"/>
  <c r="AI639" i="13176"/>
  <c r="AZ639" i="13176"/>
  <c r="L640" i="13176"/>
  <c r="AC640" i="13176"/>
  <c r="AT640" i="13176"/>
  <c r="F641" i="13176"/>
  <c r="W641" i="13176"/>
  <c r="AM641" i="13176"/>
  <c r="BD641" i="13176"/>
  <c r="P642" i="13176"/>
  <c r="AG642" i="13176"/>
  <c r="AX642" i="13176"/>
  <c r="J643" i="13176"/>
  <c r="AA643" i="13176"/>
  <c r="AQ643" i="13176"/>
  <c r="D644" i="13176"/>
  <c r="U644" i="13176"/>
  <c r="AK644" i="13176"/>
  <c r="BB644" i="13176"/>
  <c r="Y646" i="13176"/>
  <c r="AO646" i="13176"/>
  <c r="S647" i="13176"/>
  <c r="AI647" i="13176"/>
  <c r="AZ647" i="13176"/>
  <c r="L648" i="13176"/>
  <c r="AC648" i="13176"/>
  <c r="AT648" i="13176"/>
  <c r="F649" i="13176"/>
  <c r="W649" i="13176"/>
  <c r="AM649" i="13176"/>
  <c r="BD649" i="13176"/>
  <c r="P650" i="13176"/>
  <c r="AG650" i="13176"/>
  <c r="AX650" i="13176"/>
  <c r="J651" i="13176"/>
  <c r="AA651" i="13176"/>
  <c r="AQ651" i="13176"/>
  <c r="D652" i="13176"/>
  <c r="U652" i="13176"/>
  <c r="AK652" i="13176"/>
  <c r="BB652" i="13176"/>
  <c r="H654" i="13176"/>
  <c r="Y654" i="13176"/>
  <c r="AO654" i="13176"/>
  <c r="S655" i="13176"/>
  <c r="AI655" i="13176"/>
  <c r="AZ655" i="13176"/>
  <c r="L656" i="13176"/>
  <c r="AC656" i="13176"/>
  <c r="AT656" i="13176"/>
  <c r="F657" i="13176"/>
  <c r="W657" i="13176"/>
  <c r="AM657" i="13176"/>
  <c r="BD657" i="13176"/>
  <c r="P658" i="13176"/>
  <c r="AG658" i="13176"/>
  <c r="AY658" i="13176"/>
  <c r="O659" i="13176"/>
  <c r="AL659" i="13176"/>
  <c r="E660" i="13176"/>
  <c r="AF660" i="13176"/>
  <c r="BD660" i="13176"/>
  <c r="AI668" i="13176"/>
  <c r="AO674" i="13176"/>
  <c r="AD696" i="13176"/>
  <c r="Q626" i="13176"/>
  <c r="AH626" i="13176"/>
  <c r="AY626" i="13176"/>
  <c r="K627" i="13176"/>
  <c r="AB627" i="13176"/>
  <c r="AR627" i="13176"/>
  <c r="I630" i="13176"/>
  <c r="Z630" i="13176"/>
  <c r="AP630" i="13176"/>
  <c r="C631" i="13176"/>
  <c r="T631" i="13176"/>
  <c r="AJ631" i="13176"/>
  <c r="BA631" i="13176"/>
  <c r="M632" i="13176"/>
  <c r="AD632" i="13176"/>
  <c r="AU632" i="13176"/>
  <c r="G633" i="13176"/>
  <c r="X633" i="13176"/>
  <c r="AN633" i="13176"/>
  <c r="Q634" i="13176"/>
  <c r="AH634" i="13176"/>
  <c r="AY634" i="13176"/>
  <c r="K635" i="13176"/>
  <c r="AB635" i="13176"/>
  <c r="AR635" i="13176"/>
  <c r="E636" i="13176"/>
  <c r="V636" i="13176"/>
  <c r="AL636" i="13176"/>
  <c r="BC636" i="13176"/>
  <c r="I638" i="13176"/>
  <c r="Z638" i="13176"/>
  <c r="AP638" i="13176"/>
  <c r="C639" i="13176"/>
  <c r="T639" i="13176"/>
  <c r="AJ639" i="13176"/>
  <c r="BA639" i="13176"/>
  <c r="M640" i="13176"/>
  <c r="AD640" i="13176"/>
  <c r="AU640" i="13176"/>
  <c r="G641" i="13176"/>
  <c r="X641" i="13176"/>
  <c r="AN641" i="13176"/>
  <c r="Q642" i="13176"/>
  <c r="AH642" i="13176"/>
  <c r="AY642" i="13176"/>
  <c r="K643" i="13176"/>
  <c r="AB643" i="13176"/>
  <c r="AR643" i="13176"/>
  <c r="E644" i="13176"/>
  <c r="V644" i="13176"/>
  <c r="AL644" i="13176"/>
  <c r="BC644" i="13176"/>
  <c r="I646" i="13176"/>
  <c r="Z646" i="13176"/>
  <c r="AP646" i="13176"/>
  <c r="C647" i="13176"/>
  <c r="T647" i="13176"/>
  <c r="AJ647" i="13176"/>
  <c r="BA647" i="13176"/>
  <c r="M648" i="13176"/>
  <c r="AD648" i="13176"/>
  <c r="AU648" i="13176"/>
  <c r="G649" i="13176"/>
  <c r="X649" i="13176"/>
  <c r="AN649" i="13176"/>
  <c r="Q650" i="13176"/>
  <c r="AH650" i="13176"/>
  <c r="AY650" i="13176"/>
  <c r="K651" i="13176"/>
  <c r="AB651" i="13176"/>
  <c r="AR651" i="13176"/>
  <c r="E652" i="13176"/>
  <c r="V652" i="13176"/>
  <c r="AL652" i="13176"/>
  <c r="BC652" i="13176"/>
  <c r="Z654" i="13176"/>
  <c r="AP654" i="13176"/>
  <c r="T655" i="13176"/>
  <c r="AJ655" i="13176"/>
  <c r="BA655" i="13176"/>
  <c r="M656" i="13176"/>
  <c r="AD656" i="13176"/>
  <c r="AU656" i="13176"/>
  <c r="G657" i="13176"/>
  <c r="X657" i="13176"/>
  <c r="AN657" i="13176"/>
  <c r="Q658" i="13176"/>
  <c r="AH658" i="13176"/>
  <c r="Q659" i="13176"/>
  <c r="AM659" i="13176"/>
  <c r="F660" i="13176"/>
  <c r="AG660" i="13176"/>
  <c r="AX662" i="13176"/>
  <c r="AG662" i="13176"/>
  <c r="P662" i="13176"/>
  <c r="AV662" i="13176"/>
  <c r="AE662" i="13176"/>
  <c r="N662" i="13176"/>
  <c r="AU662" i="13176"/>
  <c r="AD662" i="13176"/>
  <c r="M662" i="13176"/>
  <c r="AT662" i="13176"/>
  <c r="AC662" i="13176"/>
  <c r="L662" i="13176"/>
  <c r="AR662" i="13176"/>
  <c r="AB662" i="13176"/>
  <c r="K662" i="13176"/>
  <c r="AN662" i="13176"/>
  <c r="X662" i="13176"/>
  <c r="G662" i="13176"/>
  <c r="BC662" i="13176"/>
  <c r="AL662" i="13176"/>
  <c r="V662" i="13176"/>
  <c r="E662" i="13176"/>
  <c r="AF662" i="13176"/>
  <c r="AQ663" i="13176"/>
  <c r="AA663" i="13176"/>
  <c r="J663" i="13176"/>
  <c r="AO663" i="13176"/>
  <c r="Y663" i="13176"/>
  <c r="H663" i="13176"/>
  <c r="AN663" i="13176"/>
  <c r="X663" i="13176"/>
  <c r="G663" i="13176"/>
  <c r="BD663" i="13176"/>
  <c r="AM663" i="13176"/>
  <c r="W663" i="13176"/>
  <c r="F663" i="13176"/>
  <c r="BC663" i="13176"/>
  <c r="AL663" i="13176"/>
  <c r="V663" i="13176"/>
  <c r="E663" i="13176"/>
  <c r="BA663" i="13176"/>
  <c r="AJ663" i="13176"/>
  <c r="T663" i="13176"/>
  <c r="AY663" i="13176"/>
  <c r="AH663" i="13176"/>
  <c r="Q663" i="13176"/>
  <c r="AW663" i="13176"/>
  <c r="AF663" i="13176"/>
  <c r="O663" i="13176"/>
  <c r="AV663" i="13176"/>
  <c r="AG663" i="13176"/>
  <c r="AR668" i="13176"/>
  <c r="S626" i="13176"/>
  <c r="AI626" i="13176"/>
  <c r="AZ626" i="13176"/>
  <c r="AT627" i="13176"/>
  <c r="BB631" i="13176"/>
  <c r="N632" i="13176"/>
  <c r="AE632" i="13176"/>
  <c r="AV632" i="13176"/>
  <c r="H633" i="13176"/>
  <c r="Y633" i="13176"/>
  <c r="AO633" i="13176"/>
  <c r="S634" i="13176"/>
  <c r="AI634" i="13176"/>
  <c r="AZ634" i="13176"/>
  <c r="AT635" i="13176"/>
  <c r="F636" i="13176"/>
  <c r="W636" i="13176"/>
  <c r="AM636" i="13176"/>
  <c r="BD636" i="13176"/>
  <c r="N640" i="13176"/>
  <c r="AE640" i="13176"/>
  <c r="AV640" i="13176"/>
  <c r="H641" i="13176"/>
  <c r="Y641" i="13176"/>
  <c r="AO641" i="13176"/>
  <c r="S642" i="13176"/>
  <c r="AI642" i="13176"/>
  <c r="AZ642" i="13176"/>
  <c r="F644" i="13176"/>
  <c r="W644" i="13176"/>
  <c r="AM644" i="13176"/>
  <c r="BD644" i="13176"/>
  <c r="N648" i="13176"/>
  <c r="AE648" i="13176"/>
  <c r="AV648" i="13176"/>
  <c r="H649" i="13176"/>
  <c r="Y649" i="13176"/>
  <c r="AO649" i="13176"/>
  <c r="S650" i="13176"/>
  <c r="AI650" i="13176"/>
  <c r="AZ650" i="13176"/>
  <c r="AC651" i="13176"/>
  <c r="AT651" i="13176"/>
  <c r="F652" i="13176"/>
  <c r="W652" i="13176"/>
  <c r="AM652" i="13176"/>
  <c r="BD652" i="13176"/>
  <c r="N656" i="13176"/>
  <c r="AE656" i="13176"/>
  <c r="AV656" i="13176"/>
  <c r="H657" i="13176"/>
  <c r="Y657" i="13176"/>
  <c r="AO657" i="13176"/>
  <c r="BD658" i="13176"/>
  <c r="BA658" i="13176"/>
  <c r="AW658" i="13176"/>
  <c r="S658" i="13176"/>
  <c r="AI658" i="13176"/>
  <c r="BB658" i="13176"/>
  <c r="S659" i="13176"/>
  <c r="AN659" i="13176"/>
  <c r="H660" i="13176"/>
  <c r="AH660" i="13176"/>
  <c r="BD661" i="13176"/>
  <c r="C662" i="13176"/>
  <c r="AH662" i="13176"/>
  <c r="AU668" i="13176"/>
  <c r="AP701" i="13176"/>
  <c r="Z701" i="13176"/>
  <c r="I701" i="13176"/>
  <c r="AO701" i="13176"/>
  <c r="Y701" i="13176"/>
  <c r="H701" i="13176"/>
  <c r="AN701" i="13176"/>
  <c r="X701" i="13176"/>
  <c r="G701" i="13176"/>
  <c r="BD701" i="13176"/>
  <c r="AM701" i="13176"/>
  <c r="W701" i="13176"/>
  <c r="F701" i="13176"/>
  <c r="BC701" i="13176"/>
  <c r="AL701" i="13176"/>
  <c r="V701" i="13176"/>
  <c r="E701" i="13176"/>
  <c r="BA701" i="13176"/>
  <c r="AJ701" i="13176"/>
  <c r="T701" i="13176"/>
  <c r="C701" i="13176"/>
  <c r="AY701" i="13176"/>
  <c r="AH701" i="13176"/>
  <c r="Q701" i="13176"/>
  <c r="AX701" i="13176"/>
  <c r="AG701" i="13176"/>
  <c r="P701" i="13176"/>
  <c r="AV701" i="13176"/>
  <c r="AU701" i="13176"/>
  <c r="AD701" i="13176"/>
  <c r="M701" i="13176"/>
  <c r="AF701" i="13176"/>
  <c r="AE701" i="13176"/>
  <c r="AC701" i="13176"/>
  <c r="AB701" i="13176"/>
  <c r="AA701" i="13176"/>
  <c r="U701" i="13176"/>
  <c r="S701" i="13176"/>
  <c r="O701" i="13176"/>
  <c r="BB701" i="13176"/>
  <c r="N701" i="13176"/>
  <c r="AZ701" i="13176"/>
  <c r="L701" i="13176"/>
  <c r="AW701" i="13176"/>
  <c r="K701" i="13176"/>
  <c r="AT701" i="13176"/>
  <c r="J701" i="13176"/>
  <c r="AR701" i="13176"/>
  <c r="D701" i="13176"/>
  <c r="AK701" i="13176"/>
  <c r="AI701" i="13176"/>
  <c r="C626" i="13176"/>
  <c r="T626" i="13176"/>
  <c r="AJ626" i="13176"/>
  <c r="M627" i="13176"/>
  <c r="AD627" i="13176"/>
  <c r="K630" i="13176"/>
  <c r="AB630" i="13176"/>
  <c r="E631" i="13176"/>
  <c r="V631" i="13176"/>
  <c r="AL631" i="13176"/>
  <c r="O632" i="13176"/>
  <c r="AF632" i="13176"/>
  <c r="I633" i="13176"/>
  <c r="Z633" i="13176"/>
  <c r="C634" i="13176"/>
  <c r="T634" i="13176"/>
  <c r="AJ634" i="13176"/>
  <c r="M635" i="13176"/>
  <c r="AD635" i="13176"/>
  <c r="G636" i="13176"/>
  <c r="X636" i="13176"/>
  <c r="K638" i="13176"/>
  <c r="AB638" i="13176"/>
  <c r="E639" i="13176"/>
  <c r="V639" i="13176"/>
  <c r="AL639" i="13176"/>
  <c r="O640" i="13176"/>
  <c r="AF640" i="13176"/>
  <c r="I641" i="13176"/>
  <c r="Z641" i="13176"/>
  <c r="C642" i="13176"/>
  <c r="T642" i="13176"/>
  <c r="AJ642" i="13176"/>
  <c r="M643" i="13176"/>
  <c r="AD643" i="13176"/>
  <c r="G644" i="13176"/>
  <c r="X644" i="13176"/>
  <c r="K646" i="13176"/>
  <c r="AB646" i="13176"/>
  <c r="E647" i="13176"/>
  <c r="V647" i="13176"/>
  <c r="AL647" i="13176"/>
  <c r="O648" i="13176"/>
  <c r="AF648" i="13176"/>
  <c r="I649" i="13176"/>
  <c r="Z649" i="13176"/>
  <c r="C650" i="13176"/>
  <c r="T650" i="13176"/>
  <c r="AJ650" i="13176"/>
  <c r="M651" i="13176"/>
  <c r="AD651" i="13176"/>
  <c r="G652" i="13176"/>
  <c r="X652" i="13176"/>
  <c r="K654" i="13176"/>
  <c r="AB654" i="13176"/>
  <c r="E655" i="13176"/>
  <c r="V655" i="13176"/>
  <c r="AL655" i="13176"/>
  <c r="O656" i="13176"/>
  <c r="AF656" i="13176"/>
  <c r="I657" i="13176"/>
  <c r="Z657" i="13176"/>
  <c r="C658" i="13176"/>
  <c r="T658" i="13176"/>
  <c r="AJ658" i="13176"/>
  <c r="BC658" i="13176"/>
  <c r="T659" i="13176"/>
  <c r="AO659" i="13176"/>
  <c r="K660" i="13176"/>
  <c r="AI660" i="13176"/>
  <c r="D662" i="13176"/>
  <c r="AI662" i="13176"/>
  <c r="D663" i="13176"/>
  <c r="AK663" i="13176"/>
  <c r="AW668" i="13176"/>
  <c r="BB672" i="13176"/>
  <c r="AV673" i="13176"/>
  <c r="AO690" i="13176"/>
  <c r="AL693" i="13176"/>
  <c r="AQ701" i="13176"/>
  <c r="AU703" i="13176"/>
  <c r="BA710" i="13176"/>
  <c r="J666" i="13176"/>
  <c r="AA666" i="13176"/>
  <c r="AQ666" i="13176"/>
  <c r="S670" i="13176"/>
  <c r="AI670" i="13176"/>
  <c r="AZ670" i="13176"/>
  <c r="L671" i="13176"/>
  <c r="AC671" i="13176"/>
  <c r="AT671" i="13176"/>
  <c r="J674" i="13176"/>
  <c r="AA674" i="13176"/>
  <c r="AQ674" i="13176"/>
  <c r="N676" i="13176"/>
  <c r="AE676" i="13176"/>
  <c r="AV676" i="13176"/>
  <c r="S678" i="13176"/>
  <c r="AI678" i="13176"/>
  <c r="AZ678" i="13176"/>
  <c r="L679" i="13176"/>
  <c r="AC679" i="13176"/>
  <c r="AT679" i="13176"/>
  <c r="J682" i="13176"/>
  <c r="AA682" i="13176"/>
  <c r="AQ682" i="13176"/>
  <c r="N684" i="13176"/>
  <c r="AE684" i="13176"/>
  <c r="AV684" i="13176"/>
  <c r="S686" i="13176"/>
  <c r="AI686" i="13176"/>
  <c r="AZ686" i="13176"/>
  <c r="AX689" i="13176"/>
  <c r="J690" i="13176"/>
  <c r="AA690" i="13176"/>
  <c r="AQ690" i="13176"/>
  <c r="Q692" i="13176"/>
  <c r="AJ692" i="13176"/>
  <c r="BC692" i="13176"/>
  <c r="AJ693" i="13176"/>
  <c r="BC693" i="13176"/>
  <c r="BC699" i="13176"/>
  <c r="U700" i="13176"/>
  <c r="S665" i="13176"/>
  <c r="AI665" i="13176"/>
  <c r="AZ665" i="13176"/>
  <c r="L666" i="13176"/>
  <c r="AC666" i="13176"/>
  <c r="AT666" i="13176"/>
  <c r="D670" i="13176"/>
  <c r="U670" i="13176"/>
  <c r="AK670" i="13176"/>
  <c r="BB670" i="13176"/>
  <c r="N671" i="13176"/>
  <c r="AE671" i="13176"/>
  <c r="AV671" i="13176"/>
  <c r="S673" i="13176"/>
  <c r="AI673" i="13176"/>
  <c r="AZ673" i="13176"/>
  <c r="L674" i="13176"/>
  <c r="AC674" i="13176"/>
  <c r="AT674" i="13176"/>
  <c r="P676" i="13176"/>
  <c r="AG676" i="13176"/>
  <c r="AX676" i="13176"/>
  <c r="D678" i="13176"/>
  <c r="U678" i="13176"/>
  <c r="AK678" i="13176"/>
  <c r="BB678" i="13176"/>
  <c r="N679" i="13176"/>
  <c r="AE679" i="13176"/>
  <c r="AV679" i="13176"/>
  <c r="S681" i="13176"/>
  <c r="AI681" i="13176"/>
  <c r="AZ681" i="13176"/>
  <c r="L682" i="13176"/>
  <c r="AC682" i="13176"/>
  <c r="AT682" i="13176"/>
  <c r="P684" i="13176"/>
  <c r="AG684" i="13176"/>
  <c r="AX684" i="13176"/>
  <c r="D686" i="13176"/>
  <c r="U686" i="13176"/>
  <c r="AK686" i="13176"/>
  <c r="BB686" i="13176"/>
  <c r="S689" i="13176"/>
  <c r="AI689" i="13176"/>
  <c r="AZ689" i="13176"/>
  <c r="L690" i="13176"/>
  <c r="AC690" i="13176"/>
  <c r="AT690" i="13176"/>
  <c r="T692" i="13176"/>
  <c r="T693" i="13176"/>
  <c r="V694" i="13176"/>
  <c r="O695" i="13176"/>
  <c r="AQ695" i="13176"/>
  <c r="Y700" i="13176"/>
  <c r="AT714" i="13176"/>
  <c r="AX716" i="13176"/>
  <c r="BB734" i="13176"/>
  <c r="AT737" i="13176"/>
  <c r="C665" i="13176"/>
  <c r="T665" i="13176"/>
  <c r="AJ665" i="13176"/>
  <c r="BA665" i="13176"/>
  <c r="M666" i="13176"/>
  <c r="AD666" i="13176"/>
  <c r="AU666" i="13176"/>
  <c r="E670" i="13176"/>
  <c r="V670" i="13176"/>
  <c r="AL670" i="13176"/>
  <c r="BC670" i="13176"/>
  <c r="O671" i="13176"/>
  <c r="AF671" i="13176"/>
  <c r="AW671" i="13176"/>
  <c r="C673" i="13176"/>
  <c r="T673" i="13176"/>
  <c r="AJ673" i="13176"/>
  <c r="BA673" i="13176"/>
  <c r="M674" i="13176"/>
  <c r="AD674" i="13176"/>
  <c r="AU674" i="13176"/>
  <c r="Q676" i="13176"/>
  <c r="AH676" i="13176"/>
  <c r="AY676" i="13176"/>
  <c r="E678" i="13176"/>
  <c r="V678" i="13176"/>
  <c r="AL678" i="13176"/>
  <c r="BC678" i="13176"/>
  <c r="O679" i="13176"/>
  <c r="AF679" i="13176"/>
  <c r="AW679" i="13176"/>
  <c r="M682" i="13176"/>
  <c r="AD682" i="13176"/>
  <c r="AU682" i="13176"/>
  <c r="Q684" i="13176"/>
  <c r="AH684" i="13176"/>
  <c r="AY684" i="13176"/>
  <c r="E686" i="13176"/>
  <c r="V686" i="13176"/>
  <c r="AL686" i="13176"/>
  <c r="BC686" i="13176"/>
  <c r="M690" i="13176"/>
  <c r="AD690" i="13176"/>
  <c r="AU690" i="13176"/>
  <c r="AW692" i="13176"/>
  <c r="AF692" i="13176"/>
  <c r="O692" i="13176"/>
  <c r="AN692" i="13176"/>
  <c r="X692" i="13176"/>
  <c r="G692" i="13176"/>
  <c r="U692" i="13176"/>
  <c r="AM692" i="13176"/>
  <c r="AP693" i="13176"/>
  <c r="Z693" i="13176"/>
  <c r="I693" i="13176"/>
  <c r="AY693" i="13176"/>
  <c r="AH693" i="13176"/>
  <c r="Q693" i="13176"/>
  <c r="U693" i="13176"/>
  <c r="AM693" i="13176"/>
  <c r="BA694" i="13176"/>
  <c r="AJ694" i="13176"/>
  <c r="T694" i="13176"/>
  <c r="C694" i="13176"/>
  <c r="AZ694" i="13176"/>
  <c r="AI694" i="13176"/>
  <c r="AY694" i="13176"/>
  <c r="AH694" i="13176"/>
  <c r="Q694" i="13176"/>
  <c r="AU694" i="13176"/>
  <c r="AD694" i="13176"/>
  <c r="AR694" i="13176"/>
  <c r="AB694" i="13176"/>
  <c r="K694" i="13176"/>
  <c r="W694" i="13176"/>
  <c r="AT694" i="13176"/>
  <c r="P695" i="13176"/>
  <c r="AV695" i="13176"/>
  <c r="AA700" i="13176"/>
  <c r="AN704" i="13176"/>
  <c r="AQ725" i="13176"/>
  <c r="AO728" i="13176"/>
  <c r="BD731" i="13176"/>
  <c r="S676" i="13176"/>
  <c r="AI676" i="13176"/>
  <c r="AZ676" i="13176"/>
  <c r="S684" i="13176"/>
  <c r="AI684" i="13176"/>
  <c r="AZ684" i="13176"/>
  <c r="AV719" i="13176"/>
  <c r="AT722" i="13176"/>
  <c r="M661" i="13176"/>
  <c r="AD661" i="13176"/>
  <c r="AU661" i="13176"/>
  <c r="K664" i="13176"/>
  <c r="AB664" i="13176"/>
  <c r="AR664" i="13176"/>
  <c r="E665" i="13176"/>
  <c r="V665" i="13176"/>
  <c r="AL665" i="13176"/>
  <c r="BC665" i="13176"/>
  <c r="O666" i="13176"/>
  <c r="AF666" i="13176"/>
  <c r="AW666" i="13176"/>
  <c r="I667" i="13176"/>
  <c r="Z667" i="13176"/>
  <c r="AP667" i="13176"/>
  <c r="M669" i="13176"/>
  <c r="AD669" i="13176"/>
  <c r="AU669" i="13176"/>
  <c r="G670" i="13176"/>
  <c r="X670" i="13176"/>
  <c r="AN670" i="13176"/>
  <c r="Q671" i="13176"/>
  <c r="AH671" i="13176"/>
  <c r="AY671" i="13176"/>
  <c r="K672" i="13176"/>
  <c r="AB672" i="13176"/>
  <c r="AR672" i="13176"/>
  <c r="E673" i="13176"/>
  <c r="V673" i="13176"/>
  <c r="AL673" i="13176"/>
  <c r="BC673" i="13176"/>
  <c r="O674" i="13176"/>
  <c r="AF674" i="13176"/>
  <c r="AW674" i="13176"/>
  <c r="I675" i="13176"/>
  <c r="Z675" i="13176"/>
  <c r="AP675" i="13176"/>
  <c r="C676" i="13176"/>
  <c r="T676" i="13176"/>
  <c r="AJ676" i="13176"/>
  <c r="BA676" i="13176"/>
  <c r="M677" i="13176"/>
  <c r="AD677" i="13176"/>
  <c r="AU677" i="13176"/>
  <c r="G678" i="13176"/>
  <c r="X678" i="13176"/>
  <c r="AN678" i="13176"/>
  <c r="Q679" i="13176"/>
  <c r="AH679" i="13176"/>
  <c r="AY679" i="13176"/>
  <c r="K680" i="13176"/>
  <c r="AB680" i="13176"/>
  <c r="AR680" i="13176"/>
  <c r="E681" i="13176"/>
  <c r="V681" i="13176"/>
  <c r="AL681" i="13176"/>
  <c r="BC681" i="13176"/>
  <c r="O682" i="13176"/>
  <c r="AF682" i="13176"/>
  <c r="AW682" i="13176"/>
  <c r="I683" i="13176"/>
  <c r="Z683" i="13176"/>
  <c r="AP683" i="13176"/>
  <c r="C684" i="13176"/>
  <c r="T684" i="13176"/>
  <c r="AJ684" i="13176"/>
  <c r="BA684" i="13176"/>
  <c r="M685" i="13176"/>
  <c r="AD685" i="13176"/>
  <c r="AU685" i="13176"/>
  <c r="G686" i="13176"/>
  <c r="X686" i="13176"/>
  <c r="AN686" i="13176"/>
  <c r="Q687" i="13176"/>
  <c r="AH687" i="13176"/>
  <c r="AY687" i="13176"/>
  <c r="K688" i="13176"/>
  <c r="AB688" i="13176"/>
  <c r="AR688" i="13176"/>
  <c r="E689" i="13176"/>
  <c r="V689" i="13176"/>
  <c r="AL689" i="13176"/>
  <c r="BC689" i="13176"/>
  <c r="O690" i="13176"/>
  <c r="AF690" i="13176"/>
  <c r="AW690" i="13176"/>
  <c r="I691" i="13176"/>
  <c r="Z691" i="13176"/>
  <c r="AP691" i="13176"/>
  <c r="D692" i="13176"/>
  <c r="W692" i="13176"/>
  <c r="AP692" i="13176"/>
  <c r="D693" i="13176"/>
  <c r="W693" i="13176"/>
  <c r="AO693" i="13176"/>
  <c r="E694" i="13176"/>
  <c r="Y694" i="13176"/>
  <c r="AW694" i="13176"/>
  <c r="T695" i="13176"/>
  <c r="AX695" i="13176"/>
  <c r="U696" i="13176"/>
  <c r="AX696" i="13176"/>
  <c r="W697" i="13176"/>
  <c r="BD697" i="13176"/>
  <c r="AH700" i="13176"/>
  <c r="P666" i="13176"/>
  <c r="AG666" i="13176"/>
  <c r="AX666" i="13176"/>
  <c r="H670" i="13176"/>
  <c r="Y670" i="13176"/>
  <c r="AO670" i="13176"/>
  <c r="S671" i="13176"/>
  <c r="AI671" i="13176"/>
  <c r="AZ671" i="13176"/>
  <c r="P674" i="13176"/>
  <c r="AG674" i="13176"/>
  <c r="AX674" i="13176"/>
  <c r="D676" i="13176"/>
  <c r="U676" i="13176"/>
  <c r="AK676" i="13176"/>
  <c r="BB676" i="13176"/>
  <c r="H678" i="13176"/>
  <c r="Y678" i="13176"/>
  <c r="AO678" i="13176"/>
  <c r="S679" i="13176"/>
  <c r="AI679" i="13176"/>
  <c r="AZ679" i="13176"/>
  <c r="F681" i="13176"/>
  <c r="W681" i="13176"/>
  <c r="AM681" i="13176"/>
  <c r="BD681" i="13176"/>
  <c r="P682" i="13176"/>
  <c r="AG682" i="13176"/>
  <c r="AX682" i="13176"/>
  <c r="D684" i="13176"/>
  <c r="U684" i="13176"/>
  <c r="AK684" i="13176"/>
  <c r="BB684" i="13176"/>
  <c r="H686" i="13176"/>
  <c r="Y686" i="13176"/>
  <c r="AO686" i="13176"/>
  <c r="S687" i="13176"/>
  <c r="AI687" i="13176"/>
  <c r="AZ687" i="13176"/>
  <c r="AC688" i="13176"/>
  <c r="AT688" i="13176"/>
  <c r="F689" i="13176"/>
  <c r="W689" i="13176"/>
  <c r="AM689" i="13176"/>
  <c r="BD689" i="13176"/>
  <c r="P690" i="13176"/>
  <c r="AG690" i="13176"/>
  <c r="AX690" i="13176"/>
  <c r="E692" i="13176"/>
  <c r="Y692" i="13176"/>
  <c r="AQ692" i="13176"/>
  <c r="E693" i="13176"/>
  <c r="X693" i="13176"/>
  <c r="AQ693" i="13176"/>
  <c r="F694" i="13176"/>
  <c r="Z694" i="13176"/>
  <c r="AX694" i="13176"/>
  <c r="U695" i="13176"/>
  <c r="AZ695" i="13176"/>
  <c r="Y696" i="13176"/>
  <c r="AZ696" i="13176"/>
  <c r="AI700" i="13176"/>
  <c r="BD707" i="13176"/>
  <c r="AU738" i="13176"/>
  <c r="AD738" i="13176"/>
  <c r="M738" i="13176"/>
  <c r="AT738" i="13176"/>
  <c r="AC738" i="13176"/>
  <c r="L738" i="13176"/>
  <c r="AR738" i="13176"/>
  <c r="AB738" i="13176"/>
  <c r="K738" i="13176"/>
  <c r="AP738" i="13176"/>
  <c r="Z738" i="13176"/>
  <c r="I738" i="13176"/>
  <c r="BC738" i="13176"/>
  <c r="AL738" i="13176"/>
  <c r="V738" i="13176"/>
  <c r="E738" i="13176"/>
  <c r="AX738" i="13176"/>
  <c r="X738" i="13176"/>
  <c r="AW738" i="13176"/>
  <c r="W738" i="13176"/>
  <c r="AV738" i="13176"/>
  <c r="U738" i="13176"/>
  <c r="AQ738" i="13176"/>
  <c r="T738" i="13176"/>
  <c r="AO738" i="13176"/>
  <c r="S738" i="13176"/>
  <c r="AN738" i="13176"/>
  <c r="Q738" i="13176"/>
  <c r="AM738" i="13176"/>
  <c r="P738" i="13176"/>
  <c r="AK738" i="13176"/>
  <c r="O738" i="13176"/>
  <c r="AJ738" i="13176"/>
  <c r="N738" i="13176"/>
  <c r="AI738" i="13176"/>
  <c r="J738" i="13176"/>
  <c r="AH738" i="13176"/>
  <c r="H738" i="13176"/>
  <c r="BD738" i="13176"/>
  <c r="AG738" i="13176"/>
  <c r="G738" i="13176"/>
  <c r="BB738" i="13176"/>
  <c r="AF738" i="13176"/>
  <c r="F738" i="13176"/>
  <c r="BA738" i="13176"/>
  <c r="AE738" i="13176"/>
  <c r="D738" i="13176"/>
  <c r="AZ738" i="13176"/>
  <c r="AA738" i="13176"/>
  <c r="C738" i="13176"/>
  <c r="G665" i="13176"/>
  <c r="X665" i="13176"/>
  <c r="AN665" i="13176"/>
  <c r="Q666" i="13176"/>
  <c r="AH666" i="13176"/>
  <c r="AY666" i="13176"/>
  <c r="I670" i="13176"/>
  <c r="Z670" i="13176"/>
  <c r="AP670" i="13176"/>
  <c r="C671" i="13176"/>
  <c r="T671" i="13176"/>
  <c r="AJ671" i="13176"/>
  <c r="BA671" i="13176"/>
  <c r="AN673" i="13176"/>
  <c r="Q674" i="13176"/>
  <c r="AH674" i="13176"/>
  <c r="AY674" i="13176"/>
  <c r="E676" i="13176"/>
  <c r="V676" i="13176"/>
  <c r="AL676" i="13176"/>
  <c r="BC676" i="13176"/>
  <c r="I678" i="13176"/>
  <c r="Z678" i="13176"/>
  <c r="AP678" i="13176"/>
  <c r="C679" i="13176"/>
  <c r="T679" i="13176"/>
  <c r="AJ679" i="13176"/>
  <c r="BA679" i="13176"/>
  <c r="Q682" i="13176"/>
  <c r="AH682" i="13176"/>
  <c r="AY682" i="13176"/>
  <c r="E684" i="13176"/>
  <c r="V684" i="13176"/>
  <c r="AL684" i="13176"/>
  <c r="BC684" i="13176"/>
  <c r="I686" i="13176"/>
  <c r="Z686" i="13176"/>
  <c r="AP686" i="13176"/>
  <c r="AN689" i="13176"/>
  <c r="Q690" i="13176"/>
  <c r="AH690" i="13176"/>
  <c r="AY690" i="13176"/>
  <c r="F692" i="13176"/>
  <c r="Z692" i="13176"/>
  <c r="AR692" i="13176"/>
  <c r="F693" i="13176"/>
  <c r="Y693" i="13176"/>
  <c r="AR693" i="13176"/>
  <c r="AR698" i="13176"/>
  <c r="AQ709" i="13176"/>
  <c r="S666" i="13176"/>
  <c r="AI666" i="13176"/>
  <c r="AZ666" i="13176"/>
  <c r="J670" i="13176"/>
  <c r="AA670" i="13176"/>
  <c r="AQ670" i="13176"/>
  <c r="AK671" i="13176"/>
  <c r="BB671" i="13176"/>
  <c r="S674" i="13176"/>
  <c r="AI674" i="13176"/>
  <c r="AZ674" i="13176"/>
  <c r="F676" i="13176"/>
  <c r="W676" i="13176"/>
  <c r="AM676" i="13176"/>
  <c r="BD676" i="13176"/>
  <c r="J678" i="13176"/>
  <c r="AA678" i="13176"/>
  <c r="AQ678" i="13176"/>
  <c r="S682" i="13176"/>
  <c r="AI682" i="13176"/>
  <c r="AZ682" i="13176"/>
  <c r="F684" i="13176"/>
  <c r="W684" i="13176"/>
  <c r="AM684" i="13176"/>
  <c r="BD684" i="13176"/>
  <c r="J686" i="13176"/>
  <c r="AA686" i="13176"/>
  <c r="AQ686" i="13176"/>
  <c r="S690" i="13176"/>
  <c r="AI690" i="13176"/>
  <c r="AZ690" i="13176"/>
  <c r="H692" i="13176"/>
  <c r="AA692" i="13176"/>
  <c r="AT692" i="13176"/>
  <c r="AW700" i="13176"/>
  <c r="AF700" i="13176"/>
  <c r="O700" i="13176"/>
  <c r="AV700" i="13176"/>
  <c r="AE700" i="13176"/>
  <c r="N700" i="13176"/>
  <c r="AU700" i="13176"/>
  <c r="AD700" i="13176"/>
  <c r="M700" i="13176"/>
  <c r="AT700" i="13176"/>
  <c r="AC700" i="13176"/>
  <c r="L700" i="13176"/>
  <c r="AR700" i="13176"/>
  <c r="AB700" i="13176"/>
  <c r="K700" i="13176"/>
  <c r="AP700" i="13176"/>
  <c r="Z700" i="13176"/>
  <c r="I700" i="13176"/>
  <c r="AN700" i="13176"/>
  <c r="X700" i="13176"/>
  <c r="G700" i="13176"/>
  <c r="BD700" i="13176"/>
  <c r="AM700" i="13176"/>
  <c r="W700" i="13176"/>
  <c r="F700" i="13176"/>
  <c r="BA700" i="13176"/>
  <c r="AJ700" i="13176"/>
  <c r="T700" i="13176"/>
  <c r="C700" i="13176"/>
  <c r="AL700" i="13176"/>
  <c r="BA702" i="13176"/>
  <c r="AV711" i="13176"/>
  <c r="BB726" i="13176"/>
  <c r="AZ729" i="13176"/>
  <c r="AX732" i="13176"/>
  <c r="AV735" i="13176"/>
  <c r="Q661" i="13176"/>
  <c r="AH661" i="13176"/>
  <c r="AY661" i="13176"/>
  <c r="O664" i="13176"/>
  <c r="AF664" i="13176"/>
  <c r="AW664" i="13176"/>
  <c r="I665" i="13176"/>
  <c r="Z665" i="13176"/>
  <c r="AP665" i="13176"/>
  <c r="C666" i="13176"/>
  <c r="T666" i="13176"/>
  <c r="AJ666" i="13176"/>
  <c r="BA666" i="13176"/>
  <c r="M667" i="13176"/>
  <c r="AD667" i="13176"/>
  <c r="AU667" i="13176"/>
  <c r="Q669" i="13176"/>
  <c r="AH669" i="13176"/>
  <c r="AY669" i="13176"/>
  <c r="K670" i="13176"/>
  <c r="AB670" i="13176"/>
  <c r="AR670" i="13176"/>
  <c r="E671" i="13176"/>
  <c r="V671" i="13176"/>
  <c r="AL671" i="13176"/>
  <c r="BC671" i="13176"/>
  <c r="O672" i="13176"/>
  <c r="AF672" i="13176"/>
  <c r="AW672" i="13176"/>
  <c r="I673" i="13176"/>
  <c r="Z673" i="13176"/>
  <c r="AP673" i="13176"/>
  <c r="C674" i="13176"/>
  <c r="T674" i="13176"/>
  <c r="AJ674" i="13176"/>
  <c r="BA674" i="13176"/>
  <c r="M675" i="13176"/>
  <c r="AD675" i="13176"/>
  <c r="AU675" i="13176"/>
  <c r="G676" i="13176"/>
  <c r="X676" i="13176"/>
  <c r="AN676" i="13176"/>
  <c r="Q677" i="13176"/>
  <c r="AH677" i="13176"/>
  <c r="AY677" i="13176"/>
  <c r="K678" i="13176"/>
  <c r="AB678" i="13176"/>
  <c r="AR678" i="13176"/>
  <c r="E679" i="13176"/>
  <c r="V679" i="13176"/>
  <c r="AL679" i="13176"/>
  <c r="BC679" i="13176"/>
  <c r="AF680" i="13176"/>
  <c r="AW680" i="13176"/>
  <c r="I681" i="13176"/>
  <c r="Z681" i="13176"/>
  <c r="AP681" i="13176"/>
  <c r="C682" i="13176"/>
  <c r="T682" i="13176"/>
  <c r="AJ682" i="13176"/>
  <c r="BA682" i="13176"/>
  <c r="G684" i="13176"/>
  <c r="X684" i="13176"/>
  <c r="AN684" i="13176"/>
  <c r="Q685" i="13176"/>
  <c r="AH685" i="13176"/>
  <c r="AY685" i="13176"/>
  <c r="K686" i="13176"/>
  <c r="AB686" i="13176"/>
  <c r="AR686" i="13176"/>
  <c r="E687" i="13176"/>
  <c r="V687" i="13176"/>
  <c r="AL687" i="13176"/>
  <c r="BC687" i="13176"/>
  <c r="I689" i="13176"/>
  <c r="Z689" i="13176"/>
  <c r="AP689" i="13176"/>
  <c r="C690" i="13176"/>
  <c r="T690" i="13176"/>
  <c r="AJ690" i="13176"/>
  <c r="BA690" i="13176"/>
  <c r="I692" i="13176"/>
  <c r="AB692" i="13176"/>
  <c r="AU692" i="13176"/>
  <c r="H693" i="13176"/>
  <c r="AB693" i="13176"/>
  <c r="AU693" i="13176"/>
  <c r="I694" i="13176"/>
  <c r="AE694" i="13176"/>
  <c r="BD694" i="13176"/>
  <c r="AA695" i="13176"/>
  <c r="BD695" i="13176"/>
  <c r="AC696" i="13176"/>
  <c r="AY697" i="13176"/>
  <c r="AH697" i="13176"/>
  <c r="Q697" i="13176"/>
  <c r="AX697" i="13176"/>
  <c r="AG697" i="13176"/>
  <c r="P697" i="13176"/>
  <c r="AW697" i="13176"/>
  <c r="AF697" i="13176"/>
  <c r="O697" i="13176"/>
  <c r="AV697" i="13176"/>
  <c r="AE697" i="13176"/>
  <c r="AU697" i="13176"/>
  <c r="AD697" i="13176"/>
  <c r="M697" i="13176"/>
  <c r="AR697" i="13176"/>
  <c r="AB697" i="13176"/>
  <c r="K697" i="13176"/>
  <c r="AP697" i="13176"/>
  <c r="Z697" i="13176"/>
  <c r="I697" i="13176"/>
  <c r="BC697" i="13176"/>
  <c r="AL697" i="13176"/>
  <c r="V697" i="13176"/>
  <c r="E697" i="13176"/>
  <c r="AC697" i="13176"/>
  <c r="D700" i="13176"/>
  <c r="AO700" i="13176"/>
  <c r="AZ713" i="13176"/>
  <c r="AQ717" i="13176"/>
  <c r="AO720" i="13176"/>
  <c r="BD723" i="13176"/>
  <c r="S661" i="13176"/>
  <c r="AI661" i="13176"/>
  <c r="AZ661" i="13176"/>
  <c r="P664" i="13176"/>
  <c r="AG664" i="13176"/>
  <c r="AX664" i="13176"/>
  <c r="J665" i="13176"/>
  <c r="AA665" i="13176"/>
  <c r="AQ665" i="13176"/>
  <c r="D666" i="13176"/>
  <c r="U666" i="13176"/>
  <c r="AK666" i="13176"/>
  <c r="BB666" i="13176"/>
  <c r="N667" i="13176"/>
  <c r="AE667" i="13176"/>
  <c r="AV667" i="13176"/>
  <c r="S669" i="13176"/>
  <c r="AI669" i="13176"/>
  <c r="AZ669" i="13176"/>
  <c r="L670" i="13176"/>
  <c r="AC670" i="13176"/>
  <c r="AT670" i="13176"/>
  <c r="F671" i="13176"/>
  <c r="W671" i="13176"/>
  <c r="AM671" i="13176"/>
  <c r="BD671" i="13176"/>
  <c r="P672" i="13176"/>
  <c r="AG672" i="13176"/>
  <c r="AX672" i="13176"/>
  <c r="J673" i="13176"/>
  <c r="AA673" i="13176"/>
  <c r="AQ673" i="13176"/>
  <c r="D674" i="13176"/>
  <c r="U674" i="13176"/>
  <c r="AK674" i="13176"/>
  <c r="BB674" i="13176"/>
  <c r="AE675" i="13176"/>
  <c r="AV675" i="13176"/>
  <c r="H676" i="13176"/>
  <c r="Y676" i="13176"/>
  <c r="AO676" i="13176"/>
  <c r="S677" i="13176"/>
  <c r="AI677" i="13176"/>
  <c r="AZ677" i="13176"/>
  <c r="L678" i="13176"/>
  <c r="AC678" i="13176"/>
  <c r="AT678" i="13176"/>
  <c r="F679" i="13176"/>
  <c r="W679" i="13176"/>
  <c r="AM679" i="13176"/>
  <c r="BD679" i="13176"/>
  <c r="P680" i="13176"/>
  <c r="AG680" i="13176"/>
  <c r="AX680" i="13176"/>
  <c r="J681" i="13176"/>
  <c r="AA681" i="13176"/>
  <c r="AQ681" i="13176"/>
  <c r="D682" i="13176"/>
  <c r="U682" i="13176"/>
  <c r="AK682" i="13176"/>
  <c r="BB682" i="13176"/>
  <c r="AV683" i="13176"/>
  <c r="H684" i="13176"/>
  <c r="Y684" i="13176"/>
  <c r="AO684" i="13176"/>
  <c r="S685" i="13176"/>
  <c r="AI685" i="13176"/>
  <c r="AZ685" i="13176"/>
  <c r="L686" i="13176"/>
  <c r="AC686" i="13176"/>
  <c r="AT686" i="13176"/>
  <c r="F687" i="13176"/>
  <c r="W687" i="13176"/>
  <c r="AM687" i="13176"/>
  <c r="BD687" i="13176"/>
  <c r="P688" i="13176"/>
  <c r="AG688" i="13176"/>
  <c r="AX688" i="13176"/>
  <c r="J689" i="13176"/>
  <c r="AA689" i="13176"/>
  <c r="AQ689" i="13176"/>
  <c r="D690" i="13176"/>
  <c r="U690" i="13176"/>
  <c r="AK690" i="13176"/>
  <c r="BB690" i="13176"/>
  <c r="AW691" i="13176"/>
  <c r="J692" i="13176"/>
  <c r="AC692" i="13176"/>
  <c r="AV692" i="13176"/>
  <c r="J693" i="13176"/>
  <c r="AC693" i="13176"/>
  <c r="AV693" i="13176"/>
  <c r="J694" i="13176"/>
  <c r="AF694" i="13176"/>
  <c r="C697" i="13176"/>
  <c r="AI697" i="13176"/>
  <c r="E700" i="13176"/>
  <c r="AQ700" i="13176"/>
  <c r="BC715" i="13176"/>
  <c r="BB739" i="13176"/>
  <c r="AG743" i="13176"/>
  <c r="C661" i="13176"/>
  <c r="T661" i="13176"/>
  <c r="AJ661" i="13176"/>
  <c r="BA661" i="13176"/>
  <c r="Q664" i="13176"/>
  <c r="AH664" i="13176"/>
  <c r="AY664" i="13176"/>
  <c r="K665" i="13176"/>
  <c r="AB665" i="13176"/>
  <c r="AR665" i="13176"/>
  <c r="E666" i="13176"/>
  <c r="V666" i="13176"/>
  <c r="AL666" i="13176"/>
  <c r="BC666" i="13176"/>
  <c r="O667" i="13176"/>
  <c r="AF667" i="13176"/>
  <c r="AW667" i="13176"/>
  <c r="BA669" i="13176"/>
  <c r="M670" i="13176"/>
  <c r="AD670" i="13176"/>
  <c r="AU670" i="13176"/>
  <c r="G671" i="13176"/>
  <c r="X671" i="13176"/>
  <c r="AN671" i="13176"/>
  <c r="K673" i="13176"/>
  <c r="AB673" i="13176"/>
  <c r="AR673" i="13176"/>
  <c r="E674" i="13176"/>
  <c r="V674" i="13176"/>
  <c r="AL674" i="13176"/>
  <c r="BC674" i="13176"/>
  <c r="I676" i="13176"/>
  <c r="Z676" i="13176"/>
  <c r="AP676" i="13176"/>
  <c r="M678" i="13176"/>
  <c r="AD678" i="13176"/>
  <c r="AU678" i="13176"/>
  <c r="G679" i="13176"/>
  <c r="X679" i="13176"/>
  <c r="AN679" i="13176"/>
  <c r="K681" i="13176"/>
  <c r="AB681" i="13176"/>
  <c r="AR681" i="13176"/>
  <c r="E682" i="13176"/>
  <c r="V682" i="13176"/>
  <c r="AL682" i="13176"/>
  <c r="BC682" i="13176"/>
  <c r="I684" i="13176"/>
  <c r="Z684" i="13176"/>
  <c r="AP684" i="13176"/>
  <c r="M686" i="13176"/>
  <c r="AD686" i="13176"/>
  <c r="AU686" i="13176"/>
  <c r="G687" i="13176"/>
  <c r="X687" i="13176"/>
  <c r="AN687" i="13176"/>
  <c r="K689" i="13176"/>
  <c r="AB689" i="13176"/>
  <c r="AR689" i="13176"/>
  <c r="E690" i="13176"/>
  <c r="V690" i="13176"/>
  <c r="AL690" i="13176"/>
  <c r="BC690" i="13176"/>
  <c r="K692" i="13176"/>
  <c r="AD692" i="13176"/>
  <c r="AX692" i="13176"/>
  <c r="K693" i="13176"/>
  <c r="AD693" i="13176"/>
  <c r="AW693" i="13176"/>
  <c r="L694" i="13176"/>
  <c r="AG694" i="13176"/>
  <c r="AU695" i="13176"/>
  <c r="AD695" i="13176"/>
  <c r="M695" i="13176"/>
  <c r="AT695" i="13176"/>
  <c r="AC695" i="13176"/>
  <c r="L695" i="13176"/>
  <c r="AR695" i="13176"/>
  <c r="AB695" i="13176"/>
  <c r="K695" i="13176"/>
  <c r="AP695" i="13176"/>
  <c r="Z695" i="13176"/>
  <c r="I695" i="13176"/>
  <c r="AN695" i="13176"/>
  <c r="X695" i="13176"/>
  <c r="G695" i="13176"/>
  <c r="BC695" i="13176"/>
  <c r="AL695" i="13176"/>
  <c r="V695" i="13176"/>
  <c r="E695" i="13176"/>
  <c r="AY695" i="13176"/>
  <c r="AH695" i="13176"/>
  <c r="Q695" i="13176"/>
  <c r="AF695" i="13176"/>
  <c r="AN696" i="13176"/>
  <c r="X696" i="13176"/>
  <c r="G696" i="13176"/>
  <c r="BD696" i="13176"/>
  <c r="AM696" i="13176"/>
  <c r="W696" i="13176"/>
  <c r="F696" i="13176"/>
  <c r="BC696" i="13176"/>
  <c r="AL696" i="13176"/>
  <c r="V696" i="13176"/>
  <c r="E696" i="13176"/>
  <c r="BA696" i="13176"/>
  <c r="AJ696" i="13176"/>
  <c r="T696" i="13176"/>
  <c r="C696" i="13176"/>
  <c r="AY696" i="13176"/>
  <c r="AH696" i="13176"/>
  <c r="Q696" i="13176"/>
  <c r="AW696" i="13176"/>
  <c r="AF696" i="13176"/>
  <c r="O696" i="13176"/>
  <c r="AR696" i="13176"/>
  <c r="AB696" i="13176"/>
  <c r="K696" i="13176"/>
  <c r="AE696" i="13176"/>
  <c r="D697" i="13176"/>
  <c r="AJ697" i="13176"/>
  <c r="H700" i="13176"/>
  <c r="AX700" i="13176"/>
  <c r="D661" i="13176"/>
  <c r="U661" i="13176"/>
  <c r="AK661" i="13176"/>
  <c r="BB661" i="13176"/>
  <c r="S664" i="13176"/>
  <c r="AI664" i="13176"/>
  <c r="AZ664" i="13176"/>
  <c r="L665" i="13176"/>
  <c r="AC665" i="13176"/>
  <c r="AT665" i="13176"/>
  <c r="F666" i="13176"/>
  <c r="W666" i="13176"/>
  <c r="AM666" i="13176"/>
  <c r="BD666" i="13176"/>
  <c r="P667" i="13176"/>
  <c r="AG667" i="13176"/>
  <c r="AX667" i="13176"/>
  <c r="D669" i="13176"/>
  <c r="U669" i="13176"/>
  <c r="AK669" i="13176"/>
  <c r="BB669" i="13176"/>
  <c r="N670" i="13176"/>
  <c r="AE670" i="13176"/>
  <c r="AV670" i="13176"/>
  <c r="H671" i="13176"/>
  <c r="Y671" i="13176"/>
  <c r="AO671" i="13176"/>
  <c r="S672" i="13176"/>
  <c r="AI672" i="13176"/>
  <c r="AZ672" i="13176"/>
  <c r="L673" i="13176"/>
  <c r="AC673" i="13176"/>
  <c r="AT673" i="13176"/>
  <c r="F674" i="13176"/>
  <c r="W674" i="13176"/>
  <c r="AM674" i="13176"/>
  <c r="BD674" i="13176"/>
  <c r="P675" i="13176"/>
  <c r="AG675" i="13176"/>
  <c r="AX675" i="13176"/>
  <c r="J676" i="13176"/>
  <c r="AA676" i="13176"/>
  <c r="AQ676" i="13176"/>
  <c r="D677" i="13176"/>
  <c r="U677" i="13176"/>
  <c r="AK677" i="13176"/>
  <c r="BB677" i="13176"/>
  <c r="N678" i="13176"/>
  <c r="AE678" i="13176"/>
  <c r="AV678" i="13176"/>
  <c r="H679" i="13176"/>
  <c r="Y679" i="13176"/>
  <c r="AO679" i="13176"/>
  <c r="S680" i="13176"/>
  <c r="AI680" i="13176"/>
  <c r="AZ680" i="13176"/>
  <c r="L681" i="13176"/>
  <c r="AC681" i="13176"/>
  <c r="AT681" i="13176"/>
  <c r="F682" i="13176"/>
  <c r="W682" i="13176"/>
  <c r="AM682" i="13176"/>
  <c r="BD682" i="13176"/>
  <c r="P683" i="13176"/>
  <c r="AG683" i="13176"/>
  <c r="AX683" i="13176"/>
  <c r="J684" i="13176"/>
  <c r="AA684" i="13176"/>
  <c r="AQ684" i="13176"/>
  <c r="D685" i="13176"/>
  <c r="U685" i="13176"/>
  <c r="AK685" i="13176"/>
  <c r="BB685" i="13176"/>
  <c r="N686" i="13176"/>
  <c r="AE686" i="13176"/>
  <c r="AV686" i="13176"/>
  <c r="H687" i="13176"/>
  <c r="Y687" i="13176"/>
  <c r="AO687" i="13176"/>
  <c r="S688" i="13176"/>
  <c r="AI688" i="13176"/>
  <c r="AZ688" i="13176"/>
  <c r="L689" i="13176"/>
  <c r="AC689" i="13176"/>
  <c r="AT689" i="13176"/>
  <c r="F690" i="13176"/>
  <c r="W690" i="13176"/>
  <c r="AM690" i="13176"/>
  <c r="BD690" i="13176"/>
  <c r="P691" i="13176"/>
  <c r="AG691" i="13176"/>
  <c r="L692" i="13176"/>
  <c r="AE692" i="13176"/>
  <c r="AY692" i="13176"/>
  <c r="L693" i="13176"/>
  <c r="AE693" i="13176"/>
  <c r="AX693" i="13176"/>
  <c r="M694" i="13176"/>
  <c r="AK694" i="13176"/>
  <c r="C695" i="13176"/>
  <c r="AG695" i="13176"/>
  <c r="D696" i="13176"/>
  <c r="AG696" i="13176"/>
  <c r="F697" i="13176"/>
  <c r="AK697" i="13176"/>
  <c r="J700" i="13176"/>
  <c r="AY700" i="13176"/>
  <c r="K676" i="13176"/>
  <c r="AB676" i="13176"/>
  <c r="AR676" i="13176"/>
  <c r="K684" i="13176"/>
  <c r="AB684" i="13176"/>
  <c r="AR684" i="13176"/>
  <c r="AM697" i="13176"/>
  <c r="P700" i="13176"/>
  <c r="AZ700" i="13176"/>
  <c r="AQ733" i="13176"/>
  <c r="BD736" i="13176"/>
  <c r="F661" i="13176"/>
  <c r="W661" i="13176"/>
  <c r="AM661" i="13176"/>
  <c r="D664" i="13176"/>
  <c r="U664" i="13176"/>
  <c r="AK664" i="13176"/>
  <c r="N665" i="13176"/>
  <c r="AE665" i="13176"/>
  <c r="H666" i="13176"/>
  <c r="Y666" i="13176"/>
  <c r="S667" i="13176"/>
  <c r="AI667" i="13176"/>
  <c r="F669" i="13176"/>
  <c r="W669" i="13176"/>
  <c r="AM669" i="13176"/>
  <c r="P670" i="13176"/>
  <c r="AG670" i="13176"/>
  <c r="J671" i="13176"/>
  <c r="AA671" i="13176"/>
  <c r="D672" i="13176"/>
  <c r="U672" i="13176"/>
  <c r="AK672" i="13176"/>
  <c r="N673" i="13176"/>
  <c r="AE673" i="13176"/>
  <c r="H674" i="13176"/>
  <c r="Y674" i="13176"/>
  <c r="S675" i="13176"/>
  <c r="AI675" i="13176"/>
  <c r="L676" i="13176"/>
  <c r="AC676" i="13176"/>
  <c r="F677" i="13176"/>
  <c r="W677" i="13176"/>
  <c r="AM677" i="13176"/>
  <c r="P678" i="13176"/>
  <c r="AG678" i="13176"/>
  <c r="J679" i="13176"/>
  <c r="AA679" i="13176"/>
  <c r="D680" i="13176"/>
  <c r="U680" i="13176"/>
  <c r="AK680" i="13176"/>
  <c r="N681" i="13176"/>
  <c r="AE681" i="13176"/>
  <c r="H682" i="13176"/>
  <c r="Y682" i="13176"/>
  <c r="S683" i="13176"/>
  <c r="AI683" i="13176"/>
  <c r="L684" i="13176"/>
  <c r="AC684" i="13176"/>
  <c r="F685" i="13176"/>
  <c r="W685" i="13176"/>
  <c r="AM685" i="13176"/>
  <c r="P686" i="13176"/>
  <c r="AG686" i="13176"/>
  <c r="J687" i="13176"/>
  <c r="AA687" i="13176"/>
  <c r="D688" i="13176"/>
  <c r="U688" i="13176"/>
  <c r="AK688" i="13176"/>
  <c r="N689" i="13176"/>
  <c r="AE689" i="13176"/>
  <c r="H690" i="13176"/>
  <c r="Y690" i="13176"/>
  <c r="AU691" i="13176"/>
  <c r="S691" i="13176"/>
  <c r="AI691" i="13176"/>
  <c r="BA691" i="13176"/>
  <c r="N692" i="13176"/>
  <c r="AH692" i="13176"/>
  <c r="BA692" i="13176"/>
  <c r="N693" i="13176"/>
  <c r="AG693" i="13176"/>
  <c r="BA693" i="13176"/>
  <c r="O694" i="13176"/>
  <c r="AM694" i="13176"/>
  <c r="F695" i="13176"/>
  <c r="AJ695" i="13176"/>
  <c r="I696" i="13176"/>
  <c r="AK696" i="13176"/>
  <c r="H697" i="13176"/>
  <c r="AN697" i="13176"/>
  <c r="Q700" i="13176"/>
  <c r="BB700" i="13176"/>
  <c r="AT706" i="13176"/>
  <c r="AX708" i="13176"/>
  <c r="BA718" i="13176"/>
  <c r="AZ721" i="13176"/>
  <c r="AX724" i="13176"/>
  <c r="AV727" i="13176"/>
  <c r="AT730" i="13176"/>
  <c r="BA740" i="13176"/>
  <c r="AR744" i="13176"/>
  <c r="J704" i="13176"/>
  <c r="AA704" i="13176"/>
  <c r="AQ704" i="13176"/>
  <c r="S708" i="13176"/>
  <c r="AI708" i="13176"/>
  <c r="AZ708" i="13176"/>
  <c r="L709" i="13176"/>
  <c r="AC709" i="13176"/>
  <c r="AT709" i="13176"/>
  <c r="AX711" i="13176"/>
  <c r="J712" i="13176"/>
  <c r="AA712" i="13176"/>
  <c r="AQ712" i="13176"/>
  <c r="S716" i="13176"/>
  <c r="AI716" i="13176"/>
  <c r="AZ716" i="13176"/>
  <c r="L717" i="13176"/>
  <c r="AC717" i="13176"/>
  <c r="AT717" i="13176"/>
  <c r="P719" i="13176"/>
  <c r="AG719" i="13176"/>
  <c r="AX719" i="13176"/>
  <c r="J720" i="13176"/>
  <c r="AA720" i="13176"/>
  <c r="AQ720" i="13176"/>
  <c r="S724" i="13176"/>
  <c r="AI724" i="13176"/>
  <c r="AZ724" i="13176"/>
  <c r="L725" i="13176"/>
  <c r="AC725" i="13176"/>
  <c r="AT725" i="13176"/>
  <c r="P727" i="13176"/>
  <c r="AG727" i="13176"/>
  <c r="AX727" i="13176"/>
  <c r="J728" i="13176"/>
  <c r="AA728" i="13176"/>
  <c r="AQ728" i="13176"/>
  <c r="S732" i="13176"/>
  <c r="AI732" i="13176"/>
  <c r="AZ732" i="13176"/>
  <c r="L733" i="13176"/>
  <c r="AC733" i="13176"/>
  <c r="AT733" i="13176"/>
  <c r="P735" i="13176"/>
  <c r="AG735" i="13176"/>
  <c r="AX735" i="13176"/>
  <c r="J736" i="13176"/>
  <c r="AB736" i="13176"/>
  <c r="AU736" i="13176"/>
  <c r="S740" i="13176"/>
  <c r="AQ740" i="13176"/>
  <c r="AK744" i="13176"/>
  <c r="AN755" i="13176"/>
  <c r="O698" i="13176"/>
  <c r="AF698" i="13176"/>
  <c r="AW698" i="13176"/>
  <c r="I699" i="13176"/>
  <c r="Z699" i="13176"/>
  <c r="AP699" i="13176"/>
  <c r="X702" i="13176"/>
  <c r="AN702" i="13176"/>
  <c r="Q703" i="13176"/>
  <c r="AH703" i="13176"/>
  <c r="AY703" i="13176"/>
  <c r="K704" i="13176"/>
  <c r="AB704" i="13176"/>
  <c r="AR704" i="13176"/>
  <c r="O706" i="13176"/>
  <c r="AF706" i="13176"/>
  <c r="AW706" i="13176"/>
  <c r="I707" i="13176"/>
  <c r="Z707" i="13176"/>
  <c r="AP707" i="13176"/>
  <c r="C708" i="13176"/>
  <c r="T708" i="13176"/>
  <c r="AJ708" i="13176"/>
  <c r="BA708" i="13176"/>
  <c r="M709" i="13176"/>
  <c r="AD709" i="13176"/>
  <c r="AU709" i="13176"/>
  <c r="Q711" i="13176"/>
  <c r="AH711" i="13176"/>
  <c r="AY711" i="13176"/>
  <c r="K712" i="13176"/>
  <c r="AB712" i="13176"/>
  <c r="AR712" i="13176"/>
  <c r="E713" i="13176"/>
  <c r="V713" i="13176"/>
  <c r="AL713" i="13176"/>
  <c r="BC713" i="13176"/>
  <c r="O714" i="13176"/>
  <c r="AF714" i="13176"/>
  <c r="AW714" i="13176"/>
  <c r="C716" i="13176"/>
  <c r="T716" i="13176"/>
  <c r="AJ716" i="13176"/>
  <c r="BA716" i="13176"/>
  <c r="M717" i="13176"/>
  <c r="AD717" i="13176"/>
  <c r="AU717" i="13176"/>
  <c r="Q719" i="13176"/>
  <c r="AH719" i="13176"/>
  <c r="AY719" i="13176"/>
  <c r="K720" i="13176"/>
  <c r="AB720" i="13176"/>
  <c r="AR720" i="13176"/>
  <c r="AW722" i="13176"/>
  <c r="C724" i="13176"/>
  <c r="T724" i="13176"/>
  <c r="AJ724" i="13176"/>
  <c r="BA724" i="13176"/>
  <c r="M725" i="13176"/>
  <c r="AD725" i="13176"/>
  <c r="AU725" i="13176"/>
  <c r="Q727" i="13176"/>
  <c r="AH727" i="13176"/>
  <c r="AY727" i="13176"/>
  <c r="K728" i="13176"/>
  <c r="AB728" i="13176"/>
  <c r="AR728" i="13176"/>
  <c r="C732" i="13176"/>
  <c r="T732" i="13176"/>
  <c r="AJ732" i="13176"/>
  <c r="BA732" i="13176"/>
  <c r="M733" i="13176"/>
  <c r="AD733" i="13176"/>
  <c r="AU733" i="13176"/>
  <c r="Q735" i="13176"/>
  <c r="AH735" i="13176"/>
  <c r="AY735" i="13176"/>
  <c r="K736" i="13176"/>
  <c r="AC736" i="13176"/>
  <c r="AV736" i="13176"/>
  <c r="T740" i="13176"/>
  <c r="AR740" i="13176"/>
  <c r="AQ744" i="13176"/>
  <c r="AR757" i="13176"/>
  <c r="AW759" i="13176"/>
  <c r="BA769" i="13176"/>
  <c r="AZ772" i="13176"/>
  <c r="AX775" i="13176"/>
  <c r="AV778" i="13176"/>
  <c r="S703" i="13176"/>
  <c r="AI703" i="13176"/>
  <c r="AZ703" i="13176"/>
  <c r="L704" i="13176"/>
  <c r="AC704" i="13176"/>
  <c r="AT704" i="13176"/>
  <c r="D708" i="13176"/>
  <c r="U708" i="13176"/>
  <c r="AK708" i="13176"/>
  <c r="BB708" i="13176"/>
  <c r="N709" i="13176"/>
  <c r="AE709" i="13176"/>
  <c r="AV709" i="13176"/>
  <c r="S711" i="13176"/>
  <c r="AI711" i="13176"/>
  <c r="AZ711" i="13176"/>
  <c r="L712" i="13176"/>
  <c r="AC712" i="13176"/>
  <c r="AT712" i="13176"/>
  <c r="D716" i="13176"/>
  <c r="U716" i="13176"/>
  <c r="AK716" i="13176"/>
  <c r="BB716" i="13176"/>
  <c r="N717" i="13176"/>
  <c r="AE717" i="13176"/>
  <c r="AV717" i="13176"/>
  <c r="S719" i="13176"/>
  <c r="AI719" i="13176"/>
  <c r="AZ719" i="13176"/>
  <c r="L720" i="13176"/>
  <c r="AC720" i="13176"/>
  <c r="AT720" i="13176"/>
  <c r="D724" i="13176"/>
  <c r="U724" i="13176"/>
  <c r="AK724" i="13176"/>
  <c r="BB724" i="13176"/>
  <c r="N725" i="13176"/>
  <c r="AE725" i="13176"/>
  <c r="AV725" i="13176"/>
  <c r="S727" i="13176"/>
  <c r="AI727" i="13176"/>
  <c r="AZ727" i="13176"/>
  <c r="L728" i="13176"/>
  <c r="AC728" i="13176"/>
  <c r="AT728" i="13176"/>
  <c r="D732" i="13176"/>
  <c r="U732" i="13176"/>
  <c r="AK732" i="13176"/>
  <c r="BB732" i="13176"/>
  <c r="N733" i="13176"/>
  <c r="AE733" i="13176"/>
  <c r="AV733" i="13176"/>
  <c r="S735" i="13176"/>
  <c r="AI735" i="13176"/>
  <c r="AZ735" i="13176"/>
  <c r="L736" i="13176"/>
  <c r="AD736" i="13176"/>
  <c r="AW736" i="13176"/>
  <c r="U740" i="13176"/>
  <c r="AT740" i="13176"/>
  <c r="BA761" i="13176"/>
  <c r="AN763" i="13176"/>
  <c r="BC766" i="13176"/>
  <c r="E724" i="13176"/>
  <c r="V724" i="13176"/>
  <c r="AL724" i="13176"/>
  <c r="BC724" i="13176"/>
  <c r="O725" i="13176"/>
  <c r="AF725" i="13176"/>
  <c r="AW725" i="13176"/>
  <c r="C727" i="13176"/>
  <c r="T727" i="13176"/>
  <c r="AJ727" i="13176"/>
  <c r="BA727" i="13176"/>
  <c r="M728" i="13176"/>
  <c r="AD728" i="13176"/>
  <c r="AU728" i="13176"/>
  <c r="E732" i="13176"/>
  <c r="V732" i="13176"/>
  <c r="AL732" i="13176"/>
  <c r="BC732" i="13176"/>
  <c r="O733" i="13176"/>
  <c r="AF733" i="13176"/>
  <c r="AW733" i="13176"/>
  <c r="AJ735" i="13176"/>
  <c r="BA735" i="13176"/>
  <c r="M736" i="13176"/>
  <c r="AE736" i="13176"/>
  <c r="AX736" i="13176"/>
  <c r="V740" i="13176"/>
  <c r="AV740" i="13176"/>
  <c r="AP744" i="13176"/>
  <c r="Z744" i="13176"/>
  <c r="I744" i="13176"/>
  <c r="AO744" i="13176"/>
  <c r="Y744" i="13176"/>
  <c r="H744" i="13176"/>
  <c r="AN744" i="13176"/>
  <c r="X744" i="13176"/>
  <c r="G744" i="13176"/>
  <c r="BD744" i="13176"/>
  <c r="AM744" i="13176"/>
  <c r="W744" i="13176"/>
  <c r="F744" i="13176"/>
  <c r="BC744" i="13176"/>
  <c r="AL744" i="13176"/>
  <c r="V744" i="13176"/>
  <c r="E744" i="13176"/>
  <c r="BA744" i="13176"/>
  <c r="AJ744" i="13176"/>
  <c r="T744" i="13176"/>
  <c r="C744" i="13176"/>
  <c r="AY744" i="13176"/>
  <c r="AH744" i="13176"/>
  <c r="Q744" i="13176"/>
  <c r="AX744" i="13176"/>
  <c r="AG744" i="13176"/>
  <c r="P744" i="13176"/>
  <c r="AV744" i="13176"/>
  <c r="AE744" i="13176"/>
  <c r="N744" i="13176"/>
  <c r="AU744" i="13176"/>
  <c r="AD744" i="13176"/>
  <c r="M744" i="13176"/>
  <c r="AT744" i="13176"/>
  <c r="AR749" i="13176"/>
  <c r="S698" i="13176"/>
  <c r="AI698" i="13176"/>
  <c r="AZ698" i="13176"/>
  <c r="L699" i="13176"/>
  <c r="AC699" i="13176"/>
  <c r="AT699" i="13176"/>
  <c r="D703" i="13176"/>
  <c r="U703" i="13176"/>
  <c r="AK703" i="13176"/>
  <c r="BB703" i="13176"/>
  <c r="N704" i="13176"/>
  <c r="AE704" i="13176"/>
  <c r="AV704" i="13176"/>
  <c r="S706" i="13176"/>
  <c r="AI706" i="13176"/>
  <c r="AZ706" i="13176"/>
  <c r="L707" i="13176"/>
  <c r="AC707" i="13176"/>
  <c r="AT707" i="13176"/>
  <c r="F708" i="13176"/>
  <c r="W708" i="13176"/>
  <c r="AM708" i="13176"/>
  <c r="BD708" i="13176"/>
  <c r="P709" i="13176"/>
  <c r="AG709" i="13176"/>
  <c r="AX709" i="13176"/>
  <c r="D711" i="13176"/>
  <c r="U711" i="13176"/>
  <c r="AK711" i="13176"/>
  <c r="BB711" i="13176"/>
  <c r="N712" i="13176"/>
  <c r="AE712" i="13176"/>
  <c r="AV712" i="13176"/>
  <c r="H713" i="13176"/>
  <c r="Y713" i="13176"/>
  <c r="AO713" i="13176"/>
  <c r="S714" i="13176"/>
  <c r="AI714" i="13176"/>
  <c r="AZ714" i="13176"/>
  <c r="AT715" i="13176"/>
  <c r="F716" i="13176"/>
  <c r="W716" i="13176"/>
  <c r="AM716" i="13176"/>
  <c r="BD716" i="13176"/>
  <c r="P717" i="13176"/>
  <c r="AG717" i="13176"/>
  <c r="AX717" i="13176"/>
  <c r="D719" i="13176"/>
  <c r="U719" i="13176"/>
  <c r="AK719" i="13176"/>
  <c r="BB719" i="13176"/>
  <c r="N720" i="13176"/>
  <c r="AE720" i="13176"/>
  <c r="AV720" i="13176"/>
  <c r="S722" i="13176"/>
  <c r="AI722" i="13176"/>
  <c r="AZ722" i="13176"/>
  <c r="F724" i="13176"/>
  <c r="W724" i="13176"/>
  <c r="AM724" i="13176"/>
  <c r="BD724" i="13176"/>
  <c r="P725" i="13176"/>
  <c r="AG725" i="13176"/>
  <c r="AX725" i="13176"/>
  <c r="D727" i="13176"/>
  <c r="U727" i="13176"/>
  <c r="AK727" i="13176"/>
  <c r="BB727" i="13176"/>
  <c r="N728" i="13176"/>
  <c r="AE728" i="13176"/>
  <c r="AV728" i="13176"/>
  <c r="S730" i="13176"/>
  <c r="AI730" i="13176"/>
  <c r="AZ730" i="13176"/>
  <c r="F732" i="13176"/>
  <c r="W732" i="13176"/>
  <c r="AM732" i="13176"/>
  <c r="BD732" i="13176"/>
  <c r="P733" i="13176"/>
  <c r="AG733" i="13176"/>
  <c r="AX733" i="13176"/>
  <c r="D735" i="13176"/>
  <c r="U735" i="13176"/>
  <c r="AK735" i="13176"/>
  <c r="BB735" i="13176"/>
  <c r="N736" i="13176"/>
  <c r="AF736" i="13176"/>
  <c r="AZ736" i="13176"/>
  <c r="P737" i="13176"/>
  <c r="AO737" i="13176"/>
  <c r="AB739" i="13176"/>
  <c r="W740" i="13176"/>
  <c r="AZ740" i="13176"/>
  <c r="AA743" i="13176"/>
  <c r="D744" i="13176"/>
  <c r="AW744" i="13176"/>
  <c r="BD782" i="13176"/>
  <c r="C698" i="13176"/>
  <c r="T698" i="13176"/>
  <c r="AJ698" i="13176"/>
  <c r="BA698" i="13176"/>
  <c r="M699" i="13176"/>
  <c r="AD699" i="13176"/>
  <c r="AU699" i="13176"/>
  <c r="K702" i="13176"/>
  <c r="AB702" i="13176"/>
  <c r="AR702" i="13176"/>
  <c r="E703" i="13176"/>
  <c r="V703" i="13176"/>
  <c r="AL703" i="13176"/>
  <c r="BC703" i="13176"/>
  <c r="O704" i="13176"/>
  <c r="AF704" i="13176"/>
  <c r="AW704" i="13176"/>
  <c r="C706" i="13176"/>
  <c r="T706" i="13176"/>
  <c r="AJ706" i="13176"/>
  <c r="BA706" i="13176"/>
  <c r="M707" i="13176"/>
  <c r="AD707" i="13176"/>
  <c r="AU707" i="13176"/>
  <c r="G708" i="13176"/>
  <c r="X708" i="13176"/>
  <c r="AN708" i="13176"/>
  <c r="Q709" i="13176"/>
  <c r="AH709" i="13176"/>
  <c r="AY709" i="13176"/>
  <c r="K710" i="13176"/>
  <c r="AB710" i="13176"/>
  <c r="AR710" i="13176"/>
  <c r="E711" i="13176"/>
  <c r="V711" i="13176"/>
  <c r="AL711" i="13176"/>
  <c r="BC711" i="13176"/>
  <c r="O712" i="13176"/>
  <c r="AF712" i="13176"/>
  <c r="AW712" i="13176"/>
  <c r="I713" i="13176"/>
  <c r="Z713" i="13176"/>
  <c r="AP713" i="13176"/>
  <c r="C714" i="13176"/>
  <c r="T714" i="13176"/>
  <c r="AJ714" i="13176"/>
  <c r="BA714" i="13176"/>
  <c r="M715" i="13176"/>
  <c r="AD715" i="13176"/>
  <c r="AU715" i="13176"/>
  <c r="G716" i="13176"/>
  <c r="X716" i="13176"/>
  <c r="AN716" i="13176"/>
  <c r="Q717" i="13176"/>
  <c r="AH717" i="13176"/>
  <c r="AY717" i="13176"/>
  <c r="AR718" i="13176"/>
  <c r="E719" i="13176"/>
  <c r="V719" i="13176"/>
  <c r="AL719" i="13176"/>
  <c r="BC719" i="13176"/>
  <c r="O720" i="13176"/>
  <c r="AF720" i="13176"/>
  <c r="AW720" i="13176"/>
  <c r="I721" i="13176"/>
  <c r="Z721" i="13176"/>
  <c r="AP721" i="13176"/>
  <c r="C722" i="13176"/>
  <c r="T722" i="13176"/>
  <c r="AJ722" i="13176"/>
  <c r="BA722" i="13176"/>
  <c r="M723" i="13176"/>
  <c r="AD723" i="13176"/>
  <c r="AU723" i="13176"/>
  <c r="G724" i="13176"/>
  <c r="X724" i="13176"/>
  <c r="AN724" i="13176"/>
  <c r="Q725" i="13176"/>
  <c r="AH725" i="13176"/>
  <c r="AY725" i="13176"/>
  <c r="E727" i="13176"/>
  <c r="V727" i="13176"/>
  <c r="AL727" i="13176"/>
  <c r="BC727" i="13176"/>
  <c r="O728" i="13176"/>
  <c r="AF728" i="13176"/>
  <c r="AW728" i="13176"/>
  <c r="C730" i="13176"/>
  <c r="T730" i="13176"/>
  <c r="AJ730" i="13176"/>
  <c r="BA730" i="13176"/>
  <c r="G732" i="13176"/>
  <c r="X732" i="13176"/>
  <c r="AN732" i="13176"/>
  <c r="Q733" i="13176"/>
  <c r="AH733" i="13176"/>
  <c r="AY733" i="13176"/>
  <c r="E735" i="13176"/>
  <c r="V735" i="13176"/>
  <c r="AL735" i="13176"/>
  <c r="BC735" i="13176"/>
  <c r="O736" i="13176"/>
  <c r="AG736" i="13176"/>
  <c r="BA736" i="13176"/>
  <c r="U737" i="13176"/>
  <c r="AP737" i="13176"/>
  <c r="AN739" i="13176"/>
  <c r="X739" i="13176"/>
  <c r="G739" i="13176"/>
  <c r="BD739" i="13176"/>
  <c r="AM739" i="13176"/>
  <c r="W739" i="13176"/>
  <c r="F739" i="13176"/>
  <c r="BC739" i="13176"/>
  <c r="AL739" i="13176"/>
  <c r="V739" i="13176"/>
  <c r="E739" i="13176"/>
  <c r="BA739" i="13176"/>
  <c r="AJ739" i="13176"/>
  <c r="T739" i="13176"/>
  <c r="C739" i="13176"/>
  <c r="AW739" i="13176"/>
  <c r="AF739" i="13176"/>
  <c r="O739" i="13176"/>
  <c r="AV739" i="13176"/>
  <c r="AE739" i="13176"/>
  <c r="N739" i="13176"/>
  <c r="AC739" i="13176"/>
  <c r="X740" i="13176"/>
  <c r="J744" i="13176"/>
  <c r="AZ744" i="13176"/>
  <c r="S709" i="13176"/>
  <c r="AI709" i="13176"/>
  <c r="AZ709" i="13176"/>
  <c r="S717" i="13176"/>
  <c r="AI717" i="13176"/>
  <c r="AZ717" i="13176"/>
  <c r="S725" i="13176"/>
  <c r="AI725" i="13176"/>
  <c r="AZ725" i="13176"/>
  <c r="S733" i="13176"/>
  <c r="AI733" i="13176"/>
  <c r="AZ733" i="13176"/>
  <c r="AY740" i="13176"/>
  <c r="AH740" i="13176"/>
  <c r="Q740" i="13176"/>
  <c r="AX740" i="13176"/>
  <c r="AG740" i="13176"/>
  <c r="P740" i="13176"/>
  <c r="AW740" i="13176"/>
  <c r="AF740" i="13176"/>
  <c r="O740" i="13176"/>
  <c r="AU740" i="13176"/>
  <c r="AD740" i="13176"/>
  <c r="M740" i="13176"/>
  <c r="AP740" i="13176"/>
  <c r="Z740" i="13176"/>
  <c r="I740" i="13176"/>
  <c r="AO740" i="13176"/>
  <c r="Y740" i="13176"/>
  <c r="H740" i="13176"/>
  <c r="AA740" i="13176"/>
  <c r="BB740" i="13176"/>
  <c r="K744" i="13176"/>
  <c r="BB744" i="13176"/>
  <c r="AP752" i="13176"/>
  <c r="AQ776" i="13176"/>
  <c r="AO779" i="13176"/>
  <c r="E698" i="13176"/>
  <c r="V698" i="13176"/>
  <c r="AL698" i="13176"/>
  <c r="BC698" i="13176"/>
  <c r="O699" i="13176"/>
  <c r="AF699" i="13176"/>
  <c r="AW699" i="13176"/>
  <c r="M702" i="13176"/>
  <c r="AD702" i="13176"/>
  <c r="AU702" i="13176"/>
  <c r="G703" i="13176"/>
  <c r="X703" i="13176"/>
  <c r="AN703" i="13176"/>
  <c r="Q704" i="13176"/>
  <c r="AH704" i="13176"/>
  <c r="AY704" i="13176"/>
  <c r="E706" i="13176"/>
  <c r="V706" i="13176"/>
  <c r="AL706" i="13176"/>
  <c r="BC706" i="13176"/>
  <c r="O707" i="13176"/>
  <c r="AF707" i="13176"/>
  <c r="AW707" i="13176"/>
  <c r="I708" i="13176"/>
  <c r="Z708" i="13176"/>
  <c r="AP708" i="13176"/>
  <c r="C709" i="13176"/>
  <c r="T709" i="13176"/>
  <c r="AJ709" i="13176"/>
  <c r="BA709" i="13176"/>
  <c r="M710" i="13176"/>
  <c r="AD710" i="13176"/>
  <c r="AU710" i="13176"/>
  <c r="G711" i="13176"/>
  <c r="X711" i="13176"/>
  <c r="AN711" i="13176"/>
  <c r="Q712" i="13176"/>
  <c r="AH712" i="13176"/>
  <c r="AY712" i="13176"/>
  <c r="K713" i="13176"/>
  <c r="AB713" i="13176"/>
  <c r="AR713" i="13176"/>
  <c r="E714" i="13176"/>
  <c r="V714" i="13176"/>
  <c r="AL714" i="13176"/>
  <c r="BC714" i="13176"/>
  <c r="O715" i="13176"/>
  <c r="AF715" i="13176"/>
  <c r="AW715" i="13176"/>
  <c r="I716" i="13176"/>
  <c r="Z716" i="13176"/>
  <c r="AP716" i="13176"/>
  <c r="C717" i="13176"/>
  <c r="T717" i="13176"/>
  <c r="AJ717" i="13176"/>
  <c r="BA717" i="13176"/>
  <c r="G719" i="13176"/>
  <c r="X719" i="13176"/>
  <c r="AN719" i="13176"/>
  <c r="Q720" i="13176"/>
  <c r="AH720" i="13176"/>
  <c r="AY720" i="13176"/>
  <c r="K721" i="13176"/>
  <c r="AB721" i="13176"/>
  <c r="AR721" i="13176"/>
  <c r="E722" i="13176"/>
  <c r="V722" i="13176"/>
  <c r="AL722" i="13176"/>
  <c r="BC722" i="13176"/>
  <c r="O723" i="13176"/>
  <c r="AF723" i="13176"/>
  <c r="AW723" i="13176"/>
  <c r="I724" i="13176"/>
  <c r="Z724" i="13176"/>
  <c r="AP724" i="13176"/>
  <c r="C725" i="13176"/>
  <c r="T725" i="13176"/>
  <c r="AJ725" i="13176"/>
  <c r="BA725" i="13176"/>
  <c r="G727" i="13176"/>
  <c r="X727" i="13176"/>
  <c r="AN727" i="13176"/>
  <c r="Q728" i="13176"/>
  <c r="AH728" i="13176"/>
  <c r="AY728" i="13176"/>
  <c r="E730" i="13176"/>
  <c r="V730" i="13176"/>
  <c r="AL730" i="13176"/>
  <c r="BC730" i="13176"/>
  <c r="I732" i="13176"/>
  <c r="Z732" i="13176"/>
  <c r="AP732" i="13176"/>
  <c r="C733" i="13176"/>
  <c r="T733" i="13176"/>
  <c r="AJ733" i="13176"/>
  <c r="BA733" i="13176"/>
  <c r="G735" i="13176"/>
  <c r="X735" i="13176"/>
  <c r="AN735" i="13176"/>
  <c r="Q736" i="13176"/>
  <c r="AI736" i="13176"/>
  <c r="W737" i="13176"/>
  <c r="H739" i="13176"/>
  <c r="AG739" i="13176"/>
  <c r="C740" i="13176"/>
  <c r="AB740" i="13176"/>
  <c r="BC740" i="13176"/>
  <c r="AW743" i="13176"/>
  <c r="AF743" i="13176"/>
  <c r="O743" i="13176"/>
  <c r="AV743" i="13176"/>
  <c r="AE743" i="13176"/>
  <c r="N743" i="13176"/>
  <c r="AU743" i="13176"/>
  <c r="AD743" i="13176"/>
  <c r="M743" i="13176"/>
  <c r="AT743" i="13176"/>
  <c r="AC743" i="13176"/>
  <c r="L743" i="13176"/>
  <c r="AR743" i="13176"/>
  <c r="AB743" i="13176"/>
  <c r="K743" i="13176"/>
  <c r="AN743" i="13176"/>
  <c r="X743" i="13176"/>
  <c r="G743" i="13176"/>
  <c r="BD743" i="13176"/>
  <c r="AM743" i="13176"/>
  <c r="W743" i="13176"/>
  <c r="F743" i="13176"/>
  <c r="BA743" i="13176"/>
  <c r="AJ743" i="13176"/>
  <c r="T743" i="13176"/>
  <c r="C743" i="13176"/>
  <c r="AI743" i="13176"/>
  <c r="L744" i="13176"/>
  <c r="AY748" i="13176"/>
  <c r="AH748" i="13176"/>
  <c r="Q748" i="13176"/>
  <c r="AX748" i="13176"/>
  <c r="AG748" i="13176"/>
  <c r="P748" i="13176"/>
  <c r="AW748" i="13176"/>
  <c r="AF748" i="13176"/>
  <c r="O748" i="13176"/>
  <c r="AV748" i="13176"/>
  <c r="AE748" i="13176"/>
  <c r="N748" i="13176"/>
  <c r="AU748" i="13176"/>
  <c r="AD748" i="13176"/>
  <c r="M748" i="13176"/>
  <c r="AT748" i="13176"/>
  <c r="AC748" i="13176"/>
  <c r="L748" i="13176"/>
  <c r="AR748" i="13176"/>
  <c r="AB748" i="13176"/>
  <c r="K748" i="13176"/>
  <c r="AQ748" i="13176"/>
  <c r="AA748" i="13176"/>
  <c r="J748" i="13176"/>
  <c r="AP748" i="13176"/>
  <c r="Z748" i="13176"/>
  <c r="I748" i="13176"/>
  <c r="AO748" i="13176"/>
  <c r="Y748" i="13176"/>
  <c r="H748" i="13176"/>
  <c r="BD748" i="13176"/>
  <c r="AM748" i="13176"/>
  <c r="W748" i="13176"/>
  <c r="F748" i="13176"/>
  <c r="BC748" i="13176"/>
  <c r="AL748" i="13176"/>
  <c r="V748" i="13176"/>
  <c r="E748" i="13176"/>
  <c r="BB748" i="13176"/>
  <c r="AK748" i="13176"/>
  <c r="U748" i="13176"/>
  <c r="D748" i="13176"/>
  <c r="AU754" i="13176"/>
  <c r="AZ764" i="13176"/>
  <c r="AW767" i="13176"/>
  <c r="AU770" i="13176"/>
  <c r="AT773" i="13176"/>
  <c r="S704" i="13176"/>
  <c r="AI704" i="13176"/>
  <c r="AZ704" i="13176"/>
  <c r="J708" i="13176"/>
  <c r="AA708" i="13176"/>
  <c r="AQ708" i="13176"/>
  <c r="D709" i="13176"/>
  <c r="U709" i="13176"/>
  <c r="AK709" i="13176"/>
  <c r="BB709" i="13176"/>
  <c r="S712" i="13176"/>
  <c r="AI712" i="13176"/>
  <c r="AZ712" i="13176"/>
  <c r="J716" i="13176"/>
  <c r="AA716" i="13176"/>
  <c r="AQ716" i="13176"/>
  <c r="D717" i="13176"/>
  <c r="U717" i="13176"/>
  <c r="AK717" i="13176"/>
  <c r="BB717" i="13176"/>
  <c r="S720" i="13176"/>
  <c r="AI720" i="13176"/>
  <c r="AZ720" i="13176"/>
  <c r="J724" i="13176"/>
  <c r="AA724" i="13176"/>
  <c r="AQ724" i="13176"/>
  <c r="D725" i="13176"/>
  <c r="U725" i="13176"/>
  <c r="AK725" i="13176"/>
  <c r="BB725" i="13176"/>
  <c r="S728" i="13176"/>
  <c r="AI728" i="13176"/>
  <c r="AZ728" i="13176"/>
  <c r="J732" i="13176"/>
  <c r="AA732" i="13176"/>
  <c r="AQ732" i="13176"/>
  <c r="D733" i="13176"/>
  <c r="U733" i="13176"/>
  <c r="AK733" i="13176"/>
  <c r="BB733" i="13176"/>
  <c r="AP736" i="13176"/>
  <c r="Z736" i="13176"/>
  <c r="AN736" i="13176"/>
  <c r="BC736" i="13176"/>
  <c r="AY736" i="13176"/>
  <c r="S736" i="13176"/>
  <c r="AJ736" i="13176"/>
  <c r="D740" i="13176"/>
  <c r="AC740" i="13176"/>
  <c r="BD740" i="13176"/>
  <c r="O744" i="13176"/>
  <c r="BA745" i="13176"/>
  <c r="AZ756" i="13176"/>
  <c r="AC783" i="13176"/>
  <c r="G698" i="13176"/>
  <c r="X698" i="13176"/>
  <c r="AN698" i="13176"/>
  <c r="Q699" i="13176"/>
  <c r="AH699" i="13176"/>
  <c r="AY699" i="13176"/>
  <c r="O702" i="13176"/>
  <c r="AF702" i="13176"/>
  <c r="AW702" i="13176"/>
  <c r="I703" i="13176"/>
  <c r="Z703" i="13176"/>
  <c r="AP703" i="13176"/>
  <c r="C704" i="13176"/>
  <c r="T704" i="13176"/>
  <c r="AJ704" i="13176"/>
  <c r="BA704" i="13176"/>
  <c r="G706" i="13176"/>
  <c r="X706" i="13176"/>
  <c r="AN706" i="13176"/>
  <c r="Q707" i="13176"/>
  <c r="AH707" i="13176"/>
  <c r="AY707" i="13176"/>
  <c r="K708" i="13176"/>
  <c r="AB708" i="13176"/>
  <c r="AR708" i="13176"/>
  <c r="E709" i="13176"/>
  <c r="V709" i="13176"/>
  <c r="AL709" i="13176"/>
  <c r="BC709" i="13176"/>
  <c r="I711" i="13176"/>
  <c r="Z711" i="13176"/>
  <c r="AP711" i="13176"/>
  <c r="C712" i="13176"/>
  <c r="T712" i="13176"/>
  <c r="AJ712" i="13176"/>
  <c r="BA712" i="13176"/>
  <c r="M713" i="13176"/>
  <c r="AD713" i="13176"/>
  <c r="AU713" i="13176"/>
  <c r="G714" i="13176"/>
  <c r="X714" i="13176"/>
  <c r="AN714" i="13176"/>
  <c r="AH715" i="13176"/>
  <c r="AY715" i="13176"/>
  <c r="K716" i="13176"/>
  <c r="AB716" i="13176"/>
  <c r="AR716" i="13176"/>
  <c r="E717" i="13176"/>
  <c r="V717" i="13176"/>
  <c r="AL717" i="13176"/>
  <c r="BC717" i="13176"/>
  <c r="I719" i="13176"/>
  <c r="Z719" i="13176"/>
  <c r="AP719" i="13176"/>
  <c r="C720" i="13176"/>
  <c r="T720" i="13176"/>
  <c r="AJ720" i="13176"/>
  <c r="BA720" i="13176"/>
  <c r="G722" i="13176"/>
  <c r="X722" i="13176"/>
  <c r="AN722" i="13176"/>
  <c r="K724" i="13176"/>
  <c r="AB724" i="13176"/>
  <c r="AR724" i="13176"/>
  <c r="E725" i="13176"/>
  <c r="V725" i="13176"/>
  <c r="AL725" i="13176"/>
  <c r="BC725" i="13176"/>
  <c r="I727" i="13176"/>
  <c r="Z727" i="13176"/>
  <c r="AP727" i="13176"/>
  <c r="C728" i="13176"/>
  <c r="T728" i="13176"/>
  <c r="AJ728" i="13176"/>
  <c r="BA728" i="13176"/>
  <c r="G730" i="13176"/>
  <c r="X730" i="13176"/>
  <c r="AN730" i="13176"/>
  <c r="K732" i="13176"/>
  <c r="AB732" i="13176"/>
  <c r="AR732" i="13176"/>
  <c r="E733" i="13176"/>
  <c r="V733" i="13176"/>
  <c r="AL733" i="13176"/>
  <c r="BC733" i="13176"/>
  <c r="I735" i="13176"/>
  <c r="Z735" i="13176"/>
  <c r="AP735" i="13176"/>
  <c r="C736" i="13176"/>
  <c r="T736" i="13176"/>
  <c r="AK736" i="13176"/>
  <c r="BA737" i="13176"/>
  <c r="AJ737" i="13176"/>
  <c r="T737" i="13176"/>
  <c r="C737" i="13176"/>
  <c r="AZ737" i="13176"/>
  <c r="AI737" i="13176"/>
  <c r="S737" i="13176"/>
  <c r="AY737" i="13176"/>
  <c r="AH737" i="13176"/>
  <c r="Q737" i="13176"/>
  <c r="AW737" i="13176"/>
  <c r="AF737" i="13176"/>
  <c r="O737" i="13176"/>
  <c r="AR737" i="13176"/>
  <c r="AB737" i="13176"/>
  <c r="K737" i="13176"/>
  <c r="Y737" i="13176"/>
  <c r="AV737" i="13176"/>
  <c r="J739" i="13176"/>
  <c r="AI739" i="13176"/>
  <c r="E740" i="13176"/>
  <c r="AE740" i="13176"/>
  <c r="E743" i="13176"/>
  <c r="AL743" i="13176"/>
  <c r="S744" i="13176"/>
  <c r="BC758" i="13176"/>
  <c r="H698" i="13176"/>
  <c r="Y698" i="13176"/>
  <c r="AO698" i="13176"/>
  <c r="S699" i="13176"/>
  <c r="AI699" i="13176"/>
  <c r="AZ699" i="13176"/>
  <c r="J703" i="13176"/>
  <c r="AA703" i="13176"/>
  <c r="AQ703" i="13176"/>
  <c r="D704" i="13176"/>
  <c r="U704" i="13176"/>
  <c r="AK704" i="13176"/>
  <c r="BB704" i="13176"/>
  <c r="H706" i="13176"/>
  <c r="Y706" i="13176"/>
  <c r="AO706" i="13176"/>
  <c r="S707" i="13176"/>
  <c r="AI707" i="13176"/>
  <c r="AZ707" i="13176"/>
  <c r="L708" i="13176"/>
  <c r="AC708" i="13176"/>
  <c r="AT708" i="13176"/>
  <c r="F709" i="13176"/>
  <c r="W709" i="13176"/>
  <c r="AM709" i="13176"/>
  <c r="BD709" i="13176"/>
  <c r="J711" i="13176"/>
  <c r="AA711" i="13176"/>
  <c r="AQ711" i="13176"/>
  <c r="D712" i="13176"/>
  <c r="U712" i="13176"/>
  <c r="AK712" i="13176"/>
  <c r="BB712" i="13176"/>
  <c r="N713" i="13176"/>
  <c r="AE713" i="13176"/>
  <c r="AV713" i="13176"/>
  <c r="H714" i="13176"/>
  <c r="Y714" i="13176"/>
  <c r="AO714" i="13176"/>
  <c r="S715" i="13176"/>
  <c r="AI715" i="13176"/>
  <c r="AZ715" i="13176"/>
  <c r="L716" i="13176"/>
  <c r="AC716" i="13176"/>
  <c r="AT716" i="13176"/>
  <c r="F717" i="13176"/>
  <c r="W717" i="13176"/>
  <c r="AM717" i="13176"/>
  <c r="BD717" i="13176"/>
  <c r="J719" i="13176"/>
  <c r="AA719" i="13176"/>
  <c r="AQ719" i="13176"/>
  <c r="D720" i="13176"/>
  <c r="U720" i="13176"/>
  <c r="AK720" i="13176"/>
  <c r="BB720" i="13176"/>
  <c r="N721" i="13176"/>
  <c r="AE721" i="13176"/>
  <c r="AV721" i="13176"/>
  <c r="H722" i="13176"/>
  <c r="Y722" i="13176"/>
  <c r="AO722" i="13176"/>
  <c r="S723" i="13176"/>
  <c r="AI723" i="13176"/>
  <c r="AZ723" i="13176"/>
  <c r="L724" i="13176"/>
  <c r="AC724" i="13176"/>
  <c r="AT724" i="13176"/>
  <c r="F725" i="13176"/>
  <c r="W725" i="13176"/>
  <c r="AM725" i="13176"/>
  <c r="BD725" i="13176"/>
  <c r="J727" i="13176"/>
  <c r="AA727" i="13176"/>
  <c r="AQ727" i="13176"/>
  <c r="D728" i="13176"/>
  <c r="U728" i="13176"/>
  <c r="AK728" i="13176"/>
  <c r="BB728" i="13176"/>
  <c r="N729" i="13176"/>
  <c r="AE729" i="13176"/>
  <c r="AV729" i="13176"/>
  <c r="H730" i="13176"/>
  <c r="Y730" i="13176"/>
  <c r="AO730" i="13176"/>
  <c r="S731" i="13176"/>
  <c r="AI731" i="13176"/>
  <c r="AZ731" i="13176"/>
  <c r="L732" i="13176"/>
  <c r="AC732" i="13176"/>
  <c r="AT732" i="13176"/>
  <c r="F733" i="13176"/>
  <c r="W733" i="13176"/>
  <c r="AM733" i="13176"/>
  <c r="BD733" i="13176"/>
  <c r="P734" i="13176"/>
  <c r="AG734" i="13176"/>
  <c r="AX734" i="13176"/>
  <c r="J735" i="13176"/>
  <c r="AA735" i="13176"/>
  <c r="AQ735" i="13176"/>
  <c r="D736" i="13176"/>
  <c r="U736" i="13176"/>
  <c r="AL736" i="13176"/>
  <c r="D737" i="13176"/>
  <c r="Z737" i="13176"/>
  <c r="AX737" i="13176"/>
  <c r="K739" i="13176"/>
  <c r="AK739" i="13176"/>
  <c r="F740" i="13176"/>
  <c r="AI740" i="13176"/>
  <c r="AR741" i="13176"/>
  <c r="BC742" i="13176"/>
  <c r="H743" i="13176"/>
  <c r="AO743" i="13176"/>
  <c r="U744" i="13176"/>
  <c r="AN747" i="13176"/>
  <c r="S748" i="13176"/>
  <c r="AW751" i="13176"/>
  <c r="AP760" i="13176"/>
  <c r="I698" i="13176"/>
  <c r="Z698" i="13176"/>
  <c r="AP698" i="13176"/>
  <c r="C699" i="13176"/>
  <c r="T699" i="13176"/>
  <c r="AJ699" i="13176"/>
  <c r="BA699" i="13176"/>
  <c r="Q702" i="13176"/>
  <c r="AH702" i="13176"/>
  <c r="AY702" i="13176"/>
  <c r="K703" i="13176"/>
  <c r="AB703" i="13176"/>
  <c r="AR703" i="13176"/>
  <c r="E704" i="13176"/>
  <c r="V704" i="13176"/>
  <c r="AL704" i="13176"/>
  <c r="BC704" i="13176"/>
  <c r="I706" i="13176"/>
  <c r="Z706" i="13176"/>
  <c r="AP706" i="13176"/>
  <c r="C707" i="13176"/>
  <c r="T707" i="13176"/>
  <c r="AJ707" i="13176"/>
  <c r="BA707" i="13176"/>
  <c r="M708" i="13176"/>
  <c r="AD708" i="13176"/>
  <c r="AU708" i="13176"/>
  <c r="G709" i="13176"/>
  <c r="X709" i="13176"/>
  <c r="AN709" i="13176"/>
  <c r="K711" i="13176"/>
  <c r="AB711" i="13176"/>
  <c r="AR711" i="13176"/>
  <c r="E712" i="13176"/>
  <c r="V712" i="13176"/>
  <c r="AL712" i="13176"/>
  <c r="BC712" i="13176"/>
  <c r="O713" i="13176"/>
  <c r="AF713" i="13176"/>
  <c r="AW713" i="13176"/>
  <c r="I714" i="13176"/>
  <c r="Z714" i="13176"/>
  <c r="AP714" i="13176"/>
  <c r="C715" i="13176"/>
  <c r="T715" i="13176"/>
  <c r="AJ715" i="13176"/>
  <c r="BA715" i="13176"/>
  <c r="M716" i="13176"/>
  <c r="AD716" i="13176"/>
  <c r="AU716" i="13176"/>
  <c r="G717" i="13176"/>
  <c r="X717" i="13176"/>
  <c r="AN717" i="13176"/>
  <c r="K719" i="13176"/>
  <c r="AB719" i="13176"/>
  <c r="AR719" i="13176"/>
  <c r="E720" i="13176"/>
  <c r="V720" i="13176"/>
  <c r="AL720" i="13176"/>
  <c r="BC720" i="13176"/>
  <c r="O721" i="13176"/>
  <c r="AF721" i="13176"/>
  <c r="AW721" i="13176"/>
  <c r="I722" i="13176"/>
  <c r="Z722" i="13176"/>
  <c r="AP722" i="13176"/>
  <c r="C723" i="13176"/>
  <c r="T723" i="13176"/>
  <c r="AJ723" i="13176"/>
  <c r="BA723" i="13176"/>
  <c r="M724" i="13176"/>
  <c r="AD724" i="13176"/>
  <c r="AU724" i="13176"/>
  <c r="G725" i="13176"/>
  <c r="X725" i="13176"/>
  <c r="AN725" i="13176"/>
  <c r="K727" i="13176"/>
  <c r="AB727" i="13176"/>
  <c r="AR727" i="13176"/>
  <c r="E728" i="13176"/>
  <c r="V728" i="13176"/>
  <c r="AL728" i="13176"/>
  <c r="BC728" i="13176"/>
  <c r="AF729" i="13176"/>
  <c r="AW729" i="13176"/>
  <c r="I730" i="13176"/>
  <c r="Z730" i="13176"/>
  <c r="AP730" i="13176"/>
  <c r="AJ731" i="13176"/>
  <c r="BA731" i="13176"/>
  <c r="M732" i="13176"/>
  <c r="AD732" i="13176"/>
  <c r="AU732" i="13176"/>
  <c r="G733" i="13176"/>
  <c r="X733" i="13176"/>
  <c r="AN733" i="13176"/>
  <c r="K735" i="13176"/>
  <c r="AB735" i="13176"/>
  <c r="AR735" i="13176"/>
  <c r="E736" i="13176"/>
  <c r="V736" i="13176"/>
  <c r="AM736" i="13176"/>
  <c r="E737" i="13176"/>
  <c r="AA737" i="13176"/>
  <c r="BB737" i="13176"/>
  <c r="L739" i="13176"/>
  <c r="AO739" i="13176"/>
  <c r="G740" i="13176"/>
  <c r="AJ740" i="13176"/>
  <c r="I743" i="13176"/>
  <c r="AP743" i="13176"/>
  <c r="AA744" i="13176"/>
  <c r="AU746" i="13176"/>
  <c r="T748" i="13176"/>
  <c r="AU762" i="13176"/>
  <c r="AZ777" i="13176"/>
  <c r="BC780" i="13176"/>
  <c r="J698" i="13176"/>
  <c r="AA698" i="13176"/>
  <c r="AQ698" i="13176"/>
  <c r="D699" i="13176"/>
  <c r="U699" i="13176"/>
  <c r="AK699" i="13176"/>
  <c r="BB699" i="13176"/>
  <c r="S702" i="13176"/>
  <c r="AI702" i="13176"/>
  <c r="AZ702" i="13176"/>
  <c r="L703" i="13176"/>
  <c r="AC703" i="13176"/>
  <c r="AT703" i="13176"/>
  <c r="F704" i="13176"/>
  <c r="W704" i="13176"/>
  <c r="AM704" i="13176"/>
  <c r="BD704" i="13176"/>
  <c r="J706" i="13176"/>
  <c r="AA706" i="13176"/>
  <c r="AQ706" i="13176"/>
  <c r="D707" i="13176"/>
  <c r="U707" i="13176"/>
  <c r="AK707" i="13176"/>
  <c r="BB707" i="13176"/>
  <c r="N708" i="13176"/>
  <c r="AE708" i="13176"/>
  <c r="AV708" i="13176"/>
  <c r="H709" i="13176"/>
  <c r="Y709" i="13176"/>
  <c r="AO709" i="13176"/>
  <c r="S710" i="13176"/>
  <c r="AI710" i="13176"/>
  <c r="AZ710" i="13176"/>
  <c r="L711" i="13176"/>
  <c r="AC711" i="13176"/>
  <c r="AT711" i="13176"/>
  <c r="F712" i="13176"/>
  <c r="W712" i="13176"/>
  <c r="AM712" i="13176"/>
  <c r="BD712" i="13176"/>
  <c r="P713" i="13176"/>
  <c r="AG713" i="13176"/>
  <c r="AX713" i="13176"/>
  <c r="J714" i="13176"/>
  <c r="AA714" i="13176"/>
  <c r="AQ714" i="13176"/>
  <c r="D715" i="13176"/>
  <c r="U715" i="13176"/>
  <c r="AK715" i="13176"/>
  <c r="BB715" i="13176"/>
  <c r="N716" i="13176"/>
  <c r="AE716" i="13176"/>
  <c r="AV716" i="13176"/>
  <c r="H717" i="13176"/>
  <c r="Y717" i="13176"/>
  <c r="AO717" i="13176"/>
  <c r="S718" i="13176"/>
  <c r="AI718" i="13176"/>
  <c r="AZ718" i="13176"/>
  <c r="L719" i="13176"/>
  <c r="AC719" i="13176"/>
  <c r="AT719" i="13176"/>
  <c r="F720" i="13176"/>
  <c r="W720" i="13176"/>
  <c r="AM720" i="13176"/>
  <c r="BD720" i="13176"/>
  <c r="P721" i="13176"/>
  <c r="AG721" i="13176"/>
  <c r="AX721" i="13176"/>
  <c r="J722" i="13176"/>
  <c r="AA722" i="13176"/>
  <c r="AQ722" i="13176"/>
  <c r="D723" i="13176"/>
  <c r="U723" i="13176"/>
  <c r="AK723" i="13176"/>
  <c r="BB723" i="13176"/>
  <c r="N724" i="13176"/>
  <c r="AE724" i="13176"/>
  <c r="AV724" i="13176"/>
  <c r="H725" i="13176"/>
  <c r="Y725" i="13176"/>
  <c r="AO725" i="13176"/>
  <c r="S726" i="13176"/>
  <c r="AI726" i="13176"/>
  <c r="AZ726" i="13176"/>
  <c r="L727" i="13176"/>
  <c r="AC727" i="13176"/>
  <c r="AT727" i="13176"/>
  <c r="F728" i="13176"/>
  <c r="W728" i="13176"/>
  <c r="AM728" i="13176"/>
  <c r="BD728" i="13176"/>
  <c r="P729" i="13176"/>
  <c r="AG729" i="13176"/>
  <c r="AX729" i="13176"/>
  <c r="J730" i="13176"/>
  <c r="AA730" i="13176"/>
  <c r="AQ730" i="13176"/>
  <c r="D731" i="13176"/>
  <c r="U731" i="13176"/>
  <c r="AK731" i="13176"/>
  <c r="BB731" i="13176"/>
  <c r="N732" i="13176"/>
  <c r="AE732" i="13176"/>
  <c r="AV732" i="13176"/>
  <c r="H733" i="13176"/>
  <c r="Y733" i="13176"/>
  <c r="AO733" i="13176"/>
  <c r="S734" i="13176"/>
  <c r="AI734" i="13176"/>
  <c r="AZ734" i="13176"/>
  <c r="L735" i="13176"/>
  <c r="AC735" i="13176"/>
  <c r="AT735" i="13176"/>
  <c r="F736" i="13176"/>
  <c r="W736" i="13176"/>
  <c r="AO736" i="13176"/>
  <c r="F737" i="13176"/>
  <c r="AC737" i="13176"/>
  <c r="BC737" i="13176"/>
  <c r="M739" i="13176"/>
  <c r="AP739" i="13176"/>
  <c r="J740" i="13176"/>
  <c r="AK740" i="13176"/>
  <c r="J743" i="13176"/>
  <c r="AQ743" i="13176"/>
  <c r="AB744" i="13176"/>
  <c r="X748" i="13176"/>
  <c r="AP768" i="13176"/>
  <c r="AN771" i="13176"/>
  <c r="BD774" i="13176"/>
  <c r="K698" i="13176"/>
  <c r="AB698" i="13176"/>
  <c r="E699" i="13176"/>
  <c r="V699" i="13176"/>
  <c r="AL699" i="13176"/>
  <c r="C702" i="13176"/>
  <c r="T702" i="13176"/>
  <c r="AJ702" i="13176"/>
  <c r="M703" i="13176"/>
  <c r="AD703" i="13176"/>
  <c r="G704" i="13176"/>
  <c r="X704" i="13176"/>
  <c r="K706" i="13176"/>
  <c r="AB706" i="13176"/>
  <c r="AR706" i="13176"/>
  <c r="E707" i="13176"/>
  <c r="V707" i="13176"/>
  <c r="AL707" i="13176"/>
  <c r="BC707" i="13176"/>
  <c r="O708" i="13176"/>
  <c r="AF708" i="13176"/>
  <c r="AW708" i="13176"/>
  <c r="I709" i="13176"/>
  <c r="Z709" i="13176"/>
  <c r="AP709" i="13176"/>
  <c r="C710" i="13176"/>
  <c r="T710" i="13176"/>
  <c r="AJ710" i="13176"/>
  <c r="M711" i="13176"/>
  <c r="AD711" i="13176"/>
  <c r="AU711" i="13176"/>
  <c r="G712" i="13176"/>
  <c r="X712" i="13176"/>
  <c r="AN712" i="13176"/>
  <c r="Q713" i="13176"/>
  <c r="AH713" i="13176"/>
  <c r="AY713" i="13176"/>
  <c r="K714" i="13176"/>
  <c r="AB714" i="13176"/>
  <c r="AR714" i="13176"/>
  <c r="E715" i="13176"/>
  <c r="V715" i="13176"/>
  <c r="AL715" i="13176"/>
  <c r="O716" i="13176"/>
  <c r="AF716" i="13176"/>
  <c r="AW716" i="13176"/>
  <c r="I717" i="13176"/>
  <c r="Z717" i="13176"/>
  <c r="AP717" i="13176"/>
  <c r="C718" i="13176"/>
  <c r="T718" i="13176"/>
  <c r="AJ718" i="13176"/>
  <c r="M719" i="13176"/>
  <c r="AD719" i="13176"/>
  <c r="AU719" i="13176"/>
  <c r="G720" i="13176"/>
  <c r="X720" i="13176"/>
  <c r="AN720" i="13176"/>
  <c r="Q721" i="13176"/>
  <c r="AH721" i="13176"/>
  <c r="AY721" i="13176"/>
  <c r="K722" i="13176"/>
  <c r="AB722" i="13176"/>
  <c r="AR722" i="13176"/>
  <c r="E723" i="13176"/>
  <c r="V723" i="13176"/>
  <c r="AL723" i="13176"/>
  <c r="BC723" i="13176"/>
  <c r="O724" i="13176"/>
  <c r="AF724" i="13176"/>
  <c r="AW724" i="13176"/>
  <c r="I725" i="13176"/>
  <c r="Z725" i="13176"/>
  <c r="AP725" i="13176"/>
  <c r="C726" i="13176"/>
  <c r="T726" i="13176"/>
  <c r="AJ726" i="13176"/>
  <c r="BA726" i="13176"/>
  <c r="M727" i="13176"/>
  <c r="AD727" i="13176"/>
  <c r="AU727" i="13176"/>
  <c r="G728" i="13176"/>
  <c r="X728" i="13176"/>
  <c r="AN728" i="13176"/>
  <c r="Q729" i="13176"/>
  <c r="AH729" i="13176"/>
  <c r="AY729" i="13176"/>
  <c r="K730" i="13176"/>
  <c r="AB730" i="13176"/>
  <c r="AR730" i="13176"/>
  <c r="E731" i="13176"/>
  <c r="V731" i="13176"/>
  <c r="AL731" i="13176"/>
  <c r="BC731" i="13176"/>
  <c r="O732" i="13176"/>
  <c r="AF732" i="13176"/>
  <c r="AW732" i="13176"/>
  <c r="I733" i="13176"/>
  <c r="Z733" i="13176"/>
  <c r="AP733" i="13176"/>
  <c r="C734" i="13176"/>
  <c r="T734" i="13176"/>
  <c r="AJ734" i="13176"/>
  <c r="BA734" i="13176"/>
  <c r="M735" i="13176"/>
  <c r="AD735" i="13176"/>
  <c r="AU735" i="13176"/>
  <c r="G736" i="13176"/>
  <c r="X736" i="13176"/>
  <c r="AQ736" i="13176"/>
  <c r="G737" i="13176"/>
  <c r="AD737" i="13176"/>
  <c r="BD737" i="13176"/>
  <c r="P739" i="13176"/>
  <c r="AQ739" i="13176"/>
  <c r="K740" i="13176"/>
  <c r="AL740" i="13176"/>
  <c r="P743" i="13176"/>
  <c r="AX743" i="13176"/>
  <c r="AC744" i="13176"/>
  <c r="AI748" i="13176"/>
  <c r="AR765" i="13176"/>
  <c r="L706" i="13176"/>
  <c r="AC706" i="13176"/>
  <c r="P708" i="13176"/>
  <c r="AG708" i="13176"/>
  <c r="J709" i="13176"/>
  <c r="AA709" i="13176"/>
  <c r="N711" i="13176"/>
  <c r="AE711" i="13176"/>
  <c r="H712" i="13176"/>
  <c r="Y712" i="13176"/>
  <c r="S713" i="13176"/>
  <c r="AI713" i="13176"/>
  <c r="L714" i="13176"/>
  <c r="AC714" i="13176"/>
  <c r="P716" i="13176"/>
  <c r="AG716" i="13176"/>
  <c r="J717" i="13176"/>
  <c r="AA717" i="13176"/>
  <c r="N719" i="13176"/>
  <c r="AE719" i="13176"/>
  <c r="H720" i="13176"/>
  <c r="Y720" i="13176"/>
  <c r="S721" i="13176"/>
  <c r="AI721" i="13176"/>
  <c r="L722" i="13176"/>
  <c r="AC722" i="13176"/>
  <c r="F723" i="13176"/>
  <c r="W723" i="13176"/>
  <c r="AM723" i="13176"/>
  <c r="P724" i="13176"/>
  <c r="AG724" i="13176"/>
  <c r="J725" i="13176"/>
  <c r="AA725" i="13176"/>
  <c r="N727" i="13176"/>
  <c r="AE727" i="13176"/>
  <c r="H728" i="13176"/>
  <c r="Y728" i="13176"/>
  <c r="S729" i="13176"/>
  <c r="AI729" i="13176"/>
  <c r="L730" i="13176"/>
  <c r="AC730" i="13176"/>
  <c r="F731" i="13176"/>
  <c r="W731" i="13176"/>
  <c r="AM731" i="13176"/>
  <c r="P732" i="13176"/>
  <c r="AG732" i="13176"/>
  <c r="J733" i="13176"/>
  <c r="AA733" i="13176"/>
  <c r="AK734" i="13176"/>
  <c r="N735" i="13176"/>
  <c r="AE735" i="13176"/>
  <c r="H736" i="13176"/>
  <c r="Y736" i="13176"/>
  <c r="AR736" i="13176"/>
  <c r="H737" i="13176"/>
  <c r="AE737" i="13176"/>
  <c r="Q739" i="13176"/>
  <c r="AR739" i="13176"/>
  <c r="L740" i="13176"/>
  <c r="AM740" i="13176"/>
  <c r="Q743" i="13176"/>
  <c r="AY743" i="13176"/>
  <c r="AF744" i="13176"/>
  <c r="AJ748" i="13176"/>
  <c r="BC750" i="13176"/>
  <c r="BA753" i="13176"/>
  <c r="AR824" i="13176"/>
  <c r="S751" i="13176"/>
  <c r="AI751" i="13176"/>
  <c r="AZ751" i="13176"/>
  <c r="D756" i="13176"/>
  <c r="U756" i="13176"/>
  <c r="AK756" i="13176"/>
  <c r="BB756" i="13176"/>
  <c r="S759" i="13176"/>
  <c r="AI759" i="13176"/>
  <c r="AZ759" i="13176"/>
  <c r="AT760" i="13176"/>
  <c r="D764" i="13176"/>
  <c r="U764" i="13176"/>
  <c r="AK764" i="13176"/>
  <c r="BB764" i="13176"/>
  <c r="S767" i="13176"/>
  <c r="AI767" i="13176"/>
  <c r="AZ767" i="13176"/>
  <c r="D772" i="13176"/>
  <c r="U772" i="13176"/>
  <c r="AK772" i="13176"/>
  <c r="BB772" i="13176"/>
  <c r="S775" i="13176"/>
  <c r="AI775" i="13176"/>
  <c r="AZ775" i="13176"/>
  <c r="AU781" i="13176"/>
  <c r="AD781" i="13176"/>
  <c r="M781" i="13176"/>
  <c r="AR781" i="13176"/>
  <c r="AB781" i="13176"/>
  <c r="K781" i="13176"/>
  <c r="AP781" i="13176"/>
  <c r="Z781" i="13176"/>
  <c r="I781" i="13176"/>
  <c r="AN781" i="13176"/>
  <c r="X781" i="13176"/>
  <c r="G781" i="13176"/>
  <c r="BB781" i="13176"/>
  <c r="W781" i="13176"/>
  <c r="AV781" i="13176"/>
  <c r="AW786" i="13176"/>
  <c r="AF786" i="13176"/>
  <c r="O786" i="13176"/>
  <c r="AV786" i="13176"/>
  <c r="AE786" i="13176"/>
  <c r="N786" i="13176"/>
  <c r="AU786" i="13176"/>
  <c r="AD786" i="13176"/>
  <c r="M786" i="13176"/>
  <c r="AT786" i="13176"/>
  <c r="AC786" i="13176"/>
  <c r="L786" i="13176"/>
  <c r="AR786" i="13176"/>
  <c r="AB786" i="13176"/>
  <c r="K786" i="13176"/>
  <c r="AP786" i="13176"/>
  <c r="Z786" i="13176"/>
  <c r="I786" i="13176"/>
  <c r="BD786" i="13176"/>
  <c r="AM786" i="13176"/>
  <c r="W786" i="13176"/>
  <c r="F786" i="13176"/>
  <c r="BC786" i="13176"/>
  <c r="AL786" i="13176"/>
  <c r="V786" i="13176"/>
  <c r="E786" i="13176"/>
  <c r="BB786" i="13176"/>
  <c r="AK786" i="13176"/>
  <c r="U786" i="13176"/>
  <c r="D786" i="13176"/>
  <c r="AN786" i="13176"/>
  <c r="Q746" i="13176"/>
  <c r="AH746" i="13176"/>
  <c r="AY746" i="13176"/>
  <c r="K747" i="13176"/>
  <c r="AB747" i="13176"/>
  <c r="AR747" i="13176"/>
  <c r="C751" i="13176"/>
  <c r="T751" i="13176"/>
  <c r="AJ751" i="13176"/>
  <c r="BA751" i="13176"/>
  <c r="M752" i="13176"/>
  <c r="AD752" i="13176"/>
  <c r="AU752" i="13176"/>
  <c r="Q754" i="13176"/>
  <c r="AH754" i="13176"/>
  <c r="AY754" i="13176"/>
  <c r="AR755" i="13176"/>
  <c r="E756" i="13176"/>
  <c r="V756" i="13176"/>
  <c r="AL756" i="13176"/>
  <c r="BC756" i="13176"/>
  <c r="C759" i="13176"/>
  <c r="T759" i="13176"/>
  <c r="AJ759" i="13176"/>
  <c r="BA759" i="13176"/>
  <c r="M760" i="13176"/>
  <c r="AD760" i="13176"/>
  <c r="AU760" i="13176"/>
  <c r="E764" i="13176"/>
  <c r="V764" i="13176"/>
  <c r="AL764" i="13176"/>
  <c r="BC764" i="13176"/>
  <c r="C767" i="13176"/>
  <c r="T767" i="13176"/>
  <c r="AJ767" i="13176"/>
  <c r="BA767" i="13176"/>
  <c r="M768" i="13176"/>
  <c r="AD768" i="13176"/>
  <c r="AU768" i="13176"/>
  <c r="E772" i="13176"/>
  <c r="V772" i="13176"/>
  <c r="AL772" i="13176"/>
  <c r="BC772" i="13176"/>
  <c r="C775" i="13176"/>
  <c r="T775" i="13176"/>
  <c r="AJ775" i="13176"/>
  <c r="BA775" i="13176"/>
  <c r="M776" i="13176"/>
  <c r="AD776" i="13176"/>
  <c r="AU776" i="13176"/>
  <c r="C781" i="13176"/>
  <c r="Y781" i="13176"/>
  <c r="AW781" i="13176"/>
  <c r="C786" i="13176"/>
  <c r="AO786" i="13176"/>
  <c r="BC809" i="13176"/>
  <c r="BA812" i="13176"/>
  <c r="AY815" i="13176"/>
  <c r="AH815" i="13176"/>
  <c r="Q815" i="13176"/>
  <c r="AX815" i="13176"/>
  <c r="AG815" i="13176"/>
  <c r="P815" i="13176"/>
  <c r="AW815" i="13176"/>
  <c r="AF815" i="13176"/>
  <c r="O815" i="13176"/>
  <c r="AV815" i="13176"/>
  <c r="AE815" i="13176"/>
  <c r="N815" i="13176"/>
  <c r="AU815" i="13176"/>
  <c r="AD815" i="13176"/>
  <c r="M815" i="13176"/>
  <c r="AT815" i="13176"/>
  <c r="AC815" i="13176"/>
  <c r="L815" i="13176"/>
  <c r="AR815" i="13176"/>
  <c r="AB815" i="13176"/>
  <c r="K815" i="13176"/>
  <c r="AQ815" i="13176"/>
  <c r="AA815" i="13176"/>
  <c r="J815" i="13176"/>
  <c r="AP815" i="13176"/>
  <c r="Z815" i="13176"/>
  <c r="I815" i="13176"/>
  <c r="AO815" i="13176"/>
  <c r="Y815" i="13176"/>
  <c r="H815" i="13176"/>
  <c r="AN815" i="13176"/>
  <c r="X815" i="13176"/>
  <c r="G815" i="13176"/>
  <c r="BD815" i="13176"/>
  <c r="AM815" i="13176"/>
  <c r="W815" i="13176"/>
  <c r="F815" i="13176"/>
  <c r="BC815" i="13176"/>
  <c r="AL815" i="13176"/>
  <c r="V815" i="13176"/>
  <c r="E815" i="13176"/>
  <c r="BB815" i="13176"/>
  <c r="AK815" i="13176"/>
  <c r="U815" i="13176"/>
  <c r="D815" i="13176"/>
  <c r="BA815" i="13176"/>
  <c r="AJ815" i="13176"/>
  <c r="T815" i="13176"/>
  <c r="C815" i="13176"/>
  <c r="AW818" i="13176"/>
  <c r="AU821" i="13176"/>
  <c r="S746" i="13176"/>
  <c r="AI746" i="13176"/>
  <c r="AZ746" i="13176"/>
  <c r="L747" i="13176"/>
  <c r="AC747" i="13176"/>
  <c r="AT747" i="13176"/>
  <c r="D751" i="13176"/>
  <c r="U751" i="13176"/>
  <c r="AK751" i="13176"/>
  <c r="BB751" i="13176"/>
  <c r="N752" i="13176"/>
  <c r="AE752" i="13176"/>
  <c r="AV752" i="13176"/>
  <c r="S754" i="13176"/>
  <c r="AI754" i="13176"/>
  <c r="AZ754" i="13176"/>
  <c r="L755" i="13176"/>
  <c r="AC755" i="13176"/>
  <c r="AT755" i="13176"/>
  <c r="F756" i="13176"/>
  <c r="W756" i="13176"/>
  <c r="AM756" i="13176"/>
  <c r="BD756" i="13176"/>
  <c r="D759" i="13176"/>
  <c r="U759" i="13176"/>
  <c r="AK759" i="13176"/>
  <c r="BB759" i="13176"/>
  <c r="N760" i="13176"/>
  <c r="AE760" i="13176"/>
  <c r="AV760" i="13176"/>
  <c r="S762" i="13176"/>
  <c r="AI762" i="13176"/>
  <c r="AZ762" i="13176"/>
  <c r="F764" i="13176"/>
  <c r="W764" i="13176"/>
  <c r="AM764" i="13176"/>
  <c r="BD764" i="13176"/>
  <c r="D767" i="13176"/>
  <c r="U767" i="13176"/>
  <c r="AK767" i="13176"/>
  <c r="BB767" i="13176"/>
  <c r="N768" i="13176"/>
  <c r="AE768" i="13176"/>
  <c r="AV768" i="13176"/>
  <c r="S770" i="13176"/>
  <c r="AI770" i="13176"/>
  <c r="AZ770" i="13176"/>
  <c r="F772" i="13176"/>
  <c r="W772" i="13176"/>
  <c r="AM772" i="13176"/>
  <c r="BD772" i="13176"/>
  <c r="D775" i="13176"/>
  <c r="U775" i="13176"/>
  <c r="AK775" i="13176"/>
  <c r="BB775" i="13176"/>
  <c r="N776" i="13176"/>
  <c r="AE776" i="13176"/>
  <c r="AV776" i="13176"/>
  <c r="S778" i="13176"/>
  <c r="AI778" i="13176"/>
  <c r="AZ778" i="13176"/>
  <c r="D781" i="13176"/>
  <c r="AA781" i="13176"/>
  <c r="AX781" i="13176"/>
  <c r="G786" i="13176"/>
  <c r="AQ786" i="13176"/>
  <c r="AR800" i="13176"/>
  <c r="AP803" i="13176"/>
  <c r="AN806" i="13176"/>
  <c r="S815" i="13176"/>
  <c r="AO897" i="13176"/>
  <c r="AW794" i="13176"/>
  <c r="AU797" i="13176"/>
  <c r="AI815" i="13176"/>
  <c r="S741" i="13176"/>
  <c r="AI741" i="13176"/>
  <c r="AZ741" i="13176"/>
  <c r="L742" i="13176"/>
  <c r="AC742" i="13176"/>
  <c r="AT742" i="13176"/>
  <c r="D746" i="13176"/>
  <c r="U746" i="13176"/>
  <c r="AK746" i="13176"/>
  <c r="BB746" i="13176"/>
  <c r="N747" i="13176"/>
  <c r="AE747" i="13176"/>
  <c r="AV747" i="13176"/>
  <c r="S749" i="13176"/>
  <c r="AI749" i="13176"/>
  <c r="AZ749" i="13176"/>
  <c r="L750" i="13176"/>
  <c r="AC750" i="13176"/>
  <c r="AT750" i="13176"/>
  <c r="F751" i="13176"/>
  <c r="W751" i="13176"/>
  <c r="AM751" i="13176"/>
  <c r="BD751" i="13176"/>
  <c r="P752" i="13176"/>
  <c r="AG752" i="13176"/>
  <c r="AX752" i="13176"/>
  <c r="D754" i="13176"/>
  <c r="U754" i="13176"/>
  <c r="AK754" i="13176"/>
  <c r="BB754" i="13176"/>
  <c r="N755" i="13176"/>
  <c r="AE755" i="13176"/>
  <c r="AV755" i="13176"/>
  <c r="H756" i="13176"/>
  <c r="Y756" i="13176"/>
  <c r="AO756" i="13176"/>
  <c r="S757" i="13176"/>
  <c r="AI757" i="13176"/>
  <c r="AZ757" i="13176"/>
  <c r="L758" i="13176"/>
  <c r="AC758" i="13176"/>
  <c r="AT758" i="13176"/>
  <c r="F759" i="13176"/>
  <c r="W759" i="13176"/>
  <c r="AM759" i="13176"/>
  <c r="BD759" i="13176"/>
  <c r="P760" i="13176"/>
  <c r="AG760" i="13176"/>
  <c r="AX760" i="13176"/>
  <c r="D762" i="13176"/>
  <c r="U762" i="13176"/>
  <c r="AK762" i="13176"/>
  <c r="BB762" i="13176"/>
  <c r="N763" i="13176"/>
  <c r="AE763" i="13176"/>
  <c r="AV763" i="13176"/>
  <c r="H764" i="13176"/>
  <c r="Y764" i="13176"/>
  <c r="AO764" i="13176"/>
  <c r="S765" i="13176"/>
  <c r="AI765" i="13176"/>
  <c r="AZ765" i="13176"/>
  <c r="L766" i="13176"/>
  <c r="AC766" i="13176"/>
  <c r="AT766" i="13176"/>
  <c r="F767" i="13176"/>
  <c r="W767" i="13176"/>
  <c r="AM767" i="13176"/>
  <c r="BD767" i="13176"/>
  <c r="P768" i="13176"/>
  <c r="AG768" i="13176"/>
  <c r="AX768" i="13176"/>
  <c r="D770" i="13176"/>
  <c r="U770" i="13176"/>
  <c r="AK770" i="13176"/>
  <c r="BB770" i="13176"/>
  <c r="H772" i="13176"/>
  <c r="Y772" i="13176"/>
  <c r="AO772" i="13176"/>
  <c r="S773" i="13176"/>
  <c r="AI773" i="13176"/>
  <c r="AZ773" i="13176"/>
  <c r="L774" i="13176"/>
  <c r="AC774" i="13176"/>
  <c r="AT774" i="13176"/>
  <c r="F775" i="13176"/>
  <c r="W775" i="13176"/>
  <c r="AM775" i="13176"/>
  <c r="BD775" i="13176"/>
  <c r="P776" i="13176"/>
  <c r="AG776" i="13176"/>
  <c r="AX776" i="13176"/>
  <c r="D778" i="13176"/>
  <c r="U778" i="13176"/>
  <c r="AK778" i="13176"/>
  <c r="BB778" i="13176"/>
  <c r="F781" i="13176"/>
  <c r="AE781" i="13176"/>
  <c r="AZ781" i="13176"/>
  <c r="S782" i="13176"/>
  <c r="AT782" i="13176"/>
  <c r="U783" i="13176"/>
  <c r="BB783" i="13176"/>
  <c r="J786" i="13176"/>
  <c r="AY786" i="13176"/>
  <c r="AZ815" i="13176"/>
  <c r="AX825" i="13176"/>
  <c r="C741" i="13176"/>
  <c r="T741" i="13176"/>
  <c r="AJ741" i="13176"/>
  <c r="BA741" i="13176"/>
  <c r="M742" i="13176"/>
  <c r="AD742" i="13176"/>
  <c r="AU742" i="13176"/>
  <c r="K745" i="13176"/>
  <c r="AB745" i="13176"/>
  <c r="AR745" i="13176"/>
  <c r="E746" i="13176"/>
  <c r="V746" i="13176"/>
  <c r="AL746" i="13176"/>
  <c r="BC746" i="13176"/>
  <c r="O747" i="13176"/>
  <c r="AF747" i="13176"/>
  <c r="AW747" i="13176"/>
  <c r="C749" i="13176"/>
  <c r="T749" i="13176"/>
  <c r="AJ749" i="13176"/>
  <c r="BA749" i="13176"/>
  <c r="M750" i="13176"/>
  <c r="AD750" i="13176"/>
  <c r="AU750" i="13176"/>
  <c r="G751" i="13176"/>
  <c r="X751" i="13176"/>
  <c r="AN751" i="13176"/>
  <c r="Q752" i="13176"/>
  <c r="AH752" i="13176"/>
  <c r="AY752" i="13176"/>
  <c r="K753" i="13176"/>
  <c r="AB753" i="13176"/>
  <c r="AR753" i="13176"/>
  <c r="E754" i="13176"/>
  <c r="V754" i="13176"/>
  <c r="AL754" i="13176"/>
  <c r="BC754" i="13176"/>
  <c r="O755" i="13176"/>
  <c r="AF755" i="13176"/>
  <c r="AW755" i="13176"/>
  <c r="I756" i="13176"/>
  <c r="Z756" i="13176"/>
  <c r="AP756" i="13176"/>
  <c r="C757" i="13176"/>
  <c r="T757" i="13176"/>
  <c r="AJ757" i="13176"/>
  <c r="BA757" i="13176"/>
  <c r="M758" i="13176"/>
  <c r="AD758" i="13176"/>
  <c r="AU758" i="13176"/>
  <c r="G759" i="13176"/>
  <c r="X759" i="13176"/>
  <c r="AN759" i="13176"/>
  <c r="Q760" i="13176"/>
  <c r="AH760" i="13176"/>
  <c r="AY760" i="13176"/>
  <c r="K761" i="13176"/>
  <c r="AB761" i="13176"/>
  <c r="AR761" i="13176"/>
  <c r="E762" i="13176"/>
  <c r="V762" i="13176"/>
  <c r="AL762" i="13176"/>
  <c r="BC762" i="13176"/>
  <c r="O763" i="13176"/>
  <c r="AF763" i="13176"/>
  <c r="AW763" i="13176"/>
  <c r="I764" i="13176"/>
  <c r="Z764" i="13176"/>
  <c r="AP764" i="13176"/>
  <c r="C765" i="13176"/>
  <c r="T765" i="13176"/>
  <c r="AJ765" i="13176"/>
  <c r="BA765" i="13176"/>
  <c r="M766" i="13176"/>
  <c r="AD766" i="13176"/>
  <c r="AU766" i="13176"/>
  <c r="G767" i="13176"/>
  <c r="X767" i="13176"/>
  <c r="AN767" i="13176"/>
  <c r="Q768" i="13176"/>
  <c r="AH768" i="13176"/>
  <c r="AY768" i="13176"/>
  <c r="K769" i="13176"/>
  <c r="AB769" i="13176"/>
  <c r="AR769" i="13176"/>
  <c r="E770" i="13176"/>
  <c r="V770" i="13176"/>
  <c r="AL770" i="13176"/>
  <c r="BC770" i="13176"/>
  <c r="O771" i="13176"/>
  <c r="AF771" i="13176"/>
  <c r="AW771" i="13176"/>
  <c r="I772" i="13176"/>
  <c r="Z772" i="13176"/>
  <c r="AP772" i="13176"/>
  <c r="C773" i="13176"/>
  <c r="T773" i="13176"/>
  <c r="AJ773" i="13176"/>
  <c r="BA773" i="13176"/>
  <c r="M774" i="13176"/>
  <c r="AD774" i="13176"/>
  <c r="AU774" i="13176"/>
  <c r="G775" i="13176"/>
  <c r="X775" i="13176"/>
  <c r="AN775" i="13176"/>
  <c r="Q776" i="13176"/>
  <c r="AH776" i="13176"/>
  <c r="AY776" i="13176"/>
  <c r="E778" i="13176"/>
  <c r="V778" i="13176"/>
  <c r="AL778" i="13176"/>
  <c r="BC778" i="13176"/>
  <c r="Z780" i="13176"/>
  <c r="AQ780" i="13176"/>
  <c r="H781" i="13176"/>
  <c r="AF781" i="13176"/>
  <c r="BA781" i="13176"/>
  <c r="U782" i="13176"/>
  <c r="AW782" i="13176"/>
  <c r="V783" i="13176"/>
  <c r="BC783" i="13176"/>
  <c r="BC785" i="13176"/>
  <c r="P786" i="13176"/>
  <c r="AZ786" i="13176"/>
  <c r="AN790" i="13176"/>
  <c r="BD829" i="13176"/>
  <c r="H751" i="13176"/>
  <c r="Y751" i="13176"/>
  <c r="AO751" i="13176"/>
  <c r="S752" i="13176"/>
  <c r="AI752" i="13176"/>
  <c r="AZ752" i="13176"/>
  <c r="J756" i="13176"/>
  <c r="AA756" i="13176"/>
  <c r="AQ756" i="13176"/>
  <c r="H759" i="13176"/>
  <c r="Y759" i="13176"/>
  <c r="AO759" i="13176"/>
  <c r="S760" i="13176"/>
  <c r="AI760" i="13176"/>
  <c r="AZ760" i="13176"/>
  <c r="J764" i="13176"/>
  <c r="AA764" i="13176"/>
  <c r="AQ764" i="13176"/>
  <c r="H767" i="13176"/>
  <c r="Y767" i="13176"/>
  <c r="AO767" i="13176"/>
  <c r="S768" i="13176"/>
  <c r="AI768" i="13176"/>
  <c r="AZ768" i="13176"/>
  <c r="J772" i="13176"/>
  <c r="AA772" i="13176"/>
  <c r="AQ772" i="13176"/>
  <c r="H775" i="13176"/>
  <c r="Y775" i="13176"/>
  <c r="AO775" i="13176"/>
  <c r="S776" i="13176"/>
  <c r="AI776" i="13176"/>
  <c r="AZ776" i="13176"/>
  <c r="F778" i="13176"/>
  <c r="W778" i="13176"/>
  <c r="AM778" i="13176"/>
  <c r="BD778" i="13176"/>
  <c r="J781" i="13176"/>
  <c r="AG781" i="13176"/>
  <c r="BC781" i="13176"/>
  <c r="Q786" i="13176"/>
  <c r="BA786" i="13176"/>
  <c r="AR792" i="13176"/>
  <c r="AR816" i="13176"/>
  <c r="AP819" i="13176"/>
  <c r="AH822" i="13176"/>
  <c r="G746" i="13176"/>
  <c r="X746" i="13176"/>
  <c r="AN746" i="13176"/>
  <c r="Q747" i="13176"/>
  <c r="AH747" i="13176"/>
  <c r="AY747" i="13176"/>
  <c r="I751" i="13176"/>
  <c r="Z751" i="13176"/>
  <c r="AP751" i="13176"/>
  <c r="C752" i="13176"/>
  <c r="T752" i="13176"/>
  <c r="AJ752" i="13176"/>
  <c r="BA752" i="13176"/>
  <c r="AN754" i="13176"/>
  <c r="AY755" i="13176"/>
  <c r="K756" i="13176"/>
  <c r="AB756" i="13176"/>
  <c r="AR756" i="13176"/>
  <c r="I759" i="13176"/>
  <c r="Z759" i="13176"/>
  <c r="AP759" i="13176"/>
  <c r="C760" i="13176"/>
  <c r="T760" i="13176"/>
  <c r="AJ760" i="13176"/>
  <c r="BA760" i="13176"/>
  <c r="K764" i="13176"/>
  <c r="AB764" i="13176"/>
  <c r="AR764" i="13176"/>
  <c r="I767" i="13176"/>
  <c r="Z767" i="13176"/>
  <c r="AP767" i="13176"/>
  <c r="C768" i="13176"/>
  <c r="T768" i="13176"/>
  <c r="AJ768" i="13176"/>
  <c r="BA768" i="13176"/>
  <c r="K772" i="13176"/>
  <c r="AB772" i="13176"/>
  <c r="AR772" i="13176"/>
  <c r="I775" i="13176"/>
  <c r="Z775" i="13176"/>
  <c r="AP775" i="13176"/>
  <c r="C776" i="13176"/>
  <c r="T776" i="13176"/>
  <c r="AJ776" i="13176"/>
  <c r="BA776" i="13176"/>
  <c r="L781" i="13176"/>
  <c r="AH781" i="13176"/>
  <c r="BD781" i="13176"/>
  <c r="S786" i="13176"/>
  <c r="BC801" i="13176"/>
  <c r="BA804" i="13176"/>
  <c r="AY807" i="13176"/>
  <c r="AH807" i="13176"/>
  <c r="Q807" i="13176"/>
  <c r="AX807" i="13176"/>
  <c r="AG807" i="13176"/>
  <c r="P807" i="13176"/>
  <c r="AW807" i="13176"/>
  <c r="AF807" i="13176"/>
  <c r="O807" i="13176"/>
  <c r="AV807" i="13176"/>
  <c r="AE807" i="13176"/>
  <c r="N807" i="13176"/>
  <c r="AU807" i="13176"/>
  <c r="AD807" i="13176"/>
  <c r="M807" i="13176"/>
  <c r="AT807" i="13176"/>
  <c r="AC807" i="13176"/>
  <c r="L807" i="13176"/>
  <c r="AR807" i="13176"/>
  <c r="AB807" i="13176"/>
  <c r="K807" i="13176"/>
  <c r="AQ807" i="13176"/>
  <c r="AA807" i="13176"/>
  <c r="J807" i="13176"/>
  <c r="AP807" i="13176"/>
  <c r="Z807" i="13176"/>
  <c r="I807" i="13176"/>
  <c r="AO807" i="13176"/>
  <c r="Y807" i="13176"/>
  <c r="H807" i="13176"/>
  <c r="AN807" i="13176"/>
  <c r="X807" i="13176"/>
  <c r="G807" i="13176"/>
  <c r="BD807" i="13176"/>
  <c r="AM807" i="13176"/>
  <c r="W807" i="13176"/>
  <c r="F807" i="13176"/>
  <c r="BC807" i="13176"/>
  <c r="AL807" i="13176"/>
  <c r="V807" i="13176"/>
  <c r="E807" i="13176"/>
  <c r="BB807" i="13176"/>
  <c r="AK807" i="13176"/>
  <c r="U807" i="13176"/>
  <c r="D807" i="13176"/>
  <c r="BA807" i="13176"/>
  <c r="AJ807" i="13176"/>
  <c r="T807" i="13176"/>
  <c r="C807" i="13176"/>
  <c r="AW810" i="13176"/>
  <c r="AU813" i="13176"/>
  <c r="AN834" i="13176"/>
  <c r="X834" i="13176"/>
  <c r="G834" i="13176"/>
  <c r="BD834" i="13176"/>
  <c r="AM834" i="13176"/>
  <c r="W834" i="13176"/>
  <c r="F834" i="13176"/>
  <c r="BC834" i="13176"/>
  <c r="AL834" i="13176"/>
  <c r="V834" i="13176"/>
  <c r="E834" i="13176"/>
  <c r="BB834" i="13176"/>
  <c r="AK834" i="13176"/>
  <c r="U834" i="13176"/>
  <c r="D834" i="13176"/>
  <c r="BA834" i="13176"/>
  <c r="AJ834" i="13176"/>
  <c r="T834" i="13176"/>
  <c r="C834" i="13176"/>
  <c r="AY834" i="13176"/>
  <c r="AH834" i="13176"/>
  <c r="Q834" i="13176"/>
  <c r="AW834" i="13176"/>
  <c r="AF834" i="13176"/>
  <c r="O834" i="13176"/>
  <c r="AV834" i="13176"/>
  <c r="AE834" i="13176"/>
  <c r="N834" i="13176"/>
  <c r="AU834" i="13176"/>
  <c r="AD834" i="13176"/>
  <c r="M834" i="13176"/>
  <c r="AT834" i="13176"/>
  <c r="AC834" i="13176"/>
  <c r="L834" i="13176"/>
  <c r="AR834" i="13176"/>
  <c r="AB834" i="13176"/>
  <c r="K834" i="13176"/>
  <c r="AP834" i="13176"/>
  <c r="Z834" i="13176"/>
  <c r="AZ834" i="13176"/>
  <c r="AX834" i="13176"/>
  <c r="AQ834" i="13176"/>
  <c r="AO834" i="13176"/>
  <c r="AI834" i="13176"/>
  <c r="AG834" i="13176"/>
  <c r="AA834" i="13176"/>
  <c r="Y834" i="13176"/>
  <c r="S834" i="13176"/>
  <c r="P834" i="13176"/>
  <c r="J834" i="13176"/>
  <c r="I834" i="13176"/>
  <c r="H834" i="13176"/>
  <c r="S747" i="13176"/>
  <c r="AI747" i="13176"/>
  <c r="AZ747" i="13176"/>
  <c r="J751" i="13176"/>
  <c r="AA751" i="13176"/>
  <c r="AQ751" i="13176"/>
  <c r="D752" i="13176"/>
  <c r="U752" i="13176"/>
  <c r="AK752" i="13176"/>
  <c r="BB752" i="13176"/>
  <c r="H754" i="13176"/>
  <c r="Y754" i="13176"/>
  <c r="AO754" i="13176"/>
  <c r="S755" i="13176"/>
  <c r="AI755" i="13176"/>
  <c r="AZ755" i="13176"/>
  <c r="L756" i="13176"/>
  <c r="AC756" i="13176"/>
  <c r="AT756" i="13176"/>
  <c r="J759" i="13176"/>
  <c r="AA759" i="13176"/>
  <c r="AQ759" i="13176"/>
  <c r="D760" i="13176"/>
  <c r="U760" i="13176"/>
  <c r="AK760" i="13176"/>
  <c r="BB760" i="13176"/>
  <c r="H762" i="13176"/>
  <c r="Y762" i="13176"/>
  <c r="AO762" i="13176"/>
  <c r="S763" i="13176"/>
  <c r="AI763" i="13176"/>
  <c r="AZ763" i="13176"/>
  <c r="L764" i="13176"/>
  <c r="AC764" i="13176"/>
  <c r="AT764" i="13176"/>
  <c r="F765" i="13176"/>
  <c r="W765" i="13176"/>
  <c r="AM765" i="13176"/>
  <c r="BD765" i="13176"/>
  <c r="P766" i="13176"/>
  <c r="AG766" i="13176"/>
  <c r="AX766" i="13176"/>
  <c r="J767" i="13176"/>
  <c r="AA767" i="13176"/>
  <c r="AQ767" i="13176"/>
  <c r="D768" i="13176"/>
  <c r="U768" i="13176"/>
  <c r="AK768" i="13176"/>
  <c r="BB768" i="13176"/>
  <c r="H770" i="13176"/>
  <c r="Y770" i="13176"/>
  <c r="AO770" i="13176"/>
  <c r="S771" i="13176"/>
  <c r="AI771" i="13176"/>
  <c r="AZ771" i="13176"/>
  <c r="L772" i="13176"/>
  <c r="AC772" i="13176"/>
  <c r="AT772" i="13176"/>
  <c r="F773" i="13176"/>
  <c r="W773" i="13176"/>
  <c r="AM773" i="13176"/>
  <c r="BD773" i="13176"/>
  <c r="P774" i="13176"/>
  <c r="AG774" i="13176"/>
  <c r="AX774" i="13176"/>
  <c r="J775" i="13176"/>
  <c r="AA775" i="13176"/>
  <c r="AQ775" i="13176"/>
  <c r="D776" i="13176"/>
  <c r="U776" i="13176"/>
  <c r="AK776" i="13176"/>
  <c r="BB776" i="13176"/>
  <c r="H778" i="13176"/>
  <c r="Y778" i="13176"/>
  <c r="AO778" i="13176"/>
  <c r="S779" i="13176"/>
  <c r="AI779" i="13176"/>
  <c r="AZ779" i="13176"/>
  <c r="L780" i="13176"/>
  <c r="AC780" i="13176"/>
  <c r="AU780" i="13176"/>
  <c r="N781" i="13176"/>
  <c r="AI781" i="13176"/>
  <c r="Z782" i="13176"/>
  <c r="AA783" i="13176"/>
  <c r="AR784" i="13176"/>
  <c r="T786" i="13176"/>
  <c r="AP787" i="13176"/>
  <c r="Z787" i="13176"/>
  <c r="I787" i="13176"/>
  <c r="AO787" i="13176"/>
  <c r="Y787" i="13176"/>
  <c r="H787" i="13176"/>
  <c r="AN787" i="13176"/>
  <c r="X787" i="13176"/>
  <c r="G787" i="13176"/>
  <c r="BD787" i="13176"/>
  <c r="AM787" i="13176"/>
  <c r="W787" i="13176"/>
  <c r="F787" i="13176"/>
  <c r="BC787" i="13176"/>
  <c r="AL787" i="13176"/>
  <c r="V787" i="13176"/>
  <c r="E787" i="13176"/>
  <c r="BA787" i="13176"/>
  <c r="AJ787" i="13176"/>
  <c r="T787" i="13176"/>
  <c r="C787" i="13176"/>
  <c r="AY787" i="13176"/>
  <c r="AH787" i="13176"/>
  <c r="AX787" i="13176"/>
  <c r="AG787" i="13176"/>
  <c r="P787" i="13176"/>
  <c r="AW787" i="13176"/>
  <c r="AF787" i="13176"/>
  <c r="O787" i="13176"/>
  <c r="AV787" i="13176"/>
  <c r="AE787" i="13176"/>
  <c r="N787" i="13176"/>
  <c r="AU787" i="13176"/>
  <c r="AD787" i="13176"/>
  <c r="M787" i="13176"/>
  <c r="AR787" i="13176"/>
  <c r="BB787" i="13176"/>
  <c r="AP795" i="13176"/>
  <c r="AN798" i="13176"/>
  <c r="S807" i="13176"/>
  <c r="AX826" i="13176"/>
  <c r="G741" i="13176"/>
  <c r="X741" i="13176"/>
  <c r="AN741" i="13176"/>
  <c r="Q742" i="13176"/>
  <c r="AH742" i="13176"/>
  <c r="AY742" i="13176"/>
  <c r="O745" i="13176"/>
  <c r="AF745" i="13176"/>
  <c r="AW745" i="13176"/>
  <c r="I746" i="13176"/>
  <c r="Z746" i="13176"/>
  <c r="AP746" i="13176"/>
  <c r="C747" i="13176"/>
  <c r="T747" i="13176"/>
  <c r="AJ747" i="13176"/>
  <c r="BA747" i="13176"/>
  <c r="G749" i="13176"/>
  <c r="X749" i="13176"/>
  <c r="AN749" i="13176"/>
  <c r="Q750" i="13176"/>
  <c r="AH750" i="13176"/>
  <c r="AY750" i="13176"/>
  <c r="K751" i="13176"/>
  <c r="AB751" i="13176"/>
  <c r="AR751" i="13176"/>
  <c r="E752" i="13176"/>
  <c r="V752" i="13176"/>
  <c r="AL752" i="13176"/>
  <c r="BC752" i="13176"/>
  <c r="AF753" i="13176"/>
  <c r="AW753" i="13176"/>
  <c r="I754" i="13176"/>
  <c r="Z754" i="13176"/>
  <c r="AP754" i="13176"/>
  <c r="C755" i="13176"/>
  <c r="T755" i="13176"/>
  <c r="AJ755" i="13176"/>
  <c r="BA755" i="13176"/>
  <c r="M756" i="13176"/>
  <c r="AD756" i="13176"/>
  <c r="AU756" i="13176"/>
  <c r="G757" i="13176"/>
  <c r="X757" i="13176"/>
  <c r="AN757" i="13176"/>
  <c r="Q758" i="13176"/>
  <c r="AH758" i="13176"/>
  <c r="AY758" i="13176"/>
  <c r="K759" i="13176"/>
  <c r="AB759" i="13176"/>
  <c r="AR759" i="13176"/>
  <c r="E760" i="13176"/>
  <c r="V760" i="13176"/>
  <c r="AL760" i="13176"/>
  <c r="BC760" i="13176"/>
  <c r="I762" i="13176"/>
  <c r="Z762" i="13176"/>
  <c r="AP762" i="13176"/>
  <c r="C763" i="13176"/>
  <c r="T763" i="13176"/>
  <c r="AJ763" i="13176"/>
  <c r="BA763" i="13176"/>
  <c r="M764" i="13176"/>
  <c r="AD764" i="13176"/>
  <c r="AU764" i="13176"/>
  <c r="G765" i="13176"/>
  <c r="X765" i="13176"/>
  <c r="AN765" i="13176"/>
  <c r="Q766" i="13176"/>
  <c r="AH766" i="13176"/>
  <c r="AY766" i="13176"/>
  <c r="K767" i="13176"/>
  <c r="AB767" i="13176"/>
  <c r="AR767" i="13176"/>
  <c r="E768" i="13176"/>
  <c r="V768" i="13176"/>
  <c r="AL768" i="13176"/>
  <c r="BC768" i="13176"/>
  <c r="I770" i="13176"/>
  <c r="Z770" i="13176"/>
  <c r="AP770" i="13176"/>
  <c r="M772" i="13176"/>
  <c r="AD772" i="13176"/>
  <c r="AU772" i="13176"/>
  <c r="G773" i="13176"/>
  <c r="X773" i="13176"/>
  <c r="AN773" i="13176"/>
  <c r="Q774" i="13176"/>
  <c r="AH774" i="13176"/>
  <c r="AY774" i="13176"/>
  <c r="K775" i="13176"/>
  <c r="AB775" i="13176"/>
  <c r="AR775" i="13176"/>
  <c r="E776" i="13176"/>
  <c r="V776" i="13176"/>
  <c r="AL776" i="13176"/>
  <c r="BC776" i="13176"/>
  <c r="I778" i="13176"/>
  <c r="Z778" i="13176"/>
  <c r="AP778" i="13176"/>
  <c r="O781" i="13176"/>
  <c r="AJ781" i="13176"/>
  <c r="AN782" i="13176"/>
  <c r="X782" i="13176"/>
  <c r="G782" i="13176"/>
  <c r="BC782" i="13176"/>
  <c r="AL782" i="13176"/>
  <c r="V782" i="13176"/>
  <c r="E782" i="13176"/>
  <c r="BB782" i="13176"/>
  <c r="AK782" i="13176"/>
  <c r="BA782" i="13176"/>
  <c r="AJ782" i="13176"/>
  <c r="T782" i="13176"/>
  <c r="C782" i="13176"/>
  <c r="AY782" i="13176"/>
  <c r="AH782" i="13176"/>
  <c r="Q782" i="13176"/>
  <c r="AV782" i="13176"/>
  <c r="AE782" i="13176"/>
  <c r="N782" i="13176"/>
  <c r="AU782" i="13176"/>
  <c r="AD782" i="13176"/>
  <c r="AA782" i="13176"/>
  <c r="X786" i="13176"/>
  <c r="AI807" i="13176"/>
  <c r="S742" i="13176"/>
  <c r="AI742" i="13176"/>
  <c r="AZ742" i="13176"/>
  <c r="J746" i="13176"/>
  <c r="AA746" i="13176"/>
  <c r="AQ746" i="13176"/>
  <c r="D747" i="13176"/>
  <c r="U747" i="13176"/>
  <c r="AK747" i="13176"/>
  <c r="BB747" i="13176"/>
  <c r="S750" i="13176"/>
  <c r="AI750" i="13176"/>
  <c r="AZ750" i="13176"/>
  <c r="L751" i="13176"/>
  <c r="AC751" i="13176"/>
  <c r="AT751" i="13176"/>
  <c r="F752" i="13176"/>
  <c r="W752" i="13176"/>
  <c r="AM752" i="13176"/>
  <c r="BD752" i="13176"/>
  <c r="J754" i="13176"/>
  <c r="AA754" i="13176"/>
  <c r="AQ754" i="13176"/>
  <c r="D755" i="13176"/>
  <c r="U755" i="13176"/>
  <c r="AK755" i="13176"/>
  <c r="BB755" i="13176"/>
  <c r="N756" i="13176"/>
  <c r="AE756" i="13176"/>
  <c r="AV756" i="13176"/>
  <c r="S758" i="13176"/>
  <c r="AI758" i="13176"/>
  <c r="AZ758" i="13176"/>
  <c r="L759" i="13176"/>
  <c r="AC759" i="13176"/>
  <c r="AT759" i="13176"/>
  <c r="F760" i="13176"/>
  <c r="W760" i="13176"/>
  <c r="AM760" i="13176"/>
  <c r="BD760" i="13176"/>
  <c r="J762" i="13176"/>
  <c r="AA762" i="13176"/>
  <c r="AQ762" i="13176"/>
  <c r="D763" i="13176"/>
  <c r="U763" i="13176"/>
  <c r="AK763" i="13176"/>
  <c r="BB763" i="13176"/>
  <c r="N764" i="13176"/>
  <c r="AE764" i="13176"/>
  <c r="AV764" i="13176"/>
  <c r="S766" i="13176"/>
  <c r="AI766" i="13176"/>
  <c r="AZ766" i="13176"/>
  <c r="L767" i="13176"/>
  <c r="AC767" i="13176"/>
  <c r="AT767" i="13176"/>
  <c r="F768" i="13176"/>
  <c r="W768" i="13176"/>
  <c r="AM768" i="13176"/>
  <c r="BD768" i="13176"/>
  <c r="J770" i="13176"/>
  <c r="AA770" i="13176"/>
  <c r="AQ770" i="13176"/>
  <c r="N772" i="13176"/>
  <c r="AE772" i="13176"/>
  <c r="AV772" i="13176"/>
  <c r="Y773" i="13176"/>
  <c r="AO773" i="13176"/>
  <c r="S774" i="13176"/>
  <c r="AI774" i="13176"/>
  <c r="AZ774" i="13176"/>
  <c r="L775" i="13176"/>
  <c r="AC775" i="13176"/>
  <c r="AT775" i="13176"/>
  <c r="F776" i="13176"/>
  <c r="W776" i="13176"/>
  <c r="AM776" i="13176"/>
  <c r="BD776" i="13176"/>
  <c r="J778" i="13176"/>
  <c r="AA778" i="13176"/>
  <c r="AQ778" i="13176"/>
  <c r="P781" i="13176"/>
  <c r="AK781" i="13176"/>
  <c r="D782" i="13176"/>
  <c r="AB782" i="13176"/>
  <c r="AY783" i="13176"/>
  <c r="AH783" i="13176"/>
  <c r="Q783" i="13176"/>
  <c r="AX783" i="13176"/>
  <c r="AG783" i="13176"/>
  <c r="P783" i="13176"/>
  <c r="AW783" i="13176"/>
  <c r="AF783" i="13176"/>
  <c r="O783" i="13176"/>
  <c r="AV783" i="13176"/>
  <c r="AE783" i="13176"/>
  <c r="N783" i="13176"/>
  <c r="AU783" i="13176"/>
  <c r="AD783" i="13176"/>
  <c r="M783" i="13176"/>
  <c r="AR783" i="13176"/>
  <c r="AB783" i="13176"/>
  <c r="K783" i="13176"/>
  <c r="AO783" i="13176"/>
  <c r="Y783" i="13176"/>
  <c r="H783" i="13176"/>
  <c r="AN783" i="13176"/>
  <c r="X783" i="13176"/>
  <c r="G783" i="13176"/>
  <c r="AI783" i="13176"/>
  <c r="Y786" i="13176"/>
  <c r="BA788" i="13176"/>
  <c r="AU789" i="13176"/>
  <c r="AZ807" i="13176"/>
  <c r="I741" i="13176"/>
  <c r="Z741" i="13176"/>
  <c r="AP741" i="13176"/>
  <c r="C742" i="13176"/>
  <c r="T742" i="13176"/>
  <c r="AJ742" i="13176"/>
  <c r="BA742" i="13176"/>
  <c r="Q745" i="13176"/>
  <c r="AH745" i="13176"/>
  <c r="AY745" i="13176"/>
  <c r="K746" i="13176"/>
  <c r="AB746" i="13176"/>
  <c r="AR746" i="13176"/>
  <c r="E747" i="13176"/>
  <c r="V747" i="13176"/>
  <c r="AL747" i="13176"/>
  <c r="BC747" i="13176"/>
  <c r="I749" i="13176"/>
  <c r="Z749" i="13176"/>
  <c r="AP749" i="13176"/>
  <c r="C750" i="13176"/>
  <c r="T750" i="13176"/>
  <c r="AJ750" i="13176"/>
  <c r="BA750" i="13176"/>
  <c r="M751" i="13176"/>
  <c r="AD751" i="13176"/>
  <c r="AU751" i="13176"/>
  <c r="G752" i="13176"/>
  <c r="X752" i="13176"/>
  <c r="AN752" i="13176"/>
  <c r="Q753" i="13176"/>
  <c r="AH753" i="13176"/>
  <c r="AY753" i="13176"/>
  <c r="K754" i="13176"/>
  <c r="AB754" i="13176"/>
  <c r="AR754" i="13176"/>
  <c r="E755" i="13176"/>
  <c r="V755" i="13176"/>
  <c r="AL755" i="13176"/>
  <c r="BC755" i="13176"/>
  <c r="O756" i="13176"/>
  <c r="AF756" i="13176"/>
  <c r="AW756" i="13176"/>
  <c r="I757" i="13176"/>
  <c r="Z757" i="13176"/>
  <c r="AP757" i="13176"/>
  <c r="C758" i="13176"/>
  <c r="T758" i="13176"/>
  <c r="AJ758" i="13176"/>
  <c r="BA758" i="13176"/>
  <c r="M759" i="13176"/>
  <c r="AD759" i="13176"/>
  <c r="AU759" i="13176"/>
  <c r="G760" i="13176"/>
  <c r="X760" i="13176"/>
  <c r="AN760" i="13176"/>
  <c r="Q761" i="13176"/>
  <c r="AH761" i="13176"/>
  <c r="AY761" i="13176"/>
  <c r="K762" i="13176"/>
  <c r="AB762" i="13176"/>
  <c r="AR762" i="13176"/>
  <c r="E763" i="13176"/>
  <c r="V763" i="13176"/>
  <c r="AL763" i="13176"/>
  <c r="BC763" i="13176"/>
  <c r="O764" i="13176"/>
  <c r="AF764" i="13176"/>
  <c r="AW764" i="13176"/>
  <c r="I765" i="13176"/>
  <c r="Z765" i="13176"/>
  <c r="AP765" i="13176"/>
  <c r="C766" i="13176"/>
  <c r="T766" i="13176"/>
  <c r="AJ766" i="13176"/>
  <c r="BA766" i="13176"/>
  <c r="M767" i="13176"/>
  <c r="AD767" i="13176"/>
  <c r="AU767" i="13176"/>
  <c r="G768" i="13176"/>
  <c r="X768" i="13176"/>
  <c r="AN768" i="13176"/>
  <c r="Q769" i="13176"/>
  <c r="AH769" i="13176"/>
  <c r="AY769" i="13176"/>
  <c r="K770" i="13176"/>
  <c r="AB770" i="13176"/>
  <c r="AR770" i="13176"/>
  <c r="E771" i="13176"/>
  <c r="V771" i="13176"/>
  <c r="AL771" i="13176"/>
  <c r="BC771" i="13176"/>
  <c r="O772" i="13176"/>
  <c r="AF772" i="13176"/>
  <c r="AW772" i="13176"/>
  <c r="I773" i="13176"/>
  <c r="Z773" i="13176"/>
  <c r="AP773" i="13176"/>
  <c r="C774" i="13176"/>
  <c r="T774" i="13176"/>
  <c r="AJ774" i="13176"/>
  <c r="BA774" i="13176"/>
  <c r="M775" i="13176"/>
  <c r="AD775" i="13176"/>
  <c r="AU775" i="13176"/>
  <c r="G776" i="13176"/>
  <c r="X776" i="13176"/>
  <c r="AN776" i="13176"/>
  <c r="Q777" i="13176"/>
  <c r="AH777" i="13176"/>
  <c r="AY777" i="13176"/>
  <c r="K778" i="13176"/>
  <c r="AB778" i="13176"/>
  <c r="AR778" i="13176"/>
  <c r="E779" i="13176"/>
  <c r="V779" i="13176"/>
  <c r="AL779" i="13176"/>
  <c r="BC779" i="13176"/>
  <c r="O780" i="13176"/>
  <c r="AF780" i="13176"/>
  <c r="AZ780" i="13176"/>
  <c r="Q781" i="13176"/>
  <c r="AL781" i="13176"/>
  <c r="F782" i="13176"/>
  <c r="AC782" i="13176"/>
  <c r="C783" i="13176"/>
  <c r="AJ783" i="13176"/>
  <c r="AA786" i="13176"/>
  <c r="K787" i="13176"/>
  <c r="BC817" i="13176"/>
  <c r="BA820" i="13176"/>
  <c r="AX823" i="13176"/>
  <c r="J741" i="13176"/>
  <c r="AA741" i="13176"/>
  <c r="AQ741" i="13176"/>
  <c r="D742" i="13176"/>
  <c r="U742" i="13176"/>
  <c r="AK742" i="13176"/>
  <c r="BB742" i="13176"/>
  <c r="S745" i="13176"/>
  <c r="AI745" i="13176"/>
  <c r="AZ745" i="13176"/>
  <c r="L746" i="13176"/>
  <c r="AC746" i="13176"/>
  <c r="AT746" i="13176"/>
  <c r="F747" i="13176"/>
  <c r="W747" i="13176"/>
  <c r="AM747" i="13176"/>
  <c r="BD747" i="13176"/>
  <c r="J749" i="13176"/>
  <c r="AA749" i="13176"/>
  <c r="AQ749" i="13176"/>
  <c r="D750" i="13176"/>
  <c r="U750" i="13176"/>
  <c r="AK750" i="13176"/>
  <c r="BB750" i="13176"/>
  <c r="N751" i="13176"/>
  <c r="AE751" i="13176"/>
  <c r="AV751" i="13176"/>
  <c r="H752" i="13176"/>
  <c r="Y752" i="13176"/>
  <c r="AO752" i="13176"/>
  <c r="S753" i="13176"/>
  <c r="AI753" i="13176"/>
  <c r="AZ753" i="13176"/>
  <c r="L754" i="13176"/>
  <c r="AC754" i="13176"/>
  <c r="AT754" i="13176"/>
  <c r="F755" i="13176"/>
  <c r="W755" i="13176"/>
  <c r="AM755" i="13176"/>
  <c r="BD755" i="13176"/>
  <c r="P756" i="13176"/>
  <c r="AG756" i="13176"/>
  <c r="AX756" i="13176"/>
  <c r="J757" i="13176"/>
  <c r="AA757" i="13176"/>
  <c r="AQ757" i="13176"/>
  <c r="D758" i="13176"/>
  <c r="U758" i="13176"/>
  <c r="AK758" i="13176"/>
  <c r="BB758" i="13176"/>
  <c r="N759" i="13176"/>
  <c r="AE759" i="13176"/>
  <c r="AV759" i="13176"/>
  <c r="H760" i="13176"/>
  <c r="Y760" i="13176"/>
  <c r="AO760" i="13176"/>
  <c r="S761" i="13176"/>
  <c r="AI761" i="13176"/>
  <c r="AZ761" i="13176"/>
  <c r="L762" i="13176"/>
  <c r="AC762" i="13176"/>
  <c r="AT762" i="13176"/>
  <c r="F763" i="13176"/>
  <c r="W763" i="13176"/>
  <c r="AM763" i="13176"/>
  <c r="BD763" i="13176"/>
  <c r="P764" i="13176"/>
  <c r="AG764" i="13176"/>
  <c r="AX764" i="13176"/>
  <c r="J765" i="13176"/>
  <c r="AA765" i="13176"/>
  <c r="AQ765" i="13176"/>
  <c r="D766" i="13176"/>
  <c r="U766" i="13176"/>
  <c r="AK766" i="13176"/>
  <c r="BB766" i="13176"/>
  <c r="N767" i="13176"/>
  <c r="AE767" i="13176"/>
  <c r="AV767" i="13176"/>
  <c r="H768" i="13176"/>
  <c r="Y768" i="13176"/>
  <c r="AO768" i="13176"/>
  <c r="S769" i="13176"/>
  <c r="AI769" i="13176"/>
  <c r="AZ769" i="13176"/>
  <c r="L770" i="13176"/>
  <c r="AC770" i="13176"/>
  <c r="AT770" i="13176"/>
  <c r="F771" i="13176"/>
  <c r="W771" i="13176"/>
  <c r="AM771" i="13176"/>
  <c r="BD771" i="13176"/>
  <c r="P772" i="13176"/>
  <c r="AG772" i="13176"/>
  <c r="AX772" i="13176"/>
  <c r="J773" i="13176"/>
  <c r="AA773" i="13176"/>
  <c r="AQ773" i="13176"/>
  <c r="D774" i="13176"/>
  <c r="U774" i="13176"/>
  <c r="AK774" i="13176"/>
  <c r="BB774" i="13176"/>
  <c r="N775" i="13176"/>
  <c r="AE775" i="13176"/>
  <c r="AV775" i="13176"/>
  <c r="H776" i="13176"/>
  <c r="Y776" i="13176"/>
  <c r="AO776" i="13176"/>
  <c r="S777" i="13176"/>
  <c r="AI777" i="13176"/>
  <c r="L778" i="13176"/>
  <c r="AC778" i="13176"/>
  <c r="AT778" i="13176"/>
  <c r="F779" i="13176"/>
  <c r="W779" i="13176"/>
  <c r="AM779" i="13176"/>
  <c r="BD779" i="13176"/>
  <c r="P780" i="13176"/>
  <c r="AG780" i="13176"/>
  <c r="BB780" i="13176"/>
  <c r="S781" i="13176"/>
  <c r="AM781" i="13176"/>
  <c r="H782" i="13176"/>
  <c r="AF782" i="13176"/>
  <c r="D783" i="13176"/>
  <c r="AK783" i="13176"/>
  <c r="AG786" i="13176"/>
  <c r="L787" i="13176"/>
  <c r="AR808" i="13176"/>
  <c r="AP811" i="13176"/>
  <c r="AN814" i="13176"/>
  <c r="BA827" i="13176"/>
  <c r="K741" i="13176"/>
  <c r="AB741" i="13176"/>
  <c r="E742" i="13176"/>
  <c r="V742" i="13176"/>
  <c r="AL742" i="13176"/>
  <c r="C745" i="13176"/>
  <c r="T745" i="13176"/>
  <c r="AJ745" i="13176"/>
  <c r="M746" i="13176"/>
  <c r="AD746" i="13176"/>
  <c r="G747" i="13176"/>
  <c r="X747" i="13176"/>
  <c r="K749" i="13176"/>
  <c r="AB749" i="13176"/>
  <c r="E750" i="13176"/>
  <c r="V750" i="13176"/>
  <c r="AL750" i="13176"/>
  <c r="O751" i="13176"/>
  <c r="AF751" i="13176"/>
  <c r="I752" i="13176"/>
  <c r="Z752" i="13176"/>
  <c r="C753" i="13176"/>
  <c r="T753" i="13176"/>
  <c r="AJ753" i="13176"/>
  <c r="M754" i="13176"/>
  <c r="AD754" i="13176"/>
  <c r="G755" i="13176"/>
  <c r="X755" i="13176"/>
  <c r="Q756" i="13176"/>
  <c r="AH756" i="13176"/>
  <c r="AY756" i="13176"/>
  <c r="K757" i="13176"/>
  <c r="AB757" i="13176"/>
  <c r="E758" i="13176"/>
  <c r="V758" i="13176"/>
  <c r="AL758" i="13176"/>
  <c r="O759" i="13176"/>
  <c r="AF759" i="13176"/>
  <c r="I760" i="13176"/>
  <c r="Z760" i="13176"/>
  <c r="C761" i="13176"/>
  <c r="T761" i="13176"/>
  <c r="AJ761" i="13176"/>
  <c r="M762" i="13176"/>
  <c r="AD762" i="13176"/>
  <c r="G763" i="13176"/>
  <c r="X763" i="13176"/>
  <c r="Q764" i="13176"/>
  <c r="AH764" i="13176"/>
  <c r="AY764" i="13176"/>
  <c r="K765" i="13176"/>
  <c r="AB765" i="13176"/>
  <c r="E766" i="13176"/>
  <c r="V766" i="13176"/>
  <c r="AL766" i="13176"/>
  <c r="O767" i="13176"/>
  <c r="AF767" i="13176"/>
  <c r="I768" i="13176"/>
  <c r="Z768" i="13176"/>
  <c r="C769" i="13176"/>
  <c r="T769" i="13176"/>
  <c r="AJ769" i="13176"/>
  <c r="M770" i="13176"/>
  <c r="AD770" i="13176"/>
  <c r="G771" i="13176"/>
  <c r="X771" i="13176"/>
  <c r="Q772" i="13176"/>
  <c r="AH772" i="13176"/>
  <c r="AY772" i="13176"/>
  <c r="K773" i="13176"/>
  <c r="AB773" i="13176"/>
  <c r="AR773" i="13176"/>
  <c r="E774" i="13176"/>
  <c r="V774" i="13176"/>
  <c r="AL774" i="13176"/>
  <c r="BC774" i="13176"/>
  <c r="O775" i="13176"/>
  <c r="AF775" i="13176"/>
  <c r="AW775" i="13176"/>
  <c r="I776" i="13176"/>
  <c r="Z776" i="13176"/>
  <c r="AP776" i="13176"/>
  <c r="M778" i="13176"/>
  <c r="AD778" i="13176"/>
  <c r="AU778" i="13176"/>
  <c r="Q780" i="13176"/>
  <c r="AH780" i="13176"/>
  <c r="T781" i="13176"/>
  <c r="AO781" i="13176"/>
  <c r="I782" i="13176"/>
  <c r="AG782" i="13176"/>
  <c r="E783" i="13176"/>
  <c r="AL783" i="13176"/>
  <c r="AH786" i="13176"/>
  <c r="AY791" i="13176"/>
  <c r="AH791" i="13176"/>
  <c r="Q791" i="13176"/>
  <c r="AX791" i="13176"/>
  <c r="AG791" i="13176"/>
  <c r="P791" i="13176"/>
  <c r="AW791" i="13176"/>
  <c r="AF791" i="13176"/>
  <c r="O791" i="13176"/>
  <c r="AV791" i="13176"/>
  <c r="AE791" i="13176"/>
  <c r="N791" i="13176"/>
  <c r="AU791" i="13176"/>
  <c r="AD791" i="13176"/>
  <c r="M791" i="13176"/>
  <c r="AT791" i="13176"/>
  <c r="AC791" i="13176"/>
  <c r="L791" i="13176"/>
  <c r="AR791" i="13176"/>
  <c r="AB791" i="13176"/>
  <c r="K791" i="13176"/>
  <c r="AQ791" i="13176"/>
  <c r="AA791" i="13176"/>
  <c r="J791" i="13176"/>
  <c r="AP791" i="13176"/>
  <c r="Z791" i="13176"/>
  <c r="I791" i="13176"/>
  <c r="AO791" i="13176"/>
  <c r="Y791" i="13176"/>
  <c r="H791" i="13176"/>
  <c r="AN791" i="13176"/>
  <c r="X791" i="13176"/>
  <c r="G791" i="13176"/>
  <c r="BD791" i="13176"/>
  <c r="AM791" i="13176"/>
  <c r="W791" i="13176"/>
  <c r="F791" i="13176"/>
  <c r="BC791" i="13176"/>
  <c r="AL791" i="13176"/>
  <c r="V791" i="13176"/>
  <c r="E791" i="13176"/>
  <c r="BA791" i="13176"/>
  <c r="AJ791" i="13176"/>
  <c r="T791" i="13176"/>
  <c r="C791" i="13176"/>
  <c r="BC793" i="13176"/>
  <c r="BA796" i="13176"/>
  <c r="AY799" i="13176"/>
  <c r="AH799" i="13176"/>
  <c r="Q799" i="13176"/>
  <c r="AX799" i="13176"/>
  <c r="AG799" i="13176"/>
  <c r="P799" i="13176"/>
  <c r="AW799" i="13176"/>
  <c r="AF799" i="13176"/>
  <c r="O799" i="13176"/>
  <c r="AV799" i="13176"/>
  <c r="AE799" i="13176"/>
  <c r="N799" i="13176"/>
  <c r="AU799" i="13176"/>
  <c r="AD799" i="13176"/>
  <c r="M799" i="13176"/>
  <c r="AT799" i="13176"/>
  <c r="AC799" i="13176"/>
  <c r="L799" i="13176"/>
  <c r="AR799" i="13176"/>
  <c r="AB799" i="13176"/>
  <c r="K799" i="13176"/>
  <c r="AQ799" i="13176"/>
  <c r="AA799" i="13176"/>
  <c r="J799" i="13176"/>
  <c r="AP799" i="13176"/>
  <c r="Z799" i="13176"/>
  <c r="I799" i="13176"/>
  <c r="AO799" i="13176"/>
  <c r="Y799" i="13176"/>
  <c r="H799" i="13176"/>
  <c r="AN799" i="13176"/>
  <c r="X799" i="13176"/>
  <c r="G799" i="13176"/>
  <c r="BD799" i="13176"/>
  <c r="AM799" i="13176"/>
  <c r="W799" i="13176"/>
  <c r="F799" i="13176"/>
  <c r="BC799" i="13176"/>
  <c r="AL799" i="13176"/>
  <c r="V799" i="13176"/>
  <c r="E799" i="13176"/>
  <c r="BB799" i="13176"/>
  <c r="AK799" i="13176"/>
  <c r="U799" i="13176"/>
  <c r="D799" i="13176"/>
  <c r="BA799" i="13176"/>
  <c r="AJ799" i="13176"/>
  <c r="T799" i="13176"/>
  <c r="C799" i="13176"/>
  <c r="AW802" i="13176"/>
  <c r="AU805" i="13176"/>
  <c r="AE831" i="13176"/>
  <c r="S756" i="13176"/>
  <c r="AI756" i="13176"/>
  <c r="S764" i="13176"/>
  <c r="AI764" i="13176"/>
  <c r="S772" i="13176"/>
  <c r="AI772" i="13176"/>
  <c r="L773" i="13176"/>
  <c r="AC773" i="13176"/>
  <c r="F774" i="13176"/>
  <c r="W774" i="13176"/>
  <c r="AM774" i="13176"/>
  <c r="P775" i="13176"/>
  <c r="AG775" i="13176"/>
  <c r="J776" i="13176"/>
  <c r="AA776" i="13176"/>
  <c r="N778" i="13176"/>
  <c r="AE778" i="13176"/>
  <c r="BA780" i="13176"/>
  <c r="AJ780" i="13176"/>
  <c r="AY780" i="13176"/>
  <c r="AW780" i="13176"/>
  <c r="S780" i="13176"/>
  <c r="AI780" i="13176"/>
  <c r="BD780" i="13176"/>
  <c r="U781" i="13176"/>
  <c r="AQ781" i="13176"/>
  <c r="J782" i="13176"/>
  <c r="AI782" i="13176"/>
  <c r="F783" i="13176"/>
  <c r="AM783" i="13176"/>
  <c r="AI786" i="13176"/>
  <c r="S787" i="13176"/>
  <c r="D791" i="13176"/>
  <c r="S799" i="13176"/>
  <c r="I790" i="13176"/>
  <c r="Z790" i="13176"/>
  <c r="AP790" i="13176"/>
  <c r="Q794" i="13176"/>
  <c r="AH794" i="13176"/>
  <c r="AY794" i="13176"/>
  <c r="K795" i="13176"/>
  <c r="AB795" i="13176"/>
  <c r="AR795" i="13176"/>
  <c r="I798" i="13176"/>
  <c r="Z798" i="13176"/>
  <c r="AP798" i="13176"/>
  <c r="Q802" i="13176"/>
  <c r="AH802" i="13176"/>
  <c r="AY802" i="13176"/>
  <c r="K803" i="13176"/>
  <c r="AB803" i="13176"/>
  <c r="AR803" i="13176"/>
  <c r="Z806" i="13176"/>
  <c r="AP806" i="13176"/>
  <c r="Q810" i="13176"/>
  <c r="AH810" i="13176"/>
  <c r="AY810" i="13176"/>
  <c r="K811" i="13176"/>
  <c r="AB811" i="13176"/>
  <c r="AR811" i="13176"/>
  <c r="Q818" i="13176"/>
  <c r="AH818" i="13176"/>
  <c r="AY818" i="13176"/>
  <c r="K819" i="13176"/>
  <c r="AB819" i="13176"/>
  <c r="AR819" i="13176"/>
  <c r="U831" i="13176"/>
  <c r="BB831" i="13176"/>
  <c r="S794" i="13176"/>
  <c r="AI794" i="13176"/>
  <c r="AZ794" i="13176"/>
  <c r="S802" i="13176"/>
  <c r="AI802" i="13176"/>
  <c r="AZ802" i="13176"/>
  <c r="S810" i="13176"/>
  <c r="AI810" i="13176"/>
  <c r="AZ810" i="13176"/>
  <c r="AC811" i="13176"/>
  <c r="AT811" i="13176"/>
  <c r="S818" i="13176"/>
  <c r="AI818" i="13176"/>
  <c r="AZ818" i="13176"/>
  <c r="L819" i="13176"/>
  <c r="AC819" i="13176"/>
  <c r="AT819" i="13176"/>
  <c r="AR828" i="13176"/>
  <c r="AB828" i="13176"/>
  <c r="K828" i="13176"/>
  <c r="AQ828" i="13176"/>
  <c r="AA828" i="13176"/>
  <c r="J828" i="13176"/>
  <c r="AP828" i="13176"/>
  <c r="Z828" i="13176"/>
  <c r="I828" i="13176"/>
  <c r="AN828" i="13176"/>
  <c r="X828" i="13176"/>
  <c r="G828" i="13176"/>
  <c r="BC828" i="13176"/>
  <c r="AL828" i="13176"/>
  <c r="V828" i="13176"/>
  <c r="E828" i="13176"/>
  <c r="AY828" i="13176"/>
  <c r="AH828" i="13176"/>
  <c r="Q828" i="13176"/>
  <c r="AD828" i="13176"/>
  <c r="BB828" i="13176"/>
  <c r="Y829" i="13176"/>
  <c r="AX829" i="13176"/>
  <c r="AA831" i="13176"/>
  <c r="AR860" i="13176"/>
  <c r="AP863" i="13176"/>
  <c r="BB866" i="13176"/>
  <c r="K790" i="13176"/>
  <c r="AB790" i="13176"/>
  <c r="AR790" i="13176"/>
  <c r="C794" i="13176"/>
  <c r="T794" i="13176"/>
  <c r="AJ794" i="13176"/>
  <c r="BA794" i="13176"/>
  <c r="M795" i="13176"/>
  <c r="AD795" i="13176"/>
  <c r="AU795" i="13176"/>
  <c r="K798" i="13176"/>
  <c r="AB798" i="13176"/>
  <c r="AR798" i="13176"/>
  <c r="C802" i="13176"/>
  <c r="T802" i="13176"/>
  <c r="AJ802" i="13176"/>
  <c r="BA802" i="13176"/>
  <c r="M803" i="13176"/>
  <c r="AD803" i="13176"/>
  <c r="AU803" i="13176"/>
  <c r="C810" i="13176"/>
  <c r="T810" i="13176"/>
  <c r="AJ810" i="13176"/>
  <c r="BA810" i="13176"/>
  <c r="M811" i="13176"/>
  <c r="AD811" i="13176"/>
  <c r="AU811" i="13176"/>
  <c r="C818" i="13176"/>
  <c r="T818" i="13176"/>
  <c r="AJ818" i="13176"/>
  <c r="BA818" i="13176"/>
  <c r="AB831" i="13176"/>
  <c r="BA832" i="13176"/>
  <c r="BC845" i="13176"/>
  <c r="BA848" i="13176"/>
  <c r="AY851" i="13176"/>
  <c r="AH851" i="13176"/>
  <c r="Q851" i="13176"/>
  <c r="AX851" i="13176"/>
  <c r="AG851" i="13176"/>
  <c r="P851" i="13176"/>
  <c r="AW851" i="13176"/>
  <c r="AF851" i="13176"/>
  <c r="O851" i="13176"/>
  <c r="AV851" i="13176"/>
  <c r="AE851" i="13176"/>
  <c r="N851" i="13176"/>
  <c r="AU851" i="13176"/>
  <c r="AD851" i="13176"/>
  <c r="M851" i="13176"/>
  <c r="AT851" i="13176"/>
  <c r="AC851" i="13176"/>
  <c r="L851" i="13176"/>
  <c r="AR851" i="13176"/>
  <c r="AB851" i="13176"/>
  <c r="K851" i="13176"/>
  <c r="AQ851" i="13176"/>
  <c r="AA851" i="13176"/>
  <c r="J851" i="13176"/>
  <c r="AP851" i="13176"/>
  <c r="Z851" i="13176"/>
  <c r="I851" i="13176"/>
  <c r="AO851" i="13176"/>
  <c r="Y851" i="13176"/>
  <c r="H851" i="13176"/>
  <c r="AN851" i="13176"/>
  <c r="X851" i="13176"/>
  <c r="G851" i="13176"/>
  <c r="BD851" i="13176"/>
  <c r="AM851" i="13176"/>
  <c r="W851" i="13176"/>
  <c r="F851" i="13176"/>
  <c r="BC851" i="13176"/>
  <c r="AL851" i="13176"/>
  <c r="V851" i="13176"/>
  <c r="E851" i="13176"/>
  <c r="BB851" i="13176"/>
  <c r="AK851" i="13176"/>
  <c r="U851" i="13176"/>
  <c r="D851" i="13176"/>
  <c r="BA851" i="13176"/>
  <c r="AJ851" i="13176"/>
  <c r="T851" i="13176"/>
  <c r="C851" i="13176"/>
  <c r="AW854" i="13176"/>
  <c r="AU857" i="13176"/>
  <c r="AC913" i="13176"/>
  <c r="S789" i="13176"/>
  <c r="AI789" i="13176"/>
  <c r="AZ789" i="13176"/>
  <c r="L790" i="13176"/>
  <c r="AC790" i="13176"/>
  <c r="AT790" i="13176"/>
  <c r="D794" i="13176"/>
  <c r="U794" i="13176"/>
  <c r="AK794" i="13176"/>
  <c r="BB794" i="13176"/>
  <c r="N795" i="13176"/>
  <c r="AE795" i="13176"/>
  <c r="AV795" i="13176"/>
  <c r="S797" i="13176"/>
  <c r="AI797" i="13176"/>
  <c r="AZ797" i="13176"/>
  <c r="L798" i="13176"/>
  <c r="AC798" i="13176"/>
  <c r="AT798" i="13176"/>
  <c r="D802" i="13176"/>
  <c r="U802" i="13176"/>
  <c r="AK802" i="13176"/>
  <c r="BB802" i="13176"/>
  <c r="N803" i="13176"/>
  <c r="AE803" i="13176"/>
  <c r="AV803" i="13176"/>
  <c r="S805" i="13176"/>
  <c r="AI805" i="13176"/>
  <c r="AZ805" i="13176"/>
  <c r="L806" i="13176"/>
  <c r="AC806" i="13176"/>
  <c r="AT806" i="13176"/>
  <c r="D810" i="13176"/>
  <c r="U810" i="13176"/>
  <c r="AK810" i="13176"/>
  <c r="BB810" i="13176"/>
  <c r="N811" i="13176"/>
  <c r="AE811" i="13176"/>
  <c r="AV811" i="13176"/>
  <c r="S813" i="13176"/>
  <c r="AI813" i="13176"/>
  <c r="AZ813" i="13176"/>
  <c r="L814" i="13176"/>
  <c r="AC814" i="13176"/>
  <c r="AT814" i="13176"/>
  <c r="D818" i="13176"/>
  <c r="U818" i="13176"/>
  <c r="AK818" i="13176"/>
  <c r="BB818" i="13176"/>
  <c r="N819" i="13176"/>
  <c r="AE819" i="13176"/>
  <c r="AV819" i="13176"/>
  <c r="S821" i="13176"/>
  <c r="AI821" i="13176"/>
  <c r="AZ821" i="13176"/>
  <c r="L822" i="13176"/>
  <c r="AC822" i="13176"/>
  <c r="AY822" i="13176"/>
  <c r="Q823" i="13176"/>
  <c r="AQ823" i="13176"/>
  <c r="Y825" i="13176"/>
  <c r="D828" i="13176"/>
  <c r="AF828" i="13176"/>
  <c r="AA829" i="13176"/>
  <c r="AC831" i="13176"/>
  <c r="AP839" i="13176"/>
  <c r="AN842" i="13176"/>
  <c r="S851" i="13176"/>
  <c r="AH784" i="13176"/>
  <c r="AY784" i="13176"/>
  <c r="K785" i="13176"/>
  <c r="AB785" i="13176"/>
  <c r="AR785" i="13176"/>
  <c r="I788" i="13176"/>
  <c r="Z788" i="13176"/>
  <c r="AP788" i="13176"/>
  <c r="C789" i="13176"/>
  <c r="T789" i="13176"/>
  <c r="AJ789" i="13176"/>
  <c r="BA789" i="13176"/>
  <c r="M790" i="13176"/>
  <c r="AD790" i="13176"/>
  <c r="AU790" i="13176"/>
  <c r="E794" i="13176"/>
  <c r="V794" i="13176"/>
  <c r="AL794" i="13176"/>
  <c r="BC794" i="13176"/>
  <c r="O795" i="13176"/>
  <c r="AF795" i="13176"/>
  <c r="AW795" i="13176"/>
  <c r="AP796" i="13176"/>
  <c r="C797" i="13176"/>
  <c r="T797" i="13176"/>
  <c r="AJ797" i="13176"/>
  <c r="BA797" i="13176"/>
  <c r="M798" i="13176"/>
  <c r="AD798" i="13176"/>
  <c r="AU798" i="13176"/>
  <c r="E802" i="13176"/>
  <c r="V802" i="13176"/>
  <c r="AL802" i="13176"/>
  <c r="BC802" i="13176"/>
  <c r="O803" i="13176"/>
  <c r="AF803" i="13176"/>
  <c r="AW803" i="13176"/>
  <c r="C805" i="13176"/>
  <c r="T805" i="13176"/>
  <c r="AJ805" i="13176"/>
  <c r="BA805" i="13176"/>
  <c r="M806" i="13176"/>
  <c r="AD806" i="13176"/>
  <c r="AU806" i="13176"/>
  <c r="E810" i="13176"/>
  <c r="V810" i="13176"/>
  <c r="AL810" i="13176"/>
  <c r="BC810" i="13176"/>
  <c r="O811" i="13176"/>
  <c r="AF811" i="13176"/>
  <c r="AW811" i="13176"/>
  <c r="C813" i="13176"/>
  <c r="T813" i="13176"/>
  <c r="AJ813" i="13176"/>
  <c r="BA813" i="13176"/>
  <c r="M814" i="13176"/>
  <c r="AD814" i="13176"/>
  <c r="AU814" i="13176"/>
  <c r="E818" i="13176"/>
  <c r="V818" i="13176"/>
  <c r="AL818" i="13176"/>
  <c r="BC818" i="13176"/>
  <c r="O819" i="13176"/>
  <c r="AF819" i="13176"/>
  <c r="AW819" i="13176"/>
  <c r="AU825" i="13176"/>
  <c r="AD825" i="13176"/>
  <c r="M825" i="13176"/>
  <c r="AR825" i="13176"/>
  <c r="AB825" i="13176"/>
  <c r="K825" i="13176"/>
  <c r="AP825" i="13176"/>
  <c r="Z825" i="13176"/>
  <c r="I825" i="13176"/>
  <c r="AN825" i="13176"/>
  <c r="X825" i="13176"/>
  <c r="G825" i="13176"/>
  <c r="BA825" i="13176"/>
  <c r="AJ825" i="13176"/>
  <c r="T825" i="13176"/>
  <c r="C825" i="13176"/>
  <c r="AA825" i="13176"/>
  <c r="AY825" i="13176"/>
  <c r="F828" i="13176"/>
  <c r="AG828" i="13176"/>
  <c r="BC829" i="13176"/>
  <c r="AL829" i="13176"/>
  <c r="V829" i="13176"/>
  <c r="E829" i="13176"/>
  <c r="BB829" i="13176"/>
  <c r="AK829" i="13176"/>
  <c r="U829" i="13176"/>
  <c r="D829" i="13176"/>
  <c r="BA829" i="13176"/>
  <c r="AJ829" i="13176"/>
  <c r="T829" i="13176"/>
  <c r="C829" i="13176"/>
  <c r="AY829" i="13176"/>
  <c r="AH829" i="13176"/>
  <c r="Q829" i="13176"/>
  <c r="AW829" i="13176"/>
  <c r="AF829" i="13176"/>
  <c r="O829" i="13176"/>
  <c r="AR829" i="13176"/>
  <c r="AB829" i="13176"/>
  <c r="K829" i="13176"/>
  <c r="AC829" i="13176"/>
  <c r="AD831" i="13176"/>
  <c r="BC837" i="13176"/>
  <c r="AI851" i="13176"/>
  <c r="S784" i="13176"/>
  <c r="AI784" i="13176"/>
  <c r="AZ784" i="13176"/>
  <c r="L785" i="13176"/>
  <c r="AC785" i="13176"/>
  <c r="AT785" i="13176"/>
  <c r="J788" i="13176"/>
  <c r="AA788" i="13176"/>
  <c r="AQ788" i="13176"/>
  <c r="D789" i="13176"/>
  <c r="U789" i="13176"/>
  <c r="AK789" i="13176"/>
  <c r="BB789" i="13176"/>
  <c r="N790" i="13176"/>
  <c r="AE790" i="13176"/>
  <c r="AV790" i="13176"/>
  <c r="S792" i="13176"/>
  <c r="AI792" i="13176"/>
  <c r="AZ792" i="13176"/>
  <c r="L793" i="13176"/>
  <c r="AC793" i="13176"/>
  <c r="AT793" i="13176"/>
  <c r="F794" i="13176"/>
  <c r="W794" i="13176"/>
  <c r="AM794" i="13176"/>
  <c r="BD794" i="13176"/>
  <c r="P795" i="13176"/>
  <c r="AG795" i="13176"/>
  <c r="AX795" i="13176"/>
  <c r="J796" i="13176"/>
  <c r="AA796" i="13176"/>
  <c r="AQ796" i="13176"/>
  <c r="D797" i="13176"/>
  <c r="U797" i="13176"/>
  <c r="AK797" i="13176"/>
  <c r="BB797" i="13176"/>
  <c r="N798" i="13176"/>
  <c r="AE798" i="13176"/>
  <c r="AV798" i="13176"/>
  <c r="S800" i="13176"/>
  <c r="AI800" i="13176"/>
  <c r="AZ800" i="13176"/>
  <c r="AC801" i="13176"/>
  <c r="AT801" i="13176"/>
  <c r="F802" i="13176"/>
  <c r="W802" i="13176"/>
  <c r="AM802" i="13176"/>
  <c r="BD802" i="13176"/>
  <c r="P803" i="13176"/>
  <c r="AG803" i="13176"/>
  <c r="AX803" i="13176"/>
  <c r="J804" i="13176"/>
  <c r="AA804" i="13176"/>
  <c r="AQ804" i="13176"/>
  <c r="D805" i="13176"/>
  <c r="U805" i="13176"/>
  <c r="AK805" i="13176"/>
  <c r="BB805" i="13176"/>
  <c r="N806" i="13176"/>
  <c r="AE806" i="13176"/>
  <c r="AV806" i="13176"/>
  <c r="S808" i="13176"/>
  <c r="AI808" i="13176"/>
  <c r="AZ808" i="13176"/>
  <c r="F810" i="13176"/>
  <c r="W810" i="13176"/>
  <c r="AM810" i="13176"/>
  <c r="BD810" i="13176"/>
  <c r="P811" i="13176"/>
  <c r="AG811" i="13176"/>
  <c r="AX811" i="13176"/>
  <c r="D813" i="13176"/>
  <c r="U813" i="13176"/>
  <c r="AK813" i="13176"/>
  <c r="BB813" i="13176"/>
  <c r="N814" i="13176"/>
  <c r="AE814" i="13176"/>
  <c r="AV814" i="13176"/>
  <c r="S816" i="13176"/>
  <c r="AI816" i="13176"/>
  <c r="AZ816" i="13176"/>
  <c r="F818" i="13176"/>
  <c r="W818" i="13176"/>
  <c r="AM818" i="13176"/>
  <c r="BD818" i="13176"/>
  <c r="P819" i="13176"/>
  <c r="AG819" i="13176"/>
  <c r="AX819" i="13176"/>
  <c r="AQ820" i="13176"/>
  <c r="D821" i="13176"/>
  <c r="U821" i="13176"/>
  <c r="AK821" i="13176"/>
  <c r="BB821" i="13176"/>
  <c r="N822" i="13176"/>
  <c r="AE822" i="13176"/>
  <c r="BA822" i="13176"/>
  <c r="U823" i="13176"/>
  <c r="AT823" i="13176"/>
  <c r="D825" i="13176"/>
  <c r="AC825" i="13176"/>
  <c r="AZ825" i="13176"/>
  <c r="S826" i="13176"/>
  <c r="AR826" i="13176"/>
  <c r="H828" i="13176"/>
  <c r="AI828" i="13176"/>
  <c r="F829" i="13176"/>
  <c r="AD829" i="13176"/>
  <c r="AW830" i="13176"/>
  <c r="AF830" i="13176"/>
  <c r="O830" i="13176"/>
  <c r="AV830" i="13176"/>
  <c r="AE830" i="13176"/>
  <c r="N830" i="13176"/>
  <c r="AU830" i="13176"/>
  <c r="AD830" i="13176"/>
  <c r="M830" i="13176"/>
  <c r="AT830" i="13176"/>
  <c r="AC830" i="13176"/>
  <c r="AR830" i="13176"/>
  <c r="AB830" i="13176"/>
  <c r="K830" i="13176"/>
  <c r="AP830" i="13176"/>
  <c r="Z830" i="13176"/>
  <c r="I830" i="13176"/>
  <c r="BC830" i="13176"/>
  <c r="AL830" i="13176"/>
  <c r="V830" i="13176"/>
  <c r="E830" i="13176"/>
  <c r="AA830" i="13176"/>
  <c r="AZ851" i="13176"/>
  <c r="BB871" i="13176"/>
  <c r="BD900" i="13176"/>
  <c r="O790" i="13176"/>
  <c r="AF790" i="13176"/>
  <c r="AW790" i="13176"/>
  <c r="G794" i="13176"/>
  <c r="X794" i="13176"/>
  <c r="AN794" i="13176"/>
  <c r="Q795" i="13176"/>
  <c r="AH795" i="13176"/>
  <c r="AY795" i="13176"/>
  <c r="O798" i="13176"/>
  <c r="AF798" i="13176"/>
  <c r="AW798" i="13176"/>
  <c r="G802" i="13176"/>
  <c r="X802" i="13176"/>
  <c r="AN802" i="13176"/>
  <c r="Q803" i="13176"/>
  <c r="AH803" i="13176"/>
  <c r="AY803" i="13176"/>
  <c r="G810" i="13176"/>
  <c r="X810" i="13176"/>
  <c r="AN810" i="13176"/>
  <c r="AP831" i="13176"/>
  <c r="Z831" i="13176"/>
  <c r="I831" i="13176"/>
  <c r="AO831" i="13176"/>
  <c r="Y831" i="13176"/>
  <c r="H831" i="13176"/>
  <c r="AN831" i="13176"/>
  <c r="X831" i="13176"/>
  <c r="G831" i="13176"/>
  <c r="BD831" i="13176"/>
  <c r="AM831" i="13176"/>
  <c r="W831" i="13176"/>
  <c r="F831" i="13176"/>
  <c r="BC831" i="13176"/>
  <c r="AL831" i="13176"/>
  <c r="V831" i="13176"/>
  <c r="E831" i="13176"/>
  <c r="BA831" i="13176"/>
  <c r="AJ831" i="13176"/>
  <c r="T831" i="13176"/>
  <c r="C831" i="13176"/>
  <c r="AY831" i="13176"/>
  <c r="AW831" i="13176"/>
  <c r="AF831" i="13176"/>
  <c r="O831" i="13176"/>
  <c r="AU831" i="13176"/>
  <c r="AG831" i="13176"/>
  <c r="BC861" i="13176"/>
  <c r="BA864" i="13176"/>
  <c r="AO867" i="13176"/>
  <c r="P790" i="13176"/>
  <c r="AG790" i="13176"/>
  <c r="AX790" i="13176"/>
  <c r="H794" i="13176"/>
  <c r="Y794" i="13176"/>
  <c r="AO794" i="13176"/>
  <c r="S795" i="13176"/>
  <c r="AI795" i="13176"/>
  <c r="AZ795" i="13176"/>
  <c r="AG798" i="13176"/>
  <c r="AX798" i="13176"/>
  <c r="H802" i="13176"/>
  <c r="Y802" i="13176"/>
  <c r="AO802" i="13176"/>
  <c r="S803" i="13176"/>
  <c r="AI803" i="13176"/>
  <c r="AZ803" i="13176"/>
  <c r="H810" i="13176"/>
  <c r="Y810" i="13176"/>
  <c r="AO810" i="13176"/>
  <c r="S811" i="13176"/>
  <c r="AI811" i="13176"/>
  <c r="AZ811" i="13176"/>
  <c r="H818" i="13176"/>
  <c r="Y818" i="13176"/>
  <c r="AO818" i="13176"/>
  <c r="S819" i="13176"/>
  <c r="AI819" i="13176"/>
  <c r="AZ819" i="13176"/>
  <c r="F821" i="13176"/>
  <c r="W821" i="13176"/>
  <c r="AM821" i="13176"/>
  <c r="BD821" i="13176"/>
  <c r="P822" i="13176"/>
  <c r="AG822" i="13176"/>
  <c r="BD822" i="13176"/>
  <c r="F825" i="13176"/>
  <c r="AF825" i="13176"/>
  <c r="BC825" i="13176"/>
  <c r="M828" i="13176"/>
  <c r="AK828" i="13176"/>
  <c r="H829" i="13176"/>
  <c r="AG829" i="13176"/>
  <c r="D831" i="13176"/>
  <c r="AH831" i="13176"/>
  <c r="AR852" i="13176"/>
  <c r="AP855" i="13176"/>
  <c r="AN858" i="13176"/>
  <c r="E784" i="13176"/>
  <c r="V784" i="13176"/>
  <c r="AL784" i="13176"/>
  <c r="BC784" i="13176"/>
  <c r="O785" i="13176"/>
  <c r="AF785" i="13176"/>
  <c r="AW785" i="13176"/>
  <c r="M788" i="13176"/>
  <c r="AD788" i="13176"/>
  <c r="AU788" i="13176"/>
  <c r="G789" i="13176"/>
  <c r="X789" i="13176"/>
  <c r="AN789" i="13176"/>
  <c r="Q790" i="13176"/>
  <c r="AH790" i="13176"/>
  <c r="AY790" i="13176"/>
  <c r="E792" i="13176"/>
  <c r="V792" i="13176"/>
  <c r="AL792" i="13176"/>
  <c r="BC792" i="13176"/>
  <c r="O793" i="13176"/>
  <c r="AF793" i="13176"/>
  <c r="AW793" i="13176"/>
  <c r="I794" i="13176"/>
  <c r="Z794" i="13176"/>
  <c r="AP794" i="13176"/>
  <c r="C795" i="13176"/>
  <c r="T795" i="13176"/>
  <c r="AJ795" i="13176"/>
  <c r="BA795" i="13176"/>
  <c r="M796" i="13176"/>
  <c r="AD796" i="13176"/>
  <c r="AU796" i="13176"/>
  <c r="G797" i="13176"/>
  <c r="X797" i="13176"/>
  <c r="AN797" i="13176"/>
  <c r="Q798" i="13176"/>
  <c r="AH798" i="13176"/>
  <c r="AY798" i="13176"/>
  <c r="E800" i="13176"/>
  <c r="V800" i="13176"/>
  <c r="AL800" i="13176"/>
  <c r="BC800" i="13176"/>
  <c r="O801" i="13176"/>
  <c r="AF801" i="13176"/>
  <c r="AW801" i="13176"/>
  <c r="I802" i="13176"/>
  <c r="Z802" i="13176"/>
  <c r="AP802" i="13176"/>
  <c r="C803" i="13176"/>
  <c r="T803" i="13176"/>
  <c r="AJ803" i="13176"/>
  <c r="BA803" i="13176"/>
  <c r="M804" i="13176"/>
  <c r="AD804" i="13176"/>
  <c r="AU804" i="13176"/>
  <c r="G805" i="13176"/>
  <c r="X805" i="13176"/>
  <c r="AN805" i="13176"/>
  <c r="Q806" i="13176"/>
  <c r="AH806" i="13176"/>
  <c r="AY806" i="13176"/>
  <c r="E808" i="13176"/>
  <c r="V808" i="13176"/>
  <c r="AL808" i="13176"/>
  <c r="BC808" i="13176"/>
  <c r="O809" i="13176"/>
  <c r="AF809" i="13176"/>
  <c r="AW809" i="13176"/>
  <c r="I810" i="13176"/>
  <c r="Z810" i="13176"/>
  <c r="AP810" i="13176"/>
  <c r="C811" i="13176"/>
  <c r="T811" i="13176"/>
  <c r="AJ811" i="13176"/>
  <c r="BA811" i="13176"/>
  <c r="M812" i="13176"/>
  <c r="AD812" i="13176"/>
  <c r="AU812" i="13176"/>
  <c r="G813" i="13176"/>
  <c r="X813" i="13176"/>
  <c r="AN813" i="13176"/>
  <c r="Q814" i="13176"/>
  <c r="AH814" i="13176"/>
  <c r="AY814" i="13176"/>
  <c r="E816" i="13176"/>
  <c r="V816" i="13176"/>
  <c r="AL816" i="13176"/>
  <c r="BC816" i="13176"/>
  <c r="O817" i="13176"/>
  <c r="AF817" i="13176"/>
  <c r="AW817" i="13176"/>
  <c r="I818" i="13176"/>
  <c r="Z818" i="13176"/>
  <c r="AP818" i="13176"/>
  <c r="C819" i="13176"/>
  <c r="T819" i="13176"/>
  <c r="AJ819" i="13176"/>
  <c r="BA819" i="13176"/>
  <c r="M820" i="13176"/>
  <c r="AD820" i="13176"/>
  <c r="AU820" i="13176"/>
  <c r="G821" i="13176"/>
  <c r="X821" i="13176"/>
  <c r="AN821" i="13176"/>
  <c r="Q822" i="13176"/>
  <c r="AA823" i="13176"/>
  <c r="AN824" i="13176"/>
  <c r="H825" i="13176"/>
  <c r="AG825" i="13176"/>
  <c r="BD825" i="13176"/>
  <c r="Y826" i="13176"/>
  <c r="AW826" i="13176"/>
  <c r="T827" i="13176"/>
  <c r="AQ827" i="13176"/>
  <c r="N828" i="13176"/>
  <c r="AM828" i="13176"/>
  <c r="I829" i="13176"/>
  <c r="AI829" i="13176"/>
  <c r="F830" i="13176"/>
  <c r="AI830" i="13176"/>
  <c r="J831" i="13176"/>
  <c r="AI831" i="13176"/>
  <c r="BA840" i="13176"/>
  <c r="AY843" i="13176"/>
  <c r="AH843" i="13176"/>
  <c r="Q843" i="13176"/>
  <c r="AX843" i="13176"/>
  <c r="AG843" i="13176"/>
  <c r="P843" i="13176"/>
  <c r="AW843" i="13176"/>
  <c r="AF843" i="13176"/>
  <c r="O843" i="13176"/>
  <c r="AV843" i="13176"/>
  <c r="AE843" i="13176"/>
  <c r="N843" i="13176"/>
  <c r="AU843" i="13176"/>
  <c r="AD843" i="13176"/>
  <c r="M843" i="13176"/>
  <c r="AT843" i="13176"/>
  <c r="AC843" i="13176"/>
  <c r="L843" i="13176"/>
  <c r="AR843" i="13176"/>
  <c r="AB843" i="13176"/>
  <c r="K843" i="13176"/>
  <c r="AQ843" i="13176"/>
  <c r="AA843" i="13176"/>
  <c r="J843" i="13176"/>
  <c r="AP843" i="13176"/>
  <c r="Z843" i="13176"/>
  <c r="I843" i="13176"/>
  <c r="AO843" i="13176"/>
  <c r="Y843" i="13176"/>
  <c r="H843" i="13176"/>
  <c r="AN843" i="13176"/>
  <c r="X843" i="13176"/>
  <c r="G843" i="13176"/>
  <c r="BD843" i="13176"/>
  <c r="AM843" i="13176"/>
  <c r="W843" i="13176"/>
  <c r="F843" i="13176"/>
  <c r="BC843" i="13176"/>
  <c r="AL843" i="13176"/>
  <c r="V843" i="13176"/>
  <c r="E843" i="13176"/>
  <c r="BB843" i="13176"/>
  <c r="AK843" i="13176"/>
  <c r="U843" i="13176"/>
  <c r="D843" i="13176"/>
  <c r="BA843" i="13176"/>
  <c r="AJ843" i="13176"/>
  <c r="T843" i="13176"/>
  <c r="C843" i="13176"/>
  <c r="AW846" i="13176"/>
  <c r="AU849" i="13176"/>
  <c r="AY872" i="13176"/>
  <c r="S790" i="13176"/>
  <c r="AI790" i="13176"/>
  <c r="AZ790" i="13176"/>
  <c r="J794" i="13176"/>
  <c r="AA794" i="13176"/>
  <c r="AQ794" i="13176"/>
  <c r="D795" i="13176"/>
  <c r="U795" i="13176"/>
  <c r="AK795" i="13176"/>
  <c r="BB795" i="13176"/>
  <c r="S798" i="13176"/>
  <c r="AI798" i="13176"/>
  <c r="AZ798" i="13176"/>
  <c r="J802" i="13176"/>
  <c r="AA802" i="13176"/>
  <c r="AQ802" i="13176"/>
  <c r="D803" i="13176"/>
  <c r="U803" i="13176"/>
  <c r="AK803" i="13176"/>
  <c r="BB803" i="13176"/>
  <c r="S806" i="13176"/>
  <c r="AI806" i="13176"/>
  <c r="AZ806" i="13176"/>
  <c r="J810" i="13176"/>
  <c r="AA810" i="13176"/>
  <c r="AQ810" i="13176"/>
  <c r="D811" i="13176"/>
  <c r="U811" i="13176"/>
  <c r="AK811" i="13176"/>
  <c r="BB811" i="13176"/>
  <c r="S814" i="13176"/>
  <c r="AI814" i="13176"/>
  <c r="AZ814" i="13176"/>
  <c r="J818" i="13176"/>
  <c r="AA818" i="13176"/>
  <c r="AQ818" i="13176"/>
  <c r="D819" i="13176"/>
  <c r="U819" i="13176"/>
  <c r="AK819" i="13176"/>
  <c r="BB819" i="13176"/>
  <c r="H821" i="13176"/>
  <c r="Y821" i="13176"/>
  <c r="AO821" i="13176"/>
  <c r="AW822" i="13176"/>
  <c r="AU822" i="13176"/>
  <c r="AR822" i="13176"/>
  <c r="AP822" i="13176"/>
  <c r="BC822" i="13176"/>
  <c r="AL822" i="13176"/>
  <c r="S822" i="13176"/>
  <c r="AI822" i="13176"/>
  <c r="AP823" i="13176"/>
  <c r="Z823" i="13176"/>
  <c r="I823" i="13176"/>
  <c r="AN823" i="13176"/>
  <c r="X823" i="13176"/>
  <c r="G823" i="13176"/>
  <c r="BC823" i="13176"/>
  <c r="AL823" i="13176"/>
  <c r="V823" i="13176"/>
  <c r="E823" i="13176"/>
  <c r="BA823" i="13176"/>
  <c r="AJ823" i="13176"/>
  <c r="T823" i="13176"/>
  <c r="C823" i="13176"/>
  <c r="AW823" i="13176"/>
  <c r="AF823" i="13176"/>
  <c r="O823" i="13176"/>
  <c r="AB823" i="13176"/>
  <c r="AY823" i="13176"/>
  <c r="J825" i="13176"/>
  <c r="AH825" i="13176"/>
  <c r="Z826" i="13176"/>
  <c r="O828" i="13176"/>
  <c r="AO828" i="13176"/>
  <c r="J829" i="13176"/>
  <c r="AM829" i="13176"/>
  <c r="G830" i="13176"/>
  <c r="AJ830" i="13176"/>
  <c r="K831" i="13176"/>
  <c r="AK831" i="13176"/>
  <c r="AQ894" i="13176"/>
  <c r="G784" i="13176"/>
  <c r="X784" i="13176"/>
  <c r="AN784" i="13176"/>
  <c r="Q785" i="13176"/>
  <c r="AH785" i="13176"/>
  <c r="AY785" i="13176"/>
  <c r="O788" i="13176"/>
  <c r="AF788" i="13176"/>
  <c r="AW788" i="13176"/>
  <c r="I789" i="13176"/>
  <c r="Z789" i="13176"/>
  <c r="AP789" i="13176"/>
  <c r="C790" i="13176"/>
  <c r="T790" i="13176"/>
  <c r="AJ790" i="13176"/>
  <c r="BA790" i="13176"/>
  <c r="G792" i="13176"/>
  <c r="X792" i="13176"/>
  <c r="AN792" i="13176"/>
  <c r="Q793" i="13176"/>
  <c r="AH793" i="13176"/>
  <c r="AY793" i="13176"/>
  <c r="K794" i="13176"/>
  <c r="AB794" i="13176"/>
  <c r="AR794" i="13176"/>
  <c r="E795" i="13176"/>
  <c r="V795" i="13176"/>
  <c r="AL795" i="13176"/>
  <c r="BC795" i="13176"/>
  <c r="O796" i="13176"/>
  <c r="AF796" i="13176"/>
  <c r="AW796" i="13176"/>
  <c r="I797" i="13176"/>
  <c r="Z797" i="13176"/>
  <c r="AP797" i="13176"/>
  <c r="C798" i="13176"/>
  <c r="T798" i="13176"/>
  <c r="AJ798" i="13176"/>
  <c r="BA798" i="13176"/>
  <c r="G800" i="13176"/>
  <c r="X800" i="13176"/>
  <c r="AN800" i="13176"/>
  <c r="Q801" i="13176"/>
  <c r="AH801" i="13176"/>
  <c r="AY801" i="13176"/>
  <c r="K802" i="13176"/>
  <c r="AB802" i="13176"/>
  <c r="AR802" i="13176"/>
  <c r="E803" i="13176"/>
  <c r="V803" i="13176"/>
  <c r="AL803" i="13176"/>
  <c r="BC803" i="13176"/>
  <c r="O804" i="13176"/>
  <c r="AF804" i="13176"/>
  <c r="AW804" i="13176"/>
  <c r="I805" i="13176"/>
  <c r="Z805" i="13176"/>
  <c r="AP805" i="13176"/>
  <c r="C806" i="13176"/>
  <c r="T806" i="13176"/>
  <c r="AJ806" i="13176"/>
  <c r="BA806" i="13176"/>
  <c r="G808" i="13176"/>
  <c r="X808" i="13176"/>
  <c r="AN808" i="13176"/>
  <c r="AH809" i="13176"/>
  <c r="AY809" i="13176"/>
  <c r="K810" i="13176"/>
  <c r="AB810" i="13176"/>
  <c r="AR810" i="13176"/>
  <c r="E811" i="13176"/>
  <c r="V811" i="13176"/>
  <c r="AL811" i="13176"/>
  <c r="BC811" i="13176"/>
  <c r="O812" i="13176"/>
  <c r="AF812" i="13176"/>
  <c r="AW812" i="13176"/>
  <c r="I813" i="13176"/>
  <c r="Z813" i="13176"/>
  <c r="AP813" i="13176"/>
  <c r="C814" i="13176"/>
  <c r="T814" i="13176"/>
  <c r="AJ814" i="13176"/>
  <c r="BA814" i="13176"/>
  <c r="G816" i="13176"/>
  <c r="X816" i="13176"/>
  <c r="AN816" i="13176"/>
  <c r="K818" i="13176"/>
  <c r="AB818" i="13176"/>
  <c r="AR818" i="13176"/>
  <c r="E819" i="13176"/>
  <c r="V819" i="13176"/>
  <c r="AL819" i="13176"/>
  <c r="BC819" i="13176"/>
  <c r="I821" i="13176"/>
  <c r="Z821" i="13176"/>
  <c r="AP821" i="13176"/>
  <c r="C822" i="13176"/>
  <c r="T822" i="13176"/>
  <c r="AJ822" i="13176"/>
  <c r="D823" i="13176"/>
  <c r="AC823" i="13176"/>
  <c r="AZ823" i="13176"/>
  <c r="L825" i="13176"/>
  <c r="AI825" i="13176"/>
  <c r="AN826" i="13176"/>
  <c r="X826" i="13176"/>
  <c r="G826" i="13176"/>
  <c r="BD826" i="13176"/>
  <c r="AM826" i="13176"/>
  <c r="BC826" i="13176"/>
  <c r="AL826" i="13176"/>
  <c r="V826" i="13176"/>
  <c r="E826" i="13176"/>
  <c r="BA826" i="13176"/>
  <c r="AJ826" i="13176"/>
  <c r="T826" i="13176"/>
  <c r="C826" i="13176"/>
  <c r="AY826" i="13176"/>
  <c r="AH826" i="13176"/>
  <c r="Q826" i="13176"/>
  <c r="AU826" i="13176"/>
  <c r="AD826" i="13176"/>
  <c r="M826" i="13176"/>
  <c r="AA826" i="13176"/>
  <c r="AZ826" i="13176"/>
  <c r="V827" i="13176"/>
  <c r="AV827" i="13176"/>
  <c r="P828" i="13176"/>
  <c r="AT828" i="13176"/>
  <c r="L829" i="13176"/>
  <c r="AN829" i="13176"/>
  <c r="H830" i="13176"/>
  <c r="AK830" i="13176"/>
  <c r="L831" i="13176"/>
  <c r="AQ831" i="13176"/>
  <c r="Y784" i="13176"/>
  <c r="AO784" i="13176"/>
  <c r="S785" i="13176"/>
  <c r="AI785" i="13176"/>
  <c r="AZ785" i="13176"/>
  <c r="P788" i="13176"/>
  <c r="AG788" i="13176"/>
  <c r="AX788" i="13176"/>
  <c r="J789" i="13176"/>
  <c r="AA789" i="13176"/>
  <c r="AQ789" i="13176"/>
  <c r="D790" i="13176"/>
  <c r="U790" i="13176"/>
  <c r="AK790" i="13176"/>
  <c r="BB790" i="13176"/>
  <c r="H792" i="13176"/>
  <c r="Y792" i="13176"/>
  <c r="AO792" i="13176"/>
  <c r="S793" i="13176"/>
  <c r="AI793" i="13176"/>
  <c r="AZ793" i="13176"/>
  <c r="L794" i="13176"/>
  <c r="AC794" i="13176"/>
  <c r="AT794" i="13176"/>
  <c r="F795" i="13176"/>
  <c r="W795" i="13176"/>
  <c r="AM795" i="13176"/>
  <c r="BD795" i="13176"/>
  <c r="P796" i="13176"/>
  <c r="AG796" i="13176"/>
  <c r="AX796" i="13176"/>
  <c r="J797" i="13176"/>
  <c r="AA797" i="13176"/>
  <c r="AQ797" i="13176"/>
  <c r="D798" i="13176"/>
  <c r="U798" i="13176"/>
  <c r="AK798" i="13176"/>
  <c r="BB798" i="13176"/>
  <c r="H800" i="13176"/>
  <c r="Y800" i="13176"/>
  <c r="AO800" i="13176"/>
  <c r="S801" i="13176"/>
  <c r="AI801" i="13176"/>
  <c r="AZ801" i="13176"/>
  <c r="L802" i="13176"/>
  <c r="AC802" i="13176"/>
  <c r="AT802" i="13176"/>
  <c r="F803" i="13176"/>
  <c r="W803" i="13176"/>
  <c r="AM803" i="13176"/>
  <c r="BD803" i="13176"/>
  <c r="P804" i="13176"/>
  <c r="AG804" i="13176"/>
  <c r="AX804" i="13176"/>
  <c r="J805" i="13176"/>
  <c r="AA805" i="13176"/>
  <c r="AQ805" i="13176"/>
  <c r="D806" i="13176"/>
  <c r="U806" i="13176"/>
  <c r="AK806" i="13176"/>
  <c r="BB806" i="13176"/>
  <c r="H808" i="13176"/>
  <c r="Y808" i="13176"/>
  <c r="AO808" i="13176"/>
  <c r="S809" i="13176"/>
  <c r="AI809" i="13176"/>
  <c r="AZ809" i="13176"/>
  <c r="L810" i="13176"/>
  <c r="AC810" i="13176"/>
  <c r="AT810" i="13176"/>
  <c r="F811" i="13176"/>
  <c r="W811" i="13176"/>
  <c r="AM811" i="13176"/>
  <c r="BD811" i="13176"/>
  <c r="P812" i="13176"/>
  <c r="AG812" i="13176"/>
  <c r="AX812" i="13176"/>
  <c r="J813" i="13176"/>
  <c r="AA813" i="13176"/>
  <c r="AQ813" i="13176"/>
  <c r="D814" i="13176"/>
  <c r="U814" i="13176"/>
  <c r="AK814" i="13176"/>
  <c r="BB814" i="13176"/>
  <c r="H816" i="13176"/>
  <c r="Y816" i="13176"/>
  <c r="AO816" i="13176"/>
  <c r="S817" i="13176"/>
  <c r="AI817" i="13176"/>
  <c r="AZ817" i="13176"/>
  <c r="L818" i="13176"/>
  <c r="AC818" i="13176"/>
  <c r="AT818" i="13176"/>
  <c r="F819" i="13176"/>
  <c r="W819" i="13176"/>
  <c r="AM819" i="13176"/>
  <c r="BD819" i="13176"/>
  <c r="P820" i="13176"/>
  <c r="AG820" i="13176"/>
  <c r="AX820" i="13176"/>
  <c r="J821" i="13176"/>
  <c r="AA821" i="13176"/>
  <c r="AQ821" i="13176"/>
  <c r="D822" i="13176"/>
  <c r="U822" i="13176"/>
  <c r="AK822" i="13176"/>
  <c r="F823" i="13176"/>
  <c r="AD823" i="13176"/>
  <c r="BB823" i="13176"/>
  <c r="V824" i="13176"/>
  <c r="N825" i="13176"/>
  <c r="AK825" i="13176"/>
  <c r="D826" i="13176"/>
  <c r="AB826" i="13176"/>
  <c r="BB826" i="13176"/>
  <c r="W827" i="13176"/>
  <c r="AZ827" i="13176"/>
  <c r="S828" i="13176"/>
  <c r="AU828" i="13176"/>
  <c r="M829" i="13176"/>
  <c r="AO829" i="13176"/>
  <c r="J830" i="13176"/>
  <c r="AM830" i="13176"/>
  <c r="M831" i="13176"/>
  <c r="AR831" i="13176"/>
  <c r="AR836" i="13176"/>
  <c r="AZ843" i="13176"/>
  <c r="AZ873" i="13176"/>
  <c r="I784" i="13176"/>
  <c r="Z784" i="13176"/>
  <c r="AP784" i="13176"/>
  <c r="C785" i="13176"/>
  <c r="T785" i="13176"/>
  <c r="AJ785" i="13176"/>
  <c r="BA785" i="13176"/>
  <c r="Q788" i="13176"/>
  <c r="AH788" i="13176"/>
  <c r="AY788" i="13176"/>
  <c r="K789" i="13176"/>
  <c r="AB789" i="13176"/>
  <c r="AR789" i="13176"/>
  <c r="E790" i="13176"/>
  <c r="V790" i="13176"/>
  <c r="AL790" i="13176"/>
  <c r="BC790" i="13176"/>
  <c r="I792" i="13176"/>
  <c r="Z792" i="13176"/>
  <c r="AP792" i="13176"/>
  <c r="C793" i="13176"/>
  <c r="T793" i="13176"/>
  <c r="AJ793" i="13176"/>
  <c r="BA793" i="13176"/>
  <c r="M794" i="13176"/>
  <c r="AD794" i="13176"/>
  <c r="AU794" i="13176"/>
  <c r="G795" i="13176"/>
  <c r="X795" i="13176"/>
  <c r="AN795" i="13176"/>
  <c r="Q796" i="13176"/>
  <c r="AH796" i="13176"/>
  <c r="AY796" i="13176"/>
  <c r="K797" i="13176"/>
  <c r="AB797" i="13176"/>
  <c r="AR797" i="13176"/>
  <c r="E798" i="13176"/>
  <c r="V798" i="13176"/>
  <c r="AL798" i="13176"/>
  <c r="BC798" i="13176"/>
  <c r="I800" i="13176"/>
  <c r="Z800" i="13176"/>
  <c r="AP800" i="13176"/>
  <c r="C801" i="13176"/>
  <c r="T801" i="13176"/>
  <c r="AJ801" i="13176"/>
  <c r="BA801" i="13176"/>
  <c r="M802" i="13176"/>
  <c r="AD802" i="13176"/>
  <c r="AU802" i="13176"/>
  <c r="G803" i="13176"/>
  <c r="X803" i="13176"/>
  <c r="AN803" i="13176"/>
  <c r="Q804" i="13176"/>
  <c r="AH804" i="13176"/>
  <c r="AY804" i="13176"/>
  <c r="K805" i="13176"/>
  <c r="AB805" i="13176"/>
  <c r="AR805" i="13176"/>
  <c r="E806" i="13176"/>
  <c r="V806" i="13176"/>
  <c r="AL806" i="13176"/>
  <c r="BC806" i="13176"/>
  <c r="I808" i="13176"/>
  <c r="Z808" i="13176"/>
  <c r="AP808" i="13176"/>
  <c r="C809" i="13176"/>
  <c r="T809" i="13176"/>
  <c r="AJ809" i="13176"/>
  <c r="BA809" i="13176"/>
  <c r="M810" i="13176"/>
  <c r="AD810" i="13176"/>
  <c r="AU810" i="13176"/>
  <c r="G811" i="13176"/>
  <c r="X811" i="13176"/>
  <c r="AN811" i="13176"/>
  <c r="Q812" i="13176"/>
  <c r="AH812" i="13176"/>
  <c r="AY812" i="13176"/>
  <c r="K813" i="13176"/>
  <c r="AB813" i="13176"/>
  <c r="AR813" i="13176"/>
  <c r="E814" i="13176"/>
  <c r="V814" i="13176"/>
  <c r="AL814" i="13176"/>
  <c r="BC814" i="13176"/>
  <c r="I816" i="13176"/>
  <c r="Z816" i="13176"/>
  <c r="AP816" i="13176"/>
  <c r="C817" i="13176"/>
  <c r="T817" i="13176"/>
  <c r="AJ817" i="13176"/>
  <c r="BA817" i="13176"/>
  <c r="M818" i="13176"/>
  <c r="AD818" i="13176"/>
  <c r="AU818" i="13176"/>
  <c r="G819" i="13176"/>
  <c r="X819" i="13176"/>
  <c r="AN819" i="13176"/>
  <c r="Q820" i="13176"/>
  <c r="AH820" i="13176"/>
  <c r="AY820" i="13176"/>
  <c r="K821" i="13176"/>
  <c r="AB821" i="13176"/>
  <c r="AR821" i="13176"/>
  <c r="E822" i="13176"/>
  <c r="V822" i="13176"/>
  <c r="AM822" i="13176"/>
  <c r="H823" i="13176"/>
  <c r="AE823" i="13176"/>
  <c r="BD823" i="13176"/>
  <c r="O825" i="13176"/>
  <c r="AL825" i="13176"/>
  <c r="F826" i="13176"/>
  <c r="AC826" i="13176"/>
  <c r="Y827" i="13176"/>
  <c r="T828" i="13176"/>
  <c r="AV828" i="13176"/>
  <c r="N829" i="13176"/>
  <c r="AP829" i="13176"/>
  <c r="L830" i="13176"/>
  <c r="AN830" i="13176"/>
  <c r="N831" i="13176"/>
  <c r="AT831" i="13176"/>
  <c r="AU833" i="13176"/>
  <c r="BC853" i="13176"/>
  <c r="BA856" i="13176"/>
  <c r="AY859" i="13176"/>
  <c r="AH859" i="13176"/>
  <c r="Q859" i="13176"/>
  <c r="AX859" i="13176"/>
  <c r="AG859" i="13176"/>
  <c r="P859" i="13176"/>
  <c r="AW859" i="13176"/>
  <c r="AF859" i="13176"/>
  <c r="O859" i="13176"/>
  <c r="AV859" i="13176"/>
  <c r="AE859" i="13176"/>
  <c r="N859" i="13176"/>
  <c r="AU859" i="13176"/>
  <c r="AD859" i="13176"/>
  <c r="M859" i="13176"/>
  <c r="AT859" i="13176"/>
  <c r="AC859" i="13176"/>
  <c r="L859" i="13176"/>
  <c r="AR859" i="13176"/>
  <c r="AB859" i="13176"/>
  <c r="K859" i="13176"/>
  <c r="AQ859" i="13176"/>
  <c r="AA859" i="13176"/>
  <c r="J859" i="13176"/>
  <c r="AP859" i="13176"/>
  <c r="Z859" i="13176"/>
  <c r="I859" i="13176"/>
  <c r="AO859" i="13176"/>
  <c r="Y859" i="13176"/>
  <c r="H859" i="13176"/>
  <c r="AN859" i="13176"/>
  <c r="X859" i="13176"/>
  <c r="G859" i="13176"/>
  <c r="BD859" i="13176"/>
  <c r="AM859" i="13176"/>
  <c r="W859" i="13176"/>
  <c r="F859" i="13176"/>
  <c r="BC859" i="13176"/>
  <c r="AL859" i="13176"/>
  <c r="V859" i="13176"/>
  <c r="E859" i="13176"/>
  <c r="BB859" i="13176"/>
  <c r="AK859" i="13176"/>
  <c r="U859" i="13176"/>
  <c r="D859" i="13176"/>
  <c r="BA859" i="13176"/>
  <c r="AJ859" i="13176"/>
  <c r="T859" i="13176"/>
  <c r="C859" i="13176"/>
  <c r="AW862" i="13176"/>
  <c r="AU865" i="13176"/>
  <c r="BD918" i="13176"/>
  <c r="AQ784" i="13176"/>
  <c r="AK785" i="13176"/>
  <c r="BB785" i="13176"/>
  <c r="S788" i="13176"/>
  <c r="AI788" i="13176"/>
  <c r="AZ788" i="13176"/>
  <c r="L789" i="13176"/>
  <c r="AC789" i="13176"/>
  <c r="AT789" i="13176"/>
  <c r="F790" i="13176"/>
  <c r="W790" i="13176"/>
  <c r="AM790" i="13176"/>
  <c r="BD790" i="13176"/>
  <c r="AA792" i="13176"/>
  <c r="AQ792" i="13176"/>
  <c r="AK793" i="13176"/>
  <c r="BB793" i="13176"/>
  <c r="N794" i="13176"/>
  <c r="AE794" i="13176"/>
  <c r="AV794" i="13176"/>
  <c r="H795" i="13176"/>
  <c r="Y795" i="13176"/>
  <c r="AO795" i="13176"/>
  <c r="S796" i="13176"/>
  <c r="AI796" i="13176"/>
  <c r="AZ796" i="13176"/>
  <c r="L797" i="13176"/>
  <c r="AC797" i="13176"/>
  <c r="AT797" i="13176"/>
  <c r="F798" i="13176"/>
  <c r="W798" i="13176"/>
  <c r="AM798" i="13176"/>
  <c r="BD798" i="13176"/>
  <c r="J800" i="13176"/>
  <c r="AA800" i="13176"/>
  <c r="AQ800" i="13176"/>
  <c r="BB801" i="13176"/>
  <c r="N802" i="13176"/>
  <c r="AE802" i="13176"/>
  <c r="AV802" i="13176"/>
  <c r="H803" i="13176"/>
  <c r="Y803" i="13176"/>
  <c r="AO803" i="13176"/>
  <c r="S804" i="13176"/>
  <c r="AI804" i="13176"/>
  <c r="AZ804" i="13176"/>
  <c r="L805" i="13176"/>
  <c r="AC805" i="13176"/>
  <c r="AT805" i="13176"/>
  <c r="F806" i="13176"/>
  <c r="W806" i="13176"/>
  <c r="AM806" i="13176"/>
  <c r="BD806" i="13176"/>
  <c r="J808" i="13176"/>
  <c r="AA808" i="13176"/>
  <c r="AQ808" i="13176"/>
  <c r="AK809" i="13176"/>
  <c r="BB809" i="13176"/>
  <c r="N810" i="13176"/>
  <c r="AE810" i="13176"/>
  <c r="AV810" i="13176"/>
  <c r="H811" i="13176"/>
  <c r="Y811" i="13176"/>
  <c r="AO811" i="13176"/>
  <c r="S812" i="13176"/>
  <c r="AI812" i="13176"/>
  <c r="AZ812" i="13176"/>
  <c r="L813" i="13176"/>
  <c r="AC813" i="13176"/>
  <c r="AT813" i="13176"/>
  <c r="F814" i="13176"/>
  <c r="W814" i="13176"/>
  <c r="AM814" i="13176"/>
  <c r="BD814" i="13176"/>
  <c r="J816" i="13176"/>
  <c r="AA816" i="13176"/>
  <c r="AQ816" i="13176"/>
  <c r="BB817" i="13176"/>
  <c r="N818" i="13176"/>
  <c r="AE818" i="13176"/>
  <c r="AV818" i="13176"/>
  <c r="H819" i="13176"/>
  <c r="Y819" i="13176"/>
  <c r="AO819" i="13176"/>
  <c r="S820" i="13176"/>
  <c r="AI820" i="13176"/>
  <c r="AZ820" i="13176"/>
  <c r="L821" i="13176"/>
  <c r="AC821" i="13176"/>
  <c r="AT821" i="13176"/>
  <c r="F822" i="13176"/>
  <c r="W822" i="13176"/>
  <c r="AN822" i="13176"/>
  <c r="J823" i="13176"/>
  <c r="AG823" i="13176"/>
  <c r="P825" i="13176"/>
  <c r="AM825" i="13176"/>
  <c r="H826" i="13176"/>
  <c r="AE826" i="13176"/>
  <c r="AY827" i="13176"/>
  <c r="AH827" i="13176"/>
  <c r="Q827" i="13176"/>
  <c r="AX827" i="13176"/>
  <c r="AG827" i="13176"/>
  <c r="P827" i="13176"/>
  <c r="AW827" i="13176"/>
  <c r="AF827" i="13176"/>
  <c r="O827" i="13176"/>
  <c r="AU827" i="13176"/>
  <c r="AD827" i="13176"/>
  <c r="M827" i="13176"/>
  <c r="AR827" i="13176"/>
  <c r="AB827" i="13176"/>
  <c r="K827" i="13176"/>
  <c r="AN827" i="13176"/>
  <c r="X827" i="13176"/>
  <c r="G827" i="13176"/>
  <c r="Z827" i="13176"/>
  <c r="BB827" i="13176"/>
  <c r="U828" i="13176"/>
  <c r="AW828" i="13176"/>
  <c r="P829" i="13176"/>
  <c r="AQ829" i="13176"/>
  <c r="P830" i="13176"/>
  <c r="AO830" i="13176"/>
  <c r="P831" i="13176"/>
  <c r="AV831" i="13176"/>
  <c r="AW838" i="13176"/>
  <c r="AF838" i="13176"/>
  <c r="O838" i="13176"/>
  <c r="AV838" i="13176"/>
  <c r="AE838" i="13176"/>
  <c r="N838" i="13176"/>
  <c r="AU838" i="13176"/>
  <c r="AD838" i="13176"/>
  <c r="M838" i="13176"/>
  <c r="AT838" i="13176"/>
  <c r="AC838" i="13176"/>
  <c r="L838" i="13176"/>
  <c r="AR838" i="13176"/>
  <c r="AB838" i="13176"/>
  <c r="K838" i="13176"/>
  <c r="AQ838" i="13176"/>
  <c r="AA838" i="13176"/>
  <c r="J838" i="13176"/>
  <c r="AP838" i="13176"/>
  <c r="Z838" i="13176"/>
  <c r="I838" i="13176"/>
  <c r="AO838" i="13176"/>
  <c r="Y838" i="13176"/>
  <c r="H838" i="13176"/>
  <c r="AN838" i="13176"/>
  <c r="X838" i="13176"/>
  <c r="G838" i="13176"/>
  <c r="BD838" i="13176"/>
  <c r="AM838" i="13176"/>
  <c r="W838" i="13176"/>
  <c r="F838" i="13176"/>
  <c r="BC838" i="13176"/>
  <c r="AL838" i="13176"/>
  <c r="V838" i="13176"/>
  <c r="E838" i="13176"/>
  <c r="BB838" i="13176"/>
  <c r="AK838" i="13176"/>
  <c r="U838" i="13176"/>
  <c r="D838" i="13176"/>
  <c r="BA838" i="13176"/>
  <c r="AJ838" i="13176"/>
  <c r="T838" i="13176"/>
  <c r="C838" i="13176"/>
  <c r="AZ838" i="13176"/>
  <c r="AI838" i="13176"/>
  <c r="AY838" i="13176"/>
  <c r="AH838" i="13176"/>
  <c r="Q838" i="13176"/>
  <c r="AR844" i="13176"/>
  <c r="AP847" i="13176"/>
  <c r="AN850" i="13176"/>
  <c r="S859" i="13176"/>
  <c r="K784" i="13176"/>
  <c r="AB784" i="13176"/>
  <c r="E785" i="13176"/>
  <c r="V785" i="13176"/>
  <c r="AL785" i="13176"/>
  <c r="C788" i="13176"/>
  <c r="T788" i="13176"/>
  <c r="AJ788" i="13176"/>
  <c r="M789" i="13176"/>
  <c r="AD789" i="13176"/>
  <c r="G790" i="13176"/>
  <c r="X790" i="13176"/>
  <c r="K792" i="13176"/>
  <c r="AB792" i="13176"/>
  <c r="E793" i="13176"/>
  <c r="V793" i="13176"/>
  <c r="AL793" i="13176"/>
  <c r="O794" i="13176"/>
  <c r="AF794" i="13176"/>
  <c r="I795" i="13176"/>
  <c r="Z795" i="13176"/>
  <c r="C796" i="13176"/>
  <c r="T796" i="13176"/>
  <c r="AJ796" i="13176"/>
  <c r="M797" i="13176"/>
  <c r="AD797" i="13176"/>
  <c r="G798" i="13176"/>
  <c r="X798" i="13176"/>
  <c r="K800" i="13176"/>
  <c r="AB800" i="13176"/>
  <c r="E801" i="13176"/>
  <c r="V801" i="13176"/>
  <c r="AL801" i="13176"/>
  <c r="O802" i="13176"/>
  <c r="AF802" i="13176"/>
  <c r="I803" i="13176"/>
  <c r="Z803" i="13176"/>
  <c r="C804" i="13176"/>
  <c r="T804" i="13176"/>
  <c r="AJ804" i="13176"/>
  <c r="M805" i="13176"/>
  <c r="AD805" i="13176"/>
  <c r="G806" i="13176"/>
  <c r="X806" i="13176"/>
  <c r="K808" i="13176"/>
  <c r="AB808" i="13176"/>
  <c r="E809" i="13176"/>
  <c r="V809" i="13176"/>
  <c r="AL809" i="13176"/>
  <c r="O810" i="13176"/>
  <c r="AF810" i="13176"/>
  <c r="I811" i="13176"/>
  <c r="Z811" i="13176"/>
  <c r="C812" i="13176"/>
  <c r="T812" i="13176"/>
  <c r="AJ812" i="13176"/>
  <c r="M813" i="13176"/>
  <c r="AD813" i="13176"/>
  <c r="G814" i="13176"/>
  <c r="X814" i="13176"/>
  <c r="K816" i="13176"/>
  <c r="AB816" i="13176"/>
  <c r="E817" i="13176"/>
  <c r="V817" i="13176"/>
  <c r="AL817" i="13176"/>
  <c r="O818" i="13176"/>
  <c r="AF818" i="13176"/>
  <c r="I819" i="13176"/>
  <c r="Z819" i="13176"/>
  <c r="C820" i="13176"/>
  <c r="T820" i="13176"/>
  <c r="AJ820" i="13176"/>
  <c r="M821" i="13176"/>
  <c r="AD821" i="13176"/>
  <c r="G822" i="13176"/>
  <c r="X822" i="13176"/>
  <c r="AO822" i="13176"/>
  <c r="K823" i="13176"/>
  <c r="AH823" i="13176"/>
  <c r="BA824" i="13176"/>
  <c r="AJ824" i="13176"/>
  <c r="T824" i="13176"/>
  <c r="C824" i="13176"/>
  <c r="AY824" i="13176"/>
  <c r="AH824" i="13176"/>
  <c r="Q824" i="13176"/>
  <c r="AW824" i="13176"/>
  <c r="AF824" i="13176"/>
  <c r="O824" i="13176"/>
  <c r="AU824" i="13176"/>
  <c r="AD824" i="13176"/>
  <c r="M824" i="13176"/>
  <c r="AP824" i="13176"/>
  <c r="Z824" i="13176"/>
  <c r="I824" i="13176"/>
  <c r="Y824" i="13176"/>
  <c r="AX824" i="13176"/>
  <c r="Q825" i="13176"/>
  <c r="AO825" i="13176"/>
  <c r="I826" i="13176"/>
  <c r="AF826" i="13176"/>
  <c r="C827" i="13176"/>
  <c r="AA827" i="13176"/>
  <c r="BC827" i="13176"/>
  <c r="W828" i="13176"/>
  <c r="AX828" i="13176"/>
  <c r="S829" i="13176"/>
  <c r="AT829" i="13176"/>
  <c r="Q830" i="13176"/>
  <c r="AQ830" i="13176"/>
  <c r="Q831" i="13176"/>
  <c r="AX831" i="13176"/>
  <c r="AY835" i="13176"/>
  <c r="AH835" i="13176"/>
  <c r="Q835" i="13176"/>
  <c r="AX835" i="13176"/>
  <c r="AG835" i="13176"/>
  <c r="P835" i="13176"/>
  <c r="AW835" i="13176"/>
  <c r="AF835" i="13176"/>
  <c r="O835" i="13176"/>
  <c r="AV835" i="13176"/>
  <c r="AE835" i="13176"/>
  <c r="N835" i="13176"/>
  <c r="AU835" i="13176"/>
  <c r="AD835" i="13176"/>
  <c r="M835" i="13176"/>
  <c r="AT835" i="13176"/>
  <c r="AC835" i="13176"/>
  <c r="AR835" i="13176"/>
  <c r="AB835" i="13176"/>
  <c r="K835" i="13176"/>
  <c r="AP835" i="13176"/>
  <c r="Z835" i="13176"/>
  <c r="I835" i="13176"/>
  <c r="AO835" i="13176"/>
  <c r="Y835" i="13176"/>
  <c r="H835" i="13176"/>
  <c r="AN835" i="13176"/>
  <c r="X835" i="13176"/>
  <c r="G835" i="13176"/>
  <c r="BD835" i="13176"/>
  <c r="AM835" i="13176"/>
  <c r="W835" i="13176"/>
  <c r="F835" i="13176"/>
  <c r="BC835" i="13176"/>
  <c r="AL835" i="13176"/>
  <c r="V835" i="13176"/>
  <c r="E835" i="13176"/>
  <c r="BA835" i="13176"/>
  <c r="AJ835" i="13176"/>
  <c r="T835" i="13176"/>
  <c r="C835" i="13176"/>
  <c r="P838" i="13176"/>
  <c r="AU841" i="13176"/>
  <c r="AI859" i="13176"/>
  <c r="AD836" i="13176"/>
  <c r="AU836" i="13176"/>
  <c r="K839" i="13176"/>
  <c r="AB839" i="13176"/>
  <c r="AR839" i="13176"/>
  <c r="AF841" i="13176"/>
  <c r="AW841" i="13176"/>
  <c r="I842" i="13176"/>
  <c r="Z842" i="13176"/>
  <c r="AP842" i="13176"/>
  <c r="Q846" i="13176"/>
  <c r="AH846" i="13176"/>
  <c r="AY846" i="13176"/>
  <c r="K847" i="13176"/>
  <c r="AB847" i="13176"/>
  <c r="AR847" i="13176"/>
  <c r="Q854" i="13176"/>
  <c r="AH854" i="13176"/>
  <c r="AY854" i="13176"/>
  <c r="K855" i="13176"/>
  <c r="AB855" i="13176"/>
  <c r="AR855" i="13176"/>
  <c r="Q862" i="13176"/>
  <c r="AH862" i="13176"/>
  <c r="AY862" i="13176"/>
  <c r="K863" i="13176"/>
  <c r="AB863" i="13176"/>
  <c r="AR863" i="13176"/>
  <c r="AQ878" i="13176"/>
  <c r="AZ882" i="13176"/>
  <c r="AX885" i="13176"/>
  <c r="AV888" i="13176"/>
  <c r="AT891" i="13176"/>
  <c r="S846" i="13176"/>
  <c r="AI846" i="13176"/>
  <c r="AZ846" i="13176"/>
  <c r="S854" i="13176"/>
  <c r="AI854" i="13176"/>
  <c r="AZ854" i="13176"/>
  <c r="L855" i="13176"/>
  <c r="AC855" i="13176"/>
  <c r="AT855" i="13176"/>
  <c r="S862" i="13176"/>
  <c r="AI862" i="13176"/>
  <c r="AZ862" i="13176"/>
  <c r="L863" i="13176"/>
  <c r="AC863" i="13176"/>
  <c r="AT863" i="13176"/>
  <c r="AV880" i="13176"/>
  <c r="AE880" i="13176"/>
  <c r="N880" i="13176"/>
  <c r="AU880" i="13176"/>
  <c r="AD880" i="13176"/>
  <c r="M880" i="13176"/>
  <c r="AT880" i="13176"/>
  <c r="AC880" i="13176"/>
  <c r="L880" i="13176"/>
  <c r="AR880" i="13176"/>
  <c r="AB880" i="13176"/>
  <c r="K880" i="13176"/>
  <c r="AQ880" i="13176"/>
  <c r="AA880" i="13176"/>
  <c r="J880" i="13176"/>
  <c r="AP880" i="13176"/>
  <c r="Z880" i="13176"/>
  <c r="I880" i="13176"/>
  <c r="AO880" i="13176"/>
  <c r="Y880" i="13176"/>
  <c r="H880" i="13176"/>
  <c r="AN880" i="13176"/>
  <c r="X880" i="13176"/>
  <c r="G880" i="13176"/>
  <c r="BD880" i="13176"/>
  <c r="AM880" i="13176"/>
  <c r="W880" i="13176"/>
  <c r="F880" i="13176"/>
  <c r="BC880" i="13176"/>
  <c r="AL880" i="13176"/>
  <c r="V880" i="13176"/>
  <c r="E880" i="13176"/>
  <c r="BB880" i="13176"/>
  <c r="AK880" i="13176"/>
  <c r="U880" i="13176"/>
  <c r="D880" i="13176"/>
  <c r="BA880" i="13176"/>
  <c r="AJ880" i="13176"/>
  <c r="T880" i="13176"/>
  <c r="C880" i="13176"/>
  <c r="AY880" i="13176"/>
  <c r="AH880" i="13176"/>
  <c r="Q880" i="13176"/>
  <c r="AX880" i="13176"/>
  <c r="AG880" i="13176"/>
  <c r="P880" i="13176"/>
  <c r="Q833" i="13176"/>
  <c r="AH833" i="13176"/>
  <c r="AY833" i="13176"/>
  <c r="O836" i="13176"/>
  <c r="AF836" i="13176"/>
  <c r="AW836" i="13176"/>
  <c r="M839" i="13176"/>
  <c r="AD839" i="13176"/>
  <c r="AU839" i="13176"/>
  <c r="Q841" i="13176"/>
  <c r="AH841" i="13176"/>
  <c r="AY841" i="13176"/>
  <c r="K842" i="13176"/>
  <c r="AB842" i="13176"/>
  <c r="AR842" i="13176"/>
  <c r="O844" i="13176"/>
  <c r="AF844" i="13176"/>
  <c r="AW844" i="13176"/>
  <c r="C846" i="13176"/>
  <c r="T846" i="13176"/>
  <c r="AJ846" i="13176"/>
  <c r="BA846" i="13176"/>
  <c r="M847" i="13176"/>
  <c r="AD847" i="13176"/>
  <c r="AU847" i="13176"/>
  <c r="AH849" i="13176"/>
  <c r="AY849" i="13176"/>
  <c r="AB850" i="13176"/>
  <c r="AR850" i="13176"/>
  <c r="C854" i="13176"/>
  <c r="T854" i="13176"/>
  <c r="AJ854" i="13176"/>
  <c r="BA854" i="13176"/>
  <c r="M855" i="13176"/>
  <c r="AD855" i="13176"/>
  <c r="AU855" i="13176"/>
  <c r="C862" i="13176"/>
  <c r="T862" i="13176"/>
  <c r="AJ862" i="13176"/>
  <c r="BA862" i="13176"/>
  <c r="M863" i="13176"/>
  <c r="AD863" i="13176"/>
  <c r="AU863" i="13176"/>
  <c r="AX869" i="13176"/>
  <c r="AG869" i="13176"/>
  <c r="P869" i="13176"/>
  <c r="AW869" i="13176"/>
  <c r="AF869" i="13176"/>
  <c r="O869" i="13176"/>
  <c r="AV869" i="13176"/>
  <c r="AE869" i="13176"/>
  <c r="N869" i="13176"/>
  <c r="AU869" i="13176"/>
  <c r="AD869" i="13176"/>
  <c r="M869" i="13176"/>
  <c r="AT869" i="13176"/>
  <c r="AC869" i="13176"/>
  <c r="L869" i="13176"/>
  <c r="AR869" i="13176"/>
  <c r="AB869" i="13176"/>
  <c r="K869" i="13176"/>
  <c r="AP869" i="13176"/>
  <c r="Z869" i="13176"/>
  <c r="AO869" i="13176"/>
  <c r="Y869" i="13176"/>
  <c r="H869" i="13176"/>
  <c r="AN869" i="13176"/>
  <c r="X869" i="13176"/>
  <c r="G869" i="13176"/>
  <c r="BC869" i="13176"/>
  <c r="AL869" i="13176"/>
  <c r="V869" i="13176"/>
  <c r="E869" i="13176"/>
  <c r="AM869" i="13176"/>
  <c r="AT873" i="13176"/>
  <c r="O880" i="13176"/>
  <c r="AV910" i="13176"/>
  <c r="S833" i="13176"/>
  <c r="AI833" i="13176"/>
  <c r="AZ833" i="13176"/>
  <c r="P836" i="13176"/>
  <c r="AG836" i="13176"/>
  <c r="AX836" i="13176"/>
  <c r="N839" i="13176"/>
  <c r="AE839" i="13176"/>
  <c r="AV839" i="13176"/>
  <c r="S841" i="13176"/>
  <c r="AI841" i="13176"/>
  <c r="AZ841" i="13176"/>
  <c r="L842" i="13176"/>
  <c r="AC842" i="13176"/>
  <c r="AT842" i="13176"/>
  <c r="P844" i="13176"/>
  <c r="AG844" i="13176"/>
  <c r="AX844" i="13176"/>
  <c r="D846" i="13176"/>
  <c r="U846" i="13176"/>
  <c r="AK846" i="13176"/>
  <c r="BB846" i="13176"/>
  <c r="N847" i="13176"/>
  <c r="AE847" i="13176"/>
  <c r="AV847" i="13176"/>
  <c r="S849" i="13176"/>
  <c r="AI849" i="13176"/>
  <c r="AZ849" i="13176"/>
  <c r="L850" i="13176"/>
  <c r="AC850" i="13176"/>
  <c r="AT850" i="13176"/>
  <c r="P852" i="13176"/>
  <c r="AG852" i="13176"/>
  <c r="AX852" i="13176"/>
  <c r="D854" i="13176"/>
  <c r="U854" i="13176"/>
  <c r="AK854" i="13176"/>
  <c r="BB854" i="13176"/>
  <c r="N855" i="13176"/>
  <c r="AE855" i="13176"/>
  <c r="AV855" i="13176"/>
  <c r="S857" i="13176"/>
  <c r="AI857" i="13176"/>
  <c r="AZ857" i="13176"/>
  <c r="L858" i="13176"/>
  <c r="AC858" i="13176"/>
  <c r="AT858" i="13176"/>
  <c r="D862" i="13176"/>
  <c r="U862" i="13176"/>
  <c r="AK862" i="13176"/>
  <c r="BB862" i="13176"/>
  <c r="N863" i="13176"/>
  <c r="AE863" i="13176"/>
  <c r="AV863" i="13176"/>
  <c r="S865" i="13176"/>
  <c r="AI865" i="13176"/>
  <c r="AZ865" i="13176"/>
  <c r="L866" i="13176"/>
  <c r="AC866" i="13176"/>
  <c r="AV866" i="13176"/>
  <c r="C869" i="13176"/>
  <c r="AQ869" i="13176"/>
  <c r="AT875" i="13176"/>
  <c r="S880" i="13176"/>
  <c r="I832" i="13176"/>
  <c r="Z832" i="13176"/>
  <c r="AP832" i="13176"/>
  <c r="C833" i="13176"/>
  <c r="T833" i="13176"/>
  <c r="AJ833" i="13176"/>
  <c r="BA833" i="13176"/>
  <c r="Q836" i="13176"/>
  <c r="AH836" i="13176"/>
  <c r="AY836" i="13176"/>
  <c r="K837" i="13176"/>
  <c r="AB837" i="13176"/>
  <c r="AR837" i="13176"/>
  <c r="O839" i="13176"/>
  <c r="AF839" i="13176"/>
  <c r="AW839" i="13176"/>
  <c r="I840" i="13176"/>
  <c r="Z840" i="13176"/>
  <c r="AP840" i="13176"/>
  <c r="C841" i="13176"/>
  <c r="T841" i="13176"/>
  <c r="AJ841" i="13176"/>
  <c r="BA841" i="13176"/>
  <c r="M842" i="13176"/>
  <c r="AD842" i="13176"/>
  <c r="AU842" i="13176"/>
  <c r="Q844" i="13176"/>
  <c r="AH844" i="13176"/>
  <c r="AY844" i="13176"/>
  <c r="K845" i="13176"/>
  <c r="AB845" i="13176"/>
  <c r="AR845" i="13176"/>
  <c r="E846" i="13176"/>
  <c r="V846" i="13176"/>
  <c r="AL846" i="13176"/>
  <c r="BC846" i="13176"/>
  <c r="O847" i="13176"/>
  <c r="AF847" i="13176"/>
  <c r="AW847" i="13176"/>
  <c r="I848" i="13176"/>
  <c r="Z848" i="13176"/>
  <c r="AP848" i="13176"/>
  <c r="C849" i="13176"/>
  <c r="T849" i="13176"/>
  <c r="AJ849" i="13176"/>
  <c r="BA849" i="13176"/>
  <c r="M850" i="13176"/>
  <c r="AD850" i="13176"/>
  <c r="AU850" i="13176"/>
  <c r="Q852" i="13176"/>
  <c r="AH852" i="13176"/>
  <c r="AY852" i="13176"/>
  <c r="K853" i="13176"/>
  <c r="AB853" i="13176"/>
  <c r="AR853" i="13176"/>
  <c r="E854" i="13176"/>
  <c r="V854" i="13176"/>
  <c r="AL854" i="13176"/>
  <c r="BC854" i="13176"/>
  <c r="O855" i="13176"/>
  <c r="AF855" i="13176"/>
  <c r="AW855" i="13176"/>
  <c r="C857" i="13176"/>
  <c r="T857" i="13176"/>
  <c r="AJ857" i="13176"/>
  <c r="BA857" i="13176"/>
  <c r="M858" i="13176"/>
  <c r="AD858" i="13176"/>
  <c r="AU858" i="13176"/>
  <c r="Q860" i="13176"/>
  <c r="AH860" i="13176"/>
  <c r="AY860" i="13176"/>
  <c r="AB861" i="13176"/>
  <c r="AR861" i="13176"/>
  <c r="E862" i="13176"/>
  <c r="V862" i="13176"/>
  <c r="AL862" i="13176"/>
  <c r="BC862" i="13176"/>
  <c r="O863" i="13176"/>
  <c r="AF863" i="13176"/>
  <c r="AW863" i="13176"/>
  <c r="C865" i="13176"/>
  <c r="T865" i="13176"/>
  <c r="AJ865" i="13176"/>
  <c r="BA865" i="13176"/>
  <c r="M866" i="13176"/>
  <c r="AE866" i="13176"/>
  <c r="AW866" i="13176"/>
  <c r="D869" i="13176"/>
  <c r="AY869" i="13176"/>
  <c r="AF880" i="13176"/>
  <c r="BB895" i="13176"/>
  <c r="AZ898" i="13176"/>
  <c r="AX901" i="13176"/>
  <c r="AV904" i="13176"/>
  <c r="AI907" i="13176"/>
  <c r="BA947" i="13176"/>
  <c r="U833" i="13176"/>
  <c r="AK833" i="13176"/>
  <c r="BB833" i="13176"/>
  <c r="S836" i="13176"/>
  <c r="AI836" i="13176"/>
  <c r="AZ836" i="13176"/>
  <c r="P839" i="13176"/>
  <c r="AG839" i="13176"/>
  <c r="AX839" i="13176"/>
  <c r="D841" i="13176"/>
  <c r="U841" i="13176"/>
  <c r="AK841" i="13176"/>
  <c r="BB841" i="13176"/>
  <c r="N842" i="13176"/>
  <c r="AE842" i="13176"/>
  <c r="AV842" i="13176"/>
  <c r="S844" i="13176"/>
  <c r="AI844" i="13176"/>
  <c r="AZ844" i="13176"/>
  <c r="F846" i="13176"/>
  <c r="W846" i="13176"/>
  <c r="AM846" i="13176"/>
  <c r="BD846" i="13176"/>
  <c r="P847" i="13176"/>
  <c r="AG847" i="13176"/>
  <c r="AX847" i="13176"/>
  <c r="D849" i="13176"/>
  <c r="U849" i="13176"/>
  <c r="AK849" i="13176"/>
  <c r="BB849" i="13176"/>
  <c r="N850" i="13176"/>
  <c r="AE850" i="13176"/>
  <c r="AV850" i="13176"/>
  <c r="S852" i="13176"/>
  <c r="AI852" i="13176"/>
  <c r="AZ852" i="13176"/>
  <c r="L853" i="13176"/>
  <c r="AC853" i="13176"/>
  <c r="AT853" i="13176"/>
  <c r="F854" i="13176"/>
  <c r="W854" i="13176"/>
  <c r="AM854" i="13176"/>
  <c r="BD854" i="13176"/>
  <c r="P855" i="13176"/>
  <c r="AG855" i="13176"/>
  <c r="AX855" i="13176"/>
  <c r="D857" i="13176"/>
  <c r="U857" i="13176"/>
  <c r="AK857" i="13176"/>
  <c r="BB857" i="13176"/>
  <c r="N858" i="13176"/>
  <c r="AE858" i="13176"/>
  <c r="AV858" i="13176"/>
  <c r="S860" i="13176"/>
  <c r="AI860" i="13176"/>
  <c r="AZ860" i="13176"/>
  <c r="AT861" i="13176"/>
  <c r="F862" i="13176"/>
  <c r="W862" i="13176"/>
  <c r="AM862" i="13176"/>
  <c r="BD862" i="13176"/>
  <c r="P863" i="13176"/>
  <c r="AG863" i="13176"/>
  <c r="AX863" i="13176"/>
  <c r="D865" i="13176"/>
  <c r="U865" i="13176"/>
  <c r="AK865" i="13176"/>
  <c r="BB865" i="13176"/>
  <c r="N866" i="13176"/>
  <c r="AF866" i="13176"/>
  <c r="AX866" i="13176"/>
  <c r="F869" i="13176"/>
  <c r="AZ869" i="13176"/>
  <c r="AV872" i="13176"/>
  <c r="AE872" i="13176"/>
  <c r="N872" i="13176"/>
  <c r="AU872" i="13176"/>
  <c r="AD872" i="13176"/>
  <c r="M872" i="13176"/>
  <c r="AT872" i="13176"/>
  <c r="AC872" i="13176"/>
  <c r="L872" i="13176"/>
  <c r="AR872" i="13176"/>
  <c r="AB872" i="13176"/>
  <c r="K872" i="13176"/>
  <c r="AQ872" i="13176"/>
  <c r="AA872" i="13176"/>
  <c r="J872" i="13176"/>
  <c r="AP872" i="13176"/>
  <c r="Z872" i="13176"/>
  <c r="I872" i="13176"/>
  <c r="AN872" i="13176"/>
  <c r="X872" i="13176"/>
  <c r="G872" i="13176"/>
  <c r="BD872" i="13176"/>
  <c r="AM872" i="13176"/>
  <c r="W872" i="13176"/>
  <c r="F872" i="13176"/>
  <c r="BC872" i="13176"/>
  <c r="AL872" i="13176"/>
  <c r="V872" i="13176"/>
  <c r="E872" i="13176"/>
  <c r="BB872" i="13176"/>
  <c r="AK872" i="13176"/>
  <c r="U872" i="13176"/>
  <c r="BA872" i="13176"/>
  <c r="AJ872" i="13176"/>
  <c r="T872" i="13176"/>
  <c r="C872" i="13176"/>
  <c r="AZ872" i="13176"/>
  <c r="AZ874" i="13176"/>
  <c r="AI880" i="13176"/>
  <c r="AQ886" i="13176"/>
  <c r="AO889" i="13176"/>
  <c r="BD892" i="13176"/>
  <c r="E833" i="13176"/>
  <c r="V833" i="13176"/>
  <c r="AL833" i="13176"/>
  <c r="BC833" i="13176"/>
  <c r="C836" i="13176"/>
  <c r="T836" i="13176"/>
  <c r="AJ836" i="13176"/>
  <c r="BA836" i="13176"/>
  <c r="Q839" i="13176"/>
  <c r="AH839" i="13176"/>
  <c r="AY839" i="13176"/>
  <c r="E841" i="13176"/>
  <c r="V841" i="13176"/>
  <c r="AL841" i="13176"/>
  <c r="BC841" i="13176"/>
  <c r="O842" i="13176"/>
  <c r="AF842" i="13176"/>
  <c r="AW842" i="13176"/>
  <c r="T844" i="13176"/>
  <c r="AJ844" i="13176"/>
  <c r="BA844" i="13176"/>
  <c r="G846" i="13176"/>
  <c r="X846" i="13176"/>
  <c r="AN846" i="13176"/>
  <c r="Q847" i="13176"/>
  <c r="AH847" i="13176"/>
  <c r="AY847" i="13176"/>
  <c r="AL849" i="13176"/>
  <c r="BC849" i="13176"/>
  <c r="AF850" i="13176"/>
  <c r="AW850" i="13176"/>
  <c r="G854" i="13176"/>
  <c r="X854" i="13176"/>
  <c r="AN854" i="13176"/>
  <c r="Q855" i="13176"/>
  <c r="AH855" i="13176"/>
  <c r="AY855" i="13176"/>
  <c r="G862" i="13176"/>
  <c r="X862" i="13176"/>
  <c r="AN862" i="13176"/>
  <c r="Q863" i="13176"/>
  <c r="AH863" i="13176"/>
  <c r="AY863" i="13176"/>
  <c r="I869" i="13176"/>
  <c r="BA869" i="13176"/>
  <c r="AW880" i="13176"/>
  <c r="AT883" i="13176"/>
  <c r="AW911" i="13176"/>
  <c r="AN933" i="13176"/>
  <c r="S839" i="13176"/>
  <c r="AI839" i="13176"/>
  <c r="AZ839" i="13176"/>
  <c r="P842" i="13176"/>
  <c r="AG842" i="13176"/>
  <c r="AX842" i="13176"/>
  <c r="H846" i="13176"/>
  <c r="Y846" i="13176"/>
  <c r="AO846" i="13176"/>
  <c r="S847" i="13176"/>
  <c r="AI847" i="13176"/>
  <c r="AZ847" i="13176"/>
  <c r="H854" i="13176"/>
  <c r="Y854" i="13176"/>
  <c r="AO854" i="13176"/>
  <c r="S855" i="13176"/>
  <c r="AI855" i="13176"/>
  <c r="AZ855" i="13176"/>
  <c r="H862" i="13176"/>
  <c r="Y862" i="13176"/>
  <c r="AO862" i="13176"/>
  <c r="S863" i="13176"/>
  <c r="AI863" i="13176"/>
  <c r="AZ863" i="13176"/>
  <c r="J869" i="13176"/>
  <c r="BB869" i="13176"/>
  <c r="AO873" i="13176"/>
  <c r="Y873" i="13176"/>
  <c r="H873" i="13176"/>
  <c r="AN873" i="13176"/>
  <c r="X873" i="13176"/>
  <c r="G873" i="13176"/>
  <c r="BD873" i="13176"/>
  <c r="AM873" i="13176"/>
  <c r="W873" i="13176"/>
  <c r="F873" i="13176"/>
  <c r="BC873" i="13176"/>
  <c r="AL873" i="13176"/>
  <c r="V873" i="13176"/>
  <c r="E873" i="13176"/>
  <c r="BB873" i="13176"/>
  <c r="AK873" i="13176"/>
  <c r="U873" i="13176"/>
  <c r="D873" i="13176"/>
  <c r="BA873" i="13176"/>
  <c r="AJ873" i="13176"/>
  <c r="T873" i="13176"/>
  <c r="C873" i="13176"/>
  <c r="AY873" i="13176"/>
  <c r="AH873" i="13176"/>
  <c r="Q873" i="13176"/>
  <c r="AX873" i="13176"/>
  <c r="AG873" i="13176"/>
  <c r="P873" i="13176"/>
  <c r="AW873" i="13176"/>
  <c r="AF873" i="13176"/>
  <c r="O873" i="13176"/>
  <c r="AV873" i="13176"/>
  <c r="AE873" i="13176"/>
  <c r="N873" i="13176"/>
  <c r="AU873" i="13176"/>
  <c r="AD873" i="13176"/>
  <c r="M873" i="13176"/>
  <c r="AR873" i="13176"/>
  <c r="AB873" i="13176"/>
  <c r="K873" i="13176"/>
  <c r="AX877" i="13176"/>
  <c r="AZ880" i="13176"/>
  <c r="M832" i="13176"/>
  <c r="AD832" i="13176"/>
  <c r="AU832" i="13176"/>
  <c r="G833" i="13176"/>
  <c r="X833" i="13176"/>
  <c r="AN833" i="13176"/>
  <c r="E836" i="13176"/>
  <c r="V836" i="13176"/>
  <c r="AL836" i="13176"/>
  <c r="BC836" i="13176"/>
  <c r="O837" i="13176"/>
  <c r="AF837" i="13176"/>
  <c r="AW837" i="13176"/>
  <c r="C839" i="13176"/>
  <c r="T839" i="13176"/>
  <c r="AJ839" i="13176"/>
  <c r="BA839" i="13176"/>
  <c r="M840" i="13176"/>
  <c r="AD840" i="13176"/>
  <c r="AU840" i="13176"/>
  <c r="G841" i="13176"/>
  <c r="X841" i="13176"/>
  <c r="AN841" i="13176"/>
  <c r="Q842" i="13176"/>
  <c r="AH842" i="13176"/>
  <c r="AY842" i="13176"/>
  <c r="E844" i="13176"/>
  <c r="V844" i="13176"/>
  <c r="AL844" i="13176"/>
  <c r="BC844" i="13176"/>
  <c r="O845" i="13176"/>
  <c r="AF845" i="13176"/>
  <c r="AW845" i="13176"/>
  <c r="I846" i="13176"/>
  <c r="Z846" i="13176"/>
  <c r="AP846" i="13176"/>
  <c r="C847" i="13176"/>
  <c r="T847" i="13176"/>
  <c r="AJ847" i="13176"/>
  <c r="BA847" i="13176"/>
  <c r="M848" i="13176"/>
  <c r="AD848" i="13176"/>
  <c r="AU848" i="13176"/>
  <c r="G849" i="13176"/>
  <c r="X849" i="13176"/>
  <c r="AN849" i="13176"/>
  <c r="Q850" i="13176"/>
  <c r="AH850" i="13176"/>
  <c r="AY850" i="13176"/>
  <c r="E852" i="13176"/>
  <c r="V852" i="13176"/>
  <c r="AL852" i="13176"/>
  <c r="BC852" i="13176"/>
  <c r="O853" i="13176"/>
  <c r="AF853" i="13176"/>
  <c r="AW853" i="13176"/>
  <c r="I854" i="13176"/>
  <c r="Z854" i="13176"/>
  <c r="AP854" i="13176"/>
  <c r="C855" i="13176"/>
  <c r="T855" i="13176"/>
  <c r="AJ855" i="13176"/>
  <c r="BA855" i="13176"/>
  <c r="M856" i="13176"/>
  <c r="AD856" i="13176"/>
  <c r="AU856" i="13176"/>
  <c r="G857" i="13176"/>
  <c r="X857" i="13176"/>
  <c r="AN857" i="13176"/>
  <c r="Q858" i="13176"/>
  <c r="AH858" i="13176"/>
  <c r="AY858" i="13176"/>
  <c r="E860" i="13176"/>
  <c r="V860" i="13176"/>
  <c r="AL860" i="13176"/>
  <c r="BC860" i="13176"/>
  <c r="O861" i="13176"/>
  <c r="AF861" i="13176"/>
  <c r="AW861" i="13176"/>
  <c r="I862" i="13176"/>
  <c r="Z862" i="13176"/>
  <c r="AP862" i="13176"/>
  <c r="C863" i="13176"/>
  <c r="T863" i="13176"/>
  <c r="AJ863" i="13176"/>
  <c r="BA863" i="13176"/>
  <c r="M864" i="13176"/>
  <c r="AD864" i="13176"/>
  <c r="AU864" i="13176"/>
  <c r="G865" i="13176"/>
  <c r="X865" i="13176"/>
  <c r="AN865" i="13176"/>
  <c r="Q866" i="13176"/>
  <c r="AI866" i="13176"/>
  <c r="P867" i="13176"/>
  <c r="AJ867" i="13176"/>
  <c r="BD868" i="13176"/>
  <c r="Q869" i="13176"/>
  <c r="BD869" i="13176"/>
  <c r="O872" i="13176"/>
  <c r="I873" i="13176"/>
  <c r="BB879" i="13176"/>
  <c r="D839" i="13176"/>
  <c r="U839" i="13176"/>
  <c r="AK839" i="13176"/>
  <c r="BB839" i="13176"/>
  <c r="S842" i="13176"/>
  <c r="AI842" i="13176"/>
  <c r="AZ842" i="13176"/>
  <c r="AM844" i="13176"/>
  <c r="BD844" i="13176"/>
  <c r="J846" i="13176"/>
  <c r="AA846" i="13176"/>
  <c r="AQ846" i="13176"/>
  <c r="D847" i="13176"/>
  <c r="U847" i="13176"/>
  <c r="AK847" i="13176"/>
  <c r="BB847" i="13176"/>
  <c r="Y849" i="13176"/>
  <c r="AO849" i="13176"/>
  <c r="S850" i="13176"/>
  <c r="AI850" i="13176"/>
  <c r="AZ850" i="13176"/>
  <c r="F852" i="13176"/>
  <c r="W852" i="13176"/>
  <c r="AM852" i="13176"/>
  <c r="BD852" i="13176"/>
  <c r="J854" i="13176"/>
  <c r="AA854" i="13176"/>
  <c r="AQ854" i="13176"/>
  <c r="D855" i="13176"/>
  <c r="U855" i="13176"/>
  <c r="AK855" i="13176"/>
  <c r="BB855" i="13176"/>
  <c r="H857" i="13176"/>
  <c r="Y857" i="13176"/>
  <c r="AO857" i="13176"/>
  <c r="S858" i="13176"/>
  <c r="AI858" i="13176"/>
  <c r="AZ858" i="13176"/>
  <c r="BD860" i="13176"/>
  <c r="J862" i="13176"/>
  <c r="AA862" i="13176"/>
  <c r="AQ862" i="13176"/>
  <c r="D863" i="13176"/>
  <c r="U863" i="13176"/>
  <c r="AK863" i="13176"/>
  <c r="BB863" i="13176"/>
  <c r="H865" i="13176"/>
  <c r="Y865" i="13176"/>
  <c r="AO865" i="13176"/>
  <c r="AY866" i="13176"/>
  <c r="AU866" i="13176"/>
  <c r="AD866" i="13176"/>
  <c r="S866" i="13176"/>
  <c r="AJ866" i="13176"/>
  <c r="BC866" i="13176"/>
  <c r="S869" i="13176"/>
  <c r="P872" i="13176"/>
  <c r="J873" i="13176"/>
  <c r="AO881" i="13176"/>
  <c r="AQ902" i="13176"/>
  <c r="AO905" i="13176"/>
  <c r="AU916" i="13176"/>
  <c r="AD916" i="13176"/>
  <c r="M916" i="13176"/>
  <c r="AT916" i="13176"/>
  <c r="AC916" i="13176"/>
  <c r="L916" i="13176"/>
  <c r="AR916" i="13176"/>
  <c r="AB916" i="13176"/>
  <c r="K916" i="13176"/>
  <c r="AP916" i="13176"/>
  <c r="Z916" i="13176"/>
  <c r="I916" i="13176"/>
  <c r="AN916" i="13176"/>
  <c r="X916" i="13176"/>
  <c r="G916" i="13176"/>
  <c r="BD916" i="13176"/>
  <c r="AM916" i="13176"/>
  <c r="W916" i="13176"/>
  <c r="F916" i="13176"/>
  <c r="BC916" i="13176"/>
  <c r="AL916" i="13176"/>
  <c r="V916" i="13176"/>
  <c r="E916" i="13176"/>
  <c r="BA916" i="13176"/>
  <c r="AJ916" i="13176"/>
  <c r="T916" i="13176"/>
  <c r="C916" i="13176"/>
  <c r="AY916" i="13176"/>
  <c r="AH916" i="13176"/>
  <c r="Q916" i="13176"/>
  <c r="AW916" i="13176"/>
  <c r="AF916" i="13176"/>
  <c r="O916" i="13176"/>
  <c r="AQ916" i="13176"/>
  <c r="AO916" i="13176"/>
  <c r="AK916" i="13176"/>
  <c r="AI916" i="13176"/>
  <c r="AG916" i="13176"/>
  <c r="AE916" i="13176"/>
  <c r="AA916" i="13176"/>
  <c r="Y916" i="13176"/>
  <c r="U916" i="13176"/>
  <c r="S916" i="13176"/>
  <c r="P916" i="13176"/>
  <c r="N916" i="13176"/>
  <c r="BB916" i="13176"/>
  <c r="J916" i="13176"/>
  <c r="AZ916" i="13176"/>
  <c r="H916" i="13176"/>
  <c r="AX916" i="13176"/>
  <c r="D916" i="13176"/>
  <c r="O832" i="13176"/>
  <c r="AF832" i="13176"/>
  <c r="AW832" i="13176"/>
  <c r="I833" i="13176"/>
  <c r="Z833" i="13176"/>
  <c r="AP833" i="13176"/>
  <c r="G836" i="13176"/>
  <c r="X836" i="13176"/>
  <c r="AN836" i="13176"/>
  <c r="Q837" i="13176"/>
  <c r="AH837" i="13176"/>
  <c r="AY837" i="13176"/>
  <c r="E839" i="13176"/>
  <c r="V839" i="13176"/>
  <c r="AL839" i="13176"/>
  <c r="BC839" i="13176"/>
  <c r="O840" i="13176"/>
  <c r="AF840" i="13176"/>
  <c r="AW840" i="13176"/>
  <c r="I841" i="13176"/>
  <c r="Z841" i="13176"/>
  <c r="AP841" i="13176"/>
  <c r="C842" i="13176"/>
  <c r="T842" i="13176"/>
  <c r="AJ842" i="13176"/>
  <c r="BA842" i="13176"/>
  <c r="G844" i="13176"/>
  <c r="X844" i="13176"/>
  <c r="AN844" i="13176"/>
  <c r="Q845" i="13176"/>
  <c r="AH845" i="13176"/>
  <c r="AY845" i="13176"/>
  <c r="K846" i="13176"/>
  <c r="AB846" i="13176"/>
  <c r="AR846" i="13176"/>
  <c r="E847" i="13176"/>
  <c r="V847" i="13176"/>
  <c r="AL847" i="13176"/>
  <c r="BC847" i="13176"/>
  <c r="O848" i="13176"/>
  <c r="AF848" i="13176"/>
  <c r="AW848" i="13176"/>
  <c r="I849" i="13176"/>
  <c r="Z849" i="13176"/>
  <c r="AP849" i="13176"/>
  <c r="C850" i="13176"/>
  <c r="T850" i="13176"/>
  <c r="AJ850" i="13176"/>
  <c r="BA850" i="13176"/>
  <c r="G852" i="13176"/>
  <c r="X852" i="13176"/>
  <c r="AN852" i="13176"/>
  <c r="Q853" i="13176"/>
  <c r="AH853" i="13176"/>
  <c r="AY853" i="13176"/>
  <c r="K854" i="13176"/>
  <c r="AB854" i="13176"/>
  <c r="AR854" i="13176"/>
  <c r="E855" i="13176"/>
  <c r="V855" i="13176"/>
  <c r="AL855" i="13176"/>
  <c r="BC855" i="13176"/>
  <c r="O856" i="13176"/>
  <c r="AF856" i="13176"/>
  <c r="AW856" i="13176"/>
  <c r="I857" i="13176"/>
  <c r="Z857" i="13176"/>
  <c r="AP857" i="13176"/>
  <c r="C858" i="13176"/>
  <c r="T858" i="13176"/>
  <c r="AJ858" i="13176"/>
  <c r="BA858" i="13176"/>
  <c r="G860" i="13176"/>
  <c r="X860" i="13176"/>
  <c r="AN860" i="13176"/>
  <c r="Q861" i="13176"/>
  <c r="AH861" i="13176"/>
  <c r="AY861" i="13176"/>
  <c r="K862" i="13176"/>
  <c r="AB862" i="13176"/>
  <c r="AR862" i="13176"/>
  <c r="E863" i="13176"/>
  <c r="V863" i="13176"/>
  <c r="AL863" i="13176"/>
  <c r="BC863" i="13176"/>
  <c r="I865" i="13176"/>
  <c r="Z865" i="13176"/>
  <c r="AP865" i="13176"/>
  <c r="C866" i="13176"/>
  <c r="T866" i="13176"/>
  <c r="AK866" i="13176"/>
  <c r="BD866" i="13176"/>
  <c r="S867" i="13176"/>
  <c r="AM867" i="13176"/>
  <c r="T869" i="13176"/>
  <c r="AQ870" i="13176"/>
  <c r="Q872" i="13176"/>
  <c r="L873" i="13176"/>
  <c r="BB887" i="13176"/>
  <c r="AZ890" i="13176"/>
  <c r="AX893" i="13176"/>
  <c r="AV896" i="13176"/>
  <c r="AT899" i="13176"/>
  <c r="AV916" i="13176"/>
  <c r="BD950" i="13176"/>
  <c r="J833" i="13176"/>
  <c r="AA833" i="13176"/>
  <c r="AQ833" i="13176"/>
  <c r="H836" i="13176"/>
  <c r="Y836" i="13176"/>
  <c r="AO836" i="13176"/>
  <c r="S837" i="13176"/>
  <c r="AI837" i="13176"/>
  <c r="AZ837" i="13176"/>
  <c r="F839" i="13176"/>
  <c r="W839" i="13176"/>
  <c r="AM839" i="13176"/>
  <c r="BD839" i="13176"/>
  <c r="J841" i="13176"/>
  <c r="AA841" i="13176"/>
  <c r="AQ841" i="13176"/>
  <c r="D842" i="13176"/>
  <c r="U842" i="13176"/>
  <c r="AK842" i="13176"/>
  <c r="BB842" i="13176"/>
  <c r="H844" i="13176"/>
  <c r="Y844" i="13176"/>
  <c r="AO844" i="13176"/>
  <c r="S845" i="13176"/>
  <c r="AI845" i="13176"/>
  <c r="AZ845" i="13176"/>
  <c r="L846" i="13176"/>
  <c r="AC846" i="13176"/>
  <c r="AT846" i="13176"/>
  <c r="F847" i="13176"/>
  <c r="W847" i="13176"/>
  <c r="AM847" i="13176"/>
  <c r="BD847" i="13176"/>
  <c r="J849" i="13176"/>
  <c r="AA849" i="13176"/>
  <c r="AQ849" i="13176"/>
  <c r="D850" i="13176"/>
  <c r="U850" i="13176"/>
  <c r="AK850" i="13176"/>
  <c r="BB850" i="13176"/>
  <c r="H852" i="13176"/>
  <c r="Y852" i="13176"/>
  <c r="AO852" i="13176"/>
  <c r="S853" i="13176"/>
  <c r="AI853" i="13176"/>
  <c r="AZ853" i="13176"/>
  <c r="L854" i="13176"/>
  <c r="AC854" i="13176"/>
  <c r="AT854" i="13176"/>
  <c r="F855" i="13176"/>
  <c r="W855" i="13176"/>
  <c r="AM855" i="13176"/>
  <c r="BD855" i="13176"/>
  <c r="J857" i="13176"/>
  <c r="AA857" i="13176"/>
  <c r="AQ857" i="13176"/>
  <c r="D858" i="13176"/>
  <c r="U858" i="13176"/>
  <c r="AK858" i="13176"/>
  <c r="BB858" i="13176"/>
  <c r="H860" i="13176"/>
  <c r="Y860" i="13176"/>
  <c r="AO860" i="13176"/>
  <c r="S861" i="13176"/>
  <c r="AI861" i="13176"/>
  <c r="AZ861" i="13176"/>
  <c r="L862" i="13176"/>
  <c r="AC862" i="13176"/>
  <c r="AT862" i="13176"/>
  <c r="F863" i="13176"/>
  <c r="W863" i="13176"/>
  <c r="AM863" i="13176"/>
  <c r="BD863" i="13176"/>
  <c r="J865" i="13176"/>
  <c r="AA865" i="13176"/>
  <c r="AQ865" i="13176"/>
  <c r="D866" i="13176"/>
  <c r="U866" i="13176"/>
  <c r="AL866" i="13176"/>
  <c r="T867" i="13176"/>
  <c r="U869" i="13176"/>
  <c r="S872" i="13176"/>
  <c r="S873" i="13176"/>
  <c r="BD884" i="13176"/>
  <c r="BD912" i="13176"/>
  <c r="AK958" i="13176"/>
  <c r="Q832" i="13176"/>
  <c r="AH832" i="13176"/>
  <c r="AY832" i="13176"/>
  <c r="K833" i="13176"/>
  <c r="AB833" i="13176"/>
  <c r="AR833" i="13176"/>
  <c r="I836" i="13176"/>
  <c r="Z836" i="13176"/>
  <c r="AP836" i="13176"/>
  <c r="C837" i="13176"/>
  <c r="T837" i="13176"/>
  <c r="AJ837" i="13176"/>
  <c r="BA837" i="13176"/>
  <c r="G839" i="13176"/>
  <c r="X839" i="13176"/>
  <c r="AN839" i="13176"/>
  <c r="Q840" i="13176"/>
  <c r="AH840" i="13176"/>
  <c r="AY840" i="13176"/>
  <c r="K841" i="13176"/>
  <c r="AB841" i="13176"/>
  <c r="AR841" i="13176"/>
  <c r="E842" i="13176"/>
  <c r="V842" i="13176"/>
  <c r="AL842" i="13176"/>
  <c r="BC842" i="13176"/>
  <c r="I844" i="13176"/>
  <c r="Z844" i="13176"/>
  <c r="AP844" i="13176"/>
  <c r="C845" i="13176"/>
  <c r="T845" i="13176"/>
  <c r="AJ845" i="13176"/>
  <c r="BA845" i="13176"/>
  <c r="M846" i="13176"/>
  <c r="AD846" i="13176"/>
  <c r="AU846" i="13176"/>
  <c r="G847" i="13176"/>
  <c r="X847" i="13176"/>
  <c r="AN847" i="13176"/>
  <c r="Q848" i="13176"/>
  <c r="AH848" i="13176"/>
  <c r="AY848" i="13176"/>
  <c r="K849" i="13176"/>
  <c r="AB849" i="13176"/>
  <c r="AR849" i="13176"/>
  <c r="E850" i="13176"/>
  <c r="V850" i="13176"/>
  <c r="AL850" i="13176"/>
  <c r="BC850" i="13176"/>
  <c r="I852" i="13176"/>
  <c r="Z852" i="13176"/>
  <c r="AP852" i="13176"/>
  <c r="C853" i="13176"/>
  <c r="T853" i="13176"/>
  <c r="AJ853" i="13176"/>
  <c r="BA853" i="13176"/>
  <c r="M854" i="13176"/>
  <c r="AD854" i="13176"/>
  <c r="AU854" i="13176"/>
  <c r="G855" i="13176"/>
  <c r="X855" i="13176"/>
  <c r="AN855" i="13176"/>
  <c r="Q856" i="13176"/>
  <c r="AH856" i="13176"/>
  <c r="AY856" i="13176"/>
  <c r="K857" i="13176"/>
  <c r="AB857" i="13176"/>
  <c r="AR857" i="13176"/>
  <c r="E858" i="13176"/>
  <c r="V858" i="13176"/>
  <c r="AL858" i="13176"/>
  <c r="BC858" i="13176"/>
  <c r="I860" i="13176"/>
  <c r="Z860" i="13176"/>
  <c r="AP860" i="13176"/>
  <c r="C861" i="13176"/>
  <c r="T861" i="13176"/>
  <c r="AJ861" i="13176"/>
  <c r="BA861" i="13176"/>
  <c r="M862" i="13176"/>
  <c r="AD862" i="13176"/>
  <c r="AU862" i="13176"/>
  <c r="G863" i="13176"/>
  <c r="X863" i="13176"/>
  <c r="AN863" i="13176"/>
  <c r="K865" i="13176"/>
  <c r="AB865" i="13176"/>
  <c r="AR865" i="13176"/>
  <c r="E866" i="13176"/>
  <c r="V866" i="13176"/>
  <c r="AM866" i="13176"/>
  <c r="AR867" i="13176"/>
  <c r="AB867" i="13176"/>
  <c r="K867" i="13176"/>
  <c r="AP867" i="13176"/>
  <c r="AN867" i="13176"/>
  <c r="X867" i="13176"/>
  <c r="G867" i="13176"/>
  <c r="BB867" i="13176"/>
  <c r="AK867" i="13176"/>
  <c r="U867" i="13176"/>
  <c r="V867" i="13176"/>
  <c r="AQ867" i="13176"/>
  <c r="W869" i="13176"/>
  <c r="Y872" i="13176"/>
  <c r="Z873" i="13176"/>
  <c r="S832" i="13176"/>
  <c r="AI832" i="13176"/>
  <c r="AZ832" i="13176"/>
  <c r="L833" i="13176"/>
  <c r="AC833" i="13176"/>
  <c r="AT833" i="13176"/>
  <c r="J836" i="13176"/>
  <c r="AA836" i="13176"/>
  <c r="AQ836" i="13176"/>
  <c r="D837" i="13176"/>
  <c r="U837" i="13176"/>
  <c r="AK837" i="13176"/>
  <c r="BB837" i="13176"/>
  <c r="H839" i="13176"/>
  <c r="Y839" i="13176"/>
  <c r="AO839" i="13176"/>
  <c r="S840" i="13176"/>
  <c r="AI840" i="13176"/>
  <c r="AZ840" i="13176"/>
  <c r="L841" i="13176"/>
  <c r="AC841" i="13176"/>
  <c r="AT841" i="13176"/>
  <c r="F842" i="13176"/>
  <c r="W842" i="13176"/>
  <c r="AM842" i="13176"/>
  <c r="BD842" i="13176"/>
  <c r="J844" i="13176"/>
  <c r="AA844" i="13176"/>
  <c r="AQ844" i="13176"/>
  <c r="D845" i="13176"/>
  <c r="U845" i="13176"/>
  <c r="AK845" i="13176"/>
  <c r="BB845" i="13176"/>
  <c r="N846" i="13176"/>
  <c r="AE846" i="13176"/>
  <c r="AV846" i="13176"/>
  <c r="H847" i="13176"/>
  <c r="Y847" i="13176"/>
  <c r="AO847" i="13176"/>
  <c r="S848" i="13176"/>
  <c r="AI848" i="13176"/>
  <c r="AZ848" i="13176"/>
  <c r="L849" i="13176"/>
  <c r="AC849" i="13176"/>
  <c r="AT849" i="13176"/>
  <c r="F850" i="13176"/>
  <c r="W850" i="13176"/>
  <c r="AM850" i="13176"/>
  <c r="BD850" i="13176"/>
  <c r="J852" i="13176"/>
  <c r="AA852" i="13176"/>
  <c r="AQ852" i="13176"/>
  <c r="D853" i="13176"/>
  <c r="U853" i="13176"/>
  <c r="AK853" i="13176"/>
  <c r="BB853" i="13176"/>
  <c r="N854" i="13176"/>
  <c r="AE854" i="13176"/>
  <c r="AV854" i="13176"/>
  <c r="H855" i="13176"/>
  <c r="Y855" i="13176"/>
  <c r="AO855" i="13176"/>
  <c r="S856" i="13176"/>
  <c r="AI856" i="13176"/>
  <c r="AZ856" i="13176"/>
  <c r="L857" i="13176"/>
  <c r="AC857" i="13176"/>
  <c r="AT857" i="13176"/>
  <c r="F858" i="13176"/>
  <c r="W858" i="13176"/>
  <c r="AM858" i="13176"/>
  <c r="BD858" i="13176"/>
  <c r="J860" i="13176"/>
  <c r="AA860" i="13176"/>
  <c r="AQ860" i="13176"/>
  <c r="D861" i="13176"/>
  <c r="U861" i="13176"/>
  <c r="AK861" i="13176"/>
  <c r="BB861" i="13176"/>
  <c r="N862" i="13176"/>
  <c r="AE862" i="13176"/>
  <c r="AV862" i="13176"/>
  <c r="H863" i="13176"/>
  <c r="Y863" i="13176"/>
  <c r="AO863" i="13176"/>
  <c r="S864" i="13176"/>
  <c r="AI864" i="13176"/>
  <c r="AZ864" i="13176"/>
  <c r="L865" i="13176"/>
  <c r="AC865" i="13176"/>
  <c r="AT865" i="13176"/>
  <c r="F866" i="13176"/>
  <c r="W866" i="13176"/>
  <c r="AN866" i="13176"/>
  <c r="C867" i="13176"/>
  <c r="W867" i="13176"/>
  <c r="AT867" i="13176"/>
  <c r="AA869" i="13176"/>
  <c r="AF872" i="13176"/>
  <c r="AA873" i="13176"/>
  <c r="C832" i="13176"/>
  <c r="T832" i="13176"/>
  <c r="AJ832" i="13176"/>
  <c r="M833" i="13176"/>
  <c r="AD833" i="13176"/>
  <c r="K836" i="13176"/>
  <c r="AB836" i="13176"/>
  <c r="E837" i="13176"/>
  <c r="V837" i="13176"/>
  <c r="AL837" i="13176"/>
  <c r="I839" i="13176"/>
  <c r="Z839" i="13176"/>
  <c r="C840" i="13176"/>
  <c r="T840" i="13176"/>
  <c r="AJ840" i="13176"/>
  <c r="M841" i="13176"/>
  <c r="AD841" i="13176"/>
  <c r="G842" i="13176"/>
  <c r="X842" i="13176"/>
  <c r="K844" i="13176"/>
  <c r="AB844" i="13176"/>
  <c r="E845" i="13176"/>
  <c r="V845" i="13176"/>
  <c r="AL845" i="13176"/>
  <c r="O846" i="13176"/>
  <c r="AF846" i="13176"/>
  <c r="I847" i="13176"/>
  <c r="Z847" i="13176"/>
  <c r="C848" i="13176"/>
  <c r="T848" i="13176"/>
  <c r="AJ848" i="13176"/>
  <c r="M849" i="13176"/>
  <c r="AD849" i="13176"/>
  <c r="G850" i="13176"/>
  <c r="X850" i="13176"/>
  <c r="K852" i="13176"/>
  <c r="AB852" i="13176"/>
  <c r="E853" i="13176"/>
  <c r="V853" i="13176"/>
  <c r="AL853" i="13176"/>
  <c r="O854" i="13176"/>
  <c r="AF854" i="13176"/>
  <c r="I855" i="13176"/>
  <c r="Z855" i="13176"/>
  <c r="C856" i="13176"/>
  <c r="T856" i="13176"/>
  <c r="AJ856" i="13176"/>
  <c r="M857" i="13176"/>
  <c r="AD857" i="13176"/>
  <c r="G858" i="13176"/>
  <c r="X858" i="13176"/>
  <c r="K860" i="13176"/>
  <c r="AB860" i="13176"/>
  <c r="E861" i="13176"/>
  <c r="V861" i="13176"/>
  <c r="AL861" i="13176"/>
  <c r="O862" i="13176"/>
  <c r="AF862" i="13176"/>
  <c r="I863" i="13176"/>
  <c r="Z863" i="13176"/>
  <c r="C864" i="13176"/>
  <c r="T864" i="13176"/>
  <c r="AJ864" i="13176"/>
  <c r="M865" i="13176"/>
  <c r="AD865" i="13176"/>
  <c r="G866" i="13176"/>
  <c r="X866" i="13176"/>
  <c r="AO866" i="13176"/>
  <c r="D867" i="13176"/>
  <c r="Y867" i="13176"/>
  <c r="AU867" i="13176"/>
  <c r="AH869" i="13176"/>
  <c r="AG872" i="13176"/>
  <c r="AC873" i="13176"/>
  <c r="BD876" i="13176"/>
  <c r="BB903" i="13176"/>
  <c r="AZ906" i="13176"/>
  <c r="BC944" i="13176"/>
  <c r="S877" i="13176"/>
  <c r="AI877" i="13176"/>
  <c r="AZ877" i="13176"/>
  <c r="S885" i="13176"/>
  <c r="AI885" i="13176"/>
  <c r="AZ885" i="13176"/>
  <c r="P888" i="13176"/>
  <c r="AG888" i="13176"/>
  <c r="AX888" i="13176"/>
  <c r="S893" i="13176"/>
  <c r="AI893" i="13176"/>
  <c r="AZ893" i="13176"/>
  <c r="P896" i="13176"/>
  <c r="AG896" i="13176"/>
  <c r="AX896" i="13176"/>
  <c r="S901" i="13176"/>
  <c r="AI901" i="13176"/>
  <c r="AZ901" i="13176"/>
  <c r="P904" i="13176"/>
  <c r="AG904" i="13176"/>
  <c r="AX904" i="13176"/>
  <c r="Y912" i="13176"/>
  <c r="AA913" i="13176"/>
  <c r="AR935" i="13176"/>
  <c r="AN941" i="13176"/>
  <c r="AW875" i="13176"/>
  <c r="C877" i="13176"/>
  <c r="T877" i="13176"/>
  <c r="AJ877" i="13176"/>
  <c r="BA877" i="13176"/>
  <c r="K881" i="13176"/>
  <c r="AB881" i="13176"/>
  <c r="AR881" i="13176"/>
  <c r="C885" i="13176"/>
  <c r="T885" i="13176"/>
  <c r="AJ885" i="13176"/>
  <c r="BA885" i="13176"/>
  <c r="Q888" i="13176"/>
  <c r="AH888" i="13176"/>
  <c r="AY888" i="13176"/>
  <c r="AR889" i="13176"/>
  <c r="C893" i="13176"/>
  <c r="T893" i="13176"/>
  <c r="AJ893" i="13176"/>
  <c r="BA893" i="13176"/>
  <c r="Q896" i="13176"/>
  <c r="AH896" i="13176"/>
  <c r="AY896" i="13176"/>
  <c r="T901" i="13176"/>
  <c r="AJ901" i="13176"/>
  <c r="BA901" i="13176"/>
  <c r="Q904" i="13176"/>
  <c r="AH904" i="13176"/>
  <c r="AY904" i="13176"/>
  <c r="BC912" i="13176"/>
  <c r="AL912" i="13176"/>
  <c r="V912" i="13176"/>
  <c r="E912" i="13176"/>
  <c r="BB912" i="13176"/>
  <c r="AK912" i="13176"/>
  <c r="BA912" i="13176"/>
  <c r="AJ912" i="13176"/>
  <c r="T912" i="13176"/>
  <c r="C912" i="13176"/>
  <c r="AY912" i="13176"/>
  <c r="AH912" i="13176"/>
  <c r="Q912" i="13176"/>
  <c r="AW912" i="13176"/>
  <c r="AF912" i="13176"/>
  <c r="O912" i="13176"/>
  <c r="AU912" i="13176"/>
  <c r="AD912" i="13176"/>
  <c r="M912" i="13176"/>
  <c r="AR912" i="13176"/>
  <c r="AB912" i="13176"/>
  <c r="Z912" i="13176"/>
  <c r="AP914" i="13176"/>
  <c r="AP922" i="13176"/>
  <c r="AW937" i="13176"/>
  <c r="AE954" i="13176"/>
  <c r="S888" i="13176"/>
  <c r="AI888" i="13176"/>
  <c r="AZ888" i="13176"/>
  <c r="S896" i="13176"/>
  <c r="AI896" i="13176"/>
  <c r="AZ896" i="13176"/>
  <c r="S904" i="13176"/>
  <c r="AI904" i="13176"/>
  <c r="AZ904" i="13176"/>
  <c r="AW913" i="13176"/>
  <c r="AF913" i="13176"/>
  <c r="O913" i="13176"/>
  <c r="AV913" i="13176"/>
  <c r="AE913" i="13176"/>
  <c r="N913" i="13176"/>
  <c r="AU913" i="13176"/>
  <c r="AD913" i="13176"/>
  <c r="M913" i="13176"/>
  <c r="AR913" i="13176"/>
  <c r="AB913" i="13176"/>
  <c r="K913" i="13176"/>
  <c r="AP913" i="13176"/>
  <c r="Z913" i="13176"/>
  <c r="I913" i="13176"/>
  <c r="AO913" i="13176"/>
  <c r="AN913" i="13176"/>
  <c r="X913" i="13176"/>
  <c r="G913" i="13176"/>
  <c r="BC913" i="13176"/>
  <c r="AL913" i="13176"/>
  <c r="V913" i="13176"/>
  <c r="E913" i="13176"/>
  <c r="AG913" i="13176"/>
  <c r="BA939" i="13176"/>
  <c r="AB868" i="13176"/>
  <c r="AR868" i="13176"/>
  <c r="AP871" i="13176"/>
  <c r="Q875" i="13176"/>
  <c r="AH875" i="13176"/>
  <c r="AY875" i="13176"/>
  <c r="AR876" i="13176"/>
  <c r="E877" i="13176"/>
  <c r="V877" i="13176"/>
  <c r="AL877" i="13176"/>
  <c r="BC877" i="13176"/>
  <c r="M881" i="13176"/>
  <c r="AD881" i="13176"/>
  <c r="AU881" i="13176"/>
  <c r="Q883" i="13176"/>
  <c r="AH883" i="13176"/>
  <c r="AY883" i="13176"/>
  <c r="E885" i="13176"/>
  <c r="V885" i="13176"/>
  <c r="AL885" i="13176"/>
  <c r="BC885" i="13176"/>
  <c r="C888" i="13176"/>
  <c r="T888" i="13176"/>
  <c r="AJ888" i="13176"/>
  <c r="BA888" i="13176"/>
  <c r="M889" i="13176"/>
  <c r="AD889" i="13176"/>
  <c r="AU889" i="13176"/>
  <c r="Q891" i="13176"/>
  <c r="AH891" i="13176"/>
  <c r="AY891" i="13176"/>
  <c r="E893" i="13176"/>
  <c r="V893" i="13176"/>
  <c r="AL893" i="13176"/>
  <c r="BC893" i="13176"/>
  <c r="C896" i="13176"/>
  <c r="T896" i="13176"/>
  <c r="AJ896" i="13176"/>
  <c r="BA896" i="13176"/>
  <c r="M897" i="13176"/>
  <c r="AD897" i="13176"/>
  <c r="AU897" i="13176"/>
  <c r="Q899" i="13176"/>
  <c r="AH899" i="13176"/>
  <c r="AY899" i="13176"/>
  <c r="E901" i="13176"/>
  <c r="V901" i="13176"/>
  <c r="AL901" i="13176"/>
  <c r="BC901" i="13176"/>
  <c r="C904" i="13176"/>
  <c r="T904" i="13176"/>
  <c r="AJ904" i="13176"/>
  <c r="BA904" i="13176"/>
  <c r="M905" i="13176"/>
  <c r="AD905" i="13176"/>
  <c r="AU905" i="13176"/>
  <c r="F912" i="13176"/>
  <c r="AC912" i="13176"/>
  <c r="C913" i="13176"/>
  <c r="AH913" i="13176"/>
  <c r="AU924" i="13176"/>
  <c r="AD924" i="13176"/>
  <c r="M924" i="13176"/>
  <c r="AT924" i="13176"/>
  <c r="AC924" i="13176"/>
  <c r="L924" i="13176"/>
  <c r="AR924" i="13176"/>
  <c r="AB924" i="13176"/>
  <c r="K924" i="13176"/>
  <c r="AQ924" i="13176"/>
  <c r="AA924" i="13176"/>
  <c r="J924" i="13176"/>
  <c r="AP924" i="13176"/>
  <c r="Z924" i="13176"/>
  <c r="I924" i="13176"/>
  <c r="AO924" i="13176"/>
  <c r="Y924" i="13176"/>
  <c r="H924" i="13176"/>
  <c r="AN924" i="13176"/>
  <c r="X924" i="13176"/>
  <c r="G924" i="13176"/>
  <c r="BD924" i="13176"/>
  <c r="AM924" i="13176"/>
  <c r="W924" i="13176"/>
  <c r="F924" i="13176"/>
  <c r="BC924" i="13176"/>
  <c r="AL924" i="13176"/>
  <c r="V924" i="13176"/>
  <c r="E924" i="13176"/>
  <c r="BB924" i="13176"/>
  <c r="AK924" i="13176"/>
  <c r="U924" i="13176"/>
  <c r="D924" i="13176"/>
  <c r="BA924" i="13176"/>
  <c r="AJ924" i="13176"/>
  <c r="T924" i="13176"/>
  <c r="C924" i="13176"/>
  <c r="AY924" i="13176"/>
  <c r="AH924" i="13176"/>
  <c r="Q924" i="13176"/>
  <c r="AX924" i="13176"/>
  <c r="AG924" i="13176"/>
  <c r="P924" i="13176"/>
  <c r="AW924" i="13176"/>
  <c r="AF924" i="13176"/>
  <c r="O924" i="13176"/>
  <c r="AY926" i="13176"/>
  <c r="AH926" i="13176"/>
  <c r="Q926" i="13176"/>
  <c r="AX926" i="13176"/>
  <c r="AG926" i="13176"/>
  <c r="P926" i="13176"/>
  <c r="AW926" i="13176"/>
  <c r="AF926" i="13176"/>
  <c r="O926" i="13176"/>
  <c r="AV926" i="13176"/>
  <c r="AE926" i="13176"/>
  <c r="N926" i="13176"/>
  <c r="AU926" i="13176"/>
  <c r="AD926" i="13176"/>
  <c r="M926" i="13176"/>
  <c r="AT926" i="13176"/>
  <c r="AC926" i="13176"/>
  <c r="L926" i="13176"/>
  <c r="AR926" i="13176"/>
  <c r="AB926" i="13176"/>
  <c r="K926" i="13176"/>
  <c r="AQ926" i="13176"/>
  <c r="AA926" i="13176"/>
  <c r="J926" i="13176"/>
  <c r="AP926" i="13176"/>
  <c r="Z926" i="13176"/>
  <c r="I926" i="13176"/>
  <c r="AO926" i="13176"/>
  <c r="Y926" i="13176"/>
  <c r="H926" i="13176"/>
  <c r="AN926" i="13176"/>
  <c r="X926" i="13176"/>
  <c r="G926" i="13176"/>
  <c r="BC926" i="13176"/>
  <c r="AL926" i="13176"/>
  <c r="V926" i="13176"/>
  <c r="E926" i="13176"/>
  <c r="BB926" i="13176"/>
  <c r="AK926" i="13176"/>
  <c r="U926" i="13176"/>
  <c r="D926" i="13176"/>
  <c r="BA926" i="13176"/>
  <c r="AJ926" i="13176"/>
  <c r="T926" i="13176"/>
  <c r="C926" i="13176"/>
  <c r="AK959" i="13176"/>
  <c r="S875" i="13176"/>
  <c r="AI875" i="13176"/>
  <c r="AZ875" i="13176"/>
  <c r="F877" i="13176"/>
  <c r="W877" i="13176"/>
  <c r="AM877" i="13176"/>
  <c r="BD877" i="13176"/>
  <c r="N881" i="13176"/>
  <c r="AE881" i="13176"/>
  <c r="AV881" i="13176"/>
  <c r="S883" i="13176"/>
  <c r="AI883" i="13176"/>
  <c r="AZ883" i="13176"/>
  <c r="F885" i="13176"/>
  <c r="W885" i="13176"/>
  <c r="AM885" i="13176"/>
  <c r="BD885" i="13176"/>
  <c r="D888" i="13176"/>
  <c r="U888" i="13176"/>
  <c r="AK888" i="13176"/>
  <c r="BB888" i="13176"/>
  <c r="N889" i="13176"/>
  <c r="AE889" i="13176"/>
  <c r="AV889" i="13176"/>
  <c r="S891" i="13176"/>
  <c r="AI891" i="13176"/>
  <c r="AZ891" i="13176"/>
  <c r="F893" i="13176"/>
  <c r="W893" i="13176"/>
  <c r="AM893" i="13176"/>
  <c r="BD893" i="13176"/>
  <c r="D896" i="13176"/>
  <c r="U896" i="13176"/>
  <c r="AK896" i="13176"/>
  <c r="BB896" i="13176"/>
  <c r="N897" i="13176"/>
  <c r="AE897" i="13176"/>
  <c r="AV897" i="13176"/>
  <c r="S899" i="13176"/>
  <c r="AI899" i="13176"/>
  <c r="AZ899" i="13176"/>
  <c r="F901" i="13176"/>
  <c r="W901" i="13176"/>
  <c r="AM901" i="13176"/>
  <c r="BD901" i="13176"/>
  <c r="D904" i="13176"/>
  <c r="U904" i="13176"/>
  <c r="AK904" i="13176"/>
  <c r="BB904" i="13176"/>
  <c r="N905" i="13176"/>
  <c r="AE905" i="13176"/>
  <c r="AV905" i="13176"/>
  <c r="BA907" i="13176"/>
  <c r="AJ907" i="13176"/>
  <c r="AY907" i="13176"/>
  <c r="AU907" i="13176"/>
  <c r="AD907" i="13176"/>
  <c r="AR907" i="13176"/>
  <c r="S907" i="13176"/>
  <c r="AK907" i="13176"/>
  <c r="AU908" i="13176"/>
  <c r="AD908" i="13176"/>
  <c r="M908" i="13176"/>
  <c r="AR908" i="13176"/>
  <c r="AB908" i="13176"/>
  <c r="K908" i="13176"/>
  <c r="AN908" i="13176"/>
  <c r="X908" i="13176"/>
  <c r="G908" i="13176"/>
  <c r="BC908" i="13176"/>
  <c r="AL908" i="13176"/>
  <c r="V908" i="13176"/>
  <c r="E908" i="13176"/>
  <c r="Y908" i="13176"/>
  <c r="AV908" i="13176"/>
  <c r="W910" i="13176"/>
  <c r="G912" i="13176"/>
  <c r="AE912" i="13176"/>
  <c r="D913" i="13176"/>
  <c r="AI913" i="13176"/>
  <c r="AN917" i="13176"/>
  <c r="X917" i="13176"/>
  <c r="G917" i="13176"/>
  <c r="BD917" i="13176"/>
  <c r="AM917" i="13176"/>
  <c r="W917" i="13176"/>
  <c r="F917" i="13176"/>
  <c r="BC917" i="13176"/>
  <c r="AL917" i="13176"/>
  <c r="V917" i="13176"/>
  <c r="E917" i="13176"/>
  <c r="BB917" i="13176"/>
  <c r="AK917" i="13176"/>
  <c r="BA917" i="13176"/>
  <c r="AJ917" i="13176"/>
  <c r="T917" i="13176"/>
  <c r="C917" i="13176"/>
  <c r="AY917" i="13176"/>
  <c r="AH917" i="13176"/>
  <c r="Q917" i="13176"/>
  <c r="AX917" i="13176"/>
  <c r="AG917" i="13176"/>
  <c r="P917" i="13176"/>
  <c r="AW917" i="13176"/>
  <c r="AF917" i="13176"/>
  <c r="O917" i="13176"/>
  <c r="AU917" i="13176"/>
  <c r="AD917" i="13176"/>
  <c r="M917" i="13176"/>
  <c r="AR917" i="13176"/>
  <c r="AB917" i="13176"/>
  <c r="K917" i="13176"/>
  <c r="AP917" i="13176"/>
  <c r="Z917" i="13176"/>
  <c r="I917" i="13176"/>
  <c r="AV917" i="13176"/>
  <c r="BB918" i="13176"/>
  <c r="N924" i="13176"/>
  <c r="F926" i="13176"/>
  <c r="BC928" i="13176"/>
  <c r="AK951" i="13176"/>
  <c r="AD868" i="13176"/>
  <c r="AU868" i="13176"/>
  <c r="AR871" i="13176"/>
  <c r="AP874" i="13176"/>
  <c r="C875" i="13176"/>
  <c r="T875" i="13176"/>
  <c r="AJ875" i="13176"/>
  <c r="BA875" i="13176"/>
  <c r="AU876" i="13176"/>
  <c r="G877" i="13176"/>
  <c r="X877" i="13176"/>
  <c r="AN877" i="13176"/>
  <c r="O881" i="13176"/>
  <c r="AF881" i="13176"/>
  <c r="AW881" i="13176"/>
  <c r="C883" i="13176"/>
  <c r="T883" i="13176"/>
  <c r="AJ883" i="13176"/>
  <c r="BA883" i="13176"/>
  <c r="G885" i="13176"/>
  <c r="X885" i="13176"/>
  <c r="AN885" i="13176"/>
  <c r="E888" i="13176"/>
  <c r="V888" i="13176"/>
  <c r="AL888" i="13176"/>
  <c r="BC888" i="13176"/>
  <c r="O889" i="13176"/>
  <c r="AF889" i="13176"/>
  <c r="AW889" i="13176"/>
  <c r="C891" i="13176"/>
  <c r="T891" i="13176"/>
  <c r="AJ891" i="13176"/>
  <c r="BA891" i="13176"/>
  <c r="G893" i="13176"/>
  <c r="X893" i="13176"/>
  <c r="AN893" i="13176"/>
  <c r="E896" i="13176"/>
  <c r="V896" i="13176"/>
  <c r="AL896" i="13176"/>
  <c r="BC896" i="13176"/>
  <c r="O897" i="13176"/>
  <c r="AF897" i="13176"/>
  <c r="AW897" i="13176"/>
  <c r="C899" i="13176"/>
  <c r="T899" i="13176"/>
  <c r="AJ899" i="13176"/>
  <c r="BA899" i="13176"/>
  <c r="G901" i="13176"/>
  <c r="X901" i="13176"/>
  <c r="AN901" i="13176"/>
  <c r="E904" i="13176"/>
  <c r="V904" i="13176"/>
  <c r="AL904" i="13176"/>
  <c r="BC904" i="13176"/>
  <c r="O905" i="13176"/>
  <c r="AF905" i="13176"/>
  <c r="AW905" i="13176"/>
  <c r="C907" i="13176"/>
  <c r="T907" i="13176"/>
  <c r="AL907" i="13176"/>
  <c r="AY910" i="13176"/>
  <c r="AH910" i="13176"/>
  <c r="Q910" i="13176"/>
  <c r="AW910" i="13176"/>
  <c r="AF910" i="13176"/>
  <c r="O910" i="13176"/>
  <c r="AU910" i="13176"/>
  <c r="AD910" i="13176"/>
  <c r="M910" i="13176"/>
  <c r="AR910" i="13176"/>
  <c r="AB910" i="13176"/>
  <c r="K910" i="13176"/>
  <c r="AP910" i="13176"/>
  <c r="Z910" i="13176"/>
  <c r="I910" i="13176"/>
  <c r="X910" i="13176"/>
  <c r="AX910" i="13176"/>
  <c r="H912" i="13176"/>
  <c r="AG912" i="13176"/>
  <c r="F913" i="13176"/>
  <c r="AJ913" i="13176"/>
  <c r="AW921" i="13176"/>
  <c r="AF921" i="13176"/>
  <c r="O921" i="13176"/>
  <c r="AV921" i="13176"/>
  <c r="AE921" i="13176"/>
  <c r="N921" i="13176"/>
  <c r="AU921" i="13176"/>
  <c r="AD921" i="13176"/>
  <c r="M921" i="13176"/>
  <c r="AT921" i="13176"/>
  <c r="AC921" i="13176"/>
  <c r="L921" i="13176"/>
  <c r="AR921" i="13176"/>
  <c r="AB921" i="13176"/>
  <c r="K921" i="13176"/>
  <c r="AP921" i="13176"/>
  <c r="Z921" i="13176"/>
  <c r="I921" i="13176"/>
  <c r="AO921" i="13176"/>
  <c r="Y921" i="13176"/>
  <c r="H921" i="13176"/>
  <c r="AN921" i="13176"/>
  <c r="X921" i="13176"/>
  <c r="G921" i="13176"/>
  <c r="BD921" i="13176"/>
  <c r="AM921" i="13176"/>
  <c r="W921" i="13176"/>
  <c r="F921" i="13176"/>
  <c r="BC921" i="13176"/>
  <c r="AL921" i="13176"/>
  <c r="V921" i="13176"/>
  <c r="E921" i="13176"/>
  <c r="BA921" i="13176"/>
  <c r="AJ921" i="13176"/>
  <c r="T921" i="13176"/>
  <c r="C921" i="13176"/>
  <c r="AZ921" i="13176"/>
  <c r="AI921" i="13176"/>
  <c r="S921" i="13176"/>
  <c r="AY921" i="13176"/>
  <c r="AH921" i="13176"/>
  <c r="Q921" i="13176"/>
  <c r="S924" i="13176"/>
  <c r="S926" i="13176"/>
  <c r="AY942" i="13176"/>
  <c r="AH942" i="13176"/>
  <c r="Q942" i="13176"/>
  <c r="AX942" i="13176"/>
  <c r="AG942" i="13176"/>
  <c r="P942" i="13176"/>
  <c r="AW942" i="13176"/>
  <c r="AF942" i="13176"/>
  <c r="O942" i="13176"/>
  <c r="AV942" i="13176"/>
  <c r="AE942" i="13176"/>
  <c r="N942" i="13176"/>
  <c r="AU942" i="13176"/>
  <c r="AD942" i="13176"/>
  <c r="M942" i="13176"/>
  <c r="AT942" i="13176"/>
  <c r="AC942" i="13176"/>
  <c r="L942" i="13176"/>
  <c r="AR942" i="13176"/>
  <c r="AB942" i="13176"/>
  <c r="K942" i="13176"/>
  <c r="AQ942" i="13176"/>
  <c r="AA942" i="13176"/>
  <c r="J942" i="13176"/>
  <c r="AP942" i="13176"/>
  <c r="Z942" i="13176"/>
  <c r="I942" i="13176"/>
  <c r="AO942" i="13176"/>
  <c r="Y942" i="13176"/>
  <c r="H942" i="13176"/>
  <c r="AN942" i="13176"/>
  <c r="X942" i="13176"/>
  <c r="G942" i="13176"/>
  <c r="BD942" i="13176"/>
  <c r="AM942" i="13176"/>
  <c r="W942" i="13176"/>
  <c r="F942" i="13176"/>
  <c r="BC942" i="13176"/>
  <c r="AL942" i="13176"/>
  <c r="V942" i="13176"/>
  <c r="E942" i="13176"/>
  <c r="BB942" i="13176"/>
  <c r="AK942" i="13176"/>
  <c r="U942" i="13176"/>
  <c r="D942" i="13176"/>
  <c r="BA942" i="13176"/>
  <c r="AJ942" i="13176"/>
  <c r="T942" i="13176"/>
  <c r="C942" i="13176"/>
  <c r="AW945" i="13176"/>
  <c r="AU948" i="13176"/>
  <c r="AR965" i="13176"/>
  <c r="N868" i="13176"/>
  <c r="AE868" i="13176"/>
  <c r="AV868" i="13176"/>
  <c r="S870" i="13176"/>
  <c r="AI870" i="13176"/>
  <c r="AZ870" i="13176"/>
  <c r="L871" i="13176"/>
  <c r="AC871" i="13176"/>
  <c r="AT871" i="13176"/>
  <c r="J874" i="13176"/>
  <c r="AA874" i="13176"/>
  <c r="AQ874" i="13176"/>
  <c r="D875" i="13176"/>
  <c r="U875" i="13176"/>
  <c r="AK875" i="13176"/>
  <c r="BB875" i="13176"/>
  <c r="N876" i="13176"/>
  <c r="AE876" i="13176"/>
  <c r="AV876" i="13176"/>
  <c r="H877" i="13176"/>
  <c r="Y877" i="13176"/>
  <c r="AO877" i="13176"/>
  <c r="S878" i="13176"/>
  <c r="AI878" i="13176"/>
  <c r="AZ878" i="13176"/>
  <c r="L879" i="13176"/>
  <c r="AC879" i="13176"/>
  <c r="AT879" i="13176"/>
  <c r="P881" i="13176"/>
  <c r="AG881" i="13176"/>
  <c r="AX881" i="13176"/>
  <c r="J882" i="13176"/>
  <c r="AA882" i="13176"/>
  <c r="AQ882" i="13176"/>
  <c r="D883" i="13176"/>
  <c r="U883" i="13176"/>
  <c r="AK883" i="13176"/>
  <c r="BB883" i="13176"/>
  <c r="N884" i="13176"/>
  <c r="AE884" i="13176"/>
  <c r="AV884" i="13176"/>
  <c r="H885" i="13176"/>
  <c r="Y885" i="13176"/>
  <c r="AO885" i="13176"/>
  <c r="S886" i="13176"/>
  <c r="AI886" i="13176"/>
  <c r="AZ886" i="13176"/>
  <c r="L887" i="13176"/>
  <c r="AC887" i="13176"/>
  <c r="AT887" i="13176"/>
  <c r="F888" i="13176"/>
  <c r="W888" i="13176"/>
  <c r="AM888" i="13176"/>
  <c r="BD888" i="13176"/>
  <c r="P889" i="13176"/>
  <c r="AG889" i="13176"/>
  <c r="AX889" i="13176"/>
  <c r="J890" i="13176"/>
  <c r="AA890" i="13176"/>
  <c r="AQ890" i="13176"/>
  <c r="D891" i="13176"/>
  <c r="U891" i="13176"/>
  <c r="AK891" i="13176"/>
  <c r="BB891" i="13176"/>
  <c r="N892" i="13176"/>
  <c r="AE892" i="13176"/>
  <c r="AV892" i="13176"/>
  <c r="H893" i="13176"/>
  <c r="Y893" i="13176"/>
  <c r="AO893" i="13176"/>
  <c r="S894" i="13176"/>
  <c r="AI894" i="13176"/>
  <c r="AZ894" i="13176"/>
  <c r="L895" i="13176"/>
  <c r="AC895" i="13176"/>
  <c r="AT895" i="13176"/>
  <c r="F896" i="13176"/>
  <c r="W896" i="13176"/>
  <c r="AM896" i="13176"/>
  <c r="BD896" i="13176"/>
  <c r="P897" i="13176"/>
  <c r="AG897" i="13176"/>
  <c r="AX897" i="13176"/>
  <c r="J898" i="13176"/>
  <c r="AA898" i="13176"/>
  <c r="AQ898" i="13176"/>
  <c r="D899" i="13176"/>
  <c r="U899" i="13176"/>
  <c r="AK899" i="13176"/>
  <c r="BB899" i="13176"/>
  <c r="N900" i="13176"/>
  <c r="AE900" i="13176"/>
  <c r="AV900" i="13176"/>
  <c r="H901" i="13176"/>
  <c r="Y901" i="13176"/>
  <c r="AO901" i="13176"/>
  <c r="S902" i="13176"/>
  <c r="AI902" i="13176"/>
  <c r="AZ902" i="13176"/>
  <c r="L903" i="13176"/>
  <c r="AC903" i="13176"/>
  <c r="AT903" i="13176"/>
  <c r="F904" i="13176"/>
  <c r="W904" i="13176"/>
  <c r="AM904" i="13176"/>
  <c r="BD904" i="13176"/>
  <c r="P905" i="13176"/>
  <c r="AG905" i="13176"/>
  <c r="AX905" i="13176"/>
  <c r="D907" i="13176"/>
  <c r="U907" i="13176"/>
  <c r="AM907" i="13176"/>
  <c r="D908" i="13176"/>
  <c r="AA908" i="13176"/>
  <c r="AX908" i="13176"/>
  <c r="C910" i="13176"/>
  <c r="Y910" i="13176"/>
  <c r="AZ910" i="13176"/>
  <c r="I912" i="13176"/>
  <c r="AI912" i="13176"/>
  <c r="H913" i="13176"/>
  <c r="AK913" i="13176"/>
  <c r="H917" i="13176"/>
  <c r="BC920" i="13176"/>
  <c r="D921" i="13176"/>
  <c r="AE924" i="13176"/>
  <c r="W926" i="13176"/>
  <c r="AP930" i="13176"/>
  <c r="S942" i="13176"/>
  <c r="AI960" i="13176"/>
  <c r="E875" i="13176"/>
  <c r="V875" i="13176"/>
  <c r="AL875" i="13176"/>
  <c r="BC875" i="13176"/>
  <c r="I877" i="13176"/>
  <c r="Z877" i="13176"/>
  <c r="AP877" i="13176"/>
  <c r="Q881" i="13176"/>
  <c r="AH881" i="13176"/>
  <c r="AY881" i="13176"/>
  <c r="E883" i="13176"/>
  <c r="V883" i="13176"/>
  <c r="AL883" i="13176"/>
  <c r="BC883" i="13176"/>
  <c r="I885" i="13176"/>
  <c r="Z885" i="13176"/>
  <c r="AP885" i="13176"/>
  <c r="G888" i="13176"/>
  <c r="X888" i="13176"/>
  <c r="AN888" i="13176"/>
  <c r="Q889" i="13176"/>
  <c r="AH889" i="13176"/>
  <c r="AY889" i="13176"/>
  <c r="E891" i="13176"/>
  <c r="V891" i="13176"/>
  <c r="AL891" i="13176"/>
  <c r="BC891" i="13176"/>
  <c r="I893" i="13176"/>
  <c r="Z893" i="13176"/>
  <c r="AP893" i="13176"/>
  <c r="G896" i="13176"/>
  <c r="X896" i="13176"/>
  <c r="AN896" i="13176"/>
  <c r="Q897" i="13176"/>
  <c r="AH897" i="13176"/>
  <c r="AY897" i="13176"/>
  <c r="V899" i="13176"/>
  <c r="AL899" i="13176"/>
  <c r="BC899" i="13176"/>
  <c r="I901" i="13176"/>
  <c r="Z901" i="13176"/>
  <c r="AP901" i="13176"/>
  <c r="G904" i="13176"/>
  <c r="X904" i="13176"/>
  <c r="AN904" i="13176"/>
  <c r="AH905" i="13176"/>
  <c r="AY905" i="13176"/>
  <c r="AN907" i="13176"/>
  <c r="BA910" i="13176"/>
  <c r="J912" i="13176"/>
  <c r="AM912" i="13176"/>
  <c r="J913" i="13176"/>
  <c r="AM913" i="13176"/>
  <c r="AY918" i="13176"/>
  <c r="AH918" i="13176"/>
  <c r="Q918" i="13176"/>
  <c r="AX918" i="13176"/>
  <c r="AG918" i="13176"/>
  <c r="P918" i="13176"/>
  <c r="AW918" i="13176"/>
  <c r="AF918" i="13176"/>
  <c r="O918" i="13176"/>
  <c r="AV918" i="13176"/>
  <c r="AE918" i="13176"/>
  <c r="N918" i="13176"/>
  <c r="AU918" i="13176"/>
  <c r="AD918" i="13176"/>
  <c r="M918" i="13176"/>
  <c r="AR918" i="13176"/>
  <c r="AB918" i="13176"/>
  <c r="K918" i="13176"/>
  <c r="AQ918" i="13176"/>
  <c r="AA918" i="13176"/>
  <c r="J918" i="13176"/>
  <c r="AP918" i="13176"/>
  <c r="Z918" i="13176"/>
  <c r="I918" i="13176"/>
  <c r="AO918" i="13176"/>
  <c r="Y918" i="13176"/>
  <c r="H918" i="13176"/>
  <c r="AN918" i="13176"/>
  <c r="X918" i="13176"/>
  <c r="G918" i="13176"/>
  <c r="BC918" i="13176"/>
  <c r="AL918" i="13176"/>
  <c r="V918" i="13176"/>
  <c r="E918" i="13176"/>
  <c r="BA918" i="13176"/>
  <c r="AJ918" i="13176"/>
  <c r="T918" i="13176"/>
  <c r="C918" i="13176"/>
  <c r="AR919" i="13176"/>
  <c r="AI924" i="13176"/>
  <c r="AI926" i="13176"/>
  <c r="AU932" i="13176"/>
  <c r="AD932" i="13176"/>
  <c r="M932" i="13176"/>
  <c r="AT932" i="13176"/>
  <c r="AC932" i="13176"/>
  <c r="L932" i="13176"/>
  <c r="AR932" i="13176"/>
  <c r="AB932" i="13176"/>
  <c r="K932" i="13176"/>
  <c r="AQ932" i="13176"/>
  <c r="AA932" i="13176"/>
  <c r="J932" i="13176"/>
  <c r="AP932" i="13176"/>
  <c r="Z932" i="13176"/>
  <c r="I932" i="13176"/>
  <c r="AO932" i="13176"/>
  <c r="Y932" i="13176"/>
  <c r="H932" i="13176"/>
  <c r="AN932" i="13176"/>
  <c r="X932" i="13176"/>
  <c r="G932" i="13176"/>
  <c r="BD932" i="13176"/>
  <c r="AM932" i="13176"/>
  <c r="W932" i="13176"/>
  <c r="F932" i="13176"/>
  <c r="BC932" i="13176"/>
  <c r="AL932" i="13176"/>
  <c r="V932" i="13176"/>
  <c r="E932" i="13176"/>
  <c r="BB932" i="13176"/>
  <c r="AK932" i="13176"/>
  <c r="U932" i="13176"/>
  <c r="D932" i="13176"/>
  <c r="BA932" i="13176"/>
  <c r="AJ932" i="13176"/>
  <c r="T932" i="13176"/>
  <c r="C932" i="13176"/>
  <c r="AY932" i="13176"/>
  <c r="AH932" i="13176"/>
  <c r="Q932" i="13176"/>
  <c r="AX932" i="13176"/>
  <c r="AG932" i="13176"/>
  <c r="P932" i="13176"/>
  <c r="AW932" i="13176"/>
  <c r="AF932" i="13176"/>
  <c r="O932" i="13176"/>
  <c r="AY934" i="13176"/>
  <c r="AH934" i="13176"/>
  <c r="Q934" i="13176"/>
  <c r="AX934" i="13176"/>
  <c r="AG934" i="13176"/>
  <c r="P934" i="13176"/>
  <c r="AW934" i="13176"/>
  <c r="AF934" i="13176"/>
  <c r="O934" i="13176"/>
  <c r="AV934" i="13176"/>
  <c r="AE934" i="13176"/>
  <c r="N934" i="13176"/>
  <c r="AU934" i="13176"/>
  <c r="AD934" i="13176"/>
  <c r="M934" i="13176"/>
  <c r="AT934" i="13176"/>
  <c r="AC934" i="13176"/>
  <c r="L934" i="13176"/>
  <c r="AR934" i="13176"/>
  <c r="AB934" i="13176"/>
  <c r="K934" i="13176"/>
  <c r="AQ934" i="13176"/>
  <c r="AA934" i="13176"/>
  <c r="J934" i="13176"/>
  <c r="AP934" i="13176"/>
  <c r="Z934" i="13176"/>
  <c r="I934" i="13176"/>
  <c r="AO934" i="13176"/>
  <c r="Y934" i="13176"/>
  <c r="H934" i="13176"/>
  <c r="AN934" i="13176"/>
  <c r="X934" i="13176"/>
  <c r="G934" i="13176"/>
  <c r="BC934" i="13176"/>
  <c r="AL934" i="13176"/>
  <c r="V934" i="13176"/>
  <c r="E934" i="13176"/>
  <c r="BB934" i="13176"/>
  <c r="AK934" i="13176"/>
  <c r="U934" i="13176"/>
  <c r="D934" i="13176"/>
  <c r="BA934" i="13176"/>
  <c r="AJ934" i="13176"/>
  <c r="T934" i="13176"/>
  <c r="C934" i="13176"/>
  <c r="AI942" i="13176"/>
  <c r="J877" i="13176"/>
  <c r="AA877" i="13176"/>
  <c r="AQ877" i="13176"/>
  <c r="S881" i="13176"/>
  <c r="AI881" i="13176"/>
  <c r="AZ881" i="13176"/>
  <c r="BD883" i="13176"/>
  <c r="J885" i="13176"/>
  <c r="AA885" i="13176"/>
  <c r="AQ885" i="13176"/>
  <c r="H888" i="13176"/>
  <c r="Y888" i="13176"/>
  <c r="AO888" i="13176"/>
  <c r="S889" i="13176"/>
  <c r="AI889" i="13176"/>
  <c r="AZ889" i="13176"/>
  <c r="W891" i="13176"/>
  <c r="AM891" i="13176"/>
  <c r="BD891" i="13176"/>
  <c r="J893" i="13176"/>
  <c r="AA893" i="13176"/>
  <c r="AQ893" i="13176"/>
  <c r="H896" i="13176"/>
  <c r="Y896" i="13176"/>
  <c r="AO896" i="13176"/>
  <c r="S897" i="13176"/>
  <c r="AI897" i="13176"/>
  <c r="AZ897" i="13176"/>
  <c r="F899" i="13176"/>
  <c r="W899" i="13176"/>
  <c r="AM899" i="13176"/>
  <c r="BD899" i="13176"/>
  <c r="J901" i="13176"/>
  <c r="AA901" i="13176"/>
  <c r="AQ901" i="13176"/>
  <c r="H904" i="13176"/>
  <c r="Y904" i="13176"/>
  <c r="AO904" i="13176"/>
  <c r="S905" i="13176"/>
  <c r="AI905" i="13176"/>
  <c r="AZ905" i="13176"/>
  <c r="F907" i="13176"/>
  <c r="W907" i="13176"/>
  <c r="AO907" i="13176"/>
  <c r="H908" i="13176"/>
  <c r="AE908" i="13176"/>
  <c r="AZ908" i="13176"/>
  <c r="E910" i="13176"/>
  <c r="AC910" i="13176"/>
  <c r="BB910" i="13176"/>
  <c r="K912" i="13176"/>
  <c r="AN912" i="13176"/>
  <c r="L913" i="13176"/>
  <c r="AQ913" i="13176"/>
  <c r="L917" i="13176"/>
  <c r="D918" i="13176"/>
  <c r="P921" i="13176"/>
  <c r="AV924" i="13176"/>
  <c r="AM926" i="13176"/>
  <c r="N932" i="13176"/>
  <c r="F934" i="13176"/>
  <c r="BC936" i="13176"/>
  <c r="AZ942" i="13176"/>
  <c r="Q868" i="13176"/>
  <c r="AH868" i="13176"/>
  <c r="AY868" i="13176"/>
  <c r="E870" i="13176"/>
  <c r="V870" i="13176"/>
  <c r="AL870" i="13176"/>
  <c r="BC870" i="13176"/>
  <c r="O871" i="13176"/>
  <c r="AF871" i="13176"/>
  <c r="AW871" i="13176"/>
  <c r="M874" i="13176"/>
  <c r="AD874" i="13176"/>
  <c r="AU874" i="13176"/>
  <c r="G875" i="13176"/>
  <c r="X875" i="13176"/>
  <c r="AN875" i="13176"/>
  <c r="Q876" i="13176"/>
  <c r="AH876" i="13176"/>
  <c r="AY876" i="13176"/>
  <c r="K877" i="13176"/>
  <c r="AB877" i="13176"/>
  <c r="AR877" i="13176"/>
  <c r="E878" i="13176"/>
  <c r="V878" i="13176"/>
  <c r="AL878" i="13176"/>
  <c r="BC878" i="13176"/>
  <c r="O879" i="13176"/>
  <c r="AF879" i="13176"/>
  <c r="AW879" i="13176"/>
  <c r="C881" i="13176"/>
  <c r="T881" i="13176"/>
  <c r="AJ881" i="13176"/>
  <c r="BA881" i="13176"/>
  <c r="M882" i="13176"/>
  <c r="AD882" i="13176"/>
  <c r="AU882" i="13176"/>
  <c r="G883" i="13176"/>
  <c r="X883" i="13176"/>
  <c r="AN883" i="13176"/>
  <c r="Q884" i="13176"/>
  <c r="AH884" i="13176"/>
  <c r="AY884" i="13176"/>
  <c r="K885" i="13176"/>
  <c r="AB885" i="13176"/>
  <c r="AR885" i="13176"/>
  <c r="E886" i="13176"/>
  <c r="V886" i="13176"/>
  <c r="AL886" i="13176"/>
  <c r="BC886" i="13176"/>
  <c r="O887" i="13176"/>
  <c r="AF887" i="13176"/>
  <c r="AW887" i="13176"/>
  <c r="I888" i="13176"/>
  <c r="Z888" i="13176"/>
  <c r="AP888" i="13176"/>
  <c r="C889" i="13176"/>
  <c r="T889" i="13176"/>
  <c r="AJ889" i="13176"/>
  <c r="BA889" i="13176"/>
  <c r="M890" i="13176"/>
  <c r="AD890" i="13176"/>
  <c r="AU890" i="13176"/>
  <c r="G891" i="13176"/>
  <c r="X891" i="13176"/>
  <c r="AN891" i="13176"/>
  <c r="Q892" i="13176"/>
  <c r="AH892" i="13176"/>
  <c r="AY892" i="13176"/>
  <c r="K893" i="13176"/>
  <c r="AB893" i="13176"/>
  <c r="AR893" i="13176"/>
  <c r="E894" i="13176"/>
  <c r="V894" i="13176"/>
  <c r="AL894" i="13176"/>
  <c r="BC894" i="13176"/>
  <c r="O895" i="13176"/>
  <c r="AF895" i="13176"/>
  <c r="AW895" i="13176"/>
  <c r="I896" i="13176"/>
  <c r="Z896" i="13176"/>
  <c r="AP896" i="13176"/>
  <c r="C897" i="13176"/>
  <c r="T897" i="13176"/>
  <c r="AJ897" i="13176"/>
  <c r="BA897" i="13176"/>
  <c r="M898" i="13176"/>
  <c r="AD898" i="13176"/>
  <c r="AU898" i="13176"/>
  <c r="G899" i="13176"/>
  <c r="X899" i="13176"/>
  <c r="AN899" i="13176"/>
  <c r="Q900" i="13176"/>
  <c r="AH900" i="13176"/>
  <c r="AY900" i="13176"/>
  <c r="K901" i="13176"/>
  <c r="AB901" i="13176"/>
  <c r="AR901" i="13176"/>
  <c r="E902" i="13176"/>
  <c r="V902" i="13176"/>
  <c r="AL902" i="13176"/>
  <c r="BC902" i="13176"/>
  <c r="O903" i="13176"/>
  <c r="AF903" i="13176"/>
  <c r="AW903" i="13176"/>
  <c r="I904" i="13176"/>
  <c r="Z904" i="13176"/>
  <c r="AP904" i="13176"/>
  <c r="C905" i="13176"/>
  <c r="T905" i="13176"/>
  <c r="AJ905" i="13176"/>
  <c r="BA905" i="13176"/>
  <c r="M906" i="13176"/>
  <c r="AD906" i="13176"/>
  <c r="AU906" i="13176"/>
  <c r="G907" i="13176"/>
  <c r="X907" i="13176"/>
  <c r="AP907" i="13176"/>
  <c r="I908" i="13176"/>
  <c r="AF908" i="13176"/>
  <c r="BA908" i="13176"/>
  <c r="F910" i="13176"/>
  <c r="AE910" i="13176"/>
  <c r="BC910" i="13176"/>
  <c r="W911" i="13176"/>
  <c r="AV911" i="13176"/>
  <c r="L912" i="13176"/>
  <c r="AO912" i="13176"/>
  <c r="P913" i="13176"/>
  <c r="AT913" i="13176"/>
  <c r="BA915" i="13176"/>
  <c r="N917" i="13176"/>
  <c r="F918" i="13176"/>
  <c r="U921" i="13176"/>
  <c r="AZ924" i="13176"/>
  <c r="AZ926" i="13176"/>
  <c r="S932" i="13176"/>
  <c r="S934" i="13176"/>
  <c r="AG956" i="13176"/>
  <c r="S868" i="13176"/>
  <c r="AI868" i="13176"/>
  <c r="AZ868" i="13176"/>
  <c r="F870" i="13176"/>
  <c r="W870" i="13176"/>
  <c r="AM870" i="13176"/>
  <c r="BD870" i="13176"/>
  <c r="P871" i="13176"/>
  <c r="AG871" i="13176"/>
  <c r="AX871" i="13176"/>
  <c r="N874" i="13176"/>
  <c r="AE874" i="13176"/>
  <c r="AV874" i="13176"/>
  <c r="H875" i="13176"/>
  <c r="Y875" i="13176"/>
  <c r="AO875" i="13176"/>
  <c r="S876" i="13176"/>
  <c r="AI876" i="13176"/>
  <c r="AZ876" i="13176"/>
  <c r="L877" i="13176"/>
  <c r="AC877" i="13176"/>
  <c r="AT877" i="13176"/>
  <c r="F878" i="13176"/>
  <c r="W878" i="13176"/>
  <c r="AM878" i="13176"/>
  <c r="BD878" i="13176"/>
  <c r="P879" i="13176"/>
  <c r="AG879" i="13176"/>
  <c r="AX879" i="13176"/>
  <c r="D881" i="13176"/>
  <c r="U881" i="13176"/>
  <c r="AK881" i="13176"/>
  <c r="BB881" i="13176"/>
  <c r="N882" i="13176"/>
  <c r="AE882" i="13176"/>
  <c r="AV882" i="13176"/>
  <c r="H883" i="13176"/>
  <c r="Y883" i="13176"/>
  <c r="AO883" i="13176"/>
  <c r="S884" i="13176"/>
  <c r="AI884" i="13176"/>
  <c r="AZ884" i="13176"/>
  <c r="L885" i="13176"/>
  <c r="AC885" i="13176"/>
  <c r="AT885" i="13176"/>
  <c r="F886" i="13176"/>
  <c r="W886" i="13176"/>
  <c r="AM886" i="13176"/>
  <c r="BD886" i="13176"/>
  <c r="P887" i="13176"/>
  <c r="AG887" i="13176"/>
  <c r="AX887" i="13176"/>
  <c r="J888" i="13176"/>
  <c r="AA888" i="13176"/>
  <c r="AQ888" i="13176"/>
  <c r="D889" i="13176"/>
  <c r="U889" i="13176"/>
  <c r="AK889" i="13176"/>
  <c r="BB889" i="13176"/>
  <c r="N890" i="13176"/>
  <c r="AE890" i="13176"/>
  <c r="AV890" i="13176"/>
  <c r="H891" i="13176"/>
  <c r="Y891" i="13176"/>
  <c r="AO891" i="13176"/>
  <c r="S892" i="13176"/>
  <c r="AI892" i="13176"/>
  <c r="AZ892" i="13176"/>
  <c r="L893" i="13176"/>
  <c r="AC893" i="13176"/>
  <c r="AT893" i="13176"/>
  <c r="F894" i="13176"/>
  <c r="W894" i="13176"/>
  <c r="AM894" i="13176"/>
  <c r="BD894" i="13176"/>
  <c r="P895" i="13176"/>
  <c r="AG895" i="13176"/>
  <c r="AX895" i="13176"/>
  <c r="J896" i="13176"/>
  <c r="AA896" i="13176"/>
  <c r="AQ896" i="13176"/>
  <c r="D897" i="13176"/>
  <c r="U897" i="13176"/>
  <c r="AK897" i="13176"/>
  <c r="BB897" i="13176"/>
  <c r="N898" i="13176"/>
  <c r="AE898" i="13176"/>
  <c r="AV898" i="13176"/>
  <c r="H899" i="13176"/>
  <c r="Y899" i="13176"/>
  <c r="AO899" i="13176"/>
  <c r="S900" i="13176"/>
  <c r="AI900" i="13176"/>
  <c r="AZ900" i="13176"/>
  <c r="L901" i="13176"/>
  <c r="AC901" i="13176"/>
  <c r="AT901" i="13176"/>
  <c r="F902" i="13176"/>
  <c r="W902" i="13176"/>
  <c r="AM902" i="13176"/>
  <c r="BD902" i="13176"/>
  <c r="P903" i="13176"/>
  <c r="AG903" i="13176"/>
  <c r="AX903" i="13176"/>
  <c r="J904" i="13176"/>
  <c r="AA904" i="13176"/>
  <c r="AQ904" i="13176"/>
  <c r="D905" i="13176"/>
  <c r="U905" i="13176"/>
  <c r="AK905" i="13176"/>
  <c r="BB905" i="13176"/>
  <c r="N906" i="13176"/>
  <c r="AE906" i="13176"/>
  <c r="AV906" i="13176"/>
  <c r="H907" i="13176"/>
  <c r="Y907" i="13176"/>
  <c r="AQ907" i="13176"/>
  <c r="J908" i="13176"/>
  <c r="AG908" i="13176"/>
  <c r="BB908" i="13176"/>
  <c r="G910" i="13176"/>
  <c r="AG910" i="13176"/>
  <c r="BD910" i="13176"/>
  <c r="Y911" i="13176"/>
  <c r="N912" i="13176"/>
  <c r="AP912" i="13176"/>
  <c r="Q913" i="13176"/>
  <c r="AX913" i="13176"/>
  <c r="S917" i="13176"/>
  <c r="L918" i="13176"/>
  <c r="AA921" i="13176"/>
  <c r="BA923" i="13176"/>
  <c r="BD926" i="13176"/>
  <c r="AE932" i="13176"/>
  <c r="W934" i="13176"/>
  <c r="AP938" i="13176"/>
  <c r="AR943" i="13176"/>
  <c r="AP946" i="13176"/>
  <c r="BB949" i="13176"/>
  <c r="C868" i="13176"/>
  <c r="T868" i="13176"/>
  <c r="AJ868" i="13176"/>
  <c r="BA868" i="13176"/>
  <c r="X870" i="13176"/>
  <c r="AN870" i="13176"/>
  <c r="Q871" i="13176"/>
  <c r="AH871" i="13176"/>
  <c r="AY871" i="13176"/>
  <c r="O874" i="13176"/>
  <c r="AF874" i="13176"/>
  <c r="AW874" i="13176"/>
  <c r="I875" i="13176"/>
  <c r="Z875" i="13176"/>
  <c r="AP875" i="13176"/>
  <c r="C876" i="13176"/>
  <c r="T876" i="13176"/>
  <c r="AJ876" i="13176"/>
  <c r="BA876" i="13176"/>
  <c r="M877" i="13176"/>
  <c r="AD877" i="13176"/>
  <c r="AU877" i="13176"/>
  <c r="G878" i="13176"/>
  <c r="X878" i="13176"/>
  <c r="AN878" i="13176"/>
  <c r="Q879" i="13176"/>
  <c r="AH879" i="13176"/>
  <c r="AY879" i="13176"/>
  <c r="E881" i="13176"/>
  <c r="V881" i="13176"/>
  <c r="AL881" i="13176"/>
  <c r="BC881" i="13176"/>
  <c r="O882" i="13176"/>
  <c r="AF882" i="13176"/>
  <c r="AW882" i="13176"/>
  <c r="I883" i="13176"/>
  <c r="Z883" i="13176"/>
  <c r="AP883" i="13176"/>
  <c r="C884" i="13176"/>
  <c r="T884" i="13176"/>
  <c r="AJ884" i="13176"/>
  <c r="BA884" i="13176"/>
  <c r="M885" i="13176"/>
  <c r="AD885" i="13176"/>
  <c r="AU885" i="13176"/>
  <c r="G886" i="13176"/>
  <c r="X886" i="13176"/>
  <c r="AN886" i="13176"/>
  <c r="Q887" i="13176"/>
  <c r="AH887" i="13176"/>
  <c r="AY887" i="13176"/>
  <c r="K888" i="13176"/>
  <c r="AB888" i="13176"/>
  <c r="AR888" i="13176"/>
  <c r="E889" i="13176"/>
  <c r="V889" i="13176"/>
  <c r="AL889" i="13176"/>
  <c r="BC889" i="13176"/>
  <c r="O890" i="13176"/>
  <c r="AF890" i="13176"/>
  <c r="AW890" i="13176"/>
  <c r="I891" i="13176"/>
  <c r="Z891" i="13176"/>
  <c r="AP891" i="13176"/>
  <c r="T892" i="13176"/>
  <c r="AJ892" i="13176"/>
  <c r="BA892" i="13176"/>
  <c r="M893" i="13176"/>
  <c r="AD893" i="13176"/>
  <c r="AU893" i="13176"/>
  <c r="AN894" i="13176"/>
  <c r="AY895" i="13176"/>
  <c r="K896" i="13176"/>
  <c r="AB896" i="13176"/>
  <c r="AR896" i="13176"/>
  <c r="E897" i="13176"/>
  <c r="V897" i="13176"/>
  <c r="AL897" i="13176"/>
  <c r="BC897" i="13176"/>
  <c r="I899" i="13176"/>
  <c r="Z899" i="13176"/>
  <c r="AP899" i="13176"/>
  <c r="M901" i="13176"/>
  <c r="AD901" i="13176"/>
  <c r="AU901" i="13176"/>
  <c r="AN902" i="13176"/>
  <c r="K904" i="13176"/>
  <c r="AB904" i="13176"/>
  <c r="AR904" i="13176"/>
  <c r="E905" i="13176"/>
  <c r="V905" i="13176"/>
  <c r="AL905" i="13176"/>
  <c r="BC905" i="13176"/>
  <c r="I907" i="13176"/>
  <c r="Z907" i="13176"/>
  <c r="AT907" i="13176"/>
  <c r="L908" i="13176"/>
  <c r="AH908" i="13176"/>
  <c r="BD908" i="13176"/>
  <c r="H910" i="13176"/>
  <c r="AI910" i="13176"/>
  <c r="P912" i="13176"/>
  <c r="AQ912" i="13176"/>
  <c r="S913" i="13176"/>
  <c r="AY913" i="13176"/>
  <c r="U917" i="13176"/>
  <c r="S918" i="13176"/>
  <c r="AG921" i="13176"/>
  <c r="AN925" i="13176"/>
  <c r="AI932" i="13176"/>
  <c r="AI934" i="13176"/>
  <c r="AU940" i="13176"/>
  <c r="U868" i="13176"/>
  <c r="AK868" i="13176"/>
  <c r="BB868" i="13176"/>
  <c r="Y870" i="13176"/>
  <c r="AO870" i="13176"/>
  <c r="S871" i="13176"/>
  <c r="AI871" i="13176"/>
  <c r="AZ871" i="13176"/>
  <c r="P874" i="13176"/>
  <c r="AG874" i="13176"/>
  <c r="AX874" i="13176"/>
  <c r="J875" i="13176"/>
  <c r="AA875" i="13176"/>
  <c r="AQ875" i="13176"/>
  <c r="D876" i="13176"/>
  <c r="U876" i="13176"/>
  <c r="AK876" i="13176"/>
  <c r="BB876" i="13176"/>
  <c r="N877" i="13176"/>
  <c r="AE877" i="13176"/>
  <c r="AV877" i="13176"/>
  <c r="H878" i="13176"/>
  <c r="Y878" i="13176"/>
  <c r="AO878" i="13176"/>
  <c r="S879" i="13176"/>
  <c r="AI879" i="13176"/>
  <c r="AZ879" i="13176"/>
  <c r="F881" i="13176"/>
  <c r="W881" i="13176"/>
  <c r="AM881" i="13176"/>
  <c r="BD881" i="13176"/>
  <c r="P882" i="13176"/>
  <c r="AG882" i="13176"/>
  <c r="AX882" i="13176"/>
  <c r="J883" i="13176"/>
  <c r="AA883" i="13176"/>
  <c r="AQ883" i="13176"/>
  <c r="D884" i="13176"/>
  <c r="U884" i="13176"/>
  <c r="AK884" i="13176"/>
  <c r="BB884" i="13176"/>
  <c r="N885" i="13176"/>
  <c r="AE885" i="13176"/>
  <c r="AV885" i="13176"/>
  <c r="H886" i="13176"/>
  <c r="Y886" i="13176"/>
  <c r="AO886" i="13176"/>
  <c r="S887" i="13176"/>
  <c r="AI887" i="13176"/>
  <c r="AZ887" i="13176"/>
  <c r="L888" i="13176"/>
  <c r="AC888" i="13176"/>
  <c r="AT888" i="13176"/>
  <c r="F889" i="13176"/>
  <c r="W889" i="13176"/>
  <c r="AM889" i="13176"/>
  <c r="BD889" i="13176"/>
  <c r="P890" i="13176"/>
  <c r="AG890" i="13176"/>
  <c r="AX890" i="13176"/>
  <c r="J891" i="13176"/>
  <c r="AA891" i="13176"/>
  <c r="AQ891" i="13176"/>
  <c r="D892" i="13176"/>
  <c r="U892" i="13176"/>
  <c r="AK892" i="13176"/>
  <c r="BB892" i="13176"/>
  <c r="N893" i="13176"/>
  <c r="AE893" i="13176"/>
  <c r="AV893" i="13176"/>
  <c r="H894" i="13176"/>
  <c r="Y894" i="13176"/>
  <c r="AO894" i="13176"/>
  <c r="S895" i="13176"/>
  <c r="AI895" i="13176"/>
  <c r="AZ895" i="13176"/>
  <c r="L896" i="13176"/>
  <c r="AC896" i="13176"/>
  <c r="AT896" i="13176"/>
  <c r="F897" i="13176"/>
  <c r="W897" i="13176"/>
  <c r="AM897" i="13176"/>
  <c r="BD897" i="13176"/>
  <c r="P898" i="13176"/>
  <c r="AG898" i="13176"/>
  <c r="AX898" i="13176"/>
  <c r="J899" i="13176"/>
  <c r="AA899" i="13176"/>
  <c r="AQ899" i="13176"/>
  <c r="D900" i="13176"/>
  <c r="U900" i="13176"/>
  <c r="AK900" i="13176"/>
  <c r="BB900" i="13176"/>
  <c r="N901" i="13176"/>
  <c r="AE901" i="13176"/>
  <c r="AV901" i="13176"/>
  <c r="H902" i="13176"/>
  <c r="Y902" i="13176"/>
  <c r="AO902" i="13176"/>
  <c r="S903" i="13176"/>
  <c r="AI903" i="13176"/>
  <c r="AZ903" i="13176"/>
  <c r="L904" i="13176"/>
  <c r="AC904" i="13176"/>
  <c r="AT904" i="13176"/>
  <c r="F905" i="13176"/>
  <c r="W905" i="13176"/>
  <c r="AM905" i="13176"/>
  <c r="BD905" i="13176"/>
  <c r="P906" i="13176"/>
  <c r="AG906" i="13176"/>
  <c r="AX906" i="13176"/>
  <c r="J907" i="13176"/>
  <c r="AA907" i="13176"/>
  <c r="AV907" i="13176"/>
  <c r="N908" i="13176"/>
  <c r="AI908" i="13176"/>
  <c r="J910" i="13176"/>
  <c r="AJ910" i="13176"/>
  <c r="AR911" i="13176"/>
  <c r="AB911" i="13176"/>
  <c r="K911" i="13176"/>
  <c r="AP911" i="13176"/>
  <c r="Z911" i="13176"/>
  <c r="I911" i="13176"/>
  <c r="AN911" i="13176"/>
  <c r="X911" i="13176"/>
  <c r="G911" i="13176"/>
  <c r="BC911" i="13176"/>
  <c r="AL911" i="13176"/>
  <c r="V911" i="13176"/>
  <c r="E911" i="13176"/>
  <c r="BA911" i="13176"/>
  <c r="AJ911" i="13176"/>
  <c r="T911" i="13176"/>
  <c r="C911" i="13176"/>
  <c r="AC911" i="13176"/>
  <c r="AY911" i="13176"/>
  <c r="S912" i="13176"/>
  <c r="AT912" i="13176"/>
  <c r="T913" i="13176"/>
  <c r="AZ913" i="13176"/>
  <c r="Y917" i="13176"/>
  <c r="U918" i="13176"/>
  <c r="AK921" i="13176"/>
  <c r="AR927" i="13176"/>
  <c r="AV932" i="13176"/>
  <c r="AM934" i="13176"/>
  <c r="E868" i="13176"/>
  <c r="V868" i="13176"/>
  <c r="AL868" i="13176"/>
  <c r="BC868" i="13176"/>
  <c r="I870" i="13176"/>
  <c r="Z870" i="13176"/>
  <c r="AP870" i="13176"/>
  <c r="C871" i="13176"/>
  <c r="T871" i="13176"/>
  <c r="AJ871" i="13176"/>
  <c r="BA871" i="13176"/>
  <c r="Q874" i="13176"/>
  <c r="AH874" i="13176"/>
  <c r="AY874" i="13176"/>
  <c r="K875" i="13176"/>
  <c r="AB875" i="13176"/>
  <c r="AR875" i="13176"/>
  <c r="E876" i="13176"/>
  <c r="V876" i="13176"/>
  <c r="AL876" i="13176"/>
  <c r="BC876" i="13176"/>
  <c r="O877" i="13176"/>
  <c r="AF877" i="13176"/>
  <c r="AW877" i="13176"/>
  <c r="I878" i="13176"/>
  <c r="Z878" i="13176"/>
  <c r="AP878" i="13176"/>
  <c r="C879" i="13176"/>
  <c r="T879" i="13176"/>
  <c r="AJ879" i="13176"/>
  <c r="BA879" i="13176"/>
  <c r="G881" i="13176"/>
  <c r="X881" i="13176"/>
  <c r="AN881" i="13176"/>
  <c r="Q882" i="13176"/>
  <c r="AH882" i="13176"/>
  <c r="AY882" i="13176"/>
  <c r="K883" i="13176"/>
  <c r="AB883" i="13176"/>
  <c r="AR883" i="13176"/>
  <c r="E884" i="13176"/>
  <c r="V884" i="13176"/>
  <c r="AL884" i="13176"/>
  <c r="BC884" i="13176"/>
  <c r="O885" i="13176"/>
  <c r="AF885" i="13176"/>
  <c r="AW885" i="13176"/>
  <c r="I886" i="13176"/>
  <c r="Z886" i="13176"/>
  <c r="AP886" i="13176"/>
  <c r="C887" i="13176"/>
  <c r="T887" i="13176"/>
  <c r="AJ887" i="13176"/>
  <c r="BA887" i="13176"/>
  <c r="M888" i="13176"/>
  <c r="AD888" i="13176"/>
  <c r="AU888" i="13176"/>
  <c r="G889" i="13176"/>
  <c r="X889" i="13176"/>
  <c r="AN889" i="13176"/>
  <c r="Q890" i="13176"/>
  <c r="AH890" i="13176"/>
  <c r="AY890" i="13176"/>
  <c r="K891" i="13176"/>
  <c r="AB891" i="13176"/>
  <c r="AR891" i="13176"/>
  <c r="E892" i="13176"/>
  <c r="V892" i="13176"/>
  <c r="AL892" i="13176"/>
  <c r="BC892" i="13176"/>
  <c r="O893" i="13176"/>
  <c r="AF893" i="13176"/>
  <c r="AW893" i="13176"/>
  <c r="I894" i="13176"/>
  <c r="Z894" i="13176"/>
  <c r="AP894" i="13176"/>
  <c r="C895" i="13176"/>
  <c r="T895" i="13176"/>
  <c r="AJ895" i="13176"/>
  <c r="BA895" i="13176"/>
  <c r="M896" i="13176"/>
  <c r="AD896" i="13176"/>
  <c r="AU896" i="13176"/>
  <c r="G897" i="13176"/>
  <c r="X897" i="13176"/>
  <c r="AN897" i="13176"/>
  <c r="Q898" i="13176"/>
  <c r="AH898" i="13176"/>
  <c r="AY898" i="13176"/>
  <c r="K899" i="13176"/>
  <c r="AB899" i="13176"/>
  <c r="AR899" i="13176"/>
  <c r="E900" i="13176"/>
  <c r="V900" i="13176"/>
  <c r="AL900" i="13176"/>
  <c r="BC900" i="13176"/>
  <c r="O901" i="13176"/>
  <c r="AF901" i="13176"/>
  <c r="AW901" i="13176"/>
  <c r="I902" i="13176"/>
  <c r="Z902" i="13176"/>
  <c r="AP902" i="13176"/>
  <c r="C903" i="13176"/>
  <c r="T903" i="13176"/>
  <c r="AJ903" i="13176"/>
  <c r="BA903" i="13176"/>
  <c r="M904" i="13176"/>
  <c r="AD904" i="13176"/>
  <c r="AU904" i="13176"/>
  <c r="G905" i="13176"/>
  <c r="X905" i="13176"/>
  <c r="AN905" i="13176"/>
  <c r="Q906" i="13176"/>
  <c r="AH906" i="13176"/>
  <c r="AY906" i="13176"/>
  <c r="K907" i="13176"/>
  <c r="AB907" i="13176"/>
  <c r="AW907" i="13176"/>
  <c r="O908" i="13176"/>
  <c r="AJ908" i="13176"/>
  <c r="AN909" i="13176"/>
  <c r="X909" i="13176"/>
  <c r="G909" i="13176"/>
  <c r="BC909" i="13176"/>
  <c r="AL909" i="13176"/>
  <c r="V909" i="13176"/>
  <c r="E909" i="13176"/>
  <c r="BA909" i="13176"/>
  <c r="AY909" i="13176"/>
  <c r="AH909" i="13176"/>
  <c r="Q909" i="13176"/>
  <c r="AW909" i="13176"/>
  <c r="AF909" i="13176"/>
  <c r="O909" i="13176"/>
  <c r="Y909" i="13176"/>
  <c r="AT909" i="13176"/>
  <c r="L910" i="13176"/>
  <c r="AK910" i="13176"/>
  <c r="D911" i="13176"/>
  <c r="AD911" i="13176"/>
  <c r="AZ911" i="13176"/>
  <c r="U912" i="13176"/>
  <c r="AV912" i="13176"/>
  <c r="U913" i="13176"/>
  <c r="BA913" i="13176"/>
  <c r="AA917" i="13176"/>
  <c r="W918" i="13176"/>
  <c r="AQ921" i="13176"/>
  <c r="AW929" i="13176"/>
  <c r="AZ932" i="13176"/>
  <c r="AZ934" i="13176"/>
  <c r="BD962" i="13176"/>
  <c r="F868" i="13176"/>
  <c r="W868" i="13176"/>
  <c r="AM868" i="13176"/>
  <c r="AA870" i="13176"/>
  <c r="D871" i="13176"/>
  <c r="U871" i="13176"/>
  <c r="AK871" i="13176"/>
  <c r="S874" i="13176"/>
  <c r="AI874" i="13176"/>
  <c r="L875" i="13176"/>
  <c r="AC875" i="13176"/>
  <c r="F876" i="13176"/>
  <c r="W876" i="13176"/>
  <c r="AM876" i="13176"/>
  <c r="P877" i="13176"/>
  <c r="AG877" i="13176"/>
  <c r="J878" i="13176"/>
  <c r="AA878" i="13176"/>
  <c r="D879" i="13176"/>
  <c r="U879" i="13176"/>
  <c r="AK879" i="13176"/>
  <c r="H881" i="13176"/>
  <c r="Y881" i="13176"/>
  <c r="S882" i="13176"/>
  <c r="AI882" i="13176"/>
  <c r="L883" i="13176"/>
  <c r="AC883" i="13176"/>
  <c r="F884" i="13176"/>
  <c r="W884" i="13176"/>
  <c r="AM884" i="13176"/>
  <c r="P885" i="13176"/>
  <c r="AG885" i="13176"/>
  <c r="J886" i="13176"/>
  <c r="AA886" i="13176"/>
  <c r="AK887" i="13176"/>
  <c r="N888" i="13176"/>
  <c r="AE888" i="13176"/>
  <c r="H889" i="13176"/>
  <c r="Y889" i="13176"/>
  <c r="S890" i="13176"/>
  <c r="AI890" i="13176"/>
  <c r="L891" i="13176"/>
  <c r="AC891" i="13176"/>
  <c r="F892" i="13176"/>
  <c r="W892" i="13176"/>
  <c r="AM892" i="13176"/>
  <c r="P893" i="13176"/>
  <c r="AG893" i="13176"/>
  <c r="J894" i="13176"/>
  <c r="AA894" i="13176"/>
  <c r="D895" i="13176"/>
  <c r="U895" i="13176"/>
  <c r="AK895" i="13176"/>
  <c r="N896" i="13176"/>
  <c r="AE896" i="13176"/>
  <c r="H897" i="13176"/>
  <c r="Y897" i="13176"/>
  <c r="S898" i="13176"/>
  <c r="AI898" i="13176"/>
  <c r="L899" i="13176"/>
  <c r="AC899" i="13176"/>
  <c r="F900" i="13176"/>
  <c r="W900" i="13176"/>
  <c r="AM900" i="13176"/>
  <c r="P901" i="13176"/>
  <c r="AG901" i="13176"/>
  <c r="J902" i="13176"/>
  <c r="AA902" i="13176"/>
  <c r="D903" i="13176"/>
  <c r="U903" i="13176"/>
  <c r="AK903" i="13176"/>
  <c r="N904" i="13176"/>
  <c r="AE904" i="13176"/>
  <c r="H905" i="13176"/>
  <c r="Y905" i="13176"/>
  <c r="S906" i="13176"/>
  <c r="AI906" i="13176"/>
  <c r="L907" i="13176"/>
  <c r="AC907" i="13176"/>
  <c r="AX907" i="13176"/>
  <c r="P908" i="13176"/>
  <c r="AK908" i="13176"/>
  <c r="C909" i="13176"/>
  <c r="Z909" i="13176"/>
  <c r="AU909" i="13176"/>
  <c r="N910" i="13176"/>
  <c r="AL910" i="13176"/>
  <c r="F911" i="13176"/>
  <c r="AE911" i="13176"/>
  <c r="BB911" i="13176"/>
  <c r="W912" i="13176"/>
  <c r="AX912" i="13176"/>
  <c r="W913" i="13176"/>
  <c r="BB913" i="13176"/>
  <c r="AC917" i="13176"/>
  <c r="AC918" i="13176"/>
  <c r="AX921" i="13176"/>
  <c r="BA931" i="13176"/>
  <c r="BD934" i="13176"/>
  <c r="AC976" i="13176"/>
  <c r="AR914" i="13176"/>
  <c r="M919" i="13176"/>
  <c r="AD919" i="13176"/>
  <c r="AU919" i="13176"/>
  <c r="G920" i="13176"/>
  <c r="X920" i="13176"/>
  <c r="AN920" i="13176"/>
  <c r="I925" i="13176"/>
  <c r="Z925" i="13176"/>
  <c r="AP925" i="13176"/>
  <c r="M927" i="13176"/>
  <c r="AD927" i="13176"/>
  <c r="AU927" i="13176"/>
  <c r="G928" i="13176"/>
  <c r="X928" i="13176"/>
  <c r="AN928" i="13176"/>
  <c r="Q929" i="13176"/>
  <c r="AH929" i="13176"/>
  <c r="AY929" i="13176"/>
  <c r="I933" i="13176"/>
  <c r="Z933" i="13176"/>
  <c r="AP933" i="13176"/>
  <c r="M935" i="13176"/>
  <c r="AD935" i="13176"/>
  <c r="AU935" i="13176"/>
  <c r="Q937" i="13176"/>
  <c r="AH937" i="13176"/>
  <c r="AY937" i="13176"/>
  <c r="O940" i="13176"/>
  <c r="AF940" i="13176"/>
  <c r="AW940" i="13176"/>
  <c r="I941" i="13176"/>
  <c r="Z941" i="13176"/>
  <c r="AP941" i="13176"/>
  <c r="Q945" i="13176"/>
  <c r="AH945" i="13176"/>
  <c r="AY945" i="13176"/>
  <c r="AW948" i="13176"/>
  <c r="I949" i="13176"/>
  <c r="Z949" i="13176"/>
  <c r="AT949" i="13176"/>
  <c r="BA953" i="13176"/>
  <c r="AJ953" i="13176"/>
  <c r="T953" i="13176"/>
  <c r="C953" i="13176"/>
  <c r="AY953" i="13176"/>
  <c r="AH953" i="13176"/>
  <c r="Q953" i="13176"/>
  <c r="AW953" i="13176"/>
  <c r="AF953" i="13176"/>
  <c r="O953" i="13176"/>
  <c r="AU953" i="13176"/>
  <c r="AD953" i="13176"/>
  <c r="M953" i="13176"/>
  <c r="X953" i="13176"/>
  <c r="AR953" i="13176"/>
  <c r="P954" i="13176"/>
  <c r="AT954" i="13176"/>
  <c r="AA956" i="13176"/>
  <c r="AR957" i="13176"/>
  <c r="AI959" i="13176"/>
  <c r="J925" i="13176"/>
  <c r="AA925" i="13176"/>
  <c r="AQ925" i="13176"/>
  <c r="S929" i="13176"/>
  <c r="AI929" i="13176"/>
  <c r="AZ929" i="13176"/>
  <c r="J933" i="13176"/>
  <c r="AA933" i="13176"/>
  <c r="AQ933" i="13176"/>
  <c r="S937" i="13176"/>
  <c r="AI937" i="13176"/>
  <c r="AZ937" i="13176"/>
  <c r="P940" i="13176"/>
  <c r="AG940" i="13176"/>
  <c r="AX940" i="13176"/>
  <c r="J941" i="13176"/>
  <c r="AA941" i="13176"/>
  <c r="AQ941" i="13176"/>
  <c r="S945" i="13176"/>
  <c r="AI945" i="13176"/>
  <c r="AZ945" i="13176"/>
  <c r="P948" i="13176"/>
  <c r="AG948" i="13176"/>
  <c r="AX948" i="13176"/>
  <c r="J949" i="13176"/>
  <c r="AA949" i="13176"/>
  <c r="AU949" i="13176"/>
  <c r="D953" i="13176"/>
  <c r="Y953" i="13176"/>
  <c r="AT953" i="13176"/>
  <c r="AW967" i="13176"/>
  <c r="O919" i="13176"/>
  <c r="AF919" i="13176"/>
  <c r="AW919" i="13176"/>
  <c r="I920" i="13176"/>
  <c r="Z920" i="13176"/>
  <c r="AP920" i="13176"/>
  <c r="K925" i="13176"/>
  <c r="AB925" i="13176"/>
  <c r="AR925" i="13176"/>
  <c r="O927" i="13176"/>
  <c r="AF927" i="13176"/>
  <c r="AW927" i="13176"/>
  <c r="I928" i="13176"/>
  <c r="Z928" i="13176"/>
  <c r="AP928" i="13176"/>
  <c r="C929" i="13176"/>
  <c r="T929" i="13176"/>
  <c r="AJ929" i="13176"/>
  <c r="BA929" i="13176"/>
  <c r="K933" i="13176"/>
  <c r="AB933" i="13176"/>
  <c r="AR933" i="13176"/>
  <c r="O935" i="13176"/>
  <c r="AF935" i="13176"/>
  <c r="AW935" i="13176"/>
  <c r="C937" i="13176"/>
  <c r="T937" i="13176"/>
  <c r="AJ937" i="13176"/>
  <c r="BA937" i="13176"/>
  <c r="Q940" i="13176"/>
  <c r="AH940" i="13176"/>
  <c r="AY940" i="13176"/>
  <c r="K941" i="13176"/>
  <c r="AB941" i="13176"/>
  <c r="AR941" i="13176"/>
  <c r="C945" i="13176"/>
  <c r="T945" i="13176"/>
  <c r="AJ945" i="13176"/>
  <c r="BA945" i="13176"/>
  <c r="Q948" i="13176"/>
  <c r="AH948" i="13176"/>
  <c r="AY948" i="13176"/>
  <c r="K949" i="13176"/>
  <c r="AC949" i="13176"/>
  <c r="AV949" i="13176"/>
  <c r="E953" i="13176"/>
  <c r="Z953" i="13176"/>
  <c r="AV953" i="13176"/>
  <c r="AW959" i="13176"/>
  <c r="AF959" i="13176"/>
  <c r="O959" i="13176"/>
  <c r="AU959" i="13176"/>
  <c r="AD959" i="13176"/>
  <c r="M959" i="13176"/>
  <c r="AR959" i="13176"/>
  <c r="AB959" i="13176"/>
  <c r="K959" i="13176"/>
  <c r="AP959" i="13176"/>
  <c r="Z959" i="13176"/>
  <c r="I959" i="13176"/>
  <c r="AN959" i="13176"/>
  <c r="X959" i="13176"/>
  <c r="G959" i="13176"/>
  <c r="BD959" i="13176"/>
  <c r="AM959" i="13176"/>
  <c r="W959" i="13176"/>
  <c r="F959" i="13176"/>
  <c r="BC959" i="13176"/>
  <c r="AL959" i="13176"/>
  <c r="V959" i="13176"/>
  <c r="E959" i="13176"/>
  <c r="BA959" i="13176"/>
  <c r="AJ959" i="13176"/>
  <c r="T959" i="13176"/>
  <c r="C959" i="13176"/>
  <c r="AY959" i="13176"/>
  <c r="AH959" i="13176"/>
  <c r="Q959" i="13176"/>
  <c r="AO959" i="13176"/>
  <c r="S940" i="13176"/>
  <c r="AI940" i="13176"/>
  <c r="AZ940" i="13176"/>
  <c r="L941" i="13176"/>
  <c r="AC941" i="13176"/>
  <c r="AT941" i="13176"/>
  <c r="D945" i="13176"/>
  <c r="U945" i="13176"/>
  <c r="AK945" i="13176"/>
  <c r="BB945" i="13176"/>
  <c r="S948" i="13176"/>
  <c r="AI948" i="13176"/>
  <c r="AZ948" i="13176"/>
  <c r="L949" i="13176"/>
  <c r="AD949" i="13176"/>
  <c r="AW949" i="13176"/>
  <c r="F953" i="13176"/>
  <c r="AA953" i="13176"/>
  <c r="AX953" i="13176"/>
  <c r="U954" i="13176"/>
  <c r="AY954" i="13176"/>
  <c r="D959" i="13176"/>
  <c r="AQ959" i="13176"/>
  <c r="BA961" i="13176"/>
  <c r="AY964" i="13176"/>
  <c r="AH964" i="13176"/>
  <c r="Q964" i="13176"/>
  <c r="AX964" i="13176"/>
  <c r="AG964" i="13176"/>
  <c r="P964" i="13176"/>
  <c r="AW964" i="13176"/>
  <c r="AF964" i="13176"/>
  <c r="O964" i="13176"/>
  <c r="AV964" i="13176"/>
  <c r="AE964" i="13176"/>
  <c r="N964" i="13176"/>
  <c r="AU964" i="13176"/>
  <c r="AD964" i="13176"/>
  <c r="M964" i="13176"/>
  <c r="AT964" i="13176"/>
  <c r="AC964" i="13176"/>
  <c r="L964" i="13176"/>
  <c r="AR964" i="13176"/>
  <c r="AB964" i="13176"/>
  <c r="K964" i="13176"/>
  <c r="AP964" i="13176"/>
  <c r="Z964" i="13176"/>
  <c r="I964" i="13176"/>
  <c r="AO964" i="13176"/>
  <c r="Y964" i="13176"/>
  <c r="H964" i="13176"/>
  <c r="AN964" i="13176"/>
  <c r="X964" i="13176"/>
  <c r="G964" i="13176"/>
  <c r="BD964" i="13176"/>
  <c r="AM964" i="13176"/>
  <c r="W964" i="13176"/>
  <c r="F964" i="13176"/>
  <c r="BC964" i="13176"/>
  <c r="AL964" i="13176"/>
  <c r="V964" i="13176"/>
  <c r="E964" i="13176"/>
  <c r="BA964" i="13176"/>
  <c r="AJ964" i="13176"/>
  <c r="T964" i="13176"/>
  <c r="C964" i="13176"/>
  <c r="Z977" i="13176"/>
  <c r="O914" i="13176"/>
  <c r="AF914" i="13176"/>
  <c r="AW914" i="13176"/>
  <c r="I915" i="13176"/>
  <c r="Z915" i="13176"/>
  <c r="AP915" i="13176"/>
  <c r="Q919" i="13176"/>
  <c r="AH919" i="13176"/>
  <c r="AY919" i="13176"/>
  <c r="K920" i="13176"/>
  <c r="AB920" i="13176"/>
  <c r="AR920" i="13176"/>
  <c r="AF922" i="13176"/>
  <c r="AW922" i="13176"/>
  <c r="M925" i="13176"/>
  <c r="AD925" i="13176"/>
  <c r="AU925" i="13176"/>
  <c r="Q927" i="13176"/>
  <c r="AH927" i="13176"/>
  <c r="AY927" i="13176"/>
  <c r="K928" i="13176"/>
  <c r="AB928" i="13176"/>
  <c r="AR928" i="13176"/>
  <c r="E929" i="13176"/>
  <c r="V929" i="13176"/>
  <c r="AL929" i="13176"/>
  <c r="BC929" i="13176"/>
  <c r="M933" i="13176"/>
  <c r="AD933" i="13176"/>
  <c r="AU933" i="13176"/>
  <c r="Q935" i="13176"/>
  <c r="AH935" i="13176"/>
  <c r="AY935" i="13176"/>
  <c r="E937" i="13176"/>
  <c r="V937" i="13176"/>
  <c r="AL937" i="13176"/>
  <c r="BC937" i="13176"/>
  <c r="C940" i="13176"/>
  <c r="T940" i="13176"/>
  <c r="AJ940" i="13176"/>
  <c r="BA940" i="13176"/>
  <c r="M941" i="13176"/>
  <c r="AD941" i="13176"/>
  <c r="AU941" i="13176"/>
  <c r="AH943" i="13176"/>
  <c r="AY943" i="13176"/>
  <c r="E945" i="13176"/>
  <c r="V945" i="13176"/>
  <c r="AL945" i="13176"/>
  <c r="BC945" i="13176"/>
  <c r="C948" i="13176"/>
  <c r="T948" i="13176"/>
  <c r="AJ948" i="13176"/>
  <c r="BA948" i="13176"/>
  <c r="M949" i="13176"/>
  <c r="AE949" i="13176"/>
  <c r="AX949" i="13176"/>
  <c r="G953" i="13176"/>
  <c r="AB953" i="13176"/>
  <c r="AZ953" i="13176"/>
  <c r="AZ954" i="13176"/>
  <c r="AY956" i="13176"/>
  <c r="AH956" i="13176"/>
  <c r="Q956" i="13176"/>
  <c r="AW956" i="13176"/>
  <c r="AF956" i="13176"/>
  <c r="O956" i="13176"/>
  <c r="AU956" i="13176"/>
  <c r="AD956" i="13176"/>
  <c r="M956" i="13176"/>
  <c r="AR956" i="13176"/>
  <c r="AB956" i="13176"/>
  <c r="K956" i="13176"/>
  <c r="AP956" i="13176"/>
  <c r="Z956" i="13176"/>
  <c r="I956" i="13176"/>
  <c r="AN956" i="13176"/>
  <c r="X956" i="13176"/>
  <c r="G956" i="13176"/>
  <c r="BC956" i="13176"/>
  <c r="AL956" i="13176"/>
  <c r="V956" i="13176"/>
  <c r="E956" i="13176"/>
  <c r="BA956" i="13176"/>
  <c r="AJ956" i="13176"/>
  <c r="T956" i="13176"/>
  <c r="C956" i="13176"/>
  <c r="AI956" i="13176"/>
  <c r="AA958" i="13176"/>
  <c r="H959" i="13176"/>
  <c r="AT959" i="13176"/>
  <c r="AV962" i="13176"/>
  <c r="D964" i="13176"/>
  <c r="AU970" i="13176"/>
  <c r="S919" i="13176"/>
  <c r="AI919" i="13176"/>
  <c r="AZ919" i="13176"/>
  <c r="L920" i="13176"/>
  <c r="AC920" i="13176"/>
  <c r="AT920" i="13176"/>
  <c r="N925" i="13176"/>
  <c r="AE925" i="13176"/>
  <c r="AV925" i="13176"/>
  <c r="S927" i="13176"/>
  <c r="AI927" i="13176"/>
  <c r="AZ927" i="13176"/>
  <c r="L928" i="13176"/>
  <c r="AC928" i="13176"/>
  <c r="AT928" i="13176"/>
  <c r="F929" i="13176"/>
  <c r="W929" i="13176"/>
  <c r="AM929" i="13176"/>
  <c r="BD929" i="13176"/>
  <c r="N933" i="13176"/>
  <c r="AE933" i="13176"/>
  <c r="AV933" i="13176"/>
  <c r="S935" i="13176"/>
  <c r="AI935" i="13176"/>
  <c r="AZ935" i="13176"/>
  <c r="AT936" i="13176"/>
  <c r="F937" i="13176"/>
  <c r="W937" i="13176"/>
  <c r="AM937" i="13176"/>
  <c r="BD937" i="13176"/>
  <c r="D940" i="13176"/>
  <c r="U940" i="13176"/>
  <c r="AK940" i="13176"/>
  <c r="BB940" i="13176"/>
  <c r="N941" i="13176"/>
  <c r="AE941" i="13176"/>
  <c r="AV941" i="13176"/>
  <c r="S943" i="13176"/>
  <c r="AI943" i="13176"/>
  <c r="AZ943" i="13176"/>
  <c r="F945" i="13176"/>
  <c r="W945" i="13176"/>
  <c r="AM945" i="13176"/>
  <c r="BD945" i="13176"/>
  <c r="P946" i="13176"/>
  <c r="AG946" i="13176"/>
  <c r="AX946" i="13176"/>
  <c r="D948" i="13176"/>
  <c r="U948" i="13176"/>
  <c r="AK948" i="13176"/>
  <c r="BB948" i="13176"/>
  <c r="N949" i="13176"/>
  <c r="AF949" i="13176"/>
  <c r="AY949" i="13176"/>
  <c r="N951" i="13176"/>
  <c r="AH951" i="13176"/>
  <c r="BC951" i="13176"/>
  <c r="H953" i="13176"/>
  <c r="AC953" i="13176"/>
  <c r="BB953" i="13176"/>
  <c r="Y954" i="13176"/>
  <c r="BB954" i="13176"/>
  <c r="D956" i="13176"/>
  <c r="AK956" i="13176"/>
  <c r="AE958" i="13176"/>
  <c r="J959" i="13176"/>
  <c r="AV959" i="13176"/>
  <c r="AX962" i="13176"/>
  <c r="J964" i="13176"/>
  <c r="Q914" i="13176"/>
  <c r="AH914" i="13176"/>
  <c r="AY914" i="13176"/>
  <c r="K915" i="13176"/>
  <c r="AB915" i="13176"/>
  <c r="AR915" i="13176"/>
  <c r="C919" i="13176"/>
  <c r="T919" i="13176"/>
  <c r="AJ919" i="13176"/>
  <c r="BA919" i="13176"/>
  <c r="M920" i="13176"/>
  <c r="AD920" i="13176"/>
  <c r="AU920" i="13176"/>
  <c r="Q922" i="13176"/>
  <c r="AH922" i="13176"/>
  <c r="AY922" i="13176"/>
  <c r="K923" i="13176"/>
  <c r="AB923" i="13176"/>
  <c r="AR923" i="13176"/>
  <c r="O925" i="13176"/>
  <c r="AF925" i="13176"/>
  <c r="AW925" i="13176"/>
  <c r="C927" i="13176"/>
  <c r="T927" i="13176"/>
  <c r="AJ927" i="13176"/>
  <c r="BA927" i="13176"/>
  <c r="M928" i="13176"/>
  <c r="AD928" i="13176"/>
  <c r="AU928" i="13176"/>
  <c r="G929" i="13176"/>
  <c r="X929" i="13176"/>
  <c r="AN929" i="13176"/>
  <c r="Q930" i="13176"/>
  <c r="AH930" i="13176"/>
  <c r="AY930" i="13176"/>
  <c r="K931" i="13176"/>
  <c r="AB931" i="13176"/>
  <c r="AR931" i="13176"/>
  <c r="O933" i="13176"/>
  <c r="AF933" i="13176"/>
  <c r="AW933" i="13176"/>
  <c r="C935" i="13176"/>
  <c r="T935" i="13176"/>
  <c r="AJ935" i="13176"/>
  <c r="BA935" i="13176"/>
  <c r="M936" i="13176"/>
  <c r="AD936" i="13176"/>
  <c r="AU936" i="13176"/>
  <c r="G937" i="13176"/>
  <c r="X937" i="13176"/>
  <c r="AN937" i="13176"/>
  <c r="Q938" i="13176"/>
  <c r="AH938" i="13176"/>
  <c r="AY938" i="13176"/>
  <c r="K939" i="13176"/>
  <c r="AB939" i="13176"/>
  <c r="AR939" i="13176"/>
  <c r="E940" i="13176"/>
  <c r="V940" i="13176"/>
  <c r="AL940" i="13176"/>
  <c r="BC940" i="13176"/>
  <c r="O941" i="13176"/>
  <c r="AF941" i="13176"/>
  <c r="AW941" i="13176"/>
  <c r="C943" i="13176"/>
  <c r="T943" i="13176"/>
  <c r="AJ943" i="13176"/>
  <c r="BA943" i="13176"/>
  <c r="M944" i="13176"/>
  <c r="AD944" i="13176"/>
  <c r="AU944" i="13176"/>
  <c r="G945" i="13176"/>
  <c r="X945" i="13176"/>
  <c r="AN945" i="13176"/>
  <c r="Q946" i="13176"/>
  <c r="AH946" i="13176"/>
  <c r="AY946" i="13176"/>
  <c r="E948" i="13176"/>
  <c r="V948" i="13176"/>
  <c r="AL948" i="13176"/>
  <c r="BC948" i="13176"/>
  <c r="O949" i="13176"/>
  <c r="AG949" i="13176"/>
  <c r="AZ949" i="13176"/>
  <c r="P951" i="13176"/>
  <c r="AI951" i="13176"/>
  <c r="BD951" i="13176"/>
  <c r="I953" i="13176"/>
  <c r="AE953" i="13176"/>
  <c r="BC953" i="13176"/>
  <c r="AA954" i="13176"/>
  <c r="BD954" i="13176"/>
  <c r="F956" i="13176"/>
  <c r="AM956" i="13176"/>
  <c r="AG958" i="13176"/>
  <c r="L959" i="13176"/>
  <c r="AX959" i="13176"/>
  <c r="S964" i="13176"/>
  <c r="S914" i="13176"/>
  <c r="AI914" i="13176"/>
  <c r="AZ914" i="13176"/>
  <c r="AC915" i="13176"/>
  <c r="AT915" i="13176"/>
  <c r="D919" i="13176"/>
  <c r="U919" i="13176"/>
  <c r="AK919" i="13176"/>
  <c r="BB919" i="13176"/>
  <c r="N920" i="13176"/>
  <c r="AE920" i="13176"/>
  <c r="AV920" i="13176"/>
  <c r="S922" i="13176"/>
  <c r="AI922" i="13176"/>
  <c r="AZ922" i="13176"/>
  <c r="AC923" i="13176"/>
  <c r="AT923" i="13176"/>
  <c r="P925" i="13176"/>
  <c r="AG925" i="13176"/>
  <c r="AX925" i="13176"/>
  <c r="D927" i="13176"/>
  <c r="U927" i="13176"/>
  <c r="AK927" i="13176"/>
  <c r="BB927" i="13176"/>
  <c r="N928" i="13176"/>
  <c r="AE928" i="13176"/>
  <c r="AV928" i="13176"/>
  <c r="H929" i="13176"/>
  <c r="Y929" i="13176"/>
  <c r="AO929" i="13176"/>
  <c r="S930" i="13176"/>
  <c r="AI930" i="13176"/>
  <c r="AZ930" i="13176"/>
  <c r="P933" i="13176"/>
  <c r="AG933" i="13176"/>
  <c r="AX933" i="13176"/>
  <c r="D935" i="13176"/>
  <c r="U935" i="13176"/>
  <c r="AK935" i="13176"/>
  <c r="BB935" i="13176"/>
  <c r="N936" i="13176"/>
  <c r="AE936" i="13176"/>
  <c r="AV936" i="13176"/>
  <c r="H937" i="13176"/>
  <c r="Y937" i="13176"/>
  <c r="AO937" i="13176"/>
  <c r="S938" i="13176"/>
  <c r="AI938" i="13176"/>
  <c r="AZ938" i="13176"/>
  <c r="F940" i="13176"/>
  <c r="W940" i="13176"/>
  <c r="AM940" i="13176"/>
  <c r="BD940" i="13176"/>
  <c r="P941" i="13176"/>
  <c r="AG941" i="13176"/>
  <c r="AX941" i="13176"/>
  <c r="D943" i="13176"/>
  <c r="U943" i="13176"/>
  <c r="AK943" i="13176"/>
  <c r="BB943" i="13176"/>
  <c r="H945" i="13176"/>
  <c r="Y945" i="13176"/>
  <c r="AO945" i="13176"/>
  <c r="S946" i="13176"/>
  <c r="AI946" i="13176"/>
  <c r="AZ946" i="13176"/>
  <c r="F948" i="13176"/>
  <c r="W948" i="13176"/>
  <c r="AM948" i="13176"/>
  <c r="BD948" i="13176"/>
  <c r="P949" i="13176"/>
  <c r="AH949" i="13176"/>
  <c r="BA949" i="13176"/>
  <c r="Q951" i="13176"/>
  <c r="AJ951" i="13176"/>
  <c r="J953" i="13176"/>
  <c r="AG953" i="13176"/>
  <c r="BD953" i="13176"/>
  <c r="AC954" i="13176"/>
  <c r="H956" i="13176"/>
  <c r="AO956" i="13176"/>
  <c r="AI958" i="13176"/>
  <c r="N959" i="13176"/>
  <c r="AZ959" i="13176"/>
  <c r="AE960" i="13176"/>
  <c r="U964" i="13176"/>
  <c r="AZ974" i="13176"/>
  <c r="AG978" i="13176"/>
  <c r="AT983" i="13176"/>
  <c r="C914" i="13176"/>
  <c r="T914" i="13176"/>
  <c r="AJ914" i="13176"/>
  <c r="BA914" i="13176"/>
  <c r="M915" i="13176"/>
  <c r="AD915" i="13176"/>
  <c r="AU915" i="13176"/>
  <c r="E919" i="13176"/>
  <c r="V919" i="13176"/>
  <c r="AL919" i="13176"/>
  <c r="BC919" i="13176"/>
  <c r="O920" i="13176"/>
  <c r="AF920" i="13176"/>
  <c r="AW920" i="13176"/>
  <c r="C922" i="13176"/>
  <c r="T922" i="13176"/>
  <c r="AJ922" i="13176"/>
  <c r="BA922" i="13176"/>
  <c r="M923" i="13176"/>
  <c r="AD923" i="13176"/>
  <c r="AU923" i="13176"/>
  <c r="Q925" i="13176"/>
  <c r="AH925" i="13176"/>
  <c r="AY925" i="13176"/>
  <c r="E927" i="13176"/>
  <c r="V927" i="13176"/>
  <c r="AL927" i="13176"/>
  <c r="BC927" i="13176"/>
  <c r="O928" i="13176"/>
  <c r="AF928" i="13176"/>
  <c r="AW928" i="13176"/>
  <c r="I929" i="13176"/>
  <c r="Z929" i="13176"/>
  <c r="AP929" i="13176"/>
  <c r="C930" i="13176"/>
  <c r="T930" i="13176"/>
  <c r="AJ930" i="13176"/>
  <c r="BA930" i="13176"/>
  <c r="M931" i="13176"/>
  <c r="AD931" i="13176"/>
  <c r="AU931" i="13176"/>
  <c r="Q933" i="13176"/>
  <c r="AH933" i="13176"/>
  <c r="AY933" i="13176"/>
  <c r="E935" i="13176"/>
  <c r="V935" i="13176"/>
  <c r="AL935" i="13176"/>
  <c r="BC935" i="13176"/>
  <c r="O936" i="13176"/>
  <c r="AF936" i="13176"/>
  <c r="AW936" i="13176"/>
  <c r="I937" i="13176"/>
  <c r="Z937" i="13176"/>
  <c r="AP937" i="13176"/>
  <c r="C938" i="13176"/>
  <c r="T938" i="13176"/>
  <c r="AJ938" i="13176"/>
  <c r="BA938" i="13176"/>
  <c r="M939" i="13176"/>
  <c r="AD939" i="13176"/>
  <c r="AU939" i="13176"/>
  <c r="G940" i="13176"/>
  <c r="X940" i="13176"/>
  <c r="AN940" i="13176"/>
  <c r="Q941" i="13176"/>
  <c r="AH941" i="13176"/>
  <c r="AY941" i="13176"/>
  <c r="E943" i="13176"/>
  <c r="V943" i="13176"/>
  <c r="AL943" i="13176"/>
  <c r="BC943" i="13176"/>
  <c r="O944" i="13176"/>
  <c r="AF944" i="13176"/>
  <c r="AW944" i="13176"/>
  <c r="I945" i="13176"/>
  <c r="Z945" i="13176"/>
  <c r="AP945" i="13176"/>
  <c r="C946" i="13176"/>
  <c r="T946" i="13176"/>
  <c r="AJ946" i="13176"/>
  <c r="BA946" i="13176"/>
  <c r="M947" i="13176"/>
  <c r="AD947" i="13176"/>
  <c r="AU947" i="13176"/>
  <c r="G948" i="13176"/>
  <c r="X948" i="13176"/>
  <c r="AN948" i="13176"/>
  <c r="Q949" i="13176"/>
  <c r="AI949" i="13176"/>
  <c r="Q950" i="13176"/>
  <c r="AJ950" i="13176"/>
  <c r="S951" i="13176"/>
  <c r="AP952" i="13176"/>
  <c r="Z952" i="13176"/>
  <c r="I952" i="13176"/>
  <c r="AN952" i="13176"/>
  <c r="X952" i="13176"/>
  <c r="G952" i="13176"/>
  <c r="BC952" i="13176"/>
  <c r="AL952" i="13176"/>
  <c r="V952" i="13176"/>
  <c r="E952" i="13176"/>
  <c r="BA952" i="13176"/>
  <c r="AJ952" i="13176"/>
  <c r="T952" i="13176"/>
  <c r="C952" i="13176"/>
  <c r="AA952" i="13176"/>
  <c r="AV952" i="13176"/>
  <c r="K953" i="13176"/>
  <c r="AI953" i="13176"/>
  <c r="AN955" i="13176"/>
  <c r="X955" i="13176"/>
  <c r="G955" i="13176"/>
  <c r="BC955" i="13176"/>
  <c r="AL955" i="13176"/>
  <c r="V955" i="13176"/>
  <c r="E955" i="13176"/>
  <c r="BA955" i="13176"/>
  <c r="AJ955" i="13176"/>
  <c r="T955" i="13176"/>
  <c r="C955" i="13176"/>
  <c r="AY955" i="13176"/>
  <c r="AH955" i="13176"/>
  <c r="Q955" i="13176"/>
  <c r="AW955" i="13176"/>
  <c r="AF955" i="13176"/>
  <c r="O955" i="13176"/>
  <c r="AU955" i="13176"/>
  <c r="AD955" i="13176"/>
  <c r="M955" i="13176"/>
  <c r="AR955" i="13176"/>
  <c r="AB955" i="13176"/>
  <c r="K955" i="13176"/>
  <c r="AP955" i="13176"/>
  <c r="Z955" i="13176"/>
  <c r="I955" i="13176"/>
  <c r="AI955" i="13176"/>
  <c r="J956" i="13176"/>
  <c r="AQ956" i="13176"/>
  <c r="P959" i="13176"/>
  <c r="BB959" i="13176"/>
  <c r="AN963" i="13176"/>
  <c r="AA964" i="13176"/>
  <c r="BC966" i="13176"/>
  <c r="S925" i="13176"/>
  <c r="AI925" i="13176"/>
  <c r="AZ925" i="13176"/>
  <c r="J929" i="13176"/>
  <c r="AA929" i="13176"/>
  <c r="AQ929" i="13176"/>
  <c r="S933" i="13176"/>
  <c r="AI933" i="13176"/>
  <c r="AZ933" i="13176"/>
  <c r="J937" i="13176"/>
  <c r="AA937" i="13176"/>
  <c r="AQ937" i="13176"/>
  <c r="H940" i="13176"/>
  <c r="Y940" i="13176"/>
  <c r="AO940" i="13176"/>
  <c r="S941" i="13176"/>
  <c r="AI941" i="13176"/>
  <c r="AZ941" i="13176"/>
  <c r="J945" i="13176"/>
  <c r="AA945" i="13176"/>
  <c r="AQ945" i="13176"/>
  <c r="AR949" i="13176"/>
  <c r="AB949" i="13176"/>
  <c r="BC949" i="13176"/>
  <c r="AL949" i="13176"/>
  <c r="S949" i="13176"/>
  <c r="AJ949" i="13176"/>
  <c r="BD949" i="13176"/>
  <c r="L953" i="13176"/>
  <c r="AK953" i="13176"/>
  <c r="AU954" i="13176"/>
  <c r="AD954" i="13176"/>
  <c r="M954" i="13176"/>
  <c r="AR954" i="13176"/>
  <c r="AB954" i="13176"/>
  <c r="K954" i="13176"/>
  <c r="AP954" i="13176"/>
  <c r="Z954" i="13176"/>
  <c r="I954" i="13176"/>
  <c r="AN954" i="13176"/>
  <c r="X954" i="13176"/>
  <c r="G954" i="13176"/>
  <c r="BC954" i="13176"/>
  <c r="AL954" i="13176"/>
  <c r="V954" i="13176"/>
  <c r="E954" i="13176"/>
  <c r="BA954" i="13176"/>
  <c r="AJ954" i="13176"/>
  <c r="T954" i="13176"/>
  <c r="C954" i="13176"/>
  <c r="AW954" i="13176"/>
  <c r="AF954" i="13176"/>
  <c r="O954" i="13176"/>
  <c r="AG954" i="13176"/>
  <c r="L956" i="13176"/>
  <c r="AT956" i="13176"/>
  <c r="BC958" i="13176"/>
  <c r="AL958" i="13176"/>
  <c r="V958" i="13176"/>
  <c r="E958" i="13176"/>
  <c r="BA958" i="13176"/>
  <c r="AJ958" i="13176"/>
  <c r="T958" i="13176"/>
  <c r="C958" i="13176"/>
  <c r="AY958" i="13176"/>
  <c r="AH958" i="13176"/>
  <c r="Q958" i="13176"/>
  <c r="AW958" i="13176"/>
  <c r="AF958" i="13176"/>
  <c r="O958" i="13176"/>
  <c r="AU958" i="13176"/>
  <c r="AD958" i="13176"/>
  <c r="M958" i="13176"/>
  <c r="AT958" i="13176"/>
  <c r="AC958" i="13176"/>
  <c r="L958" i="13176"/>
  <c r="AR958" i="13176"/>
  <c r="AB958" i="13176"/>
  <c r="K958" i="13176"/>
  <c r="AP958" i="13176"/>
  <c r="Z958" i="13176"/>
  <c r="I958" i="13176"/>
  <c r="AN958" i="13176"/>
  <c r="X958" i="13176"/>
  <c r="G958" i="13176"/>
  <c r="AM958" i="13176"/>
  <c r="S959" i="13176"/>
  <c r="AU962" i="13176"/>
  <c r="AD962" i="13176"/>
  <c r="M962" i="13176"/>
  <c r="AT962" i="13176"/>
  <c r="AC962" i="13176"/>
  <c r="L962" i="13176"/>
  <c r="AR962" i="13176"/>
  <c r="AB962" i="13176"/>
  <c r="K962" i="13176"/>
  <c r="AQ962" i="13176"/>
  <c r="AP962" i="13176"/>
  <c r="Z962" i="13176"/>
  <c r="I962" i="13176"/>
  <c r="AO962" i="13176"/>
  <c r="Y962" i="13176"/>
  <c r="H962" i="13176"/>
  <c r="AN962" i="13176"/>
  <c r="X962" i="13176"/>
  <c r="G962" i="13176"/>
  <c r="BC962" i="13176"/>
  <c r="AL962" i="13176"/>
  <c r="V962" i="13176"/>
  <c r="E962" i="13176"/>
  <c r="BB962" i="13176"/>
  <c r="AK962" i="13176"/>
  <c r="U962" i="13176"/>
  <c r="D962" i="13176"/>
  <c r="BA962" i="13176"/>
  <c r="AJ962" i="13176"/>
  <c r="T962" i="13176"/>
  <c r="C962" i="13176"/>
  <c r="AZ962" i="13176"/>
  <c r="AI962" i="13176"/>
  <c r="AY962" i="13176"/>
  <c r="AH962" i="13176"/>
  <c r="Q962" i="13176"/>
  <c r="AW962" i="13176"/>
  <c r="AF962" i="13176"/>
  <c r="O962" i="13176"/>
  <c r="AI964" i="13176"/>
  <c r="AP968" i="13176"/>
  <c r="Z968" i="13176"/>
  <c r="I968" i="13176"/>
  <c r="AO968" i="13176"/>
  <c r="Y968" i="13176"/>
  <c r="H968" i="13176"/>
  <c r="AN968" i="13176"/>
  <c r="X968" i="13176"/>
  <c r="G968" i="13176"/>
  <c r="BD968" i="13176"/>
  <c r="AM968" i="13176"/>
  <c r="W968" i="13176"/>
  <c r="F968" i="13176"/>
  <c r="BC968" i="13176"/>
  <c r="AL968" i="13176"/>
  <c r="V968" i="13176"/>
  <c r="E968" i="13176"/>
  <c r="BB968" i="13176"/>
  <c r="AK968" i="13176"/>
  <c r="U968" i="13176"/>
  <c r="D968" i="13176"/>
  <c r="BA968" i="13176"/>
  <c r="AJ968" i="13176"/>
  <c r="T968" i="13176"/>
  <c r="C968" i="13176"/>
  <c r="AZ968" i="13176"/>
  <c r="AI968" i="13176"/>
  <c r="S968" i="13176"/>
  <c r="AY968" i="13176"/>
  <c r="AH968" i="13176"/>
  <c r="Q968" i="13176"/>
  <c r="AX968" i="13176"/>
  <c r="AG968" i="13176"/>
  <c r="P968" i="13176"/>
  <c r="AW968" i="13176"/>
  <c r="AF968" i="13176"/>
  <c r="O968" i="13176"/>
  <c r="AV968" i="13176"/>
  <c r="AE968" i="13176"/>
  <c r="N968" i="13176"/>
  <c r="AU968" i="13176"/>
  <c r="AD968" i="13176"/>
  <c r="M968" i="13176"/>
  <c r="AT968" i="13176"/>
  <c r="AC968" i="13176"/>
  <c r="L968" i="13176"/>
  <c r="AR968" i="13176"/>
  <c r="AB968" i="13176"/>
  <c r="K968" i="13176"/>
  <c r="AN971" i="13176"/>
  <c r="E914" i="13176"/>
  <c r="V914" i="13176"/>
  <c r="AL914" i="13176"/>
  <c r="BC914" i="13176"/>
  <c r="O915" i="13176"/>
  <c r="AF915" i="13176"/>
  <c r="AW915" i="13176"/>
  <c r="G919" i="13176"/>
  <c r="X919" i="13176"/>
  <c r="AN919" i="13176"/>
  <c r="Q920" i="13176"/>
  <c r="AH920" i="13176"/>
  <c r="AY920" i="13176"/>
  <c r="E922" i="13176"/>
  <c r="V922" i="13176"/>
  <c r="AL922" i="13176"/>
  <c r="BC922" i="13176"/>
  <c r="O923" i="13176"/>
  <c r="AF923" i="13176"/>
  <c r="AW923" i="13176"/>
  <c r="C925" i="13176"/>
  <c r="T925" i="13176"/>
  <c r="AJ925" i="13176"/>
  <c r="BA925" i="13176"/>
  <c r="G927" i="13176"/>
  <c r="X927" i="13176"/>
  <c r="AN927" i="13176"/>
  <c r="Q928" i="13176"/>
  <c r="AH928" i="13176"/>
  <c r="AY928" i="13176"/>
  <c r="K929" i="13176"/>
  <c r="AB929" i="13176"/>
  <c r="AR929" i="13176"/>
  <c r="E930" i="13176"/>
  <c r="V930" i="13176"/>
  <c r="AL930" i="13176"/>
  <c r="BC930" i="13176"/>
  <c r="C933" i="13176"/>
  <c r="T933" i="13176"/>
  <c r="AJ933" i="13176"/>
  <c r="BA933" i="13176"/>
  <c r="G935" i="13176"/>
  <c r="X935" i="13176"/>
  <c r="AN935" i="13176"/>
  <c r="Q936" i="13176"/>
  <c r="AH936" i="13176"/>
  <c r="AY936" i="13176"/>
  <c r="K937" i="13176"/>
  <c r="AB937" i="13176"/>
  <c r="AR937" i="13176"/>
  <c r="E938" i="13176"/>
  <c r="V938" i="13176"/>
  <c r="AL938" i="13176"/>
  <c r="BC938" i="13176"/>
  <c r="I940" i="13176"/>
  <c r="Z940" i="13176"/>
  <c r="AP940" i="13176"/>
  <c r="C941" i="13176"/>
  <c r="T941" i="13176"/>
  <c r="AJ941" i="13176"/>
  <c r="BA941" i="13176"/>
  <c r="G943" i="13176"/>
  <c r="X943" i="13176"/>
  <c r="AN943" i="13176"/>
  <c r="K945" i="13176"/>
  <c r="AB945" i="13176"/>
  <c r="AR945" i="13176"/>
  <c r="E946" i="13176"/>
  <c r="V946" i="13176"/>
  <c r="AL946" i="13176"/>
  <c r="BC946" i="13176"/>
  <c r="I948" i="13176"/>
  <c r="Z948" i="13176"/>
  <c r="AP948" i="13176"/>
  <c r="C949" i="13176"/>
  <c r="T949" i="13176"/>
  <c r="AK949" i="13176"/>
  <c r="AW951" i="13176"/>
  <c r="AF951" i="13176"/>
  <c r="O951" i="13176"/>
  <c r="AU951" i="13176"/>
  <c r="AR951" i="13176"/>
  <c r="AP951" i="13176"/>
  <c r="Z951" i="13176"/>
  <c r="I951" i="13176"/>
  <c r="U951" i="13176"/>
  <c r="AM951" i="13176"/>
  <c r="N953" i="13176"/>
  <c r="AL953" i="13176"/>
  <c r="D954" i="13176"/>
  <c r="AH954" i="13176"/>
  <c r="N956" i="13176"/>
  <c r="AV956" i="13176"/>
  <c r="D958" i="13176"/>
  <c r="AO958" i="13176"/>
  <c r="U959" i="13176"/>
  <c r="AP960" i="13176"/>
  <c r="Z960" i="13176"/>
  <c r="I960" i="13176"/>
  <c r="AN960" i="13176"/>
  <c r="X960" i="13176"/>
  <c r="G960" i="13176"/>
  <c r="BC960" i="13176"/>
  <c r="AL960" i="13176"/>
  <c r="V960" i="13176"/>
  <c r="E960" i="13176"/>
  <c r="BA960" i="13176"/>
  <c r="AJ960" i="13176"/>
  <c r="T960" i="13176"/>
  <c r="C960" i="13176"/>
  <c r="AY960" i="13176"/>
  <c r="AH960" i="13176"/>
  <c r="Q960" i="13176"/>
  <c r="AX960" i="13176"/>
  <c r="AG960" i="13176"/>
  <c r="P960" i="13176"/>
  <c r="AW960" i="13176"/>
  <c r="AF960" i="13176"/>
  <c r="O960" i="13176"/>
  <c r="AU960" i="13176"/>
  <c r="AD960" i="13176"/>
  <c r="M960" i="13176"/>
  <c r="AR960" i="13176"/>
  <c r="AB960" i="13176"/>
  <c r="K960" i="13176"/>
  <c r="AM960" i="13176"/>
  <c r="F962" i="13176"/>
  <c r="AK964" i="13176"/>
  <c r="J968" i="13176"/>
  <c r="H919" i="13176"/>
  <c r="Y919" i="13176"/>
  <c r="AO919" i="13176"/>
  <c r="S920" i="13176"/>
  <c r="AI920" i="13176"/>
  <c r="AZ920" i="13176"/>
  <c r="D925" i="13176"/>
  <c r="U925" i="13176"/>
  <c r="AK925" i="13176"/>
  <c r="BB925" i="13176"/>
  <c r="H927" i="13176"/>
  <c r="Y927" i="13176"/>
  <c r="AO927" i="13176"/>
  <c r="S928" i="13176"/>
  <c r="AI928" i="13176"/>
  <c r="AZ928" i="13176"/>
  <c r="L929" i="13176"/>
  <c r="AC929" i="13176"/>
  <c r="AT929" i="13176"/>
  <c r="BD930" i="13176"/>
  <c r="D933" i="13176"/>
  <c r="U933" i="13176"/>
  <c r="AK933" i="13176"/>
  <c r="BB933" i="13176"/>
  <c r="H935" i="13176"/>
  <c r="Y935" i="13176"/>
  <c r="AO935" i="13176"/>
  <c r="S936" i="13176"/>
  <c r="AI936" i="13176"/>
  <c r="AZ936" i="13176"/>
  <c r="L937" i="13176"/>
  <c r="AC937" i="13176"/>
  <c r="AT937" i="13176"/>
  <c r="F938" i="13176"/>
  <c r="W938" i="13176"/>
  <c r="AM938" i="13176"/>
  <c r="BD938" i="13176"/>
  <c r="J940" i="13176"/>
  <c r="AA940" i="13176"/>
  <c r="AQ940" i="13176"/>
  <c r="D941" i="13176"/>
  <c r="U941" i="13176"/>
  <c r="AK941" i="13176"/>
  <c r="BB941" i="13176"/>
  <c r="H943" i="13176"/>
  <c r="Y943" i="13176"/>
  <c r="AO943" i="13176"/>
  <c r="S944" i="13176"/>
  <c r="AI944" i="13176"/>
  <c r="AZ944" i="13176"/>
  <c r="L945" i="13176"/>
  <c r="AC945" i="13176"/>
  <c r="AT945" i="13176"/>
  <c r="F946" i="13176"/>
  <c r="W946" i="13176"/>
  <c r="AM946" i="13176"/>
  <c r="BD946" i="13176"/>
  <c r="J948" i="13176"/>
  <c r="AA948" i="13176"/>
  <c r="AQ948" i="13176"/>
  <c r="D949" i="13176"/>
  <c r="U949" i="13176"/>
  <c r="AM949" i="13176"/>
  <c r="BC950" i="13176"/>
  <c r="AL950" i="13176"/>
  <c r="V950" i="13176"/>
  <c r="E950" i="13176"/>
  <c r="AW950" i="13176"/>
  <c r="AF950" i="13176"/>
  <c r="O950" i="13176"/>
  <c r="U950" i="13176"/>
  <c r="AN950" i="13176"/>
  <c r="C951" i="13176"/>
  <c r="V951" i="13176"/>
  <c r="AN951" i="13176"/>
  <c r="AY952" i="13176"/>
  <c r="P953" i="13176"/>
  <c r="AM953" i="13176"/>
  <c r="F954" i="13176"/>
  <c r="AI954" i="13176"/>
  <c r="P956" i="13176"/>
  <c r="AX956" i="13176"/>
  <c r="F958" i="13176"/>
  <c r="AQ958" i="13176"/>
  <c r="Y959" i="13176"/>
  <c r="D960" i="13176"/>
  <c r="AO960" i="13176"/>
  <c r="J962" i="13176"/>
  <c r="AQ964" i="13176"/>
  <c r="AA968" i="13176"/>
  <c r="AX975" i="13176"/>
  <c r="G914" i="13176"/>
  <c r="X914" i="13176"/>
  <c r="AN914" i="13176"/>
  <c r="Q915" i="13176"/>
  <c r="AH915" i="13176"/>
  <c r="AY915" i="13176"/>
  <c r="I919" i="13176"/>
  <c r="Z919" i="13176"/>
  <c r="AP919" i="13176"/>
  <c r="C920" i="13176"/>
  <c r="T920" i="13176"/>
  <c r="AJ920" i="13176"/>
  <c r="BA920" i="13176"/>
  <c r="G922" i="13176"/>
  <c r="X922" i="13176"/>
  <c r="AN922" i="13176"/>
  <c r="Q923" i="13176"/>
  <c r="AH923" i="13176"/>
  <c r="AY923" i="13176"/>
  <c r="E925" i="13176"/>
  <c r="V925" i="13176"/>
  <c r="AL925" i="13176"/>
  <c r="BC925" i="13176"/>
  <c r="I927" i="13176"/>
  <c r="Z927" i="13176"/>
  <c r="AP927" i="13176"/>
  <c r="C928" i="13176"/>
  <c r="T928" i="13176"/>
  <c r="AJ928" i="13176"/>
  <c r="BA928" i="13176"/>
  <c r="M929" i="13176"/>
  <c r="AD929" i="13176"/>
  <c r="AU929" i="13176"/>
  <c r="G930" i="13176"/>
  <c r="X930" i="13176"/>
  <c r="AN930" i="13176"/>
  <c r="Q931" i="13176"/>
  <c r="AH931" i="13176"/>
  <c r="AY931" i="13176"/>
  <c r="E933" i="13176"/>
  <c r="V933" i="13176"/>
  <c r="AL933" i="13176"/>
  <c r="BC933" i="13176"/>
  <c r="I935" i="13176"/>
  <c r="Z935" i="13176"/>
  <c r="AP935" i="13176"/>
  <c r="C936" i="13176"/>
  <c r="T936" i="13176"/>
  <c r="AJ936" i="13176"/>
  <c r="BA936" i="13176"/>
  <c r="M937" i="13176"/>
  <c r="AD937" i="13176"/>
  <c r="AU937" i="13176"/>
  <c r="G938" i="13176"/>
  <c r="X938" i="13176"/>
  <c r="AN938" i="13176"/>
  <c r="Q939" i="13176"/>
  <c r="AH939" i="13176"/>
  <c r="AY939" i="13176"/>
  <c r="K940" i="13176"/>
  <c r="AB940" i="13176"/>
  <c r="AR940" i="13176"/>
  <c r="E941" i="13176"/>
  <c r="V941" i="13176"/>
  <c r="AL941" i="13176"/>
  <c r="BC941" i="13176"/>
  <c r="I943" i="13176"/>
  <c r="Z943" i="13176"/>
  <c r="AP943" i="13176"/>
  <c r="C944" i="13176"/>
  <c r="T944" i="13176"/>
  <c r="AJ944" i="13176"/>
  <c r="BA944" i="13176"/>
  <c r="M945" i="13176"/>
  <c r="AD945" i="13176"/>
  <c r="AU945" i="13176"/>
  <c r="G946" i="13176"/>
  <c r="X946" i="13176"/>
  <c r="AN946" i="13176"/>
  <c r="Q947" i="13176"/>
  <c r="AH947" i="13176"/>
  <c r="AY947" i="13176"/>
  <c r="K948" i="13176"/>
  <c r="AB948" i="13176"/>
  <c r="AR948" i="13176"/>
  <c r="E949" i="13176"/>
  <c r="V949" i="13176"/>
  <c r="AN949" i="13176"/>
  <c r="C950" i="13176"/>
  <c r="W950" i="13176"/>
  <c r="AO950" i="13176"/>
  <c r="D951" i="13176"/>
  <c r="W951" i="13176"/>
  <c r="AO951" i="13176"/>
  <c r="J952" i="13176"/>
  <c r="AE952" i="13176"/>
  <c r="AZ952" i="13176"/>
  <c r="S953" i="13176"/>
  <c r="AN953" i="13176"/>
  <c r="H954" i="13176"/>
  <c r="AK954" i="13176"/>
  <c r="J955" i="13176"/>
  <c r="AQ955" i="13176"/>
  <c r="S956" i="13176"/>
  <c r="AZ956" i="13176"/>
  <c r="H958" i="13176"/>
  <c r="AV958" i="13176"/>
  <c r="AA959" i="13176"/>
  <c r="F960" i="13176"/>
  <c r="AQ960" i="13176"/>
  <c r="N962" i="13176"/>
  <c r="AZ964" i="13176"/>
  <c r="AQ968" i="13176"/>
  <c r="H914" i="13176"/>
  <c r="Y914" i="13176"/>
  <c r="AO914" i="13176"/>
  <c r="S915" i="13176"/>
  <c r="AI915" i="13176"/>
  <c r="AZ915" i="13176"/>
  <c r="J919" i="13176"/>
  <c r="AA919" i="13176"/>
  <c r="AQ919" i="13176"/>
  <c r="D920" i="13176"/>
  <c r="U920" i="13176"/>
  <c r="AK920" i="13176"/>
  <c r="BB920" i="13176"/>
  <c r="H922" i="13176"/>
  <c r="Y922" i="13176"/>
  <c r="AO922" i="13176"/>
  <c r="S923" i="13176"/>
  <c r="AI923" i="13176"/>
  <c r="AZ923" i="13176"/>
  <c r="F925" i="13176"/>
  <c r="W925" i="13176"/>
  <c r="AM925" i="13176"/>
  <c r="BD925" i="13176"/>
  <c r="J927" i="13176"/>
  <c r="AA927" i="13176"/>
  <c r="AQ927" i="13176"/>
  <c r="D928" i="13176"/>
  <c r="U928" i="13176"/>
  <c r="AK928" i="13176"/>
  <c r="BB928" i="13176"/>
  <c r="N929" i="13176"/>
  <c r="AE929" i="13176"/>
  <c r="AV929" i="13176"/>
  <c r="H930" i="13176"/>
  <c r="Y930" i="13176"/>
  <c r="AO930" i="13176"/>
  <c r="S931" i="13176"/>
  <c r="AI931" i="13176"/>
  <c r="AZ931" i="13176"/>
  <c r="F933" i="13176"/>
  <c r="W933" i="13176"/>
  <c r="AM933" i="13176"/>
  <c r="BD933" i="13176"/>
  <c r="J935" i="13176"/>
  <c r="AA935" i="13176"/>
  <c r="AQ935" i="13176"/>
  <c r="D936" i="13176"/>
  <c r="U936" i="13176"/>
  <c r="AK936" i="13176"/>
  <c r="BB936" i="13176"/>
  <c r="N937" i="13176"/>
  <c r="AE937" i="13176"/>
  <c r="AV937" i="13176"/>
  <c r="H938" i="13176"/>
  <c r="Y938" i="13176"/>
  <c r="AO938" i="13176"/>
  <c r="S939" i="13176"/>
  <c r="AI939" i="13176"/>
  <c r="AZ939" i="13176"/>
  <c r="L940" i="13176"/>
  <c r="AC940" i="13176"/>
  <c r="AT940" i="13176"/>
  <c r="F941" i="13176"/>
  <c r="W941" i="13176"/>
  <c r="AM941" i="13176"/>
  <c r="BD941" i="13176"/>
  <c r="J943" i="13176"/>
  <c r="AA943" i="13176"/>
  <c r="AQ943" i="13176"/>
  <c r="D944" i="13176"/>
  <c r="U944" i="13176"/>
  <c r="AK944" i="13176"/>
  <c r="BB944" i="13176"/>
  <c r="N945" i="13176"/>
  <c r="AE945" i="13176"/>
  <c r="AV945" i="13176"/>
  <c r="H946" i="13176"/>
  <c r="Y946" i="13176"/>
  <c r="AO946" i="13176"/>
  <c r="S947" i="13176"/>
  <c r="AI947" i="13176"/>
  <c r="AZ947" i="13176"/>
  <c r="L948" i="13176"/>
  <c r="AC948" i="13176"/>
  <c r="AT948" i="13176"/>
  <c r="F949" i="13176"/>
  <c r="W949" i="13176"/>
  <c r="AO949" i="13176"/>
  <c r="D950" i="13176"/>
  <c r="X950" i="13176"/>
  <c r="AP950" i="13176"/>
  <c r="E951" i="13176"/>
  <c r="X951" i="13176"/>
  <c r="AQ951" i="13176"/>
  <c r="K952" i="13176"/>
  <c r="AF952" i="13176"/>
  <c r="BB952" i="13176"/>
  <c r="U953" i="13176"/>
  <c r="AO953" i="13176"/>
  <c r="J954" i="13176"/>
  <c r="AM954" i="13176"/>
  <c r="L955" i="13176"/>
  <c r="AT955" i="13176"/>
  <c r="U956" i="13176"/>
  <c r="BB956" i="13176"/>
  <c r="J958" i="13176"/>
  <c r="AX958" i="13176"/>
  <c r="AC959" i="13176"/>
  <c r="H960" i="13176"/>
  <c r="AT960" i="13176"/>
  <c r="P962" i="13176"/>
  <c r="BB964" i="13176"/>
  <c r="I914" i="13176"/>
  <c r="Z914" i="13176"/>
  <c r="C915" i="13176"/>
  <c r="T915" i="13176"/>
  <c r="AJ915" i="13176"/>
  <c r="K919" i="13176"/>
  <c r="AB919" i="13176"/>
  <c r="E920" i="13176"/>
  <c r="V920" i="13176"/>
  <c r="AL920" i="13176"/>
  <c r="I922" i="13176"/>
  <c r="Z922" i="13176"/>
  <c r="C923" i="13176"/>
  <c r="T923" i="13176"/>
  <c r="AJ923" i="13176"/>
  <c r="G925" i="13176"/>
  <c r="X925" i="13176"/>
  <c r="K927" i="13176"/>
  <c r="AB927" i="13176"/>
  <c r="E928" i="13176"/>
  <c r="V928" i="13176"/>
  <c r="AL928" i="13176"/>
  <c r="O929" i="13176"/>
  <c r="AF929" i="13176"/>
  <c r="I930" i="13176"/>
  <c r="Z930" i="13176"/>
  <c r="C931" i="13176"/>
  <c r="T931" i="13176"/>
  <c r="AJ931" i="13176"/>
  <c r="G933" i="13176"/>
  <c r="X933" i="13176"/>
  <c r="K935" i="13176"/>
  <c r="AB935" i="13176"/>
  <c r="E936" i="13176"/>
  <c r="V936" i="13176"/>
  <c r="AL936" i="13176"/>
  <c r="O937" i="13176"/>
  <c r="AF937" i="13176"/>
  <c r="I938" i="13176"/>
  <c r="Z938" i="13176"/>
  <c r="C939" i="13176"/>
  <c r="T939" i="13176"/>
  <c r="AJ939" i="13176"/>
  <c r="M940" i="13176"/>
  <c r="AD940" i="13176"/>
  <c r="G941" i="13176"/>
  <c r="X941" i="13176"/>
  <c r="K943" i="13176"/>
  <c r="AB943" i="13176"/>
  <c r="E944" i="13176"/>
  <c r="V944" i="13176"/>
  <c r="AL944" i="13176"/>
  <c r="O945" i="13176"/>
  <c r="AF945" i="13176"/>
  <c r="I946" i="13176"/>
  <c r="Z946" i="13176"/>
  <c r="C947" i="13176"/>
  <c r="T947" i="13176"/>
  <c r="AJ947" i="13176"/>
  <c r="M948" i="13176"/>
  <c r="AD948" i="13176"/>
  <c r="G949" i="13176"/>
  <c r="X949" i="13176"/>
  <c r="AP949" i="13176"/>
  <c r="F950" i="13176"/>
  <c r="Y950" i="13176"/>
  <c r="AQ950" i="13176"/>
  <c r="F951" i="13176"/>
  <c r="Y951" i="13176"/>
  <c r="AT951" i="13176"/>
  <c r="L952" i="13176"/>
  <c r="AG952" i="13176"/>
  <c r="BD952" i="13176"/>
  <c r="V953" i="13176"/>
  <c r="AP953" i="13176"/>
  <c r="L954" i="13176"/>
  <c r="AO954" i="13176"/>
  <c r="N955" i="13176"/>
  <c r="AV955" i="13176"/>
  <c r="W956" i="13176"/>
  <c r="BD956" i="13176"/>
  <c r="N958" i="13176"/>
  <c r="AZ958" i="13176"/>
  <c r="AE959" i="13176"/>
  <c r="J960" i="13176"/>
  <c r="AV960" i="13176"/>
  <c r="S962" i="13176"/>
  <c r="BA969" i="13176"/>
  <c r="AU972" i="13176"/>
  <c r="AD972" i="13176"/>
  <c r="M972" i="13176"/>
  <c r="BB972" i="13176"/>
  <c r="AJ972" i="13176"/>
  <c r="S972" i="13176"/>
  <c r="BA972" i="13176"/>
  <c r="AI972" i="13176"/>
  <c r="Q972" i="13176"/>
  <c r="AZ972" i="13176"/>
  <c r="AH972" i="13176"/>
  <c r="P972" i="13176"/>
  <c r="AY972" i="13176"/>
  <c r="AG972" i="13176"/>
  <c r="O972" i="13176"/>
  <c r="AX972" i="13176"/>
  <c r="AF972" i="13176"/>
  <c r="N972" i="13176"/>
  <c r="AW972" i="13176"/>
  <c r="AE972" i="13176"/>
  <c r="L972" i="13176"/>
  <c r="AV972" i="13176"/>
  <c r="AC972" i="13176"/>
  <c r="K972" i="13176"/>
  <c r="AT972" i="13176"/>
  <c r="AB972" i="13176"/>
  <c r="J972" i="13176"/>
  <c r="AR972" i="13176"/>
  <c r="AA972" i="13176"/>
  <c r="I972" i="13176"/>
  <c r="AQ972" i="13176"/>
  <c r="Z972" i="13176"/>
  <c r="H972" i="13176"/>
  <c r="AP972" i="13176"/>
  <c r="Y972" i="13176"/>
  <c r="G972" i="13176"/>
  <c r="AO972" i="13176"/>
  <c r="X972" i="13176"/>
  <c r="F972" i="13176"/>
  <c r="AN972" i="13176"/>
  <c r="W972" i="13176"/>
  <c r="E972" i="13176"/>
  <c r="AM972" i="13176"/>
  <c r="V972" i="13176"/>
  <c r="D972" i="13176"/>
  <c r="BD972" i="13176"/>
  <c r="AL972" i="13176"/>
  <c r="U972" i="13176"/>
  <c r="C972" i="13176"/>
  <c r="AV980" i="13176"/>
  <c r="AE980" i="13176"/>
  <c r="N980" i="13176"/>
  <c r="AU980" i="13176"/>
  <c r="AD980" i="13176"/>
  <c r="M980" i="13176"/>
  <c r="AT980" i="13176"/>
  <c r="AC980" i="13176"/>
  <c r="L980" i="13176"/>
  <c r="AR980" i="13176"/>
  <c r="AB980" i="13176"/>
  <c r="K980" i="13176"/>
  <c r="AQ980" i="13176"/>
  <c r="AA980" i="13176"/>
  <c r="J980" i="13176"/>
  <c r="AO980" i="13176"/>
  <c r="Y980" i="13176"/>
  <c r="H980" i="13176"/>
  <c r="AN980" i="13176"/>
  <c r="X980" i="13176"/>
  <c r="G980" i="13176"/>
  <c r="BC980" i="13176"/>
  <c r="AL980" i="13176"/>
  <c r="V980" i="13176"/>
  <c r="E980" i="13176"/>
  <c r="BB980" i="13176"/>
  <c r="AK980" i="13176"/>
  <c r="U980" i="13176"/>
  <c r="D980" i="13176"/>
  <c r="AJ980" i="13176"/>
  <c r="AI980" i="13176"/>
  <c r="AH980" i="13176"/>
  <c r="AG980" i="13176"/>
  <c r="AF980" i="13176"/>
  <c r="Z980" i="13176"/>
  <c r="W980" i="13176"/>
  <c r="T980" i="13176"/>
  <c r="BD980" i="13176"/>
  <c r="S980" i="13176"/>
  <c r="BA980" i="13176"/>
  <c r="Q980" i="13176"/>
  <c r="AZ980" i="13176"/>
  <c r="P980" i="13176"/>
  <c r="AY980" i="13176"/>
  <c r="O980" i="13176"/>
  <c r="AX980" i="13176"/>
  <c r="I980" i="13176"/>
  <c r="AW980" i="13176"/>
  <c r="F980" i="13176"/>
  <c r="AP980" i="13176"/>
  <c r="C980" i="13176"/>
  <c r="M957" i="13176"/>
  <c r="AD957" i="13176"/>
  <c r="AU957" i="13176"/>
  <c r="E961" i="13176"/>
  <c r="V961" i="13176"/>
  <c r="AL961" i="13176"/>
  <c r="BC961" i="13176"/>
  <c r="I963" i="13176"/>
  <c r="Z963" i="13176"/>
  <c r="AP963" i="13176"/>
  <c r="M965" i="13176"/>
  <c r="AD965" i="13176"/>
  <c r="AU965" i="13176"/>
  <c r="G966" i="13176"/>
  <c r="X966" i="13176"/>
  <c r="AN966" i="13176"/>
  <c r="Q967" i="13176"/>
  <c r="AH967" i="13176"/>
  <c r="AY967" i="13176"/>
  <c r="E969" i="13176"/>
  <c r="V969" i="13176"/>
  <c r="AL969" i="13176"/>
  <c r="BC969" i="13176"/>
  <c r="O970" i="13176"/>
  <c r="AF970" i="13176"/>
  <c r="AW970" i="13176"/>
  <c r="S967" i="13176"/>
  <c r="AI967" i="13176"/>
  <c r="AZ967" i="13176"/>
  <c r="F969" i="13176"/>
  <c r="W969" i="13176"/>
  <c r="AM969" i="13176"/>
  <c r="BD969" i="13176"/>
  <c r="P970" i="13176"/>
  <c r="AG970" i="13176"/>
  <c r="AX970" i="13176"/>
  <c r="AL999" i="13176"/>
  <c r="O957" i="13176"/>
  <c r="AF957" i="13176"/>
  <c r="AW957" i="13176"/>
  <c r="G961" i="13176"/>
  <c r="X961" i="13176"/>
  <c r="AN961" i="13176"/>
  <c r="K963" i="13176"/>
  <c r="AB963" i="13176"/>
  <c r="AR963" i="13176"/>
  <c r="O965" i="13176"/>
  <c r="AF965" i="13176"/>
  <c r="AW965" i="13176"/>
  <c r="I966" i="13176"/>
  <c r="Z966" i="13176"/>
  <c r="AP966" i="13176"/>
  <c r="C967" i="13176"/>
  <c r="T967" i="13176"/>
  <c r="AJ967" i="13176"/>
  <c r="BA967" i="13176"/>
  <c r="G969" i="13176"/>
  <c r="X969" i="13176"/>
  <c r="AN969" i="13176"/>
  <c r="Q970" i="13176"/>
  <c r="AH970" i="13176"/>
  <c r="AY970" i="13176"/>
  <c r="AR971" i="13176"/>
  <c r="AO973" i="13176"/>
  <c r="BB987" i="13176"/>
  <c r="AZ990" i="13176"/>
  <c r="AX993" i="13176"/>
  <c r="AV996" i="13176"/>
  <c r="AW1007" i="13176"/>
  <c r="AT963" i="13176"/>
  <c r="AA966" i="13176"/>
  <c r="AQ966" i="13176"/>
  <c r="D967" i="13176"/>
  <c r="U967" i="13176"/>
  <c r="AK967" i="13176"/>
  <c r="BB967" i="13176"/>
  <c r="S970" i="13176"/>
  <c r="AI970" i="13176"/>
  <c r="AZ970" i="13176"/>
  <c r="L971" i="13176"/>
  <c r="AC971" i="13176"/>
  <c r="AT971" i="13176"/>
  <c r="AV1003" i="13176"/>
  <c r="Q957" i="13176"/>
  <c r="AH957" i="13176"/>
  <c r="AY957" i="13176"/>
  <c r="I961" i="13176"/>
  <c r="Z961" i="13176"/>
  <c r="AP961" i="13176"/>
  <c r="M963" i="13176"/>
  <c r="AD963" i="13176"/>
  <c r="AU963" i="13176"/>
  <c r="Q965" i="13176"/>
  <c r="AH965" i="13176"/>
  <c r="AY965" i="13176"/>
  <c r="K966" i="13176"/>
  <c r="AB966" i="13176"/>
  <c r="AR966" i="13176"/>
  <c r="E967" i="13176"/>
  <c r="V967" i="13176"/>
  <c r="AL967" i="13176"/>
  <c r="BC967" i="13176"/>
  <c r="I969" i="13176"/>
  <c r="Z969" i="13176"/>
  <c r="AP969" i="13176"/>
  <c r="C970" i="13176"/>
  <c r="T970" i="13176"/>
  <c r="AJ970" i="13176"/>
  <c r="BA970" i="13176"/>
  <c r="M971" i="13176"/>
  <c r="AD971" i="13176"/>
  <c r="AU971" i="13176"/>
  <c r="S977" i="13176"/>
  <c r="AY977" i="13176"/>
  <c r="S957" i="13176"/>
  <c r="AI957" i="13176"/>
  <c r="AZ957" i="13176"/>
  <c r="J961" i="13176"/>
  <c r="AA961" i="13176"/>
  <c r="AQ961" i="13176"/>
  <c r="N963" i="13176"/>
  <c r="AE963" i="13176"/>
  <c r="AV963" i="13176"/>
  <c r="S965" i="13176"/>
  <c r="AI965" i="13176"/>
  <c r="AZ965" i="13176"/>
  <c r="L966" i="13176"/>
  <c r="AC966" i="13176"/>
  <c r="AT966" i="13176"/>
  <c r="F967" i="13176"/>
  <c r="W967" i="13176"/>
  <c r="AM967" i="13176"/>
  <c r="BD967" i="13176"/>
  <c r="J969" i="13176"/>
  <c r="AA969" i="13176"/>
  <c r="AQ969" i="13176"/>
  <c r="D970" i="13176"/>
  <c r="U970" i="13176"/>
  <c r="AK970" i="13176"/>
  <c r="BB970" i="13176"/>
  <c r="N971" i="13176"/>
  <c r="AE971" i="13176"/>
  <c r="AV971" i="13176"/>
  <c r="S975" i="13176"/>
  <c r="AU975" i="13176"/>
  <c r="T977" i="13176"/>
  <c r="AZ977" i="13176"/>
  <c r="AB978" i="13176"/>
  <c r="C957" i="13176"/>
  <c r="T957" i="13176"/>
  <c r="AJ957" i="13176"/>
  <c r="BA957" i="13176"/>
  <c r="K961" i="13176"/>
  <c r="AB961" i="13176"/>
  <c r="AR961" i="13176"/>
  <c r="O963" i="13176"/>
  <c r="AF963" i="13176"/>
  <c r="AW963" i="13176"/>
  <c r="C965" i="13176"/>
  <c r="T965" i="13176"/>
  <c r="AJ965" i="13176"/>
  <c r="BA965" i="13176"/>
  <c r="M966" i="13176"/>
  <c r="AD966" i="13176"/>
  <c r="AU966" i="13176"/>
  <c r="G967" i="13176"/>
  <c r="X967" i="13176"/>
  <c r="AN967" i="13176"/>
  <c r="K969" i="13176"/>
  <c r="AB969" i="13176"/>
  <c r="AR969" i="13176"/>
  <c r="E970" i="13176"/>
  <c r="V970" i="13176"/>
  <c r="AL970" i="13176"/>
  <c r="BC970" i="13176"/>
  <c r="O971" i="13176"/>
  <c r="AF971" i="13176"/>
  <c r="AW971" i="13176"/>
  <c r="U977" i="13176"/>
  <c r="BA977" i="13176"/>
  <c r="BB979" i="13176"/>
  <c r="AX985" i="13176"/>
  <c r="L969" i="13176"/>
  <c r="AC969" i="13176"/>
  <c r="AT969" i="13176"/>
  <c r="F970" i="13176"/>
  <c r="W970" i="13176"/>
  <c r="AM970" i="13176"/>
  <c r="BD970" i="13176"/>
  <c r="P971" i="13176"/>
  <c r="AG971" i="13176"/>
  <c r="AX971" i="13176"/>
  <c r="V975" i="13176"/>
  <c r="AW975" i="13176"/>
  <c r="V977" i="13176"/>
  <c r="BB977" i="13176"/>
  <c r="AD978" i="13176"/>
  <c r="AQ994" i="13176"/>
  <c r="BC1004" i="13176"/>
  <c r="E957" i="13176"/>
  <c r="V957" i="13176"/>
  <c r="AL957" i="13176"/>
  <c r="BC957" i="13176"/>
  <c r="M961" i="13176"/>
  <c r="AD961" i="13176"/>
  <c r="AU961" i="13176"/>
  <c r="Q963" i="13176"/>
  <c r="AH963" i="13176"/>
  <c r="AY963" i="13176"/>
  <c r="E965" i="13176"/>
  <c r="V965" i="13176"/>
  <c r="AL965" i="13176"/>
  <c r="BC965" i="13176"/>
  <c r="O966" i="13176"/>
  <c r="AF966" i="13176"/>
  <c r="AW966" i="13176"/>
  <c r="I967" i="13176"/>
  <c r="Z967" i="13176"/>
  <c r="AP967" i="13176"/>
  <c r="M969" i="13176"/>
  <c r="AD969" i="13176"/>
  <c r="AU969" i="13176"/>
  <c r="G970" i="13176"/>
  <c r="X970" i="13176"/>
  <c r="AN970" i="13176"/>
  <c r="Q971" i="13176"/>
  <c r="AH971" i="13176"/>
  <c r="AY971" i="13176"/>
  <c r="X975" i="13176"/>
  <c r="X976" i="13176"/>
  <c r="AW976" i="13176"/>
  <c r="W977" i="13176"/>
  <c r="BC977" i="13176"/>
  <c r="AE978" i="13176"/>
  <c r="AO981" i="13176"/>
  <c r="AV988" i="13176"/>
  <c r="AT991" i="13176"/>
  <c r="S963" i="13176"/>
  <c r="AI963" i="13176"/>
  <c r="AZ963" i="13176"/>
  <c r="P966" i="13176"/>
  <c r="AG966" i="13176"/>
  <c r="AX966" i="13176"/>
  <c r="J967" i="13176"/>
  <c r="AA967" i="13176"/>
  <c r="AQ967" i="13176"/>
  <c r="N969" i="13176"/>
  <c r="AE969" i="13176"/>
  <c r="AV969" i="13176"/>
  <c r="H970" i="13176"/>
  <c r="Y970" i="13176"/>
  <c r="AO970" i="13176"/>
  <c r="S971" i="13176"/>
  <c r="AI971" i="13176"/>
  <c r="AZ971" i="13176"/>
  <c r="AT975" i="13176"/>
  <c r="AC975" i="13176"/>
  <c r="L975" i="13176"/>
  <c r="AR975" i="13176"/>
  <c r="AB975" i="13176"/>
  <c r="K975" i="13176"/>
  <c r="AQ975" i="13176"/>
  <c r="AA975" i="13176"/>
  <c r="AP975" i="13176"/>
  <c r="BD975" i="13176"/>
  <c r="AM975" i="13176"/>
  <c r="W975" i="13176"/>
  <c r="F975" i="13176"/>
  <c r="BA975" i="13176"/>
  <c r="AJ975" i="13176"/>
  <c r="T975" i="13176"/>
  <c r="C975" i="13176"/>
  <c r="Y975" i="13176"/>
  <c r="AY975" i="13176"/>
  <c r="Y976" i="13176"/>
  <c r="AY976" i="13176"/>
  <c r="Y977" i="13176"/>
  <c r="BD977" i="13176"/>
  <c r="AF978" i="13176"/>
  <c r="G957" i="13176"/>
  <c r="X957" i="13176"/>
  <c r="AN957" i="13176"/>
  <c r="O961" i="13176"/>
  <c r="AF961" i="13176"/>
  <c r="AW961" i="13176"/>
  <c r="C963" i="13176"/>
  <c r="T963" i="13176"/>
  <c r="AJ963" i="13176"/>
  <c r="BA963" i="13176"/>
  <c r="G965" i="13176"/>
  <c r="X965" i="13176"/>
  <c r="AN965" i="13176"/>
  <c r="Q966" i="13176"/>
  <c r="AH966" i="13176"/>
  <c r="AY966" i="13176"/>
  <c r="K967" i="13176"/>
  <c r="AB967" i="13176"/>
  <c r="AR967" i="13176"/>
  <c r="O969" i="13176"/>
  <c r="AF969" i="13176"/>
  <c r="AW969" i="13176"/>
  <c r="I970" i="13176"/>
  <c r="Z970" i="13176"/>
  <c r="AP970" i="13176"/>
  <c r="C971" i="13176"/>
  <c r="T971" i="13176"/>
  <c r="AJ971" i="13176"/>
  <c r="BA971" i="13176"/>
  <c r="D975" i="13176"/>
  <c r="Z975" i="13176"/>
  <c r="AZ975" i="13176"/>
  <c r="Z976" i="13176"/>
  <c r="D963" i="13176"/>
  <c r="U963" i="13176"/>
  <c r="AK963" i="13176"/>
  <c r="BB963" i="13176"/>
  <c r="S966" i="13176"/>
  <c r="AI966" i="13176"/>
  <c r="AZ966" i="13176"/>
  <c r="L967" i="13176"/>
  <c r="AC967" i="13176"/>
  <c r="AT967" i="13176"/>
  <c r="P969" i="13176"/>
  <c r="AG969" i="13176"/>
  <c r="AX969" i="13176"/>
  <c r="J970" i="13176"/>
  <c r="AA970" i="13176"/>
  <c r="AQ970" i="13176"/>
  <c r="D971" i="13176"/>
  <c r="U971" i="13176"/>
  <c r="AK971" i="13176"/>
  <c r="BB971" i="13176"/>
  <c r="AX977" i="13176"/>
  <c r="AG977" i="13176"/>
  <c r="P977" i="13176"/>
  <c r="AW977" i="13176"/>
  <c r="AF977" i="13176"/>
  <c r="O977" i="13176"/>
  <c r="AV977" i="13176"/>
  <c r="AE977" i="13176"/>
  <c r="N977" i="13176"/>
  <c r="AU977" i="13176"/>
  <c r="AD977" i="13176"/>
  <c r="M977" i="13176"/>
  <c r="AT977" i="13176"/>
  <c r="AC977" i="13176"/>
  <c r="L977" i="13176"/>
  <c r="AQ977" i="13176"/>
  <c r="AA977" i="13176"/>
  <c r="J977" i="13176"/>
  <c r="AP977" i="13176"/>
  <c r="AN977" i="13176"/>
  <c r="X977" i="13176"/>
  <c r="G977" i="13176"/>
  <c r="AB977" i="13176"/>
  <c r="AQ978" i="13176"/>
  <c r="AA978" i="13176"/>
  <c r="J978" i="13176"/>
  <c r="AP978" i="13176"/>
  <c r="Z978" i="13176"/>
  <c r="I978" i="13176"/>
  <c r="AO978" i="13176"/>
  <c r="Y978" i="13176"/>
  <c r="H978" i="13176"/>
  <c r="AN978" i="13176"/>
  <c r="X978" i="13176"/>
  <c r="G978" i="13176"/>
  <c r="BD978" i="13176"/>
  <c r="AM978" i="13176"/>
  <c r="W978" i="13176"/>
  <c r="F978" i="13176"/>
  <c r="BB978" i="13176"/>
  <c r="AK978" i="13176"/>
  <c r="U978" i="13176"/>
  <c r="D978" i="13176"/>
  <c r="BA978" i="13176"/>
  <c r="AJ978" i="13176"/>
  <c r="T978" i="13176"/>
  <c r="C978" i="13176"/>
  <c r="AY978" i="13176"/>
  <c r="AH978" i="13176"/>
  <c r="Q978" i="13176"/>
  <c r="AI978" i="13176"/>
  <c r="AQ1005" i="13176"/>
  <c r="AA1005" i="13176"/>
  <c r="J1005" i="13176"/>
  <c r="AP1005" i="13176"/>
  <c r="Z1005" i="13176"/>
  <c r="I1005" i="13176"/>
  <c r="AO1005" i="13176"/>
  <c r="Y1005" i="13176"/>
  <c r="H1005" i="13176"/>
  <c r="AN1005" i="13176"/>
  <c r="X1005" i="13176"/>
  <c r="G1005" i="13176"/>
  <c r="BB1005" i="13176"/>
  <c r="AK1005" i="13176"/>
  <c r="U1005" i="13176"/>
  <c r="D1005" i="13176"/>
  <c r="BA1005" i="13176"/>
  <c r="AJ1005" i="13176"/>
  <c r="T1005" i="13176"/>
  <c r="C1005" i="13176"/>
  <c r="AY1005" i="13176"/>
  <c r="AH1005" i="13176"/>
  <c r="Q1005" i="13176"/>
  <c r="AX1005" i="13176"/>
  <c r="AE1005" i="13176"/>
  <c r="AD1005" i="13176"/>
  <c r="AC1005" i="13176"/>
  <c r="BD1005" i="13176"/>
  <c r="AB1005" i="13176"/>
  <c r="BC1005" i="13176"/>
  <c r="W1005" i="13176"/>
  <c r="AZ1005" i="13176"/>
  <c r="V1005" i="13176"/>
  <c r="AW1005" i="13176"/>
  <c r="S1005" i="13176"/>
  <c r="AV1005" i="13176"/>
  <c r="P1005" i="13176"/>
  <c r="AU1005" i="13176"/>
  <c r="O1005" i="13176"/>
  <c r="AT1005" i="13176"/>
  <c r="N1005" i="13176"/>
  <c r="AR1005" i="13176"/>
  <c r="M1005" i="13176"/>
  <c r="AM1005" i="13176"/>
  <c r="L1005" i="13176"/>
  <c r="AL1005" i="13176"/>
  <c r="K1005" i="13176"/>
  <c r="AI1005" i="13176"/>
  <c r="F1005" i="13176"/>
  <c r="AG1005" i="13176"/>
  <c r="E1005" i="13176"/>
  <c r="I957" i="13176"/>
  <c r="Z957" i="13176"/>
  <c r="AP957" i="13176"/>
  <c r="Q961" i="13176"/>
  <c r="AH961" i="13176"/>
  <c r="AY961" i="13176"/>
  <c r="E963" i="13176"/>
  <c r="V963" i="13176"/>
  <c r="AL963" i="13176"/>
  <c r="BC963" i="13176"/>
  <c r="I965" i="13176"/>
  <c r="Z965" i="13176"/>
  <c r="AP965" i="13176"/>
  <c r="C966" i="13176"/>
  <c r="T966" i="13176"/>
  <c r="AJ966" i="13176"/>
  <c r="BA966" i="13176"/>
  <c r="M967" i="13176"/>
  <c r="AD967" i="13176"/>
  <c r="AU967" i="13176"/>
  <c r="Q969" i="13176"/>
  <c r="AH969" i="13176"/>
  <c r="AY969" i="13176"/>
  <c r="K970" i="13176"/>
  <c r="AB970" i="13176"/>
  <c r="AR970" i="13176"/>
  <c r="E971" i="13176"/>
  <c r="V971" i="13176"/>
  <c r="AL971" i="13176"/>
  <c r="BC971" i="13176"/>
  <c r="G975" i="13176"/>
  <c r="AE975" i="13176"/>
  <c r="BC975" i="13176"/>
  <c r="AB976" i="13176"/>
  <c r="C977" i="13176"/>
  <c r="AH977" i="13176"/>
  <c r="E978" i="13176"/>
  <c r="AL978" i="13176"/>
  <c r="BD984" i="13176"/>
  <c r="BB995" i="13176"/>
  <c r="AN998" i="13176"/>
  <c r="AF1005" i="13176"/>
  <c r="S961" i="13176"/>
  <c r="AI961" i="13176"/>
  <c r="AZ961" i="13176"/>
  <c r="F963" i="13176"/>
  <c r="W963" i="13176"/>
  <c r="AM963" i="13176"/>
  <c r="BD963" i="13176"/>
  <c r="D966" i="13176"/>
  <c r="U966" i="13176"/>
  <c r="AK966" i="13176"/>
  <c r="BB966" i="13176"/>
  <c r="N967" i="13176"/>
  <c r="AE967" i="13176"/>
  <c r="AV967" i="13176"/>
  <c r="S969" i="13176"/>
  <c r="AI969" i="13176"/>
  <c r="AZ969" i="13176"/>
  <c r="L970" i="13176"/>
  <c r="AC970" i="13176"/>
  <c r="AT970" i="13176"/>
  <c r="F971" i="13176"/>
  <c r="W971" i="13176"/>
  <c r="AM971" i="13176"/>
  <c r="BD971" i="13176"/>
  <c r="H975" i="13176"/>
  <c r="AF975" i="13176"/>
  <c r="D977" i="13176"/>
  <c r="AI977" i="13176"/>
  <c r="K978" i="13176"/>
  <c r="AR978" i="13176"/>
  <c r="AZ982" i="13176"/>
  <c r="AQ986" i="13176"/>
  <c r="AO989" i="13176"/>
  <c r="BD992" i="13176"/>
  <c r="K957" i="13176"/>
  <c r="AB957" i="13176"/>
  <c r="C961" i="13176"/>
  <c r="T961" i="13176"/>
  <c r="AJ961" i="13176"/>
  <c r="G963" i="13176"/>
  <c r="X963" i="13176"/>
  <c r="K965" i="13176"/>
  <c r="AB965" i="13176"/>
  <c r="E966" i="13176"/>
  <c r="V966" i="13176"/>
  <c r="AL966" i="13176"/>
  <c r="O967" i="13176"/>
  <c r="AF967" i="13176"/>
  <c r="C969" i="13176"/>
  <c r="T969" i="13176"/>
  <c r="AJ969" i="13176"/>
  <c r="M970" i="13176"/>
  <c r="AD970" i="13176"/>
  <c r="G971" i="13176"/>
  <c r="X971" i="13176"/>
  <c r="I975" i="13176"/>
  <c r="AG975" i="13176"/>
  <c r="BD976" i="13176"/>
  <c r="AM976" i="13176"/>
  <c r="W976" i="13176"/>
  <c r="F976" i="13176"/>
  <c r="BC976" i="13176"/>
  <c r="AL976" i="13176"/>
  <c r="V976" i="13176"/>
  <c r="E976" i="13176"/>
  <c r="BB976" i="13176"/>
  <c r="AK976" i="13176"/>
  <c r="U976" i="13176"/>
  <c r="D976" i="13176"/>
  <c r="BA976" i="13176"/>
  <c r="AJ976" i="13176"/>
  <c r="T976" i="13176"/>
  <c r="C976" i="13176"/>
  <c r="AZ976" i="13176"/>
  <c r="AI976" i="13176"/>
  <c r="S976" i="13176"/>
  <c r="AX976" i="13176"/>
  <c r="AG976" i="13176"/>
  <c r="P976" i="13176"/>
  <c r="AU976" i="13176"/>
  <c r="AD976" i="13176"/>
  <c r="M976" i="13176"/>
  <c r="AE976" i="13176"/>
  <c r="E977" i="13176"/>
  <c r="AJ977" i="13176"/>
  <c r="L978" i="13176"/>
  <c r="AT978" i="13176"/>
  <c r="S985" i="13176"/>
  <c r="AI985" i="13176"/>
  <c r="AZ985" i="13176"/>
  <c r="L986" i="13176"/>
  <c r="AC986" i="13176"/>
  <c r="AT986" i="13176"/>
  <c r="P988" i="13176"/>
  <c r="AG988" i="13176"/>
  <c r="AX988" i="13176"/>
  <c r="S993" i="13176"/>
  <c r="AI993" i="13176"/>
  <c r="AZ993" i="13176"/>
  <c r="L994" i="13176"/>
  <c r="AC994" i="13176"/>
  <c r="AT994" i="13176"/>
  <c r="AG996" i="13176"/>
  <c r="AX996" i="13176"/>
  <c r="AT1002" i="13176"/>
  <c r="AC1002" i="13176"/>
  <c r="L1002" i="13176"/>
  <c r="AR1002" i="13176"/>
  <c r="AB1002" i="13176"/>
  <c r="K1002" i="13176"/>
  <c r="AQ1002" i="13176"/>
  <c r="AA1002" i="13176"/>
  <c r="J1002" i="13176"/>
  <c r="BD1002" i="13176"/>
  <c r="AM1002" i="13176"/>
  <c r="W1002" i="13176"/>
  <c r="F1002" i="13176"/>
  <c r="X1002" i="13176"/>
  <c r="AV1002" i="13176"/>
  <c r="AV1015" i="13176"/>
  <c r="AQ1024" i="13176"/>
  <c r="C985" i="13176"/>
  <c r="T985" i="13176"/>
  <c r="AJ985" i="13176"/>
  <c r="BA985" i="13176"/>
  <c r="M986" i="13176"/>
  <c r="AD986" i="13176"/>
  <c r="AU986" i="13176"/>
  <c r="Q988" i="13176"/>
  <c r="AH988" i="13176"/>
  <c r="AY988" i="13176"/>
  <c r="C993" i="13176"/>
  <c r="T993" i="13176"/>
  <c r="AJ993" i="13176"/>
  <c r="BA993" i="13176"/>
  <c r="M994" i="13176"/>
  <c r="AD994" i="13176"/>
  <c r="AU994" i="13176"/>
  <c r="Q996" i="13176"/>
  <c r="AH996" i="13176"/>
  <c r="AY996" i="13176"/>
  <c r="C1002" i="13176"/>
  <c r="Y1002" i="13176"/>
  <c r="AW1002" i="13176"/>
  <c r="D985" i="13176"/>
  <c r="U985" i="13176"/>
  <c r="AK985" i="13176"/>
  <c r="BB985" i="13176"/>
  <c r="N986" i="13176"/>
  <c r="AE986" i="13176"/>
  <c r="AV986" i="13176"/>
  <c r="S988" i="13176"/>
  <c r="AI988" i="13176"/>
  <c r="AZ988" i="13176"/>
  <c r="D993" i="13176"/>
  <c r="U993" i="13176"/>
  <c r="AK993" i="13176"/>
  <c r="BB993" i="13176"/>
  <c r="N994" i="13176"/>
  <c r="AE994" i="13176"/>
  <c r="AV994" i="13176"/>
  <c r="S996" i="13176"/>
  <c r="AI996" i="13176"/>
  <c r="AZ996" i="13176"/>
  <c r="K999" i="13176"/>
  <c r="AF999" i="13176"/>
  <c r="AY999" i="13176"/>
  <c r="D1002" i="13176"/>
  <c r="Z1002" i="13176"/>
  <c r="AX1002" i="13176"/>
  <c r="BD1011" i="13176"/>
  <c r="AN1021" i="13176"/>
  <c r="BA1028" i="13176"/>
  <c r="E985" i="13176"/>
  <c r="V985" i="13176"/>
  <c r="AL985" i="13176"/>
  <c r="BC985" i="13176"/>
  <c r="O986" i="13176"/>
  <c r="AF986" i="13176"/>
  <c r="AW986" i="13176"/>
  <c r="C988" i="13176"/>
  <c r="T988" i="13176"/>
  <c r="AJ988" i="13176"/>
  <c r="BA988" i="13176"/>
  <c r="Q991" i="13176"/>
  <c r="AH991" i="13176"/>
  <c r="AY991" i="13176"/>
  <c r="E993" i="13176"/>
  <c r="V993" i="13176"/>
  <c r="AL993" i="13176"/>
  <c r="BC993" i="13176"/>
  <c r="O994" i="13176"/>
  <c r="AF994" i="13176"/>
  <c r="AW994" i="13176"/>
  <c r="C996" i="13176"/>
  <c r="T996" i="13176"/>
  <c r="AJ996" i="13176"/>
  <c r="BA996" i="13176"/>
  <c r="L999" i="13176"/>
  <c r="AG999" i="13176"/>
  <c r="AZ999" i="13176"/>
  <c r="E1002" i="13176"/>
  <c r="AD1002" i="13176"/>
  <c r="AY1002" i="13176"/>
  <c r="O1003" i="13176"/>
  <c r="AP1003" i="13176"/>
  <c r="AJ1007" i="13176"/>
  <c r="AL1018" i="13176"/>
  <c r="S983" i="13176"/>
  <c r="AI983" i="13176"/>
  <c r="AZ983" i="13176"/>
  <c r="F985" i="13176"/>
  <c r="W985" i="13176"/>
  <c r="AM985" i="13176"/>
  <c r="BD985" i="13176"/>
  <c r="P986" i="13176"/>
  <c r="AG986" i="13176"/>
  <c r="AX986" i="13176"/>
  <c r="D988" i="13176"/>
  <c r="U988" i="13176"/>
  <c r="AK988" i="13176"/>
  <c r="BB988" i="13176"/>
  <c r="S991" i="13176"/>
  <c r="AI991" i="13176"/>
  <c r="AZ991" i="13176"/>
  <c r="AC992" i="13176"/>
  <c r="AT992" i="13176"/>
  <c r="F993" i="13176"/>
  <c r="W993" i="13176"/>
  <c r="AM993" i="13176"/>
  <c r="BD993" i="13176"/>
  <c r="P994" i="13176"/>
  <c r="AG994" i="13176"/>
  <c r="AX994" i="13176"/>
  <c r="D996" i="13176"/>
  <c r="U996" i="13176"/>
  <c r="AK996" i="13176"/>
  <c r="BB996" i="13176"/>
  <c r="O999" i="13176"/>
  <c r="AH999" i="13176"/>
  <c r="BA999" i="13176"/>
  <c r="G1002" i="13176"/>
  <c r="AE1002" i="13176"/>
  <c r="AZ1002" i="13176"/>
  <c r="Q1003" i="13176"/>
  <c r="AQ1003" i="13176"/>
  <c r="AM1007" i="13176"/>
  <c r="BB1014" i="13176"/>
  <c r="AW973" i="13176"/>
  <c r="Z974" i="13176"/>
  <c r="AP974" i="13176"/>
  <c r="K979" i="13176"/>
  <c r="AB979" i="13176"/>
  <c r="AR979" i="13176"/>
  <c r="C983" i="13176"/>
  <c r="T983" i="13176"/>
  <c r="AJ983" i="13176"/>
  <c r="BA983" i="13176"/>
  <c r="M984" i="13176"/>
  <c r="AD984" i="13176"/>
  <c r="AU984" i="13176"/>
  <c r="G985" i="13176"/>
  <c r="X985" i="13176"/>
  <c r="AN985" i="13176"/>
  <c r="Q986" i="13176"/>
  <c r="AH986" i="13176"/>
  <c r="AY986" i="13176"/>
  <c r="E988" i="13176"/>
  <c r="V988" i="13176"/>
  <c r="AL988" i="13176"/>
  <c r="BC988" i="13176"/>
  <c r="C991" i="13176"/>
  <c r="T991" i="13176"/>
  <c r="AJ991" i="13176"/>
  <c r="BA991" i="13176"/>
  <c r="M992" i="13176"/>
  <c r="AD992" i="13176"/>
  <c r="AU992" i="13176"/>
  <c r="G993" i="13176"/>
  <c r="X993" i="13176"/>
  <c r="AN993" i="13176"/>
  <c r="Q994" i="13176"/>
  <c r="AH994" i="13176"/>
  <c r="AY994" i="13176"/>
  <c r="E996" i="13176"/>
  <c r="V996" i="13176"/>
  <c r="AL996" i="13176"/>
  <c r="BC996" i="13176"/>
  <c r="P999" i="13176"/>
  <c r="AI999" i="13176"/>
  <c r="BB999" i="13176"/>
  <c r="H1002" i="13176"/>
  <c r="AF1002" i="13176"/>
  <c r="BA1002" i="13176"/>
  <c r="S1003" i="13176"/>
  <c r="AR1003" i="13176"/>
  <c r="BA1033" i="13176"/>
  <c r="S986" i="13176"/>
  <c r="AI986" i="13176"/>
  <c r="AZ986" i="13176"/>
  <c r="BD988" i="13176"/>
  <c r="S994" i="13176"/>
  <c r="AI994" i="13176"/>
  <c r="AZ994" i="13176"/>
  <c r="F996" i="13176"/>
  <c r="W996" i="13176"/>
  <c r="AM996" i="13176"/>
  <c r="BD996" i="13176"/>
  <c r="AZ1001" i="13176"/>
  <c r="I1002" i="13176"/>
  <c r="AG1002" i="13176"/>
  <c r="BB1002" i="13176"/>
  <c r="AT1010" i="13176"/>
  <c r="AD1029" i="13176"/>
  <c r="E983" i="13176"/>
  <c r="V983" i="13176"/>
  <c r="AL983" i="13176"/>
  <c r="BC983" i="13176"/>
  <c r="I985" i="13176"/>
  <c r="Z985" i="13176"/>
  <c r="AP985" i="13176"/>
  <c r="C986" i="13176"/>
  <c r="T986" i="13176"/>
  <c r="AJ986" i="13176"/>
  <c r="BA986" i="13176"/>
  <c r="G988" i="13176"/>
  <c r="X988" i="13176"/>
  <c r="AN988" i="13176"/>
  <c r="E991" i="13176"/>
  <c r="V991" i="13176"/>
  <c r="AL991" i="13176"/>
  <c r="BC991" i="13176"/>
  <c r="I993" i="13176"/>
  <c r="Z993" i="13176"/>
  <c r="AP993" i="13176"/>
  <c r="C994" i="13176"/>
  <c r="T994" i="13176"/>
  <c r="AJ994" i="13176"/>
  <c r="BA994" i="13176"/>
  <c r="G996" i="13176"/>
  <c r="X996" i="13176"/>
  <c r="AN996" i="13176"/>
  <c r="S999" i="13176"/>
  <c r="AK999" i="13176"/>
  <c r="BD999" i="13176"/>
  <c r="M1002" i="13176"/>
  <c r="AH1002" i="13176"/>
  <c r="BC1002" i="13176"/>
  <c r="AU1003" i="13176"/>
  <c r="AV1007" i="13176"/>
  <c r="AE1007" i="13176"/>
  <c r="N1007" i="13176"/>
  <c r="AU1007" i="13176"/>
  <c r="AD1007" i="13176"/>
  <c r="M1007" i="13176"/>
  <c r="AT1007" i="13176"/>
  <c r="AC1007" i="13176"/>
  <c r="L1007" i="13176"/>
  <c r="AR1007" i="13176"/>
  <c r="AB1007" i="13176"/>
  <c r="K1007" i="13176"/>
  <c r="AQ1007" i="13176"/>
  <c r="AA1007" i="13176"/>
  <c r="J1007" i="13176"/>
  <c r="AP1007" i="13176"/>
  <c r="Z1007" i="13176"/>
  <c r="I1007" i="13176"/>
  <c r="AO1007" i="13176"/>
  <c r="Y1007" i="13176"/>
  <c r="H1007" i="13176"/>
  <c r="AN1007" i="13176"/>
  <c r="X1007" i="13176"/>
  <c r="G1007" i="13176"/>
  <c r="BC1007" i="13176"/>
  <c r="AL1007" i="13176"/>
  <c r="V1007" i="13176"/>
  <c r="E1007" i="13176"/>
  <c r="BB1007" i="13176"/>
  <c r="AK1007" i="13176"/>
  <c r="U1007" i="13176"/>
  <c r="D1007" i="13176"/>
  <c r="AZ1007" i="13176"/>
  <c r="AI1007" i="13176"/>
  <c r="AY1007" i="13176"/>
  <c r="BB1017" i="13176"/>
  <c r="S973" i="13176"/>
  <c r="AI973" i="13176"/>
  <c r="AZ973" i="13176"/>
  <c r="L974" i="13176"/>
  <c r="AC974" i="13176"/>
  <c r="AT974" i="13176"/>
  <c r="N979" i="13176"/>
  <c r="AE979" i="13176"/>
  <c r="AV979" i="13176"/>
  <c r="S981" i="13176"/>
  <c r="AI981" i="13176"/>
  <c r="AZ981" i="13176"/>
  <c r="L982" i="13176"/>
  <c r="AC982" i="13176"/>
  <c r="AT982" i="13176"/>
  <c r="F983" i="13176"/>
  <c r="W983" i="13176"/>
  <c r="AM983" i="13176"/>
  <c r="BD983" i="13176"/>
  <c r="P984" i="13176"/>
  <c r="AG984" i="13176"/>
  <c r="AX984" i="13176"/>
  <c r="J985" i="13176"/>
  <c r="AA985" i="13176"/>
  <c r="AQ985" i="13176"/>
  <c r="D986" i="13176"/>
  <c r="U986" i="13176"/>
  <c r="AK986" i="13176"/>
  <c r="BB986" i="13176"/>
  <c r="N987" i="13176"/>
  <c r="AE987" i="13176"/>
  <c r="AV987" i="13176"/>
  <c r="H988" i="13176"/>
  <c r="Y988" i="13176"/>
  <c r="AO988" i="13176"/>
  <c r="S989" i="13176"/>
  <c r="AI989" i="13176"/>
  <c r="AZ989" i="13176"/>
  <c r="F991" i="13176"/>
  <c r="W991" i="13176"/>
  <c r="AM991" i="13176"/>
  <c r="BD991" i="13176"/>
  <c r="P992" i="13176"/>
  <c r="AG992" i="13176"/>
  <c r="AX992" i="13176"/>
  <c r="J993" i="13176"/>
  <c r="AA993" i="13176"/>
  <c r="AQ993" i="13176"/>
  <c r="D994" i="13176"/>
  <c r="U994" i="13176"/>
  <c r="AK994" i="13176"/>
  <c r="BB994" i="13176"/>
  <c r="N995" i="13176"/>
  <c r="AE995" i="13176"/>
  <c r="AV995" i="13176"/>
  <c r="H996" i="13176"/>
  <c r="Y996" i="13176"/>
  <c r="AO996" i="13176"/>
  <c r="AQ997" i="13176"/>
  <c r="AA997" i="13176"/>
  <c r="AP997" i="13176"/>
  <c r="S997" i="13176"/>
  <c r="AJ997" i="13176"/>
  <c r="BC997" i="13176"/>
  <c r="Q998" i="13176"/>
  <c r="AL998" i="13176"/>
  <c r="T999" i="13176"/>
  <c r="N1002" i="13176"/>
  <c r="AI1002" i="13176"/>
  <c r="Z1003" i="13176"/>
  <c r="T1004" i="13176"/>
  <c r="AY1004" i="13176"/>
  <c r="C1007" i="13176"/>
  <c r="BA1007" i="13176"/>
  <c r="AL1019" i="13176"/>
  <c r="K985" i="13176"/>
  <c r="AB985" i="13176"/>
  <c r="AR985" i="13176"/>
  <c r="E986" i="13176"/>
  <c r="V986" i="13176"/>
  <c r="AL986" i="13176"/>
  <c r="BC986" i="13176"/>
  <c r="I988" i="13176"/>
  <c r="Z988" i="13176"/>
  <c r="AP988" i="13176"/>
  <c r="K993" i="13176"/>
  <c r="AB993" i="13176"/>
  <c r="AR993" i="13176"/>
  <c r="E994" i="13176"/>
  <c r="V994" i="13176"/>
  <c r="AL994" i="13176"/>
  <c r="BC994" i="13176"/>
  <c r="I996" i="13176"/>
  <c r="Z996" i="13176"/>
  <c r="AP996" i="13176"/>
  <c r="AV999" i="13176"/>
  <c r="AE999" i="13176"/>
  <c r="N999" i="13176"/>
  <c r="AU999" i="13176"/>
  <c r="AD999" i="13176"/>
  <c r="M999" i="13176"/>
  <c r="U999" i="13176"/>
  <c r="AM999" i="13176"/>
  <c r="AO1000" i="13176"/>
  <c r="O1002" i="13176"/>
  <c r="AJ1002" i="13176"/>
  <c r="BD1003" i="13176"/>
  <c r="AM1003" i="13176"/>
  <c r="W1003" i="13176"/>
  <c r="F1003" i="13176"/>
  <c r="BC1003" i="13176"/>
  <c r="AL1003" i="13176"/>
  <c r="V1003" i="13176"/>
  <c r="E1003" i="13176"/>
  <c r="BB1003" i="13176"/>
  <c r="AK1003" i="13176"/>
  <c r="U1003" i="13176"/>
  <c r="D1003" i="13176"/>
  <c r="BA1003" i="13176"/>
  <c r="AJ1003" i="13176"/>
  <c r="T1003" i="13176"/>
  <c r="AX1003" i="13176"/>
  <c r="AG1003" i="13176"/>
  <c r="P1003" i="13176"/>
  <c r="AA1003" i="13176"/>
  <c r="AW1003" i="13176"/>
  <c r="F1007" i="13176"/>
  <c r="BD1007" i="13176"/>
  <c r="AZ1009" i="13176"/>
  <c r="AQ1013" i="13176"/>
  <c r="AA1013" i="13176"/>
  <c r="J1013" i="13176"/>
  <c r="AP1013" i="13176"/>
  <c r="Z1013" i="13176"/>
  <c r="I1013" i="13176"/>
  <c r="AO1013" i="13176"/>
  <c r="Y1013" i="13176"/>
  <c r="H1013" i="13176"/>
  <c r="AN1013" i="13176"/>
  <c r="X1013" i="13176"/>
  <c r="G1013" i="13176"/>
  <c r="BD1013" i="13176"/>
  <c r="AM1013" i="13176"/>
  <c r="W1013" i="13176"/>
  <c r="F1013" i="13176"/>
  <c r="BC1013" i="13176"/>
  <c r="AL1013" i="13176"/>
  <c r="V1013" i="13176"/>
  <c r="E1013" i="13176"/>
  <c r="BB1013" i="13176"/>
  <c r="AK1013" i="13176"/>
  <c r="U1013" i="13176"/>
  <c r="D1013" i="13176"/>
  <c r="BA1013" i="13176"/>
  <c r="AJ1013" i="13176"/>
  <c r="T1013" i="13176"/>
  <c r="C1013" i="13176"/>
  <c r="AY1013" i="13176"/>
  <c r="AH1013" i="13176"/>
  <c r="Q1013" i="13176"/>
  <c r="AX1013" i="13176"/>
  <c r="AG1013" i="13176"/>
  <c r="P1013" i="13176"/>
  <c r="AW1013" i="13176"/>
  <c r="AF1013" i="13176"/>
  <c r="O1013" i="13176"/>
  <c r="AV1013" i="13176"/>
  <c r="AE1013" i="13176"/>
  <c r="N1013" i="13176"/>
  <c r="AT1013" i="13176"/>
  <c r="AC1013" i="13176"/>
  <c r="L1013" i="13176"/>
  <c r="AW1026" i="13176"/>
  <c r="H983" i="13176"/>
  <c r="Y983" i="13176"/>
  <c r="AO983" i="13176"/>
  <c r="S984" i="13176"/>
  <c r="AI984" i="13176"/>
  <c r="AZ984" i="13176"/>
  <c r="L985" i="13176"/>
  <c r="AC985" i="13176"/>
  <c r="AT985" i="13176"/>
  <c r="F986" i="13176"/>
  <c r="W986" i="13176"/>
  <c r="AM986" i="13176"/>
  <c r="BD986" i="13176"/>
  <c r="J988" i="13176"/>
  <c r="AA988" i="13176"/>
  <c r="AQ988" i="13176"/>
  <c r="H991" i="13176"/>
  <c r="Y991" i="13176"/>
  <c r="AO991" i="13176"/>
  <c r="S992" i="13176"/>
  <c r="AI992" i="13176"/>
  <c r="AZ992" i="13176"/>
  <c r="L993" i="13176"/>
  <c r="AC993" i="13176"/>
  <c r="AT993" i="13176"/>
  <c r="F994" i="13176"/>
  <c r="W994" i="13176"/>
  <c r="AM994" i="13176"/>
  <c r="BD994" i="13176"/>
  <c r="J996" i="13176"/>
  <c r="AA996" i="13176"/>
  <c r="AQ996" i="13176"/>
  <c r="V998" i="13176"/>
  <c r="C999" i="13176"/>
  <c r="V999" i="13176"/>
  <c r="AN999" i="13176"/>
  <c r="P1002" i="13176"/>
  <c r="AK1002" i="13176"/>
  <c r="C1003" i="13176"/>
  <c r="AB1003" i="13176"/>
  <c r="AY1003" i="13176"/>
  <c r="O1007" i="13176"/>
  <c r="K1013" i="13176"/>
  <c r="Q979" i="13176"/>
  <c r="AH979" i="13176"/>
  <c r="AY979" i="13176"/>
  <c r="I983" i="13176"/>
  <c r="Z983" i="13176"/>
  <c r="AP983" i="13176"/>
  <c r="C984" i="13176"/>
  <c r="T984" i="13176"/>
  <c r="AJ984" i="13176"/>
  <c r="BA984" i="13176"/>
  <c r="M985" i="13176"/>
  <c r="AD985" i="13176"/>
  <c r="AU985" i="13176"/>
  <c r="G986" i="13176"/>
  <c r="X986" i="13176"/>
  <c r="AN986" i="13176"/>
  <c r="K988" i="13176"/>
  <c r="AB988" i="13176"/>
  <c r="AR988" i="13176"/>
  <c r="I991" i="13176"/>
  <c r="Z991" i="13176"/>
  <c r="AP991" i="13176"/>
  <c r="C992" i="13176"/>
  <c r="T992" i="13176"/>
  <c r="AJ992" i="13176"/>
  <c r="BA992" i="13176"/>
  <c r="M993" i="13176"/>
  <c r="AD993" i="13176"/>
  <c r="AU993" i="13176"/>
  <c r="G994" i="13176"/>
  <c r="X994" i="13176"/>
  <c r="AN994" i="13176"/>
  <c r="K996" i="13176"/>
  <c r="AB996" i="13176"/>
  <c r="AR996" i="13176"/>
  <c r="BB998" i="13176"/>
  <c r="AK998" i="13176"/>
  <c r="U998" i="13176"/>
  <c r="D998" i="13176"/>
  <c r="BA998" i="13176"/>
  <c r="AJ998" i="13176"/>
  <c r="T998" i="13176"/>
  <c r="C998" i="13176"/>
  <c r="W998" i="13176"/>
  <c r="AO998" i="13176"/>
  <c r="D999" i="13176"/>
  <c r="W999" i="13176"/>
  <c r="AO999" i="13176"/>
  <c r="Q1002" i="13176"/>
  <c r="AL1002" i="13176"/>
  <c r="G1003" i="13176"/>
  <c r="AC1003" i="13176"/>
  <c r="AZ1003" i="13176"/>
  <c r="W1004" i="13176"/>
  <c r="BB1004" i="13176"/>
  <c r="P1007" i="13176"/>
  <c r="AO1008" i="13176"/>
  <c r="M1013" i="13176"/>
  <c r="AN1023" i="13176"/>
  <c r="AZ1035" i="13176"/>
  <c r="S979" i="13176"/>
  <c r="AI979" i="13176"/>
  <c r="AZ979" i="13176"/>
  <c r="J983" i="13176"/>
  <c r="AA983" i="13176"/>
  <c r="AQ983" i="13176"/>
  <c r="D984" i="13176"/>
  <c r="U984" i="13176"/>
  <c r="AK984" i="13176"/>
  <c r="BB984" i="13176"/>
  <c r="N985" i="13176"/>
  <c r="AE985" i="13176"/>
  <c r="AV985" i="13176"/>
  <c r="H986" i="13176"/>
  <c r="Y986" i="13176"/>
  <c r="AO986" i="13176"/>
  <c r="S987" i="13176"/>
  <c r="AI987" i="13176"/>
  <c r="AZ987" i="13176"/>
  <c r="L988" i="13176"/>
  <c r="AC988" i="13176"/>
  <c r="AT988" i="13176"/>
  <c r="J991" i="13176"/>
  <c r="AA991" i="13176"/>
  <c r="AQ991" i="13176"/>
  <c r="D992" i="13176"/>
  <c r="U992" i="13176"/>
  <c r="AK992" i="13176"/>
  <c r="BB992" i="13176"/>
  <c r="N993" i="13176"/>
  <c r="AE993" i="13176"/>
  <c r="AV993" i="13176"/>
  <c r="H994" i="13176"/>
  <c r="Y994" i="13176"/>
  <c r="AO994" i="13176"/>
  <c r="S995" i="13176"/>
  <c r="AI995" i="13176"/>
  <c r="AZ995" i="13176"/>
  <c r="L996" i="13176"/>
  <c r="AC996" i="13176"/>
  <c r="AT996" i="13176"/>
  <c r="F997" i="13176"/>
  <c r="W997" i="13176"/>
  <c r="AN997" i="13176"/>
  <c r="E998" i="13176"/>
  <c r="X998" i="13176"/>
  <c r="AP998" i="13176"/>
  <c r="E999" i="13176"/>
  <c r="X999" i="13176"/>
  <c r="AP999" i="13176"/>
  <c r="S1002" i="13176"/>
  <c r="AN1002" i="13176"/>
  <c r="H1003" i="13176"/>
  <c r="AD1003" i="13176"/>
  <c r="Y1004" i="13176"/>
  <c r="Q1007" i="13176"/>
  <c r="S1013" i="13176"/>
  <c r="AO1016" i="13176"/>
  <c r="G973" i="13176"/>
  <c r="X973" i="13176"/>
  <c r="AN973" i="13176"/>
  <c r="Q974" i="13176"/>
  <c r="AH974" i="13176"/>
  <c r="AY974" i="13176"/>
  <c r="C979" i="13176"/>
  <c r="T979" i="13176"/>
  <c r="AJ979" i="13176"/>
  <c r="BA979" i="13176"/>
  <c r="G981" i="13176"/>
  <c r="X981" i="13176"/>
  <c r="AN981" i="13176"/>
  <c r="Q982" i="13176"/>
  <c r="AH982" i="13176"/>
  <c r="AY982" i="13176"/>
  <c r="K983" i="13176"/>
  <c r="AB983" i="13176"/>
  <c r="AR983" i="13176"/>
  <c r="E984" i="13176"/>
  <c r="V984" i="13176"/>
  <c r="AL984" i="13176"/>
  <c r="BC984" i="13176"/>
  <c r="O985" i="13176"/>
  <c r="AF985" i="13176"/>
  <c r="AW985" i="13176"/>
  <c r="I986" i="13176"/>
  <c r="Z986" i="13176"/>
  <c r="AP986" i="13176"/>
  <c r="C987" i="13176"/>
  <c r="T987" i="13176"/>
  <c r="AJ987" i="13176"/>
  <c r="BA987" i="13176"/>
  <c r="M988" i="13176"/>
  <c r="AD988" i="13176"/>
  <c r="AU988" i="13176"/>
  <c r="K991" i="13176"/>
  <c r="AB991" i="13176"/>
  <c r="AR991" i="13176"/>
  <c r="E992" i="13176"/>
  <c r="V992" i="13176"/>
  <c r="AL992" i="13176"/>
  <c r="BC992" i="13176"/>
  <c r="O993" i="13176"/>
  <c r="AF993" i="13176"/>
  <c r="AW993" i="13176"/>
  <c r="I994" i="13176"/>
  <c r="Z994" i="13176"/>
  <c r="AP994" i="13176"/>
  <c r="C995" i="13176"/>
  <c r="T995" i="13176"/>
  <c r="AJ995" i="13176"/>
  <c r="BA995" i="13176"/>
  <c r="M996" i="13176"/>
  <c r="AD996" i="13176"/>
  <c r="AU996" i="13176"/>
  <c r="F998" i="13176"/>
  <c r="Y998" i="13176"/>
  <c r="AQ998" i="13176"/>
  <c r="F999" i="13176"/>
  <c r="Y999" i="13176"/>
  <c r="AQ999" i="13176"/>
  <c r="T1002" i="13176"/>
  <c r="AO1002" i="13176"/>
  <c r="I1003" i="13176"/>
  <c r="AE1003" i="13176"/>
  <c r="AX1004" i="13176"/>
  <c r="AG1004" i="13176"/>
  <c r="P1004" i="13176"/>
  <c r="AW1004" i="13176"/>
  <c r="AF1004" i="13176"/>
  <c r="O1004" i="13176"/>
  <c r="AV1004" i="13176"/>
  <c r="AE1004" i="13176"/>
  <c r="N1004" i="13176"/>
  <c r="AU1004" i="13176"/>
  <c r="AD1004" i="13176"/>
  <c r="M1004" i="13176"/>
  <c r="AQ1004" i="13176"/>
  <c r="AA1004" i="13176"/>
  <c r="J1004" i="13176"/>
  <c r="AP1004" i="13176"/>
  <c r="Z1004" i="13176"/>
  <c r="AN1004" i="13176"/>
  <c r="X1004" i="13176"/>
  <c r="G1004" i="13176"/>
  <c r="AB1004" i="13176"/>
  <c r="BD1004" i="13176"/>
  <c r="BB1006" i="13176"/>
  <c r="S1007" i="13176"/>
  <c r="AX1012" i="13176"/>
  <c r="AB1013" i="13176"/>
  <c r="AL1020" i="13176"/>
  <c r="Y973" i="13176"/>
  <c r="S974" i="13176"/>
  <c r="AI974" i="13176"/>
  <c r="D979" i="13176"/>
  <c r="U979" i="13176"/>
  <c r="AK979" i="13176"/>
  <c r="H981" i="13176"/>
  <c r="Y981" i="13176"/>
  <c r="S982" i="13176"/>
  <c r="AI982" i="13176"/>
  <c r="L983" i="13176"/>
  <c r="AC983" i="13176"/>
  <c r="F984" i="13176"/>
  <c r="W984" i="13176"/>
  <c r="AM984" i="13176"/>
  <c r="P985" i="13176"/>
  <c r="AG985" i="13176"/>
  <c r="J986" i="13176"/>
  <c r="AA986" i="13176"/>
  <c r="D987" i="13176"/>
  <c r="U987" i="13176"/>
  <c r="AK987" i="13176"/>
  <c r="N988" i="13176"/>
  <c r="AE988" i="13176"/>
  <c r="H989" i="13176"/>
  <c r="Y989" i="13176"/>
  <c r="S990" i="13176"/>
  <c r="AI990" i="13176"/>
  <c r="L991" i="13176"/>
  <c r="AC991" i="13176"/>
  <c r="F992" i="13176"/>
  <c r="W992" i="13176"/>
  <c r="AM992" i="13176"/>
  <c r="P993" i="13176"/>
  <c r="AG993" i="13176"/>
  <c r="J994" i="13176"/>
  <c r="AA994" i="13176"/>
  <c r="D995" i="13176"/>
  <c r="U995" i="13176"/>
  <c r="AK995" i="13176"/>
  <c r="N996" i="13176"/>
  <c r="AE996" i="13176"/>
  <c r="H997" i="13176"/>
  <c r="Y997" i="13176"/>
  <c r="AR997" i="13176"/>
  <c r="G998" i="13176"/>
  <c r="Z998" i="13176"/>
  <c r="AR998" i="13176"/>
  <c r="G999" i="13176"/>
  <c r="Z999" i="13176"/>
  <c r="AR999" i="13176"/>
  <c r="U1002" i="13176"/>
  <c r="AP1002" i="13176"/>
  <c r="J1003" i="13176"/>
  <c r="AF1003" i="13176"/>
  <c r="C1004" i="13176"/>
  <c r="AC1004" i="13176"/>
  <c r="T1007" i="13176"/>
  <c r="AD1013" i="13176"/>
  <c r="AW1027" i="13176"/>
  <c r="S1012" i="13176"/>
  <c r="AI1012" i="13176"/>
  <c r="AZ1012" i="13176"/>
  <c r="P1015" i="13176"/>
  <c r="AG1015" i="13176"/>
  <c r="AX1015" i="13176"/>
  <c r="T1018" i="13176"/>
  <c r="T1019" i="13176"/>
  <c r="T1020" i="13176"/>
  <c r="T1021" i="13176"/>
  <c r="O1024" i="13176"/>
  <c r="AI1024" i="13176"/>
  <c r="BD1024" i="13176"/>
  <c r="Z1027" i="13176"/>
  <c r="S1028" i="13176"/>
  <c r="AP1028" i="13176"/>
  <c r="AO1035" i="13176"/>
  <c r="AP1040" i="13176"/>
  <c r="AQ1080" i="13176"/>
  <c r="AU1018" i="13176"/>
  <c r="AD1018" i="13176"/>
  <c r="M1018" i="13176"/>
  <c r="AN1018" i="13176"/>
  <c r="X1018" i="13176"/>
  <c r="G1018" i="13176"/>
  <c r="U1018" i="13176"/>
  <c r="AM1018" i="13176"/>
  <c r="AN1019" i="13176"/>
  <c r="X1019" i="13176"/>
  <c r="G1019" i="13176"/>
  <c r="AY1019" i="13176"/>
  <c r="AH1019" i="13176"/>
  <c r="Q1019" i="13176"/>
  <c r="U1019" i="13176"/>
  <c r="AM1019" i="13176"/>
  <c r="AY1020" i="13176"/>
  <c r="AH1020" i="13176"/>
  <c r="Q1020" i="13176"/>
  <c r="AR1020" i="13176"/>
  <c r="AB1020" i="13176"/>
  <c r="K1020" i="13176"/>
  <c r="U1020" i="13176"/>
  <c r="AM1020" i="13176"/>
  <c r="AR1021" i="13176"/>
  <c r="AB1021" i="13176"/>
  <c r="K1021" i="13176"/>
  <c r="AP1021" i="13176"/>
  <c r="Z1021" i="13176"/>
  <c r="BC1021" i="13176"/>
  <c r="AL1021" i="13176"/>
  <c r="V1021" i="13176"/>
  <c r="E1021" i="13176"/>
  <c r="U1021" i="13176"/>
  <c r="AO1021" i="13176"/>
  <c r="P1024" i="13176"/>
  <c r="AK1024" i="13176"/>
  <c r="AN1027" i="13176"/>
  <c r="X1027" i="13176"/>
  <c r="G1027" i="13176"/>
  <c r="BD1027" i="13176"/>
  <c r="AM1027" i="13176"/>
  <c r="W1027" i="13176"/>
  <c r="F1027" i="13176"/>
  <c r="BC1027" i="13176"/>
  <c r="AL1027" i="13176"/>
  <c r="V1027" i="13176"/>
  <c r="E1027" i="13176"/>
  <c r="AY1027" i="13176"/>
  <c r="AH1027" i="13176"/>
  <c r="Q1027" i="13176"/>
  <c r="AU1027" i="13176"/>
  <c r="AD1027" i="13176"/>
  <c r="M1027" i="13176"/>
  <c r="AA1027" i="13176"/>
  <c r="AX1027" i="13176"/>
  <c r="T1028" i="13176"/>
  <c r="AQ1028" i="13176"/>
  <c r="AQ1035" i="13176"/>
  <c r="AX1052" i="13176"/>
  <c r="D1012" i="13176"/>
  <c r="U1012" i="13176"/>
  <c r="AK1012" i="13176"/>
  <c r="BB1012" i="13176"/>
  <c r="S1015" i="13176"/>
  <c r="AI1015" i="13176"/>
  <c r="AZ1015" i="13176"/>
  <c r="C1018" i="13176"/>
  <c r="V1018" i="13176"/>
  <c r="AO1018" i="13176"/>
  <c r="C1019" i="13176"/>
  <c r="V1019" i="13176"/>
  <c r="AO1019" i="13176"/>
  <c r="C1020" i="13176"/>
  <c r="V1020" i="13176"/>
  <c r="AN1020" i="13176"/>
  <c r="C1021" i="13176"/>
  <c r="W1021" i="13176"/>
  <c r="AQ1021" i="13176"/>
  <c r="Q1024" i="13176"/>
  <c r="AL1024" i="13176"/>
  <c r="BA1025" i="13176"/>
  <c r="C1027" i="13176"/>
  <c r="AB1027" i="13176"/>
  <c r="AZ1027" i="13176"/>
  <c r="U1028" i="13176"/>
  <c r="AT1028" i="13176"/>
  <c r="AR1035" i="13176"/>
  <c r="V1012" i="13176"/>
  <c r="AL1012" i="13176"/>
  <c r="BC1012" i="13176"/>
  <c r="D1018" i="13176"/>
  <c r="W1018" i="13176"/>
  <c r="AP1018" i="13176"/>
  <c r="D1019" i="13176"/>
  <c r="W1019" i="13176"/>
  <c r="AP1019" i="13176"/>
  <c r="D1020" i="13176"/>
  <c r="W1020" i="13176"/>
  <c r="AO1020" i="13176"/>
  <c r="D1021" i="13176"/>
  <c r="X1021" i="13176"/>
  <c r="AT1021" i="13176"/>
  <c r="S1024" i="13176"/>
  <c r="AM1024" i="13176"/>
  <c r="D1027" i="13176"/>
  <c r="AC1027" i="13176"/>
  <c r="BA1027" i="13176"/>
  <c r="V1028" i="13176"/>
  <c r="AU1028" i="13176"/>
  <c r="AW1039" i="13176"/>
  <c r="AF1039" i="13176"/>
  <c r="O1039" i="13176"/>
  <c r="AV1039" i="13176"/>
  <c r="AE1039" i="13176"/>
  <c r="N1039" i="13176"/>
  <c r="AU1039" i="13176"/>
  <c r="AD1039" i="13176"/>
  <c r="M1039" i="13176"/>
  <c r="AT1039" i="13176"/>
  <c r="AC1039" i="13176"/>
  <c r="L1039" i="13176"/>
  <c r="AR1039" i="13176"/>
  <c r="AB1039" i="13176"/>
  <c r="K1039" i="13176"/>
  <c r="AQ1039" i="13176"/>
  <c r="AA1039" i="13176"/>
  <c r="AP1039" i="13176"/>
  <c r="Z1039" i="13176"/>
  <c r="I1039" i="13176"/>
  <c r="AO1039" i="13176"/>
  <c r="Y1039" i="13176"/>
  <c r="H1039" i="13176"/>
  <c r="AN1039" i="13176"/>
  <c r="X1039" i="13176"/>
  <c r="G1039" i="13176"/>
  <c r="BD1039" i="13176"/>
  <c r="AM1039" i="13176"/>
  <c r="W1039" i="13176"/>
  <c r="F1039" i="13176"/>
  <c r="BC1039" i="13176"/>
  <c r="AL1039" i="13176"/>
  <c r="V1039" i="13176"/>
  <c r="E1039" i="13176"/>
  <c r="BB1039" i="13176"/>
  <c r="AK1039" i="13176"/>
  <c r="U1039" i="13176"/>
  <c r="D1039" i="13176"/>
  <c r="AY1039" i="13176"/>
  <c r="AH1039" i="13176"/>
  <c r="Q1039" i="13176"/>
  <c r="BC1046" i="13176"/>
  <c r="AL1049" i="13176"/>
  <c r="AN1061" i="13176"/>
  <c r="S1010" i="13176"/>
  <c r="AI1010" i="13176"/>
  <c r="AZ1010" i="13176"/>
  <c r="L1011" i="13176"/>
  <c r="AC1011" i="13176"/>
  <c r="AT1011" i="13176"/>
  <c r="F1012" i="13176"/>
  <c r="W1012" i="13176"/>
  <c r="AM1012" i="13176"/>
  <c r="BD1012" i="13176"/>
  <c r="D1015" i="13176"/>
  <c r="U1015" i="13176"/>
  <c r="AK1015" i="13176"/>
  <c r="BB1015" i="13176"/>
  <c r="E1018" i="13176"/>
  <c r="Y1018" i="13176"/>
  <c r="AQ1018" i="13176"/>
  <c r="E1019" i="13176"/>
  <c r="Y1019" i="13176"/>
  <c r="AQ1019" i="13176"/>
  <c r="E1020" i="13176"/>
  <c r="X1020" i="13176"/>
  <c r="AP1020" i="13176"/>
  <c r="F1021" i="13176"/>
  <c r="Y1021" i="13176"/>
  <c r="AU1021" i="13176"/>
  <c r="P1023" i="13176"/>
  <c r="AJ1023" i="13176"/>
  <c r="BD1023" i="13176"/>
  <c r="U1024" i="13176"/>
  <c r="AO1024" i="13176"/>
  <c r="H1027" i="13176"/>
  <c r="AE1027" i="13176"/>
  <c r="BB1027" i="13176"/>
  <c r="W1028" i="13176"/>
  <c r="AZ1028" i="13176"/>
  <c r="AW1029" i="13176"/>
  <c r="BC1038" i="13176"/>
  <c r="C1039" i="13176"/>
  <c r="C1010" i="13176"/>
  <c r="T1010" i="13176"/>
  <c r="AJ1010" i="13176"/>
  <c r="BA1010" i="13176"/>
  <c r="M1011" i="13176"/>
  <c r="AD1011" i="13176"/>
  <c r="AU1011" i="13176"/>
  <c r="G1012" i="13176"/>
  <c r="X1012" i="13176"/>
  <c r="AN1012" i="13176"/>
  <c r="E1015" i="13176"/>
  <c r="V1015" i="13176"/>
  <c r="AL1015" i="13176"/>
  <c r="BC1015" i="13176"/>
  <c r="F1018" i="13176"/>
  <c r="Z1018" i="13176"/>
  <c r="AR1018" i="13176"/>
  <c r="F1019" i="13176"/>
  <c r="Z1019" i="13176"/>
  <c r="AR1019" i="13176"/>
  <c r="F1020" i="13176"/>
  <c r="Y1020" i="13176"/>
  <c r="AQ1020" i="13176"/>
  <c r="G1021" i="13176"/>
  <c r="AA1021" i="13176"/>
  <c r="AV1021" i="13176"/>
  <c r="Q1023" i="13176"/>
  <c r="AK1023" i="13176"/>
  <c r="V1024" i="13176"/>
  <c r="I1027" i="13176"/>
  <c r="AF1027" i="13176"/>
  <c r="Y1028" i="13176"/>
  <c r="AU1034" i="13176"/>
  <c r="AY1036" i="13176"/>
  <c r="AH1036" i="13176"/>
  <c r="Q1036" i="13176"/>
  <c r="AX1036" i="13176"/>
  <c r="AG1036" i="13176"/>
  <c r="P1036" i="13176"/>
  <c r="AW1036" i="13176"/>
  <c r="AF1036" i="13176"/>
  <c r="O1036" i="13176"/>
  <c r="AV1036" i="13176"/>
  <c r="AE1036" i="13176"/>
  <c r="N1036" i="13176"/>
  <c r="AU1036" i="13176"/>
  <c r="AD1036" i="13176"/>
  <c r="M1036" i="13176"/>
  <c r="AR1036" i="13176"/>
  <c r="AB1036" i="13176"/>
  <c r="K1036" i="13176"/>
  <c r="AQ1036" i="13176"/>
  <c r="AA1036" i="13176"/>
  <c r="J1036" i="13176"/>
  <c r="AP1036" i="13176"/>
  <c r="Z1036" i="13176"/>
  <c r="I1036" i="13176"/>
  <c r="AO1036" i="13176"/>
  <c r="Y1036" i="13176"/>
  <c r="H1036" i="13176"/>
  <c r="AN1036" i="13176"/>
  <c r="X1036" i="13176"/>
  <c r="G1036" i="13176"/>
  <c r="BD1036" i="13176"/>
  <c r="AM1036" i="13176"/>
  <c r="W1036" i="13176"/>
  <c r="F1036" i="13176"/>
  <c r="BA1036" i="13176"/>
  <c r="AJ1036" i="13176"/>
  <c r="T1036" i="13176"/>
  <c r="C1036" i="13176"/>
  <c r="AR1037" i="13176"/>
  <c r="J1039" i="13176"/>
  <c r="AZ1062" i="13176"/>
  <c r="H1018" i="13176"/>
  <c r="AA1018" i="13176"/>
  <c r="AT1018" i="13176"/>
  <c r="AP1024" i="13176"/>
  <c r="Z1024" i="13176"/>
  <c r="I1024" i="13176"/>
  <c r="AN1024" i="13176"/>
  <c r="X1024" i="13176"/>
  <c r="G1024" i="13176"/>
  <c r="BA1024" i="13176"/>
  <c r="AJ1024" i="13176"/>
  <c r="T1024" i="13176"/>
  <c r="C1024" i="13176"/>
  <c r="W1024" i="13176"/>
  <c r="AR1024" i="13176"/>
  <c r="AY1028" i="13176"/>
  <c r="AH1028" i="13176"/>
  <c r="Q1028" i="13176"/>
  <c r="AX1028" i="13176"/>
  <c r="AG1028" i="13176"/>
  <c r="P1028" i="13176"/>
  <c r="AW1028" i="13176"/>
  <c r="AF1028" i="13176"/>
  <c r="O1028" i="13176"/>
  <c r="AV1028" i="13176"/>
  <c r="AE1028" i="13176"/>
  <c r="N1028" i="13176"/>
  <c r="AR1028" i="13176"/>
  <c r="AB1028" i="13176"/>
  <c r="K1028" i="13176"/>
  <c r="AN1028" i="13176"/>
  <c r="X1028" i="13176"/>
  <c r="G1028" i="13176"/>
  <c r="Z1028" i="13176"/>
  <c r="BB1028" i="13176"/>
  <c r="AP1032" i="13176"/>
  <c r="AN1035" i="13176"/>
  <c r="X1035" i="13176"/>
  <c r="G1035" i="13176"/>
  <c r="BD1035" i="13176"/>
  <c r="AM1035" i="13176"/>
  <c r="W1035" i="13176"/>
  <c r="F1035" i="13176"/>
  <c r="BC1035" i="13176"/>
  <c r="AL1035" i="13176"/>
  <c r="V1035" i="13176"/>
  <c r="E1035" i="13176"/>
  <c r="BB1035" i="13176"/>
  <c r="AK1035" i="13176"/>
  <c r="U1035" i="13176"/>
  <c r="D1035" i="13176"/>
  <c r="BA1035" i="13176"/>
  <c r="AJ1035" i="13176"/>
  <c r="T1035" i="13176"/>
  <c r="AY1035" i="13176"/>
  <c r="AH1035" i="13176"/>
  <c r="Q1035" i="13176"/>
  <c r="AX1035" i="13176"/>
  <c r="AG1035" i="13176"/>
  <c r="P1035" i="13176"/>
  <c r="AW1035" i="13176"/>
  <c r="AF1035" i="13176"/>
  <c r="O1035" i="13176"/>
  <c r="AV1035" i="13176"/>
  <c r="AE1035" i="13176"/>
  <c r="N1035" i="13176"/>
  <c r="AU1035" i="13176"/>
  <c r="AD1035" i="13176"/>
  <c r="M1035" i="13176"/>
  <c r="AT1035" i="13176"/>
  <c r="AC1035" i="13176"/>
  <c r="L1035" i="13176"/>
  <c r="AP1035" i="13176"/>
  <c r="Z1035" i="13176"/>
  <c r="I1035" i="13176"/>
  <c r="AU1042" i="13176"/>
  <c r="AY1044" i="13176"/>
  <c r="AH1044" i="13176"/>
  <c r="Q1044" i="13176"/>
  <c r="AX1044" i="13176"/>
  <c r="AG1044" i="13176"/>
  <c r="P1044" i="13176"/>
  <c r="AW1044" i="13176"/>
  <c r="AF1044" i="13176"/>
  <c r="O1044" i="13176"/>
  <c r="AV1044" i="13176"/>
  <c r="AE1044" i="13176"/>
  <c r="N1044" i="13176"/>
  <c r="AU1044" i="13176"/>
  <c r="AD1044" i="13176"/>
  <c r="M1044" i="13176"/>
  <c r="AT1044" i="13176"/>
  <c r="AC1044" i="13176"/>
  <c r="L1044" i="13176"/>
  <c r="AR1044" i="13176"/>
  <c r="AB1044" i="13176"/>
  <c r="K1044" i="13176"/>
  <c r="AQ1044" i="13176"/>
  <c r="AA1044" i="13176"/>
  <c r="J1044" i="13176"/>
  <c r="AP1044" i="13176"/>
  <c r="Z1044" i="13176"/>
  <c r="I1044" i="13176"/>
  <c r="AO1044" i="13176"/>
  <c r="Y1044" i="13176"/>
  <c r="H1044" i="13176"/>
  <c r="AN1044" i="13176"/>
  <c r="X1044" i="13176"/>
  <c r="G1044" i="13176"/>
  <c r="BD1044" i="13176"/>
  <c r="AM1044" i="13176"/>
  <c r="W1044" i="13176"/>
  <c r="F1044" i="13176"/>
  <c r="BC1044" i="13176"/>
  <c r="AL1044" i="13176"/>
  <c r="V1044" i="13176"/>
  <c r="E1044" i="13176"/>
  <c r="BB1044" i="13176"/>
  <c r="BA1044" i="13176"/>
  <c r="AJ1044" i="13176"/>
  <c r="T1044" i="13176"/>
  <c r="C1044" i="13176"/>
  <c r="AU1053" i="13176"/>
  <c r="AC1057" i="13176"/>
  <c r="E1010" i="13176"/>
  <c r="V1010" i="13176"/>
  <c r="AL1010" i="13176"/>
  <c r="BC1010" i="13176"/>
  <c r="O1011" i="13176"/>
  <c r="AF1011" i="13176"/>
  <c r="AW1011" i="13176"/>
  <c r="I1012" i="13176"/>
  <c r="Z1012" i="13176"/>
  <c r="AP1012" i="13176"/>
  <c r="G1015" i="13176"/>
  <c r="X1015" i="13176"/>
  <c r="AN1015" i="13176"/>
  <c r="I1018" i="13176"/>
  <c r="AB1018" i="13176"/>
  <c r="AV1018" i="13176"/>
  <c r="I1019" i="13176"/>
  <c r="AB1019" i="13176"/>
  <c r="AU1019" i="13176"/>
  <c r="H1020" i="13176"/>
  <c r="AA1020" i="13176"/>
  <c r="AU1020" i="13176"/>
  <c r="I1021" i="13176"/>
  <c r="AD1021" i="13176"/>
  <c r="AX1021" i="13176"/>
  <c r="AM1023" i="13176"/>
  <c r="D1024" i="13176"/>
  <c r="Y1024" i="13176"/>
  <c r="AT1024" i="13176"/>
  <c r="K1027" i="13176"/>
  <c r="AI1027" i="13176"/>
  <c r="C1028" i="13176"/>
  <c r="AA1028" i="13176"/>
  <c r="BC1028" i="13176"/>
  <c r="C1035" i="13176"/>
  <c r="E1036" i="13176"/>
  <c r="S1039" i="13176"/>
  <c r="D1044" i="13176"/>
  <c r="S1000" i="13176"/>
  <c r="AI1000" i="13176"/>
  <c r="AZ1000" i="13176"/>
  <c r="N1006" i="13176"/>
  <c r="AE1006" i="13176"/>
  <c r="AV1006" i="13176"/>
  <c r="S1008" i="13176"/>
  <c r="AI1008" i="13176"/>
  <c r="AZ1008" i="13176"/>
  <c r="F1010" i="13176"/>
  <c r="W1010" i="13176"/>
  <c r="AM1010" i="13176"/>
  <c r="BD1010" i="13176"/>
  <c r="P1011" i="13176"/>
  <c r="AG1011" i="13176"/>
  <c r="AX1011" i="13176"/>
  <c r="J1012" i="13176"/>
  <c r="AA1012" i="13176"/>
  <c r="AQ1012" i="13176"/>
  <c r="N1014" i="13176"/>
  <c r="AE1014" i="13176"/>
  <c r="AV1014" i="13176"/>
  <c r="H1015" i="13176"/>
  <c r="Y1015" i="13176"/>
  <c r="AO1015" i="13176"/>
  <c r="S1016" i="13176"/>
  <c r="AI1016" i="13176"/>
  <c r="AZ1016" i="13176"/>
  <c r="J1018" i="13176"/>
  <c r="AC1018" i="13176"/>
  <c r="AW1018" i="13176"/>
  <c r="J1019" i="13176"/>
  <c r="AC1019" i="13176"/>
  <c r="AV1019" i="13176"/>
  <c r="I1020" i="13176"/>
  <c r="AC1020" i="13176"/>
  <c r="AV1020" i="13176"/>
  <c r="J1021" i="13176"/>
  <c r="AE1021" i="13176"/>
  <c r="AY1021" i="13176"/>
  <c r="U1023" i="13176"/>
  <c r="E1024" i="13176"/>
  <c r="AA1024" i="13176"/>
  <c r="AU1024" i="13176"/>
  <c r="V1026" i="13176"/>
  <c r="AV1026" i="13176"/>
  <c r="L1027" i="13176"/>
  <c r="AJ1027" i="13176"/>
  <c r="D1028" i="13176"/>
  <c r="AC1028" i="13176"/>
  <c r="BD1028" i="13176"/>
  <c r="AC1029" i="13176"/>
  <c r="BD1029" i="13176"/>
  <c r="AW1031" i="13176"/>
  <c r="AF1031" i="13176"/>
  <c r="O1031" i="13176"/>
  <c r="AV1031" i="13176"/>
  <c r="AE1031" i="13176"/>
  <c r="N1031" i="13176"/>
  <c r="AU1031" i="13176"/>
  <c r="AD1031" i="13176"/>
  <c r="M1031" i="13176"/>
  <c r="AT1031" i="13176"/>
  <c r="AC1031" i="13176"/>
  <c r="L1031" i="13176"/>
  <c r="AP1031" i="13176"/>
  <c r="Z1031" i="13176"/>
  <c r="I1031" i="13176"/>
  <c r="AN1031" i="13176"/>
  <c r="X1031" i="13176"/>
  <c r="G1031" i="13176"/>
  <c r="BD1031" i="13176"/>
  <c r="AM1031" i="13176"/>
  <c r="BC1031" i="13176"/>
  <c r="AL1031" i="13176"/>
  <c r="V1031" i="13176"/>
  <c r="E1031" i="13176"/>
  <c r="AG1031" i="13176"/>
  <c r="H1035" i="13176"/>
  <c r="L1036" i="13176"/>
  <c r="T1039" i="13176"/>
  <c r="S1044" i="13176"/>
  <c r="AL1050" i="13176"/>
  <c r="G1010" i="13176"/>
  <c r="X1010" i="13176"/>
  <c r="AN1010" i="13176"/>
  <c r="Q1011" i="13176"/>
  <c r="AH1011" i="13176"/>
  <c r="AY1011" i="13176"/>
  <c r="K1012" i="13176"/>
  <c r="AB1012" i="13176"/>
  <c r="AR1012" i="13176"/>
  <c r="I1015" i="13176"/>
  <c r="Z1015" i="13176"/>
  <c r="AP1015" i="13176"/>
  <c r="K1018" i="13176"/>
  <c r="AE1018" i="13176"/>
  <c r="AX1018" i="13176"/>
  <c r="K1019" i="13176"/>
  <c r="AD1019" i="13176"/>
  <c r="AW1019" i="13176"/>
  <c r="J1020" i="13176"/>
  <c r="AD1020" i="13176"/>
  <c r="AW1020" i="13176"/>
  <c r="L1021" i="13176"/>
  <c r="AF1021" i="13176"/>
  <c r="AZ1021" i="13176"/>
  <c r="AW1023" i="13176"/>
  <c r="AF1023" i="13176"/>
  <c r="O1023" i="13176"/>
  <c r="AU1023" i="13176"/>
  <c r="AD1023" i="13176"/>
  <c r="M1023" i="13176"/>
  <c r="AP1023" i="13176"/>
  <c r="Z1023" i="13176"/>
  <c r="I1023" i="13176"/>
  <c r="V1023" i="13176"/>
  <c r="AO1023" i="13176"/>
  <c r="F1024" i="13176"/>
  <c r="AB1024" i="13176"/>
  <c r="AV1024" i="13176"/>
  <c r="W1026" i="13176"/>
  <c r="N1027" i="13176"/>
  <c r="AK1027" i="13176"/>
  <c r="E1028" i="13176"/>
  <c r="AD1028" i="13176"/>
  <c r="J1035" i="13176"/>
  <c r="S1036" i="13176"/>
  <c r="AG1039" i="13176"/>
  <c r="U1044" i="13176"/>
  <c r="AW1047" i="13176"/>
  <c r="Y1010" i="13176"/>
  <c r="AO1010" i="13176"/>
  <c r="S1011" i="13176"/>
  <c r="AI1011" i="13176"/>
  <c r="AZ1011" i="13176"/>
  <c r="L1012" i="13176"/>
  <c r="AC1012" i="13176"/>
  <c r="AT1012" i="13176"/>
  <c r="J1015" i="13176"/>
  <c r="AA1015" i="13176"/>
  <c r="AQ1015" i="13176"/>
  <c r="L1018" i="13176"/>
  <c r="AF1018" i="13176"/>
  <c r="AY1018" i="13176"/>
  <c r="L1019" i="13176"/>
  <c r="AE1019" i="13176"/>
  <c r="AX1019" i="13176"/>
  <c r="L1020" i="13176"/>
  <c r="AE1020" i="13176"/>
  <c r="AX1020" i="13176"/>
  <c r="M1021" i="13176"/>
  <c r="AG1021" i="13176"/>
  <c r="BA1021" i="13176"/>
  <c r="C1023" i="13176"/>
  <c r="W1023" i="13176"/>
  <c r="AQ1023" i="13176"/>
  <c r="H1024" i="13176"/>
  <c r="AC1024" i="13176"/>
  <c r="AW1024" i="13176"/>
  <c r="O1027" i="13176"/>
  <c r="AO1027" i="13176"/>
  <c r="F1028" i="13176"/>
  <c r="AI1028" i="13176"/>
  <c r="AR1029" i="13176"/>
  <c r="AB1029" i="13176"/>
  <c r="K1029" i="13176"/>
  <c r="AQ1029" i="13176"/>
  <c r="AA1029" i="13176"/>
  <c r="J1029" i="13176"/>
  <c r="AP1029" i="13176"/>
  <c r="Z1029" i="13176"/>
  <c r="I1029" i="13176"/>
  <c r="AO1029" i="13176"/>
  <c r="Y1029" i="13176"/>
  <c r="H1029" i="13176"/>
  <c r="BC1029" i="13176"/>
  <c r="AL1029" i="13176"/>
  <c r="V1029" i="13176"/>
  <c r="E1029" i="13176"/>
  <c r="BA1029" i="13176"/>
  <c r="AJ1029" i="13176"/>
  <c r="T1029" i="13176"/>
  <c r="AY1029" i="13176"/>
  <c r="AH1029" i="13176"/>
  <c r="Q1029" i="13176"/>
  <c r="AE1029" i="13176"/>
  <c r="BC1030" i="13176"/>
  <c r="K1035" i="13176"/>
  <c r="U1036" i="13176"/>
  <c r="AI1039" i="13176"/>
  <c r="AI1044" i="13176"/>
  <c r="AU1054" i="13176"/>
  <c r="I1010" i="13176"/>
  <c r="Z1010" i="13176"/>
  <c r="AP1010" i="13176"/>
  <c r="C1011" i="13176"/>
  <c r="T1011" i="13176"/>
  <c r="AJ1011" i="13176"/>
  <c r="BA1011" i="13176"/>
  <c r="M1012" i="13176"/>
  <c r="AD1012" i="13176"/>
  <c r="AU1012" i="13176"/>
  <c r="K1015" i="13176"/>
  <c r="AB1015" i="13176"/>
  <c r="AR1015" i="13176"/>
  <c r="N1018" i="13176"/>
  <c r="AG1018" i="13176"/>
  <c r="AZ1018" i="13176"/>
  <c r="M1019" i="13176"/>
  <c r="AF1019" i="13176"/>
  <c r="AZ1019" i="13176"/>
  <c r="M1020" i="13176"/>
  <c r="AF1020" i="13176"/>
  <c r="AZ1020" i="13176"/>
  <c r="N1021" i="13176"/>
  <c r="AH1021" i="13176"/>
  <c r="BB1021" i="13176"/>
  <c r="D1023" i="13176"/>
  <c r="X1023" i="13176"/>
  <c r="AR1023" i="13176"/>
  <c r="J1024" i="13176"/>
  <c r="AD1024" i="13176"/>
  <c r="AX1024" i="13176"/>
  <c r="AU1026" i="13176"/>
  <c r="AD1026" i="13176"/>
  <c r="M1026" i="13176"/>
  <c r="AT1026" i="13176"/>
  <c r="AC1026" i="13176"/>
  <c r="L1026" i="13176"/>
  <c r="AR1026" i="13176"/>
  <c r="AB1026" i="13176"/>
  <c r="K1026" i="13176"/>
  <c r="AN1026" i="13176"/>
  <c r="X1026" i="13176"/>
  <c r="G1026" i="13176"/>
  <c r="BA1026" i="13176"/>
  <c r="AJ1026" i="13176"/>
  <c r="T1026" i="13176"/>
  <c r="C1026" i="13176"/>
  <c r="Z1026" i="13176"/>
  <c r="AY1026" i="13176"/>
  <c r="P1027" i="13176"/>
  <c r="AP1027" i="13176"/>
  <c r="H1028" i="13176"/>
  <c r="AJ1028" i="13176"/>
  <c r="C1029" i="13176"/>
  <c r="AF1029" i="13176"/>
  <c r="F1031" i="13176"/>
  <c r="AJ1031" i="13176"/>
  <c r="S1035" i="13176"/>
  <c r="V1036" i="13176"/>
  <c r="AJ1039" i="13176"/>
  <c r="BA1041" i="13176"/>
  <c r="AK1044" i="13176"/>
  <c r="S1006" i="13176"/>
  <c r="AI1006" i="13176"/>
  <c r="AZ1006" i="13176"/>
  <c r="F1008" i="13176"/>
  <c r="W1008" i="13176"/>
  <c r="AM1008" i="13176"/>
  <c r="BD1008" i="13176"/>
  <c r="J1010" i="13176"/>
  <c r="AA1010" i="13176"/>
  <c r="AQ1010" i="13176"/>
  <c r="D1011" i="13176"/>
  <c r="U1011" i="13176"/>
  <c r="AK1011" i="13176"/>
  <c r="BB1011" i="13176"/>
  <c r="N1012" i="13176"/>
  <c r="AE1012" i="13176"/>
  <c r="AV1012" i="13176"/>
  <c r="S1014" i="13176"/>
  <c r="AI1014" i="13176"/>
  <c r="AZ1014" i="13176"/>
  <c r="L1015" i="13176"/>
  <c r="AC1015" i="13176"/>
  <c r="AT1015" i="13176"/>
  <c r="F1016" i="13176"/>
  <c r="W1016" i="13176"/>
  <c r="AM1016" i="13176"/>
  <c r="BD1016" i="13176"/>
  <c r="O1018" i="13176"/>
  <c r="AH1018" i="13176"/>
  <c r="BA1018" i="13176"/>
  <c r="N1019" i="13176"/>
  <c r="AG1019" i="13176"/>
  <c r="BA1019" i="13176"/>
  <c r="N1020" i="13176"/>
  <c r="AG1020" i="13176"/>
  <c r="BA1020" i="13176"/>
  <c r="O1021" i="13176"/>
  <c r="AI1021" i="13176"/>
  <c r="BD1021" i="13176"/>
  <c r="E1023" i="13176"/>
  <c r="Y1023" i="13176"/>
  <c r="AT1023" i="13176"/>
  <c r="K1024" i="13176"/>
  <c r="AE1024" i="13176"/>
  <c r="AY1024" i="13176"/>
  <c r="D1026" i="13176"/>
  <c r="AA1026" i="13176"/>
  <c r="AZ1026" i="13176"/>
  <c r="S1027" i="13176"/>
  <c r="AQ1027" i="13176"/>
  <c r="I1028" i="13176"/>
  <c r="AK1028" i="13176"/>
  <c r="D1029" i="13176"/>
  <c r="AG1029" i="13176"/>
  <c r="H1031" i="13176"/>
  <c r="AK1031" i="13176"/>
  <c r="Y1035" i="13176"/>
  <c r="AC1036" i="13176"/>
  <c r="AX1039" i="13176"/>
  <c r="AZ1044" i="13176"/>
  <c r="G1000" i="13176"/>
  <c r="X1000" i="13176"/>
  <c r="AN1000" i="13176"/>
  <c r="Q1001" i="13176"/>
  <c r="AH1001" i="13176"/>
  <c r="AY1001" i="13176"/>
  <c r="C1006" i="13176"/>
  <c r="T1006" i="13176"/>
  <c r="AJ1006" i="13176"/>
  <c r="BA1006" i="13176"/>
  <c r="G1008" i="13176"/>
  <c r="X1008" i="13176"/>
  <c r="AN1008" i="13176"/>
  <c r="Q1009" i="13176"/>
  <c r="AH1009" i="13176"/>
  <c r="AY1009" i="13176"/>
  <c r="K1010" i="13176"/>
  <c r="AB1010" i="13176"/>
  <c r="AR1010" i="13176"/>
  <c r="E1011" i="13176"/>
  <c r="V1011" i="13176"/>
  <c r="AL1011" i="13176"/>
  <c r="BC1011" i="13176"/>
  <c r="O1012" i="13176"/>
  <c r="AF1012" i="13176"/>
  <c r="AW1012" i="13176"/>
  <c r="C1014" i="13176"/>
  <c r="T1014" i="13176"/>
  <c r="AJ1014" i="13176"/>
  <c r="BA1014" i="13176"/>
  <c r="M1015" i="13176"/>
  <c r="AD1015" i="13176"/>
  <c r="AU1015" i="13176"/>
  <c r="G1016" i="13176"/>
  <c r="X1016" i="13176"/>
  <c r="AN1016" i="13176"/>
  <c r="P1018" i="13176"/>
  <c r="AI1018" i="13176"/>
  <c r="BB1018" i="13176"/>
  <c r="O1019" i="13176"/>
  <c r="AI1019" i="13176"/>
  <c r="BB1019" i="13176"/>
  <c r="O1020" i="13176"/>
  <c r="AI1020" i="13176"/>
  <c r="BB1020" i="13176"/>
  <c r="P1021" i="13176"/>
  <c r="AJ1021" i="13176"/>
  <c r="F1023" i="13176"/>
  <c r="AA1023" i="13176"/>
  <c r="AV1023" i="13176"/>
  <c r="L1024" i="13176"/>
  <c r="AF1024" i="13176"/>
  <c r="AZ1024" i="13176"/>
  <c r="E1026" i="13176"/>
  <c r="AE1026" i="13176"/>
  <c r="BB1026" i="13176"/>
  <c r="T1027" i="13176"/>
  <c r="AR1027" i="13176"/>
  <c r="J1028" i="13176"/>
  <c r="AL1028" i="13176"/>
  <c r="F1029" i="13176"/>
  <c r="AI1029" i="13176"/>
  <c r="J1031" i="13176"/>
  <c r="AO1031" i="13176"/>
  <c r="AA1035" i="13176"/>
  <c r="AI1036" i="13176"/>
  <c r="AZ1039" i="13176"/>
  <c r="H1000" i="13176"/>
  <c r="Y1000" i="13176"/>
  <c r="S1001" i="13176"/>
  <c r="AI1001" i="13176"/>
  <c r="D1006" i="13176"/>
  <c r="U1006" i="13176"/>
  <c r="AK1006" i="13176"/>
  <c r="H1008" i="13176"/>
  <c r="Y1008" i="13176"/>
  <c r="S1009" i="13176"/>
  <c r="AI1009" i="13176"/>
  <c r="L1010" i="13176"/>
  <c r="AC1010" i="13176"/>
  <c r="F1011" i="13176"/>
  <c r="W1011" i="13176"/>
  <c r="AM1011" i="13176"/>
  <c r="P1012" i="13176"/>
  <c r="AG1012" i="13176"/>
  <c r="D1014" i="13176"/>
  <c r="U1014" i="13176"/>
  <c r="AK1014" i="13176"/>
  <c r="N1015" i="13176"/>
  <c r="AE1015" i="13176"/>
  <c r="H1016" i="13176"/>
  <c r="Y1016" i="13176"/>
  <c r="BA1017" i="13176"/>
  <c r="AJ1017" i="13176"/>
  <c r="AU1017" i="13176"/>
  <c r="S1017" i="13176"/>
  <c r="AI1017" i="13176"/>
  <c r="BC1017" i="13176"/>
  <c r="Q1018" i="13176"/>
  <c r="AJ1018" i="13176"/>
  <c r="BC1018" i="13176"/>
  <c r="P1019" i="13176"/>
  <c r="AJ1019" i="13176"/>
  <c r="BC1019" i="13176"/>
  <c r="P1020" i="13176"/>
  <c r="AJ1020" i="13176"/>
  <c r="BC1020" i="13176"/>
  <c r="Q1021" i="13176"/>
  <c r="AK1021" i="13176"/>
  <c r="BC1022" i="13176"/>
  <c r="AL1022" i="13176"/>
  <c r="V1022" i="13176"/>
  <c r="E1022" i="13176"/>
  <c r="BA1022" i="13176"/>
  <c r="AJ1022" i="13176"/>
  <c r="T1022" i="13176"/>
  <c r="C1022" i="13176"/>
  <c r="AW1022" i="13176"/>
  <c r="AF1022" i="13176"/>
  <c r="O1022" i="13176"/>
  <c r="X1022" i="13176"/>
  <c r="AQ1022" i="13176"/>
  <c r="G1023" i="13176"/>
  <c r="AB1023" i="13176"/>
  <c r="AX1023" i="13176"/>
  <c r="M1024" i="13176"/>
  <c r="AG1024" i="13176"/>
  <c r="BB1024" i="13176"/>
  <c r="F1026" i="13176"/>
  <c r="AF1026" i="13176"/>
  <c r="BC1026" i="13176"/>
  <c r="U1027" i="13176"/>
  <c r="AT1027" i="13176"/>
  <c r="L1028" i="13176"/>
  <c r="AM1028" i="13176"/>
  <c r="G1029" i="13176"/>
  <c r="AK1029" i="13176"/>
  <c r="K1031" i="13176"/>
  <c r="AQ1031" i="13176"/>
  <c r="AB1035" i="13176"/>
  <c r="AK1036" i="13176"/>
  <c r="BA1039" i="13176"/>
  <c r="AN1043" i="13176"/>
  <c r="AR1045" i="13176"/>
  <c r="AN1048" i="13176"/>
  <c r="I1043" i="13176"/>
  <c r="Z1043" i="13176"/>
  <c r="AP1043" i="13176"/>
  <c r="Q1047" i="13176"/>
  <c r="AH1047" i="13176"/>
  <c r="AY1047" i="13176"/>
  <c r="Y1053" i="13176"/>
  <c r="BC1056" i="13176"/>
  <c r="AL1056" i="13176"/>
  <c r="V1056" i="13176"/>
  <c r="E1056" i="13176"/>
  <c r="BB1056" i="13176"/>
  <c r="AK1056" i="13176"/>
  <c r="U1056" i="13176"/>
  <c r="D1056" i="13176"/>
  <c r="BA1056" i="13176"/>
  <c r="AJ1056" i="13176"/>
  <c r="T1056" i="13176"/>
  <c r="C1056" i="13176"/>
  <c r="AW1056" i="13176"/>
  <c r="AF1056" i="13176"/>
  <c r="O1056" i="13176"/>
  <c r="AU1056" i="13176"/>
  <c r="AD1056" i="13176"/>
  <c r="M1056" i="13176"/>
  <c r="AT1056" i="13176"/>
  <c r="AC1056" i="13176"/>
  <c r="L1056" i="13176"/>
  <c r="AB1056" i="13176"/>
  <c r="AO1091" i="13176"/>
  <c r="S1047" i="13176"/>
  <c r="AI1047" i="13176"/>
  <c r="AZ1047" i="13176"/>
  <c r="AW1057" i="13176"/>
  <c r="AF1057" i="13176"/>
  <c r="O1057" i="13176"/>
  <c r="AV1057" i="13176"/>
  <c r="AE1057" i="13176"/>
  <c r="N1057" i="13176"/>
  <c r="AU1057" i="13176"/>
  <c r="AD1057" i="13176"/>
  <c r="M1057" i="13176"/>
  <c r="AP1057" i="13176"/>
  <c r="Z1057" i="13176"/>
  <c r="I1057" i="13176"/>
  <c r="AN1057" i="13176"/>
  <c r="X1057" i="13176"/>
  <c r="G1057" i="13176"/>
  <c r="BD1057" i="13176"/>
  <c r="AM1057" i="13176"/>
  <c r="W1057" i="13176"/>
  <c r="F1057" i="13176"/>
  <c r="BC1057" i="13176"/>
  <c r="AL1057" i="13176"/>
  <c r="V1057" i="13176"/>
  <c r="AY1057" i="13176"/>
  <c r="AH1057" i="13176"/>
  <c r="Q1057" i="13176"/>
  <c r="AG1057" i="13176"/>
  <c r="AU1060" i="13176"/>
  <c r="AD1060" i="13176"/>
  <c r="M1060" i="13176"/>
  <c r="AT1060" i="13176"/>
  <c r="AC1060" i="13176"/>
  <c r="L1060" i="13176"/>
  <c r="AR1060" i="13176"/>
  <c r="AB1060" i="13176"/>
  <c r="K1060" i="13176"/>
  <c r="AQ1060" i="13176"/>
  <c r="AA1060" i="13176"/>
  <c r="J1060" i="13176"/>
  <c r="AP1060" i="13176"/>
  <c r="Z1060" i="13176"/>
  <c r="I1060" i="13176"/>
  <c r="AO1060" i="13176"/>
  <c r="Y1060" i="13176"/>
  <c r="H1060" i="13176"/>
  <c r="AN1060" i="13176"/>
  <c r="X1060" i="13176"/>
  <c r="G1060" i="13176"/>
  <c r="BD1060" i="13176"/>
  <c r="AM1060" i="13176"/>
  <c r="W1060" i="13176"/>
  <c r="F1060" i="13176"/>
  <c r="BC1060" i="13176"/>
  <c r="AL1060" i="13176"/>
  <c r="V1060" i="13176"/>
  <c r="E1060" i="13176"/>
  <c r="BB1060" i="13176"/>
  <c r="AK1060" i="13176"/>
  <c r="U1060" i="13176"/>
  <c r="D1060" i="13176"/>
  <c r="BA1060" i="13176"/>
  <c r="AJ1060" i="13176"/>
  <c r="T1060" i="13176"/>
  <c r="C1060" i="13176"/>
  <c r="AW1060" i="13176"/>
  <c r="AF1060" i="13176"/>
  <c r="O1060" i="13176"/>
  <c r="C1047" i="13176"/>
  <c r="T1047" i="13176"/>
  <c r="AJ1047" i="13176"/>
  <c r="BA1047" i="13176"/>
  <c r="AN1053" i="13176"/>
  <c r="X1053" i="13176"/>
  <c r="G1053" i="13176"/>
  <c r="BD1053" i="13176"/>
  <c r="AM1053" i="13176"/>
  <c r="W1053" i="13176"/>
  <c r="F1053" i="13176"/>
  <c r="BC1053" i="13176"/>
  <c r="AL1053" i="13176"/>
  <c r="V1053" i="13176"/>
  <c r="E1053" i="13176"/>
  <c r="AY1053" i="13176"/>
  <c r="AH1053" i="13176"/>
  <c r="Q1053" i="13176"/>
  <c r="AW1053" i="13176"/>
  <c r="AF1053" i="13176"/>
  <c r="O1053" i="13176"/>
  <c r="AA1053" i="13176"/>
  <c r="AX1053" i="13176"/>
  <c r="C1057" i="13176"/>
  <c r="AI1057" i="13176"/>
  <c r="N1060" i="13176"/>
  <c r="AW1065" i="13176"/>
  <c r="AF1065" i="13176"/>
  <c r="O1065" i="13176"/>
  <c r="AV1065" i="13176"/>
  <c r="AE1065" i="13176"/>
  <c r="N1065" i="13176"/>
  <c r="AU1065" i="13176"/>
  <c r="AD1065" i="13176"/>
  <c r="M1065" i="13176"/>
  <c r="AT1065" i="13176"/>
  <c r="AC1065" i="13176"/>
  <c r="L1065" i="13176"/>
  <c r="AR1065" i="13176"/>
  <c r="AB1065" i="13176"/>
  <c r="K1065" i="13176"/>
  <c r="AQ1065" i="13176"/>
  <c r="AA1065" i="13176"/>
  <c r="J1065" i="13176"/>
  <c r="AP1065" i="13176"/>
  <c r="Z1065" i="13176"/>
  <c r="I1065" i="13176"/>
  <c r="AO1065" i="13176"/>
  <c r="Y1065" i="13176"/>
  <c r="H1065" i="13176"/>
  <c r="AN1065" i="13176"/>
  <c r="X1065" i="13176"/>
  <c r="G1065" i="13176"/>
  <c r="BD1065" i="13176"/>
  <c r="AM1065" i="13176"/>
  <c r="W1065" i="13176"/>
  <c r="F1065" i="13176"/>
  <c r="BC1065" i="13176"/>
  <c r="AL1065" i="13176"/>
  <c r="V1065" i="13176"/>
  <c r="E1065" i="13176"/>
  <c r="BB1065" i="13176"/>
  <c r="AK1065" i="13176"/>
  <c r="U1065" i="13176"/>
  <c r="D1065" i="13176"/>
  <c r="BA1065" i="13176"/>
  <c r="AJ1065" i="13176"/>
  <c r="T1065" i="13176"/>
  <c r="C1065" i="13176"/>
  <c r="AY1065" i="13176"/>
  <c r="AH1065" i="13176"/>
  <c r="Q1065" i="13176"/>
  <c r="BA1067" i="13176"/>
  <c r="AY1086" i="13176"/>
  <c r="S1034" i="13176"/>
  <c r="AI1034" i="13176"/>
  <c r="AZ1034" i="13176"/>
  <c r="P1037" i="13176"/>
  <c r="AG1037" i="13176"/>
  <c r="AX1037" i="13176"/>
  <c r="N1040" i="13176"/>
  <c r="AE1040" i="13176"/>
  <c r="AV1040" i="13176"/>
  <c r="S1042" i="13176"/>
  <c r="AI1042" i="13176"/>
  <c r="AZ1042" i="13176"/>
  <c r="L1043" i="13176"/>
  <c r="AC1043" i="13176"/>
  <c r="AT1043" i="13176"/>
  <c r="P1045" i="13176"/>
  <c r="AG1045" i="13176"/>
  <c r="AX1045" i="13176"/>
  <c r="D1047" i="13176"/>
  <c r="U1047" i="13176"/>
  <c r="AK1047" i="13176"/>
  <c r="BB1047" i="13176"/>
  <c r="P1048" i="13176"/>
  <c r="AI1048" i="13176"/>
  <c r="BD1048" i="13176"/>
  <c r="AK1049" i="13176"/>
  <c r="BD1049" i="13176"/>
  <c r="C1053" i="13176"/>
  <c r="AB1053" i="13176"/>
  <c r="AZ1053" i="13176"/>
  <c r="T1054" i="13176"/>
  <c r="AO1054" i="13176"/>
  <c r="H1056" i="13176"/>
  <c r="AH1056" i="13176"/>
  <c r="D1057" i="13176"/>
  <c r="AJ1057" i="13176"/>
  <c r="P1060" i="13176"/>
  <c r="P1065" i="13176"/>
  <c r="K1030" i="13176"/>
  <c r="AB1030" i="13176"/>
  <c r="AR1030" i="13176"/>
  <c r="O1032" i="13176"/>
  <c r="AF1032" i="13176"/>
  <c r="AW1032" i="13176"/>
  <c r="C1034" i="13176"/>
  <c r="T1034" i="13176"/>
  <c r="AJ1034" i="13176"/>
  <c r="BA1034" i="13176"/>
  <c r="Q1037" i="13176"/>
  <c r="AH1037" i="13176"/>
  <c r="AY1037" i="13176"/>
  <c r="AR1038" i="13176"/>
  <c r="O1040" i="13176"/>
  <c r="AF1040" i="13176"/>
  <c r="AW1040" i="13176"/>
  <c r="C1042" i="13176"/>
  <c r="T1042" i="13176"/>
  <c r="AJ1042" i="13176"/>
  <c r="BA1042" i="13176"/>
  <c r="M1043" i="13176"/>
  <c r="AD1043" i="13176"/>
  <c r="AU1043" i="13176"/>
  <c r="Q1045" i="13176"/>
  <c r="AH1045" i="13176"/>
  <c r="AY1045" i="13176"/>
  <c r="E1047" i="13176"/>
  <c r="V1047" i="13176"/>
  <c r="AL1047" i="13176"/>
  <c r="BC1047" i="13176"/>
  <c r="Q1048" i="13176"/>
  <c r="AK1048" i="13176"/>
  <c r="T1049" i="13176"/>
  <c r="T1050" i="13176"/>
  <c r="BA1051" i="13176"/>
  <c r="D1053" i="13176"/>
  <c r="AC1053" i="13176"/>
  <c r="BA1053" i="13176"/>
  <c r="U1054" i="13176"/>
  <c r="AQ1054" i="13176"/>
  <c r="I1056" i="13176"/>
  <c r="AI1056" i="13176"/>
  <c r="E1057" i="13176"/>
  <c r="AK1057" i="13176"/>
  <c r="Q1060" i="13176"/>
  <c r="S1065" i="13176"/>
  <c r="AN1069" i="13176"/>
  <c r="AF1077" i="13176"/>
  <c r="P1032" i="13176"/>
  <c r="AG1032" i="13176"/>
  <c r="AX1032" i="13176"/>
  <c r="D1034" i="13176"/>
  <c r="U1034" i="13176"/>
  <c r="AK1034" i="13176"/>
  <c r="BB1034" i="13176"/>
  <c r="S1037" i="13176"/>
  <c r="AI1037" i="13176"/>
  <c r="AZ1037" i="13176"/>
  <c r="P1040" i="13176"/>
  <c r="AG1040" i="13176"/>
  <c r="AX1040" i="13176"/>
  <c r="D1042" i="13176"/>
  <c r="U1042" i="13176"/>
  <c r="AK1042" i="13176"/>
  <c r="BB1042" i="13176"/>
  <c r="N1043" i="13176"/>
  <c r="AE1043" i="13176"/>
  <c r="AV1043" i="13176"/>
  <c r="S1045" i="13176"/>
  <c r="AI1045" i="13176"/>
  <c r="AZ1045" i="13176"/>
  <c r="F1047" i="13176"/>
  <c r="W1047" i="13176"/>
  <c r="AM1047" i="13176"/>
  <c r="BD1047" i="13176"/>
  <c r="S1048" i="13176"/>
  <c r="AM1048" i="13176"/>
  <c r="AW1049" i="13176"/>
  <c r="AF1049" i="13176"/>
  <c r="O1049" i="13176"/>
  <c r="AU1049" i="13176"/>
  <c r="AD1049" i="13176"/>
  <c r="M1049" i="13176"/>
  <c r="U1049" i="13176"/>
  <c r="AM1049" i="13176"/>
  <c r="AP1050" i="13176"/>
  <c r="Z1050" i="13176"/>
  <c r="I1050" i="13176"/>
  <c r="AN1050" i="13176"/>
  <c r="X1050" i="13176"/>
  <c r="G1050" i="13176"/>
  <c r="BA1050" i="13176"/>
  <c r="U1050" i="13176"/>
  <c r="AM1050" i="13176"/>
  <c r="H1053" i="13176"/>
  <c r="AD1053" i="13176"/>
  <c r="BB1053" i="13176"/>
  <c r="V1054" i="13176"/>
  <c r="AT1054" i="13176"/>
  <c r="J1056" i="13176"/>
  <c r="AM1056" i="13176"/>
  <c r="H1057" i="13176"/>
  <c r="AO1057" i="13176"/>
  <c r="S1060" i="13176"/>
  <c r="AG1065" i="13176"/>
  <c r="Q1032" i="13176"/>
  <c r="AH1032" i="13176"/>
  <c r="AY1032" i="13176"/>
  <c r="E1034" i="13176"/>
  <c r="V1034" i="13176"/>
  <c r="AL1034" i="13176"/>
  <c r="BC1034" i="13176"/>
  <c r="C1037" i="13176"/>
  <c r="T1037" i="13176"/>
  <c r="AJ1037" i="13176"/>
  <c r="BA1037" i="13176"/>
  <c r="Q1040" i="13176"/>
  <c r="AH1040" i="13176"/>
  <c r="AY1040" i="13176"/>
  <c r="E1042" i="13176"/>
  <c r="V1042" i="13176"/>
  <c r="AL1042" i="13176"/>
  <c r="BC1042" i="13176"/>
  <c r="O1043" i="13176"/>
  <c r="AF1043" i="13176"/>
  <c r="AW1043" i="13176"/>
  <c r="C1045" i="13176"/>
  <c r="T1045" i="13176"/>
  <c r="AJ1045" i="13176"/>
  <c r="BA1045" i="13176"/>
  <c r="G1047" i="13176"/>
  <c r="X1047" i="13176"/>
  <c r="AN1047" i="13176"/>
  <c r="U1048" i="13176"/>
  <c r="AN1049" i="13176"/>
  <c r="I1053" i="13176"/>
  <c r="AE1053" i="13176"/>
  <c r="W1054" i="13176"/>
  <c r="K1056" i="13176"/>
  <c r="AN1056" i="13176"/>
  <c r="J1057" i="13176"/>
  <c r="AQ1057" i="13176"/>
  <c r="AE1060" i="13176"/>
  <c r="AI1065" i="13176"/>
  <c r="S1032" i="13176"/>
  <c r="AI1032" i="13176"/>
  <c r="AZ1032" i="13176"/>
  <c r="F1034" i="13176"/>
  <c r="W1034" i="13176"/>
  <c r="AM1034" i="13176"/>
  <c r="BD1034" i="13176"/>
  <c r="BB1037" i="13176"/>
  <c r="S1040" i="13176"/>
  <c r="AI1040" i="13176"/>
  <c r="AZ1040" i="13176"/>
  <c r="F1042" i="13176"/>
  <c r="W1042" i="13176"/>
  <c r="AM1042" i="13176"/>
  <c r="BD1042" i="13176"/>
  <c r="P1043" i="13176"/>
  <c r="AG1043" i="13176"/>
  <c r="AX1043" i="13176"/>
  <c r="H1047" i="13176"/>
  <c r="Y1047" i="13176"/>
  <c r="AO1047" i="13176"/>
  <c r="BC1048" i="13176"/>
  <c r="AL1048" i="13176"/>
  <c r="V1048" i="13176"/>
  <c r="E1048" i="13176"/>
  <c r="BA1048" i="13176"/>
  <c r="AJ1048" i="13176"/>
  <c r="T1048" i="13176"/>
  <c r="C1048" i="13176"/>
  <c r="W1048" i="13176"/>
  <c r="AO1048" i="13176"/>
  <c r="J1053" i="13176"/>
  <c r="AG1053" i="13176"/>
  <c r="AY1054" i="13176"/>
  <c r="AH1054" i="13176"/>
  <c r="Q1054" i="13176"/>
  <c r="AX1054" i="13176"/>
  <c r="AG1054" i="13176"/>
  <c r="P1054" i="13176"/>
  <c r="AW1054" i="13176"/>
  <c r="AF1054" i="13176"/>
  <c r="O1054" i="13176"/>
  <c r="AR1054" i="13176"/>
  <c r="AB1054" i="13176"/>
  <c r="K1054" i="13176"/>
  <c r="AP1054" i="13176"/>
  <c r="Z1054" i="13176"/>
  <c r="I1054" i="13176"/>
  <c r="X1054" i="13176"/>
  <c r="AV1054" i="13176"/>
  <c r="N1056" i="13176"/>
  <c r="AO1056" i="13176"/>
  <c r="K1057" i="13176"/>
  <c r="AR1057" i="13176"/>
  <c r="AG1060" i="13176"/>
  <c r="BC1064" i="13176"/>
  <c r="AX1065" i="13176"/>
  <c r="M1025" i="13176"/>
  <c r="AD1025" i="13176"/>
  <c r="AU1025" i="13176"/>
  <c r="O1030" i="13176"/>
  <c r="AF1030" i="13176"/>
  <c r="AW1030" i="13176"/>
  <c r="C1032" i="13176"/>
  <c r="T1032" i="13176"/>
  <c r="AJ1032" i="13176"/>
  <c r="BA1032" i="13176"/>
  <c r="M1033" i="13176"/>
  <c r="AD1033" i="13176"/>
  <c r="AU1033" i="13176"/>
  <c r="G1034" i="13176"/>
  <c r="X1034" i="13176"/>
  <c r="AN1034" i="13176"/>
  <c r="E1037" i="13176"/>
  <c r="V1037" i="13176"/>
  <c r="AL1037" i="13176"/>
  <c r="BC1037" i="13176"/>
  <c r="O1038" i="13176"/>
  <c r="AF1038" i="13176"/>
  <c r="AW1038" i="13176"/>
  <c r="C1040" i="13176"/>
  <c r="T1040" i="13176"/>
  <c r="AJ1040" i="13176"/>
  <c r="BA1040" i="13176"/>
  <c r="M1041" i="13176"/>
  <c r="AD1041" i="13176"/>
  <c r="AU1041" i="13176"/>
  <c r="G1042" i="13176"/>
  <c r="X1042" i="13176"/>
  <c r="AN1042" i="13176"/>
  <c r="Q1043" i="13176"/>
  <c r="AH1043" i="13176"/>
  <c r="AY1043" i="13176"/>
  <c r="E1045" i="13176"/>
  <c r="V1045" i="13176"/>
  <c r="AL1045" i="13176"/>
  <c r="BC1045" i="13176"/>
  <c r="O1046" i="13176"/>
  <c r="AF1046" i="13176"/>
  <c r="AW1046" i="13176"/>
  <c r="I1047" i="13176"/>
  <c r="Z1047" i="13176"/>
  <c r="AP1047" i="13176"/>
  <c r="D1048" i="13176"/>
  <c r="X1048" i="13176"/>
  <c r="AP1048" i="13176"/>
  <c r="E1049" i="13176"/>
  <c r="X1049" i="13176"/>
  <c r="AP1049" i="13176"/>
  <c r="E1050" i="13176"/>
  <c r="Y1050" i="13176"/>
  <c r="AR1050" i="13176"/>
  <c r="T1052" i="13176"/>
  <c r="AQ1052" i="13176"/>
  <c r="K1053" i="13176"/>
  <c r="AI1053" i="13176"/>
  <c r="C1054" i="13176"/>
  <c r="Y1054" i="13176"/>
  <c r="AZ1054" i="13176"/>
  <c r="P1056" i="13176"/>
  <c r="AP1056" i="13176"/>
  <c r="L1057" i="13176"/>
  <c r="AT1057" i="13176"/>
  <c r="AH1060" i="13176"/>
  <c r="AZ1065" i="13176"/>
  <c r="AA1074" i="13176"/>
  <c r="AC1078" i="13176"/>
  <c r="S1043" i="13176"/>
  <c r="AI1043" i="13176"/>
  <c r="AZ1043" i="13176"/>
  <c r="J1047" i="13176"/>
  <c r="AA1047" i="13176"/>
  <c r="AQ1047" i="13176"/>
  <c r="L1053" i="13176"/>
  <c r="AJ1053" i="13176"/>
  <c r="Q1056" i="13176"/>
  <c r="AQ1056" i="13176"/>
  <c r="P1057" i="13176"/>
  <c r="AX1057" i="13176"/>
  <c r="AI1060" i="13176"/>
  <c r="C1043" i="13176"/>
  <c r="T1043" i="13176"/>
  <c r="AJ1043" i="13176"/>
  <c r="BA1043" i="13176"/>
  <c r="K1047" i="13176"/>
  <c r="AB1047" i="13176"/>
  <c r="AR1047" i="13176"/>
  <c r="M1053" i="13176"/>
  <c r="AK1053" i="13176"/>
  <c r="S1056" i="13176"/>
  <c r="AR1056" i="13176"/>
  <c r="S1057" i="13176"/>
  <c r="AZ1057" i="13176"/>
  <c r="AV1060" i="13176"/>
  <c r="AP1066" i="13176"/>
  <c r="S1030" i="13176"/>
  <c r="AI1030" i="13176"/>
  <c r="AZ1030" i="13176"/>
  <c r="F1032" i="13176"/>
  <c r="W1032" i="13176"/>
  <c r="AM1032" i="13176"/>
  <c r="BD1032" i="13176"/>
  <c r="J1034" i="13176"/>
  <c r="AA1034" i="13176"/>
  <c r="AQ1034" i="13176"/>
  <c r="H1037" i="13176"/>
  <c r="Y1037" i="13176"/>
  <c r="AO1037" i="13176"/>
  <c r="S1038" i="13176"/>
  <c r="AI1038" i="13176"/>
  <c r="AZ1038" i="13176"/>
  <c r="F1040" i="13176"/>
  <c r="W1040" i="13176"/>
  <c r="AM1040" i="13176"/>
  <c r="BD1040" i="13176"/>
  <c r="J1042" i="13176"/>
  <c r="AA1042" i="13176"/>
  <c r="AQ1042" i="13176"/>
  <c r="D1043" i="13176"/>
  <c r="U1043" i="13176"/>
  <c r="AK1043" i="13176"/>
  <c r="BB1043" i="13176"/>
  <c r="H1045" i="13176"/>
  <c r="Y1045" i="13176"/>
  <c r="AO1045" i="13176"/>
  <c r="S1046" i="13176"/>
  <c r="AI1046" i="13176"/>
  <c r="AZ1046" i="13176"/>
  <c r="L1047" i="13176"/>
  <c r="AC1047" i="13176"/>
  <c r="AT1047" i="13176"/>
  <c r="H1048" i="13176"/>
  <c r="AA1048" i="13176"/>
  <c r="AT1048" i="13176"/>
  <c r="H1049" i="13176"/>
  <c r="AA1049" i="13176"/>
  <c r="AT1049" i="13176"/>
  <c r="J1050" i="13176"/>
  <c r="AC1050" i="13176"/>
  <c r="AV1050" i="13176"/>
  <c r="Y1052" i="13176"/>
  <c r="N1053" i="13176"/>
  <c r="AO1053" i="13176"/>
  <c r="F1054" i="13176"/>
  <c r="AD1054" i="13176"/>
  <c r="BC1054" i="13176"/>
  <c r="W1056" i="13176"/>
  <c r="AV1056" i="13176"/>
  <c r="T1057" i="13176"/>
  <c r="BA1057" i="13176"/>
  <c r="BA1059" i="13176"/>
  <c r="AX1060" i="13176"/>
  <c r="BB1089" i="13176"/>
  <c r="Q1025" i="13176"/>
  <c r="AH1025" i="13176"/>
  <c r="AY1025" i="13176"/>
  <c r="C1030" i="13176"/>
  <c r="T1030" i="13176"/>
  <c r="AJ1030" i="13176"/>
  <c r="BA1030" i="13176"/>
  <c r="G1032" i="13176"/>
  <c r="X1032" i="13176"/>
  <c r="AN1032" i="13176"/>
  <c r="Q1033" i="13176"/>
  <c r="AH1033" i="13176"/>
  <c r="AY1033" i="13176"/>
  <c r="K1034" i="13176"/>
  <c r="AB1034" i="13176"/>
  <c r="AR1034" i="13176"/>
  <c r="I1037" i="13176"/>
  <c r="Z1037" i="13176"/>
  <c r="AP1037" i="13176"/>
  <c r="C1038" i="13176"/>
  <c r="T1038" i="13176"/>
  <c r="AJ1038" i="13176"/>
  <c r="BA1038" i="13176"/>
  <c r="G1040" i="13176"/>
  <c r="X1040" i="13176"/>
  <c r="AN1040" i="13176"/>
  <c r="Q1041" i="13176"/>
  <c r="AH1041" i="13176"/>
  <c r="AY1041" i="13176"/>
  <c r="K1042" i="13176"/>
  <c r="AB1042" i="13176"/>
  <c r="AR1042" i="13176"/>
  <c r="E1043" i="13176"/>
  <c r="V1043" i="13176"/>
  <c r="AL1043" i="13176"/>
  <c r="BC1043" i="13176"/>
  <c r="I1045" i="13176"/>
  <c r="Z1045" i="13176"/>
  <c r="AP1045" i="13176"/>
  <c r="C1046" i="13176"/>
  <c r="T1046" i="13176"/>
  <c r="AJ1046" i="13176"/>
  <c r="BA1046" i="13176"/>
  <c r="M1047" i="13176"/>
  <c r="AD1047" i="13176"/>
  <c r="AU1047" i="13176"/>
  <c r="I1048" i="13176"/>
  <c r="AB1048" i="13176"/>
  <c r="AU1048" i="13176"/>
  <c r="I1049" i="13176"/>
  <c r="AB1049" i="13176"/>
  <c r="AV1049" i="13176"/>
  <c r="K1050" i="13176"/>
  <c r="AD1050" i="13176"/>
  <c r="AW1050" i="13176"/>
  <c r="AU1052" i="13176"/>
  <c r="AD1052" i="13176"/>
  <c r="M1052" i="13176"/>
  <c r="AT1052" i="13176"/>
  <c r="AC1052" i="13176"/>
  <c r="L1052" i="13176"/>
  <c r="AR1052" i="13176"/>
  <c r="AB1052" i="13176"/>
  <c r="K1052" i="13176"/>
  <c r="AN1052" i="13176"/>
  <c r="X1052" i="13176"/>
  <c r="G1052" i="13176"/>
  <c r="BC1052" i="13176"/>
  <c r="AL1052" i="13176"/>
  <c r="V1052" i="13176"/>
  <c r="E1052" i="13176"/>
  <c r="Z1052" i="13176"/>
  <c r="AY1052" i="13176"/>
  <c r="P1053" i="13176"/>
  <c r="AP1053" i="13176"/>
  <c r="G1054" i="13176"/>
  <c r="AE1054" i="13176"/>
  <c r="BD1054" i="13176"/>
  <c r="X1056" i="13176"/>
  <c r="AX1056" i="13176"/>
  <c r="U1057" i="13176"/>
  <c r="BB1057" i="13176"/>
  <c r="AY1060" i="13176"/>
  <c r="AR1063" i="13176"/>
  <c r="AU1068" i="13176"/>
  <c r="AY1070" i="13176"/>
  <c r="AH1070" i="13176"/>
  <c r="Q1070" i="13176"/>
  <c r="AX1070" i="13176"/>
  <c r="AG1070" i="13176"/>
  <c r="P1070" i="13176"/>
  <c r="AW1070" i="13176"/>
  <c r="AF1070" i="13176"/>
  <c r="O1070" i="13176"/>
  <c r="AV1070" i="13176"/>
  <c r="AE1070" i="13176"/>
  <c r="N1070" i="13176"/>
  <c r="AU1070" i="13176"/>
  <c r="AD1070" i="13176"/>
  <c r="M1070" i="13176"/>
  <c r="AT1070" i="13176"/>
  <c r="AC1070" i="13176"/>
  <c r="L1070" i="13176"/>
  <c r="AR1070" i="13176"/>
  <c r="AB1070" i="13176"/>
  <c r="K1070" i="13176"/>
  <c r="AQ1070" i="13176"/>
  <c r="AA1070" i="13176"/>
  <c r="J1070" i="13176"/>
  <c r="AP1070" i="13176"/>
  <c r="Z1070" i="13176"/>
  <c r="I1070" i="13176"/>
  <c r="AO1070" i="13176"/>
  <c r="Y1070" i="13176"/>
  <c r="H1070" i="13176"/>
  <c r="AN1070" i="13176"/>
  <c r="X1070" i="13176"/>
  <c r="G1070" i="13176"/>
  <c r="BD1070" i="13176"/>
  <c r="AM1070" i="13176"/>
  <c r="W1070" i="13176"/>
  <c r="F1070" i="13176"/>
  <c r="BC1070" i="13176"/>
  <c r="AL1070" i="13176"/>
  <c r="V1070" i="13176"/>
  <c r="E1070" i="13176"/>
  <c r="BA1070" i="13176"/>
  <c r="AJ1070" i="13176"/>
  <c r="T1070" i="13176"/>
  <c r="C1070" i="13176"/>
  <c r="AC1075" i="13176"/>
  <c r="AC1079" i="13176"/>
  <c r="S1025" i="13176"/>
  <c r="AI1025" i="13176"/>
  <c r="AZ1025" i="13176"/>
  <c r="D1030" i="13176"/>
  <c r="U1030" i="13176"/>
  <c r="AK1030" i="13176"/>
  <c r="BB1030" i="13176"/>
  <c r="H1032" i="13176"/>
  <c r="Y1032" i="13176"/>
  <c r="AO1032" i="13176"/>
  <c r="S1033" i="13176"/>
  <c r="AI1033" i="13176"/>
  <c r="AZ1033" i="13176"/>
  <c r="L1034" i="13176"/>
  <c r="AC1034" i="13176"/>
  <c r="AT1034" i="13176"/>
  <c r="J1037" i="13176"/>
  <c r="AA1037" i="13176"/>
  <c r="AQ1037" i="13176"/>
  <c r="D1038" i="13176"/>
  <c r="U1038" i="13176"/>
  <c r="AK1038" i="13176"/>
  <c r="BB1038" i="13176"/>
  <c r="H1040" i="13176"/>
  <c r="Y1040" i="13176"/>
  <c r="AO1040" i="13176"/>
  <c r="S1041" i="13176"/>
  <c r="AI1041" i="13176"/>
  <c r="AZ1041" i="13176"/>
  <c r="L1042" i="13176"/>
  <c r="AC1042" i="13176"/>
  <c r="AT1042" i="13176"/>
  <c r="F1043" i="13176"/>
  <c r="W1043" i="13176"/>
  <c r="AM1043" i="13176"/>
  <c r="BD1043" i="13176"/>
  <c r="J1045" i="13176"/>
  <c r="AA1045" i="13176"/>
  <c r="AQ1045" i="13176"/>
  <c r="D1046" i="13176"/>
  <c r="U1046" i="13176"/>
  <c r="AK1046" i="13176"/>
  <c r="BB1046" i="13176"/>
  <c r="N1047" i="13176"/>
  <c r="AE1047" i="13176"/>
  <c r="AV1047" i="13176"/>
  <c r="J1048" i="13176"/>
  <c r="AC1048" i="13176"/>
  <c r="AV1048" i="13176"/>
  <c r="J1049" i="13176"/>
  <c r="AC1049" i="13176"/>
  <c r="AX1049" i="13176"/>
  <c r="L1050" i="13176"/>
  <c r="AE1050" i="13176"/>
  <c r="AX1050" i="13176"/>
  <c r="C1052" i="13176"/>
  <c r="AA1052" i="13176"/>
  <c r="AZ1052" i="13176"/>
  <c r="S1053" i="13176"/>
  <c r="AQ1053" i="13176"/>
  <c r="H1054" i="13176"/>
  <c r="AI1054" i="13176"/>
  <c r="Y1056" i="13176"/>
  <c r="AY1056" i="13176"/>
  <c r="Y1057" i="13176"/>
  <c r="AZ1060" i="13176"/>
  <c r="AY1062" i="13176"/>
  <c r="AH1062" i="13176"/>
  <c r="Q1062" i="13176"/>
  <c r="AX1062" i="13176"/>
  <c r="AG1062" i="13176"/>
  <c r="P1062" i="13176"/>
  <c r="AW1062" i="13176"/>
  <c r="AF1062" i="13176"/>
  <c r="O1062" i="13176"/>
  <c r="AV1062" i="13176"/>
  <c r="AE1062" i="13176"/>
  <c r="N1062" i="13176"/>
  <c r="AU1062" i="13176"/>
  <c r="AD1062" i="13176"/>
  <c r="M1062" i="13176"/>
  <c r="AT1062" i="13176"/>
  <c r="AC1062" i="13176"/>
  <c r="L1062" i="13176"/>
  <c r="AR1062" i="13176"/>
  <c r="AB1062" i="13176"/>
  <c r="K1062" i="13176"/>
  <c r="AQ1062" i="13176"/>
  <c r="AA1062" i="13176"/>
  <c r="J1062" i="13176"/>
  <c r="AP1062" i="13176"/>
  <c r="Z1062" i="13176"/>
  <c r="I1062" i="13176"/>
  <c r="AO1062" i="13176"/>
  <c r="Y1062" i="13176"/>
  <c r="H1062" i="13176"/>
  <c r="AN1062" i="13176"/>
  <c r="X1062" i="13176"/>
  <c r="G1062" i="13176"/>
  <c r="BD1062" i="13176"/>
  <c r="AM1062" i="13176"/>
  <c r="BA1062" i="13176"/>
  <c r="AJ1062" i="13176"/>
  <c r="T1062" i="13176"/>
  <c r="C1062" i="13176"/>
  <c r="D1070" i="13176"/>
  <c r="AD1103" i="13176"/>
  <c r="C1025" i="13176"/>
  <c r="T1025" i="13176"/>
  <c r="AJ1025" i="13176"/>
  <c r="E1030" i="13176"/>
  <c r="V1030" i="13176"/>
  <c r="AL1030" i="13176"/>
  <c r="I1032" i="13176"/>
  <c r="Z1032" i="13176"/>
  <c r="C1033" i="13176"/>
  <c r="T1033" i="13176"/>
  <c r="AJ1033" i="13176"/>
  <c r="M1034" i="13176"/>
  <c r="AD1034" i="13176"/>
  <c r="K1037" i="13176"/>
  <c r="AB1037" i="13176"/>
  <c r="E1038" i="13176"/>
  <c r="V1038" i="13176"/>
  <c r="AL1038" i="13176"/>
  <c r="I1040" i="13176"/>
  <c r="Z1040" i="13176"/>
  <c r="C1041" i="13176"/>
  <c r="T1041" i="13176"/>
  <c r="AJ1041" i="13176"/>
  <c r="M1042" i="13176"/>
  <c r="AD1042" i="13176"/>
  <c r="G1043" i="13176"/>
  <c r="X1043" i="13176"/>
  <c r="K1045" i="13176"/>
  <c r="AB1045" i="13176"/>
  <c r="E1046" i="13176"/>
  <c r="V1046" i="13176"/>
  <c r="AL1046" i="13176"/>
  <c r="O1047" i="13176"/>
  <c r="AF1047" i="13176"/>
  <c r="K1048" i="13176"/>
  <c r="AD1048" i="13176"/>
  <c r="AW1048" i="13176"/>
  <c r="K1049" i="13176"/>
  <c r="AE1049" i="13176"/>
  <c r="AY1049" i="13176"/>
  <c r="M1050" i="13176"/>
  <c r="AF1050" i="13176"/>
  <c r="AY1050" i="13176"/>
  <c r="D1052" i="13176"/>
  <c r="AE1052" i="13176"/>
  <c r="BA1052" i="13176"/>
  <c r="T1053" i="13176"/>
  <c r="AR1053" i="13176"/>
  <c r="J1054" i="13176"/>
  <c r="AJ1054" i="13176"/>
  <c r="AR1055" i="13176"/>
  <c r="Z1056" i="13176"/>
  <c r="AZ1056" i="13176"/>
  <c r="AA1057" i="13176"/>
  <c r="AP1058" i="13176"/>
  <c r="Z1058" i="13176"/>
  <c r="I1058" i="13176"/>
  <c r="AO1058" i="13176"/>
  <c r="Y1058" i="13176"/>
  <c r="H1058" i="13176"/>
  <c r="AN1058" i="13176"/>
  <c r="X1058" i="13176"/>
  <c r="G1058" i="13176"/>
  <c r="BA1058" i="13176"/>
  <c r="AJ1058" i="13176"/>
  <c r="T1058" i="13176"/>
  <c r="C1058" i="13176"/>
  <c r="AY1058" i="13176"/>
  <c r="AH1058" i="13176"/>
  <c r="Q1058" i="13176"/>
  <c r="AX1058" i="13176"/>
  <c r="AG1058" i="13176"/>
  <c r="P1058" i="13176"/>
  <c r="AW1058" i="13176"/>
  <c r="AF1058" i="13176"/>
  <c r="O1058" i="13176"/>
  <c r="AR1058" i="13176"/>
  <c r="AB1058" i="13176"/>
  <c r="K1058" i="13176"/>
  <c r="AI1058" i="13176"/>
  <c r="D1062" i="13176"/>
  <c r="S1070" i="13176"/>
  <c r="I1061" i="13176"/>
  <c r="Z1061" i="13176"/>
  <c r="AP1061" i="13176"/>
  <c r="G1064" i="13176"/>
  <c r="X1064" i="13176"/>
  <c r="AN1064" i="13176"/>
  <c r="K1066" i="13176"/>
  <c r="AB1066" i="13176"/>
  <c r="AR1066" i="13176"/>
  <c r="O1068" i="13176"/>
  <c r="AF1068" i="13176"/>
  <c r="AW1068" i="13176"/>
  <c r="I1069" i="13176"/>
  <c r="Z1069" i="13176"/>
  <c r="AP1069" i="13176"/>
  <c r="AV1082" i="13176"/>
  <c r="AE1082" i="13176"/>
  <c r="N1082" i="13176"/>
  <c r="AU1082" i="13176"/>
  <c r="AD1082" i="13176"/>
  <c r="M1082" i="13176"/>
  <c r="AT1082" i="13176"/>
  <c r="AC1082" i="13176"/>
  <c r="L1082" i="13176"/>
  <c r="AR1082" i="13176"/>
  <c r="AB1082" i="13176"/>
  <c r="K1082" i="13176"/>
  <c r="AO1082" i="13176"/>
  <c r="Y1082" i="13176"/>
  <c r="H1082" i="13176"/>
  <c r="AN1082" i="13176"/>
  <c r="X1082" i="13176"/>
  <c r="G1082" i="13176"/>
  <c r="BD1082" i="13176"/>
  <c r="AM1082" i="13176"/>
  <c r="W1082" i="13176"/>
  <c r="F1082" i="13176"/>
  <c r="BC1082" i="13176"/>
  <c r="AL1082" i="13176"/>
  <c r="V1082" i="13176"/>
  <c r="E1082" i="13176"/>
  <c r="BA1082" i="13176"/>
  <c r="AX1082" i="13176"/>
  <c r="AG1082" i="13176"/>
  <c r="P1082" i="13176"/>
  <c r="AK1082" i="13176"/>
  <c r="AZ1110" i="13176"/>
  <c r="AV1090" i="13176"/>
  <c r="AX1079" i="13176"/>
  <c r="AG1079" i="13176"/>
  <c r="P1079" i="13176"/>
  <c r="AW1079" i="13176"/>
  <c r="AF1079" i="13176"/>
  <c r="O1079" i="13176"/>
  <c r="AV1079" i="13176"/>
  <c r="AE1079" i="13176"/>
  <c r="N1079" i="13176"/>
  <c r="AU1079" i="13176"/>
  <c r="AD1079" i="13176"/>
  <c r="M1079" i="13176"/>
  <c r="AQ1079" i="13176"/>
  <c r="AA1079" i="13176"/>
  <c r="J1079" i="13176"/>
  <c r="AP1079" i="13176"/>
  <c r="Z1079" i="13176"/>
  <c r="I1079" i="13176"/>
  <c r="AO1079" i="13176"/>
  <c r="Y1079" i="13176"/>
  <c r="H1079" i="13176"/>
  <c r="AN1079" i="13176"/>
  <c r="X1079" i="13176"/>
  <c r="G1079" i="13176"/>
  <c r="AZ1079" i="13176"/>
  <c r="AI1079" i="13176"/>
  <c r="D1082" i="13176"/>
  <c r="AQ1082" i="13176"/>
  <c r="AV1101" i="13176"/>
  <c r="S1068" i="13176"/>
  <c r="AI1068" i="13176"/>
  <c r="AZ1068" i="13176"/>
  <c r="L1069" i="13176"/>
  <c r="AC1069" i="13176"/>
  <c r="AT1069" i="13176"/>
  <c r="S1074" i="13176"/>
  <c r="AX1074" i="13176"/>
  <c r="Z1078" i="13176"/>
  <c r="C1079" i="13176"/>
  <c r="AJ1079" i="13176"/>
  <c r="I1082" i="13176"/>
  <c r="AW1082" i="13176"/>
  <c r="M1061" i="13176"/>
  <c r="AD1061" i="13176"/>
  <c r="AU1061" i="13176"/>
  <c r="K1064" i="13176"/>
  <c r="AB1064" i="13176"/>
  <c r="AR1064" i="13176"/>
  <c r="O1066" i="13176"/>
  <c r="AF1066" i="13176"/>
  <c r="AW1066" i="13176"/>
  <c r="C1068" i="13176"/>
  <c r="T1068" i="13176"/>
  <c r="AJ1068" i="13176"/>
  <c r="BA1068" i="13176"/>
  <c r="M1069" i="13176"/>
  <c r="AD1069" i="13176"/>
  <c r="AU1069" i="13176"/>
  <c r="AY1074" i="13176"/>
  <c r="AA1078" i="13176"/>
  <c r="D1079" i="13176"/>
  <c r="AK1079" i="13176"/>
  <c r="J1082" i="13176"/>
  <c r="AY1082" i="13176"/>
  <c r="AY1111" i="13176"/>
  <c r="AH1111" i="13176"/>
  <c r="Q1111" i="13176"/>
  <c r="AX1111" i="13176"/>
  <c r="AG1111" i="13176"/>
  <c r="P1111" i="13176"/>
  <c r="AW1111" i="13176"/>
  <c r="AF1111" i="13176"/>
  <c r="O1111" i="13176"/>
  <c r="AV1111" i="13176"/>
  <c r="AE1111" i="13176"/>
  <c r="N1111" i="13176"/>
  <c r="AU1111" i="13176"/>
  <c r="AD1111" i="13176"/>
  <c r="AR1111" i="13176"/>
  <c r="AB1111" i="13176"/>
  <c r="K1111" i="13176"/>
  <c r="AQ1111" i="13176"/>
  <c r="AA1111" i="13176"/>
  <c r="J1111" i="13176"/>
  <c r="AP1111" i="13176"/>
  <c r="Z1111" i="13176"/>
  <c r="I1111" i="13176"/>
  <c r="AO1111" i="13176"/>
  <c r="Y1111" i="13176"/>
  <c r="H1111" i="13176"/>
  <c r="AN1111" i="13176"/>
  <c r="X1111" i="13176"/>
  <c r="G1111" i="13176"/>
  <c r="BD1111" i="13176"/>
  <c r="AM1111" i="13176"/>
  <c r="W1111" i="13176"/>
  <c r="F1111" i="13176"/>
  <c r="BC1111" i="13176"/>
  <c r="AL1111" i="13176"/>
  <c r="V1111" i="13176"/>
  <c r="BA1111" i="13176"/>
  <c r="AJ1111" i="13176"/>
  <c r="T1111" i="13176"/>
  <c r="C1111" i="13176"/>
  <c r="AT1111" i="13176"/>
  <c r="AK1111" i="13176"/>
  <c r="AI1111" i="13176"/>
  <c r="AC1111" i="13176"/>
  <c r="U1111" i="13176"/>
  <c r="S1111" i="13176"/>
  <c r="M1111" i="13176"/>
  <c r="L1111" i="13176"/>
  <c r="E1111" i="13176"/>
  <c r="D1111" i="13176"/>
  <c r="BB1111" i="13176"/>
  <c r="AZ1117" i="13176"/>
  <c r="S1055" i="13176"/>
  <c r="AI1055" i="13176"/>
  <c r="AZ1055" i="13176"/>
  <c r="N1061" i="13176"/>
  <c r="AE1061" i="13176"/>
  <c r="AV1061" i="13176"/>
  <c r="S1063" i="13176"/>
  <c r="AI1063" i="13176"/>
  <c r="AZ1063" i="13176"/>
  <c r="L1064" i="13176"/>
  <c r="AC1064" i="13176"/>
  <c r="AT1064" i="13176"/>
  <c r="P1066" i="13176"/>
  <c r="AG1066" i="13176"/>
  <c r="AX1066" i="13176"/>
  <c r="D1068" i="13176"/>
  <c r="U1068" i="13176"/>
  <c r="AK1068" i="13176"/>
  <c r="BB1068" i="13176"/>
  <c r="N1069" i="13176"/>
  <c r="AE1069" i="13176"/>
  <c r="AV1069" i="13176"/>
  <c r="AX1071" i="13176"/>
  <c r="AW1071" i="13176"/>
  <c r="S1071" i="13176"/>
  <c r="AI1071" i="13176"/>
  <c r="BB1071" i="13176"/>
  <c r="BB1073" i="13176"/>
  <c r="U1074" i="13176"/>
  <c r="AZ1074" i="13176"/>
  <c r="Z1075" i="13176"/>
  <c r="BA1075" i="13176"/>
  <c r="Y1077" i="13176"/>
  <c r="BD1077" i="13176"/>
  <c r="AB1078" i="13176"/>
  <c r="E1079" i="13176"/>
  <c r="AL1079" i="13176"/>
  <c r="O1082" i="13176"/>
  <c r="AZ1082" i="13176"/>
  <c r="AT1085" i="13176"/>
  <c r="AC1085" i="13176"/>
  <c r="L1085" i="13176"/>
  <c r="AR1085" i="13176"/>
  <c r="AB1085" i="13176"/>
  <c r="K1085" i="13176"/>
  <c r="AQ1085" i="13176"/>
  <c r="AA1085" i="13176"/>
  <c r="J1085" i="13176"/>
  <c r="AP1085" i="13176"/>
  <c r="Z1085" i="13176"/>
  <c r="I1085" i="13176"/>
  <c r="BD1085" i="13176"/>
  <c r="AM1085" i="13176"/>
  <c r="W1085" i="13176"/>
  <c r="F1085" i="13176"/>
  <c r="BC1085" i="13176"/>
  <c r="AL1085" i="13176"/>
  <c r="V1085" i="13176"/>
  <c r="E1085" i="13176"/>
  <c r="BB1085" i="13176"/>
  <c r="AK1085" i="13176"/>
  <c r="U1085" i="13176"/>
  <c r="D1085" i="13176"/>
  <c r="BA1085" i="13176"/>
  <c r="AJ1085" i="13176"/>
  <c r="T1085" i="13176"/>
  <c r="C1085" i="13176"/>
  <c r="AY1085" i="13176"/>
  <c r="AH1085" i="13176"/>
  <c r="Q1085" i="13176"/>
  <c r="AX1085" i="13176"/>
  <c r="AV1085" i="13176"/>
  <c r="AE1085" i="13176"/>
  <c r="N1085" i="13176"/>
  <c r="AW1085" i="13176"/>
  <c r="AT1086" i="13176"/>
  <c r="AZ1111" i="13176"/>
  <c r="AR1051" i="13176"/>
  <c r="C1055" i="13176"/>
  <c r="T1055" i="13176"/>
  <c r="AJ1055" i="13176"/>
  <c r="BA1055" i="13176"/>
  <c r="O1061" i="13176"/>
  <c r="AF1061" i="13176"/>
  <c r="AW1061" i="13176"/>
  <c r="C1063" i="13176"/>
  <c r="T1063" i="13176"/>
  <c r="AJ1063" i="13176"/>
  <c r="BA1063" i="13176"/>
  <c r="M1064" i="13176"/>
  <c r="AD1064" i="13176"/>
  <c r="AU1064" i="13176"/>
  <c r="Q1066" i="13176"/>
  <c r="AH1066" i="13176"/>
  <c r="AY1066" i="13176"/>
  <c r="E1068" i="13176"/>
  <c r="V1068" i="13176"/>
  <c r="AL1068" i="13176"/>
  <c r="BC1068" i="13176"/>
  <c r="O1069" i="13176"/>
  <c r="AF1069" i="13176"/>
  <c r="AW1069" i="13176"/>
  <c r="C1071" i="13176"/>
  <c r="T1071" i="13176"/>
  <c r="AJ1071" i="13176"/>
  <c r="BC1071" i="13176"/>
  <c r="Y1074" i="13176"/>
  <c r="BA1074" i="13176"/>
  <c r="AA1075" i="13176"/>
  <c r="BB1075" i="13176"/>
  <c r="AD1077" i="13176"/>
  <c r="F1079" i="13176"/>
  <c r="AM1079" i="13176"/>
  <c r="Q1082" i="13176"/>
  <c r="BB1082" i="13176"/>
  <c r="G1085" i="13176"/>
  <c r="AZ1085" i="13176"/>
  <c r="AT1093" i="13176"/>
  <c r="AC1093" i="13176"/>
  <c r="L1093" i="13176"/>
  <c r="AR1093" i="13176"/>
  <c r="AB1093" i="13176"/>
  <c r="K1093" i="13176"/>
  <c r="AQ1093" i="13176"/>
  <c r="AA1093" i="13176"/>
  <c r="J1093" i="13176"/>
  <c r="AP1093" i="13176"/>
  <c r="Z1093" i="13176"/>
  <c r="I1093" i="13176"/>
  <c r="AO1093" i="13176"/>
  <c r="Y1093" i="13176"/>
  <c r="H1093" i="13176"/>
  <c r="AN1093" i="13176"/>
  <c r="X1093" i="13176"/>
  <c r="G1093" i="13176"/>
  <c r="BD1093" i="13176"/>
  <c r="AM1093" i="13176"/>
  <c r="W1093" i="13176"/>
  <c r="F1093" i="13176"/>
  <c r="BC1093" i="13176"/>
  <c r="AL1093" i="13176"/>
  <c r="V1093" i="13176"/>
  <c r="E1093" i="13176"/>
  <c r="BB1093" i="13176"/>
  <c r="AK1093" i="13176"/>
  <c r="U1093" i="13176"/>
  <c r="D1093" i="13176"/>
  <c r="BA1093" i="13176"/>
  <c r="AJ1093" i="13176"/>
  <c r="T1093" i="13176"/>
  <c r="C1093" i="13176"/>
  <c r="AY1093" i="13176"/>
  <c r="AH1093" i="13176"/>
  <c r="Q1093" i="13176"/>
  <c r="AX1093" i="13176"/>
  <c r="AG1093" i="13176"/>
  <c r="P1093" i="13176"/>
  <c r="AW1093" i="13176"/>
  <c r="AF1093" i="13176"/>
  <c r="O1093" i="13176"/>
  <c r="AV1093" i="13176"/>
  <c r="AE1093" i="13176"/>
  <c r="N1093" i="13176"/>
  <c r="AL1095" i="13176"/>
  <c r="AP1097" i="13176"/>
  <c r="P1061" i="13176"/>
  <c r="AG1061" i="13176"/>
  <c r="AX1061" i="13176"/>
  <c r="N1064" i="13176"/>
  <c r="AE1064" i="13176"/>
  <c r="AV1064" i="13176"/>
  <c r="S1066" i="13176"/>
  <c r="AI1066" i="13176"/>
  <c r="AZ1066" i="13176"/>
  <c r="F1068" i="13176"/>
  <c r="W1068" i="13176"/>
  <c r="AM1068" i="13176"/>
  <c r="BD1068" i="13176"/>
  <c r="P1069" i="13176"/>
  <c r="AG1069" i="13176"/>
  <c r="AX1069" i="13176"/>
  <c r="BB1074" i="13176"/>
  <c r="BD1078" i="13176"/>
  <c r="AM1078" i="13176"/>
  <c r="W1078" i="13176"/>
  <c r="F1078" i="13176"/>
  <c r="BC1078" i="13176"/>
  <c r="AL1078" i="13176"/>
  <c r="V1078" i="13176"/>
  <c r="E1078" i="13176"/>
  <c r="BB1078" i="13176"/>
  <c r="AK1078" i="13176"/>
  <c r="U1078" i="13176"/>
  <c r="D1078" i="13176"/>
  <c r="BA1078" i="13176"/>
  <c r="AJ1078" i="13176"/>
  <c r="T1078" i="13176"/>
  <c r="C1078" i="13176"/>
  <c r="AX1078" i="13176"/>
  <c r="AG1078" i="13176"/>
  <c r="AW1078" i="13176"/>
  <c r="AF1078" i="13176"/>
  <c r="O1078" i="13176"/>
  <c r="AV1078" i="13176"/>
  <c r="AE1078" i="13176"/>
  <c r="N1078" i="13176"/>
  <c r="AU1078" i="13176"/>
  <c r="AD1078" i="13176"/>
  <c r="M1078" i="13176"/>
  <c r="AH1078" i="13176"/>
  <c r="K1079" i="13176"/>
  <c r="AR1079" i="13176"/>
  <c r="S1082" i="13176"/>
  <c r="M1051" i="13176"/>
  <c r="AD1051" i="13176"/>
  <c r="AU1051" i="13176"/>
  <c r="E1055" i="13176"/>
  <c r="V1055" i="13176"/>
  <c r="AL1055" i="13176"/>
  <c r="BC1055" i="13176"/>
  <c r="AU1059" i="13176"/>
  <c r="Q1061" i="13176"/>
  <c r="AH1061" i="13176"/>
  <c r="AY1061" i="13176"/>
  <c r="E1063" i="13176"/>
  <c r="V1063" i="13176"/>
  <c r="AL1063" i="13176"/>
  <c r="BC1063" i="13176"/>
  <c r="O1064" i="13176"/>
  <c r="AF1064" i="13176"/>
  <c r="AW1064" i="13176"/>
  <c r="C1066" i="13176"/>
  <c r="T1066" i="13176"/>
  <c r="AJ1066" i="13176"/>
  <c r="BA1066" i="13176"/>
  <c r="G1068" i="13176"/>
  <c r="X1068" i="13176"/>
  <c r="AN1068" i="13176"/>
  <c r="Q1069" i="13176"/>
  <c r="AH1069" i="13176"/>
  <c r="AY1069" i="13176"/>
  <c r="E1071" i="13176"/>
  <c r="V1071" i="13176"/>
  <c r="AL1071" i="13176"/>
  <c r="AZ1076" i="13176"/>
  <c r="G1078" i="13176"/>
  <c r="AI1078" i="13176"/>
  <c r="L1079" i="13176"/>
  <c r="AT1079" i="13176"/>
  <c r="BB1081" i="13176"/>
  <c r="T1082" i="13176"/>
  <c r="AO1083" i="13176"/>
  <c r="M1085" i="13176"/>
  <c r="BD1086" i="13176"/>
  <c r="AM1086" i="13176"/>
  <c r="W1086" i="13176"/>
  <c r="F1086" i="13176"/>
  <c r="BC1086" i="13176"/>
  <c r="AL1086" i="13176"/>
  <c r="V1086" i="13176"/>
  <c r="E1086" i="13176"/>
  <c r="BB1086" i="13176"/>
  <c r="AK1086" i="13176"/>
  <c r="U1086" i="13176"/>
  <c r="D1086" i="13176"/>
  <c r="BA1086" i="13176"/>
  <c r="AJ1086" i="13176"/>
  <c r="T1086" i="13176"/>
  <c r="C1086" i="13176"/>
  <c r="AX1086" i="13176"/>
  <c r="AG1086" i="13176"/>
  <c r="P1086" i="13176"/>
  <c r="AW1086" i="13176"/>
  <c r="AF1086" i="13176"/>
  <c r="O1086" i="13176"/>
  <c r="AV1086" i="13176"/>
  <c r="AE1086" i="13176"/>
  <c r="N1086" i="13176"/>
  <c r="AU1086" i="13176"/>
  <c r="AD1086" i="13176"/>
  <c r="M1086" i="13176"/>
  <c r="AR1086" i="13176"/>
  <c r="AB1086" i="13176"/>
  <c r="K1086" i="13176"/>
  <c r="AQ1086" i="13176"/>
  <c r="AA1086" i="13176"/>
  <c r="J1086" i="13176"/>
  <c r="AO1086" i="13176"/>
  <c r="Y1086" i="13176"/>
  <c r="H1086" i="13176"/>
  <c r="S1093" i="13176"/>
  <c r="S1061" i="13176"/>
  <c r="AI1061" i="13176"/>
  <c r="AZ1061" i="13176"/>
  <c r="P1064" i="13176"/>
  <c r="AG1064" i="13176"/>
  <c r="AX1064" i="13176"/>
  <c r="D1066" i="13176"/>
  <c r="U1066" i="13176"/>
  <c r="AK1066" i="13176"/>
  <c r="BB1066" i="13176"/>
  <c r="H1068" i="13176"/>
  <c r="Y1068" i="13176"/>
  <c r="AO1068" i="13176"/>
  <c r="S1069" i="13176"/>
  <c r="AI1069" i="13176"/>
  <c r="AZ1069" i="13176"/>
  <c r="AQ1072" i="13176"/>
  <c r="AV1074" i="13176"/>
  <c r="AE1074" i="13176"/>
  <c r="N1074" i="13176"/>
  <c r="AU1074" i="13176"/>
  <c r="AD1074" i="13176"/>
  <c r="M1074" i="13176"/>
  <c r="AT1074" i="13176"/>
  <c r="AC1074" i="13176"/>
  <c r="L1074" i="13176"/>
  <c r="AR1074" i="13176"/>
  <c r="AB1074" i="13176"/>
  <c r="K1074" i="13176"/>
  <c r="AN1074" i="13176"/>
  <c r="X1074" i="13176"/>
  <c r="G1074" i="13176"/>
  <c r="BD1074" i="13176"/>
  <c r="AM1074" i="13176"/>
  <c r="W1074" i="13176"/>
  <c r="F1074" i="13176"/>
  <c r="BC1074" i="13176"/>
  <c r="AL1074" i="13176"/>
  <c r="V1074" i="13176"/>
  <c r="AF1074" i="13176"/>
  <c r="AO1075" i="13176"/>
  <c r="Y1075" i="13176"/>
  <c r="H1075" i="13176"/>
  <c r="AN1075" i="13176"/>
  <c r="X1075" i="13176"/>
  <c r="G1075" i="13176"/>
  <c r="BD1075" i="13176"/>
  <c r="AM1075" i="13176"/>
  <c r="W1075" i="13176"/>
  <c r="F1075" i="13176"/>
  <c r="BC1075" i="13176"/>
  <c r="AL1075" i="13176"/>
  <c r="V1075" i="13176"/>
  <c r="E1075" i="13176"/>
  <c r="AY1075" i="13176"/>
  <c r="AH1075" i="13176"/>
  <c r="Q1075" i="13176"/>
  <c r="AX1075" i="13176"/>
  <c r="AG1075" i="13176"/>
  <c r="P1075" i="13176"/>
  <c r="AW1075" i="13176"/>
  <c r="AF1075" i="13176"/>
  <c r="O1075" i="13176"/>
  <c r="AD1075" i="13176"/>
  <c r="AT1077" i="13176"/>
  <c r="AC1077" i="13176"/>
  <c r="L1077" i="13176"/>
  <c r="AR1077" i="13176"/>
  <c r="AB1077" i="13176"/>
  <c r="K1077" i="13176"/>
  <c r="AQ1077" i="13176"/>
  <c r="AA1077" i="13176"/>
  <c r="J1077" i="13176"/>
  <c r="AP1077" i="13176"/>
  <c r="Z1077" i="13176"/>
  <c r="I1077" i="13176"/>
  <c r="BC1077" i="13176"/>
  <c r="AL1077" i="13176"/>
  <c r="V1077" i="13176"/>
  <c r="E1077" i="13176"/>
  <c r="BB1077" i="13176"/>
  <c r="AK1077" i="13176"/>
  <c r="U1077" i="13176"/>
  <c r="D1077" i="13176"/>
  <c r="BA1077" i="13176"/>
  <c r="AJ1077" i="13176"/>
  <c r="T1077" i="13176"/>
  <c r="C1077" i="13176"/>
  <c r="AG1077" i="13176"/>
  <c r="H1078" i="13176"/>
  <c r="AN1078" i="13176"/>
  <c r="Q1079" i="13176"/>
  <c r="AY1079" i="13176"/>
  <c r="U1082" i="13176"/>
  <c r="O1085" i="13176"/>
  <c r="G1086" i="13176"/>
  <c r="AX1087" i="13176"/>
  <c r="AD1093" i="13176"/>
  <c r="BA1102" i="13176"/>
  <c r="T1061" i="13176"/>
  <c r="AJ1061" i="13176"/>
  <c r="BA1061" i="13176"/>
  <c r="Q1064" i="13176"/>
  <c r="AH1064" i="13176"/>
  <c r="AY1064" i="13176"/>
  <c r="E1066" i="13176"/>
  <c r="V1066" i="13176"/>
  <c r="AL1066" i="13176"/>
  <c r="BC1066" i="13176"/>
  <c r="I1068" i="13176"/>
  <c r="Z1068" i="13176"/>
  <c r="AP1068" i="13176"/>
  <c r="C1069" i="13176"/>
  <c r="T1069" i="13176"/>
  <c r="AJ1069" i="13176"/>
  <c r="BA1069" i="13176"/>
  <c r="S1079" i="13176"/>
  <c r="BA1079" i="13176"/>
  <c r="Z1082" i="13176"/>
  <c r="U1061" i="13176"/>
  <c r="AK1061" i="13176"/>
  <c r="BB1061" i="13176"/>
  <c r="S1064" i="13176"/>
  <c r="AI1064" i="13176"/>
  <c r="AZ1064" i="13176"/>
  <c r="F1066" i="13176"/>
  <c r="W1066" i="13176"/>
  <c r="AM1066" i="13176"/>
  <c r="BD1066" i="13176"/>
  <c r="J1068" i="13176"/>
  <c r="AA1068" i="13176"/>
  <c r="AQ1068" i="13176"/>
  <c r="D1069" i="13176"/>
  <c r="U1069" i="13176"/>
  <c r="AK1069" i="13176"/>
  <c r="BB1069" i="13176"/>
  <c r="D1074" i="13176"/>
  <c r="AH1074" i="13176"/>
  <c r="J1078" i="13176"/>
  <c r="AP1078" i="13176"/>
  <c r="T1079" i="13176"/>
  <c r="BB1079" i="13176"/>
  <c r="AA1082" i="13176"/>
  <c r="AZ1092" i="13176"/>
  <c r="Q1051" i="13176"/>
  <c r="AH1051" i="13176"/>
  <c r="AY1051" i="13176"/>
  <c r="I1055" i="13176"/>
  <c r="Z1055" i="13176"/>
  <c r="AP1055" i="13176"/>
  <c r="Q1059" i="13176"/>
  <c r="AH1059" i="13176"/>
  <c r="AY1059" i="13176"/>
  <c r="E1061" i="13176"/>
  <c r="V1061" i="13176"/>
  <c r="AL1061" i="13176"/>
  <c r="BC1061" i="13176"/>
  <c r="I1063" i="13176"/>
  <c r="Z1063" i="13176"/>
  <c r="AP1063" i="13176"/>
  <c r="C1064" i="13176"/>
  <c r="T1064" i="13176"/>
  <c r="AJ1064" i="13176"/>
  <c r="BA1064" i="13176"/>
  <c r="G1066" i="13176"/>
  <c r="X1066" i="13176"/>
  <c r="AN1066" i="13176"/>
  <c r="Q1067" i="13176"/>
  <c r="AH1067" i="13176"/>
  <c r="AY1067" i="13176"/>
  <c r="K1068" i="13176"/>
  <c r="AB1068" i="13176"/>
  <c r="AR1068" i="13176"/>
  <c r="E1069" i="13176"/>
  <c r="V1069" i="13176"/>
  <c r="AL1069" i="13176"/>
  <c r="BC1069" i="13176"/>
  <c r="I1071" i="13176"/>
  <c r="Z1071" i="13176"/>
  <c r="AP1071" i="13176"/>
  <c r="E1074" i="13176"/>
  <c r="AI1074" i="13176"/>
  <c r="I1075" i="13176"/>
  <c r="AJ1075" i="13176"/>
  <c r="H1077" i="13176"/>
  <c r="AM1077" i="13176"/>
  <c r="K1078" i="13176"/>
  <c r="AQ1078" i="13176"/>
  <c r="U1079" i="13176"/>
  <c r="BC1079" i="13176"/>
  <c r="AF1082" i="13176"/>
  <c r="X1085" i="13176"/>
  <c r="Q1086" i="13176"/>
  <c r="AQ1088" i="13176"/>
  <c r="AZ1093" i="13176"/>
  <c r="S1051" i="13176"/>
  <c r="AI1051" i="13176"/>
  <c r="AZ1051" i="13176"/>
  <c r="J1055" i="13176"/>
  <c r="AA1055" i="13176"/>
  <c r="AQ1055" i="13176"/>
  <c r="S1059" i="13176"/>
  <c r="AI1059" i="13176"/>
  <c r="AZ1059" i="13176"/>
  <c r="F1061" i="13176"/>
  <c r="W1061" i="13176"/>
  <c r="AM1061" i="13176"/>
  <c r="BD1061" i="13176"/>
  <c r="J1063" i="13176"/>
  <c r="AA1063" i="13176"/>
  <c r="AQ1063" i="13176"/>
  <c r="D1064" i="13176"/>
  <c r="U1064" i="13176"/>
  <c r="AK1064" i="13176"/>
  <c r="BB1064" i="13176"/>
  <c r="H1066" i="13176"/>
  <c r="Y1066" i="13176"/>
  <c r="AO1066" i="13176"/>
  <c r="S1067" i="13176"/>
  <c r="AI1067" i="13176"/>
  <c r="AZ1067" i="13176"/>
  <c r="L1068" i="13176"/>
  <c r="AC1068" i="13176"/>
  <c r="AT1068" i="13176"/>
  <c r="F1069" i="13176"/>
  <c r="W1069" i="13176"/>
  <c r="AM1069" i="13176"/>
  <c r="BD1069" i="13176"/>
  <c r="J1071" i="13176"/>
  <c r="AA1071" i="13176"/>
  <c r="AQ1071" i="13176"/>
  <c r="H1074" i="13176"/>
  <c r="AJ1074" i="13176"/>
  <c r="J1075" i="13176"/>
  <c r="AK1075" i="13176"/>
  <c r="M1077" i="13176"/>
  <c r="AN1077" i="13176"/>
  <c r="L1078" i="13176"/>
  <c r="AR1078" i="13176"/>
  <c r="V1079" i="13176"/>
  <c r="BD1079" i="13176"/>
  <c r="AH1082" i="13176"/>
  <c r="Y1085" i="13176"/>
  <c r="S1086" i="13176"/>
  <c r="AW1098" i="13176"/>
  <c r="AF1098" i="13176"/>
  <c r="O1098" i="13176"/>
  <c r="AV1098" i="13176"/>
  <c r="AE1098" i="13176"/>
  <c r="N1098" i="13176"/>
  <c r="AU1098" i="13176"/>
  <c r="AD1098" i="13176"/>
  <c r="M1098" i="13176"/>
  <c r="AO1098" i="13176"/>
  <c r="Y1098" i="13176"/>
  <c r="H1098" i="13176"/>
  <c r="AK1098" i="13176"/>
  <c r="P1098" i="13176"/>
  <c r="AJ1098" i="13176"/>
  <c r="L1098" i="13176"/>
  <c r="BD1098" i="13176"/>
  <c r="AI1098" i="13176"/>
  <c r="K1098" i="13176"/>
  <c r="BC1098" i="13176"/>
  <c r="AH1098" i="13176"/>
  <c r="J1098" i="13176"/>
  <c r="BB1098" i="13176"/>
  <c r="AG1098" i="13176"/>
  <c r="I1098" i="13176"/>
  <c r="BA1098" i="13176"/>
  <c r="AC1098" i="13176"/>
  <c r="G1098" i="13176"/>
  <c r="AZ1098" i="13176"/>
  <c r="AB1098" i="13176"/>
  <c r="F1098" i="13176"/>
  <c r="AY1098" i="13176"/>
  <c r="AA1098" i="13176"/>
  <c r="E1098" i="13176"/>
  <c r="AX1098" i="13176"/>
  <c r="Z1098" i="13176"/>
  <c r="D1098" i="13176"/>
  <c r="AT1098" i="13176"/>
  <c r="X1098" i="13176"/>
  <c r="C1098" i="13176"/>
  <c r="AQ1098" i="13176"/>
  <c r="V1098" i="13176"/>
  <c r="AP1098" i="13176"/>
  <c r="U1098" i="13176"/>
  <c r="AN1098" i="13176"/>
  <c r="T1098" i="13176"/>
  <c r="AM1098" i="13176"/>
  <c r="S1098" i="13176"/>
  <c r="AW1114" i="13176"/>
  <c r="C1051" i="13176"/>
  <c r="T1051" i="13176"/>
  <c r="AJ1051" i="13176"/>
  <c r="K1055" i="13176"/>
  <c r="AB1055" i="13176"/>
  <c r="C1059" i="13176"/>
  <c r="T1059" i="13176"/>
  <c r="AJ1059" i="13176"/>
  <c r="G1061" i="13176"/>
  <c r="X1061" i="13176"/>
  <c r="K1063" i="13176"/>
  <c r="AB1063" i="13176"/>
  <c r="E1064" i="13176"/>
  <c r="V1064" i="13176"/>
  <c r="AL1064" i="13176"/>
  <c r="I1066" i="13176"/>
  <c r="Z1066" i="13176"/>
  <c r="C1067" i="13176"/>
  <c r="T1067" i="13176"/>
  <c r="AJ1067" i="13176"/>
  <c r="M1068" i="13176"/>
  <c r="AD1068" i="13176"/>
  <c r="G1069" i="13176"/>
  <c r="X1069" i="13176"/>
  <c r="K1071" i="13176"/>
  <c r="AB1071" i="13176"/>
  <c r="AR1071" i="13176"/>
  <c r="I1074" i="13176"/>
  <c r="AK1074" i="13176"/>
  <c r="K1075" i="13176"/>
  <c r="AP1075" i="13176"/>
  <c r="N1077" i="13176"/>
  <c r="AO1077" i="13176"/>
  <c r="P1078" i="13176"/>
  <c r="AT1078" i="13176"/>
  <c r="W1079" i="13176"/>
  <c r="AI1082" i="13176"/>
  <c r="AZ1084" i="13176"/>
  <c r="AD1085" i="13176"/>
  <c r="X1086" i="13176"/>
  <c r="AZ1094" i="13176"/>
  <c r="AO1096" i="13176"/>
  <c r="Q1098" i="13176"/>
  <c r="AQ1106" i="13176"/>
  <c r="S1087" i="13176"/>
  <c r="AI1087" i="13176"/>
  <c r="AZ1087" i="13176"/>
  <c r="P1090" i="13176"/>
  <c r="AG1090" i="13176"/>
  <c r="AX1090" i="13176"/>
  <c r="H1094" i="13176"/>
  <c r="Y1094" i="13176"/>
  <c r="AQ1094" i="13176"/>
  <c r="K1097" i="13176"/>
  <c r="AF1097" i="13176"/>
  <c r="AZ1097" i="13176"/>
  <c r="V1101" i="13176"/>
  <c r="L1102" i="13176"/>
  <c r="AJ1102" i="13176"/>
  <c r="L1103" i="13176"/>
  <c r="AT1103" i="13176"/>
  <c r="AK1106" i="13176"/>
  <c r="AR1110" i="13176"/>
  <c r="AX1123" i="13176"/>
  <c r="I1094" i="13176"/>
  <c r="Z1094" i="13176"/>
  <c r="AR1094" i="13176"/>
  <c r="L1097" i="13176"/>
  <c r="AG1097" i="13176"/>
  <c r="BB1097" i="13176"/>
  <c r="AU1101" i="13176"/>
  <c r="AD1101" i="13176"/>
  <c r="M1101" i="13176"/>
  <c r="AT1101" i="13176"/>
  <c r="AC1101" i="13176"/>
  <c r="L1101" i="13176"/>
  <c r="AR1101" i="13176"/>
  <c r="AB1101" i="13176"/>
  <c r="K1101" i="13176"/>
  <c r="AN1101" i="13176"/>
  <c r="BD1101" i="13176"/>
  <c r="AM1101" i="13176"/>
  <c r="W1101" i="13176"/>
  <c r="F1101" i="13176"/>
  <c r="X1101" i="13176"/>
  <c r="AW1101" i="13176"/>
  <c r="M1102" i="13176"/>
  <c r="AO1102" i="13176"/>
  <c r="M1103" i="13176"/>
  <c r="AU1103" i="13176"/>
  <c r="AU1109" i="13176"/>
  <c r="S1090" i="13176"/>
  <c r="AI1090" i="13176"/>
  <c r="AZ1090" i="13176"/>
  <c r="J1094" i="13176"/>
  <c r="AA1094" i="13176"/>
  <c r="AT1094" i="13176"/>
  <c r="M1097" i="13176"/>
  <c r="AH1097" i="13176"/>
  <c r="BD1097" i="13176"/>
  <c r="C1101" i="13176"/>
  <c r="Y1101" i="13176"/>
  <c r="AX1101" i="13176"/>
  <c r="N1102" i="13176"/>
  <c r="AP1102" i="13176"/>
  <c r="S1103" i="13176"/>
  <c r="AZ1103" i="13176"/>
  <c r="AW1106" i="13176"/>
  <c r="AF1106" i="13176"/>
  <c r="O1106" i="13176"/>
  <c r="AV1106" i="13176"/>
  <c r="AE1106" i="13176"/>
  <c r="N1106" i="13176"/>
  <c r="AU1106" i="13176"/>
  <c r="AD1106" i="13176"/>
  <c r="M1106" i="13176"/>
  <c r="AT1106" i="13176"/>
  <c r="AC1106" i="13176"/>
  <c r="L1106" i="13176"/>
  <c r="AP1106" i="13176"/>
  <c r="Z1106" i="13176"/>
  <c r="I1106" i="13176"/>
  <c r="AO1106" i="13176"/>
  <c r="Y1106" i="13176"/>
  <c r="H1106" i="13176"/>
  <c r="AN1106" i="13176"/>
  <c r="X1106" i="13176"/>
  <c r="G1106" i="13176"/>
  <c r="BD1106" i="13176"/>
  <c r="AM1106" i="13176"/>
  <c r="W1106" i="13176"/>
  <c r="F1106" i="13176"/>
  <c r="BC1106" i="13176"/>
  <c r="AL1106" i="13176"/>
  <c r="V1106" i="13176"/>
  <c r="E1106" i="13176"/>
  <c r="AY1106" i="13176"/>
  <c r="AH1106" i="13176"/>
  <c r="Q1106" i="13176"/>
  <c r="AR1106" i="13176"/>
  <c r="AN1110" i="13176"/>
  <c r="X1110" i="13176"/>
  <c r="G1110" i="13176"/>
  <c r="BD1110" i="13176"/>
  <c r="AM1110" i="13176"/>
  <c r="W1110" i="13176"/>
  <c r="F1110" i="13176"/>
  <c r="BC1110" i="13176"/>
  <c r="AL1110" i="13176"/>
  <c r="V1110" i="13176"/>
  <c r="E1110" i="13176"/>
  <c r="BB1110" i="13176"/>
  <c r="AK1110" i="13176"/>
  <c r="U1110" i="13176"/>
  <c r="D1110" i="13176"/>
  <c r="AY1110" i="13176"/>
  <c r="AH1110" i="13176"/>
  <c r="Q1110" i="13176"/>
  <c r="AX1110" i="13176"/>
  <c r="AG1110" i="13176"/>
  <c r="P1110" i="13176"/>
  <c r="AW1110" i="13176"/>
  <c r="AF1110" i="13176"/>
  <c r="O1110" i="13176"/>
  <c r="AV1110" i="13176"/>
  <c r="AE1110" i="13176"/>
  <c r="N1110" i="13176"/>
  <c r="AU1110" i="13176"/>
  <c r="AD1110" i="13176"/>
  <c r="M1110" i="13176"/>
  <c r="AT1110" i="13176"/>
  <c r="AC1110" i="13176"/>
  <c r="L1110" i="13176"/>
  <c r="AP1110" i="13176"/>
  <c r="Z1110" i="13176"/>
  <c r="I1110" i="13176"/>
  <c r="BA1110" i="13176"/>
  <c r="AR1112" i="13176"/>
  <c r="C1090" i="13176"/>
  <c r="T1090" i="13176"/>
  <c r="AJ1090" i="13176"/>
  <c r="BA1090" i="13176"/>
  <c r="K1094" i="13176"/>
  <c r="AB1094" i="13176"/>
  <c r="AU1094" i="13176"/>
  <c r="O1097" i="13176"/>
  <c r="AI1097" i="13176"/>
  <c r="D1101" i="13176"/>
  <c r="Z1101" i="13176"/>
  <c r="AY1101" i="13176"/>
  <c r="O1102" i="13176"/>
  <c r="AQ1102" i="13176"/>
  <c r="T1103" i="13176"/>
  <c r="BA1103" i="13176"/>
  <c r="C1106" i="13176"/>
  <c r="AX1106" i="13176"/>
  <c r="C1110" i="13176"/>
  <c r="AQ1120" i="13176"/>
  <c r="O1083" i="13176"/>
  <c r="AF1083" i="13176"/>
  <c r="AW1083" i="13176"/>
  <c r="G1087" i="13176"/>
  <c r="X1087" i="13176"/>
  <c r="AN1087" i="13176"/>
  <c r="E1090" i="13176"/>
  <c r="V1090" i="13176"/>
  <c r="AL1090" i="13176"/>
  <c r="BC1090" i="13176"/>
  <c r="O1091" i="13176"/>
  <c r="AF1091" i="13176"/>
  <c r="AW1091" i="13176"/>
  <c r="M1094" i="13176"/>
  <c r="AD1094" i="13176"/>
  <c r="AW1094" i="13176"/>
  <c r="Q1097" i="13176"/>
  <c r="AM1097" i="13176"/>
  <c r="G1101" i="13176"/>
  <c r="AE1101" i="13176"/>
  <c r="BA1101" i="13176"/>
  <c r="T1102" i="13176"/>
  <c r="AT1102" i="13176"/>
  <c r="V1103" i="13176"/>
  <c r="BC1103" i="13176"/>
  <c r="J1106" i="13176"/>
  <c r="BA1106" i="13176"/>
  <c r="J1110" i="13176"/>
  <c r="AP1128" i="13176"/>
  <c r="S1072" i="13176"/>
  <c r="AI1072" i="13176"/>
  <c r="AZ1072" i="13176"/>
  <c r="L1073" i="13176"/>
  <c r="AC1073" i="13176"/>
  <c r="AT1073" i="13176"/>
  <c r="J1076" i="13176"/>
  <c r="AA1076" i="13176"/>
  <c r="AQ1076" i="13176"/>
  <c r="S1080" i="13176"/>
  <c r="AI1080" i="13176"/>
  <c r="AZ1080" i="13176"/>
  <c r="L1081" i="13176"/>
  <c r="AC1081" i="13176"/>
  <c r="AT1081" i="13176"/>
  <c r="P1083" i="13176"/>
  <c r="AG1083" i="13176"/>
  <c r="AX1083" i="13176"/>
  <c r="AQ1084" i="13176"/>
  <c r="H1087" i="13176"/>
  <c r="Y1087" i="13176"/>
  <c r="AO1087" i="13176"/>
  <c r="S1088" i="13176"/>
  <c r="AI1088" i="13176"/>
  <c r="AZ1088" i="13176"/>
  <c r="L1089" i="13176"/>
  <c r="AC1089" i="13176"/>
  <c r="AT1089" i="13176"/>
  <c r="F1090" i="13176"/>
  <c r="W1090" i="13176"/>
  <c r="AM1090" i="13176"/>
  <c r="BD1090" i="13176"/>
  <c r="P1091" i="13176"/>
  <c r="AG1091" i="13176"/>
  <c r="AX1091" i="13176"/>
  <c r="N1094" i="13176"/>
  <c r="AE1094" i="13176"/>
  <c r="AX1094" i="13176"/>
  <c r="AX1095" i="13176"/>
  <c r="S1097" i="13176"/>
  <c r="AN1097" i="13176"/>
  <c r="H1101" i="13176"/>
  <c r="AF1101" i="13176"/>
  <c r="BB1101" i="13176"/>
  <c r="U1102" i="13176"/>
  <c r="AV1102" i="13176"/>
  <c r="W1103" i="13176"/>
  <c r="BD1103" i="13176"/>
  <c r="K1106" i="13176"/>
  <c r="BB1106" i="13176"/>
  <c r="K1110" i="13176"/>
  <c r="BA1072" i="13176"/>
  <c r="M1073" i="13176"/>
  <c r="AD1073" i="13176"/>
  <c r="AU1073" i="13176"/>
  <c r="AR1076" i="13176"/>
  <c r="BA1080" i="13176"/>
  <c r="AU1081" i="13176"/>
  <c r="Q1083" i="13176"/>
  <c r="AH1083" i="13176"/>
  <c r="AY1083" i="13176"/>
  <c r="I1087" i="13176"/>
  <c r="Z1087" i="13176"/>
  <c r="AP1087" i="13176"/>
  <c r="G1090" i="13176"/>
  <c r="X1090" i="13176"/>
  <c r="AN1090" i="13176"/>
  <c r="Q1091" i="13176"/>
  <c r="AH1091" i="13176"/>
  <c r="AY1091" i="13176"/>
  <c r="O1094" i="13176"/>
  <c r="AF1094" i="13176"/>
  <c r="AY1094" i="13176"/>
  <c r="U1097" i="13176"/>
  <c r="AO1097" i="13176"/>
  <c r="I1101" i="13176"/>
  <c r="AG1101" i="13176"/>
  <c r="BC1101" i="13176"/>
  <c r="Y1102" i="13176"/>
  <c r="AZ1102" i="13176"/>
  <c r="Y1103" i="13176"/>
  <c r="P1106" i="13176"/>
  <c r="S1110" i="13176"/>
  <c r="AM1121" i="13176"/>
  <c r="S1083" i="13176"/>
  <c r="AI1083" i="13176"/>
  <c r="AZ1083" i="13176"/>
  <c r="J1087" i="13176"/>
  <c r="AA1087" i="13176"/>
  <c r="AQ1087" i="13176"/>
  <c r="H1090" i="13176"/>
  <c r="Y1090" i="13176"/>
  <c r="AO1090" i="13176"/>
  <c r="S1091" i="13176"/>
  <c r="AI1091" i="13176"/>
  <c r="AZ1091" i="13176"/>
  <c r="P1094" i="13176"/>
  <c r="AG1094" i="13176"/>
  <c r="W1097" i="13176"/>
  <c r="BA1100" i="13176"/>
  <c r="J1101" i="13176"/>
  <c r="AH1101" i="13176"/>
  <c r="Z1102" i="13176"/>
  <c r="AC1103" i="13176"/>
  <c r="AR1104" i="13176"/>
  <c r="S1106" i="13176"/>
  <c r="AP1107" i="13176"/>
  <c r="T1110" i="13176"/>
  <c r="BC1097" i="13176"/>
  <c r="AL1097" i="13176"/>
  <c r="V1097" i="13176"/>
  <c r="E1097" i="13176"/>
  <c r="BA1097" i="13176"/>
  <c r="AJ1097" i="13176"/>
  <c r="T1097" i="13176"/>
  <c r="C1097" i="13176"/>
  <c r="AV1097" i="13176"/>
  <c r="AE1097" i="13176"/>
  <c r="N1097" i="13176"/>
  <c r="X1097" i="13176"/>
  <c r="AQ1097" i="13176"/>
  <c r="AN1102" i="13176"/>
  <c r="X1102" i="13176"/>
  <c r="G1102" i="13176"/>
  <c r="BD1102" i="13176"/>
  <c r="AM1102" i="13176"/>
  <c r="W1102" i="13176"/>
  <c r="F1102" i="13176"/>
  <c r="BC1102" i="13176"/>
  <c r="AL1102" i="13176"/>
  <c r="V1102" i="13176"/>
  <c r="E1102" i="13176"/>
  <c r="BB1102" i="13176"/>
  <c r="AK1102" i="13176"/>
  <c r="AY1102" i="13176"/>
  <c r="AH1102" i="13176"/>
  <c r="Q1102" i="13176"/>
  <c r="AX1102" i="13176"/>
  <c r="AG1102" i="13176"/>
  <c r="P1102" i="13176"/>
  <c r="AW1102" i="13176"/>
  <c r="AU1102" i="13176"/>
  <c r="AA1102" i="13176"/>
  <c r="T1106" i="13176"/>
  <c r="AP1115" i="13176"/>
  <c r="AB1125" i="13176"/>
  <c r="AN1094" i="13176"/>
  <c r="BC1094" i="13176"/>
  <c r="AL1094" i="13176"/>
  <c r="S1094" i="13176"/>
  <c r="AI1094" i="13176"/>
  <c r="BB1094" i="13176"/>
  <c r="D1097" i="13176"/>
  <c r="Y1097" i="13176"/>
  <c r="AR1097" i="13176"/>
  <c r="O1101" i="13176"/>
  <c r="AJ1101" i="13176"/>
  <c r="C1102" i="13176"/>
  <c r="AB1102" i="13176"/>
  <c r="AY1103" i="13176"/>
  <c r="AH1103" i="13176"/>
  <c r="Q1103" i="13176"/>
  <c r="AX1103" i="13176"/>
  <c r="AG1103" i="13176"/>
  <c r="P1103" i="13176"/>
  <c r="AW1103" i="13176"/>
  <c r="AF1103" i="13176"/>
  <c r="O1103" i="13176"/>
  <c r="AV1103" i="13176"/>
  <c r="AE1103" i="13176"/>
  <c r="N1103" i="13176"/>
  <c r="AR1103" i="13176"/>
  <c r="AB1103" i="13176"/>
  <c r="K1103" i="13176"/>
  <c r="AQ1103" i="13176"/>
  <c r="AA1103" i="13176"/>
  <c r="J1103" i="13176"/>
  <c r="AP1103" i="13176"/>
  <c r="Z1103" i="13176"/>
  <c r="I1103" i="13176"/>
  <c r="AN1103" i="13176"/>
  <c r="X1103" i="13176"/>
  <c r="G1103" i="13176"/>
  <c r="AI1103" i="13176"/>
  <c r="U1106" i="13176"/>
  <c r="AA1110" i="13176"/>
  <c r="AY1073" i="13176"/>
  <c r="AH1081" i="13176"/>
  <c r="AY1081" i="13176"/>
  <c r="E1083" i="13176"/>
  <c r="V1083" i="13176"/>
  <c r="AL1083" i="13176"/>
  <c r="BC1083" i="13176"/>
  <c r="M1087" i="13176"/>
  <c r="AD1087" i="13176"/>
  <c r="AU1087" i="13176"/>
  <c r="X1088" i="13176"/>
  <c r="AN1088" i="13176"/>
  <c r="Q1089" i="13176"/>
  <c r="AH1089" i="13176"/>
  <c r="AY1089" i="13176"/>
  <c r="K1090" i="13176"/>
  <c r="AB1090" i="13176"/>
  <c r="AR1090" i="13176"/>
  <c r="E1091" i="13176"/>
  <c r="V1091" i="13176"/>
  <c r="AL1091" i="13176"/>
  <c r="BC1091" i="13176"/>
  <c r="C1094" i="13176"/>
  <c r="T1094" i="13176"/>
  <c r="AJ1094" i="13176"/>
  <c r="BD1094" i="13176"/>
  <c r="AK1095" i="13176"/>
  <c r="BD1095" i="13176"/>
  <c r="F1097" i="13176"/>
  <c r="Z1097" i="13176"/>
  <c r="AT1097" i="13176"/>
  <c r="P1101" i="13176"/>
  <c r="AK1101" i="13176"/>
  <c r="D1102" i="13176"/>
  <c r="AC1102" i="13176"/>
  <c r="C1103" i="13176"/>
  <c r="AJ1103" i="13176"/>
  <c r="AA1106" i="13176"/>
  <c r="AB1110" i="13176"/>
  <c r="S1073" i="13176"/>
  <c r="AI1073" i="13176"/>
  <c r="AZ1073" i="13176"/>
  <c r="AG1076" i="13176"/>
  <c r="AX1076" i="13176"/>
  <c r="Y1080" i="13176"/>
  <c r="AO1080" i="13176"/>
  <c r="S1081" i="13176"/>
  <c r="AI1081" i="13176"/>
  <c r="AZ1081" i="13176"/>
  <c r="F1083" i="13176"/>
  <c r="W1083" i="13176"/>
  <c r="AM1083" i="13176"/>
  <c r="BD1083" i="13176"/>
  <c r="P1084" i="13176"/>
  <c r="AG1084" i="13176"/>
  <c r="AX1084" i="13176"/>
  <c r="N1087" i="13176"/>
  <c r="AE1087" i="13176"/>
  <c r="AV1087" i="13176"/>
  <c r="H1088" i="13176"/>
  <c r="Y1088" i="13176"/>
  <c r="AO1088" i="13176"/>
  <c r="S1089" i="13176"/>
  <c r="AI1089" i="13176"/>
  <c r="AZ1089" i="13176"/>
  <c r="L1090" i="13176"/>
  <c r="AC1090" i="13176"/>
  <c r="AT1090" i="13176"/>
  <c r="F1091" i="13176"/>
  <c r="W1091" i="13176"/>
  <c r="AM1091" i="13176"/>
  <c r="BD1091" i="13176"/>
  <c r="P1092" i="13176"/>
  <c r="AG1092" i="13176"/>
  <c r="AX1092" i="13176"/>
  <c r="D1094" i="13176"/>
  <c r="U1094" i="13176"/>
  <c r="AK1094" i="13176"/>
  <c r="T1095" i="13176"/>
  <c r="G1097" i="13176"/>
  <c r="AA1097" i="13176"/>
  <c r="AU1097" i="13176"/>
  <c r="Q1101" i="13176"/>
  <c r="AL1101" i="13176"/>
  <c r="H1102" i="13176"/>
  <c r="AD1102" i="13176"/>
  <c r="D1103" i="13176"/>
  <c r="AK1103" i="13176"/>
  <c r="AB1106" i="13176"/>
  <c r="AI1110" i="13176"/>
  <c r="I1072" i="13176"/>
  <c r="Z1072" i="13176"/>
  <c r="AP1072" i="13176"/>
  <c r="C1073" i="13176"/>
  <c r="T1073" i="13176"/>
  <c r="AJ1073" i="13176"/>
  <c r="BA1073" i="13176"/>
  <c r="Q1076" i="13176"/>
  <c r="AH1076" i="13176"/>
  <c r="AY1076" i="13176"/>
  <c r="I1080" i="13176"/>
  <c r="Z1080" i="13176"/>
  <c r="AP1080" i="13176"/>
  <c r="C1081" i="13176"/>
  <c r="T1081" i="13176"/>
  <c r="AJ1081" i="13176"/>
  <c r="BA1081" i="13176"/>
  <c r="G1083" i="13176"/>
  <c r="X1083" i="13176"/>
  <c r="AN1083" i="13176"/>
  <c r="Q1084" i="13176"/>
  <c r="AH1084" i="13176"/>
  <c r="AY1084" i="13176"/>
  <c r="O1087" i="13176"/>
  <c r="AF1087" i="13176"/>
  <c r="AW1087" i="13176"/>
  <c r="I1088" i="13176"/>
  <c r="Z1088" i="13176"/>
  <c r="AP1088" i="13176"/>
  <c r="C1089" i="13176"/>
  <c r="T1089" i="13176"/>
  <c r="AJ1089" i="13176"/>
  <c r="BA1089" i="13176"/>
  <c r="M1090" i="13176"/>
  <c r="AD1090" i="13176"/>
  <c r="AU1090" i="13176"/>
  <c r="G1091" i="13176"/>
  <c r="X1091" i="13176"/>
  <c r="AN1091" i="13176"/>
  <c r="AY1092" i="13176"/>
  <c r="E1094" i="13176"/>
  <c r="V1094" i="13176"/>
  <c r="AM1094" i="13176"/>
  <c r="AY1095" i="13176"/>
  <c r="AH1095" i="13176"/>
  <c r="Q1095" i="13176"/>
  <c r="AW1095" i="13176"/>
  <c r="AF1095" i="13176"/>
  <c r="O1095" i="13176"/>
  <c r="U1095" i="13176"/>
  <c r="AM1095" i="13176"/>
  <c r="AR1096" i="13176"/>
  <c r="AB1096" i="13176"/>
  <c r="K1096" i="13176"/>
  <c r="AP1096" i="13176"/>
  <c r="Z1096" i="13176"/>
  <c r="I1096" i="13176"/>
  <c r="BB1096" i="13176"/>
  <c r="AK1096" i="13176"/>
  <c r="U1096" i="13176"/>
  <c r="D1096" i="13176"/>
  <c r="W1096" i="13176"/>
  <c r="AQ1096" i="13176"/>
  <c r="H1097" i="13176"/>
  <c r="AB1097" i="13176"/>
  <c r="AW1097" i="13176"/>
  <c r="S1101" i="13176"/>
  <c r="AO1101" i="13176"/>
  <c r="I1102" i="13176"/>
  <c r="AE1102" i="13176"/>
  <c r="E1103" i="13176"/>
  <c r="AL1103" i="13176"/>
  <c r="BC1105" i="13176"/>
  <c r="AG1106" i="13176"/>
  <c r="AJ1110" i="13176"/>
  <c r="J1072" i="13176"/>
  <c r="AA1072" i="13176"/>
  <c r="D1073" i="13176"/>
  <c r="U1073" i="13176"/>
  <c r="AK1073" i="13176"/>
  <c r="S1076" i="13176"/>
  <c r="AI1076" i="13176"/>
  <c r="J1080" i="13176"/>
  <c r="AA1080" i="13176"/>
  <c r="D1081" i="13176"/>
  <c r="U1081" i="13176"/>
  <c r="AK1081" i="13176"/>
  <c r="H1083" i="13176"/>
  <c r="Y1083" i="13176"/>
  <c r="S1084" i="13176"/>
  <c r="AI1084" i="13176"/>
  <c r="P1087" i="13176"/>
  <c r="AG1087" i="13176"/>
  <c r="J1088" i="13176"/>
  <c r="AA1088" i="13176"/>
  <c r="D1089" i="13176"/>
  <c r="U1089" i="13176"/>
  <c r="AK1089" i="13176"/>
  <c r="N1090" i="13176"/>
  <c r="AE1090" i="13176"/>
  <c r="H1091" i="13176"/>
  <c r="Y1091" i="13176"/>
  <c r="S1092" i="13176"/>
  <c r="AI1092" i="13176"/>
  <c r="F1094" i="13176"/>
  <c r="W1094" i="13176"/>
  <c r="AO1094" i="13176"/>
  <c r="C1095" i="13176"/>
  <c r="V1095" i="13176"/>
  <c r="AN1095" i="13176"/>
  <c r="C1096" i="13176"/>
  <c r="X1096" i="13176"/>
  <c r="AT1096" i="13176"/>
  <c r="I1097" i="13176"/>
  <c r="AC1097" i="13176"/>
  <c r="AX1097" i="13176"/>
  <c r="AP1099" i="13176"/>
  <c r="T1101" i="13176"/>
  <c r="AP1101" i="13176"/>
  <c r="J1102" i="13176"/>
  <c r="AF1102" i="13176"/>
  <c r="F1103" i="13176"/>
  <c r="AM1103" i="13176"/>
  <c r="AI1106" i="13176"/>
  <c r="BA1108" i="13176"/>
  <c r="AO1110" i="13176"/>
  <c r="BC1113" i="13176"/>
  <c r="BA1116" i="13176"/>
  <c r="AO1119" i="13176"/>
  <c r="M1104" i="13176"/>
  <c r="AD1104" i="13176"/>
  <c r="AU1104" i="13176"/>
  <c r="O1109" i="13176"/>
  <c r="AF1109" i="13176"/>
  <c r="AW1109" i="13176"/>
  <c r="Q1114" i="13176"/>
  <c r="AH1114" i="13176"/>
  <c r="AY1114" i="13176"/>
  <c r="P1117" i="13176"/>
  <c r="AH1117" i="13176"/>
  <c r="T1120" i="13176"/>
  <c r="AP1120" i="13176"/>
  <c r="AN1142" i="13176"/>
  <c r="S1114" i="13176"/>
  <c r="AI1114" i="13176"/>
  <c r="AZ1114" i="13176"/>
  <c r="U1120" i="13176"/>
  <c r="C1114" i="13176"/>
  <c r="T1114" i="13176"/>
  <c r="AJ1114" i="13176"/>
  <c r="BA1114" i="13176"/>
  <c r="BD1120" i="13176"/>
  <c r="AM1120" i="13176"/>
  <c r="W1120" i="13176"/>
  <c r="F1120" i="13176"/>
  <c r="BC1120" i="13176"/>
  <c r="AL1120" i="13176"/>
  <c r="V1120" i="13176"/>
  <c r="E1120" i="13176"/>
  <c r="AV1120" i="13176"/>
  <c r="AE1120" i="13176"/>
  <c r="N1120" i="13176"/>
  <c r="AU1120" i="13176"/>
  <c r="AD1120" i="13176"/>
  <c r="X1120" i="13176"/>
  <c r="AR1120" i="13176"/>
  <c r="AZ1134" i="13176"/>
  <c r="AG1150" i="13176"/>
  <c r="S1109" i="13176"/>
  <c r="AI1109" i="13176"/>
  <c r="AZ1109" i="13176"/>
  <c r="D1114" i="13176"/>
  <c r="U1114" i="13176"/>
  <c r="AK1114" i="13176"/>
  <c r="BB1114" i="13176"/>
  <c r="AN1117" i="13176"/>
  <c r="X1117" i="13176"/>
  <c r="G1117" i="13176"/>
  <c r="T1117" i="13176"/>
  <c r="AK1117" i="13176"/>
  <c r="BC1117" i="13176"/>
  <c r="C1120" i="13176"/>
  <c r="Y1120" i="13176"/>
  <c r="AT1120" i="13176"/>
  <c r="AV1124" i="13176"/>
  <c r="AE1124" i="13176"/>
  <c r="N1124" i="13176"/>
  <c r="AU1124" i="13176"/>
  <c r="AD1124" i="13176"/>
  <c r="M1124" i="13176"/>
  <c r="AN1124" i="13176"/>
  <c r="X1124" i="13176"/>
  <c r="G1124" i="13176"/>
  <c r="BD1124" i="13176"/>
  <c r="AM1124" i="13176"/>
  <c r="W1124" i="13176"/>
  <c r="F1124" i="13176"/>
  <c r="BC1124" i="13176"/>
  <c r="AL1124" i="13176"/>
  <c r="V1124" i="13176"/>
  <c r="E1124" i="13176"/>
  <c r="AA1124" i="13176"/>
  <c r="AY1124" i="13176"/>
  <c r="Q1104" i="13176"/>
  <c r="AH1104" i="13176"/>
  <c r="AY1104" i="13176"/>
  <c r="AB1105" i="13176"/>
  <c r="AR1105" i="13176"/>
  <c r="C1109" i="13176"/>
  <c r="T1109" i="13176"/>
  <c r="AJ1109" i="13176"/>
  <c r="BA1109" i="13176"/>
  <c r="Q1112" i="13176"/>
  <c r="AH1112" i="13176"/>
  <c r="AY1112" i="13176"/>
  <c r="E1114" i="13176"/>
  <c r="V1114" i="13176"/>
  <c r="AL1114" i="13176"/>
  <c r="BC1114" i="13176"/>
  <c r="C1117" i="13176"/>
  <c r="U1117" i="13176"/>
  <c r="AL1117" i="13176"/>
  <c r="BD1117" i="13176"/>
  <c r="T1119" i="13176"/>
  <c r="AN1119" i="13176"/>
  <c r="D1120" i="13176"/>
  <c r="Z1120" i="13176"/>
  <c r="AW1120" i="13176"/>
  <c r="C1124" i="13176"/>
  <c r="AB1124" i="13176"/>
  <c r="AZ1124" i="13176"/>
  <c r="BD1128" i="13176"/>
  <c r="AM1128" i="13176"/>
  <c r="W1128" i="13176"/>
  <c r="F1128" i="13176"/>
  <c r="BC1128" i="13176"/>
  <c r="AL1128" i="13176"/>
  <c r="V1128" i="13176"/>
  <c r="E1128" i="13176"/>
  <c r="BB1128" i="13176"/>
  <c r="AK1128" i="13176"/>
  <c r="U1128" i="13176"/>
  <c r="D1128" i="13176"/>
  <c r="BA1128" i="13176"/>
  <c r="AJ1128" i="13176"/>
  <c r="T1128" i="13176"/>
  <c r="C1128" i="13176"/>
  <c r="AW1128" i="13176"/>
  <c r="AF1128" i="13176"/>
  <c r="O1128" i="13176"/>
  <c r="AV1128" i="13176"/>
  <c r="AE1128" i="13176"/>
  <c r="N1128" i="13176"/>
  <c r="AU1128" i="13176"/>
  <c r="AD1128" i="13176"/>
  <c r="M1128" i="13176"/>
  <c r="AT1128" i="13176"/>
  <c r="AC1128" i="13176"/>
  <c r="L1128" i="13176"/>
  <c r="AR1128" i="13176"/>
  <c r="AB1128" i="13176"/>
  <c r="K1128" i="13176"/>
  <c r="AO1128" i="13176"/>
  <c r="Y1128" i="13176"/>
  <c r="AQ1128" i="13176"/>
  <c r="BD1136" i="13176"/>
  <c r="S1104" i="13176"/>
  <c r="AI1104" i="13176"/>
  <c r="AZ1104" i="13176"/>
  <c r="AC1105" i="13176"/>
  <c r="AT1105" i="13176"/>
  <c r="D1109" i="13176"/>
  <c r="U1109" i="13176"/>
  <c r="AK1109" i="13176"/>
  <c r="BB1109" i="13176"/>
  <c r="S1112" i="13176"/>
  <c r="AI1112" i="13176"/>
  <c r="AZ1112" i="13176"/>
  <c r="F1114" i="13176"/>
  <c r="W1114" i="13176"/>
  <c r="AM1114" i="13176"/>
  <c r="BD1114" i="13176"/>
  <c r="D1117" i="13176"/>
  <c r="V1117" i="13176"/>
  <c r="AM1117" i="13176"/>
  <c r="V1119" i="13176"/>
  <c r="G1120" i="13176"/>
  <c r="AA1120" i="13176"/>
  <c r="AX1120" i="13176"/>
  <c r="AQ1122" i="13176"/>
  <c r="D1124" i="13176"/>
  <c r="AC1124" i="13176"/>
  <c r="BA1124" i="13176"/>
  <c r="Z1125" i="13176"/>
  <c r="BA1125" i="13176"/>
  <c r="G1128" i="13176"/>
  <c r="AX1128" i="13176"/>
  <c r="AQ1138" i="13176"/>
  <c r="AR1143" i="13176"/>
  <c r="C1104" i="13176"/>
  <c r="T1104" i="13176"/>
  <c r="AJ1104" i="13176"/>
  <c r="BA1104" i="13176"/>
  <c r="AD1105" i="13176"/>
  <c r="AU1105" i="13176"/>
  <c r="E1109" i="13176"/>
  <c r="V1109" i="13176"/>
  <c r="AL1109" i="13176"/>
  <c r="BC1109" i="13176"/>
  <c r="C1112" i="13176"/>
  <c r="T1112" i="13176"/>
  <c r="AJ1112" i="13176"/>
  <c r="BA1112" i="13176"/>
  <c r="G1114" i="13176"/>
  <c r="X1114" i="13176"/>
  <c r="AN1114" i="13176"/>
  <c r="E1117" i="13176"/>
  <c r="W1117" i="13176"/>
  <c r="AO1117" i="13176"/>
  <c r="AZ1118" i="13176"/>
  <c r="AT1119" i="13176"/>
  <c r="AC1119" i="13176"/>
  <c r="L1119" i="13176"/>
  <c r="AR1119" i="13176"/>
  <c r="AB1119" i="13176"/>
  <c r="K1119" i="13176"/>
  <c r="BB1119" i="13176"/>
  <c r="AK1119" i="13176"/>
  <c r="U1119" i="13176"/>
  <c r="D1119" i="13176"/>
  <c r="W1119" i="13176"/>
  <c r="AP1119" i="13176"/>
  <c r="H1120" i="13176"/>
  <c r="AB1120" i="13176"/>
  <c r="AY1120" i="13176"/>
  <c r="H1124" i="13176"/>
  <c r="AF1124" i="13176"/>
  <c r="BB1124" i="13176"/>
  <c r="AA1125" i="13176"/>
  <c r="BB1125" i="13176"/>
  <c r="H1128" i="13176"/>
  <c r="AY1128" i="13176"/>
  <c r="AO1133" i="13176"/>
  <c r="AV1140" i="13176"/>
  <c r="AV1147" i="13176"/>
  <c r="S1099" i="13176"/>
  <c r="AI1099" i="13176"/>
  <c r="AZ1099" i="13176"/>
  <c r="L1100" i="13176"/>
  <c r="AC1100" i="13176"/>
  <c r="AT1100" i="13176"/>
  <c r="D1104" i="13176"/>
  <c r="U1104" i="13176"/>
  <c r="AK1104" i="13176"/>
  <c r="BB1104" i="13176"/>
  <c r="N1105" i="13176"/>
  <c r="AE1105" i="13176"/>
  <c r="AV1105" i="13176"/>
  <c r="S1107" i="13176"/>
  <c r="AI1107" i="13176"/>
  <c r="AZ1107" i="13176"/>
  <c r="L1108" i="13176"/>
  <c r="AC1108" i="13176"/>
  <c r="AT1108" i="13176"/>
  <c r="F1109" i="13176"/>
  <c r="W1109" i="13176"/>
  <c r="AM1109" i="13176"/>
  <c r="BD1109" i="13176"/>
  <c r="D1112" i="13176"/>
  <c r="U1112" i="13176"/>
  <c r="AK1112" i="13176"/>
  <c r="BB1112" i="13176"/>
  <c r="N1113" i="13176"/>
  <c r="AE1113" i="13176"/>
  <c r="AV1113" i="13176"/>
  <c r="H1114" i="13176"/>
  <c r="Y1114" i="13176"/>
  <c r="AO1114" i="13176"/>
  <c r="S1115" i="13176"/>
  <c r="AI1115" i="13176"/>
  <c r="AZ1115" i="13176"/>
  <c r="L1116" i="13176"/>
  <c r="AC1116" i="13176"/>
  <c r="AT1116" i="13176"/>
  <c r="F1117" i="13176"/>
  <c r="Y1117" i="13176"/>
  <c r="AP1117" i="13176"/>
  <c r="C1119" i="13176"/>
  <c r="X1119" i="13176"/>
  <c r="AQ1119" i="13176"/>
  <c r="I1120" i="13176"/>
  <c r="AC1120" i="13176"/>
  <c r="AZ1120" i="13176"/>
  <c r="S1121" i="13176"/>
  <c r="I1124" i="13176"/>
  <c r="AG1124" i="13176"/>
  <c r="I1128" i="13176"/>
  <c r="AZ1128" i="13176"/>
  <c r="E1104" i="13176"/>
  <c r="V1104" i="13176"/>
  <c r="AL1104" i="13176"/>
  <c r="BC1104" i="13176"/>
  <c r="O1105" i="13176"/>
  <c r="AF1105" i="13176"/>
  <c r="AW1105" i="13176"/>
  <c r="G1109" i="13176"/>
  <c r="X1109" i="13176"/>
  <c r="AN1109" i="13176"/>
  <c r="E1112" i="13176"/>
  <c r="V1112" i="13176"/>
  <c r="AL1112" i="13176"/>
  <c r="BC1112" i="13176"/>
  <c r="I1114" i="13176"/>
  <c r="Z1114" i="13176"/>
  <c r="AP1114" i="13176"/>
  <c r="H1117" i="13176"/>
  <c r="Z1117" i="13176"/>
  <c r="AQ1117" i="13176"/>
  <c r="E1119" i="13176"/>
  <c r="Y1119" i="13176"/>
  <c r="AU1119" i="13176"/>
  <c r="J1120" i="13176"/>
  <c r="AF1120" i="13176"/>
  <c r="BA1120" i="13176"/>
  <c r="J1124" i="13176"/>
  <c r="AH1124" i="13176"/>
  <c r="AO1125" i="13176"/>
  <c r="Y1125" i="13176"/>
  <c r="H1125" i="13176"/>
  <c r="AN1125" i="13176"/>
  <c r="X1125" i="13176"/>
  <c r="G1125" i="13176"/>
  <c r="BD1125" i="13176"/>
  <c r="AM1125" i="13176"/>
  <c r="W1125" i="13176"/>
  <c r="BC1125" i="13176"/>
  <c r="AL1125" i="13176"/>
  <c r="V1125" i="13176"/>
  <c r="E1125" i="13176"/>
  <c r="AY1125" i="13176"/>
  <c r="AH1125" i="13176"/>
  <c r="Q1125" i="13176"/>
  <c r="AX1125" i="13176"/>
  <c r="AG1125" i="13176"/>
  <c r="P1125" i="13176"/>
  <c r="AW1125" i="13176"/>
  <c r="AF1125" i="13176"/>
  <c r="O1125" i="13176"/>
  <c r="AC1125" i="13176"/>
  <c r="AZ1126" i="13176"/>
  <c r="J1128" i="13176"/>
  <c r="J1114" i="13176"/>
  <c r="AA1114" i="13176"/>
  <c r="AQ1114" i="13176"/>
  <c r="AT1127" i="13176"/>
  <c r="AX1129" i="13176"/>
  <c r="AW1144" i="13176"/>
  <c r="AF1144" i="13176"/>
  <c r="O1144" i="13176"/>
  <c r="AV1144" i="13176"/>
  <c r="AE1144" i="13176"/>
  <c r="N1144" i="13176"/>
  <c r="AP1144" i="13176"/>
  <c r="Z1144" i="13176"/>
  <c r="I1144" i="13176"/>
  <c r="AO1144" i="13176"/>
  <c r="Y1144" i="13176"/>
  <c r="H1144" i="13176"/>
  <c r="AR1144" i="13176"/>
  <c r="V1144" i="13176"/>
  <c r="AQ1144" i="13176"/>
  <c r="U1144" i="13176"/>
  <c r="AN1144" i="13176"/>
  <c r="T1144" i="13176"/>
  <c r="AM1144" i="13176"/>
  <c r="S1144" i="13176"/>
  <c r="AL1144" i="13176"/>
  <c r="Q1144" i="13176"/>
  <c r="AK1144" i="13176"/>
  <c r="P1144" i="13176"/>
  <c r="AJ1144" i="13176"/>
  <c r="M1144" i="13176"/>
  <c r="BD1144" i="13176"/>
  <c r="AI1144" i="13176"/>
  <c r="L1144" i="13176"/>
  <c r="BC1144" i="13176"/>
  <c r="AH1144" i="13176"/>
  <c r="K1144" i="13176"/>
  <c r="BB1144" i="13176"/>
  <c r="AG1144" i="13176"/>
  <c r="J1144" i="13176"/>
  <c r="BA1144" i="13176"/>
  <c r="AD1144" i="13176"/>
  <c r="G1144" i="13176"/>
  <c r="AZ1144" i="13176"/>
  <c r="AC1144" i="13176"/>
  <c r="F1144" i="13176"/>
  <c r="AY1144" i="13176"/>
  <c r="AB1144" i="13176"/>
  <c r="E1144" i="13176"/>
  <c r="AX1144" i="13176"/>
  <c r="AA1144" i="13176"/>
  <c r="D1144" i="13176"/>
  <c r="AU1144" i="13176"/>
  <c r="X1144" i="13176"/>
  <c r="C1144" i="13176"/>
  <c r="AZ1152" i="13176"/>
  <c r="K1114" i="13176"/>
  <c r="AB1114" i="13176"/>
  <c r="AR1114" i="13176"/>
  <c r="L1120" i="13176"/>
  <c r="AH1120" i="13176"/>
  <c r="W1144" i="13176"/>
  <c r="AN1148" i="13176"/>
  <c r="X1148" i="13176"/>
  <c r="G1148" i="13176"/>
  <c r="BD1148" i="13176"/>
  <c r="AM1148" i="13176"/>
  <c r="W1148" i="13176"/>
  <c r="F1148" i="13176"/>
  <c r="AY1148" i="13176"/>
  <c r="AH1148" i="13176"/>
  <c r="Q1148" i="13176"/>
  <c r="AX1148" i="13176"/>
  <c r="AG1148" i="13176"/>
  <c r="P1148" i="13176"/>
  <c r="AW1148" i="13176"/>
  <c r="AF1148" i="13176"/>
  <c r="O1148" i="13176"/>
  <c r="AU1148" i="13176"/>
  <c r="AD1148" i="13176"/>
  <c r="M1148" i="13176"/>
  <c r="BA1148" i="13176"/>
  <c r="Z1148" i="13176"/>
  <c r="AZ1148" i="13176"/>
  <c r="Y1148" i="13176"/>
  <c r="AV1148" i="13176"/>
  <c r="V1148" i="13176"/>
  <c r="AT1148" i="13176"/>
  <c r="U1148" i="13176"/>
  <c r="AR1148" i="13176"/>
  <c r="T1148" i="13176"/>
  <c r="AQ1148" i="13176"/>
  <c r="S1148" i="13176"/>
  <c r="AP1148" i="13176"/>
  <c r="N1148" i="13176"/>
  <c r="AO1148" i="13176"/>
  <c r="L1148" i="13176"/>
  <c r="AL1148" i="13176"/>
  <c r="K1148" i="13176"/>
  <c r="AK1148" i="13176"/>
  <c r="J1148" i="13176"/>
  <c r="AJ1148" i="13176"/>
  <c r="I1148" i="13176"/>
  <c r="AI1148" i="13176"/>
  <c r="H1148" i="13176"/>
  <c r="AE1148" i="13176"/>
  <c r="E1148" i="13176"/>
  <c r="AC1148" i="13176"/>
  <c r="D1148" i="13176"/>
  <c r="BC1148" i="13176"/>
  <c r="AB1148" i="13176"/>
  <c r="C1148" i="13176"/>
  <c r="AL1158" i="13176"/>
  <c r="H1104" i="13176"/>
  <c r="Y1104" i="13176"/>
  <c r="AO1104" i="13176"/>
  <c r="S1105" i="13176"/>
  <c r="AI1105" i="13176"/>
  <c r="AZ1105" i="13176"/>
  <c r="J1109" i="13176"/>
  <c r="AA1109" i="13176"/>
  <c r="AQ1109" i="13176"/>
  <c r="H1112" i="13176"/>
  <c r="Y1112" i="13176"/>
  <c r="AO1112" i="13176"/>
  <c r="S1113" i="13176"/>
  <c r="AI1113" i="13176"/>
  <c r="AZ1113" i="13176"/>
  <c r="L1114" i="13176"/>
  <c r="AC1114" i="13176"/>
  <c r="AT1114" i="13176"/>
  <c r="K1117" i="13176"/>
  <c r="AC1117" i="13176"/>
  <c r="AU1117" i="13176"/>
  <c r="H1119" i="13176"/>
  <c r="AD1119" i="13176"/>
  <c r="AX1119" i="13176"/>
  <c r="M1120" i="13176"/>
  <c r="AI1120" i="13176"/>
  <c r="AX1121" i="13176"/>
  <c r="AG1121" i="13176"/>
  <c r="P1121" i="13176"/>
  <c r="AW1121" i="13176"/>
  <c r="AF1121" i="13176"/>
  <c r="O1121" i="13176"/>
  <c r="AO1121" i="13176"/>
  <c r="Y1121" i="13176"/>
  <c r="H1121" i="13176"/>
  <c r="AN1121" i="13176"/>
  <c r="X1121" i="13176"/>
  <c r="G1121" i="13176"/>
  <c r="W1121" i="13176"/>
  <c r="AT1121" i="13176"/>
  <c r="O1124" i="13176"/>
  <c r="AK1124" i="13176"/>
  <c r="F1125" i="13176"/>
  <c r="AI1125" i="13176"/>
  <c r="S1128" i="13176"/>
  <c r="AV1132" i="13176"/>
  <c r="AE1132" i="13176"/>
  <c r="N1132" i="13176"/>
  <c r="AU1132" i="13176"/>
  <c r="AD1132" i="13176"/>
  <c r="M1132" i="13176"/>
  <c r="AT1132" i="13176"/>
  <c r="AC1132" i="13176"/>
  <c r="L1132" i="13176"/>
  <c r="AR1132" i="13176"/>
  <c r="AB1132" i="13176"/>
  <c r="K1132" i="13176"/>
  <c r="AP1132" i="13176"/>
  <c r="Z1132" i="13176"/>
  <c r="I1132" i="13176"/>
  <c r="AO1132" i="13176"/>
  <c r="Y1132" i="13176"/>
  <c r="H1132" i="13176"/>
  <c r="AN1132" i="13176"/>
  <c r="X1132" i="13176"/>
  <c r="G1132" i="13176"/>
  <c r="BD1132" i="13176"/>
  <c r="AM1132" i="13176"/>
  <c r="W1132" i="13176"/>
  <c r="F1132" i="13176"/>
  <c r="BC1132" i="13176"/>
  <c r="AL1132" i="13176"/>
  <c r="V1132" i="13176"/>
  <c r="E1132" i="13176"/>
  <c r="BB1132" i="13176"/>
  <c r="AK1132" i="13176"/>
  <c r="U1132" i="13176"/>
  <c r="D1132" i="13176"/>
  <c r="BA1132" i="13176"/>
  <c r="AJ1132" i="13176"/>
  <c r="T1132" i="13176"/>
  <c r="C1132" i="13176"/>
  <c r="AY1132" i="13176"/>
  <c r="AH1132" i="13176"/>
  <c r="Q1132" i="13176"/>
  <c r="AX1132" i="13176"/>
  <c r="AG1132" i="13176"/>
  <c r="P1132" i="13176"/>
  <c r="BC1141" i="13176"/>
  <c r="AT1144" i="13176"/>
  <c r="AA1148" i="13176"/>
  <c r="G1099" i="13176"/>
  <c r="X1099" i="13176"/>
  <c r="AN1099" i="13176"/>
  <c r="Q1100" i="13176"/>
  <c r="AH1100" i="13176"/>
  <c r="AY1100" i="13176"/>
  <c r="I1104" i="13176"/>
  <c r="Z1104" i="13176"/>
  <c r="AP1104" i="13176"/>
  <c r="C1105" i="13176"/>
  <c r="T1105" i="13176"/>
  <c r="AJ1105" i="13176"/>
  <c r="BA1105" i="13176"/>
  <c r="G1107" i="13176"/>
  <c r="X1107" i="13176"/>
  <c r="AN1107" i="13176"/>
  <c r="Q1108" i="13176"/>
  <c r="AH1108" i="13176"/>
  <c r="AY1108" i="13176"/>
  <c r="K1109" i="13176"/>
  <c r="AB1109" i="13176"/>
  <c r="AR1109" i="13176"/>
  <c r="I1112" i="13176"/>
  <c r="Z1112" i="13176"/>
  <c r="AP1112" i="13176"/>
  <c r="C1113" i="13176"/>
  <c r="T1113" i="13176"/>
  <c r="AJ1113" i="13176"/>
  <c r="BA1113" i="13176"/>
  <c r="M1114" i="13176"/>
  <c r="AD1114" i="13176"/>
  <c r="AU1114" i="13176"/>
  <c r="G1115" i="13176"/>
  <c r="X1115" i="13176"/>
  <c r="AN1115" i="13176"/>
  <c r="Q1116" i="13176"/>
  <c r="AH1116" i="13176"/>
  <c r="AY1116" i="13176"/>
  <c r="L1117" i="13176"/>
  <c r="AD1117" i="13176"/>
  <c r="AV1117" i="13176"/>
  <c r="I1119" i="13176"/>
  <c r="AE1119" i="13176"/>
  <c r="AY1119" i="13176"/>
  <c r="O1120" i="13176"/>
  <c r="AJ1120" i="13176"/>
  <c r="C1121" i="13176"/>
  <c r="Z1121" i="13176"/>
  <c r="AU1121" i="13176"/>
  <c r="P1124" i="13176"/>
  <c r="AO1124" i="13176"/>
  <c r="I1125" i="13176"/>
  <c r="AJ1125" i="13176"/>
  <c r="X1128" i="13176"/>
  <c r="AQ1130" i="13176"/>
  <c r="J1132" i="13176"/>
  <c r="AT1135" i="13176"/>
  <c r="AX1137" i="13176"/>
  <c r="BB1148" i="13176"/>
  <c r="BB1174" i="13176"/>
  <c r="S1100" i="13176"/>
  <c r="AI1100" i="13176"/>
  <c r="AZ1100" i="13176"/>
  <c r="J1104" i="13176"/>
  <c r="AA1104" i="13176"/>
  <c r="AQ1104" i="13176"/>
  <c r="D1105" i="13176"/>
  <c r="U1105" i="13176"/>
  <c r="AK1105" i="13176"/>
  <c r="BB1105" i="13176"/>
  <c r="S1108" i="13176"/>
  <c r="AI1108" i="13176"/>
  <c r="AZ1108" i="13176"/>
  <c r="L1109" i="13176"/>
  <c r="AC1109" i="13176"/>
  <c r="AT1109" i="13176"/>
  <c r="J1112" i="13176"/>
  <c r="AA1112" i="13176"/>
  <c r="AQ1112" i="13176"/>
  <c r="D1113" i="13176"/>
  <c r="U1113" i="13176"/>
  <c r="AK1113" i="13176"/>
  <c r="BB1113" i="13176"/>
  <c r="N1114" i="13176"/>
  <c r="AE1114" i="13176"/>
  <c r="AV1114" i="13176"/>
  <c r="H1115" i="13176"/>
  <c r="Y1115" i="13176"/>
  <c r="AO1115" i="13176"/>
  <c r="S1116" i="13176"/>
  <c r="AI1116" i="13176"/>
  <c r="AZ1116" i="13176"/>
  <c r="M1117" i="13176"/>
  <c r="AE1117" i="13176"/>
  <c r="AW1117" i="13176"/>
  <c r="J1119" i="13176"/>
  <c r="AF1119" i="13176"/>
  <c r="AZ1119" i="13176"/>
  <c r="P1120" i="13176"/>
  <c r="AK1120" i="13176"/>
  <c r="D1121" i="13176"/>
  <c r="AA1121" i="13176"/>
  <c r="AV1121" i="13176"/>
  <c r="Y1123" i="13176"/>
  <c r="Q1124" i="13176"/>
  <c r="AP1124" i="13176"/>
  <c r="J1125" i="13176"/>
  <c r="AK1125" i="13176"/>
  <c r="Z1128" i="13176"/>
  <c r="O1132" i="13176"/>
  <c r="BB1139" i="13176"/>
  <c r="I1099" i="13176"/>
  <c r="Z1099" i="13176"/>
  <c r="C1100" i="13176"/>
  <c r="T1100" i="13176"/>
  <c r="AJ1100" i="13176"/>
  <c r="K1104" i="13176"/>
  <c r="AB1104" i="13176"/>
  <c r="E1105" i="13176"/>
  <c r="V1105" i="13176"/>
  <c r="AL1105" i="13176"/>
  <c r="I1107" i="13176"/>
  <c r="Z1107" i="13176"/>
  <c r="C1108" i="13176"/>
  <c r="T1108" i="13176"/>
  <c r="AJ1108" i="13176"/>
  <c r="M1109" i="13176"/>
  <c r="AD1109" i="13176"/>
  <c r="K1112" i="13176"/>
  <c r="AB1112" i="13176"/>
  <c r="E1113" i="13176"/>
  <c r="V1113" i="13176"/>
  <c r="AL1113" i="13176"/>
  <c r="O1114" i="13176"/>
  <c r="AF1114" i="13176"/>
  <c r="I1115" i="13176"/>
  <c r="Z1115" i="13176"/>
  <c r="C1116" i="13176"/>
  <c r="T1116" i="13176"/>
  <c r="AJ1116" i="13176"/>
  <c r="N1117" i="13176"/>
  <c r="AF1117" i="13176"/>
  <c r="AX1117" i="13176"/>
  <c r="M1119" i="13176"/>
  <c r="AG1119" i="13176"/>
  <c r="BA1119" i="13176"/>
  <c r="Q1120" i="13176"/>
  <c r="AN1120" i="13176"/>
  <c r="E1121" i="13176"/>
  <c r="AB1121" i="13176"/>
  <c r="AY1121" i="13176"/>
  <c r="BB1123" i="13176"/>
  <c r="AK1123" i="13176"/>
  <c r="U1123" i="13176"/>
  <c r="D1123" i="13176"/>
  <c r="BA1123" i="13176"/>
  <c r="AJ1123" i="13176"/>
  <c r="T1123" i="13176"/>
  <c r="C1123" i="13176"/>
  <c r="AU1123" i="13176"/>
  <c r="AD1123" i="13176"/>
  <c r="M1123" i="13176"/>
  <c r="AT1123" i="13176"/>
  <c r="AC1123" i="13176"/>
  <c r="L1123" i="13176"/>
  <c r="AR1123" i="13176"/>
  <c r="AB1123" i="13176"/>
  <c r="K1123" i="13176"/>
  <c r="Z1123" i="13176"/>
  <c r="AY1123" i="13176"/>
  <c r="S1124" i="13176"/>
  <c r="AQ1124" i="13176"/>
  <c r="K1125" i="13176"/>
  <c r="AP1125" i="13176"/>
  <c r="AA1128" i="13176"/>
  <c r="BB1131" i="13176"/>
  <c r="S1132" i="13176"/>
  <c r="Y1149" i="13176"/>
  <c r="S1129" i="13176"/>
  <c r="AI1129" i="13176"/>
  <c r="AZ1129" i="13176"/>
  <c r="J1133" i="13176"/>
  <c r="AA1133" i="13176"/>
  <c r="AQ1133" i="13176"/>
  <c r="H1136" i="13176"/>
  <c r="Y1136" i="13176"/>
  <c r="AO1136" i="13176"/>
  <c r="S1137" i="13176"/>
  <c r="AI1137" i="13176"/>
  <c r="AZ1137" i="13176"/>
  <c r="P1140" i="13176"/>
  <c r="AG1140" i="13176"/>
  <c r="AX1140" i="13176"/>
  <c r="J1141" i="13176"/>
  <c r="AA1141" i="13176"/>
  <c r="AT1141" i="13176"/>
  <c r="H1142" i="13176"/>
  <c r="AD1142" i="13176"/>
  <c r="AX1142" i="13176"/>
  <c r="W1149" i="13176"/>
  <c r="BD1149" i="13176"/>
  <c r="AF1150" i="13176"/>
  <c r="AX1152" i="13176"/>
  <c r="I1136" i="13176"/>
  <c r="Z1136" i="13176"/>
  <c r="AP1136" i="13176"/>
  <c r="Q1140" i="13176"/>
  <c r="AH1140" i="13176"/>
  <c r="AY1140" i="13176"/>
  <c r="I1142" i="13176"/>
  <c r="AE1142" i="13176"/>
  <c r="AY1142" i="13176"/>
  <c r="AO1160" i="13176"/>
  <c r="S1140" i="13176"/>
  <c r="AI1140" i="13176"/>
  <c r="AZ1140" i="13176"/>
  <c r="BA1146" i="13176"/>
  <c r="AY1149" i="13176"/>
  <c r="AH1149" i="13176"/>
  <c r="Q1149" i="13176"/>
  <c r="AX1149" i="13176"/>
  <c r="AG1149" i="13176"/>
  <c r="P1149" i="13176"/>
  <c r="AU1149" i="13176"/>
  <c r="AD1149" i="13176"/>
  <c r="AR1149" i="13176"/>
  <c r="AB1149" i="13176"/>
  <c r="K1149" i="13176"/>
  <c r="AQ1149" i="13176"/>
  <c r="AA1149" i="13176"/>
  <c r="J1149" i="13176"/>
  <c r="AP1149" i="13176"/>
  <c r="Z1149" i="13176"/>
  <c r="I1149" i="13176"/>
  <c r="AN1149" i="13176"/>
  <c r="X1149" i="13176"/>
  <c r="G1149" i="13176"/>
  <c r="BA1149" i="13176"/>
  <c r="AJ1149" i="13176"/>
  <c r="AC1149" i="13176"/>
  <c r="AR1150" i="13176"/>
  <c r="AB1150" i="13176"/>
  <c r="K1150" i="13176"/>
  <c r="AQ1150" i="13176"/>
  <c r="AA1150" i="13176"/>
  <c r="J1150" i="13176"/>
  <c r="AN1150" i="13176"/>
  <c r="X1150" i="13176"/>
  <c r="G1150" i="13176"/>
  <c r="BD1150" i="13176"/>
  <c r="BC1150" i="13176"/>
  <c r="AL1150" i="13176"/>
  <c r="V1150" i="13176"/>
  <c r="E1150" i="13176"/>
  <c r="BB1150" i="13176"/>
  <c r="AK1150" i="13176"/>
  <c r="U1150" i="13176"/>
  <c r="D1150" i="13176"/>
  <c r="BA1150" i="13176"/>
  <c r="AJ1150" i="13176"/>
  <c r="T1150" i="13176"/>
  <c r="C1150" i="13176"/>
  <c r="AY1150" i="13176"/>
  <c r="AH1150" i="13176"/>
  <c r="Q1150" i="13176"/>
  <c r="AU1150" i="13176"/>
  <c r="AD1150" i="13176"/>
  <c r="M1150" i="13176"/>
  <c r="AI1150" i="13176"/>
  <c r="AW1152" i="13176"/>
  <c r="AF1152" i="13176"/>
  <c r="O1152" i="13176"/>
  <c r="AV1152" i="13176"/>
  <c r="AE1152" i="13176"/>
  <c r="N1152" i="13176"/>
  <c r="AT1152" i="13176"/>
  <c r="AC1152" i="13176"/>
  <c r="L1152" i="13176"/>
  <c r="AR1152" i="13176"/>
  <c r="AB1152" i="13176"/>
  <c r="K1152" i="13176"/>
  <c r="AQ1152" i="13176"/>
  <c r="AA1152" i="13176"/>
  <c r="J1152" i="13176"/>
  <c r="AP1152" i="13176"/>
  <c r="Z1152" i="13176"/>
  <c r="I1152" i="13176"/>
  <c r="AO1152" i="13176"/>
  <c r="Y1152" i="13176"/>
  <c r="H1152" i="13176"/>
  <c r="AN1152" i="13176"/>
  <c r="X1152" i="13176"/>
  <c r="G1152" i="13176"/>
  <c r="BC1152" i="13176"/>
  <c r="AL1152" i="13176"/>
  <c r="V1152" i="13176"/>
  <c r="E1152" i="13176"/>
  <c r="BB1152" i="13176"/>
  <c r="AK1152" i="13176"/>
  <c r="U1152" i="13176"/>
  <c r="D1152" i="13176"/>
  <c r="AY1152" i="13176"/>
  <c r="AH1152" i="13176"/>
  <c r="Q1152" i="13176"/>
  <c r="BA1152" i="13176"/>
  <c r="AW1175" i="13176"/>
  <c r="AF1175" i="13176"/>
  <c r="AX1175" i="13176"/>
  <c r="AE1175" i="13176"/>
  <c r="N1175" i="13176"/>
  <c r="AV1175" i="13176"/>
  <c r="AD1175" i="13176"/>
  <c r="M1175" i="13176"/>
  <c r="AU1175" i="13176"/>
  <c r="AC1175" i="13176"/>
  <c r="L1175" i="13176"/>
  <c r="AT1175" i="13176"/>
  <c r="AB1175" i="13176"/>
  <c r="K1175" i="13176"/>
  <c r="AR1175" i="13176"/>
  <c r="AA1175" i="13176"/>
  <c r="J1175" i="13176"/>
  <c r="AQ1175" i="13176"/>
  <c r="Z1175" i="13176"/>
  <c r="I1175" i="13176"/>
  <c r="AP1175" i="13176"/>
  <c r="Y1175" i="13176"/>
  <c r="H1175" i="13176"/>
  <c r="AO1175" i="13176"/>
  <c r="X1175" i="13176"/>
  <c r="G1175" i="13176"/>
  <c r="AN1175" i="13176"/>
  <c r="W1175" i="13176"/>
  <c r="F1175" i="13176"/>
  <c r="AM1175" i="13176"/>
  <c r="V1175" i="13176"/>
  <c r="E1175" i="13176"/>
  <c r="BD1175" i="13176"/>
  <c r="AL1175" i="13176"/>
  <c r="U1175" i="13176"/>
  <c r="D1175" i="13176"/>
  <c r="BC1175" i="13176"/>
  <c r="AK1175" i="13176"/>
  <c r="T1175" i="13176"/>
  <c r="C1175" i="13176"/>
  <c r="BB1175" i="13176"/>
  <c r="BA1175" i="13176"/>
  <c r="AZ1175" i="13176"/>
  <c r="AY1175" i="13176"/>
  <c r="AJ1175" i="13176"/>
  <c r="AI1175" i="13176"/>
  <c r="AH1175" i="13176"/>
  <c r="AG1175" i="13176"/>
  <c r="S1175" i="13176"/>
  <c r="Q1175" i="13176"/>
  <c r="P1175" i="13176"/>
  <c r="O1175" i="13176"/>
  <c r="AQ1180" i="13176"/>
  <c r="E1129" i="13176"/>
  <c r="V1129" i="13176"/>
  <c r="AL1129" i="13176"/>
  <c r="BC1129" i="13176"/>
  <c r="M1133" i="13176"/>
  <c r="AD1133" i="13176"/>
  <c r="AU1133" i="13176"/>
  <c r="K1136" i="13176"/>
  <c r="AB1136" i="13176"/>
  <c r="AR1136" i="13176"/>
  <c r="AL1137" i="13176"/>
  <c r="BC1137" i="13176"/>
  <c r="C1140" i="13176"/>
  <c r="T1140" i="13176"/>
  <c r="AJ1140" i="13176"/>
  <c r="BA1140" i="13176"/>
  <c r="M1142" i="13176"/>
  <c r="AG1142" i="13176"/>
  <c r="BA1142" i="13176"/>
  <c r="C1149" i="13176"/>
  <c r="AE1149" i="13176"/>
  <c r="F1150" i="13176"/>
  <c r="AM1150" i="13176"/>
  <c r="C1152" i="13176"/>
  <c r="BD1152" i="13176"/>
  <c r="AY1157" i="13176"/>
  <c r="AH1157" i="13176"/>
  <c r="Q1157" i="13176"/>
  <c r="AX1157" i="13176"/>
  <c r="AG1157" i="13176"/>
  <c r="P1157" i="13176"/>
  <c r="AV1157" i="13176"/>
  <c r="AE1157" i="13176"/>
  <c r="N1157" i="13176"/>
  <c r="AU1157" i="13176"/>
  <c r="AD1157" i="13176"/>
  <c r="M1157" i="13176"/>
  <c r="AT1157" i="13176"/>
  <c r="AC1157" i="13176"/>
  <c r="L1157" i="13176"/>
  <c r="AR1157" i="13176"/>
  <c r="AB1157" i="13176"/>
  <c r="K1157" i="13176"/>
  <c r="AQ1157" i="13176"/>
  <c r="AA1157" i="13176"/>
  <c r="J1157" i="13176"/>
  <c r="AP1157" i="13176"/>
  <c r="Z1157" i="13176"/>
  <c r="I1157" i="13176"/>
  <c r="AO1157" i="13176"/>
  <c r="Y1157" i="13176"/>
  <c r="H1157" i="13176"/>
  <c r="AN1157" i="13176"/>
  <c r="X1157" i="13176"/>
  <c r="G1157" i="13176"/>
  <c r="BD1157" i="13176"/>
  <c r="AM1157" i="13176"/>
  <c r="W1157" i="13176"/>
  <c r="F1157" i="13176"/>
  <c r="BC1157" i="13176"/>
  <c r="AL1157" i="13176"/>
  <c r="V1157" i="13176"/>
  <c r="E1157" i="13176"/>
  <c r="BA1157" i="13176"/>
  <c r="AJ1157" i="13176"/>
  <c r="T1157" i="13176"/>
  <c r="C1157" i="13176"/>
  <c r="S1127" i="13176"/>
  <c r="AI1127" i="13176"/>
  <c r="AZ1127" i="13176"/>
  <c r="F1129" i="13176"/>
  <c r="W1129" i="13176"/>
  <c r="AM1129" i="13176"/>
  <c r="BD1129" i="13176"/>
  <c r="N1133" i="13176"/>
  <c r="AE1133" i="13176"/>
  <c r="AV1133" i="13176"/>
  <c r="S1135" i="13176"/>
  <c r="AI1135" i="13176"/>
  <c r="AZ1135" i="13176"/>
  <c r="L1136" i="13176"/>
  <c r="AC1136" i="13176"/>
  <c r="AT1136" i="13176"/>
  <c r="F1137" i="13176"/>
  <c r="W1137" i="13176"/>
  <c r="AM1137" i="13176"/>
  <c r="BD1137" i="13176"/>
  <c r="J1139" i="13176"/>
  <c r="AA1139" i="13176"/>
  <c r="AQ1139" i="13176"/>
  <c r="D1140" i="13176"/>
  <c r="U1140" i="13176"/>
  <c r="AK1140" i="13176"/>
  <c r="BB1140" i="13176"/>
  <c r="N1141" i="13176"/>
  <c r="AE1141" i="13176"/>
  <c r="AZ1141" i="13176"/>
  <c r="N1142" i="13176"/>
  <c r="AH1142" i="13176"/>
  <c r="BC1142" i="13176"/>
  <c r="T1143" i="13176"/>
  <c r="AP1143" i="13176"/>
  <c r="P1147" i="13176"/>
  <c r="AO1147" i="13176"/>
  <c r="D1149" i="13176"/>
  <c r="AF1149" i="13176"/>
  <c r="H1150" i="13176"/>
  <c r="AO1150" i="13176"/>
  <c r="F1152" i="13176"/>
  <c r="D1157" i="13176"/>
  <c r="AZ1167" i="13176"/>
  <c r="AL1176" i="13176"/>
  <c r="C1127" i="13176"/>
  <c r="T1127" i="13176"/>
  <c r="AJ1127" i="13176"/>
  <c r="BA1127" i="13176"/>
  <c r="G1129" i="13176"/>
  <c r="X1129" i="13176"/>
  <c r="AN1129" i="13176"/>
  <c r="K1131" i="13176"/>
  <c r="AB1131" i="13176"/>
  <c r="AR1131" i="13176"/>
  <c r="O1133" i="13176"/>
  <c r="AF1133" i="13176"/>
  <c r="AW1133" i="13176"/>
  <c r="C1135" i="13176"/>
  <c r="T1135" i="13176"/>
  <c r="AJ1135" i="13176"/>
  <c r="BA1135" i="13176"/>
  <c r="M1136" i="13176"/>
  <c r="AD1136" i="13176"/>
  <c r="AU1136" i="13176"/>
  <c r="G1137" i="13176"/>
  <c r="X1137" i="13176"/>
  <c r="AN1137" i="13176"/>
  <c r="K1139" i="13176"/>
  <c r="AB1139" i="13176"/>
  <c r="AR1139" i="13176"/>
  <c r="E1140" i="13176"/>
  <c r="V1140" i="13176"/>
  <c r="AL1140" i="13176"/>
  <c r="BC1140" i="13176"/>
  <c r="O1141" i="13176"/>
  <c r="AF1141" i="13176"/>
  <c r="BA1141" i="13176"/>
  <c r="O1142" i="13176"/>
  <c r="AI1142" i="13176"/>
  <c r="BD1142" i="13176"/>
  <c r="W1143" i="13176"/>
  <c r="AQ1143" i="13176"/>
  <c r="Q1147" i="13176"/>
  <c r="AP1147" i="13176"/>
  <c r="E1149" i="13176"/>
  <c r="AI1149" i="13176"/>
  <c r="I1150" i="13176"/>
  <c r="AP1150" i="13176"/>
  <c r="M1152" i="13176"/>
  <c r="AP1153" i="13176"/>
  <c r="O1157" i="13176"/>
  <c r="S1122" i="13176"/>
  <c r="AI1122" i="13176"/>
  <c r="AZ1122" i="13176"/>
  <c r="D1127" i="13176"/>
  <c r="U1127" i="13176"/>
  <c r="AK1127" i="13176"/>
  <c r="BB1127" i="13176"/>
  <c r="H1129" i="13176"/>
  <c r="Y1129" i="13176"/>
  <c r="AO1129" i="13176"/>
  <c r="S1130" i="13176"/>
  <c r="AI1130" i="13176"/>
  <c r="AZ1130" i="13176"/>
  <c r="L1131" i="13176"/>
  <c r="AC1131" i="13176"/>
  <c r="AT1131" i="13176"/>
  <c r="P1133" i="13176"/>
  <c r="AG1133" i="13176"/>
  <c r="AX1133" i="13176"/>
  <c r="D1135" i="13176"/>
  <c r="U1135" i="13176"/>
  <c r="AK1135" i="13176"/>
  <c r="BB1135" i="13176"/>
  <c r="N1136" i="13176"/>
  <c r="AE1136" i="13176"/>
  <c r="AV1136" i="13176"/>
  <c r="H1137" i="13176"/>
  <c r="Y1137" i="13176"/>
  <c r="AO1137" i="13176"/>
  <c r="S1138" i="13176"/>
  <c r="AI1138" i="13176"/>
  <c r="AZ1138" i="13176"/>
  <c r="L1139" i="13176"/>
  <c r="AC1139" i="13176"/>
  <c r="AT1139" i="13176"/>
  <c r="F1140" i="13176"/>
  <c r="W1140" i="13176"/>
  <c r="AM1140" i="13176"/>
  <c r="BD1140" i="13176"/>
  <c r="P1141" i="13176"/>
  <c r="AI1141" i="13176"/>
  <c r="BB1141" i="13176"/>
  <c r="P1142" i="13176"/>
  <c r="AJ1142" i="13176"/>
  <c r="X1143" i="13176"/>
  <c r="S1147" i="13176"/>
  <c r="AQ1147" i="13176"/>
  <c r="F1149" i="13176"/>
  <c r="AK1149" i="13176"/>
  <c r="L1150" i="13176"/>
  <c r="AT1150" i="13176"/>
  <c r="P1152" i="13176"/>
  <c r="BA1154" i="13176"/>
  <c r="S1157" i="13176"/>
  <c r="E1127" i="13176"/>
  <c r="V1127" i="13176"/>
  <c r="AL1127" i="13176"/>
  <c r="BC1127" i="13176"/>
  <c r="I1129" i="13176"/>
  <c r="Z1129" i="13176"/>
  <c r="AP1129" i="13176"/>
  <c r="M1131" i="13176"/>
  <c r="AD1131" i="13176"/>
  <c r="AU1131" i="13176"/>
  <c r="Q1133" i="13176"/>
  <c r="AH1133" i="13176"/>
  <c r="AY1133" i="13176"/>
  <c r="E1135" i="13176"/>
  <c r="V1135" i="13176"/>
  <c r="AL1135" i="13176"/>
  <c r="BC1135" i="13176"/>
  <c r="O1136" i="13176"/>
  <c r="AF1136" i="13176"/>
  <c r="AW1136" i="13176"/>
  <c r="I1137" i="13176"/>
  <c r="Z1137" i="13176"/>
  <c r="AP1137" i="13176"/>
  <c r="G1140" i="13176"/>
  <c r="X1140" i="13176"/>
  <c r="AN1140" i="13176"/>
  <c r="Q1141" i="13176"/>
  <c r="AJ1141" i="13176"/>
  <c r="Q1142" i="13176"/>
  <c r="AL1142" i="13176"/>
  <c r="BC1143" i="13176"/>
  <c r="AL1143" i="13176"/>
  <c r="V1143" i="13176"/>
  <c r="E1143" i="13176"/>
  <c r="BB1143" i="13176"/>
  <c r="AK1143" i="13176"/>
  <c r="U1143" i="13176"/>
  <c r="D1143" i="13176"/>
  <c r="AW1143" i="13176"/>
  <c r="AF1143" i="13176"/>
  <c r="O1143" i="13176"/>
  <c r="AV1143" i="13176"/>
  <c r="AE1143" i="13176"/>
  <c r="N1143" i="13176"/>
  <c r="Y1143" i="13176"/>
  <c r="AT1143" i="13176"/>
  <c r="T1147" i="13176"/>
  <c r="AR1147" i="13176"/>
  <c r="H1149" i="13176"/>
  <c r="AL1149" i="13176"/>
  <c r="N1150" i="13176"/>
  <c r="AV1150" i="13176"/>
  <c r="S1152" i="13176"/>
  <c r="AN1156" i="13176"/>
  <c r="U1157" i="13176"/>
  <c r="AZ1161" i="13176"/>
  <c r="AQ1129" i="13176"/>
  <c r="S1133" i="13176"/>
  <c r="AI1133" i="13176"/>
  <c r="AZ1133" i="13176"/>
  <c r="P1136" i="13176"/>
  <c r="AG1136" i="13176"/>
  <c r="AX1136" i="13176"/>
  <c r="J1137" i="13176"/>
  <c r="AA1137" i="13176"/>
  <c r="AQ1137" i="13176"/>
  <c r="H1140" i="13176"/>
  <c r="Y1140" i="13176"/>
  <c r="AO1140" i="13176"/>
  <c r="AY1141" i="13176"/>
  <c r="AH1141" i="13176"/>
  <c r="AX1141" i="13176"/>
  <c r="AG1141" i="13176"/>
  <c r="S1141" i="13176"/>
  <c r="AK1141" i="13176"/>
  <c r="BD1141" i="13176"/>
  <c r="S1142" i="13176"/>
  <c r="AM1142" i="13176"/>
  <c r="C1143" i="13176"/>
  <c r="Z1143" i="13176"/>
  <c r="AU1143" i="13176"/>
  <c r="U1147" i="13176"/>
  <c r="L1149" i="13176"/>
  <c r="AM1149" i="13176"/>
  <c r="O1150" i="13176"/>
  <c r="AW1150" i="13176"/>
  <c r="T1152" i="13176"/>
  <c r="AU1155" i="13176"/>
  <c r="AF1157" i="13176"/>
  <c r="AK1164" i="13176"/>
  <c r="BA1172" i="13176"/>
  <c r="Q1136" i="13176"/>
  <c r="AH1136" i="13176"/>
  <c r="AY1136" i="13176"/>
  <c r="I1140" i="13176"/>
  <c r="Z1140" i="13176"/>
  <c r="AP1140" i="13176"/>
  <c r="T1142" i="13176"/>
  <c r="AP1145" i="13176"/>
  <c r="M1149" i="13176"/>
  <c r="AO1149" i="13176"/>
  <c r="P1150" i="13176"/>
  <c r="AX1150" i="13176"/>
  <c r="W1152" i="13176"/>
  <c r="S1136" i="13176"/>
  <c r="AI1136" i="13176"/>
  <c r="AZ1136" i="13176"/>
  <c r="J1140" i="13176"/>
  <c r="AA1140" i="13176"/>
  <c r="AQ1140" i="13176"/>
  <c r="AR1142" i="13176"/>
  <c r="AB1142" i="13176"/>
  <c r="K1142" i="13176"/>
  <c r="AQ1142" i="13176"/>
  <c r="AA1142" i="13176"/>
  <c r="J1142" i="13176"/>
  <c r="BB1142" i="13176"/>
  <c r="AK1142" i="13176"/>
  <c r="U1142" i="13176"/>
  <c r="V1142" i="13176"/>
  <c r="AO1142" i="13176"/>
  <c r="N1149" i="13176"/>
  <c r="AT1149" i="13176"/>
  <c r="S1150" i="13176"/>
  <c r="AZ1150" i="13176"/>
  <c r="AD1152" i="13176"/>
  <c r="AQ1159" i="13176"/>
  <c r="I1127" i="13176"/>
  <c r="Z1127" i="13176"/>
  <c r="AP1127" i="13176"/>
  <c r="M1129" i="13176"/>
  <c r="AD1129" i="13176"/>
  <c r="AU1129" i="13176"/>
  <c r="Q1131" i="13176"/>
  <c r="AH1131" i="13176"/>
  <c r="AY1131" i="13176"/>
  <c r="E1133" i="13176"/>
  <c r="V1133" i="13176"/>
  <c r="AL1133" i="13176"/>
  <c r="BC1133" i="13176"/>
  <c r="I1135" i="13176"/>
  <c r="Z1135" i="13176"/>
  <c r="AP1135" i="13176"/>
  <c r="C1136" i="13176"/>
  <c r="T1136" i="13176"/>
  <c r="AJ1136" i="13176"/>
  <c r="BA1136" i="13176"/>
  <c r="M1137" i="13176"/>
  <c r="AD1137" i="13176"/>
  <c r="AU1137" i="13176"/>
  <c r="K1140" i="13176"/>
  <c r="AB1140" i="13176"/>
  <c r="AR1140" i="13176"/>
  <c r="E1141" i="13176"/>
  <c r="V1141" i="13176"/>
  <c r="AN1141" i="13176"/>
  <c r="C1142" i="13176"/>
  <c r="W1142" i="13176"/>
  <c r="AP1142" i="13176"/>
  <c r="H1143" i="13176"/>
  <c r="AC1143" i="13176"/>
  <c r="AZ1143" i="13176"/>
  <c r="AU1147" i="13176"/>
  <c r="AD1147" i="13176"/>
  <c r="M1147" i="13176"/>
  <c r="AT1147" i="13176"/>
  <c r="AC1147" i="13176"/>
  <c r="L1147" i="13176"/>
  <c r="AN1147" i="13176"/>
  <c r="X1147" i="13176"/>
  <c r="G1147" i="13176"/>
  <c r="BD1147" i="13176"/>
  <c r="AM1147" i="13176"/>
  <c r="W1147" i="13176"/>
  <c r="F1147" i="13176"/>
  <c r="BC1147" i="13176"/>
  <c r="AL1147" i="13176"/>
  <c r="V1147" i="13176"/>
  <c r="E1147" i="13176"/>
  <c r="BA1147" i="13176"/>
  <c r="AA1147" i="13176"/>
  <c r="AY1147" i="13176"/>
  <c r="O1149" i="13176"/>
  <c r="AV1149" i="13176"/>
  <c r="W1150" i="13176"/>
  <c r="AG1152" i="13176"/>
  <c r="AW1157" i="13176"/>
  <c r="J1127" i="13176"/>
  <c r="AA1127" i="13176"/>
  <c r="AQ1127" i="13176"/>
  <c r="N1129" i="13176"/>
  <c r="AE1129" i="13176"/>
  <c r="AV1129" i="13176"/>
  <c r="S1131" i="13176"/>
  <c r="AI1131" i="13176"/>
  <c r="AZ1131" i="13176"/>
  <c r="F1133" i="13176"/>
  <c r="W1133" i="13176"/>
  <c r="AM1133" i="13176"/>
  <c r="BD1133" i="13176"/>
  <c r="J1135" i="13176"/>
  <c r="AA1135" i="13176"/>
  <c r="AQ1135" i="13176"/>
  <c r="D1136" i="13176"/>
  <c r="U1136" i="13176"/>
  <c r="AK1136" i="13176"/>
  <c r="BB1136" i="13176"/>
  <c r="N1137" i="13176"/>
  <c r="AE1137" i="13176"/>
  <c r="AV1137" i="13176"/>
  <c r="S1139" i="13176"/>
  <c r="AI1139" i="13176"/>
  <c r="AZ1139" i="13176"/>
  <c r="L1140" i="13176"/>
  <c r="AC1140" i="13176"/>
  <c r="AT1140" i="13176"/>
  <c r="F1141" i="13176"/>
  <c r="W1141" i="13176"/>
  <c r="AO1141" i="13176"/>
  <c r="D1142" i="13176"/>
  <c r="X1142" i="13176"/>
  <c r="AT1142" i="13176"/>
  <c r="I1143" i="13176"/>
  <c r="AD1143" i="13176"/>
  <c r="BA1143" i="13176"/>
  <c r="C1147" i="13176"/>
  <c r="AB1147" i="13176"/>
  <c r="AZ1147" i="13176"/>
  <c r="S1149" i="13176"/>
  <c r="AW1149" i="13176"/>
  <c r="Y1150" i="13176"/>
  <c r="BC1151" i="13176"/>
  <c r="AI1152" i="13176"/>
  <c r="AZ1157" i="13176"/>
  <c r="Q1118" i="13176"/>
  <c r="AH1118" i="13176"/>
  <c r="AY1118" i="13176"/>
  <c r="I1122" i="13176"/>
  <c r="Z1122" i="13176"/>
  <c r="AP1122" i="13176"/>
  <c r="Q1126" i="13176"/>
  <c r="AH1126" i="13176"/>
  <c r="AY1126" i="13176"/>
  <c r="K1127" i="13176"/>
  <c r="AB1127" i="13176"/>
  <c r="AR1127" i="13176"/>
  <c r="O1129" i="13176"/>
  <c r="AF1129" i="13176"/>
  <c r="AW1129" i="13176"/>
  <c r="I1130" i="13176"/>
  <c r="Z1130" i="13176"/>
  <c r="AP1130" i="13176"/>
  <c r="C1131" i="13176"/>
  <c r="T1131" i="13176"/>
  <c r="AJ1131" i="13176"/>
  <c r="BA1131" i="13176"/>
  <c r="G1133" i="13176"/>
  <c r="X1133" i="13176"/>
  <c r="AN1133" i="13176"/>
  <c r="Q1134" i="13176"/>
  <c r="AH1134" i="13176"/>
  <c r="AY1134" i="13176"/>
  <c r="K1135" i="13176"/>
  <c r="AB1135" i="13176"/>
  <c r="AR1135" i="13176"/>
  <c r="E1136" i="13176"/>
  <c r="V1136" i="13176"/>
  <c r="AL1136" i="13176"/>
  <c r="BC1136" i="13176"/>
  <c r="O1137" i="13176"/>
  <c r="AF1137" i="13176"/>
  <c r="AW1137" i="13176"/>
  <c r="I1138" i="13176"/>
  <c r="Z1138" i="13176"/>
  <c r="AP1138" i="13176"/>
  <c r="C1139" i="13176"/>
  <c r="T1139" i="13176"/>
  <c r="AJ1139" i="13176"/>
  <c r="BA1139" i="13176"/>
  <c r="M1140" i="13176"/>
  <c r="AD1140" i="13176"/>
  <c r="AU1140" i="13176"/>
  <c r="G1141" i="13176"/>
  <c r="X1141" i="13176"/>
  <c r="AP1141" i="13176"/>
  <c r="E1142" i="13176"/>
  <c r="Y1142" i="13176"/>
  <c r="AU1142" i="13176"/>
  <c r="J1143" i="13176"/>
  <c r="AG1143" i="13176"/>
  <c r="BD1143" i="13176"/>
  <c r="D1147" i="13176"/>
  <c r="AE1147" i="13176"/>
  <c r="BB1147" i="13176"/>
  <c r="T1149" i="13176"/>
  <c r="AZ1149" i="13176"/>
  <c r="Z1150" i="13176"/>
  <c r="AJ1152" i="13176"/>
  <c r="BB1157" i="13176"/>
  <c r="AD1162" i="13176"/>
  <c r="AP1184" i="13176"/>
  <c r="S1118" i="13176"/>
  <c r="AI1118" i="13176"/>
  <c r="J1122" i="13176"/>
  <c r="AA1122" i="13176"/>
  <c r="S1126" i="13176"/>
  <c r="AI1126" i="13176"/>
  <c r="L1127" i="13176"/>
  <c r="AC1127" i="13176"/>
  <c r="P1129" i="13176"/>
  <c r="AG1129" i="13176"/>
  <c r="J1130" i="13176"/>
  <c r="AA1130" i="13176"/>
  <c r="D1131" i="13176"/>
  <c r="U1131" i="13176"/>
  <c r="AK1131" i="13176"/>
  <c r="H1133" i="13176"/>
  <c r="Y1133" i="13176"/>
  <c r="S1134" i="13176"/>
  <c r="AI1134" i="13176"/>
  <c r="L1135" i="13176"/>
  <c r="AC1135" i="13176"/>
  <c r="F1136" i="13176"/>
  <c r="W1136" i="13176"/>
  <c r="AM1136" i="13176"/>
  <c r="P1137" i="13176"/>
  <c r="AG1137" i="13176"/>
  <c r="J1138" i="13176"/>
  <c r="AA1138" i="13176"/>
  <c r="D1139" i="13176"/>
  <c r="U1139" i="13176"/>
  <c r="AK1139" i="13176"/>
  <c r="N1140" i="13176"/>
  <c r="AE1140" i="13176"/>
  <c r="H1141" i="13176"/>
  <c r="Y1141" i="13176"/>
  <c r="AQ1141" i="13176"/>
  <c r="F1142" i="13176"/>
  <c r="Z1142" i="13176"/>
  <c r="AV1142" i="13176"/>
  <c r="K1143" i="13176"/>
  <c r="AH1143" i="13176"/>
  <c r="H1147" i="13176"/>
  <c r="AF1147" i="13176"/>
  <c r="U1149" i="13176"/>
  <c r="BB1149" i="13176"/>
  <c r="AC1150" i="13176"/>
  <c r="AM1152" i="13176"/>
  <c r="G1151" i="13176"/>
  <c r="X1151" i="13176"/>
  <c r="AN1151" i="13176"/>
  <c r="O1155" i="13176"/>
  <c r="AF1155" i="13176"/>
  <c r="AW1155" i="13176"/>
  <c r="Z1156" i="13176"/>
  <c r="AP1156" i="13176"/>
  <c r="N1158" i="13176"/>
  <c r="AH1158" i="13176"/>
  <c r="BA1158" i="13176"/>
  <c r="P1159" i="13176"/>
  <c r="AK1159" i="13176"/>
  <c r="AX1192" i="13176"/>
  <c r="Q1158" i="13176"/>
  <c r="AJ1158" i="13176"/>
  <c r="BC1158" i="13176"/>
  <c r="AX1164" i="13176"/>
  <c r="AG1164" i="13176"/>
  <c r="P1164" i="13176"/>
  <c r="AW1164" i="13176"/>
  <c r="AF1164" i="13176"/>
  <c r="O1164" i="13176"/>
  <c r="AV1164" i="13176"/>
  <c r="AE1164" i="13176"/>
  <c r="N1164" i="13176"/>
  <c r="AU1164" i="13176"/>
  <c r="AD1164" i="13176"/>
  <c r="M1164" i="13176"/>
  <c r="AT1164" i="13176"/>
  <c r="AC1164" i="13176"/>
  <c r="L1164" i="13176"/>
  <c r="AR1164" i="13176"/>
  <c r="AB1164" i="13176"/>
  <c r="K1164" i="13176"/>
  <c r="AQ1164" i="13176"/>
  <c r="AA1164" i="13176"/>
  <c r="J1164" i="13176"/>
  <c r="AP1164" i="13176"/>
  <c r="Z1164" i="13176"/>
  <c r="I1164" i="13176"/>
  <c r="AN1164" i="13176"/>
  <c r="X1164" i="13176"/>
  <c r="G1164" i="13176"/>
  <c r="BC1164" i="13176"/>
  <c r="AL1164" i="13176"/>
  <c r="V1164" i="13176"/>
  <c r="E1164" i="13176"/>
  <c r="AO1164" i="13176"/>
  <c r="S1155" i="13176"/>
  <c r="AI1155" i="13176"/>
  <c r="AZ1155" i="13176"/>
  <c r="AT1156" i="13176"/>
  <c r="S1158" i="13176"/>
  <c r="AK1158" i="13176"/>
  <c r="BD1158" i="13176"/>
  <c r="T1159" i="13176"/>
  <c r="AO1159" i="13176"/>
  <c r="C1164" i="13176"/>
  <c r="AY1164" i="13176"/>
  <c r="AX1172" i="13176"/>
  <c r="AG1172" i="13176"/>
  <c r="P1172" i="13176"/>
  <c r="AW1172" i="13176"/>
  <c r="AF1172" i="13176"/>
  <c r="O1172" i="13176"/>
  <c r="AV1172" i="13176"/>
  <c r="AE1172" i="13176"/>
  <c r="N1172" i="13176"/>
  <c r="AU1172" i="13176"/>
  <c r="AD1172" i="13176"/>
  <c r="M1172" i="13176"/>
  <c r="AT1172" i="13176"/>
  <c r="AC1172" i="13176"/>
  <c r="L1172" i="13176"/>
  <c r="AR1172" i="13176"/>
  <c r="AB1172" i="13176"/>
  <c r="K1172" i="13176"/>
  <c r="AQ1172" i="13176"/>
  <c r="AA1172" i="13176"/>
  <c r="J1172" i="13176"/>
  <c r="AP1172" i="13176"/>
  <c r="Z1172" i="13176"/>
  <c r="I1172" i="13176"/>
  <c r="AO1172" i="13176"/>
  <c r="Y1172" i="13176"/>
  <c r="H1172" i="13176"/>
  <c r="AN1172" i="13176"/>
  <c r="X1172" i="13176"/>
  <c r="G1172" i="13176"/>
  <c r="BD1172" i="13176"/>
  <c r="AM1172" i="13176"/>
  <c r="W1172" i="13176"/>
  <c r="F1172" i="13176"/>
  <c r="BC1172" i="13176"/>
  <c r="AL1172" i="13176"/>
  <c r="V1172" i="13176"/>
  <c r="E1172" i="13176"/>
  <c r="AQ1173" i="13176"/>
  <c r="K1151" i="13176"/>
  <c r="AB1151" i="13176"/>
  <c r="AR1151" i="13176"/>
  <c r="C1155" i="13176"/>
  <c r="T1155" i="13176"/>
  <c r="AJ1155" i="13176"/>
  <c r="BA1155" i="13176"/>
  <c r="M1156" i="13176"/>
  <c r="AD1156" i="13176"/>
  <c r="AU1156" i="13176"/>
  <c r="T1158" i="13176"/>
  <c r="U1159" i="13176"/>
  <c r="D1164" i="13176"/>
  <c r="AZ1164" i="13176"/>
  <c r="C1172" i="13176"/>
  <c r="AW1158" i="13176"/>
  <c r="AF1158" i="13176"/>
  <c r="O1158" i="13176"/>
  <c r="AR1158" i="13176"/>
  <c r="AB1158" i="13176"/>
  <c r="K1158" i="13176"/>
  <c r="U1158" i="13176"/>
  <c r="AM1158" i="13176"/>
  <c r="AV1159" i="13176"/>
  <c r="AE1159" i="13176"/>
  <c r="N1159" i="13176"/>
  <c r="AR1159" i="13176"/>
  <c r="AB1159" i="13176"/>
  <c r="AP1159" i="13176"/>
  <c r="Z1159" i="13176"/>
  <c r="I1159" i="13176"/>
  <c r="BC1159" i="13176"/>
  <c r="AL1159" i="13176"/>
  <c r="V1159" i="13176"/>
  <c r="E1159" i="13176"/>
  <c r="W1159" i="13176"/>
  <c r="AT1159" i="13176"/>
  <c r="AT1162" i="13176"/>
  <c r="AC1162" i="13176"/>
  <c r="L1162" i="13176"/>
  <c r="AP1162" i="13176"/>
  <c r="Z1162" i="13176"/>
  <c r="I1162" i="13176"/>
  <c r="AO1162" i="13176"/>
  <c r="AN1162" i="13176"/>
  <c r="X1162" i="13176"/>
  <c r="G1162" i="13176"/>
  <c r="BD1162" i="13176"/>
  <c r="AM1162" i="13176"/>
  <c r="W1162" i="13176"/>
  <c r="F1162" i="13176"/>
  <c r="BC1162" i="13176"/>
  <c r="AL1162" i="13176"/>
  <c r="V1162" i="13176"/>
  <c r="E1162" i="13176"/>
  <c r="BA1162" i="13176"/>
  <c r="AJ1162" i="13176"/>
  <c r="T1162" i="13176"/>
  <c r="C1162" i="13176"/>
  <c r="AE1162" i="13176"/>
  <c r="BD1163" i="13176"/>
  <c r="F1164" i="13176"/>
  <c r="BA1164" i="13176"/>
  <c r="AZ1169" i="13176"/>
  <c r="BD1171" i="13176"/>
  <c r="D1172" i="13176"/>
  <c r="BC1182" i="13176"/>
  <c r="M1151" i="13176"/>
  <c r="AD1151" i="13176"/>
  <c r="AU1151" i="13176"/>
  <c r="E1155" i="13176"/>
  <c r="V1155" i="13176"/>
  <c r="AL1155" i="13176"/>
  <c r="BC1155" i="13176"/>
  <c r="O1156" i="13176"/>
  <c r="AF1156" i="13176"/>
  <c r="AW1156" i="13176"/>
  <c r="C1158" i="13176"/>
  <c r="V1158" i="13176"/>
  <c r="AN1158" i="13176"/>
  <c r="C1159" i="13176"/>
  <c r="X1159" i="13176"/>
  <c r="AU1159" i="13176"/>
  <c r="D1162" i="13176"/>
  <c r="AF1162" i="13176"/>
  <c r="H1164" i="13176"/>
  <c r="BB1164" i="13176"/>
  <c r="Q1172" i="13176"/>
  <c r="S1145" i="13176"/>
  <c r="AI1145" i="13176"/>
  <c r="AZ1145" i="13176"/>
  <c r="L1146" i="13176"/>
  <c r="AC1146" i="13176"/>
  <c r="AT1146" i="13176"/>
  <c r="N1151" i="13176"/>
  <c r="AE1151" i="13176"/>
  <c r="AV1151" i="13176"/>
  <c r="S1153" i="13176"/>
  <c r="AI1153" i="13176"/>
  <c r="AZ1153" i="13176"/>
  <c r="F1155" i="13176"/>
  <c r="W1155" i="13176"/>
  <c r="AM1155" i="13176"/>
  <c r="BD1155" i="13176"/>
  <c r="P1156" i="13176"/>
  <c r="AG1156" i="13176"/>
  <c r="AX1156" i="13176"/>
  <c r="D1158" i="13176"/>
  <c r="W1158" i="13176"/>
  <c r="AO1158" i="13176"/>
  <c r="D1159" i="13176"/>
  <c r="Y1159" i="13176"/>
  <c r="AW1159" i="13176"/>
  <c r="H1162" i="13176"/>
  <c r="AG1162" i="13176"/>
  <c r="Q1164" i="13176"/>
  <c r="BD1164" i="13176"/>
  <c r="AO1168" i="13176"/>
  <c r="AT1170" i="13176"/>
  <c r="S1172" i="13176"/>
  <c r="AZ1205" i="13176"/>
  <c r="AJ1145" i="13176"/>
  <c r="BA1145" i="13176"/>
  <c r="O1151" i="13176"/>
  <c r="AF1151" i="13176"/>
  <c r="AW1151" i="13176"/>
  <c r="G1155" i="13176"/>
  <c r="X1155" i="13176"/>
  <c r="AN1155" i="13176"/>
  <c r="Q1156" i="13176"/>
  <c r="AH1156" i="13176"/>
  <c r="AY1156" i="13176"/>
  <c r="E1158" i="13176"/>
  <c r="X1158" i="13176"/>
  <c r="AP1158" i="13176"/>
  <c r="F1159" i="13176"/>
  <c r="AA1159" i="13176"/>
  <c r="AX1159" i="13176"/>
  <c r="J1162" i="13176"/>
  <c r="AH1162" i="13176"/>
  <c r="S1164" i="13176"/>
  <c r="T1172" i="13176"/>
  <c r="AU1178" i="13176"/>
  <c r="AD1178" i="13176"/>
  <c r="M1178" i="13176"/>
  <c r="AT1178" i="13176"/>
  <c r="AC1178" i="13176"/>
  <c r="L1178" i="13176"/>
  <c r="AO1178" i="13176"/>
  <c r="Y1178" i="13176"/>
  <c r="BC1178" i="13176"/>
  <c r="AL1178" i="13176"/>
  <c r="V1178" i="13176"/>
  <c r="E1178" i="13176"/>
  <c r="AN1178" i="13176"/>
  <c r="S1178" i="13176"/>
  <c r="AM1178" i="13176"/>
  <c r="Q1178" i="13176"/>
  <c r="AK1178" i="13176"/>
  <c r="P1178" i="13176"/>
  <c r="AJ1178" i="13176"/>
  <c r="O1178" i="13176"/>
  <c r="AI1178" i="13176"/>
  <c r="N1178" i="13176"/>
  <c r="BD1178" i="13176"/>
  <c r="AH1178" i="13176"/>
  <c r="K1178" i="13176"/>
  <c r="BB1178" i="13176"/>
  <c r="AG1178" i="13176"/>
  <c r="J1178" i="13176"/>
  <c r="BA1178" i="13176"/>
  <c r="AF1178" i="13176"/>
  <c r="I1178" i="13176"/>
  <c r="AZ1178" i="13176"/>
  <c r="AE1178" i="13176"/>
  <c r="H1178" i="13176"/>
  <c r="AY1178" i="13176"/>
  <c r="AB1178" i="13176"/>
  <c r="G1178" i="13176"/>
  <c r="AX1178" i="13176"/>
  <c r="AA1178" i="13176"/>
  <c r="F1178" i="13176"/>
  <c r="AW1178" i="13176"/>
  <c r="Z1178" i="13176"/>
  <c r="D1178" i="13176"/>
  <c r="P1151" i="13176"/>
  <c r="AG1151" i="13176"/>
  <c r="AX1151" i="13176"/>
  <c r="H1155" i="13176"/>
  <c r="Y1155" i="13176"/>
  <c r="AO1155" i="13176"/>
  <c r="S1156" i="13176"/>
  <c r="AI1156" i="13176"/>
  <c r="AZ1156" i="13176"/>
  <c r="F1158" i="13176"/>
  <c r="Y1158" i="13176"/>
  <c r="AQ1158" i="13176"/>
  <c r="G1159" i="13176"/>
  <c r="AC1159" i="13176"/>
  <c r="AY1159" i="13176"/>
  <c r="K1162" i="13176"/>
  <c r="AI1162" i="13176"/>
  <c r="T1164" i="13176"/>
  <c r="AQ1165" i="13176"/>
  <c r="BB1166" i="13176"/>
  <c r="AV1167" i="13176"/>
  <c r="AE1167" i="13176"/>
  <c r="N1167" i="13176"/>
  <c r="AU1167" i="13176"/>
  <c r="AD1167" i="13176"/>
  <c r="M1167" i="13176"/>
  <c r="AT1167" i="13176"/>
  <c r="AC1167" i="13176"/>
  <c r="L1167" i="13176"/>
  <c r="AR1167" i="13176"/>
  <c r="AB1167" i="13176"/>
  <c r="K1167" i="13176"/>
  <c r="AQ1167" i="13176"/>
  <c r="AA1167" i="13176"/>
  <c r="J1167" i="13176"/>
  <c r="AP1167" i="13176"/>
  <c r="Z1167" i="13176"/>
  <c r="I1167" i="13176"/>
  <c r="AO1167" i="13176"/>
  <c r="Y1167" i="13176"/>
  <c r="H1167" i="13176"/>
  <c r="AN1167" i="13176"/>
  <c r="X1167" i="13176"/>
  <c r="G1167" i="13176"/>
  <c r="BD1167" i="13176"/>
  <c r="AM1167" i="13176"/>
  <c r="W1167" i="13176"/>
  <c r="F1167" i="13176"/>
  <c r="BC1167" i="13176"/>
  <c r="AL1167" i="13176"/>
  <c r="V1167" i="13176"/>
  <c r="E1167" i="13176"/>
  <c r="BB1167" i="13176"/>
  <c r="AK1167" i="13176"/>
  <c r="U1167" i="13176"/>
  <c r="D1167" i="13176"/>
  <c r="BA1167" i="13176"/>
  <c r="AJ1167" i="13176"/>
  <c r="T1167" i="13176"/>
  <c r="C1167" i="13176"/>
  <c r="U1172" i="13176"/>
  <c r="C1178" i="13176"/>
  <c r="Q1151" i="13176"/>
  <c r="AH1151" i="13176"/>
  <c r="AY1151" i="13176"/>
  <c r="I1155" i="13176"/>
  <c r="Z1155" i="13176"/>
  <c r="AP1155" i="13176"/>
  <c r="C1156" i="13176"/>
  <c r="T1156" i="13176"/>
  <c r="AJ1156" i="13176"/>
  <c r="BA1156" i="13176"/>
  <c r="G1158" i="13176"/>
  <c r="Z1158" i="13176"/>
  <c r="AT1158" i="13176"/>
  <c r="H1159" i="13176"/>
  <c r="AD1159" i="13176"/>
  <c r="AZ1159" i="13176"/>
  <c r="U1164" i="13176"/>
  <c r="AH1172" i="13176"/>
  <c r="AU1190" i="13176"/>
  <c r="S1151" i="13176"/>
  <c r="AI1151" i="13176"/>
  <c r="AZ1151" i="13176"/>
  <c r="J1155" i="13176"/>
  <c r="AA1155" i="13176"/>
  <c r="AQ1155" i="13176"/>
  <c r="D1156" i="13176"/>
  <c r="U1156" i="13176"/>
  <c r="AK1156" i="13176"/>
  <c r="BB1156" i="13176"/>
  <c r="H1158" i="13176"/>
  <c r="AA1158" i="13176"/>
  <c r="AU1158" i="13176"/>
  <c r="J1159" i="13176"/>
  <c r="AF1159" i="13176"/>
  <c r="BA1159" i="13176"/>
  <c r="AQ1162" i="13176"/>
  <c r="W1164" i="13176"/>
  <c r="AI1172" i="13176"/>
  <c r="AX1181" i="13176"/>
  <c r="AW1183" i="13176"/>
  <c r="AF1183" i="13176"/>
  <c r="O1183" i="13176"/>
  <c r="AV1183" i="13176"/>
  <c r="AE1183" i="13176"/>
  <c r="N1183" i="13176"/>
  <c r="AT1183" i="13176"/>
  <c r="AC1183" i="13176"/>
  <c r="L1183" i="13176"/>
  <c r="AR1183" i="13176"/>
  <c r="AB1183" i="13176"/>
  <c r="AQ1183" i="13176"/>
  <c r="AA1183" i="13176"/>
  <c r="J1183" i="13176"/>
  <c r="AP1183" i="13176"/>
  <c r="Z1183" i="13176"/>
  <c r="I1183" i="13176"/>
  <c r="AO1183" i="13176"/>
  <c r="Y1183" i="13176"/>
  <c r="H1183" i="13176"/>
  <c r="AN1183" i="13176"/>
  <c r="X1183" i="13176"/>
  <c r="G1183" i="13176"/>
  <c r="AY1183" i="13176"/>
  <c r="AH1183" i="13176"/>
  <c r="V1183" i="13176"/>
  <c r="BD1183" i="13176"/>
  <c r="U1183" i="13176"/>
  <c r="BC1183" i="13176"/>
  <c r="T1183" i="13176"/>
  <c r="BB1183" i="13176"/>
  <c r="S1183" i="13176"/>
  <c r="BA1183" i="13176"/>
  <c r="Q1183" i="13176"/>
  <c r="AZ1183" i="13176"/>
  <c r="P1183" i="13176"/>
  <c r="AX1183" i="13176"/>
  <c r="M1183" i="13176"/>
  <c r="AU1183" i="13176"/>
  <c r="K1183" i="13176"/>
  <c r="AM1183" i="13176"/>
  <c r="F1183" i="13176"/>
  <c r="AL1183" i="13176"/>
  <c r="E1183" i="13176"/>
  <c r="AK1183" i="13176"/>
  <c r="D1183" i="13176"/>
  <c r="AJ1183" i="13176"/>
  <c r="C1183" i="13176"/>
  <c r="AD1183" i="13176"/>
  <c r="H1145" i="13176"/>
  <c r="Y1145" i="13176"/>
  <c r="AO1145" i="13176"/>
  <c r="S1146" i="13176"/>
  <c r="AI1146" i="13176"/>
  <c r="AZ1146" i="13176"/>
  <c r="D1151" i="13176"/>
  <c r="U1151" i="13176"/>
  <c r="AK1151" i="13176"/>
  <c r="BB1151" i="13176"/>
  <c r="H1153" i="13176"/>
  <c r="Y1153" i="13176"/>
  <c r="AO1153" i="13176"/>
  <c r="S1154" i="13176"/>
  <c r="AI1154" i="13176"/>
  <c r="AZ1154" i="13176"/>
  <c r="L1155" i="13176"/>
  <c r="AC1155" i="13176"/>
  <c r="AT1155" i="13176"/>
  <c r="F1156" i="13176"/>
  <c r="W1156" i="13176"/>
  <c r="AM1156" i="13176"/>
  <c r="BD1156" i="13176"/>
  <c r="J1158" i="13176"/>
  <c r="AD1158" i="13176"/>
  <c r="AX1158" i="13176"/>
  <c r="L1159" i="13176"/>
  <c r="AH1159" i="13176"/>
  <c r="BD1159" i="13176"/>
  <c r="P1162" i="13176"/>
  <c r="AU1162" i="13176"/>
  <c r="AH1164" i="13176"/>
  <c r="S1167" i="13176"/>
  <c r="AK1172" i="13176"/>
  <c r="X1178" i="13176"/>
  <c r="W1183" i="13176"/>
  <c r="I1145" i="13176"/>
  <c r="Z1145" i="13176"/>
  <c r="C1146" i="13176"/>
  <c r="T1146" i="13176"/>
  <c r="AJ1146" i="13176"/>
  <c r="E1151" i="13176"/>
  <c r="V1151" i="13176"/>
  <c r="AL1151" i="13176"/>
  <c r="I1153" i="13176"/>
  <c r="Z1153" i="13176"/>
  <c r="C1154" i="13176"/>
  <c r="T1154" i="13176"/>
  <c r="AJ1154" i="13176"/>
  <c r="M1155" i="13176"/>
  <c r="AD1155" i="13176"/>
  <c r="G1156" i="13176"/>
  <c r="X1156" i="13176"/>
  <c r="L1158" i="13176"/>
  <c r="AE1158" i="13176"/>
  <c r="AY1158" i="13176"/>
  <c r="M1159" i="13176"/>
  <c r="AI1159" i="13176"/>
  <c r="Q1162" i="13176"/>
  <c r="AV1162" i="13176"/>
  <c r="AI1164" i="13176"/>
  <c r="AF1167" i="13176"/>
  <c r="AY1172" i="13176"/>
  <c r="AP1178" i="13176"/>
  <c r="AG1183" i="13176"/>
  <c r="BA1185" i="13176"/>
  <c r="O1165" i="13176"/>
  <c r="AF1165" i="13176"/>
  <c r="AW1165" i="13176"/>
  <c r="Z1166" i="13176"/>
  <c r="AP1166" i="13176"/>
  <c r="Q1170" i="13176"/>
  <c r="AH1170" i="13176"/>
  <c r="AY1170" i="13176"/>
  <c r="O1173" i="13176"/>
  <c r="AF1173" i="13176"/>
  <c r="AW1173" i="13176"/>
  <c r="V1180" i="13176"/>
  <c r="M1181" i="13176"/>
  <c r="AI1181" i="13176"/>
  <c r="AU1186" i="13176"/>
  <c r="AX1165" i="13176"/>
  <c r="S1170" i="13176"/>
  <c r="AI1170" i="13176"/>
  <c r="AZ1170" i="13176"/>
  <c r="AY1180" i="13176"/>
  <c r="AH1180" i="13176"/>
  <c r="Q1180" i="13176"/>
  <c r="AX1180" i="13176"/>
  <c r="AG1180" i="13176"/>
  <c r="P1180" i="13176"/>
  <c r="AT1180" i="13176"/>
  <c r="AC1180" i="13176"/>
  <c r="L1180" i="13176"/>
  <c r="AR1180" i="13176"/>
  <c r="AP1180" i="13176"/>
  <c r="Z1180" i="13176"/>
  <c r="I1180" i="13176"/>
  <c r="W1180" i="13176"/>
  <c r="AU1180" i="13176"/>
  <c r="N1181" i="13176"/>
  <c r="AK1181" i="13176"/>
  <c r="AV1194" i="13176"/>
  <c r="O1160" i="13176"/>
  <c r="AF1160" i="13176"/>
  <c r="AW1160" i="13176"/>
  <c r="I1161" i="13176"/>
  <c r="Z1161" i="13176"/>
  <c r="AP1161" i="13176"/>
  <c r="M1163" i="13176"/>
  <c r="AD1163" i="13176"/>
  <c r="AU1163" i="13176"/>
  <c r="Q1165" i="13176"/>
  <c r="AH1165" i="13176"/>
  <c r="AY1165" i="13176"/>
  <c r="K1166" i="13176"/>
  <c r="AB1166" i="13176"/>
  <c r="AR1166" i="13176"/>
  <c r="O1168" i="13176"/>
  <c r="AF1168" i="13176"/>
  <c r="AW1168" i="13176"/>
  <c r="C1170" i="13176"/>
  <c r="T1170" i="13176"/>
  <c r="AJ1170" i="13176"/>
  <c r="BA1170" i="13176"/>
  <c r="M1171" i="13176"/>
  <c r="AD1171" i="13176"/>
  <c r="AU1171" i="13176"/>
  <c r="Q1173" i="13176"/>
  <c r="AH1173" i="13176"/>
  <c r="AY1173" i="13176"/>
  <c r="K1174" i="13176"/>
  <c r="AB1174" i="13176"/>
  <c r="AR1174" i="13176"/>
  <c r="T1176" i="13176"/>
  <c r="BA1177" i="13176"/>
  <c r="C1180" i="13176"/>
  <c r="X1180" i="13176"/>
  <c r="AV1180" i="13176"/>
  <c r="O1181" i="13176"/>
  <c r="AN1181" i="13176"/>
  <c r="S1165" i="13176"/>
  <c r="AI1165" i="13176"/>
  <c r="AZ1165" i="13176"/>
  <c r="AC1166" i="13176"/>
  <c r="AT1166" i="13176"/>
  <c r="D1170" i="13176"/>
  <c r="U1170" i="13176"/>
  <c r="AK1170" i="13176"/>
  <c r="BB1170" i="13176"/>
  <c r="S1173" i="13176"/>
  <c r="AI1173" i="13176"/>
  <c r="AZ1173" i="13176"/>
  <c r="L1174" i="13176"/>
  <c r="AC1174" i="13176"/>
  <c r="AT1174" i="13176"/>
  <c r="AP1176" i="13176"/>
  <c r="Z1176" i="13176"/>
  <c r="I1176" i="13176"/>
  <c r="AO1176" i="13176"/>
  <c r="AY1176" i="13176"/>
  <c r="AH1176" i="13176"/>
  <c r="Q1176" i="13176"/>
  <c r="U1176" i="13176"/>
  <c r="AM1176" i="13176"/>
  <c r="D1180" i="13176"/>
  <c r="Y1180" i="13176"/>
  <c r="AW1180" i="13176"/>
  <c r="P1181" i="13176"/>
  <c r="AO1181" i="13176"/>
  <c r="AZ1189" i="13176"/>
  <c r="AZ1198" i="13176"/>
  <c r="AW1200" i="13176"/>
  <c r="AF1200" i="13176"/>
  <c r="O1200" i="13176"/>
  <c r="AU1200" i="13176"/>
  <c r="AD1200" i="13176"/>
  <c r="M1200" i="13176"/>
  <c r="AR1200" i="13176"/>
  <c r="AB1200" i="13176"/>
  <c r="K1200" i="13176"/>
  <c r="AP1200" i="13176"/>
  <c r="Z1200" i="13176"/>
  <c r="I1200" i="13176"/>
  <c r="AO1200" i="13176"/>
  <c r="AN1200" i="13176"/>
  <c r="X1200" i="13176"/>
  <c r="G1200" i="13176"/>
  <c r="BC1200" i="13176"/>
  <c r="AL1200" i="13176"/>
  <c r="V1200" i="13176"/>
  <c r="E1200" i="13176"/>
  <c r="AZ1200" i="13176"/>
  <c r="W1200" i="13176"/>
  <c r="AY1200" i="13176"/>
  <c r="U1200" i="13176"/>
  <c r="AX1200" i="13176"/>
  <c r="T1200" i="13176"/>
  <c r="AV1200" i="13176"/>
  <c r="S1200" i="13176"/>
  <c r="AT1200" i="13176"/>
  <c r="Q1200" i="13176"/>
  <c r="AQ1200" i="13176"/>
  <c r="P1200" i="13176"/>
  <c r="AM1200" i="13176"/>
  <c r="N1200" i="13176"/>
  <c r="AK1200" i="13176"/>
  <c r="L1200" i="13176"/>
  <c r="AJ1200" i="13176"/>
  <c r="J1200" i="13176"/>
  <c r="AI1200" i="13176"/>
  <c r="H1200" i="13176"/>
  <c r="AH1200" i="13176"/>
  <c r="F1200" i="13176"/>
  <c r="AG1200" i="13176"/>
  <c r="D1200" i="13176"/>
  <c r="AE1200" i="13176"/>
  <c r="BB1200" i="13176"/>
  <c r="AA1200" i="13176"/>
  <c r="AU1203" i="13176"/>
  <c r="AD1203" i="13176"/>
  <c r="M1203" i="13176"/>
  <c r="AT1203" i="13176"/>
  <c r="AC1203" i="13176"/>
  <c r="L1203" i="13176"/>
  <c r="AR1203" i="13176"/>
  <c r="AB1203" i="13176"/>
  <c r="K1203" i="13176"/>
  <c r="AP1203" i="13176"/>
  <c r="Z1203" i="13176"/>
  <c r="I1203" i="13176"/>
  <c r="AN1203" i="13176"/>
  <c r="X1203" i="13176"/>
  <c r="G1203" i="13176"/>
  <c r="BD1203" i="13176"/>
  <c r="AM1203" i="13176"/>
  <c r="W1203" i="13176"/>
  <c r="F1203" i="13176"/>
  <c r="BC1203" i="13176"/>
  <c r="AL1203" i="13176"/>
  <c r="V1203" i="13176"/>
  <c r="E1203" i="13176"/>
  <c r="BA1203" i="13176"/>
  <c r="AJ1203" i="13176"/>
  <c r="T1203" i="13176"/>
  <c r="C1203" i="13176"/>
  <c r="AH1203" i="13176"/>
  <c r="AG1203" i="13176"/>
  <c r="AF1203" i="13176"/>
  <c r="AE1203" i="13176"/>
  <c r="AA1203" i="13176"/>
  <c r="Y1203" i="13176"/>
  <c r="BB1203" i="13176"/>
  <c r="U1203" i="13176"/>
  <c r="AZ1203" i="13176"/>
  <c r="S1203" i="13176"/>
  <c r="AY1203" i="13176"/>
  <c r="Q1203" i="13176"/>
  <c r="AX1203" i="13176"/>
  <c r="P1203" i="13176"/>
  <c r="AW1203" i="13176"/>
  <c r="O1203" i="13176"/>
  <c r="AV1203" i="13176"/>
  <c r="N1203" i="13176"/>
  <c r="AQ1203" i="13176"/>
  <c r="J1203" i="13176"/>
  <c r="AK1203" i="13176"/>
  <c r="D1203" i="13176"/>
  <c r="Q1160" i="13176"/>
  <c r="AH1160" i="13176"/>
  <c r="AY1160" i="13176"/>
  <c r="AR1161" i="13176"/>
  <c r="O1163" i="13176"/>
  <c r="AF1163" i="13176"/>
  <c r="AW1163" i="13176"/>
  <c r="C1165" i="13176"/>
  <c r="T1165" i="13176"/>
  <c r="AJ1165" i="13176"/>
  <c r="BA1165" i="13176"/>
  <c r="M1166" i="13176"/>
  <c r="AD1166" i="13176"/>
  <c r="AU1166" i="13176"/>
  <c r="Q1168" i="13176"/>
  <c r="AH1168" i="13176"/>
  <c r="AY1168" i="13176"/>
  <c r="E1170" i="13176"/>
  <c r="V1170" i="13176"/>
  <c r="AL1170" i="13176"/>
  <c r="BC1170" i="13176"/>
  <c r="O1171" i="13176"/>
  <c r="AF1171" i="13176"/>
  <c r="AW1171" i="13176"/>
  <c r="C1173" i="13176"/>
  <c r="T1173" i="13176"/>
  <c r="AJ1173" i="13176"/>
  <c r="BA1173" i="13176"/>
  <c r="M1174" i="13176"/>
  <c r="AD1174" i="13176"/>
  <c r="AU1174" i="13176"/>
  <c r="C1176" i="13176"/>
  <c r="V1176" i="13176"/>
  <c r="AN1176" i="13176"/>
  <c r="E1180" i="13176"/>
  <c r="AA1180" i="13176"/>
  <c r="AZ1180" i="13176"/>
  <c r="Q1181" i="13176"/>
  <c r="AP1181" i="13176"/>
  <c r="C1200" i="13176"/>
  <c r="H1203" i="13176"/>
  <c r="BD1207" i="13176"/>
  <c r="S1160" i="13176"/>
  <c r="AI1160" i="13176"/>
  <c r="AZ1160" i="13176"/>
  <c r="AT1161" i="13176"/>
  <c r="P1163" i="13176"/>
  <c r="AG1163" i="13176"/>
  <c r="AX1163" i="13176"/>
  <c r="D1165" i="13176"/>
  <c r="U1165" i="13176"/>
  <c r="AK1165" i="13176"/>
  <c r="BB1165" i="13176"/>
  <c r="N1166" i="13176"/>
  <c r="AE1166" i="13176"/>
  <c r="AV1166" i="13176"/>
  <c r="S1168" i="13176"/>
  <c r="AI1168" i="13176"/>
  <c r="AZ1168" i="13176"/>
  <c r="F1170" i="13176"/>
  <c r="W1170" i="13176"/>
  <c r="AM1170" i="13176"/>
  <c r="BD1170" i="13176"/>
  <c r="P1171" i="13176"/>
  <c r="AG1171" i="13176"/>
  <c r="AX1171" i="13176"/>
  <c r="D1173" i="13176"/>
  <c r="U1173" i="13176"/>
  <c r="AK1173" i="13176"/>
  <c r="BB1173" i="13176"/>
  <c r="N1174" i="13176"/>
  <c r="AE1174" i="13176"/>
  <c r="AV1174" i="13176"/>
  <c r="D1176" i="13176"/>
  <c r="W1176" i="13176"/>
  <c r="AQ1176" i="13176"/>
  <c r="F1180" i="13176"/>
  <c r="AB1180" i="13176"/>
  <c r="BA1180" i="13176"/>
  <c r="S1181" i="13176"/>
  <c r="AT1181" i="13176"/>
  <c r="Y1200" i="13176"/>
  <c r="AI1203" i="13176"/>
  <c r="C1160" i="13176"/>
  <c r="T1160" i="13176"/>
  <c r="AJ1160" i="13176"/>
  <c r="BA1160" i="13176"/>
  <c r="M1161" i="13176"/>
  <c r="AD1161" i="13176"/>
  <c r="AU1161" i="13176"/>
  <c r="Q1163" i="13176"/>
  <c r="AH1163" i="13176"/>
  <c r="AY1163" i="13176"/>
  <c r="E1165" i="13176"/>
  <c r="V1165" i="13176"/>
  <c r="AL1165" i="13176"/>
  <c r="BC1165" i="13176"/>
  <c r="O1166" i="13176"/>
  <c r="AF1166" i="13176"/>
  <c r="AW1166" i="13176"/>
  <c r="C1168" i="13176"/>
  <c r="T1168" i="13176"/>
  <c r="AJ1168" i="13176"/>
  <c r="BA1168" i="13176"/>
  <c r="G1170" i="13176"/>
  <c r="X1170" i="13176"/>
  <c r="AN1170" i="13176"/>
  <c r="Q1171" i="13176"/>
  <c r="AH1171" i="13176"/>
  <c r="AY1171" i="13176"/>
  <c r="E1173" i="13176"/>
  <c r="V1173" i="13176"/>
  <c r="AL1173" i="13176"/>
  <c r="BC1173" i="13176"/>
  <c r="O1174" i="13176"/>
  <c r="AF1174" i="13176"/>
  <c r="AW1174" i="13176"/>
  <c r="E1176" i="13176"/>
  <c r="X1176" i="13176"/>
  <c r="AR1176" i="13176"/>
  <c r="G1180" i="13176"/>
  <c r="AD1180" i="13176"/>
  <c r="BB1180" i="13176"/>
  <c r="U1181" i="13176"/>
  <c r="AU1181" i="13176"/>
  <c r="AY1188" i="13176"/>
  <c r="AH1188" i="13176"/>
  <c r="Q1188" i="13176"/>
  <c r="AX1188" i="13176"/>
  <c r="AG1188" i="13176"/>
  <c r="P1188" i="13176"/>
  <c r="AW1188" i="13176"/>
  <c r="AF1188" i="13176"/>
  <c r="O1188" i="13176"/>
  <c r="AV1188" i="13176"/>
  <c r="AE1188" i="13176"/>
  <c r="N1188" i="13176"/>
  <c r="AU1188" i="13176"/>
  <c r="AD1188" i="13176"/>
  <c r="M1188" i="13176"/>
  <c r="AT1188" i="13176"/>
  <c r="AC1188" i="13176"/>
  <c r="L1188" i="13176"/>
  <c r="AR1188" i="13176"/>
  <c r="AB1188" i="13176"/>
  <c r="K1188" i="13176"/>
  <c r="AQ1188" i="13176"/>
  <c r="AA1188" i="13176"/>
  <c r="J1188" i="13176"/>
  <c r="AP1188" i="13176"/>
  <c r="Z1188" i="13176"/>
  <c r="I1188" i="13176"/>
  <c r="AO1188" i="13176"/>
  <c r="Y1188" i="13176"/>
  <c r="H1188" i="13176"/>
  <c r="AN1188" i="13176"/>
  <c r="X1188" i="13176"/>
  <c r="G1188" i="13176"/>
  <c r="BD1188" i="13176"/>
  <c r="AM1188" i="13176"/>
  <c r="W1188" i="13176"/>
  <c r="F1188" i="13176"/>
  <c r="BA1188" i="13176"/>
  <c r="AJ1188" i="13176"/>
  <c r="T1188" i="13176"/>
  <c r="C1188" i="13176"/>
  <c r="AC1200" i="13176"/>
  <c r="AO1203" i="13176"/>
  <c r="S1163" i="13176"/>
  <c r="AI1163" i="13176"/>
  <c r="AZ1163" i="13176"/>
  <c r="F1165" i="13176"/>
  <c r="W1165" i="13176"/>
  <c r="AM1165" i="13176"/>
  <c r="BD1165" i="13176"/>
  <c r="P1166" i="13176"/>
  <c r="AG1166" i="13176"/>
  <c r="AX1166" i="13176"/>
  <c r="AK1168" i="13176"/>
  <c r="BB1168" i="13176"/>
  <c r="H1170" i="13176"/>
  <c r="Y1170" i="13176"/>
  <c r="AO1170" i="13176"/>
  <c r="S1171" i="13176"/>
  <c r="AI1171" i="13176"/>
  <c r="AZ1171" i="13176"/>
  <c r="F1173" i="13176"/>
  <c r="W1173" i="13176"/>
  <c r="AM1173" i="13176"/>
  <c r="BD1173" i="13176"/>
  <c r="P1174" i="13176"/>
  <c r="AG1174" i="13176"/>
  <c r="AX1174" i="13176"/>
  <c r="F1176" i="13176"/>
  <c r="Y1176" i="13176"/>
  <c r="AT1176" i="13176"/>
  <c r="H1180" i="13176"/>
  <c r="AE1180" i="13176"/>
  <c r="BC1180" i="13176"/>
  <c r="X1181" i="13176"/>
  <c r="AV1181" i="13176"/>
  <c r="BC1191" i="13176"/>
  <c r="AL1191" i="13176"/>
  <c r="V1191" i="13176"/>
  <c r="E1191" i="13176"/>
  <c r="BA1191" i="13176"/>
  <c r="AJ1191" i="13176"/>
  <c r="T1191" i="13176"/>
  <c r="AY1191" i="13176"/>
  <c r="AH1191" i="13176"/>
  <c r="Q1191" i="13176"/>
  <c r="AW1191" i="13176"/>
  <c r="AF1191" i="13176"/>
  <c r="O1191" i="13176"/>
  <c r="AU1191" i="13176"/>
  <c r="AD1191" i="13176"/>
  <c r="M1191" i="13176"/>
  <c r="AP1191" i="13176"/>
  <c r="S1191" i="13176"/>
  <c r="AO1191" i="13176"/>
  <c r="P1191" i="13176"/>
  <c r="AN1191" i="13176"/>
  <c r="N1191" i="13176"/>
  <c r="AM1191" i="13176"/>
  <c r="L1191" i="13176"/>
  <c r="AK1191" i="13176"/>
  <c r="K1191" i="13176"/>
  <c r="AI1191" i="13176"/>
  <c r="J1191" i="13176"/>
  <c r="AG1191" i="13176"/>
  <c r="I1191" i="13176"/>
  <c r="AE1191" i="13176"/>
  <c r="H1191" i="13176"/>
  <c r="BD1191" i="13176"/>
  <c r="AC1191" i="13176"/>
  <c r="G1191" i="13176"/>
  <c r="BB1191" i="13176"/>
  <c r="AB1191" i="13176"/>
  <c r="F1191" i="13176"/>
  <c r="AZ1191" i="13176"/>
  <c r="AA1191" i="13176"/>
  <c r="D1191" i="13176"/>
  <c r="AX1191" i="13176"/>
  <c r="Z1191" i="13176"/>
  <c r="C1191" i="13176"/>
  <c r="AR1191" i="13176"/>
  <c r="W1191" i="13176"/>
  <c r="AP1193" i="13176"/>
  <c r="Z1193" i="13176"/>
  <c r="I1193" i="13176"/>
  <c r="AN1193" i="13176"/>
  <c r="X1193" i="13176"/>
  <c r="G1193" i="13176"/>
  <c r="BC1193" i="13176"/>
  <c r="AL1193" i="13176"/>
  <c r="V1193" i="13176"/>
  <c r="E1193" i="13176"/>
  <c r="BA1193" i="13176"/>
  <c r="AJ1193" i="13176"/>
  <c r="T1193" i="13176"/>
  <c r="C1193" i="13176"/>
  <c r="AY1193" i="13176"/>
  <c r="AH1193" i="13176"/>
  <c r="Q1193" i="13176"/>
  <c r="AW1193" i="13176"/>
  <c r="AA1193" i="13176"/>
  <c r="AV1193" i="13176"/>
  <c r="Y1193" i="13176"/>
  <c r="AU1193" i="13176"/>
  <c r="W1193" i="13176"/>
  <c r="AT1193" i="13176"/>
  <c r="U1193" i="13176"/>
  <c r="AR1193" i="13176"/>
  <c r="S1193" i="13176"/>
  <c r="AQ1193" i="13176"/>
  <c r="P1193" i="13176"/>
  <c r="AO1193" i="13176"/>
  <c r="O1193" i="13176"/>
  <c r="AM1193" i="13176"/>
  <c r="N1193" i="13176"/>
  <c r="AK1193" i="13176"/>
  <c r="M1193" i="13176"/>
  <c r="AI1193" i="13176"/>
  <c r="L1193" i="13176"/>
  <c r="AG1193" i="13176"/>
  <c r="K1193" i="13176"/>
  <c r="AF1193" i="13176"/>
  <c r="J1193" i="13176"/>
  <c r="AZ1193" i="13176"/>
  <c r="AC1193" i="13176"/>
  <c r="D1193" i="13176"/>
  <c r="BA1200" i="13176"/>
  <c r="E1160" i="13176"/>
  <c r="V1160" i="13176"/>
  <c r="AL1160" i="13176"/>
  <c r="BC1160" i="13176"/>
  <c r="O1161" i="13176"/>
  <c r="AF1161" i="13176"/>
  <c r="AW1161" i="13176"/>
  <c r="C1163" i="13176"/>
  <c r="T1163" i="13176"/>
  <c r="AJ1163" i="13176"/>
  <c r="BA1163" i="13176"/>
  <c r="G1165" i="13176"/>
  <c r="X1165" i="13176"/>
  <c r="AN1165" i="13176"/>
  <c r="Q1166" i="13176"/>
  <c r="AH1166" i="13176"/>
  <c r="AY1166" i="13176"/>
  <c r="E1168" i="13176"/>
  <c r="V1168" i="13176"/>
  <c r="AL1168" i="13176"/>
  <c r="BC1168" i="13176"/>
  <c r="AW1169" i="13176"/>
  <c r="I1170" i="13176"/>
  <c r="Z1170" i="13176"/>
  <c r="AP1170" i="13176"/>
  <c r="C1171" i="13176"/>
  <c r="T1171" i="13176"/>
  <c r="AJ1171" i="13176"/>
  <c r="BA1171" i="13176"/>
  <c r="G1173" i="13176"/>
  <c r="X1173" i="13176"/>
  <c r="AN1173" i="13176"/>
  <c r="Q1174" i="13176"/>
  <c r="AH1174" i="13176"/>
  <c r="AY1174" i="13176"/>
  <c r="G1176" i="13176"/>
  <c r="AA1176" i="13176"/>
  <c r="AU1176" i="13176"/>
  <c r="AN1179" i="13176"/>
  <c r="J1180" i="13176"/>
  <c r="AF1180" i="13176"/>
  <c r="BD1180" i="13176"/>
  <c r="Y1181" i="13176"/>
  <c r="AW1181" i="13176"/>
  <c r="E1188" i="13176"/>
  <c r="U1191" i="13176"/>
  <c r="F1193" i="13176"/>
  <c r="BD1200" i="13176"/>
  <c r="H1165" i="13176"/>
  <c r="Y1165" i="13176"/>
  <c r="AO1165" i="13176"/>
  <c r="S1166" i="13176"/>
  <c r="AI1166" i="13176"/>
  <c r="AZ1166" i="13176"/>
  <c r="J1170" i="13176"/>
  <c r="AA1170" i="13176"/>
  <c r="AQ1170" i="13176"/>
  <c r="H1173" i="13176"/>
  <c r="Y1173" i="13176"/>
  <c r="AO1173" i="13176"/>
  <c r="S1174" i="13176"/>
  <c r="AI1174" i="13176"/>
  <c r="AZ1174" i="13176"/>
  <c r="H1176" i="13176"/>
  <c r="AB1176" i="13176"/>
  <c r="AV1176" i="13176"/>
  <c r="K1180" i="13176"/>
  <c r="AI1180" i="13176"/>
  <c r="Z1181" i="13176"/>
  <c r="AX1195" i="13176"/>
  <c r="I1165" i="13176"/>
  <c r="Z1165" i="13176"/>
  <c r="AP1165" i="13176"/>
  <c r="AJ1166" i="13176"/>
  <c r="BA1166" i="13176"/>
  <c r="K1170" i="13176"/>
  <c r="AB1170" i="13176"/>
  <c r="AR1170" i="13176"/>
  <c r="I1173" i="13176"/>
  <c r="Z1173" i="13176"/>
  <c r="AP1173" i="13176"/>
  <c r="M1180" i="13176"/>
  <c r="AJ1180" i="13176"/>
  <c r="AR1181" i="13176"/>
  <c r="AB1181" i="13176"/>
  <c r="K1181" i="13176"/>
  <c r="AQ1181" i="13176"/>
  <c r="AA1181" i="13176"/>
  <c r="J1181" i="13176"/>
  <c r="BD1181" i="13176"/>
  <c r="AM1181" i="13176"/>
  <c r="W1181" i="13176"/>
  <c r="F1181" i="13176"/>
  <c r="BC1181" i="13176"/>
  <c r="AL1181" i="13176"/>
  <c r="V1181" i="13176"/>
  <c r="E1181" i="13176"/>
  <c r="BA1181" i="13176"/>
  <c r="AJ1181" i="13176"/>
  <c r="T1181" i="13176"/>
  <c r="C1181" i="13176"/>
  <c r="AC1181" i="13176"/>
  <c r="AY1181" i="13176"/>
  <c r="Y1191" i="13176"/>
  <c r="H1160" i="13176"/>
  <c r="Y1160" i="13176"/>
  <c r="S1161" i="13176"/>
  <c r="AI1161" i="13176"/>
  <c r="F1163" i="13176"/>
  <c r="W1163" i="13176"/>
  <c r="AM1163" i="13176"/>
  <c r="J1165" i="13176"/>
  <c r="AA1165" i="13176"/>
  <c r="D1166" i="13176"/>
  <c r="U1166" i="13176"/>
  <c r="AK1166" i="13176"/>
  <c r="H1168" i="13176"/>
  <c r="Y1168" i="13176"/>
  <c r="S1169" i="13176"/>
  <c r="AI1169" i="13176"/>
  <c r="L1170" i="13176"/>
  <c r="AC1170" i="13176"/>
  <c r="F1171" i="13176"/>
  <c r="W1171" i="13176"/>
  <c r="AM1171" i="13176"/>
  <c r="J1173" i="13176"/>
  <c r="AA1173" i="13176"/>
  <c r="D1174" i="13176"/>
  <c r="U1174" i="13176"/>
  <c r="AK1174" i="13176"/>
  <c r="K1176" i="13176"/>
  <c r="AD1176" i="13176"/>
  <c r="AX1176" i="13176"/>
  <c r="N1180" i="13176"/>
  <c r="AK1180" i="13176"/>
  <c r="D1181" i="13176"/>
  <c r="AD1181" i="13176"/>
  <c r="AZ1181" i="13176"/>
  <c r="AN1187" i="13176"/>
  <c r="V1188" i="13176"/>
  <c r="AQ1191" i="13176"/>
  <c r="AD1193" i="13176"/>
  <c r="AV1197" i="13176"/>
  <c r="BC1199" i="13176"/>
  <c r="AL1199" i="13176"/>
  <c r="V1199" i="13176"/>
  <c r="E1199" i="13176"/>
  <c r="BA1199" i="13176"/>
  <c r="AJ1199" i="13176"/>
  <c r="T1199" i="13176"/>
  <c r="C1199" i="13176"/>
  <c r="AY1199" i="13176"/>
  <c r="AH1199" i="13176"/>
  <c r="Q1199" i="13176"/>
  <c r="AW1199" i="13176"/>
  <c r="AF1199" i="13176"/>
  <c r="O1199" i="13176"/>
  <c r="AU1199" i="13176"/>
  <c r="AD1199" i="13176"/>
  <c r="M1199" i="13176"/>
  <c r="AR1199" i="13176"/>
  <c r="AB1199" i="13176"/>
  <c r="K1199" i="13176"/>
  <c r="BB1199" i="13176"/>
  <c r="Z1199" i="13176"/>
  <c r="AZ1199" i="13176"/>
  <c r="Y1199" i="13176"/>
  <c r="AX1199" i="13176"/>
  <c r="X1199" i="13176"/>
  <c r="AV1199" i="13176"/>
  <c r="W1199" i="13176"/>
  <c r="AT1199" i="13176"/>
  <c r="U1199" i="13176"/>
  <c r="AQ1199" i="13176"/>
  <c r="S1199" i="13176"/>
  <c r="AP1199" i="13176"/>
  <c r="P1199" i="13176"/>
  <c r="AO1199" i="13176"/>
  <c r="N1199" i="13176"/>
  <c r="AN1199" i="13176"/>
  <c r="L1199" i="13176"/>
  <c r="AM1199" i="13176"/>
  <c r="J1199" i="13176"/>
  <c r="AK1199" i="13176"/>
  <c r="I1199" i="13176"/>
  <c r="AI1199" i="13176"/>
  <c r="H1199" i="13176"/>
  <c r="AC1199" i="13176"/>
  <c r="D1199" i="13176"/>
  <c r="AR1184" i="13176"/>
  <c r="O1186" i="13176"/>
  <c r="AF1186" i="13176"/>
  <c r="AW1186" i="13176"/>
  <c r="M1189" i="13176"/>
  <c r="AD1189" i="13176"/>
  <c r="AV1189" i="13176"/>
  <c r="BD1190" i="13176"/>
  <c r="AN1196" i="13176"/>
  <c r="X1196" i="13176"/>
  <c r="G1196" i="13176"/>
  <c r="BC1196" i="13176"/>
  <c r="AL1196" i="13176"/>
  <c r="V1196" i="13176"/>
  <c r="E1196" i="13176"/>
  <c r="BA1196" i="13176"/>
  <c r="AJ1196" i="13176"/>
  <c r="T1196" i="13176"/>
  <c r="C1196" i="13176"/>
  <c r="AY1196" i="13176"/>
  <c r="AH1196" i="13176"/>
  <c r="Q1196" i="13176"/>
  <c r="AW1196" i="13176"/>
  <c r="AF1196" i="13176"/>
  <c r="O1196" i="13176"/>
  <c r="AA1196" i="13176"/>
  <c r="AX1196" i="13176"/>
  <c r="S1197" i="13176"/>
  <c r="AN1197" i="13176"/>
  <c r="J1198" i="13176"/>
  <c r="AG1198" i="13176"/>
  <c r="AT1214" i="13176"/>
  <c r="BA1202" i="13176"/>
  <c r="S1186" i="13176"/>
  <c r="AI1186" i="13176"/>
  <c r="AZ1186" i="13176"/>
  <c r="P1189" i="13176"/>
  <c r="AG1189" i="13176"/>
  <c r="AY1189" i="13176"/>
  <c r="O1190" i="13176"/>
  <c r="AK1190" i="13176"/>
  <c r="S1192" i="13176"/>
  <c r="AO1192" i="13176"/>
  <c r="X1194" i="13176"/>
  <c r="H1196" i="13176"/>
  <c r="AD1196" i="13176"/>
  <c r="BD1196" i="13176"/>
  <c r="V1197" i="13176"/>
  <c r="AT1197" i="13176"/>
  <c r="N1198" i="13176"/>
  <c r="AM1198" i="13176"/>
  <c r="AP1201" i="13176"/>
  <c r="AT1206" i="13176"/>
  <c r="C1186" i="13176"/>
  <c r="T1186" i="13176"/>
  <c r="AJ1186" i="13176"/>
  <c r="BA1186" i="13176"/>
  <c r="Q1189" i="13176"/>
  <c r="AH1189" i="13176"/>
  <c r="P1190" i="13176"/>
  <c r="AM1190" i="13176"/>
  <c r="BA1194" i="13176"/>
  <c r="AJ1194" i="13176"/>
  <c r="T1194" i="13176"/>
  <c r="C1194" i="13176"/>
  <c r="AY1194" i="13176"/>
  <c r="AH1194" i="13176"/>
  <c r="Q1194" i="13176"/>
  <c r="AW1194" i="13176"/>
  <c r="AF1194" i="13176"/>
  <c r="O1194" i="13176"/>
  <c r="AU1194" i="13176"/>
  <c r="AD1194" i="13176"/>
  <c r="M1194" i="13176"/>
  <c r="AR1194" i="13176"/>
  <c r="AB1194" i="13176"/>
  <c r="K1194" i="13176"/>
  <c r="Y1194" i="13176"/>
  <c r="AX1194" i="13176"/>
  <c r="Q1195" i="13176"/>
  <c r="AO1195" i="13176"/>
  <c r="I1196" i="13176"/>
  <c r="AE1196" i="13176"/>
  <c r="W1197" i="13176"/>
  <c r="O1198" i="13176"/>
  <c r="AO1198" i="13176"/>
  <c r="D1186" i="13176"/>
  <c r="U1186" i="13176"/>
  <c r="AK1186" i="13176"/>
  <c r="BB1186" i="13176"/>
  <c r="AU1189" i="13176"/>
  <c r="S1189" i="13176"/>
  <c r="AI1189" i="13176"/>
  <c r="BA1189" i="13176"/>
  <c r="Q1190" i="13176"/>
  <c r="AO1190" i="13176"/>
  <c r="D1194" i="13176"/>
  <c r="Z1194" i="13176"/>
  <c r="AZ1194" i="13176"/>
  <c r="J1196" i="13176"/>
  <c r="AG1196" i="13176"/>
  <c r="AY1197" i="13176"/>
  <c r="AH1197" i="13176"/>
  <c r="Q1197" i="13176"/>
  <c r="AW1197" i="13176"/>
  <c r="AF1197" i="13176"/>
  <c r="O1197" i="13176"/>
  <c r="AU1197" i="13176"/>
  <c r="AD1197" i="13176"/>
  <c r="M1197" i="13176"/>
  <c r="AR1197" i="13176"/>
  <c r="AB1197" i="13176"/>
  <c r="K1197" i="13176"/>
  <c r="AP1197" i="13176"/>
  <c r="Z1197" i="13176"/>
  <c r="I1197" i="13176"/>
  <c r="X1197" i="13176"/>
  <c r="AX1197" i="13176"/>
  <c r="P1198" i="13176"/>
  <c r="AQ1198" i="13176"/>
  <c r="AP1209" i="13176"/>
  <c r="K1177" i="13176"/>
  <c r="AB1177" i="13176"/>
  <c r="AR1177" i="13176"/>
  <c r="O1179" i="13176"/>
  <c r="AF1179" i="13176"/>
  <c r="AW1179" i="13176"/>
  <c r="M1182" i="13176"/>
  <c r="AD1182" i="13176"/>
  <c r="AU1182" i="13176"/>
  <c r="Q1184" i="13176"/>
  <c r="AH1184" i="13176"/>
  <c r="AY1184" i="13176"/>
  <c r="E1186" i="13176"/>
  <c r="V1186" i="13176"/>
  <c r="AL1186" i="13176"/>
  <c r="BC1186" i="13176"/>
  <c r="O1187" i="13176"/>
  <c r="AF1187" i="13176"/>
  <c r="AW1187" i="13176"/>
  <c r="C1189" i="13176"/>
  <c r="T1189" i="13176"/>
  <c r="AJ1189" i="13176"/>
  <c r="BB1189" i="13176"/>
  <c r="S1190" i="13176"/>
  <c r="AP1190" i="13176"/>
  <c r="V1192" i="13176"/>
  <c r="AV1192" i="13176"/>
  <c r="E1194" i="13176"/>
  <c r="AA1194" i="13176"/>
  <c r="BB1194" i="13176"/>
  <c r="T1195" i="13176"/>
  <c r="AT1195" i="13176"/>
  <c r="K1196" i="13176"/>
  <c r="AI1196" i="13176"/>
  <c r="C1197" i="13176"/>
  <c r="Y1197" i="13176"/>
  <c r="AZ1197" i="13176"/>
  <c r="Q1198" i="13176"/>
  <c r="AT1198" i="13176"/>
  <c r="AV1211" i="13176"/>
  <c r="AZ1213" i="13176"/>
  <c r="AV1182" i="13176"/>
  <c r="S1184" i="13176"/>
  <c r="AI1184" i="13176"/>
  <c r="AZ1184" i="13176"/>
  <c r="F1186" i="13176"/>
  <c r="W1186" i="13176"/>
  <c r="AM1186" i="13176"/>
  <c r="BD1186" i="13176"/>
  <c r="AG1187" i="13176"/>
  <c r="AX1187" i="13176"/>
  <c r="D1189" i="13176"/>
  <c r="U1189" i="13176"/>
  <c r="AK1189" i="13176"/>
  <c r="BC1189" i="13176"/>
  <c r="U1190" i="13176"/>
  <c r="AQ1190" i="13176"/>
  <c r="W1192" i="13176"/>
  <c r="F1194" i="13176"/>
  <c r="AC1194" i="13176"/>
  <c r="BC1194" i="13176"/>
  <c r="U1195" i="13176"/>
  <c r="AV1195" i="13176"/>
  <c r="L1196" i="13176"/>
  <c r="AK1196" i="13176"/>
  <c r="D1197" i="13176"/>
  <c r="AA1197" i="13176"/>
  <c r="BA1197" i="13176"/>
  <c r="S1198" i="13176"/>
  <c r="AU1198" i="13176"/>
  <c r="O1182" i="13176"/>
  <c r="AF1182" i="13176"/>
  <c r="AW1182" i="13176"/>
  <c r="C1184" i="13176"/>
  <c r="T1184" i="13176"/>
  <c r="AJ1184" i="13176"/>
  <c r="BA1184" i="13176"/>
  <c r="G1186" i="13176"/>
  <c r="X1186" i="13176"/>
  <c r="AN1186" i="13176"/>
  <c r="E1189" i="13176"/>
  <c r="V1189" i="13176"/>
  <c r="AL1189" i="13176"/>
  <c r="BD1189" i="13176"/>
  <c r="W1190" i="13176"/>
  <c r="AT1190" i="13176"/>
  <c r="AW1192" i="13176"/>
  <c r="AF1192" i="13176"/>
  <c r="O1192" i="13176"/>
  <c r="AU1192" i="13176"/>
  <c r="AD1192" i="13176"/>
  <c r="M1192" i="13176"/>
  <c r="AR1192" i="13176"/>
  <c r="AB1192" i="13176"/>
  <c r="K1192" i="13176"/>
  <c r="AP1192" i="13176"/>
  <c r="Z1192" i="13176"/>
  <c r="I1192" i="13176"/>
  <c r="AN1192" i="13176"/>
  <c r="X1192" i="13176"/>
  <c r="G1192" i="13176"/>
  <c r="Y1192" i="13176"/>
  <c r="AY1192" i="13176"/>
  <c r="G1194" i="13176"/>
  <c r="AE1194" i="13176"/>
  <c r="BD1194" i="13176"/>
  <c r="W1195" i="13176"/>
  <c r="AW1195" i="13176"/>
  <c r="M1196" i="13176"/>
  <c r="AM1196" i="13176"/>
  <c r="E1197" i="13176"/>
  <c r="AC1197" i="13176"/>
  <c r="BB1197" i="13176"/>
  <c r="U1198" i="13176"/>
  <c r="AV1198" i="13176"/>
  <c r="BD1215" i="13176"/>
  <c r="S1179" i="13176"/>
  <c r="AI1179" i="13176"/>
  <c r="AZ1179" i="13176"/>
  <c r="P1182" i="13176"/>
  <c r="AG1182" i="13176"/>
  <c r="AX1182" i="13176"/>
  <c r="D1184" i="13176"/>
  <c r="U1184" i="13176"/>
  <c r="AK1184" i="13176"/>
  <c r="BB1184" i="13176"/>
  <c r="H1186" i="13176"/>
  <c r="Y1186" i="13176"/>
  <c r="AO1186" i="13176"/>
  <c r="S1187" i="13176"/>
  <c r="AI1187" i="13176"/>
  <c r="AZ1187" i="13176"/>
  <c r="F1189" i="13176"/>
  <c r="W1189" i="13176"/>
  <c r="AM1189" i="13176"/>
  <c r="Y1190" i="13176"/>
  <c r="C1192" i="13176"/>
  <c r="AA1192" i="13176"/>
  <c r="AZ1192" i="13176"/>
  <c r="H1194" i="13176"/>
  <c r="AG1194" i="13176"/>
  <c r="Y1195" i="13176"/>
  <c r="N1196" i="13176"/>
  <c r="AO1196" i="13176"/>
  <c r="F1197" i="13176"/>
  <c r="AE1197" i="13176"/>
  <c r="BC1197" i="13176"/>
  <c r="W1198" i="13176"/>
  <c r="AW1198" i="13176"/>
  <c r="AL1184" i="13176"/>
  <c r="BC1184" i="13176"/>
  <c r="I1186" i="13176"/>
  <c r="Z1186" i="13176"/>
  <c r="AP1186" i="13176"/>
  <c r="G1189" i="13176"/>
  <c r="X1189" i="13176"/>
  <c r="AN1189" i="13176"/>
  <c r="AR1190" i="13176"/>
  <c r="AB1190" i="13176"/>
  <c r="K1190" i="13176"/>
  <c r="AN1190" i="13176"/>
  <c r="X1190" i="13176"/>
  <c r="G1190" i="13176"/>
  <c r="BC1190" i="13176"/>
  <c r="AL1190" i="13176"/>
  <c r="V1190" i="13176"/>
  <c r="E1190" i="13176"/>
  <c r="BA1190" i="13176"/>
  <c r="AJ1190" i="13176"/>
  <c r="T1190" i="13176"/>
  <c r="C1190" i="13176"/>
  <c r="Z1190" i="13176"/>
  <c r="AV1190" i="13176"/>
  <c r="AC1192" i="13176"/>
  <c r="BA1192" i="13176"/>
  <c r="I1194" i="13176"/>
  <c r="AI1194" i="13176"/>
  <c r="AU1195" i="13176"/>
  <c r="AD1195" i="13176"/>
  <c r="M1195" i="13176"/>
  <c r="AR1195" i="13176"/>
  <c r="AB1195" i="13176"/>
  <c r="K1195" i="13176"/>
  <c r="AP1195" i="13176"/>
  <c r="Z1195" i="13176"/>
  <c r="I1195" i="13176"/>
  <c r="AN1195" i="13176"/>
  <c r="X1195" i="13176"/>
  <c r="G1195" i="13176"/>
  <c r="BC1195" i="13176"/>
  <c r="AL1195" i="13176"/>
  <c r="V1195" i="13176"/>
  <c r="E1195" i="13176"/>
  <c r="AA1195" i="13176"/>
  <c r="AY1195" i="13176"/>
  <c r="P1196" i="13176"/>
  <c r="AP1196" i="13176"/>
  <c r="G1197" i="13176"/>
  <c r="AG1197" i="13176"/>
  <c r="BD1197" i="13176"/>
  <c r="Y1198" i="13176"/>
  <c r="AX1198" i="13176"/>
  <c r="AN1204" i="13176"/>
  <c r="S1182" i="13176"/>
  <c r="AI1182" i="13176"/>
  <c r="AZ1182" i="13176"/>
  <c r="F1184" i="13176"/>
  <c r="W1184" i="13176"/>
  <c r="AM1184" i="13176"/>
  <c r="BD1184" i="13176"/>
  <c r="J1186" i="13176"/>
  <c r="AA1186" i="13176"/>
  <c r="AQ1186" i="13176"/>
  <c r="H1189" i="13176"/>
  <c r="Y1189" i="13176"/>
  <c r="AO1189" i="13176"/>
  <c r="D1190" i="13176"/>
  <c r="AA1190" i="13176"/>
  <c r="AW1190" i="13176"/>
  <c r="J1194" i="13176"/>
  <c r="AK1194" i="13176"/>
  <c r="S1196" i="13176"/>
  <c r="AQ1196" i="13176"/>
  <c r="H1197" i="13176"/>
  <c r="AI1197" i="13176"/>
  <c r="AA1198" i="13176"/>
  <c r="K1186" i="13176"/>
  <c r="AB1186" i="13176"/>
  <c r="AR1186" i="13176"/>
  <c r="AR1198" i="13176"/>
  <c r="AB1198" i="13176"/>
  <c r="K1198" i="13176"/>
  <c r="AP1198" i="13176"/>
  <c r="Z1198" i="13176"/>
  <c r="I1198" i="13176"/>
  <c r="AN1198" i="13176"/>
  <c r="X1198" i="13176"/>
  <c r="G1198" i="13176"/>
  <c r="BC1198" i="13176"/>
  <c r="AL1198" i="13176"/>
  <c r="V1198" i="13176"/>
  <c r="E1198" i="13176"/>
  <c r="BA1198" i="13176"/>
  <c r="AJ1198" i="13176"/>
  <c r="T1198" i="13176"/>
  <c r="C1198" i="13176"/>
  <c r="AY1198" i="13176"/>
  <c r="AH1198" i="13176"/>
  <c r="AC1198" i="13176"/>
  <c r="BB1198" i="13176"/>
  <c r="AX1208" i="13176"/>
  <c r="S1177" i="13176"/>
  <c r="AI1177" i="13176"/>
  <c r="AZ1177" i="13176"/>
  <c r="F1179" i="13176"/>
  <c r="W1179" i="13176"/>
  <c r="AM1179" i="13176"/>
  <c r="BD1179" i="13176"/>
  <c r="D1182" i="13176"/>
  <c r="U1182" i="13176"/>
  <c r="AK1182" i="13176"/>
  <c r="BB1182" i="13176"/>
  <c r="H1184" i="13176"/>
  <c r="Y1184" i="13176"/>
  <c r="AO1184" i="13176"/>
  <c r="S1185" i="13176"/>
  <c r="AI1185" i="13176"/>
  <c r="AZ1185" i="13176"/>
  <c r="L1186" i="13176"/>
  <c r="AC1186" i="13176"/>
  <c r="AT1186" i="13176"/>
  <c r="F1187" i="13176"/>
  <c r="W1187" i="13176"/>
  <c r="AM1187" i="13176"/>
  <c r="BD1187" i="13176"/>
  <c r="J1189" i="13176"/>
  <c r="AA1189" i="13176"/>
  <c r="AQ1189" i="13176"/>
  <c r="H1190" i="13176"/>
  <c r="AD1190" i="13176"/>
  <c r="AY1190" i="13176"/>
  <c r="H1192" i="13176"/>
  <c r="AH1192" i="13176"/>
  <c r="BD1192" i="13176"/>
  <c r="N1194" i="13176"/>
  <c r="AM1194" i="13176"/>
  <c r="F1195" i="13176"/>
  <c r="AF1195" i="13176"/>
  <c r="BB1195" i="13176"/>
  <c r="W1196" i="13176"/>
  <c r="AT1196" i="13176"/>
  <c r="L1197" i="13176"/>
  <c r="AK1197" i="13176"/>
  <c r="D1198" i="13176"/>
  <c r="AD1198" i="13176"/>
  <c r="BD1198" i="13176"/>
  <c r="BA1210" i="13176"/>
  <c r="C1177" i="13176"/>
  <c r="T1177" i="13176"/>
  <c r="AJ1177" i="13176"/>
  <c r="G1179" i="13176"/>
  <c r="X1179" i="13176"/>
  <c r="E1182" i="13176"/>
  <c r="V1182" i="13176"/>
  <c r="AL1182" i="13176"/>
  <c r="I1184" i="13176"/>
  <c r="Z1184" i="13176"/>
  <c r="C1185" i="13176"/>
  <c r="T1185" i="13176"/>
  <c r="AJ1185" i="13176"/>
  <c r="M1186" i="13176"/>
  <c r="AD1186" i="13176"/>
  <c r="G1187" i="13176"/>
  <c r="X1187" i="13176"/>
  <c r="K1189" i="13176"/>
  <c r="AB1189" i="13176"/>
  <c r="AR1189" i="13176"/>
  <c r="I1190" i="13176"/>
  <c r="AE1190" i="13176"/>
  <c r="AZ1190" i="13176"/>
  <c r="J1192" i="13176"/>
  <c r="AI1192" i="13176"/>
  <c r="P1194" i="13176"/>
  <c r="AN1194" i="13176"/>
  <c r="H1195" i="13176"/>
  <c r="AG1195" i="13176"/>
  <c r="BD1195" i="13176"/>
  <c r="Y1196" i="13176"/>
  <c r="AU1196" i="13176"/>
  <c r="N1197" i="13176"/>
  <c r="AL1197" i="13176"/>
  <c r="F1198" i="13176"/>
  <c r="AE1198" i="13176"/>
  <c r="AN1212" i="13176"/>
  <c r="S1208" i="13176"/>
  <c r="AI1208" i="13176"/>
  <c r="AZ1208" i="13176"/>
  <c r="P1211" i="13176"/>
  <c r="AG1211" i="13176"/>
  <c r="AX1211" i="13176"/>
  <c r="U1213" i="13176"/>
  <c r="AK1213" i="13176"/>
  <c r="BB1213" i="13176"/>
  <c r="N1214" i="13176"/>
  <c r="AE1214" i="13176"/>
  <c r="AV1214" i="13176"/>
  <c r="H1215" i="13176"/>
  <c r="Y1215" i="13176"/>
  <c r="AO1215" i="13176"/>
  <c r="AC1204" i="13176"/>
  <c r="AT1204" i="13176"/>
  <c r="F1205" i="13176"/>
  <c r="W1205" i="13176"/>
  <c r="AM1205" i="13176"/>
  <c r="BD1205" i="13176"/>
  <c r="P1206" i="13176"/>
  <c r="AG1206" i="13176"/>
  <c r="AX1206" i="13176"/>
  <c r="J1207" i="13176"/>
  <c r="AA1207" i="13176"/>
  <c r="AQ1207" i="13176"/>
  <c r="D1208" i="13176"/>
  <c r="U1208" i="13176"/>
  <c r="AK1208" i="13176"/>
  <c r="BB1208" i="13176"/>
  <c r="S1211" i="13176"/>
  <c r="AI1211" i="13176"/>
  <c r="AZ1211" i="13176"/>
  <c r="L1212" i="13176"/>
  <c r="AC1212" i="13176"/>
  <c r="AT1212" i="13176"/>
  <c r="F1213" i="13176"/>
  <c r="W1213" i="13176"/>
  <c r="AM1213" i="13176"/>
  <c r="BD1213" i="13176"/>
  <c r="P1214" i="13176"/>
  <c r="AG1214" i="13176"/>
  <c r="AX1214" i="13176"/>
  <c r="J1215" i="13176"/>
  <c r="AA1215" i="13176"/>
  <c r="AQ1215" i="13176"/>
  <c r="O1201" i="13176"/>
  <c r="AF1201" i="13176"/>
  <c r="AW1201" i="13176"/>
  <c r="I1202" i="13176"/>
  <c r="Z1202" i="13176"/>
  <c r="AP1202" i="13176"/>
  <c r="M1204" i="13176"/>
  <c r="AD1204" i="13176"/>
  <c r="AU1204" i="13176"/>
  <c r="G1205" i="13176"/>
  <c r="X1205" i="13176"/>
  <c r="AN1205" i="13176"/>
  <c r="Q1206" i="13176"/>
  <c r="AH1206" i="13176"/>
  <c r="AY1206" i="13176"/>
  <c r="K1207" i="13176"/>
  <c r="AB1207" i="13176"/>
  <c r="AR1207" i="13176"/>
  <c r="E1208" i="13176"/>
  <c r="V1208" i="13176"/>
  <c r="AL1208" i="13176"/>
  <c r="BC1208" i="13176"/>
  <c r="O1209" i="13176"/>
  <c r="AF1209" i="13176"/>
  <c r="AW1209" i="13176"/>
  <c r="I1210" i="13176"/>
  <c r="Z1210" i="13176"/>
  <c r="AP1210" i="13176"/>
  <c r="C1211" i="13176"/>
  <c r="T1211" i="13176"/>
  <c r="AJ1211" i="13176"/>
  <c r="BA1211" i="13176"/>
  <c r="M1212" i="13176"/>
  <c r="AD1212" i="13176"/>
  <c r="AU1212" i="13176"/>
  <c r="G1213" i="13176"/>
  <c r="X1213" i="13176"/>
  <c r="AN1213" i="13176"/>
  <c r="Q1214" i="13176"/>
  <c r="AH1214" i="13176"/>
  <c r="AY1214" i="13176"/>
  <c r="K1215" i="13176"/>
  <c r="AB1215" i="13176"/>
  <c r="AR1215" i="13176"/>
  <c r="S1206" i="13176"/>
  <c r="AI1206" i="13176"/>
  <c r="AZ1206" i="13176"/>
  <c r="L1207" i="13176"/>
  <c r="AC1207" i="13176"/>
  <c r="AT1207" i="13176"/>
  <c r="F1208" i="13176"/>
  <c r="W1208" i="13176"/>
  <c r="AM1208" i="13176"/>
  <c r="BD1208" i="13176"/>
  <c r="S1214" i="13176"/>
  <c r="AI1214" i="13176"/>
  <c r="AZ1214" i="13176"/>
  <c r="L1215" i="13176"/>
  <c r="AC1215" i="13176"/>
  <c r="AT1215" i="13176"/>
  <c r="Q1201" i="13176"/>
  <c r="AH1201" i="13176"/>
  <c r="AY1201" i="13176"/>
  <c r="K1202" i="13176"/>
  <c r="AB1202" i="13176"/>
  <c r="AR1202" i="13176"/>
  <c r="O1204" i="13176"/>
  <c r="AF1204" i="13176"/>
  <c r="AW1204" i="13176"/>
  <c r="I1205" i="13176"/>
  <c r="Z1205" i="13176"/>
  <c r="AP1205" i="13176"/>
  <c r="C1206" i="13176"/>
  <c r="T1206" i="13176"/>
  <c r="AJ1206" i="13176"/>
  <c r="BA1206" i="13176"/>
  <c r="M1207" i="13176"/>
  <c r="AD1207" i="13176"/>
  <c r="AU1207" i="13176"/>
  <c r="G1208" i="13176"/>
  <c r="X1208" i="13176"/>
  <c r="AN1208" i="13176"/>
  <c r="Q1209" i="13176"/>
  <c r="AH1209" i="13176"/>
  <c r="AY1209" i="13176"/>
  <c r="K1210" i="13176"/>
  <c r="AB1210" i="13176"/>
  <c r="AR1210" i="13176"/>
  <c r="E1211" i="13176"/>
  <c r="V1211" i="13176"/>
  <c r="AL1211" i="13176"/>
  <c r="BC1211" i="13176"/>
  <c r="O1212" i="13176"/>
  <c r="AF1212" i="13176"/>
  <c r="AW1212" i="13176"/>
  <c r="I1213" i="13176"/>
  <c r="Z1213" i="13176"/>
  <c r="AP1213" i="13176"/>
  <c r="C1214" i="13176"/>
  <c r="T1214" i="13176"/>
  <c r="AJ1214" i="13176"/>
  <c r="BA1214" i="13176"/>
  <c r="M1215" i="13176"/>
  <c r="AD1215" i="13176"/>
  <c r="AU1215" i="13176"/>
  <c r="S1201" i="13176"/>
  <c r="AI1201" i="13176"/>
  <c r="AZ1201" i="13176"/>
  <c r="L1202" i="13176"/>
  <c r="AC1202" i="13176"/>
  <c r="AT1202" i="13176"/>
  <c r="P1204" i="13176"/>
  <c r="AG1204" i="13176"/>
  <c r="AX1204" i="13176"/>
  <c r="J1205" i="13176"/>
  <c r="AA1205" i="13176"/>
  <c r="AQ1205" i="13176"/>
  <c r="D1206" i="13176"/>
  <c r="U1206" i="13176"/>
  <c r="AK1206" i="13176"/>
  <c r="BB1206" i="13176"/>
  <c r="N1207" i="13176"/>
  <c r="AE1207" i="13176"/>
  <c r="AV1207" i="13176"/>
  <c r="H1208" i="13176"/>
  <c r="Y1208" i="13176"/>
  <c r="AO1208" i="13176"/>
  <c r="S1209" i="13176"/>
  <c r="AI1209" i="13176"/>
  <c r="AZ1209" i="13176"/>
  <c r="L1210" i="13176"/>
  <c r="AC1210" i="13176"/>
  <c r="AT1210" i="13176"/>
  <c r="F1211" i="13176"/>
  <c r="W1211" i="13176"/>
  <c r="AM1211" i="13176"/>
  <c r="BD1211" i="13176"/>
  <c r="P1212" i="13176"/>
  <c r="AG1212" i="13176"/>
  <c r="AX1212" i="13176"/>
  <c r="J1213" i="13176"/>
  <c r="AA1213" i="13176"/>
  <c r="AQ1213" i="13176"/>
  <c r="D1214" i="13176"/>
  <c r="U1214" i="13176"/>
  <c r="AK1214" i="13176"/>
  <c r="BB1214" i="13176"/>
  <c r="N1215" i="13176"/>
  <c r="AE1215" i="13176"/>
  <c r="AV1215" i="13176"/>
  <c r="C1201" i="13176"/>
  <c r="T1201" i="13176"/>
  <c r="AJ1201" i="13176"/>
  <c r="BA1201" i="13176"/>
  <c r="M1202" i="13176"/>
  <c r="AD1202" i="13176"/>
  <c r="AU1202" i="13176"/>
  <c r="Q1204" i="13176"/>
  <c r="AH1204" i="13176"/>
  <c r="AY1204" i="13176"/>
  <c r="K1205" i="13176"/>
  <c r="AB1205" i="13176"/>
  <c r="AR1205" i="13176"/>
  <c r="E1206" i="13176"/>
  <c r="V1206" i="13176"/>
  <c r="AL1206" i="13176"/>
  <c r="BC1206" i="13176"/>
  <c r="O1207" i="13176"/>
  <c r="AF1207" i="13176"/>
  <c r="AW1207" i="13176"/>
  <c r="I1208" i="13176"/>
  <c r="Z1208" i="13176"/>
  <c r="AP1208" i="13176"/>
  <c r="C1209" i="13176"/>
  <c r="T1209" i="13176"/>
  <c r="AJ1209" i="13176"/>
  <c r="BA1209" i="13176"/>
  <c r="M1210" i="13176"/>
  <c r="AD1210" i="13176"/>
  <c r="AU1210" i="13176"/>
  <c r="G1211" i="13176"/>
  <c r="X1211" i="13176"/>
  <c r="AN1211" i="13176"/>
  <c r="Q1212" i="13176"/>
  <c r="AH1212" i="13176"/>
  <c r="AY1212" i="13176"/>
  <c r="K1213" i="13176"/>
  <c r="AB1213" i="13176"/>
  <c r="AR1213" i="13176"/>
  <c r="E1214" i="13176"/>
  <c r="V1214" i="13176"/>
  <c r="AL1214" i="13176"/>
  <c r="BC1214" i="13176"/>
  <c r="O1215" i="13176"/>
  <c r="AF1215" i="13176"/>
  <c r="AW1215" i="13176"/>
  <c r="S1204" i="13176"/>
  <c r="AI1204" i="13176"/>
  <c r="AZ1204" i="13176"/>
  <c r="L1205" i="13176"/>
  <c r="AC1205" i="13176"/>
  <c r="AT1205" i="13176"/>
  <c r="F1206" i="13176"/>
  <c r="W1206" i="13176"/>
  <c r="AM1206" i="13176"/>
  <c r="BD1206" i="13176"/>
  <c r="P1207" i="13176"/>
  <c r="AG1207" i="13176"/>
  <c r="AX1207" i="13176"/>
  <c r="J1208" i="13176"/>
  <c r="AA1208" i="13176"/>
  <c r="AQ1208" i="13176"/>
  <c r="H1211" i="13176"/>
  <c r="Y1211" i="13176"/>
  <c r="AO1211" i="13176"/>
  <c r="S1212" i="13176"/>
  <c r="AI1212" i="13176"/>
  <c r="AZ1212" i="13176"/>
  <c r="L1213" i="13176"/>
  <c r="AC1213" i="13176"/>
  <c r="AT1213" i="13176"/>
  <c r="F1214" i="13176"/>
  <c r="W1214" i="13176"/>
  <c r="AM1214" i="13176"/>
  <c r="BD1214" i="13176"/>
  <c r="P1215" i="13176"/>
  <c r="AG1215" i="13176"/>
  <c r="AX1215" i="13176"/>
  <c r="E1201" i="13176"/>
  <c r="V1201" i="13176"/>
  <c r="AL1201" i="13176"/>
  <c r="BC1201" i="13176"/>
  <c r="O1202" i="13176"/>
  <c r="AF1202" i="13176"/>
  <c r="AW1202" i="13176"/>
  <c r="C1204" i="13176"/>
  <c r="T1204" i="13176"/>
  <c r="AJ1204" i="13176"/>
  <c r="BA1204" i="13176"/>
  <c r="M1205" i="13176"/>
  <c r="AD1205" i="13176"/>
  <c r="AU1205" i="13176"/>
  <c r="G1206" i="13176"/>
  <c r="X1206" i="13176"/>
  <c r="AN1206" i="13176"/>
  <c r="Q1207" i="13176"/>
  <c r="AH1207" i="13176"/>
  <c r="AY1207" i="13176"/>
  <c r="K1208" i="13176"/>
  <c r="AB1208" i="13176"/>
  <c r="AR1208" i="13176"/>
  <c r="E1209" i="13176"/>
  <c r="V1209" i="13176"/>
  <c r="AL1209" i="13176"/>
  <c r="BC1209" i="13176"/>
  <c r="O1210" i="13176"/>
  <c r="AF1210" i="13176"/>
  <c r="AW1210" i="13176"/>
  <c r="I1211" i="13176"/>
  <c r="Z1211" i="13176"/>
  <c r="AP1211" i="13176"/>
  <c r="C1212" i="13176"/>
  <c r="T1212" i="13176"/>
  <c r="AJ1212" i="13176"/>
  <c r="BA1212" i="13176"/>
  <c r="M1213" i="13176"/>
  <c r="AD1213" i="13176"/>
  <c r="AU1213" i="13176"/>
  <c r="G1214" i="13176"/>
  <c r="X1214" i="13176"/>
  <c r="AN1214" i="13176"/>
  <c r="Q1215" i="13176"/>
  <c r="AH1215" i="13176"/>
  <c r="AY1215" i="13176"/>
  <c r="S1207" i="13176"/>
  <c r="AI1207" i="13176"/>
  <c r="AZ1207" i="13176"/>
  <c r="L1208" i="13176"/>
  <c r="AC1208" i="13176"/>
  <c r="AT1208" i="13176"/>
  <c r="S1215" i="13176"/>
  <c r="AI1215" i="13176"/>
  <c r="AZ1215" i="13176"/>
  <c r="G1201" i="13176"/>
  <c r="X1201" i="13176"/>
  <c r="AN1201" i="13176"/>
  <c r="Q1202" i="13176"/>
  <c r="AH1202" i="13176"/>
  <c r="AY1202" i="13176"/>
  <c r="E1204" i="13176"/>
  <c r="V1204" i="13176"/>
  <c r="AL1204" i="13176"/>
  <c r="BC1204" i="13176"/>
  <c r="O1205" i="13176"/>
  <c r="AF1205" i="13176"/>
  <c r="AW1205" i="13176"/>
  <c r="I1206" i="13176"/>
  <c r="Z1206" i="13176"/>
  <c r="AP1206" i="13176"/>
  <c r="C1207" i="13176"/>
  <c r="T1207" i="13176"/>
  <c r="AJ1207" i="13176"/>
  <c r="BA1207" i="13176"/>
  <c r="M1208" i="13176"/>
  <c r="AD1208" i="13176"/>
  <c r="AU1208" i="13176"/>
  <c r="G1209" i="13176"/>
  <c r="X1209" i="13176"/>
  <c r="AN1209" i="13176"/>
  <c r="Q1210" i="13176"/>
  <c r="AH1210" i="13176"/>
  <c r="AY1210" i="13176"/>
  <c r="K1211" i="13176"/>
  <c r="AB1211" i="13176"/>
  <c r="AR1211" i="13176"/>
  <c r="E1212" i="13176"/>
  <c r="V1212" i="13176"/>
  <c r="AL1212" i="13176"/>
  <c r="BC1212" i="13176"/>
  <c r="O1213" i="13176"/>
  <c r="AF1213" i="13176"/>
  <c r="AW1213" i="13176"/>
  <c r="I1214" i="13176"/>
  <c r="Z1214" i="13176"/>
  <c r="AP1214" i="13176"/>
  <c r="C1215" i="13176"/>
  <c r="T1215" i="13176"/>
  <c r="AJ1215" i="13176"/>
  <c r="BA1215" i="13176"/>
  <c r="S1202" i="13176"/>
  <c r="AI1202" i="13176"/>
  <c r="AZ1202" i="13176"/>
  <c r="F1204" i="13176"/>
  <c r="W1204" i="13176"/>
  <c r="AM1204" i="13176"/>
  <c r="BD1204" i="13176"/>
  <c r="P1205" i="13176"/>
  <c r="AG1205" i="13176"/>
  <c r="AX1205" i="13176"/>
  <c r="J1206" i="13176"/>
  <c r="AA1206" i="13176"/>
  <c r="AQ1206" i="13176"/>
  <c r="D1207" i="13176"/>
  <c r="U1207" i="13176"/>
  <c r="AK1207" i="13176"/>
  <c r="BB1207" i="13176"/>
  <c r="N1208" i="13176"/>
  <c r="AE1208" i="13176"/>
  <c r="AV1208" i="13176"/>
  <c r="S1210" i="13176"/>
  <c r="AI1210" i="13176"/>
  <c r="AZ1210" i="13176"/>
  <c r="L1211" i="13176"/>
  <c r="AC1211" i="13176"/>
  <c r="AT1211" i="13176"/>
  <c r="F1212" i="13176"/>
  <c r="W1212" i="13176"/>
  <c r="AM1212" i="13176"/>
  <c r="BD1212" i="13176"/>
  <c r="P1213" i="13176"/>
  <c r="AG1213" i="13176"/>
  <c r="AX1213" i="13176"/>
  <c r="J1214" i="13176"/>
  <c r="AA1214" i="13176"/>
  <c r="AQ1214" i="13176"/>
  <c r="D1215" i="13176"/>
  <c r="U1215" i="13176"/>
  <c r="AK1215" i="13176"/>
  <c r="BB1215" i="13176"/>
  <c r="I1201" i="13176"/>
  <c r="Z1201" i="13176"/>
  <c r="C1202" i="13176"/>
  <c r="T1202" i="13176"/>
  <c r="AJ1202" i="13176"/>
  <c r="G1204" i="13176"/>
  <c r="X1204" i="13176"/>
  <c r="Q1205" i="13176"/>
  <c r="AH1205" i="13176"/>
  <c r="AY1205" i="13176"/>
  <c r="K1206" i="13176"/>
  <c r="AB1206" i="13176"/>
  <c r="AR1206" i="13176"/>
  <c r="E1207" i="13176"/>
  <c r="V1207" i="13176"/>
  <c r="AL1207" i="13176"/>
  <c r="BC1207" i="13176"/>
  <c r="O1208" i="13176"/>
  <c r="AF1208" i="13176"/>
  <c r="AW1208" i="13176"/>
  <c r="I1209" i="13176"/>
  <c r="Z1209" i="13176"/>
  <c r="C1210" i="13176"/>
  <c r="T1210" i="13176"/>
  <c r="AJ1210" i="13176"/>
  <c r="M1211" i="13176"/>
  <c r="AD1211" i="13176"/>
  <c r="AU1211" i="13176"/>
  <c r="G1212" i="13176"/>
  <c r="X1212" i="13176"/>
  <c r="Q1213" i="13176"/>
  <c r="AH1213" i="13176"/>
  <c r="AY1213" i="13176"/>
  <c r="K1214" i="13176"/>
  <c r="AB1214" i="13176"/>
  <c r="AR1214" i="13176"/>
  <c r="E1215" i="13176"/>
  <c r="V1215" i="13176"/>
  <c r="AL1215" i="13176"/>
  <c r="BC1215" i="13176"/>
  <c r="S1205" i="13176"/>
  <c r="AI1205" i="13176"/>
  <c r="L1206" i="13176"/>
  <c r="AC1206" i="13176"/>
  <c r="F1207" i="13176"/>
  <c r="W1207" i="13176"/>
  <c r="AM1207" i="13176"/>
  <c r="P1208" i="13176"/>
  <c r="AG1208" i="13176"/>
  <c r="N1211" i="13176"/>
  <c r="AE1211" i="13176"/>
  <c r="S1213" i="13176"/>
  <c r="AI1213" i="13176"/>
  <c r="L1214" i="13176"/>
  <c r="AC1214" i="13176"/>
  <c r="F1215" i="13176"/>
  <c r="W1215" i="13176"/>
  <c r="AM1215" i="1317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1" refreshedVersion="4" savePassword="1" saveData="1">
    <dbPr connection="DSN=PMI;DBQ=U:\data\excel\cgi\Automatic\PMI\PMI.mdb;DefaultDir=U:\data\excel\cgi\Automatic\PMI;DriverId=25;FIL=MS Access;MaxBufferSize=2048;PageTimeout=5;UID=admin;" command="SELECT LAI_MARKET_PRICE.PRICE_TYPE, LAI_MARKET_PRICE.BEGIN_DATE, LAI_MARKET_PRICE.END_DATE, LAI_MARKET_PRICE.PRODUCT_ID, LAI_MARKET_PRICE.CURRENCY_CODE, LAI_MARKET_PRICE.MARKET_CODE, LAI_MARKET_PRICE.REGION_CODE, LAI_MARKET_PRICE.COUNTRY_CODE, LAI_MARKET_PRICE.PRICE, LAI_MARKET_PRICE.QUANTITY_UNIT, LAI_MARKET_PRICE.REGULATION_NUMBER, LAI_MARKET_PRICE.MODIFICATION_DATE, LAI_MARKET_PRICE.USER_NAME, LAI_MARKET_PRICE.PRICE_TYPE_x000d__x000a_FROM `U:\data\excel\cgi\Automatic\PMI\PMI`.LAI_MARKET_PRICE LAI_MARKET_PRICE_x000d__x000a_WHERE (LAI_MARKET_PRICE.PRICE_TYPE='I') AND (LAI_MARKET_PRICE.CURRENCY_CODE='EUR') AND (LAI_MARKET_PRICE.PRODUCT_ID=1107) AND (LAI_MARKET_PRICE.BEGIN_DATE&gt;={ts '2005-01-01 00:00:00'})"/>
  </connection>
</connections>
</file>

<file path=xl/sharedStrings.xml><?xml version="1.0" encoding="utf-8"?>
<sst xmlns="http://schemas.openxmlformats.org/spreadsheetml/2006/main" count="2290" uniqueCount="711">
  <si>
    <t>be</t>
  </si>
  <si>
    <t>dk</t>
  </si>
  <si>
    <t>de</t>
  </si>
  <si>
    <t>es</t>
  </si>
  <si>
    <t>fr</t>
  </si>
  <si>
    <t>ie</t>
  </si>
  <si>
    <t>it</t>
  </si>
  <si>
    <t>lu</t>
  </si>
  <si>
    <t>nl</t>
  </si>
  <si>
    <t>at</t>
  </si>
  <si>
    <t>pt</t>
  </si>
  <si>
    <t>fi</t>
  </si>
  <si>
    <t>se</t>
  </si>
  <si>
    <t>France</t>
  </si>
  <si>
    <t>Luxembourg</t>
  </si>
  <si>
    <t>Portugal</t>
  </si>
  <si>
    <t>1999m01</t>
  </si>
  <si>
    <t>1998m12</t>
  </si>
  <si>
    <t>1998m11</t>
  </si>
  <si>
    <t>1998m10</t>
  </si>
  <si>
    <t>1998m09</t>
  </si>
  <si>
    <t>1998m08</t>
  </si>
  <si>
    <t>1998m07</t>
  </si>
  <si>
    <t>1998m06</t>
  </si>
  <si>
    <t>1998m05</t>
  </si>
  <si>
    <t>1998m04</t>
  </si>
  <si>
    <t>1998m03</t>
  </si>
  <si>
    <t>1998m02</t>
  </si>
  <si>
    <t>1998m01</t>
  </si>
  <si>
    <t>1997m12</t>
  </si>
  <si>
    <t>1997m11</t>
  </si>
  <si>
    <t>1997m10</t>
  </si>
  <si>
    <t>1997m09</t>
  </si>
  <si>
    <t>1997m08</t>
  </si>
  <si>
    <t>1997m07</t>
  </si>
  <si>
    <t>1997m06</t>
  </si>
  <si>
    <t>1997m05</t>
  </si>
  <si>
    <t>1997m04</t>
  </si>
  <si>
    <t>1997m03</t>
  </si>
  <si>
    <t>1997m02</t>
  </si>
  <si>
    <t>1997m01</t>
  </si>
  <si>
    <t>1996m12</t>
  </si>
  <si>
    <t>1996m11</t>
  </si>
  <si>
    <t>1996m10</t>
  </si>
  <si>
    <t>1996m09</t>
  </si>
  <si>
    <t>1996m08</t>
  </si>
  <si>
    <t>1996m07</t>
  </si>
  <si>
    <t>1996m06</t>
  </si>
  <si>
    <t>1996m05</t>
  </si>
  <si>
    <t>1996m04</t>
  </si>
  <si>
    <t>1996m03</t>
  </si>
  <si>
    <t>1996m02</t>
  </si>
  <si>
    <t>1996m01</t>
  </si>
  <si>
    <t>1995m12</t>
  </si>
  <si>
    <t>1995m11</t>
  </si>
  <si>
    <t>1995m10</t>
  </si>
  <si>
    <t>1995m09</t>
  </si>
  <si>
    <t>1995m08</t>
  </si>
  <si>
    <t>1995m07</t>
  </si>
  <si>
    <t>1995m06</t>
  </si>
  <si>
    <t>1995m05</t>
  </si>
  <si>
    <t>1995m04</t>
  </si>
  <si>
    <t>1995m03</t>
  </si>
  <si>
    <t>1995m02</t>
  </si>
  <si>
    <t>1995m01</t>
  </si>
  <si>
    <t>1994m12</t>
  </si>
  <si>
    <t>1994m11</t>
  </si>
  <si>
    <t>1994m10</t>
  </si>
  <si>
    <t>1994m09</t>
  </si>
  <si>
    <t>1994m08</t>
  </si>
  <si>
    <t>1994m07</t>
  </si>
  <si>
    <t>1994m06</t>
  </si>
  <si>
    <t>1994m05</t>
  </si>
  <si>
    <t>1994m04</t>
  </si>
  <si>
    <t>1994m03</t>
  </si>
  <si>
    <t>1994m02</t>
  </si>
  <si>
    <t>1994m01</t>
  </si>
  <si>
    <t>1993m12</t>
  </si>
  <si>
    <t>1993m11</t>
  </si>
  <si>
    <t>1993m10</t>
  </si>
  <si>
    <t>1993m09</t>
  </si>
  <si>
    <t>1993m08</t>
  </si>
  <si>
    <t>1993m07</t>
  </si>
  <si>
    <t>1993m06</t>
  </si>
  <si>
    <t>1993m05</t>
  </si>
  <si>
    <t>1993m04</t>
  </si>
  <si>
    <t>1993m03</t>
  </si>
  <si>
    <t>1993m02</t>
  </si>
  <si>
    <t>1993m01</t>
  </si>
  <si>
    <t>1992m12</t>
  </si>
  <si>
    <t>1992m11</t>
  </si>
  <si>
    <t>1992m10</t>
  </si>
  <si>
    <t>1992m09</t>
  </si>
  <si>
    <t>1992m08</t>
  </si>
  <si>
    <t>1992m07</t>
  </si>
  <si>
    <t>1992m06</t>
  </si>
  <si>
    <t>1992m05</t>
  </si>
  <si>
    <t>1992m04</t>
  </si>
  <si>
    <t>1992m03</t>
  </si>
  <si>
    <t>1992m02</t>
  </si>
  <si>
    <t>1992m01</t>
  </si>
  <si>
    <t>1991m12</t>
  </si>
  <si>
    <t>1991m11</t>
  </si>
  <si>
    <t>1991m10</t>
  </si>
  <si>
    <t>1991m09</t>
  </si>
  <si>
    <t>1991m08</t>
  </si>
  <si>
    <t>1991m07</t>
  </si>
  <si>
    <t>1991m06</t>
  </si>
  <si>
    <t>1991m05</t>
  </si>
  <si>
    <t>1991m04</t>
  </si>
  <si>
    <t>1991m03</t>
  </si>
  <si>
    <t>1991m02</t>
  </si>
  <si>
    <t>1991m01</t>
  </si>
  <si>
    <t>1990m12</t>
  </si>
  <si>
    <t>1990m11</t>
  </si>
  <si>
    <t>1990m10</t>
  </si>
  <si>
    <t>1990m09</t>
  </si>
  <si>
    <t>1990m08</t>
  </si>
  <si>
    <t>1990m07</t>
  </si>
  <si>
    <t>1990m06</t>
  </si>
  <si>
    <t>1990m05</t>
  </si>
  <si>
    <t>1990m04</t>
  </si>
  <si>
    <t>1990m03</t>
  </si>
  <si>
    <t>1990m02</t>
  </si>
  <si>
    <t>1990m01</t>
  </si>
  <si>
    <t>1989m12</t>
  </si>
  <si>
    <t>1989m11</t>
  </si>
  <si>
    <t>1989m10</t>
  </si>
  <si>
    <t>1989m09</t>
  </si>
  <si>
    <t>1989m08</t>
  </si>
  <si>
    <t>1989m07</t>
  </si>
  <si>
    <t>1989m06</t>
  </si>
  <si>
    <t>1989m05</t>
  </si>
  <si>
    <t>1989m04</t>
  </si>
  <si>
    <t>1989m03</t>
  </si>
  <si>
    <t>1989m02</t>
  </si>
  <si>
    <t>1989m01</t>
  </si>
  <si>
    <t>1988m12</t>
  </si>
  <si>
    <t>1988m11</t>
  </si>
  <si>
    <t>1988m10</t>
  </si>
  <si>
    <t>1988m09</t>
  </si>
  <si>
    <t>1988m08</t>
  </si>
  <si>
    <t>1988m07</t>
  </si>
  <si>
    <t>1988m06</t>
  </si>
  <si>
    <t>1988m05</t>
  </si>
  <si>
    <t>1988m04</t>
  </si>
  <si>
    <t>1988m03</t>
  </si>
  <si>
    <t>1988m02</t>
  </si>
  <si>
    <t>1988m01</t>
  </si>
  <si>
    <t>1987m12</t>
  </si>
  <si>
    <t>1987m11</t>
  </si>
  <si>
    <t>1987m10</t>
  </si>
  <si>
    <t>1987m09</t>
  </si>
  <si>
    <t>1987m08</t>
  </si>
  <si>
    <t>1987m07</t>
  </si>
  <si>
    <t>1987m06</t>
  </si>
  <si>
    <t>1987m05</t>
  </si>
  <si>
    <t>1987m04</t>
  </si>
  <si>
    <t>1987m03</t>
  </si>
  <si>
    <t>1987m02</t>
  </si>
  <si>
    <t>1987m01</t>
  </si>
  <si>
    <t>1986m12</t>
  </si>
  <si>
    <t>1986m11</t>
  </si>
  <si>
    <t>1986m10</t>
  </si>
  <si>
    <t>1986m09</t>
  </si>
  <si>
    <t>1986m08</t>
  </si>
  <si>
    <t>1986m07</t>
  </si>
  <si>
    <t>1986m06</t>
  </si>
  <si>
    <t>1986m05</t>
  </si>
  <si>
    <t>1986m04</t>
  </si>
  <si>
    <t>1986m03</t>
  </si>
  <si>
    <t>1986m02</t>
  </si>
  <si>
    <t>1986m01</t>
  </si>
  <si>
    <t>1985m12</t>
  </si>
  <si>
    <t>1985m11</t>
  </si>
  <si>
    <t>1985m10</t>
  </si>
  <si>
    <t>1985m09</t>
  </si>
  <si>
    <t>1985m08</t>
  </si>
  <si>
    <t>1985m07</t>
  </si>
  <si>
    <t>1985m06</t>
  </si>
  <si>
    <t>1985m05</t>
  </si>
  <si>
    <t>1985m04</t>
  </si>
  <si>
    <t>1985m03</t>
  </si>
  <si>
    <t>1985m02</t>
  </si>
  <si>
    <t>1985m01</t>
  </si>
  <si>
    <t>1984m12</t>
  </si>
  <si>
    <t>1984m11</t>
  </si>
  <si>
    <t>1984m10</t>
  </si>
  <si>
    <t>1984m09</t>
  </si>
  <si>
    <t>1984m08</t>
  </si>
  <si>
    <t>1984m07</t>
  </si>
  <si>
    <t>1984m06</t>
  </si>
  <si>
    <t>1984m05</t>
  </si>
  <si>
    <t>1984m04</t>
  </si>
  <si>
    <t>1984m03</t>
  </si>
  <si>
    <t>1984m02</t>
  </si>
  <si>
    <t>1984m01</t>
  </si>
  <si>
    <t>1983m12</t>
  </si>
  <si>
    <t>1983m11</t>
  </si>
  <si>
    <t>1983m10</t>
  </si>
  <si>
    <t>1983m09</t>
  </si>
  <si>
    <t>1983m08</t>
  </si>
  <si>
    <t>1983m07</t>
  </si>
  <si>
    <t>1983m06</t>
  </si>
  <si>
    <t>1983m05</t>
  </si>
  <si>
    <t>1983m04</t>
  </si>
  <si>
    <t>1983m03</t>
  </si>
  <si>
    <t>1983m02</t>
  </si>
  <si>
    <t>1983m01</t>
  </si>
  <si>
    <t>1982m12</t>
  </si>
  <si>
    <t>1982m11</t>
  </si>
  <si>
    <t>1982m10</t>
  </si>
  <si>
    <t>1982m09</t>
  </si>
  <si>
    <t>1982m08</t>
  </si>
  <si>
    <t>1982m07</t>
  </si>
  <si>
    <t>1982m06</t>
  </si>
  <si>
    <t>1982m05</t>
  </si>
  <si>
    <t>1982m04</t>
  </si>
  <si>
    <t>1982m03</t>
  </si>
  <si>
    <t>1982m02</t>
  </si>
  <si>
    <t>1982m01</t>
  </si>
  <si>
    <t>1981m12</t>
  </si>
  <si>
    <t>1981m11</t>
  </si>
  <si>
    <t>1981m10</t>
  </si>
  <si>
    <t>1981m09</t>
  </si>
  <si>
    <t>1981m08</t>
  </si>
  <si>
    <t>1981m07</t>
  </si>
  <si>
    <t>1981m06</t>
  </si>
  <si>
    <t>1981m05</t>
  </si>
  <si>
    <t>1981m04</t>
  </si>
  <si>
    <t>1981m03</t>
  </si>
  <si>
    <t>1981m02</t>
  </si>
  <si>
    <t>1981m01</t>
  </si>
  <si>
    <t>1980m12</t>
  </si>
  <si>
    <t>1980m11</t>
  </si>
  <si>
    <t>1980m10</t>
  </si>
  <si>
    <t>1980m09</t>
  </si>
  <si>
    <t>1980m08</t>
  </si>
  <si>
    <t>1980m07</t>
  </si>
  <si>
    <t>1980m06</t>
  </si>
  <si>
    <t>1980m05</t>
  </si>
  <si>
    <t>1980m04</t>
  </si>
  <si>
    <t>1980m03</t>
  </si>
  <si>
    <t>1980m02</t>
  </si>
  <si>
    <t>1980m01</t>
  </si>
  <si>
    <t>1979m12</t>
  </si>
  <si>
    <t>1979m11</t>
  </si>
  <si>
    <t>1979m10</t>
  </si>
  <si>
    <t>1979m09</t>
  </si>
  <si>
    <t>1979m08</t>
  </si>
  <si>
    <t>1979m07</t>
  </si>
  <si>
    <t>1979m06</t>
  </si>
  <si>
    <t>1979m05</t>
  </si>
  <si>
    <t>1979m04</t>
  </si>
  <si>
    <t>1979m03</t>
  </si>
  <si>
    <t>1979m02</t>
  </si>
  <si>
    <t>1979m01</t>
  </si>
  <si>
    <t>1978m12</t>
  </si>
  <si>
    <t>1978m11</t>
  </si>
  <si>
    <t>1978m10</t>
  </si>
  <si>
    <t>1978m09</t>
  </si>
  <si>
    <t>1978m08</t>
  </si>
  <si>
    <t>1978m07</t>
  </si>
  <si>
    <t>1978m06</t>
  </si>
  <si>
    <t>1978m05</t>
  </si>
  <si>
    <t>1978m04</t>
  </si>
  <si>
    <t>1978m03</t>
  </si>
  <si>
    <t>1978m02</t>
  </si>
  <si>
    <t>1978m01</t>
  </si>
  <si>
    <t>1977m12</t>
  </si>
  <si>
    <t>1977m11</t>
  </si>
  <si>
    <t>1977m10</t>
  </si>
  <si>
    <t>1977m09</t>
  </si>
  <si>
    <t>1977m08</t>
  </si>
  <si>
    <t>1977m07</t>
  </si>
  <si>
    <t>1977m06</t>
  </si>
  <si>
    <t>1977m05</t>
  </si>
  <si>
    <t>1977m04</t>
  </si>
  <si>
    <t>1977m03</t>
  </si>
  <si>
    <t>1977m02</t>
  </si>
  <si>
    <t>1977m01</t>
  </si>
  <si>
    <t>1999m04</t>
  </si>
  <si>
    <t>1999m03</t>
  </si>
  <si>
    <t>1999m02</t>
  </si>
  <si>
    <t>1999m05</t>
  </si>
  <si>
    <t>1999m12</t>
  </si>
  <si>
    <t>1999m11</t>
  </si>
  <si>
    <t>1999m10</t>
  </si>
  <si>
    <t>1999m09</t>
  </si>
  <si>
    <t>1999m08</t>
  </si>
  <si>
    <t>1999m07</t>
  </si>
  <si>
    <t>1999m06</t>
  </si>
  <si>
    <t>2000m02</t>
  </si>
  <si>
    <t>2000m01</t>
  </si>
  <si>
    <t>2000m04</t>
  </si>
  <si>
    <t>2000m03</t>
  </si>
  <si>
    <t>2000m08</t>
  </si>
  <si>
    <t>2000m07</t>
  </si>
  <si>
    <t>2000m06</t>
  </si>
  <si>
    <t>2000m05</t>
  </si>
  <si>
    <t>2000m09</t>
  </si>
  <si>
    <t>2000m10</t>
  </si>
  <si>
    <t>2000m11</t>
  </si>
  <si>
    <t>2000m12</t>
  </si>
  <si>
    <t>2001m09</t>
  </si>
  <si>
    <t>2001m10</t>
  </si>
  <si>
    <t>2001m11</t>
  </si>
  <si>
    <t>2001m12</t>
  </si>
  <si>
    <t>2002m09</t>
  </si>
  <si>
    <t>2002m10</t>
  </si>
  <si>
    <t>2002m11</t>
  </si>
  <si>
    <t>2002m12</t>
  </si>
  <si>
    <t>2002m01</t>
  </si>
  <si>
    <t>2002m02</t>
  </si>
  <si>
    <t>2002m03</t>
  </si>
  <si>
    <t>2001m02</t>
  </si>
  <si>
    <t>2001m03</t>
  </si>
  <si>
    <t>2001m04</t>
  </si>
  <si>
    <t>2001m05</t>
  </si>
  <si>
    <t>2001m06</t>
  </si>
  <si>
    <t>2001m07</t>
  </si>
  <si>
    <t>2001m08</t>
  </si>
  <si>
    <t>2002m04</t>
  </si>
  <si>
    <t>2002m05</t>
  </si>
  <si>
    <t>2001m01</t>
  </si>
  <si>
    <t>2002m06</t>
  </si>
  <si>
    <t>2002m07</t>
  </si>
  <si>
    <t>2002m08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</si>
  <si>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</si>
  <si>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</si>
  <si>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</si>
  <si>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</si>
  <si>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</si>
  <si>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</si>
  <si>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</si>
  <si>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</si>
  <si>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</si>
  <si>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</si>
  <si>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</si>
  <si>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2003m01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</si>
  <si>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</si>
  <si>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</si>
  <si>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</si>
  <si>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</si>
  <si>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</si>
  <si>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</si>
  <si>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</si>
  <si>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</si>
  <si>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</si>
  <si>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</si>
  <si>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</si>
  <si>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</si>
  <si>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Belgium</t>
  </si>
  <si>
    <t>Denmark</t>
  </si>
  <si>
    <t>Greece</t>
  </si>
  <si>
    <t>Spain</t>
  </si>
  <si>
    <t>Netherlands</t>
  </si>
  <si>
    <t>Austria</t>
  </si>
  <si>
    <t>Finland</t>
  </si>
  <si>
    <t>Sweden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</si>
  <si>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</si>
  <si>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</si>
  <si>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</si>
  <si>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</si>
  <si>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</si>
  <si>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</si>
  <si>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</si>
  <si>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</si>
  <si>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</si>
  <si>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</si>
  <si>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</si>
  <si>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</si>
  <si>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cz</t>
  </si>
  <si>
    <t>Estonia</t>
  </si>
  <si>
    <t>ee</t>
  </si>
  <si>
    <t>cy</t>
  </si>
  <si>
    <t>lv</t>
  </si>
  <si>
    <t>lt</t>
  </si>
  <si>
    <t>Cyprus</t>
  </si>
  <si>
    <t>Latvia</t>
  </si>
  <si>
    <t>Hungary</t>
  </si>
  <si>
    <t>hu</t>
  </si>
  <si>
    <t>mt</t>
  </si>
  <si>
    <t>Malta</t>
  </si>
  <si>
    <t>pl</t>
  </si>
  <si>
    <t>Poland</t>
  </si>
  <si>
    <t>sk</t>
  </si>
  <si>
    <t>si</t>
  </si>
  <si>
    <t>Slovenia</t>
  </si>
  <si>
    <t>Slovakia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</si>
  <si>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</si>
  <si>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</si>
  <si>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</si>
  <si>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</si>
  <si>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</si>
  <si>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</si>
  <si>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</si>
  <si>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</si>
  <si>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</si>
  <si>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</si>
  <si>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</si>
  <si>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</si>
  <si>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Germany</t>
  </si>
  <si>
    <t>Italy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</si>
  <si>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</si>
  <si>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</si>
  <si>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</si>
  <si>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</si>
  <si>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</si>
  <si>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</si>
  <si>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</si>
  <si>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</si>
  <si>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</si>
  <si>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</si>
  <si>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</si>
  <si>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</si>
  <si>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bg</t>
  </si>
  <si>
    <t>Bulgaria</t>
  </si>
  <si>
    <t>ro</t>
  </si>
  <si>
    <t>Romania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</si>
  <si>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</si>
  <si>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</si>
  <si>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</si>
  <si>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</si>
  <si>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</si>
  <si>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</si>
  <si>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</si>
  <si>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</si>
  <si>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</si>
  <si>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</si>
  <si>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</si>
  <si>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</si>
  <si>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</si>
  <si>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</si>
  <si>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</si>
  <si>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</si>
  <si>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</si>
  <si>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</si>
  <si>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</si>
  <si>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</si>
  <si>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</si>
  <si>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</si>
  <si>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</si>
  <si>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</si>
  <si>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</si>
  <si>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</si>
  <si>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</si>
  <si>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</si>
  <si>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</si>
  <si>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</si>
  <si>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</si>
  <si>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</si>
  <si>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</si>
  <si>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</si>
  <si>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</si>
  <si>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</si>
  <si>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</si>
  <si>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</si>
  <si>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</si>
  <si>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</si>
  <si>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</si>
  <si>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</si>
  <si>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</si>
  <si>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</si>
  <si>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</si>
  <si>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</si>
  <si>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</si>
  <si>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</si>
  <si>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</si>
  <si>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</si>
  <si>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</si>
  <si>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</si>
  <si>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</si>
  <si>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</si>
  <si>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</si>
  <si>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</si>
  <si>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</si>
  <si>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</si>
  <si>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</si>
  <si>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2012m01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</si>
  <si>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</si>
  <si>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</si>
  <si>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</si>
  <si>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</si>
  <si>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</si>
  <si>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</si>
  <si>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</si>
  <si>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</si>
  <si>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</si>
  <si>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</si>
  <si>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</si>
  <si>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</si>
  <si>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hr</t>
  </si>
  <si>
    <t>Croatia</t>
  </si>
  <si>
    <t>Milk Market Observatory</t>
  </si>
  <si>
    <t/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</si>
  <si>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</si>
  <si>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</si>
  <si>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</si>
  <si>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</si>
  <si>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</si>
  <si>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</si>
  <si>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</si>
  <si>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</si>
  <si>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</si>
  <si>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</si>
  <si>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</si>
  <si>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</si>
  <si>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EU</t>
  </si>
  <si>
    <t>in EUR/100 kg</t>
  </si>
  <si>
    <t>BUTTER</t>
  </si>
  <si>
    <t>SMP</t>
  </si>
  <si>
    <t>WMP</t>
  </si>
  <si>
    <t>CHEDDAR</t>
  </si>
  <si>
    <t>EDAM</t>
  </si>
  <si>
    <t>GOUDA</t>
  </si>
  <si>
    <t>EMMENTAL</t>
  </si>
  <si>
    <t>WHEYPOWDER</t>
  </si>
  <si>
    <r>
      <t xml:space="preserve">HISTORICAL EU PRICE SERIE of COW's RAW MILK </t>
    </r>
    <r>
      <rPr>
        <b/>
        <sz val="11"/>
        <color indexed="17"/>
        <rFont val="Verdana"/>
        <family val="2"/>
      </rPr>
      <t>in EURO/100 kg</t>
    </r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</si>
  <si>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</si>
  <si>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</si>
  <si>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</si>
  <si>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</si>
  <si>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</si>
  <si>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</si>
  <si>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</si>
  <si>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</si>
  <si>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</si>
  <si>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</si>
  <si>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</si>
  <si>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</si>
  <si>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</si>
  <si>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</si>
  <si>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</si>
  <si>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</si>
  <si>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</si>
  <si>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</si>
  <si>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gr</t>
  </si>
  <si>
    <t>gb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</si>
  <si>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</si>
  <si>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</si>
  <si>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</si>
  <si>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</si>
  <si>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</si>
  <si>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</si>
  <si>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</si>
  <si>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</si>
  <si>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</si>
  <si>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</si>
  <si>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</si>
  <si>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</si>
  <si>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</si>
  <si>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</si>
  <si>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</si>
  <si>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</si>
  <si>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</si>
  <si>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</si>
  <si>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</si>
  <si>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</si>
  <si>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</si>
  <si>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</si>
  <si>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</si>
  <si>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</si>
  <si>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</si>
  <si>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</si>
  <si>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</si>
  <si>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</si>
  <si>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</si>
  <si>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</si>
  <si>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</si>
  <si>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</si>
  <si>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</si>
  <si>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</si>
  <si>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</si>
  <si>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</si>
  <si>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</si>
  <si>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</si>
  <si>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</si>
  <si>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</si>
  <si>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</si>
  <si>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</si>
  <si>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</si>
  <si>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</si>
  <si>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</si>
  <si>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</si>
  <si>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</si>
  <si>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</si>
  <si>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</si>
  <si>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</si>
  <si>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</si>
  <si>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</si>
  <si>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</si>
  <si>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</si>
  <si>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</si>
  <si>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</si>
  <si>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</si>
  <si>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</si>
  <si>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</si>
  <si>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</si>
  <si>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</si>
  <si>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</si>
  <si>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</si>
  <si>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</si>
  <si>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</si>
  <si>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</si>
  <si>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</si>
  <si>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</si>
  <si>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</si>
  <si>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</si>
  <si>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</si>
  <si>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</si>
  <si>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</si>
  <si>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</si>
  <si>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</si>
  <si>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</si>
  <si>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</si>
  <si>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</si>
  <si>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Source : Regulation (EU) No 2017/1185 Article 12(a) - Annex II.4(a)</t>
  </si>
  <si>
    <t>Source : Regulation (EU) No 2017/1185 Article 11 - Annex I.7</t>
  </si>
  <si>
    <t>Current month</t>
  </si>
  <si>
    <t>c: confidential</t>
  </si>
  <si>
    <t>c</t>
  </si>
  <si>
    <t>Historical series of EU average prices of Dairy Products</t>
  </si>
  <si>
    <t>Source : Regulation (EU) No 2017/1185 Article 12(a) - Annex II.7(a)</t>
  </si>
  <si>
    <t>Czechia</t>
  </si>
  <si>
    <t>Lithuania</t>
  </si>
  <si>
    <t>BE</t>
  </si>
  <si>
    <t>BG</t>
  </si>
  <si>
    <t>CZ</t>
  </si>
  <si>
    <t>DK</t>
  </si>
  <si>
    <t>DE</t>
  </si>
  <si>
    <t>EE</t>
  </si>
  <si>
    <t>IE</t>
  </si>
  <si>
    <t>GR</t>
  </si>
  <si>
    <t>ES</t>
  </si>
  <si>
    <t>FR</t>
  </si>
  <si>
    <t>HR</t>
  </si>
  <si>
    <t>IT</t>
  </si>
  <si>
    <t>CY</t>
  </si>
  <si>
    <t>LV</t>
  </si>
  <si>
    <t>LT</t>
  </si>
  <si>
    <t>LU</t>
  </si>
  <si>
    <t>HU</t>
  </si>
  <si>
    <t>MT</t>
  </si>
  <si>
    <t>NL</t>
  </si>
  <si>
    <t>AT</t>
  </si>
  <si>
    <t>PL</t>
  </si>
  <si>
    <t>PT</t>
  </si>
  <si>
    <t>RO</t>
  </si>
  <si>
    <t>SI</t>
  </si>
  <si>
    <t>SK</t>
  </si>
  <si>
    <t>FI</t>
  </si>
  <si>
    <t>SE</t>
  </si>
  <si>
    <t>HISTORICAL EU PRICE SERIE of ORGANIC COW's RAW MILK in EURO/100 kg</t>
  </si>
  <si>
    <t>Ireland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</si>
  <si>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</si>
  <si>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</si>
  <si>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</si>
  <si>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</si>
  <si>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</si>
  <si>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</si>
  <si>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</si>
  <si>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</si>
  <si>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</si>
  <si>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</si>
  <si>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</si>
  <si>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</si>
  <si>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EU
(without UK)</t>
  </si>
  <si>
    <t>% EU (without UK) compared to previous month
(*)</t>
  </si>
  <si>
    <t>2024m01</t>
  </si>
  <si>
    <t xml:space="preserve"> : "estimated" prices by MS (indicator of price movement, not to be relied upon to forecast prices)</t>
  </si>
  <si>
    <t>EU average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</si>
  <si>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</si>
  <si>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</si>
  <si>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</si>
  <si>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</si>
  <si>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</si>
  <si>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</si>
  <si>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</si>
  <si>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</si>
  <si>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</si>
  <si>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</si>
  <si>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</si>
  <si>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</si>
  <si>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</si>
  <si>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</si>
  <si>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</si>
  <si>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</si>
  <si>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</si>
  <si>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</si>
  <si>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</si>
  <si>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</si>
  <si>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</si>
  <si>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</si>
  <si>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</si>
  <si>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</si>
  <si>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</si>
  <si>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</si>
  <si>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</si>
  <si>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</si>
  <si>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</si>
  <si>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</si>
  <si>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2026m08</t>
  </si>
  <si>
    <t>2026m09</t>
  </si>
  <si>
    <t>2026m10</t>
  </si>
  <si>
    <t>2026m11</t>
  </si>
  <si>
    <t>2026m12</t>
  </si>
  <si>
    <t xml:space="preserve"> : Estimations DG AGRI-E3 or based on National statistics</t>
  </si>
  <si>
    <t>DG AGRI estimations</t>
  </si>
  <si>
    <t>MS estimations</t>
  </si>
  <si>
    <t>Last update:25.02.2026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</si>
</sst>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mmm\-yy;@"/>
    <numFmt numFmtId="165" formatCode="0.0"/>
    <numFmt numFmtId="166" formatCode="&quot; &quot;@"/>
    <numFmt numFmtId="167" formatCode="\+\ 0.0%;\-\ 0.0%"/>
    <numFmt numFmtId="168" formatCode="mmm\ yyyy"/>
    <numFmt numFmtId="169" formatCode="0.0%"/>
    <numFmt numFmtId="170" formatCode="mmm\ yy"/>
    <numFmt numFmtId="171" formatCode="0;\-0;&quot;&quot;"/>
  </numFmts>
  <fonts count="6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17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color indexed="12"/>
      <name val="Arial"/>
      <family val="2"/>
    </font>
    <font>
      <b/>
      <sz val="11"/>
      <name val="Arial"/>
      <family val="2"/>
    </font>
    <font>
      <sz val="10"/>
      <name val="Times New Roman"/>
      <family val="1"/>
    </font>
    <font>
      <sz val="10"/>
      <name val="Verdana"/>
      <family val="2"/>
    </font>
    <font>
      <b/>
      <i/>
      <sz val="10"/>
      <name val="Verdana"/>
      <family val="2"/>
    </font>
    <font>
      <b/>
      <sz val="14"/>
      <name val="Verdana"/>
      <family val="2"/>
    </font>
    <font>
      <b/>
      <sz val="10"/>
      <name val="Verdana"/>
      <family val="2"/>
    </font>
    <font>
      <sz val="14"/>
      <name val="Verdana"/>
      <family val="2"/>
    </font>
    <font>
      <b/>
      <sz val="11"/>
      <name val="Verdana"/>
      <family val="2"/>
    </font>
    <font>
      <i/>
      <sz val="10"/>
      <name val="Verdana"/>
      <family val="2"/>
    </font>
    <font>
      <i/>
      <sz val="10"/>
      <name val="Tahoma"/>
      <family val="2"/>
    </font>
    <font>
      <sz val="10"/>
      <color indexed="55"/>
      <name val="Verdana"/>
      <family val="2"/>
    </font>
    <font>
      <b/>
      <sz val="11"/>
      <color indexed="17"/>
      <name val="Verdana"/>
      <family val="2"/>
    </font>
    <font>
      <b/>
      <sz val="12"/>
      <name val="Calibri"/>
      <family val="2"/>
    </font>
    <font>
      <i/>
      <sz val="11"/>
      <name val="Calibri"/>
      <family val="2"/>
    </font>
    <font>
      <sz val="11"/>
      <color rgb="FFFF000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1"/>
      <color indexed="17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i/>
      <sz val="10"/>
      <color rgb="FFFF0000"/>
      <name val="Tahoma"/>
      <family val="2"/>
    </font>
    <font>
      <b/>
      <sz val="16"/>
      <color theme="0"/>
      <name val="Verdana"/>
      <family val="2"/>
    </font>
    <font>
      <sz val="11"/>
      <color indexed="12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20"/>
      <color rgb="FF00B050"/>
      <name val="Verdana"/>
      <family val="2"/>
    </font>
    <font>
      <b/>
      <sz val="18"/>
      <color rgb="FF00B050"/>
      <name val="Tahoma"/>
      <family val="2"/>
    </font>
    <font>
      <sz val="10"/>
      <color indexed="17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53"/>
      <name val="Arial"/>
      <family val="2"/>
    </font>
    <font>
      <sz val="8"/>
      <name val="Small Fonts"/>
      <family val="2"/>
    </font>
    <font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2"/>
      <color indexed="17"/>
      <name val="Arial"/>
      <family val="2"/>
    </font>
    <font>
      <sz val="10"/>
      <color rgb="FFFF0000"/>
      <name val="Arial"/>
      <family val="2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0"/>
      <color theme="0"/>
      <name val="Verdana"/>
      <family val="2"/>
    </font>
    <font>
      <i/>
      <sz val="10"/>
      <name val="Arial Narrow"/>
      <family val="2"/>
    </font>
    <font>
      <sz val="12"/>
      <name val="Arial"/>
      <family val="2"/>
    </font>
    <font>
      <b/>
      <sz val="10"/>
      <color rgb="FFFF0000"/>
      <name val="Verdana"/>
      <family val="2"/>
    </font>
    <font>
      <b/>
      <sz val="10"/>
      <color rgb="FF0070C0"/>
      <name val="Verdana"/>
      <family val="2"/>
    </font>
    <font>
      <sz val="8"/>
      <color rgb="FFFF0000"/>
      <name val="Verdana"/>
      <family val="2"/>
    </font>
    <font>
      <sz val="8"/>
      <color rgb="FF0070C0"/>
      <name val="Verdana"/>
      <family val="2"/>
    </font>
    <font>
      <sz val="10"/>
      <color indexed="12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gray0625"/>
    </fill>
    <fill>
      <patternFill patternType="solid">
        <fgColor indexed="41"/>
        <bgColor indexed="64"/>
      </patternFill>
    </fill>
    <fill>
      <patternFill patternType="solid">
        <fgColor rgb="FF42A62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1518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Dash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0" fontId="10" fillId="0" borderId="0"/>
    <xf numFmtId="0" fontId="1" fillId="0" borderId="0"/>
    <xf numFmtId="9" fontId="1" fillId="0" borderId="0" applyFont="0" applyFill="0" applyBorder="0" applyAlignment="0" applyProtection="0"/>
  </cellStyleXfs>
  <cellXfs count="320">
    <xf numFmtId="0" fontId="0" fillId="0" borderId="0" xfId="0"/>
    <xf numFmtId="2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2" fontId="0" fillId="0" borderId="0" xfId="0" applyNumberFormat="1"/>
    <xf numFmtId="2" fontId="6" fillId="0" borderId="0" xfId="0" applyNumberFormat="1" applyFont="1" applyProtection="1">
      <protection locked="0"/>
    </xf>
    <xf numFmtId="2" fontId="8" fillId="0" borderId="1" xfId="0" applyNumberFormat="1" applyFont="1" applyBorder="1" applyAlignment="1" applyProtection="1">
      <alignment horizontal="center"/>
      <protection locked="0"/>
    </xf>
    <xf numFmtId="2" fontId="8" fillId="0" borderId="1" xfId="0" applyNumberFormat="1" applyFont="1" applyBorder="1" applyAlignment="1">
      <alignment horizontal="center"/>
    </xf>
    <xf numFmtId="2" fontId="11" fillId="5" borderId="0" xfId="0" applyNumberFormat="1" applyFont="1" applyFill="1" applyAlignment="1" applyProtection="1">
      <alignment vertical="center"/>
      <protection locked="0"/>
    </xf>
    <xf numFmtId="2" fontId="11" fillId="5" borderId="0" xfId="0" applyNumberFormat="1" applyFont="1" applyFill="1" applyAlignment="1">
      <alignment vertical="center"/>
    </xf>
    <xf numFmtId="0" fontId="11" fillId="0" borderId="0" xfId="0" applyFont="1" applyAlignment="1" applyProtection="1">
      <alignment vertical="center"/>
      <protection locked="0"/>
    </xf>
    <xf numFmtId="2" fontId="12" fillId="0" borderId="0" xfId="0" applyNumberFormat="1" applyFont="1" applyAlignment="1" applyProtection="1">
      <alignment vertical="center"/>
      <protection locked="0"/>
    </xf>
    <xf numFmtId="2" fontId="11" fillId="0" borderId="0" xfId="0" applyNumberFormat="1" applyFont="1" applyAlignment="1" applyProtection="1">
      <alignment vertical="center"/>
      <protection locked="0"/>
    </xf>
    <xf numFmtId="2" fontId="11" fillId="0" borderId="0" xfId="0" applyNumberFormat="1" applyFont="1" applyAlignment="1">
      <alignment vertical="center"/>
    </xf>
    <xf numFmtId="2" fontId="13" fillId="0" borderId="0" xfId="0" applyNumberFormat="1" applyFont="1" applyAlignment="1" applyProtection="1">
      <alignment horizontal="center" vertical="center"/>
      <protection locked="0"/>
    </xf>
    <xf numFmtId="2" fontId="14" fillId="0" borderId="0" xfId="0" applyNumberFormat="1" applyFont="1" applyAlignment="1" applyProtection="1">
      <alignment vertical="center"/>
      <protection locked="0"/>
    </xf>
    <xf numFmtId="2" fontId="15" fillId="0" borderId="0" xfId="0" applyNumberFormat="1" applyFont="1" applyAlignment="1">
      <alignment vertical="center"/>
    </xf>
    <xf numFmtId="2" fontId="15" fillId="0" borderId="0" xfId="0" applyNumberFormat="1" applyFont="1" applyAlignment="1" applyProtection="1">
      <alignment vertical="center"/>
      <protection locked="0"/>
    </xf>
    <xf numFmtId="2" fontId="14" fillId="0" borderId="0" xfId="0" applyNumberFormat="1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textRotation="90"/>
      <protection locked="0"/>
    </xf>
    <xf numFmtId="0" fontId="2" fillId="0" borderId="0" xfId="0" applyFont="1" applyProtection="1">
      <protection locked="0"/>
    </xf>
    <xf numFmtId="2" fontId="4" fillId="0" borderId="0" xfId="0" applyNumberFormat="1" applyFont="1" applyProtection="1">
      <protection locked="0"/>
    </xf>
    <xf numFmtId="0" fontId="16" fillId="0" borderId="0" xfId="0" applyFont="1" applyAlignment="1" applyProtection="1">
      <alignment vertical="center"/>
      <protection locked="0"/>
    </xf>
    <xf numFmtId="2" fontId="13" fillId="0" borderId="0" xfId="0" applyNumberFormat="1" applyFont="1" applyAlignment="1" applyProtection="1">
      <alignment vertical="center"/>
      <protection locked="0"/>
    </xf>
    <xf numFmtId="14" fontId="9" fillId="0" borderId="0" xfId="0" applyNumberFormat="1" applyFont="1" applyAlignment="1" applyProtection="1">
      <alignment horizontal="left" vertical="center"/>
      <protection locked="0"/>
    </xf>
    <xf numFmtId="0" fontId="11" fillId="0" borderId="0" xfId="2" applyFont="1" applyAlignment="1">
      <alignment vertical="center"/>
    </xf>
    <xf numFmtId="0" fontId="24" fillId="0" borderId="0" xfId="2" applyFont="1" applyAlignment="1">
      <alignment vertical="center"/>
    </xf>
    <xf numFmtId="0" fontId="18" fillId="0" borderId="0" xfId="2" applyFont="1" applyAlignment="1">
      <alignment horizontal="right" vertical="center"/>
    </xf>
    <xf numFmtId="0" fontId="18" fillId="0" borderId="0" xfId="2" applyFont="1" applyAlignment="1">
      <alignment horizontal="left" vertical="center"/>
    </xf>
    <xf numFmtId="0" fontId="17" fillId="0" borderId="0" xfId="2" applyFont="1" applyAlignment="1">
      <alignment horizontal="right" vertical="center"/>
    </xf>
    <xf numFmtId="0" fontId="14" fillId="0" borderId="0" xfId="2" applyFont="1" applyAlignment="1">
      <alignment horizontal="center" vertical="center"/>
    </xf>
    <xf numFmtId="0" fontId="19" fillId="0" borderId="0" xfId="2" applyFont="1" applyAlignment="1">
      <alignment vertical="center"/>
    </xf>
    <xf numFmtId="2" fontId="8" fillId="0" borderId="3" xfId="0" applyNumberFormat="1" applyFont="1" applyBorder="1" applyAlignment="1">
      <alignment horizontal="center"/>
    </xf>
    <xf numFmtId="0" fontId="26" fillId="0" borderId="4" xfId="0" applyFont="1" applyBorder="1" applyAlignment="1" applyProtection="1">
      <alignment horizontal="center" textRotation="90"/>
      <protection locked="0"/>
    </xf>
    <xf numFmtId="2" fontId="27" fillId="0" borderId="5" xfId="0" applyNumberFormat="1" applyFont="1" applyBorder="1" applyProtection="1">
      <protection locked="0"/>
    </xf>
    <xf numFmtId="2" fontId="27" fillId="0" borderId="5" xfId="0" applyNumberFormat="1" applyFont="1" applyBorder="1"/>
    <xf numFmtId="2" fontId="27" fillId="2" borderId="5" xfId="0" applyNumberFormat="1" applyFont="1" applyFill="1" applyBorder="1" applyProtection="1">
      <protection locked="0"/>
    </xf>
    <xf numFmtId="2" fontId="27" fillId="6" borderId="5" xfId="0" applyNumberFormat="1" applyFont="1" applyFill="1" applyBorder="1" applyProtection="1">
      <protection locked="0"/>
    </xf>
    <xf numFmtId="0" fontId="27" fillId="0" borderId="6" xfId="0" applyFont="1" applyBorder="1" applyProtection="1">
      <protection locked="0"/>
    </xf>
    <xf numFmtId="2" fontId="27" fillId="0" borderId="6" xfId="0" applyNumberFormat="1" applyFont="1" applyBorder="1" applyProtection="1">
      <protection locked="0"/>
    </xf>
    <xf numFmtId="2" fontId="27" fillId="0" borderId="6" xfId="0" applyNumberFormat="1" applyFont="1" applyBorder="1"/>
    <xf numFmtId="2" fontId="27" fillId="2" borderId="6" xfId="0" applyNumberFormat="1" applyFont="1" applyFill="1" applyBorder="1" applyProtection="1">
      <protection locked="0"/>
    </xf>
    <xf numFmtId="2" fontId="27" fillId="6" borderId="6" xfId="0" applyNumberFormat="1" applyFont="1" applyFill="1" applyBorder="1" applyProtection="1">
      <protection locked="0"/>
    </xf>
    <xf numFmtId="2" fontId="27" fillId="0" borderId="7" xfId="0" applyNumberFormat="1" applyFont="1" applyBorder="1" applyProtection="1">
      <protection locked="0"/>
    </xf>
    <xf numFmtId="0" fontId="27" fillId="0" borderId="8" xfId="0" applyFont="1" applyBorder="1" applyProtection="1">
      <protection locked="0"/>
    </xf>
    <xf numFmtId="2" fontId="27" fillId="0" borderId="8" xfId="0" applyNumberFormat="1" applyFont="1" applyBorder="1" applyProtection="1">
      <protection locked="0"/>
    </xf>
    <xf numFmtId="2" fontId="27" fillId="0" borderId="8" xfId="0" applyNumberFormat="1" applyFont="1" applyBorder="1"/>
    <xf numFmtId="2" fontId="27" fillId="2" borderId="8" xfId="0" applyNumberFormat="1" applyFont="1" applyFill="1" applyBorder="1" applyProtection="1">
      <protection locked="0"/>
    </xf>
    <xf numFmtId="2" fontId="27" fillId="6" borderId="8" xfId="0" applyNumberFormat="1" applyFont="1" applyFill="1" applyBorder="1" applyProtection="1">
      <protection locked="0"/>
    </xf>
    <xf numFmtId="0" fontId="27" fillId="0" borderId="9" xfId="0" applyFont="1" applyBorder="1" applyProtection="1">
      <protection locked="0"/>
    </xf>
    <xf numFmtId="2" fontId="27" fillId="0" borderId="9" xfId="0" applyNumberFormat="1" applyFont="1" applyBorder="1" applyProtection="1">
      <protection locked="0"/>
    </xf>
    <xf numFmtId="2" fontId="27" fillId="0" borderId="9" xfId="0" applyNumberFormat="1" applyFont="1" applyBorder="1"/>
    <xf numFmtId="2" fontId="27" fillId="2" borderId="9" xfId="0" applyNumberFormat="1" applyFont="1" applyFill="1" applyBorder="1" applyProtection="1">
      <protection locked="0"/>
    </xf>
    <xf numFmtId="2" fontId="27" fillId="6" borderId="9" xfId="0" applyNumberFormat="1" applyFont="1" applyFill="1" applyBorder="1" applyProtection="1">
      <protection locked="0"/>
    </xf>
    <xf numFmtId="0" fontId="27" fillId="0" borderId="5" xfId="0" applyFont="1" applyBorder="1" applyProtection="1">
      <protection locked="0"/>
    </xf>
    <xf numFmtId="2" fontId="27" fillId="3" borderId="9" xfId="0" applyNumberFormat="1" applyFont="1" applyFill="1" applyBorder="1" applyProtection="1">
      <protection locked="0"/>
    </xf>
    <xf numFmtId="2" fontId="27" fillId="3" borderId="6" xfId="0" applyNumberFormat="1" applyFont="1" applyFill="1" applyBorder="1" applyProtection="1">
      <protection locked="0"/>
    </xf>
    <xf numFmtId="2" fontId="27" fillId="3" borderId="8" xfId="0" applyNumberFormat="1" applyFont="1" applyFill="1" applyBorder="1" applyProtection="1">
      <protection locked="0"/>
    </xf>
    <xf numFmtId="2" fontId="27" fillId="0" borderId="10" xfId="0" applyNumberFormat="1" applyFont="1" applyBorder="1" applyProtection="1">
      <protection locked="0"/>
    </xf>
    <xf numFmtId="2" fontId="27" fillId="0" borderId="0" xfId="0" applyNumberFormat="1" applyFont="1" applyProtection="1">
      <protection locked="0"/>
    </xf>
    <xf numFmtId="2" fontId="27" fillId="0" borderId="11" xfId="0" applyNumberFormat="1" applyFont="1" applyBorder="1" applyProtection="1">
      <protection locked="0"/>
    </xf>
    <xf numFmtId="2" fontId="23" fillId="6" borderId="5" xfId="0" applyNumberFormat="1" applyFont="1" applyFill="1" applyBorder="1" applyProtection="1">
      <protection locked="0"/>
    </xf>
    <xf numFmtId="2" fontId="23" fillId="6" borderId="6" xfId="0" applyNumberFormat="1" applyFont="1" applyFill="1" applyBorder="1" applyProtection="1">
      <protection locked="0"/>
    </xf>
    <xf numFmtId="0" fontId="27" fillId="0" borderId="12" xfId="0" applyFont="1" applyBorder="1" applyProtection="1">
      <protection locked="0"/>
    </xf>
    <xf numFmtId="2" fontId="27" fillId="0" borderId="12" xfId="0" applyNumberFormat="1" applyFont="1" applyBorder="1" applyProtection="1">
      <protection locked="0"/>
    </xf>
    <xf numFmtId="2" fontId="23" fillId="6" borderId="12" xfId="0" applyNumberFormat="1" applyFont="1" applyFill="1" applyBorder="1" applyProtection="1">
      <protection locked="0"/>
    </xf>
    <xf numFmtId="2" fontId="27" fillId="6" borderId="12" xfId="0" applyNumberFormat="1" applyFont="1" applyFill="1" applyBorder="1" applyProtection="1">
      <protection locked="0"/>
    </xf>
    <xf numFmtId="2" fontId="27" fillId="0" borderId="13" xfId="0" applyNumberFormat="1" applyFont="1" applyBorder="1" applyProtection="1">
      <protection locked="0"/>
    </xf>
    <xf numFmtId="2" fontId="27" fillId="4" borderId="5" xfId="0" applyNumberFormat="1" applyFont="1" applyFill="1" applyBorder="1" applyProtection="1">
      <protection locked="0"/>
    </xf>
    <xf numFmtId="2" fontId="27" fillId="0" borderId="1" xfId="0" applyNumberFormat="1" applyFont="1" applyBorder="1" applyProtection="1">
      <protection locked="0"/>
    </xf>
    <xf numFmtId="0" fontId="27" fillId="0" borderId="6" xfId="0" applyFont="1" applyBorder="1" applyAlignment="1" applyProtection="1">
      <alignment horizontal="left"/>
      <protection locked="0"/>
    </xf>
    <xf numFmtId="2" fontId="23" fillId="6" borderId="11" xfId="0" applyNumberFormat="1" applyFont="1" applyFill="1" applyBorder="1" applyProtection="1">
      <protection locked="0"/>
    </xf>
    <xf numFmtId="0" fontId="27" fillId="0" borderId="11" xfId="0" applyFont="1" applyBorder="1" applyProtection="1">
      <protection locked="0"/>
    </xf>
    <xf numFmtId="2" fontId="27" fillId="0" borderId="1" xfId="0" applyNumberFormat="1" applyFont="1" applyBorder="1"/>
    <xf numFmtId="2" fontId="27" fillId="6" borderId="11" xfId="0" applyNumberFormat="1" applyFont="1" applyFill="1" applyBorder="1" applyProtection="1">
      <protection locked="0"/>
    </xf>
    <xf numFmtId="2" fontId="27" fillId="0" borderId="14" xfId="0" applyNumberFormat="1" applyFont="1" applyBorder="1" applyProtection="1">
      <protection locked="0"/>
    </xf>
    <xf numFmtId="0" fontId="27" fillId="0" borderId="15" xfId="0" applyFont="1" applyBorder="1" applyProtection="1">
      <protection locked="0"/>
    </xf>
    <xf numFmtId="2" fontId="27" fillId="0" borderId="15" xfId="0" applyNumberFormat="1" applyFont="1" applyBorder="1" applyProtection="1">
      <protection locked="0"/>
    </xf>
    <xf numFmtId="2" fontId="23" fillId="6" borderId="15" xfId="0" applyNumberFormat="1" applyFont="1" applyFill="1" applyBorder="1" applyProtection="1">
      <protection locked="0"/>
    </xf>
    <xf numFmtId="2" fontId="27" fillId="6" borderId="15" xfId="0" applyNumberFormat="1" applyFont="1" applyFill="1" applyBorder="1" applyProtection="1">
      <protection locked="0"/>
    </xf>
    <xf numFmtId="2" fontId="27" fillId="0" borderId="16" xfId="0" applyNumberFormat="1" applyFont="1" applyBorder="1" applyProtection="1">
      <protection locked="0"/>
    </xf>
    <xf numFmtId="2" fontId="27" fillId="0" borderId="5" xfId="0" applyNumberFormat="1" applyFont="1" applyBorder="1" applyAlignment="1" applyProtection="1">
      <alignment vertical="center"/>
      <protection locked="0"/>
    </xf>
    <xf numFmtId="2" fontId="27" fillId="0" borderId="1" xfId="0" applyNumberFormat="1" applyFont="1" applyBorder="1" applyAlignment="1" applyProtection="1">
      <alignment vertical="center"/>
      <protection locked="0"/>
    </xf>
    <xf numFmtId="2" fontId="27" fillId="0" borderId="10" xfId="0" applyNumberFormat="1" applyFont="1" applyBorder="1" applyAlignment="1" applyProtection="1">
      <alignment vertical="center"/>
      <protection locked="0"/>
    </xf>
    <xf numFmtId="2" fontId="27" fillId="0" borderId="6" xfId="0" applyNumberFormat="1" applyFont="1" applyBorder="1" applyAlignment="1" applyProtection="1">
      <alignment vertical="center"/>
      <protection locked="0"/>
    </xf>
    <xf numFmtId="2" fontId="27" fillId="0" borderId="11" xfId="0" applyNumberFormat="1" applyFont="1" applyBorder="1" applyAlignment="1" applyProtection="1">
      <alignment vertical="center"/>
      <protection locked="0"/>
    </xf>
    <xf numFmtId="2" fontId="27" fillId="0" borderId="7" xfId="0" applyNumberFormat="1" applyFont="1" applyBorder="1" applyAlignment="1" applyProtection="1">
      <alignment vertical="center"/>
      <protection locked="0"/>
    </xf>
    <xf numFmtId="2" fontId="27" fillId="0" borderId="12" xfId="0" applyNumberFormat="1" applyFont="1" applyBorder="1" applyAlignment="1" applyProtection="1">
      <alignment vertical="center"/>
      <protection locked="0"/>
    </xf>
    <xf numFmtId="2" fontId="27" fillId="0" borderId="17" xfId="0" applyNumberFormat="1" applyFont="1" applyBorder="1" applyAlignment="1" applyProtection="1">
      <alignment vertical="center"/>
      <protection locked="0"/>
    </xf>
    <xf numFmtId="2" fontId="27" fillId="0" borderId="13" xfId="0" applyNumberFormat="1" applyFont="1" applyBorder="1" applyAlignment="1" applyProtection="1">
      <alignment vertical="center"/>
      <protection locked="0"/>
    </xf>
    <xf numFmtId="2" fontId="27" fillId="0" borderId="15" xfId="0" applyNumberFormat="1" applyFont="1" applyBorder="1" applyAlignment="1" applyProtection="1">
      <alignment vertical="center"/>
      <protection locked="0"/>
    </xf>
    <xf numFmtId="2" fontId="27" fillId="0" borderId="6" xfId="0" applyNumberFormat="1" applyFont="1" applyBorder="1" applyAlignment="1" applyProtection="1">
      <alignment horizontal="right" vertical="center"/>
      <protection locked="0"/>
    </xf>
    <xf numFmtId="2" fontId="27" fillId="0" borderId="12" xfId="0" applyNumberFormat="1" applyFont="1" applyBorder="1" applyAlignment="1" applyProtection="1">
      <alignment horizontal="right" vertical="center"/>
      <protection locked="0"/>
    </xf>
    <xf numFmtId="2" fontId="8" fillId="0" borderId="0" xfId="0" applyNumberFormat="1" applyFont="1" applyAlignment="1">
      <alignment horizontal="center"/>
    </xf>
    <xf numFmtId="2" fontId="27" fillId="7" borderId="6" xfId="0" applyNumberFormat="1" applyFont="1" applyFill="1" applyBorder="1" applyAlignment="1" applyProtection="1">
      <alignment vertical="center"/>
      <protection locked="0"/>
    </xf>
    <xf numFmtId="2" fontId="27" fillId="2" borderId="10" xfId="0" applyNumberFormat="1" applyFont="1" applyFill="1" applyBorder="1"/>
    <xf numFmtId="2" fontId="27" fillId="2" borderId="7" xfId="0" applyNumberFormat="1" applyFont="1" applyFill="1" applyBorder="1"/>
    <xf numFmtId="2" fontId="27" fillId="2" borderId="18" xfId="0" applyNumberFormat="1" applyFont="1" applyFill="1" applyBorder="1"/>
    <xf numFmtId="2" fontId="27" fillId="2" borderId="19" xfId="0" applyNumberFormat="1" applyFont="1" applyFill="1" applyBorder="1"/>
    <xf numFmtId="2" fontId="27" fillId="0" borderId="10" xfId="0" applyNumberFormat="1" applyFont="1" applyBorder="1"/>
    <xf numFmtId="2" fontId="27" fillId="0" borderId="7" xfId="0" applyNumberFormat="1" applyFont="1" applyBorder="1"/>
    <xf numFmtId="2" fontId="27" fillId="0" borderId="18" xfId="0" applyNumberFormat="1" applyFont="1" applyBorder="1"/>
    <xf numFmtId="2" fontId="27" fillId="0" borderId="19" xfId="0" applyNumberFormat="1" applyFont="1" applyBorder="1"/>
    <xf numFmtId="2" fontId="27" fillId="0" borderId="16" xfId="0" applyNumberFormat="1" applyFont="1" applyBorder="1" applyAlignment="1" applyProtection="1">
      <alignment vertical="center"/>
      <protection locked="0"/>
    </xf>
    <xf numFmtId="0" fontId="30" fillId="0" borderId="0" xfId="2" applyFont="1" applyAlignment="1">
      <alignment vertical="top" wrapText="1"/>
    </xf>
    <xf numFmtId="0" fontId="27" fillId="0" borderId="17" xfId="0" applyFont="1" applyBorder="1" applyProtection="1">
      <protection locked="0"/>
    </xf>
    <xf numFmtId="2" fontId="27" fillId="0" borderId="20" xfId="0" applyNumberFormat="1" applyFont="1" applyBorder="1" applyAlignment="1" applyProtection="1">
      <alignment vertical="center"/>
      <protection locked="0"/>
    </xf>
    <xf numFmtId="0" fontId="31" fillId="5" borderId="0" xfId="0" applyFont="1" applyFill="1" applyAlignment="1" applyProtection="1">
      <alignment horizontal="left" vertical="center"/>
      <protection locked="0"/>
    </xf>
    <xf numFmtId="166" fontId="32" fillId="0" borderId="17" xfId="0" applyNumberFormat="1" applyFont="1" applyBorder="1" applyAlignment="1" applyProtection="1">
      <alignment horizontal="center" textRotation="90"/>
      <protection locked="0"/>
    </xf>
    <xf numFmtId="166" fontId="32" fillId="0" borderId="17" xfId="0" applyNumberFormat="1" applyFont="1" applyBorder="1" applyAlignment="1">
      <alignment horizontal="center" textRotation="90"/>
    </xf>
    <xf numFmtId="166" fontId="32" fillId="0" borderId="4" xfId="0" applyNumberFormat="1" applyFont="1" applyBorder="1" applyAlignment="1">
      <alignment horizontal="center" textRotation="90"/>
    </xf>
    <xf numFmtId="2" fontId="27" fillId="0" borderId="30" xfId="0" applyNumberFormat="1" applyFont="1" applyBorder="1" applyAlignment="1" applyProtection="1">
      <alignment vertical="center"/>
      <protection locked="0"/>
    </xf>
    <xf numFmtId="2" fontId="34" fillId="0" borderId="31" xfId="0" applyNumberFormat="1" applyFont="1" applyBorder="1" applyProtection="1">
      <protection locked="0"/>
    </xf>
    <xf numFmtId="2" fontId="34" fillId="0" borderId="32" xfId="0" applyNumberFormat="1" applyFont="1" applyBorder="1" applyProtection="1">
      <protection locked="0"/>
    </xf>
    <xf numFmtId="2" fontId="34" fillId="0" borderId="33" xfId="0" applyNumberFormat="1" applyFont="1" applyBorder="1" applyProtection="1">
      <protection locked="0"/>
    </xf>
    <xf numFmtId="2" fontId="34" fillId="0" borderId="34" xfId="0" applyNumberFormat="1" applyFont="1" applyBorder="1" applyProtection="1">
      <protection locked="0"/>
    </xf>
    <xf numFmtId="2" fontId="34" fillId="0" borderId="35" xfId="0" applyNumberFormat="1" applyFont="1" applyBorder="1" applyProtection="1">
      <protection locked="0"/>
    </xf>
    <xf numFmtId="2" fontId="34" fillId="0" borderId="36" xfId="0" applyNumberFormat="1" applyFont="1" applyBorder="1" applyProtection="1">
      <protection locked="0"/>
    </xf>
    <xf numFmtId="2" fontId="34" fillId="0" borderId="37" xfId="0" applyNumberFormat="1" applyFont="1" applyBorder="1" applyProtection="1">
      <protection locked="0"/>
    </xf>
    <xf numFmtId="2" fontId="34" fillId="0" borderId="31" xfId="0" applyNumberFormat="1" applyFont="1" applyBorder="1" applyAlignment="1" applyProtection="1">
      <alignment vertical="center"/>
      <protection locked="0"/>
    </xf>
    <xf numFmtId="2" fontId="27" fillId="0" borderId="40" xfId="0" applyNumberFormat="1" applyFont="1" applyBorder="1" applyAlignment="1" applyProtection="1">
      <alignment vertical="center"/>
      <protection locked="0"/>
    </xf>
    <xf numFmtId="2" fontId="27" fillId="0" borderId="12" xfId="0" applyNumberFormat="1" applyFont="1" applyBorder="1" applyAlignment="1" applyProtection="1">
      <alignment horizontal="center" vertical="center"/>
      <protection locked="0"/>
    </xf>
    <xf numFmtId="2" fontId="27" fillId="0" borderId="6" xfId="0" applyNumberFormat="1" applyFont="1" applyBorder="1" applyAlignment="1" applyProtection="1">
      <alignment horizontal="center" vertical="center"/>
      <protection locked="0"/>
    </xf>
    <xf numFmtId="2" fontId="27" fillId="0" borderId="5" xfId="0" applyNumberFormat="1" applyFont="1" applyBorder="1" applyAlignment="1" applyProtection="1">
      <alignment horizontal="center" vertical="center"/>
      <protection locked="0"/>
    </xf>
    <xf numFmtId="2" fontId="27" fillId="0" borderId="17" xfId="0" applyNumberFormat="1" applyFont="1" applyBorder="1" applyAlignment="1" applyProtection="1">
      <alignment horizontal="center" vertical="center"/>
      <protection locked="0"/>
    </xf>
    <xf numFmtId="2" fontId="27" fillId="0" borderId="15" xfId="0" applyNumberFormat="1" applyFont="1" applyBorder="1" applyAlignment="1" applyProtection="1">
      <alignment horizontal="center" vertical="center"/>
      <protection locked="0"/>
    </xf>
    <xf numFmtId="167" fontId="34" fillId="0" borderId="32" xfId="0" applyNumberFormat="1" applyFont="1" applyBorder="1" applyAlignment="1" applyProtection="1">
      <alignment vertical="center"/>
      <protection locked="0"/>
    </xf>
    <xf numFmtId="167" fontId="34" fillId="0" borderId="35" xfId="0" applyNumberFormat="1" applyFont="1" applyBorder="1" applyAlignment="1" applyProtection="1">
      <alignment vertical="center"/>
      <protection locked="0"/>
    </xf>
    <xf numFmtId="167" fontId="34" fillId="0" borderId="45" xfId="0" applyNumberFormat="1" applyFont="1" applyBorder="1" applyAlignment="1" applyProtection="1">
      <alignment vertical="center"/>
      <protection locked="0"/>
    </xf>
    <xf numFmtId="167" fontId="34" fillId="0" borderId="46" xfId="0" applyNumberFormat="1" applyFont="1" applyBorder="1" applyAlignment="1" applyProtection="1">
      <alignment vertical="center"/>
      <protection locked="0"/>
    </xf>
    <xf numFmtId="167" fontId="34" fillId="0" borderId="32" xfId="0" applyNumberFormat="1" applyFont="1" applyBorder="1" applyProtection="1">
      <protection locked="0"/>
    </xf>
    <xf numFmtId="167" fontId="34" fillId="0" borderId="35" xfId="0" applyNumberFormat="1" applyFont="1" applyBorder="1" applyProtection="1">
      <protection locked="0"/>
    </xf>
    <xf numFmtId="167" fontId="34" fillId="0" borderId="38" xfId="0" applyNumberFormat="1" applyFont="1" applyBorder="1" applyAlignment="1" applyProtection="1">
      <alignment vertical="center"/>
      <protection locked="0"/>
    </xf>
    <xf numFmtId="167" fontId="34" fillId="0" borderId="47" xfId="0" applyNumberFormat="1" applyFont="1" applyBorder="1" applyAlignment="1" applyProtection="1">
      <alignment vertical="center"/>
      <protection locked="0"/>
    </xf>
    <xf numFmtId="167" fontId="34" fillId="0" borderId="25" xfId="0" applyNumberFormat="1" applyFont="1" applyBorder="1" applyAlignment="1" applyProtection="1">
      <alignment vertical="center"/>
      <protection locked="0"/>
    </xf>
    <xf numFmtId="167" fontId="34" fillId="0" borderId="48" xfId="0" applyNumberFormat="1" applyFont="1" applyBorder="1" applyAlignment="1" applyProtection="1">
      <alignment vertical="center"/>
      <protection locked="0"/>
    </xf>
    <xf numFmtId="167" fontId="22" fillId="0" borderId="22" xfId="0" applyNumberFormat="1" applyFont="1" applyBorder="1" applyAlignment="1">
      <alignment horizontal="right" vertical="center"/>
    </xf>
    <xf numFmtId="167" fontId="22" fillId="0" borderId="25" xfId="0" applyNumberFormat="1" applyFont="1" applyBorder="1" applyAlignment="1">
      <alignment horizontal="right" vertical="center"/>
    </xf>
    <xf numFmtId="167" fontId="22" fillId="0" borderId="27" xfId="0" applyNumberFormat="1" applyFont="1" applyBorder="1" applyAlignment="1">
      <alignment horizontal="right" vertical="center"/>
    </xf>
    <xf numFmtId="168" fontId="11" fillId="0" borderId="0" xfId="0" applyNumberFormat="1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168" fontId="25" fillId="0" borderId="0" xfId="0" applyNumberFormat="1" applyFont="1" applyAlignment="1" applyProtection="1">
      <alignment horizontal="right" vertical="center"/>
      <protection locked="0"/>
    </xf>
    <xf numFmtId="0" fontId="14" fillId="0" borderId="0" xfId="0" applyFont="1" applyAlignment="1" applyProtection="1">
      <alignment vertical="top"/>
      <protection locked="0"/>
    </xf>
    <xf numFmtId="168" fontId="16" fillId="0" borderId="0" xfId="0" applyNumberFormat="1" applyFont="1" applyAlignment="1" applyProtection="1">
      <alignment vertical="center"/>
      <protection locked="0"/>
    </xf>
    <xf numFmtId="168" fontId="9" fillId="0" borderId="0" xfId="0" applyNumberFormat="1" applyFont="1" applyAlignment="1" applyProtection="1">
      <alignment horizontal="left" vertic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2" fontId="8" fillId="0" borderId="0" xfId="0" applyNumberFormat="1" applyFont="1" applyAlignment="1" applyProtection="1">
      <alignment horizontal="center"/>
      <protection locked="0"/>
    </xf>
    <xf numFmtId="168" fontId="37" fillId="0" borderId="49" xfId="0" applyNumberFormat="1" applyFont="1" applyBorder="1" applyAlignment="1" applyProtection="1">
      <alignment horizontal="center" textRotation="90"/>
      <protection locked="0"/>
    </xf>
    <xf numFmtId="2" fontId="32" fillId="0" borderId="50" xfId="0" applyNumberFormat="1" applyFont="1" applyBorder="1" applyAlignment="1" applyProtection="1">
      <alignment horizontal="center" textRotation="90"/>
      <protection locked="0"/>
    </xf>
    <xf numFmtId="2" fontId="32" fillId="0" borderId="50" xfId="0" applyNumberFormat="1" applyFont="1" applyBorder="1" applyAlignment="1">
      <alignment horizontal="center" textRotation="90"/>
    </xf>
    <xf numFmtId="2" fontId="32" fillId="0" borderId="51" xfId="0" applyNumberFormat="1" applyFont="1" applyBorder="1" applyAlignment="1">
      <alignment horizontal="center" textRotation="90"/>
    </xf>
    <xf numFmtId="168" fontId="27" fillId="0" borderId="17" xfId="0" applyNumberFormat="1" applyFont="1" applyBorder="1" applyAlignment="1" applyProtection="1">
      <alignment horizontal="left"/>
      <protection locked="0"/>
    </xf>
    <xf numFmtId="165" fontId="27" fillId="0" borderId="17" xfId="0" applyNumberFormat="1" applyFont="1" applyBorder="1" applyAlignment="1" applyProtection="1">
      <alignment horizontal="right" vertical="center"/>
      <protection locked="0"/>
    </xf>
    <xf numFmtId="168" fontId="39" fillId="7" borderId="28" xfId="0" applyNumberFormat="1" applyFont="1" applyFill="1" applyBorder="1" applyAlignment="1" applyProtection="1">
      <alignment horizontal="right"/>
      <protection locked="0"/>
    </xf>
    <xf numFmtId="0" fontId="38" fillId="0" borderId="0" xfId="0" applyFont="1"/>
    <xf numFmtId="0" fontId="38" fillId="0" borderId="0" xfId="0" applyFont="1" applyProtection="1">
      <protection locked="0"/>
    </xf>
    <xf numFmtId="169" fontId="38" fillId="0" borderId="0" xfId="3" applyNumberFormat="1" applyFont="1" applyFill="1" applyBorder="1" applyProtection="1">
      <protection locked="0"/>
    </xf>
    <xf numFmtId="168" fontId="27" fillId="0" borderId="15" xfId="0" applyNumberFormat="1" applyFont="1" applyBorder="1" applyAlignment="1" applyProtection="1">
      <alignment horizontal="left"/>
      <protection locked="0"/>
    </xf>
    <xf numFmtId="168" fontId="39" fillId="7" borderId="21" xfId="0" applyNumberFormat="1" applyFont="1" applyFill="1" applyBorder="1" applyAlignment="1" applyProtection="1">
      <alignment horizontal="right"/>
      <protection locked="0"/>
    </xf>
    <xf numFmtId="168" fontId="27" fillId="0" borderId="6" xfId="0" applyNumberFormat="1" applyFont="1" applyBorder="1" applyAlignment="1" applyProtection="1">
      <alignment horizontal="left"/>
      <protection locked="0"/>
    </xf>
    <xf numFmtId="168" fontId="39" fillId="7" borderId="22" xfId="0" applyNumberFormat="1" applyFont="1" applyFill="1" applyBorder="1" applyAlignment="1" applyProtection="1">
      <alignment horizontal="right"/>
      <protection locked="0"/>
    </xf>
    <xf numFmtId="168" fontId="27" fillId="0" borderId="5" xfId="0" applyNumberFormat="1" applyFont="1" applyBorder="1" applyAlignment="1" applyProtection="1">
      <alignment horizontal="left"/>
      <protection locked="0"/>
    </xf>
    <xf numFmtId="165" fontId="27" fillId="0" borderId="6" xfId="0" applyNumberFormat="1" applyFont="1" applyBorder="1" applyAlignment="1" applyProtection="1">
      <alignment horizontal="right" vertical="center"/>
      <protection locked="0"/>
    </xf>
    <xf numFmtId="168" fontId="27" fillId="0" borderId="12" xfId="0" applyNumberFormat="1" applyFont="1" applyBorder="1" applyAlignment="1" applyProtection="1">
      <alignment horizontal="left"/>
      <protection locked="0"/>
    </xf>
    <xf numFmtId="165" fontId="27" fillId="0" borderId="12" xfId="0" applyNumberFormat="1" applyFont="1" applyBorder="1" applyAlignment="1" applyProtection="1">
      <alignment horizontal="right" vertical="center"/>
      <protection locked="0"/>
    </xf>
    <xf numFmtId="168" fontId="39" fillId="7" borderId="25" xfId="0" applyNumberFormat="1" applyFont="1" applyFill="1" applyBorder="1" applyAlignment="1" applyProtection="1">
      <alignment horizontal="right"/>
      <protection locked="0"/>
    </xf>
    <xf numFmtId="168" fontId="0" fillId="0" borderId="0" xfId="0" applyNumberFormat="1" applyProtection="1">
      <protection locked="0"/>
    </xf>
    <xf numFmtId="168" fontId="40" fillId="0" borderId="0" xfId="0" applyNumberFormat="1" applyFont="1" applyProtection="1">
      <protection locked="0"/>
    </xf>
    <xf numFmtId="2" fontId="35" fillId="0" borderId="0" xfId="0" applyNumberFormat="1" applyFont="1" applyAlignment="1" applyProtection="1">
      <alignment vertical="center"/>
      <protection locked="0"/>
    </xf>
    <xf numFmtId="14" fontId="28" fillId="0" borderId="5" xfId="2" applyNumberFormat="1" applyFont="1" applyBorder="1" applyAlignment="1">
      <alignment horizontal="right" vertical="center"/>
    </xf>
    <xf numFmtId="0" fontId="29" fillId="0" borderId="49" xfId="2" applyFont="1" applyBorder="1" applyAlignment="1">
      <alignment horizontal="right"/>
    </xf>
    <xf numFmtId="166" fontId="28" fillId="0" borderId="50" xfId="2" applyNumberFormat="1" applyFont="1" applyBorder="1" applyAlignment="1">
      <alignment horizontal="center" textRotation="90"/>
    </xf>
    <xf numFmtId="166" fontId="33" fillId="0" borderId="50" xfId="2" applyNumberFormat="1" applyFont="1" applyBorder="1" applyAlignment="1">
      <alignment horizontal="center" textRotation="90"/>
    </xf>
    <xf numFmtId="2" fontId="41" fillId="0" borderId="44" xfId="0" applyNumberFormat="1" applyFont="1" applyBorder="1" applyAlignment="1" applyProtection="1">
      <alignment horizontal="center" wrapText="1"/>
      <protection locked="0"/>
    </xf>
    <xf numFmtId="165" fontId="27" fillId="0" borderId="15" xfId="0" applyNumberFormat="1" applyFont="1" applyBorder="1" applyAlignment="1" applyProtection="1">
      <alignment horizontal="right" vertical="center"/>
      <protection locked="0"/>
    </xf>
    <xf numFmtId="168" fontId="39" fillId="7" borderId="27" xfId="0" applyNumberFormat="1" applyFont="1" applyFill="1" applyBorder="1" applyAlignment="1" applyProtection="1">
      <alignment horizontal="right"/>
      <protection locked="0"/>
    </xf>
    <xf numFmtId="165" fontId="27" fillId="0" borderId="5" xfId="0" applyNumberFormat="1" applyFont="1" applyBorder="1" applyAlignment="1" applyProtection="1">
      <alignment horizontal="right" vertical="center"/>
      <protection locked="0"/>
    </xf>
    <xf numFmtId="165" fontId="27" fillId="0" borderId="4" xfId="0" applyNumberFormat="1" applyFont="1" applyBorder="1" applyAlignment="1" applyProtection="1">
      <alignment horizontal="right" vertical="center"/>
      <protection locked="0"/>
    </xf>
    <xf numFmtId="165" fontId="27" fillId="0" borderId="10" xfId="0" applyNumberFormat="1" applyFont="1" applyBorder="1" applyAlignment="1" applyProtection="1">
      <alignment horizontal="right" vertical="center"/>
      <protection locked="0"/>
    </xf>
    <xf numFmtId="165" fontId="27" fillId="0" borderId="7" xfId="0" applyNumberFormat="1" applyFont="1" applyBorder="1" applyAlignment="1" applyProtection="1">
      <alignment horizontal="right" vertical="center"/>
      <protection locked="0"/>
    </xf>
    <xf numFmtId="165" fontId="27" fillId="0" borderId="13" xfId="0" applyNumberFormat="1" applyFont="1" applyBorder="1" applyAlignment="1" applyProtection="1">
      <alignment horizontal="right" vertical="center"/>
      <protection locked="0"/>
    </xf>
    <xf numFmtId="165" fontId="27" fillId="0" borderId="16" xfId="0" applyNumberFormat="1" applyFont="1" applyBorder="1" applyAlignment="1" applyProtection="1">
      <alignment horizontal="right" vertical="center"/>
      <protection locked="0"/>
    </xf>
    <xf numFmtId="165" fontId="27" fillId="0" borderId="17" xfId="0" applyNumberFormat="1" applyFont="1" applyBorder="1" applyAlignment="1" applyProtection="1">
      <alignment horizontal="center" vertical="center"/>
      <protection locked="0"/>
    </xf>
    <xf numFmtId="165" fontId="27" fillId="0" borderId="5" xfId="0" applyNumberFormat="1" applyFont="1" applyBorder="1" applyAlignment="1" applyProtection="1">
      <alignment horizontal="center" vertical="center"/>
      <protection locked="0"/>
    </xf>
    <xf numFmtId="165" fontId="27" fillId="0" borderId="6" xfId="0" applyNumberFormat="1" applyFont="1" applyBorder="1" applyAlignment="1" applyProtection="1">
      <alignment horizontal="center" vertical="center"/>
      <protection locked="0"/>
    </xf>
    <xf numFmtId="165" fontId="27" fillId="0" borderId="12" xfId="0" applyNumberFormat="1" applyFont="1" applyBorder="1" applyAlignment="1" applyProtection="1">
      <alignment horizontal="center" vertical="center"/>
      <protection locked="0"/>
    </xf>
    <xf numFmtId="165" fontId="27" fillId="0" borderId="15" xfId="0" applyNumberFormat="1" applyFont="1" applyBorder="1" applyAlignment="1" applyProtection="1">
      <alignment horizontal="center" vertical="center"/>
      <protection locked="0"/>
    </xf>
    <xf numFmtId="3" fontId="42" fillId="0" borderId="5" xfId="2" applyNumberFormat="1" applyFont="1" applyBorder="1" applyAlignment="1">
      <alignment horizontal="center" vertical="center"/>
    </xf>
    <xf numFmtId="3" fontId="43" fillId="0" borderId="5" xfId="2" applyNumberFormat="1" applyFont="1" applyBorder="1" applyAlignment="1">
      <alignment horizontal="center" vertical="center"/>
    </xf>
    <xf numFmtId="1" fontId="46" fillId="10" borderId="2" xfId="0" applyNumberFormat="1" applyFont="1" applyFill="1" applyBorder="1" applyAlignment="1" applyProtection="1">
      <alignment horizontal="center"/>
      <protection locked="0"/>
    </xf>
    <xf numFmtId="171" fontId="11" fillId="0" borderId="0" xfId="0" applyNumberFormat="1" applyFont="1" applyAlignment="1" applyProtection="1">
      <alignment horizontal="center" vertical="center"/>
      <protection locked="0"/>
    </xf>
    <xf numFmtId="171" fontId="3" fillId="11" borderId="2" xfId="0" applyNumberFormat="1" applyFont="1" applyFill="1" applyBorder="1" applyAlignment="1" applyProtection="1">
      <alignment horizontal="center" textRotation="90"/>
      <protection locked="0"/>
    </xf>
    <xf numFmtId="171" fontId="0" fillId="11" borderId="2" xfId="0" applyNumberFormat="1" applyFill="1" applyBorder="1" applyAlignment="1" applyProtection="1">
      <alignment horizontal="center"/>
      <protection locked="0"/>
    </xf>
    <xf numFmtId="171" fontId="1" fillId="11" borderId="2" xfId="0" applyNumberFormat="1" applyFont="1" applyFill="1" applyBorder="1" applyAlignment="1" applyProtection="1">
      <alignment horizontal="center"/>
      <protection locked="0"/>
    </xf>
    <xf numFmtId="171" fontId="45" fillId="11" borderId="2" xfId="0" applyNumberFormat="1" applyFont="1" applyFill="1" applyBorder="1" applyAlignment="1" applyProtection="1">
      <alignment horizontal="center"/>
      <protection locked="0"/>
    </xf>
    <xf numFmtId="171" fontId="45" fillId="10" borderId="2" xfId="0" applyNumberFormat="1" applyFont="1" applyFill="1" applyBorder="1" applyAlignment="1" applyProtection="1">
      <alignment horizontal="center"/>
      <protection locked="0"/>
    </xf>
    <xf numFmtId="171" fontId="0" fillId="0" borderId="0" xfId="0" applyNumberFormat="1" applyAlignment="1" applyProtection="1">
      <alignment horizontal="center"/>
      <protection locked="0"/>
    </xf>
    <xf numFmtId="2" fontId="32" fillId="0" borderId="44" xfId="0" applyNumberFormat="1" applyFont="1" applyBorder="1" applyAlignment="1">
      <alignment horizontal="center" textRotation="90" wrapText="1"/>
    </xf>
    <xf numFmtId="2" fontId="49" fillId="0" borderId="51" xfId="0" applyNumberFormat="1" applyFont="1" applyBorder="1" applyAlignment="1">
      <alignment horizontal="center" textRotation="90" wrapText="1"/>
    </xf>
    <xf numFmtId="165" fontId="48" fillId="7" borderId="28" xfId="0" applyNumberFormat="1" applyFont="1" applyFill="1" applyBorder="1" applyAlignment="1" applyProtection="1">
      <alignment horizontal="right"/>
      <protection locked="0"/>
    </xf>
    <xf numFmtId="165" fontId="48" fillId="7" borderId="21" xfId="0" applyNumberFormat="1" applyFont="1" applyFill="1" applyBorder="1" applyAlignment="1" applyProtection="1">
      <alignment horizontal="right"/>
      <protection locked="0"/>
    </xf>
    <xf numFmtId="165" fontId="48" fillId="7" borderId="22" xfId="0" applyNumberFormat="1" applyFont="1" applyFill="1" applyBorder="1" applyAlignment="1" applyProtection="1">
      <alignment horizontal="right"/>
      <protection locked="0"/>
    </xf>
    <xf numFmtId="165" fontId="48" fillId="7" borderId="25" xfId="0" applyNumberFormat="1" applyFont="1" applyFill="1" applyBorder="1" applyAlignment="1" applyProtection="1">
      <alignment horizontal="right"/>
      <protection locked="0"/>
    </xf>
    <xf numFmtId="165" fontId="48" fillId="7" borderId="27" xfId="0" applyNumberFormat="1" applyFont="1" applyFill="1" applyBorder="1" applyAlignment="1" applyProtection="1">
      <alignment horizontal="right"/>
      <protection locked="0"/>
    </xf>
    <xf numFmtId="168" fontId="50" fillId="0" borderId="12" xfId="0" applyNumberFormat="1" applyFont="1" applyBorder="1" applyAlignment="1" applyProtection="1">
      <alignment horizontal="left"/>
      <protection locked="0"/>
    </xf>
    <xf numFmtId="165" fontId="50" fillId="0" borderId="12" xfId="0" applyNumberFormat="1" applyFont="1" applyBorder="1" applyAlignment="1" applyProtection="1">
      <alignment horizontal="right" vertical="center"/>
      <protection locked="0"/>
    </xf>
    <xf numFmtId="165" fontId="50" fillId="0" borderId="12" xfId="0" applyNumberFormat="1" applyFont="1" applyBorder="1" applyAlignment="1" applyProtection="1">
      <alignment horizontal="center" vertical="center"/>
      <protection locked="0"/>
    </xf>
    <xf numFmtId="168" fontId="51" fillId="0" borderId="25" xfId="0" applyNumberFormat="1" applyFont="1" applyBorder="1" applyAlignment="1" applyProtection="1">
      <alignment horizontal="right"/>
      <protection locked="0"/>
    </xf>
    <xf numFmtId="168" fontId="39" fillId="0" borderId="21" xfId="0" applyNumberFormat="1" applyFont="1" applyBorder="1" applyAlignment="1" applyProtection="1">
      <alignment horizontal="right"/>
      <protection locked="0"/>
    </xf>
    <xf numFmtId="0" fontId="0" fillId="0" borderId="0" xfId="0" applyFill="1" applyProtection="1">
      <protection locked="0"/>
    </xf>
    <xf numFmtId="165" fontId="54" fillId="8" borderId="29" xfId="0" applyNumberFormat="1" applyFont="1" applyFill="1" applyBorder="1" applyAlignment="1" applyProtection="1">
      <alignment horizontal="center" vertical="center" wrapText="1"/>
      <protection locked="0"/>
    </xf>
    <xf numFmtId="167" fontId="34" fillId="0" borderId="31" xfId="0" applyNumberFormat="1" applyFont="1" applyBorder="1" applyAlignment="1" applyProtection="1">
      <alignment vertical="center"/>
      <protection locked="0"/>
    </xf>
    <xf numFmtId="165" fontId="48" fillId="7" borderId="46" xfId="0" applyNumberFormat="1" applyFont="1" applyFill="1" applyBorder="1" applyAlignment="1" applyProtection="1">
      <alignment horizontal="right"/>
      <protection locked="0"/>
    </xf>
    <xf numFmtId="165" fontId="52" fillId="0" borderId="47" xfId="0" applyNumberFormat="1" applyFont="1" applyBorder="1" applyAlignment="1" applyProtection="1">
      <alignment horizontal="right" vertical="center"/>
      <protection locked="0"/>
    </xf>
    <xf numFmtId="165" fontId="48" fillId="7" borderId="38" xfId="0" applyNumberFormat="1" applyFont="1" applyFill="1" applyBorder="1" applyAlignment="1" applyProtection="1">
      <alignment horizontal="right"/>
      <protection locked="0"/>
    </xf>
    <xf numFmtId="165" fontId="27" fillId="0" borderId="20" xfId="0" applyNumberFormat="1" applyFont="1" applyBorder="1" applyAlignment="1" applyProtection="1">
      <alignment horizontal="right" vertical="center"/>
      <protection locked="0"/>
    </xf>
    <xf numFmtId="165" fontId="50" fillId="0" borderId="40" xfId="0" applyNumberFormat="1" applyFont="1" applyBorder="1" applyAlignment="1" applyProtection="1">
      <alignment horizontal="right" vertical="center"/>
      <protection locked="0"/>
    </xf>
    <xf numFmtId="165" fontId="27" fillId="0" borderId="53" xfId="0" applyNumberFormat="1" applyFont="1" applyBorder="1" applyAlignment="1" applyProtection="1">
      <alignment horizontal="right" vertical="center"/>
      <protection locked="0"/>
    </xf>
    <xf numFmtId="2" fontId="53" fillId="0" borderId="21" xfId="0" applyNumberFormat="1" applyFont="1" applyFill="1" applyBorder="1" applyAlignment="1" applyProtection="1">
      <alignment horizontal="center" vertical="center"/>
      <protection locked="0"/>
    </xf>
    <xf numFmtId="4" fontId="28" fillId="0" borderId="27" xfId="0" applyNumberFormat="1" applyFont="1" applyFill="1" applyBorder="1" applyAlignment="1" applyProtection="1">
      <alignment horizontal="center" vertical="center"/>
      <protection locked="0"/>
    </xf>
    <xf numFmtId="4" fontId="28" fillId="0" borderId="21" xfId="0" applyNumberFormat="1" applyFont="1" applyFill="1" applyBorder="1" applyAlignment="1" applyProtection="1">
      <alignment horizontal="center" vertical="center"/>
      <protection locked="0"/>
    </xf>
    <xf numFmtId="4" fontId="28" fillId="0" borderId="25" xfId="0" applyNumberFormat="1" applyFont="1" applyFill="1" applyBorder="1" applyAlignment="1" applyProtection="1">
      <alignment horizontal="center" vertical="center"/>
      <protection locked="0"/>
    </xf>
    <xf numFmtId="2" fontId="53" fillId="0" borderId="22" xfId="0" applyNumberFormat="1" applyFont="1" applyFill="1" applyBorder="1" applyAlignment="1" applyProtection="1">
      <alignment horizontal="center" vertical="center"/>
      <protection locked="0"/>
    </xf>
    <xf numFmtId="4" fontId="28" fillId="0" borderId="21" xfId="0" applyNumberFormat="1" applyFont="1" applyFill="1" applyBorder="1" applyAlignment="1" applyProtection="1">
      <alignment horizontal="center"/>
      <protection locked="0"/>
    </xf>
    <xf numFmtId="4" fontId="28" fillId="0" borderId="22" xfId="0" applyNumberFormat="1" applyFont="1" applyFill="1" applyBorder="1" applyAlignment="1" applyProtection="1">
      <alignment horizontal="center"/>
      <protection locked="0"/>
    </xf>
    <xf numFmtId="4" fontId="28" fillId="0" borderId="23" xfId="0" applyNumberFormat="1" applyFont="1" applyFill="1" applyBorder="1" applyAlignment="1" applyProtection="1">
      <alignment horizontal="center"/>
      <protection locked="0"/>
    </xf>
    <xf numFmtId="4" fontId="28" fillId="0" borderId="24" xfId="0" applyNumberFormat="1" applyFont="1" applyFill="1" applyBorder="1" applyAlignment="1" applyProtection="1">
      <alignment horizontal="center"/>
      <protection locked="0"/>
    </xf>
    <xf numFmtId="4" fontId="28" fillId="0" borderId="25" xfId="0" applyNumberFormat="1" applyFont="1" applyFill="1" applyBorder="1" applyAlignment="1" applyProtection="1">
      <alignment horizontal="center"/>
      <protection locked="0"/>
    </xf>
    <xf numFmtId="4" fontId="28" fillId="0" borderId="26" xfId="0" applyNumberFormat="1" applyFont="1" applyFill="1" applyBorder="1" applyAlignment="1" applyProtection="1">
      <alignment horizontal="center"/>
      <protection locked="0"/>
    </xf>
    <xf numFmtId="4" fontId="28" fillId="0" borderId="27" xfId="0" applyNumberFormat="1" applyFont="1" applyFill="1" applyBorder="1" applyAlignment="1" applyProtection="1">
      <alignment horizontal="center"/>
      <protection locked="0"/>
    </xf>
    <xf numFmtId="4" fontId="28" fillId="0" borderId="22" xfId="0" applyNumberFormat="1" applyFont="1" applyFill="1" applyBorder="1" applyAlignment="1" applyProtection="1">
      <alignment horizontal="center" vertical="center"/>
      <protection locked="0"/>
    </xf>
    <xf numFmtId="4" fontId="28" fillId="0" borderId="28" xfId="0" applyNumberFormat="1" applyFont="1" applyFill="1" applyBorder="1" applyAlignment="1" applyProtection="1">
      <alignment horizontal="center" vertical="center"/>
      <protection locked="0"/>
    </xf>
    <xf numFmtId="4" fontId="28" fillId="0" borderId="26" xfId="0" applyNumberFormat="1" applyFont="1" applyFill="1" applyBorder="1" applyAlignment="1" applyProtection="1">
      <alignment horizontal="center" vertical="center"/>
      <protection locked="0"/>
    </xf>
    <xf numFmtId="4" fontId="21" fillId="0" borderId="22" xfId="0" applyNumberFormat="1" applyFont="1" applyFill="1" applyBorder="1" applyAlignment="1">
      <alignment horizontal="center" vertical="center"/>
    </xf>
    <xf numFmtId="4" fontId="28" fillId="0" borderId="25" xfId="0" applyNumberFormat="1" applyFont="1" applyFill="1" applyBorder="1" applyAlignment="1">
      <alignment horizontal="center" vertical="center"/>
    </xf>
    <xf numFmtId="0" fontId="16" fillId="5" borderId="0" xfId="0" applyFont="1" applyFill="1" applyAlignment="1" applyProtection="1">
      <alignment horizontal="right" vertical="center"/>
      <protection locked="0"/>
    </xf>
    <xf numFmtId="164" fontId="14" fillId="0" borderId="0" xfId="0" applyNumberFormat="1" applyFont="1" applyAlignment="1" applyProtection="1">
      <alignment horizontal="right" vertical="center"/>
      <protection locked="0"/>
    </xf>
    <xf numFmtId="0" fontId="45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textRotation="90"/>
      <protection locked="0"/>
    </xf>
    <xf numFmtId="17" fontId="17" fillId="9" borderId="41" xfId="0" applyNumberFormat="1" applyFont="1" applyFill="1" applyBorder="1" applyAlignment="1" applyProtection="1">
      <alignment horizontal="center" vertical="center"/>
      <protection locked="0"/>
    </xf>
    <xf numFmtId="17" fontId="17" fillId="9" borderId="39" xfId="0" applyNumberFormat="1" applyFont="1" applyFill="1" applyBorder="1" applyAlignment="1" applyProtection="1">
      <alignment horizontal="center" vertical="center"/>
      <protection locked="0"/>
    </xf>
    <xf numFmtId="17" fontId="17" fillId="9" borderId="42" xfId="0" applyNumberFormat="1" applyFont="1" applyFill="1" applyBorder="1" applyAlignment="1" applyProtection="1">
      <alignment horizontal="center" vertical="center"/>
      <protection locked="0"/>
    </xf>
    <xf numFmtId="17" fontId="17" fillId="9" borderId="21" xfId="0" applyNumberFormat="1" applyFont="1" applyFill="1" applyBorder="1" applyAlignment="1" applyProtection="1">
      <alignment horizontal="center" vertical="center"/>
      <protection locked="0"/>
    </xf>
    <xf numFmtId="17" fontId="17" fillId="9" borderId="22" xfId="0" applyNumberFormat="1" applyFont="1" applyFill="1" applyBorder="1" applyAlignment="1" applyProtection="1">
      <alignment horizontal="center" vertical="center"/>
      <protection locked="0"/>
    </xf>
    <xf numFmtId="17" fontId="17" fillId="9" borderId="23" xfId="0" applyNumberFormat="1" applyFont="1" applyFill="1" applyBorder="1" applyAlignment="1" applyProtection="1">
      <alignment horizontal="center" vertical="center"/>
      <protection locked="0"/>
    </xf>
    <xf numFmtId="17" fontId="17" fillId="9" borderId="24" xfId="0" applyNumberFormat="1" applyFont="1" applyFill="1" applyBorder="1" applyAlignment="1" applyProtection="1">
      <alignment horizontal="center" vertical="center"/>
      <protection locked="0"/>
    </xf>
    <xf numFmtId="17" fontId="17" fillId="9" borderId="25" xfId="0" applyNumberFormat="1" applyFont="1" applyFill="1" applyBorder="1" applyAlignment="1" applyProtection="1">
      <alignment horizontal="center" vertical="center"/>
      <protection locked="0"/>
    </xf>
    <xf numFmtId="17" fontId="17" fillId="9" borderId="26" xfId="0" applyNumberFormat="1" applyFont="1" applyFill="1" applyBorder="1" applyAlignment="1" applyProtection="1">
      <alignment horizontal="center" vertical="center"/>
      <protection locked="0"/>
    </xf>
    <xf numFmtId="17" fontId="17" fillId="9" borderId="27" xfId="0" applyNumberFormat="1" applyFont="1" applyFill="1" applyBorder="1" applyAlignment="1" applyProtection="1">
      <alignment horizontal="center" vertical="center"/>
      <protection locked="0"/>
    </xf>
    <xf numFmtId="17" fontId="17" fillId="9" borderId="43" xfId="0" applyNumberFormat="1" applyFont="1" applyFill="1" applyBorder="1" applyAlignment="1" applyProtection="1">
      <alignment horizontal="center" vertical="center"/>
      <protection locked="0"/>
    </xf>
    <xf numFmtId="17" fontId="55" fillId="9" borderId="27" xfId="0" applyNumberFormat="1" applyFont="1" applyFill="1" applyBorder="1" applyAlignment="1" applyProtection="1">
      <alignment horizontal="center" vertical="center"/>
      <protection locked="0"/>
    </xf>
    <xf numFmtId="17" fontId="55" fillId="9" borderId="22" xfId="0" applyNumberFormat="1" applyFont="1" applyFill="1" applyBorder="1" applyAlignment="1" applyProtection="1">
      <alignment horizontal="center" vertical="center"/>
      <protection locked="0"/>
    </xf>
    <xf numFmtId="17" fontId="55" fillId="9" borderId="26" xfId="0" applyNumberFormat="1" applyFont="1" applyFill="1" applyBorder="1" applyAlignment="1" applyProtection="1">
      <alignment horizontal="center" vertical="center"/>
      <protection locked="0"/>
    </xf>
    <xf numFmtId="17" fontId="55" fillId="9" borderId="25" xfId="0" applyNumberFormat="1" applyFont="1" applyFill="1" applyBorder="1" applyAlignment="1" applyProtection="1">
      <alignment horizontal="center" vertical="center"/>
      <protection locked="0"/>
    </xf>
    <xf numFmtId="17" fontId="55" fillId="9" borderId="21" xfId="0" applyNumberFormat="1" applyFont="1" applyFill="1" applyBorder="1" applyAlignment="1" applyProtection="1">
      <alignment horizontal="center" vertical="center"/>
      <protection locked="0"/>
    </xf>
    <xf numFmtId="17" fontId="34" fillId="7" borderId="21" xfId="0" applyNumberFormat="1" applyFont="1" applyFill="1" applyBorder="1" applyAlignment="1" applyProtection="1">
      <alignment horizontal="center"/>
      <protection locked="0"/>
    </xf>
    <xf numFmtId="17" fontId="34" fillId="7" borderId="22" xfId="0" applyNumberFormat="1" applyFont="1" applyFill="1" applyBorder="1" applyAlignment="1" applyProtection="1">
      <alignment horizontal="center"/>
      <protection locked="0"/>
    </xf>
    <xf numFmtId="2" fontId="56" fillId="0" borderId="0" xfId="0" applyNumberFormat="1" applyFont="1" applyProtection="1">
      <protection locked="0"/>
    </xf>
    <xf numFmtId="165" fontId="53" fillId="0" borderId="27" xfId="0" applyNumberFormat="1" applyFont="1" applyBorder="1" applyAlignment="1" applyProtection="1">
      <alignment horizontal="right" vertical="center"/>
      <protection locked="0"/>
    </xf>
    <xf numFmtId="165" fontId="53" fillId="0" borderId="21" xfId="0" applyNumberFormat="1" applyFont="1" applyBorder="1" applyAlignment="1" applyProtection="1">
      <alignment horizontal="right" vertical="center"/>
      <protection locked="0"/>
    </xf>
    <xf numFmtId="2" fontId="53" fillId="7" borderId="22" xfId="0" applyNumberFormat="1" applyFont="1" applyFill="1" applyBorder="1" applyAlignment="1" applyProtection="1">
      <alignment horizontal="center" vertical="center"/>
      <protection locked="0"/>
    </xf>
    <xf numFmtId="2" fontId="27" fillId="7" borderId="5" xfId="0" applyNumberFormat="1" applyFont="1" applyFill="1" applyBorder="1" applyAlignment="1" applyProtection="1">
      <alignment vertical="center"/>
      <protection locked="0"/>
    </xf>
    <xf numFmtId="2" fontId="53" fillId="7" borderId="21" xfId="0" applyNumberFormat="1" applyFont="1" applyFill="1" applyBorder="1" applyAlignment="1" applyProtection="1">
      <alignment horizontal="center" vertical="center"/>
      <protection locked="0"/>
    </xf>
    <xf numFmtId="2" fontId="27" fillId="7" borderId="5" xfId="0" applyNumberFormat="1" applyFont="1" applyFill="1" applyBorder="1" applyAlignment="1" applyProtection="1">
      <alignment horizontal="center" vertical="center"/>
      <protection locked="0"/>
    </xf>
    <xf numFmtId="4" fontId="53" fillId="7" borderId="21" xfId="0" applyNumberFormat="1" applyFont="1" applyFill="1" applyBorder="1" applyAlignment="1" applyProtection="1">
      <alignment horizontal="center" vertical="center"/>
      <protection locked="0"/>
    </xf>
    <xf numFmtId="4" fontId="28" fillId="7" borderId="21" xfId="0" applyNumberFormat="1" applyFont="1" applyFill="1" applyBorder="1" applyAlignment="1" applyProtection="1">
      <alignment horizontal="center" vertical="center"/>
      <protection locked="0"/>
    </xf>
    <xf numFmtId="2" fontId="27" fillId="7" borderId="12" xfId="0" applyNumberFormat="1" applyFont="1" applyFill="1" applyBorder="1" applyAlignment="1" applyProtection="1">
      <alignment vertical="center"/>
      <protection locked="0"/>
    </xf>
    <xf numFmtId="2" fontId="27" fillId="7" borderId="12" xfId="0" applyNumberFormat="1" applyFont="1" applyFill="1" applyBorder="1" applyAlignment="1" applyProtection="1">
      <alignment horizontal="center" vertical="center"/>
      <protection locked="0"/>
    </xf>
    <xf numFmtId="4" fontId="28" fillId="7" borderId="25" xfId="0" applyNumberFormat="1" applyFont="1" applyFill="1" applyBorder="1" applyAlignment="1" applyProtection="1">
      <alignment horizontal="center" vertical="center"/>
      <protection locked="0"/>
    </xf>
    <xf numFmtId="4" fontId="28" fillId="7" borderId="27" xfId="0" applyNumberFormat="1" applyFont="1" applyFill="1" applyBorder="1" applyAlignment="1" applyProtection="1">
      <alignment horizontal="center" vertical="center"/>
      <protection locked="0"/>
    </xf>
    <xf numFmtId="2" fontId="0" fillId="10" borderId="2" xfId="0" applyNumberFormat="1" applyFill="1" applyBorder="1" applyProtection="1">
      <protection locked="0"/>
    </xf>
    <xf numFmtId="2" fontId="27" fillId="0" borderId="5" xfId="0" applyNumberFormat="1" applyFont="1" applyFill="1" applyBorder="1" applyAlignment="1" applyProtection="1">
      <alignment vertical="center"/>
      <protection locked="0"/>
    </xf>
    <xf numFmtId="2" fontId="27" fillId="0" borderId="5" xfId="0" applyNumberFormat="1" applyFont="1" applyFill="1" applyBorder="1" applyAlignment="1" applyProtection="1">
      <alignment horizontal="center" vertical="center"/>
      <protection locked="0"/>
    </xf>
    <xf numFmtId="167" fontId="34" fillId="0" borderId="38" xfId="0" applyNumberFormat="1" applyFont="1" applyFill="1" applyBorder="1" applyAlignment="1" applyProtection="1">
      <alignment vertical="center"/>
      <protection locked="0"/>
    </xf>
    <xf numFmtId="2" fontId="0" fillId="12" borderId="2" xfId="0" applyNumberFormat="1" applyFill="1" applyBorder="1" applyProtection="1">
      <protection locked="0"/>
    </xf>
    <xf numFmtId="2" fontId="0" fillId="10" borderId="0" xfId="0" applyNumberFormat="1" applyFill="1" applyProtection="1">
      <protection locked="0"/>
    </xf>
    <xf numFmtId="165" fontId="27" fillId="0" borderId="6" xfId="0" applyNumberFormat="1" applyFont="1" applyFill="1" applyBorder="1" applyAlignment="1" applyProtection="1">
      <alignment horizontal="right" vertical="center"/>
      <protection locked="0"/>
    </xf>
    <xf numFmtId="2" fontId="27" fillId="0" borderId="15" xfId="0" applyNumberFormat="1" applyFont="1" applyFill="1" applyBorder="1" applyAlignment="1" applyProtection="1">
      <alignment vertical="center"/>
      <protection locked="0"/>
    </xf>
    <xf numFmtId="2" fontId="27" fillId="0" borderId="15" xfId="0" applyNumberFormat="1" applyFont="1" applyFill="1" applyBorder="1" applyAlignment="1" applyProtection="1">
      <alignment horizontal="center" vertical="center"/>
      <protection locked="0"/>
    </xf>
    <xf numFmtId="2" fontId="27" fillId="0" borderId="12" xfId="0" applyNumberFormat="1" applyFont="1" applyFill="1" applyBorder="1" applyAlignment="1" applyProtection="1">
      <alignment vertical="center"/>
      <protection locked="0"/>
    </xf>
    <xf numFmtId="2" fontId="27" fillId="0" borderId="12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Fill="1" applyProtection="1">
      <protection locked="0"/>
    </xf>
    <xf numFmtId="2" fontId="0" fillId="0" borderId="0" xfId="0" applyNumberFormat="1" applyFill="1"/>
    <xf numFmtId="165" fontId="27" fillId="0" borderId="5" xfId="0" applyNumberFormat="1" applyFont="1" applyFill="1" applyBorder="1" applyAlignment="1" applyProtection="1">
      <alignment horizontal="right" vertical="center"/>
      <protection locked="0"/>
    </xf>
    <xf numFmtId="165" fontId="27" fillId="0" borderId="5" xfId="0" applyNumberFormat="1" applyFont="1" applyFill="1" applyBorder="1" applyAlignment="1" applyProtection="1">
      <alignment horizontal="center" vertical="center"/>
      <protection locked="0"/>
    </xf>
    <xf numFmtId="165" fontId="27" fillId="0" borderId="53" xfId="0" applyNumberFormat="1" applyFont="1" applyFill="1" applyBorder="1" applyAlignment="1" applyProtection="1">
      <alignment horizontal="right" vertical="center"/>
      <protection locked="0"/>
    </xf>
    <xf numFmtId="165" fontId="27" fillId="0" borderId="6" xfId="0" applyNumberFormat="1" applyFont="1" applyFill="1" applyBorder="1" applyAlignment="1" applyProtection="1">
      <alignment horizontal="center" vertical="center"/>
      <protection locked="0"/>
    </xf>
    <xf numFmtId="165" fontId="27" fillId="0" borderId="7" xfId="0" applyNumberFormat="1" applyFont="1" applyFill="1" applyBorder="1" applyAlignment="1" applyProtection="1">
      <alignment horizontal="right" vertical="center"/>
      <protection locked="0"/>
    </xf>
    <xf numFmtId="0" fontId="0" fillId="0" borderId="2" xfId="0" applyBorder="1"/>
    <xf numFmtId="0" fontId="11" fillId="0" borderId="52" xfId="0" applyFont="1" applyBorder="1" applyAlignment="1" applyProtection="1">
      <alignment vertical="center"/>
      <protection locked="0"/>
    </xf>
    <xf numFmtId="170" fontId="44" fillId="0" borderId="2" xfId="0" applyNumberFormat="1" applyFont="1" applyBorder="1" applyAlignment="1">
      <alignment horizontal="center" vertical="center"/>
    </xf>
    <xf numFmtId="0" fontId="45" fillId="0" borderId="2" xfId="0" applyFont="1" applyBorder="1" applyAlignment="1" applyProtection="1">
      <alignment horizontal="center" wrapText="1"/>
      <protection locked="0"/>
    </xf>
    <xf numFmtId="0" fontId="0" fillId="0" borderId="2" xfId="0" applyBorder="1" applyProtection="1">
      <protection locked="0"/>
    </xf>
    <xf numFmtId="0" fontId="1" fillId="0" borderId="2" xfId="0" applyFont="1" applyBorder="1" applyProtection="1">
      <protection locked="0"/>
    </xf>
    <xf numFmtId="0" fontId="47" fillId="0" borderId="2" xfId="0" applyFont="1" applyBorder="1" applyProtection="1">
      <protection locked="0"/>
    </xf>
    <xf numFmtId="0" fontId="45" fillId="0" borderId="2" xfId="0" applyFont="1" applyBorder="1" applyAlignment="1" applyProtection="1">
      <alignment horizontal="center"/>
      <protection locked="0"/>
    </xf>
    <xf numFmtId="0" fontId="47" fillId="0" borderId="2" xfId="0" applyFont="1" applyBorder="1" applyAlignment="1" applyProtection="1">
      <alignment horizontal="center"/>
      <protection locked="0"/>
    </xf>
    <xf numFmtId="171" fontId="57" fillId="0" borderId="0" xfId="0" applyNumberFormat="1" applyFont="1" applyAlignment="1" applyProtection="1">
      <alignment horizontal="left" vertical="center"/>
      <protection locked="0"/>
    </xf>
    <xf numFmtId="171" fontId="58" fillId="0" borderId="0" xfId="0" applyNumberFormat="1" applyFont="1" applyAlignment="1" applyProtection="1">
      <alignment horizontal="left" vertical="center"/>
      <protection locked="0"/>
    </xf>
    <xf numFmtId="171" fontId="59" fillId="11" borderId="52" xfId="0" applyNumberFormat="1" applyFont="1" applyFill="1" applyBorder="1" applyAlignment="1" applyProtection="1">
      <alignment horizontal="center" vertical="center"/>
      <protection locked="0"/>
    </xf>
    <xf numFmtId="171" fontId="60" fillId="13" borderId="52" xfId="0" applyNumberFormat="1" applyFont="1" applyFill="1" applyBorder="1" applyAlignment="1" applyProtection="1">
      <alignment horizontal="center" vertical="center"/>
      <protection locked="0"/>
    </xf>
    <xf numFmtId="171" fontId="61" fillId="11" borderId="2" xfId="0" applyNumberFormat="1" applyFont="1" applyFill="1" applyBorder="1" applyAlignment="1" applyProtection="1">
      <alignment horizontal="center" vertical="center"/>
      <protection locked="0"/>
    </xf>
    <xf numFmtId="171" fontId="61" fillId="11" borderId="2" xfId="0" applyNumberFormat="1" applyFont="1" applyFill="1" applyBorder="1" applyAlignment="1">
      <alignment horizontal="center" vertical="center"/>
    </xf>
    <xf numFmtId="171" fontId="61" fillId="12" borderId="2" xfId="0" applyNumberFormat="1" applyFont="1" applyFill="1" applyBorder="1" applyAlignment="1" applyProtection="1">
      <alignment horizontal="center" vertical="center"/>
      <protection locked="0"/>
    </xf>
    <xf numFmtId="171" fontId="61" fillId="13" borderId="2" xfId="0" applyNumberFormat="1" applyFont="1" applyFill="1" applyBorder="1" applyAlignment="1" applyProtection="1">
      <alignment horizontal="center" vertical="center"/>
      <protection locked="0"/>
    </xf>
    <xf numFmtId="171" fontId="61" fillId="13" borderId="2" xfId="0" applyNumberFormat="1" applyFont="1" applyFill="1" applyBorder="1" applyAlignment="1">
      <alignment horizontal="center" vertical="center"/>
    </xf>
    <xf numFmtId="171" fontId="3" fillId="12" borderId="2" xfId="0" applyNumberFormat="1" applyFont="1" applyFill="1" applyBorder="1" applyAlignment="1" applyProtection="1">
      <alignment horizontal="center" textRotation="90"/>
      <protection locked="0"/>
    </xf>
    <xf numFmtId="171" fontId="3" fillId="13" borderId="2" xfId="0" applyNumberFormat="1" applyFont="1" applyFill="1" applyBorder="1" applyAlignment="1" applyProtection="1">
      <alignment horizontal="center" textRotation="90"/>
      <protection locked="0"/>
    </xf>
    <xf numFmtId="171" fontId="0" fillId="12" borderId="2" xfId="0" applyNumberFormat="1" applyFill="1" applyBorder="1" applyAlignment="1" applyProtection="1">
      <alignment horizontal="center"/>
      <protection locked="0"/>
    </xf>
    <xf numFmtId="171" fontId="0" fillId="13" borderId="2" xfId="0" applyNumberFormat="1" applyFill="1" applyBorder="1" applyAlignment="1" applyProtection="1">
      <alignment horizontal="center"/>
      <protection locked="0"/>
    </xf>
    <xf numFmtId="171" fontId="1" fillId="12" borderId="2" xfId="0" applyNumberFormat="1" applyFont="1" applyFill="1" applyBorder="1" applyAlignment="1" applyProtection="1">
      <alignment horizontal="center"/>
      <protection locked="0"/>
    </xf>
    <xf numFmtId="171" fontId="1" fillId="13" borderId="2" xfId="0" applyNumberFormat="1" applyFont="1" applyFill="1" applyBorder="1" applyAlignment="1" applyProtection="1">
      <alignment horizontal="center"/>
      <protection locked="0"/>
    </xf>
    <xf numFmtId="171" fontId="45" fillId="12" borderId="2" xfId="0" applyNumberFormat="1" applyFont="1" applyFill="1" applyBorder="1" applyAlignment="1" applyProtection="1">
      <alignment horizontal="center"/>
      <protection locked="0"/>
    </xf>
    <xf numFmtId="171" fontId="45" fillId="13" borderId="2" xfId="0" applyNumberFormat="1" applyFont="1" applyFill="1" applyBorder="1" applyAlignment="1" applyProtection="1">
      <alignment horizontal="center"/>
      <protection locked="0"/>
    </xf>
    <xf numFmtId="2" fontId="27" fillId="12" borderId="5" xfId="0" applyNumberFormat="1" applyFont="1" applyFill="1" applyBorder="1" applyAlignment="1" applyProtection="1">
      <alignment vertical="center"/>
      <protection locked="0"/>
    </xf>
    <xf numFmtId="2" fontId="27" fillId="12" borderId="15" xfId="0" applyNumberFormat="1" applyFont="1" applyFill="1" applyBorder="1" applyAlignment="1" applyProtection="1">
      <alignment vertical="center"/>
      <protection locked="0"/>
    </xf>
    <xf numFmtId="4" fontId="28" fillId="14" borderId="27" xfId="0" applyNumberFormat="1" applyFont="1" applyFill="1" applyBorder="1" applyAlignment="1" applyProtection="1">
      <alignment horizontal="center" vertical="center"/>
      <protection locked="0"/>
    </xf>
    <xf numFmtId="2" fontId="35" fillId="0" borderId="0" xfId="0" applyNumberFormat="1" applyFont="1" applyAlignment="1" applyProtection="1">
      <alignment horizontal="center" vertical="center"/>
      <protection locked="0"/>
    </xf>
    <xf numFmtId="0" fontId="36" fillId="0" borderId="0" xfId="2" applyFont="1" applyAlignment="1">
      <alignment horizontal="center" vertical="center"/>
    </xf>
    <xf numFmtId="0" fontId="30" fillId="0" borderId="0" xfId="2" applyFont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Percent 2" xfId="3" xr:uid="{00000000-0005-0000-0000-000003000000}"/>
  </cellStyles>
  <dxfs count="9">
    <dxf>
      <border>
        <left/>
        <right/>
        <top/>
        <bottom/>
      </border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FFFFFF"/>
      <rgbColor rgb="00FEEFEF"/>
      <rgbColor rgb="00FDDFDF"/>
      <rgbColor rgb="00FCCFCF"/>
      <rgbColor rgb="00FBBFBF"/>
      <rgbColor rgb="00FAAFAF"/>
      <rgbColor rgb="00F99F9F"/>
      <rgbColor rgb="00F88F8F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400050</xdr:colOff>
      <xdr:row>0</xdr:row>
      <xdr:rowOff>342900</xdr:rowOff>
    </xdr:from>
    <xdr:to>
      <xdr:col>15</xdr:col>
      <xdr:colOff>262890</xdr:colOff>
      <xdr:row>2</xdr:row>
      <xdr:rowOff>339090</xdr:rowOff>
    </xdr:to>
    <xdr:pic>
      <xdr:nvPicPr>
        <xdr:cNvPr id="1741" name="Picture 2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342900"/>
          <a:ext cx="190500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3.11.01.13%20MILK\MILK.GEN\MILK%20MARKET%20OBSERVATORY\MMO%20Web%20Site\Excel_files\11.%20PRI\EU.Milk\01-Monthly%20farmgate%20raw%20milk%20price.xlsm" TargetMode="External"/><Relationship Id="rId1" Type="http://schemas.openxmlformats.org/officeDocument/2006/relationships/externalLinkPath" Target="/3.11.01.13%20MILK/MILK.GEN/MILK%20MARKET%20OBSERVATORY/MMO%20Web%20Site/Excel_files/11.%20PRI/EU.Milk/01-Monthly%20farmgate%20raw%20milk%20price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3.11.01.13%20MILK\MILK.GEN\MILK%20MARKET%20OBSERVATORY\MMO%20Web%20Site\Excel_files\31.%20HIS\PRI\HIS.PRI_formulas.xlsm" TargetMode="External"/><Relationship Id="rId1" Type="http://schemas.openxmlformats.org/officeDocument/2006/relationships/externalLinkPath" Target="HIS.PRI_formula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es"/>
      <sheetName val="Pivot"/>
      <sheetName val="data_CSV"/>
      <sheetName val="Deliveries"/>
      <sheetName val="ISAMM 100018"/>
      <sheetName val="STO 2025"/>
      <sheetName val="Prices (bef coeff chg 160404)"/>
      <sheetName val="estimations"/>
      <sheetName val="Apr downturn"/>
      <sheetName val="Chart14"/>
      <sheetName val="Chart15"/>
      <sheetName val="Prices_year"/>
      <sheetName val="Prices_year_old"/>
      <sheetName val="deliveries 2014"/>
      <sheetName val="deliveries 2013"/>
      <sheetName val="Chart16"/>
      <sheetName val="ES_publi_Feb"/>
      <sheetName val="UK_Defra"/>
      <sheetName val="sto"/>
      <sheetName val="Chart4"/>
      <sheetName val="Chart5"/>
      <sheetName val="Chart6"/>
      <sheetName val="STO 15-9-22"/>
      <sheetName val="Chart10"/>
      <sheetName val="Chart11"/>
      <sheetName val="Chart12"/>
      <sheetName val="PL-EU"/>
      <sheetName val="ES-EU"/>
      <sheetName val="Chart7"/>
      <sheetName val="01-Monthly farmgate raw milk pr"/>
      <sheetName val="Chart8"/>
      <sheetName val="Chart9"/>
      <sheetName val="Chart1"/>
      <sheetName val="Chart2"/>
      <sheetName val="Chart3"/>
      <sheetName val="Sheet1"/>
      <sheetName val="Chart13"/>
    </sheetNames>
    <sheetDataSet>
      <sheetData sheetId="0">
        <row r="1">
          <cell r="A1" t="str">
            <v>Milk Market Observatory</v>
          </cell>
        </row>
        <row r="2">
          <cell r="AC2">
            <v>45992</v>
          </cell>
        </row>
      </sheetData>
      <sheetData sheetId="1">
        <row r="1">
          <cell r="A1" t="str">
            <v>ok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  <cell r="AO1">
            <v>0</v>
          </cell>
          <cell r="AP1">
            <v>0</v>
          </cell>
          <cell r="AQ1">
            <v>0</v>
          </cell>
          <cell r="AR1">
            <v>0</v>
          </cell>
          <cell r="AS1">
            <v>0</v>
          </cell>
          <cell r="AT1">
            <v>0</v>
          </cell>
          <cell r="AU1">
            <v>0</v>
          </cell>
          <cell r="AV1">
            <v>0</v>
          </cell>
          <cell r="AW1">
            <v>0</v>
          </cell>
          <cell r="AX1">
            <v>0</v>
          </cell>
          <cell r="AY1">
            <v>0</v>
          </cell>
          <cell r="AZ1">
            <v>0</v>
          </cell>
          <cell r="BA1">
            <v>0</v>
          </cell>
          <cell r="BB1">
            <v>0</v>
          </cell>
          <cell r="BC1">
            <v>0</v>
          </cell>
          <cell r="BD1">
            <v>0</v>
          </cell>
          <cell r="BE1">
            <v>0</v>
          </cell>
          <cell r="BF1">
            <v>0</v>
          </cell>
          <cell r="BG1">
            <v>0</v>
          </cell>
          <cell r="BH1">
            <v>0</v>
          </cell>
          <cell r="BI1">
            <v>0</v>
          </cell>
          <cell r="BJ1">
            <v>0</v>
          </cell>
          <cell r="BK1">
            <v>0</v>
          </cell>
          <cell r="BL1">
            <v>0</v>
          </cell>
          <cell r="BM1">
            <v>0</v>
          </cell>
          <cell r="BN1">
            <v>0</v>
          </cell>
          <cell r="BO1">
            <v>0</v>
          </cell>
          <cell r="BP1">
            <v>0</v>
          </cell>
          <cell r="BQ1">
            <v>0</v>
          </cell>
          <cell r="BR1">
            <v>0</v>
          </cell>
          <cell r="BS1">
            <v>0</v>
          </cell>
          <cell r="BT1">
            <v>0</v>
          </cell>
          <cell r="BU1">
            <v>0</v>
          </cell>
          <cell r="BV1">
            <v>0</v>
          </cell>
          <cell r="BW1">
            <v>0</v>
          </cell>
          <cell r="BX1">
            <v>0</v>
          </cell>
          <cell r="BY1">
            <v>0</v>
          </cell>
          <cell r="BZ1">
            <v>0</v>
          </cell>
          <cell r="CA1">
            <v>0</v>
          </cell>
          <cell r="CB1">
            <v>0</v>
          </cell>
          <cell r="CC1">
            <v>0</v>
          </cell>
          <cell r="CD1">
            <v>0</v>
          </cell>
          <cell r="CE1">
            <v>0</v>
          </cell>
          <cell r="CF1">
            <v>0</v>
          </cell>
          <cell r="CG1">
            <v>0</v>
          </cell>
        </row>
        <row r="2">
          <cell r="A2"/>
          <cell r="B2" t="str">
            <v>BE</v>
          </cell>
          <cell r="C2" t="str">
            <v>BG</v>
          </cell>
          <cell r="D2" t="str">
            <v>CZ</v>
          </cell>
          <cell r="E2" t="str">
            <v>DK</v>
          </cell>
          <cell r="F2" t="str">
            <v>DE</v>
          </cell>
          <cell r="G2" t="str">
            <v>EE</v>
          </cell>
          <cell r="H2" t="str">
            <v>IE</v>
          </cell>
          <cell r="I2" t="str">
            <v>GR</v>
          </cell>
          <cell r="J2" t="str">
            <v>ES</v>
          </cell>
          <cell r="K2" t="str">
            <v>FR</v>
          </cell>
          <cell r="L2" t="str">
            <v>HR</v>
          </cell>
          <cell r="M2" t="str">
            <v>IT</v>
          </cell>
          <cell r="N2" t="str">
            <v>CY</v>
          </cell>
          <cell r="O2" t="str">
            <v>LV</v>
          </cell>
          <cell r="P2" t="str">
            <v>LT</v>
          </cell>
          <cell r="Q2" t="str">
            <v>LU</v>
          </cell>
          <cell r="R2" t="str">
            <v>HU</v>
          </cell>
          <cell r="S2" t="str">
            <v>MT</v>
          </cell>
          <cell r="T2" t="str">
            <v>NL</v>
          </cell>
          <cell r="U2" t="str">
            <v>AT</v>
          </cell>
          <cell r="V2" t="str">
            <v>PL</v>
          </cell>
          <cell r="W2" t="str">
            <v>PT</v>
          </cell>
          <cell r="X2" t="str">
            <v>RO</v>
          </cell>
          <cell r="Y2" t="str">
            <v>SI</v>
          </cell>
          <cell r="Z2" t="str">
            <v>SK</v>
          </cell>
          <cell r="AA2" t="str">
            <v>FI</v>
          </cell>
          <cell r="AB2" t="str">
            <v>SE</v>
          </cell>
          <cell r="AD2" t="str">
            <v>BE</v>
          </cell>
          <cell r="AE2" t="str">
            <v>BG</v>
          </cell>
          <cell r="AF2" t="str">
            <v>CZ</v>
          </cell>
          <cell r="AG2" t="str">
            <v>DK</v>
          </cell>
          <cell r="AH2" t="str">
            <v>DE</v>
          </cell>
          <cell r="AI2" t="str">
            <v>EE</v>
          </cell>
          <cell r="AJ2" t="str">
            <v>IE</v>
          </cell>
          <cell r="AK2" t="str">
            <v>GR</v>
          </cell>
          <cell r="AL2" t="str">
            <v>ES</v>
          </cell>
          <cell r="AM2" t="str">
            <v>FR</v>
          </cell>
          <cell r="AN2" t="str">
            <v>HR</v>
          </cell>
          <cell r="AO2" t="str">
            <v>IT</v>
          </cell>
          <cell r="AP2" t="str">
            <v>CY</v>
          </cell>
          <cell r="AQ2" t="str">
            <v>LV</v>
          </cell>
          <cell r="AR2" t="str">
            <v>LT</v>
          </cell>
          <cell r="AS2" t="str">
            <v>LU</v>
          </cell>
          <cell r="AT2" t="str">
            <v>HU</v>
          </cell>
          <cell r="AU2" t="str">
            <v>MT</v>
          </cell>
          <cell r="AV2" t="str">
            <v>NL</v>
          </cell>
          <cell r="AW2" t="str">
            <v>AT</v>
          </cell>
          <cell r="AX2" t="str">
            <v>PL</v>
          </cell>
          <cell r="AY2" t="str">
            <v>PT</v>
          </cell>
          <cell r="AZ2" t="str">
            <v>RO</v>
          </cell>
          <cell r="BA2" t="str">
            <v>SI</v>
          </cell>
          <cell r="BB2" t="str">
            <v>SK</v>
          </cell>
          <cell r="BC2" t="str">
            <v>FI</v>
          </cell>
          <cell r="BD2" t="str">
            <v>SE</v>
          </cell>
          <cell r="BE2" t="str">
            <v>EU-UK</v>
          </cell>
          <cell r="BF2" t="str">
            <v>BE</v>
          </cell>
          <cell r="BG2" t="str">
            <v>BG</v>
          </cell>
          <cell r="BH2" t="str">
            <v>CZ</v>
          </cell>
          <cell r="BI2" t="str">
            <v>DK</v>
          </cell>
          <cell r="BJ2" t="str">
            <v>DE</v>
          </cell>
          <cell r="BK2" t="str">
            <v>EE</v>
          </cell>
          <cell r="BL2" t="str">
            <v>IE</v>
          </cell>
          <cell r="BM2" t="str">
            <v>GR</v>
          </cell>
          <cell r="BN2" t="str">
            <v>ES</v>
          </cell>
          <cell r="BO2" t="str">
            <v>FR</v>
          </cell>
          <cell r="BP2" t="str">
            <v>HR</v>
          </cell>
          <cell r="BQ2" t="str">
            <v>IT</v>
          </cell>
          <cell r="BR2" t="str">
            <v>CY</v>
          </cell>
          <cell r="BS2" t="str">
            <v>LV</v>
          </cell>
          <cell r="BT2" t="str">
            <v>LT</v>
          </cell>
          <cell r="BU2" t="str">
            <v>LU</v>
          </cell>
          <cell r="BV2" t="str">
            <v>HU</v>
          </cell>
          <cell r="BW2" t="str">
            <v>MT</v>
          </cell>
          <cell r="BX2" t="str">
            <v>NL</v>
          </cell>
          <cell r="BY2" t="str">
            <v>AT</v>
          </cell>
          <cell r="BZ2" t="str">
            <v>PL</v>
          </cell>
          <cell r="CA2" t="str">
            <v>PT</v>
          </cell>
          <cell r="CB2" t="str">
            <v>RO</v>
          </cell>
          <cell r="CC2" t="str">
            <v>SI</v>
          </cell>
          <cell r="CD2" t="str">
            <v>SK</v>
          </cell>
          <cell r="CE2" t="str">
            <v>FI</v>
          </cell>
          <cell r="CF2" t="str">
            <v>SE</v>
          </cell>
          <cell r="CG2" t="str">
            <v>EU-UK</v>
          </cell>
        </row>
        <row r="4">
          <cell r="A4" t="str">
            <v>Ds Product Short</v>
          </cell>
          <cell r="B4" t="str">
            <v>04012091</v>
          </cell>
        </row>
        <row r="6">
          <cell r="A6"/>
          <cell r="B6" t="str">
            <v>Column Labels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/>
          <cell r="AE6"/>
          <cell r="AF6"/>
          <cell r="AG6"/>
          <cell r="AH6"/>
          <cell r="AI6"/>
          <cell r="AJ6"/>
          <cell r="AK6"/>
          <cell r="AL6"/>
          <cell r="AM6"/>
          <cell r="AN6"/>
          <cell r="AO6"/>
          <cell r="AP6"/>
          <cell r="AQ6"/>
          <cell r="AR6"/>
          <cell r="AS6"/>
          <cell r="AT6"/>
          <cell r="AU6"/>
          <cell r="AV6"/>
          <cell r="AW6"/>
          <cell r="AX6"/>
          <cell r="AY6"/>
          <cell r="AZ6"/>
          <cell r="BA6"/>
          <cell r="BB6"/>
          <cell r="BC6"/>
          <cell r="BD6"/>
          <cell r="BE6"/>
          <cell r="BF6"/>
          <cell r="BG6"/>
          <cell r="BH6"/>
          <cell r="BI6"/>
          <cell r="BJ6"/>
          <cell r="BK6"/>
          <cell r="BL6"/>
          <cell r="BM6"/>
          <cell r="BN6"/>
          <cell r="BO6"/>
          <cell r="BP6"/>
          <cell r="BQ6"/>
          <cell r="BR6"/>
          <cell r="BS6"/>
          <cell r="BT6"/>
          <cell r="BU6"/>
          <cell r="BV6"/>
          <cell r="BW6"/>
          <cell r="BX6"/>
          <cell r="BY6"/>
          <cell r="BZ6"/>
          <cell r="CA6"/>
          <cell r="CB6"/>
          <cell r="CC6"/>
          <cell r="CD6"/>
          <cell r="CE6"/>
          <cell r="CF6"/>
          <cell r="CG6"/>
        </row>
        <row r="7">
          <cell r="A7"/>
          <cell r="B7" t="str">
            <v>Average of Vl Euro Price</v>
          </cell>
          <cell r="C7"/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Sum of Fl Is Estimated</v>
          </cell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/>
          <cell r="AR7"/>
          <cell r="AS7"/>
          <cell r="AT7"/>
          <cell r="AU7"/>
          <cell r="AV7"/>
          <cell r="AW7"/>
          <cell r="AX7"/>
          <cell r="AY7"/>
          <cell r="AZ7"/>
          <cell r="BA7"/>
          <cell r="BB7"/>
          <cell r="BC7"/>
          <cell r="BD7"/>
          <cell r="BE7"/>
          <cell r="BF7" t="str">
            <v>Sum of MS Estimated</v>
          </cell>
          <cell r="BG7"/>
          <cell r="BH7"/>
          <cell r="BI7"/>
          <cell r="BJ7"/>
          <cell r="BK7"/>
          <cell r="BL7"/>
          <cell r="BM7"/>
          <cell r="BN7"/>
          <cell r="BO7"/>
          <cell r="BP7"/>
          <cell r="BQ7"/>
          <cell r="BR7"/>
          <cell r="BS7"/>
          <cell r="BT7"/>
          <cell r="BU7"/>
          <cell r="BV7"/>
          <cell r="BW7"/>
          <cell r="BX7"/>
          <cell r="BY7"/>
          <cell r="BZ7"/>
          <cell r="CA7"/>
          <cell r="CB7"/>
          <cell r="CC7"/>
          <cell r="CD7"/>
          <cell r="CE7"/>
          <cell r="CF7"/>
          <cell r="CG7"/>
        </row>
        <row r="8">
          <cell r="A8" t="str">
            <v>Row Labels</v>
          </cell>
          <cell r="B8" t="str">
            <v>BE</v>
          </cell>
          <cell r="C8" t="str">
            <v>BG</v>
          </cell>
          <cell r="D8" t="str">
            <v>CZ</v>
          </cell>
          <cell r="E8" t="str">
            <v>DK</v>
          </cell>
          <cell r="F8" t="str">
            <v>DE</v>
          </cell>
          <cell r="G8" t="str">
            <v>EE</v>
          </cell>
          <cell r="H8" t="str">
            <v>IE</v>
          </cell>
          <cell r="I8" t="str">
            <v>EL</v>
          </cell>
          <cell r="J8" t="str">
            <v>ES</v>
          </cell>
          <cell r="K8" t="str">
            <v>FR</v>
          </cell>
          <cell r="L8" t="str">
            <v>HR</v>
          </cell>
          <cell r="M8" t="str">
            <v>IT</v>
          </cell>
          <cell r="N8" t="str">
            <v>CY</v>
          </cell>
          <cell r="O8" t="str">
            <v>LV</v>
          </cell>
          <cell r="P8" t="str">
            <v>LT</v>
          </cell>
          <cell r="Q8" t="str">
            <v>LU</v>
          </cell>
          <cell r="R8" t="str">
            <v>HU</v>
          </cell>
          <cell r="S8" t="str">
            <v>MT</v>
          </cell>
          <cell r="T8" t="str">
            <v>NL</v>
          </cell>
          <cell r="U8" t="str">
            <v>AT</v>
          </cell>
          <cell r="V8" t="str">
            <v>PL</v>
          </cell>
          <cell r="W8" t="str">
            <v>PT</v>
          </cell>
          <cell r="X8" t="str">
            <v>RO</v>
          </cell>
          <cell r="Y8" t="str">
            <v>SI</v>
          </cell>
          <cell r="Z8" t="str">
            <v>SK</v>
          </cell>
          <cell r="AA8" t="str">
            <v>FI</v>
          </cell>
          <cell r="AB8" t="str">
            <v>SE</v>
          </cell>
          <cell r="AD8" t="str">
            <v>BE</v>
          </cell>
          <cell r="AE8" t="str">
            <v>BG</v>
          </cell>
          <cell r="AF8" t="str">
            <v>CZ</v>
          </cell>
          <cell r="AG8" t="str">
            <v>DK</v>
          </cell>
          <cell r="AH8" t="str">
            <v>DE</v>
          </cell>
          <cell r="AI8" t="str">
            <v>EE</v>
          </cell>
          <cell r="AJ8" t="str">
            <v>IE</v>
          </cell>
          <cell r="AK8" t="str">
            <v>EL</v>
          </cell>
          <cell r="AL8" t="str">
            <v>ES</v>
          </cell>
          <cell r="AM8" t="str">
            <v>FR</v>
          </cell>
          <cell r="AN8" t="str">
            <v>HR</v>
          </cell>
          <cell r="AO8" t="str">
            <v>IT</v>
          </cell>
          <cell r="AP8" t="str">
            <v>CY</v>
          </cell>
          <cell r="AQ8" t="str">
            <v>LV</v>
          </cell>
          <cell r="AR8" t="str">
            <v>LT</v>
          </cell>
          <cell r="AS8" t="str">
            <v>LU</v>
          </cell>
          <cell r="AT8" t="str">
            <v>HU</v>
          </cell>
          <cell r="AU8" t="str">
            <v>MT</v>
          </cell>
          <cell r="AV8" t="str">
            <v>NL</v>
          </cell>
          <cell r="AW8" t="str">
            <v>AT</v>
          </cell>
          <cell r="AX8" t="str">
            <v>PL</v>
          </cell>
          <cell r="AY8" t="str">
            <v>PT</v>
          </cell>
          <cell r="AZ8" t="str">
            <v>RO</v>
          </cell>
          <cell r="BA8" t="str">
            <v>SI</v>
          </cell>
          <cell r="BB8" t="str">
            <v>SK</v>
          </cell>
          <cell r="BC8" t="str">
            <v>FI</v>
          </cell>
          <cell r="BD8" t="str">
            <v>SE</v>
          </cell>
          <cell r="BE8" t="str">
            <v>EU-UK</v>
          </cell>
          <cell r="BF8" t="str">
            <v>BE</v>
          </cell>
          <cell r="BG8" t="str">
            <v>BG</v>
          </cell>
          <cell r="BH8" t="str">
            <v>CZ</v>
          </cell>
          <cell r="BI8" t="str">
            <v>DK</v>
          </cell>
          <cell r="BJ8" t="str">
            <v>DE</v>
          </cell>
          <cell r="BK8" t="str">
            <v>EE</v>
          </cell>
          <cell r="BL8" t="str">
            <v>IE</v>
          </cell>
          <cell r="BM8" t="str">
            <v>EL</v>
          </cell>
          <cell r="BN8" t="str">
            <v>ES</v>
          </cell>
          <cell r="BO8" t="str">
            <v>FR</v>
          </cell>
          <cell r="BP8" t="str">
            <v>HR</v>
          </cell>
          <cell r="BQ8" t="str">
            <v>IT</v>
          </cell>
          <cell r="BR8" t="str">
            <v>CY</v>
          </cell>
          <cell r="BS8" t="str">
            <v>LV</v>
          </cell>
          <cell r="BT8" t="str">
            <v>LT</v>
          </cell>
          <cell r="BU8" t="str">
            <v>LU</v>
          </cell>
          <cell r="BV8" t="str">
            <v>HU</v>
          </cell>
          <cell r="BW8" t="str">
            <v>MT</v>
          </cell>
          <cell r="BX8" t="str">
            <v>NL</v>
          </cell>
          <cell r="BY8" t="str">
            <v>AT</v>
          </cell>
          <cell r="BZ8" t="str">
            <v>PL</v>
          </cell>
          <cell r="CA8" t="str">
            <v>PT</v>
          </cell>
          <cell r="CB8" t="str">
            <v>RO</v>
          </cell>
          <cell r="CC8" t="str">
            <v>SI</v>
          </cell>
          <cell r="CD8" t="str">
            <v>SK</v>
          </cell>
          <cell r="CE8" t="str">
            <v>FI</v>
          </cell>
          <cell r="CF8" t="str">
            <v>SE</v>
          </cell>
          <cell r="CG8" t="str">
            <v>EU-UK</v>
          </cell>
        </row>
        <row r="9">
          <cell r="A9">
            <v>44927</v>
          </cell>
          <cell r="B9">
            <v>53.77</v>
          </cell>
          <cell r="C9">
            <v>51.160699999999999</v>
          </cell>
          <cell r="D9">
            <v>54.330599999999997</v>
          </cell>
          <cell r="E9">
            <v>60.364600000000003</v>
          </cell>
          <cell r="F9">
            <v>58.29</v>
          </cell>
          <cell r="G9">
            <v>52.22</v>
          </cell>
          <cell r="H9">
            <v>59.34</v>
          </cell>
          <cell r="I9">
            <v>57.75</v>
          </cell>
          <cell r="J9">
            <v>58.16</v>
          </cell>
          <cell r="K9">
            <v>49.8</v>
          </cell>
          <cell r="L9">
            <v>51.67</v>
          </cell>
          <cell r="M9">
            <v>57.17</v>
          </cell>
          <cell r="N9">
            <v>65.06</v>
          </cell>
          <cell r="O9">
            <v>42.89</v>
          </cell>
          <cell r="P9">
            <v>44.37</v>
          </cell>
          <cell r="Q9">
            <v>58.43</v>
          </cell>
          <cell r="R9">
            <v>56.493400000000001</v>
          </cell>
          <cell r="S9">
            <v>61.04</v>
          </cell>
          <cell r="T9">
            <v>60</v>
          </cell>
          <cell r="U9">
            <v>58.92</v>
          </cell>
          <cell r="V9">
            <v>51.594799999999999</v>
          </cell>
          <cell r="W9">
            <v>54.37</v>
          </cell>
          <cell r="X9">
            <v>58.2729</v>
          </cell>
          <cell r="Y9">
            <v>53.73</v>
          </cell>
          <cell r="Z9">
            <v>51.05</v>
          </cell>
          <cell r="AA9">
            <v>54.79</v>
          </cell>
          <cell r="AB9">
            <v>55.895800000000001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</row>
        <row r="10">
          <cell r="A10">
            <v>44958</v>
          </cell>
          <cell r="B10">
            <v>49.12</v>
          </cell>
          <cell r="C10">
            <v>49.4529</v>
          </cell>
          <cell r="D10">
            <v>52.875999999999998</v>
          </cell>
          <cell r="E10">
            <v>57.357500000000002</v>
          </cell>
          <cell r="F10">
            <v>54.08</v>
          </cell>
          <cell r="G10">
            <v>49.18</v>
          </cell>
          <cell r="H10">
            <v>54.38</v>
          </cell>
          <cell r="I10">
            <v>56.12</v>
          </cell>
          <cell r="J10">
            <v>58.54</v>
          </cell>
          <cell r="K10">
            <v>49.95</v>
          </cell>
          <cell r="L10">
            <v>51.47</v>
          </cell>
          <cell r="M10">
            <v>57.4</v>
          </cell>
          <cell r="N10">
            <v>65.36</v>
          </cell>
          <cell r="O10">
            <v>34.01</v>
          </cell>
          <cell r="P10">
            <v>36.840000000000003</v>
          </cell>
          <cell r="Q10">
            <v>55.72</v>
          </cell>
          <cell r="R10">
            <v>56.3232</v>
          </cell>
          <cell r="S10">
            <v>60.55</v>
          </cell>
          <cell r="T10">
            <v>56</v>
          </cell>
          <cell r="U10">
            <v>57.46</v>
          </cell>
          <cell r="V10">
            <v>48.064599999999999</v>
          </cell>
          <cell r="W10">
            <v>54.13</v>
          </cell>
          <cell r="X10">
            <v>56.849600000000002</v>
          </cell>
          <cell r="Y10">
            <v>51.49</v>
          </cell>
          <cell r="Z10">
            <v>49.7</v>
          </cell>
          <cell r="AA10">
            <v>55.07</v>
          </cell>
          <cell r="AB10">
            <v>54.012500000000003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</row>
        <row r="11">
          <cell r="A11">
            <v>44986</v>
          </cell>
          <cell r="B11">
            <v>45.67</v>
          </cell>
          <cell r="C11">
            <v>47.566200000000002</v>
          </cell>
          <cell r="D11">
            <v>49.887099999999997</v>
          </cell>
          <cell r="E11">
            <v>53.3217</v>
          </cell>
          <cell r="F11">
            <v>49.74</v>
          </cell>
          <cell r="G11">
            <v>47.73</v>
          </cell>
          <cell r="H11">
            <v>45.84</v>
          </cell>
          <cell r="I11">
            <v>54.25</v>
          </cell>
          <cell r="J11">
            <v>57.77</v>
          </cell>
          <cell r="K11">
            <v>48.51</v>
          </cell>
          <cell r="L11">
            <v>51.11</v>
          </cell>
          <cell r="M11">
            <v>54.86</v>
          </cell>
          <cell r="N11">
            <v>64.69</v>
          </cell>
          <cell r="O11">
            <v>34.369999999999997</v>
          </cell>
          <cell r="P11">
            <v>38.17</v>
          </cell>
          <cell r="Q11">
            <v>52.59</v>
          </cell>
          <cell r="R11">
            <v>53.059199999999997</v>
          </cell>
          <cell r="S11">
            <v>61.27</v>
          </cell>
          <cell r="T11">
            <v>50.5</v>
          </cell>
          <cell r="U11">
            <v>55.62</v>
          </cell>
          <cell r="V11">
            <v>47.659799999999997</v>
          </cell>
          <cell r="W11">
            <v>53.92</v>
          </cell>
          <cell r="X11">
            <v>53.558399999999999</v>
          </cell>
          <cell r="Y11">
            <v>48.78</v>
          </cell>
          <cell r="Z11">
            <v>48.47</v>
          </cell>
          <cell r="AA11">
            <v>55.22</v>
          </cell>
          <cell r="AB11">
            <v>51.055500000000002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</row>
        <row r="12">
          <cell r="A12">
            <v>45017</v>
          </cell>
          <cell r="B12">
            <v>43.61</v>
          </cell>
          <cell r="C12">
            <v>43.629199999999997</v>
          </cell>
          <cell r="D12">
            <v>48.451099999999997</v>
          </cell>
          <cell r="E12">
            <v>47.239199999999997</v>
          </cell>
          <cell r="F12">
            <v>46.61</v>
          </cell>
          <cell r="G12">
            <v>45.21</v>
          </cell>
          <cell r="H12">
            <v>41.66</v>
          </cell>
          <cell r="I12">
            <v>52.38</v>
          </cell>
          <cell r="J12">
            <v>54.37</v>
          </cell>
          <cell r="K12">
            <v>46.93</v>
          </cell>
          <cell r="L12">
            <v>50.68</v>
          </cell>
          <cell r="M12">
            <v>53.73</v>
          </cell>
          <cell r="N12">
            <v>64.260000000000005</v>
          </cell>
          <cell r="O12">
            <v>34.72</v>
          </cell>
          <cell r="P12">
            <v>37.92</v>
          </cell>
          <cell r="Q12">
            <v>48.97</v>
          </cell>
          <cell r="R12">
            <v>50.042499999999997</v>
          </cell>
          <cell r="S12">
            <v>61.76</v>
          </cell>
          <cell r="T12">
            <v>44.75</v>
          </cell>
          <cell r="U12">
            <v>54.48</v>
          </cell>
          <cell r="V12">
            <v>46.721200000000003</v>
          </cell>
          <cell r="W12">
            <v>53.56</v>
          </cell>
          <cell r="X12">
            <v>48.045099999999998</v>
          </cell>
          <cell r="Y12">
            <v>46.08</v>
          </cell>
          <cell r="Z12">
            <v>46.31</v>
          </cell>
          <cell r="AA12">
            <v>54.73</v>
          </cell>
          <cell r="AB12">
            <v>46.125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</row>
        <row r="13">
          <cell r="A13">
            <v>45047</v>
          </cell>
          <cell r="B13">
            <v>41.89</v>
          </cell>
          <cell r="C13">
            <v>42.279400000000003</v>
          </cell>
          <cell r="D13">
            <v>45.777200000000001</v>
          </cell>
          <cell r="E13">
            <v>43.764499999999998</v>
          </cell>
          <cell r="F13">
            <v>44.3</v>
          </cell>
          <cell r="G13">
            <v>42.61</v>
          </cell>
          <cell r="H13">
            <v>40.79</v>
          </cell>
          <cell r="I13">
            <v>50.53</v>
          </cell>
          <cell r="J13">
            <v>52.72</v>
          </cell>
          <cell r="K13">
            <v>45.37</v>
          </cell>
          <cell r="L13">
            <v>50.33</v>
          </cell>
          <cell r="M13">
            <v>51.6</v>
          </cell>
          <cell r="N13">
            <v>63.95</v>
          </cell>
          <cell r="O13">
            <v>34.39</v>
          </cell>
          <cell r="P13">
            <v>35.78</v>
          </cell>
          <cell r="Q13">
            <v>44.99</v>
          </cell>
          <cell r="R13">
            <v>46.2654</v>
          </cell>
          <cell r="S13">
            <v>62.2</v>
          </cell>
          <cell r="T13">
            <v>43.25</v>
          </cell>
          <cell r="U13">
            <v>51.97</v>
          </cell>
          <cell r="V13">
            <v>45.619300000000003</v>
          </cell>
          <cell r="W13">
            <v>49.35</v>
          </cell>
          <cell r="X13">
            <v>35.140300000000003</v>
          </cell>
          <cell r="Y13">
            <v>43.75</v>
          </cell>
          <cell r="Z13">
            <v>44.42</v>
          </cell>
          <cell r="AA13">
            <v>52.5</v>
          </cell>
          <cell r="AB13">
            <v>41.748899999999999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</row>
        <row r="14">
          <cell r="A14">
            <v>45078</v>
          </cell>
          <cell r="B14">
            <v>39.950000000000003</v>
          </cell>
          <cell r="C14">
            <v>40.965299999999999</v>
          </cell>
          <cell r="D14">
            <v>43.155900000000003</v>
          </cell>
          <cell r="E14">
            <v>41.748600000000003</v>
          </cell>
          <cell r="F14">
            <v>41.97</v>
          </cell>
          <cell r="G14">
            <v>40.96</v>
          </cell>
          <cell r="H14">
            <v>39.43</v>
          </cell>
          <cell r="I14">
            <v>49.85</v>
          </cell>
          <cell r="J14">
            <v>51.84</v>
          </cell>
          <cell r="K14">
            <v>45.63</v>
          </cell>
          <cell r="L14">
            <v>49.69</v>
          </cell>
          <cell r="M14">
            <v>51.6</v>
          </cell>
          <cell r="N14">
            <v>63.59</v>
          </cell>
          <cell r="O14">
            <v>33.89</v>
          </cell>
          <cell r="P14">
            <v>34.44</v>
          </cell>
          <cell r="Q14">
            <v>42.71</v>
          </cell>
          <cell r="R14">
            <v>43.702800000000003</v>
          </cell>
          <cell r="S14">
            <v>56.18</v>
          </cell>
          <cell r="T14">
            <v>43.25</v>
          </cell>
          <cell r="U14">
            <v>50.67</v>
          </cell>
          <cell r="V14">
            <v>43.123699999999999</v>
          </cell>
          <cell r="W14">
            <v>48.22</v>
          </cell>
          <cell r="X14">
            <v>42.179499999999997</v>
          </cell>
          <cell r="Y14">
            <v>42.53</v>
          </cell>
          <cell r="Z14">
            <v>42.51</v>
          </cell>
          <cell r="AA14">
            <v>51.56</v>
          </cell>
          <cell r="AB14">
            <v>36.6325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</row>
        <row r="15">
          <cell r="A15">
            <v>45108</v>
          </cell>
          <cell r="B15">
            <v>38.99</v>
          </cell>
          <cell r="C15">
            <v>41.420400000000001</v>
          </cell>
          <cell r="D15">
            <v>41.025399999999998</v>
          </cell>
          <cell r="E15">
            <v>41.608499999999999</v>
          </cell>
          <cell r="F15">
            <v>40.97</v>
          </cell>
          <cell r="G15">
            <v>40.43</v>
          </cell>
          <cell r="H15">
            <v>38.75</v>
          </cell>
          <cell r="I15">
            <v>49.98</v>
          </cell>
          <cell r="J15">
            <v>51.46</v>
          </cell>
          <cell r="K15">
            <v>45.9</v>
          </cell>
          <cell r="L15">
            <v>49.27</v>
          </cell>
          <cell r="M15">
            <v>51.05</v>
          </cell>
          <cell r="N15">
            <v>63.56</v>
          </cell>
          <cell r="O15">
            <v>34.08</v>
          </cell>
          <cell r="P15">
            <v>34.1</v>
          </cell>
          <cell r="Q15">
            <v>41.36</v>
          </cell>
          <cell r="R15">
            <v>40.438899999999997</v>
          </cell>
          <cell r="S15">
            <v>56.41</v>
          </cell>
          <cell r="T15">
            <v>43.25</v>
          </cell>
          <cell r="U15">
            <v>48.73</v>
          </cell>
          <cell r="V15">
            <v>42.159199999999998</v>
          </cell>
          <cell r="W15">
            <v>45.96</v>
          </cell>
          <cell r="X15">
            <v>44.4268</v>
          </cell>
          <cell r="Y15">
            <v>42.12</v>
          </cell>
          <cell r="Z15">
            <v>41.17</v>
          </cell>
          <cell r="AA15">
            <v>51.15</v>
          </cell>
          <cell r="AB15">
            <v>36.651200000000003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</row>
        <row r="16">
          <cell r="A16">
            <v>45139</v>
          </cell>
          <cell r="B16">
            <v>38.700000000000003</v>
          </cell>
          <cell r="C16">
            <v>41.456200000000003</v>
          </cell>
          <cell r="D16">
            <v>40.0398</v>
          </cell>
          <cell r="E16">
            <v>41.598999999999997</v>
          </cell>
          <cell r="F16">
            <v>40.98</v>
          </cell>
          <cell r="G16">
            <v>39.729999999999997</v>
          </cell>
          <cell r="H16">
            <v>38.32</v>
          </cell>
          <cell r="I16">
            <v>51.48</v>
          </cell>
          <cell r="J16">
            <v>50.29</v>
          </cell>
          <cell r="K16">
            <v>46.49</v>
          </cell>
          <cell r="L16">
            <v>48.68</v>
          </cell>
          <cell r="M16">
            <v>49.46</v>
          </cell>
          <cell r="N16">
            <v>63.54</v>
          </cell>
          <cell r="O16">
            <v>36</v>
          </cell>
          <cell r="P16">
            <v>33.869999999999997</v>
          </cell>
          <cell r="Q16">
            <v>41.37</v>
          </cell>
          <cell r="R16">
            <v>39.316299999999998</v>
          </cell>
          <cell r="S16">
            <v>56.08</v>
          </cell>
          <cell r="T16">
            <v>43.25</v>
          </cell>
          <cell r="U16">
            <v>48.59</v>
          </cell>
          <cell r="V16">
            <v>41.722000000000001</v>
          </cell>
          <cell r="W16">
            <v>45.95</v>
          </cell>
          <cell r="X16">
            <v>44.984499999999997</v>
          </cell>
          <cell r="Y16">
            <v>42.73</v>
          </cell>
          <cell r="Z16">
            <v>40.840000000000003</v>
          </cell>
          <cell r="AA16">
            <v>51.31</v>
          </cell>
          <cell r="AB16">
            <v>36.411099999999998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</row>
        <row r="17">
          <cell r="A17">
            <v>45170</v>
          </cell>
          <cell r="B17">
            <v>38.04</v>
          </cell>
          <cell r="C17">
            <v>41.762999999999998</v>
          </cell>
          <cell r="D17">
            <v>39.915500000000002</v>
          </cell>
          <cell r="E17">
            <v>41.575299999999999</v>
          </cell>
          <cell r="F17">
            <v>41.35</v>
          </cell>
          <cell r="G17">
            <v>40.35</v>
          </cell>
          <cell r="H17">
            <v>40.01</v>
          </cell>
          <cell r="I17">
            <v>51.02</v>
          </cell>
          <cell r="J17">
            <v>50</v>
          </cell>
          <cell r="K17">
            <v>46.83</v>
          </cell>
          <cell r="L17">
            <v>48.42</v>
          </cell>
          <cell r="M17">
            <v>48.68</v>
          </cell>
          <cell r="N17">
            <v>63.89</v>
          </cell>
          <cell r="O17">
            <v>34.17</v>
          </cell>
          <cell r="P17">
            <v>35.159999999999997</v>
          </cell>
          <cell r="Q17">
            <v>41.22</v>
          </cell>
          <cell r="R17">
            <v>39.801200000000001</v>
          </cell>
          <cell r="S17">
            <v>57.25</v>
          </cell>
          <cell r="T17">
            <v>41.45</v>
          </cell>
          <cell r="U17">
            <v>47.44</v>
          </cell>
          <cell r="V17">
            <v>41.090200000000003</v>
          </cell>
          <cell r="W17">
            <v>46.39</v>
          </cell>
          <cell r="X17">
            <v>41.681600000000003</v>
          </cell>
          <cell r="Y17">
            <v>42.76</v>
          </cell>
          <cell r="Z17">
            <v>40.869999999999997</v>
          </cell>
          <cell r="AA17">
            <v>49.5</v>
          </cell>
          <cell r="AB17">
            <v>36.5274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</row>
        <row r="18">
          <cell r="A18">
            <v>45200</v>
          </cell>
          <cell r="B18">
            <v>38.659999999999997</v>
          </cell>
          <cell r="C18">
            <v>42.141300000000001</v>
          </cell>
          <cell r="D18">
            <v>40.707999999999998</v>
          </cell>
          <cell r="E18">
            <v>41.688699999999997</v>
          </cell>
          <cell r="F18">
            <v>42.99</v>
          </cell>
          <cell r="G18">
            <v>41.14</v>
          </cell>
          <cell r="H18">
            <v>42.34</v>
          </cell>
          <cell r="I18">
            <v>51.83</v>
          </cell>
          <cell r="J18">
            <v>50.19</v>
          </cell>
          <cell r="K18">
            <v>47.45</v>
          </cell>
          <cell r="L18">
            <v>48.77</v>
          </cell>
          <cell r="M18">
            <v>48.33</v>
          </cell>
          <cell r="N18">
            <v>63.81</v>
          </cell>
          <cell r="O18">
            <v>35.25</v>
          </cell>
          <cell r="P18">
            <v>38.93</v>
          </cell>
          <cell r="Q18">
            <v>41.88</v>
          </cell>
          <cell r="R18">
            <v>40.641399999999997</v>
          </cell>
          <cell r="S18">
            <v>56.61</v>
          </cell>
          <cell r="T18">
            <v>41</v>
          </cell>
          <cell r="U18">
            <v>47.88</v>
          </cell>
          <cell r="V18">
            <v>43.7378</v>
          </cell>
          <cell r="W18">
            <v>44.64</v>
          </cell>
          <cell r="X18">
            <v>44.180799999999998</v>
          </cell>
          <cell r="Y18">
            <v>43.55</v>
          </cell>
          <cell r="Z18">
            <v>41.74</v>
          </cell>
          <cell r="AA18">
            <v>50.66</v>
          </cell>
          <cell r="AB18">
            <v>38.932499999999997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</row>
        <row r="19">
          <cell r="A19">
            <v>45231</v>
          </cell>
          <cell r="B19">
            <v>40.57</v>
          </cell>
          <cell r="C19">
            <v>42.458300000000001</v>
          </cell>
          <cell r="D19">
            <v>41.989400000000003</v>
          </cell>
          <cell r="E19">
            <v>41.697099999999999</v>
          </cell>
          <cell r="F19">
            <v>44.47</v>
          </cell>
          <cell r="G19">
            <v>42.06</v>
          </cell>
          <cell r="H19">
            <v>43.41</v>
          </cell>
          <cell r="I19">
            <v>52.36</v>
          </cell>
          <cell r="J19">
            <v>50.68</v>
          </cell>
          <cell r="K19">
            <v>47.38</v>
          </cell>
          <cell r="L19">
            <v>48.78</v>
          </cell>
          <cell r="M19">
            <v>48.55</v>
          </cell>
          <cell r="N19">
            <v>64.16</v>
          </cell>
          <cell r="O19">
            <v>36.81</v>
          </cell>
          <cell r="P19">
            <v>41.96</v>
          </cell>
          <cell r="Q19">
            <v>42.71</v>
          </cell>
          <cell r="R19">
            <v>42.084200000000003</v>
          </cell>
          <cell r="S19">
            <v>56.4</v>
          </cell>
          <cell r="T19">
            <v>42.25</v>
          </cell>
          <cell r="U19">
            <v>48.32</v>
          </cell>
          <cell r="V19">
            <v>47.744900000000001</v>
          </cell>
          <cell r="W19">
            <v>44.7</v>
          </cell>
          <cell r="X19">
            <v>44.768000000000001</v>
          </cell>
          <cell r="Y19">
            <v>44.73</v>
          </cell>
          <cell r="Z19">
            <v>43.18</v>
          </cell>
          <cell r="AA19">
            <v>51.53</v>
          </cell>
          <cell r="AB19">
            <v>39.594299999999997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</row>
        <row r="20">
          <cell r="A20">
            <v>45261</v>
          </cell>
          <cell r="B20">
            <v>43.28</v>
          </cell>
          <cell r="C20">
            <v>44.094499999999996</v>
          </cell>
          <cell r="D20">
            <v>43.311</v>
          </cell>
          <cell r="E20">
            <v>42.653100000000002</v>
          </cell>
          <cell r="F20">
            <v>45.45</v>
          </cell>
          <cell r="G20">
            <v>42.69</v>
          </cell>
          <cell r="H20">
            <v>44.19</v>
          </cell>
          <cell r="I20">
            <v>52.59</v>
          </cell>
          <cell r="J20">
            <v>50.58</v>
          </cell>
          <cell r="K20">
            <v>47.34</v>
          </cell>
          <cell r="L20">
            <v>49.26</v>
          </cell>
          <cell r="M20">
            <v>49.78</v>
          </cell>
          <cell r="N20">
            <v>64.900000000000006</v>
          </cell>
          <cell r="O20">
            <v>38.35</v>
          </cell>
          <cell r="P20">
            <v>43.67</v>
          </cell>
          <cell r="Q20">
            <v>42.73</v>
          </cell>
          <cell r="R20">
            <v>42.433799999999998</v>
          </cell>
          <cell r="S20">
            <v>55.74</v>
          </cell>
          <cell r="T20">
            <v>46.31</v>
          </cell>
          <cell r="U20">
            <v>49.42</v>
          </cell>
          <cell r="V20">
            <v>49.441400000000002</v>
          </cell>
          <cell r="W20">
            <v>44.56</v>
          </cell>
          <cell r="X20">
            <v>44.861800000000002</v>
          </cell>
          <cell r="Y20">
            <v>45.84</v>
          </cell>
          <cell r="Z20">
            <v>44.09</v>
          </cell>
          <cell r="AA20">
            <v>50.79</v>
          </cell>
          <cell r="AB20">
            <v>41.5122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</row>
        <row r="21">
          <cell r="A21">
            <v>45292</v>
          </cell>
          <cell r="B21">
            <v>43.63</v>
          </cell>
          <cell r="C21">
            <v>44.774500000000003</v>
          </cell>
          <cell r="D21">
            <v>43.337200000000003</v>
          </cell>
          <cell r="E21">
            <v>45.193100000000001</v>
          </cell>
          <cell r="F21">
            <v>45.89</v>
          </cell>
          <cell r="G21">
            <v>42.66</v>
          </cell>
          <cell r="H21">
            <v>43.41</v>
          </cell>
          <cell r="I21">
            <v>52.67</v>
          </cell>
          <cell r="J21">
            <v>50.19</v>
          </cell>
          <cell r="K21">
            <v>47.04</v>
          </cell>
          <cell r="L21">
            <v>48.82</v>
          </cell>
          <cell r="M21">
            <v>48.58</v>
          </cell>
          <cell r="N21">
            <v>64.91</v>
          </cell>
          <cell r="O21">
            <v>39.32</v>
          </cell>
          <cell r="P21">
            <v>43.94</v>
          </cell>
          <cell r="Q21">
            <v>43.59</v>
          </cell>
          <cell r="R21">
            <v>43.113399999999999</v>
          </cell>
          <cell r="S21">
            <v>56.32</v>
          </cell>
          <cell r="T21">
            <v>46.31</v>
          </cell>
          <cell r="U21">
            <v>48.52</v>
          </cell>
          <cell r="V21">
            <v>47.642499999999998</v>
          </cell>
          <cell r="W21">
            <v>44.27</v>
          </cell>
          <cell r="X21">
            <v>45.829000000000001</v>
          </cell>
          <cell r="Y21">
            <v>45.22</v>
          </cell>
          <cell r="Z21">
            <v>44</v>
          </cell>
          <cell r="AA21">
            <v>49.78</v>
          </cell>
          <cell r="AB21">
            <v>44.254199999999997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</row>
        <row r="22">
          <cell r="A22">
            <v>45323</v>
          </cell>
          <cell r="B22">
            <v>43.4</v>
          </cell>
          <cell r="C22">
            <v>44.661999999999999</v>
          </cell>
          <cell r="D22">
            <v>42.499099999999999</v>
          </cell>
          <cell r="E22">
            <v>45.205800000000004</v>
          </cell>
          <cell r="F22">
            <v>45.66</v>
          </cell>
          <cell r="G22">
            <v>42.66</v>
          </cell>
          <cell r="H22">
            <v>44.67</v>
          </cell>
          <cell r="I22">
            <v>52.62</v>
          </cell>
          <cell r="J22">
            <v>49.9</v>
          </cell>
          <cell r="K22">
            <v>46.84</v>
          </cell>
          <cell r="L22">
            <v>48.39</v>
          </cell>
          <cell r="M22">
            <v>49.55</v>
          </cell>
          <cell r="N22">
            <v>65.02</v>
          </cell>
          <cell r="O22">
            <v>39.369999999999997</v>
          </cell>
          <cell r="P22">
            <v>42.22</v>
          </cell>
          <cell r="Q22">
            <v>43.61</v>
          </cell>
          <cell r="R22">
            <v>42.395699999999998</v>
          </cell>
          <cell r="S22">
            <v>55.77</v>
          </cell>
          <cell r="T22">
            <v>46</v>
          </cell>
          <cell r="U22">
            <v>48.45</v>
          </cell>
          <cell r="V22">
            <v>47.6539</v>
          </cell>
          <cell r="W22">
            <v>43.8</v>
          </cell>
          <cell r="X22">
            <v>45.871299999999998</v>
          </cell>
          <cell r="Y22">
            <v>44.78</v>
          </cell>
          <cell r="Z22">
            <v>44.11</v>
          </cell>
          <cell r="AA22">
            <v>47.57</v>
          </cell>
          <cell r="AB22">
            <v>43.823300000000003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</row>
        <row r="23">
          <cell r="A23">
            <v>45352</v>
          </cell>
          <cell r="B23">
            <v>43.85</v>
          </cell>
          <cell r="C23">
            <v>44.140500000000003</v>
          </cell>
          <cell r="D23">
            <v>42.4634</v>
          </cell>
          <cell r="E23">
            <v>46.134599999999999</v>
          </cell>
          <cell r="F23">
            <v>45.99</v>
          </cell>
          <cell r="G23">
            <v>42.87</v>
          </cell>
          <cell r="H23">
            <v>43.12</v>
          </cell>
          <cell r="I23">
            <v>52.47</v>
          </cell>
          <cell r="J23">
            <v>49.61</v>
          </cell>
          <cell r="K23">
            <v>46.57</v>
          </cell>
          <cell r="L23">
            <v>48.16</v>
          </cell>
          <cell r="M23">
            <v>49.71</v>
          </cell>
          <cell r="N23">
            <v>64.61</v>
          </cell>
          <cell r="O23">
            <v>39.5</v>
          </cell>
          <cell r="P23">
            <v>42.34</v>
          </cell>
          <cell r="Q23">
            <v>44.67</v>
          </cell>
          <cell r="R23">
            <v>42.056800000000003</v>
          </cell>
          <cell r="S23">
            <v>55.75</v>
          </cell>
          <cell r="T23">
            <v>46.5</v>
          </cell>
          <cell r="U23">
            <v>48.93</v>
          </cell>
          <cell r="V23">
            <v>47.828699999999998</v>
          </cell>
          <cell r="W23">
            <v>43.83</v>
          </cell>
          <cell r="X23">
            <v>45.665700000000001</v>
          </cell>
          <cell r="Y23">
            <v>44.35</v>
          </cell>
          <cell r="Z23">
            <v>42.82</v>
          </cell>
          <cell r="AA23">
            <v>47.3</v>
          </cell>
          <cell r="AB23">
            <v>44.5852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</row>
        <row r="24">
          <cell r="A24">
            <v>45383</v>
          </cell>
          <cell r="B24">
            <v>43.79</v>
          </cell>
          <cell r="C24">
            <v>43.542299999999997</v>
          </cell>
          <cell r="D24">
            <v>42.838000000000001</v>
          </cell>
          <cell r="E24">
            <v>46.115299999999998</v>
          </cell>
          <cell r="F24">
            <v>45.88</v>
          </cell>
          <cell r="G24">
            <v>42.24</v>
          </cell>
          <cell r="H24">
            <v>42.54</v>
          </cell>
          <cell r="I24">
            <v>52.25</v>
          </cell>
          <cell r="J24">
            <v>47.38</v>
          </cell>
          <cell r="K24">
            <v>46.04</v>
          </cell>
          <cell r="L24">
            <v>47.83</v>
          </cell>
          <cell r="M24">
            <v>49.55</v>
          </cell>
          <cell r="N24">
            <v>63.76</v>
          </cell>
          <cell r="O24">
            <v>39.270000000000003</v>
          </cell>
          <cell r="P24">
            <v>40.229999999999997</v>
          </cell>
          <cell r="Q24">
            <v>44.79</v>
          </cell>
          <cell r="R24">
            <v>42.320300000000003</v>
          </cell>
          <cell r="S24">
            <v>56.1</v>
          </cell>
          <cell r="T24">
            <v>46.75</v>
          </cell>
          <cell r="U24">
            <v>49.4</v>
          </cell>
          <cell r="V24">
            <v>47.581499999999998</v>
          </cell>
          <cell r="W24">
            <v>43.6</v>
          </cell>
          <cell r="X24">
            <v>42.107599999999998</v>
          </cell>
          <cell r="Y24">
            <v>44.48</v>
          </cell>
          <cell r="Z24">
            <v>42.07</v>
          </cell>
          <cell r="AA24">
            <v>47.07</v>
          </cell>
          <cell r="AB24">
            <v>43.666200000000003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</row>
        <row r="25">
          <cell r="A25">
            <v>45413</v>
          </cell>
          <cell r="B25">
            <v>43.34</v>
          </cell>
          <cell r="C25">
            <v>43.1128</v>
          </cell>
          <cell r="D25">
            <v>43.628500000000003</v>
          </cell>
          <cell r="E25">
            <v>46.646099999999997</v>
          </cell>
          <cell r="F25">
            <v>45.7</v>
          </cell>
          <cell r="G25">
            <v>42.01</v>
          </cell>
          <cell r="H25">
            <v>43.31</v>
          </cell>
          <cell r="I25">
            <v>52.38</v>
          </cell>
          <cell r="J25">
            <v>46.99</v>
          </cell>
          <cell r="K25">
            <v>45.76</v>
          </cell>
          <cell r="L25">
            <v>47.6</v>
          </cell>
          <cell r="M25">
            <v>50</v>
          </cell>
          <cell r="N25">
            <v>63.74</v>
          </cell>
          <cell r="O25">
            <v>39.1</v>
          </cell>
          <cell r="P25">
            <v>38.39</v>
          </cell>
          <cell r="Q25">
            <v>44.94</v>
          </cell>
          <cell r="R25">
            <v>42.5214</v>
          </cell>
          <cell r="S25">
            <v>56.11</v>
          </cell>
          <cell r="T25">
            <v>47.25</v>
          </cell>
          <cell r="U25">
            <v>48.95</v>
          </cell>
          <cell r="V25">
            <v>46.284500000000001</v>
          </cell>
          <cell r="W25">
            <v>43.44</v>
          </cell>
          <cell r="X25">
            <v>41.805999999999997</v>
          </cell>
          <cell r="Y25">
            <v>43.7</v>
          </cell>
          <cell r="Z25">
            <v>41.82</v>
          </cell>
          <cell r="AA25">
            <v>46.39</v>
          </cell>
          <cell r="AB25">
            <v>43.039499999999997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</row>
        <row r="26">
          <cell r="A26">
            <v>45444</v>
          </cell>
          <cell r="B26">
            <v>46.68</v>
          </cell>
          <cell r="C26">
            <v>42.959400000000002</v>
          </cell>
          <cell r="D26">
            <v>43.903100000000002</v>
          </cell>
          <cell r="E26">
            <v>47.055799999999998</v>
          </cell>
          <cell r="F26">
            <v>45.85</v>
          </cell>
          <cell r="G26">
            <v>41.42</v>
          </cell>
          <cell r="H26">
            <v>44.48</v>
          </cell>
          <cell r="I26">
            <v>52.11</v>
          </cell>
          <cell r="J26">
            <v>46.41</v>
          </cell>
          <cell r="K26">
            <v>45.94</v>
          </cell>
          <cell r="L26">
            <v>47.07</v>
          </cell>
          <cell r="M26">
            <v>49.7</v>
          </cell>
          <cell r="N26">
            <v>63.62</v>
          </cell>
          <cell r="O26">
            <v>38.880000000000003</v>
          </cell>
          <cell r="P26">
            <v>37.26</v>
          </cell>
          <cell r="Q26">
            <v>45.42</v>
          </cell>
          <cell r="R26">
            <v>41.611600000000003</v>
          </cell>
          <cell r="S26">
            <v>61.94</v>
          </cell>
          <cell r="T26">
            <v>47.75</v>
          </cell>
          <cell r="U26">
            <v>49.2</v>
          </cell>
          <cell r="V26">
            <v>45.518500000000003</v>
          </cell>
          <cell r="W26">
            <v>43.26</v>
          </cell>
          <cell r="X26">
            <v>41.231299999999997</v>
          </cell>
          <cell r="Y26">
            <v>43.7</v>
          </cell>
          <cell r="Z26">
            <v>41.58</v>
          </cell>
          <cell r="AA26">
            <v>45.24</v>
          </cell>
          <cell r="AB26">
            <v>43.72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</row>
        <row r="27">
          <cell r="A27">
            <v>45474</v>
          </cell>
          <cell r="B27">
            <v>43.86</v>
          </cell>
          <cell r="C27">
            <v>43.225299999999997</v>
          </cell>
          <cell r="D27">
            <v>43.206600000000002</v>
          </cell>
          <cell r="E27">
            <v>47.985399999999998</v>
          </cell>
          <cell r="F27">
            <v>46.37</v>
          </cell>
          <cell r="G27">
            <v>41.26</v>
          </cell>
          <cell r="H27">
            <v>47.49</v>
          </cell>
          <cell r="I27">
            <v>52.8</v>
          </cell>
          <cell r="J27">
            <v>45.92</v>
          </cell>
          <cell r="K27">
            <v>46.54</v>
          </cell>
          <cell r="L27">
            <v>46.56</v>
          </cell>
          <cell r="M27">
            <v>50.28</v>
          </cell>
          <cell r="N27">
            <v>63.15</v>
          </cell>
          <cell r="O27">
            <v>38.64</v>
          </cell>
          <cell r="P27">
            <v>37.01</v>
          </cell>
          <cell r="Q27">
            <v>45.39</v>
          </cell>
          <cell r="R27">
            <v>41.809399999999997</v>
          </cell>
          <cell r="S27">
            <v>61.81</v>
          </cell>
          <cell r="T27">
            <v>48</v>
          </cell>
          <cell r="U27">
            <v>48.99</v>
          </cell>
          <cell r="V27">
            <v>45.838900000000002</v>
          </cell>
          <cell r="W27">
            <v>43.14</v>
          </cell>
          <cell r="X27">
            <v>41.363399999999999</v>
          </cell>
          <cell r="Y27">
            <v>43.66</v>
          </cell>
          <cell r="Z27">
            <v>41.7</v>
          </cell>
          <cell r="AA27">
            <v>45.07</v>
          </cell>
          <cell r="AB27">
            <v>43.876399999999997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</row>
        <row r="28">
          <cell r="A28">
            <v>45505</v>
          </cell>
          <cell r="B28">
            <v>44.76</v>
          </cell>
          <cell r="C28">
            <v>43.654800000000002</v>
          </cell>
          <cell r="D28">
            <v>43.775799999999997</v>
          </cell>
          <cell r="E28">
            <v>48.784100000000002</v>
          </cell>
          <cell r="F28">
            <v>47.44</v>
          </cell>
          <cell r="G28">
            <v>41.42</v>
          </cell>
          <cell r="H28">
            <v>50.99</v>
          </cell>
          <cell r="I28">
            <v>53.11</v>
          </cell>
          <cell r="J28">
            <v>45.92</v>
          </cell>
          <cell r="K28">
            <v>46.38</v>
          </cell>
          <cell r="L28">
            <v>46.96</v>
          </cell>
          <cell r="M28">
            <v>52.04</v>
          </cell>
          <cell r="N28">
            <v>63.27</v>
          </cell>
          <cell r="O28">
            <v>38.56</v>
          </cell>
          <cell r="P28">
            <v>39.04</v>
          </cell>
          <cell r="Q28">
            <v>46.03</v>
          </cell>
          <cell r="R28">
            <v>42.242199999999997</v>
          </cell>
          <cell r="S28">
            <v>62.45</v>
          </cell>
          <cell r="T28">
            <v>49.25</v>
          </cell>
          <cell r="U28">
            <v>49.31</v>
          </cell>
          <cell r="V28">
            <v>47.414499999999997</v>
          </cell>
          <cell r="W28">
            <v>43.3</v>
          </cell>
          <cell r="X28">
            <v>44.970700000000001</v>
          </cell>
          <cell r="Y28">
            <v>43.58</v>
          </cell>
          <cell r="Z28">
            <v>41.87</v>
          </cell>
          <cell r="AA28">
            <v>45.62</v>
          </cell>
          <cell r="AB28">
            <v>44.868699999999997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</row>
        <row r="29">
          <cell r="A29">
            <v>45536</v>
          </cell>
          <cell r="B29">
            <v>47.79</v>
          </cell>
          <cell r="C29">
            <v>45.311399999999999</v>
          </cell>
          <cell r="D29">
            <v>44.946399999999997</v>
          </cell>
          <cell r="E29">
            <v>49.866100000000003</v>
          </cell>
          <cell r="F29">
            <v>49.54</v>
          </cell>
          <cell r="G29">
            <v>42.56</v>
          </cell>
          <cell r="H29">
            <v>57.98</v>
          </cell>
          <cell r="I29">
            <v>53.85</v>
          </cell>
          <cell r="J29">
            <v>46.6</v>
          </cell>
          <cell r="K29">
            <v>48.36</v>
          </cell>
          <cell r="L29">
            <v>47.67</v>
          </cell>
          <cell r="M29">
            <v>52.62</v>
          </cell>
          <cell r="N29">
            <v>63.79</v>
          </cell>
          <cell r="O29">
            <v>39.700000000000003</v>
          </cell>
          <cell r="P29">
            <v>42.95</v>
          </cell>
          <cell r="Q29">
            <v>47.88</v>
          </cell>
          <cell r="R29">
            <v>43.866399999999999</v>
          </cell>
          <cell r="S29">
            <v>62.29</v>
          </cell>
          <cell r="T29">
            <v>51</v>
          </cell>
          <cell r="U29">
            <v>50.86</v>
          </cell>
          <cell r="V29">
            <v>49.417000000000002</v>
          </cell>
          <cell r="W29">
            <v>44.13</v>
          </cell>
          <cell r="X29">
            <v>45.955500000000001</v>
          </cell>
          <cell r="Y29">
            <v>44.78</v>
          </cell>
          <cell r="Z29">
            <v>42.92</v>
          </cell>
          <cell r="AA29">
            <v>48.68</v>
          </cell>
          <cell r="AB29">
            <v>47.720799999999997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</row>
        <row r="30">
          <cell r="A30">
            <v>45566</v>
          </cell>
          <cell r="B30">
            <v>51.65</v>
          </cell>
          <cell r="C30">
            <v>46.783900000000003</v>
          </cell>
          <cell r="D30">
            <v>46.359400000000001</v>
          </cell>
          <cell r="E30">
            <v>51.747700000000002</v>
          </cell>
          <cell r="F30">
            <v>52.7</v>
          </cell>
          <cell r="G30">
            <v>44.71</v>
          </cell>
          <cell r="H30">
            <v>62.15</v>
          </cell>
          <cell r="I30">
            <v>55.17</v>
          </cell>
          <cell r="J30">
            <v>47.28</v>
          </cell>
          <cell r="K30">
            <v>48.81</v>
          </cell>
          <cell r="L30">
            <v>49.16</v>
          </cell>
          <cell r="M30">
            <v>52.85</v>
          </cell>
          <cell r="N30">
            <v>65.83</v>
          </cell>
          <cell r="O30">
            <v>42.5</v>
          </cell>
          <cell r="P30">
            <v>51.3</v>
          </cell>
          <cell r="Q30">
            <v>50.33</v>
          </cell>
          <cell r="R30">
            <v>45.499000000000002</v>
          </cell>
          <cell r="S30">
            <v>62.17</v>
          </cell>
          <cell r="T30">
            <v>53.5</v>
          </cell>
          <cell r="U30">
            <v>52.53</v>
          </cell>
          <cell r="V30">
            <v>51.656799999999997</v>
          </cell>
          <cell r="W30">
            <v>44.5</v>
          </cell>
          <cell r="X30">
            <v>49.278300000000002</v>
          </cell>
          <cell r="Y30">
            <v>46.78</v>
          </cell>
          <cell r="Z30">
            <v>44.44</v>
          </cell>
          <cell r="AA30">
            <v>51.54</v>
          </cell>
          <cell r="AB30">
            <v>51.995899999999999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</row>
        <row r="31">
          <cell r="A31">
            <v>45597</v>
          </cell>
          <cell r="B31">
            <v>53.66</v>
          </cell>
          <cell r="C31">
            <v>47.238999999999997</v>
          </cell>
          <cell r="D31">
            <v>49.023499999999999</v>
          </cell>
          <cell r="E31">
            <v>54.704300000000003</v>
          </cell>
          <cell r="F31">
            <v>54.68</v>
          </cell>
          <cell r="G31">
            <v>46.61</v>
          </cell>
          <cell r="H31">
            <v>63.42</v>
          </cell>
          <cell r="I31">
            <v>54.45</v>
          </cell>
          <cell r="J31">
            <v>47.77</v>
          </cell>
          <cell r="K31">
            <v>49.7</v>
          </cell>
          <cell r="L31">
            <v>49.56</v>
          </cell>
          <cell r="M31">
            <v>54.91</v>
          </cell>
          <cell r="N31">
            <v>66.02</v>
          </cell>
          <cell r="O31">
            <v>45.72</v>
          </cell>
          <cell r="P31">
            <v>56.66</v>
          </cell>
          <cell r="Q31">
            <v>52.06</v>
          </cell>
          <cell r="R31">
            <v>46.957599999999999</v>
          </cell>
          <cell r="S31">
            <v>61.33</v>
          </cell>
          <cell r="T31">
            <v>55.5</v>
          </cell>
          <cell r="U31">
            <v>56.26</v>
          </cell>
          <cell r="V31">
            <v>55.576900000000002</v>
          </cell>
          <cell r="W31">
            <v>45.64</v>
          </cell>
          <cell r="X31">
            <v>46.697899999999997</v>
          </cell>
          <cell r="Y31">
            <v>50.2</v>
          </cell>
          <cell r="Z31">
            <v>45.76</v>
          </cell>
          <cell r="AA31">
            <v>51.32</v>
          </cell>
          <cell r="AB31">
            <v>54.304499999999997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</row>
        <row r="32">
          <cell r="A32">
            <v>45627</v>
          </cell>
          <cell r="B32">
            <v>55.3</v>
          </cell>
          <cell r="C32">
            <v>48.358699999999999</v>
          </cell>
          <cell r="D32">
            <v>49.608800000000002</v>
          </cell>
          <cell r="E32">
            <v>55.772100000000002</v>
          </cell>
          <cell r="F32">
            <v>55.59</v>
          </cell>
          <cell r="G32">
            <v>48.02</v>
          </cell>
          <cell r="H32">
            <v>61.47</v>
          </cell>
          <cell r="I32">
            <v>54.37</v>
          </cell>
          <cell r="J32">
            <v>47.96</v>
          </cell>
          <cell r="K32">
            <v>49.87</v>
          </cell>
          <cell r="L32">
            <v>49.65</v>
          </cell>
          <cell r="M32">
            <v>56.06</v>
          </cell>
          <cell r="N32">
            <v>66.08</v>
          </cell>
          <cell r="O32">
            <v>48.26</v>
          </cell>
          <cell r="P32">
            <v>58.04</v>
          </cell>
          <cell r="Q32">
            <v>54.43</v>
          </cell>
          <cell r="R32">
            <v>48.770299999999999</v>
          </cell>
          <cell r="S32">
            <v>59.25</v>
          </cell>
          <cell r="T32">
            <v>57.35</v>
          </cell>
          <cell r="U32">
            <v>56.26</v>
          </cell>
          <cell r="V32">
            <v>61.673499999999997</v>
          </cell>
          <cell r="W32">
            <v>45.8</v>
          </cell>
          <cell r="X32">
            <v>50.624400000000001</v>
          </cell>
          <cell r="Y32">
            <v>50.2</v>
          </cell>
          <cell r="Z32">
            <v>46.78</v>
          </cell>
          <cell r="AA32">
            <v>50.8</v>
          </cell>
          <cell r="AB32">
            <v>55.458799999999997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1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1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</row>
        <row r="33">
          <cell r="A33">
            <v>45658</v>
          </cell>
          <cell r="B33">
            <v>54.63</v>
          </cell>
          <cell r="C33">
            <v>48.471200000000003</v>
          </cell>
          <cell r="D33">
            <v>49.999400000000001</v>
          </cell>
          <cell r="E33">
            <v>55.757399999999997</v>
          </cell>
          <cell r="F33">
            <v>54.65</v>
          </cell>
          <cell r="G33">
            <v>50.85</v>
          </cell>
          <cell r="H33">
            <v>58.66</v>
          </cell>
          <cell r="I33">
            <v>55</v>
          </cell>
          <cell r="J33">
            <v>48.06</v>
          </cell>
          <cell r="K33">
            <v>50.24</v>
          </cell>
          <cell r="L33">
            <v>49.75</v>
          </cell>
          <cell r="M33">
            <v>57.11</v>
          </cell>
          <cell r="N33">
            <v>66.819999999999993</v>
          </cell>
          <cell r="O33">
            <v>48.63</v>
          </cell>
          <cell r="P33">
            <v>54.89</v>
          </cell>
          <cell r="Q33">
            <v>54.65</v>
          </cell>
          <cell r="R33">
            <v>50.265999999999998</v>
          </cell>
          <cell r="S33">
            <v>60.94</v>
          </cell>
          <cell r="T33">
            <v>56</v>
          </cell>
          <cell r="U33">
            <v>55.34</v>
          </cell>
          <cell r="V33">
            <v>53.828299999999999</v>
          </cell>
          <cell r="W33">
            <v>45.84</v>
          </cell>
          <cell r="X33">
            <v>49.839300000000001</v>
          </cell>
          <cell r="Y33">
            <v>50.39</v>
          </cell>
          <cell r="Z33">
            <v>47.2</v>
          </cell>
          <cell r="AA33">
            <v>51.04</v>
          </cell>
          <cell r="AB33">
            <v>55.750700000000002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</row>
        <row r="34">
          <cell r="A34">
            <v>45689</v>
          </cell>
          <cell r="B34">
            <v>53.88</v>
          </cell>
          <cell r="C34">
            <v>48.174700000000001</v>
          </cell>
          <cell r="D34">
            <v>50.785899999999998</v>
          </cell>
          <cell r="E34">
            <v>55.770099999999999</v>
          </cell>
          <cell r="F34">
            <v>54.48</v>
          </cell>
          <cell r="G34">
            <v>52.45</v>
          </cell>
          <cell r="H34">
            <v>57.2</v>
          </cell>
          <cell r="I34">
            <v>54.99</v>
          </cell>
          <cell r="J34">
            <v>48.16</v>
          </cell>
          <cell r="K34">
            <v>51</v>
          </cell>
          <cell r="L34">
            <v>49.65</v>
          </cell>
          <cell r="M34">
            <v>57.11</v>
          </cell>
          <cell r="N34">
            <v>66.64</v>
          </cell>
          <cell r="O34">
            <v>49.02</v>
          </cell>
          <cell r="P34">
            <v>55.01</v>
          </cell>
          <cell r="Q34">
            <v>54.65</v>
          </cell>
          <cell r="R34">
            <v>51.733199999999997</v>
          </cell>
          <cell r="S34">
            <v>61.75</v>
          </cell>
          <cell r="T34">
            <v>55</v>
          </cell>
          <cell r="U34">
            <v>55.68</v>
          </cell>
          <cell r="V34">
            <v>54.647100000000002</v>
          </cell>
          <cell r="W34">
            <v>45.87</v>
          </cell>
          <cell r="X34">
            <v>48.482900000000001</v>
          </cell>
          <cell r="Y34">
            <v>49.6</v>
          </cell>
          <cell r="Z34">
            <v>47.83</v>
          </cell>
          <cell r="AA34">
            <v>50.79</v>
          </cell>
          <cell r="AB34">
            <v>57.791200000000003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</row>
        <row r="35">
          <cell r="A35">
            <v>45717</v>
          </cell>
          <cell r="B35">
            <v>53.03</v>
          </cell>
          <cell r="C35">
            <v>48.2258</v>
          </cell>
          <cell r="D35">
            <v>51.323099999999997</v>
          </cell>
          <cell r="E35">
            <v>55.900700000000001</v>
          </cell>
          <cell r="F35">
            <v>54.48</v>
          </cell>
          <cell r="G35">
            <v>51.88</v>
          </cell>
          <cell r="H35">
            <v>53.32</v>
          </cell>
          <cell r="I35">
            <v>55.28</v>
          </cell>
          <cell r="J35">
            <v>48.16</v>
          </cell>
          <cell r="K35">
            <v>49.74</v>
          </cell>
          <cell r="L35">
            <v>49.16</v>
          </cell>
          <cell r="M35">
            <v>57.63</v>
          </cell>
          <cell r="N35">
            <v>66.959999999999994</v>
          </cell>
          <cell r="O35">
            <v>48.7</v>
          </cell>
          <cell r="P35">
            <v>52.94</v>
          </cell>
          <cell r="Q35">
            <v>54.24</v>
          </cell>
          <cell r="R35">
            <v>50.959000000000003</v>
          </cell>
          <cell r="S35">
            <v>60.71</v>
          </cell>
          <cell r="T35">
            <v>53.75</v>
          </cell>
          <cell r="U35">
            <v>55.54</v>
          </cell>
          <cell r="V35">
            <v>54.765500000000003</v>
          </cell>
          <cell r="W35">
            <v>46.13</v>
          </cell>
          <cell r="X35">
            <v>47.255699999999997</v>
          </cell>
          <cell r="Y35">
            <v>49.16</v>
          </cell>
          <cell r="Z35">
            <v>48</v>
          </cell>
          <cell r="AA35">
            <v>51.46</v>
          </cell>
          <cell r="AB35">
            <v>57.989400000000003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</row>
        <row r="36">
          <cell r="A36">
            <v>45748</v>
          </cell>
          <cell r="B36">
            <v>53.15</v>
          </cell>
          <cell r="C36">
            <v>47.371899999999997</v>
          </cell>
          <cell r="D36">
            <v>51.8065</v>
          </cell>
          <cell r="E36">
            <v>55.728099999999998</v>
          </cell>
          <cell r="F36">
            <v>54.37</v>
          </cell>
          <cell r="G36">
            <v>51.89</v>
          </cell>
          <cell r="H36">
            <v>52.15</v>
          </cell>
          <cell r="I36">
            <v>54.61</v>
          </cell>
          <cell r="J36">
            <v>48.64</v>
          </cell>
          <cell r="K36">
            <v>49.19</v>
          </cell>
          <cell r="L36">
            <v>48.95</v>
          </cell>
          <cell r="M36">
            <v>57.58</v>
          </cell>
          <cell r="N36">
            <v>66.06</v>
          </cell>
          <cell r="O36">
            <v>48.57</v>
          </cell>
          <cell r="P36">
            <v>52.17</v>
          </cell>
          <cell r="Q36">
            <v>55.68</v>
          </cell>
          <cell r="R36">
            <v>50.0092</v>
          </cell>
          <cell r="S36">
            <v>60.81</v>
          </cell>
          <cell r="T36">
            <v>55.25</v>
          </cell>
          <cell r="U36">
            <v>55.32</v>
          </cell>
          <cell r="V36">
            <v>53.561100000000003</v>
          </cell>
          <cell r="W36">
            <v>46.44</v>
          </cell>
          <cell r="X36">
            <v>44.7209</v>
          </cell>
          <cell r="Y36">
            <v>48.97</v>
          </cell>
          <cell r="Z36">
            <v>48.29</v>
          </cell>
          <cell r="AA36">
            <v>51.49</v>
          </cell>
          <cell r="AB36">
            <v>57.5884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</row>
        <row r="37">
          <cell r="A37">
            <v>45778</v>
          </cell>
          <cell r="B37">
            <v>53.62</v>
          </cell>
          <cell r="C37">
            <v>46.727699999999999</v>
          </cell>
          <cell r="D37">
            <v>52.23</v>
          </cell>
          <cell r="E37">
            <v>55.898099999999999</v>
          </cell>
          <cell r="F37">
            <v>54.17</v>
          </cell>
          <cell r="G37">
            <v>51.4</v>
          </cell>
          <cell r="H37">
            <v>51.08</v>
          </cell>
          <cell r="I37">
            <v>54.22</v>
          </cell>
          <cell r="J37">
            <v>48.74</v>
          </cell>
          <cell r="K37">
            <v>49.17</v>
          </cell>
          <cell r="L37">
            <v>48.66</v>
          </cell>
          <cell r="M37">
            <v>57.58</v>
          </cell>
          <cell r="N37">
            <v>67.400000000000006</v>
          </cell>
          <cell r="O37">
            <v>48.32</v>
          </cell>
          <cell r="P37">
            <v>50.92</v>
          </cell>
          <cell r="Q37">
            <v>53.46</v>
          </cell>
          <cell r="R37">
            <v>49.729700000000001</v>
          </cell>
          <cell r="S37">
            <v>61.58</v>
          </cell>
          <cell r="T37">
            <v>56.5</v>
          </cell>
          <cell r="U37">
            <v>55.65</v>
          </cell>
          <cell r="V37">
            <v>53.476900000000001</v>
          </cell>
          <cell r="W37">
            <v>46.04</v>
          </cell>
          <cell r="X37">
            <v>43.9679</v>
          </cell>
          <cell r="Y37">
            <v>48.58</v>
          </cell>
          <cell r="Z37">
            <v>48.75</v>
          </cell>
          <cell r="AA37">
            <v>51.66</v>
          </cell>
          <cell r="AB37">
            <v>57.346800000000002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</row>
        <row r="38">
          <cell r="A38">
            <v>45809</v>
          </cell>
          <cell r="B38">
            <v>52.78</v>
          </cell>
          <cell r="C38">
            <v>46.921999999999997</v>
          </cell>
          <cell r="D38">
            <v>52.523600000000002</v>
          </cell>
          <cell r="E38">
            <v>55.900399999999998</v>
          </cell>
          <cell r="F38">
            <v>53.86</v>
          </cell>
          <cell r="G38">
            <v>50.75</v>
          </cell>
          <cell r="H38">
            <v>51.76</v>
          </cell>
          <cell r="I38">
            <v>55.64</v>
          </cell>
          <cell r="J38">
            <v>48.16</v>
          </cell>
          <cell r="K38">
            <v>48.9</v>
          </cell>
          <cell r="L38">
            <v>48.44</v>
          </cell>
          <cell r="M38">
            <v>58.13</v>
          </cell>
          <cell r="N38">
            <v>65.7</v>
          </cell>
          <cell r="O38">
            <v>47.86</v>
          </cell>
          <cell r="P38">
            <v>50.01</v>
          </cell>
          <cell r="Q38">
            <v>52.25</v>
          </cell>
          <cell r="R38">
            <v>49.567</v>
          </cell>
          <cell r="S38">
            <v>63.09</v>
          </cell>
          <cell r="T38">
            <v>56.75</v>
          </cell>
          <cell r="U38">
            <v>55.85</v>
          </cell>
          <cell r="V38">
            <v>53.122900000000001</v>
          </cell>
          <cell r="W38">
            <v>45.75</v>
          </cell>
          <cell r="X38">
            <v>41.066800000000001</v>
          </cell>
          <cell r="Y38">
            <v>48.85</v>
          </cell>
          <cell r="Z38">
            <v>48.94</v>
          </cell>
          <cell r="AA38">
            <v>52.4</v>
          </cell>
          <cell r="AB38">
            <v>55.2254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</row>
        <row r="39">
          <cell r="A39">
            <v>45839</v>
          </cell>
          <cell r="B39">
            <v>51.58</v>
          </cell>
          <cell r="C39">
            <v>47.515099999999997</v>
          </cell>
          <cell r="D39">
            <v>53.210999999999999</v>
          </cell>
          <cell r="E39">
            <v>56.013300000000001</v>
          </cell>
          <cell r="F39">
            <v>53.77</v>
          </cell>
          <cell r="G39">
            <v>50.08</v>
          </cell>
          <cell r="H39">
            <v>51.86</v>
          </cell>
          <cell r="I39">
            <v>55.73</v>
          </cell>
          <cell r="J39">
            <v>48.74</v>
          </cell>
          <cell r="K39">
            <v>49.18</v>
          </cell>
          <cell r="L39">
            <v>48.07</v>
          </cell>
          <cell r="M39">
            <v>58.27</v>
          </cell>
          <cell r="N39">
            <v>64.8</v>
          </cell>
          <cell r="O39">
            <v>47.53</v>
          </cell>
          <cell r="P39">
            <v>48.89</v>
          </cell>
          <cell r="Q39">
            <v>52.02</v>
          </cell>
          <cell r="R39">
            <v>49.708599999999997</v>
          </cell>
          <cell r="S39">
            <v>63.39</v>
          </cell>
          <cell r="T39">
            <v>56.75</v>
          </cell>
          <cell r="U39">
            <v>56.41</v>
          </cell>
          <cell r="V39">
            <v>52.783799999999999</v>
          </cell>
          <cell r="W39">
            <v>45.68</v>
          </cell>
          <cell r="X39">
            <v>40.933700000000002</v>
          </cell>
          <cell r="Y39">
            <v>50.11</v>
          </cell>
          <cell r="Z39">
            <v>49.49</v>
          </cell>
          <cell r="AA39">
            <v>51.83</v>
          </cell>
          <cell r="AB39">
            <v>53.846400000000003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</row>
        <row r="40">
          <cell r="A40">
            <v>45870</v>
          </cell>
          <cell r="B40">
            <v>51.48</v>
          </cell>
          <cell r="C40">
            <v>47.581600000000002</v>
          </cell>
          <cell r="D40">
            <v>53.823099999999997</v>
          </cell>
          <cell r="E40">
            <v>56.003999999999998</v>
          </cell>
          <cell r="F40">
            <v>54.26</v>
          </cell>
          <cell r="G40">
            <v>49.83</v>
          </cell>
          <cell r="H40">
            <v>51.37</v>
          </cell>
          <cell r="I40">
            <v>55.79</v>
          </cell>
          <cell r="J40">
            <v>50.39</v>
          </cell>
          <cell r="K40">
            <v>49.75</v>
          </cell>
          <cell r="L40">
            <v>48.51</v>
          </cell>
          <cell r="M40">
            <v>58.25</v>
          </cell>
          <cell r="N40">
            <v>63.8</v>
          </cell>
          <cell r="O40">
            <v>47.56</v>
          </cell>
          <cell r="P40">
            <v>49.07</v>
          </cell>
          <cell r="Q40">
            <v>52.34</v>
          </cell>
          <cell r="R40">
            <v>50.111699999999999</v>
          </cell>
          <cell r="S40">
            <v>64.66</v>
          </cell>
          <cell r="T40">
            <v>56.25</v>
          </cell>
          <cell r="U40">
            <v>57.04</v>
          </cell>
          <cell r="V40">
            <v>53.359200000000001</v>
          </cell>
          <cell r="W40">
            <v>45.79</v>
          </cell>
          <cell r="X40">
            <v>44.1648</v>
          </cell>
          <cell r="Y40">
            <v>50.52</v>
          </cell>
          <cell r="Z40">
            <v>49.68</v>
          </cell>
          <cell r="AA40">
            <v>52.17</v>
          </cell>
          <cell r="AB40">
            <v>54.4756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</row>
        <row r="41">
          <cell r="A41">
            <v>45901</v>
          </cell>
          <cell r="B41">
            <v>50.14</v>
          </cell>
          <cell r="C41">
            <v>48.097999999999999</v>
          </cell>
          <cell r="D41">
            <v>54.405200000000001</v>
          </cell>
          <cell r="E41">
            <v>54.927500000000002</v>
          </cell>
          <cell r="F41">
            <v>54</v>
          </cell>
          <cell r="G41">
            <v>50.37</v>
          </cell>
          <cell r="H41">
            <v>51.86</v>
          </cell>
          <cell r="I41">
            <v>55.95</v>
          </cell>
          <cell r="J41">
            <v>51.36</v>
          </cell>
          <cell r="K41">
            <v>51.12</v>
          </cell>
          <cell r="L41">
            <v>49.52</v>
          </cell>
          <cell r="M41">
            <v>58</v>
          </cell>
          <cell r="N41">
            <v>64.45</v>
          </cell>
          <cell r="O41">
            <v>47.83</v>
          </cell>
          <cell r="P41">
            <v>50.11</v>
          </cell>
          <cell r="Q41">
            <v>53.36</v>
          </cell>
          <cell r="R41">
            <v>51.039000000000001</v>
          </cell>
          <cell r="S41">
            <v>64.13</v>
          </cell>
          <cell r="T41">
            <v>55.75</v>
          </cell>
          <cell r="U41">
            <v>57.56</v>
          </cell>
          <cell r="V41">
            <v>52.927</v>
          </cell>
          <cell r="W41">
            <v>46.91</v>
          </cell>
          <cell r="X41">
            <v>43.811900000000001</v>
          </cell>
          <cell r="Y41">
            <v>50.47</v>
          </cell>
          <cell r="Z41">
            <v>49.76</v>
          </cell>
          <cell r="AA41">
            <v>53.67</v>
          </cell>
          <cell r="AB41">
            <v>56.088900000000002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</row>
        <row r="42">
          <cell r="A42">
            <v>45931</v>
          </cell>
          <cell r="B42">
            <v>47.58</v>
          </cell>
          <cell r="C42">
            <v>48.374099999999999</v>
          </cell>
          <cell r="D42">
            <v>54.106099999999998</v>
          </cell>
          <cell r="E42">
            <v>53.026000000000003</v>
          </cell>
          <cell r="F42">
            <v>52.34</v>
          </cell>
          <cell r="G42">
            <v>50.82</v>
          </cell>
          <cell r="H42">
            <v>49.63</v>
          </cell>
          <cell r="I42">
            <v>56.02</v>
          </cell>
          <cell r="J42">
            <v>51.94</v>
          </cell>
          <cell r="K42">
            <v>51.69</v>
          </cell>
          <cell r="L42">
            <v>50.73</v>
          </cell>
          <cell r="M42">
            <v>55.84</v>
          </cell>
          <cell r="N42">
            <v>66.739999999999995</v>
          </cell>
          <cell r="O42">
            <v>47.09</v>
          </cell>
          <cell r="P42">
            <v>49.24</v>
          </cell>
          <cell r="Q42">
            <v>53.27</v>
          </cell>
          <cell r="R42">
            <v>50.949599999999997</v>
          </cell>
          <cell r="S42">
            <v>63.83</v>
          </cell>
          <cell r="T42">
            <v>53</v>
          </cell>
          <cell r="U42">
            <v>58.47</v>
          </cell>
          <cell r="V42">
            <v>52.808</v>
          </cell>
          <cell r="W42">
            <v>46.93</v>
          </cell>
          <cell r="X42">
            <v>44.130499999999998</v>
          </cell>
          <cell r="Y42">
            <v>50.05</v>
          </cell>
          <cell r="Z42">
            <v>49.17</v>
          </cell>
          <cell r="AA42">
            <v>55.38</v>
          </cell>
          <cell r="AB42">
            <v>56.427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</row>
        <row r="43">
          <cell r="A43">
            <v>45962</v>
          </cell>
          <cell r="B43">
            <v>43.47</v>
          </cell>
          <cell r="C43">
            <v>48.2667</v>
          </cell>
          <cell r="D43">
            <v>52.739400000000003</v>
          </cell>
          <cell r="E43">
            <v>49.946800000000003</v>
          </cell>
          <cell r="F43">
            <v>49.33</v>
          </cell>
          <cell r="G43">
            <v>50.48</v>
          </cell>
          <cell r="H43">
            <v>46.52</v>
          </cell>
          <cell r="I43">
            <v>56</v>
          </cell>
          <cell r="J43">
            <v>52.62</v>
          </cell>
          <cell r="K43">
            <v>50.58</v>
          </cell>
          <cell r="L43">
            <v>50.74</v>
          </cell>
          <cell r="M43">
            <v>54.59</v>
          </cell>
          <cell r="N43">
            <v>65.89</v>
          </cell>
          <cell r="O43">
            <v>46.14</v>
          </cell>
          <cell r="P43">
            <v>47.41</v>
          </cell>
          <cell r="Q43">
            <v>51.46</v>
          </cell>
          <cell r="R43">
            <v>51.008600000000001</v>
          </cell>
          <cell r="S43">
            <v>62.86</v>
          </cell>
          <cell r="T43">
            <v>46</v>
          </cell>
          <cell r="U43">
            <v>56.58</v>
          </cell>
          <cell r="V43">
            <v>50.757100000000001</v>
          </cell>
          <cell r="W43">
            <v>47.67</v>
          </cell>
          <cell r="X43">
            <v>45.038699999999999</v>
          </cell>
          <cell r="Y43">
            <v>49.17</v>
          </cell>
          <cell r="Z43">
            <v>47.63</v>
          </cell>
          <cell r="AA43">
            <v>55.37</v>
          </cell>
          <cell r="AB43">
            <v>54.314900000000002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</row>
        <row r="44">
          <cell r="A44">
            <v>45992</v>
          </cell>
          <cell r="B44">
            <v>40.28</v>
          </cell>
          <cell r="C44">
            <v>47.648000000000003</v>
          </cell>
          <cell r="D44">
            <v>48.739699999999999</v>
          </cell>
          <cell r="E44">
            <v>45.9193</v>
          </cell>
          <cell r="F44">
            <v>46.22</v>
          </cell>
          <cell r="G44">
            <v>50</v>
          </cell>
          <cell r="H44">
            <v>46.52</v>
          </cell>
          <cell r="I44">
            <v>55.68</v>
          </cell>
          <cell r="J44">
            <v>52.62</v>
          </cell>
          <cell r="K44">
            <v>50.01</v>
          </cell>
          <cell r="L44">
            <v>51</v>
          </cell>
          <cell r="M44">
            <v>53.49</v>
          </cell>
          <cell r="N44">
            <v>66.7</v>
          </cell>
          <cell r="O44">
            <v>45.02</v>
          </cell>
          <cell r="P44">
            <v>43.19</v>
          </cell>
          <cell r="Q44">
            <v>47.85</v>
          </cell>
          <cell r="R44">
            <v>49.250900000000001</v>
          </cell>
          <cell r="S44">
            <v>63.74</v>
          </cell>
          <cell r="T44">
            <v>43.5</v>
          </cell>
          <cell r="U44">
            <v>56.11</v>
          </cell>
          <cell r="V44">
            <v>47.584499999999998</v>
          </cell>
          <cell r="W44">
            <v>47.63</v>
          </cell>
          <cell r="X44">
            <v>45.411000000000001</v>
          </cell>
          <cell r="Y44">
            <v>47.27</v>
          </cell>
          <cell r="Z44">
            <v>45.7</v>
          </cell>
          <cell r="AA44">
            <v>54.83</v>
          </cell>
          <cell r="AB44">
            <v>50.846299999999999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</row>
        <row r="45">
          <cell r="A45">
            <v>46023</v>
          </cell>
          <cell r="B45">
            <v>57.02</v>
          </cell>
          <cell r="C45">
            <v>92.03</v>
          </cell>
          <cell r="D45">
            <v>47.800600000000003</v>
          </cell>
          <cell r="E45">
            <v>41.8994</v>
          </cell>
          <cell r="F45">
            <v>46.22</v>
          </cell>
          <cell r="G45">
            <v>37.42</v>
          </cell>
          <cell r="H45">
            <v>46.52</v>
          </cell>
          <cell r="I45">
            <v>55.7</v>
          </cell>
          <cell r="J45">
            <v>52.62</v>
          </cell>
          <cell r="K45">
            <v>47.35</v>
          </cell>
          <cell r="L45">
            <v>50.61</v>
          </cell>
          <cell r="M45">
            <v>53.49</v>
          </cell>
          <cell r="N45">
            <v>66.7</v>
          </cell>
          <cell r="O45">
            <v>42.89</v>
          </cell>
          <cell r="P45">
            <v>39.549999999999997</v>
          </cell>
          <cell r="Q45">
            <v>46.88</v>
          </cell>
          <cell r="R45">
            <v>42.639299999999999</v>
          </cell>
          <cell r="S45">
            <v>63.74</v>
          </cell>
          <cell r="T45">
            <v>39.5</v>
          </cell>
          <cell r="U45">
            <v>52.7</v>
          </cell>
          <cell r="V45">
            <v>46.289099999999998</v>
          </cell>
          <cell r="W45">
            <v>47.63</v>
          </cell>
          <cell r="X45">
            <v>45.562600000000003</v>
          </cell>
          <cell r="Y45">
            <v>46.27</v>
          </cell>
          <cell r="Z45">
            <v>42.58</v>
          </cell>
          <cell r="AA45">
            <v>54.8</v>
          </cell>
          <cell r="AB45">
            <v>49.056800000000003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</row>
        <row r="46">
          <cell r="A46">
            <v>46054</v>
          </cell>
          <cell r="B46">
            <v>57.02</v>
          </cell>
          <cell r="C46">
            <v>92.03</v>
          </cell>
          <cell r="D46">
            <v>47.800600000000003</v>
          </cell>
          <cell r="E46">
            <v>41.8994</v>
          </cell>
          <cell r="F46">
            <v>46.22</v>
          </cell>
          <cell r="G46">
            <v>37.42</v>
          </cell>
          <cell r="H46">
            <v>46.52</v>
          </cell>
          <cell r="I46">
            <v>55.7</v>
          </cell>
          <cell r="J46">
            <v>52.62</v>
          </cell>
          <cell r="K46">
            <v>47.35</v>
          </cell>
          <cell r="L46">
            <v>50.42</v>
          </cell>
          <cell r="M46">
            <v>53.49</v>
          </cell>
          <cell r="N46">
            <v>66.7</v>
          </cell>
          <cell r="O46">
            <v>42.89</v>
          </cell>
          <cell r="P46">
            <v>39.549999999999997</v>
          </cell>
          <cell r="Q46">
            <v>46.88</v>
          </cell>
          <cell r="R46">
            <v>43.214199999999998</v>
          </cell>
          <cell r="S46">
            <v>63.74</v>
          </cell>
          <cell r="T46">
            <v>39.5</v>
          </cell>
          <cell r="U46">
            <v>52.7</v>
          </cell>
          <cell r="V46">
            <v>46.289099999999998</v>
          </cell>
          <cell r="W46">
            <v>47.63</v>
          </cell>
          <cell r="X46">
            <v>45.562600000000003</v>
          </cell>
          <cell r="Y46">
            <v>46.27</v>
          </cell>
          <cell r="Z46">
            <v>42.58</v>
          </cell>
          <cell r="AA46">
            <v>54.8</v>
          </cell>
          <cell r="AB46">
            <v>49.056800000000003</v>
          </cell>
          <cell r="AD46">
            <v>1</v>
          </cell>
          <cell r="AE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  <cell r="AM46">
            <v>1</v>
          </cell>
          <cell r="AN46">
            <v>0</v>
          </cell>
          <cell r="AO46">
            <v>1</v>
          </cell>
          <cell r="AP46">
            <v>1</v>
          </cell>
          <cell r="AQ46">
            <v>1</v>
          </cell>
          <cell r="AR46">
            <v>1</v>
          </cell>
          <cell r="AS46">
            <v>1</v>
          </cell>
          <cell r="AT46">
            <v>0</v>
          </cell>
          <cell r="AU46">
            <v>1</v>
          </cell>
          <cell r="AV46">
            <v>0</v>
          </cell>
          <cell r="AW46">
            <v>1</v>
          </cell>
          <cell r="AX46">
            <v>1</v>
          </cell>
          <cell r="AY46">
            <v>1</v>
          </cell>
          <cell r="AZ46">
            <v>1</v>
          </cell>
          <cell r="BA46">
            <v>1</v>
          </cell>
          <cell r="BB46">
            <v>1</v>
          </cell>
          <cell r="BC46">
            <v>1</v>
          </cell>
          <cell r="BD46">
            <v>1</v>
          </cell>
          <cell r="BE46">
            <v>1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</row>
        <row r="47"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R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  <cell r="BJ47"/>
          <cell r="BK47"/>
          <cell r="BL47"/>
          <cell r="BM47"/>
          <cell r="BN47"/>
          <cell r="BO47"/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</row>
        <row r="48"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</row>
        <row r="49"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  <cell r="AZ49"/>
          <cell r="BA49"/>
          <cell r="BB49"/>
          <cell r="BC49"/>
          <cell r="BD49"/>
          <cell r="BE49"/>
          <cell r="BF49"/>
          <cell r="BG49"/>
          <cell r="BH49"/>
          <cell r="BI49"/>
          <cell r="BJ49"/>
          <cell r="BK49"/>
          <cell r="BL49"/>
          <cell r="BM49"/>
          <cell r="BN49"/>
          <cell r="BO49"/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</row>
        <row r="50">
          <cell r="AD50"/>
          <cell r="AE50"/>
          <cell r="AF50"/>
          <cell r="AG50"/>
          <cell r="AH50"/>
          <cell r="AI50"/>
          <cell r="AJ50"/>
          <cell r="AK50"/>
          <cell r="AL50"/>
          <cell r="AM50"/>
          <cell r="AN50"/>
          <cell r="AO50"/>
          <cell r="AP50"/>
          <cell r="AQ50"/>
          <cell r="AR50"/>
          <cell r="AS50"/>
          <cell r="AT50"/>
          <cell r="AU50"/>
          <cell r="AV50"/>
          <cell r="AW50"/>
          <cell r="AX50"/>
          <cell r="AY50"/>
          <cell r="AZ50"/>
          <cell r="BA50"/>
          <cell r="BB50"/>
          <cell r="BC50"/>
          <cell r="BD50"/>
          <cell r="BE50"/>
          <cell r="BF50"/>
          <cell r="BG50"/>
          <cell r="BH50"/>
          <cell r="BI50"/>
          <cell r="BJ50"/>
          <cell r="BK50"/>
          <cell r="BL50"/>
          <cell r="BM50"/>
          <cell r="BN50"/>
          <cell r="BO50"/>
          <cell r="BP50"/>
          <cell r="BQ50"/>
          <cell r="BR50"/>
          <cell r="BS50"/>
          <cell r="BT50"/>
          <cell r="BU50"/>
          <cell r="BV50"/>
          <cell r="BW50"/>
          <cell r="BX50"/>
          <cell r="BY50"/>
          <cell r="BZ50"/>
          <cell r="CA50"/>
          <cell r="CB50"/>
          <cell r="CC50"/>
          <cell r="CD50"/>
          <cell r="CE50"/>
          <cell r="CF50"/>
          <cell r="CG50"/>
        </row>
        <row r="51"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</row>
        <row r="52"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</row>
        <row r="53"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B53"/>
          <cell r="BC53"/>
          <cell r="BD53"/>
          <cell r="BE53"/>
          <cell r="BF53"/>
          <cell r="BG53"/>
          <cell r="BH53"/>
          <cell r="BI53"/>
          <cell r="BJ53"/>
          <cell r="BK53"/>
          <cell r="BL53"/>
          <cell r="BM53"/>
          <cell r="BN53"/>
          <cell r="BO53"/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BZ53"/>
          <cell r="CA53"/>
          <cell r="CB53"/>
          <cell r="CC53"/>
          <cell r="CD53"/>
          <cell r="CE53"/>
          <cell r="CF53"/>
          <cell r="CG53"/>
        </row>
        <row r="54">
          <cell r="B54" t="str">
            <v>BGN TO EURO</v>
          </cell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</row>
        <row r="55">
          <cell r="B55" t="str">
            <v>FIXED RATE 1.9558</v>
          </cell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</row>
        <row r="56">
          <cell r="B56" t="str">
            <v xml:space="preserve">EUR= </v>
          </cell>
          <cell r="C56">
            <v>24.362035555237419</v>
          </cell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</row>
        <row r="57">
          <cell r="AD57"/>
          <cell r="AE57"/>
          <cell r="AF57"/>
          <cell r="AG57"/>
          <cell r="AH57"/>
          <cell r="AI57"/>
          <cell r="AJ57"/>
          <cell r="AK57"/>
          <cell r="AL57"/>
          <cell r="AM57"/>
          <cell r="AN57"/>
          <cell r="AO57"/>
          <cell r="AP57"/>
          <cell r="AQ57"/>
          <cell r="AR57"/>
          <cell r="AS57"/>
          <cell r="AT57"/>
          <cell r="AU57"/>
          <cell r="AV57"/>
          <cell r="AW57"/>
          <cell r="AX57"/>
          <cell r="AY57"/>
          <cell r="AZ57"/>
          <cell r="BA57"/>
          <cell r="BB57"/>
          <cell r="BC57"/>
          <cell r="BD57"/>
          <cell r="BE57"/>
          <cell r="BF57"/>
          <cell r="BG57"/>
          <cell r="BH57"/>
          <cell r="BI57"/>
          <cell r="BJ57"/>
          <cell r="BK57"/>
          <cell r="BL57"/>
          <cell r="BM57"/>
          <cell r="BN57"/>
          <cell r="BO57"/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</row>
        <row r="58"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/>
          <cell r="BM58"/>
          <cell r="BN58"/>
          <cell r="BO58"/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</row>
        <row r="59"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</row>
        <row r="60"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</row>
        <row r="61"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</row>
        <row r="62"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</row>
        <row r="63"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</row>
        <row r="64"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</row>
        <row r="65"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</row>
        <row r="66"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</row>
        <row r="67"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</row>
        <row r="68"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Milk Prices"/>
      <sheetName val="Organic Milk Prices"/>
      <sheetName val="Dairy Products Prices"/>
      <sheetName val="param"/>
      <sheetName val="EU+UK"/>
      <sheetName val="EU-UK"/>
      <sheetName val="EU evolutive"/>
      <sheetName val="check"/>
    </sheetNames>
    <sheetDataSet>
      <sheetData sheetId="0">
        <row r="476">
          <cell r="A476" t="str">
            <v>2016m01</v>
          </cell>
        </row>
        <row r="477">
          <cell r="A477" t="str">
            <v>2016m02</v>
          </cell>
        </row>
        <row r="478">
          <cell r="A478" t="str">
            <v>2016m03</v>
          </cell>
        </row>
        <row r="479">
          <cell r="A479" t="str">
            <v>2016m04</v>
          </cell>
        </row>
        <row r="480">
          <cell r="A480" t="str">
            <v>2016m05</v>
          </cell>
        </row>
        <row r="481">
          <cell r="A481" t="str">
            <v>2016m06</v>
          </cell>
        </row>
        <row r="482">
          <cell r="A482" t="str">
            <v>2016m07</v>
          </cell>
        </row>
        <row r="483">
          <cell r="A483" t="str">
            <v>2016m08</v>
          </cell>
        </row>
        <row r="484">
          <cell r="A484" t="str">
            <v>2016m09</v>
          </cell>
        </row>
        <row r="485">
          <cell r="A485" t="str">
            <v>2016m10</v>
          </cell>
        </row>
        <row r="486">
          <cell r="A486" t="str">
            <v>2016m11</v>
          </cell>
        </row>
        <row r="487">
          <cell r="A487" t="str">
            <v>2016m12</v>
          </cell>
        </row>
        <row r="488">
          <cell r="A488" t="str">
            <v>2017m01</v>
          </cell>
        </row>
        <row r="489">
          <cell r="A489" t="str">
            <v>2017m02</v>
          </cell>
        </row>
        <row r="490">
          <cell r="A490" t="str">
            <v>2017m03</v>
          </cell>
        </row>
        <row r="491">
          <cell r="A491" t="str">
            <v>2017m04</v>
          </cell>
        </row>
        <row r="492">
          <cell r="A492" t="str">
            <v>2017m05</v>
          </cell>
        </row>
        <row r="493">
          <cell r="A493" t="str">
            <v>2017m06</v>
          </cell>
        </row>
        <row r="494">
          <cell r="A494" t="str">
            <v>2017m07</v>
          </cell>
        </row>
        <row r="495">
          <cell r="A495" t="str">
            <v>2017m08</v>
          </cell>
        </row>
        <row r="496">
          <cell r="A496" t="str">
            <v>2017m09</v>
          </cell>
        </row>
        <row r="497">
          <cell r="A497" t="str">
            <v>2017m10</v>
          </cell>
        </row>
        <row r="498">
          <cell r="A498" t="str">
            <v>2017m11</v>
          </cell>
        </row>
        <row r="499">
          <cell r="A499" t="str">
            <v>2017m12</v>
          </cell>
        </row>
        <row r="500">
          <cell r="A500" t="str">
            <v>2018m01</v>
          </cell>
        </row>
        <row r="501">
          <cell r="A501" t="str">
            <v>2018m02</v>
          </cell>
        </row>
        <row r="502">
          <cell r="A502" t="str">
            <v>2018m03</v>
          </cell>
        </row>
        <row r="503">
          <cell r="A503" t="str">
            <v>2018m04</v>
          </cell>
        </row>
        <row r="504">
          <cell r="A504" t="str">
            <v>2018m05</v>
          </cell>
        </row>
        <row r="505">
          <cell r="A505" t="str">
            <v>2018m06</v>
          </cell>
        </row>
        <row r="506">
          <cell r="A506" t="str">
            <v>2018m07</v>
          </cell>
        </row>
        <row r="507">
          <cell r="A507" t="str">
            <v>2018m08</v>
          </cell>
        </row>
        <row r="508">
          <cell r="A508" t="str">
            <v>2018m09</v>
          </cell>
        </row>
        <row r="509">
          <cell r="A509" t="str">
            <v>2018m10</v>
          </cell>
        </row>
        <row r="510">
          <cell r="A510" t="str">
            <v>2018m11</v>
          </cell>
        </row>
        <row r="511">
          <cell r="A511" t="str">
            <v>2018m12</v>
          </cell>
        </row>
        <row r="512">
          <cell r="A512" t="str">
            <v>2019m01</v>
          </cell>
        </row>
        <row r="513">
          <cell r="A513" t="str">
            <v>2019m02</v>
          </cell>
        </row>
        <row r="514">
          <cell r="A514" t="str">
            <v>2019m03</v>
          </cell>
        </row>
        <row r="515">
          <cell r="A515" t="str">
            <v>2019m04</v>
          </cell>
        </row>
        <row r="516">
          <cell r="A516" t="str">
            <v>2019m05</v>
          </cell>
        </row>
        <row r="517">
          <cell r="A517" t="str">
            <v>2019m06</v>
          </cell>
        </row>
        <row r="518">
          <cell r="A518" t="str">
            <v>2019m07</v>
          </cell>
        </row>
        <row r="519">
          <cell r="A519" t="str">
            <v>2019m08</v>
          </cell>
        </row>
        <row r="520">
          <cell r="A520" t="str">
            <v>2019m09</v>
          </cell>
        </row>
        <row r="521">
          <cell r="A521" t="str">
            <v>2019m10</v>
          </cell>
        </row>
        <row r="522">
          <cell r="A522" t="str">
            <v>2019m11</v>
          </cell>
        </row>
        <row r="523">
          <cell r="A523" t="str">
            <v>2019m12</v>
          </cell>
        </row>
        <row r="524">
          <cell r="A524" t="str">
            <v>2020m01</v>
          </cell>
        </row>
        <row r="525">
          <cell r="A525" t="str">
            <v>2020m02</v>
          </cell>
        </row>
        <row r="526">
          <cell r="A526" t="str">
            <v>2020m03</v>
          </cell>
        </row>
        <row r="527">
          <cell r="A527" t="str">
            <v>2020m04</v>
          </cell>
        </row>
        <row r="528">
          <cell r="A528" t="str">
            <v>2020m05</v>
          </cell>
        </row>
        <row r="529">
          <cell r="A529" t="str">
            <v>2020m06</v>
          </cell>
        </row>
        <row r="530">
          <cell r="A530" t="str">
            <v>2020m07</v>
          </cell>
        </row>
        <row r="531">
          <cell r="A531" t="str">
            <v>2020m08</v>
          </cell>
        </row>
        <row r="532">
          <cell r="A532" t="str">
            <v>2020m09</v>
          </cell>
        </row>
        <row r="533">
          <cell r="A533" t="str">
            <v>2020m10</v>
          </cell>
        </row>
        <row r="534">
          <cell r="A534" t="str">
            <v>2020m11</v>
          </cell>
        </row>
        <row r="535">
          <cell r="A535" t="str">
            <v>2020m12</v>
          </cell>
        </row>
        <row r="536">
          <cell r="A536" t="str">
            <v>2021m01</v>
          </cell>
        </row>
        <row r="537">
          <cell r="A537" t="str">
            <v>2021m02</v>
          </cell>
        </row>
        <row r="538">
          <cell r="A538" t="str">
            <v>2021m03</v>
          </cell>
        </row>
        <row r="539">
          <cell r="A539" t="str">
            <v>2021m04</v>
          </cell>
        </row>
        <row r="540">
          <cell r="A540" t="str">
            <v>2021m05</v>
          </cell>
        </row>
        <row r="541">
          <cell r="A541" t="str">
            <v>2021m06</v>
          </cell>
        </row>
        <row r="542">
          <cell r="A542" t="str">
            <v>2021m07</v>
          </cell>
        </row>
        <row r="543">
          <cell r="A543" t="str">
            <v>2021m08</v>
          </cell>
        </row>
        <row r="544">
          <cell r="A544" t="str">
            <v>2021m09</v>
          </cell>
        </row>
        <row r="545">
          <cell r="A545" t="str">
            <v>2021m10</v>
          </cell>
        </row>
        <row r="546">
          <cell r="A546" t="str">
            <v>2021m11</v>
          </cell>
        </row>
        <row r="547">
          <cell r="A547" t="str">
            <v>2021m12</v>
          </cell>
        </row>
        <row r="548">
          <cell r="A548" t="str">
            <v>2022m01</v>
          </cell>
        </row>
        <row r="549">
          <cell r="A549" t="str">
            <v>2022m02</v>
          </cell>
        </row>
        <row r="550">
          <cell r="A550" t="str">
            <v>2022m03</v>
          </cell>
        </row>
        <row r="551">
          <cell r="A551" t="str">
            <v>2022m04</v>
          </cell>
        </row>
        <row r="552">
          <cell r="A552" t="str">
            <v>2022m05</v>
          </cell>
        </row>
        <row r="553">
          <cell r="A553" t="str">
            <v>2022m06</v>
          </cell>
        </row>
        <row r="554">
          <cell r="A554" t="str">
            <v>2022m07</v>
          </cell>
        </row>
        <row r="555">
          <cell r="A555" t="str">
            <v>2022m08</v>
          </cell>
        </row>
        <row r="556">
          <cell r="A556" t="str">
            <v>2022m09</v>
          </cell>
        </row>
        <row r="557">
          <cell r="A557" t="str">
            <v>2022m10</v>
          </cell>
        </row>
        <row r="558">
          <cell r="A558" t="str">
            <v>2022m11</v>
          </cell>
        </row>
        <row r="559">
          <cell r="A559" t="str">
            <v>2022m12</v>
          </cell>
        </row>
        <row r="560">
          <cell r="A560" t="str">
            <v>2023m01</v>
          </cell>
        </row>
        <row r="561">
          <cell r="A561" t="str">
            <v>2023m02</v>
          </cell>
        </row>
        <row r="562">
          <cell r="A562" t="str">
            <v>2023m03</v>
          </cell>
        </row>
        <row r="563">
          <cell r="A563" t="str">
            <v>2023m04</v>
          </cell>
        </row>
        <row r="564">
          <cell r="A564" t="str">
            <v>2023m05</v>
          </cell>
        </row>
        <row r="565">
          <cell r="A565" t="str">
            <v>2023m06</v>
          </cell>
        </row>
        <row r="566">
          <cell r="A566" t="str">
            <v>2023m07</v>
          </cell>
        </row>
        <row r="567">
          <cell r="A567" t="str">
            <v>2023m08</v>
          </cell>
        </row>
        <row r="568">
          <cell r="A568" t="str">
            <v>2023m09</v>
          </cell>
        </row>
        <row r="569">
          <cell r="A569" t="str">
            <v>2023m10</v>
          </cell>
        </row>
        <row r="570">
          <cell r="A570" t="str">
            <v>2023m11</v>
          </cell>
        </row>
        <row r="571">
          <cell r="A571" t="str">
            <v>2023m12</v>
          </cell>
        </row>
        <row r="572">
          <cell r="A572" t="str">
            <v>2024m01</v>
          </cell>
        </row>
        <row r="573">
          <cell r="A573" t="str">
            <v>2024m02</v>
          </cell>
        </row>
        <row r="574">
          <cell r="A574" t="str">
            <v>2024m03</v>
          </cell>
        </row>
        <row r="575">
          <cell r="A575" t="str">
            <v>2024m04</v>
          </cell>
        </row>
        <row r="576">
          <cell r="A576" t="str">
            <v>2024m05</v>
          </cell>
        </row>
        <row r="577">
          <cell r="A577" t="str">
            <v>2024m06</v>
          </cell>
        </row>
        <row r="578">
          <cell r="A578" t="str">
            <v>2024m07</v>
          </cell>
        </row>
        <row r="579">
          <cell r="A579" t="str">
            <v>2024m08</v>
          </cell>
        </row>
        <row r="580">
          <cell r="A580" t="str">
            <v>2024m09</v>
          </cell>
        </row>
        <row r="581">
          <cell r="A581" t="str">
            <v>2024m10</v>
          </cell>
        </row>
        <row r="582">
          <cell r="A582" t="str">
            <v>2024m11</v>
          </cell>
        </row>
        <row r="583">
          <cell r="A583" t="str">
            <v>2024m12</v>
          </cell>
        </row>
        <row r="584">
          <cell r="A584" t="str">
            <v>2025m01</v>
          </cell>
        </row>
        <row r="585">
          <cell r="A585" t="str">
            <v>2025m02</v>
          </cell>
        </row>
        <row r="586">
          <cell r="A586" t="str">
            <v>2025m03</v>
          </cell>
        </row>
        <row r="587">
          <cell r="A587" t="str">
            <v>2025m04</v>
          </cell>
        </row>
        <row r="588">
          <cell r="A588" t="str">
            <v>2025m05</v>
          </cell>
        </row>
        <row r="589">
          <cell r="A589" t="str">
            <v>2025m06</v>
          </cell>
        </row>
        <row r="590">
          <cell r="A590" t="str">
            <v>2025m07</v>
          </cell>
        </row>
        <row r="591">
          <cell r="A591" t="str">
            <v>2025m08</v>
          </cell>
        </row>
        <row r="592">
          <cell r="A592" t="str">
            <v>2025m09</v>
          </cell>
        </row>
        <row r="593">
          <cell r="A593" t="str">
            <v>2025m10</v>
          </cell>
        </row>
        <row r="594">
          <cell r="A594" t="str">
            <v>2025m11</v>
          </cell>
        </row>
        <row r="595">
          <cell r="A595" t="str">
            <v>2025m12</v>
          </cell>
        </row>
        <row r="596">
          <cell r="A596" t="str">
            <v>2026m01</v>
          </cell>
        </row>
        <row r="597">
          <cell r="A597" t="str">
            <v>2026m02</v>
          </cell>
        </row>
        <row r="598">
          <cell r="A598" t="str">
            <v>2026m03</v>
          </cell>
        </row>
        <row r="599">
          <cell r="A599" t="str">
            <v>2026m04</v>
          </cell>
        </row>
        <row r="600">
          <cell r="A600" t="str">
            <v>2026m05</v>
          </cell>
        </row>
        <row r="601">
          <cell r="A601" t="str">
            <v>2026m06</v>
          </cell>
        </row>
        <row r="602">
          <cell r="A602" t="str">
            <v>2026m07</v>
          </cell>
        </row>
        <row r="603">
          <cell r="A603" t="str">
            <v>2026m08</v>
          </cell>
        </row>
        <row r="604">
          <cell r="A604" t="str">
            <v>2026m09</v>
          </cell>
        </row>
        <row r="605">
          <cell r="A605" t="str">
            <v>2026m10</v>
          </cell>
        </row>
        <row r="606">
          <cell r="A606" t="str">
            <v>2026m11</v>
          </cell>
        </row>
        <row r="607">
          <cell r="A607" t="str">
            <v>2026m12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0000"/>
    <pageSetUpPr fitToPage="1"/>
  </sheetPr>
  <dimension ref="A1:CD1215"/>
  <sheetViews>
    <sheetView showGridLines="0" showZeros="0" tabSelected="1" zoomScale="86" zoomScaleNormal="86" workbookViewId="0">
      <pane xSplit="1" ySplit="7" topLeftCell="B592" activePane="bottomRight" state="frozen"/>
      <selection pane="topRight" activeCell="B1" sqref="B1"/>
      <selection pane="bottomLeft" activeCell="A8" sqref="A8"/>
      <selection pane="bottomRight"/>
    </sheetView>
  </sheetViews>
  <sheetFormatPr defaultColWidth="9.109375" defaultRowHeight="15" outlineLevelRow="1" x14ac:dyDescent="0.25"/>
  <cols>
    <col min="1" max="1" width="12.6640625" style="2" customWidth="1"/>
    <col min="2" max="3" width="6.109375" style="1" customWidth="1"/>
    <col min="4" max="5" width="6.109375" style="4" customWidth="1"/>
    <col min="6" max="26" width="6.109375" style="1" customWidth="1"/>
    <col min="27" max="27" width="6.109375" style="4" customWidth="1"/>
    <col min="28" max="28" width="6.109375" style="1" customWidth="1"/>
    <col min="29" max="29" width="11.6640625" style="1" customWidth="1"/>
    <col min="30" max="30" width="8.44140625" style="1" customWidth="1"/>
    <col min="31" max="31" width="8.6640625" style="257" customWidth="1"/>
    <col min="32" max="32" width="6.6640625" style="2" customWidth="1"/>
    <col min="33" max="16384" width="9.109375" style="2"/>
  </cols>
  <sheetData>
    <row r="1" spans="1:82" s="10" customFormat="1" ht="87" customHeight="1" x14ac:dyDescent="0.25">
      <c r="A1" s="107" t="s">
        <v>494</v>
      </c>
      <c r="B1" s="8"/>
      <c r="C1" s="8"/>
      <c r="D1" s="9"/>
      <c r="E1" s="9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  <c r="AB1" s="8"/>
      <c r="AC1" s="8"/>
      <c r="AD1" s="8"/>
      <c r="AE1" s="235"/>
    </row>
    <row r="2" spans="1:82" s="10" customFormat="1" ht="27.75" customHeight="1" x14ac:dyDescent="0.25">
      <c r="B2" s="11"/>
      <c r="C2" s="12"/>
      <c r="D2" s="13"/>
      <c r="E2" s="13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V2" s="12"/>
      <c r="W2" s="12"/>
      <c r="X2" s="14"/>
      <c r="Y2" s="15"/>
      <c r="Z2" s="15"/>
      <c r="AE2" s="236" t="s">
        <v>710</v>
      </c>
    </row>
    <row r="3" spans="1:82" s="10" customFormat="1" ht="48" customHeight="1" x14ac:dyDescent="0.25">
      <c r="A3" s="317" t="s">
        <v>518</v>
      </c>
      <c r="B3" s="317"/>
      <c r="C3" s="317"/>
      <c r="D3" s="317"/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7"/>
      <c r="AF3" s="18"/>
      <c r="BB3" s="10" t="s">
        <v>683</v>
      </c>
    </row>
    <row r="4" spans="1:82" s="10" customFormat="1" ht="30" customHeight="1" x14ac:dyDescent="0.25">
      <c r="A4" s="22" t="s">
        <v>617</v>
      </c>
      <c r="E4" s="16"/>
      <c r="F4" s="17"/>
      <c r="G4" s="23"/>
      <c r="H4" s="17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23"/>
      <c r="Z4" s="23"/>
      <c r="AA4" s="12"/>
      <c r="AB4" s="13"/>
      <c r="AC4" s="12"/>
      <c r="AD4" s="12"/>
      <c r="AE4" s="24"/>
      <c r="BC4" s="10" t="s">
        <v>708</v>
      </c>
      <c r="CD4" s="10" t="s">
        <v>709</v>
      </c>
    </row>
    <row r="5" spans="1:82" s="3" customFormat="1" ht="30" hidden="1" customHeight="1" x14ac:dyDescent="0.3">
      <c r="B5" s="6" t="s">
        <v>0</v>
      </c>
      <c r="C5" s="6" t="s">
        <v>416</v>
      </c>
      <c r="D5" s="7" t="s">
        <v>372</v>
      </c>
      <c r="E5" s="7" t="s">
        <v>1</v>
      </c>
      <c r="F5" s="6" t="s">
        <v>2</v>
      </c>
      <c r="G5" s="6" t="s">
        <v>374</v>
      </c>
      <c r="H5" s="6" t="s">
        <v>5</v>
      </c>
      <c r="I5" s="6" t="s">
        <v>537</v>
      </c>
      <c r="J5" s="6" t="s">
        <v>3</v>
      </c>
      <c r="K5" s="6" t="s">
        <v>4</v>
      </c>
      <c r="L5" s="6" t="s">
        <v>492</v>
      </c>
      <c r="M5" s="6" t="s">
        <v>6</v>
      </c>
      <c r="N5" s="6" t="s">
        <v>375</v>
      </c>
      <c r="O5" s="6" t="s">
        <v>376</v>
      </c>
      <c r="P5" s="6" t="s">
        <v>377</v>
      </c>
      <c r="Q5" s="6" t="s">
        <v>7</v>
      </c>
      <c r="R5" s="6" t="s">
        <v>381</v>
      </c>
      <c r="S5" s="6" t="s">
        <v>382</v>
      </c>
      <c r="T5" s="6" t="s">
        <v>8</v>
      </c>
      <c r="U5" s="6" t="s">
        <v>9</v>
      </c>
      <c r="V5" s="6" t="s">
        <v>384</v>
      </c>
      <c r="W5" s="6" t="s">
        <v>10</v>
      </c>
      <c r="X5" s="6" t="s">
        <v>418</v>
      </c>
      <c r="Y5" s="6" t="s">
        <v>387</v>
      </c>
      <c r="Z5" s="6" t="s">
        <v>386</v>
      </c>
      <c r="AA5" s="6" t="s">
        <v>11</v>
      </c>
      <c r="AB5" s="7" t="s">
        <v>12</v>
      </c>
      <c r="AC5" s="7" t="s">
        <v>538</v>
      </c>
      <c r="AD5" s="93"/>
      <c r="AE5" s="237" t="s">
        <v>508</v>
      </c>
      <c r="BC5" s="3">
        <v>1</v>
      </c>
      <c r="BD5" s="3">
        <v>2</v>
      </c>
      <c r="BE5" s="3">
        <v>3</v>
      </c>
      <c r="BF5" s="3">
        <v>4</v>
      </c>
      <c r="BG5" s="3">
        <v>5</v>
      </c>
      <c r="BH5" s="3">
        <v>6</v>
      </c>
      <c r="BI5" s="3">
        <v>7</v>
      </c>
      <c r="BJ5" s="3">
        <v>8</v>
      </c>
      <c r="BK5" s="3">
        <v>9</v>
      </c>
      <c r="BL5" s="3">
        <v>10</v>
      </c>
      <c r="BM5" s="3">
        <v>11</v>
      </c>
      <c r="BN5" s="3">
        <v>12</v>
      </c>
      <c r="BO5" s="3">
        <v>13</v>
      </c>
      <c r="BP5" s="3">
        <v>14</v>
      </c>
      <c r="BQ5" s="3">
        <v>15</v>
      </c>
      <c r="BR5" s="3">
        <v>16</v>
      </c>
      <c r="BS5" s="3">
        <v>17</v>
      </c>
      <c r="BT5" s="3">
        <v>18</v>
      </c>
      <c r="BU5" s="3">
        <v>19</v>
      </c>
      <c r="BV5" s="3">
        <v>20</v>
      </c>
      <c r="BW5" s="3">
        <v>21</v>
      </c>
      <c r="BX5" s="3">
        <v>22</v>
      </c>
      <c r="BY5" s="3">
        <v>23</v>
      </c>
      <c r="BZ5" s="3">
        <v>24</v>
      </c>
      <c r="CA5" s="3">
        <v>25</v>
      </c>
      <c r="CB5" s="3">
        <v>26</v>
      </c>
      <c r="CC5" s="3">
        <v>27</v>
      </c>
      <c r="CD5" s="3">
        <v>1</v>
      </c>
    </row>
    <row r="6" spans="1:82" s="3" customFormat="1" ht="30" hidden="1" customHeight="1" x14ac:dyDescent="0.3">
      <c r="B6" s="6"/>
      <c r="C6" s="6"/>
      <c r="D6" s="7"/>
      <c r="E6" s="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7"/>
      <c r="AC6" s="32"/>
      <c r="AD6" s="93"/>
      <c r="AE6" s="237"/>
      <c r="BA6" s="3">
        <v>45992</v>
      </c>
      <c r="BB6" s="3" t="s">
        <v>619</v>
      </c>
      <c r="BC6" s="3" t="s">
        <v>0</v>
      </c>
      <c r="BD6" s="3" t="s">
        <v>416</v>
      </c>
      <c r="BE6" s="3" t="s">
        <v>372</v>
      </c>
      <c r="BF6" s="3" t="s">
        <v>1</v>
      </c>
      <c r="BG6" s="3" t="s">
        <v>2</v>
      </c>
      <c r="BH6" s="3" t="s">
        <v>374</v>
      </c>
      <c r="BI6" s="3" t="s">
        <v>5</v>
      </c>
      <c r="BJ6" s="3" t="s">
        <v>537</v>
      </c>
      <c r="BK6" s="3" t="s">
        <v>3</v>
      </c>
      <c r="BL6" s="3" t="s">
        <v>4</v>
      </c>
      <c r="BM6" s="3" t="s">
        <v>492</v>
      </c>
      <c r="BN6" s="3" t="s">
        <v>6</v>
      </c>
      <c r="BO6" s="3" t="s">
        <v>375</v>
      </c>
      <c r="BP6" s="3" t="s">
        <v>376</v>
      </c>
      <c r="BQ6" s="3" t="s">
        <v>377</v>
      </c>
      <c r="BR6" s="3" t="s">
        <v>7</v>
      </c>
      <c r="BS6" s="3" t="s">
        <v>381</v>
      </c>
      <c r="BT6" s="3" t="s">
        <v>382</v>
      </c>
      <c r="BU6" s="3" t="s">
        <v>8</v>
      </c>
      <c r="BV6" s="3" t="s">
        <v>9</v>
      </c>
      <c r="BW6" s="3" t="s">
        <v>384</v>
      </c>
      <c r="BX6" s="3" t="s">
        <v>10</v>
      </c>
      <c r="BY6" s="3" t="s">
        <v>418</v>
      </c>
      <c r="BZ6" s="3" t="s">
        <v>387</v>
      </c>
      <c r="CA6" s="3" t="s">
        <v>386</v>
      </c>
      <c r="CB6" s="3" t="s">
        <v>11</v>
      </c>
      <c r="CC6" s="3" t="s">
        <v>12</v>
      </c>
      <c r="CD6" s="3" t="s">
        <v>0</v>
      </c>
    </row>
    <row r="7" spans="1:82" s="19" customFormat="1" ht="75" customHeight="1" thickBot="1" x14ac:dyDescent="0.2">
      <c r="A7" s="33"/>
      <c r="B7" s="108" t="s">
        <v>352</v>
      </c>
      <c r="C7" s="108" t="s">
        <v>417</v>
      </c>
      <c r="D7" s="109" t="s">
        <v>624</v>
      </c>
      <c r="E7" s="109" t="s">
        <v>353</v>
      </c>
      <c r="F7" s="108" t="s">
        <v>402</v>
      </c>
      <c r="G7" s="108" t="s">
        <v>373</v>
      </c>
      <c r="H7" s="108" t="s">
        <v>654</v>
      </c>
      <c r="I7" s="108" t="s">
        <v>354</v>
      </c>
      <c r="J7" s="108" t="s">
        <v>355</v>
      </c>
      <c r="K7" s="108" t="s">
        <v>13</v>
      </c>
      <c r="L7" s="108" t="s">
        <v>493</v>
      </c>
      <c r="M7" s="108" t="s">
        <v>403</v>
      </c>
      <c r="N7" s="108" t="s">
        <v>378</v>
      </c>
      <c r="O7" s="108" t="s">
        <v>379</v>
      </c>
      <c r="P7" s="108" t="s">
        <v>625</v>
      </c>
      <c r="Q7" s="108" t="s">
        <v>14</v>
      </c>
      <c r="R7" s="108" t="s">
        <v>380</v>
      </c>
      <c r="S7" s="108" t="s">
        <v>383</v>
      </c>
      <c r="T7" s="108" t="s">
        <v>356</v>
      </c>
      <c r="U7" s="108" t="s">
        <v>357</v>
      </c>
      <c r="V7" s="108" t="s">
        <v>385</v>
      </c>
      <c r="W7" s="108" t="s">
        <v>15</v>
      </c>
      <c r="X7" s="108" t="s">
        <v>419</v>
      </c>
      <c r="Y7" s="108" t="s">
        <v>388</v>
      </c>
      <c r="Z7" s="108" t="s">
        <v>389</v>
      </c>
      <c r="AA7" s="108" t="s">
        <v>358</v>
      </c>
      <c r="AB7" s="110" t="s">
        <v>359</v>
      </c>
      <c r="AC7" s="210" t="s">
        <v>667</v>
      </c>
      <c r="AD7" s="173" t="s">
        <v>668</v>
      </c>
      <c r="AE7" s="238"/>
      <c r="BB7" s="19">
        <v>596</v>
      </c>
    </row>
    <row r="8" spans="1:82" ht="15" customHeight="1" x14ac:dyDescent="0.3">
      <c r="A8" s="49" t="s">
        <v>280</v>
      </c>
      <c r="B8" s="50">
        <v>18.57</v>
      </c>
      <c r="C8" s="34"/>
      <c r="D8" s="35"/>
      <c r="E8" s="35">
        <v>19.850000000000001</v>
      </c>
      <c r="F8" s="34">
        <v>20.329999999999998</v>
      </c>
      <c r="G8" s="34"/>
      <c r="H8" s="34">
        <v>14.62</v>
      </c>
      <c r="I8" s="36"/>
      <c r="J8" s="34">
        <v>19.350000000000001</v>
      </c>
      <c r="K8" s="34">
        <v>16.760000000000002</v>
      </c>
      <c r="L8" s="37"/>
      <c r="M8" s="34">
        <v>23.11</v>
      </c>
      <c r="N8" s="34"/>
      <c r="O8" s="34"/>
      <c r="P8" s="34"/>
      <c r="Q8" s="34">
        <v>17.98</v>
      </c>
      <c r="R8" s="34"/>
      <c r="S8" s="37"/>
      <c r="T8" s="34">
        <v>19.690000000000001</v>
      </c>
      <c r="U8" s="36"/>
      <c r="V8" s="34"/>
      <c r="W8" s="36"/>
      <c r="X8" s="37"/>
      <c r="Y8" s="34"/>
      <c r="Z8" s="34"/>
      <c r="AA8" s="36"/>
      <c r="AB8" s="95"/>
      <c r="AC8" s="223"/>
      <c r="AD8" s="112"/>
      <c r="AE8" s="239">
        <v>28126</v>
      </c>
      <c r="AF8" s="2" t="s">
        <v>495</v>
      </c>
    </row>
    <row r="9" spans="1:82" ht="15" customHeight="1" x14ac:dyDescent="0.3">
      <c r="A9" s="38" t="s">
        <v>279</v>
      </c>
      <c r="B9" s="39">
        <v>18.13</v>
      </c>
      <c r="C9" s="39"/>
      <c r="D9" s="40"/>
      <c r="E9" s="40">
        <v>19.670000000000002</v>
      </c>
      <c r="F9" s="39">
        <v>20.07</v>
      </c>
      <c r="G9" s="39"/>
      <c r="H9" s="39">
        <v>15.05</v>
      </c>
      <c r="I9" s="41"/>
      <c r="J9" s="39">
        <v>19.3</v>
      </c>
      <c r="K9" s="39">
        <v>16.55</v>
      </c>
      <c r="L9" s="42"/>
      <c r="M9" s="39">
        <v>23.92</v>
      </c>
      <c r="N9" s="39"/>
      <c r="O9" s="39"/>
      <c r="P9" s="39"/>
      <c r="Q9" s="39">
        <v>17.79</v>
      </c>
      <c r="R9" s="39"/>
      <c r="S9" s="42"/>
      <c r="T9" s="39">
        <v>19.23</v>
      </c>
      <c r="U9" s="41"/>
      <c r="V9" s="39"/>
      <c r="W9" s="41"/>
      <c r="X9" s="42"/>
      <c r="Y9" s="39"/>
      <c r="Z9" s="39"/>
      <c r="AA9" s="41"/>
      <c r="AB9" s="96"/>
      <c r="AC9" s="224"/>
      <c r="AD9" s="113"/>
      <c r="AE9" s="240">
        <v>28157</v>
      </c>
      <c r="AF9" s="2" t="s">
        <v>495</v>
      </c>
    </row>
    <row r="10" spans="1:82" ht="15" customHeight="1" x14ac:dyDescent="0.3">
      <c r="A10" s="38" t="s">
        <v>278</v>
      </c>
      <c r="B10" s="39">
        <v>16.79</v>
      </c>
      <c r="C10" s="39"/>
      <c r="D10" s="40"/>
      <c r="E10" s="40">
        <v>19.78</v>
      </c>
      <c r="F10" s="39">
        <v>19.86</v>
      </c>
      <c r="G10" s="39"/>
      <c r="H10" s="39">
        <v>14.12</v>
      </c>
      <c r="I10" s="41"/>
      <c r="J10" s="39">
        <v>19.41</v>
      </c>
      <c r="K10" s="39">
        <v>16.34</v>
      </c>
      <c r="L10" s="42"/>
      <c r="M10" s="39">
        <v>23.74</v>
      </c>
      <c r="N10" s="39"/>
      <c r="O10" s="39"/>
      <c r="P10" s="39"/>
      <c r="Q10" s="39">
        <v>17.670000000000002</v>
      </c>
      <c r="R10" s="39"/>
      <c r="S10" s="42"/>
      <c r="T10" s="39">
        <v>18.98</v>
      </c>
      <c r="U10" s="41"/>
      <c r="V10" s="39"/>
      <c r="W10" s="41"/>
      <c r="X10" s="42"/>
      <c r="Y10" s="39"/>
      <c r="Z10" s="39"/>
      <c r="AA10" s="41"/>
      <c r="AB10" s="96"/>
      <c r="AC10" s="224"/>
      <c r="AD10" s="113"/>
      <c r="AE10" s="240">
        <v>28185</v>
      </c>
      <c r="AF10" s="2" t="s">
        <v>495</v>
      </c>
    </row>
    <row r="11" spans="1:82" ht="15" customHeight="1" x14ac:dyDescent="0.3">
      <c r="A11" s="38" t="s">
        <v>277</v>
      </c>
      <c r="B11" s="39">
        <v>16.95</v>
      </c>
      <c r="C11" s="39"/>
      <c r="D11" s="40"/>
      <c r="E11" s="40">
        <v>19.62</v>
      </c>
      <c r="F11" s="39">
        <v>19.89</v>
      </c>
      <c r="G11" s="39"/>
      <c r="H11" s="39">
        <v>14.19</v>
      </c>
      <c r="I11" s="41"/>
      <c r="J11" s="39">
        <v>19.86</v>
      </c>
      <c r="K11" s="39">
        <v>15.97</v>
      </c>
      <c r="L11" s="42"/>
      <c r="M11" s="39">
        <v>23.61</v>
      </c>
      <c r="N11" s="39"/>
      <c r="O11" s="39"/>
      <c r="P11" s="39"/>
      <c r="Q11" s="39">
        <v>17.29</v>
      </c>
      <c r="R11" s="39"/>
      <c r="S11" s="42"/>
      <c r="T11" s="39">
        <v>19.23</v>
      </c>
      <c r="U11" s="41"/>
      <c r="V11" s="39"/>
      <c r="W11" s="41"/>
      <c r="X11" s="42"/>
      <c r="Y11" s="39"/>
      <c r="Z11" s="39"/>
      <c r="AA11" s="41"/>
      <c r="AB11" s="96"/>
      <c r="AC11" s="224"/>
      <c r="AD11" s="113"/>
      <c r="AE11" s="240">
        <v>28216</v>
      </c>
      <c r="AF11" s="2" t="s">
        <v>495</v>
      </c>
    </row>
    <row r="12" spans="1:82" ht="15" customHeight="1" x14ac:dyDescent="0.3">
      <c r="A12" s="38" t="s">
        <v>276</v>
      </c>
      <c r="B12" s="39">
        <v>17.32</v>
      </c>
      <c r="C12" s="39"/>
      <c r="D12" s="40"/>
      <c r="E12" s="40">
        <v>20.05</v>
      </c>
      <c r="F12" s="39">
        <v>19.829999999999998</v>
      </c>
      <c r="G12" s="39"/>
      <c r="H12" s="39">
        <v>14.61</v>
      </c>
      <c r="I12" s="41"/>
      <c r="J12" s="39">
        <v>19.79</v>
      </c>
      <c r="K12" s="39">
        <v>15.15</v>
      </c>
      <c r="L12" s="42"/>
      <c r="M12" s="39">
        <v>23.55</v>
      </c>
      <c r="N12" s="39"/>
      <c r="O12" s="39"/>
      <c r="P12" s="39"/>
      <c r="Q12" s="39">
        <v>17.22</v>
      </c>
      <c r="R12" s="39"/>
      <c r="S12" s="42"/>
      <c r="T12" s="39">
        <v>19.57</v>
      </c>
      <c r="U12" s="41"/>
      <c r="V12" s="39"/>
      <c r="W12" s="41"/>
      <c r="X12" s="42"/>
      <c r="Y12" s="39"/>
      <c r="Z12" s="39"/>
      <c r="AA12" s="41"/>
      <c r="AB12" s="96"/>
      <c r="AC12" s="224"/>
      <c r="AD12" s="113"/>
      <c r="AE12" s="240">
        <v>28246</v>
      </c>
      <c r="AF12" s="2" t="s">
        <v>495</v>
      </c>
    </row>
    <row r="13" spans="1:82" ht="15" customHeight="1" x14ac:dyDescent="0.3">
      <c r="A13" s="38" t="s">
        <v>275</v>
      </c>
      <c r="B13" s="39">
        <v>17.18</v>
      </c>
      <c r="C13" s="39"/>
      <c r="D13" s="40"/>
      <c r="E13" s="40">
        <v>19.63</v>
      </c>
      <c r="F13" s="39">
        <v>19.59</v>
      </c>
      <c r="G13" s="39"/>
      <c r="H13" s="39">
        <v>15.03</v>
      </c>
      <c r="I13" s="41"/>
      <c r="J13" s="39">
        <v>19.79</v>
      </c>
      <c r="K13" s="39">
        <v>15.1</v>
      </c>
      <c r="L13" s="42"/>
      <c r="M13" s="39">
        <v>23.42</v>
      </c>
      <c r="N13" s="39"/>
      <c r="O13" s="39"/>
      <c r="P13" s="39"/>
      <c r="Q13" s="39">
        <v>16.62</v>
      </c>
      <c r="R13" s="39"/>
      <c r="S13" s="42"/>
      <c r="T13" s="39">
        <v>19.309999999999999</v>
      </c>
      <c r="U13" s="41"/>
      <c r="V13" s="39"/>
      <c r="W13" s="41"/>
      <c r="X13" s="42"/>
      <c r="Y13" s="39"/>
      <c r="Z13" s="39"/>
      <c r="AA13" s="41"/>
      <c r="AB13" s="96"/>
      <c r="AC13" s="224"/>
      <c r="AD13" s="113"/>
      <c r="AE13" s="240">
        <v>28277</v>
      </c>
      <c r="AF13" s="2" t="s">
        <v>495</v>
      </c>
    </row>
    <row r="14" spans="1:82" ht="15" customHeight="1" x14ac:dyDescent="0.3">
      <c r="A14" s="38" t="s">
        <v>274</v>
      </c>
      <c r="B14" s="39">
        <v>16.760000000000002</v>
      </c>
      <c r="C14" s="39"/>
      <c r="D14" s="40"/>
      <c r="E14" s="40">
        <v>19.7</v>
      </c>
      <c r="F14" s="39">
        <v>19.920000000000002</v>
      </c>
      <c r="G14" s="39"/>
      <c r="H14" s="39">
        <v>15.01</v>
      </c>
      <c r="I14" s="41"/>
      <c r="J14" s="39">
        <v>16.63</v>
      </c>
      <c r="K14" s="39">
        <v>15.07</v>
      </c>
      <c r="L14" s="42"/>
      <c r="M14" s="39">
        <v>22.75</v>
      </c>
      <c r="N14" s="39"/>
      <c r="O14" s="39"/>
      <c r="P14" s="39"/>
      <c r="Q14" s="39">
        <v>16.59</v>
      </c>
      <c r="R14" s="39"/>
      <c r="S14" s="42"/>
      <c r="T14" s="39">
        <v>19.27</v>
      </c>
      <c r="U14" s="41"/>
      <c r="V14" s="39"/>
      <c r="W14" s="41"/>
      <c r="X14" s="42"/>
      <c r="Y14" s="39"/>
      <c r="Z14" s="39"/>
      <c r="AA14" s="41"/>
      <c r="AB14" s="96"/>
      <c r="AC14" s="224"/>
      <c r="AD14" s="113"/>
      <c r="AE14" s="240">
        <v>28307</v>
      </c>
      <c r="AF14" s="2" t="s">
        <v>495</v>
      </c>
    </row>
    <row r="15" spans="1:82" ht="15" customHeight="1" x14ac:dyDescent="0.3">
      <c r="A15" s="38" t="s">
        <v>273</v>
      </c>
      <c r="B15" s="39">
        <v>17.239999999999998</v>
      </c>
      <c r="C15" s="39"/>
      <c r="D15" s="40"/>
      <c r="E15" s="40">
        <v>20.18</v>
      </c>
      <c r="F15" s="39">
        <v>20.29</v>
      </c>
      <c r="G15" s="39"/>
      <c r="H15" s="39">
        <v>15.44</v>
      </c>
      <c r="I15" s="41"/>
      <c r="J15" s="39">
        <v>16.850000000000001</v>
      </c>
      <c r="K15" s="39">
        <v>15.17</v>
      </c>
      <c r="L15" s="42"/>
      <c r="M15" s="39">
        <v>22.55</v>
      </c>
      <c r="N15" s="39"/>
      <c r="O15" s="39"/>
      <c r="P15" s="39"/>
      <c r="Q15" s="39">
        <v>16.940000000000001</v>
      </c>
      <c r="R15" s="39"/>
      <c r="S15" s="42"/>
      <c r="T15" s="39">
        <v>19.670000000000002</v>
      </c>
      <c r="U15" s="41"/>
      <c r="V15" s="39"/>
      <c r="W15" s="41"/>
      <c r="X15" s="42"/>
      <c r="Y15" s="39"/>
      <c r="Z15" s="39"/>
      <c r="AA15" s="41"/>
      <c r="AB15" s="96"/>
      <c r="AC15" s="224"/>
      <c r="AD15" s="113"/>
      <c r="AE15" s="240">
        <v>28338</v>
      </c>
      <c r="AF15" s="2" t="s">
        <v>495</v>
      </c>
    </row>
    <row r="16" spans="1:82" ht="15" customHeight="1" x14ac:dyDescent="0.3">
      <c r="A16" s="38" t="s">
        <v>272</v>
      </c>
      <c r="B16" s="39">
        <v>17.88</v>
      </c>
      <c r="C16" s="39"/>
      <c r="D16" s="40"/>
      <c r="E16" s="40">
        <v>20.48</v>
      </c>
      <c r="F16" s="39">
        <v>20.72</v>
      </c>
      <c r="G16" s="39"/>
      <c r="H16" s="39">
        <v>16.53</v>
      </c>
      <c r="I16" s="41"/>
      <c r="J16" s="39">
        <v>16.68</v>
      </c>
      <c r="K16" s="39">
        <v>15.81</v>
      </c>
      <c r="L16" s="42"/>
      <c r="M16" s="39">
        <v>22.62</v>
      </c>
      <c r="N16" s="39"/>
      <c r="O16" s="39"/>
      <c r="P16" s="39"/>
      <c r="Q16" s="39">
        <v>17.28</v>
      </c>
      <c r="R16" s="39"/>
      <c r="S16" s="42"/>
      <c r="T16" s="39">
        <v>20.2</v>
      </c>
      <c r="U16" s="41"/>
      <c r="V16" s="39"/>
      <c r="W16" s="41"/>
      <c r="X16" s="42"/>
      <c r="Y16" s="39"/>
      <c r="Z16" s="39"/>
      <c r="AA16" s="41"/>
      <c r="AB16" s="96"/>
      <c r="AC16" s="224"/>
      <c r="AD16" s="113"/>
      <c r="AE16" s="240">
        <v>28369</v>
      </c>
      <c r="AF16" s="2" t="s">
        <v>495</v>
      </c>
    </row>
    <row r="17" spans="1:32" ht="15" customHeight="1" x14ac:dyDescent="0.3">
      <c r="A17" s="38" t="s">
        <v>271</v>
      </c>
      <c r="B17" s="39">
        <v>18.899999999999999</v>
      </c>
      <c r="C17" s="39"/>
      <c r="D17" s="40"/>
      <c r="E17" s="40">
        <v>21.25</v>
      </c>
      <c r="F17" s="39">
        <v>21.18</v>
      </c>
      <c r="G17" s="39"/>
      <c r="H17" s="39">
        <v>17.3</v>
      </c>
      <c r="I17" s="41"/>
      <c r="J17" s="39">
        <v>16.97</v>
      </c>
      <c r="K17" s="39">
        <v>16.829999999999998</v>
      </c>
      <c r="L17" s="42"/>
      <c r="M17" s="39">
        <v>22.33</v>
      </c>
      <c r="N17" s="39"/>
      <c r="O17" s="39"/>
      <c r="P17" s="39"/>
      <c r="Q17" s="39">
        <v>17.66</v>
      </c>
      <c r="R17" s="39"/>
      <c r="S17" s="42"/>
      <c r="T17" s="39">
        <v>21.29</v>
      </c>
      <c r="U17" s="41"/>
      <c r="V17" s="39"/>
      <c r="W17" s="41"/>
      <c r="X17" s="42"/>
      <c r="Y17" s="39"/>
      <c r="Z17" s="39"/>
      <c r="AA17" s="41"/>
      <c r="AB17" s="96"/>
      <c r="AC17" s="224"/>
      <c r="AD17" s="113"/>
      <c r="AE17" s="240">
        <v>28399</v>
      </c>
      <c r="AF17" s="2" t="s">
        <v>495</v>
      </c>
    </row>
    <row r="18" spans="1:32" ht="15" customHeight="1" x14ac:dyDescent="0.3">
      <c r="A18" s="38" t="s">
        <v>270</v>
      </c>
      <c r="B18" s="39">
        <v>20.03</v>
      </c>
      <c r="C18" s="39"/>
      <c r="D18" s="40"/>
      <c r="E18" s="40">
        <v>20.99</v>
      </c>
      <c r="F18" s="39">
        <v>21.63</v>
      </c>
      <c r="G18" s="39"/>
      <c r="H18" s="39">
        <v>18.7</v>
      </c>
      <c r="I18" s="41"/>
      <c r="J18" s="39">
        <v>17.25</v>
      </c>
      <c r="K18" s="39">
        <v>17.41</v>
      </c>
      <c r="L18" s="42"/>
      <c r="M18" s="39">
        <v>22.07</v>
      </c>
      <c r="N18" s="39"/>
      <c r="O18" s="39"/>
      <c r="P18" s="39"/>
      <c r="Q18" s="39">
        <v>17.75</v>
      </c>
      <c r="R18" s="39"/>
      <c r="S18" s="42"/>
      <c r="T18" s="39">
        <v>21.75</v>
      </c>
      <c r="U18" s="41"/>
      <c r="V18" s="39"/>
      <c r="W18" s="41"/>
      <c r="X18" s="42"/>
      <c r="Y18" s="39"/>
      <c r="Z18" s="39"/>
      <c r="AA18" s="41"/>
      <c r="AB18" s="96"/>
      <c r="AC18" s="224"/>
      <c r="AD18" s="113"/>
      <c r="AE18" s="240">
        <v>28430</v>
      </c>
      <c r="AF18" s="2" t="s">
        <v>495</v>
      </c>
    </row>
    <row r="19" spans="1:32" ht="15" customHeight="1" x14ac:dyDescent="0.3">
      <c r="A19" s="44" t="s">
        <v>269</v>
      </c>
      <c r="B19" s="45">
        <v>20.010000000000002</v>
      </c>
      <c r="C19" s="45"/>
      <c r="D19" s="46"/>
      <c r="E19" s="46">
        <v>21.03</v>
      </c>
      <c r="F19" s="45">
        <v>21.92</v>
      </c>
      <c r="G19" s="45"/>
      <c r="H19" s="45">
        <v>18.440000000000001</v>
      </c>
      <c r="I19" s="47"/>
      <c r="J19" s="45">
        <v>17.059999999999999</v>
      </c>
      <c r="K19" s="45">
        <v>17.46</v>
      </c>
      <c r="L19" s="48"/>
      <c r="M19" s="45">
        <v>21.31</v>
      </c>
      <c r="N19" s="45"/>
      <c r="O19" s="45"/>
      <c r="P19" s="45"/>
      <c r="Q19" s="45">
        <v>18.04</v>
      </c>
      <c r="R19" s="45"/>
      <c r="S19" s="48"/>
      <c r="T19" s="45">
        <v>21.71</v>
      </c>
      <c r="U19" s="47"/>
      <c r="V19" s="45"/>
      <c r="W19" s="47"/>
      <c r="X19" s="48"/>
      <c r="Y19" s="45"/>
      <c r="Z19" s="45"/>
      <c r="AA19" s="47"/>
      <c r="AB19" s="97"/>
      <c r="AC19" s="225"/>
      <c r="AD19" s="114"/>
      <c r="AE19" s="241">
        <v>28460</v>
      </c>
      <c r="AF19" s="2" t="s">
        <v>495</v>
      </c>
    </row>
    <row r="20" spans="1:32" ht="15" customHeight="1" x14ac:dyDescent="0.3">
      <c r="A20" s="49" t="s">
        <v>268</v>
      </c>
      <c r="B20" s="50">
        <v>19.64</v>
      </c>
      <c r="C20" s="50"/>
      <c r="D20" s="51"/>
      <c r="E20" s="51">
        <v>21.06</v>
      </c>
      <c r="F20" s="50">
        <v>21.05</v>
      </c>
      <c r="G20" s="50"/>
      <c r="H20" s="50">
        <v>18.309999999999999</v>
      </c>
      <c r="I20" s="52"/>
      <c r="J20" s="50">
        <v>16.899999999999999</v>
      </c>
      <c r="K20" s="50">
        <v>17.29</v>
      </c>
      <c r="L20" s="53"/>
      <c r="M20" s="50">
        <v>21.32</v>
      </c>
      <c r="N20" s="50"/>
      <c r="O20" s="50"/>
      <c r="P20" s="50"/>
      <c r="Q20" s="50">
        <v>17.91</v>
      </c>
      <c r="R20" s="50"/>
      <c r="S20" s="53"/>
      <c r="T20" s="50">
        <v>20.8</v>
      </c>
      <c r="U20" s="52"/>
      <c r="V20" s="50"/>
      <c r="W20" s="52"/>
      <c r="X20" s="53"/>
      <c r="Y20" s="50"/>
      <c r="Z20" s="50"/>
      <c r="AA20" s="52"/>
      <c r="AB20" s="98"/>
      <c r="AC20" s="226"/>
      <c r="AD20" s="115"/>
      <c r="AE20" s="240">
        <v>28491</v>
      </c>
      <c r="AF20" s="2" t="s">
        <v>495</v>
      </c>
    </row>
    <row r="21" spans="1:32" ht="15" customHeight="1" x14ac:dyDescent="0.3">
      <c r="A21" s="38" t="s">
        <v>267</v>
      </c>
      <c r="B21" s="39">
        <v>19.82</v>
      </c>
      <c r="C21" s="39"/>
      <c r="D21" s="40"/>
      <c r="E21" s="40">
        <v>21.27</v>
      </c>
      <c r="F21" s="39">
        <v>21.19</v>
      </c>
      <c r="G21" s="39"/>
      <c r="H21" s="39">
        <v>17.149999999999999</v>
      </c>
      <c r="I21" s="41"/>
      <c r="J21" s="39">
        <v>16.48</v>
      </c>
      <c r="K21" s="39">
        <v>16.75</v>
      </c>
      <c r="L21" s="42"/>
      <c r="M21" s="39">
        <v>21.52</v>
      </c>
      <c r="N21" s="39"/>
      <c r="O21" s="39"/>
      <c r="P21" s="39"/>
      <c r="Q21" s="39">
        <v>18.170000000000002</v>
      </c>
      <c r="R21" s="39"/>
      <c r="S21" s="42"/>
      <c r="T21" s="39">
        <v>20.46</v>
      </c>
      <c r="U21" s="41"/>
      <c r="V21" s="39"/>
      <c r="W21" s="41"/>
      <c r="X21" s="42"/>
      <c r="Y21" s="39"/>
      <c r="Z21" s="39"/>
      <c r="AA21" s="41"/>
      <c r="AB21" s="96"/>
      <c r="AC21" s="224"/>
      <c r="AD21" s="113"/>
      <c r="AE21" s="240">
        <v>28522</v>
      </c>
      <c r="AF21" s="2" t="s">
        <v>495</v>
      </c>
    </row>
    <row r="22" spans="1:32" ht="15" customHeight="1" x14ac:dyDescent="0.3">
      <c r="A22" s="38" t="s">
        <v>266</v>
      </c>
      <c r="B22" s="39">
        <v>18.86</v>
      </c>
      <c r="C22" s="39"/>
      <c r="D22" s="40"/>
      <c r="E22" s="40">
        <v>21.25</v>
      </c>
      <c r="F22" s="39">
        <v>21.08</v>
      </c>
      <c r="G22" s="39"/>
      <c r="H22" s="39">
        <v>15.74</v>
      </c>
      <c r="I22" s="41"/>
      <c r="J22" s="39">
        <v>16.36</v>
      </c>
      <c r="K22" s="39">
        <v>16.88</v>
      </c>
      <c r="L22" s="42"/>
      <c r="M22" s="39">
        <v>21.4</v>
      </c>
      <c r="N22" s="39"/>
      <c r="O22" s="39"/>
      <c r="P22" s="39"/>
      <c r="Q22" s="39">
        <v>17.95</v>
      </c>
      <c r="R22" s="39"/>
      <c r="S22" s="42"/>
      <c r="T22" s="39">
        <v>20.350000000000001</v>
      </c>
      <c r="U22" s="41"/>
      <c r="V22" s="39"/>
      <c r="W22" s="41"/>
      <c r="X22" s="42"/>
      <c r="Y22" s="39"/>
      <c r="Z22" s="39"/>
      <c r="AA22" s="41"/>
      <c r="AB22" s="96"/>
      <c r="AC22" s="224"/>
      <c r="AD22" s="113"/>
      <c r="AE22" s="240">
        <v>28550</v>
      </c>
      <c r="AF22" s="2" t="s">
        <v>495</v>
      </c>
    </row>
    <row r="23" spans="1:32" ht="15" customHeight="1" x14ac:dyDescent="0.3">
      <c r="A23" s="38" t="s">
        <v>265</v>
      </c>
      <c r="B23" s="39">
        <v>17.920000000000002</v>
      </c>
      <c r="C23" s="39"/>
      <c r="D23" s="40"/>
      <c r="E23" s="40">
        <v>21.08</v>
      </c>
      <c r="F23" s="39">
        <v>20.84</v>
      </c>
      <c r="G23" s="39"/>
      <c r="H23" s="39">
        <v>14.68</v>
      </c>
      <c r="I23" s="41"/>
      <c r="J23" s="39">
        <v>16.600000000000001</v>
      </c>
      <c r="K23" s="39">
        <v>16.989999999999998</v>
      </c>
      <c r="L23" s="42"/>
      <c r="M23" s="39">
        <v>21.24</v>
      </c>
      <c r="N23" s="39"/>
      <c r="O23" s="39"/>
      <c r="P23" s="39"/>
      <c r="Q23" s="39">
        <v>16.96</v>
      </c>
      <c r="R23" s="39"/>
      <c r="S23" s="42"/>
      <c r="T23" s="39">
        <v>20.76</v>
      </c>
      <c r="U23" s="41"/>
      <c r="V23" s="39"/>
      <c r="W23" s="41"/>
      <c r="X23" s="42"/>
      <c r="Y23" s="39"/>
      <c r="Z23" s="39"/>
      <c r="AA23" s="41"/>
      <c r="AB23" s="96"/>
      <c r="AC23" s="224"/>
      <c r="AD23" s="113"/>
      <c r="AE23" s="240">
        <v>28581</v>
      </c>
      <c r="AF23" s="2" t="s">
        <v>495</v>
      </c>
    </row>
    <row r="24" spans="1:32" ht="15" customHeight="1" x14ac:dyDescent="0.3">
      <c r="A24" s="38" t="s">
        <v>264</v>
      </c>
      <c r="B24" s="39">
        <v>17.690000000000001</v>
      </c>
      <c r="C24" s="39"/>
      <c r="D24" s="40"/>
      <c r="E24" s="40">
        <v>21.4</v>
      </c>
      <c r="F24" s="39">
        <v>20.8</v>
      </c>
      <c r="G24" s="39"/>
      <c r="H24" s="39">
        <v>15.27</v>
      </c>
      <c r="I24" s="41"/>
      <c r="J24" s="39">
        <v>17.04</v>
      </c>
      <c r="K24" s="39">
        <v>16.04</v>
      </c>
      <c r="L24" s="42"/>
      <c r="M24" s="39">
        <v>21.75</v>
      </c>
      <c r="N24" s="39"/>
      <c r="O24" s="39"/>
      <c r="P24" s="39"/>
      <c r="Q24" s="39">
        <v>17.010000000000002</v>
      </c>
      <c r="R24" s="39"/>
      <c r="S24" s="42"/>
      <c r="T24" s="39">
        <v>19.87</v>
      </c>
      <c r="U24" s="41"/>
      <c r="V24" s="39"/>
      <c r="W24" s="41"/>
      <c r="X24" s="42"/>
      <c r="Y24" s="39"/>
      <c r="Z24" s="39"/>
      <c r="AA24" s="41"/>
      <c r="AB24" s="96"/>
      <c r="AC24" s="224"/>
      <c r="AD24" s="113"/>
      <c r="AE24" s="240">
        <v>28611</v>
      </c>
      <c r="AF24" s="2" t="s">
        <v>495</v>
      </c>
    </row>
    <row r="25" spans="1:32" ht="15" customHeight="1" x14ac:dyDescent="0.3">
      <c r="A25" s="38" t="s">
        <v>263</v>
      </c>
      <c r="B25" s="39">
        <v>17.84</v>
      </c>
      <c r="C25" s="39"/>
      <c r="D25" s="40"/>
      <c r="E25" s="40">
        <v>21.38</v>
      </c>
      <c r="F25" s="39">
        <v>20.56</v>
      </c>
      <c r="G25" s="39"/>
      <c r="H25" s="39">
        <v>15.82</v>
      </c>
      <c r="I25" s="41"/>
      <c r="J25" s="39">
        <v>17.41</v>
      </c>
      <c r="K25" s="39">
        <v>16.22</v>
      </c>
      <c r="L25" s="42"/>
      <c r="M25" s="39">
        <v>21.8</v>
      </c>
      <c r="N25" s="39"/>
      <c r="O25" s="39"/>
      <c r="P25" s="39"/>
      <c r="Q25" s="39">
        <v>16.75</v>
      </c>
      <c r="R25" s="39"/>
      <c r="S25" s="42"/>
      <c r="T25" s="39">
        <v>19.91</v>
      </c>
      <c r="U25" s="41"/>
      <c r="V25" s="39"/>
      <c r="W25" s="41"/>
      <c r="X25" s="42"/>
      <c r="Y25" s="39"/>
      <c r="Z25" s="39"/>
      <c r="AA25" s="41"/>
      <c r="AB25" s="96"/>
      <c r="AC25" s="224"/>
      <c r="AD25" s="113"/>
      <c r="AE25" s="240">
        <v>28642</v>
      </c>
      <c r="AF25" s="2" t="s">
        <v>495</v>
      </c>
    </row>
    <row r="26" spans="1:32" ht="15" customHeight="1" x14ac:dyDescent="0.3">
      <c r="A26" s="38" t="s">
        <v>262</v>
      </c>
      <c r="B26" s="39">
        <v>17.68</v>
      </c>
      <c r="C26" s="39"/>
      <c r="D26" s="40"/>
      <c r="E26" s="40">
        <v>21.27</v>
      </c>
      <c r="F26" s="39">
        <v>20.82</v>
      </c>
      <c r="G26" s="39"/>
      <c r="H26" s="39">
        <v>16.38</v>
      </c>
      <c r="I26" s="41"/>
      <c r="J26" s="39">
        <v>17.41</v>
      </c>
      <c r="K26" s="39">
        <v>16.36</v>
      </c>
      <c r="L26" s="42"/>
      <c r="M26" s="39">
        <v>21.84</v>
      </c>
      <c r="N26" s="39"/>
      <c r="O26" s="39"/>
      <c r="P26" s="39"/>
      <c r="Q26" s="39">
        <v>15.85</v>
      </c>
      <c r="R26" s="39"/>
      <c r="S26" s="42"/>
      <c r="T26" s="39">
        <v>19.45</v>
      </c>
      <c r="U26" s="41"/>
      <c r="V26" s="39"/>
      <c r="W26" s="41"/>
      <c r="X26" s="42"/>
      <c r="Y26" s="39"/>
      <c r="Z26" s="39"/>
      <c r="AA26" s="41"/>
      <c r="AB26" s="96"/>
      <c r="AC26" s="224"/>
      <c r="AD26" s="113"/>
      <c r="AE26" s="240">
        <v>28672</v>
      </c>
      <c r="AF26" s="2" t="s">
        <v>495</v>
      </c>
    </row>
    <row r="27" spans="1:32" ht="15" customHeight="1" x14ac:dyDescent="0.3">
      <c r="A27" s="38" t="s">
        <v>261</v>
      </c>
      <c r="B27" s="39">
        <v>17.73</v>
      </c>
      <c r="C27" s="39"/>
      <c r="D27" s="40"/>
      <c r="E27" s="40">
        <v>20.74</v>
      </c>
      <c r="F27" s="39">
        <v>21.14</v>
      </c>
      <c r="G27" s="39"/>
      <c r="H27" s="39">
        <v>16.760000000000002</v>
      </c>
      <c r="I27" s="41"/>
      <c r="J27" s="39">
        <v>17.63</v>
      </c>
      <c r="K27" s="39">
        <v>16.760000000000002</v>
      </c>
      <c r="L27" s="42"/>
      <c r="M27" s="39">
        <v>21.72</v>
      </c>
      <c r="N27" s="39"/>
      <c r="O27" s="39"/>
      <c r="P27" s="39"/>
      <c r="Q27" s="39">
        <v>16.71</v>
      </c>
      <c r="R27" s="39"/>
      <c r="S27" s="42"/>
      <c r="T27" s="39">
        <v>19.690000000000001</v>
      </c>
      <c r="U27" s="41"/>
      <c r="V27" s="39"/>
      <c r="W27" s="41"/>
      <c r="X27" s="42"/>
      <c r="Y27" s="39"/>
      <c r="Z27" s="39"/>
      <c r="AA27" s="41"/>
      <c r="AB27" s="96"/>
      <c r="AC27" s="224"/>
      <c r="AD27" s="113"/>
      <c r="AE27" s="240">
        <v>28703</v>
      </c>
      <c r="AF27" s="2" t="s">
        <v>495</v>
      </c>
    </row>
    <row r="28" spans="1:32" ht="15" customHeight="1" x14ac:dyDescent="0.3">
      <c r="A28" s="38" t="s">
        <v>260</v>
      </c>
      <c r="B28" s="39">
        <v>18.59</v>
      </c>
      <c r="C28" s="39"/>
      <c r="D28" s="40"/>
      <c r="E28" s="40">
        <v>21.53</v>
      </c>
      <c r="F28" s="39">
        <v>22.11</v>
      </c>
      <c r="G28" s="39"/>
      <c r="H28" s="39">
        <v>17.59</v>
      </c>
      <c r="I28" s="41"/>
      <c r="J28" s="39">
        <v>18.43</v>
      </c>
      <c r="K28" s="39">
        <v>17.29</v>
      </c>
      <c r="L28" s="42"/>
      <c r="M28" s="39">
        <v>22.01</v>
      </c>
      <c r="N28" s="39"/>
      <c r="O28" s="39"/>
      <c r="P28" s="39"/>
      <c r="Q28" s="39">
        <v>17.29</v>
      </c>
      <c r="R28" s="39"/>
      <c r="S28" s="42"/>
      <c r="T28" s="39">
        <v>20.53</v>
      </c>
      <c r="U28" s="41"/>
      <c r="V28" s="39"/>
      <c r="W28" s="41"/>
      <c r="X28" s="42"/>
      <c r="Y28" s="39"/>
      <c r="Z28" s="39"/>
      <c r="AA28" s="41"/>
      <c r="AB28" s="96"/>
      <c r="AC28" s="224"/>
      <c r="AD28" s="113"/>
      <c r="AE28" s="240">
        <v>28734</v>
      </c>
      <c r="AF28" s="2" t="s">
        <v>495</v>
      </c>
    </row>
    <row r="29" spans="1:32" ht="15" customHeight="1" x14ac:dyDescent="0.3">
      <c r="A29" s="38" t="s">
        <v>259</v>
      </c>
      <c r="B29" s="39">
        <v>19.98</v>
      </c>
      <c r="C29" s="39"/>
      <c r="D29" s="40"/>
      <c r="E29" s="40">
        <v>22.16</v>
      </c>
      <c r="F29" s="39">
        <v>22.93</v>
      </c>
      <c r="G29" s="39"/>
      <c r="H29" s="39">
        <v>17.899999999999999</v>
      </c>
      <c r="I29" s="41"/>
      <c r="J29" s="39">
        <v>18.88</v>
      </c>
      <c r="K29" s="39">
        <v>18.16</v>
      </c>
      <c r="L29" s="42"/>
      <c r="M29" s="39">
        <v>21.88</v>
      </c>
      <c r="N29" s="39"/>
      <c r="O29" s="39"/>
      <c r="P29" s="39"/>
      <c r="Q29" s="39">
        <v>18.95</v>
      </c>
      <c r="R29" s="39"/>
      <c r="S29" s="42"/>
      <c r="T29" s="39">
        <v>21.78</v>
      </c>
      <c r="U29" s="41"/>
      <c r="V29" s="39"/>
      <c r="W29" s="41"/>
      <c r="X29" s="42"/>
      <c r="Y29" s="39"/>
      <c r="Z29" s="39"/>
      <c r="AA29" s="41"/>
      <c r="AB29" s="96"/>
      <c r="AC29" s="224"/>
      <c r="AD29" s="113"/>
      <c r="AE29" s="240">
        <v>28764</v>
      </c>
      <c r="AF29" s="2" t="s">
        <v>495</v>
      </c>
    </row>
    <row r="30" spans="1:32" ht="15" customHeight="1" x14ac:dyDescent="0.3">
      <c r="A30" s="38" t="s">
        <v>258</v>
      </c>
      <c r="B30" s="39">
        <v>21.16</v>
      </c>
      <c r="C30" s="39"/>
      <c r="D30" s="40"/>
      <c r="E30" s="40">
        <v>22.24</v>
      </c>
      <c r="F30" s="39">
        <v>23.22</v>
      </c>
      <c r="G30" s="39"/>
      <c r="H30" s="39">
        <v>19.149999999999999</v>
      </c>
      <c r="I30" s="41"/>
      <c r="J30" s="39">
        <v>19.350000000000001</v>
      </c>
      <c r="K30" s="39">
        <v>18.88</v>
      </c>
      <c r="L30" s="42"/>
      <c r="M30" s="39">
        <v>21.66</v>
      </c>
      <c r="N30" s="39"/>
      <c r="O30" s="39"/>
      <c r="P30" s="39"/>
      <c r="Q30" s="39">
        <v>20.92</v>
      </c>
      <c r="R30" s="39"/>
      <c r="S30" s="42"/>
      <c r="T30" s="39">
        <v>21.88</v>
      </c>
      <c r="U30" s="41"/>
      <c r="V30" s="39"/>
      <c r="W30" s="41"/>
      <c r="X30" s="42"/>
      <c r="Y30" s="39"/>
      <c r="Z30" s="39"/>
      <c r="AA30" s="41"/>
      <c r="AB30" s="96"/>
      <c r="AC30" s="224"/>
      <c r="AD30" s="113"/>
      <c r="AE30" s="240">
        <v>28795</v>
      </c>
      <c r="AF30" s="2" t="s">
        <v>495</v>
      </c>
    </row>
    <row r="31" spans="1:32" ht="15" customHeight="1" x14ac:dyDescent="0.3">
      <c r="A31" s="44" t="s">
        <v>257</v>
      </c>
      <c r="B31" s="45">
        <v>21.29</v>
      </c>
      <c r="C31" s="45"/>
      <c r="D31" s="46"/>
      <c r="E31" s="46">
        <v>22.11</v>
      </c>
      <c r="F31" s="45">
        <v>23.2</v>
      </c>
      <c r="G31" s="45"/>
      <c r="H31" s="45">
        <v>19.63</v>
      </c>
      <c r="I31" s="47"/>
      <c r="J31" s="45">
        <v>19.329999999999998</v>
      </c>
      <c r="K31" s="45">
        <v>19.36</v>
      </c>
      <c r="L31" s="48"/>
      <c r="M31" s="45">
        <v>21.59</v>
      </c>
      <c r="N31" s="45"/>
      <c r="O31" s="45"/>
      <c r="P31" s="45"/>
      <c r="Q31" s="45">
        <v>19.079999999999998</v>
      </c>
      <c r="R31" s="45"/>
      <c r="S31" s="48"/>
      <c r="T31" s="45">
        <v>21.61</v>
      </c>
      <c r="U31" s="47"/>
      <c r="V31" s="45"/>
      <c r="W31" s="47"/>
      <c r="X31" s="48"/>
      <c r="Y31" s="45"/>
      <c r="Z31" s="45"/>
      <c r="AA31" s="47"/>
      <c r="AB31" s="97"/>
      <c r="AC31" s="225"/>
      <c r="AD31" s="114"/>
      <c r="AE31" s="241">
        <v>28825</v>
      </c>
      <c r="AF31" s="2" t="s">
        <v>495</v>
      </c>
    </row>
    <row r="32" spans="1:32" ht="15" customHeight="1" x14ac:dyDescent="0.3">
      <c r="A32" s="49" t="s">
        <v>256</v>
      </c>
      <c r="B32" s="50">
        <v>20.94</v>
      </c>
      <c r="C32" s="50"/>
      <c r="D32" s="51"/>
      <c r="E32" s="51">
        <v>22.26</v>
      </c>
      <c r="F32" s="50">
        <v>22.57</v>
      </c>
      <c r="G32" s="50"/>
      <c r="H32" s="50">
        <v>18.75</v>
      </c>
      <c r="I32" s="52"/>
      <c r="J32" s="50">
        <v>19.350000000000001</v>
      </c>
      <c r="K32" s="50">
        <v>19.52</v>
      </c>
      <c r="L32" s="53"/>
      <c r="M32" s="50">
        <v>22.21</v>
      </c>
      <c r="N32" s="50"/>
      <c r="O32" s="50"/>
      <c r="P32" s="50"/>
      <c r="Q32" s="50">
        <v>19.13</v>
      </c>
      <c r="R32" s="50"/>
      <c r="S32" s="53"/>
      <c r="T32" s="50">
        <v>21.38</v>
      </c>
      <c r="U32" s="52"/>
      <c r="V32" s="50"/>
      <c r="W32" s="52"/>
      <c r="X32" s="53"/>
      <c r="Y32" s="50"/>
      <c r="Z32" s="50"/>
      <c r="AA32" s="52"/>
      <c r="AB32" s="98"/>
      <c r="AC32" s="226"/>
      <c r="AD32" s="115"/>
      <c r="AE32" s="240">
        <v>28856</v>
      </c>
      <c r="AF32" s="2" t="s">
        <v>495</v>
      </c>
    </row>
    <row r="33" spans="1:32" ht="15" customHeight="1" x14ac:dyDescent="0.3">
      <c r="A33" s="38" t="s">
        <v>255</v>
      </c>
      <c r="B33" s="39">
        <v>20.57</v>
      </c>
      <c r="C33" s="39"/>
      <c r="D33" s="40"/>
      <c r="E33" s="40">
        <v>22.13</v>
      </c>
      <c r="F33" s="39">
        <v>22.32</v>
      </c>
      <c r="G33" s="39"/>
      <c r="H33" s="39">
        <v>17.82</v>
      </c>
      <c r="I33" s="41"/>
      <c r="J33" s="39">
        <v>19.8</v>
      </c>
      <c r="K33" s="39">
        <v>18.989999999999998</v>
      </c>
      <c r="L33" s="42"/>
      <c r="M33" s="39">
        <v>22.45</v>
      </c>
      <c r="N33" s="39"/>
      <c r="O33" s="39"/>
      <c r="P33" s="39"/>
      <c r="Q33" s="39">
        <v>19.010000000000002</v>
      </c>
      <c r="R33" s="39"/>
      <c r="S33" s="42"/>
      <c r="T33" s="39">
        <v>21.27</v>
      </c>
      <c r="U33" s="41"/>
      <c r="V33" s="39"/>
      <c r="W33" s="41"/>
      <c r="X33" s="42"/>
      <c r="Y33" s="39"/>
      <c r="Z33" s="39"/>
      <c r="AA33" s="41"/>
      <c r="AB33" s="96"/>
      <c r="AC33" s="224"/>
      <c r="AD33" s="113"/>
      <c r="AE33" s="240">
        <v>28887</v>
      </c>
      <c r="AF33" s="2" t="s">
        <v>495</v>
      </c>
    </row>
    <row r="34" spans="1:32" ht="15" customHeight="1" x14ac:dyDescent="0.3">
      <c r="A34" s="38" t="s">
        <v>254</v>
      </c>
      <c r="B34" s="39">
        <v>19.329999999999998</v>
      </c>
      <c r="C34" s="39"/>
      <c r="D34" s="40"/>
      <c r="E34" s="40">
        <v>21.94</v>
      </c>
      <c r="F34" s="39">
        <v>22.05</v>
      </c>
      <c r="G34" s="39"/>
      <c r="H34" s="39">
        <v>17.27</v>
      </c>
      <c r="I34" s="41"/>
      <c r="J34" s="39">
        <v>19.63</v>
      </c>
      <c r="K34" s="39">
        <v>18.66</v>
      </c>
      <c r="L34" s="42"/>
      <c r="M34" s="39">
        <v>22.62</v>
      </c>
      <c r="N34" s="39"/>
      <c r="O34" s="39"/>
      <c r="P34" s="39"/>
      <c r="Q34" s="39">
        <v>18.829999999999998</v>
      </c>
      <c r="R34" s="39"/>
      <c r="S34" s="42"/>
      <c r="T34" s="39">
        <v>20.95</v>
      </c>
      <c r="U34" s="41"/>
      <c r="V34" s="39"/>
      <c r="W34" s="41"/>
      <c r="X34" s="42"/>
      <c r="Y34" s="39"/>
      <c r="Z34" s="39"/>
      <c r="AA34" s="41"/>
      <c r="AB34" s="96"/>
      <c r="AC34" s="224"/>
      <c r="AD34" s="113"/>
      <c r="AE34" s="240">
        <v>28915</v>
      </c>
      <c r="AF34" s="2" t="s">
        <v>495</v>
      </c>
    </row>
    <row r="35" spans="1:32" ht="15" customHeight="1" x14ac:dyDescent="0.3">
      <c r="A35" s="38" t="s">
        <v>253</v>
      </c>
      <c r="B35" s="39">
        <v>17.79</v>
      </c>
      <c r="C35" s="39"/>
      <c r="D35" s="40"/>
      <c r="E35" s="40">
        <v>21.7</v>
      </c>
      <c r="F35" s="39">
        <v>21.62</v>
      </c>
      <c r="G35" s="39"/>
      <c r="H35" s="39">
        <v>16.489999999999998</v>
      </c>
      <c r="I35" s="41"/>
      <c r="J35" s="39">
        <v>20.329999999999998</v>
      </c>
      <c r="K35" s="39">
        <v>18.38</v>
      </c>
      <c r="L35" s="42"/>
      <c r="M35" s="39">
        <v>22.8</v>
      </c>
      <c r="N35" s="39"/>
      <c r="O35" s="39"/>
      <c r="P35" s="39"/>
      <c r="Q35" s="39">
        <v>18.690000000000001</v>
      </c>
      <c r="R35" s="39"/>
      <c r="S35" s="42"/>
      <c r="T35" s="39">
        <v>20.3</v>
      </c>
      <c r="U35" s="41"/>
      <c r="V35" s="39"/>
      <c r="W35" s="41"/>
      <c r="X35" s="42"/>
      <c r="Y35" s="39"/>
      <c r="Z35" s="39"/>
      <c r="AA35" s="41"/>
      <c r="AB35" s="96"/>
      <c r="AC35" s="224"/>
      <c r="AD35" s="113"/>
      <c r="AE35" s="240">
        <v>28946</v>
      </c>
      <c r="AF35" s="2" t="s">
        <v>495</v>
      </c>
    </row>
    <row r="36" spans="1:32" ht="15" customHeight="1" x14ac:dyDescent="0.3">
      <c r="A36" s="38" t="s">
        <v>252</v>
      </c>
      <c r="B36" s="39">
        <v>17.75</v>
      </c>
      <c r="C36" s="39"/>
      <c r="D36" s="40"/>
      <c r="E36" s="40">
        <v>21.18</v>
      </c>
      <c r="F36" s="39">
        <v>21.56</v>
      </c>
      <c r="G36" s="39"/>
      <c r="H36" s="39">
        <v>16.239999999999998</v>
      </c>
      <c r="I36" s="41"/>
      <c r="J36" s="39">
        <v>21.16</v>
      </c>
      <c r="K36" s="39">
        <v>17.239999999999998</v>
      </c>
      <c r="L36" s="42"/>
      <c r="M36" s="39">
        <v>23.01</v>
      </c>
      <c r="N36" s="39"/>
      <c r="O36" s="39"/>
      <c r="P36" s="39"/>
      <c r="Q36" s="39">
        <v>18.79</v>
      </c>
      <c r="R36" s="39"/>
      <c r="S36" s="42"/>
      <c r="T36" s="39">
        <v>20.100000000000001</v>
      </c>
      <c r="U36" s="41"/>
      <c r="V36" s="39"/>
      <c r="W36" s="41"/>
      <c r="X36" s="42"/>
      <c r="Y36" s="39"/>
      <c r="Z36" s="39"/>
      <c r="AA36" s="41"/>
      <c r="AB36" s="96"/>
      <c r="AC36" s="224"/>
      <c r="AD36" s="113"/>
      <c r="AE36" s="240">
        <v>28976</v>
      </c>
      <c r="AF36" s="2" t="s">
        <v>495</v>
      </c>
    </row>
    <row r="37" spans="1:32" ht="15" customHeight="1" x14ac:dyDescent="0.3">
      <c r="A37" s="38" t="s">
        <v>251</v>
      </c>
      <c r="B37" s="39">
        <v>17.559999999999999</v>
      </c>
      <c r="C37" s="39"/>
      <c r="D37" s="40"/>
      <c r="E37" s="40">
        <v>20.51</v>
      </c>
      <c r="F37" s="39">
        <v>21.24</v>
      </c>
      <c r="G37" s="39"/>
      <c r="H37" s="39">
        <v>16.16</v>
      </c>
      <c r="I37" s="41"/>
      <c r="J37" s="39">
        <v>21.23</v>
      </c>
      <c r="K37" s="39">
        <v>16.95</v>
      </c>
      <c r="L37" s="42"/>
      <c r="M37" s="39">
        <v>22.92</v>
      </c>
      <c r="N37" s="39"/>
      <c r="O37" s="39"/>
      <c r="P37" s="39"/>
      <c r="Q37" s="39">
        <v>17.97</v>
      </c>
      <c r="R37" s="39"/>
      <c r="S37" s="42"/>
      <c r="T37" s="39">
        <v>19.829999999999998</v>
      </c>
      <c r="U37" s="41"/>
      <c r="V37" s="39"/>
      <c r="W37" s="41"/>
      <c r="X37" s="42"/>
      <c r="Y37" s="39"/>
      <c r="Z37" s="39"/>
      <c r="AA37" s="41"/>
      <c r="AB37" s="96"/>
      <c r="AC37" s="224"/>
      <c r="AD37" s="113"/>
      <c r="AE37" s="240">
        <v>29007</v>
      </c>
      <c r="AF37" s="2" t="s">
        <v>495</v>
      </c>
    </row>
    <row r="38" spans="1:32" ht="15" customHeight="1" x14ac:dyDescent="0.3">
      <c r="A38" s="38" t="s">
        <v>250</v>
      </c>
      <c r="B38" s="39">
        <v>17.48</v>
      </c>
      <c r="C38" s="39"/>
      <c r="D38" s="40"/>
      <c r="E38" s="40">
        <v>20.34</v>
      </c>
      <c r="F38" s="39">
        <v>21.34</v>
      </c>
      <c r="G38" s="39"/>
      <c r="H38" s="39">
        <v>16.23</v>
      </c>
      <c r="I38" s="41"/>
      <c r="J38" s="39">
        <v>20.43</v>
      </c>
      <c r="K38" s="39">
        <v>16.75</v>
      </c>
      <c r="L38" s="42"/>
      <c r="M38" s="39">
        <v>22.93</v>
      </c>
      <c r="N38" s="39"/>
      <c r="O38" s="39"/>
      <c r="P38" s="39"/>
      <c r="Q38" s="39">
        <v>17.98</v>
      </c>
      <c r="R38" s="39"/>
      <c r="S38" s="42"/>
      <c r="T38" s="39">
        <v>19.62</v>
      </c>
      <c r="U38" s="41"/>
      <c r="V38" s="39"/>
      <c r="W38" s="41"/>
      <c r="X38" s="42"/>
      <c r="Y38" s="39"/>
      <c r="Z38" s="39"/>
      <c r="AA38" s="41"/>
      <c r="AB38" s="96"/>
      <c r="AC38" s="224"/>
      <c r="AD38" s="113"/>
      <c r="AE38" s="240">
        <v>29037</v>
      </c>
      <c r="AF38" s="2" t="s">
        <v>495</v>
      </c>
    </row>
    <row r="39" spans="1:32" ht="15" customHeight="1" x14ac:dyDescent="0.3">
      <c r="A39" s="38" t="s">
        <v>249</v>
      </c>
      <c r="B39" s="39">
        <v>17.73</v>
      </c>
      <c r="C39" s="39"/>
      <c r="D39" s="40"/>
      <c r="E39" s="40">
        <v>20.57</v>
      </c>
      <c r="F39" s="39">
        <v>21.66</v>
      </c>
      <c r="G39" s="39"/>
      <c r="H39" s="39">
        <v>16.62</v>
      </c>
      <c r="I39" s="41"/>
      <c r="J39" s="39">
        <v>21.16</v>
      </c>
      <c r="K39" s="39">
        <v>17.29</v>
      </c>
      <c r="L39" s="42"/>
      <c r="M39" s="39">
        <v>23.1</v>
      </c>
      <c r="N39" s="39"/>
      <c r="O39" s="39"/>
      <c r="P39" s="39"/>
      <c r="Q39" s="39">
        <v>18.09</v>
      </c>
      <c r="R39" s="39"/>
      <c r="S39" s="42"/>
      <c r="T39" s="39">
        <v>19.88</v>
      </c>
      <c r="U39" s="41"/>
      <c r="V39" s="39"/>
      <c r="W39" s="41"/>
      <c r="X39" s="42"/>
      <c r="Y39" s="39"/>
      <c r="Z39" s="39"/>
      <c r="AA39" s="41"/>
      <c r="AB39" s="96"/>
      <c r="AC39" s="224"/>
      <c r="AD39" s="113"/>
      <c r="AE39" s="240">
        <v>29068</v>
      </c>
      <c r="AF39" s="2" t="s">
        <v>495</v>
      </c>
    </row>
    <row r="40" spans="1:32" ht="15" customHeight="1" x14ac:dyDescent="0.3">
      <c r="A40" s="38" t="s">
        <v>248</v>
      </c>
      <c r="B40" s="39">
        <v>18.57</v>
      </c>
      <c r="C40" s="39"/>
      <c r="D40" s="40"/>
      <c r="E40" s="40">
        <v>21.36</v>
      </c>
      <c r="F40" s="39">
        <v>22.5</v>
      </c>
      <c r="G40" s="39"/>
      <c r="H40" s="39">
        <v>17.39</v>
      </c>
      <c r="I40" s="41"/>
      <c r="J40" s="39">
        <v>21.03</v>
      </c>
      <c r="K40" s="39">
        <v>18.11</v>
      </c>
      <c r="L40" s="42"/>
      <c r="M40" s="39">
        <v>23.53</v>
      </c>
      <c r="N40" s="39"/>
      <c r="O40" s="39"/>
      <c r="P40" s="39"/>
      <c r="Q40" s="39">
        <v>18.489999999999998</v>
      </c>
      <c r="R40" s="39"/>
      <c r="S40" s="42"/>
      <c r="T40" s="39">
        <v>20.65</v>
      </c>
      <c r="U40" s="41"/>
      <c r="V40" s="39"/>
      <c r="W40" s="41"/>
      <c r="X40" s="42"/>
      <c r="Y40" s="39"/>
      <c r="Z40" s="39"/>
      <c r="AA40" s="41"/>
      <c r="AB40" s="96"/>
      <c r="AC40" s="224"/>
      <c r="AD40" s="113"/>
      <c r="AE40" s="240">
        <v>29099</v>
      </c>
      <c r="AF40" s="2" t="s">
        <v>495</v>
      </c>
    </row>
    <row r="41" spans="1:32" ht="15" customHeight="1" x14ac:dyDescent="0.3">
      <c r="A41" s="38" t="s">
        <v>247</v>
      </c>
      <c r="B41" s="39">
        <v>19.920000000000002</v>
      </c>
      <c r="C41" s="39"/>
      <c r="D41" s="40"/>
      <c r="E41" s="40">
        <v>21.97</v>
      </c>
      <c r="F41" s="39">
        <v>23.18</v>
      </c>
      <c r="G41" s="39"/>
      <c r="H41" s="39">
        <v>18.3</v>
      </c>
      <c r="I41" s="41"/>
      <c r="J41" s="39">
        <v>20.78</v>
      </c>
      <c r="K41" s="39">
        <v>19.32</v>
      </c>
      <c r="L41" s="42"/>
      <c r="M41" s="39">
        <v>23.65</v>
      </c>
      <c r="N41" s="39"/>
      <c r="O41" s="39"/>
      <c r="P41" s="39"/>
      <c r="Q41" s="39">
        <v>19.53</v>
      </c>
      <c r="R41" s="39"/>
      <c r="S41" s="42"/>
      <c r="T41" s="39">
        <v>21.54</v>
      </c>
      <c r="U41" s="41"/>
      <c r="V41" s="39"/>
      <c r="W41" s="41"/>
      <c r="X41" s="42"/>
      <c r="Y41" s="39"/>
      <c r="Z41" s="39"/>
      <c r="AA41" s="41"/>
      <c r="AB41" s="96"/>
      <c r="AC41" s="224"/>
      <c r="AD41" s="113"/>
      <c r="AE41" s="240">
        <v>29129</v>
      </c>
      <c r="AF41" s="2" t="s">
        <v>495</v>
      </c>
    </row>
    <row r="42" spans="1:32" ht="15" customHeight="1" x14ac:dyDescent="0.3">
      <c r="A42" s="38" t="s">
        <v>246</v>
      </c>
      <c r="B42" s="39">
        <v>21.33</v>
      </c>
      <c r="C42" s="39"/>
      <c r="D42" s="40"/>
      <c r="E42" s="40">
        <v>21.91</v>
      </c>
      <c r="F42" s="39">
        <v>23.72</v>
      </c>
      <c r="G42" s="39"/>
      <c r="H42" s="39">
        <v>19.29</v>
      </c>
      <c r="I42" s="41"/>
      <c r="J42" s="39">
        <v>20.65</v>
      </c>
      <c r="K42" s="39">
        <v>20.11</v>
      </c>
      <c r="L42" s="42"/>
      <c r="M42" s="39">
        <v>23.54</v>
      </c>
      <c r="N42" s="39"/>
      <c r="O42" s="39"/>
      <c r="P42" s="39"/>
      <c r="Q42" s="39">
        <v>19.739999999999998</v>
      </c>
      <c r="R42" s="39"/>
      <c r="S42" s="42"/>
      <c r="T42" s="39">
        <v>22.07</v>
      </c>
      <c r="U42" s="41"/>
      <c r="V42" s="39"/>
      <c r="W42" s="41"/>
      <c r="X42" s="42"/>
      <c r="Y42" s="39"/>
      <c r="Z42" s="39"/>
      <c r="AA42" s="41"/>
      <c r="AB42" s="96"/>
      <c r="AC42" s="224"/>
      <c r="AD42" s="113"/>
      <c r="AE42" s="240">
        <v>29160</v>
      </c>
      <c r="AF42" s="2" t="s">
        <v>495</v>
      </c>
    </row>
    <row r="43" spans="1:32" ht="15" customHeight="1" x14ac:dyDescent="0.3">
      <c r="A43" s="44" t="s">
        <v>245</v>
      </c>
      <c r="B43" s="45">
        <v>20.72</v>
      </c>
      <c r="C43" s="45"/>
      <c r="D43" s="46"/>
      <c r="E43" s="46">
        <v>20.96</v>
      </c>
      <c r="F43" s="45">
        <v>23.69</v>
      </c>
      <c r="G43" s="45"/>
      <c r="H43" s="45">
        <v>19.059999999999999</v>
      </c>
      <c r="I43" s="47"/>
      <c r="J43" s="45">
        <v>20.49</v>
      </c>
      <c r="K43" s="45">
        <v>20.67</v>
      </c>
      <c r="L43" s="48"/>
      <c r="M43" s="45">
        <v>23.49</v>
      </c>
      <c r="N43" s="45"/>
      <c r="O43" s="45"/>
      <c r="P43" s="45"/>
      <c r="Q43" s="45">
        <v>19.36</v>
      </c>
      <c r="R43" s="45"/>
      <c r="S43" s="48"/>
      <c r="T43" s="45">
        <v>22.15</v>
      </c>
      <c r="U43" s="47"/>
      <c r="V43" s="45"/>
      <c r="W43" s="47"/>
      <c r="X43" s="48"/>
      <c r="Y43" s="45"/>
      <c r="Z43" s="45"/>
      <c r="AA43" s="47"/>
      <c r="AB43" s="97"/>
      <c r="AC43" s="225"/>
      <c r="AD43" s="114"/>
      <c r="AE43" s="241">
        <v>29190</v>
      </c>
      <c r="AF43" s="2" t="s">
        <v>495</v>
      </c>
    </row>
    <row r="44" spans="1:32" ht="15" customHeight="1" x14ac:dyDescent="0.3">
      <c r="A44" s="49" t="s">
        <v>244</v>
      </c>
      <c r="B44" s="50">
        <v>20.329999999999998</v>
      </c>
      <c r="C44" s="50"/>
      <c r="D44" s="51"/>
      <c r="E44" s="51">
        <v>21.75</v>
      </c>
      <c r="F44" s="50">
        <v>22.88</v>
      </c>
      <c r="G44" s="50"/>
      <c r="H44" s="50">
        <v>18.309999999999999</v>
      </c>
      <c r="I44" s="50">
        <v>19</v>
      </c>
      <c r="J44" s="50">
        <v>20.91</v>
      </c>
      <c r="K44" s="50">
        <v>20.47</v>
      </c>
      <c r="L44" s="53"/>
      <c r="M44" s="50">
        <v>24.12</v>
      </c>
      <c r="N44" s="50"/>
      <c r="O44" s="50"/>
      <c r="P44" s="50"/>
      <c r="Q44" s="50">
        <v>19.260000000000002</v>
      </c>
      <c r="R44" s="50"/>
      <c r="S44" s="53"/>
      <c r="T44" s="50">
        <v>22.13</v>
      </c>
      <c r="U44" s="52"/>
      <c r="V44" s="50"/>
      <c r="W44" s="52"/>
      <c r="X44" s="53"/>
      <c r="Y44" s="50"/>
      <c r="Z44" s="50"/>
      <c r="AA44" s="52"/>
      <c r="AB44" s="98"/>
      <c r="AC44" s="226"/>
      <c r="AD44" s="115"/>
      <c r="AE44" s="240">
        <v>29221</v>
      </c>
      <c r="AF44" s="2" t="s">
        <v>495</v>
      </c>
    </row>
    <row r="45" spans="1:32" ht="15" customHeight="1" x14ac:dyDescent="0.3">
      <c r="A45" s="38" t="s">
        <v>243</v>
      </c>
      <c r="B45" s="39">
        <v>19.77</v>
      </c>
      <c r="C45" s="39"/>
      <c r="D45" s="40"/>
      <c r="E45" s="40">
        <v>21.92</v>
      </c>
      <c r="F45" s="39">
        <v>22.44</v>
      </c>
      <c r="G45" s="39"/>
      <c r="H45" s="39">
        <v>17.37</v>
      </c>
      <c r="I45" s="39">
        <v>18.940000000000001</v>
      </c>
      <c r="J45" s="39">
        <v>21.1</v>
      </c>
      <c r="K45" s="39">
        <v>20.5</v>
      </c>
      <c r="L45" s="42"/>
      <c r="M45" s="39">
        <v>24.5</v>
      </c>
      <c r="N45" s="39"/>
      <c r="O45" s="39"/>
      <c r="P45" s="39"/>
      <c r="Q45" s="39">
        <v>18.989999999999998</v>
      </c>
      <c r="R45" s="39"/>
      <c r="S45" s="42"/>
      <c r="T45" s="39">
        <v>21.85</v>
      </c>
      <c r="U45" s="41"/>
      <c r="V45" s="39"/>
      <c r="W45" s="41"/>
      <c r="X45" s="42"/>
      <c r="Y45" s="39"/>
      <c r="Z45" s="39"/>
      <c r="AA45" s="41"/>
      <c r="AB45" s="96"/>
      <c r="AC45" s="224"/>
      <c r="AD45" s="113"/>
      <c r="AE45" s="240">
        <v>29252</v>
      </c>
      <c r="AF45" s="2" t="s">
        <v>495</v>
      </c>
    </row>
    <row r="46" spans="1:32" ht="15" customHeight="1" x14ac:dyDescent="0.3">
      <c r="A46" s="38" t="s">
        <v>242</v>
      </c>
      <c r="B46" s="39">
        <v>18.760000000000002</v>
      </c>
      <c r="C46" s="39"/>
      <c r="D46" s="40"/>
      <c r="E46" s="40">
        <v>22.09</v>
      </c>
      <c r="F46" s="39">
        <v>22.04</v>
      </c>
      <c r="G46" s="39"/>
      <c r="H46" s="39">
        <v>16.29</v>
      </c>
      <c r="I46" s="39">
        <v>19.3</v>
      </c>
      <c r="J46" s="39">
        <v>21.68</v>
      </c>
      <c r="K46" s="39">
        <v>20.27</v>
      </c>
      <c r="L46" s="42"/>
      <c r="M46" s="39">
        <v>24.61</v>
      </c>
      <c r="N46" s="39"/>
      <c r="O46" s="39"/>
      <c r="P46" s="39"/>
      <c r="Q46" s="39">
        <v>18.940000000000001</v>
      </c>
      <c r="R46" s="39"/>
      <c r="S46" s="42"/>
      <c r="T46" s="39">
        <v>21.56</v>
      </c>
      <c r="U46" s="41"/>
      <c r="V46" s="39"/>
      <c r="W46" s="41"/>
      <c r="X46" s="42"/>
      <c r="Y46" s="39"/>
      <c r="Z46" s="39"/>
      <c r="AA46" s="41"/>
      <c r="AB46" s="96"/>
      <c r="AC46" s="224"/>
      <c r="AD46" s="113"/>
      <c r="AE46" s="240">
        <v>29281</v>
      </c>
      <c r="AF46" s="2" t="s">
        <v>495</v>
      </c>
    </row>
    <row r="47" spans="1:32" ht="15" customHeight="1" x14ac:dyDescent="0.3">
      <c r="A47" s="38" t="s">
        <v>241</v>
      </c>
      <c r="B47" s="39">
        <v>17.7</v>
      </c>
      <c r="C47" s="39"/>
      <c r="D47" s="40"/>
      <c r="E47" s="40">
        <v>21.78</v>
      </c>
      <c r="F47" s="39">
        <v>21.61</v>
      </c>
      <c r="G47" s="39"/>
      <c r="H47" s="39">
        <v>15.67</v>
      </c>
      <c r="I47" s="39">
        <v>17.63</v>
      </c>
      <c r="J47" s="39">
        <v>21</v>
      </c>
      <c r="K47" s="39">
        <v>19.53</v>
      </c>
      <c r="L47" s="42"/>
      <c r="M47" s="39">
        <v>24.69</v>
      </c>
      <c r="N47" s="39"/>
      <c r="O47" s="39"/>
      <c r="P47" s="39"/>
      <c r="Q47" s="39">
        <v>19.07</v>
      </c>
      <c r="R47" s="39"/>
      <c r="S47" s="42"/>
      <c r="T47" s="39">
        <v>21.19</v>
      </c>
      <c r="U47" s="41"/>
      <c r="V47" s="39"/>
      <c r="W47" s="41"/>
      <c r="X47" s="42"/>
      <c r="Y47" s="39"/>
      <c r="Z47" s="39"/>
      <c r="AA47" s="41"/>
      <c r="AB47" s="96"/>
      <c r="AC47" s="224"/>
      <c r="AD47" s="113"/>
      <c r="AE47" s="240">
        <v>29312</v>
      </c>
      <c r="AF47" s="2" t="s">
        <v>495</v>
      </c>
    </row>
    <row r="48" spans="1:32" ht="15" customHeight="1" x14ac:dyDescent="0.3">
      <c r="A48" s="38" t="s">
        <v>240</v>
      </c>
      <c r="B48" s="39">
        <v>17.8</v>
      </c>
      <c r="C48" s="39"/>
      <c r="D48" s="40"/>
      <c r="E48" s="40">
        <v>21.53</v>
      </c>
      <c r="F48" s="39">
        <v>21.55</v>
      </c>
      <c r="G48" s="39"/>
      <c r="H48" s="39">
        <v>15.57</v>
      </c>
      <c r="I48" s="39">
        <v>16.760000000000002</v>
      </c>
      <c r="J48" s="39">
        <v>20.54</v>
      </c>
      <c r="K48" s="39">
        <v>18.37</v>
      </c>
      <c r="L48" s="42"/>
      <c r="M48" s="39">
        <v>24.33</v>
      </c>
      <c r="N48" s="39"/>
      <c r="O48" s="39"/>
      <c r="P48" s="39"/>
      <c r="Q48" s="39">
        <v>18.88</v>
      </c>
      <c r="R48" s="39"/>
      <c r="S48" s="42"/>
      <c r="T48" s="39">
        <v>20.89</v>
      </c>
      <c r="U48" s="41"/>
      <c r="V48" s="39"/>
      <c r="W48" s="41"/>
      <c r="X48" s="42"/>
      <c r="Y48" s="39"/>
      <c r="Z48" s="39"/>
      <c r="AA48" s="41"/>
      <c r="AB48" s="96"/>
      <c r="AC48" s="224"/>
      <c r="AD48" s="113"/>
      <c r="AE48" s="240">
        <v>29342</v>
      </c>
      <c r="AF48" s="2" t="s">
        <v>495</v>
      </c>
    </row>
    <row r="49" spans="1:32" ht="15" customHeight="1" x14ac:dyDescent="0.3">
      <c r="A49" s="38" t="s">
        <v>239</v>
      </c>
      <c r="B49" s="39">
        <v>18.18</v>
      </c>
      <c r="C49" s="39"/>
      <c r="D49" s="40"/>
      <c r="E49" s="40">
        <v>21.64</v>
      </c>
      <c r="F49" s="39">
        <v>21.13</v>
      </c>
      <c r="G49" s="39"/>
      <c r="H49" s="39">
        <v>15.78</v>
      </c>
      <c r="I49" s="39">
        <v>16.46</v>
      </c>
      <c r="J49" s="39">
        <v>20.58</v>
      </c>
      <c r="K49" s="39">
        <v>18.25</v>
      </c>
      <c r="L49" s="42"/>
      <c r="M49" s="39">
        <v>24.2</v>
      </c>
      <c r="N49" s="39"/>
      <c r="O49" s="39"/>
      <c r="P49" s="39"/>
      <c r="Q49" s="39">
        <v>18.88</v>
      </c>
      <c r="R49" s="39"/>
      <c r="S49" s="42"/>
      <c r="T49" s="39">
        <v>20.64</v>
      </c>
      <c r="U49" s="41"/>
      <c r="V49" s="39"/>
      <c r="W49" s="41"/>
      <c r="X49" s="42"/>
      <c r="Y49" s="39"/>
      <c r="Z49" s="39"/>
      <c r="AA49" s="41"/>
      <c r="AB49" s="96"/>
      <c r="AC49" s="224"/>
      <c r="AD49" s="113"/>
      <c r="AE49" s="240">
        <v>29373</v>
      </c>
      <c r="AF49" s="2" t="s">
        <v>495</v>
      </c>
    </row>
    <row r="50" spans="1:32" ht="15" customHeight="1" x14ac:dyDescent="0.3">
      <c r="A50" s="38" t="s">
        <v>238</v>
      </c>
      <c r="B50" s="39">
        <v>18.37</v>
      </c>
      <c r="C50" s="39"/>
      <c r="D50" s="40"/>
      <c r="E50" s="40">
        <v>22.07</v>
      </c>
      <c r="F50" s="39">
        <v>21.5</v>
      </c>
      <c r="G50" s="39"/>
      <c r="H50" s="39">
        <v>16.100000000000001</v>
      </c>
      <c r="I50" s="39">
        <v>16.38</v>
      </c>
      <c r="J50" s="39">
        <v>20.16</v>
      </c>
      <c r="K50" s="39">
        <v>18.510000000000002</v>
      </c>
      <c r="L50" s="42"/>
      <c r="M50" s="39">
        <v>24.39</v>
      </c>
      <c r="N50" s="39"/>
      <c r="O50" s="39"/>
      <c r="P50" s="39"/>
      <c r="Q50" s="39">
        <v>19.079999999999998</v>
      </c>
      <c r="R50" s="39"/>
      <c r="S50" s="42"/>
      <c r="T50" s="39">
        <v>20.85</v>
      </c>
      <c r="U50" s="41"/>
      <c r="V50" s="39"/>
      <c r="W50" s="41"/>
      <c r="X50" s="42"/>
      <c r="Y50" s="39"/>
      <c r="Z50" s="39"/>
      <c r="AA50" s="41"/>
      <c r="AB50" s="96"/>
      <c r="AC50" s="224"/>
      <c r="AD50" s="113"/>
      <c r="AE50" s="240">
        <v>29403</v>
      </c>
      <c r="AF50" s="2" t="s">
        <v>495</v>
      </c>
    </row>
    <row r="51" spans="1:32" ht="15" customHeight="1" x14ac:dyDescent="0.3">
      <c r="A51" s="38" t="s">
        <v>237</v>
      </c>
      <c r="B51" s="39">
        <v>18.2</v>
      </c>
      <c r="C51" s="39"/>
      <c r="D51" s="40"/>
      <c r="E51" s="40">
        <v>22.12</v>
      </c>
      <c r="F51" s="39">
        <v>21.61</v>
      </c>
      <c r="G51" s="39"/>
      <c r="H51" s="39">
        <v>16.46</v>
      </c>
      <c r="I51" s="39">
        <v>16.600000000000001</v>
      </c>
      <c r="J51" s="39">
        <v>19.98</v>
      </c>
      <c r="K51" s="39">
        <v>18.940000000000001</v>
      </c>
      <c r="L51" s="42"/>
      <c r="M51" s="39">
        <v>24.46</v>
      </c>
      <c r="N51" s="39"/>
      <c r="O51" s="39"/>
      <c r="P51" s="39"/>
      <c r="Q51" s="39">
        <v>18.72</v>
      </c>
      <c r="R51" s="39"/>
      <c r="S51" s="42"/>
      <c r="T51" s="39">
        <v>20.99</v>
      </c>
      <c r="U51" s="41"/>
      <c r="V51" s="39"/>
      <c r="W51" s="41"/>
      <c r="X51" s="42"/>
      <c r="Y51" s="39"/>
      <c r="Z51" s="39"/>
      <c r="AA51" s="41"/>
      <c r="AB51" s="96"/>
      <c r="AC51" s="224"/>
      <c r="AD51" s="113"/>
      <c r="AE51" s="240">
        <v>29434</v>
      </c>
      <c r="AF51" s="2" t="s">
        <v>495</v>
      </c>
    </row>
    <row r="52" spans="1:32" ht="15" customHeight="1" x14ac:dyDescent="0.3">
      <c r="A52" s="38" t="s">
        <v>236</v>
      </c>
      <c r="B52" s="39">
        <v>18.84</v>
      </c>
      <c r="C52" s="39"/>
      <c r="D52" s="40"/>
      <c r="E52" s="40">
        <v>22.6</v>
      </c>
      <c r="F52" s="39">
        <v>22.3</v>
      </c>
      <c r="G52" s="39"/>
      <c r="H52" s="39">
        <v>17.55</v>
      </c>
      <c r="I52" s="39">
        <v>16.78</v>
      </c>
      <c r="J52" s="39">
        <v>19.62</v>
      </c>
      <c r="K52" s="39">
        <v>19.66</v>
      </c>
      <c r="L52" s="42"/>
      <c r="M52" s="39">
        <v>24.46</v>
      </c>
      <c r="N52" s="39"/>
      <c r="O52" s="39"/>
      <c r="P52" s="39"/>
      <c r="Q52" s="39">
        <v>19.27</v>
      </c>
      <c r="R52" s="39"/>
      <c r="S52" s="42"/>
      <c r="T52" s="39">
        <v>21.64</v>
      </c>
      <c r="U52" s="41"/>
      <c r="V52" s="39"/>
      <c r="W52" s="41"/>
      <c r="X52" s="42"/>
      <c r="Y52" s="39"/>
      <c r="Z52" s="39"/>
      <c r="AA52" s="41"/>
      <c r="AB52" s="96"/>
      <c r="AC52" s="224"/>
      <c r="AD52" s="113"/>
      <c r="AE52" s="240">
        <v>29465</v>
      </c>
      <c r="AF52" s="2" t="s">
        <v>495</v>
      </c>
    </row>
    <row r="53" spans="1:32" ht="15" customHeight="1" x14ac:dyDescent="0.3">
      <c r="A53" s="38" t="s">
        <v>235</v>
      </c>
      <c r="B53" s="39">
        <v>20.100000000000001</v>
      </c>
      <c r="C53" s="39"/>
      <c r="D53" s="40"/>
      <c r="E53" s="40">
        <v>22.68</v>
      </c>
      <c r="F53" s="39">
        <v>22.68</v>
      </c>
      <c r="G53" s="39"/>
      <c r="H53" s="39">
        <v>18.579999999999998</v>
      </c>
      <c r="I53" s="39">
        <v>17.97</v>
      </c>
      <c r="J53" s="39">
        <v>19.989999999999998</v>
      </c>
      <c r="K53" s="39">
        <v>20.82</v>
      </c>
      <c r="L53" s="42"/>
      <c r="M53" s="39">
        <v>24.35</v>
      </c>
      <c r="N53" s="39"/>
      <c r="O53" s="39"/>
      <c r="P53" s="39"/>
      <c r="Q53" s="39">
        <v>19.53</v>
      </c>
      <c r="R53" s="39"/>
      <c r="S53" s="42"/>
      <c r="T53" s="39">
        <v>22.41</v>
      </c>
      <c r="U53" s="41"/>
      <c r="V53" s="39"/>
      <c r="W53" s="41"/>
      <c r="X53" s="42"/>
      <c r="Y53" s="39"/>
      <c r="Z53" s="39"/>
      <c r="AA53" s="41"/>
      <c r="AB53" s="96"/>
      <c r="AC53" s="224"/>
      <c r="AD53" s="113"/>
      <c r="AE53" s="240">
        <v>29495</v>
      </c>
      <c r="AF53" s="2" t="s">
        <v>495</v>
      </c>
    </row>
    <row r="54" spans="1:32" ht="15" customHeight="1" x14ac:dyDescent="0.3">
      <c r="A54" s="38" t="s">
        <v>234</v>
      </c>
      <c r="B54" s="39">
        <v>21.25</v>
      </c>
      <c r="C54" s="39"/>
      <c r="D54" s="40"/>
      <c r="E54" s="40">
        <v>22.61</v>
      </c>
      <c r="F54" s="39">
        <v>22.94</v>
      </c>
      <c r="G54" s="39"/>
      <c r="H54" s="39">
        <v>19.690000000000001</v>
      </c>
      <c r="I54" s="39">
        <v>18.03</v>
      </c>
      <c r="J54" s="39">
        <v>20.63</v>
      </c>
      <c r="K54" s="39">
        <v>21.35</v>
      </c>
      <c r="L54" s="42"/>
      <c r="M54" s="39">
        <v>24.41</v>
      </c>
      <c r="N54" s="39"/>
      <c r="O54" s="39"/>
      <c r="P54" s="39"/>
      <c r="Q54" s="39">
        <v>21.27</v>
      </c>
      <c r="R54" s="39"/>
      <c r="S54" s="42"/>
      <c r="T54" s="39">
        <v>22.67</v>
      </c>
      <c r="U54" s="41"/>
      <c r="V54" s="39"/>
      <c r="W54" s="41"/>
      <c r="X54" s="42"/>
      <c r="Y54" s="39"/>
      <c r="Z54" s="39"/>
      <c r="AA54" s="41"/>
      <c r="AB54" s="96"/>
      <c r="AC54" s="224"/>
      <c r="AD54" s="113"/>
      <c r="AE54" s="240">
        <v>29526</v>
      </c>
      <c r="AF54" s="2" t="s">
        <v>495</v>
      </c>
    </row>
    <row r="55" spans="1:32" ht="15" customHeight="1" x14ac:dyDescent="0.3">
      <c r="A55" s="44" t="s">
        <v>233</v>
      </c>
      <c r="B55" s="45">
        <v>20.84</v>
      </c>
      <c r="C55" s="45"/>
      <c r="D55" s="46"/>
      <c r="E55" s="46">
        <v>22.52</v>
      </c>
      <c r="F55" s="45">
        <v>22.77</v>
      </c>
      <c r="G55" s="45"/>
      <c r="H55" s="45">
        <v>19.93</v>
      </c>
      <c r="I55" s="45">
        <v>19.579999999999998</v>
      </c>
      <c r="J55" s="45">
        <v>20.91</v>
      </c>
      <c r="K55" s="45">
        <v>21.79</v>
      </c>
      <c r="L55" s="48"/>
      <c r="M55" s="45">
        <v>24.39</v>
      </c>
      <c r="N55" s="45"/>
      <c r="O55" s="45"/>
      <c r="P55" s="45"/>
      <c r="Q55" s="45">
        <v>19.350000000000001</v>
      </c>
      <c r="R55" s="45"/>
      <c r="S55" s="48"/>
      <c r="T55" s="45">
        <v>22.18</v>
      </c>
      <c r="U55" s="47"/>
      <c r="V55" s="45"/>
      <c r="W55" s="47"/>
      <c r="X55" s="48"/>
      <c r="Y55" s="45"/>
      <c r="Z55" s="45"/>
      <c r="AA55" s="47"/>
      <c r="AB55" s="97"/>
      <c r="AC55" s="225"/>
      <c r="AD55" s="114"/>
      <c r="AE55" s="241">
        <v>29556</v>
      </c>
      <c r="AF55" s="2" t="s">
        <v>495</v>
      </c>
    </row>
    <row r="56" spans="1:32" ht="15" customHeight="1" x14ac:dyDescent="0.3">
      <c r="A56" s="49" t="s">
        <v>232</v>
      </c>
      <c r="B56" s="50">
        <v>20.2</v>
      </c>
      <c r="C56" s="50"/>
      <c r="D56" s="51"/>
      <c r="E56" s="51">
        <v>22.29</v>
      </c>
      <c r="F56" s="50">
        <v>21.87</v>
      </c>
      <c r="G56" s="50"/>
      <c r="H56" s="50">
        <v>19.48</v>
      </c>
      <c r="I56" s="50">
        <v>19.559999999999999</v>
      </c>
      <c r="J56" s="50">
        <v>21.1</v>
      </c>
      <c r="K56" s="50">
        <v>21.64</v>
      </c>
      <c r="L56" s="53"/>
      <c r="M56" s="50">
        <v>24.62</v>
      </c>
      <c r="N56" s="50"/>
      <c r="O56" s="50"/>
      <c r="P56" s="50"/>
      <c r="Q56" s="50">
        <v>19.309999999999999</v>
      </c>
      <c r="R56" s="50"/>
      <c r="S56" s="53"/>
      <c r="T56" s="50">
        <v>21.83</v>
      </c>
      <c r="U56" s="52"/>
      <c r="V56" s="50"/>
      <c r="W56" s="52"/>
      <c r="X56" s="53"/>
      <c r="Y56" s="50"/>
      <c r="Z56" s="50"/>
      <c r="AA56" s="52"/>
      <c r="AB56" s="98"/>
      <c r="AC56" s="226"/>
      <c r="AD56" s="115"/>
      <c r="AE56" s="240">
        <v>29587</v>
      </c>
      <c r="AF56" s="2" t="s">
        <v>495</v>
      </c>
    </row>
    <row r="57" spans="1:32" ht="15" customHeight="1" x14ac:dyDescent="0.3">
      <c r="A57" s="38" t="s">
        <v>231</v>
      </c>
      <c r="B57" s="39">
        <v>19.82</v>
      </c>
      <c r="C57" s="39"/>
      <c r="D57" s="40"/>
      <c r="E57" s="40">
        <v>22.33</v>
      </c>
      <c r="F57" s="39">
        <v>21.65</v>
      </c>
      <c r="G57" s="39"/>
      <c r="H57" s="39">
        <v>17.940000000000001</v>
      </c>
      <c r="I57" s="39">
        <v>20.2</v>
      </c>
      <c r="J57" s="39">
        <v>21.25</v>
      </c>
      <c r="K57" s="39">
        <v>21.3</v>
      </c>
      <c r="L57" s="42"/>
      <c r="M57" s="39">
        <v>25.45</v>
      </c>
      <c r="N57" s="39"/>
      <c r="O57" s="39"/>
      <c r="P57" s="39"/>
      <c r="Q57" s="39">
        <v>19.05</v>
      </c>
      <c r="R57" s="39"/>
      <c r="S57" s="42"/>
      <c r="T57" s="39">
        <v>21.55</v>
      </c>
      <c r="U57" s="41"/>
      <c r="V57" s="39"/>
      <c r="W57" s="41"/>
      <c r="X57" s="42"/>
      <c r="Y57" s="39"/>
      <c r="Z57" s="39"/>
      <c r="AA57" s="41"/>
      <c r="AB57" s="96"/>
      <c r="AC57" s="224"/>
      <c r="AD57" s="113"/>
      <c r="AE57" s="240">
        <v>29618</v>
      </c>
      <c r="AF57" s="2" t="s">
        <v>495</v>
      </c>
    </row>
    <row r="58" spans="1:32" ht="15" customHeight="1" x14ac:dyDescent="0.3">
      <c r="A58" s="38" t="s">
        <v>230</v>
      </c>
      <c r="B58" s="39">
        <v>18.579999999999998</v>
      </c>
      <c r="C58" s="39"/>
      <c r="D58" s="40"/>
      <c r="E58" s="40">
        <v>22.79</v>
      </c>
      <c r="F58" s="39">
        <v>21.17</v>
      </c>
      <c r="G58" s="39"/>
      <c r="H58" s="39">
        <v>16.940000000000001</v>
      </c>
      <c r="I58" s="39">
        <v>20.92</v>
      </c>
      <c r="J58" s="39">
        <v>21.44</v>
      </c>
      <c r="K58" s="39">
        <v>21.05</v>
      </c>
      <c r="L58" s="42"/>
      <c r="M58" s="39">
        <v>25.5</v>
      </c>
      <c r="N58" s="39"/>
      <c r="O58" s="39"/>
      <c r="P58" s="39"/>
      <c r="Q58" s="39">
        <v>18.86</v>
      </c>
      <c r="R58" s="39"/>
      <c r="S58" s="42"/>
      <c r="T58" s="39">
        <v>21.61</v>
      </c>
      <c r="U58" s="41"/>
      <c r="V58" s="39"/>
      <c r="W58" s="41"/>
      <c r="X58" s="42"/>
      <c r="Y58" s="39"/>
      <c r="Z58" s="39"/>
      <c r="AA58" s="41"/>
      <c r="AB58" s="96"/>
      <c r="AC58" s="224"/>
      <c r="AD58" s="113"/>
      <c r="AE58" s="240">
        <v>29646</v>
      </c>
      <c r="AF58" s="2" t="s">
        <v>495</v>
      </c>
    </row>
    <row r="59" spans="1:32" ht="15" customHeight="1" x14ac:dyDescent="0.3">
      <c r="A59" s="38" t="s">
        <v>229</v>
      </c>
      <c r="B59" s="39">
        <v>19.21</v>
      </c>
      <c r="C59" s="39"/>
      <c r="D59" s="40"/>
      <c r="E59" s="40">
        <v>23.04</v>
      </c>
      <c r="F59" s="39">
        <v>21.5</v>
      </c>
      <c r="G59" s="39"/>
      <c r="H59" s="39">
        <v>17.27</v>
      </c>
      <c r="I59" s="39">
        <v>22.15</v>
      </c>
      <c r="J59" s="39">
        <v>21.42</v>
      </c>
      <c r="K59" s="39">
        <v>20.05</v>
      </c>
      <c r="L59" s="42"/>
      <c r="M59" s="39">
        <v>25.14</v>
      </c>
      <c r="N59" s="39"/>
      <c r="O59" s="39"/>
      <c r="P59" s="39"/>
      <c r="Q59" s="39">
        <v>18.84</v>
      </c>
      <c r="R59" s="39"/>
      <c r="S59" s="42"/>
      <c r="T59" s="39">
        <v>21.89</v>
      </c>
      <c r="U59" s="41"/>
      <c r="V59" s="39"/>
      <c r="W59" s="41"/>
      <c r="X59" s="42"/>
      <c r="Y59" s="39"/>
      <c r="Z59" s="39"/>
      <c r="AA59" s="41"/>
      <c r="AB59" s="96"/>
      <c r="AC59" s="224"/>
      <c r="AD59" s="113"/>
      <c r="AE59" s="240">
        <v>29677</v>
      </c>
      <c r="AF59" s="2" t="s">
        <v>495</v>
      </c>
    </row>
    <row r="60" spans="1:32" ht="15" customHeight="1" x14ac:dyDescent="0.3">
      <c r="A60" s="38" t="s">
        <v>228</v>
      </c>
      <c r="B60" s="39">
        <v>19.34</v>
      </c>
      <c r="C60" s="39"/>
      <c r="D60" s="40"/>
      <c r="E60" s="40">
        <v>23.42</v>
      </c>
      <c r="F60" s="39">
        <v>21.47</v>
      </c>
      <c r="G60" s="39"/>
      <c r="H60" s="39">
        <v>17.45</v>
      </c>
      <c r="I60" s="39">
        <v>22.86</v>
      </c>
      <c r="J60" s="39">
        <v>21.9</v>
      </c>
      <c r="K60" s="39">
        <v>19.47</v>
      </c>
      <c r="L60" s="42"/>
      <c r="M60" s="39">
        <v>25.07</v>
      </c>
      <c r="N60" s="39"/>
      <c r="O60" s="39"/>
      <c r="P60" s="39"/>
      <c r="Q60" s="39">
        <v>18.77</v>
      </c>
      <c r="R60" s="39"/>
      <c r="S60" s="42"/>
      <c r="T60" s="39">
        <v>22.1</v>
      </c>
      <c r="U60" s="41"/>
      <c r="V60" s="39"/>
      <c r="W60" s="41"/>
      <c r="X60" s="42"/>
      <c r="Y60" s="39"/>
      <c r="Z60" s="39"/>
      <c r="AA60" s="41"/>
      <c r="AB60" s="96"/>
      <c r="AC60" s="224"/>
      <c r="AD60" s="113"/>
      <c r="AE60" s="240">
        <v>29707</v>
      </c>
      <c r="AF60" s="2" t="s">
        <v>495</v>
      </c>
    </row>
    <row r="61" spans="1:32" ht="15" customHeight="1" x14ac:dyDescent="0.3">
      <c r="A61" s="38" t="s">
        <v>227</v>
      </c>
      <c r="B61" s="39">
        <v>19.12</v>
      </c>
      <c r="C61" s="39"/>
      <c r="D61" s="40"/>
      <c r="E61" s="40">
        <v>23.88</v>
      </c>
      <c r="F61" s="39">
        <v>21.49</v>
      </c>
      <c r="G61" s="39"/>
      <c r="H61" s="39">
        <v>17.72</v>
      </c>
      <c r="I61" s="39">
        <v>23.05</v>
      </c>
      <c r="J61" s="39">
        <v>22.2</v>
      </c>
      <c r="K61" s="39">
        <v>19.350000000000001</v>
      </c>
      <c r="L61" s="42"/>
      <c r="M61" s="39">
        <v>25.94</v>
      </c>
      <c r="N61" s="39"/>
      <c r="O61" s="39"/>
      <c r="P61" s="39"/>
      <c r="Q61" s="39">
        <v>18.57</v>
      </c>
      <c r="R61" s="39"/>
      <c r="S61" s="42"/>
      <c r="T61" s="39">
        <v>21.95</v>
      </c>
      <c r="U61" s="41"/>
      <c r="V61" s="39"/>
      <c r="W61" s="41"/>
      <c r="X61" s="42"/>
      <c r="Y61" s="39"/>
      <c r="Z61" s="39"/>
      <c r="AA61" s="41"/>
      <c r="AB61" s="96"/>
      <c r="AC61" s="224"/>
      <c r="AD61" s="113"/>
      <c r="AE61" s="240">
        <v>29738</v>
      </c>
      <c r="AF61" s="2" t="s">
        <v>495</v>
      </c>
    </row>
    <row r="62" spans="1:32" ht="15" customHeight="1" x14ac:dyDescent="0.3">
      <c r="A62" s="38" t="s">
        <v>226</v>
      </c>
      <c r="B62" s="39">
        <v>19.16</v>
      </c>
      <c r="C62" s="39"/>
      <c r="D62" s="40"/>
      <c r="E62" s="40">
        <v>24.03</v>
      </c>
      <c r="F62" s="39">
        <v>21.9</v>
      </c>
      <c r="G62" s="39"/>
      <c r="H62" s="39">
        <v>17.82</v>
      </c>
      <c r="I62" s="39">
        <v>23.17</v>
      </c>
      <c r="J62" s="39">
        <v>22.11</v>
      </c>
      <c r="K62" s="39">
        <v>19.559999999999999</v>
      </c>
      <c r="L62" s="42"/>
      <c r="M62" s="39">
        <v>26.04</v>
      </c>
      <c r="N62" s="39"/>
      <c r="O62" s="39"/>
      <c r="P62" s="39"/>
      <c r="Q62" s="39">
        <v>18.64</v>
      </c>
      <c r="R62" s="39"/>
      <c r="S62" s="42"/>
      <c r="T62" s="39">
        <v>21.91</v>
      </c>
      <c r="U62" s="41"/>
      <c r="V62" s="39"/>
      <c r="W62" s="41"/>
      <c r="X62" s="42"/>
      <c r="Y62" s="39"/>
      <c r="Z62" s="39"/>
      <c r="AA62" s="41"/>
      <c r="AB62" s="96"/>
      <c r="AC62" s="224"/>
      <c r="AD62" s="113"/>
      <c r="AE62" s="240">
        <v>29768</v>
      </c>
      <c r="AF62" s="2" t="s">
        <v>495</v>
      </c>
    </row>
    <row r="63" spans="1:32" ht="15" customHeight="1" x14ac:dyDescent="0.3">
      <c r="A63" s="38" t="s">
        <v>225</v>
      </c>
      <c r="B63" s="39">
        <v>18.98</v>
      </c>
      <c r="C63" s="39"/>
      <c r="D63" s="40"/>
      <c r="E63" s="40">
        <v>24.14</v>
      </c>
      <c r="F63" s="39">
        <v>22.47</v>
      </c>
      <c r="G63" s="39"/>
      <c r="H63" s="39">
        <v>18.190000000000001</v>
      </c>
      <c r="I63" s="39">
        <v>23.27</v>
      </c>
      <c r="J63" s="39">
        <v>22.14</v>
      </c>
      <c r="K63" s="39">
        <v>20.170000000000002</v>
      </c>
      <c r="L63" s="42"/>
      <c r="M63" s="39">
        <v>26.37</v>
      </c>
      <c r="N63" s="39"/>
      <c r="O63" s="39"/>
      <c r="P63" s="39"/>
      <c r="Q63" s="39">
        <v>18.75</v>
      </c>
      <c r="R63" s="39"/>
      <c r="S63" s="42"/>
      <c r="T63" s="39">
        <v>22.54</v>
      </c>
      <c r="U63" s="41"/>
      <c r="V63" s="39"/>
      <c r="W63" s="41"/>
      <c r="X63" s="42"/>
      <c r="Y63" s="39"/>
      <c r="Z63" s="39"/>
      <c r="AA63" s="41"/>
      <c r="AB63" s="96"/>
      <c r="AC63" s="224"/>
      <c r="AD63" s="113"/>
      <c r="AE63" s="240">
        <v>29799</v>
      </c>
      <c r="AF63" s="2" t="s">
        <v>495</v>
      </c>
    </row>
    <row r="64" spans="1:32" ht="15" customHeight="1" x14ac:dyDescent="0.3">
      <c r="A64" s="38" t="s">
        <v>224</v>
      </c>
      <c r="B64" s="39">
        <v>20.29</v>
      </c>
      <c r="C64" s="39"/>
      <c r="D64" s="40"/>
      <c r="E64" s="40">
        <v>25.47</v>
      </c>
      <c r="F64" s="39">
        <v>23.46</v>
      </c>
      <c r="G64" s="39"/>
      <c r="H64" s="39">
        <v>20.14</v>
      </c>
      <c r="I64" s="39">
        <v>23.59</v>
      </c>
      <c r="J64" s="39">
        <v>21.91</v>
      </c>
      <c r="K64" s="39">
        <v>21.32</v>
      </c>
      <c r="L64" s="42"/>
      <c r="M64" s="39">
        <v>26.8</v>
      </c>
      <c r="N64" s="39"/>
      <c r="O64" s="39"/>
      <c r="P64" s="39"/>
      <c r="Q64" s="39">
        <v>19.309999999999999</v>
      </c>
      <c r="R64" s="39"/>
      <c r="S64" s="42"/>
      <c r="T64" s="39">
        <v>23.84</v>
      </c>
      <c r="U64" s="41"/>
      <c r="V64" s="39"/>
      <c r="W64" s="41"/>
      <c r="X64" s="42"/>
      <c r="Y64" s="39"/>
      <c r="Z64" s="39"/>
      <c r="AA64" s="41"/>
      <c r="AB64" s="96"/>
      <c r="AC64" s="224"/>
      <c r="AD64" s="113"/>
      <c r="AE64" s="240">
        <v>29830</v>
      </c>
      <c r="AF64" s="2" t="s">
        <v>495</v>
      </c>
    </row>
    <row r="65" spans="1:32" ht="15" customHeight="1" x14ac:dyDescent="0.3">
      <c r="A65" s="38" t="s">
        <v>223</v>
      </c>
      <c r="B65" s="39">
        <v>22.54</v>
      </c>
      <c r="C65" s="39"/>
      <c r="D65" s="40"/>
      <c r="E65" s="40">
        <v>25.77</v>
      </c>
      <c r="F65" s="39">
        <v>24.7</v>
      </c>
      <c r="G65" s="39"/>
      <c r="H65" s="39">
        <v>21.27</v>
      </c>
      <c r="I65" s="39">
        <v>23.52</v>
      </c>
      <c r="J65" s="39">
        <v>22.19</v>
      </c>
      <c r="K65" s="39">
        <v>21.75</v>
      </c>
      <c r="L65" s="42"/>
      <c r="M65" s="39">
        <v>26.56</v>
      </c>
      <c r="N65" s="39"/>
      <c r="O65" s="39"/>
      <c r="P65" s="39"/>
      <c r="Q65" s="39">
        <v>21.01</v>
      </c>
      <c r="R65" s="39"/>
      <c r="S65" s="42"/>
      <c r="T65" s="39">
        <v>25.79</v>
      </c>
      <c r="U65" s="41"/>
      <c r="V65" s="39"/>
      <c r="W65" s="41"/>
      <c r="X65" s="42"/>
      <c r="Y65" s="39"/>
      <c r="Z65" s="39"/>
      <c r="AA65" s="41"/>
      <c r="AB65" s="96"/>
      <c r="AC65" s="224"/>
      <c r="AD65" s="113"/>
      <c r="AE65" s="240">
        <v>29860</v>
      </c>
      <c r="AF65" s="2" t="s">
        <v>495</v>
      </c>
    </row>
    <row r="66" spans="1:32" ht="15" customHeight="1" x14ac:dyDescent="0.3">
      <c r="A66" s="38" t="s">
        <v>222</v>
      </c>
      <c r="B66" s="39">
        <v>23.28</v>
      </c>
      <c r="C66" s="39"/>
      <c r="D66" s="40"/>
      <c r="E66" s="40">
        <v>25.8</v>
      </c>
      <c r="F66" s="39">
        <v>25</v>
      </c>
      <c r="G66" s="39"/>
      <c r="H66" s="39">
        <v>22.77</v>
      </c>
      <c r="I66" s="39">
        <v>23.86</v>
      </c>
      <c r="J66" s="39">
        <v>22.55</v>
      </c>
      <c r="K66" s="39">
        <v>22.89</v>
      </c>
      <c r="L66" s="42"/>
      <c r="M66" s="39">
        <v>26.32</v>
      </c>
      <c r="N66" s="39"/>
      <c r="O66" s="39"/>
      <c r="P66" s="39"/>
      <c r="Q66" s="39">
        <v>22.23</v>
      </c>
      <c r="R66" s="39"/>
      <c r="S66" s="42"/>
      <c r="T66" s="39">
        <v>26.12</v>
      </c>
      <c r="U66" s="41"/>
      <c r="V66" s="39"/>
      <c r="W66" s="41"/>
      <c r="X66" s="42"/>
      <c r="Y66" s="39"/>
      <c r="Z66" s="39"/>
      <c r="AA66" s="41"/>
      <c r="AB66" s="96"/>
      <c r="AC66" s="224"/>
      <c r="AD66" s="113"/>
      <c r="AE66" s="240">
        <v>29891</v>
      </c>
      <c r="AF66" s="2" t="s">
        <v>495</v>
      </c>
    </row>
    <row r="67" spans="1:32" ht="15" customHeight="1" x14ac:dyDescent="0.3">
      <c r="A67" s="44" t="s">
        <v>221</v>
      </c>
      <c r="B67" s="45">
        <v>22.62</v>
      </c>
      <c r="C67" s="45"/>
      <c r="D67" s="46"/>
      <c r="E67" s="46">
        <v>25.59</v>
      </c>
      <c r="F67" s="45">
        <v>24.83</v>
      </c>
      <c r="G67" s="45"/>
      <c r="H67" s="45">
        <v>22.92</v>
      </c>
      <c r="I67" s="45">
        <v>23.82</v>
      </c>
      <c r="J67" s="45">
        <v>22.62</v>
      </c>
      <c r="K67" s="45">
        <v>23.37</v>
      </c>
      <c r="L67" s="48"/>
      <c r="M67" s="45">
        <v>26.43</v>
      </c>
      <c r="N67" s="45"/>
      <c r="O67" s="45"/>
      <c r="P67" s="45"/>
      <c r="Q67" s="45">
        <v>20.39</v>
      </c>
      <c r="R67" s="45"/>
      <c r="S67" s="48"/>
      <c r="T67" s="45">
        <v>26.11</v>
      </c>
      <c r="U67" s="47"/>
      <c r="V67" s="45"/>
      <c r="W67" s="47"/>
      <c r="X67" s="48"/>
      <c r="Y67" s="45"/>
      <c r="Z67" s="45"/>
      <c r="AA67" s="47"/>
      <c r="AB67" s="97"/>
      <c r="AC67" s="225"/>
      <c r="AD67" s="114"/>
      <c r="AE67" s="241">
        <v>29921</v>
      </c>
      <c r="AF67" s="2" t="s">
        <v>495</v>
      </c>
    </row>
    <row r="68" spans="1:32" ht="15" customHeight="1" x14ac:dyDescent="0.3">
      <c r="A68" s="49" t="s">
        <v>220</v>
      </c>
      <c r="B68" s="50">
        <v>22.16</v>
      </c>
      <c r="C68" s="50"/>
      <c r="D68" s="51"/>
      <c r="E68" s="51">
        <v>25.41</v>
      </c>
      <c r="F68" s="50">
        <v>24</v>
      </c>
      <c r="G68" s="50"/>
      <c r="H68" s="50">
        <v>22.55</v>
      </c>
      <c r="I68" s="50">
        <v>24.53</v>
      </c>
      <c r="J68" s="50">
        <v>22.77</v>
      </c>
      <c r="K68" s="50">
        <v>23.2</v>
      </c>
      <c r="L68" s="53"/>
      <c r="M68" s="50">
        <v>27.49</v>
      </c>
      <c r="N68" s="50"/>
      <c r="O68" s="50"/>
      <c r="P68" s="50"/>
      <c r="Q68" s="50">
        <v>20.03</v>
      </c>
      <c r="R68" s="50"/>
      <c r="S68" s="53"/>
      <c r="T68" s="50">
        <v>25.72</v>
      </c>
      <c r="U68" s="52"/>
      <c r="V68" s="50"/>
      <c r="W68" s="52"/>
      <c r="X68" s="53"/>
      <c r="Y68" s="50"/>
      <c r="Z68" s="50"/>
      <c r="AA68" s="52"/>
      <c r="AB68" s="98"/>
      <c r="AC68" s="226"/>
      <c r="AD68" s="115"/>
      <c r="AE68" s="240">
        <v>29952</v>
      </c>
      <c r="AF68" s="2" t="s">
        <v>495</v>
      </c>
    </row>
    <row r="69" spans="1:32" ht="15" customHeight="1" x14ac:dyDescent="0.3">
      <c r="A69" s="38" t="s">
        <v>219</v>
      </c>
      <c r="B69" s="39">
        <v>21.28</v>
      </c>
      <c r="C69" s="39"/>
      <c r="D69" s="40"/>
      <c r="E69" s="40">
        <v>24.98</v>
      </c>
      <c r="F69" s="39">
        <v>23.7</v>
      </c>
      <c r="G69" s="39"/>
      <c r="H69" s="39">
        <v>20.7</v>
      </c>
      <c r="I69" s="39">
        <v>25.96</v>
      </c>
      <c r="J69" s="39">
        <v>23</v>
      </c>
      <c r="K69" s="39">
        <v>22.91</v>
      </c>
      <c r="L69" s="42"/>
      <c r="M69" s="39">
        <v>29.51</v>
      </c>
      <c r="N69" s="39"/>
      <c r="O69" s="39"/>
      <c r="P69" s="39"/>
      <c r="Q69" s="39">
        <v>19.43</v>
      </c>
      <c r="R69" s="39"/>
      <c r="S69" s="42"/>
      <c r="T69" s="39">
        <v>25.58</v>
      </c>
      <c r="U69" s="41"/>
      <c r="V69" s="39"/>
      <c r="W69" s="41"/>
      <c r="X69" s="42"/>
      <c r="Y69" s="39"/>
      <c r="Z69" s="39"/>
      <c r="AA69" s="41"/>
      <c r="AB69" s="96"/>
      <c r="AC69" s="224"/>
      <c r="AD69" s="113"/>
      <c r="AE69" s="240">
        <v>29983</v>
      </c>
      <c r="AF69" s="2" t="s">
        <v>495</v>
      </c>
    </row>
    <row r="70" spans="1:32" ht="15" customHeight="1" x14ac:dyDescent="0.3">
      <c r="A70" s="38" t="s">
        <v>218</v>
      </c>
      <c r="B70" s="39">
        <v>19.079999999999998</v>
      </c>
      <c r="C70" s="39"/>
      <c r="D70" s="40"/>
      <c r="E70" s="40">
        <v>24.58</v>
      </c>
      <c r="F70" s="39">
        <v>23.87</v>
      </c>
      <c r="G70" s="39"/>
      <c r="H70" s="39">
        <v>19.100000000000001</v>
      </c>
      <c r="I70" s="39">
        <v>27.55</v>
      </c>
      <c r="J70" s="39">
        <v>22.36</v>
      </c>
      <c r="K70" s="39">
        <v>22.67</v>
      </c>
      <c r="L70" s="42"/>
      <c r="M70" s="39">
        <v>29.72</v>
      </c>
      <c r="N70" s="39"/>
      <c r="O70" s="39"/>
      <c r="P70" s="39"/>
      <c r="Q70" s="39">
        <v>18.350000000000001</v>
      </c>
      <c r="R70" s="39"/>
      <c r="S70" s="42"/>
      <c r="T70" s="39">
        <v>25.64</v>
      </c>
      <c r="U70" s="41"/>
      <c r="V70" s="39"/>
      <c r="W70" s="41"/>
      <c r="X70" s="42"/>
      <c r="Y70" s="39"/>
      <c r="Z70" s="39"/>
      <c r="AA70" s="41"/>
      <c r="AB70" s="96"/>
      <c r="AC70" s="224"/>
      <c r="AD70" s="113"/>
      <c r="AE70" s="240">
        <v>30011</v>
      </c>
      <c r="AF70" s="2" t="s">
        <v>495</v>
      </c>
    </row>
    <row r="71" spans="1:32" ht="15" customHeight="1" x14ac:dyDescent="0.3">
      <c r="A71" s="38" t="s">
        <v>217</v>
      </c>
      <c r="B71" s="39">
        <v>18.91</v>
      </c>
      <c r="C71" s="39"/>
      <c r="D71" s="40"/>
      <c r="E71" s="40">
        <v>25.57</v>
      </c>
      <c r="F71" s="39">
        <v>23.87</v>
      </c>
      <c r="G71" s="39"/>
      <c r="H71" s="39">
        <v>17.7</v>
      </c>
      <c r="I71" s="39">
        <v>26.95</v>
      </c>
      <c r="J71" s="39">
        <v>22.57</v>
      </c>
      <c r="K71" s="39">
        <v>21.99</v>
      </c>
      <c r="L71" s="42"/>
      <c r="M71" s="39">
        <v>29.65</v>
      </c>
      <c r="N71" s="39"/>
      <c r="O71" s="39"/>
      <c r="P71" s="39"/>
      <c r="Q71" s="39">
        <v>18.37</v>
      </c>
      <c r="R71" s="39"/>
      <c r="S71" s="42"/>
      <c r="T71" s="39">
        <v>25.25</v>
      </c>
      <c r="U71" s="41"/>
      <c r="V71" s="39"/>
      <c r="W71" s="41"/>
      <c r="X71" s="42"/>
      <c r="Y71" s="39"/>
      <c r="Z71" s="39"/>
      <c r="AA71" s="41"/>
      <c r="AB71" s="96"/>
      <c r="AC71" s="224"/>
      <c r="AD71" s="113"/>
      <c r="AE71" s="240">
        <v>30042</v>
      </c>
      <c r="AF71" s="2" t="s">
        <v>495</v>
      </c>
    </row>
    <row r="72" spans="1:32" ht="15" customHeight="1" x14ac:dyDescent="0.3">
      <c r="A72" s="38" t="s">
        <v>216</v>
      </c>
      <c r="B72" s="39">
        <v>18.809999999999999</v>
      </c>
      <c r="C72" s="39"/>
      <c r="D72" s="40"/>
      <c r="E72" s="40">
        <v>26.19</v>
      </c>
      <c r="F72" s="39">
        <v>23.95</v>
      </c>
      <c r="G72" s="39"/>
      <c r="H72" s="39">
        <v>18.27</v>
      </c>
      <c r="I72" s="39">
        <v>26.55</v>
      </c>
      <c r="J72" s="39">
        <v>22.51</v>
      </c>
      <c r="K72" s="39">
        <v>21.2</v>
      </c>
      <c r="L72" s="42"/>
      <c r="M72" s="39">
        <v>29.52</v>
      </c>
      <c r="N72" s="39"/>
      <c r="O72" s="39"/>
      <c r="P72" s="39"/>
      <c r="Q72" s="39">
        <v>18.670000000000002</v>
      </c>
      <c r="R72" s="39"/>
      <c r="S72" s="42"/>
      <c r="T72" s="39">
        <v>25.21</v>
      </c>
      <c r="U72" s="41"/>
      <c r="V72" s="39"/>
      <c r="W72" s="41"/>
      <c r="X72" s="42"/>
      <c r="Y72" s="39"/>
      <c r="Z72" s="39"/>
      <c r="AA72" s="41"/>
      <c r="AB72" s="96"/>
      <c r="AC72" s="224"/>
      <c r="AD72" s="113"/>
      <c r="AE72" s="240">
        <v>30072</v>
      </c>
      <c r="AF72" s="2" t="s">
        <v>495</v>
      </c>
    </row>
    <row r="73" spans="1:32" ht="15" customHeight="1" x14ac:dyDescent="0.3">
      <c r="A73" s="38" t="s">
        <v>215</v>
      </c>
      <c r="B73" s="39">
        <v>20.12</v>
      </c>
      <c r="C73" s="39"/>
      <c r="D73" s="40"/>
      <c r="E73" s="40">
        <v>27.34</v>
      </c>
      <c r="F73" s="39">
        <v>24.51</v>
      </c>
      <c r="G73" s="39"/>
      <c r="H73" s="39">
        <v>19.600000000000001</v>
      </c>
      <c r="I73" s="39">
        <v>26.15</v>
      </c>
      <c r="J73" s="39">
        <v>22.49</v>
      </c>
      <c r="K73" s="39">
        <v>22.96</v>
      </c>
      <c r="L73" s="42"/>
      <c r="M73" s="39">
        <v>29.44</v>
      </c>
      <c r="N73" s="39"/>
      <c r="O73" s="39"/>
      <c r="P73" s="39"/>
      <c r="Q73" s="39">
        <v>20.29</v>
      </c>
      <c r="R73" s="39"/>
      <c r="S73" s="42"/>
      <c r="T73" s="39">
        <v>25.6</v>
      </c>
      <c r="U73" s="41"/>
      <c r="V73" s="39"/>
      <c r="W73" s="41"/>
      <c r="X73" s="42"/>
      <c r="Y73" s="39"/>
      <c r="Z73" s="39"/>
      <c r="AA73" s="41"/>
      <c r="AB73" s="96"/>
      <c r="AC73" s="224"/>
      <c r="AD73" s="113"/>
      <c r="AE73" s="240">
        <v>30103</v>
      </c>
      <c r="AF73" s="2" t="s">
        <v>495</v>
      </c>
    </row>
    <row r="74" spans="1:32" ht="15" customHeight="1" x14ac:dyDescent="0.3">
      <c r="A74" s="38" t="s">
        <v>214</v>
      </c>
      <c r="B74" s="39">
        <v>20.78</v>
      </c>
      <c r="C74" s="39"/>
      <c r="D74" s="40"/>
      <c r="E74" s="40">
        <v>27.28</v>
      </c>
      <c r="F74" s="39">
        <v>25.06</v>
      </c>
      <c r="G74" s="39"/>
      <c r="H74" s="39">
        <v>20.11</v>
      </c>
      <c r="I74" s="39">
        <v>26.28</v>
      </c>
      <c r="J74" s="39">
        <v>22.45</v>
      </c>
      <c r="K74" s="39">
        <v>20.25</v>
      </c>
      <c r="L74" s="42"/>
      <c r="M74" s="39">
        <v>30.1</v>
      </c>
      <c r="N74" s="39"/>
      <c r="O74" s="39"/>
      <c r="P74" s="39"/>
      <c r="Q74" s="39">
        <v>20.65</v>
      </c>
      <c r="R74" s="39"/>
      <c r="S74" s="42"/>
      <c r="T74" s="39">
        <v>25.69</v>
      </c>
      <c r="U74" s="41"/>
      <c r="V74" s="39"/>
      <c r="W74" s="41"/>
      <c r="X74" s="42"/>
      <c r="Y74" s="39"/>
      <c r="Z74" s="39"/>
      <c r="AA74" s="41"/>
      <c r="AB74" s="96"/>
      <c r="AC74" s="224"/>
      <c r="AD74" s="113"/>
      <c r="AE74" s="240">
        <v>30133</v>
      </c>
      <c r="AF74" s="2" t="s">
        <v>495</v>
      </c>
    </row>
    <row r="75" spans="1:32" ht="15" customHeight="1" x14ac:dyDescent="0.3">
      <c r="A75" s="38" t="s">
        <v>213</v>
      </c>
      <c r="B75" s="39">
        <v>20.9</v>
      </c>
      <c r="C75" s="39"/>
      <c r="D75" s="40"/>
      <c r="E75" s="40">
        <v>27.25</v>
      </c>
      <c r="F75" s="39">
        <v>26.12</v>
      </c>
      <c r="G75" s="39"/>
      <c r="H75" s="39">
        <v>20.52</v>
      </c>
      <c r="I75" s="39">
        <v>25.78</v>
      </c>
      <c r="J75" s="39">
        <v>22.58</v>
      </c>
      <c r="K75" s="39">
        <v>21.21</v>
      </c>
      <c r="L75" s="42"/>
      <c r="M75" s="39">
        <v>30.31</v>
      </c>
      <c r="N75" s="39"/>
      <c r="O75" s="39"/>
      <c r="P75" s="39"/>
      <c r="Q75" s="39">
        <v>21.01</v>
      </c>
      <c r="R75" s="39"/>
      <c r="S75" s="42"/>
      <c r="T75" s="39">
        <v>26.32</v>
      </c>
      <c r="U75" s="41"/>
      <c r="V75" s="39"/>
      <c r="W75" s="41"/>
      <c r="X75" s="42"/>
      <c r="Y75" s="39"/>
      <c r="Z75" s="39"/>
      <c r="AA75" s="41"/>
      <c r="AB75" s="96"/>
      <c r="AC75" s="224"/>
      <c r="AD75" s="113"/>
      <c r="AE75" s="240">
        <v>30164</v>
      </c>
      <c r="AF75" s="2" t="s">
        <v>495</v>
      </c>
    </row>
    <row r="76" spans="1:32" ht="15" customHeight="1" x14ac:dyDescent="0.3">
      <c r="A76" s="38" t="s">
        <v>212</v>
      </c>
      <c r="B76" s="39">
        <v>22</v>
      </c>
      <c r="C76" s="39"/>
      <c r="D76" s="40"/>
      <c r="E76" s="40">
        <v>28.03</v>
      </c>
      <c r="F76" s="39">
        <v>26.96</v>
      </c>
      <c r="G76" s="39"/>
      <c r="H76" s="39">
        <v>21.9</v>
      </c>
      <c r="I76" s="39">
        <v>25.78</v>
      </c>
      <c r="J76" s="39">
        <v>23.19</v>
      </c>
      <c r="K76" s="39">
        <v>21.53</v>
      </c>
      <c r="L76" s="42"/>
      <c r="M76" s="39">
        <v>30.26</v>
      </c>
      <c r="N76" s="39"/>
      <c r="O76" s="39"/>
      <c r="P76" s="39"/>
      <c r="Q76" s="39">
        <v>21.49</v>
      </c>
      <c r="R76" s="39"/>
      <c r="S76" s="42"/>
      <c r="T76" s="39">
        <v>27.55</v>
      </c>
      <c r="U76" s="41"/>
      <c r="V76" s="39"/>
      <c r="W76" s="41"/>
      <c r="X76" s="42"/>
      <c r="Y76" s="39"/>
      <c r="Z76" s="39"/>
      <c r="AA76" s="41"/>
      <c r="AB76" s="96"/>
      <c r="AC76" s="224"/>
      <c r="AD76" s="113"/>
      <c r="AE76" s="240">
        <v>30195</v>
      </c>
      <c r="AF76" s="2" t="s">
        <v>495</v>
      </c>
    </row>
    <row r="77" spans="1:32" ht="15" customHeight="1" x14ac:dyDescent="0.3">
      <c r="A77" s="38" t="s">
        <v>211</v>
      </c>
      <c r="B77" s="39">
        <v>23.64</v>
      </c>
      <c r="C77" s="39"/>
      <c r="D77" s="40"/>
      <c r="E77" s="40">
        <v>28.37</v>
      </c>
      <c r="F77" s="39">
        <v>27.69</v>
      </c>
      <c r="G77" s="39"/>
      <c r="H77" s="39">
        <v>22.92</v>
      </c>
      <c r="I77" s="39">
        <v>26.21</v>
      </c>
      <c r="J77" s="39">
        <v>23.67</v>
      </c>
      <c r="K77" s="39">
        <v>22.99</v>
      </c>
      <c r="L77" s="42"/>
      <c r="M77" s="39">
        <v>30.57</v>
      </c>
      <c r="N77" s="39"/>
      <c r="O77" s="39"/>
      <c r="P77" s="39"/>
      <c r="Q77" s="39">
        <v>22.1</v>
      </c>
      <c r="R77" s="39"/>
      <c r="S77" s="42"/>
      <c r="T77" s="39">
        <v>28.64</v>
      </c>
      <c r="U77" s="41"/>
      <c r="V77" s="39"/>
      <c r="W77" s="41"/>
      <c r="X77" s="42"/>
      <c r="Y77" s="39"/>
      <c r="Z77" s="39"/>
      <c r="AA77" s="41"/>
      <c r="AB77" s="96"/>
      <c r="AC77" s="224"/>
      <c r="AD77" s="113"/>
      <c r="AE77" s="240">
        <v>30225</v>
      </c>
      <c r="AF77" s="2" t="s">
        <v>495</v>
      </c>
    </row>
    <row r="78" spans="1:32" ht="15" customHeight="1" x14ac:dyDescent="0.3">
      <c r="A78" s="38" t="s">
        <v>210</v>
      </c>
      <c r="B78" s="39">
        <v>25.04</v>
      </c>
      <c r="C78" s="39"/>
      <c r="D78" s="40"/>
      <c r="E78" s="40">
        <v>28.78</v>
      </c>
      <c r="F78" s="39">
        <v>27.93</v>
      </c>
      <c r="G78" s="39"/>
      <c r="H78" s="39">
        <v>24.4</v>
      </c>
      <c r="I78" s="39">
        <v>26.34</v>
      </c>
      <c r="J78" s="39">
        <v>23.56</v>
      </c>
      <c r="K78" s="39">
        <v>23.97</v>
      </c>
      <c r="L78" s="42"/>
      <c r="M78" s="39">
        <v>30.4</v>
      </c>
      <c r="N78" s="39"/>
      <c r="O78" s="39"/>
      <c r="P78" s="39"/>
      <c r="Q78" s="39">
        <v>22.33</v>
      </c>
      <c r="R78" s="39"/>
      <c r="S78" s="42"/>
      <c r="T78" s="39">
        <v>29.21</v>
      </c>
      <c r="U78" s="41"/>
      <c r="V78" s="39"/>
      <c r="W78" s="41"/>
      <c r="X78" s="42"/>
      <c r="Y78" s="39"/>
      <c r="Z78" s="39"/>
      <c r="AA78" s="41"/>
      <c r="AB78" s="96"/>
      <c r="AC78" s="224"/>
      <c r="AD78" s="113"/>
      <c r="AE78" s="240">
        <v>30256</v>
      </c>
      <c r="AF78" s="2" t="s">
        <v>495</v>
      </c>
    </row>
    <row r="79" spans="1:32" ht="15" customHeight="1" x14ac:dyDescent="0.3">
      <c r="A79" s="44" t="s">
        <v>209</v>
      </c>
      <c r="B79" s="45">
        <v>24.72</v>
      </c>
      <c r="C79" s="45"/>
      <c r="D79" s="46"/>
      <c r="E79" s="46">
        <v>29</v>
      </c>
      <c r="F79" s="45">
        <v>28.13</v>
      </c>
      <c r="G79" s="45"/>
      <c r="H79" s="45">
        <v>24.41</v>
      </c>
      <c r="I79" s="45">
        <v>25.99</v>
      </c>
      <c r="J79" s="45">
        <v>21.62</v>
      </c>
      <c r="K79" s="45">
        <v>24.73</v>
      </c>
      <c r="L79" s="48"/>
      <c r="M79" s="45">
        <v>30.83</v>
      </c>
      <c r="N79" s="45"/>
      <c r="O79" s="45"/>
      <c r="P79" s="45"/>
      <c r="Q79" s="45">
        <v>22.15</v>
      </c>
      <c r="R79" s="45"/>
      <c r="S79" s="48"/>
      <c r="T79" s="45">
        <v>29.07</v>
      </c>
      <c r="U79" s="47"/>
      <c r="V79" s="45"/>
      <c r="W79" s="47"/>
      <c r="X79" s="48"/>
      <c r="Y79" s="45"/>
      <c r="Z79" s="45"/>
      <c r="AA79" s="47"/>
      <c r="AB79" s="97"/>
      <c r="AC79" s="225"/>
      <c r="AD79" s="114"/>
      <c r="AE79" s="241">
        <v>30286</v>
      </c>
      <c r="AF79" s="2" t="s">
        <v>495</v>
      </c>
    </row>
    <row r="80" spans="1:32" ht="15" customHeight="1" x14ac:dyDescent="0.3">
      <c r="A80" s="49" t="s">
        <v>208</v>
      </c>
      <c r="B80" s="50">
        <v>24.18</v>
      </c>
      <c r="C80" s="50"/>
      <c r="D80" s="51"/>
      <c r="E80" s="51">
        <v>29.18</v>
      </c>
      <c r="F80" s="50">
        <v>27.28</v>
      </c>
      <c r="G80" s="50"/>
      <c r="H80" s="50">
        <v>24.82</v>
      </c>
      <c r="I80" s="50">
        <v>23.18</v>
      </c>
      <c r="J80" s="50">
        <v>21</v>
      </c>
      <c r="K80" s="50">
        <v>24.88</v>
      </c>
      <c r="L80" s="53"/>
      <c r="M80" s="50">
        <v>32.229999999999997</v>
      </c>
      <c r="N80" s="50"/>
      <c r="O80" s="50"/>
      <c r="P80" s="50"/>
      <c r="Q80" s="50">
        <v>22.16</v>
      </c>
      <c r="R80" s="50"/>
      <c r="S80" s="53"/>
      <c r="T80" s="50">
        <v>28.76</v>
      </c>
      <c r="U80" s="52"/>
      <c r="V80" s="50"/>
      <c r="W80" s="52"/>
      <c r="X80" s="53"/>
      <c r="Y80" s="50"/>
      <c r="Z80" s="50"/>
      <c r="AA80" s="52"/>
      <c r="AB80" s="98"/>
      <c r="AC80" s="226"/>
      <c r="AD80" s="115"/>
      <c r="AE80" s="240">
        <v>30317</v>
      </c>
      <c r="AF80" s="2" t="s">
        <v>495</v>
      </c>
    </row>
    <row r="81" spans="1:32" ht="15" customHeight="1" x14ac:dyDescent="0.3">
      <c r="A81" s="38" t="s">
        <v>207</v>
      </c>
      <c r="B81" s="39">
        <v>24.14</v>
      </c>
      <c r="C81" s="39"/>
      <c r="D81" s="40"/>
      <c r="E81" s="40">
        <v>29.15</v>
      </c>
      <c r="F81" s="39">
        <v>27.14</v>
      </c>
      <c r="G81" s="39"/>
      <c r="H81" s="39">
        <v>23.26</v>
      </c>
      <c r="I81" s="39">
        <v>22.76</v>
      </c>
      <c r="J81" s="39">
        <v>21.09</v>
      </c>
      <c r="K81" s="39">
        <v>24.96</v>
      </c>
      <c r="L81" s="42"/>
      <c r="M81" s="39">
        <v>32.950000000000003</v>
      </c>
      <c r="N81" s="39"/>
      <c r="O81" s="39"/>
      <c r="P81" s="39"/>
      <c r="Q81" s="39">
        <v>22.41</v>
      </c>
      <c r="R81" s="39"/>
      <c r="S81" s="42"/>
      <c r="T81" s="39">
        <v>28.55</v>
      </c>
      <c r="U81" s="41"/>
      <c r="V81" s="39"/>
      <c r="W81" s="41"/>
      <c r="X81" s="42"/>
      <c r="Y81" s="39"/>
      <c r="Z81" s="39"/>
      <c r="AA81" s="41"/>
      <c r="AB81" s="96"/>
      <c r="AC81" s="224"/>
      <c r="AD81" s="113"/>
      <c r="AE81" s="240">
        <v>30348</v>
      </c>
      <c r="AF81" s="2" t="s">
        <v>495</v>
      </c>
    </row>
    <row r="82" spans="1:32" ht="15" customHeight="1" x14ac:dyDescent="0.3">
      <c r="A82" s="38" t="s">
        <v>206</v>
      </c>
      <c r="B82" s="39">
        <v>22.39</v>
      </c>
      <c r="C82" s="39"/>
      <c r="D82" s="40"/>
      <c r="E82" s="40">
        <v>29.19</v>
      </c>
      <c r="F82" s="39">
        <v>27.26</v>
      </c>
      <c r="G82" s="39"/>
      <c r="H82" s="39">
        <v>20.98</v>
      </c>
      <c r="I82" s="39">
        <v>24.99</v>
      </c>
      <c r="J82" s="39">
        <v>20.81</v>
      </c>
      <c r="K82" s="39">
        <v>24.13</v>
      </c>
      <c r="L82" s="42"/>
      <c r="M82" s="39">
        <v>32.82</v>
      </c>
      <c r="N82" s="39"/>
      <c r="O82" s="39"/>
      <c r="P82" s="39"/>
      <c r="Q82" s="39">
        <v>22.55</v>
      </c>
      <c r="R82" s="39"/>
      <c r="S82" s="42"/>
      <c r="T82" s="39">
        <v>28.37</v>
      </c>
      <c r="U82" s="41"/>
      <c r="V82" s="39"/>
      <c r="W82" s="41"/>
      <c r="X82" s="42"/>
      <c r="Y82" s="39"/>
      <c r="Z82" s="39"/>
      <c r="AA82" s="41"/>
      <c r="AB82" s="96"/>
      <c r="AC82" s="224"/>
      <c r="AD82" s="113"/>
      <c r="AE82" s="240">
        <v>30376</v>
      </c>
      <c r="AF82" s="2" t="s">
        <v>495</v>
      </c>
    </row>
    <row r="83" spans="1:32" ht="15" customHeight="1" x14ac:dyDescent="0.3">
      <c r="A83" s="38" t="s">
        <v>205</v>
      </c>
      <c r="B83" s="39">
        <v>21.37</v>
      </c>
      <c r="C83" s="39"/>
      <c r="D83" s="40"/>
      <c r="E83" s="40">
        <v>28.56</v>
      </c>
      <c r="F83" s="39">
        <v>26.86</v>
      </c>
      <c r="G83" s="39"/>
      <c r="H83" s="39">
        <v>19.27</v>
      </c>
      <c r="I83" s="39">
        <v>25.05</v>
      </c>
      <c r="J83" s="39">
        <v>20.89</v>
      </c>
      <c r="K83" s="39">
        <v>22.71</v>
      </c>
      <c r="L83" s="42"/>
      <c r="M83" s="39">
        <v>33.049999999999997</v>
      </c>
      <c r="N83" s="39"/>
      <c r="O83" s="39"/>
      <c r="P83" s="39"/>
      <c r="Q83" s="39">
        <v>22.09</v>
      </c>
      <c r="R83" s="39"/>
      <c r="S83" s="42"/>
      <c r="T83" s="39">
        <v>27.52</v>
      </c>
      <c r="U83" s="41"/>
      <c r="V83" s="39"/>
      <c r="W83" s="41"/>
      <c r="X83" s="42"/>
      <c r="Y83" s="39"/>
      <c r="Z83" s="39"/>
      <c r="AA83" s="41"/>
      <c r="AB83" s="96"/>
      <c r="AC83" s="224"/>
      <c r="AD83" s="113"/>
      <c r="AE83" s="240">
        <v>30407</v>
      </c>
      <c r="AF83" s="2" t="s">
        <v>495</v>
      </c>
    </row>
    <row r="84" spans="1:32" ht="15" customHeight="1" x14ac:dyDescent="0.3">
      <c r="A84" s="38" t="s">
        <v>204</v>
      </c>
      <c r="B84" s="39">
        <v>21.49</v>
      </c>
      <c r="C84" s="39"/>
      <c r="D84" s="40"/>
      <c r="E84" s="40">
        <v>28.18</v>
      </c>
      <c r="F84" s="39">
        <v>26.65</v>
      </c>
      <c r="G84" s="39"/>
      <c r="H84" s="39">
        <v>19.13</v>
      </c>
      <c r="I84" s="39">
        <v>25.07</v>
      </c>
      <c r="J84" s="39">
        <v>20.77</v>
      </c>
      <c r="K84" s="39">
        <v>20.87</v>
      </c>
      <c r="L84" s="42"/>
      <c r="M84" s="39">
        <v>33.229999999999997</v>
      </c>
      <c r="N84" s="39"/>
      <c r="O84" s="39"/>
      <c r="P84" s="39"/>
      <c r="Q84" s="39">
        <v>22.46</v>
      </c>
      <c r="R84" s="39"/>
      <c r="S84" s="42"/>
      <c r="T84" s="39">
        <v>27.24</v>
      </c>
      <c r="U84" s="41"/>
      <c r="V84" s="39"/>
      <c r="W84" s="41"/>
      <c r="X84" s="42"/>
      <c r="Y84" s="39"/>
      <c r="Z84" s="39"/>
      <c r="AA84" s="41"/>
      <c r="AB84" s="96"/>
      <c r="AC84" s="224"/>
      <c r="AD84" s="113"/>
      <c r="AE84" s="240">
        <v>30437</v>
      </c>
      <c r="AF84" s="2" t="s">
        <v>495</v>
      </c>
    </row>
    <row r="85" spans="1:32" ht="15" customHeight="1" x14ac:dyDescent="0.3">
      <c r="A85" s="38" t="s">
        <v>203</v>
      </c>
      <c r="B85" s="39">
        <v>21.22</v>
      </c>
      <c r="C85" s="39"/>
      <c r="D85" s="40"/>
      <c r="E85" s="40">
        <v>27.76</v>
      </c>
      <c r="F85" s="39">
        <v>26.43</v>
      </c>
      <c r="G85" s="39"/>
      <c r="H85" s="39">
        <v>20.350000000000001</v>
      </c>
      <c r="I85" s="39">
        <v>25.79</v>
      </c>
      <c r="J85" s="39">
        <v>20.48</v>
      </c>
      <c r="K85" s="39">
        <v>21.56</v>
      </c>
      <c r="L85" s="42"/>
      <c r="M85" s="39">
        <v>33.450000000000003</v>
      </c>
      <c r="N85" s="39"/>
      <c r="O85" s="39"/>
      <c r="P85" s="39"/>
      <c r="Q85" s="39">
        <v>22.14</v>
      </c>
      <c r="R85" s="39"/>
      <c r="S85" s="42"/>
      <c r="T85" s="39">
        <v>27.03</v>
      </c>
      <c r="U85" s="41"/>
      <c r="V85" s="39"/>
      <c r="W85" s="41"/>
      <c r="X85" s="42"/>
      <c r="Y85" s="39"/>
      <c r="Z85" s="39"/>
      <c r="AA85" s="41"/>
      <c r="AB85" s="96"/>
      <c r="AC85" s="224"/>
      <c r="AD85" s="113"/>
      <c r="AE85" s="240">
        <v>30468</v>
      </c>
      <c r="AF85" s="2" t="s">
        <v>495</v>
      </c>
    </row>
    <row r="86" spans="1:32" ht="15" customHeight="1" x14ac:dyDescent="0.3">
      <c r="A86" s="38" t="s">
        <v>202</v>
      </c>
      <c r="B86" s="39">
        <v>21.21</v>
      </c>
      <c r="C86" s="39"/>
      <c r="D86" s="40"/>
      <c r="E86" s="40">
        <v>27.4</v>
      </c>
      <c r="F86" s="39">
        <v>26.78</v>
      </c>
      <c r="G86" s="39"/>
      <c r="H86" s="39">
        <v>20.48</v>
      </c>
      <c r="I86" s="39">
        <v>26.09</v>
      </c>
      <c r="J86" s="39">
        <v>20.260000000000002</v>
      </c>
      <c r="K86" s="39">
        <v>21.68</v>
      </c>
      <c r="L86" s="42"/>
      <c r="M86" s="39">
        <v>33.18</v>
      </c>
      <c r="N86" s="39"/>
      <c r="O86" s="39"/>
      <c r="P86" s="39"/>
      <c r="Q86" s="39">
        <v>21.94</v>
      </c>
      <c r="R86" s="39"/>
      <c r="S86" s="42"/>
      <c r="T86" s="39">
        <v>26.76</v>
      </c>
      <c r="U86" s="41"/>
      <c r="V86" s="39"/>
      <c r="W86" s="41"/>
      <c r="X86" s="42"/>
      <c r="Y86" s="39"/>
      <c r="Z86" s="39"/>
      <c r="AA86" s="41"/>
      <c r="AB86" s="96"/>
      <c r="AC86" s="224"/>
      <c r="AD86" s="113"/>
      <c r="AE86" s="240">
        <v>30498</v>
      </c>
      <c r="AF86" s="2" t="s">
        <v>495</v>
      </c>
    </row>
    <row r="87" spans="1:32" ht="15" customHeight="1" x14ac:dyDescent="0.3">
      <c r="A87" s="38" t="s">
        <v>201</v>
      </c>
      <c r="B87" s="39">
        <v>21.67</v>
      </c>
      <c r="C87" s="39"/>
      <c r="D87" s="40"/>
      <c r="E87" s="40">
        <v>27.31</v>
      </c>
      <c r="F87" s="39">
        <v>27.42</v>
      </c>
      <c r="G87" s="39"/>
      <c r="H87" s="39">
        <v>20.99</v>
      </c>
      <c r="I87" s="39">
        <v>25.58</v>
      </c>
      <c r="J87" s="39">
        <v>20.61</v>
      </c>
      <c r="K87" s="39">
        <v>22.04</v>
      </c>
      <c r="L87" s="42"/>
      <c r="M87" s="39">
        <v>33.090000000000003</v>
      </c>
      <c r="N87" s="39"/>
      <c r="O87" s="39"/>
      <c r="P87" s="39"/>
      <c r="Q87" s="39">
        <v>22.09</v>
      </c>
      <c r="R87" s="39"/>
      <c r="S87" s="42"/>
      <c r="T87" s="39">
        <v>27.02</v>
      </c>
      <c r="U87" s="41"/>
      <c r="V87" s="39"/>
      <c r="W87" s="41"/>
      <c r="X87" s="42"/>
      <c r="Y87" s="39"/>
      <c r="Z87" s="39"/>
      <c r="AA87" s="41"/>
      <c r="AB87" s="96"/>
      <c r="AC87" s="224"/>
      <c r="AD87" s="113"/>
      <c r="AE87" s="240">
        <v>30529</v>
      </c>
      <c r="AF87" s="2" t="s">
        <v>495</v>
      </c>
    </row>
    <row r="88" spans="1:32" ht="15" customHeight="1" x14ac:dyDescent="0.3">
      <c r="A88" s="38" t="s">
        <v>200</v>
      </c>
      <c r="B88" s="39">
        <v>22.51</v>
      </c>
      <c r="C88" s="39"/>
      <c r="D88" s="40"/>
      <c r="E88" s="40">
        <v>27.29</v>
      </c>
      <c r="F88" s="39">
        <v>28.49</v>
      </c>
      <c r="G88" s="39"/>
      <c r="H88" s="39">
        <v>22.48</v>
      </c>
      <c r="I88" s="39">
        <v>24.61</v>
      </c>
      <c r="J88" s="39">
        <v>21.06</v>
      </c>
      <c r="K88" s="39">
        <v>23.32</v>
      </c>
      <c r="L88" s="42"/>
      <c r="M88" s="39">
        <v>32.56</v>
      </c>
      <c r="N88" s="39"/>
      <c r="O88" s="39"/>
      <c r="P88" s="39"/>
      <c r="Q88" s="39">
        <v>22.97</v>
      </c>
      <c r="R88" s="39"/>
      <c r="S88" s="42"/>
      <c r="T88" s="39">
        <v>28.45</v>
      </c>
      <c r="U88" s="41"/>
      <c r="V88" s="39"/>
      <c r="W88" s="41"/>
      <c r="X88" s="42"/>
      <c r="Y88" s="39"/>
      <c r="Z88" s="39"/>
      <c r="AA88" s="41"/>
      <c r="AB88" s="96"/>
      <c r="AC88" s="224"/>
      <c r="AD88" s="113"/>
      <c r="AE88" s="240">
        <v>30560</v>
      </c>
      <c r="AF88" s="2" t="s">
        <v>495</v>
      </c>
    </row>
    <row r="89" spans="1:32" ht="15" customHeight="1" x14ac:dyDescent="0.3">
      <c r="A89" s="38" t="s">
        <v>199</v>
      </c>
      <c r="B89" s="39">
        <v>24.31</v>
      </c>
      <c r="C89" s="39"/>
      <c r="D89" s="40"/>
      <c r="E89" s="40">
        <v>28.95</v>
      </c>
      <c r="F89" s="39">
        <v>29.34</v>
      </c>
      <c r="G89" s="39"/>
      <c r="H89" s="39">
        <v>23.59</v>
      </c>
      <c r="I89" s="39">
        <v>24.74</v>
      </c>
      <c r="J89" s="39">
        <v>21.72</v>
      </c>
      <c r="K89" s="39">
        <v>24.49</v>
      </c>
      <c r="L89" s="42"/>
      <c r="M89" s="39">
        <v>32.44</v>
      </c>
      <c r="N89" s="39"/>
      <c r="O89" s="39"/>
      <c r="P89" s="39"/>
      <c r="Q89" s="39">
        <v>23.42</v>
      </c>
      <c r="R89" s="39"/>
      <c r="S89" s="42"/>
      <c r="T89" s="39">
        <v>29.53</v>
      </c>
      <c r="U89" s="41"/>
      <c r="V89" s="39"/>
      <c r="W89" s="41"/>
      <c r="X89" s="42"/>
      <c r="Y89" s="39"/>
      <c r="Z89" s="39"/>
      <c r="AA89" s="41"/>
      <c r="AB89" s="96"/>
      <c r="AC89" s="224"/>
      <c r="AD89" s="113"/>
      <c r="AE89" s="240">
        <v>30590</v>
      </c>
      <c r="AF89" s="2" t="s">
        <v>495</v>
      </c>
    </row>
    <row r="90" spans="1:32" ht="15" customHeight="1" x14ac:dyDescent="0.3">
      <c r="A90" s="38" t="s">
        <v>198</v>
      </c>
      <c r="B90" s="39">
        <v>25.8</v>
      </c>
      <c r="C90" s="39"/>
      <c r="D90" s="40"/>
      <c r="E90" s="40">
        <v>29.29</v>
      </c>
      <c r="F90" s="39">
        <v>29.4</v>
      </c>
      <c r="G90" s="39"/>
      <c r="H90" s="39">
        <v>24.99</v>
      </c>
      <c r="I90" s="39">
        <v>24.86</v>
      </c>
      <c r="J90" s="39">
        <v>22.3</v>
      </c>
      <c r="K90" s="39">
        <v>25.33</v>
      </c>
      <c r="L90" s="42"/>
      <c r="M90" s="39">
        <v>32.520000000000003</v>
      </c>
      <c r="N90" s="39"/>
      <c r="O90" s="39"/>
      <c r="P90" s="39"/>
      <c r="Q90" s="39">
        <v>23.34</v>
      </c>
      <c r="R90" s="39"/>
      <c r="S90" s="42"/>
      <c r="T90" s="39">
        <v>29.62</v>
      </c>
      <c r="U90" s="41"/>
      <c r="V90" s="39"/>
      <c r="W90" s="41"/>
      <c r="X90" s="42"/>
      <c r="Y90" s="39"/>
      <c r="Z90" s="39"/>
      <c r="AA90" s="41"/>
      <c r="AB90" s="96"/>
      <c r="AC90" s="224"/>
      <c r="AD90" s="113"/>
      <c r="AE90" s="240">
        <v>30621</v>
      </c>
      <c r="AF90" s="2" t="s">
        <v>495</v>
      </c>
    </row>
    <row r="91" spans="1:32" ht="15" customHeight="1" x14ac:dyDescent="0.3">
      <c r="A91" s="44" t="s">
        <v>197</v>
      </c>
      <c r="B91" s="45">
        <v>25.44</v>
      </c>
      <c r="C91" s="45"/>
      <c r="D91" s="46"/>
      <c r="E91" s="46">
        <v>29.22</v>
      </c>
      <c r="F91" s="45">
        <v>30.2</v>
      </c>
      <c r="G91" s="45"/>
      <c r="H91" s="45">
        <v>24.85</v>
      </c>
      <c r="I91" s="45">
        <v>24.83</v>
      </c>
      <c r="J91" s="45">
        <v>22.44</v>
      </c>
      <c r="K91" s="45">
        <v>26.3</v>
      </c>
      <c r="L91" s="48"/>
      <c r="M91" s="45">
        <v>32.479999999999997</v>
      </c>
      <c r="N91" s="45"/>
      <c r="O91" s="45"/>
      <c r="P91" s="45"/>
      <c r="Q91" s="45">
        <v>23.11</v>
      </c>
      <c r="R91" s="45"/>
      <c r="S91" s="48"/>
      <c r="T91" s="45">
        <v>29.72</v>
      </c>
      <c r="U91" s="47"/>
      <c r="V91" s="45"/>
      <c r="W91" s="47"/>
      <c r="X91" s="48"/>
      <c r="Y91" s="45"/>
      <c r="Z91" s="45"/>
      <c r="AA91" s="47"/>
      <c r="AB91" s="97"/>
      <c r="AC91" s="225"/>
      <c r="AD91" s="114"/>
      <c r="AE91" s="241">
        <v>30651</v>
      </c>
      <c r="AF91" s="2" t="s">
        <v>495</v>
      </c>
    </row>
    <row r="92" spans="1:32" ht="15" customHeight="1" x14ac:dyDescent="0.3">
      <c r="A92" s="49" t="s">
        <v>196</v>
      </c>
      <c r="B92" s="50">
        <v>23.88</v>
      </c>
      <c r="C92" s="50"/>
      <c r="D92" s="51"/>
      <c r="E92" s="51">
        <v>29.11</v>
      </c>
      <c r="F92" s="50">
        <v>27.95</v>
      </c>
      <c r="G92" s="50"/>
      <c r="H92" s="50">
        <v>25.14</v>
      </c>
      <c r="I92" s="50">
        <v>24.49</v>
      </c>
      <c r="J92" s="50">
        <v>22.99</v>
      </c>
      <c r="K92" s="50">
        <v>25.24</v>
      </c>
      <c r="L92" s="53"/>
      <c r="M92" s="50">
        <v>32.65</v>
      </c>
      <c r="N92" s="50"/>
      <c r="O92" s="50"/>
      <c r="P92" s="50"/>
      <c r="Q92" s="50">
        <v>22.55</v>
      </c>
      <c r="R92" s="50"/>
      <c r="S92" s="53"/>
      <c r="T92" s="50">
        <v>29.06</v>
      </c>
      <c r="U92" s="52"/>
      <c r="V92" s="50"/>
      <c r="W92" s="52"/>
      <c r="X92" s="53"/>
      <c r="Y92" s="50"/>
      <c r="Z92" s="50"/>
      <c r="AA92" s="52"/>
      <c r="AB92" s="98"/>
      <c r="AC92" s="226"/>
      <c r="AD92" s="115"/>
      <c r="AE92" s="240">
        <v>30682</v>
      </c>
      <c r="AF92" s="2" t="s">
        <v>495</v>
      </c>
    </row>
    <row r="93" spans="1:32" ht="15" customHeight="1" x14ac:dyDescent="0.3">
      <c r="A93" s="38" t="s">
        <v>195</v>
      </c>
      <c r="B93" s="39">
        <v>23.7</v>
      </c>
      <c r="C93" s="39"/>
      <c r="D93" s="40"/>
      <c r="E93" s="40">
        <v>28.82</v>
      </c>
      <c r="F93" s="39">
        <v>27.63</v>
      </c>
      <c r="G93" s="39"/>
      <c r="H93" s="39">
        <v>23.22</v>
      </c>
      <c r="I93" s="39">
        <v>23.83</v>
      </c>
      <c r="J93" s="39">
        <v>22.97</v>
      </c>
      <c r="K93" s="39">
        <v>25.09</v>
      </c>
      <c r="L93" s="42"/>
      <c r="M93" s="39">
        <v>32.630000000000003</v>
      </c>
      <c r="N93" s="39"/>
      <c r="O93" s="39"/>
      <c r="P93" s="39"/>
      <c r="Q93" s="39">
        <v>22.57</v>
      </c>
      <c r="R93" s="39"/>
      <c r="S93" s="42"/>
      <c r="T93" s="39">
        <v>28.66</v>
      </c>
      <c r="U93" s="41"/>
      <c r="V93" s="39"/>
      <c r="W93" s="41"/>
      <c r="X93" s="42"/>
      <c r="Y93" s="39"/>
      <c r="Z93" s="39"/>
      <c r="AA93" s="41"/>
      <c r="AB93" s="96"/>
      <c r="AC93" s="224"/>
      <c r="AD93" s="113"/>
      <c r="AE93" s="240">
        <v>30713</v>
      </c>
      <c r="AF93" s="2" t="s">
        <v>495</v>
      </c>
    </row>
    <row r="94" spans="1:32" ht="15" customHeight="1" x14ac:dyDescent="0.3">
      <c r="A94" s="38" t="s">
        <v>194</v>
      </c>
      <c r="B94" s="39">
        <v>23.35</v>
      </c>
      <c r="C94" s="39"/>
      <c r="D94" s="40"/>
      <c r="E94" s="40">
        <v>28.85</v>
      </c>
      <c r="F94" s="39">
        <v>27.48</v>
      </c>
      <c r="G94" s="39"/>
      <c r="H94" s="39">
        <v>21.37</v>
      </c>
      <c r="I94" s="39">
        <v>23.1</v>
      </c>
      <c r="J94" s="39">
        <v>23.12</v>
      </c>
      <c r="K94" s="39">
        <v>24.74</v>
      </c>
      <c r="L94" s="42"/>
      <c r="M94" s="39">
        <v>32.950000000000003</v>
      </c>
      <c r="N94" s="39"/>
      <c r="O94" s="39"/>
      <c r="P94" s="39"/>
      <c r="Q94" s="39">
        <v>22.7</v>
      </c>
      <c r="R94" s="39"/>
      <c r="S94" s="42"/>
      <c r="T94" s="39">
        <v>28.36</v>
      </c>
      <c r="U94" s="41"/>
      <c r="V94" s="39"/>
      <c r="W94" s="41"/>
      <c r="X94" s="42"/>
      <c r="Y94" s="39"/>
      <c r="Z94" s="39"/>
      <c r="AA94" s="41"/>
      <c r="AB94" s="96"/>
      <c r="AC94" s="224"/>
      <c r="AD94" s="113"/>
      <c r="AE94" s="240">
        <v>30742</v>
      </c>
      <c r="AF94" s="2" t="s">
        <v>495</v>
      </c>
    </row>
    <row r="95" spans="1:32" ht="15" customHeight="1" x14ac:dyDescent="0.3">
      <c r="A95" s="38" t="s">
        <v>193</v>
      </c>
      <c r="B95" s="39">
        <v>21.2</v>
      </c>
      <c r="C95" s="39"/>
      <c r="D95" s="40"/>
      <c r="E95" s="40">
        <v>27.67</v>
      </c>
      <c r="F95" s="39">
        <v>26.09</v>
      </c>
      <c r="G95" s="39"/>
      <c r="H95" s="39">
        <v>19.87</v>
      </c>
      <c r="I95" s="39">
        <v>22.79</v>
      </c>
      <c r="J95" s="39">
        <v>23.47</v>
      </c>
      <c r="K95" s="39">
        <v>23.87</v>
      </c>
      <c r="L95" s="42"/>
      <c r="M95" s="39">
        <v>32.83</v>
      </c>
      <c r="N95" s="39"/>
      <c r="O95" s="39"/>
      <c r="P95" s="39"/>
      <c r="Q95" s="39">
        <v>22.51</v>
      </c>
      <c r="R95" s="39"/>
      <c r="S95" s="42"/>
      <c r="T95" s="39">
        <v>27.32</v>
      </c>
      <c r="U95" s="41"/>
      <c r="V95" s="39"/>
      <c r="W95" s="41"/>
      <c r="X95" s="42"/>
      <c r="Y95" s="39"/>
      <c r="Z95" s="39"/>
      <c r="AA95" s="41"/>
      <c r="AB95" s="96"/>
      <c r="AC95" s="224"/>
      <c r="AD95" s="113"/>
      <c r="AE95" s="240">
        <v>30773</v>
      </c>
      <c r="AF95" s="2" t="s">
        <v>495</v>
      </c>
    </row>
    <row r="96" spans="1:32" ht="15" customHeight="1" x14ac:dyDescent="0.3">
      <c r="A96" s="38" t="s">
        <v>192</v>
      </c>
      <c r="B96" s="39">
        <v>22.04</v>
      </c>
      <c r="C96" s="39"/>
      <c r="D96" s="40"/>
      <c r="E96" s="40">
        <v>27.19</v>
      </c>
      <c r="F96" s="39">
        <v>25.93</v>
      </c>
      <c r="G96" s="39"/>
      <c r="H96" s="39">
        <v>19.809999999999999</v>
      </c>
      <c r="I96" s="39">
        <v>26.26</v>
      </c>
      <c r="J96" s="39">
        <v>23.97</v>
      </c>
      <c r="K96" s="39">
        <v>21.14</v>
      </c>
      <c r="L96" s="42"/>
      <c r="M96" s="39">
        <v>32.979999999999997</v>
      </c>
      <c r="N96" s="39"/>
      <c r="O96" s="39"/>
      <c r="P96" s="39"/>
      <c r="Q96" s="39">
        <v>23.49</v>
      </c>
      <c r="R96" s="39"/>
      <c r="S96" s="42"/>
      <c r="T96" s="39">
        <v>26.88</v>
      </c>
      <c r="U96" s="41"/>
      <c r="V96" s="39"/>
      <c r="W96" s="41"/>
      <c r="X96" s="42"/>
      <c r="Y96" s="39"/>
      <c r="Z96" s="39"/>
      <c r="AA96" s="41"/>
      <c r="AB96" s="96"/>
      <c r="AC96" s="224"/>
      <c r="AD96" s="113"/>
      <c r="AE96" s="240">
        <v>30803</v>
      </c>
      <c r="AF96" s="2" t="s">
        <v>495</v>
      </c>
    </row>
    <row r="97" spans="1:32" ht="15" customHeight="1" x14ac:dyDescent="0.3">
      <c r="A97" s="38" t="s">
        <v>191</v>
      </c>
      <c r="B97" s="39">
        <v>22.02</v>
      </c>
      <c r="C97" s="39"/>
      <c r="D97" s="40"/>
      <c r="E97" s="40">
        <v>27.08</v>
      </c>
      <c r="F97" s="39">
        <v>26.15</v>
      </c>
      <c r="G97" s="39"/>
      <c r="H97" s="39">
        <v>19.989999999999998</v>
      </c>
      <c r="I97" s="39">
        <v>26.94</v>
      </c>
      <c r="J97" s="39">
        <v>23.72</v>
      </c>
      <c r="K97" s="39">
        <v>21.3</v>
      </c>
      <c r="L97" s="42"/>
      <c r="M97" s="39">
        <v>32.99</v>
      </c>
      <c r="N97" s="39"/>
      <c r="O97" s="39"/>
      <c r="P97" s="39"/>
      <c r="Q97" s="39">
        <v>23.43</v>
      </c>
      <c r="R97" s="39"/>
      <c r="S97" s="42"/>
      <c r="T97" s="39">
        <v>26.73</v>
      </c>
      <c r="U97" s="41"/>
      <c r="V97" s="39"/>
      <c r="W97" s="41"/>
      <c r="X97" s="42"/>
      <c r="Y97" s="39"/>
      <c r="Z97" s="39"/>
      <c r="AA97" s="41"/>
      <c r="AB97" s="96"/>
      <c r="AC97" s="224"/>
      <c r="AD97" s="113"/>
      <c r="AE97" s="240">
        <v>30834</v>
      </c>
      <c r="AF97" s="2" t="s">
        <v>495</v>
      </c>
    </row>
    <row r="98" spans="1:32" ht="15" customHeight="1" x14ac:dyDescent="0.3">
      <c r="A98" s="38" t="s">
        <v>190</v>
      </c>
      <c r="B98" s="39">
        <v>21.89</v>
      </c>
      <c r="C98" s="39"/>
      <c r="D98" s="40"/>
      <c r="E98" s="40">
        <v>27.14</v>
      </c>
      <c r="F98" s="39">
        <v>26.5</v>
      </c>
      <c r="G98" s="39"/>
      <c r="H98" s="39">
        <v>20.079999999999998</v>
      </c>
      <c r="I98" s="39">
        <v>27.11</v>
      </c>
      <c r="J98" s="39">
        <v>23.77</v>
      </c>
      <c r="K98" s="39">
        <v>21.45</v>
      </c>
      <c r="L98" s="42"/>
      <c r="M98" s="39">
        <v>33.229999999999997</v>
      </c>
      <c r="N98" s="39"/>
      <c r="O98" s="39"/>
      <c r="P98" s="39"/>
      <c r="Q98" s="39">
        <v>23.39</v>
      </c>
      <c r="R98" s="39"/>
      <c r="S98" s="42"/>
      <c r="T98" s="39">
        <v>26.47</v>
      </c>
      <c r="U98" s="41"/>
      <c r="V98" s="39"/>
      <c r="W98" s="41"/>
      <c r="X98" s="42"/>
      <c r="Y98" s="39"/>
      <c r="Z98" s="39"/>
      <c r="AA98" s="41"/>
      <c r="AB98" s="96"/>
      <c r="AC98" s="224"/>
      <c r="AD98" s="113"/>
      <c r="AE98" s="240">
        <v>30864</v>
      </c>
      <c r="AF98" s="2" t="s">
        <v>495</v>
      </c>
    </row>
    <row r="99" spans="1:32" ht="15" customHeight="1" x14ac:dyDescent="0.3">
      <c r="A99" s="38" t="s">
        <v>189</v>
      </c>
      <c r="B99" s="39">
        <v>21.98</v>
      </c>
      <c r="C99" s="39"/>
      <c r="D99" s="40"/>
      <c r="E99" s="40">
        <v>28.29</v>
      </c>
      <c r="F99" s="39">
        <v>26.99</v>
      </c>
      <c r="G99" s="39"/>
      <c r="H99" s="39">
        <v>20.61</v>
      </c>
      <c r="I99" s="39">
        <v>26.77</v>
      </c>
      <c r="J99" s="39">
        <v>24.02</v>
      </c>
      <c r="K99" s="39">
        <v>21.93</v>
      </c>
      <c r="L99" s="42"/>
      <c r="M99" s="39">
        <v>33.1</v>
      </c>
      <c r="N99" s="39"/>
      <c r="O99" s="39"/>
      <c r="P99" s="39"/>
      <c r="Q99" s="39">
        <v>23.46</v>
      </c>
      <c r="R99" s="39"/>
      <c r="S99" s="42"/>
      <c r="T99" s="39">
        <v>26.54</v>
      </c>
      <c r="U99" s="41"/>
      <c r="V99" s="39"/>
      <c r="W99" s="41"/>
      <c r="X99" s="42"/>
      <c r="Y99" s="39"/>
      <c r="Z99" s="39"/>
      <c r="AA99" s="41"/>
      <c r="AB99" s="96"/>
      <c r="AC99" s="224"/>
      <c r="AD99" s="113"/>
      <c r="AE99" s="240">
        <v>30895</v>
      </c>
      <c r="AF99" s="2" t="s">
        <v>495</v>
      </c>
    </row>
    <row r="100" spans="1:32" ht="15" customHeight="1" x14ac:dyDescent="0.3">
      <c r="A100" s="38" t="s">
        <v>188</v>
      </c>
      <c r="B100" s="39">
        <v>23.08</v>
      </c>
      <c r="C100" s="39"/>
      <c r="D100" s="40"/>
      <c r="E100" s="40">
        <v>29.31</v>
      </c>
      <c r="F100" s="39">
        <v>28.27</v>
      </c>
      <c r="G100" s="39"/>
      <c r="H100" s="39">
        <v>22.19</v>
      </c>
      <c r="I100" s="39">
        <v>27.21</v>
      </c>
      <c r="J100" s="39">
        <v>26.25</v>
      </c>
      <c r="K100" s="39">
        <v>23.12</v>
      </c>
      <c r="L100" s="42"/>
      <c r="M100" s="39">
        <v>33.04</v>
      </c>
      <c r="N100" s="39"/>
      <c r="O100" s="39"/>
      <c r="P100" s="39"/>
      <c r="Q100" s="39">
        <v>24.47</v>
      </c>
      <c r="R100" s="39"/>
      <c r="S100" s="42"/>
      <c r="T100" s="39">
        <v>27.84</v>
      </c>
      <c r="U100" s="41"/>
      <c r="V100" s="39"/>
      <c r="W100" s="41"/>
      <c r="X100" s="42"/>
      <c r="Y100" s="39"/>
      <c r="Z100" s="39"/>
      <c r="AA100" s="41"/>
      <c r="AB100" s="96"/>
      <c r="AC100" s="224"/>
      <c r="AD100" s="113"/>
      <c r="AE100" s="240">
        <v>30926</v>
      </c>
      <c r="AF100" s="2" t="s">
        <v>495</v>
      </c>
    </row>
    <row r="101" spans="1:32" ht="15" customHeight="1" x14ac:dyDescent="0.3">
      <c r="A101" s="38" t="s">
        <v>187</v>
      </c>
      <c r="B101" s="39">
        <v>24.99</v>
      </c>
      <c r="C101" s="39"/>
      <c r="D101" s="40"/>
      <c r="E101" s="40">
        <v>29.97</v>
      </c>
      <c r="F101" s="39">
        <v>28.83</v>
      </c>
      <c r="G101" s="39"/>
      <c r="H101" s="39">
        <v>23.34</v>
      </c>
      <c r="I101" s="39">
        <v>27.06</v>
      </c>
      <c r="J101" s="39">
        <v>26.12</v>
      </c>
      <c r="K101" s="39">
        <v>24.63</v>
      </c>
      <c r="L101" s="42"/>
      <c r="M101" s="39">
        <v>33.090000000000003</v>
      </c>
      <c r="N101" s="39"/>
      <c r="O101" s="39"/>
      <c r="P101" s="39"/>
      <c r="Q101" s="39">
        <v>24.92</v>
      </c>
      <c r="R101" s="39"/>
      <c r="S101" s="42"/>
      <c r="T101" s="39">
        <v>28.87</v>
      </c>
      <c r="U101" s="41"/>
      <c r="V101" s="39"/>
      <c r="W101" s="41"/>
      <c r="X101" s="42"/>
      <c r="Y101" s="39"/>
      <c r="Z101" s="39"/>
      <c r="AA101" s="41"/>
      <c r="AB101" s="96"/>
      <c r="AC101" s="224"/>
      <c r="AD101" s="113"/>
      <c r="AE101" s="240">
        <v>30956</v>
      </c>
      <c r="AF101" s="2" t="s">
        <v>495</v>
      </c>
    </row>
    <row r="102" spans="1:32" ht="15" customHeight="1" x14ac:dyDescent="0.3">
      <c r="A102" s="38" t="s">
        <v>186</v>
      </c>
      <c r="B102" s="39">
        <v>26.26</v>
      </c>
      <c r="C102" s="39"/>
      <c r="D102" s="40"/>
      <c r="E102" s="40">
        <v>30.03</v>
      </c>
      <c r="F102" s="39">
        <v>29.01</v>
      </c>
      <c r="G102" s="39"/>
      <c r="H102" s="39">
        <v>24.81</v>
      </c>
      <c r="I102" s="39">
        <v>26.91</v>
      </c>
      <c r="J102" s="39">
        <v>26.23</v>
      </c>
      <c r="K102" s="39">
        <v>25.36</v>
      </c>
      <c r="L102" s="42"/>
      <c r="M102" s="39">
        <v>32.99</v>
      </c>
      <c r="N102" s="39"/>
      <c r="O102" s="39"/>
      <c r="P102" s="39"/>
      <c r="Q102" s="39">
        <v>24.84</v>
      </c>
      <c r="R102" s="39"/>
      <c r="S102" s="42"/>
      <c r="T102" s="39">
        <v>29.24</v>
      </c>
      <c r="U102" s="41"/>
      <c r="V102" s="39"/>
      <c r="W102" s="41"/>
      <c r="X102" s="42"/>
      <c r="Y102" s="39"/>
      <c r="Z102" s="39"/>
      <c r="AA102" s="41"/>
      <c r="AB102" s="96"/>
      <c r="AC102" s="224"/>
      <c r="AD102" s="113"/>
      <c r="AE102" s="240">
        <v>30987</v>
      </c>
      <c r="AF102" s="2" t="s">
        <v>495</v>
      </c>
    </row>
    <row r="103" spans="1:32" ht="15" customHeight="1" x14ac:dyDescent="0.3">
      <c r="A103" s="44" t="s">
        <v>185</v>
      </c>
      <c r="B103" s="45">
        <v>26.11</v>
      </c>
      <c r="C103" s="45"/>
      <c r="D103" s="46"/>
      <c r="E103" s="46">
        <v>30.24</v>
      </c>
      <c r="F103" s="45">
        <v>28.51</v>
      </c>
      <c r="G103" s="45"/>
      <c r="H103" s="45">
        <v>24.83</v>
      </c>
      <c r="I103" s="45">
        <v>27.08</v>
      </c>
      <c r="J103" s="45">
        <v>27.04</v>
      </c>
      <c r="K103" s="45">
        <v>26.13</v>
      </c>
      <c r="L103" s="48"/>
      <c r="M103" s="45">
        <v>33.270000000000003</v>
      </c>
      <c r="N103" s="45"/>
      <c r="O103" s="45"/>
      <c r="P103" s="45"/>
      <c r="Q103" s="45">
        <v>24.6</v>
      </c>
      <c r="R103" s="45"/>
      <c r="S103" s="48"/>
      <c r="T103" s="45">
        <v>29.16</v>
      </c>
      <c r="U103" s="47"/>
      <c r="V103" s="45"/>
      <c r="W103" s="47"/>
      <c r="X103" s="48"/>
      <c r="Y103" s="45"/>
      <c r="Z103" s="45"/>
      <c r="AA103" s="47"/>
      <c r="AB103" s="97"/>
      <c r="AC103" s="225"/>
      <c r="AD103" s="114"/>
      <c r="AE103" s="241">
        <v>31017</v>
      </c>
      <c r="AF103" s="2" t="s">
        <v>495</v>
      </c>
    </row>
    <row r="104" spans="1:32" ht="15" customHeight="1" x14ac:dyDescent="0.3">
      <c r="A104" s="49" t="s">
        <v>184</v>
      </c>
      <c r="B104" s="50">
        <v>25.63</v>
      </c>
      <c r="C104" s="50"/>
      <c r="D104" s="51"/>
      <c r="E104" s="51">
        <v>30.95</v>
      </c>
      <c r="F104" s="50">
        <v>27.26</v>
      </c>
      <c r="G104" s="50"/>
      <c r="H104" s="50">
        <v>25.57</v>
      </c>
      <c r="I104" s="50">
        <v>31.89</v>
      </c>
      <c r="J104" s="50">
        <v>26.56</v>
      </c>
      <c r="K104" s="50">
        <v>26.32</v>
      </c>
      <c r="L104" s="53"/>
      <c r="M104" s="50">
        <v>34.94</v>
      </c>
      <c r="N104" s="50"/>
      <c r="O104" s="50"/>
      <c r="P104" s="50"/>
      <c r="Q104" s="50">
        <v>24.87</v>
      </c>
      <c r="R104" s="50"/>
      <c r="S104" s="53"/>
      <c r="T104" s="50">
        <v>29.24</v>
      </c>
      <c r="U104" s="52"/>
      <c r="V104" s="50"/>
      <c r="W104" s="52"/>
      <c r="X104" s="53"/>
      <c r="Y104" s="50"/>
      <c r="Z104" s="50"/>
      <c r="AA104" s="52"/>
      <c r="AB104" s="98"/>
      <c r="AC104" s="226"/>
      <c r="AD104" s="115"/>
      <c r="AE104" s="240">
        <v>31048</v>
      </c>
      <c r="AF104" s="2" t="s">
        <v>495</v>
      </c>
    </row>
    <row r="105" spans="1:32" ht="15" customHeight="1" x14ac:dyDescent="0.3">
      <c r="A105" s="38" t="s">
        <v>183</v>
      </c>
      <c r="B105" s="39">
        <v>25.29</v>
      </c>
      <c r="C105" s="39"/>
      <c r="D105" s="40"/>
      <c r="E105" s="40">
        <v>30.65</v>
      </c>
      <c r="F105" s="39">
        <v>26.68</v>
      </c>
      <c r="G105" s="39"/>
      <c r="H105" s="39">
        <v>23.66</v>
      </c>
      <c r="I105" s="39">
        <v>32.020000000000003</v>
      </c>
      <c r="J105" s="39">
        <v>26.75</v>
      </c>
      <c r="K105" s="39">
        <v>26.46</v>
      </c>
      <c r="L105" s="42"/>
      <c r="M105" s="39">
        <v>34.85</v>
      </c>
      <c r="N105" s="39"/>
      <c r="O105" s="39"/>
      <c r="P105" s="39"/>
      <c r="Q105" s="39">
        <v>24.51</v>
      </c>
      <c r="R105" s="39"/>
      <c r="S105" s="42"/>
      <c r="T105" s="39">
        <v>28.97</v>
      </c>
      <c r="U105" s="41"/>
      <c r="V105" s="39"/>
      <c r="W105" s="41"/>
      <c r="X105" s="42"/>
      <c r="Y105" s="39"/>
      <c r="Z105" s="39"/>
      <c r="AA105" s="41"/>
      <c r="AB105" s="96"/>
      <c r="AC105" s="224"/>
      <c r="AD105" s="113"/>
      <c r="AE105" s="240">
        <v>31079</v>
      </c>
      <c r="AF105" s="2" t="s">
        <v>495</v>
      </c>
    </row>
    <row r="106" spans="1:32" ht="15" customHeight="1" x14ac:dyDescent="0.3">
      <c r="A106" s="38" t="s">
        <v>182</v>
      </c>
      <c r="B106" s="39">
        <v>22.81</v>
      </c>
      <c r="C106" s="39"/>
      <c r="D106" s="40"/>
      <c r="E106" s="40">
        <v>29.86</v>
      </c>
      <c r="F106" s="39">
        <v>26.18</v>
      </c>
      <c r="G106" s="39"/>
      <c r="H106" s="39">
        <v>21.99</v>
      </c>
      <c r="I106" s="39">
        <v>30.77</v>
      </c>
      <c r="J106" s="39">
        <v>26.86</v>
      </c>
      <c r="K106" s="39">
        <v>25.68</v>
      </c>
      <c r="L106" s="42"/>
      <c r="M106" s="39">
        <v>34.9</v>
      </c>
      <c r="N106" s="39"/>
      <c r="O106" s="39"/>
      <c r="P106" s="39"/>
      <c r="Q106" s="39">
        <v>24.51</v>
      </c>
      <c r="R106" s="39"/>
      <c r="S106" s="42"/>
      <c r="T106" s="39">
        <v>28.49</v>
      </c>
      <c r="U106" s="41"/>
      <c r="V106" s="39"/>
      <c r="W106" s="41"/>
      <c r="X106" s="42"/>
      <c r="Y106" s="39"/>
      <c r="Z106" s="39"/>
      <c r="AA106" s="41"/>
      <c r="AB106" s="96"/>
      <c r="AC106" s="224"/>
      <c r="AD106" s="113"/>
      <c r="AE106" s="240">
        <v>31107</v>
      </c>
      <c r="AF106" s="2" t="s">
        <v>495</v>
      </c>
    </row>
    <row r="107" spans="1:32" ht="15" customHeight="1" x14ac:dyDescent="0.3">
      <c r="A107" s="38" t="s">
        <v>181</v>
      </c>
      <c r="B107" s="39">
        <v>22.3</v>
      </c>
      <c r="C107" s="39"/>
      <c r="D107" s="40"/>
      <c r="E107" s="40">
        <v>29.63</v>
      </c>
      <c r="F107" s="39">
        <v>25.6</v>
      </c>
      <c r="G107" s="39"/>
      <c r="H107" s="39">
        <v>20.95</v>
      </c>
      <c r="I107" s="39">
        <v>29.77</v>
      </c>
      <c r="J107" s="39">
        <v>26.34</v>
      </c>
      <c r="K107" s="39">
        <v>24.6</v>
      </c>
      <c r="L107" s="42"/>
      <c r="M107" s="39">
        <v>34.299999999999997</v>
      </c>
      <c r="N107" s="39"/>
      <c r="O107" s="39"/>
      <c r="P107" s="39"/>
      <c r="Q107" s="39">
        <v>23.9</v>
      </c>
      <c r="R107" s="39"/>
      <c r="S107" s="42"/>
      <c r="T107" s="39">
        <v>28.14</v>
      </c>
      <c r="U107" s="41"/>
      <c r="V107" s="39"/>
      <c r="W107" s="41"/>
      <c r="X107" s="42"/>
      <c r="Y107" s="39"/>
      <c r="Z107" s="39"/>
      <c r="AA107" s="41"/>
      <c r="AB107" s="96"/>
      <c r="AC107" s="224"/>
      <c r="AD107" s="113"/>
      <c r="AE107" s="240">
        <v>31138</v>
      </c>
      <c r="AF107" s="2" t="s">
        <v>495</v>
      </c>
    </row>
    <row r="108" spans="1:32" ht="15" customHeight="1" x14ac:dyDescent="0.3">
      <c r="A108" s="38" t="s">
        <v>180</v>
      </c>
      <c r="B108" s="39">
        <v>22.89</v>
      </c>
      <c r="C108" s="39"/>
      <c r="D108" s="40"/>
      <c r="E108" s="40">
        <v>29.3</v>
      </c>
      <c r="F108" s="39">
        <v>25.81</v>
      </c>
      <c r="G108" s="39"/>
      <c r="H108" s="39">
        <v>21.07</v>
      </c>
      <c r="I108" s="39">
        <v>29.45</v>
      </c>
      <c r="J108" s="39">
        <v>25.96</v>
      </c>
      <c r="K108" s="39">
        <v>22.55</v>
      </c>
      <c r="L108" s="42"/>
      <c r="M108" s="39">
        <v>34.49</v>
      </c>
      <c r="N108" s="39"/>
      <c r="O108" s="39"/>
      <c r="P108" s="39"/>
      <c r="Q108" s="39">
        <v>24.48</v>
      </c>
      <c r="R108" s="39"/>
      <c r="S108" s="42"/>
      <c r="T108" s="39">
        <v>27.56</v>
      </c>
      <c r="U108" s="41"/>
      <c r="V108" s="39"/>
      <c r="W108" s="41"/>
      <c r="X108" s="42"/>
      <c r="Y108" s="39"/>
      <c r="Z108" s="39"/>
      <c r="AA108" s="41"/>
      <c r="AB108" s="96"/>
      <c r="AC108" s="224"/>
      <c r="AD108" s="113"/>
      <c r="AE108" s="240">
        <v>31168</v>
      </c>
      <c r="AF108" s="2" t="s">
        <v>495</v>
      </c>
    </row>
    <row r="109" spans="1:32" ht="15" customHeight="1" x14ac:dyDescent="0.3">
      <c r="A109" s="38" t="s">
        <v>179</v>
      </c>
      <c r="B109" s="39">
        <v>22.46</v>
      </c>
      <c r="C109" s="39"/>
      <c r="D109" s="40"/>
      <c r="E109" s="40">
        <v>29.04</v>
      </c>
      <c r="F109" s="39">
        <v>25.71</v>
      </c>
      <c r="G109" s="39"/>
      <c r="H109" s="39">
        <v>21.57</v>
      </c>
      <c r="I109" s="39">
        <v>29.42</v>
      </c>
      <c r="J109" s="39">
        <v>25.57</v>
      </c>
      <c r="K109" s="39">
        <v>22.6</v>
      </c>
      <c r="L109" s="42"/>
      <c r="M109" s="39">
        <v>34.520000000000003</v>
      </c>
      <c r="N109" s="39"/>
      <c r="O109" s="39"/>
      <c r="P109" s="39"/>
      <c r="Q109" s="39">
        <v>24.23</v>
      </c>
      <c r="R109" s="39"/>
      <c r="S109" s="42"/>
      <c r="T109" s="39">
        <v>27.26</v>
      </c>
      <c r="U109" s="41"/>
      <c r="V109" s="39"/>
      <c r="W109" s="41"/>
      <c r="X109" s="42"/>
      <c r="Y109" s="39"/>
      <c r="Z109" s="39"/>
      <c r="AA109" s="41"/>
      <c r="AB109" s="96"/>
      <c r="AC109" s="224"/>
      <c r="AD109" s="113"/>
      <c r="AE109" s="240">
        <v>31199</v>
      </c>
      <c r="AF109" s="2" t="s">
        <v>495</v>
      </c>
    </row>
    <row r="110" spans="1:32" ht="15" customHeight="1" x14ac:dyDescent="0.3">
      <c r="A110" s="38" t="s">
        <v>178</v>
      </c>
      <c r="B110" s="39">
        <v>22.32</v>
      </c>
      <c r="C110" s="39"/>
      <c r="D110" s="40"/>
      <c r="E110" s="40">
        <v>28.95</v>
      </c>
      <c r="F110" s="39">
        <v>26.06</v>
      </c>
      <c r="G110" s="39"/>
      <c r="H110" s="39">
        <v>21.68</v>
      </c>
      <c r="I110" s="39">
        <v>28.78</v>
      </c>
      <c r="J110" s="39">
        <v>25.48</v>
      </c>
      <c r="K110" s="39">
        <v>22.51</v>
      </c>
      <c r="L110" s="42"/>
      <c r="M110" s="39">
        <v>33.71</v>
      </c>
      <c r="N110" s="39"/>
      <c r="O110" s="39"/>
      <c r="P110" s="39"/>
      <c r="Q110" s="39">
        <v>24.13</v>
      </c>
      <c r="R110" s="39"/>
      <c r="S110" s="42"/>
      <c r="T110" s="39">
        <v>27.22</v>
      </c>
      <c r="U110" s="41"/>
      <c r="V110" s="39"/>
      <c r="W110" s="41"/>
      <c r="X110" s="42"/>
      <c r="Y110" s="39"/>
      <c r="Z110" s="39"/>
      <c r="AA110" s="41"/>
      <c r="AB110" s="96"/>
      <c r="AC110" s="224"/>
      <c r="AD110" s="113"/>
      <c r="AE110" s="240">
        <v>31229</v>
      </c>
      <c r="AF110" s="2" t="s">
        <v>495</v>
      </c>
    </row>
    <row r="111" spans="1:32" ht="15" customHeight="1" x14ac:dyDescent="0.3">
      <c r="A111" s="38" t="s">
        <v>177</v>
      </c>
      <c r="B111" s="39">
        <v>22.73</v>
      </c>
      <c r="C111" s="39"/>
      <c r="D111" s="40"/>
      <c r="E111" s="40">
        <v>29.16</v>
      </c>
      <c r="F111" s="39">
        <v>27.17</v>
      </c>
      <c r="G111" s="39"/>
      <c r="H111" s="39">
        <v>22.26</v>
      </c>
      <c r="I111" s="39">
        <v>27.89</v>
      </c>
      <c r="J111" s="39">
        <v>24.82</v>
      </c>
      <c r="K111" s="39">
        <v>22.92</v>
      </c>
      <c r="L111" s="42"/>
      <c r="M111" s="39">
        <v>33.11</v>
      </c>
      <c r="N111" s="39"/>
      <c r="O111" s="39"/>
      <c r="P111" s="39"/>
      <c r="Q111" s="39">
        <v>24.69</v>
      </c>
      <c r="R111" s="39"/>
      <c r="S111" s="42"/>
      <c r="T111" s="39">
        <v>27.94</v>
      </c>
      <c r="U111" s="41"/>
      <c r="V111" s="39"/>
      <c r="W111" s="41"/>
      <c r="X111" s="42"/>
      <c r="Y111" s="39"/>
      <c r="Z111" s="39"/>
      <c r="AA111" s="41"/>
      <c r="AB111" s="96"/>
      <c r="AC111" s="224"/>
      <c r="AD111" s="113"/>
      <c r="AE111" s="240">
        <v>31260</v>
      </c>
      <c r="AF111" s="2" t="s">
        <v>495</v>
      </c>
    </row>
    <row r="112" spans="1:32" ht="15" customHeight="1" x14ac:dyDescent="0.3">
      <c r="A112" s="38" t="s">
        <v>176</v>
      </c>
      <c r="B112" s="39">
        <v>23.27</v>
      </c>
      <c r="C112" s="39"/>
      <c r="D112" s="40"/>
      <c r="E112" s="40">
        <v>29.48</v>
      </c>
      <c r="F112" s="39">
        <v>28.31</v>
      </c>
      <c r="G112" s="39"/>
      <c r="H112" s="39">
        <v>23.34</v>
      </c>
      <c r="I112" s="39">
        <v>27.37</v>
      </c>
      <c r="J112" s="39">
        <v>24.92</v>
      </c>
      <c r="K112" s="39">
        <v>24.33</v>
      </c>
      <c r="L112" s="42"/>
      <c r="M112" s="39">
        <v>33.11</v>
      </c>
      <c r="N112" s="39"/>
      <c r="O112" s="39"/>
      <c r="P112" s="39"/>
      <c r="Q112" s="39">
        <v>25.45</v>
      </c>
      <c r="R112" s="39"/>
      <c r="S112" s="42"/>
      <c r="T112" s="39">
        <v>28.73</v>
      </c>
      <c r="U112" s="41"/>
      <c r="V112" s="39"/>
      <c r="W112" s="41"/>
      <c r="X112" s="42"/>
      <c r="Y112" s="39"/>
      <c r="Z112" s="39"/>
      <c r="AA112" s="41"/>
      <c r="AB112" s="96"/>
      <c r="AC112" s="224"/>
      <c r="AD112" s="113"/>
      <c r="AE112" s="240">
        <v>31291</v>
      </c>
      <c r="AF112" s="2" t="s">
        <v>495</v>
      </c>
    </row>
    <row r="113" spans="1:32" ht="15" customHeight="1" x14ac:dyDescent="0.3">
      <c r="A113" s="38" t="s">
        <v>175</v>
      </c>
      <c r="B113" s="39">
        <v>24.94</v>
      </c>
      <c r="C113" s="39"/>
      <c r="D113" s="40"/>
      <c r="E113" s="40">
        <v>30.55</v>
      </c>
      <c r="F113" s="39">
        <v>29.33</v>
      </c>
      <c r="G113" s="39"/>
      <c r="H113" s="39">
        <v>23.94</v>
      </c>
      <c r="I113" s="39">
        <v>24.37</v>
      </c>
      <c r="J113" s="39">
        <v>25.01</v>
      </c>
      <c r="K113" s="39">
        <v>25.98</v>
      </c>
      <c r="L113" s="42"/>
      <c r="M113" s="39">
        <v>33.29</v>
      </c>
      <c r="N113" s="39"/>
      <c r="O113" s="39"/>
      <c r="P113" s="39"/>
      <c r="Q113" s="39">
        <v>26.08</v>
      </c>
      <c r="R113" s="39"/>
      <c r="S113" s="42"/>
      <c r="T113" s="39">
        <v>29.54</v>
      </c>
      <c r="U113" s="41"/>
      <c r="V113" s="39"/>
      <c r="W113" s="41"/>
      <c r="X113" s="42"/>
      <c r="Y113" s="39"/>
      <c r="Z113" s="39"/>
      <c r="AA113" s="41"/>
      <c r="AB113" s="96"/>
      <c r="AC113" s="224"/>
      <c r="AD113" s="113"/>
      <c r="AE113" s="240">
        <v>31321</v>
      </c>
      <c r="AF113" s="2" t="s">
        <v>495</v>
      </c>
    </row>
    <row r="114" spans="1:32" ht="15" customHeight="1" x14ac:dyDescent="0.3">
      <c r="A114" s="38" t="s">
        <v>174</v>
      </c>
      <c r="B114" s="39">
        <v>27.83</v>
      </c>
      <c r="C114" s="39"/>
      <c r="D114" s="40"/>
      <c r="E114" s="40">
        <v>31.03</v>
      </c>
      <c r="F114" s="39">
        <v>29.88</v>
      </c>
      <c r="G114" s="39"/>
      <c r="H114" s="39">
        <v>25.32</v>
      </c>
      <c r="I114" s="39">
        <v>22.95</v>
      </c>
      <c r="J114" s="39">
        <v>25.22</v>
      </c>
      <c r="K114" s="39">
        <v>26.83</v>
      </c>
      <c r="L114" s="42"/>
      <c r="M114" s="39">
        <v>33.31</v>
      </c>
      <c r="N114" s="39"/>
      <c r="O114" s="39"/>
      <c r="P114" s="39"/>
      <c r="Q114" s="39">
        <v>26.01</v>
      </c>
      <c r="R114" s="39"/>
      <c r="S114" s="42"/>
      <c r="T114" s="39">
        <v>30.48</v>
      </c>
      <c r="U114" s="41"/>
      <c r="V114" s="39"/>
      <c r="W114" s="41"/>
      <c r="X114" s="42"/>
      <c r="Y114" s="39"/>
      <c r="Z114" s="39"/>
      <c r="AA114" s="41"/>
      <c r="AB114" s="96"/>
      <c r="AC114" s="224"/>
      <c r="AD114" s="113"/>
      <c r="AE114" s="240">
        <v>31352</v>
      </c>
      <c r="AF114" s="2" t="s">
        <v>495</v>
      </c>
    </row>
    <row r="115" spans="1:32" ht="15" customHeight="1" x14ac:dyDescent="0.3">
      <c r="A115" s="44" t="s">
        <v>173</v>
      </c>
      <c r="B115" s="45">
        <v>27.41</v>
      </c>
      <c r="C115" s="45"/>
      <c r="D115" s="46"/>
      <c r="E115" s="46">
        <v>31.14</v>
      </c>
      <c r="F115" s="45">
        <v>29.5</v>
      </c>
      <c r="G115" s="45"/>
      <c r="H115" s="45">
        <v>25.39</v>
      </c>
      <c r="I115" s="45">
        <v>25.25</v>
      </c>
      <c r="J115" s="45">
        <v>25.37</v>
      </c>
      <c r="K115" s="45">
        <v>28.16</v>
      </c>
      <c r="L115" s="48"/>
      <c r="M115" s="45">
        <v>33.090000000000003</v>
      </c>
      <c r="N115" s="45"/>
      <c r="O115" s="45"/>
      <c r="P115" s="45"/>
      <c r="Q115" s="45">
        <v>25.75</v>
      </c>
      <c r="R115" s="45"/>
      <c r="S115" s="48"/>
      <c r="T115" s="45">
        <v>30.72</v>
      </c>
      <c r="U115" s="47"/>
      <c r="V115" s="45"/>
      <c r="W115" s="47"/>
      <c r="X115" s="48"/>
      <c r="Y115" s="45"/>
      <c r="Z115" s="45"/>
      <c r="AA115" s="47"/>
      <c r="AB115" s="97"/>
      <c r="AC115" s="225"/>
      <c r="AD115" s="114"/>
      <c r="AE115" s="241">
        <v>31382</v>
      </c>
      <c r="AF115" s="2" t="s">
        <v>495</v>
      </c>
    </row>
    <row r="116" spans="1:32" ht="15" customHeight="1" x14ac:dyDescent="0.3">
      <c r="A116" s="49" t="s">
        <v>172</v>
      </c>
      <c r="B116" s="50">
        <v>26.62</v>
      </c>
      <c r="C116" s="50"/>
      <c r="D116" s="51"/>
      <c r="E116" s="51">
        <v>31.19</v>
      </c>
      <c r="F116" s="50">
        <v>28.62</v>
      </c>
      <c r="G116" s="50"/>
      <c r="H116" s="50">
        <v>26.31</v>
      </c>
      <c r="I116" s="50">
        <v>25.32</v>
      </c>
      <c r="J116" s="50">
        <v>25.42</v>
      </c>
      <c r="K116" s="50">
        <v>28.02</v>
      </c>
      <c r="L116" s="53"/>
      <c r="M116" s="50">
        <v>33.69</v>
      </c>
      <c r="N116" s="50"/>
      <c r="O116" s="50"/>
      <c r="P116" s="50"/>
      <c r="Q116" s="50">
        <v>26.02</v>
      </c>
      <c r="R116" s="50"/>
      <c r="S116" s="53"/>
      <c r="T116" s="50">
        <v>29.9</v>
      </c>
      <c r="U116" s="52"/>
      <c r="V116" s="50"/>
      <c r="W116" s="52"/>
      <c r="X116" s="53"/>
      <c r="Y116" s="50"/>
      <c r="Z116" s="50"/>
      <c r="AA116" s="52"/>
      <c r="AB116" s="98"/>
      <c r="AC116" s="226"/>
      <c r="AD116" s="115"/>
      <c r="AE116" s="240">
        <v>31413</v>
      </c>
      <c r="AF116" s="2" t="s">
        <v>495</v>
      </c>
    </row>
    <row r="117" spans="1:32" ht="15" customHeight="1" x14ac:dyDescent="0.3">
      <c r="A117" s="38" t="s">
        <v>171</v>
      </c>
      <c r="B117" s="39">
        <v>26.88</v>
      </c>
      <c r="C117" s="39"/>
      <c r="D117" s="40"/>
      <c r="E117" s="40">
        <v>31.22</v>
      </c>
      <c r="F117" s="39">
        <v>28.68</v>
      </c>
      <c r="G117" s="39"/>
      <c r="H117" s="39">
        <v>24.73</v>
      </c>
      <c r="I117" s="39">
        <v>25.23</v>
      </c>
      <c r="J117" s="39">
        <v>25.93</v>
      </c>
      <c r="K117" s="39">
        <v>27.86</v>
      </c>
      <c r="L117" s="42"/>
      <c r="M117" s="39">
        <v>33.97</v>
      </c>
      <c r="N117" s="39"/>
      <c r="O117" s="39"/>
      <c r="P117" s="39"/>
      <c r="Q117" s="39">
        <v>26.25</v>
      </c>
      <c r="R117" s="39"/>
      <c r="S117" s="42"/>
      <c r="T117" s="39">
        <v>29.76</v>
      </c>
      <c r="U117" s="41"/>
      <c r="V117" s="39"/>
      <c r="W117" s="41"/>
      <c r="X117" s="42"/>
      <c r="Y117" s="39"/>
      <c r="Z117" s="39"/>
      <c r="AA117" s="41"/>
      <c r="AB117" s="96"/>
      <c r="AC117" s="224"/>
      <c r="AD117" s="113"/>
      <c r="AE117" s="240">
        <v>31444</v>
      </c>
      <c r="AF117" s="2" t="s">
        <v>495</v>
      </c>
    </row>
    <row r="118" spans="1:32" ht="15" customHeight="1" x14ac:dyDescent="0.3">
      <c r="A118" s="38" t="s">
        <v>170</v>
      </c>
      <c r="B118" s="39">
        <v>25.11</v>
      </c>
      <c r="C118" s="39"/>
      <c r="D118" s="40"/>
      <c r="E118" s="40">
        <v>31.32</v>
      </c>
      <c r="F118" s="39">
        <v>28.24</v>
      </c>
      <c r="G118" s="39"/>
      <c r="H118" s="39">
        <v>22.83</v>
      </c>
      <c r="I118" s="39">
        <v>25.4</v>
      </c>
      <c r="J118" s="39">
        <v>27.72</v>
      </c>
      <c r="K118" s="39">
        <v>27.41</v>
      </c>
      <c r="L118" s="42"/>
      <c r="M118" s="39">
        <v>34.15</v>
      </c>
      <c r="N118" s="39"/>
      <c r="O118" s="39"/>
      <c r="P118" s="39"/>
      <c r="Q118" s="39">
        <v>25.87</v>
      </c>
      <c r="R118" s="39"/>
      <c r="S118" s="42"/>
      <c r="T118" s="39">
        <v>29.67</v>
      </c>
      <c r="U118" s="41"/>
      <c r="V118" s="39"/>
      <c r="W118" s="41"/>
      <c r="X118" s="42"/>
      <c r="Y118" s="39"/>
      <c r="Z118" s="39"/>
      <c r="AA118" s="41"/>
      <c r="AB118" s="96"/>
      <c r="AC118" s="224"/>
      <c r="AD118" s="113"/>
      <c r="AE118" s="240">
        <v>31472</v>
      </c>
      <c r="AF118" s="2" t="s">
        <v>495</v>
      </c>
    </row>
    <row r="119" spans="1:32" ht="15" customHeight="1" x14ac:dyDescent="0.3">
      <c r="A119" s="38" t="s">
        <v>169</v>
      </c>
      <c r="B119" s="39">
        <v>23.6</v>
      </c>
      <c r="C119" s="39"/>
      <c r="D119" s="40"/>
      <c r="E119" s="40">
        <v>30.94</v>
      </c>
      <c r="F119" s="39">
        <v>27.6</v>
      </c>
      <c r="G119" s="39"/>
      <c r="H119" s="39">
        <v>21.84</v>
      </c>
      <c r="I119" s="39">
        <v>24.6</v>
      </c>
      <c r="J119" s="39">
        <v>25.5</v>
      </c>
      <c r="K119" s="39">
        <v>25.52</v>
      </c>
      <c r="L119" s="42"/>
      <c r="M119" s="39">
        <v>34.01</v>
      </c>
      <c r="N119" s="39"/>
      <c r="O119" s="39"/>
      <c r="P119" s="39"/>
      <c r="Q119" s="39">
        <v>25.95</v>
      </c>
      <c r="R119" s="39"/>
      <c r="S119" s="42"/>
      <c r="T119" s="39">
        <v>29.06</v>
      </c>
      <c r="U119" s="41"/>
      <c r="V119" s="39"/>
      <c r="W119" s="41"/>
      <c r="X119" s="42"/>
      <c r="Y119" s="39"/>
      <c r="Z119" s="39"/>
      <c r="AA119" s="41"/>
      <c r="AB119" s="96"/>
      <c r="AC119" s="224"/>
      <c r="AD119" s="113"/>
      <c r="AE119" s="240">
        <v>31503</v>
      </c>
      <c r="AF119" s="2" t="s">
        <v>495</v>
      </c>
    </row>
    <row r="120" spans="1:32" ht="15" customHeight="1" x14ac:dyDescent="0.3">
      <c r="A120" s="38" t="s">
        <v>168</v>
      </c>
      <c r="B120" s="39">
        <v>23.54</v>
      </c>
      <c r="C120" s="39"/>
      <c r="D120" s="40"/>
      <c r="E120" s="40">
        <v>30.65</v>
      </c>
      <c r="F120" s="39">
        <v>27.05</v>
      </c>
      <c r="G120" s="39"/>
      <c r="H120" s="39">
        <v>21.98</v>
      </c>
      <c r="I120" s="39">
        <v>24.7</v>
      </c>
      <c r="J120" s="39">
        <v>25.81</v>
      </c>
      <c r="K120" s="39">
        <v>23.44</v>
      </c>
      <c r="L120" s="42"/>
      <c r="M120" s="39">
        <v>34.950000000000003</v>
      </c>
      <c r="N120" s="39"/>
      <c r="O120" s="39"/>
      <c r="P120" s="39"/>
      <c r="Q120" s="39">
        <v>25.93</v>
      </c>
      <c r="R120" s="39"/>
      <c r="S120" s="42"/>
      <c r="T120" s="39">
        <v>28.52</v>
      </c>
      <c r="U120" s="41"/>
      <c r="V120" s="39"/>
      <c r="W120" s="41"/>
      <c r="X120" s="42"/>
      <c r="Y120" s="39"/>
      <c r="Z120" s="39"/>
      <c r="AA120" s="41"/>
      <c r="AB120" s="96"/>
      <c r="AC120" s="224"/>
      <c r="AD120" s="113"/>
      <c r="AE120" s="240">
        <v>31533</v>
      </c>
      <c r="AF120" s="2" t="s">
        <v>495</v>
      </c>
    </row>
    <row r="121" spans="1:32" ht="15" customHeight="1" x14ac:dyDescent="0.3">
      <c r="A121" s="38" t="s">
        <v>167</v>
      </c>
      <c r="B121" s="39">
        <v>23.52</v>
      </c>
      <c r="C121" s="39"/>
      <c r="D121" s="40"/>
      <c r="E121" s="40">
        <v>30.51</v>
      </c>
      <c r="F121" s="39">
        <v>27.06</v>
      </c>
      <c r="G121" s="39"/>
      <c r="H121" s="39">
        <v>22.06</v>
      </c>
      <c r="I121" s="39">
        <v>24.93</v>
      </c>
      <c r="J121" s="39">
        <v>25.72</v>
      </c>
      <c r="K121" s="39">
        <v>23.14</v>
      </c>
      <c r="L121" s="42"/>
      <c r="M121" s="39">
        <v>34.72</v>
      </c>
      <c r="N121" s="39"/>
      <c r="O121" s="39"/>
      <c r="P121" s="39"/>
      <c r="Q121" s="39">
        <v>25.89</v>
      </c>
      <c r="R121" s="39"/>
      <c r="S121" s="42"/>
      <c r="T121" s="39">
        <v>28.23</v>
      </c>
      <c r="U121" s="41"/>
      <c r="V121" s="39"/>
      <c r="W121" s="41"/>
      <c r="X121" s="42"/>
      <c r="Y121" s="39"/>
      <c r="Z121" s="39"/>
      <c r="AA121" s="41"/>
      <c r="AB121" s="96"/>
      <c r="AC121" s="224"/>
      <c r="AD121" s="113"/>
      <c r="AE121" s="240">
        <v>31564</v>
      </c>
      <c r="AF121" s="2" t="s">
        <v>495</v>
      </c>
    </row>
    <row r="122" spans="1:32" ht="15" customHeight="1" x14ac:dyDescent="0.3">
      <c r="A122" s="38" t="s">
        <v>166</v>
      </c>
      <c r="B122" s="39">
        <v>22.95</v>
      </c>
      <c r="C122" s="39"/>
      <c r="D122" s="40"/>
      <c r="E122" s="40">
        <v>30.22</v>
      </c>
      <c r="F122" s="39">
        <v>27.57</v>
      </c>
      <c r="G122" s="39"/>
      <c r="H122" s="39">
        <v>22.03</v>
      </c>
      <c r="I122" s="39">
        <v>24.69</v>
      </c>
      <c r="J122" s="39">
        <v>25.94</v>
      </c>
      <c r="K122" s="39">
        <v>22.94</v>
      </c>
      <c r="L122" s="42"/>
      <c r="M122" s="39">
        <v>34.99</v>
      </c>
      <c r="N122" s="39"/>
      <c r="O122" s="39"/>
      <c r="P122" s="39"/>
      <c r="Q122" s="39">
        <v>25.77</v>
      </c>
      <c r="R122" s="39"/>
      <c r="S122" s="42"/>
      <c r="T122" s="39">
        <v>28.1</v>
      </c>
      <c r="U122" s="41"/>
      <c r="V122" s="39"/>
      <c r="W122" s="41"/>
      <c r="X122" s="42"/>
      <c r="Y122" s="39"/>
      <c r="Z122" s="39"/>
      <c r="AA122" s="41"/>
      <c r="AB122" s="96"/>
      <c r="AC122" s="224"/>
      <c r="AD122" s="113"/>
      <c r="AE122" s="240">
        <v>31594</v>
      </c>
      <c r="AF122" s="2" t="s">
        <v>495</v>
      </c>
    </row>
    <row r="123" spans="1:32" ht="15" customHeight="1" x14ac:dyDescent="0.3">
      <c r="A123" s="38" t="s">
        <v>165</v>
      </c>
      <c r="B123" s="39">
        <v>23.66</v>
      </c>
      <c r="C123" s="39"/>
      <c r="D123" s="40"/>
      <c r="E123" s="40">
        <v>30.65</v>
      </c>
      <c r="F123" s="39">
        <v>28.73</v>
      </c>
      <c r="G123" s="39"/>
      <c r="H123" s="39">
        <v>21.27</v>
      </c>
      <c r="I123" s="39">
        <v>24.75</v>
      </c>
      <c r="J123" s="39">
        <v>27.21</v>
      </c>
      <c r="K123" s="39">
        <v>23.26</v>
      </c>
      <c r="L123" s="42"/>
      <c r="M123" s="39">
        <v>35.380000000000003</v>
      </c>
      <c r="N123" s="39"/>
      <c r="O123" s="39"/>
      <c r="P123" s="39"/>
      <c r="Q123" s="39">
        <v>26.14</v>
      </c>
      <c r="R123" s="39"/>
      <c r="S123" s="42"/>
      <c r="T123" s="39">
        <v>28.95</v>
      </c>
      <c r="U123" s="41"/>
      <c r="V123" s="39"/>
      <c r="W123" s="41"/>
      <c r="X123" s="42"/>
      <c r="Y123" s="39"/>
      <c r="Z123" s="39"/>
      <c r="AA123" s="41"/>
      <c r="AB123" s="96"/>
      <c r="AC123" s="224"/>
      <c r="AD123" s="113"/>
      <c r="AE123" s="240">
        <v>31625</v>
      </c>
      <c r="AF123" s="2" t="s">
        <v>495</v>
      </c>
    </row>
    <row r="124" spans="1:32" ht="15" customHeight="1" x14ac:dyDescent="0.3">
      <c r="A124" s="38" t="s">
        <v>164</v>
      </c>
      <c r="B124" s="39">
        <v>25.59</v>
      </c>
      <c r="C124" s="39"/>
      <c r="D124" s="40"/>
      <c r="E124" s="40">
        <v>31.01</v>
      </c>
      <c r="F124" s="39">
        <v>30.36</v>
      </c>
      <c r="G124" s="39"/>
      <c r="H124" s="39">
        <v>22.31</v>
      </c>
      <c r="I124" s="39">
        <v>24.84</v>
      </c>
      <c r="J124" s="39">
        <v>26.37</v>
      </c>
      <c r="K124" s="39">
        <v>24.55</v>
      </c>
      <c r="L124" s="42"/>
      <c r="M124" s="39">
        <v>35.549999999999997</v>
      </c>
      <c r="N124" s="39"/>
      <c r="O124" s="39"/>
      <c r="P124" s="39"/>
      <c r="Q124" s="39">
        <v>27.83</v>
      </c>
      <c r="R124" s="39"/>
      <c r="S124" s="42"/>
      <c r="T124" s="39">
        <v>30.3</v>
      </c>
      <c r="U124" s="41"/>
      <c r="V124" s="39"/>
      <c r="W124" s="41"/>
      <c r="X124" s="42"/>
      <c r="Y124" s="39"/>
      <c r="Z124" s="39"/>
      <c r="AA124" s="41"/>
      <c r="AB124" s="96"/>
      <c r="AC124" s="224"/>
      <c r="AD124" s="113"/>
      <c r="AE124" s="240">
        <v>31656</v>
      </c>
      <c r="AF124" s="2" t="s">
        <v>495</v>
      </c>
    </row>
    <row r="125" spans="1:32" ht="15" customHeight="1" x14ac:dyDescent="0.3">
      <c r="A125" s="38" t="s">
        <v>163</v>
      </c>
      <c r="B125" s="39">
        <v>27.77</v>
      </c>
      <c r="C125" s="39"/>
      <c r="D125" s="40"/>
      <c r="E125" s="40">
        <v>31.47</v>
      </c>
      <c r="F125" s="39">
        <v>31.05</v>
      </c>
      <c r="G125" s="39"/>
      <c r="H125" s="39">
        <v>23.46</v>
      </c>
      <c r="I125" s="39">
        <v>25.25</v>
      </c>
      <c r="J125" s="39">
        <v>26.17</v>
      </c>
      <c r="K125" s="39">
        <v>26.7</v>
      </c>
      <c r="L125" s="42"/>
      <c r="M125" s="39">
        <v>35.700000000000003</v>
      </c>
      <c r="N125" s="39"/>
      <c r="O125" s="39"/>
      <c r="P125" s="39"/>
      <c r="Q125" s="39">
        <v>28.35</v>
      </c>
      <c r="R125" s="39"/>
      <c r="S125" s="42"/>
      <c r="T125" s="39">
        <v>30.87</v>
      </c>
      <c r="U125" s="41"/>
      <c r="V125" s="39"/>
      <c r="W125" s="41"/>
      <c r="X125" s="42"/>
      <c r="Y125" s="39"/>
      <c r="Z125" s="39"/>
      <c r="AA125" s="41"/>
      <c r="AB125" s="96"/>
      <c r="AC125" s="224"/>
      <c r="AD125" s="113"/>
      <c r="AE125" s="240">
        <v>31686</v>
      </c>
      <c r="AF125" s="2" t="s">
        <v>495</v>
      </c>
    </row>
    <row r="126" spans="1:32" ht="15" customHeight="1" x14ac:dyDescent="0.3">
      <c r="A126" s="38" t="s">
        <v>162</v>
      </c>
      <c r="B126" s="39">
        <v>29.47</v>
      </c>
      <c r="C126" s="39"/>
      <c r="D126" s="40"/>
      <c r="E126" s="40">
        <v>31.4</v>
      </c>
      <c r="F126" s="39">
        <v>31.27</v>
      </c>
      <c r="G126" s="39"/>
      <c r="H126" s="39">
        <v>24.64</v>
      </c>
      <c r="I126" s="39">
        <v>24.9</v>
      </c>
      <c r="J126" s="39">
        <v>25.75</v>
      </c>
      <c r="K126" s="39">
        <v>27.26</v>
      </c>
      <c r="L126" s="42"/>
      <c r="M126" s="39">
        <v>35.659999999999997</v>
      </c>
      <c r="N126" s="39"/>
      <c r="O126" s="39"/>
      <c r="P126" s="39"/>
      <c r="Q126" s="39">
        <v>28.64</v>
      </c>
      <c r="R126" s="39"/>
      <c r="S126" s="42"/>
      <c r="T126" s="39">
        <v>31.47</v>
      </c>
      <c r="U126" s="41"/>
      <c r="V126" s="39"/>
      <c r="W126" s="41"/>
      <c r="X126" s="42"/>
      <c r="Y126" s="39"/>
      <c r="Z126" s="39"/>
      <c r="AA126" s="41"/>
      <c r="AB126" s="96"/>
      <c r="AC126" s="224"/>
      <c r="AD126" s="113"/>
      <c r="AE126" s="240">
        <v>31717</v>
      </c>
      <c r="AF126" s="2" t="s">
        <v>495</v>
      </c>
    </row>
    <row r="127" spans="1:32" ht="15" customHeight="1" x14ac:dyDescent="0.3">
      <c r="A127" s="44" t="s">
        <v>161</v>
      </c>
      <c r="B127" s="45">
        <v>28.35</v>
      </c>
      <c r="C127" s="45"/>
      <c r="D127" s="46"/>
      <c r="E127" s="46">
        <v>31.41</v>
      </c>
      <c r="F127" s="45">
        <v>30.81</v>
      </c>
      <c r="G127" s="45"/>
      <c r="H127" s="45">
        <v>24.57</v>
      </c>
      <c r="I127" s="45">
        <v>24.38</v>
      </c>
      <c r="J127" s="45">
        <v>25.64</v>
      </c>
      <c r="K127" s="45">
        <v>27.99</v>
      </c>
      <c r="L127" s="48"/>
      <c r="M127" s="45">
        <v>35.659999999999997</v>
      </c>
      <c r="N127" s="45"/>
      <c r="O127" s="45"/>
      <c r="P127" s="45"/>
      <c r="Q127" s="45">
        <v>28.51</v>
      </c>
      <c r="R127" s="45"/>
      <c r="S127" s="48"/>
      <c r="T127" s="45">
        <v>31.19</v>
      </c>
      <c r="U127" s="47"/>
      <c r="V127" s="45"/>
      <c r="W127" s="47"/>
      <c r="X127" s="48"/>
      <c r="Y127" s="45"/>
      <c r="Z127" s="45"/>
      <c r="AA127" s="47"/>
      <c r="AB127" s="97"/>
      <c r="AC127" s="225"/>
      <c r="AD127" s="114"/>
      <c r="AE127" s="241">
        <v>31747</v>
      </c>
      <c r="AF127" s="2" t="s">
        <v>495</v>
      </c>
    </row>
    <row r="128" spans="1:32" ht="15" customHeight="1" x14ac:dyDescent="0.3">
      <c r="A128" s="49" t="s">
        <v>160</v>
      </c>
      <c r="B128" s="50">
        <v>28.39</v>
      </c>
      <c r="C128" s="50"/>
      <c r="D128" s="51"/>
      <c r="E128" s="51">
        <v>31.8</v>
      </c>
      <c r="F128" s="50">
        <v>29.74</v>
      </c>
      <c r="G128" s="50"/>
      <c r="H128" s="50">
        <v>25.11</v>
      </c>
      <c r="I128" s="50">
        <v>23.82</v>
      </c>
      <c r="J128" s="50">
        <v>25.02</v>
      </c>
      <c r="K128" s="50">
        <v>27.69</v>
      </c>
      <c r="L128" s="53"/>
      <c r="M128" s="50">
        <v>35.18</v>
      </c>
      <c r="N128" s="50"/>
      <c r="O128" s="50"/>
      <c r="P128" s="50"/>
      <c r="Q128" s="50">
        <v>28.18</v>
      </c>
      <c r="R128" s="50"/>
      <c r="S128" s="53"/>
      <c r="T128" s="50">
        <v>31.59</v>
      </c>
      <c r="U128" s="52"/>
      <c r="V128" s="50"/>
      <c r="W128" s="52"/>
      <c r="X128" s="53"/>
      <c r="Y128" s="50"/>
      <c r="Z128" s="50"/>
      <c r="AA128" s="52"/>
      <c r="AB128" s="98"/>
      <c r="AC128" s="226"/>
      <c r="AD128" s="115"/>
      <c r="AE128" s="240">
        <v>31778</v>
      </c>
      <c r="AF128" s="2" t="s">
        <v>495</v>
      </c>
    </row>
    <row r="129" spans="1:32" ht="15" customHeight="1" x14ac:dyDescent="0.3">
      <c r="A129" s="38" t="s">
        <v>159</v>
      </c>
      <c r="B129" s="39">
        <v>27.97</v>
      </c>
      <c r="C129" s="39"/>
      <c r="D129" s="40"/>
      <c r="E129" s="40">
        <v>31.7</v>
      </c>
      <c r="F129" s="39">
        <v>29.12</v>
      </c>
      <c r="G129" s="39"/>
      <c r="H129" s="39">
        <v>23.43</v>
      </c>
      <c r="I129" s="39">
        <v>23.48</v>
      </c>
      <c r="J129" s="39">
        <v>24.36</v>
      </c>
      <c r="K129" s="39">
        <v>27.52</v>
      </c>
      <c r="L129" s="42"/>
      <c r="M129" s="39">
        <v>35.06</v>
      </c>
      <c r="N129" s="39"/>
      <c r="O129" s="39"/>
      <c r="P129" s="39"/>
      <c r="Q129" s="39">
        <v>28.04</v>
      </c>
      <c r="R129" s="39"/>
      <c r="S129" s="42"/>
      <c r="T129" s="39">
        <v>31.52</v>
      </c>
      <c r="U129" s="41"/>
      <c r="V129" s="39"/>
      <c r="W129" s="41"/>
      <c r="X129" s="42"/>
      <c r="Y129" s="39"/>
      <c r="Z129" s="39"/>
      <c r="AA129" s="41"/>
      <c r="AB129" s="96"/>
      <c r="AC129" s="224"/>
      <c r="AD129" s="113"/>
      <c r="AE129" s="240">
        <v>31809</v>
      </c>
      <c r="AF129" s="2" t="s">
        <v>495</v>
      </c>
    </row>
    <row r="130" spans="1:32" ht="15" customHeight="1" x14ac:dyDescent="0.3">
      <c r="A130" s="38" t="s">
        <v>158</v>
      </c>
      <c r="B130" s="39">
        <v>26.01</v>
      </c>
      <c r="C130" s="39"/>
      <c r="D130" s="40"/>
      <c r="E130" s="40">
        <v>31.62</v>
      </c>
      <c r="F130" s="39">
        <v>28.6</v>
      </c>
      <c r="G130" s="39"/>
      <c r="H130" s="39">
        <v>21.62</v>
      </c>
      <c r="I130" s="39">
        <v>24.18</v>
      </c>
      <c r="J130" s="39">
        <v>23.88</v>
      </c>
      <c r="K130" s="39">
        <v>26.56</v>
      </c>
      <c r="L130" s="42"/>
      <c r="M130" s="39">
        <v>35.19</v>
      </c>
      <c r="N130" s="39"/>
      <c r="O130" s="39"/>
      <c r="P130" s="39"/>
      <c r="Q130" s="39">
        <v>27.71</v>
      </c>
      <c r="R130" s="39"/>
      <c r="S130" s="42"/>
      <c r="T130" s="39">
        <v>30.78</v>
      </c>
      <c r="U130" s="41"/>
      <c r="V130" s="39"/>
      <c r="W130" s="41"/>
      <c r="X130" s="42"/>
      <c r="Y130" s="39"/>
      <c r="Z130" s="39"/>
      <c r="AA130" s="41"/>
      <c r="AB130" s="96"/>
      <c r="AC130" s="224"/>
      <c r="AD130" s="113"/>
      <c r="AE130" s="240">
        <v>31837</v>
      </c>
      <c r="AF130" s="2" t="s">
        <v>495</v>
      </c>
    </row>
    <row r="131" spans="1:32" ht="15" customHeight="1" x14ac:dyDescent="0.3">
      <c r="A131" s="38" t="s">
        <v>157</v>
      </c>
      <c r="B131" s="39">
        <v>24.25</v>
      </c>
      <c r="C131" s="39"/>
      <c r="D131" s="40"/>
      <c r="E131" s="40">
        <v>30.78</v>
      </c>
      <c r="F131" s="39">
        <v>27.84</v>
      </c>
      <c r="G131" s="39"/>
      <c r="H131" s="39">
        <v>20.71</v>
      </c>
      <c r="I131" s="39">
        <v>24.14</v>
      </c>
      <c r="J131" s="39">
        <v>23.8</v>
      </c>
      <c r="K131" s="39">
        <v>25.16</v>
      </c>
      <c r="L131" s="42"/>
      <c r="M131" s="39">
        <v>35.049999999999997</v>
      </c>
      <c r="N131" s="39"/>
      <c r="O131" s="39"/>
      <c r="P131" s="39"/>
      <c r="Q131" s="39">
        <v>27.18</v>
      </c>
      <c r="R131" s="39"/>
      <c r="S131" s="42"/>
      <c r="T131" s="39">
        <v>30.63</v>
      </c>
      <c r="U131" s="41"/>
      <c r="V131" s="39"/>
      <c r="W131" s="41"/>
      <c r="X131" s="42"/>
      <c r="Y131" s="39"/>
      <c r="Z131" s="39"/>
      <c r="AA131" s="41"/>
      <c r="AB131" s="96"/>
      <c r="AC131" s="224"/>
      <c r="AD131" s="113"/>
      <c r="AE131" s="240">
        <v>31868</v>
      </c>
      <c r="AF131" s="2" t="s">
        <v>495</v>
      </c>
    </row>
    <row r="132" spans="1:32" ht="15" customHeight="1" x14ac:dyDescent="0.3">
      <c r="A132" s="38" t="s">
        <v>156</v>
      </c>
      <c r="B132" s="39">
        <v>24.51</v>
      </c>
      <c r="C132" s="39"/>
      <c r="D132" s="40"/>
      <c r="E132" s="40">
        <v>30.72</v>
      </c>
      <c r="F132" s="39">
        <v>27.49</v>
      </c>
      <c r="G132" s="39"/>
      <c r="H132" s="39">
        <v>20.64</v>
      </c>
      <c r="I132" s="39">
        <v>23.81</v>
      </c>
      <c r="J132" s="39">
        <v>23.85</v>
      </c>
      <c r="K132" s="39">
        <v>22.92</v>
      </c>
      <c r="L132" s="42"/>
      <c r="M132" s="39">
        <v>34.64</v>
      </c>
      <c r="N132" s="39"/>
      <c r="O132" s="39"/>
      <c r="P132" s="39"/>
      <c r="Q132" s="39">
        <v>26.99</v>
      </c>
      <c r="R132" s="39"/>
      <c r="S132" s="42"/>
      <c r="T132" s="39">
        <v>30.16</v>
      </c>
      <c r="U132" s="41"/>
      <c r="V132" s="39"/>
      <c r="W132" s="41"/>
      <c r="X132" s="42"/>
      <c r="Y132" s="39"/>
      <c r="Z132" s="39"/>
      <c r="AA132" s="41"/>
      <c r="AB132" s="96"/>
      <c r="AC132" s="224"/>
      <c r="AD132" s="113"/>
      <c r="AE132" s="240">
        <v>31898</v>
      </c>
      <c r="AF132" s="2" t="s">
        <v>495</v>
      </c>
    </row>
    <row r="133" spans="1:32" ht="15" customHeight="1" x14ac:dyDescent="0.3">
      <c r="A133" s="38" t="s">
        <v>155</v>
      </c>
      <c r="B133" s="39">
        <v>23.9</v>
      </c>
      <c r="C133" s="39"/>
      <c r="D133" s="40"/>
      <c r="E133" s="40">
        <v>30.85</v>
      </c>
      <c r="F133" s="39">
        <v>27.4</v>
      </c>
      <c r="G133" s="39"/>
      <c r="H133" s="39">
        <v>20.81</v>
      </c>
      <c r="I133" s="39">
        <v>23.84</v>
      </c>
      <c r="J133" s="39">
        <v>23.48</v>
      </c>
      <c r="K133" s="39">
        <v>22.88</v>
      </c>
      <c r="L133" s="42"/>
      <c r="M133" s="39">
        <v>34.6</v>
      </c>
      <c r="N133" s="39"/>
      <c r="O133" s="39"/>
      <c r="P133" s="39"/>
      <c r="Q133" s="39">
        <v>27.67</v>
      </c>
      <c r="R133" s="39"/>
      <c r="S133" s="42"/>
      <c r="T133" s="39">
        <v>29.41</v>
      </c>
      <c r="U133" s="41"/>
      <c r="V133" s="39"/>
      <c r="W133" s="41"/>
      <c r="X133" s="42"/>
      <c r="Y133" s="39"/>
      <c r="Z133" s="39"/>
      <c r="AA133" s="41"/>
      <c r="AB133" s="96"/>
      <c r="AC133" s="224"/>
      <c r="AD133" s="113"/>
      <c r="AE133" s="240">
        <v>31929</v>
      </c>
      <c r="AF133" s="2" t="s">
        <v>495</v>
      </c>
    </row>
    <row r="134" spans="1:32" ht="15" customHeight="1" x14ac:dyDescent="0.3">
      <c r="A134" s="38" t="s">
        <v>154</v>
      </c>
      <c r="B134" s="39">
        <v>23.67</v>
      </c>
      <c r="C134" s="39"/>
      <c r="D134" s="40"/>
      <c r="E134" s="40">
        <v>30.72</v>
      </c>
      <c r="F134" s="39">
        <v>27.51</v>
      </c>
      <c r="G134" s="39"/>
      <c r="H134" s="39">
        <v>21.45</v>
      </c>
      <c r="I134" s="39">
        <v>23.77</v>
      </c>
      <c r="J134" s="39">
        <v>23.72</v>
      </c>
      <c r="K134" s="39">
        <v>22.96</v>
      </c>
      <c r="L134" s="42"/>
      <c r="M134" s="39">
        <v>34.57</v>
      </c>
      <c r="N134" s="39"/>
      <c r="O134" s="39"/>
      <c r="P134" s="39"/>
      <c r="Q134" s="39">
        <v>27.36</v>
      </c>
      <c r="R134" s="39"/>
      <c r="S134" s="42"/>
      <c r="T134" s="39">
        <v>28.7</v>
      </c>
      <c r="U134" s="41"/>
      <c r="V134" s="39"/>
      <c r="W134" s="41"/>
      <c r="X134" s="42"/>
      <c r="Y134" s="39"/>
      <c r="Z134" s="39"/>
      <c r="AA134" s="41"/>
      <c r="AB134" s="96"/>
      <c r="AC134" s="224"/>
      <c r="AD134" s="113"/>
      <c r="AE134" s="240">
        <v>31959</v>
      </c>
      <c r="AF134" s="2" t="s">
        <v>495</v>
      </c>
    </row>
    <row r="135" spans="1:32" ht="15" customHeight="1" x14ac:dyDescent="0.3">
      <c r="A135" s="38" t="s">
        <v>153</v>
      </c>
      <c r="B135" s="39">
        <v>23.94</v>
      </c>
      <c r="C135" s="39"/>
      <c r="D135" s="40"/>
      <c r="E135" s="40">
        <v>30.94</v>
      </c>
      <c r="F135" s="39">
        <v>28.69</v>
      </c>
      <c r="G135" s="39"/>
      <c r="H135" s="39">
        <v>21.8</v>
      </c>
      <c r="I135" s="39">
        <v>23.63</v>
      </c>
      <c r="J135" s="39">
        <v>23.66</v>
      </c>
      <c r="K135" s="39">
        <v>23.5</v>
      </c>
      <c r="L135" s="42"/>
      <c r="M135" s="39">
        <v>34.78</v>
      </c>
      <c r="N135" s="39"/>
      <c r="O135" s="39"/>
      <c r="P135" s="39"/>
      <c r="Q135" s="39">
        <v>27.96</v>
      </c>
      <c r="R135" s="39"/>
      <c r="S135" s="42"/>
      <c r="T135" s="39">
        <v>29.14</v>
      </c>
      <c r="U135" s="41"/>
      <c r="V135" s="39"/>
      <c r="W135" s="41"/>
      <c r="X135" s="42"/>
      <c r="Y135" s="39"/>
      <c r="Z135" s="39"/>
      <c r="AA135" s="41"/>
      <c r="AB135" s="96"/>
      <c r="AC135" s="224"/>
      <c r="AD135" s="113"/>
      <c r="AE135" s="240">
        <v>31990</v>
      </c>
      <c r="AF135" s="2" t="s">
        <v>495</v>
      </c>
    </row>
    <row r="136" spans="1:32" ht="15" customHeight="1" x14ac:dyDescent="0.3">
      <c r="A136" s="38" t="s">
        <v>152</v>
      </c>
      <c r="B136" s="39">
        <v>26.02</v>
      </c>
      <c r="C136" s="39"/>
      <c r="D136" s="40"/>
      <c r="E136" s="40">
        <v>30.9</v>
      </c>
      <c r="F136" s="39">
        <v>29.9</v>
      </c>
      <c r="G136" s="39"/>
      <c r="H136" s="39">
        <v>23.03</v>
      </c>
      <c r="I136" s="39">
        <v>23.44</v>
      </c>
      <c r="J136" s="39">
        <v>24.11</v>
      </c>
      <c r="K136" s="39">
        <v>24.95</v>
      </c>
      <c r="L136" s="42"/>
      <c r="M136" s="39">
        <v>34.840000000000003</v>
      </c>
      <c r="N136" s="39"/>
      <c r="O136" s="39"/>
      <c r="P136" s="39"/>
      <c r="Q136" s="39">
        <v>28.61</v>
      </c>
      <c r="R136" s="39"/>
      <c r="S136" s="42"/>
      <c r="T136" s="39">
        <v>30.19</v>
      </c>
      <c r="U136" s="41"/>
      <c r="V136" s="39"/>
      <c r="W136" s="41"/>
      <c r="X136" s="42"/>
      <c r="Y136" s="39"/>
      <c r="Z136" s="39"/>
      <c r="AA136" s="41"/>
      <c r="AB136" s="96"/>
      <c r="AC136" s="224"/>
      <c r="AD136" s="113"/>
      <c r="AE136" s="240">
        <v>32021</v>
      </c>
      <c r="AF136" s="2" t="s">
        <v>495</v>
      </c>
    </row>
    <row r="137" spans="1:32" ht="15" customHeight="1" x14ac:dyDescent="0.3">
      <c r="A137" s="38" t="s">
        <v>151</v>
      </c>
      <c r="B137" s="39">
        <v>28.95</v>
      </c>
      <c r="C137" s="39"/>
      <c r="D137" s="40"/>
      <c r="E137" s="40">
        <v>31.11</v>
      </c>
      <c r="F137" s="39">
        <v>30.96</v>
      </c>
      <c r="G137" s="39"/>
      <c r="H137" s="39">
        <v>23.95</v>
      </c>
      <c r="I137" s="39">
        <v>23.67</v>
      </c>
      <c r="J137" s="39">
        <v>24.45</v>
      </c>
      <c r="K137" s="39">
        <v>26.35</v>
      </c>
      <c r="L137" s="42"/>
      <c r="M137" s="39">
        <v>34.82</v>
      </c>
      <c r="N137" s="39"/>
      <c r="O137" s="39"/>
      <c r="P137" s="39"/>
      <c r="Q137" s="39">
        <v>30.9</v>
      </c>
      <c r="R137" s="39"/>
      <c r="S137" s="42"/>
      <c r="T137" s="39">
        <v>32.08</v>
      </c>
      <c r="U137" s="41"/>
      <c r="V137" s="39"/>
      <c r="W137" s="41"/>
      <c r="X137" s="42"/>
      <c r="Y137" s="39"/>
      <c r="Z137" s="39"/>
      <c r="AA137" s="41"/>
      <c r="AB137" s="96"/>
      <c r="AC137" s="224"/>
      <c r="AD137" s="113"/>
      <c r="AE137" s="240">
        <v>32051</v>
      </c>
      <c r="AF137" s="2" t="s">
        <v>495</v>
      </c>
    </row>
    <row r="138" spans="1:32" ht="15" customHeight="1" x14ac:dyDescent="0.3">
      <c r="A138" s="38" t="s">
        <v>150</v>
      </c>
      <c r="B138" s="39">
        <v>30.3</v>
      </c>
      <c r="C138" s="39"/>
      <c r="D138" s="40"/>
      <c r="E138" s="40">
        <v>31.16</v>
      </c>
      <c r="F138" s="39">
        <v>31.63</v>
      </c>
      <c r="G138" s="39"/>
      <c r="H138" s="39">
        <v>24.57</v>
      </c>
      <c r="I138" s="39">
        <v>23.34</v>
      </c>
      <c r="J138" s="39">
        <v>24.3</v>
      </c>
      <c r="K138" s="39">
        <v>27.39</v>
      </c>
      <c r="L138" s="42"/>
      <c r="M138" s="39">
        <v>34.369999999999997</v>
      </c>
      <c r="N138" s="39"/>
      <c r="O138" s="39"/>
      <c r="P138" s="39"/>
      <c r="Q138" s="39">
        <v>31.07</v>
      </c>
      <c r="R138" s="39"/>
      <c r="S138" s="42"/>
      <c r="T138" s="39">
        <v>32.64</v>
      </c>
      <c r="U138" s="41"/>
      <c r="V138" s="39"/>
      <c r="W138" s="41"/>
      <c r="X138" s="42"/>
      <c r="Y138" s="39"/>
      <c r="Z138" s="39"/>
      <c r="AA138" s="41"/>
      <c r="AB138" s="96"/>
      <c r="AC138" s="224"/>
      <c r="AD138" s="113"/>
      <c r="AE138" s="240">
        <v>32082</v>
      </c>
      <c r="AF138" s="2" t="s">
        <v>495</v>
      </c>
    </row>
    <row r="139" spans="1:32" ht="15" customHeight="1" x14ac:dyDescent="0.3">
      <c r="A139" s="44" t="s">
        <v>149</v>
      </c>
      <c r="B139" s="45">
        <v>29.87</v>
      </c>
      <c r="C139" s="45"/>
      <c r="D139" s="46"/>
      <c r="E139" s="46">
        <v>31.43</v>
      </c>
      <c r="F139" s="45">
        <v>31.29</v>
      </c>
      <c r="G139" s="45"/>
      <c r="H139" s="45">
        <v>24.7</v>
      </c>
      <c r="I139" s="45">
        <v>23.42</v>
      </c>
      <c r="J139" s="45">
        <v>24.46</v>
      </c>
      <c r="K139" s="45">
        <v>27.85</v>
      </c>
      <c r="L139" s="48"/>
      <c r="M139" s="45">
        <v>34.36</v>
      </c>
      <c r="N139" s="45"/>
      <c r="O139" s="45"/>
      <c r="P139" s="45"/>
      <c r="Q139" s="45">
        <v>30.89</v>
      </c>
      <c r="R139" s="45"/>
      <c r="S139" s="48"/>
      <c r="T139" s="45">
        <v>32.89</v>
      </c>
      <c r="U139" s="47"/>
      <c r="V139" s="45"/>
      <c r="W139" s="47"/>
      <c r="X139" s="48"/>
      <c r="Y139" s="45"/>
      <c r="Z139" s="45"/>
      <c r="AA139" s="47"/>
      <c r="AB139" s="97"/>
      <c r="AC139" s="225"/>
      <c r="AD139" s="114"/>
      <c r="AE139" s="241">
        <v>32112</v>
      </c>
      <c r="AF139" s="2" t="s">
        <v>495</v>
      </c>
    </row>
    <row r="140" spans="1:32" ht="15" customHeight="1" x14ac:dyDescent="0.3">
      <c r="A140" s="49" t="s">
        <v>148</v>
      </c>
      <c r="B140" s="50">
        <v>28.23</v>
      </c>
      <c r="C140" s="50"/>
      <c r="D140" s="51"/>
      <c r="E140" s="51">
        <v>31.9</v>
      </c>
      <c r="F140" s="50">
        <v>29.65</v>
      </c>
      <c r="G140" s="50"/>
      <c r="H140" s="50">
        <v>25.38</v>
      </c>
      <c r="I140" s="50">
        <v>23.48</v>
      </c>
      <c r="J140" s="50">
        <v>24.71</v>
      </c>
      <c r="K140" s="50">
        <v>27.95</v>
      </c>
      <c r="L140" s="53"/>
      <c r="M140" s="50">
        <v>34.630000000000003</v>
      </c>
      <c r="N140" s="50"/>
      <c r="O140" s="50"/>
      <c r="P140" s="50"/>
      <c r="Q140" s="50">
        <v>29.24</v>
      </c>
      <c r="R140" s="50"/>
      <c r="S140" s="53"/>
      <c r="T140" s="50">
        <v>32.51</v>
      </c>
      <c r="U140" s="52"/>
      <c r="V140" s="50"/>
      <c r="W140" s="52"/>
      <c r="X140" s="53"/>
      <c r="Y140" s="50"/>
      <c r="Z140" s="50"/>
      <c r="AA140" s="52"/>
      <c r="AB140" s="98"/>
      <c r="AC140" s="226"/>
      <c r="AD140" s="115"/>
      <c r="AE140" s="240">
        <v>32143</v>
      </c>
      <c r="AF140" s="2" t="s">
        <v>495</v>
      </c>
    </row>
    <row r="141" spans="1:32" ht="15" customHeight="1" x14ac:dyDescent="0.3">
      <c r="A141" s="38" t="s">
        <v>147</v>
      </c>
      <c r="B141" s="39">
        <v>28.08</v>
      </c>
      <c r="C141" s="39"/>
      <c r="D141" s="40"/>
      <c r="E141" s="40">
        <v>32.42</v>
      </c>
      <c r="F141" s="39">
        <v>29.41</v>
      </c>
      <c r="G141" s="39"/>
      <c r="H141" s="39">
        <v>24.12</v>
      </c>
      <c r="I141" s="39">
        <v>23.67</v>
      </c>
      <c r="J141" s="39">
        <v>24.93</v>
      </c>
      <c r="K141" s="39">
        <v>27.07</v>
      </c>
      <c r="L141" s="42"/>
      <c r="M141" s="39">
        <v>34.590000000000003</v>
      </c>
      <c r="N141" s="39"/>
      <c r="O141" s="39"/>
      <c r="P141" s="39"/>
      <c r="Q141" s="39">
        <v>29.12</v>
      </c>
      <c r="R141" s="39"/>
      <c r="S141" s="42"/>
      <c r="T141" s="39">
        <v>32.659999999999997</v>
      </c>
      <c r="U141" s="41"/>
      <c r="V141" s="39"/>
      <c r="W141" s="41"/>
      <c r="X141" s="42"/>
      <c r="Y141" s="39"/>
      <c r="Z141" s="39"/>
      <c r="AA141" s="41"/>
      <c r="AB141" s="96"/>
      <c r="AC141" s="224"/>
      <c r="AD141" s="113"/>
      <c r="AE141" s="240">
        <v>32174</v>
      </c>
      <c r="AF141" s="2" t="s">
        <v>495</v>
      </c>
    </row>
    <row r="142" spans="1:32" ht="15" customHeight="1" x14ac:dyDescent="0.3">
      <c r="A142" s="38" t="s">
        <v>146</v>
      </c>
      <c r="B142" s="39">
        <v>26.34</v>
      </c>
      <c r="C142" s="39"/>
      <c r="D142" s="40"/>
      <c r="E142" s="40">
        <v>32.409999999999997</v>
      </c>
      <c r="F142" s="39">
        <v>29.31</v>
      </c>
      <c r="G142" s="39"/>
      <c r="H142" s="39">
        <v>23.22</v>
      </c>
      <c r="I142" s="39">
        <v>24.18</v>
      </c>
      <c r="J142" s="39">
        <v>25.27</v>
      </c>
      <c r="K142" s="39">
        <v>26.26</v>
      </c>
      <c r="L142" s="42"/>
      <c r="M142" s="39">
        <v>34.340000000000003</v>
      </c>
      <c r="N142" s="39"/>
      <c r="O142" s="39"/>
      <c r="P142" s="39"/>
      <c r="Q142" s="39">
        <v>29.13</v>
      </c>
      <c r="R142" s="39"/>
      <c r="S142" s="42"/>
      <c r="T142" s="39">
        <v>32.369999999999997</v>
      </c>
      <c r="U142" s="41"/>
      <c r="V142" s="39"/>
      <c r="W142" s="41"/>
      <c r="X142" s="42"/>
      <c r="Y142" s="39"/>
      <c r="Z142" s="39"/>
      <c r="AA142" s="41"/>
      <c r="AB142" s="96"/>
      <c r="AC142" s="224"/>
      <c r="AD142" s="113"/>
      <c r="AE142" s="240">
        <v>32203</v>
      </c>
      <c r="AF142" s="2" t="s">
        <v>495</v>
      </c>
    </row>
    <row r="143" spans="1:32" ht="15" customHeight="1" x14ac:dyDescent="0.3">
      <c r="A143" s="38" t="s">
        <v>145</v>
      </c>
      <c r="B143" s="39">
        <v>25.48</v>
      </c>
      <c r="C143" s="39"/>
      <c r="D143" s="40"/>
      <c r="E143" s="40">
        <v>33.130000000000003</v>
      </c>
      <c r="F143" s="39">
        <v>28.76</v>
      </c>
      <c r="G143" s="39"/>
      <c r="H143" s="39">
        <v>22.77</v>
      </c>
      <c r="I143" s="39">
        <v>25.03</v>
      </c>
      <c r="J143" s="39">
        <v>25.53</v>
      </c>
      <c r="K143" s="39">
        <v>24.93</v>
      </c>
      <c r="L143" s="42"/>
      <c r="M143" s="39">
        <v>34.28</v>
      </c>
      <c r="N143" s="39"/>
      <c r="O143" s="39"/>
      <c r="P143" s="39"/>
      <c r="Q143" s="39">
        <v>28.04</v>
      </c>
      <c r="R143" s="39"/>
      <c r="S143" s="42"/>
      <c r="T143" s="39">
        <v>31.82</v>
      </c>
      <c r="U143" s="41"/>
      <c r="V143" s="39"/>
      <c r="W143" s="41"/>
      <c r="X143" s="42"/>
      <c r="Y143" s="39"/>
      <c r="Z143" s="39"/>
      <c r="AA143" s="41"/>
      <c r="AB143" s="96"/>
      <c r="AC143" s="224"/>
      <c r="AD143" s="113"/>
      <c r="AE143" s="240">
        <v>32234</v>
      </c>
      <c r="AF143" s="2" t="s">
        <v>495</v>
      </c>
    </row>
    <row r="144" spans="1:32" ht="15" customHeight="1" x14ac:dyDescent="0.3">
      <c r="A144" s="38" t="s">
        <v>144</v>
      </c>
      <c r="B144" s="39">
        <v>25.48</v>
      </c>
      <c r="C144" s="39"/>
      <c r="D144" s="40"/>
      <c r="E144" s="40">
        <v>32.770000000000003</v>
      </c>
      <c r="F144" s="39">
        <v>28.41</v>
      </c>
      <c r="G144" s="39"/>
      <c r="H144" s="39">
        <v>23.01</v>
      </c>
      <c r="I144" s="39">
        <v>24.82</v>
      </c>
      <c r="J144" s="39">
        <v>25.64</v>
      </c>
      <c r="K144" s="39">
        <v>22.9</v>
      </c>
      <c r="L144" s="42"/>
      <c r="M144" s="39">
        <v>34.409999999999997</v>
      </c>
      <c r="N144" s="39"/>
      <c r="O144" s="39"/>
      <c r="P144" s="39"/>
      <c r="Q144" s="39">
        <v>27.97</v>
      </c>
      <c r="R144" s="39"/>
      <c r="S144" s="42"/>
      <c r="T144" s="39">
        <v>31.29</v>
      </c>
      <c r="U144" s="41"/>
      <c r="V144" s="39"/>
      <c r="W144" s="41"/>
      <c r="X144" s="42"/>
      <c r="Y144" s="39"/>
      <c r="Z144" s="39"/>
      <c r="AA144" s="41"/>
      <c r="AB144" s="96"/>
      <c r="AC144" s="224"/>
      <c r="AD144" s="113"/>
      <c r="AE144" s="240">
        <v>32264</v>
      </c>
      <c r="AF144" s="2" t="s">
        <v>495</v>
      </c>
    </row>
    <row r="145" spans="1:32" ht="15" customHeight="1" x14ac:dyDescent="0.3">
      <c r="A145" s="38" t="s">
        <v>143</v>
      </c>
      <c r="B145" s="39">
        <v>24.97</v>
      </c>
      <c r="C145" s="39"/>
      <c r="D145" s="40"/>
      <c r="E145" s="40">
        <v>32.79</v>
      </c>
      <c r="F145" s="39">
        <v>28.76</v>
      </c>
      <c r="G145" s="39"/>
      <c r="H145" s="39">
        <v>23.65</v>
      </c>
      <c r="I145" s="39">
        <v>24.87</v>
      </c>
      <c r="J145" s="39">
        <v>25.8</v>
      </c>
      <c r="K145" s="39">
        <v>22.88</v>
      </c>
      <c r="L145" s="42"/>
      <c r="M145" s="39">
        <v>34.49</v>
      </c>
      <c r="N145" s="39"/>
      <c r="O145" s="39"/>
      <c r="P145" s="39"/>
      <c r="Q145" s="39">
        <v>27.55</v>
      </c>
      <c r="R145" s="39"/>
      <c r="S145" s="42"/>
      <c r="T145" s="39">
        <v>31.51</v>
      </c>
      <c r="U145" s="41"/>
      <c r="V145" s="39"/>
      <c r="W145" s="41"/>
      <c r="X145" s="42"/>
      <c r="Y145" s="39"/>
      <c r="Z145" s="39"/>
      <c r="AA145" s="41"/>
      <c r="AB145" s="96"/>
      <c r="AC145" s="224"/>
      <c r="AD145" s="113"/>
      <c r="AE145" s="240">
        <v>32295</v>
      </c>
      <c r="AF145" s="2" t="s">
        <v>495</v>
      </c>
    </row>
    <row r="146" spans="1:32" ht="15" customHeight="1" x14ac:dyDescent="0.3">
      <c r="A146" s="38" t="s">
        <v>142</v>
      </c>
      <c r="B146" s="39">
        <v>25.23</v>
      </c>
      <c r="C146" s="39"/>
      <c r="D146" s="40"/>
      <c r="E146" s="40">
        <v>32.520000000000003</v>
      </c>
      <c r="F146" s="39">
        <v>29.41</v>
      </c>
      <c r="G146" s="39"/>
      <c r="H146" s="39">
        <v>24.09</v>
      </c>
      <c r="I146" s="39">
        <v>24.72</v>
      </c>
      <c r="J146" s="39">
        <v>26.64</v>
      </c>
      <c r="K146" s="39">
        <v>23.03</v>
      </c>
      <c r="L146" s="42"/>
      <c r="M146" s="39">
        <v>34.54</v>
      </c>
      <c r="N146" s="39"/>
      <c r="O146" s="39"/>
      <c r="P146" s="39"/>
      <c r="Q146" s="39">
        <v>27.59</v>
      </c>
      <c r="R146" s="39"/>
      <c r="S146" s="42"/>
      <c r="T146" s="39">
        <v>31.54</v>
      </c>
      <c r="U146" s="41"/>
      <c r="V146" s="39"/>
      <c r="W146" s="41"/>
      <c r="X146" s="42"/>
      <c r="Y146" s="39"/>
      <c r="Z146" s="39"/>
      <c r="AA146" s="41"/>
      <c r="AB146" s="96"/>
      <c r="AC146" s="224"/>
      <c r="AD146" s="113"/>
      <c r="AE146" s="240">
        <v>32325</v>
      </c>
      <c r="AF146" s="2" t="s">
        <v>495</v>
      </c>
    </row>
    <row r="147" spans="1:32" ht="15" customHeight="1" x14ac:dyDescent="0.3">
      <c r="A147" s="38" t="s">
        <v>141</v>
      </c>
      <c r="B147" s="39">
        <v>25.93</v>
      </c>
      <c r="C147" s="39"/>
      <c r="D147" s="40"/>
      <c r="E147" s="40">
        <v>32.54</v>
      </c>
      <c r="F147" s="39">
        <v>30.38</v>
      </c>
      <c r="G147" s="39"/>
      <c r="H147" s="39">
        <v>24.82</v>
      </c>
      <c r="I147" s="39">
        <v>25.3</v>
      </c>
      <c r="J147" s="39">
        <v>27.47</v>
      </c>
      <c r="K147" s="39">
        <v>23.83</v>
      </c>
      <c r="L147" s="42"/>
      <c r="M147" s="39">
        <v>34.520000000000003</v>
      </c>
      <c r="N147" s="39"/>
      <c r="O147" s="39"/>
      <c r="P147" s="39"/>
      <c r="Q147" s="39">
        <v>28.01</v>
      </c>
      <c r="R147" s="39"/>
      <c r="S147" s="42"/>
      <c r="T147" s="39">
        <v>32.549999999999997</v>
      </c>
      <c r="U147" s="41"/>
      <c r="V147" s="39"/>
      <c r="W147" s="41"/>
      <c r="X147" s="42"/>
      <c r="Y147" s="39"/>
      <c r="Z147" s="39"/>
      <c r="AA147" s="41"/>
      <c r="AB147" s="96"/>
      <c r="AC147" s="224"/>
      <c r="AD147" s="113"/>
      <c r="AE147" s="240">
        <v>32356</v>
      </c>
      <c r="AF147" s="2" t="s">
        <v>495</v>
      </c>
    </row>
    <row r="148" spans="1:32" ht="15" customHeight="1" x14ac:dyDescent="0.3">
      <c r="A148" s="38" t="s">
        <v>140</v>
      </c>
      <c r="B148" s="39">
        <v>28.78</v>
      </c>
      <c r="C148" s="39"/>
      <c r="D148" s="40"/>
      <c r="E148" s="40">
        <v>33.93</v>
      </c>
      <c r="F148" s="39">
        <v>32.42</v>
      </c>
      <c r="G148" s="39"/>
      <c r="H148" s="39">
        <v>26.9</v>
      </c>
      <c r="I148" s="39">
        <v>25.44</v>
      </c>
      <c r="J148" s="39">
        <v>27.69</v>
      </c>
      <c r="K148" s="39">
        <v>25.44</v>
      </c>
      <c r="L148" s="42"/>
      <c r="M148" s="39">
        <v>34.4</v>
      </c>
      <c r="N148" s="39"/>
      <c r="O148" s="39"/>
      <c r="P148" s="39"/>
      <c r="Q148" s="39">
        <v>29.54</v>
      </c>
      <c r="R148" s="39"/>
      <c r="S148" s="42"/>
      <c r="T148" s="39">
        <v>34.76</v>
      </c>
      <c r="U148" s="41"/>
      <c r="V148" s="39"/>
      <c r="W148" s="41"/>
      <c r="X148" s="42"/>
      <c r="Y148" s="39"/>
      <c r="Z148" s="39"/>
      <c r="AA148" s="41"/>
      <c r="AB148" s="96"/>
      <c r="AC148" s="224"/>
      <c r="AD148" s="113"/>
      <c r="AE148" s="240">
        <v>32387</v>
      </c>
      <c r="AF148" s="2" t="s">
        <v>495</v>
      </c>
    </row>
    <row r="149" spans="1:32" ht="15" customHeight="1" x14ac:dyDescent="0.3">
      <c r="A149" s="38" t="s">
        <v>139</v>
      </c>
      <c r="B149" s="39">
        <v>27.96</v>
      </c>
      <c r="C149" s="39"/>
      <c r="D149" s="40"/>
      <c r="E149" s="40">
        <v>35.18</v>
      </c>
      <c r="F149" s="39">
        <v>33.64</v>
      </c>
      <c r="G149" s="39"/>
      <c r="H149" s="39">
        <v>27.78</v>
      </c>
      <c r="I149" s="39">
        <v>26.01</v>
      </c>
      <c r="J149" s="39">
        <v>29.57</v>
      </c>
      <c r="K149" s="39">
        <v>27.09</v>
      </c>
      <c r="L149" s="42"/>
      <c r="M149" s="39">
        <v>34.89</v>
      </c>
      <c r="N149" s="39"/>
      <c r="O149" s="39"/>
      <c r="P149" s="39"/>
      <c r="Q149" s="39">
        <v>31.22</v>
      </c>
      <c r="R149" s="39"/>
      <c r="S149" s="42"/>
      <c r="T149" s="39">
        <v>35.479999999999997</v>
      </c>
      <c r="U149" s="41"/>
      <c r="V149" s="39"/>
      <c r="W149" s="41"/>
      <c r="X149" s="42"/>
      <c r="Y149" s="39"/>
      <c r="Z149" s="39"/>
      <c r="AA149" s="41"/>
      <c r="AB149" s="96"/>
      <c r="AC149" s="224"/>
      <c r="AD149" s="113"/>
      <c r="AE149" s="240">
        <v>32417</v>
      </c>
      <c r="AF149" s="2" t="s">
        <v>495</v>
      </c>
    </row>
    <row r="150" spans="1:32" ht="15" customHeight="1" x14ac:dyDescent="0.3">
      <c r="A150" s="38" t="s">
        <v>138</v>
      </c>
      <c r="B150" s="39">
        <v>33.35</v>
      </c>
      <c r="C150" s="39"/>
      <c r="D150" s="40"/>
      <c r="E150" s="40">
        <v>35.5</v>
      </c>
      <c r="F150" s="39">
        <v>34.15</v>
      </c>
      <c r="G150" s="39"/>
      <c r="H150" s="39">
        <v>28.14</v>
      </c>
      <c r="I150" s="39">
        <v>25.92</v>
      </c>
      <c r="J150" s="39">
        <v>30.25</v>
      </c>
      <c r="K150" s="39">
        <v>28.01</v>
      </c>
      <c r="L150" s="42"/>
      <c r="M150" s="39">
        <v>35.11</v>
      </c>
      <c r="N150" s="39"/>
      <c r="O150" s="39"/>
      <c r="P150" s="39"/>
      <c r="Q150" s="39">
        <v>32.86</v>
      </c>
      <c r="R150" s="39"/>
      <c r="S150" s="42"/>
      <c r="T150" s="39">
        <v>36.15</v>
      </c>
      <c r="U150" s="41"/>
      <c r="V150" s="39"/>
      <c r="W150" s="41"/>
      <c r="X150" s="42"/>
      <c r="Y150" s="39"/>
      <c r="Z150" s="39"/>
      <c r="AA150" s="41"/>
      <c r="AB150" s="96"/>
      <c r="AC150" s="224"/>
      <c r="AD150" s="113"/>
      <c r="AE150" s="240">
        <v>32448</v>
      </c>
      <c r="AF150" s="2" t="s">
        <v>495</v>
      </c>
    </row>
    <row r="151" spans="1:32" ht="15" customHeight="1" x14ac:dyDescent="0.3">
      <c r="A151" s="44" t="s">
        <v>137</v>
      </c>
      <c r="B151" s="45">
        <v>32.78</v>
      </c>
      <c r="C151" s="45"/>
      <c r="D151" s="46"/>
      <c r="E151" s="46">
        <v>35.15</v>
      </c>
      <c r="F151" s="45">
        <v>33.68</v>
      </c>
      <c r="G151" s="45"/>
      <c r="H151" s="45">
        <v>28.55</v>
      </c>
      <c r="I151" s="45">
        <v>25.86</v>
      </c>
      <c r="J151" s="45">
        <v>31.15</v>
      </c>
      <c r="K151" s="45">
        <v>28.55</v>
      </c>
      <c r="L151" s="48"/>
      <c r="M151" s="45">
        <v>35.299999999999997</v>
      </c>
      <c r="N151" s="45"/>
      <c r="O151" s="45"/>
      <c r="P151" s="45"/>
      <c r="Q151" s="45">
        <v>32.299999999999997</v>
      </c>
      <c r="R151" s="45"/>
      <c r="S151" s="48"/>
      <c r="T151" s="45">
        <v>35.630000000000003</v>
      </c>
      <c r="U151" s="47"/>
      <c r="V151" s="45"/>
      <c r="W151" s="47"/>
      <c r="X151" s="48"/>
      <c r="Y151" s="45"/>
      <c r="Z151" s="45"/>
      <c r="AA151" s="47"/>
      <c r="AB151" s="97"/>
      <c r="AC151" s="225"/>
      <c r="AD151" s="114"/>
      <c r="AE151" s="241">
        <v>32478</v>
      </c>
      <c r="AF151" s="2" t="s">
        <v>495</v>
      </c>
    </row>
    <row r="152" spans="1:32" ht="15" customHeight="1" x14ac:dyDescent="0.3">
      <c r="A152" s="49" t="s">
        <v>136</v>
      </c>
      <c r="B152" s="50">
        <v>31.66</v>
      </c>
      <c r="C152" s="50"/>
      <c r="D152" s="51"/>
      <c r="E152" s="51">
        <v>34.33</v>
      </c>
      <c r="F152" s="50">
        <v>31.93</v>
      </c>
      <c r="G152" s="50"/>
      <c r="H152" s="50">
        <v>28.29</v>
      </c>
      <c r="I152" s="50">
        <v>27.05</v>
      </c>
      <c r="J152" s="50">
        <v>33.07</v>
      </c>
      <c r="K152" s="50">
        <v>28.32</v>
      </c>
      <c r="L152" s="53"/>
      <c r="M152" s="50">
        <v>35.39</v>
      </c>
      <c r="N152" s="50"/>
      <c r="O152" s="50"/>
      <c r="P152" s="50"/>
      <c r="Q152" s="50">
        <v>31.96</v>
      </c>
      <c r="R152" s="50"/>
      <c r="S152" s="53"/>
      <c r="T152" s="50">
        <v>32.33</v>
      </c>
      <c r="U152" s="52"/>
      <c r="V152" s="50"/>
      <c r="W152" s="52"/>
      <c r="X152" s="53"/>
      <c r="Y152" s="50"/>
      <c r="Z152" s="50"/>
      <c r="AA152" s="52"/>
      <c r="AB152" s="98"/>
      <c r="AC152" s="226"/>
      <c r="AD152" s="115"/>
      <c r="AE152" s="240">
        <v>32509</v>
      </c>
      <c r="AF152" s="2" t="s">
        <v>495</v>
      </c>
    </row>
    <row r="153" spans="1:32" ht="15" customHeight="1" x14ac:dyDescent="0.3">
      <c r="A153" s="38" t="s">
        <v>135</v>
      </c>
      <c r="B153" s="39">
        <v>31.66</v>
      </c>
      <c r="C153" s="39"/>
      <c r="D153" s="40"/>
      <c r="E153" s="40">
        <v>34.049999999999997</v>
      </c>
      <c r="F153" s="39">
        <v>31.67</v>
      </c>
      <c r="G153" s="39"/>
      <c r="H153" s="39">
        <v>27.18</v>
      </c>
      <c r="I153" s="39">
        <v>27.15</v>
      </c>
      <c r="J153" s="39">
        <v>34.33</v>
      </c>
      <c r="K153" s="39">
        <v>27.62</v>
      </c>
      <c r="L153" s="42"/>
      <c r="M153" s="39">
        <v>35.79</v>
      </c>
      <c r="N153" s="39"/>
      <c r="O153" s="39"/>
      <c r="P153" s="39"/>
      <c r="Q153" s="39">
        <v>32.03</v>
      </c>
      <c r="R153" s="39"/>
      <c r="S153" s="42"/>
      <c r="T153" s="39">
        <v>32.4</v>
      </c>
      <c r="U153" s="41"/>
      <c r="V153" s="39"/>
      <c r="W153" s="41"/>
      <c r="X153" s="42"/>
      <c r="Y153" s="39"/>
      <c r="Z153" s="39"/>
      <c r="AA153" s="41"/>
      <c r="AB153" s="96"/>
      <c r="AC153" s="224"/>
      <c r="AD153" s="113"/>
      <c r="AE153" s="240">
        <v>32540</v>
      </c>
      <c r="AF153" s="2" t="s">
        <v>495</v>
      </c>
    </row>
    <row r="154" spans="1:32" ht="15" customHeight="1" x14ac:dyDescent="0.3">
      <c r="A154" s="38" t="s">
        <v>134</v>
      </c>
      <c r="B154" s="39">
        <v>29.18</v>
      </c>
      <c r="C154" s="39"/>
      <c r="D154" s="40"/>
      <c r="E154" s="40">
        <v>34.03</v>
      </c>
      <c r="F154" s="39">
        <v>31.51</v>
      </c>
      <c r="G154" s="39"/>
      <c r="H154" s="39">
        <v>26.58</v>
      </c>
      <c r="I154" s="39">
        <v>27.64</v>
      </c>
      <c r="J154" s="39">
        <v>35.08</v>
      </c>
      <c r="K154" s="39">
        <v>27.04</v>
      </c>
      <c r="L154" s="42"/>
      <c r="M154" s="39">
        <v>36.86</v>
      </c>
      <c r="N154" s="39"/>
      <c r="O154" s="39"/>
      <c r="P154" s="39"/>
      <c r="Q154" s="39">
        <v>31.96</v>
      </c>
      <c r="R154" s="39"/>
      <c r="S154" s="42"/>
      <c r="T154" s="39">
        <v>32.200000000000003</v>
      </c>
      <c r="U154" s="41"/>
      <c r="V154" s="39"/>
      <c r="W154" s="41"/>
      <c r="X154" s="42"/>
      <c r="Y154" s="39"/>
      <c r="Z154" s="39"/>
      <c r="AA154" s="41"/>
      <c r="AB154" s="96"/>
      <c r="AC154" s="224"/>
      <c r="AD154" s="113"/>
      <c r="AE154" s="240">
        <v>32568</v>
      </c>
      <c r="AF154" s="2" t="s">
        <v>495</v>
      </c>
    </row>
    <row r="155" spans="1:32" ht="15" customHeight="1" x14ac:dyDescent="0.3">
      <c r="A155" s="38" t="s">
        <v>133</v>
      </c>
      <c r="B155" s="39">
        <v>28.88</v>
      </c>
      <c r="C155" s="39"/>
      <c r="D155" s="40"/>
      <c r="E155" s="40">
        <v>33.85</v>
      </c>
      <c r="F155" s="39">
        <v>31.81</v>
      </c>
      <c r="G155" s="39"/>
      <c r="H155" s="39">
        <v>26.21</v>
      </c>
      <c r="I155" s="39">
        <v>28.36</v>
      </c>
      <c r="J155" s="39">
        <v>35.229999999999997</v>
      </c>
      <c r="K155" s="39">
        <v>25.55</v>
      </c>
      <c r="L155" s="42"/>
      <c r="M155" s="39">
        <v>38.159999999999997</v>
      </c>
      <c r="N155" s="39"/>
      <c r="O155" s="39"/>
      <c r="P155" s="39"/>
      <c r="Q155" s="39">
        <v>32.4</v>
      </c>
      <c r="R155" s="39"/>
      <c r="S155" s="42"/>
      <c r="T155" s="39">
        <v>31.64</v>
      </c>
      <c r="U155" s="41"/>
      <c r="V155" s="39"/>
      <c r="W155" s="41"/>
      <c r="X155" s="42"/>
      <c r="Y155" s="39"/>
      <c r="Z155" s="39"/>
      <c r="AA155" s="41"/>
      <c r="AB155" s="96"/>
      <c r="AC155" s="224"/>
      <c r="AD155" s="113"/>
      <c r="AE155" s="240">
        <v>32599</v>
      </c>
      <c r="AF155" s="2" t="s">
        <v>495</v>
      </c>
    </row>
    <row r="156" spans="1:32" ht="15" customHeight="1" x14ac:dyDescent="0.3">
      <c r="A156" s="38" t="s">
        <v>132</v>
      </c>
      <c r="B156" s="39">
        <v>27.63</v>
      </c>
      <c r="C156" s="39"/>
      <c r="D156" s="40"/>
      <c r="E156" s="40">
        <v>33.94</v>
      </c>
      <c r="F156" s="39">
        <v>31.51</v>
      </c>
      <c r="G156" s="39"/>
      <c r="H156" s="39">
        <v>27.19</v>
      </c>
      <c r="I156" s="39">
        <v>28.09</v>
      </c>
      <c r="J156" s="39">
        <v>32.380000000000003</v>
      </c>
      <c r="K156" s="39">
        <v>24.53</v>
      </c>
      <c r="L156" s="42"/>
      <c r="M156" s="39">
        <v>38.700000000000003</v>
      </c>
      <c r="N156" s="39"/>
      <c r="O156" s="39"/>
      <c r="P156" s="39"/>
      <c r="Q156" s="39">
        <v>32.270000000000003</v>
      </c>
      <c r="R156" s="39"/>
      <c r="S156" s="42"/>
      <c r="T156" s="39">
        <v>31.53</v>
      </c>
      <c r="U156" s="41"/>
      <c r="V156" s="39"/>
      <c r="W156" s="41"/>
      <c r="X156" s="42"/>
      <c r="Y156" s="39"/>
      <c r="Z156" s="39"/>
      <c r="AA156" s="41"/>
      <c r="AB156" s="96"/>
      <c r="AC156" s="224"/>
      <c r="AD156" s="113"/>
      <c r="AE156" s="240">
        <v>32629</v>
      </c>
      <c r="AF156" s="2" t="s">
        <v>495</v>
      </c>
    </row>
    <row r="157" spans="1:32" ht="15" customHeight="1" x14ac:dyDescent="0.3">
      <c r="A157" s="38" t="s">
        <v>131</v>
      </c>
      <c r="B157" s="39">
        <v>27.75</v>
      </c>
      <c r="C157" s="39"/>
      <c r="D157" s="40"/>
      <c r="E157" s="40">
        <v>33.85</v>
      </c>
      <c r="F157" s="39">
        <v>31.7</v>
      </c>
      <c r="G157" s="39"/>
      <c r="H157" s="39">
        <v>27.2</v>
      </c>
      <c r="I157" s="39">
        <v>27.91</v>
      </c>
      <c r="J157" s="39">
        <v>32.17</v>
      </c>
      <c r="K157" s="39">
        <v>24.14</v>
      </c>
      <c r="L157" s="42"/>
      <c r="M157" s="39">
        <v>39.29</v>
      </c>
      <c r="N157" s="39"/>
      <c r="O157" s="39"/>
      <c r="P157" s="39"/>
      <c r="Q157" s="39">
        <v>31.72</v>
      </c>
      <c r="R157" s="39"/>
      <c r="S157" s="42"/>
      <c r="T157" s="39">
        <v>31.85</v>
      </c>
      <c r="U157" s="41"/>
      <c r="V157" s="39"/>
      <c r="W157" s="41"/>
      <c r="X157" s="42"/>
      <c r="Y157" s="39"/>
      <c r="Z157" s="39"/>
      <c r="AA157" s="41"/>
      <c r="AB157" s="96"/>
      <c r="AC157" s="224"/>
      <c r="AD157" s="113"/>
      <c r="AE157" s="240">
        <v>32660</v>
      </c>
      <c r="AF157" s="2" t="s">
        <v>495</v>
      </c>
    </row>
    <row r="158" spans="1:32" ht="15" customHeight="1" x14ac:dyDescent="0.3">
      <c r="A158" s="38" t="s">
        <v>130</v>
      </c>
      <c r="B158" s="39">
        <v>27.38</v>
      </c>
      <c r="C158" s="39"/>
      <c r="D158" s="40"/>
      <c r="E158" s="40">
        <v>33.78</v>
      </c>
      <c r="F158" s="39">
        <v>32.159999999999997</v>
      </c>
      <c r="G158" s="39"/>
      <c r="H158" s="39">
        <v>27.15</v>
      </c>
      <c r="I158" s="39">
        <v>27.79</v>
      </c>
      <c r="J158" s="39">
        <v>31.9</v>
      </c>
      <c r="K158" s="39">
        <v>24.09</v>
      </c>
      <c r="L158" s="42"/>
      <c r="M158" s="39">
        <v>39.74</v>
      </c>
      <c r="N158" s="39"/>
      <c r="O158" s="39"/>
      <c r="P158" s="39"/>
      <c r="Q158" s="39">
        <v>31.83</v>
      </c>
      <c r="R158" s="39"/>
      <c r="S158" s="42"/>
      <c r="T158" s="39">
        <v>31.94</v>
      </c>
      <c r="U158" s="41"/>
      <c r="V158" s="39"/>
      <c r="W158" s="41"/>
      <c r="X158" s="42"/>
      <c r="Y158" s="39"/>
      <c r="Z158" s="39"/>
      <c r="AA158" s="41"/>
      <c r="AB158" s="96"/>
      <c r="AC158" s="224"/>
      <c r="AD158" s="113"/>
      <c r="AE158" s="240">
        <v>32690</v>
      </c>
      <c r="AF158" s="2" t="s">
        <v>495</v>
      </c>
    </row>
    <row r="159" spans="1:32" ht="15" customHeight="1" x14ac:dyDescent="0.3">
      <c r="A159" s="38" t="s">
        <v>129</v>
      </c>
      <c r="B159" s="39">
        <v>27.77</v>
      </c>
      <c r="C159" s="39"/>
      <c r="D159" s="40"/>
      <c r="E159" s="40">
        <v>33.979999999999997</v>
      </c>
      <c r="F159" s="39">
        <v>33.119999999999997</v>
      </c>
      <c r="G159" s="39"/>
      <c r="H159" s="39">
        <v>27.61</v>
      </c>
      <c r="I159" s="39">
        <v>27.82</v>
      </c>
      <c r="J159" s="39">
        <v>31.97</v>
      </c>
      <c r="K159" s="39">
        <v>25.1</v>
      </c>
      <c r="L159" s="42"/>
      <c r="M159" s="39">
        <v>39.96</v>
      </c>
      <c r="N159" s="39"/>
      <c r="O159" s="39"/>
      <c r="P159" s="39"/>
      <c r="Q159" s="39">
        <v>32.04</v>
      </c>
      <c r="R159" s="39"/>
      <c r="S159" s="42"/>
      <c r="T159" s="39">
        <v>33.020000000000003</v>
      </c>
      <c r="U159" s="41"/>
      <c r="V159" s="39"/>
      <c r="W159" s="41"/>
      <c r="X159" s="42"/>
      <c r="Y159" s="39"/>
      <c r="Z159" s="39"/>
      <c r="AA159" s="41"/>
      <c r="AB159" s="96"/>
      <c r="AC159" s="224"/>
      <c r="AD159" s="113"/>
      <c r="AE159" s="240">
        <v>32721</v>
      </c>
      <c r="AF159" s="2" t="s">
        <v>495</v>
      </c>
    </row>
    <row r="160" spans="1:32" ht="15" customHeight="1" x14ac:dyDescent="0.3">
      <c r="A160" s="38" t="s">
        <v>128</v>
      </c>
      <c r="B160" s="39">
        <v>31.43</v>
      </c>
      <c r="C160" s="39"/>
      <c r="D160" s="40"/>
      <c r="E160" s="40">
        <v>34.49</v>
      </c>
      <c r="F160" s="39">
        <v>34.619999999999997</v>
      </c>
      <c r="G160" s="39"/>
      <c r="H160" s="39">
        <v>28.91</v>
      </c>
      <c r="I160" s="39">
        <v>27.97</v>
      </c>
      <c r="J160" s="39">
        <v>32.76</v>
      </c>
      <c r="K160" s="39">
        <v>26.94</v>
      </c>
      <c r="L160" s="42"/>
      <c r="M160" s="39">
        <v>39.92</v>
      </c>
      <c r="N160" s="39"/>
      <c r="O160" s="39"/>
      <c r="P160" s="39"/>
      <c r="Q160" s="39">
        <v>33.11</v>
      </c>
      <c r="R160" s="39"/>
      <c r="S160" s="42"/>
      <c r="T160" s="39">
        <v>35.22</v>
      </c>
      <c r="U160" s="41"/>
      <c r="V160" s="39"/>
      <c r="W160" s="41"/>
      <c r="X160" s="42"/>
      <c r="Y160" s="39"/>
      <c r="Z160" s="39"/>
      <c r="AA160" s="41"/>
      <c r="AB160" s="96"/>
      <c r="AC160" s="224"/>
      <c r="AD160" s="113"/>
      <c r="AE160" s="240">
        <v>32752</v>
      </c>
      <c r="AF160" s="2" t="s">
        <v>495</v>
      </c>
    </row>
    <row r="161" spans="1:32" ht="15" customHeight="1" x14ac:dyDescent="0.3">
      <c r="A161" s="38" t="s">
        <v>127</v>
      </c>
      <c r="B161" s="39">
        <v>33.270000000000003</v>
      </c>
      <c r="C161" s="39"/>
      <c r="D161" s="40"/>
      <c r="E161" s="40">
        <v>35.83</v>
      </c>
      <c r="F161" s="39">
        <v>35.92</v>
      </c>
      <c r="G161" s="39"/>
      <c r="H161" s="39">
        <v>30.15</v>
      </c>
      <c r="I161" s="39">
        <v>28.21</v>
      </c>
      <c r="J161" s="39">
        <v>34</v>
      </c>
      <c r="K161" s="39">
        <v>29.21</v>
      </c>
      <c r="L161" s="42"/>
      <c r="M161" s="39">
        <v>39.51</v>
      </c>
      <c r="N161" s="39"/>
      <c r="O161" s="39"/>
      <c r="P161" s="39"/>
      <c r="Q161" s="39">
        <v>34.32</v>
      </c>
      <c r="R161" s="39"/>
      <c r="S161" s="42"/>
      <c r="T161" s="39">
        <v>36.51</v>
      </c>
      <c r="U161" s="41"/>
      <c r="V161" s="39"/>
      <c r="W161" s="41"/>
      <c r="X161" s="42"/>
      <c r="Y161" s="39"/>
      <c r="Z161" s="39"/>
      <c r="AA161" s="41"/>
      <c r="AB161" s="96"/>
      <c r="AC161" s="224"/>
      <c r="AD161" s="113"/>
      <c r="AE161" s="240">
        <v>32782</v>
      </c>
      <c r="AF161" s="2" t="s">
        <v>495</v>
      </c>
    </row>
    <row r="162" spans="1:32" ht="15" customHeight="1" x14ac:dyDescent="0.3">
      <c r="A162" s="38" t="s">
        <v>126</v>
      </c>
      <c r="B162" s="39">
        <v>35.1</v>
      </c>
      <c r="C162" s="39"/>
      <c r="D162" s="40"/>
      <c r="E162" s="40">
        <v>36.85</v>
      </c>
      <c r="F162" s="39">
        <v>35.94</v>
      </c>
      <c r="G162" s="39"/>
      <c r="H162" s="39">
        <v>30.86</v>
      </c>
      <c r="I162" s="39">
        <v>27.99</v>
      </c>
      <c r="J162" s="39">
        <v>34.200000000000003</v>
      </c>
      <c r="K162" s="39">
        <v>30.28</v>
      </c>
      <c r="L162" s="42"/>
      <c r="M162" s="39">
        <v>39.630000000000003</v>
      </c>
      <c r="N162" s="39"/>
      <c r="O162" s="39"/>
      <c r="P162" s="39"/>
      <c r="Q162" s="39">
        <v>35.58</v>
      </c>
      <c r="R162" s="39"/>
      <c r="S162" s="42"/>
      <c r="T162" s="39">
        <v>37.549999999999997</v>
      </c>
      <c r="U162" s="41"/>
      <c r="V162" s="39"/>
      <c r="W162" s="41"/>
      <c r="X162" s="42"/>
      <c r="Y162" s="39"/>
      <c r="Z162" s="39"/>
      <c r="AA162" s="41"/>
      <c r="AB162" s="96"/>
      <c r="AC162" s="224"/>
      <c r="AD162" s="113"/>
      <c r="AE162" s="240">
        <v>32813</v>
      </c>
      <c r="AF162" s="2" t="s">
        <v>495</v>
      </c>
    </row>
    <row r="163" spans="1:32" ht="15" customHeight="1" x14ac:dyDescent="0.3">
      <c r="A163" s="44" t="s">
        <v>125</v>
      </c>
      <c r="B163" s="45">
        <v>34.950000000000003</v>
      </c>
      <c r="C163" s="45"/>
      <c r="D163" s="46"/>
      <c r="E163" s="46">
        <v>37.49</v>
      </c>
      <c r="F163" s="45">
        <v>35.47</v>
      </c>
      <c r="G163" s="45"/>
      <c r="H163" s="45">
        <v>30.78</v>
      </c>
      <c r="I163" s="45">
        <v>28.3</v>
      </c>
      <c r="J163" s="45">
        <v>33.799999999999997</v>
      </c>
      <c r="K163" s="45">
        <v>30.82</v>
      </c>
      <c r="L163" s="48"/>
      <c r="M163" s="45">
        <v>39.479999999999997</v>
      </c>
      <c r="N163" s="45"/>
      <c r="O163" s="45"/>
      <c r="P163" s="45"/>
      <c r="Q163" s="45">
        <v>35.659999999999997</v>
      </c>
      <c r="R163" s="45"/>
      <c r="S163" s="48"/>
      <c r="T163" s="45">
        <v>36.659999999999997</v>
      </c>
      <c r="U163" s="47"/>
      <c r="V163" s="45"/>
      <c r="W163" s="47"/>
      <c r="X163" s="48"/>
      <c r="Y163" s="45"/>
      <c r="Z163" s="45"/>
      <c r="AA163" s="47"/>
      <c r="AB163" s="97"/>
      <c r="AC163" s="225"/>
      <c r="AD163" s="114"/>
      <c r="AE163" s="241">
        <v>32843</v>
      </c>
      <c r="AF163" s="2" t="s">
        <v>495</v>
      </c>
    </row>
    <row r="164" spans="1:32" ht="15" customHeight="1" x14ac:dyDescent="0.3">
      <c r="A164" s="49" t="s">
        <v>124</v>
      </c>
      <c r="B164" s="50">
        <v>31.83</v>
      </c>
      <c r="C164" s="50"/>
      <c r="D164" s="51"/>
      <c r="E164" s="51">
        <v>37.159999999999997</v>
      </c>
      <c r="F164" s="50">
        <v>32.659999999999997</v>
      </c>
      <c r="G164" s="50"/>
      <c r="H164" s="50">
        <v>30.41</v>
      </c>
      <c r="I164" s="50">
        <v>28.2</v>
      </c>
      <c r="J164" s="50">
        <v>32.69</v>
      </c>
      <c r="K164" s="50">
        <v>31.08</v>
      </c>
      <c r="L164" s="53"/>
      <c r="M164" s="50">
        <v>39.4</v>
      </c>
      <c r="N164" s="50"/>
      <c r="O164" s="50"/>
      <c r="P164" s="50"/>
      <c r="Q164" s="50">
        <v>34.479999999999997</v>
      </c>
      <c r="R164" s="50"/>
      <c r="S164" s="53"/>
      <c r="T164" s="50">
        <v>32.045000000000002</v>
      </c>
      <c r="U164" s="52"/>
      <c r="V164" s="50"/>
      <c r="W164" s="52"/>
      <c r="X164" s="53"/>
      <c r="Y164" s="50"/>
      <c r="Z164" s="50"/>
      <c r="AA164" s="52"/>
      <c r="AB164" s="98"/>
      <c r="AC164" s="226"/>
      <c r="AD164" s="115"/>
      <c r="AE164" s="240">
        <v>32874</v>
      </c>
      <c r="AF164" s="2" t="s">
        <v>495</v>
      </c>
    </row>
    <row r="165" spans="1:32" ht="15" customHeight="1" x14ac:dyDescent="0.3">
      <c r="A165" s="38" t="s">
        <v>123</v>
      </c>
      <c r="B165" s="39">
        <v>31</v>
      </c>
      <c r="C165" s="39"/>
      <c r="D165" s="40"/>
      <c r="E165" s="40">
        <v>37.08</v>
      </c>
      <c r="F165" s="39">
        <v>31.38</v>
      </c>
      <c r="G165" s="39"/>
      <c r="H165" s="39">
        <v>28.74</v>
      </c>
      <c r="I165" s="39">
        <v>28.5</v>
      </c>
      <c r="J165" s="39">
        <v>32.11</v>
      </c>
      <c r="K165" s="39">
        <v>29.62</v>
      </c>
      <c r="L165" s="42"/>
      <c r="M165" s="39">
        <v>39.46</v>
      </c>
      <c r="N165" s="39"/>
      <c r="O165" s="39"/>
      <c r="P165" s="39"/>
      <c r="Q165" s="39">
        <v>35.29</v>
      </c>
      <c r="R165" s="39"/>
      <c r="S165" s="42"/>
      <c r="T165" s="39">
        <v>32.085000000000001</v>
      </c>
      <c r="U165" s="41"/>
      <c r="V165" s="39"/>
      <c r="W165" s="41"/>
      <c r="X165" s="42"/>
      <c r="Y165" s="39"/>
      <c r="Z165" s="39"/>
      <c r="AA165" s="41"/>
      <c r="AB165" s="96"/>
      <c r="AC165" s="224"/>
      <c r="AD165" s="113"/>
      <c r="AE165" s="240">
        <v>32905</v>
      </c>
      <c r="AF165" s="2" t="s">
        <v>495</v>
      </c>
    </row>
    <row r="166" spans="1:32" ht="15" customHeight="1" x14ac:dyDescent="0.3">
      <c r="A166" s="38" t="s">
        <v>122</v>
      </c>
      <c r="B166" s="39">
        <v>28.63</v>
      </c>
      <c r="C166" s="39"/>
      <c r="D166" s="40"/>
      <c r="E166" s="40">
        <v>37.11</v>
      </c>
      <c r="F166" s="39">
        <v>30.82</v>
      </c>
      <c r="G166" s="39"/>
      <c r="H166" s="39">
        <v>25.62</v>
      </c>
      <c r="I166" s="39">
        <v>28.66</v>
      </c>
      <c r="J166" s="39">
        <v>30.02</v>
      </c>
      <c r="K166" s="39">
        <v>28.59</v>
      </c>
      <c r="L166" s="42"/>
      <c r="M166" s="39">
        <v>39.659999999999997</v>
      </c>
      <c r="N166" s="39"/>
      <c r="O166" s="39"/>
      <c r="P166" s="39"/>
      <c r="Q166" s="39">
        <v>35.119999999999997</v>
      </c>
      <c r="R166" s="39"/>
      <c r="S166" s="42"/>
      <c r="T166" s="39">
        <v>31.71</v>
      </c>
      <c r="U166" s="41"/>
      <c r="V166" s="39"/>
      <c r="W166" s="41"/>
      <c r="X166" s="42"/>
      <c r="Y166" s="39"/>
      <c r="Z166" s="39"/>
      <c r="AA166" s="41"/>
      <c r="AB166" s="96"/>
      <c r="AC166" s="224"/>
      <c r="AD166" s="113"/>
      <c r="AE166" s="240">
        <v>32933</v>
      </c>
      <c r="AF166" s="2" t="s">
        <v>495</v>
      </c>
    </row>
    <row r="167" spans="1:32" ht="15" customHeight="1" x14ac:dyDescent="0.3">
      <c r="A167" s="38" t="s">
        <v>121</v>
      </c>
      <c r="B167" s="39">
        <v>26.44</v>
      </c>
      <c r="C167" s="39"/>
      <c r="D167" s="40"/>
      <c r="E167" s="40">
        <v>37.18</v>
      </c>
      <c r="F167" s="39">
        <v>30.19</v>
      </c>
      <c r="G167" s="39"/>
      <c r="H167" s="39">
        <v>23.97</v>
      </c>
      <c r="I167" s="39">
        <v>28.78</v>
      </c>
      <c r="J167" s="39">
        <v>28.09</v>
      </c>
      <c r="K167" s="39">
        <v>27.19</v>
      </c>
      <c r="L167" s="42"/>
      <c r="M167" s="39">
        <v>39.74</v>
      </c>
      <c r="N167" s="39"/>
      <c r="O167" s="39"/>
      <c r="P167" s="39"/>
      <c r="Q167" s="39">
        <v>34.049999999999997</v>
      </c>
      <c r="R167" s="39"/>
      <c r="S167" s="42"/>
      <c r="T167" s="39">
        <v>31.285</v>
      </c>
      <c r="U167" s="41"/>
      <c r="V167" s="39"/>
      <c r="W167" s="41"/>
      <c r="X167" s="42"/>
      <c r="Y167" s="39"/>
      <c r="Z167" s="39"/>
      <c r="AA167" s="41"/>
      <c r="AB167" s="96"/>
      <c r="AC167" s="224"/>
      <c r="AD167" s="113"/>
      <c r="AE167" s="240">
        <v>32964</v>
      </c>
      <c r="AF167" s="2" t="s">
        <v>495</v>
      </c>
    </row>
    <row r="168" spans="1:32" ht="15" customHeight="1" x14ac:dyDescent="0.3">
      <c r="A168" s="38" t="s">
        <v>120</v>
      </c>
      <c r="B168" s="39">
        <v>25.44</v>
      </c>
      <c r="C168" s="39"/>
      <c r="D168" s="40"/>
      <c r="E168" s="40">
        <v>36.51</v>
      </c>
      <c r="F168" s="39">
        <v>29.83</v>
      </c>
      <c r="G168" s="39"/>
      <c r="H168" s="39">
        <v>23.59</v>
      </c>
      <c r="I168" s="39">
        <v>28.37</v>
      </c>
      <c r="J168" s="39">
        <v>27.73</v>
      </c>
      <c r="K168" s="39">
        <v>25.23</v>
      </c>
      <c r="L168" s="42"/>
      <c r="M168" s="39">
        <v>39.71</v>
      </c>
      <c r="N168" s="39"/>
      <c r="O168" s="39"/>
      <c r="P168" s="39"/>
      <c r="Q168" s="39">
        <v>33.049999999999997</v>
      </c>
      <c r="R168" s="39"/>
      <c r="S168" s="42"/>
      <c r="T168" s="39">
        <v>31.25</v>
      </c>
      <c r="U168" s="41"/>
      <c r="V168" s="39"/>
      <c r="W168" s="41"/>
      <c r="X168" s="42"/>
      <c r="Y168" s="39"/>
      <c r="Z168" s="39"/>
      <c r="AA168" s="41"/>
      <c r="AB168" s="96"/>
      <c r="AC168" s="224"/>
      <c r="AD168" s="113"/>
      <c r="AE168" s="240">
        <v>32994</v>
      </c>
      <c r="AF168" s="2" t="s">
        <v>495</v>
      </c>
    </row>
    <row r="169" spans="1:32" ht="15" customHeight="1" x14ac:dyDescent="0.3">
      <c r="A169" s="38" t="s">
        <v>119</v>
      </c>
      <c r="B169" s="39">
        <v>24.67</v>
      </c>
      <c r="C169" s="39"/>
      <c r="D169" s="40"/>
      <c r="E169" s="40">
        <v>35.85</v>
      </c>
      <c r="F169" s="39">
        <v>29.55</v>
      </c>
      <c r="G169" s="39"/>
      <c r="H169" s="39">
        <v>23.31</v>
      </c>
      <c r="I169" s="39">
        <v>28.69</v>
      </c>
      <c r="J169" s="39">
        <v>28.06</v>
      </c>
      <c r="K169" s="39">
        <v>24.7</v>
      </c>
      <c r="L169" s="42"/>
      <c r="M169" s="39">
        <v>39.61</v>
      </c>
      <c r="N169" s="39"/>
      <c r="O169" s="39"/>
      <c r="P169" s="39"/>
      <c r="Q169" s="39">
        <v>32.44</v>
      </c>
      <c r="R169" s="39"/>
      <c r="S169" s="42"/>
      <c r="T169" s="39">
        <v>31.48</v>
      </c>
      <c r="U169" s="41"/>
      <c r="V169" s="39"/>
      <c r="W169" s="41"/>
      <c r="X169" s="42"/>
      <c r="Y169" s="39"/>
      <c r="Z169" s="39"/>
      <c r="AA169" s="41"/>
      <c r="AB169" s="96"/>
      <c r="AC169" s="224"/>
      <c r="AD169" s="113"/>
      <c r="AE169" s="240">
        <v>33025</v>
      </c>
      <c r="AF169" s="2" t="s">
        <v>495</v>
      </c>
    </row>
    <row r="170" spans="1:32" ht="15" customHeight="1" x14ac:dyDescent="0.3">
      <c r="A170" s="38" t="s">
        <v>118</v>
      </c>
      <c r="B170" s="39">
        <v>24.1</v>
      </c>
      <c r="C170" s="39"/>
      <c r="D170" s="40"/>
      <c r="E170" s="40">
        <v>35.44</v>
      </c>
      <c r="F170" s="39">
        <v>29.37</v>
      </c>
      <c r="G170" s="39"/>
      <c r="H170" s="39">
        <v>23.34</v>
      </c>
      <c r="I170" s="39">
        <v>28.75</v>
      </c>
      <c r="J170" s="39">
        <v>28.06</v>
      </c>
      <c r="K170" s="39">
        <v>24.69</v>
      </c>
      <c r="L170" s="42"/>
      <c r="M170" s="39">
        <v>39.51</v>
      </c>
      <c r="N170" s="39"/>
      <c r="O170" s="39"/>
      <c r="P170" s="39"/>
      <c r="Q170" s="39">
        <v>32.11</v>
      </c>
      <c r="R170" s="39"/>
      <c r="S170" s="42"/>
      <c r="T170" s="39">
        <v>31.274999999999999</v>
      </c>
      <c r="U170" s="41"/>
      <c r="V170" s="39"/>
      <c r="W170" s="41"/>
      <c r="X170" s="42"/>
      <c r="Y170" s="39"/>
      <c r="Z170" s="39"/>
      <c r="AA170" s="41"/>
      <c r="AB170" s="96"/>
      <c r="AC170" s="224"/>
      <c r="AD170" s="113"/>
      <c r="AE170" s="240">
        <v>33055</v>
      </c>
      <c r="AF170" s="2" t="s">
        <v>495</v>
      </c>
    </row>
    <row r="171" spans="1:32" ht="15" customHeight="1" x14ac:dyDescent="0.3">
      <c r="A171" s="38" t="s">
        <v>117</v>
      </c>
      <c r="B171" s="39">
        <v>24.6</v>
      </c>
      <c r="C171" s="39"/>
      <c r="D171" s="40"/>
      <c r="E171" s="40">
        <v>35.28</v>
      </c>
      <c r="F171" s="39">
        <v>29.92</v>
      </c>
      <c r="G171" s="39"/>
      <c r="H171" s="39">
        <v>23.29</v>
      </c>
      <c r="I171" s="39">
        <v>28.54</v>
      </c>
      <c r="J171" s="39">
        <v>27.06</v>
      </c>
      <c r="K171" s="39">
        <v>25.34</v>
      </c>
      <c r="L171" s="42"/>
      <c r="M171" s="39">
        <v>39.28</v>
      </c>
      <c r="N171" s="39"/>
      <c r="O171" s="39"/>
      <c r="P171" s="39"/>
      <c r="Q171" s="39">
        <v>32.06</v>
      </c>
      <c r="R171" s="39"/>
      <c r="S171" s="42"/>
      <c r="T171" s="39">
        <v>31.85</v>
      </c>
      <c r="U171" s="41"/>
      <c r="V171" s="39"/>
      <c r="W171" s="41"/>
      <c r="X171" s="42"/>
      <c r="Y171" s="39"/>
      <c r="Z171" s="39"/>
      <c r="AA171" s="41"/>
      <c r="AB171" s="96"/>
      <c r="AC171" s="224"/>
      <c r="AD171" s="113"/>
      <c r="AE171" s="240">
        <v>33086</v>
      </c>
      <c r="AF171" s="2" t="s">
        <v>495</v>
      </c>
    </row>
    <row r="172" spans="1:32" ht="15" customHeight="1" x14ac:dyDescent="0.3">
      <c r="A172" s="38" t="s">
        <v>116</v>
      </c>
      <c r="B172" s="39">
        <v>27.25</v>
      </c>
      <c r="C172" s="39"/>
      <c r="D172" s="40"/>
      <c r="E172" s="40">
        <v>36.340000000000003</v>
      </c>
      <c r="F172" s="39">
        <v>31.52</v>
      </c>
      <c r="G172" s="39"/>
      <c r="H172" s="39">
        <v>24.08</v>
      </c>
      <c r="I172" s="39">
        <v>28.65</v>
      </c>
      <c r="J172" s="39">
        <v>26.53</v>
      </c>
      <c r="K172" s="39">
        <v>27.08</v>
      </c>
      <c r="L172" s="42"/>
      <c r="M172" s="39">
        <v>38.99</v>
      </c>
      <c r="N172" s="39"/>
      <c r="O172" s="39"/>
      <c r="P172" s="39"/>
      <c r="Q172" s="39">
        <v>33.9</v>
      </c>
      <c r="R172" s="39"/>
      <c r="S172" s="42"/>
      <c r="T172" s="39">
        <v>33.78</v>
      </c>
      <c r="U172" s="41"/>
      <c r="V172" s="39"/>
      <c r="W172" s="41"/>
      <c r="X172" s="42"/>
      <c r="Y172" s="39"/>
      <c r="Z172" s="39"/>
      <c r="AA172" s="41"/>
      <c r="AB172" s="96"/>
      <c r="AC172" s="224"/>
      <c r="AD172" s="113"/>
      <c r="AE172" s="240">
        <v>33117</v>
      </c>
      <c r="AF172" s="2" t="s">
        <v>495</v>
      </c>
    </row>
    <row r="173" spans="1:32" ht="15" customHeight="1" x14ac:dyDescent="0.3">
      <c r="A173" s="38" t="s">
        <v>115</v>
      </c>
      <c r="B173" s="39">
        <v>29.55</v>
      </c>
      <c r="C173" s="39"/>
      <c r="D173" s="40"/>
      <c r="E173" s="40">
        <v>36.869999999999997</v>
      </c>
      <c r="F173" s="39">
        <v>32.1</v>
      </c>
      <c r="G173" s="39"/>
      <c r="H173" s="39">
        <v>24.99</v>
      </c>
      <c r="I173" s="39">
        <v>28.24</v>
      </c>
      <c r="J173" s="39">
        <v>26.77</v>
      </c>
      <c r="K173" s="39">
        <v>29.02</v>
      </c>
      <c r="L173" s="42"/>
      <c r="M173" s="39">
        <v>38.9</v>
      </c>
      <c r="N173" s="39"/>
      <c r="O173" s="39"/>
      <c r="P173" s="39"/>
      <c r="Q173" s="39">
        <v>35.35</v>
      </c>
      <c r="R173" s="39"/>
      <c r="S173" s="42"/>
      <c r="T173" s="39">
        <v>35.084999999999994</v>
      </c>
      <c r="U173" s="41"/>
      <c r="V173" s="39"/>
      <c r="W173" s="41"/>
      <c r="X173" s="42"/>
      <c r="Y173" s="39"/>
      <c r="Z173" s="39"/>
      <c r="AA173" s="41"/>
      <c r="AB173" s="96"/>
      <c r="AC173" s="224"/>
      <c r="AD173" s="113"/>
      <c r="AE173" s="240">
        <v>33147</v>
      </c>
      <c r="AF173" s="2" t="s">
        <v>495</v>
      </c>
    </row>
    <row r="174" spans="1:32" ht="15" customHeight="1" x14ac:dyDescent="0.3">
      <c r="A174" s="38" t="s">
        <v>114</v>
      </c>
      <c r="B174" s="39">
        <v>29.85</v>
      </c>
      <c r="C174" s="39"/>
      <c r="D174" s="40"/>
      <c r="E174" s="40">
        <v>36.99</v>
      </c>
      <c r="F174" s="39">
        <v>32.56</v>
      </c>
      <c r="G174" s="39"/>
      <c r="H174" s="39">
        <v>25.77</v>
      </c>
      <c r="I174" s="39">
        <v>28.55</v>
      </c>
      <c r="J174" s="39">
        <v>28.12</v>
      </c>
      <c r="K174" s="39">
        <v>29.95</v>
      </c>
      <c r="L174" s="42"/>
      <c r="M174" s="39">
        <v>38.96</v>
      </c>
      <c r="N174" s="39"/>
      <c r="O174" s="39"/>
      <c r="P174" s="39"/>
      <c r="Q174" s="39">
        <v>35.950000000000003</v>
      </c>
      <c r="R174" s="39"/>
      <c r="S174" s="42"/>
      <c r="T174" s="39">
        <v>35.93</v>
      </c>
      <c r="U174" s="41"/>
      <c r="V174" s="39"/>
      <c r="W174" s="41"/>
      <c r="X174" s="42"/>
      <c r="Y174" s="39"/>
      <c r="Z174" s="39"/>
      <c r="AA174" s="41"/>
      <c r="AB174" s="96"/>
      <c r="AC174" s="224"/>
      <c r="AD174" s="113"/>
      <c r="AE174" s="240">
        <v>33178</v>
      </c>
      <c r="AF174" s="2" t="s">
        <v>495</v>
      </c>
    </row>
    <row r="175" spans="1:32" ht="15" customHeight="1" x14ac:dyDescent="0.3">
      <c r="A175" s="44" t="s">
        <v>113</v>
      </c>
      <c r="B175" s="45">
        <v>31.7</v>
      </c>
      <c r="C175" s="45"/>
      <c r="D175" s="46"/>
      <c r="E175" s="46">
        <v>36.96</v>
      </c>
      <c r="F175" s="45">
        <v>32.33</v>
      </c>
      <c r="G175" s="45"/>
      <c r="H175" s="45">
        <v>26</v>
      </c>
      <c r="I175" s="45">
        <v>28.23</v>
      </c>
      <c r="J175" s="45">
        <v>27.69</v>
      </c>
      <c r="K175" s="45">
        <v>30.3</v>
      </c>
      <c r="L175" s="48"/>
      <c r="M175" s="45">
        <v>39.06</v>
      </c>
      <c r="N175" s="45"/>
      <c r="O175" s="45"/>
      <c r="P175" s="45"/>
      <c r="Q175" s="45">
        <v>35.479999999999997</v>
      </c>
      <c r="R175" s="45"/>
      <c r="S175" s="48"/>
      <c r="T175" s="45">
        <v>35.314999999999998</v>
      </c>
      <c r="U175" s="47"/>
      <c r="V175" s="45"/>
      <c r="W175" s="47"/>
      <c r="X175" s="48"/>
      <c r="Y175" s="45"/>
      <c r="Z175" s="45"/>
      <c r="AA175" s="47"/>
      <c r="AB175" s="97"/>
      <c r="AC175" s="225"/>
      <c r="AD175" s="114"/>
      <c r="AE175" s="241">
        <v>33208</v>
      </c>
      <c r="AF175" s="2" t="s">
        <v>495</v>
      </c>
    </row>
    <row r="176" spans="1:32" ht="15" customHeight="1" x14ac:dyDescent="0.3">
      <c r="A176" s="49" t="s">
        <v>112</v>
      </c>
      <c r="B176" s="50">
        <v>29.64</v>
      </c>
      <c r="C176" s="50"/>
      <c r="D176" s="51"/>
      <c r="E176" s="51">
        <v>34.380000000000003</v>
      </c>
      <c r="F176" s="50">
        <v>30.8</v>
      </c>
      <c r="G176" s="50"/>
      <c r="H176" s="50">
        <v>25.41</v>
      </c>
      <c r="I176" s="50">
        <v>27.31</v>
      </c>
      <c r="J176" s="50">
        <v>28.83</v>
      </c>
      <c r="K176" s="50">
        <v>30.33</v>
      </c>
      <c r="L176" s="53"/>
      <c r="M176" s="50">
        <v>39.11</v>
      </c>
      <c r="N176" s="50"/>
      <c r="O176" s="50"/>
      <c r="P176" s="50"/>
      <c r="Q176" s="50">
        <v>33.590000000000003</v>
      </c>
      <c r="R176" s="50"/>
      <c r="S176" s="53"/>
      <c r="T176" s="50">
        <v>31.76</v>
      </c>
      <c r="U176" s="52"/>
      <c r="V176" s="50"/>
      <c r="W176" s="52"/>
      <c r="X176" s="53"/>
      <c r="Y176" s="50"/>
      <c r="Z176" s="50"/>
      <c r="AA176" s="52"/>
      <c r="AB176" s="98"/>
      <c r="AC176" s="226"/>
      <c r="AD176" s="115"/>
      <c r="AE176" s="240">
        <v>33239</v>
      </c>
      <c r="AF176" s="2" t="s">
        <v>495</v>
      </c>
    </row>
    <row r="177" spans="1:32" ht="15" customHeight="1" x14ac:dyDescent="0.3">
      <c r="A177" s="38" t="s">
        <v>111</v>
      </c>
      <c r="B177" s="39">
        <v>30.52</v>
      </c>
      <c r="C177" s="39"/>
      <c r="D177" s="40"/>
      <c r="E177" s="40">
        <v>34.35</v>
      </c>
      <c r="F177" s="39">
        <v>30.63</v>
      </c>
      <c r="G177" s="39"/>
      <c r="H177" s="39">
        <v>24.25</v>
      </c>
      <c r="I177" s="39">
        <v>27.13</v>
      </c>
      <c r="J177" s="39">
        <v>28.72</v>
      </c>
      <c r="K177" s="39">
        <v>28.88</v>
      </c>
      <c r="L177" s="42"/>
      <c r="M177" s="39">
        <v>39.6</v>
      </c>
      <c r="N177" s="39"/>
      <c r="O177" s="39"/>
      <c r="P177" s="39"/>
      <c r="Q177" s="39">
        <v>33.32</v>
      </c>
      <c r="R177" s="39"/>
      <c r="S177" s="42"/>
      <c r="T177" s="39">
        <v>31.77</v>
      </c>
      <c r="U177" s="41"/>
      <c r="V177" s="39"/>
      <c r="W177" s="41"/>
      <c r="X177" s="42"/>
      <c r="Y177" s="39"/>
      <c r="Z177" s="39"/>
      <c r="AA177" s="41"/>
      <c r="AB177" s="96"/>
      <c r="AC177" s="224"/>
      <c r="AD177" s="113"/>
      <c r="AE177" s="240">
        <v>33270</v>
      </c>
      <c r="AF177" s="2" t="s">
        <v>495</v>
      </c>
    </row>
    <row r="178" spans="1:32" ht="15" customHeight="1" x14ac:dyDescent="0.3">
      <c r="A178" s="38" t="s">
        <v>110</v>
      </c>
      <c r="B178" s="39">
        <v>32.78</v>
      </c>
      <c r="C178" s="39"/>
      <c r="D178" s="40"/>
      <c r="E178" s="40">
        <v>34.06</v>
      </c>
      <c r="F178" s="39">
        <v>29.79</v>
      </c>
      <c r="G178" s="39"/>
      <c r="H178" s="39">
        <v>22.73</v>
      </c>
      <c r="I178" s="39">
        <v>27.53</v>
      </c>
      <c r="J178" s="39">
        <v>28.52</v>
      </c>
      <c r="K178" s="39">
        <v>28</v>
      </c>
      <c r="L178" s="42"/>
      <c r="M178" s="39">
        <v>39.26</v>
      </c>
      <c r="N178" s="39"/>
      <c r="O178" s="39"/>
      <c r="P178" s="39"/>
      <c r="Q178" s="39">
        <v>31.86</v>
      </c>
      <c r="R178" s="39"/>
      <c r="S178" s="42"/>
      <c r="T178" s="39">
        <v>31.22</v>
      </c>
      <c r="U178" s="41"/>
      <c r="V178" s="39"/>
      <c r="W178" s="41"/>
      <c r="X178" s="42"/>
      <c r="Y178" s="39"/>
      <c r="Z178" s="39"/>
      <c r="AA178" s="41"/>
      <c r="AB178" s="96"/>
      <c r="AC178" s="224"/>
      <c r="AD178" s="113"/>
      <c r="AE178" s="240">
        <v>33298</v>
      </c>
      <c r="AF178" s="2" t="s">
        <v>495</v>
      </c>
    </row>
    <row r="179" spans="1:32" ht="15" customHeight="1" x14ac:dyDescent="0.3">
      <c r="A179" s="38" t="s">
        <v>109</v>
      </c>
      <c r="B179" s="39">
        <v>24.99</v>
      </c>
      <c r="C179" s="39"/>
      <c r="D179" s="40"/>
      <c r="E179" s="40">
        <v>33.53</v>
      </c>
      <c r="F179" s="39">
        <v>28.9</v>
      </c>
      <c r="G179" s="39"/>
      <c r="H179" s="39">
        <v>22.2</v>
      </c>
      <c r="I179" s="39">
        <v>27.27</v>
      </c>
      <c r="J179" s="39">
        <v>27.85</v>
      </c>
      <c r="K179" s="39">
        <v>26.15</v>
      </c>
      <c r="L179" s="42"/>
      <c r="M179" s="39">
        <v>39.33</v>
      </c>
      <c r="N179" s="39"/>
      <c r="O179" s="39"/>
      <c r="P179" s="39"/>
      <c r="Q179" s="39">
        <v>31.15</v>
      </c>
      <c r="R179" s="39"/>
      <c r="S179" s="42"/>
      <c r="T179" s="39">
        <v>30.93</v>
      </c>
      <c r="U179" s="41"/>
      <c r="V179" s="39"/>
      <c r="W179" s="41"/>
      <c r="X179" s="42"/>
      <c r="Y179" s="39"/>
      <c r="Z179" s="39"/>
      <c r="AA179" s="41"/>
      <c r="AB179" s="96"/>
      <c r="AC179" s="224"/>
      <c r="AD179" s="113"/>
      <c r="AE179" s="240">
        <v>33329</v>
      </c>
      <c r="AF179" s="2" t="s">
        <v>495</v>
      </c>
    </row>
    <row r="180" spans="1:32" ht="15" customHeight="1" x14ac:dyDescent="0.3">
      <c r="A180" s="38" t="s">
        <v>108</v>
      </c>
      <c r="B180" s="39">
        <v>23.52</v>
      </c>
      <c r="C180" s="39"/>
      <c r="D180" s="40"/>
      <c r="E180" s="40">
        <v>33.36</v>
      </c>
      <c r="F180" s="39">
        <v>28.55</v>
      </c>
      <c r="G180" s="39"/>
      <c r="H180" s="39">
        <v>22.44</v>
      </c>
      <c r="I180" s="39">
        <v>27.07</v>
      </c>
      <c r="J180" s="39">
        <v>26.41</v>
      </c>
      <c r="K180" s="39">
        <v>23.66</v>
      </c>
      <c r="L180" s="42"/>
      <c r="M180" s="39">
        <v>39.33</v>
      </c>
      <c r="N180" s="39"/>
      <c r="O180" s="39"/>
      <c r="P180" s="39"/>
      <c r="Q180" s="39">
        <v>30.08</v>
      </c>
      <c r="R180" s="39"/>
      <c r="S180" s="42"/>
      <c r="T180" s="39">
        <v>30.97</v>
      </c>
      <c r="U180" s="41"/>
      <c r="V180" s="39"/>
      <c r="W180" s="41"/>
      <c r="X180" s="42"/>
      <c r="Y180" s="39"/>
      <c r="Z180" s="39"/>
      <c r="AA180" s="41"/>
      <c r="AB180" s="96"/>
      <c r="AC180" s="224"/>
      <c r="AD180" s="113"/>
      <c r="AE180" s="240">
        <v>33359</v>
      </c>
      <c r="AF180" s="2" t="s">
        <v>495</v>
      </c>
    </row>
    <row r="181" spans="1:32" ht="15" customHeight="1" x14ac:dyDescent="0.3">
      <c r="A181" s="38" t="s">
        <v>107</v>
      </c>
      <c r="B181" s="39">
        <v>24.02</v>
      </c>
      <c r="C181" s="39"/>
      <c r="D181" s="40"/>
      <c r="E181" s="40">
        <v>33.04</v>
      </c>
      <c r="F181" s="39">
        <v>28.39</v>
      </c>
      <c r="G181" s="39"/>
      <c r="H181" s="39">
        <v>22.51</v>
      </c>
      <c r="I181" s="39">
        <v>27.09</v>
      </c>
      <c r="J181" s="39">
        <v>25.79</v>
      </c>
      <c r="K181" s="39">
        <v>23.56</v>
      </c>
      <c r="L181" s="42"/>
      <c r="M181" s="39">
        <v>38.869999999999997</v>
      </c>
      <c r="N181" s="39"/>
      <c r="O181" s="39"/>
      <c r="P181" s="39"/>
      <c r="Q181" s="39">
        <v>29.79</v>
      </c>
      <c r="R181" s="39"/>
      <c r="S181" s="42"/>
      <c r="T181" s="39">
        <v>31.11</v>
      </c>
      <c r="U181" s="41"/>
      <c r="V181" s="39"/>
      <c r="W181" s="41"/>
      <c r="X181" s="42"/>
      <c r="Y181" s="39"/>
      <c r="Z181" s="39"/>
      <c r="AA181" s="41"/>
      <c r="AB181" s="96"/>
      <c r="AC181" s="224"/>
      <c r="AD181" s="113"/>
      <c r="AE181" s="240">
        <v>33390</v>
      </c>
      <c r="AF181" s="2" t="s">
        <v>495</v>
      </c>
    </row>
    <row r="182" spans="1:32" ht="15" customHeight="1" x14ac:dyDescent="0.3">
      <c r="A182" s="38" t="s">
        <v>106</v>
      </c>
      <c r="B182" s="39">
        <v>24.57</v>
      </c>
      <c r="C182" s="39"/>
      <c r="D182" s="40"/>
      <c r="E182" s="40">
        <v>32.549999999999997</v>
      </c>
      <c r="F182" s="39">
        <v>27.92</v>
      </c>
      <c r="G182" s="39"/>
      <c r="H182" s="39">
        <v>22.4</v>
      </c>
      <c r="I182" s="39">
        <v>27.28</v>
      </c>
      <c r="J182" s="39">
        <v>25.69</v>
      </c>
      <c r="K182" s="39">
        <v>23.69</v>
      </c>
      <c r="L182" s="42"/>
      <c r="M182" s="39">
        <v>38.69</v>
      </c>
      <c r="N182" s="39"/>
      <c r="O182" s="39"/>
      <c r="P182" s="39"/>
      <c r="Q182" s="39">
        <v>28.52</v>
      </c>
      <c r="R182" s="39"/>
      <c r="S182" s="42"/>
      <c r="T182" s="39">
        <v>30.61</v>
      </c>
      <c r="U182" s="41"/>
      <c r="V182" s="39"/>
      <c r="W182" s="41"/>
      <c r="X182" s="42"/>
      <c r="Y182" s="39"/>
      <c r="Z182" s="39"/>
      <c r="AA182" s="41"/>
      <c r="AB182" s="96"/>
      <c r="AC182" s="224"/>
      <c r="AD182" s="113"/>
      <c r="AE182" s="240">
        <v>33420</v>
      </c>
      <c r="AF182" s="2" t="s">
        <v>495</v>
      </c>
    </row>
    <row r="183" spans="1:32" ht="15" customHeight="1" x14ac:dyDescent="0.3">
      <c r="A183" s="38" t="s">
        <v>105</v>
      </c>
      <c r="B183" s="39">
        <v>24.4</v>
      </c>
      <c r="C183" s="39"/>
      <c r="D183" s="40"/>
      <c r="E183" s="40">
        <v>32.36</v>
      </c>
      <c r="F183" s="39">
        <v>28.69</v>
      </c>
      <c r="G183" s="39"/>
      <c r="H183" s="39">
        <v>22.54</v>
      </c>
      <c r="I183" s="39">
        <v>27.65</v>
      </c>
      <c r="J183" s="39">
        <v>26.25</v>
      </c>
      <c r="K183" s="39">
        <v>24.54</v>
      </c>
      <c r="L183" s="42"/>
      <c r="M183" s="39">
        <v>38.58</v>
      </c>
      <c r="N183" s="39"/>
      <c r="O183" s="39"/>
      <c r="P183" s="39"/>
      <c r="Q183" s="39">
        <v>28.88</v>
      </c>
      <c r="R183" s="39"/>
      <c r="S183" s="42"/>
      <c r="T183" s="39">
        <v>30.68</v>
      </c>
      <c r="U183" s="41"/>
      <c r="V183" s="39"/>
      <c r="W183" s="41"/>
      <c r="X183" s="42"/>
      <c r="Y183" s="39"/>
      <c r="Z183" s="39"/>
      <c r="AA183" s="41"/>
      <c r="AB183" s="96"/>
      <c r="AC183" s="224"/>
      <c r="AD183" s="113"/>
      <c r="AE183" s="240">
        <v>33451</v>
      </c>
      <c r="AF183" s="2" t="s">
        <v>495</v>
      </c>
    </row>
    <row r="184" spans="1:32" ht="15" customHeight="1" x14ac:dyDescent="0.3">
      <c r="A184" s="38" t="s">
        <v>104</v>
      </c>
      <c r="B184" s="39">
        <v>26.71</v>
      </c>
      <c r="C184" s="39"/>
      <c r="D184" s="40"/>
      <c r="E184" s="40">
        <v>33.19</v>
      </c>
      <c r="F184" s="39">
        <v>30.21</v>
      </c>
      <c r="G184" s="39"/>
      <c r="H184" s="39">
        <v>24.57</v>
      </c>
      <c r="I184" s="39">
        <v>27.92</v>
      </c>
      <c r="J184" s="39">
        <v>26.2</v>
      </c>
      <c r="K184" s="39">
        <v>26.41</v>
      </c>
      <c r="L184" s="42"/>
      <c r="M184" s="39">
        <v>37.76</v>
      </c>
      <c r="N184" s="39"/>
      <c r="O184" s="39"/>
      <c r="P184" s="39"/>
      <c r="Q184" s="39">
        <v>30</v>
      </c>
      <c r="R184" s="39"/>
      <c r="S184" s="42"/>
      <c r="T184" s="39">
        <v>32.340000000000003</v>
      </c>
      <c r="U184" s="41"/>
      <c r="V184" s="39"/>
      <c r="W184" s="41"/>
      <c r="X184" s="42"/>
      <c r="Y184" s="39"/>
      <c r="Z184" s="39"/>
      <c r="AA184" s="41"/>
      <c r="AB184" s="96"/>
      <c r="AC184" s="224"/>
      <c r="AD184" s="113"/>
      <c r="AE184" s="240">
        <v>33482</v>
      </c>
      <c r="AF184" s="2" t="s">
        <v>495</v>
      </c>
    </row>
    <row r="185" spans="1:32" ht="15" customHeight="1" x14ac:dyDescent="0.3">
      <c r="A185" s="38" t="s">
        <v>103</v>
      </c>
      <c r="B185" s="39">
        <v>31.69</v>
      </c>
      <c r="C185" s="39"/>
      <c r="D185" s="40"/>
      <c r="E185" s="40">
        <v>34.04</v>
      </c>
      <c r="F185" s="39">
        <v>29.58</v>
      </c>
      <c r="G185" s="39"/>
      <c r="H185" s="39">
        <v>26.26</v>
      </c>
      <c r="I185" s="39">
        <v>28.44</v>
      </c>
      <c r="J185" s="39">
        <v>27.08</v>
      </c>
      <c r="K185" s="39">
        <v>28.18</v>
      </c>
      <c r="L185" s="42"/>
      <c r="M185" s="39">
        <v>38.69</v>
      </c>
      <c r="N185" s="39"/>
      <c r="O185" s="39"/>
      <c r="P185" s="39"/>
      <c r="Q185" s="39">
        <v>31.81</v>
      </c>
      <c r="R185" s="39"/>
      <c r="S185" s="42"/>
      <c r="T185" s="39">
        <v>33.659999999999997</v>
      </c>
      <c r="U185" s="41"/>
      <c r="V185" s="39"/>
      <c r="W185" s="41"/>
      <c r="X185" s="42"/>
      <c r="Y185" s="39"/>
      <c r="Z185" s="39"/>
      <c r="AA185" s="41"/>
      <c r="AB185" s="96"/>
      <c r="AC185" s="224"/>
      <c r="AD185" s="113"/>
      <c r="AE185" s="240">
        <v>33512</v>
      </c>
      <c r="AF185" s="2" t="s">
        <v>495</v>
      </c>
    </row>
    <row r="186" spans="1:32" ht="15" customHeight="1" x14ac:dyDescent="0.3">
      <c r="A186" s="38" t="s">
        <v>102</v>
      </c>
      <c r="B186" s="39">
        <v>32.880000000000003</v>
      </c>
      <c r="C186" s="39"/>
      <c r="D186" s="40"/>
      <c r="E186" s="40">
        <v>34.32</v>
      </c>
      <c r="F186" s="39">
        <v>32.78</v>
      </c>
      <c r="G186" s="39"/>
      <c r="H186" s="39">
        <v>26.73</v>
      </c>
      <c r="I186" s="39">
        <v>28.02</v>
      </c>
      <c r="J186" s="39">
        <v>28.36</v>
      </c>
      <c r="K186" s="39">
        <v>29.7</v>
      </c>
      <c r="L186" s="42"/>
      <c r="M186" s="39">
        <v>37.99</v>
      </c>
      <c r="N186" s="39"/>
      <c r="O186" s="39"/>
      <c r="P186" s="39"/>
      <c r="Q186" s="39">
        <v>32.36</v>
      </c>
      <c r="R186" s="39"/>
      <c r="S186" s="42"/>
      <c r="T186" s="39">
        <v>34.31</v>
      </c>
      <c r="U186" s="41"/>
      <c r="V186" s="39"/>
      <c r="W186" s="41"/>
      <c r="X186" s="42"/>
      <c r="Y186" s="39"/>
      <c r="Z186" s="39"/>
      <c r="AA186" s="41"/>
      <c r="AB186" s="96"/>
      <c r="AC186" s="224"/>
      <c r="AD186" s="113"/>
      <c r="AE186" s="240">
        <v>33543</v>
      </c>
      <c r="AF186" s="2" t="s">
        <v>495</v>
      </c>
    </row>
    <row r="187" spans="1:32" ht="15" customHeight="1" x14ac:dyDescent="0.3">
      <c r="A187" s="44" t="s">
        <v>101</v>
      </c>
      <c r="B187" s="45">
        <v>32.79</v>
      </c>
      <c r="C187" s="45"/>
      <c r="D187" s="46"/>
      <c r="E187" s="46">
        <v>34.15</v>
      </c>
      <c r="F187" s="45">
        <v>32.53</v>
      </c>
      <c r="G187" s="45"/>
      <c r="H187" s="45">
        <v>26.5</v>
      </c>
      <c r="I187" s="45">
        <v>27.91</v>
      </c>
      <c r="J187" s="45">
        <v>28.4</v>
      </c>
      <c r="K187" s="45">
        <v>30.24</v>
      </c>
      <c r="L187" s="48"/>
      <c r="M187" s="45">
        <v>38.25</v>
      </c>
      <c r="N187" s="45"/>
      <c r="O187" s="45"/>
      <c r="P187" s="45"/>
      <c r="Q187" s="45">
        <v>32.39</v>
      </c>
      <c r="R187" s="45"/>
      <c r="S187" s="48"/>
      <c r="T187" s="45">
        <v>33.97</v>
      </c>
      <c r="U187" s="47"/>
      <c r="V187" s="45"/>
      <c r="W187" s="47"/>
      <c r="X187" s="48"/>
      <c r="Y187" s="45"/>
      <c r="Z187" s="45"/>
      <c r="AA187" s="47"/>
      <c r="AB187" s="97"/>
      <c r="AC187" s="225"/>
      <c r="AD187" s="114"/>
      <c r="AE187" s="241">
        <v>33573</v>
      </c>
      <c r="AF187" s="2" t="s">
        <v>495</v>
      </c>
    </row>
    <row r="188" spans="1:32" ht="15" customHeight="1" x14ac:dyDescent="0.3">
      <c r="A188" s="49" t="s">
        <v>100</v>
      </c>
      <c r="B188" s="50">
        <v>30.88</v>
      </c>
      <c r="C188" s="50"/>
      <c r="D188" s="51"/>
      <c r="E188" s="51">
        <v>34.18</v>
      </c>
      <c r="F188" s="50">
        <v>31.26</v>
      </c>
      <c r="G188" s="50"/>
      <c r="H188" s="50">
        <v>26.19</v>
      </c>
      <c r="I188" s="50">
        <v>28.94</v>
      </c>
      <c r="J188" s="50">
        <v>29.13</v>
      </c>
      <c r="K188" s="50">
        <v>30.14</v>
      </c>
      <c r="L188" s="53"/>
      <c r="M188" s="50">
        <v>38.85</v>
      </c>
      <c r="N188" s="50"/>
      <c r="O188" s="50"/>
      <c r="P188" s="50"/>
      <c r="Q188" s="50">
        <v>31.81</v>
      </c>
      <c r="R188" s="50"/>
      <c r="S188" s="53"/>
      <c r="T188" s="50">
        <v>32.96</v>
      </c>
      <c r="U188" s="52"/>
      <c r="V188" s="50"/>
      <c r="W188" s="52"/>
      <c r="X188" s="53"/>
      <c r="Y188" s="50"/>
      <c r="Z188" s="50"/>
      <c r="AA188" s="52"/>
      <c r="AB188" s="98"/>
      <c r="AC188" s="226"/>
      <c r="AD188" s="115"/>
      <c r="AE188" s="240">
        <v>33604</v>
      </c>
      <c r="AF188" s="2" t="s">
        <v>495</v>
      </c>
    </row>
    <row r="189" spans="1:32" ht="15" customHeight="1" x14ac:dyDescent="0.3">
      <c r="A189" s="38" t="s">
        <v>99</v>
      </c>
      <c r="B189" s="39">
        <v>30.3</v>
      </c>
      <c r="C189" s="39"/>
      <c r="D189" s="40"/>
      <c r="E189" s="40">
        <v>33.76</v>
      </c>
      <c r="F189" s="39">
        <v>30.56</v>
      </c>
      <c r="G189" s="39"/>
      <c r="H189" s="39">
        <v>25.12</v>
      </c>
      <c r="I189" s="39">
        <v>29.28</v>
      </c>
      <c r="J189" s="39">
        <v>29.03</v>
      </c>
      <c r="K189" s="39">
        <v>29.14</v>
      </c>
      <c r="L189" s="42"/>
      <c r="M189" s="39">
        <v>38.85</v>
      </c>
      <c r="N189" s="39"/>
      <c r="O189" s="39"/>
      <c r="P189" s="39"/>
      <c r="Q189" s="39">
        <v>31.4</v>
      </c>
      <c r="R189" s="39"/>
      <c r="S189" s="42"/>
      <c r="T189" s="39">
        <v>32.32</v>
      </c>
      <c r="U189" s="41"/>
      <c r="V189" s="39"/>
      <c r="W189" s="41"/>
      <c r="X189" s="42"/>
      <c r="Y189" s="39"/>
      <c r="Z189" s="39"/>
      <c r="AA189" s="41"/>
      <c r="AB189" s="96"/>
      <c r="AC189" s="224"/>
      <c r="AD189" s="113"/>
      <c r="AE189" s="240">
        <v>33635</v>
      </c>
      <c r="AF189" s="2" t="s">
        <v>495</v>
      </c>
    </row>
    <row r="190" spans="1:32" ht="15" customHeight="1" x14ac:dyDescent="0.3">
      <c r="A190" s="38" t="s">
        <v>98</v>
      </c>
      <c r="B190" s="39">
        <v>28.37</v>
      </c>
      <c r="C190" s="39"/>
      <c r="D190" s="40"/>
      <c r="E190" s="40">
        <v>33.94</v>
      </c>
      <c r="F190" s="39">
        <v>30.09</v>
      </c>
      <c r="G190" s="39"/>
      <c r="H190" s="39">
        <v>24.36</v>
      </c>
      <c r="I190" s="39">
        <v>31.32</v>
      </c>
      <c r="J190" s="39">
        <v>28.49</v>
      </c>
      <c r="K190" s="39">
        <v>28.11</v>
      </c>
      <c r="L190" s="42"/>
      <c r="M190" s="39">
        <v>38.83</v>
      </c>
      <c r="N190" s="39"/>
      <c r="O190" s="39"/>
      <c r="P190" s="39"/>
      <c r="Q190" s="39">
        <v>30.86</v>
      </c>
      <c r="R190" s="39"/>
      <c r="S190" s="42"/>
      <c r="T190" s="39">
        <v>32.01</v>
      </c>
      <c r="U190" s="41"/>
      <c r="V190" s="39"/>
      <c r="W190" s="41"/>
      <c r="X190" s="42"/>
      <c r="Y190" s="39"/>
      <c r="Z190" s="39"/>
      <c r="AA190" s="41"/>
      <c r="AB190" s="96"/>
      <c r="AC190" s="224"/>
      <c r="AD190" s="113"/>
      <c r="AE190" s="240">
        <v>33664</v>
      </c>
      <c r="AF190" s="2" t="s">
        <v>495</v>
      </c>
    </row>
    <row r="191" spans="1:32" ht="15" customHeight="1" x14ac:dyDescent="0.3">
      <c r="A191" s="38" t="s">
        <v>97</v>
      </c>
      <c r="B191" s="39">
        <v>25.66</v>
      </c>
      <c r="C191" s="39"/>
      <c r="D191" s="40"/>
      <c r="E191" s="40">
        <v>33.659999999999997</v>
      </c>
      <c r="F191" s="39">
        <v>29.63</v>
      </c>
      <c r="G191" s="39"/>
      <c r="H191" s="39">
        <v>24.06</v>
      </c>
      <c r="I191" s="39">
        <v>30.38</v>
      </c>
      <c r="J191" s="39">
        <v>27.92</v>
      </c>
      <c r="K191" s="39">
        <v>26.27</v>
      </c>
      <c r="L191" s="42"/>
      <c r="M191" s="39">
        <v>38.75</v>
      </c>
      <c r="N191" s="39"/>
      <c r="O191" s="39"/>
      <c r="P191" s="39"/>
      <c r="Q191" s="39">
        <v>29.88</v>
      </c>
      <c r="R191" s="39"/>
      <c r="S191" s="42"/>
      <c r="T191" s="39">
        <v>32.1</v>
      </c>
      <c r="U191" s="41"/>
      <c r="V191" s="39"/>
      <c r="W191" s="41"/>
      <c r="X191" s="42"/>
      <c r="Y191" s="39"/>
      <c r="Z191" s="39"/>
      <c r="AA191" s="41"/>
      <c r="AB191" s="96"/>
      <c r="AC191" s="224"/>
      <c r="AD191" s="113"/>
      <c r="AE191" s="240">
        <v>33695</v>
      </c>
      <c r="AF191" s="2" t="s">
        <v>495</v>
      </c>
    </row>
    <row r="192" spans="1:32" ht="15" customHeight="1" x14ac:dyDescent="0.3">
      <c r="A192" s="38" t="s">
        <v>96</v>
      </c>
      <c r="B192" s="39">
        <v>25.16</v>
      </c>
      <c r="C192" s="39"/>
      <c r="D192" s="40"/>
      <c r="E192" s="40">
        <v>32.67</v>
      </c>
      <c r="F192" s="39">
        <v>29.2</v>
      </c>
      <c r="G192" s="39"/>
      <c r="H192" s="39">
        <v>24.17</v>
      </c>
      <c r="I192" s="39">
        <v>30.49</v>
      </c>
      <c r="J192" s="39">
        <v>27</v>
      </c>
      <c r="K192" s="39">
        <v>24.45</v>
      </c>
      <c r="L192" s="42"/>
      <c r="M192" s="39">
        <v>38.65</v>
      </c>
      <c r="N192" s="39"/>
      <c r="O192" s="39"/>
      <c r="P192" s="39"/>
      <c r="Q192" s="39">
        <v>28.85</v>
      </c>
      <c r="R192" s="39"/>
      <c r="S192" s="42"/>
      <c r="T192" s="39">
        <v>31.75</v>
      </c>
      <c r="U192" s="41"/>
      <c r="V192" s="39"/>
      <c r="W192" s="41"/>
      <c r="X192" s="42"/>
      <c r="Y192" s="39"/>
      <c r="Z192" s="39"/>
      <c r="AA192" s="41"/>
      <c r="AB192" s="96"/>
      <c r="AC192" s="224"/>
      <c r="AD192" s="113"/>
      <c r="AE192" s="240">
        <v>33725</v>
      </c>
      <c r="AF192" s="2" t="s">
        <v>495</v>
      </c>
    </row>
    <row r="193" spans="1:32" ht="15" customHeight="1" x14ac:dyDescent="0.3">
      <c r="A193" s="38" t="s">
        <v>95</v>
      </c>
      <c r="B193" s="39">
        <v>24.61</v>
      </c>
      <c r="C193" s="39"/>
      <c r="D193" s="40"/>
      <c r="E193" s="40">
        <v>31.36</v>
      </c>
      <c r="F193" s="39">
        <v>28.88</v>
      </c>
      <c r="G193" s="39"/>
      <c r="H193" s="39">
        <v>24.38</v>
      </c>
      <c r="I193" s="39">
        <v>29.36</v>
      </c>
      <c r="J193" s="39">
        <v>25.16</v>
      </c>
      <c r="K193" s="39">
        <v>24.2</v>
      </c>
      <c r="L193" s="42"/>
      <c r="M193" s="39">
        <v>38.54</v>
      </c>
      <c r="N193" s="39"/>
      <c r="O193" s="39"/>
      <c r="P193" s="39"/>
      <c r="Q193" s="39">
        <v>28.22</v>
      </c>
      <c r="R193" s="39"/>
      <c r="S193" s="42"/>
      <c r="T193" s="39">
        <v>31.34</v>
      </c>
      <c r="U193" s="41"/>
      <c r="V193" s="39"/>
      <c r="W193" s="41"/>
      <c r="X193" s="42"/>
      <c r="Y193" s="39"/>
      <c r="Z193" s="39"/>
      <c r="AA193" s="41"/>
      <c r="AB193" s="96"/>
      <c r="AC193" s="224"/>
      <c r="AD193" s="113"/>
      <c r="AE193" s="240">
        <v>33756</v>
      </c>
      <c r="AF193" s="2" t="s">
        <v>495</v>
      </c>
    </row>
    <row r="194" spans="1:32" ht="15" customHeight="1" x14ac:dyDescent="0.3">
      <c r="A194" s="38" t="s">
        <v>94</v>
      </c>
      <c r="B194" s="39">
        <v>24.53</v>
      </c>
      <c r="C194" s="39"/>
      <c r="D194" s="40"/>
      <c r="E194" s="40">
        <v>31.36</v>
      </c>
      <c r="F194" s="39">
        <v>29.31</v>
      </c>
      <c r="G194" s="39"/>
      <c r="H194" s="39">
        <v>24.54</v>
      </c>
      <c r="I194" s="39">
        <v>29.76</v>
      </c>
      <c r="J194" s="39">
        <v>24.84</v>
      </c>
      <c r="K194" s="39">
        <v>24.34</v>
      </c>
      <c r="L194" s="42"/>
      <c r="M194" s="39">
        <v>38.69</v>
      </c>
      <c r="N194" s="39"/>
      <c r="O194" s="39"/>
      <c r="P194" s="39"/>
      <c r="Q194" s="39">
        <v>28</v>
      </c>
      <c r="R194" s="39"/>
      <c r="S194" s="42"/>
      <c r="T194" s="39">
        <v>31.68</v>
      </c>
      <c r="U194" s="41"/>
      <c r="V194" s="39"/>
      <c r="W194" s="41"/>
      <c r="X194" s="42"/>
      <c r="Y194" s="39"/>
      <c r="Z194" s="39"/>
      <c r="AA194" s="41"/>
      <c r="AB194" s="96"/>
      <c r="AC194" s="224"/>
      <c r="AD194" s="113"/>
      <c r="AE194" s="240">
        <v>33786</v>
      </c>
      <c r="AF194" s="2" t="s">
        <v>495</v>
      </c>
    </row>
    <row r="195" spans="1:32" ht="15" customHeight="1" x14ac:dyDescent="0.3">
      <c r="A195" s="38" t="s">
        <v>93</v>
      </c>
      <c r="B195" s="39">
        <v>25.29</v>
      </c>
      <c r="C195" s="39"/>
      <c r="D195" s="40"/>
      <c r="E195" s="40">
        <v>31.81</v>
      </c>
      <c r="F195" s="39">
        <v>30.23</v>
      </c>
      <c r="G195" s="39"/>
      <c r="H195" s="39">
        <v>25.15</v>
      </c>
      <c r="I195" s="39">
        <v>30.03</v>
      </c>
      <c r="J195" s="39">
        <v>25.22</v>
      </c>
      <c r="K195" s="39">
        <v>25.85</v>
      </c>
      <c r="L195" s="42"/>
      <c r="M195" s="39">
        <v>38.81</v>
      </c>
      <c r="N195" s="39"/>
      <c r="O195" s="39"/>
      <c r="P195" s="39"/>
      <c r="Q195" s="39">
        <v>28.46</v>
      </c>
      <c r="R195" s="39"/>
      <c r="S195" s="42"/>
      <c r="T195" s="39">
        <v>32.24</v>
      </c>
      <c r="U195" s="41"/>
      <c r="V195" s="39"/>
      <c r="W195" s="41"/>
      <c r="X195" s="42"/>
      <c r="Y195" s="39"/>
      <c r="Z195" s="39"/>
      <c r="AA195" s="41"/>
      <c r="AB195" s="96"/>
      <c r="AC195" s="224"/>
      <c r="AD195" s="113"/>
      <c r="AE195" s="240">
        <v>33817</v>
      </c>
      <c r="AF195" s="2" t="s">
        <v>495</v>
      </c>
    </row>
    <row r="196" spans="1:32" ht="15" customHeight="1" x14ac:dyDescent="0.3">
      <c r="A196" s="38" t="s">
        <v>92</v>
      </c>
      <c r="B196" s="39">
        <v>30</v>
      </c>
      <c r="C196" s="39"/>
      <c r="D196" s="40"/>
      <c r="E196" s="40">
        <v>33.24</v>
      </c>
      <c r="F196" s="39">
        <v>32.159999999999997</v>
      </c>
      <c r="G196" s="39"/>
      <c r="H196" s="39">
        <v>27.05</v>
      </c>
      <c r="I196" s="39">
        <v>30.21</v>
      </c>
      <c r="J196" s="39">
        <v>24.74</v>
      </c>
      <c r="K196" s="39">
        <v>28.44</v>
      </c>
      <c r="L196" s="42"/>
      <c r="M196" s="39">
        <v>37.25</v>
      </c>
      <c r="N196" s="39"/>
      <c r="O196" s="39"/>
      <c r="P196" s="39"/>
      <c r="Q196" s="39">
        <v>30.87</v>
      </c>
      <c r="R196" s="39"/>
      <c r="S196" s="42"/>
      <c r="T196" s="39">
        <v>33.94</v>
      </c>
      <c r="U196" s="41"/>
      <c r="V196" s="39"/>
      <c r="W196" s="41"/>
      <c r="X196" s="42"/>
      <c r="Y196" s="39"/>
      <c r="Z196" s="39"/>
      <c r="AA196" s="41"/>
      <c r="AB196" s="96"/>
      <c r="AC196" s="224"/>
      <c r="AD196" s="113"/>
      <c r="AE196" s="240">
        <v>33848</v>
      </c>
      <c r="AF196" s="2" t="s">
        <v>495</v>
      </c>
    </row>
    <row r="197" spans="1:32" ht="15" customHeight="1" x14ac:dyDescent="0.3">
      <c r="A197" s="38" t="s">
        <v>91</v>
      </c>
      <c r="B197" s="39">
        <v>34.270000000000003</v>
      </c>
      <c r="C197" s="39"/>
      <c r="D197" s="40"/>
      <c r="E197" s="40">
        <v>35.54</v>
      </c>
      <c r="F197" s="39">
        <v>33.47</v>
      </c>
      <c r="G197" s="39"/>
      <c r="H197" s="39">
        <v>28.56</v>
      </c>
      <c r="I197" s="39">
        <v>30.05</v>
      </c>
      <c r="J197" s="39">
        <v>25.04</v>
      </c>
      <c r="K197" s="39">
        <v>30.89</v>
      </c>
      <c r="L197" s="42"/>
      <c r="M197" s="39">
        <v>34.78</v>
      </c>
      <c r="N197" s="39"/>
      <c r="O197" s="39"/>
      <c r="P197" s="39"/>
      <c r="Q197" s="39">
        <v>33.06</v>
      </c>
      <c r="R197" s="39"/>
      <c r="S197" s="42"/>
      <c r="T197" s="39">
        <v>35.36</v>
      </c>
      <c r="U197" s="41"/>
      <c r="V197" s="39"/>
      <c r="W197" s="41"/>
      <c r="X197" s="42"/>
      <c r="Y197" s="39"/>
      <c r="Z197" s="39"/>
      <c r="AA197" s="41"/>
      <c r="AB197" s="96"/>
      <c r="AC197" s="224"/>
      <c r="AD197" s="113"/>
      <c r="AE197" s="240">
        <v>33878</v>
      </c>
      <c r="AF197" s="2" t="s">
        <v>495</v>
      </c>
    </row>
    <row r="198" spans="1:32" ht="15" customHeight="1" x14ac:dyDescent="0.3">
      <c r="A198" s="38" t="s">
        <v>90</v>
      </c>
      <c r="B198" s="39">
        <v>34.44</v>
      </c>
      <c r="C198" s="39"/>
      <c r="D198" s="40"/>
      <c r="E198" s="40">
        <v>36.04</v>
      </c>
      <c r="F198" s="39">
        <v>33.57</v>
      </c>
      <c r="G198" s="39"/>
      <c r="H198" s="39">
        <v>29.4</v>
      </c>
      <c r="I198" s="39">
        <v>30.02</v>
      </c>
      <c r="J198" s="39">
        <v>25.72</v>
      </c>
      <c r="K198" s="39">
        <v>31.84</v>
      </c>
      <c r="L198" s="42"/>
      <c r="M198" s="39">
        <v>35.78</v>
      </c>
      <c r="N198" s="39"/>
      <c r="O198" s="39"/>
      <c r="P198" s="39"/>
      <c r="Q198" s="39">
        <v>33.450000000000003</v>
      </c>
      <c r="R198" s="39"/>
      <c r="S198" s="42"/>
      <c r="T198" s="39">
        <v>35.81</v>
      </c>
      <c r="U198" s="41"/>
      <c r="V198" s="39"/>
      <c r="W198" s="41"/>
      <c r="X198" s="42"/>
      <c r="Y198" s="39"/>
      <c r="Z198" s="39"/>
      <c r="AA198" s="41"/>
      <c r="AB198" s="96"/>
      <c r="AC198" s="224"/>
      <c r="AD198" s="113"/>
      <c r="AE198" s="240">
        <v>33909</v>
      </c>
      <c r="AF198" s="2" t="s">
        <v>495</v>
      </c>
    </row>
    <row r="199" spans="1:32" ht="15" customHeight="1" x14ac:dyDescent="0.3">
      <c r="A199" s="44" t="s">
        <v>89</v>
      </c>
      <c r="B199" s="45">
        <v>34.19</v>
      </c>
      <c r="C199" s="45"/>
      <c r="D199" s="46"/>
      <c r="E199" s="46">
        <v>35.56</v>
      </c>
      <c r="F199" s="45">
        <v>33.200000000000003</v>
      </c>
      <c r="G199" s="45"/>
      <c r="H199" s="45">
        <v>28.4</v>
      </c>
      <c r="I199" s="45">
        <v>29.61</v>
      </c>
      <c r="J199" s="45">
        <v>26.69</v>
      </c>
      <c r="K199" s="45">
        <v>31.62</v>
      </c>
      <c r="L199" s="48"/>
      <c r="M199" s="45">
        <v>34.32</v>
      </c>
      <c r="N199" s="45"/>
      <c r="O199" s="45"/>
      <c r="P199" s="45"/>
      <c r="Q199" s="45">
        <v>33.049999999999997</v>
      </c>
      <c r="R199" s="45"/>
      <c r="S199" s="48"/>
      <c r="T199" s="45">
        <v>35.450000000000003</v>
      </c>
      <c r="U199" s="47"/>
      <c r="V199" s="45"/>
      <c r="W199" s="47"/>
      <c r="X199" s="48"/>
      <c r="Y199" s="45"/>
      <c r="Z199" s="45"/>
      <c r="AA199" s="47"/>
      <c r="AB199" s="97"/>
      <c r="AC199" s="225"/>
      <c r="AD199" s="114"/>
      <c r="AE199" s="241">
        <v>33939</v>
      </c>
      <c r="AF199" s="2" t="s">
        <v>495</v>
      </c>
    </row>
    <row r="200" spans="1:32" ht="15" customHeight="1" x14ac:dyDescent="0.3">
      <c r="A200" s="49" t="s">
        <v>88</v>
      </c>
      <c r="B200" s="50">
        <v>33.659999999999997</v>
      </c>
      <c r="C200" s="50"/>
      <c r="D200" s="51"/>
      <c r="E200" s="51">
        <v>34.270000000000003</v>
      </c>
      <c r="F200" s="50">
        <v>31.9</v>
      </c>
      <c r="G200" s="50"/>
      <c r="H200" s="50">
        <v>28.41</v>
      </c>
      <c r="I200" s="50">
        <v>30.03</v>
      </c>
      <c r="J200" s="50">
        <v>27.16</v>
      </c>
      <c r="K200" s="50">
        <v>31.19</v>
      </c>
      <c r="L200" s="53"/>
      <c r="M200" s="50">
        <v>33.159999999999997</v>
      </c>
      <c r="N200" s="50"/>
      <c r="O200" s="50"/>
      <c r="P200" s="50"/>
      <c r="Q200" s="50">
        <v>32.35</v>
      </c>
      <c r="R200" s="50"/>
      <c r="S200" s="53"/>
      <c r="T200" s="50">
        <v>34.950000000000003</v>
      </c>
      <c r="U200" s="52"/>
      <c r="V200" s="50"/>
      <c r="W200" s="52"/>
      <c r="X200" s="53"/>
      <c r="Y200" s="50"/>
      <c r="Z200" s="50"/>
      <c r="AA200" s="52"/>
      <c r="AB200" s="98"/>
      <c r="AC200" s="226"/>
      <c r="AD200" s="115"/>
      <c r="AE200" s="240">
        <v>33970</v>
      </c>
      <c r="AF200" s="2" t="s">
        <v>495</v>
      </c>
    </row>
    <row r="201" spans="1:32" ht="15" customHeight="1" x14ac:dyDescent="0.3">
      <c r="A201" s="38" t="s">
        <v>87</v>
      </c>
      <c r="B201" s="39">
        <v>33.909999999999997</v>
      </c>
      <c r="C201" s="39"/>
      <c r="D201" s="40"/>
      <c r="E201" s="40">
        <v>34.54</v>
      </c>
      <c r="F201" s="39">
        <v>31.98</v>
      </c>
      <c r="G201" s="39"/>
      <c r="H201" s="39">
        <v>25.41</v>
      </c>
      <c r="I201" s="39">
        <v>30.75</v>
      </c>
      <c r="J201" s="39">
        <v>27.35</v>
      </c>
      <c r="K201" s="39">
        <v>30.87</v>
      </c>
      <c r="L201" s="42"/>
      <c r="M201" s="39">
        <v>32.75</v>
      </c>
      <c r="N201" s="39"/>
      <c r="O201" s="39"/>
      <c r="P201" s="39"/>
      <c r="Q201" s="39">
        <v>32.56</v>
      </c>
      <c r="R201" s="39"/>
      <c r="S201" s="42"/>
      <c r="T201" s="39">
        <v>35.06</v>
      </c>
      <c r="U201" s="41"/>
      <c r="V201" s="39"/>
      <c r="W201" s="41"/>
      <c r="X201" s="42"/>
      <c r="Y201" s="39"/>
      <c r="Z201" s="39"/>
      <c r="AA201" s="41"/>
      <c r="AB201" s="96"/>
      <c r="AC201" s="224"/>
      <c r="AD201" s="113"/>
      <c r="AE201" s="240">
        <v>34001</v>
      </c>
      <c r="AF201" s="2" t="s">
        <v>495</v>
      </c>
    </row>
    <row r="202" spans="1:32" ht="15" customHeight="1" x14ac:dyDescent="0.3">
      <c r="A202" s="38" t="s">
        <v>86</v>
      </c>
      <c r="B202" s="39">
        <v>30.22</v>
      </c>
      <c r="C202" s="39"/>
      <c r="D202" s="40"/>
      <c r="E202" s="40">
        <v>34.619999999999997</v>
      </c>
      <c r="F202" s="39">
        <v>31.74</v>
      </c>
      <c r="G202" s="39"/>
      <c r="H202" s="39">
        <v>25.47</v>
      </c>
      <c r="I202" s="39">
        <v>30.25</v>
      </c>
      <c r="J202" s="39">
        <v>27.5</v>
      </c>
      <c r="K202" s="39">
        <v>29.96</v>
      </c>
      <c r="L202" s="42"/>
      <c r="M202" s="39">
        <v>32.08</v>
      </c>
      <c r="N202" s="39"/>
      <c r="O202" s="39"/>
      <c r="P202" s="39"/>
      <c r="Q202" s="39">
        <v>31.79</v>
      </c>
      <c r="R202" s="39"/>
      <c r="S202" s="42"/>
      <c r="T202" s="39">
        <v>35.01</v>
      </c>
      <c r="U202" s="41"/>
      <c r="V202" s="39"/>
      <c r="W202" s="41"/>
      <c r="X202" s="42"/>
      <c r="Y202" s="39"/>
      <c r="Z202" s="39"/>
      <c r="AA202" s="41"/>
      <c r="AB202" s="96"/>
      <c r="AC202" s="224"/>
      <c r="AD202" s="113"/>
      <c r="AE202" s="240">
        <v>34029</v>
      </c>
      <c r="AF202" s="2" t="s">
        <v>495</v>
      </c>
    </row>
    <row r="203" spans="1:32" ht="15" customHeight="1" x14ac:dyDescent="0.3">
      <c r="A203" s="38" t="s">
        <v>85</v>
      </c>
      <c r="B203" s="39">
        <v>28.53</v>
      </c>
      <c r="C203" s="39"/>
      <c r="D203" s="40"/>
      <c r="E203" s="40">
        <v>34.24</v>
      </c>
      <c r="F203" s="39">
        <v>30.88</v>
      </c>
      <c r="G203" s="39"/>
      <c r="H203" s="39">
        <v>25.11</v>
      </c>
      <c r="I203" s="39">
        <v>30.44</v>
      </c>
      <c r="J203" s="39">
        <v>27.43</v>
      </c>
      <c r="K203" s="39">
        <v>28.39</v>
      </c>
      <c r="L203" s="42"/>
      <c r="M203" s="39">
        <v>32.69</v>
      </c>
      <c r="N203" s="39"/>
      <c r="O203" s="39"/>
      <c r="P203" s="39"/>
      <c r="Q203" s="39">
        <v>30.97</v>
      </c>
      <c r="R203" s="39"/>
      <c r="S203" s="42"/>
      <c r="T203" s="39">
        <v>34.409999999999997</v>
      </c>
      <c r="U203" s="41"/>
      <c r="V203" s="39"/>
      <c r="W203" s="41"/>
      <c r="X203" s="42"/>
      <c r="Y203" s="39"/>
      <c r="Z203" s="39"/>
      <c r="AA203" s="41"/>
      <c r="AB203" s="96"/>
      <c r="AC203" s="224"/>
      <c r="AD203" s="113"/>
      <c r="AE203" s="240">
        <v>34060</v>
      </c>
      <c r="AF203" s="2" t="s">
        <v>495</v>
      </c>
    </row>
    <row r="204" spans="1:32" ht="15" customHeight="1" x14ac:dyDescent="0.3">
      <c r="A204" s="38" t="s">
        <v>84</v>
      </c>
      <c r="B204" s="39">
        <v>25.95</v>
      </c>
      <c r="C204" s="39"/>
      <c r="D204" s="40"/>
      <c r="E204" s="40">
        <v>33.369999999999997</v>
      </c>
      <c r="F204" s="39">
        <v>30.05</v>
      </c>
      <c r="G204" s="39"/>
      <c r="H204" s="39">
        <v>25.31</v>
      </c>
      <c r="I204" s="39">
        <v>30.28</v>
      </c>
      <c r="J204" s="39">
        <v>25.49</v>
      </c>
      <c r="K204" s="39">
        <v>26.78</v>
      </c>
      <c r="L204" s="42"/>
      <c r="M204" s="39">
        <v>34.25</v>
      </c>
      <c r="N204" s="39"/>
      <c r="O204" s="39"/>
      <c r="P204" s="39"/>
      <c r="Q204" s="39">
        <v>30.11</v>
      </c>
      <c r="R204" s="39"/>
      <c r="S204" s="42"/>
      <c r="T204" s="39">
        <v>33.69</v>
      </c>
      <c r="U204" s="41"/>
      <c r="V204" s="39"/>
      <c r="W204" s="41"/>
      <c r="X204" s="42"/>
      <c r="Y204" s="39"/>
      <c r="Z204" s="39"/>
      <c r="AA204" s="41"/>
      <c r="AB204" s="96"/>
      <c r="AC204" s="224"/>
      <c r="AD204" s="113"/>
      <c r="AE204" s="240">
        <v>34090</v>
      </c>
      <c r="AF204" s="2" t="s">
        <v>495</v>
      </c>
    </row>
    <row r="205" spans="1:32" ht="15" customHeight="1" x14ac:dyDescent="0.3">
      <c r="A205" s="38" t="s">
        <v>83</v>
      </c>
      <c r="B205" s="39">
        <v>26.24</v>
      </c>
      <c r="C205" s="39"/>
      <c r="D205" s="40"/>
      <c r="E205" s="40">
        <v>33.369999999999997</v>
      </c>
      <c r="F205" s="39">
        <v>29.59</v>
      </c>
      <c r="G205" s="39"/>
      <c r="H205" s="39">
        <v>25.53</v>
      </c>
      <c r="I205" s="39">
        <v>30.56</v>
      </c>
      <c r="J205" s="39">
        <v>24.3</v>
      </c>
      <c r="K205" s="39">
        <v>26.79</v>
      </c>
      <c r="L205" s="42"/>
      <c r="M205" s="39">
        <v>34.71</v>
      </c>
      <c r="N205" s="39"/>
      <c r="O205" s="39"/>
      <c r="P205" s="39"/>
      <c r="Q205" s="39">
        <v>29.13</v>
      </c>
      <c r="R205" s="39"/>
      <c r="S205" s="42"/>
      <c r="T205" s="39">
        <v>32.96</v>
      </c>
      <c r="U205" s="41"/>
      <c r="V205" s="39"/>
      <c r="W205" s="41"/>
      <c r="X205" s="42"/>
      <c r="Y205" s="39"/>
      <c r="Z205" s="39"/>
      <c r="AA205" s="41"/>
      <c r="AB205" s="96"/>
      <c r="AC205" s="224"/>
      <c r="AD205" s="113"/>
      <c r="AE205" s="240">
        <v>34121</v>
      </c>
      <c r="AF205" s="2" t="s">
        <v>495</v>
      </c>
    </row>
    <row r="206" spans="1:32" ht="15" customHeight="1" x14ac:dyDescent="0.3">
      <c r="A206" s="38" t="s">
        <v>82</v>
      </c>
      <c r="B206" s="39">
        <v>26.28</v>
      </c>
      <c r="C206" s="39"/>
      <c r="D206" s="40"/>
      <c r="E206" s="40">
        <v>33.01</v>
      </c>
      <c r="F206" s="39">
        <v>29.65</v>
      </c>
      <c r="G206" s="39"/>
      <c r="H206" s="39">
        <v>25.45</v>
      </c>
      <c r="I206" s="39">
        <v>30.23</v>
      </c>
      <c r="J206" s="39">
        <v>23.24</v>
      </c>
      <c r="K206" s="39">
        <v>26.96</v>
      </c>
      <c r="L206" s="42"/>
      <c r="M206" s="39">
        <v>34.15</v>
      </c>
      <c r="N206" s="39"/>
      <c r="O206" s="39"/>
      <c r="P206" s="39"/>
      <c r="Q206" s="39">
        <v>28.76</v>
      </c>
      <c r="R206" s="39"/>
      <c r="S206" s="42"/>
      <c r="T206" s="39">
        <v>32.75</v>
      </c>
      <c r="U206" s="41"/>
      <c r="V206" s="39"/>
      <c r="W206" s="41"/>
      <c r="X206" s="42"/>
      <c r="Y206" s="39"/>
      <c r="Z206" s="39"/>
      <c r="AA206" s="41"/>
      <c r="AB206" s="96"/>
      <c r="AC206" s="224"/>
      <c r="AD206" s="113"/>
      <c r="AE206" s="240">
        <v>34151</v>
      </c>
      <c r="AF206" s="2" t="s">
        <v>495</v>
      </c>
    </row>
    <row r="207" spans="1:32" ht="15" customHeight="1" x14ac:dyDescent="0.3">
      <c r="A207" s="38" t="s">
        <v>81</v>
      </c>
      <c r="B207" s="39">
        <v>26.74</v>
      </c>
      <c r="C207" s="39"/>
      <c r="D207" s="40"/>
      <c r="E207" s="40">
        <v>32.03</v>
      </c>
      <c r="F207" s="39">
        <v>30.62</v>
      </c>
      <c r="G207" s="39"/>
      <c r="H207" s="39">
        <v>25.57</v>
      </c>
      <c r="I207" s="39">
        <v>29.93</v>
      </c>
      <c r="J207" s="39">
        <v>22.91</v>
      </c>
      <c r="K207" s="39">
        <v>28.25</v>
      </c>
      <c r="L207" s="42"/>
      <c r="M207" s="39">
        <v>33.83</v>
      </c>
      <c r="N207" s="39"/>
      <c r="O207" s="39"/>
      <c r="P207" s="39"/>
      <c r="Q207" s="39">
        <v>29.12</v>
      </c>
      <c r="R207" s="39"/>
      <c r="S207" s="42"/>
      <c r="T207" s="39">
        <v>33.590000000000003</v>
      </c>
      <c r="U207" s="41"/>
      <c r="V207" s="39"/>
      <c r="W207" s="41"/>
      <c r="X207" s="42"/>
      <c r="Y207" s="39"/>
      <c r="Z207" s="39"/>
      <c r="AA207" s="41"/>
      <c r="AB207" s="96"/>
      <c r="AC207" s="224"/>
      <c r="AD207" s="113"/>
      <c r="AE207" s="240">
        <v>34182</v>
      </c>
      <c r="AF207" s="2" t="s">
        <v>495</v>
      </c>
    </row>
    <row r="208" spans="1:32" ht="15" customHeight="1" x14ac:dyDescent="0.3">
      <c r="A208" s="38" t="s">
        <v>80</v>
      </c>
      <c r="B208" s="39">
        <v>28.84</v>
      </c>
      <c r="C208" s="39"/>
      <c r="D208" s="40"/>
      <c r="E208" s="40">
        <v>32.79</v>
      </c>
      <c r="F208" s="39">
        <v>31.96</v>
      </c>
      <c r="G208" s="39"/>
      <c r="H208" s="39">
        <v>26.92</v>
      </c>
      <c r="I208" s="39">
        <v>29.43</v>
      </c>
      <c r="J208" s="39">
        <v>24.13</v>
      </c>
      <c r="K208" s="39">
        <v>30.69</v>
      </c>
      <c r="L208" s="42"/>
      <c r="M208" s="39">
        <v>33.46</v>
      </c>
      <c r="N208" s="39"/>
      <c r="O208" s="39"/>
      <c r="P208" s="39"/>
      <c r="Q208" s="39">
        <v>31.06</v>
      </c>
      <c r="R208" s="39"/>
      <c r="S208" s="42"/>
      <c r="T208" s="39">
        <v>34.53</v>
      </c>
      <c r="U208" s="41"/>
      <c r="V208" s="39"/>
      <c r="W208" s="41"/>
      <c r="X208" s="42"/>
      <c r="Y208" s="39"/>
      <c r="Z208" s="39"/>
      <c r="AA208" s="41"/>
      <c r="AB208" s="96"/>
      <c r="AC208" s="224"/>
      <c r="AD208" s="113"/>
      <c r="AE208" s="240">
        <v>34213</v>
      </c>
      <c r="AF208" s="2" t="s">
        <v>495</v>
      </c>
    </row>
    <row r="209" spans="1:32" ht="15" customHeight="1" x14ac:dyDescent="0.3">
      <c r="A209" s="38" t="s">
        <v>79</v>
      </c>
      <c r="B209" s="39">
        <v>31.12</v>
      </c>
      <c r="C209" s="39"/>
      <c r="D209" s="40"/>
      <c r="E209" s="40">
        <v>33.880000000000003</v>
      </c>
      <c r="F209" s="39">
        <v>32.65</v>
      </c>
      <c r="G209" s="39"/>
      <c r="H209" s="39">
        <v>28.42</v>
      </c>
      <c r="I209" s="39">
        <v>29.29</v>
      </c>
      <c r="J209" s="39">
        <v>25.78</v>
      </c>
      <c r="K209" s="39">
        <v>31.37</v>
      </c>
      <c r="L209" s="42"/>
      <c r="M209" s="39">
        <v>33.619999999999997</v>
      </c>
      <c r="N209" s="39"/>
      <c r="O209" s="39"/>
      <c r="P209" s="39"/>
      <c r="Q209" s="39">
        <v>33</v>
      </c>
      <c r="R209" s="39"/>
      <c r="S209" s="42"/>
      <c r="T209" s="39">
        <v>35.119999999999997</v>
      </c>
      <c r="U209" s="41"/>
      <c r="V209" s="39"/>
      <c r="W209" s="41"/>
      <c r="X209" s="42"/>
      <c r="Y209" s="39"/>
      <c r="Z209" s="39"/>
      <c r="AA209" s="41"/>
      <c r="AB209" s="96"/>
      <c r="AC209" s="224"/>
      <c r="AD209" s="113"/>
      <c r="AE209" s="240">
        <v>34243</v>
      </c>
      <c r="AF209" s="2" t="s">
        <v>495</v>
      </c>
    </row>
    <row r="210" spans="1:32" ht="15" customHeight="1" x14ac:dyDescent="0.3">
      <c r="A210" s="38" t="s">
        <v>78</v>
      </c>
      <c r="B210" s="39">
        <v>33.729999999999997</v>
      </c>
      <c r="C210" s="39"/>
      <c r="D210" s="40"/>
      <c r="E210" s="40">
        <v>34.409999999999997</v>
      </c>
      <c r="F210" s="39">
        <v>32.83</v>
      </c>
      <c r="G210" s="39"/>
      <c r="H210" s="39">
        <v>29.29</v>
      </c>
      <c r="I210" s="39">
        <v>30.51</v>
      </c>
      <c r="J210" s="39">
        <v>26.54</v>
      </c>
      <c r="K210" s="39">
        <v>31.59</v>
      </c>
      <c r="L210" s="42"/>
      <c r="M210" s="39">
        <v>33.44</v>
      </c>
      <c r="N210" s="39"/>
      <c r="O210" s="39"/>
      <c r="P210" s="39"/>
      <c r="Q210" s="39">
        <v>34.17</v>
      </c>
      <c r="R210" s="39"/>
      <c r="S210" s="42"/>
      <c r="T210" s="39">
        <v>35.25</v>
      </c>
      <c r="U210" s="41"/>
      <c r="V210" s="39"/>
      <c r="W210" s="41"/>
      <c r="X210" s="42"/>
      <c r="Y210" s="39"/>
      <c r="Z210" s="39"/>
      <c r="AA210" s="41"/>
      <c r="AB210" s="96"/>
      <c r="AC210" s="224"/>
      <c r="AD210" s="113"/>
      <c r="AE210" s="240">
        <v>34274</v>
      </c>
      <c r="AF210" s="2" t="s">
        <v>495</v>
      </c>
    </row>
    <row r="211" spans="1:32" ht="15" customHeight="1" x14ac:dyDescent="0.3">
      <c r="A211" s="44" t="s">
        <v>77</v>
      </c>
      <c r="B211" s="45">
        <v>33.83</v>
      </c>
      <c r="C211" s="45"/>
      <c r="D211" s="46"/>
      <c r="E211" s="46">
        <v>34.4</v>
      </c>
      <c r="F211" s="45">
        <v>32.18</v>
      </c>
      <c r="G211" s="45"/>
      <c r="H211" s="45">
        <v>28.84</v>
      </c>
      <c r="I211" s="45">
        <v>29.88</v>
      </c>
      <c r="J211" s="45">
        <v>27.56</v>
      </c>
      <c r="K211" s="45">
        <v>31.81</v>
      </c>
      <c r="L211" s="48"/>
      <c r="M211" s="45">
        <v>33.06</v>
      </c>
      <c r="N211" s="45"/>
      <c r="O211" s="45"/>
      <c r="P211" s="45"/>
      <c r="Q211" s="45">
        <v>33.46</v>
      </c>
      <c r="R211" s="45"/>
      <c r="S211" s="48"/>
      <c r="T211" s="45">
        <v>34.93</v>
      </c>
      <c r="U211" s="47"/>
      <c r="V211" s="45"/>
      <c r="W211" s="47"/>
      <c r="X211" s="48"/>
      <c r="Y211" s="45"/>
      <c r="Z211" s="45"/>
      <c r="AA211" s="47"/>
      <c r="AB211" s="97"/>
      <c r="AC211" s="225"/>
      <c r="AD211" s="114"/>
      <c r="AE211" s="241">
        <v>34304</v>
      </c>
      <c r="AF211" s="2" t="s">
        <v>495</v>
      </c>
    </row>
    <row r="212" spans="1:32" ht="15" customHeight="1" x14ac:dyDescent="0.3">
      <c r="A212" s="49" t="s">
        <v>76</v>
      </c>
      <c r="B212" s="50">
        <v>32.11</v>
      </c>
      <c r="C212" s="50"/>
      <c r="D212" s="51"/>
      <c r="E212" s="51">
        <v>34.340000000000003</v>
      </c>
      <c r="F212" s="50">
        <v>31</v>
      </c>
      <c r="G212" s="50"/>
      <c r="H212" s="50">
        <v>29.14</v>
      </c>
      <c r="I212" s="50">
        <v>32</v>
      </c>
      <c r="J212" s="50">
        <v>26.72</v>
      </c>
      <c r="K212" s="50">
        <v>30.96</v>
      </c>
      <c r="L212" s="53"/>
      <c r="M212" s="50">
        <v>33.299999999999997</v>
      </c>
      <c r="N212" s="50"/>
      <c r="O212" s="50"/>
      <c r="P212" s="50"/>
      <c r="Q212" s="50">
        <v>32.409999999999997</v>
      </c>
      <c r="R212" s="50"/>
      <c r="S212" s="53"/>
      <c r="T212" s="50">
        <v>34.229999999999997</v>
      </c>
      <c r="U212" s="52"/>
      <c r="V212" s="50"/>
      <c r="W212" s="52"/>
      <c r="X212" s="53"/>
      <c r="Y212" s="50"/>
      <c r="Z212" s="50"/>
      <c r="AA212" s="52"/>
      <c r="AB212" s="98"/>
      <c r="AC212" s="226"/>
      <c r="AD212" s="115"/>
      <c r="AE212" s="240">
        <v>34335</v>
      </c>
      <c r="AF212" s="2" t="s">
        <v>495</v>
      </c>
    </row>
    <row r="213" spans="1:32" ht="15" customHeight="1" x14ac:dyDescent="0.3">
      <c r="A213" s="38" t="s">
        <v>75</v>
      </c>
      <c r="B213" s="39">
        <v>32</v>
      </c>
      <c r="C213" s="39"/>
      <c r="D213" s="40"/>
      <c r="E213" s="40">
        <v>34.340000000000003</v>
      </c>
      <c r="F213" s="39">
        <v>30.8</v>
      </c>
      <c r="G213" s="39"/>
      <c r="H213" s="39">
        <v>27.47</v>
      </c>
      <c r="I213" s="39">
        <v>31.95</v>
      </c>
      <c r="J213" s="39">
        <v>27.14</v>
      </c>
      <c r="K213" s="39">
        <v>29.92</v>
      </c>
      <c r="L213" s="42"/>
      <c r="M213" s="39">
        <v>33.53</v>
      </c>
      <c r="N213" s="39"/>
      <c r="O213" s="39"/>
      <c r="P213" s="39"/>
      <c r="Q213" s="39">
        <v>32.43</v>
      </c>
      <c r="R213" s="39"/>
      <c r="S213" s="42"/>
      <c r="T213" s="39">
        <v>33.86</v>
      </c>
      <c r="U213" s="41"/>
      <c r="V213" s="39"/>
      <c r="W213" s="41"/>
      <c r="X213" s="42"/>
      <c r="Y213" s="39"/>
      <c r="Z213" s="39"/>
      <c r="AA213" s="41"/>
      <c r="AB213" s="96"/>
      <c r="AC213" s="224"/>
      <c r="AD213" s="113"/>
      <c r="AE213" s="240">
        <v>34366</v>
      </c>
      <c r="AF213" s="2" t="s">
        <v>495</v>
      </c>
    </row>
    <row r="214" spans="1:32" ht="15" customHeight="1" x14ac:dyDescent="0.3">
      <c r="A214" s="38" t="s">
        <v>74</v>
      </c>
      <c r="B214" s="39">
        <v>29.12</v>
      </c>
      <c r="C214" s="39"/>
      <c r="D214" s="40"/>
      <c r="E214" s="40">
        <v>34.28</v>
      </c>
      <c r="F214" s="39">
        <v>30.38</v>
      </c>
      <c r="G214" s="39"/>
      <c r="H214" s="39">
        <v>25.94</v>
      </c>
      <c r="I214" s="39">
        <v>32.090000000000003</v>
      </c>
      <c r="J214" s="39">
        <v>27.32</v>
      </c>
      <c r="K214" s="39">
        <v>28.35</v>
      </c>
      <c r="L214" s="42"/>
      <c r="M214" s="39">
        <v>33.17</v>
      </c>
      <c r="N214" s="39"/>
      <c r="O214" s="39"/>
      <c r="P214" s="39"/>
      <c r="Q214" s="39">
        <v>31.66</v>
      </c>
      <c r="R214" s="39"/>
      <c r="S214" s="42"/>
      <c r="T214" s="39">
        <v>33.5</v>
      </c>
      <c r="U214" s="41"/>
      <c r="V214" s="39"/>
      <c r="W214" s="41"/>
      <c r="X214" s="42"/>
      <c r="Y214" s="39"/>
      <c r="Z214" s="39"/>
      <c r="AA214" s="41"/>
      <c r="AB214" s="96"/>
      <c r="AC214" s="224"/>
      <c r="AD214" s="113"/>
      <c r="AE214" s="240">
        <v>34394</v>
      </c>
      <c r="AF214" s="2" t="s">
        <v>495</v>
      </c>
    </row>
    <row r="215" spans="1:32" ht="15" customHeight="1" x14ac:dyDescent="0.3">
      <c r="A215" s="38" t="s">
        <v>73</v>
      </c>
      <c r="B215" s="39">
        <v>26.81</v>
      </c>
      <c r="C215" s="39"/>
      <c r="D215" s="40"/>
      <c r="E215" s="40">
        <v>33.96</v>
      </c>
      <c r="F215" s="39">
        <v>29.91</v>
      </c>
      <c r="G215" s="39"/>
      <c r="H215" s="39">
        <v>25.33</v>
      </c>
      <c r="I215" s="39">
        <v>32.24</v>
      </c>
      <c r="J215" s="39">
        <v>27.06</v>
      </c>
      <c r="K215" s="39">
        <v>25.88</v>
      </c>
      <c r="L215" s="42"/>
      <c r="M215" s="39">
        <v>34.159999999999997</v>
      </c>
      <c r="N215" s="39"/>
      <c r="O215" s="39"/>
      <c r="P215" s="39"/>
      <c r="Q215" s="39">
        <v>29.57</v>
      </c>
      <c r="R215" s="39"/>
      <c r="S215" s="42"/>
      <c r="T215" s="39">
        <v>33.15</v>
      </c>
      <c r="U215" s="41"/>
      <c r="V215" s="39"/>
      <c r="W215" s="41"/>
      <c r="X215" s="42"/>
      <c r="Y215" s="39"/>
      <c r="Z215" s="39"/>
      <c r="AA215" s="41"/>
      <c r="AB215" s="96"/>
      <c r="AC215" s="224"/>
      <c r="AD215" s="113"/>
      <c r="AE215" s="240">
        <v>34425</v>
      </c>
      <c r="AF215" s="2" t="s">
        <v>495</v>
      </c>
    </row>
    <row r="216" spans="1:32" ht="15" customHeight="1" x14ac:dyDescent="0.3">
      <c r="A216" s="38" t="s">
        <v>72</v>
      </c>
      <c r="B216" s="39">
        <v>25.47</v>
      </c>
      <c r="C216" s="39"/>
      <c r="D216" s="40"/>
      <c r="E216" s="40">
        <v>34.32</v>
      </c>
      <c r="F216" s="39">
        <v>29.45</v>
      </c>
      <c r="G216" s="39"/>
      <c r="H216" s="39">
        <v>25.57</v>
      </c>
      <c r="I216" s="39">
        <v>31.99</v>
      </c>
      <c r="J216" s="39">
        <v>26.5</v>
      </c>
      <c r="K216" s="39">
        <v>25.85</v>
      </c>
      <c r="L216" s="42"/>
      <c r="M216" s="39">
        <v>34.4</v>
      </c>
      <c r="N216" s="39"/>
      <c r="O216" s="39"/>
      <c r="P216" s="39"/>
      <c r="Q216" s="39">
        <v>27.73</v>
      </c>
      <c r="R216" s="39"/>
      <c r="S216" s="42"/>
      <c r="T216" s="39">
        <v>32.79</v>
      </c>
      <c r="U216" s="41"/>
      <c r="V216" s="39"/>
      <c r="W216" s="41"/>
      <c r="X216" s="42"/>
      <c r="Y216" s="39"/>
      <c r="Z216" s="39"/>
      <c r="AA216" s="41"/>
      <c r="AB216" s="96"/>
      <c r="AC216" s="224"/>
      <c r="AD216" s="113"/>
      <c r="AE216" s="240">
        <v>34455</v>
      </c>
      <c r="AF216" s="2" t="s">
        <v>495</v>
      </c>
    </row>
    <row r="217" spans="1:32" ht="15" customHeight="1" x14ac:dyDescent="0.3">
      <c r="A217" s="38" t="s">
        <v>71</v>
      </c>
      <c r="B217" s="39">
        <v>23.83</v>
      </c>
      <c r="C217" s="39"/>
      <c r="D217" s="40"/>
      <c r="E217" s="40">
        <v>33.43</v>
      </c>
      <c r="F217" s="39">
        <v>29.19</v>
      </c>
      <c r="G217" s="39"/>
      <c r="H217" s="39">
        <v>25.36</v>
      </c>
      <c r="I217" s="39">
        <v>31.7</v>
      </c>
      <c r="J217" s="39">
        <v>26.95</v>
      </c>
      <c r="K217" s="39">
        <v>26.16</v>
      </c>
      <c r="L217" s="42"/>
      <c r="M217" s="39">
        <v>34.46</v>
      </c>
      <c r="N217" s="39"/>
      <c r="O217" s="39"/>
      <c r="P217" s="39"/>
      <c r="Q217" s="39">
        <v>27.51</v>
      </c>
      <c r="R217" s="39"/>
      <c r="S217" s="42"/>
      <c r="T217" s="39">
        <v>32.130000000000003</v>
      </c>
      <c r="U217" s="41"/>
      <c r="V217" s="39"/>
      <c r="W217" s="41"/>
      <c r="X217" s="42"/>
      <c r="Y217" s="39"/>
      <c r="Z217" s="39"/>
      <c r="AA217" s="41"/>
      <c r="AB217" s="96"/>
      <c r="AC217" s="224"/>
      <c r="AD217" s="113"/>
      <c r="AE217" s="240">
        <v>34486</v>
      </c>
      <c r="AF217" s="2" t="s">
        <v>495</v>
      </c>
    </row>
    <row r="218" spans="1:32" ht="15" customHeight="1" x14ac:dyDescent="0.3">
      <c r="A218" s="38" t="s">
        <v>70</v>
      </c>
      <c r="B218" s="39">
        <v>24.71</v>
      </c>
      <c r="C218" s="39"/>
      <c r="D218" s="40"/>
      <c r="E218" s="40">
        <v>32.68</v>
      </c>
      <c r="F218" s="39">
        <v>28.87</v>
      </c>
      <c r="G218" s="39"/>
      <c r="H218" s="39">
        <v>25.22</v>
      </c>
      <c r="I218" s="39">
        <v>31.73</v>
      </c>
      <c r="J218" s="39">
        <v>26.55</v>
      </c>
      <c r="K218" s="39">
        <v>27.57</v>
      </c>
      <c r="L218" s="42"/>
      <c r="M218" s="39">
        <v>34.090000000000003</v>
      </c>
      <c r="N218" s="39"/>
      <c r="O218" s="39"/>
      <c r="P218" s="39"/>
      <c r="Q218" s="39">
        <v>27.07</v>
      </c>
      <c r="R218" s="39"/>
      <c r="S218" s="42"/>
      <c r="T218" s="39">
        <v>31.31</v>
      </c>
      <c r="U218" s="41"/>
      <c r="V218" s="39"/>
      <c r="W218" s="41"/>
      <c r="X218" s="42"/>
      <c r="Y218" s="39"/>
      <c r="Z218" s="39"/>
      <c r="AA218" s="41"/>
      <c r="AB218" s="96"/>
      <c r="AC218" s="224"/>
      <c r="AD218" s="113"/>
      <c r="AE218" s="240">
        <v>34516</v>
      </c>
      <c r="AF218" s="2" t="s">
        <v>495</v>
      </c>
    </row>
    <row r="219" spans="1:32" ht="15" customHeight="1" x14ac:dyDescent="0.3">
      <c r="A219" s="38" t="s">
        <v>69</v>
      </c>
      <c r="B219" s="39">
        <v>28.33</v>
      </c>
      <c r="C219" s="39"/>
      <c r="D219" s="40"/>
      <c r="E219" s="40">
        <v>31.8</v>
      </c>
      <c r="F219" s="39">
        <v>29.47</v>
      </c>
      <c r="G219" s="39"/>
      <c r="H219" s="39">
        <v>25.57</v>
      </c>
      <c r="I219" s="39">
        <v>31.99</v>
      </c>
      <c r="J219" s="39">
        <v>27.12</v>
      </c>
      <c r="K219" s="39">
        <v>30.09</v>
      </c>
      <c r="L219" s="42"/>
      <c r="M219" s="39">
        <v>33.67</v>
      </c>
      <c r="N219" s="39"/>
      <c r="O219" s="39"/>
      <c r="P219" s="39"/>
      <c r="Q219" s="39">
        <v>27.87</v>
      </c>
      <c r="R219" s="39"/>
      <c r="S219" s="42"/>
      <c r="T219" s="39">
        <v>31.29</v>
      </c>
      <c r="U219" s="41"/>
      <c r="V219" s="39"/>
      <c r="W219" s="41"/>
      <c r="X219" s="42"/>
      <c r="Y219" s="39"/>
      <c r="Z219" s="39"/>
      <c r="AA219" s="41"/>
      <c r="AB219" s="96"/>
      <c r="AC219" s="224"/>
      <c r="AD219" s="113"/>
      <c r="AE219" s="240">
        <v>34547</v>
      </c>
      <c r="AF219" s="2" t="s">
        <v>495</v>
      </c>
    </row>
    <row r="220" spans="1:32" ht="15" customHeight="1" x14ac:dyDescent="0.3">
      <c r="A220" s="38" t="s">
        <v>68</v>
      </c>
      <c r="B220" s="39">
        <v>29.64</v>
      </c>
      <c r="C220" s="39"/>
      <c r="D220" s="40"/>
      <c r="E220" s="40">
        <v>33.67</v>
      </c>
      <c r="F220" s="39">
        <v>30.9</v>
      </c>
      <c r="G220" s="39"/>
      <c r="H220" s="39">
        <v>27.11</v>
      </c>
      <c r="I220" s="39">
        <v>32.6</v>
      </c>
      <c r="J220" s="39">
        <v>27.3</v>
      </c>
      <c r="K220" s="39">
        <v>32.04</v>
      </c>
      <c r="L220" s="42"/>
      <c r="M220" s="39">
        <v>33.69</v>
      </c>
      <c r="N220" s="39"/>
      <c r="O220" s="39"/>
      <c r="P220" s="39"/>
      <c r="Q220" s="39">
        <v>31.29</v>
      </c>
      <c r="R220" s="39"/>
      <c r="S220" s="42"/>
      <c r="T220" s="39">
        <v>33.119999999999997</v>
      </c>
      <c r="U220" s="41"/>
      <c r="V220" s="39"/>
      <c r="W220" s="41"/>
      <c r="X220" s="42"/>
      <c r="Y220" s="39"/>
      <c r="Z220" s="39"/>
      <c r="AA220" s="41"/>
      <c r="AB220" s="96"/>
      <c r="AC220" s="224"/>
      <c r="AD220" s="113"/>
      <c r="AE220" s="240">
        <v>34578</v>
      </c>
      <c r="AF220" s="2" t="s">
        <v>495</v>
      </c>
    </row>
    <row r="221" spans="1:32" ht="15" customHeight="1" x14ac:dyDescent="0.3">
      <c r="A221" s="38" t="s">
        <v>67</v>
      </c>
      <c r="B221" s="39">
        <v>32.450000000000003</v>
      </c>
      <c r="C221" s="39"/>
      <c r="D221" s="40"/>
      <c r="E221" s="40">
        <v>34.520000000000003</v>
      </c>
      <c r="F221" s="39">
        <v>31.82</v>
      </c>
      <c r="G221" s="39"/>
      <c r="H221" s="39">
        <v>28.55</v>
      </c>
      <c r="I221" s="39">
        <v>32.479999999999997</v>
      </c>
      <c r="J221" s="39">
        <v>27.17</v>
      </c>
      <c r="K221" s="39">
        <v>32.43</v>
      </c>
      <c r="L221" s="42"/>
      <c r="M221" s="39">
        <v>33.72</v>
      </c>
      <c r="N221" s="39"/>
      <c r="O221" s="39"/>
      <c r="P221" s="39"/>
      <c r="Q221" s="39">
        <v>34</v>
      </c>
      <c r="R221" s="39"/>
      <c r="S221" s="42"/>
      <c r="T221" s="39">
        <v>34.409999999999997</v>
      </c>
      <c r="U221" s="41"/>
      <c r="V221" s="39"/>
      <c r="W221" s="41"/>
      <c r="X221" s="42"/>
      <c r="Y221" s="39"/>
      <c r="Z221" s="39"/>
      <c r="AA221" s="41"/>
      <c r="AB221" s="96"/>
      <c r="AC221" s="224"/>
      <c r="AD221" s="113"/>
      <c r="AE221" s="240">
        <v>34608</v>
      </c>
      <c r="AF221" s="2" t="s">
        <v>495</v>
      </c>
    </row>
    <row r="222" spans="1:32" ht="15" customHeight="1" x14ac:dyDescent="0.3">
      <c r="A222" s="38" t="s">
        <v>66</v>
      </c>
      <c r="B222" s="39">
        <v>33.57</v>
      </c>
      <c r="C222" s="39"/>
      <c r="D222" s="40"/>
      <c r="E222" s="40">
        <v>34.51</v>
      </c>
      <c r="F222" s="39">
        <v>31.92</v>
      </c>
      <c r="G222" s="39"/>
      <c r="H222" s="39">
        <v>28.96</v>
      </c>
      <c r="I222" s="39">
        <v>32.58</v>
      </c>
      <c r="J222" s="39">
        <v>27.83</v>
      </c>
      <c r="K222" s="39">
        <v>32.39</v>
      </c>
      <c r="L222" s="42"/>
      <c r="M222" s="39">
        <v>33.700000000000003</v>
      </c>
      <c r="N222" s="39"/>
      <c r="O222" s="39"/>
      <c r="P222" s="39"/>
      <c r="Q222" s="39">
        <v>34.119999999999997</v>
      </c>
      <c r="R222" s="39"/>
      <c r="S222" s="42"/>
      <c r="T222" s="39">
        <v>34.770000000000003</v>
      </c>
      <c r="U222" s="41"/>
      <c r="V222" s="39"/>
      <c r="W222" s="41"/>
      <c r="X222" s="42"/>
      <c r="Y222" s="39"/>
      <c r="Z222" s="39"/>
      <c r="AA222" s="41"/>
      <c r="AB222" s="96"/>
      <c r="AC222" s="224"/>
      <c r="AD222" s="113"/>
      <c r="AE222" s="240">
        <v>34639</v>
      </c>
      <c r="AF222" s="2" t="s">
        <v>495</v>
      </c>
    </row>
    <row r="223" spans="1:32" ht="15" customHeight="1" x14ac:dyDescent="0.3">
      <c r="A223" s="44" t="s">
        <v>65</v>
      </c>
      <c r="B223" s="45">
        <v>33.19</v>
      </c>
      <c r="C223" s="45"/>
      <c r="D223" s="46"/>
      <c r="E223" s="46">
        <v>34.21</v>
      </c>
      <c r="F223" s="45">
        <v>31.49</v>
      </c>
      <c r="G223" s="45"/>
      <c r="H223" s="45">
        <v>27.79</v>
      </c>
      <c r="I223" s="45">
        <v>32.549999999999997</v>
      </c>
      <c r="J223" s="45">
        <v>27.98</v>
      </c>
      <c r="K223" s="45">
        <v>31.75</v>
      </c>
      <c r="L223" s="48"/>
      <c r="M223" s="45">
        <v>33.54</v>
      </c>
      <c r="N223" s="45"/>
      <c r="O223" s="45"/>
      <c r="P223" s="45"/>
      <c r="Q223" s="45">
        <v>33.64</v>
      </c>
      <c r="R223" s="45"/>
      <c r="S223" s="48"/>
      <c r="T223" s="45">
        <v>34.74</v>
      </c>
      <c r="U223" s="47"/>
      <c r="V223" s="45"/>
      <c r="W223" s="47"/>
      <c r="X223" s="48"/>
      <c r="Y223" s="45"/>
      <c r="Z223" s="45"/>
      <c r="AA223" s="47"/>
      <c r="AB223" s="97"/>
      <c r="AC223" s="225"/>
      <c r="AD223" s="114"/>
      <c r="AE223" s="241">
        <v>34669</v>
      </c>
      <c r="AF223" s="2" t="s">
        <v>495</v>
      </c>
    </row>
    <row r="224" spans="1:32" ht="15" customHeight="1" x14ac:dyDescent="0.3">
      <c r="A224" s="54" t="s">
        <v>64</v>
      </c>
      <c r="B224" s="34">
        <v>33.299999999999997</v>
      </c>
      <c r="C224" s="34"/>
      <c r="D224" s="35"/>
      <c r="E224" s="35">
        <v>34</v>
      </c>
      <c r="F224" s="34">
        <v>31.16</v>
      </c>
      <c r="G224" s="34"/>
      <c r="H224" s="34">
        <v>28.23</v>
      </c>
      <c r="I224" s="34">
        <v>33.340000000000003</v>
      </c>
      <c r="J224" s="34">
        <v>27.5</v>
      </c>
      <c r="K224" s="34">
        <v>31.26</v>
      </c>
      <c r="L224" s="37"/>
      <c r="M224" s="34">
        <v>33.01</v>
      </c>
      <c r="N224" s="34"/>
      <c r="O224" s="34"/>
      <c r="P224" s="34"/>
      <c r="Q224" s="34">
        <v>33.74</v>
      </c>
      <c r="R224" s="34"/>
      <c r="S224" s="37"/>
      <c r="T224" s="34">
        <v>34.4</v>
      </c>
      <c r="U224" s="34">
        <v>27.96</v>
      </c>
      <c r="V224" s="34"/>
      <c r="W224" s="36"/>
      <c r="X224" s="37"/>
      <c r="Y224" s="34"/>
      <c r="Z224" s="34"/>
      <c r="AA224" s="34">
        <v>33.76</v>
      </c>
      <c r="AB224" s="99">
        <v>31.18</v>
      </c>
      <c r="AC224" s="223"/>
      <c r="AD224" s="112"/>
      <c r="AE224" s="242">
        <v>34700</v>
      </c>
      <c r="AF224" s="2" t="s">
        <v>495</v>
      </c>
    </row>
    <row r="225" spans="1:32" ht="15" customHeight="1" x14ac:dyDescent="0.3">
      <c r="A225" s="38" t="s">
        <v>63</v>
      </c>
      <c r="B225" s="39">
        <v>33.51</v>
      </c>
      <c r="C225" s="39"/>
      <c r="D225" s="40"/>
      <c r="E225" s="40">
        <v>33.61</v>
      </c>
      <c r="F225" s="39">
        <v>30.77</v>
      </c>
      <c r="G225" s="39"/>
      <c r="H225" s="39">
        <v>27.06</v>
      </c>
      <c r="I225" s="39">
        <v>33.33</v>
      </c>
      <c r="J225" s="39">
        <v>27.51</v>
      </c>
      <c r="K225" s="39">
        <v>29.83</v>
      </c>
      <c r="L225" s="42"/>
      <c r="M225" s="39">
        <v>32.4</v>
      </c>
      <c r="N225" s="39"/>
      <c r="O225" s="39"/>
      <c r="P225" s="39"/>
      <c r="Q225" s="39">
        <v>32.75</v>
      </c>
      <c r="R225" s="39"/>
      <c r="S225" s="42"/>
      <c r="T225" s="39">
        <v>33.94</v>
      </c>
      <c r="U225" s="39">
        <v>27.67</v>
      </c>
      <c r="V225" s="39"/>
      <c r="W225" s="41"/>
      <c r="X225" s="42"/>
      <c r="Y225" s="39"/>
      <c r="Z225" s="39"/>
      <c r="AA225" s="39">
        <v>32.24</v>
      </c>
      <c r="AB225" s="100">
        <v>29.79</v>
      </c>
      <c r="AC225" s="224"/>
      <c r="AD225" s="113"/>
      <c r="AE225" s="243">
        <v>34731</v>
      </c>
      <c r="AF225" s="2" t="s">
        <v>495</v>
      </c>
    </row>
    <row r="226" spans="1:32" ht="15" customHeight="1" x14ac:dyDescent="0.3">
      <c r="A226" s="38" t="s">
        <v>62</v>
      </c>
      <c r="B226" s="39">
        <v>31.38</v>
      </c>
      <c r="C226" s="39"/>
      <c r="D226" s="40"/>
      <c r="E226" s="40">
        <v>33.72</v>
      </c>
      <c r="F226" s="39">
        <v>31.39</v>
      </c>
      <c r="G226" s="39"/>
      <c r="H226" s="39">
        <v>25.41</v>
      </c>
      <c r="I226" s="39">
        <v>32.83</v>
      </c>
      <c r="J226" s="39">
        <v>26.48</v>
      </c>
      <c r="K226" s="39">
        <v>28.62</v>
      </c>
      <c r="L226" s="42"/>
      <c r="M226" s="39">
        <v>32</v>
      </c>
      <c r="N226" s="39"/>
      <c r="O226" s="39"/>
      <c r="P226" s="39"/>
      <c r="Q226" s="39">
        <v>31.71</v>
      </c>
      <c r="R226" s="39"/>
      <c r="S226" s="42"/>
      <c r="T226" s="39">
        <v>34.49</v>
      </c>
      <c r="U226" s="39">
        <v>28.76</v>
      </c>
      <c r="V226" s="39"/>
      <c r="W226" s="41"/>
      <c r="X226" s="42"/>
      <c r="Y226" s="39"/>
      <c r="Z226" s="39"/>
      <c r="AA226" s="39">
        <v>29.93</v>
      </c>
      <c r="AB226" s="100">
        <v>28.6</v>
      </c>
      <c r="AC226" s="224"/>
      <c r="AD226" s="113"/>
      <c r="AE226" s="243">
        <v>34759</v>
      </c>
      <c r="AF226" s="2" t="s">
        <v>495</v>
      </c>
    </row>
    <row r="227" spans="1:32" ht="15" customHeight="1" x14ac:dyDescent="0.3">
      <c r="A227" s="38" t="s">
        <v>61</v>
      </c>
      <c r="B227" s="39">
        <v>29.46</v>
      </c>
      <c r="C227" s="39"/>
      <c r="D227" s="40"/>
      <c r="E227" s="40">
        <v>34.1</v>
      </c>
      <c r="F227" s="39">
        <v>30.92</v>
      </c>
      <c r="G227" s="39"/>
      <c r="H227" s="39">
        <v>25.98</v>
      </c>
      <c r="I227" s="39">
        <v>32.78</v>
      </c>
      <c r="J227" s="39">
        <v>26.01</v>
      </c>
      <c r="K227" s="39">
        <v>26.8</v>
      </c>
      <c r="L227" s="42"/>
      <c r="M227" s="39">
        <v>31</v>
      </c>
      <c r="N227" s="39"/>
      <c r="O227" s="39"/>
      <c r="P227" s="39"/>
      <c r="Q227" s="39">
        <v>30.14</v>
      </c>
      <c r="R227" s="39"/>
      <c r="S227" s="42"/>
      <c r="T227" s="39">
        <v>34.47</v>
      </c>
      <c r="U227" s="39">
        <v>28.62</v>
      </c>
      <c r="V227" s="39"/>
      <c r="W227" s="41"/>
      <c r="X227" s="42"/>
      <c r="Y227" s="39"/>
      <c r="Z227" s="39"/>
      <c r="AA227" s="39">
        <v>27.64</v>
      </c>
      <c r="AB227" s="100">
        <v>28.21</v>
      </c>
      <c r="AC227" s="224"/>
      <c r="AD227" s="113"/>
      <c r="AE227" s="243">
        <v>34790</v>
      </c>
      <c r="AF227" s="2" t="s">
        <v>495</v>
      </c>
    </row>
    <row r="228" spans="1:32" ht="15" customHeight="1" x14ac:dyDescent="0.3">
      <c r="A228" s="38" t="s">
        <v>60</v>
      </c>
      <c r="B228" s="39">
        <v>27.27</v>
      </c>
      <c r="C228" s="39"/>
      <c r="D228" s="40"/>
      <c r="E228" s="40">
        <v>33.44</v>
      </c>
      <c r="F228" s="39">
        <v>30.49</v>
      </c>
      <c r="G228" s="39"/>
      <c r="H228" s="39">
        <v>26.7</v>
      </c>
      <c r="I228" s="39">
        <v>32.82</v>
      </c>
      <c r="J228" s="39">
        <v>26.52</v>
      </c>
      <c r="K228" s="39">
        <v>26.35</v>
      </c>
      <c r="L228" s="42"/>
      <c r="M228" s="39">
        <v>30.76</v>
      </c>
      <c r="N228" s="39"/>
      <c r="O228" s="39"/>
      <c r="P228" s="39"/>
      <c r="Q228" s="39">
        <v>28.93</v>
      </c>
      <c r="R228" s="39"/>
      <c r="S228" s="42"/>
      <c r="T228" s="39">
        <v>33.04</v>
      </c>
      <c r="U228" s="39">
        <v>28.51</v>
      </c>
      <c r="V228" s="39"/>
      <c r="W228" s="41"/>
      <c r="X228" s="42"/>
      <c r="Y228" s="39"/>
      <c r="Z228" s="39"/>
      <c r="AA228" s="39">
        <v>27.43</v>
      </c>
      <c r="AB228" s="100">
        <v>30.79</v>
      </c>
      <c r="AC228" s="224"/>
      <c r="AD228" s="113"/>
      <c r="AE228" s="243">
        <v>34820</v>
      </c>
      <c r="AF228" s="2" t="s">
        <v>495</v>
      </c>
    </row>
    <row r="229" spans="1:32" ht="15" customHeight="1" x14ac:dyDescent="0.3">
      <c r="A229" s="38" t="s">
        <v>59</v>
      </c>
      <c r="B229" s="39">
        <v>27.26</v>
      </c>
      <c r="C229" s="39"/>
      <c r="D229" s="40"/>
      <c r="E229" s="40">
        <v>33.25</v>
      </c>
      <c r="F229" s="39">
        <v>30.2</v>
      </c>
      <c r="G229" s="39"/>
      <c r="H229" s="39">
        <v>26.69</v>
      </c>
      <c r="I229" s="39">
        <v>32.29</v>
      </c>
      <c r="J229" s="39">
        <v>26.66</v>
      </c>
      <c r="K229" s="39">
        <v>26.66</v>
      </c>
      <c r="L229" s="42"/>
      <c r="M229" s="39">
        <v>30.85</v>
      </c>
      <c r="N229" s="39"/>
      <c r="O229" s="39"/>
      <c r="P229" s="39"/>
      <c r="Q229" s="39">
        <v>28.66</v>
      </c>
      <c r="R229" s="39"/>
      <c r="S229" s="42"/>
      <c r="T229" s="39">
        <v>32.229999999999997</v>
      </c>
      <c r="U229" s="39">
        <v>28.3</v>
      </c>
      <c r="V229" s="39"/>
      <c r="W229" s="41"/>
      <c r="X229" s="42"/>
      <c r="Y229" s="39"/>
      <c r="Z229" s="39"/>
      <c r="AA229" s="39">
        <v>27.08</v>
      </c>
      <c r="AB229" s="100">
        <v>31.98</v>
      </c>
      <c r="AC229" s="224"/>
      <c r="AD229" s="113"/>
      <c r="AE229" s="243">
        <v>34851</v>
      </c>
      <c r="AF229" s="2" t="s">
        <v>495</v>
      </c>
    </row>
    <row r="230" spans="1:32" ht="15" customHeight="1" x14ac:dyDescent="0.3">
      <c r="A230" s="38" t="s">
        <v>58</v>
      </c>
      <c r="B230" s="39">
        <v>27.86</v>
      </c>
      <c r="C230" s="39"/>
      <c r="D230" s="40"/>
      <c r="E230" s="40">
        <v>32.479999999999997</v>
      </c>
      <c r="F230" s="39">
        <v>29.71</v>
      </c>
      <c r="G230" s="39"/>
      <c r="H230" s="39">
        <v>26.49</v>
      </c>
      <c r="I230" s="39">
        <v>31.87</v>
      </c>
      <c r="J230" s="39">
        <v>26.87</v>
      </c>
      <c r="K230" s="39">
        <v>28.22</v>
      </c>
      <c r="L230" s="42"/>
      <c r="M230" s="39">
        <v>31.21</v>
      </c>
      <c r="N230" s="39"/>
      <c r="O230" s="39"/>
      <c r="P230" s="39"/>
      <c r="Q230" s="39">
        <v>28.19</v>
      </c>
      <c r="R230" s="39"/>
      <c r="S230" s="42"/>
      <c r="T230" s="39">
        <v>31.57</v>
      </c>
      <c r="U230" s="39">
        <v>27.94</v>
      </c>
      <c r="V230" s="39"/>
      <c r="W230" s="41"/>
      <c r="X230" s="42"/>
      <c r="Y230" s="39"/>
      <c r="Z230" s="39"/>
      <c r="AA230" s="39">
        <v>27.55</v>
      </c>
      <c r="AB230" s="100">
        <v>33.770000000000003</v>
      </c>
      <c r="AC230" s="224"/>
      <c r="AD230" s="113"/>
      <c r="AE230" s="243">
        <v>34881</v>
      </c>
      <c r="AF230" s="2" t="s">
        <v>495</v>
      </c>
    </row>
    <row r="231" spans="1:32" ht="15" customHeight="1" x14ac:dyDescent="0.3">
      <c r="A231" s="38" t="s">
        <v>57</v>
      </c>
      <c r="B231" s="39">
        <v>29.64</v>
      </c>
      <c r="C231" s="39"/>
      <c r="D231" s="40"/>
      <c r="E231" s="40">
        <v>31.96</v>
      </c>
      <c r="F231" s="39">
        <v>29.9</v>
      </c>
      <c r="G231" s="39"/>
      <c r="H231" s="39">
        <v>26.84</v>
      </c>
      <c r="I231" s="39">
        <v>32.07</v>
      </c>
      <c r="J231" s="39">
        <v>26.66</v>
      </c>
      <c r="K231" s="39">
        <v>30.52</v>
      </c>
      <c r="L231" s="42"/>
      <c r="M231" s="39">
        <v>32.270000000000003</v>
      </c>
      <c r="N231" s="39"/>
      <c r="O231" s="39"/>
      <c r="P231" s="39"/>
      <c r="Q231" s="39">
        <v>28.71</v>
      </c>
      <c r="R231" s="39"/>
      <c r="S231" s="42"/>
      <c r="T231" s="39">
        <v>31.01</v>
      </c>
      <c r="U231" s="39">
        <v>27.85</v>
      </c>
      <c r="V231" s="39"/>
      <c r="W231" s="41"/>
      <c r="X231" s="42"/>
      <c r="Y231" s="39"/>
      <c r="Z231" s="39"/>
      <c r="AA231" s="39">
        <v>31.14</v>
      </c>
      <c r="AB231" s="100">
        <v>34.89</v>
      </c>
      <c r="AC231" s="224"/>
      <c r="AD231" s="113"/>
      <c r="AE231" s="243">
        <v>34912</v>
      </c>
      <c r="AF231" s="2" t="s">
        <v>495</v>
      </c>
    </row>
    <row r="232" spans="1:32" ht="15" customHeight="1" x14ac:dyDescent="0.3">
      <c r="A232" s="38" t="s">
        <v>56</v>
      </c>
      <c r="B232" s="39">
        <v>30.96</v>
      </c>
      <c r="C232" s="39"/>
      <c r="D232" s="40"/>
      <c r="E232" s="40">
        <v>33.06</v>
      </c>
      <c r="F232" s="39">
        <v>31.54</v>
      </c>
      <c r="G232" s="39"/>
      <c r="H232" s="39">
        <v>28.41</v>
      </c>
      <c r="I232" s="39">
        <v>32.659999999999997</v>
      </c>
      <c r="J232" s="39">
        <v>26.91</v>
      </c>
      <c r="K232" s="39">
        <v>32.26</v>
      </c>
      <c r="L232" s="42"/>
      <c r="M232" s="39">
        <v>33.049999999999997</v>
      </c>
      <c r="N232" s="39"/>
      <c r="O232" s="39"/>
      <c r="P232" s="39"/>
      <c r="Q232" s="39">
        <v>31.85</v>
      </c>
      <c r="R232" s="39"/>
      <c r="S232" s="42"/>
      <c r="T232" s="39">
        <v>32.229999999999997</v>
      </c>
      <c r="U232" s="39">
        <v>28.14</v>
      </c>
      <c r="V232" s="39"/>
      <c r="W232" s="41"/>
      <c r="X232" s="42"/>
      <c r="Y232" s="39"/>
      <c r="Z232" s="39"/>
      <c r="AA232" s="39">
        <v>35.840000000000003</v>
      </c>
      <c r="AB232" s="100">
        <v>36.409999999999997</v>
      </c>
      <c r="AC232" s="224"/>
      <c r="AD232" s="113"/>
      <c r="AE232" s="243">
        <v>34943</v>
      </c>
      <c r="AF232" s="2" t="s">
        <v>495</v>
      </c>
    </row>
    <row r="233" spans="1:32" ht="15" customHeight="1" x14ac:dyDescent="0.3">
      <c r="A233" s="38" t="s">
        <v>55</v>
      </c>
      <c r="B233" s="39">
        <v>31.86</v>
      </c>
      <c r="C233" s="39"/>
      <c r="D233" s="40"/>
      <c r="E233" s="40">
        <v>34.04</v>
      </c>
      <c r="F233" s="39">
        <v>32.630000000000003</v>
      </c>
      <c r="G233" s="39"/>
      <c r="H233" s="39">
        <v>29.91</v>
      </c>
      <c r="I233" s="39">
        <v>32.9</v>
      </c>
      <c r="J233" s="39">
        <v>27.26</v>
      </c>
      <c r="K233" s="39">
        <v>32.71</v>
      </c>
      <c r="L233" s="42"/>
      <c r="M233" s="39">
        <v>32.659999999999997</v>
      </c>
      <c r="N233" s="39"/>
      <c r="O233" s="39"/>
      <c r="P233" s="39"/>
      <c r="Q233" s="39">
        <v>34.33</v>
      </c>
      <c r="R233" s="39"/>
      <c r="S233" s="42"/>
      <c r="T233" s="39">
        <v>33.69</v>
      </c>
      <c r="U233" s="39">
        <v>29.02</v>
      </c>
      <c r="V233" s="39"/>
      <c r="W233" s="41"/>
      <c r="X233" s="42"/>
      <c r="Y233" s="39"/>
      <c r="Z233" s="39"/>
      <c r="AA233" s="39">
        <v>35.770000000000003</v>
      </c>
      <c r="AB233" s="100">
        <v>35.44</v>
      </c>
      <c r="AC233" s="224"/>
      <c r="AD233" s="113"/>
      <c r="AE233" s="243">
        <v>34973</v>
      </c>
      <c r="AF233" s="2" t="s">
        <v>495</v>
      </c>
    </row>
    <row r="234" spans="1:32" ht="15" customHeight="1" x14ac:dyDescent="0.3">
      <c r="A234" s="38" t="s">
        <v>54</v>
      </c>
      <c r="B234" s="39">
        <v>33.82</v>
      </c>
      <c r="C234" s="39"/>
      <c r="D234" s="40"/>
      <c r="E234" s="40">
        <v>34.28</v>
      </c>
      <c r="F234" s="39">
        <v>33.340000000000003</v>
      </c>
      <c r="G234" s="39"/>
      <c r="H234" s="39">
        <v>30.62</v>
      </c>
      <c r="I234" s="39">
        <v>32.64</v>
      </c>
      <c r="J234" s="39">
        <v>27.75</v>
      </c>
      <c r="K234" s="39">
        <v>33.53</v>
      </c>
      <c r="L234" s="42"/>
      <c r="M234" s="39">
        <v>32.9</v>
      </c>
      <c r="N234" s="39"/>
      <c r="O234" s="39"/>
      <c r="P234" s="39"/>
      <c r="Q234" s="39">
        <v>35.4</v>
      </c>
      <c r="R234" s="39"/>
      <c r="S234" s="42"/>
      <c r="T234" s="39">
        <v>34.78</v>
      </c>
      <c r="U234" s="39">
        <v>29.47</v>
      </c>
      <c r="V234" s="39"/>
      <c r="W234" s="41"/>
      <c r="X234" s="42"/>
      <c r="Y234" s="39"/>
      <c r="Z234" s="39"/>
      <c r="AA234" s="39">
        <v>35.75</v>
      </c>
      <c r="AB234" s="100">
        <v>35.5</v>
      </c>
      <c r="AC234" s="224"/>
      <c r="AD234" s="113"/>
      <c r="AE234" s="243">
        <v>35004</v>
      </c>
      <c r="AF234" s="2" t="s">
        <v>495</v>
      </c>
    </row>
    <row r="235" spans="1:32" ht="15" customHeight="1" x14ac:dyDescent="0.3">
      <c r="A235" s="44" t="s">
        <v>53</v>
      </c>
      <c r="B235" s="45">
        <v>33.75</v>
      </c>
      <c r="C235" s="45"/>
      <c r="D235" s="46"/>
      <c r="E235" s="46">
        <v>34.159999999999997</v>
      </c>
      <c r="F235" s="45">
        <v>33.090000000000003</v>
      </c>
      <c r="G235" s="45"/>
      <c r="H235" s="45">
        <v>29.9</v>
      </c>
      <c r="I235" s="45">
        <v>32.56</v>
      </c>
      <c r="J235" s="45">
        <v>28.23</v>
      </c>
      <c r="K235" s="45">
        <v>33.17</v>
      </c>
      <c r="L235" s="48"/>
      <c r="M235" s="45">
        <v>33.380000000000003</v>
      </c>
      <c r="N235" s="45"/>
      <c r="O235" s="45"/>
      <c r="P235" s="45"/>
      <c r="Q235" s="45">
        <v>35.42</v>
      </c>
      <c r="R235" s="45"/>
      <c r="S235" s="48"/>
      <c r="T235" s="45">
        <v>35.409999999999997</v>
      </c>
      <c r="U235" s="45">
        <v>29.26</v>
      </c>
      <c r="V235" s="45"/>
      <c r="W235" s="47"/>
      <c r="X235" s="48"/>
      <c r="Y235" s="45"/>
      <c r="Z235" s="45"/>
      <c r="AA235" s="45">
        <v>35.270000000000003</v>
      </c>
      <c r="AB235" s="101">
        <v>35.380000000000003</v>
      </c>
      <c r="AC235" s="225"/>
      <c r="AD235" s="114"/>
      <c r="AE235" s="244">
        <v>35034</v>
      </c>
      <c r="AF235" s="2" t="s">
        <v>495</v>
      </c>
    </row>
    <row r="236" spans="1:32" ht="15" customHeight="1" collapsed="1" x14ac:dyDescent="0.3">
      <c r="A236" s="54" t="s">
        <v>52</v>
      </c>
      <c r="B236" s="34">
        <v>33.61</v>
      </c>
      <c r="C236" s="34"/>
      <c r="D236" s="35"/>
      <c r="E236" s="35">
        <v>34.54</v>
      </c>
      <c r="F236" s="34">
        <v>32.08</v>
      </c>
      <c r="G236" s="34"/>
      <c r="H236" s="34">
        <v>29.68</v>
      </c>
      <c r="I236" s="34">
        <v>31.05</v>
      </c>
      <c r="J236" s="34">
        <v>28.38</v>
      </c>
      <c r="K236" s="34">
        <v>31.97</v>
      </c>
      <c r="L236" s="37"/>
      <c r="M236" s="34">
        <v>33.86</v>
      </c>
      <c r="N236" s="34"/>
      <c r="O236" s="34"/>
      <c r="P236" s="34"/>
      <c r="Q236" s="34">
        <v>34.78</v>
      </c>
      <c r="R236" s="34"/>
      <c r="S236" s="37"/>
      <c r="T236" s="34">
        <v>35.049999999999997</v>
      </c>
      <c r="U236" s="34">
        <v>29.23</v>
      </c>
      <c r="V236" s="34"/>
      <c r="W236" s="34">
        <v>29.56</v>
      </c>
      <c r="X236" s="37"/>
      <c r="Y236" s="34"/>
      <c r="Z236" s="34"/>
      <c r="AA236" s="34">
        <v>34.46</v>
      </c>
      <c r="AB236" s="99">
        <v>33.950000000000003</v>
      </c>
      <c r="AC236" s="223"/>
      <c r="AD236" s="112"/>
      <c r="AE236" s="242">
        <v>35065</v>
      </c>
      <c r="AF236" s="2" t="s">
        <v>495</v>
      </c>
    </row>
    <row r="237" spans="1:32" ht="15" customHeight="1" x14ac:dyDescent="0.3">
      <c r="A237" s="38" t="s">
        <v>51</v>
      </c>
      <c r="B237" s="39">
        <v>32.909999999999997</v>
      </c>
      <c r="C237" s="39"/>
      <c r="D237" s="40"/>
      <c r="E237" s="40">
        <v>34.35</v>
      </c>
      <c r="F237" s="39">
        <v>31.6</v>
      </c>
      <c r="G237" s="39"/>
      <c r="H237" s="39">
        <v>28.67</v>
      </c>
      <c r="I237" s="39">
        <v>30.66</v>
      </c>
      <c r="J237" s="39">
        <v>28.68</v>
      </c>
      <c r="K237" s="39">
        <v>31.1</v>
      </c>
      <c r="L237" s="42"/>
      <c r="M237" s="39">
        <v>34.19</v>
      </c>
      <c r="N237" s="39"/>
      <c r="O237" s="39"/>
      <c r="P237" s="39"/>
      <c r="Q237" s="39">
        <v>34.19</v>
      </c>
      <c r="R237" s="39"/>
      <c r="S237" s="42"/>
      <c r="T237" s="39">
        <v>34.61</v>
      </c>
      <c r="U237" s="39">
        <v>29.14</v>
      </c>
      <c r="V237" s="39"/>
      <c r="W237" s="39">
        <v>29.48</v>
      </c>
      <c r="X237" s="42"/>
      <c r="Y237" s="39"/>
      <c r="Z237" s="39"/>
      <c r="AA237" s="39">
        <v>32.17</v>
      </c>
      <c r="AB237" s="100">
        <v>31.81</v>
      </c>
      <c r="AC237" s="224"/>
      <c r="AD237" s="113"/>
      <c r="AE237" s="243">
        <v>35096</v>
      </c>
      <c r="AF237" s="2" t="s">
        <v>495</v>
      </c>
    </row>
    <row r="238" spans="1:32" ht="15" customHeight="1" x14ac:dyDescent="0.3">
      <c r="A238" s="38" t="s">
        <v>50</v>
      </c>
      <c r="B238" s="39">
        <v>29.5</v>
      </c>
      <c r="C238" s="39"/>
      <c r="D238" s="40"/>
      <c r="E238" s="40">
        <v>34.26</v>
      </c>
      <c r="F238" s="39">
        <v>30.93</v>
      </c>
      <c r="G238" s="39"/>
      <c r="H238" s="39">
        <v>27.71</v>
      </c>
      <c r="I238" s="39">
        <v>30.81</v>
      </c>
      <c r="J238" s="39">
        <v>28.67</v>
      </c>
      <c r="K238" s="39">
        <v>29.34</v>
      </c>
      <c r="L238" s="42"/>
      <c r="M238" s="39">
        <v>34.76</v>
      </c>
      <c r="N238" s="39"/>
      <c r="O238" s="39"/>
      <c r="P238" s="39"/>
      <c r="Q238" s="39">
        <v>32.42</v>
      </c>
      <c r="R238" s="39"/>
      <c r="S238" s="42"/>
      <c r="T238" s="39">
        <v>33.79</v>
      </c>
      <c r="U238" s="39">
        <v>29.14</v>
      </c>
      <c r="V238" s="39"/>
      <c r="W238" s="39">
        <v>29.54</v>
      </c>
      <c r="X238" s="42"/>
      <c r="Y238" s="39"/>
      <c r="Z238" s="39"/>
      <c r="AA238" s="39">
        <v>29.07</v>
      </c>
      <c r="AB238" s="100">
        <v>32.549999999999997</v>
      </c>
      <c r="AC238" s="224"/>
      <c r="AD238" s="113"/>
      <c r="AE238" s="243">
        <v>35125</v>
      </c>
      <c r="AF238" s="2" t="s">
        <v>495</v>
      </c>
    </row>
    <row r="239" spans="1:32" ht="15" customHeight="1" x14ac:dyDescent="0.3">
      <c r="A239" s="38" t="s">
        <v>49</v>
      </c>
      <c r="B239" s="39">
        <v>27.36</v>
      </c>
      <c r="C239" s="39"/>
      <c r="D239" s="40"/>
      <c r="E239" s="40">
        <v>33.6</v>
      </c>
      <c r="F239" s="39">
        <v>30.08</v>
      </c>
      <c r="G239" s="39"/>
      <c r="H239" s="39">
        <v>26.62</v>
      </c>
      <c r="I239" s="39">
        <v>31.13</v>
      </c>
      <c r="J239" s="39">
        <v>28.31</v>
      </c>
      <c r="K239" s="39">
        <v>27.38</v>
      </c>
      <c r="L239" s="42"/>
      <c r="M239" s="39">
        <v>35.97</v>
      </c>
      <c r="N239" s="39"/>
      <c r="O239" s="39"/>
      <c r="P239" s="39"/>
      <c r="Q239" s="39">
        <v>30.39</v>
      </c>
      <c r="R239" s="39"/>
      <c r="S239" s="42"/>
      <c r="T239" s="39">
        <v>32.700000000000003</v>
      </c>
      <c r="U239" s="39">
        <v>28.61</v>
      </c>
      <c r="V239" s="39"/>
      <c r="W239" s="39">
        <v>29.62</v>
      </c>
      <c r="X239" s="42"/>
      <c r="Y239" s="39"/>
      <c r="Z239" s="39"/>
      <c r="AA239" s="39">
        <v>26.3</v>
      </c>
      <c r="AB239" s="100">
        <v>32.97</v>
      </c>
      <c r="AC239" s="224"/>
      <c r="AD239" s="113"/>
      <c r="AE239" s="243">
        <v>35156</v>
      </c>
      <c r="AF239" s="2" t="s">
        <v>495</v>
      </c>
    </row>
    <row r="240" spans="1:32" ht="15" customHeight="1" x14ac:dyDescent="0.3">
      <c r="A240" s="38" t="s">
        <v>48</v>
      </c>
      <c r="B240" s="39">
        <v>27.23</v>
      </c>
      <c r="C240" s="39"/>
      <c r="D240" s="40"/>
      <c r="E240" s="40">
        <v>33.06</v>
      </c>
      <c r="F240" s="39">
        <v>29.41</v>
      </c>
      <c r="G240" s="39"/>
      <c r="H240" s="39">
        <v>27.14</v>
      </c>
      <c r="I240" s="39">
        <v>31.59</v>
      </c>
      <c r="J240" s="39">
        <v>27.56</v>
      </c>
      <c r="K240" s="39">
        <v>27.39</v>
      </c>
      <c r="L240" s="42"/>
      <c r="M240" s="39">
        <v>36.700000000000003</v>
      </c>
      <c r="N240" s="39"/>
      <c r="O240" s="39"/>
      <c r="P240" s="39"/>
      <c r="Q240" s="39">
        <v>28.83</v>
      </c>
      <c r="R240" s="39"/>
      <c r="S240" s="42"/>
      <c r="T240" s="39">
        <v>29.69</v>
      </c>
      <c r="U240" s="39">
        <v>28.1</v>
      </c>
      <c r="V240" s="39"/>
      <c r="W240" s="39">
        <v>29.47</v>
      </c>
      <c r="X240" s="42"/>
      <c r="Y240" s="39"/>
      <c r="Z240" s="39"/>
      <c r="AA240" s="39">
        <v>26.27</v>
      </c>
      <c r="AB240" s="100">
        <v>35.619999999999997</v>
      </c>
      <c r="AC240" s="224"/>
      <c r="AD240" s="113"/>
      <c r="AE240" s="243">
        <v>35186</v>
      </c>
      <c r="AF240" s="2" t="s">
        <v>495</v>
      </c>
    </row>
    <row r="241" spans="1:32" ht="15" customHeight="1" x14ac:dyDescent="0.3">
      <c r="A241" s="38" t="s">
        <v>47</v>
      </c>
      <c r="B241" s="39">
        <v>26.52</v>
      </c>
      <c r="C241" s="39"/>
      <c r="D241" s="40"/>
      <c r="E241" s="40">
        <v>32.83</v>
      </c>
      <c r="F241" s="39">
        <v>28.85</v>
      </c>
      <c r="G241" s="39"/>
      <c r="H241" s="39">
        <v>27.43</v>
      </c>
      <c r="I241" s="39">
        <v>31.48</v>
      </c>
      <c r="J241" s="39">
        <v>27.34</v>
      </c>
      <c r="K241" s="39">
        <v>27.03</v>
      </c>
      <c r="L241" s="42"/>
      <c r="M241" s="39">
        <v>36.93</v>
      </c>
      <c r="N241" s="39"/>
      <c r="O241" s="39"/>
      <c r="P241" s="39"/>
      <c r="Q241" s="39">
        <v>28.41</v>
      </c>
      <c r="R241" s="39"/>
      <c r="S241" s="42"/>
      <c r="T241" s="39">
        <v>30.61</v>
      </c>
      <c r="U241" s="39">
        <v>27.77</v>
      </c>
      <c r="V241" s="39"/>
      <c r="W241" s="39">
        <v>29.38</v>
      </c>
      <c r="X241" s="42"/>
      <c r="Y241" s="39"/>
      <c r="Z241" s="39"/>
      <c r="AA241" s="39">
        <v>26.83</v>
      </c>
      <c r="AB241" s="100">
        <v>37.630000000000003</v>
      </c>
      <c r="AC241" s="224"/>
      <c r="AD241" s="113"/>
      <c r="AE241" s="243">
        <v>35217</v>
      </c>
      <c r="AF241" s="2" t="s">
        <v>495</v>
      </c>
    </row>
    <row r="242" spans="1:32" ht="15" customHeight="1" x14ac:dyDescent="0.3">
      <c r="A242" s="38" t="s">
        <v>46</v>
      </c>
      <c r="B242" s="39">
        <v>26.52</v>
      </c>
      <c r="C242" s="39"/>
      <c r="D242" s="40"/>
      <c r="E242" s="40">
        <v>33</v>
      </c>
      <c r="F242" s="39">
        <v>29.02</v>
      </c>
      <c r="G242" s="39"/>
      <c r="H242" s="39">
        <v>27.45</v>
      </c>
      <c r="I242" s="39">
        <v>31.81</v>
      </c>
      <c r="J242" s="39">
        <v>27.01</v>
      </c>
      <c r="K242" s="39">
        <v>28.94</v>
      </c>
      <c r="L242" s="42"/>
      <c r="M242" s="39">
        <v>37.07</v>
      </c>
      <c r="N242" s="39"/>
      <c r="O242" s="39"/>
      <c r="P242" s="39"/>
      <c r="Q242" s="39">
        <v>28.54</v>
      </c>
      <c r="R242" s="39"/>
      <c r="S242" s="42"/>
      <c r="T242" s="39">
        <v>30.07</v>
      </c>
      <c r="U242" s="39">
        <v>28.11</v>
      </c>
      <c r="V242" s="39"/>
      <c r="W242" s="39">
        <v>29.46</v>
      </c>
      <c r="X242" s="42"/>
      <c r="Y242" s="39"/>
      <c r="Z242" s="39"/>
      <c r="AA242" s="39">
        <v>27.12</v>
      </c>
      <c r="AB242" s="100">
        <v>39.58</v>
      </c>
      <c r="AC242" s="224"/>
      <c r="AD242" s="113"/>
      <c r="AE242" s="243">
        <v>35247</v>
      </c>
      <c r="AF242" s="2" t="s">
        <v>495</v>
      </c>
    </row>
    <row r="243" spans="1:32" ht="15" customHeight="1" x14ac:dyDescent="0.3">
      <c r="A243" s="38" t="s">
        <v>45</v>
      </c>
      <c r="B243" s="39">
        <v>27.3</v>
      </c>
      <c r="C243" s="39"/>
      <c r="D243" s="40"/>
      <c r="E243" s="40">
        <v>32.729999999999997</v>
      </c>
      <c r="F243" s="39">
        <v>29.33</v>
      </c>
      <c r="G243" s="39"/>
      <c r="H243" s="39">
        <v>27.56</v>
      </c>
      <c r="I243" s="39">
        <v>31.65</v>
      </c>
      <c r="J243" s="39">
        <v>26.81</v>
      </c>
      <c r="K243" s="39">
        <v>31.07</v>
      </c>
      <c r="L243" s="42"/>
      <c r="M243" s="39">
        <v>37.07</v>
      </c>
      <c r="N243" s="39"/>
      <c r="O243" s="39"/>
      <c r="P243" s="39"/>
      <c r="Q243" s="39">
        <v>29.55</v>
      </c>
      <c r="R243" s="39"/>
      <c r="S243" s="42"/>
      <c r="T243" s="39">
        <v>30.09</v>
      </c>
      <c r="U243" s="39">
        <v>28.09</v>
      </c>
      <c r="V243" s="39"/>
      <c r="W243" s="39">
        <v>29.64</v>
      </c>
      <c r="X243" s="42"/>
      <c r="Y243" s="39"/>
      <c r="Z243" s="39"/>
      <c r="AA243" s="39">
        <v>30.36</v>
      </c>
      <c r="AB243" s="100">
        <v>39.549999999999997</v>
      </c>
      <c r="AC243" s="224"/>
      <c r="AD243" s="113"/>
      <c r="AE243" s="243">
        <v>35278</v>
      </c>
      <c r="AF243" s="2" t="s">
        <v>495</v>
      </c>
    </row>
    <row r="244" spans="1:32" ht="15" customHeight="1" x14ac:dyDescent="0.3">
      <c r="A244" s="38" t="s">
        <v>44</v>
      </c>
      <c r="B244" s="39">
        <v>29.17</v>
      </c>
      <c r="C244" s="39"/>
      <c r="D244" s="40"/>
      <c r="E244" s="40">
        <v>33.590000000000003</v>
      </c>
      <c r="F244" s="39">
        <v>30.36</v>
      </c>
      <c r="G244" s="39"/>
      <c r="H244" s="39">
        <v>29.16</v>
      </c>
      <c r="I244" s="39">
        <v>31.48</v>
      </c>
      <c r="J244" s="39">
        <v>26.7</v>
      </c>
      <c r="K244" s="39">
        <v>32.44</v>
      </c>
      <c r="L244" s="42"/>
      <c r="M244" s="39">
        <v>37.49</v>
      </c>
      <c r="N244" s="39"/>
      <c r="O244" s="39"/>
      <c r="P244" s="39"/>
      <c r="Q244" s="39">
        <v>32.44</v>
      </c>
      <c r="R244" s="39"/>
      <c r="S244" s="42"/>
      <c r="T244" s="39">
        <v>30.7</v>
      </c>
      <c r="U244" s="39">
        <v>28.85</v>
      </c>
      <c r="V244" s="39"/>
      <c r="W244" s="39">
        <v>29.66</v>
      </c>
      <c r="X244" s="42"/>
      <c r="Y244" s="39"/>
      <c r="Z244" s="39"/>
      <c r="AA244" s="39">
        <v>35.26</v>
      </c>
      <c r="AB244" s="100">
        <v>40.590000000000003</v>
      </c>
      <c r="AC244" s="224"/>
      <c r="AD244" s="113"/>
      <c r="AE244" s="243">
        <v>35309</v>
      </c>
      <c r="AF244" s="2" t="s">
        <v>495</v>
      </c>
    </row>
    <row r="245" spans="1:32" ht="15" customHeight="1" x14ac:dyDescent="0.3">
      <c r="A245" s="38" t="s">
        <v>43</v>
      </c>
      <c r="B245" s="39">
        <v>30.3</v>
      </c>
      <c r="C245" s="39"/>
      <c r="D245" s="40"/>
      <c r="E245" s="40">
        <v>34.03</v>
      </c>
      <c r="F245" s="39">
        <v>30.9</v>
      </c>
      <c r="G245" s="39"/>
      <c r="H245" s="39">
        <v>30.41</v>
      </c>
      <c r="I245" s="39">
        <v>31.81</v>
      </c>
      <c r="J245" s="39">
        <v>26.76</v>
      </c>
      <c r="K245" s="39">
        <v>32.96</v>
      </c>
      <c r="L245" s="42"/>
      <c r="M245" s="39">
        <v>37.68</v>
      </c>
      <c r="N245" s="39"/>
      <c r="O245" s="39"/>
      <c r="P245" s="39"/>
      <c r="Q245" s="39">
        <v>34.94</v>
      </c>
      <c r="R245" s="39"/>
      <c r="S245" s="42"/>
      <c r="T245" s="39">
        <v>31.23</v>
      </c>
      <c r="U245" s="39">
        <v>29.2</v>
      </c>
      <c r="V245" s="39"/>
      <c r="W245" s="39">
        <v>29.79</v>
      </c>
      <c r="X245" s="42"/>
      <c r="Y245" s="39"/>
      <c r="Z245" s="39"/>
      <c r="AA245" s="39">
        <v>35.520000000000003</v>
      </c>
      <c r="AB245" s="100">
        <v>39.61</v>
      </c>
      <c r="AC245" s="224"/>
      <c r="AD245" s="113"/>
      <c r="AE245" s="243">
        <v>35339</v>
      </c>
      <c r="AF245" s="2" t="s">
        <v>495</v>
      </c>
    </row>
    <row r="246" spans="1:32" ht="15" customHeight="1" x14ac:dyDescent="0.3">
      <c r="A246" s="38" t="s">
        <v>42</v>
      </c>
      <c r="B246" s="39">
        <v>32.53</v>
      </c>
      <c r="C246" s="39"/>
      <c r="D246" s="40"/>
      <c r="E246" s="40">
        <v>34.090000000000003</v>
      </c>
      <c r="F246" s="39">
        <v>30.99</v>
      </c>
      <c r="G246" s="39"/>
      <c r="H246" s="39">
        <v>31.81</v>
      </c>
      <c r="I246" s="39">
        <v>31.98</v>
      </c>
      <c r="J246" s="39">
        <v>27.4</v>
      </c>
      <c r="K246" s="39">
        <v>33.03</v>
      </c>
      <c r="L246" s="42"/>
      <c r="M246" s="39">
        <v>37.47</v>
      </c>
      <c r="N246" s="39"/>
      <c r="O246" s="39"/>
      <c r="P246" s="39"/>
      <c r="Q246" s="39">
        <v>35.72</v>
      </c>
      <c r="R246" s="39"/>
      <c r="S246" s="42"/>
      <c r="T246" s="39">
        <v>31.59</v>
      </c>
      <c r="U246" s="39">
        <v>29.08</v>
      </c>
      <c r="V246" s="39"/>
      <c r="W246" s="39">
        <v>29.66</v>
      </c>
      <c r="X246" s="42"/>
      <c r="Y246" s="39"/>
      <c r="Z246" s="39"/>
      <c r="AA246" s="39">
        <v>34.65</v>
      </c>
      <c r="AB246" s="100">
        <v>37.700000000000003</v>
      </c>
      <c r="AC246" s="224"/>
      <c r="AD246" s="113"/>
      <c r="AE246" s="243">
        <v>35370</v>
      </c>
      <c r="AF246" s="2" t="s">
        <v>495</v>
      </c>
    </row>
    <row r="247" spans="1:32" ht="15" customHeight="1" x14ac:dyDescent="0.3">
      <c r="A247" s="44" t="s">
        <v>41</v>
      </c>
      <c r="B247" s="45">
        <v>32.49</v>
      </c>
      <c r="C247" s="45"/>
      <c r="D247" s="46"/>
      <c r="E247" s="46">
        <v>34.119999999999997</v>
      </c>
      <c r="F247" s="45">
        <v>30.56</v>
      </c>
      <c r="G247" s="45"/>
      <c r="H247" s="45">
        <v>31.57</v>
      </c>
      <c r="I247" s="45">
        <v>31.75</v>
      </c>
      <c r="J247" s="45">
        <v>27.41</v>
      </c>
      <c r="K247" s="45">
        <v>32.47</v>
      </c>
      <c r="L247" s="48"/>
      <c r="M247" s="45">
        <v>37.979999999999997</v>
      </c>
      <c r="N247" s="45"/>
      <c r="O247" s="45"/>
      <c r="P247" s="45"/>
      <c r="Q247" s="45">
        <v>35.25</v>
      </c>
      <c r="R247" s="45"/>
      <c r="S247" s="48"/>
      <c r="T247" s="45">
        <v>31.79</v>
      </c>
      <c r="U247" s="45">
        <v>29.08</v>
      </c>
      <c r="V247" s="45"/>
      <c r="W247" s="45">
        <v>29.58</v>
      </c>
      <c r="X247" s="48"/>
      <c r="Y247" s="45"/>
      <c r="Z247" s="45"/>
      <c r="AA247" s="45">
        <v>34.450000000000003</v>
      </c>
      <c r="AB247" s="101">
        <v>36.92</v>
      </c>
      <c r="AC247" s="225"/>
      <c r="AD247" s="114"/>
      <c r="AE247" s="244">
        <v>35400</v>
      </c>
      <c r="AF247" s="2" t="s">
        <v>495</v>
      </c>
    </row>
    <row r="248" spans="1:32" ht="15" customHeight="1" collapsed="1" x14ac:dyDescent="0.3">
      <c r="A248" s="54" t="s">
        <v>40</v>
      </c>
      <c r="B248" s="34">
        <v>32.42</v>
      </c>
      <c r="C248" s="34"/>
      <c r="D248" s="35"/>
      <c r="E248" s="35">
        <v>34.020000000000003</v>
      </c>
      <c r="F248" s="34">
        <v>29.83</v>
      </c>
      <c r="G248" s="34"/>
      <c r="H248" s="34">
        <v>30.27</v>
      </c>
      <c r="I248" s="34">
        <v>32.07</v>
      </c>
      <c r="J248" s="34">
        <v>27.49</v>
      </c>
      <c r="K248" s="34">
        <v>31.61</v>
      </c>
      <c r="L248" s="37"/>
      <c r="M248" s="34">
        <v>38.299999999999997</v>
      </c>
      <c r="N248" s="34"/>
      <c r="O248" s="34"/>
      <c r="P248" s="34"/>
      <c r="Q248" s="34">
        <v>34.630000000000003</v>
      </c>
      <c r="R248" s="34"/>
      <c r="S248" s="37"/>
      <c r="T248" s="34">
        <v>31.88</v>
      </c>
      <c r="U248" s="34">
        <v>28.72</v>
      </c>
      <c r="V248" s="34"/>
      <c r="W248" s="34">
        <v>29.71</v>
      </c>
      <c r="X248" s="37"/>
      <c r="Y248" s="34"/>
      <c r="Z248" s="34"/>
      <c r="AA248" s="34">
        <v>32.79</v>
      </c>
      <c r="AB248" s="99">
        <v>34.22</v>
      </c>
      <c r="AC248" s="223"/>
      <c r="AD248" s="112"/>
      <c r="AE248" s="242">
        <v>35431</v>
      </c>
      <c r="AF248" s="2" t="s">
        <v>495</v>
      </c>
    </row>
    <row r="249" spans="1:32" ht="15" customHeight="1" x14ac:dyDescent="0.3">
      <c r="A249" s="38" t="s">
        <v>39</v>
      </c>
      <c r="B249" s="39">
        <v>30.85</v>
      </c>
      <c r="C249" s="39"/>
      <c r="D249" s="40"/>
      <c r="E249" s="40">
        <v>33.44</v>
      </c>
      <c r="F249" s="39">
        <v>29.24</v>
      </c>
      <c r="G249" s="39"/>
      <c r="H249" s="39">
        <v>29.12</v>
      </c>
      <c r="I249" s="39">
        <v>31.71</v>
      </c>
      <c r="J249" s="39">
        <v>27.48</v>
      </c>
      <c r="K249" s="39">
        <v>30.16</v>
      </c>
      <c r="L249" s="42"/>
      <c r="M249" s="39">
        <v>37.700000000000003</v>
      </c>
      <c r="N249" s="39"/>
      <c r="O249" s="39"/>
      <c r="P249" s="39"/>
      <c r="Q249" s="39">
        <v>32.99</v>
      </c>
      <c r="R249" s="39"/>
      <c r="S249" s="42"/>
      <c r="T249" s="39">
        <v>31.52</v>
      </c>
      <c r="U249" s="39">
        <v>28.17</v>
      </c>
      <c r="V249" s="39"/>
      <c r="W249" s="39">
        <v>29.53</v>
      </c>
      <c r="X249" s="42"/>
      <c r="Y249" s="39"/>
      <c r="Z249" s="39"/>
      <c r="AA249" s="39">
        <v>32.61</v>
      </c>
      <c r="AB249" s="100">
        <v>33.840000000000003</v>
      </c>
      <c r="AC249" s="224"/>
      <c r="AD249" s="113"/>
      <c r="AE249" s="243">
        <v>35462</v>
      </c>
      <c r="AF249" s="2" t="s">
        <v>495</v>
      </c>
    </row>
    <row r="250" spans="1:32" ht="15" customHeight="1" x14ac:dyDescent="0.3">
      <c r="A250" s="38" t="s">
        <v>38</v>
      </c>
      <c r="B250" s="39">
        <v>28.7</v>
      </c>
      <c r="C250" s="39"/>
      <c r="D250" s="40"/>
      <c r="E250" s="40">
        <v>33.33</v>
      </c>
      <c r="F250" s="39">
        <v>28.93</v>
      </c>
      <c r="G250" s="39"/>
      <c r="H250" s="39">
        <v>27.46</v>
      </c>
      <c r="I250" s="39">
        <v>31.72</v>
      </c>
      <c r="J250" s="39">
        <v>27.31</v>
      </c>
      <c r="K250" s="39">
        <v>28.19</v>
      </c>
      <c r="L250" s="42"/>
      <c r="M250" s="39">
        <v>37.33</v>
      </c>
      <c r="N250" s="39"/>
      <c r="O250" s="39"/>
      <c r="P250" s="39"/>
      <c r="Q250" s="39">
        <v>31.22</v>
      </c>
      <c r="R250" s="39"/>
      <c r="S250" s="42"/>
      <c r="T250" s="39">
        <v>31.56</v>
      </c>
      <c r="U250" s="39">
        <v>27.97</v>
      </c>
      <c r="V250" s="39"/>
      <c r="W250" s="39">
        <v>29.54</v>
      </c>
      <c r="X250" s="42"/>
      <c r="Y250" s="39"/>
      <c r="Z250" s="39"/>
      <c r="AA250" s="39">
        <v>28.57</v>
      </c>
      <c r="AB250" s="100">
        <v>32.67</v>
      </c>
      <c r="AC250" s="224"/>
      <c r="AD250" s="113"/>
      <c r="AE250" s="243">
        <v>35490</v>
      </c>
      <c r="AF250" s="2" t="s">
        <v>495</v>
      </c>
    </row>
    <row r="251" spans="1:32" ht="15" customHeight="1" x14ac:dyDescent="0.3">
      <c r="A251" s="38" t="s">
        <v>37</v>
      </c>
      <c r="B251" s="39">
        <v>27.79</v>
      </c>
      <c r="C251" s="39"/>
      <c r="D251" s="40"/>
      <c r="E251" s="40">
        <v>32.840000000000003</v>
      </c>
      <c r="F251" s="39">
        <v>28.84</v>
      </c>
      <c r="G251" s="39"/>
      <c r="H251" s="39">
        <v>26.95</v>
      </c>
      <c r="I251" s="39">
        <v>31.68</v>
      </c>
      <c r="J251" s="39">
        <v>27</v>
      </c>
      <c r="K251" s="39">
        <v>26.59</v>
      </c>
      <c r="L251" s="42"/>
      <c r="M251" s="39">
        <v>37.51</v>
      </c>
      <c r="N251" s="39"/>
      <c r="O251" s="39"/>
      <c r="P251" s="39"/>
      <c r="Q251" s="39">
        <v>30.39</v>
      </c>
      <c r="R251" s="39"/>
      <c r="S251" s="42"/>
      <c r="T251" s="39">
        <v>31.46</v>
      </c>
      <c r="U251" s="39">
        <v>28.07</v>
      </c>
      <c r="V251" s="39"/>
      <c r="W251" s="39">
        <v>29.47</v>
      </c>
      <c r="X251" s="42"/>
      <c r="Y251" s="39"/>
      <c r="Z251" s="39"/>
      <c r="AA251" s="39">
        <v>27.17</v>
      </c>
      <c r="AB251" s="100">
        <v>32.78</v>
      </c>
      <c r="AC251" s="224"/>
      <c r="AD251" s="113"/>
      <c r="AE251" s="243">
        <v>35521</v>
      </c>
      <c r="AF251" s="2" t="s">
        <v>495</v>
      </c>
    </row>
    <row r="252" spans="1:32" ht="15" customHeight="1" x14ac:dyDescent="0.3">
      <c r="A252" s="38" t="s">
        <v>36</v>
      </c>
      <c r="B252" s="39">
        <v>26.56</v>
      </c>
      <c r="C252" s="39"/>
      <c r="D252" s="40"/>
      <c r="E252" s="40">
        <v>33</v>
      </c>
      <c r="F252" s="39">
        <v>28.47</v>
      </c>
      <c r="G252" s="39"/>
      <c r="H252" s="39">
        <v>26.49</v>
      </c>
      <c r="I252" s="39">
        <v>31.46</v>
      </c>
      <c r="J252" s="39">
        <v>27.01</v>
      </c>
      <c r="K252" s="39">
        <v>26.82</v>
      </c>
      <c r="L252" s="42"/>
      <c r="M252" s="39">
        <v>37.47</v>
      </c>
      <c r="N252" s="39"/>
      <c r="O252" s="39"/>
      <c r="P252" s="39"/>
      <c r="Q252" s="39">
        <v>28.75</v>
      </c>
      <c r="R252" s="39"/>
      <c r="S252" s="42"/>
      <c r="T252" s="39">
        <v>30.85</v>
      </c>
      <c r="U252" s="39">
        <v>27.58</v>
      </c>
      <c r="V252" s="39"/>
      <c r="W252" s="39">
        <v>29.36</v>
      </c>
      <c r="X252" s="42"/>
      <c r="Y252" s="39"/>
      <c r="Z252" s="39"/>
      <c r="AA252" s="39">
        <v>26.79</v>
      </c>
      <c r="AB252" s="100">
        <v>33.369999999999997</v>
      </c>
      <c r="AC252" s="224"/>
      <c r="AD252" s="113"/>
      <c r="AE252" s="243">
        <v>35551</v>
      </c>
      <c r="AF252" s="2" t="s">
        <v>495</v>
      </c>
    </row>
    <row r="253" spans="1:32" ht="15" customHeight="1" x14ac:dyDescent="0.3">
      <c r="A253" s="38" t="s">
        <v>35</v>
      </c>
      <c r="B253" s="39">
        <v>25.94</v>
      </c>
      <c r="C253" s="39"/>
      <c r="D253" s="40"/>
      <c r="E253" s="40">
        <v>32.64</v>
      </c>
      <c r="F253" s="39">
        <v>28.26</v>
      </c>
      <c r="G253" s="39"/>
      <c r="H253" s="39">
        <v>26.43</v>
      </c>
      <c r="I253" s="39">
        <v>31.52</v>
      </c>
      <c r="J253" s="39">
        <v>26.44</v>
      </c>
      <c r="K253" s="39">
        <v>26.5</v>
      </c>
      <c r="L253" s="42"/>
      <c r="M253" s="39">
        <v>37.090000000000003</v>
      </c>
      <c r="N253" s="39"/>
      <c r="O253" s="39"/>
      <c r="P253" s="39"/>
      <c r="Q253" s="39">
        <v>28.33</v>
      </c>
      <c r="R253" s="39"/>
      <c r="S253" s="42"/>
      <c r="T253" s="39">
        <v>29.87</v>
      </c>
      <c r="U253" s="39">
        <v>27.22</v>
      </c>
      <c r="V253" s="39"/>
      <c r="W253" s="39">
        <v>29.21</v>
      </c>
      <c r="X253" s="42"/>
      <c r="Y253" s="39"/>
      <c r="Z253" s="39"/>
      <c r="AA253" s="39">
        <v>26.73</v>
      </c>
      <c r="AB253" s="100">
        <v>35.44</v>
      </c>
      <c r="AC253" s="224"/>
      <c r="AD253" s="113"/>
      <c r="AE253" s="243">
        <v>35582</v>
      </c>
      <c r="AF253" s="2" t="s">
        <v>495</v>
      </c>
    </row>
    <row r="254" spans="1:32" ht="15" customHeight="1" x14ac:dyDescent="0.3">
      <c r="A254" s="38" t="s">
        <v>34</v>
      </c>
      <c r="B254" s="39">
        <v>25.56</v>
      </c>
      <c r="C254" s="39"/>
      <c r="D254" s="40"/>
      <c r="E254" s="40">
        <v>32.11</v>
      </c>
      <c r="F254" s="39">
        <v>28.27</v>
      </c>
      <c r="G254" s="39"/>
      <c r="H254" s="39">
        <v>27.21</v>
      </c>
      <c r="I254" s="39">
        <v>31.88</v>
      </c>
      <c r="J254" s="39">
        <v>26.15</v>
      </c>
      <c r="K254" s="39">
        <v>28.13</v>
      </c>
      <c r="L254" s="42"/>
      <c r="M254" s="39">
        <v>37.11</v>
      </c>
      <c r="N254" s="39"/>
      <c r="O254" s="39"/>
      <c r="P254" s="39"/>
      <c r="Q254" s="39">
        <v>28.46</v>
      </c>
      <c r="R254" s="39"/>
      <c r="S254" s="42"/>
      <c r="T254" s="39">
        <v>29.31</v>
      </c>
      <c r="U254" s="39">
        <v>27.01</v>
      </c>
      <c r="V254" s="39"/>
      <c r="W254" s="39">
        <v>28.99</v>
      </c>
      <c r="X254" s="42"/>
      <c r="Y254" s="39"/>
      <c r="Z254" s="39"/>
      <c r="AA254" s="39">
        <v>26.73</v>
      </c>
      <c r="AB254" s="100">
        <v>37.799999999999997</v>
      </c>
      <c r="AC254" s="224"/>
      <c r="AD254" s="113"/>
      <c r="AE254" s="243">
        <v>35612</v>
      </c>
      <c r="AF254" s="2" t="s">
        <v>495</v>
      </c>
    </row>
    <row r="255" spans="1:32" ht="15" customHeight="1" x14ac:dyDescent="0.3">
      <c r="A255" s="38" t="s">
        <v>33</v>
      </c>
      <c r="B255" s="39">
        <v>27.13</v>
      </c>
      <c r="C255" s="39"/>
      <c r="D255" s="40"/>
      <c r="E255" s="40">
        <v>31.77</v>
      </c>
      <c r="F255" s="39">
        <v>28.64</v>
      </c>
      <c r="G255" s="39"/>
      <c r="H255" s="39">
        <v>27.7</v>
      </c>
      <c r="I255" s="39">
        <v>32.18</v>
      </c>
      <c r="J255" s="39">
        <v>26.71</v>
      </c>
      <c r="K255" s="39">
        <v>29.83</v>
      </c>
      <c r="L255" s="42"/>
      <c r="M255" s="39">
        <v>36.93</v>
      </c>
      <c r="N255" s="39"/>
      <c r="O255" s="39"/>
      <c r="P255" s="39"/>
      <c r="Q255" s="39">
        <v>29.45</v>
      </c>
      <c r="R255" s="39"/>
      <c r="S255" s="42"/>
      <c r="T255" s="39">
        <v>29.71</v>
      </c>
      <c r="U255" s="39">
        <v>26.92</v>
      </c>
      <c r="V255" s="39"/>
      <c r="W255" s="39">
        <v>28.94</v>
      </c>
      <c r="X255" s="42"/>
      <c r="Y255" s="39"/>
      <c r="Z255" s="39"/>
      <c r="AA255" s="39">
        <v>31.62</v>
      </c>
      <c r="AB255" s="100">
        <v>38.520000000000003</v>
      </c>
      <c r="AC255" s="224"/>
      <c r="AD255" s="113"/>
      <c r="AE255" s="243">
        <v>35643</v>
      </c>
      <c r="AF255" s="2" t="s">
        <v>495</v>
      </c>
    </row>
    <row r="256" spans="1:32" ht="15" customHeight="1" x14ac:dyDescent="0.3">
      <c r="A256" s="38" t="s">
        <v>32</v>
      </c>
      <c r="B256" s="39">
        <v>30.26</v>
      </c>
      <c r="C256" s="39"/>
      <c r="D256" s="40"/>
      <c r="E256" s="40">
        <v>32.97</v>
      </c>
      <c r="F256" s="39">
        <v>29.92</v>
      </c>
      <c r="G256" s="39"/>
      <c r="H256" s="39">
        <v>29.6</v>
      </c>
      <c r="I256" s="39">
        <v>32.83</v>
      </c>
      <c r="J256" s="39">
        <v>27.03</v>
      </c>
      <c r="K256" s="39">
        <v>31.38</v>
      </c>
      <c r="L256" s="42"/>
      <c r="M256" s="39">
        <v>37.090000000000003</v>
      </c>
      <c r="N256" s="39"/>
      <c r="O256" s="39"/>
      <c r="P256" s="39"/>
      <c r="Q256" s="39">
        <v>32.549999999999997</v>
      </c>
      <c r="R256" s="39"/>
      <c r="S256" s="42"/>
      <c r="T256" s="39">
        <v>31.58</v>
      </c>
      <c r="U256" s="39">
        <v>27.51</v>
      </c>
      <c r="V256" s="39"/>
      <c r="W256" s="39">
        <v>28.97</v>
      </c>
      <c r="X256" s="42"/>
      <c r="Y256" s="39"/>
      <c r="Z256" s="39"/>
      <c r="AA256" s="39">
        <v>33.92</v>
      </c>
      <c r="AB256" s="100">
        <v>38.770000000000003</v>
      </c>
      <c r="AC256" s="224"/>
      <c r="AD256" s="113"/>
      <c r="AE256" s="243">
        <v>35674</v>
      </c>
      <c r="AF256" s="2" t="s">
        <v>495</v>
      </c>
    </row>
    <row r="257" spans="1:32" ht="15" customHeight="1" x14ac:dyDescent="0.3">
      <c r="A257" s="38" t="s">
        <v>31</v>
      </c>
      <c r="B257" s="39">
        <v>34.1</v>
      </c>
      <c r="C257" s="39"/>
      <c r="D257" s="40"/>
      <c r="E257" s="40">
        <v>33.770000000000003</v>
      </c>
      <c r="F257" s="39">
        <v>31.41</v>
      </c>
      <c r="G257" s="39"/>
      <c r="H257" s="39">
        <v>30.15</v>
      </c>
      <c r="I257" s="39">
        <v>32.229999999999997</v>
      </c>
      <c r="J257" s="39">
        <v>27.45</v>
      </c>
      <c r="K257" s="39">
        <v>32.369999999999997</v>
      </c>
      <c r="L257" s="42"/>
      <c r="M257" s="39">
        <v>36.76</v>
      </c>
      <c r="N257" s="39"/>
      <c r="O257" s="39"/>
      <c r="P257" s="39"/>
      <c r="Q257" s="39">
        <v>35.17</v>
      </c>
      <c r="R257" s="39"/>
      <c r="S257" s="42"/>
      <c r="T257" s="39">
        <v>33.67</v>
      </c>
      <c r="U257" s="39">
        <v>28.45</v>
      </c>
      <c r="V257" s="39"/>
      <c r="W257" s="39">
        <v>28.89</v>
      </c>
      <c r="X257" s="42"/>
      <c r="Y257" s="39"/>
      <c r="Z257" s="39"/>
      <c r="AA257" s="39">
        <v>34.520000000000003</v>
      </c>
      <c r="AB257" s="100">
        <v>36.96</v>
      </c>
      <c r="AC257" s="224"/>
      <c r="AD257" s="113"/>
      <c r="AE257" s="243">
        <v>35704</v>
      </c>
      <c r="AF257" s="2" t="s">
        <v>495</v>
      </c>
    </row>
    <row r="258" spans="1:32" ht="15" customHeight="1" x14ac:dyDescent="0.3">
      <c r="A258" s="38" t="s">
        <v>30</v>
      </c>
      <c r="B258" s="39">
        <v>34.56</v>
      </c>
      <c r="C258" s="39"/>
      <c r="D258" s="40"/>
      <c r="E258" s="40">
        <v>34.08</v>
      </c>
      <c r="F258" s="39">
        <v>32.17</v>
      </c>
      <c r="G258" s="39"/>
      <c r="H258" s="39">
        <v>31.25</v>
      </c>
      <c r="I258" s="39">
        <v>32.39</v>
      </c>
      <c r="J258" s="39">
        <v>27.77</v>
      </c>
      <c r="K258" s="39">
        <v>32.85</v>
      </c>
      <c r="L258" s="42"/>
      <c r="M258" s="39">
        <v>36.49</v>
      </c>
      <c r="N258" s="39"/>
      <c r="O258" s="39"/>
      <c r="P258" s="39"/>
      <c r="Q258" s="39">
        <v>37.130000000000003</v>
      </c>
      <c r="R258" s="39"/>
      <c r="S258" s="42"/>
      <c r="T258" s="39">
        <v>34.79</v>
      </c>
      <c r="U258" s="39">
        <v>29.01</v>
      </c>
      <c r="V258" s="39"/>
      <c r="W258" s="39">
        <v>28.75</v>
      </c>
      <c r="X258" s="42"/>
      <c r="Y258" s="39"/>
      <c r="Z258" s="39"/>
      <c r="AA258" s="39">
        <v>34.159999999999997</v>
      </c>
      <c r="AB258" s="100">
        <v>35.28</v>
      </c>
      <c r="AC258" s="224"/>
      <c r="AD258" s="113"/>
      <c r="AE258" s="243">
        <v>35735</v>
      </c>
      <c r="AF258" s="2" t="s">
        <v>495</v>
      </c>
    </row>
    <row r="259" spans="1:32" ht="15" customHeight="1" x14ac:dyDescent="0.3">
      <c r="A259" s="44" t="s">
        <v>29</v>
      </c>
      <c r="B259" s="45">
        <v>34.29</v>
      </c>
      <c r="C259" s="45"/>
      <c r="D259" s="46"/>
      <c r="E259" s="46">
        <v>34.020000000000003</v>
      </c>
      <c r="F259" s="45">
        <v>31.47</v>
      </c>
      <c r="G259" s="45"/>
      <c r="H259" s="45">
        <v>30.17</v>
      </c>
      <c r="I259" s="45">
        <v>32.28</v>
      </c>
      <c r="J259" s="45">
        <v>28.12</v>
      </c>
      <c r="K259" s="45">
        <v>32.14</v>
      </c>
      <c r="L259" s="48"/>
      <c r="M259" s="45">
        <v>36.39</v>
      </c>
      <c r="N259" s="45"/>
      <c r="O259" s="45"/>
      <c r="P259" s="45"/>
      <c r="Q259" s="45">
        <v>36.549999999999997</v>
      </c>
      <c r="R259" s="45"/>
      <c r="S259" s="48"/>
      <c r="T259" s="45">
        <v>34.880000000000003</v>
      </c>
      <c r="U259" s="45">
        <v>28.84</v>
      </c>
      <c r="V259" s="45"/>
      <c r="W259" s="45">
        <v>28.68</v>
      </c>
      <c r="X259" s="48"/>
      <c r="Y259" s="45"/>
      <c r="Z259" s="45"/>
      <c r="AA259" s="45">
        <v>33.74</v>
      </c>
      <c r="AB259" s="101">
        <v>34.93</v>
      </c>
      <c r="AC259" s="225"/>
      <c r="AD259" s="114"/>
      <c r="AE259" s="244">
        <v>35765</v>
      </c>
      <c r="AF259" s="2" t="s">
        <v>495</v>
      </c>
    </row>
    <row r="260" spans="1:32" ht="15" customHeight="1" collapsed="1" x14ac:dyDescent="0.3">
      <c r="A260" s="54" t="s">
        <v>28</v>
      </c>
      <c r="B260" s="34">
        <v>33.340000000000003</v>
      </c>
      <c r="C260" s="34"/>
      <c r="D260" s="35"/>
      <c r="E260" s="35">
        <v>33.35</v>
      </c>
      <c r="F260" s="34">
        <v>30.59</v>
      </c>
      <c r="G260" s="34"/>
      <c r="H260" s="34">
        <v>29.21</v>
      </c>
      <c r="I260" s="34">
        <v>32.19</v>
      </c>
      <c r="J260" s="34">
        <v>28.18</v>
      </c>
      <c r="K260" s="34">
        <v>31.56</v>
      </c>
      <c r="L260" s="37"/>
      <c r="M260" s="34">
        <v>36.020000000000003</v>
      </c>
      <c r="N260" s="34"/>
      <c r="O260" s="34"/>
      <c r="P260" s="34"/>
      <c r="Q260" s="34">
        <v>34.83</v>
      </c>
      <c r="R260" s="34"/>
      <c r="S260" s="37"/>
      <c r="T260" s="34">
        <v>34.4</v>
      </c>
      <c r="U260" s="34">
        <v>28.7</v>
      </c>
      <c r="V260" s="34"/>
      <c r="W260" s="34">
        <v>28.87</v>
      </c>
      <c r="X260" s="37"/>
      <c r="Y260" s="34"/>
      <c r="Z260" s="34"/>
      <c r="AA260" s="34">
        <v>31.18</v>
      </c>
      <c r="AB260" s="99">
        <v>33.119999999999997</v>
      </c>
      <c r="AC260" s="223"/>
      <c r="AD260" s="112"/>
      <c r="AE260" s="242">
        <v>35796</v>
      </c>
      <c r="AF260" s="2" t="s">
        <v>495</v>
      </c>
    </row>
    <row r="261" spans="1:32" ht="15" customHeight="1" x14ac:dyDescent="0.3">
      <c r="A261" s="38" t="s">
        <v>27</v>
      </c>
      <c r="B261" s="39">
        <v>31.82</v>
      </c>
      <c r="C261" s="39"/>
      <c r="D261" s="40"/>
      <c r="E261" s="40">
        <v>33.21</v>
      </c>
      <c r="F261" s="39">
        <v>30.39</v>
      </c>
      <c r="G261" s="39"/>
      <c r="H261" s="39">
        <v>27.53</v>
      </c>
      <c r="I261" s="39">
        <v>32.479999999999997</v>
      </c>
      <c r="J261" s="39">
        <v>28.35</v>
      </c>
      <c r="K261" s="39">
        <v>30.87</v>
      </c>
      <c r="L261" s="42"/>
      <c r="M261" s="39">
        <v>35.49</v>
      </c>
      <c r="N261" s="39"/>
      <c r="O261" s="39"/>
      <c r="P261" s="39"/>
      <c r="Q261" s="39">
        <v>34.15</v>
      </c>
      <c r="R261" s="39"/>
      <c r="S261" s="42"/>
      <c r="T261" s="39">
        <v>34.090000000000003</v>
      </c>
      <c r="U261" s="39">
        <v>28.71</v>
      </c>
      <c r="V261" s="39"/>
      <c r="W261" s="39">
        <v>28.86</v>
      </c>
      <c r="X261" s="42"/>
      <c r="Y261" s="39"/>
      <c r="Z261" s="39"/>
      <c r="AA261" s="39">
        <v>30.94</v>
      </c>
      <c r="AB261" s="100">
        <v>32.479999999999997</v>
      </c>
      <c r="AC261" s="224"/>
      <c r="AD261" s="113"/>
      <c r="AE261" s="243">
        <v>35827</v>
      </c>
      <c r="AF261" s="2" t="s">
        <v>495</v>
      </c>
    </row>
    <row r="262" spans="1:32" ht="15" customHeight="1" x14ac:dyDescent="0.3">
      <c r="A262" s="38" t="s">
        <v>26</v>
      </c>
      <c r="B262" s="39">
        <v>29.08</v>
      </c>
      <c r="C262" s="39"/>
      <c r="D262" s="40"/>
      <c r="E262" s="40">
        <v>33.119999999999997</v>
      </c>
      <c r="F262" s="39">
        <v>30.05</v>
      </c>
      <c r="G262" s="39"/>
      <c r="H262" s="39">
        <v>26.05</v>
      </c>
      <c r="I262" s="39">
        <v>30.63</v>
      </c>
      <c r="J262" s="39">
        <v>28.41</v>
      </c>
      <c r="K262" s="39">
        <v>28.95</v>
      </c>
      <c r="L262" s="42"/>
      <c r="M262" s="39">
        <v>35.43</v>
      </c>
      <c r="N262" s="39"/>
      <c r="O262" s="39"/>
      <c r="P262" s="39"/>
      <c r="Q262" s="39">
        <v>32.479999999999997</v>
      </c>
      <c r="R262" s="39"/>
      <c r="S262" s="42"/>
      <c r="T262" s="39">
        <v>33.380000000000003</v>
      </c>
      <c r="U262" s="39">
        <v>28.57</v>
      </c>
      <c r="V262" s="39"/>
      <c r="W262" s="39">
        <v>28.79</v>
      </c>
      <c r="X262" s="42"/>
      <c r="Y262" s="39"/>
      <c r="Z262" s="39"/>
      <c r="AA262" s="39">
        <v>27.95</v>
      </c>
      <c r="AB262" s="100">
        <v>32.950000000000003</v>
      </c>
      <c r="AC262" s="224"/>
      <c r="AD262" s="113"/>
      <c r="AE262" s="243">
        <v>35855</v>
      </c>
      <c r="AF262" s="2" t="s">
        <v>495</v>
      </c>
    </row>
    <row r="263" spans="1:32" ht="15" customHeight="1" x14ac:dyDescent="0.3">
      <c r="A263" s="38" t="s">
        <v>25</v>
      </c>
      <c r="B263" s="39">
        <v>27.34</v>
      </c>
      <c r="C263" s="39"/>
      <c r="D263" s="40"/>
      <c r="E263" s="40">
        <v>32.99</v>
      </c>
      <c r="F263" s="39">
        <v>29.79</v>
      </c>
      <c r="G263" s="39"/>
      <c r="H263" s="39">
        <v>26.75</v>
      </c>
      <c r="I263" s="39">
        <v>29.47</v>
      </c>
      <c r="J263" s="39">
        <v>28.57</v>
      </c>
      <c r="K263" s="39">
        <v>27.38</v>
      </c>
      <c r="L263" s="42"/>
      <c r="M263" s="39">
        <v>34.9</v>
      </c>
      <c r="N263" s="39"/>
      <c r="O263" s="39"/>
      <c r="P263" s="39"/>
      <c r="Q263" s="39">
        <v>31.1</v>
      </c>
      <c r="R263" s="39"/>
      <c r="S263" s="42"/>
      <c r="T263" s="39">
        <v>32.99</v>
      </c>
      <c r="U263" s="39">
        <v>28.22</v>
      </c>
      <c r="V263" s="39"/>
      <c r="W263" s="39">
        <v>28.77</v>
      </c>
      <c r="X263" s="42"/>
      <c r="Y263" s="39"/>
      <c r="Z263" s="39"/>
      <c r="AA263" s="39">
        <v>26.76</v>
      </c>
      <c r="AB263" s="100">
        <v>33.130000000000003</v>
      </c>
      <c r="AC263" s="224"/>
      <c r="AD263" s="113"/>
      <c r="AE263" s="243">
        <v>35886</v>
      </c>
      <c r="AF263" s="2" t="s">
        <v>495</v>
      </c>
    </row>
    <row r="264" spans="1:32" ht="15" customHeight="1" x14ac:dyDescent="0.3">
      <c r="A264" s="38" t="s">
        <v>24</v>
      </c>
      <c r="B264" s="39">
        <v>26.62</v>
      </c>
      <c r="C264" s="39"/>
      <c r="D264" s="40"/>
      <c r="E264" s="40">
        <v>32.67</v>
      </c>
      <c r="F264" s="39">
        <v>29.6</v>
      </c>
      <c r="G264" s="39"/>
      <c r="H264" s="39">
        <v>27.08</v>
      </c>
      <c r="I264" s="39">
        <v>30.25</v>
      </c>
      <c r="J264" s="39">
        <v>28.4</v>
      </c>
      <c r="K264" s="39">
        <v>27.18</v>
      </c>
      <c r="L264" s="42"/>
      <c r="M264" s="39">
        <v>35.03</v>
      </c>
      <c r="N264" s="39"/>
      <c r="O264" s="39"/>
      <c r="P264" s="39"/>
      <c r="Q264" s="39">
        <v>30.04</v>
      </c>
      <c r="R264" s="39"/>
      <c r="S264" s="42"/>
      <c r="T264" s="39">
        <v>32.65</v>
      </c>
      <c r="U264" s="39">
        <v>27.94</v>
      </c>
      <c r="V264" s="39"/>
      <c r="W264" s="39">
        <v>28.94</v>
      </c>
      <c r="X264" s="42"/>
      <c r="Y264" s="39"/>
      <c r="Z264" s="39"/>
      <c r="AA264" s="39">
        <v>26.57</v>
      </c>
      <c r="AB264" s="100">
        <v>33.82</v>
      </c>
      <c r="AC264" s="224"/>
      <c r="AD264" s="113"/>
      <c r="AE264" s="243">
        <v>35916</v>
      </c>
      <c r="AF264" s="2" t="s">
        <v>495</v>
      </c>
    </row>
    <row r="265" spans="1:32" ht="15" customHeight="1" x14ac:dyDescent="0.3">
      <c r="A265" s="38" t="s">
        <v>23</v>
      </c>
      <c r="B265" s="39">
        <v>26.19</v>
      </c>
      <c r="C265" s="39"/>
      <c r="D265" s="40"/>
      <c r="E265" s="40">
        <v>32.33</v>
      </c>
      <c r="F265" s="39">
        <v>29.34</v>
      </c>
      <c r="G265" s="39"/>
      <c r="H265" s="39">
        <v>27.26</v>
      </c>
      <c r="I265" s="39">
        <v>30.86</v>
      </c>
      <c r="J265" s="39">
        <v>28.4</v>
      </c>
      <c r="K265" s="39">
        <v>27.03</v>
      </c>
      <c r="L265" s="42"/>
      <c r="M265" s="39">
        <v>34.6</v>
      </c>
      <c r="N265" s="39"/>
      <c r="O265" s="39"/>
      <c r="P265" s="39"/>
      <c r="Q265" s="39">
        <v>29.62</v>
      </c>
      <c r="R265" s="39"/>
      <c r="S265" s="42"/>
      <c r="T265" s="39">
        <v>32.090000000000003</v>
      </c>
      <c r="U265" s="39">
        <v>27.65</v>
      </c>
      <c r="V265" s="39"/>
      <c r="W265" s="39">
        <v>28.88</v>
      </c>
      <c r="X265" s="42"/>
      <c r="Y265" s="39"/>
      <c r="Z265" s="39"/>
      <c r="AA265" s="39">
        <v>26.39</v>
      </c>
      <c r="AB265" s="100">
        <v>35.020000000000003</v>
      </c>
      <c r="AC265" s="224"/>
      <c r="AD265" s="113"/>
      <c r="AE265" s="243">
        <v>35947</v>
      </c>
      <c r="AF265" s="2" t="s">
        <v>495</v>
      </c>
    </row>
    <row r="266" spans="1:32" ht="15" customHeight="1" x14ac:dyDescent="0.3">
      <c r="A266" s="38" t="s">
        <v>22</v>
      </c>
      <c r="B266" s="39">
        <v>26.3</v>
      </c>
      <c r="C266" s="39"/>
      <c r="D266" s="40"/>
      <c r="E266" s="40">
        <v>32.19</v>
      </c>
      <c r="F266" s="39">
        <v>29.76</v>
      </c>
      <c r="G266" s="39"/>
      <c r="H266" s="39">
        <v>27.33</v>
      </c>
      <c r="I266" s="39">
        <v>31.45</v>
      </c>
      <c r="J266" s="39">
        <v>28.03</v>
      </c>
      <c r="K266" s="39">
        <v>29.04</v>
      </c>
      <c r="L266" s="42"/>
      <c r="M266" s="39">
        <v>34.36</v>
      </c>
      <c r="N266" s="39"/>
      <c r="O266" s="39"/>
      <c r="P266" s="39"/>
      <c r="Q266" s="39">
        <v>30.25</v>
      </c>
      <c r="R266" s="39"/>
      <c r="S266" s="42"/>
      <c r="T266" s="39">
        <v>32.07</v>
      </c>
      <c r="U266" s="39">
        <v>27.52</v>
      </c>
      <c r="V266" s="39"/>
      <c r="W266" s="39">
        <v>28.9</v>
      </c>
      <c r="X266" s="42"/>
      <c r="Y266" s="39"/>
      <c r="Z266" s="39"/>
      <c r="AA266" s="39">
        <v>28.35</v>
      </c>
      <c r="AB266" s="100">
        <v>36.74</v>
      </c>
      <c r="AC266" s="224"/>
      <c r="AD266" s="113"/>
      <c r="AE266" s="243">
        <v>35977</v>
      </c>
      <c r="AF266" s="2" t="s">
        <v>495</v>
      </c>
    </row>
    <row r="267" spans="1:32" ht="15" customHeight="1" x14ac:dyDescent="0.3">
      <c r="A267" s="38" t="s">
        <v>21</v>
      </c>
      <c r="B267" s="39">
        <v>28.7</v>
      </c>
      <c r="C267" s="39"/>
      <c r="D267" s="40"/>
      <c r="E267" s="40">
        <v>32.39</v>
      </c>
      <c r="F267" s="39">
        <v>30.5</v>
      </c>
      <c r="G267" s="39"/>
      <c r="H267" s="39">
        <v>27.77</v>
      </c>
      <c r="I267" s="39">
        <v>31.15</v>
      </c>
      <c r="J267" s="39">
        <v>27.96</v>
      </c>
      <c r="K267" s="39">
        <v>31.16</v>
      </c>
      <c r="L267" s="42"/>
      <c r="M267" s="39">
        <v>34.33</v>
      </c>
      <c r="N267" s="39"/>
      <c r="O267" s="39"/>
      <c r="P267" s="39"/>
      <c r="Q267" s="39">
        <v>31.99</v>
      </c>
      <c r="R267" s="39"/>
      <c r="S267" s="42"/>
      <c r="T267" s="39">
        <v>32.549999999999997</v>
      </c>
      <c r="U267" s="39">
        <v>27.49</v>
      </c>
      <c r="V267" s="39"/>
      <c r="W267" s="39">
        <v>28.94</v>
      </c>
      <c r="X267" s="42"/>
      <c r="Y267" s="39"/>
      <c r="Z267" s="39"/>
      <c r="AA267" s="39">
        <v>31.77</v>
      </c>
      <c r="AB267" s="100">
        <v>36.630000000000003</v>
      </c>
      <c r="AC267" s="224"/>
      <c r="AD267" s="113"/>
      <c r="AE267" s="243">
        <v>36008</v>
      </c>
      <c r="AF267" s="2" t="s">
        <v>495</v>
      </c>
    </row>
    <row r="268" spans="1:32" ht="15" customHeight="1" x14ac:dyDescent="0.3">
      <c r="A268" s="38" t="s">
        <v>20</v>
      </c>
      <c r="B268" s="39">
        <v>32.07</v>
      </c>
      <c r="C268" s="39"/>
      <c r="D268" s="40"/>
      <c r="E268" s="40">
        <v>33.159999999999997</v>
      </c>
      <c r="F268" s="39">
        <v>32.1</v>
      </c>
      <c r="G268" s="39"/>
      <c r="H268" s="39">
        <v>29.29</v>
      </c>
      <c r="I268" s="39">
        <v>30.63</v>
      </c>
      <c r="J268" s="39">
        <v>27.47</v>
      </c>
      <c r="K268" s="39">
        <v>32.5</v>
      </c>
      <c r="L268" s="42"/>
      <c r="M268" s="39">
        <v>34.299999999999997</v>
      </c>
      <c r="N268" s="39"/>
      <c r="O268" s="39"/>
      <c r="P268" s="39"/>
      <c r="Q268" s="39">
        <v>35.06</v>
      </c>
      <c r="R268" s="39"/>
      <c r="S268" s="42"/>
      <c r="T268" s="39">
        <v>33.11</v>
      </c>
      <c r="U268" s="39">
        <v>28.51</v>
      </c>
      <c r="V268" s="39"/>
      <c r="W268" s="39">
        <v>28.98</v>
      </c>
      <c r="X268" s="42"/>
      <c r="Y268" s="39"/>
      <c r="Z268" s="39"/>
      <c r="AA268" s="39">
        <v>33.61</v>
      </c>
      <c r="AB268" s="100">
        <v>36.08</v>
      </c>
      <c r="AC268" s="224"/>
      <c r="AD268" s="113"/>
      <c r="AE268" s="243">
        <v>36039</v>
      </c>
      <c r="AF268" s="2" t="s">
        <v>495</v>
      </c>
    </row>
    <row r="269" spans="1:32" ht="15" customHeight="1" x14ac:dyDescent="0.3">
      <c r="A269" s="38" t="s">
        <v>19</v>
      </c>
      <c r="B269" s="39">
        <v>34.54</v>
      </c>
      <c r="C269" s="39"/>
      <c r="D269" s="40"/>
      <c r="E269" s="40">
        <v>34.01</v>
      </c>
      <c r="F269" s="39">
        <v>33.44</v>
      </c>
      <c r="G269" s="39"/>
      <c r="H269" s="39">
        <v>30.64</v>
      </c>
      <c r="I269" s="39">
        <v>30.75</v>
      </c>
      <c r="J269" s="39">
        <v>27.98</v>
      </c>
      <c r="K269" s="39">
        <v>33.17</v>
      </c>
      <c r="L269" s="42"/>
      <c r="M269" s="39">
        <v>34.47</v>
      </c>
      <c r="N269" s="39"/>
      <c r="O269" s="39"/>
      <c r="P269" s="39"/>
      <c r="Q269" s="39">
        <v>37.090000000000003</v>
      </c>
      <c r="R269" s="39"/>
      <c r="S269" s="42"/>
      <c r="T269" s="39">
        <v>33.590000000000003</v>
      </c>
      <c r="U269" s="39">
        <v>29.43</v>
      </c>
      <c r="V269" s="39"/>
      <c r="W269" s="39">
        <v>29.08</v>
      </c>
      <c r="X269" s="42"/>
      <c r="Y269" s="39"/>
      <c r="Z269" s="39"/>
      <c r="AA269" s="39">
        <v>34.11</v>
      </c>
      <c r="AB269" s="100">
        <v>33.75</v>
      </c>
      <c r="AC269" s="224"/>
      <c r="AD269" s="113"/>
      <c r="AE269" s="243">
        <v>36069</v>
      </c>
      <c r="AF269" s="2" t="s">
        <v>495</v>
      </c>
    </row>
    <row r="270" spans="1:32" ht="15" customHeight="1" x14ac:dyDescent="0.3">
      <c r="A270" s="38" t="s">
        <v>18</v>
      </c>
      <c r="B270" s="39">
        <v>34.659999999999997</v>
      </c>
      <c r="C270" s="39"/>
      <c r="D270" s="40"/>
      <c r="E270" s="40">
        <v>34.26</v>
      </c>
      <c r="F270" s="39">
        <v>33.58</v>
      </c>
      <c r="G270" s="39"/>
      <c r="H270" s="39">
        <v>30.51</v>
      </c>
      <c r="I270" s="39">
        <v>31.58</v>
      </c>
      <c r="J270" s="39">
        <v>28.27</v>
      </c>
      <c r="K270" s="39">
        <v>33.28</v>
      </c>
      <c r="L270" s="42"/>
      <c r="M270" s="39">
        <v>34.25</v>
      </c>
      <c r="N270" s="39"/>
      <c r="O270" s="39"/>
      <c r="P270" s="39"/>
      <c r="Q270" s="39">
        <v>38</v>
      </c>
      <c r="R270" s="39"/>
      <c r="S270" s="42"/>
      <c r="T270" s="39">
        <v>33.75</v>
      </c>
      <c r="U270" s="39">
        <v>30.71</v>
      </c>
      <c r="V270" s="39"/>
      <c r="W270" s="39">
        <v>29.06</v>
      </c>
      <c r="X270" s="42"/>
      <c r="Y270" s="39"/>
      <c r="Z270" s="39"/>
      <c r="AA270" s="39">
        <v>34.08</v>
      </c>
      <c r="AB270" s="100">
        <v>33</v>
      </c>
      <c r="AC270" s="224"/>
      <c r="AD270" s="113"/>
      <c r="AE270" s="243">
        <v>36100</v>
      </c>
      <c r="AF270" s="2" t="s">
        <v>495</v>
      </c>
    </row>
    <row r="271" spans="1:32" ht="15" customHeight="1" x14ac:dyDescent="0.3">
      <c r="A271" s="44" t="s">
        <v>17</v>
      </c>
      <c r="B271" s="45">
        <v>34.26</v>
      </c>
      <c r="C271" s="45"/>
      <c r="D271" s="46"/>
      <c r="E271" s="46">
        <v>33.97</v>
      </c>
      <c r="F271" s="45">
        <v>32.89</v>
      </c>
      <c r="G271" s="45"/>
      <c r="H271" s="45">
        <v>29.74</v>
      </c>
      <c r="I271" s="45">
        <v>31.65</v>
      </c>
      <c r="J271" s="45">
        <v>28.67</v>
      </c>
      <c r="K271" s="45">
        <v>32.71</v>
      </c>
      <c r="L271" s="48"/>
      <c r="M271" s="45">
        <v>34.299999999999997</v>
      </c>
      <c r="N271" s="45"/>
      <c r="O271" s="45"/>
      <c r="P271" s="45"/>
      <c r="Q271" s="45">
        <v>32.51</v>
      </c>
      <c r="R271" s="45"/>
      <c r="S271" s="48"/>
      <c r="T271" s="45">
        <v>33.47</v>
      </c>
      <c r="U271" s="45">
        <v>31.52</v>
      </c>
      <c r="V271" s="45"/>
      <c r="W271" s="45">
        <v>29.07</v>
      </c>
      <c r="X271" s="48"/>
      <c r="Y271" s="45"/>
      <c r="Z271" s="45"/>
      <c r="AA271" s="45">
        <v>33.76</v>
      </c>
      <c r="AB271" s="101">
        <v>32.18</v>
      </c>
      <c r="AC271" s="225"/>
      <c r="AD271" s="114"/>
      <c r="AE271" s="244">
        <v>36130</v>
      </c>
      <c r="AF271" s="2" t="s">
        <v>495</v>
      </c>
    </row>
    <row r="272" spans="1:32" s="20" customFormat="1" ht="15" customHeight="1" collapsed="1" x14ac:dyDescent="0.3">
      <c r="A272" s="54" t="s">
        <v>16</v>
      </c>
      <c r="B272" s="34">
        <v>32.049999999999997</v>
      </c>
      <c r="C272" s="34"/>
      <c r="D272" s="35"/>
      <c r="E272" s="35">
        <v>33.46</v>
      </c>
      <c r="F272" s="34">
        <v>31.07</v>
      </c>
      <c r="G272" s="34"/>
      <c r="H272" s="50">
        <v>28.43</v>
      </c>
      <c r="I272" s="50">
        <v>32.04</v>
      </c>
      <c r="J272" s="50">
        <v>28.64</v>
      </c>
      <c r="K272" s="50">
        <v>31.83</v>
      </c>
      <c r="L272" s="53"/>
      <c r="M272" s="50">
        <v>34.46</v>
      </c>
      <c r="N272" s="34"/>
      <c r="O272" s="34"/>
      <c r="P272" s="34"/>
      <c r="Q272" s="50">
        <v>34.659999999999997</v>
      </c>
      <c r="R272" s="34"/>
      <c r="S272" s="37"/>
      <c r="T272" s="55">
        <v>30.571950000000001</v>
      </c>
      <c r="U272" s="50">
        <v>30.52</v>
      </c>
      <c r="V272" s="34"/>
      <c r="W272" s="50">
        <v>29.12</v>
      </c>
      <c r="X272" s="37"/>
      <c r="Y272" s="34"/>
      <c r="Z272" s="34"/>
      <c r="AA272" s="50">
        <v>34.31</v>
      </c>
      <c r="AB272" s="102">
        <v>31.39</v>
      </c>
      <c r="AC272" s="226"/>
      <c r="AD272" s="112"/>
      <c r="AE272" s="242">
        <v>36161</v>
      </c>
      <c r="AF272" s="20" t="s">
        <v>495</v>
      </c>
    </row>
    <row r="273" spans="1:32" s="20" customFormat="1" ht="15" customHeight="1" x14ac:dyDescent="0.3">
      <c r="A273" s="38" t="s">
        <v>283</v>
      </c>
      <c r="B273" s="39">
        <v>30.69</v>
      </c>
      <c r="C273" s="39"/>
      <c r="D273" s="40"/>
      <c r="E273" s="40">
        <v>32.68</v>
      </c>
      <c r="F273" s="39">
        <v>30.82</v>
      </c>
      <c r="G273" s="39"/>
      <c r="H273" s="39">
        <v>27.31</v>
      </c>
      <c r="I273" s="39">
        <v>32.22</v>
      </c>
      <c r="J273" s="39">
        <v>28.65</v>
      </c>
      <c r="K273" s="39">
        <v>30.99</v>
      </c>
      <c r="L273" s="42"/>
      <c r="M273" s="39">
        <v>34.49</v>
      </c>
      <c r="N273" s="39"/>
      <c r="O273" s="39"/>
      <c r="P273" s="39"/>
      <c r="Q273" s="39">
        <v>33.520000000000003</v>
      </c>
      <c r="R273" s="39"/>
      <c r="S273" s="42"/>
      <c r="T273" s="56">
        <v>29.909399999999998</v>
      </c>
      <c r="U273" s="39">
        <v>30.45</v>
      </c>
      <c r="V273" s="39"/>
      <c r="W273" s="39">
        <v>29.12</v>
      </c>
      <c r="X273" s="42"/>
      <c r="Y273" s="39"/>
      <c r="Z273" s="39"/>
      <c r="AA273" s="39">
        <v>34.22</v>
      </c>
      <c r="AB273" s="100">
        <v>32.01</v>
      </c>
      <c r="AC273" s="224"/>
      <c r="AD273" s="113"/>
      <c r="AE273" s="243">
        <v>36192</v>
      </c>
      <c r="AF273" s="20" t="s">
        <v>495</v>
      </c>
    </row>
    <row r="274" spans="1:32" s="20" customFormat="1" ht="15" customHeight="1" x14ac:dyDescent="0.3">
      <c r="A274" s="38" t="s">
        <v>282</v>
      </c>
      <c r="B274" s="39">
        <v>28.01</v>
      </c>
      <c r="C274" s="39"/>
      <c r="D274" s="40"/>
      <c r="E274" s="40">
        <v>32.43</v>
      </c>
      <c r="F274" s="39">
        <v>29.94</v>
      </c>
      <c r="G274" s="39"/>
      <c r="H274" s="39">
        <v>25.89</v>
      </c>
      <c r="I274" s="39">
        <v>32.26</v>
      </c>
      <c r="J274" s="39">
        <v>28.65</v>
      </c>
      <c r="K274" s="39">
        <v>29.18</v>
      </c>
      <c r="L274" s="42"/>
      <c r="M274" s="39">
        <v>34.42</v>
      </c>
      <c r="N274" s="39"/>
      <c r="O274" s="39"/>
      <c r="P274" s="39"/>
      <c r="Q274" s="39">
        <v>31.66</v>
      </c>
      <c r="R274" s="39"/>
      <c r="S274" s="42"/>
      <c r="T274" s="56">
        <v>28.931350000000002</v>
      </c>
      <c r="U274" s="39">
        <v>30.09</v>
      </c>
      <c r="V274" s="39"/>
      <c r="W274" s="39">
        <v>29.12</v>
      </c>
      <c r="X274" s="42"/>
      <c r="Y274" s="39"/>
      <c r="Z274" s="39"/>
      <c r="AA274" s="39">
        <v>31.06</v>
      </c>
      <c r="AB274" s="100">
        <v>31.67</v>
      </c>
      <c r="AC274" s="224"/>
      <c r="AD274" s="113"/>
      <c r="AE274" s="243">
        <v>36220</v>
      </c>
      <c r="AF274" s="20" t="s">
        <v>495</v>
      </c>
    </row>
    <row r="275" spans="1:32" s="20" customFormat="1" ht="15" customHeight="1" x14ac:dyDescent="0.3">
      <c r="A275" s="38" t="s">
        <v>281</v>
      </c>
      <c r="B275" s="39">
        <v>26.15</v>
      </c>
      <c r="C275" s="39"/>
      <c r="D275" s="40"/>
      <c r="E275" s="40">
        <v>32.159999999999997</v>
      </c>
      <c r="F275" s="39">
        <v>29.05</v>
      </c>
      <c r="G275" s="39"/>
      <c r="H275" s="39">
        <v>25.78</v>
      </c>
      <c r="I275" s="39">
        <v>31.96</v>
      </c>
      <c r="J275" s="39">
        <v>28.27</v>
      </c>
      <c r="K275" s="39">
        <v>27.53</v>
      </c>
      <c r="L275" s="42"/>
      <c r="M275" s="39">
        <v>34.340000000000003</v>
      </c>
      <c r="N275" s="39"/>
      <c r="O275" s="39"/>
      <c r="P275" s="39"/>
      <c r="Q275" s="39">
        <v>30.07</v>
      </c>
      <c r="R275" s="39"/>
      <c r="S275" s="42"/>
      <c r="T275" s="56">
        <v>27.290749999999999</v>
      </c>
      <c r="U275" s="39">
        <v>29.14</v>
      </c>
      <c r="V275" s="39"/>
      <c r="W275" s="39">
        <v>29.12</v>
      </c>
      <c r="X275" s="42"/>
      <c r="Y275" s="39"/>
      <c r="Z275" s="39"/>
      <c r="AA275" s="39">
        <v>29.89</v>
      </c>
      <c r="AB275" s="100">
        <v>31.42</v>
      </c>
      <c r="AC275" s="224"/>
      <c r="AD275" s="113"/>
      <c r="AE275" s="243">
        <v>36251</v>
      </c>
      <c r="AF275" s="20" t="s">
        <v>495</v>
      </c>
    </row>
    <row r="276" spans="1:32" ht="15" customHeight="1" x14ac:dyDescent="0.3">
      <c r="A276" s="38" t="s">
        <v>284</v>
      </c>
      <c r="B276" s="39">
        <v>23.23</v>
      </c>
      <c r="C276" s="39"/>
      <c r="D276" s="40"/>
      <c r="E276" s="40">
        <v>31.75</v>
      </c>
      <c r="F276" s="39">
        <v>28.47</v>
      </c>
      <c r="G276" s="39"/>
      <c r="H276" s="39">
        <v>25.62</v>
      </c>
      <c r="I276" s="39">
        <v>32.020000000000003</v>
      </c>
      <c r="J276" s="39">
        <v>27.69</v>
      </c>
      <c r="K276" s="39">
        <v>27.45</v>
      </c>
      <c r="L276" s="42"/>
      <c r="M276" s="39">
        <v>34.299999999999997</v>
      </c>
      <c r="N276" s="39"/>
      <c r="O276" s="39"/>
      <c r="P276" s="39"/>
      <c r="Q276" s="39">
        <v>29.5</v>
      </c>
      <c r="R276" s="39"/>
      <c r="S276" s="42"/>
      <c r="T276" s="56">
        <v>26.6282</v>
      </c>
      <c r="U276" s="39">
        <v>28.2</v>
      </c>
      <c r="V276" s="39"/>
      <c r="W276" s="39">
        <v>29.12</v>
      </c>
      <c r="X276" s="42"/>
      <c r="Y276" s="39"/>
      <c r="Z276" s="39"/>
      <c r="AA276" s="39">
        <v>29.3</v>
      </c>
      <c r="AB276" s="100">
        <v>32</v>
      </c>
      <c r="AC276" s="224"/>
      <c r="AD276" s="113"/>
      <c r="AE276" s="243">
        <v>36281</v>
      </c>
      <c r="AF276" s="2" t="s">
        <v>495</v>
      </c>
    </row>
    <row r="277" spans="1:32" ht="15" customHeight="1" x14ac:dyDescent="0.3">
      <c r="A277" s="38" t="s">
        <v>291</v>
      </c>
      <c r="B277" s="39">
        <v>24.24</v>
      </c>
      <c r="C277" s="39"/>
      <c r="D277" s="40"/>
      <c r="E277" s="40">
        <v>31.62</v>
      </c>
      <c r="F277" s="39">
        <v>28</v>
      </c>
      <c r="G277" s="39"/>
      <c r="H277" s="39">
        <v>25.75</v>
      </c>
      <c r="I277" s="39">
        <v>32.18</v>
      </c>
      <c r="J277" s="39">
        <v>27.45</v>
      </c>
      <c r="K277" s="39">
        <v>26.97</v>
      </c>
      <c r="L277" s="42"/>
      <c r="M277" s="39">
        <v>33.97</v>
      </c>
      <c r="N277" s="39"/>
      <c r="O277" s="39"/>
      <c r="P277" s="39"/>
      <c r="Q277" s="39">
        <v>28.71</v>
      </c>
      <c r="R277" s="39"/>
      <c r="S277" s="42"/>
      <c r="T277" s="56">
        <v>26.7544</v>
      </c>
      <c r="U277" s="39">
        <v>27.91</v>
      </c>
      <c r="V277" s="39"/>
      <c r="W277" s="39">
        <v>29.12</v>
      </c>
      <c r="X277" s="42"/>
      <c r="Y277" s="39"/>
      <c r="Z277" s="39"/>
      <c r="AA277" s="39">
        <v>29.07</v>
      </c>
      <c r="AB277" s="100">
        <v>34.56</v>
      </c>
      <c r="AC277" s="224"/>
      <c r="AD277" s="113"/>
      <c r="AE277" s="243">
        <v>36312</v>
      </c>
      <c r="AF277" s="2" t="s">
        <v>495</v>
      </c>
    </row>
    <row r="278" spans="1:32" ht="15" customHeight="1" x14ac:dyDescent="0.3">
      <c r="A278" s="38" t="s">
        <v>290</v>
      </c>
      <c r="B278" s="39">
        <v>24.81</v>
      </c>
      <c r="C278" s="39"/>
      <c r="D278" s="40"/>
      <c r="E278" s="40">
        <v>31.05</v>
      </c>
      <c r="F278" s="39">
        <v>27.71</v>
      </c>
      <c r="G278" s="39"/>
      <c r="H278" s="39">
        <v>25.83</v>
      </c>
      <c r="I278" s="39">
        <v>32.04</v>
      </c>
      <c r="J278" s="39">
        <v>26.78</v>
      </c>
      <c r="K278" s="39">
        <v>28.49</v>
      </c>
      <c r="L278" s="42"/>
      <c r="M278" s="39">
        <v>33.92</v>
      </c>
      <c r="N278" s="39"/>
      <c r="O278" s="39"/>
      <c r="P278" s="39"/>
      <c r="Q278" s="39">
        <v>28.83</v>
      </c>
      <c r="R278" s="39"/>
      <c r="S278" s="42"/>
      <c r="T278" s="56">
        <v>27.385400000000001</v>
      </c>
      <c r="U278" s="39">
        <v>27.54</v>
      </c>
      <c r="V278" s="39"/>
      <c r="W278" s="39">
        <v>29.12</v>
      </c>
      <c r="X278" s="42"/>
      <c r="Y278" s="39"/>
      <c r="Z278" s="39"/>
      <c r="AA278" s="39">
        <v>30.49</v>
      </c>
      <c r="AB278" s="100">
        <v>35.799999999999997</v>
      </c>
      <c r="AC278" s="224"/>
      <c r="AD278" s="113"/>
      <c r="AE278" s="243">
        <v>36342</v>
      </c>
      <c r="AF278" s="2" t="s">
        <v>495</v>
      </c>
    </row>
    <row r="279" spans="1:32" ht="15" customHeight="1" x14ac:dyDescent="0.3">
      <c r="A279" s="38" t="s">
        <v>289</v>
      </c>
      <c r="B279" s="39">
        <v>27.86</v>
      </c>
      <c r="C279" s="39"/>
      <c r="D279" s="40"/>
      <c r="E279" s="40">
        <v>31.19</v>
      </c>
      <c r="F279" s="39">
        <v>28.44</v>
      </c>
      <c r="G279" s="39"/>
      <c r="H279" s="39">
        <v>26.6</v>
      </c>
      <c r="I279" s="39">
        <v>31.89</v>
      </c>
      <c r="J279" s="39">
        <v>26.65</v>
      </c>
      <c r="K279" s="39">
        <v>30.64</v>
      </c>
      <c r="L279" s="42"/>
      <c r="M279" s="39">
        <v>33.93</v>
      </c>
      <c r="N279" s="39"/>
      <c r="O279" s="39"/>
      <c r="P279" s="39"/>
      <c r="Q279" s="39">
        <v>30.89</v>
      </c>
      <c r="R279" s="39"/>
      <c r="S279" s="42"/>
      <c r="T279" s="56">
        <v>28.016400000000001</v>
      </c>
      <c r="U279" s="39">
        <v>27.54</v>
      </c>
      <c r="V279" s="39"/>
      <c r="W279" s="39">
        <v>29.12</v>
      </c>
      <c r="X279" s="42"/>
      <c r="Y279" s="39"/>
      <c r="Z279" s="39"/>
      <c r="AA279" s="39">
        <v>34.619999999999997</v>
      </c>
      <c r="AB279" s="100">
        <v>36.35</v>
      </c>
      <c r="AC279" s="224"/>
      <c r="AD279" s="113"/>
      <c r="AE279" s="243">
        <v>36373</v>
      </c>
      <c r="AF279" s="2" t="s">
        <v>495</v>
      </c>
    </row>
    <row r="280" spans="1:32" ht="15" customHeight="1" x14ac:dyDescent="0.3">
      <c r="A280" s="38" t="s">
        <v>288</v>
      </c>
      <c r="B280" s="39">
        <v>29.62</v>
      </c>
      <c r="C280" s="39"/>
      <c r="D280" s="40"/>
      <c r="E280" s="40">
        <v>31.88</v>
      </c>
      <c r="F280" s="39">
        <v>29.67</v>
      </c>
      <c r="G280" s="39"/>
      <c r="H280" s="39">
        <v>27.79</v>
      </c>
      <c r="I280" s="39">
        <v>31.77</v>
      </c>
      <c r="J280" s="39">
        <v>26.52</v>
      </c>
      <c r="K280" s="39">
        <v>31.55</v>
      </c>
      <c r="L280" s="42"/>
      <c r="M280" s="39">
        <v>33.9</v>
      </c>
      <c r="N280" s="39"/>
      <c r="O280" s="39"/>
      <c r="P280" s="39"/>
      <c r="Q280" s="39">
        <v>32.950000000000003</v>
      </c>
      <c r="R280" s="39"/>
      <c r="S280" s="42"/>
      <c r="T280" s="56">
        <v>28.647400000000001</v>
      </c>
      <c r="U280" s="39">
        <v>28.27</v>
      </c>
      <c r="V280" s="39"/>
      <c r="W280" s="39">
        <v>29.12</v>
      </c>
      <c r="X280" s="42"/>
      <c r="Y280" s="39"/>
      <c r="Z280" s="39"/>
      <c r="AA280" s="39">
        <v>36.42</v>
      </c>
      <c r="AB280" s="100">
        <v>37.19</v>
      </c>
      <c r="AC280" s="224"/>
      <c r="AD280" s="113"/>
      <c r="AE280" s="243">
        <v>36404</v>
      </c>
      <c r="AF280" s="2" t="s">
        <v>495</v>
      </c>
    </row>
    <row r="281" spans="1:32" ht="15" customHeight="1" x14ac:dyDescent="0.3">
      <c r="A281" s="38" t="s">
        <v>287</v>
      </c>
      <c r="B281" s="39">
        <v>32.42</v>
      </c>
      <c r="C281" s="39"/>
      <c r="D281" s="40"/>
      <c r="E281" s="40">
        <v>33.36</v>
      </c>
      <c r="F281" s="39">
        <v>31.44</v>
      </c>
      <c r="G281" s="39"/>
      <c r="H281" s="39">
        <v>29.36</v>
      </c>
      <c r="I281" s="39">
        <v>31.67</v>
      </c>
      <c r="J281" s="39">
        <v>26.75</v>
      </c>
      <c r="K281" s="39">
        <v>32.6</v>
      </c>
      <c r="L281" s="42"/>
      <c r="M281" s="39">
        <v>33.96</v>
      </c>
      <c r="N281" s="39"/>
      <c r="O281" s="39"/>
      <c r="P281" s="39"/>
      <c r="Q281" s="39">
        <v>35.35</v>
      </c>
      <c r="R281" s="39"/>
      <c r="S281" s="42"/>
      <c r="T281" s="56">
        <v>31.013650000000002</v>
      </c>
      <c r="U281" s="39">
        <v>29.14</v>
      </c>
      <c r="V281" s="39"/>
      <c r="W281" s="39">
        <v>29.12</v>
      </c>
      <c r="X281" s="42"/>
      <c r="Y281" s="39"/>
      <c r="Z281" s="39"/>
      <c r="AA281" s="39">
        <v>37.020000000000003</v>
      </c>
      <c r="AB281" s="100">
        <v>36.68</v>
      </c>
      <c r="AC281" s="224"/>
      <c r="AD281" s="113"/>
      <c r="AE281" s="243">
        <v>36434</v>
      </c>
      <c r="AF281" s="2" t="s">
        <v>495</v>
      </c>
    </row>
    <row r="282" spans="1:32" ht="15" customHeight="1" x14ac:dyDescent="0.3">
      <c r="A282" s="38" t="s">
        <v>286</v>
      </c>
      <c r="B282" s="39">
        <v>33.659999999999997</v>
      </c>
      <c r="C282" s="39"/>
      <c r="D282" s="40"/>
      <c r="E282" s="40">
        <v>33.75</v>
      </c>
      <c r="F282" s="39">
        <v>32.200000000000003</v>
      </c>
      <c r="G282" s="39"/>
      <c r="H282" s="39">
        <v>29.52</v>
      </c>
      <c r="I282" s="39">
        <v>31.91</v>
      </c>
      <c r="J282" s="39">
        <v>27.3</v>
      </c>
      <c r="K282" s="39">
        <v>32.99</v>
      </c>
      <c r="L282" s="42"/>
      <c r="M282" s="39">
        <v>33.96</v>
      </c>
      <c r="N282" s="39"/>
      <c r="O282" s="39"/>
      <c r="P282" s="39"/>
      <c r="Q282" s="39">
        <v>36.32</v>
      </c>
      <c r="R282" s="39"/>
      <c r="S282" s="42"/>
      <c r="T282" s="56">
        <v>31.518450000000001</v>
      </c>
      <c r="U282" s="39">
        <v>29.51</v>
      </c>
      <c r="V282" s="39"/>
      <c r="W282" s="39">
        <v>29.12</v>
      </c>
      <c r="X282" s="42"/>
      <c r="Y282" s="39"/>
      <c r="Z282" s="39"/>
      <c r="AA282" s="39">
        <v>37.130000000000003</v>
      </c>
      <c r="AB282" s="100">
        <v>34.99</v>
      </c>
      <c r="AC282" s="224"/>
      <c r="AD282" s="113"/>
      <c r="AE282" s="243">
        <v>36465</v>
      </c>
      <c r="AF282" s="2" t="s">
        <v>495</v>
      </c>
    </row>
    <row r="283" spans="1:32" ht="15" customHeight="1" x14ac:dyDescent="0.3">
      <c r="A283" s="44" t="s">
        <v>285</v>
      </c>
      <c r="B283" s="45">
        <v>33.07</v>
      </c>
      <c r="C283" s="45"/>
      <c r="D283" s="46"/>
      <c r="E283" s="46">
        <v>33.47</v>
      </c>
      <c r="F283" s="45">
        <v>31.53</v>
      </c>
      <c r="G283" s="45"/>
      <c r="H283" s="45">
        <v>28.26</v>
      </c>
      <c r="I283" s="45">
        <v>31.88</v>
      </c>
      <c r="J283" s="45">
        <v>27.31</v>
      </c>
      <c r="K283" s="45">
        <v>32.74</v>
      </c>
      <c r="L283" s="48"/>
      <c r="M283" s="45">
        <v>33.93</v>
      </c>
      <c r="N283" s="45"/>
      <c r="O283" s="45"/>
      <c r="P283" s="45"/>
      <c r="Q283" s="45">
        <v>35.72</v>
      </c>
      <c r="R283" s="45"/>
      <c r="S283" s="48"/>
      <c r="T283" s="57">
        <v>31.960149999999999</v>
      </c>
      <c r="U283" s="45">
        <v>29.51</v>
      </c>
      <c r="V283" s="45"/>
      <c r="W283" s="45">
        <v>29.12</v>
      </c>
      <c r="X283" s="48"/>
      <c r="Y283" s="45"/>
      <c r="Z283" s="45"/>
      <c r="AA283" s="45">
        <v>37.1</v>
      </c>
      <c r="AB283" s="101">
        <v>34.950000000000003</v>
      </c>
      <c r="AC283" s="225"/>
      <c r="AD283" s="114"/>
      <c r="AE283" s="244">
        <v>36495</v>
      </c>
      <c r="AF283" s="2" t="s">
        <v>495</v>
      </c>
    </row>
    <row r="284" spans="1:32" ht="15" customHeight="1" collapsed="1" x14ac:dyDescent="0.3">
      <c r="A284" s="54" t="s">
        <v>293</v>
      </c>
      <c r="B284" s="34">
        <v>32.049999999999997</v>
      </c>
      <c r="C284" s="34"/>
      <c r="D284" s="35"/>
      <c r="E284" s="35">
        <v>33.18</v>
      </c>
      <c r="F284" s="34">
        <v>30.76</v>
      </c>
      <c r="G284" s="34"/>
      <c r="H284" s="34">
        <v>26.91</v>
      </c>
      <c r="I284" s="34">
        <v>32.299999999999997</v>
      </c>
      <c r="J284" s="34">
        <v>27.62</v>
      </c>
      <c r="K284" s="34">
        <v>32.31</v>
      </c>
      <c r="L284" s="37"/>
      <c r="M284" s="34">
        <v>34</v>
      </c>
      <c r="N284" s="34"/>
      <c r="O284" s="34"/>
      <c r="P284" s="34"/>
      <c r="Q284" s="34">
        <v>33.909999999999997</v>
      </c>
      <c r="R284" s="34"/>
      <c r="S284" s="37"/>
      <c r="T284" s="34">
        <v>31.55</v>
      </c>
      <c r="U284" s="34">
        <v>30.16</v>
      </c>
      <c r="V284" s="34"/>
      <c r="W284" s="34">
        <v>29.12</v>
      </c>
      <c r="X284" s="37"/>
      <c r="Y284" s="34"/>
      <c r="Z284" s="34"/>
      <c r="AA284" s="34">
        <v>34.909999999999997</v>
      </c>
      <c r="AB284" s="99">
        <v>32.81</v>
      </c>
      <c r="AC284" s="223"/>
      <c r="AD284" s="112"/>
      <c r="AE284" s="242">
        <v>36526</v>
      </c>
      <c r="AF284" s="21" t="s">
        <v>495</v>
      </c>
    </row>
    <row r="285" spans="1:32" ht="15" customHeight="1" x14ac:dyDescent="0.3">
      <c r="A285" s="38" t="s">
        <v>292</v>
      </c>
      <c r="B285" s="39">
        <v>30.22</v>
      </c>
      <c r="C285" s="39"/>
      <c r="D285" s="40"/>
      <c r="E285" s="40">
        <v>32.909999999999997</v>
      </c>
      <c r="F285" s="39">
        <v>30.29</v>
      </c>
      <c r="G285" s="39"/>
      <c r="H285" s="39">
        <v>25.94</v>
      </c>
      <c r="I285" s="39">
        <v>32.270000000000003</v>
      </c>
      <c r="J285" s="39">
        <v>27.53</v>
      </c>
      <c r="K285" s="39">
        <v>31.2</v>
      </c>
      <c r="L285" s="42"/>
      <c r="M285" s="39">
        <v>33.96</v>
      </c>
      <c r="N285" s="39"/>
      <c r="O285" s="39"/>
      <c r="P285" s="39"/>
      <c r="Q285" s="39">
        <v>32.299999999999997</v>
      </c>
      <c r="R285" s="39"/>
      <c r="S285" s="42"/>
      <c r="T285" s="39">
        <v>30.46</v>
      </c>
      <c r="U285" s="39">
        <v>29.51</v>
      </c>
      <c r="V285" s="39"/>
      <c r="W285" s="39">
        <v>29.12</v>
      </c>
      <c r="X285" s="42"/>
      <c r="Y285" s="39"/>
      <c r="Z285" s="39"/>
      <c r="AA285" s="39">
        <v>34.81</v>
      </c>
      <c r="AB285" s="100">
        <v>33.03</v>
      </c>
      <c r="AC285" s="224"/>
      <c r="AD285" s="113"/>
      <c r="AE285" s="243">
        <v>36557</v>
      </c>
      <c r="AF285" s="21" t="s">
        <v>495</v>
      </c>
    </row>
    <row r="286" spans="1:32" ht="15" customHeight="1" x14ac:dyDescent="0.3">
      <c r="A286" s="38" t="s">
        <v>295</v>
      </c>
      <c r="B286" s="39">
        <v>28.93</v>
      </c>
      <c r="C286" s="39"/>
      <c r="D286" s="40"/>
      <c r="E286" s="40">
        <v>32.9</v>
      </c>
      <c r="F286" s="39">
        <v>29.98</v>
      </c>
      <c r="G286" s="39"/>
      <c r="H286" s="39">
        <v>25.24</v>
      </c>
      <c r="I286" s="39">
        <v>32.22</v>
      </c>
      <c r="J286" s="39">
        <v>27.41</v>
      </c>
      <c r="K286" s="39">
        <v>29.55</v>
      </c>
      <c r="L286" s="42"/>
      <c r="M286" s="39">
        <v>33.96</v>
      </c>
      <c r="N286" s="39"/>
      <c r="O286" s="39"/>
      <c r="P286" s="39"/>
      <c r="Q286" s="39">
        <v>30.76</v>
      </c>
      <c r="R286" s="39"/>
      <c r="S286" s="42"/>
      <c r="T286" s="39">
        <v>29.61</v>
      </c>
      <c r="U286" s="39">
        <v>29.07</v>
      </c>
      <c r="V286" s="39"/>
      <c r="W286" s="39">
        <v>29.12</v>
      </c>
      <c r="X286" s="42"/>
      <c r="Y286" s="39"/>
      <c r="Z286" s="39"/>
      <c r="AA286" s="39">
        <v>30.93</v>
      </c>
      <c r="AB286" s="100">
        <v>33.39</v>
      </c>
      <c r="AC286" s="224"/>
      <c r="AD286" s="113"/>
      <c r="AE286" s="243">
        <v>36586</v>
      </c>
      <c r="AF286" s="21" t="s">
        <v>495</v>
      </c>
    </row>
    <row r="287" spans="1:32" ht="15" customHeight="1" x14ac:dyDescent="0.3">
      <c r="A287" s="38" t="s">
        <v>294</v>
      </c>
      <c r="B287" s="39">
        <v>26.82</v>
      </c>
      <c r="C287" s="39"/>
      <c r="D287" s="40"/>
      <c r="E287" s="40">
        <v>32.619999999999997</v>
      </c>
      <c r="F287" s="39">
        <v>29.64</v>
      </c>
      <c r="G287" s="39"/>
      <c r="H287" s="39">
        <v>25.32</v>
      </c>
      <c r="I287" s="39">
        <v>32.25</v>
      </c>
      <c r="J287" s="39">
        <v>26.99</v>
      </c>
      <c r="K287" s="39">
        <v>28.35</v>
      </c>
      <c r="L287" s="42"/>
      <c r="M287" s="39">
        <v>33.950000000000003</v>
      </c>
      <c r="N287" s="39"/>
      <c r="O287" s="39"/>
      <c r="P287" s="39"/>
      <c r="Q287" s="39">
        <v>29.65</v>
      </c>
      <c r="R287" s="39"/>
      <c r="S287" s="42"/>
      <c r="T287" s="39">
        <v>29.7</v>
      </c>
      <c r="U287" s="39">
        <v>28.42</v>
      </c>
      <c r="V287" s="39"/>
      <c r="W287" s="39">
        <v>29.12</v>
      </c>
      <c r="X287" s="42"/>
      <c r="Y287" s="39"/>
      <c r="Z287" s="39"/>
      <c r="AA287" s="39">
        <v>31.08</v>
      </c>
      <c r="AB287" s="100">
        <v>33.64</v>
      </c>
      <c r="AC287" s="224"/>
      <c r="AD287" s="113"/>
      <c r="AE287" s="243">
        <v>36617</v>
      </c>
      <c r="AF287" s="21" t="s">
        <v>495</v>
      </c>
    </row>
    <row r="288" spans="1:32" ht="15" customHeight="1" x14ac:dyDescent="0.3">
      <c r="A288" s="38" t="s">
        <v>299</v>
      </c>
      <c r="B288" s="39">
        <v>26.1</v>
      </c>
      <c r="C288" s="39"/>
      <c r="D288" s="40"/>
      <c r="E288" s="40">
        <v>32.18</v>
      </c>
      <c r="F288" s="39">
        <v>29.05</v>
      </c>
      <c r="G288" s="39"/>
      <c r="H288" s="39">
        <v>25.48</v>
      </c>
      <c r="I288" s="39">
        <v>32.200000000000003</v>
      </c>
      <c r="J288" s="39">
        <v>26.68</v>
      </c>
      <c r="K288" s="39">
        <v>27.88</v>
      </c>
      <c r="L288" s="42"/>
      <c r="M288" s="39">
        <v>33.950000000000003</v>
      </c>
      <c r="N288" s="39"/>
      <c r="O288" s="39"/>
      <c r="P288" s="39"/>
      <c r="Q288" s="39">
        <v>29</v>
      </c>
      <c r="R288" s="39"/>
      <c r="S288" s="42"/>
      <c r="T288" s="39">
        <v>29.61</v>
      </c>
      <c r="U288" s="39">
        <v>27.69</v>
      </c>
      <c r="V288" s="39"/>
      <c r="W288" s="39">
        <v>29.12</v>
      </c>
      <c r="X288" s="42"/>
      <c r="Y288" s="39"/>
      <c r="Z288" s="39"/>
      <c r="AA288" s="39">
        <v>30.47</v>
      </c>
      <c r="AB288" s="100">
        <v>34.35</v>
      </c>
      <c r="AC288" s="224"/>
      <c r="AD288" s="113"/>
      <c r="AE288" s="243">
        <v>36647</v>
      </c>
      <c r="AF288" s="21" t="s">
        <v>495</v>
      </c>
    </row>
    <row r="289" spans="1:32" ht="15" customHeight="1" collapsed="1" x14ac:dyDescent="0.3">
      <c r="A289" s="38" t="s">
        <v>298</v>
      </c>
      <c r="B289" s="39">
        <v>25.98</v>
      </c>
      <c r="C289" s="39"/>
      <c r="D289" s="40"/>
      <c r="E289" s="40">
        <v>31.9</v>
      </c>
      <c r="F289" s="39">
        <v>29.26</v>
      </c>
      <c r="G289" s="39"/>
      <c r="H289" s="39">
        <v>25.86</v>
      </c>
      <c r="I289" s="39">
        <v>32.33</v>
      </c>
      <c r="J289" s="39">
        <v>26.55</v>
      </c>
      <c r="K289" s="39">
        <v>27.47</v>
      </c>
      <c r="L289" s="42"/>
      <c r="M289" s="39">
        <v>33.950000000000003</v>
      </c>
      <c r="N289" s="39"/>
      <c r="O289" s="39"/>
      <c r="P289" s="39"/>
      <c r="Q289" s="39">
        <v>28.88</v>
      </c>
      <c r="R289" s="39"/>
      <c r="S289" s="42"/>
      <c r="T289" s="39">
        <v>29.73</v>
      </c>
      <c r="U289" s="39">
        <v>27.47</v>
      </c>
      <c r="V289" s="39"/>
      <c r="W289" s="39">
        <v>29.12</v>
      </c>
      <c r="X289" s="42"/>
      <c r="Y289" s="39"/>
      <c r="Z289" s="39"/>
      <c r="AA289" s="39">
        <v>30.68</v>
      </c>
      <c r="AB289" s="100">
        <v>35.72</v>
      </c>
      <c r="AC289" s="224"/>
      <c r="AD289" s="113"/>
      <c r="AE289" s="243">
        <v>36678</v>
      </c>
      <c r="AF289" s="21" t="s">
        <v>495</v>
      </c>
    </row>
    <row r="290" spans="1:32" ht="15" customHeight="1" x14ac:dyDescent="0.3">
      <c r="A290" s="38" t="s">
        <v>297</v>
      </c>
      <c r="B290" s="39">
        <v>27.14</v>
      </c>
      <c r="C290" s="39"/>
      <c r="D290" s="40"/>
      <c r="E290" s="40">
        <v>31.64</v>
      </c>
      <c r="F290" s="39">
        <v>30.28</v>
      </c>
      <c r="G290" s="39"/>
      <c r="H290" s="39">
        <v>26.55</v>
      </c>
      <c r="I290" s="39">
        <v>32.44</v>
      </c>
      <c r="J290" s="39">
        <v>26.53</v>
      </c>
      <c r="K290" s="39">
        <v>30.05</v>
      </c>
      <c r="L290" s="42"/>
      <c r="M290" s="39">
        <v>34.147144331748493</v>
      </c>
      <c r="N290" s="39"/>
      <c r="O290" s="39"/>
      <c r="P290" s="39"/>
      <c r="Q290" s="39">
        <v>29.85</v>
      </c>
      <c r="R290" s="39"/>
      <c r="S290" s="42"/>
      <c r="T290" s="39">
        <v>30.29</v>
      </c>
      <c r="U290" s="39">
        <v>27.47</v>
      </c>
      <c r="V290" s="39"/>
      <c r="W290" s="39">
        <v>29.12</v>
      </c>
      <c r="X290" s="42"/>
      <c r="Y290" s="39"/>
      <c r="Z290" s="39"/>
      <c r="AA290" s="39">
        <v>33.04</v>
      </c>
      <c r="AB290" s="100">
        <v>37.72</v>
      </c>
      <c r="AC290" s="224"/>
      <c r="AD290" s="113"/>
      <c r="AE290" s="243">
        <v>36708</v>
      </c>
      <c r="AF290" s="21" t="s">
        <v>495</v>
      </c>
    </row>
    <row r="291" spans="1:32" ht="15" customHeight="1" x14ac:dyDescent="0.3">
      <c r="A291" s="38" t="s">
        <v>296</v>
      </c>
      <c r="B291" s="39">
        <v>29.5</v>
      </c>
      <c r="C291" s="39"/>
      <c r="D291" s="40"/>
      <c r="E291" s="40">
        <v>31.91</v>
      </c>
      <c r="F291" s="39">
        <v>31.26</v>
      </c>
      <c r="G291" s="39"/>
      <c r="H291" s="39">
        <v>27.53</v>
      </c>
      <c r="I291" s="39">
        <v>32.369999999999997</v>
      </c>
      <c r="J291" s="39">
        <v>26.64</v>
      </c>
      <c r="K291" s="39">
        <v>31.91</v>
      </c>
      <c r="L291" s="42"/>
      <c r="M291" s="39">
        <v>34.177769573301632</v>
      </c>
      <c r="N291" s="39"/>
      <c r="O291" s="39"/>
      <c r="P291" s="39"/>
      <c r="Q291" s="39">
        <v>31.04</v>
      </c>
      <c r="R291" s="39"/>
      <c r="S291" s="42"/>
      <c r="T291" s="39">
        <v>35.69</v>
      </c>
      <c r="U291" s="39">
        <v>27.83</v>
      </c>
      <c r="V291" s="39"/>
      <c r="W291" s="39">
        <v>29.12</v>
      </c>
      <c r="X291" s="42"/>
      <c r="Y291" s="39"/>
      <c r="Z291" s="39"/>
      <c r="AA291" s="39">
        <v>35.909999999999997</v>
      </c>
      <c r="AB291" s="100">
        <v>38.5</v>
      </c>
      <c r="AC291" s="224"/>
      <c r="AD291" s="113"/>
      <c r="AE291" s="243">
        <v>36739</v>
      </c>
      <c r="AF291" s="21" t="s">
        <v>495</v>
      </c>
    </row>
    <row r="292" spans="1:32" ht="15" customHeight="1" x14ac:dyDescent="0.3">
      <c r="A292" s="38" t="s">
        <v>300</v>
      </c>
      <c r="B292" s="39">
        <v>31.66</v>
      </c>
      <c r="C292" s="39"/>
      <c r="D292" s="40"/>
      <c r="E292" s="40">
        <v>32.700000000000003</v>
      </c>
      <c r="F292" s="39">
        <v>32.19</v>
      </c>
      <c r="G292" s="39"/>
      <c r="H292" s="39">
        <v>29.43</v>
      </c>
      <c r="I292" s="39">
        <v>32.46</v>
      </c>
      <c r="J292" s="39">
        <v>27.21</v>
      </c>
      <c r="K292" s="39">
        <v>32.79</v>
      </c>
      <c r="L292" s="42"/>
      <c r="M292" s="39">
        <v>34.208394814854771</v>
      </c>
      <c r="N292" s="39"/>
      <c r="O292" s="39"/>
      <c r="P292" s="39"/>
      <c r="Q292" s="39">
        <v>33.54</v>
      </c>
      <c r="R292" s="39"/>
      <c r="S292" s="42"/>
      <c r="T292" s="39">
        <v>35.68</v>
      </c>
      <c r="U292" s="39">
        <v>28.92</v>
      </c>
      <c r="V292" s="39"/>
      <c r="W292" s="39">
        <v>29.12</v>
      </c>
      <c r="X292" s="42"/>
      <c r="Y292" s="39"/>
      <c r="Z292" s="39"/>
      <c r="AA292" s="39">
        <v>37.35</v>
      </c>
      <c r="AB292" s="100">
        <v>39.28</v>
      </c>
      <c r="AC292" s="224"/>
      <c r="AD292" s="113"/>
      <c r="AE292" s="243">
        <v>36770</v>
      </c>
      <c r="AF292" s="21" t="s">
        <v>495</v>
      </c>
    </row>
    <row r="293" spans="1:32" ht="15" customHeight="1" x14ac:dyDescent="0.3">
      <c r="A293" s="38" t="s">
        <v>301</v>
      </c>
      <c r="B293" s="39">
        <v>33.369999999999997</v>
      </c>
      <c r="C293" s="39"/>
      <c r="D293" s="40"/>
      <c r="E293" s="40">
        <v>33.840000000000003</v>
      </c>
      <c r="F293" s="39">
        <v>34.01</v>
      </c>
      <c r="G293" s="39"/>
      <c r="H293" s="39">
        <v>31.35</v>
      </c>
      <c r="I293" s="39">
        <v>32.450000000000003</v>
      </c>
      <c r="J293" s="39">
        <v>27.7</v>
      </c>
      <c r="K293" s="39">
        <v>34.14</v>
      </c>
      <c r="L293" s="42"/>
      <c r="M293" s="39">
        <v>34.545272471939285</v>
      </c>
      <c r="N293" s="39"/>
      <c r="O293" s="39"/>
      <c r="P293" s="39"/>
      <c r="Q293" s="39">
        <v>35.28</v>
      </c>
      <c r="R293" s="39"/>
      <c r="S293" s="42"/>
      <c r="T293" s="39">
        <v>35.67</v>
      </c>
      <c r="U293" s="39">
        <v>29.8</v>
      </c>
      <c r="V293" s="39"/>
      <c r="W293" s="39">
        <v>29.12</v>
      </c>
      <c r="X293" s="42"/>
      <c r="Y293" s="39"/>
      <c r="Z293" s="39"/>
      <c r="AA293" s="39">
        <v>37.659999999999997</v>
      </c>
      <c r="AB293" s="100">
        <v>38.299999999999997</v>
      </c>
      <c r="AC293" s="224"/>
      <c r="AD293" s="113"/>
      <c r="AE293" s="243">
        <v>36800</v>
      </c>
      <c r="AF293" s="21" t="s">
        <v>495</v>
      </c>
    </row>
    <row r="294" spans="1:32" ht="15" customHeight="1" x14ac:dyDescent="0.3">
      <c r="A294" s="38" t="s">
        <v>302</v>
      </c>
      <c r="B294" s="39">
        <v>35.049999999999997</v>
      </c>
      <c r="C294" s="39"/>
      <c r="D294" s="40"/>
      <c r="E294" s="40">
        <v>33.796470146451369</v>
      </c>
      <c r="F294" s="39">
        <v>34.86</v>
      </c>
      <c r="G294" s="39"/>
      <c r="H294" s="39">
        <v>30.99</v>
      </c>
      <c r="I294" s="39">
        <v>32.617483206185419</v>
      </c>
      <c r="J294" s="39">
        <v>28.61</v>
      </c>
      <c r="K294" s="39">
        <v>34.36</v>
      </c>
      <c r="L294" s="42"/>
      <c r="M294" s="39">
        <v>34.453396747279875</v>
      </c>
      <c r="N294" s="39"/>
      <c r="O294" s="39"/>
      <c r="P294" s="39"/>
      <c r="Q294" s="39">
        <v>35.99</v>
      </c>
      <c r="R294" s="39"/>
      <c r="S294" s="42"/>
      <c r="T294" s="39">
        <v>35.67</v>
      </c>
      <c r="U294" s="39">
        <v>30.67</v>
      </c>
      <c r="V294" s="39"/>
      <c r="W294" s="39">
        <v>29.12</v>
      </c>
      <c r="X294" s="42"/>
      <c r="Y294" s="39"/>
      <c r="Z294" s="39"/>
      <c r="AA294" s="39">
        <v>37.51</v>
      </c>
      <c r="AB294" s="100">
        <v>36.68</v>
      </c>
      <c r="AC294" s="224"/>
      <c r="AD294" s="113"/>
      <c r="AE294" s="243">
        <v>36831</v>
      </c>
      <c r="AF294" s="21" t="s">
        <v>495</v>
      </c>
    </row>
    <row r="295" spans="1:32" ht="15" customHeight="1" x14ac:dyDescent="0.3">
      <c r="A295" s="44" t="s">
        <v>303</v>
      </c>
      <c r="B295" s="45">
        <v>34.409999999999997</v>
      </c>
      <c r="C295" s="45"/>
      <c r="D295" s="46"/>
      <c r="E295" s="46">
        <v>33.655090298886698</v>
      </c>
      <c r="F295" s="45">
        <v>34.07</v>
      </c>
      <c r="G295" s="45"/>
      <c r="H295" s="45">
        <v>29.9</v>
      </c>
      <c r="I295" s="45">
        <v>32.40358904970018</v>
      </c>
      <c r="J295" s="45">
        <v>29.35</v>
      </c>
      <c r="K295" s="45">
        <v>33.81</v>
      </c>
      <c r="L295" s="48"/>
      <c r="M295" s="45">
        <v>34.422771505726736</v>
      </c>
      <c r="N295" s="45"/>
      <c r="O295" s="45"/>
      <c r="P295" s="45"/>
      <c r="Q295" s="45">
        <v>35.47</v>
      </c>
      <c r="R295" s="45"/>
      <c r="S295" s="48"/>
      <c r="T295" s="45">
        <v>33.76</v>
      </c>
      <c r="U295" s="45">
        <v>31.03</v>
      </c>
      <c r="V295" s="45"/>
      <c r="W295" s="45">
        <v>29.12</v>
      </c>
      <c r="X295" s="48"/>
      <c r="Y295" s="45"/>
      <c r="Z295" s="45"/>
      <c r="AA295" s="45">
        <v>35.57</v>
      </c>
      <c r="AB295" s="101">
        <v>35.380000000000003</v>
      </c>
      <c r="AC295" s="225"/>
      <c r="AD295" s="114"/>
      <c r="AE295" s="244">
        <v>36861</v>
      </c>
      <c r="AF295" s="21" t="s">
        <v>495</v>
      </c>
    </row>
    <row r="296" spans="1:32" ht="15" customHeight="1" collapsed="1" x14ac:dyDescent="0.3">
      <c r="A296" s="54" t="s">
        <v>324</v>
      </c>
      <c r="B296" s="50">
        <v>33.07</v>
      </c>
      <c r="C296" s="50"/>
      <c r="D296" s="51"/>
      <c r="E296" s="51">
        <v>34.56</v>
      </c>
      <c r="F296" s="50">
        <v>33.270000000000003</v>
      </c>
      <c r="G296" s="50"/>
      <c r="H296" s="50">
        <v>29.03</v>
      </c>
      <c r="I296" s="50">
        <v>33</v>
      </c>
      <c r="J296" s="50">
        <v>30.19</v>
      </c>
      <c r="K296" s="50">
        <v>33.75</v>
      </c>
      <c r="L296" s="53"/>
      <c r="M296" s="50">
        <v>36.799999999999997</v>
      </c>
      <c r="N296" s="50"/>
      <c r="O296" s="50"/>
      <c r="P296" s="50"/>
      <c r="Q296" s="50">
        <v>34.36</v>
      </c>
      <c r="R296" s="50"/>
      <c r="S296" s="53"/>
      <c r="T296" s="50">
        <v>32.97</v>
      </c>
      <c r="U296" s="50">
        <v>31.32</v>
      </c>
      <c r="V296" s="50"/>
      <c r="W296" s="50">
        <v>31.54</v>
      </c>
      <c r="X296" s="53"/>
      <c r="Y296" s="50"/>
      <c r="Z296" s="50"/>
      <c r="AA296" s="50">
        <v>36.07</v>
      </c>
      <c r="AB296" s="102">
        <v>33.409999999999997</v>
      </c>
      <c r="AC296" s="226"/>
      <c r="AD296" s="112"/>
      <c r="AE296" s="242">
        <v>36892</v>
      </c>
      <c r="AF296" s="21" t="s">
        <v>495</v>
      </c>
    </row>
    <row r="297" spans="1:32" ht="15" customHeight="1" x14ac:dyDescent="0.3">
      <c r="A297" s="38" t="s">
        <v>315</v>
      </c>
      <c r="B297" s="39">
        <v>31.58</v>
      </c>
      <c r="C297" s="39"/>
      <c r="D297" s="40"/>
      <c r="E297" s="40">
        <v>34.44</v>
      </c>
      <c r="F297" s="39">
        <v>32.770000000000003</v>
      </c>
      <c r="G297" s="39"/>
      <c r="H297" s="39">
        <v>28.04</v>
      </c>
      <c r="I297" s="39">
        <v>33</v>
      </c>
      <c r="J297" s="39">
        <v>30.48</v>
      </c>
      <c r="K297" s="39">
        <v>32.799999999999997</v>
      </c>
      <c r="L297" s="42"/>
      <c r="M297" s="39">
        <v>36.799999999999997</v>
      </c>
      <c r="N297" s="39"/>
      <c r="O297" s="39"/>
      <c r="P297" s="39"/>
      <c r="Q297" s="39">
        <v>32.82</v>
      </c>
      <c r="R297" s="39"/>
      <c r="S297" s="42"/>
      <c r="T297" s="39">
        <v>32.090000000000003</v>
      </c>
      <c r="U297" s="39">
        <v>31.61</v>
      </c>
      <c r="V297" s="39"/>
      <c r="W297" s="39">
        <v>31.87</v>
      </c>
      <c r="X297" s="42"/>
      <c r="Y297" s="39"/>
      <c r="Z297" s="39"/>
      <c r="AA297" s="39">
        <v>36.299999999999997</v>
      </c>
      <c r="AB297" s="100">
        <v>33.03</v>
      </c>
      <c r="AC297" s="224"/>
      <c r="AD297" s="113"/>
      <c r="AE297" s="243">
        <v>36923</v>
      </c>
      <c r="AF297" s="21" t="s">
        <v>495</v>
      </c>
    </row>
    <row r="298" spans="1:32" ht="15" customHeight="1" x14ac:dyDescent="0.3">
      <c r="A298" s="38" t="s">
        <v>316</v>
      </c>
      <c r="B298" s="39">
        <v>30.07</v>
      </c>
      <c r="C298" s="39"/>
      <c r="D298" s="40"/>
      <c r="E298" s="40">
        <v>34.700000000000003</v>
      </c>
      <c r="F298" s="39">
        <v>32.409999999999997</v>
      </c>
      <c r="G298" s="39"/>
      <c r="H298" s="39">
        <v>27.19</v>
      </c>
      <c r="I298" s="39">
        <v>32.46</v>
      </c>
      <c r="J298" s="39">
        <v>30.63</v>
      </c>
      <c r="K298" s="39">
        <v>31.03</v>
      </c>
      <c r="L298" s="42"/>
      <c r="M298" s="39">
        <v>36.799999999999997</v>
      </c>
      <c r="N298" s="39"/>
      <c r="O298" s="39"/>
      <c r="P298" s="39"/>
      <c r="Q298" s="39">
        <v>31.68</v>
      </c>
      <c r="R298" s="39"/>
      <c r="S298" s="42"/>
      <c r="T298" s="39">
        <v>30.84</v>
      </c>
      <c r="U298" s="39">
        <v>31.54</v>
      </c>
      <c r="V298" s="39"/>
      <c r="W298" s="39">
        <v>32.04</v>
      </c>
      <c r="X298" s="42"/>
      <c r="Y298" s="39"/>
      <c r="Z298" s="39"/>
      <c r="AA298" s="39">
        <v>32.24</v>
      </c>
      <c r="AB298" s="100">
        <v>32.380000000000003</v>
      </c>
      <c r="AC298" s="224"/>
      <c r="AD298" s="113"/>
      <c r="AE298" s="243">
        <v>36951</v>
      </c>
      <c r="AF298" s="21" t="s">
        <v>495</v>
      </c>
    </row>
    <row r="299" spans="1:32" ht="15" customHeight="1" x14ac:dyDescent="0.3">
      <c r="A299" s="38" t="s">
        <v>317</v>
      </c>
      <c r="B299" s="39">
        <v>29</v>
      </c>
      <c r="C299" s="39"/>
      <c r="D299" s="40"/>
      <c r="E299" s="40">
        <v>34.299999999999997</v>
      </c>
      <c r="F299" s="39">
        <v>32.22</v>
      </c>
      <c r="G299" s="39"/>
      <c r="H299" s="39">
        <v>26.88</v>
      </c>
      <c r="I299" s="39">
        <v>32.46</v>
      </c>
      <c r="J299" s="39">
        <v>30.27</v>
      </c>
      <c r="K299" s="39">
        <v>29.69</v>
      </c>
      <c r="L299" s="42"/>
      <c r="M299" s="39">
        <v>39.17</v>
      </c>
      <c r="N299" s="39"/>
      <c r="O299" s="39"/>
      <c r="P299" s="39"/>
      <c r="Q299" s="39">
        <v>30.55</v>
      </c>
      <c r="R299" s="39"/>
      <c r="S299" s="42"/>
      <c r="T299" s="39">
        <v>31.06</v>
      </c>
      <c r="U299" s="39">
        <v>31.9</v>
      </c>
      <c r="V299" s="39"/>
      <c r="W299" s="39">
        <v>32.24</v>
      </c>
      <c r="X299" s="42"/>
      <c r="Y299" s="39"/>
      <c r="Z299" s="39"/>
      <c r="AA299" s="39">
        <v>32.450000000000003</v>
      </c>
      <c r="AB299" s="100">
        <v>31.22</v>
      </c>
      <c r="AC299" s="224"/>
      <c r="AD299" s="113"/>
      <c r="AE299" s="243">
        <v>36982</v>
      </c>
      <c r="AF299" s="21" t="s">
        <v>495</v>
      </c>
    </row>
    <row r="300" spans="1:32" ht="15" customHeight="1" x14ac:dyDescent="0.3">
      <c r="A300" s="38" t="s">
        <v>318</v>
      </c>
      <c r="B300" s="39">
        <v>28.68</v>
      </c>
      <c r="C300" s="39"/>
      <c r="D300" s="40"/>
      <c r="E300" s="40">
        <v>33.770000000000003</v>
      </c>
      <c r="F300" s="39">
        <v>32.380000000000003</v>
      </c>
      <c r="G300" s="39"/>
      <c r="H300" s="39">
        <v>27.54</v>
      </c>
      <c r="I300" s="39">
        <v>33.159999999999997</v>
      </c>
      <c r="J300" s="39">
        <v>30.5</v>
      </c>
      <c r="K300" s="39">
        <v>29.59</v>
      </c>
      <c r="L300" s="42"/>
      <c r="M300" s="39">
        <v>39.17</v>
      </c>
      <c r="N300" s="39"/>
      <c r="O300" s="39"/>
      <c r="P300" s="39"/>
      <c r="Q300" s="39">
        <v>30.42</v>
      </c>
      <c r="R300" s="39"/>
      <c r="S300" s="42"/>
      <c r="T300" s="39">
        <v>31.22</v>
      </c>
      <c r="U300" s="39">
        <v>31.9</v>
      </c>
      <c r="V300" s="39"/>
      <c r="W300" s="39">
        <v>32.369999999999997</v>
      </c>
      <c r="X300" s="42"/>
      <c r="Y300" s="39"/>
      <c r="Z300" s="39"/>
      <c r="AA300" s="39">
        <v>31.61</v>
      </c>
      <c r="AB300" s="100">
        <v>32.42</v>
      </c>
      <c r="AC300" s="224"/>
      <c r="AD300" s="113"/>
      <c r="AE300" s="243">
        <v>37012</v>
      </c>
      <c r="AF300" s="21" t="s">
        <v>495</v>
      </c>
    </row>
    <row r="301" spans="1:32" ht="15" customHeight="1" x14ac:dyDescent="0.3">
      <c r="A301" s="38" t="s">
        <v>319</v>
      </c>
      <c r="B301" s="39">
        <v>28.36</v>
      </c>
      <c r="C301" s="39"/>
      <c r="D301" s="40"/>
      <c r="E301" s="40">
        <v>33.54</v>
      </c>
      <c r="F301" s="39">
        <v>32.630000000000003</v>
      </c>
      <c r="G301" s="39"/>
      <c r="H301" s="39">
        <v>27.89</v>
      </c>
      <c r="I301" s="39">
        <v>32.909999999999997</v>
      </c>
      <c r="J301" s="39">
        <v>30.36</v>
      </c>
      <c r="K301" s="39">
        <v>29.18</v>
      </c>
      <c r="L301" s="42"/>
      <c r="M301" s="39">
        <v>39.17</v>
      </c>
      <c r="N301" s="39"/>
      <c r="O301" s="39"/>
      <c r="P301" s="39"/>
      <c r="Q301" s="39">
        <v>31.25</v>
      </c>
      <c r="R301" s="39"/>
      <c r="S301" s="42"/>
      <c r="T301" s="39">
        <v>32.44</v>
      </c>
      <c r="U301" s="39">
        <v>32.409999999999997</v>
      </c>
      <c r="V301" s="39"/>
      <c r="W301" s="39">
        <v>32.22</v>
      </c>
      <c r="X301" s="42"/>
      <c r="Y301" s="39"/>
      <c r="Z301" s="39"/>
      <c r="AA301" s="39">
        <v>31.41</v>
      </c>
      <c r="AB301" s="100">
        <v>31.97</v>
      </c>
      <c r="AC301" s="224"/>
      <c r="AD301" s="113"/>
      <c r="AE301" s="243">
        <v>37043</v>
      </c>
      <c r="AF301" s="21" t="s">
        <v>495</v>
      </c>
    </row>
    <row r="302" spans="1:32" ht="15" customHeight="1" x14ac:dyDescent="0.3">
      <c r="A302" s="38" t="s">
        <v>320</v>
      </c>
      <c r="B302" s="39">
        <v>30.04</v>
      </c>
      <c r="C302" s="39"/>
      <c r="D302" s="40"/>
      <c r="E302" s="40">
        <v>33.31</v>
      </c>
      <c r="F302" s="39">
        <v>33.44</v>
      </c>
      <c r="G302" s="39"/>
      <c r="H302" s="39">
        <v>28.12</v>
      </c>
      <c r="I302" s="39">
        <v>33.22</v>
      </c>
      <c r="J302" s="39">
        <v>31.2</v>
      </c>
      <c r="K302" s="39">
        <v>31.17</v>
      </c>
      <c r="L302" s="42"/>
      <c r="M302" s="39">
        <v>39.17</v>
      </c>
      <c r="N302" s="39"/>
      <c r="O302" s="39"/>
      <c r="P302" s="39"/>
      <c r="Q302" s="39">
        <v>32.42</v>
      </c>
      <c r="R302" s="39"/>
      <c r="S302" s="42"/>
      <c r="T302" s="39">
        <v>31.28</v>
      </c>
      <c r="U302" s="39">
        <v>32.78</v>
      </c>
      <c r="V302" s="39"/>
      <c r="W302" s="39">
        <v>33.130000000000003</v>
      </c>
      <c r="X302" s="42"/>
      <c r="Y302" s="39"/>
      <c r="Z302" s="39"/>
      <c r="AA302" s="39">
        <v>33.72</v>
      </c>
      <c r="AB302" s="100">
        <v>31.63</v>
      </c>
      <c r="AC302" s="224"/>
      <c r="AD302" s="113"/>
      <c r="AE302" s="243">
        <v>37073</v>
      </c>
      <c r="AF302" s="21" t="s">
        <v>495</v>
      </c>
    </row>
    <row r="303" spans="1:32" ht="15" customHeight="1" x14ac:dyDescent="0.3">
      <c r="A303" s="38" t="s">
        <v>321</v>
      </c>
      <c r="B303" s="39">
        <v>31.51</v>
      </c>
      <c r="C303" s="39"/>
      <c r="D303" s="40"/>
      <c r="E303" s="40">
        <v>33.450000000000003</v>
      </c>
      <c r="F303" s="39">
        <v>34.4</v>
      </c>
      <c r="G303" s="39"/>
      <c r="H303" s="39">
        <v>28.98</v>
      </c>
      <c r="I303" s="39">
        <v>33.15</v>
      </c>
      <c r="J303" s="39">
        <v>30.6</v>
      </c>
      <c r="K303" s="39">
        <v>32.81</v>
      </c>
      <c r="L303" s="42"/>
      <c r="M303" s="39">
        <v>39.17</v>
      </c>
      <c r="N303" s="39"/>
      <c r="O303" s="39"/>
      <c r="P303" s="39"/>
      <c r="Q303" s="39">
        <v>34.130000000000003</v>
      </c>
      <c r="R303" s="39"/>
      <c r="S303" s="42"/>
      <c r="T303" s="39">
        <v>36.96</v>
      </c>
      <c r="U303" s="39">
        <v>33.36</v>
      </c>
      <c r="V303" s="39"/>
      <c r="W303" s="39">
        <v>33.04</v>
      </c>
      <c r="X303" s="42"/>
      <c r="Y303" s="39"/>
      <c r="Z303" s="39"/>
      <c r="AA303" s="39">
        <v>36.729999999999997</v>
      </c>
      <c r="AB303" s="100">
        <v>32.33</v>
      </c>
      <c r="AC303" s="224"/>
      <c r="AD303" s="113"/>
      <c r="AE303" s="243">
        <v>37104</v>
      </c>
      <c r="AF303" s="21" t="s">
        <v>495</v>
      </c>
    </row>
    <row r="304" spans="1:32" ht="15" customHeight="1" x14ac:dyDescent="0.3">
      <c r="A304" s="38" t="s">
        <v>304</v>
      </c>
      <c r="B304" s="39">
        <v>34.159999999999997</v>
      </c>
      <c r="C304" s="39"/>
      <c r="D304" s="40"/>
      <c r="E304" s="40">
        <v>34.4</v>
      </c>
      <c r="F304" s="39">
        <v>36.340000000000003</v>
      </c>
      <c r="G304" s="39"/>
      <c r="H304" s="39">
        <v>30.16</v>
      </c>
      <c r="I304" s="39">
        <v>32.869999999999997</v>
      </c>
      <c r="J304" s="39">
        <v>30.68</v>
      </c>
      <c r="K304" s="39">
        <v>34.15</v>
      </c>
      <c r="L304" s="42"/>
      <c r="M304" s="39">
        <v>39.17</v>
      </c>
      <c r="N304" s="39"/>
      <c r="O304" s="39"/>
      <c r="P304" s="39"/>
      <c r="Q304" s="39">
        <v>37.630000000000003</v>
      </c>
      <c r="R304" s="39"/>
      <c r="S304" s="42"/>
      <c r="T304" s="39">
        <v>37.130000000000003</v>
      </c>
      <c r="U304" s="39">
        <v>34.880000000000003</v>
      </c>
      <c r="V304" s="39"/>
      <c r="W304" s="39">
        <v>33.31</v>
      </c>
      <c r="X304" s="42"/>
      <c r="Y304" s="39"/>
      <c r="Z304" s="39"/>
      <c r="AA304" s="39">
        <v>38.36</v>
      </c>
      <c r="AB304" s="100">
        <v>31.58</v>
      </c>
      <c r="AC304" s="224"/>
      <c r="AD304" s="113"/>
      <c r="AE304" s="243">
        <v>37135</v>
      </c>
      <c r="AF304" s="21" t="s">
        <v>495</v>
      </c>
    </row>
    <row r="305" spans="1:32" ht="15" customHeight="1" x14ac:dyDescent="0.3">
      <c r="A305" s="38" t="s">
        <v>305</v>
      </c>
      <c r="B305" s="39">
        <v>35.57</v>
      </c>
      <c r="C305" s="39"/>
      <c r="D305" s="40"/>
      <c r="E305" s="40">
        <v>34.96</v>
      </c>
      <c r="F305" s="39">
        <v>36.85</v>
      </c>
      <c r="G305" s="39"/>
      <c r="H305" s="39">
        <v>31.33</v>
      </c>
      <c r="I305" s="39">
        <v>32.880000000000003</v>
      </c>
      <c r="J305" s="39">
        <v>31.08</v>
      </c>
      <c r="K305" s="39">
        <v>34.26</v>
      </c>
      <c r="L305" s="42"/>
      <c r="M305" s="39">
        <v>39.17</v>
      </c>
      <c r="N305" s="39"/>
      <c r="O305" s="39"/>
      <c r="P305" s="39"/>
      <c r="Q305" s="39">
        <v>38.24</v>
      </c>
      <c r="R305" s="39"/>
      <c r="S305" s="42"/>
      <c r="T305" s="39">
        <v>37.79</v>
      </c>
      <c r="U305" s="39">
        <v>35.46</v>
      </c>
      <c r="V305" s="39"/>
      <c r="W305" s="39">
        <v>33.65</v>
      </c>
      <c r="X305" s="42"/>
      <c r="Y305" s="39"/>
      <c r="Z305" s="39"/>
      <c r="AA305" s="39">
        <v>38.82</v>
      </c>
      <c r="AB305" s="100">
        <v>32.21</v>
      </c>
      <c r="AC305" s="224"/>
      <c r="AD305" s="113"/>
      <c r="AE305" s="243">
        <v>37165</v>
      </c>
      <c r="AF305" s="21" t="s">
        <v>495</v>
      </c>
    </row>
    <row r="306" spans="1:32" ht="15" customHeight="1" x14ac:dyDescent="0.3">
      <c r="A306" s="38" t="s">
        <v>306</v>
      </c>
      <c r="B306" s="39">
        <v>36.42</v>
      </c>
      <c r="C306" s="39"/>
      <c r="D306" s="40"/>
      <c r="E306" s="40">
        <v>35.19</v>
      </c>
      <c r="F306" s="39">
        <v>37.17</v>
      </c>
      <c r="G306" s="39"/>
      <c r="H306" s="39">
        <v>31.59</v>
      </c>
      <c r="I306" s="39">
        <v>33.450000000000003</v>
      </c>
      <c r="J306" s="39">
        <v>31.03</v>
      </c>
      <c r="K306" s="39">
        <v>34.78</v>
      </c>
      <c r="L306" s="42"/>
      <c r="M306" s="39">
        <v>39.17</v>
      </c>
      <c r="N306" s="39"/>
      <c r="O306" s="39"/>
      <c r="P306" s="39"/>
      <c r="Q306" s="39">
        <v>39.61</v>
      </c>
      <c r="R306" s="39"/>
      <c r="S306" s="42"/>
      <c r="T306" s="39">
        <v>38.86</v>
      </c>
      <c r="U306" s="39">
        <v>36.99</v>
      </c>
      <c r="V306" s="39"/>
      <c r="W306" s="39">
        <v>34.090000000000003</v>
      </c>
      <c r="X306" s="42"/>
      <c r="Y306" s="39"/>
      <c r="Z306" s="39"/>
      <c r="AA306" s="39">
        <v>38.979999999999997</v>
      </c>
      <c r="AB306" s="100">
        <v>32.549999999999997</v>
      </c>
      <c r="AC306" s="224"/>
      <c r="AD306" s="113"/>
      <c r="AE306" s="243">
        <v>37196</v>
      </c>
      <c r="AF306" s="21" t="s">
        <v>495</v>
      </c>
    </row>
    <row r="307" spans="1:32" ht="15" customHeight="1" collapsed="1" x14ac:dyDescent="0.3">
      <c r="A307" s="44" t="s">
        <v>307</v>
      </c>
      <c r="B307" s="45">
        <v>35.119999999999997</v>
      </c>
      <c r="C307" s="45"/>
      <c r="D307" s="46"/>
      <c r="E307" s="46">
        <v>35.200000000000003</v>
      </c>
      <c r="F307" s="45">
        <v>36.049999999999997</v>
      </c>
      <c r="G307" s="45"/>
      <c r="H307" s="45">
        <v>29.7</v>
      </c>
      <c r="I307" s="45">
        <v>33.4</v>
      </c>
      <c r="J307" s="45">
        <v>31.12</v>
      </c>
      <c r="K307" s="45">
        <v>34.659999999999997</v>
      </c>
      <c r="L307" s="42"/>
      <c r="M307" s="39">
        <v>39.17</v>
      </c>
      <c r="N307" s="45"/>
      <c r="O307" s="45"/>
      <c r="P307" s="45"/>
      <c r="Q307" s="45">
        <v>38.94</v>
      </c>
      <c r="R307" s="45"/>
      <c r="S307" s="48"/>
      <c r="T307" s="45">
        <v>36.78</v>
      </c>
      <c r="U307" s="45">
        <v>36.99</v>
      </c>
      <c r="V307" s="45"/>
      <c r="W307" s="45">
        <v>34.409999999999997</v>
      </c>
      <c r="X307" s="48"/>
      <c r="Y307" s="45"/>
      <c r="Z307" s="45"/>
      <c r="AA307" s="45">
        <v>39.369999999999997</v>
      </c>
      <c r="AB307" s="101">
        <v>31.91</v>
      </c>
      <c r="AC307" s="225"/>
      <c r="AD307" s="114"/>
      <c r="AE307" s="244">
        <v>37226</v>
      </c>
      <c r="AF307" s="21" t="s">
        <v>495</v>
      </c>
    </row>
    <row r="308" spans="1:32" ht="15" customHeight="1" collapsed="1" x14ac:dyDescent="0.3">
      <c r="A308" s="49" t="s">
        <v>312</v>
      </c>
      <c r="B308" s="34">
        <v>33.14</v>
      </c>
      <c r="C308" s="34"/>
      <c r="D308" s="35">
        <v>25.05</v>
      </c>
      <c r="E308" s="35">
        <v>34.85</v>
      </c>
      <c r="F308" s="34">
        <v>33.799999999999997</v>
      </c>
      <c r="G308" s="34"/>
      <c r="H308" s="34">
        <v>28.39</v>
      </c>
      <c r="I308" s="34">
        <v>33.61</v>
      </c>
      <c r="J308" s="34">
        <v>30.73</v>
      </c>
      <c r="K308" s="34">
        <v>33.57</v>
      </c>
      <c r="L308" s="37"/>
      <c r="M308" s="34">
        <v>39.17</v>
      </c>
      <c r="N308" s="34"/>
      <c r="O308" s="34"/>
      <c r="P308" s="34"/>
      <c r="Q308" s="34">
        <v>36.923909635592963</v>
      </c>
      <c r="R308" s="34">
        <v>28.526902887139112</v>
      </c>
      <c r="S308" s="37"/>
      <c r="T308" s="34">
        <v>33.49</v>
      </c>
      <c r="U308" s="34">
        <v>35.31</v>
      </c>
      <c r="V308" s="34"/>
      <c r="W308" s="34">
        <v>34.08</v>
      </c>
      <c r="X308" s="37"/>
      <c r="Y308" s="34"/>
      <c r="Z308" s="34"/>
      <c r="AA308" s="34">
        <v>36.47</v>
      </c>
      <c r="AB308" s="99">
        <v>32.74</v>
      </c>
      <c r="AC308" s="223"/>
      <c r="AD308" s="112"/>
      <c r="AE308" s="245">
        <v>37257</v>
      </c>
      <c r="AF308" s="21" t="s">
        <v>495</v>
      </c>
    </row>
    <row r="309" spans="1:32" ht="15" customHeight="1" x14ac:dyDescent="0.3">
      <c r="A309" s="38" t="s">
        <v>313</v>
      </c>
      <c r="B309" s="39">
        <v>30.29</v>
      </c>
      <c r="C309" s="39"/>
      <c r="D309" s="40">
        <v>25.21</v>
      </c>
      <c r="E309" s="40">
        <v>34.32</v>
      </c>
      <c r="F309" s="39">
        <v>32.57</v>
      </c>
      <c r="G309" s="39"/>
      <c r="H309" s="39">
        <v>27.35</v>
      </c>
      <c r="I309" s="39">
        <v>33.79</v>
      </c>
      <c r="J309" s="39">
        <v>29.6</v>
      </c>
      <c r="K309" s="39">
        <v>32.18</v>
      </c>
      <c r="L309" s="42"/>
      <c r="M309" s="39">
        <v>39.33</v>
      </c>
      <c r="N309" s="39"/>
      <c r="O309" s="39"/>
      <c r="P309" s="39"/>
      <c r="Q309" s="39">
        <v>33.908316002094203</v>
      </c>
      <c r="R309" s="39">
        <v>28.549135559114614</v>
      </c>
      <c r="S309" s="42"/>
      <c r="T309" s="39">
        <v>32.99</v>
      </c>
      <c r="U309" s="39">
        <v>34.590000000000003</v>
      </c>
      <c r="V309" s="39"/>
      <c r="W309" s="39">
        <v>33.840000000000003</v>
      </c>
      <c r="X309" s="42"/>
      <c r="Y309" s="39"/>
      <c r="Z309" s="39"/>
      <c r="AA309" s="39">
        <v>36.15</v>
      </c>
      <c r="AB309" s="100">
        <v>32.57</v>
      </c>
      <c r="AC309" s="224"/>
      <c r="AD309" s="113"/>
      <c r="AE309" s="243">
        <v>37288</v>
      </c>
      <c r="AF309" s="21" t="s">
        <v>495</v>
      </c>
    </row>
    <row r="310" spans="1:32" ht="15" customHeight="1" x14ac:dyDescent="0.3">
      <c r="A310" s="38" t="s">
        <v>314</v>
      </c>
      <c r="B310" s="39">
        <v>28.2</v>
      </c>
      <c r="C310" s="39"/>
      <c r="D310" s="40">
        <v>25.47</v>
      </c>
      <c r="E310" s="40">
        <v>34.44</v>
      </c>
      <c r="F310" s="39">
        <v>32.17</v>
      </c>
      <c r="G310" s="39"/>
      <c r="H310" s="39">
        <v>25.99</v>
      </c>
      <c r="I310" s="39">
        <v>33.869999999999997</v>
      </c>
      <c r="J310" s="39">
        <v>29.26</v>
      </c>
      <c r="K310" s="39">
        <v>30.54</v>
      </c>
      <c r="L310" s="42"/>
      <c r="M310" s="39">
        <v>39.33</v>
      </c>
      <c r="N310" s="39"/>
      <c r="O310" s="39"/>
      <c r="P310" s="39"/>
      <c r="Q310" s="39">
        <v>32.299004221441749</v>
      </c>
      <c r="R310" s="39">
        <v>28.601192907917316</v>
      </c>
      <c r="S310" s="42"/>
      <c r="T310" s="39">
        <v>31.04</v>
      </c>
      <c r="U310" s="39">
        <v>34.06</v>
      </c>
      <c r="V310" s="39"/>
      <c r="W310" s="39">
        <v>33.86</v>
      </c>
      <c r="X310" s="42"/>
      <c r="Y310" s="39"/>
      <c r="Z310" s="39"/>
      <c r="AA310" s="39">
        <v>33.07</v>
      </c>
      <c r="AB310" s="100">
        <v>32.9</v>
      </c>
      <c r="AC310" s="224"/>
      <c r="AD310" s="113"/>
      <c r="AE310" s="243">
        <v>37316</v>
      </c>
      <c r="AF310" s="21" t="s">
        <v>495</v>
      </c>
    </row>
    <row r="311" spans="1:32" ht="15" customHeight="1" x14ac:dyDescent="0.3">
      <c r="A311" s="54" t="s">
        <v>322</v>
      </c>
      <c r="B311" s="39">
        <v>26.5</v>
      </c>
      <c r="C311" s="39"/>
      <c r="D311" s="40">
        <v>26.32</v>
      </c>
      <c r="E311" s="40">
        <v>34.44</v>
      </c>
      <c r="F311" s="39">
        <v>30.95</v>
      </c>
      <c r="G311" s="39"/>
      <c r="H311" s="39">
        <v>25.47</v>
      </c>
      <c r="I311" s="39">
        <v>33.799999999999997</v>
      </c>
      <c r="J311" s="39">
        <v>28.89</v>
      </c>
      <c r="K311" s="39">
        <v>29.12</v>
      </c>
      <c r="L311" s="42"/>
      <c r="M311" s="39">
        <v>38.83</v>
      </c>
      <c r="N311" s="39"/>
      <c r="O311" s="39"/>
      <c r="P311" s="39"/>
      <c r="Q311" s="39">
        <v>31.093621255115714</v>
      </c>
      <c r="R311" s="39">
        <v>28.684058449599604</v>
      </c>
      <c r="S311" s="42"/>
      <c r="T311" s="39">
        <v>30.42</v>
      </c>
      <c r="U311" s="39">
        <v>32.08</v>
      </c>
      <c r="V311" s="39"/>
      <c r="W311" s="39">
        <v>33.54</v>
      </c>
      <c r="X311" s="42"/>
      <c r="Y311" s="39"/>
      <c r="Z311" s="39"/>
      <c r="AA311" s="39">
        <v>33</v>
      </c>
      <c r="AB311" s="100">
        <v>32.630000000000003</v>
      </c>
      <c r="AC311" s="224"/>
      <c r="AD311" s="113"/>
      <c r="AE311" s="243">
        <v>37347</v>
      </c>
      <c r="AF311" s="21" t="s">
        <v>495</v>
      </c>
    </row>
    <row r="312" spans="1:32" ht="15" customHeight="1" x14ac:dyDescent="0.3">
      <c r="A312" s="38" t="s">
        <v>323</v>
      </c>
      <c r="B312" s="39">
        <v>25.47</v>
      </c>
      <c r="C312" s="39"/>
      <c r="D312" s="40">
        <v>25.97</v>
      </c>
      <c r="E312" s="40">
        <v>33.89</v>
      </c>
      <c r="F312" s="39">
        <v>29.71</v>
      </c>
      <c r="G312" s="39"/>
      <c r="H312" s="39">
        <v>25.57</v>
      </c>
      <c r="I312" s="39">
        <v>33.909999999999997</v>
      </c>
      <c r="J312" s="39">
        <v>28.65</v>
      </c>
      <c r="K312" s="39">
        <v>29.41</v>
      </c>
      <c r="L312" s="42"/>
      <c r="M312" s="39">
        <v>38.83</v>
      </c>
      <c r="N312" s="39"/>
      <c r="O312" s="39"/>
      <c r="P312" s="39"/>
      <c r="Q312" s="39">
        <v>29.781342287552633</v>
      </c>
      <c r="R312" s="39">
        <v>28.511074651353567</v>
      </c>
      <c r="S312" s="42"/>
      <c r="T312" s="39">
        <v>30.25</v>
      </c>
      <c r="U312" s="39">
        <v>30.08</v>
      </c>
      <c r="V312" s="39"/>
      <c r="W312" s="39">
        <v>33.270000000000003</v>
      </c>
      <c r="X312" s="42"/>
      <c r="Y312" s="39"/>
      <c r="Z312" s="39"/>
      <c r="AA312" s="39">
        <v>32.68</v>
      </c>
      <c r="AB312" s="100">
        <v>32.33</v>
      </c>
      <c r="AC312" s="224"/>
      <c r="AD312" s="113"/>
      <c r="AE312" s="243">
        <v>37377</v>
      </c>
      <c r="AF312" s="21" t="s">
        <v>495</v>
      </c>
    </row>
    <row r="313" spans="1:32" ht="15" customHeight="1" x14ac:dyDescent="0.3">
      <c r="A313" s="38" t="s">
        <v>325</v>
      </c>
      <c r="B313" s="39">
        <v>24.96</v>
      </c>
      <c r="C313" s="39"/>
      <c r="D313" s="40">
        <v>25.97</v>
      </c>
      <c r="E313" s="40">
        <v>33.36</v>
      </c>
      <c r="F313" s="39">
        <v>28.92</v>
      </c>
      <c r="G313" s="39"/>
      <c r="H313" s="39">
        <v>25.45</v>
      </c>
      <c r="I313" s="39">
        <v>33.619999999999997</v>
      </c>
      <c r="J313" s="39">
        <v>28.45</v>
      </c>
      <c r="K313" s="39">
        <v>28.76</v>
      </c>
      <c r="L313" s="42"/>
      <c r="M313" s="39">
        <v>38.83</v>
      </c>
      <c r="N313" s="39"/>
      <c r="O313" s="39"/>
      <c r="P313" s="39"/>
      <c r="Q313" s="39">
        <v>29.487158733518488</v>
      </c>
      <c r="R313" s="39">
        <v>28.284784310494004</v>
      </c>
      <c r="S313" s="42"/>
      <c r="T313" s="39">
        <v>30.27</v>
      </c>
      <c r="U313" s="39">
        <v>29.49</v>
      </c>
      <c r="V313" s="39"/>
      <c r="W313" s="39">
        <v>32.92</v>
      </c>
      <c r="X313" s="42"/>
      <c r="Y313" s="39"/>
      <c r="Z313" s="39"/>
      <c r="AA313" s="39">
        <v>32.49</v>
      </c>
      <c r="AB313" s="100">
        <v>32.71</v>
      </c>
      <c r="AC313" s="224"/>
      <c r="AD313" s="113"/>
      <c r="AE313" s="243">
        <v>37408</v>
      </c>
      <c r="AF313" s="21" t="s">
        <v>495</v>
      </c>
    </row>
    <row r="314" spans="1:32" ht="15" customHeight="1" x14ac:dyDescent="0.3">
      <c r="A314" s="38" t="s">
        <v>326</v>
      </c>
      <c r="B314" s="39">
        <v>25.6</v>
      </c>
      <c r="C314" s="39"/>
      <c r="D314" s="40">
        <v>26.34</v>
      </c>
      <c r="E314" s="40">
        <v>33.24</v>
      </c>
      <c r="F314" s="39">
        <v>28.85</v>
      </c>
      <c r="G314" s="39"/>
      <c r="H314" s="39">
        <v>25.38</v>
      </c>
      <c r="I314" s="39">
        <v>34.1</v>
      </c>
      <c r="J314" s="39">
        <v>28.77</v>
      </c>
      <c r="K314" s="39">
        <v>30.17</v>
      </c>
      <c r="L314" s="42"/>
      <c r="M314" s="39">
        <v>39</v>
      </c>
      <c r="N314" s="39"/>
      <c r="O314" s="39"/>
      <c r="P314" s="39"/>
      <c r="Q314" s="39">
        <v>30.279929456127611</v>
      </c>
      <c r="R314" s="39">
        <v>27.865596627756162</v>
      </c>
      <c r="S314" s="42"/>
      <c r="T314" s="39">
        <v>30.34</v>
      </c>
      <c r="U314" s="39">
        <v>29.23</v>
      </c>
      <c r="V314" s="39"/>
      <c r="W314" s="39">
        <v>32.83</v>
      </c>
      <c r="X314" s="42"/>
      <c r="Y314" s="39"/>
      <c r="Z314" s="39"/>
      <c r="AA314" s="39">
        <v>35.32</v>
      </c>
      <c r="AB314" s="100">
        <v>32.590000000000003</v>
      </c>
      <c r="AC314" s="224"/>
      <c r="AD314" s="113"/>
      <c r="AE314" s="243">
        <v>37438</v>
      </c>
      <c r="AF314" s="21" t="s">
        <v>495</v>
      </c>
    </row>
    <row r="315" spans="1:32" ht="15" customHeight="1" x14ac:dyDescent="0.3">
      <c r="A315" s="38" t="s">
        <v>327</v>
      </c>
      <c r="B315" s="39">
        <v>27.76</v>
      </c>
      <c r="C315" s="39"/>
      <c r="D315" s="40">
        <v>25.33</v>
      </c>
      <c r="E315" s="40">
        <v>33.119999999999997</v>
      </c>
      <c r="F315" s="39">
        <v>29.34</v>
      </c>
      <c r="G315" s="39"/>
      <c r="H315" s="39">
        <v>25.85</v>
      </c>
      <c r="I315" s="39">
        <v>34.1</v>
      </c>
      <c r="J315" s="39">
        <v>28.15</v>
      </c>
      <c r="K315" s="39">
        <v>31.99</v>
      </c>
      <c r="L315" s="42"/>
      <c r="M315" s="39">
        <v>39</v>
      </c>
      <c r="N315" s="39"/>
      <c r="O315" s="39"/>
      <c r="P315" s="39"/>
      <c r="Q315" s="39">
        <v>31.977228619257634</v>
      </c>
      <c r="R315" s="39">
        <v>27.957602935181409</v>
      </c>
      <c r="S315" s="42"/>
      <c r="T315" s="39">
        <v>35.020000000000003</v>
      </c>
      <c r="U315" s="39">
        <v>29.23</v>
      </c>
      <c r="V315" s="39"/>
      <c r="W315" s="39">
        <v>33.159999999999997</v>
      </c>
      <c r="X315" s="42"/>
      <c r="Y315" s="39"/>
      <c r="Z315" s="39"/>
      <c r="AA315" s="39">
        <v>37.29</v>
      </c>
      <c r="AB315" s="100">
        <v>32.340000000000003</v>
      </c>
      <c r="AC315" s="224"/>
      <c r="AD315" s="113"/>
      <c r="AE315" s="243">
        <v>37469</v>
      </c>
      <c r="AF315" s="21" t="s">
        <v>495</v>
      </c>
    </row>
    <row r="316" spans="1:32" ht="15" customHeight="1" x14ac:dyDescent="0.3">
      <c r="A316" s="38" t="s">
        <v>308</v>
      </c>
      <c r="B316" s="39">
        <v>30.13</v>
      </c>
      <c r="C316" s="39"/>
      <c r="D316" s="40">
        <v>25.93</v>
      </c>
      <c r="E316" s="40">
        <v>34.06</v>
      </c>
      <c r="F316" s="39">
        <v>30.51</v>
      </c>
      <c r="G316" s="39"/>
      <c r="H316" s="39">
        <v>27.22</v>
      </c>
      <c r="I316" s="39">
        <v>34.43</v>
      </c>
      <c r="J316" s="39">
        <v>27.74</v>
      </c>
      <c r="K316" s="39">
        <v>32.89</v>
      </c>
      <c r="L316" s="42"/>
      <c r="M316" s="39">
        <v>39</v>
      </c>
      <c r="N316" s="39"/>
      <c r="O316" s="39"/>
      <c r="P316" s="39"/>
      <c r="Q316" s="39">
        <v>35.087297003186379</v>
      </c>
      <c r="R316" s="39">
        <v>28.455451228012635</v>
      </c>
      <c r="S316" s="42"/>
      <c r="T316" s="39">
        <v>35.119999999999997</v>
      </c>
      <c r="U316" s="39">
        <v>30.48</v>
      </c>
      <c r="V316" s="39"/>
      <c r="W316" s="39">
        <v>33.21</v>
      </c>
      <c r="X316" s="42"/>
      <c r="Y316" s="39"/>
      <c r="Z316" s="39"/>
      <c r="AA316" s="39">
        <v>38.840000000000003</v>
      </c>
      <c r="AB316" s="100">
        <v>33.82</v>
      </c>
      <c r="AC316" s="224"/>
      <c r="AD316" s="113"/>
      <c r="AE316" s="243">
        <v>37500</v>
      </c>
      <c r="AF316" s="21" t="s">
        <v>495</v>
      </c>
    </row>
    <row r="317" spans="1:32" ht="15" customHeight="1" x14ac:dyDescent="0.3">
      <c r="A317" s="38" t="s">
        <v>309</v>
      </c>
      <c r="B317" s="39">
        <v>32.35</v>
      </c>
      <c r="C317" s="39"/>
      <c r="D317" s="40">
        <v>25.57</v>
      </c>
      <c r="E317" s="40">
        <v>34.99</v>
      </c>
      <c r="F317" s="39">
        <v>32.159999999999997</v>
      </c>
      <c r="G317" s="39"/>
      <c r="H317" s="39">
        <v>28.79</v>
      </c>
      <c r="I317" s="39">
        <v>34.46</v>
      </c>
      <c r="J317" s="39">
        <v>27.81</v>
      </c>
      <c r="K317" s="39">
        <v>33.049999999999997</v>
      </c>
      <c r="L317" s="42"/>
      <c r="M317" s="39">
        <v>38.94</v>
      </c>
      <c r="N317" s="39"/>
      <c r="O317" s="39"/>
      <c r="P317" s="39"/>
      <c r="Q317" s="39">
        <v>36.674959115051955</v>
      </c>
      <c r="R317" s="39">
        <v>28.772635814889334</v>
      </c>
      <c r="S317" s="42"/>
      <c r="T317" s="39">
        <v>35.49</v>
      </c>
      <c r="U317" s="39">
        <v>31.17</v>
      </c>
      <c r="V317" s="39"/>
      <c r="W317" s="39">
        <v>33.32</v>
      </c>
      <c r="X317" s="42"/>
      <c r="Y317" s="39"/>
      <c r="Z317" s="39"/>
      <c r="AA317" s="39">
        <v>39.799999999999997</v>
      </c>
      <c r="AB317" s="100">
        <v>34.94</v>
      </c>
      <c r="AC317" s="224"/>
      <c r="AD317" s="113"/>
      <c r="AE317" s="243">
        <v>37530</v>
      </c>
      <c r="AF317" s="21" t="s">
        <v>495</v>
      </c>
    </row>
    <row r="318" spans="1:32" ht="15" customHeight="1" x14ac:dyDescent="0.3">
      <c r="A318" s="38" t="s">
        <v>310</v>
      </c>
      <c r="B318" s="39">
        <v>32.799999999999997</v>
      </c>
      <c r="C318" s="39"/>
      <c r="D318" s="40">
        <v>25.58</v>
      </c>
      <c r="E318" s="40">
        <v>35.14</v>
      </c>
      <c r="F318" s="39">
        <v>32.56</v>
      </c>
      <c r="G318" s="39"/>
      <c r="H318" s="39">
        <v>29.46</v>
      </c>
      <c r="I318" s="39">
        <v>34.44</v>
      </c>
      <c r="J318" s="39">
        <v>28.28</v>
      </c>
      <c r="K318" s="39">
        <v>32.93</v>
      </c>
      <c r="L318" s="42"/>
      <c r="M318" s="39">
        <v>37.880000000000003</v>
      </c>
      <c r="N318" s="39"/>
      <c r="O318" s="39"/>
      <c r="P318" s="39"/>
      <c r="Q318" s="39">
        <v>36.610210591560758</v>
      </c>
      <c r="R318" s="39">
        <v>29.519412381951732</v>
      </c>
      <c r="S318" s="42"/>
      <c r="T318" s="39">
        <v>35.83</v>
      </c>
      <c r="U318" s="39">
        <v>31.44</v>
      </c>
      <c r="V318" s="39"/>
      <c r="W318" s="39">
        <v>28.16</v>
      </c>
      <c r="X318" s="42"/>
      <c r="Y318" s="39"/>
      <c r="Z318" s="39"/>
      <c r="AA318" s="39">
        <v>40.04</v>
      </c>
      <c r="AB318" s="100">
        <v>34.700000000000003</v>
      </c>
      <c r="AC318" s="224"/>
      <c r="AD318" s="113"/>
      <c r="AE318" s="243">
        <v>37561</v>
      </c>
      <c r="AF318" s="21" t="s">
        <v>495</v>
      </c>
    </row>
    <row r="319" spans="1:32" ht="15" customHeight="1" x14ac:dyDescent="0.3">
      <c r="A319" s="44" t="s">
        <v>311</v>
      </c>
      <c r="B319" s="45">
        <v>32.54</v>
      </c>
      <c r="C319" s="45"/>
      <c r="D319" s="46">
        <v>25.22</v>
      </c>
      <c r="E319" s="46">
        <v>34.840000000000003</v>
      </c>
      <c r="F319" s="45">
        <v>31.76</v>
      </c>
      <c r="G319" s="45"/>
      <c r="H319" s="45">
        <v>28.46</v>
      </c>
      <c r="I319" s="45">
        <v>34.07</v>
      </c>
      <c r="J319" s="45">
        <v>28.18</v>
      </c>
      <c r="K319" s="45">
        <v>32.700000000000003</v>
      </c>
      <c r="L319" s="48"/>
      <c r="M319" s="45">
        <v>37.590000000000003</v>
      </c>
      <c r="N319" s="45"/>
      <c r="O319" s="45"/>
      <c r="P319" s="45"/>
      <c r="Q319" s="45">
        <v>36.71299672909231</v>
      </c>
      <c r="R319" s="45">
        <v>29.792010844241112</v>
      </c>
      <c r="S319" s="48"/>
      <c r="T319" s="45">
        <v>33.520000000000003</v>
      </c>
      <c r="U319" s="45">
        <v>32.24</v>
      </c>
      <c r="V319" s="45"/>
      <c r="W319" s="45">
        <v>33.68</v>
      </c>
      <c r="X319" s="48"/>
      <c r="Y319" s="45"/>
      <c r="Z319" s="45"/>
      <c r="AA319" s="45">
        <v>39.83</v>
      </c>
      <c r="AB319" s="101">
        <v>34.200000000000003</v>
      </c>
      <c r="AC319" s="225"/>
      <c r="AD319" s="114"/>
      <c r="AE319" s="244">
        <v>37591</v>
      </c>
      <c r="AF319" s="21" t="s">
        <v>495</v>
      </c>
    </row>
    <row r="320" spans="1:32" ht="15" customHeight="1" collapsed="1" x14ac:dyDescent="0.3">
      <c r="A320" s="54" t="s">
        <v>339</v>
      </c>
      <c r="B320" s="39">
        <v>29.78</v>
      </c>
      <c r="C320" s="39"/>
      <c r="D320" s="40">
        <v>24.8</v>
      </c>
      <c r="E320" s="40">
        <v>34.54</v>
      </c>
      <c r="F320" s="39">
        <v>30.9</v>
      </c>
      <c r="G320" s="39">
        <v>17.78</v>
      </c>
      <c r="H320" s="59">
        <v>28.1</v>
      </c>
      <c r="I320" s="39">
        <v>33.950000000000003</v>
      </c>
      <c r="J320" s="39">
        <v>28.71</v>
      </c>
      <c r="K320" s="39">
        <v>32.83</v>
      </c>
      <c r="L320" s="42"/>
      <c r="M320" s="39">
        <v>35.913043478260875</v>
      </c>
      <c r="N320" s="39">
        <v>36.39</v>
      </c>
      <c r="O320" s="39">
        <v>13.63</v>
      </c>
      <c r="P320" s="39">
        <v>15.4</v>
      </c>
      <c r="Q320" s="50">
        <v>35.334800000000001</v>
      </c>
      <c r="R320" s="39">
        <v>29.15262698115562</v>
      </c>
      <c r="S320" s="42"/>
      <c r="T320" s="39">
        <v>30.61</v>
      </c>
      <c r="U320" s="39">
        <v>31.47</v>
      </c>
      <c r="V320" s="39">
        <v>17.7</v>
      </c>
      <c r="W320" s="39">
        <v>33.78</v>
      </c>
      <c r="X320" s="42"/>
      <c r="Y320" s="39">
        <v>28.43</v>
      </c>
      <c r="Z320" s="39">
        <v>22.279842504561604</v>
      </c>
      <c r="AA320" s="50">
        <v>36.46</v>
      </c>
      <c r="AB320" s="100">
        <v>33.49</v>
      </c>
      <c r="AC320" s="224"/>
      <c r="AD320" s="112"/>
      <c r="AE320" s="242">
        <v>37622</v>
      </c>
      <c r="AF320" s="21" t="s">
        <v>495</v>
      </c>
    </row>
    <row r="321" spans="1:32" ht="15" customHeight="1" x14ac:dyDescent="0.3">
      <c r="A321" s="38" t="s">
        <v>328</v>
      </c>
      <c r="B321" s="39">
        <v>28.79</v>
      </c>
      <c r="C321" s="39"/>
      <c r="D321" s="40">
        <v>24.59</v>
      </c>
      <c r="E321" s="40">
        <v>34.340000000000003</v>
      </c>
      <c r="F321" s="39">
        <v>30.6</v>
      </c>
      <c r="G321" s="39">
        <v>17.54</v>
      </c>
      <c r="H321" s="39">
        <v>26.55</v>
      </c>
      <c r="I321" s="39">
        <v>34.28</v>
      </c>
      <c r="J321" s="39">
        <v>28.58</v>
      </c>
      <c r="K321" s="59">
        <v>31.99</v>
      </c>
      <c r="L321" s="42"/>
      <c r="M321" s="39">
        <v>35.613526570048315</v>
      </c>
      <c r="N321" s="39">
        <v>36.130000000000003</v>
      </c>
      <c r="O321" s="39">
        <v>13.91</v>
      </c>
      <c r="P321" s="39">
        <v>15.5</v>
      </c>
      <c r="Q321" s="39">
        <v>33.795000000000002</v>
      </c>
      <c r="R321" s="39">
        <v>28.598237597911226</v>
      </c>
      <c r="S321" s="42"/>
      <c r="T321" s="39">
        <v>30.04</v>
      </c>
      <c r="U321" s="39">
        <v>31.2</v>
      </c>
      <c r="V321" s="39">
        <v>17.100000000000001</v>
      </c>
      <c r="W321" s="39">
        <v>33.630000000000003</v>
      </c>
      <c r="X321" s="42"/>
      <c r="Y321" s="39">
        <v>28.19</v>
      </c>
      <c r="Z321" s="39">
        <v>22.12336466480113</v>
      </c>
      <c r="AA321" s="39">
        <v>36.24</v>
      </c>
      <c r="AB321" s="100">
        <v>33.700000000000003</v>
      </c>
      <c r="AC321" s="224"/>
      <c r="AD321" s="113"/>
      <c r="AE321" s="243">
        <v>37653</v>
      </c>
      <c r="AF321" s="21" t="s">
        <v>495</v>
      </c>
    </row>
    <row r="322" spans="1:32" ht="15" customHeight="1" x14ac:dyDescent="0.3">
      <c r="A322" s="38" t="s">
        <v>329</v>
      </c>
      <c r="B322" s="39">
        <v>26.8</v>
      </c>
      <c r="C322" s="39"/>
      <c r="D322" s="40">
        <v>24.32</v>
      </c>
      <c r="E322" s="40">
        <v>34.119999999999997</v>
      </c>
      <c r="F322" s="39">
        <v>29.8</v>
      </c>
      <c r="G322" s="39">
        <v>17.59</v>
      </c>
      <c r="H322" s="39">
        <v>25.42</v>
      </c>
      <c r="I322" s="39">
        <v>34.18</v>
      </c>
      <c r="J322" s="39">
        <v>28.18</v>
      </c>
      <c r="K322" s="39">
        <v>30.03</v>
      </c>
      <c r="L322" s="42"/>
      <c r="M322" s="39">
        <v>35.613526570048315</v>
      </c>
      <c r="N322" s="39">
        <v>36.14</v>
      </c>
      <c r="O322" s="39">
        <v>13.83</v>
      </c>
      <c r="P322" s="39">
        <v>15</v>
      </c>
      <c r="Q322" s="39">
        <v>32.058100000000003</v>
      </c>
      <c r="R322" s="39">
        <v>28.456840390879478</v>
      </c>
      <c r="S322" s="42"/>
      <c r="T322" s="39">
        <v>28.82</v>
      </c>
      <c r="U322" s="39">
        <v>31.08</v>
      </c>
      <c r="V322" s="39">
        <v>16.399999999999999</v>
      </c>
      <c r="W322" s="39">
        <v>33.49</v>
      </c>
      <c r="X322" s="42"/>
      <c r="Y322" s="39">
        <v>27.98</v>
      </c>
      <c r="Z322" s="39">
        <v>21.794779779420562</v>
      </c>
      <c r="AA322" s="39">
        <v>33.08</v>
      </c>
      <c r="AB322" s="100">
        <v>33.19</v>
      </c>
      <c r="AC322" s="224"/>
      <c r="AD322" s="113"/>
      <c r="AE322" s="243">
        <v>37681</v>
      </c>
      <c r="AF322" s="21" t="s">
        <v>495</v>
      </c>
    </row>
    <row r="323" spans="1:32" ht="15" customHeight="1" x14ac:dyDescent="0.3">
      <c r="A323" s="54" t="s">
        <v>330</v>
      </c>
      <c r="B323" s="39">
        <v>25.41</v>
      </c>
      <c r="C323" s="39"/>
      <c r="D323" s="40">
        <v>24.08</v>
      </c>
      <c r="E323" s="40">
        <v>33.58</v>
      </c>
      <c r="F323" s="39">
        <v>29.06</v>
      </c>
      <c r="G323" s="39">
        <v>17.43</v>
      </c>
      <c r="H323" s="39">
        <v>25.01</v>
      </c>
      <c r="I323" s="39">
        <v>34.46</v>
      </c>
      <c r="J323" s="60">
        <v>28.21</v>
      </c>
      <c r="K323" s="39">
        <v>28.54</v>
      </c>
      <c r="L323" s="42"/>
      <c r="M323" s="39">
        <v>35.120772946859908</v>
      </c>
      <c r="N323" s="39">
        <v>37.020000000000003</v>
      </c>
      <c r="O323" s="39">
        <v>13.73</v>
      </c>
      <c r="P323" s="39">
        <v>11.2</v>
      </c>
      <c r="Q323" s="39">
        <v>31.030100000000001</v>
      </c>
      <c r="R323" s="39">
        <v>28.368418909564724</v>
      </c>
      <c r="S323" s="42"/>
      <c r="T323" s="39">
        <v>28.82</v>
      </c>
      <c r="U323" s="39">
        <v>29.73</v>
      </c>
      <c r="V323" s="39">
        <v>16.329999999999998</v>
      </c>
      <c r="W323" s="39">
        <v>32.64</v>
      </c>
      <c r="X323" s="42"/>
      <c r="Y323" s="39">
        <v>27.77</v>
      </c>
      <c r="Z323" s="39">
        <v>21.384977653899753</v>
      </c>
      <c r="AA323" s="39">
        <v>32.979999999999997</v>
      </c>
      <c r="AB323" s="100">
        <v>33.450000000000003</v>
      </c>
      <c r="AC323" s="224"/>
      <c r="AD323" s="113"/>
      <c r="AE323" s="243">
        <v>37712</v>
      </c>
      <c r="AF323" s="21" t="s">
        <v>495</v>
      </c>
    </row>
    <row r="324" spans="1:32" ht="15" customHeight="1" x14ac:dyDescent="0.3">
      <c r="A324" s="38" t="s">
        <v>331</v>
      </c>
      <c r="B324" s="39">
        <v>24.34</v>
      </c>
      <c r="C324" s="39"/>
      <c r="D324" s="40">
        <v>23.95</v>
      </c>
      <c r="E324" s="40">
        <v>32.659999999999997</v>
      </c>
      <c r="F324" s="39">
        <v>28.42</v>
      </c>
      <c r="G324" s="39">
        <v>17.54</v>
      </c>
      <c r="H324" s="39">
        <v>25.22</v>
      </c>
      <c r="I324" s="43">
        <v>34.49</v>
      </c>
      <c r="J324" s="39">
        <v>28.03</v>
      </c>
      <c r="K324" s="39">
        <v>28.7</v>
      </c>
      <c r="L324" s="42"/>
      <c r="M324" s="39">
        <v>34.94685990338165</v>
      </c>
      <c r="N324" s="39">
        <v>36.409999999999997</v>
      </c>
      <c r="O324" s="39">
        <v>13.32</v>
      </c>
      <c r="P324" s="39">
        <v>11</v>
      </c>
      <c r="Q324" s="39">
        <v>30.2408</v>
      </c>
      <c r="R324" s="39">
        <v>28.110505329969893</v>
      </c>
      <c r="S324" s="42"/>
      <c r="T324" s="43">
        <v>29.14</v>
      </c>
      <c r="U324" s="39">
        <v>28.01</v>
      </c>
      <c r="V324" s="39">
        <v>15.5</v>
      </c>
      <c r="W324" s="39">
        <v>31.79</v>
      </c>
      <c r="X324" s="42"/>
      <c r="Y324" s="39">
        <v>27.37</v>
      </c>
      <c r="Z324" s="39">
        <v>21.32</v>
      </c>
      <c r="AA324" s="39">
        <v>32.86</v>
      </c>
      <c r="AB324" s="100">
        <v>33.33</v>
      </c>
      <c r="AC324" s="224"/>
      <c r="AD324" s="113"/>
      <c r="AE324" s="243">
        <v>37742</v>
      </c>
      <c r="AF324" s="21" t="s">
        <v>495</v>
      </c>
    </row>
    <row r="325" spans="1:32" ht="15" customHeight="1" x14ac:dyDescent="0.3">
      <c r="A325" s="38" t="s">
        <v>332</v>
      </c>
      <c r="B325" s="39">
        <v>24.39</v>
      </c>
      <c r="C325" s="39"/>
      <c r="D325" s="40">
        <v>23.84</v>
      </c>
      <c r="E325" s="40">
        <v>32.1</v>
      </c>
      <c r="F325" s="39">
        <v>27.7</v>
      </c>
      <c r="G325" s="39">
        <v>17.739999999999998</v>
      </c>
      <c r="H325" s="39">
        <v>25.13</v>
      </c>
      <c r="I325" s="43">
        <v>34.39</v>
      </c>
      <c r="J325" s="39">
        <v>28.1</v>
      </c>
      <c r="K325" s="39">
        <v>27.94</v>
      </c>
      <c r="L325" s="42"/>
      <c r="M325" s="39">
        <v>34.94685990338165</v>
      </c>
      <c r="N325" s="39">
        <v>35.99</v>
      </c>
      <c r="O325" s="39">
        <v>13.13</v>
      </c>
      <c r="P325" s="39">
        <v>13.6</v>
      </c>
      <c r="Q325" s="39">
        <v>29.180900000000001</v>
      </c>
      <c r="R325" s="39">
        <v>26.212625856590481</v>
      </c>
      <c r="S325" s="42"/>
      <c r="T325" s="43">
        <v>29.14</v>
      </c>
      <c r="U325" s="39">
        <v>27.93</v>
      </c>
      <c r="V325" s="39">
        <v>14.8</v>
      </c>
      <c r="W325" s="39">
        <v>31.63</v>
      </c>
      <c r="X325" s="42"/>
      <c r="Y325" s="39">
        <v>26.69</v>
      </c>
      <c r="Z325" s="39">
        <v>21.08</v>
      </c>
      <c r="AA325" s="39">
        <v>32.700000000000003</v>
      </c>
      <c r="AB325" s="100">
        <v>33.47</v>
      </c>
      <c r="AC325" s="224"/>
      <c r="AD325" s="113"/>
      <c r="AE325" s="243">
        <v>37773</v>
      </c>
      <c r="AF325" s="21" t="s">
        <v>495</v>
      </c>
    </row>
    <row r="326" spans="1:32" ht="15" customHeight="1" x14ac:dyDescent="0.3">
      <c r="A326" s="38" t="s">
        <v>333</v>
      </c>
      <c r="B326" s="39">
        <v>25</v>
      </c>
      <c r="C326" s="39"/>
      <c r="D326" s="40">
        <v>23.37</v>
      </c>
      <c r="E326" s="40">
        <v>31.96</v>
      </c>
      <c r="F326" s="39">
        <v>27.75</v>
      </c>
      <c r="G326" s="39">
        <v>17.739999999999998</v>
      </c>
      <c r="H326" s="39">
        <v>25.13</v>
      </c>
      <c r="I326" s="43">
        <v>34.47</v>
      </c>
      <c r="J326" s="39">
        <v>28.1</v>
      </c>
      <c r="K326" s="39">
        <v>29.53</v>
      </c>
      <c r="L326" s="42"/>
      <c r="M326" s="39">
        <v>34.94685990338165</v>
      </c>
      <c r="N326" s="39">
        <v>36.53</v>
      </c>
      <c r="O326" s="39">
        <v>13.15</v>
      </c>
      <c r="P326" s="39">
        <v>13</v>
      </c>
      <c r="Q326" s="39">
        <v>29.6739</v>
      </c>
      <c r="R326" s="39">
        <v>25.806696242369085</v>
      </c>
      <c r="S326" s="42"/>
      <c r="T326" s="43">
        <v>29.6</v>
      </c>
      <c r="U326" s="39">
        <v>27.25</v>
      </c>
      <c r="V326" s="39">
        <v>14.6</v>
      </c>
      <c r="W326" s="39">
        <v>31.72</v>
      </c>
      <c r="X326" s="42"/>
      <c r="Y326" s="39">
        <v>26.31</v>
      </c>
      <c r="Z326" s="39">
        <v>21.1</v>
      </c>
      <c r="AA326" s="39">
        <v>35.29</v>
      </c>
      <c r="AB326" s="100">
        <v>33.119999999999997</v>
      </c>
      <c r="AC326" s="224"/>
      <c r="AD326" s="113"/>
      <c r="AE326" s="243">
        <v>37803</v>
      </c>
      <c r="AF326" s="21" t="s">
        <v>495</v>
      </c>
    </row>
    <row r="327" spans="1:32" ht="15" customHeight="1" x14ac:dyDescent="0.3">
      <c r="A327" s="38" t="s">
        <v>334</v>
      </c>
      <c r="B327" s="39">
        <v>26.27</v>
      </c>
      <c r="C327" s="39"/>
      <c r="D327" s="40">
        <v>23.04</v>
      </c>
      <c r="E327" s="40">
        <v>31.94</v>
      </c>
      <c r="F327" s="39">
        <v>28.16</v>
      </c>
      <c r="G327" s="39">
        <v>17.559999999999999</v>
      </c>
      <c r="H327" s="39">
        <v>28.01</v>
      </c>
      <c r="I327" s="43">
        <v>34.549999999999997</v>
      </c>
      <c r="J327" s="39">
        <v>27.91</v>
      </c>
      <c r="K327" s="39">
        <v>31.07</v>
      </c>
      <c r="L327" s="42"/>
      <c r="M327" s="39">
        <v>34.94685990338165</v>
      </c>
      <c r="N327" s="39">
        <v>36.47</v>
      </c>
      <c r="O327" s="39">
        <v>13.24</v>
      </c>
      <c r="P327" s="39">
        <v>13.2</v>
      </c>
      <c r="Q327" s="39">
        <v>30.926300000000001</v>
      </c>
      <c r="R327" s="39">
        <v>26.202034211742951</v>
      </c>
      <c r="S327" s="42"/>
      <c r="T327" s="43">
        <v>34.58</v>
      </c>
      <c r="U327" s="39">
        <v>27.48</v>
      </c>
      <c r="V327" s="39">
        <v>14.9</v>
      </c>
      <c r="W327" s="39">
        <v>31.47</v>
      </c>
      <c r="X327" s="42"/>
      <c r="Y327" s="39">
        <v>26.24</v>
      </c>
      <c r="Z327" s="39">
        <v>21.01</v>
      </c>
      <c r="AA327" s="39">
        <v>36.880000000000003</v>
      </c>
      <c r="AB327" s="100">
        <v>33.36</v>
      </c>
      <c r="AC327" s="224"/>
      <c r="AD327" s="113"/>
      <c r="AE327" s="243">
        <v>37834</v>
      </c>
      <c r="AF327" s="21" t="s">
        <v>495</v>
      </c>
    </row>
    <row r="328" spans="1:32" ht="15" customHeight="1" x14ac:dyDescent="0.3">
      <c r="A328" s="38" t="s">
        <v>335</v>
      </c>
      <c r="B328" s="39">
        <v>27.88</v>
      </c>
      <c r="C328" s="39"/>
      <c r="D328" s="40">
        <v>23.14</v>
      </c>
      <c r="E328" s="40">
        <v>32.92</v>
      </c>
      <c r="F328" s="39">
        <v>29.73</v>
      </c>
      <c r="G328" s="39">
        <v>18.260000000000002</v>
      </c>
      <c r="H328" s="39">
        <v>29.35</v>
      </c>
      <c r="I328" s="43">
        <v>34.5</v>
      </c>
      <c r="J328" s="39">
        <v>28.13</v>
      </c>
      <c r="K328" s="39">
        <v>32.729999999999997</v>
      </c>
      <c r="L328" s="42"/>
      <c r="M328" s="39">
        <v>34.94685990338165</v>
      </c>
      <c r="N328" s="39">
        <v>36.9</v>
      </c>
      <c r="O328" s="39">
        <v>12.98</v>
      </c>
      <c r="P328" s="39">
        <v>13.3</v>
      </c>
      <c r="Q328" s="39">
        <v>33.512799999999999</v>
      </c>
      <c r="R328" s="39">
        <v>27.131449150551944</v>
      </c>
      <c r="S328" s="42"/>
      <c r="T328" s="43">
        <v>34.58</v>
      </c>
      <c r="U328" s="39">
        <v>28.69</v>
      </c>
      <c r="V328" s="39">
        <v>15</v>
      </c>
      <c r="W328" s="39">
        <v>31.67</v>
      </c>
      <c r="X328" s="42"/>
      <c r="Y328" s="39">
        <v>26.99</v>
      </c>
      <c r="Z328" s="39">
        <v>21.23</v>
      </c>
      <c r="AA328" s="39">
        <v>38.85</v>
      </c>
      <c r="AB328" s="100">
        <v>34.979999999999997</v>
      </c>
      <c r="AC328" s="224"/>
      <c r="AD328" s="113"/>
      <c r="AE328" s="243">
        <v>37865</v>
      </c>
      <c r="AF328" s="21" t="s">
        <v>495</v>
      </c>
    </row>
    <row r="329" spans="1:32" ht="15" customHeight="1" x14ac:dyDescent="0.3">
      <c r="A329" s="38" t="s">
        <v>336</v>
      </c>
      <c r="B329" s="39">
        <v>29.35</v>
      </c>
      <c r="C329" s="39"/>
      <c r="D329" s="40">
        <v>23.56</v>
      </c>
      <c r="E329" s="40">
        <v>33.08</v>
      </c>
      <c r="F329" s="39">
        <v>31.47</v>
      </c>
      <c r="G329" s="39">
        <v>19.899999999999999</v>
      </c>
      <c r="H329" s="39">
        <v>30.89</v>
      </c>
      <c r="I329" s="43">
        <v>34.6</v>
      </c>
      <c r="J329" s="39">
        <v>29.37</v>
      </c>
      <c r="K329" s="39">
        <v>33.32</v>
      </c>
      <c r="L329" s="42"/>
      <c r="M329" s="39">
        <v>34.94685990338165</v>
      </c>
      <c r="N329" s="39">
        <v>37.380000000000003</v>
      </c>
      <c r="O329" s="39">
        <v>13.3</v>
      </c>
      <c r="P329" s="39">
        <v>13.5</v>
      </c>
      <c r="Q329" s="39">
        <v>35.494799999999998</v>
      </c>
      <c r="R329" s="39">
        <v>27.724127145482271</v>
      </c>
      <c r="S329" s="42"/>
      <c r="T329" s="43">
        <v>34.85</v>
      </c>
      <c r="U329" s="39">
        <v>30.41</v>
      </c>
      <c r="V329" s="39">
        <v>15.3</v>
      </c>
      <c r="W329" s="39">
        <v>34.020000000000003</v>
      </c>
      <c r="X329" s="42"/>
      <c r="Y329" s="39">
        <v>27.73</v>
      </c>
      <c r="Z329" s="39">
        <v>21.49</v>
      </c>
      <c r="AA329" s="39">
        <v>39.53</v>
      </c>
      <c r="AB329" s="100">
        <v>34.979999999999997</v>
      </c>
      <c r="AC329" s="224"/>
      <c r="AD329" s="113"/>
      <c r="AE329" s="243">
        <v>37895</v>
      </c>
      <c r="AF329" s="21" t="s">
        <v>495</v>
      </c>
    </row>
    <row r="330" spans="1:32" ht="15" customHeight="1" x14ac:dyDescent="0.3">
      <c r="A330" s="38" t="s">
        <v>337</v>
      </c>
      <c r="B330" s="39">
        <v>29.83</v>
      </c>
      <c r="C330" s="39"/>
      <c r="D330" s="40">
        <v>23.66</v>
      </c>
      <c r="E330" s="40">
        <v>30.256705222062813</v>
      </c>
      <c r="F330" s="39">
        <v>31.93</v>
      </c>
      <c r="G330" s="39">
        <v>20.85</v>
      </c>
      <c r="H330" s="39">
        <v>31.92</v>
      </c>
      <c r="I330" s="39">
        <v>34.5</v>
      </c>
      <c r="J330" s="39">
        <v>30.11</v>
      </c>
      <c r="K330" s="39">
        <v>33.39</v>
      </c>
      <c r="L330" s="42"/>
      <c r="M330" s="39">
        <v>34.966183574879224</v>
      </c>
      <c r="N330" s="39">
        <v>37.75</v>
      </c>
      <c r="O330" s="39">
        <v>13.66</v>
      </c>
      <c r="P330" s="39">
        <v>16.100000000000001</v>
      </c>
      <c r="Q330" s="39">
        <v>35.824199999999998</v>
      </c>
      <c r="R330" s="39">
        <v>27.118121167714314</v>
      </c>
      <c r="S330" s="42"/>
      <c r="T330" s="43">
        <v>35.19</v>
      </c>
      <c r="U330" s="39">
        <v>31.18</v>
      </c>
      <c r="V330" s="39">
        <v>16.2</v>
      </c>
      <c r="W330" s="39">
        <v>34.380000000000003</v>
      </c>
      <c r="X330" s="42"/>
      <c r="Y330" s="39">
        <v>28</v>
      </c>
      <c r="Z330" s="39">
        <v>21.72</v>
      </c>
      <c r="AA330" s="39">
        <v>39.74</v>
      </c>
      <c r="AB330" s="100">
        <v>34.49</v>
      </c>
      <c r="AC330" s="224"/>
      <c r="AD330" s="113"/>
      <c r="AE330" s="243">
        <v>37926</v>
      </c>
      <c r="AF330" s="21" t="s">
        <v>495</v>
      </c>
    </row>
    <row r="331" spans="1:32" ht="15" customHeight="1" x14ac:dyDescent="0.3">
      <c r="A331" s="44" t="s">
        <v>338</v>
      </c>
      <c r="B331" s="45">
        <v>29.46</v>
      </c>
      <c r="C331" s="45"/>
      <c r="D331" s="46">
        <v>23.55</v>
      </c>
      <c r="E331" s="46">
        <v>30.236267253238466</v>
      </c>
      <c r="F331" s="45">
        <v>30.74</v>
      </c>
      <c r="G331" s="45">
        <v>22.2</v>
      </c>
      <c r="H331" s="45">
        <v>29.86</v>
      </c>
      <c r="I331" s="45">
        <v>34.47</v>
      </c>
      <c r="J331" s="45">
        <v>30.64</v>
      </c>
      <c r="K331" s="45">
        <v>32.869999999999997</v>
      </c>
      <c r="L331" s="48"/>
      <c r="M331" s="45">
        <v>34.985507246376812</v>
      </c>
      <c r="N331" s="45">
        <v>37.75</v>
      </c>
      <c r="O331" s="45">
        <v>14.31</v>
      </c>
      <c r="P331" s="45">
        <v>16.399999999999999</v>
      </c>
      <c r="Q331" s="45">
        <v>35.328299999999999</v>
      </c>
      <c r="R331" s="45">
        <v>25.780010576414597</v>
      </c>
      <c r="S331" s="48"/>
      <c r="T331" s="45">
        <v>32.909999999999997</v>
      </c>
      <c r="U331" s="45">
        <v>32.49</v>
      </c>
      <c r="V331" s="45">
        <v>16.600000000000001</v>
      </c>
      <c r="W331" s="45">
        <v>34.46</v>
      </c>
      <c r="X331" s="48"/>
      <c r="Y331" s="45">
        <v>28.1</v>
      </c>
      <c r="Z331" s="45">
        <v>21.79</v>
      </c>
      <c r="AA331" s="45">
        <v>39.82</v>
      </c>
      <c r="AB331" s="101">
        <v>33.83</v>
      </c>
      <c r="AC331" s="225"/>
      <c r="AD331" s="114"/>
      <c r="AE331" s="244">
        <v>37956</v>
      </c>
      <c r="AF331" s="21" t="s">
        <v>495</v>
      </c>
    </row>
    <row r="332" spans="1:32" ht="15" customHeight="1" collapsed="1" x14ac:dyDescent="0.3">
      <c r="A332" s="54" t="s">
        <v>340</v>
      </c>
      <c r="B332" s="39">
        <v>30.860099999999999</v>
      </c>
      <c r="C332" s="39"/>
      <c r="D332" s="40">
        <v>23.51</v>
      </c>
      <c r="E332" s="35">
        <v>30.211580362537767</v>
      </c>
      <c r="F332" s="39">
        <v>29.98</v>
      </c>
      <c r="G332" s="39">
        <v>21.0701</v>
      </c>
      <c r="H332" s="59">
        <v>29.350100000000001</v>
      </c>
      <c r="I332" s="39">
        <v>34.5259</v>
      </c>
      <c r="J332" s="39">
        <v>30.620100000000001</v>
      </c>
      <c r="K332" s="39">
        <v>31.91</v>
      </c>
      <c r="L332" s="42"/>
      <c r="M332" s="39">
        <v>34.985607246376816</v>
      </c>
      <c r="N332" s="39">
        <v>37.650100000000002</v>
      </c>
      <c r="O332" s="39">
        <v>14.7201</v>
      </c>
      <c r="P332" s="39">
        <v>15.210100000000001</v>
      </c>
      <c r="Q332" s="50">
        <v>34.383899999999997</v>
      </c>
      <c r="R332" s="39">
        <v>23.331667796610169</v>
      </c>
      <c r="S332" s="42"/>
      <c r="T332" s="39">
        <v>29.630099999999999</v>
      </c>
      <c r="U332" s="39">
        <v>30.7301</v>
      </c>
      <c r="V332" s="39">
        <v>16.400099999999998</v>
      </c>
      <c r="W332" s="39">
        <v>34.6601</v>
      </c>
      <c r="X332" s="42"/>
      <c r="Y332" s="39">
        <v>27.95</v>
      </c>
      <c r="Z332" s="39">
        <v>22.310099999999998</v>
      </c>
      <c r="AA332" s="39">
        <v>35.7301</v>
      </c>
      <c r="AB332" s="100">
        <v>33.075100000000006</v>
      </c>
      <c r="AC332" s="224"/>
      <c r="AD332" s="112"/>
      <c r="AE332" s="242">
        <v>37987</v>
      </c>
      <c r="AF332" s="21" t="s">
        <v>495</v>
      </c>
    </row>
    <row r="333" spans="1:32" ht="15" customHeight="1" x14ac:dyDescent="0.3">
      <c r="A333" s="38" t="s">
        <v>341</v>
      </c>
      <c r="B333" s="39">
        <v>29.560099999999998</v>
      </c>
      <c r="C333" s="39"/>
      <c r="D333" s="40">
        <v>23.38</v>
      </c>
      <c r="E333" s="40">
        <v>30.197755639356263</v>
      </c>
      <c r="F333" s="39">
        <v>29.080099999999998</v>
      </c>
      <c r="G333" s="39">
        <v>22.330099999999998</v>
      </c>
      <c r="H333" s="39">
        <v>28.01</v>
      </c>
      <c r="I333" s="39">
        <v>34.664100000000005</v>
      </c>
      <c r="J333" s="39">
        <v>30.670100000000001</v>
      </c>
      <c r="K333" s="39">
        <v>31.01</v>
      </c>
      <c r="L333" s="42"/>
      <c r="M333" s="39">
        <v>34.985607246376816</v>
      </c>
      <c r="N333" s="39">
        <v>37.750100000000003</v>
      </c>
      <c r="O333" s="39">
        <v>16.280100000000001</v>
      </c>
      <c r="P333" s="39">
        <v>15.0501</v>
      </c>
      <c r="Q333" s="39">
        <v>32.335999999999999</v>
      </c>
      <c r="R333" s="39">
        <v>23.443003287098616</v>
      </c>
      <c r="S333" s="42"/>
      <c r="T333" s="39">
        <v>28.1401</v>
      </c>
      <c r="U333" s="39">
        <v>30.080099999999998</v>
      </c>
      <c r="V333" s="39">
        <v>16.0001</v>
      </c>
      <c r="W333" s="39">
        <v>34.350100000000005</v>
      </c>
      <c r="X333" s="42"/>
      <c r="Y333" s="39">
        <v>27.57</v>
      </c>
      <c r="Z333" s="39">
        <v>22.450099999999999</v>
      </c>
      <c r="AA333" s="39">
        <v>35.560100000000006</v>
      </c>
      <c r="AB333" s="100">
        <v>32.714800000000004</v>
      </c>
      <c r="AC333" s="224"/>
      <c r="AD333" s="113"/>
      <c r="AE333" s="243">
        <v>38018</v>
      </c>
      <c r="AF333" s="21" t="s">
        <v>495</v>
      </c>
    </row>
    <row r="334" spans="1:32" ht="15" customHeight="1" x14ac:dyDescent="0.3">
      <c r="A334" s="38" t="s">
        <v>342</v>
      </c>
      <c r="B334" s="39">
        <v>28.360099999999999</v>
      </c>
      <c r="C334" s="39"/>
      <c r="D334" s="40">
        <v>23.5</v>
      </c>
      <c r="E334" s="40">
        <v>30.201172026201114</v>
      </c>
      <c r="F334" s="39">
        <v>28.860099999999999</v>
      </c>
      <c r="G334" s="39">
        <v>25.030100000000001</v>
      </c>
      <c r="H334" s="39">
        <v>27.7</v>
      </c>
      <c r="I334" s="39">
        <v>35.095500000000001</v>
      </c>
      <c r="J334" s="39">
        <v>30.670100000000001</v>
      </c>
      <c r="K334" s="39">
        <v>29.71</v>
      </c>
      <c r="L334" s="42"/>
      <c r="M334" s="39">
        <v>34.985607246376816</v>
      </c>
      <c r="N334" s="39">
        <v>37.380100000000006</v>
      </c>
      <c r="O334" s="39">
        <v>17.530100000000001</v>
      </c>
      <c r="P334" s="39">
        <v>15.2501</v>
      </c>
      <c r="Q334" s="39">
        <v>31.557099999999998</v>
      </c>
      <c r="R334" s="39">
        <v>24.414894931512258</v>
      </c>
      <c r="S334" s="42"/>
      <c r="T334" s="39">
        <v>26.5701</v>
      </c>
      <c r="U334" s="39">
        <v>30.110099999999999</v>
      </c>
      <c r="V334" s="39">
        <v>16.3001</v>
      </c>
      <c r="W334" s="39">
        <v>33.120100000000001</v>
      </c>
      <c r="X334" s="42"/>
      <c r="Y334" s="39">
        <v>27.61</v>
      </c>
      <c r="Z334" s="39">
        <v>22.760100000000001</v>
      </c>
      <c r="AA334" s="39">
        <v>32.500100000000003</v>
      </c>
      <c r="AB334" s="100">
        <v>32.183400000000006</v>
      </c>
      <c r="AC334" s="224"/>
      <c r="AD334" s="113"/>
      <c r="AE334" s="243">
        <v>38047</v>
      </c>
      <c r="AF334" s="21" t="s">
        <v>495</v>
      </c>
    </row>
    <row r="335" spans="1:32" ht="15" customHeight="1" x14ac:dyDescent="0.3">
      <c r="A335" s="54" t="s">
        <v>343</v>
      </c>
      <c r="B335" s="39">
        <v>27.0701</v>
      </c>
      <c r="C335" s="39"/>
      <c r="D335" s="40">
        <v>23.77</v>
      </c>
      <c r="E335" s="40">
        <v>29.015861200285322</v>
      </c>
      <c r="F335" s="39">
        <v>28.280100000000001</v>
      </c>
      <c r="G335" s="39">
        <v>24.740099999999998</v>
      </c>
      <c r="H335" s="39">
        <v>27.29</v>
      </c>
      <c r="I335" s="39">
        <v>34.9617</v>
      </c>
      <c r="J335" s="39">
        <v>30.981100000000001</v>
      </c>
      <c r="K335" s="39">
        <v>27.7</v>
      </c>
      <c r="L335" s="42"/>
      <c r="M335" s="39">
        <v>34.985607246376816</v>
      </c>
      <c r="N335" s="39">
        <v>40.530100000000004</v>
      </c>
      <c r="O335" s="39">
        <v>17.810099999999998</v>
      </c>
      <c r="P335" s="39">
        <v>14.9801</v>
      </c>
      <c r="Q335" s="39">
        <v>31.105</v>
      </c>
      <c r="R335" s="39">
        <v>24.699592831755918</v>
      </c>
      <c r="S335" s="42"/>
      <c r="T335" s="39">
        <v>26.040099999999999</v>
      </c>
      <c r="U335" s="39">
        <v>28.84</v>
      </c>
      <c r="V335" s="39">
        <v>16.5001</v>
      </c>
      <c r="W335" s="39">
        <v>32.920100000000005</v>
      </c>
      <c r="X335" s="42"/>
      <c r="Y335" s="39">
        <v>27.46</v>
      </c>
      <c r="Z335" s="39">
        <v>22.8201</v>
      </c>
      <c r="AA335" s="39">
        <v>32.340100000000007</v>
      </c>
      <c r="AB335" s="100">
        <v>31.553899999999999</v>
      </c>
      <c r="AC335" s="224"/>
      <c r="AD335" s="113"/>
      <c r="AE335" s="243">
        <v>38078</v>
      </c>
      <c r="AF335" s="21" t="s">
        <v>495</v>
      </c>
    </row>
    <row r="336" spans="1:32" ht="15" customHeight="1" x14ac:dyDescent="0.3">
      <c r="A336" s="38" t="s">
        <v>344</v>
      </c>
      <c r="B336" s="39">
        <v>26.440100000000001</v>
      </c>
      <c r="C336" s="39"/>
      <c r="D336" s="40">
        <v>24.33</v>
      </c>
      <c r="E336" s="40">
        <v>31.180800000000001</v>
      </c>
      <c r="F336" s="39">
        <v>27.990099999999998</v>
      </c>
      <c r="G336" s="39">
        <v>24.450099999999999</v>
      </c>
      <c r="H336" s="39">
        <v>27.49</v>
      </c>
      <c r="I336" s="43">
        <v>35.000300000000003</v>
      </c>
      <c r="J336" s="39">
        <v>30.281099999999999</v>
      </c>
      <c r="K336" s="39">
        <v>27.77</v>
      </c>
      <c r="L336" s="42"/>
      <c r="M336" s="39">
        <v>34.985607246376816</v>
      </c>
      <c r="N336" s="39">
        <v>40.430100000000003</v>
      </c>
      <c r="O336" s="39">
        <v>17.5701</v>
      </c>
      <c r="P336" s="39">
        <v>15.8101</v>
      </c>
      <c r="Q336" s="39">
        <v>30.2683</v>
      </c>
      <c r="R336" s="39">
        <v>24.645230678897629</v>
      </c>
      <c r="S336" s="42"/>
      <c r="T336" s="39">
        <v>26.040099999999999</v>
      </c>
      <c r="U336" s="39">
        <v>27.85</v>
      </c>
      <c r="V336" s="39">
        <v>16.900099999999998</v>
      </c>
      <c r="W336" s="39">
        <v>32.750100000000003</v>
      </c>
      <c r="X336" s="42"/>
      <c r="Y336" s="39">
        <v>26.97</v>
      </c>
      <c r="Z336" s="39">
        <v>22.260100000000001</v>
      </c>
      <c r="AA336" s="39">
        <v>32.0501</v>
      </c>
      <c r="AB336" s="100">
        <v>31.683900000000001</v>
      </c>
      <c r="AC336" s="224"/>
      <c r="AD336" s="113"/>
      <c r="AE336" s="243">
        <v>38108</v>
      </c>
      <c r="AF336" s="5" t="s">
        <v>495</v>
      </c>
    </row>
    <row r="337" spans="1:32" ht="15" customHeight="1" x14ac:dyDescent="0.3">
      <c r="A337" s="38" t="s">
        <v>345</v>
      </c>
      <c r="B337" s="39">
        <v>26.100100000000001</v>
      </c>
      <c r="C337" s="39"/>
      <c r="D337" s="40">
        <v>24.61</v>
      </c>
      <c r="E337" s="40">
        <v>31.072700000000001</v>
      </c>
      <c r="F337" s="39">
        <v>27.780100000000001</v>
      </c>
      <c r="G337" s="39">
        <v>24.2501</v>
      </c>
      <c r="H337" s="39">
        <v>27.49</v>
      </c>
      <c r="I337" s="43">
        <v>35.002300000000005</v>
      </c>
      <c r="J337" s="39">
        <v>30.211099999999998</v>
      </c>
      <c r="K337" s="39">
        <v>27.17</v>
      </c>
      <c r="L337" s="42"/>
      <c r="M337" s="39">
        <v>34.985607246376816</v>
      </c>
      <c r="N337" s="39">
        <v>40.350100000000005</v>
      </c>
      <c r="O337" s="39">
        <v>17.7501</v>
      </c>
      <c r="P337" s="39">
        <v>16.960100000000001</v>
      </c>
      <c r="Q337" s="39">
        <v>29.622900000000001</v>
      </c>
      <c r="R337" s="39">
        <v>24.338096996284879</v>
      </c>
      <c r="S337" s="42"/>
      <c r="T337" s="39">
        <v>26.040099999999999</v>
      </c>
      <c r="U337" s="39">
        <v>27.98</v>
      </c>
      <c r="V337" s="39">
        <v>17.8001</v>
      </c>
      <c r="W337" s="39">
        <v>32.600100000000005</v>
      </c>
      <c r="X337" s="42"/>
      <c r="Y337" s="39">
        <v>26.22</v>
      </c>
      <c r="Z337" s="39">
        <v>22.610099999999999</v>
      </c>
      <c r="AA337" s="39">
        <v>32.830100000000002</v>
      </c>
      <c r="AB337" s="100">
        <v>31.5215</v>
      </c>
      <c r="AC337" s="224"/>
      <c r="AD337" s="113"/>
      <c r="AE337" s="243">
        <v>38139</v>
      </c>
      <c r="AF337" s="5" t="s">
        <v>495</v>
      </c>
    </row>
    <row r="338" spans="1:32" ht="15" customHeight="1" x14ac:dyDescent="0.3">
      <c r="A338" s="38" t="s">
        <v>346</v>
      </c>
      <c r="B338" s="39">
        <v>26.610099999999999</v>
      </c>
      <c r="C338" s="39"/>
      <c r="D338" s="40">
        <v>24.79</v>
      </c>
      <c r="E338" s="40">
        <v>31.067299999999999</v>
      </c>
      <c r="F338" s="39">
        <v>27.871099999999998</v>
      </c>
      <c r="G338" s="39">
        <v>24.040099999999999</v>
      </c>
      <c r="H338" s="39">
        <v>27.8</v>
      </c>
      <c r="I338" s="43">
        <v>34.991200000000006</v>
      </c>
      <c r="J338" s="39">
        <v>30.030100000000001</v>
      </c>
      <c r="K338" s="39">
        <v>29.06</v>
      </c>
      <c r="L338" s="42"/>
      <c r="M338" s="39">
        <v>34.990100000000005</v>
      </c>
      <c r="N338" s="39">
        <v>39.060100000000006</v>
      </c>
      <c r="O338" s="39">
        <v>17.8001</v>
      </c>
      <c r="P338" s="39">
        <v>16.6601</v>
      </c>
      <c r="Q338" s="39">
        <v>30.0687</v>
      </c>
      <c r="R338" s="39">
        <v>24.130717471687543</v>
      </c>
      <c r="S338" s="42"/>
      <c r="T338" s="39">
        <v>30.470099999999999</v>
      </c>
      <c r="U338" s="39">
        <v>28.1</v>
      </c>
      <c r="V338" s="39">
        <v>18.700099999999999</v>
      </c>
      <c r="W338" s="39">
        <v>32.600100000000005</v>
      </c>
      <c r="X338" s="42"/>
      <c r="Y338" s="39">
        <v>25.52</v>
      </c>
      <c r="Z338" s="39">
        <v>22.680099999999999</v>
      </c>
      <c r="AA338" s="39">
        <v>36.570100000000004</v>
      </c>
      <c r="AB338" s="100">
        <v>31.230399999999999</v>
      </c>
      <c r="AC338" s="224"/>
      <c r="AD338" s="113"/>
      <c r="AE338" s="243">
        <v>38169</v>
      </c>
      <c r="AF338" s="5" t="s">
        <v>495</v>
      </c>
    </row>
    <row r="339" spans="1:32" ht="15" customHeight="1" x14ac:dyDescent="0.3">
      <c r="A339" s="38" t="s">
        <v>347</v>
      </c>
      <c r="B339" s="39">
        <v>27.5901</v>
      </c>
      <c r="C339" s="39"/>
      <c r="D339" s="40">
        <v>24.72</v>
      </c>
      <c r="E339" s="40">
        <v>30.7942</v>
      </c>
      <c r="F339" s="39">
        <v>28.42</v>
      </c>
      <c r="G339" s="39">
        <v>24.530100000000001</v>
      </c>
      <c r="H339" s="39">
        <v>28.3201</v>
      </c>
      <c r="I339" s="43">
        <v>35.012100000000004</v>
      </c>
      <c r="J339" s="39">
        <v>30.420100000000001</v>
      </c>
      <c r="K339" s="39">
        <v>31.24</v>
      </c>
      <c r="L339" s="42"/>
      <c r="M339" s="39">
        <v>34.990100000000005</v>
      </c>
      <c r="N339" s="39">
        <v>40.670100000000005</v>
      </c>
      <c r="O339" s="39">
        <v>17.9801</v>
      </c>
      <c r="P339" s="39">
        <v>16.620100000000001</v>
      </c>
      <c r="Q339" s="39">
        <v>30.472200000000001</v>
      </c>
      <c r="R339" s="39">
        <v>24.323989893510149</v>
      </c>
      <c r="S339" s="42"/>
      <c r="T339" s="39">
        <v>31.8401</v>
      </c>
      <c r="U339" s="39">
        <v>28.14</v>
      </c>
      <c r="V339" s="39">
        <v>19.100100000000001</v>
      </c>
      <c r="W339" s="39">
        <v>32.340100000000007</v>
      </c>
      <c r="X339" s="42"/>
      <c r="Y339" s="39">
        <v>25.37</v>
      </c>
      <c r="Z339" s="39">
        <v>22.610099999999999</v>
      </c>
      <c r="AA339" s="39">
        <v>37.340100000000007</v>
      </c>
      <c r="AB339" s="100">
        <v>31.264700000000001</v>
      </c>
      <c r="AC339" s="224"/>
      <c r="AD339" s="113"/>
      <c r="AE339" s="243">
        <v>38200</v>
      </c>
      <c r="AF339" s="5" t="s">
        <v>495</v>
      </c>
    </row>
    <row r="340" spans="1:32" ht="15" customHeight="1" x14ac:dyDescent="0.3">
      <c r="A340" s="38" t="s">
        <v>348</v>
      </c>
      <c r="B340" s="39">
        <v>29.610099999999999</v>
      </c>
      <c r="C340" s="39"/>
      <c r="D340" s="40">
        <v>24.99</v>
      </c>
      <c r="E340" s="40">
        <v>31.594200000000001</v>
      </c>
      <c r="F340" s="39">
        <v>29.690100000000001</v>
      </c>
      <c r="G340" s="39">
        <v>24.4801</v>
      </c>
      <c r="H340" s="39">
        <v>30.0701</v>
      </c>
      <c r="I340" s="39">
        <v>36.710100000000004</v>
      </c>
      <c r="J340" s="39">
        <v>30.780100000000001</v>
      </c>
      <c r="K340" s="39">
        <v>32.159999999999997</v>
      </c>
      <c r="L340" s="42"/>
      <c r="M340" s="39">
        <v>34.985607246376816</v>
      </c>
      <c r="N340" s="39">
        <v>40.770100000000006</v>
      </c>
      <c r="O340" s="39">
        <v>17.9801</v>
      </c>
      <c r="P340" s="39">
        <v>17.810099999999998</v>
      </c>
      <c r="Q340" s="39">
        <v>32.5167</v>
      </c>
      <c r="R340" s="39">
        <v>25.208046378099006</v>
      </c>
      <c r="S340" s="42"/>
      <c r="T340" s="39">
        <v>31.950099999999999</v>
      </c>
      <c r="U340" s="39">
        <v>29.011099999999999</v>
      </c>
      <c r="V340" s="39">
        <v>19.700099999999999</v>
      </c>
      <c r="W340" s="39">
        <v>32.650100000000002</v>
      </c>
      <c r="X340" s="42"/>
      <c r="Y340" s="39">
        <v>25.62</v>
      </c>
      <c r="Z340" s="39">
        <v>22.870100000000001</v>
      </c>
      <c r="AA340" s="39">
        <v>38.670100000000005</v>
      </c>
      <c r="AB340" s="100">
        <v>32.578200000000002</v>
      </c>
      <c r="AC340" s="224"/>
      <c r="AD340" s="113"/>
      <c r="AE340" s="243">
        <v>38231</v>
      </c>
      <c r="AF340" s="5" t="s">
        <v>495</v>
      </c>
    </row>
    <row r="341" spans="1:32" ht="15" customHeight="1" x14ac:dyDescent="0.3">
      <c r="A341" s="38" t="s">
        <v>349</v>
      </c>
      <c r="B341" s="39">
        <v>31.060099999999998</v>
      </c>
      <c r="C341" s="39"/>
      <c r="D341" s="40">
        <v>25.48</v>
      </c>
      <c r="E341" s="39">
        <v>31.460599999999999</v>
      </c>
      <c r="F341" s="39">
        <v>30.990099999999998</v>
      </c>
      <c r="G341" s="39">
        <v>23.830099999999998</v>
      </c>
      <c r="H341" s="39">
        <v>31.3001</v>
      </c>
      <c r="I341" s="43">
        <v>39.710100000000004</v>
      </c>
      <c r="J341" s="39">
        <v>31.2501</v>
      </c>
      <c r="K341" s="39">
        <v>32.17</v>
      </c>
      <c r="L341" s="42"/>
      <c r="M341" s="39">
        <v>34.985607246376816</v>
      </c>
      <c r="N341" s="39">
        <v>39.350100000000005</v>
      </c>
      <c r="O341" s="39">
        <v>17.9101</v>
      </c>
      <c r="P341" s="39">
        <v>18.610099999999999</v>
      </c>
      <c r="Q341" s="39">
        <v>34.5595</v>
      </c>
      <c r="R341" s="39">
        <v>26.235456114962098</v>
      </c>
      <c r="S341" s="42"/>
      <c r="T341" s="43">
        <v>32.140100000000004</v>
      </c>
      <c r="U341" s="39">
        <v>30.758099999999999</v>
      </c>
      <c r="V341" s="39">
        <v>23.400099999999998</v>
      </c>
      <c r="W341" s="39">
        <v>33.840100000000007</v>
      </c>
      <c r="X341" s="42"/>
      <c r="Y341" s="39">
        <v>26.15</v>
      </c>
      <c r="Z341" s="39">
        <v>23.350100000000001</v>
      </c>
      <c r="AA341" s="39">
        <v>37.440100000000001</v>
      </c>
      <c r="AB341" s="100">
        <v>32.686</v>
      </c>
      <c r="AC341" s="224"/>
      <c r="AD341" s="113"/>
      <c r="AE341" s="243">
        <v>38261</v>
      </c>
      <c r="AF341" s="5" t="s">
        <v>495</v>
      </c>
    </row>
    <row r="342" spans="1:32" ht="15" customHeight="1" x14ac:dyDescent="0.3">
      <c r="A342" s="38" t="s">
        <v>350</v>
      </c>
      <c r="B342" s="39">
        <v>31.4801</v>
      </c>
      <c r="C342" s="39"/>
      <c r="D342" s="40">
        <v>25.86</v>
      </c>
      <c r="E342" s="39">
        <v>31.488499999999998</v>
      </c>
      <c r="F342" s="39">
        <v>31.5001</v>
      </c>
      <c r="G342" s="39">
        <v>23.860099999999999</v>
      </c>
      <c r="H342" s="39">
        <v>31.5001</v>
      </c>
      <c r="I342" s="39">
        <v>36.750100000000003</v>
      </c>
      <c r="J342" s="39">
        <v>31.560099999999998</v>
      </c>
      <c r="K342" s="39">
        <v>32.32</v>
      </c>
      <c r="L342" s="42"/>
      <c r="M342" s="39">
        <v>35.169182125603868</v>
      </c>
      <c r="N342" s="39">
        <v>39.470100000000002</v>
      </c>
      <c r="O342" s="39">
        <v>17.700099999999999</v>
      </c>
      <c r="P342" s="39">
        <v>19.290099999999999</v>
      </c>
      <c r="Q342" s="39">
        <v>35.110300000000002</v>
      </c>
      <c r="R342" s="39">
        <v>26.695567883925662</v>
      </c>
      <c r="S342" s="42"/>
      <c r="T342" s="43">
        <v>32.360100000000003</v>
      </c>
      <c r="U342" s="39">
        <v>31.565100000000001</v>
      </c>
      <c r="V342" s="39">
        <v>24.700099999999999</v>
      </c>
      <c r="W342" s="39">
        <v>34.200100000000006</v>
      </c>
      <c r="X342" s="42"/>
      <c r="Y342" s="39">
        <v>26.34</v>
      </c>
      <c r="Z342" s="39">
        <v>23.880099999999999</v>
      </c>
      <c r="AA342" s="39">
        <v>37.590100000000007</v>
      </c>
      <c r="AB342" s="100">
        <v>32.695900000000002</v>
      </c>
      <c r="AC342" s="224"/>
      <c r="AD342" s="113"/>
      <c r="AE342" s="243">
        <v>38292</v>
      </c>
      <c r="AF342" s="5" t="s">
        <v>495</v>
      </c>
    </row>
    <row r="343" spans="1:32" ht="15" customHeight="1" x14ac:dyDescent="0.3">
      <c r="A343" s="44" t="s">
        <v>351</v>
      </c>
      <c r="B343" s="45">
        <v>31.350100000000001</v>
      </c>
      <c r="C343" s="45"/>
      <c r="D343" s="46">
        <v>26.51</v>
      </c>
      <c r="E343" s="46">
        <v>29.060516557098953</v>
      </c>
      <c r="F343" s="45">
        <v>30.520099999999999</v>
      </c>
      <c r="G343" s="45">
        <v>24.610099999999999</v>
      </c>
      <c r="H343" s="45">
        <v>30.170100000000001</v>
      </c>
      <c r="I343" s="45">
        <v>36.820100000000004</v>
      </c>
      <c r="J343" s="45">
        <v>31.630099999999999</v>
      </c>
      <c r="K343" s="45">
        <v>31.98</v>
      </c>
      <c r="L343" s="48"/>
      <c r="M343" s="45">
        <v>34.869665217391315</v>
      </c>
      <c r="N343" s="45">
        <v>41.720100000000002</v>
      </c>
      <c r="O343" s="45">
        <v>18.2301</v>
      </c>
      <c r="P343" s="45">
        <v>20.290099999999999</v>
      </c>
      <c r="Q343" s="45">
        <v>35.268799999999999</v>
      </c>
      <c r="R343" s="45">
        <v>26.733216354759961</v>
      </c>
      <c r="S343" s="48"/>
      <c r="T343" s="45">
        <v>31.710100000000001</v>
      </c>
      <c r="U343" s="45">
        <v>31.583099999999998</v>
      </c>
      <c r="V343" s="45">
        <v>25.5001</v>
      </c>
      <c r="W343" s="45">
        <v>34.420100000000005</v>
      </c>
      <c r="X343" s="48"/>
      <c r="Y343" s="45">
        <v>26.53</v>
      </c>
      <c r="Z343" s="45">
        <v>24.430099999999999</v>
      </c>
      <c r="AA343" s="45">
        <v>35.790100000000002</v>
      </c>
      <c r="AB343" s="101">
        <v>32.1982</v>
      </c>
      <c r="AC343" s="225"/>
      <c r="AD343" s="114"/>
      <c r="AE343" s="244">
        <v>38322</v>
      </c>
      <c r="AF343" s="5" t="s">
        <v>495</v>
      </c>
    </row>
    <row r="344" spans="1:32" ht="15" customHeight="1" collapsed="1" x14ac:dyDescent="0.3">
      <c r="A344" s="54" t="s">
        <v>360</v>
      </c>
      <c r="B344" s="34">
        <v>29.44</v>
      </c>
      <c r="C344" s="34"/>
      <c r="D344" s="34">
        <v>27.05</v>
      </c>
      <c r="E344" s="34">
        <v>29.03</v>
      </c>
      <c r="F344" s="34">
        <v>29.53</v>
      </c>
      <c r="G344" s="34">
        <v>25.8</v>
      </c>
      <c r="H344" s="34">
        <v>29.45</v>
      </c>
      <c r="I344" s="34">
        <v>37.04</v>
      </c>
      <c r="J344" s="34">
        <v>31.61</v>
      </c>
      <c r="K344" s="34">
        <v>32.159999999999997</v>
      </c>
      <c r="L344" s="61"/>
      <c r="M344" s="34">
        <v>34.340000000000003</v>
      </c>
      <c r="N344" s="34">
        <v>39.86</v>
      </c>
      <c r="O344" s="34">
        <v>18.850000000000001</v>
      </c>
      <c r="P344" s="34">
        <v>20.6</v>
      </c>
      <c r="Q344" s="34">
        <v>33.19</v>
      </c>
      <c r="R344" s="34">
        <v>26.86</v>
      </c>
      <c r="S344" s="37"/>
      <c r="T344" s="34">
        <v>28.31</v>
      </c>
      <c r="U344" s="34">
        <v>31.017041226704226</v>
      </c>
      <c r="V344" s="34">
        <v>25.6</v>
      </c>
      <c r="W344" s="34">
        <v>30.2</v>
      </c>
      <c r="X344" s="37"/>
      <c r="Y344" s="34">
        <v>26.44</v>
      </c>
      <c r="Z344" s="34">
        <v>25.07</v>
      </c>
      <c r="AA344" s="34">
        <v>34.42</v>
      </c>
      <c r="AB344" s="58">
        <v>31.63</v>
      </c>
      <c r="AC344" s="223"/>
      <c r="AD344" s="112"/>
      <c r="AE344" s="242">
        <v>38353</v>
      </c>
      <c r="AF344" s="5" t="s">
        <v>495</v>
      </c>
    </row>
    <row r="345" spans="1:32" ht="15" customHeight="1" x14ac:dyDescent="0.3">
      <c r="A345" s="38" t="s">
        <v>361</v>
      </c>
      <c r="B345" s="39">
        <v>28.33</v>
      </c>
      <c r="C345" s="39"/>
      <c r="D345" s="39">
        <v>27.4</v>
      </c>
      <c r="E345" s="39">
        <v>29.02</v>
      </c>
      <c r="F345" s="39">
        <v>29.15</v>
      </c>
      <c r="G345" s="39">
        <v>25.81</v>
      </c>
      <c r="H345" s="39">
        <v>28.83</v>
      </c>
      <c r="I345" s="39">
        <v>37.24</v>
      </c>
      <c r="J345" s="39">
        <v>31.24</v>
      </c>
      <c r="K345" s="39">
        <v>31.57</v>
      </c>
      <c r="L345" s="62"/>
      <c r="M345" s="39">
        <v>34.340000000000003</v>
      </c>
      <c r="N345" s="39">
        <v>39.86</v>
      </c>
      <c r="O345" s="39">
        <v>18.63</v>
      </c>
      <c r="P345" s="39">
        <v>20.9</v>
      </c>
      <c r="Q345" s="34">
        <v>31.99</v>
      </c>
      <c r="R345" s="39">
        <v>27.29</v>
      </c>
      <c r="S345" s="42"/>
      <c r="T345" s="34">
        <v>27.97</v>
      </c>
      <c r="U345" s="39">
        <v>30.28</v>
      </c>
      <c r="V345" s="39">
        <v>26.2</v>
      </c>
      <c r="W345" s="39">
        <v>30.2</v>
      </c>
      <c r="X345" s="42"/>
      <c r="Y345" s="39">
        <v>26.59</v>
      </c>
      <c r="Z345" s="39">
        <v>25.57</v>
      </c>
      <c r="AA345" s="39">
        <v>34.049999999999997</v>
      </c>
      <c r="AB345" s="43">
        <v>31.39</v>
      </c>
      <c r="AC345" s="224"/>
      <c r="AD345" s="113"/>
      <c r="AE345" s="243">
        <v>38384</v>
      </c>
      <c r="AF345" s="5" t="s">
        <v>495</v>
      </c>
    </row>
    <row r="346" spans="1:32" ht="15" customHeight="1" x14ac:dyDescent="0.3">
      <c r="A346" s="38" t="s">
        <v>362</v>
      </c>
      <c r="B346" s="39">
        <v>27.75</v>
      </c>
      <c r="C346" s="39"/>
      <c r="D346" s="39">
        <v>27.6</v>
      </c>
      <c r="E346" s="39">
        <v>29.01</v>
      </c>
      <c r="F346" s="39">
        <v>28.82</v>
      </c>
      <c r="G346" s="39">
        <v>25.98</v>
      </c>
      <c r="H346" s="39">
        <v>27.8</v>
      </c>
      <c r="I346" s="39">
        <v>37</v>
      </c>
      <c r="J346" s="39">
        <v>30.81</v>
      </c>
      <c r="K346" s="39">
        <v>29.98</v>
      </c>
      <c r="L346" s="62"/>
      <c r="M346" s="39">
        <v>34.340000000000003</v>
      </c>
      <c r="N346" s="39">
        <v>39.159999999999997</v>
      </c>
      <c r="O346" s="39">
        <v>19.02</v>
      </c>
      <c r="P346" s="39">
        <v>20.9</v>
      </c>
      <c r="Q346" s="34">
        <v>30.75</v>
      </c>
      <c r="R346" s="39">
        <v>26.89</v>
      </c>
      <c r="S346" s="42"/>
      <c r="T346" s="34">
        <v>26.23</v>
      </c>
      <c r="U346" s="39">
        <v>30.17</v>
      </c>
      <c r="V346" s="39">
        <v>25.4</v>
      </c>
      <c r="W346" s="39">
        <v>28.5</v>
      </c>
      <c r="X346" s="42"/>
      <c r="Y346" s="39">
        <v>26.5</v>
      </c>
      <c r="Z346" s="39">
        <v>25.4</v>
      </c>
      <c r="AA346" s="39">
        <v>31.23</v>
      </c>
      <c r="AB346" s="43">
        <v>31.38</v>
      </c>
      <c r="AC346" s="224"/>
      <c r="AD346" s="113"/>
      <c r="AE346" s="243">
        <v>38412</v>
      </c>
      <c r="AF346" s="5" t="s">
        <v>495</v>
      </c>
    </row>
    <row r="347" spans="1:32" ht="15" customHeight="1" x14ac:dyDescent="0.3">
      <c r="A347" s="54" t="s">
        <v>363</v>
      </c>
      <c r="B347" s="39">
        <v>26.07</v>
      </c>
      <c r="C347" s="39"/>
      <c r="D347" s="39">
        <v>27.05</v>
      </c>
      <c r="E347" s="39">
        <v>28.72</v>
      </c>
      <c r="F347" s="39">
        <v>27.9</v>
      </c>
      <c r="G347" s="39">
        <v>25.55</v>
      </c>
      <c r="H347" s="39">
        <v>27.39</v>
      </c>
      <c r="I347" s="39">
        <v>37.119999999999997</v>
      </c>
      <c r="J347" s="39">
        <v>30.48</v>
      </c>
      <c r="K347" s="39">
        <v>27.79</v>
      </c>
      <c r="L347" s="62"/>
      <c r="M347" s="39">
        <v>33.57</v>
      </c>
      <c r="N347" s="39">
        <v>38.92</v>
      </c>
      <c r="O347" s="39">
        <v>19.95</v>
      </c>
      <c r="P347" s="39">
        <v>19.899999999999999</v>
      </c>
      <c r="Q347" s="34">
        <v>29.19</v>
      </c>
      <c r="R347" s="39">
        <v>25.86</v>
      </c>
      <c r="S347" s="42"/>
      <c r="T347" s="34">
        <v>26.27</v>
      </c>
      <c r="U347" s="39">
        <v>28.77</v>
      </c>
      <c r="V347" s="39">
        <v>24</v>
      </c>
      <c r="W347" s="39">
        <v>27.94</v>
      </c>
      <c r="X347" s="42"/>
      <c r="Y347" s="39">
        <v>26.25</v>
      </c>
      <c r="Z347" s="39">
        <v>24.29</v>
      </c>
      <c r="AA347" s="39">
        <v>31.08</v>
      </c>
      <c r="AB347" s="43">
        <v>29.14</v>
      </c>
      <c r="AC347" s="224"/>
      <c r="AD347" s="113"/>
      <c r="AE347" s="243">
        <v>38443</v>
      </c>
      <c r="AF347" s="5" t="s">
        <v>495</v>
      </c>
    </row>
    <row r="348" spans="1:32" ht="15" customHeight="1" x14ac:dyDescent="0.3">
      <c r="A348" s="38" t="s">
        <v>364</v>
      </c>
      <c r="B348" s="39">
        <v>25.84</v>
      </c>
      <c r="C348" s="39"/>
      <c r="D348" s="39">
        <v>26.81</v>
      </c>
      <c r="E348" s="39">
        <v>28.75</v>
      </c>
      <c r="F348" s="39">
        <v>27.44</v>
      </c>
      <c r="G348" s="39">
        <v>25.32</v>
      </c>
      <c r="H348" s="39">
        <v>27.18</v>
      </c>
      <c r="I348" s="39">
        <v>37.020000000000003</v>
      </c>
      <c r="J348" s="39">
        <v>30.23</v>
      </c>
      <c r="K348" s="39">
        <v>27.35</v>
      </c>
      <c r="L348" s="62"/>
      <c r="M348" s="39">
        <v>33.57</v>
      </c>
      <c r="N348" s="39">
        <v>37.9</v>
      </c>
      <c r="O348" s="39">
        <v>20.23</v>
      </c>
      <c r="P348" s="39">
        <v>18.899999999999999</v>
      </c>
      <c r="Q348" s="34">
        <v>28.43</v>
      </c>
      <c r="R348" s="39">
        <v>24.63</v>
      </c>
      <c r="S348" s="42"/>
      <c r="T348" s="34">
        <v>26.27</v>
      </c>
      <c r="U348" s="39">
        <v>27.85</v>
      </c>
      <c r="V348" s="39">
        <v>23.73</v>
      </c>
      <c r="W348" s="39">
        <v>27.6</v>
      </c>
      <c r="X348" s="42"/>
      <c r="Y348" s="39">
        <v>26.03</v>
      </c>
      <c r="Z348" s="39">
        <v>24.33</v>
      </c>
      <c r="AA348" s="39">
        <v>30.73</v>
      </c>
      <c r="AB348" s="43">
        <v>28.94</v>
      </c>
      <c r="AC348" s="224"/>
      <c r="AD348" s="113"/>
      <c r="AE348" s="243">
        <v>38473</v>
      </c>
      <c r="AF348" s="5" t="s">
        <v>495</v>
      </c>
    </row>
    <row r="349" spans="1:32" ht="15" customHeight="1" x14ac:dyDescent="0.3">
      <c r="A349" s="38" t="s">
        <v>365</v>
      </c>
      <c r="B349" s="39">
        <v>25.49</v>
      </c>
      <c r="C349" s="39"/>
      <c r="D349" s="39">
        <v>26.84</v>
      </c>
      <c r="E349" s="39">
        <v>28.75</v>
      </c>
      <c r="F349" s="39">
        <v>27.26</v>
      </c>
      <c r="G349" s="39">
        <v>25.21</v>
      </c>
      <c r="H349" s="39">
        <v>26.98</v>
      </c>
      <c r="I349" s="39">
        <v>35</v>
      </c>
      <c r="J349" s="39">
        <v>29.84</v>
      </c>
      <c r="K349" s="39">
        <v>27.89</v>
      </c>
      <c r="L349" s="62"/>
      <c r="M349" s="39">
        <v>33.57</v>
      </c>
      <c r="N349" s="39">
        <v>39.18</v>
      </c>
      <c r="O349" s="39">
        <v>21.97</v>
      </c>
      <c r="P349" s="39">
        <v>18.37</v>
      </c>
      <c r="Q349" s="34">
        <v>28</v>
      </c>
      <c r="R349" s="39">
        <v>24.29</v>
      </c>
      <c r="S349" s="42"/>
      <c r="T349" s="34">
        <v>26.27</v>
      </c>
      <c r="U349" s="39">
        <v>27.71</v>
      </c>
      <c r="V349" s="39">
        <v>23.96</v>
      </c>
      <c r="W349" s="39">
        <v>27.29</v>
      </c>
      <c r="X349" s="42"/>
      <c r="Y349" s="39">
        <v>25.88</v>
      </c>
      <c r="Z349" s="39">
        <v>24.38</v>
      </c>
      <c r="AA349" s="39">
        <v>31.37</v>
      </c>
      <c r="AB349" s="43">
        <v>28.81</v>
      </c>
      <c r="AC349" s="224"/>
      <c r="AD349" s="113"/>
      <c r="AE349" s="243">
        <v>38504</v>
      </c>
      <c r="AF349" s="5" t="s">
        <v>495</v>
      </c>
    </row>
    <row r="350" spans="1:32" ht="15" customHeight="1" collapsed="1" x14ac:dyDescent="0.3">
      <c r="A350" s="38" t="s">
        <v>366</v>
      </c>
      <c r="B350" s="39">
        <v>25.47</v>
      </c>
      <c r="C350" s="39"/>
      <c r="D350" s="39">
        <v>26.36</v>
      </c>
      <c r="E350" s="39">
        <v>28.7</v>
      </c>
      <c r="F350" s="39">
        <v>27.36</v>
      </c>
      <c r="G350" s="39">
        <v>25.04</v>
      </c>
      <c r="H350" s="39">
        <v>26.88</v>
      </c>
      <c r="I350" s="34">
        <v>36.859104782895862</v>
      </c>
      <c r="J350" s="39">
        <v>29.76</v>
      </c>
      <c r="K350" s="39">
        <v>29.47</v>
      </c>
      <c r="L350" s="62"/>
      <c r="M350" s="39">
        <v>33.57</v>
      </c>
      <c r="N350" s="39">
        <v>40.32</v>
      </c>
      <c r="O350" s="39">
        <v>21.85</v>
      </c>
      <c r="P350" s="39">
        <v>17.899999999999999</v>
      </c>
      <c r="Q350" s="34">
        <v>28.4</v>
      </c>
      <c r="R350" s="39">
        <v>24.09</v>
      </c>
      <c r="S350" s="42"/>
      <c r="T350" s="34">
        <v>26.44</v>
      </c>
      <c r="U350" s="39">
        <v>27.68</v>
      </c>
      <c r="V350" s="39">
        <v>23.57</v>
      </c>
      <c r="W350" s="39">
        <v>27.15</v>
      </c>
      <c r="X350" s="42"/>
      <c r="Y350" s="39">
        <v>25.46</v>
      </c>
      <c r="Z350" s="39">
        <v>23.85</v>
      </c>
      <c r="AA350" s="39">
        <v>34.979999999999997</v>
      </c>
      <c r="AB350" s="43">
        <v>28.11</v>
      </c>
      <c r="AC350" s="224"/>
      <c r="AD350" s="113"/>
      <c r="AE350" s="243">
        <v>38534</v>
      </c>
      <c r="AF350" s="5" t="s">
        <v>495</v>
      </c>
    </row>
    <row r="351" spans="1:32" ht="15" customHeight="1" x14ac:dyDescent="0.3">
      <c r="A351" s="38" t="s">
        <v>367</v>
      </c>
      <c r="B351" s="39">
        <v>26.8</v>
      </c>
      <c r="C351" s="39"/>
      <c r="D351" s="39">
        <v>26.88</v>
      </c>
      <c r="E351" s="39">
        <v>28.69</v>
      </c>
      <c r="F351" s="39">
        <v>28.03</v>
      </c>
      <c r="G351" s="39">
        <v>25.11</v>
      </c>
      <c r="H351" s="39">
        <v>27.39</v>
      </c>
      <c r="I351" s="39">
        <v>35.119999999999997</v>
      </c>
      <c r="J351" s="39">
        <v>29.71</v>
      </c>
      <c r="K351" s="39">
        <v>31.92</v>
      </c>
      <c r="L351" s="62"/>
      <c r="M351" s="39">
        <v>33.57</v>
      </c>
      <c r="N351" s="39">
        <v>40.32</v>
      </c>
      <c r="O351" s="39">
        <v>21.91</v>
      </c>
      <c r="P351" s="39">
        <v>18.239999999999998</v>
      </c>
      <c r="Q351" s="34">
        <v>29.78</v>
      </c>
      <c r="R351" s="34">
        <v>25.556033459832104</v>
      </c>
      <c r="S351" s="42"/>
      <c r="T351" s="34">
        <v>31.8</v>
      </c>
      <c r="U351" s="39">
        <v>28.27</v>
      </c>
      <c r="V351" s="39">
        <v>23.82</v>
      </c>
      <c r="W351" s="39">
        <v>27.5</v>
      </c>
      <c r="X351" s="42"/>
      <c r="Y351" s="39">
        <v>25.58</v>
      </c>
      <c r="Z351" s="39">
        <v>23.89</v>
      </c>
      <c r="AA351" s="39">
        <v>36.130000000000003</v>
      </c>
      <c r="AB351" s="43">
        <v>28.36</v>
      </c>
      <c r="AC351" s="224"/>
      <c r="AD351" s="113"/>
      <c r="AE351" s="243">
        <v>38565</v>
      </c>
      <c r="AF351" s="5" t="s">
        <v>495</v>
      </c>
    </row>
    <row r="352" spans="1:32" ht="15" customHeight="1" x14ac:dyDescent="0.3">
      <c r="A352" s="38" t="s">
        <v>368</v>
      </c>
      <c r="B352" s="39">
        <v>27.78</v>
      </c>
      <c r="C352" s="39"/>
      <c r="D352" s="39">
        <v>27.2</v>
      </c>
      <c r="E352" s="39">
        <v>28.7</v>
      </c>
      <c r="F352" s="39">
        <v>28.77</v>
      </c>
      <c r="G352" s="39">
        <v>25.22</v>
      </c>
      <c r="H352" s="39">
        <v>28.32</v>
      </c>
      <c r="I352" s="39">
        <v>35.26</v>
      </c>
      <c r="J352" s="39">
        <v>30.07</v>
      </c>
      <c r="K352" s="39">
        <v>32.61</v>
      </c>
      <c r="L352" s="62"/>
      <c r="M352" s="39">
        <v>33.57</v>
      </c>
      <c r="N352" s="39">
        <v>40.5</v>
      </c>
      <c r="O352" s="39">
        <v>22.25</v>
      </c>
      <c r="P352" s="39">
        <v>19.29</v>
      </c>
      <c r="Q352" s="34">
        <v>31.15</v>
      </c>
      <c r="R352" s="39">
        <v>24.66</v>
      </c>
      <c r="S352" s="42"/>
      <c r="T352" s="34">
        <v>31.8</v>
      </c>
      <c r="U352" s="39">
        <v>28.77</v>
      </c>
      <c r="V352" s="39">
        <v>24.97</v>
      </c>
      <c r="W352" s="39">
        <v>28.5</v>
      </c>
      <c r="X352" s="42"/>
      <c r="Y352" s="39">
        <v>25.88</v>
      </c>
      <c r="Z352" s="39">
        <v>24.37</v>
      </c>
      <c r="AA352" s="39">
        <v>37.799999999999997</v>
      </c>
      <c r="AB352" s="43">
        <v>29.06</v>
      </c>
      <c r="AC352" s="224"/>
      <c r="AD352" s="113"/>
      <c r="AE352" s="243">
        <v>38596</v>
      </c>
      <c r="AF352" s="5" t="s">
        <v>495</v>
      </c>
    </row>
    <row r="353" spans="1:32" ht="15" customHeight="1" x14ac:dyDescent="0.3">
      <c r="A353" s="38" t="s">
        <v>369</v>
      </c>
      <c r="B353" s="39">
        <v>29.23</v>
      </c>
      <c r="C353" s="39"/>
      <c r="D353" s="39">
        <v>26.91</v>
      </c>
      <c r="E353" s="39">
        <v>29.75</v>
      </c>
      <c r="F353" s="39">
        <v>29.69</v>
      </c>
      <c r="G353" s="39">
        <v>25.26</v>
      </c>
      <c r="H353" s="39">
        <v>30.69</v>
      </c>
      <c r="I353" s="39">
        <v>35.26</v>
      </c>
      <c r="J353" s="39">
        <v>30.04</v>
      </c>
      <c r="K353" s="39">
        <v>32.380000000000003</v>
      </c>
      <c r="L353" s="62"/>
      <c r="M353" s="39">
        <v>33.57</v>
      </c>
      <c r="N353" s="39">
        <v>40.79</v>
      </c>
      <c r="O353" s="39">
        <v>22.89</v>
      </c>
      <c r="P353" s="39">
        <v>20.48</v>
      </c>
      <c r="Q353" s="34">
        <v>32.53</v>
      </c>
      <c r="R353" s="39">
        <v>24.99</v>
      </c>
      <c r="S353" s="42"/>
      <c r="T353" s="34">
        <v>31.8</v>
      </c>
      <c r="U353" s="39">
        <v>30.55</v>
      </c>
      <c r="V353" s="39">
        <v>25.28</v>
      </c>
      <c r="W353" s="39">
        <v>29.2</v>
      </c>
      <c r="X353" s="42"/>
      <c r="Y353" s="39">
        <v>26.42</v>
      </c>
      <c r="Z353" s="39">
        <v>24.04</v>
      </c>
      <c r="AA353" s="39">
        <v>38.32</v>
      </c>
      <c r="AB353" s="43">
        <v>29.47</v>
      </c>
      <c r="AC353" s="224"/>
      <c r="AD353" s="113"/>
      <c r="AE353" s="243">
        <v>38626</v>
      </c>
      <c r="AF353" s="5" t="s">
        <v>495</v>
      </c>
    </row>
    <row r="354" spans="1:32" ht="15" customHeight="1" x14ac:dyDescent="0.3">
      <c r="A354" s="38" t="s">
        <v>370</v>
      </c>
      <c r="B354" s="39">
        <v>29.6</v>
      </c>
      <c r="C354" s="39"/>
      <c r="D354" s="39">
        <v>27.28</v>
      </c>
      <c r="E354" s="39">
        <v>29.89</v>
      </c>
      <c r="F354" s="39">
        <v>30.19</v>
      </c>
      <c r="G354" s="39">
        <v>25.32</v>
      </c>
      <c r="H354" s="39">
        <v>30.48</v>
      </c>
      <c r="I354" s="39">
        <v>35.76</v>
      </c>
      <c r="J354" s="39">
        <v>30.04</v>
      </c>
      <c r="K354" s="39">
        <v>32.29</v>
      </c>
      <c r="L354" s="62"/>
      <c r="M354" s="39">
        <v>33.57</v>
      </c>
      <c r="N354" s="39">
        <v>43.2</v>
      </c>
      <c r="O354" s="39">
        <v>23.56</v>
      </c>
      <c r="P354" s="39">
        <v>21.05</v>
      </c>
      <c r="Q354" s="34">
        <v>33.299999999999997</v>
      </c>
      <c r="R354" s="39">
        <v>25.46</v>
      </c>
      <c r="S354" s="42"/>
      <c r="T354" s="34">
        <v>31.81</v>
      </c>
      <c r="U354" s="39">
        <v>31.71</v>
      </c>
      <c r="V354" s="39">
        <v>25.4</v>
      </c>
      <c r="W354" s="39">
        <v>29.4</v>
      </c>
      <c r="X354" s="42"/>
      <c r="Y354" s="34">
        <v>26.238594802694898</v>
      </c>
      <c r="Z354" s="39">
        <v>24.45</v>
      </c>
      <c r="AA354" s="39">
        <v>38.479999999999997</v>
      </c>
      <c r="AB354" s="43">
        <v>28.53</v>
      </c>
      <c r="AC354" s="224"/>
      <c r="AD354" s="113"/>
      <c r="AE354" s="243">
        <v>38657</v>
      </c>
      <c r="AF354" s="5" t="s">
        <v>495</v>
      </c>
    </row>
    <row r="355" spans="1:32" ht="15" customHeight="1" thickBot="1" x14ac:dyDescent="0.35">
      <c r="A355" s="63" t="s">
        <v>371</v>
      </c>
      <c r="B355" s="64">
        <v>29.7</v>
      </c>
      <c r="C355" s="64"/>
      <c r="D355" s="64">
        <v>27.49</v>
      </c>
      <c r="E355" s="64">
        <v>30.05</v>
      </c>
      <c r="F355" s="64">
        <v>29.51</v>
      </c>
      <c r="G355" s="64">
        <v>25.35</v>
      </c>
      <c r="H355" s="64">
        <v>29.66</v>
      </c>
      <c r="I355" s="64">
        <v>34.71</v>
      </c>
      <c r="J355" s="64">
        <v>30.28</v>
      </c>
      <c r="K355" s="64">
        <v>32.22</v>
      </c>
      <c r="L355" s="65"/>
      <c r="M355" s="64">
        <v>33.57</v>
      </c>
      <c r="N355" s="64">
        <v>41.14</v>
      </c>
      <c r="O355" s="64">
        <v>23.31</v>
      </c>
      <c r="P355" s="64">
        <v>21.3</v>
      </c>
      <c r="Q355" s="64">
        <v>33.47</v>
      </c>
      <c r="R355" s="64">
        <v>25.55</v>
      </c>
      <c r="S355" s="66"/>
      <c r="T355" s="64">
        <v>29.27</v>
      </c>
      <c r="U355" s="64">
        <v>31.66</v>
      </c>
      <c r="V355" s="64">
        <v>26.91</v>
      </c>
      <c r="W355" s="64">
        <v>29.4</v>
      </c>
      <c r="X355" s="66"/>
      <c r="Y355" s="64">
        <v>27</v>
      </c>
      <c r="Z355" s="64">
        <v>25.15</v>
      </c>
      <c r="AA355" s="64">
        <v>36.770000000000003</v>
      </c>
      <c r="AB355" s="67">
        <v>28.8</v>
      </c>
      <c r="AC355" s="227"/>
      <c r="AD355" s="116"/>
      <c r="AE355" s="246">
        <v>38687</v>
      </c>
      <c r="AF355" s="5" t="s">
        <v>495</v>
      </c>
    </row>
    <row r="356" spans="1:32" ht="15" customHeight="1" collapsed="1" x14ac:dyDescent="0.3">
      <c r="A356" s="54" t="s">
        <v>390</v>
      </c>
      <c r="B356" s="34">
        <v>28.35</v>
      </c>
      <c r="C356" s="34"/>
      <c r="D356" s="34">
        <v>27.56</v>
      </c>
      <c r="E356" s="34">
        <v>30.16</v>
      </c>
      <c r="F356" s="34">
        <v>27.25</v>
      </c>
      <c r="G356" s="34">
        <v>24.63</v>
      </c>
      <c r="H356" s="34">
        <v>28.11</v>
      </c>
      <c r="I356" s="34">
        <v>35.33</v>
      </c>
      <c r="J356" s="34">
        <v>30.32</v>
      </c>
      <c r="K356" s="34">
        <v>30.84</v>
      </c>
      <c r="L356" s="61"/>
      <c r="M356" s="34">
        <v>32.28</v>
      </c>
      <c r="N356" s="34">
        <v>41.12</v>
      </c>
      <c r="O356" s="34">
        <v>24.02</v>
      </c>
      <c r="P356" s="34">
        <v>21.65</v>
      </c>
      <c r="Q356" s="34">
        <v>31.83</v>
      </c>
      <c r="R356" s="34">
        <v>25.4</v>
      </c>
      <c r="S356" s="37"/>
      <c r="T356" s="34">
        <v>27.64</v>
      </c>
      <c r="U356" s="34">
        <v>30.7</v>
      </c>
      <c r="V356" s="34">
        <v>26.62</v>
      </c>
      <c r="W356" s="34">
        <v>29.2</v>
      </c>
      <c r="X356" s="37"/>
      <c r="Y356" s="34">
        <v>26.78</v>
      </c>
      <c r="Z356" s="34">
        <v>25.11</v>
      </c>
      <c r="AA356" s="34">
        <v>35.619999999999997</v>
      </c>
      <c r="AB356" s="58">
        <v>28.39</v>
      </c>
      <c r="AC356" s="223"/>
      <c r="AD356" s="112"/>
      <c r="AE356" s="242">
        <v>38718</v>
      </c>
      <c r="AF356" s="5" t="s">
        <v>495</v>
      </c>
    </row>
    <row r="357" spans="1:32" ht="15" customHeight="1" x14ac:dyDescent="0.3">
      <c r="A357" s="38" t="s">
        <v>391</v>
      </c>
      <c r="B357" s="39">
        <v>27.54</v>
      </c>
      <c r="C357" s="39"/>
      <c r="D357" s="39">
        <v>27.63</v>
      </c>
      <c r="E357" s="39">
        <v>29.74</v>
      </c>
      <c r="F357" s="39">
        <v>26.75</v>
      </c>
      <c r="G357" s="39">
        <v>25.02</v>
      </c>
      <c r="H357" s="39">
        <v>27.7</v>
      </c>
      <c r="I357" s="39">
        <v>35.46</v>
      </c>
      <c r="J357" s="39">
        <v>29.56</v>
      </c>
      <c r="K357" s="39">
        <v>30.26</v>
      </c>
      <c r="L357" s="62"/>
      <c r="M357" s="39">
        <v>32.28</v>
      </c>
      <c r="N357" s="39">
        <v>40.85</v>
      </c>
      <c r="O357" s="39">
        <v>24.09</v>
      </c>
      <c r="P357" s="39">
        <v>21.47</v>
      </c>
      <c r="Q357" s="34">
        <v>30.18</v>
      </c>
      <c r="R357" s="39">
        <v>24.8</v>
      </c>
      <c r="S357" s="42"/>
      <c r="T357" s="34">
        <v>27.64</v>
      </c>
      <c r="U357" s="39">
        <v>30.64</v>
      </c>
      <c r="V357" s="39">
        <v>26.41</v>
      </c>
      <c r="W357" s="39">
        <v>29.2</v>
      </c>
      <c r="X357" s="42"/>
      <c r="Y357" s="39">
        <v>26.55</v>
      </c>
      <c r="Z357" s="39">
        <v>25.11</v>
      </c>
      <c r="AA357" s="39">
        <v>35.47</v>
      </c>
      <c r="AB357" s="43">
        <v>28.86</v>
      </c>
      <c r="AC357" s="224"/>
      <c r="AD357" s="113"/>
      <c r="AE357" s="243">
        <v>38749</v>
      </c>
      <c r="AF357" s="5" t="s">
        <v>495</v>
      </c>
    </row>
    <row r="358" spans="1:32" ht="15" customHeight="1" x14ac:dyDescent="0.3">
      <c r="A358" s="38" t="s">
        <v>392</v>
      </c>
      <c r="B358" s="39">
        <v>26.73</v>
      </c>
      <c r="C358" s="39"/>
      <c r="D358" s="39">
        <v>27.36</v>
      </c>
      <c r="E358" s="39">
        <v>29.76</v>
      </c>
      <c r="F358" s="39">
        <v>26.45</v>
      </c>
      <c r="G358" s="39">
        <v>24.54</v>
      </c>
      <c r="H358" s="39">
        <v>26.98</v>
      </c>
      <c r="I358" s="39">
        <v>35.39</v>
      </c>
      <c r="J358" s="39">
        <v>29.45</v>
      </c>
      <c r="K358" s="39">
        <v>28.46</v>
      </c>
      <c r="L358" s="62"/>
      <c r="M358" s="39">
        <v>32.28</v>
      </c>
      <c r="N358" s="39">
        <v>40.57</v>
      </c>
      <c r="O358" s="39">
        <v>23.99</v>
      </c>
      <c r="P358" s="39">
        <v>21.54</v>
      </c>
      <c r="Q358" s="39">
        <v>29.92</v>
      </c>
      <c r="R358" s="39">
        <v>24.15</v>
      </c>
      <c r="S358" s="42"/>
      <c r="T358" s="39">
        <v>25.73</v>
      </c>
      <c r="U358" s="39">
        <v>30.05</v>
      </c>
      <c r="V358" s="39">
        <v>25.87</v>
      </c>
      <c r="W358" s="39">
        <v>26.9</v>
      </c>
      <c r="X358" s="42"/>
      <c r="Y358" s="39">
        <v>26.77</v>
      </c>
      <c r="Z358" s="39">
        <v>25.28</v>
      </c>
      <c r="AA358" s="39">
        <v>32.58</v>
      </c>
      <c r="AB358" s="43">
        <v>28.38</v>
      </c>
      <c r="AC358" s="224"/>
      <c r="AD358" s="113"/>
      <c r="AE358" s="243">
        <v>38777</v>
      </c>
      <c r="AF358" s="5" t="s">
        <v>495</v>
      </c>
    </row>
    <row r="359" spans="1:32" ht="15" customHeight="1" x14ac:dyDescent="0.3">
      <c r="A359" s="54" t="s">
        <v>393</v>
      </c>
      <c r="B359" s="39">
        <v>25.67</v>
      </c>
      <c r="C359" s="39"/>
      <c r="D359" s="39">
        <v>27.16</v>
      </c>
      <c r="E359" s="39">
        <v>28.95</v>
      </c>
      <c r="F359" s="39">
        <v>26.3</v>
      </c>
      <c r="G359" s="39">
        <v>24.31</v>
      </c>
      <c r="H359" s="39">
        <v>26.46</v>
      </c>
      <c r="I359" s="39">
        <v>35.22</v>
      </c>
      <c r="J359" s="39">
        <v>29.16</v>
      </c>
      <c r="K359" s="39">
        <v>26.16</v>
      </c>
      <c r="L359" s="62"/>
      <c r="M359" s="39">
        <v>32</v>
      </c>
      <c r="N359" s="39">
        <v>40.57</v>
      </c>
      <c r="O359" s="39">
        <v>23.95</v>
      </c>
      <c r="P359" s="39">
        <v>20.48</v>
      </c>
      <c r="Q359" s="39">
        <v>28.57</v>
      </c>
      <c r="R359" s="39">
        <v>23.06</v>
      </c>
      <c r="S359" s="42"/>
      <c r="T359" s="39">
        <v>25.44</v>
      </c>
      <c r="U359" s="39">
        <v>29.15</v>
      </c>
      <c r="V359" s="39">
        <v>25.16</v>
      </c>
      <c r="W359" s="39">
        <v>26.5</v>
      </c>
      <c r="X359" s="42"/>
      <c r="Y359" s="39">
        <v>26.01</v>
      </c>
      <c r="Z359" s="39">
        <v>24.78</v>
      </c>
      <c r="AA359" s="39">
        <v>32.380000000000003</v>
      </c>
      <c r="AB359" s="43">
        <v>28.54</v>
      </c>
      <c r="AC359" s="224"/>
      <c r="AD359" s="113"/>
      <c r="AE359" s="243">
        <v>38808</v>
      </c>
      <c r="AF359" s="5" t="s">
        <v>495</v>
      </c>
    </row>
    <row r="360" spans="1:32" ht="15" customHeight="1" x14ac:dyDescent="0.3">
      <c r="A360" s="38" t="s">
        <v>394</v>
      </c>
      <c r="B360" s="39">
        <v>25.38</v>
      </c>
      <c r="C360" s="39"/>
      <c r="D360" s="39">
        <v>27</v>
      </c>
      <c r="E360" s="39">
        <v>28.42</v>
      </c>
      <c r="F360" s="39">
        <v>26.15</v>
      </c>
      <c r="G360" s="39">
        <v>24.15</v>
      </c>
      <c r="H360" s="39">
        <v>26.46</v>
      </c>
      <c r="I360" s="39">
        <v>34.71</v>
      </c>
      <c r="J360" s="39">
        <v>29.04</v>
      </c>
      <c r="K360" s="39">
        <v>26.17</v>
      </c>
      <c r="L360" s="62"/>
      <c r="M360" s="39">
        <v>32</v>
      </c>
      <c r="N360" s="39">
        <v>40.33</v>
      </c>
      <c r="O360" s="39">
        <v>23.55</v>
      </c>
      <c r="P360" s="39">
        <v>19.66</v>
      </c>
      <c r="Q360" s="39">
        <v>28.56</v>
      </c>
      <c r="R360" s="39">
        <v>23.15</v>
      </c>
      <c r="S360" s="42"/>
      <c r="T360" s="39">
        <v>25.44</v>
      </c>
      <c r="U360" s="39">
        <v>28.14</v>
      </c>
      <c r="V360" s="39">
        <v>24.94</v>
      </c>
      <c r="W360" s="39">
        <v>26.5</v>
      </c>
      <c r="X360" s="42"/>
      <c r="Y360" s="39">
        <v>26.03</v>
      </c>
      <c r="Z360" s="39">
        <v>24.61</v>
      </c>
      <c r="AA360" s="39">
        <v>31.98</v>
      </c>
      <c r="AB360" s="43">
        <v>28.04</v>
      </c>
      <c r="AC360" s="224"/>
      <c r="AD360" s="113"/>
      <c r="AE360" s="243">
        <v>38838</v>
      </c>
      <c r="AF360" s="5" t="s">
        <v>495</v>
      </c>
    </row>
    <row r="361" spans="1:32" ht="15" customHeight="1" x14ac:dyDescent="0.3">
      <c r="A361" s="38" t="s">
        <v>395</v>
      </c>
      <c r="B361" s="39">
        <v>24.91</v>
      </c>
      <c r="C361" s="39"/>
      <c r="D361" s="39">
        <v>26.62</v>
      </c>
      <c r="E361" s="39">
        <v>28.02</v>
      </c>
      <c r="F361" s="39">
        <v>26.32</v>
      </c>
      <c r="G361" s="39">
        <v>23.93</v>
      </c>
      <c r="H361" s="39">
        <v>25.74</v>
      </c>
      <c r="I361" s="39">
        <v>34.549999999999997</v>
      </c>
      <c r="J361" s="39">
        <v>29.02</v>
      </c>
      <c r="K361" s="39">
        <v>26.87</v>
      </c>
      <c r="L361" s="62"/>
      <c r="M361" s="39">
        <v>32</v>
      </c>
      <c r="N361" s="39">
        <v>40.28</v>
      </c>
      <c r="O361" s="39">
        <v>23.25</v>
      </c>
      <c r="P361" s="39">
        <v>19.12</v>
      </c>
      <c r="Q361" s="39">
        <v>27.98</v>
      </c>
      <c r="R361" s="39">
        <v>22.28</v>
      </c>
      <c r="S361" s="42"/>
      <c r="T361" s="39">
        <v>25.29</v>
      </c>
      <c r="U361" s="39">
        <v>28.06</v>
      </c>
      <c r="V361" s="39">
        <v>24</v>
      </c>
      <c r="W361" s="39">
        <v>26.2</v>
      </c>
      <c r="X361" s="42"/>
      <c r="Y361" s="39">
        <v>25.81</v>
      </c>
      <c r="Z361" s="39">
        <v>24.29</v>
      </c>
      <c r="AA361" s="39">
        <v>32.72</v>
      </c>
      <c r="AB361" s="43">
        <v>27.7</v>
      </c>
      <c r="AC361" s="224"/>
      <c r="AD361" s="113"/>
      <c r="AE361" s="243">
        <v>38869</v>
      </c>
      <c r="AF361" s="5" t="s">
        <v>495</v>
      </c>
    </row>
    <row r="362" spans="1:32" ht="15" customHeight="1" x14ac:dyDescent="0.3">
      <c r="A362" s="38" t="s">
        <v>396</v>
      </c>
      <c r="B362" s="39">
        <v>24.86</v>
      </c>
      <c r="C362" s="39"/>
      <c r="D362" s="39">
        <v>26.01</v>
      </c>
      <c r="E362" s="39">
        <v>27.62</v>
      </c>
      <c r="F362" s="39">
        <v>26.35</v>
      </c>
      <c r="G362" s="39">
        <v>23.74</v>
      </c>
      <c r="H362" s="39">
        <v>25.3</v>
      </c>
      <c r="I362" s="39">
        <v>34.56</v>
      </c>
      <c r="J362" s="39">
        <v>29.1</v>
      </c>
      <c r="K362" s="39">
        <v>28.35</v>
      </c>
      <c r="L362" s="62"/>
      <c r="M362" s="39">
        <v>32</v>
      </c>
      <c r="N362" s="39">
        <v>40.479999999999997</v>
      </c>
      <c r="O362" s="39">
        <v>22.77</v>
      </c>
      <c r="P362" s="39">
        <v>18.12</v>
      </c>
      <c r="Q362" s="34">
        <v>28.52</v>
      </c>
      <c r="R362" s="39">
        <v>21.64</v>
      </c>
      <c r="S362" s="42"/>
      <c r="T362" s="39">
        <v>25.49</v>
      </c>
      <c r="U362" s="39">
        <v>28.21</v>
      </c>
      <c r="V362" s="39">
        <v>23.93</v>
      </c>
      <c r="W362" s="39">
        <v>26.2</v>
      </c>
      <c r="X362" s="42"/>
      <c r="Y362" s="39">
        <v>25.54</v>
      </c>
      <c r="Z362" s="39">
        <v>23.73</v>
      </c>
      <c r="AA362" s="39">
        <v>36.32</v>
      </c>
      <c r="AB362" s="43">
        <v>27.52</v>
      </c>
      <c r="AC362" s="224"/>
      <c r="AD362" s="113"/>
      <c r="AE362" s="243">
        <v>38899</v>
      </c>
      <c r="AF362" s="5" t="s">
        <v>495</v>
      </c>
    </row>
    <row r="363" spans="1:32" ht="15" customHeight="1" x14ac:dyDescent="0.3">
      <c r="A363" s="38" t="s">
        <v>397</v>
      </c>
      <c r="B363" s="39">
        <v>26.3</v>
      </c>
      <c r="C363" s="39"/>
      <c r="D363" s="34">
        <v>26.46</v>
      </c>
      <c r="E363" s="39">
        <v>27.88</v>
      </c>
      <c r="F363" s="39">
        <v>26.7</v>
      </c>
      <c r="G363" s="39">
        <v>23.94</v>
      </c>
      <c r="H363" s="39">
        <v>27.7</v>
      </c>
      <c r="I363" s="39">
        <v>34.54</v>
      </c>
      <c r="J363" s="39">
        <v>29.13</v>
      </c>
      <c r="K363" s="39">
        <v>30.6</v>
      </c>
      <c r="L363" s="62"/>
      <c r="M363" s="39">
        <v>32</v>
      </c>
      <c r="N363" s="39">
        <v>38.9</v>
      </c>
      <c r="O363" s="39">
        <v>22.61</v>
      </c>
      <c r="P363" s="39">
        <v>18.61</v>
      </c>
      <c r="Q363" s="39">
        <v>29.69</v>
      </c>
      <c r="R363" s="39">
        <v>22.08</v>
      </c>
      <c r="S363" s="42"/>
      <c r="T363" s="39">
        <v>30.92</v>
      </c>
      <c r="U363" s="39">
        <v>29.05</v>
      </c>
      <c r="V363" s="39">
        <v>24.56</v>
      </c>
      <c r="W363" s="39">
        <v>26.4</v>
      </c>
      <c r="X363" s="42"/>
      <c r="Y363" s="39">
        <v>25.8</v>
      </c>
      <c r="Z363" s="39">
        <v>24.18</v>
      </c>
      <c r="AA363" s="39">
        <v>37.380000000000003</v>
      </c>
      <c r="AB363" s="43">
        <v>27.98</v>
      </c>
      <c r="AC363" s="224"/>
      <c r="AD363" s="113"/>
      <c r="AE363" s="243">
        <v>38930</v>
      </c>
      <c r="AF363" s="5" t="s">
        <v>495</v>
      </c>
    </row>
    <row r="364" spans="1:32" ht="15" customHeight="1" x14ac:dyDescent="0.3">
      <c r="A364" s="38" t="s">
        <v>398</v>
      </c>
      <c r="B364" s="39">
        <v>27.6</v>
      </c>
      <c r="C364" s="39"/>
      <c r="D364" s="39">
        <v>26.11</v>
      </c>
      <c r="E364" s="39">
        <v>28.95</v>
      </c>
      <c r="F364" s="39">
        <v>27.45</v>
      </c>
      <c r="G364" s="39">
        <v>24.02</v>
      </c>
      <c r="H364" s="39">
        <v>27.7</v>
      </c>
      <c r="I364" s="39">
        <v>34.54</v>
      </c>
      <c r="J364" s="39">
        <v>29.6</v>
      </c>
      <c r="K364" s="39">
        <v>31.45</v>
      </c>
      <c r="L364" s="62"/>
      <c r="M364" s="39">
        <v>32</v>
      </c>
      <c r="N364" s="39">
        <v>38.880000000000003</v>
      </c>
      <c r="O364" s="39">
        <v>22.82</v>
      </c>
      <c r="P364" s="39">
        <v>19.52</v>
      </c>
      <c r="Q364" s="39">
        <v>31.26</v>
      </c>
      <c r="R364" s="39">
        <v>22.2</v>
      </c>
      <c r="S364" s="42"/>
      <c r="T364" s="39">
        <v>30.92</v>
      </c>
      <c r="U364" s="39">
        <v>29.72</v>
      </c>
      <c r="V364" s="39">
        <v>24.61</v>
      </c>
      <c r="W364" s="39">
        <v>26.4</v>
      </c>
      <c r="X364" s="42"/>
      <c r="Y364" s="39">
        <v>26.41</v>
      </c>
      <c r="Z364" s="39">
        <v>24.74</v>
      </c>
      <c r="AA364" s="39">
        <v>38.9</v>
      </c>
      <c r="AB364" s="43">
        <v>29.07</v>
      </c>
      <c r="AC364" s="224"/>
      <c r="AD364" s="113"/>
      <c r="AE364" s="243">
        <v>38961</v>
      </c>
      <c r="AF364" s="5" t="s">
        <v>495</v>
      </c>
    </row>
    <row r="365" spans="1:32" ht="15" customHeight="1" x14ac:dyDescent="0.3">
      <c r="A365" s="38" t="s">
        <v>399</v>
      </c>
      <c r="B365" s="39">
        <v>28.57</v>
      </c>
      <c r="C365" s="39"/>
      <c r="D365" s="39">
        <v>26.4</v>
      </c>
      <c r="E365" s="39">
        <v>29.36</v>
      </c>
      <c r="F365" s="39">
        <v>28</v>
      </c>
      <c r="G365" s="39">
        <v>24.46</v>
      </c>
      <c r="H365" s="39">
        <v>27.7</v>
      </c>
      <c r="I365" s="39">
        <v>34.96</v>
      </c>
      <c r="J365" s="39">
        <v>30.06</v>
      </c>
      <c r="K365" s="39">
        <v>31.28</v>
      </c>
      <c r="L365" s="62"/>
      <c r="M365" s="39">
        <v>32</v>
      </c>
      <c r="N365" s="39">
        <v>40.549999999999997</v>
      </c>
      <c r="O365" s="39">
        <v>23.19</v>
      </c>
      <c r="P365" s="39">
        <v>20.8</v>
      </c>
      <c r="Q365" s="39">
        <v>32.39</v>
      </c>
      <c r="R365" s="39">
        <v>23.7</v>
      </c>
      <c r="S365" s="42"/>
      <c r="T365" s="39">
        <v>30.78</v>
      </c>
      <c r="U365" s="39">
        <v>31</v>
      </c>
      <c r="V365" s="39">
        <v>25.48</v>
      </c>
      <c r="W365" s="39">
        <v>27.4</v>
      </c>
      <c r="X365" s="42"/>
      <c r="Y365" s="39">
        <v>26.92</v>
      </c>
      <c r="Z365" s="39">
        <v>25.3</v>
      </c>
      <c r="AA365" s="39">
        <v>39.61</v>
      </c>
      <c r="AB365" s="43">
        <v>29.43</v>
      </c>
      <c r="AC365" s="224"/>
      <c r="AD365" s="113"/>
      <c r="AE365" s="243">
        <v>38991</v>
      </c>
      <c r="AF365" s="5" t="s">
        <v>495</v>
      </c>
    </row>
    <row r="366" spans="1:32" ht="15" customHeight="1" x14ac:dyDescent="0.3">
      <c r="A366" s="38" t="s">
        <v>400</v>
      </c>
      <c r="B366" s="39">
        <v>29.27</v>
      </c>
      <c r="C366" s="39"/>
      <c r="D366" s="39">
        <v>26.82</v>
      </c>
      <c r="E366" s="39">
        <v>29.65</v>
      </c>
      <c r="F366" s="39">
        <v>28</v>
      </c>
      <c r="G366" s="39">
        <v>24.82</v>
      </c>
      <c r="H366" s="39">
        <v>27.7</v>
      </c>
      <c r="I366" s="39">
        <v>35.03</v>
      </c>
      <c r="J366" s="39">
        <v>30.43</v>
      </c>
      <c r="K366" s="39">
        <v>31.27</v>
      </c>
      <c r="L366" s="62"/>
      <c r="M366" s="39">
        <v>32</v>
      </c>
      <c r="N366" s="39">
        <v>40.86</v>
      </c>
      <c r="O366" s="39">
        <v>23.7</v>
      </c>
      <c r="P366" s="39">
        <v>21.6</v>
      </c>
      <c r="Q366" s="39">
        <v>33.35</v>
      </c>
      <c r="R366" s="39">
        <v>25.19</v>
      </c>
      <c r="S366" s="42"/>
      <c r="T366" s="39">
        <v>30.78</v>
      </c>
      <c r="U366" s="39">
        <v>32</v>
      </c>
      <c r="V366" s="39">
        <v>26.66</v>
      </c>
      <c r="W366" s="39">
        <v>28.6</v>
      </c>
      <c r="X366" s="42"/>
      <c r="Y366" s="39">
        <v>27.21</v>
      </c>
      <c r="Z366" s="39">
        <v>26.22</v>
      </c>
      <c r="AA366" s="39">
        <v>39.93</v>
      </c>
      <c r="AB366" s="43">
        <v>29.77</v>
      </c>
      <c r="AC366" s="224"/>
      <c r="AD366" s="113"/>
      <c r="AE366" s="243">
        <v>39022</v>
      </c>
      <c r="AF366" s="5" t="s">
        <v>495</v>
      </c>
    </row>
    <row r="367" spans="1:32" ht="15" customHeight="1" thickBot="1" x14ac:dyDescent="0.35">
      <c r="A367" s="63" t="s">
        <v>401</v>
      </c>
      <c r="B367" s="64">
        <v>29.01</v>
      </c>
      <c r="C367" s="64"/>
      <c r="D367" s="64">
        <v>27.2</v>
      </c>
      <c r="E367" s="64">
        <v>29.24</v>
      </c>
      <c r="F367" s="64">
        <v>27.75</v>
      </c>
      <c r="G367" s="64">
        <v>24.38</v>
      </c>
      <c r="H367" s="64">
        <v>29.1</v>
      </c>
      <c r="I367" s="64">
        <v>35.21</v>
      </c>
      <c r="J367" s="64">
        <v>30.57</v>
      </c>
      <c r="K367" s="64">
        <v>30.48</v>
      </c>
      <c r="L367" s="65"/>
      <c r="M367" s="64">
        <v>32</v>
      </c>
      <c r="N367" s="64">
        <v>41.11</v>
      </c>
      <c r="O367" s="64">
        <v>24.02</v>
      </c>
      <c r="P367" s="64">
        <v>21.79</v>
      </c>
      <c r="Q367" s="64">
        <v>33.17</v>
      </c>
      <c r="R367" s="64">
        <v>25.63</v>
      </c>
      <c r="S367" s="66"/>
      <c r="T367" s="64">
        <v>27.66</v>
      </c>
      <c r="U367" s="64">
        <v>32.72</v>
      </c>
      <c r="V367" s="64">
        <v>26.81</v>
      </c>
      <c r="W367" s="64">
        <v>29.1</v>
      </c>
      <c r="X367" s="66"/>
      <c r="Y367" s="64">
        <v>27.27</v>
      </c>
      <c r="Z367" s="64">
        <v>27.06</v>
      </c>
      <c r="AA367" s="64">
        <v>38.270000000000003</v>
      </c>
      <c r="AB367" s="67">
        <v>30.16</v>
      </c>
      <c r="AC367" s="227"/>
      <c r="AD367" s="116"/>
      <c r="AE367" s="246">
        <v>39052</v>
      </c>
      <c r="AF367" s="5" t="s">
        <v>495</v>
      </c>
    </row>
    <row r="368" spans="1:32" ht="15" customHeight="1" x14ac:dyDescent="0.3">
      <c r="A368" s="54" t="s">
        <v>404</v>
      </c>
      <c r="B368" s="34">
        <v>28.1</v>
      </c>
      <c r="C368" s="34">
        <v>22.39</v>
      </c>
      <c r="D368" s="34">
        <v>27.32</v>
      </c>
      <c r="E368" s="34">
        <v>29.11</v>
      </c>
      <c r="F368" s="34">
        <v>27.05</v>
      </c>
      <c r="G368" s="34">
        <v>24.63</v>
      </c>
      <c r="H368" s="34">
        <v>28.3</v>
      </c>
      <c r="I368" s="34">
        <v>35.200000000000003</v>
      </c>
      <c r="J368" s="34">
        <v>30.41</v>
      </c>
      <c r="K368" s="34">
        <v>30.44</v>
      </c>
      <c r="L368" s="61"/>
      <c r="M368" s="34">
        <v>32.799999999999997</v>
      </c>
      <c r="N368" s="34">
        <v>41</v>
      </c>
      <c r="O368" s="34">
        <v>23.92</v>
      </c>
      <c r="P368" s="34">
        <v>21.79</v>
      </c>
      <c r="Q368" s="34">
        <v>31.75</v>
      </c>
      <c r="R368" s="34">
        <v>27.33</v>
      </c>
      <c r="S368" s="37"/>
      <c r="T368" s="34">
        <v>27.73</v>
      </c>
      <c r="U368" s="34">
        <v>31.397727272727277</v>
      </c>
      <c r="V368" s="34">
        <v>26.49</v>
      </c>
      <c r="W368" s="34">
        <v>29.1</v>
      </c>
      <c r="X368" s="37"/>
      <c r="Y368" s="34">
        <v>27.29</v>
      </c>
      <c r="Z368" s="34">
        <v>27.39</v>
      </c>
      <c r="AA368" s="34">
        <v>37.14</v>
      </c>
      <c r="AB368" s="58">
        <v>29.3</v>
      </c>
      <c r="AC368" s="223"/>
      <c r="AD368" s="112"/>
      <c r="AE368" s="242">
        <v>39083</v>
      </c>
      <c r="AF368" s="5" t="s">
        <v>495</v>
      </c>
    </row>
    <row r="369" spans="1:32" ht="15" customHeight="1" x14ac:dyDescent="0.3">
      <c r="A369" s="38" t="s">
        <v>405</v>
      </c>
      <c r="B369" s="39">
        <v>27.78</v>
      </c>
      <c r="C369" s="39">
        <v>22.27</v>
      </c>
      <c r="D369" s="39">
        <v>26.9</v>
      </c>
      <c r="E369" s="39">
        <v>29.24</v>
      </c>
      <c r="F369" s="39">
        <v>27.15</v>
      </c>
      <c r="G369" s="34">
        <v>24.250613029359137</v>
      </c>
      <c r="H369" s="39">
        <v>27.18</v>
      </c>
      <c r="I369" s="39">
        <v>35.270000000000003</v>
      </c>
      <c r="J369" s="39">
        <v>30.25</v>
      </c>
      <c r="K369" s="39">
        <v>29.93</v>
      </c>
      <c r="L369" s="62"/>
      <c r="M369" s="39">
        <v>32.799999999999997</v>
      </c>
      <c r="N369" s="39">
        <v>40.9</v>
      </c>
      <c r="O369" s="39">
        <v>24.03</v>
      </c>
      <c r="P369" s="39">
        <v>22.28</v>
      </c>
      <c r="Q369" s="34">
        <v>30.21</v>
      </c>
      <c r="R369" s="39">
        <v>26.45</v>
      </c>
      <c r="S369" s="42"/>
      <c r="T369" s="34">
        <v>27.93</v>
      </c>
      <c r="U369" s="39">
        <v>31.31</v>
      </c>
      <c r="V369" s="39">
        <v>26.52</v>
      </c>
      <c r="W369" s="39">
        <v>29.1</v>
      </c>
      <c r="X369" s="42"/>
      <c r="Y369" s="39">
        <v>27.14</v>
      </c>
      <c r="Z369" s="39">
        <v>27.45</v>
      </c>
      <c r="AA369" s="39">
        <v>37.17</v>
      </c>
      <c r="AB369" s="43">
        <v>29.36</v>
      </c>
      <c r="AC369" s="224"/>
      <c r="AD369" s="113"/>
      <c r="AE369" s="243">
        <v>39114</v>
      </c>
      <c r="AF369" s="5" t="s">
        <v>495</v>
      </c>
    </row>
    <row r="370" spans="1:32" ht="15" customHeight="1" x14ac:dyDescent="0.3">
      <c r="A370" s="38" t="s">
        <v>406</v>
      </c>
      <c r="B370" s="39">
        <v>27.51</v>
      </c>
      <c r="C370" s="39">
        <v>21.83</v>
      </c>
      <c r="D370" s="39">
        <v>27.03</v>
      </c>
      <c r="E370" s="39">
        <v>28.98</v>
      </c>
      <c r="F370" s="39">
        <v>27.15</v>
      </c>
      <c r="G370" s="39">
        <v>24.69</v>
      </c>
      <c r="H370" s="39">
        <v>25.64</v>
      </c>
      <c r="I370" s="39">
        <v>35.090000000000003</v>
      </c>
      <c r="J370" s="39">
        <v>30.04</v>
      </c>
      <c r="K370" s="39">
        <v>28.42</v>
      </c>
      <c r="L370" s="62"/>
      <c r="M370" s="39">
        <v>32.799999999999997</v>
      </c>
      <c r="N370" s="39">
        <v>40.479999999999997</v>
      </c>
      <c r="O370" s="39">
        <v>23.68</v>
      </c>
      <c r="P370" s="39">
        <v>22.01</v>
      </c>
      <c r="Q370" s="39">
        <v>29.81</v>
      </c>
      <c r="R370" s="39">
        <v>26.63</v>
      </c>
      <c r="S370" s="42"/>
      <c r="T370" s="39">
        <v>26.03</v>
      </c>
      <c r="U370" s="39">
        <v>30.68</v>
      </c>
      <c r="V370" s="39">
        <v>26.62</v>
      </c>
      <c r="W370" s="39">
        <v>28.2</v>
      </c>
      <c r="X370" s="42"/>
      <c r="Y370" s="39">
        <v>27.1</v>
      </c>
      <c r="Z370" s="39">
        <v>28.24</v>
      </c>
      <c r="AA370" s="39">
        <v>34.22</v>
      </c>
      <c r="AB370" s="43">
        <v>28.44</v>
      </c>
      <c r="AC370" s="224"/>
      <c r="AD370" s="113"/>
      <c r="AE370" s="243">
        <v>39142</v>
      </c>
      <c r="AF370" s="5" t="s">
        <v>495</v>
      </c>
    </row>
    <row r="371" spans="1:32" ht="15" customHeight="1" x14ac:dyDescent="0.3">
      <c r="A371" s="54" t="s">
        <v>407</v>
      </c>
      <c r="B371" s="39">
        <v>27.36</v>
      </c>
      <c r="C371" s="39">
        <v>20.96</v>
      </c>
      <c r="D371" s="39">
        <v>27.08</v>
      </c>
      <c r="E371" s="39">
        <v>28.86</v>
      </c>
      <c r="F371" s="39">
        <v>27.4</v>
      </c>
      <c r="G371" s="39">
        <v>24.72</v>
      </c>
      <c r="H371" s="39">
        <v>27.29</v>
      </c>
      <c r="I371" s="39">
        <v>35.229999999999997</v>
      </c>
      <c r="J371" s="39">
        <v>29.73</v>
      </c>
      <c r="K371" s="39">
        <v>26.34</v>
      </c>
      <c r="L371" s="62"/>
      <c r="M371" s="39">
        <v>33.159999999999997</v>
      </c>
      <c r="N371" s="39">
        <v>41</v>
      </c>
      <c r="O371" s="34">
        <v>24.06480332722402</v>
      </c>
      <c r="P371" s="39">
        <v>21.7</v>
      </c>
      <c r="Q371" s="39">
        <v>29.51</v>
      </c>
      <c r="R371" s="39">
        <v>26.98</v>
      </c>
      <c r="S371" s="42"/>
      <c r="T371" s="39">
        <v>26.34</v>
      </c>
      <c r="U371" s="39">
        <v>29.97</v>
      </c>
      <c r="V371" s="39">
        <v>26.94</v>
      </c>
      <c r="W371" s="39">
        <v>27.5</v>
      </c>
      <c r="X371" s="42"/>
      <c r="Y371" s="39">
        <v>26.74</v>
      </c>
      <c r="Z371" s="39">
        <v>27.77</v>
      </c>
      <c r="AA371" s="39">
        <v>34.01</v>
      </c>
      <c r="AB371" s="43">
        <v>28.32</v>
      </c>
      <c r="AC371" s="224"/>
      <c r="AD371" s="113"/>
      <c r="AE371" s="243">
        <v>39173</v>
      </c>
      <c r="AF371" s="5" t="s">
        <v>495</v>
      </c>
    </row>
    <row r="372" spans="1:32" ht="15" customHeight="1" x14ac:dyDescent="0.3">
      <c r="A372" s="38" t="s">
        <v>408</v>
      </c>
      <c r="B372" s="39">
        <v>28.63</v>
      </c>
      <c r="C372" s="39">
        <v>20.78</v>
      </c>
      <c r="D372" s="39">
        <v>26.9</v>
      </c>
      <c r="E372" s="39">
        <v>28.18</v>
      </c>
      <c r="F372" s="39">
        <v>27.5</v>
      </c>
      <c r="G372" s="39">
        <v>24.75</v>
      </c>
      <c r="H372" s="39">
        <v>29.76</v>
      </c>
      <c r="I372" s="39">
        <v>35.369999999999997</v>
      </c>
      <c r="J372" s="39">
        <v>29.97</v>
      </c>
      <c r="K372" s="39">
        <v>26.28</v>
      </c>
      <c r="L372" s="62"/>
      <c r="M372" s="39">
        <v>33.159999999999997</v>
      </c>
      <c r="N372" s="39">
        <v>40.630000000000003</v>
      </c>
      <c r="O372" s="39">
        <v>24.12</v>
      </c>
      <c r="P372" s="39">
        <v>21.24</v>
      </c>
      <c r="Q372" s="39">
        <v>30.36</v>
      </c>
      <c r="R372" s="39">
        <v>26.54</v>
      </c>
      <c r="S372" s="42"/>
      <c r="T372" s="39">
        <v>26.34</v>
      </c>
      <c r="U372" s="39">
        <v>29.51</v>
      </c>
      <c r="V372" s="39">
        <v>27.26</v>
      </c>
      <c r="W372" s="39">
        <v>28.1</v>
      </c>
      <c r="X372" s="42"/>
      <c r="Y372" s="39">
        <v>26.46</v>
      </c>
      <c r="Z372" s="39">
        <v>27.57</v>
      </c>
      <c r="AA372" s="39">
        <v>33.82</v>
      </c>
      <c r="AB372" s="43">
        <v>28.63</v>
      </c>
      <c r="AC372" s="224"/>
      <c r="AD372" s="113"/>
      <c r="AE372" s="243">
        <v>39203</v>
      </c>
      <c r="AF372" s="5" t="s">
        <v>495</v>
      </c>
    </row>
    <row r="373" spans="1:32" ht="15" customHeight="1" x14ac:dyDescent="0.3">
      <c r="A373" s="38" t="s">
        <v>409</v>
      </c>
      <c r="B373" s="39">
        <v>32.71</v>
      </c>
      <c r="C373" s="39">
        <v>21.86</v>
      </c>
      <c r="D373" s="39">
        <v>26.57</v>
      </c>
      <c r="E373" s="39">
        <v>27.65</v>
      </c>
      <c r="F373" s="39">
        <v>29.1</v>
      </c>
      <c r="G373" s="39">
        <v>24.71</v>
      </c>
      <c r="H373" s="39">
        <v>32.64</v>
      </c>
      <c r="I373" s="39">
        <v>36.26</v>
      </c>
      <c r="J373" s="39">
        <v>31.32</v>
      </c>
      <c r="K373" s="39">
        <v>27.21</v>
      </c>
      <c r="L373" s="62"/>
      <c r="M373" s="39">
        <v>33.159999999999997</v>
      </c>
      <c r="N373" s="39">
        <v>41.72</v>
      </c>
      <c r="O373" s="39">
        <v>23.84</v>
      </c>
      <c r="P373" s="39">
        <v>20.37</v>
      </c>
      <c r="Q373" s="39">
        <v>31.6</v>
      </c>
      <c r="R373" s="39">
        <v>26.04</v>
      </c>
      <c r="S373" s="42"/>
      <c r="T373" s="39">
        <v>27.4</v>
      </c>
      <c r="U373" s="39">
        <v>29.82</v>
      </c>
      <c r="V373" s="39">
        <v>27.02</v>
      </c>
      <c r="W373" s="39">
        <v>28.1</v>
      </c>
      <c r="X373" s="42"/>
      <c r="Y373" s="39">
        <v>26.23</v>
      </c>
      <c r="Z373" s="39">
        <v>27.15</v>
      </c>
      <c r="AA373" s="39">
        <v>34.49</v>
      </c>
      <c r="AB373" s="43">
        <v>28</v>
      </c>
      <c r="AC373" s="224"/>
      <c r="AD373" s="113"/>
      <c r="AE373" s="243">
        <v>39234</v>
      </c>
      <c r="AF373" s="5" t="s">
        <v>495</v>
      </c>
    </row>
    <row r="374" spans="1:32" ht="15" customHeight="1" x14ac:dyDescent="0.3">
      <c r="A374" s="38" t="s">
        <v>410</v>
      </c>
      <c r="B374" s="39">
        <v>35.85</v>
      </c>
      <c r="C374" s="39">
        <v>23.63</v>
      </c>
      <c r="D374" s="39">
        <v>27.06</v>
      </c>
      <c r="E374" s="39">
        <v>27.95</v>
      </c>
      <c r="F374" s="39">
        <v>31.85</v>
      </c>
      <c r="G374" s="39">
        <v>25.62</v>
      </c>
      <c r="H374" s="39">
        <v>34.5</v>
      </c>
      <c r="I374" s="39">
        <v>36.700000000000003</v>
      </c>
      <c r="J374" s="39">
        <v>32.9</v>
      </c>
      <c r="K374" s="39">
        <v>30.86</v>
      </c>
      <c r="L374" s="62"/>
      <c r="M374" s="39">
        <v>33.159999999999997</v>
      </c>
      <c r="N374" s="39">
        <v>40.4</v>
      </c>
      <c r="O374" s="39">
        <v>23.83</v>
      </c>
      <c r="P374" s="39">
        <v>20.8</v>
      </c>
      <c r="Q374" s="34">
        <v>33.31</v>
      </c>
      <c r="R374" s="39">
        <v>26.56</v>
      </c>
      <c r="S374" s="42"/>
      <c r="T374" s="39">
        <v>25.6</v>
      </c>
      <c r="U374" s="39">
        <v>31.63</v>
      </c>
      <c r="V374" s="39">
        <v>28.09</v>
      </c>
      <c r="W374" s="39">
        <v>28.3</v>
      </c>
      <c r="X374" s="42"/>
      <c r="Y374" s="39">
        <v>26.55</v>
      </c>
      <c r="Z374" s="39">
        <v>27.75</v>
      </c>
      <c r="AA374" s="39">
        <v>38.19</v>
      </c>
      <c r="AB374" s="43">
        <v>28.2</v>
      </c>
      <c r="AC374" s="224"/>
      <c r="AD374" s="113"/>
      <c r="AE374" s="243">
        <v>39264</v>
      </c>
      <c r="AF374" s="5" t="s">
        <v>495</v>
      </c>
    </row>
    <row r="375" spans="1:32" ht="15" customHeight="1" x14ac:dyDescent="0.3">
      <c r="A375" s="38" t="s">
        <v>411</v>
      </c>
      <c r="B375" s="39">
        <v>38.479999999999997</v>
      </c>
      <c r="C375" s="39">
        <v>26.68</v>
      </c>
      <c r="D375" s="39">
        <v>28.24</v>
      </c>
      <c r="E375" s="39">
        <v>29.83</v>
      </c>
      <c r="F375" s="39">
        <v>35</v>
      </c>
      <c r="G375" s="39">
        <v>26.22</v>
      </c>
      <c r="H375" s="39">
        <v>38.5</v>
      </c>
      <c r="I375" s="39">
        <v>38.090000000000003</v>
      </c>
      <c r="J375" s="39">
        <v>36.200000000000003</v>
      </c>
      <c r="K375" s="39">
        <v>32.47</v>
      </c>
      <c r="L375" s="62"/>
      <c r="M375" s="39">
        <v>33.159999999999997</v>
      </c>
      <c r="N375" s="39">
        <v>40.4</v>
      </c>
      <c r="O375" s="39">
        <v>25.43</v>
      </c>
      <c r="P375" s="39">
        <v>21.19</v>
      </c>
      <c r="Q375" s="39">
        <v>37.06</v>
      </c>
      <c r="R375" s="39">
        <v>26.61</v>
      </c>
      <c r="S375" s="42"/>
      <c r="T375" s="39">
        <v>37.36</v>
      </c>
      <c r="U375" s="39">
        <v>32.93</v>
      </c>
      <c r="V375" s="39">
        <v>28.84</v>
      </c>
      <c r="W375" s="39">
        <v>30.3</v>
      </c>
      <c r="X375" s="42"/>
      <c r="Y375" s="39">
        <v>27.05</v>
      </c>
      <c r="Z375" s="39">
        <v>27.82</v>
      </c>
      <c r="AA375" s="39">
        <v>39.130000000000003</v>
      </c>
      <c r="AB375" s="43">
        <v>29.72</v>
      </c>
      <c r="AC375" s="224"/>
      <c r="AD375" s="113"/>
      <c r="AE375" s="243">
        <v>39295</v>
      </c>
      <c r="AF375" s="5" t="s">
        <v>495</v>
      </c>
    </row>
    <row r="376" spans="1:32" ht="15" customHeight="1" x14ac:dyDescent="0.3">
      <c r="A376" s="38" t="s">
        <v>412</v>
      </c>
      <c r="B376" s="39">
        <v>40.57</v>
      </c>
      <c r="C376" s="39">
        <v>28.27</v>
      </c>
      <c r="D376" s="39">
        <v>29.95</v>
      </c>
      <c r="E376" s="39">
        <v>32.770000000000003</v>
      </c>
      <c r="F376" s="39">
        <v>37</v>
      </c>
      <c r="G376" s="39">
        <v>27.95</v>
      </c>
      <c r="H376" s="39">
        <v>42.3</v>
      </c>
      <c r="I376" s="39">
        <v>40.58</v>
      </c>
      <c r="J376" s="39">
        <v>40.630000000000003</v>
      </c>
      <c r="K376" s="39">
        <v>33.65</v>
      </c>
      <c r="L376" s="62"/>
      <c r="M376" s="39">
        <v>35.159999999999997</v>
      </c>
      <c r="N376" s="39">
        <v>41.9</v>
      </c>
      <c r="O376" s="39">
        <v>27.45</v>
      </c>
      <c r="P376" s="39">
        <v>24.18</v>
      </c>
      <c r="Q376" s="39">
        <v>41.25</v>
      </c>
      <c r="R376" s="39">
        <v>28.43</v>
      </c>
      <c r="S376" s="42"/>
      <c r="T376" s="39">
        <v>41.32</v>
      </c>
      <c r="U376" s="39">
        <v>37.08</v>
      </c>
      <c r="V376" s="39">
        <v>30.9</v>
      </c>
      <c r="W376" s="39">
        <v>35</v>
      </c>
      <c r="X376" s="42"/>
      <c r="Y376" s="39">
        <v>28.4</v>
      </c>
      <c r="Z376" s="39">
        <v>28.91</v>
      </c>
      <c r="AA376" s="39">
        <v>40.729999999999997</v>
      </c>
      <c r="AB376" s="43">
        <v>31.88</v>
      </c>
      <c r="AC376" s="224"/>
      <c r="AD376" s="113"/>
      <c r="AE376" s="243">
        <v>39326</v>
      </c>
      <c r="AF376" s="5" t="s">
        <v>495</v>
      </c>
    </row>
    <row r="377" spans="1:32" ht="15" customHeight="1" x14ac:dyDescent="0.3">
      <c r="A377" s="38" t="s">
        <v>413</v>
      </c>
      <c r="B377" s="39">
        <v>43.2</v>
      </c>
      <c r="C377" s="39">
        <v>28</v>
      </c>
      <c r="D377" s="39">
        <v>33.380000000000003</v>
      </c>
      <c r="E377" s="39">
        <v>36.89</v>
      </c>
      <c r="F377" s="39">
        <v>40.5</v>
      </c>
      <c r="G377" s="39">
        <v>30.75</v>
      </c>
      <c r="H377" s="39">
        <v>44.6</v>
      </c>
      <c r="I377" s="39">
        <v>44.1</v>
      </c>
      <c r="J377" s="39">
        <v>42.98</v>
      </c>
      <c r="K377" s="39">
        <v>37.799999999999997</v>
      </c>
      <c r="L377" s="62"/>
      <c r="M377" s="39">
        <v>37.65</v>
      </c>
      <c r="N377" s="39">
        <v>42.23</v>
      </c>
      <c r="O377" s="39">
        <v>30.07</v>
      </c>
      <c r="P377" s="39">
        <v>30.08</v>
      </c>
      <c r="Q377" s="39">
        <v>45.67</v>
      </c>
      <c r="R377" s="39">
        <v>31.51</v>
      </c>
      <c r="S377" s="42"/>
      <c r="T377" s="39">
        <v>45.09</v>
      </c>
      <c r="U377" s="39">
        <v>38.75</v>
      </c>
      <c r="V377" s="39">
        <v>33.47</v>
      </c>
      <c r="W377" s="39">
        <v>37.4</v>
      </c>
      <c r="X377" s="42"/>
      <c r="Y377" s="39">
        <v>29.54</v>
      </c>
      <c r="Z377" s="39">
        <v>30.9</v>
      </c>
      <c r="AA377" s="39">
        <v>43.32</v>
      </c>
      <c r="AB377" s="43">
        <v>36.08</v>
      </c>
      <c r="AC377" s="224"/>
      <c r="AD377" s="113"/>
      <c r="AE377" s="243">
        <v>39356</v>
      </c>
      <c r="AF377" s="5" t="s">
        <v>495</v>
      </c>
    </row>
    <row r="378" spans="1:32" ht="15" customHeight="1" x14ac:dyDescent="0.3">
      <c r="A378" s="38" t="s">
        <v>414</v>
      </c>
      <c r="B378" s="39">
        <v>43.2</v>
      </c>
      <c r="C378" s="39">
        <v>32.130000000000003</v>
      </c>
      <c r="D378" s="39">
        <v>36.35</v>
      </c>
      <c r="E378" s="39">
        <v>40.24</v>
      </c>
      <c r="F378" s="39">
        <v>41</v>
      </c>
      <c r="G378" s="39">
        <v>31.57</v>
      </c>
      <c r="H378" s="39">
        <v>45.4</v>
      </c>
      <c r="I378" s="39">
        <v>45.84</v>
      </c>
      <c r="J378" s="39">
        <v>44.64</v>
      </c>
      <c r="K378" s="39">
        <v>37.97</v>
      </c>
      <c r="L378" s="62"/>
      <c r="M378" s="39">
        <v>37.43</v>
      </c>
      <c r="N378" s="39">
        <v>43.26</v>
      </c>
      <c r="O378" s="39">
        <v>32.39</v>
      </c>
      <c r="P378" s="39">
        <v>33.340000000000003</v>
      </c>
      <c r="Q378" s="39">
        <v>46.42</v>
      </c>
      <c r="R378" s="39">
        <v>32.590000000000003</v>
      </c>
      <c r="S378" s="42"/>
      <c r="T378" s="39">
        <v>40</v>
      </c>
      <c r="U378" s="39">
        <v>42</v>
      </c>
      <c r="V378" s="39">
        <v>35.69</v>
      </c>
      <c r="W378" s="39">
        <v>39.4</v>
      </c>
      <c r="X378" s="42"/>
      <c r="Y378" s="39">
        <v>31.58</v>
      </c>
      <c r="Z378" s="39">
        <v>32.68</v>
      </c>
      <c r="AA378" s="39">
        <v>43.47</v>
      </c>
      <c r="AB378" s="43">
        <v>39.01</v>
      </c>
      <c r="AC378" s="224"/>
      <c r="AD378" s="113"/>
      <c r="AE378" s="243">
        <v>39387</v>
      </c>
      <c r="AF378" s="5" t="s">
        <v>495</v>
      </c>
    </row>
    <row r="379" spans="1:32" ht="15" customHeight="1" thickBot="1" x14ac:dyDescent="0.35">
      <c r="A379" s="63" t="s">
        <v>415</v>
      </c>
      <c r="B379" s="64">
        <v>42.15</v>
      </c>
      <c r="C379" s="64">
        <v>31.78</v>
      </c>
      <c r="D379" s="64">
        <v>36.96</v>
      </c>
      <c r="E379" s="64">
        <v>40.1</v>
      </c>
      <c r="F379" s="64">
        <v>40.799999999999997</v>
      </c>
      <c r="G379" s="64">
        <v>32.96</v>
      </c>
      <c r="H379" s="64">
        <v>43.25</v>
      </c>
      <c r="I379" s="64">
        <v>46.36</v>
      </c>
      <c r="J379" s="64">
        <v>45.1</v>
      </c>
      <c r="K379" s="64">
        <v>36.9</v>
      </c>
      <c r="L379" s="65"/>
      <c r="M379" s="64">
        <v>38</v>
      </c>
      <c r="N379" s="64">
        <v>43.52</v>
      </c>
      <c r="O379" s="64">
        <v>33.880000000000003</v>
      </c>
      <c r="P379" s="64">
        <v>33.28</v>
      </c>
      <c r="Q379" s="64">
        <v>45.97</v>
      </c>
      <c r="R379" s="64">
        <v>33.64</v>
      </c>
      <c r="S379" s="66"/>
      <c r="T379" s="64">
        <v>42.73</v>
      </c>
      <c r="U379" s="64">
        <v>42.53</v>
      </c>
      <c r="V379" s="64">
        <v>36.700000000000003</v>
      </c>
      <c r="W379" s="64">
        <v>39.4</v>
      </c>
      <c r="X379" s="66"/>
      <c r="Y379" s="64">
        <v>32.29</v>
      </c>
      <c r="Z379" s="64">
        <v>31.93575777987337</v>
      </c>
      <c r="AA379" s="64">
        <v>41.46</v>
      </c>
      <c r="AB379" s="67">
        <v>38.69</v>
      </c>
      <c r="AC379" s="227"/>
      <c r="AD379" s="116"/>
      <c r="AE379" s="246">
        <v>39417</v>
      </c>
      <c r="AF379" s="5" t="s">
        <v>495</v>
      </c>
    </row>
    <row r="380" spans="1:32" ht="15" customHeight="1" x14ac:dyDescent="0.3">
      <c r="A380" s="54" t="s">
        <v>420</v>
      </c>
      <c r="B380" s="34">
        <v>39.5</v>
      </c>
      <c r="C380" s="68">
        <v>34.831409036860876</v>
      </c>
      <c r="D380" s="34">
        <v>37.54</v>
      </c>
      <c r="E380" s="34">
        <v>39.840000000000003</v>
      </c>
      <c r="F380" s="34">
        <v>38.5</v>
      </c>
      <c r="G380" s="34">
        <v>33.46</v>
      </c>
      <c r="H380" s="34">
        <v>41.09</v>
      </c>
      <c r="I380" s="34">
        <v>46.34</v>
      </c>
      <c r="J380" s="69">
        <v>44.71</v>
      </c>
      <c r="K380" s="34">
        <v>40.93</v>
      </c>
      <c r="L380" s="61"/>
      <c r="M380" s="34">
        <v>38</v>
      </c>
      <c r="N380" s="34">
        <v>49.46</v>
      </c>
      <c r="O380" s="34">
        <v>34.049999999999997</v>
      </c>
      <c r="P380" s="34">
        <v>33.11</v>
      </c>
      <c r="Q380" s="34">
        <v>42.66</v>
      </c>
      <c r="R380" s="34">
        <v>36.869999999999997</v>
      </c>
      <c r="S380" s="37"/>
      <c r="T380" s="34">
        <v>38.97</v>
      </c>
      <c r="U380" s="34">
        <v>42.46</v>
      </c>
      <c r="V380" s="34">
        <v>34.299999999999997</v>
      </c>
      <c r="W380" s="34">
        <v>39.4</v>
      </c>
      <c r="X380" s="37"/>
      <c r="Y380" s="34">
        <v>33.409999999999997</v>
      </c>
      <c r="Z380" s="34">
        <v>35.22</v>
      </c>
      <c r="AA380" s="34">
        <v>40.049999999999997</v>
      </c>
      <c r="AB380" s="58">
        <v>37.869999999999997</v>
      </c>
      <c r="AC380" s="223"/>
      <c r="AD380" s="112"/>
      <c r="AE380" s="242">
        <v>39448</v>
      </c>
      <c r="AF380" s="5" t="s">
        <v>495</v>
      </c>
    </row>
    <row r="381" spans="1:32" ht="15" customHeight="1" x14ac:dyDescent="0.3">
      <c r="A381" s="38" t="s">
        <v>421</v>
      </c>
      <c r="B381" s="39">
        <v>37.58</v>
      </c>
      <c r="C381" s="39">
        <v>31.82</v>
      </c>
      <c r="D381" s="39">
        <v>38.299999999999997</v>
      </c>
      <c r="E381" s="39">
        <v>39.58</v>
      </c>
      <c r="F381" s="39">
        <v>37</v>
      </c>
      <c r="G381" s="39">
        <v>33.61</v>
      </c>
      <c r="H381" s="39">
        <v>40.67</v>
      </c>
      <c r="I381" s="39">
        <v>45.26</v>
      </c>
      <c r="J381" s="60">
        <v>42.63</v>
      </c>
      <c r="K381" s="39">
        <v>40.22</v>
      </c>
      <c r="L381" s="62"/>
      <c r="M381" s="39">
        <v>38</v>
      </c>
      <c r="N381" s="39">
        <v>48.96</v>
      </c>
      <c r="O381" s="39">
        <v>34.19</v>
      </c>
      <c r="P381" s="39">
        <v>32.21</v>
      </c>
      <c r="Q381" s="39">
        <v>41.74</v>
      </c>
      <c r="R381" s="39">
        <v>35.799999999999997</v>
      </c>
      <c r="S381" s="42"/>
      <c r="T381" s="39">
        <v>38.83</v>
      </c>
      <c r="U381" s="39">
        <v>42.02</v>
      </c>
      <c r="V381" s="39">
        <v>33.799999999999997</v>
      </c>
      <c r="W381" s="39">
        <v>39.5</v>
      </c>
      <c r="X381" s="42"/>
      <c r="Y381" s="39">
        <v>33.54</v>
      </c>
      <c r="Z381" s="39">
        <v>35.22</v>
      </c>
      <c r="AA381" s="39">
        <v>39.83</v>
      </c>
      <c r="AB381" s="43">
        <v>37.53</v>
      </c>
      <c r="AC381" s="224"/>
      <c r="AD381" s="113"/>
      <c r="AE381" s="243">
        <v>39479</v>
      </c>
      <c r="AF381" s="5" t="s">
        <v>495</v>
      </c>
    </row>
    <row r="382" spans="1:32" ht="15" customHeight="1" x14ac:dyDescent="0.3">
      <c r="A382" s="38" t="s">
        <v>422</v>
      </c>
      <c r="B382" s="39">
        <v>36.32</v>
      </c>
      <c r="C382" s="39">
        <v>31.48</v>
      </c>
      <c r="D382" s="39">
        <v>37.450000000000003</v>
      </c>
      <c r="E382" s="39">
        <v>38.770000000000003</v>
      </c>
      <c r="F382" s="39">
        <v>35.299999999999997</v>
      </c>
      <c r="G382" s="39">
        <v>33.549999999999997</v>
      </c>
      <c r="H382" s="39">
        <v>39.64</v>
      </c>
      <c r="I382" s="39">
        <v>44.28</v>
      </c>
      <c r="J382" s="60">
        <v>40.42</v>
      </c>
      <c r="K382" s="39">
        <v>38.51</v>
      </c>
      <c r="L382" s="62"/>
      <c r="M382" s="39">
        <v>37.58</v>
      </c>
      <c r="N382" s="39">
        <v>48.9</v>
      </c>
      <c r="O382" s="39">
        <v>32.06</v>
      </c>
      <c r="P382" s="39">
        <v>29.25</v>
      </c>
      <c r="Q382" s="39">
        <v>39.270000000000003</v>
      </c>
      <c r="R382" s="39">
        <v>34.53</v>
      </c>
      <c r="S382" s="42"/>
      <c r="T382" s="39">
        <v>36.29</v>
      </c>
      <c r="U382" s="39">
        <v>41.52</v>
      </c>
      <c r="V382" s="39">
        <v>33.22</v>
      </c>
      <c r="W382" s="39">
        <v>38.700000000000003</v>
      </c>
      <c r="X382" s="42"/>
      <c r="Y382" s="39">
        <v>33.299999999999997</v>
      </c>
      <c r="Z382" s="39">
        <v>35.61</v>
      </c>
      <c r="AA382" s="39">
        <v>36.85</v>
      </c>
      <c r="AB382" s="43">
        <v>38.15</v>
      </c>
      <c r="AC382" s="224"/>
      <c r="AD382" s="113"/>
      <c r="AE382" s="243">
        <v>39508</v>
      </c>
      <c r="AF382" s="5" t="s">
        <v>495</v>
      </c>
    </row>
    <row r="383" spans="1:32" ht="15" customHeight="1" x14ac:dyDescent="0.3">
      <c r="A383" s="54" t="s">
        <v>423</v>
      </c>
      <c r="B383" s="39">
        <v>34.65</v>
      </c>
      <c r="C383" s="39">
        <v>31.62</v>
      </c>
      <c r="D383" s="39">
        <v>35.71</v>
      </c>
      <c r="E383" s="39">
        <v>36.47</v>
      </c>
      <c r="F383" s="39">
        <v>34</v>
      </c>
      <c r="G383" s="39">
        <v>31.18</v>
      </c>
      <c r="H383" s="39">
        <v>35.520000000000003</v>
      </c>
      <c r="I383" s="39">
        <v>43.8</v>
      </c>
      <c r="J383" s="60">
        <v>38.619999999999997</v>
      </c>
      <c r="K383" s="39">
        <v>33.61</v>
      </c>
      <c r="L383" s="62"/>
      <c r="M383" s="39">
        <v>37.11</v>
      </c>
      <c r="N383" s="39">
        <v>48.4</v>
      </c>
      <c r="O383" s="39">
        <v>28.46</v>
      </c>
      <c r="P383" s="39">
        <v>26.12</v>
      </c>
      <c r="Q383" s="39">
        <v>37.46</v>
      </c>
      <c r="R383" s="39">
        <v>33.479999999999997</v>
      </c>
      <c r="S383" s="42"/>
      <c r="T383" s="39">
        <v>35.78</v>
      </c>
      <c r="U383" s="39">
        <v>40.880000000000003</v>
      </c>
      <c r="V383" s="39">
        <v>32.43</v>
      </c>
      <c r="W383" s="39">
        <v>38.700000000000003</v>
      </c>
      <c r="X383" s="42"/>
      <c r="Y383" s="39">
        <v>32.92</v>
      </c>
      <c r="Z383" s="39">
        <v>33.869999999999997</v>
      </c>
      <c r="AA383" s="39">
        <v>36.75</v>
      </c>
      <c r="AB383" s="43">
        <v>35.72</v>
      </c>
      <c r="AC383" s="224"/>
      <c r="AD383" s="113"/>
      <c r="AE383" s="243">
        <v>39539</v>
      </c>
      <c r="AF383" s="5" t="s">
        <v>495</v>
      </c>
    </row>
    <row r="384" spans="1:32" ht="15" customHeight="1" x14ac:dyDescent="0.3">
      <c r="A384" s="70" t="s">
        <v>424</v>
      </c>
      <c r="B384" s="39">
        <v>32.43</v>
      </c>
      <c r="C384" s="39">
        <v>30.56</v>
      </c>
      <c r="D384" s="39">
        <v>33.9</v>
      </c>
      <c r="E384" s="39">
        <v>34.979999999999997</v>
      </c>
      <c r="F384" s="39">
        <v>34</v>
      </c>
      <c r="G384" s="39">
        <v>29.16</v>
      </c>
      <c r="H384" s="39">
        <v>34.29</v>
      </c>
      <c r="I384" s="39">
        <v>42.88</v>
      </c>
      <c r="J384" s="60">
        <v>37.69</v>
      </c>
      <c r="K384" s="39">
        <v>33.46</v>
      </c>
      <c r="L384" s="62"/>
      <c r="M384" s="39">
        <v>37.51</v>
      </c>
      <c r="N384" s="39">
        <v>48.73</v>
      </c>
      <c r="O384" s="39">
        <v>26.7</v>
      </c>
      <c r="P384" s="39">
        <v>24.07</v>
      </c>
      <c r="Q384" s="39">
        <v>36.44</v>
      </c>
      <c r="R384" s="39">
        <v>32.42</v>
      </c>
      <c r="S384" s="42"/>
      <c r="T384" s="39">
        <v>34.5</v>
      </c>
      <c r="U384" s="39">
        <v>39.340000000000003</v>
      </c>
      <c r="V384" s="39">
        <v>31.46</v>
      </c>
      <c r="W384" s="39">
        <v>38.4</v>
      </c>
      <c r="X384" s="42"/>
      <c r="Y384" s="39">
        <v>32.78</v>
      </c>
      <c r="Z384" s="39">
        <v>33.44</v>
      </c>
      <c r="AA384" s="39">
        <v>41.32</v>
      </c>
      <c r="AB384" s="43">
        <v>35.5</v>
      </c>
      <c r="AC384" s="224"/>
      <c r="AD384" s="113"/>
      <c r="AE384" s="243">
        <v>39569</v>
      </c>
      <c r="AF384" s="5" t="s">
        <v>495</v>
      </c>
    </row>
    <row r="385" spans="1:32" ht="15" customHeight="1" x14ac:dyDescent="0.3">
      <c r="A385" s="38" t="s">
        <v>425</v>
      </c>
      <c r="B385" s="39">
        <v>30.35</v>
      </c>
      <c r="C385" s="39">
        <v>29.78</v>
      </c>
      <c r="D385" s="39">
        <v>34.26</v>
      </c>
      <c r="E385" s="39">
        <v>32.44</v>
      </c>
      <c r="F385" s="39">
        <v>32.799999999999997</v>
      </c>
      <c r="G385" s="39">
        <v>28.89</v>
      </c>
      <c r="H385" s="39">
        <v>32.85</v>
      </c>
      <c r="I385" s="39">
        <v>43.15</v>
      </c>
      <c r="J385" s="39">
        <v>37.14</v>
      </c>
      <c r="K385" s="39">
        <v>34.31</v>
      </c>
      <c r="L385" s="62"/>
      <c r="M385" s="39">
        <v>37.42</v>
      </c>
      <c r="N385" s="39">
        <v>48.54</v>
      </c>
      <c r="O385" s="39">
        <v>25.7</v>
      </c>
      <c r="P385" s="39">
        <v>23.17</v>
      </c>
      <c r="Q385" s="39">
        <v>35.96</v>
      </c>
      <c r="R385" s="39">
        <v>32.28</v>
      </c>
      <c r="S385" s="42"/>
      <c r="T385" s="39">
        <v>32.21</v>
      </c>
      <c r="U385" s="39">
        <v>38.19</v>
      </c>
      <c r="V385" s="39">
        <v>30.73</v>
      </c>
      <c r="W385" s="39">
        <v>34.9</v>
      </c>
      <c r="X385" s="42"/>
      <c r="Y385" s="39">
        <v>32.369999999999997</v>
      </c>
      <c r="Z385" s="39">
        <v>33.28</v>
      </c>
      <c r="AA385" s="39">
        <v>42.08</v>
      </c>
      <c r="AB385" s="43">
        <v>33.619999999999997</v>
      </c>
      <c r="AC385" s="224"/>
      <c r="AD385" s="113"/>
      <c r="AE385" s="243">
        <v>39600</v>
      </c>
      <c r="AF385" s="5" t="s">
        <v>495</v>
      </c>
    </row>
    <row r="386" spans="1:32" ht="15" customHeight="1" x14ac:dyDescent="0.3">
      <c r="A386" s="38" t="s">
        <v>426</v>
      </c>
      <c r="B386" s="39">
        <v>30.06</v>
      </c>
      <c r="C386" s="39">
        <v>31.93</v>
      </c>
      <c r="D386" s="39">
        <v>33.409999999999997</v>
      </c>
      <c r="E386" s="39">
        <v>35.53</v>
      </c>
      <c r="F386" s="39">
        <v>33.6</v>
      </c>
      <c r="G386" s="39">
        <v>28.13</v>
      </c>
      <c r="H386" s="39">
        <v>33.57</v>
      </c>
      <c r="I386" s="39">
        <v>42.95</v>
      </c>
      <c r="J386" s="39">
        <v>36.93</v>
      </c>
      <c r="K386" s="39">
        <v>35.9</v>
      </c>
      <c r="L386" s="62"/>
      <c r="M386" s="39">
        <v>37.6</v>
      </c>
      <c r="N386" s="39">
        <v>49.51</v>
      </c>
      <c r="O386" s="39">
        <v>25.69</v>
      </c>
      <c r="P386" s="39">
        <v>22.96</v>
      </c>
      <c r="Q386" s="39">
        <v>36.04</v>
      </c>
      <c r="R386" s="39">
        <v>33.090000000000003</v>
      </c>
      <c r="S386" s="42"/>
      <c r="T386" s="39">
        <v>32.520000000000003</v>
      </c>
      <c r="U386" s="39">
        <v>37.159999999999997</v>
      </c>
      <c r="V386" s="39">
        <v>31.14</v>
      </c>
      <c r="W386" s="39">
        <v>34.799999999999997</v>
      </c>
      <c r="X386" s="42"/>
      <c r="Y386" s="39">
        <v>32.42</v>
      </c>
      <c r="Z386" s="39">
        <v>32.32</v>
      </c>
      <c r="AA386" s="39">
        <v>45.88</v>
      </c>
      <c r="AB386" s="43">
        <v>35.380000000000003</v>
      </c>
      <c r="AC386" s="224"/>
      <c r="AD386" s="113"/>
      <c r="AE386" s="243">
        <v>39630</v>
      </c>
      <c r="AF386" s="5" t="s">
        <v>495</v>
      </c>
    </row>
    <row r="387" spans="1:32" ht="15" customHeight="1" x14ac:dyDescent="0.3">
      <c r="A387" s="38" t="s">
        <v>427</v>
      </c>
      <c r="B387" s="39">
        <v>30.09</v>
      </c>
      <c r="C387" s="39">
        <v>31.56</v>
      </c>
      <c r="D387" s="39">
        <v>31.62</v>
      </c>
      <c r="E387" s="39">
        <v>38.869999999999997</v>
      </c>
      <c r="F387" s="39">
        <v>34.1</v>
      </c>
      <c r="G387" s="39">
        <v>28.06</v>
      </c>
      <c r="H387" s="39">
        <v>33.880000000000003</v>
      </c>
      <c r="I387" s="39">
        <v>42.89</v>
      </c>
      <c r="J387" s="39">
        <v>36.67</v>
      </c>
      <c r="K387" s="39">
        <v>37.69</v>
      </c>
      <c r="L387" s="62"/>
      <c r="M387" s="39">
        <v>37.659999999999997</v>
      </c>
      <c r="N387" s="39">
        <v>50.47</v>
      </c>
      <c r="O387" s="39">
        <v>25.28</v>
      </c>
      <c r="P387" s="39">
        <v>22.71</v>
      </c>
      <c r="Q387" s="39">
        <v>36.659999999999997</v>
      </c>
      <c r="R387" s="39">
        <v>31.93</v>
      </c>
      <c r="S387" s="42"/>
      <c r="T387" s="39">
        <v>37.99</v>
      </c>
      <c r="U387" s="39">
        <v>37.08</v>
      </c>
      <c r="V387" s="39">
        <v>30.32</v>
      </c>
      <c r="W387" s="39">
        <v>35.5</v>
      </c>
      <c r="X387" s="42"/>
      <c r="Y387" s="39">
        <v>32.42</v>
      </c>
      <c r="Z387" s="39">
        <v>31.61</v>
      </c>
      <c r="AA387" s="39">
        <v>46.9</v>
      </c>
      <c r="AB387" s="43">
        <v>37.229999999999997</v>
      </c>
      <c r="AC387" s="224"/>
      <c r="AD387" s="113"/>
      <c r="AE387" s="243">
        <v>39661</v>
      </c>
      <c r="AF387" s="5" t="s">
        <v>495</v>
      </c>
    </row>
    <row r="388" spans="1:32" ht="15" customHeight="1" x14ac:dyDescent="0.3">
      <c r="A388" s="38" t="s">
        <v>428</v>
      </c>
      <c r="B388" s="39">
        <v>29.46</v>
      </c>
      <c r="C388" s="39">
        <v>31.68</v>
      </c>
      <c r="D388" s="39">
        <v>30.74</v>
      </c>
      <c r="E388" s="39">
        <v>39.56</v>
      </c>
      <c r="F388" s="39">
        <v>33.4</v>
      </c>
      <c r="G388" s="39">
        <v>28.44</v>
      </c>
      <c r="H388" s="39">
        <v>33.26</v>
      </c>
      <c r="I388" s="39">
        <v>42.72</v>
      </c>
      <c r="J388" s="39">
        <v>35.94</v>
      </c>
      <c r="K388" s="39">
        <v>38.770000000000003</v>
      </c>
      <c r="L388" s="62"/>
      <c r="M388" s="39">
        <v>37.619999999999997</v>
      </c>
      <c r="N388" s="39">
        <v>50.75</v>
      </c>
      <c r="O388" s="39">
        <v>25.53</v>
      </c>
      <c r="P388" s="39">
        <v>23.72</v>
      </c>
      <c r="Q388" s="39">
        <v>37.5</v>
      </c>
      <c r="R388" s="39">
        <v>31.57</v>
      </c>
      <c r="S388" s="42"/>
      <c r="T388" s="39">
        <v>37.450000000000003</v>
      </c>
      <c r="U388" s="39">
        <v>38.08</v>
      </c>
      <c r="V388" s="39">
        <v>29.46</v>
      </c>
      <c r="W388" s="39">
        <v>34.799999999999997</v>
      </c>
      <c r="X388" s="42"/>
      <c r="Y388" s="39">
        <v>32.950000000000003</v>
      </c>
      <c r="Z388" s="39">
        <v>31.24</v>
      </c>
      <c r="AA388" s="39">
        <v>48.53</v>
      </c>
      <c r="AB388" s="43">
        <v>38.159999999999997</v>
      </c>
      <c r="AC388" s="224"/>
      <c r="AD388" s="113"/>
      <c r="AE388" s="243">
        <v>39692</v>
      </c>
      <c r="AF388" s="5" t="s">
        <v>495</v>
      </c>
    </row>
    <row r="389" spans="1:32" ht="15" customHeight="1" x14ac:dyDescent="0.3">
      <c r="A389" s="38" t="s">
        <v>429</v>
      </c>
      <c r="B389" s="39">
        <v>29.06</v>
      </c>
      <c r="C389" s="39">
        <v>31.68</v>
      </c>
      <c r="D389" s="39">
        <v>29.31</v>
      </c>
      <c r="E389" s="39">
        <v>38.47</v>
      </c>
      <c r="F389" s="39">
        <v>31.8</v>
      </c>
      <c r="G389" s="39">
        <v>27.81</v>
      </c>
      <c r="H389" s="39">
        <v>33.979999999999997</v>
      </c>
      <c r="I389" s="39">
        <v>41.85</v>
      </c>
      <c r="J389" s="39">
        <v>35.409999999999997</v>
      </c>
      <c r="K389" s="39">
        <v>34.380000000000003</v>
      </c>
      <c r="L389" s="62"/>
      <c r="M389" s="39">
        <v>37.119999999999997</v>
      </c>
      <c r="N389" s="39">
        <v>50.88</v>
      </c>
      <c r="O389" s="39">
        <v>25.45</v>
      </c>
      <c r="P389" s="39">
        <v>23.86</v>
      </c>
      <c r="Q389" s="39">
        <v>37.92</v>
      </c>
      <c r="R389" s="39">
        <v>29.27</v>
      </c>
      <c r="S389" s="42"/>
      <c r="T389" s="39">
        <v>37.130000000000003</v>
      </c>
      <c r="U389" s="39">
        <v>38.090000000000003</v>
      </c>
      <c r="V389" s="39">
        <v>27.16</v>
      </c>
      <c r="W389" s="39">
        <v>35.1</v>
      </c>
      <c r="X389" s="42"/>
      <c r="Y389" s="39">
        <v>33.28</v>
      </c>
      <c r="Z389" s="39">
        <v>30.45</v>
      </c>
      <c r="AA389" s="39">
        <v>49.07</v>
      </c>
      <c r="AB389" s="43">
        <v>36.43</v>
      </c>
      <c r="AC389" s="224"/>
      <c r="AD389" s="113"/>
      <c r="AE389" s="243">
        <v>39722</v>
      </c>
      <c r="AF389" s="5" t="s">
        <v>495</v>
      </c>
    </row>
    <row r="390" spans="1:32" ht="15" customHeight="1" x14ac:dyDescent="0.3">
      <c r="A390" s="38" t="s">
        <v>430</v>
      </c>
      <c r="B390" s="39">
        <v>27.65</v>
      </c>
      <c r="C390" s="39">
        <v>33.049999999999997</v>
      </c>
      <c r="D390" s="39">
        <v>27.55</v>
      </c>
      <c r="E390" s="39">
        <v>36.5</v>
      </c>
      <c r="F390" s="39">
        <v>29.8</v>
      </c>
      <c r="G390" s="39">
        <v>27.53</v>
      </c>
      <c r="H390" s="39">
        <v>33.979999999999997</v>
      </c>
      <c r="I390" s="39">
        <v>41.26</v>
      </c>
      <c r="J390" s="39">
        <v>35.020000000000003</v>
      </c>
      <c r="K390" s="39">
        <v>34.21</v>
      </c>
      <c r="L390" s="62"/>
      <c r="M390" s="39">
        <v>37.22</v>
      </c>
      <c r="N390" s="39">
        <v>51.05</v>
      </c>
      <c r="O390" s="39">
        <v>24.94</v>
      </c>
      <c r="P390" s="39">
        <v>22.75</v>
      </c>
      <c r="Q390" s="39">
        <v>35.99</v>
      </c>
      <c r="R390" s="39">
        <v>28.09</v>
      </c>
      <c r="S390" s="42"/>
      <c r="T390" s="39">
        <v>36.44</v>
      </c>
      <c r="U390" s="39">
        <v>36.270000000000003</v>
      </c>
      <c r="V390" s="39">
        <v>25.78</v>
      </c>
      <c r="W390" s="39">
        <v>33.1</v>
      </c>
      <c r="X390" s="42"/>
      <c r="Y390" s="39">
        <v>33.299999999999997</v>
      </c>
      <c r="Z390" s="39">
        <v>27.99</v>
      </c>
      <c r="AA390" s="39">
        <v>49</v>
      </c>
      <c r="AB390" s="43">
        <v>34.08</v>
      </c>
      <c r="AC390" s="224"/>
      <c r="AD390" s="113"/>
      <c r="AE390" s="243">
        <v>39753</v>
      </c>
      <c r="AF390" s="5" t="s">
        <v>495</v>
      </c>
    </row>
    <row r="391" spans="1:32" ht="15" customHeight="1" thickBot="1" x14ac:dyDescent="0.35">
      <c r="A391" s="63" t="s">
        <v>431</v>
      </c>
      <c r="B391" s="64">
        <v>27.21</v>
      </c>
      <c r="C391" s="64">
        <v>30.75</v>
      </c>
      <c r="D391" s="64">
        <v>25.46</v>
      </c>
      <c r="E391" s="64">
        <v>35.03</v>
      </c>
      <c r="F391" s="64">
        <v>27.8</v>
      </c>
      <c r="G391" s="64">
        <v>26.4</v>
      </c>
      <c r="H391" s="64">
        <v>33.714690690690688</v>
      </c>
      <c r="I391" s="64">
        <v>40.98</v>
      </c>
      <c r="J391" s="64">
        <v>34.08</v>
      </c>
      <c r="K391" s="64">
        <v>33.700000000000003</v>
      </c>
      <c r="L391" s="65"/>
      <c r="M391" s="64">
        <v>35.78</v>
      </c>
      <c r="N391" s="64">
        <v>51.07</v>
      </c>
      <c r="O391" s="64">
        <v>23.58</v>
      </c>
      <c r="P391" s="64">
        <v>21.48</v>
      </c>
      <c r="Q391" s="64">
        <v>34.119999999999997</v>
      </c>
      <c r="R391" s="64">
        <v>26.76</v>
      </c>
      <c r="S391" s="66"/>
      <c r="T391" s="64">
        <v>32.950000000000003</v>
      </c>
      <c r="U391" s="64">
        <v>34.93</v>
      </c>
      <c r="V391" s="64">
        <v>24.02</v>
      </c>
      <c r="W391" s="64">
        <v>33</v>
      </c>
      <c r="X391" s="66"/>
      <c r="Y391" s="64">
        <v>33.04</v>
      </c>
      <c r="Z391" s="64">
        <v>27.3</v>
      </c>
      <c r="AA391" s="64">
        <v>46.98</v>
      </c>
      <c r="AB391" s="67">
        <v>31.9</v>
      </c>
      <c r="AC391" s="227"/>
      <c r="AD391" s="116"/>
      <c r="AE391" s="246">
        <v>39783</v>
      </c>
      <c r="AF391" s="5" t="s">
        <v>495</v>
      </c>
    </row>
    <row r="392" spans="1:32" ht="15" customHeight="1" x14ac:dyDescent="0.3">
      <c r="A392" s="54" t="s">
        <v>432</v>
      </c>
      <c r="B392" s="34">
        <v>24.99</v>
      </c>
      <c r="C392" s="39">
        <v>29.25</v>
      </c>
      <c r="D392" s="34">
        <v>23.04</v>
      </c>
      <c r="E392" s="34">
        <v>30.47</v>
      </c>
      <c r="F392" s="34">
        <v>26</v>
      </c>
      <c r="G392" s="34">
        <v>24.27</v>
      </c>
      <c r="H392" s="34">
        <v>27.6</v>
      </c>
      <c r="I392" s="34">
        <v>40.630000000000003</v>
      </c>
      <c r="J392" s="34">
        <v>33.11</v>
      </c>
      <c r="K392" s="34">
        <v>35.9</v>
      </c>
      <c r="L392" s="61"/>
      <c r="M392" s="34">
        <v>33.729999999999997</v>
      </c>
      <c r="N392" s="39">
        <v>51.31</v>
      </c>
      <c r="O392" s="34">
        <v>23.02</v>
      </c>
      <c r="P392" s="34">
        <v>19.399999999999999</v>
      </c>
      <c r="Q392" s="34">
        <v>31.56</v>
      </c>
      <c r="R392" s="34">
        <v>23.57</v>
      </c>
      <c r="S392" s="37"/>
      <c r="T392" s="34">
        <v>28.64</v>
      </c>
      <c r="U392" s="34">
        <v>33.17</v>
      </c>
      <c r="V392" s="34">
        <v>22.27</v>
      </c>
      <c r="W392" s="69">
        <v>32.5</v>
      </c>
      <c r="X392" s="69">
        <v>23.2</v>
      </c>
      <c r="Y392" s="34">
        <v>30.41</v>
      </c>
      <c r="Z392" s="34">
        <v>24.39</v>
      </c>
      <c r="AA392" s="34">
        <v>44.32</v>
      </c>
      <c r="AB392" s="58">
        <v>25.92</v>
      </c>
      <c r="AC392" s="223"/>
      <c r="AD392" s="112"/>
      <c r="AE392" s="242">
        <v>39814</v>
      </c>
      <c r="AF392" s="5" t="s">
        <v>495</v>
      </c>
    </row>
    <row r="393" spans="1:32" ht="15" customHeight="1" x14ac:dyDescent="0.3">
      <c r="A393" s="38" t="s">
        <v>433</v>
      </c>
      <c r="B393" s="39">
        <v>23.21</v>
      </c>
      <c r="C393" s="39">
        <v>27.78</v>
      </c>
      <c r="D393" s="39">
        <v>21.12</v>
      </c>
      <c r="E393" s="39">
        <v>29.52</v>
      </c>
      <c r="F393" s="39">
        <v>25.2</v>
      </c>
      <c r="G393" s="39">
        <v>22.91</v>
      </c>
      <c r="H393" s="39">
        <v>26.15</v>
      </c>
      <c r="I393" s="39">
        <v>39.78</v>
      </c>
      <c r="J393" s="34">
        <v>32.380000000000003</v>
      </c>
      <c r="K393" s="39">
        <v>34.86</v>
      </c>
      <c r="L393" s="62"/>
      <c r="M393" s="39">
        <v>32.75</v>
      </c>
      <c r="N393" s="39">
        <v>51.85</v>
      </c>
      <c r="O393" s="39">
        <v>21.33</v>
      </c>
      <c r="P393" s="39">
        <v>18.45</v>
      </c>
      <c r="Q393" s="39">
        <v>29.72</v>
      </c>
      <c r="R393" s="39">
        <v>21.22</v>
      </c>
      <c r="S393" s="42"/>
      <c r="T393" s="39">
        <v>27.34</v>
      </c>
      <c r="U393" s="39">
        <v>33.14</v>
      </c>
      <c r="V393" s="39">
        <v>20.28</v>
      </c>
      <c r="W393" s="39">
        <v>32.5</v>
      </c>
      <c r="X393" s="39">
        <v>22</v>
      </c>
      <c r="Y393" s="39">
        <v>29.23</v>
      </c>
      <c r="Z393" s="39">
        <v>21.39</v>
      </c>
      <c r="AA393" s="39">
        <v>44.21</v>
      </c>
      <c r="AB393" s="43">
        <v>26.85</v>
      </c>
      <c r="AC393" s="224"/>
      <c r="AD393" s="113"/>
      <c r="AE393" s="243">
        <v>39845</v>
      </c>
      <c r="AF393" s="5" t="s">
        <v>495</v>
      </c>
    </row>
    <row r="394" spans="1:32" ht="15" customHeight="1" x14ac:dyDescent="0.3">
      <c r="A394" s="38" t="s">
        <v>434</v>
      </c>
      <c r="B394" s="39">
        <v>21.95</v>
      </c>
      <c r="C394" s="39">
        <v>24.62</v>
      </c>
      <c r="D394" s="39">
        <v>21.74</v>
      </c>
      <c r="E394" s="39">
        <v>27.38</v>
      </c>
      <c r="F394" s="39">
        <v>24</v>
      </c>
      <c r="G394" s="39">
        <v>21.1</v>
      </c>
      <c r="H394" s="39">
        <v>22.45</v>
      </c>
      <c r="I394" s="39">
        <v>38.64</v>
      </c>
      <c r="J394" s="34">
        <v>30.5</v>
      </c>
      <c r="K394" s="39">
        <v>32.04</v>
      </c>
      <c r="L394" s="62"/>
      <c r="M394" s="39">
        <v>31.81</v>
      </c>
      <c r="N394" s="39">
        <v>51.87</v>
      </c>
      <c r="O394" s="39">
        <v>18.899999999999999</v>
      </c>
      <c r="P394" s="39">
        <v>17.190000000000001</v>
      </c>
      <c r="Q394" s="39">
        <v>28.06</v>
      </c>
      <c r="R394" s="39">
        <v>20.399999999999999</v>
      </c>
      <c r="S394" s="42"/>
      <c r="T394" s="39">
        <v>22.59</v>
      </c>
      <c r="U394" s="39">
        <v>31.76</v>
      </c>
      <c r="V394" s="39">
        <v>20.46</v>
      </c>
      <c r="W394" s="39">
        <v>31.7</v>
      </c>
      <c r="X394" s="39">
        <v>20</v>
      </c>
      <c r="Y394" s="39">
        <v>28.09</v>
      </c>
      <c r="Z394" s="39">
        <v>18.72</v>
      </c>
      <c r="AA394" s="39">
        <v>36.92</v>
      </c>
      <c r="AB394" s="43">
        <v>23.48</v>
      </c>
      <c r="AC394" s="224"/>
      <c r="AD394" s="113"/>
      <c r="AE394" s="243">
        <v>39873</v>
      </c>
      <c r="AF394" s="5" t="s">
        <v>495</v>
      </c>
    </row>
    <row r="395" spans="1:32" ht="15" customHeight="1" x14ac:dyDescent="0.3">
      <c r="A395" s="54" t="s">
        <v>435</v>
      </c>
      <c r="B395" s="39">
        <v>21.6</v>
      </c>
      <c r="C395" s="39">
        <v>24.4</v>
      </c>
      <c r="D395" s="39">
        <v>22.04</v>
      </c>
      <c r="E395" s="39">
        <v>26.31</v>
      </c>
      <c r="F395" s="39">
        <v>23</v>
      </c>
      <c r="G395" s="39">
        <v>20.2</v>
      </c>
      <c r="H395" s="39">
        <v>22.34</v>
      </c>
      <c r="I395" s="39">
        <v>37.97</v>
      </c>
      <c r="J395" s="34">
        <v>28.8</v>
      </c>
      <c r="K395" s="60">
        <v>24.26</v>
      </c>
      <c r="L395" s="62"/>
      <c r="M395" s="39">
        <v>29.64</v>
      </c>
      <c r="N395" s="39">
        <v>50.94</v>
      </c>
      <c r="O395" s="39">
        <v>16.850000000000001</v>
      </c>
      <c r="P395" s="39">
        <v>16.66</v>
      </c>
      <c r="Q395" s="39">
        <v>26.95</v>
      </c>
      <c r="R395" s="39">
        <v>19.850000000000001</v>
      </c>
      <c r="S395" s="42"/>
      <c r="T395" s="39">
        <v>22.6</v>
      </c>
      <c r="U395" s="39">
        <v>29.45</v>
      </c>
      <c r="V395" s="39">
        <v>21.05</v>
      </c>
      <c r="W395" s="39">
        <v>28.8</v>
      </c>
      <c r="X395" s="39">
        <v>20</v>
      </c>
      <c r="Y395" s="39">
        <v>25.97</v>
      </c>
      <c r="Z395" s="39">
        <v>17.68</v>
      </c>
      <c r="AA395" s="39">
        <v>36.869999999999997</v>
      </c>
      <c r="AB395" s="43">
        <v>24.43</v>
      </c>
      <c r="AC395" s="224"/>
      <c r="AD395" s="113"/>
      <c r="AE395" s="243">
        <v>39904</v>
      </c>
      <c r="AF395" s="5" t="s">
        <v>495</v>
      </c>
    </row>
    <row r="396" spans="1:32" ht="15" customHeight="1" x14ac:dyDescent="0.3">
      <c r="A396" s="38" t="s">
        <v>436</v>
      </c>
      <c r="B396" s="39">
        <v>20.91</v>
      </c>
      <c r="C396" s="39">
        <v>24.31</v>
      </c>
      <c r="D396" s="39">
        <v>21.92</v>
      </c>
      <c r="E396" s="39">
        <v>25.91</v>
      </c>
      <c r="F396" s="39">
        <v>22.4</v>
      </c>
      <c r="G396" s="39">
        <v>19.760000000000002</v>
      </c>
      <c r="H396" s="39">
        <v>22.14</v>
      </c>
      <c r="I396" s="39">
        <v>37.340000000000003</v>
      </c>
      <c r="J396" s="34">
        <v>27.48</v>
      </c>
      <c r="K396" s="60">
        <v>26.9</v>
      </c>
      <c r="L396" s="62"/>
      <c r="M396" s="39">
        <v>30.44</v>
      </c>
      <c r="N396" s="39">
        <v>50.76</v>
      </c>
      <c r="O396" s="39">
        <v>15.71</v>
      </c>
      <c r="P396" s="39">
        <v>15.69</v>
      </c>
      <c r="Q396" s="39">
        <v>24.98</v>
      </c>
      <c r="R396" s="39">
        <v>20.39</v>
      </c>
      <c r="S396" s="42"/>
      <c r="T396" s="39">
        <v>21.56</v>
      </c>
      <c r="U396" s="39">
        <v>28.08</v>
      </c>
      <c r="V396" s="39">
        <v>21.02</v>
      </c>
      <c r="W396" s="39">
        <v>28.4</v>
      </c>
      <c r="X396" s="39">
        <v>20.84</v>
      </c>
      <c r="Y396" s="39">
        <v>24.71</v>
      </c>
      <c r="Z396" s="39">
        <v>17.670000000000002</v>
      </c>
      <c r="AA396" s="39">
        <v>36.51</v>
      </c>
      <c r="AB396" s="43">
        <v>24.64</v>
      </c>
      <c r="AC396" s="224"/>
      <c r="AD396" s="113"/>
      <c r="AE396" s="243">
        <v>39934</v>
      </c>
      <c r="AF396" s="5" t="s">
        <v>495</v>
      </c>
    </row>
    <row r="397" spans="1:32" ht="15" customHeight="1" x14ac:dyDescent="0.3">
      <c r="A397" s="38" t="s">
        <v>437</v>
      </c>
      <c r="B397" s="39">
        <v>20.78</v>
      </c>
      <c r="C397" s="39">
        <v>23.89</v>
      </c>
      <c r="D397" s="39">
        <v>21.81</v>
      </c>
      <c r="E397" s="39">
        <v>25.65</v>
      </c>
      <c r="F397" s="39">
        <v>22</v>
      </c>
      <c r="G397" s="39">
        <v>19.37</v>
      </c>
      <c r="H397" s="39">
        <v>21.83</v>
      </c>
      <c r="I397" s="39">
        <v>37.200000000000003</v>
      </c>
      <c r="J397" s="60">
        <v>27.01</v>
      </c>
      <c r="K397" s="60">
        <v>27.04</v>
      </c>
      <c r="L397" s="71"/>
      <c r="M397" s="60">
        <v>29.95</v>
      </c>
      <c r="N397" s="39">
        <v>50.68</v>
      </c>
      <c r="O397" s="39">
        <v>15.54</v>
      </c>
      <c r="P397" s="39">
        <v>15.66</v>
      </c>
      <c r="Q397" s="39">
        <v>23.98</v>
      </c>
      <c r="R397" s="39">
        <v>19.8</v>
      </c>
      <c r="S397" s="42"/>
      <c r="T397" s="39">
        <v>23.2</v>
      </c>
      <c r="U397" s="39">
        <v>25.62</v>
      </c>
      <c r="V397" s="39">
        <v>20.54</v>
      </c>
      <c r="W397" s="39">
        <v>28</v>
      </c>
      <c r="X397" s="39">
        <v>19.02</v>
      </c>
      <c r="Y397" s="39">
        <v>24.18</v>
      </c>
      <c r="Z397" s="39">
        <v>18</v>
      </c>
      <c r="AA397" s="39">
        <v>37.19</v>
      </c>
      <c r="AB397" s="43">
        <v>24.8</v>
      </c>
      <c r="AC397" s="224"/>
      <c r="AD397" s="113"/>
      <c r="AE397" s="243">
        <v>39965</v>
      </c>
      <c r="AF397" s="5" t="s">
        <v>495</v>
      </c>
    </row>
    <row r="398" spans="1:32" ht="15" customHeight="1" x14ac:dyDescent="0.3">
      <c r="A398" s="38" t="s">
        <v>438</v>
      </c>
      <c r="B398" s="39">
        <v>21.11</v>
      </c>
      <c r="C398" s="39">
        <v>24.42</v>
      </c>
      <c r="D398" s="39">
        <v>22.25</v>
      </c>
      <c r="E398" s="39">
        <v>25.38</v>
      </c>
      <c r="F398" s="39">
        <v>22</v>
      </c>
      <c r="G398" s="39">
        <v>19.05</v>
      </c>
      <c r="H398" s="39">
        <v>22.04</v>
      </c>
      <c r="I398" s="39">
        <v>36.869999999999997</v>
      </c>
      <c r="J398" s="60">
        <v>26.85</v>
      </c>
      <c r="K398" s="60">
        <v>28.81</v>
      </c>
      <c r="L398" s="71"/>
      <c r="M398" s="60">
        <v>29.11</v>
      </c>
      <c r="N398" s="39">
        <v>50.63</v>
      </c>
      <c r="O398" s="39">
        <v>15.83</v>
      </c>
      <c r="P398" s="39">
        <v>15.31</v>
      </c>
      <c r="Q398" s="39">
        <v>23.69</v>
      </c>
      <c r="R398" s="39">
        <v>20.170000000000002</v>
      </c>
      <c r="S398" s="42"/>
      <c r="T398" s="39">
        <v>23.19</v>
      </c>
      <c r="U398" s="39">
        <v>25.27</v>
      </c>
      <c r="V398" s="39">
        <v>21.33</v>
      </c>
      <c r="W398" s="39">
        <v>27.7</v>
      </c>
      <c r="X398" s="39">
        <v>18.75</v>
      </c>
      <c r="Y398" s="39">
        <v>24.08</v>
      </c>
      <c r="Z398" s="39">
        <v>18.600000000000001</v>
      </c>
      <c r="AA398" s="39">
        <v>36.68</v>
      </c>
      <c r="AB398" s="43">
        <v>24.29</v>
      </c>
      <c r="AC398" s="224"/>
      <c r="AD398" s="113"/>
      <c r="AE398" s="243">
        <v>39995</v>
      </c>
      <c r="AF398" s="5" t="s">
        <v>495</v>
      </c>
    </row>
    <row r="399" spans="1:32" ht="15" customHeight="1" x14ac:dyDescent="0.3">
      <c r="A399" s="38" t="s">
        <v>439</v>
      </c>
      <c r="B399" s="39">
        <v>21.59</v>
      </c>
      <c r="C399" s="39">
        <v>24.43</v>
      </c>
      <c r="D399" s="39">
        <v>22.42</v>
      </c>
      <c r="E399" s="39">
        <v>25.79</v>
      </c>
      <c r="F399" s="39">
        <v>22.18</v>
      </c>
      <c r="G399" s="39">
        <v>19.38</v>
      </c>
      <c r="H399" s="39">
        <v>22.86</v>
      </c>
      <c r="I399" s="39">
        <v>36.6</v>
      </c>
      <c r="J399" s="60">
        <v>27.27</v>
      </c>
      <c r="K399" s="60">
        <v>30.03</v>
      </c>
      <c r="L399" s="71"/>
      <c r="M399" s="60">
        <v>29.02</v>
      </c>
      <c r="N399" s="39">
        <v>50.58</v>
      </c>
      <c r="O399" s="39">
        <v>15.95</v>
      </c>
      <c r="P399" s="39">
        <v>15.57</v>
      </c>
      <c r="Q399" s="39">
        <v>23.97</v>
      </c>
      <c r="R399" s="39">
        <v>20.5</v>
      </c>
      <c r="S399" s="42"/>
      <c r="T399" s="39">
        <v>27.02</v>
      </c>
      <c r="U399" s="39">
        <v>25.32</v>
      </c>
      <c r="V399" s="39">
        <v>22.45</v>
      </c>
      <c r="W399" s="39">
        <v>26.4</v>
      </c>
      <c r="X399" s="39">
        <v>18.46</v>
      </c>
      <c r="Y399" s="39">
        <v>24.08</v>
      </c>
      <c r="Z399" s="39">
        <v>19.54</v>
      </c>
      <c r="AA399" s="39">
        <v>37.61</v>
      </c>
      <c r="AB399" s="43">
        <v>25.75</v>
      </c>
      <c r="AC399" s="224"/>
      <c r="AD399" s="113"/>
      <c r="AE399" s="243">
        <v>40026</v>
      </c>
      <c r="AF399" s="5" t="s">
        <v>495</v>
      </c>
    </row>
    <row r="400" spans="1:32" ht="15" customHeight="1" x14ac:dyDescent="0.3">
      <c r="A400" s="38" t="s">
        <v>440</v>
      </c>
      <c r="B400" s="39">
        <v>23.48</v>
      </c>
      <c r="C400" s="39">
        <v>24.16</v>
      </c>
      <c r="D400" s="39">
        <v>23</v>
      </c>
      <c r="E400" s="39">
        <v>26.6</v>
      </c>
      <c r="F400" s="39">
        <v>22.07</v>
      </c>
      <c r="G400" s="39">
        <v>19.77</v>
      </c>
      <c r="H400" s="39">
        <v>25.02</v>
      </c>
      <c r="I400" s="39">
        <v>36.75</v>
      </c>
      <c r="J400" s="60">
        <v>28.43</v>
      </c>
      <c r="K400" s="60">
        <v>31.02</v>
      </c>
      <c r="L400" s="71"/>
      <c r="M400" s="60">
        <v>29.24</v>
      </c>
      <c r="N400" s="39">
        <v>50.69</v>
      </c>
      <c r="O400" s="39">
        <v>16.440000000000001</v>
      </c>
      <c r="P400" s="39">
        <v>16.5</v>
      </c>
      <c r="Q400" s="39">
        <v>24.69</v>
      </c>
      <c r="R400" s="39">
        <v>21.28</v>
      </c>
      <c r="S400" s="42"/>
      <c r="T400" s="39">
        <v>28.06</v>
      </c>
      <c r="U400" s="39">
        <v>27.08</v>
      </c>
      <c r="V400" s="39">
        <v>22.73</v>
      </c>
      <c r="W400" s="39">
        <v>27.4</v>
      </c>
      <c r="X400" s="39">
        <v>19.05</v>
      </c>
      <c r="Y400" s="39">
        <v>24.41</v>
      </c>
      <c r="Z400" s="39">
        <v>20.96</v>
      </c>
      <c r="AA400" s="39">
        <v>39.1</v>
      </c>
      <c r="AB400" s="43">
        <v>27.26</v>
      </c>
      <c r="AC400" s="224"/>
      <c r="AD400" s="113"/>
      <c r="AE400" s="243">
        <v>40057</v>
      </c>
      <c r="AF400" s="5" t="s">
        <v>495</v>
      </c>
    </row>
    <row r="401" spans="1:32" ht="15" customHeight="1" x14ac:dyDescent="0.3">
      <c r="A401" s="38" t="s">
        <v>441</v>
      </c>
      <c r="B401" s="39">
        <v>26.85</v>
      </c>
      <c r="C401" s="39">
        <v>24.92</v>
      </c>
      <c r="D401" s="39">
        <v>23.24</v>
      </c>
      <c r="E401" s="39">
        <v>28.62</v>
      </c>
      <c r="F401" s="39">
        <v>23.1</v>
      </c>
      <c r="G401" s="39">
        <v>20.77</v>
      </c>
      <c r="H401" s="39">
        <v>28.21</v>
      </c>
      <c r="I401" s="39">
        <v>36.69</v>
      </c>
      <c r="J401" s="60">
        <v>28.97</v>
      </c>
      <c r="K401" s="60">
        <v>29.28</v>
      </c>
      <c r="L401" s="71"/>
      <c r="M401" s="60">
        <v>30.34</v>
      </c>
      <c r="N401" s="39">
        <v>50.78</v>
      </c>
      <c r="O401" s="39">
        <v>18.309999999999999</v>
      </c>
      <c r="P401" s="39">
        <v>19.89</v>
      </c>
      <c r="Q401" s="39">
        <v>26.72</v>
      </c>
      <c r="R401" s="39">
        <v>23</v>
      </c>
      <c r="S401" s="42"/>
      <c r="T401" s="39">
        <v>30.12</v>
      </c>
      <c r="U401" s="39">
        <v>28.15</v>
      </c>
      <c r="V401" s="39">
        <v>23.18</v>
      </c>
      <c r="W401" s="39">
        <v>27.6</v>
      </c>
      <c r="X401" s="39">
        <v>18.97</v>
      </c>
      <c r="Y401" s="39">
        <v>24.69</v>
      </c>
      <c r="Z401" s="39">
        <v>23.24</v>
      </c>
      <c r="AA401" s="39">
        <v>40.01</v>
      </c>
      <c r="AB401" s="43">
        <v>28.42</v>
      </c>
      <c r="AC401" s="224"/>
      <c r="AD401" s="113"/>
      <c r="AE401" s="243">
        <v>40087</v>
      </c>
      <c r="AF401" s="5" t="s">
        <v>495</v>
      </c>
    </row>
    <row r="402" spans="1:32" ht="15" customHeight="1" x14ac:dyDescent="0.3">
      <c r="A402" s="38" t="s">
        <v>442</v>
      </c>
      <c r="B402" s="39">
        <v>28.69</v>
      </c>
      <c r="C402" s="39">
        <v>26.52</v>
      </c>
      <c r="D402" s="39">
        <v>24.1</v>
      </c>
      <c r="E402" s="39">
        <v>28.75</v>
      </c>
      <c r="F402" s="39">
        <v>26.64</v>
      </c>
      <c r="G402" s="39">
        <v>22.66</v>
      </c>
      <c r="H402" s="39">
        <v>28.63</v>
      </c>
      <c r="I402" s="39">
        <v>36.840000000000003</v>
      </c>
      <c r="J402" s="39">
        <v>29.3</v>
      </c>
      <c r="K402" s="60">
        <v>29.11</v>
      </c>
      <c r="L402" s="71"/>
      <c r="M402" s="60">
        <v>30.43</v>
      </c>
      <c r="N402" s="39">
        <v>51.15</v>
      </c>
      <c r="O402" s="39">
        <v>21.87</v>
      </c>
      <c r="P402" s="39">
        <v>23.34</v>
      </c>
      <c r="Q402" s="39">
        <v>28.68</v>
      </c>
      <c r="R402" s="39">
        <v>23.62</v>
      </c>
      <c r="S402" s="42"/>
      <c r="T402" s="39">
        <v>33.36</v>
      </c>
      <c r="U402" s="39">
        <v>30.24</v>
      </c>
      <c r="V402" s="39">
        <v>25.23</v>
      </c>
      <c r="W402" s="39">
        <v>28.4</v>
      </c>
      <c r="X402" s="34">
        <v>21</v>
      </c>
      <c r="Y402" s="39">
        <v>25.51</v>
      </c>
      <c r="Z402" s="39">
        <v>25.16</v>
      </c>
      <c r="AA402" s="39">
        <v>40.369999999999997</v>
      </c>
      <c r="AB402" s="43">
        <v>28.67</v>
      </c>
      <c r="AC402" s="224"/>
      <c r="AD402" s="113"/>
      <c r="AE402" s="243">
        <v>40118</v>
      </c>
      <c r="AF402" s="5" t="s">
        <v>495</v>
      </c>
    </row>
    <row r="403" spans="1:32" ht="15" customHeight="1" thickBot="1" x14ac:dyDescent="0.35">
      <c r="A403" s="72" t="s">
        <v>443</v>
      </c>
      <c r="B403" s="60">
        <v>28.88</v>
      </c>
      <c r="C403" s="60">
        <v>25.68</v>
      </c>
      <c r="D403" s="60">
        <v>24.88</v>
      </c>
      <c r="E403" s="60">
        <v>29.96</v>
      </c>
      <c r="F403" s="60">
        <v>26</v>
      </c>
      <c r="G403" s="60">
        <v>23.42</v>
      </c>
      <c r="H403" s="60">
        <v>27.49</v>
      </c>
      <c r="I403" s="60">
        <v>36.97</v>
      </c>
      <c r="J403" s="60">
        <v>30.09</v>
      </c>
      <c r="K403" s="60">
        <v>28.92</v>
      </c>
      <c r="L403" s="71"/>
      <c r="M403" s="60">
        <v>30.36</v>
      </c>
      <c r="N403" s="73">
        <v>51.75</v>
      </c>
      <c r="O403" s="60">
        <v>24.11</v>
      </c>
      <c r="P403" s="60">
        <v>25.18</v>
      </c>
      <c r="Q403" s="60">
        <v>28.81</v>
      </c>
      <c r="R403" s="60">
        <v>23.88</v>
      </c>
      <c r="S403" s="74"/>
      <c r="T403" s="60">
        <v>33.61</v>
      </c>
      <c r="U403" s="73">
        <v>30.56</v>
      </c>
      <c r="V403" s="60">
        <v>25.73</v>
      </c>
      <c r="W403" s="60">
        <v>28.9</v>
      </c>
      <c r="X403" s="60">
        <v>23</v>
      </c>
      <c r="Y403" s="60">
        <v>25.41</v>
      </c>
      <c r="Z403" s="60">
        <v>25.99</v>
      </c>
      <c r="AA403" s="60">
        <v>38.29</v>
      </c>
      <c r="AB403" s="75">
        <v>29.53</v>
      </c>
      <c r="AC403" s="228"/>
      <c r="AD403" s="117"/>
      <c r="AE403" s="247">
        <v>40148</v>
      </c>
      <c r="AF403" s="5" t="s">
        <v>495</v>
      </c>
    </row>
    <row r="404" spans="1:32" ht="15" customHeight="1" x14ac:dyDescent="0.3">
      <c r="A404" s="76" t="s">
        <v>444</v>
      </c>
      <c r="B404" s="77">
        <v>27.96</v>
      </c>
      <c r="C404" s="77">
        <v>26.97</v>
      </c>
      <c r="D404" s="77">
        <v>25.71</v>
      </c>
      <c r="E404" s="77">
        <v>29.83</v>
      </c>
      <c r="F404" s="77">
        <v>28.4</v>
      </c>
      <c r="G404" s="77">
        <v>25.44</v>
      </c>
      <c r="H404" s="77">
        <v>27.08</v>
      </c>
      <c r="I404" s="77">
        <v>37.130000000000003</v>
      </c>
      <c r="J404" s="77">
        <v>29.71</v>
      </c>
      <c r="K404" s="77">
        <v>30.99</v>
      </c>
      <c r="L404" s="78"/>
      <c r="M404" s="77">
        <v>31.09</v>
      </c>
      <c r="N404" s="77">
        <v>51.44</v>
      </c>
      <c r="O404" s="77">
        <v>24.45</v>
      </c>
      <c r="P404" s="77">
        <v>24.71</v>
      </c>
      <c r="Q404" s="77">
        <v>28.43</v>
      </c>
      <c r="R404" s="77">
        <v>24.6</v>
      </c>
      <c r="S404" s="79"/>
      <c r="T404" s="77">
        <v>29.66</v>
      </c>
      <c r="U404" s="77">
        <v>30.89</v>
      </c>
      <c r="V404" s="77">
        <v>26.02</v>
      </c>
      <c r="W404" s="77">
        <v>28.4</v>
      </c>
      <c r="X404" s="77">
        <v>25.35</v>
      </c>
      <c r="Y404" s="77">
        <v>25.72</v>
      </c>
      <c r="Z404" s="77">
        <v>25.84</v>
      </c>
      <c r="AA404" s="77">
        <v>38.61</v>
      </c>
      <c r="AB404" s="80">
        <v>28.21</v>
      </c>
      <c r="AC404" s="229"/>
      <c r="AD404" s="118"/>
      <c r="AE404" s="248">
        <v>40179</v>
      </c>
      <c r="AF404" s="5" t="s">
        <v>495</v>
      </c>
    </row>
    <row r="405" spans="1:32" ht="15" customHeight="1" x14ac:dyDescent="0.3">
      <c r="A405" s="38" t="s">
        <v>445</v>
      </c>
      <c r="B405" s="39">
        <v>27.9</v>
      </c>
      <c r="C405" s="39">
        <v>26.26</v>
      </c>
      <c r="D405" s="39">
        <v>26.52</v>
      </c>
      <c r="E405" s="39">
        <v>29.55</v>
      </c>
      <c r="F405" s="39">
        <v>28.14</v>
      </c>
      <c r="G405" s="39">
        <v>25.88</v>
      </c>
      <c r="H405" s="39">
        <v>27.18</v>
      </c>
      <c r="I405" s="39">
        <v>37.44</v>
      </c>
      <c r="J405" s="34">
        <v>29.42</v>
      </c>
      <c r="K405" s="60">
        <v>29.89</v>
      </c>
      <c r="L405" s="62"/>
      <c r="M405" s="39">
        <v>31.05</v>
      </c>
      <c r="N405" s="39">
        <v>51.52</v>
      </c>
      <c r="O405" s="39">
        <v>24.33</v>
      </c>
      <c r="P405" s="39">
        <v>24.18</v>
      </c>
      <c r="Q405" s="39">
        <v>27.78</v>
      </c>
      <c r="R405" s="39">
        <v>24.99</v>
      </c>
      <c r="S405" s="42"/>
      <c r="T405" s="39">
        <v>28.18</v>
      </c>
      <c r="U405" s="39">
        <v>30.62</v>
      </c>
      <c r="V405" s="39">
        <v>26.6</v>
      </c>
      <c r="W405" s="39">
        <v>28.3</v>
      </c>
      <c r="X405" s="39">
        <v>25.01</v>
      </c>
      <c r="Y405" s="39">
        <v>25.79</v>
      </c>
      <c r="Z405" s="39">
        <v>26.14</v>
      </c>
      <c r="AA405" s="39">
        <v>38.43</v>
      </c>
      <c r="AB405" s="43">
        <v>28.7</v>
      </c>
      <c r="AC405" s="224"/>
      <c r="AD405" s="113"/>
      <c r="AE405" s="243">
        <v>40210</v>
      </c>
      <c r="AF405" s="5" t="s">
        <v>495</v>
      </c>
    </row>
    <row r="406" spans="1:32" ht="15" customHeight="1" x14ac:dyDescent="0.3">
      <c r="A406" s="38" t="s">
        <v>446</v>
      </c>
      <c r="B406" s="39">
        <v>28.4</v>
      </c>
      <c r="C406" s="39">
        <v>26.72</v>
      </c>
      <c r="D406" s="39">
        <v>27.29</v>
      </c>
      <c r="E406" s="39">
        <v>29.16</v>
      </c>
      <c r="F406" s="39">
        <v>27.95</v>
      </c>
      <c r="G406" s="39">
        <v>25.88</v>
      </c>
      <c r="H406" s="39">
        <v>26.98</v>
      </c>
      <c r="I406" s="39">
        <v>37.21</v>
      </c>
      <c r="J406" s="34">
        <v>28.83</v>
      </c>
      <c r="K406" s="60">
        <v>28.4</v>
      </c>
      <c r="L406" s="62"/>
      <c r="M406" s="39">
        <v>32.869999999999997</v>
      </c>
      <c r="N406" s="39">
        <v>51.43</v>
      </c>
      <c r="O406" s="39">
        <v>24.45</v>
      </c>
      <c r="P406" s="39">
        <v>24.07</v>
      </c>
      <c r="Q406" s="39">
        <v>27.58</v>
      </c>
      <c r="R406" s="39">
        <v>25.64</v>
      </c>
      <c r="S406" s="42"/>
      <c r="T406" s="39">
        <v>25.27</v>
      </c>
      <c r="U406" s="39">
        <v>30.34</v>
      </c>
      <c r="V406" s="39">
        <v>26.92</v>
      </c>
      <c r="W406" s="39">
        <v>27.8</v>
      </c>
      <c r="X406" s="39">
        <v>24.95</v>
      </c>
      <c r="Y406" s="39">
        <v>26.09</v>
      </c>
      <c r="Z406" s="39">
        <v>26.08</v>
      </c>
      <c r="AA406" s="39">
        <v>35.43</v>
      </c>
      <c r="AB406" s="43">
        <v>30.48</v>
      </c>
      <c r="AC406" s="224"/>
      <c r="AD406" s="113"/>
      <c r="AE406" s="243">
        <v>40238</v>
      </c>
      <c r="AF406" s="5" t="s">
        <v>495</v>
      </c>
    </row>
    <row r="407" spans="1:32" ht="15" customHeight="1" x14ac:dyDescent="0.3">
      <c r="A407" s="54" t="s">
        <v>447</v>
      </c>
      <c r="B407" s="39">
        <v>28.66</v>
      </c>
      <c r="C407" s="39">
        <v>25.92</v>
      </c>
      <c r="D407" s="39">
        <v>27.82</v>
      </c>
      <c r="E407" s="39">
        <v>28.88</v>
      </c>
      <c r="F407" s="39">
        <v>28.37</v>
      </c>
      <c r="G407" s="39">
        <v>26.22</v>
      </c>
      <c r="H407" s="39">
        <v>27.8</v>
      </c>
      <c r="I407" s="39">
        <v>37.11</v>
      </c>
      <c r="J407" s="34">
        <v>28.54</v>
      </c>
      <c r="K407" s="60">
        <v>27.67</v>
      </c>
      <c r="L407" s="62"/>
      <c r="M407" s="39">
        <v>32.82</v>
      </c>
      <c r="N407" s="39">
        <v>50.61</v>
      </c>
      <c r="O407" s="39">
        <v>24.37</v>
      </c>
      <c r="P407" s="39">
        <v>23.5</v>
      </c>
      <c r="Q407" s="39">
        <v>28.21</v>
      </c>
      <c r="R407" s="39">
        <v>25.63</v>
      </c>
      <c r="S407" s="42"/>
      <c r="T407" s="39">
        <v>26.55</v>
      </c>
      <c r="U407" s="39">
        <v>29.74</v>
      </c>
      <c r="V407" s="39">
        <v>26.91</v>
      </c>
      <c r="W407" s="39">
        <v>27.4</v>
      </c>
      <c r="X407" s="39">
        <v>23.25</v>
      </c>
      <c r="Y407" s="39">
        <v>26.35</v>
      </c>
      <c r="Z407" s="39">
        <v>26.03</v>
      </c>
      <c r="AA407" s="39">
        <v>35.24</v>
      </c>
      <c r="AB407" s="43">
        <v>30.2</v>
      </c>
      <c r="AC407" s="224"/>
      <c r="AD407" s="113"/>
      <c r="AE407" s="243">
        <v>40269</v>
      </c>
      <c r="AF407" s="5" t="s">
        <v>495</v>
      </c>
    </row>
    <row r="408" spans="1:32" ht="15" customHeight="1" x14ac:dyDescent="0.3">
      <c r="A408" s="38" t="s">
        <v>448</v>
      </c>
      <c r="B408" s="39">
        <v>29.27</v>
      </c>
      <c r="C408" s="39">
        <v>25.72</v>
      </c>
      <c r="D408" s="39">
        <v>27.9</v>
      </c>
      <c r="E408" s="39">
        <v>29.56</v>
      </c>
      <c r="F408" s="39">
        <v>29.41</v>
      </c>
      <c r="G408" s="39">
        <v>26.73</v>
      </c>
      <c r="H408" s="39">
        <v>30.58</v>
      </c>
      <c r="I408" s="39">
        <v>36.47</v>
      </c>
      <c r="J408" s="34">
        <v>28.35</v>
      </c>
      <c r="K408" s="60">
        <v>27.85</v>
      </c>
      <c r="L408" s="62"/>
      <c r="M408" s="39">
        <v>32.82</v>
      </c>
      <c r="N408" s="39">
        <v>50.46</v>
      </c>
      <c r="O408" s="39">
        <v>24.42</v>
      </c>
      <c r="P408" s="39">
        <v>23.55</v>
      </c>
      <c r="Q408" s="39">
        <v>28.63</v>
      </c>
      <c r="R408" s="39">
        <v>24.34</v>
      </c>
      <c r="S408" s="42"/>
      <c r="T408" s="39">
        <v>28.84</v>
      </c>
      <c r="U408" s="39">
        <v>29.96</v>
      </c>
      <c r="V408" s="39">
        <v>25.81</v>
      </c>
      <c r="W408" s="39">
        <v>27.2</v>
      </c>
      <c r="X408" s="39">
        <v>22.28</v>
      </c>
      <c r="Y408" s="39">
        <v>26.21</v>
      </c>
      <c r="Z408" s="39">
        <v>26.09</v>
      </c>
      <c r="AA408" s="39">
        <v>34.78</v>
      </c>
      <c r="AB408" s="43">
        <v>30.83</v>
      </c>
      <c r="AC408" s="224"/>
      <c r="AD408" s="113"/>
      <c r="AE408" s="243">
        <v>40299</v>
      </c>
      <c r="AF408" s="5" t="s">
        <v>495</v>
      </c>
    </row>
    <row r="409" spans="1:32" ht="15" customHeight="1" x14ac:dyDescent="0.3">
      <c r="A409" s="38" t="s">
        <v>449</v>
      </c>
      <c r="B409" s="39">
        <v>29.72</v>
      </c>
      <c r="C409" s="39">
        <v>25.49</v>
      </c>
      <c r="D409" s="39">
        <v>27.76</v>
      </c>
      <c r="E409" s="39">
        <v>30.91</v>
      </c>
      <c r="F409" s="39">
        <v>30.08</v>
      </c>
      <c r="G409" s="39">
        <v>27.55</v>
      </c>
      <c r="H409" s="39">
        <v>30.79</v>
      </c>
      <c r="I409" s="39">
        <v>36.370000000000005</v>
      </c>
      <c r="J409" s="34">
        <v>28.25</v>
      </c>
      <c r="K409" s="60">
        <v>29.69</v>
      </c>
      <c r="L409" s="62"/>
      <c r="M409" s="39">
        <v>32.82</v>
      </c>
      <c r="N409" s="39">
        <v>50.67</v>
      </c>
      <c r="O409" s="39">
        <v>24.37</v>
      </c>
      <c r="P409" s="39">
        <v>23.45</v>
      </c>
      <c r="Q409" s="39">
        <v>28.62</v>
      </c>
      <c r="R409" s="39">
        <v>23.82</v>
      </c>
      <c r="S409" s="42"/>
      <c r="T409" s="39">
        <v>31.839360000000003</v>
      </c>
      <c r="U409" s="39">
        <v>29.68</v>
      </c>
      <c r="V409" s="39">
        <v>25.61</v>
      </c>
      <c r="W409" s="39">
        <v>27.5</v>
      </c>
      <c r="X409" s="39">
        <v>21.53</v>
      </c>
      <c r="Y409" s="39">
        <v>26.29</v>
      </c>
      <c r="Z409" s="39">
        <v>26.35</v>
      </c>
      <c r="AA409" s="39">
        <v>35.5</v>
      </c>
      <c r="AB409" s="43">
        <v>32.590000000000003</v>
      </c>
      <c r="AC409" s="224"/>
      <c r="AD409" s="113"/>
      <c r="AE409" s="243">
        <v>40330</v>
      </c>
      <c r="AF409" s="5" t="s">
        <v>495</v>
      </c>
    </row>
    <row r="410" spans="1:32" ht="15" customHeight="1" x14ac:dyDescent="0.3">
      <c r="A410" s="38" t="s">
        <v>450</v>
      </c>
      <c r="B410" s="39">
        <v>29.64</v>
      </c>
      <c r="C410" s="39">
        <v>25.46</v>
      </c>
      <c r="D410" s="39">
        <v>28.35</v>
      </c>
      <c r="E410" s="39">
        <v>31.56</v>
      </c>
      <c r="F410" s="39">
        <v>30.6</v>
      </c>
      <c r="G410" s="39">
        <v>27.42</v>
      </c>
      <c r="H410" s="39">
        <v>31.2</v>
      </c>
      <c r="I410" s="39">
        <v>36.270000000000003</v>
      </c>
      <c r="J410" s="34">
        <v>28.35</v>
      </c>
      <c r="K410" s="60">
        <v>31.36</v>
      </c>
      <c r="L410" s="62"/>
      <c r="M410" s="39">
        <v>35.700000000000003</v>
      </c>
      <c r="N410" s="39">
        <v>51.44</v>
      </c>
      <c r="O410" s="39">
        <v>24.21</v>
      </c>
      <c r="P410" s="39">
        <v>22.55</v>
      </c>
      <c r="Q410" s="39">
        <v>29.05</v>
      </c>
      <c r="R410" s="39">
        <v>24.29</v>
      </c>
      <c r="S410" s="42"/>
      <c r="T410" s="39">
        <v>33.75</v>
      </c>
      <c r="U410" s="39">
        <v>31.22</v>
      </c>
      <c r="V410" s="39">
        <v>25.82</v>
      </c>
      <c r="W410" s="39">
        <v>27.1</v>
      </c>
      <c r="X410" s="39">
        <v>21.2</v>
      </c>
      <c r="Y410" s="39">
        <v>26.2</v>
      </c>
      <c r="Z410" s="39">
        <v>26.59</v>
      </c>
      <c r="AA410" s="39">
        <v>39.08</v>
      </c>
      <c r="AB410" s="43">
        <v>33.28</v>
      </c>
      <c r="AC410" s="224"/>
      <c r="AD410" s="113"/>
      <c r="AE410" s="243">
        <v>40360</v>
      </c>
      <c r="AF410" s="5" t="s">
        <v>495</v>
      </c>
    </row>
    <row r="411" spans="1:32" ht="15" customHeight="1" x14ac:dyDescent="0.3">
      <c r="A411" s="38" t="s">
        <v>451</v>
      </c>
      <c r="B411" s="39">
        <v>31.13</v>
      </c>
      <c r="C411" s="39">
        <v>26.83</v>
      </c>
      <c r="D411" s="39">
        <v>28.13</v>
      </c>
      <c r="E411" s="39">
        <v>32.21</v>
      </c>
      <c r="F411" s="39">
        <v>31.84</v>
      </c>
      <c r="G411" s="39">
        <v>27.58</v>
      </c>
      <c r="H411" s="39">
        <v>31.92</v>
      </c>
      <c r="I411" s="39">
        <v>36.79</v>
      </c>
      <c r="J411" s="34">
        <v>28.64</v>
      </c>
      <c r="K411" s="60">
        <v>33.97</v>
      </c>
      <c r="L411" s="62"/>
      <c r="M411" s="39">
        <v>35.97</v>
      </c>
      <c r="N411" s="39">
        <v>51.37</v>
      </c>
      <c r="O411" s="39">
        <v>24.42</v>
      </c>
      <c r="P411" s="39">
        <v>22.87</v>
      </c>
      <c r="Q411" s="39">
        <v>29.91</v>
      </c>
      <c r="R411" s="39">
        <v>25.31</v>
      </c>
      <c r="S411" s="39">
        <v>41.82</v>
      </c>
      <c r="T411" s="39">
        <v>33.75</v>
      </c>
      <c r="U411" s="39">
        <v>31.88</v>
      </c>
      <c r="V411" s="39">
        <v>27.19</v>
      </c>
      <c r="W411" s="39">
        <v>27.5</v>
      </c>
      <c r="X411" s="39">
        <v>21.17</v>
      </c>
      <c r="Y411" s="39">
        <v>26.61</v>
      </c>
      <c r="Z411" s="39">
        <v>26.96</v>
      </c>
      <c r="AA411" s="39">
        <v>41.67</v>
      </c>
      <c r="AB411" s="43">
        <v>35.11</v>
      </c>
      <c r="AC411" s="224"/>
      <c r="AD411" s="113"/>
      <c r="AE411" s="243">
        <v>40391</v>
      </c>
      <c r="AF411" s="5" t="s">
        <v>495</v>
      </c>
    </row>
    <row r="412" spans="1:32" ht="15" customHeight="1" x14ac:dyDescent="0.3">
      <c r="A412" s="38" t="s">
        <v>452</v>
      </c>
      <c r="B412" s="39">
        <v>32.28</v>
      </c>
      <c r="C412" s="39">
        <v>28.44</v>
      </c>
      <c r="D412" s="39">
        <v>30.1</v>
      </c>
      <c r="E412" s="39">
        <v>33.58</v>
      </c>
      <c r="F412" s="39">
        <v>33.369999999999997</v>
      </c>
      <c r="G412" s="39">
        <v>29.46</v>
      </c>
      <c r="H412" s="39">
        <v>33.67</v>
      </c>
      <c r="I412" s="39">
        <v>37.22</v>
      </c>
      <c r="J412" s="34">
        <v>29.61</v>
      </c>
      <c r="K412" s="60">
        <v>34.32</v>
      </c>
      <c r="L412" s="62"/>
      <c r="M412" s="39">
        <v>36.5</v>
      </c>
      <c r="N412" s="39">
        <v>51.31</v>
      </c>
      <c r="O412" s="39">
        <v>25.34</v>
      </c>
      <c r="P412" s="39">
        <v>25.54</v>
      </c>
      <c r="Q412" s="39">
        <v>31.85</v>
      </c>
      <c r="R412" s="39">
        <v>26.66</v>
      </c>
      <c r="S412" s="39">
        <v>42.58</v>
      </c>
      <c r="T412" s="39">
        <v>33.75</v>
      </c>
      <c r="U412" s="39">
        <v>33.33</v>
      </c>
      <c r="V412" s="39">
        <v>28.2</v>
      </c>
      <c r="W412" s="39">
        <v>29.39</v>
      </c>
      <c r="X412" s="39">
        <v>23.92</v>
      </c>
      <c r="Y412" s="39">
        <v>27.49</v>
      </c>
      <c r="Z412" s="39">
        <v>27.93</v>
      </c>
      <c r="AA412" s="39">
        <v>43.37</v>
      </c>
      <c r="AB412" s="43">
        <v>36.270000000000003</v>
      </c>
      <c r="AC412" s="224"/>
      <c r="AD412" s="113"/>
      <c r="AE412" s="243">
        <v>40422</v>
      </c>
      <c r="AF412" s="5" t="s">
        <v>495</v>
      </c>
    </row>
    <row r="413" spans="1:32" ht="15" customHeight="1" x14ac:dyDescent="0.3">
      <c r="A413" s="38" t="s">
        <v>453</v>
      </c>
      <c r="B413" s="39">
        <v>33.28</v>
      </c>
      <c r="C413" s="39">
        <v>30.4</v>
      </c>
      <c r="D413" s="39">
        <v>27.6</v>
      </c>
      <c r="E413" s="39">
        <v>34.89</v>
      </c>
      <c r="F413" s="39">
        <v>34.409999999999997</v>
      </c>
      <c r="G413" s="39">
        <v>29.9</v>
      </c>
      <c r="H413" s="39">
        <v>35.83</v>
      </c>
      <c r="I413" s="39">
        <v>38.11</v>
      </c>
      <c r="J413" s="34">
        <v>30.58</v>
      </c>
      <c r="K413" s="60">
        <v>32.83</v>
      </c>
      <c r="L413" s="62"/>
      <c r="M413" s="39">
        <v>34.770000000000003</v>
      </c>
      <c r="N413" s="39">
        <v>51.46</v>
      </c>
      <c r="O413" s="39">
        <v>26.42</v>
      </c>
      <c r="P413" s="39">
        <v>28.67</v>
      </c>
      <c r="Q413" s="39">
        <v>32.35</v>
      </c>
      <c r="R413" s="39">
        <v>28.97</v>
      </c>
      <c r="S413" s="39">
        <v>45.15</v>
      </c>
      <c r="T413" s="39">
        <v>34.65</v>
      </c>
      <c r="U413" s="39">
        <v>33.96</v>
      </c>
      <c r="V413" s="39">
        <v>28.94</v>
      </c>
      <c r="W413" s="39">
        <v>30.07</v>
      </c>
      <c r="X413" s="39">
        <v>25.46</v>
      </c>
      <c r="Y413" s="39">
        <v>28.09</v>
      </c>
      <c r="Z413" s="39">
        <v>29.27</v>
      </c>
      <c r="AA413" s="39">
        <v>44.41</v>
      </c>
      <c r="AB413" s="43">
        <v>38.200000000000003</v>
      </c>
      <c r="AC413" s="224"/>
      <c r="AD413" s="113"/>
      <c r="AE413" s="243">
        <v>40452</v>
      </c>
      <c r="AF413" s="5" t="s">
        <v>495</v>
      </c>
    </row>
    <row r="414" spans="1:32" ht="15" customHeight="1" x14ac:dyDescent="0.3">
      <c r="A414" s="38" t="s">
        <v>454</v>
      </c>
      <c r="B414" s="39">
        <v>33.53</v>
      </c>
      <c r="C414" s="39">
        <v>31.51</v>
      </c>
      <c r="D414" s="39">
        <v>31.18</v>
      </c>
      <c r="E414" s="39">
        <v>36.21</v>
      </c>
      <c r="F414" s="39">
        <v>34.65</v>
      </c>
      <c r="G414" s="39">
        <v>30</v>
      </c>
      <c r="H414" s="39">
        <v>34.18</v>
      </c>
      <c r="I414" s="39">
        <v>38.78</v>
      </c>
      <c r="J414" s="34">
        <v>30.97</v>
      </c>
      <c r="K414" s="60">
        <v>32.46</v>
      </c>
      <c r="L414" s="62"/>
      <c r="M414" s="39">
        <v>34.770000000000003</v>
      </c>
      <c r="N414" s="39">
        <v>51.76</v>
      </c>
      <c r="O414" s="39">
        <v>26.94</v>
      </c>
      <c r="P414" s="39">
        <v>28.94</v>
      </c>
      <c r="Q414" s="39">
        <v>32.380000000000003</v>
      </c>
      <c r="R414" s="39">
        <v>29.03</v>
      </c>
      <c r="S414" s="39">
        <v>47.05</v>
      </c>
      <c r="T414" s="39">
        <v>35.65</v>
      </c>
      <c r="U414" s="39">
        <v>34.58</v>
      </c>
      <c r="V414" s="39">
        <v>30.1</v>
      </c>
      <c r="W414" s="39">
        <v>30.92</v>
      </c>
      <c r="X414" s="39">
        <v>26.32</v>
      </c>
      <c r="Y414" s="39">
        <v>28.5</v>
      </c>
      <c r="Z414" s="39">
        <v>29.93</v>
      </c>
      <c r="AA414" s="39">
        <v>44.84</v>
      </c>
      <c r="AB414" s="43">
        <v>39.229999999999997</v>
      </c>
      <c r="AC414" s="224"/>
      <c r="AD414" s="113"/>
      <c r="AE414" s="243">
        <v>40483</v>
      </c>
      <c r="AF414" s="5" t="s">
        <v>495</v>
      </c>
    </row>
    <row r="415" spans="1:32" ht="15" customHeight="1" thickBot="1" x14ac:dyDescent="0.35">
      <c r="A415" s="63" t="s">
        <v>455</v>
      </c>
      <c r="B415" s="64">
        <v>33.81</v>
      </c>
      <c r="C415" s="64">
        <v>31.67</v>
      </c>
      <c r="D415" s="64">
        <v>31.02</v>
      </c>
      <c r="E415" s="64">
        <v>36.9</v>
      </c>
      <c r="F415" s="64">
        <v>34.42</v>
      </c>
      <c r="G415" s="64">
        <v>30.77</v>
      </c>
      <c r="H415" s="39">
        <v>32.729999999999997</v>
      </c>
      <c r="I415" s="64">
        <v>38.97</v>
      </c>
      <c r="J415" s="64">
        <v>31.26</v>
      </c>
      <c r="K415" s="64">
        <v>32.119999999999997</v>
      </c>
      <c r="L415" s="65"/>
      <c r="M415" s="64">
        <v>34.799999999999997</v>
      </c>
      <c r="N415" s="64">
        <v>51.68</v>
      </c>
      <c r="O415" s="64">
        <v>27.65</v>
      </c>
      <c r="P415" s="64">
        <v>29.63</v>
      </c>
      <c r="Q415" s="64">
        <v>32.51</v>
      </c>
      <c r="R415" s="64">
        <v>28.99</v>
      </c>
      <c r="S415" s="64">
        <v>47.05</v>
      </c>
      <c r="T415" s="64">
        <v>35.65</v>
      </c>
      <c r="U415" s="64">
        <v>35.31</v>
      </c>
      <c r="V415" s="64">
        <v>29.79</v>
      </c>
      <c r="W415" s="64">
        <v>32.22</v>
      </c>
      <c r="X415" s="64">
        <v>26.55</v>
      </c>
      <c r="Y415" s="64">
        <v>28.85</v>
      </c>
      <c r="Z415" s="64">
        <v>30.57</v>
      </c>
      <c r="AA415" s="64">
        <v>42.96</v>
      </c>
      <c r="AB415" s="67">
        <v>41.04</v>
      </c>
      <c r="AC415" s="227"/>
      <c r="AD415" s="116"/>
      <c r="AE415" s="246">
        <v>40513</v>
      </c>
      <c r="AF415" s="5" t="s">
        <v>495</v>
      </c>
    </row>
    <row r="416" spans="1:32" ht="15" customHeight="1" x14ac:dyDescent="0.3">
      <c r="A416" s="76" t="s">
        <v>456</v>
      </c>
      <c r="B416" s="77">
        <v>33.090000000000003</v>
      </c>
      <c r="C416" s="77">
        <v>32.24</v>
      </c>
      <c r="D416" s="77">
        <v>32.19</v>
      </c>
      <c r="E416" s="77">
        <v>35</v>
      </c>
      <c r="F416" s="77">
        <v>33.119999999999997</v>
      </c>
      <c r="G416" s="77">
        <v>31</v>
      </c>
      <c r="H416" s="77">
        <v>31.76</v>
      </c>
      <c r="I416" s="77">
        <v>39.799999999999997</v>
      </c>
      <c r="J416" s="77">
        <v>30.97</v>
      </c>
      <c r="K416" s="77">
        <v>33.200000000000003</v>
      </c>
      <c r="L416" s="78"/>
      <c r="M416" s="77">
        <v>37.46</v>
      </c>
      <c r="N416" s="77">
        <v>51.07</v>
      </c>
      <c r="O416" s="77">
        <v>28.19</v>
      </c>
      <c r="P416" s="77">
        <v>29.17</v>
      </c>
      <c r="Q416" s="77">
        <v>31.82</v>
      </c>
      <c r="R416" s="77">
        <v>29.77</v>
      </c>
      <c r="S416" s="77">
        <v>45.09</v>
      </c>
      <c r="T416" s="77">
        <v>35.65</v>
      </c>
      <c r="U416" s="77">
        <v>34.99</v>
      </c>
      <c r="V416" s="77">
        <v>30.02</v>
      </c>
      <c r="W416" s="77">
        <v>30.96</v>
      </c>
      <c r="X416" s="77">
        <v>27.45</v>
      </c>
      <c r="Y416" s="77">
        <v>28.78</v>
      </c>
      <c r="Z416" s="77">
        <v>30.86</v>
      </c>
      <c r="AA416" s="77">
        <v>40.9</v>
      </c>
      <c r="AB416" s="80">
        <v>39.56</v>
      </c>
      <c r="AC416" s="229"/>
      <c r="AD416" s="118"/>
      <c r="AE416" s="248">
        <v>40544</v>
      </c>
      <c r="AF416" s="5" t="s">
        <v>495</v>
      </c>
    </row>
    <row r="417" spans="1:32" ht="15" customHeight="1" x14ac:dyDescent="0.3">
      <c r="A417" s="38" t="s">
        <v>457</v>
      </c>
      <c r="B417" s="39">
        <v>33.86</v>
      </c>
      <c r="C417" s="39">
        <v>32.409999999999997</v>
      </c>
      <c r="D417" s="39">
        <v>32.71</v>
      </c>
      <c r="E417" s="39">
        <v>34.5</v>
      </c>
      <c r="F417" s="39">
        <v>33.200000000000003</v>
      </c>
      <c r="G417" s="39">
        <v>31.4</v>
      </c>
      <c r="H417" s="60">
        <v>32.92</v>
      </c>
      <c r="I417" s="39">
        <v>40.770000000000003</v>
      </c>
      <c r="J417" s="60">
        <v>30.97</v>
      </c>
      <c r="K417" s="60">
        <v>33.06</v>
      </c>
      <c r="L417" s="62"/>
      <c r="M417" s="39">
        <v>37.479999999999997</v>
      </c>
      <c r="N417" s="39">
        <v>52.02</v>
      </c>
      <c r="O417" s="39">
        <v>29.28</v>
      </c>
      <c r="P417" s="39">
        <v>29.84</v>
      </c>
      <c r="Q417" s="39">
        <v>31.63</v>
      </c>
      <c r="R417" s="39">
        <v>30.92</v>
      </c>
      <c r="S417" s="39">
        <v>43.44</v>
      </c>
      <c r="T417" s="39">
        <v>35.65</v>
      </c>
      <c r="U417" s="39">
        <v>34.619999999999997</v>
      </c>
      <c r="V417" s="39">
        <v>30.26</v>
      </c>
      <c r="W417" s="39">
        <v>31.14</v>
      </c>
      <c r="X417" s="39">
        <v>27.54</v>
      </c>
      <c r="Y417" s="39">
        <v>28.86</v>
      </c>
      <c r="Z417" s="39">
        <v>31.21</v>
      </c>
      <c r="AA417" s="39">
        <v>40.67</v>
      </c>
      <c r="AB417" s="43">
        <v>39.799999999999997</v>
      </c>
      <c r="AC417" s="224"/>
      <c r="AD417" s="113"/>
      <c r="AE417" s="243">
        <v>40575</v>
      </c>
      <c r="AF417" s="5" t="s">
        <v>495</v>
      </c>
    </row>
    <row r="418" spans="1:32" ht="15" customHeight="1" x14ac:dyDescent="0.3">
      <c r="A418" s="38" t="s">
        <v>458</v>
      </c>
      <c r="B418" s="39">
        <v>33.270000000000003</v>
      </c>
      <c r="C418" s="39">
        <v>32.67</v>
      </c>
      <c r="D418" s="39">
        <v>32.71</v>
      </c>
      <c r="E418" s="39">
        <v>34.5</v>
      </c>
      <c r="F418" s="39">
        <v>34.06</v>
      </c>
      <c r="G418" s="39">
        <v>32.4</v>
      </c>
      <c r="H418" s="39">
        <v>32.44</v>
      </c>
      <c r="I418" s="39">
        <v>41.34</v>
      </c>
      <c r="J418" s="34">
        <v>30.87</v>
      </c>
      <c r="K418" s="60">
        <v>32.08</v>
      </c>
      <c r="L418" s="62"/>
      <c r="M418" s="39">
        <v>37.61</v>
      </c>
      <c r="N418" s="39">
        <v>52.17</v>
      </c>
      <c r="O418" s="39">
        <v>29.82</v>
      </c>
      <c r="P418" s="39">
        <v>30.46</v>
      </c>
      <c r="Q418" s="39">
        <v>31.7</v>
      </c>
      <c r="R418" s="39">
        <v>31.15</v>
      </c>
      <c r="S418" s="39">
        <v>47.01</v>
      </c>
      <c r="T418" s="39">
        <v>36</v>
      </c>
      <c r="U418" s="39">
        <v>34.369999999999997</v>
      </c>
      <c r="V418" s="39">
        <v>30.28</v>
      </c>
      <c r="W418" s="39">
        <v>31.02</v>
      </c>
      <c r="X418" s="39">
        <v>28.57</v>
      </c>
      <c r="Y418" s="39">
        <v>29.24</v>
      </c>
      <c r="Z418" s="39">
        <v>31.21</v>
      </c>
      <c r="AA418" s="39">
        <v>38.68</v>
      </c>
      <c r="AB418" s="43">
        <v>38.96</v>
      </c>
      <c r="AC418" s="224"/>
      <c r="AD418" s="113"/>
      <c r="AE418" s="243">
        <v>40603</v>
      </c>
      <c r="AF418" s="5" t="s">
        <v>495</v>
      </c>
    </row>
    <row r="419" spans="1:32" ht="15" customHeight="1" x14ac:dyDescent="0.3">
      <c r="A419" s="54" t="s">
        <v>459</v>
      </c>
      <c r="B419" s="39">
        <v>32.65</v>
      </c>
      <c r="C419" s="39">
        <v>32.49</v>
      </c>
      <c r="D419" s="39">
        <v>33</v>
      </c>
      <c r="E419" s="39">
        <v>34.5</v>
      </c>
      <c r="F419" s="39">
        <v>34.200000000000003</v>
      </c>
      <c r="G419" s="39">
        <v>32.9</v>
      </c>
      <c r="H419" s="39">
        <v>32.15</v>
      </c>
      <c r="I419" s="39">
        <v>41.45</v>
      </c>
      <c r="J419" s="34">
        <v>30.58</v>
      </c>
      <c r="K419" s="60">
        <v>30.41</v>
      </c>
      <c r="L419" s="62"/>
      <c r="M419" s="39">
        <v>38.380000000000003</v>
      </c>
      <c r="N419" s="39">
        <v>52.1</v>
      </c>
      <c r="O419" s="39">
        <v>30.47</v>
      </c>
      <c r="P419" s="39">
        <v>30.44</v>
      </c>
      <c r="Q419" s="39">
        <v>32.04</v>
      </c>
      <c r="R419" s="39">
        <v>32.15</v>
      </c>
      <c r="S419" s="39">
        <v>47.01</v>
      </c>
      <c r="T419" s="39">
        <v>36</v>
      </c>
      <c r="U419" s="39">
        <v>34.15</v>
      </c>
      <c r="V419" s="39">
        <v>30.24</v>
      </c>
      <c r="W419" s="39">
        <v>30.65</v>
      </c>
      <c r="X419" s="39">
        <v>29.27</v>
      </c>
      <c r="Y419" s="39">
        <v>30.11</v>
      </c>
      <c r="Z419" s="39">
        <v>31.79</v>
      </c>
      <c r="AA419" s="39">
        <v>40.53</v>
      </c>
      <c r="AB419" s="43">
        <v>37.96</v>
      </c>
      <c r="AC419" s="224"/>
      <c r="AD419" s="113"/>
      <c r="AE419" s="243">
        <v>40634</v>
      </c>
      <c r="AF419" s="5" t="s">
        <v>495</v>
      </c>
    </row>
    <row r="420" spans="1:32" ht="15" customHeight="1" x14ac:dyDescent="0.3">
      <c r="A420" s="38" t="s">
        <v>460</v>
      </c>
      <c r="B420" s="39">
        <v>32.22</v>
      </c>
      <c r="C420" s="39">
        <v>32.21</v>
      </c>
      <c r="D420" s="39">
        <v>33.020000000000003</v>
      </c>
      <c r="E420" s="39">
        <v>35.5</v>
      </c>
      <c r="F420" s="39">
        <v>34.44</v>
      </c>
      <c r="G420" s="39">
        <v>32.9</v>
      </c>
      <c r="H420" s="39">
        <v>32.049999999999997</v>
      </c>
      <c r="I420" s="39">
        <v>40.770000000000003</v>
      </c>
      <c r="J420" s="34">
        <v>30.49</v>
      </c>
      <c r="K420" s="60">
        <v>30.53</v>
      </c>
      <c r="L420" s="62"/>
      <c r="M420" s="39">
        <v>38.369999999999997</v>
      </c>
      <c r="N420" s="39">
        <v>52.09</v>
      </c>
      <c r="O420" s="39">
        <v>29.8</v>
      </c>
      <c r="P420" s="39">
        <v>29.14</v>
      </c>
      <c r="Q420" s="39">
        <v>31.87</v>
      </c>
      <c r="R420" s="39">
        <v>31.79</v>
      </c>
      <c r="S420" s="39">
        <v>47.84</v>
      </c>
      <c r="T420" s="39">
        <v>38</v>
      </c>
      <c r="U420" s="39">
        <v>34.630000000000003</v>
      </c>
      <c r="V420" s="39">
        <v>30.24</v>
      </c>
      <c r="W420" s="39">
        <v>30.58</v>
      </c>
      <c r="X420" s="39">
        <v>28.45</v>
      </c>
      <c r="Y420" s="39">
        <v>30.1</v>
      </c>
      <c r="Z420" s="39">
        <v>31.64</v>
      </c>
      <c r="AA420" s="39">
        <v>40.369999999999997</v>
      </c>
      <c r="AB420" s="43">
        <v>39.07</v>
      </c>
      <c r="AC420" s="224"/>
      <c r="AD420" s="113"/>
      <c r="AE420" s="243">
        <v>40664</v>
      </c>
      <c r="AF420" s="5" t="s">
        <v>495</v>
      </c>
    </row>
    <row r="421" spans="1:32" ht="15" customHeight="1" x14ac:dyDescent="0.3">
      <c r="A421" s="38" t="s">
        <v>461</v>
      </c>
      <c r="B421" s="39">
        <v>32.6</v>
      </c>
      <c r="C421" s="39">
        <v>32.14</v>
      </c>
      <c r="D421" s="39">
        <v>33.15</v>
      </c>
      <c r="E421" s="39">
        <v>35.5</v>
      </c>
      <c r="F421" s="39">
        <v>34.39</v>
      </c>
      <c r="G421" s="39">
        <v>32.700000000000003</v>
      </c>
      <c r="H421" s="39">
        <v>33.31</v>
      </c>
      <c r="I421" s="39">
        <v>42.15</v>
      </c>
      <c r="J421" s="34">
        <v>30.78</v>
      </c>
      <c r="K421" s="60">
        <v>33.72</v>
      </c>
      <c r="L421" s="62"/>
      <c r="M421" s="39">
        <v>38.369999999999997</v>
      </c>
      <c r="N421" s="39">
        <v>51.3</v>
      </c>
      <c r="O421" s="39">
        <v>28.91</v>
      </c>
      <c r="P421" s="39">
        <v>26.62</v>
      </c>
      <c r="Q421" s="39">
        <v>31.88</v>
      </c>
      <c r="R421" s="39">
        <v>31.58</v>
      </c>
      <c r="S421" s="39">
        <v>48.34</v>
      </c>
      <c r="T421" s="39">
        <v>38</v>
      </c>
      <c r="U421" s="39">
        <v>34.56</v>
      </c>
      <c r="V421" s="39">
        <v>29.9</v>
      </c>
      <c r="W421" s="39">
        <v>30.58</v>
      </c>
      <c r="X421" s="39">
        <v>26.71</v>
      </c>
      <c r="Y421" s="39">
        <v>30.03</v>
      </c>
      <c r="Z421" s="39">
        <v>31.61</v>
      </c>
      <c r="AA421" s="39">
        <v>41.93</v>
      </c>
      <c r="AB421" s="43">
        <v>37.35</v>
      </c>
      <c r="AC421" s="224"/>
      <c r="AD421" s="113"/>
      <c r="AE421" s="243">
        <v>40695</v>
      </c>
      <c r="AF421" s="5" t="s">
        <v>495</v>
      </c>
    </row>
    <row r="422" spans="1:32" ht="15" customHeight="1" x14ac:dyDescent="0.3">
      <c r="A422" s="38" t="s">
        <v>462</v>
      </c>
      <c r="B422" s="39">
        <v>32.74</v>
      </c>
      <c r="C422" s="39">
        <v>32.06</v>
      </c>
      <c r="D422" s="39">
        <v>33.159999999999997</v>
      </c>
      <c r="E422" s="39">
        <v>36</v>
      </c>
      <c r="F422" s="39">
        <v>34.53</v>
      </c>
      <c r="G422" s="39">
        <v>32.81</v>
      </c>
      <c r="H422" s="39">
        <v>33.700000000000003</v>
      </c>
      <c r="I422" s="39">
        <v>42.18</v>
      </c>
      <c r="J422" s="34">
        <v>30.68</v>
      </c>
      <c r="K422" s="60">
        <v>35.44</v>
      </c>
      <c r="L422" s="62"/>
      <c r="M422" s="39">
        <v>38.799999999999997</v>
      </c>
      <c r="N422" s="39">
        <v>51.05</v>
      </c>
      <c r="O422" s="39">
        <v>28.74</v>
      </c>
      <c r="P422" s="39">
        <v>25.96</v>
      </c>
      <c r="Q422" s="39">
        <v>31.86</v>
      </c>
      <c r="R422" s="39">
        <v>31.52</v>
      </c>
      <c r="S422" s="39">
        <v>48.76</v>
      </c>
      <c r="T422" s="39">
        <v>38</v>
      </c>
      <c r="U422" s="39">
        <v>34.590000000000003</v>
      </c>
      <c r="V422" s="39">
        <v>30.08</v>
      </c>
      <c r="W422" s="39">
        <v>30.51</v>
      </c>
      <c r="X422" s="39">
        <v>26.65</v>
      </c>
      <c r="Y422" s="39">
        <v>30.14</v>
      </c>
      <c r="Z422" s="39">
        <v>31.39</v>
      </c>
      <c r="AA422" s="39">
        <v>41.57</v>
      </c>
      <c r="AB422" s="43">
        <v>36.58</v>
      </c>
      <c r="AC422" s="224"/>
      <c r="AD422" s="113"/>
      <c r="AE422" s="243">
        <v>40725</v>
      </c>
      <c r="AF422" s="5" t="s">
        <v>495</v>
      </c>
    </row>
    <row r="423" spans="1:32" ht="15" customHeight="1" x14ac:dyDescent="0.3">
      <c r="A423" s="38" t="s">
        <v>463</v>
      </c>
      <c r="B423" s="39">
        <v>32.35</v>
      </c>
      <c r="C423" s="39">
        <v>32.200000000000003</v>
      </c>
      <c r="D423" s="39">
        <v>33.159999999999997</v>
      </c>
      <c r="E423" s="39">
        <v>36.5</v>
      </c>
      <c r="F423" s="39">
        <v>34.74</v>
      </c>
      <c r="G423" s="39">
        <v>32.49</v>
      </c>
      <c r="H423" s="39">
        <v>34.57</v>
      </c>
      <c r="I423" s="39">
        <v>44.31</v>
      </c>
      <c r="J423" s="34">
        <v>30.87</v>
      </c>
      <c r="K423" s="60">
        <v>35.64</v>
      </c>
      <c r="L423" s="62"/>
      <c r="M423" s="39">
        <v>38.799999999999997</v>
      </c>
      <c r="N423" s="39">
        <v>50.91</v>
      </c>
      <c r="O423" s="39">
        <v>28.67</v>
      </c>
      <c r="P423" s="39">
        <v>26.23</v>
      </c>
      <c r="Q423" s="39">
        <v>32.72</v>
      </c>
      <c r="R423" s="39">
        <v>31.13</v>
      </c>
      <c r="S423" s="39">
        <v>48.9</v>
      </c>
      <c r="T423" s="39">
        <v>37.25</v>
      </c>
      <c r="U423" s="39">
        <v>34.6</v>
      </c>
      <c r="V423" s="39">
        <v>29.13</v>
      </c>
      <c r="W423" s="39">
        <v>30.69</v>
      </c>
      <c r="X423" s="39">
        <v>27.05</v>
      </c>
      <c r="Y423" s="39">
        <v>30.24</v>
      </c>
      <c r="Z423" s="39">
        <v>31.58</v>
      </c>
      <c r="AA423" s="39">
        <v>45.33</v>
      </c>
      <c r="AB423" s="43">
        <v>36.75</v>
      </c>
      <c r="AC423" s="224"/>
      <c r="AD423" s="113"/>
      <c r="AE423" s="243">
        <v>40756</v>
      </c>
      <c r="AF423" s="5" t="s">
        <v>495</v>
      </c>
    </row>
    <row r="424" spans="1:32" ht="15" customHeight="1" x14ac:dyDescent="0.3">
      <c r="A424" s="38" t="s">
        <v>464</v>
      </c>
      <c r="B424" s="39">
        <v>33.090000000000003</v>
      </c>
      <c r="C424" s="39">
        <v>32.72</v>
      </c>
      <c r="D424" s="39">
        <v>32.86</v>
      </c>
      <c r="E424" s="39">
        <v>36</v>
      </c>
      <c r="F424" s="39">
        <v>35.479999999999997</v>
      </c>
      <c r="G424" s="39">
        <v>32.46</v>
      </c>
      <c r="H424" s="39">
        <v>37</v>
      </c>
      <c r="I424" s="39">
        <v>45.16</v>
      </c>
      <c r="J424" s="34">
        <v>31.65</v>
      </c>
      <c r="K424" s="60">
        <v>36.409999999999997</v>
      </c>
      <c r="L424" s="62"/>
      <c r="M424" s="39">
        <v>39</v>
      </c>
      <c r="N424" s="39">
        <v>51.53</v>
      </c>
      <c r="O424" s="39">
        <v>28.86</v>
      </c>
      <c r="P424" s="39">
        <v>27.8</v>
      </c>
      <c r="Q424" s="39">
        <v>33.89</v>
      </c>
      <c r="R424" s="39">
        <v>30.23</v>
      </c>
      <c r="S424" s="39">
        <v>48.84</v>
      </c>
      <c r="T424" s="39">
        <v>36.25</v>
      </c>
      <c r="U424" s="39">
        <v>35.479999999999997</v>
      </c>
      <c r="V424" s="39">
        <v>27.98</v>
      </c>
      <c r="W424" s="39">
        <v>31.99</v>
      </c>
      <c r="X424" s="39">
        <v>27.32</v>
      </c>
      <c r="Y424" s="39">
        <v>30.69</v>
      </c>
      <c r="Z424" s="39">
        <v>31.65</v>
      </c>
      <c r="AA424" s="39">
        <v>45.91</v>
      </c>
      <c r="AB424" s="43">
        <v>36.81</v>
      </c>
      <c r="AC424" s="224"/>
      <c r="AD424" s="113"/>
      <c r="AE424" s="243">
        <v>40787</v>
      </c>
      <c r="AF424" s="5" t="s">
        <v>495</v>
      </c>
    </row>
    <row r="425" spans="1:32" ht="15" customHeight="1" x14ac:dyDescent="0.3">
      <c r="A425" s="38" t="s">
        <v>465</v>
      </c>
      <c r="B425" s="39">
        <v>33.619999999999997</v>
      </c>
      <c r="C425" s="39">
        <v>33.409999999999997</v>
      </c>
      <c r="D425" s="39">
        <v>32.65</v>
      </c>
      <c r="E425" s="39">
        <v>36.5</v>
      </c>
      <c r="F425" s="39">
        <v>36.43</v>
      </c>
      <c r="G425" s="39">
        <v>32.04</v>
      </c>
      <c r="H425" s="39">
        <v>38.26</v>
      </c>
      <c r="I425" s="39">
        <v>46.34</v>
      </c>
      <c r="J425" s="34">
        <v>32.229999999999997</v>
      </c>
      <c r="K425" s="60">
        <v>33.65</v>
      </c>
      <c r="L425" s="62"/>
      <c r="M425" s="39">
        <v>39.04</v>
      </c>
      <c r="N425" s="39">
        <v>53.02</v>
      </c>
      <c r="O425" s="39">
        <v>29.4</v>
      </c>
      <c r="P425" s="39">
        <v>29.67</v>
      </c>
      <c r="Q425" s="39">
        <v>34.5</v>
      </c>
      <c r="R425" s="39">
        <v>30.06</v>
      </c>
      <c r="S425" s="39">
        <v>48.38</v>
      </c>
      <c r="T425" s="39">
        <v>37</v>
      </c>
      <c r="U425" s="39">
        <v>36.74</v>
      </c>
      <c r="V425" s="39">
        <v>28.33</v>
      </c>
      <c r="W425" s="39">
        <v>32.22</v>
      </c>
      <c r="X425" s="39">
        <v>29.9</v>
      </c>
      <c r="Y425" s="39">
        <v>32.04</v>
      </c>
      <c r="Z425" s="39">
        <v>32.01</v>
      </c>
      <c r="AA425" s="39">
        <v>46.67</v>
      </c>
      <c r="AB425" s="43">
        <v>36.799999999999997</v>
      </c>
      <c r="AC425" s="224"/>
      <c r="AD425" s="113"/>
      <c r="AE425" s="243">
        <v>40817</v>
      </c>
      <c r="AF425" s="5" t="s">
        <v>495</v>
      </c>
    </row>
    <row r="426" spans="1:32" ht="15" customHeight="1" x14ac:dyDescent="0.3">
      <c r="A426" s="38" t="s">
        <v>466</v>
      </c>
      <c r="B426" s="39">
        <v>34.17</v>
      </c>
      <c r="C426" s="39">
        <v>33.69</v>
      </c>
      <c r="D426" s="39">
        <v>32.01</v>
      </c>
      <c r="E426" s="39">
        <v>37</v>
      </c>
      <c r="F426" s="39">
        <v>36.9</v>
      </c>
      <c r="G426" s="39">
        <v>32.04</v>
      </c>
      <c r="H426" s="39">
        <v>37.97</v>
      </c>
      <c r="I426" s="39">
        <v>46.23</v>
      </c>
      <c r="J426" s="34">
        <v>32.520000000000003</v>
      </c>
      <c r="K426" s="60">
        <v>33.130000000000003</v>
      </c>
      <c r="L426" s="62"/>
      <c r="M426" s="39">
        <v>39.07</v>
      </c>
      <c r="N426" s="39">
        <v>53.85</v>
      </c>
      <c r="O426" s="39">
        <v>29.87</v>
      </c>
      <c r="P426" s="39">
        <v>30.23</v>
      </c>
      <c r="Q426" s="39">
        <v>35.08</v>
      </c>
      <c r="R426" s="39">
        <v>29.66</v>
      </c>
      <c r="S426" s="39">
        <v>48.26</v>
      </c>
      <c r="T426" s="39">
        <v>37.25</v>
      </c>
      <c r="U426" s="39">
        <v>38.03</v>
      </c>
      <c r="V426" s="39">
        <v>28.91</v>
      </c>
      <c r="W426" s="39">
        <v>32.42</v>
      </c>
      <c r="X426" s="39">
        <v>29.4</v>
      </c>
      <c r="Y426" s="39">
        <v>32.75</v>
      </c>
      <c r="Z426" s="39">
        <v>32.31</v>
      </c>
      <c r="AA426" s="39">
        <v>45.03</v>
      </c>
      <c r="AB426" s="43">
        <v>37.21</v>
      </c>
      <c r="AC426" s="224"/>
      <c r="AD426" s="113"/>
      <c r="AE426" s="243">
        <v>40848</v>
      </c>
      <c r="AF426" s="5" t="s">
        <v>495</v>
      </c>
    </row>
    <row r="427" spans="1:32" ht="15" customHeight="1" thickBot="1" x14ac:dyDescent="0.35">
      <c r="A427" s="63" t="s">
        <v>467</v>
      </c>
      <c r="B427" s="64">
        <v>33.65</v>
      </c>
      <c r="C427" s="64">
        <v>33.9</v>
      </c>
      <c r="D427" s="64">
        <v>31.98</v>
      </c>
      <c r="E427" s="64">
        <v>36.5</v>
      </c>
      <c r="F427" s="64">
        <v>35.71</v>
      </c>
      <c r="G427" s="64">
        <v>32</v>
      </c>
      <c r="H427" s="64">
        <v>35.840000000000003</v>
      </c>
      <c r="I427" s="64">
        <v>47.39</v>
      </c>
      <c r="J427" s="64">
        <v>32.82</v>
      </c>
      <c r="K427" s="64">
        <v>32.33</v>
      </c>
      <c r="L427" s="65"/>
      <c r="M427" s="64">
        <v>39.049999999999997</v>
      </c>
      <c r="N427" s="64">
        <v>53.72</v>
      </c>
      <c r="O427" s="64">
        <v>30.21</v>
      </c>
      <c r="P427" s="64">
        <v>30.1</v>
      </c>
      <c r="Q427" s="64">
        <v>34.53</v>
      </c>
      <c r="R427" s="64">
        <v>30.05</v>
      </c>
      <c r="S427" s="64">
        <v>46.61</v>
      </c>
      <c r="T427" s="64">
        <v>37.5</v>
      </c>
      <c r="U427" s="64">
        <v>38.119999999999997</v>
      </c>
      <c r="V427" s="64">
        <v>28.74</v>
      </c>
      <c r="W427" s="64">
        <v>32.17</v>
      </c>
      <c r="X427" s="64">
        <v>30.04</v>
      </c>
      <c r="Y427" s="64">
        <v>32.700000000000003</v>
      </c>
      <c r="Z427" s="64">
        <v>32.21</v>
      </c>
      <c r="AA427" s="64">
        <v>44.84</v>
      </c>
      <c r="AB427" s="67">
        <v>37.57</v>
      </c>
      <c r="AC427" s="227"/>
      <c r="AD427" s="116"/>
      <c r="AE427" s="246">
        <v>40878</v>
      </c>
      <c r="AF427" s="5" t="s">
        <v>495</v>
      </c>
    </row>
    <row r="428" spans="1:32" ht="15" customHeight="1" x14ac:dyDescent="0.3">
      <c r="A428" s="76" t="s">
        <v>479</v>
      </c>
      <c r="B428" s="77">
        <v>31.97</v>
      </c>
      <c r="C428" s="77">
        <v>33.1</v>
      </c>
      <c r="D428" s="77">
        <v>31.84</v>
      </c>
      <c r="E428" s="77">
        <v>36</v>
      </c>
      <c r="F428" s="77">
        <v>33.75</v>
      </c>
      <c r="G428" s="77">
        <v>32.729999999999997</v>
      </c>
      <c r="H428" s="77">
        <v>34.479999999999997</v>
      </c>
      <c r="I428" s="77">
        <v>47.16</v>
      </c>
      <c r="J428" s="77">
        <v>32.33</v>
      </c>
      <c r="K428" s="77">
        <v>34.21</v>
      </c>
      <c r="L428" s="78"/>
      <c r="M428" s="77">
        <v>38.950000000000003</v>
      </c>
      <c r="N428" s="77">
        <v>53.47</v>
      </c>
      <c r="O428" s="77">
        <v>30.46</v>
      </c>
      <c r="P428" s="77">
        <v>29.89</v>
      </c>
      <c r="Q428" s="77">
        <v>33.42</v>
      </c>
      <c r="R428" s="77">
        <v>30.08</v>
      </c>
      <c r="S428" s="77">
        <v>46.39</v>
      </c>
      <c r="T428" s="77">
        <v>36.5</v>
      </c>
      <c r="U428" s="77">
        <v>37.17</v>
      </c>
      <c r="V428" s="77">
        <v>28.82</v>
      </c>
      <c r="W428" s="77">
        <v>32.08</v>
      </c>
      <c r="X428" s="77">
        <v>29.34</v>
      </c>
      <c r="Y428" s="77">
        <v>32.42</v>
      </c>
      <c r="Z428" s="77">
        <v>31.72</v>
      </c>
      <c r="AA428" s="77">
        <v>45.18</v>
      </c>
      <c r="AB428" s="80">
        <v>37.159999999999997</v>
      </c>
      <c r="AC428" s="229"/>
      <c r="AD428" s="118"/>
      <c r="AE428" s="248">
        <v>40909</v>
      </c>
      <c r="AF428" s="5" t="s">
        <v>495</v>
      </c>
    </row>
    <row r="429" spans="1:32" ht="15" customHeight="1" x14ac:dyDescent="0.3">
      <c r="A429" s="38" t="s">
        <v>468</v>
      </c>
      <c r="B429" s="39">
        <v>32.130000000000003</v>
      </c>
      <c r="C429" s="39">
        <v>32.29</v>
      </c>
      <c r="D429" s="39">
        <v>32.270000000000003</v>
      </c>
      <c r="E429" s="39">
        <v>35</v>
      </c>
      <c r="F429" s="39">
        <v>33.4</v>
      </c>
      <c r="G429" s="39">
        <v>32.880000000000003</v>
      </c>
      <c r="H429" s="60">
        <v>34.28</v>
      </c>
      <c r="I429" s="39">
        <v>46.71</v>
      </c>
      <c r="J429" s="60">
        <v>32.14</v>
      </c>
      <c r="K429" s="60">
        <v>34.51</v>
      </c>
      <c r="L429" s="71"/>
      <c r="M429" s="60">
        <v>38.9</v>
      </c>
      <c r="N429" s="39">
        <v>53.33</v>
      </c>
      <c r="O429" s="39">
        <v>30.38</v>
      </c>
      <c r="P429" s="39">
        <v>30.35</v>
      </c>
      <c r="Q429" s="39">
        <v>33.770000000000003</v>
      </c>
      <c r="R429" s="39">
        <v>31.78</v>
      </c>
      <c r="S429" s="39">
        <v>46.09</v>
      </c>
      <c r="T429" s="39">
        <v>35.75</v>
      </c>
      <c r="U429" s="39">
        <v>37.08</v>
      </c>
      <c r="V429" s="39">
        <v>30.34</v>
      </c>
      <c r="W429" s="39">
        <v>31.89</v>
      </c>
      <c r="X429" s="39">
        <v>29.88</v>
      </c>
      <c r="Y429" s="39">
        <v>32.270000000000003</v>
      </c>
      <c r="Z429" s="39">
        <v>31.63</v>
      </c>
      <c r="AA429" s="39">
        <v>45.41</v>
      </c>
      <c r="AB429" s="43">
        <v>36.71</v>
      </c>
      <c r="AC429" s="224"/>
      <c r="AD429" s="113"/>
      <c r="AE429" s="243">
        <v>40940</v>
      </c>
      <c r="AF429" s="5" t="s">
        <v>495</v>
      </c>
    </row>
    <row r="430" spans="1:32" ht="15" customHeight="1" x14ac:dyDescent="0.3">
      <c r="A430" s="38" t="s">
        <v>469</v>
      </c>
      <c r="B430" s="39">
        <v>30.25</v>
      </c>
      <c r="C430" s="39">
        <v>31.69</v>
      </c>
      <c r="D430" s="39">
        <v>32.14</v>
      </c>
      <c r="E430" s="39">
        <v>34</v>
      </c>
      <c r="F430" s="39">
        <v>32.700000000000003</v>
      </c>
      <c r="G430" s="39">
        <v>32.700000000000003</v>
      </c>
      <c r="H430" s="39">
        <v>33.409999999999997</v>
      </c>
      <c r="I430" s="39">
        <v>45.87</v>
      </c>
      <c r="J430" s="34">
        <v>31.46</v>
      </c>
      <c r="K430" s="60">
        <v>32.75</v>
      </c>
      <c r="L430" s="62"/>
      <c r="M430" s="39">
        <v>38.89</v>
      </c>
      <c r="N430" s="39">
        <v>53.21</v>
      </c>
      <c r="O430" s="39">
        <v>30.27</v>
      </c>
      <c r="P430" s="39">
        <v>29.28</v>
      </c>
      <c r="Q430" s="39">
        <v>33.14</v>
      </c>
      <c r="R430" s="39">
        <v>31.29</v>
      </c>
      <c r="S430" s="39">
        <v>44.02</v>
      </c>
      <c r="T430" s="39">
        <v>34.25</v>
      </c>
      <c r="U430" s="39">
        <v>36.479999999999997</v>
      </c>
      <c r="V430" s="39">
        <v>30.25</v>
      </c>
      <c r="W430" s="39">
        <v>30.94</v>
      </c>
      <c r="X430" s="39">
        <v>28.86</v>
      </c>
      <c r="Y430" s="39">
        <v>31.44</v>
      </c>
      <c r="Z430" s="39">
        <v>30.84</v>
      </c>
      <c r="AA430" s="39">
        <v>43.35</v>
      </c>
      <c r="AB430" s="43">
        <v>35.57</v>
      </c>
      <c r="AC430" s="224"/>
      <c r="AD430" s="113"/>
      <c r="AE430" s="243">
        <v>40969</v>
      </c>
      <c r="AF430" s="5" t="s">
        <v>495</v>
      </c>
    </row>
    <row r="431" spans="1:32" ht="15" customHeight="1" x14ac:dyDescent="0.3">
      <c r="A431" s="54" t="s">
        <v>470</v>
      </c>
      <c r="B431" s="39">
        <v>28.93</v>
      </c>
      <c r="C431" s="39">
        <v>29.45</v>
      </c>
      <c r="D431" s="39">
        <v>30.71</v>
      </c>
      <c r="E431" s="39">
        <v>34</v>
      </c>
      <c r="F431" s="39">
        <v>31.95</v>
      </c>
      <c r="G431" s="39">
        <v>31.33</v>
      </c>
      <c r="H431" s="39">
        <v>30.88</v>
      </c>
      <c r="I431" s="39">
        <v>45.03</v>
      </c>
      <c r="J431" s="34">
        <v>30.78</v>
      </c>
      <c r="K431" s="60">
        <v>29.91</v>
      </c>
      <c r="L431" s="62"/>
      <c r="M431" s="39">
        <v>35.72</v>
      </c>
      <c r="N431" s="39">
        <v>52.53</v>
      </c>
      <c r="O431" s="39">
        <v>29.46</v>
      </c>
      <c r="P431" s="39">
        <v>27.01</v>
      </c>
      <c r="Q431" s="39">
        <v>32.299999999999997</v>
      </c>
      <c r="R431" s="39">
        <v>29.68</v>
      </c>
      <c r="S431" s="39">
        <v>43.92</v>
      </c>
      <c r="T431" s="39">
        <v>33.75</v>
      </c>
      <c r="U431" s="39">
        <v>34.6</v>
      </c>
      <c r="V431" s="39">
        <v>28.79</v>
      </c>
      <c r="W431" s="39">
        <v>31.18</v>
      </c>
      <c r="X431" s="39">
        <v>27.19</v>
      </c>
      <c r="Y431" s="39">
        <v>30.49</v>
      </c>
      <c r="Z431" s="39">
        <v>29.75</v>
      </c>
      <c r="AA431" s="39">
        <v>43.17</v>
      </c>
      <c r="AB431" s="43">
        <v>35.11</v>
      </c>
      <c r="AC431" s="224"/>
      <c r="AD431" s="113"/>
      <c r="AE431" s="243">
        <v>41000</v>
      </c>
      <c r="AF431" s="5" t="s">
        <v>495</v>
      </c>
    </row>
    <row r="432" spans="1:32" ht="15" customHeight="1" x14ac:dyDescent="0.3">
      <c r="A432" s="38" t="s">
        <v>471</v>
      </c>
      <c r="B432" s="39">
        <v>27.44</v>
      </c>
      <c r="C432" s="39">
        <v>29.25</v>
      </c>
      <c r="D432" s="39">
        <v>28.96</v>
      </c>
      <c r="E432" s="39">
        <v>33</v>
      </c>
      <c r="F432" s="39">
        <v>30.85</v>
      </c>
      <c r="G432" s="39">
        <v>29.64</v>
      </c>
      <c r="H432" s="39">
        <v>28.84</v>
      </c>
      <c r="I432" s="39">
        <v>44.69</v>
      </c>
      <c r="J432" s="34">
        <v>30</v>
      </c>
      <c r="K432" s="60">
        <v>29.67</v>
      </c>
      <c r="L432" s="62"/>
      <c r="M432" s="39">
        <v>35.51</v>
      </c>
      <c r="N432" s="39">
        <v>52.08</v>
      </c>
      <c r="O432" s="39">
        <v>27.43</v>
      </c>
      <c r="P432" s="39">
        <v>23.24</v>
      </c>
      <c r="Q432" s="39">
        <v>29.63</v>
      </c>
      <c r="R432" s="39">
        <v>28.48</v>
      </c>
      <c r="S432" s="39">
        <v>44.41</v>
      </c>
      <c r="T432" s="39">
        <v>32.75</v>
      </c>
      <c r="U432" s="39">
        <v>33.729999999999997</v>
      </c>
      <c r="V432" s="39">
        <v>27.46</v>
      </c>
      <c r="W432" s="39">
        <v>30.84</v>
      </c>
      <c r="X432" s="39">
        <v>25.46</v>
      </c>
      <c r="Y432" s="39">
        <v>29.75</v>
      </c>
      <c r="Z432" s="39">
        <v>28.83</v>
      </c>
      <c r="AA432" s="39">
        <v>42.93</v>
      </c>
      <c r="AB432" s="43">
        <v>34.26</v>
      </c>
      <c r="AC432" s="224"/>
      <c r="AD432" s="113"/>
      <c r="AE432" s="243">
        <v>41030</v>
      </c>
      <c r="AF432" s="5" t="s">
        <v>495</v>
      </c>
    </row>
    <row r="433" spans="1:32" ht="15" customHeight="1" x14ac:dyDescent="0.3">
      <c r="A433" s="38" t="s">
        <v>472</v>
      </c>
      <c r="B433" s="39">
        <v>26.66</v>
      </c>
      <c r="C433" s="39">
        <v>28.22</v>
      </c>
      <c r="D433" s="39">
        <v>27.73</v>
      </c>
      <c r="E433" s="39">
        <v>32.5</v>
      </c>
      <c r="F433" s="39">
        <v>29.15</v>
      </c>
      <c r="G433" s="39">
        <v>28.52</v>
      </c>
      <c r="H433" s="39">
        <v>28.75</v>
      </c>
      <c r="I433" s="39">
        <v>43.65</v>
      </c>
      <c r="J433" s="34">
        <v>29.71</v>
      </c>
      <c r="K433" s="60">
        <v>32.21</v>
      </c>
      <c r="L433" s="62"/>
      <c r="M433" s="39">
        <v>35.44</v>
      </c>
      <c r="N433" s="39">
        <v>51.91</v>
      </c>
      <c r="O433" s="39">
        <v>25.58</v>
      </c>
      <c r="P433" s="39">
        <v>22.53</v>
      </c>
      <c r="Q433" s="39">
        <v>27.89</v>
      </c>
      <c r="R433" s="39">
        <v>27.6</v>
      </c>
      <c r="S433" s="39">
        <v>48.15</v>
      </c>
      <c r="T433" s="39">
        <v>32</v>
      </c>
      <c r="U433" s="39">
        <v>31.71</v>
      </c>
      <c r="V433" s="39">
        <v>26.84</v>
      </c>
      <c r="W433" s="39">
        <v>29.21</v>
      </c>
      <c r="X433" s="39">
        <v>24.72</v>
      </c>
      <c r="Y433" s="39">
        <v>29.01</v>
      </c>
      <c r="Z433" s="39">
        <v>27.69</v>
      </c>
      <c r="AA433" s="39">
        <v>44.56</v>
      </c>
      <c r="AB433" s="43">
        <v>34.33</v>
      </c>
      <c r="AC433" s="224"/>
      <c r="AD433" s="113"/>
      <c r="AE433" s="243">
        <v>41061</v>
      </c>
      <c r="AF433" s="5" t="s">
        <v>495</v>
      </c>
    </row>
    <row r="434" spans="1:32" ht="15" customHeight="1" x14ac:dyDescent="0.3">
      <c r="A434" s="38" t="s">
        <v>473</v>
      </c>
      <c r="B434" s="39">
        <v>26.33</v>
      </c>
      <c r="C434" s="39">
        <v>28.09</v>
      </c>
      <c r="D434" s="39">
        <v>27.51</v>
      </c>
      <c r="E434" s="39">
        <v>32</v>
      </c>
      <c r="F434" s="39">
        <v>29.04</v>
      </c>
      <c r="G434" s="39">
        <v>27.33</v>
      </c>
      <c r="H434" s="39">
        <v>28.45</v>
      </c>
      <c r="I434" s="39">
        <v>43.89</v>
      </c>
      <c r="J434" s="34">
        <v>29.32</v>
      </c>
      <c r="K434" s="60">
        <v>32.659999999999997</v>
      </c>
      <c r="L434" s="62"/>
      <c r="M434" s="39">
        <v>35.82</v>
      </c>
      <c r="N434" s="39">
        <v>51.97</v>
      </c>
      <c r="O434" s="39">
        <v>25.06</v>
      </c>
      <c r="P434" s="39">
        <v>21.97</v>
      </c>
      <c r="Q434" s="39">
        <v>27.23</v>
      </c>
      <c r="R434" s="39">
        <v>27.66</v>
      </c>
      <c r="S434" s="39">
        <v>49.38</v>
      </c>
      <c r="T434" s="39">
        <v>32</v>
      </c>
      <c r="U434" s="39">
        <v>31.04</v>
      </c>
      <c r="V434" s="39">
        <v>27.34</v>
      </c>
      <c r="W434" s="39">
        <v>29.1</v>
      </c>
      <c r="X434" s="39">
        <v>24.18</v>
      </c>
      <c r="Y434" s="39">
        <v>28.11</v>
      </c>
      <c r="Z434" s="39">
        <v>27.18</v>
      </c>
      <c r="AA434" s="39">
        <v>44.28</v>
      </c>
      <c r="AB434" s="43">
        <v>34.67</v>
      </c>
      <c r="AC434" s="224"/>
      <c r="AD434" s="113"/>
      <c r="AE434" s="243">
        <v>41091</v>
      </c>
      <c r="AF434" s="5" t="s">
        <v>495</v>
      </c>
    </row>
    <row r="435" spans="1:32" ht="15" customHeight="1" x14ac:dyDescent="0.3">
      <c r="A435" s="38" t="s">
        <v>474</v>
      </c>
      <c r="B435" s="39">
        <v>28.03</v>
      </c>
      <c r="C435" s="39">
        <v>28.58</v>
      </c>
      <c r="D435" s="39">
        <v>28.06</v>
      </c>
      <c r="E435" s="39">
        <v>32</v>
      </c>
      <c r="F435" s="39">
        <v>29.13</v>
      </c>
      <c r="G435" s="39">
        <v>27.37</v>
      </c>
      <c r="H435" s="39">
        <v>29.72</v>
      </c>
      <c r="I435" s="39">
        <v>44.79</v>
      </c>
      <c r="J435" s="34">
        <v>29.32</v>
      </c>
      <c r="K435" s="60">
        <v>32.119999999999997</v>
      </c>
      <c r="L435" s="62"/>
      <c r="M435" s="39">
        <v>36.119999999999997</v>
      </c>
      <c r="N435" s="39">
        <v>51.83</v>
      </c>
      <c r="O435" s="39">
        <v>25</v>
      </c>
      <c r="P435" s="39">
        <v>22.34</v>
      </c>
      <c r="Q435" s="39">
        <v>28.01</v>
      </c>
      <c r="R435" s="39">
        <v>28.45</v>
      </c>
      <c r="S435" s="39">
        <v>50.38</v>
      </c>
      <c r="T435" s="39">
        <v>32</v>
      </c>
      <c r="U435" s="39">
        <v>30.66</v>
      </c>
      <c r="V435" s="39">
        <v>28.19</v>
      </c>
      <c r="W435" s="39">
        <v>29.27</v>
      </c>
      <c r="X435" s="39">
        <v>24.79</v>
      </c>
      <c r="Y435" s="39">
        <v>28.19</v>
      </c>
      <c r="Z435" s="39">
        <v>27.24</v>
      </c>
      <c r="AA435" s="39">
        <v>46.12</v>
      </c>
      <c r="AB435" s="43">
        <v>35.65</v>
      </c>
      <c r="AC435" s="224"/>
      <c r="AD435" s="113"/>
      <c r="AE435" s="243">
        <v>41122</v>
      </c>
      <c r="AF435" s="5" t="s">
        <v>495</v>
      </c>
    </row>
    <row r="436" spans="1:32" ht="15" customHeight="1" x14ac:dyDescent="0.3">
      <c r="A436" s="38" t="s">
        <v>475</v>
      </c>
      <c r="B436" s="39">
        <v>29.85</v>
      </c>
      <c r="C436" s="39">
        <v>29.58</v>
      </c>
      <c r="D436" s="39">
        <v>28.72</v>
      </c>
      <c r="E436" s="39">
        <v>33</v>
      </c>
      <c r="F436" s="39">
        <v>30.84</v>
      </c>
      <c r="G436" s="39">
        <v>27.77</v>
      </c>
      <c r="H436" s="39">
        <v>33.31</v>
      </c>
      <c r="I436" s="39">
        <v>43.71</v>
      </c>
      <c r="J436" s="34">
        <v>30.49</v>
      </c>
      <c r="K436" s="60">
        <v>32.28</v>
      </c>
      <c r="L436" s="62"/>
      <c r="M436" s="39">
        <v>36.43</v>
      </c>
      <c r="N436" s="39">
        <v>52.56</v>
      </c>
      <c r="O436" s="39">
        <v>25.38</v>
      </c>
      <c r="P436" s="39">
        <v>24.48</v>
      </c>
      <c r="Q436" s="39">
        <v>29.41</v>
      </c>
      <c r="R436" s="39">
        <v>28.69</v>
      </c>
      <c r="S436" s="39">
        <v>50.38</v>
      </c>
      <c r="T436" s="39">
        <v>32</v>
      </c>
      <c r="U436" s="39">
        <v>31.72</v>
      </c>
      <c r="V436" s="39">
        <v>28.13</v>
      </c>
      <c r="W436" s="39">
        <v>29.6</v>
      </c>
      <c r="X436" s="39">
        <v>26.21</v>
      </c>
      <c r="Y436" s="39">
        <v>29.13</v>
      </c>
      <c r="Z436" s="39">
        <v>28.06</v>
      </c>
      <c r="AA436" s="39">
        <v>46.68</v>
      </c>
      <c r="AB436" s="43">
        <v>35.72</v>
      </c>
      <c r="AC436" s="224"/>
      <c r="AD436" s="113"/>
      <c r="AE436" s="243">
        <v>41153</v>
      </c>
      <c r="AF436" s="5" t="s">
        <v>495</v>
      </c>
    </row>
    <row r="437" spans="1:32" ht="15" customHeight="1" x14ac:dyDescent="0.3">
      <c r="A437" s="38" t="s">
        <v>476</v>
      </c>
      <c r="B437" s="39">
        <v>32.24</v>
      </c>
      <c r="C437" s="39">
        <v>30.93</v>
      </c>
      <c r="D437" s="39">
        <v>29.19</v>
      </c>
      <c r="E437" s="39">
        <v>35</v>
      </c>
      <c r="F437" s="39">
        <v>33.6</v>
      </c>
      <c r="G437" s="39">
        <v>28.54</v>
      </c>
      <c r="H437" s="39">
        <v>35.74</v>
      </c>
      <c r="I437" s="39">
        <v>45.33</v>
      </c>
      <c r="J437" s="34">
        <v>31.26</v>
      </c>
      <c r="K437" s="60">
        <v>31.23</v>
      </c>
      <c r="L437" s="62"/>
      <c r="M437" s="39">
        <v>36.81</v>
      </c>
      <c r="N437" s="39">
        <v>52.97</v>
      </c>
      <c r="O437" s="39">
        <v>26.52</v>
      </c>
      <c r="P437" s="39">
        <v>27.82</v>
      </c>
      <c r="Q437" s="39">
        <v>31.91</v>
      </c>
      <c r="R437" s="39">
        <v>30.65</v>
      </c>
      <c r="S437" s="39">
        <v>52.58</v>
      </c>
      <c r="T437" s="39">
        <v>32.75</v>
      </c>
      <c r="U437" s="39">
        <v>32.74</v>
      </c>
      <c r="V437" s="39">
        <v>28.95</v>
      </c>
      <c r="W437" s="39">
        <v>29.96</v>
      </c>
      <c r="X437" s="39">
        <v>27.64</v>
      </c>
      <c r="Y437" s="39">
        <v>29.81</v>
      </c>
      <c r="Z437" s="39">
        <v>29.33</v>
      </c>
      <c r="AA437" s="39">
        <v>47.16</v>
      </c>
      <c r="AB437" s="43">
        <v>35.53</v>
      </c>
      <c r="AC437" s="224"/>
      <c r="AD437" s="113"/>
      <c r="AE437" s="243">
        <v>41183</v>
      </c>
      <c r="AF437" s="5" t="s">
        <v>495</v>
      </c>
    </row>
    <row r="438" spans="1:32" ht="15" customHeight="1" x14ac:dyDescent="0.3">
      <c r="A438" s="38" t="s">
        <v>477</v>
      </c>
      <c r="B438" s="39">
        <v>33.840000000000003</v>
      </c>
      <c r="C438" s="39">
        <v>31.5</v>
      </c>
      <c r="D438" s="39">
        <v>29.49</v>
      </c>
      <c r="E438" s="39">
        <v>36.5</v>
      </c>
      <c r="F438" s="39">
        <v>34.97</v>
      </c>
      <c r="G438" s="39">
        <v>29.99</v>
      </c>
      <c r="H438" s="39">
        <v>35.93</v>
      </c>
      <c r="I438" s="39">
        <v>45.12</v>
      </c>
      <c r="J438" s="34">
        <v>31.75</v>
      </c>
      <c r="K438" s="60">
        <v>31.37</v>
      </c>
      <c r="L438" s="62"/>
      <c r="M438" s="39">
        <v>37.049999999999997</v>
      </c>
      <c r="N438" s="39">
        <v>53.17</v>
      </c>
      <c r="O438" s="39">
        <v>27.55</v>
      </c>
      <c r="P438" s="39">
        <v>29.16</v>
      </c>
      <c r="Q438" s="39">
        <v>33.119999999999997</v>
      </c>
      <c r="R438" s="39">
        <v>31.68</v>
      </c>
      <c r="S438" s="39">
        <v>55.5</v>
      </c>
      <c r="T438" s="39">
        <v>35</v>
      </c>
      <c r="U438" s="39">
        <v>34.049999999999997</v>
      </c>
      <c r="V438" s="39">
        <v>29.73</v>
      </c>
      <c r="W438" s="39">
        <v>31.51</v>
      </c>
      <c r="X438" s="39">
        <v>28.88</v>
      </c>
      <c r="Y438" s="39">
        <v>30.39</v>
      </c>
      <c r="Z438" s="39">
        <v>30.43</v>
      </c>
      <c r="AA438" s="39">
        <v>45.45</v>
      </c>
      <c r="AB438" s="43">
        <v>36.380000000000003</v>
      </c>
      <c r="AC438" s="224"/>
      <c r="AD438" s="113"/>
      <c r="AE438" s="243">
        <v>41214</v>
      </c>
      <c r="AF438" s="5" t="s">
        <v>495</v>
      </c>
    </row>
    <row r="439" spans="1:32" ht="15" customHeight="1" thickBot="1" x14ac:dyDescent="0.35">
      <c r="A439" s="63" t="s">
        <v>478</v>
      </c>
      <c r="B439" s="64">
        <v>34.56</v>
      </c>
      <c r="C439" s="64">
        <v>33.020000000000003</v>
      </c>
      <c r="D439" s="64">
        <v>30.1</v>
      </c>
      <c r="E439" s="64">
        <v>35.5</v>
      </c>
      <c r="F439" s="64">
        <v>35.020000000000003</v>
      </c>
      <c r="G439" s="64">
        <v>31.71</v>
      </c>
      <c r="H439" s="64">
        <v>33.700000000000003</v>
      </c>
      <c r="I439" s="64">
        <v>44.98</v>
      </c>
      <c r="J439" s="64">
        <v>32.14</v>
      </c>
      <c r="K439" s="64">
        <v>30.55</v>
      </c>
      <c r="L439" s="65"/>
      <c r="M439" s="64">
        <v>38.04</v>
      </c>
      <c r="N439" s="64">
        <v>53.22</v>
      </c>
      <c r="O439" s="64">
        <v>28.51</v>
      </c>
      <c r="P439" s="64">
        <v>30.25</v>
      </c>
      <c r="Q439" s="64">
        <v>34.090000000000003</v>
      </c>
      <c r="R439" s="64">
        <v>31.98</v>
      </c>
      <c r="S439" s="64">
        <v>54.24</v>
      </c>
      <c r="T439" s="64">
        <v>36.9</v>
      </c>
      <c r="U439" s="64">
        <v>34.86</v>
      </c>
      <c r="V439" s="64">
        <v>30.1</v>
      </c>
      <c r="W439" s="64">
        <v>31.5</v>
      </c>
      <c r="X439" s="64">
        <v>29.84</v>
      </c>
      <c r="Y439" s="64">
        <v>30.71</v>
      </c>
      <c r="Z439" s="64">
        <v>31.03</v>
      </c>
      <c r="AA439" s="64">
        <v>45.29</v>
      </c>
      <c r="AB439" s="67">
        <v>38.04</v>
      </c>
      <c r="AC439" s="227"/>
      <c r="AD439" s="116"/>
      <c r="AE439" s="246">
        <v>41244</v>
      </c>
      <c r="AF439" s="5" t="s">
        <v>495</v>
      </c>
    </row>
    <row r="440" spans="1:32" ht="15" customHeight="1" x14ac:dyDescent="0.3">
      <c r="A440" s="76" t="s">
        <v>480</v>
      </c>
      <c r="B440" s="77">
        <v>34.01</v>
      </c>
      <c r="C440" s="77">
        <v>34</v>
      </c>
      <c r="D440" s="77">
        <v>32</v>
      </c>
      <c r="E440" s="77">
        <v>35.5</v>
      </c>
      <c r="F440" s="77">
        <v>34.770000000000003</v>
      </c>
      <c r="G440" s="77">
        <v>32.19</v>
      </c>
      <c r="H440" s="77">
        <v>33.89</v>
      </c>
      <c r="I440" s="77">
        <v>45.49</v>
      </c>
      <c r="J440" s="77">
        <v>32.72</v>
      </c>
      <c r="K440" s="77">
        <v>32.619999999999997</v>
      </c>
      <c r="L440" s="78"/>
      <c r="M440" s="77">
        <v>37.840000000000003</v>
      </c>
      <c r="N440" s="77">
        <v>58.86</v>
      </c>
      <c r="O440" s="77">
        <v>28.95</v>
      </c>
      <c r="P440" s="77">
        <v>30.41</v>
      </c>
      <c r="Q440" s="77">
        <v>33.54</v>
      </c>
      <c r="R440" s="77">
        <v>31.33</v>
      </c>
      <c r="S440" s="77">
        <v>52.62</v>
      </c>
      <c r="T440" s="77">
        <v>35.700000000000003</v>
      </c>
      <c r="U440" s="77">
        <v>35.159999999999997</v>
      </c>
      <c r="V440" s="77">
        <v>29.75</v>
      </c>
      <c r="W440" s="77">
        <v>31.96</v>
      </c>
      <c r="X440" s="77">
        <v>30.82</v>
      </c>
      <c r="Y440" s="77">
        <v>30.76</v>
      </c>
      <c r="Z440" s="77">
        <v>31.4</v>
      </c>
      <c r="AA440" s="77">
        <v>45.21</v>
      </c>
      <c r="AB440" s="80">
        <v>37.01</v>
      </c>
      <c r="AC440" s="229"/>
      <c r="AD440" s="118"/>
      <c r="AE440" s="248">
        <v>41275</v>
      </c>
      <c r="AF440" s="5" t="s">
        <v>495</v>
      </c>
    </row>
    <row r="441" spans="1:32" ht="15" customHeight="1" x14ac:dyDescent="0.3">
      <c r="A441" s="38" t="s">
        <v>481</v>
      </c>
      <c r="B441" s="39">
        <v>33.869999999999997</v>
      </c>
      <c r="C441" s="39">
        <v>32.99</v>
      </c>
      <c r="D441" s="39">
        <v>31.4</v>
      </c>
      <c r="E441" s="39">
        <v>35.5</v>
      </c>
      <c r="F441" s="39">
        <v>34.58</v>
      </c>
      <c r="G441" s="39">
        <v>32.520000000000003</v>
      </c>
      <c r="H441" s="60">
        <v>33.21</v>
      </c>
      <c r="I441" s="39">
        <v>44.54</v>
      </c>
      <c r="J441" s="39">
        <v>32.72</v>
      </c>
      <c r="K441" s="60">
        <v>32.89</v>
      </c>
      <c r="L441" s="71"/>
      <c r="M441" s="60">
        <v>37.840000000000003</v>
      </c>
      <c r="N441" s="39">
        <v>57.81</v>
      </c>
      <c r="O441" s="39">
        <v>29.22</v>
      </c>
      <c r="P441" s="39">
        <v>30.3</v>
      </c>
      <c r="Q441" s="39">
        <v>33.61</v>
      </c>
      <c r="R441" s="39">
        <v>31.53</v>
      </c>
      <c r="S441" s="39">
        <v>52.41</v>
      </c>
      <c r="T441" s="39">
        <v>35</v>
      </c>
      <c r="U441" s="39">
        <v>35.369999999999997</v>
      </c>
      <c r="V441" s="39">
        <v>29.63</v>
      </c>
      <c r="W441" s="39">
        <v>32.03</v>
      </c>
      <c r="X441" s="39">
        <v>30.56</v>
      </c>
      <c r="Y441" s="39">
        <v>30.75</v>
      </c>
      <c r="Z441" s="39">
        <v>31.66</v>
      </c>
      <c r="AA441" s="39">
        <v>45.12</v>
      </c>
      <c r="AB441" s="43">
        <v>37.32</v>
      </c>
      <c r="AC441" s="224"/>
      <c r="AD441" s="113"/>
      <c r="AE441" s="243">
        <v>41306</v>
      </c>
      <c r="AF441" s="5" t="s">
        <v>495</v>
      </c>
    </row>
    <row r="442" spans="1:32" ht="15" customHeight="1" x14ac:dyDescent="0.3">
      <c r="A442" s="38" t="s">
        <v>482</v>
      </c>
      <c r="B442" s="39">
        <v>34.369999999999997</v>
      </c>
      <c r="C442" s="39">
        <v>33.68</v>
      </c>
      <c r="D442" s="39">
        <v>31.75</v>
      </c>
      <c r="E442" s="39">
        <v>36</v>
      </c>
      <c r="F442" s="39">
        <v>34.68</v>
      </c>
      <c r="G442" s="39">
        <v>32.97</v>
      </c>
      <c r="H442" s="39">
        <v>34.090000000000003</v>
      </c>
      <c r="I442" s="39">
        <v>44.35</v>
      </c>
      <c r="J442" s="39">
        <v>32.82</v>
      </c>
      <c r="K442" s="60">
        <v>32.11</v>
      </c>
      <c r="L442" s="62"/>
      <c r="M442" s="39">
        <v>37.840000000000003</v>
      </c>
      <c r="N442" s="39">
        <v>57.83</v>
      </c>
      <c r="O442" s="39">
        <v>29.45</v>
      </c>
      <c r="P442" s="39">
        <v>30.47</v>
      </c>
      <c r="Q442" s="39">
        <v>34</v>
      </c>
      <c r="R442" s="39">
        <v>30.56</v>
      </c>
      <c r="S442" s="39">
        <v>52.16</v>
      </c>
      <c r="T442" s="39">
        <v>34.5</v>
      </c>
      <c r="U442" s="39">
        <v>35.630000000000003</v>
      </c>
      <c r="V442" s="39">
        <v>30.02</v>
      </c>
      <c r="W442" s="39">
        <v>32</v>
      </c>
      <c r="X442" s="39">
        <v>30.74</v>
      </c>
      <c r="Y442" s="39">
        <v>30.92</v>
      </c>
      <c r="Z442" s="39">
        <v>31.73</v>
      </c>
      <c r="AA442" s="39">
        <v>43.36</v>
      </c>
      <c r="AB442" s="43">
        <v>38.659999999999997</v>
      </c>
      <c r="AC442" s="224"/>
      <c r="AD442" s="113"/>
      <c r="AE442" s="243">
        <v>41334</v>
      </c>
      <c r="AF442" s="5" t="s">
        <v>495</v>
      </c>
    </row>
    <row r="443" spans="1:32" ht="15" customHeight="1" x14ac:dyDescent="0.3">
      <c r="A443" s="54" t="s">
        <v>483</v>
      </c>
      <c r="B443" s="39">
        <v>35.21</v>
      </c>
      <c r="C443" s="39">
        <v>33.700000000000003</v>
      </c>
      <c r="D443" s="39">
        <v>31.8</v>
      </c>
      <c r="E443" s="39">
        <v>36</v>
      </c>
      <c r="F443" s="39">
        <v>34.65</v>
      </c>
      <c r="G443" s="39">
        <v>32.54</v>
      </c>
      <c r="H443" s="39">
        <v>34.479999999999997</v>
      </c>
      <c r="I443" s="39">
        <v>44.05</v>
      </c>
      <c r="J443" s="39">
        <v>32.619999999999997</v>
      </c>
      <c r="K443" s="60">
        <v>31.23</v>
      </c>
      <c r="L443" s="62"/>
      <c r="M443" s="39">
        <v>37.950000000000003</v>
      </c>
      <c r="N443" s="39">
        <v>57.6</v>
      </c>
      <c r="O443" s="39">
        <v>29.62</v>
      </c>
      <c r="P443" s="39">
        <v>28.93</v>
      </c>
      <c r="Q443" s="39">
        <v>33.92</v>
      </c>
      <c r="R443" s="39">
        <v>30.87</v>
      </c>
      <c r="S443" s="39">
        <v>51.92</v>
      </c>
      <c r="T443" s="39">
        <v>37</v>
      </c>
      <c r="U443" s="39">
        <v>35.340000000000003</v>
      </c>
      <c r="V443" s="39">
        <v>30.26</v>
      </c>
      <c r="W443" s="39">
        <v>32.950000000000003</v>
      </c>
      <c r="X443" s="39">
        <v>29.22</v>
      </c>
      <c r="Y443" s="39">
        <v>31.1</v>
      </c>
      <c r="Z443" s="39">
        <v>31.78</v>
      </c>
      <c r="AA443" s="39">
        <v>43.47</v>
      </c>
      <c r="AB443" s="43">
        <v>38.28</v>
      </c>
      <c r="AC443" s="224"/>
      <c r="AD443" s="113"/>
      <c r="AE443" s="243">
        <v>41365</v>
      </c>
      <c r="AF443" s="5" t="s">
        <v>495</v>
      </c>
    </row>
    <row r="444" spans="1:32" ht="15" customHeight="1" x14ac:dyDescent="0.3">
      <c r="A444" s="38" t="s">
        <v>484</v>
      </c>
      <c r="B444" s="39">
        <v>35.71</v>
      </c>
      <c r="C444" s="39">
        <v>33.04</v>
      </c>
      <c r="D444" s="39">
        <v>32.03</v>
      </c>
      <c r="E444" s="39">
        <v>36.5</v>
      </c>
      <c r="F444" s="39">
        <v>32.99</v>
      </c>
      <c r="G444" s="39">
        <v>32.65</v>
      </c>
      <c r="H444" s="39">
        <v>36.22</v>
      </c>
      <c r="I444" s="39">
        <v>43.59</v>
      </c>
      <c r="J444" s="34">
        <v>32.619999999999997</v>
      </c>
      <c r="K444" s="60">
        <v>31.98</v>
      </c>
      <c r="L444" s="62"/>
      <c r="M444" s="39">
        <v>38.159999999999997</v>
      </c>
      <c r="N444" s="39">
        <v>56.8</v>
      </c>
      <c r="O444" s="39">
        <v>29.67</v>
      </c>
      <c r="P444" s="39">
        <v>28.82</v>
      </c>
      <c r="Q444" s="39">
        <v>34.4</v>
      </c>
      <c r="R444" s="39">
        <v>31.38</v>
      </c>
      <c r="S444" s="39">
        <v>52.72</v>
      </c>
      <c r="T444" s="39">
        <v>39.5</v>
      </c>
      <c r="U444" s="39">
        <v>35.93</v>
      </c>
      <c r="V444" s="39">
        <v>30.03</v>
      </c>
      <c r="W444" s="39">
        <v>31.6</v>
      </c>
      <c r="X444" s="39">
        <v>28.92</v>
      </c>
      <c r="Y444" s="39">
        <v>31.12</v>
      </c>
      <c r="Z444" s="39">
        <v>31.54</v>
      </c>
      <c r="AA444" s="39">
        <v>43.04</v>
      </c>
      <c r="AB444" s="43">
        <v>38.630000000000003</v>
      </c>
      <c r="AC444" s="224"/>
      <c r="AD444" s="113"/>
      <c r="AE444" s="243">
        <v>41395</v>
      </c>
      <c r="AF444" s="5" t="s">
        <v>495</v>
      </c>
    </row>
    <row r="445" spans="1:32" ht="15" customHeight="1" thickBot="1" x14ac:dyDescent="0.35">
      <c r="A445" s="38" t="s">
        <v>485</v>
      </c>
      <c r="B445" s="39">
        <v>36.130000000000003</v>
      </c>
      <c r="C445" s="39">
        <v>29.819351539434841</v>
      </c>
      <c r="D445" s="39">
        <v>32.020000000000003</v>
      </c>
      <c r="E445" s="39">
        <v>38</v>
      </c>
      <c r="F445" s="39">
        <v>36.1</v>
      </c>
      <c r="G445" s="39">
        <v>32.79</v>
      </c>
      <c r="H445" s="39">
        <v>37.1</v>
      </c>
      <c r="I445" s="39">
        <v>43.53</v>
      </c>
      <c r="J445" s="39">
        <v>32.909999999999997</v>
      </c>
      <c r="K445" s="39">
        <v>34.51</v>
      </c>
      <c r="L445" s="62"/>
      <c r="M445" s="39">
        <v>38.32</v>
      </c>
      <c r="N445" s="39">
        <v>56.8</v>
      </c>
      <c r="O445" s="39">
        <v>29.38</v>
      </c>
      <c r="P445" s="39">
        <v>28.59</v>
      </c>
      <c r="Q445" s="39">
        <v>35.409999999999997</v>
      </c>
      <c r="R445" s="39">
        <v>31.32</v>
      </c>
      <c r="S445" s="39">
        <v>54.91</v>
      </c>
      <c r="T445" s="39">
        <v>40</v>
      </c>
      <c r="U445" s="39">
        <v>36.200000000000003</v>
      </c>
      <c r="V445" s="39">
        <v>29.48</v>
      </c>
      <c r="W445" s="39">
        <v>32.49</v>
      </c>
      <c r="X445" s="39">
        <v>27.12</v>
      </c>
      <c r="Y445" s="39">
        <v>31.14</v>
      </c>
      <c r="Z445" s="39">
        <v>31.72</v>
      </c>
      <c r="AA445" s="39">
        <v>44.35</v>
      </c>
      <c r="AB445" s="43">
        <v>39.32</v>
      </c>
      <c r="AC445" s="224"/>
      <c r="AD445" s="113"/>
      <c r="AE445" s="249">
        <v>41426</v>
      </c>
      <c r="AF445" s="5" t="s">
        <v>495</v>
      </c>
    </row>
    <row r="446" spans="1:32" ht="15" customHeight="1" x14ac:dyDescent="0.3">
      <c r="A446" s="54" t="s">
        <v>486</v>
      </c>
      <c r="B446" s="81">
        <v>35.97</v>
      </c>
      <c r="C446" s="81">
        <v>32.76</v>
      </c>
      <c r="D446" s="81">
        <v>32.229999999999997</v>
      </c>
      <c r="E446" s="81">
        <v>38</v>
      </c>
      <c r="F446" s="81">
        <v>37.56</v>
      </c>
      <c r="G446" s="81">
        <v>33.08</v>
      </c>
      <c r="H446" s="81">
        <v>36.81</v>
      </c>
      <c r="I446" s="81">
        <v>44.02</v>
      </c>
      <c r="J446" s="81">
        <v>33.590000000000003</v>
      </c>
      <c r="K446" s="81">
        <v>36.090000000000003</v>
      </c>
      <c r="L446" s="82">
        <v>34.54</v>
      </c>
      <c r="M446" s="82">
        <v>38.53</v>
      </c>
      <c r="N446" s="81">
        <v>56.34</v>
      </c>
      <c r="O446" s="81">
        <v>29.49</v>
      </c>
      <c r="P446" s="81">
        <v>29.25</v>
      </c>
      <c r="Q446" s="81">
        <v>35.229999999999997</v>
      </c>
      <c r="R446" s="81">
        <v>31.54</v>
      </c>
      <c r="S446" s="81">
        <v>56.07</v>
      </c>
      <c r="T446" s="81">
        <v>40</v>
      </c>
      <c r="U446" s="81">
        <v>36.49</v>
      </c>
      <c r="V446" s="81">
        <v>30.21</v>
      </c>
      <c r="W446" s="81">
        <v>32.51</v>
      </c>
      <c r="X446" s="81">
        <v>27.81</v>
      </c>
      <c r="Y446" s="81">
        <v>31.23</v>
      </c>
      <c r="Z446" s="81">
        <v>32.020000000000003</v>
      </c>
      <c r="AA446" s="81">
        <v>44.17</v>
      </c>
      <c r="AB446" s="83">
        <v>39.15</v>
      </c>
      <c r="AC446" s="220">
        <v>36.423268772063736</v>
      </c>
      <c r="AD446" s="119"/>
      <c r="AE446" s="242">
        <v>41456</v>
      </c>
      <c r="AF446" s="5" t="s">
        <v>495</v>
      </c>
    </row>
    <row r="447" spans="1:32" ht="15" customHeight="1" x14ac:dyDescent="0.3">
      <c r="A447" s="38" t="s">
        <v>487</v>
      </c>
      <c r="B447" s="84">
        <v>37.26</v>
      </c>
      <c r="C447" s="84">
        <v>33.26</v>
      </c>
      <c r="D447" s="84">
        <v>32.79</v>
      </c>
      <c r="E447" s="84">
        <v>38</v>
      </c>
      <c r="F447" s="84">
        <v>37.700000000000003</v>
      </c>
      <c r="G447" s="84">
        <v>33.32</v>
      </c>
      <c r="H447" s="84">
        <v>39.33</v>
      </c>
      <c r="I447" s="81">
        <v>44.51</v>
      </c>
      <c r="J447" s="81">
        <v>33.880000000000003</v>
      </c>
      <c r="K447" s="85">
        <v>36.32</v>
      </c>
      <c r="L447" s="85">
        <v>34.35</v>
      </c>
      <c r="M447" s="85">
        <v>39.520000000000003</v>
      </c>
      <c r="N447" s="84">
        <v>56.23</v>
      </c>
      <c r="O447" s="84">
        <v>30.2</v>
      </c>
      <c r="P447" s="84">
        <v>30.41</v>
      </c>
      <c r="Q447" s="84">
        <v>36.03</v>
      </c>
      <c r="R447" s="84">
        <v>31.55</v>
      </c>
      <c r="S447" s="84">
        <v>53.62</v>
      </c>
      <c r="T447" s="84">
        <v>40</v>
      </c>
      <c r="U447" s="84">
        <v>37.520000000000003</v>
      </c>
      <c r="V447" s="84">
        <v>31.17</v>
      </c>
      <c r="W447" s="84">
        <v>32.71</v>
      </c>
      <c r="X447" s="84">
        <v>27.77</v>
      </c>
      <c r="Y447" s="84">
        <v>31.68</v>
      </c>
      <c r="Z447" s="84">
        <v>32.28</v>
      </c>
      <c r="AA447" s="84">
        <v>47.97</v>
      </c>
      <c r="AB447" s="86">
        <v>39.049999999999997</v>
      </c>
      <c r="AC447" s="230">
        <v>36.939274878351291</v>
      </c>
      <c r="AD447" s="126">
        <v>1.4166935689290172E-2</v>
      </c>
      <c r="AE447" s="243">
        <v>41487</v>
      </c>
      <c r="AF447" s="5" t="s">
        <v>495</v>
      </c>
    </row>
    <row r="448" spans="1:32" ht="15" customHeight="1" x14ac:dyDescent="0.3">
      <c r="A448" s="38" t="s">
        <v>488</v>
      </c>
      <c r="B448" s="84">
        <v>39.58</v>
      </c>
      <c r="C448" s="84">
        <v>33.78</v>
      </c>
      <c r="D448" s="84">
        <v>33.94</v>
      </c>
      <c r="E448" s="84">
        <v>40.5</v>
      </c>
      <c r="F448" s="84">
        <v>40</v>
      </c>
      <c r="G448" s="84">
        <v>34.49</v>
      </c>
      <c r="H448" s="84">
        <v>42.34</v>
      </c>
      <c r="I448" s="81">
        <v>44.05</v>
      </c>
      <c r="J448" s="81">
        <v>34.950000000000003</v>
      </c>
      <c r="K448" s="85">
        <v>37.08</v>
      </c>
      <c r="L448" s="85">
        <v>36.020000000000003</v>
      </c>
      <c r="M448" s="85">
        <v>39.82</v>
      </c>
      <c r="N448" s="84">
        <v>57.07</v>
      </c>
      <c r="O448" s="84">
        <v>31.47</v>
      </c>
      <c r="P448" s="84">
        <v>33.82</v>
      </c>
      <c r="Q448" s="84">
        <v>38.380000000000003</v>
      </c>
      <c r="R448" s="84">
        <v>32.979999999999997</v>
      </c>
      <c r="S448" s="84">
        <v>52.33</v>
      </c>
      <c r="T448" s="84">
        <v>41.5</v>
      </c>
      <c r="U448" s="84">
        <v>38.86</v>
      </c>
      <c r="V448" s="84">
        <v>32.64</v>
      </c>
      <c r="W448" s="84">
        <v>35.32</v>
      </c>
      <c r="X448" s="84">
        <v>29.509999999999998</v>
      </c>
      <c r="Y448" s="84">
        <v>33.049999999999997</v>
      </c>
      <c r="Z448" s="84">
        <v>33.299999999999997</v>
      </c>
      <c r="AA448" s="84">
        <v>48.66</v>
      </c>
      <c r="AB448" s="86">
        <v>41</v>
      </c>
      <c r="AC448" s="230">
        <v>38.48914416563305</v>
      </c>
      <c r="AD448" s="126">
        <v>4.1957220123724603E-2</v>
      </c>
      <c r="AE448" s="243">
        <v>41518</v>
      </c>
      <c r="AF448" s="5" t="s">
        <v>495</v>
      </c>
    </row>
    <row r="449" spans="1:32" ht="15" customHeight="1" x14ac:dyDescent="0.3">
      <c r="A449" s="38" t="s">
        <v>489</v>
      </c>
      <c r="B449" s="84">
        <v>40.76</v>
      </c>
      <c r="C449" s="84">
        <v>35.049999999999997</v>
      </c>
      <c r="D449" s="84">
        <v>35.06</v>
      </c>
      <c r="E449" s="84">
        <v>42.5</v>
      </c>
      <c r="F449" s="84">
        <v>41.74</v>
      </c>
      <c r="G449" s="84">
        <v>34.6</v>
      </c>
      <c r="H449" s="84">
        <v>44.77</v>
      </c>
      <c r="I449" s="81">
        <v>44.9</v>
      </c>
      <c r="J449" s="81">
        <v>36.99</v>
      </c>
      <c r="K449" s="85">
        <v>36.6</v>
      </c>
      <c r="L449" s="85">
        <v>36.49</v>
      </c>
      <c r="M449" s="85">
        <v>39.92</v>
      </c>
      <c r="N449" s="84">
        <v>58.39</v>
      </c>
      <c r="O449" s="84">
        <v>32.57</v>
      </c>
      <c r="P449" s="84">
        <v>36.450000000000003</v>
      </c>
      <c r="Q449" s="84">
        <v>40.08</v>
      </c>
      <c r="R449" s="84">
        <v>34.82</v>
      </c>
      <c r="S449" s="84">
        <v>51.24</v>
      </c>
      <c r="T449" s="84">
        <v>42.25</v>
      </c>
      <c r="U449" s="84">
        <v>40.35</v>
      </c>
      <c r="V449" s="84">
        <v>34.07</v>
      </c>
      <c r="W449" s="84">
        <v>35.49</v>
      </c>
      <c r="X449" s="81">
        <v>31.25</v>
      </c>
      <c r="Y449" s="84">
        <v>34.53</v>
      </c>
      <c r="Z449" s="84">
        <v>34.409999999999997</v>
      </c>
      <c r="AA449" s="84">
        <v>49.5</v>
      </c>
      <c r="AB449" s="86">
        <v>42.45</v>
      </c>
      <c r="AC449" s="230">
        <v>39.499445663581717</v>
      </c>
      <c r="AD449" s="126">
        <v>2.6248998772250287E-2</v>
      </c>
      <c r="AE449" s="243">
        <v>41548</v>
      </c>
      <c r="AF449" s="5" t="s">
        <v>495</v>
      </c>
    </row>
    <row r="450" spans="1:32" ht="15" customHeight="1" x14ac:dyDescent="0.3">
      <c r="A450" s="38" t="s">
        <v>490</v>
      </c>
      <c r="B450" s="84">
        <v>41.85</v>
      </c>
      <c r="C450" s="84">
        <v>35.54</v>
      </c>
      <c r="D450" s="84">
        <v>33.57</v>
      </c>
      <c r="E450" s="84">
        <v>43.5</v>
      </c>
      <c r="F450" s="84">
        <v>42.46</v>
      </c>
      <c r="G450" s="84">
        <v>35.4</v>
      </c>
      <c r="H450" s="84">
        <v>44.87</v>
      </c>
      <c r="I450" s="81">
        <v>44.95</v>
      </c>
      <c r="J450" s="81">
        <v>37.67</v>
      </c>
      <c r="K450" s="85">
        <v>36.99</v>
      </c>
      <c r="L450" s="85">
        <v>37.04</v>
      </c>
      <c r="M450" s="85">
        <v>40.06</v>
      </c>
      <c r="N450" s="84">
        <v>58.18</v>
      </c>
      <c r="O450" s="84">
        <v>33.18</v>
      </c>
      <c r="P450" s="84">
        <v>36.31</v>
      </c>
      <c r="Q450" s="84">
        <v>40.99</v>
      </c>
      <c r="R450" s="84">
        <v>35.04</v>
      </c>
      <c r="S450" s="84">
        <v>49.66</v>
      </c>
      <c r="T450" s="84">
        <v>44</v>
      </c>
      <c r="U450" s="84">
        <v>41.95</v>
      </c>
      <c r="V450" s="84">
        <v>36.549999999999997</v>
      </c>
      <c r="W450" s="84">
        <v>36.46</v>
      </c>
      <c r="X450" s="84">
        <v>32.515000000000001</v>
      </c>
      <c r="Y450" s="84">
        <v>35.229999999999997</v>
      </c>
      <c r="Z450" s="84">
        <v>35.03</v>
      </c>
      <c r="AA450" s="84">
        <v>47.86</v>
      </c>
      <c r="AB450" s="86">
        <v>42.37</v>
      </c>
      <c r="AC450" s="230">
        <v>40.226749833031207</v>
      </c>
      <c r="AD450" s="126">
        <v>1.8413022188816797E-2</v>
      </c>
      <c r="AE450" s="243">
        <v>41579</v>
      </c>
      <c r="AF450" s="5" t="s">
        <v>495</v>
      </c>
    </row>
    <row r="451" spans="1:32" ht="15" customHeight="1" thickBot="1" x14ac:dyDescent="0.35">
      <c r="A451" s="63" t="s">
        <v>491</v>
      </c>
      <c r="B451" s="87">
        <v>41.87</v>
      </c>
      <c r="C451" s="87">
        <v>36.46</v>
      </c>
      <c r="D451" s="87">
        <v>33.57</v>
      </c>
      <c r="E451" s="87">
        <v>43.5</v>
      </c>
      <c r="F451" s="87">
        <v>42.24</v>
      </c>
      <c r="G451" s="87">
        <v>37.5</v>
      </c>
      <c r="H451" s="87">
        <v>42.63</v>
      </c>
      <c r="I451" s="87">
        <v>45.11</v>
      </c>
      <c r="J451" s="87">
        <v>38.25</v>
      </c>
      <c r="K451" s="87">
        <v>37.200000000000003</v>
      </c>
      <c r="L451" s="87">
        <v>37.76</v>
      </c>
      <c r="M451" s="87">
        <v>40.090000000000003</v>
      </c>
      <c r="N451" s="87">
        <v>58.32</v>
      </c>
      <c r="O451" s="87">
        <v>33.6</v>
      </c>
      <c r="P451" s="87">
        <v>36.270000000000003</v>
      </c>
      <c r="Q451" s="87">
        <v>42.92</v>
      </c>
      <c r="R451" s="87">
        <v>35.299999999999997</v>
      </c>
      <c r="S451" s="87">
        <v>49.66</v>
      </c>
      <c r="T451" s="87">
        <v>44</v>
      </c>
      <c r="U451" s="87">
        <v>42.7</v>
      </c>
      <c r="V451" s="87">
        <v>37.17</v>
      </c>
      <c r="W451" s="87">
        <v>37.03</v>
      </c>
      <c r="X451" s="88">
        <v>33.78</v>
      </c>
      <c r="Y451" s="87">
        <v>36.119999999999997</v>
      </c>
      <c r="Z451" s="87">
        <v>35.549999999999997</v>
      </c>
      <c r="AA451" s="87">
        <v>48.57</v>
      </c>
      <c r="AB451" s="89">
        <v>41.97</v>
      </c>
      <c r="AC451" s="221">
        <v>40.266684476672076</v>
      </c>
      <c r="AD451" s="127">
        <v>9.9273850874426195E-4</v>
      </c>
      <c r="AE451" s="246">
        <v>41609</v>
      </c>
      <c r="AF451" s="5" t="s">
        <v>495</v>
      </c>
    </row>
    <row r="452" spans="1:32" ht="15" customHeight="1" x14ac:dyDescent="0.3">
      <c r="A452" s="76" t="s">
        <v>496</v>
      </c>
      <c r="B452" s="90">
        <v>40.54</v>
      </c>
      <c r="C452" s="90">
        <v>36.93</v>
      </c>
      <c r="D452" s="90">
        <v>34.24</v>
      </c>
      <c r="E452" s="90">
        <v>43</v>
      </c>
      <c r="F452" s="90">
        <v>41.26</v>
      </c>
      <c r="G452" s="90">
        <v>39.520000000000003</v>
      </c>
      <c r="H452" s="90">
        <v>42.34</v>
      </c>
      <c r="I452" s="90">
        <v>45.24</v>
      </c>
      <c r="J452" s="90">
        <v>38.159999999999997</v>
      </c>
      <c r="K452" s="90">
        <v>39.130000000000003</v>
      </c>
      <c r="L452" s="90">
        <v>37.21</v>
      </c>
      <c r="M452" s="90">
        <v>40.35</v>
      </c>
      <c r="N452" s="90">
        <v>57.78</v>
      </c>
      <c r="O452" s="90">
        <v>34.200000000000003</v>
      </c>
      <c r="P452" s="90">
        <v>36.450000000000003</v>
      </c>
      <c r="Q452" s="90">
        <v>40.99</v>
      </c>
      <c r="R452" s="90">
        <v>35.729999999999997</v>
      </c>
      <c r="S452" s="90">
        <v>46.58</v>
      </c>
      <c r="T452" s="90">
        <v>43</v>
      </c>
      <c r="U452" s="90">
        <v>42.6</v>
      </c>
      <c r="V452" s="90">
        <v>35.799999999999997</v>
      </c>
      <c r="W452" s="90">
        <v>36.5</v>
      </c>
      <c r="X452" s="90">
        <v>33.06</v>
      </c>
      <c r="Y452" s="90">
        <v>37.22</v>
      </c>
      <c r="Z452" s="90">
        <v>35.799999999999997</v>
      </c>
      <c r="AA452" s="90">
        <v>45.57</v>
      </c>
      <c r="AB452" s="103">
        <v>41.87</v>
      </c>
      <c r="AC452" s="219">
        <v>40.108201114339181</v>
      </c>
      <c r="AD452" s="128">
        <v>-3.935843350219459E-3</v>
      </c>
      <c r="AE452" s="248">
        <v>41640</v>
      </c>
      <c r="AF452" s="5" t="s">
        <v>495</v>
      </c>
    </row>
    <row r="453" spans="1:32" ht="15" customHeight="1" x14ac:dyDescent="0.3">
      <c r="A453" s="38" t="s">
        <v>497</v>
      </c>
      <c r="B453" s="84">
        <v>40.409999999999997</v>
      </c>
      <c r="C453" s="84">
        <v>36.4</v>
      </c>
      <c r="D453" s="84">
        <v>34.47</v>
      </c>
      <c r="E453" s="84">
        <v>43.5</v>
      </c>
      <c r="F453" s="84">
        <v>40.94</v>
      </c>
      <c r="G453" s="84">
        <v>40.119999999999997</v>
      </c>
      <c r="H453" s="84">
        <v>41.76</v>
      </c>
      <c r="I453" s="84">
        <v>45.4</v>
      </c>
      <c r="J453" s="84">
        <v>37.86</v>
      </c>
      <c r="K453" s="84">
        <v>38.69</v>
      </c>
      <c r="L453" s="84">
        <v>37.21</v>
      </c>
      <c r="M453" s="84">
        <v>41.24</v>
      </c>
      <c r="N453" s="84">
        <v>57.58</v>
      </c>
      <c r="O453" s="84">
        <v>34.840000000000003</v>
      </c>
      <c r="P453" s="84">
        <v>37</v>
      </c>
      <c r="Q453" s="84">
        <v>40.39</v>
      </c>
      <c r="R453" s="84">
        <v>35.229999999999997</v>
      </c>
      <c r="S453" s="84">
        <v>46.34</v>
      </c>
      <c r="T453" s="84">
        <v>43</v>
      </c>
      <c r="U453" s="84">
        <v>42.27</v>
      </c>
      <c r="V453" s="84">
        <v>35.6</v>
      </c>
      <c r="W453" s="84">
        <v>36.5</v>
      </c>
      <c r="X453" s="84">
        <v>32.340000000000003</v>
      </c>
      <c r="Y453" s="84">
        <v>37.29</v>
      </c>
      <c r="Z453" s="84">
        <v>35.950000000000003</v>
      </c>
      <c r="AA453" s="84">
        <v>45.51</v>
      </c>
      <c r="AB453" s="86">
        <v>42.47</v>
      </c>
      <c r="AC453" s="230">
        <v>39.987960537440415</v>
      </c>
      <c r="AD453" s="129">
        <v>-2.9979050059111279E-3</v>
      </c>
      <c r="AE453" s="242">
        <v>41671</v>
      </c>
      <c r="AF453" s="2" t="s">
        <v>495</v>
      </c>
    </row>
    <row r="454" spans="1:32" ht="15" customHeight="1" x14ac:dyDescent="0.3">
      <c r="A454" s="38" t="s">
        <v>498</v>
      </c>
      <c r="B454" s="84">
        <v>40.14</v>
      </c>
      <c r="C454" s="84">
        <v>37.020000000000003</v>
      </c>
      <c r="D454" s="84">
        <v>34.64</v>
      </c>
      <c r="E454" s="84">
        <v>43.5</v>
      </c>
      <c r="F454" s="84">
        <v>40.549999999999997</v>
      </c>
      <c r="G454" s="84">
        <v>40.33</v>
      </c>
      <c r="H454" s="84">
        <v>39.04</v>
      </c>
      <c r="I454" s="84">
        <v>44.38</v>
      </c>
      <c r="J454" s="84">
        <v>37.96</v>
      </c>
      <c r="K454" s="84">
        <v>36.69</v>
      </c>
      <c r="L454" s="84">
        <v>36.64</v>
      </c>
      <c r="M454" s="84">
        <v>41.79</v>
      </c>
      <c r="N454" s="84">
        <v>57.44</v>
      </c>
      <c r="O454" s="84">
        <v>35.15</v>
      </c>
      <c r="P454" s="84">
        <v>36.21</v>
      </c>
      <c r="Q454" s="84">
        <v>40.549999999999997</v>
      </c>
      <c r="R454" s="84">
        <v>35.090000000000003</v>
      </c>
      <c r="S454" s="84">
        <v>45.78</v>
      </c>
      <c r="T454" s="84">
        <v>42.5</v>
      </c>
      <c r="U454" s="84">
        <v>42.24</v>
      </c>
      <c r="V454" s="84">
        <v>35.159999999999997</v>
      </c>
      <c r="W454" s="84">
        <v>36.479999999999997</v>
      </c>
      <c r="X454" s="84">
        <v>31.44</v>
      </c>
      <c r="Y454" s="84">
        <v>36.99</v>
      </c>
      <c r="Z454" s="84">
        <v>35.799999999999997</v>
      </c>
      <c r="AA454" s="84">
        <v>43.48</v>
      </c>
      <c r="AB454" s="86">
        <v>42.52</v>
      </c>
      <c r="AC454" s="230">
        <v>39.303314917832942</v>
      </c>
      <c r="AD454" s="129">
        <v>-1.7121293769569612E-2</v>
      </c>
      <c r="AE454" s="242">
        <v>41699</v>
      </c>
      <c r="AF454" s="2" t="s">
        <v>495</v>
      </c>
    </row>
    <row r="455" spans="1:32" ht="15" customHeight="1" x14ac:dyDescent="0.3">
      <c r="A455" s="54" t="s">
        <v>499</v>
      </c>
      <c r="B455" s="84">
        <v>39.06</v>
      </c>
      <c r="C455" s="84">
        <v>35.729999999999997</v>
      </c>
      <c r="D455" s="84">
        <v>34.46</v>
      </c>
      <c r="E455" s="84">
        <v>43</v>
      </c>
      <c r="F455" s="84">
        <v>39.72</v>
      </c>
      <c r="G455" s="84">
        <v>39.630000000000003</v>
      </c>
      <c r="H455" s="84">
        <v>38.549999999999997</v>
      </c>
      <c r="I455" s="84">
        <v>42.93</v>
      </c>
      <c r="J455" s="84">
        <v>35.83</v>
      </c>
      <c r="K455" s="84">
        <v>34.25</v>
      </c>
      <c r="L455" s="84">
        <v>36.64</v>
      </c>
      <c r="M455" s="84">
        <v>41.61</v>
      </c>
      <c r="N455" s="84">
        <v>56.47</v>
      </c>
      <c r="O455" s="84">
        <v>34.17</v>
      </c>
      <c r="P455" s="84">
        <v>32.67</v>
      </c>
      <c r="Q455" s="84">
        <v>40.369999999999997</v>
      </c>
      <c r="R455" s="84">
        <v>35.03</v>
      </c>
      <c r="S455" s="84">
        <v>45.68</v>
      </c>
      <c r="T455" s="84">
        <v>41.25</v>
      </c>
      <c r="U455" s="84">
        <v>40.56</v>
      </c>
      <c r="V455" s="84">
        <v>33.83</v>
      </c>
      <c r="W455" s="84">
        <v>37.799999999999997</v>
      </c>
      <c r="X455" s="84">
        <v>31.58</v>
      </c>
      <c r="Y455" s="84">
        <v>36.56</v>
      </c>
      <c r="Z455" s="84">
        <v>35.049999999999997</v>
      </c>
      <c r="AA455" s="84">
        <v>43.56</v>
      </c>
      <c r="AB455" s="86">
        <v>40.479999999999997</v>
      </c>
      <c r="AC455" s="230">
        <v>38.09663183022748</v>
      </c>
      <c r="AD455" s="129">
        <v>-3.0701814595744392E-2</v>
      </c>
      <c r="AE455" s="242">
        <v>41730</v>
      </c>
      <c r="AF455" s="2" t="s">
        <v>495</v>
      </c>
    </row>
    <row r="456" spans="1:32" ht="15" customHeight="1" x14ac:dyDescent="0.3">
      <c r="A456" s="38" t="s">
        <v>500</v>
      </c>
      <c r="B456" s="84">
        <v>38.01</v>
      </c>
      <c r="C456" s="84">
        <v>34.89</v>
      </c>
      <c r="D456" s="91">
        <v>34.11</v>
      </c>
      <c r="E456" s="84">
        <v>41</v>
      </c>
      <c r="F456" s="84">
        <v>38.869999999999997</v>
      </c>
      <c r="G456" s="84">
        <v>36.75</v>
      </c>
      <c r="H456" s="84">
        <v>37.1</v>
      </c>
      <c r="I456" s="84">
        <v>42.73</v>
      </c>
      <c r="J456" s="84">
        <v>35.44</v>
      </c>
      <c r="K456" s="84">
        <v>33.89</v>
      </c>
      <c r="L456" s="84">
        <v>36.31</v>
      </c>
      <c r="M456" s="84">
        <v>41.21</v>
      </c>
      <c r="N456" s="84">
        <v>55.86</v>
      </c>
      <c r="O456" s="84">
        <v>31.76</v>
      </c>
      <c r="P456" s="84">
        <v>27.74</v>
      </c>
      <c r="Q456" s="84">
        <v>38.75</v>
      </c>
      <c r="R456" s="84">
        <v>34.43</v>
      </c>
      <c r="S456" s="84">
        <v>46.21</v>
      </c>
      <c r="T456" s="84">
        <v>42</v>
      </c>
      <c r="U456" s="84">
        <v>39.57</v>
      </c>
      <c r="V456" s="84">
        <v>32.94</v>
      </c>
      <c r="W456" s="84">
        <v>34.65</v>
      </c>
      <c r="X456" s="84">
        <v>29.87</v>
      </c>
      <c r="Y456" s="84">
        <v>35.61</v>
      </c>
      <c r="Z456" s="84">
        <v>34.47</v>
      </c>
      <c r="AA456" s="84">
        <v>43.35</v>
      </c>
      <c r="AB456" s="86">
        <v>40.369999999999997</v>
      </c>
      <c r="AC456" s="230">
        <v>37.406240235553675</v>
      </c>
      <c r="AD456" s="129">
        <v>-1.812211635271177E-2</v>
      </c>
      <c r="AE456" s="242">
        <v>41760</v>
      </c>
      <c r="AF456" s="2" t="s">
        <v>495</v>
      </c>
    </row>
    <row r="457" spans="1:32" ht="15" customHeight="1" x14ac:dyDescent="0.3">
      <c r="A457" s="38" t="s">
        <v>501</v>
      </c>
      <c r="B457" s="84">
        <v>36.409999999999997</v>
      </c>
      <c r="C457" s="84">
        <v>34.03</v>
      </c>
      <c r="D457" s="91">
        <v>33.729999999999997</v>
      </c>
      <c r="E457" s="84">
        <v>41</v>
      </c>
      <c r="F457" s="84">
        <v>37.97</v>
      </c>
      <c r="G457" s="84">
        <v>32.799999999999997</v>
      </c>
      <c r="H457" s="84">
        <v>36.9</v>
      </c>
      <c r="I457" s="84">
        <v>42.34</v>
      </c>
      <c r="J457" s="84">
        <v>35.44</v>
      </c>
      <c r="K457" s="84">
        <v>36.19</v>
      </c>
      <c r="L457" s="84">
        <v>35.69</v>
      </c>
      <c r="M457" s="84">
        <v>41.21</v>
      </c>
      <c r="N457" s="84">
        <v>55.64</v>
      </c>
      <c r="O457" s="84">
        <v>29.59</v>
      </c>
      <c r="P457" s="84">
        <v>26.14</v>
      </c>
      <c r="Q457" s="84">
        <v>37.85</v>
      </c>
      <c r="R457" s="84">
        <v>33.69</v>
      </c>
      <c r="S457" s="84">
        <v>46.21</v>
      </c>
      <c r="T457" s="84">
        <v>42</v>
      </c>
      <c r="U457" s="84">
        <v>38.33</v>
      </c>
      <c r="V457" s="84">
        <v>32.43</v>
      </c>
      <c r="W457" s="84">
        <v>34.340000000000003</v>
      </c>
      <c r="X457" s="84">
        <v>29.15</v>
      </c>
      <c r="Y457" s="84">
        <v>34.67</v>
      </c>
      <c r="Z457" s="84">
        <v>33.630000000000003</v>
      </c>
      <c r="AA457" s="84">
        <v>44.87</v>
      </c>
      <c r="AB457" s="86">
        <v>39.700000000000003</v>
      </c>
      <c r="AC457" s="230">
        <v>37.424852620383518</v>
      </c>
      <c r="AD457" s="129">
        <v>4.97574327508854E-4</v>
      </c>
      <c r="AE457" s="242">
        <v>41791</v>
      </c>
      <c r="AF457" s="2" t="s">
        <v>495</v>
      </c>
    </row>
    <row r="458" spans="1:32" ht="15" customHeight="1" x14ac:dyDescent="0.3">
      <c r="A458" s="54" t="s">
        <v>502</v>
      </c>
      <c r="B458" s="84">
        <v>35.11</v>
      </c>
      <c r="C458" s="84">
        <v>33.94</v>
      </c>
      <c r="D458" s="84">
        <v>33.54</v>
      </c>
      <c r="E458" s="84">
        <v>39</v>
      </c>
      <c r="F458" s="84">
        <v>37.18</v>
      </c>
      <c r="G458" s="84">
        <v>32.31</v>
      </c>
      <c r="H458" s="84">
        <v>35.25</v>
      </c>
      <c r="I458" s="84">
        <v>42.36</v>
      </c>
      <c r="J458" s="84">
        <v>33.979999999999997</v>
      </c>
      <c r="K458" s="84">
        <v>37.29</v>
      </c>
      <c r="L458" s="84">
        <v>34.06</v>
      </c>
      <c r="M458" s="84">
        <v>39.89</v>
      </c>
      <c r="N458" s="84">
        <v>54.56</v>
      </c>
      <c r="O458" s="84">
        <v>29.32</v>
      </c>
      <c r="P458" s="84">
        <v>26.07</v>
      </c>
      <c r="Q458" s="84">
        <v>36.869999999999997</v>
      </c>
      <c r="R458" s="84">
        <v>32.35</v>
      </c>
      <c r="S458" s="84">
        <v>46.85</v>
      </c>
      <c r="T458" s="84">
        <v>39.5</v>
      </c>
      <c r="U458" s="84">
        <v>38.21</v>
      </c>
      <c r="V458" s="84">
        <v>32.04</v>
      </c>
      <c r="W458" s="84">
        <v>33.26</v>
      </c>
      <c r="X458" s="84">
        <v>28.85</v>
      </c>
      <c r="Y458" s="84">
        <v>34.270000000000003</v>
      </c>
      <c r="Z458" s="84">
        <v>33.18</v>
      </c>
      <c r="AA458" s="84">
        <v>44.6</v>
      </c>
      <c r="AB458" s="86">
        <v>37.92</v>
      </c>
      <c r="AC458" s="230">
        <v>36.717726967059377</v>
      </c>
      <c r="AD458" s="129">
        <v>-1.8894547441424048E-2</v>
      </c>
      <c r="AE458" s="242">
        <v>41821</v>
      </c>
      <c r="AF458" s="2" t="s">
        <v>495</v>
      </c>
    </row>
    <row r="459" spans="1:32" ht="15" customHeight="1" x14ac:dyDescent="0.3">
      <c r="A459" s="38" t="s">
        <v>503</v>
      </c>
      <c r="B459" s="84">
        <v>34.36</v>
      </c>
      <c r="C459" s="84">
        <v>33.840000000000003</v>
      </c>
      <c r="D459" s="84">
        <v>32.54</v>
      </c>
      <c r="E459" s="84">
        <v>38</v>
      </c>
      <c r="F459" s="84">
        <v>37.090000000000003</v>
      </c>
      <c r="G459" s="84">
        <v>29.88</v>
      </c>
      <c r="H459" s="84">
        <v>36.520000000000003</v>
      </c>
      <c r="I459" s="84">
        <v>42.31</v>
      </c>
      <c r="J459" s="84">
        <v>33.79</v>
      </c>
      <c r="K459" s="84">
        <v>38.43</v>
      </c>
      <c r="L459" s="84">
        <v>33.97</v>
      </c>
      <c r="M459" s="84">
        <v>39.729999999999997</v>
      </c>
      <c r="N459" s="84">
        <v>54.89</v>
      </c>
      <c r="O459" s="84">
        <v>27.21</v>
      </c>
      <c r="P459" s="84">
        <v>24.27</v>
      </c>
      <c r="Q459" s="84">
        <v>36.57</v>
      </c>
      <c r="R459" s="84">
        <v>31.8</v>
      </c>
      <c r="S459" s="84">
        <v>49.12</v>
      </c>
      <c r="T459" s="84">
        <v>39.75</v>
      </c>
      <c r="U459" s="84">
        <v>38.369999999999997</v>
      </c>
      <c r="V459" s="84">
        <v>30.18</v>
      </c>
      <c r="W459" s="84">
        <v>33.31</v>
      </c>
      <c r="X459" s="84">
        <v>29.05</v>
      </c>
      <c r="Y459" s="84">
        <v>33.79</v>
      </c>
      <c r="Z459" s="84">
        <v>32.840000000000003</v>
      </c>
      <c r="AA459" s="84">
        <v>46.37</v>
      </c>
      <c r="AB459" s="86">
        <v>36.78</v>
      </c>
      <c r="AC459" s="230">
        <v>36.700387691225032</v>
      </c>
      <c r="AD459" s="129">
        <v>-4.7223173291477405E-4</v>
      </c>
      <c r="AE459" s="242">
        <v>41852</v>
      </c>
      <c r="AF459" s="2" t="s">
        <v>495</v>
      </c>
    </row>
    <row r="460" spans="1:32" ht="15" customHeight="1" x14ac:dyDescent="0.3">
      <c r="A460" s="38" t="s">
        <v>504</v>
      </c>
      <c r="B460" s="39">
        <v>33.29</v>
      </c>
      <c r="C460" s="39">
        <v>33.57</v>
      </c>
      <c r="D460" s="39">
        <v>31.99</v>
      </c>
      <c r="E460" s="39">
        <v>37.5</v>
      </c>
      <c r="F460" s="39">
        <v>36.44</v>
      </c>
      <c r="G460" s="39">
        <v>25.15</v>
      </c>
      <c r="H460" s="39">
        <v>35.450000000000003</v>
      </c>
      <c r="I460" s="34">
        <v>42.63</v>
      </c>
      <c r="J460" s="34">
        <v>34.08</v>
      </c>
      <c r="K460" s="34">
        <v>38.840000000000003</v>
      </c>
      <c r="L460" s="34">
        <v>34.56</v>
      </c>
      <c r="M460" s="34">
        <v>39.17</v>
      </c>
      <c r="N460" s="34">
        <v>55.62</v>
      </c>
      <c r="O460" s="39">
        <v>23.36</v>
      </c>
      <c r="P460" s="39">
        <v>22.78</v>
      </c>
      <c r="Q460" s="39">
        <v>36.020000000000003</v>
      </c>
      <c r="R460" s="39">
        <v>32.08</v>
      </c>
      <c r="S460" s="39">
        <v>49.12</v>
      </c>
      <c r="T460" s="39">
        <v>38</v>
      </c>
      <c r="U460" s="39">
        <v>39.020000000000003</v>
      </c>
      <c r="V460" s="39">
        <v>29.74</v>
      </c>
      <c r="W460" s="39">
        <v>33.450000000000003</v>
      </c>
      <c r="X460" s="39">
        <v>29.19</v>
      </c>
      <c r="Y460" s="39">
        <v>33.46</v>
      </c>
      <c r="Z460" s="39">
        <v>32.630000000000003</v>
      </c>
      <c r="AA460" s="39">
        <v>43.81</v>
      </c>
      <c r="AB460" s="43">
        <v>36.76</v>
      </c>
      <c r="AC460" s="224">
        <v>36.200650865139224</v>
      </c>
      <c r="AD460" s="130">
        <v>-1.361666340667278E-2</v>
      </c>
      <c r="AE460" s="242">
        <v>41883</v>
      </c>
      <c r="AF460" s="2" t="s">
        <v>495</v>
      </c>
    </row>
    <row r="461" spans="1:32" ht="15" customHeight="1" x14ac:dyDescent="0.3">
      <c r="A461" s="38" t="s">
        <v>505</v>
      </c>
      <c r="B461" s="39">
        <v>32.28</v>
      </c>
      <c r="C461" s="39">
        <v>33.450000000000003</v>
      </c>
      <c r="D461" s="39">
        <v>31.57</v>
      </c>
      <c r="E461" s="39">
        <v>36</v>
      </c>
      <c r="F461" s="39">
        <v>35.14</v>
      </c>
      <c r="G461" s="39">
        <v>25.54</v>
      </c>
      <c r="H461" s="39">
        <v>38.17</v>
      </c>
      <c r="I461" s="34">
        <v>42.22</v>
      </c>
      <c r="J461" s="34">
        <v>33.11</v>
      </c>
      <c r="K461" s="34">
        <v>36.25</v>
      </c>
      <c r="L461" s="34">
        <v>34.619999999999997</v>
      </c>
      <c r="M461" s="34">
        <v>36.770000000000003</v>
      </c>
      <c r="N461" s="34">
        <v>57.02</v>
      </c>
      <c r="O461" s="39">
        <v>23.33</v>
      </c>
      <c r="P461" s="39">
        <v>24.37</v>
      </c>
      <c r="Q461" s="39">
        <v>34.56</v>
      </c>
      <c r="R461" s="39">
        <v>32.14</v>
      </c>
      <c r="S461" s="39">
        <v>47.61</v>
      </c>
      <c r="T461" s="39">
        <v>37</v>
      </c>
      <c r="U461" s="39">
        <v>37.49</v>
      </c>
      <c r="V461" s="39">
        <v>29.64</v>
      </c>
      <c r="W461" s="39">
        <v>34.090000000000003</v>
      </c>
      <c r="X461" s="39">
        <v>30.62</v>
      </c>
      <c r="Y461" s="39">
        <v>32.39</v>
      </c>
      <c r="Z461" s="39">
        <v>32.49</v>
      </c>
      <c r="AA461" s="39">
        <v>44.69</v>
      </c>
      <c r="AB461" s="43">
        <v>35.99</v>
      </c>
      <c r="AC461" s="224">
        <v>35.082168213241033</v>
      </c>
      <c r="AD461" s="130">
        <v>-3.0896755311526025E-2</v>
      </c>
      <c r="AE461" s="242">
        <v>41913</v>
      </c>
      <c r="AF461" s="2" t="s">
        <v>495</v>
      </c>
    </row>
    <row r="462" spans="1:32" ht="15" customHeight="1" x14ac:dyDescent="0.3">
      <c r="A462" s="38" t="s">
        <v>506</v>
      </c>
      <c r="B462" s="39">
        <v>31.28</v>
      </c>
      <c r="C462" s="39">
        <v>32.58</v>
      </c>
      <c r="D462" s="39">
        <v>31.19</v>
      </c>
      <c r="E462" s="39">
        <v>36</v>
      </c>
      <c r="F462" s="39">
        <v>33.99</v>
      </c>
      <c r="G462" s="39">
        <v>25.36</v>
      </c>
      <c r="H462" s="39">
        <v>37.58</v>
      </c>
      <c r="I462" s="39">
        <v>42.77</v>
      </c>
      <c r="J462" s="39">
        <v>33.11</v>
      </c>
      <c r="K462" s="39">
        <v>34.93</v>
      </c>
      <c r="L462" s="39">
        <v>34.78</v>
      </c>
      <c r="M462" s="39">
        <v>36.770000000000003</v>
      </c>
      <c r="N462" s="39">
        <v>57.62</v>
      </c>
      <c r="O462" s="39">
        <v>23.84</v>
      </c>
      <c r="P462" s="39">
        <v>25.33</v>
      </c>
      <c r="Q462" s="39">
        <v>34.03</v>
      </c>
      <c r="R462" s="39">
        <v>32.200000000000003</v>
      </c>
      <c r="S462" s="39">
        <v>47.43</v>
      </c>
      <c r="T462" s="39">
        <v>34.5</v>
      </c>
      <c r="U462" s="39">
        <v>37.33</v>
      </c>
      <c r="V462" s="39">
        <v>29.61</v>
      </c>
      <c r="W462" s="39">
        <v>33.880000000000003</v>
      </c>
      <c r="X462" s="39">
        <v>31.04</v>
      </c>
      <c r="Y462" s="39">
        <v>32.03</v>
      </c>
      <c r="Z462" s="39">
        <v>32.06</v>
      </c>
      <c r="AA462" s="39">
        <v>42.86</v>
      </c>
      <c r="AB462" s="43">
        <v>35.4</v>
      </c>
      <c r="AC462" s="224">
        <v>34.222815746094561</v>
      </c>
      <c r="AD462" s="130">
        <v>-2.4495420634296106E-2</v>
      </c>
      <c r="AE462" s="242">
        <v>41944</v>
      </c>
      <c r="AF462" s="2" t="s">
        <v>495</v>
      </c>
    </row>
    <row r="463" spans="1:32" ht="15" customHeight="1" thickBot="1" x14ac:dyDescent="0.35">
      <c r="A463" s="63" t="s">
        <v>507</v>
      </c>
      <c r="B463" s="64">
        <v>31.15</v>
      </c>
      <c r="C463" s="64">
        <v>32.53</v>
      </c>
      <c r="D463" s="64">
        <v>31.13</v>
      </c>
      <c r="E463" s="64">
        <v>34.5</v>
      </c>
      <c r="F463" s="64">
        <v>32.479999999999997</v>
      </c>
      <c r="G463" s="64">
        <v>24.95</v>
      </c>
      <c r="H463" s="64">
        <v>33.31</v>
      </c>
      <c r="I463" s="64">
        <v>42.89</v>
      </c>
      <c r="J463" s="64">
        <v>33.4</v>
      </c>
      <c r="K463" s="64">
        <v>33.21</v>
      </c>
      <c r="L463" s="64">
        <v>34.97</v>
      </c>
      <c r="M463" s="64">
        <v>35.97</v>
      </c>
      <c r="N463" s="64">
        <v>57.46</v>
      </c>
      <c r="O463" s="64">
        <v>24.25</v>
      </c>
      <c r="P463" s="64">
        <v>25.14</v>
      </c>
      <c r="Q463" s="64">
        <v>33.6</v>
      </c>
      <c r="R463" s="64">
        <v>31.41</v>
      </c>
      <c r="S463" s="64">
        <v>46.36</v>
      </c>
      <c r="T463" s="64">
        <v>30.75</v>
      </c>
      <c r="U463" s="64">
        <v>36.72</v>
      </c>
      <c r="V463" s="64">
        <v>29.98</v>
      </c>
      <c r="W463" s="64">
        <v>34.020000000000003</v>
      </c>
      <c r="X463" s="64">
        <v>30.35</v>
      </c>
      <c r="Y463" s="64">
        <v>31.72</v>
      </c>
      <c r="Z463" s="64">
        <v>31.79</v>
      </c>
      <c r="AA463" s="64">
        <v>42.82</v>
      </c>
      <c r="AB463" s="67">
        <v>33.47</v>
      </c>
      <c r="AC463" s="227">
        <v>32.846772449076681</v>
      </c>
      <c r="AD463" s="131">
        <v>-4.0208360037555124E-2</v>
      </c>
      <c r="AE463" s="246">
        <v>41974</v>
      </c>
      <c r="AF463" s="2" t="s">
        <v>495</v>
      </c>
    </row>
    <row r="464" spans="1:32" ht="15" customHeight="1" x14ac:dyDescent="0.3">
      <c r="A464" s="76" t="s">
        <v>519</v>
      </c>
      <c r="B464" s="90">
        <v>29.09</v>
      </c>
      <c r="C464" s="90">
        <v>31.72</v>
      </c>
      <c r="D464" s="90">
        <v>29.76</v>
      </c>
      <c r="E464" s="90">
        <v>30.99</v>
      </c>
      <c r="F464" s="90">
        <v>30.89</v>
      </c>
      <c r="G464" s="90">
        <v>24.13</v>
      </c>
      <c r="H464" s="90">
        <v>31.47</v>
      </c>
      <c r="I464" s="90">
        <v>42.57</v>
      </c>
      <c r="J464" s="90">
        <v>31.84</v>
      </c>
      <c r="K464" s="90">
        <v>31.64</v>
      </c>
      <c r="L464" s="90">
        <v>34.54</v>
      </c>
      <c r="M464" s="90">
        <v>57.11</v>
      </c>
      <c r="N464" s="90">
        <v>57.8</v>
      </c>
      <c r="O464" s="90">
        <v>22.79</v>
      </c>
      <c r="P464" s="90">
        <v>22.91</v>
      </c>
      <c r="Q464" s="90">
        <v>31.01</v>
      </c>
      <c r="R464" s="90">
        <v>28.64</v>
      </c>
      <c r="S464" s="90">
        <v>46.17</v>
      </c>
      <c r="T464" s="90">
        <v>30.25</v>
      </c>
      <c r="U464" s="90">
        <v>35.14</v>
      </c>
      <c r="V464" s="90">
        <v>28.55</v>
      </c>
      <c r="W464" s="90">
        <v>31.91</v>
      </c>
      <c r="X464" s="90">
        <v>30.01</v>
      </c>
      <c r="Y464" s="90">
        <v>29.65</v>
      </c>
      <c r="Z464" s="90">
        <v>30.79</v>
      </c>
      <c r="AA464" s="90">
        <v>41.78</v>
      </c>
      <c r="AB464" s="103">
        <v>31.33</v>
      </c>
      <c r="AC464" s="219">
        <v>33.077341592802505</v>
      </c>
      <c r="AD464" s="128">
        <v>7.0195372797519084E-3</v>
      </c>
      <c r="AE464" s="250">
        <v>42005</v>
      </c>
      <c r="AF464" s="2" t="s">
        <v>495</v>
      </c>
    </row>
    <row r="465" spans="1:82" ht="15" customHeight="1" x14ac:dyDescent="0.3">
      <c r="A465" s="38" t="s">
        <v>520</v>
      </c>
      <c r="B465" s="84">
        <v>29.02</v>
      </c>
      <c r="C465" s="84">
        <v>31.14</v>
      </c>
      <c r="D465" s="84">
        <v>29.57</v>
      </c>
      <c r="E465" s="84">
        <v>30.98</v>
      </c>
      <c r="F465" s="84">
        <v>30.82</v>
      </c>
      <c r="G465" s="84">
        <v>23.97</v>
      </c>
      <c r="H465" s="84">
        <v>31.95</v>
      </c>
      <c r="I465" s="84">
        <v>42.5</v>
      </c>
      <c r="J465" s="84">
        <v>31.75</v>
      </c>
      <c r="K465" s="84">
        <v>31.52</v>
      </c>
      <c r="L465" s="84">
        <v>34</v>
      </c>
      <c r="M465" s="84">
        <v>35.43</v>
      </c>
      <c r="N465" s="84">
        <v>57.29</v>
      </c>
      <c r="O465" s="84">
        <v>22.06</v>
      </c>
      <c r="P465" s="84">
        <v>22.23</v>
      </c>
      <c r="Q465" s="84">
        <v>30.66</v>
      </c>
      <c r="R465" s="84">
        <v>28.78</v>
      </c>
      <c r="S465" s="84">
        <v>45.68</v>
      </c>
      <c r="T465" s="84">
        <v>31.5</v>
      </c>
      <c r="U465" s="84">
        <v>34.94</v>
      </c>
      <c r="V465" s="84">
        <v>29.09</v>
      </c>
      <c r="W465" s="84">
        <v>31.59</v>
      </c>
      <c r="X465" s="84">
        <v>28.53</v>
      </c>
      <c r="Y465" s="84">
        <v>29.16</v>
      </c>
      <c r="Z465" s="84">
        <v>29.92</v>
      </c>
      <c r="AA465" s="84">
        <v>36.979999999999997</v>
      </c>
      <c r="AB465" s="86">
        <v>30.57</v>
      </c>
      <c r="AC465" s="230">
        <v>31.351361606206808</v>
      </c>
      <c r="AD465" s="129">
        <v>-5.218013006738309E-2</v>
      </c>
      <c r="AE465" s="251">
        <v>42036</v>
      </c>
      <c r="AF465" s="2" t="s">
        <v>495</v>
      </c>
    </row>
    <row r="466" spans="1:82" ht="15" customHeight="1" x14ac:dyDescent="0.3">
      <c r="A466" s="38" t="s">
        <v>521</v>
      </c>
      <c r="B466" s="84">
        <v>28.49</v>
      </c>
      <c r="C466" s="84">
        <v>30.67</v>
      </c>
      <c r="D466" s="84">
        <v>29.55</v>
      </c>
      <c r="E466" s="84">
        <v>31.23</v>
      </c>
      <c r="F466" s="84">
        <v>30.73</v>
      </c>
      <c r="G466" s="84">
        <v>25.12</v>
      </c>
      <c r="H466" s="84">
        <v>30.01</v>
      </c>
      <c r="I466" s="84">
        <v>42.28</v>
      </c>
      <c r="J466" s="84">
        <v>31.36</v>
      </c>
      <c r="K466" s="84">
        <v>30.33</v>
      </c>
      <c r="L466" s="84">
        <v>34.01</v>
      </c>
      <c r="M466" s="84">
        <v>35.46</v>
      </c>
      <c r="N466" s="84">
        <v>56.65</v>
      </c>
      <c r="O466" s="84">
        <v>22.36</v>
      </c>
      <c r="P466" s="84">
        <v>23.27</v>
      </c>
      <c r="Q466" s="84">
        <v>29.95</v>
      </c>
      <c r="R466" s="84">
        <v>28.75</v>
      </c>
      <c r="S466" s="84">
        <v>45.4</v>
      </c>
      <c r="T466" s="84">
        <v>34</v>
      </c>
      <c r="U466" s="84">
        <v>34.81</v>
      </c>
      <c r="V466" s="84">
        <v>29.57</v>
      </c>
      <c r="W466" s="84">
        <v>31.31</v>
      </c>
      <c r="X466" s="84">
        <v>27.28</v>
      </c>
      <c r="Y466" s="84">
        <v>28.89</v>
      </c>
      <c r="Z466" s="84">
        <v>29.41</v>
      </c>
      <c r="AA466" s="84">
        <v>36.72</v>
      </c>
      <c r="AB466" s="86">
        <v>31.35</v>
      </c>
      <c r="AC466" s="230">
        <v>31.275296983762885</v>
      </c>
      <c r="AD466" s="129">
        <v>-2.4261983705633483E-3</v>
      </c>
      <c r="AE466" s="251">
        <v>42064</v>
      </c>
      <c r="AF466" s="2" t="s">
        <v>495</v>
      </c>
    </row>
    <row r="467" spans="1:82" ht="15" customHeight="1" x14ac:dyDescent="0.3">
      <c r="A467" s="54" t="s">
        <v>522</v>
      </c>
      <c r="B467" s="84">
        <v>28.21</v>
      </c>
      <c r="C467" s="84">
        <v>28.49</v>
      </c>
      <c r="D467" s="84">
        <v>28.9</v>
      </c>
      <c r="E467" s="84">
        <v>32.82</v>
      </c>
      <c r="F467" s="84">
        <v>30.75</v>
      </c>
      <c r="G467" s="84">
        <v>24.93</v>
      </c>
      <c r="H467" s="84">
        <v>30.79</v>
      </c>
      <c r="I467" s="84">
        <v>41.28</v>
      </c>
      <c r="J467" s="84">
        <v>30.1</v>
      </c>
      <c r="K467" s="84">
        <v>29.93</v>
      </c>
      <c r="L467" s="84">
        <v>33.270000000000003</v>
      </c>
      <c r="M467" s="84">
        <v>34.79</v>
      </c>
      <c r="N467" s="84">
        <v>56.65</v>
      </c>
      <c r="O467" s="84">
        <v>22.74</v>
      </c>
      <c r="P467" s="84">
        <v>23.22</v>
      </c>
      <c r="Q467" s="84">
        <v>30.06</v>
      </c>
      <c r="R467" s="84">
        <v>27.66</v>
      </c>
      <c r="S467" s="84">
        <v>44.44</v>
      </c>
      <c r="T467" s="84">
        <v>33.25</v>
      </c>
      <c r="U467" s="84">
        <v>33.81</v>
      </c>
      <c r="V467" s="84">
        <v>29.35</v>
      </c>
      <c r="W467" s="84">
        <v>32.49</v>
      </c>
      <c r="X467" s="84">
        <v>26.99</v>
      </c>
      <c r="Y467" s="84">
        <v>28.52</v>
      </c>
      <c r="Z467" s="84">
        <v>29.08</v>
      </c>
      <c r="AA467" s="84">
        <v>36.619999999999997</v>
      </c>
      <c r="AB467" s="86">
        <v>31.3</v>
      </c>
      <c r="AC467" s="230">
        <v>31.034575368802251</v>
      </c>
      <c r="AD467" s="129">
        <v>-7.6968610429377637E-3</v>
      </c>
      <c r="AE467" s="251">
        <v>42095</v>
      </c>
      <c r="AF467" s="2" t="s">
        <v>495</v>
      </c>
    </row>
    <row r="468" spans="1:82" ht="15" customHeight="1" x14ac:dyDescent="0.3">
      <c r="A468" s="38" t="s">
        <v>523</v>
      </c>
      <c r="B468" s="84">
        <v>27.89</v>
      </c>
      <c r="C468" s="84">
        <v>26.62</v>
      </c>
      <c r="D468" s="84">
        <v>27.57</v>
      </c>
      <c r="E468" s="84">
        <v>32.81</v>
      </c>
      <c r="F468" s="84">
        <v>29.8</v>
      </c>
      <c r="G468" s="84">
        <v>24.43</v>
      </c>
      <c r="H468" s="84">
        <v>28.75</v>
      </c>
      <c r="I468" s="84">
        <v>41.79</v>
      </c>
      <c r="J468" s="84">
        <v>29.71</v>
      </c>
      <c r="K468" s="84">
        <v>29.64</v>
      </c>
      <c r="L468" s="84">
        <v>32.92</v>
      </c>
      <c r="M468" s="84">
        <v>34.75</v>
      </c>
      <c r="N468" s="84">
        <v>55.47</v>
      </c>
      <c r="O468" s="84">
        <v>22.41</v>
      </c>
      <c r="P468" s="84">
        <v>21.5</v>
      </c>
      <c r="Q468" s="84">
        <v>29.52</v>
      </c>
      <c r="R468" s="84">
        <v>25.68</v>
      </c>
      <c r="S468" s="84">
        <v>43.93</v>
      </c>
      <c r="T468" s="84">
        <v>32</v>
      </c>
      <c r="U468" s="84">
        <v>33.17</v>
      </c>
      <c r="V468" s="84">
        <v>28.23</v>
      </c>
      <c r="W468" s="84">
        <v>29</v>
      </c>
      <c r="X468" s="84">
        <v>24.53</v>
      </c>
      <c r="Y468" s="84">
        <v>28</v>
      </c>
      <c r="Z468" s="84">
        <v>27.89</v>
      </c>
      <c r="AA468" s="84">
        <v>36.51</v>
      </c>
      <c r="AB468" s="86">
        <v>32.33</v>
      </c>
      <c r="AC468" s="230">
        <v>30.278056111061758</v>
      </c>
      <c r="AD468" s="129">
        <v>-2.4376658895774339E-2</v>
      </c>
      <c r="AE468" s="251">
        <v>42125</v>
      </c>
      <c r="AF468" s="2" t="s">
        <v>495</v>
      </c>
    </row>
    <row r="469" spans="1:82" ht="15" customHeight="1" x14ac:dyDescent="0.3">
      <c r="A469" s="38" t="s">
        <v>524</v>
      </c>
      <c r="B469" s="84">
        <v>27.35</v>
      </c>
      <c r="C469" s="84">
        <v>26.56</v>
      </c>
      <c r="D469" s="84">
        <v>26.6</v>
      </c>
      <c r="E469" s="84">
        <v>30.9</v>
      </c>
      <c r="F469" s="84">
        <v>28.83</v>
      </c>
      <c r="G469" s="84">
        <v>23.26</v>
      </c>
      <c r="H469" s="84">
        <v>28.16</v>
      </c>
      <c r="I469" s="84">
        <v>41.58</v>
      </c>
      <c r="J469" s="84">
        <v>29.42</v>
      </c>
      <c r="K469" s="84">
        <v>30.11</v>
      </c>
      <c r="L469" s="84">
        <v>32.24</v>
      </c>
      <c r="M469" s="84">
        <v>34.85</v>
      </c>
      <c r="N469" s="84">
        <v>55.78</v>
      </c>
      <c r="O469" s="84">
        <v>21.33</v>
      </c>
      <c r="P469" s="84">
        <v>20.71</v>
      </c>
      <c r="Q469" s="84">
        <v>28.8</v>
      </c>
      <c r="R469" s="84">
        <v>24.29</v>
      </c>
      <c r="S469" s="84">
        <v>44.96</v>
      </c>
      <c r="T469" s="84">
        <v>30.5</v>
      </c>
      <c r="U469" s="84">
        <v>32.69</v>
      </c>
      <c r="V469" s="84">
        <v>26.98</v>
      </c>
      <c r="W469" s="84">
        <v>28.79</v>
      </c>
      <c r="X469" s="84">
        <v>23.56</v>
      </c>
      <c r="Y469" s="84">
        <v>27.65</v>
      </c>
      <c r="Z469" s="84">
        <v>27</v>
      </c>
      <c r="AA469" s="84">
        <v>36.450000000000003</v>
      </c>
      <c r="AB469" s="86">
        <v>31.71</v>
      </c>
      <c r="AC469" s="230">
        <v>29.675691779956118</v>
      </c>
      <c r="AD469" s="129">
        <v>-1.9894418878680042E-2</v>
      </c>
      <c r="AE469" s="251">
        <v>42156</v>
      </c>
      <c r="AF469" s="2" t="s">
        <v>495</v>
      </c>
    </row>
    <row r="470" spans="1:82" ht="15" customHeight="1" x14ac:dyDescent="0.3">
      <c r="A470" s="38" t="s">
        <v>525</v>
      </c>
      <c r="B470" s="84">
        <v>26.7</v>
      </c>
      <c r="C470" s="84">
        <v>26.19</v>
      </c>
      <c r="D470" s="84">
        <v>25.87</v>
      </c>
      <c r="E470" s="84">
        <v>30.9</v>
      </c>
      <c r="F470" s="84">
        <v>27.94</v>
      </c>
      <c r="G470" s="84">
        <v>23.89</v>
      </c>
      <c r="H470" s="84">
        <v>27.1</v>
      </c>
      <c r="I470" s="84">
        <v>41.54</v>
      </c>
      <c r="J470" s="84">
        <v>28.83</v>
      </c>
      <c r="K470" s="84">
        <v>30.94</v>
      </c>
      <c r="L470" s="84">
        <v>30.78</v>
      </c>
      <c r="M470" s="84">
        <v>34.49</v>
      </c>
      <c r="N470" s="84">
        <v>55.81</v>
      </c>
      <c r="O470" s="84">
        <v>21.04</v>
      </c>
      <c r="P470" s="84">
        <v>19.95</v>
      </c>
      <c r="Q470" s="84">
        <v>28.02</v>
      </c>
      <c r="R470" s="84">
        <v>23.9</v>
      </c>
      <c r="S470" s="84">
        <v>46.49</v>
      </c>
      <c r="T470" s="84">
        <v>30</v>
      </c>
      <c r="U470" s="84">
        <v>31.77</v>
      </c>
      <c r="V470" s="84">
        <v>26.96</v>
      </c>
      <c r="W470" s="84">
        <v>28.1</v>
      </c>
      <c r="X470" s="84">
        <v>23.64</v>
      </c>
      <c r="Y470" s="84">
        <v>27.25</v>
      </c>
      <c r="Z470" s="84">
        <v>26.43</v>
      </c>
      <c r="AA470" s="84">
        <v>36.29</v>
      </c>
      <c r="AB470" s="86">
        <v>30.71</v>
      </c>
      <c r="AC470" s="230">
        <v>29.359825693050048</v>
      </c>
      <c r="AD470" s="129">
        <v>-1.0643933400043437E-2</v>
      </c>
      <c r="AE470" s="251">
        <v>42186</v>
      </c>
      <c r="AF470" s="2" t="s">
        <v>495</v>
      </c>
    </row>
    <row r="471" spans="1:82" ht="15" customHeight="1" x14ac:dyDescent="0.3">
      <c r="A471" s="38" t="s">
        <v>526</v>
      </c>
      <c r="B471" s="84">
        <v>27.21</v>
      </c>
      <c r="C471" s="84">
        <v>27.22</v>
      </c>
      <c r="D471" s="84">
        <v>25.32</v>
      </c>
      <c r="E471" s="84">
        <v>29.92</v>
      </c>
      <c r="F471" s="84">
        <v>27.77</v>
      </c>
      <c r="G471" s="84">
        <v>22.36</v>
      </c>
      <c r="H471" s="84">
        <v>27.97</v>
      </c>
      <c r="I471" s="84">
        <v>41.58</v>
      </c>
      <c r="J471" s="84">
        <v>29.03</v>
      </c>
      <c r="K471" s="84">
        <v>32.46</v>
      </c>
      <c r="L471" s="84">
        <v>31.05</v>
      </c>
      <c r="M471" s="84">
        <v>34.24</v>
      </c>
      <c r="N471" s="84">
        <v>54.97</v>
      </c>
      <c r="O471" s="84">
        <v>20.399999999999999</v>
      </c>
      <c r="P471" s="84">
        <v>19.079999999999998</v>
      </c>
      <c r="Q471" s="84">
        <v>28.48</v>
      </c>
      <c r="R471" s="84">
        <v>24.03</v>
      </c>
      <c r="S471" s="84">
        <v>48.2</v>
      </c>
      <c r="T471" s="84">
        <v>28.5</v>
      </c>
      <c r="U471" s="84">
        <v>32.04</v>
      </c>
      <c r="V471" s="84">
        <v>26.54</v>
      </c>
      <c r="W471" s="84">
        <v>28.18</v>
      </c>
      <c r="X471" s="84">
        <v>24.21</v>
      </c>
      <c r="Y471" s="84">
        <v>27.36</v>
      </c>
      <c r="Z471" s="84">
        <v>26.25</v>
      </c>
      <c r="AA471" s="84">
        <v>36.799999999999997</v>
      </c>
      <c r="AB471" s="86">
        <v>29.76</v>
      </c>
      <c r="AC471" s="230">
        <v>29.413613099535237</v>
      </c>
      <c r="AD471" s="129">
        <v>1.8320070101069952E-3</v>
      </c>
      <c r="AE471" s="251">
        <v>42217</v>
      </c>
      <c r="AF471" s="2" t="s">
        <v>495</v>
      </c>
    </row>
    <row r="472" spans="1:82" ht="15" customHeight="1" x14ac:dyDescent="0.3">
      <c r="A472" s="38" t="s">
        <v>527</v>
      </c>
      <c r="B472" s="84">
        <v>27.35</v>
      </c>
      <c r="C472" s="84">
        <v>27.85</v>
      </c>
      <c r="D472" s="84">
        <v>25.42</v>
      </c>
      <c r="E472" s="84">
        <v>29.93</v>
      </c>
      <c r="F472" s="84">
        <v>28.38</v>
      </c>
      <c r="G472" s="84">
        <v>22.6</v>
      </c>
      <c r="H472" s="84">
        <v>29.23</v>
      </c>
      <c r="I472" s="84">
        <v>41.8</v>
      </c>
      <c r="J472" s="84">
        <v>29.51</v>
      </c>
      <c r="K472" s="84">
        <v>32.229999999999997</v>
      </c>
      <c r="L472" s="84">
        <v>31.68</v>
      </c>
      <c r="M472" s="84">
        <v>33.76</v>
      </c>
      <c r="N472" s="84">
        <v>55.47</v>
      </c>
      <c r="O472" s="84">
        <v>20.350000000000001</v>
      </c>
      <c r="P472" s="84">
        <v>20.12</v>
      </c>
      <c r="Q472" s="84">
        <v>29.55</v>
      </c>
      <c r="R472" s="84">
        <v>24.23</v>
      </c>
      <c r="S472" s="84">
        <v>49.6</v>
      </c>
      <c r="T472" s="84">
        <v>28.5</v>
      </c>
      <c r="U472" s="84">
        <v>32.869999999999997</v>
      </c>
      <c r="V472" s="84">
        <v>26.56</v>
      </c>
      <c r="W472" s="84">
        <v>28.6</v>
      </c>
      <c r="X472" s="84">
        <v>25.27</v>
      </c>
      <c r="Y472" s="84">
        <v>28.02</v>
      </c>
      <c r="Z472" s="84">
        <v>26.63</v>
      </c>
      <c r="AA472" s="84">
        <v>37.71</v>
      </c>
      <c r="AB472" s="86">
        <v>30.88</v>
      </c>
      <c r="AC472" s="230">
        <v>29.665221666891377</v>
      </c>
      <c r="AD472" s="129">
        <v>8.5541537010329627E-3</v>
      </c>
      <c r="AE472" s="251">
        <v>42248</v>
      </c>
      <c r="AF472" s="2" t="s">
        <v>495</v>
      </c>
    </row>
    <row r="473" spans="1:82" ht="15" customHeight="1" x14ac:dyDescent="0.3">
      <c r="A473" s="38" t="s">
        <v>528</v>
      </c>
      <c r="B473" s="84">
        <v>28.27</v>
      </c>
      <c r="C473" s="84">
        <v>28.44</v>
      </c>
      <c r="D473" s="84">
        <v>26.01</v>
      </c>
      <c r="E473" s="84">
        <v>30.58</v>
      </c>
      <c r="F473" s="84">
        <v>29.43</v>
      </c>
      <c r="G473" s="84">
        <v>22.87</v>
      </c>
      <c r="H473" s="84">
        <v>31.08</v>
      </c>
      <c r="I473" s="84">
        <v>41.86</v>
      </c>
      <c r="J473" s="84">
        <v>30</v>
      </c>
      <c r="K473" s="84">
        <v>31.52</v>
      </c>
      <c r="L473" s="84">
        <v>32.04</v>
      </c>
      <c r="M473" s="84">
        <v>33.93</v>
      </c>
      <c r="N473" s="84">
        <v>56.45</v>
      </c>
      <c r="O473" s="84">
        <v>20.97</v>
      </c>
      <c r="P473" s="84">
        <v>22.06</v>
      </c>
      <c r="Q473" s="84">
        <v>30.75</v>
      </c>
      <c r="R473" s="84">
        <v>24.99</v>
      </c>
      <c r="S473" s="84">
        <v>49.34</v>
      </c>
      <c r="T473" s="84">
        <v>29</v>
      </c>
      <c r="U473" s="84">
        <v>34.119999999999997</v>
      </c>
      <c r="V473" s="84">
        <v>27.31</v>
      </c>
      <c r="W473" s="84">
        <v>28.65</v>
      </c>
      <c r="X473" s="84">
        <v>26.96</v>
      </c>
      <c r="Y473" s="84">
        <v>28.52</v>
      </c>
      <c r="Z473" s="84">
        <v>27.08</v>
      </c>
      <c r="AA473" s="84">
        <v>38.06</v>
      </c>
      <c r="AB473" s="86">
        <v>32.729999999999997</v>
      </c>
      <c r="AC473" s="230">
        <v>30.200462088974888</v>
      </c>
      <c r="AD473" s="129">
        <v>1.804269080115728E-2</v>
      </c>
      <c r="AE473" s="251">
        <v>42278</v>
      </c>
      <c r="AF473" s="2" t="s">
        <v>495</v>
      </c>
    </row>
    <row r="474" spans="1:82" ht="15" customHeight="1" x14ac:dyDescent="0.3">
      <c r="A474" s="38" t="s">
        <v>529</v>
      </c>
      <c r="B474" s="81">
        <v>28.14</v>
      </c>
      <c r="C474" s="81">
        <v>28.75</v>
      </c>
      <c r="D474" s="81">
        <v>26.4</v>
      </c>
      <c r="E474" s="81">
        <v>30.59</v>
      </c>
      <c r="F474" s="81">
        <v>29.81</v>
      </c>
      <c r="G474" s="81">
        <v>23.56</v>
      </c>
      <c r="H474" s="84">
        <v>30.98</v>
      </c>
      <c r="I474" s="81">
        <v>41.93</v>
      </c>
      <c r="J474" s="81">
        <v>30.1</v>
      </c>
      <c r="K474" s="81">
        <v>30.98</v>
      </c>
      <c r="L474" s="81">
        <v>32.19</v>
      </c>
      <c r="M474" s="81">
        <v>34.07</v>
      </c>
      <c r="N474" s="81">
        <v>57.55</v>
      </c>
      <c r="O474" s="81">
        <v>21.78</v>
      </c>
      <c r="P474" s="81">
        <v>22.84</v>
      </c>
      <c r="Q474" s="81">
        <v>30.69</v>
      </c>
      <c r="R474" s="81">
        <v>25.21</v>
      </c>
      <c r="S474" s="81">
        <v>49.26</v>
      </c>
      <c r="T474" s="81">
        <v>29.75</v>
      </c>
      <c r="U474" s="81">
        <v>34.380000000000003</v>
      </c>
      <c r="V474" s="81">
        <v>27.41</v>
      </c>
      <c r="W474" s="81">
        <v>28.63</v>
      </c>
      <c r="X474" s="81">
        <v>27.8</v>
      </c>
      <c r="Y474" s="81">
        <v>28.65</v>
      </c>
      <c r="Z474" s="81">
        <v>27.41</v>
      </c>
      <c r="AA474" s="81">
        <v>38.700000000000003</v>
      </c>
      <c r="AB474" s="83">
        <v>32.83</v>
      </c>
      <c r="AC474" s="220">
        <v>30.332156510409988</v>
      </c>
      <c r="AD474" s="132">
        <v>4.3606757091037007E-3</v>
      </c>
      <c r="AE474" s="251">
        <v>42309</v>
      </c>
      <c r="AF474" s="2" t="s">
        <v>495</v>
      </c>
    </row>
    <row r="475" spans="1:82" ht="15" customHeight="1" thickBot="1" x14ac:dyDescent="0.35">
      <c r="A475" s="63" t="s">
        <v>530</v>
      </c>
      <c r="B475" s="87">
        <v>27.41</v>
      </c>
      <c r="C475" s="87">
        <v>28.85</v>
      </c>
      <c r="D475" s="87">
        <v>26.7</v>
      </c>
      <c r="E475" s="87">
        <v>30.69</v>
      </c>
      <c r="F475" s="87">
        <v>29.75</v>
      </c>
      <c r="G475" s="87">
        <v>23.44</v>
      </c>
      <c r="H475" s="87">
        <v>29.43</v>
      </c>
      <c r="I475" s="87">
        <v>41.36</v>
      </c>
      <c r="J475" s="87">
        <v>30.1</v>
      </c>
      <c r="K475" s="87">
        <v>30.16</v>
      </c>
      <c r="L475" s="87">
        <v>31.92</v>
      </c>
      <c r="M475" s="87">
        <v>34.75</v>
      </c>
      <c r="N475" s="87">
        <v>58.13</v>
      </c>
      <c r="O475" s="87">
        <v>21.96</v>
      </c>
      <c r="P475" s="87">
        <v>22.14</v>
      </c>
      <c r="Q475" s="87">
        <v>30.33</v>
      </c>
      <c r="R475" s="87">
        <v>25.02</v>
      </c>
      <c r="S475" s="87">
        <v>47.95</v>
      </c>
      <c r="T475" s="87">
        <v>30</v>
      </c>
      <c r="U475" s="87">
        <v>34.450000000000003</v>
      </c>
      <c r="V475" s="87">
        <v>27.39</v>
      </c>
      <c r="W475" s="87">
        <v>28.71</v>
      </c>
      <c r="X475" s="87">
        <v>27.01</v>
      </c>
      <c r="Y475" s="87">
        <v>28.33</v>
      </c>
      <c r="Z475" s="87">
        <v>27.43</v>
      </c>
      <c r="AA475" s="87">
        <v>38.51</v>
      </c>
      <c r="AB475" s="89">
        <v>32.979999999999997</v>
      </c>
      <c r="AC475" s="221">
        <v>30.141758344354528</v>
      </c>
      <c r="AD475" s="133">
        <v>-6.2771061460834554E-3</v>
      </c>
      <c r="AE475" s="252">
        <v>42339</v>
      </c>
      <c r="AF475" s="2" t="s">
        <v>495</v>
      </c>
    </row>
    <row r="476" spans="1:82" ht="15" customHeight="1" x14ac:dyDescent="0.3">
      <c r="A476" s="76" t="s">
        <v>531</v>
      </c>
      <c r="B476" s="84">
        <v>26.84</v>
      </c>
      <c r="C476" s="90">
        <v>28.66</v>
      </c>
      <c r="D476" s="90">
        <v>26.37</v>
      </c>
      <c r="E476" s="90">
        <v>30.69</v>
      </c>
      <c r="F476" s="90">
        <v>28.92</v>
      </c>
      <c r="G476" s="90">
        <v>23.43</v>
      </c>
      <c r="H476" s="90">
        <v>28.26</v>
      </c>
      <c r="I476" s="90">
        <v>41.59</v>
      </c>
      <c r="J476" s="90">
        <v>29.9</v>
      </c>
      <c r="K476" s="90">
        <v>30.42</v>
      </c>
      <c r="L476" s="90">
        <v>31.81</v>
      </c>
      <c r="M476" s="90">
        <v>34.380000000000003</v>
      </c>
      <c r="N476" s="90">
        <v>58.49</v>
      </c>
      <c r="O476" s="90">
        <v>22</v>
      </c>
      <c r="P476" s="90">
        <v>22.57</v>
      </c>
      <c r="Q476" s="90">
        <v>29</v>
      </c>
      <c r="R476" s="90">
        <v>24.76</v>
      </c>
      <c r="S476" s="90">
        <v>46.14</v>
      </c>
      <c r="T476" s="90">
        <v>29.25</v>
      </c>
      <c r="U476" s="90">
        <v>33.22</v>
      </c>
      <c r="V476" s="90">
        <v>26.14</v>
      </c>
      <c r="W476" s="90">
        <v>28.64</v>
      </c>
      <c r="X476" s="90">
        <v>27.27</v>
      </c>
      <c r="Y476" s="90">
        <v>27.45</v>
      </c>
      <c r="Z476" s="90">
        <v>27.53</v>
      </c>
      <c r="AA476" s="90">
        <v>38.07</v>
      </c>
      <c r="AB476" s="103">
        <v>32.450000000000003</v>
      </c>
      <c r="AC476" s="219">
        <v>29.66</v>
      </c>
      <c r="AD476" s="132">
        <v>-1.589748983787409E-2</v>
      </c>
      <c r="AE476" s="250">
        <v>42370</v>
      </c>
      <c r="AF476" s="2" t="s">
        <v>495</v>
      </c>
      <c r="BA476" s="2" t="s">
        <v>531</v>
      </c>
      <c r="BB476" s="2" t="e">
        <v>#N/A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</row>
    <row r="477" spans="1:82" ht="15" customHeight="1" x14ac:dyDescent="0.3">
      <c r="A477" s="38" t="s">
        <v>532</v>
      </c>
      <c r="B477" s="84">
        <v>25.81</v>
      </c>
      <c r="C477" s="84">
        <v>28.17</v>
      </c>
      <c r="D477" s="84">
        <v>25.49</v>
      </c>
      <c r="E477" s="84">
        <v>29.75</v>
      </c>
      <c r="F477" s="84">
        <v>28.13</v>
      </c>
      <c r="G477" s="84">
        <v>23.2</v>
      </c>
      <c r="H477" s="84">
        <v>27.58</v>
      </c>
      <c r="I477" s="84">
        <v>40.630000000000003</v>
      </c>
      <c r="J477" s="84">
        <v>29.71</v>
      </c>
      <c r="K477" s="84">
        <v>30.07</v>
      </c>
      <c r="L477" s="84">
        <v>29.86</v>
      </c>
      <c r="M477" s="84">
        <v>34.090000000000003</v>
      </c>
      <c r="N477" s="84">
        <v>57.52</v>
      </c>
      <c r="O477" s="84">
        <v>21.42</v>
      </c>
      <c r="P477" s="84">
        <v>21.42</v>
      </c>
      <c r="Q477" s="84">
        <v>28.37</v>
      </c>
      <c r="R477" s="84">
        <v>24.56</v>
      </c>
      <c r="S477" s="84">
        <v>44.12</v>
      </c>
      <c r="T477" s="84">
        <v>29.25</v>
      </c>
      <c r="U477" s="84">
        <v>31.73</v>
      </c>
      <c r="V477" s="84">
        <v>25.6</v>
      </c>
      <c r="W477" s="84">
        <v>28</v>
      </c>
      <c r="X477" s="84">
        <v>26.92</v>
      </c>
      <c r="Y477" s="84">
        <v>26.65</v>
      </c>
      <c r="Z477" s="84">
        <v>26.87</v>
      </c>
      <c r="AA477" s="84">
        <v>37.83</v>
      </c>
      <c r="AB477" s="86">
        <v>31.03</v>
      </c>
      <c r="AC477" s="230">
        <v>29.1</v>
      </c>
      <c r="AD477" s="129">
        <v>-1.9006546853117978E-2</v>
      </c>
      <c r="AE477" s="251">
        <v>42401</v>
      </c>
      <c r="AF477" s="2" t="s">
        <v>495</v>
      </c>
      <c r="BA477" s="2" t="s">
        <v>532</v>
      </c>
      <c r="BB477" s="2" t="e">
        <v>#N/A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</row>
    <row r="478" spans="1:82" ht="15" customHeight="1" x14ac:dyDescent="0.3">
      <c r="A478" s="38" t="s">
        <v>533</v>
      </c>
      <c r="B478" s="84">
        <v>24.79</v>
      </c>
      <c r="C478" s="84">
        <v>27.29</v>
      </c>
      <c r="D478" s="84">
        <v>24.51</v>
      </c>
      <c r="E478" s="84">
        <v>29.37</v>
      </c>
      <c r="F478" s="84">
        <v>27.31</v>
      </c>
      <c r="G478" s="84">
        <v>22.74</v>
      </c>
      <c r="H478" s="84">
        <v>24.18</v>
      </c>
      <c r="I478" s="84">
        <v>38.92</v>
      </c>
      <c r="J478" s="84">
        <v>29.42</v>
      </c>
      <c r="K478" s="84">
        <v>29.99</v>
      </c>
      <c r="L478" s="84">
        <v>29.98</v>
      </c>
      <c r="M478" s="84">
        <v>32.14</v>
      </c>
      <c r="N478" s="84">
        <v>56.32</v>
      </c>
      <c r="O478" s="84">
        <v>20.7</v>
      </c>
      <c r="P478" s="84">
        <v>20.73</v>
      </c>
      <c r="Q478" s="84">
        <v>28.48</v>
      </c>
      <c r="R478" s="84">
        <v>23.73</v>
      </c>
      <c r="S478" s="84">
        <v>43.66</v>
      </c>
      <c r="T478" s="84">
        <v>28.5</v>
      </c>
      <c r="U478" s="84">
        <v>31.7</v>
      </c>
      <c r="V478" s="84">
        <v>25.71</v>
      </c>
      <c r="W478" s="84">
        <v>27.98</v>
      </c>
      <c r="X478" s="84">
        <v>26.3</v>
      </c>
      <c r="Y478" s="84">
        <v>25.13</v>
      </c>
      <c r="Z478" s="84">
        <v>25.89</v>
      </c>
      <c r="AA478" s="84">
        <v>37.549999999999997</v>
      </c>
      <c r="AB478" s="86">
        <v>31.43</v>
      </c>
      <c r="AC478" s="230">
        <v>28.4</v>
      </c>
      <c r="AD478" s="129">
        <v>-2.3940879339286347E-2</v>
      </c>
      <c r="AE478" s="251">
        <v>42430</v>
      </c>
      <c r="AF478" s="2" t="s">
        <v>495</v>
      </c>
      <c r="BA478" s="2" t="s">
        <v>533</v>
      </c>
      <c r="BB478" s="2" t="e">
        <v>#N/A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</row>
    <row r="479" spans="1:82" ht="15" customHeight="1" x14ac:dyDescent="0.3">
      <c r="A479" s="54" t="s">
        <v>534</v>
      </c>
      <c r="B479" s="84">
        <v>24.08</v>
      </c>
      <c r="C479" s="84">
        <v>25.72</v>
      </c>
      <c r="D479" s="84">
        <v>23.56</v>
      </c>
      <c r="E479" s="84">
        <v>28.48</v>
      </c>
      <c r="F479" s="84">
        <v>25.74</v>
      </c>
      <c r="G479" s="84">
        <v>21.92</v>
      </c>
      <c r="H479" s="84">
        <v>24.08</v>
      </c>
      <c r="I479" s="84">
        <v>38</v>
      </c>
      <c r="J479" s="84">
        <v>28.93</v>
      </c>
      <c r="K479" s="84">
        <v>29.39</v>
      </c>
      <c r="L479" s="84">
        <v>29.1</v>
      </c>
      <c r="M479" s="84">
        <v>31.49</v>
      </c>
      <c r="N479" s="84">
        <v>54.74</v>
      </c>
      <c r="O479" s="84">
        <v>19.489999999999998</v>
      </c>
      <c r="P479" s="84">
        <v>19.38</v>
      </c>
      <c r="Q479" s="84">
        <v>27.59</v>
      </c>
      <c r="R479" s="84">
        <v>22.55</v>
      </c>
      <c r="S479" s="84">
        <v>42.94</v>
      </c>
      <c r="T479" s="84">
        <v>27.5</v>
      </c>
      <c r="U479" s="84">
        <v>30.78</v>
      </c>
      <c r="V479" s="84">
        <v>24.43</v>
      </c>
      <c r="W479" s="84">
        <v>30.99</v>
      </c>
      <c r="X479" s="84">
        <v>24.78</v>
      </c>
      <c r="Y479" s="84">
        <v>23.64</v>
      </c>
      <c r="Z479" s="84">
        <v>24.72</v>
      </c>
      <c r="AA479" s="84">
        <v>37.46</v>
      </c>
      <c r="AB479" s="86">
        <v>31.17</v>
      </c>
      <c r="AC479" s="230">
        <v>27.5</v>
      </c>
      <c r="AD479" s="129">
        <v>-3.1605396470614E-2</v>
      </c>
      <c r="AE479" s="251">
        <v>42461</v>
      </c>
      <c r="AF479" s="2" t="s">
        <v>495</v>
      </c>
      <c r="BA479" s="2" t="s">
        <v>534</v>
      </c>
      <c r="BB479" s="2" t="e">
        <v>#N/A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</row>
    <row r="480" spans="1:82" ht="15" customHeight="1" x14ac:dyDescent="0.3">
      <c r="A480" s="38" t="s">
        <v>535</v>
      </c>
      <c r="B480" s="84">
        <v>22.85</v>
      </c>
      <c r="C480" s="84">
        <v>24.73</v>
      </c>
      <c r="D480" s="84">
        <v>22.52</v>
      </c>
      <c r="E480" s="84">
        <v>27.42</v>
      </c>
      <c r="F480" s="84">
        <v>23.97</v>
      </c>
      <c r="G480" s="84">
        <v>21.19</v>
      </c>
      <c r="H480" s="84">
        <v>23.99</v>
      </c>
      <c r="I480" s="84">
        <v>37.56</v>
      </c>
      <c r="J480" s="84">
        <v>28.35</v>
      </c>
      <c r="K480" s="84">
        <v>28.78</v>
      </c>
      <c r="L480" s="84">
        <v>28.78</v>
      </c>
      <c r="M480" s="84">
        <v>31.07</v>
      </c>
      <c r="N480" s="84">
        <v>54.71</v>
      </c>
      <c r="O480" s="84">
        <v>18.239999999999998</v>
      </c>
      <c r="P480" s="84">
        <v>17.940000000000001</v>
      </c>
      <c r="Q480" s="84">
        <v>26.1</v>
      </c>
      <c r="R480" s="84">
        <v>21.67</v>
      </c>
      <c r="S480" s="84">
        <v>43.97</v>
      </c>
      <c r="T480" s="84">
        <v>25</v>
      </c>
      <c r="U480" s="84">
        <v>29.77</v>
      </c>
      <c r="V480" s="84">
        <v>23.33</v>
      </c>
      <c r="W480" s="84">
        <v>27.59</v>
      </c>
      <c r="X480" s="84">
        <v>21.81</v>
      </c>
      <c r="Y480" s="84">
        <v>23.46</v>
      </c>
      <c r="Z480" s="84">
        <v>23.67</v>
      </c>
      <c r="AA480" s="84">
        <v>37.119999999999997</v>
      </c>
      <c r="AB480" s="86">
        <v>29.6</v>
      </c>
      <c r="AC480" s="230">
        <v>26.3</v>
      </c>
      <c r="AD480" s="129">
        <v>-4.3777907703065E-2</v>
      </c>
      <c r="AE480" s="251">
        <v>42491</v>
      </c>
      <c r="AF480" s="2" t="s">
        <v>495</v>
      </c>
      <c r="BA480" s="2" t="s">
        <v>535</v>
      </c>
      <c r="BB480" s="2" t="e">
        <v>#N/A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</row>
    <row r="481" spans="1:82" ht="15" customHeight="1" x14ac:dyDescent="0.3">
      <c r="A481" s="38" t="s">
        <v>536</v>
      </c>
      <c r="B481" s="84">
        <v>22.26</v>
      </c>
      <c r="C481" s="84">
        <v>24.6</v>
      </c>
      <c r="D481" s="84">
        <v>22.02</v>
      </c>
      <c r="E481" s="84">
        <v>26.22</v>
      </c>
      <c r="F481" s="84">
        <v>23.18</v>
      </c>
      <c r="G481" s="84">
        <v>20.239999999999998</v>
      </c>
      <c r="H481" s="84">
        <v>23.5</v>
      </c>
      <c r="I481" s="84">
        <v>37.35</v>
      </c>
      <c r="J481" s="84">
        <v>27.96</v>
      </c>
      <c r="K481" s="84">
        <v>28.68</v>
      </c>
      <c r="L481" s="84">
        <v>28.16</v>
      </c>
      <c r="M481" s="84">
        <v>30.63</v>
      </c>
      <c r="N481" s="84">
        <v>55</v>
      </c>
      <c r="O481" s="84">
        <v>17.78</v>
      </c>
      <c r="P481" s="84">
        <v>16.91</v>
      </c>
      <c r="Q481" s="84">
        <v>25.04</v>
      </c>
      <c r="R481" s="84">
        <v>21.02</v>
      </c>
      <c r="S481" s="84">
        <v>45.03</v>
      </c>
      <c r="T481" s="84">
        <v>25</v>
      </c>
      <c r="U481" s="84">
        <v>29.26</v>
      </c>
      <c r="V481" s="84">
        <v>23.12</v>
      </c>
      <c r="W481" s="84">
        <v>27.4</v>
      </c>
      <c r="X481" s="84">
        <v>21.62</v>
      </c>
      <c r="Y481" s="84">
        <v>23.16</v>
      </c>
      <c r="Z481" s="84">
        <v>23.17</v>
      </c>
      <c r="AA481" s="84">
        <v>36.64</v>
      </c>
      <c r="AB481" s="86">
        <v>27.96</v>
      </c>
      <c r="AC481" s="230">
        <v>25.83</v>
      </c>
      <c r="AD481" s="126">
        <v>-1.7708015550308431E-2</v>
      </c>
      <c r="AE481" s="251">
        <v>42522</v>
      </c>
      <c r="AF481" s="2" t="s">
        <v>495</v>
      </c>
      <c r="BA481" s="2" t="s">
        <v>536</v>
      </c>
      <c r="BB481" s="2" t="e">
        <v>#N/A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</row>
    <row r="482" spans="1:82" ht="15" customHeight="1" x14ac:dyDescent="0.3">
      <c r="A482" s="38" t="s">
        <v>539</v>
      </c>
      <c r="B482" s="84">
        <v>22.12</v>
      </c>
      <c r="C482" s="84">
        <v>25.03</v>
      </c>
      <c r="D482" s="91">
        <v>21.96</v>
      </c>
      <c r="E482" s="84">
        <v>26.08</v>
      </c>
      <c r="F482" s="84">
        <v>23.42</v>
      </c>
      <c r="G482" s="84">
        <v>20.04</v>
      </c>
      <c r="H482" s="84">
        <v>24.47</v>
      </c>
      <c r="I482" s="84">
        <v>37.520000000000003</v>
      </c>
      <c r="J482" s="84">
        <v>27.77</v>
      </c>
      <c r="K482" s="84">
        <v>28.51</v>
      </c>
      <c r="L482" s="84">
        <v>27.89</v>
      </c>
      <c r="M482" s="84">
        <v>30.63</v>
      </c>
      <c r="N482" s="84">
        <v>54.97</v>
      </c>
      <c r="O482" s="84">
        <v>17.71</v>
      </c>
      <c r="P482" s="84">
        <v>16.920000000000002</v>
      </c>
      <c r="Q482" s="84">
        <v>24.72</v>
      </c>
      <c r="R482" s="84">
        <v>20.96</v>
      </c>
      <c r="S482" s="84">
        <v>45.82</v>
      </c>
      <c r="T482" s="84">
        <v>25</v>
      </c>
      <c r="U482" s="84">
        <v>29.37</v>
      </c>
      <c r="V482" s="84">
        <v>23.29</v>
      </c>
      <c r="W482" s="84">
        <v>26.98</v>
      </c>
      <c r="X482" s="84">
        <v>22.67</v>
      </c>
      <c r="Y482" s="84">
        <v>23.34</v>
      </c>
      <c r="Z482" s="84">
        <v>23.12</v>
      </c>
      <c r="AA482" s="84">
        <v>35.369999999999997</v>
      </c>
      <c r="AB482" s="86">
        <v>27.24</v>
      </c>
      <c r="AC482" s="230">
        <v>25.86</v>
      </c>
      <c r="AD482" s="129">
        <v>9.8454891090038466E-4</v>
      </c>
      <c r="AE482" s="251">
        <v>42552</v>
      </c>
      <c r="AF482" s="2" t="s">
        <v>495</v>
      </c>
      <c r="BA482" s="2" t="s">
        <v>539</v>
      </c>
      <c r="BB482" s="2" t="e">
        <v>#N/A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</row>
    <row r="483" spans="1:82" ht="15" customHeight="1" x14ac:dyDescent="0.3">
      <c r="A483" s="38" t="s">
        <v>540</v>
      </c>
      <c r="B483" s="84">
        <v>24.67</v>
      </c>
      <c r="C483" s="84">
        <v>25.88</v>
      </c>
      <c r="D483" s="91">
        <v>22.34</v>
      </c>
      <c r="E483" s="84">
        <v>26.21</v>
      </c>
      <c r="F483" s="84">
        <v>24.3</v>
      </c>
      <c r="G483" s="84">
        <v>20.75</v>
      </c>
      <c r="H483" s="84">
        <v>27</v>
      </c>
      <c r="I483" s="84">
        <v>37.89</v>
      </c>
      <c r="J483" s="84">
        <v>28.16</v>
      </c>
      <c r="K483" s="84">
        <v>29.41</v>
      </c>
      <c r="L483" s="84">
        <v>28.37</v>
      </c>
      <c r="M483" s="84">
        <v>30.47</v>
      </c>
      <c r="N483" s="84">
        <v>54.85</v>
      </c>
      <c r="O483" s="84">
        <v>18.64</v>
      </c>
      <c r="P483" s="84">
        <v>17.86</v>
      </c>
      <c r="Q483" s="84">
        <v>25.07</v>
      </c>
      <c r="R483" s="84">
        <v>22.07</v>
      </c>
      <c r="S483" s="84">
        <v>46.3</v>
      </c>
      <c r="T483" s="84">
        <v>25</v>
      </c>
      <c r="U483" s="84">
        <v>29.37</v>
      </c>
      <c r="V483" s="84">
        <v>24.95</v>
      </c>
      <c r="W483" s="84">
        <v>26.84</v>
      </c>
      <c r="X483" s="84">
        <v>23.59</v>
      </c>
      <c r="Y483" s="84">
        <v>24.15</v>
      </c>
      <c r="Z483" s="84">
        <v>23.39</v>
      </c>
      <c r="AA483" s="84">
        <v>35.64</v>
      </c>
      <c r="AB483" s="86">
        <v>28.35</v>
      </c>
      <c r="AC483" s="230">
        <v>26.65</v>
      </c>
      <c r="AD483" s="129">
        <v>3.0502779007743674E-2</v>
      </c>
      <c r="AE483" s="251">
        <v>42583</v>
      </c>
      <c r="AF483" s="2" t="s">
        <v>495</v>
      </c>
      <c r="BA483" s="2" t="s">
        <v>540</v>
      </c>
      <c r="BB483" s="2" t="e">
        <v>#N/A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</row>
    <row r="484" spans="1:82" ht="15" customHeight="1" x14ac:dyDescent="0.3">
      <c r="A484" s="38" t="s">
        <v>541</v>
      </c>
      <c r="B484" s="84">
        <v>26.85</v>
      </c>
      <c r="C484" s="84">
        <v>27.14</v>
      </c>
      <c r="D484" s="91">
        <v>23.13</v>
      </c>
      <c r="E484" s="84">
        <v>27.39</v>
      </c>
      <c r="F484" s="84">
        <v>26.37</v>
      </c>
      <c r="G484" s="84">
        <v>23.3</v>
      </c>
      <c r="H484" s="84">
        <v>29.91</v>
      </c>
      <c r="I484" s="84">
        <v>38.28</v>
      </c>
      <c r="J484" s="84">
        <v>28.74</v>
      </c>
      <c r="K484" s="84">
        <v>30.2</v>
      </c>
      <c r="L484" s="84">
        <v>28.86</v>
      </c>
      <c r="M484" s="84">
        <v>31.32</v>
      </c>
      <c r="N484" s="84">
        <v>55.12</v>
      </c>
      <c r="O484" s="84">
        <v>21.14</v>
      </c>
      <c r="P484" s="84">
        <v>21.17</v>
      </c>
      <c r="Q484" s="84">
        <v>26.54</v>
      </c>
      <c r="R484" s="84">
        <v>23.42</v>
      </c>
      <c r="S484" s="84">
        <v>47.68</v>
      </c>
      <c r="T484" s="84">
        <v>26.25</v>
      </c>
      <c r="U484" s="84">
        <v>29.84</v>
      </c>
      <c r="V484" s="84">
        <v>26.41</v>
      </c>
      <c r="W484" s="84">
        <v>27.1</v>
      </c>
      <c r="X484" s="84">
        <v>25.27</v>
      </c>
      <c r="Y484" s="84">
        <v>24.76</v>
      </c>
      <c r="Z484" s="84">
        <v>24.21</v>
      </c>
      <c r="AA484" s="84">
        <v>36.479999999999997</v>
      </c>
      <c r="AB484" s="86">
        <v>29.6</v>
      </c>
      <c r="AC484" s="230">
        <v>28.03</v>
      </c>
      <c r="AD484" s="129">
        <v>5.1928844865898327E-2</v>
      </c>
      <c r="AE484" s="251">
        <v>42614</v>
      </c>
      <c r="AF484" s="2" t="s">
        <v>495</v>
      </c>
      <c r="BA484" s="2" t="s">
        <v>541</v>
      </c>
      <c r="BB484" s="2" t="e">
        <v>#N/A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</row>
    <row r="485" spans="1:82" ht="15" customHeight="1" x14ac:dyDescent="0.3">
      <c r="A485" s="38" t="s">
        <v>542</v>
      </c>
      <c r="B485" s="84">
        <v>30.46</v>
      </c>
      <c r="C485" s="84">
        <v>28.91</v>
      </c>
      <c r="D485" s="91">
        <v>24.36</v>
      </c>
      <c r="E485" s="84">
        <v>29.43</v>
      </c>
      <c r="F485" s="84">
        <v>30.42</v>
      </c>
      <c r="G485" s="84">
        <v>26.39</v>
      </c>
      <c r="H485" s="84">
        <v>32.83</v>
      </c>
      <c r="I485" s="84">
        <v>38.64</v>
      </c>
      <c r="J485" s="84">
        <v>29.71</v>
      </c>
      <c r="K485" s="84">
        <v>31.59</v>
      </c>
      <c r="L485" s="84">
        <v>30.13</v>
      </c>
      <c r="M485" s="84">
        <v>31.32</v>
      </c>
      <c r="N485" s="84">
        <v>56.16</v>
      </c>
      <c r="O485" s="84">
        <v>24.89</v>
      </c>
      <c r="P485" s="84">
        <v>25.88</v>
      </c>
      <c r="Q485" s="84">
        <v>29.13</v>
      </c>
      <c r="R485" s="84">
        <v>25.28</v>
      </c>
      <c r="S485" s="84">
        <v>48.92</v>
      </c>
      <c r="T485" s="84">
        <v>29.25</v>
      </c>
      <c r="U485" s="84">
        <v>31.43</v>
      </c>
      <c r="V485" s="84">
        <v>28.3</v>
      </c>
      <c r="W485" s="84">
        <v>27.38</v>
      </c>
      <c r="X485" s="84">
        <v>27.9</v>
      </c>
      <c r="Y485" s="84">
        <v>26.09</v>
      </c>
      <c r="Z485" s="84">
        <v>25.78</v>
      </c>
      <c r="AA485" s="84">
        <v>37.4</v>
      </c>
      <c r="AB485" s="86">
        <v>31.66</v>
      </c>
      <c r="AC485" s="230">
        <v>30.33</v>
      </c>
      <c r="AD485" s="129">
        <v>8.1901317664228035E-2</v>
      </c>
      <c r="AE485" s="251">
        <v>42644</v>
      </c>
      <c r="AF485" s="2" t="s">
        <v>495</v>
      </c>
      <c r="BA485" s="2" t="s">
        <v>542</v>
      </c>
      <c r="BB485" s="2" t="e">
        <v>#N/A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</row>
    <row r="486" spans="1:82" ht="15" customHeight="1" x14ac:dyDescent="0.3">
      <c r="A486" s="38" t="s">
        <v>543</v>
      </c>
      <c r="B486" s="84">
        <v>33.68</v>
      </c>
      <c r="C486" s="84">
        <v>29.85</v>
      </c>
      <c r="D486" s="91">
        <v>25.68</v>
      </c>
      <c r="E486" s="84">
        <v>31.45</v>
      </c>
      <c r="F486" s="84">
        <v>33.14</v>
      </c>
      <c r="G486" s="84">
        <v>29.61</v>
      </c>
      <c r="H486" s="84">
        <v>36.32</v>
      </c>
      <c r="I486" s="84">
        <v>38.65</v>
      </c>
      <c r="J486" s="84">
        <v>30.39</v>
      </c>
      <c r="K486" s="84">
        <v>32.35</v>
      </c>
      <c r="L486" s="84">
        <v>30.71</v>
      </c>
      <c r="M486" s="84">
        <v>31.99</v>
      </c>
      <c r="N486" s="84">
        <v>56.81</v>
      </c>
      <c r="O486" s="84">
        <v>28.26</v>
      </c>
      <c r="P486" s="84">
        <v>28.88</v>
      </c>
      <c r="Q486" s="84">
        <v>31.94</v>
      </c>
      <c r="R486" s="84">
        <v>27.14</v>
      </c>
      <c r="S486" s="84">
        <v>47.51</v>
      </c>
      <c r="T486" s="84">
        <v>33</v>
      </c>
      <c r="U486" s="84">
        <v>33.049999999999997</v>
      </c>
      <c r="V486" s="84">
        <v>29.62</v>
      </c>
      <c r="W486" s="84">
        <v>28.05</v>
      </c>
      <c r="X486" s="84">
        <v>29.35</v>
      </c>
      <c r="Y486" s="84">
        <v>27.35</v>
      </c>
      <c r="Z486" s="84">
        <v>27.05</v>
      </c>
      <c r="AA486" s="84">
        <v>37.83</v>
      </c>
      <c r="AB486" s="86">
        <v>33.07</v>
      </c>
      <c r="AC486" s="230">
        <v>32.21</v>
      </c>
      <c r="AD486" s="129">
        <v>6.2148862684560102E-2</v>
      </c>
      <c r="AE486" s="251">
        <v>42675</v>
      </c>
      <c r="AF486" s="2" t="s">
        <v>495</v>
      </c>
      <c r="BA486" s="2" t="s">
        <v>543</v>
      </c>
      <c r="BB486" s="2" t="e">
        <v>#N/A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</row>
    <row r="487" spans="1:82" ht="15" customHeight="1" thickBot="1" x14ac:dyDescent="0.35">
      <c r="A487" s="63" t="s">
        <v>544</v>
      </c>
      <c r="B487" s="87">
        <v>35.97</v>
      </c>
      <c r="C487" s="87">
        <v>30.66</v>
      </c>
      <c r="D487" s="92">
        <v>27.02</v>
      </c>
      <c r="E487" s="87">
        <v>33.479999999999997</v>
      </c>
      <c r="F487" s="87">
        <v>33.67</v>
      </c>
      <c r="G487" s="87">
        <v>32.340000000000003</v>
      </c>
      <c r="H487" s="87">
        <v>35.06</v>
      </c>
      <c r="I487" s="87">
        <v>38.799999999999997</v>
      </c>
      <c r="J487" s="87">
        <v>30.39</v>
      </c>
      <c r="K487" s="87">
        <v>32.72</v>
      </c>
      <c r="L487" s="87">
        <v>31.3</v>
      </c>
      <c r="M487" s="87">
        <v>34.340000000000003</v>
      </c>
      <c r="N487" s="87">
        <v>57.33</v>
      </c>
      <c r="O487" s="87">
        <v>30.41</v>
      </c>
      <c r="P487" s="87">
        <v>29.91</v>
      </c>
      <c r="Q487" s="87">
        <v>33.97</v>
      </c>
      <c r="R487" s="87">
        <v>28.39</v>
      </c>
      <c r="S487" s="87">
        <v>46.46</v>
      </c>
      <c r="T487" s="87">
        <v>37.5</v>
      </c>
      <c r="U487" s="87">
        <v>34.700000000000003</v>
      </c>
      <c r="V487" s="87">
        <v>30.67</v>
      </c>
      <c r="W487" s="87">
        <v>29.26</v>
      </c>
      <c r="X487" s="87">
        <v>30.46</v>
      </c>
      <c r="Y487" s="87">
        <v>28.18</v>
      </c>
      <c r="Z487" s="87">
        <v>28.29</v>
      </c>
      <c r="AA487" s="87">
        <v>37.549999999999997</v>
      </c>
      <c r="AB487" s="89">
        <v>34.79</v>
      </c>
      <c r="AC487" s="221">
        <v>33.380000000000003</v>
      </c>
      <c r="AD487" s="133">
        <v>3.6267208994170463E-2</v>
      </c>
      <c r="AE487" s="253">
        <v>42705</v>
      </c>
      <c r="AF487" s="2" t="s">
        <v>495</v>
      </c>
      <c r="BA487" s="2" t="s">
        <v>544</v>
      </c>
      <c r="BB487" s="2" t="e">
        <v>#N/A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</row>
    <row r="488" spans="1:82" ht="15" customHeight="1" x14ac:dyDescent="0.3">
      <c r="A488" s="76" t="s">
        <v>545</v>
      </c>
      <c r="B488" s="81">
        <v>34.97</v>
      </c>
      <c r="C488" s="81">
        <v>30.94</v>
      </c>
      <c r="D488" s="81">
        <v>27.9</v>
      </c>
      <c r="E488" s="81">
        <v>35.369999999999997</v>
      </c>
      <c r="F488" s="81">
        <v>34.130000000000003</v>
      </c>
      <c r="G488" s="81">
        <v>32.659999999999997</v>
      </c>
      <c r="H488" s="81">
        <v>35.450000000000003</v>
      </c>
      <c r="I488" s="81">
        <v>38.71</v>
      </c>
      <c r="J488" s="81">
        <v>30.68</v>
      </c>
      <c r="K488" s="81">
        <v>34.229999999999997</v>
      </c>
      <c r="L488" s="81">
        <v>31.69</v>
      </c>
      <c r="M488" s="81">
        <v>36.25</v>
      </c>
      <c r="N488" s="81">
        <v>57.14</v>
      </c>
      <c r="O488" s="81">
        <v>31.01</v>
      </c>
      <c r="P488" s="81">
        <v>30.32</v>
      </c>
      <c r="Q488" s="81">
        <v>35.18</v>
      </c>
      <c r="R488" s="81">
        <v>29.53</v>
      </c>
      <c r="S488" s="81">
        <v>47.16</v>
      </c>
      <c r="T488" s="81">
        <v>34.5</v>
      </c>
      <c r="U488" s="81">
        <v>34.880000000000003</v>
      </c>
      <c r="V488" s="81">
        <v>30.21</v>
      </c>
      <c r="W488" s="81">
        <v>28.31</v>
      </c>
      <c r="X488" s="81">
        <v>30.82</v>
      </c>
      <c r="Y488" s="81">
        <v>28.58</v>
      </c>
      <c r="Z488" s="81">
        <v>29.15</v>
      </c>
      <c r="AA488" s="81">
        <v>37.409999999999997</v>
      </c>
      <c r="AB488" s="83">
        <v>37</v>
      </c>
      <c r="AC488" s="220">
        <v>33.78</v>
      </c>
      <c r="AD488" s="132">
        <v>1.1793340579228317E-2</v>
      </c>
      <c r="AE488" s="250">
        <v>42736</v>
      </c>
      <c r="AF488" s="2" t="s">
        <v>495</v>
      </c>
      <c r="BA488" s="2" t="s">
        <v>545</v>
      </c>
      <c r="BB488" s="2" t="e">
        <v>#N/A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</row>
    <row r="489" spans="1:82" ht="15" customHeight="1" x14ac:dyDescent="0.3">
      <c r="A489" s="38" t="s">
        <v>546</v>
      </c>
      <c r="B489" s="84">
        <v>34.1</v>
      </c>
      <c r="C489" s="84">
        <v>30.95</v>
      </c>
      <c r="D489" s="84">
        <v>28.79</v>
      </c>
      <c r="E489" s="84">
        <v>36.450000000000003</v>
      </c>
      <c r="F489" s="84">
        <v>33.97</v>
      </c>
      <c r="G489" s="84">
        <v>32.549999999999997</v>
      </c>
      <c r="H489" s="84">
        <v>34.18</v>
      </c>
      <c r="I489" s="84">
        <v>37.369999999999997</v>
      </c>
      <c r="J489" s="84">
        <v>30.68</v>
      </c>
      <c r="K489" s="84">
        <v>33.26</v>
      </c>
      <c r="L489" s="84">
        <v>31.85</v>
      </c>
      <c r="M489" s="84">
        <v>36.43</v>
      </c>
      <c r="N489" s="84">
        <v>56.28</v>
      </c>
      <c r="O489" s="84">
        <v>30</v>
      </c>
      <c r="P489" s="84">
        <v>29.71</v>
      </c>
      <c r="Q489" s="84">
        <v>34.57</v>
      </c>
      <c r="R489" s="84">
        <v>29.78</v>
      </c>
      <c r="S489" s="84">
        <v>45.59</v>
      </c>
      <c r="T489" s="84">
        <v>35</v>
      </c>
      <c r="U489" s="84">
        <v>34.880000000000003</v>
      </c>
      <c r="V489" s="84">
        <v>30.57</v>
      </c>
      <c r="W489" s="84">
        <v>28.32</v>
      </c>
      <c r="X489" s="84">
        <v>30.16</v>
      </c>
      <c r="Y489" s="84">
        <v>28.55</v>
      </c>
      <c r="Z489" s="84">
        <v>29.52</v>
      </c>
      <c r="AA489" s="84">
        <v>37.28</v>
      </c>
      <c r="AB489" s="86">
        <v>37.9</v>
      </c>
      <c r="AC489" s="230">
        <v>33.619999999999997</v>
      </c>
      <c r="AD489" s="129">
        <v>-4.6886034295733348E-3</v>
      </c>
      <c r="AE489" s="251">
        <v>42767</v>
      </c>
      <c r="AF489" s="2" t="s">
        <v>495</v>
      </c>
      <c r="BA489" s="2" t="s">
        <v>546</v>
      </c>
      <c r="BB489" s="2" t="e">
        <v>#N/A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</row>
    <row r="490" spans="1:82" ht="15" customHeight="1" x14ac:dyDescent="0.3">
      <c r="A490" s="38" t="s">
        <v>547</v>
      </c>
      <c r="B490" s="84">
        <v>33.729999999999997</v>
      </c>
      <c r="C490" s="84">
        <v>30.88</v>
      </c>
      <c r="D490" s="84">
        <v>29.26</v>
      </c>
      <c r="E490" s="84">
        <v>36.85</v>
      </c>
      <c r="F490" s="84">
        <v>33.56</v>
      </c>
      <c r="G490" s="84">
        <v>32.130000000000003</v>
      </c>
      <c r="H490" s="84">
        <v>31.66</v>
      </c>
      <c r="I490" s="84">
        <v>37.93</v>
      </c>
      <c r="J490" s="84">
        <v>30.49</v>
      </c>
      <c r="K490" s="84">
        <v>32.61</v>
      </c>
      <c r="L490" s="84">
        <v>31.37</v>
      </c>
      <c r="M490" s="84">
        <v>36.64</v>
      </c>
      <c r="N490" s="84">
        <v>55.27</v>
      </c>
      <c r="O490" s="84">
        <v>29.5</v>
      </c>
      <c r="P490" s="84">
        <v>28.59</v>
      </c>
      <c r="Q490" s="84">
        <v>34.409999999999997</v>
      </c>
      <c r="R490" s="84">
        <v>29.56</v>
      </c>
      <c r="S490" s="84">
        <v>45.07</v>
      </c>
      <c r="T490" s="84">
        <v>36</v>
      </c>
      <c r="U490" s="84">
        <v>34.83</v>
      </c>
      <c r="V490" s="84">
        <v>30.52</v>
      </c>
      <c r="W490" s="84">
        <v>28.7</v>
      </c>
      <c r="X490" s="84">
        <v>29.66</v>
      </c>
      <c r="Y490" s="84">
        <v>28.68</v>
      </c>
      <c r="Z490" s="84">
        <v>29.51</v>
      </c>
      <c r="AA490" s="84">
        <v>37.17</v>
      </c>
      <c r="AB490" s="86">
        <v>37.880000000000003</v>
      </c>
      <c r="AC490" s="230">
        <v>33.380000000000003</v>
      </c>
      <c r="AD490" s="129">
        <v>-7.2036041191260169E-3</v>
      </c>
      <c r="AE490" s="251">
        <v>42795</v>
      </c>
      <c r="AF490" s="2" t="s">
        <v>495</v>
      </c>
      <c r="BA490" s="2" t="s">
        <v>547</v>
      </c>
      <c r="BB490" s="2" t="e">
        <v>#N/A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</row>
    <row r="491" spans="1:82" ht="15" customHeight="1" x14ac:dyDescent="0.3">
      <c r="A491" s="54" t="s">
        <v>548</v>
      </c>
      <c r="B491" s="84">
        <v>33.44</v>
      </c>
      <c r="C491" s="84">
        <v>30</v>
      </c>
      <c r="D491" s="84">
        <v>29.88</v>
      </c>
      <c r="E491" s="84">
        <v>35.76</v>
      </c>
      <c r="F491" s="84">
        <v>33.49</v>
      </c>
      <c r="G491" s="84">
        <v>31.06</v>
      </c>
      <c r="H491" s="84">
        <v>31.66</v>
      </c>
      <c r="I491" s="84">
        <v>37.96</v>
      </c>
      <c r="J491" s="84">
        <v>30.39</v>
      </c>
      <c r="K491" s="84">
        <v>33.61</v>
      </c>
      <c r="L491" s="84">
        <v>31.06</v>
      </c>
      <c r="M491" s="84">
        <v>36.32</v>
      </c>
      <c r="N491" s="84">
        <v>55.12</v>
      </c>
      <c r="O491" s="84">
        <v>29.23</v>
      </c>
      <c r="P491" s="84">
        <v>27.73</v>
      </c>
      <c r="Q491" s="84">
        <v>33.81</v>
      </c>
      <c r="R491" s="84">
        <v>29.62</v>
      </c>
      <c r="S491" s="84">
        <v>44.87</v>
      </c>
      <c r="T491" s="84">
        <v>36</v>
      </c>
      <c r="U491" s="84">
        <v>34.58</v>
      </c>
      <c r="V491" s="84">
        <v>30.66</v>
      </c>
      <c r="W491" s="84">
        <v>28.72</v>
      </c>
      <c r="X491" s="84">
        <v>28.79</v>
      </c>
      <c r="Y491" s="84">
        <v>28.66</v>
      </c>
      <c r="Z491" s="84">
        <v>29.79</v>
      </c>
      <c r="AA491" s="84">
        <v>37.08</v>
      </c>
      <c r="AB491" s="86">
        <v>36.700000000000003</v>
      </c>
      <c r="AC491" s="230">
        <v>33.43</v>
      </c>
      <c r="AD491" s="126">
        <v>1.6606650202577455E-3</v>
      </c>
      <c r="AE491" s="251">
        <v>42826</v>
      </c>
      <c r="AF491" s="2" t="s">
        <v>495</v>
      </c>
      <c r="BA491" s="2" t="s">
        <v>548</v>
      </c>
      <c r="BB491" s="2" t="e">
        <v>#N/A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</row>
    <row r="492" spans="1:82" ht="15" customHeight="1" x14ac:dyDescent="0.3">
      <c r="A492" s="54" t="s">
        <v>549</v>
      </c>
      <c r="B492" s="84">
        <v>32.950000000000003</v>
      </c>
      <c r="C492" s="84">
        <v>29.33</v>
      </c>
      <c r="D492" s="84">
        <v>30.42</v>
      </c>
      <c r="E492" s="84">
        <v>34.68</v>
      </c>
      <c r="F492" s="84">
        <v>33.83</v>
      </c>
      <c r="G492" s="84">
        <v>30.76</v>
      </c>
      <c r="H492" s="84">
        <v>32.630000000000003</v>
      </c>
      <c r="I492" s="84">
        <v>37.9</v>
      </c>
      <c r="J492" s="84">
        <v>30.29</v>
      </c>
      <c r="K492" s="84">
        <v>32.43</v>
      </c>
      <c r="L492" s="84">
        <v>30.87</v>
      </c>
      <c r="M492" s="84">
        <v>36.619999999999997</v>
      </c>
      <c r="N492" s="84">
        <v>54.42</v>
      </c>
      <c r="O492" s="84">
        <v>28.82</v>
      </c>
      <c r="P492" s="84">
        <v>26.79</v>
      </c>
      <c r="Q492" s="84">
        <v>32.979999999999997</v>
      </c>
      <c r="R492" s="84">
        <v>29.5</v>
      </c>
      <c r="S492" s="84">
        <v>44.81</v>
      </c>
      <c r="T492" s="84">
        <v>36</v>
      </c>
      <c r="U492" s="84">
        <v>34.68</v>
      </c>
      <c r="V492" s="84">
        <v>30.95</v>
      </c>
      <c r="W492" s="84">
        <v>28.6</v>
      </c>
      <c r="X492" s="84">
        <v>26.9</v>
      </c>
      <c r="Y492" s="84">
        <v>28.47</v>
      </c>
      <c r="Z492" s="84">
        <v>29.86</v>
      </c>
      <c r="AA492" s="84">
        <v>36.94</v>
      </c>
      <c r="AB492" s="86">
        <v>35.340000000000003</v>
      </c>
      <c r="AC492" s="230">
        <v>33.26</v>
      </c>
      <c r="AD492" s="129">
        <v>-5.1882972563980223E-3</v>
      </c>
      <c r="AE492" s="251">
        <v>42856</v>
      </c>
      <c r="AF492" s="2" t="s">
        <v>495</v>
      </c>
      <c r="BA492" s="2" t="s">
        <v>549</v>
      </c>
      <c r="BB492" s="2" t="e">
        <v>#N/A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</row>
    <row r="493" spans="1:82" ht="15" customHeight="1" x14ac:dyDescent="0.3">
      <c r="A493" s="38" t="s">
        <v>550</v>
      </c>
      <c r="B493" s="84">
        <v>33.19</v>
      </c>
      <c r="C493" s="84">
        <v>28.98</v>
      </c>
      <c r="D493" s="91">
        <v>31.02</v>
      </c>
      <c r="E493" s="84">
        <v>34.82</v>
      </c>
      <c r="F493" s="84">
        <v>34.380000000000003</v>
      </c>
      <c r="G493" s="84">
        <v>31.55</v>
      </c>
      <c r="H493" s="84">
        <v>33.6</v>
      </c>
      <c r="I493" s="84">
        <v>38.020000000000003</v>
      </c>
      <c r="J493" s="84">
        <v>30.1</v>
      </c>
      <c r="K493" s="84">
        <v>32.32</v>
      </c>
      <c r="L493" s="84">
        <v>30.54</v>
      </c>
      <c r="M493" s="84">
        <v>36.619999999999997</v>
      </c>
      <c r="N493" s="84">
        <v>54.67</v>
      </c>
      <c r="O493" s="84">
        <v>29.15</v>
      </c>
      <c r="P493" s="84">
        <v>26.64</v>
      </c>
      <c r="Q493" s="84">
        <v>32.86</v>
      </c>
      <c r="R493" s="84">
        <v>29.51</v>
      </c>
      <c r="S493" s="84">
        <v>45.17</v>
      </c>
      <c r="T493" s="84">
        <v>36.75</v>
      </c>
      <c r="U493" s="84">
        <v>35.82</v>
      </c>
      <c r="V493" s="84">
        <v>31.25</v>
      </c>
      <c r="W493" s="84">
        <v>28.74</v>
      </c>
      <c r="X493" s="84">
        <v>26.28</v>
      </c>
      <c r="Y493" s="84">
        <v>28.97</v>
      </c>
      <c r="Z493" s="84">
        <v>29.99</v>
      </c>
      <c r="AA493" s="84">
        <v>36.76</v>
      </c>
      <c r="AB493" s="86">
        <v>34.54</v>
      </c>
      <c r="AC493" s="230">
        <v>33.520000000000003</v>
      </c>
      <c r="AD493" s="129">
        <v>8.0310109811096986E-3</v>
      </c>
      <c r="AE493" s="251">
        <v>42887</v>
      </c>
      <c r="AF493" s="2" t="s">
        <v>495</v>
      </c>
      <c r="BA493" s="2" t="s">
        <v>550</v>
      </c>
      <c r="BB493" s="2" t="e">
        <v>#N/A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</row>
    <row r="494" spans="1:82" ht="15" customHeight="1" x14ac:dyDescent="0.3">
      <c r="A494" s="38" t="s">
        <v>551</v>
      </c>
      <c r="B494" s="84">
        <v>34.32</v>
      </c>
      <c r="C494" s="84">
        <v>29.31</v>
      </c>
      <c r="D494" s="91">
        <v>31.54</v>
      </c>
      <c r="E494" s="84">
        <v>36.58</v>
      </c>
      <c r="F494" s="84">
        <v>35.89</v>
      </c>
      <c r="G494" s="84">
        <v>32.78</v>
      </c>
      <c r="H494" s="84">
        <v>34.96</v>
      </c>
      <c r="I494" s="84">
        <v>38.020000000000003</v>
      </c>
      <c r="J494" s="84">
        <v>30.1</v>
      </c>
      <c r="K494" s="84">
        <v>34.04</v>
      </c>
      <c r="L494" s="84">
        <v>30.67</v>
      </c>
      <c r="M494" s="84">
        <v>36.78</v>
      </c>
      <c r="N494" s="84">
        <v>55.3</v>
      </c>
      <c r="O494" s="84">
        <v>29.81</v>
      </c>
      <c r="P494" s="84">
        <v>27.74</v>
      </c>
      <c r="Q494" s="84">
        <v>33.630000000000003</v>
      </c>
      <c r="R494" s="84">
        <v>29.88</v>
      </c>
      <c r="S494" s="84">
        <v>46.73</v>
      </c>
      <c r="T494" s="84">
        <v>37.25</v>
      </c>
      <c r="U494" s="84">
        <v>36.76</v>
      </c>
      <c r="V494" s="84">
        <v>31.61</v>
      </c>
      <c r="W494" s="84">
        <v>28.47</v>
      </c>
      <c r="X494" s="84">
        <v>26.66</v>
      </c>
      <c r="Y494" s="84">
        <v>29.85</v>
      </c>
      <c r="Z494" s="84">
        <v>30.49</v>
      </c>
      <c r="AA494" s="84">
        <v>37.5</v>
      </c>
      <c r="AB494" s="86">
        <v>36.590000000000003</v>
      </c>
      <c r="AC494" s="230">
        <v>34.58</v>
      </c>
      <c r="AD494" s="129">
        <v>3.1477396463280849E-2</v>
      </c>
      <c r="AE494" s="251">
        <v>42917</v>
      </c>
      <c r="AF494" s="2" t="s">
        <v>495</v>
      </c>
      <c r="BA494" s="2" t="s">
        <v>551</v>
      </c>
      <c r="BB494" s="2" t="e">
        <v>#N/A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</row>
    <row r="495" spans="1:82" ht="15" customHeight="1" x14ac:dyDescent="0.3">
      <c r="A495" s="38" t="s">
        <v>552</v>
      </c>
      <c r="B495" s="84">
        <v>36.06</v>
      </c>
      <c r="C495" s="84">
        <v>29.84</v>
      </c>
      <c r="D495" s="91">
        <v>32.08</v>
      </c>
      <c r="E495" s="84">
        <v>37.51</v>
      </c>
      <c r="F495" s="84">
        <v>37.44</v>
      </c>
      <c r="G495" s="84">
        <v>32.94</v>
      </c>
      <c r="H495" s="84">
        <v>37.68</v>
      </c>
      <c r="I495" s="84">
        <v>38.83</v>
      </c>
      <c r="J495" s="84">
        <v>30.68</v>
      </c>
      <c r="K495" s="84">
        <v>35.11</v>
      </c>
      <c r="L495" s="84">
        <v>29.95</v>
      </c>
      <c r="M495" s="84">
        <v>37.15</v>
      </c>
      <c r="N495" s="84">
        <v>55.96</v>
      </c>
      <c r="O495" s="84">
        <v>30.05</v>
      </c>
      <c r="P495" s="84">
        <v>28.65</v>
      </c>
      <c r="Q495" s="84">
        <v>35.020000000000003</v>
      </c>
      <c r="R495" s="84">
        <v>30.47</v>
      </c>
      <c r="S495" s="84">
        <v>50.85</v>
      </c>
      <c r="T495" s="84">
        <v>38.5</v>
      </c>
      <c r="U495" s="84">
        <v>37.700000000000003</v>
      </c>
      <c r="V495" s="84">
        <v>32.57</v>
      </c>
      <c r="W495" s="84">
        <v>29.85</v>
      </c>
      <c r="X495" s="84">
        <v>26.91</v>
      </c>
      <c r="Y495" s="84">
        <v>30.56</v>
      </c>
      <c r="Z495" s="84">
        <v>30.91</v>
      </c>
      <c r="AA495" s="84">
        <v>37.659999999999997</v>
      </c>
      <c r="AB495" s="86">
        <v>37.99</v>
      </c>
      <c r="AC495" s="230">
        <v>35.72</v>
      </c>
      <c r="AD495" s="129">
        <v>3.3029767596401749E-2</v>
      </c>
      <c r="AE495" s="251">
        <v>42948</v>
      </c>
      <c r="AF495" s="2" t="s">
        <v>495</v>
      </c>
      <c r="BA495" s="2" t="s">
        <v>552</v>
      </c>
      <c r="BB495" s="2" t="e">
        <v>#N/A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</row>
    <row r="496" spans="1:82" ht="15" customHeight="1" x14ac:dyDescent="0.3">
      <c r="A496" s="38" t="s">
        <v>553</v>
      </c>
      <c r="B496" s="84">
        <v>37.700000000000003</v>
      </c>
      <c r="C496" s="84">
        <v>30.6</v>
      </c>
      <c r="D496" s="91">
        <v>33.08</v>
      </c>
      <c r="E496" s="84">
        <v>38.44</v>
      </c>
      <c r="F496" s="84">
        <v>39.39</v>
      </c>
      <c r="G496" s="84">
        <v>33.97</v>
      </c>
      <c r="H496" s="84">
        <v>40.79</v>
      </c>
      <c r="I496" s="84">
        <v>39.340000000000003</v>
      </c>
      <c r="J496" s="84">
        <v>31.26</v>
      </c>
      <c r="K496" s="84">
        <v>36.6</v>
      </c>
      <c r="L496" s="84">
        <v>30.84</v>
      </c>
      <c r="M496" s="84">
        <v>37.700000000000003</v>
      </c>
      <c r="N496" s="84">
        <v>56.58</v>
      </c>
      <c r="O496" s="84">
        <v>31.79</v>
      </c>
      <c r="P496" s="84">
        <v>31.49</v>
      </c>
      <c r="Q496" s="84">
        <v>37.270000000000003</v>
      </c>
      <c r="R496" s="84">
        <v>31.17</v>
      </c>
      <c r="S496" s="84">
        <v>53.35</v>
      </c>
      <c r="T496" s="84">
        <v>40.5</v>
      </c>
      <c r="U496" s="84">
        <v>39.74</v>
      </c>
      <c r="V496" s="84">
        <v>33.71</v>
      </c>
      <c r="W496" s="84">
        <v>30.77</v>
      </c>
      <c r="X496" s="84">
        <v>29.46</v>
      </c>
      <c r="Y496" s="84">
        <v>32.380000000000003</v>
      </c>
      <c r="Z496" s="84">
        <v>31.97</v>
      </c>
      <c r="AA496" s="84">
        <v>38.22</v>
      </c>
      <c r="AB496" s="86">
        <v>40.200000000000003</v>
      </c>
      <c r="AC496" s="230">
        <v>37.270000000000003</v>
      </c>
      <c r="AD496" s="129">
        <v>4.3387468176544042E-2</v>
      </c>
      <c r="AE496" s="251">
        <v>42979</v>
      </c>
      <c r="AF496" s="2" t="s">
        <v>495</v>
      </c>
      <c r="BA496" s="2" t="s">
        <v>553</v>
      </c>
      <c r="BB496" s="2" t="e">
        <v>#N/A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</row>
    <row r="497" spans="1:82" ht="15" customHeight="1" x14ac:dyDescent="0.3">
      <c r="A497" s="38" t="s">
        <v>554</v>
      </c>
      <c r="B497" s="84">
        <v>37.51</v>
      </c>
      <c r="C497" s="84">
        <v>31.27</v>
      </c>
      <c r="D497" s="91">
        <v>34.369999999999997</v>
      </c>
      <c r="E497" s="84">
        <v>39.229999999999997</v>
      </c>
      <c r="F497" s="84">
        <v>40.340000000000003</v>
      </c>
      <c r="G497" s="84">
        <v>34.4</v>
      </c>
      <c r="H497" s="84">
        <v>41.95</v>
      </c>
      <c r="I497" s="84">
        <v>40.04</v>
      </c>
      <c r="J497" s="84">
        <v>31.84</v>
      </c>
      <c r="K497" s="84">
        <v>36.17</v>
      </c>
      <c r="L497" s="84">
        <v>32.24</v>
      </c>
      <c r="M497" s="84">
        <v>37.68</v>
      </c>
      <c r="N497" s="84">
        <v>57.14</v>
      </c>
      <c r="O497" s="84">
        <v>32.69</v>
      </c>
      <c r="P497" s="84">
        <v>33.99</v>
      </c>
      <c r="Q497" s="84">
        <v>38.18</v>
      </c>
      <c r="R497" s="84">
        <v>31.93</v>
      </c>
      <c r="S497" s="84">
        <v>53.12</v>
      </c>
      <c r="T497" s="84">
        <v>41.75</v>
      </c>
      <c r="U497" s="84">
        <v>40.99</v>
      </c>
      <c r="V497" s="84">
        <v>34.46</v>
      </c>
      <c r="W497" s="84">
        <v>31.39</v>
      </c>
      <c r="X497" s="84">
        <v>31.37</v>
      </c>
      <c r="Y497" s="84">
        <v>32.950000000000003</v>
      </c>
      <c r="Z497" s="84">
        <v>33.06</v>
      </c>
      <c r="AA497" s="84">
        <v>38.880000000000003</v>
      </c>
      <c r="AB497" s="86">
        <v>40.869999999999997</v>
      </c>
      <c r="AC497" s="230">
        <v>37.86</v>
      </c>
      <c r="AD497" s="129">
        <v>1.5832686957148345E-2</v>
      </c>
      <c r="AE497" s="251">
        <v>43009</v>
      </c>
      <c r="AF497" s="2" t="s">
        <v>495</v>
      </c>
      <c r="BA497" s="2" t="s">
        <v>554</v>
      </c>
      <c r="BB497" s="2" t="e">
        <v>#N/A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</row>
    <row r="498" spans="1:82" ht="15" customHeight="1" x14ac:dyDescent="0.3">
      <c r="A498" s="38" t="s">
        <v>555</v>
      </c>
      <c r="B498" s="84">
        <v>37.01</v>
      </c>
      <c r="C498" s="84">
        <v>31.84</v>
      </c>
      <c r="D498" s="91">
        <v>35.33</v>
      </c>
      <c r="E498" s="84">
        <v>39.24</v>
      </c>
      <c r="F498" s="84">
        <v>40.520000000000003</v>
      </c>
      <c r="G498" s="84">
        <v>34.17</v>
      </c>
      <c r="H498" s="84">
        <v>41.86</v>
      </c>
      <c r="I498" s="84">
        <v>40.6</v>
      </c>
      <c r="J498" s="84">
        <v>32.520000000000003</v>
      </c>
      <c r="K498" s="84">
        <v>36.4</v>
      </c>
      <c r="L498" s="84">
        <v>32.340000000000003</v>
      </c>
      <c r="M498" s="84">
        <v>38.020000000000003</v>
      </c>
      <c r="N498" s="84">
        <v>56.77</v>
      </c>
      <c r="O498" s="84">
        <v>32.729999999999997</v>
      </c>
      <c r="P498" s="84">
        <v>33.200000000000003</v>
      </c>
      <c r="Q498" s="84">
        <v>38.69</v>
      </c>
      <c r="R498" s="84">
        <v>32.32</v>
      </c>
      <c r="S498" s="84">
        <v>51.17</v>
      </c>
      <c r="T498" s="84">
        <v>41.75</v>
      </c>
      <c r="U498" s="84">
        <v>41.44</v>
      </c>
      <c r="V498" s="84">
        <v>35.799999999999997</v>
      </c>
      <c r="W498" s="84">
        <v>32.01</v>
      </c>
      <c r="X498" s="84">
        <v>31.29</v>
      </c>
      <c r="Y498" s="84">
        <v>33.22</v>
      </c>
      <c r="Z498" s="84">
        <v>33.61</v>
      </c>
      <c r="AA498" s="84">
        <v>38.96</v>
      </c>
      <c r="AB498" s="86">
        <v>40.25</v>
      </c>
      <c r="AC498" s="230">
        <v>38.130000000000003</v>
      </c>
      <c r="AD498" s="129">
        <v>6.9826740523133424E-3</v>
      </c>
      <c r="AE498" s="251">
        <v>43040</v>
      </c>
      <c r="AF498" s="2" t="s">
        <v>495</v>
      </c>
      <c r="BA498" s="2" t="s">
        <v>555</v>
      </c>
      <c r="BB498" s="2" t="e">
        <v>#N/A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</row>
    <row r="499" spans="1:82" ht="15" customHeight="1" thickBot="1" x14ac:dyDescent="0.35">
      <c r="A499" s="63" t="s">
        <v>556</v>
      </c>
      <c r="B499" s="87">
        <v>35.67</v>
      </c>
      <c r="C499" s="87">
        <v>32.29</v>
      </c>
      <c r="D499" s="92">
        <v>35.4</v>
      </c>
      <c r="E499" s="87">
        <v>37.89</v>
      </c>
      <c r="F499" s="87">
        <v>39.96</v>
      </c>
      <c r="G499" s="87">
        <v>33.17</v>
      </c>
      <c r="H499" s="87">
        <v>40.590000000000003</v>
      </c>
      <c r="I499" s="87">
        <v>40.74</v>
      </c>
      <c r="J499" s="87">
        <v>32.43</v>
      </c>
      <c r="K499" s="87">
        <v>36.01</v>
      </c>
      <c r="L499" s="87">
        <v>33.119999999999997</v>
      </c>
      <c r="M499" s="87">
        <v>38.08</v>
      </c>
      <c r="N499" s="87">
        <v>55.96</v>
      </c>
      <c r="O499" s="87">
        <v>32.590000000000003</v>
      </c>
      <c r="P499" s="87">
        <v>32.229999999999997</v>
      </c>
      <c r="Q499" s="87">
        <v>38.49</v>
      </c>
      <c r="R499" s="87">
        <v>32.450000000000003</v>
      </c>
      <c r="S499" s="87">
        <v>49.16</v>
      </c>
      <c r="T499" s="87">
        <v>41.5</v>
      </c>
      <c r="U499" s="87">
        <v>41.81</v>
      </c>
      <c r="V499" s="87">
        <v>36.07</v>
      </c>
      <c r="W499" s="87">
        <v>32.299999999999997</v>
      </c>
      <c r="X499" s="87">
        <v>31.97</v>
      </c>
      <c r="Y499" s="87">
        <v>32.97</v>
      </c>
      <c r="Z499" s="87">
        <v>33.97</v>
      </c>
      <c r="AA499" s="87">
        <v>38.78</v>
      </c>
      <c r="AB499" s="89">
        <v>40.049999999999997</v>
      </c>
      <c r="AC499" s="231">
        <v>37.770000000000003</v>
      </c>
      <c r="AD499" s="134">
        <v>-9.2190901205628784E-3</v>
      </c>
      <c r="AE499" s="253">
        <v>43070</v>
      </c>
      <c r="AF499" s="2" t="s">
        <v>495</v>
      </c>
      <c r="BA499" s="2" t="s">
        <v>556</v>
      </c>
      <c r="BB499" s="2" t="e">
        <v>#N/A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</row>
    <row r="500" spans="1:82" ht="15" customHeight="1" x14ac:dyDescent="0.3">
      <c r="A500" s="76" t="s">
        <v>557</v>
      </c>
      <c r="B500" s="81">
        <v>31.59</v>
      </c>
      <c r="C500" s="81">
        <v>31.99</v>
      </c>
      <c r="D500" s="81">
        <v>34.479999999999997</v>
      </c>
      <c r="E500" s="81">
        <v>35.86</v>
      </c>
      <c r="F500" s="81">
        <v>36.76</v>
      </c>
      <c r="G500" s="81">
        <v>31.86</v>
      </c>
      <c r="H500" s="81">
        <v>39.43</v>
      </c>
      <c r="I500" s="81">
        <v>40.479999999999997</v>
      </c>
      <c r="J500" s="81">
        <v>31.94</v>
      </c>
      <c r="K500" s="81">
        <v>35.270000000000003</v>
      </c>
      <c r="L500" s="81">
        <v>33.21</v>
      </c>
      <c r="M500" s="81">
        <v>36.57</v>
      </c>
      <c r="N500" s="81">
        <v>55.69</v>
      </c>
      <c r="O500" s="81">
        <v>30.72</v>
      </c>
      <c r="P500" s="81">
        <v>30.76</v>
      </c>
      <c r="Q500" s="81">
        <v>34.89</v>
      </c>
      <c r="R500" s="81">
        <v>32.130000000000003</v>
      </c>
      <c r="S500" s="81">
        <v>46.97</v>
      </c>
      <c r="T500" s="81">
        <v>37.5</v>
      </c>
      <c r="U500" s="81">
        <v>40.270000000000003</v>
      </c>
      <c r="V500" s="81">
        <v>34.020000000000003</v>
      </c>
      <c r="W500" s="81">
        <v>31.16</v>
      </c>
      <c r="X500" s="81">
        <v>32.11</v>
      </c>
      <c r="Y500" s="81">
        <v>31.1</v>
      </c>
      <c r="Z500" s="81">
        <v>33.71</v>
      </c>
      <c r="AA500" s="81">
        <v>39.22</v>
      </c>
      <c r="AB500" s="83">
        <v>37.56</v>
      </c>
      <c r="AC500" s="219">
        <v>35.799999999999997</v>
      </c>
      <c r="AD500" s="132">
        <v>-5.2227640999464087E-2</v>
      </c>
      <c r="AE500" s="250">
        <v>43101</v>
      </c>
      <c r="AF500" s="2" t="s">
        <v>495</v>
      </c>
      <c r="BA500" s="2" t="s">
        <v>557</v>
      </c>
      <c r="BB500" s="2" t="e">
        <v>#N/A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</row>
    <row r="501" spans="1:82" ht="15" customHeight="1" x14ac:dyDescent="0.3">
      <c r="A501" s="38" t="s">
        <v>558</v>
      </c>
      <c r="B501" s="84">
        <v>31.37</v>
      </c>
      <c r="C501" s="84">
        <v>30.77</v>
      </c>
      <c r="D501" s="84">
        <v>33.82</v>
      </c>
      <c r="E501" s="84">
        <v>33.44</v>
      </c>
      <c r="F501" s="84">
        <v>34.880000000000003</v>
      </c>
      <c r="G501" s="84">
        <v>30.24</v>
      </c>
      <c r="H501" s="84">
        <v>37</v>
      </c>
      <c r="I501" s="84">
        <v>40.369999999999997</v>
      </c>
      <c r="J501" s="84">
        <v>31.94</v>
      </c>
      <c r="K501" s="84">
        <v>35.04</v>
      </c>
      <c r="L501" s="84">
        <v>33.4</v>
      </c>
      <c r="M501" s="84">
        <v>35.979999999999997</v>
      </c>
      <c r="N501" s="84">
        <v>54.92</v>
      </c>
      <c r="O501" s="84">
        <v>28.18</v>
      </c>
      <c r="P501" s="84">
        <v>29.38</v>
      </c>
      <c r="Q501" s="84">
        <v>33.56</v>
      </c>
      <c r="R501" s="84">
        <v>31.52</v>
      </c>
      <c r="S501" s="84">
        <v>46.72</v>
      </c>
      <c r="T501" s="84">
        <v>35.75</v>
      </c>
      <c r="U501" s="84">
        <v>38.18</v>
      </c>
      <c r="V501" s="84">
        <v>32.950000000000003</v>
      </c>
      <c r="W501" s="84">
        <v>31.39</v>
      </c>
      <c r="X501" s="84">
        <v>31.94</v>
      </c>
      <c r="Y501" s="84">
        <v>29.88</v>
      </c>
      <c r="Z501" s="84">
        <v>33.020000000000003</v>
      </c>
      <c r="AA501" s="84">
        <v>39.270000000000003</v>
      </c>
      <c r="AB501" s="86">
        <v>35.770000000000003</v>
      </c>
      <c r="AC501" s="230">
        <v>34.65</v>
      </c>
      <c r="AD501" s="129">
        <v>-3.223864336420712E-2</v>
      </c>
      <c r="AE501" s="251">
        <v>43132</v>
      </c>
      <c r="AF501" s="2" t="s">
        <v>495</v>
      </c>
      <c r="BA501" s="2" t="s">
        <v>558</v>
      </c>
      <c r="BB501" s="2" t="e">
        <v>#N/A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</row>
    <row r="502" spans="1:82" ht="15" customHeight="1" x14ac:dyDescent="0.3">
      <c r="A502" s="38" t="s">
        <v>559</v>
      </c>
      <c r="B502" s="84">
        <v>31.01</v>
      </c>
      <c r="C502" s="84">
        <v>30.03</v>
      </c>
      <c r="D502" s="84">
        <v>32.82</v>
      </c>
      <c r="E502" s="84">
        <v>33.29</v>
      </c>
      <c r="F502" s="84">
        <v>34.21</v>
      </c>
      <c r="G502" s="84">
        <v>29.97</v>
      </c>
      <c r="H502" s="84">
        <v>33.31</v>
      </c>
      <c r="I502" s="84">
        <v>39.979999999999997</v>
      </c>
      <c r="J502" s="84">
        <v>31.46</v>
      </c>
      <c r="K502" s="84">
        <v>33.85</v>
      </c>
      <c r="L502" s="84">
        <v>33.08</v>
      </c>
      <c r="M502" s="84">
        <v>35.81</v>
      </c>
      <c r="N502" s="84">
        <v>54.09</v>
      </c>
      <c r="O502" s="84">
        <v>27.48</v>
      </c>
      <c r="P502" s="84">
        <v>28.72</v>
      </c>
      <c r="Q502" s="84">
        <v>31.98</v>
      </c>
      <c r="R502" s="84">
        <v>30.74</v>
      </c>
      <c r="S502" s="84">
        <v>46.35</v>
      </c>
      <c r="T502" s="84">
        <v>35.5</v>
      </c>
      <c r="U502" s="84">
        <v>36.96</v>
      </c>
      <c r="V502" s="84">
        <v>32.409999999999997</v>
      </c>
      <c r="W502" s="84">
        <v>30.18</v>
      </c>
      <c r="X502" s="84">
        <v>30.7</v>
      </c>
      <c r="Y502" s="84">
        <v>29.22</v>
      </c>
      <c r="Z502" s="84">
        <v>32.42</v>
      </c>
      <c r="AA502" s="84">
        <v>39.32</v>
      </c>
      <c r="AB502" s="86">
        <v>33.46</v>
      </c>
      <c r="AC502" s="230">
        <v>33.81</v>
      </c>
      <c r="AD502" s="129">
        <v>-2.4036301003026228E-2</v>
      </c>
      <c r="AE502" s="251">
        <v>43160</v>
      </c>
      <c r="AF502" s="2" t="s">
        <v>495</v>
      </c>
      <c r="BA502" s="2" t="s">
        <v>559</v>
      </c>
      <c r="BB502" s="2" t="e">
        <v>#N/A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</row>
    <row r="503" spans="1:82" ht="15" customHeight="1" x14ac:dyDescent="0.3">
      <c r="A503" s="54" t="s">
        <v>560</v>
      </c>
      <c r="B503" s="84">
        <v>30.17</v>
      </c>
      <c r="C503" s="84">
        <v>29.12</v>
      </c>
      <c r="D503" s="84">
        <v>32.049999999999997</v>
      </c>
      <c r="E503" s="84">
        <v>33.299999999999997</v>
      </c>
      <c r="F503" s="84">
        <v>32.99</v>
      </c>
      <c r="G503" s="84">
        <v>29.64</v>
      </c>
      <c r="H503" s="84">
        <v>31.08</v>
      </c>
      <c r="I503" s="84">
        <v>39.4</v>
      </c>
      <c r="J503" s="84">
        <v>30.87</v>
      </c>
      <c r="K503" s="84">
        <v>32.9</v>
      </c>
      <c r="L503" s="84">
        <v>32.33</v>
      </c>
      <c r="M503" s="84">
        <v>35.24</v>
      </c>
      <c r="N503" s="84">
        <v>54.02</v>
      </c>
      <c r="O503" s="84">
        <v>26.93</v>
      </c>
      <c r="P503" s="84">
        <v>26.83</v>
      </c>
      <c r="Q503" s="84">
        <v>30.81</v>
      </c>
      <c r="R503" s="84">
        <v>29.91</v>
      </c>
      <c r="S503" s="84">
        <v>46.79</v>
      </c>
      <c r="T503" s="84">
        <v>34.5</v>
      </c>
      <c r="U503" s="84">
        <v>35.81</v>
      </c>
      <c r="V503" s="84">
        <v>31.96</v>
      </c>
      <c r="W503" s="84">
        <v>30.99</v>
      </c>
      <c r="X503" s="84">
        <v>29.68</v>
      </c>
      <c r="Y503" s="84">
        <v>28.58</v>
      </c>
      <c r="Z503" s="84">
        <v>31.35</v>
      </c>
      <c r="AA503" s="84">
        <v>39.04</v>
      </c>
      <c r="AB503" s="86">
        <v>32.32</v>
      </c>
      <c r="AC503" s="230">
        <v>32.9</v>
      </c>
      <c r="AD503" s="129">
        <v>-2.7153655317024739E-2</v>
      </c>
      <c r="AE503" s="251">
        <v>43191</v>
      </c>
      <c r="AF503" s="2" t="s">
        <v>495</v>
      </c>
      <c r="BA503" s="2" t="s">
        <v>560</v>
      </c>
      <c r="BB503" s="2" t="e">
        <v>#N/A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</row>
    <row r="504" spans="1:82" ht="15" customHeight="1" x14ac:dyDescent="0.3">
      <c r="A504" s="38" t="s">
        <v>561</v>
      </c>
      <c r="B504" s="84">
        <v>29.58</v>
      </c>
      <c r="C504" s="84">
        <v>29.07</v>
      </c>
      <c r="D504" s="91">
        <v>31.21</v>
      </c>
      <c r="E504" s="84">
        <v>34.229999999999997</v>
      </c>
      <c r="F504" s="84">
        <v>32.380000000000003</v>
      </c>
      <c r="G504" s="84">
        <v>29.23</v>
      </c>
      <c r="H504" s="84">
        <v>31.17</v>
      </c>
      <c r="I504" s="84">
        <v>39.17</v>
      </c>
      <c r="J504" s="84">
        <v>30.68</v>
      </c>
      <c r="K504" s="84">
        <v>32.43</v>
      </c>
      <c r="L504" s="84">
        <v>31.83</v>
      </c>
      <c r="M504" s="84">
        <v>34.89</v>
      </c>
      <c r="N504" s="84">
        <v>54.37</v>
      </c>
      <c r="O504" s="84">
        <v>26.74</v>
      </c>
      <c r="P504" s="84">
        <v>25.96</v>
      </c>
      <c r="Q504" s="84">
        <v>29.88</v>
      </c>
      <c r="R504" s="84">
        <v>28.9</v>
      </c>
      <c r="S504" s="84">
        <v>49.13</v>
      </c>
      <c r="T504" s="84">
        <v>34</v>
      </c>
      <c r="U504" s="84">
        <v>35.020000000000003</v>
      </c>
      <c r="V504" s="84">
        <v>30.69</v>
      </c>
      <c r="W504" s="84">
        <v>30.36</v>
      </c>
      <c r="X504" s="84">
        <v>28.32</v>
      </c>
      <c r="Y504" s="84">
        <v>28.74</v>
      </c>
      <c r="Z504" s="84">
        <v>30.65</v>
      </c>
      <c r="AA504" s="84">
        <v>36.409999999999997</v>
      </c>
      <c r="AB504" s="86">
        <v>31.68</v>
      </c>
      <c r="AC504" s="230">
        <v>32.36</v>
      </c>
      <c r="AD504" s="129">
        <v>-1.6310263614903286E-2</v>
      </c>
      <c r="AE504" s="251">
        <v>43221</v>
      </c>
      <c r="AF504" s="2" t="s">
        <v>495</v>
      </c>
      <c r="BA504" s="2" t="s">
        <v>561</v>
      </c>
      <c r="BB504" s="2" t="e">
        <v>#N/A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</row>
    <row r="505" spans="1:82" ht="15" customHeight="1" x14ac:dyDescent="0.3">
      <c r="A505" s="38" t="s">
        <v>562</v>
      </c>
      <c r="B505" s="84">
        <v>30.44</v>
      </c>
      <c r="C505" s="84">
        <v>29.04</v>
      </c>
      <c r="D505" s="91">
        <v>30.78</v>
      </c>
      <c r="E505" s="84">
        <v>36.25</v>
      </c>
      <c r="F505" s="84">
        <v>32.56</v>
      </c>
      <c r="G505" s="84">
        <v>29.65</v>
      </c>
      <c r="H505" s="84">
        <v>31.66</v>
      </c>
      <c r="I505" s="84">
        <v>39.51</v>
      </c>
      <c r="J505" s="84">
        <v>30.39</v>
      </c>
      <c r="K505" s="84">
        <v>32.630000000000003</v>
      </c>
      <c r="L505" s="84">
        <v>31.6</v>
      </c>
      <c r="M505" s="84">
        <v>34.86</v>
      </c>
      <c r="N505" s="84">
        <v>55.49</v>
      </c>
      <c r="O505" s="84">
        <v>26.98</v>
      </c>
      <c r="P505" s="84">
        <v>25.59</v>
      </c>
      <c r="Q505" s="84">
        <v>30.31</v>
      </c>
      <c r="R505" s="84">
        <v>28.07</v>
      </c>
      <c r="S505" s="84">
        <v>50.03</v>
      </c>
      <c r="T505" s="84">
        <v>34.25</v>
      </c>
      <c r="U505" s="84">
        <v>34.549999999999997</v>
      </c>
      <c r="V505" s="84">
        <v>30.4</v>
      </c>
      <c r="W505" s="84">
        <v>30.31</v>
      </c>
      <c r="X505" s="84">
        <v>28.21</v>
      </c>
      <c r="Y505" s="84">
        <v>29.18</v>
      </c>
      <c r="Z505" s="84">
        <v>30.59</v>
      </c>
      <c r="AA505" s="84">
        <v>36.1</v>
      </c>
      <c r="AB505" s="86">
        <v>31.63</v>
      </c>
      <c r="AC505" s="230">
        <v>32.520000000000003</v>
      </c>
      <c r="AD505" s="129">
        <v>4.8332062898537309E-3</v>
      </c>
      <c r="AE505" s="251">
        <v>43252</v>
      </c>
      <c r="AF505" s="2" t="s">
        <v>495</v>
      </c>
      <c r="BA505" s="2" t="s">
        <v>562</v>
      </c>
      <c r="BB505" s="2" t="e">
        <v>#N/A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</row>
    <row r="506" spans="1:82" ht="15" customHeight="1" x14ac:dyDescent="0.3">
      <c r="A506" s="38" t="s">
        <v>563</v>
      </c>
      <c r="B506" s="84">
        <v>30.17</v>
      </c>
      <c r="C506" s="84">
        <v>29.36</v>
      </c>
      <c r="D506" s="91">
        <v>30.79</v>
      </c>
      <c r="E506" s="84">
        <v>37.17</v>
      </c>
      <c r="F506" s="84">
        <v>33.19</v>
      </c>
      <c r="G506" s="84">
        <v>30.18</v>
      </c>
      <c r="H506" s="84">
        <v>31.76</v>
      </c>
      <c r="I506" s="84">
        <v>39.53</v>
      </c>
      <c r="J506" s="84">
        <v>30.29</v>
      </c>
      <c r="K506" s="84">
        <v>33.700000000000003</v>
      </c>
      <c r="L506" s="84">
        <v>32.159999999999997</v>
      </c>
      <c r="M506" s="84">
        <v>35.25</v>
      </c>
      <c r="N506" s="84">
        <v>56.67</v>
      </c>
      <c r="O506" s="84">
        <v>27.65</v>
      </c>
      <c r="P506" s="84">
        <v>25.79</v>
      </c>
      <c r="Q506" s="84">
        <v>31.36</v>
      </c>
      <c r="R506" s="84">
        <v>28.04</v>
      </c>
      <c r="S506" s="84">
        <v>51.57</v>
      </c>
      <c r="T506" s="84">
        <v>35.75</v>
      </c>
      <c r="U506" s="84">
        <v>35.33</v>
      </c>
      <c r="V506" s="84">
        <v>30.38</v>
      </c>
      <c r="W506" s="84">
        <v>30.07</v>
      </c>
      <c r="X506" s="84">
        <v>28.45</v>
      </c>
      <c r="Y506" s="84">
        <v>29.78</v>
      </c>
      <c r="Z506" s="84">
        <v>30.77</v>
      </c>
      <c r="AA506" s="84">
        <v>35.86</v>
      </c>
      <c r="AB506" s="86">
        <v>33.020000000000003</v>
      </c>
      <c r="AC506" s="230">
        <v>33.119999999999997</v>
      </c>
      <c r="AD506" s="129">
        <v>1.8681635564439691E-2</v>
      </c>
      <c r="AE506" s="251">
        <v>43282</v>
      </c>
      <c r="AF506" s="2" t="s">
        <v>495</v>
      </c>
      <c r="BA506" s="2" t="s">
        <v>563</v>
      </c>
      <c r="BB506" s="2" t="e">
        <v>#N/A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</row>
    <row r="507" spans="1:82" ht="15" customHeight="1" x14ac:dyDescent="0.3">
      <c r="A507" s="38" t="s">
        <v>564</v>
      </c>
      <c r="B507" s="84">
        <v>31.82</v>
      </c>
      <c r="C507" s="84">
        <v>29.38</v>
      </c>
      <c r="D507" s="91">
        <v>31.17</v>
      </c>
      <c r="E507" s="84">
        <v>37.15</v>
      </c>
      <c r="F507" s="84">
        <v>33.83</v>
      </c>
      <c r="G507" s="84">
        <v>30.34</v>
      </c>
      <c r="H507" s="84">
        <v>33.409999999999997</v>
      </c>
      <c r="I507" s="84">
        <v>39.590000000000003</v>
      </c>
      <c r="J507" s="84">
        <v>30.49</v>
      </c>
      <c r="K507" s="84">
        <v>34.630000000000003</v>
      </c>
      <c r="L507" s="84">
        <v>31.65</v>
      </c>
      <c r="M507" s="84">
        <v>35.26</v>
      </c>
      <c r="N507" s="84">
        <v>56.68</v>
      </c>
      <c r="O507" s="84">
        <v>27.97</v>
      </c>
      <c r="P507" s="84">
        <v>25.74</v>
      </c>
      <c r="Q507" s="84">
        <v>32.49</v>
      </c>
      <c r="R507" s="84">
        <v>28.33</v>
      </c>
      <c r="S507" s="84">
        <v>53.21</v>
      </c>
      <c r="T507" s="84">
        <v>35.75</v>
      </c>
      <c r="U507" s="84">
        <v>35.119999999999997</v>
      </c>
      <c r="V507" s="84">
        <v>30.72</v>
      </c>
      <c r="W507" s="84">
        <v>29.79</v>
      </c>
      <c r="X507" s="84">
        <v>29</v>
      </c>
      <c r="Y507" s="84">
        <v>29.89</v>
      </c>
      <c r="Z507" s="84">
        <v>30.82</v>
      </c>
      <c r="AA507" s="84">
        <v>36</v>
      </c>
      <c r="AB507" s="86">
        <v>33.29</v>
      </c>
      <c r="AC507" s="230">
        <v>33.630000000000003</v>
      </c>
      <c r="AD507" s="129">
        <v>1.5177717699481841E-2</v>
      </c>
      <c r="AE507" s="251">
        <v>43313</v>
      </c>
      <c r="AF507" s="2" t="s">
        <v>495</v>
      </c>
      <c r="BA507" s="2" t="s">
        <v>564</v>
      </c>
      <c r="BB507" s="2" t="e">
        <v>#N/A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</row>
    <row r="508" spans="1:82" ht="15" customHeight="1" x14ac:dyDescent="0.3">
      <c r="A508" s="38" t="s">
        <v>565</v>
      </c>
      <c r="B508" s="84">
        <v>33.729999999999997</v>
      </c>
      <c r="C508" s="84">
        <v>29.72</v>
      </c>
      <c r="D508" s="91">
        <v>31.96</v>
      </c>
      <c r="E508" s="84">
        <v>37.950000000000003</v>
      </c>
      <c r="F508" s="84">
        <v>35.43</v>
      </c>
      <c r="G508" s="84">
        <v>31.61</v>
      </c>
      <c r="H508" s="84">
        <v>37</v>
      </c>
      <c r="I508" s="84">
        <v>39.83</v>
      </c>
      <c r="J508" s="84">
        <v>30.78</v>
      </c>
      <c r="K508" s="84">
        <v>35.979999999999997</v>
      </c>
      <c r="L508" s="84">
        <v>33</v>
      </c>
      <c r="M508" s="84">
        <v>35.44</v>
      </c>
      <c r="N508" s="84">
        <v>56.83</v>
      </c>
      <c r="O508" s="84">
        <v>28.95</v>
      </c>
      <c r="P508" s="84">
        <v>28.15</v>
      </c>
      <c r="Q508" s="84">
        <v>34.119999999999997</v>
      </c>
      <c r="R508" s="84">
        <v>28.69</v>
      </c>
      <c r="S508" s="84">
        <v>53.64</v>
      </c>
      <c r="T508" s="84">
        <v>37</v>
      </c>
      <c r="U508" s="84">
        <v>36.450000000000003</v>
      </c>
      <c r="V508" s="84">
        <v>31.6</v>
      </c>
      <c r="W508" s="84">
        <v>30.03</v>
      </c>
      <c r="X508" s="84">
        <v>28.82</v>
      </c>
      <c r="Y508" s="84">
        <v>30.96</v>
      </c>
      <c r="Z508" s="84">
        <v>31.71</v>
      </c>
      <c r="AA508" s="84">
        <v>37.6</v>
      </c>
      <c r="AB508" s="86">
        <v>34.700000000000003</v>
      </c>
      <c r="AC508" s="232">
        <v>34.89</v>
      </c>
      <c r="AD508" s="129">
        <v>3.7690692816114035E-2</v>
      </c>
      <c r="AE508" s="251">
        <v>43344</v>
      </c>
      <c r="AF508" s="2" t="s">
        <v>495</v>
      </c>
      <c r="BA508" s="2" t="s">
        <v>565</v>
      </c>
      <c r="BB508" s="2" t="e">
        <v>#N/A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</row>
    <row r="509" spans="1:82" ht="15" customHeight="1" x14ac:dyDescent="0.3">
      <c r="A509" s="38" t="s">
        <v>566</v>
      </c>
      <c r="B509" s="84">
        <v>35.119999999999997</v>
      </c>
      <c r="C509" s="84">
        <v>30.3</v>
      </c>
      <c r="D509" s="91">
        <v>32.82</v>
      </c>
      <c r="E509" s="84">
        <v>37.94</v>
      </c>
      <c r="F509" s="84">
        <v>36.630000000000003</v>
      </c>
      <c r="G509" s="84">
        <v>31.8</v>
      </c>
      <c r="H509" s="84">
        <v>38.75</v>
      </c>
      <c r="I509" s="84">
        <v>39.61</v>
      </c>
      <c r="J509" s="84">
        <v>31.55</v>
      </c>
      <c r="K509" s="84">
        <v>36.71</v>
      </c>
      <c r="L509" s="84">
        <v>33.840000000000003</v>
      </c>
      <c r="M509" s="84">
        <v>36.81</v>
      </c>
      <c r="N509" s="84">
        <v>56.9</v>
      </c>
      <c r="O509" s="84">
        <v>29.34</v>
      </c>
      <c r="P509" s="84">
        <v>30.76</v>
      </c>
      <c r="Q509" s="84">
        <v>36.01</v>
      </c>
      <c r="R509" s="84">
        <v>29.57</v>
      </c>
      <c r="S509" s="84">
        <v>51.56</v>
      </c>
      <c r="T509" s="84">
        <v>38</v>
      </c>
      <c r="U509" s="84">
        <v>37.86</v>
      </c>
      <c r="V509" s="84">
        <v>32.57</v>
      </c>
      <c r="W509" s="84">
        <v>31.05</v>
      </c>
      <c r="X509" s="84">
        <v>30.52</v>
      </c>
      <c r="Y509" s="84">
        <v>31.98</v>
      </c>
      <c r="Z509" s="84">
        <v>32.450000000000003</v>
      </c>
      <c r="AA509" s="84">
        <v>38.869999999999997</v>
      </c>
      <c r="AB509" s="86">
        <v>37.57</v>
      </c>
      <c r="AC509" s="233">
        <v>35.97</v>
      </c>
      <c r="AD509" s="129">
        <v>3.0828486625163132E-2</v>
      </c>
      <c r="AE509" s="251">
        <v>43374</v>
      </c>
      <c r="AF509" s="2" t="s">
        <v>495</v>
      </c>
      <c r="BA509" s="2" t="s">
        <v>566</v>
      </c>
      <c r="BB509" s="2" t="e">
        <v>#N/A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</row>
    <row r="510" spans="1:82" ht="15" customHeight="1" x14ac:dyDescent="0.3">
      <c r="A510" s="38" t="s">
        <v>567</v>
      </c>
      <c r="B510" s="84">
        <v>35.69</v>
      </c>
      <c r="C510" s="84">
        <v>30.43</v>
      </c>
      <c r="D510" s="84">
        <v>33.54</v>
      </c>
      <c r="E510" s="84">
        <v>37.93</v>
      </c>
      <c r="F510" s="84">
        <v>37.159999999999997</v>
      </c>
      <c r="G510" s="84">
        <v>32.29</v>
      </c>
      <c r="H510" s="84">
        <v>39.04</v>
      </c>
      <c r="I510" s="84">
        <v>39.25</v>
      </c>
      <c r="J510" s="84">
        <v>32.33</v>
      </c>
      <c r="K510" s="84">
        <v>36.729999999999997</v>
      </c>
      <c r="L510" s="84">
        <v>33.69</v>
      </c>
      <c r="M510" s="84">
        <v>37.08</v>
      </c>
      <c r="N510" s="84">
        <v>57.82</v>
      </c>
      <c r="O510" s="84">
        <v>29.65</v>
      </c>
      <c r="P510" s="84">
        <v>31.66</v>
      </c>
      <c r="Q510" s="84">
        <v>36.75</v>
      </c>
      <c r="R510" s="84">
        <v>30.29</v>
      </c>
      <c r="S510" s="84">
        <v>51.55</v>
      </c>
      <c r="T510" s="84">
        <v>37.25</v>
      </c>
      <c r="U510" s="84">
        <v>38.68</v>
      </c>
      <c r="V510" s="84">
        <v>32.85</v>
      </c>
      <c r="W510" s="84">
        <v>31.84</v>
      </c>
      <c r="X510" s="84">
        <v>31.62</v>
      </c>
      <c r="Y510" s="84">
        <v>32.380000000000003</v>
      </c>
      <c r="Z510" s="84">
        <v>32.92</v>
      </c>
      <c r="AA510" s="84">
        <v>38.74</v>
      </c>
      <c r="AB510" s="86">
        <v>37.21</v>
      </c>
      <c r="AC510" s="220">
        <v>36.21</v>
      </c>
      <c r="AD510" s="129">
        <v>6.5750280028926689E-3</v>
      </c>
      <c r="AE510" s="251">
        <v>43405</v>
      </c>
      <c r="AF510" s="2" t="s">
        <v>495</v>
      </c>
      <c r="BA510" s="2" t="s">
        <v>567</v>
      </c>
      <c r="BB510" s="2" t="e">
        <v>#N/A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</row>
    <row r="511" spans="1:82" ht="15" customHeight="1" thickBot="1" x14ac:dyDescent="0.35">
      <c r="A511" s="63" t="s">
        <v>568</v>
      </c>
      <c r="B511" s="87">
        <v>35.53</v>
      </c>
      <c r="C511" s="87">
        <v>30.83</v>
      </c>
      <c r="D511" s="87">
        <v>34.5</v>
      </c>
      <c r="E511" s="87">
        <v>36.97</v>
      </c>
      <c r="F511" s="87">
        <v>36.47</v>
      </c>
      <c r="G511" s="87">
        <v>32.11</v>
      </c>
      <c r="H511" s="87">
        <v>36.9</v>
      </c>
      <c r="I511" s="87">
        <v>38.74</v>
      </c>
      <c r="J511" s="87">
        <v>32.04</v>
      </c>
      <c r="K511" s="87">
        <v>36</v>
      </c>
      <c r="L511" s="87">
        <v>34.340000000000003</v>
      </c>
      <c r="M511" s="87">
        <v>37.200000000000003</v>
      </c>
      <c r="N511" s="87">
        <v>58.11</v>
      </c>
      <c r="O511" s="87">
        <v>29.99</v>
      </c>
      <c r="P511" s="87">
        <v>31.39</v>
      </c>
      <c r="Q511" s="92">
        <v>36.54</v>
      </c>
      <c r="R511" s="87">
        <v>30.78</v>
      </c>
      <c r="S511" s="87">
        <v>49.55</v>
      </c>
      <c r="T511" s="87">
        <v>37.25</v>
      </c>
      <c r="U511" s="87">
        <v>39.200000000000003</v>
      </c>
      <c r="V511" s="87">
        <v>33.200000000000003</v>
      </c>
      <c r="W511" s="87">
        <v>31.84</v>
      </c>
      <c r="X511" s="87">
        <v>32.01</v>
      </c>
      <c r="Y511" s="87">
        <v>31.95</v>
      </c>
      <c r="Z511" s="87">
        <v>33.159999999999997</v>
      </c>
      <c r="AA511" s="87">
        <v>38.57</v>
      </c>
      <c r="AB511" s="89">
        <v>37.44</v>
      </c>
      <c r="AC511" s="234">
        <v>35.83</v>
      </c>
      <c r="AD511" s="133">
        <v>-1.0332830616194832E-2</v>
      </c>
      <c r="AE511" s="253">
        <v>43435</v>
      </c>
      <c r="AF511" s="2" t="s">
        <v>495</v>
      </c>
      <c r="BA511" s="2" t="s">
        <v>568</v>
      </c>
      <c r="BB511" s="2" t="e">
        <v>#N/A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</row>
    <row r="512" spans="1:82" ht="15" customHeight="1" x14ac:dyDescent="0.3">
      <c r="A512" s="76" t="s">
        <v>569</v>
      </c>
      <c r="B512" s="84">
        <v>33.86</v>
      </c>
      <c r="C512" s="84">
        <v>30.94</v>
      </c>
      <c r="D512" s="84">
        <v>34.659999999999997</v>
      </c>
      <c r="E512" s="84">
        <v>34.159999999999997</v>
      </c>
      <c r="F512" s="84">
        <v>35.47</v>
      </c>
      <c r="G512" s="84">
        <v>31.71</v>
      </c>
      <c r="H512" s="84">
        <v>34.28</v>
      </c>
      <c r="I512" s="84">
        <v>38.880000000000003</v>
      </c>
      <c r="J512" s="84">
        <v>32.04</v>
      </c>
      <c r="K512" s="84">
        <v>36.119999999999997</v>
      </c>
      <c r="L512" s="84">
        <v>33.96</v>
      </c>
      <c r="M512" s="84">
        <v>39.51</v>
      </c>
      <c r="N512" s="84">
        <v>58.07</v>
      </c>
      <c r="O512" s="84">
        <v>30.21</v>
      </c>
      <c r="P512" s="84">
        <v>30.61</v>
      </c>
      <c r="Q512" s="122" t="s">
        <v>621</v>
      </c>
      <c r="R512" s="84">
        <v>31.08</v>
      </c>
      <c r="S512" s="84">
        <v>48.22</v>
      </c>
      <c r="T512" s="84">
        <v>36.25</v>
      </c>
      <c r="U512" s="84">
        <v>38.25</v>
      </c>
      <c r="V512" s="84">
        <v>32.479999999999997</v>
      </c>
      <c r="W512" s="84">
        <v>31.09</v>
      </c>
      <c r="X512" s="81">
        <v>31.46</v>
      </c>
      <c r="Y512" s="81">
        <v>32.56</v>
      </c>
      <c r="Z512" s="81">
        <v>33.26</v>
      </c>
      <c r="AA512" s="81">
        <v>38.6</v>
      </c>
      <c r="AB512" s="83">
        <v>35.96</v>
      </c>
      <c r="AC512" s="230">
        <v>35.31</v>
      </c>
      <c r="AD512" s="135">
        <v>-1.4507917762659139E-2</v>
      </c>
      <c r="AE512" s="250">
        <v>43466</v>
      </c>
      <c r="AF512" s="2" t="s">
        <v>495</v>
      </c>
      <c r="BA512" s="2" t="s">
        <v>569</v>
      </c>
      <c r="BB512" s="2" t="e">
        <v>#N/A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</row>
    <row r="513" spans="1:82" ht="15" customHeight="1" x14ac:dyDescent="0.3">
      <c r="A513" s="54" t="s">
        <v>570</v>
      </c>
      <c r="B513" s="81">
        <v>33.71</v>
      </c>
      <c r="C513" s="81">
        <v>30.93</v>
      </c>
      <c r="D513" s="81">
        <v>34.17</v>
      </c>
      <c r="E513" s="81">
        <v>34.17</v>
      </c>
      <c r="F513" s="81">
        <v>35.22</v>
      </c>
      <c r="G513" s="84">
        <v>32.03</v>
      </c>
      <c r="H513" s="81">
        <v>34.380000000000003</v>
      </c>
      <c r="I513" s="81">
        <v>38.880000000000003</v>
      </c>
      <c r="J513" s="81">
        <v>32.04</v>
      </c>
      <c r="K513" s="81">
        <v>36.06</v>
      </c>
      <c r="L513" s="81">
        <v>33.700000000000003</v>
      </c>
      <c r="M513" s="81">
        <v>39.65</v>
      </c>
      <c r="N513" s="81">
        <v>58.16</v>
      </c>
      <c r="O513" s="81">
        <v>30.3</v>
      </c>
      <c r="P513" s="81">
        <v>30.66</v>
      </c>
      <c r="Q513" s="123" t="s">
        <v>621</v>
      </c>
      <c r="R513" s="81">
        <v>31.43</v>
      </c>
      <c r="S513" s="81">
        <v>46.95</v>
      </c>
      <c r="T513" s="81">
        <v>36.5</v>
      </c>
      <c r="U513" s="81">
        <v>38.020000000000003</v>
      </c>
      <c r="V513" s="81">
        <v>32.229999999999997</v>
      </c>
      <c r="W513" s="81">
        <v>31.71</v>
      </c>
      <c r="X513" s="81">
        <v>31.37</v>
      </c>
      <c r="Y513" s="81">
        <v>32.18</v>
      </c>
      <c r="Z513" s="81">
        <v>33.03</v>
      </c>
      <c r="AA513" s="81">
        <v>38.29</v>
      </c>
      <c r="AB513" s="83">
        <v>35.17</v>
      </c>
      <c r="AC513" s="220">
        <v>35.229999999999997</v>
      </c>
      <c r="AD513" s="132">
        <v>-2.2599321765598424E-3</v>
      </c>
      <c r="AE513" s="254">
        <v>43497</v>
      </c>
      <c r="AF513" s="2" t="s">
        <v>495</v>
      </c>
      <c r="BA513" s="2" t="s">
        <v>570</v>
      </c>
      <c r="BB513" s="2" t="e">
        <v>#N/A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</row>
    <row r="514" spans="1:82" ht="15" customHeight="1" x14ac:dyDescent="0.3">
      <c r="A514" s="38" t="s">
        <v>571</v>
      </c>
      <c r="B514" s="84">
        <v>33.590000000000003</v>
      </c>
      <c r="C514" s="84">
        <v>30.76</v>
      </c>
      <c r="D514" s="84">
        <v>34.21</v>
      </c>
      <c r="E514" s="84">
        <v>34.17</v>
      </c>
      <c r="F514" s="84">
        <v>34.82</v>
      </c>
      <c r="G514" s="94">
        <v>31.57</v>
      </c>
      <c r="H514" s="84">
        <v>32.630000000000003</v>
      </c>
      <c r="I514" s="84">
        <v>38.29</v>
      </c>
      <c r="J514" s="84">
        <v>31.65</v>
      </c>
      <c r="K514" s="84">
        <v>35.03</v>
      </c>
      <c r="L514" s="84">
        <v>33.33</v>
      </c>
      <c r="M514" s="84">
        <v>39.32</v>
      </c>
      <c r="N514" s="84">
        <v>57.89</v>
      </c>
      <c r="O514" s="84">
        <v>30.34</v>
      </c>
      <c r="P514" s="84">
        <v>30.56</v>
      </c>
      <c r="Q514" s="122" t="s">
        <v>621</v>
      </c>
      <c r="R514" s="84">
        <v>31.48</v>
      </c>
      <c r="S514" s="84">
        <v>46.71</v>
      </c>
      <c r="T514" s="84">
        <v>36.5</v>
      </c>
      <c r="U514" s="84">
        <v>37.64</v>
      </c>
      <c r="V514" s="84">
        <v>32.39</v>
      </c>
      <c r="W514" s="84">
        <v>30.55</v>
      </c>
      <c r="X514" s="84">
        <v>31.04</v>
      </c>
      <c r="Y514" s="84">
        <v>32.270000000000003</v>
      </c>
      <c r="Z514" s="84">
        <v>32.78</v>
      </c>
      <c r="AA514" s="84">
        <v>37.94</v>
      </c>
      <c r="AB514" s="86">
        <v>35.04</v>
      </c>
      <c r="AC514" s="230">
        <v>34.79</v>
      </c>
      <c r="AD514" s="129">
        <v>-1.2533298778988677E-2</v>
      </c>
      <c r="AE514" s="254">
        <v>43525</v>
      </c>
      <c r="AF514" s="2" t="s">
        <v>495</v>
      </c>
      <c r="BA514" s="2" t="s">
        <v>571</v>
      </c>
      <c r="BB514" s="2" t="e">
        <v>#N/A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</row>
    <row r="515" spans="1:82" ht="15" customHeight="1" x14ac:dyDescent="0.3">
      <c r="A515" s="54" t="s">
        <v>572</v>
      </c>
      <c r="B515" s="84">
        <v>32.97</v>
      </c>
      <c r="C515" s="84">
        <v>29.96</v>
      </c>
      <c r="D515" s="84">
        <v>33.71</v>
      </c>
      <c r="E515" s="84">
        <v>34.159999999999997</v>
      </c>
      <c r="F515" s="84">
        <v>34.49</v>
      </c>
      <c r="G515" s="94">
        <v>31.71</v>
      </c>
      <c r="H515" s="84">
        <v>31.66</v>
      </c>
      <c r="I515" s="84">
        <v>38.229999999999997</v>
      </c>
      <c r="J515" s="84">
        <v>31.65</v>
      </c>
      <c r="K515" s="84">
        <v>35.49</v>
      </c>
      <c r="L515" s="84">
        <v>33.26</v>
      </c>
      <c r="M515" s="84">
        <v>39.07</v>
      </c>
      <c r="N515" s="84">
        <v>57.6</v>
      </c>
      <c r="O515" s="84">
        <v>30.26</v>
      </c>
      <c r="P515" s="84">
        <v>30.14</v>
      </c>
      <c r="Q515" s="122" t="s">
        <v>621</v>
      </c>
      <c r="R515" s="84">
        <v>30.87</v>
      </c>
      <c r="S515" s="84">
        <v>45.55</v>
      </c>
      <c r="T515" s="84">
        <v>36</v>
      </c>
      <c r="U515" s="84">
        <v>37.840000000000003</v>
      </c>
      <c r="V515" s="84">
        <v>31.77</v>
      </c>
      <c r="W515" s="84">
        <v>30.6</v>
      </c>
      <c r="X515" s="84">
        <v>30.22</v>
      </c>
      <c r="Y515" s="84">
        <v>32.4</v>
      </c>
      <c r="Z515" s="84">
        <v>32.6</v>
      </c>
      <c r="AA515" s="84">
        <v>37.85</v>
      </c>
      <c r="AB515" s="86">
        <v>35.130000000000003</v>
      </c>
      <c r="AC515" s="233">
        <v>34.58</v>
      </c>
      <c r="AD515" s="129">
        <v>-6.02300244237719E-3</v>
      </c>
      <c r="AE515" s="254">
        <v>43556</v>
      </c>
      <c r="AF515" s="2" t="s">
        <v>495</v>
      </c>
      <c r="BA515" s="2" t="s">
        <v>572</v>
      </c>
      <c r="BB515" s="2" t="e">
        <v>#N/A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</row>
    <row r="516" spans="1:82" ht="15" customHeight="1" x14ac:dyDescent="0.3">
      <c r="A516" s="38" t="s">
        <v>573</v>
      </c>
      <c r="B516" s="84">
        <v>32.479999999999997</v>
      </c>
      <c r="C516" s="84">
        <v>29.72</v>
      </c>
      <c r="D516" s="91">
        <v>33.42</v>
      </c>
      <c r="E516" s="84">
        <v>34.15</v>
      </c>
      <c r="F516" s="84">
        <v>33.99</v>
      </c>
      <c r="G516" s="94">
        <v>31.08</v>
      </c>
      <c r="H516" s="84">
        <v>31.47</v>
      </c>
      <c r="I516" s="84">
        <v>37.86</v>
      </c>
      <c r="J516" s="84">
        <v>31.55</v>
      </c>
      <c r="K516" s="84">
        <v>35.47</v>
      </c>
      <c r="L516" s="84">
        <v>33.28</v>
      </c>
      <c r="M516" s="84">
        <v>39.090000000000003</v>
      </c>
      <c r="N516" s="84">
        <v>57.14</v>
      </c>
      <c r="O516" s="84">
        <v>29.35</v>
      </c>
      <c r="P516" s="84">
        <v>28.09</v>
      </c>
      <c r="Q516" s="122" t="s">
        <v>621</v>
      </c>
      <c r="R516" s="84">
        <v>30.34</v>
      </c>
      <c r="S516" s="84">
        <v>45.74</v>
      </c>
      <c r="T516" s="84">
        <v>35.25</v>
      </c>
      <c r="U516" s="84">
        <v>37.450000000000003</v>
      </c>
      <c r="V516" s="84">
        <v>31.49</v>
      </c>
      <c r="W516" s="84">
        <v>30.25</v>
      </c>
      <c r="X516" s="84">
        <v>28.7</v>
      </c>
      <c r="Y516" s="84">
        <v>32.1</v>
      </c>
      <c r="Z516" s="84">
        <v>32.61</v>
      </c>
      <c r="AA516" s="84">
        <v>37.409999999999997</v>
      </c>
      <c r="AB516" s="86">
        <v>34</v>
      </c>
      <c r="AC516" s="230">
        <v>34.229999999999997</v>
      </c>
      <c r="AD516" s="129">
        <v>-1.0058251770532767E-2</v>
      </c>
      <c r="AE516" s="254">
        <v>43586</v>
      </c>
      <c r="AF516" s="2" t="s">
        <v>495</v>
      </c>
      <c r="BA516" s="2" t="s">
        <v>573</v>
      </c>
      <c r="BB516" s="2" t="e">
        <v>#N/A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</row>
    <row r="517" spans="1:82" ht="15" customHeight="1" x14ac:dyDescent="0.3">
      <c r="A517" s="38" t="s">
        <v>574</v>
      </c>
      <c r="B517" s="84">
        <v>31.64</v>
      </c>
      <c r="C517" s="84">
        <v>29.44</v>
      </c>
      <c r="D517" s="91">
        <v>32.99</v>
      </c>
      <c r="E517" s="84">
        <v>34.15</v>
      </c>
      <c r="F517" s="84">
        <v>33.22</v>
      </c>
      <c r="G517" s="94">
        <v>30.47</v>
      </c>
      <c r="H517" s="84">
        <v>31.95</v>
      </c>
      <c r="I517" s="84">
        <v>38.090000000000003</v>
      </c>
      <c r="J517" s="84">
        <v>31.17</v>
      </c>
      <c r="K517" s="84">
        <v>35.74</v>
      </c>
      <c r="L517" s="84">
        <v>32.520000000000003</v>
      </c>
      <c r="M517" s="84">
        <v>39.090000000000003</v>
      </c>
      <c r="N517" s="84">
        <v>56.79</v>
      </c>
      <c r="O517" s="84">
        <v>28.53</v>
      </c>
      <c r="P517" s="84">
        <v>26.43</v>
      </c>
      <c r="Q517" s="122" t="s">
        <v>621</v>
      </c>
      <c r="R517" s="84">
        <v>30.08</v>
      </c>
      <c r="S517" s="84">
        <v>49.07</v>
      </c>
      <c r="T517" s="84">
        <v>35.75</v>
      </c>
      <c r="U517" s="84">
        <v>36.33</v>
      </c>
      <c r="V517" s="84">
        <v>31.02</v>
      </c>
      <c r="W517" s="84">
        <v>30.24</v>
      </c>
      <c r="X517" s="84">
        <v>28.29</v>
      </c>
      <c r="Y517" s="84">
        <v>31.62</v>
      </c>
      <c r="Z517" s="84">
        <v>32.18</v>
      </c>
      <c r="AA517" s="84">
        <v>36.96</v>
      </c>
      <c r="AB517" s="86">
        <v>34.340000000000003</v>
      </c>
      <c r="AC517" s="230">
        <v>34.03</v>
      </c>
      <c r="AD517" s="129">
        <v>-6.0700516836844631E-3</v>
      </c>
      <c r="AE517" s="254">
        <v>43617</v>
      </c>
      <c r="AF517" s="2" t="s">
        <v>495</v>
      </c>
      <c r="BA517" s="2" t="s">
        <v>574</v>
      </c>
      <c r="BB517" s="2" t="e">
        <v>#N/A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</row>
    <row r="518" spans="1:82" ht="15" customHeight="1" x14ac:dyDescent="0.3">
      <c r="A518" s="38" t="s">
        <v>575</v>
      </c>
      <c r="B518" s="84">
        <v>31.12</v>
      </c>
      <c r="C518" s="84">
        <v>29.66</v>
      </c>
      <c r="D518" s="91">
        <v>32.83</v>
      </c>
      <c r="E518" s="84">
        <v>34.159999999999997</v>
      </c>
      <c r="F518" s="84">
        <v>32.93</v>
      </c>
      <c r="G518" s="94">
        <v>30.34</v>
      </c>
      <c r="H518" s="84">
        <v>31.08</v>
      </c>
      <c r="I518" s="84">
        <v>37.93</v>
      </c>
      <c r="J518" s="84">
        <v>31.07</v>
      </c>
      <c r="K518" s="84">
        <v>35.92</v>
      </c>
      <c r="L518" s="84">
        <v>32.44</v>
      </c>
      <c r="M518" s="84">
        <v>39.159999999999997</v>
      </c>
      <c r="N518" s="84">
        <v>57.01</v>
      </c>
      <c r="O518" s="84">
        <v>28.44</v>
      </c>
      <c r="P518" s="84">
        <v>26.21</v>
      </c>
      <c r="Q518" s="122" t="s">
        <v>621</v>
      </c>
      <c r="R518" s="84">
        <v>29.83</v>
      </c>
      <c r="S518" s="84">
        <v>50.55</v>
      </c>
      <c r="T518" s="84">
        <v>35</v>
      </c>
      <c r="U518" s="84">
        <v>35.97</v>
      </c>
      <c r="V518" s="84">
        <v>30.78</v>
      </c>
      <c r="W518" s="84">
        <v>30.17</v>
      </c>
      <c r="X518" s="84">
        <v>28.43</v>
      </c>
      <c r="Y518" s="84">
        <v>31.74</v>
      </c>
      <c r="Z518" s="84">
        <v>31.99</v>
      </c>
      <c r="AA518" s="84">
        <v>37.619999999999997</v>
      </c>
      <c r="AB518" s="86">
        <v>34.020000000000003</v>
      </c>
      <c r="AC518" s="230">
        <v>33.82</v>
      </c>
      <c r="AD518" s="129">
        <v>-5.918927231046367E-3</v>
      </c>
      <c r="AE518" s="254">
        <v>43647</v>
      </c>
      <c r="AF518" s="2" t="s">
        <v>495</v>
      </c>
      <c r="BA518" s="2" t="s">
        <v>575</v>
      </c>
      <c r="BB518" s="2" t="e">
        <v>#N/A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</row>
    <row r="519" spans="1:82" ht="15" customHeight="1" x14ac:dyDescent="0.3">
      <c r="A519" s="38" t="s">
        <v>576</v>
      </c>
      <c r="B519" s="84">
        <v>31.5</v>
      </c>
      <c r="C519" s="84">
        <v>29.78</v>
      </c>
      <c r="D519" s="91">
        <v>32.39</v>
      </c>
      <c r="E519" s="84">
        <v>34.18</v>
      </c>
      <c r="F519" s="84">
        <v>33.01</v>
      </c>
      <c r="G519" s="94">
        <v>30.06</v>
      </c>
      <c r="H519" s="84">
        <v>31.95</v>
      </c>
      <c r="I519" s="84">
        <v>37.93</v>
      </c>
      <c r="J519" s="84">
        <v>31.36</v>
      </c>
      <c r="K519" s="84">
        <v>36.75</v>
      </c>
      <c r="L519" s="84">
        <v>32.409999999999997</v>
      </c>
      <c r="M519" s="84">
        <v>39.58</v>
      </c>
      <c r="N519" s="84">
        <v>56.92</v>
      </c>
      <c r="O519" s="84">
        <v>28.37</v>
      </c>
      <c r="P519" s="84">
        <v>26.13</v>
      </c>
      <c r="Q519" s="122" t="s">
        <v>621</v>
      </c>
      <c r="R519" s="84">
        <v>30.13</v>
      </c>
      <c r="S519" s="84">
        <v>51.6</v>
      </c>
      <c r="T519" s="84">
        <v>35</v>
      </c>
      <c r="U519" s="84">
        <v>35.450000000000003</v>
      </c>
      <c r="V519" s="84">
        <v>30.12</v>
      </c>
      <c r="W519" s="84">
        <v>30.21</v>
      </c>
      <c r="X519" s="84">
        <v>28.96</v>
      </c>
      <c r="Y519" s="84">
        <v>32.020000000000003</v>
      </c>
      <c r="Z519" s="84">
        <v>31.67</v>
      </c>
      <c r="AA519" s="84">
        <v>37.94</v>
      </c>
      <c r="AB519" s="86">
        <v>33.369999999999997</v>
      </c>
      <c r="AC519" s="232">
        <v>34.020000000000003</v>
      </c>
      <c r="AD519" s="129">
        <v>5.6987226839508853E-3</v>
      </c>
      <c r="AE519" s="254">
        <v>43678</v>
      </c>
      <c r="AF519" s="2" t="s">
        <v>495</v>
      </c>
      <c r="BA519" s="2" t="s">
        <v>576</v>
      </c>
      <c r="BB519" s="2" t="e">
        <v>#N/A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</row>
    <row r="520" spans="1:82" ht="15" customHeight="1" x14ac:dyDescent="0.3">
      <c r="A520" s="38" t="s">
        <v>577</v>
      </c>
      <c r="B520" s="84">
        <v>32.69</v>
      </c>
      <c r="C520" s="84">
        <v>30.3</v>
      </c>
      <c r="D520" s="91">
        <v>32.56</v>
      </c>
      <c r="E520" s="84">
        <v>34.03</v>
      </c>
      <c r="F520" s="84">
        <v>33.880000000000003</v>
      </c>
      <c r="G520" s="94">
        <v>30.3</v>
      </c>
      <c r="H520" s="84">
        <v>34.479999999999997</v>
      </c>
      <c r="I520" s="84">
        <v>38.72</v>
      </c>
      <c r="J520" s="84">
        <v>31.65</v>
      </c>
      <c r="K520" s="84">
        <v>37.83</v>
      </c>
      <c r="L520" s="84">
        <v>32.950000000000003</v>
      </c>
      <c r="M520" s="84">
        <v>39.69</v>
      </c>
      <c r="N520" s="84">
        <v>57.2</v>
      </c>
      <c r="O520" s="84">
        <v>28.41</v>
      </c>
      <c r="P520" s="84">
        <v>27.52</v>
      </c>
      <c r="Q520" s="122" t="s">
        <v>621</v>
      </c>
      <c r="R520" s="84">
        <v>30.24</v>
      </c>
      <c r="S520" s="84">
        <v>52.12</v>
      </c>
      <c r="T520" s="84">
        <v>35</v>
      </c>
      <c r="U520" s="84">
        <v>35.97</v>
      </c>
      <c r="V520" s="84">
        <v>30.41</v>
      </c>
      <c r="W520" s="84">
        <v>30.55</v>
      </c>
      <c r="X520" s="84">
        <v>29.77</v>
      </c>
      <c r="Y520" s="84">
        <v>32.65</v>
      </c>
      <c r="Z520" s="84">
        <v>32.26</v>
      </c>
      <c r="AA520" s="84">
        <v>38.69</v>
      </c>
      <c r="AB520" s="86">
        <v>34.299999999999997</v>
      </c>
      <c r="AC520" s="233">
        <v>34.700000000000003</v>
      </c>
      <c r="AD520" s="136">
        <v>2.0056338581136535E-2</v>
      </c>
      <c r="AE520" s="254">
        <v>43709</v>
      </c>
      <c r="AF520" s="2" t="s">
        <v>495</v>
      </c>
      <c r="BA520" s="2" t="s">
        <v>577</v>
      </c>
      <c r="BB520" s="2" t="e">
        <v>#N/A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</row>
    <row r="521" spans="1:82" ht="15" customHeight="1" x14ac:dyDescent="0.3">
      <c r="A521" s="38" t="s">
        <v>578</v>
      </c>
      <c r="B521" s="84">
        <v>33.479999999999997</v>
      </c>
      <c r="C521" s="84">
        <v>31.02</v>
      </c>
      <c r="D521" s="91">
        <v>33.270000000000003</v>
      </c>
      <c r="E521" s="84">
        <v>34.01</v>
      </c>
      <c r="F521" s="84">
        <v>34.65</v>
      </c>
      <c r="G521" s="94">
        <v>30.54</v>
      </c>
      <c r="H521" s="84">
        <v>36.61</v>
      </c>
      <c r="I521" s="84">
        <v>38.21</v>
      </c>
      <c r="J521" s="84">
        <v>32.14</v>
      </c>
      <c r="K521" s="84">
        <v>37.94</v>
      </c>
      <c r="L521" s="84">
        <v>33.65</v>
      </c>
      <c r="M521" s="84">
        <v>39.69</v>
      </c>
      <c r="N521" s="84">
        <v>57.98</v>
      </c>
      <c r="O521" s="84">
        <v>28.68</v>
      </c>
      <c r="P521" s="84">
        <v>29.36</v>
      </c>
      <c r="Q521" s="122" t="s">
        <v>621</v>
      </c>
      <c r="R521" s="84">
        <v>31.63</v>
      </c>
      <c r="S521" s="84">
        <v>52.1</v>
      </c>
      <c r="T521" s="84">
        <v>34.75</v>
      </c>
      <c r="U521" s="84">
        <v>36.43</v>
      </c>
      <c r="V521" s="84">
        <v>31.42</v>
      </c>
      <c r="W521" s="84">
        <v>30.8</v>
      </c>
      <c r="X521" s="84">
        <v>31.65</v>
      </c>
      <c r="Y521" s="84">
        <v>33.65</v>
      </c>
      <c r="Z521" s="84">
        <v>32.68</v>
      </c>
      <c r="AA521" s="84">
        <v>39.840000000000003</v>
      </c>
      <c r="AB521" s="86">
        <v>35.01</v>
      </c>
      <c r="AC521" s="233">
        <v>35.229999999999997</v>
      </c>
      <c r="AD521" s="136">
        <v>1.5236582895311601E-2</v>
      </c>
      <c r="AE521" s="254">
        <v>43739</v>
      </c>
      <c r="AF521" s="2" t="s">
        <v>495</v>
      </c>
      <c r="BA521" s="2" t="s">
        <v>578</v>
      </c>
      <c r="BB521" s="2" t="e">
        <v>#N/A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</row>
    <row r="522" spans="1:82" ht="15" customHeight="1" x14ac:dyDescent="0.3">
      <c r="A522" s="38" t="s">
        <v>579</v>
      </c>
      <c r="B522" s="84">
        <v>34.15</v>
      </c>
      <c r="C522" s="84">
        <v>31.54</v>
      </c>
      <c r="D522" s="84">
        <v>33.950000000000003</v>
      </c>
      <c r="E522" s="84">
        <v>33.99</v>
      </c>
      <c r="F522" s="84">
        <v>35.19</v>
      </c>
      <c r="G522" s="84">
        <v>30.89</v>
      </c>
      <c r="H522" s="84">
        <v>37.29</v>
      </c>
      <c r="I522" s="84">
        <v>38.479999999999997</v>
      </c>
      <c r="J522" s="84">
        <v>33.01</v>
      </c>
      <c r="K522" s="84">
        <v>37.770000000000003</v>
      </c>
      <c r="L522" s="84">
        <v>34.06</v>
      </c>
      <c r="M522" s="84">
        <v>39.229999999999997</v>
      </c>
      <c r="N522" s="84">
        <v>58.33</v>
      </c>
      <c r="O522" s="84">
        <v>29.7</v>
      </c>
      <c r="P522" s="84">
        <v>30.21</v>
      </c>
      <c r="Q522" s="122" t="s">
        <v>621</v>
      </c>
      <c r="R522" s="84">
        <v>31.99</v>
      </c>
      <c r="S522" s="84">
        <v>53.78</v>
      </c>
      <c r="T522" s="84">
        <v>35.5</v>
      </c>
      <c r="U522" s="84">
        <v>36.950000000000003</v>
      </c>
      <c r="V522" s="84">
        <v>32.85</v>
      </c>
      <c r="W522" s="84">
        <v>30.83</v>
      </c>
      <c r="X522" s="84">
        <v>32.68</v>
      </c>
      <c r="Y522" s="84">
        <v>34.049999999999997</v>
      </c>
      <c r="Z522" s="84">
        <v>33.03</v>
      </c>
      <c r="AA522" s="84">
        <v>39.74</v>
      </c>
      <c r="AB522" s="106">
        <v>35.46</v>
      </c>
      <c r="AC522" s="230">
        <v>35.64</v>
      </c>
      <c r="AD522" s="136">
        <v>1.1833913879952584E-2</v>
      </c>
      <c r="AE522" s="254">
        <v>43770</v>
      </c>
      <c r="AF522" s="2" t="s">
        <v>495</v>
      </c>
      <c r="BA522" s="2" t="s">
        <v>579</v>
      </c>
      <c r="BB522" s="2" t="e">
        <v>#N/A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</row>
    <row r="523" spans="1:82" ht="15" customHeight="1" thickBot="1" x14ac:dyDescent="0.35">
      <c r="A523" s="105" t="s">
        <v>580</v>
      </c>
      <c r="B523" s="88">
        <v>35.36</v>
      </c>
      <c r="C523" s="88">
        <v>31.75</v>
      </c>
      <c r="D523" s="88">
        <v>34.25</v>
      </c>
      <c r="E523" s="88">
        <v>34.799999999999997</v>
      </c>
      <c r="F523" s="88">
        <v>35.29</v>
      </c>
      <c r="G523" s="87">
        <v>31.32</v>
      </c>
      <c r="H523" s="88">
        <v>36.520000000000003</v>
      </c>
      <c r="I523" s="88">
        <v>38.89</v>
      </c>
      <c r="J523" s="88">
        <v>32.82</v>
      </c>
      <c r="K523" s="88">
        <v>37.57</v>
      </c>
      <c r="L523" s="88">
        <v>34.35</v>
      </c>
      <c r="M523" s="88">
        <v>38.700000000000003</v>
      </c>
      <c r="N523" s="88">
        <v>58.45</v>
      </c>
      <c r="O523" s="88">
        <v>30.1</v>
      </c>
      <c r="P523" s="88">
        <v>30.62</v>
      </c>
      <c r="Q523" s="124" t="s">
        <v>621</v>
      </c>
      <c r="R523" s="88">
        <v>32.64</v>
      </c>
      <c r="S523" s="88">
        <v>52.36</v>
      </c>
      <c r="T523" s="88">
        <v>36.409999999999997</v>
      </c>
      <c r="U523" s="88">
        <v>37.31</v>
      </c>
      <c r="V523" s="88">
        <v>33.33</v>
      </c>
      <c r="W523" s="88">
        <v>30.77</v>
      </c>
      <c r="X523" s="88">
        <v>32.979999999999997</v>
      </c>
      <c r="Y523" s="88">
        <v>34.159999999999997</v>
      </c>
      <c r="Z523" s="88">
        <v>33.130000000000003</v>
      </c>
      <c r="AA523" s="88">
        <v>39.020000000000003</v>
      </c>
      <c r="AB523" s="87">
        <v>36.08</v>
      </c>
      <c r="AC523" s="221">
        <v>35.770000000000003</v>
      </c>
      <c r="AD523" s="137">
        <v>3.6289574521750634E-3</v>
      </c>
      <c r="AE523" s="254">
        <v>43800</v>
      </c>
      <c r="AF523" s="2" t="s">
        <v>495</v>
      </c>
      <c r="BA523" s="2" t="s">
        <v>580</v>
      </c>
      <c r="BB523" s="2" t="e">
        <v>#N/A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</row>
    <row r="524" spans="1:82" ht="15" customHeight="1" x14ac:dyDescent="0.3">
      <c r="A524" s="76" t="s">
        <v>581</v>
      </c>
      <c r="B524" s="90">
        <v>34.33</v>
      </c>
      <c r="C524" s="90">
        <v>31.96</v>
      </c>
      <c r="D524" s="90">
        <v>34.58</v>
      </c>
      <c r="E524" s="90">
        <v>34.79</v>
      </c>
      <c r="F524" s="90">
        <v>34.92</v>
      </c>
      <c r="G524" s="90">
        <v>31.3</v>
      </c>
      <c r="H524" s="90">
        <v>34.67</v>
      </c>
      <c r="I524" s="90">
        <v>38.82</v>
      </c>
      <c r="J524" s="90">
        <v>32.619999999999997</v>
      </c>
      <c r="K524" s="90">
        <v>37.119999999999997</v>
      </c>
      <c r="L524" s="90">
        <v>34.44</v>
      </c>
      <c r="M524" s="90">
        <v>37.49</v>
      </c>
      <c r="N524" s="90">
        <v>58.57</v>
      </c>
      <c r="O524" s="90">
        <v>30.21</v>
      </c>
      <c r="P524" s="90">
        <v>30.84</v>
      </c>
      <c r="Q524" s="125" t="s">
        <v>621</v>
      </c>
      <c r="R524" s="90">
        <v>32.549999999999997</v>
      </c>
      <c r="S524" s="90">
        <v>49.47</v>
      </c>
      <c r="T524" s="90">
        <v>35.75</v>
      </c>
      <c r="U524" s="90">
        <v>36.700000000000003</v>
      </c>
      <c r="V524" s="90">
        <v>32.76</v>
      </c>
      <c r="W524" s="90">
        <v>30.85</v>
      </c>
      <c r="X524" s="90">
        <v>32.479999999999997</v>
      </c>
      <c r="Y524" s="90">
        <v>33.68</v>
      </c>
      <c r="Z524" s="90">
        <v>33.229999999999997</v>
      </c>
      <c r="AA524" s="90">
        <v>38.81</v>
      </c>
      <c r="AB524" s="111">
        <v>35.21</v>
      </c>
      <c r="AC524" s="219">
        <v>35.229999999999997</v>
      </c>
      <c r="AD524" s="138">
        <v>-1.5293419477234838E-2</v>
      </c>
      <c r="AE524" s="250">
        <v>43831</v>
      </c>
      <c r="AF524" s="2" t="s">
        <v>495</v>
      </c>
      <c r="BA524" s="2" t="s">
        <v>581</v>
      </c>
      <c r="BB524" s="2" t="e">
        <v>#N/A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</row>
    <row r="525" spans="1:82" ht="15" customHeight="1" x14ac:dyDescent="0.3">
      <c r="A525" s="38" t="s">
        <v>582</v>
      </c>
      <c r="B525" s="84">
        <v>33.82</v>
      </c>
      <c r="C525" s="84">
        <v>32</v>
      </c>
      <c r="D525" s="84">
        <v>34.479999999999997</v>
      </c>
      <c r="E525" s="84">
        <v>35.74</v>
      </c>
      <c r="F525" s="84">
        <v>34.79</v>
      </c>
      <c r="G525" s="84">
        <v>31.44</v>
      </c>
      <c r="H525" s="84">
        <v>34.86</v>
      </c>
      <c r="I525" s="84">
        <v>38.85</v>
      </c>
      <c r="J525" s="84">
        <v>32.619999999999997</v>
      </c>
      <c r="K525" s="84">
        <v>36.74</v>
      </c>
      <c r="L525" s="84">
        <v>34.01</v>
      </c>
      <c r="M525" s="84">
        <v>37.51</v>
      </c>
      <c r="N525" s="84">
        <v>58.52</v>
      </c>
      <c r="O525" s="84">
        <v>30.65</v>
      </c>
      <c r="P525" s="84">
        <v>31.15</v>
      </c>
      <c r="Q525" s="122" t="s">
        <v>621</v>
      </c>
      <c r="R525" s="84">
        <v>31.99</v>
      </c>
      <c r="S525" s="84">
        <v>49.06</v>
      </c>
      <c r="T525" s="84">
        <v>36.5</v>
      </c>
      <c r="U525" s="84">
        <v>37.29</v>
      </c>
      <c r="V525" s="84">
        <v>32.54</v>
      </c>
      <c r="W525" s="84">
        <v>30.41</v>
      </c>
      <c r="X525" s="84">
        <v>32.85</v>
      </c>
      <c r="Y525" s="84">
        <v>32.97</v>
      </c>
      <c r="Z525" s="84">
        <v>33.28</v>
      </c>
      <c r="AA525" s="84">
        <v>38.94</v>
      </c>
      <c r="AB525" s="106">
        <v>34.9</v>
      </c>
      <c r="AC525" s="230">
        <v>35.22</v>
      </c>
      <c r="AD525" s="136">
        <v>-1.128110002904803E-4</v>
      </c>
      <c r="AE525" s="251">
        <v>43862</v>
      </c>
      <c r="AF525" s="2" t="s">
        <v>495</v>
      </c>
      <c r="BA525" s="2" t="s">
        <v>582</v>
      </c>
      <c r="BB525" s="2" t="e">
        <v>#N/A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</row>
    <row r="526" spans="1:82" ht="15" customHeight="1" x14ac:dyDescent="0.3">
      <c r="A526" s="38" t="s">
        <v>583</v>
      </c>
      <c r="B526" s="84">
        <v>31.9</v>
      </c>
      <c r="C526" s="84">
        <v>32</v>
      </c>
      <c r="D526" s="84">
        <v>32.43</v>
      </c>
      <c r="E526" s="84">
        <v>35.74</v>
      </c>
      <c r="F526" s="84">
        <v>34.880000000000003</v>
      </c>
      <c r="G526" s="84">
        <v>31.42</v>
      </c>
      <c r="H526" s="84">
        <v>31.66</v>
      </c>
      <c r="I526" s="84">
        <v>38.770000000000003</v>
      </c>
      <c r="J526" s="84">
        <v>32.33</v>
      </c>
      <c r="K526" s="84">
        <v>36.14</v>
      </c>
      <c r="L526" s="84">
        <v>33.29</v>
      </c>
      <c r="M526" s="84">
        <v>36.61</v>
      </c>
      <c r="N526" s="84">
        <v>58.17</v>
      </c>
      <c r="O526" s="84">
        <v>30.72</v>
      </c>
      <c r="P526" s="84">
        <v>31.09</v>
      </c>
      <c r="Q526" s="122" t="s">
        <v>621</v>
      </c>
      <c r="R526" s="84">
        <v>31.08</v>
      </c>
      <c r="S526" s="84">
        <v>48.88</v>
      </c>
      <c r="T526" s="84">
        <v>36.25</v>
      </c>
      <c r="U526" s="84">
        <v>37.200000000000003</v>
      </c>
      <c r="V526" s="84">
        <v>31.17</v>
      </c>
      <c r="W526" s="84">
        <v>30.4</v>
      </c>
      <c r="X526" s="84">
        <v>32.33</v>
      </c>
      <c r="Y526" s="84">
        <v>32.630000000000003</v>
      </c>
      <c r="Z526" s="84">
        <v>33.21</v>
      </c>
      <c r="AA526" s="84">
        <v>38.979999999999997</v>
      </c>
      <c r="AB526" s="106">
        <v>34.9</v>
      </c>
      <c r="AC526" s="230">
        <v>34.619999999999997</v>
      </c>
      <c r="AD526" s="136">
        <v>-1.7117919191223296E-2</v>
      </c>
      <c r="AE526" s="251">
        <v>43891</v>
      </c>
      <c r="AF526" s="2" t="s">
        <v>495</v>
      </c>
      <c r="BA526" s="2" t="s">
        <v>583</v>
      </c>
      <c r="BB526" s="2" t="e">
        <v>#N/A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</row>
    <row r="527" spans="1:82" ht="15" customHeight="1" x14ac:dyDescent="0.3">
      <c r="A527" s="38" t="s">
        <v>584</v>
      </c>
      <c r="B527" s="84">
        <v>30.37</v>
      </c>
      <c r="C527" s="84">
        <v>31.33</v>
      </c>
      <c r="D527" s="84">
        <v>30.82</v>
      </c>
      <c r="E527" s="84">
        <v>34.840000000000003</v>
      </c>
      <c r="F527" s="84">
        <v>34.049999999999997</v>
      </c>
      <c r="G527" s="84">
        <v>30.35</v>
      </c>
      <c r="H527" s="84">
        <v>30.01</v>
      </c>
      <c r="I527" s="84">
        <v>38.76</v>
      </c>
      <c r="J527" s="84">
        <v>32.229999999999997</v>
      </c>
      <c r="K527" s="84">
        <v>35.14</v>
      </c>
      <c r="L527" s="84">
        <v>33.03</v>
      </c>
      <c r="M527" s="84">
        <v>35.61</v>
      </c>
      <c r="N527" s="84">
        <v>57.83</v>
      </c>
      <c r="O527" s="84">
        <v>28.53</v>
      </c>
      <c r="P527" s="84">
        <v>28.21</v>
      </c>
      <c r="Q527" s="122" t="s">
        <v>621</v>
      </c>
      <c r="R527" s="84">
        <v>29.72</v>
      </c>
      <c r="S527" s="84">
        <v>49.14</v>
      </c>
      <c r="T527" s="84">
        <v>35</v>
      </c>
      <c r="U527" s="84">
        <v>37.19</v>
      </c>
      <c r="V527" s="84">
        <v>29.55</v>
      </c>
      <c r="W527" s="84">
        <v>30.42</v>
      </c>
      <c r="X527" s="84">
        <v>31.74</v>
      </c>
      <c r="Y527" s="84">
        <v>30.72</v>
      </c>
      <c r="Z527" s="84">
        <v>32.89</v>
      </c>
      <c r="AA527" s="84">
        <v>38.94</v>
      </c>
      <c r="AB527" s="106">
        <v>34.840000000000003</v>
      </c>
      <c r="AC527" s="230">
        <v>33.619999999999997</v>
      </c>
      <c r="AD527" s="136">
        <v>-2.8808437762307904E-2</v>
      </c>
      <c r="AE527" s="251">
        <v>43922</v>
      </c>
      <c r="AF527" s="2" t="s">
        <v>495</v>
      </c>
      <c r="BA527" s="2" t="s">
        <v>584</v>
      </c>
      <c r="BB527" s="2" t="e">
        <v>#N/A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</row>
    <row r="528" spans="1:82" ht="15" customHeight="1" x14ac:dyDescent="0.3">
      <c r="A528" s="38" t="s">
        <v>585</v>
      </c>
      <c r="B528" s="84">
        <v>29.81</v>
      </c>
      <c r="C528" s="84">
        <v>31.2</v>
      </c>
      <c r="D528" s="84">
        <v>29.87</v>
      </c>
      <c r="E528" s="84">
        <v>34.86</v>
      </c>
      <c r="F528" s="84">
        <v>32.520000000000003</v>
      </c>
      <c r="G528" s="84">
        <v>28.42</v>
      </c>
      <c r="H528" s="84">
        <v>30.59</v>
      </c>
      <c r="I528" s="84">
        <v>38.479999999999997</v>
      </c>
      <c r="J528" s="84">
        <v>31.94</v>
      </c>
      <c r="K528" s="84">
        <v>35.450000000000003</v>
      </c>
      <c r="L528" s="84">
        <v>32.89</v>
      </c>
      <c r="M528" s="84">
        <v>36.06</v>
      </c>
      <c r="N528" s="84">
        <v>57.51</v>
      </c>
      <c r="O528" s="84">
        <v>25.6</v>
      </c>
      <c r="P528" s="84">
        <v>25.37</v>
      </c>
      <c r="Q528" s="122" t="s">
        <v>621</v>
      </c>
      <c r="R528" s="84">
        <v>29.37</v>
      </c>
      <c r="S528" s="84">
        <v>48.99</v>
      </c>
      <c r="T528" s="84">
        <v>33</v>
      </c>
      <c r="U528" s="84">
        <v>36.39</v>
      </c>
      <c r="V528" s="84">
        <v>29.4</v>
      </c>
      <c r="W528" s="84">
        <v>30.04</v>
      </c>
      <c r="X528" s="84">
        <v>29.89</v>
      </c>
      <c r="Y528" s="84">
        <v>30</v>
      </c>
      <c r="Z528" s="84">
        <v>32.08</v>
      </c>
      <c r="AA528" s="84">
        <v>38.71</v>
      </c>
      <c r="AB528" s="106">
        <v>34.520000000000003</v>
      </c>
      <c r="AC528" s="230">
        <v>33.020000000000003</v>
      </c>
      <c r="AD528" s="136">
        <v>-1.8043898518234847E-2</v>
      </c>
      <c r="AE528" s="251">
        <v>43952</v>
      </c>
      <c r="AF528" s="2" t="s">
        <v>495</v>
      </c>
      <c r="BA528" s="2" t="s">
        <v>585</v>
      </c>
      <c r="BB528" s="2" t="e">
        <v>#N/A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</row>
    <row r="529" spans="1:82" ht="15" customHeight="1" x14ac:dyDescent="0.3">
      <c r="A529" s="38" t="s">
        <v>586</v>
      </c>
      <c r="B529" s="84">
        <v>29.58</v>
      </c>
      <c r="C529" s="84">
        <v>30.98</v>
      </c>
      <c r="D529" s="84">
        <v>30.24</v>
      </c>
      <c r="E529" s="84">
        <v>34.07</v>
      </c>
      <c r="F529" s="84">
        <v>31.72</v>
      </c>
      <c r="G529" s="84">
        <v>27.47</v>
      </c>
      <c r="H529" s="84">
        <v>31.76</v>
      </c>
      <c r="I529" s="84">
        <v>38.51</v>
      </c>
      <c r="J529" s="84">
        <v>31.75</v>
      </c>
      <c r="K529" s="84">
        <v>34.54</v>
      </c>
      <c r="L529" s="84">
        <v>32.630000000000003</v>
      </c>
      <c r="M529" s="84">
        <v>34.64</v>
      </c>
      <c r="N529" s="84">
        <v>57.73</v>
      </c>
      <c r="O529" s="84">
        <v>25.5</v>
      </c>
      <c r="P529" s="84">
        <v>24.73</v>
      </c>
      <c r="Q529" s="122" t="s">
        <v>621</v>
      </c>
      <c r="R529" s="84">
        <v>29.12</v>
      </c>
      <c r="S529" s="84">
        <v>50.48</v>
      </c>
      <c r="T529" s="84">
        <v>32.5</v>
      </c>
      <c r="U529" s="84">
        <v>36.24</v>
      </c>
      <c r="V529" s="84">
        <v>29.62</v>
      </c>
      <c r="W529" s="84">
        <v>29.92</v>
      </c>
      <c r="X529" s="84">
        <v>29.19</v>
      </c>
      <c r="Y529" s="84">
        <v>30.1</v>
      </c>
      <c r="Z529" s="84">
        <v>31.84</v>
      </c>
      <c r="AA529" s="84">
        <v>37.770000000000003</v>
      </c>
      <c r="AB529" s="106">
        <v>34.32</v>
      </c>
      <c r="AC529" s="230">
        <v>32.5</v>
      </c>
      <c r="AD529" s="136">
        <v>-1.5659954519254837E-2</v>
      </c>
      <c r="AE529" s="251">
        <v>43983</v>
      </c>
      <c r="AF529" s="2" t="s">
        <v>495</v>
      </c>
      <c r="BA529" s="2" t="s">
        <v>586</v>
      </c>
      <c r="BB529" s="2" t="e">
        <v>#N/A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</row>
    <row r="530" spans="1:82" ht="15" customHeight="1" x14ac:dyDescent="0.3">
      <c r="A530" s="54" t="s">
        <v>587</v>
      </c>
      <c r="B530" s="84">
        <v>29.56</v>
      </c>
      <c r="C530" s="84">
        <v>30.94</v>
      </c>
      <c r="D530" s="84">
        <v>30.26</v>
      </c>
      <c r="E530" s="84">
        <v>34.11</v>
      </c>
      <c r="F530" s="84">
        <v>31.83</v>
      </c>
      <c r="G530" s="84">
        <v>27.71</v>
      </c>
      <c r="H530" s="84">
        <v>32.83</v>
      </c>
      <c r="I530" s="84">
        <v>38.479999999999997</v>
      </c>
      <c r="J530" s="84">
        <v>31.55</v>
      </c>
      <c r="K530" s="84">
        <v>35.380000000000003</v>
      </c>
      <c r="L530" s="84">
        <v>32.49</v>
      </c>
      <c r="M530" s="84">
        <v>34.64</v>
      </c>
      <c r="N530" s="84">
        <v>56.82</v>
      </c>
      <c r="O530" s="84">
        <v>26.48</v>
      </c>
      <c r="P530" s="84">
        <v>25.49</v>
      </c>
      <c r="Q530" s="122" t="s">
        <v>621</v>
      </c>
      <c r="R530" s="84">
        <v>28.59</v>
      </c>
      <c r="S530" s="84">
        <v>50.18</v>
      </c>
      <c r="T530" s="84">
        <v>33</v>
      </c>
      <c r="U530" s="84">
        <v>36.24</v>
      </c>
      <c r="V530" s="84">
        <v>29.84</v>
      </c>
      <c r="W530" s="84">
        <v>29.64</v>
      </c>
      <c r="X530" s="84">
        <v>29.7</v>
      </c>
      <c r="Y530" s="84">
        <v>30.16</v>
      </c>
      <c r="Z530" s="84">
        <v>31.62</v>
      </c>
      <c r="AA530" s="84">
        <v>37.51</v>
      </c>
      <c r="AB530" s="106">
        <v>33.869999999999997</v>
      </c>
      <c r="AC530" s="230">
        <v>32.78</v>
      </c>
      <c r="AD530" s="136">
        <v>8.6407898322053978E-3</v>
      </c>
      <c r="AE530" s="251">
        <v>44013</v>
      </c>
      <c r="AF530" s="2" t="s">
        <v>495</v>
      </c>
      <c r="BA530" s="2" t="s">
        <v>587</v>
      </c>
      <c r="BB530" s="2" t="e">
        <v>#N/A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</row>
    <row r="531" spans="1:82" ht="15" customHeight="1" x14ac:dyDescent="0.3">
      <c r="A531" s="38" t="s">
        <v>588</v>
      </c>
      <c r="B531" s="84">
        <v>29.47</v>
      </c>
      <c r="C531" s="84">
        <v>31.16</v>
      </c>
      <c r="D531" s="84">
        <v>30.74</v>
      </c>
      <c r="E531" s="84">
        <v>34.11</v>
      </c>
      <c r="F531" s="84">
        <v>32.020000000000003</v>
      </c>
      <c r="G531" s="84">
        <v>27.58</v>
      </c>
      <c r="H531" s="84">
        <v>33.89</v>
      </c>
      <c r="I531" s="84">
        <v>38.51</v>
      </c>
      <c r="J531" s="84">
        <v>31.55</v>
      </c>
      <c r="K531" s="84">
        <v>35.4</v>
      </c>
      <c r="L531" s="84">
        <v>32.39</v>
      </c>
      <c r="M531" s="84">
        <v>34.56</v>
      </c>
      <c r="N531" s="84">
        <v>57.15</v>
      </c>
      <c r="O531" s="84">
        <v>26.91</v>
      </c>
      <c r="P531" s="84">
        <v>26.16</v>
      </c>
      <c r="Q531" s="122" t="s">
        <v>621</v>
      </c>
      <c r="R531" s="84">
        <v>28.83</v>
      </c>
      <c r="S531" s="84">
        <v>50.83</v>
      </c>
      <c r="T531" s="84">
        <v>34</v>
      </c>
      <c r="U531" s="84">
        <v>37.26</v>
      </c>
      <c r="V531" s="84">
        <v>30.79</v>
      </c>
      <c r="W531" s="84">
        <v>29.74</v>
      </c>
      <c r="X531" s="84">
        <v>29.73</v>
      </c>
      <c r="Y531" s="84">
        <v>30.26</v>
      </c>
      <c r="Z531" s="84">
        <v>31.59</v>
      </c>
      <c r="AA531" s="84">
        <v>37.83</v>
      </c>
      <c r="AB531" s="106">
        <v>34.06</v>
      </c>
      <c r="AC531" s="230">
        <v>33.11</v>
      </c>
      <c r="AD531" s="136">
        <v>1.0046916077640189E-2</v>
      </c>
      <c r="AE531" s="251">
        <v>44044</v>
      </c>
      <c r="AF531" s="2" t="s">
        <v>495</v>
      </c>
      <c r="BA531" s="2" t="s">
        <v>588</v>
      </c>
      <c r="BB531" s="2" t="e">
        <v>#N/A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</row>
    <row r="532" spans="1:82" ht="15" customHeight="1" x14ac:dyDescent="0.3">
      <c r="A532" s="38" t="s">
        <v>589</v>
      </c>
      <c r="B532" s="84">
        <v>30.56</v>
      </c>
      <c r="C532" s="84">
        <v>31.16</v>
      </c>
      <c r="D532" s="84">
        <v>30.49</v>
      </c>
      <c r="E532" s="84">
        <v>34.67</v>
      </c>
      <c r="F532" s="84">
        <v>33.25</v>
      </c>
      <c r="G532" s="84">
        <v>28.36</v>
      </c>
      <c r="H532" s="84">
        <v>36.61</v>
      </c>
      <c r="I532" s="84">
        <v>38.56</v>
      </c>
      <c r="J532" s="84">
        <v>31.17</v>
      </c>
      <c r="K532" s="84">
        <v>36.71</v>
      </c>
      <c r="L532" s="84">
        <v>32.840000000000003</v>
      </c>
      <c r="M532" s="84">
        <v>34.979999999999997</v>
      </c>
      <c r="N532" s="84">
        <v>56.73</v>
      </c>
      <c r="O532" s="84">
        <v>27.55</v>
      </c>
      <c r="P532" s="84">
        <v>28.15</v>
      </c>
      <c r="Q532" s="122" t="s">
        <v>621</v>
      </c>
      <c r="R532" s="84">
        <v>28.52</v>
      </c>
      <c r="S532" s="84">
        <v>51.57</v>
      </c>
      <c r="T532" s="84">
        <v>33.75</v>
      </c>
      <c r="U532" s="84">
        <v>38.32</v>
      </c>
      <c r="V532" s="84">
        <v>31.38</v>
      </c>
      <c r="W532" s="84">
        <v>30.24</v>
      </c>
      <c r="X532" s="84">
        <v>30.05</v>
      </c>
      <c r="Y532" s="84">
        <v>30.97</v>
      </c>
      <c r="Z532" s="84">
        <v>31.75</v>
      </c>
      <c r="AA532" s="84">
        <v>39.06</v>
      </c>
      <c r="AB532" s="106">
        <v>35.020000000000003</v>
      </c>
      <c r="AC532" s="230">
        <v>33.950000000000003</v>
      </c>
      <c r="AD532" s="136">
        <v>2.5533176585291306E-2</v>
      </c>
      <c r="AE532" s="251">
        <v>44075</v>
      </c>
      <c r="AF532" s="2" t="s">
        <v>495</v>
      </c>
      <c r="BA532" s="2" t="s">
        <v>589</v>
      </c>
      <c r="BB532" s="2" t="e">
        <v>#N/A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</row>
    <row r="533" spans="1:82" ht="15" customHeight="1" x14ac:dyDescent="0.3">
      <c r="A533" s="38" t="s">
        <v>590</v>
      </c>
      <c r="B533" s="84">
        <v>31.68</v>
      </c>
      <c r="C533" s="84">
        <v>31.77</v>
      </c>
      <c r="D533" s="84">
        <v>30.64</v>
      </c>
      <c r="E533" s="84">
        <v>35.61</v>
      </c>
      <c r="F533" s="84">
        <v>34.700000000000003</v>
      </c>
      <c r="G533" s="84">
        <v>28.9</v>
      </c>
      <c r="H533" s="84">
        <v>39.14</v>
      </c>
      <c r="I533" s="84">
        <v>38.58</v>
      </c>
      <c r="J533" s="84">
        <v>32.72</v>
      </c>
      <c r="K533" s="84">
        <v>37.770000000000003</v>
      </c>
      <c r="L533" s="84">
        <v>33.56</v>
      </c>
      <c r="M533" s="84">
        <v>35.49</v>
      </c>
      <c r="N533" s="84">
        <v>58</v>
      </c>
      <c r="O533" s="84">
        <v>28.29</v>
      </c>
      <c r="P533" s="84">
        <v>30.53</v>
      </c>
      <c r="Q533" s="122" t="s">
        <v>621</v>
      </c>
      <c r="R533" s="84">
        <v>29.4</v>
      </c>
      <c r="S533" s="84">
        <v>52.48</v>
      </c>
      <c r="T533" s="84">
        <v>34.25</v>
      </c>
      <c r="U533" s="84">
        <v>39.36</v>
      </c>
      <c r="V533" s="84">
        <v>32.51</v>
      </c>
      <c r="W533" s="84">
        <v>30.37</v>
      </c>
      <c r="X533" s="84">
        <v>32.21</v>
      </c>
      <c r="Y533" s="84">
        <v>31.68</v>
      </c>
      <c r="Z533" s="84">
        <v>32.380000000000003</v>
      </c>
      <c r="AA533" s="84">
        <v>39.74</v>
      </c>
      <c r="AB533" s="106">
        <v>36.25</v>
      </c>
      <c r="AC533" s="230">
        <v>35.07</v>
      </c>
      <c r="AD533" s="136">
        <v>3.2982493761887222E-2</v>
      </c>
      <c r="AE533" s="251">
        <v>44105</v>
      </c>
      <c r="AF533" s="2" t="s">
        <v>495</v>
      </c>
      <c r="BA533" s="2" t="s">
        <v>590</v>
      </c>
      <c r="BB533" s="2" t="e">
        <v>#N/A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</row>
    <row r="534" spans="1:82" ht="15" customHeight="1" x14ac:dyDescent="0.3">
      <c r="A534" s="38" t="s">
        <v>591</v>
      </c>
      <c r="B534" s="84">
        <v>31.89</v>
      </c>
      <c r="C534" s="84">
        <v>32.14</v>
      </c>
      <c r="D534" s="84">
        <v>31.99</v>
      </c>
      <c r="E534" s="84">
        <v>35.590000000000003</v>
      </c>
      <c r="F534" s="84">
        <v>35.049999999999997</v>
      </c>
      <c r="G534" s="84">
        <v>29.5</v>
      </c>
      <c r="H534" s="84">
        <v>39.14</v>
      </c>
      <c r="I534" s="84">
        <v>38.64</v>
      </c>
      <c r="J534" s="84">
        <v>33.11</v>
      </c>
      <c r="K534" s="84">
        <v>36.869999999999997</v>
      </c>
      <c r="L534" s="84">
        <v>33.99</v>
      </c>
      <c r="M534" s="84">
        <v>35.82</v>
      </c>
      <c r="N534" s="84">
        <v>58.5</v>
      </c>
      <c r="O534" s="84">
        <v>28.89</v>
      </c>
      <c r="P534" s="84">
        <v>31.52</v>
      </c>
      <c r="Q534" s="122" t="s">
        <v>621</v>
      </c>
      <c r="R534" s="84">
        <v>30.27</v>
      </c>
      <c r="S534" s="84">
        <v>51.89</v>
      </c>
      <c r="T534" s="84">
        <v>34.25</v>
      </c>
      <c r="U534" s="84">
        <v>40.07</v>
      </c>
      <c r="V534" s="84">
        <v>34.51</v>
      </c>
      <c r="W534" s="84">
        <v>30.57</v>
      </c>
      <c r="X534" s="84">
        <v>32.5</v>
      </c>
      <c r="Y534" s="84">
        <v>32.299999999999997</v>
      </c>
      <c r="Z534" s="84">
        <v>32.39</v>
      </c>
      <c r="AA534" s="84">
        <v>39.89</v>
      </c>
      <c r="AB534" s="106">
        <v>37.880000000000003</v>
      </c>
      <c r="AC534" s="220">
        <v>35.33</v>
      </c>
      <c r="AD534" s="136">
        <v>7.3306092867706507E-3</v>
      </c>
      <c r="AE534" s="243">
        <v>44136</v>
      </c>
      <c r="AF534" s="2" t="s">
        <v>495</v>
      </c>
      <c r="BA534" s="2" t="s">
        <v>591</v>
      </c>
      <c r="BB534" s="2" t="e">
        <v>#N/A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</row>
    <row r="535" spans="1:82" ht="15" customHeight="1" thickBot="1" x14ac:dyDescent="0.35">
      <c r="A535" s="63" t="s">
        <v>592</v>
      </c>
      <c r="B535" s="87">
        <v>32.590000000000003</v>
      </c>
      <c r="C535" s="87">
        <v>32.47</v>
      </c>
      <c r="D535" s="87">
        <v>32.51</v>
      </c>
      <c r="E535" s="87">
        <v>33.729999999999997</v>
      </c>
      <c r="F535" s="87">
        <v>35.11</v>
      </c>
      <c r="G535" s="87">
        <v>29.6</v>
      </c>
      <c r="H535" s="84">
        <v>37.49</v>
      </c>
      <c r="I535" s="87">
        <v>38.880000000000003</v>
      </c>
      <c r="J535" s="87">
        <v>32.909999999999997</v>
      </c>
      <c r="K535" s="87">
        <v>37.04</v>
      </c>
      <c r="L535" s="87">
        <v>34.43</v>
      </c>
      <c r="M535" s="87">
        <v>35.9</v>
      </c>
      <c r="N535" s="87">
        <v>58.75</v>
      </c>
      <c r="O535" s="87">
        <v>29.54</v>
      </c>
      <c r="P535" s="87">
        <v>31.62</v>
      </c>
      <c r="Q535" s="121" t="s">
        <v>621</v>
      </c>
      <c r="R535" s="87">
        <v>30.7</v>
      </c>
      <c r="S535" s="87">
        <v>51.37</v>
      </c>
      <c r="T535" s="87">
        <v>35.19</v>
      </c>
      <c r="U535" s="87">
        <v>41.41</v>
      </c>
      <c r="V535" s="87">
        <v>34.69</v>
      </c>
      <c r="W535" s="87">
        <v>30.68</v>
      </c>
      <c r="X535" s="87">
        <v>32.43</v>
      </c>
      <c r="Y535" s="87">
        <v>31.34</v>
      </c>
      <c r="Z535" s="87">
        <v>32.380000000000003</v>
      </c>
      <c r="AA535" s="87">
        <v>39.58</v>
      </c>
      <c r="AB535" s="120">
        <v>37.93</v>
      </c>
      <c r="AC535" s="221">
        <v>35.39</v>
      </c>
      <c r="AD535" s="136">
        <v>1.6618172016547028E-3</v>
      </c>
      <c r="AE535" s="246">
        <v>44166</v>
      </c>
      <c r="AF535" s="2" t="s">
        <v>495</v>
      </c>
      <c r="BA535" s="2" t="s">
        <v>592</v>
      </c>
      <c r="BB535" s="2" t="e">
        <v>#N/A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</row>
    <row r="536" spans="1:82" ht="15" customHeight="1" x14ac:dyDescent="0.3">
      <c r="A536" s="76" t="s">
        <v>593</v>
      </c>
      <c r="B536" s="90">
        <v>32.869999999999997</v>
      </c>
      <c r="C536" s="90">
        <v>32.54</v>
      </c>
      <c r="D536" s="90">
        <v>32.76</v>
      </c>
      <c r="E536" s="90">
        <v>33.74</v>
      </c>
      <c r="F536" s="90">
        <v>34.71</v>
      </c>
      <c r="G536" s="90">
        <v>29.66</v>
      </c>
      <c r="H536" s="90">
        <v>35.64</v>
      </c>
      <c r="I536" s="90">
        <v>38.549999999999997</v>
      </c>
      <c r="J536" s="90">
        <v>33.01</v>
      </c>
      <c r="K536" s="90">
        <v>36.94</v>
      </c>
      <c r="L536" s="90">
        <v>33.869999999999997</v>
      </c>
      <c r="M536" s="90">
        <v>35.97</v>
      </c>
      <c r="N536" s="90">
        <v>58.67</v>
      </c>
      <c r="O536" s="90">
        <v>29.18</v>
      </c>
      <c r="P536" s="90">
        <v>31.41</v>
      </c>
      <c r="Q536" s="125" t="s">
        <v>621</v>
      </c>
      <c r="R536" s="90">
        <v>30.78</v>
      </c>
      <c r="S536" s="90">
        <v>53.03</v>
      </c>
      <c r="T536" s="90">
        <v>34.25</v>
      </c>
      <c r="U536" s="90">
        <v>39.32</v>
      </c>
      <c r="V536" s="90">
        <v>32.909999999999997</v>
      </c>
      <c r="W536" s="90">
        <v>30.39</v>
      </c>
      <c r="X536" s="90">
        <v>32.44</v>
      </c>
      <c r="Y536" s="90">
        <v>31.95</v>
      </c>
      <c r="Z536" s="90">
        <v>32.17</v>
      </c>
      <c r="AA536" s="90">
        <v>38.840000000000003</v>
      </c>
      <c r="AB536" s="111">
        <v>36.68</v>
      </c>
      <c r="AC536" s="220">
        <v>34.869999999999997</v>
      </c>
      <c r="AD536" s="128">
        <v>-1.4775659578858069E-2</v>
      </c>
      <c r="AE536" s="248">
        <v>44197</v>
      </c>
      <c r="AF536" s="2" t="s">
        <v>495</v>
      </c>
      <c r="BA536" s="2" t="s">
        <v>593</v>
      </c>
      <c r="BB536" s="2" t="e">
        <v>#N/A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</row>
    <row r="537" spans="1:82" ht="15" customHeight="1" x14ac:dyDescent="0.3">
      <c r="A537" s="38" t="s">
        <v>594</v>
      </c>
      <c r="B537" s="84">
        <v>32.869999999999997</v>
      </c>
      <c r="C537" s="84">
        <v>32.659999999999997</v>
      </c>
      <c r="D537" s="84">
        <v>33.17</v>
      </c>
      <c r="E537" s="84">
        <v>34.29</v>
      </c>
      <c r="F537" s="84">
        <v>34.659999999999997</v>
      </c>
      <c r="G537" s="84">
        <v>29.92</v>
      </c>
      <c r="H537" s="84">
        <v>37.200000000000003</v>
      </c>
      <c r="I537" s="84">
        <v>38.67</v>
      </c>
      <c r="J537" s="84">
        <v>32.82</v>
      </c>
      <c r="K537" s="84">
        <v>36.479999999999997</v>
      </c>
      <c r="L537" s="84">
        <v>33.75</v>
      </c>
      <c r="M537" s="84">
        <v>36.07</v>
      </c>
      <c r="N537" s="84">
        <v>58.8</v>
      </c>
      <c r="O537" s="84">
        <v>29.64</v>
      </c>
      <c r="P537" s="84">
        <v>31.97</v>
      </c>
      <c r="Q537" s="122" t="s">
        <v>621</v>
      </c>
      <c r="R537" s="84">
        <v>30.93</v>
      </c>
      <c r="S537" s="84">
        <v>51.46</v>
      </c>
      <c r="T537" s="84">
        <v>35</v>
      </c>
      <c r="U537" s="84">
        <v>39.04</v>
      </c>
      <c r="V537" s="84">
        <v>33</v>
      </c>
      <c r="W537" s="84">
        <v>29.97</v>
      </c>
      <c r="X537" s="84">
        <v>32.700000000000003</v>
      </c>
      <c r="Y537" s="84">
        <v>31.65</v>
      </c>
      <c r="Z537" s="84">
        <v>31.96</v>
      </c>
      <c r="AA537" s="84">
        <v>38.979999999999997</v>
      </c>
      <c r="AB537" s="106">
        <v>36.770000000000003</v>
      </c>
      <c r="AC537" s="230">
        <v>34.97</v>
      </c>
      <c r="AD537" s="129">
        <v>3.0825906862945729E-3</v>
      </c>
      <c r="AE537" s="243">
        <v>44228</v>
      </c>
      <c r="AF537" s="2" t="s">
        <v>495</v>
      </c>
      <c r="BA537" s="2" t="s">
        <v>594</v>
      </c>
      <c r="BB537" s="2" t="e">
        <v>#N/A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</row>
    <row r="538" spans="1:82" ht="15" customHeight="1" x14ac:dyDescent="0.3">
      <c r="A538" s="38" t="s">
        <v>595</v>
      </c>
      <c r="B538" s="84">
        <v>34.15</v>
      </c>
      <c r="C538" s="84">
        <v>32.68</v>
      </c>
      <c r="D538" s="84">
        <v>32.86</v>
      </c>
      <c r="E538" s="84">
        <v>35.909999999999997</v>
      </c>
      <c r="F538" s="84">
        <v>35.58</v>
      </c>
      <c r="G538" s="84">
        <v>30.47</v>
      </c>
      <c r="H538" s="84">
        <v>37.1</v>
      </c>
      <c r="I538" s="84">
        <v>38.86</v>
      </c>
      <c r="J538" s="84">
        <v>32.72</v>
      </c>
      <c r="K538" s="84">
        <v>35.89</v>
      </c>
      <c r="L538" s="84">
        <v>33.79</v>
      </c>
      <c r="M538" s="84">
        <v>36</v>
      </c>
      <c r="N538" s="84">
        <v>58.18</v>
      </c>
      <c r="O538" s="84">
        <v>29.97</v>
      </c>
      <c r="P538" s="84">
        <v>32.18</v>
      </c>
      <c r="Q538" s="122" t="s">
        <v>621</v>
      </c>
      <c r="R538" s="84">
        <v>30.57</v>
      </c>
      <c r="S538" s="84">
        <v>55.71</v>
      </c>
      <c r="T538" s="84">
        <v>35.25</v>
      </c>
      <c r="U538" s="84">
        <v>38.159999999999997</v>
      </c>
      <c r="V538" s="84">
        <v>32.840000000000003</v>
      </c>
      <c r="W538" s="84">
        <v>30.01</v>
      </c>
      <c r="X538" s="84">
        <v>33.03</v>
      </c>
      <c r="Y538" s="84">
        <v>31.57</v>
      </c>
      <c r="Z538" s="84">
        <v>32.22</v>
      </c>
      <c r="AA538" s="84">
        <v>39.46</v>
      </c>
      <c r="AB538" s="106">
        <v>36.79</v>
      </c>
      <c r="AC538" s="230">
        <v>35.17</v>
      </c>
      <c r="AD538" s="129">
        <v>5.5527948119427073E-3</v>
      </c>
      <c r="AE538" s="243">
        <v>44256</v>
      </c>
      <c r="AF538" s="2" t="s">
        <v>495</v>
      </c>
      <c r="BA538" s="2" t="s">
        <v>595</v>
      </c>
      <c r="BB538" s="2" t="e">
        <v>#N/A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</row>
    <row r="539" spans="1:82" ht="15" customHeight="1" x14ac:dyDescent="0.3">
      <c r="A539" s="38" t="s">
        <v>596</v>
      </c>
      <c r="B539" s="84">
        <v>35.270000000000003</v>
      </c>
      <c r="C539" s="84">
        <v>32.43</v>
      </c>
      <c r="D539" s="84">
        <v>33.25</v>
      </c>
      <c r="E539" s="84">
        <v>37.25</v>
      </c>
      <c r="F539" s="84">
        <v>35.96</v>
      </c>
      <c r="G539" s="84">
        <v>31.08</v>
      </c>
      <c r="H539" s="84">
        <v>36.61</v>
      </c>
      <c r="I539" s="84">
        <v>38.76</v>
      </c>
      <c r="J539" s="84">
        <v>32.619999999999997</v>
      </c>
      <c r="K539" s="84">
        <v>36.49</v>
      </c>
      <c r="L539" s="84">
        <v>33.450000000000003</v>
      </c>
      <c r="M539" s="84">
        <v>36</v>
      </c>
      <c r="N539" s="84">
        <v>57.78</v>
      </c>
      <c r="O539" s="84">
        <v>30.53</v>
      </c>
      <c r="P539" s="84">
        <v>31.92</v>
      </c>
      <c r="Q539" s="122" t="s">
        <v>621</v>
      </c>
      <c r="R539" s="84">
        <v>30.98</v>
      </c>
      <c r="S539" s="84">
        <v>55.58</v>
      </c>
      <c r="T539" s="84">
        <v>36</v>
      </c>
      <c r="U539" s="84">
        <v>38.119999999999997</v>
      </c>
      <c r="V539" s="84">
        <v>33.1</v>
      </c>
      <c r="W539" s="84">
        <v>30.01</v>
      </c>
      <c r="X539" s="84">
        <v>30.76</v>
      </c>
      <c r="Y539" s="84">
        <v>31.72</v>
      </c>
      <c r="Z539" s="84">
        <v>32.24</v>
      </c>
      <c r="AA539" s="84">
        <v>38.64</v>
      </c>
      <c r="AB539" s="106">
        <v>38.130000000000003</v>
      </c>
      <c r="AC539" s="230">
        <v>35.520000000000003</v>
      </c>
      <c r="AD539" s="129">
        <v>9.897802804349487E-3</v>
      </c>
      <c r="AE539" s="243">
        <v>44287</v>
      </c>
      <c r="AF539" s="2" t="s">
        <v>495</v>
      </c>
      <c r="BA539" s="2" t="s">
        <v>596</v>
      </c>
      <c r="BB539" s="2" t="e">
        <v>#N/A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</row>
    <row r="540" spans="1:82" ht="15" customHeight="1" x14ac:dyDescent="0.3">
      <c r="A540" s="38" t="s">
        <v>597</v>
      </c>
      <c r="B540" s="84">
        <v>35.56</v>
      </c>
      <c r="C540" s="84">
        <v>32.44</v>
      </c>
      <c r="D540" s="84">
        <v>33.81</v>
      </c>
      <c r="E540" s="84">
        <v>37.79</v>
      </c>
      <c r="F540" s="84">
        <v>35.86</v>
      </c>
      <c r="G540" s="84">
        <v>31.28</v>
      </c>
      <c r="H540" s="84">
        <v>37.49</v>
      </c>
      <c r="I540" s="84">
        <v>38.72</v>
      </c>
      <c r="J540" s="84">
        <v>32.520000000000003</v>
      </c>
      <c r="K540" s="84">
        <v>36.28</v>
      </c>
      <c r="L540" s="84">
        <v>33.19</v>
      </c>
      <c r="M540" s="84">
        <v>35.96</v>
      </c>
      <c r="N540" s="84">
        <v>57.22</v>
      </c>
      <c r="O540" s="84">
        <v>30.41</v>
      </c>
      <c r="P540" s="84">
        <v>31.25</v>
      </c>
      <c r="Q540" s="122" t="s">
        <v>621</v>
      </c>
      <c r="R540" s="84">
        <v>31.2</v>
      </c>
      <c r="S540" s="84">
        <v>54.77</v>
      </c>
      <c r="T540" s="84">
        <v>37.5</v>
      </c>
      <c r="U540" s="84">
        <v>38.590000000000003</v>
      </c>
      <c r="V540" s="84">
        <v>33.340000000000003</v>
      </c>
      <c r="W540" s="84">
        <v>29.95</v>
      </c>
      <c r="X540" s="84">
        <v>31.21</v>
      </c>
      <c r="Y540" s="84">
        <v>31.48</v>
      </c>
      <c r="Z540" s="84">
        <v>31.99</v>
      </c>
      <c r="AA540" s="84">
        <v>38.020000000000003</v>
      </c>
      <c r="AB540" s="84">
        <v>39.33</v>
      </c>
      <c r="AC540" s="230">
        <v>35.72</v>
      </c>
      <c r="AD540" s="129">
        <v>5.8460897231338294E-3</v>
      </c>
      <c r="AE540" s="243">
        <v>44317</v>
      </c>
      <c r="AF540" s="2" t="s">
        <v>495</v>
      </c>
      <c r="BA540" s="2" t="s">
        <v>597</v>
      </c>
      <c r="BB540" s="2" t="e">
        <v>#N/A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</row>
    <row r="541" spans="1:82" ht="15" customHeight="1" x14ac:dyDescent="0.3">
      <c r="A541" s="38" t="s">
        <v>598</v>
      </c>
      <c r="B541" s="84">
        <v>35.11</v>
      </c>
      <c r="C541" s="84">
        <v>32.43</v>
      </c>
      <c r="D541" s="84">
        <v>34.03</v>
      </c>
      <c r="E541" s="84">
        <v>37.520000000000003</v>
      </c>
      <c r="F541" s="84">
        <v>35.979999999999997</v>
      </c>
      <c r="G541" s="84">
        <v>31.04</v>
      </c>
      <c r="H541" s="84">
        <v>37.39</v>
      </c>
      <c r="I541" s="84">
        <v>38.74</v>
      </c>
      <c r="J541" s="84">
        <v>32.229999999999997</v>
      </c>
      <c r="K541" s="84">
        <v>36.64</v>
      </c>
      <c r="L541" s="84">
        <v>32.79</v>
      </c>
      <c r="M541" s="84">
        <v>35.96</v>
      </c>
      <c r="N541" s="84">
        <v>57.3</v>
      </c>
      <c r="O541" s="84">
        <v>30.41</v>
      </c>
      <c r="P541" s="84">
        <v>30.12</v>
      </c>
      <c r="Q541" s="122" t="s">
        <v>621</v>
      </c>
      <c r="R541" s="84">
        <v>31.16</v>
      </c>
      <c r="S541" s="84">
        <v>56.35</v>
      </c>
      <c r="T541" s="84">
        <v>38</v>
      </c>
      <c r="U541" s="84">
        <v>38.21</v>
      </c>
      <c r="V541" s="84">
        <v>33.22</v>
      </c>
      <c r="W541" s="84">
        <v>29.89</v>
      </c>
      <c r="X541" s="84">
        <v>30.28</v>
      </c>
      <c r="Y541" s="84">
        <v>31.19</v>
      </c>
      <c r="Z541" s="84">
        <v>31.82</v>
      </c>
      <c r="AA541" s="84">
        <v>37.270000000000003</v>
      </c>
      <c r="AB541" s="84">
        <v>39.229999999999997</v>
      </c>
      <c r="AC541" s="230">
        <v>35.770000000000003</v>
      </c>
      <c r="AD541" s="129">
        <v>1.1317602860250187E-3</v>
      </c>
      <c r="AE541" s="243">
        <v>44348</v>
      </c>
      <c r="AF541" s="2" t="s">
        <v>495</v>
      </c>
      <c r="BA541" s="2" t="s">
        <v>598</v>
      </c>
      <c r="BB541" s="2" t="e">
        <v>#N/A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</row>
    <row r="542" spans="1:82" ht="15" customHeight="1" x14ac:dyDescent="0.3">
      <c r="A542" s="38" t="s">
        <v>599</v>
      </c>
      <c r="B542" s="84">
        <v>35.130000000000003</v>
      </c>
      <c r="C542" s="84">
        <v>32.51</v>
      </c>
      <c r="D542" s="84">
        <v>33.61</v>
      </c>
      <c r="E542" s="84">
        <v>37.51</v>
      </c>
      <c r="F542" s="84">
        <v>36.549999999999997</v>
      </c>
      <c r="G542" s="84">
        <v>30.82</v>
      </c>
      <c r="H542" s="84">
        <v>37.200000000000003</v>
      </c>
      <c r="I542" s="84">
        <v>37.83</v>
      </c>
      <c r="J542" s="84">
        <v>32.43</v>
      </c>
      <c r="K542" s="84">
        <v>37.42</v>
      </c>
      <c r="L542" s="84">
        <v>32.49</v>
      </c>
      <c r="M542" s="84">
        <v>37.21</v>
      </c>
      <c r="N542" s="84">
        <v>56.97</v>
      </c>
      <c r="O542" s="84">
        <v>30.43</v>
      </c>
      <c r="P542" s="84">
        <v>29.16</v>
      </c>
      <c r="Q542" s="122" t="s">
        <v>621</v>
      </c>
      <c r="R542" s="84">
        <v>30.57</v>
      </c>
      <c r="S542" s="84">
        <v>57.33</v>
      </c>
      <c r="T542" s="84">
        <v>37.5</v>
      </c>
      <c r="U542" s="84">
        <v>38.83</v>
      </c>
      <c r="V542" s="84">
        <v>32.68</v>
      </c>
      <c r="W542" s="84">
        <v>29.76</v>
      </c>
      <c r="X542" s="84">
        <v>30.42</v>
      </c>
      <c r="Y542" s="84">
        <v>31.54</v>
      </c>
      <c r="Z542" s="84">
        <v>31.62</v>
      </c>
      <c r="AA542" s="84">
        <v>37.020000000000003</v>
      </c>
      <c r="AB542" s="84">
        <v>37.76</v>
      </c>
      <c r="AC542" s="230">
        <v>35.99</v>
      </c>
      <c r="AD542" s="129">
        <v>6.3699695309484827E-3</v>
      </c>
      <c r="AE542" s="243">
        <v>44378</v>
      </c>
      <c r="AF542" s="2" t="s">
        <v>495</v>
      </c>
      <c r="BA542" s="2" t="s">
        <v>599</v>
      </c>
      <c r="BB542" s="2" t="e">
        <v>#N/A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</row>
    <row r="543" spans="1:82" ht="15" customHeight="1" x14ac:dyDescent="0.3">
      <c r="A543" s="38" t="s">
        <v>600</v>
      </c>
      <c r="B543" s="84">
        <v>35.729999999999997</v>
      </c>
      <c r="C543" s="84">
        <v>32.65</v>
      </c>
      <c r="D543" s="84">
        <v>34.1</v>
      </c>
      <c r="E543" s="84">
        <v>36.44</v>
      </c>
      <c r="F543" s="84">
        <v>36.549999999999997</v>
      </c>
      <c r="G543" s="84">
        <v>31</v>
      </c>
      <c r="H543" s="84">
        <v>39.229999999999997</v>
      </c>
      <c r="I543" s="84">
        <v>38.92</v>
      </c>
      <c r="J543" s="84">
        <v>32.82</v>
      </c>
      <c r="K543" s="84">
        <v>38.119999999999997</v>
      </c>
      <c r="L543" s="84">
        <v>32.729999999999997</v>
      </c>
      <c r="M543" s="84">
        <v>37.25</v>
      </c>
      <c r="N543" s="84">
        <v>57.48</v>
      </c>
      <c r="O543" s="84">
        <v>30.92</v>
      </c>
      <c r="P543" s="84">
        <v>30.97</v>
      </c>
      <c r="Q543" s="122" t="s">
        <v>621</v>
      </c>
      <c r="R543" s="84">
        <v>31.11</v>
      </c>
      <c r="S543" s="84">
        <v>57.45</v>
      </c>
      <c r="T543" s="84">
        <v>37.75</v>
      </c>
      <c r="U543" s="84">
        <v>39.159999999999997</v>
      </c>
      <c r="V543" s="84">
        <v>33.39</v>
      </c>
      <c r="W543" s="84">
        <v>29.87</v>
      </c>
      <c r="X543" s="84">
        <v>31.34</v>
      </c>
      <c r="Y543" s="84">
        <v>32.18</v>
      </c>
      <c r="Z543" s="84">
        <v>31.81</v>
      </c>
      <c r="AA543" s="84">
        <v>37.83</v>
      </c>
      <c r="AB543" s="84">
        <v>38.75</v>
      </c>
      <c r="AC543" s="230">
        <v>36.409999999999997</v>
      </c>
      <c r="AD543" s="129">
        <v>1.1479402958548324E-2</v>
      </c>
      <c r="AE543" s="243">
        <v>44409</v>
      </c>
      <c r="AF543" s="2" t="s">
        <v>495</v>
      </c>
      <c r="BA543" s="2" t="s">
        <v>600</v>
      </c>
      <c r="BB543" s="2" t="e">
        <v>#N/A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</row>
    <row r="544" spans="1:82" ht="15" customHeight="1" x14ac:dyDescent="0.3">
      <c r="A544" s="38" t="s">
        <v>601</v>
      </c>
      <c r="B544" s="84">
        <v>36.46</v>
      </c>
      <c r="C544" s="84">
        <v>33.4</v>
      </c>
      <c r="D544" s="84">
        <v>34.79</v>
      </c>
      <c r="E544" s="84">
        <v>38.06</v>
      </c>
      <c r="F544" s="84">
        <v>37.51</v>
      </c>
      <c r="G544" s="84">
        <v>31.78</v>
      </c>
      <c r="H544" s="84">
        <v>42.44</v>
      </c>
      <c r="I544" s="84">
        <v>39.56</v>
      </c>
      <c r="J544" s="84">
        <v>33.200000000000003</v>
      </c>
      <c r="K544" s="84">
        <v>38.71</v>
      </c>
      <c r="L544" s="84">
        <v>34.24</v>
      </c>
      <c r="M544" s="84">
        <v>37.25</v>
      </c>
      <c r="N544" s="84">
        <v>57.83</v>
      </c>
      <c r="O544" s="84">
        <v>31.87</v>
      </c>
      <c r="P544" s="84">
        <v>33.9</v>
      </c>
      <c r="Q544" s="122" t="s">
        <v>621</v>
      </c>
      <c r="R544" s="84">
        <v>32.01</v>
      </c>
      <c r="S544" s="84">
        <v>60.04</v>
      </c>
      <c r="T544" s="84">
        <v>38</v>
      </c>
      <c r="U544" s="84">
        <v>39.85</v>
      </c>
      <c r="V544" s="84">
        <v>34.520000000000003</v>
      </c>
      <c r="W544" s="84">
        <v>30.07</v>
      </c>
      <c r="X544" s="84">
        <v>32.299999999999997</v>
      </c>
      <c r="Y544" s="84">
        <v>33</v>
      </c>
      <c r="Z544" s="84">
        <v>32.75</v>
      </c>
      <c r="AA544" s="84">
        <v>40.26</v>
      </c>
      <c r="AB544" s="84">
        <v>39.44</v>
      </c>
      <c r="AC544" s="230">
        <v>37.29</v>
      </c>
      <c r="AD544" s="129">
        <v>2.4343793687741977E-2</v>
      </c>
      <c r="AE544" s="243">
        <v>44440</v>
      </c>
      <c r="AF544" s="2" t="s">
        <v>495</v>
      </c>
      <c r="BA544" s="2" t="s">
        <v>601</v>
      </c>
      <c r="BB544" s="2" t="e">
        <v>#N/A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</row>
    <row r="545" spans="1:82" ht="15" customHeight="1" x14ac:dyDescent="0.3">
      <c r="A545" s="38" t="s">
        <v>602</v>
      </c>
      <c r="B545" s="84">
        <v>38.64</v>
      </c>
      <c r="C545" s="84">
        <v>34.61</v>
      </c>
      <c r="D545" s="84">
        <v>35.42</v>
      </c>
      <c r="E545" s="84">
        <v>39.520000000000003</v>
      </c>
      <c r="F545" s="84">
        <v>39.28</v>
      </c>
      <c r="G545" s="84">
        <v>32.71</v>
      </c>
      <c r="H545" s="84">
        <v>46.52</v>
      </c>
      <c r="I545" s="84">
        <v>40.75</v>
      </c>
      <c r="J545" s="84">
        <v>34.270000000000003</v>
      </c>
      <c r="K545" s="84">
        <v>39.409999999999997</v>
      </c>
      <c r="L545" s="84">
        <v>35.07</v>
      </c>
      <c r="M545" s="84">
        <v>37.33</v>
      </c>
      <c r="N545" s="84">
        <v>58.49</v>
      </c>
      <c r="O545" s="84">
        <v>33.15</v>
      </c>
      <c r="P545" s="84">
        <v>37.47</v>
      </c>
      <c r="Q545" s="122" t="s">
        <v>621</v>
      </c>
      <c r="R545" s="84">
        <v>32.28</v>
      </c>
      <c r="S545" s="84">
        <v>62.76</v>
      </c>
      <c r="T545" s="84">
        <v>39.5</v>
      </c>
      <c r="U545" s="84">
        <v>41.08</v>
      </c>
      <c r="V545" s="84">
        <v>36.1</v>
      </c>
      <c r="W545" s="84">
        <v>31.49</v>
      </c>
      <c r="X545" s="84">
        <v>33.49</v>
      </c>
      <c r="Y545" s="84">
        <v>33.9</v>
      </c>
      <c r="Z545" s="84">
        <v>33.57</v>
      </c>
      <c r="AA545" s="84">
        <v>40.6</v>
      </c>
      <c r="AB545" s="84">
        <v>40.96</v>
      </c>
      <c r="AC545" s="230">
        <v>38.68</v>
      </c>
      <c r="AD545" s="129">
        <v>3.7316750160988565E-2</v>
      </c>
      <c r="AE545" s="243">
        <v>44470</v>
      </c>
      <c r="AF545" s="2" t="s">
        <v>495</v>
      </c>
      <c r="BA545" s="2" t="s">
        <v>602</v>
      </c>
      <c r="BB545" s="2" t="e">
        <v>#N/A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</row>
    <row r="546" spans="1:82" ht="15" customHeight="1" x14ac:dyDescent="0.3">
      <c r="A546" s="38" t="s">
        <v>603</v>
      </c>
      <c r="B546" s="84">
        <v>40.67</v>
      </c>
      <c r="C546" s="84">
        <v>35.67</v>
      </c>
      <c r="D546" s="84">
        <v>36.93</v>
      </c>
      <c r="E546" s="84">
        <v>39.53</v>
      </c>
      <c r="F546" s="84">
        <v>41.07</v>
      </c>
      <c r="G546" s="84">
        <v>34.1</v>
      </c>
      <c r="H546" s="84">
        <v>48.65</v>
      </c>
      <c r="I546" s="84">
        <v>41.34</v>
      </c>
      <c r="J546" s="84">
        <v>35.15</v>
      </c>
      <c r="K546" s="84">
        <v>39.71</v>
      </c>
      <c r="L546" s="84">
        <v>35.04</v>
      </c>
      <c r="M546" s="84">
        <v>38.979999999999997</v>
      </c>
      <c r="N546" s="84">
        <v>58.47</v>
      </c>
      <c r="O546" s="84">
        <v>35.85</v>
      </c>
      <c r="P546" s="84">
        <v>40.1</v>
      </c>
      <c r="Q546" s="122" t="s">
        <v>621</v>
      </c>
      <c r="R546" s="84">
        <v>32.979999999999997</v>
      </c>
      <c r="S546" s="84">
        <v>62.5</v>
      </c>
      <c r="T546" s="84">
        <v>41.25</v>
      </c>
      <c r="U546" s="84">
        <v>42.03</v>
      </c>
      <c r="V546" s="84">
        <v>38.17</v>
      </c>
      <c r="W546" s="84">
        <v>31.74</v>
      </c>
      <c r="X546" s="84">
        <v>35.39</v>
      </c>
      <c r="Y546" s="84">
        <v>34.79</v>
      </c>
      <c r="Z546" s="84">
        <v>34.53</v>
      </c>
      <c r="AA546" s="84">
        <v>42.03</v>
      </c>
      <c r="AB546" s="84">
        <v>41.63</v>
      </c>
      <c r="AC546" s="230">
        <v>40.03</v>
      </c>
      <c r="AD546" s="129">
        <v>3.4879668372545414E-2</v>
      </c>
      <c r="AE546" s="243">
        <v>44501</v>
      </c>
      <c r="AF546" s="2" t="s">
        <v>495</v>
      </c>
      <c r="BA546" s="2" t="s">
        <v>603</v>
      </c>
      <c r="BB546" s="2" t="e">
        <v>#N/A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</row>
    <row r="547" spans="1:82" ht="15" customHeight="1" thickBot="1" x14ac:dyDescent="0.35">
      <c r="A547" s="63" t="s">
        <v>604</v>
      </c>
      <c r="B547" s="87">
        <v>45.05</v>
      </c>
      <c r="C547" s="87">
        <v>36.770000000000003</v>
      </c>
      <c r="D547" s="87">
        <v>38</v>
      </c>
      <c r="E547" s="87">
        <v>43.7</v>
      </c>
      <c r="F547" s="87">
        <v>42.25</v>
      </c>
      <c r="G547" s="87">
        <v>35.78</v>
      </c>
      <c r="H547" s="87">
        <v>48.46</v>
      </c>
      <c r="I547" s="87">
        <v>42.99</v>
      </c>
      <c r="J547" s="87">
        <v>35.340000000000003</v>
      </c>
      <c r="K547" s="87">
        <v>39.93</v>
      </c>
      <c r="L547" s="87">
        <v>35.229999999999997</v>
      </c>
      <c r="M547" s="87">
        <v>39.5</v>
      </c>
      <c r="N547" s="87">
        <v>58.47</v>
      </c>
      <c r="O547" s="87">
        <v>39.71</v>
      </c>
      <c r="P547" s="87">
        <v>42.85</v>
      </c>
      <c r="Q547" s="121" t="s">
        <v>621</v>
      </c>
      <c r="R547" s="87">
        <v>33.94</v>
      </c>
      <c r="S547" s="87">
        <v>62.26</v>
      </c>
      <c r="T547" s="87">
        <v>43.72</v>
      </c>
      <c r="U547" s="87">
        <v>44.16</v>
      </c>
      <c r="V547" s="87">
        <v>40.18</v>
      </c>
      <c r="W547" s="87">
        <v>31.89</v>
      </c>
      <c r="X547" s="87">
        <v>35.92</v>
      </c>
      <c r="Y547" s="87">
        <v>35.33</v>
      </c>
      <c r="Z547" s="87">
        <v>35.47</v>
      </c>
      <c r="AA547" s="87">
        <v>41.91</v>
      </c>
      <c r="AB547" s="87">
        <v>43.29</v>
      </c>
      <c r="AC547" s="221">
        <v>41.28</v>
      </c>
      <c r="AD547" s="129">
        <v>3.1250819300498556E-2</v>
      </c>
      <c r="AE547" s="246">
        <v>44531</v>
      </c>
      <c r="AF547" s="2" t="s">
        <v>495</v>
      </c>
      <c r="BA547" s="2" t="s">
        <v>604</v>
      </c>
      <c r="BB547" s="2" t="e">
        <v>#N/A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</row>
    <row r="548" spans="1:82" ht="15" customHeight="1" x14ac:dyDescent="0.3">
      <c r="A548" s="76" t="s">
        <v>605</v>
      </c>
      <c r="B548" s="90">
        <v>45.13</v>
      </c>
      <c r="C548" s="90">
        <v>37.61</v>
      </c>
      <c r="D548" s="90">
        <v>39.82</v>
      </c>
      <c r="E548" s="90">
        <v>43.68</v>
      </c>
      <c r="F548" s="90">
        <v>43.03</v>
      </c>
      <c r="G548" s="90">
        <v>38.67</v>
      </c>
      <c r="H548" s="90">
        <v>46.03</v>
      </c>
      <c r="I548" s="90">
        <v>44.22</v>
      </c>
      <c r="J548" s="90">
        <v>36.020000000000003</v>
      </c>
      <c r="K548" s="90">
        <v>40.729999999999997</v>
      </c>
      <c r="L548" s="90">
        <v>36.14</v>
      </c>
      <c r="M548" s="90">
        <v>39.89</v>
      </c>
      <c r="N548" s="90">
        <v>58.22</v>
      </c>
      <c r="O548" s="90">
        <v>41.72</v>
      </c>
      <c r="P548" s="90">
        <v>44.23</v>
      </c>
      <c r="Q548" s="125" t="s">
        <v>621</v>
      </c>
      <c r="R548" s="90">
        <v>36.01</v>
      </c>
      <c r="S548" s="90">
        <v>62</v>
      </c>
      <c r="T548" s="90">
        <v>45</v>
      </c>
      <c r="U548" s="90">
        <v>42.4</v>
      </c>
      <c r="V548" s="90">
        <v>40.090000000000003</v>
      </c>
      <c r="W548" s="90">
        <v>34.19</v>
      </c>
      <c r="X548" s="90">
        <v>40.409999999999997</v>
      </c>
      <c r="Y548" s="90">
        <v>35.93</v>
      </c>
      <c r="Z548" s="90">
        <v>37.18</v>
      </c>
      <c r="AA548" s="90">
        <v>42.38</v>
      </c>
      <c r="AB548" s="90">
        <v>42.9</v>
      </c>
      <c r="AC548" s="219">
        <v>41.81</v>
      </c>
      <c r="AD548" s="128">
        <v>1.2755358254165294E-2</v>
      </c>
      <c r="AE548" s="248">
        <v>44562</v>
      </c>
      <c r="AF548" s="2" t="s">
        <v>495</v>
      </c>
      <c r="BA548" s="2" t="s">
        <v>605</v>
      </c>
      <c r="BB548" s="2" t="e">
        <v>#N/A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</row>
    <row r="549" spans="1:82" ht="15" customHeight="1" x14ac:dyDescent="0.3">
      <c r="A549" s="54" t="s">
        <v>606</v>
      </c>
      <c r="B549" s="81">
        <v>45.61</v>
      </c>
      <c r="C549" s="81">
        <v>37.99</v>
      </c>
      <c r="D549" s="81">
        <v>40.909999999999997</v>
      </c>
      <c r="E549" s="81">
        <v>43.68</v>
      </c>
      <c r="F549" s="81">
        <v>44.25</v>
      </c>
      <c r="G549" s="81">
        <v>40.299999999999997</v>
      </c>
      <c r="H549" s="81">
        <v>47.59</v>
      </c>
      <c r="I549" s="81">
        <v>45.46</v>
      </c>
      <c r="J549" s="81">
        <v>36.700000000000003</v>
      </c>
      <c r="K549" s="81">
        <v>41.18</v>
      </c>
      <c r="L549" s="81">
        <v>35.96</v>
      </c>
      <c r="M549" s="81">
        <v>40.56</v>
      </c>
      <c r="N549" s="81">
        <v>58.36</v>
      </c>
      <c r="O549" s="81">
        <v>42.67</v>
      </c>
      <c r="P549" s="81">
        <v>45.94</v>
      </c>
      <c r="Q549" s="123" t="s">
        <v>621</v>
      </c>
      <c r="R549" s="81">
        <v>37.28</v>
      </c>
      <c r="S549" s="81">
        <v>61.92</v>
      </c>
      <c r="T549" s="81">
        <v>45</v>
      </c>
      <c r="U549" s="81">
        <v>43.2</v>
      </c>
      <c r="V549" s="81">
        <v>40.619999999999997</v>
      </c>
      <c r="W549" s="81">
        <v>34.15</v>
      </c>
      <c r="X549" s="81">
        <v>39.630000000000003</v>
      </c>
      <c r="Y549" s="81">
        <v>36.869999999999997</v>
      </c>
      <c r="Z549" s="81">
        <v>38.1</v>
      </c>
      <c r="AA549" s="81">
        <v>42.15</v>
      </c>
      <c r="AB549" s="81">
        <v>43.01</v>
      </c>
      <c r="AC549" s="220">
        <v>42.5</v>
      </c>
      <c r="AD549" s="132">
        <v>1.6501633520891179E-2</v>
      </c>
      <c r="AE549" s="242">
        <v>44593</v>
      </c>
      <c r="AF549" s="2" t="s">
        <v>495</v>
      </c>
      <c r="BA549" s="2" t="s">
        <v>606</v>
      </c>
      <c r="BB549" s="2" t="e">
        <v>#N/A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</row>
    <row r="550" spans="1:82" ht="15" customHeight="1" x14ac:dyDescent="0.3">
      <c r="A550" s="38" t="s">
        <v>607</v>
      </c>
      <c r="B550" s="81">
        <v>47.68</v>
      </c>
      <c r="C550" s="81">
        <v>38.57</v>
      </c>
      <c r="D550" s="81">
        <v>40.630000000000003</v>
      </c>
      <c r="E550" s="81">
        <v>46.23</v>
      </c>
      <c r="F550" s="81">
        <v>47.98</v>
      </c>
      <c r="G550" s="81">
        <v>41.21</v>
      </c>
      <c r="H550" s="81">
        <v>48.95</v>
      </c>
      <c r="I550" s="81">
        <v>46.79</v>
      </c>
      <c r="J550" s="81">
        <v>37.18</v>
      </c>
      <c r="K550" s="81">
        <v>40.94</v>
      </c>
      <c r="L550" s="81">
        <v>37.659999999999997</v>
      </c>
      <c r="M550" s="81">
        <v>40.56</v>
      </c>
      <c r="N550" s="81">
        <v>57.68</v>
      </c>
      <c r="O550" s="81">
        <v>43.44</v>
      </c>
      <c r="P550" s="81">
        <v>47.62</v>
      </c>
      <c r="Q550" s="123" t="s">
        <v>621</v>
      </c>
      <c r="R550" s="81">
        <v>37.020000000000003</v>
      </c>
      <c r="S550" s="81">
        <v>63.54</v>
      </c>
      <c r="T550" s="81">
        <v>46.5</v>
      </c>
      <c r="U550" s="81">
        <v>44.26</v>
      </c>
      <c r="V550" s="81">
        <v>41.44</v>
      </c>
      <c r="W550" s="81">
        <v>34.159999999999997</v>
      </c>
      <c r="X550" s="81">
        <v>40.74</v>
      </c>
      <c r="Y550" s="81">
        <v>38.159999999999997</v>
      </c>
      <c r="Z550" s="81">
        <v>38.840000000000003</v>
      </c>
      <c r="AA550" s="81">
        <v>43.93</v>
      </c>
      <c r="AB550" s="81">
        <v>44.71</v>
      </c>
      <c r="AC550" s="220">
        <v>43.92</v>
      </c>
      <c r="AD550" s="132">
        <v>3.344357780015228E-2</v>
      </c>
      <c r="AE550" s="243">
        <v>44621</v>
      </c>
      <c r="AF550" s="2" t="s">
        <v>495</v>
      </c>
      <c r="BA550" s="2" t="s">
        <v>607</v>
      </c>
      <c r="BB550" s="2" t="e">
        <v>#N/A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</row>
    <row r="551" spans="1:82" ht="15" customHeight="1" x14ac:dyDescent="0.3">
      <c r="A551" s="54" t="s">
        <v>608</v>
      </c>
      <c r="B551" s="81">
        <v>48.81</v>
      </c>
      <c r="C551" s="81">
        <v>39.69</v>
      </c>
      <c r="D551" s="81">
        <v>42.86</v>
      </c>
      <c r="E551" s="81">
        <v>46.78</v>
      </c>
      <c r="F551" s="81">
        <v>49.69</v>
      </c>
      <c r="G551" s="81">
        <v>42.64</v>
      </c>
      <c r="H551" s="81">
        <v>51.28</v>
      </c>
      <c r="I551" s="81">
        <v>47.95</v>
      </c>
      <c r="J551" s="81">
        <v>40.68</v>
      </c>
      <c r="K551" s="81">
        <v>42.58</v>
      </c>
      <c r="L551" s="81">
        <v>38.93</v>
      </c>
      <c r="M551" s="81">
        <v>45.93</v>
      </c>
      <c r="N551" s="81">
        <v>57.52</v>
      </c>
      <c r="O551" s="81">
        <v>45.21</v>
      </c>
      <c r="P551" s="81">
        <v>51.04</v>
      </c>
      <c r="Q551" s="123" t="s">
        <v>621</v>
      </c>
      <c r="R551" s="81">
        <v>38.89</v>
      </c>
      <c r="S551" s="81">
        <v>62.51</v>
      </c>
      <c r="T551" s="81">
        <v>48.5</v>
      </c>
      <c r="U551" s="81">
        <v>45.96</v>
      </c>
      <c r="V551" s="81">
        <v>45.17</v>
      </c>
      <c r="W551" s="81">
        <v>37.85</v>
      </c>
      <c r="X551" s="81">
        <v>42.41</v>
      </c>
      <c r="Y551" s="81">
        <v>40.630000000000003</v>
      </c>
      <c r="Z551" s="81">
        <v>39.64</v>
      </c>
      <c r="AA551" s="81">
        <v>46.01</v>
      </c>
      <c r="AB551" s="81">
        <v>45.97</v>
      </c>
      <c r="AC551" s="220">
        <v>46.23</v>
      </c>
      <c r="AD551" s="132">
        <v>5.2577933865649573E-2</v>
      </c>
      <c r="AE551" s="243">
        <v>44652</v>
      </c>
      <c r="AF551" s="2" t="s">
        <v>495</v>
      </c>
      <c r="BA551" s="2" t="s">
        <v>608</v>
      </c>
      <c r="BB551" s="2" t="e">
        <v>#N/A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</row>
    <row r="552" spans="1:82" ht="15" customHeight="1" x14ac:dyDescent="0.3">
      <c r="A552" s="38" t="s">
        <v>609</v>
      </c>
      <c r="B552" s="81">
        <v>51.56</v>
      </c>
      <c r="C552" s="81">
        <v>40.14</v>
      </c>
      <c r="D552" s="81">
        <v>43.48</v>
      </c>
      <c r="E552" s="81">
        <v>50.67</v>
      </c>
      <c r="F552" s="81">
        <v>51.73</v>
      </c>
      <c r="G552" s="81">
        <v>43.88</v>
      </c>
      <c r="H552" s="81">
        <v>53.61</v>
      </c>
      <c r="I552" s="81">
        <v>49.6</v>
      </c>
      <c r="J552" s="81">
        <v>41.84</v>
      </c>
      <c r="K552" s="81">
        <v>43.12</v>
      </c>
      <c r="L552" s="81">
        <v>39.81</v>
      </c>
      <c r="M552" s="81">
        <v>47.17</v>
      </c>
      <c r="N552" s="81">
        <v>57.52</v>
      </c>
      <c r="O552" s="81">
        <v>47.26</v>
      </c>
      <c r="P552" s="81">
        <v>52.72</v>
      </c>
      <c r="Q552" s="123" t="s">
        <v>621</v>
      </c>
      <c r="R552" s="81">
        <v>39.68</v>
      </c>
      <c r="S552" s="81">
        <v>61.97</v>
      </c>
      <c r="T552" s="81">
        <v>52.5</v>
      </c>
      <c r="U552" s="81">
        <v>47.54</v>
      </c>
      <c r="V552" s="81">
        <v>46.49</v>
      </c>
      <c r="W552" s="81">
        <v>38.22</v>
      </c>
      <c r="X552" s="81">
        <v>42.4</v>
      </c>
      <c r="Y552" s="81">
        <v>42.14</v>
      </c>
      <c r="Z552" s="81">
        <v>40.380000000000003</v>
      </c>
      <c r="AA552" s="81">
        <v>46.99</v>
      </c>
      <c r="AB552" s="81">
        <v>47.7</v>
      </c>
      <c r="AC552" s="220">
        <v>47.99</v>
      </c>
      <c r="AD552" s="132">
        <v>3.8040455945283602E-2</v>
      </c>
      <c r="AE552" s="243">
        <v>44682</v>
      </c>
      <c r="AF552" s="2" t="s">
        <v>495</v>
      </c>
      <c r="BA552" s="2" t="s">
        <v>609</v>
      </c>
      <c r="BB552" s="2" t="e">
        <v>#N/A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</row>
    <row r="553" spans="1:82" ht="15" customHeight="1" x14ac:dyDescent="0.3">
      <c r="A553" s="38" t="s">
        <v>610</v>
      </c>
      <c r="B553" s="81">
        <v>54.86</v>
      </c>
      <c r="C553" s="81">
        <v>40.82</v>
      </c>
      <c r="D553" s="81">
        <v>44.46</v>
      </c>
      <c r="E553" s="81">
        <v>55.65</v>
      </c>
      <c r="F553" s="81">
        <v>51.73</v>
      </c>
      <c r="G553" s="81">
        <v>45.78</v>
      </c>
      <c r="H553" s="81">
        <v>55.45</v>
      </c>
      <c r="I553" s="81">
        <v>51.9</v>
      </c>
      <c r="J553" s="81">
        <v>42.52</v>
      </c>
      <c r="K553" s="81">
        <v>43.84</v>
      </c>
      <c r="L553" s="81">
        <v>41.09</v>
      </c>
      <c r="M553" s="81">
        <v>48.19</v>
      </c>
      <c r="N553" s="81">
        <v>57.04</v>
      </c>
      <c r="O553" s="81">
        <v>48.6</v>
      </c>
      <c r="P553" s="81">
        <v>51.88</v>
      </c>
      <c r="Q553" s="123" t="s">
        <v>621</v>
      </c>
      <c r="R553" s="81">
        <v>40.42</v>
      </c>
      <c r="S553" s="81">
        <v>61.9</v>
      </c>
      <c r="T553" s="81">
        <v>56.5</v>
      </c>
      <c r="U553" s="81">
        <v>47.97</v>
      </c>
      <c r="V553" s="81">
        <v>49.24</v>
      </c>
      <c r="W553" s="81">
        <v>38.19</v>
      </c>
      <c r="X553" s="81">
        <v>44.58</v>
      </c>
      <c r="Y553" s="81">
        <v>43.92</v>
      </c>
      <c r="Z553" s="81">
        <v>41.86</v>
      </c>
      <c r="AA553" s="81">
        <v>47.39</v>
      </c>
      <c r="AB553" s="81">
        <v>49.77</v>
      </c>
      <c r="AC553" s="220">
        <v>49.4</v>
      </c>
      <c r="AD553" s="132">
        <v>2.9439550793295854E-2</v>
      </c>
      <c r="AE553" s="243">
        <v>44713</v>
      </c>
      <c r="AF553" s="2" t="s">
        <v>495</v>
      </c>
      <c r="BA553" s="2" t="s">
        <v>610</v>
      </c>
      <c r="BB553" s="2" t="e">
        <v>#N/A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</row>
    <row r="554" spans="1:82" ht="15" customHeight="1" x14ac:dyDescent="0.3">
      <c r="A554" s="38" t="s">
        <v>611</v>
      </c>
      <c r="B554" s="81">
        <v>55.5</v>
      </c>
      <c r="C554" s="81">
        <v>42.12</v>
      </c>
      <c r="D554" s="81">
        <v>45.99</v>
      </c>
      <c r="E554" s="81">
        <v>57.78</v>
      </c>
      <c r="F554" s="81">
        <v>54.4</v>
      </c>
      <c r="G554" s="81">
        <v>46.74</v>
      </c>
      <c r="H554" s="81">
        <v>57.78</v>
      </c>
      <c r="I554" s="81">
        <v>54.43</v>
      </c>
      <c r="J554" s="81">
        <v>44.95</v>
      </c>
      <c r="K554" s="81">
        <v>44.12</v>
      </c>
      <c r="L554" s="81">
        <v>41.18</v>
      </c>
      <c r="M554" s="81">
        <v>48.19</v>
      </c>
      <c r="N554" s="81">
        <v>57.26</v>
      </c>
      <c r="O554" s="81">
        <v>49.61</v>
      </c>
      <c r="P554" s="81">
        <v>51.24</v>
      </c>
      <c r="Q554" s="123" t="s">
        <v>621</v>
      </c>
      <c r="R554" s="81">
        <v>42.42</v>
      </c>
      <c r="S554" s="81">
        <v>61.68</v>
      </c>
      <c r="T554" s="81">
        <v>60</v>
      </c>
      <c r="U554" s="81">
        <v>51.11</v>
      </c>
      <c r="V554" s="81">
        <v>49.5</v>
      </c>
      <c r="W554" s="81">
        <v>40.14</v>
      </c>
      <c r="X554" s="81">
        <v>49.1</v>
      </c>
      <c r="Y554" s="81">
        <v>45.72</v>
      </c>
      <c r="Z554" s="81">
        <v>43.6</v>
      </c>
      <c r="AA554" s="81">
        <v>49.26</v>
      </c>
      <c r="AB554" s="81">
        <v>52.24</v>
      </c>
      <c r="AC554" s="220">
        <v>51.08</v>
      </c>
      <c r="AD554" s="132">
        <v>3.3998361586564663E-2</v>
      </c>
      <c r="AE554" s="243">
        <v>44743</v>
      </c>
      <c r="AF554" s="2" t="s">
        <v>495</v>
      </c>
      <c r="BA554" s="2" t="s">
        <v>611</v>
      </c>
      <c r="BB554" s="2" t="e">
        <v>#N/A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</row>
    <row r="555" spans="1:82" ht="15" customHeight="1" x14ac:dyDescent="0.3">
      <c r="A555" s="38" t="s">
        <v>612</v>
      </c>
      <c r="B555" s="81">
        <v>56.22</v>
      </c>
      <c r="C555" s="81">
        <v>43.32</v>
      </c>
      <c r="D555" s="81">
        <v>47.1</v>
      </c>
      <c r="E555" s="81">
        <v>58.88</v>
      </c>
      <c r="F555" s="81">
        <v>56.19</v>
      </c>
      <c r="G555" s="81">
        <v>48.02</v>
      </c>
      <c r="H555" s="81">
        <v>59.73</v>
      </c>
      <c r="I555" s="81">
        <v>56.09</v>
      </c>
      <c r="J555" s="81">
        <v>46.21</v>
      </c>
      <c r="K555" s="81">
        <v>44.85</v>
      </c>
      <c r="L555" s="81">
        <v>43.22</v>
      </c>
      <c r="M555" s="81">
        <v>50.98</v>
      </c>
      <c r="N555" s="81">
        <v>62.09</v>
      </c>
      <c r="O555" s="81">
        <v>49.77</v>
      </c>
      <c r="P555" s="81">
        <v>51.23</v>
      </c>
      <c r="Q555" s="123" t="s">
        <v>621</v>
      </c>
      <c r="R555" s="81">
        <v>45.22</v>
      </c>
      <c r="S555" s="81">
        <v>61.9</v>
      </c>
      <c r="T555" s="81">
        <v>60</v>
      </c>
      <c r="U555" s="81">
        <v>52.37</v>
      </c>
      <c r="V555" s="81">
        <v>50.88</v>
      </c>
      <c r="W555" s="81">
        <v>40.49</v>
      </c>
      <c r="X555" s="81">
        <v>46.07</v>
      </c>
      <c r="Y555" s="81">
        <v>47.86</v>
      </c>
      <c r="Z555" s="81">
        <v>45.28</v>
      </c>
      <c r="AA555" s="81">
        <v>50.12</v>
      </c>
      <c r="AB555" s="81">
        <v>53.85</v>
      </c>
      <c r="AC555" s="220">
        <v>52.37</v>
      </c>
      <c r="AD555" s="132">
        <v>2.5290349615015861E-2</v>
      </c>
      <c r="AE555" s="243">
        <v>44774</v>
      </c>
      <c r="AF555" s="2" t="s">
        <v>495</v>
      </c>
      <c r="BA555" s="2" t="s">
        <v>612</v>
      </c>
      <c r="BB555" s="2" t="e">
        <v>#N/A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</row>
    <row r="556" spans="1:82" ht="15" customHeight="1" x14ac:dyDescent="0.3">
      <c r="A556" s="38" t="s">
        <v>613</v>
      </c>
      <c r="B556" s="81">
        <v>57.98</v>
      </c>
      <c r="C556" s="81">
        <v>45.87</v>
      </c>
      <c r="D556" s="81">
        <v>48.63</v>
      </c>
      <c r="E556" s="81">
        <v>58.9</v>
      </c>
      <c r="F556" s="81">
        <v>58.59</v>
      </c>
      <c r="G556" s="81">
        <v>50.05</v>
      </c>
      <c r="H556" s="81">
        <v>64.290000000000006</v>
      </c>
      <c r="I556" s="81">
        <v>58.12</v>
      </c>
      <c r="J556" s="81">
        <v>48.06</v>
      </c>
      <c r="K556" s="81">
        <v>46.28</v>
      </c>
      <c r="L556" s="81">
        <v>44.28</v>
      </c>
      <c r="M556" s="81">
        <v>54.34</v>
      </c>
      <c r="N556" s="81">
        <v>62.9</v>
      </c>
      <c r="O556" s="81">
        <v>49.26</v>
      </c>
      <c r="P556" s="81">
        <v>52.65</v>
      </c>
      <c r="Q556" s="123" t="s">
        <v>621</v>
      </c>
      <c r="R556" s="81">
        <v>47.9</v>
      </c>
      <c r="S556" s="81">
        <v>63.36</v>
      </c>
      <c r="T556" s="81">
        <v>61.25</v>
      </c>
      <c r="U556" s="81">
        <v>54.83</v>
      </c>
      <c r="V556" s="81">
        <v>53.18</v>
      </c>
      <c r="W556" s="81">
        <v>43.72</v>
      </c>
      <c r="X556" s="81">
        <v>53.02</v>
      </c>
      <c r="Y556" s="81">
        <v>50.88</v>
      </c>
      <c r="Z556" s="81">
        <v>47.12</v>
      </c>
      <c r="AA556" s="81">
        <v>52.84</v>
      </c>
      <c r="AB556" s="81">
        <v>54.85</v>
      </c>
      <c r="AC556" s="220">
        <v>54.53</v>
      </c>
      <c r="AD556" s="132">
        <v>4.1130648291081817E-2</v>
      </c>
      <c r="AE556" s="243">
        <v>44805</v>
      </c>
      <c r="AF556" s="2" t="s">
        <v>495</v>
      </c>
      <c r="BA556" s="2" t="s">
        <v>613</v>
      </c>
      <c r="BB556" s="2" t="e">
        <v>#N/A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</row>
    <row r="557" spans="1:82" ht="15" customHeight="1" x14ac:dyDescent="0.3">
      <c r="A557" s="38" t="s">
        <v>614</v>
      </c>
      <c r="B557" s="81">
        <v>59.06</v>
      </c>
      <c r="C557" s="81">
        <v>50.06</v>
      </c>
      <c r="D557" s="81">
        <v>50.5</v>
      </c>
      <c r="E557" s="81">
        <v>59.96</v>
      </c>
      <c r="F557" s="81">
        <v>60.56</v>
      </c>
      <c r="G557" s="81">
        <v>51.89</v>
      </c>
      <c r="H557" s="81">
        <v>68.47</v>
      </c>
      <c r="I557" s="81">
        <v>58.96</v>
      </c>
      <c r="J557" s="81">
        <v>53.98</v>
      </c>
      <c r="K557" s="81">
        <v>48.26</v>
      </c>
      <c r="L557" s="81">
        <v>49.38</v>
      </c>
      <c r="M557" s="81">
        <v>55.35</v>
      </c>
      <c r="N557" s="81">
        <v>63.9</v>
      </c>
      <c r="O557" s="81">
        <v>49.21</v>
      </c>
      <c r="P557" s="81">
        <v>55.25</v>
      </c>
      <c r="Q557" s="123" t="s">
        <v>621</v>
      </c>
      <c r="R557" s="81">
        <v>48.92</v>
      </c>
      <c r="S557" s="81">
        <v>62.95</v>
      </c>
      <c r="T557" s="81">
        <v>62.25</v>
      </c>
      <c r="U557" s="81">
        <v>57.08</v>
      </c>
      <c r="V557" s="81">
        <v>54.73</v>
      </c>
      <c r="W557" s="81">
        <v>52.01</v>
      </c>
      <c r="X557" s="81">
        <v>53.82</v>
      </c>
      <c r="Y557" s="81">
        <v>53.6</v>
      </c>
      <c r="Z557" s="81">
        <v>49.33</v>
      </c>
      <c r="AA557" s="81">
        <v>55.41</v>
      </c>
      <c r="AB557" s="81">
        <v>56.7</v>
      </c>
      <c r="AC557" s="220">
        <v>56.64</v>
      </c>
      <c r="AD557" s="132">
        <v>3.8741217597918043E-2</v>
      </c>
      <c r="AE557" s="243">
        <v>44835</v>
      </c>
      <c r="AF557" s="2" t="s">
        <v>495</v>
      </c>
      <c r="BA557" s="2" t="s">
        <v>614</v>
      </c>
      <c r="BB557" s="2" t="e">
        <v>#N/A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</row>
    <row r="558" spans="1:82" ht="15" customHeight="1" x14ac:dyDescent="0.3">
      <c r="A558" s="38" t="s">
        <v>615</v>
      </c>
      <c r="B558" s="81">
        <v>58.29</v>
      </c>
      <c r="C558" s="81">
        <v>51.23</v>
      </c>
      <c r="D558" s="81">
        <v>52.89</v>
      </c>
      <c r="E558" s="81">
        <v>61.43</v>
      </c>
      <c r="F558" s="81">
        <v>61.55</v>
      </c>
      <c r="G558" s="81">
        <v>53.21</v>
      </c>
      <c r="H558" s="81">
        <v>69.239999999999995</v>
      </c>
      <c r="I558" s="81">
        <v>59.61</v>
      </c>
      <c r="J558" s="81">
        <v>56.99</v>
      </c>
      <c r="K558" s="81">
        <v>48.85</v>
      </c>
      <c r="L558" s="81">
        <v>48.41</v>
      </c>
      <c r="M558" s="81">
        <v>55.35</v>
      </c>
      <c r="N558" s="81">
        <v>64.42</v>
      </c>
      <c r="O558" s="81">
        <v>49.05</v>
      </c>
      <c r="P558" s="81">
        <v>54.62</v>
      </c>
      <c r="Q558" s="123" t="s">
        <v>621</v>
      </c>
      <c r="R558" s="81">
        <v>52.51</v>
      </c>
      <c r="S558" s="81">
        <v>62.67</v>
      </c>
      <c r="T558" s="81">
        <v>62.25</v>
      </c>
      <c r="U558" s="81">
        <v>58.88</v>
      </c>
      <c r="V558" s="81">
        <v>58.36</v>
      </c>
      <c r="W558" s="81">
        <v>54.38</v>
      </c>
      <c r="X558" s="81">
        <v>58.48</v>
      </c>
      <c r="Y558" s="81">
        <v>54.95</v>
      </c>
      <c r="Z558" s="81">
        <v>50.78</v>
      </c>
      <c r="AA558" s="81">
        <v>55.58</v>
      </c>
      <c r="AB558" s="81">
        <v>58.33</v>
      </c>
      <c r="AC558" s="220">
        <v>57.77</v>
      </c>
      <c r="AD558" s="132">
        <v>1.9851795704131314E-2</v>
      </c>
      <c r="AE558" s="243">
        <v>44866</v>
      </c>
      <c r="AF558" s="2" t="s">
        <v>495</v>
      </c>
      <c r="BA558" s="2" t="s">
        <v>615</v>
      </c>
      <c r="BB558" s="2" t="e">
        <v>#N/A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N558" s="2">
        <v>0</v>
      </c>
      <c r="BO558" s="2">
        <v>0</v>
      </c>
      <c r="BP558" s="2">
        <v>0</v>
      </c>
      <c r="BQ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</row>
    <row r="559" spans="1:82" ht="15" customHeight="1" thickBot="1" x14ac:dyDescent="0.35">
      <c r="A559" s="63" t="s">
        <v>616</v>
      </c>
      <c r="B559" s="87">
        <v>58.13</v>
      </c>
      <c r="C559" s="87">
        <v>51.75</v>
      </c>
      <c r="D559" s="87">
        <v>54.28</v>
      </c>
      <c r="E559" s="87">
        <v>61.45</v>
      </c>
      <c r="F559" s="87">
        <v>61.72</v>
      </c>
      <c r="G559" s="87">
        <v>54.42</v>
      </c>
      <c r="H559" s="121">
        <v>68.180000000000007</v>
      </c>
      <c r="I559" s="87">
        <v>57.3</v>
      </c>
      <c r="J559" s="87">
        <v>57.96</v>
      </c>
      <c r="K559" s="87">
        <v>49.51</v>
      </c>
      <c r="L559" s="87">
        <v>55.89</v>
      </c>
      <c r="M559" s="87">
        <v>57.4</v>
      </c>
      <c r="N559" s="87">
        <v>64.33</v>
      </c>
      <c r="O559" s="87">
        <v>48.33</v>
      </c>
      <c r="P559" s="87">
        <v>50.94</v>
      </c>
      <c r="Q559" s="121" t="s">
        <v>621</v>
      </c>
      <c r="R559" s="87">
        <v>54.55</v>
      </c>
      <c r="S559" s="87">
        <v>61.67</v>
      </c>
      <c r="T559" s="87">
        <v>62.51</v>
      </c>
      <c r="U559" s="87">
        <v>59.78</v>
      </c>
      <c r="V559" s="87">
        <v>59.39</v>
      </c>
      <c r="W559" s="87">
        <v>54.85</v>
      </c>
      <c r="X559" s="87">
        <v>58.56</v>
      </c>
      <c r="Y559" s="87">
        <v>55.4</v>
      </c>
      <c r="Z559" s="87">
        <v>51.38</v>
      </c>
      <c r="AA559" s="87">
        <v>55.18</v>
      </c>
      <c r="AB559" s="87">
        <v>58.43</v>
      </c>
      <c r="AC559" s="221">
        <v>58.25</v>
      </c>
      <c r="AD559" s="133">
        <v>8.4056801605669751E-3</v>
      </c>
      <c r="AE559" s="246">
        <v>44896</v>
      </c>
      <c r="AF559" s="2" t="s">
        <v>495</v>
      </c>
      <c r="BA559" s="2" t="s">
        <v>616</v>
      </c>
      <c r="BB559" s="2" t="e">
        <v>#N/A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N559" s="2">
        <v>0</v>
      </c>
      <c r="BO559" s="2">
        <v>0</v>
      </c>
      <c r="BP559" s="2">
        <v>0</v>
      </c>
      <c r="BQ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</row>
    <row r="560" spans="1:82" ht="15" customHeight="1" x14ac:dyDescent="0.3">
      <c r="A560" s="76" t="s">
        <v>655</v>
      </c>
      <c r="B560" s="81">
        <v>53.77</v>
      </c>
      <c r="C560" s="90">
        <v>51.160699999999999</v>
      </c>
      <c r="D560" s="90">
        <v>54.330599999999997</v>
      </c>
      <c r="E560" s="90">
        <v>60.364600000000003</v>
      </c>
      <c r="F560" s="90">
        <v>58.29</v>
      </c>
      <c r="G560" s="90">
        <v>52.22</v>
      </c>
      <c r="H560" s="90">
        <v>59.34</v>
      </c>
      <c r="I560" s="90">
        <v>57.75</v>
      </c>
      <c r="J560" s="90">
        <v>58.16</v>
      </c>
      <c r="K560" s="90">
        <v>49.8</v>
      </c>
      <c r="L560" s="90">
        <v>51.67</v>
      </c>
      <c r="M560" s="90">
        <v>57.17</v>
      </c>
      <c r="N560" s="90">
        <v>65.06</v>
      </c>
      <c r="O560" s="90">
        <v>42.89</v>
      </c>
      <c r="P560" s="90">
        <v>44.37</v>
      </c>
      <c r="Q560" s="125" t="s">
        <v>621</v>
      </c>
      <c r="R560" s="90">
        <v>56.493400000000001</v>
      </c>
      <c r="S560" s="90">
        <v>61.04</v>
      </c>
      <c r="T560" s="90">
        <v>60</v>
      </c>
      <c r="U560" s="90">
        <v>58.92</v>
      </c>
      <c r="V560" s="90">
        <v>51.594799999999999</v>
      </c>
      <c r="W560" s="90">
        <v>54.37</v>
      </c>
      <c r="X560" s="90">
        <v>58.2729</v>
      </c>
      <c r="Y560" s="90">
        <v>53.73</v>
      </c>
      <c r="Z560" s="90">
        <v>51.05</v>
      </c>
      <c r="AA560" s="90">
        <v>54.79</v>
      </c>
      <c r="AB560" s="90">
        <v>55.895800000000001</v>
      </c>
      <c r="AC560" s="219">
        <v>55.72</v>
      </c>
      <c r="AD560" s="128">
        <v>-4.3472005745640918E-2</v>
      </c>
      <c r="AE560" s="248">
        <v>44927</v>
      </c>
      <c r="AF560" s="2" t="s">
        <v>495</v>
      </c>
      <c r="BA560" s="2" t="s">
        <v>655</v>
      </c>
      <c r="BB560" s="2">
        <v>9</v>
      </c>
      <c r="BC560" s="2">
        <v>0</v>
      </c>
    </row>
    <row r="561" spans="1:55" ht="15" customHeight="1" x14ac:dyDescent="0.3">
      <c r="A561" s="54" t="s">
        <v>656</v>
      </c>
      <c r="B561" s="81">
        <v>49.12</v>
      </c>
      <c r="C561" s="81">
        <v>49.4529</v>
      </c>
      <c r="D561" s="81">
        <v>52.875999999999998</v>
      </c>
      <c r="E561" s="81">
        <v>57.357500000000002</v>
      </c>
      <c r="F561" s="81">
        <v>54.08</v>
      </c>
      <c r="G561" s="81">
        <v>49.18</v>
      </c>
      <c r="H561" s="81">
        <v>54.38</v>
      </c>
      <c r="I561" s="81">
        <v>56.12</v>
      </c>
      <c r="J561" s="81">
        <v>58.54</v>
      </c>
      <c r="K561" s="81">
        <v>49.95</v>
      </c>
      <c r="L561" s="81">
        <v>51.47</v>
      </c>
      <c r="M561" s="81">
        <v>57.4</v>
      </c>
      <c r="N561" s="81">
        <v>65.36</v>
      </c>
      <c r="O561" s="81">
        <v>34.01</v>
      </c>
      <c r="P561" s="81">
        <v>36.840000000000003</v>
      </c>
      <c r="Q561" s="123" t="s">
        <v>621</v>
      </c>
      <c r="R561" s="81">
        <v>56.3232</v>
      </c>
      <c r="S561" s="81">
        <v>60.55</v>
      </c>
      <c r="T561" s="81">
        <v>56</v>
      </c>
      <c r="U561" s="81">
        <v>57.46</v>
      </c>
      <c r="V561" s="81">
        <v>48.064599999999999</v>
      </c>
      <c r="W561" s="81">
        <v>54.13</v>
      </c>
      <c r="X561" s="81">
        <v>56.849600000000002</v>
      </c>
      <c r="Y561" s="81">
        <v>51.49</v>
      </c>
      <c r="Z561" s="81">
        <v>49.7</v>
      </c>
      <c r="AA561" s="81">
        <v>55.07</v>
      </c>
      <c r="AB561" s="81">
        <v>54.012500000000003</v>
      </c>
      <c r="AC561" s="220">
        <v>53.32</v>
      </c>
      <c r="AD561" s="132">
        <v>-4.2996164410075921E-2</v>
      </c>
      <c r="AE561" s="242">
        <v>44958</v>
      </c>
      <c r="AF561" s="2" t="s">
        <v>495</v>
      </c>
      <c r="BA561" s="2" t="s">
        <v>656</v>
      </c>
      <c r="BB561" s="2">
        <v>10</v>
      </c>
      <c r="BC561" s="2">
        <v>0</v>
      </c>
    </row>
    <row r="562" spans="1:55" ht="15" customHeight="1" x14ac:dyDescent="0.3">
      <c r="A562" s="38" t="s">
        <v>657</v>
      </c>
      <c r="B562" s="81">
        <v>45.67</v>
      </c>
      <c r="C562" s="81">
        <v>47.566200000000002</v>
      </c>
      <c r="D562" s="81">
        <v>49.887099999999997</v>
      </c>
      <c r="E562" s="81">
        <v>53.3217</v>
      </c>
      <c r="F562" s="81">
        <v>49.74</v>
      </c>
      <c r="G562" s="81">
        <v>47.73</v>
      </c>
      <c r="H562" s="81">
        <v>45.84</v>
      </c>
      <c r="I562" s="81">
        <v>54.25</v>
      </c>
      <c r="J562" s="81">
        <v>57.77</v>
      </c>
      <c r="K562" s="81">
        <v>48.51</v>
      </c>
      <c r="L562" s="81">
        <v>51.11</v>
      </c>
      <c r="M562" s="81">
        <v>54.86</v>
      </c>
      <c r="N562" s="81">
        <v>64.69</v>
      </c>
      <c r="O562" s="81">
        <v>34.369999999999997</v>
      </c>
      <c r="P562" s="81">
        <v>38.17</v>
      </c>
      <c r="Q562" s="123" t="s">
        <v>621</v>
      </c>
      <c r="R562" s="81">
        <v>53.059199999999997</v>
      </c>
      <c r="S562" s="81">
        <v>61.27</v>
      </c>
      <c r="T562" s="81">
        <v>50.5</v>
      </c>
      <c r="U562" s="81">
        <v>55.62</v>
      </c>
      <c r="V562" s="81">
        <v>47.659799999999997</v>
      </c>
      <c r="W562" s="81">
        <v>53.92</v>
      </c>
      <c r="X562" s="81">
        <v>53.558399999999999</v>
      </c>
      <c r="Y562" s="81">
        <v>48.78</v>
      </c>
      <c r="Z562" s="81">
        <v>48.47</v>
      </c>
      <c r="AA562" s="81">
        <v>55.22</v>
      </c>
      <c r="AB562" s="81">
        <v>51.055500000000002</v>
      </c>
      <c r="AC562" s="220">
        <v>50.3</v>
      </c>
      <c r="AD562" s="132">
        <v>-5.6754650140371177E-2</v>
      </c>
      <c r="AE562" s="243">
        <v>44986</v>
      </c>
      <c r="AF562" s="2" t="s">
        <v>495</v>
      </c>
      <c r="BA562" s="2" t="s">
        <v>657</v>
      </c>
      <c r="BB562" s="2">
        <v>11</v>
      </c>
      <c r="BC562" s="2">
        <v>0</v>
      </c>
    </row>
    <row r="563" spans="1:55" ht="15" customHeight="1" x14ac:dyDescent="0.3">
      <c r="A563" s="54" t="s">
        <v>658</v>
      </c>
      <c r="B563" s="81">
        <v>43.61</v>
      </c>
      <c r="C563" s="81">
        <v>43.629199999999997</v>
      </c>
      <c r="D563" s="81">
        <v>48.451099999999997</v>
      </c>
      <c r="E563" s="81">
        <v>47.239199999999997</v>
      </c>
      <c r="F563" s="81">
        <v>46.61</v>
      </c>
      <c r="G563" s="81">
        <v>45.21</v>
      </c>
      <c r="H563" s="81">
        <v>41.66</v>
      </c>
      <c r="I563" s="81">
        <v>52.38</v>
      </c>
      <c r="J563" s="81">
        <v>54.37</v>
      </c>
      <c r="K563" s="81">
        <v>46.93</v>
      </c>
      <c r="L563" s="81">
        <v>50.68</v>
      </c>
      <c r="M563" s="81">
        <v>53.73</v>
      </c>
      <c r="N563" s="81">
        <v>64.260000000000005</v>
      </c>
      <c r="O563" s="81">
        <v>34.72</v>
      </c>
      <c r="P563" s="81">
        <v>37.92</v>
      </c>
      <c r="Q563" s="123" t="s">
        <v>621</v>
      </c>
      <c r="R563" s="81">
        <v>50.042499999999997</v>
      </c>
      <c r="S563" s="81">
        <v>61.76</v>
      </c>
      <c r="T563" s="81">
        <v>44.75</v>
      </c>
      <c r="U563" s="81">
        <v>54.48</v>
      </c>
      <c r="V563" s="81">
        <v>46.721200000000003</v>
      </c>
      <c r="W563" s="81">
        <v>53.56</v>
      </c>
      <c r="X563" s="81">
        <v>48.045099999999998</v>
      </c>
      <c r="Y563" s="81">
        <v>46.08</v>
      </c>
      <c r="Z563" s="81">
        <v>46.31</v>
      </c>
      <c r="AA563" s="81">
        <v>54.73</v>
      </c>
      <c r="AB563" s="81">
        <v>46.125</v>
      </c>
      <c r="AC563" s="220">
        <v>47.56</v>
      </c>
      <c r="AD563" s="132">
        <v>-5.44736737608148E-2</v>
      </c>
      <c r="AE563" s="243">
        <v>45017</v>
      </c>
      <c r="AF563" s="2" t="s">
        <v>495</v>
      </c>
      <c r="BA563" s="2" t="s">
        <v>658</v>
      </c>
      <c r="BB563" s="2">
        <v>12</v>
      </c>
      <c r="BC563" s="2">
        <v>0</v>
      </c>
    </row>
    <row r="564" spans="1:55" ht="15" customHeight="1" x14ac:dyDescent="0.3">
      <c r="A564" s="38" t="s">
        <v>659</v>
      </c>
      <c r="B564" s="81">
        <v>41.89</v>
      </c>
      <c r="C564" s="81">
        <v>42.279400000000003</v>
      </c>
      <c r="D564" s="81">
        <v>45.777200000000001</v>
      </c>
      <c r="E564" s="81">
        <v>43.764499999999998</v>
      </c>
      <c r="F564" s="81">
        <v>44.3</v>
      </c>
      <c r="G564" s="81">
        <v>42.61</v>
      </c>
      <c r="H564" s="81">
        <v>40.79</v>
      </c>
      <c r="I564" s="81">
        <v>50.53</v>
      </c>
      <c r="J564" s="81">
        <v>52.72</v>
      </c>
      <c r="K564" s="81">
        <v>45.37</v>
      </c>
      <c r="L564" s="81">
        <v>50.33</v>
      </c>
      <c r="M564" s="81">
        <v>51.6</v>
      </c>
      <c r="N564" s="81">
        <v>63.95</v>
      </c>
      <c r="O564" s="81">
        <v>34.39</v>
      </c>
      <c r="P564" s="81">
        <v>35.78</v>
      </c>
      <c r="Q564" s="123" t="s">
        <v>621</v>
      </c>
      <c r="R564" s="81">
        <v>46.2654</v>
      </c>
      <c r="S564" s="81">
        <v>62.2</v>
      </c>
      <c r="T564" s="81">
        <v>43.25</v>
      </c>
      <c r="U564" s="81">
        <v>51.97</v>
      </c>
      <c r="V564" s="81">
        <v>45.619300000000003</v>
      </c>
      <c r="W564" s="81">
        <v>49.35</v>
      </c>
      <c r="X564" s="81">
        <v>35.140300000000003</v>
      </c>
      <c r="Y564" s="81">
        <v>43.75</v>
      </c>
      <c r="Z564" s="81">
        <v>44.42</v>
      </c>
      <c r="AA564" s="81">
        <v>52.5</v>
      </c>
      <c r="AB564" s="81">
        <v>41.748899999999999</v>
      </c>
      <c r="AC564" s="220">
        <v>45.35</v>
      </c>
      <c r="AD564" s="132">
        <v>-4.6323664213280935E-2</v>
      </c>
      <c r="AE564" s="243">
        <v>45047</v>
      </c>
      <c r="AF564" s="2" t="s">
        <v>495</v>
      </c>
      <c r="BA564" s="2" t="s">
        <v>659</v>
      </c>
      <c r="BB564" s="2">
        <v>13</v>
      </c>
      <c r="BC564" s="2">
        <v>0</v>
      </c>
    </row>
    <row r="565" spans="1:55" ht="15" customHeight="1" x14ac:dyDescent="0.3">
      <c r="A565" s="38" t="s">
        <v>660</v>
      </c>
      <c r="B565" s="81">
        <v>39.950000000000003</v>
      </c>
      <c r="C565" s="81">
        <v>40.965299999999999</v>
      </c>
      <c r="D565" s="81">
        <v>43.155900000000003</v>
      </c>
      <c r="E565" s="81">
        <v>41.748600000000003</v>
      </c>
      <c r="F565" s="81">
        <v>41.97</v>
      </c>
      <c r="G565" s="81">
        <v>40.96</v>
      </c>
      <c r="H565" s="81">
        <v>39.43</v>
      </c>
      <c r="I565" s="81">
        <v>49.85</v>
      </c>
      <c r="J565" s="81">
        <v>51.84</v>
      </c>
      <c r="K565" s="81">
        <v>45.63</v>
      </c>
      <c r="L565" s="81">
        <v>49.69</v>
      </c>
      <c r="M565" s="81">
        <v>51.6</v>
      </c>
      <c r="N565" s="81">
        <v>63.59</v>
      </c>
      <c r="O565" s="81">
        <v>33.89</v>
      </c>
      <c r="P565" s="81">
        <v>34.44</v>
      </c>
      <c r="Q565" s="123" t="s">
        <v>621</v>
      </c>
      <c r="R565" s="81">
        <v>43.702800000000003</v>
      </c>
      <c r="S565" s="81">
        <v>56.18</v>
      </c>
      <c r="T565" s="81">
        <v>43.25</v>
      </c>
      <c r="U565" s="81">
        <v>50.67</v>
      </c>
      <c r="V565" s="81">
        <v>43.123699999999999</v>
      </c>
      <c r="W565" s="81">
        <v>48.22</v>
      </c>
      <c r="X565" s="81">
        <v>42.179499999999997</v>
      </c>
      <c r="Y565" s="81">
        <v>42.53</v>
      </c>
      <c r="Z565" s="81">
        <v>42.51</v>
      </c>
      <c r="AA565" s="81">
        <v>51.56</v>
      </c>
      <c r="AB565" s="81">
        <v>36.6325</v>
      </c>
      <c r="AC565" s="220">
        <v>44.27</v>
      </c>
      <c r="AD565" s="132">
        <v>-2.3898559846948775E-2</v>
      </c>
      <c r="AE565" s="243">
        <v>45078</v>
      </c>
      <c r="AF565" s="2" t="s">
        <v>495</v>
      </c>
      <c r="BA565" s="2" t="s">
        <v>660</v>
      </c>
      <c r="BB565" s="2">
        <v>14</v>
      </c>
      <c r="BC565" s="2">
        <v>0</v>
      </c>
    </row>
    <row r="566" spans="1:55" ht="15" customHeight="1" x14ac:dyDescent="0.3">
      <c r="A566" s="38" t="s">
        <v>661</v>
      </c>
      <c r="B566" s="81">
        <v>38.99</v>
      </c>
      <c r="C566" s="81">
        <v>41.420400000000001</v>
      </c>
      <c r="D566" s="81">
        <v>41.025399999999998</v>
      </c>
      <c r="E566" s="81">
        <v>41.608499999999999</v>
      </c>
      <c r="F566" s="81">
        <v>40.97</v>
      </c>
      <c r="G566" s="81">
        <v>40.43</v>
      </c>
      <c r="H566" s="81">
        <v>38.75</v>
      </c>
      <c r="I566" s="81">
        <v>49.98</v>
      </c>
      <c r="J566" s="81">
        <v>51.46</v>
      </c>
      <c r="K566" s="81">
        <v>45.9</v>
      </c>
      <c r="L566" s="81">
        <v>49.27</v>
      </c>
      <c r="M566" s="81">
        <v>51.05</v>
      </c>
      <c r="N566" s="81">
        <v>63.56</v>
      </c>
      <c r="O566" s="81">
        <v>34.08</v>
      </c>
      <c r="P566" s="81">
        <v>34.1</v>
      </c>
      <c r="Q566" s="123" t="s">
        <v>621</v>
      </c>
      <c r="R566" s="81">
        <v>40.438899999999997</v>
      </c>
      <c r="S566" s="81">
        <v>56.41</v>
      </c>
      <c r="T566" s="81">
        <v>43.25</v>
      </c>
      <c r="U566" s="81">
        <v>48.73</v>
      </c>
      <c r="V566" s="81">
        <v>42.159199999999998</v>
      </c>
      <c r="W566" s="81">
        <v>45.96</v>
      </c>
      <c r="X566" s="81">
        <v>44.4268</v>
      </c>
      <c r="Y566" s="81">
        <v>42.12</v>
      </c>
      <c r="Z566" s="81">
        <v>41.17</v>
      </c>
      <c r="AA566" s="81">
        <v>51.15</v>
      </c>
      <c r="AB566" s="81">
        <v>36.651200000000003</v>
      </c>
      <c r="AC566" s="220">
        <v>43.73</v>
      </c>
      <c r="AD566" s="132">
        <v>-1.2097858805943273E-2</v>
      </c>
      <c r="AE566" s="243">
        <v>45108</v>
      </c>
      <c r="AF566" s="2" t="s">
        <v>495</v>
      </c>
      <c r="BA566" s="2" t="s">
        <v>661</v>
      </c>
      <c r="BB566" s="2">
        <v>15</v>
      </c>
      <c r="BC566" s="2">
        <v>0</v>
      </c>
    </row>
    <row r="567" spans="1:55" ht="15" customHeight="1" x14ac:dyDescent="0.3">
      <c r="A567" s="38" t="s">
        <v>662</v>
      </c>
      <c r="B567" s="81">
        <v>38.700000000000003</v>
      </c>
      <c r="C567" s="81">
        <v>41.456200000000003</v>
      </c>
      <c r="D567" s="81">
        <v>40.0398</v>
      </c>
      <c r="E567" s="81">
        <v>41.598999999999997</v>
      </c>
      <c r="F567" s="81">
        <v>40.98</v>
      </c>
      <c r="G567" s="81">
        <v>39.729999999999997</v>
      </c>
      <c r="H567" s="81">
        <v>38.32</v>
      </c>
      <c r="I567" s="81">
        <v>51.48</v>
      </c>
      <c r="J567" s="81">
        <v>50.29</v>
      </c>
      <c r="K567" s="81">
        <v>46.49</v>
      </c>
      <c r="L567" s="81">
        <v>48.68</v>
      </c>
      <c r="M567" s="81">
        <v>49.46</v>
      </c>
      <c r="N567" s="81">
        <v>63.54</v>
      </c>
      <c r="O567" s="81">
        <v>36</v>
      </c>
      <c r="P567" s="81">
        <v>33.869999999999997</v>
      </c>
      <c r="Q567" s="123" t="s">
        <v>621</v>
      </c>
      <c r="R567" s="81">
        <v>39.316299999999998</v>
      </c>
      <c r="S567" s="81">
        <v>56.08</v>
      </c>
      <c r="T567" s="81">
        <v>43.25</v>
      </c>
      <c r="U567" s="81">
        <v>48.59</v>
      </c>
      <c r="V567" s="81">
        <v>41.722000000000001</v>
      </c>
      <c r="W567" s="81">
        <v>45.95</v>
      </c>
      <c r="X567" s="81">
        <v>44.984499999999997</v>
      </c>
      <c r="Y567" s="81">
        <v>42.73</v>
      </c>
      <c r="Z567" s="81">
        <v>40.840000000000003</v>
      </c>
      <c r="AA567" s="81">
        <v>51.31</v>
      </c>
      <c r="AB567" s="81">
        <v>36.411099999999998</v>
      </c>
      <c r="AC567" s="220">
        <v>43.54</v>
      </c>
      <c r="AD567" s="132">
        <v>-4.3579756641778378E-3</v>
      </c>
      <c r="AE567" s="243">
        <v>45139</v>
      </c>
      <c r="AF567" s="2" t="s">
        <v>495</v>
      </c>
      <c r="BA567" s="2" t="s">
        <v>662</v>
      </c>
      <c r="BB567" s="2">
        <v>16</v>
      </c>
      <c r="BC567" s="2">
        <v>0</v>
      </c>
    </row>
    <row r="568" spans="1:55" ht="15" customHeight="1" x14ac:dyDescent="0.3">
      <c r="A568" s="38" t="s">
        <v>663</v>
      </c>
      <c r="B568" s="81">
        <v>38.04</v>
      </c>
      <c r="C568" s="81">
        <v>41.762999999999998</v>
      </c>
      <c r="D568" s="81">
        <v>39.915500000000002</v>
      </c>
      <c r="E568" s="81">
        <v>41.575299999999999</v>
      </c>
      <c r="F568" s="81">
        <v>41.35</v>
      </c>
      <c r="G568" s="81">
        <v>40.35</v>
      </c>
      <c r="H568" s="81">
        <v>40.01</v>
      </c>
      <c r="I568" s="81">
        <v>51.02</v>
      </c>
      <c r="J568" s="81">
        <v>50</v>
      </c>
      <c r="K568" s="81">
        <v>46.83</v>
      </c>
      <c r="L568" s="81">
        <v>48.42</v>
      </c>
      <c r="M568" s="81">
        <v>48.68</v>
      </c>
      <c r="N568" s="81">
        <v>63.89</v>
      </c>
      <c r="O568" s="81">
        <v>34.17</v>
      </c>
      <c r="P568" s="81">
        <v>35.159999999999997</v>
      </c>
      <c r="Q568" s="123" t="s">
        <v>621</v>
      </c>
      <c r="R568" s="81">
        <v>39.801200000000001</v>
      </c>
      <c r="S568" s="81">
        <v>57.25</v>
      </c>
      <c r="T568" s="81">
        <v>41.45</v>
      </c>
      <c r="U568" s="81">
        <v>47.44</v>
      </c>
      <c r="V568" s="81">
        <v>41.090200000000003</v>
      </c>
      <c r="W568" s="81">
        <v>46.39</v>
      </c>
      <c r="X568" s="81">
        <v>41.681600000000003</v>
      </c>
      <c r="Y568" s="81">
        <v>42.76</v>
      </c>
      <c r="Z568" s="81">
        <v>40.869999999999997</v>
      </c>
      <c r="AA568" s="81">
        <v>49.5</v>
      </c>
      <c r="AB568" s="81">
        <v>36.5274</v>
      </c>
      <c r="AC568" s="220">
        <v>43.33</v>
      </c>
      <c r="AD568" s="132">
        <v>-4.9418933944767041E-3</v>
      </c>
      <c r="AE568" s="243">
        <v>45170</v>
      </c>
      <c r="AF568" s="2" t="s">
        <v>495</v>
      </c>
      <c r="BA568" s="2" t="s">
        <v>663</v>
      </c>
      <c r="BB568" s="2">
        <v>17</v>
      </c>
      <c r="BC568" s="2">
        <v>0</v>
      </c>
    </row>
    <row r="569" spans="1:55" ht="15" customHeight="1" x14ac:dyDescent="0.3">
      <c r="A569" s="38" t="s">
        <v>664</v>
      </c>
      <c r="B569" s="81">
        <v>38.659999999999997</v>
      </c>
      <c r="C569" s="81">
        <v>42.141300000000001</v>
      </c>
      <c r="D569" s="81">
        <v>40.707999999999998</v>
      </c>
      <c r="E569" s="81">
        <v>41.688699999999997</v>
      </c>
      <c r="F569" s="81">
        <v>42.99</v>
      </c>
      <c r="G569" s="81">
        <v>41.14</v>
      </c>
      <c r="H569" s="81">
        <v>42.34</v>
      </c>
      <c r="I569" s="81">
        <v>51.83</v>
      </c>
      <c r="J569" s="81">
        <v>50.19</v>
      </c>
      <c r="K569" s="81">
        <v>47.45</v>
      </c>
      <c r="L569" s="81">
        <v>48.77</v>
      </c>
      <c r="M569" s="81">
        <v>48.33</v>
      </c>
      <c r="N569" s="81">
        <v>63.81</v>
      </c>
      <c r="O569" s="81">
        <v>35.25</v>
      </c>
      <c r="P569" s="81">
        <v>38.93</v>
      </c>
      <c r="Q569" s="123" t="s">
        <v>621</v>
      </c>
      <c r="R569" s="81">
        <v>40.641399999999997</v>
      </c>
      <c r="S569" s="81">
        <v>56.61</v>
      </c>
      <c r="T569" s="81">
        <v>41</v>
      </c>
      <c r="U569" s="81">
        <v>47.88</v>
      </c>
      <c r="V569" s="81">
        <v>43.7378</v>
      </c>
      <c r="W569" s="81">
        <v>44.64</v>
      </c>
      <c r="X569" s="81">
        <v>44.180799999999998</v>
      </c>
      <c r="Y569" s="81">
        <v>43.55</v>
      </c>
      <c r="Z569" s="81">
        <v>41.74</v>
      </c>
      <c r="AA569" s="81">
        <v>50.66</v>
      </c>
      <c r="AB569" s="81">
        <v>38.932499999999997</v>
      </c>
      <c r="AC569" s="220">
        <v>44.33</v>
      </c>
      <c r="AD569" s="132">
        <v>2.3072341319634315E-2</v>
      </c>
      <c r="AE569" s="243">
        <v>45200</v>
      </c>
      <c r="AF569" s="2" t="s">
        <v>495</v>
      </c>
      <c r="BA569" s="2" t="s">
        <v>664</v>
      </c>
      <c r="BB569" s="2">
        <v>18</v>
      </c>
      <c r="BC569" s="2">
        <v>0</v>
      </c>
    </row>
    <row r="570" spans="1:55" ht="15" customHeight="1" x14ac:dyDescent="0.3">
      <c r="A570" s="38" t="s">
        <v>665</v>
      </c>
      <c r="B570" s="81">
        <v>40.57</v>
      </c>
      <c r="C570" s="81">
        <v>42.458300000000001</v>
      </c>
      <c r="D570" s="81">
        <v>41.989400000000003</v>
      </c>
      <c r="E570" s="81">
        <v>41.697099999999999</v>
      </c>
      <c r="F570" s="81">
        <v>44.47</v>
      </c>
      <c r="G570" s="81">
        <v>42.06</v>
      </c>
      <c r="H570" s="81">
        <v>43.41</v>
      </c>
      <c r="I570" s="81">
        <v>52.36</v>
      </c>
      <c r="J570" s="81">
        <v>50.68</v>
      </c>
      <c r="K570" s="81">
        <v>47.38</v>
      </c>
      <c r="L570" s="81">
        <v>48.78</v>
      </c>
      <c r="M570" s="81">
        <v>48.55</v>
      </c>
      <c r="N570" s="81">
        <v>64.16</v>
      </c>
      <c r="O570" s="81">
        <v>36.81</v>
      </c>
      <c r="P570" s="81">
        <v>41.96</v>
      </c>
      <c r="Q570" s="123" t="s">
        <v>621</v>
      </c>
      <c r="R570" s="81">
        <v>42.084200000000003</v>
      </c>
      <c r="S570" s="81">
        <v>56.4</v>
      </c>
      <c r="T570" s="81">
        <v>42.25</v>
      </c>
      <c r="U570" s="81">
        <v>48.32</v>
      </c>
      <c r="V570" s="81">
        <v>47.744900000000001</v>
      </c>
      <c r="W570" s="81">
        <v>44.7</v>
      </c>
      <c r="X570" s="81">
        <v>44.768000000000001</v>
      </c>
      <c r="Y570" s="81">
        <v>44.73</v>
      </c>
      <c r="Z570" s="81">
        <v>43.18</v>
      </c>
      <c r="AA570" s="81">
        <v>51.53</v>
      </c>
      <c r="AB570" s="81">
        <v>39.594299999999997</v>
      </c>
      <c r="AC570" s="220">
        <v>45.46</v>
      </c>
      <c r="AD570" s="132">
        <v>2.5439046128869158E-2</v>
      </c>
      <c r="AE570" s="243">
        <v>45231</v>
      </c>
      <c r="AF570" s="2" t="s">
        <v>495</v>
      </c>
      <c r="BA570" s="2" t="s">
        <v>665</v>
      </c>
      <c r="BB570" s="2">
        <v>19</v>
      </c>
      <c r="BC570" s="2">
        <v>0</v>
      </c>
    </row>
    <row r="571" spans="1:55" ht="15" customHeight="1" thickBot="1" x14ac:dyDescent="0.35">
      <c r="A571" s="63" t="s">
        <v>666</v>
      </c>
      <c r="B571" s="87">
        <v>43.28</v>
      </c>
      <c r="C571" s="87">
        <v>44.094499999999996</v>
      </c>
      <c r="D571" s="87">
        <v>43.311</v>
      </c>
      <c r="E571" s="87">
        <v>42.653100000000002</v>
      </c>
      <c r="F571" s="87">
        <v>45.45</v>
      </c>
      <c r="G571" s="87">
        <v>42.69</v>
      </c>
      <c r="H571" s="121">
        <v>44.19</v>
      </c>
      <c r="I571" s="87">
        <v>52.59</v>
      </c>
      <c r="J571" s="87">
        <v>50.58</v>
      </c>
      <c r="K571" s="87">
        <v>47.34</v>
      </c>
      <c r="L571" s="87">
        <v>49.26</v>
      </c>
      <c r="M571" s="87">
        <v>49.78</v>
      </c>
      <c r="N571" s="87">
        <v>64.900000000000006</v>
      </c>
      <c r="O571" s="87">
        <v>38.35</v>
      </c>
      <c r="P571" s="87">
        <v>43.67</v>
      </c>
      <c r="Q571" s="121" t="s">
        <v>621</v>
      </c>
      <c r="R571" s="87">
        <v>42.433799999999998</v>
      </c>
      <c r="S571" s="87">
        <v>55.74</v>
      </c>
      <c r="T571" s="87">
        <v>46.31</v>
      </c>
      <c r="U571" s="87">
        <v>49.42</v>
      </c>
      <c r="V571" s="87">
        <v>49.441400000000002</v>
      </c>
      <c r="W571" s="87">
        <v>44.56</v>
      </c>
      <c r="X571" s="87">
        <v>44.861800000000002</v>
      </c>
      <c r="Y571" s="87">
        <v>45.84</v>
      </c>
      <c r="Z571" s="87">
        <v>44.09</v>
      </c>
      <c r="AA571" s="87">
        <v>50.79</v>
      </c>
      <c r="AB571" s="87">
        <v>41.5122</v>
      </c>
      <c r="AC571" s="221">
        <v>46.61</v>
      </c>
      <c r="AD571" s="133">
        <v>2.5355051438502585E-2</v>
      </c>
      <c r="AE571" s="246">
        <v>45261</v>
      </c>
      <c r="BA571" s="2" t="s">
        <v>666</v>
      </c>
      <c r="BB571" s="2">
        <v>20</v>
      </c>
      <c r="BC571" s="2">
        <v>0</v>
      </c>
    </row>
    <row r="572" spans="1:55" ht="15" customHeight="1" x14ac:dyDescent="0.3">
      <c r="A572" s="76" t="s">
        <v>669</v>
      </c>
      <c r="B572" s="81">
        <v>43.63</v>
      </c>
      <c r="C572" s="81">
        <v>44.774500000000003</v>
      </c>
      <c r="D572" s="81">
        <v>43.337200000000003</v>
      </c>
      <c r="E572" s="81">
        <v>45.193100000000001</v>
      </c>
      <c r="F572" s="81">
        <v>45.89</v>
      </c>
      <c r="G572" s="81">
        <v>42.66</v>
      </c>
      <c r="H572" s="81">
        <v>43.41</v>
      </c>
      <c r="I572" s="81">
        <v>52.67</v>
      </c>
      <c r="J572" s="81">
        <v>50.19</v>
      </c>
      <c r="K572" s="81">
        <v>47.04</v>
      </c>
      <c r="L572" s="81">
        <v>48.82</v>
      </c>
      <c r="M572" s="81">
        <v>48.58</v>
      </c>
      <c r="N572" s="81">
        <v>64.91</v>
      </c>
      <c r="O572" s="81">
        <v>39.32</v>
      </c>
      <c r="P572" s="81">
        <v>43.94</v>
      </c>
      <c r="Q572" s="123" t="s">
        <v>621</v>
      </c>
      <c r="R572" s="81">
        <v>43.113399999999999</v>
      </c>
      <c r="S572" s="81">
        <v>56.32</v>
      </c>
      <c r="T572" s="81">
        <v>46.31</v>
      </c>
      <c r="U572" s="81">
        <v>48.52</v>
      </c>
      <c r="V572" s="81">
        <v>47.642499999999998</v>
      </c>
      <c r="W572" s="81">
        <v>44.27</v>
      </c>
      <c r="X572" s="81">
        <v>45.829000000000001</v>
      </c>
      <c r="Y572" s="81">
        <v>45.22</v>
      </c>
      <c r="Z572" s="81">
        <v>44</v>
      </c>
      <c r="AA572" s="81">
        <v>49.78</v>
      </c>
      <c r="AB572" s="83">
        <v>44.254199999999997</v>
      </c>
      <c r="AC572" s="218">
        <v>46.45</v>
      </c>
      <c r="AD572" s="211">
        <v>-3.3985634609333681E-3</v>
      </c>
      <c r="AE572" s="255">
        <v>45292</v>
      </c>
      <c r="BA572" s="2" t="s">
        <v>669</v>
      </c>
      <c r="BB572" s="2">
        <v>21</v>
      </c>
      <c r="BC572" s="2">
        <v>0</v>
      </c>
    </row>
    <row r="573" spans="1:55" ht="15" customHeight="1" x14ac:dyDescent="0.3">
      <c r="A573" s="38" t="s">
        <v>672</v>
      </c>
      <c r="B573" s="84">
        <v>43.4</v>
      </c>
      <c r="C573" s="84">
        <v>44.661999999999999</v>
      </c>
      <c r="D573" s="84">
        <v>42.499099999999999</v>
      </c>
      <c r="E573" s="84">
        <v>45.205800000000004</v>
      </c>
      <c r="F573" s="84">
        <v>45.66</v>
      </c>
      <c r="G573" s="84">
        <v>42.66</v>
      </c>
      <c r="H573" s="84">
        <v>44.67</v>
      </c>
      <c r="I573" s="84">
        <v>52.62</v>
      </c>
      <c r="J573" s="84">
        <v>49.9</v>
      </c>
      <c r="K573" s="84">
        <v>46.84</v>
      </c>
      <c r="L573" s="84">
        <v>48.39</v>
      </c>
      <c r="M573" s="84">
        <v>49.55</v>
      </c>
      <c r="N573" s="84">
        <v>65.02</v>
      </c>
      <c r="O573" s="84">
        <v>39.369999999999997</v>
      </c>
      <c r="P573" s="84">
        <v>42.22</v>
      </c>
      <c r="Q573" s="122" t="s">
        <v>621</v>
      </c>
      <c r="R573" s="84">
        <v>42.395699999999998</v>
      </c>
      <c r="S573" s="84">
        <v>55.77</v>
      </c>
      <c r="T573" s="84">
        <v>46</v>
      </c>
      <c r="U573" s="84">
        <v>48.45</v>
      </c>
      <c r="V573" s="84">
        <v>47.6539</v>
      </c>
      <c r="W573" s="84">
        <v>43.8</v>
      </c>
      <c r="X573" s="84">
        <v>45.871299999999998</v>
      </c>
      <c r="Y573" s="84">
        <v>44.78</v>
      </c>
      <c r="Z573" s="84">
        <v>44.11</v>
      </c>
      <c r="AA573" s="84">
        <v>47.57</v>
      </c>
      <c r="AB573" s="86">
        <v>43.823300000000003</v>
      </c>
      <c r="AC573" s="260">
        <v>46.39</v>
      </c>
      <c r="AD573" s="126">
        <v>-1.3673253733965662E-3</v>
      </c>
      <c r="AE573" s="256">
        <v>45323</v>
      </c>
      <c r="BA573" s="2" t="s">
        <v>672</v>
      </c>
      <c r="BB573" s="2">
        <v>22</v>
      </c>
      <c r="BC573" s="2">
        <v>0</v>
      </c>
    </row>
    <row r="574" spans="1:55" ht="15" customHeight="1" x14ac:dyDescent="0.3">
      <c r="A574" s="54" t="s">
        <v>673</v>
      </c>
      <c r="B574" s="81">
        <v>43.85</v>
      </c>
      <c r="C574" s="81">
        <v>44.140500000000003</v>
      </c>
      <c r="D574" s="81">
        <v>42.4634</v>
      </c>
      <c r="E574" s="81">
        <v>46.134599999999999</v>
      </c>
      <c r="F574" s="81">
        <v>45.99</v>
      </c>
      <c r="G574" s="261">
        <v>42.87</v>
      </c>
      <c r="H574" s="81">
        <v>43.12</v>
      </c>
      <c r="I574" s="81">
        <v>52.47</v>
      </c>
      <c r="J574" s="81">
        <v>49.61</v>
      </c>
      <c r="K574" s="81">
        <v>46.57</v>
      </c>
      <c r="L574" s="81">
        <v>48.16</v>
      </c>
      <c r="M574" s="261">
        <v>49.71</v>
      </c>
      <c r="N574" s="81">
        <v>64.61</v>
      </c>
      <c r="O574" s="81">
        <v>39.5</v>
      </c>
      <c r="P574" s="81">
        <v>42.34</v>
      </c>
      <c r="Q574" s="123" t="s">
        <v>621</v>
      </c>
      <c r="R574" s="81">
        <v>42.056800000000003</v>
      </c>
      <c r="S574" s="81">
        <v>55.75</v>
      </c>
      <c r="T574" s="81">
        <v>46.5</v>
      </c>
      <c r="U574" s="81">
        <v>48.93</v>
      </c>
      <c r="V574" s="81">
        <v>47.828699999999998</v>
      </c>
      <c r="W574" s="81">
        <v>43.83</v>
      </c>
      <c r="X574" s="81">
        <v>45.665700000000001</v>
      </c>
      <c r="Y574" s="81">
        <v>44.35</v>
      </c>
      <c r="Z574" s="81">
        <v>42.82</v>
      </c>
      <c r="AA574" s="81">
        <v>47.3</v>
      </c>
      <c r="AB574" s="83">
        <v>44.5852</v>
      </c>
      <c r="AC574" s="262">
        <v>46.44</v>
      </c>
      <c r="AD574" s="211">
        <v>1.045408921742208E-3</v>
      </c>
      <c r="AE574" s="255">
        <v>45352</v>
      </c>
      <c r="BA574" s="2" t="s">
        <v>673</v>
      </c>
      <c r="BB574" s="2">
        <v>23</v>
      </c>
      <c r="BC574" s="2">
        <v>0</v>
      </c>
    </row>
    <row r="575" spans="1:55" ht="15" customHeight="1" x14ac:dyDescent="0.3">
      <c r="A575" s="54" t="s">
        <v>674</v>
      </c>
      <c r="B575" s="81">
        <v>43.79</v>
      </c>
      <c r="C575" s="81">
        <v>43.542299999999997</v>
      </c>
      <c r="D575" s="81">
        <v>42.838000000000001</v>
      </c>
      <c r="E575" s="81">
        <v>46.115299999999998</v>
      </c>
      <c r="F575" s="81">
        <v>45.88</v>
      </c>
      <c r="G575" s="81">
        <v>42.24</v>
      </c>
      <c r="H575" s="81">
        <v>42.54</v>
      </c>
      <c r="I575" s="81">
        <v>52.25</v>
      </c>
      <c r="J575" s="81">
        <v>47.38</v>
      </c>
      <c r="K575" s="81">
        <v>46.04</v>
      </c>
      <c r="L575" s="81">
        <v>47.83</v>
      </c>
      <c r="M575" s="81">
        <v>49.55</v>
      </c>
      <c r="N575" s="81">
        <v>63.76</v>
      </c>
      <c r="O575" s="81">
        <v>39.270000000000003</v>
      </c>
      <c r="P575" s="81">
        <v>40.229999999999997</v>
      </c>
      <c r="Q575" s="122" t="s">
        <v>621</v>
      </c>
      <c r="R575" s="84">
        <v>42.320300000000003</v>
      </c>
      <c r="S575" s="84">
        <v>56.1</v>
      </c>
      <c r="T575" s="84">
        <v>46.75</v>
      </c>
      <c r="U575" s="84">
        <v>49.4</v>
      </c>
      <c r="V575" s="84">
        <v>47.581499999999998</v>
      </c>
      <c r="W575" s="84">
        <v>43.6</v>
      </c>
      <c r="X575" s="84">
        <v>42.107599999999998</v>
      </c>
      <c r="Y575" s="84">
        <v>44.48</v>
      </c>
      <c r="Z575" s="84">
        <v>42.07</v>
      </c>
      <c r="AA575" s="84">
        <v>47.07</v>
      </c>
      <c r="AB575" s="84">
        <v>43.666200000000003</v>
      </c>
      <c r="AC575" s="222">
        <v>46.09</v>
      </c>
      <c r="AD575" s="126">
        <v>-7.404826677539833E-3</v>
      </c>
      <c r="AE575" s="256">
        <v>45383</v>
      </c>
      <c r="BA575" s="2" t="s">
        <v>674</v>
      </c>
      <c r="BB575" s="2">
        <v>24</v>
      </c>
      <c r="BC575" s="2">
        <v>0</v>
      </c>
    </row>
    <row r="576" spans="1:55" ht="15" customHeight="1" x14ac:dyDescent="0.3">
      <c r="A576" s="38" t="s">
        <v>675</v>
      </c>
      <c r="B576" s="84">
        <v>43.34</v>
      </c>
      <c r="C576" s="84">
        <v>43.1128</v>
      </c>
      <c r="D576" s="84">
        <v>43.628500000000003</v>
      </c>
      <c r="E576" s="84">
        <v>46.646099999999997</v>
      </c>
      <c r="F576" s="84">
        <v>45.7</v>
      </c>
      <c r="G576" s="84">
        <v>42.01</v>
      </c>
      <c r="H576" s="84">
        <v>43.31</v>
      </c>
      <c r="I576" s="84">
        <v>52.38</v>
      </c>
      <c r="J576" s="84">
        <v>46.99</v>
      </c>
      <c r="K576" s="84">
        <v>45.76</v>
      </c>
      <c r="L576" s="84">
        <v>47.6</v>
      </c>
      <c r="M576" s="84">
        <v>50</v>
      </c>
      <c r="N576" s="84">
        <v>63.74</v>
      </c>
      <c r="O576" s="84">
        <v>39.1</v>
      </c>
      <c r="P576" s="84">
        <v>38.39</v>
      </c>
      <c r="Q576" s="123" t="s">
        <v>621</v>
      </c>
      <c r="R576" s="84">
        <v>42.5214</v>
      </c>
      <c r="S576" s="84">
        <v>56.11</v>
      </c>
      <c r="T576" s="84">
        <v>47.25</v>
      </c>
      <c r="U576" s="84">
        <v>48.95</v>
      </c>
      <c r="V576" s="84">
        <v>46.284500000000001</v>
      </c>
      <c r="W576" s="84">
        <v>43.44</v>
      </c>
      <c r="X576" s="84">
        <v>41.805999999999997</v>
      </c>
      <c r="Y576" s="84">
        <v>43.7</v>
      </c>
      <c r="Z576" s="84">
        <v>41.82</v>
      </c>
      <c r="AA576" s="84">
        <v>46.39</v>
      </c>
      <c r="AB576" s="84">
        <v>43.039499999999997</v>
      </c>
      <c r="AC576" s="260">
        <v>45.97</v>
      </c>
      <c r="AD576" s="132">
        <v>-2.5798261285451263E-3</v>
      </c>
      <c r="AE576" s="243">
        <v>45413</v>
      </c>
      <c r="BA576" s="2" t="s">
        <v>675</v>
      </c>
      <c r="BB576" s="2">
        <v>25</v>
      </c>
      <c r="BC576" s="2">
        <v>0</v>
      </c>
    </row>
    <row r="577" spans="1:82" ht="15" customHeight="1" x14ac:dyDescent="0.3">
      <c r="A577" s="54" t="s">
        <v>676</v>
      </c>
      <c r="B577" s="261">
        <v>46.68</v>
      </c>
      <c r="C577" s="261">
        <v>42.959400000000002</v>
      </c>
      <c r="D577" s="261">
        <v>43.903100000000002</v>
      </c>
      <c r="E577" s="261">
        <v>47.055799999999998</v>
      </c>
      <c r="F577" s="261">
        <v>45.85</v>
      </c>
      <c r="G577" s="261">
        <v>41.42</v>
      </c>
      <c r="H577" s="261">
        <v>44.48</v>
      </c>
      <c r="I577" s="261">
        <v>52.11</v>
      </c>
      <c r="J577" s="261">
        <v>46.41</v>
      </c>
      <c r="K577" s="261">
        <v>45.94</v>
      </c>
      <c r="L577" s="261">
        <v>47.07</v>
      </c>
      <c r="M577" s="261">
        <v>49.7</v>
      </c>
      <c r="N577" s="261">
        <v>63.62</v>
      </c>
      <c r="O577" s="261">
        <v>38.880000000000003</v>
      </c>
      <c r="P577" s="261">
        <v>37.26</v>
      </c>
      <c r="Q577" s="263" t="s">
        <v>621</v>
      </c>
      <c r="R577" s="261">
        <v>41.611600000000003</v>
      </c>
      <c r="S577" s="261">
        <v>61.94</v>
      </c>
      <c r="T577" s="261">
        <v>47.75</v>
      </c>
      <c r="U577" s="261">
        <v>49.2</v>
      </c>
      <c r="V577" s="261">
        <v>45.518500000000003</v>
      </c>
      <c r="W577" s="261">
        <v>43.26</v>
      </c>
      <c r="X577" s="261">
        <v>41.231299999999997</v>
      </c>
      <c r="Y577" s="261">
        <v>43.7</v>
      </c>
      <c r="Z577" s="261">
        <v>41.58</v>
      </c>
      <c r="AA577" s="261">
        <v>45.24</v>
      </c>
      <c r="AB577" s="261">
        <v>43.72</v>
      </c>
      <c r="AC577" s="260">
        <v>46.12</v>
      </c>
      <c r="AD577" s="132">
        <v>3.2206894572626155E-3</v>
      </c>
      <c r="AE577" s="243">
        <v>45444</v>
      </c>
      <c r="BA577" s="2" t="s">
        <v>676</v>
      </c>
      <c r="BB577" s="2">
        <v>26</v>
      </c>
      <c r="BC577" s="2">
        <v>0</v>
      </c>
    </row>
    <row r="578" spans="1:82" ht="15" customHeight="1" x14ac:dyDescent="0.3">
      <c r="A578" s="38" t="s">
        <v>677</v>
      </c>
      <c r="B578" s="261">
        <v>43.86</v>
      </c>
      <c r="C578" s="261">
        <v>43.225299999999997</v>
      </c>
      <c r="D578" s="261">
        <v>43.206600000000002</v>
      </c>
      <c r="E578" s="261">
        <v>47.985399999999998</v>
      </c>
      <c r="F578" s="261">
        <v>46.37</v>
      </c>
      <c r="G578" s="261">
        <v>41.26</v>
      </c>
      <c r="H578" s="261">
        <v>47.49</v>
      </c>
      <c r="I578" s="261">
        <v>52.8</v>
      </c>
      <c r="J578" s="261">
        <v>45.92</v>
      </c>
      <c r="K578" s="261">
        <v>46.54</v>
      </c>
      <c r="L578" s="261">
        <v>46.56</v>
      </c>
      <c r="M578" s="261">
        <v>50.28</v>
      </c>
      <c r="N578" s="261">
        <v>63.15</v>
      </c>
      <c r="O578" s="261">
        <v>38.64</v>
      </c>
      <c r="P578" s="261">
        <v>37.01</v>
      </c>
      <c r="Q578" s="263" t="s">
        <v>621</v>
      </c>
      <c r="R578" s="261">
        <v>41.809399999999997</v>
      </c>
      <c r="S578" s="261">
        <v>61.81</v>
      </c>
      <c r="T578" s="261">
        <v>48</v>
      </c>
      <c r="U578" s="261">
        <v>48.99</v>
      </c>
      <c r="V578" s="261">
        <v>45.838900000000002</v>
      </c>
      <c r="W578" s="261">
        <v>43.14</v>
      </c>
      <c r="X578" s="261">
        <v>41.363399999999999</v>
      </c>
      <c r="Y578" s="261">
        <v>43.66</v>
      </c>
      <c r="Z578" s="261">
        <v>41.7</v>
      </c>
      <c r="AA578" s="261">
        <v>45.07</v>
      </c>
      <c r="AB578" s="261">
        <v>43.876399999999997</v>
      </c>
      <c r="AC578" s="222">
        <v>46.53</v>
      </c>
      <c r="AD578" s="132">
        <v>8.938397571314427E-3</v>
      </c>
      <c r="AE578" s="243">
        <v>45474</v>
      </c>
      <c r="BA578" s="2" t="s">
        <v>677</v>
      </c>
      <c r="BB578" s="2">
        <v>27</v>
      </c>
      <c r="BC578" s="2">
        <v>0</v>
      </c>
    </row>
    <row r="579" spans="1:82" ht="15" customHeight="1" x14ac:dyDescent="0.3">
      <c r="A579" s="38" t="s">
        <v>678</v>
      </c>
      <c r="B579" s="261">
        <v>44.76</v>
      </c>
      <c r="C579" s="261">
        <v>43.654800000000002</v>
      </c>
      <c r="D579" s="261">
        <v>43.775799999999997</v>
      </c>
      <c r="E579" s="261">
        <v>48.784100000000002</v>
      </c>
      <c r="F579" s="261">
        <v>47.44</v>
      </c>
      <c r="G579" s="261">
        <v>41.42</v>
      </c>
      <c r="H579" s="81">
        <v>50.99</v>
      </c>
      <c r="I579" s="261">
        <v>53.11</v>
      </c>
      <c r="J579" s="261">
        <v>45.92</v>
      </c>
      <c r="K579" s="261">
        <v>46.38</v>
      </c>
      <c r="L579" s="261">
        <v>46.96</v>
      </c>
      <c r="M579" s="261">
        <v>52.04</v>
      </c>
      <c r="N579" s="261">
        <v>63.27</v>
      </c>
      <c r="O579" s="261">
        <v>38.56</v>
      </c>
      <c r="P579" s="261">
        <v>39.04</v>
      </c>
      <c r="Q579" s="263" t="s">
        <v>621</v>
      </c>
      <c r="R579" s="261">
        <v>42.242199999999997</v>
      </c>
      <c r="S579" s="261">
        <v>62.45</v>
      </c>
      <c r="T579" s="261">
        <v>49.25</v>
      </c>
      <c r="U579" s="261">
        <v>49.31</v>
      </c>
      <c r="V579" s="261">
        <v>47.414499999999997</v>
      </c>
      <c r="W579" s="261">
        <v>43.3</v>
      </c>
      <c r="X579" s="261">
        <v>44.970700000000001</v>
      </c>
      <c r="Y579" s="261">
        <v>43.58</v>
      </c>
      <c r="Z579" s="261">
        <v>41.87</v>
      </c>
      <c r="AA579" s="261">
        <v>45.62</v>
      </c>
      <c r="AB579" s="261">
        <v>44.868699999999997</v>
      </c>
      <c r="AC579" s="264">
        <v>47.54</v>
      </c>
      <c r="AD579" s="132">
        <v>2.1642489309330104E-2</v>
      </c>
      <c r="AE579" s="243">
        <v>45505</v>
      </c>
      <c r="BA579" s="2" t="s">
        <v>678</v>
      </c>
      <c r="BB579" s="2">
        <v>28</v>
      </c>
      <c r="BC579" s="2">
        <v>0</v>
      </c>
    </row>
    <row r="580" spans="1:82" ht="15" customHeight="1" x14ac:dyDescent="0.3">
      <c r="A580" s="38" t="s">
        <v>679</v>
      </c>
      <c r="B580" s="261">
        <v>47.79</v>
      </c>
      <c r="C580" s="261">
        <v>45.311399999999999</v>
      </c>
      <c r="D580" s="261">
        <v>44.946399999999997</v>
      </c>
      <c r="E580" s="261">
        <v>49.866100000000003</v>
      </c>
      <c r="F580" s="261">
        <v>49.54</v>
      </c>
      <c r="G580" s="261">
        <v>42.56</v>
      </c>
      <c r="H580" s="261">
        <v>57.98</v>
      </c>
      <c r="I580" s="261">
        <v>53.85</v>
      </c>
      <c r="J580" s="261">
        <v>46.6</v>
      </c>
      <c r="K580" s="261">
        <v>48.36</v>
      </c>
      <c r="L580" s="261">
        <v>47.67</v>
      </c>
      <c r="M580" s="261">
        <v>52.62</v>
      </c>
      <c r="N580" s="261">
        <v>63.79</v>
      </c>
      <c r="O580" s="261">
        <v>39.700000000000003</v>
      </c>
      <c r="P580" s="261">
        <v>42.95</v>
      </c>
      <c r="Q580" s="263" t="s">
        <v>621</v>
      </c>
      <c r="R580" s="261">
        <v>43.866399999999999</v>
      </c>
      <c r="S580" s="261">
        <v>62.29</v>
      </c>
      <c r="T580" s="261">
        <v>51</v>
      </c>
      <c r="U580" s="261">
        <v>50.86</v>
      </c>
      <c r="V580" s="261">
        <v>49.417000000000002</v>
      </c>
      <c r="W580" s="261">
        <v>44.13</v>
      </c>
      <c r="X580" s="261">
        <v>45.955500000000001</v>
      </c>
      <c r="Y580" s="261">
        <v>44.78</v>
      </c>
      <c r="Z580" s="261">
        <v>42.92</v>
      </c>
      <c r="AA580" s="261">
        <v>48.68</v>
      </c>
      <c r="AB580" s="261">
        <v>47.720799999999997</v>
      </c>
      <c r="AC580" s="264">
        <v>49.61</v>
      </c>
      <c r="AD580" s="132">
        <v>4.3473750366167074E-2</v>
      </c>
      <c r="AE580" s="243">
        <v>45536</v>
      </c>
      <c r="BA580" s="2" t="s">
        <v>679</v>
      </c>
      <c r="BB580" s="2">
        <v>29</v>
      </c>
      <c r="BC580" s="2">
        <v>0</v>
      </c>
    </row>
    <row r="581" spans="1:82" ht="15" customHeight="1" x14ac:dyDescent="0.3">
      <c r="A581" s="38" t="s">
        <v>680</v>
      </c>
      <c r="B581" s="261">
        <v>51.65</v>
      </c>
      <c r="C581" s="261">
        <v>46.783900000000003</v>
      </c>
      <c r="D581" s="261">
        <v>46.359400000000001</v>
      </c>
      <c r="E581" s="261">
        <v>51.747700000000002</v>
      </c>
      <c r="F581" s="261">
        <v>52.7</v>
      </c>
      <c r="G581" s="261">
        <v>44.71</v>
      </c>
      <c r="H581" s="261">
        <v>62.15</v>
      </c>
      <c r="I581" s="261">
        <v>55.17</v>
      </c>
      <c r="J581" s="261">
        <v>47.28</v>
      </c>
      <c r="K581" s="261">
        <v>48.81</v>
      </c>
      <c r="L581" s="261">
        <v>49.16</v>
      </c>
      <c r="M581" s="261">
        <v>52.85</v>
      </c>
      <c r="N581" s="261">
        <v>65.83</v>
      </c>
      <c r="O581" s="261">
        <v>42.5</v>
      </c>
      <c r="P581" s="261">
        <v>51.3</v>
      </c>
      <c r="Q581" s="263" t="s">
        <v>621</v>
      </c>
      <c r="R581" s="261">
        <v>45.499000000000002</v>
      </c>
      <c r="S581" s="261">
        <v>62.17</v>
      </c>
      <c r="T581" s="261">
        <v>53.5</v>
      </c>
      <c r="U581" s="261">
        <v>52.53</v>
      </c>
      <c r="V581" s="261">
        <v>51.656799999999997</v>
      </c>
      <c r="W581" s="261">
        <v>44.5</v>
      </c>
      <c r="X581" s="261">
        <v>49.278300000000002</v>
      </c>
      <c r="Y581" s="261">
        <v>46.78</v>
      </c>
      <c r="Z581" s="261">
        <v>44.44</v>
      </c>
      <c r="AA581" s="261">
        <v>51.54</v>
      </c>
      <c r="AB581" s="261">
        <v>51.995899999999999</v>
      </c>
      <c r="AC581" s="265">
        <v>51.71</v>
      </c>
      <c r="AD581" s="132">
        <v>4.2312907800263533E-2</v>
      </c>
      <c r="AE581" s="243">
        <v>45566</v>
      </c>
      <c r="BA581" s="2" t="s">
        <v>680</v>
      </c>
      <c r="BB581" s="2">
        <v>30</v>
      </c>
      <c r="BC581" s="2">
        <v>0</v>
      </c>
    </row>
    <row r="582" spans="1:82" ht="15" customHeight="1" x14ac:dyDescent="0.3">
      <c r="A582" s="38" t="s">
        <v>681</v>
      </c>
      <c r="B582" s="261">
        <v>53.66</v>
      </c>
      <c r="C582" s="261">
        <v>47.238999999999997</v>
      </c>
      <c r="D582" s="261">
        <v>49.023499999999999</v>
      </c>
      <c r="E582" s="261">
        <v>54.704300000000003</v>
      </c>
      <c r="F582" s="261">
        <v>54.68</v>
      </c>
      <c r="G582" s="261">
        <v>46.61</v>
      </c>
      <c r="H582" s="261">
        <v>63.42</v>
      </c>
      <c r="I582" s="261">
        <v>54.45</v>
      </c>
      <c r="J582" s="261">
        <v>47.77</v>
      </c>
      <c r="K582" s="261">
        <v>49.7</v>
      </c>
      <c r="L582" s="261">
        <v>49.56</v>
      </c>
      <c r="M582" s="261">
        <v>54.91</v>
      </c>
      <c r="N582" s="261">
        <v>66.02</v>
      </c>
      <c r="O582" s="261">
        <v>45.72</v>
      </c>
      <c r="P582" s="261">
        <v>56.66</v>
      </c>
      <c r="Q582" s="263" t="s">
        <v>621</v>
      </c>
      <c r="R582" s="261">
        <v>46.957599999999999</v>
      </c>
      <c r="S582" s="261">
        <v>61.33</v>
      </c>
      <c r="T582" s="261">
        <v>55.5</v>
      </c>
      <c r="U582" s="261">
        <v>56.26</v>
      </c>
      <c r="V582" s="261">
        <v>55.576900000000002</v>
      </c>
      <c r="W582" s="261">
        <v>45.64</v>
      </c>
      <c r="X582" s="261">
        <v>46.697899999999997</v>
      </c>
      <c r="Y582" s="261">
        <v>50.2</v>
      </c>
      <c r="Z582" s="261">
        <v>45.76</v>
      </c>
      <c r="AA582" s="261">
        <v>51.32</v>
      </c>
      <c r="AB582" s="261">
        <v>54.304499999999997</v>
      </c>
      <c r="AC582" s="265">
        <v>53.58</v>
      </c>
      <c r="AD582" s="132">
        <v>3.6264917042899247E-2</v>
      </c>
      <c r="AE582" s="243">
        <v>45597</v>
      </c>
      <c r="BA582" s="2" t="s">
        <v>681</v>
      </c>
      <c r="BB582" s="2">
        <v>31</v>
      </c>
      <c r="BC582" s="2">
        <v>0</v>
      </c>
    </row>
    <row r="583" spans="1:82" ht="15" customHeight="1" thickBot="1" x14ac:dyDescent="0.35">
      <c r="A583" s="63" t="s">
        <v>682</v>
      </c>
      <c r="B583" s="266">
        <v>55.3</v>
      </c>
      <c r="C583" s="266">
        <v>48.358699999999999</v>
      </c>
      <c r="D583" s="266">
        <v>49.608800000000002</v>
      </c>
      <c r="E583" s="266">
        <v>55.772100000000002</v>
      </c>
      <c r="F583" s="266">
        <v>55.59</v>
      </c>
      <c r="G583" s="266">
        <v>48.02</v>
      </c>
      <c r="H583" s="267">
        <v>61.47</v>
      </c>
      <c r="I583" s="266">
        <v>54.37</v>
      </c>
      <c r="J583" s="266">
        <v>47.96</v>
      </c>
      <c r="K583" s="266">
        <v>49.87</v>
      </c>
      <c r="L583" s="266">
        <v>49.65</v>
      </c>
      <c r="M583" s="266">
        <v>56.06</v>
      </c>
      <c r="N583" s="266">
        <v>66.08</v>
      </c>
      <c r="O583" s="266">
        <v>48.26</v>
      </c>
      <c r="P583" s="266">
        <v>58.04</v>
      </c>
      <c r="Q583" s="267" t="s">
        <v>621</v>
      </c>
      <c r="R583" s="266">
        <v>48.770299999999999</v>
      </c>
      <c r="S583" s="266">
        <v>59.25</v>
      </c>
      <c r="T583" s="266">
        <v>57.35</v>
      </c>
      <c r="U583" s="266">
        <v>56.26</v>
      </c>
      <c r="V583" s="266">
        <v>61.673499999999997</v>
      </c>
      <c r="W583" s="266">
        <v>45.8</v>
      </c>
      <c r="X583" s="266">
        <v>50.624400000000001</v>
      </c>
      <c r="Y583" s="266">
        <v>50.2</v>
      </c>
      <c r="Z583" s="266">
        <v>46.78</v>
      </c>
      <c r="AA583" s="266">
        <v>50.8</v>
      </c>
      <c r="AB583" s="266">
        <v>55.458799999999997</v>
      </c>
      <c r="AC583" s="268">
        <v>54.73</v>
      </c>
      <c r="AD583" s="133">
        <v>2.1364316609864709E-2</v>
      </c>
      <c r="AE583" s="246">
        <v>45627</v>
      </c>
      <c r="BA583" s="2" t="s">
        <v>682</v>
      </c>
      <c r="BB583" s="2">
        <v>32</v>
      </c>
      <c r="BC583" s="2">
        <v>0</v>
      </c>
    </row>
    <row r="584" spans="1:82" s="209" customFormat="1" ht="13.95" customHeight="1" x14ac:dyDescent="0.3">
      <c r="A584" s="38" t="s">
        <v>683</v>
      </c>
      <c r="B584" s="81">
        <v>54.63</v>
      </c>
      <c r="C584" s="271">
        <v>48.471200000000003</v>
      </c>
      <c r="D584" s="271">
        <v>49.999400000000001</v>
      </c>
      <c r="E584" s="271">
        <v>55.757399999999997</v>
      </c>
      <c r="F584" s="271">
        <v>54.65</v>
      </c>
      <c r="G584" s="271">
        <v>50.85</v>
      </c>
      <c r="H584" s="271">
        <v>58.66</v>
      </c>
      <c r="I584" s="271">
        <v>55</v>
      </c>
      <c r="J584" s="271">
        <v>48.06</v>
      </c>
      <c r="K584" s="271">
        <v>50.24</v>
      </c>
      <c r="L584" s="271">
        <v>49.75</v>
      </c>
      <c r="M584" s="277">
        <v>57.11</v>
      </c>
      <c r="N584" s="277">
        <v>66.819999999999993</v>
      </c>
      <c r="O584" s="277">
        <v>48.63</v>
      </c>
      <c r="P584" s="277">
        <v>54.89</v>
      </c>
      <c r="Q584" s="278" t="s">
        <v>621</v>
      </c>
      <c r="R584" s="277">
        <v>50.265999999999998</v>
      </c>
      <c r="S584" s="277">
        <v>60.94</v>
      </c>
      <c r="T584" s="277">
        <v>56</v>
      </c>
      <c r="U584" s="277">
        <v>55.34</v>
      </c>
      <c r="V584" s="277">
        <v>53.828299999999999</v>
      </c>
      <c r="W584" s="277">
        <v>45.84</v>
      </c>
      <c r="X584" s="277">
        <v>49.839300000000001</v>
      </c>
      <c r="Y584" s="277">
        <v>50.39</v>
      </c>
      <c r="Z584" s="277">
        <v>47.2</v>
      </c>
      <c r="AA584" s="277">
        <v>51.04</v>
      </c>
      <c r="AB584" s="277">
        <v>55.750700000000002</v>
      </c>
      <c r="AC584" s="269">
        <v>53.71</v>
      </c>
      <c r="AD584" s="128">
        <v>-1.8580344107967273E-2</v>
      </c>
      <c r="AE584" s="248">
        <v>45658</v>
      </c>
      <c r="BA584" s="209" t="s">
        <v>683</v>
      </c>
      <c r="BB584" s="209">
        <v>33</v>
      </c>
      <c r="BC584" s="209">
        <v>0</v>
      </c>
      <c r="BD584" s="209">
        <v>0</v>
      </c>
      <c r="BE584" s="209">
        <v>0</v>
      </c>
      <c r="BF584" s="209">
        <v>0</v>
      </c>
      <c r="BG584" s="209">
        <v>0</v>
      </c>
      <c r="BH584" s="209">
        <v>0</v>
      </c>
      <c r="BI584" s="209">
        <v>0</v>
      </c>
      <c r="BJ584" s="209">
        <v>0</v>
      </c>
      <c r="BK584" s="209">
        <v>0</v>
      </c>
      <c r="BL584" s="209">
        <v>0</v>
      </c>
      <c r="BM584" s="209">
        <v>0</v>
      </c>
      <c r="BN584" s="209">
        <v>0</v>
      </c>
      <c r="BO584" s="209">
        <v>0</v>
      </c>
      <c r="BP584" s="209">
        <v>0</v>
      </c>
      <c r="BQ584" s="209">
        <v>0</v>
      </c>
      <c r="BS584" s="209">
        <v>0</v>
      </c>
      <c r="BT584" s="209">
        <v>0</v>
      </c>
      <c r="BU584" s="209">
        <v>0</v>
      </c>
      <c r="BV584" s="209">
        <v>0</v>
      </c>
      <c r="BW584" s="209">
        <v>0</v>
      </c>
      <c r="BX584" s="209">
        <v>0</v>
      </c>
      <c r="BY584" s="209">
        <v>0</v>
      </c>
      <c r="BZ584" s="209">
        <v>0</v>
      </c>
      <c r="CA584" s="209">
        <v>0</v>
      </c>
      <c r="CB584" s="209">
        <v>0</v>
      </c>
      <c r="CC584" s="209">
        <v>0</v>
      </c>
      <c r="CD584" s="209">
        <v>0</v>
      </c>
    </row>
    <row r="585" spans="1:82" ht="15" customHeight="1" x14ac:dyDescent="0.3">
      <c r="A585" s="38" t="s">
        <v>684</v>
      </c>
      <c r="B585" s="271">
        <v>53.88</v>
      </c>
      <c r="C585" s="271">
        <v>48.174700000000001</v>
      </c>
      <c r="D585" s="271">
        <v>50.785899999999998</v>
      </c>
      <c r="E585" s="271">
        <v>55.770099999999999</v>
      </c>
      <c r="F585" s="271">
        <v>54.48</v>
      </c>
      <c r="G585" s="271">
        <v>52.45</v>
      </c>
      <c r="H585" s="271">
        <v>57.2</v>
      </c>
      <c r="I585" s="271">
        <v>54.99</v>
      </c>
      <c r="J585" s="271">
        <v>48.16</v>
      </c>
      <c r="K585" s="271">
        <v>51</v>
      </c>
      <c r="L585" s="271">
        <v>49.65</v>
      </c>
      <c r="M585" s="271">
        <v>57.11</v>
      </c>
      <c r="N585" s="271">
        <v>66.64</v>
      </c>
      <c r="O585" s="271">
        <v>49.02</v>
      </c>
      <c r="P585" s="271">
        <v>55.01</v>
      </c>
      <c r="Q585" s="272" t="s">
        <v>621</v>
      </c>
      <c r="R585" s="271">
        <v>51.733199999999997</v>
      </c>
      <c r="S585" s="271">
        <v>61.75</v>
      </c>
      <c r="T585" s="271">
        <v>55</v>
      </c>
      <c r="U585" s="271">
        <v>55.68</v>
      </c>
      <c r="V585" s="271">
        <v>54.647100000000002</v>
      </c>
      <c r="W585" s="271">
        <v>45.87</v>
      </c>
      <c r="X585" s="271">
        <v>48.482900000000001</v>
      </c>
      <c r="Y585" s="271">
        <v>49.6</v>
      </c>
      <c r="Z585" s="271">
        <v>47.83</v>
      </c>
      <c r="AA585" s="271">
        <v>50.79</v>
      </c>
      <c r="AB585" s="271">
        <v>57.791200000000003</v>
      </c>
      <c r="AC585" s="265">
        <v>53.74</v>
      </c>
      <c r="AD585" s="132">
        <v>6.2745769780758742E-4</v>
      </c>
      <c r="AE585" s="242">
        <v>45689</v>
      </c>
      <c r="BA585" s="2" t="s">
        <v>684</v>
      </c>
      <c r="BB585" s="2">
        <v>34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</row>
    <row r="586" spans="1:82" ht="15" customHeight="1" x14ac:dyDescent="0.3">
      <c r="A586" s="38" t="s">
        <v>685</v>
      </c>
      <c r="B586" s="271">
        <v>53.03</v>
      </c>
      <c r="C586" s="271">
        <v>48.2258</v>
      </c>
      <c r="D586" s="271">
        <v>51.323099999999997</v>
      </c>
      <c r="E586" s="271">
        <v>55.900700000000001</v>
      </c>
      <c r="F586" s="271">
        <v>54.48</v>
      </c>
      <c r="G586" s="271">
        <v>51.88</v>
      </c>
      <c r="H586" s="271">
        <v>53.32</v>
      </c>
      <c r="I586" s="271">
        <v>55.28</v>
      </c>
      <c r="J586" s="271">
        <v>48.16</v>
      </c>
      <c r="K586" s="271">
        <v>49.74</v>
      </c>
      <c r="L586" s="271">
        <v>49.16</v>
      </c>
      <c r="M586" s="271">
        <v>57.63</v>
      </c>
      <c r="N586" s="271">
        <v>66.959999999999994</v>
      </c>
      <c r="O586" s="271">
        <v>48.7</v>
      </c>
      <c r="P586" s="271">
        <v>52.94</v>
      </c>
      <c r="Q586" s="272" t="s">
        <v>621</v>
      </c>
      <c r="R586" s="271">
        <v>50.959000000000003</v>
      </c>
      <c r="S586" s="271">
        <v>60.71</v>
      </c>
      <c r="T586" s="271">
        <v>53.75</v>
      </c>
      <c r="U586" s="271">
        <v>55.54</v>
      </c>
      <c r="V586" s="271">
        <v>54.765500000000003</v>
      </c>
      <c r="W586" s="271">
        <v>46.13</v>
      </c>
      <c r="X586" s="271">
        <v>47.255699999999997</v>
      </c>
      <c r="Y586" s="271">
        <v>49.16</v>
      </c>
      <c r="Z586" s="271">
        <v>48</v>
      </c>
      <c r="AA586" s="271">
        <v>51.46</v>
      </c>
      <c r="AB586" s="271">
        <v>57.989400000000003</v>
      </c>
      <c r="AC586" s="220">
        <v>53.19</v>
      </c>
      <c r="AD586" s="132">
        <v>-1.0312136577196873E-2</v>
      </c>
      <c r="AE586" s="243">
        <v>45717</v>
      </c>
      <c r="BA586" s="2" t="s">
        <v>685</v>
      </c>
      <c r="BB586" s="2">
        <v>35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</row>
    <row r="587" spans="1:82" ht="15" customHeight="1" x14ac:dyDescent="0.3">
      <c r="A587" s="38" t="s">
        <v>686</v>
      </c>
      <c r="B587" s="271">
        <v>53.15</v>
      </c>
      <c r="C587" s="271">
        <v>47.371899999999997</v>
      </c>
      <c r="D587" s="271">
        <v>51.8065</v>
      </c>
      <c r="E587" s="271">
        <v>55.728099999999998</v>
      </c>
      <c r="F587" s="271">
        <v>54.37</v>
      </c>
      <c r="G587" s="271">
        <v>51.89</v>
      </c>
      <c r="H587" s="271">
        <v>52.15</v>
      </c>
      <c r="I587" s="271">
        <v>54.61</v>
      </c>
      <c r="J587" s="271">
        <v>48.64</v>
      </c>
      <c r="K587" s="271">
        <v>49.19</v>
      </c>
      <c r="L587" s="271">
        <v>48.95</v>
      </c>
      <c r="M587" s="271">
        <v>57.58</v>
      </c>
      <c r="N587" s="271">
        <v>66.06</v>
      </c>
      <c r="O587" s="271">
        <v>48.57</v>
      </c>
      <c r="P587" s="271">
        <v>52.17</v>
      </c>
      <c r="Q587" s="272" t="s">
        <v>621</v>
      </c>
      <c r="R587" s="271">
        <v>50.0092</v>
      </c>
      <c r="S587" s="271">
        <v>60.81</v>
      </c>
      <c r="T587" s="271">
        <v>55.25</v>
      </c>
      <c r="U587" s="271">
        <v>55.32</v>
      </c>
      <c r="V587" s="271">
        <v>53.561100000000003</v>
      </c>
      <c r="W587" s="271">
        <v>46.44</v>
      </c>
      <c r="X587" s="271">
        <v>44.7209</v>
      </c>
      <c r="Y587" s="271">
        <v>48.97</v>
      </c>
      <c r="Z587" s="271">
        <v>48.29</v>
      </c>
      <c r="AA587" s="271">
        <v>51.49</v>
      </c>
      <c r="AB587" s="271">
        <v>57.5884</v>
      </c>
      <c r="AC587" s="220">
        <v>53.01</v>
      </c>
      <c r="AD587" s="132">
        <v>-3.3296796475915658E-3</v>
      </c>
      <c r="AE587" s="243">
        <v>45748</v>
      </c>
      <c r="BA587" s="2" t="s">
        <v>686</v>
      </c>
      <c r="BB587" s="2">
        <v>36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</row>
    <row r="588" spans="1:82" ht="15" customHeight="1" x14ac:dyDescent="0.3">
      <c r="A588" s="38" t="s">
        <v>687</v>
      </c>
      <c r="B588" s="271">
        <v>53.62</v>
      </c>
      <c r="C588" s="271">
        <v>46.727699999999999</v>
      </c>
      <c r="D588" s="271">
        <v>52.23</v>
      </c>
      <c r="E588" s="271">
        <v>55.898099999999999</v>
      </c>
      <c r="F588" s="271">
        <v>54.17</v>
      </c>
      <c r="G588" s="271">
        <v>51.4</v>
      </c>
      <c r="H588" s="271">
        <v>51.08</v>
      </c>
      <c r="I588" s="271">
        <v>54.22</v>
      </c>
      <c r="J588" s="271">
        <v>48.74</v>
      </c>
      <c r="K588" s="271">
        <v>49.17</v>
      </c>
      <c r="L588" s="271">
        <v>48.66</v>
      </c>
      <c r="M588" s="271">
        <v>57.58</v>
      </c>
      <c r="N588" s="271">
        <v>67.400000000000006</v>
      </c>
      <c r="O588" s="271">
        <v>48.32</v>
      </c>
      <c r="P588" s="271">
        <v>50.92</v>
      </c>
      <c r="Q588" s="272" t="s">
        <v>621</v>
      </c>
      <c r="R588" s="271">
        <v>49.729700000000001</v>
      </c>
      <c r="S588" s="271">
        <v>61.58</v>
      </c>
      <c r="T588" s="271">
        <v>56.5</v>
      </c>
      <c r="U588" s="271">
        <v>55.65</v>
      </c>
      <c r="V588" s="271">
        <v>53.476900000000001</v>
      </c>
      <c r="W588" s="271">
        <v>46.04</v>
      </c>
      <c r="X588" s="271">
        <v>43.9679</v>
      </c>
      <c r="Y588" s="271">
        <v>48.58</v>
      </c>
      <c r="Z588" s="271">
        <v>48.75</v>
      </c>
      <c r="AA588" s="271">
        <v>51.66</v>
      </c>
      <c r="AB588" s="271">
        <v>57.346800000000002</v>
      </c>
      <c r="AC588" s="220">
        <v>53.01</v>
      </c>
      <c r="AD588" s="132">
        <v>5.6591814559858733E-5</v>
      </c>
      <c r="AE588" s="243">
        <v>45778</v>
      </c>
      <c r="BA588" s="2" t="s">
        <v>687</v>
      </c>
      <c r="BB588" s="2">
        <v>37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</row>
    <row r="589" spans="1:82" ht="15" customHeight="1" x14ac:dyDescent="0.3">
      <c r="A589" s="38" t="s">
        <v>688</v>
      </c>
      <c r="B589" s="271">
        <v>52.78</v>
      </c>
      <c r="C589" s="271">
        <v>46.921999999999997</v>
      </c>
      <c r="D589" s="271">
        <v>52.523600000000002</v>
      </c>
      <c r="E589" s="271">
        <v>55.900399999999998</v>
      </c>
      <c r="F589" s="271">
        <v>53.86</v>
      </c>
      <c r="G589" s="271">
        <v>50.75</v>
      </c>
      <c r="H589" s="271">
        <v>51.76</v>
      </c>
      <c r="I589" s="271">
        <v>55.64</v>
      </c>
      <c r="J589" s="271">
        <v>48.16</v>
      </c>
      <c r="K589" s="271">
        <v>48.9</v>
      </c>
      <c r="L589" s="271">
        <v>48.44</v>
      </c>
      <c r="M589" s="271">
        <v>58.13</v>
      </c>
      <c r="N589" s="271">
        <v>65.7</v>
      </c>
      <c r="O589" s="271">
        <v>47.86</v>
      </c>
      <c r="P589" s="271">
        <v>50.01</v>
      </c>
      <c r="Q589" s="272" t="s">
        <v>621</v>
      </c>
      <c r="R589" s="271">
        <v>49.567</v>
      </c>
      <c r="S589" s="271">
        <v>63.09</v>
      </c>
      <c r="T589" s="271">
        <v>56.75</v>
      </c>
      <c r="U589" s="271">
        <v>55.85</v>
      </c>
      <c r="V589" s="271">
        <v>53.122900000000001</v>
      </c>
      <c r="W589" s="271">
        <v>45.75</v>
      </c>
      <c r="X589" s="271">
        <v>41.066800000000001</v>
      </c>
      <c r="Y589" s="271">
        <v>48.85</v>
      </c>
      <c r="Z589" s="271">
        <v>48.94</v>
      </c>
      <c r="AA589" s="271">
        <v>52.4</v>
      </c>
      <c r="AB589" s="271">
        <v>55.2254</v>
      </c>
      <c r="AC589" s="220">
        <v>52.87</v>
      </c>
      <c r="AD589" s="273">
        <v>-2.6709824914834535E-3</v>
      </c>
      <c r="AE589" s="243">
        <v>45809</v>
      </c>
      <c r="BA589" s="2" t="s">
        <v>688</v>
      </c>
      <c r="BB589" s="2">
        <v>38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</row>
    <row r="590" spans="1:82" ht="15" customHeight="1" x14ac:dyDescent="0.3">
      <c r="A590" s="38" t="s">
        <v>689</v>
      </c>
      <c r="B590" s="271">
        <v>51.58</v>
      </c>
      <c r="C590" s="271">
        <v>47.515099999999997</v>
      </c>
      <c r="D590" s="271">
        <v>53.210999999999999</v>
      </c>
      <c r="E590" s="271">
        <v>56.013300000000001</v>
      </c>
      <c r="F590" s="271">
        <v>53.77</v>
      </c>
      <c r="G590" s="271">
        <v>50.08</v>
      </c>
      <c r="H590" s="271">
        <v>51.86</v>
      </c>
      <c r="I590" s="271">
        <v>55.73</v>
      </c>
      <c r="J590" s="271">
        <v>48.74</v>
      </c>
      <c r="K590" s="271">
        <v>49.18</v>
      </c>
      <c r="L590" s="271">
        <v>48.07</v>
      </c>
      <c r="M590" s="271">
        <v>58.27</v>
      </c>
      <c r="N590" s="271">
        <v>64.8</v>
      </c>
      <c r="O590" s="271">
        <v>47.53</v>
      </c>
      <c r="P590" s="271">
        <v>48.89</v>
      </c>
      <c r="Q590" s="272" t="s">
        <v>621</v>
      </c>
      <c r="R590" s="271">
        <v>49.708599999999997</v>
      </c>
      <c r="S590" s="271">
        <v>63.39</v>
      </c>
      <c r="T590" s="271">
        <v>56.75</v>
      </c>
      <c r="U590" s="271">
        <v>56.41</v>
      </c>
      <c r="V590" s="271">
        <v>52.783799999999999</v>
      </c>
      <c r="W590" s="271">
        <v>45.68</v>
      </c>
      <c r="X590" s="271">
        <v>40.933700000000002</v>
      </c>
      <c r="Y590" s="271">
        <v>50.11</v>
      </c>
      <c r="Z590" s="271">
        <v>49.49</v>
      </c>
      <c r="AA590" s="271">
        <v>51.83</v>
      </c>
      <c r="AB590" s="271">
        <v>53.846400000000003</v>
      </c>
      <c r="AC590" s="220">
        <v>52.87</v>
      </c>
      <c r="AD590" s="132">
        <v>-7.376221332033861E-5</v>
      </c>
      <c r="AE590" s="243">
        <v>45839</v>
      </c>
      <c r="BA590" s="2" t="s">
        <v>689</v>
      </c>
      <c r="BB590" s="2">
        <v>39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</row>
    <row r="591" spans="1:82" ht="15" customHeight="1" x14ac:dyDescent="0.3">
      <c r="A591" s="38" t="s">
        <v>690</v>
      </c>
      <c r="B591" s="271">
        <v>51.48</v>
      </c>
      <c r="C591" s="271">
        <v>47.581600000000002</v>
      </c>
      <c r="D591" s="271">
        <v>53.823099999999997</v>
      </c>
      <c r="E591" s="271">
        <v>56.003999999999998</v>
      </c>
      <c r="F591" s="271">
        <v>54.26</v>
      </c>
      <c r="G591" s="271">
        <v>49.83</v>
      </c>
      <c r="H591" s="271">
        <v>51.37</v>
      </c>
      <c r="I591" s="271">
        <v>55.79</v>
      </c>
      <c r="J591" s="271">
        <v>50.39</v>
      </c>
      <c r="K591" s="271">
        <v>49.75</v>
      </c>
      <c r="L591" s="271">
        <v>48.51</v>
      </c>
      <c r="M591" s="271">
        <v>58.25</v>
      </c>
      <c r="N591" s="271">
        <v>63.8</v>
      </c>
      <c r="O591" s="271">
        <v>47.56</v>
      </c>
      <c r="P591" s="271">
        <v>49.07</v>
      </c>
      <c r="Q591" s="272" t="s">
        <v>621</v>
      </c>
      <c r="R591" s="271">
        <v>50.111699999999999</v>
      </c>
      <c r="S591" s="271">
        <v>64.66</v>
      </c>
      <c r="T591" s="271">
        <v>56.25</v>
      </c>
      <c r="U591" s="271">
        <v>57.04</v>
      </c>
      <c r="V591" s="271">
        <v>53.359200000000001</v>
      </c>
      <c r="W591" s="271">
        <v>45.79</v>
      </c>
      <c r="X591" s="271">
        <v>44.1648</v>
      </c>
      <c r="Y591" s="271">
        <v>50.52</v>
      </c>
      <c r="Z591" s="271">
        <v>49.68</v>
      </c>
      <c r="AA591" s="271">
        <v>52.17</v>
      </c>
      <c r="AB591" s="271">
        <v>54.4756</v>
      </c>
      <c r="AC591" s="220">
        <v>53.2</v>
      </c>
      <c r="AD591" s="132">
        <v>6.294839857987844E-3</v>
      </c>
      <c r="AE591" s="243">
        <v>45870</v>
      </c>
      <c r="BA591" s="2" t="s">
        <v>690</v>
      </c>
      <c r="BB591" s="2">
        <v>40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</row>
    <row r="592" spans="1:82" ht="15" customHeight="1" x14ac:dyDescent="0.3">
      <c r="A592" s="38" t="s">
        <v>691</v>
      </c>
      <c r="B592" s="271">
        <v>50.14</v>
      </c>
      <c r="C592" s="271">
        <v>48.097999999999999</v>
      </c>
      <c r="D592" s="271">
        <v>54.405200000000001</v>
      </c>
      <c r="E592" s="271">
        <v>54.927500000000002</v>
      </c>
      <c r="F592" s="271">
        <v>54</v>
      </c>
      <c r="G592" s="271">
        <v>50.37</v>
      </c>
      <c r="H592" s="271">
        <v>51.86</v>
      </c>
      <c r="I592" s="271">
        <v>55.95</v>
      </c>
      <c r="J592" s="271">
        <v>51.36</v>
      </c>
      <c r="K592" s="271">
        <v>51.12</v>
      </c>
      <c r="L592" s="271">
        <v>49.52</v>
      </c>
      <c r="M592" s="271">
        <v>58</v>
      </c>
      <c r="N592" s="271">
        <v>64.45</v>
      </c>
      <c r="O592" s="271">
        <v>47.83</v>
      </c>
      <c r="P592" s="271">
        <v>50.11</v>
      </c>
      <c r="Q592" s="272" t="s">
        <v>621</v>
      </c>
      <c r="R592" s="271">
        <v>51.039000000000001</v>
      </c>
      <c r="S592" s="271">
        <v>64.13</v>
      </c>
      <c r="T592" s="271">
        <v>55.75</v>
      </c>
      <c r="U592" s="271">
        <v>57.56</v>
      </c>
      <c r="V592" s="271">
        <v>52.927</v>
      </c>
      <c r="W592" s="271">
        <v>46.91</v>
      </c>
      <c r="X592" s="271">
        <v>43.811900000000001</v>
      </c>
      <c r="Y592" s="271">
        <v>50.47</v>
      </c>
      <c r="Z592" s="271">
        <v>49.76</v>
      </c>
      <c r="AA592" s="271">
        <v>53.67</v>
      </c>
      <c r="AB592" s="271">
        <v>56.088900000000002</v>
      </c>
      <c r="AC592" s="220">
        <v>53.38</v>
      </c>
      <c r="AD592" s="132">
        <v>3.4096782985442164E-3</v>
      </c>
      <c r="AE592" s="243">
        <v>45901</v>
      </c>
      <c r="BA592" s="2" t="s">
        <v>691</v>
      </c>
      <c r="BB592" s="2">
        <v>41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</row>
    <row r="593" spans="1:82" ht="15" customHeight="1" x14ac:dyDescent="0.3">
      <c r="A593" s="38" t="s">
        <v>692</v>
      </c>
      <c r="B593" s="271">
        <v>47.58</v>
      </c>
      <c r="C593" s="271">
        <v>48.374099999999999</v>
      </c>
      <c r="D593" s="271">
        <v>54.106099999999998</v>
      </c>
      <c r="E593" s="271">
        <v>53.026000000000003</v>
      </c>
      <c r="F593" s="271">
        <v>52.34</v>
      </c>
      <c r="G593" s="271">
        <v>50.82</v>
      </c>
      <c r="H593" s="271">
        <v>49.63</v>
      </c>
      <c r="I593" s="271">
        <v>56.02</v>
      </c>
      <c r="J593" s="271">
        <v>51.94</v>
      </c>
      <c r="K593" s="271">
        <v>51.69</v>
      </c>
      <c r="L593" s="271">
        <v>50.73</v>
      </c>
      <c r="M593" s="271">
        <v>55.84</v>
      </c>
      <c r="N593" s="271">
        <v>66.739999999999995</v>
      </c>
      <c r="O593" s="271">
        <v>47.09</v>
      </c>
      <c r="P593" s="271">
        <v>49.24</v>
      </c>
      <c r="Q593" s="272" t="s">
        <v>621</v>
      </c>
      <c r="R593" s="271">
        <v>50.949599999999997</v>
      </c>
      <c r="S593" s="271">
        <v>63.83</v>
      </c>
      <c r="T593" s="271">
        <v>53</v>
      </c>
      <c r="U593" s="271">
        <v>58.47</v>
      </c>
      <c r="V593" s="271">
        <v>52.808</v>
      </c>
      <c r="W593" s="271">
        <v>46.93</v>
      </c>
      <c r="X593" s="271">
        <v>44.130499999999998</v>
      </c>
      <c r="Y593" s="271">
        <v>50.05</v>
      </c>
      <c r="Z593" s="271">
        <v>49.17</v>
      </c>
      <c r="AA593" s="271">
        <v>55.38</v>
      </c>
      <c r="AB593" s="271">
        <v>56.427</v>
      </c>
      <c r="AC593" s="220">
        <v>52.42</v>
      </c>
      <c r="AD593" s="132">
        <v>-1.7987033300925992E-2</v>
      </c>
      <c r="AE593" s="243">
        <v>45931</v>
      </c>
      <c r="BA593" s="2" t="s">
        <v>692</v>
      </c>
      <c r="BB593" s="2">
        <v>42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</row>
    <row r="594" spans="1:82" ht="15" customHeight="1" x14ac:dyDescent="0.3">
      <c r="A594" s="38" t="s">
        <v>693</v>
      </c>
      <c r="B594" s="271">
        <v>43.47</v>
      </c>
      <c r="C594" s="271">
        <v>48.2667</v>
      </c>
      <c r="D594" s="271">
        <v>52.739400000000003</v>
      </c>
      <c r="E594" s="271">
        <v>49.946800000000003</v>
      </c>
      <c r="F594" s="271">
        <v>49.33</v>
      </c>
      <c r="G594" s="271">
        <v>50.48</v>
      </c>
      <c r="H594" s="271">
        <v>46.52</v>
      </c>
      <c r="I594" s="271">
        <v>56</v>
      </c>
      <c r="J594" s="271">
        <v>52.62</v>
      </c>
      <c r="K594" s="271">
        <v>50.58</v>
      </c>
      <c r="L594" s="271">
        <v>50.74</v>
      </c>
      <c r="M594" s="271">
        <v>54.59</v>
      </c>
      <c r="N594" s="271">
        <v>65.89</v>
      </c>
      <c r="O594" s="271">
        <v>46.14</v>
      </c>
      <c r="P594" s="271">
        <v>47.41</v>
      </c>
      <c r="Q594" s="272" t="s">
        <v>621</v>
      </c>
      <c r="R594" s="271">
        <v>51.008600000000001</v>
      </c>
      <c r="S594" s="271">
        <v>62.86</v>
      </c>
      <c r="T594" s="271">
        <v>46</v>
      </c>
      <c r="U594" s="271">
        <v>56.58</v>
      </c>
      <c r="V594" s="271">
        <v>50.757100000000001</v>
      </c>
      <c r="W594" s="271">
        <v>47.67</v>
      </c>
      <c r="X594" s="271">
        <v>45.038699999999999</v>
      </c>
      <c r="Y594" s="271">
        <v>49.17</v>
      </c>
      <c r="Z594" s="271">
        <v>47.63</v>
      </c>
      <c r="AA594" s="271">
        <v>55.37</v>
      </c>
      <c r="AB594" s="271">
        <v>54.314900000000002</v>
      </c>
      <c r="AC594" s="220">
        <v>50.07</v>
      </c>
      <c r="AD594" s="132">
        <v>-4.4953808178518129E-2</v>
      </c>
      <c r="AE594" s="243">
        <v>45962</v>
      </c>
      <c r="BA594" s="2" t="s">
        <v>693</v>
      </c>
      <c r="BB594" s="2">
        <v>43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</row>
    <row r="595" spans="1:82" ht="15" customHeight="1" thickBot="1" x14ac:dyDescent="0.35">
      <c r="A595" s="63" t="s">
        <v>694</v>
      </c>
      <c r="B595" s="279">
        <v>40.28</v>
      </c>
      <c r="C595" s="279">
        <v>47.648000000000003</v>
      </c>
      <c r="D595" s="279">
        <v>48.739699999999999</v>
      </c>
      <c r="E595" s="279">
        <v>45.9193</v>
      </c>
      <c r="F595" s="279">
        <v>46.22</v>
      </c>
      <c r="G595" s="279">
        <v>50</v>
      </c>
      <c r="H595" s="279">
        <v>46.52</v>
      </c>
      <c r="I595" s="279">
        <v>55.68</v>
      </c>
      <c r="J595" s="279">
        <v>52.62</v>
      </c>
      <c r="K595" s="279">
        <v>50.01</v>
      </c>
      <c r="L595" s="279">
        <v>51</v>
      </c>
      <c r="M595" s="279">
        <v>53.49</v>
      </c>
      <c r="N595" s="279">
        <v>66.7</v>
      </c>
      <c r="O595" s="279">
        <v>45.02</v>
      </c>
      <c r="P595" s="279">
        <v>43.19</v>
      </c>
      <c r="Q595" s="280" t="s">
        <v>621</v>
      </c>
      <c r="R595" s="279">
        <v>49.250900000000001</v>
      </c>
      <c r="S595" s="279">
        <v>63.74</v>
      </c>
      <c r="T595" s="279">
        <v>43.5</v>
      </c>
      <c r="U595" s="279">
        <v>56.11</v>
      </c>
      <c r="V595" s="279">
        <v>47.584499999999998</v>
      </c>
      <c r="W595" s="279">
        <v>47.63</v>
      </c>
      <c r="X595" s="279">
        <v>45.411000000000001</v>
      </c>
      <c r="Y595" s="279">
        <v>47.27</v>
      </c>
      <c r="Z595" s="279">
        <v>45.7</v>
      </c>
      <c r="AA595" s="279">
        <v>54.83</v>
      </c>
      <c r="AB595" s="279">
        <v>50.846299999999999</v>
      </c>
      <c r="AC595" s="221">
        <v>48.15</v>
      </c>
      <c r="AD595" s="133">
        <v>-3.8352416284726076E-2</v>
      </c>
      <c r="AE595" s="246">
        <v>45992</v>
      </c>
      <c r="BA595" s="2" t="s">
        <v>694</v>
      </c>
      <c r="BB595" s="2">
        <v>44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</row>
    <row r="596" spans="1:82" s="209" customFormat="1" ht="13.95" customHeight="1" x14ac:dyDescent="0.3">
      <c r="A596" s="54" t="s">
        <v>695</v>
      </c>
      <c r="B596" s="314">
        <v>57.02</v>
      </c>
      <c r="C596" s="314">
        <v>47.6</v>
      </c>
      <c r="D596" s="314">
        <v>47.800600000000003</v>
      </c>
      <c r="E596" s="314">
        <v>41.8994</v>
      </c>
      <c r="F596" s="314">
        <v>46.22</v>
      </c>
      <c r="G596" s="314">
        <v>37.42</v>
      </c>
      <c r="H596" s="314">
        <v>46.52</v>
      </c>
      <c r="I596" s="314">
        <v>55.7</v>
      </c>
      <c r="J596" s="314">
        <v>52.62</v>
      </c>
      <c r="K596" s="314">
        <v>47.35</v>
      </c>
      <c r="L596" s="314">
        <v>50.61</v>
      </c>
      <c r="M596" s="315">
        <v>53.49</v>
      </c>
      <c r="N596" s="315">
        <v>66.7</v>
      </c>
      <c r="O596" s="315">
        <v>42.89</v>
      </c>
      <c r="P596" s="315">
        <v>39.549999999999997</v>
      </c>
      <c r="Q596" s="278" t="s">
        <v>621</v>
      </c>
      <c r="R596" s="315">
        <v>42.639299999999999</v>
      </c>
      <c r="S596" s="315">
        <v>63.74</v>
      </c>
      <c r="T596" s="315">
        <v>39.5</v>
      </c>
      <c r="U596" s="315">
        <v>52.7</v>
      </c>
      <c r="V596" s="315">
        <v>46.289099999999998</v>
      </c>
      <c r="W596" s="315">
        <v>47.63</v>
      </c>
      <c r="X596" s="315">
        <v>45.562600000000003</v>
      </c>
      <c r="Y596" s="315">
        <v>46.27</v>
      </c>
      <c r="Z596" s="315">
        <v>42.58</v>
      </c>
      <c r="AA596" s="315">
        <v>54.8</v>
      </c>
      <c r="AB596" s="315">
        <v>49.056800000000003</v>
      </c>
      <c r="AC596" s="316">
        <v>47.23</v>
      </c>
      <c r="AD596" s="128">
        <v>-1.8985401838715998E-2</v>
      </c>
      <c r="AE596" s="248">
        <v>46023</v>
      </c>
      <c r="BA596" s="209" t="s">
        <v>695</v>
      </c>
      <c r="BB596" s="209">
        <v>45</v>
      </c>
      <c r="BC596" s="209">
        <v>0</v>
      </c>
      <c r="BD596" s="209">
        <v>0</v>
      </c>
      <c r="BE596" s="209">
        <v>0</v>
      </c>
      <c r="BF596" s="209">
        <v>0</v>
      </c>
      <c r="BG596" s="209">
        <v>0</v>
      </c>
      <c r="BH596" s="209">
        <v>0</v>
      </c>
      <c r="BI596" s="209">
        <v>0</v>
      </c>
      <c r="BJ596" s="209">
        <v>0</v>
      </c>
      <c r="BK596" s="209">
        <v>0</v>
      </c>
      <c r="BL596" s="209">
        <v>0</v>
      </c>
      <c r="BM596" s="209">
        <v>0</v>
      </c>
      <c r="BN596" s="209">
        <v>0</v>
      </c>
      <c r="BO596" s="209">
        <v>0</v>
      </c>
      <c r="BP596" s="209">
        <v>0</v>
      </c>
      <c r="BQ596" s="209">
        <v>0</v>
      </c>
      <c r="BS596" s="209">
        <v>0</v>
      </c>
      <c r="BT596" s="209">
        <v>0</v>
      </c>
      <c r="BU596" s="209">
        <v>0</v>
      </c>
      <c r="BV596" s="209">
        <v>0</v>
      </c>
      <c r="BW596" s="209">
        <v>0</v>
      </c>
      <c r="BX596" s="209">
        <v>0</v>
      </c>
      <c r="BY596" s="209">
        <v>0</v>
      </c>
      <c r="BZ596" s="209">
        <v>0</v>
      </c>
      <c r="CA596" s="209">
        <v>0</v>
      </c>
      <c r="CB596" s="209">
        <v>0</v>
      </c>
      <c r="CC596" s="209">
        <v>0</v>
      </c>
      <c r="CD596" s="209">
        <v>0</v>
      </c>
    </row>
    <row r="597" spans="1:82" ht="15" hidden="1" customHeight="1" outlineLevel="1" x14ac:dyDescent="0.3">
      <c r="A597" s="38" t="s">
        <v>696</v>
      </c>
      <c r="B597" s="271">
        <v>57.02</v>
      </c>
      <c r="C597" s="271">
        <v>92.03</v>
      </c>
      <c r="D597" s="271">
        <v>47.800600000000003</v>
      </c>
      <c r="E597" s="271">
        <v>41.8994</v>
      </c>
      <c r="F597" s="271">
        <v>46.22</v>
      </c>
      <c r="G597" s="271">
        <v>37.42</v>
      </c>
      <c r="H597" s="271">
        <v>46.52</v>
      </c>
      <c r="I597" s="271">
        <v>55.7</v>
      </c>
      <c r="J597" s="271">
        <v>52.62</v>
      </c>
      <c r="K597" s="271">
        <v>47.35</v>
      </c>
      <c r="L597" s="271">
        <v>50.42</v>
      </c>
      <c r="M597" s="271">
        <v>53.49</v>
      </c>
      <c r="N597" s="271">
        <v>66.7</v>
      </c>
      <c r="O597" s="271">
        <v>42.89</v>
      </c>
      <c r="P597" s="271">
        <v>39.549999999999997</v>
      </c>
      <c r="Q597" s="272" t="s">
        <v>621</v>
      </c>
      <c r="R597" s="271">
        <v>43.214199999999998</v>
      </c>
      <c r="S597" s="271">
        <v>63.74</v>
      </c>
      <c r="T597" s="271">
        <v>39.5</v>
      </c>
      <c r="U597" s="271">
        <v>52.7</v>
      </c>
      <c r="V597" s="271">
        <v>46.289099999999998</v>
      </c>
      <c r="W597" s="271">
        <v>47.63</v>
      </c>
      <c r="X597" s="271">
        <v>45.562600000000003</v>
      </c>
      <c r="Y597" s="271">
        <v>46.27</v>
      </c>
      <c r="Z597" s="271">
        <v>42.58</v>
      </c>
      <c r="AA597" s="271">
        <v>54.8</v>
      </c>
      <c r="AB597" s="271">
        <v>49.056800000000003</v>
      </c>
      <c r="AC597" s="220">
        <v>47.44</v>
      </c>
      <c r="AD597" s="132">
        <v>4.5038654287894442E-3</v>
      </c>
      <c r="AE597" s="242">
        <v>46054</v>
      </c>
      <c r="BA597" s="2" t="s">
        <v>696</v>
      </c>
      <c r="BB597" s="2">
        <v>46</v>
      </c>
      <c r="BC597" s="2">
        <v>1</v>
      </c>
      <c r="BD597" s="2">
        <v>1</v>
      </c>
      <c r="BE597" s="2">
        <v>1</v>
      </c>
      <c r="BF597" s="2">
        <v>1</v>
      </c>
      <c r="BG597" s="2">
        <v>1</v>
      </c>
      <c r="BH597" s="2">
        <v>1</v>
      </c>
      <c r="BI597" s="2">
        <v>1</v>
      </c>
      <c r="BJ597" s="2">
        <v>1</v>
      </c>
      <c r="BK597" s="2">
        <v>1</v>
      </c>
      <c r="BL597" s="2">
        <v>1</v>
      </c>
      <c r="BM597" s="2">
        <v>0</v>
      </c>
      <c r="BN597" s="2">
        <v>1</v>
      </c>
      <c r="BO597" s="2">
        <v>1</v>
      </c>
      <c r="BP597" s="2">
        <v>1</v>
      </c>
      <c r="BQ597" s="2">
        <v>1</v>
      </c>
      <c r="BS597" s="2">
        <v>0</v>
      </c>
      <c r="BT597" s="2">
        <v>1</v>
      </c>
      <c r="BU597" s="2">
        <v>0</v>
      </c>
      <c r="BV597" s="2">
        <v>1</v>
      </c>
      <c r="BW597" s="2">
        <v>1</v>
      </c>
      <c r="BX597" s="2">
        <v>1</v>
      </c>
      <c r="BY597" s="2">
        <v>1</v>
      </c>
      <c r="BZ597" s="2">
        <v>1</v>
      </c>
      <c r="CA597" s="2">
        <v>1</v>
      </c>
      <c r="CB597" s="2">
        <v>1</v>
      </c>
      <c r="CC597" s="2">
        <v>1</v>
      </c>
      <c r="CD597" s="2">
        <v>0</v>
      </c>
    </row>
    <row r="598" spans="1:82" ht="15" hidden="1" customHeight="1" outlineLevel="1" x14ac:dyDescent="0.3">
      <c r="A598" s="38" t="s">
        <v>697</v>
      </c>
      <c r="B598" s="271" t="s">
        <v>495</v>
      </c>
      <c r="C598" s="271" t="s">
        <v>495</v>
      </c>
      <c r="D598" s="271" t="s">
        <v>495</v>
      </c>
      <c r="E598" s="271" t="s">
        <v>495</v>
      </c>
      <c r="F598" s="271" t="s">
        <v>495</v>
      </c>
      <c r="G598" s="271" t="s">
        <v>495</v>
      </c>
      <c r="H598" s="271" t="s">
        <v>495</v>
      </c>
      <c r="I598" s="271" t="s">
        <v>495</v>
      </c>
      <c r="J598" s="271" t="s">
        <v>495</v>
      </c>
      <c r="K598" s="271" t="s">
        <v>495</v>
      </c>
      <c r="L598" s="271" t="s">
        <v>495</v>
      </c>
      <c r="M598" s="271" t="s">
        <v>495</v>
      </c>
      <c r="N598" s="271" t="s">
        <v>495</v>
      </c>
      <c r="O598" s="271" t="s">
        <v>495</v>
      </c>
      <c r="P598" s="271" t="s">
        <v>495</v>
      </c>
      <c r="Q598" s="272" t="s">
        <v>621</v>
      </c>
      <c r="R598" s="271" t="s">
        <v>495</v>
      </c>
      <c r="S598" s="271" t="s">
        <v>495</v>
      </c>
      <c r="T598" s="271" t="s">
        <v>495</v>
      </c>
      <c r="U598" s="271" t="s">
        <v>495</v>
      </c>
      <c r="V598" s="271" t="s">
        <v>495</v>
      </c>
      <c r="W598" s="271" t="s">
        <v>495</v>
      </c>
      <c r="X598" s="271" t="s">
        <v>495</v>
      </c>
      <c r="Y598" s="271" t="s">
        <v>495</v>
      </c>
      <c r="Z598" s="271" t="s">
        <v>495</v>
      </c>
      <c r="AA598" s="271" t="s">
        <v>495</v>
      </c>
      <c r="AB598" s="271" t="s">
        <v>495</v>
      </c>
      <c r="AC598" s="220" t="e">
        <v>#VALUE!</v>
      </c>
      <c r="AD598" s="132" t="e">
        <v>#VALUE!</v>
      </c>
      <c r="AE598" s="243">
        <v>46082</v>
      </c>
      <c r="BA598" s="2" t="s">
        <v>697</v>
      </c>
      <c r="BB598" s="2" t="e">
        <v>#N/A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</row>
    <row r="599" spans="1:82" ht="15" hidden="1" customHeight="1" outlineLevel="1" x14ac:dyDescent="0.3">
      <c r="A599" s="38" t="s">
        <v>698</v>
      </c>
      <c r="B599" s="271" t="s">
        <v>495</v>
      </c>
      <c r="C599" s="271" t="s">
        <v>495</v>
      </c>
      <c r="D599" s="271" t="s">
        <v>495</v>
      </c>
      <c r="E599" s="271" t="s">
        <v>495</v>
      </c>
      <c r="F599" s="271" t="s">
        <v>495</v>
      </c>
      <c r="G599" s="271" t="s">
        <v>495</v>
      </c>
      <c r="H599" s="271" t="s">
        <v>495</v>
      </c>
      <c r="I599" s="271" t="s">
        <v>495</v>
      </c>
      <c r="J599" s="271" t="s">
        <v>495</v>
      </c>
      <c r="K599" s="271" t="s">
        <v>495</v>
      </c>
      <c r="L599" s="271" t="s">
        <v>495</v>
      </c>
      <c r="M599" s="271" t="s">
        <v>495</v>
      </c>
      <c r="N599" s="271" t="s">
        <v>495</v>
      </c>
      <c r="O599" s="271" t="s">
        <v>495</v>
      </c>
      <c r="P599" s="271" t="s">
        <v>495</v>
      </c>
      <c r="Q599" s="272" t="s">
        <v>621</v>
      </c>
      <c r="R599" s="271" t="s">
        <v>495</v>
      </c>
      <c r="S599" s="271" t="s">
        <v>495</v>
      </c>
      <c r="T599" s="271" t="s">
        <v>495</v>
      </c>
      <c r="U599" s="271" t="s">
        <v>495</v>
      </c>
      <c r="V599" s="271" t="s">
        <v>495</v>
      </c>
      <c r="W599" s="271" t="s">
        <v>495</v>
      </c>
      <c r="X599" s="271" t="s">
        <v>495</v>
      </c>
      <c r="Y599" s="271" t="s">
        <v>495</v>
      </c>
      <c r="Z599" s="271" t="s">
        <v>495</v>
      </c>
      <c r="AA599" s="271" t="s">
        <v>495</v>
      </c>
      <c r="AB599" s="271" t="s">
        <v>495</v>
      </c>
      <c r="AC599" s="220" t="e">
        <v>#VALUE!</v>
      </c>
      <c r="AD599" s="132" t="e">
        <v>#VALUE!</v>
      </c>
      <c r="AE599" s="243">
        <v>46113</v>
      </c>
      <c r="BA599" s="2" t="s">
        <v>698</v>
      </c>
      <c r="BB599" s="2" t="e">
        <v>#N/A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</row>
    <row r="600" spans="1:82" ht="15" hidden="1" customHeight="1" outlineLevel="1" x14ac:dyDescent="0.3">
      <c r="A600" s="38" t="s">
        <v>699</v>
      </c>
      <c r="B600" s="271" t="s">
        <v>495</v>
      </c>
      <c r="C600" s="271" t="s">
        <v>495</v>
      </c>
      <c r="D600" s="271" t="s">
        <v>495</v>
      </c>
      <c r="E600" s="271" t="s">
        <v>495</v>
      </c>
      <c r="F600" s="271" t="s">
        <v>495</v>
      </c>
      <c r="G600" s="271" t="s">
        <v>495</v>
      </c>
      <c r="H600" s="271" t="s">
        <v>495</v>
      </c>
      <c r="I600" s="271" t="s">
        <v>495</v>
      </c>
      <c r="J600" s="271" t="s">
        <v>495</v>
      </c>
      <c r="K600" s="271" t="s">
        <v>495</v>
      </c>
      <c r="L600" s="271" t="s">
        <v>495</v>
      </c>
      <c r="M600" s="271" t="s">
        <v>495</v>
      </c>
      <c r="N600" s="271" t="s">
        <v>495</v>
      </c>
      <c r="O600" s="271" t="s">
        <v>495</v>
      </c>
      <c r="P600" s="271" t="s">
        <v>495</v>
      </c>
      <c r="Q600" s="272" t="s">
        <v>621</v>
      </c>
      <c r="R600" s="271" t="s">
        <v>495</v>
      </c>
      <c r="S600" s="271" t="s">
        <v>495</v>
      </c>
      <c r="T600" s="271" t="s">
        <v>495</v>
      </c>
      <c r="U600" s="271" t="s">
        <v>495</v>
      </c>
      <c r="V600" s="271" t="s">
        <v>495</v>
      </c>
      <c r="W600" s="271" t="s">
        <v>495</v>
      </c>
      <c r="X600" s="271" t="s">
        <v>495</v>
      </c>
      <c r="Y600" s="271" t="s">
        <v>495</v>
      </c>
      <c r="Z600" s="271" t="s">
        <v>495</v>
      </c>
      <c r="AA600" s="271" t="s">
        <v>495</v>
      </c>
      <c r="AB600" s="271" t="s">
        <v>495</v>
      </c>
      <c r="AC600" s="220" t="e">
        <v>#VALUE!</v>
      </c>
      <c r="AD600" s="132" t="e">
        <v>#VALUE!</v>
      </c>
      <c r="AE600" s="243">
        <v>46143</v>
      </c>
      <c r="BA600" s="2" t="s">
        <v>699</v>
      </c>
      <c r="BB600" s="2" t="e">
        <v>#N/A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</row>
    <row r="601" spans="1:82" ht="15" hidden="1" customHeight="1" outlineLevel="1" x14ac:dyDescent="0.3">
      <c r="A601" s="38" t="s">
        <v>700</v>
      </c>
      <c r="B601" s="271" t="s">
        <v>495</v>
      </c>
      <c r="C601" s="271" t="s">
        <v>495</v>
      </c>
      <c r="D601" s="271" t="s">
        <v>495</v>
      </c>
      <c r="E601" s="271" t="s">
        <v>495</v>
      </c>
      <c r="F601" s="271" t="s">
        <v>495</v>
      </c>
      <c r="G601" s="271" t="s">
        <v>495</v>
      </c>
      <c r="H601" s="271" t="s">
        <v>495</v>
      </c>
      <c r="I601" s="271" t="s">
        <v>495</v>
      </c>
      <c r="J601" s="271" t="s">
        <v>495</v>
      </c>
      <c r="K601" s="271" t="s">
        <v>495</v>
      </c>
      <c r="L601" s="271" t="s">
        <v>495</v>
      </c>
      <c r="M601" s="271" t="s">
        <v>495</v>
      </c>
      <c r="N601" s="271" t="s">
        <v>495</v>
      </c>
      <c r="O601" s="271" t="s">
        <v>495</v>
      </c>
      <c r="P601" s="271" t="s">
        <v>495</v>
      </c>
      <c r="Q601" s="272" t="s">
        <v>621</v>
      </c>
      <c r="R601" s="271" t="s">
        <v>495</v>
      </c>
      <c r="S601" s="271" t="s">
        <v>495</v>
      </c>
      <c r="T601" s="271" t="s">
        <v>495</v>
      </c>
      <c r="U601" s="271" t="s">
        <v>495</v>
      </c>
      <c r="V601" s="271" t="s">
        <v>495</v>
      </c>
      <c r="W601" s="271" t="s">
        <v>495</v>
      </c>
      <c r="X601" s="271" t="s">
        <v>495</v>
      </c>
      <c r="Y601" s="271" t="s">
        <v>495</v>
      </c>
      <c r="Z601" s="271" t="s">
        <v>495</v>
      </c>
      <c r="AA601" s="271" t="s">
        <v>495</v>
      </c>
      <c r="AB601" s="271" t="s">
        <v>495</v>
      </c>
      <c r="AC601" s="220" t="e">
        <v>#VALUE!</v>
      </c>
      <c r="AD601" s="132" t="e">
        <v>#VALUE!</v>
      </c>
      <c r="AE601" s="243">
        <v>46174</v>
      </c>
      <c r="BA601" s="2" t="s">
        <v>700</v>
      </c>
      <c r="BB601" s="2" t="e">
        <v>#N/A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</row>
    <row r="602" spans="1:82" ht="15" hidden="1" customHeight="1" outlineLevel="1" x14ac:dyDescent="0.3">
      <c r="A602" s="38" t="s">
        <v>701</v>
      </c>
      <c r="B602" s="271" t="s">
        <v>495</v>
      </c>
      <c r="C602" s="271" t="s">
        <v>495</v>
      </c>
      <c r="D602" s="271" t="s">
        <v>495</v>
      </c>
      <c r="E602" s="271" t="s">
        <v>495</v>
      </c>
      <c r="F602" s="271" t="s">
        <v>495</v>
      </c>
      <c r="G602" s="271" t="s">
        <v>495</v>
      </c>
      <c r="H602" s="271" t="s">
        <v>495</v>
      </c>
      <c r="I602" s="271" t="s">
        <v>495</v>
      </c>
      <c r="J602" s="271" t="s">
        <v>495</v>
      </c>
      <c r="K602" s="271" t="s">
        <v>495</v>
      </c>
      <c r="L602" s="271" t="s">
        <v>495</v>
      </c>
      <c r="M602" s="271" t="s">
        <v>495</v>
      </c>
      <c r="N602" s="271" t="s">
        <v>495</v>
      </c>
      <c r="O602" s="271" t="s">
        <v>495</v>
      </c>
      <c r="P602" s="271" t="s">
        <v>495</v>
      </c>
      <c r="Q602" s="272" t="s">
        <v>621</v>
      </c>
      <c r="R602" s="271" t="s">
        <v>495</v>
      </c>
      <c r="S602" s="271" t="s">
        <v>495</v>
      </c>
      <c r="T602" s="271" t="s">
        <v>495</v>
      </c>
      <c r="U602" s="271" t="s">
        <v>495</v>
      </c>
      <c r="V602" s="271" t="s">
        <v>495</v>
      </c>
      <c r="W602" s="271" t="s">
        <v>495</v>
      </c>
      <c r="X602" s="271" t="s">
        <v>495</v>
      </c>
      <c r="Y602" s="271" t="s">
        <v>495</v>
      </c>
      <c r="Z602" s="271" t="s">
        <v>495</v>
      </c>
      <c r="AA602" s="271" t="s">
        <v>495</v>
      </c>
      <c r="AB602" s="271" t="s">
        <v>495</v>
      </c>
      <c r="AC602" s="220" t="e">
        <v>#VALUE!</v>
      </c>
      <c r="AD602" s="132" t="e">
        <v>#VALUE!</v>
      </c>
      <c r="AE602" s="243">
        <v>46204</v>
      </c>
      <c r="BA602" s="2" t="s">
        <v>701</v>
      </c>
      <c r="BB602" s="2" t="e">
        <v>#N/A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</row>
    <row r="603" spans="1:82" ht="15" hidden="1" customHeight="1" outlineLevel="1" x14ac:dyDescent="0.3">
      <c r="A603" s="38" t="s">
        <v>702</v>
      </c>
      <c r="B603" s="271" t="s">
        <v>495</v>
      </c>
      <c r="C603" s="271" t="s">
        <v>495</v>
      </c>
      <c r="D603" s="271" t="s">
        <v>495</v>
      </c>
      <c r="E603" s="271" t="s">
        <v>495</v>
      </c>
      <c r="F603" s="271" t="s">
        <v>495</v>
      </c>
      <c r="G603" s="271" t="s">
        <v>495</v>
      </c>
      <c r="H603" s="271" t="s">
        <v>495</v>
      </c>
      <c r="I603" s="271" t="s">
        <v>495</v>
      </c>
      <c r="J603" s="271" t="s">
        <v>495</v>
      </c>
      <c r="K603" s="271" t="s">
        <v>495</v>
      </c>
      <c r="L603" s="271" t="s">
        <v>495</v>
      </c>
      <c r="M603" s="271" t="s">
        <v>495</v>
      </c>
      <c r="N603" s="271" t="s">
        <v>495</v>
      </c>
      <c r="O603" s="271" t="s">
        <v>495</v>
      </c>
      <c r="P603" s="271" t="s">
        <v>495</v>
      </c>
      <c r="Q603" s="272" t="s">
        <v>621</v>
      </c>
      <c r="R603" s="271" t="s">
        <v>495</v>
      </c>
      <c r="S603" s="271" t="s">
        <v>495</v>
      </c>
      <c r="T603" s="271" t="s">
        <v>495</v>
      </c>
      <c r="U603" s="271" t="s">
        <v>495</v>
      </c>
      <c r="V603" s="271" t="s">
        <v>495</v>
      </c>
      <c r="W603" s="271" t="s">
        <v>495</v>
      </c>
      <c r="X603" s="271" t="s">
        <v>495</v>
      </c>
      <c r="Y603" s="271" t="s">
        <v>495</v>
      </c>
      <c r="Z603" s="271" t="s">
        <v>495</v>
      </c>
      <c r="AA603" s="271" t="s">
        <v>495</v>
      </c>
      <c r="AB603" s="271" t="s">
        <v>495</v>
      </c>
      <c r="AC603" s="220" t="e">
        <v>#VALUE!</v>
      </c>
      <c r="AD603" s="132" t="e">
        <v>#VALUE!</v>
      </c>
      <c r="AE603" s="243">
        <v>46235</v>
      </c>
      <c r="BA603" s="2" t="s">
        <v>702</v>
      </c>
      <c r="BB603" s="2" t="e">
        <v>#N/A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</row>
    <row r="604" spans="1:82" ht="15" hidden="1" customHeight="1" outlineLevel="1" x14ac:dyDescent="0.3">
      <c r="A604" s="38" t="s">
        <v>703</v>
      </c>
      <c r="B604" s="271" t="s">
        <v>495</v>
      </c>
      <c r="C604" s="271" t="s">
        <v>495</v>
      </c>
      <c r="D604" s="271" t="s">
        <v>495</v>
      </c>
      <c r="E604" s="271" t="s">
        <v>495</v>
      </c>
      <c r="F604" s="271" t="s">
        <v>495</v>
      </c>
      <c r="G604" s="271" t="s">
        <v>495</v>
      </c>
      <c r="H604" s="271" t="s">
        <v>495</v>
      </c>
      <c r="I604" s="271" t="s">
        <v>495</v>
      </c>
      <c r="J604" s="271" t="s">
        <v>495</v>
      </c>
      <c r="K604" s="271" t="s">
        <v>495</v>
      </c>
      <c r="L604" s="271" t="s">
        <v>495</v>
      </c>
      <c r="M604" s="271" t="s">
        <v>495</v>
      </c>
      <c r="N604" s="271" t="s">
        <v>495</v>
      </c>
      <c r="O604" s="271" t="s">
        <v>495</v>
      </c>
      <c r="P604" s="271" t="s">
        <v>495</v>
      </c>
      <c r="Q604" s="272" t="s">
        <v>621</v>
      </c>
      <c r="R604" s="271" t="s">
        <v>495</v>
      </c>
      <c r="S604" s="271" t="s">
        <v>495</v>
      </c>
      <c r="T604" s="271" t="s">
        <v>495</v>
      </c>
      <c r="U604" s="271" t="s">
        <v>495</v>
      </c>
      <c r="V604" s="271" t="s">
        <v>495</v>
      </c>
      <c r="W604" s="271" t="s">
        <v>495</v>
      </c>
      <c r="X604" s="271" t="s">
        <v>495</v>
      </c>
      <c r="Y604" s="271" t="s">
        <v>495</v>
      </c>
      <c r="Z604" s="271" t="s">
        <v>495</v>
      </c>
      <c r="AA604" s="271" t="s">
        <v>495</v>
      </c>
      <c r="AB604" s="271" t="s">
        <v>495</v>
      </c>
      <c r="AC604" s="220" t="e">
        <v>#VALUE!</v>
      </c>
      <c r="AD604" s="132" t="e">
        <v>#VALUE!</v>
      </c>
      <c r="AE604" s="243">
        <v>46266</v>
      </c>
      <c r="BA604" s="2" t="s">
        <v>703</v>
      </c>
      <c r="BB604" s="2" t="e">
        <v>#N/A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</row>
    <row r="605" spans="1:82" ht="15" hidden="1" customHeight="1" outlineLevel="1" x14ac:dyDescent="0.3">
      <c r="A605" s="38" t="s">
        <v>704</v>
      </c>
      <c r="B605" s="271" t="s">
        <v>495</v>
      </c>
      <c r="C605" s="271" t="s">
        <v>495</v>
      </c>
      <c r="D605" s="271" t="s">
        <v>495</v>
      </c>
      <c r="E605" s="271" t="s">
        <v>495</v>
      </c>
      <c r="F605" s="271" t="s">
        <v>495</v>
      </c>
      <c r="G605" s="271" t="s">
        <v>495</v>
      </c>
      <c r="H605" s="271" t="s">
        <v>495</v>
      </c>
      <c r="I605" s="271" t="s">
        <v>495</v>
      </c>
      <c r="J605" s="271" t="s">
        <v>495</v>
      </c>
      <c r="K605" s="271" t="s">
        <v>495</v>
      </c>
      <c r="L605" s="271" t="s">
        <v>495</v>
      </c>
      <c r="M605" s="271" t="s">
        <v>495</v>
      </c>
      <c r="N605" s="271" t="s">
        <v>495</v>
      </c>
      <c r="O605" s="271" t="s">
        <v>495</v>
      </c>
      <c r="P605" s="271" t="s">
        <v>495</v>
      </c>
      <c r="Q605" s="272" t="s">
        <v>621</v>
      </c>
      <c r="R605" s="271" t="s">
        <v>495</v>
      </c>
      <c r="S605" s="271" t="s">
        <v>495</v>
      </c>
      <c r="T605" s="271" t="s">
        <v>495</v>
      </c>
      <c r="U605" s="271" t="s">
        <v>495</v>
      </c>
      <c r="V605" s="271" t="s">
        <v>495</v>
      </c>
      <c r="W605" s="271" t="s">
        <v>495</v>
      </c>
      <c r="X605" s="271" t="s">
        <v>495</v>
      </c>
      <c r="Y605" s="271" t="s">
        <v>495</v>
      </c>
      <c r="Z605" s="271" t="s">
        <v>495</v>
      </c>
      <c r="AA605" s="271" t="s">
        <v>495</v>
      </c>
      <c r="AB605" s="271" t="s">
        <v>495</v>
      </c>
      <c r="AC605" s="220" t="e">
        <v>#VALUE!</v>
      </c>
      <c r="AD605" s="132" t="e">
        <v>#VALUE!</v>
      </c>
      <c r="AE605" s="243">
        <v>46296</v>
      </c>
      <c r="BA605" s="2" t="s">
        <v>704</v>
      </c>
      <c r="BB605" s="2" t="e">
        <v>#N/A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</row>
    <row r="606" spans="1:82" ht="15" hidden="1" customHeight="1" outlineLevel="1" x14ac:dyDescent="0.3">
      <c r="A606" s="38" t="s">
        <v>705</v>
      </c>
      <c r="B606" s="271" t="s">
        <v>495</v>
      </c>
      <c r="C606" s="271" t="s">
        <v>495</v>
      </c>
      <c r="D606" s="271" t="s">
        <v>495</v>
      </c>
      <c r="E606" s="271" t="s">
        <v>495</v>
      </c>
      <c r="F606" s="271" t="s">
        <v>495</v>
      </c>
      <c r="G606" s="271" t="s">
        <v>495</v>
      </c>
      <c r="H606" s="271" t="s">
        <v>495</v>
      </c>
      <c r="I606" s="271" t="s">
        <v>495</v>
      </c>
      <c r="J606" s="271" t="s">
        <v>495</v>
      </c>
      <c r="K606" s="271" t="s">
        <v>495</v>
      </c>
      <c r="L606" s="271" t="s">
        <v>495</v>
      </c>
      <c r="M606" s="271" t="s">
        <v>495</v>
      </c>
      <c r="N606" s="271" t="s">
        <v>495</v>
      </c>
      <c r="O606" s="271" t="s">
        <v>495</v>
      </c>
      <c r="P606" s="271" t="s">
        <v>495</v>
      </c>
      <c r="Q606" s="272" t="s">
        <v>621</v>
      </c>
      <c r="R606" s="271" t="s">
        <v>495</v>
      </c>
      <c r="S606" s="271" t="s">
        <v>495</v>
      </c>
      <c r="T606" s="271" t="s">
        <v>495</v>
      </c>
      <c r="U606" s="271" t="s">
        <v>495</v>
      </c>
      <c r="V606" s="271" t="s">
        <v>495</v>
      </c>
      <c r="W606" s="271" t="s">
        <v>495</v>
      </c>
      <c r="X606" s="271" t="s">
        <v>495</v>
      </c>
      <c r="Y606" s="271" t="s">
        <v>495</v>
      </c>
      <c r="Z606" s="271" t="s">
        <v>495</v>
      </c>
      <c r="AA606" s="271" t="s">
        <v>495</v>
      </c>
      <c r="AB606" s="271" t="s">
        <v>495</v>
      </c>
      <c r="AC606" s="220" t="e">
        <v>#VALUE!</v>
      </c>
      <c r="AD606" s="132" t="e">
        <v>#VALUE!</v>
      </c>
      <c r="AE606" s="243">
        <v>46327</v>
      </c>
      <c r="BA606" s="2" t="s">
        <v>705</v>
      </c>
      <c r="BB606" s="2" t="e">
        <v>#N/A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</row>
    <row r="607" spans="1:82" ht="15" hidden="1" customHeight="1" outlineLevel="1" x14ac:dyDescent="0.3">
      <c r="A607" s="38" t="s">
        <v>706</v>
      </c>
      <c r="B607" s="271" t="s">
        <v>495</v>
      </c>
      <c r="C607" s="271" t="s">
        <v>495</v>
      </c>
      <c r="D607" s="271" t="s">
        <v>495</v>
      </c>
      <c r="E607" s="271" t="s">
        <v>495</v>
      </c>
      <c r="F607" s="271" t="s">
        <v>495</v>
      </c>
      <c r="G607" s="271" t="s">
        <v>495</v>
      </c>
      <c r="H607" s="271" t="s">
        <v>495</v>
      </c>
      <c r="I607" s="271" t="s">
        <v>495</v>
      </c>
      <c r="J607" s="271" t="s">
        <v>495</v>
      </c>
      <c r="K607" s="271" t="s">
        <v>495</v>
      </c>
      <c r="L607" s="271" t="s">
        <v>495</v>
      </c>
      <c r="M607" s="271" t="s">
        <v>495</v>
      </c>
      <c r="N607" s="271" t="s">
        <v>495</v>
      </c>
      <c r="O607" s="271" t="s">
        <v>495</v>
      </c>
      <c r="P607" s="271" t="s">
        <v>495</v>
      </c>
      <c r="Q607" s="272" t="s">
        <v>621</v>
      </c>
      <c r="R607" s="271" t="s">
        <v>495</v>
      </c>
      <c r="S607" s="271" t="s">
        <v>495</v>
      </c>
      <c r="T607" s="271" t="s">
        <v>495</v>
      </c>
      <c r="U607" s="271" t="s">
        <v>495</v>
      </c>
      <c r="V607" s="271" t="s">
        <v>495</v>
      </c>
      <c r="W607" s="271" t="s">
        <v>495</v>
      </c>
      <c r="X607" s="271" t="s">
        <v>495</v>
      </c>
      <c r="Y607" s="271" t="s">
        <v>495</v>
      </c>
      <c r="Z607" s="271" t="s">
        <v>495</v>
      </c>
      <c r="AA607" s="271" t="s">
        <v>495</v>
      </c>
      <c r="AB607" s="271" t="s">
        <v>495</v>
      </c>
      <c r="AC607" s="220" t="e">
        <v>#VALUE!</v>
      </c>
      <c r="AD607" s="132" t="e">
        <v>#VALUE!</v>
      </c>
      <c r="AE607" s="243">
        <v>46357</v>
      </c>
      <c r="BA607" s="2" t="s">
        <v>706</v>
      </c>
      <c r="BB607" s="2" t="e">
        <v>#N/A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</row>
    <row r="608" spans="1:82" collapsed="1" x14ac:dyDescent="0.25">
      <c r="B608" s="281"/>
      <c r="C608" s="281"/>
      <c r="D608" s="282"/>
      <c r="E608" s="282"/>
      <c r="F608" s="281"/>
      <c r="G608" s="281"/>
      <c r="H608" s="281"/>
      <c r="I608" s="281"/>
      <c r="J608" s="281"/>
      <c r="K608" s="281"/>
      <c r="L608" s="281"/>
      <c r="M608" s="281"/>
      <c r="N608" s="281"/>
      <c r="O608" s="281"/>
      <c r="P608" s="281"/>
      <c r="Q608" s="281"/>
      <c r="R608" s="281"/>
      <c r="S608" s="281"/>
      <c r="T608" s="281"/>
      <c r="U608" s="281"/>
      <c r="V608" s="281"/>
      <c r="W608" s="281"/>
      <c r="X608" s="281"/>
      <c r="Y608" s="281"/>
      <c r="Z608" s="281"/>
      <c r="AA608" s="282"/>
      <c r="AB608" s="281"/>
      <c r="BA608" s="2">
        <v>0</v>
      </c>
      <c r="BB608" s="2" t="e">
        <v>#VALUE!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</row>
    <row r="609" spans="2:82" x14ac:dyDescent="0.25">
      <c r="B609" s="270"/>
      <c r="C609" s="1" t="s">
        <v>707</v>
      </c>
      <c r="Q609" s="1" t="s">
        <v>620</v>
      </c>
      <c r="T609" s="274"/>
      <c r="U609" s="1" t="s">
        <v>670</v>
      </c>
      <c r="BA609" s="2">
        <v>0</v>
      </c>
      <c r="BB609" s="2" t="e">
        <v>#VALUE!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</row>
    <row r="610" spans="2:82" x14ac:dyDescent="0.25">
      <c r="BA610" s="2">
        <v>0</v>
      </c>
      <c r="BB610" s="2" t="e">
        <v>#VALUE!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</row>
    <row r="611" spans="2:82" x14ac:dyDescent="0.25">
      <c r="BA611" s="2">
        <v>0</v>
      </c>
      <c r="BB611" s="2" t="e">
        <v>#VALUE!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</row>
    <row r="612" spans="2:82" x14ac:dyDescent="0.25">
      <c r="BA612" s="2">
        <v>0</v>
      </c>
      <c r="BB612" s="2" t="e">
        <v>#VALUE!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</row>
    <row r="613" spans="2:82" x14ac:dyDescent="0.25">
      <c r="BA613" s="2">
        <v>0</v>
      </c>
      <c r="BB613" s="2" t="e">
        <v>#VALUE!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</row>
    <row r="614" spans="2:82" x14ac:dyDescent="0.25">
      <c r="BA614" s="2">
        <v>0</v>
      </c>
      <c r="BB614" s="2" t="e">
        <v>#VALUE!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</row>
    <row r="615" spans="2:82" x14ac:dyDescent="0.25">
      <c r="BA615" s="2">
        <v>0</v>
      </c>
      <c r="BB615" s="2" t="e">
        <v>#VALUE!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</row>
    <row r="616" spans="2:82" x14ac:dyDescent="0.25">
      <c r="BA616" s="2">
        <v>0</v>
      </c>
      <c r="BB616" s="2" t="e">
        <v>#VALUE!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</row>
    <row r="617" spans="2:82" x14ac:dyDescent="0.25">
      <c r="BA617" s="2">
        <v>0</v>
      </c>
      <c r="BB617" s="2" t="e">
        <v>#VALUE!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</row>
    <row r="618" spans="2:82" x14ac:dyDescent="0.25">
      <c r="BA618" s="2">
        <v>0</v>
      </c>
      <c r="BB618" s="2" t="e">
        <v>#VALUE!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</row>
    <row r="619" spans="2:82" x14ac:dyDescent="0.25">
      <c r="BA619" s="2">
        <v>0</v>
      </c>
      <c r="BB619" s="2" t="e">
        <v>#VALUE!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</row>
    <row r="620" spans="2:82" x14ac:dyDescent="0.25">
      <c r="BA620" s="2">
        <v>0</v>
      </c>
      <c r="BB620" s="2" t="e">
        <v>#VALUE!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</row>
    <row r="621" spans="2:82" x14ac:dyDescent="0.25">
      <c r="BA621" s="2">
        <v>0</v>
      </c>
      <c r="BB621" s="2" t="e">
        <v>#VALUE!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</row>
    <row r="622" spans="2:82" x14ac:dyDescent="0.25">
      <c r="BA622" s="2">
        <v>0</v>
      </c>
      <c r="BB622" s="2" t="e">
        <v>#VALUE!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</row>
    <row r="623" spans="2:82" x14ac:dyDescent="0.25">
      <c r="BA623" s="2">
        <v>0</v>
      </c>
      <c r="BB623" s="2" t="e">
        <v>#VALUE!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</row>
    <row r="624" spans="2:82" x14ac:dyDescent="0.25">
      <c r="BA624" s="2">
        <v>0</v>
      </c>
      <c r="BB624" s="2" t="e">
        <v>#VALUE!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</row>
    <row r="625" spans="53:82" x14ac:dyDescent="0.25">
      <c r="BA625" s="2">
        <v>0</v>
      </c>
      <c r="BB625" s="2" t="e">
        <v>#VALUE!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</row>
    <row r="626" spans="53:82" x14ac:dyDescent="0.25">
      <c r="BA626" s="2">
        <v>0</v>
      </c>
      <c r="BB626" s="2" t="e">
        <v>#VALUE!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</row>
    <row r="627" spans="53:82" x14ac:dyDescent="0.25">
      <c r="BA627" s="2">
        <v>0</v>
      </c>
      <c r="BB627" s="2" t="e">
        <v>#VALUE!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</row>
    <row r="628" spans="53:82" x14ac:dyDescent="0.25">
      <c r="BA628" s="2">
        <v>0</v>
      </c>
      <c r="BB628" s="2" t="e">
        <v>#VALUE!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</row>
    <row r="629" spans="53:82" x14ac:dyDescent="0.25">
      <c r="BA629" s="2">
        <v>0</v>
      </c>
      <c r="BB629" s="2" t="e">
        <v>#VALUE!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</row>
    <row r="630" spans="53:82" x14ac:dyDescent="0.25">
      <c r="BA630" s="2">
        <v>0</v>
      </c>
      <c r="BB630" s="2" t="e">
        <v>#VALUE!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</row>
    <row r="631" spans="53:82" x14ac:dyDescent="0.25">
      <c r="BA631" s="2">
        <v>0</v>
      </c>
      <c r="BB631" s="2" t="e">
        <v>#VALUE!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</row>
    <row r="632" spans="53:82" x14ac:dyDescent="0.25">
      <c r="BA632" s="2">
        <v>0</v>
      </c>
      <c r="BB632" s="2" t="e">
        <v>#VALUE!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</row>
    <row r="633" spans="53:82" x14ac:dyDescent="0.25">
      <c r="BA633" s="2">
        <v>0</v>
      </c>
      <c r="BB633" s="2" t="e">
        <v>#VALUE!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</row>
    <row r="634" spans="53:82" x14ac:dyDescent="0.25">
      <c r="BA634" s="2">
        <v>0</v>
      </c>
      <c r="BB634" s="2" t="e">
        <v>#VALUE!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</row>
    <row r="635" spans="53:82" x14ac:dyDescent="0.25">
      <c r="BA635" s="2">
        <v>0</v>
      </c>
      <c r="BB635" s="2" t="e">
        <v>#VALUE!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</row>
    <row r="636" spans="53:82" x14ac:dyDescent="0.25">
      <c r="BA636" s="2">
        <v>0</v>
      </c>
      <c r="BB636" s="2" t="e">
        <v>#VALUE!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</row>
    <row r="637" spans="53:82" x14ac:dyDescent="0.25">
      <c r="BA637" s="2">
        <v>0</v>
      </c>
      <c r="BB637" s="2" t="e">
        <v>#VALUE!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</row>
    <row r="638" spans="53:82" x14ac:dyDescent="0.25">
      <c r="BA638" s="2">
        <v>0</v>
      </c>
      <c r="BB638" s="2" t="e">
        <v>#VALUE!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</row>
    <row r="639" spans="53:82" x14ac:dyDescent="0.25">
      <c r="BA639" s="2">
        <v>0</v>
      </c>
      <c r="BB639" s="2" t="e">
        <v>#VALUE!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</row>
    <row r="640" spans="53:82" x14ac:dyDescent="0.25">
      <c r="BA640" s="2">
        <v>0</v>
      </c>
      <c r="BB640" s="2" t="e">
        <v>#VALUE!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</row>
    <row r="641" spans="53:82" x14ac:dyDescent="0.25">
      <c r="BA641" s="2">
        <v>0</v>
      </c>
      <c r="BB641" s="2" t="e">
        <v>#VALUE!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</row>
    <row r="642" spans="53:82" x14ac:dyDescent="0.25">
      <c r="BA642" s="2">
        <v>0</v>
      </c>
      <c r="BB642" s="2" t="e">
        <v>#VALUE!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</row>
    <row r="643" spans="53:82" x14ac:dyDescent="0.25">
      <c r="BA643" s="2">
        <v>0</v>
      </c>
      <c r="BB643" s="2" t="e">
        <v>#VALUE!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</row>
    <row r="644" spans="53:82" x14ac:dyDescent="0.25">
      <c r="BA644" s="2">
        <v>0</v>
      </c>
      <c r="BB644" s="2" t="e">
        <v>#VALUE!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</row>
    <row r="645" spans="53:82" x14ac:dyDescent="0.25">
      <c r="BA645" s="2">
        <v>0</v>
      </c>
      <c r="BB645" s="2" t="e">
        <v>#VALUE!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</row>
    <row r="646" spans="53:82" x14ac:dyDescent="0.25">
      <c r="BA646" s="2">
        <v>0</v>
      </c>
      <c r="BB646" s="2" t="e">
        <v>#VALUE!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</row>
    <row r="647" spans="53:82" x14ac:dyDescent="0.25">
      <c r="BA647" s="2">
        <v>0</v>
      </c>
      <c r="BB647" s="2" t="e">
        <v>#VALUE!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</row>
    <row r="648" spans="53:82" x14ac:dyDescent="0.25">
      <c r="BA648" s="2">
        <v>0</v>
      </c>
      <c r="BB648" s="2" t="e">
        <v>#VALUE!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</row>
    <row r="649" spans="53:82" x14ac:dyDescent="0.25">
      <c r="BA649" s="2">
        <v>0</v>
      </c>
      <c r="BB649" s="2" t="e">
        <v>#VALUE!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</row>
    <row r="650" spans="53:82" x14ac:dyDescent="0.25">
      <c r="BA650" s="2">
        <v>0</v>
      </c>
      <c r="BB650" s="2" t="e">
        <v>#VALUE!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</row>
    <row r="651" spans="53:82" x14ac:dyDescent="0.25">
      <c r="BA651" s="2">
        <v>0</v>
      </c>
      <c r="BB651" s="2" t="e">
        <v>#VALUE!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</row>
    <row r="652" spans="53:82" x14ac:dyDescent="0.25">
      <c r="BA652" s="2">
        <v>0</v>
      </c>
      <c r="BB652" s="2" t="e">
        <v>#VALUE!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</row>
    <row r="653" spans="53:82" x14ac:dyDescent="0.25">
      <c r="BA653" s="2">
        <v>0</v>
      </c>
      <c r="BB653" s="2" t="e">
        <v>#VALUE!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</row>
    <row r="654" spans="53:82" x14ac:dyDescent="0.25">
      <c r="BA654" s="2">
        <v>0</v>
      </c>
      <c r="BB654" s="2" t="e">
        <v>#VALUE!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</row>
    <row r="655" spans="53:82" x14ac:dyDescent="0.25">
      <c r="BA655" s="2">
        <v>0</v>
      </c>
      <c r="BB655" s="2" t="e">
        <v>#VALUE!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</row>
    <row r="656" spans="53:82" x14ac:dyDescent="0.25">
      <c r="BA656" s="2">
        <v>0</v>
      </c>
      <c r="BB656" s="2" t="e">
        <v>#VALUE!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</row>
    <row r="657" spans="53:82" x14ac:dyDescent="0.25">
      <c r="BA657" s="2">
        <v>0</v>
      </c>
      <c r="BB657" s="2" t="e">
        <v>#VALUE!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</row>
    <row r="658" spans="53:82" x14ac:dyDescent="0.25">
      <c r="BA658" s="2">
        <v>0</v>
      </c>
      <c r="BB658" s="2" t="e">
        <v>#VALUE!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</row>
    <row r="659" spans="53:82" x14ac:dyDescent="0.25">
      <c r="BA659" s="2">
        <v>0</v>
      </c>
      <c r="BB659" s="2" t="e">
        <v>#VALUE!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</row>
    <row r="660" spans="53:82" x14ac:dyDescent="0.25">
      <c r="BA660" s="2">
        <v>0</v>
      </c>
      <c r="BB660" s="2" t="e">
        <v>#VALUE!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</row>
    <row r="661" spans="53:82" x14ac:dyDescent="0.25">
      <c r="BA661" s="2">
        <v>0</v>
      </c>
      <c r="BB661" s="2" t="e">
        <v>#VALUE!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</row>
    <row r="662" spans="53:82" x14ac:dyDescent="0.25">
      <c r="BA662" s="2">
        <v>0</v>
      </c>
      <c r="BB662" s="2" t="e">
        <v>#VALUE!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</row>
    <row r="663" spans="53:82" x14ac:dyDescent="0.25">
      <c r="BA663" s="2">
        <v>0</v>
      </c>
      <c r="BB663" s="2" t="e">
        <v>#VALUE!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</row>
    <row r="664" spans="53:82" x14ac:dyDescent="0.25">
      <c r="BA664" s="2">
        <v>0</v>
      </c>
      <c r="BB664" s="2" t="e">
        <v>#VALUE!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</row>
    <row r="665" spans="53:82" x14ac:dyDescent="0.25">
      <c r="BA665" s="2">
        <v>0</v>
      </c>
      <c r="BB665" s="2" t="e">
        <v>#VALUE!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</row>
    <row r="666" spans="53:82" x14ac:dyDescent="0.25">
      <c r="BA666" s="2">
        <v>0</v>
      </c>
      <c r="BB666" s="2" t="e">
        <v>#VALUE!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</row>
    <row r="667" spans="53:82" x14ac:dyDescent="0.25">
      <c r="BA667" s="2">
        <v>0</v>
      </c>
      <c r="BB667" s="2" t="e">
        <v>#VALUE!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</row>
    <row r="668" spans="53:82" x14ac:dyDescent="0.25">
      <c r="BA668" s="2">
        <v>0</v>
      </c>
      <c r="BB668" s="2" t="e">
        <v>#VALUE!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</row>
    <row r="669" spans="53:82" x14ac:dyDescent="0.25">
      <c r="BA669" s="2">
        <v>0</v>
      </c>
      <c r="BB669" s="2" t="e">
        <v>#VALUE!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</row>
    <row r="670" spans="53:82" x14ac:dyDescent="0.25">
      <c r="BA670" s="2">
        <v>0</v>
      </c>
      <c r="BB670" s="2" t="e">
        <v>#VALUE!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</row>
    <row r="671" spans="53:82" x14ac:dyDescent="0.25">
      <c r="BA671" s="2">
        <v>0</v>
      </c>
      <c r="BB671" s="2" t="e">
        <v>#VALUE!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</row>
    <row r="672" spans="53:82" x14ac:dyDescent="0.25">
      <c r="BA672" s="2">
        <v>0</v>
      </c>
      <c r="BB672" s="2" t="e">
        <v>#VALUE!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</row>
    <row r="673" spans="53:82" x14ac:dyDescent="0.25">
      <c r="BA673" s="2">
        <v>0</v>
      </c>
      <c r="BB673" s="2" t="e">
        <v>#VALUE!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</row>
    <row r="674" spans="53:82" x14ac:dyDescent="0.25">
      <c r="BA674" s="2">
        <v>0</v>
      </c>
      <c r="BB674" s="2" t="e">
        <v>#VALUE!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</row>
    <row r="675" spans="53:82" x14ac:dyDescent="0.25">
      <c r="BA675" s="2">
        <v>0</v>
      </c>
      <c r="BB675" s="2" t="e">
        <v>#VALUE!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</row>
    <row r="676" spans="53:82" x14ac:dyDescent="0.25">
      <c r="BA676" s="2">
        <v>0</v>
      </c>
      <c r="BB676" s="2" t="e">
        <v>#VALUE!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</row>
    <row r="677" spans="53:82" x14ac:dyDescent="0.25">
      <c r="BA677" s="2">
        <v>0</v>
      </c>
      <c r="BB677" s="2" t="e">
        <v>#VALUE!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</row>
    <row r="678" spans="53:82" x14ac:dyDescent="0.25">
      <c r="BA678" s="2">
        <v>0</v>
      </c>
      <c r="BB678" s="2" t="e">
        <v>#VALUE!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</row>
    <row r="679" spans="53:82" x14ac:dyDescent="0.25">
      <c r="BA679" s="2">
        <v>0</v>
      </c>
      <c r="BB679" s="2" t="e">
        <v>#VALUE!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</row>
    <row r="680" spans="53:82" x14ac:dyDescent="0.25">
      <c r="BA680" s="2">
        <v>0</v>
      </c>
      <c r="BB680" s="2" t="e">
        <v>#VALUE!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</row>
    <row r="681" spans="53:82" x14ac:dyDescent="0.25">
      <c r="BA681" s="2">
        <v>0</v>
      </c>
      <c r="BB681" s="2" t="e">
        <v>#VALUE!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</row>
    <row r="682" spans="53:82" x14ac:dyDescent="0.25">
      <c r="BA682" s="2">
        <v>0</v>
      </c>
      <c r="BB682" s="2" t="e">
        <v>#VALUE!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</row>
    <row r="683" spans="53:82" x14ac:dyDescent="0.25">
      <c r="BA683" s="2">
        <v>0</v>
      </c>
      <c r="BB683" s="2" t="e">
        <v>#VALUE!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</row>
    <row r="684" spans="53:82" x14ac:dyDescent="0.25">
      <c r="BA684" s="2">
        <v>0</v>
      </c>
      <c r="BB684" s="2" t="e">
        <v>#VALUE!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</row>
    <row r="685" spans="53:82" x14ac:dyDescent="0.25">
      <c r="BA685" s="2">
        <v>0</v>
      </c>
      <c r="BB685" s="2" t="e">
        <v>#VALUE!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</row>
    <row r="686" spans="53:82" x14ac:dyDescent="0.25">
      <c r="BA686" s="2">
        <v>0</v>
      </c>
      <c r="BB686" s="2" t="e">
        <v>#VALUE!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</row>
    <row r="687" spans="53:82" x14ac:dyDescent="0.25">
      <c r="BA687" s="2">
        <v>0</v>
      </c>
      <c r="BB687" s="2" t="e">
        <v>#VALUE!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</row>
    <row r="688" spans="53:82" x14ac:dyDescent="0.25">
      <c r="BA688" s="2">
        <v>0</v>
      </c>
      <c r="BB688" s="2" t="e">
        <v>#VALUE!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</row>
    <row r="689" spans="53:82" x14ac:dyDescent="0.25">
      <c r="BA689" s="2">
        <v>0</v>
      </c>
      <c r="BB689" s="2" t="e">
        <v>#VALUE!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</row>
    <row r="690" spans="53:82" x14ac:dyDescent="0.25">
      <c r="BA690" s="2">
        <v>0</v>
      </c>
      <c r="BB690" s="2" t="e">
        <v>#VALUE!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</row>
    <row r="691" spans="53:82" x14ac:dyDescent="0.25">
      <c r="BA691" s="2">
        <v>0</v>
      </c>
      <c r="BB691" s="2" t="e">
        <v>#VALUE!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</row>
    <row r="692" spans="53:82" x14ac:dyDescent="0.25">
      <c r="BA692" s="2">
        <v>0</v>
      </c>
      <c r="BB692" s="2" t="e">
        <v>#VALUE!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</row>
    <row r="693" spans="53:82" x14ac:dyDescent="0.25">
      <c r="BA693" s="2">
        <v>0</v>
      </c>
      <c r="BB693" s="2" t="e">
        <v>#VALUE!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</row>
    <row r="694" spans="53:82" x14ac:dyDescent="0.25">
      <c r="BA694" s="2">
        <v>0</v>
      </c>
      <c r="BB694" s="2" t="e">
        <v>#VALUE!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</row>
    <row r="695" spans="53:82" x14ac:dyDescent="0.25">
      <c r="BA695" s="2">
        <v>0</v>
      </c>
      <c r="BB695" s="2" t="e">
        <v>#VALUE!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</row>
    <row r="696" spans="53:82" x14ac:dyDescent="0.25">
      <c r="BA696" s="2">
        <v>0</v>
      </c>
      <c r="BB696" s="2" t="e">
        <v>#VALUE!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</row>
    <row r="697" spans="53:82" x14ac:dyDescent="0.25">
      <c r="BA697" s="2">
        <v>0</v>
      </c>
      <c r="BB697" s="2" t="e">
        <v>#VALUE!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</row>
    <row r="698" spans="53:82" x14ac:dyDescent="0.25">
      <c r="BA698" s="2">
        <v>0</v>
      </c>
      <c r="BB698" s="2" t="e">
        <v>#VALUE!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</row>
    <row r="699" spans="53:82" x14ac:dyDescent="0.25">
      <c r="BA699" s="2">
        <v>0</v>
      </c>
      <c r="BB699" s="2" t="e">
        <v>#VALUE!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</row>
    <row r="700" spans="53:82" x14ac:dyDescent="0.25">
      <c r="BA700" s="2">
        <v>0</v>
      </c>
      <c r="BB700" s="2" t="e">
        <v>#VALUE!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</row>
    <row r="701" spans="53:82" x14ac:dyDescent="0.25">
      <c r="BA701" s="2">
        <v>0</v>
      </c>
      <c r="BB701" s="2" t="e">
        <v>#VALUE!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</row>
    <row r="702" spans="53:82" x14ac:dyDescent="0.25">
      <c r="BA702" s="2">
        <v>0</v>
      </c>
      <c r="BB702" s="2" t="e">
        <v>#VALUE!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</row>
    <row r="703" spans="53:82" x14ac:dyDescent="0.25">
      <c r="BA703" s="2">
        <v>0</v>
      </c>
      <c r="BB703" s="2" t="e">
        <v>#VALUE!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</row>
    <row r="704" spans="53:82" x14ac:dyDescent="0.25">
      <c r="BA704" s="2">
        <v>0</v>
      </c>
      <c r="BB704" s="2" t="e">
        <v>#VALUE!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</row>
    <row r="705" spans="53:82" x14ac:dyDescent="0.25">
      <c r="BA705" s="2">
        <v>0</v>
      </c>
      <c r="BB705" s="2" t="e">
        <v>#VALUE!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</row>
    <row r="706" spans="53:82" x14ac:dyDescent="0.25">
      <c r="BA706" s="2">
        <v>0</v>
      </c>
      <c r="BB706" s="2" t="e">
        <v>#VALUE!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</row>
    <row r="707" spans="53:82" x14ac:dyDescent="0.25">
      <c r="BA707" s="2">
        <v>0</v>
      </c>
      <c r="BB707" s="2" t="e">
        <v>#VALUE!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</row>
    <row r="708" spans="53:82" x14ac:dyDescent="0.25">
      <c r="BA708" s="2">
        <v>0</v>
      </c>
      <c r="BB708" s="2" t="e">
        <v>#VALUE!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</row>
    <row r="709" spans="53:82" x14ac:dyDescent="0.25">
      <c r="BA709" s="2">
        <v>0</v>
      </c>
      <c r="BB709" s="2" t="e">
        <v>#VALUE!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</row>
    <row r="710" spans="53:82" x14ac:dyDescent="0.25">
      <c r="BA710" s="2">
        <v>0</v>
      </c>
      <c r="BB710" s="2" t="e">
        <v>#VALUE!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</row>
    <row r="711" spans="53:82" x14ac:dyDescent="0.25">
      <c r="BA711" s="2">
        <v>0</v>
      </c>
      <c r="BB711" s="2" t="e">
        <v>#VALUE!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</row>
    <row r="712" spans="53:82" x14ac:dyDescent="0.25">
      <c r="BA712" s="2">
        <v>0</v>
      </c>
      <c r="BB712" s="2" t="e">
        <v>#VALUE!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</row>
    <row r="713" spans="53:82" x14ac:dyDescent="0.25">
      <c r="BA713" s="2">
        <v>0</v>
      </c>
      <c r="BB713" s="2" t="e">
        <v>#VALUE!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</row>
    <row r="714" spans="53:82" x14ac:dyDescent="0.25">
      <c r="BA714" s="2">
        <v>0</v>
      </c>
      <c r="BB714" s="2" t="e">
        <v>#VALUE!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</row>
    <row r="715" spans="53:82" x14ac:dyDescent="0.25">
      <c r="BA715" s="2">
        <v>0</v>
      </c>
      <c r="BB715" s="2" t="e">
        <v>#VALUE!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</row>
    <row r="716" spans="53:82" x14ac:dyDescent="0.25">
      <c r="BA716" s="2">
        <v>0</v>
      </c>
      <c r="BB716" s="2" t="e">
        <v>#VALUE!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</row>
    <row r="717" spans="53:82" x14ac:dyDescent="0.25">
      <c r="BA717" s="2">
        <v>0</v>
      </c>
      <c r="BB717" s="2" t="e">
        <v>#VALUE!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</row>
    <row r="718" spans="53:82" x14ac:dyDescent="0.25">
      <c r="BA718" s="2">
        <v>0</v>
      </c>
      <c r="BB718" s="2" t="e">
        <v>#VALUE!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</row>
    <row r="719" spans="53:82" x14ac:dyDescent="0.25">
      <c r="BA719" s="2">
        <v>0</v>
      </c>
      <c r="BB719" s="2" t="e">
        <v>#VALUE!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</row>
    <row r="720" spans="53:82" x14ac:dyDescent="0.25">
      <c r="BA720" s="2">
        <v>0</v>
      </c>
      <c r="BB720" s="2" t="e">
        <v>#VALUE!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</row>
    <row r="721" spans="53:82" x14ac:dyDescent="0.25">
      <c r="BA721" s="2">
        <v>0</v>
      </c>
      <c r="BB721" s="2" t="e">
        <v>#VALUE!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</row>
    <row r="722" spans="53:82" x14ac:dyDescent="0.25">
      <c r="BA722" s="2">
        <v>0</v>
      </c>
      <c r="BB722" s="2" t="e">
        <v>#VALUE!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</row>
    <row r="723" spans="53:82" x14ac:dyDescent="0.25">
      <c r="BA723" s="2">
        <v>0</v>
      </c>
      <c r="BB723" s="2" t="e">
        <v>#VALUE!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</row>
    <row r="724" spans="53:82" x14ac:dyDescent="0.25">
      <c r="BA724" s="2">
        <v>0</v>
      </c>
      <c r="BB724" s="2" t="e">
        <v>#VALUE!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</row>
    <row r="725" spans="53:82" x14ac:dyDescent="0.25">
      <c r="BA725" s="2">
        <v>0</v>
      </c>
      <c r="BB725" s="2" t="e">
        <v>#VALUE!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</row>
    <row r="726" spans="53:82" x14ac:dyDescent="0.25">
      <c r="BA726" s="2">
        <v>0</v>
      </c>
      <c r="BB726" s="2" t="e">
        <v>#VALUE!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</row>
    <row r="727" spans="53:82" x14ac:dyDescent="0.25">
      <c r="BA727" s="2">
        <v>0</v>
      </c>
      <c r="BB727" s="2" t="e">
        <v>#VALUE!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</row>
    <row r="728" spans="53:82" x14ac:dyDescent="0.25">
      <c r="BA728" s="2">
        <v>0</v>
      </c>
      <c r="BB728" s="2" t="e">
        <v>#VALUE!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</row>
    <row r="729" spans="53:82" x14ac:dyDescent="0.25">
      <c r="BA729" s="2">
        <v>0</v>
      </c>
      <c r="BB729" s="2" t="e">
        <v>#VALUE!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</row>
    <row r="730" spans="53:82" x14ac:dyDescent="0.25">
      <c r="BA730" s="2">
        <v>0</v>
      </c>
      <c r="BB730" s="2" t="e">
        <v>#VALUE!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</row>
    <row r="731" spans="53:82" x14ac:dyDescent="0.25">
      <c r="BA731" s="2">
        <v>0</v>
      </c>
      <c r="BB731" s="2" t="e">
        <v>#VALUE!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</row>
    <row r="732" spans="53:82" x14ac:dyDescent="0.25">
      <c r="BA732" s="2">
        <v>0</v>
      </c>
      <c r="BB732" s="2" t="e">
        <v>#VALUE!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</row>
    <row r="733" spans="53:82" x14ac:dyDescent="0.25">
      <c r="BA733" s="2">
        <v>0</v>
      </c>
      <c r="BB733" s="2" t="e">
        <v>#VALUE!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</row>
    <row r="734" spans="53:82" x14ac:dyDescent="0.25">
      <c r="BA734" s="2">
        <v>0</v>
      </c>
      <c r="BB734" s="2" t="e">
        <v>#VALUE!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</row>
    <row r="735" spans="53:82" x14ac:dyDescent="0.25">
      <c r="BA735" s="2">
        <v>0</v>
      </c>
      <c r="BB735" s="2" t="e">
        <v>#VALUE!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</row>
    <row r="736" spans="53:82" x14ac:dyDescent="0.25">
      <c r="BA736" s="2">
        <v>0</v>
      </c>
      <c r="BB736" s="2" t="e">
        <v>#VALUE!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</row>
    <row r="737" spans="53:82" x14ac:dyDescent="0.25">
      <c r="BA737" s="2">
        <v>0</v>
      </c>
      <c r="BB737" s="2" t="e">
        <v>#VALUE!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</row>
    <row r="738" spans="53:82" x14ac:dyDescent="0.25">
      <c r="BA738" s="2">
        <v>0</v>
      </c>
      <c r="BB738" s="2" t="e">
        <v>#VALUE!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</row>
    <row r="739" spans="53:82" x14ac:dyDescent="0.25">
      <c r="BA739" s="2">
        <v>0</v>
      </c>
      <c r="BB739" s="2" t="e">
        <v>#VALUE!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</row>
    <row r="740" spans="53:82" x14ac:dyDescent="0.25">
      <c r="BA740" s="2">
        <v>0</v>
      </c>
      <c r="BB740" s="2" t="e">
        <v>#VALUE!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</row>
    <row r="741" spans="53:82" x14ac:dyDescent="0.25">
      <c r="BA741" s="2">
        <v>0</v>
      </c>
      <c r="BB741" s="2" t="e">
        <v>#VALUE!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</row>
    <row r="742" spans="53:82" x14ac:dyDescent="0.25">
      <c r="BA742" s="2">
        <v>0</v>
      </c>
      <c r="BB742" s="2" t="e">
        <v>#VALUE!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</row>
    <row r="743" spans="53:82" x14ac:dyDescent="0.25">
      <c r="BA743" s="2">
        <v>0</v>
      </c>
      <c r="BB743" s="2" t="e">
        <v>#VALUE!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</row>
    <row r="744" spans="53:82" x14ac:dyDescent="0.25">
      <c r="BA744" s="2">
        <v>0</v>
      </c>
      <c r="BB744" s="2" t="e">
        <v>#VALUE!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</row>
    <row r="745" spans="53:82" x14ac:dyDescent="0.25">
      <c r="BA745" s="2">
        <v>0</v>
      </c>
      <c r="BB745" s="2" t="e">
        <v>#VALUE!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</row>
    <row r="746" spans="53:82" x14ac:dyDescent="0.25">
      <c r="BA746" s="2">
        <v>0</v>
      </c>
      <c r="BB746" s="2" t="e">
        <v>#VALUE!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</row>
    <row r="747" spans="53:82" x14ac:dyDescent="0.25">
      <c r="BA747" s="2">
        <v>0</v>
      </c>
      <c r="BB747" s="2" t="e">
        <v>#VALUE!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</row>
    <row r="748" spans="53:82" x14ac:dyDescent="0.25">
      <c r="BA748" s="2">
        <v>0</v>
      </c>
      <c r="BB748" s="2" t="e">
        <v>#VALUE!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</row>
    <row r="749" spans="53:82" x14ac:dyDescent="0.25">
      <c r="BA749" s="2">
        <v>0</v>
      </c>
      <c r="BB749" s="2" t="e">
        <v>#VALUE!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</row>
    <row r="750" spans="53:82" x14ac:dyDescent="0.25">
      <c r="BA750" s="2">
        <v>0</v>
      </c>
      <c r="BB750" s="2" t="e">
        <v>#VALUE!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</row>
    <row r="751" spans="53:82" x14ac:dyDescent="0.25">
      <c r="BA751" s="2">
        <v>0</v>
      </c>
      <c r="BB751" s="2" t="e">
        <v>#VALUE!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</row>
    <row r="752" spans="53:82" x14ac:dyDescent="0.25">
      <c r="BA752" s="2">
        <v>0</v>
      </c>
      <c r="BB752" s="2" t="e">
        <v>#VALUE!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</row>
    <row r="753" spans="53:82" x14ac:dyDescent="0.25">
      <c r="BA753" s="2">
        <v>0</v>
      </c>
      <c r="BB753" s="2" t="e">
        <v>#VALUE!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</row>
    <row r="754" spans="53:82" x14ac:dyDescent="0.25">
      <c r="BA754" s="2">
        <v>0</v>
      </c>
      <c r="BB754" s="2" t="e">
        <v>#VALUE!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</row>
    <row r="755" spans="53:82" x14ac:dyDescent="0.25">
      <c r="BA755" s="2">
        <v>0</v>
      </c>
      <c r="BB755" s="2" t="e">
        <v>#VALUE!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</row>
    <row r="756" spans="53:82" x14ac:dyDescent="0.25">
      <c r="BA756" s="2">
        <v>0</v>
      </c>
      <c r="BB756" s="2" t="e">
        <v>#VALUE!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</row>
    <row r="757" spans="53:82" x14ac:dyDescent="0.25">
      <c r="BA757" s="2">
        <v>0</v>
      </c>
      <c r="BB757" s="2" t="e">
        <v>#VALUE!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</row>
    <row r="758" spans="53:82" x14ac:dyDescent="0.25">
      <c r="BA758" s="2">
        <v>0</v>
      </c>
      <c r="BB758" s="2" t="e">
        <v>#VALUE!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</row>
    <row r="759" spans="53:82" x14ac:dyDescent="0.25">
      <c r="BA759" s="2">
        <v>0</v>
      </c>
      <c r="BB759" s="2" t="e">
        <v>#VALUE!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</row>
    <row r="760" spans="53:82" x14ac:dyDescent="0.25">
      <c r="BA760" s="2">
        <v>0</v>
      </c>
      <c r="BB760" s="2" t="e">
        <v>#VALUE!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</row>
    <row r="761" spans="53:82" x14ac:dyDescent="0.25">
      <c r="BA761" s="2">
        <v>0</v>
      </c>
      <c r="BB761" s="2" t="e">
        <v>#VALUE!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</row>
    <row r="762" spans="53:82" x14ac:dyDescent="0.25">
      <c r="BA762" s="2">
        <v>0</v>
      </c>
      <c r="BB762" s="2" t="e">
        <v>#VALUE!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</row>
    <row r="763" spans="53:82" x14ac:dyDescent="0.25">
      <c r="BA763" s="2">
        <v>0</v>
      </c>
      <c r="BB763" s="2" t="e">
        <v>#VALUE!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</row>
    <row r="764" spans="53:82" x14ac:dyDescent="0.25">
      <c r="BA764" s="2">
        <v>0</v>
      </c>
      <c r="BB764" s="2" t="e">
        <v>#VALUE!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</row>
    <row r="765" spans="53:82" x14ac:dyDescent="0.25">
      <c r="BA765" s="2">
        <v>0</v>
      </c>
      <c r="BB765" s="2" t="e">
        <v>#VALUE!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</row>
    <row r="766" spans="53:82" x14ac:dyDescent="0.25">
      <c r="BA766" s="2">
        <v>0</v>
      </c>
      <c r="BB766" s="2" t="e">
        <v>#VALUE!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</row>
    <row r="767" spans="53:82" x14ac:dyDescent="0.25">
      <c r="BA767" s="2">
        <v>0</v>
      </c>
      <c r="BB767" s="2" t="e">
        <v>#VALUE!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</row>
    <row r="768" spans="53:82" x14ac:dyDescent="0.25">
      <c r="BA768" s="2">
        <v>0</v>
      </c>
      <c r="BB768" s="2" t="e">
        <v>#VALUE!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</row>
    <row r="769" spans="53:82" x14ac:dyDescent="0.25">
      <c r="BA769" s="2">
        <v>0</v>
      </c>
      <c r="BB769" s="2" t="e">
        <v>#VALUE!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</row>
    <row r="770" spans="53:82" x14ac:dyDescent="0.25">
      <c r="BA770" s="2">
        <v>0</v>
      </c>
      <c r="BB770" s="2" t="e">
        <v>#VALUE!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</row>
    <row r="771" spans="53:82" x14ac:dyDescent="0.25">
      <c r="BA771" s="2">
        <v>0</v>
      </c>
      <c r="BB771" s="2" t="e">
        <v>#VALUE!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</row>
    <row r="772" spans="53:82" x14ac:dyDescent="0.25">
      <c r="BA772" s="2">
        <v>0</v>
      </c>
      <c r="BB772" s="2" t="e">
        <v>#VALUE!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</row>
    <row r="773" spans="53:82" x14ac:dyDescent="0.25">
      <c r="BA773" s="2">
        <v>0</v>
      </c>
      <c r="BB773" s="2" t="e">
        <v>#VALUE!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</row>
    <row r="774" spans="53:82" x14ac:dyDescent="0.25">
      <c r="BA774" s="2">
        <v>0</v>
      </c>
      <c r="BB774" s="2" t="e">
        <v>#VALUE!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</row>
    <row r="775" spans="53:82" x14ac:dyDescent="0.25">
      <c r="BA775" s="2">
        <v>0</v>
      </c>
      <c r="BB775" s="2" t="e">
        <v>#VALUE!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</row>
    <row r="776" spans="53:82" x14ac:dyDescent="0.25">
      <c r="BA776" s="2">
        <v>0</v>
      </c>
      <c r="BB776" s="2" t="e">
        <v>#VALUE!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</row>
    <row r="777" spans="53:82" x14ac:dyDescent="0.25">
      <c r="BA777" s="2">
        <v>0</v>
      </c>
      <c r="BB777" s="2" t="e">
        <v>#VALUE!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</row>
    <row r="778" spans="53:82" x14ac:dyDescent="0.25">
      <c r="BA778" s="2">
        <v>0</v>
      </c>
      <c r="BB778" s="2" t="e">
        <v>#VALUE!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</row>
    <row r="779" spans="53:82" x14ac:dyDescent="0.25">
      <c r="BA779" s="2">
        <v>0</v>
      </c>
      <c r="BB779" s="2" t="e">
        <v>#VALUE!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</row>
    <row r="780" spans="53:82" x14ac:dyDescent="0.25">
      <c r="BA780" s="2">
        <v>0</v>
      </c>
      <c r="BB780" s="2" t="e">
        <v>#VALUE!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</row>
    <row r="781" spans="53:82" x14ac:dyDescent="0.25">
      <c r="BA781" s="2">
        <v>0</v>
      </c>
      <c r="BB781" s="2" t="e">
        <v>#VALUE!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</row>
    <row r="782" spans="53:82" x14ac:dyDescent="0.25">
      <c r="BA782" s="2">
        <v>0</v>
      </c>
      <c r="BB782" s="2" t="e">
        <v>#VALUE!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</row>
    <row r="783" spans="53:82" x14ac:dyDescent="0.25">
      <c r="BA783" s="2">
        <v>0</v>
      </c>
      <c r="BB783" s="2" t="e">
        <v>#VALUE!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</row>
    <row r="784" spans="53:82" x14ac:dyDescent="0.25">
      <c r="BA784" s="2">
        <v>0</v>
      </c>
      <c r="BB784" s="2" t="e">
        <v>#VALUE!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</row>
    <row r="785" spans="53:82" x14ac:dyDescent="0.25">
      <c r="BA785" s="2">
        <v>0</v>
      </c>
      <c r="BB785" s="2" t="e">
        <v>#VALUE!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</row>
    <row r="786" spans="53:82" x14ac:dyDescent="0.25">
      <c r="BA786" s="2">
        <v>0</v>
      </c>
      <c r="BB786" s="2" t="e">
        <v>#VALUE!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</row>
    <row r="787" spans="53:82" x14ac:dyDescent="0.25">
      <c r="BA787" s="2">
        <v>0</v>
      </c>
      <c r="BB787" s="2" t="e">
        <v>#VALUE!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</row>
    <row r="788" spans="53:82" x14ac:dyDescent="0.25">
      <c r="BA788" s="2">
        <v>0</v>
      </c>
      <c r="BB788" s="2" t="e">
        <v>#VALUE!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</row>
    <row r="789" spans="53:82" x14ac:dyDescent="0.25">
      <c r="BA789" s="2">
        <v>0</v>
      </c>
      <c r="BB789" s="2" t="e">
        <v>#VALUE!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</row>
    <row r="790" spans="53:82" x14ac:dyDescent="0.25">
      <c r="BA790" s="2">
        <v>0</v>
      </c>
      <c r="BB790" s="2" t="e">
        <v>#VALUE!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</row>
    <row r="791" spans="53:82" x14ac:dyDescent="0.25">
      <c r="BA791" s="2">
        <v>0</v>
      </c>
      <c r="BB791" s="2" t="e">
        <v>#VALUE!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</row>
    <row r="792" spans="53:82" x14ac:dyDescent="0.25">
      <c r="BA792" s="2">
        <v>0</v>
      </c>
      <c r="BB792" s="2" t="e">
        <v>#VALUE!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</row>
    <row r="793" spans="53:82" x14ac:dyDescent="0.25">
      <c r="BA793" s="2">
        <v>0</v>
      </c>
      <c r="BB793" s="2" t="e">
        <v>#VALUE!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</row>
    <row r="794" spans="53:82" x14ac:dyDescent="0.25">
      <c r="BA794" s="2">
        <v>0</v>
      </c>
      <c r="BB794" s="2" t="e">
        <v>#VALUE!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</row>
    <row r="795" spans="53:82" x14ac:dyDescent="0.25">
      <c r="BA795" s="2">
        <v>0</v>
      </c>
      <c r="BB795" s="2" t="e">
        <v>#VALUE!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</row>
    <row r="796" spans="53:82" x14ac:dyDescent="0.25">
      <c r="BA796" s="2">
        <v>0</v>
      </c>
      <c r="BB796" s="2" t="e">
        <v>#VALUE!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</row>
    <row r="797" spans="53:82" x14ac:dyDescent="0.25">
      <c r="BA797" s="2">
        <v>0</v>
      </c>
      <c r="BB797" s="2" t="e">
        <v>#VALUE!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</row>
    <row r="798" spans="53:82" x14ac:dyDescent="0.25">
      <c r="BA798" s="2">
        <v>0</v>
      </c>
      <c r="BB798" s="2" t="e">
        <v>#VALUE!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</row>
    <row r="799" spans="53:82" x14ac:dyDescent="0.25">
      <c r="BA799" s="2">
        <v>0</v>
      </c>
      <c r="BB799" s="2" t="e">
        <v>#VALUE!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</row>
    <row r="800" spans="53:82" x14ac:dyDescent="0.25">
      <c r="BA800" s="2">
        <v>0</v>
      </c>
      <c r="BB800" s="2" t="e">
        <v>#VALUE!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</row>
    <row r="801" spans="53:82" x14ac:dyDescent="0.25">
      <c r="BA801" s="2">
        <v>0</v>
      </c>
      <c r="BB801" s="2" t="e">
        <v>#VALUE!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</row>
    <row r="802" spans="53:82" x14ac:dyDescent="0.25">
      <c r="BA802" s="2">
        <v>0</v>
      </c>
      <c r="BB802" s="2" t="e">
        <v>#VALUE!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</row>
    <row r="803" spans="53:82" x14ac:dyDescent="0.25">
      <c r="BA803" s="2">
        <v>0</v>
      </c>
      <c r="BB803" s="2" t="e">
        <v>#VALUE!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</row>
    <row r="804" spans="53:82" x14ac:dyDescent="0.25">
      <c r="BA804" s="2">
        <v>0</v>
      </c>
      <c r="BB804" s="2" t="e">
        <v>#VALUE!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</row>
    <row r="805" spans="53:82" x14ac:dyDescent="0.25">
      <c r="BA805" s="2">
        <v>0</v>
      </c>
      <c r="BB805" s="2" t="e">
        <v>#VALUE!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</row>
    <row r="806" spans="53:82" x14ac:dyDescent="0.25">
      <c r="BA806" s="2">
        <v>0</v>
      </c>
      <c r="BB806" s="2" t="e">
        <v>#VALUE!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</row>
    <row r="807" spans="53:82" x14ac:dyDescent="0.25">
      <c r="BA807" s="2">
        <v>0</v>
      </c>
      <c r="BB807" s="2" t="e">
        <v>#VALUE!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</row>
    <row r="808" spans="53:82" x14ac:dyDescent="0.25">
      <c r="BA808" s="2">
        <v>0</v>
      </c>
      <c r="BB808" s="2" t="e">
        <v>#VALUE!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</row>
    <row r="809" spans="53:82" x14ac:dyDescent="0.25">
      <c r="BA809" s="2">
        <v>0</v>
      </c>
      <c r="BB809" s="2" t="e">
        <v>#VALUE!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</row>
    <row r="810" spans="53:82" x14ac:dyDescent="0.25">
      <c r="BA810" s="2">
        <v>0</v>
      </c>
      <c r="BB810" s="2" t="e">
        <v>#VALUE!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</row>
    <row r="811" spans="53:82" x14ac:dyDescent="0.25">
      <c r="BA811" s="2">
        <v>0</v>
      </c>
      <c r="BB811" s="2" t="e">
        <v>#VALUE!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</row>
    <row r="812" spans="53:82" x14ac:dyDescent="0.25">
      <c r="BA812" s="2">
        <v>0</v>
      </c>
      <c r="BB812" s="2" t="e">
        <v>#VALUE!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</row>
    <row r="813" spans="53:82" x14ac:dyDescent="0.25">
      <c r="BA813" s="2">
        <v>0</v>
      </c>
      <c r="BB813" s="2" t="e">
        <v>#VALUE!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</row>
    <row r="814" spans="53:82" x14ac:dyDescent="0.25">
      <c r="BA814" s="2">
        <v>0</v>
      </c>
      <c r="BB814" s="2" t="e">
        <v>#VALUE!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</row>
    <row r="815" spans="53:82" x14ac:dyDescent="0.25">
      <c r="BA815" s="2">
        <v>0</v>
      </c>
      <c r="BB815" s="2" t="e">
        <v>#VALUE!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</row>
    <row r="816" spans="53:82" x14ac:dyDescent="0.25">
      <c r="BA816" s="2">
        <v>0</v>
      </c>
      <c r="BB816" s="2" t="e">
        <v>#VALUE!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</row>
    <row r="817" spans="53:82" x14ac:dyDescent="0.25">
      <c r="BA817" s="2">
        <v>0</v>
      </c>
      <c r="BB817" s="2" t="e">
        <v>#VALUE!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</row>
    <row r="818" spans="53:82" x14ac:dyDescent="0.25">
      <c r="BA818" s="2">
        <v>0</v>
      </c>
      <c r="BB818" s="2" t="e">
        <v>#VALUE!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</row>
    <row r="819" spans="53:82" x14ac:dyDescent="0.25">
      <c r="BA819" s="2">
        <v>0</v>
      </c>
      <c r="BB819" s="2" t="e">
        <v>#VALUE!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</row>
    <row r="820" spans="53:82" x14ac:dyDescent="0.25">
      <c r="BA820" s="2">
        <v>0</v>
      </c>
      <c r="BB820" s="2" t="e">
        <v>#VALUE!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</row>
    <row r="821" spans="53:82" x14ac:dyDescent="0.25">
      <c r="BA821" s="2">
        <v>0</v>
      </c>
      <c r="BB821" s="2" t="e">
        <v>#VALUE!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</row>
    <row r="822" spans="53:82" x14ac:dyDescent="0.25">
      <c r="BA822" s="2">
        <v>0</v>
      </c>
      <c r="BB822" s="2" t="e">
        <v>#VALUE!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</row>
    <row r="823" spans="53:82" x14ac:dyDescent="0.25">
      <c r="BA823" s="2">
        <v>0</v>
      </c>
      <c r="BB823" s="2" t="e">
        <v>#VALUE!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</row>
    <row r="824" spans="53:82" x14ac:dyDescent="0.25">
      <c r="BA824" s="2">
        <v>0</v>
      </c>
      <c r="BB824" s="2" t="e">
        <v>#VALUE!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</row>
    <row r="825" spans="53:82" x14ac:dyDescent="0.25">
      <c r="BA825" s="2">
        <v>0</v>
      </c>
      <c r="BB825" s="2" t="e">
        <v>#VALUE!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0</v>
      </c>
    </row>
    <row r="826" spans="53:82" x14ac:dyDescent="0.25">
      <c r="BA826" s="2">
        <v>0</v>
      </c>
      <c r="BB826" s="2" t="e">
        <v>#VALUE!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</row>
    <row r="827" spans="53:82" x14ac:dyDescent="0.25">
      <c r="BA827" s="2">
        <v>0</v>
      </c>
      <c r="BB827" s="2" t="e">
        <v>#VALUE!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</row>
    <row r="828" spans="53:82" x14ac:dyDescent="0.25">
      <c r="BA828" s="2">
        <v>0</v>
      </c>
      <c r="BB828" s="2" t="e">
        <v>#VALUE!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</row>
    <row r="829" spans="53:82" x14ac:dyDescent="0.25">
      <c r="BA829" s="2">
        <v>0</v>
      </c>
      <c r="BB829" s="2" t="e">
        <v>#VALUE!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</row>
    <row r="830" spans="53:82" x14ac:dyDescent="0.25">
      <c r="BA830" s="2">
        <v>0</v>
      </c>
      <c r="BB830" s="2" t="e">
        <v>#VALUE!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</row>
    <row r="831" spans="53:82" x14ac:dyDescent="0.25">
      <c r="BA831" s="2">
        <v>0</v>
      </c>
      <c r="BB831" s="2" t="e">
        <v>#VALUE!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</row>
    <row r="832" spans="53:82" x14ac:dyDescent="0.25">
      <c r="BA832" s="2">
        <v>0</v>
      </c>
      <c r="BB832" s="2" t="e">
        <v>#VALUE!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</row>
    <row r="833" spans="53:82" x14ac:dyDescent="0.25">
      <c r="BA833" s="2">
        <v>0</v>
      </c>
      <c r="BB833" s="2" t="e">
        <v>#VALUE!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</row>
    <row r="834" spans="53:82" x14ac:dyDescent="0.25">
      <c r="BA834" s="2">
        <v>0</v>
      </c>
      <c r="BB834" s="2" t="e">
        <v>#VALUE!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</row>
    <row r="835" spans="53:82" x14ac:dyDescent="0.25">
      <c r="BA835" s="2">
        <v>0</v>
      </c>
      <c r="BB835" s="2" t="e">
        <v>#VALUE!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</row>
    <row r="836" spans="53:82" x14ac:dyDescent="0.25">
      <c r="BA836" s="2">
        <v>0</v>
      </c>
      <c r="BB836" s="2" t="e">
        <v>#VALUE!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</row>
    <row r="837" spans="53:82" x14ac:dyDescent="0.25">
      <c r="BA837" s="2">
        <v>0</v>
      </c>
      <c r="BB837" s="2" t="e">
        <v>#VALUE!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</row>
    <row r="838" spans="53:82" x14ac:dyDescent="0.25">
      <c r="BA838" s="2">
        <v>0</v>
      </c>
      <c r="BB838" s="2" t="e">
        <v>#VALUE!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</row>
    <row r="839" spans="53:82" x14ac:dyDescent="0.25">
      <c r="BA839" s="2">
        <v>0</v>
      </c>
      <c r="BB839" s="2" t="e">
        <v>#VALUE!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</row>
    <row r="840" spans="53:82" x14ac:dyDescent="0.25">
      <c r="BA840" s="2">
        <v>0</v>
      </c>
      <c r="BB840" s="2" t="e">
        <v>#VALUE!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</row>
    <row r="841" spans="53:82" x14ac:dyDescent="0.25">
      <c r="BA841" s="2">
        <v>0</v>
      </c>
      <c r="BB841" s="2" t="e">
        <v>#VALUE!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</row>
    <row r="842" spans="53:82" x14ac:dyDescent="0.25">
      <c r="BA842" s="2">
        <v>0</v>
      </c>
      <c r="BB842" s="2" t="e">
        <v>#VALUE!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</row>
    <row r="843" spans="53:82" x14ac:dyDescent="0.25">
      <c r="BA843" s="2">
        <v>0</v>
      </c>
      <c r="BB843" s="2" t="e">
        <v>#VALUE!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</row>
    <row r="844" spans="53:82" x14ac:dyDescent="0.25">
      <c r="BA844" s="2">
        <v>0</v>
      </c>
      <c r="BB844" s="2" t="e">
        <v>#VALUE!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</row>
    <row r="845" spans="53:82" x14ac:dyDescent="0.25">
      <c r="BA845" s="2">
        <v>0</v>
      </c>
      <c r="BB845" s="2" t="e">
        <v>#VALUE!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</row>
    <row r="846" spans="53:82" x14ac:dyDescent="0.25">
      <c r="BA846" s="2">
        <v>0</v>
      </c>
      <c r="BB846" s="2" t="e">
        <v>#VALUE!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</row>
    <row r="847" spans="53:82" x14ac:dyDescent="0.25">
      <c r="BA847" s="2">
        <v>0</v>
      </c>
      <c r="BB847" s="2" t="e">
        <v>#VALUE!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</row>
    <row r="848" spans="53:82" x14ac:dyDescent="0.25">
      <c r="BA848" s="2">
        <v>0</v>
      </c>
      <c r="BB848" s="2" t="e">
        <v>#VALUE!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</row>
    <row r="849" spans="53:82" x14ac:dyDescent="0.25">
      <c r="BA849" s="2">
        <v>0</v>
      </c>
      <c r="BB849" s="2" t="e">
        <v>#VALUE!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</row>
    <row r="850" spans="53:82" x14ac:dyDescent="0.25">
      <c r="BA850" s="2">
        <v>0</v>
      </c>
      <c r="BB850" s="2" t="e">
        <v>#VALUE!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</row>
    <row r="851" spans="53:82" x14ac:dyDescent="0.25">
      <c r="BA851" s="2">
        <v>0</v>
      </c>
      <c r="BB851" s="2" t="e">
        <v>#VALUE!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</row>
    <row r="852" spans="53:82" x14ac:dyDescent="0.25">
      <c r="BA852" s="2">
        <v>0</v>
      </c>
      <c r="BB852" s="2" t="e">
        <v>#VALUE!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</row>
    <row r="853" spans="53:82" x14ac:dyDescent="0.25">
      <c r="BA853" s="2">
        <v>0</v>
      </c>
      <c r="BB853" s="2" t="e">
        <v>#VALUE!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</row>
    <row r="854" spans="53:82" x14ac:dyDescent="0.25">
      <c r="BA854" s="2">
        <v>0</v>
      </c>
      <c r="BB854" s="2" t="e">
        <v>#VALUE!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</row>
    <row r="855" spans="53:82" x14ac:dyDescent="0.25">
      <c r="BA855" s="2">
        <v>0</v>
      </c>
      <c r="BB855" s="2" t="e">
        <v>#VALUE!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</row>
    <row r="856" spans="53:82" x14ac:dyDescent="0.25">
      <c r="BA856" s="2">
        <v>0</v>
      </c>
      <c r="BB856" s="2" t="e">
        <v>#VALUE!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</row>
    <row r="857" spans="53:82" x14ac:dyDescent="0.25">
      <c r="BA857" s="2">
        <v>0</v>
      </c>
      <c r="BB857" s="2" t="e">
        <v>#VALUE!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</row>
    <row r="858" spans="53:82" x14ac:dyDescent="0.25">
      <c r="BA858" s="2">
        <v>0</v>
      </c>
      <c r="BB858" s="2" t="e">
        <v>#VALUE!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</row>
    <row r="859" spans="53:82" x14ac:dyDescent="0.25">
      <c r="BA859" s="2">
        <v>0</v>
      </c>
      <c r="BB859" s="2" t="e">
        <v>#VALUE!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</row>
    <row r="860" spans="53:82" x14ac:dyDescent="0.25">
      <c r="BA860" s="2">
        <v>0</v>
      </c>
      <c r="BB860" s="2" t="e">
        <v>#VALUE!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</row>
    <row r="861" spans="53:82" x14ac:dyDescent="0.25">
      <c r="BA861" s="2">
        <v>0</v>
      </c>
      <c r="BB861" s="2" t="e">
        <v>#VALUE!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</row>
    <row r="862" spans="53:82" x14ac:dyDescent="0.25">
      <c r="BA862" s="2">
        <v>0</v>
      </c>
      <c r="BB862" s="2" t="e">
        <v>#VALUE!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</row>
    <row r="863" spans="53:82" x14ac:dyDescent="0.25">
      <c r="BA863" s="2">
        <v>0</v>
      </c>
      <c r="BB863" s="2" t="e">
        <v>#VALUE!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</row>
    <row r="864" spans="53:82" x14ac:dyDescent="0.25">
      <c r="BA864" s="2">
        <v>0</v>
      </c>
      <c r="BB864" s="2" t="e">
        <v>#VALUE!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</row>
    <row r="865" spans="53:82" x14ac:dyDescent="0.25">
      <c r="BA865" s="2">
        <v>0</v>
      </c>
      <c r="BB865" s="2" t="e">
        <v>#VALUE!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</row>
    <row r="866" spans="53:82" x14ac:dyDescent="0.25">
      <c r="BA866" s="2">
        <v>0</v>
      </c>
      <c r="BB866" s="2" t="e">
        <v>#VALUE!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</row>
    <row r="867" spans="53:82" x14ac:dyDescent="0.25">
      <c r="BA867" s="2">
        <v>0</v>
      </c>
      <c r="BB867" s="2" t="e">
        <v>#VALUE!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0</v>
      </c>
    </row>
    <row r="868" spans="53:82" x14ac:dyDescent="0.25">
      <c r="BA868" s="2">
        <v>0</v>
      </c>
      <c r="BB868" s="2" t="e">
        <v>#VALUE!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</row>
    <row r="869" spans="53:82" x14ac:dyDescent="0.25">
      <c r="BA869" s="2">
        <v>0</v>
      </c>
      <c r="BB869" s="2" t="e">
        <v>#VALUE!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</row>
    <row r="870" spans="53:82" x14ac:dyDescent="0.25">
      <c r="BA870" s="2">
        <v>0</v>
      </c>
      <c r="BB870" s="2" t="e">
        <v>#VALUE!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</row>
    <row r="871" spans="53:82" x14ac:dyDescent="0.25">
      <c r="BA871" s="2">
        <v>0</v>
      </c>
      <c r="BB871" s="2" t="e">
        <v>#VALUE!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</row>
    <row r="872" spans="53:82" x14ac:dyDescent="0.25">
      <c r="BA872" s="2">
        <v>0</v>
      </c>
      <c r="BB872" s="2" t="e">
        <v>#VALUE!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</row>
    <row r="873" spans="53:82" x14ac:dyDescent="0.25">
      <c r="BA873" s="2">
        <v>0</v>
      </c>
      <c r="BB873" s="2" t="e">
        <v>#VALUE!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</row>
    <row r="874" spans="53:82" x14ac:dyDescent="0.25">
      <c r="BA874" s="2">
        <v>0</v>
      </c>
      <c r="BB874" s="2" t="e">
        <v>#VALUE!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</row>
    <row r="875" spans="53:82" x14ac:dyDescent="0.25">
      <c r="BA875" s="2">
        <v>0</v>
      </c>
      <c r="BB875" s="2" t="e">
        <v>#VALUE!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</row>
    <row r="876" spans="53:82" x14ac:dyDescent="0.25">
      <c r="BA876" s="2">
        <v>0</v>
      </c>
      <c r="BB876" s="2" t="e">
        <v>#VALUE!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</row>
    <row r="877" spans="53:82" x14ac:dyDescent="0.25">
      <c r="BA877" s="2">
        <v>0</v>
      </c>
      <c r="BB877" s="2" t="e">
        <v>#VALUE!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</row>
    <row r="878" spans="53:82" x14ac:dyDescent="0.25">
      <c r="BA878" s="2">
        <v>0</v>
      </c>
      <c r="BB878" s="2" t="e">
        <v>#VALUE!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</row>
    <row r="879" spans="53:82" x14ac:dyDescent="0.25">
      <c r="BA879" s="2">
        <v>0</v>
      </c>
      <c r="BB879" s="2" t="e">
        <v>#VALUE!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</row>
    <row r="880" spans="53:82" x14ac:dyDescent="0.25">
      <c r="BA880" s="2">
        <v>0</v>
      </c>
      <c r="BB880" s="2" t="e">
        <v>#VALUE!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</row>
    <row r="881" spans="53:82" x14ac:dyDescent="0.25">
      <c r="BA881" s="2">
        <v>0</v>
      </c>
      <c r="BB881" s="2" t="e">
        <v>#VALUE!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</row>
    <row r="882" spans="53:82" x14ac:dyDescent="0.25">
      <c r="BA882" s="2">
        <v>0</v>
      </c>
      <c r="BB882" s="2" t="e">
        <v>#VALUE!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</row>
    <row r="883" spans="53:82" x14ac:dyDescent="0.25">
      <c r="BA883" s="2">
        <v>0</v>
      </c>
      <c r="BB883" s="2" t="e">
        <v>#VALUE!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</row>
    <row r="884" spans="53:82" x14ac:dyDescent="0.25">
      <c r="BA884" s="2">
        <v>0</v>
      </c>
      <c r="BB884" s="2" t="e">
        <v>#VALUE!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</row>
    <row r="885" spans="53:82" x14ac:dyDescent="0.25">
      <c r="BA885" s="2">
        <v>0</v>
      </c>
      <c r="BB885" s="2" t="e">
        <v>#VALUE!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</row>
    <row r="886" spans="53:82" x14ac:dyDescent="0.25">
      <c r="BA886" s="2">
        <v>0</v>
      </c>
      <c r="BB886" s="2" t="e">
        <v>#VALUE!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</row>
    <row r="887" spans="53:82" x14ac:dyDescent="0.25">
      <c r="BA887" s="2">
        <v>0</v>
      </c>
      <c r="BB887" s="2" t="e">
        <v>#VALUE!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</row>
    <row r="888" spans="53:82" x14ac:dyDescent="0.25">
      <c r="BA888" s="2">
        <v>0</v>
      </c>
      <c r="BB888" s="2" t="e">
        <v>#VALUE!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</row>
    <row r="889" spans="53:82" x14ac:dyDescent="0.25">
      <c r="BA889" s="2">
        <v>0</v>
      </c>
      <c r="BB889" s="2" t="e">
        <v>#VALUE!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</row>
    <row r="890" spans="53:82" x14ac:dyDescent="0.25">
      <c r="BA890" s="2">
        <v>0</v>
      </c>
      <c r="BB890" s="2" t="e">
        <v>#VALUE!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</row>
    <row r="891" spans="53:82" x14ac:dyDescent="0.25">
      <c r="BA891" s="2">
        <v>0</v>
      </c>
      <c r="BB891" s="2" t="e">
        <v>#VALUE!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</row>
    <row r="892" spans="53:82" x14ac:dyDescent="0.25">
      <c r="BA892" s="2">
        <v>0</v>
      </c>
      <c r="BB892" s="2" t="e">
        <v>#VALUE!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</row>
    <row r="893" spans="53:82" x14ac:dyDescent="0.25">
      <c r="BA893" s="2">
        <v>0</v>
      </c>
      <c r="BB893" s="2" t="e">
        <v>#VALUE!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</row>
    <row r="894" spans="53:82" x14ac:dyDescent="0.25">
      <c r="BA894" s="2">
        <v>0</v>
      </c>
      <c r="BB894" s="2" t="e">
        <v>#VALUE!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</row>
    <row r="895" spans="53:82" x14ac:dyDescent="0.25">
      <c r="BA895" s="2">
        <v>0</v>
      </c>
      <c r="BB895" s="2" t="e">
        <v>#VALUE!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</row>
    <row r="896" spans="53:82" x14ac:dyDescent="0.25">
      <c r="BA896" s="2">
        <v>0</v>
      </c>
      <c r="BB896" s="2" t="e">
        <v>#VALUE!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</row>
    <row r="897" spans="53:82" x14ac:dyDescent="0.25">
      <c r="BA897" s="2">
        <v>0</v>
      </c>
      <c r="BB897" s="2" t="e">
        <v>#VALUE!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</row>
    <row r="898" spans="53:82" x14ac:dyDescent="0.25">
      <c r="BA898" s="2">
        <v>0</v>
      </c>
      <c r="BB898" s="2" t="e">
        <v>#VALUE!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</row>
    <row r="899" spans="53:82" x14ac:dyDescent="0.25">
      <c r="BA899" s="2">
        <v>0</v>
      </c>
      <c r="BB899" s="2" t="e">
        <v>#VALUE!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</row>
    <row r="900" spans="53:82" x14ac:dyDescent="0.25">
      <c r="BA900" s="2">
        <v>0</v>
      </c>
      <c r="BB900" s="2" t="e">
        <v>#VALUE!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0</v>
      </c>
    </row>
    <row r="901" spans="53:82" x14ac:dyDescent="0.25">
      <c r="BA901" s="2">
        <v>0</v>
      </c>
      <c r="BB901" s="2" t="e">
        <v>#VALUE!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S901" s="2">
        <v>0</v>
      </c>
      <c r="BT901" s="2">
        <v>0</v>
      </c>
      <c r="BU901" s="2">
        <v>0</v>
      </c>
      <c r="BV901" s="2">
        <v>0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</row>
    <row r="902" spans="53:82" x14ac:dyDescent="0.25">
      <c r="BA902" s="2">
        <v>0</v>
      </c>
      <c r="BB902" s="2" t="e">
        <v>#VALUE!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</row>
    <row r="903" spans="53:82" x14ac:dyDescent="0.25">
      <c r="BA903" s="2">
        <v>0</v>
      </c>
      <c r="BB903" s="2" t="e">
        <v>#VALUE!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</row>
    <row r="904" spans="53:82" x14ac:dyDescent="0.25">
      <c r="BA904" s="2">
        <v>0</v>
      </c>
      <c r="BB904" s="2" t="e">
        <v>#VALUE!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</row>
    <row r="905" spans="53:82" x14ac:dyDescent="0.25">
      <c r="BA905" s="2">
        <v>0</v>
      </c>
      <c r="BB905" s="2" t="e">
        <v>#VALUE!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</row>
    <row r="906" spans="53:82" x14ac:dyDescent="0.25">
      <c r="BA906" s="2">
        <v>0</v>
      </c>
      <c r="BB906" s="2" t="e">
        <v>#VALUE!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D906" s="2">
        <v>0</v>
      </c>
    </row>
    <row r="907" spans="53:82" x14ac:dyDescent="0.25">
      <c r="BA907" s="2">
        <v>0</v>
      </c>
      <c r="BB907" s="2" t="e">
        <v>#VALUE!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0</v>
      </c>
    </row>
    <row r="908" spans="53:82" x14ac:dyDescent="0.25">
      <c r="BA908" s="2">
        <v>0</v>
      </c>
      <c r="BB908" s="2" t="e">
        <v>#VALUE!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S908" s="2">
        <v>0</v>
      </c>
      <c r="BT908" s="2">
        <v>0</v>
      </c>
      <c r="BU908" s="2">
        <v>0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</row>
    <row r="909" spans="53:82" x14ac:dyDescent="0.25">
      <c r="BA909" s="2">
        <v>0</v>
      </c>
      <c r="BB909" s="2" t="e">
        <v>#VALUE!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0</v>
      </c>
    </row>
    <row r="910" spans="53:82" x14ac:dyDescent="0.25">
      <c r="BA910" s="2">
        <v>0</v>
      </c>
      <c r="BB910" s="2" t="e">
        <v>#VALUE!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D910" s="2">
        <v>0</v>
      </c>
    </row>
    <row r="911" spans="53:82" x14ac:dyDescent="0.25">
      <c r="BA911" s="2">
        <v>0</v>
      </c>
      <c r="BB911" s="2" t="e">
        <v>#VALUE!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S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D911" s="2">
        <v>0</v>
      </c>
    </row>
    <row r="912" spans="53:82" x14ac:dyDescent="0.25">
      <c r="BA912" s="2">
        <v>0</v>
      </c>
      <c r="BB912" s="2" t="e">
        <v>#VALUE!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0</v>
      </c>
    </row>
    <row r="913" spans="53:82" x14ac:dyDescent="0.25">
      <c r="BA913" s="2">
        <v>0</v>
      </c>
      <c r="BB913" s="2" t="e">
        <v>#VALUE!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S913" s="2">
        <v>0</v>
      </c>
      <c r="BT913" s="2">
        <v>0</v>
      </c>
      <c r="BU913" s="2">
        <v>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0</v>
      </c>
    </row>
    <row r="914" spans="53:82" x14ac:dyDescent="0.25">
      <c r="BA914" s="2">
        <v>0</v>
      </c>
      <c r="BB914" s="2" t="e">
        <v>#VALUE!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0</v>
      </c>
    </row>
    <row r="915" spans="53:82" x14ac:dyDescent="0.25">
      <c r="BA915" s="2">
        <v>0</v>
      </c>
      <c r="BB915" s="2" t="e">
        <v>#VALUE!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</row>
    <row r="916" spans="53:82" x14ac:dyDescent="0.25">
      <c r="BA916" s="2">
        <v>0</v>
      </c>
      <c r="BB916" s="2" t="e">
        <v>#VALUE!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S916" s="2">
        <v>0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</row>
    <row r="917" spans="53:82" x14ac:dyDescent="0.25">
      <c r="BA917" s="2">
        <v>0</v>
      </c>
      <c r="BB917" s="2" t="e">
        <v>#VALUE!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</row>
    <row r="918" spans="53:82" x14ac:dyDescent="0.25">
      <c r="BA918" s="2">
        <v>0</v>
      </c>
      <c r="BB918" s="2" t="e">
        <v>#VALUE!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</row>
    <row r="919" spans="53:82" x14ac:dyDescent="0.25">
      <c r="BA919" s="2">
        <v>0</v>
      </c>
      <c r="BB919" s="2" t="e">
        <v>#VALUE!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</row>
    <row r="920" spans="53:82" x14ac:dyDescent="0.25">
      <c r="BA920" s="2">
        <v>0</v>
      </c>
      <c r="BB920" s="2" t="e">
        <v>#VALUE!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</row>
    <row r="921" spans="53:82" x14ac:dyDescent="0.25">
      <c r="BA921" s="2">
        <v>0</v>
      </c>
      <c r="BB921" s="2" t="e">
        <v>#VALUE!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</row>
    <row r="922" spans="53:82" x14ac:dyDescent="0.25">
      <c r="BA922" s="2">
        <v>0</v>
      </c>
      <c r="BB922" s="2" t="e">
        <v>#VALUE!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</row>
    <row r="923" spans="53:82" x14ac:dyDescent="0.25">
      <c r="BA923" s="2">
        <v>0</v>
      </c>
      <c r="BB923" s="2" t="e">
        <v>#VALUE!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0</v>
      </c>
      <c r="CD923" s="2">
        <v>0</v>
      </c>
    </row>
    <row r="924" spans="53:82" x14ac:dyDescent="0.25">
      <c r="BA924" s="2">
        <v>0</v>
      </c>
      <c r="BB924" s="2" t="e">
        <v>#VALUE!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0</v>
      </c>
    </row>
    <row r="925" spans="53:82" x14ac:dyDescent="0.25">
      <c r="BA925" s="2">
        <v>0</v>
      </c>
      <c r="BB925" s="2" t="e">
        <v>#VALUE!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0</v>
      </c>
      <c r="CD925" s="2">
        <v>0</v>
      </c>
    </row>
    <row r="926" spans="53:82" x14ac:dyDescent="0.25">
      <c r="BA926" s="2">
        <v>0</v>
      </c>
      <c r="BB926" s="2" t="e">
        <v>#VALUE!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D926" s="2">
        <v>0</v>
      </c>
    </row>
    <row r="927" spans="53:82" x14ac:dyDescent="0.25">
      <c r="BA927" s="2">
        <v>0</v>
      </c>
      <c r="BB927" s="2" t="e">
        <v>#VALUE!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S927" s="2">
        <v>0</v>
      </c>
      <c r="BT927" s="2">
        <v>0</v>
      </c>
      <c r="BU927" s="2">
        <v>0</v>
      </c>
      <c r="BV927" s="2">
        <v>0</v>
      </c>
      <c r="BW927" s="2">
        <v>0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0</v>
      </c>
      <c r="CD927" s="2">
        <v>0</v>
      </c>
    </row>
    <row r="928" spans="53:82" x14ac:dyDescent="0.25">
      <c r="BA928" s="2">
        <v>0</v>
      </c>
      <c r="BB928" s="2" t="e">
        <v>#VALUE!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</row>
    <row r="929" spans="53:82" x14ac:dyDescent="0.25">
      <c r="BA929" s="2">
        <v>0</v>
      </c>
      <c r="BB929" s="2" t="e">
        <v>#VALUE!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</row>
    <row r="930" spans="53:82" x14ac:dyDescent="0.25">
      <c r="BA930" s="2">
        <v>0</v>
      </c>
      <c r="BB930" s="2" t="e">
        <v>#VALUE!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0</v>
      </c>
    </row>
    <row r="931" spans="53:82" x14ac:dyDescent="0.25">
      <c r="BA931" s="2">
        <v>0</v>
      </c>
      <c r="BB931" s="2" t="e">
        <v>#VALUE!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</row>
    <row r="932" spans="53:82" x14ac:dyDescent="0.25">
      <c r="BA932" s="2">
        <v>0</v>
      </c>
      <c r="BB932" s="2" t="e">
        <v>#VALUE!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S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0</v>
      </c>
    </row>
    <row r="933" spans="53:82" x14ac:dyDescent="0.25">
      <c r="BA933" s="2">
        <v>0</v>
      </c>
      <c r="BB933" s="2" t="e">
        <v>#VALUE!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S933" s="2">
        <v>0</v>
      </c>
      <c r="BT933" s="2">
        <v>0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</row>
    <row r="934" spans="53:82" x14ac:dyDescent="0.25">
      <c r="BA934" s="2">
        <v>0</v>
      </c>
      <c r="BB934" s="2" t="e">
        <v>#VALUE!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D934" s="2">
        <v>0</v>
      </c>
    </row>
    <row r="935" spans="53:82" x14ac:dyDescent="0.25">
      <c r="BA935" s="2">
        <v>0</v>
      </c>
      <c r="BB935" s="2" t="e">
        <v>#VALUE!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</row>
    <row r="936" spans="53:82" x14ac:dyDescent="0.25">
      <c r="BA936" s="2">
        <v>0</v>
      </c>
      <c r="BB936" s="2" t="e">
        <v>#VALUE!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S936" s="2">
        <v>0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0</v>
      </c>
      <c r="CD936" s="2">
        <v>0</v>
      </c>
    </row>
    <row r="937" spans="53:82" x14ac:dyDescent="0.25">
      <c r="BA937" s="2">
        <v>0</v>
      </c>
      <c r="BB937" s="2" t="e">
        <v>#VALUE!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S937" s="2">
        <v>0</v>
      </c>
      <c r="BT937" s="2">
        <v>0</v>
      </c>
      <c r="BU937" s="2">
        <v>0</v>
      </c>
      <c r="BV937" s="2">
        <v>0</v>
      </c>
      <c r="BW937" s="2">
        <v>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</row>
    <row r="938" spans="53:82" x14ac:dyDescent="0.25">
      <c r="BA938" s="2">
        <v>0</v>
      </c>
      <c r="BB938" s="2" t="e">
        <v>#VALUE!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0</v>
      </c>
      <c r="CD938" s="2">
        <v>0</v>
      </c>
    </row>
    <row r="939" spans="53:82" x14ac:dyDescent="0.25">
      <c r="BA939" s="2">
        <v>0</v>
      </c>
      <c r="BB939" s="2" t="e">
        <v>#VALUE!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S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0</v>
      </c>
      <c r="CD939" s="2">
        <v>0</v>
      </c>
    </row>
    <row r="940" spans="53:82" x14ac:dyDescent="0.25">
      <c r="BA940" s="2">
        <v>0</v>
      </c>
      <c r="BB940" s="2" t="e">
        <v>#VALUE!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0</v>
      </c>
      <c r="CD940" s="2">
        <v>0</v>
      </c>
    </row>
    <row r="941" spans="53:82" x14ac:dyDescent="0.25">
      <c r="BA941" s="2">
        <v>0</v>
      </c>
      <c r="BB941" s="2" t="e">
        <v>#VALUE!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S941" s="2">
        <v>0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0</v>
      </c>
      <c r="CD941" s="2">
        <v>0</v>
      </c>
    </row>
    <row r="942" spans="53:82" x14ac:dyDescent="0.25">
      <c r="BA942" s="2">
        <v>0</v>
      </c>
      <c r="BB942" s="2" t="e">
        <v>#VALUE!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S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0</v>
      </c>
      <c r="CD942" s="2">
        <v>0</v>
      </c>
    </row>
    <row r="943" spans="53:82" x14ac:dyDescent="0.25">
      <c r="BA943" s="2">
        <v>0</v>
      </c>
      <c r="BB943" s="2" t="e">
        <v>#VALUE!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S943" s="2">
        <v>0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D943" s="2">
        <v>0</v>
      </c>
    </row>
    <row r="944" spans="53:82" x14ac:dyDescent="0.25">
      <c r="BA944" s="2">
        <v>0</v>
      </c>
      <c r="BB944" s="2" t="e">
        <v>#VALUE!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S944" s="2">
        <v>0</v>
      </c>
      <c r="BT944" s="2">
        <v>0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D944" s="2">
        <v>0</v>
      </c>
    </row>
    <row r="945" spans="53:82" x14ac:dyDescent="0.25">
      <c r="BA945" s="2">
        <v>0</v>
      </c>
      <c r="BB945" s="2" t="e">
        <v>#VALUE!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S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</row>
    <row r="946" spans="53:82" x14ac:dyDescent="0.25">
      <c r="BA946" s="2">
        <v>0</v>
      </c>
      <c r="BB946" s="2" t="e">
        <v>#VALUE!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S946" s="2">
        <v>0</v>
      </c>
      <c r="BT946" s="2">
        <v>0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D946" s="2">
        <v>0</v>
      </c>
    </row>
    <row r="947" spans="53:82" x14ac:dyDescent="0.25">
      <c r="BA947" s="2">
        <v>0</v>
      </c>
      <c r="BB947" s="2" t="e">
        <v>#VALUE!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S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D947" s="2">
        <v>0</v>
      </c>
    </row>
    <row r="948" spans="53:82" x14ac:dyDescent="0.25">
      <c r="BA948" s="2">
        <v>0</v>
      </c>
      <c r="BB948" s="2" t="e">
        <v>#VALUE!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</row>
    <row r="949" spans="53:82" x14ac:dyDescent="0.25">
      <c r="BA949" s="2">
        <v>0</v>
      </c>
      <c r="BB949" s="2" t="e">
        <v>#VALUE!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0</v>
      </c>
    </row>
    <row r="950" spans="53:82" x14ac:dyDescent="0.25">
      <c r="BA950" s="2">
        <v>0</v>
      </c>
      <c r="BB950" s="2" t="e">
        <v>#VALUE!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0</v>
      </c>
      <c r="CD950" s="2">
        <v>0</v>
      </c>
    </row>
    <row r="951" spans="53:82" x14ac:dyDescent="0.25">
      <c r="BA951" s="2">
        <v>0</v>
      </c>
      <c r="BB951" s="2" t="e">
        <v>#VALUE!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S951" s="2">
        <v>0</v>
      </c>
      <c r="BT951" s="2">
        <v>0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0</v>
      </c>
    </row>
    <row r="952" spans="53:82" x14ac:dyDescent="0.25">
      <c r="BA952" s="2">
        <v>0</v>
      </c>
      <c r="BB952" s="2" t="e">
        <v>#VALUE!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S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D952" s="2">
        <v>0</v>
      </c>
    </row>
    <row r="953" spans="53:82" x14ac:dyDescent="0.25">
      <c r="BA953" s="2">
        <v>0</v>
      </c>
      <c r="BB953" s="2" t="e">
        <v>#VALUE!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S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0</v>
      </c>
      <c r="CD953" s="2">
        <v>0</v>
      </c>
    </row>
    <row r="954" spans="53:82" x14ac:dyDescent="0.25">
      <c r="BA954" s="2">
        <v>0</v>
      </c>
      <c r="BB954" s="2" t="e">
        <v>#VALUE!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S954" s="2">
        <v>0</v>
      </c>
      <c r="BT954" s="2">
        <v>0</v>
      </c>
      <c r="BU954" s="2">
        <v>0</v>
      </c>
      <c r="BV954" s="2">
        <v>0</v>
      </c>
      <c r="BW954" s="2">
        <v>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0</v>
      </c>
      <c r="CD954" s="2">
        <v>0</v>
      </c>
    </row>
    <row r="955" spans="53:82" x14ac:dyDescent="0.25">
      <c r="BA955" s="2">
        <v>0</v>
      </c>
      <c r="BB955" s="2" t="e">
        <v>#VALUE!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D955" s="2">
        <v>0</v>
      </c>
    </row>
    <row r="956" spans="53:82" x14ac:dyDescent="0.25">
      <c r="BA956" s="2">
        <v>0</v>
      </c>
      <c r="BB956" s="2" t="e">
        <v>#VALUE!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S956" s="2">
        <v>0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0</v>
      </c>
      <c r="CD956" s="2">
        <v>0</v>
      </c>
    </row>
    <row r="957" spans="53:82" x14ac:dyDescent="0.25">
      <c r="BA957" s="2">
        <v>0</v>
      </c>
      <c r="BB957" s="2" t="e">
        <v>#VALUE!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S957" s="2">
        <v>0</v>
      </c>
      <c r="BT957" s="2">
        <v>0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D957" s="2">
        <v>0</v>
      </c>
    </row>
    <row r="958" spans="53:82" x14ac:dyDescent="0.25">
      <c r="BA958" s="2">
        <v>0</v>
      </c>
      <c r="BB958" s="2" t="e">
        <v>#VALUE!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S958" s="2">
        <v>0</v>
      </c>
      <c r="BT958" s="2">
        <v>0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D958" s="2">
        <v>0</v>
      </c>
    </row>
    <row r="959" spans="53:82" x14ac:dyDescent="0.25">
      <c r="BA959" s="2">
        <v>0</v>
      </c>
      <c r="BB959" s="2" t="e">
        <v>#VALUE!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S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0</v>
      </c>
      <c r="CD959" s="2">
        <v>0</v>
      </c>
    </row>
    <row r="960" spans="53:82" x14ac:dyDescent="0.25">
      <c r="BA960" s="2">
        <v>0</v>
      </c>
      <c r="BB960" s="2" t="e">
        <v>#VALUE!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S960" s="2">
        <v>0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0</v>
      </c>
    </row>
    <row r="961" spans="53:82" x14ac:dyDescent="0.25">
      <c r="BA961" s="2">
        <v>0</v>
      </c>
      <c r="BB961" s="2" t="e">
        <v>#VALUE!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S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D961" s="2">
        <v>0</v>
      </c>
    </row>
    <row r="962" spans="53:82" x14ac:dyDescent="0.25">
      <c r="BA962" s="2">
        <v>0</v>
      </c>
      <c r="BB962" s="2" t="e">
        <v>#VALUE!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S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D962" s="2">
        <v>0</v>
      </c>
    </row>
    <row r="963" spans="53:82" x14ac:dyDescent="0.25">
      <c r="BA963" s="2">
        <v>0</v>
      </c>
      <c r="BB963" s="2" t="e">
        <v>#VALUE!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S963" s="2">
        <v>0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0</v>
      </c>
    </row>
    <row r="964" spans="53:82" x14ac:dyDescent="0.25">
      <c r="BA964" s="2">
        <v>0</v>
      </c>
      <c r="BB964" s="2" t="e">
        <v>#VALUE!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0</v>
      </c>
    </row>
    <row r="965" spans="53:82" x14ac:dyDescent="0.25">
      <c r="BA965" s="2">
        <v>0</v>
      </c>
      <c r="BB965" s="2" t="e">
        <v>#VALUE!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S965" s="2">
        <v>0</v>
      </c>
      <c r="BT965" s="2">
        <v>0</v>
      </c>
      <c r="BU965" s="2">
        <v>0</v>
      </c>
      <c r="BV965" s="2">
        <v>0</v>
      </c>
      <c r="BW965" s="2">
        <v>0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0</v>
      </c>
    </row>
    <row r="966" spans="53:82" x14ac:dyDescent="0.25">
      <c r="BA966" s="2">
        <v>0</v>
      </c>
      <c r="BB966" s="2" t="e">
        <v>#VALUE!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0</v>
      </c>
    </row>
    <row r="967" spans="53:82" x14ac:dyDescent="0.25">
      <c r="BA967" s="2">
        <v>0</v>
      </c>
      <c r="BB967" s="2" t="e">
        <v>#VALUE!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D967" s="2">
        <v>0</v>
      </c>
    </row>
    <row r="968" spans="53:82" x14ac:dyDescent="0.25">
      <c r="BA968" s="2">
        <v>0</v>
      </c>
      <c r="BB968" s="2" t="e">
        <v>#VALUE!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S968" s="2">
        <v>0</v>
      </c>
      <c r="BT968" s="2">
        <v>0</v>
      </c>
      <c r="BU968" s="2">
        <v>0</v>
      </c>
      <c r="BV968" s="2">
        <v>0</v>
      </c>
      <c r="BW968" s="2">
        <v>0</v>
      </c>
      <c r="BX968" s="2">
        <v>0</v>
      </c>
      <c r="BY968" s="2">
        <v>0</v>
      </c>
      <c r="BZ968" s="2">
        <v>0</v>
      </c>
      <c r="CA968" s="2">
        <v>0</v>
      </c>
      <c r="CB968" s="2">
        <v>0</v>
      </c>
      <c r="CC968" s="2">
        <v>0</v>
      </c>
      <c r="CD968" s="2">
        <v>0</v>
      </c>
    </row>
    <row r="969" spans="53:82" x14ac:dyDescent="0.25">
      <c r="BA969" s="2">
        <v>0</v>
      </c>
      <c r="BB969" s="2" t="e">
        <v>#VALUE!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S969" s="2">
        <v>0</v>
      </c>
      <c r="BT969" s="2">
        <v>0</v>
      </c>
      <c r="BU969" s="2">
        <v>0</v>
      </c>
      <c r="BV969" s="2">
        <v>0</v>
      </c>
      <c r="BW969" s="2">
        <v>0</v>
      </c>
      <c r="BX969" s="2">
        <v>0</v>
      </c>
      <c r="BY969" s="2">
        <v>0</v>
      </c>
      <c r="BZ969" s="2">
        <v>0</v>
      </c>
      <c r="CA969" s="2">
        <v>0</v>
      </c>
      <c r="CB969" s="2">
        <v>0</v>
      </c>
      <c r="CC969" s="2">
        <v>0</v>
      </c>
      <c r="CD969" s="2">
        <v>0</v>
      </c>
    </row>
    <row r="970" spans="53:82" x14ac:dyDescent="0.25">
      <c r="BA970" s="2">
        <v>0</v>
      </c>
      <c r="BB970" s="2" t="e">
        <v>#VALUE!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S970" s="2">
        <v>0</v>
      </c>
      <c r="BT970" s="2">
        <v>0</v>
      </c>
      <c r="BU970" s="2">
        <v>0</v>
      </c>
      <c r="BV970" s="2">
        <v>0</v>
      </c>
      <c r="BW970" s="2">
        <v>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0</v>
      </c>
      <c r="CD970" s="2">
        <v>0</v>
      </c>
    </row>
    <row r="971" spans="53:82" x14ac:dyDescent="0.25">
      <c r="BA971" s="2">
        <v>0</v>
      </c>
      <c r="BB971" s="2" t="e">
        <v>#VALUE!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S971" s="2">
        <v>0</v>
      </c>
      <c r="BT971" s="2">
        <v>0</v>
      </c>
      <c r="BU971" s="2">
        <v>0</v>
      </c>
      <c r="BV971" s="2">
        <v>0</v>
      </c>
      <c r="BW971" s="2">
        <v>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0</v>
      </c>
      <c r="CD971" s="2">
        <v>0</v>
      </c>
    </row>
    <row r="972" spans="53:82" x14ac:dyDescent="0.25">
      <c r="BA972" s="2">
        <v>0</v>
      </c>
      <c r="BB972" s="2" t="e">
        <v>#VALUE!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S972" s="2">
        <v>0</v>
      </c>
      <c r="BT972" s="2">
        <v>0</v>
      </c>
      <c r="BU972" s="2">
        <v>0</v>
      </c>
      <c r="BV972" s="2">
        <v>0</v>
      </c>
      <c r="BW972" s="2">
        <v>0</v>
      </c>
      <c r="BX972" s="2">
        <v>0</v>
      </c>
      <c r="BY972" s="2">
        <v>0</v>
      </c>
      <c r="BZ972" s="2">
        <v>0</v>
      </c>
      <c r="CA972" s="2">
        <v>0</v>
      </c>
      <c r="CB972" s="2">
        <v>0</v>
      </c>
      <c r="CC972" s="2">
        <v>0</v>
      </c>
      <c r="CD972" s="2">
        <v>0</v>
      </c>
    </row>
    <row r="973" spans="53:82" x14ac:dyDescent="0.25">
      <c r="BA973" s="2">
        <v>0</v>
      </c>
      <c r="BB973" s="2" t="e">
        <v>#VALUE!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S973" s="2">
        <v>0</v>
      </c>
      <c r="BT973" s="2">
        <v>0</v>
      </c>
      <c r="BU973" s="2">
        <v>0</v>
      </c>
      <c r="BV973" s="2">
        <v>0</v>
      </c>
      <c r="BW973" s="2">
        <v>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0</v>
      </c>
      <c r="CD973" s="2">
        <v>0</v>
      </c>
    </row>
    <row r="974" spans="53:82" x14ac:dyDescent="0.25">
      <c r="BA974" s="2">
        <v>0</v>
      </c>
      <c r="BB974" s="2" t="e">
        <v>#VALUE!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S974" s="2">
        <v>0</v>
      </c>
      <c r="BT974" s="2">
        <v>0</v>
      </c>
      <c r="BU974" s="2">
        <v>0</v>
      </c>
      <c r="BV974" s="2">
        <v>0</v>
      </c>
      <c r="BW974" s="2">
        <v>0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0</v>
      </c>
      <c r="CD974" s="2">
        <v>0</v>
      </c>
    </row>
    <row r="975" spans="53:82" x14ac:dyDescent="0.25">
      <c r="BA975" s="2">
        <v>0</v>
      </c>
      <c r="BB975" s="2" t="e">
        <v>#VALUE!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S975" s="2">
        <v>0</v>
      </c>
      <c r="BT975" s="2">
        <v>0</v>
      </c>
      <c r="BU975" s="2">
        <v>0</v>
      </c>
      <c r="BV975" s="2">
        <v>0</v>
      </c>
      <c r="BW975" s="2">
        <v>0</v>
      </c>
      <c r="BX975" s="2">
        <v>0</v>
      </c>
      <c r="BY975" s="2">
        <v>0</v>
      </c>
      <c r="BZ975" s="2">
        <v>0</v>
      </c>
      <c r="CA975" s="2">
        <v>0</v>
      </c>
      <c r="CB975" s="2">
        <v>0</v>
      </c>
      <c r="CC975" s="2">
        <v>0</v>
      </c>
      <c r="CD975" s="2">
        <v>0</v>
      </c>
    </row>
    <row r="976" spans="53:82" x14ac:dyDescent="0.25">
      <c r="BA976" s="2">
        <v>0</v>
      </c>
      <c r="BB976" s="2" t="e">
        <v>#VALUE!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S976" s="2">
        <v>0</v>
      </c>
      <c r="BT976" s="2">
        <v>0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D976" s="2">
        <v>0</v>
      </c>
    </row>
    <row r="977" spans="53:82" x14ac:dyDescent="0.25">
      <c r="BA977" s="2">
        <v>0</v>
      </c>
      <c r="BB977" s="2" t="e">
        <v>#VALUE!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S977" s="2">
        <v>0</v>
      </c>
      <c r="BT977" s="2">
        <v>0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D977" s="2">
        <v>0</v>
      </c>
    </row>
    <row r="978" spans="53:82" x14ac:dyDescent="0.25">
      <c r="BA978" s="2">
        <v>0</v>
      </c>
      <c r="BB978" s="2" t="e">
        <v>#VALUE!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S978" s="2">
        <v>0</v>
      </c>
      <c r="BT978" s="2">
        <v>0</v>
      </c>
      <c r="BU978" s="2">
        <v>0</v>
      </c>
      <c r="BV978" s="2">
        <v>0</v>
      </c>
      <c r="BW978" s="2">
        <v>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0</v>
      </c>
      <c r="CD978" s="2">
        <v>0</v>
      </c>
    </row>
    <row r="979" spans="53:82" x14ac:dyDescent="0.25">
      <c r="BA979" s="2">
        <v>0</v>
      </c>
      <c r="BB979" s="2" t="e">
        <v>#VALUE!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S979" s="2">
        <v>0</v>
      </c>
      <c r="BT979" s="2">
        <v>0</v>
      </c>
      <c r="BU979" s="2">
        <v>0</v>
      </c>
      <c r="BV979" s="2">
        <v>0</v>
      </c>
      <c r="BW979" s="2">
        <v>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0</v>
      </c>
      <c r="CD979" s="2">
        <v>0</v>
      </c>
    </row>
    <row r="980" spans="53:82" x14ac:dyDescent="0.25">
      <c r="BA980" s="2">
        <v>0</v>
      </c>
      <c r="BB980" s="2" t="e">
        <v>#VALUE!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S980" s="2">
        <v>0</v>
      </c>
      <c r="BT980" s="2">
        <v>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0</v>
      </c>
      <c r="CD980" s="2">
        <v>0</v>
      </c>
    </row>
    <row r="981" spans="53:82" x14ac:dyDescent="0.25">
      <c r="BA981" s="2">
        <v>0</v>
      </c>
      <c r="BB981" s="2" t="e">
        <v>#VALUE!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S981" s="2">
        <v>0</v>
      </c>
      <c r="BT981" s="2">
        <v>0</v>
      </c>
      <c r="BU981" s="2">
        <v>0</v>
      </c>
      <c r="BV981" s="2">
        <v>0</v>
      </c>
      <c r="BW981" s="2">
        <v>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0</v>
      </c>
      <c r="CD981" s="2">
        <v>0</v>
      </c>
    </row>
    <row r="982" spans="53:82" x14ac:dyDescent="0.25">
      <c r="BA982" s="2">
        <v>0</v>
      </c>
      <c r="BB982" s="2" t="e">
        <v>#VALUE!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S982" s="2">
        <v>0</v>
      </c>
      <c r="BT982" s="2">
        <v>0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D982" s="2">
        <v>0</v>
      </c>
    </row>
    <row r="983" spans="53:82" x14ac:dyDescent="0.25">
      <c r="BA983" s="2">
        <v>0</v>
      </c>
      <c r="BB983" s="2" t="e">
        <v>#VALUE!</v>
      </c>
      <c r="BC983" s="2">
        <v>0</v>
      </c>
      <c r="BD983" s="2">
        <v>0</v>
      </c>
      <c r="BE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S983" s="2">
        <v>0</v>
      </c>
      <c r="BT983" s="2">
        <v>0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D983" s="2">
        <v>0</v>
      </c>
    </row>
    <row r="984" spans="53:82" x14ac:dyDescent="0.25">
      <c r="BA984" s="2">
        <v>0</v>
      </c>
      <c r="BB984" s="2" t="e">
        <v>#VALUE!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S984" s="2">
        <v>0</v>
      </c>
      <c r="BT984" s="2">
        <v>0</v>
      </c>
      <c r="BU984" s="2">
        <v>0</v>
      </c>
      <c r="BV984" s="2">
        <v>0</v>
      </c>
      <c r="BW984" s="2">
        <v>0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0</v>
      </c>
      <c r="CD984" s="2">
        <v>0</v>
      </c>
    </row>
    <row r="985" spans="53:82" x14ac:dyDescent="0.25">
      <c r="BA985" s="2">
        <v>0</v>
      </c>
      <c r="BB985" s="2" t="e">
        <v>#VALUE!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S985" s="2">
        <v>0</v>
      </c>
      <c r="BT985" s="2">
        <v>0</v>
      </c>
      <c r="BU985" s="2">
        <v>0</v>
      </c>
      <c r="BV985" s="2">
        <v>0</v>
      </c>
      <c r="BW985" s="2">
        <v>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0</v>
      </c>
      <c r="CD985" s="2">
        <v>0</v>
      </c>
    </row>
    <row r="986" spans="53:82" x14ac:dyDescent="0.25">
      <c r="BA986" s="2">
        <v>0</v>
      </c>
      <c r="BB986" s="2" t="e">
        <v>#VALUE!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>
        <v>0</v>
      </c>
      <c r="BJ986" s="2">
        <v>0</v>
      </c>
      <c r="BK986" s="2">
        <v>0</v>
      </c>
      <c r="BL986" s="2">
        <v>0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S986" s="2">
        <v>0</v>
      </c>
      <c r="BT986" s="2">
        <v>0</v>
      </c>
      <c r="BU986" s="2">
        <v>0</v>
      </c>
      <c r="BV986" s="2">
        <v>0</v>
      </c>
      <c r="BW986" s="2">
        <v>0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0</v>
      </c>
      <c r="CD986" s="2">
        <v>0</v>
      </c>
    </row>
    <row r="987" spans="53:82" x14ac:dyDescent="0.25">
      <c r="BA987" s="2">
        <v>0</v>
      </c>
      <c r="BB987" s="2" t="e">
        <v>#VALUE!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S987" s="2">
        <v>0</v>
      </c>
      <c r="BT987" s="2">
        <v>0</v>
      </c>
      <c r="BU987" s="2">
        <v>0</v>
      </c>
      <c r="BV987" s="2">
        <v>0</v>
      </c>
      <c r="BW987" s="2">
        <v>0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0</v>
      </c>
      <c r="CD987" s="2">
        <v>0</v>
      </c>
    </row>
    <row r="988" spans="53:82" x14ac:dyDescent="0.25">
      <c r="BA988" s="2">
        <v>0</v>
      </c>
      <c r="BB988" s="2" t="e">
        <v>#VALUE!</v>
      </c>
      <c r="BC988" s="2">
        <v>0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S988" s="2">
        <v>0</v>
      </c>
      <c r="BT988" s="2">
        <v>0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D988" s="2">
        <v>0</v>
      </c>
    </row>
    <row r="989" spans="53:82" x14ac:dyDescent="0.25">
      <c r="BA989" s="2">
        <v>0</v>
      </c>
      <c r="BB989" s="2" t="e">
        <v>#VALUE!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S989" s="2">
        <v>0</v>
      </c>
      <c r="BT989" s="2">
        <v>0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D989" s="2">
        <v>0</v>
      </c>
    </row>
    <row r="990" spans="53:82" x14ac:dyDescent="0.25">
      <c r="BA990" s="2">
        <v>0</v>
      </c>
      <c r="BB990" s="2" t="e">
        <v>#VALUE!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S990" s="2">
        <v>0</v>
      </c>
      <c r="BT990" s="2">
        <v>0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D990" s="2">
        <v>0</v>
      </c>
    </row>
    <row r="991" spans="53:82" x14ac:dyDescent="0.25">
      <c r="BA991" s="2">
        <v>0</v>
      </c>
      <c r="BB991" s="2" t="e">
        <v>#VALUE!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S991" s="2">
        <v>0</v>
      </c>
      <c r="BT991" s="2">
        <v>0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D991" s="2">
        <v>0</v>
      </c>
    </row>
    <row r="992" spans="53:82" x14ac:dyDescent="0.25">
      <c r="BA992" s="2">
        <v>0</v>
      </c>
      <c r="BB992" s="2" t="e">
        <v>#VALUE!</v>
      </c>
      <c r="BC992" s="2">
        <v>0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>
        <v>0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S992" s="2">
        <v>0</v>
      </c>
      <c r="BT992" s="2">
        <v>0</v>
      </c>
      <c r="BU992" s="2">
        <v>0</v>
      </c>
      <c r="BV992" s="2">
        <v>0</v>
      </c>
      <c r="BW992" s="2">
        <v>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0</v>
      </c>
      <c r="CD992" s="2">
        <v>0</v>
      </c>
    </row>
    <row r="993" spans="53:82" x14ac:dyDescent="0.25">
      <c r="BA993" s="2">
        <v>0</v>
      </c>
      <c r="BB993" s="2" t="e">
        <v>#VALUE!</v>
      </c>
      <c r="BC993" s="2">
        <v>0</v>
      </c>
      <c r="BD993" s="2">
        <v>0</v>
      </c>
      <c r="BE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S993" s="2">
        <v>0</v>
      </c>
      <c r="BT993" s="2">
        <v>0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D993" s="2">
        <v>0</v>
      </c>
    </row>
    <row r="994" spans="53:82" x14ac:dyDescent="0.25">
      <c r="BA994" s="2">
        <v>0</v>
      </c>
      <c r="BB994" s="2" t="e">
        <v>#VALUE!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S994" s="2">
        <v>0</v>
      </c>
      <c r="BT994" s="2">
        <v>0</v>
      </c>
      <c r="BU994" s="2">
        <v>0</v>
      </c>
      <c r="BV994" s="2">
        <v>0</v>
      </c>
      <c r="BW994" s="2">
        <v>0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0</v>
      </c>
      <c r="CD994" s="2">
        <v>0</v>
      </c>
    </row>
    <row r="995" spans="53:82" x14ac:dyDescent="0.25">
      <c r="BA995" s="2">
        <v>0</v>
      </c>
      <c r="BB995" s="2" t="e">
        <v>#VALUE!</v>
      </c>
      <c r="BC995" s="2">
        <v>0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S995" s="2">
        <v>0</v>
      </c>
      <c r="BT995" s="2">
        <v>0</v>
      </c>
      <c r="BU995" s="2">
        <v>0</v>
      </c>
      <c r="BV995" s="2">
        <v>0</v>
      </c>
      <c r="BW995" s="2">
        <v>0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0</v>
      </c>
      <c r="CD995" s="2">
        <v>0</v>
      </c>
    </row>
    <row r="996" spans="53:82" x14ac:dyDescent="0.25">
      <c r="BA996" s="2">
        <v>0</v>
      </c>
      <c r="BB996" s="2" t="e">
        <v>#VALUE!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S996" s="2">
        <v>0</v>
      </c>
      <c r="BT996" s="2">
        <v>0</v>
      </c>
      <c r="BU996" s="2">
        <v>0</v>
      </c>
      <c r="BV996" s="2">
        <v>0</v>
      </c>
      <c r="BW996" s="2">
        <v>0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0</v>
      </c>
      <c r="CD996" s="2">
        <v>0</v>
      </c>
    </row>
    <row r="997" spans="53:82" x14ac:dyDescent="0.25">
      <c r="BA997" s="2">
        <v>0</v>
      </c>
      <c r="BB997" s="2" t="e">
        <v>#VALUE!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S997" s="2">
        <v>0</v>
      </c>
      <c r="BT997" s="2">
        <v>0</v>
      </c>
      <c r="BU997" s="2">
        <v>0</v>
      </c>
      <c r="BV997" s="2">
        <v>0</v>
      </c>
      <c r="BW997" s="2">
        <v>0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0</v>
      </c>
      <c r="CD997" s="2">
        <v>0</v>
      </c>
    </row>
    <row r="998" spans="53:82" x14ac:dyDescent="0.25">
      <c r="BA998" s="2">
        <v>0</v>
      </c>
      <c r="BB998" s="2" t="e">
        <v>#VALUE!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S998" s="2">
        <v>0</v>
      </c>
      <c r="BT998" s="2">
        <v>0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D998" s="2">
        <v>0</v>
      </c>
    </row>
    <row r="999" spans="53:82" x14ac:dyDescent="0.25">
      <c r="BA999" s="2">
        <v>0</v>
      </c>
      <c r="BB999" s="2" t="e">
        <v>#VALUE!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S999" s="2">
        <v>0</v>
      </c>
      <c r="BT999" s="2">
        <v>0</v>
      </c>
      <c r="BU999" s="2">
        <v>0</v>
      </c>
      <c r="BV999" s="2">
        <v>0</v>
      </c>
      <c r="BW999" s="2">
        <v>0</v>
      </c>
      <c r="BX999" s="2">
        <v>0</v>
      </c>
      <c r="BY999" s="2">
        <v>0</v>
      </c>
      <c r="BZ999" s="2">
        <v>0</v>
      </c>
      <c r="CA999" s="2">
        <v>0</v>
      </c>
      <c r="CB999" s="2">
        <v>0</v>
      </c>
      <c r="CC999" s="2">
        <v>0</v>
      </c>
      <c r="CD999" s="2">
        <v>0</v>
      </c>
    </row>
    <row r="1000" spans="53:82" x14ac:dyDescent="0.25">
      <c r="BA1000" s="2">
        <v>0</v>
      </c>
      <c r="BB1000" s="2" t="e">
        <v>#VALUE!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0</v>
      </c>
      <c r="CD1000" s="2">
        <v>0</v>
      </c>
    </row>
    <row r="1001" spans="53:82" x14ac:dyDescent="0.25">
      <c r="BA1001" s="2">
        <v>0</v>
      </c>
      <c r="BB1001" s="2" t="e">
        <v>#VALUE!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S1001" s="2">
        <v>0</v>
      </c>
      <c r="BT1001" s="2">
        <v>0</v>
      </c>
      <c r="BU1001" s="2">
        <v>0</v>
      </c>
      <c r="BV1001" s="2">
        <v>0</v>
      </c>
      <c r="BW1001" s="2">
        <v>0</v>
      </c>
      <c r="BX1001" s="2">
        <v>0</v>
      </c>
      <c r="BY1001" s="2">
        <v>0</v>
      </c>
      <c r="BZ1001" s="2">
        <v>0</v>
      </c>
      <c r="CA1001" s="2">
        <v>0</v>
      </c>
      <c r="CB1001" s="2">
        <v>0</v>
      </c>
      <c r="CC1001" s="2">
        <v>0</v>
      </c>
      <c r="CD1001" s="2">
        <v>0</v>
      </c>
    </row>
    <row r="1002" spans="53:82" x14ac:dyDescent="0.25">
      <c r="BA1002" s="2">
        <v>0</v>
      </c>
      <c r="BB1002" s="2" t="e">
        <v>#VALUE!</v>
      </c>
      <c r="BC1002" s="2">
        <v>0</v>
      </c>
      <c r="BD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S1002" s="2">
        <v>0</v>
      </c>
      <c r="BT1002" s="2">
        <v>0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D1002" s="2">
        <v>0</v>
      </c>
    </row>
    <row r="1003" spans="53:82" x14ac:dyDescent="0.25">
      <c r="BA1003" s="2">
        <v>0</v>
      </c>
      <c r="BB1003" s="2" t="e">
        <v>#VALUE!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S1003" s="2">
        <v>0</v>
      </c>
      <c r="BT1003" s="2">
        <v>0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D1003" s="2">
        <v>0</v>
      </c>
    </row>
    <row r="1004" spans="53:82" x14ac:dyDescent="0.25">
      <c r="BA1004" s="2">
        <v>0</v>
      </c>
      <c r="BB1004" s="2" t="e">
        <v>#VALUE!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S1004" s="2">
        <v>0</v>
      </c>
      <c r="BT1004" s="2">
        <v>0</v>
      </c>
      <c r="BU1004" s="2">
        <v>0</v>
      </c>
      <c r="BV1004" s="2">
        <v>0</v>
      </c>
      <c r="BW1004" s="2">
        <v>0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0</v>
      </c>
      <c r="CD1004" s="2">
        <v>0</v>
      </c>
    </row>
    <row r="1005" spans="53:82" x14ac:dyDescent="0.25">
      <c r="BA1005" s="2">
        <v>0</v>
      </c>
      <c r="BB1005" s="2" t="e">
        <v>#VALUE!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>
        <v>0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S1005" s="2">
        <v>0</v>
      </c>
      <c r="BT1005" s="2">
        <v>0</v>
      </c>
      <c r="BU1005" s="2">
        <v>0</v>
      </c>
      <c r="BV1005" s="2">
        <v>0</v>
      </c>
      <c r="BW1005" s="2">
        <v>0</v>
      </c>
      <c r="BX1005" s="2">
        <v>0</v>
      </c>
      <c r="BY1005" s="2">
        <v>0</v>
      </c>
      <c r="BZ1005" s="2">
        <v>0</v>
      </c>
      <c r="CA1005" s="2">
        <v>0</v>
      </c>
      <c r="CB1005" s="2">
        <v>0</v>
      </c>
      <c r="CC1005" s="2">
        <v>0</v>
      </c>
      <c r="CD1005" s="2">
        <v>0</v>
      </c>
    </row>
    <row r="1006" spans="53:82" x14ac:dyDescent="0.25">
      <c r="BA1006" s="2">
        <v>0</v>
      </c>
      <c r="BB1006" s="2" t="e">
        <v>#VALUE!</v>
      </c>
      <c r="BC1006" s="2">
        <v>0</v>
      </c>
      <c r="BD1006" s="2">
        <v>0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S1006" s="2">
        <v>0</v>
      </c>
      <c r="BT1006" s="2">
        <v>0</v>
      </c>
      <c r="BU1006" s="2">
        <v>0</v>
      </c>
      <c r="BV1006" s="2">
        <v>0</v>
      </c>
      <c r="BW1006" s="2">
        <v>0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0</v>
      </c>
      <c r="CD1006" s="2">
        <v>0</v>
      </c>
    </row>
    <row r="1007" spans="53:82" x14ac:dyDescent="0.25">
      <c r="BA1007" s="2">
        <v>0</v>
      </c>
      <c r="BB1007" s="2" t="e">
        <v>#VALUE!</v>
      </c>
      <c r="BC1007" s="2">
        <v>0</v>
      </c>
      <c r="BD1007" s="2">
        <v>0</v>
      </c>
      <c r="BE1007" s="2">
        <v>0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S1007" s="2">
        <v>0</v>
      </c>
      <c r="BT1007" s="2">
        <v>0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D1007" s="2">
        <v>0</v>
      </c>
    </row>
    <row r="1008" spans="53:82" x14ac:dyDescent="0.25">
      <c r="BA1008" s="2">
        <v>0</v>
      </c>
      <c r="BB1008" s="2" t="e">
        <v>#VALUE!</v>
      </c>
      <c r="BC1008" s="2">
        <v>0</v>
      </c>
      <c r="BD1008" s="2">
        <v>0</v>
      </c>
      <c r="BE1008" s="2">
        <v>0</v>
      </c>
      <c r="BF1008" s="2">
        <v>0</v>
      </c>
      <c r="BG1008" s="2">
        <v>0</v>
      </c>
      <c r="BH1008" s="2">
        <v>0</v>
      </c>
      <c r="BI1008" s="2">
        <v>0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S1008" s="2">
        <v>0</v>
      </c>
      <c r="BT1008" s="2">
        <v>0</v>
      </c>
      <c r="BU1008" s="2">
        <v>0</v>
      </c>
      <c r="BV1008" s="2">
        <v>0</v>
      </c>
      <c r="BW1008" s="2">
        <v>0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0</v>
      </c>
      <c r="CD1008" s="2">
        <v>0</v>
      </c>
    </row>
    <row r="1009" spans="53:82" x14ac:dyDescent="0.25">
      <c r="BA1009" s="2">
        <v>0</v>
      </c>
      <c r="BB1009" s="2" t="e">
        <v>#VALUE!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S1009" s="2">
        <v>0</v>
      </c>
      <c r="BT1009" s="2">
        <v>0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D1009" s="2">
        <v>0</v>
      </c>
    </row>
    <row r="1010" spans="53:82" x14ac:dyDescent="0.25">
      <c r="BA1010" s="2">
        <v>0</v>
      </c>
      <c r="BB1010" s="2" t="e">
        <v>#VALUE!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  <c r="BH1010" s="2">
        <v>0</v>
      </c>
      <c r="BI1010" s="2">
        <v>0</v>
      </c>
      <c r="BJ1010" s="2">
        <v>0</v>
      </c>
      <c r="BK1010" s="2">
        <v>0</v>
      </c>
      <c r="BL1010" s="2">
        <v>0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S1010" s="2">
        <v>0</v>
      </c>
      <c r="BT1010" s="2">
        <v>0</v>
      </c>
      <c r="BU1010" s="2">
        <v>0</v>
      </c>
      <c r="BV1010" s="2">
        <v>0</v>
      </c>
      <c r="BW1010" s="2">
        <v>0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D1010" s="2">
        <v>0</v>
      </c>
    </row>
    <row r="1011" spans="53:82" x14ac:dyDescent="0.25">
      <c r="BA1011" s="2">
        <v>0</v>
      </c>
      <c r="BB1011" s="2" t="e">
        <v>#VALUE!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S1011" s="2">
        <v>0</v>
      </c>
      <c r="BT1011" s="2">
        <v>0</v>
      </c>
      <c r="BU1011" s="2">
        <v>0</v>
      </c>
      <c r="BV1011" s="2">
        <v>0</v>
      </c>
      <c r="BW1011" s="2">
        <v>0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0</v>
      </c>
      <c r="CD1011" s="2">
        <v>0</v>
      </c>
    </row>
    <row r="1012" spans="53:82" x14ac:dyDescent="0.25">
      <c r="BA1012" s="2">
        <v>0</v>
      </c>
      <c r="BB1012" s="2" t="e">
        <v>#VALUE!</v>
      </c>
      <c r="BC1012" s="2">
        <v>0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S1012" s="2">
        <v>0</v>
      </c>
      <c r="BT1012" s="2">
        <v>0</v>
      </c>
      <c r="BU1012" s="2">
        <v>0</v>
      </c>
      <c r="BV1012" s="2">
        <v>0</v>
      </c>
      <c r="BW1012" s="2">
        <v>0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0</v>
      </c>
      <c r="CD1012" s="2">
        <v>0</v>
      </c>
    </row>
    <row r="1013" spans="53:82" x14ac:dyDescent="0.25">
      <c r="BA1013" s="2">
        <v>0</v>
      </c>
      <c r="BB1013" s="2" t="e">
        <v>#VALUE!</v>
      </c>
      <c r="BC1013" s="2">
        <v>0</v>
      </c>
      <c r="BD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S1013" s="2">
        <v>0</v>
      </c>
      <c r="BT1013" s="2">
        <v>0</v>
      </c>
      <c r="BU1013" s="2">
        <v>0</v>
      </c>
      <c r="BV1013" s="2">
        <v>0</v>
      </c>
      <c r="BW1013" s="2">
        <v>0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0</v>
      </c>
      <c r="CD1013" s="2">
        <v>0</v>
      </c>
    </row>
    <row r="1014" spans="53:82" x14ac:dyDescent="0.25">
      <c r="BA1014" s="2">
        <v>0</v>
      </c>
      <c r="BB1014" s="2" t="e">
        <v>#VALUE!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S1014" s="2">
        <v>0</v>
      </c>
      <c r="BT1014" s="2">
        <v>0</v>
      </c>
      <c r="BU1014" s="2">
        <v>0</v>
      </c>
      <c r="BV1014" s="2">
        <v>0</v>
      </c>
      <c r="BW1014" s="2">
        <v>0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0</v>
      </c>
      <c r="CD1014" s="2">
        <v>0</v>
      </c>
    </row>
    <row r="1015" spans="53:82" x14ac:dyDescent="0.25">
      <c r="BA1015" s="2">
        <v>0</v>
      </c>
      <c r="BB1015" s="2" t="e">
        <v>#VALUE!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S1015" s="2">
        <v>0</v>
      </c>
      <c r="BT1015" s="2">
        <v>0</v>
      </c>
      <c r="BU1015" s="2">
        <v>0</v>
      </c>
      <c r="BV1015" s="2">
        <v>0</v>
      </c>
      <c r="BW1015" s="2">
        <v>0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0</v>
      </c>
      <c r="CD1015" s="2">
        <v>0</v>
      </c>
    </row>
    <row r="1016" spans="53:82" x14ac:dyDescent="0.25">
      <c r="BA1016" s="2">
        <v>0</v>
      </c>
      <c r="BB1016" s="2" t="e">
        <v>#VALUE!</v>
      </c>
      <c r="BC1016" s="2">
        <v>0</v>
      </c>
      <c r="BD1016" s="2">
        <v>0</v>
      </c>
      <c r="BE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S1016" s="2">
        <v>0</v>
      </c>
      <c r="BT1016" s="2">
        <v>0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D1016" s="2">
        <v>0</v>
      </c>
    </row>
    <row r="1017" spans="53:82" x14ac:dyDescent="0.25">
      <c r="BA1017" s="2">
        <v>0</v>
      </c>
      <c r="BB1017" s="2" t="e">
        <v>#VALUE!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S1017" s="2">
        <v>0</v>
      </c>
      <c r="BT1017" s="2">
        <v>0</v>
      </c>
      <c r="BU1017" s="2">
        <v>0</v>
      </c>
      <c r="BV1017" s="2">
        <v>0</v>
      </c>
      <c r="BW1017" s="2">
        <v>0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0</v>
      </c>
      <c r="CD1017" s="2">
        <v>0</v>
      </c>
    </row>
    <row r="1018" spans="53:82" x14ac:dyDescent="0.25">
      <c r="BA1018" s="2">
        <v>0</v>
      </c>
      <c r="BB1018" s="2" t="e">
        <v>#VALUE!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S1018" s="2">
        <v>0</v>
      </c>
      <c r="BT1018" s="2">
        <v>0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D1018" s="2">
        <v>0</v>
      </c>
    </row>
    <row r="1019" spans="53:82" x14ac:dyDescent="0.25">
      <c r="BA1019" s="2">
        <v>0</v>
      </c>
      <c r="BB1019" s="2" t="e">
        <v>#VALUE!</v>
      </c>
      <c r="BC1019" s="2">
        <v>0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S1019" s="2">
        <v>0</v>
      </c>
      <c r="BT1019" s="2">
        <v>0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D1019" s="2">
        <v>0</v>
      </c>
    </row>
    <row r="1020" spans="53:82" x14ac:dyDescent="0.25">
      <c r="BA1020" s="2">
        <v>0</v>
      </c>
      <c r="BB1020" s="2" t="e">
        <v>#VALUE!</v>
      </c>
      <c r="BC1020" s="2">
        <v>0</v>
      </c>
      <c r="BD1020" s="2">
        <v>0</v>
      </c>
      <c r="BE1020" s="2">
        <v>0</v>
      </c>
      <c r="BF1020" s="2">
        <v>0</v>
      </c>
      <c r="BG1020" s="2">
        <v>0</v>
      </c>
      <c r="BH1020" s="2">
        <v>0</v>
      </c>
      <c r="BI1020" s="2">
        <v>0</v>
      </c>
      <c r="BJ1020" s="2">
        <v>0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S1020" s="2">
        <v>0</v>
      </c>
      <c r="BT1020" s="2">
        <v>0</v>
      </c>
      <c r="BU1020" s="2">
        <v>0</v>
      </c>
      <c r="BV1020" s="2">
        <v>0</v>
      </c>
      <c r="BW1020" s="2">
        <v>0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0</v>
      </c>
      <c r="CD1020" s="2">
        <v>0</v>
      </c>
    </row>
    <row r="1021" spans="53:82" x14ac:dyDescent="0.25">
      <c r="BA1021" s="2">
        <v>0</v>
      </c>
      <c r="BB1021" s="2" t="e">
        <v>#VALUE!</v>
      </c>
      <c r="BC1021" s="2">
        <v>0</v>
      </c>
      <c r="BD1021" s="2">
        <v>0</v>
      </c>
      <c r="BE1021" s="2">
        <v>0</v>
      </c>
      <c r="BF1021" s="2">
        <v>0</v>
      </c>
      <c r="BG1021" s="2">
        <v>0</v>
      </c>
      <c r="BH1021" s="2">
        <v>0</v>
      </c>
      <c r="BI1021" s="2">
        <v>0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S1021" s="2">
        <v>0</v>
      </c>
      <c r="BT1021" s="2">
        <v>0</v>
      </c>
      <c r="BU1021" s="2">
        <v>0</v>
      </c>
      <c r="BV1021" s="2">
        <v>0</v>
      </c>
      <c r="BW1021" s="2">
        <v>0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0</v>
      </c>
      <c r="CD1021" s="2">
        <v>0</v>
      </c>
    </row>
    <row r="1022" spans="53:82" x14ac:dyDescent="0.25">
      <c r="BA1022" s="2">
        <v>0</v>
      </c>
      <c r="BB1022" s="2" t="e">
        <v>#VALUE!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S1022" s="2">
        <v>0</v>
      </c>
      <c r="BT1022" s="2">
        <v>0</v>
      </c>
      <c r="BU1022" s="2">
        <v>0</v>
      </c>
      <c r="BV1022" s="2">
        <v>0</v>
      </c>
      <c r="BW1022" s="2">
        <v>0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0</v>
      </c>
      <c r="CD1022" s="2">
        <v>0</v>
      </c>
    </row>
    <row r="1023" spans="53:82" x14ac:dyDescent="0.25">
      <c r="BA1023" s="2">
        <v>0</v>
      </c>
      <c r="BB1023" s="2" t="e">
        <v>#VALUE!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L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S1023" s="2">
        <v>0</v>
      </c>
      <c r="BT1023" s="2">
        <v>0</v>
      </c>
      <c r="BU1023" s="2">
        <v>0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D1023" s="2">
        <v>0</v>
      </c>
    </row>
    <row r="1024" spans="53:82" x14ac:dyDescent="0.25">
      <c r="BA1024" s="2">
        <v>0</v>
      </c>
      <c r="BB1024" s="2" t="e">
        <v>#VALUE!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L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S1024" s="2">
        <v>0</v>
      </c>
      <c r="BT1024" s="2">
        <v>0</v>
      </c>
      <c r="BU1024" s="2">
        <v>0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D1024" s="2">
        <v>0</v>
      </c>
    </row>
    <row r="1025" spans="53:82" x14ac:dyDescent="0.25">
      <c r="BA1025" s="2">
        <v>0</v>
      </c>
      <c r="BB1025" s="2" t="e">
        <v>#VALUE!</v>
      </c>
      <c r="BC1025" s="2">
        <v>0</v>
      </c>
      <c r="BD1025" s="2">
        <v>0</v>
      </c>
      <c r="BE1025" s="2">
        <v>0</v>
      </c>
      <c r="BF1025" s="2">
        <v>0</v>
      </c>
      <c r="BG1025" s="2">
        <v>0</v>
      </c>
      <c r="BH1025" s="2">
        <v>0</v>
      </c>
      <c r="BI1025" s="2">
        <v>0</v>
      </c>
      <c r="BJ1025" s="2">
        <v>0</v>
      </c>
      <c r="BK1025" s="2">
        <v>0</v>
      </c>
      <c r="BL1025" s="2">
        <v>0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S1025" s="2">
        <v>0</v>
      </c>
      <c r="BT1025" s="2">
        <v>0</v>
      </c>
      <c r="BU1025" s="2">
        <v>0</v>
      </c>
      <c r="BV1025" s="2">
        <v>0</v>
      </c>
      <c r="BW1025" s="2">
        <v>0</v>
      </c>
      <c r="BX1025" s="2">
        <v>0</v>
      </c>
      <c r="BY1025" s="2">
        <v>0</v>
      </c>
      <c r="BZ1025" s="2">
        <v>0</v>
      </c>
      <c r="CA1025" s="2">
        <v>0</v>
      </c>
      <c r="CB1025" s="2">
        <v>0</v>
      </c>
      <c r="CC1025" s="2">
        <v>0</v>
      </c>
      <c r="CD1025" s="2">
        <v>0</v>
      </c>
    </row>
    <row r="1026" spans="53:82" x14ac:dyDescent="0.25">
      <c r="BA1026" s="2">
        <v>0</v>
      </c>
      <c r="BB1026" s="2" t="e">
        <v>#VALUE!</v>
      </c>
      <c r="BC1026" s="2">
        <v>0</v>
      </c>
      <c r="BD1026" s="2">
        <v>0</v>
      </c>
      <c r="BE1026" s="2">
        <v>0</v>
      </c>
      <c r="BF1026" s="2">
        <v>0</v>
      </c>
      <c r="BG1026" s="2">
        <v>0</v>
      </c>
      <c r="BH1026" s="2">
        <v>0</v>
      </c>
      <c r="BI1026" s="2">
        <v>0</v>
      </c>
      <c r="BJ1026" s="2">
        <v>0</v>
      </c>
      <c r="BK1026" s="2">
        <v>0</v>
      </c>
      <c r="BL1026" s="2">
        <v>0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S1026" s="2">
        <v>0</v>
      </c>
      <c r="BT1026" s="2">
        <v>0</v>
      </c>
      <c r="BU1026" s="2">
        <v>0</v>
      </c>
      <c r="BV1026" s="2">
        <v>0</v>
      </c>
      <c r="BW1026" s="2">
        <v>0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0</v>
      </c>
      <c r="CD1026" s="2">
        <v>0</v>
      </c>
    </row>
    <row r="1027" spans="53:82" x14ac:dyDescent="0.25">
      <c r="BA1027" s="2">
        <v>0</v>
      </c>
      <c r="BB1027" s="2" t="e">
        <v>#VALUE!</v>
      </c>
      <c r="BC1027" s="2">
        <v>0</v>
      </c>
      <c r="BD1027" s="2">
        <v>0</v>
      </c>
      <c r="BE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L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S1027" s="2">
        <v>0</v>
      </c>
      <c r="BT1027" s="2">
        <v>0</v>
      </c>
      <c r="BU1027" s="2">
        <v>0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D1027" s="2">
        <v>0</v>
      </c>
    </row>
    <row r="1028" spans="53:82" x14ac:dyDescent="0.25">
      <c r="BA1028" s="2">
        <v>0</v>
      </c>
      <c r="BB1028" s="2" t="e">
        <v>#VALUE!</v>
      </c>
      <c r="BC1028" s="2">
        <v>0</v>
      </c>
      <c r="BD1028" s="2">
        <v>0</v>
      </c>
      <c r="BE1028" s="2">
        <v>0</v>
      </c>
      <c r="BF1028" s="2">
        <v>0</v>
      </c>
      <c r="BG1028" s="2">
        <v>0</v>
      </c>
      <c r="BH1028" s="2">
        <v>0</v>
      </c>
      <c r="BI1028" s="2">
        <v>0</v>
      </c>
      <c r="BJ1028" s="2">
        <v>0</v>
      </c>
      <c r="BK1028" s="2">
        <v>0</v>
      </c>
      <c r="BL1028" s="2">
        <v>0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S1028" s="2">
        <v>0</v>
      </c>
      <c r="BT1028" s="2">
        <v>0</v>
      </c>
      <c r="BU1028" s="2">
        <v>0</v>
      </c>
      <c r="BV1028" s="2">
        <v>0</v>
      </c>
      <c r="BW1028" s="2">
        <v>0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0</v>
      </c>
      <c r="CD1028" s="2">
        <v>0</v>
      </c>
    </row>
    <row r="1029" spans="53:82" x14ac:dyDescent="0.25">
      <c r="BA1029" s="2">
        <v>0</v>
      </c>
      <c r="BB1029" s="2" t="e">
        <v>#VALUE!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L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S1029" s="2">
        <v>0</v>
      </c>
      <c r="BT1029" s="2">
        <v>0</v>
      </c>
      <c r="BU1029" s="2">
        <v>0</v>
      </c>
      <c r="BV1029" s="2">
        <v>0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D1029" s="2">
        <v>0</v>
      </c>
    </row>
    <row r="1030" spans="53:82" x14ac:dyDescent="0.25">
      <c r="BA1030" s="2">
        <v>0</v>
      </c>
      <c r="BB1030" s="2" t="e">
        <v>#VALUE!</v>
      </c>
      <c r="BC1030" s="2">
        <v>0</v>
      </c>
      <c r="BD1030" s="2">
        <v>0</v>
      </c>
      <c r="BE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L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S1030" s="2">
        <v>0</v>
      </c>
      <c r="BT1030" s="2">
        <v>0</v>
      </c>
      <c r="BU1030" s="2">
        <v>0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D1030" s="2">
        <v>0</v>
      </c>
    </row>
    <row r="1031" spans="53:82" x14ac:dyDescent="0.25">
      <c r="BA1031" s="2">
        <v>0</v>
      </c>
      <c r="BB1031" s="2" t="e">
        <v>#VALUE!</v>
      </c>
      <c r="BC1031" s="2">
        <v>0</v>
      </c>
      <c r="BD1031" s="2">
        <v>0</v>
      </c>
      <c r="BE1031" s="2">
        <v>0</v>
      </c>
      <c r="BF1031" s="2">
        <v>0</v>
      </c>
      <c r="BG1031" s="2">
        <v>0</v>
      </c>
      <c r="BH1031" s="2">
        <v>0</v>
      </c>
      <c r="BI1031" s="2">
        <v>0</v>
      </c>
      <c r="BJ1031" s="2">
        <v>0</v>
      </c>
      <c r="BK1031" s="2">
        <v>0</v>
      </c>
      <c r="BL1031" s="2">
        <v>0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S1031" s="2">
        <v>0</v>
      </c>
      <c r="BT1031" s="2">
        <v>0</v>
      </c>
      <c r="BU1031" s="2">
        <v>0</v>
      </c>
      <c r="BV1031" s="2">
        <v>0</v>
      </c>
      <c r="BW1031" s="2">
        <v>0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0</v>
      </c>
      <c r="CD1031" s="2">
        <v>0</v>
      </c>
    </row>
    <row r="1032" spans="53:82" x14ac:dyDescent="0.25">
      <c r="BA1032" s="2">
        <v>0</v>
      </c>
      <c r="BB1032" s="2" t="e">
        <v>#VALUE!</v>
      </c>
      <c r="BC1032" s="2">
        <v>0</v>
      </c>
      <c r="BD1032" s="2">
        <v>0</v>
      </c>
      <c r="BE1032" s="2">
        <v>0</v>
      </c>
      <c r="BF1032" s="2">
        <v>0</v>
      </c>
      <c r="BG1032" s="2">
        <v>0</v>
      </c>
      <c r="BH1032" s="2">
        <v>0</v>
      </c>
      <c r="BI1032" s="2">
        <v>0</v>
      </c>
      <c r="BJ1032" s="2">
        <v>0</v>
      </c>
      <c r="BK1032" s="2">
        <v>0</v>
      </c>
      <c r="BL1032" s="2">
        <v>0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S1032" s="2">
        <v>0</v>
      </c>
      <c r="BT1032" s="2">
        <v>0</v>
      </c>
      <c r="BU1032" s="2">
        <v>0</v>
      </c>
      <c r="BV1032" s="2">
        <v>0</v>
      </c>
      <c r="BW1032" s="2">
        <v>0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0</v>
      </c>
      <c r="CD1032" s="2">
        <v>0</v>
      </c>
    </row>
    <row r="1033" spans="53:82" x14ac:dyDescent="0.25">
      <c r="BA1033" s="2">
        <v>0</v>
      </c>
      <c r="BB1033" s="2" t="e">
        <v>#VALUE!</v>
      </c>
      <c r="BC1033" s="2">
        <v>0</v>
      </c>
      <c r="BD1033" s="2">
        <v>0</v>
      </c>
      <c r="BE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L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S1033" s="2">
        <v>0</v>
      </c>
      <c r="BT1033" s="2">
        <v>0</v>
      </c>
      <c r="BU1033" s="2">
        <v>0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D1033" s="2">
        <v>0</v>
      </c>
    </row>
    <row r="1034" spans="53:82" x14ac:dyDescent="0.25">
      <c r="BA1034" s="2">
        <v>0</v>
      </c>
      <c r="BB1034" s="2" t="e">
        <v>#VALUE!</v>
      </c>
      <c r="BC1034" s="2">
        <v>0</v>
      </c>
      <c r="BD1034" s="2">
        <v>0</v>
      </c>
      <c r="BE1034" s="2">
        <v>0</v>
      </c>
      <c r="BF1034" s="2">
        <v>0</v>
      </c>
      <c r="BG1034" s="2">
        <v>0</v>
      </c>
      <c r="BH1034" s="2">
        <v>0</v>
      </c>
      <c r="BI1034" s="2">
        <v>0</v>
      </c>
      <c r="BJ1034" s="2">
        <v>0</v>
      </c>
      <c r="BK1034" s="2">
        <v>0</v>
      </c>
      <c r="BL1034" s="2">
        <v>0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S1034" s="2">
        <v>0</v>
      </c>
      <c r="BT1034" s="2">
        <v>0</v>
      </c>
      <c r="BU1034" s="2">
        <v>0</v>
      </c>
      <c r="BV1034" s="2">
        <v>0</v>
      </c>
      <c r="BW1034" s="2">
        <v>0</v>
      </c>
      <c r="BX1034" s="2">
        <v>0</v>
      </c>
      <c r="BY1034" s="2">
        <v>0</v>
      </c>
      <c r="BZ1034" s="2">
        <v>0</v>
      </c>
      <c r="CA1034" s="2">
        <v>0</v>
      </c>
      <c r="CB1034" s="2">
        <v>0</v>
      </c>
      <c r="CC1034" s="2">
        <v>0</v>
      </c>
      <c r="CD1034" s="2">
        <v>0</v>
      </c>
    </row>
    <row r="1035" spans="53:82" x14ac:dyDescent="0.25">
      <c r="BA1035" s="2">
        <v>0</v>
      </c>
      <c r="BB1035" s="2" t="e">
        <v>#VALUE!</v>
      </c>
      <c r="BC1035" s="2">
        <v>0</v>
      </c>
      <c r="BD1035" s="2">
        <v>0</v>
      </c>
      <c r="BE1035" s="2">
        <v>0</v>
      </c>
      <c r="BF1035" s="2">
        <v>0</v>
      </c>
      <c r="BG1035" s="2">
        <v>0</v>
      </c>
      <c r="BH1035" s="2">
        <v>0</v>
      </c>
      <c r="BI1035" s="2">
        <v>0</v>
      </c>
      <c r="BJ1035" s="2">
        <v>0</v>
      </c>
      <c r="BK1035" s="2">
        <v>0</v>
      </c>
      <c r="BL1035" s="2">
        <v>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S1035" s="2">
        <v>0</v>
      </c>
      <c r="BT1035" s="2">
        <v>0</v>
      </c>
      <c r="BU1035" s="2">
        <v>0</v>
      </c>
      <c r="BV1035" s="2">
        <v>0</v>
      </c>
      <c r="BW1035" s="2">
        <v>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0</v>
      </c>
      <c r="CD1035" s="2">
        <v>0</v>
      </c>
    </row>
    <row r="1036" spans="53:82" x14ac:dyDescent="0.25">
      <c r="BA1036" s="2">
        <v>0</v>
      </c>
      <c r="BB1036" s="2" t="e">
        <v>#VALUE!</v>
      </c>
      <c r="BC1036" s="2">
        <v>0</v>
      </c>
      <c r="BD1036" s="2">
        <v>0</v>
      </c>
      <c r="BE1036" s="2">
        <v>0</v>
      </c>
      <c r="BF1036" s="2">
        <v>0</v>
      </c>
      <c r="BG1036" s="2">
        <v>0</v>
      </c>
      <c r="BH1036" s="2">
        <v>0</v>
      </c>
      <c r="BI1036" s="2">
        <v>0</v>
      </c>
      <c r="BJ1036" s="2">
        <v>0</v>
      </c>
      <c r="BK1036" s="2">
        <v>0</v>
      </c>
      <c r="BL1036" s="2">
        <v>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S1036" s="2">
        <v>0</v>
      </c>
      <c r="BT1036" s="2">
        <v>0</v>
      </c>
      <c r="BU1036" s="2">
        <v>0</v>
      </c>
      <c r="BV1036" s="2">
        <v>0</v>
      </c>
      <c r="BW1036" s="2">
        <v>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0</v>
      </c>
      <c r="CD1036" s="2">
        <v>0</v>
      </c>
    </row>
    <row r="1037" spans="53:82" x14ac:dyDescent="0.25">
      <c r="BA1037" s="2">
        <v>0</v>
      </c>
      <c r="BB1037" s="2" t="e">
        <v>#VALUE!</v>
      </c>
      <c r="BC1037" s="2">
        <v>0</v>
      </c>
      <c r="BD1037" s="2">
        <v>0</v>
      </c>
      <c r="BE1037" s="2">
        <v>0</v>
      </c>
      <c r="BF1037" s="2">
        <v>0</v>
      </c>
      <c r="BG1037" s="2">
        <v>0</v>
      </c>
      <c r="BH1037" s="2">
        <v>0</v>
      </c>
      <c r="BI1037" s="2">
        <v>0</v>
      </c>
      <c r="BJ1037" s="2">
        <v>0</v>
      </c>
      <c r="BK1037" s="2">
        <v>0</v>
      </c>
      <c r="BL1037" s="2">
        <v>0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S1037" s="2">
        <v>0</v>
      </c>
      <c r="BT1037" s="2">
        <v>0</v>
      </c>
      <c r="BU1037" s="2">
        <v>0</v>
      </c>
      <c r="BV1037" s="2">
        <v>0</v>
      </c>
      <c r="BW1037" s="2">
        <v>0</v>
      </c>
      <c r="BX1037" s="2">
        <v>0</v>
      </c>
      <c r="BY1037" s="2">
        <v>0</v>
      </c>
      <c r="BZ1037" s="2">
        <v>0</v>
      </c>
      <c r="CA1037" s="2">
        <v>0</v>
      </c>
      <c r="CB1037" s="2">
        <v>0</v>
      </c>
      <c r="CC1037" s="2">
        <v>0</v>
      </c>
      <c r="CD1037" s="2">
        <v>0</v>
      </c>
    </row>
    <row r="1038" spans="53:82" x14ac:dyDescent="0.25">
      <c r="BA1038" s="2">
        <v>0</v>
      </c>
      <c r="BB1038" s="2" t="e">
        <v>#VALUE!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S1038" s="2">
        <v>0</v>
      </c>
      <c r="BT1038" s="2">
        <v>0</v>
      </c>
      <c r="BU1038" s="2">
        <v>0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D1038" s="2">
        <v>0</v>
      </c>
    </row>
    <row r="1039" spans="53:82" x14ac:dyDescent="0.25">
      <c r="BA1039" s="2">
        <v>0</v>
      </c>
      <c r="BB1039" s="2" t="e">
        <v>#VALUE!</v>
      </c>
      <c r="BC1039" s="2">
        <v>0</v>
      </c>
      <c r="BD1039" s="2">
        <v>0</v>
      </c>
      <c r="BE1039" s="2">
        <v>0</v>
      </c>
      <c r="BF1039" s="2">
        <v>0</v>
      </c>
      <c r="BG1039" s="2">
        <v>0</v>
      </c>
      <c r="BH1039" s="2">
        <v>0</v>
      </c>
      <c r="BI1039" s="2">
        <v>0</v>
      </c>
      <c r="BJ1039" s="2">
        <v>0</v>
      </c>
      <c r="BK1039" s="2">
        <v>0</v>
      </c>
      <c r="BL1039" s="2">
        <v>0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S1039" s="2">
        <v>0</v>
      </c>
      <c r="BT1039" s="2">
        <v>0</v>
      </c>
      <c r="BU1039" s="2">
        <v>0</v>
      </c>
      <c r="BV1039" s="2">
        <v>0</v>
      </c>
      <c r="BW1039" s="2">
        <v>0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0</v>
      </c>
      <c r="CD1039" s="2">
        <v>0</v>
      </c>
    </row>
    <row r="1040" spans="53:82" x14ac:dyDescent="0.25">
      <c r="BA1040" s="2">
        <v>0</v>
      </c>
      <c r="BB1040" s="2" t="e">
        <v>#VALUE!</v>
      </c>
      <c r="BC1040" s="2">
        <v>0</v>
      </c>
      <c r="BD1040" s="2">
        <v>0</v>
      </c>
      <c r="BE1040" s="2">
        <v>0</v>
      </c>
      <c r="BF1040" s="2">
        <v>0</v>
      </c>
      <c r="BG1040" s="2">
        <v>0</v>
      </c>
      <c r="BH1040" s="2">
        <v>0</v>
      </c>
      <c r="BI1040" s="2">
        <v>0</v>
      </c>
      <c r="BJ1040" s="2">
        <v>0</v>
      </c>
      <c r="BK1040" s="2">
        <v>0</v>
      </c>
      <c r="BL1040" s="2">
        <v>0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S1040" s="2">
        <v>0</v>
      </c>
      <c r="BT1040" s="2">
        <v>0</v>
      </c>
      <c r="BU1040" s="2">
        <v>0</v>
      </c>
      <c r="BV1040" s="2">
        <v>0</v>
      </c>
      <c r="BW1040" s="2">
        <v>0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0</v>
      </c>
      <c r="CD1040" s="2">
        <v>0</v>
      </c>
    </row>
    <row r="1041" spans="53:82" x14ac:dyDescent="0.25">
      <c r="BA1041" s="2">
        <v>0</v>
      </c>
      <c r="BB1041" s="2" t="e">
        <v>#VALUE!</v>
      </c>
      <c r="BC1041" s="2">
        <v>0</v>
      </c>
      <c r="BD1041" s="2">
        <v>0</v>
      </c>
      <c r="BE1041" s="2">
        <v>0</v>
      </c>
      <c r="BF1041" s="2">
        <v>0</v>
      </c>
      <c r="BG1041" s="2">
        <v>0</v>
      </c>
      <c r="BH1041" s="2">
        <v>0</v>
      </c>
      <c r="BI1041" s="2">
        <v>0</v>
      </c>
      <c r="BJ1041" s="2">
        <v>0</v>
      </c>
      <c r="BK1041" s="2">
        <v>0</v>
      </c>
      <c r="BL1041" s="2">
        <v>0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S1041" s="2">
        <v>0</v>
      </c>
      <c r="BT1041" s="2">
        <v>0</v>
      </c>
      <c r="BU1041" s="2">
        <v>0</v>
      </c>
      <c r="BV1041" s="2">
        <v>0</v>
      </c>
      <c r="BW1041" s="2">
        <v>0</v>
      </c>
      <c r="BX1041" s="2">
        <v>0</v>
      </c>
      <c r="BY1041" s="2">
        <v>0</v>
      </c>
      <c r="BZ1041" s="2">
        <v>0</v>
      </c>
      <c r="CA1041" s="2">
        <v>0</v>
      </c>
      <c r="CB1041" s="2">
        <v>0</v>
      </c>
      <c r="CC1041" s="2">
        <v>0</v>
      </c>
      <c r="CD1041" s="2">
        <v>0</v>
      </c>
    </row>
    <row r="1042" spans="53:82" x14ac:dyDescent="0.25">
      <c r="BA1042" s="2">
        <v>0</v>
      </c>
      <c r="BB1042" s="2" t="e">
        <v>#VALUE!</v>
      </c>
      <c r="BC1042" s="2">
        <v>0</v>
      </c>
      <c r="BD1042" s="2">
        <v>0</v>
      </c>
      <c r="BE1042" s="2">
        <v>0</v>
      </c>
      <c r="BF1042" s="2">
        <v>0</v>
      </c>
      <c r="BG1042" s="2">
        <v>0</v>
      </c>
      <c r="BH1042" s="2">
        <v>0</v>
      </c>
      <c r="BI1042" s="2">
        <v>0</v>
      </c>
      <c r="BJ1042" s="2">
        <v>0</v>
      </c>
      <c r="BK1042" s="2">
        <v>0</v>
      </c>
      <c r="BL1042" s="2">
        <v>0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S1042" s="2">
        <v>0</v>
      </c>
      <c r="BT1042" s="2">
        <v>0</v>
      </c>
      <c r="BU1042" s="2">
        <v>0</v>
      </c>
      <c r="BV1042" s="2">
        <v>0</v>
      </c>
      <c r="BW1042" s="2">
        <v>0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0</v>
      </c>
      <c r="CD1042" s="2">
        <v>0</v>
      </c>
    </row>
    <row r="1043" spans="53:82" x14ac:dyDescent="0.25">
      <c r="BA1043" s="2">
        <v>0</v>
      </c>
      <c r="BB1043" s="2" t="e">
        <v>#VALUE!</v>
      </c>
      <c r="BC1043" s="2">
        <v>0</v>
      </c>
      <c r="BD1043" s="2">
        <v>0</v>
      </c>
      <c r="BE1043" s="2">
        <v>0</v>
      </c>
      <c r="BF1043" s="2">
        <v>0</v>
      </c>
      <c r="BG1043" s="2">
        <v>0</v>
      </c>
      <c r="BH1043" s="2">
        <v>0</v>
      </c>
      <c r="BI1043" s="2">
        <v>0</v>
      </c>
      <c r="BJ1043" s="2">
        <v>0</v>
      </c>
      <c r="BK1043" s="2">
        <v>0</v>
      </c>
      <c r="BL1043" s="2">
        <v>0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S1043" s="2">
        <v>0</v>
      </c>
      <c r="BT1043" s="2">
        <v>0</v>
      </c>
      <c r="BU1043" s="2">
        <v>0</v>
      </c>
      <c r="BV1043" s="2">
        <v>0</v>
      </c>
      <c r="BW1043" s="2">
        <v>0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0</v>
      </c>
      <c r="CD1043" s="2">
        <v>0</v>
      </c>
    </row>
    <row r="1044" spans="53:82" x14ac:dyDescent="0.25">
      <c r="BA1044" s="2">
        <v>0</v>
      </c>
      <c r="BB1044" s="2" t="e">
        <v>#VALUE!</v>
      </c>
      <c r="BC1044" s="2">
        <v>0</v>
      </c>
      <c r="BD1044" s="2">
        <v>0</v>
      </c>
      <c r="BE1044" s="2">
        <v>0</v>
      </c>
      <c r="BF1044" s="2">
        <v>0</v>
      </c>
      <c r="BG1044" s="2">
        <v>0</v>
      </c>
      <c r="BH1044" s="2">
        <v>0</v>
      </c>
      <c r="BI1044" s="2">
        <v>0</v>
      </c>
      <c r="BJ1044" s="2">
        <v>0</v>
      </c>
      <c r="BK1044" s="2">
        <v>0</v>
      </c>
      <c r="BL1044" s="2">
        <v>0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S1044" s="2">
        <v>0</v>
      </c>
      <c r="BT1044" s="2">
        <v>0</v>
      </c>
      <c r="BU1044" s="2">
        <v>0</v>
      </c>
      <c r="BV1044" s="2">
        <v>0</v>
      </c>
      <c r="BW1044" s="2">
        <v>0</v>
      </c>
      <c r="BX1044" s="2">
        <v>0</v>
      </c>
      <c r="BY1044" s="2">
        <v>0</v>
      </c>
      <c r="BZ1044" s="2">
        <v>0</v>
      </c>
      <c r="CA1044" s="2">
        <v>0</v>
      </c>
      <c r="CB1044" s="2">
        <v>0</v>
      </c>
      <c r="CC1044" s="2">
        <v>0</v>
      </c>
      <c r="CD1044" s="2">
        <v>0</v>
      </c>
    </row>
    <row r="1045" spans="53:82" x14ac:dyDescent="0.25">
      <c r="BA1045" s="2">
        <v>0</v>
      </c>
      <c r="BB1045" s="2" t="e">
        <v>#VALUE!</v>
      </c>
      <c r="BC1045" s="2">
        <v>0</v>
      </c>
      <c r="BD1045" s="2">
        <v>0</v>
      </c>
      <c r="BE1045" s="2">
        <v>0</v>
      </c>
      <c r="BF1045" s="2">
        <v>0</v>
      </c>
      <c r="BG1045" s="2">
        <v>0</v>
      </c>
      <c r="BH1045" s="2">
        <v>0</v>
      </c>
      <c r="BI1045" s="2">
        <v>0</v>
      </c>
      <c r="BJ1045" s="2">
        <v>0</v>
      </c>
      <c r="BK1045" s="2">
        <v>0</v>
      </c>
      <c r="BL1045" s="2">
        <v>0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S1045" s="2">
        <v>0</v>
      </c>
      <c r="BT1045" s="2">
        <v>0</v>
      </c>
      <c r="BU1045" s="2">
        <v>0</v>
      </c>
      <c r="BV1045" s="2">
        <v>0</v>
      </c>
      <c r="BW1045" s="2">
        <v>0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0</v>
      </c>
      <c r="CD1045" s="2">
        <v>0</v>
      </c>
    </row>
    <row r="1046" spans="53:82" x14ac:dyDescent="0.25">
      <c r="BA1046" s="2">
        <v>0</v>
      </c>
      <c r="BB1046" s="2" t="e">
        <v>#VALUE!</v>
      </c>
      <c r="BC1046" s="2">
        <v>0</v>
      </c>
      <c r="BD1046" s="2">
        <v>0</v>
      </c>
      <c r="BE1046" s="2">
        <v>0</v>
      </c>
      <c r="BF1046" s="2">
        <v>0</v>
      </c>
      <c r="BG1046" s="2">
        <v>0</v>
      </c>
      <c r="BH1046" s="2">
        <v>0</v>
      </c>
      <c r="BI1046" s="2">
        <v>0</v>
      </c>
      <c r="BJ1046" s="2">
        <v>0</v>
      </c>
      <c r="BK1046" s="2">
        <v>0</v>
      </c>
      <c r="BL1046" s="2">
        <v>0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S1046" s="2">
        <v>0</v>
      </c>
      <c r="BT1046" s="2">
        <v>0</v>
      </c>
      <c r="BU1046" s="2">
        <v>0</v>
      </c>
      <c r="BV1046" s="2">
        <v>0</v>
      </c>
      <c r="BW1046" s="2">
        <v>0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0</v>
      </c>
      <c r="CD1046" s="2">
        <v>0</v>
      </c>
    </row>
    <row r="1047" spans="53:82" x14ac:dyDescent="0.25">
      <c r="BA1047" s="2">
        <v>0</v>
      </c>
      <c r="BB1047" s="2" t="e">
        <v>#VALUE!</v>
      </c>
      <c r="BC1047" s="2">
        <v>0</v>
      </c>
      <c r="BD1047" s="2">
        <v>0</v>
      </c>
      <c r="BE1047" s="2">
        <v>0</v>
      </c>
      <c r="BF1047" s="2">
        <v>0</v>
      </c>
      <c r="BG1047" s="2">
        <v>0</v>
      </c>
      <c r="BH1047" s="2">
        <v>0</v>
      </c>
      <c r="BI1047" s="2">
        <v>0</v>
      </c>
      <c r="BJ1047" s="2">
        <v>0</v>
      </c>
      <c r="BK1047" s="2">
        <v>0</v>
      </c>
      <c r="BL1047" s="2">
        <v>0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S1047" s="2">
        <v>0</v>
      </c>
      <c r="BT1047" s="2">
        <v>0</v>
      </c>
      <c r="BU1047" s="2">
        <v>0</v>
      </c>
      <c r="BV1047" s="2">
        <v>0</v>
      </c>
      <c r="BW1047" s="2">
        <v>0</v>
      </c>
      <c r="BX1047" s="2">
        <v>0</v>
      </c>
      <c r="BY1047" s="2">
        <v>0</v>
      </c>
      <c r="BZ1047" s="2">
        <v>0</v>
      </c>
      <c r="CA1047" s="2">
        <v>0</v>
      </c>
      <c r="CB1047" s="2">
        <v>0</v>
      </c>
      <c r="CC1047" s="2">
        <v>0</v>
      </c>
      <c r="CD1047" s="2">
        <v>0</v>
      </c>
    </row>
    <row r="1048" spans="53:82" x14ac:dyDescent="0.25">
      <c r="BA1048" s="2">
        <v>0</v>
      </c>
      <c r="BB1048" s="2" t="e">
        <v>#VALUE!</v>
      </c>
      <c r="BC1048" s="2">
        <v>0</v>
      </c>
      <c r="BD1048" s="2">
        <v>0</v>
      </c>
      <c r="BE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L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S1048" s="2">
        <v>0</v>
      </c>
      <c r="BT1048" s="2">
        <v>0</v>
      </c>
      <c r="BU1048" s="2">
        <v>0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D1048" s="2">
        <v>0</v>
      </c>
    </row>
    <row r="1049" spans="53:82" x14ac:dyDescent="0.25">
      <c r="BA1049" s="2">
        <v>0</v>
      </c>
      <c r="BB1049" s="2" t="e">
        <v>#VALUE!</v>
      </c>
      <c r="BC1049" s="2">
        <v>0</v>
      </c>
      <c r="BD1049" s="2">
        <v>0</v>
      </c>
      <c r="BE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L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S1049" s="2">
        <v>0</v>
      </c>
      <c r="BT1049" s="2">
        <v>0</v>
      </c>
      <c r="BU1049" s="2">
        <v>0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D1049" s="2">
        <v>0</v>
      </c>
    </row>
    <row r="1050" spans="53:82" x14ac:dyDescent="0.25">
      <c r="BA1050" s="2">
        <v>0</v>
      </c>
      <c r="BB1050" s="2" t="e">
        <v>#VALUE!</v>
      </c>
      <c r="BC1050" s="2">
        <v>0</v>
      </c>
      <c r="BD1050" s="2">
        <v>0</v>
      </c>
      <c r="BE1050" s="2">
        <v>0</v>
      </c>
      <c r="BF1050" s="2">
        <v>0</v>
      </c>
      <c r="BG1050" s="2">
        <v>0</v>
      </c>
      <c r="BH1050" s="2">
        <v>0</v>
      </c>
      <c r="BI1050" s="2">
        <v>0</v>
      </c>
      <c r="BJ1050" s="2">
        <v>0</v>
      </c>
      <c r="BK1050" s="2">
        <v>0</v>
      </c>
      <c r="BL1050" s="2">
        <v>0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S1050" s="2">
        <v>0</v>
      </c>
      <c r="BT1050" s="2">
        <v>0</v>
      </c>
      <c r="BU1050" s="2">
        <v>0</v>
      </c>
      <c r="BV1050" s="2">
        <v>0</v>
      </c>
      <c r="BW1050" s="2">
        <v>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0</v>
      </c>
      <c r="CD1050" s="2">
        <v>0</v>
      </c>
    </row>
    <row r="1051" spans="53:82" x14ac:dyDescent="0.25">
      <c r="BA1051" s="2">
        <v>0</v>
      </c>
      <c r="BB1051" s="2" t="e">
        <v>#VALUE!</v>
      </c>
      <c r="BC1051" s="2">
        <v>0</v>
      </c>
      <c r="BD1051" s="2">
        <v>0</v>
      </c>
      <c r="BE1051" s="2">
        <v>0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L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S1051" s="2">
        <v>0</v>
      </c>
      <c r="BT1051" s="2">
        <v>0</v>
      </c>
      <c r="BU1051" s="2">
        <v>0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D1051" s="2">
        <v>0</v>
      </c>
    </row>
    <row r="1052" spans="53:82" x14ac:dyDescent="0.25">
      <c r="BA1052" s="2">
        <v>0</v>
      </c>
      <c r="BB1052" s="2" t="e">
        <v>#VALUE!</v>
      </c>
      <c r="BC1052" s="2">
        <v>0</v>
      </c>
      <c r="BD1052" s="2">
        <v>0</v>
      </c>
      <c r="BE1052" s="2">
        <v>0</v>
      </c>
      <c r="BF1052" s="2">
        <v>0</v>
      </c>
      <c r="BG1052" s="2">
        <v>0</v>
      </c>
      <c r="BH1052" s="2">
        <v>0</v>
      </c>
      <c r="BI1052" s="2">
        <v>0</v>
      </c>
      <c r="BJ1052" s="2">
        <v>0</v>
      </c>
      <c r="BK1052" s="2">
        <v>0</v>
      </c>
      <c r="BL1052" s="2">
        <v>0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S1052" s="2">
        <v>0</v>
      </c>
      <c r="BT1052" s="2">
        <v>0</v>
      </c>
      <c r="BU1052" s="2">
        <v>0</v>
      </c>
      <c r="BV1052" s="2">
        <v>0</v>
      </c>
      <c r="BW1052" s="2">
        <v>0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0</v>
      </c>
      <c r="CD1052" s="2">
        <v>0</v>
      </c>
    </row>
    <row r="1053" spans="53:82" x14ac:dyDescent="0.25">
      <c r="BA1053" s="2">
        <v>0</v>
      </c>
      <c r="BB1053" s="2" t="e">
        <v>#VALUE!</v>
      </c>
      <c r="BC1053" s="2">
        <v>0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>
        <v>0</v>
      </c>
      <c r="BJ1053" s="2">
        <v>0</v>
      </c>
      <c r="BK1053" s="2">
        <v>0</v>
      </c>
      <c r="BL1053" s="2">
        <v>0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S1053" s="2">
        <v>0</v>
      </c>
      <c r="BT1053" s="2">
        <v>0</v>
      </c>
      <c r="BU1053" s="2">
        <v>0</v>
      </c>
      <c r="BV1053" s="2">
        <v>0</v>
      </c>
      <c r="BW1053" s="2">
        <v>0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0</v>
      </c>
      <c r="CD1053" s="2">
        <v>0</v>
      </c>
    </row>
    <row r="1054" spans="53:82" x14ac:dyDescent="0.25">
      <c r="BA1054" s="2">
        <v>0</v>
      </c>
      <c r="BB1054" s="2" t="e">
        <v>#VALUE!</v>
      </c>
      <c r="BC1054" s="2">
        <v>0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L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S1054" s="2">
        <v>0</v>
      </c>
      <c r="BT1054" s="2">
        <v>0</v>
      </c>
      <c r="BU1054" s="2">
        <v>0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D1054" s="2">
        <v>0</v>
      </c>
    </row>
    <row r="1055" spans="53:82" x14ac:dyDescent="0.25">
      <c r="BA1055" s="2">
        <v>0</v>
      </c>
      <c r="BB1055" s="2" t="e">
        <v>#VALUE!</v>
      </c>
      <c r="BC1055" s="2">
        <v>0</v>
      </c>
      <c r="BD1055" s="2">
        <v>0</v>
      </c>
      <c r="BE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L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S1055" s="2">
        <v>0</v>
      </c>
      <c r="BT1055" s="2">
        <v>0</v>
      </c>
      <c r="BU1055" s="2">
        <v>0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D1055" s="2">
        <v>0</v>
      </c>
    </row>
    <row r="1056" spans="53:82" x14ac:dyDescent="0.25">
      <c r="BA1056" s="2">
        <v>0</v>
      </c>
      <c r="BB1056" s="2" t="e">
        <v>#VALUE!</v>
      </c>
      <c r="BC1056" s="2">
        <v>0</v>
      </c>
      <c r="BD1056" s="2">
        <v>0</v>
      </c>
      <c r="BE1056" s="2">
        <v>0</v>
      </c>
      <c r="BF1056" s="2">
        <v>0</v>
      </c>
      <c r="BG1056" s="2">
        <v>0</v>
      </c>
      <c r="BH1056" s="2">
        <v>0</v>
      </c>
      <c r="BI1056" s="2">
        <v>0</v>
      </c>
      <c r="BJ1056" s="2">
        <v>0</v>
      </c>
      <c r="BK1056" s="2">
        <v>0</v>
      </c>
      <c r="BL1056" s="2">
        <v>0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S1056" s="2">
        <v>0</v>
      </c>
      <c r="BT1056" s="2">
        <v>0</v>
      </c>
      <c r="BU1056" s="2">
        <v>0</v>
      </c>
      <c r="BV1056" s="2">
        <v>0</v>
      </c>
      <c r="BW1056" s="2">
        <v>0</v>
      </c>
      <c r="BX1056" s="2">
        <v>0</v>
      </c>
      <c r="BY1056" s="2">
        <v>0</v>
      </c>
      <c r="BZ1056" s="2">
        <v>0</v>
      </c>
      <c r="CA1056" s="2">
        <v>0</v>
      </c>
      <c r="CB1056" s="2">
        <v>0</v>
      </c>
      <c r="CC1056" s="2">
        <v>0</v>
      </c>
      <c r="CD1056" s="2">
        <v>0</v>
      </c>
    </row>
    <row r="1057" spans="53:82" x14ac:dyDescent="0.25">
      <c r="BA1057" s="2">
        <v>0</v>
      </c>
      <c r="BB1057" s="2" t="e">
        <v>#VALUE!</v>
      </c>
      <c r="BC1057" s="2">
        <v>0</v>
      </c>
      <c r="BD1057" s="2">
        <v>0</v>
      </c>
      <c r="BE1057" s="2">
        <v>0</v>
      </c>
      <c r="BF1057" s="2">
        <v>0</v>
      </c>
      <c r="BG1057" s="2">
        <v>0</v>
      </c>
      <c r="BH1057" s="2">
        <v>0</v>
      </c>
      <c r="BI1057" s="2">
        <v>0</v>
      </c>
      <c r="BJ1057" s="2">
        <v>0</v>
      </c>
      <c r="BK1057" s="2">
        <v>0</v>
      </c>
      <c r="BL1057" s="2">
        <v>0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S1057" s="2">
        <v>0</v>
      </c>
      <c r="BT1057" s="2">
        <v>0</v>
      </c>
      <c r="BU1057" s="2">
        <v>0</v>
      </c>
      <c r="BV1057" s="2">
        <v>0</v>
      </c>
      <c r="BW1057" s="2">
        <v>0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0</v>
      </c>
      <c r="CD1057" s="2">
        <v>0</v>
      </c>
    </row>
    <row r="1058" spans="53:82" x14ac:dyDescent="0.25">
      <c r="BA1058" s="2">
        <v>0</v>
      </c>
      <c r="BB1058" s="2" t="e">
        <v>#VALUE!</v>
      </c>
      <c r="BC1058" s="2">
        <v>0</v>
      </c>
      <c r="BD1058" s="2">
        <v>0</v>
      </c>
      <c r="BE1058" s="2">
        <v>0</v>
      </c>
      <c r="BF1058" s="2">
        <v>0</v>
      </c>
      <c r="BG1058" s="2">
        <v>0</v>
      </c>
      <c r="BH1058" s="2">
        <v>0</v>
      </c>
      <c r="BI1058" s="2">
        <v>0</v>
      </c>
      <c r="BJ1058" s="2">
        <v>0</v>
      </c>
      <c r="BK1058" s="2">
        <v>0</v>
      </c>
      <c r="BL1058" s="2">
        <v>0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S1058" s="2">
        <v>0</v>
      </c>
      <c r="BT1058" s="2">
        <v>0</v>
      </c>
      <c r="BU1058" s="2">
        <v>0</v>
      </c>
      <c r="BV1058" s="2">
        <v>0</v>
      </c>
      <c r="BW1058" s="2">
        <v>0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0</v>
      </c>
      <c r="CD1058" s="2">
        <v>0</v>
      </c>
    </row>
    <row r="1059" spans="53:82" x14ac:dyDescent="0.25">
      <c r="BA1059" s="2">
        <v>0</v>
      </c>
      <c r="BB1059" s="2" t="e">
        <v>#VALUE!</v>
      </c>
      <c r="BC1059" s="2">
        <v>0</v>
      </c>
      <c r="BD1059" s="2">
        <v>0</v>
      </c>
      <c r="BE1059" s="2">
        <v>0</v>
      </c>
      <c r="BF1059" s="2">
        <v>0</v>
      </c>
      <c r="BG1059" s="2">
        <v>0</v>
      </c>
      <c r="BH1059" s="2">
        <v>0</v>
      </c>
      <c r="BI1059" s="2">
        <v>0</v>
      </c>
      <c r="BJ1059" s="2">
        <v>0</v>
      </c>
      <c r="BK1059" s="2">
        <v>0</v>
      </c>
      <c r="BL1059" s="2">
        <v>0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S1059" s="2">
        <v>0</v>
      </c>
      <c r="BT1059" s="2">
        <v>0</v>
      </c>
      <c r="BU1059" s="2">
        <v>0</v>
      </c>
      <c r="BV1059" s="2">
        <v>0</v>
      </c>
      <c r="BW1059" s="2">
        <v>0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0</v>
      </c>
      <c r="CD1059" s="2">
        <v>0</v>
      </c>
    </row>
    <row r="1060" spans="53:82" x14ac:dyDescent="0.25">
      <c r="BA1060" s="2">
        <v>0</v>
      </c>
      <c r="BB1060" s="2" t="e">
        <v>#VALUE!</v>
      </c>
      <c r="BC1060" s="2">
        <v>0</v>
      </c>
      <c r="BD1060" s="2">
        <v>0</v>
      </c>
      <c r="BE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L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S1060" s="2">
        <v>0</v>
      </c>
      <c r="BT1060" s="2">
        <v>0</v>
      </c>
      <c r="BU1060" s="2">
        <v>0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D1060" s="2">
        <v>0</v>
      </c>
    </row>
    <row r="1061" spans="53:82" x14ac:dyDescent="0.25">
      <c r="BA1061" s="2">
        <v>0</v>
      </c>
      <c r="BB1061" s="2" t="e">
        <v>#VALUE!</v>
      </c>
      <c r="BC1061" s="2">
        <v>0</v>
      </c>
      <c r="BD1061" s="2">
        <v>0</v>
      </c>
      <c r="BE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L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S1061" s="2">
        <v>0</v>
      </c>
      <c r="BT1061" s="2">
        <v>0</v>
      </c>
      <c r="BU1061" s="2">
        <v>0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D1061" s="2">
        <v>0</v>
      </c>
    </row>
    <row r="1062" spans="53:82" x14ac:dyDescent="0.25">
      <c r="BA1062" s="2">
        <v>0</v>
      </c>
      <c r="BB1062" s="2" t="e">
        <v>#VALUE!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L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S1062" s="2">
        <v>0</v>
      </c>
      <c r="BT1062" s="2">
        <v>0</v>
      </c>
      <c r="BU1062" s="2">
        <v>0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D1062" s="2">
        <v>0</v>
      </c>
    </row>
    <row r="1063" spans="53:82" x14ac:dyDescent="0.25">
      <c r="BA1063" s="2">
        <v>0</v>
      </c>
      <c r="BB1063" s="2" t="e">
        <v>#VALUE!</v>
      </c>
      <c r="BC1063" s="2">
        <v>0</v>
      </c>
      <c r="BD1063" s="2">
        <v>0</v>
      </c>
      <c r="BE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L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S1063" s="2">
        <v>0</v>
      </c>
      <c r="BT1063" s="2">
        <v>0</v>
      </c>
      <c r="BU1063" s="2">
        <v>0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D1063" s="2">
        <v>0</v>
      </c>
    </row>
    <row r="1064" spans="53:82" x14ac:dyDescent="0.25">
      <c r="BA1064" s="2">
        <v>0</v>
      </c>
      <c r="BB1064" s="2" t="e">
        <v>#VALUE!</v>
      </c>
      <c r="BC1064" s="2">
        <v>0</v>
      </c>
      <c r="BD1064" s="2">
        <v>0</v>
      </c>
      <c r="BE1064" s="2">
        <v>0</v>
      </c>
      <c r="BF1064" s="2">
        <v>0</v>
      </c>
      <c r="BG1064" s="2">
        <v>0</v>
      </c>
      <c r="BH1064" s="2">
        <v>0</v>
      </c>
      <c r="BI1064" s="2">
        <v>0</v>
      </c>
      <c r="BJ1064" s="2">
        <v>0</v>
      </c>
      <c r="BK1064" s="2">
        <v>0</v>
      </c>
      <c r="BL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S1064" s="2">
        <v>0</v>
      </c>
      <c r="BT1064" s="2">
        <v>0</v>
      </c>
      <c r="BU1064" s="2">
        <v>0</v>
      </c>
      <c r="BV1064" s="2">
        <v>0</v>
      </c>
      <c r="BW1064" s="2">
        <v>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0</v>
      </c>
      <c r="CD1064" s="2">
        <v>0</v>
      </c>
    </row>
    <row r="1065" spans="53:82" x14ac:dyDescent="0.25">
      <c r="BA1065" s="2">
        <v>0</v>
      </c>
      <c r="BB1065" s="2" t="e">
        <v>#VALUE!</v>
      </c>
      <c r="BC1065" s="2">
        <v>0</v>
      </c>
      <c r="BD1065" s="2">
        <v>0</v>
      </c>
      <c r="BE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L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S1065" s="2">
        <v>0</v>
      </c>
      <c r="BT1065" s="2">
        <v>0</v>
      </c>
      <c r="BU1065" s="2">
        <v>0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D1065" s="2">
        <v>0</v>
      </c>
    </row>
    <row r="1066" spans="53:82" x14ac:dyDescent="0.25">
      <c r="BA1066" s="2">
        <v>0</v>
      </c>
      <c r="BB1066" s="2" t="e">
        <v>#VALUE!</v>
      </c>
      <c r="BC1066" s="2">
        <v>0</v>
      </c>
      <c r="BD1066" s="2">
        <v>0</v>
      </c>
      <c r="BE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0</v>
      </c>
      <c r="BK1066" s="2">
        <v>0</v>
      </c>
      <c r="BL1066" s="2">
        <v>0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S1066" s="2">
        <v>0</v>
      </c>
      <c r="BT1066" s="2">
        <v>0</v>
      </c>
      <c r="BU1066" s="2">
        <v>0</v>
      </c>
      <c r="BV1066" s="2">
        <v>0</v>
      </c>
      <c r="BW1066" s="2">
        <v>0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0</v>
      </c>
      <c r="CD1066" s="2">
        <v>0</v>
      </c>
    </row>
    <row r="1067" spans="53:82" x14ac:dyDescent="0.25">
      <c r="BA1067" s="2">
        <v>0</v>
      </c>
      <c r="BB1067" s="2" t="e">
        <v>#VALUE!</v>
      </c>
      <c r="BC1067" s="2">
        <v>0</v>
      </c>
      <c r="BD1067" s="2">
        <v>0</v>
      </c>
      <c r="BE1067" s="2">
        <v>0</v>
      </c>
      <c r="BF1067" s="2">
        <v>0</v>
      </c>
      <c r="BG1067" s="2">
        <v>0</v>
      </c>
      <c r="BH1067" s="2">
        <v>0</v>
      </c>
      <c r="BI1067" s="2">
        <v>0</v>
      </c>
      <c r="BJ1067" s="2">
        <v>0</v>
      </c>
      <c r="BK1067" s="2">
        <v>0</v>
      </c>
      <c r="BL1067" s="2">
        <v>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S1067" s="2">
        <v>0</v>
      </c>
      <c r="BT1067" s="2">
        <v>0</v>
      </c>
      <c r="BU1067" s="2">
        <v>0</v>
      </c>
      <c r="BV1067" s="2">
        <v>0</v>
      </c>
      <c r="BW1067" s="2">
        <v>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0</v>
      </c>
      <c r="CD1067" s="2">
        <v>0</v>
      </c>
    </row>
    <row r="1068" spans="53:82" x14ac:dyDescent="0.25">
      <c r="BA1068" s="2">
        <v>0</v>
      </c>
      <c r="BB1068" s="2" t="e">
        <v>#VALUE!</v>
      </c>
      <c r="BC1068" s="2">
        <v>0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 s="2">
        <v>0</v>
      </c>
      <c r="BK1068" s="2">
        <v>0</v>
      </c>
      <c r="BL1068" s="2">
        <v>0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S1068" s="2">
        <v>0</v>
      </c>
      <c r="BT1068" s="2">
        <v>0</v>
      </c>
      <c r="BU1068" s="2">
        <v>0</v>
      </c>
      <c r="BV1068" s="2">
        <v>0</v>
      </c>
      <c r="BW1068" s="2">
        <v>0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0</v>
      </c>
      <c r="CD1068" s="2">
        <v>0</v>
      </c>
    </row>
    <row r="1069" spans="53:82" x14ac:dyDescent="0.25">
      <c r="BA1069" s="2">
        <v>0</v>
      </c>
      <c r="BB1069" s="2" t="e">
        <v>#VALUE!</v>
      </c>
      <c r="BC1069" s="2">
        <v>0</v>
      </c>
      <c r="BD1069" s="2">
        <v>0</v>
      </c>
      <c r="BE1069" s="2">
        <v>0</v>
      </c>
      <c r="BF1069" s="2">
        <v>0</v>
      </c>
      <c r="BG1069" s="2">
        <v>0</v>
      </c>
      <c r="BH1069" s="2">
        <v>0</v>
      </c>
      <c r="BI1069" s="2">
        <v>0</v>
      </c>
      <c r="BJ1069" s="2">
        <v>0</v>
      </c>
      <c r="BK1069" s="2">
        <v>0</v>
      </c>
      <c r="BL1069" s="2">
        <v>0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S1069" s="2">
        <v>0</v>
      </c>
      <c r="BT1069" s="2">
        <v>0</v>
      </c>
      <c r="BU1069" s="2">
        <v>0</v>
      </c>
      <c r="BV1069" s="2">
        <v>0</v>
      </c>
      <c r="BW1069" s="2">
        <v>0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0</v>
      </c>
      <c r="CD1069" s="2">
        <v>0</v>
      </c>
    </row>
    <row r="1070" spans="53:82" x14ac:dyDescent="0.25">
      <c r="BA1070" s="2">
        <v>0</v>
      </c>
      <c r="BB1070" s="2" t="e">
        <v>#VALUE!</v>
      </c>
      <c r="BC1070" s="2">
        <v>0</v>
      </c>
      <c r="BD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L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S1070" s="2">
        <v>0</v>
      </c>
      <c r="BT1070" s="2">
        <v>0</v>
      </c>
      <c r="BU1070" s="2">
        <v>0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D1070" s="2">
        <v>0</v>
      </c>
    </row>
    <row r="1071" spans="53:82" x14ac:dyDescent="0.25">
      <c r="BA1071" s="2">
        <v>0</v>
      </c>
      <c r="BB1071" s="2" t="e">
        <v>#VALUE!</v>
      </c>
      <c r="BC1071" s="2">
        <v>0</v>
      </c>
      <c r="BD1071" s="2">
        <v>0</v>
      </c>
      <c r="BE1071" s="2">
        <v>0</v>
      </c>
      <c r="BF1071" s="2">
        <v>0</v>
      </c>
      <c r="BG1071" s="2">
        <v>0</v>
      </c>
      <c r="BH1071" s="2">
        <v>0</v>
      </c>
      <c r="BI1071" s="2">
        <v>0</v>
      </c>
      <c r="BJ1071" s="2">
        <v>0</v>
      </c>
      <c r="BK1071" s="2">
        <v>0</v>
      </c>
      <c r="BL1071" s="2">
        <v>0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S1071" s="2">
        <v>0</v>
      </c>
      <c r="BT1071" s="2">
        <v>0</v>
      </c>
      <c r="BU1071" s="2">
        <v>0</v>
      </c>
      <c r="BV1071" s="2">
        <v>0</v>
      </c>
      <c r="BW1071" s="2">
        <v>0</v>
      </c>
      <c r="BX1071" s="2">
        <v>0</v>
      </c>
      <c r="BY1071" s="2">
        <v>0</v>
      </c>
      <c r="BZ1071" s="2">
        <v>0</v>
      </c>
      <c r="CA1071" s="2">
        <v>0</v>
      </c>
      <c r="CB1071" s="2">
        <v>0</v>
      </c>
      <c r="CC1071" s="2">
        <v>0</v>
      </c>
      <c r="CD1071" s="2">
        <v>0</v>
      </c>
    </row>
    <row r="1072" spans="53:82" x14ac:dyDescent="0.25">
      <c r="BA1072" s="2">
        <v>0</v>
      </c>
      <c r="BB1072" s="2" t="e">
        <v>#VALUE!</v>
      </c>
      <c r="BC1072" s="2">
        <v>0</v>
      </c>
      <c r="BD1072" s="2">
        <v>0</v>
      </c>
      <c r="BE1072" s="2">
        <v>0</v>
      </c>
      <c r="BF1072" s="2">
        <v>0</v>
      </c>
      <c r="BG1072" s="2">
        <v>0</v>
      </c>
      <c r="BH1072" s="2">
        <v>0</v>
      </c>
      <c r="BI1072" s="2">
        <v>0</v>
      </c>
      <c r="BJ1072" s="2">
        <v>0</v>
      </c>
      <c r="BK1072" s="2">
        <v>0</v>
      </c>
      <c r="BL1072" s="2">
        <v>0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S1072" s="2">
        <v>0</v>
      </c>
      <c r="BT1072" s="2">
        <v>0</v>
      </c>
      <c r="BU1072" s="2">
        <v>0</v>
      </c>
      <c r="BV1072" s="2">
        <v>0</v>
      </c>
      <c r="BW1072" s="2">
        <v>0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0</v>
      </c>
      <c r="CD1072" s="2">
        <v>0</v>
      </c>
    </row>
    <row r="1073" spans="53:82" x14ac:dyDescent="0.25">
      <c r="BA1073" s="2">
        <v>0</v>
      </c>
      <c r="BB1073" s="2" t="e">
        <v>#VALUE!</v>
      </c>
      <c r="BC1073" s="2">
        <v>0</v>
      </c>
      <c r="BD1073" s="2">
        <v>0</v>
      </c>
      <c r="BE1073" s="2">
        <v>0</v>
      </c>
      <c r="BF1073" s="2">
        <v>0</v>
      </c>
      <c r="BG1073" s="2">
        <v>0</v>
      </c>
      <c r="BH1073" s="2">
        <v>0</v>
      </c>
      <c r="BI1073" s="2">
        <v>0</v>
      </c>
      <c r="BJ1073" s="2">
        <v>0</v>
      </c>
      <c r="BK1073" s="2">
        <v>0</v>
      </c>
      <c r="BL1073" s="2">
        <v>0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S1073" s="2">
        <v>0</v>
      </c>
      <c r="BT1073" s="2">
        <v>0</v>
      </c>
      <c r="BU1073" s="2">
        <v>0</v>
      </c>
      <c r="BV1073" s="2">
        <v>0</v>
      </c>
      <c r="BW1073" s="2">
        <v>0</v>
      </c>
      <c r="BX1073" s="2">
        <v>0</v>
      </c>
      <c r="BY1073" s="2">
        <v>0</v>
      </c>
      <c r="BZ1073" s="2">
        <v>0</v>
      </c>
      <c r="CA1073" s="2">
        <v>0</v>
      </c>
      <c r="CB1073" s="2">
        <v>0</v>
      </c>
      <c r="CC1073" s="2">
        <v>0</v>
      </c>
      <c r="CD1073" s="2">
        <v>0</v>
      </c>
    </row>
    <row r="1074" spans="53:82" x14ac:dyDescent="0.25">
      <c r="BA1074" s="2">
        <v>0</v>
      </c>
      <c r="BB1074" s="2" t="e">
        <v>#VALUE!</v>
      </c>
      <c r="BC1074" s="2">
        <v>0</v>
      </c>
      <c r="BD1074" s="2">
        <v>0</v>
      </c>
      <c r="BE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L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S1074" s="2">
        <v>0</v>
      </c>
      <c r="BT1074" s="2">
        <v>0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D1074" s="2">
        <v>0</v>
      </c>
    </row>
    <row r="1075" spans="53:82" x14ac:dyDescent="0.25">
      <c r="BA1075" s="2">
        <v>0</v>
      </c>
      <c r="BB1075" s="2" t="e">
        <v>#VALUE!</v>
      </c>
      <c r="BC1075" s="2">
        <v>0</v>
      </c>
      <c r="BD1075" s="2">
        <v>0</v>
      </c>
      <c r="BE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L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S1075" s="2">
        <v>0</v>
      </c>
      <c r="BT1075" s="2">
        <v>0</v>
      </c>
      <c r="BU1075" s="2">
        <v>0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D1075" s="2">
        <v>0</v>
      </c>
    </row>
    <row r="1076" spans="53:82" x14ac:dyDescent="0.25">
      <c r="BA1076" s="2">
        <v>0</v>
      </c>
      <c r="BB1076" s="2" t="e">
        <v>#VALUE!</v>
      </c>
      <c r="BC1076" s="2">
        <v>0</v>
      </c>
      <c r="BD1076" s="2">
        <v>0</v>
      </c>
      <c r="BE1076" s="2">
        <v>0</v>
      </c>
      <c r="BF1076" s="2">
        <v>0</v>
      </c>
      <c r="BG1076" s="2">
        <v>0</v>
      </c>
      <c r="BH1076" s="2">
        <v>0</v>
      </c>
      <c r="BI1076" s="2">
        <v>0</v>
      </c>
      <c r="BJ1076" s="2">
        <v>0</v>
      </c>
      <c r="BK1076" s="2">
        <v>0</v>
      </c>
      <c r="BL1076" s="2">
        <v>0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S1076" s="2">
        <v>0</v>
      </c>
      <c r="BT1076" s="2">
        <v>0</v>
      </c>
      <c r="BU1076" s="2">
        <v>0</v>
      </c>
      <c r="BV1076" s="2">
        <v>0</v>
      </c>
      <c r="BW1076" s="2">
        <v>0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0</v>
      </c>
      <c r="CD1076" s="2">
        <v>0</v>
      </c>
    </row>
    <row r="1077" spans="53:82" x14ac:dyDescent="0.25">
      <c r="BA1077" s="2">
        <v>0</v>
      </c>
      <c r="BB1077" s="2" t="e">
        <v>#VALUE!</v>
      </c>
      <c r="BC1077" s="2">
        <v>0</v>
      </c>
      <c r="BD1077" s="2">
        <v>0</v>
      </c>
      <c r="BE1077" s="2">
        <v>0</v>
      </c>
      <c r="BF1077" s="2">
        <v>0</v>
      </c>
      <c r="BG1077" s="2">
        <v>0</v>
      </c>
      <c r="BH1077" s="2">
        <v>0</v>
      </c>
      <c r="BI1077" s="2">
        <v>0</v>
      </c>
      <c r="BJ1077" s="2">
        <v>0</v>
      </c>
      <c r="BK1077" s="2">
        <v>0</v>
      </c>
      <c r="BL1077" s="2">
        <v>0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S1077" s="2">
        <v>0</v>
      </c>
      <c r="BT1077" s="2">
        <v>0</v>
      </c>
      <c r="BU1077" s="2">
        <v>0</v>
      </c>
      <c r="BV1077" s="2">
        <v>0</v>
      </c>
      <c r="BW1077" s="2">
        <v>0</v>
      </c>
      <c r="BX1077" s="2">
        <v>0</v>
      </c>
      <c r="BY1077" s="2">
        <v>0</v>
      </c>
      <c r="BZ1077" s="2">
        <v>0</v>
      </c>
      <c r="CA1077" s="2">
        <v>0</v>
      </c>
      <c r="CB1077" s="2">
        <v>0</v>
      </c>
      <c r="CC1077" s="2">
        <v>0</v>
      </c>
      <c r="CD1077" s="2">
        <v>0</v>
      </c>
    </row>
    <row r="1078" spans="53:82" x14ac:dyDescent="0.25">
      <c r="BA1078" s="2">
        <v>0</v>
      </c>
      <c r="BB1078" s="2" t="e">
        <v>#VALUE!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>
        <v>0</v>
      </c>
      <c r="BJ1078" s="2">
        <v>0</v>
      </c>
      <c r="BK1078" s="2">
        <v>0</v>
      </c>
      <c r="BL1078" s="2">
        <v>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S1078" s="2">
        <v>0</v>
      </c>
      <c r="BT1078" s="2">
        <v>0</v>
      </c>
      <c r="BU1078" s="2">
        <v>0</v>
      </c>
      <c r="BV1078" s="2">
        <v>0</v>
      </c>
      <c r="BW1078" s="2">
        <v>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0</v>
      </c>
      <c r="CD1078" s="2">
        <v>0</v>
      </c>
    </row>
    <row r="1079" spans="53:82" x14ac:dyDescent="0.25">
      <c r="BA1079" s="2">
        <v>0</v>
      </c>
      <c r="BB1079" s="2" t="e">
        <v>#VALUE!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L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S1079" s="2">
        <v>0</v>
      </c>
      <c r="BT1079" s="2">
        <v>0</v>
      </c>
      <c r="BU1079" s="2">
        <v>0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D1079" s="2">
        <v>0</v>
      </c>
    </row>
    <row r="1080" spans="53:82" x14ac:dyDescent="0.25">
      <c r="BA1080" s="2">
        <v>0</v>
      </c>
      <c r="BB1080" s="2" t="e">
        <v>#VALUE!</v>
      </c>
      <c r="BC1080" s="2">
        <v>0</v>
      </c>
      <c r="BD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>
        <v>0</v>
      </c>
      <c r="BJ1080" s="2">
        <v>0</v>
      </c>
      <c r="BK1080" s="2">
        <v>0</v>
      </c>
      <c r="BL1080" s="2">
        <v>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S1080" s="2">
        <v>0</v>
      </c>
      <c r="BT1080" s="2">
        <v>0</v>
      </c>
      <c r="BU1080" s="2">
        <v>0</v>
      </c>
      <c r="BV1080" s="2">
        <v>0</v>
      </c>
      <c r="BW1080" s="2">
        <v>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0</v>
      </c>
      <c r="CD1080" s="2">
        <v>0</v>
      </c>
    </row>
    <row r="1081" spans="53:82" x14ac:dyDescent="0.25">
      <c r="BA1081" s="2">
        <v>0</v>
      </c>
      <c r="BB1081" s="2" t="e">
        <v>#VALUE!</v>
      </c>
      <c r="BC1081" s="2">
        <v>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S1081" s="2">
        <v>0</v>
      </c>
      <c r="BT1081" s="2">
        <v>0</v>
      </c>
      <c r="BU1081" s="2">
        <v>0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D1081" s="2">
        <v>0</v>
      </c>
    </row>
    <row r="1082" spans="53:82" x14ac:dyDescent="0.25">
      <c r="BA1082" s="2">
        <v>0</v>
      </c>
      <c r="BB1082" s="2" t="e">
        <v>#VALUE!</v>
      </c>
      <c r="BC1082" s="2">
        <v>0</v>
      </c>
      <c r="BD1082" s="2">
        <v>0</v>
      </c>
      <c r="BE1082" s="2">
        <v>0</v>
      </c>
      <c r="BF1082" s="2">
        <v>0</v>
      </c>
      <c r="BG1082" s="2">
        <v>0</v>
      </c>
      <c r="BH1082" s="2">
        <v>0</v>
      </c>
      <c r="BI1082" s="2">
        <v>0</v>
      </c>
      <c r="BJ1082" s="2">
        <v>0</v>
      </c>
      <c r="BK1082" s="2">
        <v>0</v>
      </c>
      <c r="BL1082" s="2">
        <v>0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S1082" s="2">
        <v>0</v>
      </c>
      <c r="BT1082" s="2">
        <v>0</v>
      </c>
      <c r="BU1082" s="2">
        <v>0</v>
      </c>
      <c r="BV1082" s="2">
        <v>0</v>
      </c>
      <c r="BW1082" s="2">
        <v>0</v>
      </c>
      <c r="BX1082" s="2">
        <v>0</v>
      </c>
      <c r="BY1082" s="2">
        <v>0</v>
      </c>
      <c r="BZ1082" s="2">
        <v>0</v>
      </c>
      <c r="CA1082" s="2">
        <v>0</v>
      </c>
      <c r="CB1082" s="2">
        <v>0</v>
      </c>
      <c r="CC1082" s="2">
        <v>0</v>
      </c>
      <c r="CD1082" s="2">
        <v>0</v>
      </c>
    </row>
    <row r="1083" spans="53:82" x14ac:dyDescent="0.25">
      <c r="BA1083" s="2">
        <v>0</v>
      </c>
      <c r="BB1083" s="2" t="e">
        <v>#VALUE!</v>
      </c>
      <c r="BC1083" s="2">
        <v>0</v>
      </c>
      <c r="BD1083" s="2">
        <v>0</v>
      </c>
      <c r="BE1083" s="2">
        <v>0</v>
      </c>
      <c r="BF1083" s="2">
        <v>0</v>
      </c>
      <c r="BG1083" s="2">
        <v>0</v>
      </c>
      <c r="BH1083" s="2">
        <v>0</v>
      </c>
      <c r="BI1083" s="2">
        <v>0</v>
      </c>
      <c r="BJ1083" s="2">
        <v>0</v>
      </c>
      <c r="BK1083" s="2">
        <v>0</v>
      </c>
      <c r="BL1083" s="2">
        <v>0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S1083" s="2">
        <v>0</v>
      </c>
      <c r="BT1083" s="2">
        <v>0</v>
      </c>
      <c r="BU1083" s="2">
        <v>0</v>
      </c>
      <c r="BV1083" s="2">
        <v>0</v>
      </c>
      <c r="BW1083" s="2">
        <v>0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0</v>
      </c>
      <c r="CD1083" s="2">
        <v>0</v>
      </c>
    </row>
    <row r="1084" spans="53:82" x14ac:dyDescent="0.25">
      <c r="BA1084" s="2">
        <v>0</v>
      </c>
      <c r="BB1084" s="2" t="e">
        <v>#VALUE!</v>
      </c>
      <c r="BC1084" s="2">
        <v>0</v>
      </c>
      <c r="BD1084" s="2">
        <v>0</v>
      </c>
      <c r="BE1084" s="2">
        <v>0</v>
      </c>
      <c r="BF1084" s="2">
        <v>0</v>
      </c>
      <c r="BG1084" s="2">
        <v>0</v>
      </c>
      <c r="BH1084" s="2">
        <v>0</v>
      </c>
      <c r="BI1084" s="2">
        <v>0</v>
      </c>
      <c r="BJ1084" s="2">
        <v>0</v>
      </c>
      <c r="BK1084" s="2">
        <v>0</v>
      </c>
      <c r="BL1084" s="2">
        <v>0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S1084" s="2">
        <v>0</v>
      </c>
      <c r="BT1084" s="2">
        <v>0</v>
      </c>
      <c r="BU1084" s="2">
        <v>0</v>
      </c>
      <c r="BV1084" s="2">
        <v>0</v>
      </c>
      <c r="BW1084" s="2">
        <v>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0</v>
      </c>
      <c r="CD1084" s="2">
        <v>0</v>
      </c>
    </row>
    <row r="1085" spans="53:82" x14ac:dyDescent="0.25">
      <c r="BA1085" s="2">
        <v>0</v>
      </c>
      <c r="BB1085" s="2" t="e">
        <v>#VALUE!</v>
      </c>
      <c r="BC1085" s="2">
        <v>0</v>
      </c>
      <c r="BD1085" s="2">
        <v>0</v>
      </c>
      <c r="BE1085" s="2">
        <v>0</v>
      </c>
      <c r="BF1085" s="2">
        <v>0</v>
      </c>
      <c r="BG1085" s="2">
        <v>0</v>
      </c>
      <c r="BH1085" s="2">
        <v>0</v>
      </c>
      <c r="BI1085" s="2">
        <v>0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S1085" s="2">
        <v>0</v>
      </c>
      <c r="BT1085" s="2">
        <v>0</v>
      </c>
      <c r="BU1085" s="2">
        <v>0</v>
      </c>
      <c r="BV1085" s="2">
        <v>0</v>
      </c>
      <c r="BW1085" s="2">
        <v>0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0</v>
      </c>
      <c r="CD1085" s="2">
        <v>0</v>
      </c>
    </row>
    <row r="1086" spans="53:82" x14ac:dyDescent="0.25">
      <c r="BA1086" s="2">
        <v>0</v>
      </c>
      <c r="BB1086" s="2" t="e">
        <v>#VALUE!</v>
      </c>
      <c r="BC1086" s="2">
        <v>0</v>
      </c>
      <c r="BD1086" s="2">
        <v>0</v>
      </c>
      <c r="BE1086" s="2">
        <v>0</v>
      </c>
      <c r="BF1086" s="2">
        <v>0</v>
      </c>
      <c r="BG1086" s="2">
        <v>0</v>
      </c>
      <c r="BH1086" s="2">
        <v>0</v>
      </c>
      <c r="BI1086" s="2">
        <v>0</v>
      </c>
      <c r="BJ1086" s="2">
        <v>0</v>
      </c>
      <c r="BK1086" s="2">
        <v>0</v>
      </c>
      <c r="BL1086" s="2">
        <v>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S1086" s="2">
        <v>0</v>
      </c>
      <c r="BT1086" s="2">
        <v>0</v>
      </c>
      <c r="BU1086" s="2">
        <v>0</v>
      </c>
      <c r="BV1086" s="2">
        <v>0</v>
      </c>
      <c r="BW1086" s="2">
        <v>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0</v>
      </c>
      <c r="CD1086" s="2">
        <v>0</v>
      </c>
    </row>
    <row r="1087" spans="53:82" x14ac:dyDescent="0.25">
      <c r="BA1087" s="2">
        <v>0</v>
      </c>
      <c r="BB1087" s="2" t="e">
        <v>#VALUE!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S1087" s="2">
        <v>0</v>
      </c>
      <c r="BT1087" s="2">
        <v>0</v>
      </c>
      <c r="BU1087" s="2">
        <v>0</v>
      </c>
      <c r="BV1087" s="2">
        <v>0</v>
      </c>
      <c r="BW1087" s="2">
        <v>0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0</v>
      </c>
      <c r="CD1087" s="2">
        <v>0</v>
      </c>
    </row>
    <row r="1088" spans="53:82" x14ac:dyDescent="0.25">
      <c r="BA1088" s="2">
        <v>0</v>
      </c>
      <c r="BB1088" s="2" t="e">
        <v>#VALUE!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L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S1088" s="2">
        <v>0</v>
      </c>
      <c r="BT1088" s="2">
        <v>0</v>
      </c>
      <c r="BU1088" s="2">
        <v>0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D1088" s="2">
        <v>0</v>
      </c>
    </row>
    <row r="1089" spans="53:82" x14ac:dyDescent="0.25">
      <c r="BA1089" s="2">
        <v>0</v>
      </c>
      <c r="BB1089" s="2" t="e">
        <v>#VALUE!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S1089" s="2">
        <v>0</v>
      </c>
      <c r="BT1089" s="2">
        <v>0</v>
      </c>
      <c r="BU1089" s="2">
        <v>0</v>
      </c>
      <c r="BV1089" s="2">
        <v>0</v>
      </c>
      <c r="BW1089" s="2">
        <v>0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0</v>
      </c>
      <c r="CD1089" s="2">
        <v>0</v>
      </c>
    </row>
    <row r="1090" spans="53:82" x14ac:dyDescent="0.25">
      <c r="BA1090" s="2">
        <v>0</v>
      </c>
      <c r="BB1090" s="2" t="e">
        <v>#VALUE!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S1090" s="2">
        <v>0</v>
      </c>
      <c r="BT1090" s="2">
        <v>0</v>
      </c>
      <c r="BU1090" s="2">
        <v>0</v>
      </c>
      <c r="BV1090" s="2">
        <v>0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D1090" s="2">
        <v>0</v>
      </c>
    </row>
    <row r="1091" spans="53:82" x14ac:dyDescent="0.25">
      <c r="BA1091" s="2">
        <v>0</v>
      </c>
      <c r="BB1091" s="2" t="e">
        <v>#VALUE!</v>
      </c>
      <c r="BC1091" s="2">
        <v>0</v>
      </c>
      <c r="BD1091" s="2">
        <v>0</v>
      </c>
      <c r="BE1091" s="2">
        <v>0</v>
      </c>
      <c r="BF1091" s="2">
        <v>0</v>
      </c>
      <c r="BG1091" s="2">
        <v>0</v>
      </c>
      <c r="BH1091" s="2">
        <v>0</v>
      </c>
      <c r="BI1091" s="2">
        <v>0</v>
      </c>
      <c r="BJ1091" s="2">
        <v>0</v>
      </c>
      <c r="BK1091" s="2">
        <v>0</v>
      </c>
      <c r="BL1091" s="2">
        <v>0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S1091" s="2">
        <v>0</v>
      </c>
      <c r="BT1091" s="2">
        <v>0</v>
      </c>
      <c r="BU1091" s="2">
        <v>0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D1091" s="2">
        <v>0</v>
      </c>
    </row>
    <row r="1092" spans="53:82" x14ac:dyDescent="0.25">
      <c r="BA1092" s="2">
        <v>0</v>
      </c>
      <c r="BB1092" s="2" t="e">
        <v>#VALUE!</v>
      </c>
      <c r="BC1092" s="2">
        <v>0</v>
      </c>
      <c r="BD1092" s="2">
        <v>0</v>
      </c>
      <c r="BE1092" s="2">
        <v>0</v>
      </c>
      <c r="BF1092" s="2">
        <v>0</v>
      </c>
      <c r="BG1092" s="2">
        <v>0</v>
      </c>
      <c r="BH1092" s="2">
        <v>0</v>
      </c>
      <c r="BI1092" s="2">
        <v>0</v>
      </c>
      <c r="BJ1092" s="2">
        <v>0</v>
      </c>
      <c r="BK1092" s="2">
        <v>0</v>
      </c>
      <c r="BL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S1092" s="2">
        <v>0</v>
      </c>
      <c r="BT1092" s="2">
        <v>0</v>
      </c>
      <c r="BU1092" s="2">
        <v>0</v>
      </c>
      <c r="BV1092" s="2">
        <v>0</v>
      </c>
      <c r="BW1092" s="2">
        <v>0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0</v>
      </c>
      <c r="CD1092" s="2">
        <v>0</v>
      </c>
    </row>
    <row r="1093" spans="53:82" x14ac:dyDescent="0.25">
      <c r="BA1093" s="2">
        <v>0</v>
      </c>
      <c r="BB1093" s="2" t="e">
        <v>#VALUE!</v>
      </c>
      <c r="BC1093" s="2">
        <v>0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S1093" s="2">
        <v>0</v>
      </c>
      <c r="BT1093" s="2">
        <v>0</v>
      </c>
      <c r="BU1093" s="2">
        <v>0</v>
      </c>
      <c r="BV1093" s="2">
        <v>0</v>
      </c>
      <c r="BW1093" s="2">
        <v>0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0</v>
      </c>
      <c r="CD1093" s="2">
        <v>0</v>
      </c>
    </row>
    <row r="1094" spans="53:82" x14ac:dyDescent="0.25">
      <c r="BA1094" s="2">
        <v>0</v>
      </c>
      <c r="BB1094" s="2" t="e">
        <v>#VALUE!</v>
      </c>
      <c r="BC1094" s="2">
        <v>0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>
        <v>0</v>
      </c>
      <c r="BJ1094" s="2">
        <v>0</v>
      </c>
      <c r="BK1094" s="2">
        <v>0</v>
      </c>
      <c r="BL1094" s="2">
        <v>0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S1094" s="2">
        <v>0</v>
      </c>
      <c r="BT1094" s="2">
        <v>0</v>
      </c>
      <c r="BU1094" s="2">
        <v>0</v>
      </c>
      <c r="BV1094" s="2">
        <v>0</v>
      </c>
      <c r="BW1094" s="2">
        <v>0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0</v>
      </c>
      <c r="CD1094" s="2">
        <v>0</v>
      </c>
    </row>
    <row r="1095" spans="53:82" x14ac:dyDescent="0.25">
      <c r="BA1095" s="2">
        <v>0</v>
      </c>
      <c r="BB1095" s="2" t="e">
        <v>#VALUE!</v>
      </c>
      <c r="BC1095" s="2">
        <v>0</v>
      </c>
      <c r="BD1095" s="2">
        <v>0</v>
      </c>
      <c r="BE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L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S1095" s="2">
        <v>0</v>
      </c>
      <c r="BT1095" s="2">
        <v>0</v>
      </c>
      <c r="BU1095" s="2">
        <v>0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D1095" s="2">
        <v>0</v>
      </c>
    </row>
    <row r="1096" spans="53:82" x14ac:dyDescent="0.25">
      <c r="BA1096" s="2">
        <v>0</v>
      </c>
      <c r="BB1096" s="2" t="e">
        <v>#VALUE!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L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S1096" s="2">
        <v>0</v>
      </c>
      <c r="BT1096" s="2">
        <v>0</v>
      </c>
      <c r="BU1096" s="2">
        <v>0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D1096" s="2">
        <v>0</v>
      </c>
    </row>
    <row r="1097" spans="53:82" x14ac:dyDescent="0.25">
      <c r="BA1097" s="2">
        <v>0</v>
      </c>
      <c r="BB1097" s="2" t="e">
        <v>#VALUE!</v>
      </c>
      <c r="BC1097" s="2">
        <v>0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2">
        <v>0</v>
      </c>
      <c r="BL1097" s="2">
        <v>0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S1097" s="2">
        <v>0</v>
      </c>
      <c r="BT1097" s="2">
        <v>0</v>
      </c>
      <c r="BU1097" s="2">
        <v>0</v>
      </c>
      <c r="BV1097" s="2">
        <v>0</v>
      </c>
      <c r="BW1097" s="2">
        <v>0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0</v>
      </c>
      <c r="CD1097" s="2">
        <v>0</v>
      </c>
    </row>
    <row r="1098" spans="53:82" x14ac:dyDescent="0.25">
      <c r="BA1098" s="2">
        <v>0</v>
      </c>
      <c r="BB1098" s="2" t="e">
        <v>#VALUE!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0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S1098" s="2">
        <v>0</v>
      </c>
      <c r="BT1098" s="2">
        <v>0</v>
      </c>
      <c r="BU1098" s="2">
        <v>0</v>
      </c>
      <c r="BV1098" s="2">
        <v>0</v>
      </c>
      <c r="BW1098" s="2">
        <v>0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0</v>
      </c>
      <c r="CD1098" s="2">
        <v>0</v>
      </c>
    </row>
    <row r="1099" spans="53:82" x14ac:dyDescent="0.25">
      <c r="BA1099" s="2">
        <v>0</v>
      </c>
      <c r="BB1099" s="2" t="e">
        <v>#VALUE!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L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S1099" s="2">
        <v>0</v>
      </c>
      <c r="BT1099" s="2">
        <v>0</v>
      </c>
      <c r="BU1099" s="2">
        <v>0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D1099" s="2">
        <v>0</v>
      </c>
    </row>
    <row r="1100" spans="53:82" x14ac:dyDescent="0.25">
      <c r="BA1100" s="2">
        <v>0</v>
      </c>
      <c r="BB1100" s="2" t="e">
        <v>#VALUE!</v>
      </c>
      <c r="BC1100" s="2">
        <v>0</v>
      </c>
      <c r="BD1100" s="2">
        <v>0</v>
      </c>
      <c r="BE1100" s="2">
        <v>0</v>
      </c>
      <c r="BF1100" s="2">
        <v>0</v>
      </c>
      <c r="BG1100" s="2">
        <v>0</v>
      </c>
      <c r="BH1100" s="2">
        <v>0</v>
      </c>
      <c r="BI1100" s="2">
        <v>0</v>
      </c>
      <c r="BJ1100" s="2">
        <v>0</v>
      </c>
      <c r="BK1100" s="2">
        <v>0</v>
      </c>
      <c r="BL1100" s="2">
        <v>0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S1100" s="2">
        <v>0</v>
      </c>
      <c r="BT1100" s="2">
        <v>0</v>
      </c>
      <c r="BU1100" s="2">
        <v>0</v>
      </c>
      <c r="BV1100" s="2">
        <v>0</v>
      </c>
      <c r="BW1100" s="2">
        <v>0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0</v>
      </c>
      <c r="CD1100" s="2">
        <v>0</v>
      </c>
    </row>
    <row r="1101" spans="53:82" x14ac:dyDescent="0.25">
      <c r="BA1101" s="2">
        <v>0</v>
      </c>
      <c r="BB1101" s="2" t="e">
        <v>#VALUE!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L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S1101" s="2">
        <v>0</v>
      </c>
      <c r="BT1101" s="2">
        <v>0</v>
      </c>
      <c r="BU1101" s="2">
        <v>0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D1101" s="2">
        <v>0</v>
      </c>
    </row>
    <row r="1102" spans="53:82" x14ac:dyDescent="0.25">
      <c r="BA1102" s="2">
        <v>0</v>
      </c>
      <c r="BB1102" s="2" t="e">
        <v>#VALUE!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L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S1102" s="2">
        <v>0</v>
      </c>
      <c r="BT1102" s="2">
        <v>0</v>
      </c>
      <c r="BU1102" s="2">
        <v>0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0</v>
      </c>
      <c r="CD1102" s="2">
        <v>0</v>
      </c>
    </row>
    <row r="1103" spans="53:82" x14ac:dyDescent="0.25">
      <c r="BA1103" s="2">
        <v>0</v>
      </c>
      <c r="BB1103" s="2" t="e">
        <v>#VALUE!</v>
      </c>
      <c r="BC1103" s="2">
        <v>0</v>
      </c>
      <c r="BD1103" s="2">
        <v>0</v>
      </c>
      <c r="BE1103" s="2">
        <v>0</v>
      </c>
      <c r="BF1103" s="2">
        <v>0</v>
      </c>
      <c r="BG1103" s="2">
        <v>0</v>
      </c>
      <c r="BH1103" s="2">
        <v>0</v>
      </c>
      <c r="BI1103" s="2">
        <v>0</v>
      </c>
      <c r="BJ1103" s="2">
        <v>0</v>
      </c>
      <c r="BK1103" s="2">
        <v>0</v>
      </c>
      <c r="BL1103" s="2">
        <v>0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S1103" s="2">
        <v>0</v>
      </c>
      <c r="BT1103" s="2">
        <v>0</v>
      </c>
      <c r="BU1103" s="2">
        <v>0</v>
      </c>
      <c r="BV1103" s="2">
        <v>0</v>
      </c>
      <c r="BW1103" s="2">
        <v>0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0</v>
      </c>
      <c r="CD1103" s="2">
        <v>0</v>
      </c>
    </row>
    <row r="1104" spans="53:82" x14ac:dyDescent="0.25">
      <c r="BA1104" s="2">
        <v>0</v>
      </c>
      <c r="BB1104" s="2" t="e">
        <v>#VALUE!</v>
      </c>
      <c r="BC1104" s="2">
        <v>0</v>
      </c>
      <c r="BD1104" s="2">
        <v>0</v>
      </c>
      <c r="BE1104" s="2">
        <v>0</v>
      </c>
      <c r="BF1104" s="2">
        <v>0</v>
      </c>
      <c r="BG1104" s="2">
        <v>0</v>
      </c>
      <c r="BH1104" s="2">
        <v>0</v>
      </c>
      <c r="BI1104" s="2">
        <v>0</v>
      </c>
      <c r="BJ1104" s="2">
        <v>0</v>
      </c>
      <c r="BK1104" s="2">
        <v>0</v>
      </c>
      <c r="BL1104" s="2">
        <v>0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S1104" s="2">
        <v>0</v>
      </c>
      <c r="BT1104" s="2">
        <v>0</v>
      </c>
      <c r="BU1104" s="2">
        <v>0</v>
      </c>
      <c r="BV1104" s="2">
        <v>0</v>
      </c>
      <c r="BW1104" s="2">
        <v>0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0</v>
      </c>
      <c r="CD1104" s="2">
        <v>0</v>
      </c>
    </row>
    <row r="1105" spans="53:82" x14ac:dyDescent="0.25">
      <c r="BA1105" s="2">
        <v>0</v>
      </c>
      <c r="BB1105" s="2" t="e">
        <v>#VALUE!</v>
      </c>
      <c r="BC1105" s="2">
        <v>0</v>
      </c>
      <c r="BD1105" s="2">
        <v>0</v>
      </c>
      <c r="BE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L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S1105" s="2">
        <v>0</v>
      </c>
      <c r="BT1105" s="2">
        <v>0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D1105" s="2">
        <v>0</v>
      </c>
    </row>
    <row r="1106" spans="53:82" x14ac:dyDescent="0.25">
      <c r="BA1106" s="2">
        <v>0</v>
      </c>
      <c r="BB1106" s="2" t="e">
        <v>#VALUE!</v>
      </c>
      <c r="BC1106" s="2">
        <v>0</v>
      </c>
      <c r="BD1106" s="2">
        <v>0</v>
      </c>
      <c r="BE1106" s="2">
        <v>0</v>
      </c>
      <c r="BF1106" s="2">
        <v>0</v>
      </c>
      <c r="BG1106" s="2">
        <v>0</v>
      </c>
      <c r="BH1106" s="2">
        <v>0</v>
      </c>
      <c r="BI1106" s="2">
        <v>0</v>
      </c>
      <c r="BJ1106" s="2">
        <v>0</v>
      </c>
      <c r="BK1106" s="2">
        <v>0</v>
      </c>
      <c r="BL1106" s="2">
        <v>0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S1106" s="2">
        <v>0</v>
      </c>
      <c r="BT1106" s="2">
        <v>0</v>
      </c>
      <c r="BU1106" s="2">
        <v>0</v>
      </c>
      <c r="BV1106" s="2">
        <v>0</v>
      </c>
      <c r="BW1106" s="2">
        <v>0</v>
      </c>
      <c r="BX1106" s="2">
        <v>0</v>
      </c>
      <c r="BY1106" s="2">
        <v>0</v>
      </c>
      <c r="BZ1106" s="2">
        <v>0</v>
      </c>
      <c r="CA1106" s="2">
        <v>0</v>
      </c>
      <c r="CB1106" s="2">
        <v>0</v>
      </c>
      <c r="CC1106" s="2">
        <v>0</v>
      </c>
      <c r="CD1106" s="2">
        <v>0</v>
      </c>
    </row>
    <row r="1107" spans="53:82" x14ac:dyDescent="0.25">
      <c r="BA1107" s="2">
        <v>0</v>
      </c>
      <c r="BB1107" s="2" t="e">
        <v>#VALUE!</v>
      </c>
      <c r="BC1107" s="2">
        <v>0</v>
      </c>
      <c r="BD1107" s="2">
        <v>0</v>
      </c>
      <c r="BE1107" s="2">
        <v>0</v>
      </c>
      <c r="BF1107" s="2">
        <v>0</v>
      </c>
      <c r="BG1107" s="2">
        <v>0</v>
      </c>
      <c r="BH1107" s="2">
        <v>0</v>
      </c>
      <c r="BI1107" s="2">
        <v>0</v>
      </c>
      <c r="BJ1107" s="2">
        <v>0</v>
      </c>
      <c r="BK1107" s="2">
        <v>0</v>
      </c>
      <c r="BL1107" s="2">
        <v>0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S1107" s="2">
        <v>0</v>
      </c>
      <c r="BT1107" s="2">
        <v>0</v>
      </c>
      <c r="BU1107" s="2">
        <v>0</v>
      </c>
      <c r="BV1107" s="2">
        <v>0</v>
      </c>
      <c r="BW1107" s="2">
        <v>0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0</v>
      </c>
      <c r="CD1107" s="2">
        <v>0</v>
      </c>
    </row>
    <row r="1108" spans="53:82" x14ac:dyDescent="0.25">
      <c r="BA1108" s="2">
        <v>0</v>
      </c>
      <c r="BB1108" s="2" t="e">
        <v>#VALUE!</v>
      </c>
      <c r="BC1108" s="2">
        <v>0</v>
      </c>
      <c r="BD1108" s="2">
        <v>0</v>
      </c>
      <c r="BE1108" s="2">
        <v>0</v>
      </c>
      <c r="BF1108" s="2">
        <v>0</v>
      </c>
      <c r="BG1108" s="2">
        <v>0</v>
      </c>
      <c r="BH1108" s="2">
        <v>0</v>
      </c>
      <c r="BI1108" s="2">
        <v>0</v>
      </c>
      <c r="BJ1108" s="2">
        <v>0</v>
      </c>
      <c r="BK1108" s="2">
        <v>0</v>
      </c>
      <c r="BL1108" s="2">
        <v>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S1108" s="2">
        <v>0</v>
      </c>
      <c r="BT1108" s="2">
        <v>0</v>
      </c>
      <c r="BU1108" s="2">
        <v>0</v>
      </c>
      <c r="BV1108" s="2">
        <v>0</v>
      </c>
      <c r="BW1108" s="2">
        <v>0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0</v>
      </c>
      <c r="CD1108" s="2">
        <v>0</v>
      </c>
    </row>
    <row r="1109" spans="53:82" x14ac:dyDescent="0.25">
      <c r="BA1109" s="2">
        <v>0</v>
      </c>
      <c r="BB1109" s="2" t="e">
        <v>#VALUE!</v>
      </c>
      <c r="BC1109" s="2">
        <v>0</v>
      </c>
      <c r="BD1109" s="2">
        <v>0</v>
      </c>
      <c r="BE1109" s="2">
        <v>0</v>
      </c>
      <c r="BF1109" s="2">
        <v>0</v>
      </c>
      <c r="BG1109" s="2">
        <v>0</v>
      </c>
      <c r="BH1109" s="2">
        <v>0</v>
      </c>
      <c r="BI1109" s="2">
        <v>0</v>
      </c>
      <c r="BJ1109" s="2">
        <v>0</v>
      </c>
      <c r="BK1109" s="2">
        <v>0</v>
      </c>
      <c r="BL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S1109" s="2">
        <v>0</v>
      </c>
      <c r="BT1109" s="2">
        <v>0</v>
      </c>
      <c r="BU1109" s="2">
        <v>0</v>
      </c>
      <c r="BV1109" s="2">
        <v>0</v>
      </c>
      <c r="BW1109" s="2">
        <v>0</v>
      </c>
      <c r="BX1109" s="2">
        <v>0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D1109" s="2">
        <v>0</v>
      </c>
    </row>
    <row r="1110" spans="53:82" x14ac:dyDescent="0.25">
      <c r="BA1110" s="2">
        <v>0</v>
      </c>
      <c r="BB1110" s="2" t="e">
        <v>#VALUE!</v>
      </c>
      <c r="BC1110" s="2">
        <v>0</v>
      </c>
      <c r="BD1110" s="2">
        <v>0</v>
      </c>
      <c r="BE1110" s="2">
        <v>0</v>
      </c>
      <c r="BF1110" s="2">
        <v>0</v>
      </c>
      <c r="BG1110" s="2">
        <v>0</v>
      </c>
      <c r="BH1110" s="2">
        <v>0</v>
      </c>
      <c r="BI1110" s="2">
        <v>0</v>
      </c>
      <c r="BJ1110" s="2">
        <v>0</v>
      </c>
      <c r="BK1110" s="2">
        <v>0</v>
      </c>
      <c r="BL1110" s="2">
        <v>0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S1110" s="2">
        <v>0</v>
      </c>
      <c r="BT1110" s="2">
        <v>0</v>
      </c>
      <c r="BU1110" s="2">
        <v>0</v>
      </c>
      <c r="BV1110" s="2">
        <v>0</v>
      </c>
      <c r="BW1110" s="2">
        <v>0</v>
      </c>
      <c r="BX1110" s="2">
        <v>0</v>
      </c>
      <c r="BY1110" s="2">
        <v>0</v>
      </c>
      <c r="BZ1110" s="2">
        <v>0</v>
      </c>
      <c r="CA1110" s="2">
        <v>0</v>
      </c>
      <c r="CB1110" s="2">
        <v>0</v>
      </c>
      <c r="CC1110" s="2">
        <v>0</v>
      </c>
      <c r="CD1110" s="2">
        <v>0</v>
      </c>
    </row>
    <row r="1111" spans="53:82" x14ac:dyDescent="0.25">
      <c r="BA1111" s="2">
        <v>0</v>
      </c>
      <c r="BB1111" s="2" t="e">
        <v>#VALUE!</v>
      </c>
      <c r="BC1111" s="2">
        <v>0</v>
      </c>
      <c r="BD1111" s="2">
        <v>0</v>
      </c>
      <c r="BE1111" s="2">
        <v>0</v>
      </c>
      <c r="BF1111" s="2">
        <v>0</v>
      </c>
      <c r="BG1111" s="2">
        <v>0</v>
      </c>
      <c r="BH1111" s="2">
        <v>0</v>
      </c>
      <c r="BI1111" s="2">
        <v>0</v>
      </c>
      <c r="BJ1111" s="2">
        <v>0</v>
      </c>
      <c r="BK1111" s="2">
        <v>0</v>
      </c>
      <c r="BL1111" s="2">
        <v>0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S1111" s="2">
        <v>0</v>
      </c>
      <c r="BT1111" s="2">
        <v>0</v>
      </c>
      <c r="BU1111" s="2">
        <v>0</v>
      </c>
      <c r="BV1111" s="2">
        <v>0</v>
      </c>
      <c r="BW1111" s="2">
        <v>0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0</v>
      </c>
      <c r="CD1111" s="2">
        <v>0</v>
      </c>
    </row>
    <row r="1112" spans="53:82" x14ac:dyDescent="0.25">
      <c r="BA1112" s="2">
        <v>0</v>
      </c>
      <c r="BB1112" s="2" t="e">
        <v>#VALUE!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>
        <v>0</v>
      </c>
      <c r="BJ1112" s="2">
        <v>0</v>
      </c>
      <c r="BK1112" s="2">
        <v>0</v>
      </c>
      <c r="BL1112" s="2">
        <v>0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S1112" s="2">
        <v>0</v>
      </c>
      <c r="BT1112" s="2">
        <v>0</v>
      </c>
      <c r="BU1112" s="2">
        <v>0</v>
      </c>
      <c r="BV1112" s="2">
        <v>0</v>
      </c>
      <c r="BW1112" s="2">
        <v>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0</v>
      </c>
      <c r="CD1112" s="2">
        <v>0</v>
      </c>
    </row>
    <row r="1113" spans="53:82" x14ac:dyDescent="0.25">
      <c r="BA1113" s="2">
        <v>0</v>
      </c>
      <c r="BB1113" s="2" t="e">
        <v>#VALUE!</v>
      </c>
      <c r="BC1113" s="2">
        <v>0</v>
      </c>
      <c r="BD1113" s="2">
        <v>0</v>
      </c>
      <c r="BE1113" s="2">
        <v>0</v>
      </c>
      <c r="BF1113" s="2">
        <v>0</v>
      </c>
      <c r="BG1113" s="2">
        <v>0</v>
      </c>
      <c r="BH1113" s="2">
        <v>0</v>
      </c>
      <c r="BI1113" s="2">
        <v>0</v>
      </c>
      <c r="BJ1113" s="2">
        <v>0</v>
      </c>
      <c r="BK1113" s="2">
        <v>0</v>
      </c>
      <c r="BL1113" s="2">
        <v>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S1113" s="2">
        <v>0</v>
      </c>
      <c r="BT1113" s="2">
        <v>0</v>
      </c>
      <c r="BU1113" s="2">
        <v>0</v>
      </c>
      <c r="BV1113" s="2">
        <v>0</v>
      </c>
      <c r="BW1113" s="2">
        <v>0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0</v>
      </c>
      <c r="CD1113" s="2">
        <v>0</v>
      </c>
    </row>
    <row r="1114" spans="53:82" x14ac:dyDescent="0.25">
      <c r="BA1114" s="2">
        <v>0</v>
      </c>
      <c r="BB1114" s="2" t="e">
        <v>#VALUE!</v>
      </c>
      <c r="BC1114" s="2">
        <v>0</v>
      </c>
      <c r="BD1114" s="2">
        <v>0</v>
      </c>
      <c r="BE1114" s="2">
        <v>0</v>
      </c>
      <c r="BF1114" s="2">
        <v>0</v>
      </c>
      <c r="BG1114" s="2">
        <v>0</v>
      </c>
      <c r="BH1114" s="2">
        <v>0</v>
      </c>
      <c r="BI1114" s="2">
        <v>0</v>
      </c>
      <c r="BJ1114" s="2">
        <v>0</v>
      </c>
      <c r="BK1114" s="2">
        <v>0</v>
      </c>
      <c r="BL1114" s="2">
        <v>0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S1114" s="2">
        <v>0</v>
      </c>
      <c r="BT1114" s="2">
        <v>0</v>
      </c>
      <c r="BU1114" s="2">
        <v>0</v>
      </c>
      <c r="BV1114" s="2">
        <v>0</v>
      </c>
      <c r="BW1114" s="2">
        <v>0</v>
      </c>
      <c r="BX1114" s="2">
        <v>0</v>
      </c>
      <c r="BY1114" s="2">
        <v>0</v>
      </c>
      <c r="BZ1114" s="2">
        <v>0</v>
      </c>
      <c r="CA1114" s="2">
        <v>0</v>
      </c>
      <c r="CB1114" s="2">
        <v>0</v>
      </c>
      <c r="CC1114" s="2">
        <v>0</v>
      </c>
      <c r="CD1114" s="2">
        <v>0</v>
      </c>
    </row>
    <row r="1115" spans="53:82" x14ac:dyDescent="0.25">
      <c r="BA1115" s="2">
        <v>0</v>
      </c>
      <c r="BB1115" s="2" t="e">
        <v>#VALUE!</v>
      </c>
      <c r="BC1115" s="2">
        <v>0</v>
      </c>
      <c r="BD1115" s="2">
        <v>0</v>
      </c>
      <c r="BE1115" s="2">
        <v>0</v>
      </c>
      <c r="BF1115" s="2">
        <v>0</v>
      </c>
      <c r="BG1115" s="2">
        <v>0</v>
      </c>
      <c r="BH1115" s="2">
        <v>0</v>
      </c>
      <c r="BI1115" s="2">
        <v>0</v>
      </c>
      <c r="BJ1115" s="2">
        <v>0</v>
      </c>
      <c r="BK1115" s="2">
        <v>0</v>
      </c>
      <c r="BL1115" s="2">
        <v>0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S1115" s="2">
        <v>0</v>
      </c>
      <c r="BT1115" s="2">
        <v>0</v>
      </c>
      <c r="BU1115" s="2">
        <v>0</v>
      </c>
      <c r="BV1115" s="2">
        <v>0</v>
      </c>
      <c r="BW1115" s="2">
        <v>0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0</v>
      </c>
      <c r="CD1115" s="2">
        <v>0</v>
      </c>
    </row>
    <row r="1116" spans="53:82" x14ac:dyDescent="0.25">
      <c r="BA1116" s="2">
        <v>0</v>
      </c>
      <c r="BB1116" s="2" t="e">
        <v>#VALUE!</v>
      </c>
      <c r="BC1116" s="2">
        <v>0</v>
      </c>
      <c r="BD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>
        <v>0</v>
      </c>
      <c r="BJ1116" s="2">
        <v>0</v>
      </c>
      <c r="BK1116" s="2">
        <v>0</v>
      </c>
      <c r="BL1116" s="2">
        <v>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S1116" s="2">
        <v>0</v>
      </c>
      <c r="BT1116" s="2">
        <v>0</v>
      </c>
      <c r="BU1116" s="2">
        <v>0</v>
      </c>
      <c r="BV1116" s="2">
        <v>0</v>
      </c>
      <c r="BW1116" s="2">
        <v>0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0</v>
      </c>
      <c r="CD1116" s="2">
        <v>0</v>
      </c>
    </row>
    <row r="1117" spans="53:82" x14ac:dyDescent="0.25">
      <c r="BA1117" s="2">
        <v>0</v>
      </c>
      <c r="BB1117" s="2" t="e">
        <v>#VALUE!</v>
      </c>
      <c r="BC1117" s="2">
        <v>0</v>
      </c>
      <c r="BD1117" s="2">
        <v>0</v>
      </c>
      <c r="BE1117" s="2">
        <v>0</v>
      </c>
      <c r="BF1117" s="2">
        <v>0</v>
      </c>
      <c r="BG1117" s="2">
        <v>0</v>
      </c>
      <c r="BH1117" s="2">
        <v>0</v>
      </c>
      <c r="BI1117" s="2">
        <v>0</v>
      </c>
      <c r="BJ1117" s="2">
        <v>0</v>
      </c>
      <c r="BK1117" s="2">
        <v>0</v>
      </c>
      <c r="BL1117" s="2">
        <v>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S1117" s="2">
        <v>0</v>
      </c>
      <c r="BT1117" s="2">
        <v>0</v>
      </c>
      <c r="BU1117" s="2">
        <v>0</v>
      </c>
      <c r="BV1117" s="2">
        <v>0</v>
      </c>
      <c r="BW1117" s="2">
        <v>0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0</v>
      </c>
      <c r="CD1117" s="2">
        <v>0</v>
      </c>
    </row>
    <row r="1118" spans="53:82" x14ac:dyDescent="0.25">
      <c r="BA1118" s="2">
        <v>0</v>
      </c>
      <c r="BB1118" s="2" t="e">
        <v>#VALUE!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0</v>
      </c>
      <c r="BI1118" s="2">
        <v>0</v>
      </c>
      <c r="BJ1118" s="2">
        <v>0</v>
      </c>
      <c r="BK1118" s="2">
        <v>0</v>
      </c>
      <c r="BL1118" s="2">
        <v>0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S1118" s="2">
        <v>0</v>
      </c>
      <c r="BT1118" s="2">
        <v>0</v>
      </c>
      <c r="BU1118" s="2">
        <v>0</v>
      </c>
      <c r="BV1118" s="2">
        <v>0</v>
      </c>
      <c r="BW1118" s="2">
        <v>0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0</v>
      </c>
      <c r="CD1118" s="2">
        <v>0</v>
      </c>
    </row>
    <row r="1119" spans="53:82" x14ac:dyDescent="0.25">
      <c r="BA1119" s="2">
        <v>0</v>
      </c>
      <c r="BB1119" s="2" t="e">
        <v>#VALUE!</v>
      </c>
      <c r="BC1119" s="2">
        <v>0</v>
      </c>
      <c r="BD1119" s="2">
        <v>0</v>
      </c>
      <c r="BE1119" s="2">
        <v>0</v>
      </c>
      <c r="BF1119" s="2">
        <v>0</v>
      </c>
      <c r="BG1119" s="2">
        <v>0</v>
      </c>
      <c r="BH1119" s="2">
        <v>0</v>
      </c>
      <c r="BI1119" s="2">
        <v>0</v>
      </c>
      <c r="BJ1119" s="2">
        <v>0</v>
      </c>
      <c r="BK1119" s="2">
        <v>0</v>
      </c>
      <c r="BL1119" s="2">
        <v>0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S1119" s="2">
        <v>0</v>
      </c>
      <c r="BT1119" s="2">
        <v>0</v>
      </c>
      <c r="BU1119" s="2">
        <v>0</v>
      </c>
      <c r="BV1119" s="2">
        <v>0</v>
      </c>
      <c r="BW1119" s="2">
        <v>0</v>
      </c>
      <c r="BX1119" s="2">
        <v>0</v>
      </c>
      <c r="BY1119" s="2">
        <v>0</v>
      </c>
      <c r="BZ1119" s="2">
        <v>0</v>
      </c>
      <c r="CA1119" s="2">
        <v>0</v>
      </c>
      <c r="CB1119" s="2">
        <v>0</v>
      </c>
      <c r="CC1119" s="2">
        <v>0</v>
      </c>
      <c r="CD1119" s="2">
        <v>0</v>
      </c>
    </row>
    <row r="1120" spans="53:82" x14ac:dyDescent="0.25">
      <c r="BA1120" s="2">
        <v>0</v>
      </c>
      <c r="BB1120" s="2" t="e">
        <v>#VALUE!</v>
      </c>
      <c r="BC1120" s="2">
        <v>0</v>
      </c>
      <c r="BD1120" s="2">
        <v>0</v>
      </c>
      <c r="BE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L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S1120" s="2">
        <v>0</v>
      </c>
      <c r="BT1120" s="2">
        <v>0</v>
      </c>
      <c r="BU1120" s="2">
        <v>0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D1120" s="2">
        <v>0</v>
      </c>
    </row>
    <row r="1121" spans="53:82" x14ac:dyDescent="0.25">
      <c r="BA1121" s="2">
        <v>0</v>
      </c>
      <c r="BB1121" s="2" t="e">
        <v>#VALUE!</v>
      </c>
      <c r="BC1121" s="2">
        <v>0</v>
      </c>
      <c r="BD1121" s="2">
        <v>0</v>
      </c>
      <c r="BE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L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S1121" s="2">
        <v>0</v>
      </c>
      <c r="BT1121" s="2">
        <v>0</v>
      </c>
      <c r="BU1121" s="2">
        <v>0</v>
      </c>
      <c r="BV1121" s="2">
        <v>0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D1121" s="2">
        <v>0</v>
      </c>
    </row>
    <row r="1122" spans="53:82" x14ac:dyDescent="0.25">
      <c r="BA1122" s="2">
        <v>0</v>
      </c>
      <c r="BB1122" s="2" t="e">
        <v>#VALUE!</v>
      </c>
      <c r="BC1122" s="2">
        <v>0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0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S1122" s="2">
        <v>0</v>
      </c>
      <c r="BT1122" s="2">
        <v>0</v>
      </c>
      <c r="BU1122" s="2">
        <v>0</v>
      </c>
      <c r="BV1122" s="2">
        <v>0</v>
      </c>
      <c r="BW1122" s="2">
        <v>0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0</v>
      </c>
      <c r="CD1122" s="2">
        <v>0</v>
      </c>
    </row>
    <row r="1123" spans="53:82" x14ac:dyDescent="0.25">
      <c r="BA1123" s="2">
        <v>0</v>
      </c>
      <c r="BB1123" s="2" t="e">
        <v>#VALUE!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>
        <v>0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S1123" s="2">
        <v>0</v>
      </c>
      <c r="BT1123" s="2">
        <v>0</v>
      </c>
      <c r="BU1123" s="2">
        <v>0</v>
      </c>
      <c r="BV1123" s="2">
        <v>0</v>
      </c>
      <c r="BW1123" s="2">
        <v>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0</v>
      </c>
      <c r="CD1123" s="2">
        <v>0</v>
      </c>
    </row>
    <row r="1124" spans="53:82" x14ac:dyDescent="0.25">
      <c r="BA1124" s="2">
        <v>0</v>
      </c>
      <c r="BB1124" s="2" t="e">
        <v>#VALUE!</v>
      </c>
      <c r="BC1124" s="2">
        <v>0</v>
      </c>
      <c r="BD1124" s="2">
        <v>0</v>
      </c>
      <c r="BE1124" s="2">
        <v>0</v>
      </c>
      <c r="BF1124" s="2">
        <v>0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L1124" s="2">
        <v>0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S1124" s="2">
        <v>0</v>
      </c>
      <c r="BT1124" s="2">
        <v>0</v>
      </c>
      <c r="BU1124" s="2">
        <v>0</v>
      </c>
      <c r="BV1124" s="2">
        <v>0</v>
      </c>
      <c r="BW1124" s="2">
        <v>0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0</v>
      </c>
      <c r="CD1124" s="2">
        <v>0</v>
      </c>
    </row>
    <row r="1125" spans="53:82" x14ac:dyDescent="0.25">
      <c r="BA1125" s="2">
        <v>0</v>
      </c>
      <c r="BB1125" s="2" t="e">
        <v>#VALUE!</v>
      </c>
      <c r="BC1125" s="2">
        <v>0</v>
      </c>
      <c r="BD1125" s="2">
        <v>0</v>
      </c>
      <c r="BE1125" s="2">
        <v>0</v>
      </c>
      <c r="BF1125" s="2">
        <v>0</v>
      </c>
      <c r="BG1125" s="2">
        <v>0</v>
      </c>
      <c r="BH1125" s="2">
        <v>0</v>
      </c>
      <c r="BI1125" s="2">
        <v>0</v>
      </c>
      <c r="BJ1125" s="2">
        <v>0</v>
      </c>
      <c r="BK1125" s="2">
        <v>0</v>
      </c>
      <c r="BL1125" s="2">
        <v>0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S1125" s="2">
        <v>0</v>
      </c>
      <c r="BT1125" s="2">
        <v>0</v>
      </c>
      <c r="BU1125" s="2">
        <v>0</v>
      </c>
      <c r="BV1125" s="2">
        <v>0</v>
      </c>
      <c r="BW1125" s="2">
        <v>0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0</v>
      </c>
      <c r="CD1125" s="2">
        <v>0</v>
      </c>
    </row>
    <row r="1126" spans="53:82" x14ac:dyDescent="0.25">
      <c r="BA1126" s="2">
        <v>0</v>
      </c>
      <c r="BB1126" s="2" t="e">
        <v>#VALUE!</v>
      </c>
      <c r="BC1126" s="2">
        <v>0</v>
      </c>
      <c r="BD1126" s="2">
        <v>0</v>
      </c>
      <c r="BE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L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S1126" s="2">
        <v>0</v>
      </c>
      <c r="BT1126" s="2">
        <v>0</v>
      </c>
      <c r="BU1126" s="2">
        <v>0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0</v>
      </c>
      <c r="CD1126" s="2">
        <v>0</v>
      </c>
    </row>
    <row r="1127" spans="53:82" x14ac:dyDescent="0.25">
      <c r="BA1127" s="2">
        <v>0</v>
      </c>
      <c r="BB1127" s="2" t="e">
        <v>#VALUE!</v>
      </c>
      <c r="BC1127" s="2">
        <v>0</v>
      </c>
      <c r="BD1127" s="2">
        <v>0</v>
      </c>
      <c r="BE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L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S1127" s="2">
        <v>0</v>
      </c>
      <c r="BT1127" s="2">
        <v>0</v>
      </c>
      <c r="BU1127" s="2">
        <v>0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D1127" s="2">
        <v>0</v>
      </c>
    </row>
    <row r="1128" spans="53:82" x14ac:dyDescent="0.25">
      <c r="BA1128" s="2">
        <v>0</v>
      </c>
      <c r="BB1128" s="2" t="e">
        <v>#VALUE!</v>
      </c>
      <c r="BC1128" s="2">
        <v>0</v>
      </c>
      <c r="BD1128" s="2">
        <v>0</v>
      </c>
      <c r="BE1128" s="2">
        <v>0</v>
      </c>
      <c r="BF1128" s="2">
        <v>0</v>
      </c>
      <c r="BG1128" s="2">
        <v>0</v>
      </c>
      <c r="BH1128" s="2">
        <v>0</v>
      </c>
      <c r="BI1128" s="2">
        <v>0</v>
      </c>
      <c r="BJ1128" s="2">
        <v>0</v>
      </c>
      <c r="BK1128" s="2">
        <v>0</v>
      </c>
      <c r="BL1128" s="2">
        <v>0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S1128" s="2">
        <v>0</v>
      </c>
      <c r="BT1128" s="2">
        <v>0</v>
      </c>
      <c r="BU1128" s="2">
        <v>0</v>
      </c>
      <c r="BV1128" s="2">
        <v>0</v>
      </c>
      <c r="BW1128" s="2">
        <v>0</v>
      </c>
      <c r="BX1128" s="2">
        <v>0</v>
      </c>
      <c r="BY1128" s="2">
        <v>0</v>
      </c>
      <c r="BZ1128" s="2">
        <v>0</v>
      </c>
      <c r="CA1128" s="2">
        <v>0</v>
      </c>
      <c r="CB1128" s="2">
        <v>0</v>
      </c>
      <c r="CC1128" s="2">
        <v>0</v>
      </c>
      <c r="CD1128" s="2">
        <v>0</v>
      </c>
    </row>
    <row r="1129" spans="53:82" x14ac:dyDescent="0.25">
      <c r="BA1129" s="2">
        <v>0</v>
      </c>
      <c r="BB1129" s="2" t="e">
        <v>#VALUE!</v>
      </c>
      <c r="BC1129" s="2">
        <v>0</v>
      </c>
      <c r="BD1129" s="2">
        <v>0</v>
      </c>
      <c r="BE1129" s="2">
        <v>0</v>
      </c>
      <c r="BF1129" s="2">
        <v>0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L1129" s="2">
        <v>0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S1129" s="2">
        <v>0</v>
      </c>
      <c r="BT1129" s="2">
        <v>0</v>
      </c>
      <c r="BU1129" s="2">
        <v>0</v>
      </c>
      <c r="BV1129" s="2">
        <v>0</v>
      </c>
      <c r="BW1129" s="2">
        <v>0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0</v>
      </c>
      <c r="CD1129" s="2">
        <v>0</v>
      </c>
    </row>
    <row r="1130" spans="53:82" x14ac:dyDescent="0.25">
      <c r="BA1130" s="2">
        <v>0</v>
      </c>
      <c r="BB1130" s="2" t="e">
        <v>#VALUE!</v>
      </c>
      <c r="BC1130" s="2">
        <v>0</v>
      </c>
      <c r="BD1130" s="2">
        <v>0</v>
      </c>
      <c r="BE1130" s="2">
        <v>0</v>
      </c>
      <c r="BF1130" s="2">
        <v>0</v>
      </c>
      <c r="BG1130" s="2">
        <v>0</v>
      </c>
      <c r="BH1130" s="2">
        <v>0</v>
      </c>
      <c r="BI1130" s="2">
        <v>0</v>
      </c>
      <c r="BJ1130" s="2">
        <v>0</v>
      </c>
      <c r="BK1130" s="2">
        <v>0</v>
      </c>
      <c r="BL1130" s="2">
        <v>0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S1130" s="2">
        <v>0</v>
      </c>
      <c r="BT1130" s="2">
        <v>0</v>
      </c>
      <c r="BU1130" s="2">
        <v>0</v>
      </c>
      <c r="BV1130" s="2">
        <v>0</v>
      </c>
      <c r="BW1130" s="2">
        <v>0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0</v>
      </c>
      <c r="CD1130" s="2">
        <v>0</v>
      </c>
    </row>
    <row r="1131" spans="53:82" x14ac:dyDescent="0.25">
      <c r="BA1131" s="2">
        <v>0</v>
      </c>
      <c r="BB1131" s="2" t="e">
        <v>#VALUE!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S1131" s="2">
        <v>0</v>
      </c>
      <c r="BT1131" s="2">
        <v>0</v>
      </c>
      <c r="BU1131" s="2">
        <v>0</v>
      </c>
      <c r="BV1131" s="2">
        <v>0</v>
      </c>
      <c r="BW1131" s="2">
        <v>0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0</v>
      </c>
      <c r="CD1131" s="2">
        <v>0</v>
      </c>
    </row>
    <row r="1132" spans="53:82" x14ac:dyDescent="0.25">
      <c r="BA1132" s="2">
        <v>0</v>
      </c>
      <c r="BB1132" s="2" t="e">
        <v>#VALUE!</v>
      </c>
      <c r="BC1132" s="2">
        <v>0</v>
      </c>
      <c r="BD1132" s="2">
        <v>0</v>
      </c>
      <c r="BE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L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S1132" s="2">
        <v>0</v>
      </c>
      <c r="BT1132" s="2">
        <v>0</v>
      </c>
      <c r="BU1132" s="2">
        <v>0</v>
      </c>
      <c r="BV1132" s="2">
        <v>0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D1132" s="2">
        <v>0</v>
      </c>
    </row>
    <row r="1133" spans="53:82" x14ac:dyDescent="0.25">
      <c r="BA1133" s="2">
        <v>0</v>
      </c>
      <c r="BB1133" s="2" t="e">
        <v>#VALUE!</v>
      </c>
      <c r="BC1133" s="2">
        <v>0</v>
      </c>
      <c r="BD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S1133" s="2">
        <v>0</v>
      </c>
      <c r="BT1133" s="2">
        <v>0</v>
      </c>
      <c r="BU1133" s="2">
        <v>0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D1133" s="2">
        <v>0</v>
      </c>
    </row>
    <row r="1134" spans="53:82" x14ac:dyDescent="0.25">
      <c r="BA1134" s="2">
        <v>0</v>
      </c>
      <c r="BB1134" s="2" t="e">
        <v>#VALUE!</v>
      </c>
      <c r="BC1134" s="2">
        <v>0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L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S1134" s="2">
        <v>0</v>
      </c>
      <c r="BT1134" s="2">
        <v>0</v>
      </c>
      <c r="BU1134" s="2">
        <v>0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D1134" s="2">
        <v>0</v>
      </c>
    </row>
    <row r="1135" spans="53:82" x14ac:dyDescent="0.25">
      <c r="BA1135" s="2">
        <v>0</v>
      </c>
      <c r="BB1135" s="2" t="e">
        <v>#VALUE!</v>
      </c>
      <c r="BC1135" s="2">
        <v>0</v>
      </c>
      <c r="BD1135" s="2">
        <v>0</v>
      </c>
      <c r="BE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L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S1135" s="2">
        <v>0</v>
      </c>
      <c r="BT1135" s="2">
        <v>0</v>
      </c>
      <c r="BU1135" s="2">
        <v>0</v>
      </c>
      <c r="BV1135" s="2">
        <v>0</v>
      </c>
      <c r="BW1135" s="2">
        <v>0</v>
      </c>
      <c r="BX1135" s="2">
        <v>0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D1135" s="2">
        <v>0</v>
      </c>
    </row>
    <row r="1136" spans="53:82" x14ac:dyDescent="0.25">
      <c r="BA1136" s="2">
        <v>0</v>
      </c>
      <c r="BB1136" s="2" t="e">
        <v>#VALUE!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0</v>
      </c>
      <c r="BK1136" s="2">
        <v>0</v>
      </c>
      <c r="BL1136" s="2">
        <v>0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S1136" s="2">
        <v>0</v>
      </c>
      <c r="BT1136" s="2">
        <v>0</v>
      </c>
      <c r="BU1136" s="2">
        <v>0</v>
      </c>
      <c r="BV1136" s="2">
        <v>0</v>
      </c>
      <c r="BW1136" s="2">
        <v>0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0</v>
      </c>
      <c r="CD1136" s="2">
        <v>0</v>
      </c>
    </row>
    <row r="1137" spans="53:82" x14ac:dyDescent="0.25">
      <c r="BA1137" s="2">
        <v>0</v>
      </c>
      <c r="BB1137" s="2" t="e">
        <v>#VALUE!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S1137" s="2">
        <v>0</v>
      </c>
      <c r="BT1137" s="2">
        <v>0</v>
      </c>
      <c r="BU1137" s="2">
        <v>0</v>
      </c>
      <c r="BV1137" s="2">
        <v>0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0</v>
      </c>
      <c r="CD1137" s="2">
        <v>0</v>
      </c>
    </row>
    <row r="1138" spans="53:82" x14ac:dyDescent="0.25">
      <c r="BA1138" s="2">
        <v>0</v>
      </c>
      <c r="BB1138" s="2" t="e">
        <v>#VALUE!</v>
      </c>
      <c r="BC1138" s="2">
        <v>0</v>
      </c>
      <c r="BD1138" s="2">
        <v>0</v>
      </c>
      <c r="BE1138" s="2">
        <v>0</v>
      </c>
      <c r="BF1138" s="2">
        <v>0</v>
      </c>
      <c r="BG1138" s="2">
        <v>0</v>
      </c>
      <c r="BH1138" s="2">
        <v>0</v>
      </c>
      <c r="BI1138" s="2">
        <v>0</v>
      </c>
      <c r="BJ1138" s="2">
        <v>0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S1138" s="2">
        <v>0</v>
      </c>
      <c r="BT1138" s="2">
        <v>0</v>
      </c>
      <c r="BU1138" s="2">
        <v>0</v>
      </c>
      <c r="BV1138" s="2">
        <v>0</v>
      </c>
      <c r="BW1138" s="2">
        <v>0</v>
      </c>
      <c r="BX1138" s="2">
        <v>0</v>
      </c>
      <c r="BY1138" s="2">
        <v>0</v>
      </c>
      <c r="BZ1138" s="2">
        <v>0</v>
      </c>
      <c r="CA1138" s="2">
        <v>0</v>
      </c>
      <c r="CB1138" s="2">
        <v>0</v>
      </c>
      <c r="CC1138" s="2">
        <v>0</v>
      </c>
      <c r="CD1138" s="2">
        <v>0</v>
      </c>
    </row>
    <row r="1139" spans="53:82" x14ac:dyDescent="0.25">
      <c r="BA1139" s="2">
        <v>0</v>
      </c>
      <c r="BB1139" s="2" t="e">
        <v>#VALUE!</v>
      </c>
      <c r="BC1139" s="2">
        <v>0</v>
      </c>
      <c r="BD1139" s="2">
        <v>0</v>
      </c>
      <c r="BE1139" s="2">
        <v>0</v>
      </c>
      <c r="BF1139" s="2">
        <v>0</v>
      </c>
      <c r="BG1139" s="2">
        <v>0</v>
      </c>
      <c r="BH1139" s="2">
        <v>0</v>
      </c>
      <c r="BI1139" s="2">
        <v>0</v>
      </c>
      <c r="BJ1139" s="2">
        <v>0</v>
      </c>
      <c r="BK1139" s="2">
        <v>0</v>
      </c>
      <c r="BL1139" s="2">
        <v>0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S1139" s="2">
        <v>0</v>
      </c>
      <c r="BT1139" s="2">
        <v>0</v>
      </c>
      <c r="BU1139" s="2">
        <v>0</v>
      </c>
      <c r="BV1139" s="2">
        <v>0</v>
      </c>
      <c r="BW1139" s="2">
        <v>0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0</v>
      </c>
      <c r="CD1139" s="2">
        <v>0</v>
      </c>
    </row>
    <row r="1140" spans="53:82" x14ac:dyDescent="0.25">
      <c r="BA1140" s="2">
        <v>0</v>
      </c>
      <c r="BB1140" s="2" t="e">
        <v>#VALUE!</v>
      </c>
      <c r="BC1140" s="2">
        <v>0</v>
      </c>
      <c r="BD1140" s="2">
        <v>0</v>
      </c>
      <c r="BE1140" s="2">
        <v>0</v>
      </c>
      <c r="BF1140" s="2">
        <v>0</v>
      </c>
      <c r="BG1140" s="2">
        <v>0</v>
      </c>
      <c r="BH1140" s="2">
        <v>0</v>
      </c>
      <c r="BI1140" s="2">
        <v>0</v>
      </c>
      <c r="BJ1140" s="2">
        <v>0</v>
      </c>
      <c r="BK1140" s="2">
        <v>0</v>
      </c>
      <c r="BL1140" s="2">
        <v>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S1140" s="2">
        <v>0</v>
      </c>
      <c r="BT1140" s="2">
        <v>0</v>
      </c>
      <c r="BU1140" s="2">
        <v>0</v>
      </c>
      <c r="BV1140" s="2">
        <v>0</v>
      </c>
      <c r="BW1140" s="2">
        <v>0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0</v>
      </c>
      <c r="CD1140" s="2">
        <v>0</v>
      </c>
    </row>
    <row r="1141" spans="53:82" x14ac:dyDescent="0.25">
      <c r="BA1141" s="2">
        <v>0</v>
      </c>
      <c r="BB1141" s="2" t="e">
        <v>#VALUE!</v>
      </c>
      <c r="BC1141" s="2">
        <v>0</v>
      </c>
      <c r="BD1141" s="2">
        <v>0</v>
      </c>
      <c r="BE1141" s="2">
        <v>0</v>
      </c>
      <c r="BF1141" s="2">
        <v>0</v>
      </c>
      <c r="BG1141" s="2">
        <v>0</v>
      </c>
      <c r="BH1141" s="2">
        <v>0</v>
      </c>
      <c r="BI1141" s="2">
        <v>0</v>
      </c>
      <c r="BJ1141" s="2">
        <v>0</v>
      </c>
      <c r="BK1141" s="2">
        <v>0</v>
      </c>
      <c r="BL1141" s="2">
        <v>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S1141" s="2">
        <v>0</v>
      </c>
      <c r="BT1141" s="2">
        <v>0</v>
      </c>
      <c r="BU1141" s="2">
        <v>0</v>
      </c>
      <c r="BV1141" s="2">
        <v>0</v>
      </c>
      <c r="BW1141" s="2">
        <v>0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0</v>
      </c>
      <c r="CD1141" s="2">
        <v>0</v>
      </c>
    </row>
    <row r="1142" spans="53:82" x14ac:dyDescent="0.25">
      <c r="BA1142" s="2">
        <v>0</v>
      </c>
      <c r="BB1142" s="2" t="e">
        <v>#VALUE!</v>
      </c>
      <c r="BC1142" s="2">
        <v>0</v>
      </c>
      <c r="BD1142" s="2">
        <v>0</v>
      </c>
      <c r="BE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L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S1142" s="2">
        <v>0</v>
      </c>
      <c r="BT1142" s="2">
        <v>0</v>
      </c>
      <c r="BU1142" s="2">
        <v>0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D1142" s="2">
        <v>0</v>
      </c>
    </row>
    <row r="1143" spans="53:82" x14ac:dyDescent="0.25">
      <c r="BA1143" s="2">
        <v>0</v>
      </c>
      <c r="BB1143" s="2" t="e">
        <v>#VALUE!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>
        <v>0</v>
      </c>
      <c r="BJ1143" s="2">
        <v>0</v>
      </c>
      <c r="BK1143" s="2">
        <v>0</v>
      </c>
      <c r="BL1143" s="2">
        <v>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S1143" s="2">
        <v>0</v>
      </c>
      <c r="BT1143" s="2">
        <v>0</v>
      </c>
      <c r="BU1143" s="2">
        <v>0</v>
      </c>
      <c r="BV1143" s="2">
        <v>0</v>
      </c>
      <c r="BW1143" s="2">
        <v>0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0</v>
      </c>
      <c r="CD1143" s="2">
        <v>0</v>
      </c>
    </row>
    <row r="1144" spans="53:82" x14ac:dyDescent="0.25">
      <c r="BA1144" s="2">
        <v>0</v>
      </c>
      <c r="BB1144" s="2" t="e">
        <v>#VALUE!</v>
      </c>
      <c r="BC1144" s="2">
        <v>0</v>
      </c>
      <c r="BD1144" s="2">
        <v>0</v>
      </c>
      <c r="BE1144" s="2">
        <v>0</v>
      </c>
      <c r="BF1144" s="2">
        <v>0</v>
      </c>
      <c r="BG1144" s="2">
        <v>0</v>
      </c>
      <c r="BH1144" s="2">
        <v>0</v>
      </c>
      <c r="BI1144" s="2">
        <v>0</v>
      </c>
      <c r="BJ1144" s="2">
        <v>0</v>
      </c>
      <c r="BK1144" s="2">
        <v>0</v>
      </c>
      <c r="BL1144" s="2">
        <v>0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S1144" s="2">
        <v>0</v>
      </c>
      <c r="BT1144" s="2">
        <v>0</v>
      </c>
      <c r="BU1144" s="2">
        <v>0</v>
      </c>
      <c r="BV1144" s="2">
        <v>0</v>
      </c>
      <c r="BW1144" s="2">
        <v>0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0</v>
      </c>
      <c r="CD1144" s="2">
        <v>0</v>
      </c>
    </row>
    <row r="1145" spans="53:82" x14ac:dyDescent="0.25">
      <c r="BA1145" s="2">
        <v>0</v>
      </c>
      <c r="BB1145" s="2" t="e">
        <v>#VALUE!</v>
      </c>
      <c r="BC1145" s="2">
        <v>0</v>
      </c>
      <c r="BD1145" s="2">
        <v>0</v>
      </c>
      <c r="BE1145" s="2">
        <v>0</v>
      </c>
      <c r="BF1145" s="2">
        <v>0</v>
      </c>
      <c r="BG1145" s="2">
        <v>0</v>
      </c>
      <c r="BH1145" s="2">
        <v>0</v>
      </c>
      <c r="BI1145" s="2">
        <v>0</v>
      </c>
      <c r="BJ1145" s="2">
        <v>0</v>
      </c>
      <c r="BK1145" s="2">
        <v>0</v>
      </c>
      <c r="BL1145" s="2">
        <v>0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S1145" s="2">
        <v>0</v>
      </c>
      <c r="BT1145" s="2">
        <v>0</v>
      </c>
      <c r="BU1145" s="2">
        <v>0</v>
      </c>
      <c r="BV1145" s="2">
        <v>0</v>
      </c>
      <c r="BW1145" s="2">
        <v>0</v>
      </c>
      <c r="BX1145" s="2">
        <v>0</v>
      </c>
      <c r="BY1145" s="2">
        <v>0</v>
      </c>
      <c r="BZ1145" s="2">
        <v>0</v>
      </c>
      <c r="CA1145" s="2">
        <v>0</v>
      </c>
      <c r="CB1145" s="2">
        <v>0</v>
      </c>
      <c r="CC1145" s="2">
        <v>0</v>
      </c>
      <c r="CD1145" s="2">
        <v>0</v>
      </c>
    </row>
    <row r="1146" spans="53:82" x14ac:dyDescent="0.25">
      <c r="BA1146" s="2">
        <v>0</v>
      </c>
      <c r="BB1146" s="2" t="e">
        <v>#VALUE!</v>
      </c>
      <c r="BC1146" s="2">
        <v>0</v>
      </c>
      <c r="BD1146" s="2">
        <v>0</v>
      </c>
      <c r="BE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L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S1146" s="2">
        <v>0</v>
      </c>
      <c r="BT1146" s="2">
        <v>0</v>
      </c>
      <c r="BU1146" s="2">
        <v>0</v>
      </c>
      <c r="BV1146" s="2">
        <v>0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D1146" s="2">
        <v>0</v>
      </c>
    </row>
    <row r="1147" spans="53:82" x14ac:dyDescent="0.25">
      <c r="BA1147" s="2">
        <v>0</v>
      </c>
      <c r="BB1147" s="2" t="e">
        <v>#VALUE!</v>
      </c>
      <c r="BC1147" s="2">
        <v>0</v>
      </c>
      <c r="BD1147" s="2">
        <v>0</v>
      </c>
      <c r="BE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L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S1147" s="2">
        <v>0</v>
      </c>
      <c r="BT1147" s="2">
        <v>0</v>
      </c>
      <c r="BU1147" s="2">
        <v>0</v>
      </c>
      <c r="BV1147" s="2">
        <v>0</v>
      </c>
      <c r="BW1147" s="2">
        <v>0</v>
      </c>
      <c r="BX1147" s="2">
        <v>0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D1147" s="2">
        <v>0</v>
      </c>
    </row>
    <row r="1148" spans="53:82" x14ac:dyDescent="0.25">
      <c r="BA1148" s="2">
        <v>0</v>
      </c>
      <c r="BB1148" s="2" t="e">
        <v>#VALUE!</v>
      </c>
      <c r="BC1148" s="2">
        <v>0</v>
      </c>
      <c r="BD1148" s="2">
        <v>0</v>
      </c>
      <c r="BE1148" s="2">
        <v>0</v>
      </c>
      <c r="BF1148" s="2">
        <v>0</v>
      </c>
      <c r="BG1148" s="2">
        <v>0</v>
      </c>
      <c r="BH1148" s="2">
        <v>0</v>
      </c>
      <c r="BI1148" s="2">
        <v>0</v>
      </c>
      <c r="BJ1148" s="2">
        <v>0</v>
      </c>
      <c r="BK1148" s="2">
        <v>0</v>
      </c>
      <c r="BL1148" s="2">
        <v>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S1148" s="2">
        <v>0</v>
      </c>
      <c r="BT1148" s="2">
        <v>0</v>
      </c>
      <c r="BU1148" s="2">
        <v>0</v>
      </c>
      <c r="BV1148" s="2">
        <v>0</v>
      </c>
      <c r="BW1148" s="2">
        <v>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0</v>
      </c>
      <c r="CD1148" s="2">
        <v>0</v>
      </c>
    </row>
    <row r="1149" spans="53:82" x14ac:dyDescent="0.25">
      <c r="BA1149" s="2">
        <v>0</v>
      </c>
      <c r="BB1149" s="2" t="e">
        <v>#VALUE!</v>
      </c>
      <c r="BC1149" s="2">
        <v>0</v>
      </c>
      <c r="BD1149" s="2">
        <v>0</v>
      </c>
      <c r="BE1149" s="2">
        <v>0</v>
      </c>
      <c r="BF1149" s="2">
        <v>0</v>
      </c>
      <c r="BG1149" s="2">
        <v>0</v>
      </c>
      <c r="BH1149" s="2">
        <v>0</v>
      </c>
      <c r="BI1149" s="2">
        <v>0</v>
      </c>
      <c r="BJ1149" s="2">
        <v>0</v>
      </c>
      <c r="BK1149" s="2">
        <v>0</v>
      </c>
      <c r="BL1149" s="2">
        <v>0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S1149" s="2">
        <v>0</v>
      </c>
      <c r="BT1149" s="2">
        <v>0</v>
      </c>
      <c r="BU1149" s="2">
        <v>0</v>
      </c>
      <c r="BV1149" s="2">
        <v>0</v>
      </c>
      <c r="BW1149" s="2">
        <v>0</v>
      </c>
      <c r="BX1149" s="2">
        <v>0</v>
      </c>
      <c r="BY1149" s="2">
        <v>0</v>
      </c>
      <c r="BZ1149" s="2">
        <v>0</v>
      </c>
      <c r="CA1149" s="2">
        <v>0</v>
      </c>
      <c r="CB1149" s="2">
        <v>0</v>
      </c>
      <c r="CC1149" s="2">
        <v>0</v>
      </c>
      <c r="CD1149" s="2">
        <v>0</v>
      </c>
    </row>
    <row r="1150" spans="53:82" x14ac:dyDescent="0.25">
      <c r="BA1150" s="2">
        <v>0</v>
      </c>
      <c r="BB1150" s="2" t="e">
        <v>#VALUE!</v>
      </c>
      <c r="BC1150" s="2">
        <v>0</v>
      </c>
      <c r="BD1150" s="2">
        <v>0</v>
      </c>
      <c r="BE1150" s="2">
        <v>0</v>
      </c>
      <c r="BF1150" s="2">
        <v>0</v>
      </c>
      <c r="BG1150" s="2">
        <v>0</v>
      </c>
      <c r="BH1150" s="2">
        <v>0</v>
      </c>
      <c r="BI1150" s="2">
        <v>0</v>
      </c>
      <c r="BJ1150" s="2">
        <v>0</v>
      </c>
      <c r="BK1150" s="2">
        <v>0</v>
      </c>
      <c r="BL1150" s="2">
        <v>0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S1150" s="2">
        <v>0</v>
      </c>
      <c r="BT1150" s="2">
        <v>0</v>
      </c>
      <c r="BU1150" s="2">
        <v>0</v>
      </c>
      <c r="BV1150" s="2">
        <v>0</v>
      </c>
      <c r="BW1150" s="2">
        <v>0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0</v>
      </c>
      <c r="CD1150" s="2">
        <v>0</v>
      </c>
    </row>
    <row r="1151" spans="53:82" x14ac:dyDescent="0.25">
      <c r="BA1151" s="2">
        <v>0</v>
      </c>
      <c r="BB1151" s="2" t="e">
        <v>#VALUE!</v>
      </c>
      <c r="BC1151" s="2">
        <v>0</v>
      </c>
      <c r="BD1151" s="2">
        <v>0</v>
      </c>
      <c r="BE1151" s="2">
        <v>0</v>
      </c>
      <c r="BF1151" s="2">
        <v>0</v>
      </c>
      <c r="BG1151" s="2">
        <v>0</v>
      </c>
      <c r="BH1151" s="2">
        <v>0</v>
      </c>
      <c r="BI1151" s="2">
        <v>0</v>
      </c>
      <c r="BJ1151" s="2">
        <v>0</v>
      </c>
      <c r="BK1151" s="2">
        <v>0</v>
      </c>
      <c r="BL1151" s="2">
        <v>0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S1151" s="2">
        <v>0</v>
      </c>
      <c r="BT1151" s="2">
        <v>0</v>
      </c>
      <c r="BU1151" s="2">
        <v>0</v>
      </c>
      <c r="BV1151" s="2">
        <v>0</v>
      </c>
      <c r="BW1151" s="2">
        <v>0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0</v>
      </c>
      <c r="CD1151" s="2">
        <v>0</v>
      </c>
    </row>
    <row r="1152" spans="53:82" x14ac:dyDescent="0.25">
      <c r="BA1152" s="2">
        <v>0</v>
      </c>
      <c r="BB1152" s="2" t="e">
        <v>#VALUE!</v>
      </c>
      <c r="BC1152" s="2">
        <v>0</v>
      </c>
      <c r="BD1152" s="2">
        <v>0</v>
      </c>
      <c r="BE1152" s="2">
        <v>0</v>
      </c>
      <c r="BF1152" s="2">
        <v>0</v>
      </c>
      <c r="BG1152" s="2">
        <v>0</v>
      </c>
      <c r="BH1152" s="2">
        <v>0</v>
      </c>
      <c r="BI1152" s="2">
        <v>0</v>
      </c>
      <c r="BJ1152" s="2">
        <v>0</v>
      </c>
      <c r="BK1152" s="2">
        <v>0</v>
      </c>
      <c r="BL1152" s="2">
        <v>0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S1152" s="2">
        <v>0</v>
      </c>
      <c r="BT1152" s="2">
        <v>0</v>
      </c>
      <c r="BU1152" s="2">
        <v>0</v>
      </c>
      <c r="BV1152" s="2">
        <v>0</v>
      </c>
      <c r="BW1152" s="2">
        <v>0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0</v>
      </c>
      <c r="CD1152" s="2">
        <v>0</v>
      </c>
    </row>
    <row r="1153" spans="53:82" x14ac:dyDescent="0.25">
      <c r="BA1153" s="2">
        <v>0</v>
      </c>
      <c r="BB1153" s="2" t="e">
        <v>#VALUE!</v>
      </c>
      <c r="BC1153" s="2">
        <v>0</v>
      </c>
      <c r="BD1153" s="2">
        <v>0</v>
      </c>
      <c r="BE1153" s="2">
        <v>0</v>
      </c>
      <c r="BF1153" s="2">
        <v>0</v>
      </c>
      <c r="BG1153" s="2">
        <v>0</v>
      </c>
      <c r="BH1153" s="2">
        <v>0</v>
      </c>
      <c r="BI1153" s="2">
        <v>0</v>
      </c>
      <c r="BJ1153" s="2">
        <v>0</v>
      </c>
      <c r="BK1153" s="2">
        <v>0</v>
      </c>
      <c r="BL1153" s="2">
        <v>0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S1153" s="2">
        <v>0</v>
      </c>
      <c r="BT1153" s="2">
        <v>0</v>
      </c>
      <c r="BU1153" s="2">
        <v>0</v>
      </c>
      <c r="BV1153" s="2">
        <v>0</v>
      </c>
      <c r="BW1153" s="2">
        <v>0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0</v>
      </c>
      <c r="CD1153" s="2">
        <v>0</v>
      </c>
    </row>
    <row r="1154" spans="53:82" x14ac:dyDescent="0.25">
      <c r="BA1154" s="2">
        <v>0</v>
      </c>
      <c r="BB1154" s="2" t="e">
        <v>#VALUE!</v>
      </c>
      <c r="BC1154" s="2">
        <v>0</v>
      </c>
      <c r="BD1154" s="2">
        <v>0</v>
      </c>
      <c r="BE1154" s="2">
        <v>0</v>
      </c>
      <c r="BF1154" s="2">
        <v>0</v>
      </c>
      <c r="BG1154" s="2">
        <v>0</v>
      </c>
      <c r="BH1154" s="2">
        <v>0</v>
      </c>
      <c r="BI1154" s="2">
        <v>0</v>
      </c>
      <c r="BJ1154" s="2">
        <v>0</v>
      </c>
      <c r="BK1154" s="2">
        <v>0</v>
      </c>
      <c r="BL1154" s="2">
        <v>0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S1154" s="2">
        <v>0</v>
      </c>
      <c r="BT1154" s="2">
        <v>0</v>
      </c>
      <c r="BU1154" s="2">
        <v>0</v>
      </c>
      <c r="BV1154" s="2">
        <v>0</v>
      </c>
      <c r="BW1154" s="2">
        <v>0</v>
      </c>
      <c r="BX1154" s="2">
        <v>0</v>
      </c>
      <c r="BY1154" s="2">
        <v>0</v>
      </c>
      <c r="BZ1154" s="2">
        <v>0</v>
      </c>
      <c r="CA1154" s="2">
        <v>0</v>
      </c>
      <c r="CB1154" s="2">
        <v>0</v>
      </c>
      <c r="CC1154" s="2">
        <v>0</v>
      </c>
      <c r="CD1154" s="2">
        <v>0</v>
      </c>
    </row>
    <row r="1155" spans="53:82" x14ac:dyDescent="0.25">
      <c r="BA1155" s="2">
        <v>0</v>
      </c>
      <c r="BB1155" s="2" t="e">
        <v>#VALUE!</v>
      </c>
      <c r="BC1155" s="2">
        <v>0</v>
      </c>
      <c r="BD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>
        <v>0</v>
      </c>
      <c r="BJ1155" s="2">
        <v>0</v>
      </c>
      <c r="BK1155" s="2">
        <v>0</v>
      </c>
      <c r="BL1155" s="2">
        <v>0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S1155" s="2">
        <v>0</v>
      </c>
      <c r="BT1155" s="2">
        <v>0</v>
      </c>
      <c r="BU1155" s="2">
        <v>0</v>
      </c>
      <c r="BV1155" s="2">
        <v>0</v>
      </c>
      <c r="BW1155" s="2">
        <v>0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0</v>
      </c>
      <c r="CD1155" s="2">
        <v>0</v>
      </c>
    </row>
    <row r="1156" spans="53:82" x14ac:dyDescent="0.25">
      <c r="BA1156" s="2">
        <v>0</v>
      </c>
      <c r="BB1156" s="2" t="e">
        <v>#VALUE!</v>
      </c>
      <c r="BC1156" s="2">
        <v>0</v>
      </c>
      <c r="BD1156" s="2">
        <v>0</v>
      </c>
      <c r="BE1156" s="2">
        <v>0</v>
      </c>
      <c r="BF1156" s="2">
        <v>0</v>
      </c>
      <c r="BG1156" s="2">
        <v>0</v>
      </c>
      <c r="BH1156" s="2">
        <v>0</v>
      </c>
      <c r="BI1156" s="2">
        <v>0</v>
      </c>
      <c r="BJ1156" s="2">
        <v>0</v>
      </c>
      <c r="BK1156" s="2">
        <v>0</v>
      </c>
      <c r="BL1156" s="2">
        <v>0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S1156" s="2">
        <v>0</v>
      </c>
      <c r="BT1156" s="2">
        <v>0</v>
      </c>
      <c r="BU1156" s="2">
        <v>0</v>
      </c>
      <c r="BV1156" s="2">
        <v>0</v>
      </c>
      <c r="BW1156" s="2">
        <v>0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0</v>
      </c>
      <c r="CD1156" s="2">
        <v>0</v>
      </c>
    </row>
    <row r="1157" spans="53:82" x14ac:dyDescent="0.25">
      <c r="BA1157" s="2">
        <v>0</v>
      </c>
      <c r="BB1157" s="2" t="e">
        <v>#VALUE!</v>
      </c>
      <c r="BC1157" s="2">
        <v>0</v>
      </c>
      <c r="BD1157" s="2">
        <v>0</v>
      </c>
      <c r="BE1157" s="2">
        <v>0</v>
      </c>
      <c r="BF1157" s="2">
        <v>0</v>
      </c>
      <c r="BG1157" s="2">
        <v>0</v>
      </c>
      <c r="BH1157" s="2">
        <v>0</v>
      </c>
      <c r="BI1157" s="2">
        <v>0</v>
      </c>
      <c r="BJ1157" s="2">
        <v>0</v>
      </c>
      <c r="BK1157" s="2">
        <v>0</v>
      </c>
      <c r="BL1157" s="2">
        <v>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S1157" s="2">
        <v>0</v>
      </c>
      <c r="BT1157" s="2">
        <v>0</v>
      </c>
      <c r="BU1157" s="2">
        <v>0</v>
      </c>
      <c r="BV1157" s="2">
        <v>0</v>
      </c>
      <c r="BW1157" s="2">
        <v>0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0</v>
      </c>
      <c r="CD1157" s="2">
        <v>0</v>
      </c>
    </row>
    <row r="1158" spans="53:82" x14ac:dyDescent="0.25">
      <c r="BA1158" s="2">
        <v>0</v>
      </c>
      <c r="BB1158" s="2" t="e">
        <v>#VALUE!</v>
      </c>
      <c r="BC1158" s="2">
        <v>0</v>
      </c>
      <c r="BD1158" s="2">
        <v>0</v>
      </c>
      <c r="BE1158" s="2">
        <v>0</v>
      </c>
      <c r="BF1158" s="2">
        <v>0</v>
      </c>
      <c r="BG1158" s="2">
        <v>0</v>
      </c>
      <c r="BH1158" s="2">
        <v>0</v>
      </c>
      <c r="BI1158" s="2">
        <v>0</v>
      </c>
      <c r="BJ1158" s="2">
        <v>0</v>
      </c>
      <c r="BK1158" s="2">
        <v>0</v>
      </c>
      <c r="BL1158" s="2">
        <v>0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S1158" s="2">
        <v>0</v>
      </c>
      <c r="BT1158" s="2">
        <v>0</v>
      </c>
      <c r="BU1158" s="2">
        <v>0</v>
      </c>
      <c r="BV1158" s="2">
        <v>0</v>
      </c>
      <c r="BW1158" s="2">
        <v>0</v>
      </c>
      <c r="BX1158" s="2">
        <v>0</v>
      </c>
      <c r="BY1158" s="2">
        <v>0</v>
      </c>
      <c r="BZ1158" s="2">
        <v>0</v>
      </c>
      <c r="CA1158" s="2">
        <v>0</v>
      </c>
      <c r="CB1158" s="2">
        <v>0</v>
      </c>
      <c r="CC1158" s="2">
        <v>0</v>
      </c>
      <c r="CD1158" s="2">
        <v>0</v>
      </c>
    </row>
    <row r="1159" spans="53:82" x14ac:dyDescent="0.25">
      <c r="BA1159" s="2">
        <v>0</v>
      </c>
      <c r="BB1159" s="2" t="e">
        <v>#VALUE!</v>
      </c>
      <c r="BC1159" s="2">
        <v>0</v>
      </c>
      <c r="BD1159" s="2">
        <v>0</v>
      </c>
      <c r="BE1159" s="2">
        <v>0</v>
      </c>
      <c r="BF1159" s="2">
        <v>0</v>
      </c>
      <c r="BG1159" s="2">
        <v>0</v>
      </c>
      <c r="BH1159" s="2">
        <v>0</v>
      </c>
      <c r="BI1159" s="2">
        <v>0</v>
      </c>
      <c r="BJ1159" s="2">
        <v>0</v>
      </c>
      <c r="BK1159" s="2">
        <v>0</v>
      </c>
      <c r="BL1159" s="2">
        <v>0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S1159" s="2">
        <v>0</v>
      </c>
      <c r="BT1159" s="2">
        <v>0</v>
      </c>
      <c r="BU1159" s="2">
        <v>0</v>
      </c>
      <c r="BV1159" s="2">
        <v>0</v>
      </c>
      <c r="BW1159" s="2">
        <v>0</v>
      </c>
      <c r="BX1159" s="2">
        <v>0</v>
      </c>
      <c r="BY1159" s="2">
        <v>0</v>
      </c>
      <c r="BZ1159" s="2">
        <v>0</v>
      </c>
      <c r="CA1159" s="2">
        <v>0</v>
      </c>
      <c r="CB1159" s="2">
        <v>0</v>
      </c>
      <c r="CC1159" s="2">
        <v>0</v>
      </c>
      <c r="CD1159" s="2">
        <v>0</v>
      </c>
    </row>
    <row r="1160" spans="53:82" x14ac:dyDescent="0.25">
      <c r="BA1160" s="2">
        <v>0</v>
      </c>
      <c r="BB1160" s="2" t="e">
        <v>#VALUE!</v>
      </c>
      <c r="BC1160" s="2">
        <v>0</v>
      </c>
      <c r="BD1160" s="2">
        <v>0</v>
      </c>
      <c r="BE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L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S1160" s="2">
        <v>0</v>
      </c>
      <c r="BT1160" s="2">
        <v>0</v>
      </c>
      <c r="BU1160" s="2">
        <v>0</v>
      </c>
      <c r="BV1160" s="2">
        <v>0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D1160" s="2">
        <v>0</v>
      </c>
    </row>
    <row r="1161" spans="53:82" x14ac:dyDescent="0.25">
      <c r="BA1161" s="2">
        <v>0</v>
      </c>
      <c r="BB1161" s="2" t="e">
        <v>#VALUE!</v>
      </c>
      <c r="BC1161" s="2">
        <v>0</v>
      </c>
      <c r="BD1161" s="2">
        <v>0</v>
      </c>
      <c r="BE1161" s="2">
        <v>0</v>
      </c>
      <c r="BF1161" s="2">
        <v>0</v>
      </c>
      <c r="BG1161" s="2">
        <v>0</v>
      </c>
      <c r="BH1161" s="2">
        <v>0</v>
      </c>
      <c r="BI1161" s="2">
        <v>0</v>
      </c>
      <c r="BJ1161" s="2">
        <v>0</v>
      </c>
      <c r="BK1161" s="2">
        <v>0</v>
      </c>
      <c r="BL1161" s="2">
        <v>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S1161" s="2">
        <v>0</v>
      </c>
      <c r="BT1161" s="2">
        <v>0</v>
      </c>
      <c r="BU1161" s="2">
        <v>0</v>
      </c>
      <c r="BV1161" s="2">
        <v>0</v>
      </c>
      <c r="BW1161" s="2">
        <v>0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0</v>
      </c>
      <c r="CD1161" s="2">
        <v>0</v>
      </c>
    </row>
    <row r="1162" spans="53:82" x14ac:dyDescent="0.25">
      <c r="BA1162" s="2">
        <v>0</v>
      </c>
      <c r="BB1162" s="2" t="e">
        <v>#VALUE!</v>
      </c>
      <c r="BC1162" s="2">
        <v>0</v>
      </c>
      <c r="BD1162" s="2">
        <v>0</v>
      </c>
      <c r="BE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L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S1162" s="2">
        <v>0</v>
      </c>
      <c r="BT1162" s="2">
        <v>0</v>
      </c>
      <c r="BU1162" s="2">
        <v>0</v>
      </c>
      <c r="BV1162" s="2">
        <v>0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0</v>
      </c>
      <c r="CC1162" s="2">
        <v>0</v>
      </c>
      <c r="CD1162" s="2">
        <v>0</v>
      </c>
    </row>
    <row r="1163" spans="53:82" x14ac:dyDescent="0.25">
      <c r="BA1163" s="2">
        <v>0</v>
      </c>
      <c r="BB1163" s="2" t="e">
        <v>#VALUE!</v>
      </c>
      <c r="BC1163" s="2">
        <v>0</v>
      </c>
      <c r="BD1163" s="2">
        <v>0</v>
      </c>
      <c r="BE1163" s="2">
        <v>0</v>
      </c>
      <c r="BF1163" s="2">
        <v>0</v>
      </c>
      <c r="BG1163" s="2">
        <v>0</v>
      </c>
      <c r="BH1163" s="2">
        <v>0</v>
      </c>
      <c r="BI1163" s="2">
        <v>0</v>
      </c>
      <c r="BJ1163" s="2">
        <v>0</v>
      </c>
      <c r="BK1163" s="2">
        <v>0</v>
      </c>
      <c r="BL1163" s="2">
        <v>0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S1163" s="2">
        <v>0</v>
      </c>
      <c r="BT1163" s="2">
        <v>0</v>
      </c>
      <c r="BU1163" s="2">
        <v>0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D1163" s="2">
        <v>0</v>
      </c>
    </row>
    <row r="1164" spans="53:82" x14ac:dyDescent="0.25">
      <c r="BA1164" s="2">
        <v>0</v>
      </c>
      <c r="BB1164" s="2" t="e">
        <v>#VALUE!</v>
      </c>
      <c r="BC1164" s="2">
        <v>0</v>
      </c>
      <c r="BD1164" s="2">
        <v>0</v>
      </c>
      <c r="BE1164" s="2">
        <v>0</v>
      </c>
      <c r="BF1164" s="2">
        <v>0</v>
      </c>
      <c r="BG1164" s="2">
        <v>0</v>
      </c>
      <c r="BH1164" s="2">
        <v>0</v>
      </c>
      <c r="BI1164" s="2">
        <v>0</v>
      </c>
      <c r="BJ1164" s="2">
        <v>0</v>
      </c>
      <c r="BK1164" s="2">
        <v>0</v>
      </c>
      <c r="BL1164" s="2">
        <v>0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S1164" s="2">
        <v>0</v>
      </c>
      <c r="BT1164" s="2">
        <v>0</v>
      </c>
      <c r="BU1164" s="2">
        <v>0</v>
      </c>
      <c r="BV1164" s="2">
        <v>0</v>
      </c>
      <c r="BW1164" s="2">
        <v>0</v>
      </c>
      <c r="BX1164" s="2">
        <v>0</v>
      </c>
      <c r="BY1164" s="2">
        <v>0</v>
      </c>
      <c r="BZ1164" s="2">
        <v>0</v>
      </c>
      <c r="CA1164" s="2">
        <v>0</v>
      </c>
      <c r="CB1164" s="2">
        <v>0</v>
      </c>
      <c r="CC1164" s="2">
        <v>0</v>
      </c>
      <c r="CD1164" s="2">
        <v>0</v>
      </c>
    </row>
    <row r="1165" spans="53:82" x14ac:dyDescent="0.25">
      <c r="BA1165" s="2">
        <v>0</v>
      </c>
      <c r="BB1165" s="2" t="e">
        <v>#VALUE!</v>
      </c>
      <c r="BC1165" s="2">
        <v>0</v>
      </c>
      <c r="BD1165" s="2">
        <v>0</v>
      </c>
      <c r="BE1165" s="2">
        <v>0</v>
      </c>
      <c r="BF1165" s="2">
        <v>0</v>
      </c>
      <c r="BG1165" s="2">
        <v>0</v>
      </c>
      <c r="BH1165" s="2">
        <v>0</v>
      </c>
      <c r="BI1165" s="2">
        <v>0</v>
      </c>
      <c r="BJ1165" s="2">
        <v>0</v>
      </c>
      <c r="BK1165" s="2">
        <v>0</v>
      </c>
      <c r="BL1165" s="2">
        <v>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S1165" s="2">
        <v>0</v>
      </c>
      <c r="BT1165" s="2">
        <v>0</v>
      </c>
      <c r="BU1165" s="2">
        <v>0</v>
      </c>
      <c r="BV1165" s="2">
        <v>0</v>
      </c>
      <c r="BW1165" s="2">
        <v>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0</v>
      </c>
      <c r="CD1165" s="2">
        <v>0</v>
      </c>
    </row>
    <row r="1166" spans="53:82" x14ac:dyDescent="0.25">
      <c r="BA1166" s="2">
        <v>0</v>
      </c>
      <c r="BB1166" s="2" t="e">
        <v>#VALUE!</v>
      </c>
      <c r="BC1166" s="2">
        <v>0</v>
      </c>
      <c r="BD1166" s="2">
        <v>0</v>
      </c>
      <c r="BE1166" s="2">
        <v>0</v>
      </c>
      <c r="BF1166" s="2">
        <v>0</v>
      </c>
      <c r="BG1166" s="2">
        <v>0</v>
      </c>
      <c r="BH1166" s="2">
        <v>0</v>
      </c>
      <c r="BI1166" s="2">
        <v>0</v>
      </c>
      <c r="BJ1166" s="2">
        <v>0</v>
      </c>
      <c r="BK1166" s="2">
        <v>0</v>
      </c>
      <c r="BL1166" s="2">
        <v>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S1166" s="2">
        <v>0</v>
      </c>
      <c r="BT1166" s="2">
        <v>0</v>
      </c>
      <c r="BU1166" s="2">
        <v>0</v>
      </c>
      <c r="BV1166" s="2">
        <v>0</v>
      </c>
      <c r="BW1166" s="2">
        <v>0</v>
      </c>
      <c r="BX1166" s="2">
        <v>0</v>
      </c>
      <c r="BY1166" s="2">
        <v>0</v>
      </c>
      <c r="BZ1166" s="2">
        <v>0</v>
      </c>
      <c r="CA1166" s="2">
        <v>0</v>
      </c>
      <c r="CB1166" s="2">
        <v>0</v>
      </c>
      <c r="CC1166" s="2">
        <v>0</v>
      </c>
      <c r="CD1166" s="2">
        <v>0</v>
      </c>
    </row>
    <row r="1167" spans="53:82" x14ac:dyDescent="0.25">
      <c r="BA1167" s="2">
        <v>0</v>
      </c>
      <c r="BB1167" s="2" t="e">
        <v>#VALUE!</v>
      </c>
      <c r="BC1167" s="2">
        <v>0</v>
      </c>
      <c r="BD1167" s="2">
        <v>0</v>
      </c>
      <c r="BE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L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S1167" s="2">
        <v>0</v>
      </c>
      <c r="BT1167" s="2">
        <v>0</v>
      </c>
      <c r="BU1167" s="2">
        <v>0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D1167" s="2">
        <v>0</v>
      </c>
    </row>
    <row r="1168" spans="53:82" x14ac:dyDescent="0.25">
      <c r="BA1168" s="2">
        <v>0</v>
      </c>
      <c r="BB1168" s="2" t="e">
        <v>#VALUE!</v>
      </c>
      <c r="BC1168" s="2">
        <v>0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S1168" s="2">
        <v>0</v>
      </c>
      <c r="BT1168" s="2">
        <v>0</v>
      </c>
      <c r="BU1168" s="2">
        <v>0</v>
      </c>
      <c r="BV1168" s="2">
        <v>0</v>
      </c>
      <c r="BW1168" s="2">
        <v>0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D1168" s="2">
        <v>0</v>
      </c>
    </row>
    <row r="1169" spans="53:82" x14ac:dyDescent="0.25">
      <c r="BA1169" s="2">
        <v>0</v>
      </c>
      <c r="BB1169" s="2" t="e">
        <v>#VALUE!</v>
      </c>
      <c r="BC1169" s="2">
        <v>0</v>
      </c>
      <c r="BD1169" s="2">
        <v>0</v>
      </c>
      <c r="BE1169" s="2">
        <v>0</v>
      </c>
      <c r="BF1169" s="2">
        <v>0</v>
      </c>
      <c r="BG1169" s="2">
        <v>0</v>
      </c>
      <c r="BH1169" s="2">
        <v>0</v>
      </c>
      <c r="BI1169" s="2">
        <v>0</v>
      </c>
      <c r="BJ1169" s="2">
        <v>0</v>
      </c>
      <c r="BK1169" s="2">
        <v>0</v>
      </c>
      <c r="BL1169" s="2">
        <v>0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S1169" s="2">
        <v>0</v>
      </c>
      <c r="BT1169" s="2">
        <v>0</v>
      </c>
      <c r="BU1169" s="2">
        <v>0</v>
      </c>
      <c r="BV1169" s="2">
        <v>0</v>
      </c>
      <c r="BW1169" s="2">
        <v>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0</v>
      </c>
      <c r="CD1169" s="2">
        <v>0</v>
      </c>
    </row>
    <row r="1170" spans="53:82" x14ac:dyDescent="0.25">
      <c r="BA1170" s="2">
        <v>0</v>
      </c>
      <c r="BB1170" s="2" t="e">
        <v>#VALUE!</v>
      </c>
      <c r="BC1170" s="2">
        <v>0</v>
      </c>
      <c r="BD1170" s="2">
        <v>0</v>
      </c>
      <c r="BE1170" s="2">
        <v>0</v>
      </c>
      <c r="BF1170" s="2">
        <v>0</v>
      </c>
      <c r="BG1170" s="2">
        <v>0</v>
      </c>
      <c r="BH1170" s="2">
        <v>0</v>
      </c>
      <c r="BI1170" s="2">
        <v>0</v>
      </c>
      <c r="BJ1170" s="2">
        <v>0</v>
      </c>
      <c r="BK1170" s="2">
        <v>0</v>
      </c>
      <c r="BL1170" s="2">
        <v>0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S1170" s="2">
        <v>0</v>
      </c>
      <c r="BT1170" s="2">
        <v>0</v>
      </c>
      <c r="BU1170" s="2">
        <v>0</v>
      </c>
      <c r="BV1170" s="2">
        <v>0</v>
      </c>
      <c r="BW1170" s="2">
        <v>0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0</v>
      </c>
      <c r="CD1170" s="2">
        <v>0</v>
      </c>
    </row>
    <row r="1171" spans="53:82" x14ac:dyDescent="0.25">
      <c r="BA1171" s="2">
        <v>0</v>
      </c>
      <c r="BB1171" s="2" t="e">
        <v>#VALUE!</v>
      </c>
      <c r="BC1171" s="2">
        <v>0</v>
      </c>
      <c r="BD1171" s="2">
        <v>0</v>
      </c>
      <c r="BE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L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S1171" s="2">
        <v>0</v>
      </c>
      <c r="BT1171" s="2">
        <v>0</v>
      </c>
      <c r="BU1171" s="2">
        <v>0</v>
      </c>
      <c r="BV1171" s="2">
        <v>0</v>
      </c>
      <c r="BW1171" s="2">
        <v>0</v>
      </c>
      <c r="BX1171" s="2">
        <v>0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D1171" s="2">
        <v>0</v>
      </c>
    </row>
    <row r="1172" spans="53:82" x14ac:dyDescent="0.25">
      <c r="BA1172" s="2">
        <v>0</v>
      </c>
      <c r="BB1172" s="2" t="e">
        <v>#VALUE!</v>
      </c>
      <c r="BC1172" s="2">
        <v>0</v>
      </c>
      <c r="BD1172" s="2">
        <v>0</v>
      </c>
      <c r="BE1172" s="2">
        <v>0</v>
      </c>
      <c r="BF1172" s="2">
        <v>0</v>
      </c>
      <c r="BG1172" s="2">
        <v>0</v>
      </c>
      <c r="BH1172" s="2">
        <v>0</v>
      </c>
      <c r="BI1172" s="2">
        <v>0</v>
      </c>
      <c r="BJ1172" s="2">
        <v>0</v>
      </c>
      <c r="BK1172" s="2">
        <v>0</v>
      </c>
      <c r="BL1172" s="2">
        <v>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S1172" s="2">
        <v>0</v>
      </c>
      <c r="BT1172" s="2">
        <v>0</v>
      </c>
      <c r="BU1172" s="2">
        <v>0</v>
      </c>
      <c r="BV1172" s="2">
        <v>0</v>
      </c>
      <c r="BW1172" s="2">
        <v>0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0</v>
      </c>
      <c r="CD1172" s="2">
        <v>0</v>
      </c>
    </row>
    <row r="1173" spans="53:82" x14ac:dyDescent="0.25">
      <c r="BA1173" s="2">
        <v>0</v>
      </c>
      <c r="BB1173" s="2" t="e">
        <v>#VALUE!</v>
      </c>
      <c r="BC1173" s="2">
        <v>0</v>
      </c>
      <c r="BD1173" s="2">
        <v>0</v>
      </c>
      <c r="BE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L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S1173" s="2">
        <v>0</v>
      </c>
      <c r="BT1173" s="2">
        <v>0</v>
      </c>
      <c r="BU1173" s="2">
        <v>0</v>
      </c>
      <c r="BV1173" s="2">
        <v>0</v>
      </c>
      <c r="BW1173" s="2">
        <v>0</v>
      </c>
      <c r="BX1173" s="2">
        <v>0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D1173" s="2">
        <v>0</v>
      </c>
    </row>
    <row r="1174" spans="53:82" x14ac:dyDescent="0.25">
      <c r="BA1174" s="2">
        <v>0</v>
      </c>
      <c r="BB1174" s="2" t="e">
        <v>#VALUE!</v>
      </c>
      <c r="BC1174" s="2">
        <v>0</v>
      </c>
      <c r="BD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L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S1174" s="2">
        <v>0</v>
      </c>
      <c r="BT1174" s="2">
        <v>0</v>
      </c>
      <c r="BU1174" s="2">
        <v>0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D1174" s="2">
        <v>0</v>
      </c>
    </row>
    <row r="1175" spans="53:82" x14ac:dyDescent="0.25">
      <c r="BA1175" s="2">
        <v>0</v>
      </c>
      <c r="BB1175" s="2" t="e">
        <v>#VALUE!</v>
      </c>
      <c r="BC1175" s="2">
        <v>0</v>
      </c>
      <c r="BD1175" s="2">
        <v>0</v>
      </c>
      <c r="BE1175" s="2">
        <v>0</v>
      </c>
      <c r="BF1175" s="2">
        <v>0</v>
      </c>
      <c r="BG1175" s="2">
        <v>0</v>
      </c>
      <c r="BH1175" s="2">
        <v>0</v>
      </c>
      <c r="BI1175" s="2">
        <v>0</v>
      </c>
      <c r="BJ1175" s="2">
        <v>0</v>
      </c>
      <c r="BK1175" s="2">
        <v>0</v>
      </c>
      <c r="BL1175" s="2">
        <v>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S1175" s="2">
        <v>0</v>
      </c>
      <c r="BT1175" s="2">
        <v>0</v>
      </c>
      <c r="BU1175" s="2">
        <v>0</v>
      </c>
      <c r="BV1175" s="2">
        <v>0</v>
      </c>
      <c r="BW1175" s="2">
        <v>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0</v>
      </c>
      <c r="CD1175" s="2">
        <v>0</v>
      </c>
    </row>
    <row r="1176" spans="53:82" x14ac:dyDescent="0.25">
      <c r="BA1176" s="2">
        <v>0</v>
      </c>
      <c r="BB1176" s="2" t="e">
        <v>#VALUE!</v>
      </c>
      <c r="BC1176" s="2">
        <v>0</v>
      </c>
      <c r="BD1176" s="2">
        <v>0</v>
      </c>
      <c r="BE1176" s="2">
        <v>0</v>
      </c>
      <c r="BF1176" s="2">
        <v>0</v>
      </c>
      <c r="BG1176" s="2">
        <v>0</v>
      </c>
      <c r="BH1176" s="2">
        <v>0</v>
      </c>
      <c r="BI1176" s="2">
        <v>0</v>
      </c>
      <c r="BJ1176" s="2">
        <v>0</v>
      </c>
      <c r="BK1176" s="2">
        <v>0</v>
      </c>
      <c r="BL1176" s="2">
        <v>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S1176" s="2">
        <v>0</v>
      </c>
      <c r="BT1176" s="2">
        <v>0</v>
      </c>
      <c r="BU1176" s="2">
        <v>0</v>
      </c>
      <c r="BV1176" s="2">
        <v>0</v>
      </c>
      <c r="BW1176" s="2">
        <v>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0</v>
      </c>
      <c r="CD1176" s="2">
        <v>0</v>
      </c>
    </row>
    <row r="1177" spans="53:82" x14ac:dyDescent="0.25">
      <c r="BA1177" s="2">
        <v>0</v>
      </c>
      <c r="BB1177" s="2" t="e">
        <v>#VALUE!</v>
      </c>
      <c r="BC1177" s="2">
        <v>0</v>
      </c>
      <c r="BD1177" s="2">
        <v>0</v>
      </c>
      <c r="BE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L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S1177" s="2">
        <v>0</v>
      </c>
      <c r="BT1177" s="2">
        <v>0</v>
      </c>
      <c r="BU1177" s="2">
        <v>0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D1177" s="2">
        <v>0</v>
      </c>
    </row>
    <row r="1178" spans="53:82" x14ac:dyDescent="0.25">
      <c r="BA1178" s="2">
        <v>0</v>
      </c>
      <c r="BB1178" s="2" t="e">
        <v>#VALUE!</v>
      </c>
      <c r="BC1178" s="2">
        <v>0</v>
      </c>
      <c r="BD1178" s="2">
        <v>0</v>
      </c>
      <c r="BE1178" s="2">
        <v>0</v>
      </c>
      <c r="BF1178" s="2">
        <v>0</v>
      </c>
      <c r="BG1178" s="2">
        <v>0</v>
      </c>
      <c r="BH1178" s="2">
        <v>0</v>
      </c>
      <c r="BI1178" s="2">
        <v>0</v>
      </c>
      <c r="BJ1178" s="2">
        <v>0</v>
      </c>
      <c r="BK1178" s="2">
        <v>0</v>
      </c>
      <c r="BL1178" s="2">
        <v>0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S1178" s="2">
        <v>0</v>
      </c>
      <c r="BT1178" s="2">
        <v>0</v>
      </c>
      <c r="BU1178" s="2">
        <v>0</v>
      </c>
      <c r="BV1178" s="2">
        <v>0</v>
      </c>
      <c r="BW1178" s="2">
        <v>0</v>
      </c>
      <c r="BX1178" s="2">
        <v>0</v>
      </c>
      <c r="BY1178" s="2">
        <v>0</v>
      </c>
      <c r="BZ1178" s="2">
        <v>0</v>
      </c>
      <c r="CA1178" s="2">
        <v>0</v>
      </c>
      <c r="CB1178" s="2">
        <v>0</v>
      </c>
      <c r="CC1178" s="2">
        <v>0</v>
      </c>
      <c r="CD1178" s="2">
        <v>0</v>
      </c>
    </row>
    <row r="1179" spans="53:82" x14ac:dyDescent="0.25">
      <c r="BA1179" s="2">
        <v>0</v>
      </c>
      <c r="BB1179" s="2" t="e">
        <v>#VALUE!</v>
      </c>
      <c r="BC1179" s="2">
        <v>0</v>
      </c>
      <c r="BD1179" s="2">
        <v>0</v>
      </c>
      <c r="BE1179" s="2">
        <v>0</v>
      </c>
      <c r="BF1179" s="2">
        <v>0</v>
      </c>
      <c r="BG1179" s="2">
        <v>0</v>
      </c>
      <c r="BH1179" s="2">
        <v>0</v>
      </c>
      <c r="BI1179" s="2">
        <v>0</v>
      </c>
      <c r="BJ1179" s="2">
        <v>0</v>
      </c>
      <c r="BK1179" s="2">
        <v>0</v>
      </c>
      <c r="BL1179" s="2">
        <v>0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S1179" s="2">
        <v>0</v>
      </c>
      <c r="BT1179" s="2">
        <v>0</v>
      </c>
      <c r="BU1179" s="2">
        <v>0</v>
      </c>
      <c r="BV1179" s="2">
        <v>0</v>
      </c>
      <c r="BW1179" s="2">
        <v>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0</v>
      </c>
      <c r="CD1179" s="2">
        <v>0</v>
      </c>
    </row>
    <row r="1180" spans="53:82" x14ac:dyDescent="0.25">
      <c r="BA1180" s="2">
        <v>0</v>
      </c>
      <c r="BB1180" s="2" t="e">
        <v>#VALUE!</v>
      </c>
      <c r="BC1180" s="2">
        <v>0</v>
      </c>
      <c r="BD1180" s="2">
        <v>0</v>
      </c>
      <c r="BE1180" s="2">
        <v>0</v>
      </c>
      <c r="BF1180" s="2">
        <v>0</v>
      </c>
      <c r="BG1180" s="2">
        <v>0</v>
      </c>
      <c r="BH1180" s="2">
        <v>0</v>
      </c>
      <c r="BI1180" s="2">
        <v>0</v>
      </c>
      <c r="BJ1180" s="2">
        <v>0</v>
      </c>
      <c r="BK1180" s="2">
        <v>0</v>
      </c>
      <c r="BL1180" s="2">
        <v>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S1180" s="2">
        <v>0</v>
      </c>
      <c r="BT1180" s="2">
        <v>0</v>
      </c>
      <c r="BU1180" s="2">
        <v>0</v>
      </c>
      <c r="BV1180" s="2">
        <v>0</v>
      </c>
      <c r="BW1180" s="2">
        <v>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0</v>
      </c>
      <c r="CD1180" s="2">
        <v>0</v>
      </c>
    </row>
    <row r="1181" spans="53:82" x14ac:dyDescent="0.25">
      <c r="BA1181" s="2">
        <v>0</v>
      </c>
      <c r="BB1181" s="2" t="e">
        <v>#VALUE!</v>
      </c>
      <c r="BC1181" s="2">
        <v>0</v>
      </c>
      <c r="BD1181" s="2">
        <v>0</v>
      </c>
      <c r="BE1181" s="2">
        <v>0</v>
      </c>
      <c r="BF1181" s="2">
        <v>0</v>
      </c>
      <c r="BG1181" s="2">
        <v>0</v>
      </c>
      <c r="BH1181" s="2">
        <v>0</v>
      </c>
      <c r="BI1181" s="2">
        <v>0</v>
      </c>
      <c r="BJ1181" s="2">
        <v>0</v>
      </c>
      <c r="BK1181" s="2">
        <v>0</v>
      </c>
      <c r="BL1181" s="2">
        <v>0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S1181" s="2">
        <v>0</v>
      </c>
      <c r="BT1181" s="2">
        <v>0</v>
      </c>
      <c r="BU1181" s="2">
        <v>0</v>
      </c>
      <c r="BV1181" s="2">
        <v>0</v>
      </c>
      <c r="BW1181" s="2">
        <v>0</v>
      </c>
      <c r="BX1181" s="2">
        <v>0</v>
      </c>
      <c r="BY1181" s="2">
        <v>0</v>
      </c>
      <c r="BZ1181" s="2">
        <v>0</v>
      </c>
      <c r="CA1181" s="2">
        <v>0</v>
      </c>
      <c r="CB1181" s="2">
        <v>0</v>
      </c>
      <c r="CC1181" s="2">
        <v>0</v>
      </c>
      <c r="CD1181" s="2">
        <v>0</v>
      </c>
    </row>
    <row r="1182" spans="53:82" x14ac:dyDescent="0.25">
      <c r="BA1182" s="2">
        <v>0</v>
      </c>
      <c r="BB1182" s="2" t="e">
        <v>#VALUE!</v>
      </c>
      <c r="BC1182" s="2">
        <v>0</v>
      </c>
      <c r="BD1182" s="2">
        <v>0</v>
      </c>
      <c r="BE1182" s="2">
        <v>0</v>
      </c>
      <c r="BF1182" s="2">
        <v>0</v>
      </c>
      <c r="BG1182" s="2">
        <v>0</v>
      </c>
      <c r="BH1182" s="2">
        <v>0</v>
      </c>
      <c r="BI1182" s="2">
        <v>0</v>
      </c>
      <c r="BJ1182" s="2">
        <v>0</v>
      </c>
      <c r="BK1182" s="2">
        <v>0</v>
      </c>
      <c r="BL1182" s="2">
        <v>0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S1182" s="2">
        <v>0</v>
      </c>
      <c r="BT1182" s="2">
        <v>0</v>
      </c>
      <c r="BU1182" s="2">
        <v>0</v>
      </c>
      <c r="BV1182" s="2">
        <v>0</v>
      </c>
      <c r="BW1182" s="2">
        <v>0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0</v>
      </c>
      <c r="CD1182" s="2">
        <v>0</v>
      </c>
    </row>
    <row r="1183" spans="53:82" x14ac:dyDescent="0.25">
      <c r="BA1183" s="2">
        <v>0</v>
      </c>
      <c r="BB1183" s="2" t="e">
        <v>#VALUE!</v>
      </c>
      <c r="BC1183" s="2">
        <v>0</v>
      </c>
      <c r="BD1183" s="2">
        <v>0</v>
      </c>
      <c r="BE1183" s="2">
        <v>0</v>
      </c>
      <c r="BF1183" s="2">
        <v>0</v>
      </c>
      <c r="BG1183" s="2">
        <v>0</v>
      </c>
      <c r="BH1183" s="2">
        <v>0</v>
      </c>
      <c r="BI1183" s="2">
        <v>0</v>
      </c>
      <c r="BJ1183" s="2">
        <v>0</v>
      </c>
      <c r="BK1183" s="2">
        <v>0</v>
      </c>
      <c r="BL1183" s="2">
        <v>0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S1183" s="2">
        <v>0</v>
      </c>
      <c r="BT1183" s="2">
        <v>0</v>
      </c>
      <c r="BU1183" s="2">
        <v>0</v>
      </c>
      <c r="BV1183" s="2">
        <v>0</v>
      </c>
      <c r="BW1183" s="2">
        <v>0</v>
      </c>
      <c r="BX1183" s="2">
        <v>0</v>
      </c>
      <c r="BY1183" s="2">
        <v>0</v>
      </c>
      <c r="BZ1183" s="2">
        <v>0</v>
      </c>
      <c r="CA1183" s="2">
        <v>0</v>
      </c>
      <c r="CB1183" s="2">
        <v>0</v>
      </c>
      <c r="CC1183" s="2">
        <v>0</v>
      </c>
      <c r="CD1183" s="2">
        <v>0</v>
      </c>
    </row>
    <row r="1184" spans="53:82" x14ac:dyDescent="0.25">
      <c r="BA1184" s="2">
        <v>0</v>
      </c>
      <c r="BB1184" s="2" t="e">
        <v>#VALUE!</v>
      </c>
      <c r="BC1184" s="2">
        <v>0</v>
      </c>
      <c r="BD1184" s="2">
        <v>0</v>
      </c>
      <c r="BE1184" s="2">
        <v>0</v>
      </c>
      <c r="BF1184" s="2">
        <v>0</v>
      </c>
      <c r="BG1184" s="2">
        <v>0</v>
      </c>
      <c r="BH1184" s="2">
        <v>0</v>
      </c>
      <c r="BI1184" s="2">
        <v>0</v>
      </c>
      <c r="BJ1184" s="2">
        <v>0</v>
      </c>
      <c r="BK1184" s="2">
        <v>0</v>
      </c>
      <c r="BL1184" s="2">
        <v>0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S1184" s="2">
        <v>0</v>
      </c>
      <c r="BT1184" s="2">
        <v>0</v>
      </c>
      <c r="BU1184" s="2">
        <v>0</v>
      </c>
      <c r="BV1184" s="2">
        <v>0</v>
      </c>
      <c r="BW1184" s="2">
        <v>0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0</v>
      </c>
      <c r="CD1184" s="2">
        <v>0</v>
      </c>
    </row>
    <row r="1185" spans="53:82" x14ac:dyDescent="0.25">
      <c r="BA1185" s="2">
        <v>0</v>
      </c>
      <c r="BB1185" s="2" t="e">
        <v>#VALUE!</v>
      </c>
      <c r="BC1185" s="2">
        <v>0</v>
      </c>
      <c r="BD1185" s="2">
        <v>0</v>
      </c>
      <c r="BE1185" s="2">
        <v>0</v>
      </c>
      <c r="BF1185" s="2">
        <v>0</v>
      </c>
      <c r="BG1185" s="2">
        <v>0</v>
      </c>
      <c r="BH1185" s="2">
        <v>0</v>
      </c>
      <c r="BI1185" s="2">
        <v>0</v>
      </c>
      <c r="BJ1185" s="2">
        <v>0</v>
      </c>
      <c r="BK1185" s="2">
        <v>0</v>
      </c>
      <c r="BL1185" s="2">
        <v>0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S1185" s="2">
        <v>0</v>
      </c>
      <c r="BT1185" s="2">
        <v>0</v>
      </c>
      <c r="BU1185" s="2">
        <v>0</v>
      </c>
      <c r="BV1185" s="2">
        <v>0</v>
      </c>
      <c r="BW1185" s="2">
        <v>0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0</v>
      </c>
      <c r="CD1185" s="2">
        <v>0</v>
      </c>
    </row>
    <row r="1186" spans="53:82" x14ac:dyDescent="0.25">
      <c r="BA1186" s="2">
        <v>0</v>
      </c>
      <c r="BB1186" s="2" t="e">
        <v>#VALUE!</v>
      </c>
      <c r="BC1186" s="2">
        <v>0</v>
      </c>
      <c r="BD1186" s="2">
        <v>0</v>
      </c>
      <c r="BE1186" s="2">
        <v>0</v>
      </c>
      <c r="BF1186" s="2">
        <v>0</v>
      </c>
      <c r="BG1186" s="2">
        <v>0</v>
      </c>
      <c r="BH1186" s="2">
        <v>0</v>
      </c>
      <c r="BI1186" s="2">
        <v>0</v>
      </c>
      <c r="BJ1186" s="2">
        <v>0</v>
      </c>
      <c r="BK1186" s="2">
        <v>0</v>
      </c>
      <c r="BL1186" s="2">
        <v>0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S1186" s="2">
        <v>0</v>
      </c>
      <c r="BT1186" s="2">
        <v>0</v>
      </c>
      <c r="BU1186" s="2">
        <v>0</v>
      </c>
      <c r="BV1186" s="2">
        <v>0</v>
      </c>
      <c r="BW1186" s="2">
        <v>0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0</v>
      </c>
      <c r="CD1186" s="2">
        <v>0</v>
      </c>
    </row>
    <row r="1187" spans="53:82" x14ac:dyDescent="0.25">
      <c r="BA1187" s="2">
        <v>0</v>
      </c>
      <c r="BB1187" s="2" t="e">
        <v>#VALUE!</v>
      </c>
      <c r="BC1187" s="2">
        <v>0</v>
      </c>
      <c r="BD1187" s="2">
        <v>0</v>
      </c>
      <c r="BE1187" s="2">
        <v>0</v>
      </c>
      <c r="BF1187" s="2">
        <v>0</v>
      </c>
      <c r="BG1187" s="2">
        <v>0</v>
      </c>
      <c r="BH1187" s="2">
        <v>0</v>
      </c>
      <c r="BI1187" s="2">
        <v>0</v>
      </c>
      <c r="BJ1187" s="2">
        <v>0</v>
      </c>
      <c r="BK1187" s="2">
        <v>0</v>
      </c>
      <c r="BL1187" s="2">
        <v>0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S1187" s="2">
        <v>0</v>
      </c>
      <c r="BT1187" s="2">
        <v>0</v>
      </c>
      <c r="BU1187" s="2">
        <v>0</v>
      </c>
      <c r="BV1187" s="2">
        <v>0</v>
      </c>
      <c r="BW1187" s="2">
        <v>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0</v>
      </c>
      <c r="CD1187" s="2">
        <v>0</v>
      </c>
    </row>
    <row r="1188" spans="53:82" x14ac:dyDescent="0.25">
      <c r="BA1188" s="2">
        <v>0</v>
      </c>
      <c r="BB1188" s="2" t="e">
        <v>#VALUE!</v>
      </c>
      <c r="BC1188" s="2">
        <v>0</v>
      </c>
      <c r="BD1188" s="2">
        <v>0</v>
      </c>
      <c r="BE1188" s="2">
        <v>0</v>
      </c>
      <c r="BF1188" s="2">
        <v>0</v>
      </c>
      <c r="BG1188" s="2">
        <v>0</v>
      </c>
      <c r="BH1188" s="2">
        <v>0</v>
      </c>
      <c r="BI1188" s="2">
        <v>0</v>
      </c>
      <c r="BJ1188" s="2">
        <v>0</v>
      </c>
      <c r="BK1188" s="2">
        <v>0</v>
      </c>
      <c r="BL1188" s="2">
        <v>0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S1188" s="2">
        <v>0</v>
      </c>
      <c r="BT1188" s="2">
        <v>0</v>
      </c>
      <c r="BU1188" s="2">
        <v>0</v>
      </c>
      <c r="BV1188" s="2">
        <v>0</v>
      </c>
      <c r="BW1188" s="2">
        <v>0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0</v>
      </c>
      <c r="CD1188" s="2">
        <v>0</v>
      </c>
    </row>
    <row r="1189" spans="53:82" x14ac:dyDescent="0.25">
      <c r="BA1189" s="2">
        <v>0</v>
      </c>
      <c r="BB1189" s="2" t="e">
        <v>#VALUE!</v>
      </c>
      <c r="BC1189" s="2">
        <v>0</v>
      </c>
      <c r="BD1189" s="2">
        <v>0</v>
      </c>
      <c r="BE1189" s="2">
        <v>0</v>
      </c>
      <c r="BF1189" s="2">
        <v>0</v>
      </c>
      <c r="BG1189" s="2">
        <v>0</v>
      </c>
      <c r="BH1189" s="2">
        <v>0</v>
      </c>
      <c r="BI1189" s="2">
        <v>0</v>
      </c>
      <c r="BJ1189" s="2">
        <v>0</v>
      </c>
      <c r="BK1189" s="2">
        <v>0</v>
      </c>
      <c r="BL1189" s="2">
        <v>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S1189" s="2">
        <v>0</v>
      </c>
      <c r="BT1189" s="2">
        <v>0</v>
      </c>
      <c r="BU1189" s="2">
        <v>0</v>
      </c>
      <c r="BV1189" s="2">
        <v>0</v>
      </c>
      <c r="BW1189" s="2">
        <v>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0</v>
      </c>
      <c r="CD1189" s="2">
        <v>0</v>
      </c>
    </row>
    <row r="1190" spans="53:82" x14ac:dyDescent="0.25">
      <c r="BA1190" s="2">
        <v>0</v>
      </c>
      <c r="BB1190" s="2" t="e">
        <v>#VALUE!</v>
      </c>
      <c r="BC1190" s="2">
        <v>0</v>
      </c>
      <c r="BD1190" s="2">
        <v>0</v>
      </c>
      <c r="BE1190" s="2">
        <v>0</v>
      </c>
      <c r="BF1190" s="2">
        <v>0</v>
      </c>
      <c r="BG1190" s="2">
        <v>0</v>
      </c>
      <c r="BH1190" s="2">
        <v>0</v>
      </c>
      <c r="BI1190" s="2">
        <v>0</v>
      </c>
      <c r="BJ1190" s="2">
        <v>0</v>
      </c>
      <c r="BK1190" s="2">
        <v>0</v>
      </c>
      <c r="BL1190" s="2">
        <v>0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S1190" s="2">
        <v>0</v>
      </c>
      <c r="BT1190" s="2">
        <v>0</v>
      </c>
      <c r="BU1190" s="2">
        <v>0</v>
      </c>
      <c r="BV1190" s="2">
        <v>0</v>
      </c>
      <c r="BW1190" s="2">
        <v>0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0</v>
      </c>
      <c r="CD1190" s="2">
        <v>0</v>
      </c>
    </row>
    <row r="1191" spans="53:82" x14ac:dyDescent="0.25">
      <c r="BA1191" s="2">
        <v>0</v>
      </c>
      <c r="BB1191" s="2" t="e">
        <v>#VALUE!</v>
      </c>
      <c r="BC1191" s="2">
        <v>0</v>
      </c>
      <c r="BD1191" s="2">
        <v>0</v>
      </c>
      <c r="BE1191" s="2">
        <v>0</v>
      </c>
      <c r="BF1191" s="2">
        <v>0</v>
      </c>
      <c r="BG1191" s="2">
        <v>0</v>
      </c>
      <c r="BH1191" s="2">
        <v>0</v>
      </c>
      <c r="BI1191" s="2">
        <v>0</v>
      </c>
      <c r="BJ1191" s="2">
        <v>0</v>
      </c>
      <c r="BK1191" s="2">
        <v>0</v>
      </c>
      <c r="BL1191" s="2">
        <v>0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S1191" s="2">
        <v>0</v>
      </c>
      <c r="BT1191" s="2">
        <v>0</v>
      </c>
      <c r="BU1191" s="2">
        <v>0</v>
      </c>
      <c r="BV1191" s="2">
        <v>0</v>
      </c>
      <c r="BW1191" s="2">
        <v>0</v>
      </c>
      <c r="BX1191" s="2">
        <v>0</v>
      </c>
      <c r="BY1191" s="2">
        <v>0</v>
      </c>
      <c r="BZ1191" s="2">
        <v>0</v>
      </c>
      <c r="CA1191" s="2">
        <v>0</v>
      </c>
      <c r="CB1191" s="2">
        <v>0</v>
      </c>
      <c r="CC1191" s="2">
        <v>0</v>
      </c>
      <c r="CD1191" s="2">
        <v>0</v>
      </c>
    </row>
    <row r="1192" spans="53:82" x14ac:dyDescent="0.25">
      <c r="BA1192" s="2">
        <v>0</v>
      </c>
      <c r="BB1192" s="2" t="e">
        <v>#VALUE!</v>
      </c>
      <c r="BC1192" s="2">
        <v>0</v>
      </c>
      <c r="BD1192" s="2">
        <v>0</v>
      </c>
      <c r="BE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L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>
        <v>0</v>
      </c>
      <c r="BS1192" s="2">
        <v>0</v>
      </c>
      <c r="BT1192" s="2">
        <v>0</v>
      </c>
      <c r="BU1192" s="2">
        <v>0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D1192" s="2">
        <v>0</v>
      </c>
    </row>
    <row r="1193" spans="53:82" x14ac:dyDescent="0.25">
      <c r="BA1193" s="2">
        <v>0</v>
      </c>
      <c r="BB1193" s="2" t="e">
        <v>#VALUE!</v>
      </c>
      <c r="BC1193" s="2">
        <v>0</v>
      </c>
      <c r="BD1193" s="2">
        <v>0</v>
      </c>
      <c r="BE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L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S1193" s="2">
        <v>0</v>
      </c>
      <c r="BT1193" s="2">
        <v>0</v>
      </c>
      <c r="BU1193" s="2">
        <v>0</v>
      </c>
      <c r="BV1193" s="2">
        <v>0</v>
      </c>
      <c r="BW1193" s="2">
        <v>0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D1193" s="2">
        <v>0</v>
      </c>
    </row>
    <row r="1194" spans="53:82" x14ac:dyDescent="0.25">
      <c r="BA1194" s="2">
        <v>0</v>
      </c>
      <c r="BB1194" s="2" t="e">
        <v>#VALUE!</v>
      </c>
      <c r="BC1194" s="2">
        <v>0</v>
      </c>
      <c r="BD1194" s="2">
        <v>0</v>
      </c>
      <c r="BE1194" s="2">
        <v>0</v>
      </c>
      <c r="BF1194" s="2">
        <v>0</v>
      </c>
      <c r="BG1194" s="2">
        <v>0</v>
      </c>
      <c r="BH1194" s="2">
        <v>0</v>
      </c>
      <c r="BI1194" s="2">
        <v>0</v>
      </c>
      <c r="BJ1194" s="2">
        <v>0</v>
      </c>
      <c r="BK1194" s="2">
        <v>0</v>
      </c>
      <c r="BL1194" s="2">
        <v>0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S1194" s="2">
        <v>0</v>
      </c>
      <c r="BT1194" s="2">
        <v>0</v>
      </c>
      <c r="BU1194" s="2">
        <v>0</v>
      </c>
      <c r="BV1194" s="2">
        <v>0</v>
      </c>
      <c r="BW1194" s="2">
        <v>0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0</v>
      </c>
      <c r="CD1194" s="2">
        <v>0</v>
      </c>
    </row>
    <row r="1195" spans="53:82" x14ac:dyDescent="0.25">
      <c r="BA1195" s="2">
        <v>0</v>
      </c>
      <c r="BB1195" s="2" t="e">
        <v>#VALUE!</v>
      </c>
      <c r="BC1195" s="2">
        <v>0</v>
      </c>
      <c r="BD1195" s="2">
        <v>0</v>
      </c>
      <c r="BE1195" s="2">
        <v>0</v>
      </c>
      <c r="BF1195" s="2">
        <v>0</v>
      </c>
      <c r="BG1195" s="2">
        <v>0</v>
      </c>
      <c r="BH1195" s="2">
        <v>0</v>
      </c>
      <c r="BI1195" s="2">
        <v>0</v>
      </c>
      <c r="BJ1195" s="2">
        <v>0</v>
      </c>
      <c r="BK1195" s="2">
        <v>0</v>
      </c>
      <c r="BL1195" s="2">
        <v>0</v>
      </c>
      <c r="BM1195" s="2">
        <v>0</v>
      </c>
      <c r="BN1195" s="2">
        <v>0</v>
      </c>
      <c r="BO1195" s="2">
        <v>0</v>
      </c>
      <c r="BP1195" s="2">
        <v>0</v>
      </c>
      <c r="BQ1195" s="2">
        <v>0</v>
      </c>
      <c r="BS1195" s="2">
        <v>0</v>
      </c>
      <c r="BT1195" s="2">
        <v>0</v>
      </c>
      <c r="BU1195" s="2">
        <v>0</v>
      </c>
      <c r="BV1195" s="2">
        <v>0</v>
      </c>
      <c r="BW1195" s="2">
        <v>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0</v>
      </c>
      <c r="CD1195" s="2">
        <v>0</v>
      </c>
    </row>
    <row r="1196" spans="53:82" x14ac:dyDescent="0.25">
      <c r="BA1196" s="2">
        <v>0</v>
      </c>
      <c r="BB1196" s="2" t="e">
        <v>#VALUE!</v>
      </c>
      <c r="BC1196" s="2">
        <v>0</v>
      </c>
      <c r="BD1196" s="2">
        <v>0</v>
      </c>
      <c r="BE1196" s="2">
        <v>0</v>
      </c>
      <c r="BF1196" s="2">
        <v>0</v>
      </c>
      <c r="BG1196" s="2">
        <v>0</v>
      </c>
      <c r="BH1196" s="2">
        <v>0</v>
      </c>
      <c r="BI1196" s="2">
        <v>0</v>
      </c>
      <c r="BJ1196" s="2">
        <v>0</v>
      </c>
      <c r="BK1196" s="2">
        <v>0</v>
      </c>
      <c r="BL1196" s="2">
        <v>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S1196" s="2">
        <v>0</v>
      </c>
      <c r="BT1196" s="2">
        <v>0</v>
      </c>
      <c r="BU1196" s="2">
        <v>0</v>
      </c>
      <c r="BV1196" s="2">
        <v>0</v>
      </c>
      <c r="BW1196" s="2">
        <v>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0</v>
      </c>
      <c r="CD1196" s="2">
        <v>0</v>
      </c>
    </row>
    <row r="1197" spans="53:82" x14ac:dyDescent="0.25">
      <c r="BA1197" s="2">
        <v>0</v>
      </c>
      <c r="BB1197" s="2" t="e">
        <v>#VALUE!</v>
      </c>
      <c r="BC1197" s="2">
        <v>0</v>
      </c>
      <c r="BD1197" s="2">
        <v>0</v>
      </c>
      <c r="BE1197" s="2">
        <v>0</v>
      </c>
      <c r="BF1197" s="2">
        <v>0</v>
      </c>
      <c r="BG1197" s="2">
        <v>0</v>
      </c>
      <c r="BH1197" s="2">
        <v>0</v>
      </c>
      <c r="BI1197" s="2">
        <v>0</v>
      </c>
      <c r="BJ1197" s="2">
        <v>0</v>
      </c>
      <c r="BK1197" s="2">
        <v>0</v>
      </c>
      <c r="BL1197" s="2">
        <v>0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S1197" s="2">
        <v>0</v>
      </c>
      <c r="BT1197" s="2">
        <v>0</v>
      </c>
      <c r="BU1197" s="2">
        <v>0</v>
      </c>
      <c r="BV1197" s="2">
        <v>0</v>
      </c>
      <c r="BW1197" s="2">
        <v>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0</v>
      </c>
      <c r="CD1197" s="2">
        <v>0</v>
      </c>
    </row>
    <row r="1198" spans="53:82" x14ac:dyDescent="0.25">
      <c r="BA1198" s="2">
        <v>0</v>
      </c>
      <c r="BB1198" s="2" t="e">
        <v>#VALUE!</v>
      </c>
      <c r="BC1198" s="2">
        <v>0</v>
      </c>
      <c r="BD1198" s="2">
        <v>0</v>
      </c>
      <c r="BE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L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S1198" s="2">
        <v>0</v>
      </c>
      <c r="BT1198" s="2">
        <v>0</v>
      </c>
      <c r="BU1198" s="2">
        <v>0</v>
      </c>
      <c r="BV1198" s="2">
        <v>0</v>
      </c>
      <c r="BW1198" s="2">
        <v>0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D1198" s="2">
        <v>0</v>
      </c>
    </row>
    <row r="1199" spans="53:82" x14ac:dyDescent="0.25">
      <c r="BA1199" s="2">
        <v>0</v>
      </c>
      <c r="BB1199" s="2" t="e">
        <v>#VALUE!</v>
      </c>
      <c r="BC1199" s="2">
        <v>0</v>
      </c>
      <c r="BD1199" s="2">
        <v>0</v>
      </c>
      <c r="BE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L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S1199" s="2">
        <v>0</v>
      </c>
      <c r="BT1199" s="2">
        <v>0</v>
      </c>
      <c r="BU1199" s="2">
        <v>0</v>
      </c>
      <c r="BV1199" s="2">
        <v>0</v>
      </c>
      <c r="BW1199" s="2">
        <v>0</v>
      </c>
      <c r="BX1199" s="2">
        <v>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D1199" s="2">
        <v>0</v>
      </c>
    </row>
    <row r="1200" spans="53:82" x14ac:dyDescent="0.25">
      <c r="BA1200" s="2">
        <v>0</v>
      </c>
      <c r="BB1200" s="2" t="e">
        <v>#VALUE!</v>
      </c>
      <c r="BC1200" s="2">
        <v>0</v>
      </c>
      <c r="BD1200" s="2">
        <v>0</v>
      </c>
      <c r="BE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L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S1200" s="2">
        <v>0</v>
      </c>
      <c r="BT1200" s="2">
        <v>0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D1200" s="2">
        <v>0</v>
      </c>
    </row>
    <row r="1201" spans="53:82" x14ac:dyDescent="0.25">
      <c r="BA1201" s="2">
        <v>0</v>
      </c>
      <c r="BB1201" s="2" t="e">
        <v>#VALUE!</v>
      </c>
      <c r="BC1201" s="2">
        <v>0</v>
      </c>
      <c r="BD1201" s="2">
        <v>0</v>
      </c>
      <c r="BE1201" s="2">
        <v>0</v>
      </c>
      <c r="BF1201" s="2">
        <v>0</v>
      </c>
      <c r="BG1201" s="2">
        <v>0</v>
      </c>
      <c r="BH1201" s="2">
        <v>0</v>
      </c>
      <c r="BI1201" s="2">
        <v>0</v>
      </c>
      <c r="BJ1201" s="2">
        <v>0</v>
      </c>
      <c r="BK1201" s="2">
        <v>0</v>
      </c>
      <c r="BL1201" s="2">
        <v>0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S1201" s="2">
        <v>0</v>
      </c>
      <c r="BT1201" s="2">
        <v>0</v>
      </c>
      <c r="BU1201" s="2">
        <v>0</v>
      </c>
      <c r="BV1201" s="2">
        <v>0</v>
      </c>
      <c r="BW1201" s="2">
        <v>0</v>
      </c>
      <c r="BX1201" s="2">
        <v>0</v>
      </c>
      <c r="BY1201" s="2">
        <v>0</v>
      </c>
      <c r="BZ1201" s="2">
        <v>0</v>
      </c>
      <c r="CA1201" s="2">
        <v>0</v>
      </c>
      <c r="CB1201" s="2">
        <v>0</v>
      </c>
      <c r="CC1201" s="2">
        <v>0</v>
      </c>
      <c r="CD1201" s="2">
        <v>0</v>
      </c>
    </row>
    <row r="1202" spans="53:82" x14ac:dyDescent="0.25">
      <c r="BA1202" s="2">
        <v>0</v>
      </c>
      <c r="BB1202" s="2" t="e">
        <v>#VALUE!</v>
      </c>
      <c r="BC1202" s="2">
        <v>0</v>
      </c>
      <c r="BD1202" s="2">
        <v>0</v>
      </c>
      <c r="BE1202" s="2">
        <v>0</v>
      </c>
      <c r="BF1202" s="2">
        <v>0</v>
      </c>
      <c r="BG1202" s="2">
        <v>0</v>
      </c>
      <c r="BH1202" s="2">
        <v>0</v>
      </c>
      <c r="BI1202" s="2">
        <v>0</v>
      </c>
      <c r="BJ1202" s="2">
        <v>0</v>
      </c>
      <c r="BK1202" s="2">
        <v>0</v>
      </c>
      <c r="BL1202" s="2">
        <v>0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S1202" s="2">
        <v>0</v>
      </c>
      <c r="BT1202" s="2">
        <v>0</v>
      </c>
      <c r="BU1202" s="2">
        <v>0</v>
      </c>
      <c r="BV1202" s="2">
        <v>0</v>
      </c>
      <c r="BW1202" s="2">
        <v>0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0</v>
      </c>
      <c r="CD1202" s="2">
        <v>0</v>
      </c>
    </row>
    <row r="1203" spans="53:82" x14ac:dyDescent="0.25">
      <c r="BA1203" s="2">
        <v>0</v>
      </c>
      <c r="BB1203" s="2" t="e">
        <v>#VALUE!</v>
      </c>
      <c r="BC1203" s="2">
        <v>0</v>
      </c>
      <c r="BD1203" s="2">
        <v>0</v>
      </c>
      <c r="BE1203" s="2">
        <v>0</v>
      </c>
      <c r="BF1203" s="2">
        <v>0</v>
      </c>
      <c r="BG1203" s="2">
        <v>0</v>
      </c>
      <c r="BH1203" s="2">
        <v>0</v>
      </c>
      <c r="BI1203" s="2">
        <v>0</v>
      </c>
      <c r="BJ1203" s="2">
        <v>0</v>
      </c>
      <c r="BK1203" s="2">
        <v>0</v>
      </c>
      <c r="BL1203" s="2">
        <v>0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S1203" s="2">
        <v>0</v>
      </c>
      <c r="BT1203" s="2">
        <v>0</v>
      </c>
      <c r="BU1203" s="2">
        <v>0</v>
      </c>
      <c r="BV1203" s="2">
        <v>0</v>
      </c>
      <c r="BW1203" s="2">
        <v>0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0</v>
      </c>
      <c r="CD1203" s="2">
        <v>0</v>
      </c>
    </row>
    <row r="1204" spans="53:82" x14ac:dyDescent="0.25">
      <c r="BA1204" s="2">
        <v>0</v>
      </c>
      <c r="BB1204" s="2" t="e">
        <v>#VALUE!</v>
      </c>
      <c r="BC1204" s="2">
        <v>0</v>
      </c>
      <c r="BD1204" s="2">
        <v>0</v>
      </c>
      <c r="BE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L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S1204" s="2">
        <v>0</v>
      </c>
      <c r="BT1204" s="2">
        <v>0</v>
      </c>
      <c r="BU1204" s="2">
        <v>0</v>
      </c>
      <c r="BV1204" s="2">
        <v>0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D1204" s="2">
        <v>0</v>
      </c>
    </row>
    <row r="1205" spans="53:82" x14ac:dyDescent="0.25">
      <c r="BA1205" s="2">
        <v>0</v>
      </c>
      <c r="BB1205" s="2" t="e">
        <v>#VALUE!</v>
      </c>
      <c r="BC1205" s="2">
        <v>0</v>
      </c>
      <c r="BD1205" s="2">
        <v>0</v>
      </c>
      <c r="BE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L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S1205" s="2">
        <v>0</v>
      </c>
      <c r="BT1205" s="2">
        <v>0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D1205" s="2">
        <v>0</v>
      </c>
    </row>
    <row r="1206" spans="53:82" x14ac:dyDescent="0.25">
      <c r="BA1206" s="2">
        <v>0</v>
      </c>
      <c r="BB1206" s="2" t="e">
        <v>#VALUE!</v>
      </c>
      <c r="BC1206" s="2">
        <v>0</v>
      </c>
      <c r="BD1206" s="2">
        <v>0</v>
      </c>
      <c r="BE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L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S1206" s="2">
        <v>0</v>
      </c>
      <c r="BT1206" s="2">
        <v>0</v>
      </c>
      <c r="BU1206" s="2">
        <v>0</v>
      </c>
      <c r="BV1206" s="2">
        <v>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D1206" s="2">
        <v>0</v>
      </c>
    </row>
    <row r="1207" spans="53:82" x14ac:dyDescent="0.25">
      <c r="BA1207" s="2">
        <v>0</v>
      </c>
      <c r="BB1207" s="2" t="e">
        <v>#VALUE!</v>
      </c>
      <c r="BC1207" s="2">
        <v>0</v>
      </c>
      <c r="BD1207" s="2">
        <v>0</v>
      </c>
      <c r="BE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L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S1207" s="2">
        <v>0</v>
      </c>
      <c r="BT1207" s="2">
        <v>0</v>
      </c>
      <c r="BU1207" s="2">
        <v>0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D1207" s="2">
        <v>0</v>
      </c>
    </row>
    <row r="1208" spans="53:82" x14ac:dyDescent="0.25">
      <c r="BA1208" s="2">
        <v>0</v>
      </c>
      <c r="BB1208" s="2" t="e">
        <v>#VALUE!</v>
      </c>
      <c r="BC1208" s="2">
        <v>0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>
        <v>0</v>
      </c>
      <c r="BJ1208" s="2">
        <v>0</v>
      </c>
      <c r="BK1208" s="2">
        <v>0</v>
      </c>
      <c r="BL1208" s="2">
        <v>0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S1208" s="2">
        <v>0</v>
      </c>
      <c r="BT1208" s="2">
        <v>0</v>
      </c>
      <c r="BU1208" s="2">
        <v>0</v>
      </c>
      <c r="BV1208" s="2">
        <v>0</v>
      </c>
      <c r="BW1208" s="2">
        <v>0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0</v>
      </c>
      <c r="CD1208" s="2">
        <v>0</v>
      </c>
    </row>
    <row r="1209" spans="53:82" x14ac:dyDescent="0.25">
      <c r="BA1209" s="2">
        <v>0</v>
      </c>
      <c r="BB1209" s="2" t="e">
        <v>#VALUE!</v>
      </c>
      <c r="BC1209" s="2">
        <v>0</v>
      </c>
      <c r="BD1209" s="2">
        <v>0</v>
      </c>
      <c r="BE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L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S1209" s="2">
        <v>0</v>
      </c>
      <c r="BT1209" s="2">
        <v>0</v>
      </c>
      <c r="BU1209" s="2">
        <v>0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D1209" s="2">
        <v>0</v>
      </c>
    </row>
    <row r="1210" spans="53:82" x14ac:dyDescent="0.25">
      <c r="BA1210" s="2">
        <v>0</v>
      </c>
      <c r="BB1210" s="2" t="e">
        <v>#VALUE!</v>
      </c>
      <c r="BC1210" s="2">
        <v>0</v>
      </c>
      <c r="BD1210" s="2">
        <v>0</v>
      </c>
      <c r="BE1210" s="2">
        <v>0</v>
      </c>
      <c r="BF1210" s="2">
        <v>0</v>
      </c>
      <c r="BG1210" s="2">
        <v>0</v>
      </c>
      <c r="BH1210" s="2">
        <v>0</v>
      </c>
      <c r="BI1210" s="2">
        <v>0</v>
      </c>
      <c r="BJ1210" s="2">
        <v>0</v>
      </c>
      <c r="BK1210" s="2">
        <v>0</v>
      </c>
      <c r="BL1210" s="2">
        <v>0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S1210" s="2">
        <v>0</v>
      </c>
      <c r="BT1210" s="2">
        <v>0</v>
      </c>
      <c r="BU1210" s="2">
        <v>0</v>
      </c>
      <c r="BV1210" s="2">
        <v>0</v>
      </c>
      <c r="BW1210" s="2">
        <v>0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0</v>
      </c>
      <c r="CD1210" s="2">
        <v>0</v>
      </c>
    </row>
    <row r="1211" spans="53:82" x14ac:dyDescent="0.25">
      <c r="BA1211" s="2">
        <v>0</v>
      </c>
      <c r="BB1211" s="2" t="e">
        <v>#VALUE!</v>
      </c>
      <c r="BC1211" s="2">
        <v>0</v>
      </c>
      <c r="BD1211" s="2">
        <v>0</v>
      </c>
      <c r="BE1211" s="2">
        <v>0</v>
      </c>
      <c r="BF1211" s="2">
        <v>0</v>
      </c>
      <c r="BG1211" s="2">
        <v>0</v>
      </c>
      <c r="BH1211" s="2">
        <v>0</v>
      </c>
      <c r="BI1211" s="2">
        <v>0</v>
      </c>
      <c r="BJ1211" s="2">
        <v>0</v>
      </c>
      <c r="BK1211" s="2">
        <v>0</v>
      </c>
      <c r="BL1211" s="2">
        <v>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S1211" s="2">
        <v>0</v>
      </c>
      <c r="BT1211" s="2">
        <v>0</v>
      </c>
      <c r="BU1211" s="2">
        <v>0</v>
      </c>
      <c r="BV1211" s="2">
        <v>0</v>
      </c>
      <c r="BW1211" s="2">
        <v>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0</v>
      </c>
      <c r="CD1211" s="2">
        <v>0</v>
      </c>
    </row>
    <row r="1212" spans="53:82" x14ac:dyDescent="0.25">
      <c r="BA1212" s="2">
        <v>0</v>
      </c>
      <c r="BB1212" s="2" t="e">
        <v>#VALUE!</v>
      </c>
      <c r="BC1212" s="2">
        <v>0</v>
      </c>
      <c r="BD1212" s="2">
        <v>0</v>
      </c>
      <c r="BE1212" s="2">
        <v>0</v>
      </c>
      <c r="BF1212" s="2">
        <v>0</v>
      </c>
      <c r="BG1212" s="2">
        <v>0</v>
      </c>
      <c r="BH1212" s="2">
        <v>0</v>
      </c>
      <c r="BI1212" s="2">
        <v>0</v>
      </c>
      <c r="BJ1212" s="2">
        <v>0</v>
      </c>
      <c r="BK1212" s="2">
        <v>0</v>
      </c>
      <c r="BL1212" s="2">
        <v>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S1212" s="2">
        <v>0</v>
      </c>
      <c r="BT1212" s="2">
        <v>0</v>
      </c>
      <c r="BU1212" s="2">
        <v>0</v>
      </c>
      <c r="BV1212" s="2">
        <v>0</v>
      </c>
      <c r="BW1212" s="2">
        <v>0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0</v>
      </c>
      <c r="CD1212" s="2">
        <v>0</v>
      </c>
    </row>
    <row r="1213" spans="53:82" x14ac:dyDescent="0.25">
      <c r="BA1213" s="2">
        <v>0</v>
      </c>
      <c r="BB1213" s="2" t="e">
        <v>#VALUE!</v>
      </c>
      <c r="BC1213" s="2">
        <v>0</v>
      </c>
      <c r="BD1213" s="2">
        <v>0</v>
      </c>
      <c r="BE1213" s="2">
        <v>0</v>
      </c>
      <c r="BF1213" s="2">
        <v>0</v>
      </c>
      <c r="BG1213" s="2">
        <v>0</v>
      </c>
      <c r="BH1213" s="2">
        <v>0</v>
      </c>
      <c r="BI1213" s="2">
        <v>0</v>
      </c>
      <c r="BJ1213" s="2">
        <v>0</v>
      </c>
      <c r="BK1213" s="2">
        <v>0</v>
      </c>
      <c r="BL1213" s="2">
        <v>0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S1213" s="2">
        <v>0</v>
      </c>
      <c r="BT1213" s="2">
        <v>0</v>
      </c>
      <c r="BU1213" s="2">
        <v>0</v>
      </c>
      <c r="BV1213" s="2">
        <v>0</v>
      </c>
      <c r="BW1213" s="2">
        <v>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0</v>
      </c>
      <c r="CD1213" s="2">
        <v>0</v>
      </c>
    </row>
    <row r="1214" spans="53:82" x14ac:dyDescent="0.25">
      <c r="BA1214" s="2">
        <v>0</v>
      </c>
      <c r="BB1214" s="2" t="e">
        <v>#VALUE!</v>
      </c>
      <c r="BC1214" s="2">
        <v>0</v>
      </c>
      <c r="BD1214" s="2">
        <v>0</v>
      </c>
      <c r="BE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L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S1214" s="2">
        <v>0</v>
      </c>
      <c r="BT1214" s="2">
        <v>0</v>
      </c>
      <c r="BU1214" s="2">
        <v>0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D1214" s="2">
        <v>0</v>
      </c>
    </row>
    <row r="1215" spans="53:82" x14ac:dyDescent="0.25">
      <c r="BA1215" s="2">
        <v>0</v>
      </c>
      <c r="BB1215" s="2" t="e">
        <v>#VALUE!</v>
      </c>
      <c r="BC1215" s="2">
        <v>0</v>
      </c>
      <c r="BD1215" s="2">
        <v>0</v>
      </c>
      <c r="BE1215" s="2">
        <v>0</v>
      </c>
      <c r="BF1215" s="2">
        <v>0</v>
      </c>
      <c r="BG1215" s="2">
        <v>0</v>
      </c>
      <c r="BH1215" s="2">
        <v>0</v>
      </c>
      <c r="BI1215" s="2">
        <v>0</v>
      </c>
      <c r="BJ1215" s="2">
        <v>0</v>
      </c>
      <c r="BK1215" s="2">
        <v>0</v>
      </c>
      <c r="BL1215" s="2">
        <v>0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S1215" s="2">
        <v>0</v>
      </c>
      <c r="BT1215" s="2">
        <v>0</v>
      </c>
      <c r="BU1215" s="2">
        <v>0</v>
      </c>
      <c r="BV1215" s="2">
        <v>0</v>
      </c>
      <c r="BW1215" s="2">
        <v>0</v>
      </c>
      <c r="BX1215" s="2">
        <v>0</v>
      </c>
      <c r="BY1215" s="2">
        <v>0</v>
      </c>
      <c r="BZ1215" s="2">
        <v>0</v>
      </c>
      <c r="CA1215" s="2">
        <v>0</v>
      </c>
      <c r="CB1215" s="2">
        <v>0</v>
      </c>
      <c r="CC1215" s="2">
        <v>0</v>
      </c>
      <c r="CD1215" s="2">
        <v>0</v>
      </c>
    </row>
  </sheetData>
  <sheetProtection formatCells="0" formatColumns="0" formatRows="0" insertColumns="0" insertRows="0" insertHyperlinks="0" deleteColumns="0" deleteRows="0" sort="0" autoFilter="0" pivotTables="0"/>
  <dataConsolidate/>
  <mergeCells count="1">
    <mergeCell ref="A3:AE3"/>
  </mergeCells>
  <phoneticPr fontId="7" type="noConversion"/>
  <conditionalFormatting sqref="AC584:AC595 AC597:AC1000">
    <cfRule type="expression" dxfId="6" priority="1364">
      <formula>(ROW()=cur_line)</formula>
    </cfRule>
  </conditionalFormatting>
  <printOptions horizontalCentered="1"/>
  <pageMargins left="0.19685039370078741" right="0.19685039370078741" top="0.39370078740157483" bottom="0.39370078740157483" header="0.15748031496062992" footer="0.19685039370078741"/>
  <pageSetup paperSize="9" scale="71" fitToHeight="0" orientation="landscape" r:id="rId1"/>
  <headerFooter alignWithMargins="0">
    <oddFooter>&amp;C&amp;8Page - &amp;P+0 -</oddFooter>
  </headerFooter>
  <rowBreaks count="6" manualBreakCount="6">
    <brk id="127" max="41" man="1"/>
    <brk id="187" max="41" man="1"/>
    <brk id="247" max="41" man="1"/>
    <brk id="307" max="41" man="1"/>
    <brk id="367" max="41" man="1"/>
    <brk id="427" max="41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1F3F2D2-44D2-44B4-A933-DB04822962C5}">
            <xm:f>(param!AD560=1)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227" id="{F3A00AB2-21AE-4AFB-8CE9-808DE0B07CD4}">
            <xm:f>(param!C560=1)</xm:f>
            <x14:dxf>
              <fill>
                <patternFill>
                  <bgColor rgb="FFFFFF00"/>
                </patternFill>
              </fill>
            </x14:dxf>
          </x14:cfRule>
          <xm:sqref>B560:AB607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tabColor rgb="FF00B050"/>
    <pageSetUpPr fitToPage="1"/>
  </sheetPr>
  <dimension ref="A1:BM583"/>
  <sheetViews>
    <sheetView showGridLines="0" showZeros="0" zoomScale="85" zoomScaleNormal="85" workbookViewId="0">
      <pane xSplit="1" ySplit="5" topLeftCell="B59" activePane="bottomRight" state="frozen"/>
      <selection activeCell="P8" sqref="P8"/>
      <selection pane="topRight" activeCell="P8" sqref="P8"/>
      <selection pane="bottomLeft" activeCell="P8" sqref="P8"/>
      <selection pane="bottomRight"/>
    </sheetView>
  </sheetViews>
  <sheetFormatPr defaultColWidth="9.109375" defaultRowHeight="13.2" x14ac:dyDescent="0.25"/>
  <cols>
    <col min="1" max="1" width="11.88671875" style="166" customWidth="1"/>
    <col min="2" max="3" width="6.109375" style="1" customWidth="1"/>
    <col min="4" max="5" width="6.109375" style="4" customWidth="1"/>
    <col min="6" max="26" width="6.109375" style="1" customWidth="1"/>
    <col min="27" max="27" width="6.109375" style="4" customWidth="1"/>
    <col min="28" max="28" width="6.109375" style="1" customWidth="1"/>
    <col min="29" max="29" width="7.109375" style="167" customWidth="1"/>
    <col min="30" max="30" width="11" style="167" customWidth="1"/>
    <col min="31" max="31" width="9.109375" style="2"/>
    <col min="32" max="33" width="9.44140625" style="2" customWidth="1"/>
    <col min="34" max="34" width="9.109375" style="2" collapsed="1"/>
    <col min="35" max="35" width="9.109375" style="2"/>
    <col min="36" max="65" width="8.88671875" customWidth="1"/>
    <col min="66" max="16384" width="9.109375" style="2"/>
  </cols>
  <sheetData>
    <row r="1" spans="1:65" s="10" customFormat="1" ht="14.25" customHeight="1" x14ac:dyDescent="0.25">
      <c r="A1" s="139"/>
      <c r="B1" s="11"/>
      <c r="C1" s="12"/>
      <c r="D1" s="13"/>
      <c r="E1" s="13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V1" s="12"/>
      <c r="W1" s="12"/>
      <c r="X1" s="14"/>
      <c r="Y1" s="15"/>
      <c r="Z1" s="15"/>
      <c r="AC1" s="141"/>
      <c r="AD1" s="141"/>
      <c r="AE1" s="140"/>
      <c r="AG1" s="142"/>
    </row>
    <row r="2" spans="1:65" s="10" customFormat="1" ht="48" customHeight="1" x14ac:dyDescent="0.25">
      <c r="B2" s="168"/>
      <c r="C2" s="168"/>
      <c r="D2" s="168" t="s">
        <v>653</v>
      </c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</row>
    <row r="3" spans="1:65" s="10" customFormat="1" ht="30" customHeight="1" x14ac:dyDescent="0.25">
      <c r="A3" s="143" t="s">
        <v>623</v>
      </c>
      <c r="E3" s="16"/>
      <c r="F3" s="17"/>
      <c r="G3" s="23"/>
      <c r="H3" s="17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23"/>
      <c r="Z3" s="23"/>
      <c r="AA3" s="12"/>
      <c r="AB3" s="13"/>
      <c r="AC3" s="144"/>
      <c r="AD3" s="144"/>
      <c r="AE3" s="140"/>
    </row>
    <row r="4" spans="1:65" s="3" customFormat="1" ht="8.4" hidden="1" customHeight="1" x14ac:dyDescent="0.3">
      <c r="A4" s="145"/>
      <c r="B4" s="146" t="s">
        <v>626</v>
      </c>
      <c r="C4" s="146" t="s">
        <v>627</v>
      </c>
      <c r="D4" s="93" t="s">
        <v>628</v>
      </c>
      <c r="E4" s="93" t="s">
        <v>629</v>
      </c>
      <c r="F4" s="146" t="s">
        <v>630</v>
      </c>
      <c r="G4" s="146" t="s">
        <v>631</v>
      </c>
      <c r="H4" s="146" t="s">
        <v>632</v>
      </c>
      <c r="I4" s="146" t="s">
        <v>633</v>
      </c>
      <c r="J4" s="146" t="s">
        <v>634</v>
      </c>
      <c r="K4" s="146" t="s">
        <v>635</v>
      </c>
      <c r="L4" s="146" t="s">
        <v>636</v>
      </c>
      <c r="M4" s="146" t="s">
        <v>637</v>
      </c>
      <c r="N4" s="146" t="s">
        <v>638</v>
      </c>
      <c r="O4" s="146" t="s">
        <v>639</v>
      </c>
      <c r="P4" s="146" t="s">
        <v>640</v>
      </c>
      <c r="Q4" s="146" t="s">
        <v>641</v>
      </c>
      <c r="R4" s="146" t="s">
        <v>642</v>
      </c>
      <c r="S4" s="146" t="s">
        <v>643</v>
      </c>
      <c r="T4" s="146" t="s">
        <v>644</v>
      </c>
      <c r="U4" s="146" t="s">
        <v>645</v>
      </c>
      <c r="V4" s="146" t="s">
        <v>646</v>
      </c>
      <c r="W4" s="146" t="s">
        <v>647</v>
      </c>
      <c r="X4" s="146" t="s">
        <v>648</v>
      </c>
      <c r="Y4" s="146" t="s">
        <v>649</v>
      </c>
      <c r="Z4" s="146" t="s">
        <v>650</v>
      </c>
      <c r="AA4" s="146" t="s">
        <v>651</v>
      </c>
      <c r="AB4" s="93" t="s">
        <v>652</v>
      </c>
      <c r="AC4" s="145"/>
      <c r="AD4" s="145"/>
    </row>
    <row r="5" spans="1:65" s="19" customFormat="1" ht="69.599999999999994" customHeight="1" thickBot="1" x14ac:dyDescent="0.3">
      <c r="A5" s="147"/>
      <c r="B5" s="148" t="s">
        <v>352</v>
      </c>
      <c r="C5" s="148" t="s">
        <v>417</v>
      </c>
      <c r="D5" s="149" t="s">
        <v>624</v>
      </c>
      <c r="E5" s="149" t="s">
        <v>353</v>
      </c>
      <c r="F5" s="148" t="s">
        <v>402</v>
      </c>
      <c r="G5" s="148" t="s">
        <v>373</v>
      </c>
      <c r="H5" s="148" t="s">
        <v>654</v>
      </c>
      <c r="I5" s="148" t="s">
        <v>354</v>
      </c>
      <c r="J5" s="148" t="s">
        <v>355</v>
      </c>
      <c r="K5" s="148" t="s">
        <v>13</v>
      </c>
      <c r="L5" s="148" t="s">
        <v>493</v>
      </c>
      <c r="M5" s="148" t="s">
        <v>403</v>
      </c>
      <c r="N5" s="148" t="s">
        <v>378</v>
      </c>
      <c r="O5" s="148" t="s">
        <v>379</v>
      </c>
      <c r="P5" s="148" t="s">
        <v>625</v>
      </c>
      <c r="Q5" s="148" t="s">
        <v>14</v>
      </c>
      <c r="R5" s="148" t="s">
        <v>380</v>
      </c>
      <c r="S5" s="148" t="s">
        <v>383</v>
      </c>
      <c r="T5" s="148" t="s">
        <v>356</v>
      </c>
      <c r="U5" s="148" t="s">
        <v>357</v>
      </c>
      <c r="V5" s="148" t="s">
        <v>385</v>
      </c>
      <c r="W5" s="148" t="s">
        <v>15</v>
      </c>
      <c r="X5" s="148" t="s">
        <v>419</v>
      </c>
      <c r="Y5" s="148" t="s">
        <v>388</v>
      </c>
      <c r="Z5" s="148" t="s">
        <v>389</v>
      </c>
      <c r="AA5" s="148" t="s">
        <v>358</v>
      </c>
      <c r="AB5" s="150" t="s">
        <v>359</v>
      </c>
      <c r="AC5" s="198" t="s">
        <v>671</v>
      </c>
      <c r="AD5" s="197"/>
    </row>
    <row r="6" spans="1:65" s="155" customFormat="1" ht="17.25" customHeight="1" thickBot="1" x14ac:dyDescent="0.35">
      <c r="A6" s="151">
        <v>44196</v>
      </c>
      <c r="B6" s="182" t="s">
        <v>621</v>
      </c>
      <c r="C6" s="152">
        <v>44.452399999999997</v>
      </c>
      <c r="D6" s="152">
        <v>41.122500000000002</v>
      </c>
      <c r="E6" s="152" t="s">
        <v>495</v>
      </c>
      <c r="F6" s="152" t="s">
        <v>495</v>
      </c>
      <c r="G6" s="152" t="s">
        <v>495</v>
      </c>
      <c r="H6" s="152" t="s">
        <v>495</v>
      </c>
      <c r="I6" s="152">
        <v>53.49</v>
      </c>
      <c r="J6" s="152" t="s">
        <v>495</v>
      </c>
      <c r="K6" s="152" t="s">
        <v>495</v>
      </c>
      <c r="L6" s="152" t="s">
        <v>495</v>
      </c>
      <c r="M6" s="152" t="s">
        <v>495</v>
      </c>
      <c r="N6" s="152">
        <v>109.7</v>
      </c>
      <c r="O6" s="152" t="s">
        <v>495</v>
      </c>
      <c r="P6" s="152">
        <v>37.700000000000003</v>
      </c>
      <c r="Q6" s="182" t="s">
        <v>621</v>
      </c>
      <c r="R6" s="182">
        <v>0</v>
      </c>
      <c r="S6" s="152" t="s">
        <v>495</v>
      </c>
      <c r="T6" s="152" t="s">
        <v>495</v>
      </c>
      <c r="U6" s="152">
        <v>48.39</v>
      </c>
      <c r="V6" s="152" t="s">
        <v>495</v>
      </c>
      <c r="W6" s="152" t="s">
        <v>495</v>
      </c>
      <c r="X6" s="152" t="s">
        <v>495</v>
      </c>
      <c r="Y6" s="152" t="s">
        <v>495</v>
      </c>
      <c r="Z6" s="152" t="s">
        <v>495</v>
      </c>
      <c r="AA6" s="182" t="s">
        <v>495</v>
      </c>
      <c r="AB6" s="177">
        <v>41.466200000000001</v>
      </c>
      <c r="AC6" s="199"/>
      <c r="AD6" s="153">
        <v>44196</v>
      </c>
      <c r="AG6" s="156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4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</row>
    <row r="7" spans="1:65" s="155" customFormat="1" ht="17.25" customHeight="1" x14ac:dyDescent="0.3">
      <c r="A7" s="157">
        <v>44227</v>
      </c>
      <c r="B7" s="183" t="s">
        <v>621</v>
      </c>
      <c r="C7" s="176">
        <v>44.191600000000001</v>
      </c>
      <c r="D7" s="176">
        <v>39.210500000000003</v>
      </c>
      <c r="E7" s="176" t="s">
        <v>495</v>
      </c>
      <c r="F7" s="176">
        <v>49.88</v>
      </c>
      <c r="G7" s="176" t="s">
        <v>495</v>
      </c>
      <c r="H7" s="176" t="s">
        <v>495</v>
      </c>
      <c r="I7" s="176">
        <v>53.3</v>
      </c>
      <c r="J7" s="176">
        <v>47.96</v>
      </c>
      <c r="K7" s="176">
        <v>48.62</v>
      </c>
      <c r="L7" s="176" t="s">
        <v>495</v>
      </c>
      <c r="M7" s="176">
        <v>51.75</v>
      </c>
      <c r="N7" s="176">
        <v>109.7</v>
      </c>
      <c r="O7" s="176">
        <v>28.94</v>
      </c>
      <c r="P7" s="176">
        <v>36.07</v>
      </c>
      <c r="Q7" s="183" t="s">
        <v>621</v>
      </c>
      <c r="R7" s="183">
        <v>0</v>
      </c>
      <c r="S7" s="176" t="s">
        <v>495</v>
      </c>
      <c r="T7" s="176" t="s">
        <v>495</v>
      </c>
      <c r="U7" s="176">
        <v>46.39</v>
      </c>
      <c r="V7" s="176" t="s">
        <v>495</v>
      </c>
      <c r="W7" s="176" t="s">
        <v>495</v>
      </c>
      <c r="X7" s="176" t="s">
        <v>495</v>
      </c>
      <c r="Y7" s="176">
        <v>39.729999999999997</v>
      </c>
      <c r="Z7" s="176">
        <v>39.42</v>
      </c>
      <c r="AA7" s="183" t="s">
        <v>621</v>
      </c>
      <c r="AB7" s="178">
        <v>40.351300000000002</v>
      </c>
      <c r="AC7" s="200">
        <v>47.505750229331625</v>
      </c>
      <c r="AD7" s="158">
        <v>44227</v>
      </c>
      <c r="AG7" s="156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</row>
    <row r="8" spans="1:65" s="155" customFormat="1" ht="17.25" customHeight="1" x14ac:dyDescent="0.3">
      <c r="A8" s="159">
        <v>44255</v>
      </c>
      <c r="B8" s="162">
        <v>45.03</v>
      </c>
      <c r="C8" s="162">
        <v>48.011000000000003</v>
      </c>
      <c r="D8" s="162">
        <v>39.4968</v>
      </c>
      <c r="E8" s="162" t="s">
        <v>495</v>
      </c>
      <c r="F8" s="162">
        <v>49.52</v>
      </c>
      <c r="G8" s="162" t="s">
        <v>495</v>
      </c>
      <c r="H8" s="162" t="s">
        <v>495</v>
      </c>
      <c r="I8" s="162">
        <v>53.15</v>
      </c>
      <c r="J8" s="162">
        <v>47.38</v>
      </c>
      <c r="K8" s="162">
        <v>48.15</v>
      </c>
      <c r="L8" s="162" t="s">
        <v>495</v>
      </c>
      <c r="M8" s="162">
        <v>51.75</v>
      </c>
      <c r="N8" s="162">
        <v>109.7</v>
      </c>
      <c r="O8" s="162">
        <v>29.48</v>
      </c>
      <c r="P8" s="162">
        <v>37.22</v>
      </c>
      <c r="Q8" s="184" t="s">
        <v>621</v>
      </c>
      <c r="R8" s="184">
        <v>0</v>
      </c>
      <c r="S8" s="162" t="s">
        <v>495</v>
      </c>
      <c r="T8" s="162" t="s">
        <v>495</v>
      </c>
      <c r="U8" s="162">
        <v>46.14</v>
      </c>
      <c r="V8" s="162" t="s">
        <v>495</v>
      </c>
      <c r="W8" s="162" t="s">
        <v>495</v>
      </c>
      <c r="X8" s="162" t="s">
        <v>495</v>
      </c>
      <c r="Y8" s="162">
        <v>39.99</v>
      </c>
      <c r="Z8" s="162">
        <v>37.049999999999997</v>
      </c>
      <c r="AA8" s="184" t="s">
        <v>621</v>
      </c>
      <c r="AB8" s="179">
        <v>40.4392</v>
      </c>
      <c r="AC8" s="201">
        <v>47.185771189301946</v>
      </c>
      <c r="AD8" s="160">
        <v>44255</v>
      </c>
      <c r="AG8" s="156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</row>
    <row r="9" spans="1:65" s="155" customFormat="1" ht="17.25" customHeight="1" x14ac:dyDescent="0.3">
      <c r="A9" s="159">
        <v>44286</v>
      </c>
      <c r="B9" s="162">
        <v>44.87</v>
      </c>
      <c r="C9" s="162">
        <v>44.232500000000002</v>
      </c>
      <c r="D9" s="162">
        <v>38.558300000000003</v>
      </c>
      <c r="E9" s="162" t="s">
        <v>495</v>
      </c>
      <c r="F9" s="162">
        <v>49.56</v>
      </c>
      <c r="G9" s="162">
        <v>33.31</v>
      </c>
      <c r="H9" s="162" t="s">
        <v>495</v>
      </c>
      <c r="I9" s="162">
        <v>53</v>
      </c>
      <c r="J9" s="162">
        <v>47.28</v>
      </c>
      <c r="K9" s="162">
        <v>46.18</v>
      </c>
      <c r="L9" s="162" t="s">
        <v>495</v>
      </c>
      <c r="M9" s="162">
        <v>51.75</v>
      </c>
      <c r="N9" s="162">
        <v>109.7</v>
      </c>
      <c r="O9" s="162">
        <v>29.39</v>
      </c>
      <c r="P9" s="162">
        <v>37.17</v>
      </c>
      <c r="Q9" s="184" t="s">
        <v>621</v>
      </c>
      <c r="R9" s="184">
        <v>0</v>
      </c>
      <c r="S9" s="162" t="s">
        <v>495</v>
      </c>
      <c r="T9" s="162" t="s">
        <v>495</v>
      </c>
      <c r="U9" s="162">
        <v>45.25</v>
      </c>
      <c r="V9" s="162" t="s">
        <v>495</v>
      </c>
      <c r="W9" s="162" t="s">
        <v>495</v>
      </c>
      <c r="X9" s="162" t="s">
        <v>495</v>
      </c>
      <c r="Y9" s="162">
        <v>39.57</v>
      </c>
      <c r="Z9" s="162">
        <v>37.08</v>
      </c>
      <c r="AA9" s="184" t="s">
        <v>621</v>
      </c>
      <c r="AB9" s="179">
        <v>40.425400000000003</v>
      </c>
      <c r="AC9" s="201">
        <v>46.481459792835302</v>
      </c>
      <c r="AD9" s="160">
        <v>44286</v>
      </c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4"/>
      <c r="AY9" s="154"/>
      <c r="AZ9" s="154"/>
      <c r="BA9" s="154"/>
      <c r="BB9" s="154"/>
      <c r="BC9" s="154"/>
      <c r="BD9" s="154"/>
      <c r="BE9" s="154"/>
      <c r="BF9" s="154"/>
      <c r="BG9" s="154"/>
      <c r="BH9" s="154"/>
      <c r="BI9" s="154"/>
      <c r="BJ9" s="154"/>
      <c r="BK9" s="154"/>
      <c r="BL9" s="154"/>
      <c r="BM9" s="154"/>
    </row>
    <row r="10" spans="1:65" s="155" customFormat="1" ht="17.25" customHeight="1" x14ac:dyDescent="0.3">
      <c r="A10" s="161">
        <v>44316</v>
      </c>
      <c r="B10" s="162">
        <v>45.49</v>
      </c>
      <c r="C10" s="162">
        <v>47.295200000000001</v>
      </c>
      <c r="D10" s="162">
        <v>38.939</v>
      </c>
      <c r="E10" s="162">
        <v>46.390099999999997</v>
      </c>
      <c r="F10" s="162">
        <v>49.08</v>
      </c>
      <c r="G10" s="162">
        <v>31.51</v>
      </c>
      <c r="H10" s="162" t="s">
        <v>495</v>
      </c>
      <c r="I10" s="162">
        <v>52.72</v>
      </c>
      <c r="J10" s="162">
        <v>46.5</v>
      </c>
      <c r="K10" s="162">
        <v>42.51</v>
      </c>
      <c r="L10" s="162" t="s">
        <v>495</v>
      </c>
      <c r="M10" s="162">
        <v>51.75</v>
      </c>
      <c r="N10" s="162">
        <v>109.7</v>
      </c>
      <c r="O10" s="162">
        <v>29.19</v>
      </c>
      <c r="P10" s="162">
        <v>36.909999999999997</v>
      </c>
      <c r="Q10" s="184" t="s">
        <v>621</v>
      </c>
      <c r="R10" s="184">
        <v>0</v>
      </c>
      <c r="S10" s="162" t="s">
        <v>495</v>
      </c>
      <c r="T10" s="162" t="s">
        <v>495</v>
      </c>
      <c r="U10" s="162">
        <v>45.78</v>
      </c>
      <c r="V10" s="162" t="s">
        <v>495</v>
      </c>
      <c r="W10" s="162" t="s">
        <v>495</v>
      </c>
      <c r="X10" s="162" t="s">
        <v>495</v>
      </c>
      <c r="Y10" s="162">
        <v>39.72</v>
      </c>
      <c r="Z10" s="162">
        <v>36.99</v>
      </c>
      <c r="AA10" s="184" t="s">
        <v>621</v>
      </c>
      <c r="AB10" s="179">
        <v>42.554900000000004</v>
      </c>
      <c r="AC10" s="201">
        <v>45.70101100035285</v>
      </c>
      <c r="AD10" s="160">
        <v>44316</v>
      </c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/>
      <c r="AY10" s="154"/>
      <c r="AZ10" s="154"/>
      <c r="BA10" s="154"/>
      <c r="BB10" s="154"/>
      <c r="BC10" s="154"/>
      <c r="BD10" s="154"/>
      <c r="BE10" s="154"/>
      <c r="BF10" s="154"/>
      <c r="BG10" s="154"/>
      <c r="BH10" s="154"/>
      <c r="BI10" s="154"/>
      <c r="BJ10" s="154"/>
      <c r="BK10" s="154"/>
      <c r="BL10" s="154"/>
      <c r="BM10" s="154"/>
    </row>
    <row r="11" spans="1:65" s="155" customFormat="1" ht="17.25" customHeight="1" x14ac:dyDescent="0.3">
      <c r="A11" s="159">
        <v>44347</v>
      </c>
      <c r="B11" s="162">
        <v>45.1</v>
      </c>
      <c r="C11" s="162">
        <v>46.487400000000001</v>
      </c>
      <c r="D11" s="162">
        <v>39.152500000000003</v>
      </c>
      <c r="E11" s="162">
        <v>46.932600000000001</v>
      </c>
      <c r="F11" s="162">
        <v>48.6</v>
      </c>
      <c r="G11" s="162">
        <v>31.61</v>
      </c>
      <c r="H11" s="162" t="s">
        <v>495</v>
      </c>
      <c r="I11" s="162">
        <v>52.57</v>
      </c>
      <c r="J11" s="162">
        <v>46.5</v>
      </c>
      <c r="K11" s="162">
        <v>42.82</v>
      </c>
      <c r="L11" s="162" t="s">
        <v>495</v>
      </c>
      <c r="M11" s="162">
        <v>52.25</v>
      </c>
      <c r="N11" s="162">
        <v>109.7</v>
      </c>
      <c r="O11" s="162">
        <v>29.59</v>
      </c>
      <c r="P11" s="162">
        <v>35.630000000000003</v>
      </c>
      <c r="Q11" s="184" t="s">
        <v>621</v>
      </c>
      <c r="R11" s="184">
        <v>0</v>
      </c>
      <c r="S11" s="162" t="s">
        <v>495</v>
      </c>
      <c r="T11" s="162" t="s">
        <v>495</v>
      </c>
      <c r="U11" s="162">
        <v>46.57</v>
      </c>
      <c r="V11" s="162">
        <v>40.462699999999998</v>
      </c>
      <c r="W11" s="162">
        <v>39.380000000000003</v>
      </c>
      <c r="X11" s="162" t="s">
        <v>495</v>
      </c>
      <c r="Y11" s="162">
        <v>40.98</v>
      </c>
      <c r="Z11" s="162">
        <v>36.729999999999997</v>
      </c>
      <c r="AA11" s="184" t="s">
        <v>621</v>
      </c>
      <c r="AB11" s="179">
        <v>44.164700000000003</v>
      </c>
      <c r="AC11" s="201">
        <v>45.921778524136315</v>
      </c>
      <c r="AD11" s="160">
        <v>44347</v>
      </c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4"/>
      <c r="AU11" s="154"/>
      <c r="AV11" s="154"/>
      <c r="AW11" s="154"/>
      <c r="AX11" s="154"/>
      <c r="AY11" s="154"/>
      <c r="AZ11" s="154"/>
      <c r="BA11" s="154"/>
      <c r="BB11" s="154"/>
      <c r="BC11" s="154"/>
      <c r="BD11" s="154"/>
      <c r="BE11" s="154"/>
      <c r="BF11" s="154"/>
      <c r="BG11" s="154"/>
      <c r="BH11" s="154"/>
      <c r="BI11" s="154"/>
      <c r="BJ11" s="154"/>
      <c r="BK11" s="154"/>
      <c r="BL11" s="154"/>
      <c r="BM11" s="154"/>
    </row>
    <row r="12" spans="1:65" s="155" customFormat="1" ht="17.25" customHeight="1" x14ac:dyDescent="0.3">
      <c r="A12" s="159">
        <v>44377</v>
      </c>
      <c r="B12" s="162">
        <v>44.27</v>
      </c>
      <c r="C12" s="162">
        <v>44.498399999999997</v>
      </c>
      <c r="D12" s="162">
        <v>38.985900000000001</v>
      </c>
      <c r="E12" s="162">
        <v>46.527700000000003</v>
      </c>
      <c r="F12" s="162">
        <v>48.47</v>
      </c>
      <c r="G12" s="162">
        <v>31.79</v>
      </c>
      <c r="H12" s="162" t="s">
        <v>495</v>
      </c>
      <c r="I12" s="162">
        <v>52.22</v>
      </c>
      <c r="J12" s="162">
        <v>45.63</v>
      </c>
      <c r="K12" s="162">
        <v>42.97</v>
      </c>
      <c r="L12" s="162" t="s">
        <v>495</v>
      </c>
      <c r="M12" s="162">
        <v>52.25</v>
      </c>
      <c r="N12" s="162">
        <v>103.4</v>
      </c>
      <c r="O12" s="162">
        <v>31.15</v>
      </c>
      <c r="P12" s="162">
        <v>35.11</v>
      </c>
      <c r="Q12" s="184" t="s">
        <v>621</v>
      </c>
      <c r="R12" s="184">
        <v>0</v>
      </c>
      <c r="S12" s="162" t="s">
        <v>495</v>
      </c>
      <c r="T12" s="162" t="s">
        <v>495</v>
      </c>
      <c r="U12" s="162">
        <v>46.04</v>
      </c>
      <c r="V12" s="162">
        <v>45.168399999999998</v>
      </c>
      <c r="W12" s="162">
        <v>56.33</v>
      </c>
      <c r="X12" s="162" t="s">
        <v>495</v>
      </c>
      <c r="Y12" s="162">
        <v>34.26</v>
      </c>
      <c r="Z12" s="162">
        <v>36.869999999999997</v>
      </c>
      <c r="AA12" s="184" t="s">
        <v>621</v>
      </c>
      <c r="AB12" s="179">
        <v>43.970500000000001</v>
      </c>
      <c r="AC12" s="201">
        <v>45.798630218894559</v>
      </c>
      <c r="AD12" s="160">
        <v>44377</v>
      </c>
      <c r="AJ12" s="154"/>
      <c r="AK12" s="154"/>
      <c r="AL12" s="154"/>
      <c r="AM12" s="154"/>
      <c r="AN12" s="154"/>
      <c r="AO12" s="154"/>
      <c r="AP12" s="154"/>
      <c r="AQ12" s="154"/>
      <c r="AR12" s="154"/>
      <c r="AS12" s="154"/>
      <c r="AT12" s="154"/>
      <c r="AU12" s="154"/>
      <c r="AV12" s="154"/>
      <c r="AW12" s="154"/>
      <c r="AX12" s="154"/>
      <c r="AY12" s="154"/>
      <c r="AZ12" s="154"/>
      <c r="BA12" s="154"/>
      <c r="BB12" s="154"/>
      <c r="BC12" s="154"/>
      <c r="BD12" s="154"/>
      <c r="BE12" s="154"/>
      <c r="BF12" s="154"/>
      <c r="BG12" s="154"/>
      <c r="BH12" s="154"/>
      <c r="BI12" s="154"/>
      <c r="BJ12" s="154"/>
      <c r="BK12" s="154"/>
      <c r="BL12" s="154"/>
      <c r="BM12" s="154"/>
    </row>
    <row r="13" spans="1:65" s="155" customFormat="1" ht="17.25" customHeight="1" x14ac:dyDescent="0.3">
      <c r="A13" s="159">
        <v>44408</v>
      </c>
      <c r="B13" s="162">
        <v>45.06</v>
      </c>
      <c r="C13" s="162">
        <v>44.094499999999996</v>
      </c>
      <c r="D13" s="162">
        <v>38.724699999999999</v>
      </c>
      <c r="E13" s="162">
        <v>46.5227</v>
      </c>
      <c r="F13" s="162">
        <v>49.05</v>
      </c>
      <c r="G13" s="162">
        <v>31.87</v>
      </c>
      <c r="H13" s="162" t="s">
        <v>495</v>
      </c>
      <c r="I13" s="162">
        <v>51.92</v>
      </c>
      <c r="J13" s="162">
        <v>45.92</v>
      </c>
      <c r="K13" s="162">
        <v>48.38</v>
      </c>
      <c r="L13" s="162" t="s">
        <v>495</v>
      </c>
      <c r="M13" s="162">
        <v>52.82</v>
      </c>
      <c r="N13" s="162">
        <v>109.7</v>
      </c>
      <c r="O13" s="162">
        <v>31.15</v>
      </c>
      <c r="P13" s="162">
        <v>33.479999999999997</v>
      </c>
      <c r="Q13" s="184" t="s">
        <v>621</v>
      </c>
      <c r="R13" s="184">
        <v>0</v>
      </c>
      <c r="S13" s="162" t="s">
        <v>495</v>
      </c>
      <c r="T13" s="162">
        <v>50.5</v>
      </c>
      <c r="U13" s="162">
        <v>46.74</v>
      </c>
      <c r="V13" s="162">
        <v>42.942599999999999</v>
      </c>
      <c r="W13" s="162">
        <v>46.82</v>
      </c>
      <c r="X13" s="162" t="s">
        <v>495</v>
      </c>
      <c r="Y13" s="162">
        <v>40.270000000000003</v>
      </c>
      <c r="Z13" s="162">
        <v>37.01</v>
      </c>
      <c r="AA13" s="184" t="s">
        <v>621</v>
      </c>
      <c r="AB13" s="179">
        <v>42.273899999999998</v>
      </c>
      <c r="AC13" s="201">
        <v>47.359002392034867</v>
      </c>
      <c r="AD13" s="160">
        <v>44408</v>
      </c>
      <c r="AJ13" s="154"/>
      <c r="AK13" s="154"/>
      <c r="AL13" s="154"/>
      <c r="AM13" s="154"/>
      <c r="AN13" s="154"/>
      <c r="AO13" s="154"/>
      <c r="AP13" s="154"/>
      <c r="AQ13" s="154"/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54"/>
      <c r="BF13" s="154"/>
      <c r="BG13" s="154"/>
      <c r="BH13" s="154"/>
      <c r="BI13" s="154"/>
      <c r="BJ13" s="154"/>
      <c r="BK13" s="154"/>
      <c r="BL13" s="154"/>
      <c r="BM13" s="154"/>
    </row>
    <row r="14" spans="1:65" s="155" customFormat="1" ht="17.25" customHeight="1" x14ac:dyDescent="0.3">
      <c r="A14" s="159">
        <v>44439</v>
      </c>
      <c r="B14" s="162">
        <v>46</v>
      </c>
      <c r="C14" s="162">
        <v>44.3399</v>
      </c>
      <c r="D14" s="162">
        <v>39.314999999999998</v>
      </c>
      <c r="E14" s="162">
        <v>45.583300000000001</v>
      </c>
      <c r="F14" s="162">
        <v>49.05</v>
      </c>
      <c r="G14" s="162">
        <v>31.89</v>
      </c>
      <c r="H14" s="162" t="s">
        <v>495</v>
      </c>
      <c r="I14" s="162">
        <v>52.87</v>
      </c>
      <c r="J14" s="162">
        <v>45.73</v>
      </c>
      <c r="K14" s="162">
        <v>47.26</v>
      </c>
      <c r="L14" s="162" t="s">
        <v>495</v>
      </c>
      <c r="M14" s="162">
        <v>53.49</v>
      </c>
      <c r="N14" s="162">
        <v>112.3</v>
      </c>
      <c r="O14" s="162">
        <v>29.84</v>
      </c>
      <c r="P14" s="162">
        <v>35.35</v>
      </c>
      <c r="Q14" s="184" t="s">
        <v>621</v>
      </c>
      <c r="R14" s="184">
        <v>0</v>
      </c>
      <c r="S14" s="162" t="s">
        <v>495</v>
      </c>
      <c r="T14" s="162">
        <v>50.25</v>
      </c>
      <c r="U14" s="162">
        <v>47.1</v>
      </c>
      <c r="V14" s="162">
        <v>43.938099999999999</v>
      </c>
      <c r="W14" s="162">
        <v>41.2</v>
      </c>
      <c r="X14" s="162" t="s">
        <v>495</v>
      </c>
      <c r="Y14" s="162">
        <v>41.46</v>
      </c>
      <c r="Z14" s="162">
        <v>37.57</v>
      </c>
      <c r="AA14" s="184" t="s">
        <v>621</v>
      </c>
      <c r="AB14" s="179">
        <v>43.151699999999998</v>
      </c>
      <c r="AC14" s="201">
        <v>47.159931723976442</v>
      </c>
      <c r="AD14" s="160">
        <v>44439</v>
      </c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4"/>
      <c r="AX14" s="154"/>
      <c r="AY14" s="154"/>
      <c r="AZ14" s="154"/>
      <c r="BA14" s="154"/>
      <c r="BB14" s="154"/>
      <c r="BC14" s="154"/>
      <c r="BD14" s="154"/>
      <c r="BE14" s="154"/>
      <c r="BF14" s="154"/>
      <c r="BG14" s="154"/>
      <c r="BH14" s="154"/>
      <c r="BI14" s="154"/>
      <c r="BJ14" s="154"/>
      <c r="BK14" s="154"/>
      <c r="BL14" s="154"/>
      <c r="BM14" s="154"/>
    </row>
    <row r="15" spans="1:65" s="155" customFormat="1" ht="17.25" customHeight="1" x14ac:dyDescent="0.3">
      <c r="A15" s="159">
        <v>44469</v>
      </c>
      <c r="B15" s="162">
        <v>46.52</v>
      </c>
      <c r="C15" s="162">
        <v>43.844000000000001</v>
      </c>
      <c r="D15" s="162">
        <v>39.976599999999998</v>
      </c>
      <c r="E15" s="162">
        <v>46.126399999999997</v>
      </c>
      <c r="F15" s="162">
        <v>49.8</v>
      </c>
      <c r="G15" s="162">
        <v>31.4</v>
      </c>
      <c r="H15" s="162" t="s">
        <v>495</v>
      </c>
      <c r="I15" s="162">
        <v>54.01</v>
      </c>
      <c r="J15" s="162">
        <v>45.92</v>
      </c>
      <c r="K15" s="162">
        <v>48.34</v>
      </c>
      <c r="L15" s="162" t="s">
        <v>495</v>
      </c>
      <c r="M15" s="162">
        <v>53.49</v>
      </c>
      <c r="N15" s="162">
        <v>108.93</v>
      </c>
      <c r="O15" s="162">
        <v>30.42</v>
      </c>
      <c r="P15" s="162">
        <v>39.15</v>
      </c>
      <c r="Q15" s="184" t="s">
        <v>621</v>
      </c>
      <c r="R15" s="184">
        <v>0</v>
      </c>
      <c r="S15" s="162" t="s">
        <v>495</v>
      </c>
      <c r="T15" s="162">
        <v>51.38</v>
      </c>
      <c r="U15" s="162">
        <v>47.76</v>
      </c>
      <c r="V15" s="162">
        <v>44.027299999999997</v>
      </c>
      <c r="W15" s="162">
        <v>40.08</v>
      </c>
      <c r="X15" s="162" t="s">
        <v>495</v>
      </c>
      <c r="Y15" s="162">
        <v>42.34</v>
      </c>
      <c r="Z15" s="162">
        <v>38.450000000000003</v>
      </c>
      <c r="AA15" s="184" t="s">
        <v>621</v>
      </c>
      <c r="AB15" s="179">
        <v>43.959600000000002</v>
      </c>
      <c r="AC15" s="201">
        <v>47.968544372043041</v>
      </c>
      <c r="AD15" s="160">
        <v>44469</v>
      </c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  <c r="AV15" s="154"/>
      <c r="AW15" s="154"/>
      <c r="AX15" s="154"/>
      <c r="AY15" s="154"/>
      <c r="AZ15" s="154"/>
      <c r="BA15" s="154"/>
      <c r="BB15" s="154"/>
      <c r="BC15" s="154"/>
      <c r="BD15" s="154"/>
      <c r="BE15" s="154"/>
      <c r="BF15" s="154"/>
      <c r="BG15" s="154"/>
      <c r="BH15" s="154"/>
      <c r="BI15" s="154"/>
      <c r="BJ15" s="154"/>
      <c r="BK15" s="154"/>
      <c r="BL15" s="154"/>
      <c r="BM15" s="154"/>
    </row>
    <row r="16" spans="1:65" s="155" customFormat="1" ht="17.25" customHeight="1" x14ac:dyDescent="0.3">
      <c r="A16" s="159">
        <v>44500</v>
      </c>
      <c r="B16" s="162">
        <v>48.19</v>
      </c>
      <c r="C16" s="162">
        <v>45.173299999999998</v>
      </c>
      <c r="D16" s="162">
        <v>40.430999999999997</v>
      </c>
      <c r="E16" s="162">
        <v>47.582900000000002</v>
      </c>
      <c r="F16" s="162">
        <v>51.7</v>
      </c>
      <c r="G16" s="162">
        <v>32.1</v>
      </c>
      <c r="H16" s="162" t="s">
        <v>495</v>
      </c>
      <c r="I16" s="162">
        <v>54.59</v>
      </c>
      <c r="J16" s="162">
        <v>46.21</v>
      </c>
      <c r="K16" s="162">
        <v>48.91</v>
      </c>
      <c r="L16" s="162" t="s">
        <v>495</v>
      </c>
      <c r="M16" s="162">
        <v>52.86</v>
      </c>
      <c r="N16" s="162">
        <v>105.21</v>
      </c>
      <c r="O16" s="162">
        <v>31.86</v>
      </c>
      <c r="P16" s="162">
        <v>41.25</v>
      </c>
      <c r="Q16" s="184" t="s">
        <v>621</v>
      </c>
      <c r="R16" s="184">
        <v>0</v>
      </c>
      <c r="S16" s="162" t="s">
        <v>495</v>
      </c>
      <c r="T16" s="162">
        <v>51.63</v>
      </c>
      <c r="U16" s="162">
        <v>48.94</v>
      </c>
      <c r="V16" s="162">
        <v>44.363500000000002</v>
      </c>
      <c r="W16" s="162">
        <v>50.66</v>
      </c>
      <c r="X16" s="162" t="s">
        <v>495</v>
      </c>
      <c r="Y16" s="162">
        <v>43.52</v>
      </c>
      <c r="Z16" s="162">
        <v>38.54</v>
      </c>
      <c r="AA16" s="184" t="s">
        <v>621</v>
      </c>
      <c r="AB16" s="179">
        <v>45.632399999999997</v>
      </c>
      <c r="AC16" s="201">
        <v>49.132403052901971</v>
      </c>
      <c r="AD16" s="160">
        <v>44500</v>
      </c>
      <c r="AJ16" s="154"/>
      <c r="AK16" s="154"/>
      <c r="AL16" s="154"/>
      <c r="AM16" s="154"/>
      <c r="AN16" s="154"/>
      <c r="AO16" s="154"/>
      <c r="AP16" s="154"/>
      <c r="AQ16" s="154"/>
      <c r="AR16" s="154"/>
      <c r="AS16" s="154"/>
      <c r="AT16" s="154"/>
      <c r="AU16" s="154"/>
      <c r="AV16" s="154"/>
      <c r="AW16" s="154"/>
      <c r="AX16" s="154"/>
      <c r="AY16" s="154"/>
      <c r="AZ16" s="154"/>
      <c r="BA16" s="154"/>
      <c r="BB16" s="154"/>
      <c r="BC16" s="154"/>
      <c r="BD16" s="154"/>
      <c r="BE16" s="154"/>
      <c r="BF16" s="154"/>
      <c r="BG16" s="154"/>
      <c r="BH16" s="154"/>
      <c r="BI16" s="154"/>
      <c r="BJ16" s="154"/>
      <c r="BK16" s="154"/>
      <c r="BL16" s="154"/>
      <c r="BM16" s="154"/>
    </row>
    <row r="17" spans="1:65" s="155" customFormat="1" ht="17.25" customHeight="1" x14ac:dyDescent="0.3">
      <c r="A17" s="159">
        <v>44530</v>
      </c>
      <c r="B17" s="162">
        <v>48</v>
      </c>
      <c r="C17" s="162">
        <v>46.134599999999999</v>
      </c>
      <c r="D17" s="162">
        <v>40.788699999999999</v>
      </c>
      <c r="E17" s="162">
        <v>47.598199999999999</v>
      </c>
      <c r="F17" s="162">
        <v>52.67</v>
      </c>
      <c r="G17" s="162">
        <v>31.9</v>
      </c>
      <c r="H17" s="162" t="s">
        <v>495</v>
      </c>
      <c r="I17" s="162">
        <v>54.59</v>
      </c>
      <c r="J17" s="162">
        <v>46.89</v>
      </c>
      <c r="K17" s="162">
        <v>48.94</v>
      </c>
      <c r="L17" s="162" t="s">
        <v>495</v>
      </c>
      <c r="M17" s="162">
        <v>54.73</v>
      </c>
      <c r="N17" s="162">
        <v>109.06</v>
      </c>
      <c r="O17" s="162">
        <v>34.200000000000003</v>
      </c>
      <c r="P17" s="162">
        <v>42.93</v>
      </c>
      <c r="Q17" s="184" t="s">
        <v>621</v>
      </c>
      <c r="R17" s="184">
        <v>0</v>
      </c>
      <c r="S17" s="162" t="s">
        <v>495</v>
      </c>
      <c r="T17" s="162">
        <v>52.29</v>
      </c>
      <c r="U17" s="162">
        <v>49.95</v>
      </c>
      <c r="V17" s="162">
        <v>46.516300000000001</v>
      </c>
      <c r="W17" s="162">
        <v>41.41</v>
      </c>
      <c r="X17" s="162" t="s">
        <v>495</v>
      </c>
      <c r="Y17" s="162">
        <v>43.41</v>
      </c>
      <c r="Z17" s="162">
        <v>39.17</v>
      </c>
      <c r="AA17" s="184" t="s">
        <v>621</v>
      </c>
      <c r="AB17" s="179">
        <v>46.315300000000001</v>
      </c>
      <c r="AC17" s="201">
        <v>49.742953142929331</v>
      </c>
      <c r="AD17" s="160">
        <v>44530</v>
      </c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4"/>
      <c r="AU17" s="154"/>
      <c r="AV17" s="154"/>
      <c r="AW17" s="154"/>
      <c r="AX17" s="154"/>
      <c r="AY17" s="154"/>
      <c r="AZ17" s="154"/>
      <c r="BA17" s="154"/>
      <c r="BB17" s="154"/>
      <c r="BC17" s="154"/>
      <c r="BD17" s="154"/>
      <c r="BE17" s="154"/>
      <c r="BF17" s="154"/>
      <c r="BG17" s="154"/>
      <c r="BH17" s="154"/>
      <c r="BI17" s="154"/>
      <c r="BJ17" s="154"/>
      <c r="BK17" s="154"/>
      <c r="BL17" s="154"/>
      <c r="BM17" s="154"/>
    </row>
    <row r="18" spans="1:65" s="155" customFormat="1" ht="17.25" customHeight="1" thickBot="1" x14ac:dyDescent="0.35">
      <c r="A18" s="163">
        <v>44561</v>
      </c>
      <c r="B18" s="164">
        <v>48.5</v>
      </c>
      <c r="C18" s="164">
        <v>47.581600000000002</v>
      </c>
      <c r="D18" s="164">
        <v>40.707999999999998</v>
      </c>
      <c r="E18" s="164">
        <v>51.773400000000002</v>
      </c>
      <c r="F18" s="164">
        <v>52.63</v>
      </c>
      <c r="G18" s="164">
        <v>32.94</v>
      </c>
      <c r="H18" s="164" t="s">
        <v>495</v>
      </c>
      <c r="I18" s="164">
        <v>54.36</v>
      </c>
      <c r="J18" s="164">
        <v>46.6</v>
      </c>
      <c r="K18" s="164">
        <v>47.9</v>
      </c>
      <c r="L18" s="164" t="s">
        <v>495</v>
      </c>
      <c r="M18" s="164">
        <v>54.66</v>
      </c>
      <c r="N18" s="164">
        <v>109.06</v>
      </c>
      <c r="O18" s="164">
        <v>38.380000000000003</v>
      </c>
      <c r="P18" s="164">
        <v>46.28</v>
      </c>
      <c r="Q18" s="185" t="s">
        <v>621</v>
      </c>
      <c r="R18" s="185">
        <v>0</v>
      </c>
      <c r="S18" s="164" t="s">
        <v>495</v>
      </c>
      <c r="T18" s="164">
        <v>52.88</v>
      </c>
      <c r="U18" s="164">
        <v>52.08</v>
      </c>
      <c r="V18" s="164">
        <v>49.335000000000001</v>
      </c>
      <c r="W18" s="164">
        <v>55.08</v>
      </c>
      <c r="X18" s="164" t="s">
        <v>495</v>
      </c>
      <c r="Y18" s="164">
        <v>43.72</v>
      </c>
      <c r="Z18" s="164">
        <v>39.61</v>
      </c>
      <c r="AA18" s="185" t="s">
        <v>621</v>
      </c>
      <c r="AB18" s="180">
        <v>47.962200000000003</v>
      </c>
      <c r="AC18" s="202">
        <v>50.584960759144458</v>
      </c>
      <c r="AD18" s="165">
        <v>44561</v>
      </c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4"/>
      <c r="AW18" s="154"/>
      <c r="AX18" s="154"/>
      <c r="AY18" s="154"/>
      <c r="AZ18" s="154"/>
      <c r="BA18" s="154"/>
      <c r="BB18" s="154"/>
      <c r="BC18" s="154"/>
      <c r="BD18" s="154"/>
      <c r="BE18" s="154"/>
      <c r="BF18" s="154"/>
      <c r="BG18" s="154"/>
      <c r="BH18" s="154"/>
      <c r="BI18" s="154"/>
      <c r="BJ18" s="154"/>
      <c r="BK18" s="154"/>
      <c r="BL18" s="154"/>
      <c r="BM18" s="154"/>
    </row>
    <row r="19" spans="1:65" s="155" customFormat="1" ht="17.25" customHeight="1" x14ac:dyDescent="0.3">
      <c r="A19" s="157">
        <v>44592</v>
      </c>
      <c r="B19" s="174">
        <v>48.1</v>
      </c>
      <c r="C19" s="174">
        <v>47.5458</v>
      </c>
      <c r="D19" s="174">
        <v>43.5839</v>
      </c>
      <c r="E19" s="174">
        <v>51.742600000000003</v>
      </c>
      <c r="F19" s="174">
        <v>52.84</v>
      </c>
      <c r="G19" s="174">
        <v>35.770000000000003</v>
      </c>
      <c r="H19" s="174" t="s">
        <v>495</v>
      </c>
      <c r="I19" s="174">
        <v>54.35</v>
      </c>
      <c r="J19" s="174">
        <v>46.89</v>
      </c>
      <c r="K19" s="174">
        <v>47.21</v>
      </c>
      <c r="L19" s="174" t="s">
        <v>495</v>
      </c>
      <c r="M19" s="174">
        <v>54.55</v>
      </c>
      <c r="N19" s="174">
        <v>103</v>
      </c>
      <c r="O19" s="174">
        <v>39.72</v>
      </c>
      <c r="P19" s="174">
        <v>46.26</v>
      </c>
      <c r="Q19" s="186" t="s">
        <v>621</v>
      </c>
      <c r="R19" s="186" t="s">
        <v>621</v>
      </c>
      <c r="S19" s="174" t="s">
        <v>495</v>
      </c>
      <c r="T19" s="174">
        <v>53</v>
      </c>
      <c r="U19" s="174">
        <v>50.53</v>
      </c>
      <c r="V19" s="174">
        <v>48.996099999999998</v>
      </c>
      <c r="W19" s="174">
        <v>52</v>
      </c>
      <c r="X19" s="174" t="s">
        <v>495</v>
      </c>
      <c r="Y19" s="174">
        <v>44.71</v>
      </c>
      <c r="Z19" s="174">
        <v>40.76</v>
      </c>
      <c r="AA19" s="186" t="s">
        <v>621</v>
      </c>
      <c r="AB19" s="181">
        <v>47.638199999999998</v>
      </c>
      <c r="AC19" s="203">
        <v>50.283623665074302</v>
      </c>
      <c r="AD19" s="175">
        <v>44562</v>
      </c>
      <c r="AJ19" s="154"/>
      <c r="AK19" s="154"/>
      <c r="AL19" s="154"/>
      <c r="AM19" s="154"/>
      <c r="AN19" s="154"/>
      <c r="AO19" s="154"/>
      <c r="AP19" s="154"/>
      <c r="AQ19" s="154"/>
      <c r="AR19" s="154"/>
      <c r="AS19" s="154"/>
      <c r="AT19" s="154"/>
      <c r="AU19" s="154"/>
      <c r="AV19" s="154"/>
      <c r="AW19" s="154"/>
      <c r="AX19" s="154"/>
      <c r="AY19" s="154"/>
      <c r="AZ19" s="154"/>
      <c r="BA19" s="154"/>
      <c r="BB19" s="154"/>
      <c r="BC19" s="154"/>
      <c r="BD19" s="154"/>
      <c r="BE19" s="154"/>
      <c r="BF19" s="154"/>
      <c r="BG19" s="154"/>
      <c r="BH19" s="154"/>
      <c r="BI19" s="154"/>
      <c r="BJ19" s="154"/>
      <c r="BK19" s="154"/>
      <c r="BL19" s="154"/>
      <c r="BM19" s="154"/>
    </row>
    <row r="20" spans="1:65" s="155" customFormat="1" ht="17.25" customHeight="1" x14ac:dyDescent="0.3">
      <c r="A20" s="161">
        <v>44620</v>
      </c>
      <c r="B20" s="176">
        <v>47.46</v>
      </c>
      <c r="C20" s="176">
        <v>47.607100000000003</v>
      </c>
      <c r="D20" s="176">
        <v>44.426099999999998</v>
      </c>
      <c r="E20" s="176">
        <v>51.741399999999999</v>
      </c>
      <c r="F20" s="176">
        <v>53.15</v>
      </c>
      <c r="G20" s="176">
        <v>38.799999999999997</v>
      </c>
      <c r="H20" s="176" t="s">
        <v>495</v>
      </c>
      <c r="I20" s="176">
        <v>55.88</v>
      </c>
      <c r="J20" s="176">
        <v>46.89</v>
      </c>
      <c r="K20" s="176">
        <v>46.77</v>
      </c>
      <c r="L20" s="176" t="s">
        <v>495</v>
      </c>
      <c r="M20" s="176">
        <v>54.75</v>
      </c>
      <c r="N20" s="176">
        <v>101.88</v>
      </c>
      <c r="O20" s="176">
        <v>40.840000000000003</v>
      </c>
      <c r="P20" s="176">
        <v>47.01</v>
      </c>
      <c r="Q20" s="183" t="s">
        <v>621</v>
      </c>
      <c r="R20" s="183" t="s">
        <v>621</v>
      </c>
      <c r="S20" s="176" t="s">
        <v>495</v>
      </c>
      <c r="T20" s="176">
        <v>54.88</v>
      </c>
      <c r="U20" s="176">
        <v>51.33</v>
      </c>
      <c r="V20" s="176">
        <v>50.363999999999997</v>
      </c>
      <c r="W20" s="176">
        <v>51.78</v>
      </c>
      <c r="X20" s="176" t="s">
        <v>495</v>
      </c>
      <c r="Y20" s="176">
        <v>41.33</v>
      </c>
      <c r="Z20" s="176">
        <v>41.82</v>
      </c>
      <c r="AA20" s="183" t="s">
        <v>621</v>
      </c>
      <c r="AB20" s="178">
        <v>47.474600000000002</v>
      </c>
      <c r="AC20" s="200">
        <v>50.459335028242627</v>
      </c>
      <c r="AD20" s="158">
        <v>44593</v>
      </c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4"/>
      <c r="AU20" s="154"/>
      <c r="AV20" s="154"/>
      <c r="AW20" s="154"/>
      <c r="AX20" s="154"/>
      <c r="AY20" s="154"/>
      <c r="AZ20" s="154"/>
      <c r="BA20" s="154"/>
      <c r="BB20" s="154"/>
      <c r="BC20" s="154"/>
      <c r="BD20" s="154"/>
      <c r="BE20" s="154"/>
      <c r="BF20" s="154"/>
      <c r="BG20" s="154"/>
      <c r="BH20" s="154"/>
      <c r="BI20" s="154"/>
      <c r="BJ20" s="154"/>
      <c r="BK20" s="154"/>
      <c r="BL20" s="154"/>
      <c r="BM20" s="154"/>
    </row>
    <row r="21" spans="1:65" s="155" customFormat="1" ht="17.25" customHeight="1" x14ac:dyDescent="0.3">
      <c r="A21" s="161">
        <v>44651</v>
      </c>
      <c r="B21" s="176">
        <v>48.56</v>
      </c>
      <c r="C21" s="176">
        <v>47.8065</v>
      </c>
      <c r="D21" s="176">
        <v>44.942300000000003</v>
      </c>
      <c r="E21" s="176">
        <v>53.759900000000002</v>
      </c>
      <c r="F21" s="176">
        <v>54.12</v>
      </c>
      <c r="G21" s="176">
        <v>38.54</v>
      </c>
      <c r="H21" s="176" t="s">
        <v>495</v>
      </c>
      <c r="I21" s="176">
        <v>56.08</v>
      </c>
      <c r="J21" s="176">
        <v>46.8</v>
      </c>
      <c r="K21" s="176">
        <v>46</v>
      </c>
      <c r="L21" s="176" t="s">
        <v>495</v>
      </c>
      <c r="M21" s="176">
        <v>54.75</v>
      </c>
      <c r="N21" s="176">
        <v>104.93</v>
      </c>
      <c r="O21" s="176">
        <v>40.299999999999997</v>
      </c>
      <c r="P21" s="176">
        <v>50.06</v>
      </c>
      <c r="Q21" s="183" t="s">
        <v>621</v>
      </c>
      <c r="R21" s="183" t="s">
        <v>621</v>
      </c>
      <c r="S21" s="176" t="s">
        <v>495</v>
      </c>
      <c r="T21" s="176">
        <v>56</v>
      </c>
      <c r="U21" s="176">
        <v>52.39</v>
      </c>
      <c r="V21" s="176">
        <v>50.162599999999998</v>
      </c>
      <c r="W21" s="176">
        <v>51.87</v>
      </c>
      <c r="X21" s="176" t="s">
        <v>495</v>
      </c>
      <c r="Y21" s="176">
        <v>48.97</v>
      </c>
      <c r="Z21" s="176">
        <v>41.9</v>
      </c>
      <c r="AA21" s="183" t="s">
        <v>621</v>
      </c>
      <c r="AB21" s="178">
        <v>48.7819</v>
      </c>
      <c r="AC21" s="201">
        <v>51.157018658211584</v>
      </c>
      <c r="AD21" s="160">
        <v>44621</v>
      </c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4"/>
      <c r="AU21" s="154"/>
      <c r="AV21" s="154"/>
      <c r="AW21" s="154"/>
      <c r="AX21" s="154"/>
      <c r="AY21" s="154"/>
      <c r="AZ21" s="154"/>
      <c r="BA21" s="154"/>
      <c r="BB21" s="154"/>
      <c r="BC21" s="154"/>
      <c r="BD21" s="154"/>
      <c r="BE21" s="154"/>
      <c r="BF21" s="154"/>
      <c r="BG21" s="154"/>
      <c r="BH21" s="154"/>
      <c r="BI21" s="154"/>
      <c r="BJ21" s="154"/>
      <c r="BK21" s="154"/>
      <c r="BL21" s="154"/>
      <c r="BM21" s="154"/>
    </row>
    <row r="22" spans="1:65" s="155" customFormat="1" ht="17.25" customHeight="1" x14ac:dyDescent="0.3">
      <c r="A22" s="161">
        <v>44681</v>
      </c>
      <c r="B22" s="176">
        <v>48.96</v>
      </c>
      <c r="C22" s="176">
        <v>48.363799999999998</v>
      </c>
      <c r="D22" s="176">
        <v>47.083599999999997</v>
      </c>
      <c r="E22" s="176">
        <v>54.308599999999998</v>
      </c>
      <c r="F22" s="176">
        <v>54.62</v>
      </c>
      <c r="G22" s="176">
        <v>41.64</v>
      </c>
      <c r="H22" s="176" t="s">
        <v>495</v>
      </c>
      <c r="I22" s="176">
        <v>56.32</v>
      </c>
      <c r="J22" s="176">
        <v>46.6</v>
      </c>
      <c r="K22" s="176">
        <v>40.69</v>
      </c>
      <c r="L22" s="176" t="s">
        <v>495</v>
      </c>
      <c r="M22" s="176">
        <v>55.59</v>
      </c>
      <c r="N22" s="176">
        <v>104.73</v>
      </c>
      <c r="O22" s="176">
        <v>42.88</v>
      </c>
      <c r="P22" s="176">
        <v>52.93</v>
      </c>
      <c r="Q22" s="183" t="s">
        <v>621</v>
      </c>
      <c r="R22" s="183" t="s">
        <v>621</v>
      </c>
      <c r="S22" s="176" t="s">
        <v>495</v>
      </c>
      <c r="T22" s="176">
        <v>57.5</v>
      </c>
      <c r="U22" s="176">
        <v>54.02</v>
      </c>
      <c r="V22" s="176">
        <v>53.194699999999997</v>
      </c>
      <c r="W22" s="176">
        <v>53.31</v>
      </c>
      <c r="X22" s="176" t="s">
        <v>495</v>
      </c>
      <c r="Y22" s="176">
        <v>49.81</v>
      </c>
      <c r="Z22" s="176">
        <v>42.04</v>
      </c>
      <c r="AA22" s="183" t="s">
        <v>621</v>
      </c>
      <c r="AB22" s="178">
        <v>50.2348</v>
      </c>
      <c r="AC22" s="201">
        <v>50.697406068535948</v>
      </c>
      <c r="AD22" s="160">
        <v>44652</v>
      </c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4"/>
      <c r="AW22" s="154"/>
      <c r="AX22" s="154"/>
      <c r="AY22" s="154"/>
      <c r="AZ22" s="154"/>
      <c r="BA22" s="154"/>
      <c r="BB22" s="154"/>
      <c r="BC22" s="154"/>
      <c r="BD22" s="154"/>
      <c r="BE22" s="154"/>
      <c r="BF22" s="154"/>
      <c r="BG22" s="154"/>
      <c r="BH22" s="154"/>
      <c r="BI22" s="154"/>
      <c r="BJ22" s="154"/>
      <c r="BK22" s="154"/>
      <c r="BL22" s="154"/>
      <c r="BM22" s="154"/>
    </row>
    <row r="23" spans="1:65" s="155" customFormat="1" ht="17.25" customHeight="1" x14ac:dyDescent="0.3">
      <c r="A23" s="161">
        <v>44712</v>
      </c>
      <c r="B23" s="176">
        <v>51.4</v>
      </c>
      <c r="C23" s="176">
        <v>52.1066</v>
      </c>
      <c r="D23" s="176">
        <v>48.631700000000002</v>
      </c>
      <c r="E23" s="176">
        <v>57.253100000000003</v>
      </c>
      <c r="F23" s="176">
        <v>55.53</v>
      </c>
      <c r="G23" s="176">
        <v>44.86</v>
      </c>
      <c r="H23" s="176" t="s">
        <v>495</v>
      </c>
      <c r="I23" s="176">
        <v>56.65</v>
      </c>
      <c r="J23" s="176">
        <v>50.29</v>
      </c>
      <c r="K23" s="176">
        <v>40.76</v>
      </c>
      <c r="L23" s="176" t="s">
        <v>495</v>
      </c>
      <c r="M23" s="176">
        <v>55.59</v>
      </c>
      <c r="N23" s="176">
        <v>104.43</v>
      </c>
      <c r="O23" s="176">
        <v>44.67</v>
      </c>
      <c r="P23" s="176">
        <v>55.49</v>
      </c>
      <c r="Q23" s="183" t="s">
        <v>621</v>
      </c>
      <c r="R23" s="183" t="s">
        <v>621</v>
      </c>
      <c r="S23" s="176" t="s">
        <v>495</v>
      </c>
      <c r="T23" s="176">
        <v>60</v>
      </c>
      <c r="U23" s="176">
        <v>55.54</v>
      </c>
      <c r="V23" s="176">
        <v>54.408799999999999</v>
      </c>
      <c r="W23" s="176">
        <v>54.56</v>
      </c>
      <c r="X23" s="176" t="s">
        <v>495</v>
      </c>
      <c r="Y23" s="176">
        <v>52.21</v>
      </c>
      <c r="Z23" s="176">
        <v>43.08</v>
      </c>
      <c r="AA23" s="183" t="s">
        <v>621</v>
      </c>
      <c r="AB23" s="178">
        <v>52.183399999999999</v>
      </c>
      <c r="AC23" s="201">
        <v>51.950761598620801</v>
      </c>
      <c r="AD23" s="160">
        <v>44682</v>
      </c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4"/>
      <c r="AU23" s="154"/>
      <c r="AV23" s="154"/>
      <c r="AW23" s="154"/>
      <c r="AX23" s="154"/>
      <c r="AY23" s="154"/>
      <c r="AZ23" s="154"/>
      <c r="BA23" s="154"/>
      <c r="BB23" s="154"/>
      <c r="BC23" s="154"/>
      <c r="BD23" s="154"/>
      <c r="BE23" s="154"/>
      <c r="BF23" s="154"/>
      <c r="BG23" s="154"/>
      <c r="BH23" s="154"/>
      <c r="BI23" s="154"/>
      <c r="BJ23" s="154"/>
      <c r="BK23" s="154"/>
      <c r="BL23" s="154"/>
      <c r="BM23" s="154"/>
    </row>
    <row r="24" spans="1:65" s="155" customFormat="1" ht="17.25" customHeight="1" x14ac:dyDescent="0.3">
      <c r="A24" s="161">
        <v>44742</v>
      </c>
      <c r="B24" s="176">
        <v>53.61</v>
      </c>
      <c r="C24" s="176">
        <v>52.285499999999999</v>
      </c>
      <c r="D24" s="176">
        <v>48.453600000000002</v>
      </c>
      <c r="E24" s="176">
        <v>62.238300000000002</v>
      </c>
      <c r="F24" s="176">
        <v>55.53</v>
      </c>
      <c r="G24" s="176">
        <v>46.91</v>
      </c>
      <c r="H24" s="176" t="s">
        <v>495</v>
      </c>
      <c r="I24" s="176">
        <v>57.99</v>
      </c>
      <c r="J24" s="176">
        <v>50.49</v>
      </c>
      <c r="K24" s="176">
        <v>42.42</v>
      </c>
      <c r="L24" s="176" t="s">
        <v>495</v>
      </c>
      <c r="M24" s="176">
        <v>56.82</v>
      </c>
      <c r="N24" s="176">
        <v>103.7</v>
      </c>
      <c r="O24" s="176">
        <v>46.12</v>
      </c>
      <c r="P24" s="176">
        <v>55.89</v>
      </c>
      <c r="Q24" s="183" t="s">
        <v>621</v>
      </c>
      <c r="R24" s="183" t="s">
        <v>621</v>
      </c>
      <c r="S24" s="176" t="s">
        <v>495</v>
      </c>
      <c r="T24" s="176">
        <v>62.75</v>
      </c>
      <c r="U24" s="176">
        <v>55.83</v>
      </c>
      <c r="V24" s="176">
        <v>57.615499999999997</v>
      </c>
      <c r="W24" s="176">
        <v>54.54</v>
      </c>
      <c r="X24" s="176" t="s">
        <v>495</v>
      </c>
      <c r="Y24" s="176">
        <v>53.01</v>
      </c>
      <c r="Z24" s="176">
        <v>43.72</v>
      </c>
      <c r="AA24" s="183" t="s">
        <v>621</v>
      </c>
      <c r="AB24" s="178">
        <v>54.203299999999999</v>
      </c>
      <c r="AC24" s="201">
        <v>53.500961238905909</v>
      </c>
      <c r="AD24" s="160">
        <v>44713</v>
      </c>
      <c r="AJ24" s="154"/>
      <c r="AK24" s="154"/>
      <c r="AL24" s="154"/>
      <c r="AM24" s="154"/>
      <c r="AN24" s="154"/>
      <c r="AO24" s="154"/>
      <c r="AP24" s="154"/>
      <c r="AQ24" s="154"/>
      <c r="AR24" s="154"/>
      <c r="AS24" s="154"/>
      <c r="AT24" s="154"/>
      <c r="AU24" s="154"/>
      <c r="AV24" s="154"/>
      <c r="AW24" s="154"/>
      <c r="AX24" s="154"/>
      <c r="AY24" s="154"/>
      <c r="AZ24" s="154"/>
      <c r="BA24" s="154"/>
      <c r="BB24" s="154"/>
      <c r="BC24" s="154"/>
      <c r="BD24" s="154"/>
      <c r="BE24" s="154"/>
      <c r="BF24" s="154"/>
      <c r="BG24" s="154"/>
      <c r="BH24" s="154"/>
      <c r="BI24" s="154"/>
      <c r="BJ24" s="154"/>
      <c r="BK24" s="154"/>
      <c r="BL24" s="154"/>
      <c r="BM24" s="154"/>
    </row>
    <row r="25" spans="1:65" s="155" customFormat="1" ht="17.25" customHeight="1" x14ac:dyDescent="0.3">
      <c r="A25" s="161">
        <v>44773</v>
      </c>
      <c r="B25" s="176">
        <v>54.07</v>
      </c>
      <c r="C25" s="176">
        <v>52.725200000000001</v>
      </c>
      <c r="D25" s="176">
        <v>49.581899999999997</v>
      </c>
      <c r="E25" s="176">
        <v>64.360600000000005</v>
      </c>
      <c r="F25" s="176">
        <v>56.82</v>
      </c>
      <c r="G25" s="176">
        <v>47.27</v>
      </c>
      <c r="H25" s="176" t="s">
        <v>495</v>
      </c>
      <c r="I25" s="176">
        <v>59.68</v>
      </c>
      <c r="J25" s="176">
        <v>50.78</v>
      </c>
      <c r="K25" s="176">
        <v>46.16</v>
      </c>
      <c r="L25" s="176" t="s">
        <v>495</v>
      </c>
      <c r="M25" s="176">
        <v>56.82</v>
      </c>
      <c r="N25" s="176">
        <v>101.52</v>
      </c>
      <c r="O25" s="176">
        <v>47.3</v>
      </c>
      <c r="P25" s="176">
        <v>55.82</v>
      </c>
      <c r="Q25" s="183" t="s">
        <v>621</v>
      </c>
      <c r="R25" s="183" t="s">
        <v>621</v>
      </c>
      <c r="S25" s="176" t="s">
        <v>495</v>
      </c>
      <c r="T25" s="176">
        <v>62.88</v>
      </c>
      <c r="U25" s="176">
        <v>58.66</v>
      </c>
      <c r="V25" s="176">
        <v>57.475200000000001</v>
      </c>
      <c r="W25" s="176">
        <v>55.42</v>
      </c>
      <c r="X25" s="176" t="s">
        <v>495</v>
      </c>
      <c r="Y25" s="176">
        <v>53.62</v>
      </c>
      <c r="Z25" s="176">
        <v>45.24</v>
      </c>
      <c r="AA25" s="183" t="s">
        <v>621</v>
      </c>
      <c r="AB25" s="178">
        <v>56.399799999999999</v>
      </c>
      <c r="AC25" s="201">
        <v>55.553560070964728</v>
      </c>
      <c r="AD25" s="160">
        <v>44743</v>
      </c>
      <c r="AJ25" s="154"/>
      <c r="AK25" s="154"/>
      <c r="AL25" s="154"/>
      <c r="AM25" s="154"/>
      <c r="AN25" s="154"/>
      <c r="AO25" s="154"/>
      <c r="AP25" s="154"/>
      <c r="AQ25" s="154"/>
      <c r="AR25" s="154"/>
      <c r="AS25" s="154"/>
      <c r="AT25" s="154"/>
      <c r="AU25" s="154"/>
      <c r="AV25" s="154"/>
      <c r="AW25" s="154"/>
      <c r="AX25" s="154"/>
      <c r="AY25" s="154"/>
      <c r="AZ25" s="154"/>
      <c r="BA25" s="154"/>
      <c r="BB25" s="154"/>
      <c r="BC25" s="154"/>
      <c r="BD25" s="154"/>
      <c r="BE25" s="154"/>
      <c r="BF25" s="154"/>
      <c r="BG25" s="154"/>
      <c r="BH25" s="154"/>
      <c r="BI25" s="154"/>
      <c r="BJ25" s="154"/>
      <c r="BK25" s="154"/>
      <c r="BL25" s="154"/>
      <c r="BM25" s="154"/>
    </row>
    <row r="26" spans="1:65" s="155" customFormat="1" ht="17.25" customHeight="1" x14ac:dyDescent="0.3">
      <c r="A26" s="161">
        <v>44804</v>
      </c>
      <c r="B26" s="176">
        <v>55.33</v>
      </c>
      <c r="C26" s="176">
        <v>53.272300000000001</v>
      </c>
      <c r="D26" s="176">
        <v>49.940600000000003</v>
      </c>
      <c r="E26" s="176">
        <v>65.327399999999997</v>
      </c>
      <c r="F26" s="176">
        <v>58.21</v>
      </c>
      <c r="G26" s="176">
        <v>48.51</v>
      </c>
      <c r="H26" s="176" t="s">
        <v>495</v>
      </c>
      <c r="I26" s="176">
        <v>61.92</v>
      </c>
      <c r="J26" s="176">
        <v>51.36</v>
      </c>
      <c r="K26" s="176">
        <v>49.51</v>
      </c>
      <c r="L26" s="176" t="s">
        <v>495</v>
      </c>
      <c r="M26" s="176">
        <v>60.9</v>
      </c>
      <c r="N26" s="176">
        <v>100.49</v>
      </c>
      <c r="O26" s="176">
        <v>47.9</v>
      </c>
      <c r="P26" s="176">
        <v>55.89</v>
      </c>
      <c r="Q26" s="183" t="s">
        <v>621</v>
      </c>
      <c r="R26" s="183" t="s">
        <v>621</v>
      </c>
      <c r="S26" s="176" t="s">
        <v>495</v>
      </c>
      <c r="T26" s="176">
        <v>64.38</v>
      </c>
      <c r="U26" s="176">
        <v>59.4</v>
      </c>
      <c r="V26" s="176">
        <v>57.489600000000003</v>
      </c>
      <c r="W26" s="176">
        <v>56.03</v>
      </c>
      <c r="X26" s="176" t="s">
        <v>495</v>
      </c>
      <c r="Y26" s="176">
        <v>55.97</v>
      </c>
      <c r="Z26" s="176">
        <v>46.31</v>
      </c>
      <c r="AA26" s="183" t="s">
        <v>621</v>
      </c>
      <c r="AB26" s="178">
        <v>58.142800000000001</v>
      </c>
      <c r="AC26" s="201">
        <v>57.359950718869399</v>
      </c>
      <c r="AD26" s="160">
        <v>44774</v>
      </c>
      <c r="AJ26" s="154"/>
      <c r="AK26" s="154"/>
      <c r="AL26" s="154"/>
      <c r="AM26" s="154"/>
      <c r="AN26" s="154"/>
      <c r="AO26" s="154"/>
      <c r="AP26" s="154"/>
      <c r="AQ26" s="154"/>
      <c r="AR26" s="154"/>
      <c r="AS26" s="154"/>
      <c r="AT26" s="154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</row>
    <row r="27" spans="1:65" s="155" customFormat="1" ht="17.25" customHeight="1" x14ac:dyDescent="0.3">
      <c r="A27" s="161">
        <v>44834</v>
      </c>
      <c r="B27" s="176">
        <v>58.72</v>
      </c>
      <c r="C27" s="176">
        <v>54.116</v>
      </c>
      <c r="D27" s="176">
        <v>49.702300000000001</v>
      </c>
      <c r="E27" s="176">
        <v>65.351900000000001</v>
      </c>
      <c r="F27" s="176">
        <v>60.83</v>
      </c>
      <c r="G27" s="176">
        <v>48.7</v>
      </c>
      <c r="H27" s="176" t="s">
        <v>495</v>
      </c>
      <c r="I27" s="176">
        <v>61.92</v>
      </c>
      <c r="J27" s="176">
        <v>55.63</v>
      </c>
      <c r="K27" s="176">
        <v>50.64</v>
      </c>
      <c r="L27" s="176" t="s">
        <v>495</v>
      </c>
      <c r="M27" s="176">
        <v>62.93</v>
      </c>
      <c r="N27" s="176">
        <v>102.94</v>
      </c>
      <c r="O27" s="176">
        <v>47.5</v>
      </c>
      <c r="P27" s="176">
        <v>58.16</v>
      </c>
      <c r="Q27" s="183" t="s">
        <v>621</v>
      </c>
      <c r="R27" s="183" t="s">
        <v>621</v>
      </c>
      <c r="S27" s="176" t="s">
        <v>495</v>
      </c>
      <c r="T27" s="176">
        <v>63.88</v>
      </c>
      <c r="U27" s="176">
        <v>61.89</v>
      </c>
      <c r="V27" s="176">
        <v>59.009599999999999</v>
      </c>
      <c r="W27" s="176">
        <v>58.33</v>
      </c>
      <c r="X27" s="176" t="s">
        <v>495</v>
      </c>
      <c r="Y27" s="176">
        <v>61.19</v>
      </c>
      <c r="Z27" s="176">
        <v>47.34</v>
      </c>
      <c r="AA27" s="183" t="s">
        <v>621</v>
      </c>
      <c r="AB27" s="178">
        <v>59.3078</v>
      </c>
      <c r="AC27" s="201">
        <v>58.923058683109467</v>
      </c>
      <c r="AD27" s="160">
        <v>44805</v>
      </c>
      <c r="AJ27" s="154"/>
      <c r="AK27" s="154"/>
      <c r="AL27" s="154"/>
      <c r="AM27" s="154"/>
      <c r="AN27" s="154"/>
      <c r="AO27" s="154"/>
      <c r="AP27" s="154"/>
      <c r="AQ27" s="154"/>
      <c r="AR27" s="154"/>
      <c r="AS27" s="154"/>
      <c r="AT27" s="154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</row>
    <row r="28" spans="1:65" s="155" customFormat="1" ht="17.25" customHeight="1" x14ac:dyDescent="0.3">
      <c r="A28" s="161">
        <v>44865</v>
      </c>
      <c r="B28" s="176">
        <v>60.77</v>
      </c>
      <c r="C28" s="176">
        <v>60.067500000000003</v>
      </c>
      <c r="D28" s="176">
        <v>51.481699999999996</v>
      </c>
      <c r="E28" s="176">
        <v>65.3352</v>
      </c>
      <c r="F28" s="176">
        <v>63.23</v>
      </c>
      <c r="G28" s="176">
        <v>50.81</v>
      </c>
      <c r="H28" s="176" t="s">
        <v>495</v>
      </c>
      <c r="I28" s="176">
        <v>62.91</v>
      </c>
      <c r="J28" s="176">
        <v>58.16</v>
      </c>
      <c r="K28" s="176">
        <v>51.01</v>
      </c>
      <c r="L28" s="176" t="s">
        <v>495</v>
      </c>
      <c r="M28" s="176">
        <v>63.09</v>
      </c>
      <c r="N28" s="176">
        <v>103.21</v>
      </c>
      <c r="O28" s="176">
        <v>47.56</v>
      </c>
      <c r="P28" s="176">
        <v>61.63</v>
      </c>
      <c r="Q28" s="183" t="s">
        <v>621</v>
      </c>
      <c r="R28" s="183" t="s">
        <v>621</v>
      </c>
      <c r="S28" s="176" t="s">
        <v>495</v>
      </c>
      <c r="T28" s="176">
        <v>65.75</v>
      </c>
      <c r="U28" s="176">
        <v>62.63</v>
      </c>
      <c r="V28" s="176">
        <v>59.367699999999999</v>
      </c>
      <c r="W28" s="176">
        <v>64.739999999999995</v>
      </c>
      <c r="X28" s="176" t="s">
        <v>495</v>
      </c>
      <c r="Y28" s="176">
        <v>62.61</v>
      </c>
      <c r="Z28" s="176">
        <v>50.9</v>
      </c>
      <c r="AA28" s="183" t="s">
        <v>621</v>
      </c>
      <c r="AB28" s="178">
        <v>60.078099999999999</v>
      </c>
      <c r="AC28" s="201">
        <v>60.045245510447515</v>
      </c>
      <c r="AD28" s="160">
        <v>44835</v>
      </c>
      <c r="AJ28" s="154"/>
      <c r="AK28" s="154"/>
      <c r="AL28" s="154"/>
      <c r="AM28" s="154"/>
      <c r="AN28" s="154"/>
      <c r="AO28" s="154"/>
      <c r="AP28" s="154"/>
      <c r="AQ28" s="154"/>
      <c r="AR28" s="154"/>
      <c r="AS28" s="154"/>
      <c r="AT28" s="154"/>
      <c r="AU28" s="154"/>
      <c r="AV28" s="154"/>
      <c r="AW28" s="154"/>
      <c r="AX28" s="154"/>
      <c r="AY28" s="154"/>
      <c r="AZ28" s="154"/>
      <c r="BA28" s="154"/>
      <c r="BB28" s="154"/>
      <c r="BC28" s="154"/>
      <c r="BD28" s="154"/>
      <c r="BE28" s="154"/>
      <c r="BF28" s="154"/>
      <c r="BG28" s="154"/>
      <c r="BH28" s="154"/>
      <c r="BI28" s="154"/>
      <c r="BJ28" s="154"/>
      <c r="BK28" s="154"/>
      <c r="BL28" s="154"/>
      <c r="BM28" s="154"/>
    </row>
    <row r="29" spans="1:65" s="155" customFormat="1" ht="17.25" customHeight="1" x14ac:dyDescent="0.3">
      <c r="A29" s="161">
        <v>44895</v>
      </c>
      <c r="B29" s="176">
        <v>61.29</v>
      </c>
      <c r="C29" s="176">
        <v>59.366999999999997</v>
      </c>
      <c r="D29" s="176">
        <v>53.358499999999999</v>
      </c>
      <c r="E29" s="176">
        <v>66.944299999999998</v>
      </c>
      <c r="F29" s="176">
        <v>64.33</v>
      </c>
      <c r="G29" s="176">
        <v>51.33</v>
      </c>
      <c r="H29" s="176" t="s">
        <v>495</v>
      </c>
      <c r="I29" s="176">
        <v>62.85</v>
      </c>
      <c r="J29" s="176">
        <v>62.43</v>
      </c>
      <c r="K29" s="176">
        <v>51.37</v>
      </c>
      <c r="L29" s="176" t="s">
        <v>495</v>
      </c>
      <c r="M29" s="176">
        <v>63.09</v>
      </c>
      <c r="N29" s="176">
        <v>104.28</v>
      </c>
      <c r="O29" s="176">
        <v>47.62</v>
      </c>
      <c r="P29" s="176">
        <v>61.11</v>
      </c>
      <c r="Q29" s="183" t="s">
        <v>621</v>
      </c>
      <c r="R29" s="183" t="s">
        <v>621</v>
      </c>
      <c r="S29" s="176" t="s">
        <v>495</v>
      </c>
      <c r="T29" s="176">
        <v>65.75</v>
      </c>
      <c r="U29" s="176">
        <v>64.16</v>
      </c>
      <c r="V29" s="176">
        <v>63.432699999999997</v>
      </c>
      <c r="W29" s="176">
        <v>64.62</v>
      </c>
      <c r="X29" s="176">
        <v>50.299100000000003</v>
      </c>
      <c r="Y29" s="176">
        <v>64.14</v>
      </c>
      <c r="Z29" s="176">
        <v>49.97</v>
      </c>
      <c r="AA29" s="183" t="s">
        <v>621</v>
      </c>
      <c r="AB29" s="178">
        <v>61.734099999999998</v>
      </c>
      <c r="AC29" s="201">
        <v>61.030835041046338</v>
      </c>
      <c r="AD29" s="160">
        <v>44866</v>
      </c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/>
      <c r="AX29" s="154"/>
      <c r="AY29" s="154"/>
      <c r="AZ29" s="154"/>
      <c r="BA29" s="154"/>
      <c r="BB29" s="154"/>
      <c r="BC29" s="154"/>
      <c r="BD29" s="154"/>
      <c r="BE29" s="154"/>
      <c r="BF29" s="154"/>
      <c r="BG29" s="154"/>
      <c r="BH29" s="154"/>
      <c r="BI29" s="154"/>
      <c r="BJ29" s="154"/>
      <c r="BK29" s="154"/>
      <c r="BL29" s="154"/>
      <c r="BM29" s="154"/>
    </row>
    <row r="30" spans="1:65" s="155" customFormat="1" ht="17.25" customHeight="1" thickBot="1" x14ac:dyDescent="0.35">
      <c r="A30" s="163">
        <v>44926</v>
      </c>
      <c r="B30" s="164">
        <v>61.4</v>
      </c>
      <c r="C30" s="164">
        <v>59.387500000000003</v>
      </c>
      <c r="D30" s="164">
        <v>52.538800000000002</v>
      </c>
      <c r="E30" s="164">
        <v>66.957899999999995</v>
      </c>
      <c r="F30" s="164">
        <v>64.709999999999994</v>
      </c>
      <c r="G30" s="164">
        <v>52.21</v>
      </c>
      <c r="H30" s="164" t="s">
        <v>495</v>
      </c>
      <c r="I30" s="164">
        <v>60.53</v>
      </c>
      <c r="J30" s="164">
        <v>63.69</v>
      </c>
      <c r="K30" s="164">
        <v>51.11</v>
      </c>
      <c r="L30" s="164" t="s">
        <v>495</v>
      </c>
      <c r="M30" s="164">
        <v>63.91</v>
      </c>
      <c r="N30" s="164">
        <v>101.14</v>
      </c>
      <c r="O30" s="164">
        <v>46.99</v>
      </c>
      <c r="P30" s="164">
        <v>56.55</v>
      </c>
      <c r="Q30" s="185" t="s">
        <v>621</v>
      </c>
      <c r="R30" s="185" t="s">
        <v>621</v>
      </c>
      <c r="S30" s="164" t="s">
        <v>495</v>
      </c>
      <c r="T30" s="164">
        <v>66.09</v>
      </c>
      <c r="U30" s="164">
        <v>64.95</v>
      </c>
      <c r="V30" s="164">
        <v>64.205799999999996</v>
      </c>
      <c r="W30" s="164">
        <v>65.09</v>
      </c>
      <c r="X30" s="164">
        <v>48.383699999999997</v>
      </c>
      <c r="Y30" s="164">
        <v>64.69</v>
      </c>
      <c r="Z30" s="164">
        <v>48.56</v>
      </c>
      <c r="AA30" s="185" t="s">
        <v>621</v>
      </c>
      <c r="AB30" s="180">
        <v>61.613300000000002</v>
      </c>
      <c r="AC30" s="202">
        <v>61.152952757992509</v>
      </c>
      <c r="AD30" s="165">
        <v>44896</v>
      </c>
      <c r="AJ30" s="154"/>
      <c r="AK30" s="154"/>
      <c r="AL30" s="154"/>
      <c r="AM30" s="154"/>
      <c r="AN30" s="154"/>
      <c r="AO30" s="154"/>
      <c r="AP30" s="154"/>
      <c r="AQ30" s="154"/>
      <c r="AR30" s="154"/>
      <c r="AS30" s="154"/>
      <c r="AT30" s="154"/>
      <c r="AU30" s="154"/>
      <c r="AV30" s="154"/>
      <c r="AW30" s="154"/>
      <c r="AX30" s="154"/>
      <c r="AY30" s="154"/>
      <c r="AZ30" s="154"/>
      <c r="BA30" s="154"/>
      <c r="BB30" s="154"/>
      <c r="BC30" s="154"/>
      <c r="BD30" s="154"/>
      <c r="BE30" s="154"/>
      <c r="BF30" s="154"/>
      <c r="BG30" s="154"/>
      <c r="BH30" s="154"/>
      <c r="BI30" s="154"/>
      <c r="BJ30" s="154"/>
      <c r="BK30" s="154"/>
      <c r="BL30" s="154"/>
      <c r="BM30" s="154"/>
    </row>
    <row r="31" spans="1:65" s="155" customFormat="1" ht="17.25" customHeight="1" x14ac:dyDescent="0.3">
      <c r="A31" s="161">
        <v>44957</v>
      </c>
      <c r="B31" s="176">
        <v>59.05</v>
      </c>
      <c r="C31" s="176">
        <v>59.7761</v>
      </c>
      <c r="D31" s="176">
        <v>53.835099999999997</v>
      </c>
      <c r="E31" s="176">
        <v>66.011200000000002</v>
      </c>
      <c r="F31" s="176">
        <v>63.6</v>
      </c>
      <c r="G31" s="176">
        <v>52.19</v>
      </c>
      <c r="H31" s="176" t="s">
        <v>495</v>
      </c>
      <c r="I31" s="176">
        <v>60.53</v>
      </c>
      <c r="J31" s="176">
        <v>64.08</v>
      </c>
      <c r="K31" s="176">
        <v>51</v>
      </c>
      <c r="L31" s="176" t="s">
        <v>495</v>
      </c>
      <c r="M31" s="176">
        <v>59.58</v>
      </c>
      <c r="N31" s="176">
        <v>102.69</v>
      </c>
      <c r="O31" s="176">
        <v>43</v>
      </c>
      <c r="P31" s="176">
        <v>51.44</v>
      </c>
      <c r="Q31" s="183" t="s">
        <v>621</v>
      </c>
      <c r="R31" s="183" t="s">
        <v>621</v>
      </c>
      <c r="S31" s="176" t="s">
        <v>495</v>
      </c>
      <c r="T31" s="176">
        <v>65.88</v>
      </c>
      <c r="U31" s="176">
        <v>64.3</v>
      </c>
      <c r="V31" s="176">
        <v>62.297899999999998</v>
      </c>
      <c r="W31" s="176">
        <v>64.12</v>
      </c>
      <c r="X31" s="176">
        <v>49.732199999999999</v>
      </c>
      <c r="Y31" s="176">
        <v>63.17</v>
      </c>
      <c r="Z31" s="176">
        <v>42.6</v>
      </c>
      <c r="AA31" s="183" t="s">
        <v>621</v>
      </c>
      <c r="AB31" s="178">
        <v>59.378100000000003</v>
      </c>
      <c r="AC31" s="200">
        <v>60.089644514914355</v>
      </c>
      <c r="AD31" s="158">
        <v>44927</v>
      </c>
      <c r="AJ31" s="154"/>
      <c r="AK31" s="154"/>
      <c r="AL31" s="154"/>
      <c r="AM31" s="154"/>
      <c r="AN31" s="154"/>
      <c r="AO31" s="154"/>
      <c r="AP31" s="154"/>
      <c r="AQ31" s="154"/>
      <c r="AR31" s="154"/>
      <c r="AS31" s="154"/>
      <c r="AT31" s="154"/>
      <c r="AU31" s="154"/>
      <c r="AV31" s="154"/>
      <c r="AW31" s="154"/>
      <c r="AX31" s="154"/>
      <c r="AY31" s="154"/>
      <c r="AZ31" s="154"/>
      <c r="BA31" s="154"/>
      <c r="BB31" s="154"/>
      <c r="BC31" s="154"/>
      <c r="BD31" s="154"/>
      <c r="BE31" s="154"/>
      <c r="BF31" s="154"/>
      <c r="BG31" s="154"/>
      <c r="BH31" s="154"/>
      <c r="BI31" s="154"/>
      <c r="BJ31" s="154"/>
      <c r="BK31" s="154"/>
      <c r="BL31" s="154"/>
      <c r="BM31" s="154"/>
    </row>
    <row r="32" spans="1:65" s="155" customFormat="1" ht="17.25" customHeight="1" x14ac:dyDescent="0.3">
      <c r="A32" s="159">
        <v>44985</v>
      </c>
      <c r="B32" s="162">
        <v>57.25</v>
      </c>
      <c r="C32" s="162">
        <v>60.5379</v>
      </c>
      <c r="D32" s="162">
        <v>54.694000000000003</v>
      </c>
      <c r="E32" s="162">
        <v>62.864899999999999</v>
      </c>
      <c r="F32" s="162">
        <v>62.49</v>
      </c>
      <c r="G32" s="162">
        <v>47.8</v>
      </c>
      <c r="H32" s="162" t="s">
        <v>495</v>
      </c>
      <c r="I32" s="162">
        <v>60.53</v>
      </c>
      <c r="J32" s="162">
        <v>64.37</v>
      </c>
      <c r="K32" s="162">
        <v>50.32</v>
      </c>
      <c r="L32" s="162" t="s">
        <v>495</v>
      </c>
      <c r="M32" s="162">
        <v>59.58</v>
      </c>
      <c r="N32" s="162">
        <v>103.71</v>
      </c>
      <c r="O32" s="162">
        <v>33.58</v>
      </c>
      <c r="P32" s="162">
        <v>40.42</v>
      </c>
      <c r="Q32" s="184" t="s">
        <v>621</v>
      </c>
      <c r="R32" s="184" t="s">
        <v>621</v>
      </c>
      <c r="S32" s="162" t="s">
        <v>495</v>
      </c>
      <c r="T32" s="162">
        <v>64.5</v>
      </c>
      <c r="U32" s="162">
        <v>62.84</v>
      </c>
      <c r="V32" s="162">
        <v>61.1569</v>
      </c>
      <c r="W32" s="162">
        <v>63.43</v>
      </c>
      <c r="X32" s="162">
        <v>49.322800000000001</v>
      </c>
      <c r="Y32" s="162">
        <v>61.95</v>
      </c>
      <c r="Z32" s="162">
        <v>37.18</v>
      </c>
      <c r="AA32" s="184" t="s">
        <v>621</v>
      </c>
      <c r="AB32" s="179">
        <v>57.2318</v>
      </c>
      <c r="AC32" s="201">
        <v>58.554467877545676</v>
      </c>
      <c r="AD32" s="160">
        <v>44958</v>
      </c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4"/>
      <c r="AU32" s="154"/>
      <c r="AV32" s="154"/>
      <c r="AW32" s="154"/>
      <c r="AX32" s="154"/>
      <c r="AY32" s="154"/>
      <c r="AZ32" s="154"/>
      <c r="BA32" s="154"/>
      <c r="BB32" s="154"/>
      <c r="BC32" s="154"/>
      <c r="BD32" s="154"/>
      <c r="BE32" s="154"/>
      <c r="BF32" s="154"/>
      <c r="BG32" s="154"/>
      <c r="BH32" s="154"/>
      <c r="BI32" s="154"/>
      <c r="BJ32" s="154"/>
      <c r="BK32" s="154"/>
      <c r="BL32" s="154"/>
      <c r="BM32" s="154"/>
    </row>
    <row r="33" spans="1:65" s="155" customFormat="1" ht="17.25" customHeight="1" x14ac:dyDescent="0.3">
      <c r="A33" s="159">
        <v>45016</v>
      </c>
      <c r="B33" s="162">
        <v>55.03</v>
      </c>
      <c r="C33" s="162">
        <v>60.650399999999998</v>
      </c>
      <c r="D33" s="162">
        <v>53.787700000000001</v>
      </c>
      <c r="E33" s="162">
        <v>58.962699999999998</v>
      </c>
      <c r="F33" s="162">
        <v>60.78</v>
      </c>
      <c r="G33" s="162">
        <v>43.91</v>
      </c>
      <c r="H33" s="162" t="s">
        <v>495</v>
      </c>
      <c r="I33" s="162">
        <v>57.32</v>
      </c>
      <c r="J33" s="162">
        <v>64.37</v>
      </c>
      <c r="K33" s="162">
        <v>48.78</v>
      </c>
      <c r="L33" s="162" t="s">
        <v>495</v>
      </c>
      <c r="M33" s="162">
        <v>59.58</v>
      </c>
      <c r="N33" s="162">
        <v>103.87</v>
      </c>
      <c r="O33" s="162">
        <v>33.83</v>
      </c>
      <c r="P33" s="162">
        <v>43.2</v>
      </c>
      <c r="Q33" s="184" t="s">
        <v>621</v>
      </c>
      <c r="R33" s="184" t="s">
        <v>621</v>
      </c>
      <c r="S33" s="162" t="s">
        <v>495</v>
      </c>
      <c r="T33" s="162">
        <v>64.13</v>
      </c>
      <c r="U33" s="162">
        <v>61.01</v>
      </c>
      <c r="V33" s="162">
        <v>59.445300000000003</v>
      </c>
      <c r="W33" s="162">
        <v>63.94</v>
      </c>
      <c r="X33" s="162">
        <v>46.377699999999997</v>
      </c>
      <c r="Y33" s="162">
        <v>59.69</v>
      </c>
      <c r="Z33" s="162">
        <v>43.57</v>
      </c>
      <c r="AA33" s="184" t="s">
        <v>621</v>
      </c>
      <c r="AB33" s="179">
        <v>54.085000000000001</v>
      </c>
      <c r="AC33" s="201">
        <v>56.704070353165903</v>
      </c>
      <c r="AD33" s="160">
        <v>44986</v>
      </c>
      <c r="AJ33" s="154"/>
      <c r="AK33" s="154"/>
      <c r="AL33" s="154"/>
      <c r="AM33" s="154"/>
      <c r="AN33" s="154"/>
      <c r="AO33" s="154"/>
      <c r="AP33" s="154"/>
      <c r="AQ33" s="154"/>
      <c r="AR33" s="154"/>
      <c r="AS33" s="154"/>
      <c r="AT33" s="154"/>
      <c r="AU33" s="154"/>
      <c r="AV33" s="154"/>
      <c r="AW33" s="154"/>
      <c r="AX33" s="154"/>
      <c r="AY33" s="154"/>
      <c r="AZ33" s="154"/>
      <c r="BA33" s="154"/>
      <c r="BB33" s="154"/>
      <c r="BC33" s="154"/>
      <c r="BD33" s="154"/>
      <c r="BE33" s="154"/>
      <c r="BF33" s="154"/>
      <c r="BG33" s="154"/>
      <c r="BH33" s="154"/>
      <c r="BI33" s="154"/>
      <c r="BJ33" s="154"/>
      <c r="BK33" s="154"/>
      <c r="BL33" s="154"/>
      <c r="BM33" s="154"/>
    </row>
    <row r="34" spans="1:65" s="155" customFormat="1" ht="17.25" customHeight="1" x14ac:dyDescent="0.3">
      <c r="A34" s="161">
        <v>45046</v>
      </c>
      <c r="B34" s="162">
        <v>52.5</v>
      </c>
      <c r="C34" s="162">
        <v>60.507199999999997</v>
      </c>
      <c r="D34" s="162">
        <v>54.187199999999997</v>
      </c>
      <c r="E34" s="162">
        <v>52.741500000000002</v>
      </c>
      <c r="F34" s="162">
        <v>59.06</v>
      </c>
      <c r="G34" s="162">
        <v>41.65</v>
      </c>
      <c r="H34" s="162" t="s">
        <v>495</v>
      </c>
      <c r="I34" s="162">
        <v>55.14</v>
      </c>
      <c r="J34" s="162">
        <v>62.72</v>
      </c>
      <c r="K34" s="162">
        <v>45.24</v>
      </c>
      <c r="L34" s="162" t="s">
        <v>495</v>
      </c>
      <c r="M34" s="162">
        <v>59.58</v>
      </c>
      <c r="N34" s="162">
        <v>103.63</v>
      </c>
      <c r="O34" s="162">
        <v>34.020000000000003</v>
      </c>
      <c r="P34" s="162">
        <v>41.48</v>
      </c>
      <c r="Q34" s="184" t="s">
        <v>621</v>
      </c>
      <c r="R34" s="184" t="s">
        <v>621</v>
      </c>
      <c r="S34" s="162" t="s">
        <v>495</v>
      </c>
      <c r="T34" s="162">
        <v>62.5</v>
      </c>
      <c r="U34" s="162">
        <v>59.78</v>
      </c>
      <c r="V34" s="162">
        <v>58.480200000000004</v>
      </c>
      <c r="W34" s="162">
        <v>63.01</v>
      </c>
      <c r="X34" s="162">
        <v>42.326500000000003</v>
      </c>
      <c r="Y34" s="162">
        <v>57.5</v>
      </c>
      <c r="Z34" s="162">
        <v>43.99</v>
      </c>
      <c r="AA34" s="184" t="s">
        <v>621</v>
      </c>
      <c r="AB34" s="179">
        <v>48.858899999999998</v>
      </c>
      <c r="AC34" s="201">
        <v>53.834568170045799</v>
      </c>
      <c r="AD34" s="160">
        <v>45017</v>
      </c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4"/>
      <c r="AU34" s="154"/>
      <c r="AV34" s="154"/>
      <c r="AW34" s="154"/>
      <c r="AX34" s="154"/>
      <c r="AY34" s="154"/>
      <c r="AZ34" s="154"/>
      <c r="BA34" s="154"/>
      <c r="BB34" s="154"/>
      <c r="BC34" s="154"/>
      <c r="BD34" s="154"/>
      <c r="BE34" s="154"/>
      <c r="BF34" s="154"/>
      <c r="BG34" s="154"/>
      <c r="BH34" s="154"/>
      <c r="BI34" s="154"/>
      <c r="BJ34" s="154"/>
      <c r="BK34" s="154"/>
      <c r="BL34" s="154"/>
      <c r="BM34" s="154"/>
    </row>
    <row r="35" spans="1:65" s="155" customFormat="1" ht="17.25" customHeight="1" x14ac:dyDescent="0.3">
      <c r="A35" s="159">
        <v>45077</v>
      </c>
      <c r="B35" s="162">
        <v>50.59</v>
      </c>
      <c r="C35" s="162">
        <v>60.788400000000003</v>
      </c>
      <c r="D35" s="162">
        <v>52.718800000000002</v>
      </c>
      <c r="E35" s="162">
        <v>49.805599999999998</v>
      </c>
      <c r="F35" s="162">
        <v>57.06</v>
      </c>
      <c r="G35" s="162">
        <v>40.299999999999997</v>
      </c>
      <c r="H35" s="162" t="s">
        <v>495</v>
      </c>
      <c r="I35" s="162">
        <v>54.73</v>
      </c>
      <c r="J35" s="162">
        <v>63.01</v>
      </c>
      <c r="K35" s="162">
        <v>44.21</v>
      </c>
      <c r="L35" s="162" t="s">
        <v>495</v>
      </c>
      <c r="M35" s="162">
        <v>59.58</v>
      </c>
      <c r="N35" s="162">
        <v>104.38</v>
      </c>
      <c r="O35" s="162">
        <v>33.54</v>
      </c>
      <c r="P35" s="162">
        <v>39.799999999999997</v>
      </c>
      <c r="Q35" s="184" t="s">
        <v>621</v>
      </c>
      <c r="R35" s="184" t="s">
        <v>621</v>
      </c>
      <c r="S35" s="162" t="s">
        <v>495</v>
      </c>
      <c r="T35" s="162">
        <v>59.13</v>
      </c>
      <c r="U35" s="162">
        <v>57</v>
      </c>
      <c r="V35" s="162">
        <v>58.242400000000004</v>
      </c>
      <c r="W35" s="162">
        <v>60.43</v>
      </c>
      <c r="X35" s="162">
        <v>47.6935</v>
      </c>
      <c r="Y35" s="162">
        <v>55.37</v>
      </c>
      <c r="Z35" s="184" t="s">
        <v>621</v>
      </c>
      <c r="AA35" s="184" t="s">
        <v>621</v>
      </c>
      <c r="AB35" s="179">
        <v>44.919699999999999</v>
      </c>
      <c r="AC35" s="201">
        <v>51.755444250382538</v>
      </c>
      <c r="AD35" s="160">
        <v>45047</v>
      </c>
      <c r="AJ35" s="154"/>
      <c r="AK35" s="154"/>
      <c r="AL35" s="154"/>
      <c r="AM35" s="154"/>
      <c r="AN35" s="154"/>
      <c r="AO35" s="154"/>
      <c r="AP35" s="154"/>
      <c r="AQ35" s="154"/>
      <c r="AR35" s="154"/>
      <c r="AS35" s="154"/>
      <c r="AT35" s="154"/>
      <c r="AU35" s="154"/>
      <c r="AV35" s="154"/>
      <c r="AW35" s="154"/>
      <c r="AX35" s="154"/>
      <c r="AY35" s="154"/>
      <c r="AZ35" s="154"/>
      <c r="BA35" s="154"/>
      <c r="BB35" s="154"/>
      <c r="BC35" s="154"/>
      <c r="BD35" s="154"/>
      <c r="BE35" s="154"/>
      <c r="BF35" s="154"/>
      <c r="BG35" s="154"/>
      <c r="BH35" s="154"/>
      <c r="BI35" s="154"/>
      <c r="BJ35" s="154"/>
      <c r="BK35" s="154"/>
      <c r="BL35" s="154"/>
      <c r="BM35" s="154"/>
    </row>
    <row r="36" spans="1:65" s="155" customFormat="1" ht="17.25" customHeight="1" x14ac:dyDescent="0.3">
      <c r="A36" s="159">
        <v>45107</v>
      </c>
      <c r="B36" s="162">
        <v>48.41</v>
      </c>
      <c r="C36" s="162">
        <v>60.875300000000003</v>
      </c>
      <c r="D36" s="162">
        <v>49.851100000000002</v>
      </c>
      <c r="E36" s="162">
        <v>47.789400000000001</v>
      </c>
      <c r="F36" s="162">
        <v>55.4</v>
      </c>
      <c r="G36" s="162">
        <v>40.32</v>
      </c>
      <c r="H36" s="162" t="s">
        <v>495</v>
      </c>
      <c r="I36" s="162">
        <v>54.56</v>
      </c>
      <c r="J36" s="162">
        <v>62.62</v>
      </c>
      <c r="K36" s="162">
        <v>46.32</v>
      </c>
      <c r="L36" s="162" t="s">
        <v>495</v>
      </c>
      <c r="M36" s="162">
        <v>59.58</v>
      </c>
      <c r="N36" s="162">
        <v>103.6</v>
      </c>
      <c r="O36" s="162">
        <v>32.61</v>
      </c>
      <c r="P36" s="162">
        <v>38.42</v>
      </c>
      <c r="Q36" s="184" t="s">
        <v>621</v>
      </c>
      <c r="R36" s="184" t="s">
        <v>621</v>
      </c>
      <c r="S36" s="162" t="s">
        <v>495</v>
      </c>
      <c r="T36" s="162">
        <v>58.75</v>
      </c>
      <c r="U36" s="162">
        <v>55.7</v>
      </c>
      <c r="V36" s="162">
        <v>57.661799999999999</v>
      </c>
      <c r="W36" s="162">
        <v>58.91</v>
      </c>
      <c r="X36" s="162">
        <v>39.397100000000002</v>
      </c>
      <c r="Y36" s="162">
        <v>53.92</v>
      </c>
      <c r="Z36" s="184" t="s">
        <v>621</v>
      </c>
      <c r="AA36" s="184" t="s">
        <v>621</v>
      </c>
      <c r="AB36" s="179">
        <v>40.149900000000002</v>
      </c>
      <c r="AC36" s="201">
        <v>50.844157007313491</v>
      </c>
      <c r="AD36" s="160">
        <v>45078</v>
      </c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4"/>
      <c r="AU36" s="154"/>
      <c r="AV36" s="154"/>
      <c r="AW36" s="154"/>
      <c r="AX36" s="154"/>
      <c r="AY36" s="154"/>
      <c r="AZ36" s="154"/>
      <c r="BA36" s="154"/>
      <c r="BB36" s="154"/>
      <c r="BC36" s="154"/>
      <c r="BD36" s="154"/>
      <c r="BE36" s="154"/>
      <c r="BF36" s="154"/>
      <c r="BG36" s="154"/>
      <c r="BH36" s="154"/>
      <c r="BI36" s="154"/>
      <c r="BJ36" s="154"/>
      <c r="BK36" s="154"/>
      <c r="BL36" s="154"/>
      <c r="BM36" s="154"/>
    </row>
    <row r="37" spans="1:65" s="155" customFormat="1" ht="17.25" customHeight="1" x14ac:dyDescent="0.3">
      <c r="A37" s="159">
        <v>45138</v>
      </c>
      <c r="B37" s="162">
        <v>47.45</v>
      </c>
      <c r="C37" s="162">
        <v>61.171900000000001</v>
      </c>
      <c r="D37" s="162">
        <v>48.260899999999999</v>
      </c>
      <c r="E37" s="162">
        <v>47.648400000000002</v>
      </c>
      <c r="F37" s="162">
        <v>53.9</v>
      </c>
      <c r="G37" s="162">
        <v>40.54</v>
      </c>
      <c r="H37" s="162" t="s">
        <v>495</v>
      </c>
      <c r="I37" s="162">
        <v>54.44</v>
      </c>
      <c r="J37" s="162">
        <v>61.65</v>
      </c>
      <c r="K37" s="162">
        <v>49.86</v>
      </c>
      <c r="L37" s="162" t="s">
        <v>495</v>
      </c>
      <c r="M37" s="162">
        <v>59.58</v>
      </c>
      <c r="N37" s="162">
        <v>106.39</v>
      </c>
      <c r="O37" s="162">
        <v>30.88</v>
      </c>
      <c r="P37" s="162">
        <v>39.07</v>
      </c>
      <c r="Q37" s="184" t="s">
        <v>621</v>
      </c>
      <c r="R37" s="184" t="s">
        <v>621</v>
      </c>
      <c r="S37" s="162" t="s">
        <v>495</v>
      </c>
      <c r="T37" s="162">
        <v>58.75</v>
      </c>
      <c r="U37" s="162">
        <v>53.88</v>
      </c>
      <c r="V37" s="162">
        <v>57.258899999999997</v>
      </c>
      <c r="W37" s="162">
        <v>58.32</v>
      </c>
      <c r="X37" s="162">
        <v>42.0197</v>
      </c>
      <c r="Y37" s="162">
        <v>53.34</v>
      </c>
      <c r="Z37" s="184" t="s">
        <v>621</v>
      </c>
      <c r="AA37" s="184" t="s">
        <v>621</v>
      </c>
      <c r="AB37" s="179">
        <v>40.170400000000001</v>
      </c>
      <c r="AC37" s="201">
        <v>50.984571793367465</v>
      </c>
      <c r="AD37" s="160">
        <v>45108</v>
      </c>
      <c r="AJ37" s="154"/>
      <c r="AK37" s="154"/>
      <c r="AL37" s="154"/>
      <c r="AM37" s="154"/>
      <c r="AN37" s="154"/>
      <c r="AO37" s="154"/>
      <c r="AP37" s="154"/>
      <c r="AQ37" s="154"/>
      <c r="AR37" s="154"/>
      <c r="AS37" s="154"/>
      <c r="AT37" s="154"/>
      <c r="AU37" s="154"/>
      <c r="AV37" s="154"/>
      <c r="AW37" s="154"/>
      <c r="AX37" s="154"/>
      <c r="AY37" s="154"/>
      <c r="AZ37" s="154"/>
      <c r="BA37" s="154"/>
      <c r="BB37" s="154"/>
      <c r="BC37" s="154"/>
      <c r="BD37" s="154"/>
      <c r="BE37" s="154"/>
      <c r="BF37" s="154"/>
      <c r="BG37" s="154"/>
      <c r="BH37" s="154"/>
      <c r="BI37" s="154"/>
      <c r="BJ37" s="154"/>
      <c r="BK37" s="154"/>
      <c r="BL37" s="154"/>
      <c r="BM37" s="154"/>
    </row>
    <row r="38" spans="1:65" s="155" customFormat="1" ht="17.25" customHeight="1" x14ac:dyDescent="0.3">
      <c r="A38" s="159">
        <v>45169</v>
      </c>
      <c r="B38" s="162">
        <v>48.51</v>
      </c>
      <c r="C38" s="162">
        <v>61.979799999999997</v>
      </c>
      <c r="D38" s="162">
        <v>47.188800000000001</v>
      </c>
      <c r="E38" s="162">
        <v>47.637599999999999</v>
      </c>
      <c r="F38" s="162">
        <v>53.8</v>
      </c>
      <c r="G38" s="162">
        <v>39.950000000000003</v>
      </c>
      <c r="H38" s="162" t="s">
        <v>495</v>
      </c>
      <c r="I38" s="162">
        <v>54.64</v>
      </c>
      <c r="J38" s="162">
        <v>61.75</v>
      </c>
      <c r="K38" s="162">
        <v>50.99</v>
      </c>
      <c r="L38" s="162" t="s">
        <v>495</v>
      </c>
      <c r="M38" s="162">
        <v>59.58</v>
      </c>
      <c r="N38" s="162">
        <v>106.45</v>
      </c>
      <c r="O38" s="162">
        <v>33</v>
      </c>
      <c r="P38" s="162">
        <v>38.159999999999997</v>
      </c>
      <c r="Q38" s="184" t="s">
        <v>621</v>
      </c>
      <c r="R38" s="184" t="s">
        <v>621</v>
      </c>
      <c r="S38" s="162" t="s">
        <v>495</v>
      </c>
      <c r="T38" s="162">
        <v>58.75</v>
      </c>
      <c r="U38" s="162">
        <v>53.7</v>
      </c>
      <c r="V38" s="162">
        <v>57.463200000000001</v>
      </c>
      <c r="W38" s="162">
        <v>58.3</v>
      </c>
      <c r="X38" s="162">
        <v>39.945799999999998</v>
      </c>
      <c r="Y38" s="162">
        <v>54.09</v>
      </c>
      <c r="Z38" s="184" t="s">
        <v>621</v>
      </c>
      <c r="AA38" s="184" t="s">
        <v>621</v>
      </c>
      <c r="AB38" s="179">
        <v>39.967500000000001</v>
      </c>
      <c r="AC38" s="201">
        <v>51.219021107278856</v>
      </c>
      <c r="AD38" s="160">
        <v>45139</v>
      </c>
      <c r="AJ38" s="154"/>
      <c r="AK38" s="154"/>
      <c r="AL38" s="154"/>
      <c r="AM38" s="154"/>
      <c r="AN38" s="154"/>
      <c r="AO38" s="154"/>
      <c r="AP38" s="154"/>
      <c r="AQ38" s="154"/>
      <c r="AR38" s="154"/>
      <c r="AS38" s="154"/>
      <c r="AT38" s="154"/>
      <c r="AU38" s="154"/>
      <c r="AV38" s="154"/>
      <c r="AW38" s="154"/>
      <c r="AX38" s="154"/>
      <c r="AY38" s="154"/>
      <c r="AZ38" s="154"/>
      <c r="BA38" s="154"/>
      <c r="BB38" s="154"/>
      <c r="BC38" s="154"/>
      <c r="BD38" s="154"/>
      <c r="BE38" s="154"/>
      <c r="BF38" s="154"/>
      <c r="BG38" s="154"/>
      <c r="BH38" s="154"/>
      <c r="BI38" s="154"/>
      <c r="BJ38" s="154"/>
      <c r="BK38" s="154"/>
      <c r="BL38" s="154"/>
      <c r="BM38" s="154"/>
    </row>
    <row r="39" spans="1:65" s="155" customFormat="1" ht="17.25" customHeight="1" x14ac:dyDescent="0.3">
      <c r="A39" s="159">
        <v>45199</v>
      </c>
      <c r="B39" s="162">
        <v>48.82</v>
      </c>
      <c r="C39" s="162">
        <v>61.325299999999999</v>
      </c>
      <c r="D39" s="162">
        <v>47.067900000000002</v>
      </c>
      <c r="E39" s="162">
        <v>47.610500000000002</v>
      </c>
      <c r="F39" s="162">
        <v>54.28</v>
      </c>
      <c r="G39" s="162">
        <v>40.71</v>
      </c>
      <c r="H39" s="162" t="s">
        <v>495</v>
      </c>
      <c r="I39" s="162">
        <v>55.11</v>
      </c>
      <c r="J39" s="162">
        <v>62.04</v>
      </c>
      <c r="K39" s="162">
        <v>51.79</v>
      </c>
      <c r="L39" s="162" t="s">
        <v>495</v>
      </c>
      <c r="M39" s="162">
        <v>59.58</v>
      </c>
      <c r="N39" s="162">
        <v>105.8</v>
      </c>
      <c r="O39" s="162">
        <v>32.33</v>
      </c>
      <c r="P39" s="162">
        <v>40.39</v>
      </c>
      <c r="Q39" s="184" t="s">
        <v>621</v>
      </c>
      <c r="R39" s="184" t="s">
        <v>621</v>
      </c>
      <c r="S39" s="162" t="s">
        <v>495</v>
      </c>
      <c r="T39" s="162">
        <v>57.88</v>
      </c>
      <c r="U39" s="162">
        <v>52.59</v>
      </c>
      <c r="V39" s="162">
        <v>56.049500000000002</v>
      </c>
      <c r="W39" s="162">
        <v>59.06</v>
      </c>
      <c r="X39" s="162">
        <v>43.373899999999999</v>
      </c>
      <c r="Y39" s="162">
        <v>54.59</v>
      </c>
      <c r="Z39" s="184" t="s">
        <v>621</v>
      </c>
      <c r="AA39" s="184" t="s">
        <v>621</v>
      </c>
      <c r="AB39" s="179">
        <v>40.323500000000003</v>
      </c>
      <c r="AC39" s="201">
        <v>51.360903804031352</v>
      </c>
      <c r="AD39" s="160">
        <v>45170</v>
      </c>
      <c r="AJ39" s="154"/>
      <c r="AK39" s="154"/>
      <c r="AL39" s="154"/>
      <c r="AM39" s="154"/>
      <c r="AN39" s="154"/>
      <c r="AO39" s="154"/>
      <c r="AP39" s="154"/>
      <c r="AQ39" s="154"/>
      <c r="AR39" s="154"/>
      <c r="AS39" s="154"/>
      <c r="AT39" s="154"/>
      <c r="AU39" s="154"/>
      <c r="AV39" s="154"/>
      <c r="AW39" s="154"/>
      <c r="AX39" s="154"/>
      <c r="AY39" s="154"/>
      <c r="AZ39" s="154"/>
      <c r="BA39" s="154"/>
      <c r="BB39" s="154"/>
      <c r="BC39" s="154"/>
      <c r="BD39" s="154"/>
      <c r="BE39" s="154"/>
      <c r="BF39" s="154"/>
      <c r="BG39" s="154"/>
      <c r="BH39" s="154"/>
      <c r="BI39" s="154"/>
      <c r="BJ39" s="154"/>
      <c r="BK39" s="154"/>
      <c r="BL39" s="154"/>
      <c r="BM39" s="154"/>
    </row>
    <row r="40" spans="1:65" s="155" customFormat="1" ht="17.25" customHeight="1" x14ac:dyDescent="0.3">
      <c r="A40" s="159">
        <v>45230</v>
      </c>
      <c r="B40" s="162">
        <v>50.06</v>
      </c>
      <c r="C40" s="162">
        <v>61.432699999999997</v>
      </c>
      <c r="D40" s="162">
        <v>47.311799999999998</v>
      </c>
      <c r="E40" s="162">
        <v>47.720799999999997</v>
      </c>
      <c r="F40" s="162">
        <v>55.98</v>
      </c>
      <c r="G40" s="162">
        <v>40.72</v>
      </c>
      <c r="H40" s="162" t="s">
        <v>495</v>
      </c>
      <c r="I40" s="162">
        <v>56.34</v>
      </c>
      <c r="J40" s="162">
        <v>62.04</v>
      </c>
      <c r="K40" s="162">
        <v>53.17</v>
      </c>
      <c r="L40" s="162" t="s">
        <v>495</v>
      </c>
      <c r="M40" s="162">
        <v>59.58</v>
      </c>
      <c r="N40" s="162">
        <v>104.06</v>
      </c>
      <c r="O40" s="162">
        <v>33.5</v>
      </c>
      <c r="P40" s="162">
        <v>44.8</v>
      </c>
      <c r="Q40" s="184" t="s">
        <v>621</v>
      </c>
      <c r="R40" s="184" t="s">
        <v>621</v>
      </c>
      <c r="S40" s="162" t="s">
        <v>495</v>
      </c>
      <c r="T40" s="162">
        <v>57.63</v>
      </c>
      <c r="U40" s="162">
        <v>52.99</v>
      </c>
      <c r="V40" s="162">
        <v>57.603099999999998</v>
      </c>
      <c r="W40" s="162">
        <v>58.54</v>
      </c>
      <c r="X40" s="162">
        <v>46.211599999999997</v>
      </c>
      <c r="Y40" s="162">
        <v>55.43</v>
      </c>
      <c r="Z40" s="184" t="s">
        <v>621</v>
      </c>
      <c r="AA40" s="184" t="s">
        <v>621</v>
      </c>
      <c r="AB40" s="179">
        <v>42.8</v>
      </c>
      <c r="AC40" s="201">
        <v>52.496496577997817</v>
      </c>
      <c r="AD40" s="160">
        <v>45200</v>
      </c>
      <c r="AJ40" s="154"/>
      <c r="AK40" s="154"/>
      <c r="AL40" s="154"/>
      <c r="AM40" s="154"/>
      <c r="AN40" s="154"/>
      <c r="AO40" s="154"/>
      <c r="AP40" s="154"/>
      <c r="AQ40" s="154"/>
      <c r="AR40" s="154"/>
      <c r="AS40" s="154"/>
      <c r="AT40" s="154"/>
      <c r="AU40" s="154"/>
      <c r="AV40" s="154"/>
      <c r="AW40" s="154"/>
      <c r="AX40" s="154"/>
      <c r="AY40" s="154"/>
      <c r="AZ40" s="154"/>
      <c r="BA40" s="154"/>
      <c r="BB40" s="154"/>
      <c r="BC40" s="154"/>
      <c r="BD40" s="154"/>
      <c r="BE40" s="154"/>
      <c r="BF40" s="154"/>
      <c r="BG40" s="154"/>
      <c r="BH40" s="154"/>
      <c r="BI40" s="154"/>
      <c r="BJ40" s="154"/>
      <c r="BK40" s="154"/>
      <c r="BL40" s="154"/>
      <c r="BM40" s="154"/>
    </row>
    <row r="41" spans="1:65" s="155" customFormat="1" ht="17.25" customHeight="1" x14ac:dyDescent="0.3">
      <c r="A41" s="159">
        <v>45260</v>
      </c>
      <c r="B41" s="162">
        <v>50.74</v>
      </c>
      <c r="C41" s="162">
        <v>61.591200000000001</v>
      </c>
      <c r="D41" s="162">
        <v>48.050699999999999</v>
      </c>
      <c r="E41" s="162">
        <v>47.730499999999999</v>
      </c>
      <c r="F41" s="162">
        <v>56.9</v>
      </c>
      <c r="G41" s="162">
        <v>42.1</v>
      </c>
      <c r="H41" s="162" t="s">
        <v>495</v>
      </c>
      <c r="I41" s="162">
        <v>57.25</v>
      </c>
      <c r="J41" s="162">
        <v>62.91</v>
      </c>
      <c r="K41" s="162">
        <v>53.42</v>
      </c>
      <c r="L41" s="162" t="s">
        <v>495</v>
      </c>
      <c r="M41" s="162">
        <v>59.58</v>
      </c>
      <c r="N41" s="162">
        <v>103.74</v>
      </c>
      <c r="O41" s="162">
        <v>35.43</v>
      </c>
      <c r="P41" s="162">
        <v>46.76</v>
      </c>
      <c r="Q41" s="184" t="s">
        <v>621</v>
      </c>
      <c r="R41" s="184" t="s">
        <v>621</v>
      </c>
      <c r="S41" s="162" t="s">
        <v>495</v>
      </c>
      <c r="T41" s="162">
        <v>57.63</v>
      </c>
      <c r="U41" s="162">
        <v>53.53</v>
      </c>
      <c r="V41" s="162">
        <v>59.328200000000002</v>
      </c>
      <c r="W41" s="162">
        <v>57.45</v>
      </c>
      <c r="X41" s="162">
        <v>42.293199999999999</v>
      </c>
      <c r="Y41" s="162">
        <v>56.16</v>
      </c>
      <c r="Z41" s="184" t="s">
        <v>621</v>
      </c>
      <c r="AA41" s="184" t="s">
        <v>621</v>
      </c>
      <c r="AB41" s="215">
        <v>43.4846</v>
      </c>
      <c r="AC41" s="212">
        <v>52.994262298383781</v>
      </c>
      <c r="AD41" s="160">
        <v>45231</v>
      </c>
      <c r="AJ41" s="154"/>
      <c r="AK41" s="154"/>
      <c r="AL41" s="154"/>
      <c r="AM41" s="154"/>
      <c r="AN41" s="154"/>
      <c r="AO41" s="154"/>
      <c r="AP41" s="154"/>
      <c r="AQ41" s="154"/>
      <c r="AR41" s="154"/>
      <c r="AS41" s="154"/>
      <c r="AT41" s="154"/>
      <c r="AU41" s="154"/>
      <c r="AV41" s="154"/>
      <c r="AW41" s="154"/>
      <c r="AX41" s="154"/>
      <c r="AY41" s="154"/>
      <c r="AZ41" s="154"/>
      <c r="BA41" s="154"/>
      <c r="BB41" s="154"/>
      <c r="BC41" s="154"/>
      <c r="BD41" s="154"/>
      <c r="BE41" s="154"/>
      <c r="BF41" s="154"/>
      <c r="BG41" s="154"/>
      <c r="BH41" s="154"/>
      <c r="BI41" s="154"/>
      <c r="BJ41" s="154"/>
      <c r="BK41" s="154"/>
      <c r="BL41" s="154"/>
      <c r="BM41" s="154"/>
    </row>
    <row r="42" spans="1:65" customFormat="1" ht="17.25" customHeight="1" thickBot="1" x14ac:dyDescent="0.35">
      <c r="A42" s="204">
        <v>45291</v>
      </c>
      <c r="B42" s="205">
        <v>51.29</v>
      </c>
      <c r="C42" s="205">
        <v>61.616700000000002</v>
      </c>
      <c r="D42" s="205">
        <v>48.082500000000003</v>
      </c>
      <c r="E42" s="205">
        <v>48.689</v>
      </c>
      <c r="F42" s="205">
        <v>57.08</v>
      </c>
      <c r="G42" s="205">
        <v>41.89</v>
      </c>
      <c r="H42" s="205" t="s">
        <v>495</v>
      </c>
      <c r="I42" s="205">
        <v>58.04</v>
      </c>
      <c r="J42" s="205">
        <v>62.91</v>
      </c>
      <c r="K42" s="205">
        <v>52.95</v>
      </c>
      <c r="L42" s="205" t="s">
        <v>495</v>
      </c>
      <c r="M42" s="205">
        <v>59.58</v>
      </c>
      <c r="N42" s="205">
        <v>102.96</v>
      </c>
      <c r="O42" s="205">
        <v>35.94</v>
      </c>
      <c r="P42" s="205">
        <v>46.82</v>
      </c>
      <c r="Q42" s="206" t="s">
        <v>621</v>
      </c>
      <c r="R42" s="206" t="s">
        <v>621</v>
      </c>
      <c r="S42" s="205" t="s">
        <v>495</v>
      </c>
      <c r="T42" s="205">
        <v>58.76</v>
      </c>
      <c r="U42" s="205">
        <v>54.55</v>
      </c>
      <c r="V42" s="205">
        <v>63.686199999999999</v>
      </c>
      <c r="W42" s="205">
        <v>56.49</v>
      </c>
      <c r="X42" s="205">
        <v>42.809800000000003</v>
      </c>
      <c r="Y42" s="205">
        <v>56</v>
      </c>
      <c r="Z42" s="206" t="s">
        <v>621</v>
      </c>
      <c r="AA42" s="206" t="s">
        <v>621</v>
      </c>
      <c r="AB42" s="216">
        <v>46.4223</v>
      </c>
      <c r="AC42" s="213">
        <v>53.534860950867703</v>
      </c>
      <c r="AD42" s="207">
        <v>45261</v>
      </c>
      <c r="AE42" s="2"/>
      <c r="AF42" s="2"/>
      <c r="AG42" s="2"/>
      <c r="AH42" s="2"/>
      <c r="AI42" s="2"/>
    </row>
    <row r="43" spans="1:65" customFormat="1" ht="17.25" customHeight="1" x14ac:dyDescent="0.3">
      <c r="A43" s="161">
        <v>45322</v>
      </c>
      <c r="B43" s="176">
        <v>52.2</v>
      </c>
      <c r="C43" s="176">
        <v>61.8979</v>
      </c>
      <c r="D43" s="176">
        <v>47.619100000000003</v>
      </c>
      <c r="E43" s="176">
        <v>51.227699999999999</v>
      </c>
      <c r="F43" s="176">
        <v>56.87</v>
      </c>
      <c r="G43" s="176">
        <v>41.89</v>
      </c>
      <c r="H43" s="176">
        <v>61.92</v>
      </c>
      <c r="I43" s="176">
        <v>59.09</v>
      </c>
      <c r="J43" s="176">
        <v>62.23</v>
      </c>
      <c r="K43" s="176">
        <v>51.44</v>
      </c>
      <c r="L43" s="176" t="s">
        <v>495</v>
      </c>
      <c r="M43" s="176">
        <v>59.58</v>
      </c>
      <c r="N43" s="176">
        <v>102.46</v>
      </c>
      <c r="O43" s="176">
        <v>36.869999999999997</v>
      </c>
      <c r="P43" s="176">
        <v>47.98</v>
      </c>
      <c r="Q43" s="183" t="s">
        <v>621</v>
      </c>
      <c r="R43" s="183" t="s">
        <v>621</v>
      </c>
      <c r="S43" s="176" t="s">
        <v>495</v>
      </c>
      <c r="T43" s="176">
        <v>58.76</v>
      </c>
      <c r="U43" s="176">
        <v>53.87</v>
      </c>
      <c r="V43" s="176">
        <v>61.977499999999999</v>
      </c>
      <c r="W43" s="176">
        <v>56.3</v>
      </c>
      <c r="X43" s="176">
        <v>48.693300000000001</v>
      </c>
      <c r="Y43" s="176">
        <v>55.72</v>
      </c>
      <c r="Z43" s="183" t="s">
        <v>621</v>
      </c>
      <c r="AA43" s="183" t="s">
        <v>621</v>
      </c>
      <c r="AB43" s="217">
        <v>49.398000000000003</v>
      </c>
      <c r="AC43" s="258">
        <v>53.670413337228183</v>
      </c>
      <c r="AD43" s="208">
        <v>45322</v>
      </c>
      <c r="AE43" s="2"/>
      <c r="AF43" s="2"/>
      <c r="AG43" s="2"/>
      <c r="AH43" s="2"/>
      <c r="AI43" s="2"/>
    </row>
    <row r="44" spans="1:65" s="155" customFormat="1" ht="15" customHeight="1" x14ac:dyDescent="0.3">
      <c r="A44" s="161">
        <v>45351</v>
      </c>
      <c r="B44" s="176">
        <v>50.73</v>
      </c>
      <c r="C44" s="176">
        <v>61.570700000000002</v>
      </c>
      <c r="D44" s="176">
        <v>46.7639</v>
      </c>
      <c r="E44" s="176">
        <v>51.242199999999997</v>
      </c>
      <c r="F44" s="176">
        <v>56.3</v>
      </c>
      <c r="G44" s="176">
        <v>36.58</v>
      </c>
      <c r="H44" s="176">
        <v>59.56</v>
      </c>
      <c r="I44" s="176">
        <v>59.49</v>
      </c>
      <c r="J44" s="176">
        <v>61.75</v>
      </c>
      <c r="K44" s="176">
        <v>50</v>
      </c>
      <c r="L44" s="176" t="s">
        <v>495</v>
      </c>
      <c r="M44" s="176">
        <v>64.13</v>
      </c>
      <c r="N44" s="176">
        <v>103.58</v>
      </c>
      <c r="O44" s="176">
        <v>37.03</v>
      </c>
      <c r="P44" s="176">
        <v>46</v>
      </c>
      <c r="Q44" s="183" t="s">
        <v>621</v>
      </c>
      <c r="R44" s="183" t="s">
        <v>621</v>
      </c>
      <c r="S44" s="176" t="s">
        <v>495</v>
      </c>
      <c r="T44" s="176">
        <v>57.75</v>
      </c>
      <c r="U44" s="176">
        <v>53.81</v>
      </c>
      <c r="V44" s="176">
        <v>63.2303</v>
      </c>
      <c r="W44" s="176">
        <v>54.81</v>
      </c>
      <c r="X44" s="176">
        <v>42.974800000000002</v>
      </c>
      <c r="Y44" s="176">
        <v>55.06</v>
      </c>
      <c r="Z44" s="183" t="s">
        <v>621</v>
      </c>
      <c r="AA44" s="183" t="s">
        <v>621</v>
      </c>
      <c r="AB44" s="217">
        <v>49.156799999999997</v>
      </c>
      <c r="AC44" s="214">
        <v>53.236593114036893</v>
      </c>
      <c r="AD44" s="158">
        <v>45351</v>
      </c>
      <c r="AJ44" s="154"/>
      <c r="AK44" s="154"/>
      <c r="AL44" s="154"/>
      <c r="AM44" s="154"/>
      <c r="AN44" s="154"/>
      <c r="AO44" s="154"/>
      <c r="AP44" s="154"/>
      <c r="AQ44" s="154"/>
      <c r="AR44" s="154"/>
      <c r="AS44" s="154"/>
      <c r="AT44" s="154"/>
      <c r="AU44" s="154"/>
      <c r="AV44" s="154"/>
      <c r="AW44" s="154"/>
      <c r="AX44" s="154"/>
      <c r="AY44" s="154"/>
      <c r="AZ44" s="154"/>
      <c r="BA44" s="154"/>
      <c r="BB44" s="154"/>
      <c r="BC44" s="154"/>
      <c r="BD44" s="154"/>
      <c r="BE44" s="154"/>
      <c r="BF44" s="154"/>
      <c r="BG44" s="154"/>
      <c r="BH44" s="154"/>
      <c r="BI44" s="154"/>
      <c r="BJ44" s="154"/>
      <c r="BK44" s="154"/>
      <c r="BL44" s="154"/>
      <c r="BM44" s="154"/>
    </row>
    <row r="45" spans="1:65" s="155" customFormat="1" ht="17.25" customHeight="1" x14ac:dyDescent="0.3">
      <c r="A45" s="159">
        <v>45382</v>
      </c>
      <c r="B45" s="162">
        <v>50.78</v>
      </c>
      <c r="C45" s="162">
        <v>61.54</v>
      </c>
      <c r="D45" s="162">
        <v>46.557400000000001</v>
      </c>
      <c r="E45" s="162">
        <v>52.303699999999999</v>
      </c>
      <c r="F45" s="162">
        <v>56.34</v>
      </c>
      <c r="G45" s="162">
        <v>37.25</v>
      </c>
      <c r="H45" s="162">
        <v>56.92</v>
      </c>
      <c r="I45" s="162">
        <v>58.47</v>
      </c>
      <c r="J45" s="162">
        <v>61.36</v>
      </c>
      <c r="K45" s="162">
        <v>48.52</v>
      </c>
      <c r="L45" s="162" t="s">
        <v>495</v>
      </c>
      <c r="M45" s="162">
        <v>64.38</v>
      </c>
      <c r="N45" s="162">
        <v>103.25</v>
      </c>
      <c r="O45" s="162">
        <v>37.08</v>
      </c>
      <c r="P45" s="162">
        <v>45.68</v>
      </c>
      <c r="Q45" s="183" t="s">
        <v>621</v>
      </c>
      <c r="R45" s="183" t="s">
        <v>621</v>
      </c>
      <c r="S45" s="162" t="s">
        <v>495</v>
      </c>
      <c r="T45" s="162">
        <v>59.25</v>
      </c>
      <c r="U45" s="162">
        <v>54.28</v>
      </c>
      <c r="V45" s="162">
        <v>62.753399999999999</v>
      </c>
      <c r="W45" s="162">
        <v>54.21</v>
      </c>
      <c r="X45" s="162">
        <v>42.406799999999997</v>
      </c>
      <c r="Y45" s="162">
        <v>55.21</v>
      </c>
      <c r="Z45" s="184" t="s">
        <v>621</v>
      </c>
      <c r="AA45" s="184" t="s">
        <v>621</v>
      </c>
      <c r="AB45" s="179">
        <v>49.893000000000001</v>
      </c>
      <c r="AC45" s="201">
        <v>53.237342588480821</v>
      </c>
      <c r="AD45" s="160">
        <v>45382</v>
      </c>
      <c r="AJ45" s="154"/>
      <c r="AK45" s="154"/>
      <c r="AL45" s="154"/>
      <c r="AM45" s="154"/>
      <c r="AN45" s="154"/>
      <c r="AO45" s="154"/>
      <c r="AP45" s="154"/>
      <c r="AQ45" s="154"/>
      <c r="AR45" s="154"/>
      <c r="AS45" s="154"/>
      <c r="AT45" s="154"/>
      <c r="AU45" s="154"/>
      <c r="AV45" s="154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</row>
    <row r="46" spans="1:65" s="155" customFormat="1" ht="17.25" customHeight="1" x14ac:dyDescent="0.3">
      <c r="A46" s="159">
        <v>45412</v>
      </c>
      <c r="B46" s="162">
        <v>50.91</v>
      </c>
      <c r="C46" s="162">
        <v>61.565600000000003</v>
      </c>
      <c r="D46" s="162">
        <v>46.612900000000003</v>
      </c>
      <c r="E46" s="162">
        <v>52.1479</v>
      </c>
      <c r="F46" s="162">
        <v>55.83</v>
      </c>
      <c r="G46" s="162">
        <v>40</v>
      </c>
      <c r="H46" s="162">
        <v>51.09</v>
      </c>
      <c r="I46" s="162">
        <v>58.95</v>
      </c>
      <c r="J46" s="162">
        <v>58.61</v>
      </c>
      <c r="K46" s="162">
        <v>44.84</v>
      </c>
      <c r="L46" s="162" t="s">
        <v>495</v>
      </c>
      <c r="M46" s="162">
        <v>64.13</v>
      </c>
      <c r="N46" s="162">
        <v>103.37</v>
      </c>
      <c r="O46" s="162">
        <v>37.119999999999997</v>
      </c>
      <c r="P46" s="162">
        <v>45.32</v>
      </c>
      <c r="Q46" s="183" t="s">
        <v>621</v>
      </c>
      <c r="R46" s="183" t="s">
        <v>621</v>
      </c>
      <c r="S46" s="162" t="s">
        <v>495</v>
      </c>
      <c r="T46" s="162">
        <v>58.5</v>
      </c>
      <c r="U46" s="162">
        <v>54.67</v>
      </c>
      <c r="V46" s="162">
        <v>61.522599999999997</v>
      </c>
      <c r="W46" s="162">
        <v>54.96</v>
      </c>
      <c r="X46" s="162">
        <v>41.403799999999997</v>
      </c>
      <c r="Y46" s="162">
        <v>55.59</v>
      </c>
      <c r="Z46" s="184" t="s">
        <v>621</v>
      </c>
      <c r="AA46" s="184" t="s">
        <v>621</v>
      </c>
      <c r="AB46" s="179">
        <v>49.016599999999997</v>
      </c>
      <c r="AC46" s="201">
        <v>52.125778861391296</v>
      </c>
      <c r="AD46" s="160">
        <v>45412</v>
      </c>
      <c r="AJ46" s="154"/>
      <c r="AK46" s="154"/>
      <c r="AL46" s="154"/>
      <c r="AM46" s="154"/>
      <c r="AN46" s="154"/>
      <c r="AO46" s="154"/>
      <c r="AP46" s="154"/>
      <c r="AQ46" s="154"/>
      <c r="AR46" s="154"/>
      <c r="AS46" s="154"/>
      <c r="AT46" s="154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</row>
    <row r="47" spans="1:65" s="155" customFormat="1" ht="17.25" customHeight="1" x14ac:dyDescent="0.3">
      <c r="A47" s="161">
        <v>45443</v>
      </c>
      <c r="B47" s="162">
        <v>50.38</v>
      </c>
      <c r="C47" s="162">
        <v>61.785499999999999</v>
      </c>
      <c r="D47" s="162">
        <v>47.5364</v>
      </c>
      <c r="E47" s="162">
        <v>52.677900000000001</v>
      </c>
      <c r="F47" s="162">
        <v>55.64</v>
      </c>
      <c r="G47" s="162">
        <v>40.619999999999997</v>
      </c>
      <c r="H47" s="162">
        <v>51.31</v>
      </c>
      <c r="I47" s="162">
        <v>59.33</v>
      </c>
      <c r="J47" s="162">
        <v>59.32</v>
      </c>
      <c r="K47" s="162">
        <v>44.72</v>
      </c>
      <c r="L47" s="162" t="s">
        <v>495</v>
      </c>
      <c r="M47" s="162">
        <v>64.56</v>
      </c>
      <c r="N47" s="162">
        <v>102.84</v>
      </c>
      <c r="O47" s="162">
        <v>37.03</v>
      </c>
      <c r="P47" s="162">
        <v>44.37</v>
      </c>
      <c r="Q47" s="183" t="s">
        <v>621</v>
      </c>
      <c r="R47" s="183" t="s">
        <v>621</v>
      </c>
      <c r="S47" s="162" t="s">
        <v>495</v>
      </c>
      <c r="T47" s="162">
        <v>58.5</v>
      </c>
      <c r="U47" s="162">
        <v>54.21</v>
      </c>
      <c r="V47" s="162">
        <v>60.442999999999998</v>
      </c>
      <c r="W47" s="162">
        <v>54.71</v>
      </c>
      <c r="X47" s="162">
        <v>41.022100000000002</v>
      </c>
      <c r="Y47" s="162">
        <v>54.91</v>
      </c>
      <c r="Z47" s="184" t="s">
        <v>621</v>
      </c>
      <c r="AA47" s="184" t="s">
        <v>621</v>
      </c>
      <c r="AB47" s="179">
        <v>48.795200000000001</v>
      </c>
      <c r="AC47" s="201">
        <v>52.051015395353616</v>
      </c>
      <c r="AD47" s="160">
        <v>45443</v>
      </c>
      <c r="AJ47" s="154"/>
      <c r="AK47" s="154"/>
      <c r="AL47" s="154"/>
      <c r="AM47" s="154"/>
      <c r="AN47" s="154"/>
      <c r="AO47" s="154"/>
      <c r="AP47" s="154"/>
      <c r="AQ47" s="154"/>
      <c r="AR47" s="154"/>
      <c r="AS47" s="154"/>
      <c r="AT47" s="154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</row>
    <row r="48" spans="1:65" s="155" customFormat="1" ht="17.25" customHeight="1" x14ac:dyDescent="0.3">
      <c r="A48" s="159">
        <v>45473</v>
      </c>
      <c r="B48" s="162">
        <v>50.16</v>
      </c>
      <c r="C48" s="162">
        <v>61.821199999999997</v>
      </c>
      <c r="D48" s="162">
        <v>47.597499999999997</v>
      </c>
      <c r="E48" s="162">
        <v>53.0886</v>
      </c>
      <c r="F48" s="162">
        <v>55.45</v>
      </c>
      <c r="G48" s="162">
        <v>42.1</v>
      </c>
      <c r="H48" s="162">
        <v>52.37</v>
      </c>
      <c r="I48" s="162">
        <v>58.71</v>
      </c>
      <c r="J48" s="162">
        <v>58.54</v>
      </c>
      <c r="K48" s="162">
        <v>48.52</v>
      </c>
      <c r="L48" s="162" t="s">
        <v>495</v>
      </c>
      <c r="M48" s="162">
        <v>64.56</v>
      </c>
      <c r="N48" s="162">
        <v>102.74</v>
      </c>
      <c r="O48" s="162">
        <v>36.68</v>
      </c>
      <c r="P48" s="162">
        <v>41.87</v>
      </c>
      <c r="Q48" s="183" t="s">
        <v>621</v>
      </c>
      <c r="R48" s="183" t="s">
        <v>621</v>
      </c>
      <c r="S48" s="162" t="s">
        <v>495</v>
      </c>
      <c r="T48" s="162">
        <v>59.13</v>
      </c>
      <c r="U48" s="162">
        <v>54.52</v>
      </c>
      <c r="V48" s="162">
        <v>59.9315</v>
      </c>
      <c r="W48" s="162">
        <v>51.96</v>
      </c>
      <c r="X48" s="162">
        <v>40.749099999999999</v>
      </c>
      <c r="Y48" s="162">
        <v>53.48</v>
      </c>
      <c r="Z48" s="184" t="s">
        <v>621</v>
      </c>
      <c r="AA48" s="184" t="s">
        <v>621</v>
      </c>
      <c r="AB48" s="179">
        <v>49.2072</v>
      </c>
      <c r="AC48" s="201">
        <v>52.98168439597471</v>
      </c>
      <c r="AD48" s="160">
        <v>45473</v>
      </c>
      <c r="AJ48" s="154"/>
      <c r="AK48" s="154"/>
      <c r="AL48" s="154"/>
      <c r="AM48" s="154"/>
      <c r="AN48" s="154"/>
      <c r="AO48" s="154"/>
      <c r="AP48" s="154"/>
      <c r="AQ48" s="154"/>
      <c r="AR48" s="154"/>
      <c r="AS48" s="154"/>
      <c r="AT48" s="154"/>
      <c r="AU48" s="154"/>
      <c r="AV48" s="154"/>
      <c r="AW48" s="154"/>
      <c r="AX48" s="154"/>
      <c r="AY48" s="154"/>
      <c r="AZ48" s="154"/>
      <c r="BA48" s="154"/>
      <c r="BB48" s="154"/>
      <c r="BC48" s="154"/>
      <c r="BD48" s="154"/>
      <c r="BE48" s="154"/>
      <c r="BF48" s="154"/>
      <c r="BG48" s="154"/>
      <c r="BH48" s="154"/>
      <c r="BI48" s="154"/>
      <c r="BJ48" s="154"/>
      <c r="BK48" s="154"/>
      <c r="BL48" s="154"/>
      <c r="BM48" s="154"/>
    </row>
    <row r="49" spans="1:65" s="155" customFormat="1" ht="17.25" customHeight="1" x14ac:dyDescent="0.3">
      <c r="A49" s="159">
        <v>45504</v>
      </c>
      <c r="B49" s="162">
        <v>50.6</v>
      </c>
      <c r="C49" s="162">
        <v>61.938800000000001</v>
      </c>
      <c r="D49" s="162">
        <v>46.963000000000001</v>
      </c>
      <c r="E49" s="162">
        <v>55.089399999999998</v>
      </c>
      <c r="F49" s="162">
        <v>55.69</v>
      </c>
      <c r="G49" s="162">
        <v>43.01</v>
      </c>
      <c r="H49" s="162">
        <v>52.5</v>
      </c>
      <c r="I49" s="162">
        <v>59.21</v>
      </c>
      <c r="J49" s="162">
        <v>57.96</v>
      </c>
      <c r="K49" s="162">
        <v>50.15</v>
      </c>
      <c r="L49" s="162" t="s">
        <v>495</v>
      </c>
      <c r="M49" s="162">
        <v>65.5</v>
      </c>
      <c r="N49" s="162">
        <v>103.34</v>
      </c>
      <c r="O49" s="162">
        <v>36.33</v>
      </c>
      <c r="P49" s="162">
        <v>41.32</v>
      </c>
      <c r="Q49" s="183" t="s">
        <v>621</v>
      </c>
      <c r="R49" s="183" t="s">
        <v>621</v>
      </c>
      <c r="S49" s="162" t="s">
        <v>495</v>
      </c>
      <c r="T49" s="162">
        <v>59.5</v>
      </c>
      <c r="U49" s="162">
        <v>54.33</v>
      </c>
      <c r="V49" s="162">
        <v>62.278599999999997</v>
      </c>
      <c r="W49" s="162">
        <v>50.38</v>
      </c>
      <c r="X49" s="162">
        <v>41.2226</v>
      </c>
      <c r="Y49" s="162">
        <v>53.66</v>
      </c>
      <c r="Z49" s="184" t="s">
        <v>621</v>
      </c>
      <c r="AA49" s="184" t="s">
        <v>621</v>
      </c>
      <c r="AB49" s="179">
        <v>50.119599999999998</v>
      </c>
      <c r="AC49" s="201">
        <v>53.801448909408265</v>
      </c>
      <c r="AD49" s="160">
        <v>45504</v>
      </c>
      <c r="AJ49" s="154"/>
      <c r="AK49" s="154"/>
      <c r="AL49" s="154"/>
      <c r="AM49" s="154"/>
      <c r="AN49" s="154"/>
      <c r="AO49" s="154"/>
      <c r="AP49" s="154"/>
      <c r="AQ49" s="154"/>
      <c r="AR49" s="154"/>
      <c r="AS49" s="154"/>
      <c r="AT49" s="154"/>
      <c r="AU49" s="154"/>
      <c r="AV49" s="154"/>
      <c r="AW49" s="154"/>
      <c r="AX49" s="154"/>
      <c r="AY49" s="154"/>
      <c r="AZ49" s="154"/>
      <c r="BA49" s="154"/>
      <c r="BB49" s="154"/>
      <c r="BC49" s="154"/>
      <c r="BD49" s="154"/>
      <c r="BE49" s="154"/>
      <c r="BF49" s="154"/>
      <c r="BG49" s="154"/>
      <c r="BH49" s="154"/>
      <c r="BI49" s="154"/>
      <c r="BJ49" s="154"/>
      <c r="BK49" s="154"/>
      <c r="BL49" s="154"/>
      <c r="BM49" s="154"/>
    </row>
    <row r="50" spans="1:65" s="155" customFormat="1" ht="17.25" customHeight="1" x14ac:dyDescent="0.3">
      <c r="A50" s="159">
        <v>45535</v>
      </c>
      <c r="B50" s="162">
        <v>51.32</v>
      </c>
      <c r="C50" s="162">
        <v>62.204700000000003</v>
      </c>
      <c r="D50" s="162">
        <v>46.985599999999998</v>
      </c>
      <c r="E50" s="162">
        <v>55.887300000000003</v>
      </c>
      <c r="F50" s="162">
        <v>56.27</v>
      </c>
      <c r="G50" s="162">
        <v>42.23</v>
      </c>
      <c r="H50" s="162">
        <v>52.61</v>
      </c>
      <c r="I50" s="162">
        <v>58.97</v>
      </c>
      <c r="J50" s="162">
        <v>58.06</v>
      </c>
      <c r="K50" s="162">
        <v>48.53</v>
      </c>
      <c r="L50" s="162" t="s">
        <v>495</v>
      </c>
      <c r="M50" s="162">
        <v>65.5</v>
      </c>
      <c r="N50" s="162">
        <v>103.95</v>
      </c>
      <c r="O50" s="162">
        <v>36.21</v>
      </c>
      <c r="P50" s="162">
        <v>43.05</v>
      </c>
      <c r="Q50" s="183" t="s">
        <v>621</v>
      </c>
      <c r="R50" s="183" t="s">
        <v>621</v>
      </c>
      <c r="S50" s="162" t="s">
        <v>495</v>
      </c>
      <c r="T50" s="162">
        <v>60</v>
      </c>
      <c r="U50" s="162">
        <v>54.67</v>
      </c>
      <c r="V50" s="162">
        <v>60.593400000000003</v>
      </c>
      <c r="W50" s="162">
        <v>51.58</v>
      </c>
      <c r="X50" s="162">
        <v>40.931800000000003</v>
      </c>
      <c r="Y50" s="162">
        <v>54.44</v>
      </c>
      <c r="Z50" s="184" t="s">
        <v>621</v>
      </c>
      <c r="AA50" s="184" t="s">
        <v>621</v>
      </c>
      <c r="AB50" s="179">
        <v>51.502899999999997</v>
      </c>
      <c r="AC50" s="201">
        <v>53.900059448708802</v>
      </c>
      <c r="AD50" s="160">
        <v>45535</v>
      </c>
      <c r="AJ50" s="154"/>
      <c r="AK50" s="154"/>
      <c r="AL50" s="154"/>
      <c r="AM50" s="154"/>
      <c r="AN50" s="154"/>
      <c r="AO50" s="154"/>
      <c r="AP50" s="154"/>
      <c r="AQ50" s="154"/>
      <c r="AR50" s="154"/>
      <c r="AS50" s="154"/>
      <c r="AT50" s="154"/>
      <c r="AU50" s="154"/>
      <c r="AV50" s="154"/>
      <c r="AW50" s="154"/>
      <c r="AX50" s="154"/>
      <c r="AY50" s="154"/>
      <c r="AZ50" s="154"/>
      <c r="BA50" s="154"/>
      <c r="BB50" s="154"/>
      <c r="BC50" s="154"/>
      <c r="BD50" s="154"/>
      <c r="BE50" s="154"/>
      <c r="BF50" s="154"/>
      <c r="BG50" s="154"/>
      <c r="BH50" s="154"/>
      <c r="BI50" s="154"/>
      <c r="BJ50" s="154"/>
      <c r="BK50" s="154"/>
      <c r="BL50" s="154"/>
      <c r="BM50" s="154"/>
    </row>
    <row r="51" spans="1:65" s="155" customFormat="1" ht="17.25" customHeight="1" x14ac:dyDescent="0.3">
      <c r="A51" s="159">
        <v>45565</v>
      </c>
      <c r="B51" s="162">
        <v>54.09</v>
      </c>
      <c r="C51" s="162">
        <v>62.613799999999998</v>
      </c>
      <c r="D51" s="162">
        <v>48.700699999999998</v>
      </c>
      <c r="E51" s="162">
        <v>56.8367</v>
      </c>
      <c r="F51" s="162">
        <v>58.14</v>
      </c>
      <c r="G51" s="162">
        <v>42.6</v>
      </c>
      <c r="H51" s="162">
        <v>54.88</v>
      </c>
      <c r="I51" s="162">
        <v>59.11</v>
      </c>
      <c r="J51" s="162">
        <v>59.32</v>
      </c>
      <c r="K51" s="162">
        <v>52.74</v>
      </c>
      <c r="L51" s="162" t="s">
        <v>495</v>
      </c>
      <c r="M51" s="162">
        <v>66.75</v>
      </c>
      <c r="N51" s="162">
        <v>103.89</v>
      </c>
      <c r="O51" s="162">
        <v>36.82</v>
      </c>
      <c r="P51" s="162">
        <v>46.72</v>
      </c>
      <c r="Q51" s="183" t="s">
        <v>621</v>
      </c>
      <c r="R51" s="183" t="s">
        <v>621</v>
      </c>
      <c r="S51" s="162" t="s">
        <v>495</v>
      </c>
      <c r="T51" s="162">
        <v>63</v>
      </c>
      <c r="U51" s="162">
        <v>56.23</v>
      </c>
      <c r="V51" s="162">
        <v>61.6479</v>
      </c>
      <c r="W51" s="162">
        <v>53.58</v>
      </c>
      <c r="X51" s="162">
        <v>41.291600000000003</v>
      </c>
      <c r="Y51" s="162">
        <v>56.92</v>
      </c>
      <c r="Z51" s="184" t="s">
        <v>621</v>
      </c>
      <c r="AA51" s="184" t="s">
        <v>621</v>
      </c>
      <c r="AB51" s="179">
        <v>54.412300000000002</v>
      </c>
      <c r="AC51" s="201">
        <v>56.285914282916544</v>
      </c>
      <c r="AD51" s="160">
        <v>45565</v>
      </c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54"/>
      <c r="BD51" s="154"/>
      <c r="BE51" s="154"/>
      <c r="BF51" s="154"/>
      <c r="BG51" s="154"/>
      <c r="BH51" s="154"/>
      <c r="BI51" s="154"/>
      <c r="BJ51" s="154"/>
      <c r="BK51" s="154"/>
      <c r="BL51" s="154"/>
      <c r="BM51" s="154"/>
    </row>
    <row r="52" spans="1:65" s="155" customFormat="1" ht="17.25" customHeight="1" x14ac:dyDescent="0.3">
      <c r="A52" s="159">
        <v>45596</v>
      </c>
      <c r="B52" s="162">
        <v>56.26</v>
      </c>
      <c r="C52" s="162">
        <v>65.154899999999998</v>
      </c>
      <c r="D52" s="162">
        <v>49.027200000000001</v>
      </c>
      <c r="E52" s="162">
        <v>58.853000000000002</v>
      </c>
      <c r="F52" s="162">
        <v>60.86</v>
      </c>
      <c r="G52" s="162">
        <v>44.58</v>
      </c>
      <c r="H52" s="162">
        <v>55.37</v>
      </c>
      <c r="I52" s="162">
        <v>56.72</v>
      </c>
      <c r="J52" s="162">
        <v>60.1</v>
      </c>
      <c r="K52" s="162">
        <v>53.95</v>
      </c>
      <c r="L52" s="162" t="s">
        <v>495</v>
      </c>
      <c r="M52" s="162">
        <v>68.5</v>
      </c>
      <c r="N52" s="162">
        <v>103.59</v>
      </c>
      <c r="O52" s="162">
        <v>39.83</v>
      </c>
      <c r="P52" s="162">
        <v>54.58</v>
      </c>
      <c r="Q52" s="183" t="s">
        <v>621</v>
      </c>
      <c r="R52" s="183" t="s">
        <v>621</v>
      </c>
      <c r="S52" s="162" t="s">
        <v>495</v>
      </c>
      <c r="T52" s="162">
        <v>62.25</v>
      </c>
      <c r="U52" s="162">
        <v>57.82</v>
      </c>
      <c r="V52" s="162">
        <v>63.2761</v>
      </c>
      <c r="W52" s="162">
        <v>53.32</v>
      </c>
      <c r="X52" s="162">
        <v>44.341700000000003</v>
      </c>
      <c r="Y52" s="162">
        <v>58.54</v>
      </c>
      <c r="Z52" s="184" t="s">
        <v>621</v>
      </c>
      <c r="AA52" s="184" t="s">
        <v>621</v>
      </c>
      <c r="AB52" s="179">
        <v>58.572099999999999</v>
      </c>
      <c r="AC52" s="201">
        <v>58.312486272586156</v>
      </c>
      <c r="AD52" s="160">
        <v>45596</v>
      </c>
      <c r="AJ52" s="154"/>
      <c r="AK52" s="154"/>
      <c r="AL52" s="154"/>
      <c r="AM52" s="154"/>
      <c r="AN52" s="154"/>
      <c r="AO52" s="154"/>
      <c r="AP52" s="154"/>
      <c r="AQ52" s="154"/>
      <c r="AR52" s="154"/>
      <c r="AS52" s="154"/>
      <c r="AT52" s="154"/>
      <c r="AU52" s="154"/>
      <c r="AV52" s="154"/>
      <c r="AW52" s="154"/>
      <c r="AX52" s="154"/>
      <c r="AY52" s="154"/>
      <c r="AZ52" s="154"/>
      <c r="BA52" s="154"/>
      <c r="BB52" s="154"/>
      <c r="BC52" s="154"/>
      <c r="BD52" s="154"/>
      <c r="BE52" s="154"/>
      <c r="BF52" s="154"/>
      <c r="BG52" s="154"/>
      <c r="BH52" s="154"/>
      <c r="BI52" s="154"/>
      <c r="BJ52" s="154"/>
      <c r="BK52" s="154"/>
      <c r="BL52" s="154"/>
      <c r="BM52" s="154"/>
    </row>
    <row r="53" spans="1:65" s="155" customFormat="1" ht="17.25" customHeight="1" x14ac:dyDescent="0.3">
      <c r="A53" s="159">
        <v>45626</v>
      </c>
      <c r="B53" s="162">
        <v>57.82</v>
      </c>
      <c r="C53" s="162">
        <v>65.497500000000002</v>
      </c>
      <c r="D53" s="162">
        <v>50.849899999999998</v>
      </c>
      <c r="E53" s="162">
        <v>61.810499999999998</v>
      </c>
      <c r="F53" s="162">
        <v>62.68</v>
      </c>
      <c r="G53" s="162">
        <v>44.59</v>
      </c>
      <c r="H53" s="162">
        <v>65.95</v>
      </c>
      <c r="I53" s="162">
        <v>60.44</v>
      </c>
      <c r="J53" s="162">
        <v>59.42</v>
      </c>
      <c r="K53" s="162">
        <v>53.91</v>
      </c>
      <c r="L53" s="162" t="s">
        <v>495</v>
      </c>
      <c r="M53" s="162">
        <v>70.5</v>
      </c>
      <c r="N53" s="162">
        <v>103.43</v>
      </c>
      <c r="O53" s="162">
        <v>43.11</v>
      </c>
      <c r="P53" s="162">
        <v>58.05</v>
      </c>
      <c r="Q53" s="183" t="s">
        <v>621</v>
      </c>
      <c r="R53" s="183" t="s">
        <v>621</v>
      </c>
      <c r="S53" s="162" t="s">
        <v>495</v>
      </c>
      <c r="T53" s="162">
        <v>63.38</v>
      </c>
      <c r="U53" s="162">
        <v>61.57</v>
      </c>
      <c r="V53" s="162">
        <v>67.914000000000001</v>
      </c>
      <c r="W53" s="162">
        <v>54.41</v>
      </c>
      <c r="X53" s="162">
        <v>44.169899999999998</v>
      </c>
      <c r="Y53" s="162">
        <v>58.83</v>
      </c>
      <c r="Z53" s="184" t="s">
        <v>621</v>
      </c>
      <c r="AA53" s="184" t="s">
        <v>621</v>
      </c>
      <c r="AB53" s="179">
        <v>60.865900000000003</v>
      </c>
      <c r="AC53" s="201">
        <v>60.084219193809822</v>
      </c>
      <c r="AD53" s="160">
        <v>45626</v>
      </c>
      <c r="AJ53" s="154"/>
      <c r="AK53" s="154"/>
      <c r="AL53" s="154"/>
      <c r="AM53" s="154"/>
      <c r="AN53" s="154"/>
      <c r="AO53" s="154"/>
      <c r="AP53" s="154"/>
      <c r="AQ53" s="154"/>
      <c r="AR53" s="154"/>
      <c r="AS53" s="154"/>
      <c r="AT53" s="154"/>
      <c r="AU53" s="154"/>
      <c r="AV53" s="154"/>
      <c r="AW53" s="154"/>
      <c r="AX53" s="154"/>
      <c r="AY53" s="154"/>
      <c r="AZ53" s="154"/>
      <c r="BA53" s="154"/>
      <c r="BB53" s="154"/>
      <c r="BC53" s="154"/>
      <c r="BD53" s="154"/>
      <c r="BE53" s="154"/>
      <c r="BF53" s="154"/>
      <c r="BG53" s="154"/>
      <c r="BH53" s="154"/>
      <c r="BI53" s="154"/>
      <c r="BJ53" s="154"/>
      <c r="BK53" s="154"/>
      <c r="BL53" s="154"/>
      <c r="BM53" s="154"/>
    </row>
    <row r="54" spans="1:65" s="155" customFormat="1" ht="17.25" customHeight="1" thickBot="1" x14ac:dyDescent="0.35">
      <c r="A54" s="163">
        <v>45657</v>
      </c>
      <c r="B54" s="164">
        <v>58.31</v>
      </c>
      <c r="C54" s="164">
        <v>66.7911</v>
      </c>
      <c r="D54" s="164">
        <v>52.368200000000002</v>
      </c>
      <c r="E54" s="164">
        <v>63.816200000000002</v>
      </c>
      <c r="F54" s="164">
        <v>63.4</v>
      </c>
      <c r="G54" s="164">
        <v>45.67</v>
      </c>
      <c r="H54" s="164">
        <v>66.2</v>
      </c>
      <c r="I54" s="164">
        <v>60.64</v>
      </c>
      <c r="J54" s="164">
        <v>60.1</v>
      </c>
      <c r="K54" s="164">
        <v>53.43</v>
      </c>
      <c r="L54" s="164" t="s">
        <v>495</v>
      </c>
      <c r="M54" s="164">
        <v>70.5</v>
      </c>
      <c r="N54" s="164">
        <v>104.22</v>
      </c>
      <c r="O54" s="164">
        <v>45.55</v>
      </c>
      <c r="P54" s="164">
        <v>58.27</v>
      </c>
      <c r="Q54" s="185" t="s">
        <v>621</v>
      </c>
      <c r="R54" s="185" t="s">
        <v>621</v>
      </c>
      <c r="S54" s="164" t="s">
        <v>495</v>
      </c>
      <c r="T54" s="164">
        <v>64.81</v>
      </c>
      <c r="U54" s="164">
        <v>61.57</v>
      </c>
      <c r="V54" s="164">
        <v>66.921300000000002</v>
      </c>
      <c r="W54" s="164">
        <v>54.24</v>
      </c>
      <c r="X54" s="164">
        <v>43.981000000000002</v>
      </c>
      <c r="Y54" s="164">
        <v>59.13</v>
      </c>
      <c r="Z54" s="185" t="s">
        <v>621</v>
      </c>
      <c r="AA54" s="185" t="s">
        <v>621</v>
      </c>
      <c r="AB54" s="180">
        <v>62.586799999999997</v>
      </c>
      <c r="AC54" s="202">
        <v>60.691769566473084</v>
      </c>
      <c r="AD54" s="165">
        <v>45657</v>
      </c>
      <c r="AJ54" s="154"/>
      <c r="AK54" s="154"/>
      <c r="AL54" s="154"/>
      <c r="AM54" s="154"/>
      <c r="AN54" s="154"/>
      <c r="AO54" s="154"/>
      <c r="AP54" s="154"/>
      <c r="AQ54" s="154"/>
      <c r="AR54" s="154"/>
      <c r="AS54" s="154"/>
      <c r="AT54" s="154"/>
      <c r="AU54" s="154"/>
      <c r="AV54" s="154"/>
      <c r="AW54" s="154"/>
      <c r="AX54" s="154"/>
      <c r="AY54" s="154"/>
      <c r="AZ54" s="154"/>
      <c r="BA54" s="154"/>
      <c r="BB54" s="154"/>
      <c r="BC54" s="154"/>
      <c r="BD54" s="154"/>
      <c r="BE54" s="154"/>
      <c r="BF54" s="154"/>
      <c r="BG54" s="154"/>
      <c r="BH54" s="154"/>
      <c r="BI54" s="154"/>
      <c r="BJ54" s="154"/>
      <c r="BK54" s="154"/>
      <c r="BL54" s="154"/>
      <c r="BM54" s="154"/>
    </row>
    <row r="55" spans="1:65" customFormat="1" ht="17.25" customHeight="1" x14ac:dyDescent="0.3">
      <c r="A55" s="161">
        <v>45688</v>
      </c>
      <c r="B55" s="283">
        <v>58.59</v>
      </c>
      <c r="C55" s="283">
        <v>68.345399999999998</v>
      </c>
      <c r="D55" s="283">
        <v>52.572600000000001</v>
      </c>
      <c r="E55" s="283">
        <v>63.799300000000002</v>
      </c>
      <c r="F55" s="283">
        <v>63.54</v>
      </c>
      <c r="G55" s="283">
        <v>49.75</v>
      </c>
      <c r="H55" s="283">
        <v>67.97</v>
      </c>
      <c r="I55" s="283">
        <v>60</v>
      </c>
      <c r="J55" s="283">
        <v>60</v>
      </c>
      <c r="K55" s="283">
        <v>52.42</v>
      </c>
      <c r="L55" s="283" t="s">
        <v>495</v>
      </c>
      <c r="M55" s="283">
        <v>72.75</v>
      </c>
      <c r="N55" s="283">
        <v>104.37</v>
      </c>
      <c r="O55" s="283">
        <v>45.67</v>
      </c>
      <c r="P55" s="283">
        <v>58.46</v>
      </c>
      <c r="Q55" s="284" t="s">
        <v>621</v>
      </c>
      <c r="R55" s="284" t="s">
        <v>621</v>
      </c>
      <c r="S55" s="283" t="s">
        <v>495</v>
      </c>
      <c r="T55" s="283">
        <v>64.75</v>
      </c>
      <c r="U55" s="283">
        <v>60.63</v>
      </c>
      <c r="V55" s="283">
        <v>65.491600000000005</v>
      </c>
      <c r="W55" s="283">
        <v>53.01</v>
      </c>
      <c r="X55" s="283">
        <v>43.495899999999999</v>
      </c>
      <c r="Y55" s="283">
        <v>59.27</v>
      </c>
      <c r="Z55" s="284" t="s">
        <v>621</v>
      </c>
      <c r="AA55" s="284" t="s">
        <v>621</v>
      </c>
      <c r="AB55" s="285">
        <v>62.7196</v>
      </c>
      <c r="AC55" s="259">
        <v>60.50737764374766</v>
      </c>
      <c r="AD55" s="208">
        <v>45688</v>
      </c>
      <c r="AE55" s="2"/>
      <c r="AF55" s="2"/>
      <c r="AG55" s="2"/>
      <c r="AH55" s="2"/>
      <c r="AI55" s="2"/>
    </row>
    <row r="56" spans="1:65" s="155" customFormat="1" ht="17.25" customHeight="1" x14ac:dyDescent="0.3">
      <c r="A56" s="161">
        <v>45716</v>
      </c>
      <c r="B56" s="283">
        <v>59.14</v>
      </c>
      <c r="C56" s="283">
        <v>68.212500000000006</v>
      </c>
      <c r="D56" s="283">
        <v>53.502000000000002</v>
      </c>
      <c r="E56" s="283">
        <v>63.813800000000001</v>
      </c>
      <c r="F56" s="283">
        <v>64.040000000000006</v>
      </c>
      <c r="G56" s="283">
        <v>50.16</v>
      </c>
      <c r="H56" s="283">
        <v>72.86</v>
      </c>
      <c r="I56" s="283">
        <v>59.47</v>
      </c>
      <c r="J56" s="283">
        <v>60</v>
      </c>
      <c r="K56" s="283">
        <v>50.97</v>
      </c>
      <c r="L56" s="283" t="s">
        <v>495</v>
      </c>
      <c r="M56" s="283">
        <v>72.75</v>
      </c>
      <c r="N56" s="283">
        <v>103.96</v>
      </c>
      <c r="O56" s="283">
        <v>46.12</v>
      </c>
      <c r="P56" s="283">
        <v>57.26</v>
      </c>
      <c r="Q56" s="284" t="s">
        <v>621</v>
      </c>
      <c r="R56" s="284" t="s">
        <v>621</v>
      </c>
      <c r="S56" s="283" t="s">
        <v>495</v>
      </c>
      <c r="T56" s="283">
        <v>64.75</v>
      </c>
      <c r="U56" s="283">
        <v>61.01</v>
      </c>
      <c r="V56" s="283">
        <v>68.133899999999997</v>
      </c>
      <c r="W56" s="283">
        <v>53.94</v>
      </c>
      <c r="X56" s="283">
        <v>43.198599999999999</v>
      </c>
      <c r="Y56" s="283">
        <v>59.36</v>
      </c>
      <c r="Z56" s="284" t="s">
        <v>621</v>
      </c>
      <c r="AA56" s="284" t="s">
        <v>621</v>
      </c>
      <c r="AB56" s="285">
        <v>64.903899999999993</v>
      </c>
      <c r="AC56" s="200">
        <v>60.564347047360641</v>
      </c>
      <c r="AD56" s="158">
        <v>45716</v>
      </c>
      <c r="AJ56" s="154"/>
      <c r="AK56" s="154"/>
      <c r="AL56" s="154"/>
      <c r="AM56" s="154"/>
      <c r="AN56" s="154"/>
      <c r="AO56" s="154"/>
      <c r="AP56" s="154"/>
      <c r="AQ56" s="154"/>
      <c r="AR56" s="154"/>
      <c r="AS56" s="154"/>
      <c r="AT56" s="154"/>
      <c r="AU56" s="154"/>
      <c r="AV56" s="154"/>
      <c r="AW56" s="154"/>
      <c r="AX56" s="154"/>
      <c r="AY56" s="154"/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</row>
    <row r="57" spans="1:65" s="155" customFormat="1" ht="17.25" customHeight="1" x14ac:dyDescent="0.3">
      <c r="A57" s="159">
        <v>45747</v>
      </c>
      <c r="B57" s="276">
        <v>59.15</v>
      </c>
      <c r="C57" s="276">
        <v>68.376099999999994</v>
      </c>
      <c r="D57" s="276">
        <v>54.176099999999998</v>
      </c>
      <c r="E57" s="276">
        <v>63.809899999999999</v>
      </c>
      <c r="F57" s="276">
        <v>64.5</v>
      </c>
      <c r="G57" s="276">
        <v>50.62</v>
      </c>
      <c r="H57" s="276">
        <v>67.760000000000005</v>
      </c>
      <c r="I57" s="276">
        <v>60</v>
      </c>
      <c r="J57" s="276">
        <v>59.81</v>
      </c>
      <c r="K57" s="276">
        <v>49.72</v>
      </c>
      <c r="L57" s="276" t="s">
        <v>495</v>
      </c>
      <c r="M57" s="276">
        <v>73.12</v>
      </c>
      <c r="N57" s="276">
        <v>104.07</v>
      </c>
      <c r="O57" s="276">
        <v>46.13</v>
      </c>
      <c r="P57" s="276">
        <v>57.49</v>
      </c>
      <c r="Q57" s="284" t="s">
        <v>621</v>
      </c>
      <c r="R57" s="284" t="s">
        <v>621</v>
      </c>
      <c r="S57" s="276" t="s">
        <v>495</v>
      </c>
      <c r="T57" s="276">
        <v>65.5</v>
      </c>
      <c r="U57" s="276">
        <v>60.86</v>
      </c>
      <c r="V57" s="276">
        <v>69.516800000000003</v>
      </c>
      <c r="W57" s="276">
        <v>55.16</v>
      </c>
      <c r="X57" s="276">
        <v>44.165300000000002</v>
      </c>
      <c r="Y57" s="276">
        <v>59.02</v>
      </c>
      <c r="Z57" s="286" t="s">
        <v>621</v>
      </c>
      <c r="AA57" s="286" t="s">
        <v>621</v>
      </c>
      <c r="AB57" s="287">
        <v>65.010199999999998</v>
      </c>
      <c r="AC57" s="201">
        <v>60.473990710477779</v>
      </c>
      <c r="AD57" s="160">
        <v>45747</v>
      </c>
      <c r="AJ57" s="154"/>
      <c r="AK57" s="154"/>
      <c r="AL57" s="154"/>
      <c r="AM57" s="154"/>
      <c r="AN57" s="154"/>
      <c r="AO57" s="154"/>
      <c r="AP57" s="154"/>
      <c r="AQ57" s="154"/>
      <c r="AR57" s="154"/>
      <c r="AS57" s="154"/>
      <c r="AT57" s="154"/>
      <c r="AU57" s="154"/>
      <c r="AV57" s="154"/>
      <c r="AW57" s="154"/>
      <c r="AX57" s="154"/>
      <c r="AY57" s="154"/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54"/>
      <c r="BM57" s="154"/>
    </row>
    <row r="58" spans="1:65" s="155" customFormat="1" ht="17.25" customHeight="1" x14ac:dyDescent="0.3">
      <c r="A58" s="159">
        <v>45777</v>
      </c>
      <c r="B58" s="276">
        <v>58.76</v>
      </c>
      <c r="C58" s="276">
        <v>67.563100000000006</v>
      </c>
      <c r="D58" s="276">
        <v>54.422800000000002</v>
      </c>
      <c r="E58" s="276">
        <v>63.765799999999999</v>
      </c>
      <c r="F58" s="276">
        <v>64.45</v>
      </c>
      <c r="G58" s="276">
        <v>50.53</v>
      </c>
      <c r="H58" s="276">
        <v>63</v>
      </c>
      <c r="I58" s="276">
        <v>60</v>
      </c>
      <c r="J58" s="276">
        <v>59.61</v>
      </c>
      <c r="K58" s="276">
        <v>47.24</v>
      </c>
      <c r="L58" s="276" t="s">
        <v>495</v>
      </c>
      <c r="M58" s="276">
        <v>73.5</v>
      </c>
      <c r="N58" s="276">
        <v>103.63</v>
      </c>
      <c r="O58" s="276">
        <v>46.88</v>
      </c>
      <c r="P58" s="276">
        <v>55.78</v>
      </c>
      <c r="Q58" s="284" t="s">
        <v>621</v>
      </c>
      <c r="R58" s="284" t="s">
        <v>621</v>
      </c>
      <c r="S58" s="276" t="s">
        <v>495</v>
      </c>
      <c r="T58" s="276">
        <v>67.5</v>
      </c>
      <c r="U58" s="276">
        <v>60.61</v>
      </c>
      <c r="V58" s="276">
        <v>64.798500000000004</v>
      </c>
      <c r="W58" s="276">
        <v>54.67</v>
      </c>
      <c r="X58" s="276">
        <v>43.254300000000001</v>
      </c>
      <c r="Y58" s="276">
        <v>58.46</v>
      </c>
      <c r="Z58" s="286" t="s">
        <v>621</v>
      </c>
      <c r="AA58" s="286" t="s">
        <v>621</v>
      </c>
      <c r="AB58" s="287">
        <v>64.969200000000001</v>
      </c>
      <c r="AC58" s="201">
        <v>59.918197134759829</v>
      </c>
      <c r="AD58" s="160">
        <v>45777</v>
      </c>
      <c r="AJ58" s="154"/>
      <c r="AK58" s="154"/>
      <c r="AL58" s="154"/>
      <c r="AM58" s="154"/>
      <c r="AN58" s="154"/>
      <c r="AO58" s="154"/>
      <c r="AP58" s="154"/>
      <c r="AQ58" s="154"/>
      <c r="AR58" s="154"/>
      <c r="AS58" s="154"/>
      <c r="AT58" s="154"/>
      <c r="AU58" s="154"/>
      <c r="AV58" s="154"/>
      <c r="AW58" s="154"/>
      <c r="AX58" s="154"/>
      <c r="AY58" s="154"/>
      <c r="AZ58" s="154"/>
      <c r="BA58" s="154"/>
      <c r="BB58" s="154"/>
      <c r="BC58" s="154"/>
      <c r="BD58" s="154"/>
      <c r="BE58" s="154"/>
      <c r="BF58" s="154"/>
      <c r="BG58" s="154"/>
      <c r="BH58" s="154"/>
      <c r="BI58" s="154"/>
      <c r="BJ58" s="154"/>
      <c r="BK58" s="154"/>
      <c r="BL58" s="154"/>
      <c r="BM58" s="154"/>
    </row>
    <row r="59" spans="1:65" s="155" customFormat="1" ht="17.25" customHeight="1" x14ac:dyDescent="0.3">
      <c r="A59" s="161">
        <v>45808</v>
      </c>
      <c r="B59" s="276">
        <v>59.32</v>
      </c>
      <c r="C59" s="276">
        <v>67.624499999999998</v>
      </c>
      <c r="D59" s="276">
        <v>55.121699999999997</v>
      </c>
      <c r="E59" s="276">
        <v>63.807000000000002</v>
      </c>
      <c r="F59" s="276">
        <v>64.47</v>
      </c>
      <c r="G59" s="276">
        <v>50.48</v>
      </c>
      <c r="H59" s="276">
        <v>63.02</v>
      </c>
      <c r="I59" s="276">
        <v>60.16</v>
      </c>
      <c r="J59" s="276">
        <v>59.42</v>
      </c>
      <c r="K59" s="276">
        <v>48.49</v>
      </c>
      <c r="L59" s="276" t="s">
        <v>495</v>
      </c>
      <c r="M59" s="276">
        <v>73.5</v>
      </c>
      <c r="N59" s="276">
        <v>103.67</v>
      </c>
      <c r="O59" s="276">
        <v>46.74</v>
      </c>
      <c r="P59" s="276">
        <v>55.46</v>
      </c>
      <c r="Q59" s="284" t="s">
        <v>621</v>
      </c>
      <c r="R59" s="284" t="s">
        <v>621</v>
      </c>
      <c r="S59" s="276" t="s">
        <v>495</v>
      </c>
      <c r="T59" s="276">
        <v>67.5</v>
      </c>
      <c r="U59" s="276">
        <v>60.61</v>
      </c>
      <c r="V59" s="276">
        <v>63.341000000000001</v>
      </c>
      <c r="W59" s="276">
        <v>54.02</v>
      </c>
      <c r="X59" s="276">
        <v>41.388800000000003</v>
      </c>
      <c r="Y59" s="276">
        <v>59.95</v>
      </c>
      <c r="Z59" s="286" t="s">
        <v>621</v>
      </c>
      <c r="AA59" s="286" t="s">
        <v>621</v>
      </c>
      <c r="AB59" s="287">
        <v>65.066599999999994</v>
      </c>
      <c r="AC59" s="201">
        <v>60.230109411539665</v>
      </c>
      <c r="AD59" s="160">
        <v>45808</v>
      </c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  <c r="AV59" s="154"/>
      <c r="AW59" s="154"/>
      <c r="AX59" s="154"/>
      <c r="AY59" s="154"/>
      <c r="AZ59" s="154"/>
      <c r="BA59" s="154"/>
      <c r="BB59" s="154"/>
      <c r="BC59" s="154"/>
      <c r="BD59" s="154"/>
      <c r="BE59" s="154"/>
      <c r="BF59" s="154"/>
      <c r="BG59" s="154"/>
      <c r="BH59" s="154"/>
      <c r="BI59" s="154"/>
      <c r="BJ59" s="154"/>
      <c r="BK59" s="154"/>
      <c r="BL59" s="154"/>
      <c r="BM59" s="154"/>
    </row>
    <row r="60" spans="1:65" s="155" customFormat="1" ht="17.25" customHeight="1" x14ac:dyDescent="0.3">
      <c r="A60" s="159">
        <v>45838</v>
      </c>
      <c r="B60" s="276">
        <v>58.85</v>
      </c>
      <c r="C60" s="276">
        <v>68.135800000000003</v>
      </c>
      <c r="D60" s="276">
        <v>55.5182</v>
      </c>
      <c r="E60" s="276">
        <v>63.8095</v>
      </c>
      <c r="F60" s="276">
        <v>64.55</v>
      </c>
      <c r="G60" s="276">
        <v>50.04</v>
      </c>
      <c r="H60" s="276">
        <v>63.06</v>
      </c>
      <c r="I60" s="276">
        <v>59.67</v>
      </c>
      <c r="J60" s="276">
        <v>59.22</v>
      </c>
      <c r="K60" s="276">
        <v>49.22</v>
      </c>
      <c r="L60" s="276" t="s">
        <v>495</v>
      </c>
      <c r="M60" s="276">
        <v>74.5</v>
      </c>
      <c r="N60" s="276">
        <v>103.31</v>
      </c>
      <c r="O60" s="276">
        <v>45.58</v>
      </c>
      <c r="P60" s="276">
        <v>55.94</v>
      </c>
      <c r="Q60" s="284" t="s">
        <v>621</v>
      </c>
      <c r="R60" s="284" t="s">
        <v>621</v>
      </c>
      <c r="S60" s="276" t="s">
        <v>495</v>
      </c>
      <c r="T60" s="276">
        <v>67.55</v>
      </c>
      <c r="U60" s="276">
        <v>60.94</v>
      </c>
      <c r="V60" s="276">
        <v>64.677599999999998</v>
      </c>
      <c r="W60" s="276">
        <v>51.4</v>
      </c>
      <c r="X60" s="276">
        <v>42.1569</v>
      </c>
      <c r="Y60" s="276">
        <v>59.08</v>
      </c>
      <c r="Z60" s="286" t="s">
        <v>621</v>
      </c>
      <c r="AA60" s="286" t="s">
        <v>621</v>
      </c>
      <c r="AB60" s="287">
        <v>63.400300000000001</v>
      </c>
      <c r="AC60" s="201">
        <v>60.355153189945987</v>
      </c>
      <c r="AD60" s="160">
        <v>45838</v>
      </c>
      <c r="AJ60" s="154"/>
      <c r="AK60" s="154"/>
      <c r="AL60" s="154"/>
      <c r="AM60" s="154"/>
      <c r="AN60" s="154"/>
      <c r="AO60" s="154"/>
      <c r="AP60" s="154"/>
      <c r="AQ60" s="154"/>
      <c r="AR60" s="154"/>
      <c r="AS60" s="154"/>
      <c r="AT60" s="154"/>
      <c r="AU60" s="154"/>
      <c r="AV60" s="154"/>
      <c r="AW60" s="154"/>
      <c r="AX60" s="154"/>
      <c r="AY60" s="154"/>
      <c r="AZ60" s="154"/>
      <c r="BA60" s="154"/>
      <c r="BB60" s="154"/>
      <c r="BC60" s="154"/>
      <c r="BD60" s="154"/>
      <c r="BE60" s="154"/>
      <c r="BF60" s="154"/>
      <c r="BG60" s="154"/>
      <c r="BH60" s="154"/>
      <c r="BI60" s="154"/>
      <c r="BJ60" s="154"/>
      <c r="BK60" s="154"/>
      <c r="BL60" s="154"/>
      <c r="BM60" s="154"/>
    </row>
    <row r="61" spans="1:65" s="155" customFormat="1" ht="17.25" customHeight="1" x14ac:dyDescent="0.3">
      <c r="A61" s="159">
        <v>45869</v>
      </c>
      <c r="B61" s="276">
        <v>57.99</v>
      </c>
      <c r="C61" s="276">
        <v>68.442599999999999</v>
      </c>
      <c r="D61" s="276">
        <v>55.405999999999999</v>
      </c>
      <c r="E61" s="276">
        <v>64.0535</v>
      </c>
      <c r="F61" s="276">
        <v>64.94</v>
      </c>
      <c r="G61" s="276">
        <v>49.66</v>
      </c>
      <c r="H61" s="276">
        <v>63.05</v>
      </c>
      <c r="I61" s="276">
        <v>58.68</v>
      </c>
      <c r="J61" s="276">
        <v>59.51</v>
      </c>
      <c r="K61" s="276">
        <v>51.62</v>
      </c>
      <c r="L61" s="276"/>
      <c r="M61" s="276">
        <v>74.5</v>
      </c>
      <c r="N61" s="276">
        <v>104.14</v>
      </c>
      <c r="O61" s="276">
        <v>46.56</v>
      </c>
      <c r="P61" s="276">
        <v>53.92</v>
      </c>
      <c r="Q61" s="284" t="s">
        <v>621</v>
      </c>
      <c r="R61" s="284" t="s">
        <v>621</v>
      </c>
      <c r="S61" s="276"/>
      <c r="T61" s="276">
        <v>67.55</v>
      </c>
      <c r="U61" s="276">
        <v>62.08</v>
      </c>
      <c r="V61" s="276">
        <v>62.715299999999999</v>
      </c>
      <c r="W61" s="276">
        <v>53.6</v>
      </c>
      <c r="X61" s="276">
        <v>41.170299999999997</v>
      </c>
      <c r="Y61" s="276">
        <v>60.1</v>
      </c>
      <c r="Z61" s="286" t="s">
        <v>621</v>
      </c>
      <c r="AA61" s="286" t="s">
        <v>621</v>
      </c>
      <c r="AB61" s="287">
        <v>61.3474</v>
      </c>
      <c r="AC61" s="201">
        <v>60.926337076348098</v>
      </c>
      <c r="AD61" s="160">
        <v>45869</v>
      </c>
      <c r="AJ61" s="154"/>
      <c r="AK61" s="154"/>
      <c r="AL61" s="154"/>
      <c r="AM61" s="154"/>
      <c r="AN61" s="154"/>
      <c r="AO61" s="154"/>
      <c r="AP61" s="154"/>
      <c r="AQ61" s="154"/>
      <c r="AR61" s="154"/>
      <c r="AS61" s="154"/>
      <c r="AT61" s="154"/>
      <c r="AU61" s="154"/>
      <c r="AV61" s="154"/>
      <c r="AW61" s="154"/>
      <c r="AX61" s="154"/>
      <c r="AY61" s="154"/>
      <c r="AZ61" s="154"/>
      <c r="BA61" s="154"/>
      <c r="BB61" s="154"/>
      <c r="BC61" s="154"/>
      <c r="BD61" s="154"/>
      <c r="BE61" s="154"/>
      <c r="BF61" s="154"/>
      <c r="BG61" s="154"/>
      <c r="BH61" s="154"/>
      <c r="BI61" s="154"/>
      <c r="BJ61" s="154"/>
      <c r="BK61" s="154"/>
      <c r="BL61" s="154"/>
      <c r="BM61" s="154"/>
    </row>
    <row r="62" spans="1:65" s="155" customFormat="1" ht="17.25" customHeight="1" x14ac:dyDescent="0.3">
      <c r="A62" s="159">
        <v>45900</v>
      </c>
      <c r="B62" s="276">
        <v>58.64</v>
      </c>
      <c r="C62" s="276">
        <v>68.253399999999999</v>
      </c>
      <c r="D62" s="276">
        <v>56.387099999999997</v>
      </c>
      <c r="E62" s="276">
        <v>64.1768</v>
      </c>
      <c r="F62" s="276">
        <v>66.02</v>
      </c>
      <c r="G62" s="276">
        <v>50.15</v>
      </c>
      <c r="H62" s="276">
        <v>63</v>
      </c>
      <c r="I62" s="276">
        <v>60.82</v>
      </c>
      <c r="J62" s="276">
        <v>60.58</v>
      </c>
      <c r="K62" s="276">
        <v>52.96</v>
      </c>
      <c r="L62" s="276" t="s">
        <v>495</v>
      </c>
      <c r="M62" s="276">
        <v>75</v>
      </c>
      <c r="N62" s="276">
        <v>103.81</v>
      </c>
      <c r="O62" s="276">
        <v>46.22</v>
      </c>
      <c r="P62" s="276">
        <v>53.67</v>
      </c>
      <c r="Q62" s="284" t="s">
        <v>621</v>
      </c>
      <c r="R62" s="284" t="s">
        <v>621</v>
      </c>
      <c r="S62" s="276" t="s">
        <v>495</v>
      </c>
      <c r="T62" s="276">
        <v>67.75</v>
      </c>
      <c r="U62" s="276">
        <v>63.12</v>
      </c>
      <c r="V62" s="276">
        <v>64.623400000000004</v>
      </c>
      <c r="W62" s="276">
        <v>53.3</v>
      </c>
      <c r="X62" s="276">
        <v>41.46</v>
      </c>
      <c r="Y62" s="276">
        <v>58.69</v>
      </c>
      <c r="Z62" s="286" t="s">
        <v>621</v>
      </c>
      <c r="AA62" s="286" t="s">
        <v>621</v>
      </c>
      <c r="AB62" s="287">
        <v>61.822699999999998</v>
      </c>
      <c r="AC62" s="201">
        <v>61.770827608388494</v>
      </c>
      <c r="AD62" s="160">
        <v>45900</v>
      </c>
      <c r="AJ62" s="154"/>
      <c r="AK62" s="154"/>
      <c r="AL62" s="154"/>
      <c r="AM62" s="154"/>
      <c r="AN62" s="154"/>
      <c r="AO62" s="154"/>
      <c r="AP62" s="154"/>
      <c r="AQ62" s="154"/>
      <c r="AR62" s="154"/>
      <c r="AS62" s="154"/>
      <c r="AT62" s="154"/>
      <c r="AU62" s="154"/>
      <c r="AV62" s="154"/>
      <c r="AW62" s="154"/>
      <c r="AX62" s="154"/>
      <c r="AY62" s="154"/>
      <c r="AZ62" s="154"/>
      <c r="BA62" s="154"/>
      <c r="BB62" s="154"/>
      <c r="BC62" s="154"/>
      <c r="BD62" s="154"/>
      <c r="BE62" s="154"/>
      <c r="BF62" s="154"/>
      <c r="BG62" s="154"/>
      <c r="BH62" s="154"/>
      <c r="BI62" s="154"/>
      <c r="BJ62" s="154"/>
      <c r="BK62" s="154"/>
      <c r="BL62" s="154"/>
      <c r="BM62" s="154"/>
    </row>
    <row r="63" spans="1:65" s="155" customFormat="1" ht="17.25" customHeight="1" x14ac:dyDescent="0.3">
      <c r="A63" s="159">
        <v>45930</v>
      </c>
      <c r="B63" s="276">
        <v>59.58</v>
      </c>
      <c r="C63" s="276">
        <v>68.626599999999996</v>
      </c>
      <c r="D63" s="276">
        <v>56.841999999999999</v>
      </c>
      <c r="E63" s="276">
        <v>64.305400000000006</v>
      </c>
      <c r="F63" s="276">
        <v>67.28</v>
      </c>
      <c r="G63" s="276">
        <v>50.29</v>
      </c>
      <c r="H63" s="276">
        <v>64.489999999999995</v>
      </c>
      <c r="I63" s="276">
        <v>60.83</v>
      </c>
      <c r="J63" s="276">
        <v>61.94</v>
      </c>
      <c r="K63" s="276">
        <v>55.17</v>
      </c>
      <c r="L63" s="276" t="s">
        <v>495</v>
      </c>
      <c r="M63" s="276">
        <v>72.67</v>
      </c>
      <c r="N63" s="276">
        <v>103.61</v>
      </c>
      <c r="O63" s="276">
        <v>46.51</v>
      </c>
      <c r="P63" s="276">
        <v>54.36</v>
      </c>
      <c r="Q63" s="284" t="s">
        <v>621</v>
      </c>
      <c r="R63" s="284" t="s">
        <v>621</v>
      </c>
      <c r="S63" s="276" t="s">
        <v>495</v>
      </c>
      <c r="T63" s="276">
        <v>67.88</v>
      </c>
      <c r="U63" s="276">
        <v>63.71</v>
      </c>
      <c r="V63" s="276">
        <v>62.659599999999998</v>
      </c>
      <c r="W63" s="276">
        <v>56.12</v>
      </c>
      <c r="X63" s="276">
        <v>44.659399999999998</v>
      </c>
      <c r="Y63" s="276">
        <v>59.32</v>
      </c>
      <c r="Z63" s="286" t="s">
        <v>621</v>
      </c>
      <c r="AA63" s="286" t="s">
        <v>621</v>
      </c>
      <c r="AB63" s="287">
        <v>64.452299999999994</v>
      </c>
      <c r="AC63" s="201">
        <v>62.869112174747897</v>
      </c>
      <c r="AD63" s="160">
        <v>45930</v>
      </c>
      <c r="AJ63" s="154"/>
      <c r="AK63" s="154"/>
      <c r="AL63" s="154"/>
      <c r="AM63" s="154"/>
      <c r="AN63" s="154"/>
      <c r="AO63" s="154"/>
      <c r="AP63" s="154"/>
      <c r="AQ63" s="154"/>
      <c r="AR63" s="154"/>
      <c r="AS63" s="154"/>
      <c r="AT63" s="154"/>
      <c r="AU63" s="154"/>
      <c r="AV63" s="154"/>
      <c r="AW63" s="154"/>
      <c r="AX63" s="154"/>
      <c r="AY63" s="154"/>
      <c r="AZ63" s="154"/>
      <c r="BA63" s="154"/>
      <c r="BB63" s="154"/>
      <c r="BC63" s="154"/>
      <c r="BD63" s="154"/>
      <c r="BE63" s="154"/>
      <c r="BF63" s="154"/>
      <c r="BG63" s="154"/>
      <c r="BH63" s="154"/>
      <c r="BI63" s="154"/>
      <c r="BJ63" s="154"/>
      <c r="BK63" s="154"/>
      <c r="BL63" s="154"/>
      <c r="BM63" s="154"/>
    </row>
    <row r="64" spans="1:65" s="155" customFormat="1" ht="17.25" customHeight="1" x14ac:dyDescent="0.3">
      <c r="A64" s="159">
        <v>45961</v>
      </c>
      <c r="B64" s="276">
        <v>60.44</v>
      </c>
      <c r="C64" s="276">
        <v>69.107299999999995</v>
      </c>
      <c r="D64" s="276">
        <v>56.6526</v>
      </c>
      <c r="E64" s="276">
        <v>64.407799999999995</v>
      </c>
      <c r="F64" s="276">
        <v>68.319999999999993</v>
      </c>
      <c r="G64" s="276">
        <v>48.4</v>
      </c>
      <c r="H64" s="276">
        <v>64.680000000000007</v>
      </c>
      <c r="I64" s="276">
        <v>60.62</v>
      </c>
      <c r="J64" s="276">
        <v>62.43</v>
      </c>
      <c r="K64" s="276">
        <v>56.64</v>
      </c>
      <c r="L64" s="276" t="s">
        <v>495</v>
      </c>
      <c r="M64" s="276">
        <v>72.67</v>
      </c>
      <c r="N64" s="276">
        <v>104.05</v>
      </c>
      <c r="O64" s="276">
        <v>44.41</v>
      </c>
      <c r="P64" s="276">
        <v>56.04</v>
      </c>
      <c r="Q64" s="284" t="s">
        <v>621</v>
      </c>
      <c r="R64" s="284" t="s">
        <v>621</v>
      </c>
      <c r="S64" s="276" t="s">
        <v>495</v>
      </c>
      <c r="T64" s="276">
        <v>68.63</v>
      </c>
      <c r="U64" s="276">
        <v>64.58</v>
      </c>
      <c r="V64" s="276">
        <v>63.773400000000002</v>
      </c>
      <c r="W64" s="276">
        <v>56.08</v>
      </c>
      <c r="X64" s="276">
        <v>41.280200000000001</v>
      </c>
      <c r="Y64" s="276">
        <v>59.55</v>
      </c>
      <c r="Z64" s="286" t="s">
        <v>621</v>
      </c>
      <c r="AA64" s="286" t="s">
        <v>621</v>
      </c>
      <c r="AB64" s="287">
        <v>66.363299999999995</v>
      </c>
      <c r="AC64" s="201">
        <v>63.835117086448598</v>
      </c>
      <c r="AD64" s="160">
        <v>45961</v>
      </c>
      <c r="AJ64" s="154"/>
      <c r="AK64" s="154"/>
      <c r="AL64" s="154"/>
      <c r="AM64" s="154"/>
      <c r="AN64" s="154"/>
      <c r="AO64" s="154"/>
      <c r="AP64" s="154"/>
      <c r="AQ64" s="154"/>
      <c r="AR64" s="154"/>
      <c r="AS64" s="154"/>
      <c r="AT64" s="154"/>
      <c r="AU64" s="154"/>
      <c r="AV64" s="154"/>
      <c r="AW64" s="154"/>
      <c r="AX64" s="154"/>
      <c r="AY64" s="154"/>
      <c r="AZ64" s="154"/>
      <c r="BA64" s="154"/>
      <c r="BB64" s="154"/>
      <c r="BC64" s="154"/>
      <c r="BD64" s="154"/>
      <c r="BE64" s="154"/>
      <c r="BF64" s="154"/>
      <c r="BG64" s="154"/>
      <c r="BH64" s="154"/>
      <c r="BI64" s="154"/>
      <c r="BJ64" s="154"/>
      <c r="BK64" s="154"/>
      <c r="BL64" s="154"/>
      <c r="BM64" s="154"/>
    </row>
    <row r="65" spans="1:65" s="155" customFormat="1" ht="16.95" customHeight="1" x14ac:dyDescent="0.3">
      <c r="A65" s="159">
        <v>45991</v>
      </c>
      <c r="B65" s="276">
        <v>60.47</v>
      </c>
      <c r="C65" s="276">
        <v>69.010099999999994</v>
      </c>
      <c r="D65" s="276">
        <v>56.629399999999997</v>
      </c>
      <c r="E65" s="276">
        <v>64.542500000000004</v>
      </c>
      <c r="F65" s="276">
        <v>68.569999999999993</v>
      </c>
      <c r="G65" s="276">
        <v>47.65</v>
      </c>
      <c r="H65" s="276">
        <v>73.17</v>
      </c>
      <c r="I65" s="276">
        <v>61</v>
      </c>
      <c r="J65" s="276">
        <v>63.01</v>
      </c>
      <c r="K65" s="276">
        <v>56.55</v>
      </c>
      <c r="L65" s="276" t="s">
        <v>495</v>
      </c>
      <c r="M65" s="276">
        <v>70.75</v>
      </c>
      <c r="N65" s="276">
        <v>103.11</v>
      </c>
      <c r="O65" s="276">
        <v>43.95</v>
      </c>
      <c r="P65" s="276">
        <v>55.67</v>
      </c>
      <c r="Q65" s="284" t="s">
        <v>621</v>
      </c>
      <c r="R65" s="284" t="s">
        <v>621</v>
      </c>
      <c r="S65" s="276" t="s">
        <v>495</v>
      </c>
      <c r="T65" s="276">
        <v>69.25</v>
      </c>
      <c r="U65" s="276">
        <v>62.94</v>
      </c>
      <c r="V65" s="276">
        <v>68.4084</v>
      </c>
      <c r="W65" s="276">
        <v>57.06</v>
      </c>
      <c r="X65" s="276">
        <v>41.539400000000001</v>
      </c>
      <c r="Y65" s="276">
        <v>59.72</v>
      </c>
      <c r="Z65" s="286" t="s">
        <v>621</v>
      </c>
      <c r="AA65" s="286" t="s">
        <v>621</v>
      </c>
      <c r="AB65" s="287">
        <v>66.688199999999995</v>
      </c>
      <c r="AC65" s="201">
        <v>63.717458579080336</v>
      </c>
      <c r="AD65" s="160">
        <v>45991</v>
      </c>
      <c r="AJ65" s="154"/>
      <c r="AK65" s="154"/>
      <c r="AL65" s="154"/>
      <c r="AM65" s="154"/>
      <c r="AN65" s="154"/>
      <c r="AO65" s="154"/>
      <c r="AP65" s="154"/>
      <c r="AQ65" s="154"/>
      <c r="AR65" s="154"/>
      <c r="AS65" s="154"/>
      <c r="AT65" s="154"/>
      <c r="AU65" s="154"/>
      <c r="AV65" s="154"/>
      <c r="AW65" s="154"/>
      <c r="AX65" s="154"/>
      <c r="AY65" s="154"/>
      <c r="AZ65" s="154"/>
      <c r="BA65" s="154"/>
      <c r="BB65" s="154"/>
      <c r="BC65" s="154"/>
      <c r="BD65" s="154"/>
      <c r="BE65" s="154"/>
      <c r="BF65" s="154"/>
      <c r="BG65" s="154"/>
      <c r="BH65" s="154"/>
      <c r="BI65" s="154"/>
      <c r="BJ65" s="154"/>
      <c r="BK65" s="154"/>
      <c r="BL65" s="154"/>
      <c r="BM65" s="154"/>
    </row>
    <row r="66" spans="1:65" s="155" customFormat="1" ht="17.25" customHeight="1" thickBot="1" x14ac:dyDescent="0.35">
      <c r="A66" s="163">
        <v>46022</v>
      </c>
      <c r="B66" s="164">
        <v>59.73</v>
      </c>
      <c r="C66" s="164">
        <v>68.396600000000007</v>
      </c>
      <c r="D66" s="164">
        <v>55.5944</v>
      </c>
      <c r="E66" s="164">
        <v>64.661799999999999</v>
      </c>
      <c r="F66" s="164">
        <v>68.02</v>
      </c>
      <c r="G66" s="164">
        <v>42.33</v>
      </c>
      <c r="H66" s="164">
        <v>81.67</v>
      </c>
      <c r="I66" s="164">
        <v>61.29</v>
      </c>
      <c r="J66" s="164">
        <v>63.5</v>
      </c>
      <c r="K66" s="164">
        <v>55.79</v>
      </c>
      <c r="L66" s="164" t="s">
        <v>495</v>
      </c>
      <c r="M66" s="164">
        <v>68.63</v>
      </c>
      <c r="N66" s="164">
        <v>104.1</v>
      </c>
      <c r="O66" s="164">
        <v>43.25</v>
      </c>
      <c r="P66" s="164">
        <v>52.47</v>
      </c>
      <c r="Q66" s="185" t="s">
        <v>621</v>
      </c>
      <c r="R66" s="185" t="s">
        <v>621</v>
      </c>
      <c r="S66" s="164" t="s">
        <v>495</v>
      </c>
      <c r="T66" s="164">
        <v>64.75</v>
      </c>
      <c r="U66" s="164">
        <v>62.72</v>
      </c>
      <c r="V66" s="164">
        <v>63.183999999999997</v>
      </c>
      <c r="W66" s="164">
        <v>56.04</v>
      </c>
      <c r="X66" s="164">
        <v>41.816600000000001</v>
      </c>
      <c r="Y66" s="164">
        <v>58.31</v>
      </c>
      <c r="Z66" s="185" t="s">
        <v>621</v>
      </c>
      <c r="AA66" s="185" t="s">
        <v>621</v>
      </c>
      <c r="AB66" s="180">
        <v>66.265500000000003</v>
      </c>
      <c r="AC66" s="202">
        <v>62.991692992708998</v>
      </c>
      <c r="AD66" s="165">
        <v>46022</v>
      </c>
      <c r="AJ66" s="154"/>
      <c r="AK66" s="154"/>
      <c r="AL66" s="154"/>
      <c r="AM66" s="154"/>
      <c r="AN66" s="154"/>
      <c r="AO66" s="154"/>
      <c r="AP66" s="154"/>
      <c r="AQ66" s="154"/>
      <c r="AR66" s="154"/>
      <c r="AS66" s="154"/>
      <c r="AT66" s="154"/>
      <c r="AU66" s="154"/>
      <c r="AV66" s="154"/>
      <c r="AW66" s="154"/>
      <c r="AX66" s="154"/>
      <c r="AY66" s="154"/>
      <c r="AZ66" s="154"/>
      <c r="BA66" s="154"/>
      <c r="BB66" s="154"/>
      <c r="BC66" s="154"/>
      <c r="BD66" s="154"/>
      <c r="BE66" s="154"/>
      <c r="BF66" s="154"/>
      <c r="BG66" s="154"/>
      <c r="BH66" s="154"/>
      <c r="BI66" s="154"/>
      <c r="BJ66" s="154"/>
      <c r="BK66" s="154"/>
      <c r="BL66" s="154"/>
      <c r="BM66" s="154"/>
    </row>
    <row r="67" spans="1:65" customFormat="1" x14ac:dyDescent="0.25">
      <c r="A67" s="166"/>
      <c r="B67" s="1"/>
      <c r="C67" s="1"/>
      <c r="D67" s="4"/>
      <c r="E67" s="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4"/>
      <c r="AB67" s="1"/>
      <c r="AC67" s="167"/>
      <c r="AD67" s="167"/>
      <c r="AE67" s="2"/>
      <c r="AF67" s="2"/>
      <c r="AG67" s="2"/>
      <c r="AH67" s="2"/>
      <c r="AI67" s="2"/>
    </row>
    <row r="68" spans="1:65" customFormat="1" x14ac:dyDescent="0.25">
      <c r="A68" s="166"/>
      <c r="B68" s="275"/>
      <c r="C68" s="1" t="s">
        <v>707</v>
      </c>
      <c r="D68" s="4"/>
      <c r="E68" s="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 t="s">
        <v>620</v>
      </c>
      <c r="R68" s="1"/>
      <c r="S68" s="1"/>
      <c r="T68" s="1"/>
      <c r="U68" s="1"/>
      <c r="V68" s="1"/>
      <c r="W68" s="1"/>
      <c r="X68" s="1"/>
      <c r="Y68" s="1"/>
      <c r="Z68" s="1"/>
      <c r="AA68" s="4"/>
      <c r="AB68" s="1"/>
      <c r="AC68" s="167"/>
      <c r="AD68" s="167"/>
      <c r="AE68" s="2"/>
      <c r="AF68" s="2"/>
      <c r="AG68" s="2"/>
      <c r="AH68" s="2"/>
      <c r="AI68" s="2"/>
    </row>
    <row r="69" spans="1:65" customFormat="1" x14ac:dyDescent="0.25">
      <c r="A69" s="166"/>
      <c r="B69" s="1"/>
      <c r="C69" s="1"/>
      <c r="D69" s="4"/>
      <c r="E69" s="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4"/>
      <c r="AB69" s="1"/>
      <c r="AC69" s="167"/>
      <c r="AD69" s="167"/>
      <c r="AE69" s="2"/>
      <c r="AF69" s="2"/>
      <c r="AG69" s="2"/>
      <c r="AH69" s="2"/>
      <c r="AI69" s="2"/>
    </row>
    <row r="70" spans="1:65" customFormat="1" x14ac:dyDescent="0.25">
      <c r="A70" s="166"/>
      <c r="B70" s="1"/>
      <c r="C70" s="1"/>
      <c r="D70" s="4"/>
      <c r="E70" s="4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4"/>
      <c r="AB70" s="1"/>
      <c r="AC70" s="167"/>
      <c r="AD70" s="167"/>
      <c r="AE70" s="2"/>
      <c r="AF70" s="2"/>
      <c r="AG70" s="2"/>
      <c r="AH70" s="2"/>
      <c r="AI70" s="2"/>
    </row>
    <row r="71" spans="1:65" customFormat="1" x14ac:dyDescent="0.25">
      <c r="A71" s="166"/>
      <c r="B71" s="1"/>
      <c r="C71" s="1"/>
      <c r="D71" s="4"/>
      <c r="E71" s="4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4"/>
      <c r="AB71" s="1"/>
      <c r="AC71" s="167"/>
      <c r="AD71" s="167"/>
      <c r="AE71" s="2"/>
      <c r="AF71" s="2"/>
      <c r="AG71" s="2"/>
      <c r="AH71" s="2"/>
      <c r="AI71" s="2"/>
    </row>
    <row r="72" spans="1:65" customFormat="1" x14ac:dyDescent="0.25">
      <c r="A72" s="166"/>
      <c r="B72" s="1"/>
      <c r="C72" s="1"/>
      <c r="D72" s="4"/>
      <c r="E72" s="4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4"/>
      <c r="AB72" s="1"/>
      <c r="AC72" s="167"/>
      <c r="AD72" s="167"/>
      <c r="AE72" s="2"/>
      <c r="AF72" s="2"/>
      <c r="AG72" s="2"/>
      <c r="AH72" s="2"/>
      <c r="AI72" s="2"/>
    </row>
    <row r="73" spans="1:65" customFormat="1" x14ac:dyDescent="0.25">
      <c r="A73" s="166"/>
      <c r="B73" s="1"/>
      <c r="C73" s="1"/>
      <c r="D73" s="4"/>
      <c r="E73" s="4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4"/>
      <c r="AB73" s="1"/>
      <c r="AC73" s="167"/>
      <c r="AD73" s="167"/>
      <c r="AE73" s="2"/>
      <c r="AF73" s="2"/>
      <c r="AG73" s="2"/>
      <c r="AH73" s="2"/>
      <c r="AI73" s="2"/>
    </row>
    <row r="74" spans="1:65" customFormat="1" x14ac:dyDescent="0.25">
      <c r="A74" s="166"/>
      <c r="B74" s="1"/>
      <c r="C74" s="1"/>
      <c r="D74" s="4"/>
      <c r="E74" s="4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4"/>
      <c r="AB74" s="1"/>
      <c r="AC74" s="167"/>
      <c r="AD74" s="167"/>
      <c r="AE74" s="2"/>
      <c r="AF74" s="2"/>
      <c r="AG74" s="2"/>
      <c r="AH74" s="2"/>
      <c r="AI74" s="2"/>
    </row>
    <row r="75" spans="1:65" customFormat="1" x14ac:dyDescent="0.25">
      <c r="A75" s="166"/>
      <c r="B75" s="1"/>
      <c r="C75" s="1"/>
      <c r="D75" s="4"/>
      <c r="E75" s="4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4"/>
      <c r="AB75" s="1"/>
      <c r="AC75" s="167"/>
      <c r="AD75" s="167"/>
      <c r="AE75" s="2"/>
      <c r="AF75" s="2"/>
      <c r="AG75" s="2"/>
      <c r="AH75" s="2"/>
      <c r="AI75" s="2"/>
    </row>
    <row r="76" spans="1:65" customFormat="1" x14ac:dyDescent="0.25">
      <c r="A76" s="166"/>
      <c r="B76" s="1"/>
      <c r="C76" s="1"/>
      <c r="D76" s="4"/>
      <c r="E76" s="4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4"/>
      <c r="AB76" s="1"/>
      <c r="AC76" s="167"/>
      <c r="AD76" s="167"/>
      <c r="AE76" s="2"/>
      <c r="AF76" s="2"/>
      <c r="AG76" s="2"/>
      <c r="AH76" s="2"/>
      <c r="AI76" s="2"/>
    </row>
    <row r="77" spans="1:65" customFormat="1" x14ac:dyDescent="0.25">
      <c r="A77" s="166"/>
      <c r="B77" s="1"/>
      <c r="C77" s="1"/>
      <c r="D77" s="4"/>
      <c r="E77" s="4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4"/>
      <c r="AB77" s="1"/>
      <c r="AC77" s="167"/>
      <c r="AD77" s="167"/>
      <c r="AE77" s="2"/>
      <c r="AF77" s="2"/>
      <c r="AG77" s="2"/>
      <c r="AH77" s="2"/>
      <c r="AI77" s="2"/>
    </row>
    <row r="78" spans="1:65" customFormat="1" x14ac:dyDescent="0.25">
      <c r="A78" s="166"/>
      <c r="B78" s="1"/>
      <c r="C78" s="1"/>
      <c r="D78" s="4"/>
      <c r="E78" s="4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4"/>
      <c r="AB78" s="1"/>
      <c r="AC78" s="167"/>
      <c r="AD78" s="167"/>
      <c r="AE78" s="2"/>
      <c r="AF78" s="2"/>
      <c r="AG78" s="2"/>
      <c r="AH78" s="2"/>
      <c r="AI78" s="2"/>
    </row>
    <row r="79" spans="1:65" customFormat="1" x14ac:dyDescent="0.25">
      <c r="A79" s="166"/>
      <c r="B79" s="1"/>
      <c r="C79" s="1"/>
      <c r="D79" s="4"/>
      <c r="E79" s="4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4"/>
      <c r="AB79" s="1"/>
      <c r="AC79" s="167"/>
      <c r="AD79" s="167"/>
      <c r="AE79" s="2"/>
      <c r="AF79" s="2"/>
      <c r="AG79" s="2"/>
      <c r="AH79" s="2"/>
      <c r="AI79" s="2"/>
    </row>
    <row r="80" spans="1:65" customFormat="1" x14ac:dyDescent="0.25">
      <c r="A80" s="166"/>
      <c r="B80" s="1"/>
      <c r="C80" s="1"/>
      <c r="D80" s="4"/>
      <c r="E80" s="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4"/>
      <c r="AB80" s="1"/>
      <c r="AC80" s="167"/>
      <c r="AD80" s="167"/>
      <c r="AE80" s="2"/>
      <c r="AF80" s="2"/>
      <c r="AG80" s="2"/>
      <c r="AH80" s="2"/>
      <c r="AI80" s="2"/>
    </row>
    <row r="81" spans="1:35" customFormat="1" x14ac:dyDescent="0.25">
      <c r="A81" s="166"/>
      <c r="B81" s="1"/>
      <c r="C81" s="1"/>
      <c r="D81" s="4"/>
      <c r="E81" s="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4"/>
      <c r="AB81" s="1"/>
      <c r="AC81" s="167"/>
      <c r="AD81" s="167"/>
      <c r="AE81" s="2"/>
      <c r="AF81" s="2"/>
      <c r="AG81" s="2"/>
      <c r="AH81" s="2"/>
      <c r="AI81" s="2"/>
    </row>
    <row r="82" spans="1:35" customFormat="1" x14ac:dyDescent="0.25">
      <c r="A82" s="166"/>
      <c r="B82" s="1"/>
      <c r="C82" s="1"/>
      <c r="D82" s="4"/>
      <c r="E82" s="4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4"/>
      <c r="AB82" s="1"/>
      <c r="AC82" s="167"/>
      <c r="AD82" s="167"/>
      <c r="AE82" s="2"/>
      <c r="AF82" s="2"/>
      <c r="AG82" s="2"/>
      <c r="AH82" s="2"/>
      <c r="AI82" s="2"/>
    </row>
    <row r="83" spans="1:35" customFormat="1" x14ac:dyDescent="0.25">
      <c r="A83" s="166"/>
      <c r="B83" s="1"/>
      <c r="C83" s="1"/>
      <c r="D83" s="4"/>
      <c r="E83" s="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4"/>
      <c r="AB83" s="1"/>
      <c r="AC83" s="167"/>
      <c r="AD83" s="167"/>
      <c r="AE83" s="2"/>
      <c r="AF83" s="2"/>
      <c r="AG83" s="2"/>
      <c r="AH83" s="2"/>
      <c r="AI83" s="2"/>
    </row>
    <row r="84" spans="1:35" customFormat="1" x14ac:dyDescent="0.25">
      <c r="A84" s="166"/>
      <c r="B84" s="1"/>
      <c r="C84" s="1"/>
      <c r="D84" s="4"/>
      <c r="E84" s="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4"/>
      <c r="AB84" s="1"/>
      <c r="AC84" s="167"/>
      <c r="AD84" s="167"/>
      <c r="AE84" s="2"/>
      <c r="AF84" s="2"/>
      <c r="AG84" s="2"/>
      <c r="AH84" s="2"/>
      <c r="AI84" s="2"/>
    </row>
    <row r="85" spans="1:35" customFormat="1" x14ac:dyDescent="0.25">
      <c r="A85" s="166"/>
      <c r="B85" s="1"/>
      <c r="C85" s="1"/>
      <c r="D85" s="4"/>
      <c r="E85" s="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4"/>
      <c r="AB85" s="1"/>
      <c r="AC85" s="167"/>
      <c r="AD85" s="167"/>
      <c r="AE85" s="2"/>
      <c r="AF85" s="2"/>
      <c r="AG85" s="2"/>
      <c r="AH85" s="2"/>
      <c r="AI85" s="2"/>
    </row>
    <row r="86" spans="1:35" customFormat="1" x14ac:dyDescent="0.25">
      <c r="A86" s="166"/>
      <c r="B86" s="1"/>
      <c r="C86" s="1"/>
      <c r="D86" s="4"/>
      <c r="E86" s="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4"/>
      <c r="AB86" s="1"/>
      <c r="AC86" s="167"/>
      <c r="AD86" s="167"/>
      <c r="AE86" s="2"/>
      <c r="AF86" s="2"/>
      <c r="AG86" s="2"/>
      <c r="AH86" s="2"/>
      <c r="AI86" s="2"/>
    </row>
    <row r="87" spans="1:35" customFormat="1" x14ac:dyDescent="0.25">
      <c r="A87" s="166"/>
      <c r="B87" s="1"/>
      <c r="C87" s="1"/>
      <c r="D87" s="4"/>
      <c r="E87" s="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4"/>
      <c r="AB87" s="1"/>
      <c r="AC87" s="167"/>
      <c r="AD87" s="167"/>
      <c r="AE87" s="2"/>
      <c r="AF87" s="2"/>
      <c r="AG87" s="2"/>
      <c r="AH87" s="2"/>
      <c r="AI87" s="2"/>
    </row>
    <row r="88" spans="1:35" customFormat="1" x14ac:dyDescent="0.25">
      <c r="A88" s="166"/>
      <c r="B88" s="1"/>
      <c r="C88" s="1"/>
      <c r="D88" s="4"/>
      <c r="E88" s="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4"/>
      <c r="AB88" s="1"/>
      <c r="AC88" s="167"/>
      <c r="AD88" s="167"/>
      <c r="AE88" s="2"/>
      <c r="AF88" s="2"/>
      <c r="AG88" s="2"/>
      <c r="AH88" s="2"/>
      <c r="AI88" s="2"/>
    </row>
    <row r="89" spans="1:35" customFormat="1" x14ac:dyDescent="0.25">
      <c r="A89" s="166"/>
      <c r="B89" s="1"/>
      <c r="C89" s="1"/>
      <c r="D89" s="4"/>
      <c r="E89" s="4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4"/>
      <c r="AB89" s="1"/>
      <c r="AC89" s="167"/>
      <c r="AD89" s="167"/>
      <c r="AE89" s="2"/>
      <c r="AF89" s="2"/>
      <c r="AG89" s="2"/>
      <c r="AH89" s="2"/>
      <c r="AI89" s="2"/>
    </row>
    <row r="90" spans="1:35" customFormat="1" x14ac:dyDescent="0.25">
      <c r="A90" s="166"/>
      <c r="B90" s="1"/>
      <c r="C90" s="1"/>
      <c r="D90" s="4"/>
      <c r="E90" s="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4"/>
      <c r="AB90" s="1"/>
      <c r="AC90" s="167"/>
      <c r="AD90" s="167"/>
      <c r="AE90" s="2"/>
      <c r="AF90" s="2"/>
      <c r="AG90" s="2"/>
      <c r="AH90" s="2"/>
      <c r="AI90" s="2"/>
    </row>
    <row r="91" spans="1:35" customFormat="1" x14ac:dyDescent="0.25">
      <c r="A91" s="166"/>
      <c r="B91" s="1"/>
      <c r="C91" s="1"/>
      <c r="D91" s="4"/>
      <c r="E91" s="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4"/>
      <c r="AB91" s="1"/>
      <c r="AC91" s="167"/>
      <c r="AD91" s="167"/>
      <c r="AE91" s="2"/>
      <c r="AF91" s="2"/>
      <c r="AG91" s="2"/>
      <c r="AH91" s="2"/>
      <c r="AI91" s="2"/>
    </row>
    <row r="92" spans="1:35" customFormat="1" x14ac:dyDescent="0.25">
      <c r="A92" s="166"/>
      <c r="B92" s="1"/>
      <c r="C92" s="1"/>
      <c r="D92" s="4"/>
      <c r="E92" s="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4"/>
      <c r="AB92" s="1"/>
      <c r="AC92" s="167"/>
      <c r="AD92" s="167"/>
      <c r="AE92" s="2"/>
      <c r="AF92" s="2"/>
      <c r="AG92" s="2"/>
      <c r="AH92" s="2"/>
      <c r="AI92" s="2"/>
    </row>
    <row r="93" spans="1:35" customFormat="1" x14ac:dyDescent="0.25">
      <c r="A93" s="166"/>
      <c r="B93" s="1"/>
      <c r="C93" s="1"/>
      <c r="D93" s="4"/>
      <c r="E93" s="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4"/>
      <c r="AB93" s="1"/>
      <c r="AC93" s="167"/>
      <c r="AD93" s="167"/>
      <c r="AE93" s="2"/>
      <c r="AF93" s="2"/>
      <c r="AG93" s="2"/>
      <c r="AH93" s="2"/>
      <c r="AI93" s="2"/>
    </row>
    <row r="94" spans="1:35" customFormat="1" x14ac:dyDescent="0.25">
      <c r="A94" s="166"/>
      <c r="B94" s="1"/>
      <c r="C94" s="1"/>
      <c r="D94" s="4"/>
      <c r="E94" s="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4"/>
      <c r="AB94" s="1"/>
      <c r="AC94" s="167"/>
      <c r="AD94" s="167"/>
      <c r="AE94" s="2"/>
      <c r="AF94" s="2"/>
      <c r="AG94" s="2"/>
      <c r="AH94" s="2"/>
      <c r="AI94" s="2"/>
    </row>
    <row r="95" spans="1:35" customFormat="1" x14ac:dyDescent="0.25">
      <c r="A95" s="166"/>
      <c r="B95" s="1"/>
      <c r="C95" s="1"/>
      <c r="D95" s="4"/>
      <c r="E95" s="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4"/>
      <c r="AB95" s="1"/>
      <c r="AC95" s="167"/>
      <c r="AD95" s="167"/>
      <c r="AE95" s="2"/>
      <c r="AF95" s="2"/>
      <c r="AG95" s="2"/>
      <c r="AH95" s="2"/>
      <c r="AI95" s="2"/>
    </row>
    <row r="96" spans="1:35" customFormat="1" x14ac:dyDescent="0.25">
      <c r="A96" s="166"/>
      <c r="B96" s="1"/>
      <c r="C96" s="1"/>
      <c r="D96" s="4"/>
      <c r="E96" s="4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4"/>
      <c r="AB96" s="1"/>
      <c r="AC96" s="167"/>
      <c r="AD96" s="167"/>
      <c r="AE96" s="2"/>
      <c r="AF96" s="2"/>
      <c r="AG96" s="2"/>
      <c r="AH96" s="2"/>
      <c r="AI96" s="2"/>
    </row>
    <row r="97" spans="1:35" customFormat="1" x14ac:dyDescent="0.25">
      <c r="A97" s="166"/>
      <c r="B97" s="1"/>
      <c r="C97" s="1"/>
      <c r="D97" s="4"/>
      <c r="E97" s="4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4"/>
      <c r="AB97" s="1"/>
      <c r="AC97" s="167"/>
      <c r="AD97" s="167"/>
      <c r="AE97" s="2"/>
      <c r="AF97" s="2"/>
      <c r="AG97" s="2"/>
      <c r="AH97" s="2"/>
      <c r="AI97" s="2"/>
    </row>
    <row r="98" spans="1:35" customFormat="1" x14ac:dyDescent="0.25">
      <c r="A98" s="166"/>
      <c r="B98" s="1"/>
      <c r="C98" s="1"/>
      <c r="D98" s="4"/>
      <c r="E98" s="4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4"/>
      <c r="AB98" s="1"/>
      <c r="AC98" s="167"/>
      <c r="AD98" s="167"/>
      <c r="AE98" s="2"/>
      <c r="AF98" s="2"/>
      <c r="AG98" s="2"/>
      <c r="AH98" s="2"/>
      <c r="AI98" s="2"/>
    </row>
    <row r="99" spans="1:35" customFormat="1" x14ac:dyDescent="0.25">
      <c r="A99" s="166"/>
      <c r="B99" s="1"/>
      <c r="C99" s="1"/>
      <c r="D99" s="4"/>
      <c r="E99" s="4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4"/>
      <c r="AB99" s="1"/>
      <c r="AC99" s="167"/>
      <c r="AD99" s="167"/>
      <c r="AE99" s="2"/>
      <c r="AF99" s="2"/>
      <c r="AG99" s="2"/>
      <c r="AH99" s="2"/>
      <c r="AI99" s="2"/>
    </row>
    <row r="100" spans="1:35" customFormat="1" x14ac:dyDescent="0.25">
      <c r="A100" s="166"/>
      <c r="B100" s="1"/>
      <c r="C100" s="1"/>
      <c r="D100" s="4"/>
      <c r="E100" s="4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4"/>
      <c r="AB100" s="1"/>
      <c r="AC100" s="167"/>
      <c r="AD100" s="167"/>
      <c r="AE100" s="2"/>
      <c r="AF100" s="2"/>
      <c r="AG100" s="2"/>
      <c r="AH100" s="2"/>
      <c r="AI100" s="2"/>
    </row>
    <row r="101" spans="1:35" customFormat="1" x14ac:dyDescent="0.25">
      <c r="A101" s="166"/>
      <c r="B101" s="1"/>
      <c r="C101" s="1"/>
      <c r="D101" s="4"/>
      <c r="E101" s="4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4"/>
      <c r="AB101" s="1"/>
      <c r="AC101" s="167"/>
      <c r="AD101" s="167"/>
      <c r="AE101" s="2"/>
      <c r="AF101" s="2"/>
      <c r="AG101" s="2"/>
      <c r="AH101" s="2"/>
      <c r="AI101" s="2"/>
    </row>
    <row r="102" spans="1:35" customFormat="1" x14ac:dyDescent="0.25">
      <c r="A102" s="166"/>
      <c r="B102" s="1"/>
      <c r="C102" s="1"/>
      <c r="D102" s="4"/>
      <c r="E102" s="4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4"/>
      <c r="AB102" s="1"/>
      <c r="AC102" s="167"/>
      <c r="AD102" s="167"/>
      <c r="AE102" s="2"/>
      <c r="AF102" s="2"/>
      <c r="AG102" s="2"/>
      <c r="AH102" s="2"/>
      <c r="AI102" s="2"/>
    </row>
    <row r="103" spans="1:35" customFormat="1" x14ac:dyDescent="0.25">
      <c r="A103" s="166"/>
      <c r="B103" s="1"/>
      <c r="C103" s="1"/>
      <c r="D103" s="4"/>
      <c r="E103" s="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4"/>
      <c r="AB103" s="1"/>
      <c r="AC103" s="167"/>
      <c r="AD103" s="167"/>
      <c r="AE103" s="2"/>
      <c r="AF103" s="2"/>
      <c r="AG103" s="2"/>
      <c r="AH103" s="2"/>
      <c r="AI103" s="2"/>
    </row>
    <row r="104" spans="1:35" customFormat="1" x14ac:dyDescent="0.25">
      <c r="A104" s="166"/>
      <c r="B104" s="1"/>
      <c r="C104" s="1"/>
      <c r="D104" s="4"/>
      <c r="E104" s="4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4"/>
      <c r="AB104" s="1"/>
      <c r="AC104" s="167"/>
      <c r="AD104" s="167"/>
      <c r="AE104" s="2"/>
      <c r="AF104" s="2"/>
      <c r="AG104" s="2"/>
      <c r="AH104" s="2"/>
      <c r="AI104" s="2"/>
    </row>
    <row r="105" spans="1:35" customFormat="1" x14ac:dyDescent="0.25">
      <c r="A105" s="166"/>
      <c r="B105" s="1"/>
      <c r="C105" s="1"/>
      <c r="D105" s="4"/>
      <c r="E105" s="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4"/>
      <c r="AB105" s="1"/>
      <c r="AC105" s="167"/>
      <c r="AD105" s="167"/>
      <c r="AE105" s="2"/>
      <c r="AF105" s="2"/>
      <c r="AG105" s="2"/>
      <c r="AH105" s="2"/>
      <c r="AI105" s="2"/>
    </row>
    <row r="106" spans="1:35" customFormat="1" x14ac:dyDescent="0.25">
      <c r="A106" s="166"/>
      <c r="B106" s="1"/>
      <c r="C106" s="1"/>
      <c r="D106" s="4"/>
      <c r="E106" s="4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4"/>
      <c r="AB106" s="1"/>
      <c r="AC106" s="167"/>
      <c r="AD106" s="167"/>
      <c r="AE106" s="2"/>
      <c r="AF106" s="2"/>
      <c r="AG106" s="2"/>
      <c r="AH106" s="2"/>
      <c r="AI106" s="2"/>
    </row>
    <row r="107" spans="1:35" customFormat="1" x14ac:dyDescent="0.25">
      <c r="A107" s="166"/>
      <c r="B107" s="1"/>
      <c r="C107" s="1"/>
      <c r="D107" s="4"/>
      <c r="E107" s="4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4"/>
      <c r="AB107" s="1"/>
      <c r="AC107" s="167"/>
      <c r="AD107" s="167"/>
      <c r="AE107" s="2"/>
      <c r="AF107" s="2"/>
      <c r="AG107" s="2"/>
      <c r="AH107" s="2"/>
      <c r="AI107" s="2"/>
    </row>
    <row r="108" spans="1:35" customFormat="1" x14ac:dyDescent="0.25">
      <c r="A108" s="166"/>
      <c r="B108" s="1"/>
      <c r="C108" s="1"/>
      <c r="D108" s="4"/>
      <c r="E108" s="4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4"/>
      <c r="AB108" s="1"/>
      <c r="AC108" s="167"/>
      <c r="AD108" s="167"/>
      <c r="AE108" s="2"/>
      <c r="AF108" s="2"/>
      <c r="AG108" s="2"/>
      <c r="AH108" s="2"/>
      <c r="AI108" s="2"/>
    </row>
    <row r="109" spans="1:35" customFormat="1" x14ac:dyDescent="0.25">
      <c r="A109" s="166"/>
      <c r="B109" s="1"/>
      <c r="C109" s="1"/>
      <c r="D109" s="4"/>
      <c r="E109" s="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4"/>
      <c r="AB109" s="1"/>
      <c r="AC109" s="167"/>
      <c r="AD109" s="167"/>
      <c r="AE109" s="2"/>
      <c r="AF109" s="2"/>
      <c r="AG109" s="2"/>
      <c r="AH109" s="2"/>
      <c r="AI109" s="2"/>
    </row>
    <row r="110" spans="1:35" customFormat="1" x14ac:dyDescent="0.25">
      <c r="A110" s="166"/>
      <c r="B110" s="1"/>
      <c r="C110" s="1"/>
      <c r="D110" s="4"/>
      <c r="E110" s="4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4"/>
      <c r="AB110" s="1"/>
      <c r="AC110" s="167"/>
      <c r="AD110" s="167"/>
      <c r="AE110" s="2"/>
      <c r="AF110" s="2"/>
      <c r="AG110" s="2"/>
      <c r="AH110" s="2"/>
      <c r="AI110" s="2"/>
    </row>
    <row r="111" spans="1:35" customFormat="1" x14ac:dyDescent="0.25">
      <c r="A111" s="166"/>
      <c r="B111" s="1"/>
      <c r="C111" s="1"/>
      <c r="D111" s="4"/>
      <c r="E111" s="4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4"/>
      <c r="AB111" s="1"/>
      <c r="AC111" s="167"/>
      <c r="AD111" s="167"/>
      <c r="AE111" s="2"/>
      <c r="AF111" s="2"/>
      <c r="AG111" s="2"/>
      <c r="AH111" s="2"/>
      <c r="AI111" s="2"/>
    </row>
    <row r="112" spans="1:35" customFormat="1" x14ac:dyDescent="0.25">
      <c r="A112" s="166"/>
      <c r="B112" s="1"/>
      <c r="C112" s="1"/>
      <c r="D112" s="4"/>
      <c r="E112" s="4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4"/>
      <c r="AB112" s="1"/>
      <c r="AC112" s="167"/>
      <c r="AD112" s="167"/>
      <c r="AE112" s="2"/>
      <c r="AF112" s="2"/>
      <c r="AG112" s="2"/>
      <c r="AH112" s="2"/>
      <c r="AI112" s="2"/>
    </row>
    <row r="113" spans="1:35" customFormat="1" x14ac:dyDescent="0.25">
      <c r="A113" s="166"/>
      <c r="B113" s="1"/>
      <c r="C113" s="1"/>
      <c r="D113" s="4"/>
      <c r="E113" s="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4"/>
      <c r="AB113" s="1"/>
      <c r="AC113" s="167"/>
      <c r="AD113" s="167"/>
      <c r="AE113" s="2"/>
      <c r="AF113" s="2"/>
      <c r="AG113" s="2"/>
      <c r="AH113" s="2"/>
      <c r="AI113" s="2"/>
    </row>
    <row r="114" spans="1:35" customFormat="1" x14ac:dyDescent="0.25">
      <c r="A114" s="166"/>
      <c r="B114" s="1"/>
      <c r="C114" s="1"/>
      <c r="D114" s="4"/>
      <c r="E114" s="4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4"/>
      <c r="AB114" s="1"/>
      <c r="AC114" s="167"/>
      <c r="AD114" s="167"/>
      <c r="AE114" s="2"/>
      <c r="AF114" s="2"/>
      <c r="AG114" s="2"/>
      <c r="AH114" s="2"/>
      <c r="AI114" s="2"/>
    </row>
    <row r="115" spans="1:35" customFormat="1" x14ac:dyDescent="0.25">
      <c r="A115" s="166"/>
      <c r="B115" s="1"/>
      <c r="C115" s="1"/>
      <c r="D115" s="4"/>
      <c r="E115" s="4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4"/>
      <c r="AB115" s="1"/>
      <c r="AC115" s="167"/>
      <c r="AD115" s="167"/>
      <c r="AE115" s="2"/>
      <c r="AF115" s="2"/>
      <c r="AG115" s="2"/>
      <c r="AH115" s="2"/>
      <c r="AI115" s="2"/>
    </row>
    <row r="116" spans="1:35" customFormat="1" x14ac:dyDescent="0.25">
      <c r="A116" s="166"/>
      <c r="B116" s="1"/>
      <c r="C116" s="1"/>
      <c r="D116" s="4"/>
      <c r="E116" s="4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4"/>
      <c r="AB116" s="1"/>
      <c r="AC116" s="167"/>
      <c r="AD116" s="167"/>
      <c r="AE116" s="2"/>
      <c r="AF116" s="2"/>
      <c r="AG116" s="2"/>
      <c r="AH116" s="2"/>
      <c r="AI116" s="2"/>
    </row>
    <row r="117" spans="1:35" customFormat="1" x14ac:dyDescent="0.25">
      <c r="A117" s="166"/>
      <c r="B117" s="1"/>
      <c r="C117" s="1"/>
      <c r="D117" s="4"/>
      <c r="E117" s="4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4"/>
      <c r="AB117" s="1"/>
      <c r="AC117" s="167"/>
      <c r="AD117" s="167"/>
      <c r="AE117" s="2"/>
      <c r="AF117" s="2"/>
      <c r="AG117" s="2"/>
      <c r="AH117" s="2"/>
      <c r="AI117" s="2"/>
    </row>
    <row r="118" spans="1:35" customFormat="1" x14ac:dyDescent="0.25">
      <c r="A118" s="166"/>
      <c r="B118" s="1"/>
      <c r="C118" s="1"/>
      <c r="D118" s="4"/>
      <c r="E118" s="4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4"/>
      <c r="AB118" s="1"/>
      <c r="AC118" s="167"/>
      <c r="AD118" s="167"/>
      <c r="AE118" s="2"/>
      <c r="AF118" s="2"/>
      <c r="AG118" s="2"/>
      <c r="AH118" s="2"/>
      <c r="AI118" s="2"/>
    </row>
    <row r="119" spans="1:35" customFormat="1" x14ac:dyDescent="0.25">
      <c r="A119" s="166"/>
      <c r="B119" s="1"/>
      <c r="C119" s="1"/>
      <c r="D119" s="4"/>
      <c r="E119" s="4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4"/>
      <c r="AB119" s="1"/>
      <c r="AC119" s="167"/>
      <c r="AD119" s="167"/>
      <c r="AE119" s="2"/>
      <c r="AF119" s="2"/>
      <c r="AG119" s="2"/>
      <c r="AH119" s="2"/>
      <c r="AI119" s="2"/>
    </row>
    <row r="120" spans="1:35" customFormat="1" x14ac:dyDescent="0.25">
      <c r="A120" s="166"/>
      <c r="B120" s="1"/>
      <c r="C120" s="1"/>
      <c r="D120" s="4"/>
      <c r="E120" s="4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4"/>
      <c r="AB120" s="1"/>
      <c r="AC120" s="167"/>
      <c r="AD120" s="167"/>
      <c r="AE120" s="2"/>
      <c r="AF120" s="2"/>
      <c r="AG120" s="2"/>
      <c r="AH120" s="2"/>
      <c r="AI120" s="2"/>
    </row>
    <row r="121" spans="1:35" customFormat="1" x14ac:dyDescent="0.25">
      <c r="A121" s="166"/>
      <c r="B121" s="1"/>
      <c r="C121" s="1"/>
      <c r="D121" s="4"/>
      <c r="E121" s="4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4"/>
      <c r="AB121" s="1"/>
      <c r="AC121" s="167"/>
      <c r="AD121" s="167"/>
      <c r="AE121" s="2"/>
      <c r="AF121" s="2"/>
      <c r="AG121" s="2"/>
      <c r="AH121" s="2"/>
      <c r="AI121" s="2"/>
    </row>
    <row r="122" spans="1:35" customFormat="1" x14ac:dyDescent="0.25">
      <c r="A122" s="166"/>
      <c r="B122" s="1"/>
      <c r="C122" s="1"/>
      <c r="D122" s="4"/>
      <c r="E122" s="4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4"/>
      <c r="AB122" s="1"/>
      <c r="AC122" s="167"/>
      <c r="AD122" s="167"/>
      <c r="AE122" s="2"/>
      <c r="AF122" s="2"/>
      <c r="AG122" s="2"/>
      <c r="AH122" s="2"/>
      <c r="AI122" s="2"/>
    </row>
    <row r="123" spans="1:35" customFormat="1" x14ac:dyDescent="0.25">
      <c r="A123" s="166"/>
      <c r="B123" s="1"/>
      <c r="C123" s="1"/>
      <c r="D123" s="4"/>
      <c r="E123" s="4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4"/>
      <c r="AB123" s="1"/>
      <c r="AC123" s="167"/>
      <c r="AD123" s="167"/>
      <c r="AE123" s="2"/>
      <c r="AF123" s="2"/>
      <c r="AG123" s="2"/>
      <c r="AH123" s="2"/>
      <c r="AI123" s="2"/>
    </row>
    <row r="124" spans="1:35" customFormat="1" x14ac:dyDescent="0.25">
      <c r="A124" s="166"/>
      <c r="B124" s="1"/>
      <c r="C124" s="1"/>
      <c r="D124" s="4"/>
      <c r="E124" s="4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4"/>
      <c r="AB124" s="1"/>
      <c r="AC124" s="167"/>
      <c r="AD124" s="167"/>
      <c r="AE124" s="2"/>
      <c r="AF124" s="2"/>
      <c r="AG124" s="2"/>
      <c r="AH124" s="2"/>
      <c r="AI124" s="2"/>
    </row>
    <row r="125" spans="1:35" customFormat="1" x14ac:dyDescent="0.25">
      <c r="A125" s="166"/>
      <c r="B125" s="1"/>
      <c r="C125" s="1"/>
      <c r="D125" s="4"/>
      <c r="E125" s="4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4"/>
      <c r="AB125" s="1"/>
      <c r="AC125" s="167"/>
      <c r="AD125" s="167"/>
      <c r="AE125" s="2"/>
      <c r="AF125" s="2"/>
      <c r="AG125" s="2"/>
      <c r="AH125" s="2"/>
      <c r="AI125" s="2"/>
    </row>
    <row r="126" spans="1:35" customFormat="1" x14ac:dyDescent="0.25">
      <c r="A126" s="166"/>
      <c r="B126" s="1"/>
      <c r="C126" s="1"/>
      <c r="D126" s="4"/>
      <c r="E126" s="4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4"/>
      <c r="AB126" s="1"/>
      <c r="AC126" s="167"/>
      <c r="AD126" s="167"/>
      <c r="AE126" s="2"/>
      <c r="AF126" s="2"/>
      <c r="AG126" s="2"/>
      <c r="AH126" s="2"/>
      <c r="AI126" s="2"/>
    </row>
    <row r="127" spans="1:35" customFormat="1" x14ac:dyDescent="0.25">
      <c r="A127" s="166"/>
      <c r="B127" s="1"/>
      <c r="C127" s="1"/>
      <c r="D127" s="4"/>
      <c r="E127" s="4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4"/>
      <c r="AB127" s="1"/>
      <c r="AC127" s="167"/>
      <c r="AD127" s="167"/>
      <c r="AE127" s="2"/>
      <c r="AF127" s="2"/>
      <c r="AG127" s="2"/>
      <c r="AH127" s="2"/>
      <c r="AI127" s="2"/>
    </row>
    <row r="128" spans="1:35" customFormat="1" x14ac:dyDescent="0.25">
      <c r="A128" s="166"/>
      <c r="B128" s="1"/>
      <c r="C128" s="1"/>
      <c r="D128" s="4"/>
      <c r="E128" s="4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4"/>
      <c r="AB128" s="1"/>
      <c r="AC128" s="167"/>
      <c r="AD128" s="167"/>
      <c r="AE128" s="2"/>
      <c r="AF128" s="2"/>
      <c r="AG128" s="2"/>
      <c r="AH128" s="2"/>
      <c r="AI128" s="2"/>
    </row>
    <row r="129" spans="1:35" customFormat="1" x14ac:dyDescent="0.25">
      <c r="A129" s="166"/>
      <c r="B129" s="1"/>
      <c r="C129" s="1"/>
      <c r="D129" s="4"/>
      <c r="E129" s="4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4"/>
      <c r="AB129" s="1"/>
      <c r="AC129" s="167"/>
      <c r="AD129" s="167"/>
      <c r="AE129" s="2"/>
      <c r="AF129" s="2"/>
      <c r="AG129" s="2"/>
      <c r="AH129" s="2"/>
      <c r="AI129" s="2"/>
    </row>
    <row r="130" spans="1:35" customFormat="1" x14ac:dyDescent="0.25">
      <c r="A130" s="166"/>
      <c r="B130" s="1"/>
      <c r="C130" s="1"/>
      <c r="D130" s="4"/>
      <c r="E130" s="4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4"/>
      <c r="AB130" s="1"/>
      <c r="AC130" s="167"/>
      <c r="AD130" s="167"/>
      <c r="AE130" s="2"/>
      <c r="AF130" s="2"/>
      <c r="AG130" s="2"/>
      <c r="AH130" s="2"/>
      <c r="AI130" s="2"/>
    </row>
    <row r="131" spans="1:35" customFormat="1" x14ac:dyDescent="0.25">
      <c r="A131" s="166"/>
      <c r="B131" s="1"/>
      <c r="C131" s="1"/>
      <c r="D131" s="4"/>
      <c r="E131" s="4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4"/>
      <c r="AB131" s="1"/>
      <c r="AC131" s="167"/>
      <c r="AD131" s="167"/>
      <c r="AE131" s="2"/>
      <c r="AF131" s="2"/>
      <c r="AG131" s="2"/>
      <c r="AH131" s="2"/>
      <c r="AI131" s="2"/>
    </row>
    <row r="132" spans="1:35" customFormat="1" x14ac:dyDescent="0.25">
      <c r="A132" s="166"/>
      <c r="B132" s="1"/>
      <c r="C132" s="1"/>
      <c r="D132" s="4"/>
      <c r="E132" s="4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4"/>
      <c r="AB132" s="1"/>
      <c r="AC132" s="167"/>
      <c r="AD132" s="167"/>
      <c r="AE132" s="2"/>
      <c r="AF132" s="2"/>
      <c r="AG132" s="2"/>
      <c r="AH132" s="2"/>
      <c r="AI132" s="2"/>
    </row>
    <row r="133" spans="1:35" customFormat="1" x14ac:dyDescent="0.25">
      <c r="A133" s="166"/>
      <c r="B133" s="1"/>
      <c r="C133" s="1"/>
      <c r="D133" s="4"/>
      <c r="E133" s="4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4"/>
      <c r="AB133" s="1"/>
      <c r="AC133" s="167"/>
      <c r="AD133" s="167"/>
      <c r="AE133" s="2"/>
      <c r="AF133" s="2"/>
      <c r="AG133" s="2"/>
      <c r="AH133" s="2"/>
      <c r="AI133" s="2"/>
    </row>
    <row r="134" spans="1:35" customFormat="1" x14ac:dyDescent="0.25">
      <c r="A134" s="166"/>
      <c r="B134" s="1"/>
      <c r="C134" s="1"/>
      <c r="D134" s="4"/>
      <c r="E134" s="4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4"/>
      <c r="AB134" s="1"/>
      <c r="AC134" s="167"/>
      <c r="AD134" s="167"/>
      <c r="AE134" s="2"/>
      <c r="AF134" s="2"/>
      <c r="AG134" s="2"/>
      <c r="AH134" s="2"/>
      <c r="AI134" s="2"/>
    </row>
    <row r="135" spans="1:35" customFormat="1" x14ac:dyDescent="0.25">
      <c r="A135" s="166"/>
      <c r="B135" s="1"/>
      <c r="C135" s="1"/>
      <c r="D135" s="4"/>
      <c r="E135" s="4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4"/>
      <c r="AB135" s="1"/>
      <c r="AC135" s="167"/>
      <c r="AD135" s="167"/>
      <c r="AE135" s="2"/>
      <c r="AF135" s="2"/>
      <c r="AG135" s="2"/>
      <c r="AH135" s="2"/>
      <c r="AI135" s="2"/>
    </row>
    <row r="136" spans="1:35" customFormat="1" x14ac:dyDescent="0.25">
      <c r="A136" s="166"/>
      <c r="B136" s="1"/>
      <c r="C136" s="1"/>
      <c r="D136" s="4"/>
      <c r="E136" s="4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4"/>
      <c r="AB136" s="1"/>
      <c r="AC136" s="167"/>
      <c r="AD136" s="167"/>
      <c r="AE136" s="2"/>
      <c r="AF136" s="2"/>
      <c r="AG136" s="2"/>
      <c r="AH136" s="2"/>
      <c r="AI136" s="2"/>
    </row>
    <row r="137" spans="1:35" customFormat="1" x14ac:dyDescent="0.25">
      <c r="A137" s="166"/>
      <c r="B137" s="1"/>
      <c r="C137" s="1"/>
      <c r="D137" s="4"/>
      <c r="E137" s="4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4"/>
      <c r="AB137" s="1"/>
      <c r="AC137" s="167"/>
      <c r="AD137" s="167"/>
      <c r="AE137" s="2"/>
      <c r="AF137" s="2"/>
      <c r="AG137" s="2"/>
      <c r="AH137" s="2"/>
      <c r="AI137" s="2"/>
    </row>
    <row r="138" spans="1:35" customFormat="1" x14ac:dyDescent="0.25">
      <c r="A138" s="166"/>
      <c r="B138" s="1"/>
      <c r="C138" s="1"/>
      <c r="D138" s="4"/>
      <c r="E138" s="4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4"/>
      <c r="AB138" s="1"/>
      <c r="AC138" s="167"/>
      <c r="AD138" s="167"/>
      <c r="AE138" s="2"/>
      <c r="AF138" s="2"/>
      <c r="AG138" s="2"/>
      <c r="AH138" s="2"/>
      <c r="AI138" s="2"/>
    </row>
    <row r="139" spans="1:35" customFormat="1" x14ac:dyDescent="0.25">
      <c r="A139" s="166"/>
      <c r="B139" s="1"/>
      <c r="C139" s="1"/>
      <c r="D139" s="4"/>
      <c r="E139" s="4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4"/>
      <c r="AB139" s="1"/>
      <c r="AC139" s="167"/>
      <c r="AD139" s="167"/>
      <c r="AE139" s="2"/>
      <c r="AF139" s="2"/>
      <c r="AG139" s="2"/>
      <c r="AH139" s="2"/>
      <c r="AI139" s="2"/>
    </row>
    <row r="140" spans="1:35" customFormat="1" x14ac:dyDescent="0.25">
      <c r="A140" s="166"/>
      <c r="B140" s="1"/>
      <c r="C140" s="1"/>
      <c r="D140" s="4"/>
      <c r="E140" s="4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4"/>
      <c r="AB140" s="1"/>
      <c r="AC140" s="167"/>
      <c r="AD140" s="167"/>
      <c r="AE140" s="2"/>
      <c r="AF140" s="2"/>
      <c r="AG140" s="2"/>
      <c r="AH140" s="2"/>
      <c r="AI140" s="2"/>
    </row>
    <row r="141" spans="1:35" customFormat="1" x14ac:dyDescent="0.25">
      <c r="A141" s="166"/>
      <c r="B141" s="1"/>
      <c r="C141" s="1"/>
      <c r="D141" s="4"/>
      <c r="E141" s="4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4"/>
      <c r="AB141" s="1"/>
      <c r="AC141" s="167"/>
      <c r="AD141" s="167"/>
      <c r="AE141" s="2"/>
      <c r="AF141" s="2"/>
      <c r="AG141" s="2"/>
      <c r="AH141" s="2"/>
      <c r="AI141" s="2"/>
    </row>
    <row r="142" spans="1:35" customFormat="1" x14ac:dyDescent="0.25">
      <c r="A142" s="166"/>
      <c r="B142" s="1"/>
      <c r="C142" s="1"/>
      <c r="D142" s="4"/>
      <c r="E142" s="4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4"/>
      <c r="AB142" s="1"/>
      <c r="AC142" s="167"/>
      <c r="AD142" s="167"/>
      <c r="AE142" s="2"/>
      <c r="AF142" s="2"/>
      <c r="AG142" s="2"/>
      <c r="AH142" s="2"/>
      <c r="AI142" s="2"/>
    </row>
    <row r="143" spans="1:35" customFormat="1" x14ac:dyDescent="0.25">
      <c r="A143" s="166"/>
      <c r="B143" s="1"/>
      <c r="C143" s="1"/>
      <c r="D143" s="4"/>
      <c r="E143" s="4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4"/>
      <c r="AB143" s="1"/>
      <c r="AC143" s="167"/>
      <c r="AD143" s="167"/>
      <c r="AE143" s="2"/>
      <c r="AF143" s="2"/>
      <c r="AG143" s="2"/>
      <c r="AH143" s="2"/>
      <c r="AI143" s="2"/>
    </row>
    <row r="144" spans="1:35" customFormat="1" x14ac:dyDescent="0.25">
      <c r="A144" s="166"/>
      <c r="B144" s="1"/>
      <c r="C144" s="1"/>
      <c r="D144" s="4"/>
      <c r="E144" s="4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4"/>
      <c r="AB144" s="1"/>
      <c r="AC144" s="167"/>
      <c r="AD144" s="167"/>
      <c r="AE144" s="2"/>
      <c r="AF144" s="2"/>
      <c r="AG144" s="2"/>
      <c r="AH144" s="2"/>
      <c r="AI144" s="2"/>
    </row>
    <row r="145" spans="1:35" customFormat="1" x14ac:dyDescent="0.25">
      <c r="A145" s="166"/>
      <c r="B145" s="1"/>
      <c r="C145" s="1"/>
      <c r="D145" s="4"/>
      <c r="E145" s="4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4"/>
      <c r="AB145" s="1"/>
      <c r="AC145" s="167"/>
      <c r="AD145" s="167"/>
      <c r="AE145" s="2"/>
      <c r="AF145" s="2"/>
      <c r="AG145" s="2"/>
      <c r="AH145" s="2"/>
      <c r="AI145" s="2"/>
    </row>
    <row r="146" spans="1:35" customFormat="1" x14ac:dyDescent="0.25">
      <c r="A146" s="166"/>
      <c r="B146" s="1"/>
      <c r="C146" s="1"/>
      <c r="D146" s="4"/>
      <c r="E146" s="4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4"/>
      <c r="AB146" s="1"/>
      <c r="AC146" s="167"/>
      <c r="AD146" s="167"/>
      <c r="AE146" s="2"/>
      <c r="AF146" s="2"/>
      <c r="AG146" s="2"/>
      <c r="AH146" s="2"/>
      <c r="AI146" s="2"/>
    </row>
    <row r="147" spans="1:35" customFormat="1" x14ac:dyDescent="0.25">
      <c r="A147" s="166"/>
      <c r="B147" s="1"/>
      <c r="C147" s="1"/>
      <c r="D147" s="4"/>
      <c r="E147" s="4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4"/>
      <c r="AB147" s="1"/>
      <c r="AC147" s="167"/>
      <c r="AD147" s="167"/>
      <c r="AE147" s="2"/>
      <c r="AF147" s="2"/>
      <c r="AG147" s="2"/>
      <c r="AH147" s="2"/>
      <c r="AI147" s="2"/>
    </row>
    <row r="148" spans="1:35" customFormat="1" x14ac:dyDescent="0.25">
      <c r="A148" s="166"/>
      <c r="B148" s="1"/>
      <c r="C148" s="1"/>
      <c r="D148" s="4"/>
      <c r="E148" s="4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4"/>
      <c r="AB148" s="1"/>
      <c r="AC148" s="167"/>
      <c r="AD148" s="167"/>
      <c r="AE148" s="2"/>
      <c r="AF148" s="2"/>
      <c r="AG148" s="2"/>
      <c r="AH148" s="2"/>
      <c r="AI148" s="2"/>
    </row>
    <row r="149" spans="1:35" customFormat="1" x14ac:dyDescent="0.25">
      <c r="A149" s="166"/>
      <c r="B149" s="1"/>
      <c r="C149" s="1"/>
      <c r="D149" s="4"/>
      <c r="E149" s="4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4"/>
      <c r="AB149" s="1"/>
      <c r="AC149" s="167"/>
      <c r="AD149" s="167"/>
      <c r="AE149" s="2"/>
      <c r="AF149" s="2"/>
      <c r="AG149" s="2"/>
      <c r="AH149" s="2"/>
      <c r="AI149" s="2"/>
    </row>
    <row r="150" spans="1:35" customFormat="1" x14ac:dyDescent="0.25">
      <c r="A150" s="166"/>
      <c r="B150" s="1"/>
      <c r="C150" s="1"/>
      <c r="D150" s="4"/>
      <c r="E150" s="4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4"/>
      <c r="AB150" s="1"/>
      <c r="AC150" s="167"/>
      <c r="AD150" s="167"/>
      <c r="AE150" s="2"/>
      <c r="AF150" s="2"/>
      <c r="AG150" s="2"/>
      <c r="AH150" s="2"/>
      <c r="AI150" s="2"/>
    </row>
    <row r="151" spans="1:35" customFormat="1" x14ac:dyDescent="0.25">
      <c r="A151" s="166"/>
      <c r="B151" s="1"/>
      <c r="C151" s="1"/>
      <c r="D151" s="4"/>
      <c r="E151" s="4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4"/>
      <c r="AB151" s="1"/>
      <c r="AC151" s="167"/>
      <c r="AD151" s="167"/>
      <c r="AE151" s="2"/>
      <c r="AF151" s="2"/>
      <c r="AG151" s="2"/>
      <c r="AH151" s="2"/>
      <c r="AI151" s="2"/>
    </row>
    <row r="152" spans="1:35" customFormat="1" x14ac:dyDescent="0.25">
      <c r="A152" s="166"/>
      <c r="B152" s="1"/>
      <c r="C152" s="1"/>
      <c r="D152" s="4"/>
      <c r="E152" s="4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4"/>
      <c r="AB152" s="1"/>
      <c r="AC152" s="167"/>
      <c r="AD152" s="167"/>
      <c r="AE152" s="2"/>
      <c r="AF152" s="2"/>
      <c r="AG152" s="2"/>
      <c r="AH152" s="2"/>
      <c r="AI152" s="2"/>
    </row>
    <row r="153" spans="1:35" customFormat="1" x14ac:dyDescent="0.25">
      <c r="A153" s="166"/>
      <c r="B153" s="1"/>
      <c r="C153" s="1"/>
      <c r="D153" s="4"/>
      <c r="E153" s="4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4"/>
      <c r="AB153" s="1"/>
      <c r="AC153" s="167"/>
      <c r="AD153" s="167"/>
      <c r="AE153" s="2"/>
      <c r="AF153" s="2"/>
      <c r="AG153" s="2"/>
      <c r="AH153" s="2"/>
      <c r="AI153" s="2"/>
    </row>
    <row r="154" spans="1:35" customFormat="1" x14ac:dyDescent="0.25">
      <c r="A154" s="166"/>
      <c r="B154" s="1"/>
      <c r="C154" s="1"/>
      <c r="D154" s="4"/>
      <c r="E154" s="4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4"/>
      <c r="AB154" s="1"/>
      <c r="AC154" s="167"/>
      <c r="AD154" s="167"/>
      <c r="AE154" s="2"/>
      <c r="AF154" s="2"/>
      <c r="AG154" s="2"/>
      <c r="AH154" s="2"/>
      <c r="AI154" s="2"/>
    </row>
    <row r="155" spans="1:35" customFormat="1" x14ac:dyDescent="0.25">
      <c r="A155" s="166"/>
      <c r="B155" s="1"/>
      <c r="C155" s="1"/>
      <c r="D155" s="4"/>
      <c r="E155" s="4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4"/>
      <c r="AB155" s="1"/>
      <c r="AC155" s="167"/>
      <c r="AD155" s="167"/>
      <c r="AE155" s="2"/>
      <c r="AF155" s="2"/>
      <c r="AG155" s="2"/>
      <c r="AH155" s="2"/>
      <c r="AI155" s="2"/>
    </row>
    <row r="156" spans="1:35" customFormat="1" x14ac:dyDescent="0.25">
      <c r="A156" s="166"/>
      <c r="B156" s="1"/>
      <c r="C156" s="1"/>
      <c r="D156" s="4"/>
      <c r="E156" s="4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4"/>
      <c r="AB156" s="1"/>
      <c r="AC156" s="167"/>
      <c r="AD156" s="167"/>
      <c r="AE156" s="2"/>
      <c r="AF156" s="2"/>
      <c r="AG156" s="2"/>
      <c r="AH156" s="2"/>
      <c r="AI156" s="2"/>
    </row>
    <row r="157" spans="1:35" customFormat="1" x14ac:dyDescent="0.25">
      <c r="A157" s="166"/>
      <c r="B157" s="1"/>
      <c r="C157" s="1"/>
      <c r="D157" s="4"/>
      <c r="E157" s="4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4"/>
      <c r="AB157" s="1"/>
      <c r="AC157" s="167"/>
      <c r="AD157" s="167"/>
      <c r="AE157" s="2"/>
      <c r="AF157" s="2"/>
      <c r="AG157" s="2"/>
      <c r="AH157" s="2"/>
      <c r="AI157" s="2"/>
    </row>
    <row r="158" spans="1:35" customFormat="1" x14ac:dyDescent="0.25">
      <c r="A158" s="166"/>
      <c r="B158" s="1"/>
      <c r="C158" s="1"/>
      <c r="D158" s="4"/>
      <c r="E158" s="4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4"/>
      <c r="AB158" s="1"/>
      <c r="AC158" s="167"/>
      <c r="AD158" s="167"/>
      <c r="AE158" s="2"/>
      <c r="AF158" s="2"/>
      <c r="AG158" s="2"/>
      <c r="AH158" s="2"/>
      <c r="AI158" s="2"/>
    </row>
    <row r="159" spans="1:35" customFormat="1" x14ac:dyDescent="0.25">
      <c r="A159" s="166"/>
      <c r="B159" s="1"/>
      <c r="C159" s="1"/>
      <c r="D159" s="4"/>
      <c r="E159" s="4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4"/>
      <c r="AB159" s="1"/>
      <c r="AC159" s="167"/>
      <c r="AD159" s="167"/>
      <c r="AE159" s="2"/>
      <c r="AF159" s="2"/>
      <c r="AG159" s="2"/>
      <c r="AH159" s="2"/>
      <c r="AI159" s="2"/>
    </row>
    <row r="160" spans="1:35" customFormat="1" x14ac:dyDescent="0.25">
      <c r="A160" s="166"/>
      <c r="B160" s="1"/>
      <c r="C160" s="1"/>
      <c r="D160" s="4"/>
      <c r="E160" s="4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4"/>
      <c r="AB160" s="1"/>
      <c r="AC160" s="167"/>
      <c r="AD160" s="167"/>
      <c r="AE160" s="2"/>
      <c r="AF160" s="2"/>
      <c r="AG160" s="2"/>
      <c r="AH160" s="2"/>
      <c r="AI160" s="2"/>
    </row>
    <row r="161" spans="1:35" customFormat="1" x14ac:dyDescent="0.25">
      <c r="A161" s="166"/>
      <c r="B161" s="1"/>
      <c r="C161" s="1"/>
      <c r="D161" s="4"/>
      <c r="E161" s="4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4"/>
      <c r="AB161" s="1"/>
      <c r="AC161" s="167"/>
      <c r="AD161" s="167"/>
      <c r="AE161" s="2"/>
      <c r="AF161" s="2"/>
      <c r="AG161" s="2"/>
      <c r="AH161" s="2"/>
      <c r="AI161" s="2"/>
    </row>
    <row r="162" spans="1:35" customFormat="1" x14ac:dyDescent="0.25">
      <c r="A162" s="166"/>
      <c r="B162" s="1"/>
      <c r="C162" s="1"/>
      <c r="D162" s="4"/>
      <c r="E162" s="4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4"/>
      <c r="AB162" s="1"/>
      <c r="AC162" s="167"/>
      <c r="AD162" s="167"/>
      <c r="AE162" s="2"/>
      <c r="AF162" s="2"/>
      <c r="AG162" s="2"/>
      <c r="AH162" s="2"/>
      <c r="AI162" s="2"/>
    </row>
    <row r="163" spans="1:35" customFormat="1" x14ac:dyDescent="0.25">
      <c r="A163" s="166"/>
      <c r="B163" s="1"/>
      <c r="C163" s="1"/>
      <c r="D163" s="4"/>
      <c r="E163" s="4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4"/>
      <c r="AB163" s="1"/>
      <c r="AC163" s="167"/>
      <c r="AD163" s="167"/>
      <c r="AE163" s="2"/>
      <c r="AF163" s="2"/>
      <c r="AG163" s="2"/>
      <c r="AH163" s="2"/>
      <c r="AI163" s="2"/>
    </row>
    <row r="164" spans="1:35" customFormat="1" x14ac:dyDescent="0.25">
      <c r="A164" s="166"/>
      <c r="B164" s="1"/>
      <c r="C164" s="1"/>
      <c r="D164" s="4"/>
      <c r="E164" s="4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4"/>
      <c r="AB164" s="1"/>
      <c r="AC164" s="167"/>
      <c r="AD164" s="167"/>
      <c r="AE164" s="2"/>
      <c r="AF164" s="2"/>
      <c r="AG164" s="2"/>
      <c r="AH164" s="2"/>
      <c r="AI164" s="2"/>
    </row>
    <row r="165" spans="1:35" customFormat="1" x14ac:dyDescent="0.25">
      <c r="A165" s="166"/>
      <c r="B165" s="1"/>
      <c r="C165" s="1"/>
      <c r="D165" s="4"/>
      <c r="E165" s="4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4"/>
      <c r="AB165" s="1"/>
      <c r="AC165" s="167"/>
      <c r="AD165" s="167"/>
      <c r="AE165" s="2"/>
      <c r="AF165" s="2"/>
      <c r="AG165" s="2"/>
      <c r="AH165" s="2"/>
      <c r="AI165" s="2"/>
    </row>
    <row r="166" spans="1:35" customFormat="1" x14ac:dyDescent="0.25">
      <c r="A166" s="166"/>
      <c r="B166" s="1"/>
      <c r="C166" s="1"/>
      <c r="D166" s="4"/>
      <c r="E166" s="4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4"/>
      <c r="AB166" s="1"/>
      <c r="AC166" s="167"/>
      <c r="AD166" s="167"/>
      <c r="AE166" s="2"/>
      <c r="AF166" s="2"/>
      <c r="AG166" s="2"/>
      <c r="AH166" s="2"/>
      <c r="AI166" s="2"/>
    </row>
    <row r="167" spans="1:35" customFormat="1" x14ac:dyDescent="0.25">
      <c r="A167" s="166"/>
      <c r="B167" s="1"/>
      <c r="C167" s="1"/>
      <c r="D167" s="4"/>
      <c r="E167" s="4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4"/>
      <c r="AB167" s="1"/>
      <c r="AC167" s="167"/>
      <c r="AD167" s="167"/>
      <c r="AE167" s="2"/>
      <c r="AF167" s="2"/>
      <c r="AG167" s="2"/>
      <c r="AH167" s="2"/>
      <c r="AI167" s="2"/>
    </row>
    <row r="168" spans="1:35" customFormat="1" x14ac:dyDescent="0.25">
      <c r="A168" s="166"/>
      <c r="B168" s="1"/>
      <c r="C168" s="1"/>
      <c r="D168" s="4"/>
      <c r="E168" s="4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4"/>
      <c r="AB168" s="1"/>
      <c r="AC168" s="167"/>
      <c r="AD168" s="167"/>
      <c r="AE168" s="2"/>
      <c r="AF168" s="2"/>
      <c r="AG168" s="2"/>
      <c r="AH168" s="2"/>
      <c r="AI168" s="2"/>
    </row>
    <row r="169" spans="1:35" customFormat="1" x14ac:dyDescent="0.25">
      <c r="A169" s="166"/>
      <c r="B169" s="1"/>
      <c r="C169" s="1"/>
      <c r="D169" s="4"/>
      <c r="E169" s="4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4"/>
      <c r="AB169" s="1"/>
      <c r="AC169" s="167"/>
      <c r="AD169" s="167"/>
      <c r="AE169" s="2"/>
      <c r="AF169" s="2"/>
      <c r="AG169" s="2"/>
      <c r="AH169" s="2"/>
      <c r="AI169" s="2"/>
    </row>
    <row r="170" spans="1:35" customFormat="1" x14ac:dyDescent="0.25">
      <c r="A170" s="166"/>
      <c r="B170" s="1"/>
      <c r="C170" s="1"/>
      <c r="D170" s="4"/>
      <c r="E170" s="4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4"/>
      <c r="AB170" s="1"/>
      <c r="AC170" s="167"/>
      <c r="AD170" s="167"/>
      <c r="AE170" s="2"/>
      <c r="AF170" s="2"/>
      <c r="AG170" s="2"/>
      <c r="AH170" s="2"/>
      <c r="AI170" s="2"/>
    </row>
    <row r="171" spans="1:35" customFormat="1" x14ac:dyDescent="0.25">
      <c r="A171" s="166"/>
      <c r="B171" s="1"/>
      <c r="C171" s="1"/>
      <c r="D171" s="4"/>
      <c r="E171" s="4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4"/>
      <c r="AB171" s="1"/>
      <c r="AC171" s="167"/>
      <c r="AD171" s="167"/>
      <c r="AE171" s="2"/>
      <c r="AF171" s="2"/>
      <c r="AG171" s="2"/>
      <c r="AH171" s="2"/>
      <c r="AI171" s="2"/>
    </row>
    <row r="172" spans="1:35" customFormat="1" x14ac:dyDescent="0.25">
      <c r="A172" s="166"/>
      <c r="B172" s="1"/>
      <c r="C172" s="1"/>
      <c r="D172" s="4"/>
      <c r="E172" s="4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4"/>
      <c r="AB172" s="1"/>
      <c r="AC172" s="167"/>
      <c r="AD172" s="167"/>
      <c r="AE172" s="2"/>
      <c r="AF172" s="2"/>
      <c r="AG172" s="2"/>
      <c r="AH172" s="2"/>
      <c r="AI172" s="2"/>
    </row>
    <row r="173" spans="1:35" customFormat="1" x14ac:dyDescent="0.25">
      <c r="A173" s="166"/>
      <c r="B173" s="1"/>
      <c r="C173" s="1"/>
      <c r="D173" s="4"/>
      <c r="E173" s="4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4"/>
      <c r="AB173" s="1"/>
      <c r="AC173" s="167"/>
      <c r="AD173" s="167"/>
      <c r="AE173" s="2"/>
      <c r="AF173" s="2"/>
      <c r="AG173" s="2"/>
      <c r="AH173" s="2"/>
      <c r="AI173" s="2"/>
    </row>
    <row r="174" spans="1:35" customFormat="1" x14ac:dyDescent="0.25">
      <c r="A174" s="166"/>
      <c r="B174" s="1"/>
      <c r="C174" s="1"/>
      <c r="D174" s="4"/>
      <c r="E174" s="4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4"/>
      <c r="AB174" s="1"/>
      <c r="AC174" s="167"/>
      <c r="AD174" s="167"/>
      <c r="AE174" s="2"/>
      <c r="AF174" s="2"/>
      <c r="AG174" s="2"/>
      <c r="AH174" s="2"/>
      <c r="AI174" s="2"/>
    </row>
    <row r="175" spans="1:35" customFormat="1" x14ac:dyDescent="0.25">
      <c r="A175" s="166"/>
      <c r="B175" s="1"/>
      <c r="C175" s="1"/>
      <c r="D175" s="4"/>
      <c r="E175" s="4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4"/>
      <c r="AB175" s="1"/>
      <c r="AC175" s="167"/>
      <c r="AD175" s="167"/>
      <c r="AE175" s="2"/>
      <c r="AF175" s="2"/>
      <c r="AG175" s="2"/>
      <c r="AH175" s="2"/>
      <c r="AI175" s="2"/>
    </row>
    <row r="176" spans="1:35" customFormat="1" x14ac:dyDescent="0.25">
      <c r="A176" s="166"/>
      <c r="B176" s="1"/>
      <c r="C176" s="1"/>
      <c r="D176" s="4"/>
      <c r="E176" s="4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4"/>
      <c r="AB176" s="1"/>
      <c r="AC176" s="167"/>
      <c r="AD176" s="167"/>
      <c r="AE176" s="2"/>
      <c r="AF176" s="2"/>
      <c r="AG176" s="2"/>
      <c r="AH176" s="2"/>
      <c r="AI176" s="2"/>
    </row>
    <row r="177" spans="1:35" customFormat="1" x14ac:dyDescent="0.25">
      <c r="A177" s="166"/>
      <c r="B177" s="1"/>
      <c r="C177" s="1"/>
      <c r="D177" s="4"/>
      <c r="E177" s="4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4"/>
      <c r="AB177" s="1"/>
      <c r="AC177" s="167"/>
      <c r="AD177" s="167"/>
      <c r="AE177" s="2"/>
      <c r="AF177" s="2"/>
      <c r="AG177" s="2"/>
      <c r="AH177" s="2"/>
      <c r="AI177" s="2"/>
    </row>
    <row r="178" spans="1:35" customFormat="1" x14ac:dyDescent="0.25">
      <c r="A178" s="166"/>
      <c r="B178" s="1"/>
      <c r="C178" s="1"/>
      <c r="D178" s="4"/>
      <c r="E178" s="4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4"/>
      <c r="AB178" s="1"/>
      <c r="AC178" s="167"/>
      <c r="AD178" s="167"/>
      <c r="AE178" s="2"/>
      <c r="AF178" s="2"/>
      <c r="AG178" s="2"/>
      <c r="AH178" s="2"/>
      <c r="AI178" s="2"/>
    </row>
    <row r="179" spans="1:35" customFormat="1" x14ac:dyDescent="0.25">
      <c r="A179" s="166"/>
      <c r="B179" s="1"/>
      <c r="C179" s="1"/>
      <c r="D179" s="4"/>
      <c r="E179" s="4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4"/>
      <c r="AB179" s="1"/>
      <c r="AC179" s="167"/>
      <c r="AD179" s="167"/>
      <c r="AE179" s="2"/>
      <c r="AF179" s="2"/>
      <c r="AG179" s="2"/>
      <c r="AH179" s="2"/>
      <c r="AI179" s="2"/>
    </row>
    <row r="180" spans="1:35" customFormat="1" x14ac:dyDescent="0.25">
      <c r="A180" s="166"/>
      <c r="B180" s="1"/>
      <c r="C180" s="1"/>
      <c r="D180" s="4"/>
      <c r="E180" s="4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4"/>
      <c r="AB180" s="1"/>
      <c r="AC180" s="167"/>
      <c r="AD180" s="167"/>
      <c r="AE180" s="2"/>
      <c r="AF180" s="2"/>
      <c r="AG180" s="2"/>
      <c r="AH180" s="2"/>
      <c r="AI180" s="2"/>
    </row>
    <row r="181" spans="1:35" customFormat="1" x14ac:dyDescent="0.25">
      <c r="A181" s="166"/>
      <c r="B181" s="1"/>
      <c r="C181" s="1"/>
      <c r="D181" s="4"/>
      <c r="E181" s="4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4"/>
      <c r="AB181" s="1"/>
      <c r="AC181" s="167"/>
      <c r="AD181" s="167"/>
      <c r="AE181" s="2"/>
      <c r="AF181" s="2"/>
      <c r="AG181" s="2"/>
      <c r="AH181" s="2"/>
      <c r="AI181" s="2"/>
    </row>
    <row r="182" spans="1:35" customFormat="1" x14ac:dyDescent="0.25">
      <c r="A182" s="166"/>
      <c r="B182" s="1"/>
      <c r="C182" s="1"/>
      <c r="D182" s="4"/>
      <c r="E182" s="4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4"/>
      <c r="AB182" s="1"/>
      <c r="AC182" s="167"/>
      <c r="AD182" s="167"/>
      <c r="AE182" s="2"/>
      <c r="AF182" s="2"/>
      <c r="AG182" s="2"/>
      <c r="AH182" s="2"/>
      <c r="AI182" s="2"/>
    </row>
    <row r="183" spans="1:35" customFormat="1" x14ac:dyDescent="0.25">
      <c r="A183" s="166"/>
      <c r="B183" s="1"/>
      <c r="C183" s="1"/>
      <c r="D183" s="4"/>
      <c r="E183" s="4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4"/>
      <c r="AB183" s="1"/>
      <c r="AC183" s="167"/>
      <c r="AD183" s="167"/>
      <c r="AE183" s="2"/>
      <c r="AF183" s="2"/>
      <c r="AG183" s="2"/>
      <c r="AH183" s="2"/>
      <c r="AI183" s="2"/>
    </row>
    <row r="184" spans="1:35" customFormat="1" x14ac:dyDescent="0.25">
      <c r="A184" s="166"/>
      <c r="B184" s="1"/>
      <c r="C184" s="1"/>
      <c r="D184" s="4"/>
      <c r="E184" s="4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4"/>
      <c r="AB184" s="1"/>
      <c r="AC184" s="167"/>
      <c r="AD184" s="167"/>
      <c r="AE184" s="2"/>
      <c r="AF184" s="2"/>
      <c r="AG184" s="2"/>
      <c r="AH184" s="2"/>
      <c r="AI184" s="2"/>
    </row>
    <row r="185" spans="1:35" customFormat="1" x14ac:dyDescent="0.25">
      <c r="A185" s="166"/>
      <c r="B185" s="1"/>
      <c r="C185" s="1"/>
      <c r="D185" s="4"/>
      <c r="E185" s="4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4"/>
      <c r="AB185" s="1"/>
      <c r="AC185" s="167"/>
      <c r="AD185" s="167"/>
      <c r="AE185" s="2"/>
      <c r="AF185" s="2"/>
      <c r="AG185" s="2"/>
      <c r="AH185" s="2"/>
      <c r="AI185" s="2"/>
    </row>
    <row r="186" spans="1:35" customFormat="1" x14ac:dyDescent="0.25">
      <c r="A186" s="166"/>
      <c r="B186" s="1"/>
      <c r="C186" s="1"/>
      <c r="D186" s="4"/>
      <c r="E186" s="4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4"/>
      <c r="AB186" s="1"/>
      <c r="AC186" s="167"/>
      <c r="AD186" s="167"/>
      <c r="AE186" s="2"/>
      <c r="AF186" s="2"/>
      <c r="AG186" s="2"/>
      <c r="AH186" s="2"/>
      <c r="AI186" s="2"/>
    </row>
    <row r="187" spans="1:35" customFormat="1" x14ac:dyDescent="0.25">
      <c r="A187" s="166"/>
      <c r="B187" s="1"/>
      <c r="C187" s="1"/>
      <c r="D187" s="4"/>
      <c r="E187" s="4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4"/>
      <c r="AB187" s="1"/>
      <c r="AC187" s="167"/>
      <c r="AD187" s="167"/>
      <c r="AE187" s="2"/>
      <c r="AF187" s="2"/>
      <c r="AG187" s="2"/>
      <c r="AH187" s="2"/>
      <c r="AI187" s="2"/>
    </row>
    <row r="188" spans="1:35" customFormat="1" x14ac:dyDescent="0.25">
      <c r="A188" s="166"/>
      <c r="B188" s="1"/>
      <c r="C188" s="1"/>
      <c r="D188" s="4"/>
      <c r="E188" s="4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4"/>
      <c r="AB188" s="1"/>
      <c r="AC188" s="167"/>
      <c r="AD188" s="167"/>
      <c r="AE188" s="2"/>
      <c r="AF188" s="2"/>
      <c r="AG188" s="2"/>
      <c r="AH188" s="2"/>
      <c r="AI188" s="2"/>
    </row>
    <row r="189" spans="1:35" customFormat="1" x14ac:dyDescent="0.25">
      <c r="A189" s="166"/>
      <c r="B189" s="1"/>
      <c r="C189" s="1"/>
      <c r="D189" s="4"/>
      <c r="E189" s="4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4"/>
      <c r="AB189" s="1"/>
      <c r="AC189" s="167"/>
      <c r="AD189" s="167"/>
      <c r="AE189" s="2"/>
      <c r="AF189" s="2"/>
      <c r="AG189" s="2"/>
      <c r="AH189" s="2"/>
      <c r="AI189" s="2"/>
    </row>
    <row r="190" spans="1:35" customFormat="1" x14ac:dyDescent="0.25">
      <c r="A190" s="166"/>
      <c r="B190" s="1"/>
      <c r="C190" s="1"/>
      <c r="D190" s="4"/>
      <c r="E190" s="4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4"/>
      <c r="AB190" s="1"/>
      <c r="AC190" s="167"/>
      <c r="AD190" s="167"/>
      <c r="AE190" s="2"/>
      <c r="AF190" s="2"/>
      <c r="AG190" s="2"/>
      <c r="AH190" s="2"/>
      <c r="AI190" s="2"/>
    </row>
    <row r="191" spans="1:35" customFormat="1" x14ac:dyDescent="0.25">
      <c r="A191" s="166"/>
      <c r="B191" s="1"/>
      <c r="C191" s="1"/>
      <c r="D191" s="4"/>
      <c r="E191" s="4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4"/>
      <c r="AB191" s="1"/>
      <c r="AC191" s="167"/>
      <c r="AD191" s="167"/>
      <c r="AE191" s="2"/>
      <c r="AF191" s="2"/>
      <c r="AG191" s="2"/>
      <c r="AH191" s="2"/>
      <c r="AI191" s="2"/>
    </row>
    <row r="192" spans="1:35" customFormat="1" x14ac:dyDescent="0.25">
      <c r="A192" s="166"/>
      <c r="B192" s="1"/>
      <c r="C192" s="1"/>
      <c r="D192" s="4"/>
      <c r="E192" s="4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4"/>
      <c r="AB192" s="1"/>
      <c r="AC192" s="167"/>
      <c r="AD192" s="167"/>
      <c r="AE192" s="2"/>
      <c r="AF192" s="2"/>
      <c r="AG192" s="2"/>
      <c r="AH192" s="2"/>
      <c r="AI192" s="2"/>
    </row>
    <row r="193" spans="1:35" customFormat="1" x14ac:dyDescent="0.25">
      <c r="A193" s="166"/>
      <c r="B193" s="1"/>
      <c r="C193" s="1"/>
      <c r="D193" s="4"/>
      <c r="E193" s="4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4"/>
      <c r="AB193" s="1"/>
      <c r="AC193" s="167"/>
      <c r="AD193" s="167"/>
      <c r="AE193" s="2"/>
      <c r="AF193" s="2"/>
      <c r="AG193" s="2"/>
      <c r="AH193" s="2"/>
      <c r="AI193" s="2"/>
    </row>
    <row r="194" spans="1:35" customFormat="1" x14ac:dyDescent="0.25">
      <c r="A194" s="166"/>
      <c r="B194" s="1"/>
      <c r="C194" s="1"/>
      <c r="D194" s="4"/>
      <c r="E194" s="4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4"/>
      <c r="AB194" s="1"/>
      <c r="AC194" s="167"/>
      <c r="AD194" s="167"/>
      <c r="AE194" s="2"/>
      <c r="AF194" s="2"/>
      <c r="AG194" s="2"/>
      <c r="AH194" s="2"/>
      <c r="AI194" s="2"/>
    </row>
    <row r="195" spans="1:35" customFormat="1" x14ac:dyDescent="0.25">
      <c r="A195" s="166"/>
      <c r="B195" s="1"/>
      <c r="C195" s="1"/>
      <c r="D195" s="4"/>
      <c r="E195" s="4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4"/>
      <c r="AB195" s="1"/>
      <c r="AC195" s="167"/>
      <c r="AD195" s="167"/>
      <c r="AE195" s="2"/>
      <c r="AF195" s="2"/>
      <c r="AG195" s="2"/>
      <c r="AH195" s="2"/>
      <c r="AI195" s="2"/>
    </row>
    <row r="196" spans="1:35" customFormat="1" x14ac:dyDescent="0.25">
      <c r="A196" s="166"/>
      <c r="B196" s="1"/>
      <c r="C196" s="1"/>
      <c r="D196" s="4"/>
      <c r="E196" s="4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4"/>
      <c r="AB196" s="1"/>
      <c r="AC196" s="167"/>
      <c r="AD196" s="167"/>
      <c r="AE196" s="2"/>
      <c r="AF196" s="2"/>
      <c r="AG196" s="2"/>
      <c r="AH196" s="2"/>
      <c r="AI196" s="2"/>
    </row>
    <row r="197" spans="1:35" customFormat="1" x14ac:dyDescent="0.25">
      <c r="A197" s="166"/>
      <c r="B197" s="1"/>
      <c r="C197" s="1"/>
      <c r="D197" s="4"/>
      <c r="E197" s="4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4"/>
      <c r="AB197" s="1"/>
      <c r="AC197" s="167"/>
      <c r="AD197" s="167"/>
      <c r="AE197" s="2"/>
      <c r="AF197" s="2"/>
      <c r="AG197" s="2"/>
      <c r="AH197" s="2"/>
      <c r="AI197" s="2"/>
    </row>
    <row r="198" spans="1:35" customFormat="1" x14ac:dyDescent="0.25">
      <c r="A198" s="166"/>
      <c r="B198" s="1"/>
      <c r="C198" s="1"/>
      <c r="D198" s="4"/>
      <c r="E198" s="4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4"/>
      <c r="AB198" s="1"/>
      <c r="AC198" s="167"/>
      <c r="AD198" s="167"/>
      <c r="AE198" s="2"/>
      <c r="AF198" s="2"/>
      <c r="AG198" s="2"/>
      <c r="AH198" s="2"/>
      <c r="AI198" s="2"/>
    </row>
    <row r="199" spans="1:35" customFormat="1" x14ac:dyDescent="0.25">
      <c r="A199" s="166"/>
      <c r="B199" s="1"/>
      <c r="C199" s="1"/>
      <c r="D199" s="4"/>
      <c r="E199" s="4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4"/>
      <c r="AB199" s="1"/>
      <c r="AC199" s="167"/>
      <c r="AD199" s="167"/>
      <c r="AE199" s="2"/>
      <c r="AF199" s="2"/>
      <c r="AG199" s="2"/>
      <c r="AH199" s="2"/>
      <c r="AI199" s="2"/>
    </row>
    <row r="200" spans="1:35" customFormat="1" x14ac:dyDescent="0.25">
      <c r="A200" s="166"/>
      <c r="B200" s="1"/>
      <c r="C200" s="1"/>
      <c r="D200" s="4"/>
      <c r="E200" s="4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4"/>
      <c r="AB200" s="1"/>
      <c r="AC200" s="167"/>
      <c r="AD200" s="167"/>
      <c r="AE200" s="2"/>
      <c r="AF200" s="2"/>
      <c r="AG200" s="2"/>
      <c r="AH200" s="2"/>
      <c r="AI200" s="2"/>
    </row>
    <row r="201" spans="1:35" customFormat="1" x14ac:dyDescent="0.25">
      <c r="A201" s="166"/>
      <c r="B201" s="1"/>
      <c r="C201" s="1"/>
      <c r="D201" s="4"/>
      <c r="E201" s="4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4"/>
      <c r="AB201" s="1"/>
      <c r="AC201" s="167"/>
      <c r="AD201" s="167"/>
      <c r="AE201" s="2"/>
      <c r="AF201" s="2"/>
      <c r="AG201" s="2"/>
      <c r="AH201" s="2"/>
      <c r="AI201" s="2"/>
    </row>
    <row r="202" spans="1:35" customFormat="1" x14ac:dyDescent="0.25">
      <c r="A202" s="166"/>
      <c r="B202" s="1"/>
      <c r="C202" s="1"/>
      <c r="D202" s="4"/>
      <c r="E202" s="4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4"/>
      <c r="AB202" s="1"/>
      <c r="AC202" s="167"/>
      <c r="AD202" s="167"/>
      <c r="AE202" s="2"/>
      <c r="AF202" s="2"/>
      <c r="AG202" s="2"/>
      <c r="AH202" s="2"/>
      <c r="AI202" s="2"/>
    </row>
    <row r="203" spans="1:35" customFormat="1" x14ac:dyDescent="0.25">
      <c r="A203" s="166"/>
      <c r="B203" s="1"/>
      <c r="C203" s="1"/>
      <c r="D203" s="4"/>
      <c r="E203" s="4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4"/>
      <c r="AB203" s="1"/>
      <c r="AC203" s="167"/>
      <c r="AD203" s="167"/>
      <c r="AE203" s="2"/>
      <c r="AF203" s="2"/>
      <c r="AG203" s="2"/>
      <c r="AH203" s="2"/>
      <c r="AI203" s="2"/>
    </row>
    <row r="204" spans="1:35" customFormat="1" x14ac:dyDescent="0.25">
      <c r="A204" s="166"/>
      <c r="B204" s="1"/>
      <c r="C204" s="1"/>
      <c r="D204" s="4"/>
      <c r="E204" s="4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4"/>
      <c r="AB204" s="1"/>
      <c r="AC204" s="167"/>
      <c r="AD204" s="167"/>
      <c r="AE204" s="2"/>
      <c r="AF204" s="2"/>
      <c r="AG204" s="2"/>
      <c r="AH204" s="2"/>
      <c r="AI204" s="2"/>
    </row>
    <row r="205" spans="1:35" customFormat="1" x14ac:dyDescent="0.25">
      <c r="A205" s="166"/>
      <c r="B205" s="1"/>
      <c r="C205" s="1"/>
      <c r="D205" s="4"/>
      <c r="E205" s="4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4"/>
      <c r="AB205" s="1"/>
      <c r="AC205" s="167"/>
      <c r="AD205" s="167"/>
      <c r="AE205" s="2"/>
      <c r="AF205" s="2"/>
      <c r="AG205" s="2"/>
      <c r="AH205" s="2"/>
      <c r="AI205" s="2"/>
    </row>
    <row r="206" spans="1:35" customFormat="1" x14ac:dyDescent="0.25">
      <c r="A206" s="166"/>
      <c r="B206" s="1"/>
      <c r="C206" s="1"/>
      <c r="D206" s="4"/>
      <c r="E206" s="4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4"/>
      <c r="AB206" s="1"/>
      <c r="AC206" s="167"/>
      <c r="AD206" s="167"/>
      <c r="AE206" s="2"/>
      <c r="AF206" s="2"/>
      <c r="AG206" s="2"/>
      <c r="AH206" s="2"/>
      <c r="AI206" s="2"/>
    </row>
    <row r="207" spans="1:35" customFormat="1" x14ac:dyDescent="0.25">
      <c r="A207" s="166"/>
      <c r="B207" s="1"/>
      <c r="C207" s="1"/>
      <c r="D207" s="4"/>
      <c r="E207" s="4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4"/>
      <c r="AB207" s="1"/>
      <c r="AC207" s="167"/>
      <c r="AD207" s="167"/>
      <c r="AE207" s="2"/>
      <c r="AF207" s="2"/>
      <c r="AG207" s="2"/>
      <c r="AH207" s="2"/>
      <c r="AI207" s="2"/>
    </row>
    <row r="208" spans="1:35" customFormat="1" x14ac:dyDescent="0.25">
      <c r="A208" s="166"/>
      <c r="B208" s="1"/>
      <c r="C208" s="1"/>
      <c r="D208" s="4"/>
      <c r="E208" s="4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4"/>
      <c r="AB208" s="1"/>
      <c r="AC208" s="167"/>
      <c r="AD208" s="167"/>
      <c r="AE208" s="2"/>
      <c r="AF208" s="2"/>
      <c r="AG208" s="2"/>
      <c r="AH208" s="2"/>
      <c r="AI208" s="2"/>
    </row>
    <row r="209" spans="1:35" customFormat="1" x14ac:dyDescent="0.25">
      <c r="A209" s="166"/>
      <c r="B209" s="1"/>
      <c r="C209" s="1"/>
      <c r="D209" s="4"/>
      <c r="E209" s="4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4"/>
      <c r="AB209" s="1"/>
      <c r="AC209" s="167"/>
      <c r="AD209" s="167"/>
      <c r="AE209" s="2"/>
      <c r="AF209" s="2"/>
      <c r="AG209" s="2"/>
      <c r="AH209" s="2"/>
      <c r="AI209" s="2"/>
    </row>
    <row r="210" spans="1:35" customFormat="1" x14ac:dyDescent="0.25">
      <c r="A210" s="166"/>
      <c r="B210" s="1"/>
      <c r="C210" s="1"/>
      <c r="D210" s="4"/>
      <c r="E210" s="4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4"/>
      <c r="AB210" s="1"/>
      <c r="AC210" s="167"/>
      <c r="AD210" s="167"/>
      <c r="AE210" s="2"/>
      <c r="AF210" s="2"/>
      <c r="AG210" s="2"/>
      <c r="AH210" s="2"/>
      <c r="AI210" s="2"/>
    </row>
    <row r="211" spans="1:35" customFormat="1" x14ac:dyDescent="0.25">
      <c r="A211" s="166"/>
      <c r="B211" s="1"/>
      <c r="C211" s="1"/>
      <c r="D211" s="4"/>
      <c r="E211" s="4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4"/>
      <c r="AB211" s="1"/>
      <c r="AC211" s="167"/>
      <c r="AD211" s="167"/>
      <c r="AE211" s="2"/>
      <c r="AF211" s="2"/>
      <c r="AG211" s="2"/>
      <c r="AH211" s="2"/>
      <c r="AI211" s="2"/>
    </row>
    <row r="212" spans="1:35" customFormat="1" x14ac:dyDescent="0.25">
      <c r="A212" s="166"/>
      <c r="B212" s="1"/>
      <c r="C212" s="1"/>
      <c r="D212" s="4"/>
      <c r="E212" s="4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4"/>
      <c r="AB212" s="1"/>
      <c r="AC212" s="167"/>
      <c r="AD212" s="167"/>
      <c r="AE212" s="2"/>
      <c r="AF212" s="2"/>
      <c r="AG212" s="2"/>
      <c r="AH212" s="2"/>
      <c r="AI212" s="2"/>
    </row>
    <row r="213" spans="1:35" customFormat="1" x14ac:dyDescent="0.25">
      <c r="A213" s="166"/>
      <c r="B213" s="1"/>
      <c r="C213" s="1"/>
      <c r="D213" s="4"/>
      <c r="E213" s="4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4"/>
      <c r="AB213" s="1"/>
      <c r="AC213" s="167"/>
      <c r="AD213" s="167"/>
      <c r="AE213" s="2"/>
      <c r="AF213" s="2"/>
      <c r="AG213" s="2"/>
      <c r="AH213" s="2"/>
      <c r="AI213" s="2"/>
    </row>
    <row r="214" spans="1:35" customFormat="1" x14ac:dyDescent="0.25">
      <c r="A214" s="166"/>
      <c r="B214" s="1"/>
      <c r="C214" s="1"/>
      <c r="D214" s="4"/>
      <c r="E214" s="4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4"/>
      <c r="AB214" s="1"/>
      <c r="AC214" s="167"/>
      <c r="AD214" s="167"/>
      <c r="AE214" s="2"/>
      <c r="AF214" s="2"/>
      <c r="AG214" s="2"/>
      <c r="AH214" s="2"/>
      <c r="AI214" s="2"/>
    </row>
    <row r="215" spans="1:35" customFormat="1" x14ac:dyDescent="0.25">
      <c r="A215" s="166"/>
      <c r="B215" s="1"/>
      <c r="C215" s="1"/>
      <c r="D215" s="4"/>
      <c r="E215" s="4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4"/>
      <c r="AB215" s="1"/>
      <c r="AC215" s="167"/>
      <c r="AD215" s="167"/>
      <c r="AE215" s="2"/>
      <c r="AF215" s="2"/>
      <c r="AG215" s="2"/>
      <c r="AH215" s="2"/>
      <c r="AI215" s="2"/>
    </row>
    <row r="216" spans="1:35" customFormat="1" x14ac:dyDescent="0.25">
      <c r="A216" s="166"/>
      <c r="B216" s="1"/>
      <c r="C216" s="1"/>
      <c r="D216" s="4"/>
      <c r="E216" s="4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4"/>
      <c r="AB216" s="1"/>
      <c r="AC216" s="167"/>
      <c r="AD216" s="167"/>
      <c r="AE216" s="2"/>
      <c r="AF216" s="2"/>
      <c r="AG216" s="2"/>
      <c r="AH216" s="2"/>
      <c r="AI216" s="2"/>
    </row>
    <row r="217" spans="1:35" customFormat="1" x14ac:dyDescent="0.25">
      <c r="A217" s="166"/>
      <c r="B217" s="1"/>
      <c r="C217" s="1"/>
      <c r="D217" s="4"/>
      <c r="E217" s="4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4"/>
      <c r="AB217" s="1"/>
      <c r="AC217" s="167"/>
      <c r="AD217" s="167"/>
      <c r="AE217" s="2"/>
      <c r="AF217" s="2"/>
      <c r="AG217" s="2"/>
      <c r="AH217" s="2"/>
      <c r="AI217" s="2"/>
    </row>
    <row r="218" spans="1:35" customFormat="1" x14ac:dyDescent="0.25">
      <c r="A218" s="166"/>
      <c r="B218" s="1"/>
      <c r="C218" s="1"/>
      <c r="D218" s="4"/>
      <c r="E218" s="4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4"/>
      <c r="AB218" s="1"/>
      <c r="AC218" s="167"/>
      <c r="AD218" s="167"/>
      <c r="AE218" s="2"/>
      <c r="AF218" s="2"/>
      <c r="AG218" s="2"/>
      <c r="AH218" s="2"/>
      <c r="AI218" s="2"/>
    </row>
    <row r="219" spans="1:35" customFormat="1" x14ac:dyDescent="0.25">
      <c r="A219" s="166"/>
      <c r="B219" s="1"/>
      <c r="C219" s="1"/>
      <c r="D219" s="4"/>
      <c r="E219" s="4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4"/>
      <c r="AB219" s="1"/>
      <c r="AC219" s="167"/>
      <c r="AD219" s="167"/>
      <c r="AE219" s="2"/>
      <c r="AF219" s="2"/>
      <c r="AG219" s="2"/>
      <c r="AH219" s="2"/>
      <c r="AI219" s="2"/>
    </row>
    <row r="220" spans="1:35" customFormat="1" x14ac:dyDescent="0.25">
      <c r="A220" s="166"/>
      <c r="B220" s="1"/>
      <c r="C220" s="1"/>
      <c r="D220" s="4"/>
      <c r="E220" s="4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4"/>
      <c r="AB220" s="1"/>
      <c r="AC220" s="167"/>
      <c r="AD220" s="167"/>
      <c r="AE220" s="2"/>
      <c r="AF220" s="2"/>
      <c r="AG220" s="2"/>
      <c r="AH220" s="2"/>
      <c r="AI220" s="2"/>
    </row>
    <row r="221" spans="1:35" customFormat="1" x14ac:dyDescent="0.25">
      <c r="A221" s="166"/>
      <c r="B221" s="1"/>
      <c r="C221" s="1"/>
      <c r="D221" s="4"/>
      <c r="E221" s="4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4"/>
      <c r="AB221" s="1"/>
      <c r="AC221" s="167"/>
      <c r="AD221" s="167"/>
      <c r="AE221" s="2"/>
      <c r="AF221" s="2"/>
      <c r="AG221" s="2"/>
      <c r="AH221" s="2"/>
      <c r="AI221" s="2"/>
    </row>
    <row r="222" spans="1:35" customFormat="1" x14ac:dyDescent="0.25">
      <c r="A222" s="166"/>
      <c r="B222" s="1"/>
      <c r="C222" s="1"/>
      <c r="D222" s="4"/>
      <c r="E222" s="4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4"/>
      <c r="AB222" s="1"/>
      <c r="AC222" s="167"/>
      <c r="AD222" s="167"/>
      <c r="AE222" s="2"/>
      <c r="AF222" s="2"/>
      <c r="AG222" s="2"/>
      <c r="AH222" s="2"/>
      <c r="AI222" s="2"/>
    </row>
    <row r="223" spans="1:35" customFormat="1" x14ac:dyDescent="0.25">
      <c r="A223" s="166"/>
      <c r="B223" s="1"/>
      <c r="C223" s="1"/>
      <c r="D223" s="4"/>
      <c r="E223" s="4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4"/>
      <c r="AB223" s="1"/>
      <c r="AC223" s="167"/>
      <c r="AD223" s="167"/>
      <c r="AE223" s="2"/>
      <c r="AF223" s="2"/>
      <c r="AG223" s="2"/>
      <c r="AH223" s="2"/>
      <c r="AI223" s="2"/>
    </row>
    <row r="224" spans="1:35" customFormat="1" x14ac:dyDescent="0.25">
      <c r="A224" s="166"/>
      <c r="B224" s="1"/>
      <c r="C224" s="1"/>
      <c r="D224" s="4"/>
      <c r="E224" s="4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4"/>
      <c r="AB224" s="1"/>
      <c r="AC224" s="167"/>
      <c r="AD224" s="167"/>
      <c r="AE224" s="2"/>
      <c r="AF224" s="2"/>
      <c r="AG224" s="2"/>
      <c r="AH224" s="2"/>
      <c r="AI224" s="2"/>
    </row>
    <row r="225" spans="1:35" customFormat="1" x14ac:dyDescent="0.25">
      <c r="A225" s="166"/>
      <c r="B225" s="1"/>
      <c r="C225" s="1"/>
      <c r="D225" s="4"/>
      <c r="E225" s="4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4"/>
      <c r="AB225" s="1"/>
      <c r="AC225" s="167"/>
      <c r="AD225" s="167"/>
      <c r="AE225" s="2"/>
      <c r="AF225" s="2"/>
      <c r="AG225" s="2"/>
      <c r="AH225" s="2"/>
      <c r="AI225" s="2"/>
    </row>
    <row r="226" spans="1:35" customFormat="1" x14ac:dyDescent="0.25">
      <c r="A226" s="166"/>
      <c r="B226" s="1"/>
      <c r="C226" s="1"/>
      <c r="D226" s="4"/>
      <c r="E226" s="4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4"/>
      <c r="AB226" s="1"/>
      <c r="AC226" s="167"/>
      <c r="AD226" s="167"/>
      <c r="AE226" s="2"/>
      <c r="AF226" s="2"/>
      <c r="AG226" s="2"/>
      <c r="AH226" s="2"/>
      <c r="AI226" s="2"/>
    </row>
    <row r="227" spans="1:35" customFormat="1" x14ac:dyDescent="0.25">
      <c r="A227" s="166"/>
      <c r="B227" s="1"/>
      <c r="C227" s="1"/>
      <c r="D227" s="4"/>
      <c r="E227" s="4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4"/>
      <c r="AB227" s="1"/>
      <c r="AC227" s="167"/>
      <c r="AD227" s="167"/>
      <c r="AE227" s="2"/>
      <c r="AF227" s="2"/>
      <c r="AG227" s="2"/>
      <c r="AH227" s="2"/>
      <c r="AI227" s="2"/>
    </row>
    <row r="228" spans="1:35" customFormat="1" x14ac:dyDescent="0.25">
      <c r="A228" s="166"/>
      <c r="B228" s="1"/>
      <c r="C228" s="1"/>
      <c r="D228" s="4"/>
      <c r="E228" s="4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4"/>
      <c r="AB228" s="1"/>
      <c r="AC228" s="167"/>
      <c r="AD228" s="167"/>
      <c r="AE228" s="2"/>
      <c r="AF228" s="2"/>
      <c r="AG228" s="2"/>
      <c r="AH228" s="2"/>
      <c r="AI228" s="2"/>
    </row>
    <row r="229" spans="1:35" customFormat="1" x14ac:dyDescent="0.25">
      <c r="A229" s="166"/>
      <c r="B229" s="1"/>
      <c r="C229" s="1"/>
      <c r="D229" s="4"/>
      <c r="E229" s="4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4"/>
      <c r="AB229" s="1"/>
      <c r="AC229" s="167"/>
      <c r="AD229" s="167"/>
      <c r="AE229" s="2"/>
      <c r="AF229" s="2"/>
      <c r="AG229" s="2"/>
      <c r="AH229" s="2"/>
      <c r="AI229" s="2"/>
    </row>
    <row r="230" spans="1:35" customFormat="1" x14ac:dyDescent="0.25">
      <c r="A230" s="166"/>
      <c r="B230" s="1"/>
      <c r="C230" s="1"/>
      <c r="D230" s="4"/>
      <c r="E230" s="4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4"/>
      <c r="AB230" s="1"/>
      <c r="AC230" s="167"/>
      <c r="AD230" s="167"/>
      <c r="AE230" s="2"/>
      <c r="AF230" s="2"/>
      <c r="AG230" s="2"/>
      <c r="AH230" s="2"/>
      <c r="AI230" s="2"/>
    </row>
    <row r="231" spans="1:35" customFormat="1" x14ac:dyDescent="0.25">
      <c r="A231" s="166"/>
      <c r="B231" s="1"/>
      <c r="C231" s="1"/>
      <c r="D231" s="4"/>
      <c r="E231" s="4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4"/>
      <c r="AB231" s="1"/>
      <c r="AC231" s="167"/>
      <c r="AD231" s="167"/>
      <c r="AE231" s="2"/>
      <c r="AF231" s="2"/>
      <c r="AG231" s="2"/>
      <c r="AH231" s="2"/>
      <c r="AI231" s="2"/>
    </row>
    <row r="232" spans="1:35" customFormat="1" x14ac:dyDescent="0.25">
      <c r="A232" s="166"/>
      <c r="B232" s="1"/>
      <c r="C232" s="1"/>
      <c r="D232" s="4"/>
      <c r="E232" s="4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4"/>
      <c r="AB232" s="1"/>
      <c r="AC232" s="167"/>
      <c r="AD232" s="167"/>
      <c r="AE232" s="2"/>
      <c r="AF232" s="2"/>
      <c r="AG232" s="2"/>
      <c r="AH232" s="2"/>
      <c r="AI232" s="2"/>
    </row>
    <row r="233" spans="1:35" customFormat="1" x14ac:dyDescent="0.25">
      <c r="A233" s="166"/>
      <c r="B233" s="1"/>
      <c r="C233" s="1"/>
      <c r="D233" s="4"/>
      <c r="E233" s="4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4"/>
      <c r="AB233" s="1"/>
      <c r="AC233" s="167"/>
      <c r="AD233" s="167"/>
      <c r="AE233" s="2"/>
      <c r="AF233" s="2"/>
      <c r="AG233" s="2"/>
      <c r="AH233" s="2"/>
      <c r="AI233" s="2"/>
    </row>
    <row r="234" spans="1:35" customFormat="1" x14ac:dyDescent="0.25">
      <c r="A234" s="166"/>
      <c r="B234" s="1"/>
      <c r="C234" s="1"/>
      <c r="D234" s="4"/>
      <c r="E234" s="4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4"/>
      <c r="AB234" s="1"/>
      <c r="AC234" s="167"/>
      <c r="AD234" s="167"/>
      <c r="AE234" s="2"/>
      <c r="AF234" s="2"/>
      <c r="AG234" s="2"/>
      <c r="AH234" s="2"/>
      <c r="AI234" s="2"/>
    </row>
    <row r="235" spans="1:35" customFormat="1" x14ac:dyDescent="0.25">
      <c r="A235" s="166"/>
      <c r="B235" s="1"/>
      <c r="C235" s="1"/>
      <c r="D235" s="4"/>
      <c r="E235" s="4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4"/>
      <c r="AB235" s="1"/>
      <c r="AC235" s="167"/>
      <c r="AD235" s="167"/>
      <c r="AE235" s="2"/>
      <c r="AF235" s="2"/>
      <c r="AG235" s="2"/>
      <c r="AH235" s="2"/>
      <c r="AI235" s="2"/>
    </row>
    <row r="236" spans="1:35" customFormat="1" x14ac:dyDescent="0.25">
      <c r="A236" s="166"/>
      <c r="B236" s="1"/>
      <c r="C236" s="1"/>
      <c r="D236" s="4"/>
      <c r="E236" s="4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4"/>
      <c r="AB236" s="1"/>
      <c r="AC236" s="167"/>
      <c r="AD236" s="167"/>
      <c r="AE236" s="2"/>
      <c r="AF236" s="2"/>
      <c r="AG236" s="2"/>
      <c r="AH236" s="2"/>
      <c r="AI236" s="2"/>
    </row>
    <row r="237" spans="1:35" customFormat="1" x14ac:dyDescent="0.25">
      <c r="A237" s="166"/>
      <c r="B237" s="1"/>
      <c r="C237" s="1"/>
      <c r="D237" s="4"/>
      <c r="E237" s="4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4"/>
      <c r="AB237" s="1"/>
      <c r="AC237" s="167"/>
      <c r="AD237" s="167"/>
      <c r="AE237" s="2"/>
      <c r="AF237" s="2"/>
      <c r="AG237" s="2"/>
      <c r="AH237" s="2"/>
      <c r="AI237" s="2"/>
    </row>
    <row r="238" spans="1:35" customFormat="1" x14ac:dyDescent="0.25">
      <c r="A238" s="166"/>
      <c r="B238" s="1"/>
      <c r="C238" s="1"/>
      <c r="D238" s="4"/>
      <c r="E238" s="4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4"/>
      <c r="AB238" s="1"/>
      <c r="AC238" s="167"/>
      <c r="AD238" s="167"/>
      <c r="AE238" s="2"/>
      <c r="AF238" s="2"/>
      <c r="AG238" s="2"/>
      <c r="AH238" s="2"/>
      <c r="AI238" s="2"/>
    </row>
    <row r="239" spans="1:35" customFormat="1" x14ac:dyDescent="0.25">
      <c r="A239" s="166"/>
      <c r="B239" s="1"/>
      <c r="C239" s="1"/>
      <c r="D239" s="4"/>
      <c r="E239" s="4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4"/>
      <c r="AB239" s="1"/>
      <c r="AC239" s="167"/>
      <c r="AD239" s="167"/>
      <c r="AE239" s="2"/>
      <c r="AF239" s="2"/>
      <c r="AG239" s="2"/>
      <c r="AH239" s="2"/>
      <c r="AI239" s="2"/>
    </row>
    <row r="240" spans="1:35" customFormat="1" x14ac:dyDescent="0.25">
      <c r="A240" s="166"/>
      <c r="B240" s="1"/>
      <c r="C240" s="1"/>
      <c r="D240" s="4"/>
      <c r="E240" s="4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4"/>
      <c r="AB240" s="1"/>
      <c r="AC240" s="167"/>
      <c r="AD240" s="167"/>
      <c r="AE240" s="2"/>
      <c r="AF240" s="2"/>
      <c r="AG240" s="2"/>
      <c r="AH240" s="2"/>
      <c r="AI240" s="2"/>
    </row>
    <row r="241" spans="1:35" customFormat="1" x14ac:dyDescent="0.25">
      <c r="A241" s="166"/>
      <c r="B241" s="1"/>
      <c r="C241" s="1"/>
      <c r="D241" s="4"/>
      <c r="E241" s="4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4"/>
      <c r="AB241" s="1"/>
      <c r="AC241" s="167"/>
      <c r="AD241" s="167"/>
      <c r="AE241" s="2"/>
      <c r="AF241" s="2"/>
      <c r="AG241" s="2"/>
      <c r="AH241" s="2"/>
      <c r="AI241" s="2"/>
    </row>
    <row r="242" spans="1:35" customFormat="1" x14ac:dyDescent="0.25">
      <c r="A242" s="166"/>
      <c r="B242" s="1"/>
      <c r="C242" s="1"/>
      <c r="D242" s="4"/>
      <c r="E242" s="4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4"/>
      <c r="AB242" s="1"/>
      <c r="AC242" s="167"/>
      <c r="AD242" s="167"/>
      <c r="AE242" s="2"/>
      <c r="AF242" s="2"/>
      <c r="AG242" s="2"/>
      <c r="AH242" s="2"/>
      <c r="AI242" s="2"/>
    </row>
    <row r="243" spans="1:35" customFormat="1" x14ac:dyDescent="0.25">
      <c r="A243" s="166"/>
      <c r="B243" s="1"/>
      <c r="C243" s="1"/>
      <c r="D243" s="4"/>
      <c r="E243" s="4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4"/>
      <c r="AB243" s="1"/>
      <c r="AC243" s="167"/>
      <c r="AD243" s="167"/>
      <c r="AE243" s="2"/>
      <c r="AF243" s="2"/>
      <c r="AG243" s="2"/>
      <c r="AH243" s="2"/>
      <c r="AI243" s="2"/>
    </row>
    <row r="244" spans="1:35" customFormat="1" x14ac:dyDescent="0.25">
      <c r="A244" s="166"/>
      <c r="B244" s="1"/>
      <c r="C244" s="1"/>
      <c r="D244" s="4"/>
      <c r="E244" s="4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4"/>
      <c r="AB244" s="1"/>
      <c r="AC244" s="167"/>
      <c r="AD244" s="167"/>
      <c r="AE244" s="2"/>
      <c r="AF244" s="2"/>
      <c r="AG244" s="2"/>
      <c r="AH244" s="2"/>
      <c r="AI244" s="2"/>
    </row>
    <row r="245" spans="1:35" customFormat="1" x14ac:dyDescent="0.25">
      <c r="A245" s="166"/>
      <c r="B245" s="1"/>
      <c r="C245" s="1"/>
      <c r="D245" s="4"/>
      <c r="E245" s="4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4"/>
      <c r="AB245" s="1"/>
      <c r="AC245" s="167"/>
      <c r="AD245" s="167"/>
      <c r="AE245" s="2"/>
      <c r="AF245" s="2"/>
      <c r="AG245" s="2"/>
      <c r="AH245" s="2"/>
      <c r="AI245" s="2"/>
    </row>
    <row r="246" spans="1:35" customFormat="1" x14ac:dyDescent="0.25">
      <c r="A246" s="166"/>
      <c r="B246" s="1"/>
      <c r="C246" s="1"/>
      <c r="D246" s="4"/>
      <c r="E246" s="4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4"/>
      <c r="AB246" s="1"/>
      <c r="AC246" s="167"/>
      <c r="AD246" s="167"/>
      <c r="AE246" s="2"/>
      <c r="AF246" s="2"/>
      <c r="AG246" s="2"/>
      <c r="AH246" s="2"/>
      <c r="AI246" s="2"/>
    </row>
    <row r="247" spans="1:35" customFormat="1" x14ac:dyDescent="0.25">
      <c r="A247" s="166"/>
      <c r="B247" s="1"/>
      <c r="C247" s="1"/>
      <c r="D247" s="4"/>
      <c r="E247" s="4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4"/>
      <c r="AB247" s="1"/>
      <c r="AC247" s="167"/>
      <c r="AD247" s="167"/>
      <c r="AE247" s="2"/>
      <c r="AF247" s="2"/>
      <c r="AG247" s="2"/>
      <c r="AH247" s="2"/>
      <c r="AI247" s="2"/>
    </row>
    <row r="248" spans="1:35" customFormat="1" x14ac:dyDescent="0.25">
      <c r="A248" s="166"/>
      <c r="B248" s="1"/>
      <c r="C248" s="1"/>
      <c r="D248" s="4"/>
      <c r="E248" s="4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4"/>
      <c r="AB248" s="1"/>
      <c r="AC248" s="167"/>
      <c r="AD248" s="167"/>
      <c r="AE248" s="2"/>
      <c r="AF248" s="2"/>
      <c r="AG248" s="2"/>
      <c r="AH248" s="2"/>
      <c r="AI248" s="2"/>
    </row>
    <row r="249" spans="1:35" customFormat="1" x14ac:dyDescent="0.25">
      <c r="A249" s="166"/>
      <c r="B249" s="1"/>
      <c r="C249" s="1"/>
      <c r="D249" s="4"/>
      <c r="E249" s="4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4"/>
      <c r="AB249" s="1"/>
      <c r="AC249" s="167"/>
      <c r="AD249" s="167"/>
      <c r="AE249" s="2"/>
      <c r="AF249" s="2"/>
      <c r="AG249" s="2"/>
      <c r="AH249" s="2"/>
      <c r="AI249" s="2"/>
    </row>
    <row r="250" spans="1:35" customFormat="1" x14ac:dyDescent="0.25">
      <c r="A250" s="166"/>
      <c r="B250" s="1"/>
      <c r="C250" s="1"/>
      <c r="D250" s="4"/>
      <c r="E250" s="4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4"/>
      <c r="AB250" s="1"/>
      <c r="AC250" s="167"/>
      <c r="AD250" s="167"/>
      <c r="AE250" s="2"/>
      <c r="AF250" s="2"/>
      <c r="AG250" s="2"/>
      <c r="AH250" s="2"/>
      <c r="AI250" s="2"/>
    </row>
    <row r="251" spans="1:35" customFormat="1" x14ac:dyDescent="0.25">
      <c r="A251" s="166"/>
      <c r="B251" s="1"/>
      <c r="C251" s="1"/>
      <c r="D251" s="4"/>
      <c r="E251" s="4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4"/>
      <c r="AB251" s="1"/>
      <c r="AC251" s="167"/>
      <c r="AD251" s="167"/>
      <c r="AE251" s="2"/>
      <c r="AF251" s="2"/>
      <c r="AG251" s="2"/>
      <c r="AH251" s="2"/>
      <c r="AI251" s="2"/>
    </row>
    <row r="252" spans="1:35" customFormat="1" x14ac:dyDescent="0.25">
      <c r="A252" s="166"/>
      <c r="B252" s="1"/>
      <c r="C252" s="1"/>
      <c r="D252" s="4"/>
      <c r="E252" s="4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4"/>
      <c r="AB252" s="1"/>
      <c r="AC252" s="167"/>
      <c r="AD252" s="167"/>
      <c r="AE252" s="2"/>
      <c r="AF252" s="2"/>
      <c r="AG252" s="2"/>
      <c r="AH252" s="2"/>
      <c r="AI252" s="2"/>
    </row>
    <row r="253" spans="1:35" customFormat="1" x14ac:dyDescent="0.25">
      <c r="A253" s="166"/>
      <c r="B253" s="1"/>
      <c r="C253" s="1"/>
      <c r="D253" s="4"/>
      <c r="E253" s="4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4"/>
      <c r="AB253" s="1"/>
      <c r="AC253" s="167"/>
      <c r="AD253" s="167"/>
      <c r="AE253" s="2"/>
      <c r="AF253" s="2"/>
      <c r="AG253" s="2"/>
      <c r="AH253" s="2"/>
      <c r="AI253" s="2"/>
    </row>
    <row r="254" spans="1:35" customFormat="1" x14ac:dyDescent="0.25">
      <c r="A254" s="166"/>
      <c r="B254" s="1"/>
      <c r="C254" s="1"/>
      <c r="D254" s="4"/>
      <c r="E254" s="4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4"/>
      <c r="AB254" s="1"/>
      <c r="AC254" s="167"/>
      <c r="AD254" s="167"/>
      <c r="AE254" s="2"/>
      <c r="AF254" s="2"/>
      <c r="AG254" s="2"/>
      <c r="AH254" s="2"/>
      <c r="AI254" s="2"/>
    </row>
    <row r="255" spans="1:35" customFormat="1" x14ac:dyDescent="0.25">
      <c r="A255" s="166"/>
      <c r="B255" s="1"/>
      <c r="C255" s="1"/>
      <c r="D255" s="4"/>
      <c r="E255" s="4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4"/>
      <c r="AB255" s="1"/>
      <c r="AC255" s="167"/>
      <c r="AD255" s="167"/>
      <c r="AE255" s="2"/>
      <c r="AF255" s="2"/>
      <c r="AG255" s="2"/>
      <c r="AH255" s="2"/>
      <c r="AI255" s="2"/>
    </row>
    <row r="256" spans="1:35" customFormat="1" x14ac:dyDescent="0.25">
      <c r="A256" s="166"/>
      <c r="B256" s="1"/>
      <c r="C256" s="1"/>
      <c r="D256" s="4"/>
      <c r="E256" s="4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4"/>
      <c r="AB256" s="1"/>
      <c r="AC256" s="167"/>
      <c r="AD256" s="167"/>
      <c r="AE256" s="2"/>
      <c r="AF256" s="2"/>
      <c r="AG256" s="2"/>
      <c r="AH256" s="2"/>
      <c r="AI256" s="2"/>
    </row>
    <row r="257" spans="1:35" customFormat="1" x14ac:dyDescent="0.25">
      <c r="A257" s="166"/>
      <c r="B257" s="1"/>
      <c r="C257" s="1"/>
      <c r="D257" s="4"/>
      <c r="E257" s="4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4"/>
      <c r="AB257" s="1"/>
      <c r="AC257" s="167"/>
      <c r="AD257" s="167"/>
      <c r="AE257" s="2"/>
      <c r="AF257" s="2"/>
      <c r="AG257" s="2"/>
      <c r="AH257" s="2"/>
      <c r="AI257" s="2"/>
    </row>
    <row r="258" spans="1:35" customFormat="1" x14ac:dyDescent="0.25">
      <c r="A258" s="166"/>
      <c r="B258" s="1"/>
      <c r="C258" s="1"/>
      <c r="D258" s="4"/>
      <c r="E258" s="4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4"/>
      <c r="AB258" s="1"/>
      <c r="AC258" s="167"/>
      <c r="AD258" s="167"/>
      <c r="AE258" s="2"/>
      <c r="AF258" s="2"/>
      <c r="AG258" s="2"/>
      <c r="AH258" s="2"/>
      <c r="AI258" s="2"/>
    </row>
    <row r="259" spans="1:35" customFormat="1" x14ac:dyDescent="0.25">
      <c r="A259" s="166"/>
      <c r="B259" s="1"/>
      <c r="C259" s="1"/>
      <c r="D259" s="4"/>
      <c r="E259" s="4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4"/>
      <c r="AB259" s="1"/>
      <c r="AC259" s="167"/>
      <c r="AD259" s="167"/>
      <c r="AE259" s="2"/>
      <c r="AF259" s="2"/>
      <c r="AG259" s="2"/>
      <c r="AH259" s="2"/>
      <c r="AI259" s="2"/>
    </row>
    <row r="260" spans="1:35" customFormat="1" x14ac:dyDescent="0.25">
      <c r="A260" s="166"/>
      <c r="B260" s="1"/>
      <c r="C260" s="1"/>
      <c r="D260" s="4"/>
      <c r="E260" s="4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4"/>
      <c r="AB260" s="1"/>
      <c r="AC260" s="167"/>
      <c r="AD260" s="167"/>
      <c r="AE260" s="2"/>
      <c r="AF260" s="2"/>
      <c r="AG260" s="2"/>
      <c r="AH260" s="2"/>
      <c r="AI260" s="2"/>
    </row>
    <row r="261" spans="1:35" customFormat="1" x14ac:dyDescent="0.25">
      <c r="A261" s="166"/>
      <c r="B261" s="1"/>
      <c r="C261" s="1"/>
      <c r="D261" s="4"/>
      <c r="E261" s="4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4"/>
      <c r="AB261" s="1"/>
      <c r="AC261" s="167"/>
      <c r="AD261" s="167"/>
      <c r="AE261" s="2"/>
      <c r="AF261" s="2"/>
      <c r="AG261" s="2"/>
      <c r="AH261" s="2"/>
      <c r="AI261" s="2"/>
    </row>
    <row r="262" spans="1:35" customFormat="1" x14ac:dyDescent="0.25">
      <c r="A262" s="166"/>
      <c r="B262" s="1"/>
      <c r="C262" s="1"/>
      <c r="D262" s="4"/>
      <c r="E262" s="4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4"/>
      <c r="AB262" s="1"/>
      <c r="AC262" s="167"/>
      <c r="AD262" s="167"/>
      <c r="AE262" s="2"/>
      <c r="AF262" s="2"/>
      <c r="AG262" s="2"/>
      <c r="AH262" s="2"/>
      <c r="AI262" s="2"/>
    </row>
    <row r="263" spans="1:35" customFormat="1" x14ac:dyDescent="0.25">
      <c r="A263" s="166"/>
      <c r="B263" s="1"/>
      <c r="C263" s="1"/>
      <c r="D263" s="4"/>
      <c r="E263" s="4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4"/>
      <c r="AB263" s="1"/>
      <c r="AC263" s="167"/>
      <c r="AD263" s="167"/>
      <c r="AE263" s="2"/>
      <c r="AF263" s="2"/>
      <c r="AG263" s="2"/>
      <c r="AH263" s="2"/>
      <c r="AI263" s="2"/>
    </row>
    <row r="264" spans="1:35" customFormat="1" x14ac:dyDescent="0.25">
      <c r="A264" s="166"/>
      <c r="B264" s="1"/>
      <c r="C264" s="1"/>
      <c r="D264" s="4"/>
      <c r="E264" s="4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4"/>
      <c r="AB264" s="1"/>
      <c r="AC264" s="167"/>
      <c r="AD264" s="167"/>
      <c r="AE264" s="2"/>
      <c r="AF264" s="2"/>
      <c r="AG264" s="2"/>
      <c r="AH264" s="2"/>
      <c r="AI264" s="2"/>
    </row>
    <row r="265" spans="1:35" customFormat="1" x14ac:dyDescent="0.25">
      <c r="A265" s="166"/>
      <c r="B265" s="1"/>
      <c r="C265" s="1"/>
      <c r="D265" s="4"/>
      <c r="E265" s="4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4"/>
      <c r="AB265" s="1"/>
      <c r="AC265" s="167"/>
      <c r="AD265" s="167"/>
      <c r="AE265" s="2"/>
      <c r="AF265" s="2"/>
      <c r="AG265" s="2"/>
      <c r="AH265" s="2"/>
      <c r="AI265" s="2"/>
    </row>
    <row r="266" spans="1:35" customFormat="1" x14ac:dyDescent="0.25">
      <c r="A266" s="166"/>
      <c r="B266" s="1"/>
      <c r="C266" s="1"/>
      <c r="D266" s="4"/>
      <c r="E266" s="4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4"/>
      <c r="AB266" s="1"/>
      <c r="AC266" s="167"/>
      <c r="AD266" s="167"/>
      <c r="AE266" s="2"/>
      <c r="AF266" s="2"/>
      <c r="AG266" s="2"/>
      <c r="AH266" s="2"/>
      <c r="AI266" s="2"/>
    </row>
    <row r="267" spans="1:35" customFormat="1" x14ac:dyDescent="0.25">
      <c r="A267" s="166"/>
      <c r="B267" s="1"/>
      <c r="C267" s="1"/>
      <c r="D267" s="4"/>
      <c r="E267" s="4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4"/>
      <c r="AB267" s="1"/>
      <c r="AC267" s="167"/>
      <c r="AD267" s="167"/>
      <c r="AE267" s="2"/>
      <c r="AF267" s="2"/>
      <c r="AG267" s="2"/>
      <c r="AH267" s="2"/>
      <c r="AI267" s="2"/>
    </row>
    <row r="268" spans="1:35" customFormat="1" x14ac:dyDescent="0.25">
      <c r="A268" s="166"/>
      <c r="B268" s="1"/>
      <c r="C268" s="1"/>
      <c r="D268" s="4"/>
      <c r="E268" s="4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4"/>
      <c r="AB268" s="1"/>
      <c r="AC268" s="167"/>
      <c r="AD268" s="167"/>
      <c r="AE268" s="2"/>
      <c r="AF268" s="2"/>
      <c r="AG268" s="2"/>
      <c r="AH268" s="2"/>
      <c r="AI268" s="2"/>
    </row>
    <row r="269" spans="1:35" customFormat="1" x14ac:dyDescent="0.25">
      <c r="A269" s="166"/>
      <c r="B269" s="1"/>
      <c r="C269" s="1"/>
      <c r="D269" s="4"/>
      <c r="E269" s="4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4"/>
      <c r="AB269" s="1"/>
      <c r="AC269" s="167"/>
      <c r="AD269" s="167"/>
      <c r="AE269" s="2"/>
      <c r="AF269" s="2"/>
      <c r="AG269" s="2"/>
      <c r="AH269" s="2"/>
      <c r="AI269" s="2"/>
    </row>
    <row r="270" spans="1:35" customFormat="1" x14ac:dyDescent="0.25">
      <c r="A270" s="166"/>
      <c r="B270" s="1"/>
      <c r="C270" s="1"/>
      <c r="D270" s="4"/>
      <c r="E270" s="4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4"/>
      <c r="AB270" s="1"/>
      <c r="AC270" s="167"/>
      <c r="AD270" s="167"/>
      <c r="AE270" s="2"/>
      <c r="AF270" s="2"/>
      <c r="AG270" s="2"/>
      <c r="AH270" s="2"/>
      <c r="AI270" s="2"/>
    </row>
    <row r="271" spans="1:35" customFormat="1" x14ac:dyDescent="0.25">
      <c r="A271" s="166"/>
      <c r="B271" s="1"/>
      <c r="C271" s="1"/>
      <c r="D271" s="4"/>
      <c r="E271" s="4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4"/>
      <c r="AB271" s="1"/>
      <c r="AC271" s="167"/>
      <c r="AD271" s="167"/>
      <c r="AE271" s="2"/>
      <c r="AF271" s="2"/>
      <c r="AG271" s="2"/>
      <c r="AH271" s="2"/>
      <c r="AI271" s="2"/>
    </row>
    <row r="272" spans="1:35" customFormat="1" x14ac:dyDescent="0.25">
      <c r="A272" s="166"/>
      <c r="B272" s="1"/>
      <c r="C272" s="1"/>
      <c r="D272" s="4"/>
      <c r="E272" s="4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4"/>
      <c r="AB272" s="1"/>
      <c r="AC272" s="167"/>
      <c r="AD272" s="167"/>
      <c r="AE272" s="2"/>
      <c r="AF272" s="2"/>
      <c r="AG272" s="2"/>
      <c r="AH272" s="2"/>
      <c r="AI272" s="2"/>
    </row>
    <row r="273" spans="1:35" customFormat="1" x14ac:dyDescent="0.25">
      <c r="A273" s="166"/>
      <c r="B273" s="1"/>
      <c r="C273" s="1"/>
      <c r="D273" s="4"/>
      <c r="E273" s="4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4"/>
      <c r="AB273" s="1"/>
      <c r="AC273" s="167"/>
      <c r="AD273" s="167"/>
      <c r="AE273" s="2"/>
      <c r="AF273" s="2"/>
      <c r="AG273" s="2"/>
      <c r="AH273" s="2"/>
      <c r="AI273" s="2"/>
    </row>
    <row r="274" spans="1:35" customFormat="1" x14ac:dyDescent="0.25">
      <c r="A274" s="166"/>
      <c r="B274" s="1"/>
      <c r="C274" s="1"/>
      <c r="D274" s="4"/>
      <c r="E274" s="4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4"/>
      <c r="AB274" s="1"/>
      <c r="AC274" s="167"/>
      <c r="AD274" s="167"/>
      <c r="AE274" s="2"/>
      <c r="AF274" s="2"/>
      <c r="AG274" s="2"/>
      <c r="AH274" s="2"/>
      <c r="AI274" s="2"/>
    </row>
    <row r="275" spans="1:35" customFormat="1" x14ac:dyDescent="0.25">
      <c r="A275" s="166"/>
      <c r="B275" s="1"/>
      <c r="C275" s="1"/>
      <c r="D275" s="4"/>
      <c r="E275" s="4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4"/>
      <c r="AB275" s="1"/>
      <c r="AC275" s="167"/>
      <c r="AD275" s="167"/>
      <c r="AE275" s="2"/>
      <c r="AF275" s="2"/>
      <c r="AG275" s="2"/>
      <c r="AH275" s="2"/>
      <c r="AI275" s="2"/>
    </row>
    <row r="276" spans="1:35" customFormat="1" x14ac:dyDescent="0.25">
      <c r="A276" s="166"/>
      <c r="B276" s="1"/>
      <c r="C276" s="1"/>
      <c r="D276" s="4"/>
      <c r="E276" s="4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4"/>
      <c r="AB276" s="1"/>
      <c r="AC276" s="167"/>
      <c r="AD276" s="167"/>
      <c r="AE276" s="2"/>
      <c r="AF276" s="2"/>
      <c r="AG276" s="2"/>
      <c r="AH276" s="2"/>
      <c r="AI276" s="2"/>
    </row>
    <row r="277" spans="1:35" customFormat="1" x14ac:dyDescent="0.25">
      <c r="A277" s="166"/>
      <c r="B277" s="1"/>
      <c r="C277" s="1"/>
      <c r="D277" s="4"/>
      <c r="E277" s="4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4"/>
      <c r="AB277" s="1"/>
      <c r="AC277" s="167"/>
      <c r="AD277" s="167"/>
      <c r="AE277" s="2"/>
      <c r="AF277" s="2"/>
      <c r="AG277" s="2"/>
      <c r="AH277" s="2"/>
      <c r="AI277" s="2"/>
    </row>
    <row r="278" spans="1:35" customFormat="1" x14ac:dyDescent="0.25">
      <c r="A278" s="166"/>
      <c r="B278" s="1"/>
      <c r="C278" s="1"/>
      <c r="D278" s="4"/>
      <c r="E278" s="4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4"/>
      <c r="AB278" s="1"/>
      <c r="AC278" s="167"/>
      <c r="AD278" s="167"/>
      <c r="AE278" s="2"/>
      <c r="AF278" s="2"/>
      <c r="AG278" s="2"/>
      <c r="AH278" s="2"/>
      <c r="AI278" s="2"/>
    </row>
    <row r="279" spans="1:35" customFormat="1" x14ac:dyDescent="0.25">
      <c r="A279" s="166"/>
      <c r="B279" s="1"/>
      <c r="C279" s="1"/>
      <c r="D279" s="4"/>
      <c r="E279" s="4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4"/>
      <c r="AB279" s="1"/>
      <c r="AC279" s="167"/>
      <c r="AD279" s="167"/>
      <c r="AE279" s="2"/>
      <c r="AF279" s="2"/>
      <c r="AG279" s="2"/>
      <c r="AH279" s="2"/>
      <c r="AI279" s="2"/>
    </row>
    <row r="280" spans="1:35" customFormat="1" x14ac:dyDescent="0.25">
      <c r="A280" s="166"/>
      <c r="B280" s="1"/>
      <c r="C280" s="1"/>
      <c r="D280" s="4"/>
      <c r="E280" s="4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4"/>
      <c r="AB280" s="1"/>
      <c r="AC280" s="167"/>
      <c r="AD280" s="167"/>
      <c r="AE280" s="2"/>
      <c r="AF280" s="2"/>
      <c r="AG280" s="2"/>
      <c r="AH280" s="2"/>
      <c r="AI280" s="2"/>
    </row>
    <row r="281" spans="1:35" customFormat="1" x14ac:dyDescent="0.25">
      <c r="A281" s="166"/>
      <c r="B281" s="1"/>
      <c r="C281" s="1"/>
      <c r="D281" s="4"/>
      <c r="E281" s="4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4"/>
      <c r="AB281" s="1"/>
      <c r="AC281" s="167"/>
      <c r="AD281" s="167"/>
      <c r="AE281" s="2"/>
      <c r="AF281" s="2"/>
      <c r="AG281" s="2"/>
      <c r="AH281" s="2"/>
      <c r="AI281" s="2"/>
    </row>
    <row r="282" spans="1:35" customFormat="1" x14ac:dyDescent="0.25">
      <c r="A282" s="166"/>
      <c r="B282" s="1"/>
      <c r="C282" s="1"/>
      <c r="D282" s="4"/>
      <c r="E282" s="4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4"/>
      <c r="AB282" s="1"/>
      <c r="AC282" s="167"/>
      <c r="AD282" s="167"/>
      <c r="AE282" s="2"/>
      <c r="AF282" s="2"/>
      <c r="AG282" s="2"/>
      <c r="AH282" s="2"/>
      <c r="AI282" s="2"/>
    </row>
    <row r="283" spans="1:35" customFormat="1" x14ac:dyDescent="0.25">
      <c r="A283" s="166"/>
      <c r="B283" s="1"/>
      <c r="C283" s="1"/>
      <c r="D283" s="4"/>
      <c r="E283" s="4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4"/>
      <c r="AB283" s="1"/>
      <c r="AC283" s="167"/>
      <c r="AD283" s="167"/>
      <c r="AE283" s="2"/>
      <c r="AF283" s="2"/>
      <c r="AG283" s="2"/>
      <c r="AH283" s="2"/>
      <c r="AI283" s="2"/>
    </row>
    <row r="284" spans="1:35" customFormat="1" x14ac:dyDescent="0.25">
      <c r="A284" s="166"/>
      <c r="B284" s="1"/>
      <c r="C284" s="1"/>
      <c r="D284" s="4"/>
      <c r="E284" s="4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4"/>
      <c r="AB284" s="1"/>
      <c r="AC284" s="167"/>
      <c r="AD284" s="167"/>
      <c r="AE284" s="2"/>
      <c r="AF284" s="2"/>
      <c r="AG284" s="2"/>
      <c r="AH284" s="2"/>
      <c r="AI284" s="2"/>
    </row>
    <row r="285" spans="1:35" customFormat="1" x14ac:dyDescent="0.25">
      <c r="A285" s="166"/>
      <c r="B285" s="1"/>
      <c r="C285" s="1"/>
      <c r="D285" s="4"/>
      <c r="E285" s="4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4"/>
      <c r="AB285" s="1"/>
      <c r="AC285" s="167"/>
      <c r="AD285" s="167"/>
      <c r="AE285" s="2"/>
      <c r="AF285" s="2"/>
      <c r="AG285" s="2"/>
      <c r="AH285" s="2"/>
      <c r="AI285" s="2"/>
    </row>
    <row r="286" spans="1:35" customFormat="1" x14ac:dyDescent="0.25">
      <c r="A286" s="166"/>
      <c r="B286" s="1"/>
      <c r="C286" s="1"/>
      <c r="D286" s="4"/>
      <c r="E286" s="4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4"/>
      <c r="AB286" s="1"/>
      <c r="AC286" s="167"/>
      <c r="AD286" s="167"/>
      <c r="AE286" s="2"/>
      <c r="AF286" s="2"/>
      <c r="AG286" s="2"/>
      <c r="AH286" s="2"/>
      <c r="AI286" s="2"/>
    </row>
    <row r="287" spans="1:35" customFormat="1" x14ac:dyDescent="0.25">
      <c r="A287" s="166"/>
      <c r="B287" s="1"/>
      <c r="C287" s="1"/>
      <c r="D287" s="4"/>
      <c r="E287" s="4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4"/>
      <c r="AB287" s="1"/>
      <c r="AC287" s="167"/>
      <c r="AD287" s="167"/>
      <c r="AE287" s="2"/>
      <c r="AF287" s="2"/>
      <c r="AG287" s="2"/>
      <c r="AH287" s="2"/>
      <c r="AI287" s="2"/>
    </row>
    <row r="288" spans="1:35" customFormat="1" x14ac:dyDescent="0.25">
      <c r="A288" s="166"/>
      <c r="B288" s="1"/>
      <c r="C288" s="1"/>
      <c r="D288" s="4"/>
      <c r="E288" s="4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4"/>
      <c r="AB288" s="1"/>
      <c r="AC288" s="167"/>
      <c r="AD288" s="167"/>
      <c r="AE288" s="2"/>
      <c r="AF288" s="2"/>
      <c r="AG288" s="2"/>
      <c r="AH288" s="2"/>
      <c r="AI288" s="2"/>
    </row>
    <row r="289" spans="1:35" customFormat="1" x14ac:dyDescent="0.25">
      <c r="A289" s="166"/>
      <c r="B289" s="1"/>
      <c r="C289" s="1"/>
      <c r="D289" s="4"/>
      <c r="E289" s="4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4"/>
      <c r="AB289" s="1"/>
      <c r="AC289" s="167"/>
      <c r="AD289" s="167"/>
      <c r="AE289" s="2"/>
      <c r="AF289" s="2"/>
      <c r="AG289" s="2"/>
      <c r="AH289" s="2"/>
      <c r="AI289" s="2"/>
    </row>
    <row r="290" spans="1:35" customFormat="1" x14ac:dyDescent="0.25">
      <c r="A290" s="166"/>
      <c r="B290" s="1"/>
      <c r="C290" s="1"/>
      <c r="D290" s="4"/>
      <c r="E290" s="4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4"/>
      <c r="AB290" s="1"/>
      <c r="AC290" s="167"/>
      <c r="AD290" s="167"/>
      <c r="AE290" s="2"/>
      <c r="AF290" s="2"/>
      <c r="AG290" s="2"/>
      <c r="AH290" s="2"/>
      <c r="AI290" s="2"/>
    </row>
    <row r="291" spans="1:35" customFormat="1" x14ac:dyDescent="0.25">
      <c r="A291" s="166"/>
      <c r="B291" s="1"/>
      <c r="C291" s="1"/>
      <c r="D291" s="4"/>
      <c r="E291" s="4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4"/>
      <c r="AB291" s="1"/>
      <c r="AC291" s="167"/>
      <c r="AD291" s="167"/>
      <c r="AE291" s="2"/>
      <c r="AF291" s="2"/>
      <c r="AG291" s="2"/>
      <c r="AH291" s="2"/>
      <c r="AI291" s="2"/>
    </row>
    <row r="292" spans="1:35" customFormat="1" x14ac:dyDescent="0.25">
      <c r="A292" s="166"/>
      <c r="B292" s="1"/>
      <c r="C292" s="1"/>
      <c r="D292" s="4"/>
      <c r="E292" s="4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4"/>
      <c r="AB292" s="1"/>
      <c r="AC292" s="167"/>
      <c r="AD292" s="167"/>
      <c r="AE292" s="2"/>
      <c r="AF292" s="2"/>
      <c r="AG292" s="2"/>
      <c r="AH292" s="2"/>
      <c r="AI292" s="2"/>
    </row>
    <row r="293" spans="1:35" customFormat="1" x14ac:dyDescent="0.25">
      <c r="A293" s="166"/>
      <c r="B293" s="1"/>
      <c r="C293" s="1"/>
      <c r="D293" s="4"/>
      <c r="E293" s="4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4"/>
      <c r="AB293" s="1"/>
      <c r="AC293" s="167"/>
      <c r="AD293" s="167"/>
      <c r="AE293" s="2"/>
      <c r="AF293" s="2"/>
      <c r="AG293" s="2"/>
      <c r="AH293" s="2"/>
      <c r="AI293" s="2"/>
    </row>
    <row r="294" spans="1:35" customFormat="1" x14ac:dyDescent="0.25">
      <c r="A294" s="166"/>
      <c r="B294" s="1"/>
      <c r="C294" s="1"/>
      <c r="D294" s="4"/>
      <c r="E294" s="4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4"/>
      <c r="AB294" s="1"/>
      <c r="AC294" s="167"/>
      <c r="AD294" s="167"/>
      <c r="AE294" s="2"/>
      <c r="AF294" s="2"/>
      <c r="AG294" s="2"/>
      <c r="AH294" s="2"/>
      <c r="AI294" s="2"/>
    </row>
    <row r="295" spans="1:35" customFormat="1" x14ac:dyDescent="0.25">
      <c r="A295" s="166"/>
      <c r="B295" s="1"/>
      <c r="C295" s="1"/>
      <c r="D295" s="4"/>
      <c r="E295" s="4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4"/>
      <c r="AB295" s="1"/>
      <c r="AC295" s="167"/>
      <c r="AD295" s="167"/>
      <c r="AE295" s="2"/>
      <c r="AF295" s="2"/>
      <c r="AG295" s="2"/>
      <c r="AH295" s="2"/>
      <c r="AI295" s="2"/>
    </row>
    <row r="296" spans="1:35" customFormat="1" x14ac:dyDescent="0.25">
      <c r="A296" s="166"/>
      <c r="B296" s="1"/>
      <c r="C296" s="1"/>
      <c r="D296" s="4"/>
      <c r="E296" s="4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4"/>
      <c r="AB296" s="1"/>
      <c r="AC296" s="167"/>
      <c r="AD296" s="167"/>
      <c r="AE296" s="2"/>
      <c r="AF296" s="2"/>
      <c r="AG296" s="2"/>
      <c r="AH296" s="2"/>
      <c r="AI296" s="2"/>
    </row>
    <row r="297" spans="1:35" customFormat="1" x14ac:dyDescent="0.25">
      <c r="A297" s="166"/>
      <c r="B297" s="1"/>
      <c r="C297" s="1"/>
      <c r="D297" s="4"/>
      <c r="E297" s="4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4"/>
      <c r="AB297" s="1"/>
      <c r="AC297" s="167"/>
      <c r="AD297" s="167"/>
      <c r="AE297" s="2"/>
      <c r="AF297" s="2"/>
      <c r="AG297" s="2"/>
      <c r="AH297" s="2"/>
      <c r="AI297" s="2"/>
    </row>
    <row r="298" spans="1:35" customFormat="1" x14ac:dyDescent="0.25">
      <c r="A298" s="166"/>
      <c r="B298" s="1"/>
      <c r="C298" s="1"/>
      <c r="D298" s="4"/>
      <c r="E298" s="4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4"/>
      <c r="AB298" s="1"/>
      <c r="AC298" s="167"/>
      <c r="AD298" s="167"/>
      <c r="AE298" s="2"/>
      <c r="AF298" s="2"/>
      <c r="AG298" s="2"/>
      <c r="AH298" s="2"/>
      <c r="AI298" s="2"/>
    </row>
    <row r="299" spans="1:35" customFormat="1" x14ac:dyDescent="0.25">
      <c r="A299" s="166"/>
      <c r="B299" s="1"/>
      <c r="C299" s="1"/>
      <c r="D299" s="4"/>
      <c r="E299" s="4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4"/>
      <c r="AB299" s="1"/>
      <c r="AC299" s="167"/>
      <c r="AD299" s="167"/>
      <c r="AE299" s="2"/>
      <c r="AF299" s="2"/>
      <c r="AG299" s="2"/>
      <c r="AH299" s="2"/>
      <c r="AI299" s="2"/>
    </row>
    <row r="300" spans="1:35" customFormat="1" x14ac:dyDescent="0.25">
      <c r="A300" s="166"/>
      <c r="B300" s="1"/>
      <c r="C300" s="1"/>
      <c r="D300" s="4"/>
      <c r="E300" s="4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4"/>
      <c r="AB300" s="1"/>
      <c r="AC300" s="167"/>
      <c r="AD300" s="167"/>
      <c r="AE300" s="2"/>
      <c r="AF300" s="2"/>
      <c r="AG300" s="2"/>
      <c r="AH300" s="2"/>
      <c r="AI300" s="2"/>
    </row>
    <row r="301" spans="1:35" customFormat="1" x14ac:dyDescent="0.25">
      <c r="A301" s="166"/>
      <c r="B301" s="1"/>
      <c r="C301" s="1"/>
      <c r="D301" s="4"/>
      <c r="E301" s="4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4"/>
      <c r="AB301" s="1"/>
      <c r="AC301" s="167"/>
      <c r="AD301" s="167"/>
      <c r="AE301" s="2"/>
      <c r="AF301" s="2"/>
      <c r="AG301" s="2"/>
      <c r="AH301" s="2"/>
      <c r="AI301" s="2"/>
    </row>
    <row r="302" spans="1:35" customFormat="1" x14ac:dyDescent="0.25">
      <c r="A302" s="166"/>
      <c r="B302" s="1"/>
      <c r="C302" s="1"/>
      <c r="D302" s="4"/>
      <c r="E302" s="4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4"/>
      <c r="AB302" s="1"/>
      <c r="AC302" s="167"/>
      <c r="AD302" s="167"/>
      <c r="AE302" s="2"/>
      <c r="AF302" s="2"/>
      <c r="AG302" s="2"/>
      <c r="AH302" s="2"/>
      <c r="AI302" s="2"/>
    </row>
    <row r="303" spans="1:35" customFormat="1" x14ac:dyDescent="0.25">
      <c r="A303" s="166"/>
      <c r="B303" s="1"/>
      <c r="C303" s="1"/>
      <c r="D303" s="4"/>
      <c r="E303" s="4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4"/>
      <c r="AB303" s="1"/>
      <c r="AC303" s="167"/>
      <c r="AD303" s="167"/>
      <c r="AE303" s="2"/>
      <c r="AF303" s="2"/>
      <c r="AG303" s="2"/>
      <c r="AH303" s="2"/>
      <c r="AI303" s="2"/>
    </row>
    <row r="304" spans="1:35" customFormat="1" x14ac:dyDescent="0.25">
      <c r="A304" s="166"/>
      <c r="B304" s="1"/>
      <c r="C304" s="1"/>
      <c r="D304" s="4"/>
      <c r="E304" s="4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4"/>
      <c r="AB304" s="1"/>
      <c r="AC304" s="167"/>
      <c r="AD304" s="167"/>
      <c r="AE304" s="2"/>
      <c r="AF304" s="2"/>
      <c r="AG304" s="2"/>
      <c r="AH304" s="2"/>
      <c r="AI304" s="2"/>
    </row>
    <row r="305" spans="1:35" customFormat="1" x14ac:dyDescent="0.25">
      <c r="A305" s="166"/>
      <c r="B305" s="1"/>
      <c r="C305" s="1"/>
      <c r="D305" s="4"/>
      <c r="E305" s="4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4"/>
      <c r="AB305" s="1"/>
      <c r="AC305" s="167"/>
      <c r="AD305" s="167"/>
      <c r="AE305" s="2"/>
      <c r="AF305" s="2"/>
      <c r="AG305" s="2"/>
      <c r="AH305" s="2"/>
      <c r="AI305" s="2"/>
    </row>
    <row r="306" spans="1:35" customFormat="1" x14ac:dyDescent="0.25">
      <c r="A306" s="166"/>
      <c r="B306" s="1"/>
      <c r="C306" s="1"/>
      <c r="D306" s="4"/>
      <c r="E306" s="4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4"/>
      <c r="AB306" s="1"/>
      <c r="AC306" s="167"/>
      <c r="AD306" s="167"/>
      <c r="AE306" s="2"/>
      <c r="AF306" s="2"/>
      <c r="AG306" s="2"/>
      <c r="AH306" s="2"/>
      <c r="AI306" s="2"/>
    </row>
    <row r="307" spans="1:35" customFormat="1" x14ac:dyDescent="0.25">
      <c r="A307" s="166"/>
      <c r="B307" s="1"/>
      <c r="C307" s="1"/>
      <c r="D307" s="4"/>
      <c r="E307" s="4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4"/>
      <c r="AB307" s="1"/>
      <c r="AC307" s="167"/>
      <c r="AD307" s="167"/>
      <c r="AE307" s="2"/>
      <c r="AF307" s="2"/>
      <c r="AG307" s="2"/>
      <c r="AH307" s="2"/>
      <c r="AI307" s="2"/>
    </row>
    <row r="308" spans="1:35" customFormat="1" x14ac:dyDescent="0.25">
      <c r="A308" s="166"/>
      <c r="B308" s="1"/>
      <c r="C308" s="1"/>
      <c r="D308" s="4"/>
      <c r="E308" s="4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4"/>
      <c r="AB308" s="1"/>
      <c r="AC308" s="167"/>
      <c r="AD308" s="167"/>
      <c r="AE308" s="2"/>
      <c r="AF308" s="2"/>
      <c r="AG308" s="2"/>
      <c r="AH308" s="2"/>
      <c r="AI308" s="2"/>
    </row>
    <row r="309" spans="1:35" customFormat="1" x14ac:dyDescent="0.25">
      <c r="A309" s="166"/>
      <c r="B309" s="1"/>
      <c r="C309" s="1"/>
      <c r="D309" s="4"/>
      <c r="E309" s="4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4"/>
      <c r="AB309" s="1"/>
      <c r="AC309" s="167"/>
      <c r="AD309" s="167"/>
      <c r="AE309" s="2"/>
      <c r="AF309" s="2"/>
      <c r="AG309" s="2"/>
      <c r="AH309" s="2"/>
      <c r="AI309" s="2"/>
    </row>
    <row r="310" spans="1:35" customFormat="1" x14ac:dyDescent="0.25">
      <c r="A310" s="166"/>
      <c r="B310" s="1"/>
      <c r="C310" s="1"/>
      <c r="D310" s="4"/>
      <c r="E310" s="4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4"/>
      <c r="AB310" s="1"/>
      <c r="AC310" s="167"/>
      <c r="AD310" s="167"/>
      <c r="AE310" s="2"/>
      <c r="AF310" s="2"/>
      <c r="AG310" s="2"/>
      <c r="AH310" s="2"/>
      <c r="AI310" s="2"/>
    </row>
    <row r="311" spans="1:35" customFormat="1" x14ac:dyDescent="0.25">
      <c r="A311" s="166"/>
      <c r="B311" s="1"/>
      <c r="C311" s="1"/>
      <c r="D311" s="4"/>
      <c r="E311" s="4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4"/>
      <c r="AB311" s="1"/>
      <c r="AC311" s="167"/>
      <c r="AD311" s="167"/>
      <c r="AE311" s="2"/>
      <c r="AF311" s="2"/>
      <c r="AG311" s="2"/>
      <c r="AH311" s="2"/>
      <c r="AI311" s="2"/>
    </row>
    <row r="312" spans="1:35" customFormat="1" x14ac:dyDescent="0.25">
      <c r="A312" s="166"/>
      <c r="B312" s="1"/>
      <c r="C312" s="1"/>
      <c r="D312" s="4"/>
      <c r="E312" s="4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4"/>
      <c r="AB312" s="1"/>
      <c r="AC312" s="167"/>
      <c r="AD312" s="167"/>
      <c r="AE312" s="2"/>
      <c r="AF312" s="2"/>
      <c r="AG312" s="2"/>
      <c r="AH312" s="2"/>
      <c r="AI312" s="2"/>
    </row>
    <row r="313" spans="1:35" customFormat="1" x14ac:dyDescent="0.25">
      <c r="A313" s="166"/>
      <c r="B313" s="1"/>
      <c r="C313" s="1"/>
      <c r="D313" s="4"/>
      <c r="E313" s="4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4"/>
      <c r="AB313" s="1"/>
      <c r="AC313" s="167"/>
      <c r="AD313" s="167"/>
      <c r="AE313" s="2"/>
      <c r="AF313" s="2"/>
      <c r="AG313" s="2"/>
      <c r="AH313" s="2"/>
      <c r="AI313" s="2"/>
    </row>
    <row r="314" spans="1:35" customFormat="1" x14ac:dyDescent="0.25">
      <c r="A314" s="166"/>
      <c r="B314" s="1"/>
      <c r="C314" s="1"/>
      <c r="D314" s="4"/>
      <c r="E314" s="4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4"/>
      <c r="AB314" s="1"/>
      <c r="AC314" s="167"/>
      <c r="AD314" s="167"/>
      <c r="AE314" s="2"/>
      <c r="AF314" s="2"/>
      <c r="AG314" s="2"/>
      <c r="AH314" s="2"/>
      <c r="AI314" s="2"/>
    </row>
    <row r="315" spans="1:35" customFormat="1" x14ac:dyDescent="0.25">
      <c r="A315" s="166"/>
      <c r="B315" s="1"/>
      <c r="C315" s="1"/>
      <c r="D315" s="4"/>
      <c r="E315" s="4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4"/>
      <c r="AB315" s="1"/>
      <c r="AC315" s="167"/>
      <c r="AD315" s="167"/>
      <c r="AE315" s="2"/>
      <c r="AF315" s="2"/>
      <c r="AG315" s="2"/>
      <c r="AH315" s="2"/>
      <c r="AI315" s="2"/>
    </row>
    <row r="316" spans="1:35" customFormat="1" x14ac:dyDescent="0.25">
      <c r="A316" s="166"/>
      <c r="B316" s="1"/>
      <c r="C316" s="1"/>
      <c r="D316" s="4"/>
      <c r="E316" s="4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4"/>
      <c r="AB316" s="1"/>
      <c r="AC316" s="167"/>
      <c r="AD316" s="167"/>
      <c r="AE316" s="2"/>
      <c r="AF316" s="2"/>
      <c r="AG316" s="2"/>
      <c r="AH316" s="2"/>
      <c r="AI316" s="2"/>
    </row>
    <row r="317" spans="1:35" customFormat="1" x14ac:dyDescent="0.25">
      <c r="A317" s="166"/>
      <c r="B317" s="1"/>
      <c r="C317" s="1"/>
      <c r="D317" s="4"/>
      <c r="E317" s="4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4"/>
      <c r="AB317" s="1"/>
      <c r="AC317" s="167"/>
      <c r="AD317" s="167"/>
      <c r="AE317" s="2"/>
      <c r="AF317" s="2"/>
      <c r="AG317" s="2"/>
      <c r="AH317" s="2"/>
      <c r="AI317" s="2"/>
    </row>
    <row r="318" spans="1:35" customFormat="1" x14ac:dyDescent="0.25">
      <c r="A318" s="166"/>
      <c r="B318" s="1"/>
      <c r="C318" s="1"/>
      <c r="D318" s="4"/>
      <c r="E318" s="4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4"/>
      <c r="AB318" s="1"/>
      <c r="AC318" s="167"/>
      <c r="AD318" s="167"/>
      <c r="AE318" s="2"/>
      <c r="AF318" s="2"/>
      <c r="AG318" s="2"/>
      <c r="AH318" s="2"/>
      <c r="AI318" s="2"/>
    </row>
    <row r="319" spans="1:35" customFormat="1" x14ac:dyDescent="0.25">
      <c r="A319" s="166"/>
      <c r="B319" s="1"/>
      <c r="C319" s="1"/>
      <c r="D319" s="4"/>
      <c r="E319" s="4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4"/>
      <c r="AB319" s="1"/>
      <c r="AC319" s="167"/>
      <c r="AD319" s="167"/>
      <c r="AE319" s="2"/>
      <c r="AF319" s="2"/>
      <c r="AG319" s="2"/>
      <c r="AH319" s="2"/>
      <c r="AI319" s="2"/>
    </row>
    <row r="320" spans="1:35" customFormat="1" x14ac:dyDescent="0.25">
      <c r="A320" s="166"/>
      <c r="B320" s="1"/>
      <c r="C320" s="1"/>
      <c r="D320" s="4"/>
      <c r="E320" s="4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4"/>
      <c r="AB320" s="1"/>
      <c r="AC320" s="167"/>
      <c r="AD320" s="167"/>
      <c r="AE320" s="2"/>
      <c r="AF320" s="2"/>
      <c r="AG320" s="2"/>
      <c r="AH320" s="2"/>
      <c r="AI320" s="2"/>
    </row>
    <row r="321" spans="1:35" customFormat="1" x14ac:dyDescent="0.25">
      <c r="A321" s="166"/>
      <c r="B321" s="1"/>
      <c r="C321" s="1"/>
      <c r="D321" s="4"/>
      <c r="E321" s="4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4"/>
      <c r="AB321" s="1"/>
      <c r="AC321" s="167"/>
      <c r="AD321" s="167"/>
      <c r="AE321" s="2"/>
      <c r="AF321" s="2"/>
      <c r="AG321" s="2"/>
      <c r="AH321" s="2"/>
      <c r="AI321" s="2"/>
    </row>
    <row r="322" spans="1:35" customFormat="1" x14ac:dyDescent="0.25">
      <c r="A322" s="166"/>
      <c r="B322" s="1"/>
      <c r="C322" s="1"/>
      <c r="D322" s="4"/>
      <c r="E322" s="4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4"/>
      <c r="AB322" s="1"/>
      <c r="AC322" s="167"/>
      <c r="AD322" s="167"/>
      <c r="AE322" s="2"/>
      <c r="AF322" s="2"/>
      <c r="AG322" s="2"/>
      <c r="AH322" s="2"/>
      <c r="AI322" s="2"/>
    </row>
    <row r="323" spans="1:35" customFormat="1" x14ac:dyDescent="0.25">
      <c r="A323" s="166"/>
      <c r="B323" s="1"/>
      <c r="C323" s="1"/>
      <c r="D323" s="4"/>
      <c r="E323" s="4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4"/>
      <c r="AB323" s="1"/>
      <c r="AC323" s="167"/>
      <c r="AD323" s="167"/>
      <c r="AE323" s="2"/>
      <c r="AF323" s="2"/>
      <c r="AG323" s="2"/>
      <c r="AH323" s="2"/>
      <c r="AI323" s="2"/>
    </row>
    <row r="324" spans="1:35" customFormat="1" x14ac:dyDescent="0.25">
      <c r="A324" s="166"/>
      <c r="B324" s="1"/>
      <c r="C324" s="1"/>
      <c r="D324" s="4"/>
      <c r="E324" s="4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4"/>
      <c r="AB324" s="1"/>
      <c r="AC324" s="167"/>
      <c r="AD324" s="167"/>
      <c r="AE324" s="2"/>
      <c r="AF324" s="2"/>
      <c r="AG324" s="2"/>
      <c r="AH324" s="2"/>
      <c r="AI324" s="2"/>
    </row>
    <row r="325" spans="1:35" customFormat="1" x14ac:dyDescent="0.25">
      <c r="A325" s="166"/>
      <c r="B325" s="1"/>
      <c r="C325" s="1"/>
      <c r="D325" s="4"/>
      <c r="E325" s="4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4"/>
      <c r="AB325" s="1"/>
      <c r="AC325" s="167"/>
      <c r="AD325" s="167"/>
      <c r="AE325" s="2"/>
      <c r="AF325" s="2"/>
      <c r="AG325" s="2"/>
      <c r="AH325" s="2"/>
      <c r="AI325" s="2"/>
    </row>
    <row r="326" spans="1:35" customFormat="1" x14ac:dyDescent="0.25">
      <c r="A326" s="166"/>
      <c r="B326" s="1"/>
      <c r="C326" s="1"/>
      <c r="D326" s="4"/>
      <c r="E326" s="4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4"/>
      <c r="AB326" s="1"/>
      <c r="AC326" s="167"/>
      <c r="AD326" s="167"/>
      <c r="AE326" s="2"/>
      <c r="AF326" s="2"/>
      <c r="AG326" s="2"/>
      <c r="AH326" s="2"/>
      <c r="AI326" s="2"/>
    </row>
    <row r="327" spans="1:35" customFormat="1" x14ac:dyDescent="0.25">
      <c r="A327" s="166"/>
      <c r="B327" s="1"/>
      <c r="C327" s="1"/>
      <c r="D327" s="4"/>
      <c r="E327" s="4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4"/>
      <c r="AB327" s="1"/>
      <c r="AC327" s="167"/>
      <c r="AD327" s="167"/>
      <c r="AE327" s="2"/>
      <c r="AF327" s="2"/>
      <c r="AG327" s="2"/>
      <c r="AH327" s="2"/>
      <c r="AI327" s="2"/>
    </row>
    <row r="328" spans="1:35" customFormat="1" x14ac:dyDescent="0.25">
      <c r="A328" s="166"/>
      <c r="B328" s="1"/>
      <c r="C328" s="1"/>
      <c r="D328" s="4"/>
      <c r="E328" s="4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4"/>
      <c r="AB328" s="1"/>
      <c r="AC328" s="167"/>
      <c r="AD328" s="167"/>
      <c r="AE328" s="2"/>
      <c r="AF328" s="2"/>
      <c r="AG328" s="2"/>
      <c r="AH328" s="2"/>
      <c r="AI328" s="2"/>
    </row>
    <row r="329" spans="1:35" customFormat="1" x14ac:dyDescent="0.25">
      <c r="A329" s="166"/>
      <c r="B329" s="1"/>
      <c r="C329" s="1"/>
      <c r="D329" s="4"/>
      <c r="E329" s="4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4"/>
      <c r="AB329" s="1"/>
      <c r="AC329" s="167"/>
      <c r="AD329" s="167"/>
      <c r="AE329" s="2"/>
      <c r="AF329" s="2"/>
      <c r="AG329" s="2"/>
      <c r="AH329" s="2"/>
      <c r="AI329" s="2"/>
    </row>
    <row r="330" spans="1:35" customFormat="1" x14ac:dyDescent="0.25">
      <c r="A330" s="166"/>
      <c r="B330" s="1"/>
      <c r="C330" s="1"/>
      <c r="D330" s="4"/>
      <c r="E330" s="4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4"/>
      <c r="AB330" s="1"/>
      <c r="AC330" s="167"/>
      <c r="AD330" s="167"/>
      <c r="AE330" s="2"/>
      <c r="AF330" s="2"/>
      <c r="AG330" s="2"/>
      <c r="AH330" s="2"/>
      <c r="AI330" s="2"/>
    </row>
    <row r="331" spans="1:35" customFormat="1" x14ac:dyDescent="0.25">
      <c r="A331" s="166"/>
      <c r="B331" s="1"/>
      <c r="C331" s="1"/>
      <c r="D331" s="4"/>
      <c r="E331" s="4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4"/>
      <c r="AB331" s="1"/>
      <c r="AC331" s="167"/>
      <c r="AD331" s="167"/>
      <c r="AE331" s="2"/>
      <c r="AF331" s="2"/>
      <c r="AG331" s="2"/>
      <c r="AH331" s="2"/>
      <c r="AI331" s="2"/>
    </row>
    <row r="332" spans="1:35" customFormat="1" x14ac:dyDescent="0.25">
      <c r="A332" s="166"/>
      <c r="B332" s="1"/>
      <c r="C332" s="1"/>
      <c r="D332" s="4"/>
      <c r="E332" s="4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4"/>
      <c r="AB332" s="1"/>
      <c r="AC332" s="167"/>
      <c r="AD332" s="167"/>
      <c r="AE332" s="2"/>
      <c r="AF332" s="2"/>
      <c r="AG332" s="2"/>
      <c r="AH332" s="2"/>
      <c r="AI332" s="2"/>
    </row>
    <row r="333" spans="1:35" customFormat="1" x14ac:dyDescent="0.25">
      <c r="A333" s="166"/>
      <c r="B333" s="1"/>
      <c r="C333" s="1"/>
      <c r="D333" s="4"/>
      <c r="E333" s="4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4"/>
      <c r="AB333" s="1"/>
      <c r="AC333" s="167"/>
      <c r="AD333" s="167"/>
      <c r="AE333" s="2"/>
      <c r="AF333" s="2"/>
      <c r="AG333" s="2"/>
      <c r="AH333" s="2"/>
      <c r="AI333" s="2"/>
    </row>
    <row r="334" spans="1:35" customFormat="1" x14ac:dyDescent="0.25">
      <c r="A334" s="166"/>
      <c r="B334" s="1"/>
      <c r="C334" s="1"/>
      <c r="D334" s="4"/>
      <c r="E334" s="4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4"/>
      <c r="AB334" s="1"/>
      <c r="AC334" s="167"/>
      <c r="AD334" s="167"/>
      <c r="AE334" s="2"/>
      <c r="AF334" s="2"/>
      <c r="AG334" s="2"/>
      <c r="AH334" s="2"/>
      <c r="AI334" s="2"/>
    </row>
    <row r="335" spans="1:35" customFormat="1" x14ac:dyDescent="0.25">
      <c r="A335" s="166"/>
      <c r="B335" s="1"/>
      <c r="C335" s="1"/>
      <c r="D335" s="4"/>
      <c r="E335" s="4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4"/>
      <c r="AB335" s="1"/>
      <c r="AC335" s="167"/>
      <c r="AD335" s="167"/>
      <c r="AE335" s="2"/>
      <c r="AF335" s="2"/>
      <c r="AG335" s="2"/>
      <c r="AH335" s="2"/>
      <c r="AI335" s="2"/>
    </row>
    <row r="336" spans="1:35" customFormat="1" x14ac:dyDescent="0.25">
      <c r="A336" s="166"/>
      <c r="B336" s="1"/>
      <c r="C336" s="1"/>
      <c r="D336" s="4"/>
      <c r="E336" s="4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4"/>
      <c r="AB336" s="1"/>
      <c r="AC336" s="167"/>
      <c r="AD336" s="167"/>
      <c r="AE336" s="2"/>
      <c r="AF336" s="2"/>
      <c r="AG336" s="2"/>
      <c r="AH336" s="2"/>
      <c r="AI336" s="2"/>
    </row>
    <row r="337" spans="1:35" customFormat="1" x14ac:dyDescent="0.25">
      <c r="A337" s="166"/>
      <c r="B337" s="1"/>
      <c r="C337" s="1"/>
      <c r="D337" s="4"/>
      <c r="E337" s="4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4"/>
      <c r="AB337" s="1"/>
      <c r="AC337" s="167"/>
      <c r="AD337" s="167"/>
      <c r="AE337" s="2"/>
      <c r="AF337" s="2"/>
      <c r="AG337" s="2"/>
      <c r="AH337" s="2"/>
      <c r="AI337" s="2"/>
    </row>
    <row r="338" spans="1:35" customFormat="1" x14ac:dyDescent="0.25">
      <c r="A338" s="166"/>
      <c r="B338" s="1"/>
      <c r="C338" s="1"/>
      <c r="D338" s="4"/>
      <c r="E338" s="4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4"/>
      <c r="AB338" s="1"/>
      <c r="AC338" s="167"/>
      <c r="AD338" s="167"/>
      <c r="AE338" s="2"/>
      <c r="AF338" s="2"/>
      <c r="AG338" s="2"/>
      <c r="AH338" s="2"/>
      <c r="AI338" s="2"/>
    </row>
    <row r="339" spans="1:35" customFormat="1" x14ac:dyDescent="0.25">
      <c r="A339" s="166"/>
      <c r="B339" s="1"/>
      <c r="C339" s="1"/>
      <c r="D339" s="4"/>
      <c r="E339" s="4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4"/>
      <c r="AB339" s="1"/>
      <c r="AC339" s="167"/>
      <c r="AD339" s="167"/>
      <c r="AE339" s="2"/>
      <c r="AF339" s="2"/>
      <c r="AG339" s="2"/>
      <c r="AH339" s="2"/>
      <c r="AI339" s="2"/>
    </row>
    <row r="340" spans="1:35" customFormat="1" x14ac:dyDescent="0.25">
      <c r="A340" s="166"/>
      <c r="B340" s="1"/>
      <c r="C340" s="1"/>
      <c r="D340" s="4"/>
      <c r="E340" s="4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4"/>
      <c r="AB340" s="1"/>
      <c r="AC340" s="167"/>
      <c r="AD340" s="167"/>
      <c r="AE340" s="2"/>
      <c r="AF340" s="2"/>
      <c r="AG340" s="2"/>
      <c r="AH340" s="2"/>
      <c r="AI340" s="2"/>
    </row>
    <row r="341" spans="1:35" customFormat="1" x14ac:dyDescent="0.25">
      <c r="A341" s="166"/>
      <c r="B341" s="1"/>
      <c r="C341" s="1"/>
      <c r="D341" s="4"/>
      <c r="E341" s="4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4"/>
      <c r="AB341" s="1"/>
      <c r="AC341" s="167"/>
      <c r="AD341" s="167"/>
      <c r="AE341" s="2"/>
      <c r="AF341" s="2"/>
      <c r="AG341" s="2"/>
      <c r="AH341" s="2"/>
      <c r="AI341" s="2"/>
    </row>
    <row r="342" spans="1:35" customFormat="1" x14ac:dyDescent="0.25">
      <c r="A342" s="166"/>
      <c r="B342" s="1"/>
      <c r="C342" s="1"/>
      <c r="D342" s="4"/>
      <c r="E342" s="4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4"/>
      <c r="AB342" s="1"/>
      <c r="AC342" s="167"/>
      <c r="AD342" s="167"/>
      <c r="AE342" s="2"/>
      <c r="AF342" s="2"/>
      <c r="AG342" s="2"/>
      <c r="AH342" s="2"/>
      <c r="AI342" s="2"/>
    </row>
    <row r="343" spans="1:35" customFormat="1" x14ac:dyDescent="0.25">
      <c r="A343" s="166"/>
      <c r="B343" s="1"/>
      <c r="C343" s="1"/>
      <c r="D343" s="4"/>
      <c r="E343" s="4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4"/>
      <c r="AB343" s="1"/>
      <c r="AC343" s="167"/>
      <c r="AD343" s="167"/>
      <c r="AE343" s="2"/>
      <c r="AF343" s="2"/>
      <c r="AG343" s="2"/>
      <c r="AH343" s="2"/>
      <c r="AI343" s="2"/>
    </row>
    <row r="344" spans="1:35" customFormat="1" x14ac:dyDescent="0.25">
      <c r="A344" s="166"/>
      <c r="B344" s="1"/>
      <c r="C344" s="1"/>
      <c r="D344" s="4"/>
      <c r="E344" s="4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4"/>
      <c r="AB344" s="1"/>
      <c r="AC344" s="167"/>
      <c r="AD344" s="167"/>
      <c r="AE344" s="2"/>
      <c r="AF344" s="2"/>
      <c r="AG344" s="2"/>
      <c r="AH344" s="2"/>
      <c r="AI344" s="2"/>
    </row>
    <row r="345" spans="1:35" customFormat="1" x14ac:dyDescent="0.25">
      <c r="A345" s="166"/>
      <c r="B345" s="1"/>
      <c r="C345" s="1"/>
      <c r="D345" s="4"/>
      <c r="E345" s="4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4"/>
      <c r="AB345" s="1"/>
      <c r="AC345" s="167"/>
      <c r="AD345" s="167"/>
      <c r="AE345" s="2"/>
      <c r="AF345" s="2"/>
      <c r="AG345" s="2"/>
      <c r="AH345" s="2"/>
      <c r="AI345" s="2"/>
    </row>
    <row r="346" spans="1:35" customFormat="1" x14ac:dyDescent="0.25">
      <c r="A346" s="166"/>
      <c r="B346" s="1"/>
      <c r="C346" s="1"/>
      <c r="D346" s="4"/>
      <c r="E346" s="4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4"/>
      <c r="AB346" s="1"/>
      <c r="AC346" s="167"/>
      <c r="AD346" s="167"/>
      <c r="AE346" s="2"/>
      <c r="AF346" s="2"/>
      <c r="AG346" s="2"/>
      <c r="AH346" s="2"/>
      <c r="AI346" s="2"/>
    </row>
    <row r="347" spans="1:35" customFormat="1" x14ac:dyDescent="0.25">
      <c r="A347" s="166"/>
      <c r="B347" s="1"/>
      <c r="C347" s="1"/>
      <c r="D347" s="4"/>
      <c r="E347" s="4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4"/>
      <c r="AB347" s="1"/>
      <c r="AC347" s="167"/>
      <c r="AD347" s="167"/>
      <c r="AE347" s="2"/>
      <c r="AF347" s="2"/>
      <c r="AG347" s="2"/>
      <c r="AH347" s="2"/>
      <c r="AI347" s="2"/>
    </row>
    <row r="348" spans="1:35" customFormat="1" x14ac:dyDescent="0.25">
      <c r="A348" s="166"/>
      <c r="B348" s="1"/>
      <c r="C348" s="1"/>
      <c r="D348" s="4"/>
      <c r="E348" s="4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4"/>
      <c r="AB348" s="1"/>
      <c r="AC348" s="167"/>
      <c r="AD348" s="167"/>
      <c r="AE348" s="2"/>
      <c r="AF348" s="2"/>
      <c r="AG348" s="2"/>
      <c r="AH348" s="2"/>
      <c r="AI348" s="2"/>
    </row>
    <row r="349" spans="1:35" customFormat="1" x14ac:dyDescent="0.25">
      <c r="A349" s="166"/>
      <c r="B349" s="1"/>
      <c r="C349" s="1"/>
      <c r="D349" s="4"/>
      <c r="E349" s="4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4"/>
      <c r="AB349" s="1"/>
      <c r="AC349" s="167"/>
      <c r="AD349" s="167"/>
      <c r="AE349" s="2"/>
      <c r="AF349" s="2"/>
      <c r="AG349" s="2"/>
      <c r="AH349" s="2"/>
      <c r="AI349" s="2"/>
    </row>
    <row r="350" spans="1:35" customFormat="1" x14ac:dyDescent="0.25">
      <c r="A350" s="166"/>
      <c r="B350" s="1"/>
      <c r="C350" s="1"/>
      <c r="D350" s="4"/>
      <c r="E350" s="4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4"/>
      <c r="AB350" s="1"/>
      <c r="AC350" s="167"/>
      <c r="AD350" s="167"/>
      <c r="AE350" s="2"/>
      <c r="AF350" s="2"/>
      <c r="AG350" s="2"/>
      <c r="AH350" s="2"/>
      <c r="AI350" s="2"/>
    </row>
    <row r="351" spans="1:35" customFormat="1" x14ac:dyDescent="0.25">
      <c r="A351" s="166"/>
      <c r="B351" s="1"/>
      <c r="C351" s="1"/>
      <c r="D351" s="4"/>
      <c r="E351" s="4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4"/>
      <c r="AB351" s="1"/>
      <c r="AC351" s="167"/>
      <c r="AD351" s="167"/>
      <c r="AE351" s="2"/>
      <c r="AF351" s="2"/>
      <c r="AG351" s="2"/>
      <c r="AH351" s="2"/>
      <c r="AI351" s="2"/>
    </row>
    <row r="352" spans="1:35" customFormat="1" x14ac:dyDescent="0.25">
      <c r="A352" s="166"/>
      <c r="B352" s="1"/>
      <c r="C352" s="1"/>
      <c r="D352" s="4"/>
      <c r="E352" s="4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4"/>
      <c r="AB352" s="1"/>
      <c r="AC352" s="167"/>
      <c r="AD352" s="167"/>
      <c r="AE352" s="2"/>
      <c r="AF352" s="2"/>
      <c r="AG352" s="2"/>
      <c r="AH352" s="2"/>
      <c r="AI352" s="2"/>
    </row>
    <row r="353" spans="1:35" customFormat="1" x14ac:dyDescent="0.25">
      <c r="A353" s="166"/>
      <c r="B353" s="1"/>
      <c r="C353" s="1"/>
      <c r="D353" s="4"/>
      <c r="E353" s="4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4"/>
      <c r="AB353" s="1"/>
      <c r="AC353" s="167"/>
      <c r="AD353" s="167"/>
      <c r="AE353" s="2"/>
      <c r="AF353" s="2"/>
      <c r="AG353" s="2"/>
      <c r="AH353" s="2"/>
      <c r="AI353" s="2"/>
    </row>
    <row r="354" spans="1:35" customFormat="1" x14ac:dyDescent="0.25">
      <c r="A354" s="166"/>
      <c r="B354" s="1"/>
      <c r="C354" s="1"/>
      <c r="D354" s="4"/>
      <c r="E354" s="4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4"/>
      <c r="AB354" s="1"/>
      <c r="AC354" s="167"/>
      <c r="AD354" s="167"/>
      <c r="AE354" s="2"/>
      <c r="AF354" s="2"/>
      <c r="AG354" s="2"/>
      <c r="AH354" s="2"/>
      <c r="AI354" s="2"/>
    </row>
    <row r="355" spans="1:35" customFormat="1" x14ac:dyDescent="0.25">
      <c r="A355" s="166"/>
      <c r="B355" s="1"/>
      <c r="C355" s="1"/>
      <c r="D355" s="4"/>
      <c r="E355" s="4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4"/>
      <c r="AB355" s="1"/>
      <c r="AC355" s="167"/>
      <c r="AD355" s="167"/>
      <c r="AE355" s="2"/>
      <c r="AF355" s="2"/>
      <c r="AG355" s="2"/>
      <c r="AH355" s="2"/>
      <c r="AI355" s="2"/>
    </row>
    <row r="356" spans="1:35" customFormat="1" x14ac:dyDescent="0.25">
      <c r="A356" s="166"/>
      <c r="B356" s="1"/>
      <c r="C356" s="1"/>
      <c r="D356" s="4"/>
      <c r="E356" s="4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4"/>
      <c r="AB356" s="1"/>
      <c r="AC356" s="167"/>
      <c r="AD356" s="167"/>
      <c r="AE356" s="2"/>
      <c r="AF356" s="2"/>
      <c r="AG356" s="2"/>
      <c r="AH356" s="2"/>
      <c r="AI356" s="2"/>
    </row>
    <row r="357" spans="1:35" customFormat="1" x14ac:dyDescent="0.25">
      <c r="A357" s="166"/>
      <c r="B357" s="1"/>
      <c r="C357" s="1"/>
      <c r="D357" s="4"/>
      <c r="E357" s="4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4"/>
      <c r="AB357" s="1"/>
      <c r="AC357" s="167"/>
      <c r="AD357" s="167"/>
      <c r="AE357" s="2"/>
      <c r="AF357" s="2"/>
      <c r="AG357" s="2"/>
      <c r="AH357" s="2"/>
      <c r="AI357" s="2"/>
    </row>
    <row r="358" spans="1:35" customFormat="1" x14ac:dyDescent="0.25">
      <c r="A358" s="166"/>
      <c r="B358" s="1"/>
      <c r="C358" s="1"/>
      <c r="D358" s="4"/>
      <c r="E358" s="4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4"/>
      <c r="AB358" s="1"/>
      <c r="AC358" s="167"/>
      <c r="AD358" s="167"/>
      <c r="AE358" s="2"/>
      <c r="AF358" s="2"/>
      <c r="AG358" s="2"/>
      <c r="AH358" s="2"/>
      <c r="AI358" s="2"/>
    </row>
    <row r="359" spans="1:35" customFormat="1" x14ac:dyDescent="0.25">
      <c r="A359" s="166"/>
      <c r="B359" s="1"/>
      <c r="C359" s="1"/>
      <c r="D359" s="4"/>
      <c r="E359" s="4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4"/>
      <c r="AB359" s="1"/>
      <c r="AC359" s="167"/>
      <c r="AD359" s="167"/>
      <c r="AE359" s="2"/>
      <c r="AF359" s="2"/>
      <c r="AG359" s="2"/>
      <c r="AH359" s="2"/>
      <c r="AI359" s="2"/>
    </row>
    <row r="360" spans="1:35" customFormat="1" x14ac:dyDescent="0.25">
      <c r="A360" s="166"/>
      <c r="B360" s="1"/>
      <c r="C360" s="1"/>
      <c r="D360" s="4"/>
      <c r="E360" s="4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4"/>
      <c r="AB360" s="1"/>
      <c r="AC360" s="167"/>
      <c r="AD360" s="167"/>
      <c r="AE360" s="2"/>
      <c r="AF360" s="2"/>
      <c r="AG360" s="2"/>
      <c r="AH360" s="2"/>
      <c r="AI360" s="2"/>
    </row>
    <row r="361" spans="1:35" customFormat="1" x14ac:dyDescent="0.25">
      <c r="A361" s="166"/>
      <c r="B361" s="1"/>
      <c r="C361" s="1"/>
      <c r="D361" s="4"/>
      <c r="E361" s="4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4"/>
      <c r="AB361" s="1"/>
      <c r="AC361" s="167"/>
      <c r="AD361" s="167"/>
      <c r="AE361" s="2"/>
      <c r="AF361" s="2"/>
      <c r="AG361" s="2"/>
      <c r="AH361" s="2"/>
      <c r="AI361" s="2"/>
    </row>
    <row r="362" spans="1:35" customFormat="1" x14ac:dyDescent="0.25">
      <c r="A362" s="166"/>
      <c r="B362" s="1"/>
      <c r="C362" s="1"/>
      <c r="D362" s="4"/>
      <c r="E362" s="4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4"/>
      <c r="AB362" s="1"/>
      <c r="AC362" s="167"/>
      <c r="AD362" s="167"/>
      <c r="AE362" s="2"/>
      <c r="AF362" s="2"/>
      <c r="AG362" s="2"/>
      <c r="AH362" s="2"/>
      <c r="AI362" s="2"/>
    </row>
    <row r="363" spans="1:35" customFormat="1" x14ac:dyDescent="0.25">
      <c r="A363" s="166"/>
      <c r="B363" s="1"/>
      <c r="C363" s="1"/>
      <c r="D363" s="4"/>
      <c r="E363" s="4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4"/>
      <c r="AB363" s="1"/>
      <c r="AC363" s="167"/>
      <c r="AD363" s="167"/>
      <c r="AE363" s="2"/>
      <c r="AF363" s="2"/>
      <c r="AG363" s="2"/>
      <c r="AH363" s="2"/>
      <c r="AI363" s="2"/>
    </row>
    <row r="364" spans="1:35" customFormat="1" x14ac:dyDescent="0.25">
      <c r="A364" s="166"/>
      <c r="B364" s="1"/>
      <c r="C364" s="1"/>
      <c r="D364" s="4"/>
      <c r="E364" s="4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4"/>
      <c r="AB364" s="1"/>
      <c r="AC364" s="167"/>
      <c r="AD364" s="167"/>
      <c r="AE364" s="2"/>
      <c r="AF364" s="2"/>
      <c r="AG364" s="2"/>
      <c r="AH364" s="2"/>
      <c r="AI364" s="2"/>
    </row>
    <row r="365" spans="1:35" customFormat="1" x14ac:dyDescent="0.25">
      <c r="A365" s="166"/>
      <c r="B365" s="1"/>
      <c r="C365" s="1"/>
      <c r="D365" s="4"/>
      <c r="E365" s="4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4"/>
      <c r="AB365" s="1"/>
      <c r="AC365" s="167"/>
      <c r="AD365" s="167"/>
      <c r="AE365" s="2"/>
      <c r="AF365" s="2"/>
      <c r="AG365" s="2"/>
      <c r="AH365" s="2"/>
      <c r="AI365" s="2"/>
    </row>
    <row r="366" spans="1:35" customFormat="1" x14ac:dyDescent="0.25">
      <c r="A366" s="166"/>
      <c r="B366" s="1"/>
      <c r="C366" s="1"/>
      <c r="D366" s="4"/>
      <c r="E366" s="4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4"/>
      <c r="AB366" s="1"/>
      <c r="AC366" s="167"/>
      <c r="AD366" s="167"/>
      <c r="AE366" s="2"/>
      <c r="AF366" s="2"/>
      <c r="AG366" s="2"/>
      <c r="AH366" s="2"/>
      <c r="AI366" s="2"/>
    </row>
    <row r="367" spans="1:35" customFormat="1" x14ac:dyDescent="0.25">
      <c r="A367" s="166"/>
      <c r="B367" s="1"/>
      <c r="C367" s="1"/>
      <c r="D367" s="4"/>
      <c r="E367" s="4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4"/>
      <c r="AB367" s="1"/>
      <c r="AC367" s="167"/>
      <c r="AD367" s="167"/>
      <c r="AE367" s="2"/>
      <c r="AF367" s="2"/>
      <c r="AG367" s="2"/>
      <c r="AH367" s="2"/>
      <c r="AI367" s="2"/>
    </row>
    <row r="368" spans="1:35" customFormat="1" x14ac:dyDescent="0.25">
      <c r="A368" s="166"/>
      <c r="B368" s="1"/>
      <c r="C368" s="1"/>
      <c r="D368" s="4"/>
      <c r="E368" s="4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4"/>
      <c r="AB368" s="1"/>
      <c r="AC368" s="167"/>
      <c r="AD368" s="167"/>
      <c r="AE368" s="2"/>
      <c r="AF368" s="2"/>
      <c r="AG368" s="2"/>
      <c r="AH368" s="2"/>
      <c r="AI368" s="2"/>
    </row>
    <row r="369" spans="1:35" customFormat="1" x14ac:dyDescent="0.25">
      <c r="A369" s="166"/>
      <c r="B369" s="1"/>
      <c r="C369" s="1"/>
      <c r="D369" s="4"/>
      <c r="E369" s="4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4"/>
      <c r="AB369" s="1"/>
      <c r="AC369" s="167"/>
      <c r="AD369" s="167"/>
      <c r="AE369" s="2"/>
      <c r="AF369" s="2"/>
      <c r="AG369" s="2"/>
      <c r="AH369" s="2"/>
      <c r="AI369" s="2"/>
    </row>
    <row r="370" spans="1:35" customFormat="1" x14ac:dyDescent="0.25">
      <c r="A370" s="166"/>
      <c r="B370" s="1"/>
      <c r="C370" s="1"/>
      <c r="D370" s="4"/>
      <c r="E370" s="4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4"/>
      <c r="AB370" s="1"/>
      <c r="AC370" s="167"/>
      <c r="AD370" s="167"/>
      <c r="AE370" s="2"/>
      <c r="AF370" s="2"/>
      <c r="AG370" s="2"/>
      <c r="AH370" s="2"/>
      <c r="AI370" s="2"/>
    </row>
    <row r="371" spans="1:35" customFormat="1" x14ac:dyDescent="0.25">
      <c r="A371" s="166"/>
      <c r="B371" s="1"/>
      <c r="C371" s="1"/>
      <c r="D371" s="4"/>
      <c r="E371" s="4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4"/>
      <c r="AB371" s="1"/>
      <c r="AC371" s="167"/>
      <c r="AD371" s="167"/>
      <c r="AE371" s="2"/>
      <c r="AF371" s="2"/>
      <c r="AG371" s="2"/>
      <c r="AH371" s="2"/>
      <c r="AI371" s="2"/>
    </row>
    <row r="372" spans="1:35" customFormat="1" x14ac:dyDescent="0.25">
      <c r="A372" s="166"/>
      <c r="B372" s="1"/>
      <c r="C372" s="1"/>
      <c r="D372" s="4"/>
      <c r="E372" s="4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4"/>
      <c r="AB372" s="1"/>
      <c r="AC372" s="167"/>
      <c r="AD372" s="167"/>
      <c r="AE372" s="2"/>
      <c r="AF372" s="2"/>
      <c r="AG372" s="2"/>
      <c r="AH372" s="2"/>
      <c r="AI372" s="2"/>
    </row>
    <row r="373" spans="1:35" customFormat="1" x14ac:dyDescent="0.25">
      <c r="A373" s="166"/>
      <c r="B373" s="1"/>
      <c r="C373" s="1"/>
      <c r="D373" s="4"/>
      <c r="E373" s="4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4"/>
      <c r="AB373" s="1"/>
      <c r="AC373" s="167"/>
      <c r="AD373" s="167"/>
      <c r="AE373" s="2"/>
      <c r="AF373" s="2"/>
      <c r="AG373" s="2"/>
      <c r="AH373" s="2"/>
      <c r="AI373" s="2"/>
    </row>
    <row r="374" spans="1:35" customFormat="1" x14ac:dyDescent="0.25">
      <c r="A374" s="166"/>
      <c r="B374" s="1"/>
      <c r="C374" s="1"/>
      <c r="D374" s="4"/>
      <c r="E374" s="4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4"/>
      <c r="AB374" s="1"/>
      <c r="AC374" s="167"/>
      <c r="AD374" s="167"/>
      <c r="AE374" s="2"/>
      <c r="AF374" s="2"/>
      <c r="AG374" s="2"/>
      <c r="AH374" s="2"/>
      <c r="AI374" s="2"/>
    </row>
    <row r="375" spans="1:35" customFormat="1" x14ac:dyDescent="0.25">
      <c r="A375" s="166"/>
      <c r="B375" s="1"/>
      <c r="C375" s="1"/>
      <c r="D375" s="4"/>
      <c r="E375" s="4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4"/>
      <c r="AB375" s="1"/>
      <c r="AC375" s="167"/>
      <c r="AD375" s="167"/>
      <c r="AE375" s="2"/>
      <c r="AF375" s="2"/>
      <c r="AG375" s="2"/>
      <c r="AH375" s="2"/>
      <c r="AI375" s="2"/>
    </row>
    <row r="376" spans="1:35" customFormat="1" x14ac:dyDescent="0.25">
      <c r="A376" s="166"/>
      <c r="B376" s="1"/>
      <c r="C376" s="1"/>
      <c r="D376" s="4"/>
      <c r="E376" s="4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4"/>
      <c r="AB376" s="1"/>
      <c r="AC376" s="167"/>
      <c r="AD376" s="167"/>
      <c r="AE376" s="2"/>
      <c r="AF376" s="2"/>
      <c r="AG376" s="2"/>
      <c r="AH376" s="2"/>
      <c r="AI376" s="2"/>
    </row>
    <row r="377" spans="1:35" customFormat="1" x14ac:dyDescent="0.25">
      <c r="A377" s="166"/>
      <c r="B377" s="1"/>
      <c r="C377" s="1"/>
      <c r="D377" s="4"/>
      <c r="E377" s="4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4"/>
      <c r="AB377" s="1"/>
      <c r="AC377" s="167"/>
      <c r="AD377" s="167"/>
      <c r="AE377" s="2"/>
      <c r="AF377" s="2"/>
      <c r="AG377" s="2"/>
      <c r="AH377" s="2"/>
      <c r="AI377" s="2"/>
    </row>
    <row r="378" spans="1:35" customFormat="1" x14ac:dyDescent="0.25">
      <c r="A378" s="166"/>
      <c r="B378" s="1"/>
      <c r="C378" s="1"/>
      <c r="D378" s="4"/>
      <c r="E378" s="4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4"/>
      <c r="AB378" s="1"/>
      <c r="AC378" s="167"/>
      <c r="AD378" s="167"/>
      <c r="AE378" s="2"/>
      <c r="AF378" s="2"/>
      <c r="AG378" s="2"/>
      <c r="AH378" s="2"/>
      <c r="AI378" s="2"/>
    </row>
    <row r="379" spans="1:35" customFormat="1" x14ac:dyDescent="0.25">
      <c r="A379" s="166"/>
      <c r="B379" s="1"/>
      <c r="C379" s="1"/>
      <c r="D379" s="4"/>
      <c r="E379" s="4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4"/>
      <c r="AB379" s="1"/>
      <c r="AC379" s="167"/>
      <c r="AD379" s="167"/>
      <c r="AE379" s="2"/>
      <c r="AF379" s="2"/>
      <c r="AG379" s="2"/>
      <c r="AH379" s="2"/>
      <c r="AI379" s="2"/>
    </row>
    <row r="380" spans="1:35" customFormat="1" x14ac:dyDescent="0.25">
      <c r="A380" s="166"/>
      <c r="B380" s="1"/>
      <c r="C380" s="1"/>
      <c r="D380" s="4"/>
      <c r="E380" s="4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4"/>
      <c r="AB380" s="1"/>
      <c r="AC380" s="167"/>
      <c r="AD380" s="167"/>
      <c r="AE380" s="2"/>
      <c r="AF380" s="2"/>
      <c r="AG380" s="2"/>
      <c r="AH380" s="2"/>
      <c r="AI380" s="2"/>
    </row>
    <row r="381" spans="1:35" customFormat="1" x14ac:dyDescent="0.25">
      <c r="A381" s="166"/>
      <c r="B381" s="1"/>
      <c r="C381" s="1"/>
      <c r="D381" s="4"/>
      <c r="E381" s="4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4"/>
      <c r="AB381" s="1"/>
      <c r="AC381" s="167"/>
      <c r="AD381" s="167"/>
      <c r="AE381" s="2"/>
      <c r="AF381" s="2"/>
      <c r="AG381" s="2"/>
      <c r="AH381" s="2"/>
      <c r="AI381" s="2"/>
    </row>
    <row r="382" spans="1:35" customFormat="1" x14ac:dyDescent="0.25">
      <c r="A382" s="166"/>
      <c r="B382" s="1"/>
      <c r="C382" s="1"/>
      <c r="D382" s="4"/>
      <c r="E382" s="4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4"/>
      <c r="AB382" s="1"/>
      <c r="AC382" s="167"/>
      <c r="AD382" s="167"/>
      <c r="AE382" s="2"/>
      <c r="AF382" s="2"/>
      <c r="AG382" s="2"/>
      <c r="AH382" s="2"/>
      <c r="AI382" s="2"/>
    </row>
    <row r="383" spans="1:35" customFormat="1" x14ac:dyDescent="0.25">
      <c r="A383" s="166"/>
      <c r="B383" s="1"/>
      <c r="C383" s="1"/>
      <c r="D383" s="4"/>
      <c r="E383" s="4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4"/>
      <c r="AB383" s="1"/>
      <c r="AC383" s="167"/>
      <c r="AD383" s="167"/>
      <c r="AE383" s="2"/>
      <c r="AF383" s="2"/>
      <c r="AG383" s="2"/>
      <c r="AH383" s="2"/>
      <c r="AI383" s="2"/>
    </row>
    <row r="384" spans="1:35" customFormat="1" x14ac:dyDescent="0.25">
      <c r="A384" s="166"/>
      <c r="B384" s="1"/>
      <c r="C384" s="1"/>
      <c r="D384" s="4"/>
      <c r="E384" s="4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4"/>
      <c r="AB384" s="1"/>
      <c r="AC384" s="167"/>
      <c r="AD384" s="167"/>
      <c r="AE384" s="2"/>
      <c r="AF384" s="2"/>
      <c r="AG384" s="2"/>
      <c r="AH384" s="2"/>
      <c r="AI384" s="2"/>
    </row>
    <row r="385" spans="1:35" customFormat="1" x14ac:dyDescent="0.25">
      <c r="A385" s="166"/>
      <c r="B385" s="1"/>
      <c r="C385" s="1"/>
      <c r="D385" s="4"/>
      <c r="E385" s="4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4"/>
      <c r="AB385" s="1"/>
      <c r="AC385" s="167"/>
      <c r="AD385" s="167"/>
      <c r="AE385" s="2"/>
      <c r="AF385" s="2"/>
      <c r="AG385" s="2"/>
      <c r="AH385" s="2"/>
      <c r="AI385" s="2"/>
    </row>
    <row r="386" spans="1:35" customFormat="1" x14ac:dyDescent="0.25">
      <c r="A386" s="166"/>
      <c r="B386" s="1"/>
      <c r="C386" s="1"/>
      <c r="D386" s="4"/>
      <c r="E386" s="4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4"/>
      <c r="AB386" s="1"/>
      <c r="AC386" s="167"/>
      <c r="AD386" s="167"/>
      <c r="AE386" s="2"/>
      <c r="AF386" s="2"/>
      <c r="AG386" s="2"/>
      <c r="AH386" s="2"/>
      <c r="AI386" s="2"/>
    </row>
    <row r="387" spans="1:35" customFormat="1" x14ac:dyDescent="0.25">
      <c r="A387" s="166"/>
      <c r="B387" s="1"/>
      <c r="C387" s="1"/>
      <c r="D387" s="4"/>
      <c r="E387" s="4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4"/>
      <c r="AB387" s="1"/>
      <c r="AC387" s="167"/>
      <c r="AD387" s="167"/>
      <c r="AE387" s="2"/>
      <c r="AF387" s="2"/>
      <c r="AG387" s="2"/>
      <c r="AH387" s="2"/>
      <c r="AI387" s="2"/>
    </row>
    <row r="388" spans="1:35" customFormat="1" x14ac:dyDescent="0.25">
      <c r="A388" s="166"/>
      <c r="B388" s="1"/>
      <c r="C388" s="1"/>
      <c r="D388" s="4"/>
      <c r="E388" s="4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4"/>
      <c r="AB388" s="1"/>
      <c r="AC388" s="167"/>
      <c r="AD388" s="167"/>
      <c r="AE388" s="2"/>
      <c r="AF388" s="2"/>
      <c r="AG388" s="2"/>
      <c r="AH388" s="2"/>
      <c r="AI388" s="2"/>
    </row>
    <row r="389" spans="1:35" customFormat="1" x14ac:dyDescent="0.25">
      <c r="A389" s="166"/>
      <c r="B389" s="1"/>
      <c r="C389" s="1"/>
      <c r="D389" s="4"/>
      <c r="E389" s="4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4"/>
      <c r="AB389" s="1"/>
      <c r="AC389" s="167"/>
      <c r="AD389" s="167"/>
      <c r="AE389" s="2"/>
      <c r="AF389" s="2"/>
      <c r="AG389" s="2"/>
      <c r="AH389" s="2"/>
      <c r="AI389" s="2"/>
    </row>
    <row r="390" spans="1:35" customFormat="1" x14ac:dyDescent="0.25">
      <c r="A390" s="166"/>
      <c r="B390" s="1"/>
      <c r="C390" s="1"/>
      <c r="D390" s="4"/>
      <c r="E390" s="4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4"/>
      <c r="AB390" s="1"/>
      <c r="AC390" s="167"/>
      <c r="AD390" s="167"/>
      <c r="AE390" s="2"/>
      <c r="AF390" s="2"/>
      <c r="AG390" s="2"/>
      <c r="AH390" s="2"/>
      <c r="AI390" s="2"/>
    </row>
    <row r="391" spans="1:35" customFormat="1" x14ac:dyDescent="0.25">
      <c r="A391" s="166"/>
      <c r="B391" s="1"/>
      <c r="C391" s="1"/>
      <c r="D391" s="4"/>
      <c r="E391" s="4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4"/>
      <c r="AB391" s="1"/>
      <c r="AC391" s="167"/>
      <c r="AD391" s="167"/>
      <c r="AE391" s="2"/>
      <c r="AF391" s="2"/>
      <c r="AG391" s="2"/>
      <c r="AH391" s="2"/>
      <c r="AI391" s="2"/>
    </row>
    <row r="392" spans="1:35" customFormat="1" x14ac:dyDescent="0.25">
      <c r="A392" s="166"/>
      <c r="B392" s="1"/>
      <c r="C392" s="1"/>
      <c r="D392" s="4"/>
      <c r="E392" s="4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4"/>
      <c r="AB392" s="1"/>
      <c r="AC392" s="167"/>
      <c r="AD392" s="167"/>
      <c r="AE392" s="2"/>
      <c r="AF392" s="2"/>
      <c r="AG392" s="2"/>
      <c r="AH392" s="2"/>
      <c r="AI392" s="2"/>
    </row>
    <row r="393" spans="1:35" customFormat="1" x14ac:dyDescent="0.25">
      <c r="A393" s="166"/>
      <c r="B393" s="1"/>
      <c r="C393" s="1"/>
      <c r="D393" s="4"/>
      <c r="E393" s="4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4"/>
      <c r="AB393" s="1"/>
      <c r="AC393" s="167"/>
      <c r="AD393" s="167"/>
      <c r="AE393" s="2"/>
      <c r="AF393" s="2"/>
      <c r="AG393" s="2"/>
      <c r="AH393" s="2"/>
      <c r="AI393" s="2"/>
    </row>
    <row r="394" spans="1:35" customFormat="1" x14ac:dyDescent="0.25">
      <c r="A394" s="166"/>
      <c r="B394" s="1"/>
      <c r="C394" s="1"/>
      <c r="D394" s="4"/>
      <c r="E394" s="4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4"/>
      <c r="AB394" s="1"/>
      <c r="AC394" s="167"/>
      <c r="AD394" s="167"/>
      <c r="AE394" s="2"/>
      <c r="AF394" s="2"/>
      <c r="AG394" s="2"/>
      <c r="AH394" s="2"/>
      <c r="AI394" s="2"/>
    </row>
    <row r="395" spans="1:35" customFormat="1" x14ac:dyDescent="0.25">
      <c r="A395" s="166"/>
      <c r="B395" s="1"/>
      <c r="C395" s="1"/>
      <c r="D395" s="4"/>
      <c r="E395" s="4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4"/>
      <c r="AB395" s="1"/>
      <c r="AC395" s="167"/>
      <c r="AD395" s="167"/>
      <c r="AE395" s="2"/>
      <c r="AF395" s="2"/>
      <c r="AG395" s="2"/>
      <c r="AH395" s="2"/>
      <c r="AI395" s="2"/>
    </row>
    <row r="396" spans="1:35" customFormat="1" x14ac:dyDescent="0.25">
      <c r="A396" s="166"/>
      <c r="B396" s="1"/>
      <c r="C396" s="1"/>
      <c r="D396" s="4"/>
      <c r="E396" s="4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4"/>
      <c r="AB396" s="1"/>
      <c r="AC396" s="167"/>
      <c r="AD396" s="167"/>
      <c r="AE396" s="2"/>
      <c r="AF396" s="2"/>
      <c r="AG396" s="2"/>
      <c r="AH396" s="2"/>
      <c r="AI396" s="2"/>
    </row>
    <row r="397" spans="1:35" customFormat="1" x14ac:dyDescent="0.25">
      <c r="A397" s="166"/>
      <c r="B397" s="1"/>
      <c r="C397" s="1"/>
      <c r="D397" s="4"/>
      <c r="E397" s="4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4"/>
      <c r="AB397" s="1"/>
      <c r="AC397" s="167"/>
      <c r="AD397" s="167"/>
      <c r="AE397" s="2"/>
      <c r="AF397" s="2"/>
      <c r="AG397" s="2"/>
      <c r="AH397" s="2"/>
      <c r="AI397" s="2"/>
    </row>
    <row r="398" spans="1:35" customFormat="1" x14ac:dyDescent="0.25">
      <c r="A398" s="166"/>
      <c r="B398" s="1"/>
      <c r="C398" s="1"/>
      <c r="D398" s="4"/>
      <c r="E398" s="4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4"/>
      <c r="AB398" s="1"/>
      <c r="AC398" s="167"/>
      <c r="AD398" s="167"/>
      <c r="AE398" s="2"/>
      <c r="AF398" s="2"/>
      <c r="AG398" s="2"/>
      <c r="AH398" s="2"/>
      <c r="AI398" s="2"/>
    </row>
    <row r="399" spans="1:35" customFormat="1" x14ac:dyDescent="0.25">
      <c r="A399" s="166"/>
      <c r="B399" s="1"/>
      <c r="C399" s="1"/>
      <c r="D399" s="4"/>
      <c r="E399" s="4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4"/>
      <c r="AB399" s="1"/>
      <c r="AC399" s="167"/>
      <c r="AD399" s="167"/>
      <c r="AE399" s="2"/>
      <c r="AF399" s="2"/>
      <c r="AG399" s="2"/>
      <c r="AH399" s="2"/>
      <c r="AI399" s="2"/>
    </row>
    <row r="400" spans="1:35" customFormat="1" x14ac:dyDescent="0.25">
      <c r="A400" s="166"/>
      <c r="B400" s="1"/>
      <c r="C400" s="1"/>
      <c r="D400" s="4"/>
      <c r="E400" s="4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4"/>
      <c r="AB400" s="1"/>
      <c r="AC400" s="167"/>
      <c r="AD400" s="167"/>
      <c r="AE400" s="2"/>
      <c r="AF400" s="2"/>
      <c r="AG400" s="2"/>
      <c r="AH400" s="2"/>
      <c r="AI400" s="2"/>
    </row>
    <row r="401" spans="1:35" customFormat="1" x14ac:dyDescent="0.25">
      <c r="A401" s="166"/>
      <c r="B401" s="1"/>
      <c r="C401" s="1"/>
      <c r="D401" s="4"/>
      <c r="E401" s="4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4"/>
      <c r="AB401" s="1"/>
      <c r="AC401" s="167"/>
      <c r="AD401" s="167"/>
      <c r="AE401" s="2"/>
      <c r="AF401" s="2"/>
      <c r="AG401" s="2"/>
      <c r="AH401" s="2"/>
      <c r="AI401" s="2"/>
    </row>
    <row r="402" spans="1:35" customFormat="1" x14ac:dyDescent="0.25">
      <c r="A402" s="166"/>
      <c r="B402" s="1"/>
      <c r="C402" s="1"/>
      <c r="D402" s="4"/>
      <c r="E402" s="4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4"/>
      <c r="AB402" s="1"/>
      <c r="AC402" s="167"/>
      <c r="AD402" s="167"/>
      <c r="AE402" s="2"/>
      <c r="AF402" s="2"/>
      <c r="AG402" s="2"/>
      <c r="AH402" s="2"/>
      <c r="AI402" s="2"/>
    </row>
    <row r="403" spans="1:35" customFormat="1" x14ac:dyDescent="0.25">
      <c r="A403" s="166"/>
      <c r="B403" s="1"/>
      <c r="C403" s="1"/>
      <c r="D403" s="4"/>
      <c r="E403" s="4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4"/>
      <c r="AB403" s="1"/>
      <c r="AC403" s="167"/>
      <c r="AD403" s="167"/>
      <c r="AE403" s="2"/>
      <c r="AF403" s="2"/>
      <c r="AG403" s="2"/>
      <c r="AH403" s="2"/>
      <c r="AI403" s="2"/>
    </row>
    <row r="404" spans="1:35" customFormat="1" x14ac:dyDescent="0.25">
      <c r="A404" s="166"/>
      <c r="B404" s="1"/>
      <c r="C404" s="1"/>
      <c r="D404" s="4"/>
      <c r="E404" s="4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4"/>
      <c r="AB404" s="1"/>
      <c r="AC404" s="167"/>
      <c r="AD404" s="167"/>
      <c r="AE404" s="2"/>
      <c r="AF404" s="2"/>
      <c r="AG404" s="2"/>
      <c r="AH404" s="2"/>
      <c r="AI404" s="2"/>
    </row>
    <row r="405" spans="1:35" customFormat="1" x14ac:dyDescent="0.25">
      <c r="A405" s="166"/>
      <c r="B405" s="1"/>
      <c r="C405" s="1"/>
      <c r="D405" s="4"/>
      <c r="E405" s="4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4"/>
      <c r="AB405" s="1"/>
      <c r="AC405" s="167"/>
      <c r="AD405" s="167"/>
      <c r="AE405" s="2"/>
      <c r="AF405" s="2"/>
      <c r="AG405" s="2"/>
      <c r="AH405" s="2"/>
      <c r="AI405" s="2"/>
    </row>
    <row r="406" spans="1:35" customFormat="1" x14ac:dyDescent="0.25">
      <c r="A406" s="166"/>
      <c r="B406" s="1"/>
      <c r="C406" s="1"/>
      <c r="D406" s="4"/>
      <c r="E406" s="4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4"/>
      <c r="AB406" s="1"/>
      <c r="AC406" s="167"/>
      <c r="AD406" s="167"/>
      <c r="AE406" s="2"/>
      <c r="AF406" s="2"/>
      <c r="AG406" s="2"/>
      <c r="AH406" s="2"/>
      <c r="AI406" s="2"/>
    </row>
    <row r="407" spans="1:35" customFormat="1" x14ac:dyDescent="0.25">
      <c r="A407" s="166"/>
      <c r="B407" s="1"/>
      <c r="C407" s="1"/>
      <c r="D407" s="4"/>
      <c r="E407" s="4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4"/>
      <c r="AB407" s="1"/>
      <c r="AC407" s="167"/>
      <c r="AD407" s="167"/>
      <c r="AE407" s="2"/>
      <c r="AF407" s="2"/>
      <c r="AG407" s="2"/>
      <c r="AH407" s="2"/>
      <c r="AI407" s="2"/>
    </row>
    <row r="408" spans="1:35" customFormat="1" x14ac:dyDescent="0.25">
      <c r="A408" s="166"/>
      <c r="B408" s="1"/>
      <c r="C408" s="1"/>
      <c r="D408" s="4"/>
      <c r="E408" s="4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4"/>
      <c r="AB408" s="1"/>
      <c r="AC408" s="167"/>
      <c r="AD408" s="167"/>
      <c r="AE408" s="2"/>
      <c r="AF408" s="2"/>
      <c r="AG408" s="2"/>
      <c r="AH408" s="2"/>
      <c r="AI408" s="2"/>
    </row>
    <row r="409" spans="1:35" customFormat="1" x14ac:dyDescent="0.25">
      <c r="A409" s="166"/>
      <c r="B409" s="1"/>
      <c r="C409" s="1"/>
      <c r="D409" s="4"/>
      <c r="E409" s="4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4"/>
      <c r="AB409" s="1"/>
      <c r="AC409" s="167"/>
      <c r="AD409" s="167"/>
      <c r="AE409" s="2"/>
      <c r="AF409" s="2"/>
      <c r="AG409" s="2"/>
      <c r="AH409" s="2"/>
      <c r="AI409" s="2"/>
    </row>
    <row r="410" spans="1:35" customFormat="1" x14ac:dyDescent="0.25">
      <c r="A410" s="166"/>
      <c r="B410" s="1"/>
      <c r="C410" s="1"/>
      <c r="D410" s="4"/>
      <c r="E410" s="4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4"/>
      <c r="AB410" s="1"/>
      <c r="AC410" s="167"/>
      <c r="AD410" s="167"/>
      <c r="AE410" s="2"/>
      <c r="AF410" s="2"/>
      <c r="AG410" s="2"/>
      <c r="AH410" s="2"/>
      <c r="AI410" s="2"/>
    </row>
    <row r="411" spans="1:35" customFormat="1" x14ac:dyDescent="0.25">
      <c r="A411" s="166"/>
      <c r="B411" s="1"/>
      <c r="C411" s="1"/>
      <c r="D411" s="4"/>
      <c r="E411" s="4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4"/>
      <c r="AB411" s="1"/>
      <c r="AC411" s="167"/>
      <c r="AD411" s="167"/>
      <c r="AE411" s="2"/>
      <c r="AF411" s="2"/>
      <c r="AG411" s="2"/>
      <c r="AH411" s="2"/>
      <c r="AI411" s="2"/>
    </row>
    <row r="412" spans="1:35" customFormat="1" x14ac:dyDescent="0.25">
      <c r="A412" s="166"/>
      <c r="B412" s="1"/>
      <c r="C412" s="1"/>
      <c r="D412" s="4"/>
      <c r="E412" s="4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4"/>
      <c r="AB412" s="1"/>
      <c r="AC412" s="167"/>
      <c r="AD412" s="167"/>
      <c r="AE412" s="2"/>
      <c r="AF412" s="2"/>
      <c r="AG412" s="2"/>
      <c r="AH412" s="2"/>
      <c r="AI412" s="2"/>
    </row>
    <row r="413" spans="1:35" customFormat="1" x14ac:dyDescent="0.25">
      <c r="A413" s="166"/>
      <c r="B413" s="1"/>
      <c r="C413" s="1"/>
      <c r="D413" s="4"/>
      <c r="E413" s="4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4"/>
      <c r="AB413" s="1"/>
      <c r="AC413" s="167"/>
      <c r="AD413" s="167"/>
      <c r="AE413" s="2"/>
      <c r="AF413" s="2"/>
      <c r="AG413" s="2"/>
      <c r="AH413" s="2"/>
      <c r="AI413" s="2"/>
    </row>
    <row r="414" spans="1:35" customFormat="1" x14ac:dyDescent="0.25">
      <c r="A414" s="166"/>
      <c r="B414" s="1"/>
      <c r="C414" s="1"/>
      <c r="D414" s="4"/>
      <c r="E414" s="4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4"/>
      <c r="AB414" s="1"/>
      <c r="AC414" s="167"/>
      <c r="AD414" s="167"/>
      <c r="AE414" s="2"/>
      <c r="AF414" s="2"/>
      <c r="AG414" s="2"/>
      <c r="AH414" s="2"/>
      <c r="AI414" s="2"/>
    </row>
    <row r="415" spans="1:35" customFormat="1" x14ac:dyDescent="0.25">
      <c r="A415" s="166"/>
      <c r="B415" s="1"/>
      <c r="C415" s="1"/>
      <c r="D415" s="4"/>
      <c r="E415" s="4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4"/>
      <c r="AB415" s="1"/>
      <c r="AC415" s="167"/>
      <c r="AD415" s="167"/>
      <c r="AE415" s="2"/>
      <c r="AF415" s="2"/>
      <c r="AG415" s="2"/>
      <c r="AH415" s="2"/>
      <c r="AI415" s="2"/>
    </row>
    <row r="416" spans="1:35" customFormat="1" x14ac:dyDescent="0.25">
      <c r="A416" s="166"/>
      <c r="B416" s="1"/>
      <c r="C416" s="1"/>
      <c r="D416" s="4"/>
      <c r="E416" s="4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4"/>
      <c r="AB416" s="1"/>
      <c r="AC416" s="167"/>
      <c r="AD416" s="167"/>
      <c r="AE416" s="2"/>
      <c r="AF416" s="2"/>
      <c r="AG416" s="2"/>
      <c r="AH416" s="2"/>
      <c r="AI416" s="2"/>
    </row>
    <row r="417" spans="1:35" customFormat="1" x14ac:dyDescent="0.25">
      <c r="A417" s="166"/>
      <c r="B417" s="1"/>
      <c r="C417" s="1"/>
      <c r="D417" s="4"/>
      <c r="E417" s="4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4"/>
      <c r="AB417" s="1"/>
      <c r="AC417" s="167"/>
      <c r="AD417" s="167"/>
      <c r="AE417" s="2"/>
      <c r="AF417" s="2"/>
      <c r="AG417" s="2"/>
      <c r="AH417" s="2"/>
      <c r="AI417" s="2"/>
    </row>
    <row r="418" spans="1:35" customFormat="1" x14ac:dyDescent="0.25">
      <c r="A418" s="166"/>
      <c r="B418" s="1"/>
      <c r="C418" s="1"/>
      <c r="D418" s="4"/>
      <c r="E418" s="4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4"/>
      <c r="AB418" s="1"/>
      <c r="AC418" s="167"/>
      <c r="AD418" s="167"/>
      <c r="AE418" s="2"/>
      <c r="AF418" s="2"/>
      <c r="AG418" s="2"/>
      <c r="AH418" s="2"/>
      <c r="AI418" s="2"/>
    </row>
    <row r="419" spans="1:35" customFormat="1" x14ac:dyDescent="0.25">
      <c r="A419" s="166"/>
      <c r="B419" s="1"/>
      <c r="C419" s="1"/>
      <c r="D419" s="4"/>
      <c r="E419" s="4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4"/>
      <c r="AB419" s="1"/>
      <c r="AC419" s="167"/>
      <c r="AD419" s="167"/>
      <c r="AE419" s="2"/>
      <c r="AF419" s="2"/>
      <c r="AG419" s="2"/>
      <c r="AH419" s="2"/>
      <c r="AI419" s="2"/>
    </row>
    <row r="420" spans="1:35" customFormat="1" x14ac:dyDescent="0.25">
      <c r="A420" s="166"/>
      <c r="B420" s="1"/>
      <c r="C420" s="1"/>
      <c r="D420" s="4"/>
      <c r="E420" s="4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4"/>
      <c r="AB420" s="1"/>
      <c r="AC420" s="167"/>
      <c r="AD420" s="167"/>
      <c r="AE420" s="2"/>
      <c r="AF420" s="2"/>
      <c r="AG420" s="2"/>
      <c r="AH420" s="2"/>
      <c r="AI420" s="2"/>
    </row>
    <row r="421" spans="1:35" customFormat="1" x14ac:dyDescent="0.25">
      <c r="A421" s="166"/>
      <c r="B421" s="1"/>
      <c r="C421" s="1"/>
      <c r="D421" s="4"/>
      <c r="E421" s="4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4"/>
      <c r="AB421" s="1"/>
      <c r="AC421" s="167"/>
      <c r="AD421" s="167"/>
      <c r="AE421" s="2"/>
      <c r="AF421" s="2"/>
      <c r="AG421" s="2"/>
      <c r="AH421" s="2"/>
      <c r="AI421" s="2"/>
    </row>
    <row r="422" spans="1:35" customFormat="1" x14ac:dyDescent="0.25">
      <c r="A422" s="166"/>
      <c r="B422" s="1"/>
      <c r="C422" s="1"/>
      <c r="D422" s="4"/>
      <c r="E422" s="4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4"/>
      <c r="AB422" s="1"/>
      <c r="AC422" s="167"/>
      <c r="AD422" s="167"/>
      <c r="AE422" s="2"/>
      <c r="AF422" s="2"/>
      <c r="AG422" s="2"/>
      <c r="AH422" s="2"/>
      <c r="AI422" s="2"/>
    </row>
    <row r="423" spans="1:35" customFormat="1" x14ac:dyDescent="0.25">
      <c r="A423" s="166"/>
      <c r="B423" s="1"/>
      <c r="C423" s="1"/>
      <c r="D423" s="4"/>
      <c r="E423" s="4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4"/>
      <c r="AB423" s="1"/>
      <c r="AC423" s="167"/>
      <c r="AD423" s="167"/>
      <c r="AE423" s="2"/>
      <c r="AF423" s="2"/>
      <c r="AG423" s="2"/>
      <c r="AH423" s="2"/>
      <c r="AI423" s="2"/>
    </row>
    <row r="424" spans="1:35" customFormat="1" x14ac:dyDescent="0.25">
      <c r="A424" s="166"/>
      <c r="B424" s="1"/>
      <c r="C424" s="1"/>
      <c r="D424" s="4"/>
      <c r="E424" s="4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4"/>
      <c r="AB424" s="1"/>
      <c r="AC424" s="167"/>
      <c r="AD424" s="167"/>
      <c r="AE424" s="2"/>
      <c r="AF424" s="2"/>
      <c r="AG424" s="2"/>
      <c r="AH424" s="2"/>
      <c r="AI424" s="2"/>
    </row>
    <row r="425" spans="1:35" customFormat="1" x14ac:dyDescent="0.25">
      <c r="A425" s="166"/>
      <c r="B425" s="1"/>
      <c r="C425" s="1"/>
      <c r="D425" s="4"/>
      <c r="E425" s="4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4"/>
      <c r="AB425" s="1"/>
      <c r="AC425" s="167"/>
      <c r="AD425" s="167"/>
      <c r="AE425" s="2"/>
      <c r="AF425" s="2"/>
      <c r="AG425" s="2"/>
      <c r="AH425" s="2"/>
      <c r="AI425" s="2"/>
    </row>
    <row r="426" spans="1:35" customFormat="1" x14ac:dyDescent="0.25">
      <c r="A426" s="166"/>
      <c r="B426" s="1"/>
      <c r="C426" s="1"/>
      <c r="D426" s="4"/>
      <c r="E426" s="4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4"/>
      <c r="AB426" s="1"/>
      <c r="AC426" s="167"/>
      <c r="AD426" s="167"/>
      <c r="AE426" s="2"/>
      <c r="AF426" s="2"/>
      <c r="AG426" s="2"/>
      <c r="AH426" s="2"/>
      <c r="AI426" s="2"/>
    </row>
    <row r="427" spans="1:35" customFormat="1" x14ac:dyDescent="0.25">
      <c r="A427" s="166"/>
      <c r="B427" s="1"/>
      <c r="C427" s="1"/>
      <c r="D427" s="4"/>
      <c r="E427" s="4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4"/>
      <c r="AB427" s="1"/>
      <c r="AC427" s="167"/>
      <c r="AD427" s="167"/>
      <c r="AE427" s="2"/>
      <c r="AF427" s="2"/>
      <c r="AG427" s="2"/>
      <c r="AH427" s="2"/>
      <c r="AI427" s="2"/>
    </row>
    <row r="428" spans="1:35" customFormat="1" x14ac:dyDescent="0.25">
      <c r="A428" s="166"/>
      <c r="B428" s="1"/>
      <c r="C428" s="1"/>
      <c r="D428" s="4"/>
      <c r="E428" s="4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4"/>
      <c r="AB428" s="1"/>
      <c r="AC428" s="167"/>
      <c r="AD428" s="167"/>
      <c r="AE428" s="2"/>
      <c r="AF428" s="2"/>
      <c r="AG428" s="2"/>
      <c r="AH428" s="2"/>
      <c r="AI428" s="2"/>
    </row>
    <row r="429" spans="1:35" customFormat="1" x14ac:dyDescent="0.25">
      <c r="A429" s="166"/>
      <c r="B429" s="1"/>
      <c r="C429" s="1"/>
      <c r="D429" s="4"/>
      <c r="E429" s="4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4"/>
      <c r="AB429" s="1"/>
      <c r="AC429" s="167"/>
      <c r="AD429" s="167"/>
      <c r="AE429" s="2"/>
      <c r="AF429" s="2"/>
      <c r="AG429" s="2"/>
      <c r="AH429" s="2"/>
      <c r="AI429" s="2"/>
    </row>
    <row r="430" spans="1:35" customFormat="1" x14ac:dyDescent="0.25">
      <c r="A430" s="166"/>
      <c r="B430" s="1"/>
      <c r="C430" s="1"/>
      <c r="D430" s="4"/>
      <c r="E430" s="4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4"/>
      <c r="AB430" s="1"/>
      <c r="AC430" s="167"/>
      <c r="AD430" s="167"/>
      <c r="AE430" s="2"/>
      <c r="AF430" s="2"/>
      <c r="AG430" s="2"/>
      <c r="AH430" s="2"/>
      <c r="AI430" s="2"/>
    </row>
    <row r="431" spans="1:35" customFormat="1" x14ac:dyDescent="0.25">
      <c r="A431" s="166"/>
      <c r="B431" s="1"/>
      <c r="C431" s="1"/>
      <c r="D431" s="4"/>
      <c r="E431" s="4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4"/>
      <c r="AB431" s="1"/>
      <c r="AC431" s="167"/>
      <c r="AD431" s="167"/>
      <c r="AE431" s="2"/>
      <c r="AF431" s="2"/>
      <c r="AG431" s="2"/>
      <c r="AH431" s="2"/>
      <c r="AI431" s="2"/>
    </row>
    <row r="432" spans="1:35" customFormat="1" x14ac:dyDescent="0.25">
      <c r="A432" s="166"/>
      <c r="B432" s="1"/>
      <c r="C432" s="1"/>
      <c r="D432" s="4"/>
      <c r="E432" s="4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4"/>
      <c r="AB432" s="1"/>
      <c r="AC432" s="167"/>
      <c r="AD432" s="167"/>
      <c r="AE432" s="2"/>
      <c r="AF432" s="2"/>
      <c r="AG432" s="2"/>
      <c r="AH432" s="2"/>
      <c r="AI432" s="2"/>
    </row>
    <row r="433" spans="1:35" customFormat="1" x14ac:dyDescent="0.25">
      <c r="A433" s="166"/>
      <c r="B433" s="1"/>
      <c r="C433" s="1"/>
      <c r="D433" s="4"/>
      <c r="E433" s="4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4"/>
      <c r="AB433" s="1"/>
      <c r="AC433" s="167"/>
      <c r="AD433" s="167"/>
      <c r="AE433" s="2"/>
      <c r="AF433" s="2"/>
      <c r="AG433" s="2"/>
      <c r="AH433" s="2"/>
      <c r="AI433" s="2"/>
    </row>
    <row r="434" spans="1:35" customFormat="1" x14ac:dyDescent="0.25">
      <c r="A434" s="166"/>
      <c r="B434" s="1"/>
      <c r="C434" s="1"/>
      <c r="D434" s="4"/>
      <c r="E434" s="4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4"/>
      <c r="AB434" s="1"/>
      <c r="AC434" s="167"/>
      <c r="AD434" s="167"/>
      <c r="AE434" s="2"/>
      <c r="AF434" s="2"/>
      <c r="AG434" s="2"/>
      <c r="AH434" s="2"/>
      <c r="AI434" s="2"/>
    </row>
    <row r="435" spans="1:35" customFormat="1" x14ac:dyDescent="0.25">
      <c r="A435" s="166"/>
      <c r="B435" s="1"/>
      <c r="C435" s="1"/>
      <c r="D435" s="4"/>
      <c r="E435" s="4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4"/>
      <c r="AB435" s="1"/>
      <c r="AC435" s="167"/>
      <c r="AD435" s="167"/>
      <c r="AE435" s="2"/>
      <c r="AF435" s="2"/>
      <c r="AG435" s="2"/>
      <c r="AH435" s="2"/>
      <c r="AI435" s="2"/>
    </row>
    <row r="436" spans="1:35" customFormat="1" x14ac:dyDescent="0.25">
      <c r="A436" s="166"/>
      <c r="B436" s="1"/>
      <c r="C436" s="1"/>
      <c r="D436" s="4"/>
      <c r="E436" s="4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4"/>
      <c r="AB436" s="1"/>
      <c r="AC436" s="167"/>
      <c r="AD436" s="167"/>
      <c r="AE436" s="2"/>
      <c r="AF436" s="2"/>
      <c r="AG436" s="2"/>
      <c r="AH436" s="2"/>
      <c r="AI436" s="2"/>
    </row>
    <row r="437" spans="1:35" customFormat="1" x14ac:dyDescent="0.25">
      <c r="A437" s="166"/>
      <c r="B437" s="1"/>
      <c r="C437" s="1"/>
      <c r="D437" s="4"/>
      <c r="E437" s="4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4"/>
      <c r="AB437" s="1"/>
      <c r="AC437" s="167"/>
      <c r="AD437" s="167"/>
      <c r="AE437" s="2"/>
      <c r="AF437" s="2"/>
      <c r="AG437" s="2"/>
      <c r="AH437" s="2"/>
      <c r="AI437" s="2"/>
    </row>
    <row r="438" spans="1:35" customFormat="1" x14ac:dyDescent="0.25">
      <c r="A438" s="166"/>
      <c r="B438" s="1"/>
      <c r="C438" s="1"/>
      <c r="D438" s="4"/>
      <c r="E438" s="4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4"/>
      <c r="AB438" s="1"/>
      <c r="AC438" s="167"/>
      <c r="AD438" s="167"/>
      <c r="AE438" s="2"/>
      <c r="AF438" s="2"/>
      <c r="AG438" s="2"/>
      <c r="AH438" s="2"/>
      <c r="AI438" s="2"/>
    </row>
    <row r="439" spans="1:35" customFormat="1" x14ac:dyDescent="0.25">
      <c r="A439" s="166"/>
      <c r="B439" s="1"/>
      <c r="C439" s="1"/>
      <c r="D439" s="4"/>
      <c r="E439" s="4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4"/>
      <c r="AB439" s="1"/>
      <c r="AC439" s="167"/>
      <c r="AD439" s="167"/>
      <c r="AE439" s="2"/>
      <c r="AF439" s="2"/>
      <c r="AG439" s="2"/>
      <c r="AH439" s="2"/>
      <c r="AI439" s="2"/>
    </row>
    <row r="440" spans="1:35" customFormat="1" x14ac:dyDescent="0.25">
      <c r="A440" s="166"/>
      <c r="B440" s="1"/>
      <c r="C440" s="1"/>
      <c r="D440" s="4"/>
      <c r="E440" s="4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4"/>
      <c r="AB440" s="1"/>
      <c r="AC440" s="167"/>
      <c r="AD440" s="167"/>
      <c r="AE440" s="2"/>
      <c r="AF440" s="2"/>
      <c r="AG440" s="2"/>
      <c r="AH440" s="2"/>
      <c r="AI440" s="2"/>
    </row>
    <row r="441" spans="1:35" customFormat="1" x14ac:dyDescent="0.25">
      <c r="A441" s="166"/>
      <c r="B441" s="1"/>
      <c r="C441" s="1"/>
      <c r="D441" s="4"/>
      <c r="E441" s="4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4"/>
      <c r="AB441" s="1"/>
      <c r="AC441" s="167"/>
      <c r="AD441" s="167"/>
      <c r="AE441" s="2"/>
      <c r="AF441" s="2"/>
      <c r="AG441" s="2"/>
      <c r="AH441" s="2"/>
      <c r="AI441" s="2"/>
    </row>
    <row r="442" spans="1:35" customFormat="1" x14ac:dyDescent="0.25">
      <c r="A442" s="166"/>
      <c r="B442" s="1"/>
      <c r="C442" s="1"/>
      <c r="D442" s="4"/>
      <c r="E442" s="4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4"/>
      <c r="AB442" s="1"/>
      <c r="AC442" s="167"/>
      <c r="AD442" s="167"/>
      <c r="AE442" s="2"/>
      <c r="AF442" s="2"/>
      <c r="AG442" s="2"/>
      <c r="AH442" s="2"/>
      <c r="AI442" s="2"/>
    </row>
    <row r="443" spans="1:35" customFormat="1" x14ac:dyDescent="0.25">
      <c r="A443" s="166"/>
      <c r="B443" s="1"/>
      <c r="C443" s="1"/>
      <c r="D443" s="4"/>
      <c r="E443" s="4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4"/>
      <c r="AB443" s="1"/>
      <c r="AC443" s="167"/>
      <c r="AD443" s="167"/>
      <c r="AE443" s="2"/>
      <c r="AF443" s="2"/>
      <c r="AG443" s="2"/>
      <c r="AH443" s="2"/>
      <c r="AI443" s="2"/>
    </row>
    <row r="444" spans="1:35" customFormat="1" x14ac:dyDescent="0.25">
      <c r="A444" s="166"/>
      <c r="B444" s="1"/>
      <c r="C444" s="1"/>
      <c r="D444" s="4"/>
      <c r="E444" s="4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4"/>
      <c r="AB444" s="1"/>
      <c r="AC444" s="167"/>
      <c r="AD444" s="167"/>
      <c r="AE444" s="2"/>
      <c r="AF444" s="2"/>
      <c r="AG444" s="2"/>
      <c r="AH444" s="2"/>
      <c r="AI444" s="2"/>
    </row>
    <row r="445" spans="1:35" customFormat="1" x14ac:dyDescent="0.25">
      <c r="A445" s="166"/>
      <c r="B445" s="1"/>
      <c r="C445" s="1"/>
      <c r="D445" s="4"/>
      <c r="E445" s="4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4"/>
      <c r="AB445" s="1"/>
      <c r="AC445" s="167"/>
      <c r="AD445" s="167"/>
      <c r="AE445" s="2"/>
      <c r="AF445" s="2"/>
      <c r="AG445" s="2"/>
      <c r="AH445" s="2"/>
      <c r="AI445" s="2"/>
    </row>
    <row r="446" spans="1:35" customFormat="1" x14ac:dyDescent="0.25">
      <c r="A446" s="166"/>
      <c r="B446" s="1"/>
      <c r="C446" s="1"/>
      <c r="D446" s="4"/>
      <c r="E446" s="4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4"/>
      <c r="AB446" s="1"/>
      <c r="AC446" s="167"/>
      <c r="AD446" s="167"/>
      <c r="AE446" s="2"/>
      <c r="AF446" s="2"/>
      <c r="AG446" s="2"/>
      <c r="AH446" s="2"/>
      <c r="AI446" s="2"/>
    </row>
    <row r="447" spans="1:35" customFormat="1" x14ac:dyDescent="0.25">
      <c r="A447" s="166"/>
      <c r="B447" s="1"/>
      <c r="C447" s="1"/>
      <c r="D447" s="4"/>
      <c r="E447" s="4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4"/>
      <c r="AB447" s="1"/>
      <c r="AC447" s="167"/>
      <c r="AD447" s="167"/>
      <c r="AE447" s="2"/>
      <c r="AF447" s="2"/>
      <c r="AG447" s="2"/>
      <c r="AH447" s="2"/>
      <c r="AI447" s="2"/>
    </row>
    <row r="448" spans="1:35" customFormat="1" x14ac:dyDescent="0.25">
      <c r="A448" s="166"/>
      <c r="B448" s="1"/>
      <c r="C448" s="1"/>
      <c r="D448" s="4"/>
      <c r="E448" s="4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4"/>
      <c r="AB448" s="1"/>
      <c r="AC448" s="167"/>
      <c r="AD448" s="167"/>
      <c r="AE448" s="2"/>
      <c r="AF448" s="2"/>
      <c r="AG448" s="2"/>
      <c r="AH448" s="2"/>
      <c r="AI448" s="2"/>
    </row>
    <row r="449" spans="1:35" customFormat="1" x14ac:dyDescent="0.25">
      <c r="A449" s="166"/>
      <c r="B449" s="1"/>
      <c r="C449" s="1"/>
      <c r="D449" s="4"/>
      <c r="E449" s="4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4"/>
      <c r="AB449" s="1"/>
      <c r="AC449" s="167"/>
      <c r="AD449" s="167"/>
      <c r="AE449" s="2"/>
      <c r="AF449" s="2"/>
      <c r="AG449" s="2"/>
      <c r="AH449" s="2"/>
      <c r="AI449" s="2"/>
    </row>
    <row r="450" spans="1:35" customFormat="1" x14ac:dyDescent="0.25">
      <c r="A450" s="166"/>
      <c r="B450" s="1"/>
      <c r="C450" s="1"/>
      <c r="D450" s="4"/>
      <c r="E450" s="4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4"/>
      <c r="AB450" s="1"/>
      <c r="AC450" s="167"/>
      <c r="AD450" s="167"/>
      <c r="AE450" s="2"/>
      <c r="AF450" s="2"/>
      <c r="AG450" s="2"/>
      <c r="AH450" s="2"/>
      <c r="AI450" s="2"/>
    </row>
    <row r="451" spans="1:35" customFormat="1" x14ac:dyDescent="0.25">
      <c r="A451" s="166"/>
      <c r="B451" s="1"/>
      <c r="C451" s="1"/>
      <c r="D451" s="4"/>
      <c r="E451" s="4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4"/>
      <c r="AB451" s="1"/>
      <c r="AC451" s="167"/>
      <c r="AD451" s="167"/>
      <c r="AE451" s="2"/>
      <c r="AF451" s="2"/>
      <c r="AG451" s="2"/>
      <c r="AH451" s="2"/>
      <c r="AI451" s="2"/>
    </row>
    <row r="452" spans="1:35" customFormat="1" x14ac:dyDescent="0.25">
      <c r="A452" s="166"/>
      <c r="B452" s="1"/>
      <c r="C452" s="1"/>
      <c r="D452" s="4"/>
      <c r="E452" s="4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4"/>
      <c r="AB452" s="1"/>
      <c r="AC452" s="167"/>
      <c r="AD452" s="167"/>
      <c r="AE452" s="2"/>
      <c r="AF452" s="2"/>
      <c r="AG452" s="2"/>
      <c r="AH452" s="2"/>
      <c r="AI452" s="2"/>
    </row>
    <row r="453" spans="1:35" customFormat="1" x14ac:dyDescent="0.25">
      <c r="A453" s="166"/>
      <c r="B453" s="1"/>
      <c r="C453" s="1"/>
      <c r="D453" s="4"/>
      <c r="E453" s="4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4"/>
      <c r="AB453" s="1"/>
      <c r="AC453" s="167"/>
      <c r="AD453" s="167"/>
      <c r="AE453" s="2"/>
      <c r="AF453" s="2"/>
      <c r="AG453" s="2"/>
      <c r="AH453" s="2"/>
      <c r="AI453" s="2"/>
    </row>
    <row r="454" spans="1:35" customFormat="1" x14ac:dyDescent="0.25">
      <c r="A454" s="166"/>
      <c r="B454" s="1"/>
      <c r="C454" s="1"/>
      <c r="D454" s="4"/>
      <c r="E454" s="4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4"/>
      <c r="AB454" s="1"/>
      <c r="AC454" s="167"/>
      <c r="AD454" s="167"/>
      <c r="AE454" s="2"/>
      <c r="AF454" s="2"/>
      <c r="AG454" s="2"/>
      <c r="AH454" s="2"/>
      <c r="AI454" s="2"/>
    </row>
    <row r="455" spans="1:35" customFormat="1" x14ac:dyDescent="0.25">
      <c r="A455" s="166"/>
      <c r="B455" s="1"/>
      <c r="C455" s="1"/>
      <c r="D455" s="4"/>
      <c r="E455" s="4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4"/>
      <c r="AB455" s="1"/>
      <c r="AC455" s="167"/>
      <c r="AD455" s="167"/>
      <c r="AE455" s="2"/>
      <c r="AF455" s="2"/>
      <c r="AG455" s="2"/>
      <c r="AH455" s="2"/>
      <c r="AI455" s="2"/>
    </row>
    <row r="456" spans="1:35" customFormat="1" x14ac:dyDescent="0.25">
      <c r="A456" s="166"/>
      <c r="B456" s="1"/>
      <c r="C456" s="1"/>
      <c r="D456" s="4"/>
      <c r="E456" s="4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4"/>
      <c r="AB456" s="1"/>
      <c r="AC456" s="167"/>
      <c r="AD456" s="167"/>
      <c r="AE456" s="2"/>
      <c r="AF456" s="2"/>
      <c r="AG456" s="2"/>
      <c r="AH456" s="2"/>
      <c r="AI456" s="2"/>
    </row>
    <row r="457" spans="1:35" customFormat="1" x14ac:dyDescent="0.25">
      <c r="A457" s="166"/>
      <c r="B457" s="1"/>
      <c r="C457" s="1"/>
      <c r="D457" s="4"/>
      <c r="E457" s="4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4"/>
      <c r="AB457" s="1"/>
      <c r="AC457" s="167"/>
      <c r="AD457" s="167"/>
      <c r="AE457" s="2"/>
      <c r="AF457" s="2"/>
      <c r="AG457" s="2"/>
      <c r="AH457" s="2"/>
      <c r="AI457" s="2"/>
    </row>
    <row r="458" spans="1:35" customFormat="1" x14ac:dyDescent="0.25">
      <c r="A458" s="166"/>
      <c r="B458" s="1"/>
      <c r="C458" s="1"/>
      <c r="D458" s="4"/>
      <c r="E458" s="4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4"/>
      <c r="AB458" s="1"/>
      <c r="AC458" s="167"/>
      <c r="AD458" s="167"/>
      <c r="AE458" s="2"/>
      <c r="AF458" s="2"/>
      <c r="AG458" s="2"/>
      <c r="AH458" s="2"/>
      <c r="AI458" s="2"/>
    </row>
    <row r="459" spans="1:35" customFormat="1" x14ac:dyDescent="0.25">
      <c r="A459" s="166"/>
      <c r="B459" s="1"/>
      <c r="C459" s="1"/>
      <c r="D459" s="4"/>
      <c r="E459" s="4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4"/>
      <c r="AB459" s="1"/>
      <c r="AC459" s="167"/>
      <c r="AD459" s="167"/>
      <c r="AE459" s="2"/>
      <c r="AF459" s="2"/>
      <c r="AG459" s="2"/>
      <c r="AH459" s="2"/>
      <c r="AI459" s="2"/>
    </row>
    <row r="460" spans="1:35" customFormat="1" x14ac:dyDescent="0.25">
      <c r="A460" s="166"/>
      <c r="B460" s="1"/>
      <c r="C460" s="1"/>
      <c r="D460" s="4"/>
      <c r="E460" s="4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4"/>
      <c r="AB460" s="1"/>
      <c r="AC460" s="167"/>
      <c r="AD460" s="167"/>
      <c r="AE460" s="2"/>
      <c r="AF460" s="2"/>
      <c r="AG460" s="2"/>
      <c r="AH460" s="2"/>
      <c r="AI460" s="2"/>
    </row>
    <row r="461" spans="1:35" customFormat="1" x14ac:dyDescent="0.25">
      <c r="A461" s="166"/>
      <c r="B461" s="1"/>
      <c r="C461" s="1"/>
      <c r="D461" s="4"/>
      <c r="E461" s="4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4"/>
      <c r="AB461" s="1"/>
      <c r="AC461" s="167"/>
      <c r="AD461" s="167"/>
      <c r="AE461" s="2"/>
      <c r="AF461" s="2"/>
      <c r="AG461" s="2"/>
      <c r="AH461" s="2"/>
      <c r="AI461" s="2"/>
    </row>
    <row r="462" spans="1:35" customFormat="1" x14ac:dyDescent="0.25">
      <c r="A462" s="166"/>
      <c r="B462" s="1"/>
      <c r="C462" s="1"/>
      <c r="D462" s="4"/>
      <c r="E462" s="4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4"/>
      <c r="AB462" s="1"/>
      <c r="AC462" s="167"/>
      <c r="AD462" s="167"/>
      <c r="AE462" s="2"/>
      <c r="AF462" s="2"/>
      <c r="AG462" s="2"/>
      <c r="AH462" s="2"/>
      <c r="AI462" s="2"/>
    </row>
    <row r="463" spans="1:35" customFormat="1" x14ac:dyDescent="0.25">
      <c r="A463" s="166"/>
      <c r="B463" s="1"/>
      <c r="C463" s="1"/>
      <c r="D463" s="4"/>
      <c r="E463" s="4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4"/>
      <c r="AB463" s="1"/>
      <c r="AC463" s="167"/>
      <c r="AD463" s="167"/>
      <c r="AE463" s="2"/>
      <c r="AF463" s="2"/>
      <c r="AG463" s="2"/>
      <c r="AH463" s="2"/>
      <c r="AI463" s="2"/>
    </row>
    <row r="464" spans="1:35" customFormat="1" x14ac:dyDescent="0.25">
      <c r="A464" s="166"/>
      <c r="B464" s="1"/>
      <c r="C464" s="1"/>
      <c r="D464" s="4"/>
      <c r="E464" s="4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4"/>
      <c r="AB464" s="1"/>
      <c r="AC464" s="167"/>
      <c r="AD464" s="167"/>
      <c r="AE464" s="2"/>
      <c r="AF464" s="2"/>
      <c r="AG464" s="2"/>
      <c r="AH464" s="2"/>
      <c r="AI464" s="2"/>
    </row>
    <row r="465" spans="1:35" customFormat="1" x14ac:dyDescent="0.25">
      <c r="A465" s="166"/>
      <c r="B465" s="1"/>
      <c r="C465" s="1"/>
      <c r="D465" s="4"/>
      <c r="E465" s="4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4"/>
      <c r="AB465" s="1"/>
      <c r="AC465" s="167"/>
      <c r="AD465" s="167"/>
      <c r="AE465" s="2"/>
      <c r="AF465" s="2"/>
      <c r="AG465" s="2"/>
      <c r="AH465" s="2"/>
      <c r="AI465" s="2"/>
    </row>
    <row r="466" spans="1:35" customFormat="1" x14ac:dyDescent="0.25">
      <c r="A466" s="166"/>
      <c r="B466" s="1"/>
      <c r="C466" s="1"/>
      <c r="D466" s="4"/>
      <c r="E466" s="4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4"/>
      <c r="AB466" s="1"/>
      <c r="AC466" s="167"/>
      <c r="AD466" s="167"/>
      <c r="AE466" s="2"/>
      <c r="AF466" s="2"/>
      <c r="AG466" s="2"/>
      <c r="AH466" s="2"/>
      <c r="AI466" s="2"/>
    </row>
    <row r="467" spans="1:35" customFormat="1" x14ac:dyDescent="0.25">
      <c r="A467" s="166"/>
      <c r="B467" s="1"/>
      <c r="C467" s="1"/>
      <c r="D467" s="4"/>
      <c r="E467" s="4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4"/>
      <c r="AB467" s="1"/>
      <c r="AC467" s="167"/>
      <c r="AD467" s="167"/>
      <c r="AE467" s="2"/>
      <c r="AF467" s="2"/>
      <c r="AG467" s="2"/>
      <c r="AH467" s="2"/>
      <c r="AI467" s="2"/>
    </row>
    <row r="468" spans="1:35" customFormat="1" x14ac:dyDescent="0.25">
      <c r="A468" s="166"/>
      <c r="B468" s="1"/>
      <c r="C468" s="1"/>
      <c r="D468" s="4"/>
      <c r="E468" s="4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4"/>
      <c r="AB468" s="1"/>
      <c r="AC468" s="167"/>
      <c r="AD468" s="167"/>
      <c r="AE468" s="2"/>
      <c r="AF468" s="2"/>
      <c r="AG468" s="2"/>
      <c r="AH468" s="2"/>
      <c r="AI468" s="2"/>
    </row>
    <row r="469" spans="1:35" customFormat="1" x14ac:dyDescent="0.25">
      <c r="A469" s="166"/>
      <c r="B469" s="1"/>
      <c r="C469" s="1"/>
      <c r="D469" s="4"/>
      <c r="E469" s="4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4"/>
      <c r="AB469" s="1"/>
      <c r="AC469" s="167"/>
      <c r="AD469" s="167"/>
      <c r="AE469" s="2"/>
      <c r="AF469" s="2"/>
      <c r="AG469" s="2"/>
      <c r="AH469" s="2"/>
      <c r="AI469" s="2"/>
    </row>
    <row r="470" spans="1:35" customFormat="1" x14ac:dyDescent="0.25">
      <c r="A470" s="166"/>
      <c r="B470" s="1"/>
      <c r="C470" s="1"/>
      <c r="D470" s="4"/>
      <c r="E470" s="4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4"/>
      <c r="AB470" s="1"/>
      <c r="AC470" s="167"/>
      <c r="AD470" s="167"/>
      <c r="AE470" s="2"/>
      <c r="AF470" s="2"/>
      <c r="AG470" s="2"/>
      <c r="AH470" s="2"/>
      <c r="AI470" s="2"/>
    </row>
    <row r="471" spans="1:35" customFormat="1" x14ac:dyDescent="0.25">
      <c r="A471" s="166"/>
      <c r="B471" s="1"/>
      <c r="C471" s="1"/>
      <c r="D471" s="4"/>
      <c r="E471" s="4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4"/>
      <c r="AB471" s="1"/>
      <c r="AC471" s="167"/>
      <c r="AD471" s="167"/>
      <c r="AE471" s="2"/>
      <c r="AF471" s="2"/>
      <c r="AG471" s="2"/>
      <c r="AH471" s="2"/>
      <c r="AI471" s="2"/>
    </row>
    <row r="472" spans="1:35" customFormat="1" x14ac:dyDescent="0.25">
      <c r="A472" s="166"/>
      <c r="B472" s="1"/>
      <c r="C472" s="1"/>
      <c r="D472" s="4"/>
      <c r="E472" s="4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4"/>
      <c r="AB472" s="1"/>
      <c r="AC472" s="167"/>
      <c r="AD472" s="167"/>
      <c r="AE472" s="2"/>
      <c r="AF472" s="2"/>
      <c r="AG472" s="2"/>
      <c r="AH472" s="2"/>
      <c r="AI472" s="2"/>
    </row>
    <row r="473" spans="1:35" customFormat="1" x14ac:dyDescent="0.25">
      <c r="A473" s="166"/>
      <c r="B473" s="1"/>
      <c r="C473" s="1"/>
      <c r="D473" s="4"/>
      <c r="E473" s="4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4"/>
      <c r="AB473" s="1"/>
      <c r="AC473" s="167"/>
      <c r="AD473" s="167"/>
      <c r="AE473" s="2"/>
      <c r="AF473" s="2"/>
      <c r="AG473" s="2"/>
      <c r="AH473" s="2"/>
      <c r="AI473" s="2"/>
    </row>
    <row r="474" spans="1:35" customFormat="1" x14ac:dyDescent="0.25">
      <c r="A474" s="166"/>
      <c r="B474" s="1"/>
      <c r="C474" s="1"/>
      <c r="D474" s="4"/>
      <c r="E474" s="4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4"/>
      <c r="AB474" s="1"/>
      <c r="AC474" s="167"/>
      <c r="AD474" s="167"/>
      <c r="AE474" s="2"/>
      <c r="AF474" s="2"/>
      <c r="AG474" s="2"/>
      <c r="AH474" s="2"/>
      <c r="AI474" s="2"/>
    </row>
    <row r="475" spans="1:35" customFormat="1" x14ac:dyDescent="0.25">
      <c r="A475" s="166"/>
      <c r="B475" s="1"/>
      <c r="C475" s="1"/>
      <c r="D475" s="4"/>
      <c r="E475" s="4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4"/>
      <c r="AB475" s="1"/>
      <c r="AC475" s="167"/>
      <c r="AD475" s="167"/>
      <c r="AE475" s="2"/>
      <c r="AF475" s="2"/>
      <c r="AG475" s="2"/>
      <c r="AH475" s="2"/>
      <c r="AI475" s="2"/>
    </row>
    <row r="476" spans="1:35" customFormat="1" x14ac:dyDescent="0.25">
      <c r="A476" s="166"/>
      <c r="B476" s="1"/>
      <c r="C476" s="1"/>
      <c r="D476" s="4"/>
      <c r="E476" s="4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4"/>
      <c r="AB476" s="1"/>
      <c r="AC476" s="167"/>
      <c r="AD476" s="167"/>
      <c r="AE476" s="2"/>
      <c r="AF476" s="2"/>
      <c r="AG476" s="2"/>
      <c r="AH476" s="2"/>
      <c r="AI476" s="2"/>
    </row>
    <row r="477" spans="1:35" customFormat="1" x14ac:dyDescent="0.25">
      <c r="A477" s="166"/>
      <c r="B477" s="1"/>
      <c r="C477" s="1"/>
      <c r="D477" s="4"/>
      <c r="E477" s="4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4"/>
      <c r="AB477" s="1"/>
      <c r="AC477" s="167"/>
      <c r="AD477" s="167"/>
      <c r="AE477" s="2"/>
      <c r="AF477" s="2"/>
      <c r="AG477" s="2"/>
      <c r="AH477" s="2"/>
      <c r="AI477" s="2"/>
    </row>
    <row r="478" spans="1:35" customFormat="1" x14ac:dyDescent="0.25">
      <c r="A478" s="166"/>
      <c r="B478" s="1"/>
      <c r="C478" s="1"/>
      <c r="D478" s="4"/>
      <c r="E478" s="4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4"/>
      <c r="AB478" s="1"/>
      <c r="AC478" s="167"/>
      <c r="AD478" s="167"/>
      <c r="AE478" s="2"/>
      <c r="AF478" s="2"/>
      <c r="AG478" s="2"/>
      <c r="AH478" s="2"/>
      <c r="AI478" s="2"/>
    </row>
    <row r="479" spans="1:35" customFormat="1" x14ac:dyDescent="0.25">
      <c r="A479" s="166"/>
      <c r="B479" s="1"/>
      <c r="C479" s="1"/>
      <c r="D479" s="4"/>
      <c r="E479" s="4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4"/>
      <c r="AB479" s="1"/>
      <c r="AC479" s="167"/>
      <c r="AD479" s="167"/>
      <c r="AE479" s="2"/>
      <c r="AF479" s="2"/>
      <c r="AG479" s="2"/>
      <c r="AH479" s="2"/>
      <c r="AI479" s="2"/>
    </row>
    <row r="480" spans="1:35" customFormat="1" x14ac:dyDescent="0.25">
      <c r="A480" s="166"/>
      <c r="B480" s="1"/>
      <c r="C480" s="1"/>
      <c r="D480" s="4"/>
      <c r="E480" s="4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4"/>
      <c r="AB480" s="1"/>
      <c r="AC480" s="167"/>
      <c r="AD480" s="167"/>
      <c r="AE480" s="2"/>
      <c r="AF480" s="2"/>
      <c r="AG480" s="2"/>
      <c r="AH480" s="2"/>
      <c r="AI480" s="2"/>
    </row>
    <row r="481" spans="1:35" customFormat="1" x14ac:dyDescent="0.25">
      <c r="A481" s="166"/>
      <c r="B481" s="1"/>
      <c r="C481" s="1"/>
      <c r="D481" s="4"/>
      <c r="E481" s="4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4"/>
      <c r="AB481" s="1"/>
      <c r="AC481" s="167"/>
      <c r="AD481" s="167"/>
      <c r="AE481" s="2"/>
      <c r="AF481" s="2"/>
      <c r="AG481" s="2"/>
      <c r="AH481" s="2"/>
      <c r="AI481" s="2"/>
    </row>
    <row r="482" spans="1:35" customFormat="1" x14ac:dyDescent="0.25">
      <c r="A482" s="166"/>
      <c r="B482" s="1"/>
      <c r="C482" s="1"/>
      <c r="D482" s="4"/>
      <c r="E482" s="4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4"/>
      <c r="AB482" s="1"/>
      <c r="AC482" s="167"/>
      <c r="AD482" s="167"/>
      <c r="AE482" s="2"/>
      <c r="AF482" s="2"/>
      <c r="AG482" s="2"/>
      <c r="AH482" s="2"/>
      <c r="AI482" s="2"/>
    </row>
    <row r="483" spans="1:35" customFormat="1" x14ac:dyDescent="0.25">
      <c r="A483" s="166"/>
      <c r="B483" s="1"/>
      <c r="C483" s="1"/>
      <c r="D483" s="4"/>
      <c r="E483" s="4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4"/>
      <c r="AB483" s="1"/>
      <c r="AC483" s="167"/>
      <c r="AD483" s="167"/>
      <c r="AE483" s="2"/>
      <c r="AF483" s="2"/>
      <c r="AG483" s="2"/>
      <c r="AH483" s="2"/>
      <c r="AI483" s="2"/>
    </row>
    <row r="484" spans="1:35" customFormat="1" x14ac:dyDescent="0.25">
      <c r="A484" s="166"/>
      <c r="B484" s="1"/>
      <c r="C484" s="1"/>
      <c r="D484" s="4"/>
      <c r="E484" s="4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4"/>
      <c r="AB484" s="1"/>
      <c r="AC484" s="167"/>
      <c r="AD484" s="167"/>
      <c r="AE484" s="2"/>
      <c r="AF484" s="2"/>
      <c r="AG484" s="2"/>
      <c r="AH484" s="2"/>
      <c r="AI484" s="2"/>
    </row>
    <row r="485" spans="1:35" customFormat="1" x14ac:dyDescent="0.25">
      <c r="A485" s="166"/>
      <c r="B485" s="1"/>
      <c r="C485" s="1"/>
      <c r="D485" s="4"/>
      <c r="E485" s="4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4"/>
      <c r="AB485" s="1"/>
      <c r="AC485" s="167"/>
      <c r="AD485" s="167"/>
      <c r="AE485" s="2"/>
      <c r="AF485" s="2"/>
      <c r="AG485" s="2"/>
      <c r="AH485" s="2"/>
      <c r="AI485" s="2"/>
    </row>
    <row r="486" spans="1:35" customFormat="1" x14ac:dyDescent="0.25">
      <c r="A486" s="166"/>
      <c r="B486" s="1"/>
      <c r="C486" s="1"/>
      <c r="D486" s="4"/>
      <c r="E486" s="4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4"/>
      <c r="AB486" s="1"/>
      <c r="AC486" s="167"/>
      <c r="AD486" s="167"/>
      <c r="AE486" s="2"/>
      <c r="AF486" s="2"/>
      <c r="AG486" s="2"/>
      <c r="AH486" s="2"/>
      <c r="AI486" s="2"/>
    </row>
    <row r="487" spans="1:35" customFormat="1" x14ac:dyDescent="0.25">
      <c r="A487" s="166"/>
      <c r="B487" s="1"/>
      <c r="C487" s="1"/>
      <c r="D487" s="4"/>
      <c r="E487" s="4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4"/>
      <c r="AB487" s="1"/>
      <c r="AC487" s="167"/>
      <c r="AD487" s="167"/>
      <c r="AE487" s="2"/>
      <c r="AF487" s="2"/>
      <c r="AG487" s="2"/>
      <c r="AH487" s="2"/>
      <c r="AI487" s="2"/>
    </row>
    <row r="488" spans="1:35" customFormat="1" x14ac:dyDescent="0.25">
      <c r="A488" s="166"/>
      <c r="B488" s="1"/>
      <c r="C488" s="1"/>
      <c r="D488" s="4"/>
      <c r="E488" s="4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4"/>
      <c r="AB488" s="1"/>
      <c r="AC488" s="167"/>
      <c r="AD488" s="167"/>
      <c r="AE488" s="2"/>
      <c r="AF488" s="2"/>
      <c r="AG488" s="2"/>
      <c r="AH488" s="2"/>
      <c r="AI488" s="2"/>
    </row>
    <row r="489" spans="1:35" customFormat="1" x14ac:dyDescent="0.25">
      <c r="A489" s="166"/>
      <c r="B489" s="1"/>
      <c r="C489" s="1"/>
      <c r="D489" s="4"/>
      <c r="E489" s="4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4"/>
      <c r="AB489" s="1"/>
      <c r="AC489" s="167"/>
      <c r="AD489" s="167"/>
      <c r="AE489" s="2"/>
      <c r="AF489" s="2"/>
      <c r="AG489" s="2"/>
      <c r="AH489" s="2"/>
      <c r="AI489" s="2"/>
    </row>
    <row r="490" spans="1:35" customFormat="1" x14ac:dyDescent="0.25">
      <c r="A490" s="166"/>
      <c r="B490" s="1"/>
      <c r="C490" s="1"/>
      <c r="D490" s="4"/>
      <c r="E490" s="4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4"/>
      <c r="AB490" s="1"/>
      <c r="AC490" s="167"/>
      <c r="AD490" s="167"/>
      <c r="AE490" s="2"/>
      <c r="AF490" s="2"/>
      <c r="AG490" s="2"/>
      <c r="AH490" s="2"/>
      <c r="AI490" s="2"/>
    </row>
    <row r="491" spans="1:35" customFormat="1" x14ac:dyDescent="0.25">
      <c r="A491" s="166"/>
      <c r="B491" s="1"/>
      <c r="C491" s="1"/>
      <c r="D491" s="4"/>
      <c r="E491" s="4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4"/>
      <c r="AB491" s="1"/>
      <c r="AC491" s="167"/>
      <c r="AD491" s="167"/>
      <c r="AE491" s="2"/>
      <c r="AF491" s="2"/>
      <c r="AG491" s="2"/>
      <c r="AH491" s="2"/>
      <c r="AI491" s="2"/>
    </row>
    <row r="492" spans="1:35" customFormat="1" x14ac:dyDescent="0.25">
      <c r="A492" s="166"/>
      <c r="B492" s="1"/>
      <c r="C492" s="1"/>
      <c r="D492" s="4"/>
      <c r="E492" s="4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4"/>
      <c r="AB492" s="1"/>
      <c r="AC492" s="167"/>
      <c r="AD492" s="167"/>
      <c r="AE492" s="2"/>
      <c r="AF492" s="2"/>
      <c r="AG492" s="2"/>
      <c r="AH492" s="2"/>
      <c r="AI492" s="2"/>
    </row>
    <row r="493" spans="1:35" customFormat="1" x14ac:dyDescent="0.25">
      <c r="A493" s="166"/>
      <c r="B493" s="1"/>
      <c r="C493" s="1"/>
      <c r="D493" s="4"/>
      <c r="E493" s="4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4"/>
      <c r="AB493" s="1"/>
      <c r="AC493" s="167"/>
      <c r="AD493" s="167"/>
      <c r="AE493" s="2"/>
      <c r="AF493" s="2"/>
      <c r="AG493" s="2"/>
      <c r="AH493" s="2"/>
      <c r="AI493" s="2"/>
    </row>
    <row r="494" spans="1:35" customFormat="1" x14ac:dyDescent="0.25">
      <c r="A494" s="166"/>
      <c r="B494" s="1"/>
      <c r="C494" s="1"/>
      <c r="D494" s="4"/>
      <c r="E494" s="4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4"/>
      <c r="AB494" s="1"/>
      <c r="AC494" s="167"/>
      <c r="AD494" s="167"/>
      <c r="AE494" s="2"/>
      <c r="AF494" s="2"/>
      <c r="AG494" s="2"/>
      <c r="AH494" s="2"/>
      <c r="AI494" s="2"/>
    </row>
    <row r="495" spans="1:35" customFormat="1" x14ac:dyDescent="0.25">
      <c r="A495" s="166"/>
      <c r="B495" s="1"/>
      <c r="C495" s="1"/>
      <c r="D495" s="4"/>
      <c r="E495" s="4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4"/>
      <c r="AB495" s="1"/>
      <c r="AC495" s="167"/>
      <c r="AD495" s="167"/>
      <c r="AE495" s="2"/>
      <c r="AF495" s="2"/>
      <c r="AG495" s="2"/>
      <c r="AH495" s="2"/>
      <c r="AI495" s="2"/>
    </row>
    <row r="496" spans="1:35" customFormat="1" x14ac:dyDescent="0.25">
      <c r="A496" s="166"/>
      <c r="B496" s="1"/>
      <c r="C496" s="1"/>
      <c r="D496" s="4"/>
      <c r="E496" s="4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4"/>
      <c r="AB496" s="1"/>
      <c r="AC496" s="167"/>
      <c r="AD496" s="167"/>
      <c r="AE496" s="2"/>
      <c r="AF496" s="2"/>
      <c r="AG496" s="2"/>
      <c r="AH496" s="2"/>
      <c r="AI496" s="2"/>
    </row>
    <row r="497" spans="1:35" customFormat="1" x14ac:dyDescent="0.25">
      <c r="A497" s="166"/>
      <c r="B497" s="1"/>
      <c r="C497" s="1"/>
      <c r="D497" s="4"/>
      <c r="E497" s="4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4"/>
      <c r="AB497" s="1"/>
      <c r="AC497" s="167"/>
      <c r="AD497" s="167"/>
      <c r="AE497" s="2"/>
      <c r="AF497" s="2"/>
      <c r="AG497" s="2"/>
      <c r="AH497" s="2"/>
      <c r="AI497" s="2"/>
    </row>
    <row r="498" spans="1:35" customFormat="1" x14ac:dyDescent="0.25">
      <c r="A498" s="166"/>
      <c r="B498" s="1"/>
      <c r="C498" s="1"/>
      <c r="D498" s="4"/>
      <c r="E498" s="4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4"/>
      <c r="AB498" s="1"/>
      <c r="AC498" s="167"/>
      <c r="AD498" s="167"/>
      <c r="AE498" s="2"/>
      <c r="AF498" s="2"/>
      <c r="AG498" s="2"/>
      <c r="AH498" s="2"/>
      <c r="AI498" s="2"/>
    </row>
    <row r="499" spans="1:35" customFormat="1" x14ac:dyDescent="0.25">
      <c r="A499" s="166"/>
      <c r="B499" s="1"/>
      <c r="C499" s="1"/>
      <c r="D499" s="4"/>
      <c r="E499" s="4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4"/>
      <c r="AB499" s="1"/>
      <c r="AC499" s="167"/>
      <c r="AD499" s="167"/>
      <c r="AE499" s="2"/>
      <c r="AF499" s="2"/>
      <c r="AG499" s="2"/>
      <c r="AH499" s="2"/>
      <c r="AI499" s="2"/>
    </row>
    <row r="500" spans="1:35" customFormat="1" x14ac:dyDescent="0.25">
      <c r="A500" s="166"/>
      <c r="B500" s="1"/>
      <c r="C500" s="1"/>
      <c r="D500" s="4"/>
      <c r="E500" s="4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4"/>
      <c r="AB500" s="1"/>
      <c r="AC500" s="167"/>
      <c r="AD500" s="167"/>
      <c r="AE500" s="2"/>
      <c r="AF500" s="2"/>
      <c r="AG500" s="2"/>
      <c r="AH500" s="2"/>
      <c r="AI500" s="2"/>
    </row>
    <row r="501" spans="1:35" customFormat="1" x14ac:dyDescent="0.25">
      <c r="A501" s="166"/>
      <c r="B501" s="1"/>
      <c r="C501" s="1"/>
      <c r="D501" s="4"/>
      <c r="E501" s="4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4"/>
      <c r="AB501" s="1"/>
      <c r="AC501" s="167"/>
      <c r="AD501" s="167"/>
      <c r="AE501" s="2"/>
      <c r="AF501" s="2"/>
      <c r="AG501" s="2"/>
      <c r="AH501" s="2"/>
      <c r="AI501" s="2"/>
    </row>
    <row r="502" spans="1:35" customFormat="1" x14ac:dyDescent="0.25">
      <c r="A502" s="166"/>
      <c r="B502" s="1"/>
      <c r="C502" s="1"/>
      <c r="D502" s="4"/>
      <c r="E502" s="4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4"/>
      <c r="AB502" s="1"/>
      <c r="AC502" s="167"/>
      <c r="AD502" s="167"/>
      <c r="AE502" s="2"/>
      <c r="AF502" s="2"/>
      <c r="AG502" s="2"/>
      <c r="AH502" s="2"/>
      <c r="AI502" s="2"/>
    </row>
    <row r="503" spans="1:35" customFormat="1" x14ac:dyDescent="0.25">
      <c r="A503" s="166"/>
      <c r="B503" s="1"/>
      <c r="C503" s="1"/>
      <c r="D503" s="4"/>
      <c r="E503" s="4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4"/>
      <c r="AB503" s="1"/>
      <c r="AC503" s="167"/>
      <c r="AD503" s="167"/>
      <c r="AE503" s="2"/>
      <c r="AF503" s="2"/>
      <c r="AG503" s="2"/>
      <c r="AH503" s="2"/>
      <c r="AI503" s="2"/>
    </row>
    <row r="504" spans="1:35" customFormat="1" x14ac:dyDescent="0.25">
      <c r="A504" s="166"/>
      <c r="B504" s="1"/>
      <c r="C504" s="1"/>
      <c r="D504" s="4"/>
      <c r="E504" s="4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4"/>
      <c r="AB504" s="1"/>
      <c r="AC504" s="167"/>
      <c r="AD504" s="167"/>
      <c r="AE504" s="2"/>
      <c r="AF504" s="2"/>
      <c r="AG504" s="2"/>
      <c r="AH504" s="2"/>
      <c r="AI504" s="2"/>
    </row>
    <row r="505" spans="1:35" customFormat="1" x14ac:dyDescent="0.25">
      <c r="A505" s="166"/>
      <c r="B505" s="1"/>
      <c r="C505" s="1"/>
      <c r="D505" s="4"/>
      <c r="E505" s="4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4"/>
      <c r="AB505" s="1"/>
      <c r="AC505" s="167"/>
      <c r="AD505" s="167"/>
      <c r="AE505" s="2"/>
      <c r="AF505" s="2"/>
      <c r="AG505" s="2"/>
      <c r="AH505" s="2"/>
      <c r="AI505" s="2"/>
    </row>
    <row r="506" spans="1:35" customFormat="1" x14ac:dyDescent="0.25">
      <c r="A506" s="166"/>
      <c r="B506" s="1"/>
      <c r="C506" s="1"/>
      <c r="D506" s="4"/>
      <c r="E506" s="4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4"/>
      <c r="AB506" s="1"/>
      <c r="AC506" s="167"/>
      <c r="AD506" s="167"/>
      <c r="AE506" s="2"/>
      <c r="AF506" s="2"/>
      <c r="AG506" s="2"/>
      <c r="AH506" s="2"/>
      <c r="AI506" s="2"/>
    </row>
    <row r="507" spans="1:35" customFormat="1" x14ac:dyDescent="0.25">
      <c r="A507" s="166"/>
      <c r="B507" s="1"/>
      <c r="C507" s="1"/>
      <c r="D507" s="4"/>
      <c r="E507" s="4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4"/>
      <c r="AB507" s="1"/>
      <c r="AC507" s="167"/>
      <c r="AD507" s="167"/>
      <c r="AE507" s="2"/>
      <c r="AF507" s="2"/>
      <c r="AG507" s="2"/>
      <c r="AH507" s="2"/>
      <c r="AI507" s="2"/>
    </row>
    <row r="508" spans="1:35" customFormat="1" x14ac:dyDescent="0.25">
      <c r="A508" s="166"/>
      <c r="B508" s="1"/>
      <c r="C508" s="1"/>
      <c r="D508" s="4"/>
      <c r="E508" s="4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4"/>
      <c r="AB508" s="1"/>
      <c r="AC508" s="167"/>
      <c r="AD508" s="167"/>
      <c r="AE508" s="2"/>
      <c r="AF508" s="2"/>
      <c r="AG508" s="2"/>
      <c r="AH508" s="2"/>
      <c r="AI508" s="2"/>
    </row>
    <row r="509" spans="1:35" customFormat="1" x14ac:dyDescent="0.25">
      <c r="A509" s="166"/>
      <c r="B509" s="1"/>
      <c r="C509" s="1"/>
      <c r="D509" s="4"/>
      <c r="E509" s="4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4"/>
      <c r="AB509" s="1"/>
      <c r="AC509" s="167"/>
      <c r="AD509" s="167"/>
      <c r="AE509" s="2"/>
      <c r="AF509" s="2"/>
      <c r="AG509" s="2"/>
      <c r="AH509" s="2"/>
      <c r="AI509" s="2"/>
    </row>
    <row r="510" spans="1:35" customFormat="1" x14ac:dyDescent="0.25">
      <c r="A510" s="166"/>
      <c r="B510" s="1"/>
      <c r="C510" s="1"/>
      <c r="D510" s="4"/>
      <c r="E510" s="4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4"/>
      <c r="AB510" s="1"/>
      <c r="AC510" s="167"/>
      <c r="AD510" s="167"/>
      <c r="AE510" s="2"/>
      <c r="AF510" s="2"/>
      <c r="AG510" s="2"/>
      <c r="AH510" s="2"/>
      <c r="AI510" s="2"/>
    </row>
    <row r="511" spans="1:35" customFormat="1" x14ac:dyDescent="0.25">
      <c r="A511" s="166"/>
      <c r="B511" s="1"/>
      <c r="C511" s="1"/>
      <c r="D511" s="4"/>
      <c r="E511" s="4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4"/>
      <c r="AB511" s="1"/>
      <c r="AC511" s="167"/>
      <c r="AD511" s="167"/>
      <c r="AE511" s="2"/>
      <c r="AF511" s="2"/>
      <c r="AG511" s="2"/>
      <c r="AH511" s="2"/>
      <c r="AI511" s="2"/>
    </row>
    <row r="512" spans="1:35" customFormat="1" x14ac:dyDescent="0.25">
      <c r="A512" s="166"/>
      <c r="B512" s="1"/>
      <c r="C512" s="1"/>
      <c r="D512" s="4"/>
      <c r="E512" s="4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4"/>
      <c r="AB512" s="1"/>
      <c r="AC512" s="167"/>
      <c r="AD512" s="167"/>
      <c r="AE512" s="2"/>
      <c r="AF512" s="2"/>
      <c r="AG512" s="2"/>
      <c r="AH512" s="2"/>
      <c r="AI512" s="2"/>
    </row>
    <row r="513" spans="1:35" customFormat="1" x14ac:dyDescent="0.25">
      <c r="A513" s="166"/>
      <c r="B513" s="1"/>
      <c r="C513" s="1"/>
      <c r="D513" s="4"/>
      <c r="E513" s="4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4"/>
      <c r="AB513" s="1"/>
      <c r="AC513" s="167"/>
      <c r="AD513" s="167"/>
      <c r="AE513" s="2"/>
      <c r="AF513" s="2"/>
      <c r="AG513" s="2"/>
      <c r="AH513" s="2"/>
      <c r="AI513" s="2"/>
    </row>
    <row r="514" spans="1:35" customFormat="1" x14ac:dyDescent="0.25">
      <c r="A514" s="166"/>
      <c r="B514" s="1"/>
      <c r="C514" s="1"/>
      <c r="D514" s="4"/>
      <c r="E514" s="4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4"/>
      <c r="AB514" s="1"/>
      <c r="AC514" s="167"/>
      <c r="AD514" s="167"/>
      <c r="AE514" s="2"/>
      <c r="AF514" s="2"/>
      <c r="AG514" s="2"/>
      <c r="AH514" s="2"/>
      <c r="AI514" s="2"/>
    </row>
    <row r="515" spans="1:35" customFormat="1" x14ac:dyDescent="0.25">
      <c r="A515" s="166"/>
      <c r="B515" s="1"/>
      <c r="C515" s="1"/>
      <c r="D515" s="4"/>
      <c r="E515" s="4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4"/>
      <c r="AB515" s="1"/>
      <c r="AC515" s="167"/>
      <c r="AD515" s="167"/>
      <c r="AE515" s="2"/>
      <c r="AF515" s="2"/>
      <c r="AG515" s="2"/>
      <c r="AH515" s="2"/>
      <c r="AI515" s="2"/>
    </row>
    <row r="516" spans="1:35" customFormat="1" x14ac:dyDescent="0.25">
      <c r="A516" s="166"/>
      <c r="B516" s="1"/>
      <c r="C516" s="1"/>
      <c r="D516" s="4"/>
      <c r="E516" s="4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4"/>
      <c r="AB516" s="1"/>
      <c r="AC516" s="167"/>
      <c r="AD516" s="167"/>
      <c r="AE516" s="2"/>
      <c r="AF516" s="2"/>
      <c r="AG516" s="2"/>
      <c r="AH516" s="2"/>
      <c r="AI516" s="2"/>
    </row>
    <row r="517" spans="1:35" customFormat="1" x14ac:dyDescent="0.25">
      <c r="A517" s="166"/>
      <c r="B517" s="1"/>
      <c r="C517" s="1"/>
      <c r="D517" s="4"/>
      <c r="E517" s="4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4"/>
      <c r="AB517" s="1"/>
      <c r="AC517" s="167"/>
      <c r="AD517" s="167"/>
      <c r="AE517" s="2"/>
      <c r="AF517" s="2"/>
      <c r="AG517" s="2"/>
      <c r="AH517" s="2"/>
      <c r="AI517" s="2"/>
    </row>
    <row r="518" spans="1:35" customFormat="1" x14ac:dyDescent="0.25">
      <c r="A518" s="166"/>
      <c r="B518" s="1"/>
      <c r="C518" s="1"/>
      <c r="D518" s="4"/>
      <c r="E518" s="4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4"/>
      <c r="AB518" s="1"/>
      <c r="AC518" s="167"/>
      <c r="AD518" s="167"/>
      <c r="AE518" s="2"/>
      <c r="AF518" s="2"/>
      <c r="AG518" s="2"/>
      <c r="AH518" s="2"/>
      <c r="AI518" s="2"/>
    </row>
    <row r="519" spans="1:35" customFormat="1" x14ac:dyDescent="0.25">
      <c r="A519" s="166"/>
      <c r="B519" s="1"/>
      <c r="C519" s="1"/>
      <c r="D519" s="4"/>
      <c r="E519" s="4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4"/>
      <c r="AB519" s="1"/>
      <c r="AC519" s="167"/>
      <c r="AD519" s="167"/>
      <c r="AE519" s="2"/>
      <c r="AF519" s="2"/>
      <c r="AG519" s="2"/>
      <c r="AH519" s="2"/>
      <c r="AI519" s="2"/>
    </row>
    <row r="520" spans="1:35" customFormat="1" x14ac:dyDescent="0.25">
      <c r="A520" s="166"/>
      <c r="B520" s="1"/>
      <c r="C520" s="1"/>
      <c r="D520" s="4"/>
      <c r="E520" s="4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4"/>
      <c r="AB520" s="1"/>
      <c r="AC520" s="167"/>
      <c r="AD520" s="167"/>
      <c r="AE520" s="2"/>
      <c r="AF520" s="2"/>
      <c r="AG520" s="2"/>
      <c r="AH520" s="2"/>
      <c r="AI520" s="2"/>
    </row>
    <row r="521" spans="1:35" customFormat="1" x14ac:dyDescent="0.25">
      <c r="A521" s="166"/>
      <c r="B521" s="1"/>
      <c r="C521" s="1"/>
      <c r="D521" s="4"/>
      <c r="E521" s="4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4"/>
      <c r="AB521" s="1"/>
      <c r="AC521" s="167"/>
      <c r="AD521" s="167"/>
      <c r="AE521" s="2"/>
      <c r="AF521" s="2"/>
      <c r="AG521" s="2"/>
      <c r="AH521" s="2"/>
      <c r="AI521" s="2"/>
    </row>
    <row r="522" spans="1:35" customFormat="1" x14ac:dyDescent="0.25">
      <c r="A522" s="166"/>
      <c r="B522" s="1"/>
      <c r="C522" s="1"/>
      <c r="D522" s="4"/>
      <c r="E522" s="4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4"/>
      <c r="AB522" s="1"/>
      <c r="AC522" s="167"/>
      <c r="AD522" s="167"/>
      <c r="AE522" s="2"/>
      <c r="AF522" s="2"/>
      <c r="AG522" s="2"/>
      <c r="AH522" s="2"/>
      <c r="AI522" s="2"/>
    </row>
    <row r="523" spans="1:35" customFormat="1" x14ac:dyDescent="0.25">
      <c r="A523" s="166"/>
      <c r="B523" s="1"/>
      <c r="C523" s="1"/>
      <c r="D523" s="4"/>
      <c r="E523" s="4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4"/>
      <c r="AB523" s="1"/>
      <c r="AC523" s="167"/>
      <c r="AD523" s="167"/>
      <c r="AE523" s="2"/>
      <c r="AF523" s="2"/>
      <c r="AG523" s="2"/>
      <c r="AH523" s="2"/>
      <c r="AI523" s="2"/>
    </row>
    <row r="524" spans="1:35" customFormat="1" x14ac:dyDescent="0.25">
      <c r="A524" s="166"/>
      <c r="B524" s="1"/>
      <c r="C524" s="1"/>
      <c r="D524" s="4"/>
      <c r="E524" s="4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4"/>
      <c r="AB524" s="1"/>
      <c r="AC524" s="167"/>
      <c r="AD524" s="167"/>
      <c r="AE524" s="2"/>
      <c r="AF524" s="2"/>
      <c r="AG524" s="2"/>
      <c r="AH524" s="2"/>
      <c r="AI524" s="2"/>
    </row>
    <row r="525" spans="1:35" customFormat="1" x14ac:dyDescent="0.25">
      <c r="A525" s="166"/>
      <c r="B525" s="1"/>
      <c r="C525" s="1"/>
      <c r="D525" s="4"/>
      <c r="E525" s="4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4"/>
      <c r="AB525" s="1"/>
      <c r="AC525" s="167"/>
      <c r="AD525" s="167"/>
      <c r="AE525" s="2"/>
      <c r="AF525" s="2"/>
      <c r="AG525" s="2"/>
      <c r="AH525" s="2"/>
      <c r="AI525" s="2"/>
    </row>
    <row r="526" spans="1:35" customFormat="1" x14ac:dyDescent="0.25">
      <c r="A526" s="166"/>
      <c r="B526" s="1"/>
      <c r="C526" s="1"/>
      <c r="D526" s="4"/>
      <c r="E526" s="4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4"/>
      <c r="AB526" s="1"/>
      <c r="AC526" s="167"/>
      <c r="AD526" s="167"/>
      <c r="AE526" s="2"/>
      <c r="AF526" s="2"/>
      <c r="AG526" s="2"/>
      <c r="AH526" s="2"/>
      <c r="AI526" s="2"/>
    </row>
    <row r="527" spans="1:35" customFormat="1" x14ac:dyDescent="0.25">
      <c r="A527" s="166"/>
      <c r="B527" s="1"/>
      <c r="C527" s="1"/>
      <c r="D527" s="4"/>
      <c r="E527" s="4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4"/>
      <c r="AB527" s="1"/>
      <c r="AC527" s="167"/>
      <c r="AD527" s="167"/>
      <c r="AE527" s="2"/>
      <c r="AF527" s="2"/>
      <c r="AG527" s="2"/>
      <c r="AH527" s="2"/>
      <c r="AI527" s="2"/>
    </row>
    <row r="528" spans="1:35" customFormat="1" x14ac:dyDescent="0.25">
      <c r="A528" s="166"/>
      <c r="B528" s="1"/>
      <c r="C528" s="1"/>
      <c r="D528" s="4"/>
      <c r="E528" s="4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4"/>
      <c r="AB528" s="1"/>
      <c r="AC528" s="167"/>
      <c r="AD528" s="167"/>
      <c r="AE528" s="2"/>
      <c r="AF528" s="2"/>
      <c r="AG528" s="2"/>
      <c r="AH528" s="2"/>
      <c r="AI528" s="2"/>
    </row>
    <row r="529" spans="1:35" customFormat="1" x14ac:dyDescent="0.25">
      <c r="A529" s="166"/>
      <c r="B529" s="1"/>
      <c r="C529" s="1"/>
      <c r="D529" s="4"/>
      <c r="E529" s="4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4"/>
      <c r="AB529" s="1"/>
      <c r="AC529" s="167"/>
      <c r="AD529" s="167"/>
      <c r="AE529" s="2"/>
      <c r="AF529" s="2"/>
      <c r="AG529" s="2"/>
      <c r="AH529" s="2"/>
      <c r="AI529" s="2"/>
    </row>
    <row r="530" spans="1:35" customFormat="1" x14ac:dyDescent="0.25">
      <c r="A530" s="166"/>
      <c r="B530" s="1"/>
      <c r="C530" s="1"/>
      <c r="D530" s="4"/>
      <c r="E530" s="4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4"/>
      <c r="AB530" s="1"/>
      <c r="AC530" s="167"/>
      <c r="AD530" s="167"/>
      <c r="AE530" s="2"/>
      <c r="AF530" s="2"/>
      <c r="AG530" s="2"/>
      <c r="AH530" s="2"/>
      <c r="AI530" s="2"/>
    </row>
    <row r="531" spans="1:35" customFormat="1" x14ac:dyDescent="0.25">
      <c r="A531" s="166"/>
      <c r="B531" s="1"/>
      <c r="C531" s="1"/>
      <c r="D531" s="4"/>
      <c r="E531" s="4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4"/>
      <c r="AB531" s="1"/>
      <c r="AC531" s="167"/>
      <c r="AD531" s="167"/>
      <c r="AE531" s="2"/>
      <c r="AF531" s="2"/>
      <c r="AG531" s="2"/>
      <c r="AH531" s="2"/>
      <c r="AI531" s="2"/>
    </row>
    <row r="532" spans="1:35" customFormat="1" x14ac:dyDescent="0.25">
      <c r="A532" s="166"/>
      <c r="B532" s="1"/>
      <c r="C532" s="1"/>
      <c r="D532" s="4"/>
      <c r="E532" s="4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4"/>
      <c r="AB532" s="1"/>
      <c r="AC532" s="167"/>
      <c r="AD532" s="167"/>
      <c r="AE532" s="2"/>
      <c r="AF532" s="2"/>
      <c r="AG532" s="2"/>
      <c r="AH532" s="2"/>
      <c r="AI532" s="2"/>
    </row>
    <row r="533" spans="1:35" customFormat="1" x14ac:dyDescent="0.25">
      <c r="A533" s="166"/>
      <c r="B533" s="1"/>
      <c r="C533" s="1"/>
      <c r="D533" s="4"/>
      <c r="E533" s="4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4"/>
      <c r="AB533" s="1"/>
      <c r="AC533" s="167"/>
      <c r="AD533" s="167"/>
      <c r="AE533" s="2"/>
      <c r="AF533" s="2"/>
      <c r="AG533" s="2"/>
      <c r="AH533" s="2"/>
      <c r="AI533" s="2"/>
    </row>
    <row r="534" spans="1:35" customFormat="1" x14ac:dyDescent="0.25">
      <c r="A534" s="166"/>
      <c r="B534" s="1"/>
      <c r="C534" s="1"/>
      <c r="D534" s="4"/>
      <c r="E534" s="4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4"/>
      <c r="AB534" s="1"/>
      <c r="AC534" s="167"/>
      <c r="AD534" s="167"/>
      <c r="AE534" s="2"/>
      <c r="AF534" s="2"/>
      <c r="AG534" s="2"/>
      <c r="AH534" s="2"/>
      <c r="AI534" s="2"/>
    </row>
    <row r="535" spans="1:35" customFormat="1" x14ac:dyDescent="0.25">
      <c r="A535" s="166"/>
      <c r="B535" s="1"/>
      <c r="C535" s="1"/>
      <c r="D535" s="4"/>
      <c r="E535" s="4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4"/>
      <c r="AB535" s="1"/>
      <c r="AC535" s="167"/>
      <c r="AD535" s="167"/>
      <c r="AE535" s="2"/>
      <c r="AF535" s="2"/>
      <c r="AG535" s="2"/>
      <c r="AH535" s="2"/>
      <c r="AI535" s="2"/>
    </row>
    <row r="536" spans="1:35" customFormat="1" x14ac:dyDescent="0.25">
      <c r="A536" s="166"/>
      <c r="B536" s="1"/>
      <c r="C536" s="1"/>
      <c r="D536" s="4"/>
      <c r="E536" s="4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4"/>
      <c r="AB536" s="1"/>
      <c r="AC536" s="167"/>
      <c r="AD536" s="167"/>
      <c r="AE536" s="2"/>
      <c r="AF536" s="2"/>
      <c r="AG536" s="2"/>
      <c r="AH536" s="2"/>
      <c r="AI536" s="2"/>
    </row>
    <row r="537" spans="1:35" customFormat="1" x14ac:dyDescent="0.25">
      <c r="A537" s="166"/>
      <c r="B537" s="1"/>
      <c r="C537" s="1"/>
      <c r="D537" s="4"/>
      <c r="E537" s="4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4"/>
      <c r="AB537" s="1"/>
      <c r="AC537" s="167"/>
      <c r="AD537" s="167"/>
      <c r="AE537" s="2"/>
      <c r="AF537" s="2"/>
      <c r="AG537" s="2"/>
      <c r="AH537" s="2"/>
      <c r="AI537" s="2"/>
    </row>
    <row r="538" spans="1:35" customFormat="1" x14ac:dyDescent="0.25">
      <c r="A538" s="166"/>
      <c r="B538" s="1"/>
      <c r="C538" s="1"/>
      <c r="D538" s="4"/>
      <c r="E538" s="4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4"/>
      <c r="AB538" s="1"/>
      <c r="AC538" s="167"/>
      <c r="AD538" s="167"/>
      <c r="AE538" s="2"/>
      <c r="AF538" s="2"/>
      <c r="AG538" s="2"/>
      <c r="AH538" s="2"/>
      <c r="AI538" s="2"/>
    </row>
    <row r="539" spans="1:35" customFormat="1" x14ac:dyDescent="0.25">
      <c r="A539" s="166"/>
      <c r="B539" s="1"/>
      <c r="C539" s="1"/>
      <c r="D539" s="4"/>
      <c r="E539" s="4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4"/>
      <c r="AB539" s="1"/>
      <c r="AC539" s="167"/>
      <c r="AD539" s="167"/>
      <c r="AE539" s="2"/>
      <c r="AF539" s="2"/>
      <c r="AG539" s="2"/>
      <c r="AH539" s="2"/>
      <c r="AI539" s="2"/>
    </row>
    <row r="540" spans="1:35" customFormat="1" x14ac:dyDescent="0.25">
      <c r="A540" s="166"/>
      <c r="B540" s="1"/>
      <c r="C540" s="1"/>
      <c r="D540" s="4"/>
      <c r="E540" s="4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4"/>
      <c r="AB540" s="1"/>
      <c r="AC540" s="167"/>
      <c r="AD540" s="167"/>
      <c r="AE540" s="2"/>
      <c r="AF540" s="2"/>
      <c r="AG540" s="2"/>
      <c r="AH540" s="2"/>
      <c r="AI540" s="2"/>
    </row>
    <row r="541" spans="1:35" customFormat="1" x14ac:dyDescent="0.25">
      <c r="A541" s="166"/>
      <c r="B541" s="1"/>
      <c r="C541" s="1"/>
      <c r="D541" s="4"/>
      <c r="E541" s="4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4"/>
      <c r="AB541" s="1"/>
      <c r="AC541" s="167"/>
      <c r="AD541" s="167"/>
      <c r="AE541" s="2"/>
      <c r="AF541" s="2"/>
      <c r="AG541" s="2"/>
      <c r="AH541" s="2"/>
      <c r="AI541" s="2"/>
    </row>
    <row r="542" spans="1:35" customFormat="1" x14ac:dyDescent="0.25">
      <c r="A542" s="166"/>
      <c r="B542" s="1"/>
      <c r="C542" s="1"/>
      <c r="D542" s="4"/>
      <c r="E542" s="4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4"/>
      <c r="AB542" s="1"/>
      <c r="AC542" s="167"/>
      <c r="AD542" s="167"/>
      <c r="AE542" s="2"/>
      <c r="AF542" s="2"/>
      <c r="AG542" s="2"/>
      <c r="AH542" s="2"/>
      <c r="AI542" s="2"/>
    </row>
    <row r="543" spans="1:35" customFormat="1" x14ac:dyDescent="0.25">
      <c r="A543" s="166"/>
      <c r="B543" s="1"/>
      <c r="C543" s="1"/>
      <c r="D543" s="4"/>
      <c r="E543" s="4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4"/>
      <c r="AB543" s="1"/>
      <c r="AC543" s="167"/>
      <c r="AD543" s="167"/>
      <c r="AE543" s="2"/>
      <c r="AF543" s="2"/>
      <c r="AG543" s="2"/>
      <c r="AH543" s="2"/>
      <c r="AI543" s="2"/>
    </row>
    <row r="544" spans="1:35" customFormat="1" x14ac:dyDescent="0.25">
      <c r="A544" s="166"/>
      <c r="B544" s="1"/>
      <c r="C544" s="1"/>
      <c r="D544" s="4"/>
      <c r="E544" s="4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4"/>
      <c r="AB544" s="1"/>
      <c r="AC544" s="167"/>
      <c r="AD544" s="167"/>
      <c r="AE544" s="2"/>
      <c r="AF544" s="2"/>
      <c r="AG544" s="2"/>
      <c r="AH544" s="2"/>
      <c r="AI544" s="2"/>
    </row>
    <row r="545" spans="1:35" customFormat="1" x14ac:dyDescent="0.25">
      <c r="A545" s="166"/>
      <c r="B545" s="1"/>
      <c r="C545" s="1"/>
      <c r="D545" s="4"/>
      <c r="E545" s="4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4"/>
      <c r="AB545" s="1"/>
      <c r="AC545" s="167"/>
      <c r="AD545" s="167"/>
      <c r="AE545" s="2"/>
      <c r="AF545" s="2"/>
      <c r="AG545" s="2"/>
      <c r="AH545" s="2"/>
      <c r="AI545" s="2"/>
    </row>
    <row r="546" spans="1:35" customFormat="1" x14ac:dyDescent="0.25">
      <c r="A546" s="166"/>
      <c r="B546" s="1"/>
      <c r="C546" s="1"/>
      <c r="D546" s="4"/>
      <c r="E546" s="4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4"/>
      <c r="AB546" s="1"/>
      <c r="AC546" s="167"/>
      <c r="AD546" s="167"/>
      <c r="AE546" s="2"/>
      <c r="AF546" s="2"/>
      <c r="AG546" s="2"/>
      <c r="AH546" s="2"/>
      <c r="AI546" s="2"/>
    </row>
    <row r="547" spans="1:35" customFormat="1" x14ac:dyDescent="0.25">
      <c r="A547" s="166"/>
      <c r="B547" s="1"/>
      <c r="C547" s="1"/>
      <c r="D547" s="4"/>
      <c r="E547" s="4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4"/>
      <c r="AB547" s="1"/>
      <c r="AC547" s="167"/>
      <c r="AD547" s="167"/>
      <c r="AE547" s="2"/>
      <c r="AF547" s="2"/>
      <c r="AG547" s="2"/>
      <c r="AH547" s="2"/>
      <c r="AI547" s="2"/>
    </row>
    <row r="548" spans="1:35" customFormat="1" x14ac:dyDescent="0.25">
      <c r="A548" s="166"/>
      <c r="B548" s="1"/>
      <c r="C548" s="1"/>
      <c r="D548" s="4"/>
      <c r="E548" s="4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4"/>
      <c r="AB548" s="1"/>
      <c r="AC548" s="167"/>
      <c r="AD548" s="167"/>
      <c r="AE548" s="2"/>
      <c r="AF548" s="2"/>
      <c r="AG548" s="2"/>
      <c r="AH548" s="2"/>
      <c r="AI548" s="2"/>
    </row>
    <row r="549" spans="1:35" customFormat="1" x14ac:dyDescent="0.25">
      <c r="A549" s="166"/>
      <c r="B549" s="1"/>
      <c r="C549" s="1"/>
      <c r="D549" s="4"/>
      <c r="E549" s="4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4"/>
      <c r="AB549" s="1"/>
      <c r="AC549" s="167"/>
      <c r="AD549" s="167"/>
      <c r="AE549" s="2"/>
      <c r="AF549" s="2"/>
      <c r="AG549" s="2"/>
      <c r="AH549" s="2"/>
      <c r="AI549" s="2"/>
    </row>
    <row r="550" spans="1:35" customFormat="1" x14ac:dyDescent="0.25">
      <c r="A550" s="166"/>
      <c r="B550" s="1"/>
      <c r="C550" s="1"/>
      <c r="D550" s="4"/>
      <c r="E550" s="4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4"/>
      <c r="AB550" s="1"/>
      <c r="AC550" s="167"/>
      <c r="AD550" s="167"/>
      <c r="AE550" s="2"/>
      <c r="AF550" s="2"/>
      <c r="AG550" s="2"/>
      <c r="AH550" s="2"/>
      <c r="AI550" s="2"/>
    </row>
    <row r="551" spans="1:35" customFormat="1" x14ac:dyDescent="0.25">
      <c r="A551" s="166"/>
      <c r="B551" s="1"/>
      <c r="C551" s="1"/>
      <c r="D551" s="4"/>
      <c r="E551" s="4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4"/>
      <c r="AB551" s="1"/>
      <c r="AC551" s="167"/>
      <c r="AD551" s="167"/>
      <c r="AE551" s="2"/>
      <c r="AF551" s="2"/>
      <c r="AG551" s="2"/>
      <c r="AH551" s="2"/>
      <c r="AI551" s="2"/>
    </row>
    <row r="552" spans="1:35" customFormat="1" x14ac:dyDescent="0.25">
      <c r="A552" s="166"/>
      <c r="B552" s="1"/>
      <c r="C552" s="1"/>
      <c r="D552" s="4"/>
      <c r="E552" s="4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4"/>
      <c r="AB552" s="1"/>
      <c r="AC552" s="167"/>
      <c r="AD552" s="167"/>
      <c r="AE552" s="2"/>
      <c r="AF552" s="2"/>
      <c r="AG552" s="2"/>
      <c r="AH552" s="2"/>
      <c r="AI552" s="2"/>
    </row>
    <row r="553" spans="1:35" customFormat="1" x14ac:dyDescent="0.25">
      <c r="A553" s="166"/>
      <c r="B553" s="1"/>
      <c r="C553" s="1"/>
      <c r="D553" s="4"/>
      <c r="E553" s="4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4"/>
      <c r="AB553" s="1"/>
      <c r="AC553" s="167"/>
      <c r="AD553" s="167"/>
      <c r="AE553" s="2"/>
      <c r="AF553" s="2"/>
      <c r="AG553" s="2"/>
      <c r="AH553" s="2"/>
      <c r="AI553" s="2"/>
    </row>
    <row r="554" spans="1:35" customFormat="1" x14ac:dyDescent="0.25">
      <c r="A554" s="166"/>
      <c r="B554" s="1"/>
      <c r="C554" s="1"/>
      <c r="D554" s="4"/>
      <c r="E554" s="4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4"/>
      <c r="AB554" s="1"/>
      <c r="AC554" s="167"/>
      <c r="AD554" s="167"/>
      <c r="AE554" s="2"/>
      <c r="AF554" s="2"/>
      <c r="AG554" s="2"/>
      <c r="AH554" s="2"/>
      <c r="AI554" s="2"/>
    </row>
    <row r="555" spans="1:35" customFormat="1" x14ac:dyDescent="0.25">
      <c r="A555" s="166"/>
      <c r="B555" s="1"/>
      <c r="C555" s="1"/>
      <c r="D555" s="4"/>
      <c r="E555" s="4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4"/>
      <c r="AB555" s="1"/>
      <c r="AC555" s="167"/>
      <c r="AD555" s="167"/>
      <c r="AE555" s="2"/>
      <c r="AF555" s="2"/>
      <c r="AG555" s="2"/>
      <c r="AH555" s="2"/>
      <c r="AI555" s="2"/>
    </row>
    <row r="556" spans="1:35" customFormat="1" x14ac:dyDescent="0.25">
      <c r="A556" s="166"/>
      <c r="B556" s="1"/>
      <c r="C556" s="1"/>
      <c r="D556" s="4"/>
      <c r="E556" s="4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4"/>
      <c r="AB556" s="1"/>
      <c r="AC556" s="167"/>
      <c r="AD556" s="167"/>
      <c r="AE556" s="2"/>
      <c r="AF556" s="2"/>
      <c r="AG556" s="2"/>
      <c r="AH556" s="2"/>
      <c r="AI556" s="2"/>
    </row>
    <row r="557" spans="1:35" customFormat="1" x14ac:dyDescent="0.25">
      <c r="A557" s="166"/>
      <c r="B557" s="1"/>
      <c r="C557" s="1"/>
      <c r="D557" s="4"/>
      <c r="E557" s="4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4"/>
      <c r="AB557" s="1"/>
      <c r="AC557" s="167"/>
      <c r="AD557" s="167"/>
      <c r="AE557" s="2"/>
      <c r="AF557" s="2"/>
      <c r="AG557" s="2"/>
      <c r="AH557" s="2"/>
      <c r="AI557" s="2"/>
    </row>
    <row r="558" spans="1:35" customFormat="1" x14ac:dyDescent="0.25">
      <c r="A558" s="166"/>
      <c r="B558" s="1"/>
      <c r="C558" s="1"/>
      <c r="D558" s="4"/>
      <c r="E558" s="4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4"/>
      <c r="AB558" s="1"/>
      <c r="AC558" s="167"/>
      <c r="AD558" s="167"/>
      <c r="AE558" s="2"/>
      <c r="AF558" s="2"/>
      <c r="AG558" s="2"/>
      <c r="AH558" s="2"/>
      <c r="AI558" s="2"/>
    </row>
    <row r="559" spans="1:35" customFormat="1" x14ac:dyDescent="0.25">
      <c r="A559" s="166"/>
      <c r="B559" s="1"/>
      <c r="C559" s="1"/>
      <c r="D559" s="4"/>
      <c r="E559" s="4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4"/>
      <c r="AB559" s="1"/>
      <c r="AC559" s="167"/>
      <c r="AD559" s="167"/>
      <c r="AE559" s="2"/>
      <c r="AF559" s="2"/>
      <c r="AG559" s="2"/>
      <c r="AH559" s="2"/>
      <c r="AI559" s="2"/>
    </row>
    <row r="560" spans="1:35" customFormat="1" x14ac:dyDescent="0.25">
      <c r="A560" s="166"/>
      <c r="B560" s="1"/>
      <c r="C560" s="1"/>
      <c r="D560" s="4"/>
      <c r="E560" s="4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4"/>
      <c r="AB560" s="1"/>
      <c r="AC560" s="167"/>
      <c r="AD560" s="167"/>
      <c r="AE560" s="2"/>
      <c r="AF560" s="2"/>
      <c r="AG560" s="2"/>
      <c r="AH560" s="2"/>
      <c r="AI560" s="2"/>
    </row>
    <row r="561" spans="1:35" customFormat="1" x14ac:dyDescent="0.25">
      <c r="A561" s="166"/>
      <c r="B561" s="1"/>
      <c r="C561" s="1"/>
      <c r="D561" s="4"/>
      <c r="E561" s="4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4"/>
      <c r="AB561" s="1"/>
      <c r="AC561" s="167"/>
      <c r="AD561" s="167"/>
      <c r="AE561" s="2"/>
      <c r="AF561" s="2"/>
      <c r="AG561" s="2"/>
      <c r="AH561" s="2"/>
      <c r="AI561" s="2"/>
    </row>
    <row r="562" spans="1:35" customFormat="1" x14ac:dyDescent="0.25">
      <c r="A562" s="166"/>
      <c r="B562" s="1"/>
      <c r="C562" s="1"/>
      <c r="D562" s="4"/>
      <c r="E562" s="4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4"/>
      <c r="AB562" s="1"/>
      <c r="AC562" s="167"/>
      <c r="AD562" s="167"/>
      <c r="AE562" s="2"/>
      <c r="AF562" s="2"/>
      <c r="AG562" s="2"/>
      <c r="AH562" s="2"/>
      <c r="AI562" s="2"/>
    </row>
    <row r="563" spans="1:35" customFormat="1" x14ac:dyDescent="0.25">
      <c r="A563" s="166"/>
      <c r="B563" s="1"/>
      <c r="C563" s="1"/>
      <c r="D563" s="4"/>
      <c r="E563" s="4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4"/>
      <c r="AB563" s="1"/>
      <c r="AC563" s="167"/>
      <c r="AD563" s="167"/>
      <c r="AE563" s="2"/>
      <c r="AF563" s="2"/>
      <c r="AG563" s="2"/>
      <c r="AH563" s="2"/>
      <c r="AI563" s="2"/>
    </row>
    <row r="564" spans="1:35" customFormat="1" x14ac:dyDescent="0.25">
      <c r="A564" s="166"/>
      <c r="B564" s="1"/>
      <c r="C564" s="1"/>
      <c r="D564" s="4"/>
      <c r="E564" s="4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4"/>
      <c r="AB564" s="1"/>
      <c r="AC564" s="167"/>
      <c r="AD564" s="167"/>
      <c r="AE564" s="2"/>
      <c r="AF564" s="2"/>
      <c r="AG564" s="2"/>
      <c r="AH564" s="2"/>
      <c r="AI564" s="2"/>
    </row>
    <row r="565" spans="1:35" customFormat="1" x14ac:dyDescent="0.25">
      <c r="A565" s="166"/>
      <c r="B565" s="1"/>
      <c r="C565" s="1"/>
      <c r="D565" s="4"/>
      <c r="E565" s="4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4"/>
      <c r="AB565" s="1"/>
      <c r="AC565" s="167"/>
      <c r="AD565" s="167"/>
      <c r="AE565" s="2"/>
      <c r="AF565" s="2"/>
      <c r="AG565" s="2"/>
      <c r="AH565" s="2"/>
      <c r="AI565" s="2"/>
    </row>
    <row r="566" spans="1:35" customFormat="1" x14ac:dyDescent="0.25">
      <c r="A566" s="166"/>
      <c r="B566" s="1"/>
      <c r="C566" s="1"/>
      <c r="D566" s="4"/>
      <c r="E566" s="4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4"/>
      <c r="AB566" s="1"/>
      <c r="AC566" s="167"/>
      <c r="AD566" s="167"/>
      <c r="AE566" s="2"/>
      <c r="AF566" s="2"/>
      <c r="AG566" s="2"/>
      <c r="AH566" s="2"/>
      <c r="AI566" s="2"/>
    </row>
    <row r="567" spans="1:35" customFormat="1" x14ac:dyDescent="0.25">
      <c r="A567" s="166"/>
      <c r="B567" s="1"/>
      <c r="C567" s="1"/>
      <c r="D567" s="4"/>
      <c r="E567" s="4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4"/>
      <c r="AB567" s="1"/>
      <c r="AC567" s="167"/>
      <c r="AD567" s="167"/>
      <c r="AE567" s="2"/>
      <c r="AF567" s="2"/>
      <c r="AG567" s="2"/>
      <c r="AH567" s="2"/>
      <c r="AI567" s="2"/>
    </row>
    <row r="568" spans="1:35" customFormat="1" x14ac:dyDescent="0.25">
      <c r="A568" s="166"/>
      <c r="B568" s="1"/>
      <c r="C568" s="1"/>
      <c r="D568" s="4"/>
      <c r="E568" s="4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4"/>
      <c r="AB568" s="1"/>
      <c r="AC568" s="167"/>
      <c r="AD568" s="167"/>
      <c r="AE568" s="2"/>
      <c r="AF568" s="2"/>
      <c r="AG568" s="2"/>
      <c r="AH568" s="2"/>
      <c r="AI568" s="2"/>
    </row>
    <row r="569" spans="1:35" customFormat="1" x14ac:dyDescent="0.25">
      <c r="A569" s="166"/>
      <c r="B569" s="1"/>
      <c r="C569" s="1"/>
      <c r="D569" s="4"/>
      <c r="E569" s="4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4"/>
      <c r="AB569" s="1"/>
      <c r="AC569" s="167"/>
      <c r="AD569" s="167"/>
      <c r="AE569" s="2"/>
      <c r="AF569" s="2"/>
      <c r="AG569" s="2"/>
      <c r="AH569" s="2"/>
      <c r="AI569" s="2"/>
    </row>
    <row r="570" spans="1:35" customFormat="1" x14ac:dyDescent="0.25">
      <c r="A570" s="166"/>
      <c r="B570" s="1"/>
      <c r="C570" s="1"/>
      <c r="D570" s="4"/>
      <c r="E570" s="4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4"/>
      <c r="AB570" s="1"/>
      <c r="AC570" s="167"/>
      <c r="AD570" s="167"/>
      <c r="AE570" s="2"/>
      <c r="AF570" s="2"/>
      <c r="AG570" s="2"/>
      <c r="AH570" s="2"/>
      <c r="AI570" s="2"/>
    </row>
    <row r="571" spans="1:35" customFormat="1" x14ac:dyDescent="0.25">
      <c r="A571" s="166"/>
      <c r="B571" s="1"/>
      <c r="C571" s="1"/>
      <c r="D571" s="4"/>
      <c r="E571" s="4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4"/>
      <c r="AB571" s="1"/>
      <c r="AC571" s="167"/>
      <c r="AD571" s="167"/>
      <c r="AE571" s="2"/>
      <c r="AF571" s="2"/>
      <c r="AG571" s="2"/>
      <c r="AH571" s="2"/>
      <c r="AI571" s="2"/>
    </row>
    <row r="572" spans="1:35" customFormat="1" x14ac:dyDescent="0.25">
      <c r="A572" s="166"/>
      <c r="B572" s="1"/>
      <c r="C572" s="1"/>
      <c r="D572" s="4"/>
      <c r="E572" s="4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4"/>
      <c r="AB572" s="1"/>
      <c r="AC572" s="167"/>
      <c r="AD572" s="167"/>
      <c r="AE572" s="2"/>
      <c r="AF572" s="2"/>
      <c r="AG572" s="2"/>
      <c r="AH572" s="2"/>
      <c r="AI572" s="2"/>
    </row>
    <row r="573" spans="1:35" customFormat="1" x14ac:dyDescent="0.25">
      <c r="A573" s="166"/>
      <c r="B573" s="1"/>
      <c r="C573" s="1"/>
      <c r="D573" s="4"/>
      <c r="E573" s="4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4"/>
      <c r="AB573" s="1"/>
      <c r="AC573" s="167"/>
      <c r="AD573" s="167"/>
      <c r="AE573" s="2"/>
      <c r="AF573" s="2"/>
      <c r="AG573" s="2"/>
      <c r="AH573" s="2"/>
      <c r="AI573" s="2"/>
    </row>
    <row r="574" spans="1:35" customFormat="1" x14ac:dyDescent="0.25">
      <c r="A574" s="166"/>
      <c r="B574" s="1"/>
      <c r="C574" s="1"/>
      <c r="D574" s="4"/>
      <c r="E574" s="4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4"/>
      <c r="AB574" s="1"/>
      <c r="AC574" s="167"/>
      <c r="AD574" s="167"/>
      <c r="AE574" s="2"/>
      <c r="AF574" s="2"/>
      <c r="AG574" s="2"/>
      <c r="AH574" s="2"/>
      <c r="AI574" s="2"/>
    </row>
    <row r="575" spans="1:35" customFormat="1" x14ac:dyDescent="0.25">
      <c r="A575" s="166"/>
      <c r="B575" s="1"/>
      <c r="C575" s="1"/>
      <c r="D575" s="4"/>
      <c r="E575" s="4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4"/>
      <c r="AB575" s="1"/>
      <c r="AC575" s="167"/>
      <c r="AD575" s="167"/>
      <c r="AE575" s="2"/>
      <c r="AF575" s="2"/>
      <c r="AG575" s="2"/>
      <c r="AH575" s="2"/>
      <c r="AI575" s="2"/>
    </row>
    <row r="576" spans="1:35" customFormat="1" x14ac:dyDescent="0.25">
      <c r="A576" s="166"/>
      <c r="B576" s="1"/>
      <c r="C576" s="1"/>
      <c r="D576" s="4"/>
      <c r="E576" s="4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4"/>
      <c r="AB576" s="1"/>
      <c r="AC576" s="167"/>
      <c r="AD576" s="167"/>
      <c r="AE576" s="2"/>
      <c r="AF576" s="2"/>
      <c r="AG576" s="2"/>
      <c r="AH576" s="2"/>
      <c r="AI576" s="2"/>
    </row>
    <row r="577" spans="1:35" customFormat="1" x14ac:dyDescent="0.25">
      <c r="A577" s="166"/>
      <c r="B577" s="1"/>
      <c r="C577" s="1"/>
      <c r="D577" s="4"/>
      <c r="E577" s="4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4"/>
      <c r="AB577" s="1"/>
      <c r="AC577" s="167"/>
      <c r="AD577" s="167"/>
      <c r="AE577" s="2"/>
      <c r="AF577" s="2"/>
      <c r="AG577" s="2"/>
      <c r="AH577" s="2"/>
      <c r="AI577" s="2"/>
    </row>
    <row r="578" spans="1:35" customFormat="1" x14ac:dyDescent="0.25">
      <c r="A578" s="166"/>
      <c r="B578" s="1"/>
      <c r="C578" s="1"/>
      <c r="D578" s="4"/>
      <c r="E578" s="4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4"/>
      <c r="AB578" s="1"/>
      <c r="AC578" s="167"/>
      <c r="AD578" s="167"/>
      <c r="AE578" s="2"/>
      <c r="AF578" s="2"/>
      <c r="AG578" s="2"/>
      <c r="AH578" s="2"/>
      <c r="AI578" s="2"/>
    </row>
    <row r="579" spans="1:35" customFormat="1" x14ac:dyDescent="0.25">
      <c r="A579" s="166"/>
      <c r="B579" s="1"/>
      <c r="C579" s="1"/>
      <c r="D579" s="4"/>
      <c r="E579" s="4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4"/>
      <c r="AB579" s="1"/>
      <c r="AC579" s="167"/>
      <c r="AD579" s="167"/>
      <c r="AE579" s="2"/>
      <c r="AF579" s="2"/>
      <c r="AG579" s="2"/>
      <c r="AH579" s="2"/>
      <c r="AI579" s="2"/>
    </row>
    <row r="580" spans="1:35" customFormat="1" x14ac:dyDescent="0.25">
      <c r="A580" s="166"/>
      <c r="B580" s="1"/>
      <c r="C580" s="1"/>
      <c r="D580" s="4"/>
      <c r="E580" s="4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4"/>
      <c r="AB580" s="1"/>
      <c r="AC580" s="167"/>
      <c r="AD580" s="167"/>
      <c r="AE580" s="2"/>
      <c r="AF580" s="2"/>
      <c r="AG580" s="2"/>
      <c r="AH580" s="2"/>
      <c r="AI580" s="2"/>
    </row>
    <row r="581" spans="1:35" customFormat="1" x14ac:dyDescent="0.25">
      <c r="A581" s="166"/>
      <c r="B581" s="1"/>
      <c r="C581" s="1"/>
      <c r="D581" s="4"/>
      <c r="E581" s="4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4"/>
      <c r="AB581" s="1"/>
      <c r="AC581" s="167"/>
      <c r="AD581" s="167"/>
      <c r="AE581" s="2"/>
      <c r="AF581" s="2"/>
      <c r="AG581" s="2"/>
      <c r="AH581" s="2"/>
      <c r="AI581" s="2"/>
    </row>
    <row r="582" spans="1:35" customFormat="1" x14ac:dyDescent="0.25">
      <c r="A582" s="166"/>
      <c r="B582" s="1"/>
      <c r="C582" s="1"/>
      <c r="D582" s="4"/>
      <c r="E582" s="4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4"/>
      <c r="AB582" s="1"/>
      <c r="AC582" s="167"/>
      <c r="AD582" s="167"/>
      <c r="AE582" s="2"/>
      <c r="AF582" s="2"/>
      <c r="AG582" s="2"/>
      <c r="AH582" s="2"/>
      <c r="AI582" s="2"/>
    </row>
    <row r="583" spans="1:35" customFormat="1" x14ac:dyDescent="0.25">
      <c r="A583" s="166"/>
      <c r="B583" s="1"/>
      <c r="C583" s="1"/>
      <c r="D583" s="4"/>
      <c r="E583" s="4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4"/>
      <c r="AB583" s="1"/>
      <c r="AC583" s="167"/>
      <c r="AD583" s="167"/>
      <c r="AE583" s="2"/>
      <c r="AF583" s="2"/>
      <c r="AG583" s="2"/>
      <c r="AH583" s="2"/>
      <c r="AI583" s="2"/>
    </row>
  </sheetData>
  <sheetProtection formatCells="0" formatColumns="0" formatRows="0" insertColumns="0" insertRows="0" insertHyperlinks="0" deleteColumns="0" deleteRows="0" sort="0" autoFilter="0" pivotTables="0"/>
  <conditionalFormatting sqref="B6:AB41">
    <cfRule type="cellIs" dxfId="5" priority="8" operator="equal">
      <formula>"c"</formula>
    </cfRule>
  </conditionalFormatting>
  <conditionalFormatting sqref="B44:AB54 B56:AB66 Q67:R67">
    <cfRule type="cellIs" dxfId="4" priority="2" operator="equal">
      <formula>"c"</formula>
    </cfRule>
  </conditionalFormatting>
  <conditionalFormatting sqref="B42:AC42">
    <cfRule type="cellIs" dxfId="3" priority="7" operator="equal">
      <formula>"c"</formula>
    </cfRule>
  </conditionalFormatting>
  <conditionalFormatting sqref="B43:AC43">
    <cfRule type="cellIs" dxfId="2" priority="3" operator="equal">
      <formula>"c"</formula>
    </cfRule>
  </conditionalFormatting>
  <conditionalFormatting sqref="B55:AC55">
    <cfRule type="cellIs" dxfId="1" priority="1" operator="equal">
      <formula>"c"</formula>
    </cfRule>
  </conditionalFormatting>
  <printOptions horizontalCentered="1"/>
  <pageMargins left="0.19685039370078741" right="0.19685039370078741" top="0.39370078740157483" bottom="0.39370078740157483" header="0.15748031496062992" footer="0.19685039370078741"/>
  <pageSetup paperSize="9" scale="77" fitToHeight="0" orientation="landscape" r:id="rId1"/>
  <headerFooter alignWithMargins="0">
    <oddFooter>&amp;C&amp;8Page - &amp;P+0 -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FF0000"/>
    <pageSetUpPr fitToPage="1"/>
  </sheetPr>
  <dimension ref="A1:K1318"/>
  <sheetViews>
    <sheetView showGridLines="0" showZeros="0" zoomScaleNormal="100" workbookViewId="0">
      <pane ySplit="6" topLeftCell="A1313" activePane="bottomLeft" state="frozenSplit"/>
      <selection activeCell="AC9" sqref="AC9"/>
      <selection pane="bottomLeft"/>
    </sheetView>
  </sheetViews>
  <sheetFormatPr defaultColWidth="9.109375" defaultRowHeight="15.75" customHeight="1" x14ac:dyDescent="0.25"/>
  <cols>
    <col min="1" max="1" width="17" style="27" customWidth="1"/>
    <col min="2" max="6" width="11" style="25" customWidth="1"/>
    <col min="7" max="7" width="11" style="26" customWidth="1"/>
    <col min="8" max="10" width="11" style="25" customWidth="1"/>
    <col min="11" max="11" width="9.109375" style="25"/>
    <col min="12" max="12" width="11.33203125" style="25" bestFit="1" customWidth="1"/>
    <col min="13" max="14" width="9.109375" style="25"/>
    <col min="15" max="15" width="10.44140625" style="25" bestFit="1" customWidth="1"/>
    <col min="16" max="32" width="9.109375" style="25"/>
    <col min="33" max="68" width="9.109375" style="25" customWidth="1"/>
    <col min="69" max="16384" width="9.109375" style="25"/>
  </cols>
  <sheetData>
    <row r="1" spans="1:9" ht="7.95" customHeight="1" x14ac:dyDescent="0.25"/>
    <row r="2" spans="1:9" ht="24.75" customHeight="1" x14ac:dyDescent="0.25">
      <c r="A2" s="318" t="s">
        <v>622</v>
      </c>
      <c r="B2" s="318"/>
      <c r="C2" s="318"/>
      <c r="D2" s="318"/>
      <c r="E2" s="318"/>
      <c r="F2" s="318"/>
      <c r="G2" s="318"/>
      <c r="H2" s="318"/>
      <c r="I2" s="318"/>
    </row>
    <row r="3" spans="1:9" ht="18" customHeight="1" x14ac:dyDescent="0.25">
      <c r="A3" s="319"/>
      <c r="B3" s="319"/>
      <c r="C3" s="319"/>
      <c r="D3" s="319"/>
      <c r="E3" s="319"/>
      <c r="F3" s="319"/>
      <c r="G3" s="319"/>
      <c r="H3" s="319"/>
      <c r="I3" s="319"/>
    </row>
    <row r="4" spans="1:9" ht="11.25" customHeight="1" x14ac:dyDescent="0.25">
      <c r="A4" s="104"/>
      <c r="B4" s="104"/>
      <c r="C4" s="104"/>
      <c r="D4" s="104"/>
      <c r="E4" s="104"/>
      <c r="F4" s="104"/>
      <c r="G4" s="104"/>
      <c r="H4" s="104"/>
      <c r="I4" s="104"/>
    </row>
    <row r="5" spans="1:9" ht="18.75" customHeight="1" x14ac:dyDescent="0.25">
      <c r="A5" s="28" t="s">
        <v>618</v>
      </c>
      <c r="I5" s="29" t="s">
        <v>509</v>
      </c>
    </row>
    <row r="6" spans="1:9" s="30" customFormat="1" ht="105" customHeight="1" thickBot="1" x14ac:dyDescent="0.35">
      <c r="A6" s="170"/>
      <c r="B6" s="171" t="s">
        <v>510</v>
      </c>
      <c r="C6" s="171" t="s">
        <v>511</v>
      </c>
      <c r="D6" s="171" t="s">
        <v>512</v>
      </c>
      <c r="E6" s="171" t="s">
        <v>513</v>
      </c>
      <c r="F6" s="171" t="s">
        <v>514</v>
      </c>
      <c r="G6" s="172" t="s">
        <v>515</v>
      </c>
      <c r="H6" s="171" t="s">
        <v>516</v>
      </c>
      <c r="I6" s="171" t="s">
        <v>517</v>
      </c>
    </row>
    <row r="7" spans="1:9" ht="15.75" customHeight="1" x14ac:dyDescent="0.25">
      <c r="A7" s="169">
        <v>36898</v>
      </c>
      <c r="B7" s="187">
        <v>324.03045174537993</v>
      </c>
      <c r="C7" s="187">
        <v>273.47954285714286</v>
      </c>
      <c r="D7" s="187">
        <v>308.56429752066117</v>
      </c>
      <c r="E7" s="187">
        <v>332.81391061452513</v>
      </c>
      <c r="F7" s="187">
        <v>341.39868003731345</v>
      </c>
      <c r="G7" s="188">
        <v>337.91022503961972</v>
      </c>
      <c r="H7" s="187">
        <v>426.25688110749189</v>
      </c>
      <c r="I7" s="187">
        <v>82.34</v>
      </c>
    </row>
    <row r="8" spans="1:9" ht="15.75" customHeight="1" x14ac:dyDescent="0.25">
      <c r="A8" s="169">
        <v>36905</v>
      </c>
      <c r="B8" s="187">
        <v>322.77054641211322</v>
      </c>
      <c r="C8" s="187">
        <v>271.86018749999994</v>
      </c>
      <c r="D8" s="187">
        <v>305.54749311294768</v>
      </c>
      <c r="E8" s="187">
        <v>334.89212290502792</v>
      </c>
      <c r="F8" s="187">
        <v>341.39868003731345</v>
      </c>
      <c r="G8" s="188">
        <v>337.91022503961972</v>
      </c>
      <c r="H8" s="187">
        <v>426.25688110749189</v>
      </c>
      <c r="I8" s="187">
        <v>85.435000000000002</v>
      </c>
    </row>
    <row r="9" spans="1:9" ht="15.75" customHeight="1" x14ac:dyDescent="0.25">
      <c r="A9" s="169">
        <v>36912</v>
      </c>
      <c r="B9" s="187">
        <v>319.52401579986832</v>
      </c>
      <c r="C9" s="187">
        <v>269.35711250000003</v>
      </c>
      <c r="D9" s="187">
        <v>301.67920110192836</v>
      </c>
      <c r="E9" s="187">
        <v>336.62737430167601</v>
      </c>
      <c r="F9" s="187">
        <v>341.39868003731345</v>
      </c>
      <c r="G9" s="188">
        <v>337.91022503961972</v>
      </c>
      <c r="H9" s="187">
        <v>426.25688110749189</v>
      </c>
      <c r="I9" s="187">
        <v>76.775000000000006</v>
      </c>
    </row>
    <row r="10" spans="1:9" ht="15.75" customHeight="1" x14ac:dyDescent="0.25">
      <c r="A10" s="169">
        <v>36919</v>
      </c>
      <c r="B10" s="187">
        <v>319.67394996708367</v>
      </c>
      <c r="C10" s="187">
        <v>260.4897125</v>
      </c>
      <c r="D10" s="187">
        <v>299.03750688705236</v>
      </c>
      <c r="E10" s="187">
        <v>338.49016759776538</v>
      </c>
      <c r="F10" s="187">
        <v>341.39868003731345</v>
      </c>
      <c r="G10" s="188">
        <v>337.93989223454827</v>
      </c>
      <c r="H10" s="187">
        <v>426.25688110749189</v>
      </c>
      <c r="I10" s="187">
        <v>74.215000000000003</v>
      </c>
    </row>
    <row r="11" spans="1:9" ht="15.75" customHeight="1" x14ac:dyDescent="0.25">
      <c r="A11" s="169">
        <v>36926</v>
      </c>
      <c r="B11" s="187">
        <v>316.60507570770244</v>
      </c>
      <c r="C11" s="187">
        <v>261.07276250000001</v>
      </c>
      <c r="D11" s="187">
        <v>284.43965564738295</v>
      </c>
      <c r="E11" s="187">
        <v>340.17877094972067</v>
      </c>
      <c r="F11" s="187">
        <v>341.39868003731345</v>
      </c>
      <c r="G11" s="188">
        <v>337.91022503961972</v>
      </c>
      <c r="H11" s="187">
        <v>426.25688110749189</v>
      </c>
      <c r="I11" s="187">
        <v>66.5</v>
      </c>
    </row>
    <row r="12" spans="1:9" ht="15.75" customHeight="1" x14ac:dyDescent="0.25">
      <c r="A12" s="169">
        <v>36933</v>
      </c>
      <c r="B12" s="187">
        <v>311.46078999341671</v>
      </c>
      <c r="C12" s="187">
        <v>259.60015000000004</v>
      </c>
      <c r="D12" s="187">
        <v>297.59578512396695</v>
      </c>
      <c r="E12" s="187">
        <v>338.28234636871514</v>
      </c>
      <c r="F12" s="187">
        <v>342.40846082089553</v>
      </c>
      <c r="G12" s="188">
        <v>337.91022503961972</v>
      </c>
      <c r="H12" s="187">
        <v>426.80924267100977</v>
      </c>
      <c r="I12" s="187">
        <v>60.03</v>
      </c>
    </row>
    <row r="13" spans="1:9" ht="15.75" customHeight="1" x14ac:dyDescent="0.25">
      <c r="A13" s="169">
        <v>36940</v>
      </c>
      <c r="B13" s="187">
        <v>314.05585253456218</v>
      </c>
      <c r="C13" s="187">
        <v>258.19278750000007</v>
      </c>
      <c r="D13" s="187">
        <v>295.41194214876032</v>
      </c>
      <c r="E13" s="187">
        <v>337.86670391061455</v>
      </c>
      <c r="F13" s="187">
        <v>342.40846082089553</v>
      </c>
      <c r="G13" s="188">
        <v>339.3430903328051</v>
      </c>
      <c r="H13" s="187">
        <v>428.19556188925083</v>
      </c>
      <c r="I13" s="187">
        <v>52.164999999999999</v>
      </c>
    </row>
    <row r="14" spans="1:9" ht="15.75" customHeight="1" x14ac:dyDescent="0.25">
      <c r="A14" s="169">
        <v>36947</v>
      </c>
      <c r="B14" s="187">
        <v>312.92886109282421</v>
      </c>
      <c r="C14" s="187">
        <v>255.31736250000003</v>
      </c>
      <c r="D14" s="187">
        <v>292.54994490358126</v>
      </c>
      <c r="E14" s="187">
        <v>343.77681564245813</v>
      </c>
      <c r="F14" s="187">
        <v>342.40846082089553</v>
      </c>
      <c r="G14" s="188">
        <v>339.3430903328051</v>
      </c>
      <c r="H14" s="187">
        <v>428.19556188925083</v>
      </c>
      <c r="I14" s="187">
        <v>48.56</v>
      </c>
    </row>
    <row r="15" spans="1:9" ht="15.75" customHeight="1" x14ac:dyDescent="0.25">
      <c r="A15" s="169">
        <v>36954</v>
      </c>
      <c r="B15" s="187">
        <v>312.62336405529953</v>
      </c>
      <c r="C15" s="187">
        <v>249.2519125</v>
      </c>
      <c r="D15" s="187">
        <v>289.95579889807158</v>
      </c>
      <c r="E15" s="187">
        <v>343.36117318435754</v>
      </c>
      <c r="F15" s="187">
        <v>342.40846082089553</v>
      </c>
      <c r="G15" s="188">
        <v>339.3430903328051</v>
      </c>
      <c r="H15" s="187">
        <v>428.19556188925083</v>
      </c>
      <c r="I15" s="187">
        <v>49.84</v>
      </c>
    </row>
    <row r="16" spans="1:9" ht="15.75" customHeight="1" x14ac:dyDescent="0.25">
      <c r="A16" s="169">
        <v>36961</v>
      </c>
      <c r="B16" s="187">
        <v>311.527353522054</v>
      </c>
      <c r="C16" s="187">
        <v>235.0997375</v>
      </c>
      <c r="D16" s="187">
        <v>288.05129476584017</v>
      </c>
      <c r="E16" s="187">
        <v>342.52988826815641</v>
      </c>
      <c r="F16" s="187">
        <v>342.40846082089553</v>
      </c>
      <c r="G16" s="188">
        <v>325.10258320126786</v>
      </c>
      <c r="H16" s="187">
        <v>429.02410423452773</v>
      </c>
      <c r="I16" s="187">
        <v>49.84</v>
      </c>
    </row>
    <row r="17" spans="1:9" ht="15.75" customHeight="1" x14ac:dyDescent="0.25">
      <c r="A17" s="169">
        <v>36968</v>
      </c>
      <c r="B17" s="187">
        <v>311.0768202764977</v>
      </c>
      <c r="C17" s="187">
        <v>245.76584999999994</v>
      </c>
      <c r="D17" s="187">
        <v>285.91626721763078</v>
      </c>
      <c r="E17" s="187">
        <v>341.69860335195534</v>
      </c>
      <c r="F17" s="187">
        <v>342.40846082089553</v>
      </c>
      <c r="G17" s="188">
        <v>339.74606973058638</v>
      </c>
      <c r="H17" s="187">
        <v>435.59396579804559</v>
      </c>
      <c r="I17" s="187">
        <v>50.975000000000001</v>
      </c>
    </row>
    <row r="18" spans="1:9" ht="15.75" customHeight="1" x14ac:dyDescent="0.25">
      <c r="A18" s="169">
        <v>36975</v>
      </c>
      <c r="B18" s="187">
        <v>311.67541803818301</v>
      </c>
      <c r="C18" s="187">
        <v>245.41127499999999</v>
      </c>
      <c r="D18" s="187">
        <v>285.77747933884297</v>
      </c>
      <c r="E18" s="187">
        <v>340.85430167597764</v>
      </c>
      <c r="F18" s="187">
        <v>342.40846082089553</v>
      </c>
      <c r="G18" s="188">
        <v>339.74606973058638</v>
      </c>
      <c r="H18" s="187">
        <v>435.59396579804559</v>
      </c>
      <c r="I18" s="187">
        <v>51.23</v>
      </c>
    </row>
    <row r="19" spans="1:9" ht="15.75" customHeight="1" x14ac:dyDescent="0.25">
      <c r="A19" s="169">
        <v>36982</v>
      </c>
      <c r="B19" s="187">
        <v>312.07225148123763</v>
      </c>
      <c r="C19" s="187">
        <v>244.27448749999999</v>
      </c>
      <c r="D19" s="187">
        <v>273.88545454545454</v>
      </c>
      <c r="E19" s="187">
        <v>340.4386592178771</v>
      </c>
      <c r="F19" s="187">
        <v>342.40846082089553</v>
      </c>
      <c r="G19" s="188">
        <v>339.74606973058638</v>
      </c>
      <c r="H19" s="187">
        <v>435.59396579804559</v>
      </c>
      <c r="I19" s="187">
        <v>51.23</v>
      </c>
    </row>
    <row r="20" spans="1:9" ht="15.75" customHeight="1" x14ac:dyDescent="0.25">
      <c r="A20" s="169">
        <v>36989</v>
      </c>
      <c r="B20" s="187">
        <v>314.90440421329822</v>
      </c>
      <c r="C20" s="187">
        <v>237.2059375</v>
      </c>
      <c r="D20" s="187">
        <v>282.5501652892562</v>
      </c>
      <c r="E20" s="187">
        <v>340.66955307262572</v>
      </c>
      <c r="F20" s="187">
        <v>342.40846082089553</v>
      </c>
      <c r="G20" s="188">
        <v>339.74606973058638</v>
      </c>
      <c r="H20" s="187">
        <v>435.59396579804559</v>
      </c>
      <c r="I20" s="187">
        <v>49.075000000000003</v>
      </c>
    </row>
    <row r="21" spans="1:9" ht="15.75" customHeight="1" x14ac:dyDescent="0.25">
      <c r="A21" s="169">
        <v>36996</v>
      </c>
      <c r="B21" s="187">
        <v>316.00071099407501</v>
      </c>
      <c r="C21" s="187">
        <v>236.21863749999997</v>
      </c>
      <c r="D21" s="187">
        <v>286.17487603305784</v>
      </c>
      <c r="E21" s="187">
        <v>340.46469273743014</v>
      </c>
      <c r="F21" s="187">
        <v>343.67120802238804</v>
      </c>
      <c r="G21" s="188">
        <v>339.74606973058638</v>
      </c>
      <c r="H21" s="187">
        <v>436.1517426710098</v>
      </c>
      <c r="I21" s="187">
        <v>47.854999999999997</v>
      </c>
    </row>
    <row r="22" spans="1:9" ht="15.75" customHeight="1" x14ac:dyDescent="0.25">
      <c r="A22" s="169">
        <v>37003</v>
      </c>
      <c r="B22" s="187">
        <v>317.0251415404872</v>
      </c>
      <c r="C22" s="187">
        <v>236.8266625</v>
      </c>
      <c r="D22" s="187">
        <v>285.66267217630855</v>
      </c>
      <c r="E22" s="187">
        <v>341.54284916201118</v>
      </c>
      <c r="F22" s="187">
        <v>343.67120802238804</v>
      </c>
      <c r="G22" s="188">
        <v>340.65600950871641</v>
      </c>
      <c r="H22" s="187">
        <v>437.53264657980458</v>
      </c>
      <c r="I22" s="187">
        <v>47.854999999999997</v>
      </c>
    </row>
    <row r="23" spans="1:9" ht="15.75" customHeight="1" x14ac:dyDescent="0.25">
      <c r="A23" s="169">
        <v>37010</v>
      </c>
      <c r="B23" s="187">
        <v>316.99202106649113</v>
      </c>
      <c r="C23" s="187">
        <v>237.72983750000003</v>
      </c>
      <c r="D23" s="187">
        <v>285.14488980716249</v>
      </c>
      <c r="E23" s="187">
        <v>336.29860335195531</v>
      </c>
      <c r="F23" s="187">
        <v>343.67120802238804</v>
      </c>
      <c r="G23" s="188">
        <v>340.65600950871641</v>
      </c>
      <c r="H23" s="187">
        <v>437.53264657980458</v>
      </c>
      <c r="I23" s="187">
        <v>48.08</v>
      </c>
    </row>
    <row r="24" spans="1:9" ht="15.75" customHeight="1" x14ac:dyDescent="0.25">
      <c r="A24" s="169">
        <v>37017</v>
      </c>
      <c r="B24" s="187">
        <v>319.2239038841343</v>
      </c>
      <c r="C24" s="187">
        <v>239.9508625</v>
      </c>
      <c r="D24" s="187">
        <v>284.16391184573001</v>
      </c>
      <c r="E24" s="187">
        <v>335.89597765363129</v>
      </c>
      <c r="F24" s="187">
        <v>343.67120802238804</v>
      </c>
      <c r="G24" s="188">
        <v>340.65600950871641</v>
      </c>
      <c r="H24" s="187">
        <v>437.53264657980458</v>
      </c>
      <c r="I24" s="187">
        <v>48.534999999999997</v>
      </c>
    </row>
    <row r="25" spans="1:9" ht="15.75" customHeight="1" x14ac:dyDescent="0.25">
      <c r="A25" s="169">
        <v>37024</v>
      </c>
      <c r="B25" s="187">
        <v>319.64548387096772</v>
      </c>
      <c r="C25" s="187">
        <v>241.04273749999996</v>
      </c>
      <c r="D25" s="187">
        <v>284.64863636363634</v>
      </c>
      <c r="E25" s="187">
        <v>336.31162011173183</v>
      </c>
      <c r="F25" s="187">
        <v>343.67120802238804</v>
      </c>
      <c r="G25" s="188">
        <v>340.65600950871641</v>
      </c>
      <c r="H25" s="187">
        <v>437.53264657980458</v>
      </c>
      <c r="I25" s="187">
        <v>46.86</v>
      </c>
    </row>
    <row r="26" spans="1:9" ht="15.75" customHeight="1" x14ac:dyDescent="0.25">
      <c r="A26" s="169">
        <v>37031</v>
      </c>
      <c r="B26" s="187">
        <v>320.59591178406845</v>
      </c>
      <c r="C26" s="187">
        <v>243.28905000000003</v>
      </c>
      <c r="D26" s="187">
        <v>284.50315426997247</v>
      </c>
      <c r="E26" s="187">
        <v>338.40284916201119</v>
      </c>
      <c r="F26" s="187">
        <v>343.67120802238804</v>
      </c>
      <c r="G26" s="188">
        <v>340.65600950871641</v>
      </c>
      <c r="H26" s="187">
        <v>437.53264657980458</v>
      </c>
      <c r="I26" s="187">
        <v>45.41</v>
      </c>
    </row>
    <row r="27" spans="1:9" ht="15.75" customHeight="1" x14ac:dyDescent="0.25">
      <c r="A27" s="169">
        <v>37038</v>
      </c>
      <c r="B27" s="187">
        <v>321.53878867676104</v>
      </c>
      <c r="C27" s="187">
        <v>247.14787500000003</v>
      </c>
      <c r="D27" s="187">
        <v>286.23103305785122</v>
      </c>
      <c r="E27" s="187">
        <v>340.47770949720672</v>
      </c>
      <c r="F27" s="187">
        <v>343.67120802238804</v>
      </c>
      <c r="G27" s="188">
        <v>340.65600950871641</v>
      </c>
      <c r="H27" s="187">
        <v>437.53264657980458</v>
      </c>
      <c r="I27" s="187">
        <v>51.005000000000003</v>
      </c>
    </row>
    <row r="28" spans="1:9" ht="15.75" customHeight="1" x14ac:dyDescent="0.25">
      <c r="A28" s="169">
        <v>37045</v>
      </c>
      <c r="B28" s="187">
        <v>322.98930875576036</v>
      </c>
      <c r="C28" s="187">
        <v>248.96477499999997</v>
      </c>
      <c r="D28" s="187">
        <v>289.56439393939394</v>
      </c>
      <c r="E28" s="187">
        <v>343.42625698324025</v>
      </c>
      <c r="F28" s="187">
        <v>350.80817164179098</v>
      </c>
      <c r="G28" s="188">
        <v>340.65600950871641</v>
      </c>
      <c r="H28" s="187">
        <v>437.53264657980458</v>
      </c>
      <c r="I28" s="187">
        <v>60.06</v>
      </c>
    </row>
    <row r="29" spans="1:9" ht="15.75" customHeight="1" x14ac:dyDescent="0.25">
      <c r="A29" s="169">
        <v>37052</v>
      </c>
      <c r="B29" s="187">
        <v>327.72541803818297</v>
      </c>
      <c r="C29" s="187">
        <v>260.91072499999996</v>
      </c>
      <c r="D29" s="187">
        <v>288.37998622589532</v>
      </c>
      <c r="E29" s="187">
        <v>350.98592178770946</v>
      </c>
      <c r="F29" s="187">
        <v>350.80817164179098</v>
      </c>
      <c r="G29" s="188">
        <v>345.60095404120443</v>
      </c>
      <c r="H29" s="187">
        <v>437.53264657980458</v>
      </c>
      <c r="I29" s="187">
        <v>61.424999999999997</v>
      </c>
    </row>
    <row r="30" spans="1:9" ht="15.75" customHeight="1" x14ac:dyDescent="0.25">
      <c r="A30" s="169">
        <v>37059</v>
      </c>
      <c r="B30" s="187">
        <v>329.99423963133643</v>
      </c>
      <c r="C30" s="187">
        <v>259.24317500000001</v>
      </c>
      <c r="D30" s="187">
        <v>288.88571625344349</v>
      </c>
      <c r="E30" s="187">
        <v>351.80418994413407</v>
      </c>
      <c r="F30" s="187">
        <v>350.80817164179098</v>
      </c>
      <c r="G30" s="188">
        <v>345.96058637083991</v>
      </c>
      <c r="H30" s="187">
        <v>437.53264657980458</v>
      </c>
      <c r="I30" s="187">
        <v>58.87</v>
      </c>
    </row>
    <row r="31" spans="1:9" ht="15.75" customHeight="1" x14ac:dyDescent="0.25">
      <c r="A31" s="169">
        <v>37066</v>
      </c>
      <c r="B31" s="187">
        <v>330.66287689269257</v>
      </c>
      <c r="C31" s="187">
        <v>258.41072499999996</v>
      </c>
      <c r="D31" s="187">
        <v>298.41581267217629</v>
      </c>
      <c r="E31" s="187">
        <v>351.36251396648044</v>
      </c>
      <c r="F31" s="187">
        <v>350.80817164179098</v>
      </c>
      <c r="G31" s="188">
        <v>345.96058637083991</v>
      </c>
      <c r="H31" s="187">
        <v>437.53264657980458</v>
      </c>
      <c r="I31" s="187">
        <v>55.69</v>
      </c>
    </row>
    <row r="32" spans="1:9" ht="15.75" customHeight="1" x14ac:dyDescent="0.25">
      <c r="A32" s="169">
        <v>37073</v>
      </c>
      <c r="B32" s="187">
        <v>330.1173996050033</v>
      </c>
      <c r="C32" s="187">
        <v>259.33237500000001</v>
      </c>
      <c r="D32" s="187">
        <v>296.54435261707994</v>
      </c>
      <c r="E32" s="187">
        <v>354.06083798882679</v>
      </c>
      <c r="F32" s="187">
        <v>350.80817164179098</v>
      </c>
      <c r="G32" s="188">
        <v>345.96058637083991</v>
      </c>
      <c r="H32" s="187">
        <v>438.3666042345277</v>
      </c>
      <c r="I32" s="187">
        <v>52.85</v>
      </c>
    </row>
    <row r="33" spans="1:9" ht="15.75" customHeight="1" x14ac:dyDescent="0.25">
      <c r="A33" s="169">
        <v>37080</v>
      </c>
      <c r="B33" s="187">
        <v>332.87092824226465</v>
      </c>
      <c r="C33" s="187">
        <v>258.66153749999995</v>
      </c>
      <c r="D33" s="187">
        <v>288.85986225895311</v>
      </c>
      <c r="E33" s="187">
        <v>356.16508379888268</v>
      </c>
      <c r="F33" s="187">
        <v>350.80817164179098</v>
      </c>
      <c r="G33" s="188">
        <v>345.96058637083991</v>
      </c>
      <c r="H33" s="187">
        <v>440.30528501628663</v>
      </c>
      <c r="I33" s="187">
        <v>52.34</v>
      </c>
    </row>
    <row r="34" spans="1:9" ht="15.75" customHeight="1" x14ac:dyDescent="0.25">
      <c r="A34" s="169">
        <v>37087</v>
      </c>
      <c r="B34" s="187">
        <v>331.82957208689925</v>
      </c>
      <c r="C34" s="187">
        <v>258.42987499999998</v>
      </c>
      <c r="D34" s="187">
        <v>289.73446280991737</v>
      </c>
      <c r="E34" s="187">
        <v>356.16508379888268</v>
      </c>
      <c r="F34" s="187">
        <v>350.80817164179098</v>
      </c>
      <c r="G34" s="188">
        <v>348.13564183835183</v>
      </c>
      <c r="H34" s="187">
        <v>440.4323697068404</v>
      </c>
      <c r="I34" s="187">
        <v>52.11</v>
      </c>
    </row>
    <row r="35" spans="1:9" ht="15.75" customHeight="1" x14ac:dyDescent="0.25">
      <c r="A35" s="169">
        <v>37094</v>
      </c>
      <c r="B35" s="187">
        <v>332.08570111915731</v>
      </c>
      <c r="C35" s="187">
        <v>256.89443749999998</v>
      </c>
      <c r="D35" s="187">
        <v>290.40409090909088</v>
      </c>
      <c r="E35" s="187">
        <v>356.16508379888268</v>
      </c>
      <c r="F35" s="187">
        <v>350.80817164179098</v>
      </c>
      <c r="G35" s="188">
        <v>348.13564183835183</v>
      </c>
      <c r="H35" s="187">
        <v>440.4323697068404</v>
      </c>
      <c r="I35" s="187">
        <v>50.695</v>
      </c>
    </row>
    <row r="36" spans="1:9" ht="15.75" customHeight="1" x14ac:dyDescent="0.25">
      <c r="A36" s="169">
        <v>37101</v>
      </c>
      <c r="B36" s="187">
        <v>331.84077682685978</v>
      </c>
      <c r="C36" s="187">
        <v>254.43533750000003</v>
      </c>
      <c r="D36" s="187">
        <v>289.59994490358122</v>
      </c>
      <c r="E36" s="187">
        <v>353.63217877094968</v>
      </c>
      <c r="F36" s="187">
        <v>350.80817164179098</v>
      </c>
      <c r="G36" s="188">
        <v>348.13564183835183</v>
      </c>
      <c r="H36" s="187">
        <v>440.4323697068404</v>
      </c>
      <c r="I36" s="187">
        <v>50.18</v>
      </c>
    </row>
    <row r="37" spans="1:9" ht="15.75" customHeight="1" x14ac:dyDescent="0.25">
      <c r="A37" s="169">
        <v>37108</v>
      </c>
      <c r="B37" s="187">
        <v>330.5952534562212</v>
      </c>
      <c r="C37" s="187">
        <v>253.94153749999998</v>
      </c>
      <c r="D37" s="187">
        <v>286.52396694214877</v>
      </c>
      <c r="E37" s="187">
        <v>324.29608938547489</v>
      </c>
      <c r="F37" s="187">
        <v>350.80817164179098</v>
      </c>
      <c r="G37" s="188">
        <v>349.89922345483353</v>
      </c>
      <c r="H37" s="187">
        <v>440.4323697068404</v>
      </c>
      <c r="I37" s="187">
        <v>52.905000000000001</v>
      </c>
    </row>
    <row r="38" spans="1:9" ht="15.75" customHeight="1" x14ac:dyDescent="0.25">
      <c r="A38" s="169">
        <v>37115</v>
      </c>
      <c r="B38" s="187">
        <v>328.4765964450296</v>
      </c>
      <c r="C38" s="187">
        <v>249.86880000000002</v>
      </c>
      <c r="D38" s="187">
        <v>285.07652892561981</v>
      </c>
      <c r="E38" s="187">
        <v>353.65821229050277</v>
      </c>
      <c r="F38" s="187">
        <v>350.80817164179098</v>
      </c>
      <c r="G38" s="188">
        <v>349.89922345483353</v>
      </c>
      <c r="H38" s="187">
        <v>440.21908794788277</v>
      </c>
      <c r="I38" s="187">
        <v>52.395000000000003</v>
      </c>
    </row>
    <row r="39" spans="1:9" ht="15.75" customHeight="1" x14ac:dyDescent="0.25">
      <c r="A39" s="169">
        <v>37122</v>
      </c>
      <c r="B39" s="187">
        <v>325.50190915075711</v>
      </c>
      <c r="C39" s="187">
        <v>247.95012500000001</v>
      </c>
      <c r="D39" s="187">
        <v>283.53589531680439</v>
      </c>
      <c r="E39" s="187">
        <v>352.62245810055867</v>
      </c>
      <c r="F39" s="187">
        <v>350.80817164179098</v>
      </c>
      <c r="G39" s="188">
        <v>349.89922345483353</v>
      </c>
      <c r="H39" s="187">
        <v>440.21908794788277</v>
      </c>
      <c r="I39" s="187">
        <v>53.164999999999999</v>
      </c>
    </row>
    <row r="40" spans="1:9" ht="15.75" customHeight="1" x14ac:dyDescent="0.25">
      <c r="A40" s="169">
        <v>37129</v>
      </c>
      <c r="B40" s="187">
        <v>324.2736405529954</v>
      </c>
      <c r="C40" s="187">
        <v>244.79038750000004</v>
      </c>
      <c r="D40" s="187">
        <v>282.51231404958679</v>
      </c>
      <c r="E40" s="187">
        <v>353.05111731843573</v>
      </c>
      <c r="F40" s="187">
        <v>350.80817164179098</v>
      </c>
      <c r="G40" s="188">
        <v>349.89922345483353</v>
      </c>
      <c r="H40" s="187">
        <v>441.60540716612371</v>
      </c>
      <c r="I40" s="187">
        <v>54.354999999999997</v>
      </c>
    </row>
    <row r="41" spans="1:9" ht="15.75" customHeight="1" x14ac:dyDescent="0.25">
      <c r="A41" s="169">
        <v>37136</v>
      </c>
      <c r="B41" s="187">
        <v>324.36371955233705</v>
      </c>
      <c r="C41" s="187">
        <v>243.17827500000004</v>
      </c>
      <c r="D41" s="187">
        <v>281.12429752066117</v>
      </c>
      <c r="E41" s="187">
        <v>348.40094972067038</v>
      </c>
      <c r="F41" s="187">
        <v>350.80817164179098</v>
      </c>
      <c r="G41" s="188">
        <v>349.89922345483353</v>
      </c>
      <c r="H41" s="187">
        <v>441.60540716612371</v>
      </c>
      <c r="I41" s="187">
        <v>54.555</v>
      </c>
    </row>
    <row r="42" spans="1:9" ht="15.75" customHeight="1" x14ac:dyDescent="0.25">
      <c r="A42" s="169">
        <v>37143</v>
      </c>
      <c r="B42" s="187">
        <v>322.95106649111256</v>
      </c>
      <c r="C42" s="187">
        <v>242.26900000000001</v>
      </c>
      <c r="D42" s="187">
        <v>280.76774104683199</v>
      </c>
      <c r="E42" s="187">
        <v>350.51821229050279</v>
      </c>
      <c r="F42" s="187">
        <v>350.80817164179098</v>
      </c>
      <c r="G42" s="188">
        <v>349.89922345483353</v>
      </c>
      <c r="H42" s="187">
        <v>441.60540716612371</v>
      </c>
      <c r="I42" s="187">
        <v>55.77</v>
      </c>
    </row>
    <row r="43" spans="1:9" ht="15.75" customHeight="1" x14ac:dyDescent="0.25">
      <c r="A43" s="169">
        <v>37150</v>
      </c>
      <c r="B43" s="187">
        <v>324.10450296247535</v>
      </c>
      <c r="C43" s="187">
        <v>243.1254625</v>
      </c>
      <c r="D43" s="187">
        <v>292.283044077135</v>
      </c>
      <c r="E43" s="187">
        <v>347.14100558659214</v>
      </c>
      <c r="F43" s="187">
        <v>350.80817164179098</v>
      </c>
      <c r="G43" s="188">
        <v>349.89922345483353</v>
      </c>
      <c r="H43" s="187">
        <v>441.60540716612371</v>
      </c>
      <c r="I43" s="187">
        <v>56.71</v>
      </c>
    </row>
    <row r="44" spans="1:9" ht="15.75" customHeight="1" x14ac:dyDescent="0.25">
      <c r="A44" s="169">
        <v>37157</v>
      </c>
      <c r="B44" s="187">
        <v>322.93222514812379</v>
      </c>
      <c r="C44" s="187">
        <v>240.96453750000003</v>
      </c>
      <c r="D44" s="187">
        <v>289.3069696969697</v>
      </c>
      <c r="E44" s="187">
        <v>346.93318435754185</v>
      </c>
      <c r="F44" s="187">
        <v>350.80817164179098</v>
      </c>
      <c r="G44" s="188">
        <v>349.89922345483353</v>
      </c>
      <c r="H44" s="187">
        <v>441.60540716612371</v>
      </c>
      <c r="I44" s="187">
        <v>56.71</v>
      </c>
    </row>
    <row r="45" spans="1:9" ht="15.75" customHeight="1" x14ac:dyDescent="0.25">
      <c r="A45" s="169">
        <v>37164</v>
      </c>
      <c r="B45" s="187">
        <v>320.42926267281109</v>
      </c>
      <c r="C45" s="187">
        <v>236.70387500000001</v>
      </c>
      <c r="D45" s="187">
        <v>287.21398071625339</v>
      </c>
      <c r="E45" s="187">
        <v>348.41396648044696</v>
      </c>
      <c r="F45" s="187">
        <v>350.80817164179098</v>
      </c>
      <c r="G45" s="188">
        <v>349.89922345483353</v>
      </c>
      <c r="H45" s="187">
        <v>444.40206840390886</v>
      </c>
      <c r="I45" s="187">
        <v>55.77</v>
      </c>
    </row>
    <row r="46" spans="1:9" ht="15.75" customHeight="1" x14ac:dyDescent="0.25">
      <c r="A46" s="169">
        <v>37171</v>
      </c>
      <c r="B46" s="187">
        <v>320.61979591836734</v>
      </c>
      <c r="C46" s="187">
        <v>231.0847</v>
      </c>
      <c r="D46" s="187">
        <v>282.19600550964191</v>
      </c>
      <c r="E46" s="187">
        <v>347.55664804469274</v>
      </c>
      <c r="F46" s="187">
        <v>350.80817164179098</v>
      </c>
      <c r="G46" s="188">
        <v>349.89922345483353</v>
      </c>
      <c r="H46" s="187">
        <v>444.40206840390886</v>
      </c>
      <c r="I46" s="187">
        <v>56.225000000000001</v>
      </c>
    </row>
    <row r="47" spans="1:9" ht="15.75" customHeight="1" x14ac:dyDescent="0.25">
      <c r="A47" s="169">
        <v>37178</v>
      </c>
      <c r="B47" s="187">
        <v>317.95312047399608</v>
      </c>
      <c r="C47" s="187">
        <v>229.07264999999998</v>
      </c>
      <c r="D47" s="187">
        <v>266.46746556473829</v>
      </c>
      <c r="E47" s="187">
        <v>345.88106145251402</v>
      </c>
      <c r="F47" s="187">
        <v>354.04044309701493</v>
      </c>
      <c r="G47" s="188">
        <v>349.89922345483353</v>
      </c>
      <c r="H47" s="187">
        <v>444.40206840390886</v>
      </c>
      <c r="I47" s="187">
        <v>55.744999999999997</v>
      </c>
    </row>
    <row r="48" spans="1:9" ht="15.75" customHeight="1" x14ac:dyDescent="0.25">
      <c r="A48" s="169">
        <v>37185</v>
      </c>
      <c r="B48" s="187">
        <v>317.17043449637919</v>
      </c>
      <c r="C48" s="187">
        <v>219.88374999999996</v>
      </c>
      <c r="D48" s="187">
        <v>262.58483471074385</v>
      </c>
      <c r="E48" s="187">
        <v>345.04977653631289</v>
      </c>
      <c r="F48" s="187">
        <v>354.04044309701493</v>
      </c>
      <c r="G48" s="188">
        <v>352.04662123613309</v>
      </c>
      <c r="H48" s="187">
        <v>444.40206840390886</v>
      </c>
      <c r="I48" s="187">
        <v>55.234999999999999</v>
      </c>
    </row>
    <row r="49" spans="1:9" ht="15.75" customHeight="1" x14ac:dyDescent="0.25">
      <c r="A49" s="169">
        <v>37192</v>
      </c>
      <c r="B49" s="187">
        <v>315.62855826201451</v>
      </c>
      <c r="C49" s="187">
        <v>214.77883750000001</v>
      </c>
      <c r="D49" s="187">
        <v>261.02187327823697</v>
      </c>
      <c r="E49" s="187">
        <v>342.51687150837989</v>
      </c>
      <c r="F49" s="187">
        <v>354.04044309701493</v>
      </c>
      <c r="G49" s="188">
        <v>352.04662123613309</v>
      </c>
      <c r="H49" s="187">
        <v>444.40206840390886</v>
      </c>
      <c r="I49" s="187">
        <v>55.234999999999999</v>
      </c>
    </row>
    <row r="50" spans="1:9" ht="15.75" customHeight="1" x14ac:dyDescent="0.25">
      <c r="A50" s="169">
        <v>37199</v>
      </c>
      <c r="B50" s="187">
        <v>312.53472679394332</v>
      </c>
      <c r="C50" s="187">
        <v>209.2198625</v>
      </c>
      <c r="D50" s="187">
        <v>257.75505509641874</v>
      </c>
      <c r="E50" s="187">
        <v>337.04843575418994</v>
      </c>
      <c r="F50" s="187">
        <v>354.04044309701493</v>
      </c>
      <c r="G50" s="188">
        <v>352.04662123613309</v>
      </c>
      <c r="H50" s="187">
        <v>445.2306107491857</v>
      </c>
      <c r="I50" s="187">
        <v>55.234999999999999</v>
      </c>
    </row>
    <row r="51" spans="1:9" ht="15.75" customHeight="1" x14ac:dyDescent="0.25">
      <c r="A51" s="169">
        <v>37206</v>
      </c>
      <c r="B51" s="187">
        <v>308.31741935483871</v>
      </c>
      <c r="C51" s="187">
        <v>206.72739999999999</v>
      </c>
      <c r="D51" s="187">
        <v>257.21735537190085</v>
      </c>
      <c r="E51" s="187">
        <v>338.73703910614523</v>
      </c>
      <c r="F51" s="187">
        <v>354.04044309701493</v>
      </c>
      <c r="G51" s="188">
        <v>352.04662123613309</v>
      </c>
      <c r="H51" s="187">
        <v>445.2306107491857</v>
      </c>
      <c r="I51" s="187">
        <v>55.49</v>
      </c>
    </row>
    <row r="52" spans="1:9" ht="15.75" customHeight="1" x14ac:dyDescent="0.25">
      <c r="A52" s="169">
        <v>37213</v>
      </c>
      <c r="B52" s="187">
        <v>308.27270572745226</v>
      </c>
      <c r="C52" s="187">
        <v>206.36711249999999</v>
      </c>
      <c r="D52" s="187">
        <v>255.59984848484848</v>
      </c>
      <c r="E52" s="187">
        <v>338.55525139664803</v>
      </c>
      <c r="F52" s="187">
        <v>354.04044309701493</v>
      </c>
      <c r="G52" s="188">
        <v>352.04662123613309</v>
      </c>
      <c r="H52" s="187">
        <v>445.2306107491857</v>
      </c>
      <c r="I52" s="187">
        <v>53.33</v>
      </c>
    </row>
    <row r="53" spans="1:9" ht="15.75" customHeight="1" x14ac:dyDescent="0.25">
      <c r="A53" s="169">
        <v>37220</v>
      </c>
      <c r="B53" s="187">
        <v>306.60379855167878</v>
      </c>
      <c r="C53" s="187">
        <v>206.35826250000002</v>
      </c>
      <c r="D53" s="187">
        <v>253.9795179063361</v>
      </c>
      <c r="E53" s="187">
        <v>334.15195530726254</v>
      </c>
      <c r="F53" s="187">
        <v>354.04044309701493</v>
      </c>
      <c r="G53" s="188">
        <v>352.04662123613309</v>
      </c>
      <c r="H53" s="187">
        <v>446.89201140065143</v>
      </c>
      <c r="I53" s="187">
        <v>52.11</v>
      </c>
    </row>
    <row r="54" spans="1:9" ht="15.75" customHeight="1" x14ac:dyDescent="0.25">
      <c r="A54" s="169">
        <v>37227</v>
      </c>
      <c r="B54" s="187">
        <v>305.51439104674131</v>
      </c>
      <c r="C54" s="187">
        <v>204.41878750000001</v>
      </c>
      <c r="D54" s="187">
        <v>254.814173553719</v>
      </c>
      <c r="E54" s="187">
        <v>328.64446927374303</v>
      </c>
      <c r="F54" s="187">
        <v>354.04044309701493</v>
      </c>
      <c r="G54" s="188">
        <v>352.04662123613309</v>
      </c>
      <c r="H54" s="187">
        <v>446.89201140065143</v>
      </c>
      <c r="I54" s="187">
        <v>52.79</v>
      </c>
    </row>
    <row r="55" spans="1:9" ht="15.75" customHeight="1" x14ac:dyDescent="0.25">
      <c r="A55" s="169">
        <v>37234</v>
      </c>
      <c r="B55" s="187">
        <v>302.81630019749832</v>
      </c>
      <c r="C55" s="187">
        <v>204.48205000000002</v>
      </c>
      <c r="D55" s="187">
        <v>252.28442148760334</v>
      </c>
      <c r="E55" s="187">
        <v>325.53050279329608</v>
      </c>
      <c r="F55" s="187">
        <v>354.04044309701493</v>
      </c>
      <c r="G55" s="188">
        <v>352.04662123613309</v>
      </c>
      <c r="H55" s="187">
        <v>446.89201140065143</v>
      </c>
      <c r="I55" s="187">
        <v>56.255000000000003</v>
      </c>
    </row>
    <row r="56" spans="1:9" ht="15.75" customHeight="1" x14ac:dyDescent="0.25">
      <c r="A56" s="169">
        <v>37241</v>
      </c>
      <c r="B56" s="187">
        <v>302.85170506912442</v>
      </c>
      <c r="C56" s="187">
        <v>203.07161250000001</v>
      </c>
      <c r="D56" s="187">
        <v>255.09884297520659</v>
      </c>
      <c r="E56" s="187">
        <v>323.45229050279323</v>
      </c>
      <c r="F56" s="187">
        <v>354.04044309701493</v>
      </c>
      <c r="G56" s="188">
        <v>352.04662123613309</v>
      </c>
      <c r="H56" s="187">
        <v>447.44437296416936</v>
      </c>
      <c r="I56" s="187">
        <v>57.534999999999997</v>
      </c>
    </row>
    <row r="57" spans="1:9" ht="15.75" customHeight="1" x14ac:dyDescent="0.25">
      <c r="A57" s="169">
        <v>37248</v>
      </c>
      <c r="B57" s="187">
        <v>303.38878209348258</v>
      </c>
      <c r="C57" s="187">
        <v>201.67227499999998</v>
      </c>
      <c r="D57" s="187">
        <v>250.96136363636364</v>
      </c>
      <c r="E57" s="187">
        <v>324.29659217877094</v>
      </c>
      <c r="F57" s="187">
        <v>354.04044309701493</v>
      </c>
      <c r="G57" s="188">
        <v>352.04662123613309</v>
      </c>
      <c r="H57" s="187">
        <v>447.44437296416936</v>
      </c>
      <c r="I57" s="187">
        <v>57.93</v>
      </c>
    </row>
    <row r="58" spans="1:9" ht="15.75" customHeight="1" x14ac:dyDescent="0.25">
      <c r="A58" s="169">
        <v>37255</v>
      </c>
      <c r="B58" s="187">
        <v>303.48806451612904</v>
      </c>
      <c r="C58" s="187">
        <v>200.9148375</v>
      </c>
      <c r="D58" s="187">
        <v>250.56829201101931</v>
      </c>
      <c r="E58" s="187">
        <v>324.29659217877094</v>
      </c>
      <c r="F58" s="187">
        <v>354.04044309701493</v>
      </c>
      <c r="G58" s="188">
        <v>352.04662123613309</v>
      </c>
      <c r="H58" s="187">
        <v>447.33892508143327</v>
      </c>
      <c r="I58" s="187">
        <v>57.93</v>
      </c>
    </row>
    <row r="59" spans="1:9" ht="15.75" customHeight="1" x14ac:dyDescent="0.25">
      <c r="A59" s="169">
        <v>37262</v>
      </c>
      <c r="B59" s="187">
        <v>303.38495720868991</v>
      </c>
      <c r="C59" s="187">
        <v>198.65586250000001</v>
      </c>
      <c r="D59" s="187">
        <v>247.75411845730025</v>
      </c>
      <c r="E59" s="187">
        <v>320.96603351955304</v>
      </c>
      <c r="F59" s="187">
        <v>352.4148414179104</v>
      </c>
      <c r="G59" s="188">
        <v>349.25455784469091</v>
      </c>
      <c r="H59" s="187">
        <v>447.52846091205214</v>
      </c>
      <c r="I59" s="187">
        <v>57.59</v>
      </c>
    </row>
    <row r="60" spans="1:9" ht="15.75" customHeight="1" x14ac:dyDescent="0.25">
      <c r="A60" s="169">
        <v>37269</v>
      </c>
      <c r="B60" s="187">
        <v>302.75307439104677</v>
      </c>
      <c r="C60" s="187">
        <v>198.5070375</v>
      </c>
      <c r="D60" s="187">
        <v>246.48418732782369</v>
      </c>
      <c r="E60" s="187">
        <v>312.01117318435752</v>
      </c>
      <c r="F60" s="187">
        <v>352.36287313432837</v>
      </c>
      <c r="G60" s="188">
        <v>349.37272583201269</v>
      </c>
      <c r="H60" s="187">
        <v>447.49596905537459</v>
      </c>
      <c r="I60" s="187">
        <v>57.5</v>
      </c>
    </row>
    <row r="61" spans="1:9" ht="15.75" customHeight="1" x14ac:dyDescent="0.25">
      <c r="A61" s="169">
        <v>37276</v>
      </c>
      <c r="B61" s="187">
        <v>298.78728110599081</v>
      </c>
      <c r="C61" s="187">
        <v>200.093525</v>
      </c>
      <c r="D61" s="187">
        <v>248.06203856749312</v>
      </c>
      <c r="E61" s="187">
        <v>315.32402234636874</v>
      </c>
      <c r="F61" s="187">
        <v>347.97294776119401</v>
      </c>
      <c r="G61" s="188">
        <v>343.02567353407289</v>
      </c>
      <c r="H61" s="187">
        <v>447.49596905537459</v>
      </c>
      <c r="I61" s="187">
        <v>57</v>
      </c>
    </row>
    <row r="62" spans="1:9" ht="15.75" customHeight="1" x14ac:dyDescent="0.25">
      <c r="A62" s="169">
        <v>37283</v>
      </c>
      <c r="B62" s="187">
        <v>297.23324555628705</v>
      </c>
      <c r="C62" s="187">
        <v>201.397325</v>
      </c>
      <c r="D62" s="187">
        <v>248.92005509641874</v>
      </c>
      <c r="E62" s="187">
        <v>311.00558659217876</v>
      </c>
      <c r="F62" s="187">
        <v>346.11194029850748</v>
      </c>
      <c r="G62" s="188">
        <v>340.95087163232961</v>
      </c>
      <c r="H62" s="187">
        <v>444.12622149837131</v>
      </c>
      <c r="I62" s="187">
        <v>57</v>
      </c>
    </row>
    <row r="63" spans="1:9" ht="15.75" customHeight="1" x14ac:dyDescent="0.25">
      <c r="A63" s="169">
        <v>37290</v>
      </c>
      <c r="B63" s="187">
        <v>297.73419354838711</v>
      </c>
      <c r="C63" s="187">
        <v>201.40502500000002</v>
      </c>
      <c r="D63" s="187">
        <v>245.4068870523416</v>
      </c>
      <c r="E63" s="187">
        <v>306.35195530726259</v>
      </c>
      <c r="F63" s="187">
        <v>346.11194029850748</v>
      </c>
      <c r="G63" s="188">
        <v>340.95087163232961</v>
      </c>
      <c r="H63" s="187">
        <v>447.33550488599349</v>
      </c>
      <c r="I63" s="187">
        <v>57.25</v>
      </c>
    </row>
    <row r="64" spans="1:9" ht="15.75" customHeight="1" x14ac:dyDescent="0.25">
      <c r="A64" s="169">
        <v>37297</v>
      </c>
      <c r="B64" s="187">
        <v>297.19475971033575</v>
      </c>
      <c r="C64" s="187">
        <v>201.52473750000001</v>
      </c>
      <c r="D64" s="187">
        <v>246.2724517906336</v>
      </c>
      <c r="E64" s="187">
        <v>307.01675977653633</v>
      </c>
      <c r="F64" s="187">
        <v>343.32042910447763</v>
      </c>
      <c r="G64" s="188">
        <v>340.95087163232961</v>
      </c>
      <c r="H64" s="187">
        <v>447.33550488599349</v>
      </c>
      <c r="I64" s="187">
        <v>58.75</v>
      </c>
    </row>
    <row r="65" spans="1:9" ht="15.75" customHeight="1" x14ac:dyDescent="0.25">
      <c r="A65" s="169">
        <v>37304</v>
      </c>
      <c r="B65" s="187">
        <v>297.19836734693882</v>
      </c>
      <c r="C65" s="187">
        <v>201.88990000000001</v>
      </c>
      <c r="D65" s="187">
        <v>246.55360881542697</v>
      </c>
      <c r="E65" s="187">
        <v>306.18435754189943</v>
      </c>
      <c r="F65" s="187">
        <v>338.66791044776119</v>
      </c>
      <c r="G65" s="188">
        <v>337.49286846275754</v>
      </c>
      <c r="H65" s="187">
        <v>446.25244299674267</v>
      </c>
      <c r="I65" s="187">
        <v>61.25</v>
      </c>
    </row>
    <row r="66" spans="1:9" ht="15.75" customHeight="1" x14ac:dyDescent="0.25">
      <c r="A66" s="169">
        <v>37311</v>
      </c>
      <c r="B66" s="187">
        <v>297.21447004608297</v>
      </c>
      <c r="C66" s="187">
        <v>201.86035000000001</v>
      </c>
      <c r="D66" s="187">
        <v>246.4502479338843</v>
      </c>
      <c r="E66" s="187">
        <v>305.78212290502796</v>
      </c>
      <c r="F66" s="187">
        <v>338.66791044776119</v>
      </c>
      <c r="G66" s="188">
        <v>337.49286846275754</v>
      </c>
      <c r="H66" s="187">
        <v>446.25244299674267</v>
      </c>
      <c r="I66" s="187">
        <v>61.75</v>
      </c>
    </row>
    <row r="67" spans="1:9" ht="15.75" customHeight="1" x14ac:dyDescent="0.25">
      <c r="A67" s="169">
        <v>37318</v>
      </c>
      <c r="B67" s="187">
        <v>297.36496379196842</v>
      </c>
      <c r="C67" s="187">
        <v>202.15497500000001</v>
      </c>
      <c r="D67" s="187">
        <v>246.64322314049588</v>
      </c>
      <c r="E67" s="187">
        <v>304.9441340782123</v>
      </c>
      <c r="F67" s="187">
        <v>338.66791044776119</v>
      </c>
      <c r="G67" s="188">
        <v>336.1096671949287</v>
      </c>
      <c r="H67" s="187">
        <v>446.25244299674267</v>
      </c>
      <c r="I67" s="187">
        <v>60.25</v>
      </c>
    </row>
    <row r="68" spans="1:9" ht="15.75" customHeight="1" x14ac:dyDescent="0.25">
      <c r="A68" s="169">
        <v>37325</v>
      </c>
      <c r="B68" s="187">
        <v>297.40027649769587</v>
      </c>
      <c r="C68" s="187">
        <v>202.97736250000003</v>
      </c>
      <c r="D68" s="187">
        <v>245.00184573002755</v>
      </c>
      <c r="E68" s="187">
        <v>304.34078212290501</v>
      </c>
      <c r="F68" s="187">
        <v>338.66791044776119</v>
      </c>
      <c r="G68" s="188">
        <v>331.61838351822502</v>
      </c>
      <c r="H68" s="187">
        <v>447.62785016286642</v>
      </c>
      <c r="I68" s="187">
        <v>56</v>
      </c>
    </row>
    <row r="69" spans="1:9" ht="15.75" customHeight="1" x14ac:dyDescent="0.25">
      <c r="A69" s="169">
        <v>37332</v>
      </c>
      <c r="B69" s="187">
        <v>297.04817643186311</v>
      </c>
      <c r="C69" s="187">
        <v>202.66142500000001</v>
      </c>
      <c r="D69" s="187">
        <v>244.13862258953171</v>
      </c>
      <c r="E69" s="187">
        <v>298.62569832402232</v>
      </c>
      <c r="F69" s="187">
        <v>338.66791044776119</v>
      </c>
      <c r="G69" s="188">
        <v>331.61838351822502</v>
      </c>
      <c r="H69" s="187">
        <v>447.62785016286642</v>
      </c>
      <c r="I69" s="187">
        <v>52</v>
      </c>
    </row>
    <row r="70" spans="1:9" ht="15.75" customHeight="1" x14ac:dyDescent="0.25">
      <c r="A70" s="169">
        <v>37339</v>
      </c>
      <c r="B70" s="187">
        <v>297.06984858459515</v>
      </c>
      <c r="C70" s="187">
        <v>202.7087875</v>
      </c>
      <c r="D70" s="187">
        <v>244.97702479338844</v>
      </c>
      <c r="E70" s="187">
        <v>295.30167597765364</v>
      </c>
      <c r="F70" s="187">
        <v>336.8069029850746</v>
      </c>
      <c r="G70" s="188">
        <v>331.61838351822502</v>
      </c>
      <c r="H70" s="187">
        <v>447.62785016286642</v>
      </c>
      <c r="I70" s="187">
        <v>49.5</v>
      </c>
    </row>
    <row r="71" spans="1:9" ht="15.75" customHeight="1" x14ac:dyDescent="0.25">
      <c r="A71" s="169">
        <v>37346</v>
      </c>
      <c r="B71" s="187">
        <v>297.1333508887426</v>
      </c>
      <c r="C71" s="187">
        <v>202.92201249999999</v>
      </c>
      <c r="D71" s="187">
        <v>246.15132231404957</v>
      </c>
      <c r="E71" s="187">
        <v>292.64245810055866</v>
      </c>
      <c r="F71" s="187">
        <v>336.8069029850746</v>
      </c>
      <c r="G71" s="188">
        <v>331.61838351822502</v>
      </c>
      <c r="H71" s="187">
        <v>447.62785016286642</v>
      </c>
      <c r="I71" s="187">
        <v>48.5</v>
      </c>
    </row>
    <row r="72" spans="1:9" ht="15.75" customHeight="1" x14ac:dyDescent="0.25">
      <c r="A72" s="169">
        <v>37353</v>
      </c>
      <c r="B72" s="187">
        <v>297.20796576695193</v>
      </c>
      <c r="C72" s="187">
        <v>201.57368749999998</v>
      </c>
      <c r="D72" s="187">
        <v>246.24479338842974</v>
      </c>
      <c r="E72" s="187">
        <v>290.53072625698326</v>
      </c>
      <c r="F72" s="187">
        <v>335.08488805970148</v>
      </c>
      <c r="G72" s="188">
        <v>328.81965134706815</v>
      </c>
      <c r="H72" s="187">
        <v>445.71091205211724</v>
      </c>
      <c r="I72" s="187">
        <v>46.25</v>
      </c>
    </row>
    <row r="73" spans="1:9" ht="15.75" customHeight="1" x14ac:dyDescent="0.25">
      <c r="A73" s="169">
        <v>37360</v>
      </c>
      <c r="B73" s="187">
        <v>297.16722843976299</v>
      </c>
      <c r="C73" s="187">
        <v>201.49092499999998</v>
      </c>
      <c r="D73" s="187">
        <v>243.96743801652894</v>
      </c>
      <c r="E73" s="187">
        <v>290.53072625698326</v>
      </c>
      <c r="F73" s="187">
        <v>333.2238805970149</v>
      </c>
      <c r="G73" s="188">
        <v>326.05324881141047</v>
      </c>
      <c r="H73" s="187">
        <v>443.54478827361561</v>
      </c>
      <c r="I73" s="187">
        <v>44.25</v>
      </c>
    </row>
    <row r="74" spans="1:9" ht="15.75" customHeight="1" x14ac:dyDescent="0.25">
      <c r="A74" s="169">
        <v>37367</v>
      </c>
      <c r="B74" s="187">
        <v>296.8000921658986</v>
      </c>
      <c r="C74" s="187">
        <v>201.35187500000001</v>
      </c>
      <c r="D74" s="187">
        <v>243.30628099173555</v>
      </c>
      <c r="E74" s="187">
        <v>289.55865921787711</v>
      </c>
      <c r="F74" s="187">
        <v>332.29337686567163</v>
      </c>
      <c r="G74" s="188">
        <v>326.05324881141047</v>
      </c>
      <c r="H74" s="187">
        <v>443.54478827361561</v>
      </c>
      <c r="I74" s="187">
        <v>44.25</v>
      </c>
    </row>
    <row r="75" spans="1:9" ht="15.75" customHeight="1" x14ac:dyDescent="0.25">
      <c r="A75" s="169">
        <v>37374</v>
      </c>
      <c r="B75" s="187">
        <v>296.24999341672151</v>
      </c>
      <c r="C75" s="187">
        <v>200.75287499999999</v>
      </c>
      <c r="D75" s="187">
        <v>244.05077134986229</v>
      </c>
      <c r="E75" s="187">
        <v>282.74301675977654</v>
      </c>
      <c r="F75" s="187">
        <v>327.64085820895525</v>
      </c>
      <c r="G75" s="188">
        <v>323.28684627575279</v>
      </c>
      <c r="H75" s="187">
        <v>443.54478827361561</v>
      </c>
      <c r="I75" s="187">
        <v>43.25</v>
      </c>
    </row>
    <row r="76" spans="1:9" ht="15.75" customHeight="1" x14ac:dyDescent="0.25">
      <c r="A76" s="169">
        <v>37381</v>
      </c>
      <c r="B76" s="187">
        <v>296.2615799868334</v>
      </c>
      <c r="C76" s="187">
        <v>200.24768749999998</v>
      </c>
      <c r="D76" s="187">
        <v>242.21876033057853</v>
      </c>
      <c r="E76" s="187">
        <v>281.57541899441338</v>
      </c>
      <c r="F76" s="187">
        <v>327.64085820895525</v>
      </c>
      <c r="G76" s="188">
        <v>323.28684627575279</v>
      </c>
      <c r="H76" s="187">
        <v>444.32418566775237</v>
      </c>
      <c r="I76" s="187">
        <v>42.5</v>
      </c>
    </row>
    <row r="77" spans="1:9" ht="15.75" customHeight="1" x14ac:dyDescent="0.25">
      <c r="A77" s="169">
        <v>37388</v>
      </c>
      <c r="B77" s="187">
        <v>295.85793285055956</v>
      </c>
      <c r="C77" s="187">
        <v>198.9726125</v>
      </c>
      <c r="D77" s="187">
        <v>243.75462809917354</v>
      </c>
      <c r="E77" s="187">
        <v>281.24022346368713</v>
      </c>
      <c r="F77" s="187">
        <v>322.98833955223881</v>
      </c>
      <c r="G77" s="188">
        <v>313.78763866877972</v>
      </c>
      <c r="H77" s="187">
        <v>443.24112377850156</v>
      </c>
      <c r="I77" s="187">
        <v>38</v>
      </c>
    </row>
    <row r="78" spans="1:9" ht="15.75" customHeight="1" x14ac:dyDescent="0.25">
      <c r="A78" s="169">
        <v>37395</v>
      </c>
      <c r="B78" s="187">
        <v>295.86483212639899</v>
      </c>
      <c r="C78" s="187">
        <v>198.09463749999998</v>
      </c>
      <c r="D78" s="187">
        <v>240.8013223140496</v>
      </c>
      <c r="E78" s="187">
        <v>281.24022346368713</v>
      </c>
      <c r="F78" s="187">
        <v>321.12733208955223</v>
      </c>
      <c r="G78" s="188">
        <v>313.78763866877972</v>
      </c>
      <c r="H78" s="187">
        <v>442.29560260586317</v>
      </c>
      <c r="I78" s="187">
        <v>36</v>
      </c>
    </row>
    <row r="79" spans="1:9" ht="15.75" customHeight="1" x14ac:dyDescent="0.25">
      <c r="A79" s="169">
        <v>37402</v>
      </c>
      <c r="B79" s="187">
        <v>295.65033574720212</v>
      </c>
      <c r="C79" s="187">
        <v>198.31986250000003</v>
      </c>
      <c r="D79" s="187">
        <v>241.01060606060608</v>
      </c>
      <c r="E79" s="187">
        <v>283.23463687150837</v>
      </c>
      <c r="F79" s="187">
        <v>321.12733208955223</v>
      </c>
      <c r="G79" s="188">
        <v>311.71283676703644</v>
      </c>
      <c r="H79" s="187">
        <v>442.29560260586317</v>
      </c>
      <c r="I79" s="187">
        <v>35</v>
      </c>
    </row>
    <row r="80" spans="1:9" ht="15.75" customHeight="1" x14ac:dyDescent="0.25">
      <c r="A80" s="169">
        <v>37409</v>
      </c>
      <c r="B80" s="187">
        <v>295.81961816984858</v>
      </c>
      <c r="C80" s="187">
        <v>198.242625</v>
      </c>
      <c r="D80" s="187">
        <v>240.49622589531683</v>
      </c>
      <c r="E80" s="187">
        <v>276.58659217877096</v>
      </c>
      <c r="F80" s="187">
        <v>321.12733208955223</v>
      </c>
      <c r="G80" s="188">
        <v>311.71283676703644</v>
      </c>
      <c r="H80" s="187">
        <v>442.15806188925075</v>
      </c>
      <c r="I80" s="187">
        <v>36</v>
      </c>
    </row>
    <row r="81" spans="1:9" ht="15.75" customHeight="1" x14ac:dyDescent="0.25">
      <c r="A81" s="169">
        <v>37416</v>
      </c>
      <c r="B81" s="187">
        <v>295.54164581961822</v>
      </c>
      <c r="C81" s="187">
        <v>198.92057499999999</v>
      </c>
      <c r="D81" s="187">
        <v>241.36636363636364</v>
      </c>
      <c r="E81" s="187">
        <v>275.25698324022346</v>
      </c>
      <c r="F81" s="187">
        <v>321.12733208955223</v>
      </c>
      <c r="G81" s="188">
        <v>309.38795562599051</v>
      </c>
      <c r="H81" s="187">
        <v>441.07499999999993</v>
      </c>
      <c r="I81" s="187">
        <v>37</v>
      </c>
    </row>
    <row r="82" spans="1:9" ht="15.75" customHeight="1" x14ac:dyDescent="0.25">
      <c r="A82" s="169">
        <v>37423</v>
      </c>
      <c r="B82" s="187">
        <v>295.81918367346935</v>
      </c>
      <c r="C82" s="187">
        <v>200.03324999999998</v>
      </c>
      <c r="D82" s="187">
        <v>241.85561983471072</v>
      </c>
      <c r="E82" s="187">
        <v>275.25698324022346</v>
      </c>
      <c r="F82" s="187">
        <v>321.12733208955223</v>
      </c>
      <c r="G82" s="188">
        <v>309.38795562599051</v>
      </c>
      <c r="H82" s="187">
        <v>439.67100977198697</v>
      </c>
      <c r="I82" s="187">
        <v>38.5</v>
      </c>
    </row>
    <row r="83" spans="1:9" ht="15.75" customHeight="1" x14ac:dyDescent="0.25">
      <c r="A83" s="169">
        <v>37430</v>
      </c>
      <c r="B83" s="187">
        <v>296.60637261356152</v>
      </c>
      <c r="C83" s="187">
        <v>200.47262499999999</v>
      </c>
      <c r="D83" s="187">
        <v>241.80107438016526</v>
      </c>
      <c r="E83" s="187">
        <v>273.26256983240222</v>
      </c>
      <c r="F83" s="187">
        <v>321.12733208955223</v>
      </c>
      <c r="G83" s="188">
        <v>309.38795562599051</v>
      </c>
      <c r="H83" s="187">
        <v>439.99193811074912</v>
      </c>
      <c r="I83" s="187">
        <v>38.5</v>
      </c>
    </row>
    <row r="84" spans="1:9" ht="15.75" customHeight="1" x14ac:dyDescent="0.25">
      <c r="A84" s="169">
        <v>37437</v>
      </c>
      <c r="B84" s="187">
        <v>296.80551678736009</v>
      </c>
      <c r="C84" s="187">
        <v>199.749075</v>
      </c>
      <c r="D84" s="187">
        <v>241.46068870523419</v>
      </c>
      <c r="E84" s="187">
        <v>271.26815642458098</v>
      </c>
      <c r="F84" s="187">
        <v>320.91884328358208</v>
      </c>
      <c r="G84" s="188">
        <v>308.83708399366088</v>
      </c>
      <c r="H84" s="187">
        <v>439.99193811074912</v>
      </c>
      <c r="I84" s="187">
        <v>39</v>
      </c>
    </row>
    <row r="85" spans="1:9" ht="15.75" customHeight="1" x14ac:dyDescent="0.25">
      <c r="A85" s="169">
        <v>37444</v>
      </c>
      <c r="B85" s="187">
        <v>297.14258064516127</v>
      </c>
      <c r="C85" s="187">
        <v>200.35429999999999</v>
      </c>
      <c r="D85" s="187">
        <v>241.57143250688708</v>
      </c>
      <c r="E85" s="187">
        <v>272.59776536312847</v>
      </c>
      <c r="F85" s="187">
        <v>317.19682835820896</v>
      </c>
      <c r="G85" s="188">
        <v>306.67892234548339</v>
      </c>
      <c r="H85" s="187">
        <v>437.37597719869711</v>
      </c>
      <c r="I85" s="187">
        <v>40</v>
      </c>
    </row>
    <row r="86" spans="1:9" ht="15.75" customHeight="1" x14ac:dyDescent="0.25">
      <c r="A86" s="169">
        <v>37451</v>
      </c>
      <c r="B86" s="187">
        <v>297.31456221198158</v>
      </c>
      <c r="C86" s="187">
        <v>201.24766250000002</v>
      </c>
      <c r="D86" s="187">
        <v>241.77449035812671</v>
      </c>
      <c r="E86" s="187">
        <v>272.59776536312847</v>
      </c>
      <c r="F86" s="187">
        <v>317.19682835820896</v>
      </c>
      <c r="G86" s="188">
        <v>306.67892234548339</v>
      </c>
      <c r="H86" s="187">
        <v>437.37597719869711</v>
      </c>
      <c r="I86" s="187">
        <v>41.25</v>
      </c>
    </row>
    <row r="87" spans="1:9" ht="15.75" customHeight="1" x14ac:dyDescent="0.25">
      <c r="A87" s="169">
        <v>37458</v>
      </c>
      <c r="B87" s="187">
        <v>298.38581961816988</v>
      </c>
      <c r="C87" s="187">
        <v>201.06801250000001</v>
      </c>
      <c r="D87" s="187">
        <v>240.58283746556475</v>
      </c>
      <c r="E87" s="187">
        <v>272.63128491620114</v>
      </c>
      <c r="F87" s="187">
        <v>317.19682835820896</v>
      </c>
      <c r="G87" s="188">
        <v>306.67892234548339</v>
      </c>
      <c r="H87" s="187">
        <v>437.37597719869711</v>
      </c>
      <c r="I87" s="187">
        <v>42.5</v>
      </c>
    </row>
    <row r="88" spans="1:9" ht="15.75" customHeight="1" x14ac:dyDescent="0.25">
      <c r="A88" s="169">
        <v>37465</v>
      </c>
      <c r="B88" s="187">
        <v>298.66136932192234</v>
      </c>
      <c r="C88" s="187">
        <v>201.26672500000001</v>
      </c>
      <c r="D88" s="187">
        <v>241.20534435261709</v>
      </c>
      <c r="E88" s="187">
        <v>275.92178770949721</v>
      </c>
      <c r="F88" s="187">
        <v>317.19682835820896</v>
      </c>
      <c r="G88" s="188">
        <v>306.67892234548339</v>
      </c>
      <c r="H88" s="187">
        <v>437.37597719869711</v>
      </c>
      <c r="I88" s="187">
        <v>44.5</v>
      </c>
    </row>
    <row r="89" spans="1:9" ht="15.75" customHeight="1" x14ac:dyDescent="0.25">
      <c r="A89" s="169">
        <v>37472</v>
      </c>
      <c r="B89" s="187">
        <v>298.7757340355497</v>
      </c>
      <c r="C89" s="187">
        <v>201.69573750000001</v>
      </c>
      <c r="D89" s="187">
        <v>240.57479338842973</v>
      </c>
      <c r="E89" s="187">
        <v>278.5810055865922</v>
      </c>
      <c r="F89" s="187">
        <v>317.19682835820896</v>
      </c>
      <c r="G89" s="188">
        <v>306.67892234548339</v>
      </c>
      <c r="H89" s="187">
        <v>438.79723127035828</v>
      </c>
      <c r="I89" s="187">
        <v>45.5</v>
      </c>
    </row>
    <row r="90" spans="1:9" ht="15.75" customHeight="1" x14ac:dyDescent="0.25">
      <c r="A90" s="169">
        <v>37479</v>
      </c>
      <c r="B90" s="187">
        <v>299.19206056616196</v>
      </c>
      <c r="C90" s="187">
        <v>201.1141125</v>
      </c>
      <c r="D90" s="187">
        <v>240.55584022038568</v>
      </c>
      <c r="E90" s="187">
        <v>278.5810055865922</v>
      </c>
      <c r="F90" s="187">
        <v>317.19682835820896</v>
      </c>
      <c r="G90" s="188">
        <v>306.67892234548339</v>
      </c>
      <c r="H90" s="187">
        <v>438.2557003257329</v>
      </c>
      <c r="I90" s="187">
        <v>45.5</v>
      </c>
    </row>
    <row r="91" spans="1:9" ht="15.75" customHeight="1" x14ac:dyDescent="0.25">
      <c r="A91" s="169">
        <v>37486</v>
      </c>
      <c r="B91" s="187">
        <v>298.61007241606319</v>
      </c>
      <c r="C91" s="187">
        <v>201.81731250000001</v>
      </c>
      <c r="D91" s="187">
        <v>242.54716253443524</v>
      </c>
      <c r="E91" s="187">
        <v>277.91620111731845</v>
      </c>
      <c r="F91" s="187">
        <v>317.19682835820896</v>
      </c>
      <c r="G91" s="188">
        <v>306.67892234548339</v>
      </c>
      <c r="H91" s="187">
        <v>438.2557003257329</v>
      </c>
      <c r="I91" s="187">
        <v>45</v>
      </c>
    </row>
    <row r="92" spans="1:9" ht="15.75" customHeight="1" x14ac:dyDescent="0.25">
      <c r="A92" s="169">
        <v>37493</v>
      </c>
      <c r="B92" s="187">
        <v>299.96388413429889</v>
      </c>
      <c r="C92" s="187">
        <v>201.2506625</v>
      </c>
      <c r="D92" s="187">
        <v>240.62584022038567</v>
      </c>
      <c r="E92" s="187">
        <v>279.24581005586595</v>
      </c>
      <c r="F92" s="187">
        <v>317.19682835820896</v>
      </c>
      <c r="G92" s="188">
        <v>306.67892234548339</v>
      </c>
      <c r="H92" s="187">
        <v>437.71416938110747</v>
      </c>
      <c r="I92" s="187">
        <v>45</v>
      </c>
    </row>
    <row r="93" spans="1:9" ht="15.75" customHeight="1" x14ac:dyDescent="0.25">
      <c r="A93" s="169">
        <v>37500</v>
      </c>
      <c r="B93" s="187">
        <v>300.43974983541807</v>
      </c>
      <c r="C93" s="187">
        <v>203.67512499999998</v>
      </c>
      <c r="D93" s="187">
        <v>252.79462809917354</v>
      </c>
      <c r="E93" s="187">
        <v>278.5810055865922</v>
      </c>
      <c r="F93" s="187">
        <v>317.19682835820896</v>
      </c>
      <c r="G93" s="188">
        <v>306.67892234548339</v>
      </c>
      <c r="H93" s="187">
        <v>437.71416938110747</v>
      </c>
      <c r="I93" s="187">
        <v>45</v>
      </c>
    </row>
    <row r="94" spans="1:9" ht="15.75" customHeight="1" x14ac:dyDescent="0.25">
      <c r="A94" s="169">
        <v>37507</v>
      </c>
      <c r="B94" s="187">
        <v>301.37174456879529</v>
      </c>
      <c r="C94" s="187">
        <v>205.05407499999998</v>
      </c>
      <c r="D94" s="187">
        <v>253.57225895316807</v>
      </c>
      <c r="E94" s="187">
        <v>281.64804469273741</v>
      </c>
      <c r="F94" s="187">
        <v>317.19682835820896</v>
      </c>
      <c r="G94" s="188">
        <v>307.19556259904914</v>
      </c>
      <c r="H94" s="187">
        <v>437.71416938110747</v>
      </c>
      <c r="I94" s="187">
        <v>45</v>
      </c>
    </row>
    <row r="95" spans="1:9" ht="15.75" customHeight="1" x14ac:dyDescent="0.25">
      <c r="A95" s="169">
        <v>37514</v>
      </c>
      <c r="B95" s="187">
        <v>303.86450296247534</v>
      </c>
      <c r="C95" s="187">
        <v>207.90189999999998</v>
      </c>
      <c r="D95" s="187">
        <v>255.78542699724517</v>
      </c>
      <c r="E95" s="187">
        <v>280.65921787709499</v>
      </c>
      <c r="F95" s="187">
        <v>318.12733208955223</v>
      </c>
      <c r="G95" s="188">
        <v>308.57876386687798</v>
      </c>
      <c r="H95" s="187">
        <v>438.2557003257329</v>
      </c>
      <c r="I95" s="187">
        <v>44</v>
      </c>
    </row>
    <row r="96" spans="1:9" ht="15.75" customHeight="1" x14ac:dyDescent="0.25">
      <c r="A96" s="169">
        <v>37521</v>
      </c>
      <c r="B96" s="187">
        <v>304.69267939433843</v>
      </c>
      <c r="C96" s="187">
        <v>209.54163750000001</v>
      </c>
      <c r="D96" s="187">
        <v>259.88939393939398</v>
      </c>
      <c r="E96" s="187">
        <v>280.73184357541902</v>
      </c>
      <c r="F96" s="187">
        <v>318.12733208955223</v>
      </c>
      <c r="G96" s="188">
        <v>308.57876386687798</v>
      </c>
      <c r="H96" s="187">
        <v>441.50488599348535</v>
      </c>
      <c r="I96" s="187">
        <v>43</v>
      </c>
    </row>
    <row r="97" spans="1:9" ht="15.75" customHeight="1" x14ac:dyDescent="0.25">
      <c r="A97" s="169">
        <v>37528</v>
      </c>
      <c r="B97" s="187">
        <v>304.50294930875577</v>
      </c>
      <c r="C97" s="187">
        <v>209.1873875</v>
      </c>
      <c r="D97" s="187">
        <v>260.05457300275481</v>
      </c>
      <c r="E97" s="187">
        <v>281.39664804469271</v>
      </c>
      <c r="F97" s="187">
        <v>318.12733208955223</v>
      </c>
      <c r="G97" s="188">
        <v>308.57876386687798</v>
      </c>
      <c r="H97" s="187">
        <v>442.42182410423453</v>
      </c>
      <c r="I97" s="187">
        <v>43</v>
      </c>
    </row>
    <row r="98" spans="1:9" ht="15.75" customHeight="1" x14ac:dyDescent="0.25">
      <c r="A98" s="169">
        <v>37535</v>
      </c>
      <c r="B98" s="187">
        <v>305.57419354838709</v>
      </c>
      <c r="C98" s="187">
        <v>210.01396249999999</v>
      </c>
      <c r="D98" s="187">
        <v>262.74360881542702</v>
      </c>
      <c r="E98" s="187">
        <v>281.39664804469271</v>
      </c>
      <c r="F98" s="187">
        <v>318.12733208955223</v>
      </c>
      <c r="G98" s="188">
        <v>309.61204437400949</v>
      </c>
      <c r="H98" s="187">
        <v>442.42182410423453</v>
      </c>
      <c r="I98" s="187">
        <v>41.5</v>
      </c>
    </row>
    <row r="99" spans="1:9" ht="15.75" customHeight="1" x14ac:dyDescent="0.25">
      <c r="A99" s="169">
        <v>37542</v>
      </c>
      <c r="B99" s="187">
        <v>305.70743910467411</v>
      </c>
      <c r="C99" s="187">
        <v>210.55791249999999</v>
      </c>
      <c r="D99" s="187">
        <v>254.86396694214875</v>
      </c>
      <c r="E99" s="187">
        <v>281.83240223463685</v>
      </c>
      <c r="F99" s="187">
        <v>318.33582089552237</v>
      </c>
      <c r="G99" s="188">
        <v>309.61204437400949</v>
      </c>
      <c r="H99" s="187">
        <v>442.42182410423453</v>
      </c>
      <c r="I99" s="187">
        <v>41</v>
      </c>
    </row>
    <row r="100" spans="1:9" ht="15.75" customHeight="1" x14ac:dyDescent="0.25">
      <c r="A100" s="169">
        <v>37549</v>
      </c>
      <c r="B100" s="187">
        <v>305.77626069782752</v>
      </c>
      <c r="C100" s="187">
        <v>210.10848750000002</v>
      </c>
      <c r="D100" s="187">
        <v>257.61473829201105</v>
      </c>
      <c r="E100" s="187">
        <v>282.49720670391059</v>
      </c>
      <c r="F100" s="187">
        <v>318.33582089552237</v>
      </c>
      <c r="G100" s="188">
        <v>309.61204437400949</v>
      </c>
      <c r="H100" s="187">
        <v>442.42182410423453</v>
      </c>
      <c r="I100" s="187">
        <v>41</v>
      </c>
    </row>
    <row r="101" spans="1:9" ht="15.75" customHeight="1" x14ac:dyDescent="0.25">
      <c r="A101" s="169">
        <v>37556</v>
      </c>
      <c r="B101" s="187">
        <v>305.82455562870308</v>
      </c>
      <c r="C101" s="187">
        <v>210.50587499999997</v>
      </c>
      <c r="D101" s="187">
        <v>258.15537190082642</v>
      </c>
      <c r="E101" s="187">
        <v>279.83798882681566</v>
      </c>
      <c r="F101" s="187">
        <v>318.33582089552237</v>
      </c>
      <c r="G101" s="188">
        <v>309.61204437400949</v>
      </c>
      <c r="H101" s="187">
        <v>440.71416938110747</v>
      </c>
      <c r="I101" s="187">
        <v>40</v>
      </c>
    </row>
    <row r="102" spans="1:9" ht="15.75" customHeight="1" x14ac:dyDescent="0.25">
      <c r="A102" s="169">
        <v>37563</v>
      </c>
      <c r="B102" s="187">
        <v>305.47753785385123</v>
      </c>
      <c r="C102" s="187">
        <v>210.06959999999998</v>
      </c>
      <c r="D102" s="187">
        <v>256.84399449035811</v>
      </c>
      <c r="E102" s="187">
        <v>280.40782122905028</v>
      </c>
      <c r="F102" s="187">
        <v>318.33582089552237</v>
      </c>
      <c r="G102" s="188">
        <v>309.61204437400949</v>
      </c>
      <c r="H102" s="187">
        <v>440.71416938110747</v>
      </c>
      <c r="I102" s="187">
        <v>40</v>
      </c>
    </row>
    <row r="103" spans="1:9" ht="15.75" customHeight="1" x14ac:dyDescent="0.25">
      <c r="A103" s="169">
        <v>37570</v>
      </c>
      <c r="B103" s="187">
        <v>304.97200789993417</v>
      </c>
      <c r="C103" s="187">
        <v>209.5894625</v>
      </c>
      <c r="D103" s="187">
        <v>259.10752066115703</v>
      </c>
      <c r="E103" s="187">
        <v>278.50837988826817</v>
      </c>
      <c r="F103" s="187">
        <v>318.33582089552237</v>
      </c>
      <c r="G103" s="188">
        <v>310.38700475435814</v>
      </c>
      <c r="H103" s="187">
        <v>439.63110749185665</v>
      </c>
      <c r="I103" s="187">
        <v>40</v>
      </c>
    </row>
    <row r="104" spans="1:9" ht="15.75" customHeight="1" x14ac:dyDescent="0.25">
      <c r="A104" s="169">
        <v>37577</v>
      </c>
      <c r="B104" s="187">
        <v>304.64830809743256</v>
      </c>
      <c r="C104" s="187">
        <v>209.25347500000001</v>
      </c>
      <c r="D104" s="187">
        <v>258.84363636363634</v>
      </c>
      <c r="E104" s="187">
        <v>279.37430167597768</v>
      </c>
      <c r="F104" s="187">
        <v>318.33582089552237</v>
      </c>
      <c r="G104" s="188">
        <v>310.38700475435814</v>
      </c>
      <c r="H104" s="187">
        <v>439.63110749185665</v>
      </c>
      <c r="I104" s="187">
        <v>40</v>
      </c>
    </row>
    <row r="105" spans="1:9" ht="15.75" customHeight="1" x14ac:dyDescent="0.25">
      <c r="A105" s="169">
        <v>37584</v>
      </c>
      <c r="B105" s="187">
        <v>304.43760368663595</v>
      </c>
      <c r="C105" s="187">
        <v>209.90412499999999</v>
      </c>
      <c r="D105" s="187">
        <v>259.33223140495869</v>
      </c>
      <c r="E105" s="187">
        <v>279.57541899441338</v>
      </c>
      <c r="F105" s="187">
        <v>318.33582089552237</v>
      </c>
      <c r="G105" s="188">
        <v>310.38700475435814</v>
      </c>
      <c r="H105" s="187">
        <v>439.63110749185665</v>
      </c>
      <c r="I105" s="187">
        <v>40</v>
      </c>
    </row>
    <row r="106" spans="1:9" ht="15.75" customHeight="1" x14ac:dyDescent="0.25">
      <c r="A106" s="169">
        <v>37591</v>
      </c>
      <c r="B106" s="187">
        <v>303.56387096774193</v>
      </c>
      <c r="C106" s="187">
        <v>210.65033749999998</v>
      </c>
      <c r="D106" s="187">
        <v>258.3813774104683</v>
      </c>
      <c r="E106" s="187">
        <v>279.07821229050279</v>
      </c>
      <c r="F106" s="187">
        <v>318.33582089552237</v>
      </c>
      <c r="G106" s="188">
        <v>310.38700475435814</v>
      </c>
      <c r="H106" s="187">
        <v>439.63110749185665</v>
      </c>
      <c r="I106" s="187">
        <v>40.5</v>
      </c>
    </row>
    <row r="107" spans="1:9" ht="15.75" customHeight="1" x14ac:dyDescent="0.25">
      <c r="A107" s="169">
        <v>37598</v>
      </c>
      <c r="B107" s="187">
        <v>302.76699144173801</v>
      </c>
      <c r="C107" s="187">
        <v>210.388825</v>
      </c>
      <c r="D107" s="187">
        <v>259.71399449035817</v>
      </c>
      <c r="E107" s="187">
        <v>280.34636871508383</v>
      </c>
      <c r="F107" s="187">
        <v>318.33582089552237</v>
      </c>
      <c r="G107" s="188">
        <v>310.64532488114105</v>
      </c>
      <c r="H107" s="187">
        <v>439.63110749185665</v>
      </c>
      <c r="I107" s="187">
        <v>42</v>
      </c>
    </row>
    <row r="108" spans="1:9" ht="15.75" customHeight="1" x14ac:dyDescent="0.25">
      <c r="A108" s="169">
        <v>37605</v>
      </c>
      <c r="B108" s="187">
        <v>301.73905200789994</v>
      </c>
      <c r="C108" s="187">
        <v>211.29123749999999</v>
      </c>
      <c r="D108" s="187">
        <v>262.6489531680441</v>
      </c>
      <c r="E108" s="187">
        <v>279.68156424581008</v>
      </c>
      <c r="F108" s="187">
        <v>321.12733208955223</v>
      </c>
      <c r="G108" s="188">
        <v>312.72012678288434</v>
      </c>
      <c r="H108" s="187">
        <v>439.08957654723127</v>
      </c>
      <c r="I108" s="187">
        <v>42</v>
      </c>
    </row>
    <row r="109" spans="1:9" ht="15.75" customHeight="1" x14ac:dyDescent="0.25">
      <c r="A109" s="169">
        <v>37612</v>
      </c>
      <c r="B109" s="187">
        <v>302.12853851217909</v>
      </c>
      <c r="C109" s="187">
        <v>211.26734999999999</v>
      </c>
      <c r="D109" s="187">
        <v>262.69727272727272</v>
      </c>
      <c r="E109" s="187">
        <v>279.68156424581008</v>
      </c>
      <c r="F109" s="187">
        <v>321.12733208955223</v>
      </c>
      <c r="G109" s="188">
        <v>312.72012678288434</v>
      </c>
      <c r="H109" s="187">
        <v>438.00651465798046</v>
      </c>
      <c r="I109" s="187">
        <v>42.5</v>
      </c>
    </row>
    <row r="110" spans="1:9" ht="15.75" customHeight="1" x14ac:dyDescent="0.25">
      <c r="A110" s="169">
        <v>37619</v>
      </c>
      <c r="B110" s="187">
        <v>300.96585911784064</v>
      </c>
      <c r="C110" s="187">
        <v>211.14746249999999</v>
      </c>
      <c r="D110" s="187">
        <v>262.8745730027548</v>
      </c>
      <c r="E110" s="187">
        <v>285.66480446927375</v>
      </c>
      <c r="F110" s="187">
        <v>321.12733208955223</v>
      </c>
      <c r="G110" s="188">
        <v>312.72012678288434</v>
      </c>
      <c r="H110" s="187">
        <v>439.4736156351791</v>
      </c>
      <c r="I110" s="187">
        <v>43</v>
      </c>
    </row>
    <row r="111" spans="1:9" ht="15.75" customHeight="1" x14ac:dyDescent="0.25">
      <c r="A111" s="169">
        <v>37626</v>
      </c>
      <c r="B111" s="187">
        <v>300.97955233706381</v>
      </c>
      <c r="C111" s="187">
        <v>214.72558750000005</v>
      </c>
      <c r="D111" s="187">
        <v>262.97848484848487</v>
      </c>
      <c r="E111" s="187">
        <v>285</v>
      </c>
      <c r="F111" s="187">
        <v>321.12733208955223</v>
      </c>
      <c r="G111" s="188">
        <v>311.94516640253568</v>
      </c>
      <c r="H111" s="187">
        <v>439.4736156351791</v>
      </c>
      <c r="I111" s="187">
        <v>43</v>
      </c>
    </row>
    <row r="112" spans="1:9" ht="15.75" customHeight="1" x14ac:dyDescent="0.25">
      <c r="A112" s="169">
        <v>37633</v>
      </c>
      <c r="B112" s="187">
        <v>300.97100724160629</v>
      </c>
      <c r="C112" s="187">
        <v>215.06654999999998</v>
      </c>
      <c r="D112" s="187">
        <v>260.61404958677684</v>
      </c>
      <c r="E112" s="187">
        <v>285</v>
      </c>
      <c r="F112" s="187">
        <v>321.12733208955223</v>
      </c>
      <c r="G112" s="188">
        <v>311.94516640253568</v>
      </c>
      <c r="H112" s="187">
        <v>438.00651465798046</v>
      </c>
      <c r="I112" s="187">
        <v>42.5</v>
      </c>
    </row>
    <row r="113" spans="1:9" ht="15.75" customHeight="1" x14ac:dyDescent="0.25">
      <c r="A113" s="169">
        <v>37640</v>
      </c>
      <c r="B113" s="187">
        <v>300.78005266622779</v>
      </c>
      <c r="C113" s="187">
        <v>214.65629999999999</v>
      </c>
      <c r="D113" s="187">
        <v>260.70090909090914</v>
      </c>
      <c r="E113" s="187">
        <v>284.10055865921788</v>
      </c>
      <c r="F113" s="187">
        <v>321.12733208955223</v>
      </c>
      <c r="G113" s="188">
        <v>311.94516640253568</v>
      </c>
      <c r="H113" s="187">
        <v>438.00651465798046</v>
      </c>
      <c r="I113" s="187">
        <v>40.5</v>
      </c>
    </row>
    <row r="114" spans="1:9" ht="15.75" customHeight="1" x14ac:dyDescent="0.25">
      <c r="A114" s="169">
        <v>37647</v>
      </c>
      <c r="B114" s="187">
        <v>300.0292429229757</v>
      </c>
      <c r="C114" s="187">
        <v>208.3621</v>
      </c>
      <c r="D114" s="187">
        <v>259.23685950413227</v>
      </c>
      <c r="E114" s="187">
        <v>282.77094972067039</v>
      </c>
      <c r="F114" s="187">
        <v>321.12733208955223</v>
      </c>
      <c r="G114" s="188">
        <v>311.94516640253568</v>
      </c>
      <c r="H114" s="187">
        <v>438.14405537459288</v>
      </c>
      <c r="I114" s="187">
        <v>39</v>
      </c>
    </row>
    <row r="115" spans="1:9" ht="15.75" customHeight="1" x14ac:dyDescent="0.25">
      <c r="A115" s="169">
        <v>37654</v>
      </c>
      <c r="B115" s="187">
        <v>300.37396971691896</v>
      </c>
      <c r="C115" s="187">
        <v>206.22916249999997</v>
      </c>
      <c r="D115" s="187">
        <v>257.84842975206612</v>
      </c>
      <c r="E115" s="187">
        <v>284.76536312849163</v>
      </c>
      <c r="F115" s="187">
        <v>317.40531716417911</v>
      </c>
      <c r="G115" s="188">
        <v>311.94516640253568</v>
      </c>
      <c r="H115" s="187">
        <v>438.14405537459288</v>
      </c>
      <c r="I115" s="187">
        <v>37</v>
      </c>
    </row>
    <row r="116" spans="1:9" ht="15.75" customHeight="1" x14ac:dyDescent="0.25">
      <c r="A116" s="169">
        <v>37661</v>
      </c>
      <c r="B116" s="187">
        <v>300.30697827518105</v>
      </c>
      <c r="C116" s="187">
        <v>205.06375</v>
      </c>
      <c r="D116" s="187">
        <v>255.63104683195596</v>
      </c>
      <c r="E116" s="187">
        <v>284.76536312849163</v>
      </c>
      <c r="F116" s="187">
        <v>316.64085820895525</v>
      </c>
      <c r="G116" s="188">
        <v>311.17020602218702</v>
      </c>
      <c r="H116" s="187">
        <v>437.63973941368073</v>
      </c>
      <c r="I116" s="187">
        <v>34.5</v>
      </c>
    </row>
    <row r="117" spans="1:9" ht="15.75" customHeight="1" x14ac:dyDescent="0.25">
      <c r="A117" s="169">
        <v>37668</v>
      </c>
      <c r="B117" s="187">
        <v>300.16833443054639</v>
      </c>
      <c r="C117" s="187">
        <v>205.17190000000002</v>
      </c>
      <c r="D117" s="187">
        <v>257.16520661157023</v>
      </c>
      <c r="E117" s="187">
        <v>282.95274822695035</v>
      </c>
      <c r="F117" s="187">
        <v>316.64085820895525</v>
      </c>
      <c r="G117" s="188">
        <v>307.71220285261489</v>
      </c>
      <c r="H117" s="187">
        <v>437.63973941368073</v>
      </c>
      <c r="I117" s="187">
        <v>34</v>
      </c>
    </row>
    <row r="118" spans="1:9" ht="15.75" customHeight="1" x14ac:dyDescent="0.25">
      <c r="A118" s="169">
        <v>37675</v>
      </c>
      <c r="B118" s="187">
        <v>299.62920342330483</v>
      </c>
      <c r="C118" s="187">
        <v>204.74372500000001</v>
      </c>
      <c r="D118" s="187">
        <v>256.01699724517908</v>
      </c>
      <c r="E118" s="187">
        <v>279.85549645390068</v>
      </c>
      <c r="F118" s="187">
        <v>316.64085820895525</v>
      </c>
      <c r="G118" s="188">
        <v>307.71220285261489</v>
      </c>
      <c r="H118" s="187">
        <v>437.63973941368073</v>
      </c>
      <c r="I118" s="187">
        <v>34</v>
      </c>
    </row>
    <row r="119" spans="1:9" ht="15.75" customHeight="1" x14ac:dyDescent="0.25">
      <c r="A119" s="169">
        <v>37682</v>
      </c>
      <c r="B119" s="187">
        <v>300.05670836076365</v>
      </c>
      <c r="C119" s="187">
        <v>204.27430000000001</v>
      </c>
      <c r="D119" s="187">
        <v>255.91465564738289</v>
      </c>
      <c r="E119" s="187">
        <v>279.99680851063835</v>
      </c>
      <c r="F119" s="187">
        <v>312.91884328358208</v>
      </c>
      <c r="G119" s="188">
        <v>305.63740095087161</v>
      </c>
      <c r="H119" s="187">
        <v>437.63973941368073</v>
      </c>
      <c r="I119" s="187">
        <v>34.75</v>
      </c>
    </row>
    <row r="120" spans="1:9" ht="15.75" customHeight="1" x14ac:dyDescent="0.25">
      <c r="A120" s="169">
        <v>37689</v>
      </c>
      <c r="B120" s="187">
        <v>299.88984858459514</v>
      </c>
      <c r="C120" s="187">
        <v>205.62956249999999</v>
      </c>
      <c r="D120" s="187">
        <v>251.10002754820937</v>
      </c>
      <c r="E120" s="187">
        <v>278.70602836879436</v>
      </c>
      <c r="F120" s="187">
        <v>312.91884328358208</v>
      </c>
      <c r="G120" s="188">
        <v>304.6041204437401</v>
      </c>
      <c r="H120" s="187">
        <v>437.08957654723127</v>
      </c>
      <c r="I120" s="187">
        <v>34.75</v>
      </c>
    </row>
    <row r="121" spans="1:9" ht="15.75" customHeight="1" x14ac:dyDescent="0.25">
      <c r="A121" s="169">
        <v>37696</v>
      </c>
      <c r="B121" s="187">
        <v>300.00368663594469</v>
      </c>
      <c r="C121" s="187">
        <v>204.876125</v>
      </c>
      <c r="D121" s="187">
        <v>250.46060606060604</v>
      </c>
      <c r="E121" s="187">
        <v>279.22420212765962</v>
      </c>
      <c r="F121" s="187">
        <v>312.91884328358208</v>
      </c>
      <c r="G121" s="188">
        <v>304.6041204437401</v>
      </c>
      <c r="H121" s="187">
        <v>437.08957654723127</v>
      </c>
      <c r="I121" s="187">
        <v>33.5</v>
      </c>
    </row>
    <row r="122" spans="1:9" ht="15.75" customHeight="1" x14ac:dyDescent="0.25">
      <c r="A122" s="169">
        <v>37703</v>
      </c>
      <c r="B122" s="187">
        <v>300.15719552337066</v>
      </c>
      <c r="C122" s="187">
        <v>203.91368749999998</v>
      </c>
      <c r="D122" s="187">
        <v>250.85016528925621</v>
      </c>
      <c r="E122" s="187">
        <v>281.60416666666669</v>
      </c>
      <c r="F122" s="187">
        <v>312.91884328358208</v>
      </c>
      <c r="G122" s="188">
        <v>304.6041204437401</v>
      </c>
      <c r="H122" s="187">
        <v>437.08957654723127</v>
      </c>
      <c r="I122" s="187">
        <v>32.75</v>
      </c>
    </row>
    <row r="123" spans="1:9" ht="15.75" customHeight="1" x14ac:dyDescent="0.25">
      <c r="A123" s="169">
        <v>37710</v>
      </c>
      <c r="B123" s="187">
        <v>300.45606319947336</v>
      </c>
      <c r="C123" s="187">
        <v>203.65643749999998</v>
      </c>
      <c r="D123" s="187">
        <v>247.64438016528928</v>
      </c>
      <c r="E123" s="187">
        <v>283.6253546099291</v>
      </c>
      <c r="F123" s="187">
        <v>312.91884328358208</v>
      </c>
      <c r="G123" s="188">
        <v>304.6041204437401</v>
      </c>
      <c r="H123" s="187">
        <v>436.90618892508138</v>
      </c>
      <c r="I123" s="187">
        <v>32.25</v>
      </c>
    </row>
    <row r="124" spans="1:9" ht="15.75" customHeight="1" x14ac:dyDescent="0.25">
      <c r="A124" s="169">
        <v>37717</v>
      </c>
      <c r="B124" s="187">
        <v>300.16394996708362</v>
      </c>
      <c r="C124" s="187">
        <v>203.49713749999998</v>
      </c>
      <c r="D124" s="187">
        <v>247.69096418732784</v>
      </c>
      <c r="E124" s="187">
        <v>280.58767730496459</v>
      </c>
      <c r="F124" s="187">
        <v>312.91884328358208</v>
      </c>
      <c r="G124" s="188">
        <v>303.82916006339144</v>
      </c>
      <c r="H124" s="187">
        <v>436.90618892508138</v>
      </c>
      <c r="I124" s="187">
        <v>32.25</v>
      </c>
    </row>
    <row r="125" spans="1:9" ht="15.75" customHeight="1" x14ac:dyDescent="0.25">
      <c r="A125" s="169">
        <v>37724</v>
      </c>
      <c r="B125" s="187">
        <v>300.16147465437791</v>
      </c>
      <c r="C125" s="187">
        <v>202.67397499999998</v>
      </c>
      <c r="D125" s="187">
        <v>248.06955922865015</v>
      </c>
      <c r="E125" s="187">
        <v>280.69007092198586</v>
      </c>
      <c r="F125" s="187">
        <v>312.91884328358208</v>
      </c>
      <c r="G125" s="188">
        <v>303.82916006339144</v>
      </c>
      <c r="H125" s="187">
        <v>433.8802931596091</v>
      </c>
      <c r="I125" s="187">
        <v>31.75</v>
      </c>
    </row>
    <row r="126" spans="1:9" ht="15.75" customHeight="1" x14ac:dyDescent="0.25">
      <c r="A126" s="169">
        <v>37731</v>
      </c>
      <c r="B126" s="187">
        <v>299.97856484529302</v>
      </c>
      <c r="C126" s="187">
        <v>202.77698749999999</v>
      </c>
      <c r="D126" s="187">
        <v>248.06884297520659</v>
      </c>
      <c r="E126" s="187">
        <v>280.67641843971631</v>
      </c>
      <c r="F126" s="187">
        <v>312.91884328358208</v>
      </c>
      <c r="G126" s="188">
        <v>303.62884310618068</v>
      </c>
      <c r="H126" s="187">
        <v>433.8802931596091</v>
      </c>
      <c r="I126" s="187">
        <v>31.75</v>
      </c>
    </row>
    <row r="127" spans="1:9" ht="15.75" customHeight="1" x14ac:dyDescent="0.25">
      <c r="A127" s="169">
        <v>37738</v>
      </c>
      <c r="B127" s="187">
        <v>299.54084265964451</v>
      </c>
      <c r="C127" s="187">
        <v>201.84375</v>
      </c>
      <c r="D127" s="187">
        <v>245.61776859504133</v>
      </c>
      <c r="E127" s="187">
        <v>279.21445035460994</v>
      </c>
      <c r="F127" s="187">
        <v>303.61380597014926</v>
      </c>
      <c r="G127" s="188">
        <v>297.40443740095088</v>
      </c>
      <c r="H127" s="187">
        <v>432.79723127035828</v>
      </c>
      <c r="I127" s="187">
        <v>32</v>
      </c>
    </row>
    <row r="128" spans="1:9" ht="15.75" customHeight="1" x14ac:dyDescent="0.25">
      <c r="A128" s="169">
        <v>37745</v>
      </c>
      <c r="B128" s="187">
        <v>299.62081632653064</v>
      </c>
      <c r="C128" s="187">
        <v>201.2658375</v>
      </c>
      <c r="D128" s="187">
        <v>244.22476584022039</v>
      </c>
      <c r="E128" s="187">
        <v>278.71374113475173</v>
      </c>
      <c r="F128" s="187">
        <v>303.61380597014926</v>
      </c>
      <c r="G128" s="188">
        <v>297.40443740095088</v>
      </c>
      <c r="H128" s="187">
        <v>436.6025244299675</v>
      </c>
      <c r="I128" s="187">
        <v>32</v>
      </c>
    </row>
    <row r="129" spans="1:9" ht="15.75" customHeight="1" x14ac:dyDescent="0.25">
      <c r="A129" s="169">
        <v>37752</v>
      </c>
      <c r="B129" s="187">
        <v>299.15314022383149</v>
      </c>
      <c r="C129" s="187">
        <v>201.01362499999999</v>
      </c>
      <c r="D129" s="187">
        <v>246.06231404958677</v>
      </c>
      <c r="E129" s="187">
        <v>277.46347517730493</v>
      </c>
      <c r="F129" s="187">
        <v>303.61380597014926</v>
      </c>
      <c r="G129" s="188">
        <v>294.55467511885894</v>
      </c>
      <c r="H129" s="187">
        <v>436.41913680781761</v>
      </c>
      <c r="I129" s="187">
        <v>31.5</v>
      </c>
    </row>
    <row r="130" spans="1:9" ht="15.75" customHeight="1" x14ac:dyDescent="0.25">
      <c r="A130" s="169">
        <v>37759</v>
      </c>
      <c r="B130" s="187">
        <v>298.6783541803818</v>
      </c>
      <c r="C130" s="187">
        <v>201.721575</v>
      </c>
      <c r="D130" s="187">
        <v>244.87619834710742</v>
      </c>
      <c r="E130" s="187">
        <v>275.27349290780143</v>
      </c>
      <c r="F130" s="187">
        <v>301.75279850746267</v>
      </c>
      <c r="G130" s="188">
        <v>289.71347068145798</v>
      </c>
      <c r="H130" s="187">
        <v>435.87760586319223</v>
      </c>
      <c r="I130" s="187">
        <v>31.5</v>
      </c>
    </row>
    <row r="131" spans="1:9" ht="15.75" customHeight="1" x14ac:dyDescent="0.25">
      <c r="A131" s="169">
        <v>37766</v>
      </c>
      <c r="B131" s="187">
        <v>300.13736739974127</v>
      </c>
      <c r="C131" s="187">
        <v>201.29988750000001</v>
      </c>
      <c r="D131" s="187">
        <v>242.00410468319561</v>
      </c>
      <c r="E131" s="187">
        <v>276.02437943262413</v>
      </c>
      <c r="F131" s="187">
        <v>301.75279850746267</v>
      </c>
      <c r="G131" s="188">
        <v>293.1714738510301</v>
      </c>
      <c r="H131" s="187">
        <v>433.95203583061885</v>
      </c>
      <c r="I131" s="187">
        <v>31.5</v>
      </c>
    </row>
    <row r="132" spans="1:9" ht="15.75" customHeight="1" x14ac:dyDescent="0.25">
      <c r="A132" s="169">
        <v>37773</v>
      </c>
      <c r="B132" s="187">
        <v>299.56797542043984</v>
      </c>
      <c r="C132" s="187">
        <v>201.00851249999999</v>
      </c>
      <c r="D132" s="187">
        <v>243.06063360881541</v>
      </c>
      <c r="E132" s="187">
        <v>273.7199468085106</v>
      </c>
      <c r="F132" s="187">
        <v>301.75279850746267</v>
      </c>
      <c r="G132" s="188">
        <v>292.47987321711571</v>
      </c>
      <c r="H132" s="187">
        <v>431.24438110749179</v>
      </c>
      <c r="I132" s="187">
        <v>30.5</v>
      </c>
    </row>
    <row r="133" spans="1:9" ht="15.75" customHeight="1" x14ac:dyDescent="0.25">
      <c r="A133" s="169">
        <v>37780</v>
      </c>
      <c r="B133" s="187">
        <v>299.88832470892623</v>
      </c>
      <c r="C133" s="187">
        <v>201.91308749999999</v>
      </c>
      <c r="D133" s="187">
        <v>243.83413223140494</v>
      </c>
      <c r="E133" s="187">
        <v>274.16648936170219</v>
      </c>
      <c r="F133" s="187">
        <v>292.44776119402985</v>
      </c>
      <c r="G133" s="188">
        <v>286.68874801901745</v>
      </c>
      <c r="H133" s="187">
        <v>430.92345276872965</v>
      </c>
      <c r="I133" s="187">
        <v>29.5</v>
      </c>
    </row>
    <row r="134" spans="1:9" ht="15.75" customHeight="1" x14ac:dyDescent="0.25">
      <c r="A134" s="169">
        <v>37787</v>
      </c>
      <c r="B134" s="187">
        <v>301.2448253557568</v>
      </c>
      <c r="C134" s="187">
        <v>202.5913875</v>
      </c>
      <c r="D134" s="187">
        <v>249.47517906336088</v>
      </c>
      <c r="E134" s="187">
        <v>279.74849290780145</v>
      </c>
      <c r="F134" s="187">
        <v>292.44776119402985</v>
      </c>
      <c r="G134" s="188">
        <v>286.68874801901745</v>
      </c>
      <c r="H134" s="187">
        <v>430.92345276872965</v>
      </c>
      <c r="I134" s="187">
        <v>28.5</v>
      </c>
    </row>
    <row r="135" spans="1:9" ht="15.75" customHeight="1" x14ac:dyDescent="0.25">
      <c r="A135" s="169">
        <v>37794</v>
      </c>
      <c r="B135" s="187">
        <v>301.57801423027172</v>
      </c>
      <c r="C135" s="187">
        <v>203.70077499999999</v>
      </c>
      <c r="D135" s="187">
        <v>244.08991735537191</v>
      </c>
      <c r="E135" s="187">
        <v>281.70700354609932</v>
      </c>
      <c r="F135" s="187">
        <v>292.44776119402985</v>
      </c>
      <c r="G135" s="188">
        <v>286.68874801901745</v>
      </c>
      <c r="H135" s="187">
        <v>430.92345276872965</v>
      </c>
      <c r="I135" s="187">
        <v>27.5</v>
      </c>
    </row>
    <row r="136" spans="1:9" ht="15.75" customHeight="1" x14ac:dyDescent="0.25">
      <c r="A136" s="169">
        <v>37801</v>
      </c>
      <c r="B136" s="187">
        <v>301.86587322121608</v>
      </c>
      <c r="C136" s="187">
        <v>204.13107500000001</v>
      </c>
      <c r="D136" s="187">
        <v>244.58449035812671</v>
      </c>
      <c r="E136" s="187">
        <v>283.55008865248226</v>
      </c>
      <c r="F136" s="187">
        <v>292.44776119402985</v>
      </c>
      <c r="G136" s="188">
        <v>286.68874801901745</v>
      </c>
      <c r="H136" s="187">
        <v>429.80317589576543</v>
      </c>
      <c r="I136" s="187">
        <v>27.5</v>
      </c>
    </row>
    <row r="137" spans="1:9" ht="15.75" customHeight="1" x14ac:dyDescent="0.25">
      <c r="A137" s="169">
        <v>37808</v>
      </c>
      <c r="B137" s="187">
        <v>303.5485640362225</v>
      </c>
      <c r="C137" s="187">
        <v>203.86458750000003</v>
      </c>
      <c r="D137" s="187">
        <v>247.33410468319559</v>
      </c>
      <c r="E137" s="187">
        <v>283.44264184397161</v>
      </c>
      <c r="F137" s="187">
        <v>291.47481343283584</v>
      </c>
      <c r="G137" s="188">
        <v>286.28811410459588</v>
      </c>
      <c r="H137" s="187">
        <v>429.80317589576543</v>
      </c>
      <c r="I137" s="187">
        <v>28.75</v>
      </c>
    </row>
    <row r="138" spans="1:9" ht="15.75" customHeight="1" x14ac:dyDescent="0.25">
      <c r="A138" s="169">
        <v>37815</v>
      </c>
      <c r="B138" s="187">
        <v>304.20516170763261</v>
      </c>
      <c r="C138" s="187">
        <v>203.92345</v>
      </c>
      <c r="D138" s="187">
        <v>249.4509917355372</v>
      </c>
      <c r="E138" s="187">
        <v>283.3607269503546</v>
      </c>
      <c r="F138" s="187">
        <v>291.47481343283584</v>
      </c>
      <c r="G138" s="188">
        <v>286.28811410459588</v>
      </c>
      <c r="H138" s="187">
        <v>429.75732899022802</v>
      </c>
      <c r="I138" s="187">
        <v>28.75</v>
      </c>
    </row>
    <row r="139" spans="1:9" ht="15.75" customHeight="1" x14ac:dyDescent="0.25">
      <c r="A139" s="169">
        <v>37822</v>
      </c>
      <c r="B139" s="187">
        <v>303.49628719275552</v>
      </c>
      <c r="C139" s="187">
        <v>204.66239999999999</v>
      </c>
      <c r="D139" s="187">
        <v>247.98782369146005</v>
      </c>
      <c r="E139" s="187">
        <v>281.60017730496452</v>
      </c>
      <c r="F139" s="187">
        <v>291.47481343283584</v>
      </c>
      <c r="G139" s="188">
        <v>286.28811410459588</v>
      </c>
      <c r="H139" s="187">
        <v>429.75732899022802</v>
      </c>
      <c r="I139" s="187">
        <v>28.75</v>
      </c>
    </row>
    <row r="140" spans="1:9" ht="15.75" customHeight="1" x14ac:dyDescent="0.25">
      <c r="A140" s="169">
        <v>37829</v>
      </c>
      <c r="B140" s="187">
        <v>303.379702457956</v>
      </c>
      <c r="C140" s="187">
        <v>204.31233749999998</v>
      </c>
      <c r="D140" s="187">
        <v>247.45338842975207</v>
      </c>
      <c r="E140" s="187">
        <v>278.66551418439713</v>
      </c>
      <c r="F140" s="187">
        <v>289.61380597014926</v>
      </c>
      <c r="G140" s="188">
        <v>286.28811410459588</v>
      </c>
      <c r="H140" s="187">
        <v>429.75732899022802</v>
      </c>
      <c r="I140" s="187">
        <v>28.75</v>
      </c>
    </row>
    <row r="141" spans="1:9" ht="15.75" customHeight="1" x14ac:dyDescent="0.25">
      <c r="A141" s="169">
        <v>37836</v>
      </c>
      <c r="B141" s="187">
        <v>304.01906856403627</v>
      </c>
      <c r="C141" s="187">
        <v>204.800625</v>
      </c>
      <c r="D141" s="187">
        <v>248.47088154269971</v>
      </c>
      <c r="E141" s="187">
        <v>279.79804964539011</v>
      </c>
      <c r="F141" s="187">
        <v>289.61380597014926</v>
      </c>
      <c r="G141" s="188">
        <v>286.28811410459588</v>
      </c>
      <c r="H141" s="187">
        <v>429.75732899022802</v>
      </c>
      <c r="I141" s="187">
        <v>29</v>
      </c>
    </row>
    <row r="142" spans="1:9" ht="15.75" customHeight="1" x14ac:dyDescent="0.25">
      <c r="A142" s="169">
        <v>37843</v>
      </c>
      <c r="B142" s="187">
        <v>304.12222509702457</v>
      </c>
      <c r="C142" s="187">
        <v>207.95942500000001</v>
      </c>
      <c r="D142" s="187">
        <v>248.68046831955922</v>
      </c>
      <c r="E142" s="187">
        <v>280.62402482269505</v>
      </c>
      <c r="F142" s="187">
        <v>289.61380597014926</v>
      </c>
      <c r="G142" s="188">
        <v>286.54643423137878</v>
      </c>
      <c r="H142" s="187">
        <v>429.2988599348534</v>
      </c>
      <c r="I142" s="187">
        <v>29</v>
      </c>
    </row>
    <row r="143" spans="1:9" ht="15.75" customHeight="1" x14ac:dyDescent="0.25">
      <c r="A143" s="169">
        <v>37850</v>
      </c>
      <c r="B143" s="187">
        <v>304.45335058214749</v>
      </c>
      <c r="C143" s="187">
        <v>207.73973750000002</v>
      </c>
      <c r="D143" s="187">
        <v>246.83754820936639</v>
      </c>
      <c r="E143" s="187">
        <v>280.31684397163122</v>
      </c>
      <c r="F143" s="187">
        <v>289.61380597014926</v>
      </c>
      <c r="G143" s="188">
        <v>286.54643423137878</v>
      </c>
      <c r="H143" s="187">
        <v>429.2988599348534</v>
      </c>
      <c r="I143" s="187">
        <v>29.25</v>
      </c>
    </row>
    <row r="144" spans="1:9" ht="15.75" customHeight="1" x14ac:dyDescent="0.25">
      <c r="A144" s="169">
        <v>37857</v>
      </c>
      <c r="B144" s="187">
        <v>305.66384217335059</v>
      </c>
      <c r="C144" s="187">
        <v>208.80227500000001</v>
      </c>
      <c r="D144" s="187">
        <v>247.59181818181818</v>
      </c>
      <c r="E144" s="187">
        <v>284.50815602836877</v>
      </c>
      <c r="F144" s="187">
        <v>289.61380597014926</v>
      </c>
      <c r="G144" s="188">
        <v>286.54643423137878</v>
      </c>
      <c r="H144" s="187">
        <v>429.2988599348534</v>
      </c>
      <c r="I144" s="187">
        <v>30.25</v>
      </c>
    </row>
    <row r="145" spans="1:9" ht="15.75" customHeight="1" x14ac:dyDescent="0.25">
      <c r="A145" s="169">
        <v>37864</v>
      </c>
      <c r="B145" s="187">
        <v>307.8477749029754</v>
      </c>
      <c r="C145" s="187">
        <v>209.5469875</v>
      </c>
      <c r="D145" s="187">
        <v>254.42688705234158</v>
      </c>
      <c r="E145" s="187">
        <v>286.80452127659572</v>
      </c>
      <c r="F145" s="187">
        <v>289.61380597014926</v>
      </c>
      <c r="G145" s="188">
        <v>286.54643423137878</v>
      </c>
      <c r="H145" s="187">
        <v>430.92345276872965</v>
      </c>
      <c r="I145" s="187">
        <v>33.75</v>
      </c>
    </row>
    <row r="146" spans="1:9" ht="15.75" customHeight="1" x14ac:dyDescent="0.25">
      <c r="A146" s="169">
        <v>37871</v>
      </c>
      <c r="B146" s="187">
        <v>308.9488745148771</v>
      </c>
      <c r="C146" s="187">
        <v>211.51196250000001</v>
      </c>
      <c r="D146" s="187">
        <v>255.326391184573</v>
      </c>
      <c r="E146" s="187">
        <v>287.49228723404252</v>
      </c>
      <c r="F146" s="187">
        <v>289.61380597014926</v>
      </c>
      <c r="G146" s="188">
        <v>287.32139461172744</v>
      </c>
      <c r="H146" s="187">
        <v>431.4736156351791</v>
      </c>
      <c r="I146" s="187">
        <v>37.25</v>
      </c>
    </row>
    <row r="147" spans="1:9" ht="15.75" customHeight="1" x14ac:dyDescent="0.25">
      <c r="A147" s="169">
        <v>37878</v>
      </c>
      <c r="B147" s="187">
        <v>308.91071151358346</v>
      </c>
      <c r="C147" s="187">
        <v>211.21011250000001</v>
      </c>
      <c r="D147" s="187">
        <v>264.64451790633609</v>
      </c>
      <c r="E147" s="187">
        <v>284.36090425531916</v>
      </c>
      <c r="F147" s="187">
        <v>289.61380597014926</v>
      </c>
      <c r="G147" s="188">
        <v>287.32139461172744</v>
      </c>
      <c r="H147" s="187">
        <v>431.4736156351791</v>
      </c>
      <c r="I147" s="187">
        <v>38.25</v>
      </c>
    </row>
    <row r="148" spans="1:9" ht="15.75" customHeight="1" x14ac:dyDescent="0.25">
      <c r="A148" s="169">
        <v>37885</v>
      </c>
      <c r="B148" s="187">
        <v>309.79077619663644</v>
      </c>
      <c r="C148" s="187">
        <v>211.1261125</v>
      </c>
      <c r="D148" s="187">
        <v>266.23112947658399</v>
      </c>
      <c r="E148" s="187">
        <v>284.35345744680853</v>
      </c>
      <c r="F148" s="187">
        <v>289.61380597014926</v>
      </c>
      <c r="G148" s="188">
        <v>287.32139461172744</v>
      </c>
      <c r="H148" s="187">
        <v>432.55667752442992</v>
      </c>
      <c r="I148" s="187">
        <v>39.75</v>
      </c>
    </row>
    <row r="149" spans="1:9" ht="15.75" customHeight="1" x14ac:dyDescent="0.25">
      <c r="A149" s="169">
        <v>37892</v>
      </c>
      <c r="B149" s="187">
        <v>310.44051746442432</v>
      </c>
      <c r="C149" s="187">
        <v>211.64631249999999</v>
      </c>
      <c r="D149" s="187">
        <v>257.81264462809918</v>
      </c>
      <c r="E149" s="187">
        <v>287.10257092198577</v>
      </c>
      <c r="F149" s="187">
        <v>289.61380597014926</v>
      </c>
      <c r="G149" s="188">
        <v>287.32139461172744</v>
      </c>
      <c r="H149" s="187">
        <v>432.55667752442992</v>
      </c>
      <c r="I149" s="187">
        <v>42.5</v>
      </c>
    </row>
    <row r="150" spans="1:9" ht="15.75" customHeight="1" x14ac:dyDescent="0.25">
      <c r="A150" s="169">
        <v>37899</v>
      </c>
      <c r="B150" s="187">
        <v>310.25978007761967</v>
      </c>
      <c r="C150" s="187">
        <v>210.46212500000001</v>
      </c>
      <c r="D150" s="187">
        <v>258.13258953168048</v>
      </c>
      <c r="E150" s="187">
        <v>290.26436170212764</v>
      </c>
      <c r="F150" s="187">
        <v>290.10027985074629</v>
      </c>
      <c r="G150" s="188">
        <v>288.41267828843104</v>
      </c>
      <c r="H150" s="187">
        <v>431.45635179153101</v>
      </c>
      <c r="I150" s="187">
        <v>42.5</v>
      </c>
    </row>
    <row r="151" spans="1:9" ht="15.75" customHeight="1" x14ac:dyDescent="0.25">
      <c r="A151" s="169">
        <v>37906</v>
      </c>
      <c r="B151" s="187">
        <v>310.03416558861579</v>
      </c>
      <c r="C151" s="187">
        <v>210.19887500000002</v>
      </c>
      <c r="D151" s="187">
        <v>258.32421487603307</v>
      </c>
      <c r="E151" s="187">
        <v>288.69370567375887</v>
      </c>
      <c r="F151" s="187">
        <v>290.10027985074629</v>
      </c>
      <c r="G151" s="188">
        <v>288.41267828843104</v>
      </c>
      <c r="H151" s="187">
        <v>430.95203583061885</v>
      </c>
      <c r="I151" s="187">
        <v>41</v>
      </c>
    </row>
    <row r="152" spans="1:9" ht="15.75" customHeight="1" x14ac:dyDescent="0.25">
      <c r="A152" s="169">
        <v>37913</v>
      </c>
      <c r="B152" s="187">
        <v>309.80860284605438</v>
      </c>
      <c r="C152" s="187">
        <v>209.417025</v>
      </c>
      <c r="D152" s="187">
        <v>260.11057851239667</v>
      </c>
      <c r="E152" s="187">
        <v>290.03723404255317</v>
      </c>
      <c r="F152" s="187">
        <v>290.10027985074629</v>
      </c>
      <c r="G152" s="188">
        <v>288.41267828843104</v>
      </c>
      <c r="H152" s="187">
        <v>430.95203583061885</v>
      </c>
      <c r="I152" s="187">
        <v>39.5</v>
      </c>
    </row>
    <row r="153" spans="1:9" ht="15.75" customHeight="1" x14ac:dyDescent="0.25">
      <c r="A153" s="169">
        <v>37920</v>
      </c>
      <c r="B153" s="187">
        <v>309.76228978007759</v>
      </c>
      <c r="C153" s="187">
        <v>209.32264999999998</v>
      </c>
      <c r="D153" s="187">
        <v>261.4178512396694</v>
      </c>
      <c r="E153" s="187">
        <v>291.99636524822699</v>
      </c>
      <c r="F153" s="187">
        <v>290.10027985074629</v>
      </c>
      <c r="G153" s="188">
        <v>288.41267828843104</v>
      </c>
      <c r="H153" s="187">
        <v>430.95203583061885</v>
      </c>
      <c r="I153" s="187">
        <v>38</v>
      </c>
    </row>
    <row r="154" spans="1:9" ht="15.75" customHeight="1" x14ac:dyDescent="0.25">
      <c r="A154" s="169">
        <v>37927</v>
      </c>
      <c r="B154" s="187">
        <v>309.74508408796896</v>
      </c>
      <c r="C154" s="187">
        <v>210.14085</v>
      </c>
      <c r="D154" s="187">
        <v>259.88881542699721</v>
      </c>
      <c r="E154" s="187">
        <v>299.84397163120565</v>
      </c>
      <c r="F154" s="187">
        <v>290.10027985074629</v>
      </c>
      <c r="G154" s="188">
        <v>285.64627575277336</v>
      </c>
      <c r="H154" s="187">
        <v>430.95203583061885</v>
      </c>
      <c r="I154" s="187">
        <v>38</v>
      </c>
    </row>
    <row r="155" spans="1:9" ht="15.75" customHeight="1" x14ac:dyDescent="0.25">
      <c r="A155" s="169">
        <v>37934</v>
      </c>
      <c r="B155" s="187">
        <v>309.78827943078915</v>
      </c>
      <c r="C155" s="187">
        <v>209.9561625</v>
      </c>
      <c r="D155" s="187">
        <v>260.49041322314048</v>
      </c>
      <c r="E155" s="187">
        <v>301.78200354609925</v>
      </c>
      <c r="F155" s="187">
        <v>290.10027985074629</v>
      </c>
      <c r="G155" s="188">
        <v>285.64627575277336</v>
      </c>
      <c r="H155" s="187">
        <v>430.99788273615638</v>
      </c>
      <c r="I155" s="187">
        <v>39.5</v>
      </c>
    </row>
    <row r="156" spans="1:9" ht="15.75" customHeight="1" x14ac:dyDescent="0.25">
      <c r="A156" s="169">
        <v>37941</v>
      </c>
      <c r="B156" s="187">
        <v>309.26142302716687</v>
      </c>
      <c r="C156" s="187">
        <v>209.31401249999999</v>
      </c>
      <c r="D156" s="187">
        <v>260.39719008264461</v>
      </c>
      <c r="E156" s="187">
        <v>299.36675531914892</v>
      </c>
      <c r="F156" s="187">
        <v>290.10027985074629</v>
      </c>
      <c r="G156" s="188">
        <v>285.64627575277336</v>
      </c>
      <c r="H156" s="187">
        <v>430.99788273615638</v>
      </c>
      <c r="I156" s="187">
        <v>40</v>
      </c>
    </row>
    <row r="157" spans="1:9" ht="15.75" customHeight="1" x14ac:dyDescent="0.25">
      <c r="A157" s="169">
        <v>37948</v>
      </c>
      <c r="B157" s="187">
        <v>309.02940491591204</v>
      </c>
      <c r="C157" s="187">
        <v>209.45327499999999</v>
      </c>
      <c r="D157" s="187">
        <v>260.19950413223143</v>
      </c>
      <c r="E157" s="187">
        <v>297.02659574468083</v>
      </c>
      <c r="F157" s="187">
        <v>290.10027985074629</v>
      </c>
      <c r="G157" s="188">
        <v>285.64627575277336</v>
      </c>
      <c r="H157" s="187">
        <v>431.53941368078182</v>
      </c>
      <c r="I157" s="187">
        <v>40.5</v>
      </c>
    </row>
    <row r="158" spans="1:9" ht="15.75" customHeight="1" x14ac:dyDescent="0.25">
      <c r="A158" s="169">
        <v>37955</v>
      </c>
      <c r="B158" s="187">
        <v>309.00505821474769</v>
      </c>
      <c r="C158" s="187">
        <v>209.56787499999999</v>
      </c>
      <c r="D158" s="187">
        <v>259.06592286501376</v>
      </c>
      <c r="E158" s="187">
        <v>297.65336879432624</v>
      </c>
      <c r="F158" s="187">
        <v>290.10027985074629</v>
      </c>
      <c r="G158" s="188">
        <v>285.64627575277336</v>
      </c>
      <c r="H158" s="187">
        <v>431.53941368078182</v>
      </c>
      <c r="I158" s="187">
        <v>40.5</v>
      </c>
    </row>
    <row r="159" spans="1:9" ht="15.75" customHeight="1" x14ac:dyDescent="0.25">
      <c r="A159" s="169">
        <v>37962</v>
      </c>
      <c r="B159" s="187">
        <v>308.3431953428202</v>
      </c>
      <c r="C159" s="187">
        <v>209.98711249999999</v>
      </c>
      <c r="D159" s="187">
        <v>259.65732782369145</v>
      </c>
      <c r="E159" s="187">
        <v>296.80753546099294</v>
      </c>
      <c r="F159" s="187">
        <v>290.10027985074629</v>
      </c>
      <c r="G159" s="188">
        <v>285.64627575277336</v>
      </c>
      <c r="H159" s="187">
        <v>433.72280130293154</v>
      </c>
      <c r="I159" s="187">
        <v>40.5</v>
      </c>
    </row>
    <row r="160" spans="1:9" ht="15.75" customHeight="1" x14ac:dyDescent="0.25">
      <c r="A160" s="169">
        <v>37969</v>
      </c>
      <c r="B160" s="187">
        <v>307.61007761966368</v>
      </c>
      <c r="C160" s="187">
        <v>209.13968750000001</v>
      </c>
      <c r="D160" s="187">
        <v>260.0151515151515</v>
      </c>
      <c r="E160" s="187">
        <v>295.50656028368797</v>
      </c>
      <c r="F160" s="187">
        <v>290.10027985074629</v>
      </c>
      <c r="G160" s="188">
        <v>285.64627575277336</v>
      </c>
      <c r="H160" s="187">
        <v>433.72280130293154</v>
      </c>
      <c r="I160" s="187">
        <v>43</v>
      </c>
    </row>
    <row r="161" spans="1:9" ht="15.75" customHeight="1" x14ac:dyDescent="0.25">
      <c r="A161" s="169">
        <v>37976</v>
      </c>
      <c r="B161" s="187">
        <v>306.89267787839589</v>
      </c>
      <c r="C161" s="187">
        <v>208.96178749999999</v>
      </c>
      <c r="D161" s="187">
        <v>262.74261707988984</v>
      </c>
      <c r="E161" s="187">
        <v>295.72562056737587</v>
      </c>
      <c r="F161" s="187">
        <v>290.10027985074629</v>
      </c>
      <c r="G161" s="188">
        <v>285.64627575277336</v>
      </c>
      <c r="H161" s="187">
        <v>433.72280130293154</v>
      </c>
      <c r="I161" s="187">
        <v>42.5</v>
      </c>
    </row>
    <row r="162" spans="1:9" ht="15.75" customHeight="1" x14ac:dyDescent="0.25">
      <c r="A162" s="169">
        <v>37983</v>
      </c>
      <c r="B162" s="187">
        <v>305.91659767141005</v>
      </c>
      <c r="C162" s="187">
        <v>208.59485000000001</v>
      </c>
      <c r="D162" s="187">
        <v>258.27454545454549</v>
      </c>
      <c r="E162" s="187">
        <v>295.35700354609929</v>
      </c>
      <c r="F162" s="187">
        <v>290.10027985074629</v>
      </c>
      <c r="G162" s="188">
        <v>285.64627575277336</v>
      </c>
      <c r="H162" s="187">
        <v>433.72280130293154</v>
      </c>
      <c r="I162" s="187">
        <v>42</v>
      </c>
    </row>
    <row r="163" spans="1:9" ht="15.75" customHeight="1" x14ac:dyDescent="0.25">
      <c r="A163" s="169">
        <v>37990</v>
      </c>
      <c r="B163" s="187">
        <v>305.3517205692109</v>
      </c>
      <c r="C163" s="187">
        <v>207.68690000000004</v>
      </c>
      <c r="D163" s="187">
        <v>256.95468319559228</v>
      </c>
      <c r="E163" s="187">
        <v>294.64769503546097</v>
      </c>
      <c r="F163" s="187">
        <v>290.10027985074629</v>
      </c>
      <c r="G163" s="188">
        <v>285.64627575277336</v>
      </c>
      <c r="H163" s="187">
        <v>433.72280130293154</v>
      </c>
      <c r="I163" s="187">
        <v>41</v>
      </c>
    </row>
    <row r="164" spans="1:9" ht="15.75" customHeight="1" x14ac:dyDescent="0.25">
      <c r="A164" s="169">
        <v>37997</v>
      </c>
      <c r="B164" s="187">
        <v>304.83467011642949</v>
      </c>
      <c r="C164" s="187">
        <v>207.77596249999999</v>
      </c>
      <c r="D164" s="187">
        <v>256.16865013774105</v>
      </c>
      <c r="E164" s="187">
        <v>297.19698581560283</v>
      </c>
      <c r="F164" s="187">
        <v>291.00373134328356</v>
      </c>
      <c r="G164" s="188">
        <v>285.99683042789223</v>
      </c>
      <c r="H164" s="187">
        <v>430.23843648208464</v>
      </c>
      <c r="I164" s="187">
        <v>40.5</v>
      </c>
    </row>
    <row r="165" spans="1:9" ht="15.75" customHeight="1" x14ac:dyDescent="0.25">
      <c r="A165" s="169">
        <v>38004</v>
      </c>
      <c r="B165" s="187">
        <v>302.78056921086676</v>
      </c>
      <c r="C165" s="187">
        <v>206.40556249999997</v>
      </c>
      <c r="D165" s="187">
        <v>257.63584022038566</v>
      </c>
      <c r="E165" s="187">
        <v>300.02065602836876</v>
      </c>
      <c r="F165" s="187">
        <v>286.35121268656718</v>
      </c>
      <c r="G165" s="188">
        <v>285.99683042789223</v>
      </c>
      <c r="H165" s="187">
        <v>430.23843648208464</v>
      </c>
      <c r="I165" s="187">
        <v>37.5</v>
      </c>
    </row>
    <row r="166" spans="1:9" ht="15.75" customHeight="1" x14ac:dyDescent="0.25">
      <c r="A166" s="169">
        <v>38011</v>
      </c>
      <c r="B166" s="187">
        <v>302.10571798188874</v>
      </c>
      <c r="C166" s="187">
        <v>206.77178749999999</v>
      </c>
      <c r="D166" s="187">
        <v>256.71611570247933</v>
      </c>
      <c r="E166" s="187">
        <v>300.33182624113476</v>
      </c>
      <c r="F166" s="187">
        <v>286.35121268656718</v>
      </c>
      <c r="G166" s="188">
        <v>285.99683042789223</v>
      </c>
      <c r="H166" s="187">
        <v>430.23843648208464</v>
      </c>
      <c r="I166" s="187">
        <v>35.5</v>
      </c>
    </row>
    <row r="167" spans="1:9" ht="15.75" customHeight="1" x14ac:dyDescent="0.25">
      <c r="A167" s="169">
        <v>38018</v>
      </c>
      <c r="B167" s="187">
        <v>300.32329883570503</v>
      </c>
      <c r="C167" s="187">
        <v>205.04738750000001</v>
      </c>
      <c r="D167" s="187">
        <v>255.51347107438013</v>
      </c>
      <c r="E167" s="187">
        <v>300.92854609929083</v>
      </c>
      <c r="F167" s="187">
        <v>286.35121268656718</v>
      </c>
      <c r="G167" s="188">
        <v>285.99683042789223</v>
      </c>
      <c r="H167" s="187">
        <v>430.23843648208464</v>
      </c>
      <c r="I167" s="187">
        <v>34.5</v>
      </c>
    </row>
    <row r="168" spans="1:9" ht="15.75" customHeight="1" x14ac:dyDescent="0.25">
      <c r="A168" s="169">
        <v>38025</v>
      </c>
      <c r="B168" s="187">
        <v>299.80619663648122</v>
      </c>
      <c r="C168" s="187">
        <v>203.96806249999997</v>
      </c>
      <c r="D168" s="187">
        <v>256.22000000000003</v>
      </c>
      <c r="E168" s="187">
        <v>302.96152482269503</v>
      </c>
      <c r="F168" s="187">
        <v>286.35121268656718</v>
      </c>
      <c r="G168" s="188">
        <v>285.99683042789223</v>
      </c>
      <c r="H168" s="187">
        <v>430.97198697068399</v>
      </c>
      <c r="I168" s="187">
        <v>33</v>
      </c>
    </row>
    <row r="169" spans="1:9" ht="15.75" customHeight="1" x14ac:dyDescent="0.25">
      <c r="A169" s="169">
        <v>38032</v>
      </c>
      <c r="B169" s="187">
        <v>299.05535575679176</v>
      </c>
      <c r="C169" s="187">
        <v>203.29362499999999</v>
      </c>
      <c r="D169" s="187">
        <v>255.30404958677684</v>
      </c>
      <c r="E169" s="187">
        <v>303.56790780141841</v>
      </c>
      <c r="F169" s="187">
        <v>286.35121268656718</v>
      </c>
      <c r="G169" s="188">
        <v>285.99683042789223</v>
      </c>
      <c r="H169" s="187">
        <v>430.43045602605861</v>
      </c>
      <c r="I169" s="187">
        <v>30.5</v>
      </c>
    </row>
    <row r="170" spans="1:9" ht="15.75" customHeight="1" x14ac:dyDescent="0.25">
      <c r="A170" s="169">
        <v>38039</v>
      </c>
      <c r="B170" s="187">
        <v>298.95851228978006</v>
      </c>
      <c r="C170" s="187">
        <v>203.56461250000001</v>
      </c>
      <c r="D170" s="187">
        <v>254.39123966942151</v>
      </c>
      <c r="E170" s="187">
        <v>305.57819148936164</v>
      </c>
      <c r="F170" s="187">
        <v>286.35121268656718</v>
      </c>
      <c r="G170" s="188">
        <v>285.99683042789223</v>
      </c>
      <c r="H170" s="187">
        <v>430.43045602605861</v>
      </c>
      <c r="I170" s="187">
        <v>30</v>
      </c>
    </row>
    <row r="171" spans="1:9" ht="15.75" customHeight="1" x14ac:dyDescent="0.25">
      <c r="A171" s="169">
        <v>38046</v>
      </c>
      <c r="B171" s="187">
        <v>298.40382923673997</v>
      </c>
      <c r="C171" s="187">
        <v>204.20214999999999</v>
      </c>
      <c r="D171" s="187">
        <v>253.86707988980717</v>
      </c>
      <c r="E171" s="187">
        <v>307.35177304964543</v>
      </c>
      <c r="F171" s="187">
        <v>286.35121268656718</v>
      </c>
      <c r="G171" s="188">
        <v>285.99683042789223</v>
      </c>
      <c r="H171" s="187">
        <v>430.02875098193238</v>
      </c>
      <c r="I171" s="187">
        <v>30</v>
      </c>
    </row>
    <row r="172" spans="1:9" ht="15.75" customHeight="1" x14ac:dyDescent="0.25">
      <c r="A172" s="169">
        <v>38053</v>
      </c>
      <c r="B172" s="187">
        <v>298.99011642949546</v>
      </c>
      <c r="C172" s="187">
        <v>204.432175</v>
      </c>
      <c r="D172" s="187">
        <v>253.45955922865016</v>
      </c>
      <c r="E172" s="187">
        <v>309.13962765957444</v>
      </c>
      <c r="F172" s="187">
        <v>286.35121268656718</v>
      </c>
      <c r="G172" s="188">
        <v>285.99683042789223</v>
      </c>
      <c r="H172" s="187">
        <v>423.79285153181456</v>
      </c>
      <c r="I172" s="187">
        <v>30</v>
      </c>
    </row>
    <row r="173" spans="1:9" ht="15.75" customHeight="1" x14ac:dyDescent="0.25">
      <c r="A173" s="169">
        <v>38060</v>
      </c>
      <c r="B173" s="187">
        <v>297.47131953428197</v>
      </c>
      <c r="C173" s="187">
        <v>204.598625</v>
      </c>
      <c r="D173" s="187">
        <v>252.36961432506885</v>
      </c>
      <c r="E173" s="187">
        <v>306.23971631205677</v>
      </c>
      <c r="F173" s="187">
        <v>286.35121268656718</v>
      </c>
      <c r="G173" s="188">
        <v>284.6136291600634</v>
      </c>
      <c r="H173" s="187">
        <v>424.83762765121759</v>
      </c>
      <c r="I173" s="187">
        <v>30</v>
      </c>
    </row>
    <row r="174" spans="1:9" ht="15.75" customHeight="1" x14ac:dyDescent="0.25">
      <c r="A174" s="169">
        <v>38067</v>
      </c>
      <c r="B174" s="187">
        <v>297.82095084087968</v>
      </c>
      <c r="C174" s="187">
        <v>205.8550875</v>
      </c>
      <c r="D174" s="187">
        <v>252.62035812672178</v>
      </c>
      <c r="E174" s="187">
        <v>305.05257092198588</v>
      </c>
      <c r="F174" s="187">
        <v>286.35121268656718</v>
      </c>
      <c r="G174" s="188">
        <v>284.6136291600634</v>
      </c>
      <c r="H174" s="187">
        <v>424.83762765121759</v>
      </c>
      <c r="I174" s="187">
        <v>31.5</v>
      </c>
    </row>
    <row r="175" spans="1:9" ht="15.75" customHeight="1" x14ac:dyDescent="0.25">
      <c r="A175" s="169">
        <v>38074</v>
      </c>
      <c r="B175" s="187">
        <v>298.53734799482532</v>
      </c>
      <c r="C175" s="187">
        <v>206.30362499999998</v>
      </c>
      <c r="D175" s="187">
        <v>253.27732782369145</v>
      </c>
      <c r="E175" s="187">
        <v>308.58670212765963</v>
      </c>
      <c r="F175" s="187">
        <v>286.35121268656718</v>
      </c>
      <c r="G175" s="188">
        <v>284.6136291600634</v>
      </c>
      <c r="H175" s="187">
        <v>424.83762765121759</v>
      </c>
      <c r="I175" s="187">
        <v>32</v>
      </c>
    </row>
    <row r="176" spans="1:9" ht="15.75" customHeight="1" x14ac:dyDescent="0.25">
      <c r="A176" s="169">
        <v>38081</v>
      </c>
      <c r="B176" s="187">
        <v>298.69897800776198</v>
      </c>
      <c r="C176" s="187">
        <v>206.33133750000002</v>
      </c>
      <c r="D176" s="187">
        <v>253.66110192837468</v>
      </c>
      <c r="E176" s="187">
        <v>308.66179078014187</v>
      </c>
      <c r="F176" s="187">
        <v>286.35121268656718</v>
      </c>
      <c r="G176" s="188">
        <v>284.6136291600634</v>
      </c>
      <c r="H176" s="187">
        <v>424.83762765121759</v>
      </c>
      <c r="I176" s="187">
        <v>32.5</v>
      </c>
    </row>
    <row r="177" spans="1:9" ht="15.75" customHeight="1" x14ac:dyDescent="0.25">
      <c r="A177" s="169">
        <v>38088</v>
      </c>
      <c r="B177" s="187">
        <v>298.4076002587322</v>
      </c>
      <c r="C177" s="187">
        <v>207.02383750000001</v>
      </c>
      <c r="D177" s="187">
        <v>254.47545454545457</v>
      </c>
      <c r="E177" s="187">
        <v>310.89397163120572</v>
      </c>
      <c r="F177" s="187">
        <v>286.35121268656718</v>
      </c>
      <c r="G177" s="188">
        <v>283.47226624405704</v>
      </c>
      <c r="H177" s="187">
        <v>424.83762765121759</v>
      </c>
      <c r="I177" s="187">
        <v>33.5</v>
      </c>
    </row>
    <row r="178" spans="1:9" ht="15.75" customHeight="1" x14ac:dyDescent="0.25">
      <c r="A178" s="169">
        <v>38095</v>
      </c>
      <c r="B178" s="187">
        <v>299.44976714100909</v>
      </c>
      <c r="C178" s="187">
        <v>207.32817500000002</v>
      </c>
      <c r="D178" s="187">
        <v>255.04176308539945</v>
      </c>
      <c r="E178" s="187">
        <v>310.73696808510635</v>
      </c>
      <c r="F178" s="187">
        <v>277.49227528089887</v>
      </c>
      <c r="G178" s="188">
        <v>283.47226624405704</v>
      </c>
      <c r="H178" s="187">
        <v>424.83762765121759</v>
      </c>
      <c r="I178" s="187">
        <v>34</v>
      </c>
    </row>
    <row r="179" spans="1:9" ht="15.75" customHeight="1" x14ac:dyDescent="0.25">
      <c r="A179" s="169">
        <v>38102</v>
      </c>
      <c r="B179" s="187">
        <v>298.88474126778783</v>
      </c>
      <c r="C179" s="187">
        <v>207.95654999999999</v>
      </c>
      <c r="D179" s="187">
        <v>255.93217630853997</v>
      </c>
      <c r="E179" s="187">
        <v>307.59875886524827</v>
      </c>
      <c r="F179" s="187">
        <v>277.49227528089887</v>
      </c>
      <c r="G179" s="188">
        <v>283.47226624405704</v>
      </c>
      <c r="H179" s="187">
        <v>424.83762765121759</v>
      </c>
      <c r="I179" s="187">
        <v>35.5</v>
      </c>
    </row>
    <row r="180" spans="1:9" ht="15.75" customHeight="1" x14ac:dyDescent="0.25">
      <c r="A180" s="169">
        <v>38109</v>
      </c>
      <c r="B180" s="187">
        <v>287.92945976364655</v>
      </c>
      <c r="C180" s="187">
        <v>199.46223062768348</v>
      </c>
      <c r="D180" s="187">
        <v>249.81167286245355</v>
      </c>
      <c r="E180" s="187">
        <v>307.92916666666667</v>
      </c>
      <c r="F180" s="187">
        <v>277.47909681833733</v>
      </c>
      <c r="G180" s="188">
        <v>283.47226624405704</v>
      </c>
      <c r="H180" s="187">
        <v>422.22568735271011</v>
      </c>
      <c r="I180" s="187">
        <v>38</v>
      </c>
    </row>
    <row r="181" spans="1:9" ht="15.75" customHeight="1" x14ac:dyDescent="0.25">
      <c r="A181" s="169">
        <v>38116</v>
      </c>
      <c r="B181" s="187">
        <v>290.91077658975797</v>
      </c>
      <c r="C181" s="187">
        <v>198.34534246575336</v>
      </c>
      <c r="D181" s="187">
        <v>250.02315985130113</v>
      </c>
      <c r="E181" s="187">
        <v>305.43262411347519</v>
      </c>
      <c r="F181" s="187">
        <v>274.88525487512828</v>
      </c>
      <c r="G181" s="188">
        <v>271.20905749999997</v>
      </c>
      <c r="H181" s="187">
        <v>422.33545430741026</v>
      </c>
      <c r="I181" s="187">
        <v>37.5</v>
      </c>
    </row>
    <row r="182" spans="1:9" ht="15.75" customHeight="1" x14ac:dyDescent="0.25">
      <c r="A182" s="169">
        <v>38123</v>
      </c>
      <c r="B182" s="187">
        <v>291.56418683173888</v>
      </c>
      <c r="C182" s="187">
        <v>199.38102024125942</v>
      </c>
      <c r="D182" s="187">
        <v>251.95625774473356</v>
      </c>
      <c r="E182" s="187">
        <v>307.14539007092196</v>
      </c>
      <c r="F182" s="187">
        <v>276.27270954498806</v>
      </c>
      <c r="G182" s="188">
        <v>272.16980749999999</v>
      </c>
      <c r="H182" s="187">
        <v>422.41205813040062</v>
      </c>
      <c r="I182" s="187">
        <v>36.5</v>
      </c>
    </row>
    <row r="183" spans="1:9" ht="15.75" customHeight="1" x14ac:dyDescent="0.25">
      <c r="A183" s="169">
        <v>38130</v>
      </c>
      <c r="B183" s="187">
        <v>292.79314012380416</v>
      </c>
      <c r="C183" s="187">
        <v>200.25091801267635</v>
      </c>
      <c r="D183" s="187">
        <v>251.59944237918219</v>
      </c>
      <c r="E183" s="187">
        <v>305.43262411347519</v>
      </c>
      <c r="F183" s="187">
        <v>276.9182175846733</v>
      </c>
      <c r="G183" s="188">
        <v>273.40593000000001</v>
      </c>
      <c r="H183" s="187">
        <v>422.54096622152389</v>
      </c>
      <c r="I183" s="187">
        <v>37.5</v>
      </c>
    </row>
    <row r="184" spans="1:9" ht="15.75" customHeight="1" x14ac:dyDescent="0.25">
      <c r="A184" s="169">
        <v>38137</v>
      </c>
      <c r="B184" s="187">
        <v>292.56733821046708</v>
      </c>
      <c r="C184" s="187">
        <v>201.26751175628706</v>
      </c>
      <c r="D184" s="187">
        <v>253.14816604708801</v>
      </c>
      <c r="E184" s="187">
        <v>308.78120567375885</v>
      </c>
      <c r="F184" s="187">
        <v>278.00098186794384</v>
      </c>
      <c r="G184" s="188">
        <v>274.57575250000002</v>
      </c>
      <c r="H184" s="187">
        <v>422.65523697302956</v>
      </c>
      <c r="I184" s="187">
        <v>39</v>
      </c>
    </row>
    <row r="185" spans="1:9" ht="15.75" customHeight="1" x14ac:dyDescent="0.25">
      <c r="A185" s="169">
        <v>38144</v>
      </c>
      <c r="B185" s="187">
        <v>293.85439504783341</v>
      </c>
      <c r="C185" s="187">
        <v>202.83400531588626</v>
      </c>
      <c r="D185" s="187">
        <v>254.40427509293681</v>
      </c>
      <c r="E185" s="187">
        <v>309.78404255319151</v>
      </c>
      <c r="F185" s="187">
        <v>278.87640095792</v>
      </c>
      <c r="G185" s="188">
        <v>275.89125749999999</v>
      </c>
      <c r="H185" s="187">
        <v>421.25823514008903</v>
      </c>
      <c r="I185" s="187">
        <v>40</v>
      </c>
    </row>
    <row r="186" spans="1:9" ht="15.75" customHeight="1" x14ac:dyDescent="0.25">
      <c r="A186" s="169">
        <v>38151</v>
      </c>
      <c r="B186" s="187">
        <v>294.24566122678669</v>
      </c>
      <c r="C186" s="187">
        <v>202.89810877121243</v>
      </c>
      <c r="D186" s="187">
        <v>255.22506815365551</v>
      </c>
      <c r="E186" s="187">
        <v>309.24317375886523</v>
      </c>
      <c r="F186" s="187">
        <v>279.82325008552863</v>
      </c>
      <c r="G186" s="188">
        <v>275.61135249999995</v>
      </c>
      <c r="H186" s="187">
        <v>421.38655407174645</v>
      </c>
      <c r="I186" s="187">
        <v>40</v>
      </c>
    </row>
    <row r="187" spans="1:9" ht="15.75" customHeight="1" x14ac:dyDescent="0.25">
      <c r="A187" s="169">
        <v>38158</v>
      </c>
      <c r="B187" s="187">
        <v>294.87399549803041</v>
      </c>
      <c r="C187" s="187">
        <v>204.18771825802492</v>
      </c>
      <c r="D187" s="187">
        <v>256.06028500619578</v>
      </c>
      <c r="E187" s="187">
        <v>311.11976950354608</v>
      </c>
      <c r="F187" s="187">
        <v>278.0699315771468</v>
      </c>
      <c r="G187" s="188">
        <v>275.63739500000003</v>
      </c>
      <c r="H187" s="187">
        <v>422.91203194553543</v>
      </c>
      <c r="I187" s="187">
        <v>39.5</v>
      </c>
    </row>
    <row r="188" spans="1:9" ht="15.75" customHeight="1" x14ac:dyDescent="0.25">
      <c r="A188" s="169">
        <v>38165</v>
      </c>
      <c r="B188" s="187">
        <v>295.47507597073718</v>
      </c>
      <c r="C188" s="187">
        <v>205.48699039051317</v>
      </c>
      <c r="D188" s="187">
        <v>256.4570508054523</v>
      </c>
      <c r="E188" s="187">
        <v>309.93882978723406</v>
      </c>
      <c r="F188" s="187">
        <v>279.46741019500507</v>
      </c>
      <c r="G188" s="188">
        <v>276.44992250000001</v>
      </c>
      <c r="H188" s="187">
        <v>421.86448023042681</v>
      </c>
      <c r="I188" s="187">
        <v>40</v>
      </c>
    </row>
    <row r="189" spans="1:9" ht="15.75" customHeight="1" x14ac:dyDescent="0.25">
      <c r="A189" s="169">
        <v>38172</v>
      </c>
      <c r="B189" s="187">
        <v>297.42999437253803</v>
      </c>
      <c r="C189" s="187">
        <v>205.54563483950113</v>
      </c>
      <c r="D189" s="187">
        <v>255.65567534076825</v>
      </c>
      <c r="E189" s="187">
        <v>308.1720744680851</v>
      </c>
      <c r="F189" s="187">
        <v>278.9230995552515</v>
      </c>
      <c r="G189" s="188">
        <v>276.41775999999999</v>
      </c>
      <c r="H189" s="187">
        <v>421.87761194029849</v>
      </c>
      <c r="I189" s="187">
        <v>40</v>
      </c>
    </row>
    <row r="190" spans="1:9" ht="15.75" customHeight="1" x14ac:dyDescent="0.25">
      <c r="A190" s="169">
        <v>38179</v>
      </c>
      <c r="B190" s="187">
        <v>296.87118739448505</v>
      </c>
      <c r="C190" s="187">
        <v>207.08300143120016</v>
      </c>
      <c r="D190" s="187">
        <v>256.17555142503096</v>
      </c>
      <c r="E190" s="187">
        <v>308.1720744680851</v>
      </c>
      <c r="F190" s="187">
        <v>278.60577830995555</v>
      </c>
      <c r="G190" s="188">
        <v>278.15706</v>
      </c>
      <c r="H190" s="187">
        <v>419.79464519507724</v>
      </c>
      <c r="I190" s="187">
        <v>40</v>
      </c>
    </row>
    <row r="191" spans="1:9" ht="15.75" customHeight="1" x14ac:dyDescent="0.25">
      <c r="A191" s="169">
        <v>38186</v>
      </c>
      <c r="B191" s="187">
        <v>297.31212718064154</v>
      </c>
      <c r="C191" s="187">
        <v>207.07421999591082</v>
      </c>
      <c r="D191" s="187">
        <v>256.62333333333328</v>
      </c>
      <c r="E191" s="187">
        <v>308.861524822695</v>
      </c>
      <c r="F191" s="187">
        <v>279.08569620253161</v>
      </c>
      <c r="G191" s="188">
        <v>279.13355999999999</v>
      </c>
      <c r="H191" s="187">
        <v>420.26209740769838</v>
      </c>
      <c r="I191" s="187">
        <v>40.5</v>
      </c>
    </row>
    <row r="192" spans="1:9" ht="15.75" customHeight="1" x14ac:dyDescent="0.25">
      <c r="A192" s="169">
        <v>38193</v>
      </c>
      <c r="B192" s="187">
        <v>296.64494091164886</v>
      </c>
      <c r="C192" s="187">
        <v>205.89820282150887</v>
      </c>
      <c r="D192" s="187">
        <v>256.26349442379177</v>
      </c>
      <c r="E192" s="187">
        <v>308.77562056737588</v>
      </c>
      <c r="F192" s="187">
        <v>280.72480670543956</v>
      </c>
      <c r="G192" s="188">
        <v>279.0301225</v>
      </c>
      <c r="H192" s="187">
        <v>419.9584708038754</v>
      </c>
      <c r="I192" s="187">
        <v>40.5</v>
      </c>
    </row>
    <row r="193" spans="1:9" ht="15.75" customHeight="1" x14ac:dyDescent="0.25">
      <c r="A193" s="169">
        <v>38200</v>
      </c>
      <c r="B193" s="187">
        <v>296.91097917839056</v>
      </c>
      <c r="C193" s="187">
        <v>205.61642199959104</v>
      </c>
      <c r="D193" s="187">
        <v>256.63587360594795</v>
      </c>
      <c r="E193" s="187">
        <v>310.69937943262414</v>
      </c>
      <c r="F193" s="187">
        <v>281.04377694149844</v>
      </c>
      <c r="G193" s="188">
        <v>279.43247250000002</v>
      </c>
      <c r="H193" s="187">
        <v>421.02225713537575</v>
      </c>
      <c r="I193" s="187">
        <v>40.5</v>
      </c>
    </row>
    <row r="194" spans="1:9" ht="15.75" customHeight="1" x14ac:dyDescent="0.25">
      <c r="A194" s="169">
        <v>38207</v>
      </c>
      <c r="B194" s="187">
        <v>297.03983680360159</v>
      </c>
      <c r="C194" s="187">
        <v>205.38781026374974</v>
      </c>
      <c r="D194" s="187">
        <v>256.40370508054525</v>
      </c>
      <c r="E194" s="187">
        <v>311.170390070922</v>
      </c>
      <c r="F194" s="187">
        <v>280.40078002052684</v>
      </c>
      <c r="G194" s="188">
        <v>279.07805999999999</v>
      </c>
      <c r="H194" s="187">
        <v>419.10634982979838</v>
      </c>
      <c r="I194" s="187">
        <v>40.5</v>
      </c>
    </row>
    <row r="195" spans="1:9" ht="15.75" customHeight="1" x14ac:dyDescent="0.25">
      <c r="A195" s="169">
        <v>38214</v>
      </c>
      <c r="B195" s="187">
        <v>297.47712436691057</v>
      </c>
      <c r="C195" s="187">
        <v>205.47087303209975</v>
      </c>
      <c r="D195" s="187">
        <v>255.46396530359357</v>
      </c>
      <c r="E195" s="187">
        <v>308.23634751773045</v>
      </c>
      <c r="F195" s="187">
        <v>281.99097502565854</v>
      </c>
      <c r="G195" s="188">
        <v>278.96571499999999</v>
      </c>
      <c r="H195" s="187">
        <v>418.32727153705156</v>
      </c>
      <c r="I195" s="187">
        <v>41.5</v>
      </c>
    </row>
    <row r="196" spans="1:9" ht="15.75" customHeight="1" x14ac:dyDescent="0.25">
      <c r="A196" s="169">
        <v>38221</v>
      </c>
      <c r="B196" s="187">
        <v>296.689628587507</v>
      </c>
      <c r="C196" s="187">
        <v>205.60180331220607</v>
      </c>
      <c r="D196" s="187">
        <v>253.85309789343248</v>
      </c>
      <c r="E196" s="187">
        <v>306.32163120567378</v>
      </c>
      <c r="F196" s="187">
        <v>282.12783099555253</v>
      </c>
      <c r="G196" s="188">
        <v>279.89568750000001</v>
      </c>
      <c r="H196" s="187">
        <v>419.63566378633146</v>
      </c>
      <c r="I196" s="187">
        <v>43.5</v>
      </c>
    </row>
    <row r="197" spans="1:9" ht="15.75" customHeight="1" x14ac:dyDescent="0.25">
      <c r="A197" s="169">
        <v>38228</v>
      </c>
      <c r="B197" s="187">
        <v>297.82101857062463</v>
      </c>
      <c r="C197" s="187">
        <v>205.13613984870165</v>
      </c>
      <c r="D197" s="187">
        <v>253.6901115241636</v>
      </c>
      <c r="E197" s="187">
        <v>306.27384751773053</v>
      </c>
      <c r="F197" s="187">
        <v>282.14884365378038</v>
      </c>
      <c r="G197" s="188">
        <v>280.2823325</v>
      </c>
      <c r="H197" s="187">
        <v>420.60620581303999</v>
      </c>
      <c r="I197" s="187">
        <v>44.5</v>
      </c>
    </row>
    <row r="198" spans="1:9" ht="15.75" customHeight="1" x14ac:dyDescent="0.25">
      <c r="A198" s="169">
        <v>38235</v>
      </c>
      <c r="B198" s="187">
        <v>296.98583005064717</v>
      </c>
      <c r="C198" s="187">
        <v>204.25338785524434</v>
      </c>
      <c r="D198" s="187">
        <v>251.9619330855019</v>
      </c>
      <c r="E198" s="187">
        <v>304.95700354609932</v>
      </c>
      <c r="F198" s="187">
        <v>282.67121450564491</v>
      </c>
      <c r="G198" s="188">
        <v>281.94194750000003</v>
      </c>
      <c r="H198" s="187">
        <v>419.76593349044248</v>
      </c>
      <c r="I198" s="187">
        <v>45.5</v>
      </c>
    </row>
    <row r="199" spans="1:9" ht="15.75" customHeight="1" x14ac:dyDescent="0.25">
      <c r="A199" s="169">
        <v>38242</v>
      </c>
      <c r="B199" s="187">
        <v>296.95051209904324</v>
      </c>
      <c r="C199" s="187">
        <v>204.43780004089143</v>
      </c>
      <c r="D199" s="187">
        <v>252.23070631970256</v>
      </c>
      <c r="E199" s="187">
        <v>303.59175531914894</v>
      </c>
      <c r="F199" s="187">
        <v>285.56674307218611</v>
      </c>
      <c r="G199" s="188">
        <v>283.05225250000001</v>
      </c>
      <c r="H199" s="187">
        <v>420.18629222309505</v>
      </c>
      <c r="I199" s="187">
        <v>48</v>
      </c>
    </row>
    <row r="200" spans="1:9" ht="15.75" customHeight="1" x14ac:dyDescent="0.25">
      <c r="A200" s="169">
        <v>38249</v>
      </c>
      <c r="B200" s="187">
        <v>296.57838491840175</v>
      </c>
      <c r="C200" s="187">
        <v>204.90776528317318</v>
      </c>
      <c r="D200" s="187">
        <v>252.01066914498142</v>
      </c>
      <c r="E200" s="187">
        <v>303.52349290780143</v>
      </c>
      <c r="F200" s="187">
        <v>284.33496407800203</v>
      </c>
      <c r="G200" s="188">
        <v>283.94363250000004</v>
      </c>
      <c r="H200" s="187">
        <v>420.33968316313172</v>
      </c>
      <c r="I200" s="187">
        <v>50</v>
      </c>
    </row>
    <row r="201" spans="1:9" ht="15.75" customHeight="1" x14ac:dyDescent="0.25">
      <c r="A201" s="169">
        <v>38256</v>
      </c>
      <c r="B201" s="187">
        <v>295.60425998874507</v>
      </c>
      <c r="C201" s="187">
        <v>205.12843999182172</v>
      </c>
      <c r="D201" s="187">
        <v>251.98200743494425</v>
      </c>
      <c r="E201" s="187">
        <v>303.13439716312052</v>
      </c>
      <c r="F201" s="187">
        <v>285.3800205268559</v>
      </c>
      <c r="G201" s="188">
        <v>285.1684975</v>
      </c>
      <c r="H201" s="187">
        <v>420.227258444619</v>
      </c>
      <c r="I201" s="187">
        <v>50.5</v>
      </c>
    </row>
    <row r="202" spans="1:9" ht="15.75" customHeight="1" x14ac:dyDescent="0.25">
      <c r="A202" s="169">
        <v>38263</v>
      </c>
      <c r="B202" s="187">
        <v>294.9274845244795</v>
      </c>
      <c r="C202" s="187">
        <v>205.89889593130241</v>
      </c>
      <c r="D202" s="187">
        <v>251.52624535315979</v>
      </c>
      <c r="E202" s="187">
        <v>303.29884751773045</v>
      </c>
      <c r="F202" s="187">
        <v>284.82346903865886</v>
      </c>
      <c r="G202" s="188">
        <v>284.92546999999996</v>
      </c>
      <c r="H202" s="187">
        <v>420.32498036135115</v>
      </c>
      <c r="I202" s="187">
        <v>51.5</v>
      </c>
    </row>
    <row r="203" spans="1:9" ht="15.75" customHeight="1" x14ac:dyDescent="0.25">
      <c r="A203" s="169">
        <v>38270</v>
      </c>
      <c r="B203" s="187">
        <v>294.1910804727068</v>
      </c>
      <c r="C203" s="187">
        <v>205.06987323655693</v>
      </c>
      <c r="D203" s="187">
        <v>251.79961586121439</v>
      </c>
      <c r="E203" s="187">
        <v>300.13838652482269</v>
      </c>
      <c r="F203" s="187">
        <v>287.47241874786181</v>
      </c>
      <c r="G203" s="188">
        <v>285.50573249999997</v>
      </c>
      <c r="H203" s="187">
        <v>421.62204765645458</v>
      </c>
      <c r="I203" s="187">
        <v>50.5</v>
      </c>
    </row>
    <row r="204" spans="1:9" ht="15.75" customHeight="1" x14ac:dyDescent="0.25">
      <c r="A204" s="169">
        <v>38277</v>
      </c>
      <c r="B204" s="187">
        <v>294.37632526730442</v>
      </c>
      <c r="C204" s="187">
        <v>205.82537108975671</v>
      </c>
      <c r="D204" s="187">
        <v>251.73519206939284</v>
      </c>
      <c r="E204" s="187">
        <v>300.94326241134752</v>
      </c>
      <c r="F204" s="187">
        <v>287.09099555251458</v>
      </c>
      <c r="G204" s="188">
        <v>285.75634749999995</v>
      </c>
      <c r="H204" s="187">
        <v>421.41358994501178</v>
      </c>
      <c r="I204" s="187">
        <v>50.5</v>
      </c>
    </row>
    <row r="205" spans="1:9" ht="15.75" customHeight="1" x14ac:dyDescent="0.25">
      <c r="A205" s="169">
        <v>38284</v>
      </c>
      <c r="B205" s="187">
        <v>294.65521665728755</v>
      </c>
      <c r="C205" s="187">
        <v>205.98942138621956</v>
      </c>
      <c r="D205" s="187">
        <v>251.87627013630731</v>
      </c>
      <c r="E205" s="187">
        <v>298.69804964539009</v>
      </c>
      <c r="F205" s="187">
        <v>288.42269586041738</v>
      </c>
      <c r="G205" s="188">
        <v>286.486245</v>
      </c>
      <c r="H205" s="187">
        <v>421.38248232521602</v>
      </c>
      <c r="I205" s="187">
        <v>52</v>
      </c>
    </row>
    <row r="206" spans="1:9" ht="15.75" customHeight="1" x14ac:dyDescent="0.25">
      <c r="A206" s="169">
        <v>38291</v>
      </c>
      <c r="B206" s="187">
        <v>294.11742262239727</v>
      </c>
      <c r="C206" s="187">
        <v>206.84280310774889</v>
      </c>
      <c r="D206" s="187">
        <v>252.31293680297398</v>
      </c>
      <c r="E206" s="187">
        <v>298.75948581560277</v>
      </c>
      <c r="F206" s="187">
        <v>288.87057133082453</v>
      </c>
      <c r="G206" s="188">
        <v>285.4949125</v>
      </c>
      <c r="H206" s="187">
        <v>421.18568997119661</v>
      </c>
      <c r="I206" s="187">
        <v>54.5</v>
      </c>
    </row>
    <row r="207" spans="1:9" ht="15.75" customHeight="1" x14ac:dyDescent="0.25">
      <c r="A207" s="169">
        <v>38298</v>
      </c>
      <c r="B207" s="187">
        <v>293.46275182892509</v>
      </c>
      <c r="C207" s="187">
        <v>210.45228787569005</v>
      </c>
      <c r="D207" s="187">
        <v>253.58962825278806</v>
      </c>
      <c r="E207" s="187">
        <v>298.74015957446812</v>
      </c>
      <c r="F207" s="187">
        <v>289.41294218268905</v>
      </c>
      <c r="G207" s="188">
        <v>287.27544</v>
      </c>
      <c r="H207" s="187">
        <v>423.76036920659857</v>
      </c>
      <c r="I207" s="187">
        <v>57.5</v>
      </c>
    </row>
    <row r="208" spans="1:9" ht="15.75" customHeight="1" x14ac:dyDescent="0.25">
      <c r="A208" s="169">
        <v>38305</v>
      </c>
      <c r="B208" s="187">
        <v>294.05002813730999</v>
      </c>
      <c r="C208" s="187">
        <v>211.27060928235534</v>
      </c>
      <c r="D208" s="187">
        <v>254.65325898389094</v>
      </c>
      <c r="E208" s="187">
        <v>297.85274822695038</v>
      </c>
      <c r="F208" s="187">
        <v>290.21753677728361</v>
      </c>
      <c r="G208" s="188">
        <v>287.92900500000002</v>
      </c>
      <c r="H208" s="187">
        <v>424.13121235925632</v>
      </c>
      <c r="I208" s="187">
        <v>59</v>
      </c>
    </row>
    <row r="209" spans="1:9" ht="15.75" customHeight="1" x14ac:dyDescent="0.25">
      <c r="A209" s="169">
        <v>38312</v>
      </c>
      <c r="B209" s="187">
        <v>293.90171074845244</v>
      </c>
      <c r="C209" s="187">
        <v>211.81322633408297</v>
      </c>
      <c r="D209" s="187">
        <v>254.97955390334573</v>
      </c>
      <c r="E209" s="187">
        <v>296.65257092198578</v>
      </c>
      <c r="F209" s="187">
        <v>290.72366746493327</v>
      </c>
      <c r="G209" s="188">
        <v>288.07487750000001</v>
      </c>
      <c r="H209" s="187">
        <v>424.03003404032467</v>
      </c>
      <c r="I209" s="187">
        <v>58.5</v>
      </c>
    </row>
    <row r="210" spans="1:9" ht="15.75" customHeight="1" x14ac:dyDescent="0.25">
      <c r="A210" s="169">
        <v>38319</v>
      </c>
      <c r="B210" s="187">
        <v>292.82077658975805</v>
      </c>
      <c r="C210" s="187">
        <v>211.59136986301368</v>
      </c>
      <c r="D210" s="187">
        <v>254.41879801734825</v>
      </c>
      <c r="E210" s="187">
        <v>296.44095744680851</v>
      </c>
      <c r="F210" s="187">
        <v>290.72418747861786</v>
      </c>
      <c r="G210" s="188">
        <v>288.67277750000005</v>
      </c>
      <c r="H210" s="187">
        <v>423.59090075936109</v>
      </c>
      <c r="I210" s="187">
        <v>56.5</v>
      </c>
    </row>
    <row r="211" spans="1:9" ht="15.75" customHeight="1" x14ac:dyDescent="0.25">
      <c r="A211" s="169">
        <v>38326</v>
      </c>
      <c r="B211" s="187">
        <v>293.42051209904332</v>
      </c>
      <c r="C211" s="187">
        <v>211.75319157636471</v>
      </c>
      <c r="D211" s="187">
        <v>256.22602230483272</v>
      </c>
      <c r="E211" s="187">
        <v>299.11560283687948</v>
      </c>
      <c r="F211" s="187">
        <v>291.9147074923024</v>
      </c>
      <c r="G211" s="188">
        <v>290.19370500000002</v>
      </c>
      <c r="H211" s="187">
        <v>424.67275464781358</v>
      </c>
      <c r="I211" s="187">
        <v>52.5</v>
      </c>
    </row>
    <row r="212" spans="1:9" ht="15.75" customHeight="1" x14ac:dyDescent="0.25">
      <c r="A212" s="169">
        <v>38333</v>
      </c>
      <c r="B212" s="187">
        <v>293.18265053460891</v>
      </c>
      <c r="C212" s="187">
        <v>211.33698630136982</v>
      </c>
      <c r="D212" s="187">
        <v>253.28812887236677</v>
      </c>
      <c r="E212" s="187">
        <v>300.41879432624114</v>
      </c>
      <c r="F212" s="187">
        <v>291.49162162162162</v>
      </c>
      <c r="G212" s="188">
        <v>289.69499250000001</v>
      </c>
      <c r="H212" s="187">
        <v>424.85646766169151</v>
      </c>
      <c r="I212" s="187">
        <v>49.5</v>
      </c>
    </row>
    <row r="213" spans="1:9" ht="15.75" customHeight="1" x14ac:dyDescent="0.25">
      <c r="A213" s="169">
        <v>38340</v>
      </c>
      <c r="B213" s="187">
        <v>291.83329769274053</v>
      </c>
      <c r="C213" s="187">
        <v>209.73755060314863</v>
      </c>
      <c r="D213" s="187">
        <v>252.70324659231724</v>
      </c>
      <c r="E213" s="187">
        <v>300.0296985815603</v>
      </c>
      <c r="F213" s="187">
        <v>292.60290797126237</v>
      </c>
      <c r="G213" s="188">
        <v>290.59117750000001</v>
      </c>
      <c r="H213" s="187">
        <v>424.56546216286984</v>
      </c>
      <c r="I213" s="187">
        <v>47</v>
      </c>
    </row>
    <row r="214" spans="1:9" ht="15.75" customHeight="1" x14ac:dyDescent="0.25">
      <c r="A214" s="169">
        <v>38347</v>
      </c>
      <c r="B214" s="187">
        <v>290.82423747889692</v>
      </c>
      <c r="C214" s="187">
        <v>210.17061541607032</v>
      </c>
      <c r="D214" s="187">
        <v>251.80431226765802</v>
      </c>
      <c r="E214" s="187">
        <v>298.86808510638298</v>
      </c>
      <c r="F214" s="187">
        <v>292.56625384878549</v>
      </c>
      <c r="G214" s="188">
        <v>291.07317000000006</v>
      </c>
      <c r="H214" s="187">
        <v>421.95299816705943</v>
      </c>
      <c r="I214" s="187">
        <v>45.5</v>
      </c>
    </row>
    <row r="215" spans="1:9" ht="15.75" customHeight="1" x14ac:dyDescent="0.25">
      <c r="A215" s="169">
        <v>38354</v>
      </c>
      <c r="B215" s="187">
        <v>290.19807540799104</v>
      </c>
      <c r="C215" s="187">
        <v>207.82221631568183</v>
      </c>
      <c r="D215" s="187">
        <v>251.84021065675336</v>
      </c>
      <c r="E215" s="187">
        <v>295.04663120567375</v>
      </c>
      <c r="F215" s="187">
        <v>293.6309271296613</v>
      </c>
      <c r="G215" s="188">
        <v>291.52954249999999</v>
      </c>
      <c r="H215" s="187">
        <v>421.91031683686828</v>
      </c>
      <c r="I215" s="187">
        <v>45.5</v>
      </c>
    </row>
    <row r="216" spans="1:9" ht="15.75" customHeight="1" x14ac:dyDescent="0.25">
      <c r="A216" s="169">
        <v>38361</v>
      </c>
      <c r="B216" s="187">
        <v>289.12712436691055</v>
      </c>
      <c r="C216" s="187">
        <v>205.66469842567983</v>
      </c>
      <c r="D216" s="187">
        <v>248.96747211895911</v>
      </c>
      <c r="E216" s="187">
        <v>295.05407801418437</v>
      </c>
      <c r="F216" s="187">
        <v>292.28992131371882</v>
      </c>
      <c r="G216" s="188">
        <v>292.07826249999994</v>
      </c>
      <c r="H216" s="187">
        <v>422.4576852579209</v>
      </c>
      <c r="I216" s="187">
        <v>45.5</v>
      </c>
    </row>
    <row r="217" spans="1:9" ht="15.75" customHeight="1" x14ac:dyDescent="0.25">
      <c r="A217" s="169">
        <v>38368</v>
      </c>
      <c r="B217" s="187">
        <v>288.69732695554308</v>
      </c>
      <c r="C217" s="187">
        <v>203.35970353710897</v>
      </c>
      <c r="D217" s="187">
        <v>247.43066914498141</v>
      </c>
      <c r="E217" s="187">
        <v>297.0324468085106</v>
      </c>
      <c r="F217" s="187">
        <v>293.46172767704411</v>
      </c>
      <c r="G217" s="188">
        <v>292.04827999999998</v>
      </c>
      <c r="H217" s="187">
        <v>422.83927729772188</v>
      </c>
      <c r="I217" s="187">
        <v>44</v>
      </c>
    </row>
    <row r="218" spans="1:9" ht="15.75" customHeight="1" x14ac:dyDescent="0.25">
      <c r="A218" s="169">
        <v>38375</v>
      </c>
      <c r="B218" s="187">
        <v>287.08733258300509</v>
      </c>
      <c r="C218" s="187">
        <v>199.13981598855037</v>
      </c>
      <c r="D218" s="187">
        <v>246.01990086741017</v>
      </c>
      <c r="E218" s="187">
        <v>297.55806737588654</v>
      </c>
      <c r="F218" s="187">
        <v>292.33692439274722</v>
      </c>
      <c r="G218" s="188">
        <v>291.65744749999999</v>
      </c>
      <c r="H218" s="187">
        <v>422.60826132495419</v>
      </c>
      <c r="I218" s="187">
        <v>39.5</v>
      </c>
    </row>
    <row r="219" spans="1:9" ht="15.75" customHeight="1" x14ac:dyDescent="0.25">
      <c r="A219" s="169">
        <v>38382</v>
      </c>
      <c r="B219" s="187">
        <v>287.72370287000558</v>
      </c>
      <c r="C219" s="187">
        <v>199.74675730934368</v>
      </c>
      <c r="D219" s="187">
        <v>244.83320941759604</v>
      </c>
      <c r="E219" s="187">
        <v>298.89601063829781</v>
      </c>
      <c r="F219" s="187">
        <v>291.11301402668499</v>
      </c>
      <c r="G219" s="188">
        <v>290.73546250000004</v>
      </c>
      <c r="H219" s="187">
        <v>422.59084838963076</v>
      </c>
      <c r="I219" s="187">
        <v>38</v>
      </c>
    </row>
    <row r="220" spans="1:9" ht="15.75" customHeight="1" x14ac:dyDescent="0.25">
      <c r="A220" s="169">
        <v>38389</v>
      </c>
      <c r="B220" s="187">
        <v>286.51751266178951</v>
      </c>
      <c r="C220" s="187">
        <v>197.47845839296664</v>
      </c>
      <c r="D220" s="187">
        <v>244.86744733581165</v>
      </c>
      <c r="E220" s="187">
        <v>299.60656028368794</v>
      </c>
      <c r="F220" s="187">
        <v>292.59917550461853</v>
      </c>
      <c r="G220" s="188">
        <v>290.87237750000003</v>
      </c>
      <c r="H220" s="187">
        <v>423.01895784236712</v>
      </c>
      <c r="I220" s="187">
        <v>38</v>
      </c>
    </row>
    <row r="221" spans="1:9" ht="15.75" customHeight="1" x14ac:dyDescent="0.25">
      <c r="A221" s="169">
        <v>38396</v>
      </c>
      <c r="B221" s="187">
        <v>283.2782779966235</v>
      </c>
      <c r="C221" s="187">
        <v>196.03696381108153</v>
      </c>
      <c r="D221" s="187">
        <v>242.07649318463447</v>
      </c>
      <c r="E221" s="187">
        <v>301.05992907801414</v>
      </c>
      <c r="F221" s="187">
        <v>292.9631508723914</v>
      </c>
      <c r="G221" s="188">
        <v>291.18006750000001</v>
      </c>
      <c r="H221" s="187">
        <v>423.3049358470804</v>
      </c>
      <c r="I221" s="187">
        <v>39.5</v>
      </c>
    </row>
    <row r="222" spans="1:9" ht="15.75" customHeight="1" x14ac:dyDescent="0.25">
      <c r="A222" s="169">
        <v>38403</v>
      </c>
      <c r="B222" s="187">
        <v>282.93128306133929</v>
      </c>
      <c r="C222" s="187">
        <v>195.05105499897772</v>
      </c>
      <c r="D222" s="187">
        <v>241.81593556381662</v>
      </c>
      <c r="E222" s="187">
        <v>300.29015957446813</v>
      </c>
      <c r="F222" s="187">
        <v>292.26166267533353</v>
      </c>
      <c r="G222" s="188">
        <v>290.76474250000001</v>
      </c>
      <c r="H222" s="187">
        <v>421.65642838439379</v>
      </c>
      <c r="I222" s="187">
        <v>42.5</v>
      </c>
    </row>
    <row r="223" spans="1:9" ht="15.75" customHeight="1" x14ac:dyDescent="0.25">
      <c r="A223" s="169">
        <v>38410</v>
      </c>
      <c r="B223" s="187">
        <v>282.39013505908832</v>
      </c>
      <c r="C223" s="187">
        <v>195.52320179922307</v>
      </c>
      <c r="D223" s="187">
        <v>242.73195786864935</v>
      </c>
      <c r="E223" s="187">
        <v>299.0781914893617</v>
      </c>
      <c r="F223" s="187">
        <v>292.09478959972631</v>
      </c>
      <c r="G223" s="188">
        <v>290.66629000000006</v>
      </c>
      <c r="H223" s="187">
        <v>423.67034564021992</v>
      </c>
      <c r="I223" s="187">
        <v>45</v>
      </c>
    </row>
    <row r="224" spans="1:9" ht="15.75" customHeight="1" x14ac:dyDescent="0.25">
      <c r="A224" s="169">
        <v>38417</v>
      </c>
      <c r="B224" s="187">
        <v>281.77116488463696</v>
      </c>
      <c r="C224" s="187">
        <v>198.58297485176857</v>
      </c>
      <c r="D224" s="187">
        <v>243.94986369268898</v>
      </c>
      <c r="E224" s="187">
        <v>297.6406028368794</v>
      </c>
      <c r="F224" s="187">
        <v>293.2120937393089</v>
      </c>
      <c r="G224" s="188">
        <v>291.28525500000001</v>
      </c>
      <c r="H224" s="187">
        <v>423.49878240377063</v>
      </c>
      <c r="I224" s="187">
        <v>48.5</v>
      </c>
    </row>
    <row r="225" spans="1:9" ht="15.75" customHeight="1" x14ac:dyDescent="0.25">
      <c r="A225" s="169">
        <v>38424</v>
      </c>
      <c r="B225" s="187">
        <v>280.53470455824424</v>
      </c>
      <c r="C225" s="187">
        <v>197.70264158658756</v>
      </c>
      <c r="D225" s="187">
        <v>244.24603469640647</v>
      </c>
      <c r="E225" s="187">
        <v>295.71746453900715</v>
      </c>
      <c r="F225" s="187">
        <v>292.20344851180295</v>
      </c>
      <c r="G225" s="188">
        <v>289.65776</v>
      </c>
      <c r="H225" s="187">
        <v>422.30298507462692</v>
      </c>
      <c r="I225" s="187">
        <v>51</v>
      </c>
    </row>
    <row r="226" spans="1:9" ht="15.75" customHeight="1" x14ac:dyDescent="0.25">
      <c r="A226" s="169">
        <v>38431</v>
      </c>
      <c r="B226" s="187">
        <v>279.52857625211027</v>
      </c>
      <c r="C226" s="187">
        <v>197.05252300143118</v>
      </c>
      <c r="D226" s="187">
        <v>243.58021065675345</v>
      </c>
      <c r="E226" s="187">
        <v>294.47508865248227</v>
      </c>
      <c r="F226" s="187">
        <v>289.99404721176876</v>
      </c>
      <c r="G226" s="188">
        <v>288.99636499999997</v>
      </c>
      <c r="H226" s="187">
        <v>422.39990835297198</v>
      </c>
      <c r="I226" s="187">
        <v>51</v>
      </c>
    </row>
    <row r="227" spans="1:9" ht="15.75" customHeight="1" x14ac:dyDescent="0.25">
      <c r="A227" s="169">
        <v>38438</v>
      </c>
      <c r="B227" s="187">
        <v>278.24924029262803</v>
      </c>
      <c r="C227" s="187">
        <v>196.70815375178898</v>
      </c>
      <c r="D227" s="187">
        <v>243.60824039653036</v>
      </c>
      <c r="E227" s="187">
        <v>294.32774822695035</v>
      </c>
      <c r="F227" s="187">
        <v>287.98317139924734</v>
      </c>
      <c r="G227" s="188">
        <v>288.04651000000001</v>
      </c>
      <c r="H227" s="187">
        <v>422.30360041895784</v>
      </c>
      <c r="I227" s="187">
        <v>50</v>
      </c>
    </row>
    <row r="228" spans="1:9" ht="15.75" customHeight="1" x14ac:dyDescent="0.25">
      <c r="A228" s="169">
        <v>38445</v>
      </c>
      <c r="B228" s="187">
        <v>279.10669105233541</v>
      </c>
      <c r="C228" s="187">
        <v>196.7163504395829</v>
      </c>
      <c r="D228" s="187">
        <v>241.33695167286251</v>
      </c>
      <c r="E228" s="187">
        <v>295.85523049645388</v>
      </c>
      <c r="F228" s="187">
        <v>287.75898392062948</v>
      </c>
      <c r="G228" s="188">
        <v>287.64163250000001</v>
      </c>
      <c r="H228" s="187">
        <v>422.88177533385704</v>
      </c>
      <c r="I228" s="187">
        <v>48</v>
      </c>
    </row>
    <row r="229" spans="1:9" ht="15.75" customHeight="1" x14ac:dyDescent="0.25">
      <c r="A229" s="169">
        <v>38452</v>
      </c>
      <c r="B229" s="187">
        <v>278.34561057962856</v>
      </c>
      <c r="C229" s="187">
        <v>197.07885095072581</v>
      </c>
      <c r="D229" s="187">
        <v>242.86578686493186</v>
      </c>
      <c r="E229" s="187">
        <v>297.03900709219857</v>
      </c>
      <c r="F229" s="187">
        <v>285.81826548067056</v>
      </c>
      <c r="G229" s="188">
        <v>285.57069749999999</v>
      </c>
      <c r="H229" s="187">
        <v>426.21734747316054</v>
      </c>
      <c r="I229" s="187">
        <v>50.5</v>
      </c>
    </row>
    <row r="230" spans="1:9" ht="15.75" customHeight="1" x14ac:dyDescent="0.25">
      <c r="A230" s="169">
        <v>38459</v>
      </c>
      <c r="B230" s="187">
        <v>277.71194710185699</v>
      </c>
      <c r="C230" s="187">
        <v>196.61530566346352</v>
      </c>
      <c r="D230" s="187">
        <v>241.49627013630729</v>
      </c>
      <c r="E230" s="187">
        <v>297.23297872340424</v>
      </c>
      <c r="F230" s="187">
        <v>285.47561409510774</v>
      </c>
      <c r="G230" s="188">
        <v>284.47025000000002</v>
      </c>
      <c r="H230" s="187">
        <v>424.28427598847867</v>
      </c>
      <c r="I230" s="187">
        <v>52.5</v>
      </c>
    </row>
    <row r="231" spans="1:9" ht="15.75" customHeight="1" x14ac:dyDescent="0.25">
      <c r="A231" s="169">
        <v>38466</v>
      </c>
      <c r="B231" s="187">
        <v>276.8356949915588</v>
      </c>
      <c r="C231" s="187">
        <v>197.25251482314451</v>
      </c>
      <c r="D231" s="187">
        <v>242.37757125154897</v>
      </c>
      <c r="E231" s="187">
        <v>297.64937943262413</v>
      </c>
      <c r="F231" s="187">
        <v>284.66326377009926</v>
      </c>
      <c r="G231" s="188">
        <v>283.53696749999995</v>
      </c>
      <c r="H231" s="187">
        <v>424.45900759361092</v>
      </c>
      <c r="I231" s="187">
        <v>54.5</v>
      </c>
    </row>
    <row r="232" spans="1:9" ht="15.75" customHeight="1" x14ac:dyDescent="0.25">
      <c r="A232" s="169">
        <v>38473</v>
      </c>
      <c r="B232" s="187">
        <v>276.76077096229602</v>
      </c>
      <c r="C232" s="187">
        <v>197.34856062154975</v>
      </c>
      <c r="D232" s="187">
        <v>242.57767038413877</v>
      </c>
      <c r="E232" s="187">
        <v>296.52304964539007</v>
      </c>
      <c r="F232" s="187">
        <v>283.68342456380429</v>
      </c>
      <c r="G232" s="188">
        <v>282.79111499999999</v>
      </c>
      <c r="H232" s="187">
        <v>424.83262634197433</v>
      </c>
      <c r="I232" s="187">
        <v>55</v>
      </c>
    </row>
    <row r="233" spans="1:9" ht="15.75" customHeight="1" x14ac:dyDescent="0.25">
      <c r="A233" s="169">
        <v>38480</v>
      </c>
      <c r="B233" s="187">
        <v>276.15639842431057</v>
      </c>
      <c r="C233" s="187">
        <v>198.02515436516046</v>
      </c>
      <c r="D233" s="187">
        <v>240.27884758364317</v>
      </c>
      <c r="E233" s="187">
        <v>296.75452127659571</v>
      </c>
      <c r="F233" s="187">
        <v>283.88791994526173</v>
      </c>
      <c r="G233" s="188">
        <v>281.46861999999999</v>
      </c>
      <c r="H233" s="187">
        <v>425.2822728462948</v>
      </c>
      <c r="I233" s="187">
        <v>54.5</v>
      </c>
    </row>
    <row r="234" spans="1:9" ht="15.75" customHeight="1" x14ac:dyDescent="0.25">
      <c r="A234" s="169">
        <v>38487</v>
      </c>
      <c r="B234" s="187">
        <v>276.35020258863256</v>
      </c>
      <c r="C234" s="187">
        <v>197.87072173379676</v>
      </c>
      <c r="D234" s="187">
        <v>240.57208178438663</v>
      </c>
      <c r="E234" s="187">
        <v>295.48652482269506</v>
      </c>
      <c r="F234" s="187">
        <v>283.35639753677731</v>
      </c>
      <c r="G234" s="188">
        <v>282.22336749999999</v>
      </c>
      <c r="H234" s="187">
        <v>426.06901021209734</v>
      </c>
      <c r="I234" s="187">
        <v>55</v>
      </c>
    </row>
    <row r="235" spans="1:9" ht="15.75" customHeight="1" x14ac:dyDescent="0.25">
      <c r="A235" s="169">
        <v>38494</v>
      </c>
      <c r="B235" s="187">
        <v>276.8383736634778</v>
      </c>
      <c r="C235" s="187">
        <v>198.09457370680843</v>
      </c>
      <c r="D235" s="187">
        <v>242.80532837670384</v>
      </c>
      <c r="E235" s="187">
        <v>293.88289007092203</v>
      </c>
      <c r="F235" s="187">
        <v>281.734560383168</v>
      </c>
      <c r="G235" s="188">
        <v>281.05812500000002</v>
      </c>
      <c r="H235" s="187">
        <v>426.06901021209734</v>
      </c>
      <c r="I235" s="187">
        <v>57</v>
      </c>
    </row>
    <row r="236" spans="1:9" ht="15.75" customHeight="1" x14ac:dyDescent="0.25">
      <c r="A236" s="169">
        <v>38501</v>
      </c>
      <c r="B236" s="187">
        <v>277.64750703432753</v>
      </c>
      <c r="C236" s="187">
        <v>199.72781844203638</v>
      </c>
      <c r="D236" s="187">
        <v>241.62023543990091</v>
      </c>
      <c r="E236" s="187">
        <v>313.54246453900709</v>
      </c>
      <c r="F236" s="187">
        <v>282.2281354772494</v>
      </c>
      <c r="G236" s="188">
        <v>281.50081499999999</v>
      </c>
      <c r="H236" s="187">
        <v>424.4166142969363</v>
      </c>
      <c r="I236" s="187">
        <v>58</v>
      </c>
    </row>
    <row r="237" spans="1:9" ht="15.75" customHeight="1" x14ac:dyDescent="0.25">
      <c r="A237" s="169">
        <v>38508</v>
      </c>
      <c r="B237" s="187">
        <v>277.96034890264491</v>
      </c>
      <c r="C237" s="187">
        <v>201.57794111633612</v>
      </c>
      <c r="D237" s="187">
        <v>242.6123667905824</v>
      </c>
      <c r="E237" s="187">
        <v>316.45044326241134</v>
      </c>
      <c r="F237" s="187">
        <v>283.56671570304479</v>
      </c>
      <c r="G237" s="188">
        <v>281.2686425</v>
      </c>
      <c r="H237" s="187">
        <v>424.77487562189049</v>
      </c>
      <c r="I237" s="187">
        <v>58.5</v>
      </c>
    </row>
    <row r="238" spans="1:9" ht="15.75" customHeight="1" x14ac:dyDescent="0.25">
      <c r="A238" s="169">
        <v>38515</v>
      </c>
      <c r="B238" s="187">
        <v>278.4817445132245</v>
      </c>
      <c r="C238" s="187">
        <v>202.11793293804945</v>
      </c>
      <c r="D238" s="187">
        <v>242.47097893432468</v>
      </c>
      <c r="E238" s="187">
        <v>318.60753546099289</v>
      </c>
      <c r="F238" s="187">
        <v>280.96427984946973</v>
      </c>
      <c r="G238" s="188">
        <v>281.94673749999998</v>
      </c>
      <c r="H238" s="187">
        <v>424.89896569782655</v>
      </c>
      <c r="I238" s="187">
        <v>56</v>
      </c>
    </row>
    <row r="239" spans="1:9" ht="15.75" customHeight="1" x14ac:dyDescent="0.25">
      <c r="A239" s="169">
        <v>38522</v>
      </c>
      <c r="B239" s="187">
        <v>278.93235227912214</v>
      </c>
      <c r="C239" s="187">
        <v>202.8674545082805</v>
      </c>
      <c r="D239" s="187">
        <v>242.46004956629494</v>
      </c>
      <c r="E239" s="187">
        <v>320.11613475177307</v>
      </c>
      <c r="F239" s="187">
        <v>281.40287718097846</v>
      </c>
      <c r="G239" s="188">
        <v>282.41540999999995</v>
      </c>
      <c r="H239" s="187">
        <v>425.11094527363184</v>
      </c>
      <c r="I239" s="187">
        <v>54</v>
      </c>
    </row>
    <row r="240" spans="1:9" ht="15.75" customHeight="1" x14ac:dyDescent="0.25">
      <c r="A240" s="169">
        <v>38529</v>
      </c>
      <c r="B240" s="187">
        <v>277.44198086662914</v>
      </c>
      <c r="C240" s="187">
        <v>205.62429564506235</v>
      </c>
      <c r="D240" s="187">
        <v>242.63758364312264</v>
      </c>
      <c r="E240" s="187">
        <v>320.78510638297871</v>
      </c>
      <c r="F240" s="187">
        <v>281.73320903181661</v>
      </c>
      <c r="G240" s="188">
        <v>280.69895500000001</v>
      </c>
      <c r="H240" s="187">
        <v>426.2205943964388</v>
      </c>
      <c r="I240" s="187">
        <v>54</v>
      </c>
    </row>
    <row r="241" spans="1:9" ht="15.75" customHeight="1" x14ac:dyDescent="0.25">
      <c r="A241" s="169">
        <v>38536</v>
      </c>
      <c r="B241" s="187">
        <v>276.70753517163757</v>
      </c>
      <c r="C241" s="187">
        <v>205.8413412390104</v>
      </c>
      <c r="D241" s="187">
        <v>244.21219330855018</v>
      </c>
      <c r="E241" s="187">
        <v>298.9206560283688</v>
      </c>
      <c r="F241" s="187">
        <v>280.46423879575775</v>
      </c>
      <c r="G241" s="188">
        <v>281.38380000000001</v>
      </c>
      <c r="H241" s="187">
        <v>426.14612463995803</v>
      </c>
      <c r="I241" s="187">
        <v>54</v>
      </c>
    </row>
    <row r="242" spans="1:9" ht="15.75" customHeight="1" x14ac:dyDescent="0.25">
      <c r="A242" s="169">
        <v>38543</v>
      </c>
      <c r="B242" s="187">
        <v>273.36047833427131</v>
      </c>
      <c r="C242" s="187">
        <v>203.30686567164179</v>
      </c>
      <c r="D242" s="187">
        <v>236.83043370508054</v>
      </c>
      <c r="E242" s="187">
        <v>300.90026595744683</v>
      </c>
      <c r="F242" s="187">
        <v>278.0977179209529</v>
      </c>
      <c r="G242" s="188">
        <v>282.12280062794355</v>
      </c>
      <c r="H242" s="187">
        <v>427.45217334380732</v>
      </c>
      <c r="I242" s="187">
        <v>53</v>
      </c>
    </row>
    <row r="243" spans="1:9" ht="15.75" customHeight="1" x14ac:dyDescent="0.25">
      <c r="A243" s="169">
        <v>38550</v>
      </c>
      <c r="B243" s="187">
        <v>273.26464265616204</v>
      </c>
      <c r="C243" s="187">
        <v>203.09822122265388</v>
      </c>
      <c r="D243" s="187">
        <v>237.27126394052044</v>
      </c>
      <c r="E243" s="187">
        <v>300.90026595744683</v>
      </c>
      <c r="F243" s="187">
        <v>278.40664049810505</v>
      </c>
      <c r="G243" s="188">
        <v>279.77218210361065</v>
      </c>
      <c r="H243" s="187">
        <v>425.54032469232783</v>
      </c>
      <c r="I243" s="187">
        <v>53</v>
      </c>
    </row>
    <row r="244" spans="1:9" ht="15.75" customHeight="1" x14ac:dyDescent="0.25">
      <c r="A244" s="169">
        <v>38557</v>
      </c>
      <c r="B244" s="187">
        <v>272.74585818795725</v>
      </c>
      <c r="C244" s="187">
        <v>203.47466366796155</v>
      </c>
      <c r="D244" s="187">
        <v>238.18588599752172</v>
      </c>
      <c r="E244" s="187">
        <v>295.59627659574465</v>
      </c>
      <c r="F244" s="187">
        <v>277.81482945316731</v>
      </c>
      <c r="G244" s="188">
        <v>279.57398744113033</v>
      </c>
      <c r="H244" s="187">
        <v>426.05483110761975</v>
      </c>
      <c r="I244" s="187">
        <v>54.5</v>
      </c>
    </row>
    <row r="245" spans="1:9" ht="15.75" customHeight="1" x14ac:dyDescent="0.25">
      <c r="A245" s="169">
        <v>38564</v>
      </c>
      <c r="B245" s="187">
        <v>271.8501238041643</v>
      </c>
      <c r="C245" s="187">
        <v>203.80850746268655</v>
      </c>
      <c r="D245" s="187">
        <v>241.13377942998761</v>
      </c>
      <c r="E245" s="187">
        <v>296.23794326241136</v>
      </c>
      <c r="F245" s="187">
        <v>277.37373308067134</v>
      </c>
      <c r="G245" s="188">
        <v>278.92547252747255</v>
      </c>
      <c r="H245" s="187">
        <v>419.93570306362921</v>
      </c>
      <c r="I245" s="187">
        <v>54.5</v>
      </c>
    </row>
    <row r="246" spans="1:9" ht="15.75" customHeight="1" x14ac:dyDescent="0.25">
      <c r="A246" s="169">
        <v>38571</v>
      </c>
      <c r="B246" s="187">
        <v>271.45727630838485</v>
      </c>
      <c r="C246" s="187">
        <v>204.94742792884892</v>
      </c>
      <c r="D246" s="187">
        <v>239.16936802973976</v>
      </c>
      <c r="E246" s="187">
        <v>301.14601063829787</v>
      </c>
      <c r="F246" s="187">
        <v>277.20381158635627</v>
      </c>
      <c r="G246" s="188">
        <v>280.6428257456829</v>
      </c>
      <c r="H246" s="187">
        <v>424.2344985598325</v>
      </c>
      <c r="I246" s="187">
        <v>54.5</v>
      </c>
    </row>
    <row r="247" spans="1:9" ht="15.75" customHeight="1" x14ac:dyDescent="0.25">
      <c r="A247" s="169">
        <v>38578</v>
      </c>
      <c r="B247" s="187">
        <v>270.59697242543609</v>
      </c>
      <c r="C247" s="187">
        <v>205.42714168881619</v>
      </c>
      <c r="D247" s="187">
        <v>240.31726146220569</v>
      </c>
      <c r="E247" s="187">
        <v>299.11824468085109</v>
      </c>
      <c r="F247" s="187">
        <v>279.53469951272336</v>
      </c>
      <c r="G247" s="188">
        <v>281.62500156985874</v>
      </c>
      <c r="H247" s="187">
        <v>424.19710657240114</v>
      </c>
      <c r="I247" s="187">
        <v>55</v>
      </c>
    </row>
    <row r="248" spans="1:9" ht="15.75" customHeight="1" x14ac:dyDescent="0.25">
      <c r="A248" s="169">
        <v>38585</v>
      </c>
      <c r="B248" s="187">
        <v>270.31128868880131</v>
      </c>
      <c r="C248" s="187">
        <v>205.489552238806</v>
      </c>
      <c r="D248" s="187">
        <v>240.25391573729866</v>
      </c>
      <c r="E248" s="187">
        <v>299.66434397163118</v>
      </c>
      <c r="F248" s="187">
        <v>277.58545749864641</v>
      </c>
      <c r="G248" s="188">
        <v>283.63045525902669</v>
      </c>
      <c r="H248" s="187">
        <v>424.78948677664312</v>
      </c>
      <c r="I248" s="187">
        <v>56</v>
      </c>
    </row>
    <row r="249" spans="1:9" ht="15.75" customHeight="1" x14ac:dyDescent="0.25">
      <c r="A249" s="169">
        <v>38592</v>
      </c>
      <c r="B249" s="187">
        <v>269.880776589758</v>
      </c>
      <c r="C249" s="187">
        <v>205.46831527295026</v>
      </c>
      <c r="D249" s="187">
        <v>239.43263940520444</v>
      </c>
      <c r="E249" s="187">
        <v>297.42054964539011</v>
      </c>
      <c r="F249" s="187">
        <v>278.80645370871684</v>
      </c>
      <c r="G249" s="188">
        <v>282.35664364207224</v>
      </c>
      <c r="H249" s="187">
        <v>424.6500523697303</v>
      </c>
      <c r="I249" s="187">
        <v>56</v>
      </c>
    </row>
    <row r="250" spans="1:9" ht="15.75" customHeight="1" x14ac:dyDescent="0.25">
      <c r="A250" s="169">
        <v>38599</v>
      </c>
      <c r="B250" s="187">
        <v>269.97101294316263</v>
      </c>
      <c r="C250" s="187">
        <v>205.21148640359846</v>
      </c>
      <c r="D250" s="187">
        <v>239.19748451053283</v>
      </c>
      <c r="E250" s="187">
        <v>304.27992907801422</v>
      </c>
      <c r="F250" s="187">
        <v>278.40243096913912</v>
      </c>
      <c r="G250" s="188">
        <v>282.42053061224487</v>
      </c>
      <c r="H250" s="187">
        <v>424.75471327572666</v>
      </c>
      <c r="I250" s="187">
        <v>55</v>
      </c>
    </row>
    <row r="251" spans="1:9" ht="15.75" customHeight="1" x14ac:dyDescent="0.25">
      <c r="A251" s="169">
        <v>38606</v>
      </c>
      <c r="B251" s="187">
        <v>270.7961001688239</v>
      </c>
      <c r="C251" s="187">
        <v>204.76122060928236</v>
      </c>
      <c r="D251" s="187">
        <v>240.8704956629492</v>
      </c>
      <c r="E251" s="187">
        <v>309.18799645390072</v>
      </c>
      <c r="F251" s="187">
        <v>278.52132647536547</v>
      </c>
      <c r="G251" s="188">
        <v>284.10831397174252</v>
      </c>
      <c r="H251" s="187">
        <v>424.94807541241153</v>
      </c>
      <c r="I251" s="187">
        <v>55.5</v>
      </c>
    </row>
    <row r="252" spans="1:9" ht="15.75" customHeight="1" x14ac:dyDescent="0.25">
      <c r="A252" s="169">
        <v>38613</v>
      </c>
      <c r="B252" s="187">
        <v>269.63884074282498</v>
      </c>
      <c r="C252" s="187">
        <v>204.73109997955427</v>
      </c>
      <c r="D252" s="187">
        <v>240.44053283767039</v>
      </c>
      <c r="E252" s="187">
        <v>296.40244680851066</v>
      </c>
      <c r="F252" s="187">
        <v>278.10133145275034</v>
      </c>
      <c r="G252" s="188">
        <v>284.14708006279437</v>
      </c>
      <c r="H252" s="187">
        <v>424.90394082220467</v>
      </c>
      <c r="I252" s="187">
        <v>55.25</v>
      </c>
    </row>
    <row r="253" spans="1:9" ht="15.75" customHeight="1" x14ac:dyDescent="0.25">
      <c r="A253" s="169">
        <v>38620</v>
      </c>
      <c r="B253" s="187">
        <v>269.25822734946541</v>
      </c>
      <c r="C253" s="187">
        <v>204.73199141279898</v>
      </c>
      <c r="D253" s="187">
        <v>244.23722428748451</v>
      </c>
      <c r="E253" s="187">
        <v>298.12948581560283</v>
      </c>
      <c r="F253" s="187">
        <v>278.22196050775739</v>
      </c>
      <c r="G253" s="188">
        <v>284.49495761381479</v>
      </c>
      <c r="H253" s="187">
        <v>425.26391725582607</v>
      </c>
      <c r="I253" s="187">
        <v>57.25</v>
      </c>
    </row>
    <row r="254" spans="1:9" ht="15.75" customHeight="1" x14ac:dyDescent="0.25">
      <c r="A254" s="169">
        <v>38627</v>
      </c>
      <c r="B254" s="187">
        <v>268.71928531232413</v>
      </c>
      <c r="C254" s="187">
        <v>205.01005520343489</v>
      </c>
      <c r="D254" s="187">
        <v>240.69090458488228</v>
      </c>
      <c r="E254" s="187">
        <v>298.25714539007095</v>
      </c>
      <c r="F254" s="187">
        <v>277.84059802538786</v>
      </c>
      <c r="G254" s="188">
        <v>283.90849293563582</v>
      </c>
      <c r="H254" s="187">
        <v>425.56413982717987</v>
      </c>
      <c r="I254" s="187">
        <v>58.75</v>
      </c>
    </row>
    <row r="255" spans="1:9" ht="15.75" customHeight="1" x14ac:dyDescent="0.25">
      <c r="A255" s="169">
        <v>38634</v>
      </c>
      <c r="B255" s="187">
        <v>268.63905458638158</v>
      </c>
      <c r="C255" s="187">
        <v>204.00773052545486</v>
      </c>
      <c r="D255" s="187">
        <v>239.52470879801731</v>
      </c>
      <c r="E255" s="187">
        <v>297.35812056737586</v>
      </c>
      <c r="F255" s="187">
        <v>278.5102708039492</v>
      </c>
      <c r="G255" s="188">
        <v>292.50146560319041</v>
      </c>
      <c r="H255" s="187">
        <v>420.60146635244831</v>
      </c>
      <c r="I255" s="187">
        <v>62</v>
      </c>
    </row>
    <row r="256" spans="1:9" ht="15.75" customHeight="1" x14ac:dyDescent="0.25">
      <c r="A256" s="169">
        <v>38641</v>
      </c>
      <c r="B256" s="187">
        <v>267.95620709060216</v>
      </c>
      <c r="C256" s="187">
        <v>203.62925577591491</v>
      </c>
      <c r="D256" s="187">
        <v>238.10244114002475</v>
      </c>
      <c r="E256" s="187">
        <v>301.04429078014186</v>
      </c>
      <c r="F256" s="187">
        <v>278.29838645980254</v>
      </c>
      <c r="G256" s="188">
        <v>293.44360917248264</v>
      </c>
      <c r="H256" s="187">
        <v>420.43833464257654</v>
      </c>
      <c r="I256" s="187">
        <v>71</v>
      </c>
    </row>
    <row r="257" spans="1:9" ht="15.75" customHeight="1" x14ac:dyDescent="0.25">
      <c r="A257" s="169">
        <v>38648</v>
      </c>
      <c r="B257" s="187">
        <v>267.43589195272932</v>
      </c>
      <c r="C257" s="187">
        <v>202.76494786342261</v>
      </c>
      <c r="D257" s="187">
        <v>238.20016109045844</v>
      </c>
      <c r="E257" s="187">
        <v>300.7575886524823</v>
      </c>
      <c r="F257" s="187">
        <v>278.55825387870243</v>
      </c>
      <c r="G257" s="188">
        <v>292.80708873379859</v>
      </c>
      <c r="H257" s="187">
        <v>420.91032992930087</v>
      </c>
      <c r="I257" s="187">
        <v>66.5</v>
      </c>
    </row>
    <row r="258" spans="1:9" ht="15.75" customHeight="1" x14ac:dyDescent="0.25">
      <c r="A258" s="169">
        <v>38655</v>
      </c>
      <c r="B258" s="187">
        <v>267.22634214969048</v>
      </c>
      <c r="C258" s="187">
        <v>202.30139848701694</v>
      </c>
      <c r="D258" s="187">
        <v>240.12235439900869</v>
      </c>
      <c r="E258" s="187">
        <v>304.4164539007092</v>
      </c>
      <c r="F258" s="187">
        <v>278.29441184767279</v>
      </c>
      <c r="G258" s="188">
        <v>293.00756729810564</v>
      </c>
      <c r="H258" s="187">
        <v>425.06664048180153</v>
      </c>
      <c r="I258" s="187">
        <v>66.5</v>
      </c>
    </row>
    <row r="259" spans="1:9" ht="15.75" customHeight="1" x14ac:dyDescent="0.25">
      <c r="A259" s="169">
        <v>38662</v>
      </c>
      <c r="B259" s="187">
        <v>266.62942037141249</v>
      </c>
      <c r="C259" s="187">
        <v>201.14150480474342</v>
      </c>
      <c r="D259" s="187">
        <v>238.24724907063197</v>
      </c>
      <c r="E259" s="187">
        <v>299.56982269503544</v>
      </c>
      <c r="F259" s="187">
        <v>277.61645980253877</v>
      </c>
      <c r="G259" s="188">
        <v>292.82708873379863</v>
      </c>
      <c r="H259" s="187">
        <v>425.04857292484945</v>
      </c>
      <c r="I259" s="187">
        <v>66.5</v>
      </c>
    </row>
    <row r="260" spans="1:9" ht="15.75" customHeight="1" x14ac:dyDescent="0.25">
      <c r="A260" s="169">
        <v>38669</v>
      </c>
      <c r="B260" s="187">
        <v>266.06016882386047</v>
      </c>
      <c r="C260" s="187">
        <v>199.94726845225921</v>
      </c>
      <c r="D260" s="187">
        <v>236.00506815365554</v>
      </c>
      <c r="E260" s="187">
        <v>302.81911347517729</v>
      </c>
      <c r="F260" s="187">
        <v>277.60700705218619</v>
      </c>
      <c r="G260" s="188">
        <v>295.12378863409771</v>
      </c>
      <c r="H260" s="187">
        <v>425.29679235401937</v>
      </c>
      <c r="I260" s="187">
        <v>66.5</v>
      </c>
    </row>
    <row r="261" spans="1:9" ht="15.75" customHeight="1" x14ac:dyDescent="0.25">
      <c r="A261" s="169">
        <v>38676</v>
      </c>
      <c r="B261" s="187">
        <v>265.8244850872257</v>
      </c>
      <c r="C261" s="187">
        <v>197.55821917808214</v>
      </c>
      <c r="D261" s="187">
        <v>238.09763320941758</v>
      </c>
      <c r="E261" s="187">
        <v>302.04092198581566</v>
      </c>
      <c r="F261" s="187">
        <v>278.81430183356838</v>
      </c>
      <c r="G261" s="188">
        <v>291.62731804586235</v>
      </c>
      <c r="H261" s="187">
        <v>425.39190887666928</v>
      </c>
      <c r="I261" s="187">
        <v>66</v>
      </c>
    </row>
    <row r="262" spans="1:9" ht="15.75" customHeight="1" x14ac:dyDescent="0.25">
      <c r="A262" s="169">
        <v>38683</v>
      </c>
      <c r="B262" s="187">
        <v>265.58268992684305</v>
      </c>
      <c r="C262" s="187">
        <v>198.37938253935801</v>
      </c>
      <c r="D262" s="187">
        <v>238.76488228004959</v>
      </c>
      <c r="E262" s="187">
        <v>299.88063829787234</v>
      </c>
      <c r="F262" s="187">
        <v>280.71456135401974</v>
      </c>
      <c r="G262" s="188">
        <v>294.01686939182451</v>
      </c>
      <c r="H262" s="187">
        <v>421.10920398009944</v>
      </c>
      <c r="I262" s="187">
        <v>63.5</v>
      </c>
    </row>
    <row r="263" spans="1:9" ht="15.75" customHeight="1" x14ac:dyDescent="0.25">
      <c r="A263" s="169">
        <v>38690</v>
      </c>
      <c r="B263" s="187">
        <v>266.36261114237482</v>
      </c>
      <c r="C263" s="187">
        <v>198.06215088938865</v>
      </c>
      <c r="D263" s="187">
        <v>235.76306071871127</v>
      </c>
      <c r="E263" s="187">
        <v>299.45741134751768</v>
      </c>
      <c r="F263" s="187">
        <v>279.82574612129758</v>
      </c>
      <c r="G263" s="188">
        <v>297.14039880358922</v>
      </c>
      <c r="H263" s="187">
        <v>422.11592039800996</v>
      </c>
      <c r="I263" s="187">
        <v>63</v>
      </c>
    </row>
    <row r="264" spans="1:9" ht="15.75" customHeight="1" x14ac:dyDescent="0.25">
      <c r="A264" s="169">
        <v>38697</v>
      </c>
      <c r="B264" s="187">
        <v>265.94042768711313</v>
      </c>
      <c r="C264" s="187">
        <v>198.00882437129422</v>
      </c>
      <c r="D264" s="187">
        <v>236.03641883519205</v>
      </c>
      <c r="E264" s="187">
        <v>300.12638297872343</v>
      </c>
      <c r="F264" s="187">
        <v>281.64752609308886</v>
      </c>
      <c r="G264" s="188">
        <v>301.14164506480557</v>
      </c>
      <c r="H264" s="187">
        <v>425.3523435454307</v>
      </c>
      <c r="I264" s="187">
        <v>63.5</v>
      </c>
    </row>
    <row r="265" spans="1:9" ht="15.75" customHeight="1" x14ac:dyDescent="0.25">
      <c r="A265" s="169">
        <v>38704</v>
      </c>
      <c r="B265" s="187">
        <v>265.78824423185142</v>
      </c>
      <c r="C265" s="187">
        <v>197.02598037211206</v>
      </c>
      <c r="D265" s="187">
        <v>237.28178438661709</v>
      </c>
      <c r="E265" s="187">
        <v>298.42664893617024</v>
      </c>
      <c r="F265" s="187">
        <v>281.4328349788434</v>
      </c>
      <c r="G265" s="188">
        <v>304.40061814556333</v>
      </c>
      <c r="H265" s="187">
        <v>425.11009426551453</v>
      </c>
      <c r="I265" s="187">
        <v>63</v>
      </c>
    </row>
    <row r="266" spans="1:9" ht="15.75" customHeight="1" x14ac:dyDescent="0.25">
      <c r="A266" s="169">
        <v>38711</v>
      </c>
      <c r="B266" s="187">
        <v>265.84362971299947</v>
      </c>
      <c r="C266" s="187">
        <v>197.11803516663255</v>
      </c>
      <c r="D266" s="187">
        <v>237.32594795539035</v>
      </c>
      <c r="E266" s="187">
        <v>298.81273049645392</v>
      </c>
      <c r="F266" s="187">
        <v>281.33666854724964</v>
      </c>
      <c r="G266" s="188">
        <v>302.66274177467596</v>
      </c>
      <c r="H266" s="187">
        <v>425.35929562712749</v>
      </c>
      <c r="I266" s="187">
        <v>66</v>
      </c>
    </row>
    <row r="267" spans="1:9" ht="15.75" customHeight="1" x14ac:dyDescent="0.25">
      <c r="A267" s="169">
        <v>38718</v>
      </c>
      <c r="B267" s="187">
        <v>265.12070906021381</v>
      </c>
      <c r="C267" s="187">
        <v>197.10623389899811</v>
      </c>
      <c r="D267" s="187">
        <v>236.39557620817843</v>
      </c>
      <c r="E267" s="187">
        <v>297.37921985815603</v>
      </c>
      <c r="F267" s="187">
        <v>280.7795317348378</v>
      </c>
      <c r="G267" s="188">
        <v>300.3959322033898</v>
      </c>
      <c r="H267" s="187">
        <v>425.49358470803867</v>
      </c>
      <c r="I267" s="187">
        <v>66</v>
      </c>
    </row>
    <row r="268" spans="1:9" ht="15.75" customHeight="1" x14ac:dyDescent="0.25">
      <c r="A268" s="169">
        <v>38725</v>
      </c>
      <c r="B268" s="187">
        <v>264.19646032639281</v>
      </c>
      <c r="C268" s="187">
        <v>197.44366182784708</v>
      </c>
      <c r="D268" s="187">
        <v>238.95389095415123</v>
      </c>
      <c r="E268" s="187">
        <v>301.54322695035461</v>
      </c>
      <c r="F268" s="187">
        <v>281.15720169252467</v>
      </c>
      <c r="G268" s="188">
        <v>300.15941176470591</v>
      </c>
      <c r="H268" s="187">
        <v>425.56619533909395</v>
      </c>
      <c r="I268" s="187">
        <v>68</v>
      </c>
    </row>
    <row r="269" spans="1:9" ht="15.75" customHeight="1" x14ac:dyDescent="0.25">
      <c r="A269" s="169">
        <v>38732</v>
      </c>
      <c r="B269" s="187">
        <v>262.93773776027012</v>
      </c>
      <c r="C269" s="187">
        <v>196.97142711102026</v>
      </c>
      <c r="D269" s="187">
        <v>237.41588599752171</v>
      </c>
      <c r="E269" s="187">
        <v>298.49765957446806</v>
      </c>
      <c r="F269" s="187">
        <v>280.97113117066289</v>
      </c>
      <c r="G269" s="188">
        <v>305.21852442671985</v>
      </c>
      <c r="H269" s="187">
        <v>425.27126211050012</v>
      </c>
      <c r="I269" s="187">
        <v>65.5</v>
      </c>
    </row>
    <row r="270" spans="1:9" ht="15.75" customHeight="1" x14ac:dyDescent="0.25">
      <c r="A270" s="169">
        <v>38739</v>
      </c>
      <c r="B270" s="187">
        <v>261.66758581879571</v>
      </c>
      <c r="C270" s="187">
        <v>195.44117562870576</v>
      </c>
      <c r="D270" s="187">
        <v>236.8952168525403</v>
      </c>
      <c r="E270" s="187">
        <v>301.23498226950352</v>
      </c>
      <c r="F270" s="187">
        <v>280.6118730606488</v>
      </c>
      <c r="G270" s="188">
        <v>299.066221335992</v>
      </c>
      <c r="H270" s="187">
        <v>425.04540455616649</v>
      </c>
      <c r="I270" s="187">
        <v>62.75</v>
      </c>
    </row>
    <row r="271" spans="1:9" ht="15.75" customHeight="1" x14ac:dyDescent="0.25">
      <c r="A271" s="169">
        <v>38746</v>
      </c>
      <c r="B271" s="187">
        <v>262.10330894766463</v>
      </c>
      <c r="C271" s="187">
        <v>196.76030873032096</v>
      </c>
      <c r="D271" s="187">
        <v>234.32369268897153</v>
      </c>
      <c r="E271" s="187">
        <v>295.01627659574467</v>
      </c>
      <c r="F271" s="187">
        <v>280.33611283497885</v>
      </c>
      <c r="G271" s="188">
        <v>294.68487537387836</v>
      </c>
      <c r="H271" s="187">
        <v>425.20904687090859</v>
      </c>
      <c r="I271" s="187">
        <v>62.75</v>
      </c>
    </row>
    <row r="272" spans="1:9" ht="15.75" customHeight="1" x14ac:dyDescent="0.25">
      <c r="A272" s="169">
        <v>38753</v>
      </c>
      <c r="B272" s="187">
        <v>259.6939167135622</v>
      </c>
      <c r="C272" s="187">
        <v>197.41276426088734</v>
      </c>
      <c r="D272" s="187">
        <v>234.0402354399009</v>
      </c>
      <c r="E272" s="187">
        <v>295.51459219858151</v>
      </c>
      <c r="F272" s="187">
        <v>281.2745190409027</v>
      </c>
      <c r="G272" s="188">
        <v>294.45855433698904</v>
      </c>
      <c r="H272" s="187">
        <v>426.22772977219165</v>
      </c>
      <c r="I272" s="187">
        <v>67.5</v>
      </c>
    </row>
    <row r="273" spans="1:9" ht="15.75" customHeight="1" x14ac:dyDescent="0.25">
      <c r="A273" s="169">
        <v>38760</v>
      </c>
      <c r="B273" s="187">
        <v>259.29908835115367</v>
      </c>
      <c r="C273" s="187">
        <v>197.78507258229399</v>
      </c>
      <c r="D273" s="187">
        <v>237.37583643122682</v>
      </c>
      <c r="E273" s="187">
        <v>294.54526595744682</v>
      </c>
      <c r="F273" s="187">
        <v>281.7736897038082</v>
      </c>
      <c r="G273" s="188">
        <v>297.61952143569295</v>
      </c>
      <c r="H273" s="187">
        <v>425.92989002356637</v>
      </c>
      <c r="I273" s="187">
        <v>67.5</v>
      </c>
    </row>
    <row r="274" spans="1:9" ht="15.75" customHeight="1" x14ac:dyDescent="0.25">
      <c r="A274" s="169">
        <v>38767</v>
      </c>
      <c r="B274" s="187">
        <v>258.74518851997749</v>
      </c>
      <c r="C274" s="187">
        <v>199.39855448783482</v>
      </c>
      <c r="D274" s="187">
        <v>236.69163568773237</v>
      </c>
      <c r="E274" s="187">
        <v>297.07358156028369</v>
      </c>
      <c r="F274" s="187">
        <v>282.37366149506346</v>
      </c>
      <c r="G274" s="188">
        <v>297.53861415752738</v>
      </c>
      <c r="H274" s="187">
        <v>425.53686829012827</v>
      </c>
      <c r="I274" s="187">
        <v>69</v>
      </c>
    </row>
    <row r="275" spans="1:9" ht="15.75" customHeight="1" x14ac:dyDescent="0.25">
      <c r="A275" s="169">
        <v>38774</v>
      </c>
      <c r="B275" s="187">
        <v>258.36801913337092</v>
      </c>
      <c r="C275" s="187">
        <v>200.88245144142303</v>
      </c>
      <c r="D275" s="187">
        <v>236.24859975216859</v>
      </c>
      <c r="E275" s="187">
        <v>298.43200354609928</v>
      </c>
      <c r="F275" s="187">
        <v>280.4650803949225</v>
      </c>
      <c r="G275" s="188">
        <v>295.48582253240284</v>
      </c>
      <c r="H275" s="187">
        <v>425.77008379156848</v>
      </c>
      <c r="I275" s="187">
        <v>69.5</v>
      </c>
    </row>
    <row r="276" spans="1:9" ht="15.75" customHeight="1" x14ac:dyDescent="0.25">
      <c r="A276" s="169">
        <v>38781</v>
      </c>
      <c r="B276" s="187">
        <v>258.14292065278562</v>
      </c>
      <c r="C276" s="187">
        <v>200.30949090165609</v>
      </c>
      <c r="D276" s="187">
        <v>235.28401486988852</v>
      </c>
      <c r="E276" s="187">
        <v>298.40008865248228</v>
      </c>
      <c r="F276" s="187">
        <v>278.40006770098728</v>
      </c>
      <c r="G276" s="188">
        <v>296.13137587238288</v>
      </c>
      <c r="H276" s="187">
        <v>426.26611678449859</v>
      </c>
      <c r="I276" s="187">
        <v>72.25</v>
      </c>
    </row>
    <row r="277" spans="1:9" ht="15.75" customHeight="1" x14ac:dyDescent="0.25">
      <c r="A277" s="169">
        <v>38788</v>
      </c>
      <c r="B277" s="187">
        <v>257.37032076533484</v>
      </c>
      <c r="C277" s="187">
        <v>201.61209159681044</v>
      </c>
      <c r="D277" s="187">
        <v>236.18996282527883</v>
      </c>
      <c r="E277" s="187">
        <v>291.18085106382978</v>
      </c>
      <c r="F277" s="187">
        <v>279.4538674188999</v>
      </c>
      <c r="G277" s="188">
        <v>294.33612163509474</v>
      </c>
      <c r="H277" s="187">
        <v>425.82137994239332</v>
      </c>
      <c r="I277" s="187">
        <v>73</v>
      </c>
    </row>
    <row r="278" spans="1:9" ht="15.75" customHeight="1" x14ac:dyDescent="0.25">
      <c r="A278" s="169">
        <v>38795</v>
      </c>
      <c r="B278" s="187">
        <v>257.62011817670231</v>
      </c>
      <c r="C278" s="187">
        <v>202.02462277652833</v>
      </c>
      <c r="D278" s="187">
        <v>234.39026022304833</v>
      </c>
      <c r="E278" s="187">
        <v>288.00664893617022</v>
      </c>
      <c r="F278" s="187">
        <v>278.29739069111423</v>
      </c>
      <c r="G278" s="188">
        <v>289.05799601196412</v>
      </c>
      <c r="H278" s="187">
        <v>426.30273631840794</v>
      </c>
      <c r="I278" s="187">
        <v>70.5</v>
      </c>
    </row>
    <row r="279" spans="1:9" ht="15.75" customHeight="1" x14ac:dyDescent="0.25">
      <c r="A279" s="169">
        <v>38802</v>
      </c>
      <c r="B279" s="187">
        <v>256.88697242543611</v>
      </c>
      <c r="C279" s="187">
        <v>201.61675935391531</v>
      </c>
      <c r="D279" s="187">
        <v>231.86961586121438</v>
      </c>
      <c r="E279" s="187">
        <v>287.76090425531913</v>
      </c>
      <c r="F279" s="187">
        <v>279.19114245416074</v>
      </c>
      <c r="G279" s="188">
        <v>292.22584247258226</v>
      </c>
      <c r="H279" s="187">
        <v>422.67453521864365</v>
      </c>
      <c r="I279" s="187">
        <v>67.5</v>
      </c>
    </row>
    <row r="280" spans="1:9" ht="15.75" customHeight="1" x14ac:dyDescent="0.25">
      <c r="A280" s="169">
        <v>38809</v>
      </c>
      <c r="B280" s="187">
        <v>256.86915025323577</v>
      </c>
      <c r="C280" s="187">
        <v>201.46145573502349</v>
      </c>
      <c r="D280" s="187">
        <v>231.91866171003716</v>
      </c>
      <c r="E280" s="187">
        <v>286.69601063829788</v>
      </c>
      <c r="F280" s="187">
        <v>278.58242877291963</v>
      </c>
      <c r="G280" s="188">
        <v>288.72740777666996</v>
      </c>
      <c r="H280" s="187">
        <v>425.32187745483117</v>
      </c>
      <c r="I280" s="187">
        <v>66.5</v>
      </c>
    </row>
    <row r="281" spans="1:9" ht="15.75" customHeight="1" x14ac:dyDescent="0.25">
      <c r="A281" s="169">
        <v>38816</v>
      </c>
      <c r="B281" s="187">
        <v>255.0672537985368</v>
      </c>
      <c r="C281" s="187">
        <v>200.73561439378449</v>
      </c>
      <c r="D281" s="187">
        <v>231.57889714993806</v>
      </c>
      <c r="E281" s="187">
        <v>288.21143617021278</v>
      </c>
      <c r="F281" s="187">
        <v>277.31448236953457</v>
      </c>
      <c r="G281" s="188">
        <v>288.70956131605186</v>
      </c>
      <c r="H281" s="187">
        <v>425.50145326001564</v>
      </c>
      <c r="I281" s="187">
        <v>64.5</v>
      </c>
    </row>
    <row r="282" spans="1:9" ht="15.75" customHeight="1" x14ac:dyDescent="0.25">
      <c r="A282" s="169">
        <v>38823</v>
      </c>
      <c r="B282" s="187">
        <v>254.68154192459204</v>
      </c>
      <c r="C282" s="187">
        <v>201.61382743815167</v>
      </c>
      <c r="D282" s="187">
        <v>233.3262577447336</v>
      </c>
      <c r="E282" s="187">
        <v>285.50824468085108</v>
      </c>
      <c r="F282" s="187">
        <v>278.14922425952045</v>
      </c>
      <c r="G282" s="188">
        <v>288.85720837487543</v>
      </c>
      <c r="H282" s="187">
        <v>425.36178318931655</v>
      </c>
      <c r="I282" s="187">
        <v>63</v>
      </c>
    </row>
    <row r="283" spans="1:9" ht="15.75" customHeight="1" x14ac:dyDescent="0.25">
      <c r="A283" s="169">
        <v>38830</v>
      </c>
      <c r="B283" s="187">
        <v>253.96746764209345</v>
      </c>
      <c r="C283" s="187">
        <v>201.64379268043342</v>
      </c>
      <c r="D283" s="187">
        <v>231.67458488228007</v>
      </c>
      <c r="E283" s="187">
        <v>289.53998226950353</v>
      </c>
      <c r="F283" s="187">
        <v>277.59774330042313</v>
      </c>
      <c r="G283" s="188">
        <v>288.93400797607177</v>
      </c>
      <c r="H283" s="187">
        <v>425.26153443309761</v>
      </c>
      <c r="I283" s="187">
        <v>62.75</v>
      </c>
    </row>
    <row r="284" spans="1:9" ht="15.75" customHeight="1" x14ac:dyDescent="0.25">
      <c r="A284" s="169">
        <v>38837</v>
      </c>
      <c r="B284" s="187">
        <v>253.6522172200338</v>
      </c>
      <c r="C284" s="187">
        <v>201.0403066857493</v>
      </c>
      <c r="D284" s="187">
        <v>230.32251548946718</v>
      </c>
      <c r="E284" s="187">
        <v>291.93599290780139</v>
      </c>
      <c r="F284" s="187">
        <v>278.22007052186177</v>
      </c>
      <c r="G284" s="188">
        <v>291.14576271186439</v>
      </c>
      <c r="H284" s="187">
        <v>420.998153967007</v>
      </c>
      <c r="I284" s="187">
        <v>62</v>
      </c>
    </row>
    <row r="285" spans="1:9" ht="15.75" customHeight="1" x14ac:dyDescent="0.25">
      <c r="A285" s="169">
        <v>38844</v>
      </c>
      <c r="B285" s="187">
        <v>255.17359032076536</v>
      </c>
      <c r="C285" s="187">
        <v>200.65771212431</v>
      </c>
      <c r="D285" s="187">
        <v>231.57677819083025</v>
      </c>
      <c r="E285" s="187">
        <v>289.9032624113475</v>
      </c>
      <c r="F285" s="187">
        <v>280.99049647390694</v>
      </c>
      <c r="G285" s="188">
        <v>293.90827517447656</v>
      </c>
      <c r="H285" s="187">
        <v>425.01399581042148</v>
      </c>
      <c r="I285" s="187">
        <v>62</v>
      </c>
    </row>
    <row r="286" spans="1:9" ht="15.75" customHeight="1" x14ac:dyDescent="0.25">
      <c r="A286" s="169">
        <v>38851</v>
      </c>
      <c r="B286" s="187">
        <v>250.9194091164884</v>
      </c>
      <c r="C286" s="187">
        <v>200.3706011040687</v>
      </c>
      <c r="D286" s="187">
        <v>231.49014869888478</v>
      </c>
      <c r="E286" s="187">
        <v>291.0432446808511</v>
      </c>
      <c r="F286" s="187">
        <v>283.62297038081806</v>
      </c>
      <c r="G286" s="188">
        <v>296.02964107676968</v>
      </c>
      <c r="H286" s="187">
        <v>419.40679497250585</v>
      </c>
      <c r="I286" s="187">
        <v>61.5</v>
      </c>
    </row>
    <row r="287" spans="1:9" ht="15.75" customHeight="1" x14ac:dyDescent="0.25">
      <c r="A287" s="169">
        <v>38858</v>
      </c>
      <c r="B287" s="187">
        <v>250.52504220596515</v>
      </c>
      <c r="C287" s="187">
        <v>199.07126763443057</v>
      </c>
      <c r="D287" s="187">
        <v>231.04737298636928</v>
      </c>
      <c r="E287" s="187">
        <v>293.10476950354615</v>
      </c>
      <c r="F287" s="187">
        <v>277.0469675599436</v>
      </c>
      <c r="G287" s="188">
        <v>287.73572283150548</v>
      </c>
      <c r="H287" s="187">
        <v>424.67926158680285</v>
      </c>
      <c r="I287" s="187">
        <v>60</v>
      </c>
    </row>
    <row r="288" spans="1:9" ht="15.75" customHeight="1" x14ac:dyDescent="0.25">
      <c r="A288" s="169">
        <v>38865</v>
      </c>
      <c r="B288" s="187">
        <v>248.03781654473838</v>
      </c>
      <c r="C288" s="187">
        <v>198.66453485994683</v>
      </c>
      <c r="D288" s="187">
        <v>229.37913258983895</v>
      </c>
      <c r="E288" s="187">
        <v>287.17781914893612</v>
      </c>
      <c r="F288" s="187">
        <v>277.7003018335684</v>
      </c>
      <c r="G288" s="188">
        <v>282.4993220338983</v>
      </c>
      <c r="H288" s="187">
        <v>421.83757528148726</v>
      </c>
      <c r="I288" s="187">
        <v>59</v>
      </c>
    </row>
    <row r="289" spans="1:9" ht="15.75" customHeight="1" x14ac:dyDescent="0.25">
      <c r="A289" s="169">
        <v>38872</v>
      </c>
      <c r="B289" s="187">
        <v>246.15093415869441</v>
      </c>
      <c r="C289" s="187">
        <v>198.7721099979554</v>
      </c>
      <c r="D289" s="187">
        <v>228.43916976456006</v>
      </c>
      <c r="E289" s="187">
        <v>288.30414893617024</v>
      </c>
      <c r="F289" s="187">
        <v>277.22776868829339</v>
      </c>
      <c r="G289" s="188">
        <v>285.39612163509469</v>
      </c>
      <c r="H289" s="187">
        <v>426.90597014925373</v>
      </c>
      <c r="I289" s="187">
        <v>58.75</v>
      </c>
    </row>
    <row r="290" spans="1:9" ht="15.75" customHeight="1" x14ac:dyDescent="0.25">
      <c r="A290" s="169">
        <v>38879</v>
      </c>
      <c r="B290" s="187">
        <v>244.67397298818236</v>
      </c>
      <c r="C290" s="187">
        <v>198.87155182989164</v>
      </c>
      <c r="D290" s="187">
        <v>228.15600991325897</v>
      </c>
      <c r="E290" s="187">
        <v>287.41946808510642</v>
      </c>
      <c r="F290" s="187">
        <v>278.99234978843447</v>
      </c>
      <c r="G290" s="188">
        <v>281.57554336989028</v>
      </c>
      <c r="H290" s="187">
        <v>416.42189054726367</v>
      </c>
      <c r="I290" s="187">
        <v>58</v>
      </c>
    </row>
    <row r="291" spans="1:9" ht="15.75" customHeight="1" x14ac:dyDescent="0.25">
      <c r="A291" s="169">
        <v>38886</v>
      </c>
      <c r="B291" s="187">
        <v>247.18519977490152</v>
      </c>
      <c r="C291" s="187">
        <v>199.02729707626253</v>
      </c>
      <c r="D291" s="187">
        <v>228.22189591078063</v>
      </c>
      <c r="E291" s="187">
        <v>280.6089539007092</v>
      </c>
      <c r="F291" s="187">
        <v>275.91204513399157</v>
      </c>
      <c r="G291" s="188">
        <v>280.08821535393815</v>
      </c>
      <c r="H291" s="187">
        <v>423.04878240377064</v>
      </c>
      <c r="I291" s="187">
        <v>57</v>
      </c>
    </row>
    <row r="292" spans="1:9" ht="15.75" customHeight="1" x14ac:dyDescent="0.25">
      <c r="A292" s="169">
        <v>38893</v>
      </c>
      <c r="B292" s="187">
        <v>245.22241980866633</v>
      </c>
      <c r="C292" s="187">
        <v>199.37107340012264</v>
      </c>
      <c r="D292" s="187">
        <v>227.94874845105329</v>
      </c>
      <c r="E292" s="187">
        <v>291.9063829787234</v>
      </c>
      <c r="F292" s="187">
        <v>274.33497038081805</v>
      </c>
      <c r="G292" s="188">
        <v>275.13442671984046</v>
      </c>
      <c r="H292" s="187">
        <v>424.86064414768265</v>
      </c>
      <c r="I292" s="187">
        <v>59</v>
      </c>
    </row>
    <row r="293" spans="1:9" ht="15.75" customHeight="1" x14ac:dyDescent="0.25">
      <c r="A293" s="169">
        <v>38900</v>
      </c>
      <c r="B293" s="187">
        <v>243.70416432189083</v>
      </c>
      <c r="C293" s="187">
        <v>199.68675935391533</v>
      </c>
      <c r="D293" s="187">
        <v>228.48014869888473</v>
      </c>
      <c r="E293" s="187">
        <v>294.3092198581561</v>
      </c>
      <c r="F293" s="187">
        <v>272.96831029619182</v>
      </c>
      <c r="G293" s="188">
        <v>275.14450648055833</v>
      </c>
      <c r="H293" s="187">
        <v>422.84836344592827</v>
      </c>
      <c r="I293" s="187">
        <v>63</v>
      </c>
    </row>
    <row r="294" spans="1:9" ht="15.75" customHeight="1" x14ac:dyDescent="0.25">
      <c r="A294" s="169">
        <v>38907</v>
      </c>
      <c r="B294" s="187">
        <v>244.40817107484517</v>
      </c>
      <c r="C294" s="187">
        <v>201.0482682478021</v>
      </c>
      <c r="D294" s="187">
        <v>230.66168525402725</v>
      </c>
      <c r="E294" s="187">
        <v>288.58200354609932</v>
      </c>
      <c r="F294" s="187">
        <v>276.654832157969</v>
      </c>
      <c r="G294" s="188">
        <v>275.33964107676974</v>
      </c>
      <c r="H294" s="187">
        <v>418.51034302173349</v>
      </c>
      <c r="I294" s="187">
        <v>65.25</v>
      </c>
    </row>
    <row r="295" spans="1:9" ht="15.75" customHeight="1" x14ac:dyDescent="0.25">
      <c r="A295" s="169">
        <v>38914</v>
      </c>
      <c r="B295" s="187">
        <v>244.02190770962295</v>
      </c>
      <c r="C295" s="187">
        <v>200.90416479247597</v>
      </c>
      <c r="D295" s="187">
        <v>230.11819083023548</v>
      </c>
      <c r="E295" s="187">
        <v>281.58510638297872</v>
      </c>
      <c r="F295" s="187">
        <v>277.09108039492241</v>
      </c>
      <c r="G295" s="188">
        <v>274.92197407776666</v>
      </c>
      <c r="H295" s="187">
        <v>421.33515318146118</v>
      </c>
      <c r="I295" s="187">
        <v>66</v>
      </c>
    </row>
    <row r="296" spans="1:9" ht="15.75" customHeight="1" x14ac:dyDescent="0.25">
      <c r="A296" s="169">
        <v>38921</v>
      </c>
      <c r="B296" s="187">
        <v>244.11085537422619</v>
      </c>
      <c r="C296" s="187">
        <v>202.6840932324678</v>
      </c>
      <c r="D296" s="187">
        <v>229.44146220570011</v>
      </c>
      <c r="E296" s="187">
        <v>300.00735815602843</v>
      </c>
      <c r="F296" s="187">
        <v>277.63500141043727</v>
      </c>
      <c r="G296" s="188">
        <v>273.47251246261214</v>
      </c>
      <c r="H296" s="187">
        <v>420.5192720607489</v>
      </c>
      <c r="I296" s="187">
        <v>69.75</v>
      </c>
    </row>
    <row r="297" spans="1:9" ht="15.75" customHeight="1" x14ac:dyDescent="0.25">
      <c r="A297" s="169">
        <v>38928</v>
      </c>
      <c r="B297" s="187">
        <v>243.60459763646591</v>
      </c>
      <c r="C297" s="187">
        <v>203.33742588427728</v>
      </c>
      <c r="D297" s="187">
        <v>229.63325898389093</v>
      </c>
      <c r="E297" s="187">
        <v>280.03824468085105</v>
      </c>
      <c r="F297" s="187">
        <v>276.73216643159378</v>
      </c>
      <c r="G297" s="188">
        <v>274.69980059820534</v>
      </c>
      <c r="H297" s="187">
        <v>420.88884524744702</v>
      </c>
      <c r="I297" s="187">
        <v>70.25</v>
      </c>
    </row>
    <row r="298" spans="1:9" ht="15.75" customHeight="1" x14ac:dyDescent="0.25">
      <c r="A298" s="169">
        <v>38935</v>
      </c>
      <c r="B298" s="187">
        <v>242.81473832301634</v>
      </c>
      <c r="C298" s="187">
        <v>205.43183602535268</v>
      </c>
      <c r="D298" s="187">
        <v>230.54096654275099</v>
      </c>
      <c r="E298" s="187">
        <v>297.11067375886529</v>
      </c>
      <c r="F298" s="187">
        <v>283.92735684062058</v>
      </c>
      <c r="G298" s="188">
        <v>276.39444666001992</v>
      </c>
      <c r="H298" s="187">
        <v>421.25360041895777</v>
      </c>
      <c r="I298" s="187">
        <v>70.5</v>
      </c>
    </row>
    <row r="299" spans="1:9" ht="15.75" customHeight="1" x14ac:dyDescent="0.25">
      <c r="A299" s="169">
        <v>38942</v>
      </c>
      <c r="B299" s="187">
        <v>243.424231851435</v>
      </c>
      <c r="C299" s="187">
        <v>207.08934573706804</v>
      </c>
      <c r="D299" s="187">
        <v>228.92796778190834</v>
      </c>
      <c r="E299" s="187">
        <v>287.9836879432624</v>
      </c>
      <c r="F299" s="187">
        <v>276.11451622002824</v>
      </c>
      <c r="G299" s="188">
        <v>282.49526420737789</v>
      </c>
      <c r="H299" s="187">
        <v>418.83178842628956</v>
      </c>
      <c r="I299" s="187">
        <v>70.5</v>
      </c>
    </row>
    <row r="300" spans="1:9" ht="15.75" customHeight="1" x14ac:dyDescent="0.25">
      <c r="A300" s="169">
        <v>38949</v>
      </c>
      <c r="B300" s="187">
        <v>243.46401238041642</v>
      </c>
      <c r="C300" s="187">
        <v>208.59683909221016</v>
      </c>
      <c r="D300" s="187">
        <v>229.4691821561338</v>
      </c>
      <c r="E300" s="187">
        <v>281.51687943262408</v>
      </c>
      <c r="F300" s="187">
        <v>276.60289139633284</v>
      </c>
      <c r="G300" s="188">
        <v>284.94046859421735</v>
      </c>
      <c r="H300" s="187">
        <v>424.51269965959671</v>
      </c>
      <c r="I300" s="187">
        <v>73.25</v>
      </c>
    </row>
    <row r="301" spans="1:9" ht="15.75" customHeight="1" x14ac:dyDescent="0.25">
      <c r="A301" s="169">
        <v>38956</v>
      </c>
      <c r="B301" s="187">
        <v>243.21942599887453</v>
      </c>
      <c r="C301" s="187">
        <v>210.12612758127173</v>
      </c>
      <c r="D301" s="187">
        <v>230.32052044609662</v>
      </c>
      <c r="E301" s="187">
        <v>283.0821276595745</v>
      </c>
      <c r="F301" s="187">
        <v>278.63563328631875</v>
      </c>
      <c r="G301" s="188">
        <v>279.82116650049852</v>
      </c>
      <c r="H301" s="187">
        <v>423.18578161822461</v>
      </c>
      <c r="I301" s="187">
        <v>77.25</v>
      </c>
    </row>
    <row r="302" spans="1:9" ht="15.75" customHeight="1" x14ac:dyDescent="0.25">
      <c r="A302" s="169">
        <v>38963</v>
      </c>
      <c r="B302" s="187">
        <v>243.78133933595944</v>
      </c>
      <c r="C302" s="187">
        <v>211.83521365773873</v>
      </c>
      <c r="D302" s="187">
        <v>231.54438661710037</v>
      </c>
      <c r="E302" s="187">
        <v>292.47503546099296</v>
      </c>
      <c r="F302" s="187">
        <v>276.70669957686886</v>
      </c>
      <c r="G302" s="188">
        <v>283.68046859421736</v>
      </c>
      <c r="H302" s="187">
        <v>421.82182508510078</v>
      </c>
      <c r="I302" s="187">
        <v>78.25</v>
      </c>
    </row>
    <row r="303" spans="1:9" ht="15.75" customHeight="1" x14ac:dyDescent="0.25">
      <c r="A303" s="169">
        <v>38970</v>
      </c>
      <c r="B303" s="187">
        <v>244.04088351153632</v>
      </c>
      <c r="C303" s="187">
        <v>212.76604170926188</v>
      </c>
      <c r="D303" s="187">
        <v>232.05724907063194</v>
      </c>
      <c r="E303" s="187">
        <v>288.28372340425528</v>
      </c>
      <c r="F303" s="187">
        <v>277.1662679830747</v>
      </c>
      <c r="G303" s="188">
        <v>279.82245264207381</v>
      </c>
      <c r="H303" s="187">
        <v>418.53003404032467</v>
      </c>
      <c r="I303" s="187">
        <v>79.25</v>
      </c>
    </row>
    <row r="304" spans="1:9" ht="15.75" customHeight="1" x14ac:dyDescent="0.25">
      <c r="A304" s="169">
        <v>38977</v>
      </c>
      <c r="B304" s="187">
        <v>244.5242993809791</v>
      </c>
      <c r="C304" s="187">
        <v>215.20499488857081</v>
      </c>
      <c r="D304" s="187">
        <v>233.55884758364311</v>
      </c>
      <c r="E304" s="187">
        <v>278.37202127659572</v>
      </c>
      <c r="F304" s="187">
        <v>275.97096191819463</v>
      </c>
      <c r="G304" s="188">
        <v>282.02658025922238</v>
      </c>
      <c r="H304" s="187">
        <v>420.42098716941604</v>
      </c>
      <c r="I304" s="187">
        <v>79.25</v>
      </c>
    </row>
    <row r="305" spans="1:11" ht="15.75" customHeight="1" x14ac:dyDescent="0.25">
      <c r="A305" s="169">
        <v>38984</v>
      </c>
      <c r="B305" s="187">
        <v>244.70728756330891</v>
      </c>
      <c r="C305" s="187">
        <v>217.95420159476595</v>
      </c>
      <c r="D305" s="187">
        <v>234.35069392812892</v>
      </c>
      <c r="E305" s="187">
        <v>277.2729964539007</v>
      </c>
      <c r="F305" s="187">
        <v>278.78556558533148</v>
      </c>
      <c r="G305" s="188">
        <v>280.54518444666002</v>
      </c>
      <c r="H305" s="187">
        <v>424.18332024090074</v>
      </c>
      <c r="I305" s="187">
        <v>80.5</v>
      </c>
    </row>
    <row r="306" spans="1:11" ht="15.75" customHeight="1" x14ac:dyDescent="0.25">
      <c r="A306" s="169">
        <v>38991</v>
      </c>
      <c r="B306" s="187">
        <v>252.46016882386041</v>
      </c>
      <c r="C306" s="187">
        <v>218.88928848906156</v>
      </c>
      <c r="D306" s="187">
        <v>235.07972738537794</v>
      </c>
      <c r="E306" s="187">
        <v>279.77822695035456</v>
      </c>
      <c r="F306" s="187">
        <v>277.2910126939351</v>
      </c>
      <c r="G306" s="188">
        <v>279.7059222333001</v>
      </c>
      <c r="H306" s="187">
        <v>419.52737627651214</v>
      </c>
      <c r="I306" s="187">
        <v>81</v>
      </c>
    </row>
    <row r="307" spans="1:11" ht="15.75" customHeight="1" x14ac:dyDescent="0.25">
      <c r="A307" s="169">
        <v>38998</v>
      </c>
      <c r="B307" s="187">
        <v>251.19737197523912</v>
      </c>
      <c r="C307" s="187">
        <v>220.24949090165612</v>
      </c>
      <c r="D307" s="187">
        <v>234.708897149938</v>
      </c>
      <c r="E307" s="187">
        <v>279.87618794326238</v>
      </c>
      <c r="F307" s="187">
        <v>276.0574414668547</v>
      </c>
      <c r="G307" s="188">
        <v>281.94210368893317</v>
      </c>
      <c r="H307" s="187">
        <v>421.08133019114956</v>
      </c>
      <c r="I307" s="187">
        <v>81.5</v>
      </c>
    </row>
    <row r="308" spans="1:11" ht="15.75" customHeight="1" x14ac:dyDescent="0.25">
      <c r="A308" s="169">
        <v>39005</v>
      </c>
      <c r="B308" s="187">
        <v>253.22841868317391</v>
      </c>
      <c r="C308" s="187">
        <v>220.37069310979354</v>
      </c>
      <c r="D308" s="187">
        <v>237.48535315985129</v>
      </c>
      <c r="E308" s="187">
        <v>277.20757092198585</v>
      </c>
      <c r="F308" s="187">
        <v>279.11134837799722</v>
      </c>
      <c r="G308" s="188">
        <v>282.47776669990031</v>
      </c>
      <c r="H308" s="187">
        <v>422.30212097407701</v>
      </c>
      <c r="I308" s="187">
        <v>80</v>
      </c>
    </row>
    <row r="309" spans="1:11" ht="15.75" customHeight="1" x14ac:dyDescent="0.25">
      <c r="A309" s="169">
        <v>39012</v>
      </c>
      <c r="B309" s="187">
        <v>253.0117557681485</v>
      </c>
      <c r="C309" s="187">
        <v>223.67743815170721</v>
      </c>
      <c r="D309" s="187">
        <v>239.00204460966538</v>
      </c>
      <c r="E309" s="187">
        <v>277.20757092198585</v>
      </c>
      <c r="F309" s="187">
        <v>277.24234414668553</v>
      </c>
      <c r="G309" s="188">
        <v>285.51245264207375</v>
      </c>
      <c r="H309" s="187">
        <v>419.28049227546478</v>
      </c>
      <c r="I309" s="187">
        <v>77.5</v>
      </c>
    </row>
    <row r="310" spans="1:11" ht="15.75" customHeight="1" x14ac:dyDescent="0.25">
      <c r="A310" s="169">
        <v>39019</v>
      </c>
      <c r="B310" s="187">
        <v>254.35283624085534</v>
      </c>
      <c r="C310" s="187">
        <v>227.62670823962378</v>
      </c>
      <c r="D310" s="187">
        <v>241.69862453531596</v>
      </c>
      <c r="E310" s="187">
        <v>281.13948581560282</v>
      </c>
      <c r="F310" s="187">
        <v>281.80898730606486</v>
      </c>
      <c r="G310" s="188">
        <v>284.21644067796609</v>
      </c>
      <c r="H310" s="187">
        <v>423.20155799947628</v>
      </c>
      <c r="I310" s="187">
        <v>78.5</v>
      </c>
    </row>
    <row r="311" spans="1:11" ht="15.75" customHeight="1" x14ac:dyDescent="0.25">
      <c r="A311" s="169">
        <v>39026</v>
      </c>
      <c r="B311" s="187">
        <v>253.8247270680923</v>
      </c>
      <c r="C311" s="187">
        <v>225.90405847474958</v>
      </c>
      <c r="D311" s="187">
        <v>241.8220446096654</v>
      </c>
      <c r="E311" s="187">
        <v>277.25358156028369</v>
      </c>
      <c r="F311" s="187">
        <v>281.79208744710854</v>
      </c>
      <c r="G311" s="188">
        <v>285.48752741774678</v>
      </c>
      <c r="H311" s="187">
        <v>426.99203980099497</v>
      </c>
      <c r="I311" s="187">
        <v>79.25</v>
      </c>
    </row>
    <row r="312" spans="1:11" ht="15.75" customHeight="1" x14ac:dyDescent="0.25">
      <c r="A312" s="169">
        <v>39033</v>
      </c>
      <c r="B312" s="187">
        <v>255.92361845807542</v>
      </c>
      <c r="C312" s="187">
        <v>227.62362911470046</v>
      </c>
      <c r="D312" s="187">
        <v>242.98578686493181</v>
      </c>
      <c r="E312" s="187">
        <v>274.81156028368792</v>
      </c>
      <c r="F312" s="187">
        <v>278.65515091678418</v>
      </c>
      <c r="G312" s="188">
        <v>288.23000997008972</v>
      </c>
      <c r="H312" s="187">
        <v>425.09865147944487</v>
      </c>
      <c r="I312" s="187">
        <v>81</v>
      </c>
    </row>
    <row r="313" spans="1:11" ht="15.75" customHeight="1" x14ac:dyDescent="0.25">
      <c r="A313" s="169">
        <v>39040</v>
      </c>
      <c r="B313" s="187">
        <v>254.98195835678106</v>
      </c>
      <c r="C313" s="187">
        <v>229.9091801267634</v>
      </c>
      <c r="D313" s="187">
        <v>245.01038413878567</v>
      </c>
      <c r="E313" s="187">
        <v>267.23443262411348</v>
      </c>
      <c r="F313" s="187">
        <v>276.87891396332861</v>
      </c>
      <c r="G313" s="188">
        <v>286.93199401794618</v>
      </c>
      <c r="H313" s="187">
        <v>424.14416077507201</v>
      </c>
      <c r="I313" s="187">
        <v>85.75</v>
      </c>
    </row>
    <row r="314" spans="1:11" ht="15.75" customHeight="1" x14ac:dyDescent="0.25">
      <c r="A314" s="169">
        <v>39047</v>
      </c>
      <c r="B314" s="187">
        <v>256.46779403489023</v>
      </c>
      <c r="C314" s="187">
        <v>230.45226129625846</v>
      </c>
      <c r="D314" s="187">
        <v>245.85494423791823</v>
      </c>
      <c r="E314" s="187">
        <v>274.51803191489364</v>
      </c>
      <c r="F314" s="187">
        <v>282.43162482369536</v>
      </c>
      <c r="G314" s="188">
        <v>287.97921236291131</v>
      </c>
      <c r="H314" s="187">
        <v>425.22614558785023</v>
      </c>
      <c r="I314" s="187">
        <v>88.75</v>
      </c>
    </row>
    <row r="315" spans="1:11" ht="15.75" customHeight="1" x14ac:dyDescent="0.25">
      <c r="A315" s="169">
        <v>39054</v>
      </c>
      <c r="B315" s="187">
        <v>256.55503095104103</v>
      </c>
      <c r="C315" s="187">
        <v>231.04425270905742</v>
      </c>
      <c r="D315" s="187">
        <v>244.31995043370506</v>
      </c>
      <c r="E315" s="187">
        <v>273.94462765957445</v>
      </c>
      <c r="F315" s="187">
        <v>279.56215232722144</v>
      </c>
      <c r="G315" s="188">
        <v>289.65473579262215</v>
      </c>
      <c r="H315" s="187">
        <v>422.92867242733701</v>
      </c>
      <c r="I315" s="187">
        <v>93.75</v>
      </c>
    </row>
    <row r="316" spans="1:11" ht="15.75" customHeight="1" x14ac:dyDescent="0.25">
      <c r="A316" s="169">
        <v>39061</v>
      </c>
      <c r="B316" s="187">
        <v>258.09157006190202</v>
      </c>
      <c r="C316" s="187">
        <v>230.7425720711511</v>
      </c>
      <c r="D316" s="187">
        <v>247.1382527881041</v>
      </c>
      <c r="E316" s="187">
        <v>273.44631205673761</v>
      </c>
      <c r="F316" s="187">
        <v>284.88845698166432</v>
      </c>
      <c r="G316" s="188">
        <v>288.48010967098708</v>
      </c>
      <c r="H316" s="187">
        <v>424.82962817491489</v>
      </c>
      <c r="I316" s="187">
        <v>98.5</v>
      </c>
    </row>
    <row r="317" spans="1:11" s="30" customFormat="1" ht="15.75" customHeight="1" x14ac:dyDescent="0.25">
      <c r="A317" s="169">
        <v>39068</v>
      </c>
      <c r="B317" s="187">
        <v>255.79826111423748</v>
      </c>
      <c r="C317" s="187">
        <v>232.71703946023302</v>
      </c>
      <c r="D317" s="187">
        <v>248.09510532837675</v>
      </c>
      <c r="E317" s="187">
        <v>272.96400709219859</v>
      </c>
      <c r="F317" s="187">
        <v>281.69752327221437</v>
      </c>
      <c r="G317" s="188">
        <v>286.31547357926218</v>
      </c>
      <c r="H317" s="187">
        <v>421.07829274679227</v>
      </c>
      <c r="I317" s="187">
        <v>100.5</v>
      </c>
      <c r="K317" s="25"/>
    </row>
    <row r="318" spans="1:11" s="30" customFormat="1" ht="15.75" customHeight="1" x14ac:dyDescent="0.25">
      <c r="A318" s="169">
        <v>39075</v>
      </c>
      <c r="B318" s="187">
        <v>257.45511536297136</v>
      </c>
      <c r="C318" s="187">
        <v>232.69575342465754</v>
      </c>
      <c r="D318" s="187">
        <v>249.51359355638166</v>
      </c>
      <c r="E318" s="187">
        <v>272.96400709219859</v>
      </c>
      <c r="F318" s="187">
        <v>281.9800112834979</v>
      </c>
      <c r="G318" s="188">
        <v>288.81739780658023</v>
      </c>
      <c r="H318" s="187">
        <v>424.40181984812773</v>
      </c>
      <c r="I318" s="187">
        <v>101</v>
      </c>
      <c r="K318" s="25"/>
    </row>
    <row r="319" spans="1:11" s="30" customFormat="1" ht="15.75" customHeight="1" x14ac:dyDescent="0.25">
      <c r="A319" s="169">
        <v>39082</v>
      </c>
      <c r="B319" s="187">
        <v>256.26409679234666</v>
      </c>
      <c r="C319" s="187">
        <v>232.81169903905129</v>
      </c>
      <c r="D319" s="187">
        <v>250.19997521685252</v>
      </c>
      <c r="E319" s="187">
        <v>274.57500000000005</v>
      </c>
      <c r="F319" s="187">
        <v>282.27563046544429</v>
      </c>
      <c r="G319" s="188">
        <v>292.20015952143569</v>
      </c>
      <c r="H319" s="187">
        <v>423.55196386488609</v>
      </c>
      <c r="I319" s="187">
        <v>101</v>
      </c>
      <c r="K319" s="25"/>
    </row>
    <row r="320" spans="1:11" s="30" customFormat="1" ht="15.75" customHeight="1" x14ac:dyDescent="0.25">
      <c r="A320" s="169">
        <v>39089</v>
      </c>
      <c r="B320" s="187">
        <v>253.72882948790104</v>
      </c>
      <c r="C320" s="187">
        <v>234.37685544878349</v>
      </c>
      <c r="D320" s="187">
        <v>249.27505576208185</v>
      </c>
      <c r="E320" s="187">
        <v>271.87863475177301</v>
      </c>
      <c r="F320" s="187">
        <v>283.63874471086041</v>
      </c>
      <c r="G320" s="188">
        <v>295.99781655034894</v>
      </c>
      <c r="H320" s="187">
        <v>416.71125949201365</v>
      </c>
      <c r="I320" s="187">
        <v>101.6</v>
      </c>
      <c r="K320" s="25"/>
    </row>
    <row r="321" spans="1:11" s="30" customFormat="1" ht="15.75" customHeight="1" x14ac:dyDescent="0.25">
      <c r="A321" s="169">
        <v>39096</v>
      </c>
      <c r="B321" s="187">
        <v>252.60350028137313</v>
      </c>
      <c r="C321" s="187">
        <v>233.08891228787564</v>
      </c>
      <c r="D321" s="187">
        <v>249.45812887236681</v>
      </c>
      <c r="E321" s="187">
        <v>276.43173758865248</v>
      </c>
      <c r="F321" s="187">
        <v>282.37354583921018</v>
      </c>
      <c r="G321" s="188">
        <v>293.22802592223326</v>
      </c>
      <c r="H321" s="187">
        <v>424.07727153705156</v>
      </c>
      <c r="I321" s="187">
        <v>102</v>
      </c>
      <c r="K321" s="25"/>
    </row>
    <row r="322" spans="1:11" s="30" customFormat="1" ht="15.75" customHeight="1" x14ac:dyDescent="0.25">
      <c r="A322" s="169">
        <v>39103</v>
      </c>
      <c r="B322" s="187">
        <v>251.00615081598207</v>
      </c>
      <c r="C322" s="187">
        <v>233.25329380494784</v>
      </c>
      <c r="D322" s="187">
        <v>250.60770755886003</v>
      </c>
      <c r="E322" s="187">
        <v>280.43191489361703</v>
      </c>
      <c r="F322" s="187">
        <v>281.41890832157969</v>
      </c>
      <c r="G322" s="188">
        <v>287.64935194416751</v>
      </c>
      <c r="H322" s="187">
        <v>424.57783451165227</v>
      </c>
      <c r="I322" s="187">
        <v>103</v>
      </c>
      <c r="K322" s="25"/>
    </row>
    <row r="323" spans="1:11" s="30" customFormat="1" ht="15.75" customHeight="1" x14ac:dyDescent="0.25">
      <c r="A323" s="169">
        <v>39110</v>
      </c>
      <c r="B323" s="187">
        <v>250.82188519977493</v>
      </c>
      <c r="C323" s="187">
        <v>232.25459006338167</v>
      </c>
      <c r="D323" s="187">
        <v>250.40110285006205</v>
      </c>
      <c r="E323" s="187">
        <v>279.58546099290783</v>
      </c>
      <c r="F323" s="187">
        <v>283.21104372355433</v>
      </c>
      <c r="G323" s="188">
        <v>287.34793619142573</v>
      </c>
      <c r="H323" s="187">
        <v>424.24451427075144</v>
      </c>
      <c r="I323" s="187">
        <v>103.5</v>
      </c>
      <c r="K323" s="25"/>
    </row>
    <row r="324" spans="1:11" s="30" customFormat="1" ht="15.75" customHeight="1" x14ac:dyDescent="0.25">
      <c r="A324" s="169">
        <v>39117</v>
      </c>
      <c r="B324" s="187">
        <v>248.60385481148006</v>
      </c>
      <c r="C324" s="187">
        <v>232.87979963197708</v>
      </c>
      <c r="D324" s="187">
        <v>250.20007434944236</v>
      </c>
      <c r="E324" s="187">
        <v>274.75930851063828</v>
      </c>
      <c r="F324" s="187">
        <v>280.01734273624822</v>
      </c>
      <c r="G324" s="188">
        <v>284.81447657028912</v>
      </c>
      <c r="H324" s="187">
        <v>423.08887143231209</v>
      </c>
      <c r="I324" s="187">
        <v>104.5</v>
      </c>
      <c r="K324" s="25"/>
    </row>
    <row r="325" spans="1:11" s="30" customFormat="1" ht="15.75" customHeight="1" x14ac:dyDescent="0.25">
      <c r="A325" s="169">
        <v>39124</v>
      </c>
      <c r="B325" s="187">
        <v>249.2041136747327</v>
      </c>
      <c r="C325" s="187">
        <v>234.82360457984049</v>
      </c>
      <c r="D325" s="187">
        <v>251.09907063197028</v>
      </c>
      <c r="E325" s="187">
        <v>274.75930851063828</v>
      </c>
      <c r="F325" s="187">
        <v>283.73600846262337</v>
      </c>
      <c r="G325" s="188">
        <v>284.22721834496514</v>
      </c>
      <c r="H325" s="187">
        <v>420.94815396700699</v>
      </c>
      <c r="I325" s="187">
        <v>105</v>
      </c>
      <c r="K325" s="25"/>
    </row>
    <row r="326" spans="1:11" s="30" customFormat="1" ht="15.75" customHeight="1" x14ac:dyDescent="0.25">
      <c r="A326" s="169">
        <v>39131</v>
      </c>
      <c r="B326" s="187">
        <v>248.09418120427691</v>
      </c>
      <c r="C326" s="187">
        <v>235.9356021263545</v>
      </c>
      <c r="D326" s="187">
        <v>251.47246592317219</v>
      </c>
      <c r="E326" s="187">
        <v>273.22340425531917</v>
      </c>
      <c r="F326" s="187">
        <v>281.84399717912549</v>
      </c>
      <c r="G326" s="188">
        <v>285.71295114656027</v>
      </c>
      <c r="H326" s="187">
        <v>426.34916208431525</v>
      </c>
      <c r="I326" s="187">
        <v>105</v>
      </c>
      <c r="K326" s="25"/>
    </row>
    <row r="327" spans="1:11" s="30" customFormat="1" ht="15.75" customHeight="1" x14ac:dyDescent="0.25">
      <c r="A327" s="169">
        <v>39138</v>
      </c>
      <c r="B327" s="187">
        <v>251.43036578503094</v>
      </c>
      <c r="C327" s="187">
        <v>237.68778981803314</v>
      </c>
      <c r="D327" s="187">
        <v>253.20894671623299</v>
      </c>
      <c r="E327" s="187">
        <v>272.33599290780143</v>
      </c>
      <c r="F327" s="187">
        <v>280.75228772919604</v>
      </c>
      <c r="G327" s="188">
        <v>288.66056829511467</v>
      </c>
      <c r="H327" s="187">
        <v>424.16653574234084</v>
      </c>
      <c r="I327" s="187">
        <v>107.5</v>
      </c>
      <c r="K327" s="25"/>
    </row>
    <row r="328" spans="1:11" s="30" customFormat="1" ht="15.75" customHeight="1" x14ac:dyDescent="0.25">
      <c r="A328" s="169">
        <v>39145</v>
      </c>
      <c r="B328" s="187">
        <v>249.79532357906587</v>
      </c>
      <c r="C328" s="187">
        <v>240.02533428746676</v>
      </c>
      <c r="D328" s="187">
        <v>255.56975216852541</v>
      </c>
      <c r="E328" s="187">
        <v>271.87863475177301</v>
      </c>
      <c r="F328" s="187">
        <v>282.26147813822286</v>
      </c>
      <c r="G328" s="188">
        <v>292.15129611166503</v>
      </c>
      <c r="H328" s="187">
        <v>418.56064414768252</v>
      </c>
      <c r="I328" s="187">
        <v>114.5</v>
      </c>
      <c r="K328" s="25"/>
    </row>
    <row r="329" spans="1:11" s="30" customFormat="1" ht="15.75" customHeight="1" x14ac:dyDescent="0.25">
      <c r="A329" s="169">
        <v>39152</v>
      </c>
      <c r="B329" s="187">
        <v>253.80694991558812</v>
      </c>
      <c r="C329" s="187">
        <v>246.85893273359233</v>
      </c>
      <c r="D329" s="187">
        <v>255.1270879801734</v>
      </c>
      <c r="E329" s="187">
        <v>273.00496453900712</v>
      </c>
      <c r="F329" s="187">
        <v>281.55859520451338</v>
      </c>
      <c r="G329" s="188">
        <v>293.29628115653043</v>
      </c>
      <c r="H329" s="187">
        <v>424.13951296150822</v>
      </c>
      <c r="I329" s="187">
        <v>119.5</v>
      </c>
      <c r="K329" s="25"/>
    </row>
    <row r="330" spans="1:11" s="30" customFormat="1" ht="15.75" customHeight="1" x14ac:dyDescent="0.25">
      <c r="A330" s="169">
        <v>39159</v>
      </c>
      <c r="B330" s="187">
        <v>256.59235227912205</v>
      </c>
      <c r="C330" s="187">
        <v>253.10995910856673</v>
      </c>
      <c r="D330" s="187">
        <v>258.25650557620816</v>
      </c>
      <c r="E330" s="187">
        <v>271.1642375886525</v>
      </c>
      <c r="F330" s="187">
        <v>281.3294753173484</v>
      </c>
      <c r="G330" s="188">
        <v>293.16184446660014</v>
      </c>
      <c r="H330" s="187">
        <v>421.34802304268129</v>
      </c>
      <c r="I330" s="187">
        <v>127</v>
      </c>
      <c r="K330" s="25"/>
    </row>
    <row r="331" spans="1:11" s="30" customFormat="1" ht="15.75" customHeight="1" x14ac:dyDescent="0.25">
      <c r="A331" s="169">
        <v>39166</v>
      </c>
      <c r="B331" s="187">
        <v>258.33813731007314</v>
      </c>
      <c r="C331" s="187">
        <v>260.80905131874874</v>
      </c>
      <c r="D331" s="187">
        <v>264.2586864931846</v>
      </c>
      <c r="E331" s="187">
        <v>271.17585106382978</v>
      </c>
      <c r="F331" s="187">
        <v>280.68535119887161</v>
      </c>
      <c r="G331" s="188">
        <v>293.73695912263213</v>
      </c>
      <c r="H331" s="187">
        <v>425.29073055773756</v>
      </c>
      <c r="I331" s="187">
        <v>130</v>
      </c>
      <c r="K331" s="25"/>
    </row>
    <row r="332" spans="1:11" s="30" customFormat="1" ht="15.75" customHeight="1" x14ac:dyDescent="0.25">
      <c r="A332" s="169">
        <v>39173</v>
      </c>
      <c r="B332" s="187">
        <v>262.03352279122117</v>
      </c>
      <c r="C332" s="187">
        <v>266.99013085258639</v>
      </c>
      <c r="D332" s="187">
        <v>274.55827757125161</v>
      </c>
      <c r="E332" s="187">
        <v>272.53427304964538</v>
      </c>
      <c r="F332" s="187">
        <v>282.60839210155149</v>
      </c>
      <c r="G332" s="188">
        <v>293.1189531405783</v>
      </c>
      <c r="H332" s="187">
        <v>417.99582351400886</v>
      </c>
      <c r="I332" s="187">
        <v>130</v>
      </c>
      <c r="K332" s="25"/>
    </row>
    <row r="333" spans="1:11" s="30" customFormat="1" ht="15.75" customHeight="1" x14ac:dyDescent="0.25">
      <c r="A333" s="169">
        <v>39180</v>
      </c>
      <c r="B333" s="187">
        <v>263.85711311198645</v>
      </c>
      <c r="C333" s="187">
        <v>277.1795133919444</v>
      </c>
      <c r="D333" s="187">
        <v>282.6742874845105</v>
      </c>
      <c r="E333" s="187">
        <v>272.53427304964538</v>
      </c>
      <c r="F333" s="187">
        <v>282.85527785613544</v>
      </c>
      <c r="G333" s="188">
        <v>294.3011266201396</v>
      </c>
      <c r="H333" s="187">
        <v>427.43334642576593</v>
      </c>
      <c r="I333" s="187">
        <v>128.5</v>
      </c>
      <c r="K333" s="25"/>
    </row>
    <row r="334" spans="1:11" s="30" customFormat="1" ht="15.75" customHeight="1" x14ac:dyDescent="0.25">
      <c r="A334" s="169">
        <v>39187</v>
      </c>
      <c r="B334" s="187">
        <v>265.6342712436691</v>
      </c>
      <c r="C334" s="187">
        <v>284.14597628296877</v>
      </c>
      <c r="D334" s="187">
        <v>281.99846344485752</v>
      </c>
      <c r="E334" s="187">
        <v>272.53427304964538</v>
      </c>
      <c r="F334" s="187">
        <v>284.14794358251055</v>
      </c>
      <c r="G334" s="188">
        <v>297.17970089730807</v>
      </c>
      <c r="H334" s="187">
        <v>424.34501178318942</v>
      </c>
      <c r="I334" s="187">
        <v>126</v>
      </c>
      <c r="K334" s="25"/>
    </row>
    <row r="335" spans="1:11" s="30" customFormat="1" ht="15.75" customHeight="1" x14ac:dyDescent="0.25">
      <c r="A335" s="169">
        <v>39194</v>
      </c>
      <c r="B335" s="187">
        <v>270.09580191333708</v>
      </c>
      <c r="C335" s="187">
        <v>294.90943569822122</v>
      </c>
      <c r="D335" s="187">
        <v>292.67323420074354</v>
      </c>
      <c r="E335" s="187">
        <v>271.81069148936166</v>
      </c>
      <c r="F335" s="187">
        <v>280.86677009873057</v>
      </c>
      <c r="G335" s="188">
        <v>298.6669292123629</v>
      </c>
      <c r="H335" s="187">
        <v>424.48699921445416</v>
      </c>
      <c r="I335" s="187">
        <v>119</v>
      </c>
      <c r="K335" s="25"/>
    </row>
    <row r="336" spans="1:11" s="30" customFormat="1" ht="15.75" customHeight="1" x14ac:dyDescent="0.25">
      <c r="A336" s="169">
        <v>39201</v>
      </c>
      <c r="B336" s="187">
        <v>268.66868880135058</v>
      </c>
      <c r="C336" s="187">
        <v>303.88624412185646</v>
      </c>
      <c r="D336" s="187">
        <v>302.04184634448575</v>
      </c>
      <c r="E336" s="187">
        <v>272.00182624113472</v>
      </c>
      <c r="F336" s="187">
        <v>283.00012411847672</v>
      </c>
      <c r="G336" s="188">
        <v>301.89415752741769</v>
      </c>
      <c r="H336" s="187">
        <v>427.91074888714326</v>
      </c>
      <c r="I336" s="187">
        <v>126.5</v>
      </c>
      <c r="K336" s="25"/>
    </row>
    <row r="337" spans="1:11" s="30" customFormat="1" ht="15.75" customHeight="1" x14ac:dyDescent="0.25">
      <c r="A337" s="169">
        <v>39208</v>
      </c>
      <c r="B337" s="187">
        <v>273.54018570624652</v>
      </c>
      <c r="C337" s="187">
        <v>311.36726231854431</v>
      </c>
      <c r="D337" s="187">
        <v>307.55900867410156</v>
      </c>
      <c r="E337" s="187">
        <v>272.97531914893619</v>
      </c>
      <c r="F337" s="187">
        <v>281.96631593794075</v>
      </c>
      <c r="G337" s="188">
        <v>300.10712861415755</v>
      </c>
      <c r="H337" s="187">
        <v>423.71742602775595</v>
      </c>
      <c r="I337" s="187">
        <v>127</v>
      </c>
      <c r="K337" s="25"/>
    </row>
    <row r="338" spans="1:11" s="30" customFormat="1" ht="15.75" customHeight="1" x14ac:dyDescent="0.25">
      <c r="A338" s="169">
        <v>39215</v>
      </c>
      <c r="B338" s="187">
        <v>276.83364659538546</v>
      </c>
      <c r="C338" s="187">
        <v>318.29248415456954</v>
      </c>
      <c r="D338" s="187">
        <v>312.11375464684011</v>
      </c>
      <c r="E338" s="187">
        <v>276.23374113475177</v>
      </c>
      <c r="F338" s="187">
        <v>283.56337658674187</v>
      </c>
      <c r="G338" s="188">
        <v>301.31100697906282</v>
      </c>
      <c r="H338" s="187">
        <v>423.66704634721128</v>
      </c>
      <c r="I338" s="187">
        <v>125.5</v>
      </c>
      <c r="K338" s="25"/>
    </row>
    <row r="339" spans="1:11" s="30" customFormat="1" ht="15.75" customHeight="1" x14ac:dyDescent="0.25">
      <c r="A339" s="169">
        <v>39222</v>
      </c>
      <c r="B339" s="187">
        <v>280.57260551491277</v>
      </c>
      <c r="C339" s="187">
        <v>327.73964219995912</v>
      </c>
      <c r="D339" s="187">
        <v>322.29034696406438</v>
      </c>
      <c r="E339" s="187">
        <v>273.61246453900714</v>
      </c>
      <c r="F339" s="187">
        <v>283.41690550070518</v>
      </c>
      <c r="G339" s="188">
        <v>298.72294117647056</v>
      </c>
      <c r="H339" s="187">
        <v>425.08206336737368</v>
      </c>
      <c r="I339" s="187">
        <v>124</v>
      </c>
      <c r="K339" s="25"/>
    </row>
    <row r="340" spans="1:11" s="30" customFormat="1" ht="15.75" customHeight="1" x14ac:dyDescent="0.25">
      <c r="A340" s="169">
        <v>39229</v>
      </c>
      <c r="B340" s="187">
        <v>286.53341024198085</v>
      </c>
      <c r="C340" s="187">
        <v>336.18986096912698</v>
      </c>
      <c r="D340" s="187">
        <v>330.14213135068155</v>
      </c>
      <c r="E340" s="187">
        <v>276.31397163120567</v>
      </c>
      <c r="F340" s="187">
        <v>284.58808744710859</v>
      </c>
      <c r="G340" s="188">
        <v>300.05565304087736</v>
      </c>
      <c r="H340" s="187">
        <v>422.25315527625031</v>
      </c>
      <c r="I340" s="187">
        <v>122.5</v>
      </c>
      <c r="K340" s="25"/>
    </row>
    <row r="341" spans="1:11" s="30" customFormat="1" ht="15.75" customHeight="1" x14ac:dyDescent="0.25">
      <c r="A341" s="169">
        <v>39236</v>
      </c>
      <c r="B341" s="187">
        <v>291.45809229037701</v>
      </c>
      <c r="C341" s="187">
        <v>349.19295645062357</v>
      </c>
      <c r="D341" s="187">
        <v>335.41099132589846</v>
      </c>
      <c r="E341" s="187">
        <v>277.57265957446805</v>
      </c>
      <c r="F341" s="187">
        <v>283.53623131170662</v>
      </c>
      <c r="G341" s="188">
        <v>299.59946161515455</v>
      </c>
      <c r="H341" s="187">
        <v>425.31500392772978</v>
      </c>
      <c r="I341" s="187">
        <v>120</v>
      </c>
      <c r="K341" s="25"/>
    </row>
    <row r="342" spans="1:11" s="30" customFormat="1" ht="15.75" customHeight="1" x14ac:dyDescent="0.25">
      <c r="A342" s="169">
        <v>39243</v>
      </c>
      <c r="B342" s="187">
        <v>296.61093978615651</v>
      </c>
      <c r="C342" s="187">
        <v>348.66657943160902</v>
      </c>
      <c r="D342" s="187">
        <v>346.26827757125153</v>
      </c>
      <c r="E342" s="187">
        <v>279.03010638297872</v>
      </c>
      <c r="F342" s="187">
        <v>287.73670967741936</v>
      </c>
      <c r="G342" s="188">
        <v>299.75885343968093</v>
      </c>
      <c r="H342" s="187">
        <v>423.29624247185126</v>
      </c>
      <c r="I342" s="187">
        <v>117</v>
      </c>
      <c r="K342" s="25"/>
    </row>
    <row r="343" spans="1:11" s="30" customFormat="1" ht="15.75" customHeight="1" x14ac:dyDescent="0.25">
      <c r="A343" s="169">
        <v>39250</v>
      </c>
      <c r="B343" s="187">
        <v>310.85891389983118</v>
      </c>
      <c r="C343" s="187">
        <v>356.18475771825803</v>
      </c>
      <c r="D343" s="187">
        <v>352.9511771995044</v>
      </c>
      <c r="E343" s="187">
        <v>281.63895390070923</v>
      </c>
      <c r="F343" s="187">
        <v>287.86232258064513</v>
      </c>
      <c r="G343" s="188">
        <v>298.81032901296112</v>
      </c>
      <c r="H343" s="187">
        <v>427.13788949986906</v>
      </c>
      <c r="I343" s="187">
        <v>117</v>
      </c>
      <c r="K343" s="25"/>
    </row>
    <row r="344" spans="1:11" s="30" customFormat="1" ht="15.75" customHeight="1" x14ac:dyDescent="0.25">
      <c r="A344" s="169">
        <v>39257</v>
      </c>
      <c r="B344" s="187">
        <v>309.34373663477771</v>
      </c>
      <c r="C344" s="187">
        <v>361.65045798405225</v>
      </c>
      <c r="D344" s="187">
        <v>357.74529120198264</v>
      </c>
      <c r="E344" s="187">
        <v>286.89285460992909</v>
      </c>
      <c r="F344" s="187">
        <v>289.37720645161295</v>
      </c>
      <c r="G344" s="188">
        <v>307.46714855433697</v>
      </c>
      <c r="H344" s="187">
        <v>420.23737889499864</v>
      </c>
      <c r="I344" s="187">
        <v>117</v>
      </c>
      <c r="K344" s="25"/>
    </row>
    <row r="345" spans="1:11" s="30" customFormat="1" ht="15.75" customHeight="1" x14ac:dyDescent="0.25">
      <c r="A345" s="169">
        <v>39264</v>
      </c>
      <c r="B345" s="187">
        <v>317.86447945976369</v>
      </c>
      <c r="C345" s="187">
        <v>366.42818850950721</v>
      </c>
      <c r="D345" s="187">
        <v>351.31980173482026</v>
      </c>
      <c r="E345" s="187">
        <v>286.40287234042552</v>
      </c>
      <c r="F345" s="187">
        <v>291.10676129032259</v>
      </c>
      <c r="G345" s="188">
        <v>310.64439680957128</v>
      </c>
      <c r="H345" s="187">
        <v>428.20123068866189</v>
      </c>
      <c r="I345" s="187">
        <v>115.5</v>
      </c>
      <c r="K345" s="25"/>
    </row>
    <row r="346" spans="1:11" s="30" customFormat="1" ht="15.75" customHeight="1" x14ac:dyDescent="0.25">
      <c r="A346" s="169">
        <v>39271</v>
      </c>
      <c r="B346" s="187">
        <v>335.50769274057404</v>
      </c>
      <c r="C346" s="187">
        <v>373.70884072786748</v>
      </c>
      <c r="D346" s="187">
        <v>356.21806691449814</v>
      </c>
      <c r="E346" s="187">
        <v>291.74728723404257</v>
      </c>
      <c r="F346" s="187">
        <v>294.19060645161289</v>
      </c>
      <c r="G346" s="188">
        <v>312.71047856430704</v>
      </c>
      <c r="H346" s="187">
        <v>424.09780047132756</v>
      </c>
      <c r="I346" s="187">
        <v>114.5</v>
      </c>
      <c r="K346" s="25"/>
    </row>
    <row r="347" spans="1:11" s="30" customFormat="1" ht="15.75" customHeight="1" x14ac:dyDescent="0.25">
      <c r="A347" s="169">
        <v>39278</v>
      </c>
      <c r="B347" s="187">
        <v>343.24979741136747</v>
      </c>
      <c r="C347" s="187">
        <v>374.22280719689218</v>
      </c>
      <c r="D347" s="187">
        <v>360.40700123915747</v>
      </c>
      <c r="E347" s="187">
        <v>294.49569148936177</v>
      </c>
      <c r="F347" s="187">
        <v>297.17460645161293</v>
      </c>
      <c r="G347" s="188">
        <v>313.86419740777671</v>
      </c>
      <c r="H347" s="187">
        <v>431.85539408222047</v>
      </c>
      <c r="I347" s="187">
        <v>116.5</v>
      </c>
      <c r="K347" s="25"/>
    </row>
    <row r="348" spans="1:11" s="30" customFormat="1" ht="15.75" customHeight="1" x14ac:dyDescent="0.25">
      <c r="A348" s="169">
        <v>39285</v>
      </c>
      <c r="B348" s="187">
        <v>354.0559088351153</v>
      </c>
      <c r="C348" s="187">
        <v>371.52340421181765</v>
      </c>
      <c r="D348" s="187">
        <v>361.54192069392815</v>
      </c>
      <c r="E348" s="187">
        <v>295.32689716312063</v>
      </c>
      <c r="F348" s="187">
        <v>301.00447096774195</v>
      </c>
      <c r="G348" s="188">
        <v>313.1541674975075</v>
      </c>
      <c r="H348" s="187">
        <v>430.3416601204504</v>
      </c>
      <c r="I348" s="187">
        <v>116.5</v>
      </c>
      <c r="K348" s="25"/>
    </row>
    <row r="349" spans="1:11" s="30" customFormat="1" ht="15.75" customHeight="1" x14ac:dyDescent="0.25">
      <c r="A349" s="169">
        <v>39292</v>
      </c>
      <c r="B349" s="187">
        <v>361.86078221721993</v>
      </c>
      <c r="C349" s="187">
        <v>375.41048251891232</v>
      </c>
      <c r="D349" s="187">
        <v>367.883159851301</v>
      </c>
      <c r="E349" s="187">
        <v>304.44666666666672</v>
      </c>
      <c r="F349" s="187">
        <v>300.34825806451613</v>
      </c>
      <c r="G349" s="188">
        <v>319.28206380857426</v>
      </c>
      <c r="H349" s="187">
        <v>435.76190102120972</v>
      </c>
      <c r="I349" s="187">
        <v>113.5</v>
      </c>
      <c r="K349" s="25"/>
    </row>
    <row r="350" spans="1:11" s="30" customFormat="1" ht="15.75" customHeight="1" x14ac:dyDescent="0.25">
      <c r="A350" s="169">
        <v>39299</v>
      </c>
      <c r="B350" s="187">
        <v>366.86070906021382</v>
      </c>
      <c r="C350" s="187">
        <v>377.66503169086081</v>
      </c>
      <c r="D350" s="187">
        <v>384.75379182156144</v>
      </c>
      <c r="E350" s="187">
        <v>290.7847872340426</v>
      </c>
      <c r="F350" s="187">
        <v>303.69709032258066</v>
      </c>
      <c r="G350" s="188">
        <v>325.67485543369889</v>
      </c>
      <c r="H350" s="187">
        <v>433.16327572662993</v>
      </c>
      <c r="I350" s="187">
        <v>108</v>
      </c>
      <c r="K350" s="25"/>
    </row>
    <row r="351" spans="1:11" s="30" customFormat="1" ht="15.75" customHeight="1" x14ac:dyDescent="0.25">
      <c r="A351" s="169">
        <v>39306</v>
      </c>
      <c r="B351" s="187">
        <v>389.31813731007321</v>
      </c>
      <c r="C351" s="187">
        <v>381.16018401144953</v>
      </c>
      <c r="D351" s="187">
        <v>392.49503097893438</v>
      </c>
      <c r="E351" s="187">
        <v>302.62400709219861</v>
      </c>
      <c r="F351" s="187">
        <v>309.47240645161293</v>
      </c>
      <c r="G351" s="188">
        <v>337.25681954137582</v>
      </c>
      <c r="H351" s="187">
        <v>427.60119141136414</v>
      </c>
      <c r="I351" s="187">
        <v>104.5</v>
      </c>
      <c r="K351" s="25"/>
    </row>
    <row r="352" spans="1:11" s="30" customFormat="1" ht="15.75" customHeight="1" x14ac:dyDescent="0.25">
      <c r="A352" s="169">
        <v>39313</v>
      </c>
      <c r="B352" s="187">
        <v>398.00141812042767</v>
      </c>
      <c r="C352" s="187">
        <v>385.35863013698633</v>
      </c>
      <c r="D352" s="187">
        <v>388.75105328376708</v>
      </c>
      <c r="E352" s="187">
        <v>301.29812056737586</v>
      </c>
      <c r="F352" s="187">
        <v>311.40069677419353</v>
      </c>
      <c r="G352" s="188">
        <v>340.16901296111666</v>
      </c>
      <c r="H352" s="187">
        <v>432.28811207122277</v>
      </c>
      <c r="I352" s="187">
        <v>103.5</v>
      </c>
      <c r="K352" s="25"/>
    </row>
    <row r="353" spans="1:11" s="30" customFormat="1" ht="15.75" customHeight="1" x14ac:dyDescent="0.25">
      <c r="A353" s="169">
        <v>39320</v>
      </c>
      <c r="B353" s="187">
        <v>398.37665166010129</v>
      </c>
      <c r="C353" s="187">
        <v>377.92800040891422</v>
      </c>
      <c r="D353" s="187">
        <v>379.07536555142502</v>
      </c>
      <c r="E353" s="187">
        <v>320.1379255319149</v>
      </c>
      <c r="F353" s="187">
        <v>311.15538709677423</v>
      </c>
      <c r="G353" s="188">
        <v>344.57373878364899</v>
      </c>
      <c r="H353" s="187">
        <v>435.22453521864355</v>
      </c>
      <c r="I353" s="187">
        <v>103</v>
      </c>
      <c r="K353" s="25"/>
    </row>
    <row r="354" spans="1:11" s="30" customFormat="1" ht="15.75" customHeight="1" x14ac:dyDescent="0.25">
      <c r="A354" s="169">
        <v>39327</v>
      </c>
      <c r="B354" s="187">
        <v>405.23885762521098</v>
      </c>
      <c r="C354" s="187">
        <v>374.70982007769373</v>
      </c>
      <c r="D354" s="187">
        <v>388.32752168525411</v>
      </c>
      <c r="E354" s="187">
        <v>335.73083333333329</v>
      </c>
      <c r="F354" s="187">
        <v>311.14907741935485</v>
      </c>
      <c r="G354" s="188">
        <v>348.64233300099704</v>
      </c>
      <c r="H354" s="187">
        <v>437.75201623461629</v>
      </c>
      <c r="I354" s="187">
        <v>102</v>
      </c>
      <c r="K354" s="25"/>
    </row>
    <row r="355" spans="1:11" s="30" customFormat="1" ht="15.75" customHeight="1" x14ac:dyDescent="0.25">
      <c r="A355" s="169">
        <v>39334</v>
      </c>
      <c r="B355" s="187">
        <v>405.13864940911651</v>
      </c>
      <c r="C355" s="187">
        <v>381.79973420568388</v>
      </c>
      <c r="D355" s="187">
        <v>388.87340768277573</v>
      </c>
      <c r="E355" s="187">
        <v>314.45290780141841</v>
      </c>
      <c r="F355" s="187">
        <v>320.7462129032258</v>
      </c>
      <c r="G355" s="188">
        <v>360.35948155533401</v>
      </c>
      <c r="H355" s="187">
        <v>431.48654097931393</v>
      </c>
      <c r="I355" s="187">
        <v>97.5</v>
      </c>
      <c r="K355" s="25"/>
    </row>
    <row r="356" spans="1:11" s="30" customFormat="1" ht="15.75" customHeight="1" x14ac:dyDescent="0.25">
      <c r="A356" s="169">
        <v>39341</v>
      </c>
      <c r="B356" s="187">
        <v>408.01846933033198</v>
      </c>
      <c r="C356" s="187">
        <v>379.52059292578195</v>
      </c>
      <c r="D356" s="187">
        <v>390.95444857496909</v>
      </c>
      <c r="E356" s="187">
        <v>326.83464539007093</v>
      </c>
      <c r="F356" s="187">
        <v>327.54479354838708</v>
      </c>
      <c r="G356" s="188">
        <v>370.46897308075773</v>
      </c>
      <c r="H356" s="187">
        <v>442.90780308981408</v>
      </c>
      <c r="I356" s="187">
        <v>88.5</v>
      </c>
      <c r="K356" s="25"/>
    </row>
    <row r="357" spans="1:11" s="30" customFormat="1" ht="15.75" customHeight="1" x14ac:dyDescent="0.25">
      <c r="A357" s="169">
        <v>39348</v>
      </c>
      <c r="B357" s="187">
        <v>411.38277433877329</v>
      </c>
      <c r="C357" s="187">
        <v>371.18725822940092</v>
      </c>
      <c r="D357" s="187">
        <v>387.6277199504338</v>
      </c>
      <c r="E357" s="187">
        <v>329.44909574468085</v>
      </c>
      <c r="F357" s="187">
        <v>333.27666451612907</v>
      </c>
      <c r="G357" s="188">
        <v>390.05109670987036</v>
      </c>
      <c r="H357" s="187">
        <v>455.65636292223093</v>
      </c>
      <c r="I357" s="187">
        <v>79.5</v>
      </c>
      <c r="K357" s="25"/>
    </row>
    <row r="358" spans="1:11" s="30" customFormat="1" ht="15.75" customHeight="1" x14ac:dyDescent="0.25">
      <c r="A358" s="169">
        <v>39355</v>
      </c>
      <c r="B358" s="187">
        <v>410.50275182892511</v>
      </c>
      <c r="C358" s="187">
        <v>368.99191167450414</v>
      </c>
      <c r="D358" s="187">
        <v>390.28179677819088</v>
      </c>
      <c r="E358" s="187">
        <v>334.54147163120564</v>
      </c>
      <c r="F358" s="187">
        <v>339.22442580645162</v>
      </c>
      <c r="G358" s="188">
        <v>398.6976869391824</v>
      </c>
      <c r="H358" s="187">
        <v>466.53667190363967</v>
      </c>
      <c r="I358" s="187">
        <v>72.5</v>
      </c>
      <c r="K358" s="25"/>
    </row>
    <row r="359" spans="1:11" s="30" customFormat="1" ht="15.75" customHeight="1" x14ac:dyDescent="0.25">
      <c r="A359" s="169">
        <v>39362</v>
      </c>
      <c r="B359" s="187">
        <v>417.27548114800214</v>
      </c>
      <c r="C359" s="187">
        <v>362.80349826211409</v>
      </c>
      <c r="D359" s="187">
        <v>387.25926889714992</v>
      </c>
      <c r="E359" s="187">
        <v>352.34716312056742</v>
      </c>
      <c r="F359" s="187">
        <v>341.00622580645165</v>
      </c>
      <c r="G359" s="188">
        <v>407.82426719840475</v>
      </c>
      <c r="H359" s="187">
        <v>479.24588897617173</v>
      </c>
      <c r="I359" s="187">
        <v>71.5</v>
      </c>
      <c r="K359" s="25"/>
    </row>
    <row r="360" spans="1:11" s="30" customFormat="1" ht="15.75" customHeight="1" x14ac:dyDescent="0.25">
      <c r="A360" s="169">
        <v>39369</v>
      </c>
      <c r="B360" s="187">
        <v>421.15906021384353</v>
      </c>
      <c r="C360" s="187">
        <v>352.54991003884692</v>
      </c>
      <c r="D360" s="187">
        <v>392.80114002478308</v>
      </c>
      <c r="E360" s="187">
        <v>337.1860815602837</v>
      </c>
      <c r="F360" s="187">
        <v>340.15809677419355</v>
      </c>
      <c r="G360" s="188">
        <v>410.9998005982053</v>
      </c>
      <c r="H360" s="187">
        <v>487.9522911757004</v>
      </c>
      <c r="I360" s="187">
        <v>71.5</v>
      </c>
      <c r="K360" s="25"/>
    </row>
    <row r="361" spans="1:11" s="30" customFormat="1" ht="15.75" customHeight="1" x14ac:dyDescent="0.25">
      <c r="A361" s="169">
        <v>39376</v>
      </c>
      <c r="B361" s="187">
        <v>420.3440180078785</v>
      </c>
      <c r="C361" s="187">
        <v>361.04455121652012</v>
      </c>
      <c r="D361" s="187">
        <v>386.78887236679066</v>
      </c>
      <c r="E361" s="187">
        <v>365.00507092198586</v>
      </c>
      <c r="F361" s="187">
        <v>344.60806451612905</v>
      </c>
      <c r="G361" s="188">
        <v>419.93971086739782</v>
      </c>
      <c r="H361" s="187">
        <v>490.64414768263936</v>
      </c>
      <c r="I361" s="187">
        <v>75.5</v>
      </c>
      <c r="K361" s="25"/>
    </row>
    <row r="362" spans="1:11" s="30" customFormat="1" ht="15.75" customHeight="1" x14ac:dyDescent="0.25">
      <c r="A362" s="169">
        <v>39383</v>
      </c>
      <c r="B362" s="187">
        <v>409.39405740011262</v>
      </c>
      <c r="C362" s="187">
        <v>348.02991208341854</v>
      </c>
      <c r="D362" s="187">
        <v>382.39946716232959</v>
      </c>
      <c r="E362" s="187">
        <v>380.3436347517731</v>
      </c>
      <c r="F362" s="187">
        <v>353.17986451612899</v>
      </c>
      <c r="G362" s="188">
        <v>428.18934197407776</v>
      </c>
      <c r="H362" s="187">
        <v>479.64861220214709</v>
      </c>
      <c r="I362" s="187">
        <v>73.5</v>
      </c>
      <c r="K362" s="25"/>
    </row>
    <row r="363" spans="1:11" s="30" customFormat="1" ht="15.75" customHeight="1" x14ac:dyDescent="0.25">
      <c r="A363" s="169">
        <v>39390</v>
      </c>
      <c r="B363" s="187">
        <v>412.51733821046713</v>
      </c>
      <c r="C363" s="187">
        <v>335.04306276834996</v>
      </c>
      <c r="D363" s="187">
        <v>379.56996282527876</v>
      </c>
      <c r="E363" s="187">
        <v>381.90028368794327</v>
      </c>
      <c r="F363" s="187">
        <v>354.75284516129034</v>
      </c>
      <c r="G363" s="188">
        <v>428.20992023928216</v>
      </c>
      <c r="H363" s="187">
        <v>487.15151872217848</v>
      </c>
      <c r="I363" s="187">
        <v>67.5</v>
      </c>
      <c r="K363" s="25"/>
    </row>
    <row r="364" spans="1:11" s="30" customFormat="1" ht="15.75" customHeight="1" x14ac:dyDescent="0.25">
      <c r="A364" s="169">
        <v>39397</v>
      </c>
      <c r="B364" s="187">
        <v>398.58010129431625</v>
      </c>
      <c r="C364" s="187">
        <v>321.02628501328968</v>
      </c>
      <c r="D364" s="187">
        <v>370.33188351920688</v>
      </c>
      <c r="E364" s="187">
        <v>396.50923758865252</v>
      </c>
      <c r="F364" s="187">
        <v>358.35985806451617</v>
      </c>
      <c r="G364" s="188">
        <v>427.73800598205383</v>
      </c>
      <c r="H364" s="187">
        <v>485.81950772453519</v>
      </c>
      <c r="I364" s="187">
        <v>62.5</v>
      </c>
      <c r="K364" s="25"/>
    </row>
    <row r="365" spans="1:11" s="30" customFormat="1" ht="15.75" customHeight="1" x14ac:dyDescent="0.25">
      <c r="A365" s="169">
        <v>39404</v>
      </c>
      <c r="B365" s="187">
        <v>388.79514350028137</v>
      </c>
      <c r="C365" s="187">
        <v>310.87552238805966</v>
      </c>
      <c r="D365" s="187">
        <v>358.43982651796773</v>
      </c>
      <c r="E365" s="187">
        <v>386.05879432624113</v>
      </c>
      <c r="F365" s="187">
        <v>355.92791612903221</v>
      </c>
      <c r="G365" s="188">
        <v>428.83153539381851</v>
      </c>
      <c r="H365" s="187">
        <v>497.13280963603029</v>
      </c>
      <c r="I365" s="187">
        <v>63</v>
      </c>
      <c r="K365" s="25"/>
    </row>
    <row r="366" spans="1:11" s="30" customFormat="1" ht="15.75" customHeight="1" x14ac:dyDescent="0.25">
      <c r="A366" s="169">
        <v>39411</v>
      </c>
      <c r="B366" s="187">
        <v>385.00516601012941</v>
      </c>
      <c r="C366" s="187">
        <v>308.55712124309952</v>
      </c>
      <c r="D366" s="187">
        <v>347.75174721189586</v>
      </c>
      <c r="E366" s="187">
        <v>392.77661347517733</v>
      </c>
      <c r="F366" s="187">
        <v>352.13560645161294</v>
      </c>
      <c r="G366" s="188">
        <v>418.35907278165502</v>
      </c>
      <c r="H366" s="187">
        <v>493.15238282272838</v>
      </c>
      <c r="I366" s="187">
        <v>60.5</v>
      </c>
      <c r="K366" s="25"/>
    </row>
    <row r="367" spans="1:11" s="30" customFormat="1" ht="15.75" customHeight="1" x14ac:dyDescent="0.25">
      <c r="A367" s="169">
        <v>39418</v>
      </c>
      <c r="B367" s="187">
        <v>371.92782779966228</v>
      </c>
      <c r="C367" s="187">
        <v>307.38085258638307</v>
      </c>
      <c r="D367" s="187">
        <v>341.55451053283764</v>
      </c>
      <c r="E367" s="187">
        <v>382.23060283687943</v>
      </c>
      <c r="F367" s="187">
        <v>350.8166129032258</v>
      </c>
      <c r="G367" s="188">
        <v>418.313778664008</v>
      </c>
      <c r="H367" s="187">
        <v>489.77300340403241</v>
      </c>
      <c r="I367" s="187">
        <v>58.5</v>
      </c>
      <c r="K367" s="25"/>
    </row>
    <row r="368" spans="1:11" s="30" customFormat="1" ht="15.75" customHeight="1" x14ac:dyDescent="0.25">
      <c r="A368" s="169">
        <v>39425</v>
      </c>
      <c r="B368" s="187">
        <v>353.86414743950479</v>
      </c>
      <c r="C368" s="187">
        <v>298.11931506849317</v>
      </c>
      <c r="D368" s="187">
        <v>335.60116480793056</v>
      </c>
      <c r="E368" s="187">
        <v>376.33982269503548</v>
      </c>
      <c r="F368" s="187">
        <v>353.22558709677412</v>
      </c>
      <c r="G368" s="188">
        <v>415.186480558325</v>
      </c>
      <c r="H368" s="187">
        <v>523.91328881906259</v>
      </c>
      <c r="I368" s="187">
        <v>56.5</v>
      </c>
      <c r="K368" s="25"/>
    </row>
    <row r="369" spans="1:11" s="30" customFormat="1" ht="15.75" customHeight="1" x14ac:dyDescent="0.25">
      <c r="A369" s="169">
        <v>39432</v>
      </c>
      <c r="B369" s="187">
        <v>339.96626899268426</v>
      </c>
      <c r="C369" s="187">
        <v>293.28067061950514</v>
      </c>
      <c r="D369" s="187">
        <v>329.68596034696407</v>
      </c>
      <c r="E369" s="187">
        <v>382.26838652482269</v>
      </c>
      <c r="F369" s="187">
        <v>348.95504516129029</v>
      </c>
      <c r="G369" s="188">
        <v>408.98556331006984</v>
      </c>
      <c r="H369" s="187">
        <v>515.3884131971721</v>
      </c>
      <c r="I369" s="187">
        <v>57</v>
      </c>
      <c r="K369" s="25"/>
    </row>
    <row r="370" spans="1:11" s="30" customFormat="1" ht="15.75" customHeight="1" x14ac:dyDescent="0.25">
      <c r="A370" s="169">
        <v>39439</v>
      </c>
      <c r="B370" s="187">
        <v>332.39759144625776</v>
      </c>
      <c r="C370" s="187">
        <v>278.37979145369042</v>
      </c>
      <c r="D370" s="187">
        <v>317.70496902106566</v>
      </c>
      <c r="E370" s="187">
        <v>384.06804964539009</v>
      </c>
      <c r="F370" s="187">
        <v>345.94017419354839</v>
      </c>
      <c r="G370" s="188">
        <v>398.46169491525427</v>
      </c>
      <c r="H370" s="187">
        <v>515.62399842890807</v>
      </c>
      <c r="I370" s="187">
        <v>57</v>
      </c>
      <c r="K370" s="25"/>
    </row>
    <row r="371" spans="1:11" s="30" customFormat="1" ht="15.75" customHeight="1" x14ac:dyDescent="0.25">
      <c r="A371" s="169">
        <v>39446</v>
      </c>
      <c r="B371" s="187">
        <v>316.94691052335401</v>
      </c>
      <c r="C371" s="187">
        <v>270.30722347168268</v>
      </c>
      <c r="D371" s="187">
        <v>316.32581164807925</v>
      </c>
      <c r="E371" s="187">
        <v>382.73826241134753</v>
      </c>
      <c r="F371" s="187">
        <v>346.93109677419352</v>
      </c>
      <c r="G371" s="188">
        <v>401.61224327018942</v>
      </c>
      <c r="H371" s="187">
        <v>531.31559308719557</v>
      </c>
      <c r="I371" s="187">
        <v>57</v>
      </c>
      <c r="K371" s="25"/>
    </row>
    <row r="372" spans="1:11" s="30" customFormat="1" ht="15.75" customHeight="1" x14ac:dyDescent="0.25">
      <c r="A372" s="169">
        <v>39453</v>
      </c>
      <c r="B372" s="187">
        <v>302.7200450196961</v>
      </c>
      <c r="C372" s="187">
        <v>264.54773665916991</v>
      </c>
      <c r="D372" s="187">
        <v>305.11480793060718</v>
      </c>
      <c r="E372" s="187">
        <v>373.21991134751772</v>
      </c>
      <c r="F372" s="187">
        <v>344.94962580645159</v>
      </c>
      <c r="G372" s="188">
        <v>402.22728813559326</v>
      </c>
      <c r="H372" s="187">
        <v>510.45036658811205</v>
      </c>
      <c r="I372" s="187">
        <v>56</v>
      </c>
      <c r="K372" s="25"/>
    </row>
    <row r="373" spans="1:11" s="30" customFormat="1" ht="15.75" customHeight="1" x14ac:dyDescent="0.25">
      <c r="A373" s="169">
        <v>39460</v>
      </c>
      <c r="B373" s="187">
        <v>289.80959482273488</v>
      </c>
      <c r="C373" s="187">
        <v>256.30510938458389</v>
      </c>
      <c r="D373" s="187">
        <v>306.18469640644366</v>
      </c>
      <c r="E373" s="187">
        <v>371.81397163120567</v>
      </c>
      <c r="F373" s="187">
        <v>341.79040645161291</v>
      </c>
      <c r="G373" s="188">
        <v>391.68097706879365</v>
      </c>
      <c r="H373" s="187">
        <v>527.46318407960189</v>
      </c>
      <c r="I373" s="187">
        <v>55.5</v>
      </c>
      <c r="K373" s="25"/>
    </row>
    <row r="374" spans="1:11" s="30" customFormat="1" ht="15.75" customHeight="1" x14ac:dyDescent="0.25">
      <c r="A374" s="169">
        <v>39467</v>
      </c>
      <c r="B374" s="187">
        <v>295.49219471018569</v>
      </c>
      <c r="C374" s="187">
        <v>248.57841750153341</v>
      </c>
      <c r="D374" s="187">
        <v>297.9958488228005</v>
      </c>
      <c r="E374" s="187">
        <v>368.34136524822696</v>
      </c>
      <c r="F374" s="187">
        <v>334.02567096774197</v>
      </c>
      <c r="G374" s="188">
        <v>378.83936191425721</v>
      </c>
      <c r="H374" s="187">
        <v>526.10407174653039</v>
      </c>
      <c r="I374" s="187">
        <v>53.5</v>
      </c>
      <c r="K374" s="25"/>
    </row>
    <row r="375" spans="1:11" s="30" customFormat="1" ht="15.75" customHeight="1" x14ac:dyDescent="0.25">
      <c r="A375" s="169">
        <v>39474</v>
      </c>
      <c r="B375" s="187">
        <v>289.78456387169382</v>
      </c>
      <c r="C375" s="187">
        <v>253.92496626456756</v>
      </c>
      <c r="D375" s="187">
        <v>300.1846840148699</v>
      </c>
      <c r="E375" s="187">
        <v>371.52921985815607</v>
      </c>
      <c r="F375" s="187">
        <v>331.50723225806451</v>
      </c>
      <c r="G375" s="188">
        <v>378.79858424725819</v>
      </c>
      <c r="H375" s="187">
        <v>524.84256349829798</v>
      </c>
      <c r="I375" s="187">
        <v>54</v>
      </c>
      <c r="K375" s="25"/>
    </row>
    <row r="376" spans="1:11" s="30" customFormat="1" ht="15.75" customHeight="1" x14ac:dyDescent="0.25">
      <c r="A376" s="169">
        <v>39481</v>
      </c>
      <c r="B376" s="187">
        <v>295.28990433314578</v>
      </c>
      <c r="C376" s="187">
        <v>255.47147209159681</v>
      </c>
      <c r="D376" s="187">
        <v>299.99345724907067</v>
      </c>
      <c r="E376" s="187">
        <v>372.46893617021277</v>
      </c>
      <c r="F376" s="187">
        <v>326.05127096774197</v>
      </c>
      <c r="G376" s="188">
        <v>376.27828514456627</v>
      </c>
      <c r="H376" s="187">
        <v>523.00531552762504</v>
      </c>
      <c r="I376" s="187">
        <v>52.25</v>
      </c>
      <c r="K376" s="25"/>
    </row>
    <row r="377" spans="1:11" s="30" customFormat="1" ht="15.75" customHeight="1" x14ac:dyDescent="0.25">
      <c r="A377" s="169">
        <v>39488</v>
      </c>
      <c r="B377" s="187">
        <v>293.58127743387735</v>
      </c>
      <c r="C377" s="187">
        <v>258.00632794929464</v>
      </c>
      <c r="D377" s="187">
        <v>301.95006195786868</v>
      </c>
      <c r="E377" s="187">
        <v>371.17195035460998</v>
      </c>
      <c r="F377" s="187">
        <v>329.77590322580647</v>
      </c>
      <c r="G377" s="188">
        <v>382.37089730807577</v>
      </c>
      <c r="H377" s="187">
        <v>534.4134721131187</v>
      </c>
      <c r="I377" s="187">
        <v>47.5</v>
      </c>
      <c r="K377" s="25"/>
    </row>
    <row r="378" spans="1:11" s="30" customFormat="1" ht="15.75" customHeight="1" x14ac:dyDescent="0.25">
      <c r="A378" s="169">
        <v>39495</v>
      </c>
      <c r="B378" s="187">
        <v>296.6140517726505</v>
      </c>
      <c r="C378" s="187">
        <v>243.32256389286442</v>
      </c>
      <c r="D378" s="187">
        <v>295.51769516728626</v>
      </c>
      <c r="E378" s="187">
        <v>369.40838652482273</v>
      </c>
      <c r="F378" s="187">
        <v>327.7559161290323</v>
      </c>
      <c r="G378" s="188">
        <v>380.55879361914259</v>
      </c>
      <c r="H378" s="187">
        <v>536.21099764336213</v>
      </c>
      <c r="I378" s="187">
        <v>42</v>
      </c>
      <c r="K378" s="25"/>
    </row>
    <row r="379" spans="1:11" s="30" customFormat="1" ht="15.75" customHeight="1" x14ac:dyDescent="0.25">
      <c r="A379" s="169">
        <v>39502</v>
      </c>
      <c r="B379" s="187">
        <v>291.02536859876199</v>
      </c>
      <c r="C379" s="187">
        <v>249.54520343488036</v>
      </c>
      <c r="D379" s="187">
        <v>306.52744733581164</v>
      </c>
      <c r="E379" s="187">
        <v>365.24606382978726</v>
      </c>
      <c r="F379" s="187">
        <v>325.35936129032257</v>
      </c>
      <c r="G379" s="188">
        <v>385.1463310069791</v>
      </c>
      <c r="H379" s="187">
        <v>520.64757789997384</v>
      </c>
      <c r="I379" s="187">
        <v>37.5</v>
      </c>
      <c r="K379" s="25"/>
    </row>
    <row r="380" spans="1:11" s="30" customFormat="1" ht="15.75" customHeight="1" x14ac:dyDescent="0.25">
      <c r="A380" s="169">
        <v>39509</v>
      </c>
      <c r="B380" s="187">
        <v>286.31049521665727</v>
      </c>
      <c r="C380" s="187">
        <v>245.43658147618072</v>
      </c>
      <c r="D380" s="187">
        <v>306.33871127633211</v>
      </c>
      <c r="E380" s="187">
        <v>366.66955673758866</v>
      </c>
      <c r="F380" s="187">
        <v>322.92967096774191</v>
      </c>
      <c r="G380" s="188">
        <v>377.63030907278159</v>
      </c>
      <c r="H380" s="187">
        <v>526.01432312123598</v>
      </c>
      <c r="I380" s="187">
        <v>36.5</v>
      </c>
      <c r="K380" s="25"/>
    </row>
    <row r="381" spans="1:11" s="30" customFormat="1" ht="15.75" customHeight="1" x14ac:dyDescent="0.25">
      <c r="A381" s="169">
        <v>39516</v>
      </c>
      <c r="B381" s="187">
        <v>285.8855655599325</v>
      </c>
      <c r="C381" s="187">
        <v>243.89038846861581</v>
      </c>
      <c r="D381" s="187">
        <v>301.65897149938041</v>
      </c>
      <c r="E381" s="187">
        <v>365.74085106382978</v>
      </c>
      <c r="F381" s="187">
        <v>323.9389612903226</v>
      </c>
      <c r="G381" s="188">
        <v>397.22046859421738</v>
      </c>
      <c r="H381" s="187">
        <v>532.45178057083012</v>
      </c>
      <c r="I381" s="187">
        <v>35.5</v>
      </c>
      <c r="K381" s="25"/>
    </row>
    <row r="382" spans="1:11" s="30" customFormat="1" ht="15.75" customHeight="1" x14ac:dyDescent="0.25">
      <c r="A382" s="169">
        <v>39523</v>
      </c>
      <c r="B382" s="187">
        <v>284.8371187394485</v>
      </c>
      <c r="C382" s="187">
        <v>243.19473318339806</v>
      </c>
      <c r="D382" s="187">
        <v>299.73370508054518</v>
      </c>
      <c r="E382" s="187">
        <v>358.76558510638296</v>
      </c>
      <c r="F382" s="187">
        <v>324.42620000000005</v>
      </c>
      <c r="G382" s="188">
        <v>372.10131605184444</v>
      </c>
      <c r="H382" s="187">
        <v>526.77875098193249</v>
      </c>
      <c r="I382" s="187">
        <v>36</v>
      </c>
      <c r="K382" s="25"/>
    </row>
    <row r="383" spans="1:11" s="30" customFormat="1" ht="15.75" customHeight="1" x14ac:dyDescent="0.25">
      <c r="A383" s="169">
        <v>39530</v>
      </c>
      <c r="B383" s="187">
        <v>284.90302757456385</v>
      </c>
      <c r="C383" s="187">
        <v>236.03943569822121</v>
      </c>
      <c r="D383" s="187">
        <v>296.68118959107807</v>
      </c>
      <c r="E383" s="187">
        <v>362.71202127659575</v>
      </c>
      <c r="F383" s="187">
        <v>325.25067741935482</v>
      </c>
      <c r="G383" s="188">
        <v>378.10348953140578</v>
      </c>
      <c r="H383" s="187">
        <v>527.05995024875631</v>
      </c>
      <c r="I383" s="187">
        <v>34</v>
      </c>
      <c r="K383" s="25"/>
    </row>
    <row r="384" spans="1:11" s="30" customFormat="1" ht="15.75" customHeight="1" x14ac:dyDescent="0.25">
      <c r="A384" s="169">
        <v>39537</v>
      </c>
      <c r="B384" s="187">
        <v>279.5451772650535</v>
      </c>
      <c r="C384" s="187">
        <v>234.79637701901444</v>
      </c>
      <c r="D384" s="187">
        <v>297.89271375464688</v>
      </c>
      <c r="E384" s="187">
        <v>357.27345744680855</v>
      </c>
      <c r="F384" s="187">
        <v>320.82447096774195</v>
      </c>
      <c r="G384" s="188">
        <v>373.49363908275171</v>
      </c>
      <c r="H384" s="187">
        <v>522.90429431788425</v>
      </c>
      <c r="I384" s="187">
        <v>35</v>
      </c>
      <c r="K384" s="25"/>
    </row>
    <row r="385" spans="1:11" s="30" customFormat="1" ht="15.75" customHeight="1" x14ac:dyDescent="0.25">
      <c r="A385" s="169">
        <v>39544</v>
      </c>
      <c r="B385" s="187">
        <v>274.73602138435564</v>
      </c>
      <c r="C385" s="187">
        <v>234.60603353097522</v>
      </c>
      <c r="D385" s="187">
        <v>292.54852540272617</v>
      </c>
      <c r="E385" s="187">
        <v>356.81157801418442</v>
      </c>
      <c r="F385" s="187">
        <v>318.6806838709677</v>
      </c>
      <c r="G385" s="188">
        <v>371.44227318045859</v>
      </c>
      <c r="H385" s="187">
        <v>516.0414637339619</v>
      </c>
      <c r="I385" s="187">
        <v>37.5</v>
      </c>
      <c r="K385" s="25"/>
    </row>
    <row r="386" spans="1:11" s="30" customFormat="1" ht="15.75" customHeight="1" x14ac:dyDescent="0.25">
      <c r="A386" s="169">
        <v>39551</v>
      </c>
      <c r="B386" s="187">
        <v>272.26191333708499</v>
      </c>
      <c r="C386" s="187">
        <v>230.30393988959312</v>
      </c>
      <c r="D386" s="187">
        <v>291.17872366790584</v>
      </c>
      <c r="E386" s="187">
        <v>347.30794326241136</v>
      </c>
      <c r="F386" s="187">
        <v>322.24438709677418</v>
      </c>
      <c r="G386" s="188">
        <v>372.4535792622134</v>
      </c>
      <c r="H386" s="187">
        <v>532.13394867766442</v>
      </c>
      <c r="I386" s="187">
        <v>39.5</v>
      </c>
      <c r="K386" s="25"/>
    </row>
    <row r="387" spans="1:11" s="30" customFormat="1" ht="15.75" customHeight="1" x14ac:dyDescent="0.25">
      <c r="A387" s="169">
        <v>39558</v>
      </c>
      <c r="B387" s="187">
        <v>272.81662915025328</v>
      </c>
      <c r="C387" s="187">
        <v>230.00233490083829</v>
      </c>
      <c r="D387" s="187">
        <v>287.19755885997523</v>
      </c>
      <c r="E387" s="187">
        <v>349.72558510638294</v>
      </c>
      <c r="F387" s="187">
        <v>320.56110322580645</v>
      </c>
      <c r="G387" s="188">
        <v>366.94121635094712</v>
      </c>
      <c r="H387" s="187">
        <v>534.24704111023834</v>
      </c>
      <c r="I387" s="187">
        <v>40.5</v>
      </c>
      <c r="K387" s="25"/>
    </row>
    <row r="388" spans="1:11" s="30" customFormat="1" ht="15.75" customHeight="1" x14ac:dyDescent="0.25">
      <c r="A388" s="169">
        <v>39565</v>
      </c>
      <c r="B388" s="187">
        <v>273.35552616769832</v>
      </c>
      <c r="C388" s="187">
        <v>227.19243917399308</v>
      </c>
      <c r="D388" s="187">
        <v>286.42765799256506</v>
      </c>
      <c r="E388" s="187">
        <v>352.45608156028368</v>
      </c>
      <c r="F388" s="187">
        <v>315.1684064516129</v>
      </c>
      <c r="G388" s="188">
        <v>359.07006979062811</v>
      </c>
      <c r="H388" s="187">
        <v>515.50530243519256</v>
      </c>
      <c r="I388" s="187">
        <v>47</v>
      </c>
      <c r="K388" s="25"/>
    </row>
    <row r="389" spans="1:11" s="30" customFormat="1" ht="15.75" customHeight="1" x14ac:dyDescent="0.25">
      <c r="A389" s="169">
        <v>39572</v>
      </c>
      <c r="B389" s="187">
        <v>272.88885762521096</v>
      </c>
      <c r="C389" s="187">
        <v>224.87869351870782</v>
      </c>
      <c r="D389" s="187">
        <v>286.02693928128878</v>
      </c>
      <c r="E389" s="187">
        <v>357.42558510638298</v>
      </c>
      <c r="F389" s="187">
        <v>310.97966451612905</v>
      </c>
      <c r="G389" s="188">
        <v>353.78067796610173</v>
      </c>
      <c r="H389" s="187">
        <v>524.06251636554066</v>
      </c>
      <c r="I389" s="187">
        <v>47</v>
      </c>
      <c r="K389" s="25"/>
    </row>
    <row r="390" spans="1:11" s="30" customFormat="1" ht="15.75" customHeight="1" x14ac:dyDescent="0.25">
      <c r="A390" s="169">
        <v>39579</v>
      </c>
      <c r="B390" s="187">
        <v>268.67124929656723</v>
      </c>
      <c r="C390" s="187">
        <v>226.63103046411777</v>
      </c>
      <c r="D390" s="187">
        <v>284.52421313506812</v>
      </c>
      <c r="E390" s="187">
        <v>353.61273049645388</v>
      </c>
      <c r="F390" s="187">
        <v>308.09539999999998</v>
      </c>
      <c r="G390" s="188">
        <v>348.73284147557325</v>
      </c>
      <c r="H390" s="187">
        <v>516.76389107096088</v>
      </c>
      <c r="I390" s="187">
        <v>50.5</v>
      </c>
      <c r="K390" s="25"/>
    </row>
    <row r="391" spans="1:11" s="30" customFormat="1" ht="15.75" customHeight="1" x14ac:dyDescent="0.25">
      <c r="A391" s="169">
        <v>39586</v>
      </c>
      <c r="B391" s="187">
        <v>268.7752054023635</v>
      </c>
      <c r="C391" s="187">
        <v>228.4598691474136</v>
      </c>
      <c r="D391" s="187">
        <v>283.38643122676581</v>
      </c>
      <c r="E391" s="187">
        <v>351.70368794326242</v>
      </c>
      <c r="F391" s="187">
        <v>308.67738064516129</v>
      </c>
      <c r="G391" s="188">
        <v>348.26002991026922</v>
      </c>
      <c r="H391" s="187">
        <v>513.63612202147158</v>
      </c>
      <c r="I391" s="187">
        <v>54</v>
      </c>
      <c r="K391" s="25"/>
    </row>
    <row r="392" spans="1:11" s="30" customFormat="1" ht="15.75" customHeight="1" x14ac:dyDescent="0.25">
      <c r="A392" s="169">
        <v>39593</v>
      </c>
      <c r="B392" s="187">
        <v>270.81833989870563</v>
      </c>
      <c r="C392" s="187">
        <v>231.05441014107541</v>
      </c>
      <c r="D392" s="187">
        <v>283.61645600991324</v>
      </c>
      <c r="E392" s="187">
        <v>351.729219858156</v>
      </c>
      <c r="F392" s="187">
        <v>307.58739354838707</v>
      </c>
      <c r="G392" s="188">
        <v>342.78862412761714</v>
      </c>
      <c r="H392" s="187">
        <v>517.76132495417653</v>
      </c>
      <c r="I392" s="187">
        <v>63</v>
      </c>
      <c r="K392" s="25"/>
    </row>
    <row r="393" spans="1:11" s="30" customFormat="1" ht="15.75" customHeight="1" x14ac:dyDescent="0.25">
      <c r="A393" s="169">
        <v>39600</v>
      </c>
      <c r="B393" s="187">
        <v>275.49119864940906</v>
      </c>
      <c r="C393" s="187">
        <v>235.8705295440605</v>
      </c>
      <c r="D393" s="187">
        <v>286.81992565055759</v>
      </c>
      <c r="E393" s="187">
        <v>352.48870567375889</v>
      </c>
      <c r="F393" s="187">
        <v>305.13245806451613</v>
      </c>
      <c r="G393" s="188">
        <v>335.56453639082753</v>
      </c>
      <c r="H393" s="187">
        <v>528.25272322597539</v>
      </c>
      <c r="I393" s="187">
        <v>61.5</v>
      </c>
      <c r="K393" s="25"/>
    </row>
    <row r="394" spans="1:11" s="30" customFormat="1" ht="15.75" customHeight="1" x14ac:dyDescent="0.25">
      <c r="A394" s="169">
        <v>39607</v>
      </c>
      <c r="B394" s="187">
        <v>274.00285875070347</v>
      </c>
      <c r="C394" s="187">
        <v>241.64857493355143</v>
      </c>
      <c r="D394" s="187">
        <v>288.50757125154894</v>
      </c>
      <c r="E394" s="187">
        <v>351.92212765957447</v>
      </c>
      <c r="F394" s="187">
        <v>307.44376129032258</v>
      </c>
      <c r="G394" s="188">
        <v>340.9778065802592</v>
      </c>
      <c r="H394" s="187">
        <v>521.02975909924066</v>
      </c>
      <c r="I394" s="187">
        <v>60</v>
      </c>
      <c r="K394" s="25"/>
    </row>
    <row r="395" spans="1:11" s="30" customFormat="1" ht="15.75" customHeight="1" x14ac:dyDescent="0.25">
      <c r="A395" s="169">
        <v>39614</v>
      </c>
      <c r="B395" s="187">
        <v>277.69656724817105</v>
      </c>
      <c r="C395" s="187">
        <v>244.08723164996928</v>
      </c>
      <c r="D395" s="187">
        <v>287.65061957868653</v>
      </c>
      <c r="E395" s="187">
        <v>349.08923758865245</v>
      </c>
      <c r="F395" s="187">
        <v>304.94225806451612</v>
      </c>
      <c r="G395" s="188">
        <v>341.81901296111664</v>
      </c>
      <c r="H395" s="187">
        <v>509.57621105001306</v>
      </c>
      <c r="I395" s="187">
        <v>57.5</v>
      </c>
      <c r="K395" s="25"/>
    </row>
    <row r="396" spans="1:11" s="30" customFormat="1" ht="15.75" customHeight="1" x14ac:dyDescent="0.25">
      <c r="A396" s="169">
        <v>39621</v>
      </c>
      <c r="B396" s="187">
        <v>278.58424873382097</v>
      </c>
      <c r="C396" s="187">
        <v>250.13356982212227</v>
      </c>
      <c r="D396" s="187">
        <v>286.10386617100374</v>
      </c>
      <c r="E396" s="187">
        <v>349.15086879432624</v>
      </c>
      <c r="F396" s="187">
        <v>302.57738064516127</v>
      </c>
      <c r="G396" s="188">
        <v>335.27272183449656</v>
      </c>
      <c r="H396" s="187">
        <v>513.31087981146902</v>
      </c>
      <c r="I396" s="187">
        <v>53</v>
      </c>
      <c r="K396" s="25"/>
    </row>
    <row r="397" spans="1:11" s="30" customFormat="1" ht="15.75" customHeight="1" x14ac:dyDescent="0.25">
      <c r="A397" s="169">
        <v>39628</v>
      </c>
      <c r="B397" s="187">
        <v>281.21630275745633</v>
      </c>
      <c r="C397" s="187">
        <v>250.17583316295239</v>
      </c>
      <c r="D397" s="187">
        <v>287.43698884758368</v>
      </c>
      <c r="E397" s="187">
        <v>345.10519503546095</v>
      </c>
      <c r="F397" s="187">
        <v>301.51137419354842</v>
      </c>
      <c r="G397" s="188">
        <v>339.3137886340977</v>
      </c>
      <c r="H397" s="187">
        <v>511.46666666666664</v>
      </c>
      <c r="I397" s="187">
        <v>49</v>
      </c>
      <c r="K397" s="25"/>
    </row>
    <row r="398" spans="1:11" s="30" customFormat="1" ht="15.75" customHeight="1" x14ac:dyDescent="0.25">
      <c r="A398" s="169">
        <v>39635</v>
      </c>
      <c r="B398" s="187">
        <v>286.61091164884635</v>
      </c>
      <c r="C398" s="187">
        <v>249.89522183602534</v>
      </c>
      <c r="D398" s="187">
        <v>291.36158612143743</v>
      </c>
      <c r="E398" s="187">
        <v>348.9248226950354</v>
      </c>
      <c r="F398" s="187">
        <v>316.98094193548383</v>
      </c>
      <c r="G398" s="188">
        <v>347.47510000000005</v>
      </c>
      <c r="H398" s="187">
        <v>512.26200576067026</v>
      </c>
      <c r="I398" s="187">
        <v>43</v>
      </c>
      <c r="K398" s="25"/>
    </row>
    <row r="399" spans="1:11" s="30" customFormat="1" ht="15.75" customHeight="1" x14ac:dyDescent="0.25">
      <c r="A399" s="169">
        <v>39642</v>
      </c>
      <c r="B399" s="187">
        <v>290.70645469893077</v>
      </c>
      <c r="C399" s="187">
        <v>251.45463299938663</v>
      </c>
      <c r="D399" s="187">
        <v>292.66786864931851</v>
      </c>
      <c r="E399" s="187">
        <v>347.82579787234044</v>
      </c>
      <c r="F399" s="187">
        <v>322.03938064516126</v>
      </c>
      <c r="G399" s="188">
        <v>356.17055249999999</v>
      </c>
      <c r="H399" s="187">
        <v>514.59084838963076</v>
      </c>
      <c r="I399" s="187">
        <v>40</v>
      </c>
      <c r="K399" s="25"/>
    </row>
    <row r="400" spans="1:11" s="30" customFormat="1" ht="15.75" customHeight="1" x14ac:dyDescent="0.25">
      <c r="A400" s="169">
        <v>39649</v>
      </c>
      <c r="B400" s="187">
        <v>293.70848621271807</v>
      </c>
      <c r="C400" s="187">
        <v>248.8285994684114</v>
      </c>
      <c r="D400" s="187">
        <v>287.90540272614624</v>
      </c>
      <c r="E400" s="187">
        <v>348.68590425531914</v>
      </c>
      <c r="F400" s="187">
        <v>325.21316774193548</v>
      </c>
      <c r="G400" s="188">
        <v>357.92588000000001</v>
      </c>
      <c r="H400" s="187">
        <v>514.39059963341185</v>
      </c>
      <c r="I400" s="187">
        <v>39.5</v>
      </c>
      <c r="K400" s="25"/>
    </row>
    <row r="401" spans="1:11" s="30" customFormat="1" ht="15.75" customHeight="1" x14ac:dyDescent="0.25">
      <c r="A401" s="169">
        <v>39656</v>
      </c>
      <c r="B401" s="187">
        <v>287.5158019133371</v>
      </c>
      <c r="C401" s="187">
        <v>246.77927622163156</v>
      </c>
      <c r="D401" s="187">
        <v>289.81710037174724</v>
      </c>
      <c r="E401" s="187">
        <v>349.85523049645388</v>
      </c>
      <c r="F401" s="187">
        <v>323.03995483870966</v>
      </c>
      <c r="G401" s="188">
        <v>361.95611249999996</v>
      </c>
      <c r="H401" s="187">
        <v>514.0690102120974</v>
      </c>
      <c r="I401" s="187">
        <v>38.5</v>
      </c>
      <c r="K401" s="25"/>
    </row>
    <row r="402" spans="1:11" s="30" customFormat="1" ht="15.75" customHeight="1" x14ac:dyDescent="0.25">
      <c r="A402" s="169">
        <v>39663</v>
      </c>
      <c r="B402" s="187">
        <v>285.56859313449633</v>
      </c>
      <c r="C402" s="187">
        <v>245.23320179922302</v>
      </c>
      <c r="D402" s="187">
        <v>286.41195786864932</v>
      </c>
      <c r="E402" s="187">
        <v>350.98661347517725</v>
      </c>
      <c r="F402" s="187">
        <v>310.67987096774192</v>
      </c>
      <c r="G402" s="188">
        <v>347.2024725</v>
      </c>
      <c r="H402" s="187">
        <v>519.07422100026179</v>
      </c>
      <c r="I402" s="187">
        <v>39</v>
      </c>
      <c r="K402" s="25"/>
    </row>
    <row r="403" spans="1:11" s="30" customFormat="1" ht="15.75" customHeight="1" x14ac:dyDescent="0.25">
      <c r="A403" s="169">
        <v>39670</v>
      </c>
      <c r="B403" s="187">
        <v>283.267687113112</v>
      </c>
      <c r="C403" s="187">
        <v>237.59413616847266</v>
      </c>
      <c r="D403" s="187">
        <v>279.68581164807932</v>
      </c>
      <c r="E403" s="187">
        <v>348.02429078014188</v>
      </c>
      <c r="F403" s="187">
        <v>318.43638709677418</v>
      </c>
      <c r="G403" s="188">
        <v>343.66535999999996</v>
      </c>
      <c r="H403" s="187">
        <v>506.11360303744436</v>
      </c>
      <c r="I403" s="187">
        <v>39.5</v>
      </c>
      <c r="K403" s="25"/>
    </row>
    <row r="404" spans="1:11" s="30" customFormat="1" ht="15.75" customHeight="1" x14ac:dyDescent="0.25">
      <c r="A404" s="169">
        <v>39677</v>
      </c>
      <c r="B404" s="187">
        <v>282.43570624648288</v>
      </c>
      <c r="C404" s="187">
        <v>231.00502351257413</v>
      </c>
      <c r="D404" s="187">
        <v>280.94296158612144</v>
      </c>
      <c r="E404" s="187">
        <v>339.56710992907801</v>
      </c>
      <c r="F404" s="187">
        <v>314.53248387096772</v>
      </c>
      <c r="G404" s="188">
        <v>348.31662000000006</v>
      </c>
      <c r="H404" s="187">
        <v>512.21772715370514</v>
      </c>
      <c r="I404" s="187">
        <v>39.5</v>
      </c>
      <c r="K404" s="25"/>
    </row>
    <row r="405" spans="1:11" s="30" customFormat="1" ht="15.75" customHeight="1" x14ac:dyDescent="0.25">
      <c r="A405" s="169">
        <v>39684</v>
      </c>
      <c r="B405" s="187">
        <v>278.80683173888576</v>
      </c>
      <c r="C405" s="187">
        <v>227.51080556123489</v>
      </c>
      <c r="D405" s="187">
        <v>274.17713754646832</v>
      </c>
      <c r="E405" s="187">
        <v>339.56710992907801</v>
      </c>
      <c r="F405" s="187">
        <v>317.04409677419358</v>
      </c>
      <c r="G405" s="188">
        <v>340.80384250000003</v>
      </c>
      <c r="H405" s="187">
        <v>520.75007855459546</v>
      </c>
      <c r="I405" s="187">
        <v>38.75</v>
      </c>
      <c r="K405" s="25"/>
    </row>
    <row r="406" spans="1:11" s="30" customFormat="1" ht="15.75" customHeight="1" x14ac:dyDescent="0.25">
      <c r="A406" s="169">
        <v>39691</v>
      </c>
      <c r="B406" s="187">
        <v>274.13862689926839</v>
      </c>
      <c r="C406" s="187">
        <v>221.89850337354324</v>
      </c>
      <c r="D406" s="187">
        <v>267.55640644361836</v>
      </c>
      <c r="E406" s="187">
        <v>344.85496453900709</v>
      </c>
      <c r="F406" s="187">
        <v>311.80968387096777</v>
      </c>
      <c r="G406" s="188">
        <v>330.73000999999999</v>
      </c>
      <c r="H406" s="187">
        <v>507.72572663000784</v>
      </c>
      <c r="I406" s="187">
        <v>37</v>
      </c>
      <c r="K406" s="25"/>
    </row>
    <row r="407" spans="1:11" s="30" customFormat="1" ht="15.75" customHeight="1" x14ac:dyDescent="0.25">
      <c r="A407" s="169">
        <v>39698</v>
      </c>
      <c r="B407" s="187">
        <v>266.60795160382668</v>
      </c>
      <c r="C407" s="187">
        <v>216.35380903700673</v>
      </c>
      <c r="D407" s="187">
        <v>257.08961586121438</v>
      </c>
      <c r="E407" s="187">
        <v>341.19663120567373</v>
      </c>
      <c r="F407" s="187">
        <v>312.44413548387092</v>
      </c>
      <c r="G407" s="188">
        <v>326.98010500000004</v>
      </c>
      <c r="H407" s="187">
        <v>516.93165750196385</v>
      </c>
      <c r="I407" s="187">
        <v>36</v>
      </c>
      <c r="K407" s="25"/>
    </row>
    <row r="408" spans="1:11" s="30" customFormat="1" ht="15.75" customHeight="1" x14ac:dyDescent="0.25">
      <c r="A408" s="169">
        <v>39705</v>
      </c>
      <c r="B408" s="187">
        <v>272.61000000000007</v>
      </c>
      <c r="C408" s="187">
        <v>215.03818033122059</v>
      </c>
      <c r="D408" s="187">
        <v>254.37197026022307</v>
      </c>
      <c r="E408" s="187">
        <v>340.33732269503548</v>
      </c>
      <c r="F408" s="187">
        <v>313.84841935483871</v>
      </c>
      <c r="G408" s="188">
        <v>313.97410500000001</v>
      </c>
      <c r="H408" s="187">
        <v>501.46296150824827</v>
      </c>
      <c r="I408" s="187">
        <v>36.5</v>
      </c>
      <c r="K408" s="25"/>
    </row>
    <row r="409" spans="1:11" s="30" customFormat="1" ht="15.75" customHeight="1" x14ac:dyDescent="0.25">
      <c r="A409" s="169">
        <v>39712</v>
      </c>
      <c r="B409" s="187">
        <v>264.21897017445133</v>
      </c>
      <c r="C409" s="187">
        <v>214.0248190554079</v>
      </c>
      <c r="D409" s="187">
        <v>248.66721189591078</v>
      </c>
      <c r="E409" s="187">
        <v>350.73448581560285</v>
      </c>
      <c r="F409" s="187">
        <v>318.99492258064515</v>
      </c>
      <c r="G409" s="188">
        <v>318.54564750000003</v>
      </c>
      <c r="H409" s="187">
        <v>511.57518984027229</v>
      </c>
      <c r="I409" s="187">
        <v>38.5</v>
      </c>
      <c r="K409" s="25"/>
    </row>
    <row r="410" spans="1:11" s="30" customFormat="1" ht="15.75" customHeight="1" x14ac:dyDescent="0.25">
      <c r="A410" s="169">
        <v>39719</v>
      </c>
      <c r="B410" s="187">
        <v>257.40810917276315</v>
      </c>
      <c r="C410" s="187">
        <v>209.83222858311186</v>
      </c>
      <c r="D410" s="187">
        <v>246.3248698884758</v>
      </c>
      <c r="E410" s="187">
        <v>338.91879432624108</v>
      </c>
      <c r="F410" s="187">
        <v>319.93728387096769</v>
      </c>
      <c r="G410" s="188">
        <v>319.17549250000002</v>
      </c>
      <c r="H410" s="187">
        <v>507.11874836344595</v>
      </c>
      <c r="I410" s="187">
        <v>39.5</v>
      </c>
      <c r="K410" s="25"/>
    </row>
    <row r="411" spans="1:11" s="30" customFormat="1" ht="15.75" customHeight="1" x14ac:dyDescent="0.25">
      <c r="A411" s="169">
        <v>39726</v>
      </c>
      <c r="B411" s="187">
        <v>262.84001125492409</v>
      </c>
      <c r="C411" s="187">
        <v>205.97886526272745</v>
      </c>
      <c r="D411" s="187">
        <v>243.75021065675341</v>
      </c>
      <c r="E411" s="187">
        <v>342.97221631205679</v>
      </c>
      <c r="F411" s="187">
        <v>317.17456129032252</v>
      </c>
      <c r="G411" s="188">
        <v>317.59651000000002</v>
      </c>
      <c r="H411" s="187">
        <v>508.11921969101854</v>
      </c>
      <c r="I411" s="187">
        <v>41.5</v>
      </c>
      <c r="K411" s="25"/>
    </row>
    <row r="412" spans="1:11" s="30" customFormat="1" ht="15.75" customHeight="1" x14ac:dyDescent="0.25">
      <c r="A412" s="169">
        <v>39733</v>
      </c>
      <c r="B412" s="187">
        <v>247.66864940911648</v>
      </c>
      <c r="C412" s="187">
        <v>203.51550807605807</v>
      </c>
      <c r="D412" s="187">
        <v>246.58622057001242</v>
      </c>
      <c r="E412" s="187">
        <v>342.16875886524821</v>
      </c>
      <c r="F412" s="187">
        <v>314.53172903225806</v>
      </c>
      <c r="G412" s="188">
        <v>313.4791725</v>
      </c>
      <c r="H412" s="187">
        <v>513.68397486252945</v>
      </c>
      <c r="I412" s="187">
        <v>40</v>
      </c>
      <c r="K412" s="25"/>
    </row>
    <row r="413" spans="1:11" s="30" customFormat="1" ht="15.75" customHeight="1" x14ac:dyDescent="0.25">
      <c r="A413" s="169">
        <v>39740</v>
      </c>
      <c r="B413" s="187">
        <v>243.78768148564998</v>
      </c>
      <c r="C413" s="187">
        <v>201.7352729503169</v>
      </c>
      <c r="D413" s="187">
        <v>238.82118959107808</v>
      </c>
      <c r="E413" s="187">
        <v>342.11443262411348</v>
      </c>
      <c r="F413" s="187">
        <v>310.69884516129031</v>
      </c>
      <c r="G413" s="188">
        <v>313.50388750000002</v>
      </c>
      <c r="H413" s="187">
        <v>516.13643623985342</v>
      </c>
      <c r="I413" s="187">
        <v>38.5</v>
      </c>
      <c r="K413" s="25"/>
    </row>
    <row r="414" spans="1:11" s="30" customFormat="1" ht="15.75" customHeight="1" x14ac:dyDescent="0.25">
      <c r="A414" s="169">
        <v>39747</v>
      </c>
      <c r="B414" s="187">
        <v>237.83917276308384</v>
      </c>
      <c r="C414" s="187">
        <v>193.88811490492739</v>
      </c>
      <c r="D414" s="187">
        <v>223.54198265179679</v>
      </c>
      <c r="E414" s="187">
        <v>341.47303191489357</v>
      </c>
      <c r="F414" s="187">
        <v>304.91234838709676</v>
      </c>
      <c r="G414" s="188">
        <v>308.05369999999999</v>
      </c>
      <c r="H414" s="187">
        <v>496.20255302435191</v>
      </c>
      <c r="I414" s="187">
        <v>38.5</v>
      </c>
      <c r="K414" s="25"/>
    </row>
    <row r="415" spans="1:11" s="30" customFormat="1" ht="15.75" customHeight="1" x14ac:dyDescent="0.25">
      <c r="A415" s="169">
        <v>39754</v>
      </c>
      <c r="B415" s="187">
        <v>236.91043894203713</v>
      </c>
      <c r="C415" s="187">
        <v>190.46345328153751</v>
      </c>
      <c r="D415" s="187">
        <v>219.67050805452297</v>
      </c>
      <c r="E415" s="187">
        <v>339.59705673758862</v>
      </c>
      <c r="F415" s="187">
        <v>306.05697419354834</v>
      </c>
      <c r="G415" s="188">
        <v>307.51080999999999</v>
      </c>
      <c r="H415" s="187">
        <v>508.00369206598594</v>
      </c>
      <c r="I415" s="187">
        <v>36.5</v>
      </c>
      <c r="K415" s="25"/>
    </row>
    <row r="416" spans="1:11" s="30" customFormat="1" ht="15.75" customHeight="1" x14ac:dyDescent="0.25">
      <c r="A416" s="169">
        <v>39761</v>
      </c>
      <c r="B416" s="187">
        <v>237.37774901519413</v>
      </c>
      <c r="C416" s="187">
        <v>189.96077489265997</v>
      </c>
      <c r="D416" s="187">
        <v>220.00855018587359</v>
      </c>
      <c r="E416" s="187">
        <v>326.64111702127661</v>
      </c>
      <c r="F416" s="187">
        <v>307.02151612903225</v>
      </c>
      <c r="G416" s="188">
        <v>302.50031749999999</v>
      </c>
      <c r="H416" s="187">
        <v>518.60352186436239</v>
      </c>
      <c r="I416" s="187">
        <v>36.5</v>
      </c>
      <c r="K416" s="25"/>
    </row>
    <row r="417" spans="1:11" s="30" customFormat="1" ht="15.75" customHeight="1" x14ac:dyDescent="0.25">
      <c r="A417" s="169">
        <v>39768</v>
      </c>
      <c r="B417" s="187">
        <v>230.78229600450197</v>
      </c>
      <c r="C417" s="187">
        <v>178.34452668166017</v>
      </c>
      <c r="D417" s="187">
        <v>210.1973605947955</v>
      </c>
      <c r="E417" s="187">
        <v>302.95406028368791</v>
      </c>
      <c r="F417" s="187">
        <v>297.74417419354836</v>
      </c>
      <c r="G417" s="188">
        <v>297.64371749999998</v>
      </c>
      <c r="H417" s="187">
        <v>507.31946844723745</v>
      </c>
      <c r="I417" s="187">
        <v>37</v>
      </c>
      <c r="K417" s="25"/>
    </row>
    <row r="418" spans="1:11" s="30" customFormat="1" ht="15.75" customHeight="1" x14ac:dyDescent="0.25">
      <c r="A418" s="169">
        <v>39775</v>
      </c>
      <c r="B418" s="187">
        <v>227.24411930219475</v>
      </c>
      <c r="C418" s="187">
        <v>176.17611326927008</v>
      </c>
      <c r="D418" s="187">
        <v>210.8610285006196</v>
      </c>
      <c r="E418" s="187">
        <v>326.72985815602834</v>
      </c>
      <c r="F418" s="187">
        <v>295.6761032258064</v>
      </c>
      <c r="G418" s="188">
        <v>290.54515250000003</v>
      </c>
      <c r="H418" s="187">
        <v>496.10159727677404</v>
      </c>
      <c r="I418" s="187">
        <v>38</v>
      </c>
      <c r="K418" s="25"/>
    </row>
    <row r="419" spans="1:11" s="30" customFormat="1" ht="15.75" customHeight="1" x14ac:dyDescent="0.25">
      <c r="A419" s="169">
        <v>39782</v>
      </c>
      <c r="B419" s="187">
        <v>225.72625211029822</v>
      </c>
      <c r="C419" s="187">
        <v>174.97414025761603</v>
      </c>
      <c r="D419" s="187">
        <v>210.41603469640646</v>
      </c>
      <c r="E419" s="187">
        <v>325.56762411347518</v>
      </c>
      <c r="F419" s="187">
        <v>300.84965161290319</v>
      </c>
      <c r="G419" s="188">
        <v>287.96817249999998</v>
      </c>
      <c r="H419" s="187">
        <v>511.3076760563381</v>
      </c>
      <c r="I419" s="187">
        <v>39.5</v>
      </c>
      <c r="K419" s="25"/>
    </row>
    <row r="420" spans="1:11" s="30" customFormat="1" ht="15.75" customHeight="1" x14ac:dyDescent="0.25">
      <c r="A420" s="169">
        <v>39789</v>
      </c>
      <c r="B420" s="187">
        <v>227.08977490151941</v>
      </c>
      <c r="C420" s="187">
        <v>174.10371703128195</v>
      </c>
      <c r="D420" s="187">
        <v>207.43836431226762</v>
      </c>
      <c r="E420" s="187">
        <v>330.27317375886525</v>
      </c>
      <c r="F420" s="187">
        <v>297.52732903225808</v>
      </c>
      <c r="G420" s="188">
        <v>285.33825250000001</v>
      </c>
      <c r="H420" s="187">
        <v>509.81112676056335</v>
      </c>
      <c r="I420" s="187">
        <v>39.5</v>
      </c>
      <c r="K420" s="25"/>
    </row>
    <row r="421" spans="1:11" s="30" customFormat="1" ht="15.75" customHeight="1" x14ac:dyDescent="0.25">
      <c r="A421" s="169">
        <v>39796</v>
      </c>
      <c r="B421" s="187">
        <v>224.97333145751261</v>
      </c>
      <c r="C421" s="187">
        <v>172.20719280310772</v>
      </c>
      <c r="D421" s="187">
        <v>203.29876084262705</v>
      </c>
      <c r="E421" s="187">
        <v>302.83780141843971</v>
      </c>
      <c r="F421" s="187">
        <v>291.85678064516128</v>
      </c>
      <c r="G421" s="188">
        <v>290.79696250000001</v>
      </c>
      <c r="H421" s="187">
        <v>507.89774647887333</v>
      </c>
      <c r="I421" s="187">
        <v>39</v>
      </c>
      <c r="K421" s="25"/>
    </row>
    <row r="422" spans="1:11" s="30" customFormat="1" ht="15.75" customHeight="1" x14ac:dyDescent="0.25">
      <c r="A422" s="169">
        <v>39803</v>
      </c>
      <c r="B422" s="187">
        <v>225.96736634777713</v>
      </c>
      <c r="C422" s="187">
        <v>169.47754855857693</v>
      </c>
      <c r="D422" s="187">
        <v>195.86819083023545</v>
      </c>
      <c r="E422" s="187">
        <v>290.92539007092194</v>
      </c>
      <c r="F422" s="187">
        <v>289.20876774193545</v>
      </c>
      <c r="G422" s="188">
        <v>284.72463750000003</v>
      </c>
      <c r="H422" s="187">
        <v>503.41314553990611</v>
      </c>
      <c r="I422" s="187">
        <v>38.5</v>
      </c>
      <c r="K422" s="25"/>
    </row>
    <row r="423" spans="1:11" s="30" customFormat="1" ht="15.75" customHeight="1" x14ac:dyDescent="0.25">
      <c r="A423" s="169">
        <v>39810</v>
      </c>
      <c r="B423" s="187">
        <v>226.17792909397858</v>
      </c>
      <c r="C423" s="187">
        <v>167.96670006133712</v>
      </c>
      <c r="D423" s="187">
        <v>191.90770755886001</v>
      </c>
      <c r="E423" s="187">
        <v>290.92539007092194</v>
      </c>
      <c r="F423" s="187">
        <v>293.65008387096776</v>
      </c>
      <c r="G423" s="188">
        <v>288.33547000000004</v>
      </c>
      <c r="H423" s="187">
        <v>537.51636150234742</v>
      </c>
      <c r="I423" s="187">
        <v>38</v>
      </c>
      <c r="K423" s="25"/>
    </row>
    <row r="424" spans="1:11" s="31" customFormat="1" ht="15.75" customHeight="1" x14ac:dyDescent="0.25">
      <c r="A424" s="169">
        <v>39817</v>
      </c>
      <c r="B424" s="187">
        <v>224.77268429938096</v>
      </c>
      <c r="C424" s="187">
        <v>163.69303414434677</v>
      </c>
      <c r="D424" s="187">
        <v>193.39230483271379</v>
      </c>
      <c r="E424" s="187">
        <v>281.1163475177305</v>
      </c>
      <c r="F424" s="187">
        <v>292.63527741935485</v>
      </c>
      <c r="G424" s="188">
        <v>281.98473999999999</v>
      </c>
      <c r="H424" s="187">
        <v>478.97561032863854</v>
      </c>
      <c r="I424" s="187">
        <v>37</v>
      </c>
      <c r="J424" s="30"/>
      <c r="K424" s="25"/>
    </row>
    <row r="425" spans="1:11" s="31" customFormat="1" ht="15.75" customHeight="1" x14ac:dyDescent="0.25">
      <c r="A425" s="169">
        <v>39824</v>
      </c>
      <c r="B425" s="187">
        <v>222.79722566122678</v>
      </c>
      <c r="C425" s="187">
        <v>163.42245961970966</v>
      </c>
      <c r="D425" s="187">
        <v>184.50192069392813</v>
      </c>
      <c r="E425" s="187">
        <v>296.03469858156024</v>
      </c>
      <c r="F425" s="187">
        <v>287.9764838709678</v>
      </c>
      <c r="G425" s="188">
        <v>275.776475</v>
      </c>
      <c r="H425" s="187">
        <v>531.66434272300455</v>
      </c>
      <c r="I425" s="187">
        <v>36.5</v>
      </c>
      <c r="J425" s="30"/>
      <c r="K425" s="25"/>
    </row>
    <row r="426" spans="1:11" s="31" customFormat="1" ht="15.75" customHeight="1" x14ac:dyDescent="0.25">
      <c r="A426" s="169">
        <v>39831</v>
      </c>
      <c r="B426" s="187">
        <v>223.20865503657848</v>
      </c>
      <c r="C426" s="187">
        <v>166.59197301165406</v>
      </c>
      <c r="D426" s="187">
        <v>185.23736059479555</v>
      </c>
      <c r="E426" s="187">
        <v>297.84391843971633</v>
      </c>
      <c r="F426" s="187">
        <v>283.88421935483871</v>
      </c>
      <c r="G426" s="188">
        <v>276.09209500000003</v>
      </c>
      <c r="H426" s="187">
        <v>523.86176056338024</v>
      </c>
      <c r="I426" s="187">
        <v>36</v>
      </c>
      <c r="J426" s="30"/>
      <c r="K426" s="25"/>
    </row>
    <row r="427" spans="1:11" s="31" customFormat="1" ht="15.75" customHeight="1" x14ac:dyDescent="0.25">
      <c r="A427" s="169">
        <v>39838</v>
      </c>
      <c r="B427" s="187">
        <v>213.6918120427687</v>
      </c>
      <c r="C427" s="187">
        <v>163.56734001226744</v>
      </c>
      <c r="D427" s="187">
        <v>184.23209417596036</v>
      </c>
      <c r="E427" s="187">
        <v>268.52574468085106</v>
      </c>
      <c r="F427" s="187">
        <v>277.8319032258064</v>
      </c>
      <c r="G427" s="188">
        <v>276.03544750000003</v>
      </c>
      <c r="H427" s="187">
        <v>487.35781690140846</v>
      </c>
      <c r="I427" s="187">
        <v>35.5</v>
      </c>
      <c r="J427" s="30"/>
      <c r="K427" s="25"/>
    </row>
    <row r="428" spans="1:11" s="31" customFormat="1" ht="15.75" customHeight="1" x14ac:dyDescent="0.25">
      <c r="A428" s="169">
        <v>39845</v>
      </c>
      <c r="B428" s="187">
        <v>212.04479459763644</v>
      </c>
      <c r="C428" s="187">
        <v>163.39805561234922</v>
      </c>
      <c r="D428" s="187">
        <v>180.04923172242877</v>
      </c>
      <c r="E428" s="187">
        <v>278.51386524822692</v>
      </c>
      <c r="F428" s="187">
        <v>279.30721290322577</v>
      </c>
      <c r="G428" s="188">
        <v>270.81371250000001</v>
      </c>
      <c r="H428" s="187">
        <v>502.33082159624411</v>
      </c>
      <c r="I428" s="187">
        <v>37</v>
      </c>
      <c r="J428" s="30"/>
      <c r="K428" s="25"/>
    </row>
    <row r="429" spans="1:11" s="31" customFormat="1" ht="15.75" customHeight="1" x14ac:dyDescent="0.25">
      <c r="A429" s="169">
        <v>39852</v>
      </c>
      <c r="B429" s="187">
        <v>213.66990996060778</v>
      </c>
      <c r="C429" s="187">
        <v>163.78209977509712</v>
      </c>
      <c r="D429" s="187">
        <v>183.93009913258987</v>
      </c>
      <c r="E429" s="187">
        <v>275.90475177304967</v>
      </c>
      <c r="F429" s="187">
        <v>237.49330967741935</v>
      </c>
      <c r="G429" s="188">
        <v>260.35366249999998</v>
      </c>
      <c r="H429" s="187">
        <v>509.32340375586847</v>
      </c>
      <c r="I429" s="187">
        <v>36.5</v>
      </c>
      <c r="J429" s="30"/>
      <c r="K429" s="25"/>
    </row>
    <row r="430" spans="1:11" s="31" customFormat="1" ht="15.75" customHeight="1" collapsed="1" x14ac:dyDescent="0.25">
      <c r="A430" s="169">
        <v>39859</v>
      </c>
      <c r="B430" s="187">
        <v>216.24453573438379</v>
      </c>
      <c r="C430" s="187">
        <v>163.81513800858718</v>
      </c>
      <c r="D430" s="187">
        <v>180.89474597273855</v>
      </c>
      <c r="E430" s="187">
        <v>269.01976950354612</v>
      </c>
      <c r="F430" s="187">
        <v>236.94136129032256</v>
      </c>
      <c r="G430" s="188">
        <v>253.52117749999999</v>
      </c>
      <c r="H430" s="187">
        <v>489.32063380281687</v>
      </c>
      <c r="I430" s="187">
        <v>36</v>
      </c>
      <c r="J430" s="30"/>
      <c r="K430" s="25"/>
    </row>
    <row r="431" spans="1:11" s="31" customFormat="1" ht="15.75" customHeight="1" x14ac:dyDescent="0.25">
      <c r="A431" s="169">
        <v>39866</v>
      </c>
      <c r="B431" s="187">
        <v>215.2516544738323</v>
      </c>
      <c r="C431" s="187">
        <v>162.2424861991413</v>
      </c>
      <c r="D431" s="187">
        <v>180.26091697645597</v>
      </c>
      <c r="E431" s="187">
        <v>263.63241134751775</v>
      </c>
      <c r="F431" s="187">
        <v>230.72643870967744</v>
      </c>
      <c r="G431" s="188">
        <v>248.03875999999994</v>
      </c>
      <c r="H431" s="187">
        <v>498.11788732394359</v>
      </c>
      <c r="I431" s="187">
        <v>35</v>
      </c>
      <c r="J431" s="30"/>
      <c r="K431" s="25"/>
    </row>
    <row r="432" spans="1:11" s="31" customFormat="1" ht="15.75" customHeight="1" x14ac:dyDescent="0.25">
      <c r="A432" s="169">
        <v>39873</v>
      </c>
      <c r="B432" s="187">
        <v>216.23998874507598</v>
      </c>
      <c r="C432" s="187">
        <v>161.48588632181557</v>
      </c>
      <c r="D432" s="187">
        <v>179.4496282527881</v>
      </c>
      <c r="E432" s="187">
        <v>260.69030141843967</v>
      </c>
      <c r="F432" s="187">
        <v>229.04181935483868</v>
      </c>
      <c r="G432" s="188">
        <v>250.48643749999999</v>
      </c>
      <c r="H432" s="187">
        <v>513.46328638497653</v>
      </c>
      <c r="I432" s="187">
        <v>34.5</v>
      </c>
      <c r="J432" s="30"/>
      <c r="K432" s="25"/>
    </row>
    <row r="433" spans="1:11" s="31" customFormat="1" ht="15.75" customHeight="1" x14ac:dyDescent="0.25">
      <c r="A433" s="169">
        <v>39880</v>
      </c>
      <c r="B433" s="187">
        <v>214.96294879009562</v>
      </c>
      <c r="C433" s="187">
        <v>161.61638724187281</v>
      </c>
      <c r="D433" s="187">
        <v>183.36448574969023</v>
      </c>
      <c r="E433" s="187">
        <v>259.74145390070919</v>
      </c>
      <c r="F433" s="187">
        <v>234.35741290322579</v>
      </c>
      <c r="G433" s="188">
        <v>247.5129125</v>
      </c>
      <c r="H433" s="187">
        <v>502.3</v>
      </c>
      <c r="I433" s="187">
        <v>34.5</v>
      </c>
      <c r="J433" s="30"/>
      <c r="K433" s="25"/>
    </row>
    <row r="434" spans="1:11" s="31" customFormat="1" ht="15.75" customHeight="1" x14ac:dyDescent="0.25">
      <c r="A434" s="169">
        <v>39887</v>
      </c>
      <c r="B434" s="187">
        <v>213.17989870568374</v>
      </c>
      <c r="C434" s="187">
        <v>163.72325700265793</v>
      </c>
      <c r="D434" s="187">
        <v>183.16795539033455</v>
      </c>
      <c r="E434" s="187">
        <v>245.24934397163122</v>
      </c>
      <c r="F434" s="187">
        <v>237.64066451612905</v>
      </c>
      <c r="G434" s="188">
        <v>245.98099500000001</v>
      </c>
      <c r="H434" s="187">
        <v>491.33431924882632</v>
      </c>
      <c r="I434" s="187">
        <v>35.5</v>
      </c>
      <c r="J434" s="30"/>
      <c r="K434" s="25"/>
    </row>
    <row r="435" spans="1:11" s="31" customFormat="1" ht="15.75" customHeight="1" x14ac:dyDescent="0.25">
      <c r="A435" s="169">
        <v>39894</v>
      </c>
      <c r="B435" s="187">
        <v>212.70759144625771</v>
      </c>
      <c r="C435" s="187">
        <v>164.23738499284394</v>
      </c>
      <c r="D435" s="187">
        <v>183.31225526641882</v>
      </c>
      <c r="E435" s="187">
        <v>239.79641843971629</v>
      </c>
      <c r="F435" s="187">
        <v>237.94776774193548</v>
      </c>
      <c r="G435" s="188">
        <v>246.08963750000001</v>
      </c>
      <c r="H435" s="187">
        <v>482.30373239436625</v>
      </c>
      <c r="I435" s="187">
        <v>35.5</v>
      </c>
      <c r="J435" s="30"/>
      <c r="K435" s="25"/>
    </row>
    <row r="436" spans="1:11" s="31" customFormat="1" ht="15.75" customHeight="1" x14ac:dyDescent="0.25">
      <c r="A436" s="169">
        <v>39901</v>
      </c>
      <c r="B436" s="187">
        <v>214.77986494091166</v>
      </c>
      <c r="C436" s="187">
        <v>163.36324882437131</v>
      </c>
      <c r="D436" s="187">
        <v>182.50939281288723</v>
      </c>
      <c r="E436" s="187">
        <v>241.72824468085102</v>
      </c>
      <c r="F436" s="187">
        <v>237.17594838709678</v>
      </c>
      <c r="G436" s="188">
        <v>246.93599749999996</v>
      </c>
      <c r="H436" s="187">
        <v>484.85676056338031</v>
      </c>
      <c r="I436" s="187">
        <v>36</v>
      </c>
      <c r="J436" s="30"/>
      <c r="K436" s="25"/>
    </row>
    <row r="437" spans="1:11" s="31" customFormat="1" ht="15.75" customHeight="1" x14ac:dyDescent="0.25">
      <c r="A437" s="169">
        <v>39908</v>
      </c>
      <c r="B437" s="187">
        <v>216.35115925717506</v>
      </c>
      <c r="C437" s="187">
        <v>163.06774483745653</v>
      </c>
      <c r="D437" s="187">
        <v>183.05938042131353</v>
      </c>
      <c r="E437" s="187">
        <v>238.51991134751771</v>
      </c>
      <c r="F437" s="187">
        <v>237.69308387096777</v>
      </c>
      <c r="G437" s="188">
        <v>246.15122249999996</v>
      </c>
      <c r="H437" s="187">
        <v>476.65105633802818</v>
      </c>
      <c r="I437" s="187">
        <v>37</v>
      </c>
      <c r="J437" s="30"/>
      <c r="K437" s="25"/>
    </row>
    <row r="438" spans="1:11" s="31" customFormat="1" ht="15.75" customHeight="1" x14ac:dyDescent="0.25">
      <c r="A438" s="169">
        <v>39915</v>
      </c>
      <c r="B438" s="187">
        <v>217.51620709060214</v>
      </c>
      <c r="C438" s="187">
        <v>164.6310488652627</v>
      </c>
      <c r="D438" s="187">
        <v>185.64753407682772</v>
      </c>
      <c r="E438" s="187">
        <v>241.64632978723404</v>
      </c>
      <c r="F438" s="187">
        <v>238.50854193548386</v>
      </c>
      <c r="G438" s="188">
        <v>248.07069750000002</v>
      </c>
      <c r="H438" s="187">
        <v>519.93035211267613</v>
      </c>
      <c r="I438" s="187">
        <v>37</v>
      </c>
      <c r="J438" s="30"/>
      <c r="K438" s="25"/>
    </row>
    <row r="439" spans="1:11" s="31" customFormat="1" ht="15.75" customHeight="1" x14ac:dyDescent="0.25">
      <c r="A439" s="169">
        <v>39922</v>
      </c>
      <c r="B439" s="187">
        <v>217.64763083849186</v>
      </c>
      <c r="C439" s="187">
        <v>165.43047025148232</v>
      </c>
      <c r="D439" s="187">
        <v>189.76831474597273</v>
      </c>
      <c r="E439" s="187">
        <v>241.71459219858156</v>
      </c>
      <c r="F439" s="187">
        <v>238.34891612903226</v>
      </c>
      <c r="G439" s="188">
        <v>245.92183249999999</v>
      </c>
      <c r="H439" s="187">
        <v>506.83659624413144</v>
      </c>
      <c r="I439" s="187">
        <v>37</v>
      </c>
      <c r="J439" s="30"/>
      <c r="K439" s="25"/>
    </row>
    <row r="440" spans="1:11" s="31" customFormat="1" ht="15.75" customHeight="1" x14ac:dyDescent="0.25">
      <c r="A440" s="169">
        <v>39929</v>
      </c>
      <c r="B440" s="187">
        <v>218.55444006752953</v>
      </c>
      <c r="C440" s="187">
        <v>165.20407687589449</v>
      </c>
      <c r="D440" s="187">
        <v>192.09786864931849</v>
      </c>
      <c r="E440" s="187">
        <v>244.3565070921986</v>
      </c>
      <c r="F440" s="187">
        <v>241.9434516129032</v>
      </c>
      <c r="G440" s="188">
        <v>244.87535</v>
      </c>
      <c r="H440" s="187">
        <v>471.29403755868549</v>
      </c>
      <c r="I440" s="187">
        <v>37</v>
      </c>
      <c r="J440" s="30"/>
      <c r="K440" s="25"/>
    </row>
    <row r="441" spans="1:11" s="31" customFormat="1" ht="15.75" customHeight="1" x14ac:dyDescent="0.25">
      <c r="A441" s="169">
        <v>39936</v>
      </c>
      <c r="B441" s="187">
        <v>217.07578503095104</v>
      </c>
      <c r="C441" s="187">
        <v>166.2424309957064</v>
      </c>
      <c r="D441" s="187">
        <v>190.68732342007436</v>
      </c>
      <c r="E441" s="187">
        <v>229.68691489361703</v>
      </c>
      <c r="F441" s="187">
        <v>242.49801935483873</v>
      </c>
      <c r="G441" s="188">
        <v>254.84902499999998</v>
      </c>
      <c r="H441" s="187">
        <v>477.91046948356808</v>
      </c>
      <c r="I441" s="187">
        <v>37.25</v>
      </c>
      <c r="J441" s="30"/>
      <c r="K441" s="25"/>
    </row>
    <row r="442" spans="1:11" s="31" customFormat="1" ht="15.75" customHeight="1" x14ac:dyDescent="0.25">
      <c r="A442" s="169">
        <v>39943</v>
      </c>
      <c r="B442" s="187">
        <v>219.06457512661788</v>
      </c>
      <c r="C442" s="187">
        <v>165.74496830913921</v>
      </c>
      <c r="D442" s="187">
        <v>195.3848079306072</v>
      </c>
      <c r="E442" s="187">
        <v>251.97459219858152</v>
      </c>
      <c r="F442" s="187">
        <v>238.7726193548387</v>
      </c>
      <c r="G442" s="188">
        <v>253.5813675</v>
      </c>
      <c r="H442" s="187">
        <v>480.39009389671361</v>
      </c>
      <c r="I442" s="187">
        <v>37.5</v>
      </c>
      <c r="J442" s="30"/>
      <c r="K442" s="25"/>
    </row>
    <row r="443" spans="1:11" s="31" customFormat="1" ht="15.75" customHeight="1" x14ac:dyDescent="0.25">
      <c r="A443" s="169">
        <v>39950</v>
      </c>
      <c r="B443" s="187">
        <v>218.16559932470457</v>
      </c>
      <c r="C443" s="187">
        <v>165.54265794316089</v>
      </c>
      <c r="D443" s="187">
        <v>191.06986369268898</v>
      </c>
      <c r="E443" s="187">
        <v>249.03930851063831</v>
      </c>
      <c r="F443" s="187">
        <v>237.76406451612905</v>
      </c>
      <c r="G443" s="188">
        <v>253.87351249999998</v>
      </c>
      <c r="H443" s="187">
        <v>452.08737089201878</v>
      </c>
      <c r="I443" s="187">
        <v>38.25</v>
      </c>
      <c r="J443" s="30"/>
      <c r="K443" s="25"/>
    </row>
    <row r="444" spans="1:11" s="31" customFormat="1" ht="15.75" customHeight="1" x14ac:dyDescent="0.25">
      <c r="A444" s="169">
        <v>39957</v>
      </c>
      <c r="B444" s="187">
        <v>218.20099606077659</v>
      </c>
      <c r="C444" s="187">
        <v>165.82572071151094</v>
      </c>
      <c r="D444" s="187">
        <v>191.56149938042128</v>
      </c>
      <c r="E444" s="187">
        <v>216.75686170212765</v>
      </c>
      <c r="F444" s="187">
        <v>239.73032258064515</v>
      </c>
      <c r="G444" s="188">
        <v>251.57213750000003</v>
      </c>
      <c r="H444" s="187">
        <v>496.14936619718304</v>
      </c>
      <c r="I444" s="187">
        <v>38.25</v>
      </c>
      <c r="J444" s="30"/>
      <c r="K444" s="25"/>
    </row>
    <row r="445" spans="1:11" s="31" customFormat="1" ht="15.75" customHeight="1" x14ac:dyDescent="0.25">
      <c r="A445" s="169">
        <v>39964</v>
      </c>
      <c r="B445" s="187">
        <v>219.91283624085537</v>
      </c>
      <c r="C445" s="187">
        <v>166.50555101206297</v>
      </c>
      <c r="D445" s="187">
        <v>193.70437422552661</v>
      </c>
      <c r="E445" s="187">
        <v>241.04909574468087</v>
      </c>
      <c r="F445" s="187">
        <v>238.46983870967742</v>
      </c>
      <c r="G445" s="188">
        <v>251.94548</v>
      </c>
      <c r="H445" s="187">
        <v>494.70166666666671</v>
      </c>
      <c r="I445" s="187">
        <v>38.5</v>
      </c>
      <c r="J445" s="30"/>
      <c r="K445" s="25"/>
    </row>
    <row r="446" spans="1:11" s="31" customFormat="1" ht="15.75" customHeight="1" x14ac:dyDescent="0.25">
      <c r="A446" s="169">
        <v>39971</v>
      </c>
      <c r="B446" s="187">
        <v>218.93776027011816</v>
      </c>
      <c r="C446" s="187">
        <v>165.86162338989985</v>
      </c>
      <c r="D446" s="187">
        <v>194.17244114002474</v>
      </c>
      <c r="E446" s="187">
        <v>225.75654255319148</v>
      </c>
      <c r="F446" s="187">
        <v>238.8981935483871</v>
      </c>
      <c r="G446" s="188">
        <v>248.260515</v>
      </c>
      <c r="H446" s="187">
        <v>458.0451877934272</v>
      </c>
      <c r="I446" s="187">
        <v>39</v>
      </c>
      <c r="J446" s="30"/>
      <c r="K446" s="25"/>
    </row>
    <row r="447" spans="1:11" s="31" customFormat="1" ht="15.75" customHeight="1" x14ac:dyDescent="0.25">
      <c r="A447" s="169">
        <v>39978</v>
      </c>
      <c r="B447" s="187">
        <v>220.38837366347775</v>
      </c>
      <c r="C447" s="187">
        <v>167.95452872623187</v>
      </c>
      <c r="D447" s="187">
        <v>196.433581164808</v>
      </c>
      <c r="E447" s="187">
        <v>226.11301418439717</v>
      </c>
      <c r="F447" s="187">
        <v>235.11930967741935</v>
      </c>
      <c r="G447" s="188">
        <v>252.19169499999998</v>
      </c>
      <c r="H447" s="187">
        <v>463.49899061032863</v>
      </c>
      <c r="I447" s="187">
        <v>39.5</v>
      </c>
      <c r="J447" s="30"/>
      <c r="K447" s="25"/>
    </row>
    <row r="448" spans="1:11" s="31" customFormat="1" ht="15.75" customHeight="1" x14ac:dyDescent="0.25">
      <c r="A448" s="169">
        <v>39985</v>
      </c>
      <c r="B448" s="187">
        <v>219.72887450759706</v>
      </c>
      <c r="C448" s="187">
        <v>165.23296258433857</v>
      </c>
      <c r="D448" s="187">
        <v>195.10506815365548</v>
      </c>
      <c r="E448" s="187">
        <v>205.190585106383</v>
      </c>
      <c r="F448" s="187">
        <v>240.35296129032255</v>
      </c>
      <c r="G448" s="188">
        <v>249.41057750000002</v>
      </c>
      <c r="H448" s="187">
        <v>458.94180751173712</v>
      </c>
      <c r="I448" s="187">
        <v>40</v>
      </c>
      <c r="J448" s="30"/>
      <c r="K448" s="25"/>
    </row>
    <row r="449" spans="1:11" s="31" customFormat="1" ht="15.75" customHeight="1" x14ac:dyDescent="0.25">
      <c r="A449" s="169">
        <v>39992</v>
      </c>
      <c r="B449" s="187">
        <v>221.52271806415305</v>
      </c>
      <c r="C449" s="187">
        <v>166.72663872418724</v>
      </c>
      <c r="D449" s="187">
        <v>193.16527881040898</v>
      </c>
      <c r="E449" s="187">
        <v>242.03180851063831</v>
      </c>
      <c r="F449" s="187">
        <v>235.30247096774195</v>
      </c>
      <c r="G449" s="188">
        <v>247.25994749999998</v>
      </c>
      <c r="H449" s="187">
        <v>459.28765258215958</v>
      </c>
      <c r="I449" s="187">
        <v>40</v>
      </c>
      <c r="J449" s="30"/>
      <c r="K449" s="25"/>
    </row>
    <row r="450" spans="1:11" s="31" customFormat="1" ht="15.75" customHeight="1" x14ac:dyDescent="0.25">
      <c r="A450" s="169">
        <v>39999</v>
      </c>
      <c r="B450" s="187">
        <v>223.7022903770399</v>
      </c>
      <c r="C450" s="187">
        <v>166.8019811899407</v>
      </c>
      <c r="D450" s="187">
        <v>194.75941759603467</v>
      </c>
      <c r="E450" s="187">
        <v>236.28411347517729</v>
      </c>
      <c r="F450" s="187">
        <v>238.61519999999999</v>
      </c>
      <c r="G450" s="188">
        <v>256.098455</v>
      </c>
      <c r="H450" s="187">
        <v>466.22922535211268</v>
      </c>
      <c r="I450" s="187">
        <v>42</v>
      </c>
      <c r="J450" s="30"/>
      <c r="K450" s="25"/>
    </row>
    <row r="451" spans="1:11" s="31" customFormat="1" ht="15.75" customHeight="1" x14ac:dyDescent="0.25">
      <c r="A451" s="169">
        <v>40006</v>
      </c>
      <c r="B451" s="187">
        <v>221.88011254924029</v>
      </c>
      <c r="C451" s="187">
        <v>167.44596606011041</v>
      </c>
      <c r="D451" s="187">
        <v>195.55991325898387</v>
      </c>
      <c r="E451" s="187">
        <v>234.34546099290779</v>
      </c>
      <c r="F451" s="187">
        <v>241.09759999999997</v>
      </c>
      <c r="G451" s="188">
        <v>255.173395</v>
      </c>
      <c r="H451" s="187">
        <v>489.65870892018779</v>
      </c>
      <c r="I451" s="187">
        <v>42.5</v>
      </c>
      <c r="J451" s="30"/>
      <c r="K451" s="25"/>
    </row>
    <row r="452" spans="1:11" s="31" customFormat="1" ht="15.75" customHeight="1" x14ac:dyDescent="0.25">
      <c r="A452" s="169">
        <v>40013</v>
      </c>
      <c r="B452" s="187">
        <v>224.6337253798537</v>
      </c>
      <c r="C452" s="187">
        <v>167.08477203025964</v>
      </c>
      <c r="D452" s="187">
        <v>194.68939281288723</v>
      </c>
      <c r="E452" s="187">
        <v>247.99794326241135</v>
      </c>
      <c r="F452" s="187">
        <v>241.43361935483867</v>
      </c>
      <c r="G452" s="188">
        <v>256.9129825</v>
      </c>
      <c r="H452" s="187">
        <v>495.9197887323943</v>
      </c>
      <c r="I452" s="187">
        <v>42.75</v>
      </c>
      <c r="J452" s="30"/>
      <c r="K452" s="25"/>
    </row>
    <row r="453" spans="1:11" s="31" customFormat="1" ht="15.75" customHeight="1" x14ac:dyDescent="0.25">
      <c r="A453" s="169">
        <v>40020</v>
      </c>
      <c r="B453" s="187">
        <v>225.63272931907713</v>
      </c>
      <c r="C453" s="187">
        <v>167.38391739930483</v>
      </c>
      <c r="D453" s="187">
        <v>194.15035935563816</v>
      </c>
      <c r="E453" s="187">
        <v>229.63535460992907</v>
      </c>
      <c r="F453" s="187">
        <v>244.1469225806452</v>
      </c>
      <c r="G453" s="188">
        <v>256.82294000000002</v>
      </c>
      <c r="H453" s="187">
        <v>480.73136150234745</v>
      </c>
      <c r="I453" s="187">
        <v>44.25</v>
      </c>
      <c r="J453" s="30"/>
      <c r="K453" s="25"/>
    </row>
    <row r="454" spans="1:11" s="31" customFormat="1" ht="15.75" customHeight="1" x14ac:dyDescent="0.25">
      <c r="A454" s="169">
        <v>40027</v>
      </c>
      <c r="B454" s="187">
        <v>226.6593978615644</v>
      </c>
      <c r="C454" s="187">
        <v>168.14395624616645</v>
      </c>
      <c r="D454" s="187">
        <v>193.4693308550186</v>
      </c>
      <c r="E454" s="187">
        <v>232.53650709219858</v>
      </c>
      <c r="F454" s="187">
        <v>245.01670967741933</v>
      </c>
      <c r="G454" s="188">
        <v>255.59759</v>
      </c>
      <c r="H454" s="187">
        <v>448.96431924882631</v>
      </c>
      <c r="I454" s="187">
        <v>45.25</v>
      </c>
      <c r="J454" s="30"/>
      <c r="K454" s="25"/>
    </row>
    <row r="455" spans="1:11" s="31" customFormat="1" ht="15.75" customHeight="1" x14ac:dyDescent="0.25">
      <c r="A455" s="169">
        <v>40034</v>
      </c>
      <c r="B455" s="187">
        <v>230.19581316826108</v>
      </c>
      <c r="C455" s="187">
        <v>169.21767123287674</v>
      </c>
      <c r="D455" s="187">
        <v>195.26946716232965</v>
      </c>
      <c r="E455" s="187">
        <v>238.00751773049643</v>
      </c>
      <c r="F455" s="187">
        <v>246.08775483870966</v>
      </c>
      <c r="G455" s="188">
        <v>252.87934250000001</v>
      </c>
      <c r="H455" s="187">
        <v>456.21978873239436</v>
      </c>
      <c r="I455" s="187">
        <v>46.75</v>
      </c>
      <c r="J455" s="30"/>
      <c r="K455" s="25"/>
    </row>
    <row r="456" spans="1:11" s="31" customFormat="1" ht="15.75" customHeight="1" x14ac:dyDescent="0.25">
      <c r="A456" s="169">
        <v>40041</v>
      </c>
      <c r="B456" s="187">
        <v>227.29070906021386</v>
      </c>
      <c r="C456" s="187">
        <v>169.47557554692293</v>
      </c>
      <c r="D456" s="187">
        <v>196.76194547707561</v>
      </c>
      <c r="E456" s="187">
        <v>236.23269503546098</v>
      </c>
      <c r="F456" s="187">
        <v>247.55741935483871</v>
      </c>
      <c r="G456" s="188">
        <v>248.6333975</v>
      </c>
      <c r="H456" s="187">
        <v>462.79112676056343</v>
      </c>
      <c r="I456" s="187">
        <v>48</v>
      </c>
      <c r="J456" s="30"/>
      <c r="K456" s="25"/>
    </row>
    <row r="457" spans="1:11" s="31" customFormat="1" ht="15.75" customHeight="1" x14ac:dyDescent="0.25">
      <c r="A457" s="169">
        <v>40048</v>
      </c>
      <c r="B457" s="187">
        <v>232.70535734383787</v>
      </c>
      <c r="C457" s="187">
        <v>168.87815784093232</v>
      </c>
      <c r="D457" s="187">
        <v>197.90869888475837</v>
      </c>
      <c r="E457" s="187">
        <v>231.37923758865247</v>
      </c>
      <c r="F457" s="187">
        <v>247.26190322580649</v>
      </c>
      <c r="G457" s="188">
        <v>248.66990750000002</v>
      </c>
      <c r="H457" s="187">
        <v>454.94220657276992</v>
      </c>
      <c r="I457" s="187">
        <v>49</v>
      </c>
      <c r="J457" s="30"/>
      <c r="K457" s="25"/>
    </row>
    <row r="458" spans="1:11" s="31" customFormat="1" ht="15.75" customHeight="1" x14ac:dyDescent="0.25">
      <c r="A458" s="169">
        <v>40055</v>
      </c>
      <c r="B458" s="187">
        <v>235.74023072594264</v>
      </c>
      <c r="C458" s="187">
        <v>169.7732017992231</v>
      </c>
      <c r="D458" s="187">
        <v>198.85685254027263</v>
      </c>
      <c r="E458" s="187">
        <v>228.97586879432623</v>
      </c>
      <c r="F458" s="187">
        <v>244.604735483871</v>
      </c>
      <c r="G458" s="188">
        <v>250.73192750000001</v>
      </c>
      <c r="H458" s="187">
        <v>464.47166666666664</v>
      </c>
      <c r="I458" s="187">
        <v>48.5</v>
      </c>
      <c r="J458" s="30"/>
      <c r="K458" s="25"/>
    </row>
    <row r="459" spans="1:11" s="31" customFormat="1" ht="15.75" customHeight="1" x14ac:dyDescent="0.25">
      <c r="A459" s="169">
        <v>40062</v>
      </c>
      <c r="B459" s="187">
        <v>236.70912774338774</v>
      </c>
      <c r="C459" s="187">
        <v>171.94269679002247</v>
      </c>
      <c r="D459" s="187">
        <v>200.70453531598514</v>
      </c>
      <c r="E459" s="187">
        <v>229.13833333333332</v>
      </c>
      <c r="F459" s="187">
        <v>246.4484516129032</v>
      </c>
      <c r="G459" s="188">
        <v>250.04096999999999</v>
      </c>
      <c r="H459" s="187">
        <v>451.93037558685444</v>
      </c>
      <c r="I459" s="187">
        <v>49.5</v>
      </c>
      <c r="J459" s="30"/>
      <c r="K459" s="25"/>
    </row>
    <row r="460" spans="1:11" s="31" customFormat="1" ht="15.75" customHeight="1" x14ac:dyDescent="0.25">
      <c r="A460" s="169">
        <v>40069</v>
      </c>
      <c r="B460" s="187">
        <v>239.7106696679798</v>
      </c>
      <c r="C460" s="187">
        <v>175.33574729094258</v>
      </c>
      <c r="D460" s="187">
        <v>206.01995043370508</v>
      </c>
      <c r="E460" s="187">
        <v>219.47157801418439</v>
      </c>
      <c r="F460" s="187">
        <v>243.76569032258064</v>
      </c>
      <c r="G460" s="188">
        <v>248.419375</v>
      </c>
      <c r="H460" s="187">
        <v>448.47600938967133</v>
      </c>
      <c r="I460" s="187">
        <v>53</v>
      </c>
      <c r="J460" s="30"/>
      <c r="K460" s="25"/>
    </row>
    <row r="461" spans="1:11" s="31" customFormat="1" ht="15.75" customHeight="1" x14ac:dyDescent="0.25">
      <c r="A461" s="169">
        <v>40076</v>
      </c>
      <c r="B461" s="187">
        <v>243.39894766460327</v>
      </c>
      <c r="C461" s="187">
        <v>177.07819668779393</v>
      </c>
      <c r="D461" s="187">
        <v>214.43662949194547</v>
      </c>
      <c r="E461" s="187">
        <v>226.51093971631204</v>
      </c>
      <c r="F461" s="187">
        <v>249.47850967741937</v>
      </c>
      <c r="G461" s="188">
        <v>250.35507749999999</v>
      </c>
      <c r="H461" s="187">
        <v>463.04546948356807</v>
      </c>
      <c r="I461" s="187">
        <v>56.5</v>
      </c>
      <c r="J461" s="30"/>
      <c r="K461" s="25"/>
    </row>
    <row r="462" spans="1:11" s="31" customFormat="1" ht="15.75" customHeight="1" x14ac:dyDescent="0.25">
      <c r="A462" s="169">
        <v>40083</v>
      </c>
      <c r="B462" s="187">
        <v>243.19139561057969</v>
      </c>
      <c r="C462" s="187">
        <v>179.10147822531178</v>
      </c>
      <c r="D462" s="187">
        <v>218.69871127633209</v>
      </c>
      <c r="E462" s="187">
        <v>220.89950354609931</v>
      </c>
      <c r="F462" s="187">
        <v>247.44605161290323</v>
      </c>
      <c r="G462" s="188">
        <v>250.33212749999998</v>
      </c>
      <c r="H462" s="187">
        <v>436.87225352112677</v>
      </c>
      <c r="I462" s="187">
        <v>57</v>
      </c>
      <c r="J462" s="30"/>
      <c r="K462" s="25"/>
    </row>
    <row r="463" spans="1:11" s="31" customFormat="1" ht="15.75" customHeight="1" x14ac:dyDescent="0.25">
      <c r="A463" s="169">
        <v>40090</v>
      </c>
      <c r="B463" s="187">
        <v>251.76526730444573</v>
      </c>
      <c r="C463" s="187">
        <v>180.36133919443876</v>
      </c>
      <c r="D463" s="187">
        <v>222.38845105328377</v>
      </c>
      <c r="E463" s="187">
        <v>224.24232269503548</v>
      </c>
      <c r="F463" s="187">
        <v>248.97344516129033</v>
      </c>
      <c r="G463" s="188">
        <v>249.62796499999999</v>
      </c>
      <c r="H463" s="187">
        <v>506.54701877934269</v>
      </c>
      <c r="I463" s="187">
        <v>59</v>
      </c>
      <c r="J463" s="30"/>
      <c r="K463" s="25"/>
    </row>
    <row r="464" spans="1:11" s="31" customFormat="1" ht="15.75" customHeight="1" x14ac:dyDescent="0.25">
      <c r="A464" s="169">
        <v>40097</v>
      </c>
      <c r="B464" s="187">
        <v>260.64215531795162</v>
      </c>
      <c r="C464" s="187">
        <v>185.04176037620115</v>
      </c>
      <c r="D464" s="187">
        <v>229.60517967781905</v>
      </c>
      <c r="E464" s="187">
        <v>228.80978723404255</v>
      </c>
      <c r="F464" s="187">
        <v>248.11482580645165</v>
      </c>
      <c r="G464" s="188">
        <v>252.78419500000001</v>
      </c>
      <c r="H464" s="187">
        <v>505.04549295774655</v>
      </c>
      <c r="I464" s="187">
        <v>60.5</v>
      </c>
      <c r="J464" s="30"/>
      <c r="K464" s="25"/>
    </row>
    <row r="465" spans="1:11" s="31" customFormat="1" ht="15.75" customHeight="1" x14ac:dyDescent="0.25">
      <c r="A465" s="169">
        <v>40104</v>
      </c>
      <c r="B465" s="187">
        <v>271.91009566685432</v>
      </c>
      <c r="C465" s="187">
        <v>191.99447147822531</v>
      </c>
      <c r="D465" s="187">
        <v>239.15867410161084</v>
      </c>
      <c r="E465" s="187">
        <v>227.92078014184398</v>
      </c>
      <c r="F465" s="187">
        <v>245.32500645161292</v>
      </c>
      <c r="G465" s="188">
        <v>252.4604875</v>
      </c>
      <c r="H465" s="187">
        <v>471.82589201877937</v>
      </c>
      <c r="I465" s="187">
        <v>62</v>
      </c>
      <c r="J465" s="30"/>
      <c r="K465" s="25"/>
    </row>
    <row r="466" spans="1:11" s="31" customFormat="1" ht="15.75" customHeight="1" x14ac:dyDescent="0.25">
      <c r="A466" s="169">
        <v>40111</v>
      </c>
      <c r="B466" s="187">
        <v>273.08371975239169</v>
      </c>
      <c r="C466" s="187">
        <v>196.9867879779186</v>
      </c>
      <c r="D466" s="187">
        <v>244.70395291201979</v>
      </c>
      <c r="E466" s="187">
        <v>236.43992907801419</v>
      </c>
      <c r="F466" s="187">
        <v>249.01350322580646</v>
      </c>
      <c r="G466" s="188">
        <v>255.22879249999997</v>
      </c>
      <c r="H466" s="187">
        <v>447.03267605633806</v>
      </c>
      <c r="I466" s="187">
        <v>67</v>
      </c>
      <c r="J466" s="30"/>
      <c r="K466" s="25"/>
    </row>
    <row r="467" spans="1:11" s="31" customFormat="1" ht="15.75" customHeight="1" x14ac:dyDescent="0.25">
      <c r="A467" s="169">
        <v>40118</v>
      </c>
      <c r="B467" s="187">
        <v>278.50602138435568</v>
      </c>
      <c r="C467" s="187">
        <v>202.4383438969536</v>
      </c>
      <c r="D467" s="187">
        <v>245.01463444857492</v>
      </c>
      <c r="E467" s="187">
        <v>230.83531914893615</v>
      </c>
      <c r="F467" s="187">
        <v>253.77837419354842</v>
      </c>
      <c r="G467" s="188">
        <v>258.0799725</v>
      </c>
      <c r="H467" s="187">
        <v>459.10744131455397</v>
      </c>
      <c r="I467" s="187">
        <v>70.25</v>
      </c>
      <c r="J467" s="30"/>
      <c r="K467" s="25"/>
    </row>
    <row r="468" spans="1:11" s="31" customFormat="1" ht="15.75" customHeight="1" x14ac:dyDescent="0.25">
      <c r="A468" s="169">
        <v>40125</v>
      </c>
      <c r="B468" s="187">
        <v>290.69612830613386</v>
      </c>
      <c r="C468" s="187">
        <v>204.76733796769577</v>
      </c>
      <c r="D468" s="187">
        <v>247.74733581164804</v>
      </c>
      <c r="E468" s="187">
        <v>237.51820921985814</v>
      </c>
      <c r="F468" s="187">
        <v>279.80311612903228</v>
      </c>
      <c r="G468" s="188">
        <v>260.96211499999998</v>
      </c>
      <c r="H468" s="187">
        <v>491.24633802816902</v>
      </c>
      <c r="I468" s="187">
        <v>70.25</v>
      </c>
      <c r="J468" s="30"/>
      <c r="K468" s="25"/>
    </row>
    <row r="469" spans="1:11" s="31" customFormat="1" ht="15.75" customHeight="1" x14ac:dyDescent="0.25">
      <c r="A469" s="169">
        <v>40132</v>
      </c>
      <c r="B469" s="187">
        <v>288.02706809229039</v>
      </c>
      <c r="C469" s="187">
        <v>206.68956655080763</v>
      </c>
      <c r="D469" s="187">
        <v>250.9598389095415</v>
      </c>
      <c r="E469" s="187">
        <v>239.76120567375887</v>
      </c>
      <c r="F469" s="187">
        <v>281.92583870967746</v>
      </c>
      <c r="G469" s="188">
        <v>263.42579749999999</v>
      </c>
      <c r="H469" s="187">
        <v>470.6236150234742</v>
      </c>
      <c r="I469" s="187">
        <v>67</v>
      </c>
      <c r="J469" s="30"/>
      <c r="K469" s="25"/>
    </row>
    <row r="470" spans="1:11" s="31" customFormat="1" ht="15.75" customHeight="1" x14ac:dyDescent="0.25">
      <c r="A470" s="169">
        <v>40139</v>
      </c>
      <c r="B470" s="187">
        <v>295.00615644344401</v>
      </c>
      <c r="C470" s="187">
        <v>208.59460846452666</v>
      </c>
      <c r="D470" s="187">
        <v>253.11324659231724</v>
      </c>
      <c r="E470" s="187">
        <v>244.97645390070923</v>
      </c>
      <c r="F470" s="187">
        <v>289.23687096774194</v>
      </c>
      <c r="G470" s="188">
        <v>266.10225500000001</v>
      </c>
      <c r="H470" s="187">
        <v>448.67330985915493</v>
      </c>
      <c r="I470" s="187">
        <v>65</v>
      </c>
      <c r="J470" s="30"/>
      <c r="K470" s="25"/>
    </row>
    <row r="471" spans="1:11" s="31" customFormat="1" ht="15.75" customHeight="1" x14ac:dyDescent="0.25">
      <c r="A471" s="169">
        <v>40146</v>
      </c>
      <c r="B471" s="187">
        <v>295.55539110861002</v>
      </c>
      <c r="C471" s="187">
        <v>208.08320997750968</v>
      </c>
      <c r="D471" s="187">
        <v>252.89572490706325</v>
      </c>
      <c r="E471" s="187">
        <v>237.85721631205675</v>
      </c>
      <c r="F471" s="187">
        <v>288.35693548387093</v>
      </c>
      <c r="G471" s="188">
        <v>268.141505</v>
      </c>
      <c r="H471" s="187">
        <v>454.29225352112678</v>
      </c>
      <c r="I471" s="187">
        <v>66</v>
      </c>
      <c r="J471" s="30"/>
      <c r="K471" s="25"/>
    </row>
    <row r="472" spans="1:11" s="31" customFormat="1" ht="15.75" customHeight="1" x14ac:dyDescent="0.25">
      <c r="A472" s="169">
        <v>40153</v>
      </c>
      <c r="B472" s="187">
        <v>298.85164321890829</v>
      </c>
      <c r="C472" s="187">
        <v>208.80088529952974</v>
      </c>
      <c r="D472" s="187">
        <v>253.56593556381662</v>
      </c>
      <c r="E472" s="187">
        <v>234.09542553191491</v>
      </c>
      <c r="F472" s="187">
        <v>288.48139354838713</v>
      </c>
      <c r="G472" s="188">
        <v>269.41185249999995</v>
      </c>
      <c r="H472" s="187">
        <v>496.63180751173707</v>
      </c>
      <c r="I472" s="187">
        <v>67</v>
      </c>
      <c r="J472" s="30"/>
      <c r="K472" s="25"/>
    </row>
    <row r="473" spans="1:11" s="31" customFormat="1" ht="15.75" customHeight="1" x14ac:dyDescent="0.25">
      <c r="A473" s="169">
        <v>40160</v>
      </c>
      <c r="B473" s="187">
        <v>302.08088351153629</v>
      </c>
      <c r="C473" s="187">
        <v>212.55598650582698</v>
      </c>
      <c r="D473" s="187">
        <v>254.07695167286246</v>
      </c>
      <c r="E473" s="187">
        <v>235.58354609929077</v>
      </c>
      <c r="F473" s="187">
        <v>288.80564516129039</v>
      </c>
      <c r="G473" s="188">
        <v>271.85219499999994</v>
      </c>
      <c r="H473" s="187">
        <v>461.79211267605638</v>
      </c>
      <c r="I473" s="187">
        <v>66</v>
      </c>
      <c r="J473" s="30"/>
      <c r="K473" s="25"/>
    </row>
    <row r="474" spans="1:11" s="31" customFormat="1" ht="15.75" customHeight="1" x14ac:dyDescent="0.25">
      <c r="A474" s="169">
        <v>40167</v>
      </c>
      <c r="B474" s="187">
        <v>306.43373663477769</v>
      </c>
      <c r="C474" s="187">
        <v>204.75682273563689</v>
      </c>
      <c r="D474" s="187">
        <v>254.59775712515491</v>
      </c>
      <c r="E474" s="187">
        <v>233.10508865248224</v>
      </c>
      <c r="F474" s="187">
        <v>287.6366129032258</v>
      </c>
      <c r="G474" s="188">
        <v>269.54612500000002</v>
      </c>
      <c r="H474" s="187">
        <v>451.31157276995305</v>
      </c>
      <c r="I474" s="187">
        <v>66.5</v>
      </c>
      <c r="J474" s="30"/>
      <c r="K474" s="25"/>
    </row>
    <row r="475" spans="1:11" s="31" customFormat="1" ht="15.75" customHeight="1" x14ac:dyDescent="0.25">
      <c r="A475" s="169">
        <v>40174</v>
      </c>
      <c r="B475" s="187">
        <v>309.00475520540238</v>
      </c>
      <c r="C475" s="187">
        <v>204.78175628705782</v>
      </c>
      <c r="D475" s="187">
        <v>255.55527881040891</v>
      </c>
      <c r="E475" s="187">
        <v>232.57317375886524</v>
      </c>
      <c r="F475" s="187">
        <v>287.75950967741937</v>
      </c>
      <c r="G475" s="188">
        <v>270.09415000000001</v>
      </c>
      <c r="H475" s="187">
        <v>447.98157276995306</v>
      </c>
      <c r="I475" s="187">
        <v>66.5</v>
      </c>
      <c r="J475" s="30"/>
      <c r="K475" s="25"/>
    </row>
    <row r="476" spans="1:11" ht="15.75" customHeight="1" collapsed="1" x14ac:dyDescent="0.25">
      <c r="A476" s="169">
        <v>40181</v>
      </c>
      <c r="B476" s="187">
        <v>301.35745638716941</v>
      </c>
      <c r="C476" s="187">
        <v>203.74121856471069</v>
      </c>
      <c r="D476" s="187">
        <v>251.87012391573731</v>
      </c>
      <c r="E476" s="187">
        <v>234.86679078014183</v>
      </c>
      <c r="F476" s="187">
        <v>291.03636774193546</v>
      </c>
      <c r="G476" s="188">
        <v>268.44443000000007</v>
      </c>
      <c r="H476" s="187">
        <v>430.14441314553989</v>
      </c>
      <c r="I476" s="187">
        <v>71.5</v>
      </c>
      <c r="J476" s="30"/>
    </row>
    <row r="477" spans="1:11" ht="15.75" customHeight="1" x14ac:dyDescent="0.25">
      <c r="A477" s="169">
        <v>40188</v>
      </c>
      <c r="B477" s="187">
        <v>295.40311761395611</v>
      </c>
      <c r="C477" s="187">
        <v>206.12433244735226</v>
      </c>
      <c r="D477" s="187">
        <v>249.2561833952912</v>
      </c>
      <c r="E477" s="187">
        <v>239.26351063829787</v>
      </c>
      <c r="F477" s="187">
        <v>283.19658709677418</v>
      </c>
      <c r="G477" s="188">
        <v>269.03329249999996</v>
      </c>
      <c r="H477" s="187">
        <v>385.91427230046952</v>
      </c>
      <c r="I477" s="187">
        <v>72.5</v>
      </c>
      <c r="J477" s="30"/>
    </row>
    <row r="478" spans="1:11" ht="15.75" customHeight="1" x14ac:dyDescent="0.25">
      <c r="A478" s="169">
        <v>40195</v>
      </c>
      <c r="B478" s="187">
        <v>293.77969611705123</v>
      </c>
      <c r="C478" s="187">
        <v>204.19694745450832</v>
      </c>
      <c r="D478" s="187">
        <v>245.84216852540268</v>
      </c>
      <c r="E478" s="187">
        <v>241.32930851063827</v>
      </c>
      <c r="F478" s="187">
        <v>281.37208387096774</v>
      </c>
      <c r="G478" s="188">
        <v>268.7773325</v>
      </c>
      <c r="H478" s="187">
        <v>390.14786384976532</v>
      </c>
      <c r="I478" s="187">
        <v>72.5</v>
      </c>
      <c r="J478" s="30"/>
    </row>
    <row r="479" spans="1:11" ht="15.75" customHeight="1" x14ac:dyDescent="0.25">
      <c r="A479" s="169">
        <v>40202</v>
      </c>
      <c r="B479" s="187">
        <v>293.79230725942597</v>
      </c>
      <c r="C479" s="187">
        <v>200.38142915559192</v>
      </c>
      <c r="D479" s="187">
        <v>245.58306071871127</v>
      </c>
      <c r="E479" s="187">
        <v>251.50749999999996</v>
      </c>
      <c r="F479" s="187">
        <v>282.96699999999998</v>
      </c>
      <c r="G479" s="188">
        <v>268.73918249999997</v>
      </c>
      <c r="H479" s="187">
        <v>383.65894366197182</v>
      </c>
      <c r="I479" s="187">
        <v>73.5</v>
      </c>
      <c r="J479" s="30"/>
    </row>
    <row r="480" spans="1:11" ht="15.75" customHeight="1" x14ac:dyDescent="0.25">
      <c r="A480" s="169">
        <v>40209</v>
      </c>
      <c r="B480" s="187">
        <v>284.40325830050648</v>
      </c>
      <c r="C480" s="187">
        <v>197.24601308525862</v>
      </c>
      <c r="D480" s="187">
        <v>244.84526641883519</v>
      </c>
      <c r="E480" s="187">
        <v>249.97842198581563</v>
      </c>
      <c r="F480" s="187">
        <v>280.62929032258063</v>
      </c>
      <c r="G480" s="188">
        <v>269.26452749999999</v>
      </c>
      <c r="H480" s="187">
        <v>392.83129107981222</v>
      </c>
      <c r="I480" s="187">
        <v>72.5</v>
      </c>
      <c r="J480" s="30"/>
    </row>
    <row r="481" spans="1:10" ht="15.75" customHeight="1" x14ac:dyDescent="0.25">
      <c r="A481" s="169">
        <v>40216</v>
      </c>
      <c r="B481" s="187">
        <v>284.27176702307258</v>
      </c>
      <c r="C481" s="187">
        <v>194.88419955019424</v>
      </c>
      <c r="D481" s="187">
        <v>237.29332094175959</v>
      </c>
      <c r="E481" s="187">
        <v>240.02858156028367</v>
      </c>
      <c r="F481" s="187">
        <v>282.38467096774195</v>
      </c>
      <c r="G481" s="188">
        <v>270.10495000000003</v>
      </c>
      <c r="H481" s="187">
        <v>391.59241784037556</v>
      </c>
      <c r="I481" s="187">
        <v>70.5</v>
      </c>
      <c r="J481" s="30"/>
    </row>
    <row r="482" spans="1:10" ht="15.75" customHeight="1" x14ac:dyDescent="0.25">
      <c r="A482" s="169">
        <v>40223</v>
      </c>
      <c r="B482" s="187">
        <v>281.54947101857067</v>
      </c>
      <c r="C482" s="187">
        <v>193.46797178491107</v>
      </c>
      <c r="D482" s="187">
        <v>237.57936802973975</v>
      </c>
      <c r="E482" s="187">
        <v>244.69117021276597</v>
      </c>
      <c r="F482" s="187">
        <v>284.34680000000009</v>
      </c>
      <c r="G482" s="188">
        <v>270.35118999999997</v>
      </c>
      <c r="H482" s="187">
        <v>385.93403755868542</v>
      </c>
      <c r="I482" s="187">
        <v>70.5</v>
      </c>
      <c r="J482" s="30"/>
    </row>
    <row r="483" spans="1:10" ht="15.75" customHeight="1" x14ac:dyDescent="0.25">
      <c r="A483" s="169">
        <v>40230</v>
      </c>
      <c r="B483" s="187">
        <v>282.60871693866068</v>
      </c>
      <c r="C483" s="187">
        <v>195.40353097526068</v>
      </c>
      <c r="D483" s="187">
        <v>237.67718711276331</v>
      </c>
      <c r="E483" s="187">
        <v>243.66324468085108</v>
      </c>
      <c r="F483" s="187">
        <v>281.44523870967737</v>
      </c>
      <c r="G483" s="188">
        <v>271.6879275</v>
      </c>
      <c r="H483" s="187">
        <v>379.6827699530516</v>
      </c>
      <c r="I483" s="187">
        <v>71.5</v>
      </c>
      <c r="J483" s="30"/>
    </row>
    <row r="484" spans="1:10" ht="15.75" customHeight="1" x14ac:dyDescent="0.25">
      <c r="A484" s="169">
        <v>40237</v>
      </c>
      <c r="B484" s="187">
        <v>283.08092290377044</v>
      </c>
      <c r="C484" s="187">
        <v>197.46864035984461</v>
      </c>
      <c r="D484" s="187">
        <v>236.10163568773237</v>
      </c>
      <c r="E484" s="187">
        <v>243.66324468085108</v>
      </c>
      <c r="F484" s="187">
        <v>282.25254838709679</v>
      </c>
      <c r="G484" s="188">
        <v>270.26773250000002</v>
      </c>
      <c r="H484" s="187">
        <v>392.39934272300468</v>
      </c>
      <c r="I484" s="187">
        <v>71.5</v>
      </c>
      <c r="J484" s="30"/>
    </row>
    <row r="485" spans="1:10" ht="15.75" customHeight="1" x14ac:dyDescent="0.25">
      <c r="A485" s="169">
        <v>40244</v>
      </c>
      <c r="B485" s="187">
        <v>277.79110861001686</v>
      </c>
      <c r="C485" s="187">
        <v>199.72033939889596</v>
      </c>
      <c r="D485" s="187">
        <v>239.13926889714995</v>
      </c>
      <c r="E485" s="187">
        <v>236.61714539007093</v>
      </c>
      <c r="F485" s="187">
        <v>284.5851806451613</v>
      </c>
      <c r="G485" s="188">
        <v>269.11830249999997</v>
      </c>
      <c r="H485" s="187">
        <v>396.51772300469486</v>
      </c>
      <c r="I485" s="187">
        <v>71.5</v>
      </c>
      <c r="J485" s="30"/>
    </row>
    <row r="486" spans="1:10" ht="15.75" customHeight="1" x14ac:dyDescent="0.25">
      <c r="A486" s="169">
        <v>40251</v>
      </c>
      <c r="B486" s="187">
        <v>279.0680585256049</v>
      </c>
      <c r="C486" s="187">
        <v>200.35419137190758</v>
      </c>
      <c r="D486" s="187">
        <v>242.83175960346966</v>
      </c>
      <c r="E486" s="187">
        <v>232.67556737588652</v>
      </c>
      <c r="F486" s="187">
        <v>285.2667161290322</v>
      </c>
      <c r="G486" s="188">
        <v>270.31734499999999</v>
      </c>
      <c r="H486" s="187">
        <v>394.75882629107986</v>
      </c>
      <c r="I486" s="187">
        <v>70</v>
      </c>
      <c r="J486" s="30"/>
    </row>
    <row r="487" spans="1:10" ht="15.75" customHeight="1" x14ac:dyDescent="0.25">
      <c r="A487" s="169">
        <v>40258</v>
      </c>
      <c r="B487" s="187">
        <v>279.16745075970738</v>
      </c>
      <c r="C487" s="187">
        <v>202.84142506644858</v>
      </c>
      <c r="D487" s="187">
        <v>241.68086741016111</v>
      </c>
      <c r="E487" s="187">
        <v>242.90127659574469</v>
      </c>
      <c r="F487" s="187">
        <v>286.03347741935488</v>
      </c>
      <c r="G487" s="188">
        <v>270.67690249999998</v>
      </c>
      <c r="H487" s="187">
        <v>379.80384976525818</v>
      </c>
      <c r="I487" s="187">
        <v>70</v>
      </c>
      <c r="J487" s="30"/>
    </row>
    <row r="488" spans="1:10" ht="15.75" customHeight="1" x14ac:dyDescent="0.25">
      <c r="A488" s="169">
        <v>40265</v>
      </c>
      <c r="B488" s="187">
        <v>282.92968486212715</v>
      </c>
      <c r="C488" s="187">
        <v>203.60508484972402</v>
      </c>
      <c r="D488" s="187">
        <v>245.20106567534077</v>
      </c>
      <c r="E488" s="187">
        <v>243.22893617021276</v>
      </c>
      <c r="F488" s="187">
        <v>283.05707741935481</v>
      </c>
      <c r="G488" s="188">
        <v>270.68082999999996</v>
      </c>
      <c r="H488" s="187">
        <v>383.54354460093896</v>
      </c>
      <c r="I488" s="187">
        <v>69.5</v>
      </c>
      <c r="J488" s="30"/>
    </row>
    <row r="489" spans="1:10" ht="15.75" customHeight="1" x14ac:dyDescent="0.25">
      <c r="A489" s="169">
        <v>40272</v>
      </c>
      <c r="B489" s="187">
        <v>287.57877884074287</v>
      </c>
      <c r="C489" s="187">
        <v>206.35805970149252</v>
      </c>
      <c r="D489" s="187">
        <v>248.09760842627017</v>
      </c>
      <c r="E489" s="187">
        <v>250.43744680851063</v>
      </c>
      <c r="F489" s="187">
        <v>283.52620000000002</v>
      </c>
      <c r="G489" s="188">
        <v>271.80365249999994</v>
      </c>
      <c r="H489" s="187">
        <v>380.47892018779339</v>
      </c>
      <c r="I489" s="187">
        <v>67.5</v>
      </c>
      <c r="J489" s="30"/>
    </row>
    <row r="490" spans="1:10" ht="15.75" customHeight="1" x14ac:dyDescent="0.25">
      <c r="A490" s="169">
        <v>40279</v>
      </c>
      <c r="B490" s="187">
        <v>285.37000562746204</v>
      </c>
      <c r="C490" s="187">
        <v>211.24620323042322</v>
      </c>
      <c r="D490" s="187">
        <v>254.94350681536557</v>
      </c>
      <c r="E490" s="187">
        <v>250.04808510638298</v>
      </c>
      <c r="F490" s="187">
        <v>288.68005806451612</v>
      </c>
      <c r="G490" s="188">
        <v>275.84373999999997</v>
      </c>
      <c r="H490" s="187">
        <v>391.04593896713612</v>
      </c>
      <c r="I490" s="187">
        <v>68.5</v>
      </c>
      <c r="J490" s="30"/>
    </row>
    <row r="491" spans="1:10" ht="15.75" customHeight="1" x14ac:dyDescent="0.25">
      <c r="A491" s="169">
        <v>40286</v>
      </c>
      <c r="B491" s="187">
        <v>287.64143500281369</v>
      </c>
      <c r="C491" s="187">
        <v>222.27492741770601</v>
      </c>
      <c r="D491" s="187">
        <v>264.81174721189592</v>
      </c>
      <c r="E491" s="187">
        <v>254.26874113475179</v>
      </c>
      <c r="F491" s="187">
        <v>289.14829677419357</v>
      </c>
      <c r="G491" s="188">
        <v>275.13114000000002</v>
      </c>
      <c r="H491" s="187">
        <v>389.99413145539904</v>
      </c>
      <c r="I491" s="187">
        <v>75</v>
      </c>
      <c r="J491" s="30"/>
    </row>
    <row r="492" spans="1:10" ht="15.75" customHeight="1" x14ac:dyDescent="0.25">
      <c r="A492" s="169">
        <v>40293</v>
      </c>
      <c r="B492" s="187">
        <v>299.18830050647159</v>
      </c>
      <c r="C492" s="187">
        <v>229.81662645675729</v>
      </c>
      <c r="D492" s="187">
        <v>270.47532837670383</v>
      </c>
      <c r="E492" s="187">
        <v>271.86679078014191</v>
      </c>
      <c r="F492" s="187">
        <v>287.12865161290324</v>
      </c>
      <c r="G492" s="188">
        <v>275.73676249999994</v>
      </c>
      <c r="H492" s="187">
        <v>384.02938967136157</v>
      </c>
      <c r="I492" s="187">
        <v>79.5</v>
      </c>
      <c r="J492" s="30"/>
    </row>
    <row r="493" spans="1:10" ht="15.75" customHeight="1" x14ac:dyDescent="0.25">
      <c r="A493" s="169">
        <v>40300</v>
      </c>
      <c r="B493" s="187">
        <v>301.52221722003378</v>
      </c>
      <c r="C493" s="187">
        <v>233.78756082600691</v>
      </c>
      <c r="D493" s="187">
        <v>275.25732342007433</v>
      </c>
      <c r="E493" s="187">
        <v>268.20863475177305</v>
      </c>
      <c r="F493" s="187">
        <v>285.05421935483872</v>
      </c>
      <c r="G493" s="188">
        <v>275.08072999999996</v>
      </c>
      <c r="H493" s="187">
        <v>395.85126760563378</v>
      </c>
      <c r="I493" s="187">
        <v>80</v>
      </c>
      <c r="J493" s="30"/>
    </row>
    <row r="494" spans="1:10" ht="15.75" customHeight="1" x14ac:dyDescent="0.25">
      <c r="A494" s="169">
        <v>40307</v>
      </c>
      <c r="B494" s="187">
        <v>316.45943725379857</v>
      </c>
      <c r="C494" s="187">
        <v>238.70285831118377</v>
      </c>
      <c r="D494" s="187">
        <v>285.64400247831475</v>
      </c>
      <c r="E494" s="187">
        <v>288.54237588652484</v>
      </c>
      <c r="F494" s="187">
        <v>285.39975483870967</v>
      </c>
      <c r="G494" s="188">
        <v>276.53131000000002</v>
      </c>
      <c r="H494" s="187">
        <v>392.31309859154925</v>
      </c>
      <c r="I494" s="187">
        <v>82</v>
      </c>
      <c r="J494" s="30"/>
    </row>
    <row r="495" spans="1:10" ht="15.75" customHeight="1" x14ac:dyDescent="0.25">
      <c r="A495" s="169">
        <v>40314</v>
      </c>
      <c r="B495" s="187">
        <v>326.1808610016883</v>
      </c>
      <c r="C495" s="187">
        <v>241.26628092414634</v>
      </c>
      <c r="D495" s="187">
        <v>289.68014869888475</v>
      </c>
      <c r="E495" s="187">
        <v>265.11471631205677</v>
      </c>
      <c r="F495" s="187">
        <v>287.49788387096771</v>
      </c>
      <c r="G495" s="188">
        <v>274.966455</v>
      </c>
      <c r="H495" s="187">
        <v>391.73284037558687</v>
      </c>
      <c r="I495" s="187">
        <v>77.5</v>
      </c>
      <c r="J495" s="30"/>
    </row>
    <row r="496" spans="1:10" ht="15.75" customHeight="1" x14ac:dyDescent="0.25">
      <c r="A496" s="169">
        <v>40321</v>
      </c>
      <c r="B496" s="187">
        <v>342.51463702870001</v>
      </c>
      <c r="C496" s="187">
        <v>238.83546105090983</v>
      </c>
      <c r="D496" s="187">
        <v>289.3563073110285</v>
      </c>
      <c r="E496" s="187">
        <v>286.69751773049643</v>
      </c>
      <c r="F496" s="187">
        <v>281.71230967741934</v>
      </c>
      <c r="G496" s="188">
        <v>276.43818499999998</v>
      </c>
      <c r="H496" s="187">
        <v>386.68349765258216</v>
      </c>
      <c r="I496" s="187">
        <v>73.5</v>
      </c>
      <c r="J496" s="30"/>
    </row>
    <row r="497" spans="1:10" ht="15.75" customHeight="1" x14ac:dyDescent="0.25">
      <c r="A497" s="169">
        <v>40328</v>
      </c>
      <c r="B497" s="187">
        <v>340.5474957794035</v>
      </c>
      <c r="C497" s="187">
        <v>238.08214884481694</v>
      </c>
      <c r="D497" s="187">
        <v>289.98420074349445</v>
      </c>
      <c r="E497" s="187">
        <v>285.57721631205669</v>
      </c>
      <c r="F497" s="187">
        <v>282.53777419354839</v>
      </c>
      <c r="G497" s="188">
        <v>279.35546250000004</v>
      </c>
      <c r="H497" s="187">
        <v>387.04833333333335</v>
      </c>
      <c r="I497" s="187">
        <v>72</v>
      </c>
      <c r="J497" s="30"/>
    </row>
    <row r="498" spans="1:10" ht="15.75" customHeight="1" x14ac:dyDescent="0.25">
      <c r="A498" s="169">
        <v>40335</v>
      </c>
      <c r="B498" s="187">
        <v>343.85964546989311</v>
      </c>
      <c r="C498" s="187">
        <v>235.7897873645471</v>
      </c>
      <c r="D498" s="187">
        <v>289.74157372986366</v>
      </c>
      <c r="E498" s="187">
        <v>310.36852836879427</v>
      </c>
      <c r="F498" s="187">
        <v>283.90220645161293</v>
      </c>
      <c r="G498" s="188">
        <v>282.77914750000002</v>
      </c>
      <c r="H498" s="187">
        <v>393.94183098591549</v>
      </c>
      <c r="I498" s="187">
        <v>70</v>
      </c>
      <c r="J498" s="30"/>
    </row>
    <row r="499" spans="1:10" ht="15.75" customHeight="1" x14ac:dyDescent="0.25">
      <c r="A499" s="169">
        <v>40342</v>
      </c>
      <c r="B499" s="187">
        <v>341.39794034890258</v>
      </c>
      <c r="C499" s="187">
        <v>234.84906358617869</v>
      </c>
      <c r="D499" s="187">
        <v>292.18982651796773</v>
      </c>
      <c r="E499" s="187">
        <v>298.40868794326241</v>
      </c>
      <c r="F499" s="187">
        <v>282.65513548387099</v>
      </c>
      <c r="G499" s="188">
        <v>283.35458500000004</v>
      </c>
      <c r="H499" s="187">
        <v>384.2353755868545</v>
      </c>
      <c r="I499" s="187">
        <v>71</v>
      </c>
      <c r="J499" s="30"/>
    </row>
    <row r="500" spans="1:10" ht="15.75" customHeight="1" x14ac:dyDescent="0.25">
      <c r="A500" s="169">
        <v>40349</v>
      </c>
      <c r="B500" s="187">
        <v>351.49647720877891</v>
      </c>
      <c r="C500" s="187">
        <v>231.51085054181146</v>
      </c>
      <c r="D500" s="187">
        <v>291.88190830235436</v>
      </c>
      <c r="E500" s="187">
        <v>296.16232269503541</v>
      </c>
      <c r="F500" s="187">
        <v>285.41352258064512</v>
      </c>
      <c r="G500" s="188">
        <v>287.30870750000003</v>
      </c>
      <c r="H500" s="187">
        <v>397.59530516431926</v>
      </c>
      <c r="I500" s="187">
        <v>71</v>
      </c>
      <c r="J500" s="30"/>
    </row>
    <row r="501" spans="1:10" ht="15.75" customHeight="1" x14ac:dyDescent="0.25">
      <c r="A501" s="169">
        <v>40356</v>
      </c>
      <c r="B501" s="187">
        <v>355.13041643218901</v>
      </c>
      <c r="C501" s="187">
        <v>231.59796769576775</v>
      </c>
      <c r="D501" s="187">
        <v>291.31112763320937</v>
      </c>
      <c r="E501" s="187">
        <v>308.72260638297871</v>
      </c>
      <c r="F501" s="187">
        <v>285.98893548387093</v>
      </c>
      <c r="G501" s="188">
        <v>289.08222999999998</v>
      </c>
      <c r="H501" s="187">
        <v>391.73591549295776</v>
      </c>
      <c r="I501" s="187">
        <v>70.5</v>
      </c>
      <c r="J501" s="30"/>
    </row>
    <row r="502" spans="1:10" ht="15.75" customHeight="1" collapsed="1" x14ac:dyDescent="0.25">
      <c r="A502" s="169">
        <v>40363</v>
      </c>
      <c r="B502" s="187">
        <v>358.70421496904896</v>
      </c>
      <c r="C502" s="187">
        <v>231.54372520956861</v>
      </c>
      <c r="D502" s="187">
        <v>291.36027261462203</v>
      </c>
      <c r="E502" s="187">
        <v>303.96365248226948</v>
      </c>
      <c r="F502" s="187">
        <v>283.13758064516128</v>
      </c>
      <c r="G502" s="188">
        <v>289.18318749999997</v>
      </c>
      <c r="H502" s="187">
        <v>388.28847417840376</v>
      </c>
      <c r="I502" s="187">
        <v>66</v>
      </c>
      <c r="J502" s="30"/>
    </row>
    <row r="503" spans="1:10" ht="15.75" customHeight="1" x14ac:dyDescent="0.25">
      <c r="A503" s="169">
        <v>40370</v>
      </c>
      <c r="B503" s="187">
        <v>361.55494091164883</v>
      </c>
      <c r="C503" s="187">
        <v>225.85277243917398</v>
      </c>
      <c r="D503" s="187">
        <v>286.06723667905823</v>
      </c>
      <c r="E503" s="187">
        <v>318.50106382978726</v>
      </c>
      <c r="F503" s="187">
        <v>286.08621290322583</v>
      </c>
      <c r="G503" s="188">
        <v>292.25800500000003</v>
      </c>
      <c r="H503" s="187">
        <v>396.47537558685445</v>
      </c>
      <c r="I503" s="187">
        <v>63.5</v>
      </c>
      <c r="J503" s="30"/>
    </row>
    <row r="504" spans="1:10" ht="15.75" customHeight="1" x14ac:dyDescent="0.25">
      <c r="A504" s="169">
        <v>40377</v>
      </c>
      <c r="B504" s="187">
        <v>367.70650534608887</v>
      </c>
      <c r="C504" s="187">
        <v>222.12293600490699</v>
      </c>
      <c r="D504" s="187">
        <v>289.93617100371745</v>
      </c>
      <c r="E504" s="187">
        <v>310.60558510638293</v>
      </c>
      <c r="F504" s="187">
        <v>286.06379354838708</v>
      </c>
      <c r="G504" s="188">
        <v>291.24672749999996</v>
      </c>
      <c r="H504" s="187">
        <v>406.9956572769953</v>
      </c>
      <c r="I504" s="187">
        <v>62</v>
      </c>
      <c r="J504" s="30"/>
    </row>
    <row r="505" spans="1:10" ht="15.75" customHeight="1" x14ac:dyDescent="0.25">
      <c r="A505" s="169">
        <v>40384</v>
      </c>
      <c r="B505" s="187">
        <v>364.23750140686542</v>
      </c>
      <c r="C505" s="187">
        <v>222.1128194643222</v>
      </c>
      <c r="D505" s="187">
        <v>280.93889714993799</v>
      </c>
      <c r="E505" s="187">
        <v>313.02260638297872</v>
      </c>
      <c r="F505" s="187">
        <v>287.21263469675597</v>
      </c>
      <c r="G505" s="188">
        <v>291.53564749999998</v>
      </c>
      <c r="H505" s="187">
        <v>408.68795774647884</v>
      </c>
      <c r="I505" s="187">
        <v>62.5</v>
      </c>
      <c r="J505" s="30"/>
    </row>
    <row r="506" spans="1:10" ht="15.75" customHeight="1" x14ac:dyDescent="0.25">
      <c r="A506" s="169">
        <v>40391</v>
      </c>
      <c r="B506" s="187">
        <v>361.64052335396735</v>
      </c>
      <c r="C506" s="187">
        <v>224.0580126763443</v>
      </c>
      <c r="D506" s="187">
        <v>282.45276332094176</v>
      </c>
      <c r="E506" s="187">
        <v>314.51125886524818</v>
      </c>
      <c r="F506" s="187">
        <v>301.03141889985898</v>
      </c>
      <c r="G506" s="188">
        <v>298.7399125</v>
      </c>
      <c r="H506" s="187">
        <v>400.35246478873239</v>
      </c>
      <c r="I506" s="187">
        <v>65.5</v>
      </c>
      <c r="J506" s="30"/>
    </row>
    <row r="507" spans="1:10" ht="15.75" customHeight="1" x14ac:dyDescent="0.25">
      <c r="A507" s="169">
        <v>40398</v>
      </c>
      <c r="B507" s="187">
        <v>366.53924029262799</v>
      </c>
      <c r="C507" s="187">
        <v>224.41822735636885</v>
      </c>
      <c r="D507" s="187">
        <v>275.43066914498138</v>
      </c>
      <c r="E507" s="187">
        <v>314.10851063829784</v>
      </c>
      <c r="F507" s="187">
        <v>300.68051164049814</v>
      </c>
      <c r="G507" s="188">
        <v>299.44146500000005</v>
      </c>
      <c r="H507" s="187">
        <v>397.39842723004693</v>
      </c>
      <c r="I507" s="187">
        <v>67</v>
      </c>
      <c r="J507" s="30"/>
    </row>
    <row r="508" spans="1:10" ht="15.75" customHeight="1" x14ac:dyDescent="0.25">
      <c r="A508" s="169">
        <v>40405</v>
      </c>
      <c r="B508" s="187">
        <v>366.26805852560506</v>
      </c>
      <c r="C508" s="187">
        <v>226.21573911265585</v>
      </c>
      <c r="D508" s="187">
        <v>272.28328376703837</v>
      </c>
      <c r="E508" s="187">
        <v>320.89242907801417</v>
      </c>
      <c r="F508" s="187">
        <v>304.48702490525176</v>
      </c>
      <c r="G508" s="188">
        <v>304.19799749999999</v>
      </c>
      <c r="H508" s="187">
        <v>409.93446009389675</v>
      </c>
      <c r="I508" s="187">
        <v>69</v>
      </c>
      <c r="J508" s="30"/>
    </row>
    <row r="509" spans="1:10" ht="15.75" customHeight="1" x14ac:dyDescent="0.25">
      <c r="A509" s="169">
        <v>40412</v>
      </c>
      <c r="B509" s="187">
        <v>364.90115362971301</v>
      </c>
      <c r="C509" s="187">
        <v>222.42747495399712</v>
      </c>
      <c r="D509" s="187">
        <v>269.87552664188348</v>
      </c>
      <c r="E509" s="187">
        <v>322.02446808510643</v>
      </c>
      <c r="F509" s="187">
        <v>305.41647807255015</v>
      </c>
      <c r="G509" s="188">
        <v>300.96570750000001</v>
      </c>
      <c r="H509" s="187">
        <v>408.26441314553989</v>
      </c>
      <c r="I509" s="187">
        <v>71.75</v>
      </c>
      <c r="J509" s="30"/>
    </row>
    <row r="510" spans="1:10" ht="15.75" customHeight="1" x14ac:dyDescent="0.25">
      <c r="A510" s="169">
        <v>40419</v>
      </c>
      <c r="B510" s="187">
        <v>357.52973550928527</v>
      </c>
      <c r="C510" s="187">
        <v>219.38035780004088</v>
      </c>
      <c r="D510" s="187">
        <v>269.39153655514247</v>
      </c>
      <c r="E510" s="187">
        <v>317.65567375886525</v>
      </c>
      <c r="F510" s="187">
        <v>304.04956957227932</v>
      </c>
      <c r="G510" s="188">
        <v>302.42823749999997</v>
      </c>
      <c r="H510" s="187">
        <v>414.33246478873241</v>
      </c>
      <c r="I510" s="187">
        <v>72</v>
      </c>
      <c r="J510" s="30"/>
    </row>
    <row r="511" spans="1:10" ht="15.75" customHeight="1" x14ac:dyDescent="0.25">
      <c r="A511" s="169">
        <v>40426</v>
      </c>
      <c r="B511" s="187">
        <v>355.99190208216089</v>
      </c>
      <c r="C511" s="187">
        <v>224.13708035166633</v>
      </c>
      <c r="D511" s="187">
        <v>274.24635687732336</v>
      </c>
      <c r="E511" s="187">
        <v>319.67624113475176</v>
      </c>
      <c r="F511" s="187">
        <v>306.65245533297235</v>
      </c>
      <c r="G511" s="188">
        <v>302.42980999999997</v>
      </c>
      <c r="H511" s="187">
        <v>414.36779342723008</v>
      </c>
      <c r="I511" s="187">
        <v>74</v>
      </c>
      <c r="J511" s="30"/>
    </row>
    <row r="512" spans="1:10" ht="15.75" customHeight="1" x14ac:dyDescent="0.25">
      <c r="A512" s="169">
        <v>40433</v>
      </c>
      <c r="B512" s="187">
        <v>356.88662352279118</v>
      </c>
      <c r="C512" s="187">
        <v>227.24961562052746</v>
      </c>
      <c r="D512" s="187">
        <v>279.08619578686489</v>
      </c>
      <c r="E512" s="187">
        <v>317.23592198581559</v>
      </c>
      <c r="F512" s="187">
        <v>304.90734434217649</v>
      </c>
      <c r="G512" s="188">
        <v>304.31897999999995</v>
      </c>
      <c r="H512" s="187">
        <v>414.06281690140844</v>
      </c>
      <c r="I512" s="187">
        <v>75</v>
      </c>
      <c r="J512" s="30"/>
    </row>
    <row r="513" spans="1:10" ht="15.75" customHeight="1" x14ac:dyDescent="0.25">
      <c r="A513" s="169">
        <v>40440</v>
      </c>
      <c r="B513" s="187">
        <v>357.11675295441745</v>
      </c>
      <c r="C513" s="187">
        <v>230.0294827233694</v>
      </c>
      <c r="D513" s="187">
        <v>272.62220570012391</v>
      </c>
      <c r="E513" s="187">
        <v>314.8632269503546</v>
      </c>
      <c r="F513" s="187">
        <v>308.21301570113701</v>
      </c>
      <c r="G513" s="188">
        <v>306.80813749999993</v>
      </c>
      <c r="H513" s="187">
        <v>409.17711267605631</v>
      </c>
      <c r="I513" s="187">
        <v>77.5</v>
      </c>
      <c r="J513" s="30"/>
    </row>
    <row r="514" spans="1:10" ht="15.75" customHeight="1" x14ac:dyDescent="0.25">
      <c r="A514" s="169">
        <v>40447</v>
      </c>
      <c r="B514" s="187">
        <v>360.91987619583557</v>
      </c>
      <c r="C514" s="187">
        <v>227.26127172357388</v>
      </c>
      <c r="D514" s="187">
        <v>276.54519206939278</v>
      </c>
      <c r="E514" s="187">
        <v>312.4114539007092</v>
      </c>
      <c r="F514" s="187">
        <v>308.87515701136982</v>
      </c>
      <c r="G514" s="188">
        <v>304.41036500000001</v>
      </c>
      <c r="H514" s="187">
        <v>418.04232394366198</v>
      </c>
      <c r="I514" s="187">
        <v>79</v>
      </c>
      <c r="J514" s="30"/>
    </row>
    <row r="515" spans="1:10" ht="15.75" customHeight="1" collapsed="1" x14ac:dyDescent="0.25">
      <c r="A515" s="169">
        <v>40454</v>
      </c>
      <c r="B515" s="187">
        <v>358.77061339335972</v>
      </c>
      <c r="C515" s="187">
        <v>225.32182375792272</v>
      </c>
      <c r="D515" s="187">
        <v>275.97525402726149</v>
      </c>
      <c r="E515" s="187">
        <v>308.53157801418439</v>
      </c>
      <c r="F515" s="187">
        <v>306.41549539794261</v>
      </c>
      <c r="G515" s="188">
        <v>303.91837500000003</v>
      </c>
      <c r="H515" s="187">
        <v>412.83791079812204</v>
      </c>
      <c r="I515" s="187">
        <v>76.5</v>
      </c>
      <c r="J515" s="30"/>
    </row>
    <row r="516" spans="1:10" ht="15.75" customHeight="1" x14ac:dyDescent="0.25">
      <c r="A516" s="169">
        <v>40461</v>
      </c>
      <c r="B516" s="187">
        <v>361.48294316263355</v>
      </c>
      <c r="C516" s="187">
        <v>223.67234716826823</v>
      </c>
      <c r="D516" s="187">
        <v>273.76355638166046</v>
      </c>
      <c r="E516" s="187">
        <v>306.72687943262417</v>
      </c>
      <c r="F516" s="187">
        <v>312.62698429886296</v>
      </c>
      <c r="G516" s="188">
        <v>306.90640750000006</v>
      </c>
      <c r="H516" s="187">
        <v>407.32704225352114</v>
      </c>
      <c r="I516" s="187">
        <v>75.5</v>
      </c>
      <c r="J516" s="30"/>
    </row>
    <row r="517" spans="1:10" ht="15.75" customHeight="1" x14ac:dyDescent="0.25">
      <c r="A517" s="169">
        <v>40468</v>
      </c>
      <c r="B517" s="187">
        <v>361.49731570061908</v>
      </c>
      <c r="C517" s="187">
        <v>222.05782253117968</v>
      </c>
      <c r="D517" s="187">
        <v>272.52505576208176</v>
      </c>
      <c r="E517" s="187">
        <v>314.23601063829784</v>
      </c>
      <c r="F517" s="187">
        <v>312.92085544125615</v>
      </c>
      <c r="G517" s="188">
        <v>308.287665</v>
      </c>
      <c r="H517" s="187">
        <v>414.73424882629104</v>
      </c>
      <c r="I517" s="187">
        <v>73</v>
      </c>
      <c r="J517" s="30"/>
    </row>
    <row r="518" spans="1:10" ht="15.75" customHeight="1" x14ac:dyDescent="0.25">
      <c r="A518" s="169">
        <v>40475</v>
      </c>
      <c r="B518" s="187">
        <v>362.88756330894762</v>
      </c>
      <c r="C518" s="187">
        <v>221.41228378654665</v>
      </c>
      <c r="D518" s="187">
        <v>270.38760842627016</v>
      </c>
      <c r="E518" s="187">
        <v>309.45507092198579</v>
      </c>
      <c r="F518" s="187">
        <v>311.15511099079589</v>
      </c>
      <c r="G518" s="188">
        <v>307.94819000000001</v>
      </c>
      <c r="H518" s="187">
        <v>418.6768309859155</v>
      </c>
      <c r="I518" s="187">
        <v>71.5</v>
      </c>
      <c r="J518" s="30"/>
    </row>
    <row r="519" spans="1:10" ht="15.75" customHeight="1" x14ac:dyDescent="0.25">
      <c r="A519" s="169">
        <v>40482</v>
      </c>
      <c r="B519" s="187">
        <v>359.43064153066962</v>
      </c>
      <c r="C519" s="187">
        <v>217.19848497239826</v>
      </c>
      <c r="D519" s="187">
        <v>269.64451053283767</v>
      </c>
      <c r="E519" s="187">
        <v>311.21069148936169</v>
      </c>
      <c r="F519" s="187">
        <v>310.44545749864642</v>
      </c>
      <c r="G519" s="188">
        <v>308.38844</v>
      </c>
      <c r="H519" s="187">
        <v>408.73455399061032</v>
      </c>
      <c r="I519" s="187">
        <v>69</v>
      </c>
      <c r="J519" s="30"/>
    </row>
    <row r="520" spans="1:10" ht="15.75" customHeight="1" x14ac:dyDescent="0.25">
      <c r="A520" s="169">
        <v>40489</v>
      </c>
      <c r="B520" s="187">
        <v>355.09426561620711</v>
      </c>
      <c r="C520" s="187">
        <v>216.62153547331835</v>
      </c>
      <c r="D520" s="187">
        <v>269.15421313506818</v>
      </c>
      <c r="E520" s="187">
        <v>297.43586879432621</v>
      </c>
      <c r="F520" s="187">
        <v>314.14160801299403</v>
      </c>
      <c r="G520" s="188">
        <v>307.29086999999998</v>
      </c>
      <c r="H520" s="187">
        <v>411.98443661971828</v>
      </c>
      <c r="I520" s="187">
        <v>69</v>
      </c>
      <c r="J520" s="30"/>
    </row>
    <row r="521" spans="1:10" ht="15.75" customHeight="1" x14ac:dyDescent="0.25">
      <c r="A521" s="169">
        <v>40496</v>
      </c>
      <c r="B521" s="187">
        <v>358.24068092290366</v>
      </c>
      <c r="C521" s="187">
        <v>218.8291801267635</v>
      </c>
      <c r="D521" s="187">
        <v>271.29659231722434</v>
      </c>
      <c r="E521" s="187">
        <v>302.14597517730493</v>
      </c>
      <c r="F521" s="187">
        <v>314.05798592311857</v>
      </c>
      <c r="G521" s="188">
        <v>308.50043249999999</v>
      </c>
      <c r="H521" s="187">
        <v>400.73565727699525</v>
      </c>
      <c r="I521" s="187">
        <v>68</v>
      </c>
      <c r="J521" s="30"/>
    </row>
    <row r="522" spans="1:10" ht="15.75" customHeight="1" x14ac:dyDescent="0.25">
      <c r="A522" s="169">
        <v>40503</v>
      </c>
      <c r="B522" s="187">
        <v>358.30950478334273</v>
      </c>
      <c r="C522" s="187">
        <v>213.60826620323044</v>
      </c>
      <c r="D522" s="187">
        <v>271.97486988847589</v>
      </c>
      <c r="E522" s="187">
        <v>337.82673758865246</v>
      </c>
      <c r="F522" s="187">
        <v>313.3789685977261</v>
      </c>
      <c r="G522" s="188">
        <v>310.53696250000002</v>
      </c>
      <c r="H522" s="187">
        <v>404.61476525821593</v>
      </c>
      <c r="I522" s="187">
        <v>70</v>
      </c>
      <c r="J522" s="30"/>
    </row>
    <row r="523" spans="1:10" ht="15.75" customHeight="1" x14ac:dyDescent="0.25">
      <c r="A523" s="169">
        <v>40510</v>
      </c>
      <c r="B523" s="187">
        <v>357.28292628024764</v>
      </c>
      <c r="C523" s="187">
        <v>214.46474340625639</v>
      </c>
      <c r="D523" s="187">
        <v>265.0225154894672</v>
      </c>
      <c r="E523" s="187">
        <v>307.6681382978723</v>
      </c>
      <c r="F523" s="187">
        <v>314.7770655116405</v>
      </c>
      <c r="G523" s="188">
        <v>308.58426000000003</v>
      </c>
      <c r="H523" s="187">
        <v>415.20816901408449</v>
      </c>
      <c r="I523" s="187">
        <v>72</v>
      </c>
      <c r="J523" s="30"/>
    </row>
    <row r="524" spans="1:10" ht="15.75" customHeight="1" x14ac:dyDescent="0.25">
      <c r="A524" s="169">
        <v>40517</v>
      </c>
      <c r="B524" s="187">
        <v>355.87389983117617</v>
      </c>
      <c r="C524" s="187">
        <v>215.00468615824988</v>
      </c>
      <c r="D524" s="187">
        <v>267.16123915737296</v>
      </c>
      <c r="E524" s="187">
        <v>314.76007092198586</v>
      </c>
      <c r="F524" s="187">
        <v>312.07300487276672</v>
      </c>
      <c r="G524" s="188">
        <v>306.88871750000004</v>
      </c>
      <c r="H524" s="187">
        <v>412.31636150234743</v>
      </c>
      <c r="I524" s="187">
        <v>73</v>
      </c>
      <c r="J524" s="30"/>
    </row>
    <row r="525" spans="1:10" ht="15.75" customHeight="1" x14ac:dyDescent="0.25">
      <c r="A525" s="169">
        <v>40524</v>
      </c>
      <c r="B525" s="187">
        <v>350.53785593697245</v>
      </c>
      <c r="C525" s="187">
        <v>217.67524637088533</v>
      </c>
      <c r="D525" s="187">
        <v>269.73817843866175</v>
      </c>
      <c r="E525" s="187">
        <v>310.4797517730496</v>
      </c>
      <c r="F525" s="187">
        <v>310.60207904710342</v>
      </c>
      <c r="G525" s="188">
        <v>308.715755</v>
      </c>
      <c r="H525" s="187">
        <v>414.24983568075118</v>
      </c>
      <c r="I525" s="187">
        <v>75</v>
      </c>
      <c r="J525" s="30"/>
    </row>
    <row r="526" spans="1:10" ht="15.75" customHeight="1" x14ac:dyDescent="0.25">
      <c r="A526" s="169">
        <v>40531</v>
      </c>
      <c r="B526" s="187">
        <v>350.81378165447381</v>
      </c>
      <c r="C526" s="187">
        <v>215.70543856062156</v>
      </c>
      <c r="D526" s="187">
        <v>271.81587360594796</v>
      </c>
      <c r="E526" s="187">
        <v>305.33512411347516</v>
      </c>
      <c r="F526" s="187">
        <v>311.095395235517</v>
      </c>
      <c r="G526" s="188">
        <v>308.56551250000001</v>
      </c>
      <c r="H526" s="187">
        <v>414.64960093896713</v>
      </c>
      <c r="I526" s="187">
        <v>75.5</v>
      </c>
      <c r="J526" s="30"/>
    </row>
    <row r="527" spans="1:10" ht="15.75" customHeight="1" x14ac:dyDescent="0.25">
      <c r="A527" s="169">
        <v>40538</v>
      </c>
      <c r="B527" s="187">
        <v>359.47585818795721</v>
      </c>
      <c r="C527" s="187">
        <v>218.90620936413822</v>
      </c>
      <c r="D527" s="187">
        <v>276.14126394052045</v>
      </c>
      <c r="E527" s="187">
        <v>303.71677304964538</v>
      </c>
      <c r="F527" s="187">
        <v>328.64369788846773</v>
      </c>
      <c r="G527" s="188">
        <v>336.15481499999999</v>
      </c>
      <c r="H527" s="187">
        <v>413.9910328638498</v>
      </c>
      <c r="I527" s="187">
        <v>78</v>
      </c>
      <c r="J527" s="30"/>
    </row>
    <row r="528" spans="1:10" ht="15.75" customHeight="1" collapsed="1" x14ac:dyDescent="0.25">
      <c r="A528" s="169">
        <v>40545</v>
      </c>
      <c r="B528" s="187">
        <v>349.74788970174455</v>
      </c>
      <c r="C528" s="187">
        <v>218.52572480065419</v>
      </c>
      <c r="D528" s="187">
        <v>277.2478934324659</v>
      </c>
      <c r="E528" s="187">
        <v>304.78060283687938</v>
      </c>
      <c r="F528" s="187">
        <v>331.25768272874927</v>
      </c>
      <c r="G528" s="188">
        <v>339.73713749999996</v>
      </c>
      <c r="H528" s="187">
        <v>408.28967136150237</v>
      </c>
      <c r="I528" s="187">
        <v>80</v>
      </c>
      <c r="J528" s="30"/>
    </row>
    <row r="529" spans="1:10" ht="15.75" customHeight="1" x14ac:dyDescent="0.25">
      <c r="A529" s="169">
        <v>40552</v>
      </c>
      <c r="B529" s="187">
        <v>352.36141812042774</v>
      </c>
      <c r="C529" s="187">
        <v>224.29166428133306</v>
      </c>
      <c r="D529" s="187">
        <v>284.19690210656751</v>
      </c>
      <c r="E529" s="187">
        <v>312.67803191489361</v>
      </c>
      <c r="F529" s="187">
        <v>315.64417704385488</v>
      </c>
      <c r="G529" s="188">
        <v>310.17945750000001</v>
      </c>
      <c r="H529" s="187">
        <v>414.04016431924885</v>
      </c>
      <c r="I529" s="187">
        <v>81</v>
      </c>
      <c r="J529" s="30"/>
    </row>
    <row r="530" spans="1:10" ht="15.75" customHeight="1" x14ac:dyDescent="0.25">
      <c r="A530" s="169">
        <v>40559</v>
      </c>
      <c r="B530" s="187">
        <v>351.51447945976372</v>
      </c>
      <c r="C530" s="187">
        <v>225.60433653649559</v>
      </c>
      <c r="D530" s="187">
        <v>287.10520446096655</v>
      </c>
      <c r="E530" s="187">
        <v>311.72918439716307</v>
      </c>
      <c r="F530" s="187">
        <v>314.94009474824043</v>
      </c>
      <c r="G530" s="188">
        <v>312.05291249999999</v>
      </c>
      <c r="H530" s="187">
        <v>413.29683098591551</v>
      </c>
      <c r="I530" s="187">
        <v>82.5</v>
      </c>
      <c r="J530" s="30"/>
    </row>
    <row r="531" spans="1:10" ht="15.75" customHeight="1" x14ac:dyDescent="0.25">
      <c r="A531" s="169">
        <v>40566</v>
      </c>
      <c r="B531" s="187">
        <v>351.50557118739448</v>
      </c>
      <c r="C531" s="187">
        <v>226.53431813535062</v>
      </c>
      <c r="D531" s="187">
        <v>289.82147459727383</v>
      </c>
      <c r="E531" s="187">
        <v>312.27501773049642</v>
      </c>
      <c r="F531" s="187">
        <v>313.16256903086082</v>
      </c>
      <c r="G531" s="188">
        <v>310.11780499999998</v>
      </c>
      <c r="H531" s="187">
        <v>413.86901408450706</v>
      </c>
      <c r="I531" s="187">
        <v>85.5</v>
      </c>
      <c r="J531" s="30"/>
    </row>
    <row r="532" spans="1:10" ht="15.75" customHeight="1" x14ac:dyDescent="0.25">
      <c r="A532" s="169">
        <v>40573</v>
      </c>
      <c r="B532" s="187">
        <v>353.14809229037701</v>
      </c>
      <c r="C532" s="187">
        <v>230.89451850337349</v>
      </c>
      <c r="D532" s="187">
        <v>293.59825278810405</v>
      </c>
      <c r="E532" s="187">
        <v>306.26340425531907</v>
      </c>
      <c r="F532" s="187">
        <v>314.34309691391451</v>
      </c>
      <c r="G532" s="188">
        <v>311.10947499999997</v>
      </c>
      <c r="H532" s="187">
        <v>415.27018779342723</v>
      </c>
      <c r="I532" s="187">
        <v>90.5</v>
      </c>
      <c r="J532" s="30"/>
    </row>
    <row r="533" spans="1:10" ht="15.75" customHeight="1" x14ac:dyDescent="0.25">
      <c r="A533" s="169">
        <v>40580</v>
      </c>
      <c r="B533" s="187">
        <v>363.32381541924588</v>
      </c>
      <c r="C533" s="187">
        <v>235.33580862809239</v>
      </c>
      <c r="D533" s="187">
        <v>302.68334572490704</v>
      </c>
      <c r="E533" s="187">
        <v>311.06881205673756</v>
      </c>
      <c r="F533" s="187">
        <v>314.79500270709252</v>
      </c>
      <c r="G533" s="188">
        <v>313.64781250000004</v>
      </c>
      <c r="H533" s="187">
        <v>410.61481220657276</v>
      </c>
      <c r="I533" s="187">
        <v>94</v>
      </c>
      <c r="J533" s="30"/>
    </row>
    <row r="534" spans="1:10" ht="15.75" customHeight="1" x14ac:dyDescent="0.25">
      <c r="A534" s="169">
        <v>40587</v>
      </c>
      <c r="B534" s="187">
        <v>370.92101294316257</v>
      </c>
      <c r="C534" s="187">
        <v>241.5968411367819</v>
      </c>
      <c r="D534" s="187">
        <v>309.67411400247835</v>
      </c>
      <c r="E534" s="187">
        <v>310.47865248226947</v>
      </c>
      <c r="F534" s="187">
        <v>320.19242014076889</v>
      </c>
      <c r="G534" s="188">
        <v>317.45120250000002</v>
      </c>
      <c r="H534" s="187">
        <v>418.68192488262912</v>
      </c>
      <c r="I534" s="187">
        <v>103.5</v>
      </c>
      <c r="J534" s="30"/>
    </row>
    <row r="535" spans="1:10" ht="15.75" customHeight="1" x14ac:dyDescent="0.25">
      <c r="A535" s="169">
        <v>40594</v>
      </c>
      <c r="B535" s="187">
        <v>376.41867191896455</v>
      </c>
      <c r="C535" s="187">
        <v>248.50793498262118</v>
      </c>
      <c r="D535" s="187">
        <v>314.45236679058246</v>
      </c>
      <c r="E535" s="187">
        <v>311.29753546099289</v>
      </c>
      <c r="F535" s="187">
        <v>319.35420140768821</v>
      </c>
      <c r="G535" s="188">
        <v>316.971</v>
      </c>
      <c r="H535" s="187">
        <v>413.88586854460095</v>
      </c>
      <c r="I535" s="187">
        <v>109.5</v>
      </c>
      <c r="J535" s="30"/>
    </row>
    <row r="536" spans="1:10" ht="15.75" customHeight="1" x14ac:dyDescent="0.25">
      <c r="A536" s="169">
        <v>40601</v>
      </c>
      <c r="B536" s="187">
        <v>372.7546989307823</v>
      </c>
      <c r="C536" s="187">
        <v>251.51612553670003</v>
      </c>
      <c r="D536" s="187">
        <v>318.25565055762081</v>
      </c>
      <c r="E536" s="187">
        <v>309.96641843971634</v>
      </c>
      <c r="F536" s="187">
        <v>320.6397130481862</v>
      </c>
      <c r="G536" s="188">
        <v>319.7298275</v>
      </c>
      <c r="H536" s="187">
        <v>414.17903755868542</v>
      </c>
      <c r="I536" s="187">
        <v>111</v>
      </c>
      <c r="J536" s="30"/>
    </row>
    <row r="537" spans="1:10" ht="15.75" customHeight="1" x14ac:dyDescent="0.25">
      <c r="A537" s="169">
        <v>40608</v>
      </c>
      <c r="B537" s="187">
        <v>385.12146314012381</v>
      </c>
      <c r="C537" s="187">
        <v>253.89754446943368</v>
      </c>
      <c r="D537" s="187">
        <v>323.01738537794296</v>
      </c>
      <c r="E537" s="187">
        <v>315.32475177304963</v>
      </c>
      <c r="F537" s="187">
        <v>318.50443421765027</v>
      </c>
      <c r="G537" s="188">
        <v>318.66377249999999</v>
      </c>
      <c r="H537" s="187">
        <v>418.20225352112681</v>
      </c>
      <c r="I537" s="187">
        <v>108</v>
      </c>
      <c r="J537" s="30"/>
    </row>
    <row r="538" spans="1:10" ht="15.75" customHeight="1" x14ac:dyDescent="0.25">
      <c r="A538" s="169">
        <v>40615</v>
      </c>
      <c r="B538" s="187">
        <v>383.67279684862132</v>
      </c>
      <c r="C538" s="187">
        <v>253.64834798609689</v>
      </c>
      <c r="D538" s="187">
        <v>327.50037174721189</v>
      </c>
      <c r="E538" s="187">
        <v>306.51863475177299</v>
      </c>
      <c r="F538" s="187">
        <v>322.57311586356252</v>
      </c>
      <c r="G538" s="188">
        <v>321.21363999999994</v>
      </c>
      <c r="H538" s="187">
        <v>418.92920187793425</v>
      </c>
      <c r="I538" s="187">
        <v>98.5</v>
      </c>
      <c r="J538" s="30"/>
    </row>
    <row r="539" spans="1:10" ht="15.75" customHeight="1" x14ac:dyDescent="0.25">
      <c r="A539" s="169">
        <v>40622</v>
      </c>
      <c r="B539" s="187">
        <v>381.68159819921215</v>
      </c>
      <c r="C539" s="187">
        <v>249.14362911470045</v>
      </c>
      <c r="D539" s="187">
        <v>320.01671623296158</v>
      </c>
      <c r="E539" s="187">
        <v>326.36251773049645</v>
      </c>
      <c r="F539" s="187">
        <v>323.52182458040068</v>
      </c>
      <c r="G539" s="188">
        <v>323.470865</v>
      </c>
      <c r="H539" s="187">
        <v>413.31056338028168</v>
      </c>
      <c r="I539" s="187">
        <v>92.5</v>
      </c>
      <c r="J539" s="30"/>
    </row>
    <row r="540" spans="1:10" ht="15.75" customHeight="1" x14ac:dyDescent="0.25">
      <c r="A540" s="169">
        <v>40629</v>
      </c>
      <c r="B540" s="187">
        <v>381.67214969048956</v>
      </c>
      <c r="C540" s="187">
        <v>246.50548763034141</v>
      </c>
      <c r="D540" s="187">
        <v>317.05908302354396</v>
      </c>
      <c r="E540" s="187">
        <v>314.00019503546105</v>
      </c>
      <c r="F540" s="187">
        <v>325.74350297780177</v>
      </c>
      <c r="G540" s="188">
        <v>324.61139500000002</v>
      </c>
      <c r="H540" s="187">
        <v>412.92884976525818</v>
      </c>
      <c r="I540" s="187">
        <v>84.5</v>
      </c>
      <c r="J540" s="30"/>
    </row>
    <row r="541" spans="1:10" ht="15.75" customHeight="1" x14ac:dyDescent="0.25">
      <c r="A541" s="169">
        <v>40636</v>
      </c>
      <c r="B541" s="187">
        <v>376.43926280247604</v>
      </c>
      <c r="C541" s="187">
        <v>238.83198732365568</v>
      </c>
      <c r="D541" s="187">
        <v>316.18999999999994</v>
      </c>
      <c r="E541" s="187">
        <v>303.10551418439712</v>
      </c>
      <c r="F541" s="187">
        <v>327.25089063345968</v>
      </c>
      <c r="G541" s="188">
        <v>324.76247499999999</v>
      </c>
      <c r="H541" s="187">
        <v>421.87920187793424</v>
      </c>
      <c r="I541" s="187">
        <v>82</v>
      </c>
      <c r="J541" s="30"/>
    </row>
    <row r="542" spans="1:10" ht="15.75" customHeight="1" x14ac:dyDescent="0.25">
      <c r="A542" s="169">
        <v>40643</v>
      </c>
      <c r="B542" s="187">
        <v>382.41602701181773</v>
      </c>
      <c r="C542" s="187">
        <v>237.93242486199139</v>
      </c>
      <c r="D542" s="187">
        <v>312.45959107806692</v>
      </c>
      <c r="E542" s="187">
        <v>305.25023049645392</v>
      </c>
      <c r="F542" s="187">
        <v>331.76478884677846</v>
      </c>
      <c r="G542" s="188">
        <v>329.42035999999996</v>
      </c>
      <c r="H542" s="187">
        <v>421.40666666666664</v>
      </c>
      <c r="I542" s="187">
        <v>82.5</v>
      </c>
      <c r="J542" s="30"/>
    </row>
    <row r="543" spans="1:10" ht="15.75" customHeight="1" x14ac:dyDescent="0.25">
      <c r="A543" s="169">
        <v>40650</v>
      </c>
      <c r="B543" s="187">
        <v>382.84276308384932</v>
      </c>
      <c r="C543" s="187">
        <v>240.70544878347985</v>
      </c>
      <c r="D543" s="187">
        <v>311.58908302354399</v>
      </c>
      <c r="E543" s="187">
        <v>300.61627659574469</v>
      </c>
      <c r="F543" s="187">
        <v>331.3835273416351</v>
      </c>
      <c r="G543" s="188">
        <v>331.87024250000002</v>
      </c>
      <c r="H543" s="187">
        <v>415.7869483568075</v>
      </c>
      <c r="I543" s="187">
        <v>85</v>
      </c>
      <c r="J543" s="30"/>
    </row>
    <row r="544" spans="1:10" ht="15.75" customHeight="1" x14ac:dyDescent="0.25">
      <c r="A544" s="169">
        <v>40657</v>
      </c>
      <c r="B544" s="187">
        <v>373.44087788407433</v>
      </c>
      <c r="C544" s="187">
        <v>242.38765487630346</v>
      </c>
      <c r="D544" s="187">
        <v>313.68007434944241</v>
      </c>
      <c r="E544" s="187">
        <v>318.50156028368798</v>
      </c>
      <c r="F544" s="187">
        <v>332.49126691932855</v>
      </c>
      <c r="G544" s="188">
        <v>329.79082499999998</v>
      </c>
      <c r="H544" s="187">
        <v>429.23124413145541</v>
      </c>
      <c r="I544" s="187">
        <v>85.5</v>
      </c>
      <c r="J544" s="30"/>
    </row>
    <row r="545" spans="1:10" ht="15.75" customHeight="1" x14ac:dyDescent="0.25">
      <c r="A545" s="169">
        <v>40664</v>
      </c>
      <c r="B545" s="187">
        <v>374.90118739448508</v>
      </c>
      <c r="C545" s="187">
        <v>238.96840523410344</v>
      </c>
      <c r="D545" s="187">
        <v>308.8209541511772</v>
      </c>
      <c r="E545" s="187">
        <v>310.28276595744677</v>
      </c>
      <c r="F545" s="187">
        <v>333.78372495939362</v>
      </c>
      <c r="G545" s="188">
        <v>332.89192500000001</v>
      </c>
      <c r="H545" s="187">
        <v>413.06995305164321</v>
      </c>
      <c r="I545" s="187">
        <v>85.5</v>
      </c>
      <c r="J545" s="30"/>
    </row>
    <row r="546" spans="1:10" ht="15.75" customHeight="1" x14ac:dyDescent="0.25">
      <c r="A546" s="169">
        <v>40671</v>
      </c>
      <c r="B546" s="187">
        <v>379.83511536297129</v>
      </c>
      <c r="C546" s="187">
        <v>241.72735432426902</v>
      </c>
      <c r="D546" s="187">
        <v>301.85898389095411</v>
      </c>
      <c r="E546" s="187">
        <v>320.62762411347518</v>
      </c>
      <c r="F546" s="187">
        <v>335.70777206280457</v>
      </c>
      <c r="G546" s="188">
        <v>333.31990999999999</v>
      </c>
      <c r="H546" s="187">
        <v>426.15262910798123</v>
      </c>
      <c r="I546" s="187">
        <v>86.5</v>
      </c>
      <c r="J546" s="30"/>
    </row>
    <row r="547" spans="1:10" ht="15.75" customHeight="1" x14ac:dyDescent="0.25">
      <c r="A547" s="169">
        <v>40678</v>
      </c>
      <c r="B547" s="187">
        <v>382.49626336522243</v>
      </c>
      <c r="C547" s="187">
        <v>236.8275526477203</v>
      </c>
      <c r="D547" s="187">
        <v>302.22850061957865</v>
      </c>
      <c r="E547" s="187">
        <v>328.03640070921983</v>
      </c>
      <c r="F547" s="187">
        <v>333.78306984298865</v>
      </c>
      <c r="G547" s="188">
        <v>334.38995749999998</v>
      </c>
      <c r="H547" s="187">
        <v>427.86443661971833</v>
      </c>
      <c r="I547" s="187">
        <v>86.5</v>
      </c>
      <c r="J547" s="30"/>
    </row>
    <row r="548" spans="1:10" ht="15.75" customHeight="1" x14ac:dyDescent="0.25">
      <c r="A548" s="169">
        <v>40685</v>
      </c>
      <c r="B548" s="187">
        <v>382.01359594822736</v>
      </c>
      <c r="C548" s="187">
        <v>244.7070926190963</v>
      </c>
      <c r="D548" s="187">
        <v>302.32033457249071</v>
      </c>
      <c r="E548" s="187">
        <v>307.07017730496455</v>
      </c>
      <c r="F548" s="187">
        <v>332.42948835950187</v>
      </c>
      <c r="G548" s="188">
        <v>335.24223499999999</v>
      </c>
      <c r="H548" s="187">
        <v>432.47842723004698</v>
      </c>
      <c r="I548" s="187">
        <v>86.5</v>
      </c>
      <c r="J548" s="30"/>
    </row>
    <row r="549" spans="1:10" ht="15.75" customHeight="1" x14ac:dyDescent="0.25">
      <c r="A549" s="169">
        <v>40692</v>
      </c>
      <c r="B549" s="187">
        <v>383.43043894203714</v>
      </c>
      <c r="C549" s="187">
        <v>247.08345737068083</v>
      </c>
      <c r="D549" s="187">
        <v>299.79634448574973</v>
      </c>
      <c r="E549" s="187">
        <v>307.45953900709219</v>
      </c>
      <c r="F549" s="187">
        <v>334.84331618841372</v>
      </c>
      <c r="G549" s="188">
        <v>333.44035249999996</v>
      </c>
      <c r="H549" s="187">
        <v>430.64293427230047</v>
      </c>
      <c r="I549" s="187">
        <v>86.5</v>
      </c>
      <c r="J549" s="30"/>
    </row>
    <row r="550" spans="1:10" ht="15.75" customHeight="1" x14ac:dyDescent="0.25">
      <c r="A550" s="169">
        <v>40699</v>
      </c>
      <c r="B550" s="187">
        <v>385.7153235790658</v>
      </c>
      <c r="C550" s="187">
        <v>240.02688202821508</v>
      </c>
      <c r="D550" s="187">
        <v>296.54983890954151</v>
      </c>
      <c r="E550" s="187">
        <v>311.5879964539007</v>
      </c>
      <c r="F550" s="187">
        <v>329.29541418516516</v>
      </c>
      <c r="G550" s="188">
        <v>329.57423999999997</v>
      </c>
      <c r="H550" s="187">
        <v>435.08913145539907</v>
      </c>
      <c r="I550" s="187">
        <v>88</v>
      </c>
      <c r="J550" s="30"/>
    </row>
    <row r="551" spans="1:10" ht="15.75" customHeight="1" x14ac:dyDescent="0.25">
      <c r="A551" s="169">
        <v>40706</v>
      </c>
      <c r="B551" s="187">
        <v>393.087698368036</v>
      </c>
      <c r="C551" s="187">
        <v>239.09689429564506</v>
      </c>
      <c r="D551" s="187">
        <v>297.3495786864932</v>
      </c>
      <c r="E551" s="187">
        <v>323.42186170212767</v>
      </c>
      <c r="F551" s="187">
        <v>332.42489713048184</v>
      </c>
      <c r="G551" s="188">
        <v>333.8805625</v>
      </c>
      <c r="H551" s="187">
        <v>431.70823943661975</v>
      </c>
      <c r="I551" s="187">
        <v>88.5</v>
      </c>
      <c r="J551" s="30"/>
    </row>
    <row r="552" spans="1:10" ht="15.75" customHeight="1" x14ac:dyDescent="0.25">
      <c r="A552" s="169">
        <v>40713</v>
      </c>
      <c r="B552" s="187">
        <v>392.5476027011818</v>
      </c>
      <c r="C552" s="187">
        <v>241.55330402780621</v>
      </c>
      <c r="D552" s="187">
        <v>301.77731102850061</v>
      </c>
      <c r="E552" s="187">
        <v>313.4322340425532</v>
      </c>
      <c r="F552" s="187">
        <v>335.06094748240389</v>
      </c>
      <c r="G552" s="188">
        <v>330.85077749999999</v>
      </c>
      <c r="H552" s="187">
        <v>433.17906103286384</v>
      </c>
      <c r="I552" s="187">
        <v>88</v>
      </c>
      <c r="J552" s="30"/>
    </row>
    <row r="553" spans="1:10" ht="15.75" customHeight="1" x14ac:dyDescent="0.25">
      <c r="A553" s="169">
        <v>40720</v>
      </c>
      <c r="B553" s="187">
        <v>392.73766460326391</v>
      </c>
      <c r="C553" s="187">
        <v>239.13013289715806</v>
      </c>
      <c r="D553" s="187">
        <v>302.6867162329616</v>
      </c>
      <c r="E553" s="187">
        <v>314.18994680851063</v>
      </c>
      <c r="F553" s="187">
        <v>330.75216567406608</v>
      </c>
      <c r="G553" s="188">
        <v>329.34724999999997</v>
      </c>
      <c r="H553" s="187">
        <v>426.4371830985915</v>
      </c>
      <c r="I553" s="187">
        <v>88</v>
      </c>
      <c r="J553" s="30"/>
    </row>
    <row r="554" spans="1:10" ht="15.75" customHeight="1" collapsed="1" x14ac:dyDescent="0.25">
      <c r="A554" s="169">
        <v>40727</v>
      </c>
      <c r="B554" s="187">
        <v>389.53646595385476</v>
      </c>
      <c r="C554" s="187">
        <v>239.97270087916584</v>
      </c>
      <c r="D554" s="187">
        <v>294.76496902106567</v>
      </c>
      <c r="E554" s="187">
        <v>322.69544326241135</v>
      </c>
      <c r="F554" s="187">
        <v>330.39055766107202</v>
      </c>
      <c r="G554" s="188">
        <v>328.83445</v>
      </c>
      <c r="H554" s="187">
        <v>426.61751173708922</v>
      </c>
      <c r="I554" s="187">
        <v>87.5</v>
      </c>
      <c r="J554" s="30"/>
    </row>
    <row r="555" spans="1:10" ht="15.75" customHeight="1" x14ac:dyDescent="0.25">
      <c r="A555" s="169">
        <v>40734</v>
      </c>
      <c r="B555" s="187">
        <v>398.44259425998877</v>
      </c>
      <c r="C555" s="187">
        <v>240.51343896953588</v>
      </c>
      <c r="D555" s="187">
        <v>298.16127633209419</v>
      </c>
      <c r="E555" s="187">
        <v>290.12744680851063</v>
      </c>
      <c r="F555" s="187">
        <v>330.13142122360586</v>
      </c>
      <c r="G555" s="188">
        <v>328.76463499999994</v>
      </c>
      <c r="H555" s="187">
        <v>432.15894366197188</v>
      </c>
      <c r="I555" s="187">
        <v>86</v>
      </c>
      <c r="J555" s="30"/>
    </row>
    <row r="556" spans="1:10" ht="15.75" customHeight="1" collapsed="1" x14ac:dyDescent="0.25">
      <c r="A556" s="169">
        <v>40741</v>
      </c>
      <c r="B556" s="187">
        <v>399.64652785593688</v>
      </c>
      <c r="C556" s="187">
        <v>238.96560417092616</v>
      </c>
      <c r="D556" s="187">
        <v>301.73712515489467</v>
      </c>
      <c r="E556" s="187">
        <v>316.06033687943261</v>
      </c>
      <c r="F556" s="187">
        <v>328.37658906334599</v>
      </c>
      <c r="G556" s="188">
        <v>327.87100499999997</v>
      </c>
      <c r="H556" s="187">
        <v>429.54974178403756</v>
      </c>
      <c r="I556" s="187">
        <v>84</v>
      </c>
      <c r="J556" s="30"/>
    </row>
    <row r="557" spans="1:10" ht="15.75" customHeight="1" x14ac:dyDescent="0.25">
      <c r="A557" s="169">
        <v>40748</v>
      </c>
      <c r="B557" s="187">
        <v>393.13776589758021</v>
      </c>
      <c r="C557" s="187">
        <v>240.37617460641997</v>
      </c>
      <c r="D557" s="187">
        <v>292.21613382899631</v>
      </c>
      <c r="E557" s="187">
        <v>317.09109929078016</v>
      </c>
      <c r="F557" s="187">
        <v>327.33658906334597</v>
      </c>
      <c r="G557" s="188">
        <v>325.31881500000003</v>
      </c>
      <c r="H557" s="187">
        <v>439.04124413145541</v>
      </c>
      <c r="I557" s="187">
        <v>82</v>
      </c>
      <c r="J557" s="30"/>
    </row>
    <row r="558" spans="1:10" ht="15.75" customHeight="1" x14ac:dyDescent="0.25">
      <c r="A558" s="169">
        <v>40755</v>
      </c>
      <c r="B558" s="187">
        <v>394.37952166572876</v>
      </c>
      <c r="C558" s="187">
        <v>237.41770394602332</v>
      </c>
      <c r="D558" s="187">
        <v>293.25240396530364</v>
      </c>
      <c r="E558" s="187">
        <v>316.02975177304967</v>
      </c>
      <c r="F558" s="187">
        <v>324.86383595018958</v>
      </c>
      <c r="G558" s="188">
        <v>325.22703500000006</v>
      </c>
      <c r="H558" s="187">
        <v>428.87497652582158</v>
      </c>
      <c r="I558" s="187">
        <v>82</v>
      </c>
      <c r="J558" s="30"/>
    </row>
    <row r="559" spans="1:10" ht="15.75" customHeight="1" x14ac:dyDescent="0.25">
      <c r="A559" s="169">
        <v>40762</v>
      </c>
      <c r="B559" s="187">
        <v>392.50478334271236</v>
      </c>
      <c r="C559" s="187">
        <v>236.11059905949705</v>
      </c>
      <c r="D559" s="187">
        <v>295.34703841387858</v>
      </c>
      <c r="E559" s="187">
        <v>320.35434397163129</v>
      </c>
      <c r="F559" s="187">
        <v>323.58674336762311</v>
      </c>
      <c r="G559" s="188">
        <v>323.94139250000001</v>
      </c>
      <c r="H559" s="187">
        <v>428.92082159624414</v>
      </c>
      <c r="I559" s="187">
        <v>82</v>
      </c>
      <c r="J559" s="30"/>
    </row>
    <row r="560" spans="1:10" ht="15.75" customHeight="1" x14ac:dyDescent="0.25">
      <c r="A560" s="169">
        <v>40769</v>
      </c>
      <c r="B560" s="187">
        <v>387.58519977490153</v>
      </c>
      <c r="C560" s="187">
        <v>233.31450419137195</v>
      </c>
      <c r="D560" s="187">
        <v>292.18012391573728</v>
      </c>
      <c r="E560" s="187">
        <v>323.90000000000003</v>
      </c>
      <c r="F560" s="187">
        <v>325.29529778018406</v>
      </c>
      <c r="G560" s="188">
        <v>324.87208250000003</v>
      </c>
      <c r="H560" s="187">
        <v>425.87244131455401</v>
      </c>
      <c r="I560" s="187">
        <v>81</v>
      </c>
      <c r="J560" s="30"/>
    </row>
    <row r="561" spans="1:10" ht="15.75" customHeight="1" x14ac:dyDescent="0.25">
      <c r="A561" s="169">
        <v>40776</v>
      </c>
      <c r="B561" s="187">
        <v>389.71456387169388</v>
      </c>
      <c r="C561" s="187">
        <v>229.46920670619505</v>
      </c>
      <c r="D561" s="187">
        <v>290.57894671623296</v>
      </c>
      <c r="E561" s="187">
        <v>321.80434397163123</v>
      </c>
      <c r="F561" s="187">
        <v>333.54286681104492</v>
      </c>
      <c r="G561" s="188">
        <v>321.51784249999997</v>
      </c>
      <c r="H561" s="187">
        <v>434.20145539906105</v>
      </c>
      <c r="I561" s="187">
        <v>82</v>
      </c>
      <c r="J561" s="30"/>
    </row>
    <row r="562" spans="1:10" ht="15.75" customHeight="1" x14ac:dyDescent="0.25">
      <c r="A562" s="169">
        <v>40783</v>
      </c>
      <c r="B562" s="187">
        <v>390.48347777152497</v>
      </c>
      <c r="C562" s="187">
        <v>230.8251380085872</v>
      </c>
      <c r="D562" s="187">
        <v>288.81144981412638</v>
      </c>
      <c r="E562" s="187">
        <v>321.80434397163123</v>
      </c>
      <c r="F562" s="187">
        <v>320.36008121277746</v>
      </c>
      <c r="G562" s="188">
        <v>321.39452750000004</v>
      </c>
      <c r="H562" s="187">
        <v>439.38978873239438</v>
      </c>
      <c r="I562" s="187">
        <v>83</v>
      </c>
      <c r="J562" s="30"/>
    </row>
    <row r="563" spans="1:10" ht="15.75" customHeight="1" x14ac:dyDescent="0.25">
      <c r="A563" s="169">
        <v>40790</v>
      </c>
      <c r="B563" s="187">
        <v>392.42823860438949</v>
      </c>
      <c r="C563" s="187">
        <v>233.84611326927012</v>
      </c>
      <c r="D563" s="187">
        <v>291.1864807930607</v>
      </c>
      <c r="E563" s="187">
        <v>319.06702127659577</v>
      </c>
      <c r="F563" s="187">
        <v>320.75808067135893</v>
      </c>
      <c r="G563" s="188">
        <v>322.48312000000004</v>
      </c>
      <c r="H563" s="187">
        <v>424.01173708920186</v>
      </c>
      <c r="I563" s="187">
        <v>84.5</v>
      </c>
      <c r="J563" s="30"/>
    </row>
    <row r="564" spans="1:10" ht="15.75" customHeight="1" x14ac:dyDescent="0.25">
      <c r="A564" s="169">
        <v>40797</v>
      </c>
      <c r="B564" s="187">
        <v>389.31178953292061</v>
      </c>
      <c r="C564" s="187">
        <v>231.02247393171132</v>
      </c>
      <c r="D564" s="187">
        <v>293.11693928128864</v>
      </c>
      <c r="E564" s="187">
        <v>320.90352836879435</v>
      </c>
      <c r="F564" s="187">
        <v>320.73402815376284</v>
      </c>
      <c r="G564" s="188">
        <v>320.40477000000004</v>
      </c>
      <c r="H564" s="187">
        <v>418.62814553990609</v>
      </c>
      <c r="I564" s="187">
        <v>85</v>
      </c>
      <c r="J564" s="30"/>
    </row>
    <row r="565" spans="1:10" ht="15.75" customHeight="1" x14ac:dyDescent="0.25">
      <c r="A565" s="169">
        <v>40804</v>
      </c>
      <c r="B565" s="187">
        <v>392.54383792909397</v>
      </c>
      <c r="C565" s="187">
        <v>231.19049887548559</v>
      </c>
      <c r="D565" s="187">
        <v>291.95876084262699</v>
      </c>
      <c r="E565" s="187">
        <v>331.09510638297877</v>
      </c>
      <c r="F565" s="187">
        <v>318.40396589063346</v>
      </c>
      <c r="G565" s="188">
        <v>318.26343750000001</v>
      </c>
      <c r="H565" s="187">
        <v>424.90340375586857</v>
      </c>
      <c r="I565" s="187">
        <v>86.5</v>
      </c>
      <c r="J565" s="30"/>
    </row>
    <row r="566" spans="1:10" ht="15.75" customHeight="1" x14ac:dyDescent="0.25">
      <c r="A566" s="169">
        <v>40811</v>
      </c>
      <c r="B566" s="187">
        <v>387.54384918401797</v>
      </c>
      <c r="C566" s="187">
        <v>230.46000817828664</v>
      </c>
      <c r="D566" s="187">
        <v>292.06459727385379</v>
      </c>
      <c r="E566" s="187">
        <v>326.97888297872339</v>
      </c>
      <c r="F566" s="187">
        <v>317.71533026529505</v>
      </c>
      <c r="G566" s="188">
        <v>318.12954249999996</v>
      </c>
      <c r="H566" s="187">
        <v>431.01077464788727</v>
      </c>
      <c r="I566" s="187">
        <v>86.5</v>
      </c>
      <c r="J566" s="30"/>
    </row>
    <row r="567" spans="1:10" ht="15.75" customHeight="1" x14ac:dyDescent="0.25">
      <c r="A567" s="169">
        <v>40818</v>
      </c>
      <c r="B567" s="187">
        <v>388.78212155317948</v>
      </c>
      <c r="C567" s="187">
        <v>232.78556327949295</v>
      </c>
      <c r="D567" s="187">
        <v>292.36453531598511</v>
      </c>
      <c r="E567" s="187">
        <v>333.68907801418442</v>
      </c>
      <c r="F567" s="187">
        <v>317.60088521927446</v>
      </c>
      <c r="G567" s="188">
        <v>314.67023999999998</v>
      </c>
      <c r="H567" s="187">
        <v>422.46021126760564</v>
      </c>
      <c r="I567" s="187">
        <v>86.5</v>
      </c>
      <c r="J567" s="30"/>
    </row>
    <row r="568" spans="1:10" ht="15.75" customHeight="1" x14ac:dyDescent="0.25">
      <c r="A568" s="169">
        <v>40825</v>
      </c>
      <c r="B568" s="187">
        <v>389.88168823860434</v>
      </c>
      <c r="C568" s="187">
        <v>231.487076262523</v>
      </c>
      <c r="D568" s="187">
        <v>293.64391573729864</v>
      </c>
      <c r="E568" s="187">
        <v>333.21806737588651</v>
      </c>
      <c r="F568" s="187">
        <v>318.70127504060645</v>
      </c>
      <c r="G568" s="188">
        <v>316.19169999999997</v>
      </c>
      <c r="H568" s="187">
        <v>426.4113615023474</v>
      </c>
      <c r="I568" s="187">
        <v>86.5</v>
      </c>
      <c r="J568" s="30"/>
    </row>
    <row r="569" spans="1:10" ht="15.75" customHeight="1" x14ac:dyDescent="0.25">
      <c r="A569" s="169">
        <v>40832</v>
      </c>
      <c r="B569" s="187">
        <v>387.60109735509286</v>
      </c>
      <c r="C569" s="187">
        <v>233.72154978531995</v>
      </c>
      <c r="D569" s="187">
        <v>291.39635687732346</v>
      </c>
      <c r="E569" s="187">
        <v>316.98526595744681</v>
      </c>
      <c r="F569" s="187">
        <v>319.210674066053</v>
      </c>
      <c r="G569" s="188">
        <v>315.17991000000001</v>
      </c>
      <c r="H569" s="187">
        <v>417.36577464788729</v>
      </c>
      <c r="I569" s="187">
        <v>87.5</v>
      </c>
      <c r="J569" s="30"/>
    </row>
    <row r="570" spans="1:10" ht="15.75" customHeight="1" x14ac:dyDescent="0.25">
      <c r="A570" s="169">
        <v>40839</v>
      </c>
      <c r="B570" s="187">
        <v>386.30205402363521</v>
      </c>
      <c r="C570" s="187">
        <v>231.96722960539765</v>
      </c>
      <c r="D570" s="187">
        <v>296.22820322180922</v>
      </c>
      <c r="E570" s="187">
        <v>316.02301418439714</v>
      </c>
      <c r="F570" s="187">
        <v>319.22644829453162</v>
      </c>
      <c r="G570" s="188">
        <v>317.46209500000003</v>
      </c>
      <c r="H570" s="187">
        <v>422.31401408450705</v>
      </c>
      <c r="I570" s="187">
        <v>90</v>
      </c>
      <c r="J570" s="30"/>
    </row>
    <row r="571" spans="1:10" ht="15.75" customHeight="1" x14ac:dyDescent="0.25">
      <c r="A571" s="169">
        <v>40846</v>
      </c>
      <c r="B571" s="187">
        <v>386.89484524479457</v>
      </c>
      <c r="C571" s="187">
        <v>231.26383970558169</v>
      </c>
      <c r="D571" s="187">
        <v>291.49935563816604</v>
      </c>
      <c r="E571" s="187">
        <v>317.17664893617024</v>
      </c>
      <c r="F571" s="187">
        <v>320.83355441256094</v>
      </c>
      <c r="G571" s="188">
        <v>318.83702749999998</v>
      </c>
      <c r="H571" s="187">
        <v>422.08328638497653</v>
      </c>
      <c r="I571" s="187">
        <v>91.5</v>
      </c>
      <c r="J571" s="30"/>
    </row>
    <row r="572" spans="1:10" ht="15.75" customHeight="1" x14ac:dyDescent="0.25">
      <c r="A572" s="169">
        <v>40853</v>
      </c>
      <c r="B572" s="187">
        <v>385.35135059088344</v>
      </c>
      <c r="C572" s="187">
        <v>231.27318953179312</v>
      </c>
      <c r="D572" s="187">
        <v>291.61104089219339</v>
      </c>
      <c r="E572" s="187">
        <v>323.90732269503542</v>
      </c>
      <c r="F572" s="187">
        <v>321.78170817541962</v>
      </c>
      <c r="G572" s="188">
        <v>318.29034999999999</v>
      </c>
      <c r="H572" s="187">
        <v>424.572441314554</v>
      </c>
      <c r="I572" s="187">
        <v>93</v>
      </c>
      <c r="J572" s="30"/>
    </row>
    <row r="573" spans="1:10" ht="15.75" customHeight="1" x14ac:dyDescent="0.25">
      <c r="A573" s="169">
        <v>40860</v>
      </c>
      <c r="B573" s="187">
        <v>381.11234102419809</v>
      </c>
      <c r="C573" s="187">
        <v>230.78478225311795</v>
      </c>
      <c r="D573" s="187">
        <v>293.10185873605951</v>
      </c>
      <c r="E573" s="187">
        <v>331.42984042553189</v>
      </c>
      <c r="F573" s="187">
        <v>322.54665403356796</v>
      </c>
      <c r="G573" s="188">
        <v>318.10512</v>
      </c>
      <c r="H573" s="187">
        <v>422.55546948356806</v>
      </c>
      <c r="I573" s="187">
        <v>94</v>
      </c>
      <c r="J573" s="30"/>
    </row>
    <row r="574" spans="1:10" ht="15.75" customHeight="1" x14ac:dyDescent="0.25">
      <c r="A574" s="169">
        <v>40867</v>
      </c>
      <c r="B574" s="187">
        <v>379.41440067529544</v>
      </c>
      <c r="C574" s="187">
        <v>232.15245757513799</v>
      </c>
      <c r="D574" s="187">
        <v>294.08037174721193</v>
      </c>
      <c r="E574" s="187">
        <v>328.17397163120569</v>
      </c>
      <c r="F574" s="187">
        <v>321.87337574445047</v>
      </c>
      <c r="G574" s="188">
        <v>316.78000500000002</v>
      </c>
      <c r="H574" s="187">
        <v>415.27769953051643</v>
      </c>
      <c r="I574" s="187">
        <v>95</v>
      </c>
      <c r="J574" s="30"/>
    </row>
    <row r="575" spans="1:10" ht="15.75" customHeight="1" x14ac:dyDescent="0.25">
      <c r="A575" s="169">
        <v>40874</v>
      </c>
      <c r="B575" s="187">
        <v>370.68641530669663</v>
      </c>
      <c r="C575" s="187">
        <v>232.52216315681864</v>
      </c>
      <c r="D575" s="187">
        <v>290.69959107806699</v>
      </c>
      <c r="E575" s="187">
        <v>329.13647163120561</v>
      </c>
      <c r="F575" s="187">
        <v>321.52047915538708</v>
      </c>
      <c r="G575" s="188">
        <v>316.44101499999999</v>
      </c>
      <c r="H575" s="187">
        <v>411.92312206572768</v>
      </c>
      <c r="I575" s="187">
        <v>97.5</v>
      </c>
      <c r="J575" s="30"/>
    </row>
    <row r="576" spans="1:10" ht="15.75" customHeight="1" x14ac:dyDescent="0.25">
      <c r="A576" s="169">
        <v>40881</v>
      </c>
      <c r="B576" s="187">
        <v>360.58131119864942</v>
      </c>
      <c r="C576" s="187">
        <v>230.34465957881827</v>
      </c>
      <c r="D576" s="187">
        <v>289.8976827757125</v>
      </c>
      <c r="E576" s="187">
        <v>329.64161347517728</v>
      </c>
      <c r="F576" s="187">
        <v>319.25391174878177</v>
      </c>
      <c r="G576" s="188">
        <v>315.40418999999997</v>
      </c>
      <c r="H576" s="187">
        <v>418.01664319248823</v>
      </c>
      <c r="I576" s="187">
        <v>100.5</v>
      </c>
      <c r="J576" s="30"/>
    </row>
    <row r="577" spans="1:10" ht="15.75" customHeight="1" x14ac:dyDescent="0.25">
      <c r="A577" s="169">
        <v>40888</v>
      </c>
      <c r="B577" s="187">
        <v>362.80603826674167</v>
      </c>
      <c r="C577" s="187">
        <v>232.25009405029647</v>
      </c>
      <c r="D577" s="187">
        <v>288.01174721189591</v>
      </c>
      <c r="E577" s="187">
        <v>326.05101063829778</v>
      </c>
      <c r="F577" s="187">
        <v>322.11270167839734</v>
      </c>
      <c r="G577" s="188">
        <v>317.94239250000004</v>
      </c>
      <c r="H577" s="187">
        <v>419.88988262910794</v>
      </c>
      <c r="I577" s="187">
        <v>100.5</v>
      </c>
      <c r="J577" s="30"/>
    </row>
    <row r="578" spans="1:10" ht="15.75" customHeight="1" x14ac:dyDescent="0.25">
      <c r="A578" s="169">
        <v>40895</v>
      </c>
      <c r="B578" s="187">
        <v>355.16851997749012</v>
      </c>
      <c r="C578" s="187">
        <v>230.84482927826622</v>
      </c>
      <c r="D578" s="187">
        <v>287.9532837670385</v>
      </c>
      <c r="E578" s="187">
        <v>337.14365248226954</v>
      </c>
      <c r="F578" s="187">
        <v>320.66680833784511</v>
      </c>
      <c r="G578" s="188">
        <v>316.66674999999998</v>
      </c>
      <c r="H578" s="187">
        <v>418.95326291079812</v>
      </c>
      <c r="I578" s="187">
        <v>99</v>
      </c>
      <c r="J578" s="30"/>
    </row>
    <row r="579" spans="1:10" ht="15.75" customHeight="1" x14ac:dyDescent="0.25">
      <c r="A579" s="169">
        <v>40902</v>
      </c>
      <c r="B579" s="187">
        <v>357.10037703995499</v>
      </c>
      <c r="C579" s="187">
        <v>231.9151707217338</v>
      </c>
      <c r="D579" s="187">
        <v>287.71578686493183</v>
      </c>
      <c r="E579" s="187">
        <v>337.14365248226954</v>
      </c>
      <c r="F579" s="187">
        <v>320.37215755278828</v>
      </c>
      <c r="G579" s="188">
        <v>317.00355500000001</v>
      </c>
      <c r="H579" s="187">
        <v>415.20678403755869</v>
      </c>
      <c r="I579" s="187">
        <v>98.5</v>
      </c>
      <c r="J579" s="30"/>
    </row>
    <row r="580" spans="1:10" ht="15.75" customHeight="1" collapsed="1" x14ac:dyDescent="0.25">
      <c r="A580" s="169">
        <v>40909</v>
      </c>
      <c r="B580" s="187">
        <v>353.56550365785023</v>
      </c>
      <c r="C580" s="187">
        <v>230.82918626047842</v>
      </c>
      <c r="D580" s="187">
        <v>287.98396530359361</v>
      </c>
      <c r="E580" s="187">
        <v>332.01572695035458</v>
      </c>
      <c r="F580" s="187">
        <v>319.41199242014079</v>
      </c>
      <c r="G580" s="188">
        <v>315.43703749999997</v>
      </c>
      <c r="H580" s="187">
        <v>417.0800234741784</v>
      </c>
      <c r="I580" s="187">
        <v>98.5</v>
      </c>
      <c r="J580" s="30"/>
    </row>
    <row r="581" spans="1:10" ht="15.75" customHeight="1" x14ac:dyDescent="0.25">
      <c r="A581" s="169">
        <v>40916</v>
      </c>
      <c r="B581" s="187">
        <v>357.04308384918403</v>
      </c>
      <c r="C581" s="187">
        <v>233.62212430995703</v>
      </c>
      <c r="D581" s="187">
        <v>290.59380421313506</v>
      </c>
      <c r="E581" s="187">
        <v>333.71120567375885</v>
      </c>
      <c r="F581" s="187">
        <v>318.70348402815375</v>
      </c>
      <c r="G581" s="188">
        <v>317.84207250000003</v>
      </c>
      <c r="H581" s="187">
        <v>415.7869483568075</v>
      </c>
      <c r="I581" s="187">
        <v>98.5</v>
      </c>
      <c r="J581" s="30"/>
    </row>
    <row r="582" spans="1:10" ht="15.75" customHeight="1" x14ac:dyDescent="0.25">
      <c r="A582" s="169">
        <v>40923</v>
      </c>
      <c r="B582" s="187">
        <v>348.13129431626334</v>
      </c>
      <c r="C582" s="187">
        <v>233.27507871600895</v>
      </c>
      <c r="D582" s="187">
        <v>287.15603469640649</v>
      </c>
      <c r="E582" s="187">
        <v>341.87539007092192</v>
      </c>
      <c r="F582" s="187">
        <v>318.68890633459671</v>
      </c>
      <c r="G582" s="188">
        <v>319.08864</v>
      </c>
      <c r="H582" s="187">
        <v>416.45049295774652</v>
      </c>
      <c r="I582" s="187">
        <v>98.5</v>
      </c>
      <c r="J582" s="30"/>
    </row>
    <row r="583" spans="1:10" ht="15.75" customHeight="1" x14ac:dyDescent="0.25">
      <c r="A583" s="169">
        <v>40930</v>
      </c>
      <c r="B583" s="187">
        <v>345.64240292628023</v>
      </c>
      <c r="C583" s="187">
        <v>234.16382948272337</v>
      </c>
      <c r="D583" s="187">
        <v>286.67859975216851</v>
      </c>
      <c r="E583" s="187">
        <v>337.34675531914894</v>
      </c>
      <c r="F583" s="187">
        <v>317.4570194910666</v>
      </c>
      <c r="G583" s="188">
        <v>317.75563499999998</v>
      </c>
      <c r="H583" s="187">
        <v>415.51387323943663</v>
      </c>
      <c r="I583" s="187">
        <v>99</v>
      </c>
      <c r="J583" s="30"/>
    </row>
    <row r="584" spans="1:10" ht="15.75" customHeight="1" x14ac:dyDescent="0.25">
      <c r="A584" s="169">
        <v>40937</v>
      </c>
      <c r="B584" s="187">
        <v>344.66521102982557</v>
      </c>
      <c r="C584" s="187">
        <v>232.25357800040896</v>
      </c>
      <c r="D584" s="187">
        <v>285.45951672862458</v>
      </c>
      <c r="E584" s="187">
        <v>336.24232269503545</v>
      </c>
      <c r="F584" s="187">
        <v>318.04632918245795</v>
      </c>
      <c r="G584" s="188">
        <v>316.52100999999999</v>
      </c>
      <c r="H584" s="187">
        <v>411.76739436619721</v>
      </c>
      <c r="I584" s="187">
        <v>99</v>
      </c>
      <c r="J584" s="30"/>
    </row>
    <row r="585" spans="1:10" ht="15.75" customHeight="1" x14ac:dyDescent="0.25">
      <c r="A585" s="169">
        <v>40944</v>
      </c>
      <c r="B585" s="187">
        <v>346.82507034327512</v>
      </c>
      <c r="C585" s="187">
        <v>232.67870578613784</v>
      </c>
      <c r="D585" s="187">
        <v>287.46296158612148</v>
      </c>
      <c r="E585" s="187">
        <v>338.09223404255323</v>
      </c>
      <c r="F585" s="187">
        <v>319.68342988630206</v>
      </c>
      <c r="G585" s="188">
        <v>316.08724999999998</v>
      </c>
      <c r="H585" s="187">
        <v>412.70401408450704</v>
      </c>
      <c r="I585" s="187">
        <v>98</v>
      </c>
      <c r="J585" s="30"/>
    </row>
    <row r="586" spans="1:10" ht="15.75" customHeight="1" x14ac:dyDescent="0.25">
      <c r="A586" s="169">
        <v>40951</v>
      </c>
      <c r="B586" s="187">
        <v>338.12759707371976</v>
      </c>
      <c r="C586" s="187">
        <v>230.84488448170111</v>
      </c>
      <c r="D586" s="187">
        <v>284.4981164807931</v>
      </c>
      <c r="E586" s="187">
        <v>335.21014184397166</v>
      </c>
      <c r="F586" s="187">
        <v>318.0660774228478</v>
      </c>
      <c r="G586" s="188">
        <v>317.08426250000002</v>
      </c>
      <c r="H586" s="187">
        <v>410.83077464788732</v>
      </c>
      <c r="I586" s="187">
        <v>95.5</v>
      </c>
      <c r="J586" s="30"/>
    </row>
    <row r="587" spans="1:10" ht="15.75" customHeight="1" x14ac:dyDescent="0.25">
      <c r="A587" s="169">
        <v>40958</v>
      </c>
      <c r="B587" s="187">
        <v>334.86921215531788</v>
      </c>
      <c r="C587" s="187">
        <v>228.35693109793493</v>
      </c>
      <c r="D587" s="187">
        <v>283.97947955390333</v>
      </c>
      <c r="E587" s="187">
        <v>336.37742907801419</v>
      </c>
      <c r="F587" s="187">
        <v>316.19986464537089</v>
      </c>
      <c r="G587" s="188">
        <v>315.68416999999999</v>
      </c>
      <c r="H587" s="187">
        <v>411.76739436619721</v>
      </c>
      <c r="I587" s="187">
        <v>94</v>
      </c>
      <c r="J587" s="30"/>
    </row>
    <row r="588" spans="1:10" ht="15.75" customHeight="1" x14ac:dyDescent="0.25">
      <c r="A588" s="169">
        <v>40965</v>
      </c>
      <c r="B588" s="187">
        <v>325.81806978052896</v>
      </c>
      <c r="C588" s="187">
        <v>223.87611940298507</v>
      </c>
      <c r="D588" s="187">
        <v>283.78581164807935</v>
      </c>
      <c r="E588" s="187">
        <v>347.77042553191495</v>
      </c>
      <c r="F588" s="187">
        <v>315.45364103952346</v>
      </c>
      <c r="G588" s="188">
        <v>314.92357999999996</v>
      </c>
      <c r="H588" s="187">
        <v>414.57725352112681</v>
      </c>
      <c r="I588" s="187">
        <v>93.5</v>
      </c>
      <c r="J588" s="30"/>
    </row>
    <row r="589" spans="1:10" ht="15.75" customHeight="1" x14ac:dyDescent="0.25">
      <c r="A589" s="169">
        <v>40972</v>
      </c>
      <c r="B589" s="187">
        <v>323.80945976364654</v>
      </c>
      <c r="C589" s="187">
        <v>222.34401553874463</v>
      </c>
      <c r="D589" s="187">
        <v>275.85472118959115</v>
      </c>
      <c r="E589" s="187">
        <v>331.97051418439713</v>
      </c>
      <c r="F589" s="187">
        <v>315.71993773687058</v>
      </c>
      <c r="G589" s="188">
        <v>314.34894250000002</v>
      </c>
      <c r="H589" s="187">
        <v>416.45049295774652</v>
      </c>
      <c r="I589" s="187">
        <v>92.5</v>
      </c>
      <c r="J589" s="30"/>
    </row>
    <row r="590" spans="1:10" ht="15.75" customHeight="1" x14ac:dyDescent="0.25">
      <c r="A590" s="169">
        <v>40979</v>
      </c>
      <c r="B590" s="187">
        <v>322.78063027574558</v>
      </c>
      <c r="C590" s="187">
        <v>222.15435493764059</v>
      </c>
      <c r="D590" s="187">
        <v>277.16679058240402</v>
      </c>
      <c r="E590" s="187">
        <v>333.45606382978718</v>
      </c>
      <c r="F590" s="187">
        <v>314.21322414726581</v>
      </c>
      <c r="G590" s="188">
        <v>315.09272499999997</v>
      </c>
      <c r="H590" s="187">
        <v>417.38711267605635</v>
      </c>
      <c r="I590" s="187">
        <v>91</v>
      </c>
      <c r="J590" s="30"/>
    </row>
    <row r="591" spans="1:10" ht="15.75" customHeight="1" x14ac:dyDescent="0.25">
      <c r="A591" s="169">
        <v>40986</v>
      </c>
      <c r="B591" s="187">
        <v>313.14101294316265</v>
      </c>
      <c r="C591" s="187">
        <v>217.26555305663464</v>
      </c>
      <c r="D591" s="187">
        <v>276.6201486988848</v>
      </c>
      <c r="E591" s="187">
        <v>331.64312056737583</v>
      </c>
      <c r="F591" s="187">
        <v>314.96897942609644</v>
      </c>
      <c r="G591" s="188">
        <v>313.10179999999997</v>
      </c>
      <c r="H591" s="187">
        <v>415.51387323943663</v>
      </c>
      <c r="I591" s="187">
        <v>90.5</v>
      </c>
      <c r="J591" s="30"/>
    </row>
    <row r="592" spans="1:10" ht="15.75" customHeight="1" x14ac:dyDescent="0.25">
      <c r="A592" s="169">
        <v>40993</v>
      </c>
      <c r="B592" s="187">
        <v>308.99765897580198</v>
      </c>
      <c r="C592" s="187">
        <v>213.88934573706806</v>
      </c>
      <c r="D592" s="187">
        <v>276.60325898389095</v>
      </c>
      <c r="E592" s="187">
        <v>330.57929078014178</v>
      </c>
      <c r="F592" s="187">
        <v>315.05433134813217</v>
      </c>
      <c r="G592" s="188">
        <v>311.79901000000001</v>
      </c>
      <c r="H592" s="187">
        <v>418.32373239436623</v>
      </c>
      <c r="I592" s="187">
        <v>91</v>
      </c>
      <c r="J592" s="30"/>
    </row>
    <row r="593" spans="1:10" ht="15.75" customHeight="1" x14ac:dyDescent="0.25">
      <c r="A593" s="169">
        <v>41000</v>
      </c>
      <c r="B593" s="187">
        <v>306.43617332583005</v>
      </c>
      <c r="C593" s="187">
        <v>211.3221120425271</v>
      </c>
      <c r="D593" s="187">
        <v>273.56206939281293</v>
      </c>
      <c r="E593" s="187">
        <v>328.19028368794329</v>
      </c>
      <c r="F593" s="187">
        <v>312.13785056848951</v>
      </c>
      <c r="G593" s="188">
        <v>309.91197000000005</v>
      </c>
      <c r="H593" s="187">
        <v>420.19697183098594</v>
      </c>
      <c r="I593" s="187">
        <v>88</v>
      </c>
      <c r="J593" s="30"/>
    </row>
    <row r="594" spans="1:10" ht="15.75" customHeight="1" x14ac:dyDescent="0.25">
      <c r="A594" s="169">
        <v>41007</v>
      </c>
      <c r="B594" s="187">
        <v>292.22551491277432</v>
      </c>
      <c r="C594" s="187">
        <v>208.9603864240442</v>
      </c>
      <c r="D594" s="187">
        <v>270.41589838909539</v>
      </c>
      <c r="E594" s="187">
        <v>329.41980496453891</v>
      </c>
      <c r="F594" s="187">
        <v>312.71498917162972</v>
      </c>
      <c r="G594" s="188">
        <v>309.83317000000005</v>
      </c>
      <c r="H594" s="187">
        <v>424.88007042253525</v>
      </c>
      <c r="I594" s="187">
        <v>85.85</v>
      </c>
      <c r="J594" s="30"/>
    </row>
    <row r="595" spans="1:10" ht="15.75" customHeight="1" x14ac:dyDescent="0.25">
      <c r="A595" s="169">
        <v>41014</v>
      </c>
      <c r="B595" s="187">
        <v>282.01479459763652</v>
      </c>
      <c r="C595" s="187">
        <v>206.91531384175019</v>
      </c>
      <c r="D595" s="187">
        <v>267.56781908302355</v>
      </c>
      <c r="E595" s="187">
        <v>330.07539007092203</v>
      </c>
      <c r="F595" s="187">
        <v>311.97243367623173</v>
      </c>
      <c r="G595" s="188">
        <v>310.22523749999999</v>
      </c>
      <c r="H595" s="187">
        <v>423.00795774647889</v>
      </c>
      <c r="I595" s="187">
        <v>85.5</v>
      </c>
      <c r="J595" s="30"/>
    </row>
    <row r="596" spans="1:10" ht="15.75" customHeight="1" x14ac:dyDescent="0.25">
      <c r="A596" s="169">
        <v>41021</v>
      </c>
      <c r="B596" s="187">
        <v>277.40991558806974</v>
      </c>
      <c r="C596" s="187">
        <v>205.66453894909014</v>
      </c>
      <c r="D596" s="187">
        <v>262.65599752168521</v>
      </c>
      <c r="E596" s="187">
        <v>346.62902482269504</v>
      </c>
      <c r="F596" s="187">
        <v>309.62644288034653</v>
      </c>
      <c r="G596" s="188">
        <v>309.43306999999999</v>
      </c>
      <c r="H596" s="187">
        <v>416.45049295774652</v>
      </c>
      <c r="I596" s="187">
        <v>87</v>
      </c>
      <c r="J596" s="30"/>
    </row>
    <row r="597" spans="1:10" ht="15.75" customHeight="1" x14ac:dyDescent="0.25">
      <c r="A597" s="169">
        <v>41028</v>
      </c>
      <c r="B597" s="187">
        <v>271.51158131682604</v>
      </c>
      <c r="C597" s="187">
        <v>203.50792884890612</v>
      </c>
      <c r="D597" s="187">
        <v>255.76499380421311</v>
      </c>
      <c r="E597" s="187">
        <v>333.11306737588654</v>
      </c>
      <c r="F597" s="187">
        <v>308.87331618841358</v>
      </c>
      <c r="G597" s="188">
        <v>307.00658999999996</v>
      </c>
      <c r="H597" s="187">
        <v>411.76758215962445</v>
      </c>
      <c r="I597" s="187">
        <v>87</v>
      </c>
      <c r="J597" s="30"/>
    </row>
    <row r="598" spans="1:10" ht="15.75" customHeight="1" x14ac:dyDescent="0.25">
      <c r="A598" s="169">
        <v>41035</v>
      </c>
      <c r="B598" s="187">
        <v>261.04432751828926</v>
      </c>
      <c r="C598" s="187">
        <v>202.01847883868325</v>
      </c>
      <c r="D598" s="187">
        <v>251.97420074349441</v>
      </c>
      <c r="E598" s="187">
        <v>343.60526595744682</v>
      </c>
      <c r="F598" s="187">
        <v>305.35557390362749</v>
      </c>
      <c r="G598" s="188">
        <v>302.83387249999998</v>
      </c>
      <c r="H598" s="187">
        <v>437.99274647887324</v>
      </c>
      <c r="I598" s="187">
        <v>86</v>
      </c>
      <c r="J598" s="30"/>
    </row>
    <row r="599" spans="1:10" ht="15.75" customHeight="1" x14ac:dyDescent="0.25">
      <c r="A599" s="169">
        <v>41042</v>
      </c>
      <c r="B599" s="187">
        <v>260.31035453010691</v>
      </c>
      <c r="C599" s="187">
        <v>201.38414843590269</v>
      </c>
      <c r="D599" s="187">
        <v>252.30655514250313</v>
      </c>
      <c r="E599" s="187">
        <v>338.55695035460991</v>
      </c>
      <c r="F599" s="187">
        <v>302.83194639956685</v>
      </c>
      <c r="G599" s="188">
        <v>302.05137000000002</v>
      </c>
      <c r="H599" s="187">
        <v>422.07021126760566</v>
      </c>
      <c r="I599" s="187">
        <v>86.5</v>
      </c>
      <c r="J599" s="30"/>
    </row>
    <row r="600" spans="1:10" ht="15.75" customHeight="1" x14ac:dyDescent="0.25">
      <c r="A600" s="169">
        <v>41049</v>
      </c>
      <c r="B600" s="187">
        <v>263.76976927405741</v>
      </c>
      <c r="C600" s="187">
        <v>202.78620936413822</v>
      </c>
      <c r="D600" s="187">
        <v>250.88213135068159</v>
      </c>
      <c r="E600" s="187">
        <v>336.95304964539008</v>
      </c>
      <c r="F600" s="187">
        <v>299.19775852734165</v>
      </c>
      <c r="G600" s="188">
        <v>299.32100000000003</v>
      </c>
      <c r="H600" s="187">
        <v>415.51387323943663</v>
      </c>
      <c r="I600" s="187">
        <v>87.5</v>
      </c>
      <c r="J600" s="30"/>
    </row>
    <row r="601" spans="1:10" ht="15.75" customHeight="1" x14ac:dyDescent="0.25">
      <c r="A601" s="169">
        <v>41056</v>
      </c>
      <c r="B601" s="187">
        <v>256.93895329206538</v>
      </c>
      <c r="C601" s="187">
        <v>200.44595379268046</v>
      </c>
      <c r="D601" s="187">
        <v>249.1565427509293</v>
      </c>
      <c r="E601" s="187">
        <v>332.99849290780139</v>
      </c>
      <c r="F601" s="187">
        <v>298.38812127774776</v>
      </c>
      <c r="G601" s="188">
        <v>297.80114250000003</v>
      </c>
      <c r="H601" s="187">
        <v>413.64063380281692</v>
      </c>
      <c r="I601" s="187">
        <v>89</v>
      </c>
      <c r="J601" s="30"/>
    </row>
    <row r="602" spans="1:10" ht="15.75" customHeight="1" x14ac:dyDescent="0.25">
      <c r="A602" s="169">
        <v>41063</v>
      </c>
      <c r="B602" s="187">
        <v>268.02323579065842</v>
      </c>
      <c r="C602" s="187">
        <v>202.3705520343488</v>
      </c>
      <c r="D602" s="187">
        <v>246.71122676579924</v>
      </c>
      <c r="E602" s="187">
        <v>332.99849290780139</v>
      </c>
      <c r="F602" s="187">
        <v>288.46345425013533</v>
      </c>
      <c r="G602" s="188">
        <v>294.33057250000002</v>
      </c>
      <c r="H602" s="187">
        <v>416.45049295774652</v>
      </c>
      <c r="I602" s="187">
        <v>91</v>
      </c>
      <c r="J602" s="30"/>
    </row>
    <row r="603" spans="1:10" ht="15.75" customHeight="1" x14ac:dyDescent="0.25">
      <c r="A603" s="169">
        <v>41070</v>
      </c>
      <c r="B603" s="187">
        <v>268.96572875633092</v>
      </c>
      <c r="C603" s="187">
        <v>205.63517481087715</v>
      </c>
      <c r="D603" s="187">
        <v>251.23863692688965</v>
      </c>
      <c r="E603" s="187">
        <v>344.05443262411342</v>
      </c>
      <c r="F603" s="187">
        <v>295.59299675148895</v>
      </c>
      <c r="G603" s="188">
        <v>292.14025249999997</v>
      </c>
      <c r="H603" s="187">
        <v>410.83077464788732</v>
      </c>
      <c r="I603" s="187">
        <v>93.55</v>
      </c>
      <c r="J603" s="30"/>
    </row>
    <row r="604" spans="1:10" ht="15.75" customHeight="1" x14ac:dyDescent="0.25">
      <c r="A604" s="169">
        <v>41077</v>
      </c>
      <c r="B604" s="187">
        <v>271.6912380416432</v>
      </c>
      <c r="C604" s="187">
        <v>210.85771825802493</v>
      </c>
      <c r="D604" s="187">
        <v>252.42505576208177</v>
      </c>
      <c r="E604" s="187">
        <v>340.22491134751766</v>
      </c>
      <c r="F604" s="187">
        <v>294.19689225771515</v>
      </c>
      <c r="G604" s="188">
        <v>292.44607999999999</v>
      </c>
      <c r="H604" s="187">
        <v>407.0842957746479</v>
      </c>
      <c r="I604" s="187">
        <v>96</v>
      </c>
      <c r="J604" s="30"/>
    </row>
    <row r="605" spans="1:10" ht="15.75" customHeight="1" x14ac:dyDescent="0.25">
      <c r="A605" s="169">
        <v>41084</v>
      </c>
      <c r="B605" s="187">
        <v>271.43127180641534</v>
      </c>
      <c r="C605" s="187">
        <v>214.4622510734001</v>
      </c>
      <c r="D605" s="187">
        <v>255.11608426270135</v>
      </c>
      <c r="E605" s="187">
        <v>339.3306737588652</v>
      </c>
      <c r="F605" s="187">
        <v>291.44667027612343</v>
      </c>
      <c r="G605" s="188">
        <v>290.53774750000002</v>
      </c>
      <c r="H605" s="187">
        <v>403.34091549295778</v>
      </c>
      <c r="I605" s="187">
        <v>95.5</v>
      </c>
      <c r="J605" s="30"/>
    </row>
    <row r="606" spans="1:10" ht="15.75" customHeight="1" x14ac:dyDescent="0.25">
      <c r="A606" s="169">
        <v>41091</v>
      </c>
      <c r="B606" s="187">
        <v>273.96155317951599</v>
      </c>
      <c r="C606" s="187">
        <v>215.21830505009203</v>
      </c>
      <c r="D606" s="187">
        <v>245.12893432465924</v>
      </c>
      <c r="E606" s="187">
        <v>344.77801418439714</v>
      </c>
      <c r="F606" s="187">
        <v>290.10296697347053</v>
      </c>
      <c r="G606" s="188">
        <v>288.40634</v>
      </c>
      <c r="H606" s="187">
        <v>399.59133802816905</v>
      </c>
      <c r="I606" s="187">
        <v>94</v>
      </c>
      <c r="J606" s="30"/>
    </row>
    <row r="607" spans="1:10" ht="15.75" customHeight="1" x14ac:dyDescent="0.25">
      <c r="A607" s="169">
        <v>41098</v>
      </c>
      <c r="B607" s="187">
        <v>272.95395047833432</v>
      </c>
      <c r="C607" s="187">
        <v>215.42908403189531</v>
      </c>
      <c r="D607" s="187">
        <v>249.61468401486988</v>
      </c>
      <c r="E607" s="187">
        <v>325.66285460992907</v>
      </c>
      <c r="F607" s="187">
        <v>292.35734163508391</v>
      </c>
      <c r="G607" s="188">
        <v>290.49203</v>
      </c>
      <c r="H607" s="187">
        <v>397.71809859154934</v>
      </c>
      <c r="I607" s="187">
        <v>92.5</v>
      </c>
      <c r="J607" s="30"/>
    </row>
    <row r="608" spans="1:10" ht="15.75" customHeight="1" x14ac:dyDescent="0.25">
      <c r="A608" s="169">
        <v>41105</v>
      </c>
      <c r="B608" s="187">
        <v>269.85549240292625</v>
      </c>
      <c r="C608" s="187">
        <v>215.036307503578</v>
      </c>
      <c r="D608" s="187">
        <v>250.25819083023538</v>
      </c>
      <c r="E608" s="187">
        <v>337.85735815602834</v>
      </c>
      <c r="F608" s="187">
        <v>291.02123714131022</v>
      </c>
      <c r="G608" s="188">
        <v>288.52745250000004</v>
      </c>
      <c r="H608" s="187">
        <v>402.13255868544599</v>
      </c>
      <c r="I608" s="187">
        <v>93.5</v>
      </c>
      <c r="J608" s="30"/>
    </row>
    <row r="609" spans="1:10" ht="15.75" customHeight="1" x14ac:dyDescent="0.25">
      <c r="A609" s="169">
        <v>41112</v>
      </c>
      <c r="B609" s="187">
        <v>282.18453010692167</v>
      </c>
      <c r="C609" s="187">
        <v>218.0230770803517</v>
      </c>
      <c r="D609" s="187">
        <v>253.2423791821561</v>
      </c>
      <c r="E609" s="187">
        <v>347.92015957446813</v>
      </c>
      <c r="F609" s="187">
        <v>288.94453167298326</v>
      </c>
      <c r="G609" s="188">
        <v>288.28389249999998</v>
      </c>
      <c r="H609" s="187">
        <v>397.8483333333333</v>
      </c>
      <c r="I609" s="187">
        <v>94</v>
      </c>
      <c r="J609" s="30"/>
    </row>
    <row r="610" spans="1:10" ht="15.75" customHeight="1" x14ac:dyDescent="0.25">
      <c r="A610" s="169">
        <v>41119</v>
      </c>
      <c r="B610" s="187">
        <v>276.37642656162069</v>
      </c>
      <c r="C610" s="187">
        <v>220.95466366796157</v>
      </c>
      <c r="D610" s="187">
        <v>250.17376703841384</v>
      </c>
      <c r="E610" s="187">
        <v>341.64001773049642</v>
      </c>
      <c r="F610" s="187">
        <v>291.61103410936659</v>
      </c>
      <c r="G610" s="188">
        <v>290.37263250000001</v>
      </c>
      <c r="H610" s="187">
        <v>406.27791079812204</v>
      </c>
      <c r="I610" s="187">
        <v>94.5</v>
      </c>
      <c r="J610" s="30"/>
    </row>
    <row r="611" spans="1:10" ht="15.75" customHeight="1" x14ac:dyDescent="0.25">
      <c r="A611" s="169">
        <v>41126</v>
      </c>
      <c r="B611" s="187">
        <v>276.81427124366911</v>
      </c>
      <c r="C611" s="187">
        <v>226.66076262523001</v>
      </c>
      <c r="D611" s="187">
        <v>254.77080545229242</v>
      </c>
      <c r="E611" s="187">
        <v>342.99843971631202</v>
      </c>
      <c r="F611" s="187">
        <v>291.87333513806169</v>
      </c>
      <c r="G611" s="188">
        <v>290.16733250000004</v>
      </c>
      <c r="H611" s="187">
        <v>410.23950704225354</v>
      </c>
      <c r="I611" s="187">
        <v>95.5</v>
      </c>
      <c r="J611" s="30"/>
    </row>
    <row r="612" spans="1:10" ht="15.75" customHeight="1" x14ac:dyDescent="0.25">
      <c r="A612" s="169">
        <v>41133</v>
      </c>
      <c r="B612" s="187">
        <v>282.24532920652791</v>
      </c>
      <c r="C612" s="187">
        <v>235.03840114496009</v>
      </c>
      <c r="D612" s="187">
        <v>259.91592317224291</v>
      </c>
      <c r="E612" s="187">
        <v>339.71613475177304</v>
      </c>
      <c r="F612" s="187">
        <v>293.93954520844613</v>
      </c>
      <c r="G612" s="188">
        <v>291.10328999999996</v>
      </c>
      <c r="H612" s="187">
        <v>412.11274647887325</v>
      </c>
      <c r="I612" s="187">
        <v>98.5</v>
      </c>
      <c r="J612" s="30"/>
    </row>
    <row r="613" spans="1:10" ht="15.75" customHeight="1" x14ac:dyDescent="0.25">
      <c r="A613" s="169">
        <v>41140</v>
      </c>
      <c r="B613" s="187">
        <v>297.78781091727643</v>
      </c>
      <c r="C613" s="187">
        <v>243.91512983030054</v>
      </c>
      <c r="D613" s="187">
        <v>267.98701363073104</v>
      </c>
      <c r="E613" s="187">
        <v>379.06888297872342</v>
      </c>
      <c r="F613" s="187">
        <v>294.15340281537624</v>
      </c>
      <c r="G613" s="188">
        <v>291.69899750000002</v>
      </c>
      <c r="H613" s="187">
        <v>405.55640845070423</v>
      </c>
      <c r="I613" s="187">
        <v>102.5</v>
      </c>
      <c r="J613" s="30"/>
    </row>
    <row r="614" spans="1:10" ht="15.75" customHeight="1" x14ac:dyDescent="0.25">
      <c r="A614" s="169">
        <v>41147</v>
      </c>
      <c r="B614" s="187">
        <v>290.23009003939228</v>
      </c>
      <c r="C614" s="187">
        <v>248.68512369658555</v>
      </c>
      <c r="D614" s="187">
        <v>272.71768277571249</v>
      </c>
      <c r="E614" s="187">
        <v>341.44867021276599</v>
      </c>
      <c r="F614" s="187">
        <v>293.70630752571742</v>
      </c>
      <c r="G614" s="188">
        <v>290.14573250000007</v>
      </c>
      <c r="H614" s="187">
        <v>408.36626760563382</v>
      </c>
      <c r="I614" s="187">
        <v>103</v>
      </c>
      <c r="J614" s="30"/>
    </row>
    <row r="615" spans="1:10" ht="15.75" customHeight="1" x14ac:dyDescent="0.25">
      <c r="A615" s="169">
        <v>41154</v>
      </c>
      <c r="B615" s="187">
        <v>301.99088351153625</v>
      </c>
      <c r="C615" s="187">
        <v>254.68744224085052</v>
      </c>
      <c r="D615" s="187">
        <v>276.76498141263943</v>
      </c>
      <c r="E615" s="187">
        <v>347.88501773049643</v>
      </c>
      <c r="F615" s="187">
        <v>291.78389821331893</v>
      </c>
      <c r="G615" s="188">
        <v>290.13919249999992</v>
      </c>
      <c r="H615" s="187">
        <v>399.56422535211271</v>
      </c>
      <c r="I615" s="187">
        <v>104</v>
      </c>
      <c r="J615" s="30"/>
    </row>
    <row r="616" spans="1:10" ht="15.75" customHeight="1" x14ac:dyDescent="0.25">
      <c r="A616" s="169">
        <v>41161</v>
      </c>
      <c r="B616" s="187">
        <v>304.24035453010691</v>
      </c>
      <c r="C616" s="187">
        <v>256.15834389695351</v>
      </c>
      <c r="D616" s="187">
        <v>284.21650557620819</v>
      </c>
      <c r="E616" s="187">
        <v>336.72304964539012</v>
      </c>
      <c r="F616" s="187">
        <v>293.06639415268</v>
      </c>
      <c r="G616" s="188">
        <v>291.72454249999998</v>
      </c>
      <c r="H616" s="187">
        <v>401.43746478873243</v>
      </c>
      <c r="I616" s="187">
        <v>104.5</v>
      </c>
      <c r="J616" s="30"/>
    </row>
    <row r="617" spans="1:10" ht="15.75" customHeight="1" x14ac:dyDescent="0.25">
      <c r="A617" s="169">
        <v>41168</v>
      </c>
      <c r="B617" s="187">
        <v>313.50667979741138</v>
      </c>
      <c r="C617" s="187">
        <v>261.1129707626252</v>
      </c>
      <c r="D617" s="187">
        <v>283.44820322180914</v>
      </c>
      <c r="E617" s="187">
        <v>344.74991134751775</v>
      </c>
      <c r="F617" s="187">
        <v>295.46429344883592</v>
      </c>
      <c r="G617" s="188">
        <v>293.43549000000002</v>
      </c>
      <c r="H617" s="187">
        <v>394.8811267605634</v>
      </c>
      <c r="I617" s="187">
        <v>103.5</v>
      </c>
      <c r="J617" s="30"/>
    </row>
    <row r="618" spans="1:10" ht="15.75" customHeight="1" x14ac:dyDescent="0.25">
      <c r="A618" s="169">
        <v>41175</v>
      </c>
      <c r="B618" s="187">
        <v>320.94822734946541</v>
      </c>
      <c r="C618" s="187">
        <v>264.99706603966467</v>
      </c>
      <c r="D618" s="187">
        <v>287.63729863692691</v>
      </c>
      <c r="E618" s="187">
        <v>331.41515957446813</v>
      </c>
      <c r="F618" s="187">
        <v>298.33208987547368</v>
      </c>
      <c r="G618" s="188">
        <v>298.18159750000001</v>
      </c>
      <c r="H618" s="187">
        <v>399.56422535211271</v>
      </c>
      <c r="I618" s="187">
        <v>102.5</v>
      </c>
      <c r="J618" s="30"/>
    </row>
    <row r="619" spans="1:10" ht="15.75" customHeight="1" x14ac:dyDescent="0.25">
      <c r="A619" s="169">
        <v>41182</v>
      </c>
      <c r="B619" s="187">
        <v>320.81404051772654</v>
      </c>
      <c r="C619" s="187">
        <v>263.98295645062359</v>
      </c>
      <c r="D619" s="187">
        <v>287.90795539033456</v>
      </c>
      <c r="E619" s="187">
        <v>348.55301418439717</v>
      </c>
      <c r="F619" s="187">
        <v>299.78881700054143</v>
      </c>
      <c r="G619" s="188">
        <v>294.78229749999997</v>
      </c>
      <c r="H619" s="187">
        <v>403.31070422535214</v>
      </c>
      <c r="I619" s="187">
        <v>102</v>
      </c>
      <c r="J619" s="30"/>
    </row>
    <row r="620" spans="1:10" ht="15.75" customHeight="1" x14ac:dyDescent="0.25">
      <c r="A620" s="169">
        <v>41189</v>
      </c>
      <c r="B620" s="187">
        <v>318.64489589195273</v>
      </c>
      <c r="C620" s="187">
        <v>268.46480474340626</v>
      </c>
      <c r="D620" s="187">
        <v>292.60770755886</v>
      </c>
      <c r="E620" s="187">
        <v>343.54090425531911</v>
      </c>
      <c r="F620" s="187">
        <v>305.0474742826205</v>
      </c>
      <c r="G620" s="188">
        <v>300.061375</v>
      </c>
      <c r="H620" s="187">
        <v>406.12056338028174</v>
      </c>
      <c r="I620" s="187">
        <v>100</v>
      </c>
      <c r="J620" s="30"/>
    </row>
    <row r="621" spans="1:10" ht="15.75" customHeight="1" x14ac:dyDescent="0.25">
      <c r="A621" s="169">
        <v>41196</v>
      </c>
      <c r="B621" s="187">
        <v>323.46265053460888</v>
      </c>
      <c r="C621" s="187">
        <v>266.95006542629318</v>
      </c>
      <c r="D621" s="187">
        <v>288.83667905824035</v>
      </c>
      <c r="E621" s="187">
        <v>343.80686170212761</v>
      </c>
      <c r="F621" s="187">
        <v>306.69091770438541</v>
      </c>
      <c r="G621" s="188">
        <v>303.47397999999998</v>
      </c>
      <c r="H621" s="187">
        <v>406.12056338028174</v>
      </c>
      <c r="I621" s="187">
        <v>100</v>
      </c>
      <c r="J621" s="30"/>
    </row>
    <row r="622" spans="1:10" ht="15.75" customHeight="1" x14ac:dyDescent="0.25">
      <c r="A622" s="169">
        <v>41203</v>
      </c>
      <c r="B622" s="187">
        <v>312.40665728756341</v>
      </c>
      <c r="C622" s="187">
        <v>269.99940094050294</v>
      </c>
      <c r="D622" s="187">
        <v>291.2328748451053</v>
      </c>
      <c r="E622" s="187">
        <v>346.94693262411346</v>
      </c>
      <c r="F622" s="187">
        <v>309.48253113156471</v>
      </c>
      <c r="G622" s="188">
        <v>303.01280000000003</v>
      </c>
      <c r="H622" s="187">
        <v>407.96446009389672</v>
      </c>
      <c r="I622" s="187">
        <v>100</v>
      </c>
      <c r="J622" s="30"/>
    </row>
    <row r="623" spans="1:10" ht="15.75" customHeight="1" x14ac:dyDescent="0.25">
      <c r="A623" s="169">
        <v>41210</v>
      </c>
      <c r="B623" s="187">
        <v>321.47477208778844</v>
      </c>
      <c r="C623" s="187">
        <v>267.61918626047839</v>
      </c>
      <c r="D623" s="187">
        <v>287.95475836431228</v>
      </c>
      <c r="E623" s="187">
        <v>339.7071276595745</v>
      </c>
      <c r="F623" s="187">
        <v>310.95216296697339</v>
      </c>
      <c r="G623" s="188">
        <v>304.28343000000001</v>
      </c>
      <c r="H623" s="187">
        <v>399.730117370892</v>
      </c>
      <c r="I623" s="187">
        <v>101</v>
      </c>
      <c r="J623" s="30"/>
    </row>
    <row r="624" spans="1:10" ht="15.75" customHeight="1" x14ac:dyDescent="0.25">
      <c r="A624" s="169">
        <v>41217</v>
      </c>
      <c r="B624" s="187">
        <v>324.7780416432189</v>
      </c>
      <c r="C624" s="187">
        <v>266.79983030055206</v>
      </c>
      <c r="D624" s="187">
        <v>297.13732450331122</v>
      </c>
      <c r="E624" s="187">
        <v>345.04835106382984</v>
      </c>
      <c r="F624" s="187">
        <v>313.94281537628586</v>
      </c>
      <c r="G624" s="188">
        <v>305.27785</v>
      </c>
      <c r="H624" s="187">
        <v>408.41852112676054</v>
      </c>
      <c r="I624" s="187">
        <v>101.5</v>
      </c>
      <c r="J624" s="30"/>
    </row>
    <row r="625" spans="1:10" ht="15.75" customHeight="1" x14ac:dyDescent="0.25">
      <c r="A625" s="169">
        <v>41224</v>
      </c>
      <c r="B625" s="187">
        <v>323.83765334833993</v>
      </c>
      <c r="C625" s="187">
        <v>265.3187303209977</v>
      </c>
      <c r="D625" s="187">
        <v>295.0735761589404</v>
      </c>
      <c r="E625" s="187">
        <v>344.55003546099283</v>
      </c>
      <c r="F625" s="187">
        <v>325.71369788846778</v>
      </c>
      <c r="G625" s="188">
        <v>323.70660749999996</v>
      </c>
      <c r="H625" s="187">
        <v>403.83417840375591</v>
      </c>
      <c r="I625" s="187">
        <v>103</v>
      </c>
      <c r="J625" s="30"/>
    </row>
    <row r="626" spans="1:10" ht="15.75" customHeight="1" x14ac:dyDescent="0.25">
      <c r="A626" s="169">
        <v>41231</v>
      </c>
      <c r="B626" s="187">
        <v>324.10268992684297</v>
      </c>
      <c r="C626" s="187">
        <v>267.22353506440402</v>
      </c>
      <c r="D626" s="187">
        <v>288.88470198675492</v>
      </c>
      <c r="E626" s="187">
        <v>339.09728723404254</v>
      </c>
      <c r="F626" s="187">
        <v>316.83909853817005</v>
      </c>
      <c r="G626" s="188">
        <v>307.96416749999997</v>
      </c>
      <c r="H626" s="187">
        <v>399.1893427230047</v>
      </c>
      <c r="I626" s="187">
        <v>103.5</v>
      </c>
      <c r="J626" s="30"/>
    </row>
    <row r="627" spans="1:10" ht="15.75" customHeight="1" x14ac:dyDescent="0.25">
      <c r="A627" s="169">
        <v>41238</v>
      </c>
      <c r="B627" s="187">
        <v>334.33076533483398</v>
      </c>
      <c r="C627" s="187">
        <v>264.18188713964423</v>
      </c>
      <c r="D627" s="187">
        <v>288.44407947019863</v>
      </c>
      <c r="E627" s="187">
        <v>337.60517730496457</v>
      </c>
      <c r="F627" s="187">
        <v>318.55275311315643</v>
      </c>
      <c r="G627" s="188">
        <v>310.788365</v>
      </c>
      <c r="H627" s="187">
        <v>403.10685446009387</v>
      </c>
      <c r="I627" s="187">
        <v>104</v>
      </c>
      <c r="J627" s="30"/>
    </row>
    <row r="628" spans="1:10" ht="15.75" customHeight="1" x14ac:dyDescent="0.25">
      <c r="A628" s="169">
        <v>41245</v>
      </c>
      <c r="B628" s="187">
        <v>343.99844682048393</v>
      </c>
      <c r="C628" s="187">
        <v>264.76770394602329</v>
      </c>
      <c r="D628" s="187">
        <v>296.06455629139072</v>
      </c>
      <c r="E628" s="187">
        <v>343.71608156028367</v>
      </c>
      <c r="F628" s="187">
        <v>320.87187060097455</v>
      </c>
      <c r="G628" s="188">
        <v>311.24387999999999</v>
      </c>
      <c r="H628" s="187">
        <v>398.41565727699532</v>
      </c>
      <c r="I628" s="187">
        <v>104</v>
      </c>
      <c r="J628" s="30"/>
    </row>
    <row r="629" spans="1:10" ht="15.75" customHeight="1" x14ac:dyDescent="0.25">
      <c r="A629" s="169">
        <v>41252</v>
      </c>
      <c r="B629" s="187">
        <v>337.38167135621842</v>
      </c>
      <c r="C629" s="187">
        <v>266.89939071764468</v>
      </c>
      <c r="D629" s="187">
        <v>296.02406622516548</v>
      </c>
      <c r="E629" s="187">
        <v>336.70652482269503</v>
      </c>
      <c r="F629" s="187">
        <v>322.05328911748779</v>
      </c>
      <c r="G629" s="188">
        <v>313.26868000000002</v>
      </c>
      <c r="H629" s="187">
        <v>406.1123474178404</v>
      </c>
      <c r="I629" s="187">
        <v>105</v>
      </c>
      <c r="J629" s="30"/>
    </row>
    <row r="630" spans="1:10" ht="15.75" customHeight="1" x14ac:dyDescent="0.25">
      <c r="A630" s="169">
        <v>41259</v>
      </c>
      <c r="B630" s="187">
        <v>336.39042205965103</v>
      </c>
      <c r="C630" s="187">
        <v>265.03413821304434</v>
      </c>
      <c r="D630" s="187">
        <v>298.88899337748347</v>
      </c>
      <c r="E630" s="187">
        <v>335.98436170212767</v>
      </c>
      <c r="F630" s="187">
        <v>325.15576069301568</v>
      </c>
      <c r="G630" s="188">
        <v>318.0354375</v>
      </c>
      <c r="H630" s="187">
        <v>404.30389671361502</v>
      </c>
      <c r="I630" s="187">
        <v>105</v>
      </c>
      <c r="J630" s="30"/>
    </row>
    <row r="631" spans="1:10" ht="15.75" customHeight="1" x14ac:dyDescent="0.25">
      <c r="A631" s="169">
        <v>41266</v>
      </c>
      <c r="B631" s="187">
        <v>334.85683173888572</v>
      </c>
      <c r="C631" s="187">
        <v>267.21832345123693</v>
      </c>
      <c r="D631" s="187">
        <v>301.67913907284765</v>
      </c>
      <c r="E631" s="187">
        <v>341.76760638297873</v>
      </c>
      <c r="F631" s="187">
        <v>325.79901732539253</v>
      </c>
      <c r="G631" s="188">
        <v>319.03434999999996</v>
      </c>
      <c r="H631" s="187">
        <v>402.59539906103282</v>
      </c>
      <c r="I631" s="187">
        <v>105</v>
      </c>
      <c r="J631" s="30"/>
    </row>
    <row r="632" spans="1:10" ht="15.75" customHeight="1" x14ac:dyDescent="0.25">
      <c r="A632" s="169">
        <v>41273</v>
      </c>
      <c r="B632" s="187">
        <v>340.02002250984805</v>
      </c>
      <c r="C632" s="187">
        <v>271.11288489061536</v>
      </c>
      <c r="D632" s="187">
        <v>299.42384105960264</v>
      </c>
      <c r="E632" s="187">
        <v>340.82886524822698</v>
      </c>
      <c r="F632" s="187">
        <v>326.20992690850028</v>
      </c>
      <c r="G632" s="188">
        <v>317.53616249999999</v>
      </c>
      <c r="H632" s="187">
        <v>408.6743896713615</v>
      </c>
      <c r="I632" s="187">
        <v>105</v>
      </c>
      <c r="J632" s="30"/>
    </row>
    <row r="633" spans="1:10" ht="15.75" customHeight="1" collapsed="1" x14ac:dyDescent="0.25">
      <c r="A633" s="169">
        <v>41280</v>
      </c>
      <c r="B633" s="187">
        <v>335.28978615644348</v>
      </c>
      <c r="C633" s="187">
        <v>266.18604784297685</v>
      </c>
      <c r="D633" s="187">
        <v>300.111178807947</v>
      </c>
      <c r="E633" s="187">
        <v>335.31326241134758</v>
      </c>
      <c r="F633" s="187">
        <v>327.11022468868435</v>
      </c>
      <c r="G633" s="188">
        <v>317.24859999999995</v>
      </c>
      <c r="H633" s="187">
        <v>415.04061032863848</v>
      </c>
      <c r="I633" s="187">
        <v>105.5</v>
      </c>
      <c r="J633" s="30"/>
    </row>
    <row r="634" spans="1:10" ht="15.75" customHeight="1" x14ac:dyDescent="0.25">
      <c r="A634" s="169">
        <v>41287</v>
      </c>
      <c r="B634" s="187">
        <v>337.97453010692169</v>
      </c>
      <c r="C634" s="187">
        <v>266.56755469229194</v>
      </c>
      <c r="D634" s="187">
        <v>296.45312582781457</v>
      </c>
      <c r="E634" s="187">
        <v>344.76716312056737</v>
      </c>
      <c r="F634" s="187">
        <v>326.15790741743376</v>
      </c>
      <c r="G634" s="188">
        <v>320.24182000000002</v>
      </c>
      <c r="H634" s="187">
        <v>406.61103286384974</v>
      </c>
      <c r="I634" s="187">
        <v>105</v>
      </c>
      <c r="J634" s="30"/>
    </row>
    <row r="635" spans="1:10" ht="15.75" customHeight="1" x14ac:dyDescent="0.25">
      <c r="A635" s="169">
        <v>41294</v>
      </c>
      <c r="B635" s="187">
        <v>330.7632808103545</v>
      </c>
      <c r="C635" s="187">
        <v>265.2700592925782</v>
      </c>
      <c r="D635" s="187">
        <v>297.81912582781462</v>
      </c>
      <c r="E635" s="187">
        <v>338.94553191489359</v>
      </c>
      <c r="F635" s="187">
        <v>327.55857877639414</v>
      </c>
      <c r="G635" s="188">
        <v>317.34327749999994</v>
      </c>
      <c r="H635" s="187">
        <v>407.7912910798122</v>
      </c>
      <c r="I635" s="187">
        <v>105</v>
      </c>
      <c r="J635" s="30"/>
    </row>
    <row r="636" spans="1:10" ht="15.75" customHeight="1" x14ac:dyDescent="0.25">
      <c r="A636" s="169">
        <v>41301</v>
      </c>
      <c r="B636" s="187">
        <v>332.48877321328081</v>
      </c>
      <c r="C636" s="187">
        <v>266.34237579227153</v>
      </c>
      <c r="D636" s="187">
        <v>300.07294039735098</v>
      </c>
      <c r="E636" s="187">
        <v>337.65936170212768</v>
      </c>
      <c r="F636" s="187">
        <v>327.02231185706552</v>
      </c>
      <c r="G636" s="188">
        <v>316.40337499999998</v>
      </c>
      <c r="H636" s="187">
        <v>405.65685446009388</v>
      </c>
      <c r="I636" s="187">
        <v>103.5</v>
      </c>
      <c r="J636" s="30"/>
    </row>
    <row r="637" spans="1:10" ht="15.75" customHeight="1" x14ac:dyDescent="0.25">
      <c r="A637" s="169">
        <v>41308</v>
      </c>
      <c r="B637" s="187">
        <v>333.90307822172201</v>
      </c>
      <c r="C637" s="187">
        <v>264.43415661418931</v>
      </c>
      <c r="D637" s="187">
        <v>296.31279470198672</v>
      </c>
      <c r="E637" s="187">
        <v>330.99863475177301</v>
      </c>
      <c r="F637" s="187">
        <v>322.57873849485657</v>
      </c>
      <c r="G637" s="188">
        <v>314.87961999999999</v>
      </c>
      <c r="H637" s="187">
        <v>410.17173708920188</v>
      </c>
      <c r="I637" s="187">
        <v>100.5</v>
      </c>
      <c r="J637" s="30"/>
    </row>
    <row r="638" spans="1:10" ht="15.75" customHeight="1" x14ac:dyDescent="0.25">
      <c r="A638" s="169">
        <v>41315</v>
      </c>
      <c r="B638" s="187">
        <v>331.76108610016888</v>
      </c>
      <c r="C638" s="187">
        <v>265.68640768758945</v>
      </c>
      <c r="D638" s="187">
        <v>293.13152317880792</v>
      </c>
      <c r="E638" s="187">
        <v>336.28214539007092</v>
      </c>
      <c r="F638" s="187">
        <v>322.57781266919329</v>
      </c>
      <c r="G638" s="188">
        <v>318.706885</v>
      </c>
      <c r="H638" s="187">
        <v>416.62518779342724</v>
      </c>
      <c r="I638" s="187">
        <v>98</v>
      </c>
      <c r="J638" s="30"/>
    </row>
    <row r="639" spans="1:10" ht="15.75" customHeight="1" x14ac:dyDescent="0.25">
      <c r="A639" s="169">
        <v>41322</v>
      </c>
      <c r="B639" s="187">
        <v>333.92692177827803</v>
      </c>
      <c r="C639" s="187">
        <v>264.90514618687388</v>
      </c>
      <c r="D639" s="187">
        <v>296.66598675496687</v>
      </c>
      <c r="E639" s="187">
        <v>335.70475177304962</v>
      </c>
      <c r="F639" s="187">
        <v>326.51536004331348</v>
      </c>
      <c r="G639" s="188">
        <v>316.84207000000004</v>
      </c>
      <c r="H639" s="187">
        <v>408.89845070422535</v>
      </c>
      <c r="I639" s="187">
        <v>96.5</v>
      </c>
      <c r="J639" s="30"/>
    </row>
    <row r="640" spans="1:10" ht="15.75" customHeight="1" x14ac:dyDescent="0.25">
      <c r="A640" s="169">
        <v>41329</v>
      </c>
      <c r="B640" s="187">
        <v>328.71483961733253</v>
      </c>
      <c r="C640" s="187">
        <v>261.04306890206499</v>
      </c>
      <c r="D640" s="187">
        <v>298.16711258278144</v>
      </c>
      <c r="E640" s="187">
        <v>332.80643617021281</v>
      </c>
      <c r="F640" s="187">
        <v>324.69329994585814</v>
      </c>
      <c r="G640" s="188">
        <v>316.92483499999997</v>
      </c>
      <c r="H640" s="187">
        <v>418.28096244131456</v>
      </c>
      <c r="I640" s="187">
        <v>95.5</v>
      </c>
      <c r="J640" s="30"/>
    </row>
    <row r="641" spans="1:10" ht="15.75" customHeight="1" x14ac:dyDescent="0.25">
      <c r="A641" s="169">
        <v>41336</v>
      </c>
      <c r="B641" s="187">
        <v>332.06610016882382</v>
      </c>
      <c r="C641" s="187">
        <v>262.03392148844813</v>
      </c>
      <c r="D641" s="187">
        <v>297.30892715231789</v>
      </c>
      <c r="E641" s="187">
        <v>334.87386524822699</v>
      </c>
      <c r="F641" s="187">
        <v>323.06190308608558</v>
      </c>
      <c r="G641" s="188">
        <v>317.49887000000001</v>
      </c>
      <c r="H641" s="187">
        <v>414.60323943661973</v>
      </c>
      <c r="I641" s="187">
        <v>94.5</v>
      </c>
      <c r="J641" s="30"/>
    </row>
    <row r="642" spans="1:10" ht="15.75" customHeight="1" x14ac:dyDescent="0.25">
      <c r="A642" s="169">
        <v>41343</v>
      </c>
      <c r="B642" s="187">
        <v>329.55806978052902</v>
      </c>
      <c r="C642" s="187">
        <v>262.32956246166424</v>
      </c>
      <c r="D642" s="187">
        <v>299.37162913907281</v>
      </c>
      <c r="E642" s="187">
        <v>336.95843971631206</v>
      </c>
      <c r="F642" s="187">
        <v>325.57985110990796</v>
      </c>
      <c r="G642" s="188">
        <v>318.77869999999996</v>
      </c>
      <c r="H642" s="187">
        <v>411.99776995305166</v>
      </c>
      <c r="I642" s="187">
        <v>94.5</v>
      </c>
      <c r="J642" s="30"/>
    </row>
    <row r="643" spans="1:10" ht="15.75" customHeight="1" x14ac:dyDescent="0.25">
      <c r="A643" s="169">
        <v>41350</v>
      </c>
      <c r="B643" s="187">
        <v>334.41317951603838</v>
      </c>
      <c r="C643" s="187">
        <v>265.13102637497445</v>
      </c>
      <c r="D643" s="187">
        <v>306.202</v>
      </c>
      <c r="E643" s="187">
        <v>337.0184574468085</v>
      </c>
      <c r="F643" s="187">
        <v>325.98356794802379</v>
      </c>
      <c r="G643" s="188">
        <v>317.47395999999998</v>
      </c>
      <c r="H643" s="187">
        <v>404.5176525821596</v>
      </c>
      <c r="I643" s="187">
        <v>96</v>
      </c>
      <c r="J643" s="30"/>
    </row>
    <row r="644" spans="1:10" ht="15.75" customHeight="1" x14ac:dyDescent="0.25">
      <c r="A644" s="169">
        <v>41357</v>
      </c>
      <c r="B644" s="187">
        <v>337.64793472144072</v>
      </c>
      <c r="C644" s="187">
        <v>267.70695767736657</v>
      </c>
      <c r="D644" s="187">
        <v>309.75086092715236</v>
      </c>
      <c r="E644" s="187">
        <v>338.92510638297875</v>
      </c>
      <c r="F644" s="187">
        <v>322.6609285327558</v>
      </c>
      <c r="G644" s="188">
        <v>317.67202499999996</v>
      </c>
      <c r="H644" s="187">
        <v>413.63962441314555</v>
      </c>
      <c r="I644" s="187">
        <v>97</v>
      </c>
      <c r="J644" s="30"/>
    </row>
    <row r="645" spans="1:10" ht="15.75" customHeight="1" x14ac:dyDescent="0.25">
      <c r="A645" s="169">
        <v>41364</v>
      </c>
      <c r="B645" s="187">
        <v>347.22778840742819</v>
      </c>
      <c r="C645" s="187">
        <v>273.20882334900836</v>
      </c>
      <c r="D645" s="187">
        <v>322.83933774834441</v>
      </c>
      <c r="E645" s="187">
        <v>344.74789007092198</v>
      </c>
      <c r="F645" s="187">
        <v>320.41540606388736</v>
      </c>
      <c r="G645" s="188">
        <v>314.98803249999997</v>
      </c>
      <c r="H645" s="187">
        <v>415.92450704225348</v>
      </c>
      <c r="I645" s="187">
        <v>99.5</v>
      </c>
      <c r="J645" s="30"/>
    </row>
    <row r="646" spans="1:10" ht="15.75" customHeight="1" x14ac:dyDescent="0.25">
      <c r="A646" s="169">
        <v>41371</v>
      </c>
      <c r="B646" s="187">
        <v>348.5430388294879</v>
      </c>
      <c r="C646" s="187">
        <v>284.87239010427311</v>
      </c>
      <c r="D646" s="187">
        <v>340.68362913907288</v>
      </c>
      <c r="E646" s="187">
        <v>342.487695035461</v>
      </c>
      <c r="F646" s="187">
        <v>322.00227395776926</v>
      </c>
      <c r="G646" s="188">
        <v>316.72591749999998</v>
      </c>
      <c r="H646" s="187">
        <v>419.68619718309856</v>
      </c>
      <c r="I646" s="187">
        <v>102.5</v>
      </c>
      <c r="J646" s="30"/>
    </row>
    <row r="647" spans="1:10" ht="15.75" customHeight="1" x14ac:dyDescent="0.25">
      <c r="A647" s="169">
        <v>41378</v>
      </c>
      <c r="B647" s="187">
        <v>371.76009566685417</v>
      </c>
      <c r="C647" s="187">
        <v>297.19621549785319</v>
      </c>
      <c r="D647" s="187">
        <v>356.929761589404</v>
      </c>
      <c r="E647" s="187">
        <v>344.08849290780142</v>
      </c>
      <c r="F647" s="187">
        <v>324.84598808879258</v>
      </c>
      <c r="G647" s="188">
        <v>316.383015</v>
      </c>
      <c r="H647" s="187">
        <v>418.04908450704227</v>
      </c>
      <c r="I647" s="187">
        <v>106</v>
      </c>
      <c r="J647" s="30"/>
    </row>
    <row r="648" spans="1:10" ht="15.75" customHeight="1" x14ac:dyDescent="0.25">
      <c r="A648" s="169">
        <v>41385</v>
      </c>
      <c r="B648" s="187">
        <v>376.38476083286434</v>
      </c>
      <c r="C648" s="187">
        <v>303.00412799018602</v>
      </c>
      <c r="D648" s="187">
        <v>370.28737748344366</v>
      </c>
      <c r="E648" s="187">
        <v>344.06464539007089</v>
      </c>
      <c r="F648" s="187">
        <v>324.30099891716293</v>
      </c>
      <c r="G648" s="188">
        <v>317.13197000000002</v>
      </c>
      <c r="H648" s="187">
        <v>417.77629107981221</v>
      </c>
      <c r="I648" s="187">
        <v>107</v>
      </c>
      <c r="J648" s="30"/>
    </row>
    <row r="649" spans="1:10" ht="15.75" customHeight="1" x14ac:dyDescent="0.25">
      <c r="A649" s="169">
        <v>41392</v>
      </c>
      <c r="B649" s="187">
        <v>387.50307259425983</v>
      </c>
      <c r="C649" s="187">
        <v>302.77756695972192</v>
      </c>
      <c r="D649" s="187">
        <v>363.70111524163559</v>
      </c>
      <c r="E649" s="187">
        <v>346.1603014184397</v>
      </c>
      <c r="F649" s="187">
        <v>312.05893611261502</v>
      </c>
      <c r="G649" s="188">
        <v>311.11695750000001</v>
      </c>
      <c r="H649" s="187">
        <v>417.44558685446009</v>
      </c>
      <c r="I649" s="187">
        <v>106</v>
      </c>
      <c r="J649" s="30"/>
    </row>
    <row r="650" spans="1:10" ht="15.75" customHeight="1" x14ac:dyDescent="0.25">
      <c r="A650" s="169">
        <v>41399</v>
      </c>
      <c r="B650" s="187">
        <v>389.42389983117607</v>
      </c>
      <c r="C650" s="187">
        <v>309.96816193007561</v>
      </c>
      <c r="D650" s="187">
        <v>372.38484510532834</v>
      </c>
      <c r="E650" s="187">
        <v>347.33556737588657</v>
      </c>
      <c r="F650" s="187">
        <v>326.60703031943689</v>
      </c>
      <c r="G650" s="188">
        <v>321.16774750000002</v>
      </c>
      <c r="H650" s="187">
        <v>416.81779342723007</v>
      </c>
      <c r="I650" s="187">
        <v>104</v>
      </c>
      <c r="J650" s="30"/>
    </row>
    <row r="651" spans="1:10" ht="15.75" customHeight="1" x14ac:dyDescent="0.25">
      <c r="A651" s="169">
        <v>41406</v>
      </c>
      <c r="B651" s="187">
        <v>398.38924029262813</v>
      </c>
      <c r="C651" s="187">
        <v>306.27051318748721</v>
      </c>
      <c r="D651" s="187">
        <v>372.65634448574974</v>
      </c>
      <c r="E651" s="187">
        <v>350.17643617021281</v>
      </c>
      <c r="F651" s="187">
        <v>330.05545479155387</v>
      </c>
      <c r="G651" s="188">
        <v>322.16472500000003</v>
      </c>
      <c r="H651" s="187">
        <v>413.7382159624413</v>
      </c>
      <c r="I651" s="187">
        <v>102.5</v>
      </c>
    </row>
    <row r="652" spans="1:10" ht="15.75" customHeight="1" x14ac:dyDescent="0.25">
      <c r="A652" s="169">
        <v>41413</v>
      </c>
      <c r="B652" s="187">
        <v>395.01100168823848</v>
      </c>
      <c r="C652" s="187">
        <v>312.29800449805765</v>
      </c>
      <c r="D652" s="187">
        <v>369.0347955390335</v>
      </c>
      <c r="E652" s="187">
        <v>348.21331560283687</v>
      </c>
      <c r="F652" s="187">
        <v>330.89186247969684</v>
      </c>
      <c r="G652" s="188">
        <v>325.75233500000002</v>
      </c>
      <c r="H652" s="187">
        <v>418.403779342723</v>
      </c>
      <c r="I652" s="187">
        <v>102</v>
      </c>
    </row>
    <row r="653" spans="1:10" ht="15.75" customHeight="1" x14ac:dyDescent="0.25">
      <c r="A653" s="169">
        <v>41420</v>
      </c>
      <c r="B653" s="187">
        <v>396.97849746764211</v>
      </c>
      <c r="C653" s="187">
        <v>308.69022490288285</v>
      </c>
      <c r="D653" s="187">
        <v>366.18967781908304</v>
      </c>
      <c r="E653" s="187">
        <v>349.43955673758865</v>
      </c>
      <c r="F653" s="187">
        <v>335.38681375203026</v>
      </c>
      <c r="G653" s="188">
        <v>326.12715749999995</v>
      </c>
      <c r="H653" s="187">
        <v>414.77497652582156</v>
      </c>
      <c r="I653" s="187">
        <v>102</v>
      </c>
    </row>
    <row r="654" spans="1:10" ht="15.75" customHeight="1" x14ac:dyDescent="0.25">
      <c r="A654" s="169">
        <v>41427</v>
      </c>
      <c r="B654" s="187">
        <v>397.73411930219481</v>
      </c>
      <c r="C654" s="187">
        <v>309.11034144346758</v>
      </c>
      <c r="D654" s="187">
        <v>366.69810408921938</v>
      </c>
      <c r="E654" s="187">
        <v>352.89514184397166</v>
      </c>
      <c r="F654" s="187">
        <v>332.1020763400108</v>
      </c>
      <c r="G654" s="188">
        <v>326.46845499999995</v>
      </c>
      <c r="H654" s="187">
        <v>420.40314553990606</v>
      </c>
      <c r="I654" s="187">
        <v>102</v>
      </c>
    </row>
    <row r="655" spans="1:10" ht="15.75" customHeight="1" x14ac:dyDescent="0.25">
      <c r="A655" s="169">
        <v>41434</v>
      </c>
      <c r="B655" s="187">
        <v>394.23879572312893</v>
      </c>
      <c r="C655" s="187">
        <v>309.40897975874054</v>
      </c>
      <c r="D655" s="187">
        <v>363.3297026022305</v>
      </c>
      <c r="E655" s="187">
        <v>356.09691489361705</v>
      </c>
      <c r="F655" s="187">
        <v>339.56692744991881</v>
      </c>
      <c r="G655" s="188">
        <v>330.45940999999999</v>
      </c>
      <c r="H655" s="187">
        <v>418.48051643192485</v>
      </c>
      <c r="I655" s="187">
        <v>102</v>
      </c>
    </row>
    <row r="656" spans="1:10" ht="15.75" customHeight="1" x14ac:dyDescent="0.25">
      <c r="A656" s="169">
        <v>41441</v>
      </c>
      <c r="B656" s="187">
        <v>401.75499718626901</v>
      </c>
      <c r="C656" s="187">
        <v>311.5718053567777</v>
      </c>
      <c r="D656" s="187">
        <v>363.04947955390338</v>
      </c>
      <c r="E656" s="187">
        <v>361.09345744680849</v>
      </c>
      <c r="F656" s="187">
        <v>339.7537439090417</v>
      </c>
      <c r="G656" s="188">
        <v>329.71384249999994</v>
      </c>
      <c r="H656" s="187">
        <v>419.41281690140846</v>
      </c>
      <c r="I656" s="187">
        <v>102.5</v>
      </c>
    </row>
    <row r="657" spans="1:9" ht="15.75" customHeight="1" x14ac:dyDescent="0.25">
      <c r="A657" s="169">
        <v>41448</v>
      </c>
      <c r="B657" s="187">
        <v>402.1305008441193</v>
      </c>
      <c r="C657" s="187">
        <v>309.49656920875077</v>
      </c>
      <c r="D657" s="187">
        <v>361.88151177199495</v>
      </c>
      <c r="E657" s="187">
        <v>363.64877659574466</v>
      </c>
      <c r="F657" s="187">
        <v>342.26835138061716</v>
      </c>
      <c r="G657" s="188">
        <v>331.10348749999997</v>
      </c>
      <c r="H657" s="187">
        <v>419.94187793427233</v>
      </c>
      <c r="I657" s="187">
        <v>102.5</v>
      </c>
    </row>
    <row r="658" spans="1:9" ht="15.75" customHeight="1" x14ac:dyDescent="0.25">
      <c r="A658" s="169">
        <v>41455</v>
      </c>
      <c r="B658" s="187">
        <v>402.26448508722569</v>
      </c>
      <c r="C658" s="187">
        <v>311.39568595379268</v>
      </c>
      <c r="D658" s="187">
        <v>361.1364188351921</v>
      </c>
      <c r="E658" s="187">
        <v>367.0485106382979</v>
      </c>
      <c r="F658" s="187">
        <v>340.29116675690312</v>
      </c>
      <c r="G658" s="188">
        <v>331.29841500000003</v>
      </c>
      <c r="H658" s="187">
        <v>418.65676056338032</v>
      </c>
      <c r="I658" s="187">
        <v>99.5</v>
      </c>
    </row>
    <row r="659" spans="1:9" ht="15.75" customHeight="1" x14ac:dyDescent="0.25">
      <c r="A659" s="169">
        <v>41462</v>
      </c>
      <c r="B659" s="187">
        <v>402.88310635903207</v>
      </c>
      <c r="C659" s="187">
        <v>309.79135759558369</v>
      </c>
      <c r="D659" s="187">
        <v>362.51884758364321</v>
      </c>
      <c r="E659" s="187">
        <v>369.45870567375886</v>
      </c>
      <c r="F659" s="187">
        <v>343.43958040064967</v>
      </c>
      <c r="G659" s="188">
        <v>338.76661499999994</v>
      </c>
      <c r="H659" s="187">
        <v>422.54096244131455</v>
      </c>
      <c r="I659" s="187">
        <v>101</v>
      </c>
    </row>
    <row r="660" spans="1:9" ht="15.75" customHeight="1" x14ac:dyDescent="0.25">
      <c r="A660" s="169">
        <v>41469</v>
      </c>
      <c r="B660" s="187">
        <v>410.80884637028697</v>
      </c>
      <c r="C660" s="187">
        <v>310.22138213044366</v>
      </c>
      <c r="D660" s="187">
        <v>360.91902106567528</v>
      </c>
      <c r="E660" s="187">
        <v>367.66340425531916</v>
      </c>
      <c r="F660" s="187">
        <v>346.43175148890089</v>
      </c>
      <c r="G660" s="188">
        <v>340.46066250000001</v>
      </c>
      <c r="H660" s="187">
        <v>424.27035211267605</v>
      </c>
      <c r="I660" s="187">
        <v>101</v>
      </c>
    </row>
    <row r="661" spans="1:9" ht="15.75" customHeight="1" x14ac:dyDescent="0.25">
      <c r="A661" s="169">
        <v>41476</v>
      </c>
      <c r="B661" s="187">
        <v>408.98221722003382</v>
      </c>
      <c r="C661" s="187">
        <v>313.35681864649354</v>
      </c>
      <c r="D661" s="187">
        <v>361.742887236679</v>
      </c>
      <c r="E661" s="187">
        <v>366.9739539007092</v>
      </c>
      <c r="F661" s="187">
        <v>347.34690579317805</v>
      </c>
      <c r="G661" s="188">
        <v>341.02469000000002</v>
      </c>
      <c r="H661" s="187">
        <v>420.8883568075118</v>
      </c>
      <c r="I661" s="187">
        <v>101</v>
      </c>
    </row>
    <row r="662" spans="1:9" ht="15.75" customHeight="1" x14ac:dyDescent="0.25">
      <c r="A662" s="169">
        <v>41483</v>
      </c>
      <c r="B662" s="187">
        <v>399.72068655036588</v>
      </c>
      <c r="C662" s="187">
        <v>315.92553261091797</v>
      </c>
      <c r="D662" s="187">
        <v>362.72757125154891</v>
      </c>
      <c r="E662" s="187">
        <v>366.1875177304965</v>
      </c>
      <c r="F662" s="187">
        <v>346.37601245262596</v>
      </c>
      <c r="G662" s="188">
        <v>340.60453999999999</v>
      </c>
      <c r="H662" s="187">
        <v>418.162676056338</v>
      </c>
      <c r="I662" s="187">
        <v>102</v>
      </c>
    </row>
    <row r="663" spans="1:9" ht="15.75" customHeight="1" x14ac:dyDescent="0.25">
      <c r="A663" s="169">
        <v>41490</v>
      </c>
      <c r="B663" s="187">
        <v>408.38637028700066</v>
      </c>
      <c r="C663" s="187">
        <v>315.18620731956651</v>
      </c>
      <c r="D663" s="187">
        <v>366.08375464684013</v>
      </c>
      <c r="E663" s="187">
        <v>365.7847695035461</v>
      </c>
      <c r="F663" s="187">
        <v>348.03206551164055</v>
      </c>
      <c r="G663" s="188">
        <v>339.47262749999999</v>
      </c>
      <c r="H663" s="187">
        <v>420.70375586854459</v>
      </c>
      <c r="I663" s="187">
        <v>104</v>
      </c>
    </row>
    <row r="664" spans="1:9" ht="15.75" customHeight="1" x14ac:dyDescent="0.25">
      <c r="A664" s="169">
        <v>41497</v>
      </c>
      <c r="B664" s="187">
        <v>408.68200337647716</v>
      </c>
      <c r="C664" s="187">
        <v>318.63135146186875</v>
      </c>
      <c r="D664" s="187">
        <v>368.18394052044619</v>
      </c>
      <c r="E664" s="187">
        <v>370.76278368794323</v>
      </c>
      <c r="F664" s="187">
        <v>349.97520032485107</v>
      </c>
      <c r="G664" s="188">
        <v>342.7211125</v>
      </c>
      <c r="H664" s="187">
        <v>430.65335680751173</v>
      </c>
      <c r="I664" s="187">
        <v>104</v>
      </c>
    </row>
    <row r="665" spans="1:9" ht="15.75" customHeight="1" x14ac:dyDescent="0.25">
      <c r="A665" s="169">
        <v>41504</v>
      </c>
      <c r="B665" s="187">
        <v>408.63625211029824</v>
      </c>
      <c r="C665" s="187">
        <v>319.58806992435086</v>
      </c>
      <c r="D665" s="187">
        <v>371.20944237918212</v>
      </c>
      <c r="E665" s="187">
        <v>375.24762411347518</v>
      </c>
      <c r="F665" s="187">
        <v>351.51582837033021</v>
      </c>
      <c r="G665" s="188">
        <v>344.66470249999998</v>
      </c>
      <c r="H665" s="187">
        <v>435.71664319248822</v>
      </c>
      <c r="I665" s="187">
        <v>105.5</v>
      </c>
    </row>
    <row r="666" spans="1:9" ht="15.75" customHeight="1" x14ac:dyDescent="0.25">
      <c r="A666" s="169">
        <v>41511</v>
      </c>
      <c r="B666" s="187">
        <v>414.31357906584128</v>
      </c>
      <c r="C666" s="187">
        <v>323.854267021059</v>
      </c>
      <c r="D666" s="187">
        <v>375.08506815365553</v>
      </c>
      <c r="E666" s="187">
        <v>378.77714539007093</v>
      </c>
      <c r="F666" s="187">
        <v>355.26407417433683</v>
      </c>
      <c r="G666" s="188">
        <v>348.49069749999995</v>
      </c>
      <c r="H666" s="187">
        <v>434.47892018779339</v>
      </c>
      <c r="I666" s="187">
        <v>106</v>
      </c>
    </row>
    <row r="667" spans="1:9" ht="15.75" customHeight="1" x14ac:dyDescent="0.25">
      <c r="A667" s="169">
        <v>41518</v>
      </c>
      <c r="B667" s="187">
        <v>415.47184580754077</v>
      </c>
      <c r="C667" s="187">
        <v>323.75029032917598</v>
      </c>
      <c r="D667" s="187">
        <v>377.72303593556387</v>
      </c>
      <c r="E667" s="187">
        <v>380.35081560283686</v>
      </c>
      <c r="F667" s="187">
        <v>353.46420140768822</v>
      </c>
      <c r="G667" s="188">
        <v>345.03006249999999</v>
      </c>
      <c r="H667" s="187">
        <v>436.85058685446012</v>
      </c>
      <c r="I667" s="187">
        <v>106</v>
      </c>
    </row>
    <row r="668" spans="1:9" ht="15.75" customHeight="1" x14ac:dyDescent="0.25">
      <c r="A668" s="169">
        <v>41525</v>
      </c>
      <c r="B668" s="187">
        <v>420.96342149690497</v>
      </c>
      <c r="C668" s="187">
        <v>326.03797587405438</v>
      </c>
      <c r="D668" s="187">
        <v>373.40545229244105</v>
      </c>
      <c r="E668" s="187">
        <v>387.84088652482274</v>
      </c>
      <c r="F668" s="187">
        <v>357.25497563616676</v>
      </c>
      <c r="G668" s="188">
        <v>349.84125499999993</v>
      </c>
      <c r="H668" s="187">
        <v>437.34546948356808</v>
      </c>
      <c r="I668" s="187">
        <v>104.5</v>
      </c>
    </row>
    <row r="669" spans="1:9" ht="15.75" customHeight="1" x14ac:dyDescent="0.25">
      <c r="A669" s="169">
        <v>41532</v>
      </c>
      <c r="B669" s="187">
        <v>421.00121553179514</v>
      </c>
      <c r="C669" s="187">
        <v>325.4673849928439</v>
      </c>
      <c r="D669" s="187">
        <v>377.23814126394052</v>
      </c>
      <c r="E669" s="187">
        <v>390.47581560283686</v>
      </c>
      <c r="F669" s="187">
        <v>359.84213048186245</v>
      </c>
      <c r="G669" s="188">
        <v>350.06635</v>
      </c>
      <c r="H669" s="187">
        <v>433.47288732394367</v>
      </c>
      <c r="I669" s="187">
        <v>103</v>
      </c>
    </row>
    <row r="670" spans="1:9" ht="15.75" customHeight="1" x14ac:dyDescent="0.25">
      <c r="A670" s="169">
        <v>41539</v>
      </c>
      <c r="B670" s="187">
        <v>420.80685987619592</v>
      </c>
      <c r="C670" s="187">
        <v>323.61355959926391</v>
      </c>
      <c r="D670" s="187">
        <v>376.89351920693929</v>
      </c>
      <c r="E670" s="187">
        <v>390.06083333333333</v>
      </c>
      <c r="F670" s="187">
        <v>359.30360584732</v>
      </c>
      <c r="G670" s="188">
        <v>353.52482250000003</v>
      </c>
      <c r="H670" s="187">
        <v>435.55507042253521</v>
      </c>
      <c r="I670" s="187">
        <v>102</v>
      </c>
    </row>
    <row r="671" spans="1:9" ht="15.75" customHeight="1" x14ac:dyDescent="0.25">
      <c r="A671" s="169">
        <v>41546</v>
      </c>
      <c r="B671" s="187">
        <v>417.73413055711876</v>
      </c>
      <c r="C671" s="187">
        <v>315.42461255366987</v>
      </c>
      <c r="D671" s="187">
        <v>371.52890954151184</v>
      </c>
      <c r="E671" s="187">
        <v>390.80817375886522</v>
      </c>
      <c r="F671" s="187">
        <v>361.76103952355169</v>
      </c>
      <c r="G671" s="188">
        <v>354.92014499999999</v>
      </c>
      <c r="H671" s="187">
        <v>429.36007042253522</v>
      </c>
      <c r="I671" s="187">
        <v>101</v>
      </c>
    </row>
    <row r="672" spans="1:9" ht="15.75" customHeight="1" x14ac:dyDescent="0.25">
      <c r="A672" s="169">
        <v>41553</v>
      </c>
      <c r="B672" s="187">
        <v>417.1324535734384</v>
      </c>
      <c r="C672" s="187">
        <v>313.69822940094048</v>
      </c>
      <c r="D672" s="187">
        <v>373.68215613382898</v>
      </c>
      <c r="E672" s="187">
        <v>395.3297163120568</v>
      </c>
      <c r="F672" s="187">
        <v>361.6408067135896</v>
      </c>
      <c r="G672" s="188">
        <v>356.04854749999998</v>
      </c>
      <c r="H672" s="187">
        <v>437.10960093896711</v>
      </c>
      <c r="I672" s="187">
        <v>99.5</v>
      </c>
    </row>
    <row r="673" spans="1:9" ht="15.75" customHeight="1" x14ac:dyDescent="0.25">
      <c r="A673" s="169">
        <v>41560</v>
      </c>
      <c r="B673" s="187">
        <v>423.3800393922341</v>
      </c>
      <c r="C673" s="187">
        <v>313.25140053158856</v>
      </c>
      <c r="D673" s="187">
        <v>374.0220693928128</v>
      </c>
      <c r="E673" s="187">
        <v>394.77297872340426</v>
      </c>
      <c r="F673" s="187">
        <v>366.47633730373587</v>
      </c>
      <c r="G673" s="188">
        <v>360.91174999999998</v>
      </c>
      <c r="H673" s="187">
        <v>438.66051643192492</v>
      </c>
      <c r="I673" s="187">
        <v>99.5</v>
      </c>
    </row>
    <row r="674" spans="1:9" ht="15.75" customHeight="1" x14ac:dyDescent="0.25">
      <c r="A674" s="169">
        <v>41567</v>
      </c>
      <c r="B674" s="187">
        <v>402.78226786719188</v>
      </c>
      <c r="C674" s="187">
        <v>312.08635861786956</v>
      </c>
      <c r="D674" s="187">
        <v>371.59804213135067</v>
      </c>
      <c r="E674" s="187">
        <v>394.10258865248227</v>
      </c>
      <c r="F674" s="187">
        <v>366.03143746616138</v>
      </c>
      <c r="G674" s="188">
        <v>361.35952249999997</v>
      </c>
      <c r="H674" s="187">
        <v>440.21544600938967</v>
      </c>
      <c r="I674" s="187">
        <v>99.5</v>
      </c>
    </row>
    <row r="675" spans="1:9" ht="15.75" customHeight="1" x14ac:dyDescent="0.25">
      <c r="A675" s="169">
        <v>41574</v>
      </c>
      <c r="B675" s="187">
        <v>408.05806415306694</v>
      </c>
      <c r="C675" s="187">
        <v>309.16600899611529</v>
      </c>
      <c r="D675" s="187">
        <v>370.00490706319698</v>
      </c>
      <c r="E675" s="187">
        <v>394.60019503546101</v>
      </c>
      <c r="F675" s="187">
        <v>367.69751218191652</v>
      </c>
      <c r="G675" s="188">
        <v>361.79378500000001</v>
      </c>
      <c r="H675" s="187">
        <v>444.90323943661974</v>
      </c>
      <c r="I675" s="187">
        <v>99</v>
      </c>
    </row>
    <row r="676" spans="1:9" ht="15.75" customHeight="1" x14ac:dyDescent="0.25">
      <c r="A676" s="169">
        <v>41581</v>
      </c>
      <c r="B676" s="187">
        <v>406.00086662915021</v>
      </c>
      <c r="C676" s="187">
        <v>307.69987323655693</v>
      </c>
      <c r="D676" s="187">
        <v>368.07999999999993</v>
      </c>
      <c r="E676" s="187">
        <v>393.75578014184401</v>
      </c>
      <c r="F676" s="187">
        <v>367.49797780184088</v>
      </c>
      <c r="G676" s="188">
        <v>360.90138000000007</v>
      </c>
      <c r="H676" s="187">
        <v>440.43464788732399</v>
      </c>
      <c r="I676" s="187">
        <v>99</v>
      </c>
    </row>
    <row r="677" spans="1:9" ht="15.75" customHeight="1" x14ac:dyDescent="0.25">
      <c r="A677" s="169">
        <v>41588</v>
      </c>
      <c r="B677" s="187">
        <v>405.0337929093979</v>
      </c>
      <c r="C677" s="187">
        <v>308.32075444694334</v>
      </c>
      <c r="D677" s="187">
        <v>367.42422552664192</v>
      </c>
      <c r="E677" s="187">
        <v>399.02959219858155</v>
      </c>
      <c r="F677" s="187">
        <v>375.7609339469409</v>
      </c>
      <c r="G677" s="188">
        <v>374.43428250000005</v>
      </c>
      <c r="H677" s="187">
        <v>445.39636150234742</v>
      </c>
      <c r="I677" s="187">
        <v>99.5</v>
      </c>
    </row>
    <row r="678" spans="1:9" ht="15.75" customHeight="1" x14ac:dyDescent="0.25">
      <c r="A678" s="169">
        <v>41595</v>
      </c>
      <c r="B678" s="187">
        <v>405.49033764772088</v>
      </c>
      <c r="C678" s="187">
        <v>309.87048660805561</v>
      </c>
      <c r="D678" s="187">
        <v>369.61573729863693</v>
      </c>
      <c r="E678" s="187">
        <v>399.30804964539004</v>
      </c>
      <c r="F678" s="187">
        <v>377.16974824038988</v>
      </c>
      <c r="G678" s="188">
        <v>376.74227749999994</v>
      </c>
      <c r="H678" s="187">
        <v>435.45511737089203</v>
      </c>
      <c r="I678" s="187">
        <v>100.5</v>
      </c>
    </row>
    <row r="679" spans="1:9" ht="15.75" customHeight="1" x14ac:dyDescent="0.25">
      <c r="A679" s="169">
        <v>41602</v>
      </c>
      <c r="B679" s="187">
        <v>404.92652785593697</v>
      </c>
      <c r="C679" s="187">
        <v>315.08788591290124</v>
      </c>
      <c r="D679" s="187">
        <v>369.16563816604707</v>
      </c>
      <c r="E679" s="187">
        <v>401.19891843971629</v>
      </c>
      <c r="F679" s="187">
        <v>379.74394423389282</v>
      </c>
      <c r="G679" s="188">
        <v>378.18609750000002</v>
      </c>
      <c r="H679" s="187">
        <v>443.00551643192489</v>
      </c>
      <c r="I679" s="187">
        <v>101</v>
      </c>
    </row>
    <row r="680" spans="1:9" ht="15.75" customHeight="1" x14ac:dyDescent="0.25">
      <c r="A680" s="169">
        <v>41609</v>
      </c>
      <c r="B680" s="187">
        <v>405.78880135059092</v>
      </c>
      <c r="C680" s="187">
        <v>317.9775178900021</v>
      </c>
      <c r="D680" s="187">
        <v>370.93918215613388</v>
      </c>
      <c r="E680" s="187">
        <v>401.92959219858153</v>
      </c>
      <c r="F680" s="187">
        <v>381.18948565240925</v>
      </c>
      <c r="G680" s="188">
        <v>379.13538499999999</v>
      </c>
      <c r="H680" s="187">
        <v>451.31084507042254</v>
      </c>
      <c r="I680" s="187">
        <v>103</v>
      </c>
    </row>
    <row r="681" spans="1:9" ht="15.75" customHeight="1" x14ac:dyDescent="0.25">
      <c r="A681" s="169">
        <v>41616</v>
      </c>
      <c r="B681" s="187">
        <v>410.33751828925148</v>
      </c>
      <c r="C681" s="187">
        <v>323.25967491310575</v>
      </c>
      <c r="D681" s="187">
        <v>377.10004956629496</v>
      </c>
      <c r="E681" s="187">
        <v>403.35914893617019</v>
      </c>
      <c r="F681" s="187">
        <v>383.26373037357882</v>
      </c>
      <c r="G681" s="188">
        <v>381.62864000000002</v>
      </c>
      <c r="H681" s="187">
        <v>450.68774647887324</v>
      </c>
      <c r="I681" s="187">
        <v>103.5</v>
      </c>
    </row>
    <row r="682" spans="1:9" ht="15.75" customHeight="1" x14ac:dyDescent="0.25">
      <c r="A682" s="169">
        <v>41623</v>
      </c>
      <c r="B682" s="187">
        <v>408.57705120990437</v>
      </c>
      <c r="C682" s="187">
        <v>326.28201185851566</v>
      </c>
      <c r="D682" s="187">
        <v>373.61962825278817</v>
      </c>
      <c r="E682" s="187">
        <v>400.93609929078013</v>
      </c>
      <c r="F682" s="187">
        <v>385.70182999458581</v>
      </c>
      <c r="G682" s="188">
        <v>381.93419249999999</v>
      </c>
      <c r="H682" s="187">
        <v>445.20239436619715</v>
      </c>
      <c r="I682" s="187">
        <v>104</v>
      </c>
    </row>
    <row r="683" spans="1:9" ht="15.75" customHeight="1" x14ac:dyDescent="0.25">
      <c r="A683" s="169">
        <v>41630</v>
      </c>
      <c r="B683" s="187">
        <v>408.42122115925719</v>
      </c>
      <c r="C683" s="187">
        <v>322.63594765896545</v>
      </c>
      <c r="D683" s="187">
        <v>375.29102850061946</v>
      </c>
      <c r="E683" s="187">
        <v>399.23663120567375</v>
      </c>
      <c r="F683" s="187">
        <v>386.16960205739036</v>
      </c>
      <c r="G683" s="188">
        <v>382.73754249999996</v>
      </c>
      <c r="H683" s="187">
        <v>445.37422535211272</v>
      </c>
      <c r="I683" s="187">
        <v>103.5</v>
      </c>
    </row>
    <row r="684" spans="1:9" ht="15.75" customHeight="1" x14ac:dyDescent="0.25">
      <c r="A684" s="169">
        <v>41637</v>
      </c>
      <c r="B684" s="187">
        <v>410.20088351153629</v>
      </c>
      <c r="C684" s="187">
        <v>325.63047842976897</v>
      </c>
      <c r="D684" s="187">
        <v>375.44178438661703</v>
      </c>
      <c r="E684" s="187">
        <v>401.70773049645391</v>
      </c>
      <c r="F684" s="187">
        <v>387.46864103952367</v>
      </c>
      <c r="G684" s="188">
        <v>385.58314999999999</v>
      </c>
      <c r="H684" s="187">
        <v>447.298661971831</v>
      </c>
      <c r="I684" s="187">
        <v>103.5</v>
      </c>
    </row>
    <row r="685" spans="1:9" ht="15.75" customHeight="1" x14ac:dyDescent="0.25">
      <c r="A685" s="169">
        <v>41644</v>
      </c>
      <c r="B685" s="187">
        <v>412.39637591446257</v>
      </c>
      <c r="C685" s="187">
        <v>323.46248210999795</v>
      </c>
      <c r="D685" s="187">
        <v>374.29978807947015</v>
      </c>
      <c r="E685" s="187">
        <v>402.86163120567375</v>
      </c>
      <c r="F685" s="187">
        <v>386.39814293448825</v>
      </c>
      <c r="G685" s="188">
        <v>380.89800500000001</v>
      </c>
      <c r="H685" s="187">
        <v>446.73758215962442</v>
      </c>
      <c r="I685" s="187">
        <v>103.5</v>
      </c>
    </row>
    <row r="686" spans="1:9" ht="15.75" customHeight="1" x14ac:dyDescent="0.25">
      <c r="A686" s="169">
        <v>41651</v>
      </c>
      <c r="B686" s="187">
        <v>407.62321328081032</v>
      </c>
      <c r="C686" s="187">
        <v>325.51222653854018</v>
      </c>
      <c r="D686" s="187">
        <v>376.90876821192052</v>
      </c>
      <c r="E686" s="187">
        <v>404.8144503546099</v>
      </c>
      <c r="F686" s="187">
        <v>386.86111532214392</v>
      </c>
      <c r="G686" s="188">
        <v>382.72809999999998</v>
      </c>
      <c r="H686" s="187">
        <v>452.31673708920187</v>
      </c>
      <c r="I686" s="187">
        <v>104</v>
      </c>
    </row>
    <row r="687" spans="1:9" ht="15.75" customHeight="1" x14ac:dyDescent="0.25">
      <c r="A687" s="169">
        <v>41658</v>
      </c>
      <c r="B687" s="187">
        <v>402.51930219471012</v>
      </c>
      <c r="C687" s="187">
        <v>326.94900838274384</v>
      </c>
      <c r="D687" s="187">
        <v>375.6516556291391</v>
      </c>
      <c r="E687" s="187">
        <v>404.6577127659574</v>
      </c>
      <c r="F687" s="187">
        <v>386.06442338927991</v>
      </c>
      <c r="G687" s="188">
        <v>384.04725249999996</v>
      </c>
      <c r="H687" s="187">
        <v>447.43352112676058</v>
      </c>
      <c r="I687" s="187">
        <v>104.5</v>
      </c>
    </row>
    <row r="688" spans="1:9" ht="15.75" customHeight="1" x14ac:dyDescent="0.25">
      <c r="A688" s="169">
        <v>41665</v>
      </c>
      <c r="B688" s="187">
        <v>390.30682611142373</v>
      </c>
      <c r="C688" s="187">
        <v>328.93485994684107</v>
      </c>
      <c r="D688" s="187">
        <v>375.47709933774837</v>
      </c>
      <c r="E688" s="187">
        <v>406.03971631205673</v>
      </c>
      <c r="F688" s="187">
        <v>383.44710070384411</v>
      </c>
      <c r="G688" s="188">
        <v>383.00521999999995</v>
      </c>
      <c r="H688" s="187">
        <v>443.12115023474183</v>
      </c>
      <c r="I688" s="187">
        <v>104.5</v>
      </c>
    </row>
    <row r="689" spans="1:9" ht="15.75" customHeight="1" x14ac:dyDescent="0.25">
      <c r="A689" s="169">
        <v>41672</v>
      </c>
      <c r="B689" s="187">
        <v>391.56282498593134</v>
      </c>
      <c r="C689" s="187">
        <v>330.95037824575746</v>
      </c>
      <c r="D689" s="187">
        <v>378.09960264900656</v>
      </c>
      <c r="E689" s="187">
        <v>406.90948581560281</v>
      </c>
      <c r="F689" s="187">
        <v>382.37474282620468</v>
      </c>
      <c r="G689" s="188">
        <v>381.18635750000004</v>
      </c>
      <c r="H689" s="187">
        <v>446.37450704225353</v>
      </c>
      <c r="I689" s="187">
        <v>105</v>
      </c>
    </row>
    <row r="690" spans="1:9" ht="15.75" customHeight="1" x14ac:dyDescent="0.25">
      <c r="A690" s="169">
        <v>41679</v>
      </c>
      <c r="B690" s="187">
        <v>376.71065278559365</v>
      </c>
      <c r="C690" s="187">
        <v>330.28633203843793</v>
      </c>
      <c r="D690" s="187">
        <v>376.09629139072848</v>
      </c>
      <c r="E690" s="187">
        <v>405.14856382978718</v>
      </c>
      <c r="F690" s="187">
        <v>381.80968056307529</v>
      </c>
      <c r="G690" s="188">
        <v>383.17962499999993</v>
      </c>
      <c r="H690" s="187">
        <v>455.84950704225349</v>
      </c>
      <c r="I690" s="187">
        <v>104</v>
      </c>
    </row>
    <row r="691" spans="1:9" ht="15.75" customHeight="1" x14ac:dyDescent="0.25">
      <c r="A691" s="169">
        <v>41686</v>
      </c>
      <c r="B691" s="187">
        <v>367.86369724254365</v>
      </c>
      <c r="C691" s="187">
        <v>330.95291351461867</v>
      </c>
      <c r="D691" s="187">
        <v>378.26830463576158</v>
      </c>
      <c r="E691" s="187">
        <v>402.23517730496457</v>
      </c>
      <c r="F691" s="187">
        <v>383.05105035192207</v>
      </c>
      <c r="G691" s="188">
        <v>383.77046000000001</v>
      </c>
      <c r="H691" s="187">
        <v>452.02990610328635</v>
      </c>
      <c r="I691" s="187">
        <v>103</v>
      </c>
    </row>
    <row r="692" spans="1:9" ht="15.75" customHeight="1" x14ac:dyDescent="0.25">
      <c r="A692" s="169">
        <v>41693</v>
      </c>
      <c r="B692" s="187">
        <v>369.47175576814851</v>
      </c>
      <c r="C692" s="187">
        <v>331.10231036597838</v>
      </c>
      <c r="D692" s="187">
        <v>377.68144370860927</v>
      </c>
      <c r="E692" s="187">
        <v>402.85379432624109</v>
      </c>
      <c r="F692" s="187">
        <v>378.20613156469949</v>
      </c>
      <c r="G692" s="188">
        <v>381.92487500000004</v>
      </c>
      <c r="H692" s="187">
        <v>458.07650234741783</v>
      </c>
      <c r="I692" s="187">
        <v>101.5</v>
      </c>
    </row>
    <row r="693" spans="1:9" ht="15.75" customHeight="1" x14ac:dyDescent="0.25">
      <c r="A693" s="169">
        <v>41700</v>
      </c>
      <c r="B693" s="187">
        <v>365.63022509848054</v>
      </c>
      <c r="C693" s="187">
        <v>330.41851359640151</v>
      </c>
      <c r="D693" s="187">
        <v>373.57533774834428</v>
      </c>
      <c r="E693" s="187">
        <v>402.60007092198583</v>
      </c>
      <c r="F693" s="187">
        <v>378.55018949648075</v>
      </c>
      <c r="G693" s="188">
        <v>379.52340750000002</v>
      </c>
      <c r="H693" s="187">
        <v>454.43708920187794</v>
      </c>
      <c r="I693" s="187">
        <v>102</v>
      </c>
    </row>
    <row r="694" spans="1:9" ht="15.75" customHeight="1" x14ac:dyDescent="0.25">
      <c r="A694" s="169">
        <v>41707</v>
      </c>
      <c r="B694" s="187">
        <v>372.73570624648289</v>
      </c>
      <c r="C694" s="187">
        <v>325.13258024943775</v>
      </c>
      <c r="D694" s="187">
        <v>375.62343046357614</v>
      </c>
      <c r="E694" s="187">
        <v>402.1702836879432</v>
      </c>
      <c r="F694" s="187">
        <v>376.78846507850562</v>
      </c>
      <c r="G694" s="188">
        <v>376.28625499999998</v>
      </c>
      <c r="H694" s="187">
        <v>451.58347417840372</v>
      </c>
      <c r="I694" s="187">
        <v>100.5</v>
      </c>
    </row>
    <row r="695" spans="1:9" ht="15.75" customHeight="1" x14ac:dyDescent="0.25">
      <c r="A695" s="169">
        <v>41714</v>
      </c>
      <c r="B695" s="187">
        <v>367.40012380416431</v>
      </c>
      <c r="C695" s="187">
        <v>323.61205274994887</v>
      </c>
      <c r="D695" s="187">
        <v>372.35104635761587</v>
      </c>
      <c r="E695" s="187">
        <v>398.68003546099288</v>
      </c>
      <c r="F695" s="187">
        <v>369.94351651326485</v>
      </c>
      <c r="G695" s="188">
        <v>374.08497499999999</v>
      </c>
      <c r="H695" s="187">
        <v>449.29150234741786</v>
      </c>
      <c r="I695" s="187">
        <v>100</v>
      </c>
    </row>
    <row r="696" spans="1:9" ht="15.75" customHeight="1" x14ac:dyDescent="0.25">
      <c r="A696" s="169">
        <v>41721</v>
      </c>
      <c r="B696" s="187">
        <v>368.99287563308945</v>
      </c>
      <c r="C696" s="187">
        <v>320.88313228378655</v>
      </c>
      <c r="D696" s="187">
        <v>369.90645033112582</v>
      </c>
      <c r="E696" s="187">
        <v>397.81363475177307</v>
      </c>
      <c r="F696" s="187">
        <v>366.35715213860311</v>
      </c>
      <c r="G696" s="188">
        <v>371.46888000000001</v>
      </c>
      <c r="H696" s="187">
        <v>446.44100938967136</v>
      </c>
      <c r="I696" s="187">
        <v>99.25</v>
      </c>
    </row>
    <row r="697" spans="1:9" ht="15.75" customHeight="1" x14ac:dyDescent="0.25">
      <c r="A697" s="169">
        <v>41728</v>
      </c>
      <c r="B697" s="187">
        <v>365.00821609454135</v>
      </c>
      <c r="C697" s="187">
        <v>318.38689429564499</v>
      </c>
      <c r="D697" s="187">
        <v>362.57060927152315</v>
      </c>
      <c r="E697" s="187">
        <v>399.88198581560283</v>
      </c>
      <c r="F697" s="187">
        <v>363.38774769897128</v>
      </c>
      <c r="G697" s="188">
        <v>369.52707750000002</v>
      </c>
      <c r="H697" s="187">
        <v>451.3807276995305</v>
      </c>
      <c r="I697" s="187">
        <v>98.5</v>
      </c>
    </row>
    <row r="698" spans="1:9" ht="15.75" customHeight="1" x14ac:dyDescent="0.25">
      <c r="A698" s="169">
        <v>41735</v>
      </c>
      <c r="B698" s="187">
        <v>358.07070906021386</v>
      </c>
      <c r="C698" s="187">
        <v>315.67453485994679</v>
      </c>
      <c r="D698" s="187">
        <v>359.79250331125837</v>
      </c>
      <c r="E698" s="187">
        <v>400.43441489361703</v>
      </c>
      <c r="F698" s="187">
        <v>361.4714428803465</v>
      </c>
      <c r="G698" s="188">
        <v>365.95106249999998</v>
      </c>
      <c r="H698" s="187">
        <v>450.53732394366199</v>
      </c>
      <c r="I698" s="187">
        <v>97.5</v>
      </c>
    </row>
    <row r="699" spans="1:9" ht="15.75" customHeight="1" x14ac:dyDescent="0.25">
      <c r="A699" s="169">
        <v>41742</v>
      </c>
      <c r="B699" s="187">
        <v>360.76786156443444</v>
      </c>
      <c r="C699" s="187">
        <v>311.93998159885496</v>
      </c>
      <c r="D699" s="187">
        <v>355.31030463576155</v>
      </c>
      <c r="E699" s="187">
        <v>399.65675531914894</v>
      </c>
      <c r="F699" s="187">
        <v>355.2876177585274</v>
      </c>
      <c r="G699" s="188">
        <v>360.82755249999997</v>
      </c>
      <c r="H699" s="187">
        <v>450.42335680751171</v>
      </c>
      <c r="I699" s="187">
        <v>95</v>
      </c>
    </row>
    <row r="700" spans="1:9" ht="15.75" customHeight="1" x14ac:dyDescent="0.25">
      <c r="A700" s="169">
        <v>41749</v>
      </c>
      <c r="B700" s="187">
        <v>359.660388294879</v>
      </c>
      <c r="C700" s="187">
        <v>306.64919239419345</v>
      </c>
      <c r="D700" s="187">
        <v>352.47825165562909</v>
      </c>
      <c r="E700" s="187">
        <v>399.05657801418442</v>
      </c>
      <c r="F700" s="187">
        <v>354.70272604223067</v>
      </c>
      <c r="G700" s="188">
        <v>360.13817750000004</v>
      </c>
      <c r="H700" s="187">
        <v>450.06793427230048</v>
      </c>
      <c r="I700" s="187">
        <v>95</v>
      </c>
    </row>
    <row r="701" spans="1:9" ht="15.75" customHeight="1" x14ac:dyDescent="0.25">
      <c r="A701" s="169">
        <v>41756</v>
      </c>
      <c r="B701" s="187">
        <v>353.75237478897014</v>
      </c>
      <c r="C701" s="187">
        <v>296.28370476385197</v>
      </c>
      <c r="D701" s="187">
        <v>349.26211920529795</v>
      </c>
      <c r="E701" s="187">
        <v>399.28210992907799</v>
      </c>
      <c r="F701" s="187">
        <v>345.28962912831616</v>
      </c>
      <c r="G701" s="188">
        <v>357.91033750000003</v>
      </c>
      <c r="H701" s="187">
        <v>449.91713615023474</v>
      </c>
      <c r="I701" s="187">
        <v>95</v>
      </c>
    </row>
    <row r="702" spans="1:9" ht="15.75" customHeight="1" x14ac:dyDescent="0.25">
      <c r="A702" s="169">
        <v>41763</v>
      </c>
      <c r="B702" s="187">
        <v>352.28497467642103</v>
      </c>
      <c r="C702" s="187">
        <v>294.00145164588014</v>
      </c>
      <c r="D702" s="187">
        <v>341.88862251655632</v>
      </c>
      <c r="E702" s="187">
        <v>399.9240425531915</v>
      </c>
      <c r="F702" s="187">
        <v>341.99910124526258</v>
      </c>
      <c r="G702" s="188">
        <v>353.73058750000001</v>
      </c>
      <c r="H702" s="187">
        <v>447.98225352112678</v>
      </c>
      <c r="I702" s="187">
        <v>96</v>
      </c>
    </row>
    <row r="703" spans="1:9" ht="15.75" customHeight="1" x14ac:dyDescent="0.25">
      <c r="A703" s="169">
        <v>41770</v>
      </c>
      <c r="B703" s="187">
        <v>352.56712999437252</v>
      </c>
      <c r="C703" s="187">
        <v>291.52680433449194</v>
      </c>
      <c r="D703" s="187">
        <v>335.08058278145694</v>
      </c>
      <c r="E703" s="187">
        <v>399.68251773049639</v>
      </c>
      <c r="F703" s="187">
        <v>330.95677043854903</v>
      </c>
      <c r="G703" s="188">
        <v>343.95227499999999</v>
      </c>
      <c r="H703" s="187">
        <v>451.52359154929576</v>
      </c>
      <c r="I703" s="187">
        <v>96</v>
      </c>
    </row>
    <row r="704" spans="1:9" ht="15.75" customHeight="1" x14ac:dyDescent="0.25">
      <c r="A704" s="169">
        <v>41777</v>
      </c>
      <c r="B704" s="187">
        <v>350.59374788970172</v>
      </c>
      <c r="C704" s="187">
        <v>285.67444285422204</v>
      </c>
      <c r="D704" s="187">
        <v>331.18652980132447</v>
      </c>
      <c r="E704" s="187">
        <v>400.56363475177301</v>
      </c>
      <c r="F704" s="187">
        <v>325.84041147807255</v>
      </c>
      <c r="G704" s="188">
        <v>340.84717000000006</v>
      </c>
      <c r="H704" s="187">
        <v>448.5532863849765</v>
      </c>
      <c r="I704" s="187">
        <v>96.5</v>
      </c>
    </row>
    <row r="705" spans="1:9" ht="15.75" customHeight="1" x14ac:dyDescent="0.25">
      <c r="A705" s="169">
        <v>41784</v>
      </c>
      <c r="B705" s="187">
        <v>350.4695441755768</v>
      </c>
      <c r="C705" s="187">
        <v>284.67382334900839</v>
      </c>
      <c r="D705" s="187">
        <v>332.42286092715233</v>
      </c>
      <c r="E705" s="187">
        <v>383.25228723404257</v>
      </c>
      <c r="F705" s="187">
        <v>319.96568218733086</v>
      </c>
      <c r="G705" s="188">
        <v>336.93633</v>
      </c>
      <c r="H705" s="187">
        <v>448.34295774647887</v>
      </c>
      <c r="I705" s="187">
        <v>97</v>
      </c>
    </row>
    <row r="706" spans="1:9" ht="15.75" customHeight="1" x14ac:dyDescent="0.25">
      <c r="A706" s="169">
        <v>41791</v>
      </c>
      <c r="B706" s="187">
        <v>343.28605514912778</v>
      </c>
      <c r="C706" s="187">
        <v>283.62114087098752</v>
      </c>
      <c r="D706" s="187">
        <v>329.67948344370865</v>
      </c>
      <c r="E706" s="187">
        <v>383.91726950354609</v>
      </c>
      <c r="F706" s="187">
        <v>314.62729832160261</v>
      </c>
      <c r="G706" s="188">
        <v>331.771455</v>
      </c>
      <c r="H706" s="187">
        <v>445.02664319248828</v>
      </c>
      <c r="I706" s="187">
        <v>98</v>
      </c>
    </row>
    <row r="707" spans="1:9" ht="15.75" customHeight="1" x14ac:dyDescent="0.25">
      <c r="A707" s="169">
        <v>41798</v>
      </c>
      <c r="B707" s="187">
        <v>345.96982554867748</v>
      </c>
      <c r="C707" s="187">
        <v>285.58976487425883</v>
      </c>
      <c r="D707" s="187">
        <v>326.36301986754967</v>
      </c>
      <c r="E707" s="187">
        <v>379.25023049645392</v>
      </c>
      <c r="F707" s="187">
        <v>316.2556145100163</v>
      </c>
      <c r="G707" s="188">
        <v>328.22802000000001</v>
      </c>
      <c r="H707" s="187">
        <v>445.57556338028166</v>
      </c>
      <c r="I707" s="187">
        <v>99</v>
      </c>
    </row>
    <row r="708" spans="1:9" ht="15.75" customHeight="1" x14ac:dyDescent="0.25">
      <c r="A708" s="169">
        <v>41805</v>
      </c>
      <c r="B708" s="187">
        <v>348.46530106921784</v>
      </c>
      <c r="C708" s="187">
        <v>286.83243508484964</v>
      </c>
      <c r="D708" s="187">
        <v>329.10898013245031</v>
      </c>
      <c r="E708" s="187">
        <v>381.76680851063833</v>
      </c>
      <c r="F708" s="187">
        <v>317.43093394694102</v>
      </c>
      <c r="G708" s="188">
        <v>330.72645249999999</v>
      </c>
      <c r="H708" s="187">
        <v>448.39171361502349</v>
      </c>
      <c r="I708" s="187">
        <v>99</v>
      </c>
    </row>
    <row r="709" spans="1:9" ht="15.75" customHeight="1" x14ac:dyDescent="0.25">
      <c r="A709" s="169">
        <v>41812</v>
      </c>
      <c r="B709" s="187">
        <v>353.68950478334273</v>
      </c>
      <c r="C709" s="187">
        <v>288.54235534655487</v>
      </c>
      <c r="D709" s="187">
        <v>330.05397350993377</v>
      </c>
      <c r="E709" s="187">
        <v>384.00014184397168</v>
      </c>
      <c r="F709" s="187">
        <v>318.94274769897129</v>
      </c>
      <c r="G709" s="188">
        <v>330.46856250000002</v>
      </c>
      <c r="H709" s="187">
        <v>448.62676056338029</v>
      </c>
      <c r="I709" s="187">
        <v>99.5</v>
      </c>
    </row>
    <row r="710" spans="1:9" ht="15.75" customHeight="1" x14ac:dyDescent="0.25">
      <c r="A710" s="169">
        <v>41819</v>
      </c>
      <c r="B710" s="187">
        <v>353.30795160382667</v>
      </c>
      <c r="C710" s="187">
        <v>289.25771621345325</v>
      </c>
      <c r="D710" s="187">
        <v>323.2635099337748</v>
      </c>
      <c r="E710" s="187">
        <v>383.08214539007093</v>
      </c>
      <c r="F710" s="187">
        <v>318.42972387655658</v>
      </c>
      <c r="G710" s="188">
        <v>328.39019250000001</v>
      </c>
      <c r="H710" s="187">
        <v>445.92032863849766</v>
      </c>
      <c r="I710" s="187">
        <v>99.5</v>
      </c>
    </row>
    <row r="711" spans="1:9" ht="15.75" customHeight="1" x14ac:dyDescent="0.25">
      <c r="A711" s="169">
        <v>41826</v>
      </c>
      <c r="B711" s="187">
        <v>357.21362971299942</v>
      </c>
      <c r="C711" s="187">
        <v>290.12794725005108</v>
      </c>
      <c r="D711" s="187">
        <v>319.60205298013244</v>
      </c>
      <c r="E711" s="187">
        <v>380.53657801418439</v>
      </c>
      <c r="F711" s="187">
        <v>324.42834867352457</v>
      </c>
      <c r="G711" s="188">
        <v>332.39502749999997</v>
      </c>
      <c r="H711" s="187">
        <v>446.08584507042252</v>
      </c>
      <c r="I711" s="187">
        <v>99</v>
      </c>
    </row>
    <row r="712" spans="1:9" ht="15.75" customHeight="1" x14ac:dyDescent="0.25">
      <c r="A712" s="169">
        <v>41833</v>
      </c>
      <c r="B712" s="187">
        <v>353.94047270680926</v>
      </c>
      <c r="C712" s="187">
        <v>289.62445103250872</v>
      </c>
      <c r="D712" s="187">
        <v>317.87443708609277</v>
      </c>
      <c r="E712" s="187">
        <v>381.88462765957445</v>
      </c>
      <c r="F712" s="187">
        <v>324.85653492149441</v>
      </c>
      <c r="G712" s="188">
        <v>330.59780999999998</v>
      </c>
      <c r="H712" s="187">
        <v>446.18619718309856</v>
      </c>
      <c r="I712" s="187">
        <v>99</v>
      </c>
    </row>
    <row r="713" spans="1:9" ht="15.75" customHeight="1" x14ac:dyDescent="0.25">
      <c r="A713" s="169">
        <v>41840</v>
      </c>
      <c r="B713" s="187">
        <v>357.47571187394482</v>
      </c>
      <c r="C713" s="187">
        <v>285.47548763034138</v>
      </c>
      <c r="D713" s="187">
        <v>312.21876821192052</v>
      </c>
      <c r="E713" s="187">
        <v>382.60820921985811</v>
      </c>
      <c r="F713" s="187">
        <v>323.53357336220893</v>
      </c>
      <c r="G713" s="188">
        <v>331.83499</v>
      </c>
      <c r="H713" s="187">
        <v>445.76338028169016</v>
      </c>
      <c r="I713" s="187">
        <v>99</v>
      </c>
    </row>
    <row r="714" spans="1:9" ht="15.75" customHeight="1" x14ac:dyDescent="0.25">
      <c r="A714" s="169">
        <v>41847</v>
      </c>
      <c r="B714" s="187">
        <v>351.08025886325265</v>
      </c>
      <c r="C714" s="187">
        <v>279.40570844408091</v>
      </c>
      <c r="D714" s="187">
        <v>313.6352450331126</v>
      </c>
      <c r="E714" s="187">
        <v>387.8988120567376</v>
      </c>
      <c r="F714" s="187">
        <v>329.71879263670814</v>
      </c>
      <c r="G714" s="188">
        <v>334.72271000000001</v>
      </c>
      <c r="H714" s="187">
        <v>447.66312206572769</v>
      </c>
      <c r="I714" s="187">
        <v>98.5</v>
      </c>
    </row>
    <row r="715" spans="1:9" ht="15.75" customHeight="1" x14ac:dyDescent="0.25">
      <c r="A715" s="169">
        <v>41854</v>
      </c>
      <c r="B715" s="187">
        <v>348.07673607203151</v>
      </c>
      <c r="C715" s="187">
        <v>281.11783070946638</v>
      </c>
      <c r="D715" s="187">
        <v>301.0694701986755</v>
      </c>
      <c r="E715" s="187">
        <v>386.58843971631205</v>
      </c>
      <c r="F715" s="187">
        <v>328.76899296155926</v>
      </c>
      <c r="G715" s="188">
        <v>336.53657999999996</v>
      </c>
      <c r="H715" s="187">
        <v>436.66382629107977</v>
      </c>
      <c r="I715" s="187">
        <v>98.5</v>
      </c>
    </row>
    <row r="716" spans="1:9" ht="15.75" customHeight="1" x14ac:dyDescent="0.25">
      <c r="A716" s="169">
        <v>41861</v>
      </c>
      <c r="B716" s="187">
        <v>342.08431063590319</v>
      </c>
      <c r="C716" s="187">
        <v>271.05053158863217</v>
      </c>
      <c r="D716" s="187">
        <v>297.30181456953648</v>
      </c>
      <c r="E716" s="187">
        <v>385.31875886524818</v>
      </c>
      <c r="F716" s="187">
        <v>333.6651055766107</v>
      </c>
      <c r="G716" s="188">
        <v>334.60631249999994</v>
      </c>
      <c r="H716" s="187">
        <v>441.84124413145537</v>
      </c>
      <c r="I716" s="187">
        <v>97</v>
      </c>
    </row>
    <row r="717" spans="1:9" ht="15.75" customHeight="1" x14ac:dyDescent="0.25">
      <c r="A717" s="169">
        <v>41868</v>
      </c>
      <c r="B717" s="187">
        <v>335.37407990996059</v>
      </c>
      <c r="C717" s="187">
        <v>257.66044776119406</v>
      </c>
      <c r="D717" s="187">
        <v>279.75760264900663</v>
      </c>
      <c r="E717" s="187">
        <v>383.35634751773046</v>
      </c>
      <c r="F717" s="187">
        <v>333.25156199242019</v>
      </c>
      <c r="G717" s="188">
        <v>334.94627250000002</v>
      </c>
      <c r="H717" s="187">
        <v>446.52021126760565</v>
      </c>
      <c r="I717" s="187">
        <v>93.5</v>
      </c>
    </row>
    <row r="718" spans="1:9" ht="15.75" customHeight="1" x14ac:dyDescent="0.25">
      <c r="A718" s="169">
        <v>41875</v>
      </c>
      <c r="B718" s="187">
        <v>335.996567248171</v>
      </c>
      <c r="C718" s="187">
        <v>241.64051318748722</v>
      </c>
      <c r="D718" s="187">
        <v>265.77486092715236</v>
      </c>
      <c r="E718" s="187">
        <v>381.59570921985812</v>
      </c>
      <c r="F718" s="187">
        <v>333.94222523010285</v>
      </c>
      <c r="G718" s="188">
        <v>334.16002999999995</v>
      </c>
      <c r="H718" s="187">
        <v>445.14215962441318</v>
      </c>
      <c r="I718" s="187">
        <v>89.5</v>
      </c>
    </row>
    <row r="719" spans="1:9" ht="15.75" customHeight="1" x14ac:dyDescent="0.25">
      <c r="A719" s="169">
        <v>41882</v>
      </c>
      <c r="B719" s="187">
        <v>320.50738323016321</v>
      </c>
      <c r="C719" s="187">
        <v>229.30481701083619</v>
      </c>
      <c r="D719" s="187">
        <v>256.40509933774831</v>
      </c>
      <c r="E719" s="187">
        <v>368.79375886524821</v>
      </c>
      <c r="F719" s="187">
        <v>329.53534380075803</v>
      </c>
      <c r="G719" s="188">
        <v>336.45487750000001</v>
      </c>
      <c r="H719" s="187">
        <v>447.45631455399058</v>
      </c>
      <c r="I719" s="187">
        <v>88</v>
      </c>
    </row>
    <row r="720" spans="1:9" ht="15.75" customHeight="1" x14ac:dyDescent="0.25">
      <c r="A720" s="169">
        <v>41889</v>
      </c>
      <c r="B720" s="187">
        <v>312.82842993809794</v>
      </c>
      <c r="C720" s="187">
        <v>224.48794111633609</v>
      </c>
      <c r="D720" s="187">
        <v>253.3013907284768</v>
      </c>
      <c r="E720" s="187">
        <v>366.82177304964534</v>
      </c>
      <c r="F720" s="187">
        <v>323.4166702761234</v>
      </c>
      <c r="G720" s="188">
        <v>334.24378750000005</v>
      </c>
      <c r="H720" s="187">
        <v>451.91711267605632</v>
      </c>
      <c r="I720" s="187">
        <v>89</v>
      </c>
    </row>
    <row r="721" spans="1:9" ht="15.75" customHeight="1" x14ac:dyDescent="0.25">
      <c r="A721" s="169">
        <v>41896</v>
      </c>
      <c r="B721" s="187">
        <v>311.04353404614517</v>
      </c>
      <c r="C721" s="187">
        <v>220.3958781435289</v>
      </c>
      <c r="D721" s="187">
        <v>248.70415894039732</v>
      </c>
      <c r="E721" s="187">
        <v>353.32053191489365</v>
      </c>
      <c r="F721" s="187">
        <v>318.42638603140227</v>
      </c>
      <c r="G721" s="188">
        <v>330.90969249999995</v>
      </c>
      <c r="H721" s="187">
        <v>447.41046948356802</v>
      </c>
      <c r="I721" s="187">
        <v>91</v>
      </c>
    </row>
    <row r="722" spans="1:9" ht="15.75" customHeight="1" x14ac:dyDescent="0.25">
      <c r="A722" s="169">
        <v>41903</v>
      </c>
      <c r="B722" s="187">
        <v>306.81436691052335</v>
      </c>
      <c r="C722" s="187">
        <v>218.05562052749946</v>
      </c>
      <c r="D722" s="187">
        <v>245.90874172185428</v>
      </c>
      <c r="E722" s="187">
        <v>355.13001773049649</v>
      </c>
      <c r="F722" s="187">
        <v>312.04100162425556</v>
      </c>
      <c r="G722" s="188">
        <v>325.00859250000002</v>
      </c>
      <c r="H722" s="187">
        <v>449.5874647887324</v>
      </c>
      <c r="I722" s="187">
        <v>93</v>
      </c>
    </row>
    <row r="723" spans="1:9" ht="15.75" customHeight="1" x14ac:dyDescent="0.25">
      <c r="A723" s="169">
        <v>41910</v>
      </c>
      <c r="B723" s="187">
        <v>307.10813168261114</v>
      </c>
      <c r="C723" s="187">
        <v>218.2025536700061</v>
      </c>
      <c r="D723" s="187">
        <v>245.52576158940394</v>
      </c>
      <c r="E723" s="187">
        <v>353.23232269503552</v>
      </c>
      <c r="F723" s="187">
        <v>310.77625609095833</v>
      </c>
      <c r="G723" s="188">
        <v>325.0856</v>
      </c>
      <c r="H723" s="187">
        <v>449.96861502347417</v>
      </c>
      <c r="I723" s="187">
        <v>94</v>
      </c>
    </row>
    <row r="724" spans="1:9" ht="15.75" customHeight="1" x14ac:dyDescent="0.25">
      <c r="A724" s="169">
        <v>41917</v>
      </c>
      <c r="B724" s="187">
        <v>306.54799099606078</v>
      </c>
      <c r="C724" s="187">
        <v>213.12469229196481</v>
      </c>
      <c r="D724" s="187">
        <v>247.37223841059603</v>
      </c>
      <c r="E724" s="187">
        <v>354.63170212765954</v>
      </c>
      <c r="F724" s="187">
        <v>302.32000541418518</v>
      </c>
      <c r="G724" s="188">
        <v>319.5368125</v>
      </c>
      <c r="H724" s="187">
        <v>450.92706572769953</v>
      </c>
      <c r="I724" s="187">
        <v>95</v>
      </c>
    </row>
    <row r="725" spans="1:9" ht="15.75" customHeight="1" x14ac:dyDescent="0.25">
      <c r="A725" s="169">
        <v>41924</v>
      </c>
      <c r="B725" s="187">
        <v>310.86757456387164</v>
      </c>
      <c r="C725" s="187">
        <v>208.96706195052136</v>
      </c>
      <c r="D725" s="187">
        <v>237.07160264900662</v>
      </c>
      <c r="E725" s="187">
        <v>353.49171985815605</v>
      </c>
      <c r="F725" s="187">
        <v>301.64155928532756</v>
      </c>
      <c r="G725" s="188">
        <v>314.11786500000005</v>
      </c>
      <c r="H725" s="187">
        <v>447.14241784037563</v>
      </c>
      <c r="I725" s="187">
        <v>95</v>
      </c>
    </row>
    <row r="726" spans="1:9" ht="15.75" customHeight="1" x14ac:dyDescent="0.25">
      <c r="A726" s="169">
        <v>41931</v>
      </c>
      <c r="B726" s="187">
        <v>306.1724029262802</v>
      </c>
      <c r="C726" s="187">
        <v>205.50146186873849</v>
      </c>
      <c r="D726" s="187">
        <v>239.02972185430463</v>
      </c>
      <c r="E726" s="187">
        <v>351.71689716312062</v>
      </c>
      <c r="F726" s="187">
        <v>300.98465349214945</v>
      </c>
      <c r="G726" s="188">
        <v>313.93050499999998</v>
      </c>
      <c r="H726" s="187">
        <v>439.24924882629108</v>
      </c>
      <c r="I726" s="187">
        <v>94.5</v>
      </c>
    </row>
    <row r="727" spans="1:9" ht="15.75" customHeight="1" x14ac:dyDescent="0.25">
      <c r="A727" s="169">
        <v>41938</v>
      </c>
      <c r="B727" s="187">
        <v>305.05115362971299</v>
      </c>
      <c r="C727" s="187">
        <v>202.15192189736248</v>
      </c>
      <c r="D727" s="187">
        <v>236.29486092715231</v>
      </c>
      <c r="E727" s="187">
        <v>342.20794326241139</v>
      </c>
      <c r="F727" s="187">
        <v>301.61049269085009</v>
      </c>
      <c r="G727" s="188">
        <v>311.94254000000006</v>
      </c>
      <c r="H727" s="187">
        <v>440.11497652582159</v>
      </c>
      <c r="I727" s="187">
        <v>93.5</v>
      </c>
    </row>
    <row r="728" spans="1:9" ht="15.75" customHeight="1" x14ac:dyDescent="0.25">
      <c r="A728" s="169">
        <v>41945</v>
      </c>
      <c r="B728" s="187">
        <v>305.80935846933033</v>
      </c>
      <c r="C728" s="187">
        <v>199.78423430791244</v>
      </c>
      <c r="D728" s="187">
        <v>237.84664900662253</v>
      </c>
      <c r="E728" s="187">
        <v>343.25377659574468</v>
      </c>
      <c r="F728" s="187">
        <v>295.00006497022196</v>
      </c>
      <c r="G728" s="188">
        <v>308.903595</v>
      </c>
      <c r="H728" s="187">
        <v>440.87396713615027</v>
      </c>
      <c r="I728" s="187">
        <v>92.5</v>
      </c>
    </row>
    <row r="729" spans="1:9" ht="15.75" customHeight="1" x14ac:dyDescent="0.25">
      <c r="A729" s="169">
        <v>41952</v>
      </c>
      <c r="B729" s="187">
        <v>312.01326392796852</v>
      </c>
      <c r="C729" s="187">
        <v>198.40552238805969</v>
      </c>
      <c r="D729" s="187">
        <v>233.96882119205296</v>
      </c>
      <c r="E729" s="187">
        <v>340.37774822695036</v>
      </c>
      <c r="F729" s="187">
        <v>284.9975771521386</v>
      </c>
      <c r="G729" s="188">
        <v>299.38659999999999</v>
      </c>
      <c r="H729" s="187">
        <v>439.76985915492952</v>
      </c>
      <c r="I729" s="187">
        <v>92</v>
      </c>
    </row>
    <row r="730" spans="1:9" ht="15.75" customHeight="1" x14ac:dyDescent="0.25">
      <c r="A730" s="169">
        <v>41959</v>
      </c>
      <c r="B730" s="187">
        <v>303.10585818795721</v>
      </c>
      <c r="C730" s="187">
        <v>196.04768145573499</v>
      </c>
      <c r="D730" s="187">
        <v>236.84548344370862</v>
      </c>
      <c r="E730" s="187">
        <v>339.23093971631204</v>
      </c>
      <c r="F730" s="187">
        <v>287.00729290741742</v>
      </c>
      <c r="G730" s="188">
        <v>298.7668875</v>
      </c>
      <c r="H730" s="187">
        <v>438.34854460093896</v>
      </c>
      <c r="I730" s="187">
        <v>91</v>
      </c>
    </row>
    <row r="731" spans="1:9" ht="15.75" customHeight="1" x14ac:dyDescent="0.25">
      <c r="A731" s="169">
        <v>41966</v>
      </c>
      <c r="B731" s="187">
        <v>299.69548114800227</v>
      </c>
      <c r="C731" s="187">
        <v>195.05289306890205</v>
      </c>
      <c r="D731" s="187">
        <v>238.82264900662253</v>
      </c>
      <c r="E731" s="187">
        <v>330.77464539007099</v>
      </c>
      <c r="F731" s="187">
        <v>282.27347319978344</v>
      </c>
      <c r="G731" s="188">
        <v>295.24039500000003</v>
      </c>
      <c r="H731" s="187">
        <v>430.7239201877934</v>
      </c>
      <c r="I731" s="187">
        <v>91</v>
      </c>
    </row>
    <row r="732" spans="1:9" ht="15.75" customHeight="1" x14ac:dyDescent="0.25">
      <c r="A732" s="169">
        <v>41973</v>
      </c>
      <c r="B732" s="187">
        <v>307.09273494653922</v>
      </c>
      <c r="C732" s="187">
        <v>194.49636066244122</v>
      </c>
      <c r="D732" s="187">
        <v>236.90880794701982</v>
      </c>
      <c r="E732" s="187">
        <v>331.35629432624114</v>
      </c>
      <c r="F732" s="187">
        <v>279.43596101786682</v>
      </c>
      <c r="G732" s="188">
        <v>294.7859325</v>
      </c>
      <c r="H732" s="187">
        <v>434.87098591549295</v>
      </c>
      <c r="I732" s="187">
        <v>90</v>
      </c>
    </row>
    <row r="733" spans="1:9" ht="15.75" customHeight="1" x14ac:dyDescent="0.25">
      <c r="A733" s="169">
        <v>41980</v>
      </c>
      <c r="B733" s="187">
        <v>294.97819921215535</v>
      </c>
      <c r="C733" s="187">
        <v>191.77065835207523</v>
      </c>
      <c r="D733" s="187">
        <v>231.70606382978721</v>
      </c>
      <c r="E733" s="187">
        <v>329.58803191489363</v>
      </c>
      <c r="F733" s="187">
        <v>281.76737682728748</v>
      </c>
      <c r="G733" s="188">
        <v>294.17684250000002</v>
      </c>
      <c r="H733" s="187">
        <v>442.83408450704223</v>
      </c>
      <c r="I733" s="187">
        <v>89</v>
      </c>
    </row>
    <row r="734" spans="1:9" ht="15.75" customHeight="1" x14ac:dyDescent="0.25">
      <c r="A734" s="169">
        <v>41987</v>
      </c>
      <c r="B734" s="187">
        <v>298.80584693303319</v>
      </c>
      <c r="C734" s="187">
        <v>189.83012676344308</v>
      </c>
      <c r="D734" s="187">
        <v>238.38603723404259</v>
      </c>
      <c r="E734" s="187">
        <v>312.6390070921986</v>
      </c>
      <c r="F734" s="187">
        <v>278.73125879805087</v>
      </c>
      <c r="G734" s="188">
        <v>291.26873250000006</v>
      </c>
      <c r="H734" s="187">
        <v>440.00497652582158</v>
      </c>
      <c r="I734" s="187">
        <v>89</v>
      </c>
    </row>
    <row r="735" spans="1:9" ht="15.75" customHeight="1" x14ac:dyDescent="0.25">
      <c r="A735" s="169">
        <v>41994</v>
      </c>
      <c r="B735" s="187">
        <v>291.78828362408558</v>
      </c>
      <c r="C735" s="187">
        <v>189.42952361480266</v>
      </c>
      <c r="D735" s="187">
        <v>236.69111702127663</v>
      </c>
      <c r="E735" s="187">
        <v>312.47570921985812</v>
      </c>
      <c r="F735" s="187">
        <v>277.20990525175961</v>
      </c>
      <c r="G735" s="188">
        <v>289.44887</v>
      </c>
      <c r="H735" s="187">
        <v>432.45600938967141</v>
      </c>
      <c r="I735" s="187">
        <v>88.5</v>
      </c>
    </row>
    <row r="736" spans="1:9" ht="15.75" customHeight="1" x14ac:dyDescent="0.25">
      <c r="A736" s="169">
        <v>42001</v>
      </c>
      <c r="B736" s="187">
        <v>287.58144625773781</v>
      </c>
      <c r="C736" s="187">
        <v>185.53716008996116</v>
      </c>
      <c r="D736" s="187">
        <v>235.38703457446812</v>
      </c>
      <c r="E736" s="187">
        <v>313.64982269503548</v>
      </c>
      <c r="F736" s="187">
        <v>277.83956957227934</v>
      </c>
      <c r="G736" s="188">
        <v>289.87120750000003</v>
      </c>
      <c r="H736" s="187">
        <v>438.01387323943663</v>
      </c>
      <c r="I736" s="187">
        <v>88.5</v>
      </c>
    </row>
    <row r="737" spans="1:9" ht="15.75" customHeight="1" x14ac:dyDescent="0.25">
      <c r="A737" s="169">
        <v>42008</v>
      </c>
      <c r="B737" s="187">
        <v>288.60000000000002</v>
      </c>
      <c r="C737" s="187">
        <v>183.98</v>
      </c>
      <c r="D737" s="187">
        <v>234.37</v>
      </c>
      <c r="E737" s="187">
        <v>313.31</v>
      </c>
      <c r="F737" s="187">
        <v>274.39999999999998</v>
      </c>
      <c r="G737" s="188">
        <v>283.67</v>
      </c>
      <c r="H737" s="187">
        <v>435.46</v>
      </c>
      <c r="I737" s="187">
        <v>87</v>
      </c>
    </row>
    <row r="738" spans="1:9" ht="15.75" customHeight="1" x14ac:dyDescent="0.25">
      <c r="A738" s="169">
        <v>42015</v>
      </c>
      <c r="B738" s="187">
        <v>305.45999999999998</v>
      </c>
      <c r="C738" s="187">
        <v>195.9</v>
      </c>
      <c r="D738" s="187">
        <v>247.3</v>
      </c>
      <c r="E738" s="187">
        <v>309.02999999999997</v>
      </c>
      <c r="F738" s="187">
        <v>270.88</v>
      </c>
      <c r="G738" s="188">
        <v>285.24</v>
      </c>
      <c r="H738" s="187">
        <v>426.94</v>
      </c>
      <c r="I738" s="187">
        <v>88</v>
      </c>
    </row>
    <row r="739" spans="1:9" ht="15.75" customHeight="1" x14ac:dyDescent="0.25">
      <c r="A739" s="169">
        <v>42022</v>
      </c>
      <c r="B739" s="187">
        <v>292.74</v>
      </c>
      <c r="C739" s="187">
        <v>187.05</v>
      </c>
      <c r="D739" s="187">
        <v>233.56</v>
      </c>
      <c r="E739" s="187">
        <v>311.66000000000003</v>
      </c>
      <c r="F739" s="187">
        <v>266.64999999999998</v>
      </c>
      <c r="G739" s="188">
        <v>280.98</v>
      </c>
      <c r="H739" s="187">
        <v>411.05</v>
      </c>
      <c r="I739" s="187">
        <v>90</v>
      </c>
    </row>
    <row r="740" spans="1:9" ht="15.75" customHeight="1" x14ac:dyDescent="0.25">
      <c r="A740" s="169">
        <v>42029</v>
      </c>
      <c r="B740" s="187">
        <v>296.60000000000002</v>
      </c>
      <c r="C740" s="187">
        <v>190.08</v>
      </c>
      <c r="D740" s="187">
        <v>233.56</v>
      </c>
      <c r="E740" s="187">
        <v>316.07</v>
      </c>
      <c r="F740" s="187">
        <v>265.14999999999998</v>
      </c>
      <c r="G740" s="188">
        <v>278.94</v>
      </c>
      <c r="H740" s="187">
        <v>417.49</v>
      </c>
      <c r="I740" s="187">
        <v>91.5</v>
      </c>
    </row>
    <row r="741" spans="1:9" ht="15.75" customHeight="1" x14ac:dyDescent="0.25">
      <c r="A741" s="169">
        <v>42036</v>
      </c>
      <c r="B741" s="187">
        <v>295.82</v>
      </c>
      <c r="C741" s="187">
        <v>195.75</v>
      </c>
      <c r="D741" s="187">
        <v>242.79</v>
      </c>
      <c r="E741" s="187">
        <v>322.33999999999997</v>
      </c>
      <c r="F741" s="187">
        <v>265.98</v>
      </c>
      <c r="G741" s="188">
        <v>279.57</v>
      </c>
      <c r="H741" s="187">
        <v>415.49</v>
      </c>
      <c r="I741" s="187">
        <v>93.5</v>
      </c>
    </row>
    <row r="742" spans="1:9" ht="15.75" customHeight="1" x14ac:dyDescent="0.25">
      <c r="A742" s="169">
        <v>42043</v>
      </c>
      <c r="B742" s="187">
        <v>302.83</v>
      </c>
      <c r="C742" s="187">
        <v>204.85</v>
      </c>
      <c r="D742" s="187">
        <v>251.24</v>
      </c>
      <c r="E742" s="187">
        <v>324.81</v>
      </c>
      <c r="F742" s="187">
        <v>263.81</v>
      </c>
      <c r="G742" s="188">
        <v>273.72000000000003</v>
      </c>
      <c r="H742" s="187">
        <v>425.97</v>
      </c>
      <c r="I742" s="187">
        <v>94.5</v>
      </c>
    </row>
    <row r="743" spans="1:9" ht="15.75" customHeight="1" x14ac:dyDescent="0.25">
      <c r="A743" s="169">
        <v>42050</v>
      </c>
      <c r="B743" s="187">
        <v>317.61</v>
      </c>
      <c r="C743" s="187">
        <v>215.14</v>
      </c>
      <c r="D743" s="187">
        <v>262.74</v>
      </c>
      <c r="E743" s="187">
        <v>327.99</v>
      </c>
      <c r="F743" s="187">
        <v>265.29000000000002</v>
      </c>
      <c r="G743" s="188">
        <v>274.48</v>
      </c>
      <c r="H743" s="187">
        <v>410.85</v>
      </c>
      <c r="I743" s="187">
        <v>96</v>
      </c>
    </row>
    <row r="744" spans="1:9" ht="15.75" customHeight="1" x14ac:dyDescent="0.25">
      <c r="A744" s="169">
        <v>42057</v>
      </c>
      <c r="B744" s="187">
        <v>325.70999999999998</v>
      </c>
      <c r="C744" s="187">
        <v>216.84</v>
      </c>
      <c r="D744" s="187">
        <v>267.14999999999998</v>
      </c>
      <c r="E744" s="187">
        <v>328.82</v>
      </c>
      <c r="F744" s="187">
        <v>268.89999999999998</v>
      </c>
      <c r="G744" s="188">
        <v>277.60000000000002</v>
      </c>
      <c r="H744" s="187">
        <v>415.01</v>
      </c>
      <c r="I744" s="187">
        <v>96</v>
      </c>
    </row>
    <row r="745" spans="1:9" ht="15.75" customHeight="1" x14ac:dyDescent="0.25">
      <c r="A745" s="169">
        <v>42064</v>
      </c>
      <c r="B745" s="187">
        <v>330.54</v>
      </c>
      <c r="C745" s="187">
        <v>218.17</v>
      </c>
      <c r="D745" s="187">
        <v>269.63</v>
      </c>
      <c r="E745" s="187">
        <v>331.04</v>
      </c>
      <c r="F745" s="187">
        <v>269.32</v>
      </c>
      <c r="G745" s="188">
        <v>276.8</v>
      </c>
      <c r="H745" s="187">
        <v>413.68</v>
      </c>
      <c r="I745" s="187">
        <v>95.5</v>
      </c>
    </row>
    <row r="746" spans="1:9" ht="15.75" customHeight="1" x14ac:dyDescent="0.25">
      <c r="A746" s="169">
        <v>42071</v>
      </c>
      <c r="B746" s="187">
        <v>333.92</v>
      </c>
      <c r="C746" s="187">
        <v>215.01</v>
      </c>
      <c r="D746" s="187">
        <v>278.04000000000002</v>
      </c>
      <c r="E746" s="187">
        <v>329.43</v>
      </c>
      <c r="F746" s="187">
        <v>266.33</v>
      </c>
      <c r="G746" s="188">
        <v>278.62</v>
      </c>
      <c r="H746" s="187">
        <v>414.53</v>
      </c>
      <c r="I746" s="187">
        <v>95.5</v>
      </c>
    </row>
    <row r="747" spans="1:9" ht="15.75" customHeight="1" x14ac:dyDescent="0.25">
      <c r="A747" s="169">
        <v>42078</v>
      </c>
      <c r="B747" s="187">
        <v>326.60000000000002</v>
      </c>
      <c r="C747" s="187">
        <v>216.58</v>
      </c>
      <c r="D747" s="187">
        <v>274.47000000000003</v>
      </c>
      <c r="E747" s="187">
        <v>333.43</v>
      </c>
      <c r="F747" s="187">
        <v>272.64999999999998</v>
      </c>
      <c r="G747" s="188">
        <v>281.01</v>
      </c>
      <c r="H747" s="187">
        <v>421.51</v>
      </c>
      <c r="I747" s="187">
        <v>94.5</v>
      </c>
    </row>
    <row r="748" spans="1:9" ht="15.75" customHeight="1" x14ac:dyDescent="0.25">
      <c r="A748" s="169">
        <v>42085</v>
      </c>
      <c r="B748" s="187">
        <v>329.65</v>
      </c>
      <c r="C748" s="187">
        <v>211.67</v>
      </c>
      <c r="D748" s="187">
        <v>273.04000000000002</v>
      </c>
      <c r="E748" s="187">
        <v>326.56</v>
      </c>
      <c r="F748" s="187">
        <v>270.95999999999998</v>
      </c>
      <c r="G748" s="188">
        <v>280.39999999999998</v>
      </c>
      <c r="H748" s="187">
        <v>413.11</v>
      </c>
      <c r="I748" s="187">
        <v>93.5</v>
      </c>
    </row>
    <row r="749" spans="1:9" ht="15.75" customHeight="1" x14ac:dyDescent="0.25">
      <c r="A749" s="169">
        <v>42092</v>
      </c>
      <c r="B749" s="187">
        <v>326.94</v>
      </c>
      <c r="C749" s="187">
        <v>207.16</v>
      </c>
      <c r="D749" s="187">
        <v>278.27999999999997</v>
      </c>
      <c r="E749" s="187">
        <v>322.66000000000003</v>
      </c>
      <c r="F749" s="187">
        <v>273.48</v>
      </c>
      <c r="G749" s="188">
        <v>283</v>
      </c>
      <c r="H749" s="187">
        <v>412.98</v>
      </c>
      <c r="I749" s="187">
        <v>92.5</v>
      </c>
    </row>
    <row r="750" spans="1:9" ht="15.75" customHeight="1" x14ac:dyDescent="0.25">
      <c r="A750" s="169">
        <v>42099</v>
      </c>
      <c r="B750" s="187">
        <v>319.79000000000002</v>
      </c>
      <c r="C750" s="187">
        <v>205.25</v>
      </c>
      <c r="D750" s="187">
        <v>278.82</v>
      </c>
      <c r="E750" s="187">
        <v>324.23</v>
      </c>
      <c r="F750" s="187">
        <v>276.82</v>
      </c>
      <c r="G750" s="188">
        <v>281.17</v>
      </c>
      <c r="H750" s="187">
        <v>419.35</v>
      </c>
      <c r="I750" s="187">
        <v>91</v>
      </c>
    </row>
    <row r="751" spans="1:9" ht="15.75" customHeight="1" x14ac:dyDescent="0.25">
      <c r="A751" s="169">
        <v>42106</v>
      </c>
      <c r="B751" s="187">
        <v>317.57</v>
      </c>
      <c r="C751" s="187">
        <v>205.06</v>
      </c>
      <c r="D751" s="187">
        <v>267.55</v>
      </c>
      <c r="E751" s="187">
        <v>320.43</v>
      </c>
      <c r="F751" s="187">
        <v>280.33</v>
      </c>
      <c r="G751" s="188">
        <v>285.11</v>
      </c>
      <c r="H751" s="187">
        <v>415.89</v>
      </c>
      <c r="I751" s="187">
        <v>90</v>
      </c>
    </row>
    <row r="752" spans="1:9" ht="15.75" customHeight="1" x14ac:dyDescent="0.25">
      <c r="A752" s="169">
        <v>42113</v>
      </c>
      <c r="B752" s="187">
        <v>321.44</v>
      </c>
      <c r="C752" s="187">
        <v>197.73</v>
      </c>
      <c r="D752" s="187">
        <v>266.52999999999997</v>
      </c>
      <c r="E752" s="187">
        <v>321.95</v>
      </c>
      <c r="F752" s="187">
        <v>285.14999999999998</v>
      </c>
      <c r="G752" s="188">
        <v>284.17</v>
      </c>
      <c r="H752" s="187">
        <v>415.03</v>
      </c>
      <c r="I752" s="187">
        <v>90</v>
      </c>
    </row>
    <row r="753" spans="1:9" ht="15.75" customHeight="1" x14ac:dyDescent="0.25">
      <c r="A753" s="169">
        <v>42120</v>
      </c>
      <c r="B753" s="187">
        <v>309.14</v>
      </c>
      <c r="C753" s="187">
        <v>197.04</v>
      </c>
      <c r="D753" s="187">
        <v>268.08</v>
      </c>
      <c r="E753" s="187">
        <v>317.45999999999998</v>
      </c>
      <c r="F753" s="187">
        <v>281.45</v>
      </c>
      <c r="G753" s="188">
        <v>285.66000000000003</v>
      </c>
      <c r="H753" s="187">
        <v>406.33</v>
      </c>
      <c r="I753" s="187">
        <v>90</v>
      </c>
    </row>
    <row r="754" spans="1:9" ht="15.75" customHeight="1" x14ac:dyDescent="0.25">
      <c r="A754" s="169">
        <v>42127</v>
      </c>
      <c r="B754" s="187">
        <v>305.27999999999997</v>
      </c>
      <c r="C754" s="187">
        <v>192.27</v>
      </c>
      <c r="D754" s="187">
        <v>255.23</v>
      </c>
      <c r="E754" s="187">
        <v>317.44</v>
      </c>
      <c r="F754" s="187">
        <v>278.60000000000002</v>
      </c>
      <c r="G754" s="188">
        <v>280.49</v>
      </c>
      <c r="H754" s="187">
        <v>411.82</v>
      </c>
      <c r="I754" s="187">
        <v>88</v>
      </c>
    </row>
    <row r="755" spans="1:9" ht="15.75" customHeight="1" x14ac:dyDescent="0.25">
      <c r="A755" s="169">
        <v>42134</v>
      </c>
      <c r="B755" s="187">
        <v>307.14999999999998</v>
      </c>
      <c r="C755" s="187">
        <v>188.97</v>
      </c>
      <c r="D755" s="187">
        <v>254.6</v>
      </c>
      <c r="E755" s="187">
        <v>313.35000000000002</v>
      </c>
      <c r="F755" s="187">
        <v>276.64</v>
      </c>
      <c r="G755" s="188">
        <v>279.17</v>
      </c>
      <c r="H755" s="187">
        <v>409</v>
      </c>
      <c r="I755" s="187">
        <v>86</v>
      </c>
    </row>
    <row r="756" spans="1:9" ht="15.75" customHeight="1" x14ac:dyDescent="0.25">
      <c r="A756" s="169">
        <v>42141</v>
      </c>
      <c r="B756" s="187">
        <v>301.88</v>
      </c>
      <c r="C756" s="187">
        <v>186.32</v>
      </c>
      <c r="D756" s="187">
        <v>254.14</v>
      </c>
      <c r="E756" s="187">
        <v>317.29000000000002</v>
      </c>
      <c r="F756" s="187">
        <v>269.58</v>
      </c>
      <c r="G756" s="188">
        <v>278.32</v>
      </c>
      <c r="H756" s="187">
        <v>405.38</v>
      </c>
      <c r="I756" s="187">
        <v>83.5</v>
      </c>
    </row>
    <row r="757" spans="1:9" ht="15.75" customHeight="1" x14ac:dyDescent="0.25">
      <c r="A757" s="169">
        <v>42148</v>
      </c>
      <c r="B757" s="187">
        <v>299.58999999999997</v>
      </c>
      <c r="C757" s="187">
        <v>183.51</v>
      </c>
      <c r="D757" s="187">
        <v>249.26</v>
      </c>
      <c r="E757" s="187">
        <v>318.48</v>
      </c>
      <c r="F757" s="187">
        <v>271.07</v>
      </c>
      <c r="G757" s="188">
        <v>276.48</v>
      </c>
      <c r="H757" s="187">
        <v>406.83</v>
      </c>
      <c r="I757" s="187">
        <v>81</v>
      </c>
    </row>
    <row r="758" spans="1:9" ht="15.75" customHeight="1" x14ac:dyDescent="0.25">
      <c r="A758" s="169">
        <v>42155</v>
      </c>
      <c r="B758" s="187">
        <v>304.94</v>
      </c>
      <c r="C758" s="187">
        <v>184.76</v>
      </c>
      <c r="D758" s="187">
        <v>245.8</v>
      </c>
      <c r="E758" s="187">
        <v>317.57</v>
      </c>
      <c r="F758" s="187">
        <v>266.62</v>
      </c>
      <c r="G758" s="188">
        <v>271.19</v>
      </c>
      <c r="H758" s="187">
        <v>402.79</v>
      </c>
      <c r="I758" s="187">
        <v>80</v>
      </c>
    </row>
    <row r="759" spans="1:9" ht="15.75" customHeight="1" x14ac:dyDescent="0.25">
      <c r="A759" s="169">
        <v>42162</v>
      </c>
      <c r="B759" s="187">
        <v>298.37</v>
      </c>
      <c r="C759" s="187">
        <v>180.91</v>
      </c>
      <c r="D759" s="187">
        <v>241.34</v>
      </c>
      <c r="E759" s="187">
        <v>312.02</v>
      </c>
      <c r="F759" s="187">
        <v>264.08999999999997</v>
      </c>
      <c r="G759" s="188">
        <v>268.14</v>
      </c>
      <c r="H759" s="187">
        <v>404.91</v>
      </c>
      <c r="I759" s="187">
        <v>78.5</v>
      </c>
    </row>
    <row r="760" spans="1:9" ht="15.75" customHeight="1" x14ac:dyDescent="0.25">
      <c r="A760" s="169">
        <v>42169</v>
      </c>
      <c r="B760" s="187">
        <v>304.77</v>
      </c>
      <c r="C760" s="187">
        <v>181.16</v>
      </c>
      <c r="D760" s="187">
        <v>239.63</v>
      </c>
      <c r="E760" s="187">
        <v>311.67</v>
      </c>
      <c r="F760" s="187">
        <v>256.86</v>
      </c>
      <c r="G760" s="188">
        <v>264.39999999999998</v>
      </c>
      <c r="H760" s="187">
        <v>403.82</v>
      </c>
      <c r="I760" s="187">
        <v>77</v>
      </c>
    </row>
    <row r="761" spans="1:9" ht="15.75" customHeight="1" x14ac:dyDescent="0.25">
      <c r="A761" s="169">
        <v>42176</v>
      </c>
      <c r="B761" s="187">
        <v>312.97000000000003</v>
      </c>
      <c r="C761" s="187">
        <v>181.16</v>
      </c>
      <c r="D761" s="187">
        <v>238.12</v>
      </c>
      <c r="E761" s="187">
        <v>315.31</v>
      </c>
      <c r="F761" s="187">
        <v>254.78</v>
      </c>
      <c r="G761" s="188">
        <v>262.73</v>
      </c>
      <c r="H761" s="187">
        <v>397.27</v>
      </c>
      <c r="I761" s="187">
        <v>76</v>
      </c>
    </row>
    <row r="762" spans="1:9" ht="15.75" customHeight="1" x14ac:dyDescent="0.25">
      <c r="A762" s="169">
        <v>42183</v>
      </c>
      <c r="B762" s="187">
        <v>301.93</v>
      </c>
      <c r="C762" s="187">
        <v>181.69</v>
      </c>
      <c r="D762" s="187">
        <v>235.93</v>
      </c>
      <c r="E762" s="187">
        <v>316.73</v>
      </c>
      <c r="F762" s="187">
        <v>252.26</v>
      </c>
      <c r="G762" s="188">
        <v>262.67</v>
      </c>
      <c r="H762" s="187">
        <v>405.98</v>
      </c>
      <c r="I762" s="187">
        <v>71.5</v>
      </c>
    </row>
    <row r="763" spans="1:9" ht="15.75" customHeight="1" x14ac:dyDescent="0.25">
      <c r="A763" s="169">
        <v>42190</v>
      </c>
      <c r="B763" s="187">
        <v>299.11</v>
      </c>
      <c r="C763" s="187">
        <v>178.49</v>
      </c>
      <c r="D763" s="187">
        <v>229.35</v>
      </c>
      <c r="E763" s="187">
        <v>313.3</v>
      </c>
      <c r="F763" s="187">
        <v>249.26</v>
      </c>
      <c r="G763" s="188">
        <v>257.39</v>
      </c>
      <c r="H763" s="187">
        <v>399.4</v>
      </c>
      <c r="I763" s="187">
        <v>69</v>
      </c>
    </row>
    <row r="764" spans="1:9" ht="15.75" customHeight="1" x14ac:dyDescent="0.25">
      <c r="A764" s="169">
        <v>42197</v>
      </c>
      <c r="B764" s="187">
        <v>297.02999999999997</v>
      </c>
      <c r="C764" s="187">
        <v>176.48</v>
      </c>
      <c r="D764" s="187">
        <v>233.6</v>
      </c>
      <c r="E764" s="187">
        <v>306.89</v>
      </c>
      <c r="F764" s="187">
        <v>247.14</v>
      </c>
      <c r="G764" s="188">
        <v>257.45</v>
      </c>
      <c r="H764" s="187">
        <v>397.73</v>
      </c>
      <c r="I764" s="187">
        <v>66.5</v>
      </c>
    </row>
    <row r="765" spans="1:9" ht="15.75" customHeight="1" x14ac:dyDescent="0.25">
      <c r="A765" s="169">
        <v>42204</v>
      </c>
      <c r="B765" s="187">
        <v>296.14999999999998</v>
      </c>
      <c r="C765" s="187">
        <v>174.9</v>
      </c>
      <c r="D765" s="187">
        <v>224.44</v>
      </c>
      <c r="E765" s="187">
        <v>309.39999999999998</v>
      </c>
      <c r="F765" s="187">
        <v>248.03</v>
      </c>
      <c r="G765" s="188">
        <v>256.56</v>
      </c>
      <c r="H765" s="187">
        <v>399.01</v>
      </c>
      <c r="I765" s="187">
        <v>65.5</v>
      </c>
    </row>
    <row r="766" spans="1:9" ht="15.75" customHeight="1" x14ac:dyDescent="0.25">
      <c r="A766" s="169">
        <v>42211</v>
      </c>
      <c r="B766" s="187">
        <v>292.89</v>
      </c>
      <c r="C766" s="187">
        <v>173.73</v>
      </c>
      <c r="D766" s="187">
        <v>221.25</v>
      </c>
      <c r="E766" s="187">
        <v>309.8</v>
      </c>
      <c r="F766" s="187">
        <v>247.32</v>
      </c>
      <c r="G766" s="188">
        <v>256.83</v>
      </c>
      <c r="H766" s="187">
        <v>398.74</v>
      </c>
      <c r="I766" s="187">
        <v>65</v>
      </c>
    </row>
    <row r="767" spans="1:9" ht="15.75" customHeight="1" x14ac:dyDescent="0.25">
      <c r="A767" s="169">
        <v>42218</v>
      </c>
      <c r="B767" s="187">
        <v>293.02</v>
      </c>
      <c r="C767" s="187">
        <v>171.28</v>
      </c>
      <c r="D767" s="187">
        <v>214.66</v>
      </c>
      <c r="E767" s="187">
        <v>309.06</v>
      </c>
      <c r="F767" s="187">
        <v>247.49</v>
      </c>
      <c r="G767" s="188">
        <v>254.41</v>
      </c>
      <c r="H767" s="187">
        <v>397.09</v>
      </c>
      <c r="I767" s="187">
        <v>64.5</v>
      </c>
    </row>
    <row r="768" spans="1:9" ht="15.75" customHeight="1" x14ac:dyDescent="0.25">
      <c r="A768" s="169">
        <v>42225</v>
      </c>
      <c r="B768" s="187">
        <v>287.04000000000002</v>
      </c>
      <c r="C768" s="187">
        <v>171.24</v>
      </c>
      <c r="D768" s="187">
        <v>214.19</v>
      </c>
      <c r="E768" s="187">
        <v>306.93</v>
      </c>
      <c r="F768" s="187">
        <v>246.17</v>
      </c>
      <c r="G768" s="188">
        <v>250.88</v>
      </c>
      <c r="H768" s="187">
        <v>394.89</v>
      </c>
      <c r="I768" s="187">
        <v>63.25</v>
      </c>
    </row>
    <row r="769" spans="1:9" ht="15.75" customHeight="1" x14ac:dyDescent="0.25">
      <c r="A769" s="169">
        <v>42232</v>
      </c>
      <c r="B769" s="187">
        <v>293.2</v>
      </c>
      <c r="C769" s="187">
        <v>169.67</v>
      </c>
      <c r="D769" s="187">
        <v>216.91</v>
      </c>
      <c r="E769" s="187">
        <v>304.35000000000002</v>
      </c>
      <c r="F769" s="187">
        <v>244.43</v>
      </c>
      <c r="G769" s="188">
        <v>254.05</v>
      </c>
      <c r="H769" s="187">
        <v>394.91</v>
      </c>
      <c r="I769" s="187">
        <v>61.5</v>
      </c>
    </row>
    <row r="770" spans="1:9" ht="15.75" customHeight="1" x14ac:dyDescent="0.25">
      <c r="A770" s="169">
        <v>42239</v>
      </c>
      <c r="B770" s="187">
        <v>292.55</v>
      </c>
      <c r="C770" s="187">
        <v>170.03</v>
      </c>
      <c r="D770" s="187">
        <v>208.42</v>
      </c>
      <c r="E770" s="187">
        <v>301.43</v>
      </c>
      <c r="F770" s="187">
        <v>245.82</v>
      </c>
      <c r="G770" s="188">
        <v>254.07</v>
      </c>
      <c r="H770" s="187">
        <v>397.62</v>
      </c>
      <c r="I770" s="187">
        <v>62</v>
      </c>
    </row>
    <row r="771" spans="1:9" ht="15.75" customHeight="1" x14ac:dyDescent="0.25">
      <c r="A771" s="169">
        <v>42246</v>
      </c>
      <c r="B771" s="187">
        <v>279.54000000000002</v>
      </c>
      <c r="C771" s="187">
        <v>168.97</v>
      </c>
      <c r="D771" s="187">
        <v>209.26</v>
      </c>
      <c r="E771" s="187">
        <v>296.44</v>
      </c>
      <c r="F771" s="187">
        <v>244.77</v>
      </c>
      <c r="G771" s="188">
        <v>251.19</v>
      </c>
      <c r="H771" s="187">
        <v>397.13</v>
      </c>
      <c r="I771" s="187">
        <v>62.5</v>
      </c>
    </row>
    <row r="772" spans="1:9" ht="15.75" customHeight="1" x14ac:dyDescent="0.25">
      <c r="A772" s="169">
        <v>42253</v>
      </c>
      <c r="B772" s="187">
        <v>281.44</v>
      </c>
      <c r="C772" s="187">
        <v>171.86</v>
      </c>
      <c r="D772" s="187">
        <v>217.83</v>
      </c>
      <c r="E772" s="187">
        <v>295.58</v>
      </c>
      <c r="F772" s="187">
        <v>241.72</v>
      </c>
      <c r="G772" s="188">
        <v>252.03</v>
      </c>
      <c r="H772" s="187">
        <v>395.82</v>
      </c>
      <c r="I772" s="187">
        <v>63.5</v>
      </c>
    </row>
    <row r="773" spans="1:9" ht="15.75" customHeight="1" x14ac:dyDescent="0.25">
      <c r="A773" s="169">
        <v>42260</v>
      </c>
      <c r="B773" s="187">
        <v>282.01</v>
      </c>
      <c r="C773" s="187">
        <v>172.45</v>
      </c>
      <c r="D773" s="187">
        <v>212.19</v>
      </c>
      <c r="E773" s="187">
        <v>296.72000000000003</v>
      </c>
      <c r="F773" s="187">
        <v>241.69</v>
      </c>
      <c r="G773" s="188">
        <v>253.79</v>
      </c>
      <c r="H773" s="187">
        <v>398.99</v>
      </c>
      <c r="I773" s="187">
        <v>63.5</v>
      </c>
    </row>
    <row r="774" spans="1:9" ht="15.75" customHeight="1" x14ac:dyDescent="0.25">
      <c r="A774" s="169">
        <v>42267</v>
      </c>
      <c r="B774" s="187">
        <v>286.45999999999998</v>
      </c>
      <c r="C774" s="187">
        <v>174.51</v>
      </c>
      <c r="D774" s="187">
        <v>220.17</v>
      </c>
      <c r="E774" s="187">
        <v>296.12</v>
      </c>
      <c r="F774" s="187">
        <v>243.41</v>
      </c>
      <c r="G774" s="188">
        <v>248.64</v>
      </c>
      <c r="H774" s="187">
        <v>399.45</v>
      </c>
      <c r="I774" s="187">
        <v>65</v>
      </c>
    </row>
    <row r="775" spans="1:9" ht="15.75" customHeight="1" x14ac:dyDescent="0.25">
      <c r="A775" s="169">
        <v>42274</v>
      </c>
      <c r="B775" s="187">
        <v>288.02999999999997</v>
      </c>
      <c r="C775" s="187">
        <v>175.45</v>
      </c>
      <c r="D775" s="187">
        <v>227.18</v>
      </c>
      <c r="E775" s="187">
        <v>296.08999999999997</v>
      </c>
      <c r="F775" s="187">
        <v>242.5</v>
      </c>
      <c r="G775" s="188">
        <v>252.32</v>
      </c>
      <c r="H775" s="187">
        <v>394.6</v>
      </c>
      <c r="I775" s="187">
        <v>64.5</v>
      </c>
    </row>
    <row r="776" spans="1:9" ht="15.75" customHeight="1" x14ac:dyDescent="0.25">
      <c r="A776" s="169">
        <v>42281</v>
      </c>
      <c r="B776" s="187">
        <v>293.22000000000003</v>
      </c>
      <c r="C776" s="187">
        <v>177.29</v>
      </c>
      <c r="D776" s="187">
        <v>231.49</v>
      </c>
      <c r="E776" s="187">
        <v>299.02999999999997</v>
      </c>
      <c r="F776" s="187">
        <v>239.02</v>
      </c>
      <c r="G776" s="188">
        <v>251.86</v>
      </c>
      <c r="H776" s="187">
        <v>388.77</v>
      </c>
      <c r="I776" s="187">
        <v>64.5</v>
      </c>
    </row>
    <row r="777" spans="1:9" ht="15.75" customHeight="1" x14ac:dyDescent="0.25">
      <c r="A777" s="169">
        <v>42288</v>
      </c>
      <c r="B777" s="187">
        <v>295.94</v>
      </c>
      <c r="C777" s="187">
        <v>180.17</v>
      </c>
      <c r="D777" s="187">
        <v>237.49</v>
      </c>
      <c r="E777" s="187">
        <v>298.99</v>
      </c>
      <c r="F777" s="187">
        <v>245</v>
      </c>
      <c r="G777" s="188">
        <v>252.87</v>
      </c>
      <c r="H777" s="187">
        <v>392.27</v>
      </c>
      <c r="I777" s="187">
        <v>64.5</v>
      </c>
    </row>
    <row r="778" spans="1:9" ht="15.75" customHeight="1" x14ac:dyDescent="0.25">
      <c r="A778" s="169">
        <v>42295</v>
      </c>
      <c r="B778" s="187">
        <v>299.43</v>
      </c>
      <c r="C778" s="187">
        <v>183</v>
      </c>
      <c r="D778" s="187">
        <v>238.64</v>
      </c>
      <c r="E778" s="187">
        <v>301.33999999999997</v>
      </c>
      <c r="F778" s="187">
        <v>244.7</v>
      </c>
      <c r="G778" s="188">
        <v>254.92</v>
      </c>
      <c r="H778" s="187">
        <v>392.95</v>
      </c>
      <c r="I778" s="187">
        <v>65</v>
      </c>
    </row>
    <row r="779" spans="1:9" ht="15.75" customHeight="1" x14ac:dyDescent="0.25">
      <c r="A779" s="169">
        <v>42302</v>
      </c>
      <c r="B779" s="187">
        <v>299.01</v>
      </c>
      <c r="C779" s="187">
        <v>181.08</v>
      </c>
      <c r="D779" s="187">
        <v>241.85</v>
      </c>
      <c r="E779" s="187">
        <v>302.08999999999997</v>
      </c>
      <c r="F779" s="187">
        <v>245.32</v>
      </c>
      <c r="G779" s="188">
        <v>254.04</v>
      </c>
      <c r="H779" s="187">
        <v>384.27</v>
      </c>
      <c r="I779" s="187">
        <v>64</v>
      </c>
    </row>
    <row r="780" spans="1:9" ht="15.75" customHeight="1" x14ac:dyDescent="0.25">
      <c r="A780" s="169">
        <v>42309</v>
      </c>
      <c r="B780" s="187">
        <v>297.12</v>
      </c>
      <c r="C780" s="187">
        <v>179.19</v>
      </c>
      <c r="D780" s="187">
        <v>245.29</v>
      </c>
      <c r="E780" s="187">
        <v>305.11</v>
      </c>
      <c r="F780" s="187">
        <v>245.99</v>
      </c>
      <c r="G780" s="188">
        <v>252.58</v>
      </c>
      <c r="H780" s="187">
        <v>388.85</v>
      </c>
      <c r="I780" s="187">
        <v>63.5</v>
      </c>
    </row>
    <row r="781" spans="1:9" ht="15.75" customHeight="1" x14ac:dyDescent="0.25">
      <c r="A781" s="169">
        <v>42316</v>
      </c>
      <c r="B781" s="187">
        <v>294.56</v>
      </c>
      <c r="C781" s="187">
        <v>178.24</v>
      </c>
      <c r="D781" s="187">
        <v>240.82</v>
      </c>
      <c r="E781" s="187">
        <v>300.08999999999997</v>
      </c>
      <c r="F781" s="187">
        <v>248.95</v>
      </c>
      <c r="G781" s="188">
        <v>251.52</v>
      </c>
      <c r="H781" s="187">
        <v>382.81</v>
      </c>
      <c r="I781" s="187">
        <v>62.5</v>
      </c>
    </row>
    <row r="782" spans="1:9" ht="15.75" customHeight="1" x14ac:dyDescent="0.25">
      <c r="A782" s="169">
        <v>42323</v>
      </c>
      <c r="B782" s="187">
        <v>307.10000000000002</v>
      </c>
      <c r="C782" s="187">
        <v>178.65</v>
      </c>
      <c r="D782" s="187">
        <v>238.84</v>
      </c>
      <c r="E782" s="187">
        <v>300.72000000000003</v>
      </c>
      <c r="F782" s="187">
        <v>251.84</v>
      </c>
      <c r="G782" s="188">
        <v>251.95</v>
      </c>
      <c r="H782" s="187">
        <v>395.38</v>
      </c>
      <c r="I782" s="187">
        <v>60.5</v>
      </c>
    </row>
    <row r="783" spans="1:9" ht="15.75" customHeight="1" x14ac:dyDescent="0.25">
      <c r="A783" s="169">
        <v>42330</v>
      </c>
      <c r="B783" s="187">
        <v>303.62</v>
      </c>
      <c r="C783" s="187">
        <v>174.44</v>
      </c>
      <c r="D783" s="187">
        <v>228.54</v>
      </c>
      <c r="E783" s="187">
        <v>302.97000000000003</v>
      </c>
      <c r="F783" s="187">
        <v>250.53</v>
      </c>
      <c r="G783" s="188">
        <v>252.5</v>
      </c>
      <c r="H783" s="187">
        <v>385.98</v>
      </c>
      <c r="I783" s="187">
        <v>59</v>
      </c>
    </row>
    <row r="784" spans="1:9" ht="15.75" customHeight="1" x14ac:dyDescent="0.25">
      <c r="A784" s="169">
        <v>42337</v>
      </c>
      <c r="B784" s="187">
        <v>297.47000000000003</v>
      </c>
      <c r="C784" s="187">
        <v>172.04</v>
      </c>
      <c r="D784" s="187">
        <v>224.27</v>
      </c>
      <c r="E784" s="187">
        <v>286.79000000000002</v>
      </c>
      <c r="F784" s="187">
        <v>249.42</v>
      </c>
      <c r="G784" s="188">
        <v>253.49</v>
      </c>
      <c r="H784" s="187">
        <v>379.97</v>
      </c>
      <c r="I784" s="187">
        <v>59</v>
      </c>
    </row>
    <row r="785" spans="1:9" ht="15.75" customHeight="1" x14ac:dyDescent="0.25">
      <c r="A785" s="169">
        <v>42344</v>
      </c>
      <c r="B785" s="187">
        <v>297.14999999999998</v>
      </c>
      <c r="C785" s="187">
        <v>173.06</v>
      </c>
      <c r="D785" s="187">
        <v>225.09</v>
      </c>
      <c r="E785" s="187">
        <v>294.92</v>
      </c>
      <c r="F785" s="187">
        <v>253.43</v>
      </c>
      <c r="G785" s="188">
        <v>251.13</v>
      </c>
      <c r="H785" s="187">
        <v>381.22</v>
      </c>
      <c r="I785" s="187">
        <v>58.5</v>
      </c>
    </row>
    <row r="786" spans="1:9" ht="15.75" customHeight="1" x14ac:dyDescent="0.25">
      <c r="A786" s="169">
        <v>42351</v>
      </c>
      <c r="B786" s="187">
        <v>291.89999999999998</v>
      </c>
      <c r="C786" s="187">
        <v>170.6</v>
      </c>
      <c r="D786" s="187">
        <v>222.57</v>
      </c>
      <c r="E786" s="187">
        <v>291.08</v>
      </c>
      <c r="F786" s="187">
        <v>253.29</v>
      </c>
      <c r="G786" s="188">
        <v>250.86</v>
      </c>
      <c r="H786" s="187">
        <v>387.78</v>
      </c>
      <c r="I786" s="187">
        <v>58.5</v>
      </c>
    </row>
    <row r="787" spans="1:9" ht="15.75" customHeight="1" x14ac:dyDescent="0.25">
      <c r="A787" s="169">
        <v>42358</v>
      </c>
      <c r="B787" s="187">
        <v>291.36</v>
      </c>
      <c r="C787" s="187">
        <v>173.18</v>
      </c>
      <c r="D787" s="187">
        <v>223.99</v>
      </c>
      <c r="E787" s="187">
        <v>290.12</v>
      </c>
      <c r="F787" s="187">
        <v>250.71</v>
      </c>
      <c r="G787" s="188">
        <v>253.38</v>
      </c>
      <c r="H787" s="187">
        <v>386.7</v>
      </c>
      <c r="I787" s="187">
        <v>58.5</v>
      </c>
    </row>
    <row r="788" spans="1:9" ht="15.75" customHeight="1" x14ac:dyDescent="0.25">
      <c r="A788" s="169">
        <v>42365</v>
      </c>
      <c r="B788" s="187">
        <v>299.36</v>
      </c>
      <c r="C788" s="187">
        <v>172.21</v>
      </c>
      <c r="D788" s="187">
        <v>228.92</v>
      </c>
      <c r="E788" s="187">
        <v>288.24</v>
      </c>
      <c r="F788" s="187">
        <v>251.63</v>
      </c>
      <c r="G788" s="188">
        <v>252.76</v>
      </c>
      <c r="H788" s="187">
        <v>392.37</v>
      </c>
      <c r="I788" s="187">
        <v>58.5</v>
      </c>
    </row>
    <row r="789" spans="1:9" ht="15.75" customHeight="1" x14ac:dyDescent="0.25">
      <c r="A789" s="169">
        <v>42372</v>
      </c>
      <c r="B789" s="187">
        <v>298.2</v>
      </c>
      <c r="C789" s="187">
        <v>171.93</v>
      </c>
      <c r="D789" s="187">
        <v>226.62</v>
      </c>
      <c r="E789" s="187">
        <v>261.91000000000003</v>
      </c>
      <c r="F789" s="187">
        <v>252.98</v>
      </c>
      <c r="G789" s="188">
        <v>253.16</v>
      </c>
      <c r="H789" s="187">
        <v>383.53</v>
      </c>
      <c r="I789" s="187">
        <v>59</v>
      </c>
    </row>
    <row r="790" spans="1:9" ht="15.75" customHeight="1" x14ac:dyDescent="0.25">
      <c r="A790" s="169">
        <v>42379</v>
      </c>
      <c r="B790" s="187">
        <v>287.60000000000002</v>
      </c>
      <c r="C790" s="187">
        <v>167.49</v>
      </c>
      <c r="D790" s="187">
        <v>220.39</v>
      </c>
      <c r="E790" s="187">
        <v>259.73</v>
      </c>
      <c r="F790" s="187">
        <v>254.57</v>
      </c>
      <c r="G790" s="188">
        <v>253.06</v>
      </c>
      <c r="H790" s="187">
        <v>445.24</v>
      </c>
      <c r="I790" s="187">
        <v>55.42</v>
      </c>
    </row>
    <row r="791" spans="1:9" ht="15.75" customHeight="1" x14ac:dyDescent="0.25">
      <c r="A791" s="169">
        <v>42386</v>
      </c>
      <c r="B791" s="187">
        <v>293.91000000000003</v>
      </c>
      <c r="C791" s="187">
        <v>169.91</v>
      </c>
      <c r="D791" s="187">
        <v>217.31</v>
      </c>
      <c r="E791" s="187">
        <v>259.24</v>
      </c>
      <c r="F791" s="187">
        <v>245.51</v>
      </c>
      <c r="G791" s="188">
        <v>247.01</v>
      </c>
      <c r="H791" s="187">
        <v>452.61</v>
      </c>
      <c r="I791" s="187">
        <v>54.17</v>
      </c>
    </row>
    <row r="792" spans="1:9" ht="15.75" customHeight="1" x14ac:dyDescent="0.25">
      <c r="A792" s="169">
        <v>42393</v>
      </c>
      <c r="B792" s="187">
        <v>283.29000000000002</v>
      </c>
      <c r="C792" s="187">
        <v>168.29</v>
      </c>
      <c r="D792" s="187">
        <v>218.08</v>
      </c>
      <c r="E792" s="187">
        <v>259.95999999999998</v>
      </c>
      <c r="F792" s="187">
        <v>244.85</v>
      </c>
      <c r="G792" s="188">
        <v>246.33</v>
      </c>
      <c r="H792" s="187">
        <v>451.89</v>
      </c>
      <c r="I792" s="187">
        <v>54.73</v>
      </c>
    </row>
    <row r="793" spans="1:9" ht="15.75" customHeight="1" x14ac:dyDescent="0.25">
      <c r="A793" s="169">
        <v>42400</v>
      </c>
      <c r="B793" s="187">
        <v>277.81</v>
      </c>
      <c r="C793" s="187">
        <v>167.72</v>
      </c>
      <c r="D793" s="187">
        <v>207.64</v>
      </c>
      <c r="E793" s="187">
        <v>258.62</v>
      </c>
      <c r="F793" s="187">
        <v>243.6</v>
      </c>
      <c r="G793" s="188">
        <v>246.94</v>
      </c>
      <c r="H793" s="187">
        <v>448.73</v>
      </c>
      <c r="I793" s="187">
        <v>53.92</v>
      </c>
    </row>
    <row r="794" spans="1:9" ht="15.75" customHeight="1" x14ac:dyDescent="0.25">
      <c r="A794" s="169">
        <v>42407</v>
      </c>
      <c r="B794" s="187">
        <v>276.73</v>
      </c>
      <c r="C794" s="187">
        <v>164.96</v>
      </c>
      <c r="D794" s="187">
        <v>204.79</v>
      </c>
      <c r="E794" s="187">
        <v>258.36</v>
      </c>
      <c r="F794" s="187">
        <v>238.78</v>
      </c>
      <c r="G794" s="188">
        <v>242.71</v>
      </c>
      <c r="H794" s="187">
        <v>442.32</v>
      </c>
      <c r="I794" s="187">
        <v>54.16</v>
      </c>
    </row>
    <row r="795" spans="1:9" ht="15.75" customHeight="1" x14ac:dyDescent="0.25">
      <c r="A795" s="169">
        <v>42414</v>
      </c>
      <c r="B795" s="187">
        <v>276.33</v>
      </c>
      <c r="C795" s="187">
        <v>167.88</v>
      </c>
      <c r="D795" s="187">
        <v>208.41</v>
      </c>
      <c r="E795" s="187">
        <v>257.35000000000002</v>
      </c>
      <c r="F795" s="187">
        <v>236.48</v>
      </c>
      <c r="G795" s="188">
        <v>241.55</v>
      </c>
      <c r="H795" s="187">
        <v>449.78</v>
      </c>
      <c r="I795" s="187">
        <v>53.58</v>
      </c>
    </row>
    <row r="796" spans="1:9" ht="15.75" customHeight="1" x14ac:dyDescent="0.25">
      <c r="A796" s="169">
        <v>42421</v>
      </c>
      <c r="B796" s="187">
        <v>271.25</v>
      </c>
      <c r="C796" s="187">
        <v>166.06</v>
      </c>
      <c r="D796" s="187">
        <v>200.47</v>
      </c>
      <c r="E796" s="187">
        <v>255.74</v>
      </c>
      <c r="F796" s="187">
        <v>237.01</v>
      </c>
      <c r="G796" s="188">
        <v>242</v>
      </c>
      <c r="H796" s="187">
        <v>442.01</v>
      </c>
      <c r="I796" s="187">
        <v>53.15</v>
      </c>
    </row>
    <row r="797" spans="1:9" ht="15.75" customHeight="1" x14ac:dyDescent="0.25">
      <c r="A797" s="169">
        <v>42428</v>
      </c>
      <c r="B797" s="187">
        <v>265.14999999999998</v>
      </c>
      <c r="C797" s="187">
        <v>165.35</v>
      </c>
      <c r="D797" s="187">
        <v>200.88</v>
      </c>
      <c r="E797" s="187">
        <v>253.14</v>
      </c>
      <c r="F797" s="187">
        <v>232.88</v>
      </c>
      <c r="G797" s="188">
        <v>237.47</v>
      </c>
      <c r="H797" s="187">
        <v>445.32</v>
      </c>
      <c r="I797" s="187">
        <v>53.32</v>
      </c>
    </row>
    <row r="798" spans="1:9" ht="15.75" customHeight="1" x14ac:dyDescent="0.25">
      <c r="A798" s="169">
        <v>42435</v>
      </c>
      <c r="B798" s="187">
        <v>258.05</v>
      </c>
      <c r="C798" s="187">
        <v>165.18</v>
      </c>
      <c r="D798" s="187">
        <v>197.24</v>
      </c>
      <c r="E798" s="187">
        <v>251.91</v>
      </c>
      <c r="F798" s="187">
        <v>232.63</v>
      </c>
      <c r="G798" s="188">
        <v>235.96</v>
      </c>
      <c r="H798" s="187">
        <v>437.26</v>
      </c>
      <c r="I798" s="187">
        <v>53.17</v>
      </c>
    </row>
    <row r="799" spans="1:9" ht="15.75" customHeight="1" x14ac:dyDescent="0.25">
      <c r="A799" s="169">
        <v>42442</v>
      </c>
      <c r="B799" s="187">
        <v>263.57</v>
      </c>
      <c r="C799" s="187">
        <v>164.88</v>
      </c>
      <c r="D799" s="187">
        <v>194.77</v>
      </c>
      <c r="E799" s="187">
        <v>250.54</v>
      </c>
      <c r="F799" s="187">
        <v>227.9</v>
      </c>
      <c r="G799" s="188">
        <v>234.34</v>
      </c>
      <c r="H799" s="187">
        <v>433.31</v>
      </c>
      <c r="I799" s="187">
        <v>53.28</v>
      </c>
    </row>
    <row r="800" spans="1:9" ht="15.75" customHeight="1" x14ac:dyDescent="0.25">
      <c r="A800" s="169">
        <v>42449</v>
      </c>
      <c r="B800" s="187">
        <v>261.02999999999997</v>
      </c>
      <c r="C800" s="187">
        <v>164.42</v>
      </c>
      <c r="D800" s="187">
        <v>194.77</v>
      </c>
      <c r="E800" s="187">
        <v>248.41</v>
      </c>
      <c r="F800" s="187">
        <v>229.56</v>
      </c>
      <c r="G800" s="188">
        <v>235.19</v>
      </c>
      <c r="H800" s="187">
        <v>437.81</v>
      </c>
      <c r="I800" s="187">
        <v>53.55</v>
      </c>
    </row>
    <row r="801" spans="1:9" ht="15.75" customHeight="1" x14ac:dyDescent="0.25">
      <c r="A801" s="169">
        <v>42456</v>
      </c>
      <c r="B801" s="187">
        <v>258.77</v>
      </c>
      <c r="C801" s="187">
        <v>164.73</v>
      </c>
      <c r="D801" s="187">
        <v>194.07</v>
      </c>
      <c r="E801" s="187">
        <v>247.44</v>
      </c>
      <c r="F801" s="187">
        <v>228.75</v>
      </c>
      <c r="G801" s="188">
        <v>235.48</v>
      </c>
      <c r="H801" s="187">
        <v>438.45</v>
      </c>
      <c r="I801" s="187">
        <v>53.27</v>
      </c>
    </row>
    <row r="802" spans="1:9" ht="15.75" customHeight="1" x14ac:dyDescent="0.25">
      <c r="A802" s="169">
        <v>42463</v>
      </c>
      <c r="B802" s="187">
        <v>260.45</v>
      </c>
      <c r="C802" s="187">
        <v>165.47</v>
      </c>
      <c r="D802" s="187">
        <v>188.86</v>
      </c>
      <c r="E802" s="187">
        <v>247.01</v>
      </c>
      <c r="F802" s="187">
        <v>229.15</v>
      </c>
      <c r="G802" s="188">
        <v>233.67</v>
      </c>
      <c r="H802" s="187">
        <v>438.03</v>
      </c>
      <c r="I802" s="187">
        <v>53.4</v>
      </c>
    </row>
    <row r="803" spans="1:9" ht="15.75" customHeight="1" x14ac:dyDescent="0.25">
      <c r="A803" s="169">
        <v>42470</v>
      </c>
      <c r="B803" s="187">
        <v>259.27</v>
      </c>
      <c r="C803" s="187">
        <v>166.98</v>
      </c>
      <c r="D803" s="187">
        <v>190.46</v>
      </c>
      <c r="E803" s="187">
        <v>246.71</v>
      </c>
      <c r="F803" s="187">
        <v>226.96</v>
      </c>
      <c r="G803" s="188">
        <v>226.64</v>
      </c>
      <c r="H803" s="187">
        <v>430.35</v>
      </c>
      <c r="I803" s="187">
        <v>52.01</v>
      </c>
    </row>
    <row r="804" spans="1:9" ht="15.75" customHeight="1" x14ac:dyDescent="0.25">
      <c r="A804" s="169">
        <v>42477</v>
      </c>
      <c r="B804" s="187">
        <v>253.04</v>
      </c>
      <c r="C804" s="187">
        <v>166.97</v>
      </c>
      <c r="D804" s="187">
        <v>187.83</v>
      </c>
      <c r="E804" s="187">
        <v>243.59</v>
      </c>
      <c r="F804" s="187">
        <v>221.79</v>
      </c>
      <c r="G804" s="188">
        <v>226.44</v>
      </c>
      <c r="H804" s="187">
        <v>434.39</v>
      </c>
      <c r="I804" s="187">
        <v>51.71</v>
      </c>
    </row>
    <row r="805" spans="1:9" ht="15.75" customHeight="1" x14ac:dyDescent="0.25">
      <c r="A805" s="169">
        <v>42484</v>
      </c>
      <c r="B805" s="187">
        <v>253.82</v>
      </c>
      <c r="C805" s="187">
        <v>165.72</v>
      </c>
      <c r="D805" s="187">
        <v>191.94</v>
      </c>
      <c r="E805" s="187">
        <v>244.24</v>
      </c>
      <c r="F805" s="187">
        <v>223.89</v>
      </c>
      <c r="G805" s="188">
        <v>227.28</v>
      </c>
      <c r="H805" s="187">
        <v>435.84</v>
      </c>
      <c r="I805" s="187">
        <v>51.57</v>
      </c>
    </row>
    <row r="806" spans="1:9" ht="15.75" customHeight="1" x14ac:dyDescent="0.25">
      <c r="A806" s="169">
        <v>42491</v>
      </c>
      <c r="B806" s="187">
        <v>252.99</v>
      </c>
      <c r="C806" s="187">
        <v>165.82</v>
      </c>
      <c r="D806" s="187">
        <v>191.86</v>
      </c>
      <c r="E806" s="187">
        <v>244.5</v>
      </c>
      <c r="F806" s="187">
        <v>220.67</v>
      </c>
      <c r="G806" s="188">
        <v>223.34</v>
      </c>
      <c r="H806" s="187">
        <v>428.5</v>
      </c>
      <c r="I806" s="187">
        <v>51.47</v>
      </c>
    </row>
    <row r="807" spans="1:9" ht="15.75" customHeight="1" x14ac:dyDescent="0.25">
      <c r="A807" s="169">
        <v>42498</v>
      </c>
      <c r="B807" s="187">
        <v>247.84</v>
      </c>
      <c r="C807" s="187">
        <v>163.36000000000001</v>
      </c>
      <c r="D807" s="187">
        <v>191.41</v>
      </c>
      <c r="E807" s="187">
        <v>218.13</v>
      </c>
      <c r="F807" s="187">
        <v>222.21</v>
      </c>
      <c r="G807" s="188">
        <v>224.95</v>
      </c>
      <c r="H807" s="187">
        <v>427.15</v>
      </c>
      <c r="I807" s="187">
        <v>52.39</v>
      </c>
    </row>
    <row r="808" spans="1:9" ht="15.75" customHeight="1" x14ac:dyDescent="0.25">
      <c r="A808" s="169">
        <v>42505</v>
      </c>
      <c r="B808" s="187">
        <v>253.09</v>
      </c>
      <c r="C808" s="187">
        <v>166.19</v>
      </c>
      <c r="D808" s="187">
        <v>192.41</v>
      </c>
      <c r="E808" s="187">
        <v>220.08</v>
      </c>
      <c r="F808" s="187">
        <v>221.49</v>
      </c>
      <c r="G808" s="188">
        <v>225.84</v>
      </c>
      <c r="H808" s="187">
        <v>435.47</v>
      </c>
      <c r="I808" s="187">
        <v>52.43</v>
      </c>
    </row>
    <row r="809" spans="1:9" ht="15.75" customHeight="1" x14ac:dyDescent="0.25">
      <c r="A809" s="169">
        <v>42512</v>
      </c>
      <c r="B809" s="187">
        <v>257.63</v>
      </c>
      <c r="C809" s="187">
        <v>166.42</v>
      </c>
      <c r="D809" s="187">
        <v>201.77</v>
      </c>
      <c r="E809" s="187">
        <v>223.28</v>
      </c>
      <c r="F809" s="187">
        <v>221.18</v>
      </c>
      <c r="G809" s="188">
        <v>224.34</v>
      </c>
      <c r="H809" s="187">
        <v>425.94</v>
      </c>
      <c r="I809" s="187">
        <v>53.76</v>
      </c>
    </row>
    <row r="810" spans="1:9" ht="15.75" customHeight="1" x14ac:dyDescent="0.25">
      <c r="A810" s="169">
        <v>42519</v>
      </c>
      <c r="B810" s="187">
        <v>263.54000000000002</v>
      </c>
      <c r="C810" s="187">
        <v>166.15</v>
      </c>
      <c r="D810" s="187">
        <v>205.07</v>
      </c>
      <c r="E810" s="187">
        <v>219.89</v>
      </c>
      <c r="F810" s="187">
        <v>220.52</v>
      </c>
      <c r="G810" s="188">
        <v>224.48</v>
      </c>
      <c r="H810" s="187">
        <v>427.75</v>
      </c>
      <c r="I810" s="187">
        <v>53.76</v>
      </c>
    </row>
    <row r="811" spans="1:9" ht="15.75" customHeight="1" x14ac:dyDescent="0.25">
      <c r="A811" s="169">
        <v>42526</v>
      </c>
      <c r="B811" s="187">
        <v>270.76</v>
      </c>
      <c r="C811" s="187">
        <v>169.18</v>
      </c>
      <c r="D811" s="187">
        <v>209</v>
      </c>
      <c r="E811" s="187">
        <v>221.97</v>
      </c>
      <c r="F811" s="187">
        <v>223.2</v>
      </c>
      <c r="G811" s="188">
        <v>227.02</v>
      </c>
      <c r="H811" s="187">
        <v>431.27</v>
      </c>
      <c r="I811" s="187">
        <v>55.7</v>
      </c>
    </row>
    <row r="812" spans="1:9" ht="15.75" customHeight="1" x14ac:dyDescent="0.25">
      <c r="A812" s="169">
        <v>42533</v>
      </c>
      <c r="B812" s="187">
        <v>276.58999999999997</v>
      </c>
      <c r="C812" s="187">
        <v>170.22</v>
      </c>
      <c r="D812" s="187">
        <v>206.46</v>
      </c>
      <c r="E812" s="187">
        <v>217.25</v>
      </c>
      <c r="F812" s="187">
        <v>228.46</v>
      </c>
      <c r="G812" s="188">
        <v>229.1</v>
      </c>
      <c r="H812" s="187">
        <v>426.14</v>
      </c>
      <c r="I812" s="187">
        <v>56.83</v>
      </c>
    </row>
    <row r="813" spans="1:9" ht="15.75" customHeight="1" x14ac:dyDescent="0.25">
      <c r="A813" s="169">
        <v>42540</v>
      </c>
      <c r="B813" s="187">
        <v>280.92</v>
      </c>
      <c r="C813" s="187">
        <v>170.53</v>
      </c>
      <c r="D813" s="187">
        <v>214.12</v>
      </c>
      <c r="E813" s="187">
        <v>215.18</v>
      </c>
      <c r="F813" s="187">
        <v>233.21</v>
      </c>
      <c r="G813" s="188">
        <v>229.94</v>
      </c>
      <c r="H813" s="187">
        <v>415.09</v>
      </c>
      <c r="I813" s="187">
        <v>57.12</v>
      </c>
    </row>
    <row r="814" spans="1:9" ht="15.75" customHeight="1" x14ac:dyDescent="0.25">
      <c r="A814" s="169">
        <v>42547</v>
      </c>
      <c r="B814" s="187">
        <v>291.17</v>
      </c>
      <c r="C814" s="187">
        <v>170.48</v>
      </c>
      <c r="D814" s="187">
        <v>213.55</v>
      </c>
      <c r="E814" s="187">
        <v>215.8</v>
      </c>
      <c r="F814" s="187">
        <v>235.13</v>
      </c>
      <c r="G814" s="188">
        <v>230.73</v>
      </c>
      <c r="H814" s="187">
        <v>408.67</v>
      </c>
      <c r="I814" s="187">
        <v>55.38</v>
      </c>
    </row>
    <row r="815" spans="1:9" ht="15.75" customHeight="1" x14ac:dyDescent="0.25">
      <c r="A815" s="169">
        <v>42554</v>
      </c>
      <c r="B815" s="187">
        <v>300.70999999999998</v>
      </c>
      <c r="C815" s="187">
        <v>171.8</v>
      </c>
      <c r="D815" s="187">
        <v>218.27</v>
      </c>
      <c r="E815" s="187">
        <v>216.78</v>
      </c>
      <c r="F815" s="187">
        <v>236.47</v>
      </c>
      <c r="G815" s="188">
        <v>229.32</v>
      </c>
      <c r="H815" s="187">
        <v>414.5</v>
      </c>
      <c r="I815" s="187">
        <v>57.09</v>
      </c>
    </row>
    <row r="816" spans="1:9" ht="15.75" customHeight="1" x14ac:dyDescent="0.25">
      <c r="A816" s="169">
        <v>42561</v>
      </c>
      <c r="B816" s="187">
        <v>304.01</v>
      </c>
      <c r="C816" s="187">
        <v>171.51</v>
      </c>
      <c r="D816" s="187">
        <v>218.44</v>
      </c>
      <c r="E816" s="187">
        <v>223.42</v>
      </c>
      <c r="F816" s="187">
        <v>246.69</v>
      </c>
      <c r="G816" s="188">
        <v>239.72</v>
      </c>
      <c r="H816" s="187">
        <v>428.11</v>
      </c>
      <c r="I816" s="187">
        <v>57.64</v>
      </c>
    </row>
    <row r="817" spans="1:9" ht="15.75" customHeight="1" x14ac:dyDescent="0.25">
      <c r="A817" s="169">
        <v>42568</v>
      </c>
      <c r="B817" s="187">
        <v>312.43</v>
      </c>
      <c r="C817" s="187">
        <v>176.95</v>
      </c>
      <c r="D817" s="187">
        <v>231.21</v>
      </c>
      <c r="E817" s="187">
        <v>229.73</v>
      </c>
      <c r="F817" s="187">
        <v>249.73</v>
      </c>
      <c r="G817" s="188">
        <v>240.28</v>
      </c>
      <c r="H817" s="187">
        <v>426.15</v>
      </c>
      <c r="I817" s="187">
        <v>57.72</v>
      </c>
    </row>
    <row r="818" spans="1:9" ht="15.75" customHeight="1" x14ac:dyDescent="0.25">
      <c r="A818" s="169">
        <v>42575</v>
      </c>
      <c r="B818" s="187">
        <v>304.88</v>
      </c>
      <c r="C818" s="187">
        <v>176.36</v>
      </c>
      <c r="D818" s="187">
        <v>233.37</v>
      </c>
      <c r="E818" s="187">
        <v>224.9</v>
      </c>
      <c r="F818" s="187">
        <v>253.68</v>
      </c>
      <c r="G818" s="188">
        <v>244.15</v>
      </c>
      <c r="H818" s="187">
        <v>426.11</v>
      </c>
      <c r="I818" s="187">
        <v>60.63</v>
      </c>
    </row>
    <row r="819" spans="1:9" ht="15.75" customHeight="1" x14ac:dyDescent="0.25">
      <c r="A819" s="169">
        <v>42582</v>
      </c>
      <c r="B819" s="187">
        <v>316.42</v>
      </c>
      <c r="C819" s="187">
        <v>176.79</v>
      </c>
      <c r="D819" s="187">
        <v>233.82</v>
      </c>
      <c r="E819" s="187">
        <v>226.99</v>
      </c>
      <c r="F819" s="187">
        <v>258.24</v>
      </c>
      <c r="G819" s="188">
        <v>245.79</v>
      </c>
      <c r="H819" s="187">
        <v>417.18</v>
      </c>
      <c r="I819" s="187">
        <v>63.92</v>
      </c>
    </row>
    <row r="820" spans="1:9" ht="15.75" customHeight="1" x14ac:dyDescent="0.25">
      <c r="A820" s="169">
        <v>42589</v>
      </c>
      <c r="B820" s="187">
        <v>322.85000000000002</v>
      </c>
      <c r="C820" s="187">
        <v>173.9</v>
      </c>
      <c r="D820" s="187">
        <v>224.33</v>
      </c>
      <c r="E820" s="187">
        <v>231.61</v>
      </c>
      <c r="F820" s="187">
        <v>263.10000000000002</v>
      </c>
      <c r="G820" s="188">
        <v>254.18</v>
      </c>
      <c r="H820" s="187">
        <v>425.82</v>
      </c>
      <c r="I820" s="187">
        <v>67.37</v>
      </c>
    </row>
    <row r="821" spans="1:9" ht="15.75" customHeight="1" x14ac:dyDescent="0.25">
      <c r="A821" s="169">
        <v>42596</v>
      </c>
      <c r="B821" s="187">
        <v>327.44</v>
      </c>
      <c r="C821" s="187">
        <v>178.63</v>
      </c>
      <c r="D821" s="187">
        <v>229.21</v>
      </c>
      <c r="E821" s="187">
        <v>235.4</v>
      </c>
      <c r="F821" s="187">
        <v>271.22000000000003</v>
      </c>
      <c r="G821" s="188">
        <v>258.27999999999997</v>
      </c>
      <c r="H821" s="187">
        <v>419.64</v>
      </c>
      <c r="I821" s="187">
        <v>64.88</v>
      </c>
    </row>
    <row r="822" spans="1:9" ht="15.75" customHeight="1" x14ac:dyDescent="0.25">
      <c r="A822" s="169">
        <v>42603</v>
      </c>
      <c r="B822" s="187">
        <v>334.32</v>
      </c>
      <c r="C822" s="187">
        <v>179.69</v>
      </c>
      <c r="D822" s="187">
        <v>230.32</v>
      </c>
      <c r="E822" s="187">
        <v>238.1</v>
      </c>
      <c r="F822" s="187">
        <v>280.48</v>
      </c>
      <c r="G822" s="188">
        <v>262.73</v>
      </c>
      <c r="H822" s="187">
        <v>426.95</v>
      </c>
      <c r="I822" s="187">
        <v>71.760000000000005</v>
      </c>
    </row>
    <row r="823" spans="1:9" ht="15.75" customHeight="1" x14ac:dyDescent="0.25">
      <c r="A823" s="169">
        <v>42610</v>
      </c>
      <c r="B823" s="187">
        <v>341.73</v>
      </c>
      <c r="C823" s="187">
        <v>182.96</v>
      </c>
      <c r="D823" s="187">
        <v>244.48</v>
      </c>
      <c r="E823" s="187">
        <v>238.14</v>
      </c>
      <c r="F823" s="187">
        <v>275.61</v>
      </c>
      <c r="G823" s="188">
        <v>266.14999999999998</v>
      </c>
      <c r="H823" s="187">
        <v>431.5</v>
      </c>
      <c r="I823" s="187">
        <v>72.930000000000007</v>
      </c>
    </row>
    <row r="824" spans="1:9" ht="15.75" customHeight="1" x14ac:dyDescent="0.25">
      <c r="A824" s="169">
        <v>42617</v>
      </c>
      <c r="B824" s="187">
        <v>355.44</v>
      </c>
      <c r="C824" s="187">
        <v>187.77</v>
      </c>
      <c r="D824" s="187">
        <v>251.34</v>
      </c>
      <c r="E824" s="187">
        <v>251.13</v>
      </c>
      <c r="F824" s="187">
        <v>279.12</v>
      </c>
      <c r="G824" s="188">
        <v>267.14</v>
      </c>
      <c r="H824" s="187">
        <v>426.03</v>
      </c>
      <c r="I824" s="187">
        <v>77.17</v>
      </c>
    </row>
    <row r="825" spans="1:9" ht="15.75" customHeight="1" x14ac:dyDescent="0.25">
      <c r="A825" s="169">
        <v>42624</v>
      </c>
      <c r="B825" s="187">
        <v>374.01</v>
      </c>
      <c r="C825" s="187">
        <v>191.19</v>
      </c>
      <c r="D825" s="187">
        <v>253.97</v>
      </c>
      <c r="E825" s="187">
        <v>253.01</v>
      </c>
      <c r="F825" s="187">
        <v>288.01</v>
      </c>
      <c r="G825" s="188">
        <v>276.85000000000002</v>
      </c>
      <c r="H825" s="187">
        <v>425.14</v>
      </c>
      <c r="I825" s="187">
        <v>82.16</v>
      </c>
    </row>
    <row r="826" spans="1:9" ht="15.75" customHeight="1" x14ac:dyDescent="0.25">
      <c r="A826" s="169">
        <v>42631</v>
      </c>
      <c r="B826" s="187">
        <v>374.77</v>
      </c>
      <c r="C826" s="187">
        <v>193.5</v>
      </c>
      <c r="D826" s="187">
        <v>256.08999999999997</v>
      </c>
      <c r="E826" s="187">
        <v>254.5</v>
      </c>
      <c r="F826" s="187">
        <v>291.33</v>
      </c>
      <c r="G826" s="188">
        <v>278.54000000000002</v>
      </c>
      <c r="H826" s="187">
        <v>425.56</v>
      </c>
      <c r="I826" s="187">
        <v>81.69</v>
      </c>
    </row>
    <row r="827" spans="1:9" ht="15.75" customHeight="1" x14ac:dyDescent="0.25">
      <c r="A827" s="169">
        <v>42638</v>
      </c>
      <c r="B827" s="187">
        <v>390.31</v>
      </c>
      <c r="C827" s="187">
        <v>196.96</v>
      </c>
      <c r="D827" s="187">
        <v>267.27999999999997</v>
      </c>
      <c r="E827" s="187">
        <v>256.12</v>
      </c>
      <c r="F827" s="187">
        <v>299.14999999999998</v>
      </c>
      <c r="G827" s="188">
        <v>281.41000000000003</v>
      </c>
      <c r="H827" s="187">
        <v>425.56</v>
      </c>
      <c r="I827" s="187">
        <v>85.15</v>
      </c>
    </row>
    <row r="828" spans="1:9" ht="15.75" customHeight="1" x14ac:dyDescent="0.25">
      <c r="A828" s="169">
        <v>42645</v>
      </c>
      <c r="B828" s="187">
        <v>399.06</v>
      </c>
      <c r="C828" s="187">
        <v>201.1</v>
      </c>
      <c r="D828" s="187">
        <v>268.8</v>
      </c>
      <c r="E828" s="187">
        <v>265.82</v>
      </c>
      <c r="F828" s="187">
        <v>300.20999999999998</v>
      </c>
      <c r="G828" s="188">
        <v>285.01</v>
      </c>
      <c r="H828" s="187">
        <v>422.65</v>
      </c>
      <c r="I828" s="187">
        <v>85.41</v>
      </c>
    </row>
    <row r="829" spans="1:9" ht="15.75" customHeight="1" x14ac:dyDescent="0.25">
      <c r="A829" s="169">
        <v>42652</v>
      </c>
      <c r="B829" s="187">
        <v>406.7</v>
      </c>
      <c r="C829" s="187">
        <v>202.63</v>
      </c>
      <c r="D829" s="187">
        <v>270.2</v>
      </c>
      <c r="E829" s="187">
        <v>266.57</v>
      </c>
      <c r="F829" s="187">
        <v>309.39999999999998</v>
      </c>
      <c r="G829" s="188">
        <v>289.20999999999998</v>
      </c>
      <c r="H829" s="187">
        <v>413.31</v>
      </c>
      <c r="I829" s="187">
        <v>85.65</v>
      </c>
    </row>
    <row r="830" spans="1:9" ht="15.75" customHeight="1" x14ac:dyDescent="0.25">
      <c r="A830" s="169">
        <v>42659</v>
      </c>
      <c r="B830" s="187">
        <v>410.83</v>
      </c>
      <c r="C830" s="187">
        <v>202.6</v>
      </c>
      <c r="D830" s="187">
        <v>276.04000000000002</v>
      </c>
      <c r="E830" s="187">
        <v>269.86</v>
      </c>
      <c r="F830" s="187">
        <v>316.13</v>
      </c>
      <c r="G830" s="188">
        <v>296.88</v>
      </c>
      <c r="H830" s="187">
        <v>424.4</v>
      </c>
      <c r="I830" s="187">
        <v>84.64</v>
      </c>
    </row>
    <row r="831" spans="1:9" ht="15.75" customHeight="1" x14ac:dyDescent="0.25">
      <c r="A831" s="169">
        <v>42666</v>
      </c>
      <c r="B831" s="187">
        <v>407.94</v>
      </c>
      <c r="C831" s="187">
        <v>203.11</v>
      </c>
      <c r="D831" s="187">
        <v>270.60000000000002</v>
      </c>
      <c r="E831" s="187">
        <v>269.13</v>
      </c>
      <c r="F831" s="187">
        <v>318.83999999999997</v>
      </c>
      <c r="G831" s="188">
        <v>293.52999999999997</v>
      </c>
      <c r="H831" s="187">
        <v>425.68</v>
      </c>
      <c r="I831" s="187">
        <v>85.61</v>
      </c>
    </row>
    <row r="832" spans="1:9" ht="15.75" customHeight="1" x14ac:dyDescent="0.25">
      <c r="A832" s="169">
        <v>42673</v>
      </c>
      <c r="B832" s="187">
        <v>411.72</v>
      </c>
      <c r="C832" s="187">
        <v>201.28</v>
      </c>
      <c r="D832" s="187">
        <v>276.57</v>
      </c>
      <c r="E832" s="187">
        <v>279.39999999999998</v>
      </c>
      <c r="F832" s="187">
        <v>319.87</v>
      </c>
      <c r="G832" s="188">
        <v>299.11</v>
      </c>
      <c r="H832" s="187">
        <v>429.95</v>
      </c>
      <c r="I832" s="187">
        <v>83.97</v>
      </c>
    </row>
    <row r="833" spans="1:9" ht="15.75" customHeight="1" x14ac:dyDescent="0.25">
      <c r="A833" s="169">
        <v>42680</v>
      </c>
      <c r="B833" s="187">
        <v>411.77</v>
      </c>
      <c r="C833" s="187">
        <v>200.55</v>
      </c>
      <c r="D833" s="187">
        <v>277.8</v>
      </c>
      <c r="E833" s="187">
        <v>274.64999999999998</v>
      </c>
      <c r="F833" s="187">
        <v>326.88</v>
      </c>
      <c r="G833" s="188">
        <v>309.82</v>
      </c>
      <c r="H833" s="187">
        <v>431.48</v>
      </c>
      <c r="I833" s="187">
        <v>80.56</v>
      </c>
    </row>
    <row r="834" spans="1:9" ht="15.75" customHeight="1" x14ac:dyDescent="0.25">
      <c r="A834" s="169">
        <v>42687</v>
      </c>
      <c r="B834" s="187">
        <v>413.98</v>
      </c>
      <c r="C834" s="187">
        <v>201.5</v>
      </c>
      <c r="D834" s="187">
        <v>284.42</v>
      </c>
      <c r="E834" s="187">
        <v>278.60000000000002</v>
      </c>
      <c r="F834" s="187">
        <v>336.98</v>
      </c>
      <c r="G834" s="188">
        <v>317.44</v>
      </c>
      <c r="H834" s="187">
        <v>426.36</v>
      </c>
      <c r="I834" s="187">
        <v>81.540000000000006</v>
      </c>
    </row>
    <row r="835" spans="1:9" ht="15.75" customHeight="1" x14ac:dyDescent="0.25">
      <c r="A835" s="169">
        <v>42694</v>
      </c>
      <c r="B835" s="187">
        <v>416.44</v>
      </c>
      <c r="C835" s="187">
        <v>200.12</v>
      </c>
      <c r="D835" s="187">
        <v>294.52999999999997</v>
      </c>
      <c r="E835" s="187">
        <v>274.87</v>
      </c>
      <c r="F835" s="187">
        <v>335.92</v>
      </c>
      <c r="G835" s="188">
        <v>315.47000000000003</v>
      </c>
      <c r="H835" s="187">
        <v>430.96</v>
      </c>
      <c r="I835" s="187">
        <v>81.48</v>
      </c>
    </row>
    <row r="836" spans="1:9" ht="15.75" customHeight="1" x14ac:dyDescent="0.25">
      <c r="A836" s="169">
        <v>42701</v>
      </c>
      <c r="B836" s="187">
        <v>420.53</v>
      </c>
      <c r="C836" s="187">
        <v>199.41</v>
      </c>
      <c r="D836" s="187">
        <v>299.95</v>
      </c>
      <c r="E836" s="187">
        <v>273.08999999999997</v>
      </c>
      <c r="F836" s="187">
        <v>338.23</v>
      </c>
      <c r="G836" s="188">
        <v>312.99</v>
      </c>
      <c r="H836" s="187">
        <v>435.95</v>
      </c>
      <c r="I836" s="187">
        <v>82.57</v>
      </c>
    </row>
    <row r="837" spans="1:9" ht="15.75" customHeight="1" x14ac:dyDescent="0.25">
      <c r="A837" s="169">
        <v>42708</v>
      </c>
      <c r="B837" s="187">
        <v>421.25</v>
      </c>
      <c r="C837" s="187">
        <v>200.94</v>
      </c>
      <c r="D837" s="187">
        <v>294.42</v>
      </c>
      <c r="E837" s="187">
        <v>278.06</v>
      </c>
      <c r="F837" s="187">
        <v>336.1</v>
      </c>
      <c r="G837" s="188">
        <v>316.27</v>
      </c>
      <c r="H837" s="187">
        <v>432.47</v>
      </c>
      <c r="I837" s="187">
        <v>82.59</v>
      </c>
    </row>
    <row r="838" spans="1:9" ht="15.75" customHeight="1" x14ac:dyDescent="0.25">
      <c r="A838" s="169">
        <v>42715</v>
      </c>
      <c r="B838" s="187">
        <v>423.57</v>
      </c>
      <c r="C838" s="187">
        <v>203.31</v>
      </c>
      <c r="D838" s="187">
        <v>307.63</v>
      </c>
      <c r="E838" s="187">
        <v>279.58</v>
      </c>
      <c r="F838" s="187">
        <v>340.36</v>
      </c>
      <c r="G838" s="188">
        <v>320.25</v>
      </c>
      <c r="H838" s="187">
        <v>438.98</v>
      </c>
      <c r="I838" s="187">
        <v>82.54</v>
      </c>
    </row>
    <row r="839" spans="1:9" ht="15.75" customHeight="1" x14ac:dyDescent="0.25">
      <c r="A839" s="169">
        <v>42722</v>
      </c>
      <c r="B839" s="187">
        <v>425.16</v>
      </c>
      <c r="C839" s="187">
        <v>207.89</v>
      </c>
      <c r="D839" s="187">
        <v>316.33</v>
      </c>
      <c r="E839" s="187">
        <v>285.82</v>
      </c>
      <c r="F839" s="187">
        <v>341.16</v>
      </c>
      <c r="G839" s="188">
        <v>318.38</v>
      </c>
      <c r="H839" s="187">
        <v>437.45</v>
      </c>
      <c r="I839" s="187">
        <v>84</v>
      </c>
    </row>
    <row r="840" spans="1:9" ht="15.75" customHeight="1" x14ac:dyDescent="0.25">
      <c r="A840" s="169">
        <v>42729</v>
      </c>
      <c r="B840" s="187">
        <v>429.64</v>
      </c>
      <c r="C840" s="187">
        <v>208.44</v>
      </c>
      <c r="D840" s="187">
        <v>308.72000000000003</v>
      </c>
      <c r="E840" s="187">
        <v>292.63</v>
      </c>
      <c r="F840" s="187">
        <v>339.01</v>
      </c>
      <c r="G840" s="188">
        <v>322.18</v>
      </c>
      <c r="H840" s="187">
        <v>442.31</v>
      </c>
      <c r="I840" s="187">
        <v>84.3</v>
      </c>
    </row>
    <row r="841" spans="1:9" ht="15.75" customHeight="1" x14ac:dyDescent="0.25">
      <c r="A841" s="169">
        <v>42736</v>
      </c>
      <c r="B841" s="187">
        <v>430.33</v>
      </c>
      <c r="C841" s="187">
        <v>209.24</v>
      </c>
      <c r="D841" s="187">
        <v>307.63</v>
      </c>
      <c r="E841" s="187">
        <v>293.73</v>
      </c>
      <c r="F841" s="187">
        <v>337.83</v>
      </c>
      <c r="G841" s="188">
        <v>316.35000000000002</v>
      </c>
      <c r="H841" s="187">
        <v>442.41</v>
      </c>
      <c r="I841" s="187">
        <v>84.94</v>
      </c>
    </row>
    <row r="842" spans="1:9" ht="15.75" customHeight="1" x14ac:dyDescent="0.25">
      <c r="A842" s="169">
        <v>42743</v>
      </c>
      <c r="B842" s="187">
        <v>428.6</v>
      </c>
      <c r="C842" s="187">
        <v>211.24</v>
      </c>
      <c r="D842" s="187">
        <v>307.98</v>
      </c>
      <c r="E842" s="187">
        <v>301.67</v>
      </c>
      <c r="F842" s="187">
        <v>334.27</v>
      </c>
      <c r="G842" s="188">
        <v>327.5</v>
      </c>
      <c r="H842" s="187">
        <v>450.43</v>
      </c>
      <c r="I842" s="187">
        <v>85.17</v>
      </c>
    </row>
    <row r="843" spans="1:9" ht="15.75" customHeight="1" x14ac:dyDescent="0.25">
      <c r="A843" s="169">
        <v>42750</v>
      </c>
      <c r="B843" s="187">
        <v>425.53</v>
      </c>
      <c r="C843" s="187">
        <v>211.52</v>
      </c>
      <c r="D843" s="187">
        <v>314.88</v>
      </c>
      <c r="E843" s="187">
        <v>295.33999999999997</v>
      </c>
      <c r="F843" s="187">
        <v>333.36</v>
      </c>
      <c r="G843" s="188">
        <v>325.72000000000003</v>
      </c>
      <c r="H843" s="187">
        <v>453.09</v>
      </c>
      <c r="I843" s="187">
        <v>86.17</v>
      </c>
    </row>
    <row r="844" spans="1:9" ht="15.75" customHeight="1" x14ac:dyDescent="0.25">
      <c r="A844" s="169">
        <v>42757</v>
      </c>
      <c r="B844" s="187">
        <v>423.94</v>
      </c>
      <c r="C844" s="187">
        <v>209.67</v>
      </c>
      <c r="D844" s="187">
        <v>311.68</v>
      </c>
      <c r="E844" s="187">
        <v>300.77999999999997</v>
      </c>
      <c r="F844" s="187">
        <v>333.11</v>
      </c>
      <c r="G844" s="188">
        <v>325.23</v>
      </c>
      <c r="H844" s="187">
        <v>436.4</v>
      </c>
      <c r="I844" s="187">
        <v>85.32</v>
      </c>
    </row>
    <row r="845" spans="1:9" ht="15.75" customHeight="1" x14ac:dyDescent="0.25">
      <c r="A845" s="169">
        <v>42764</v>
      </c>
      <c r="B845" s="187">
        <v>418.4</v>
      </c>
      <c r="C845" s="187">
        <v>205.92</v>
      </c>
      <c r="D845" s="187">
        <v>310.27999999999997</v>
      </c>
      <c r="E845" s="187">
        <v>297.8</v>
      </c>
      <c r="F845" s="187">
        <v>335.26</v>
      </c>
      <c r="G845" s="188">
        <v>321.76</v>
      </c>
      <c r="H845" s="187">
        <v>445.53</v>
      </c>
      <c r="I845" s="187">
        <v>85.51</v>
      </c>
    </row>
    <row r="846" spans="1:9" ht="15.75" customHeight="1" x14ac:dyDescent="0.25">
      <c r="A846" s="169">
        <v>42771</v>
      </c>
      <c r="B846" s="187">
        <v>412.83</v>
      </c>
      <c r="C846" s="187">
        <v>202.83</v>
      </c>
      <c r="D846" s="187">
        <v>304.95</v>
      </c>
      <c r="E846" s="187">
        <v>307.92</v>
      </c>
      <c r="F846" s="187">
        <v>332.83</v>
      </c>
      <c r="G846" s="188">
        <v>324.11</v>
      </c>
      <c r="H846" s="187">
        <v>451.56</v>
      </c>
      <c r="I846" s="187">
        <v>86.4</v>
      </c>
    </row>
    <row r="847" spans="1:9" ht="15.75" customHeight="1" x14ac:dyDescent="0.25">
      <c r="A847" s="169">
        <v>42778</v>
      </c>
      <c r="B847" s="187">
        <v>413.03</v>
      </c>
      <c r="C847" s="187">
        <v>199.56</v>
      </c>
      <c r="D847" s="187">
        <v>303.55</v>
      </c>
      <c r="E847" s="187">
        <v>306.05</v>
      </c>
      <c r="F847" s="187">
        <v>329.37</v>
      </c>
      <c r="G847" s="188">
        <v>318.86</v>
      </c>
      <c r="H847" s="187">
        <v>444.04</v>
      </c>
      <c r="I847" s="187">
        <v>85.75</v>
      </c>
    </row>
    <row r="848" spans="1:9" ht="15.75" customHeight="1" x14ac:dyDescent="0.25">
      <c r="A848" s="169">
        <v>42785</v>
      </c>
      <c r="B848" s="187">
        <v>408.71</v>
      </c>
      <c r="C848" s="187">
        <v>199.75</v>
      </c>
      <c r="D848" s="187">
        <v>300.22000000000003</v>
      </c>
      <c r="E848" s="187">
        <v>304.82</v>
      </c>
      <c r="F848" s="187">
        <v>322.60000000000002</v>
      </c>
      <c r="G848" s="188">
        <v>319.24</v>
      </c>
      <c r="H848" s="187">
        <v>446.98</v>
      </c>
      <c r="I848" s="187">
        <v>86.77</v>
      </c>
    </row>
    <row r="849" spans="1:9" ht="15.75" customHeight="1" x14ac:dyDescent="0.25">
      <c r="A849" s="169">
        <v>42792</v>
      </c>
      <c r="B849" s="187">
        <v>409.32</v>
      </c>
      <c r="C849" s="187">
        <v>193.64</v>
      </c>
      <c r="D849" s="187">
        <v>298.24</v>
      </c>
      <c r="E849" s="187">
        <v>305.91000000000003</v>
      </c>
      <c r="F849" s="187">
        <v>322.01</v>
      </c>
      <c r="G849" s="188">
        <v>320.22000000000003</v>
      </c>
      <c r="H849" s="187">
        <v>449.73</v>
      </c>
      <c r="I849" s="187">
        <v>88.62</v>
      </c>
    </row>
    <row r="850" spans="1:9" ht="15.75" customHeight="1" x14ac:dyDescent="0.25">
      <c r="A850" s="169">
        <v>42799</v>
      </c>
      <c r="B850" s="187">
        <v>410.4</v>
      </c>
      <c r="C850" s="187">
        <v>191.77</v>
      </c>
      <c r="D850" s="187">
        <v>292.29000000000002</v>
      </c>
      <c r="E850" s="187">
        <v>321.91000000000003</v>
      </c>
      <c r="F850" s="187">
        <v>323.55</v>
      </c>
      <c r="G850" s="188">
        <v>318.08</v>
      </c>
      <c r="H850" s="187">
        <v>471.36</v>
      </c>
      <c r="I850" s="187">
        <v>88.43</v>
      </c>
    </row>
    <row r="851" spans="1:9" ht="15.75" customHeight="1" x14ac:dyDescent="0.25">
      <c r="A851" s="169">
        <v>42806</v>
      </c>
      <c r="B851" s="187">
        <v>409.93</v>
      </c>
      <c r="C851" s="187">
        <v>186.68</v>
      </c>
      <c r="D851" s="187">
        <v>289.56</v>
      </c>
      <c r="E851" s="187">
        <v>321.43</v>
      </c>
      <c r="F851" s="187">
        <v>319.89999999999998</v>
      </c>
      <c r="G851" s="188">
        <v>320.57</v>
      </c>
      <c r="H851" s="187">
        <v>441.39</v>
      </c>
      <c r="I851" s="187">
        <v>88.49</v>
      </c>
    </row>
    <row r="852" spans="1:9" ht="15.75" customHeight="1" x14ac:dyDescent="0.25">
      <c r="A852" s="169">
        <v>42813</v>
      </c>
      <c r="B852" s="187">
        <v>413.6</v>
      </c>
      <c r="C852" s="187">
        <v>178.68</v>
      </c>
      <c r="D852" s="187">
        <v>277.27</v>
      </c>
      <c r="E852" s="187">
        <v>321.32</v>
      </c>
      <c r="F852" s="187">
        <v>318.79000000000002</v>
      </c>
      <c r="G852" s="188">
        <v>320.26</v>
      </c>
      <c r="H852" s="187">
        <v>448.75</v>
      </c>
      <c r="I852" s="187">
        <v>88.71</v>
      </c>
    </row>
    <row r="853" spans="1:9" ht="15.75" customHeight="1" x14ac:dyDescent="0.25">
      <c r="A853" s="169">
        <v>42820</v>
      </c>
      <c r="B853" s="187">
        <v>419.62</v>
      </c>
      <c r="C853" s="187">
        <v>177.8</v>
      </c>
      <c r="D853" s="187">
        <v>272.41000000000003</v>
      </c>
      <c r="E853" s="187">
        <v>322.05</v>
      </c>
      <c r="F853" s="187">
        <v>318.85000000000002</v>
      </c>
      <c r="G853" s="188">
        <v>319.64</v>
      </c>
      <c r="H853" s="187">
        <v>452.64</v>
      </c>
      <c r="I853" s="187">
        <v>88.75</v>
      </c>
    </row>
    <row r="854" spans="1:9" ht="15.75" customHeight="1" x14ac:dyDescent="0.25">
      <c r="A854" s="169">
        <v>42827</v>
      </c>
      <c r="B854" s="187">
        <v>422.35</v>
      </c>
      <c r="C854" s="187">
        <v>177.84</v>
      </c>
      <c r="D854" s="187">
        <v>274.73</v>
      </c>
      <c r="E854" s="187">
        <v>321.56</v>
      </c>
      <c r="F854" s="187">
        <v>317.08</v>
      </c>
      <c r="G854" s="188">
        <v>319.89999999999998</v>
      </c>
      <c r="H854" s="187">
        <v>448.94</v>
      </c>
      <c r="I854" s="187">
        <v>90.29</v>
      </c>
    </row>
    <row r="855" spans="1:9" ht="15.75" customHeight="1" x14ac:dyDescent="0.25">
      <c r="A855" s="169">
        <v>42834</v>
      </c>
      <c r="B855" s="187">
        <v>424.96</v>
      </c>
      <c r="C855" s="187">
        <v>176.88</v>
      </c>
      <c r="D855" s="187">
        <v>273.54000000000002</v>
      </c>
      <c r="E855" s="187">
        <v>319.86</v>
      </c>
      <c r="F855" s="187">
        <v>316.68</v>
      </c>
      <c r="G855" s="188">
        <v>315.57</v>
      </c>
      <c r="H855" s="187">
        <v>451.62</v>
      </c>
      <c r="I855" s="187">
        <v>90.85</v>
      </c>
    </row>
    <row r="856" spans="1:9" ht="15.75" customHeight="1" x14ac:dyDescent="0.25">
      <c r="A856" s="169">
        <v>42841</v>
      </c>
      <c r="B856" s="187">
        <v>427.03</v>
      </c>
      <c r="C856" s="187">
        <v>175.45</v>
      </c>
      <c r="D856" s="187">
        <v>273.11</v>
      </c>
      <c r="E856" s="187">
        <v>318.64</v>
      </c>
      <c r="F856" s="187">
        <v>312.52999999999997</v>
      </c>
      <c r="G856" s="188">
        <v>318.61</v>
      </c>
      <c r="H856" s="187">
        <v>452.3</v>
      </c>
      <c r="I856" s="187">
        <v>90.67</v>
      </c>
    </row>
    <row r="857" spans="1:9" ht="15.75" customHeight="1" x14ac:dyDescent="0.25">
      <c r="A857" s="169">
        <v>42848</v>
      </c>
      <c r="B857" s="187">
        <v>430.06</v>
      </c>
      <c r="C857" s="187">
        <v>175.1</v>
      </c>
      <c r="D857" s="187">
        <v>272.38</v>
      </c>
      <c r="E857" s="187">
        <v>319.98</v>
      </c>
      <c r="F857" s="187">
        <v>314.66000000000003</v>
      </c>
      <c r="G857" s="188">
        <v>316.48</v>
      </c>
      <c r="H857" s="187">
        <v>448.42</v>
      </c>
      <c r="I857" s="187">
        <v>91.18</v>
      </c>
    </row>
    <row r="858" spans="1:9" ht="15.75" customHeight="1" x14ac:dyDescent="0.25">
      <c r="A858" s="169">
        <v>42855</v>
      </c>
      <c r="B858" s="187">
        <v>432.49</v>
      </c>
      <c r="C858" s="187">
        <v>175.88</v>
      </c>
      <c r="D858" s="187">
        <v>274.74</v>
      </c>
      <c r="E858" s="187">
        <v>318.76</v>
      </c>
      <c r="F858" s="187">
        <v>309.87</v>
      </c>
      <c r="G858" s="188">
        <v>315.85000000000002</v>
      </c>
      <c r="H858" s="187">
        <v>456.13</v>
      </c>
      <c r="I858" s="187">
        <v>91.28</v>
      </c>
    </row>
    <row r="859" spans="1:9" ht="15.75" customHeight="1" x14ac:dyDescent="0.25">
      <c r="A859" s="169">
        <v>42862</v>
      </c>
      <c r="B859" s="187">
        <v>439.85</v>
      </c>
      <c r="C859" s="187">
        <v>177.81</v>
      </c>
      <c r="D859" s="187">
        <v>280.24</v>
      </c>
      <c r="E859" s="187">
        <v>317.22000000000003</v>
      </c>
      <c r="F859" s="187">
        <v>313.48</v>
      </c>
      <c r="G859" s="188">
        <v>313.58</v>
      </c>
      <c r="H859" s="187">
        <v>451.16</v>
      </c>
      <c r="I859" s="187">
        <v>92.4</v>
      </c>
    </row>
    <row r="860" spans="1:9" ht="15.75" customHeight="1" x14ac:dyDescent="0.25">
      <c r="A860" s="169">
        <v>42869</v>
      </c>
      <c r="B860" s="187">
        <v>448.07</v>
      </c>
      <c r="C860" s="187">
        <v>179.24</v>
      </c>
      <c r="D860" s="187">
        <v>284.06</v>
      </c>
      <c r="E860" s="187">
        <v>317.85000000000002</v>
      </c>
      <c r="F860" s="187">
        <v>313.64999999999998</v>
      </c>
      <c r="G860" s="188">
        <v>314.61</v>
      </c>
      <c r="H860" s="187">
        <v>452.86</v>
      </c>
      <c r="I860" s="187">
        <v>94.55</v>
      </c>
    </row>
    <row r="861" spans="1:9" ht="15.75" customHeight="1" x14ac:dyDescent="0.25">
      <c r="A861" s="169">
        <v>42876</v>
      </c>
      <c r="B861" s="187">
        <v>470.25</v>
      </c>
      <c r="C861" s="187">
        <v>184.64</v>
      </c>
      <c r="D861" s="187">
        <v>291.77999999999997</v>
      </c>
      <c r="E861" s="187">
        <v>318.60000000000002</v>
      </c>
      <c r="F861" s="187">
        <v>315.99</v>
      </c>
      <c r="G861" s="188">
        <v>315.76</v>
      </c>
      <c r="H861" s="187">
        <v>460.61</v>
      </c>
      <c r="I861" s="187">
        <v>96.03</v>
      </c>
    </row>
    <row r="862" spans="1:9" ht="15.75" customHeight="1" x14ac:dyDescent="0.25">
      <c r="A862" s="169">
        <v>42883</v>
      </c>
      <c r="B862" s="187">
        <v>484.7</v>
      </c>
      <c r="C862" s="187">
        <v>188.71</v>
      </c>
      <c r="D862" s="187">
        <v>292.91000000000003</v>
      </c>
      <c r="E862" s="187">
        <v>318.60000000000002</v>
      </c>
      <c r="F862" s="187">
        <v>320.60000000000002</v>
      </c>
      <c r="G862" s="188">
        <v>319.08</v>
      </c>
      <c r="H862" s="187">
        <v>456.97</v>
      </c>
      <c r="I862" s="187">
        <v>95.06</v>
      </c>
    </row>
    <row r="863" spans="1:9" ht="15.75" customHeight="1" x14ac:dyDescent="0.25">
      <c r="A863" s="169">
        <v>42890</v>
      </c>
      <c r="B863" s="187">
        <v>496.25</v>
      </c>
      <c r="C863" s="187">
        <v>192.19</v>
      </c>
      <c r="D863" s="187">
        <v>299.77999999999997</v>
      </c>
      <c r="E863" s="187">
        <v>317.42</v>
      </c>
      <c r="F863" s="187">
        <v>319.54000000000002</v>
      </c>
      <c r="G863" s="188">
        <v>317.29000000000002</v>
      </c>
      <c r="H863" s="187">
        <v>456.01</v>
      </c>
      <c r="I863" s="187">
        <v>96.39</v>
      </c>
    </row>
    <row r="864" spans="1:9" ht="15.75" customHeight="1" x14ac:dyDescent="0.25">
      <c r="A864" s="169">
        <v>42897</v>
      </c>
      <c r="B864" s="187">
        <v>505.61</v>
      </c>
      <c r="C864" s="187">
        <v>194.56</v>
      </c>
      <c r="D864" s="187">
        <v>299.86</v>
      </c>
      <c r="E864" s="187">
        <v>319.26</v>
      </c>
      <c r="F864" s="187">
        <v>324.02999999999997</v>
      </c>
      <c r="G864" s="188">
        <v>319.72000000000003</v>
      </c>
      <c r="H864" s="187">
        <v>455.65</v>
      </c>
      <c r="I864" s="187">
        <v>95.24</v>
      </c>
    </row>
    <row r="865" spans="1:9" ht="15.75" customHeight="1" x14ac:dyDescent="0.25">
      <c r="A865" s="169">
        <v>42904</v>
      </c>
      <c r="B865" s="187">
        <v>509.82</v>
      </c>
      <c r="C865" s="187">
        <v>199.84</v>
      </c>
      <c r="D865" s="187">
        <v>299.35000000000002</v>
      </c>
      <c r="E865" s="187">
        <v>320.25</v>
      </c>
      <c r="F865" s="187">
        <v>325.39</v>
      </c>
      <c r="G865" s="188">
        <v>321.79000000000002</v>
      </c>
      <c r="H865" s="187">
        <v>457.26</v>
      </c>
      <c r="I865" s="187">
        <v>93.39</v>
      </c>
    </row>
    <row r="866" spans="1:9" ht="15.75" customHeight="1" x14ac:dyDescent="0.25">
      <c r="A866" s="169">
        <v>42911</v>
      </c>
      <c r="B866" s="187">
        <v>531.09</v>
      </c>
      <c r="C866" s="187">
        <v>191.69</v>
      </c>
      <c r="D866" s="187">
        <v>302.01</v>
      </c>
      <c r="E866" s="187">
        <v>322.5</v>
      </c>
      <c r="F866" s="187">
        <v>331.45</v>
      </c>
      <c r="G866" s="188">
        <v>326.37</v>
      </c>
      <c r="H866" s="187">
        <v>454.68</v>
      </c>
      <c r="I866" s="187">
        <v>94.04</v>
      </c>
    </row>
    <row r="867" spans="1:9" ht="15.75" customHeight="1" x14ac:dyDescent="0.25">
      <c r="A867" s="169">
        <v>42918</v>
      </c>
      <c r="B867" s="187">
        <v>551.29</v>
      </c>
      <c r="C867" s="187">
        <v>189.43</v>
      </c>
      <c r="D867" s="187">
        <v>299.8</v>
      </c>
      <c r="E867" s="187">
        <v>326.23</v>
      </c>
      <c r="F867" s="187">
        <v>332.89</v>
      </c>
      <c r="G867" s="188">
        <v>325.29000000000002</v>
      </c>
      <c r="H867" s="187">
        <v>471.19</v>
      </c>
      <c r="I867" s="187">
        <v>93.31</v>
      </c>
    </row>
    <row r="868" spans="1:9" ht="15.75" customHeight="1" x14ac:dyDescent="0.25">
      <c r="A868" s="169">
        <v>42925</v>
      </c>
      <c r="B868" s="187">
        <v>567.24</v>
      </c>
      <c r="C868" s="187">
        <v>184.51</v>
      </c>
      <c r="D868" s="187">
        <v>299.07</v>
      </c>
      <c r="E868" s="187">
        <v>324.98</v>
      </c>
      <c r="F868" s="187">
        <v>341.17</v>
      </c>
      <c r="G868" s="188">
        <v>335.03</v>
      </c>
      <c r="H868" s="187">
        <v>474.92</v>
      </c>
      <c r="I868" s="187">
        <v>91.13</v>
      </c>
    </row>
    <row r="869" spans="1:9" ht="15.75" customHeight="1" x14ac:dyDescent="0.25">
      <c r="A869" s="169">
        <v>42932</v>
      </c>
      <c r="B869" s="187">
        <v>576.47</v>
      </c>
      <c r="C869" s="187">
        <v>182.1</v>
      </c>
      <c r="D869" s="187">
        <v>298.85000000000002</v>
      </c>
      <c r="E869" s="187">
        <v>325.95999999999998</v>
      </c>
      <c r="F869" s="187">
        <v>343.89</v>
      </c>
      <c r="G869" s="188">
        <v>335.02</v>
      </c>
      <c r="H869" s="187">
        <v>462.47</v>
      </c>
      <c r="I869" s="187">
        <v>90.84</v>
      </c>
    </row>
    <row r="870" spans="1:9" ht="15.75" customHeight="1" x14ac:dyDescent="0.25">
      <c r="A870" s="169">
        <v>42939</v>
      </c>
      <c r="B870" s="187">
        <v>579.11</v>
      </c>
      <c r="C870" s="187">
        <v>180.59</v>
      </c>
      <c r="D870" s="187">
        <v>302.18</v>
      </c>
      <c r="E870" s="187">
        <v>325.95999999999998</v>
      </c>
      <c r="F870" s="187">
        <v>344.52</v>
      </c>
      <c r="G870" s="188">
        <v>335.67</v>
      </c>
      <c r="H870" s="187">
        <v>452.83</v>
      </c>
      <c r="I870" s="187">
        <v>88.06</v>
      </c>
    </row>
    <row r="871" spans="1:9" ht="15.75" customHeight="1" x14ac:dyDescent="0.25">
      <c r="A871" s="169">
        <v>42946</v>
      </c>
      <c r="B871" s="187">
        <v>585.73</v>
      </c>
      <c r="C871" s="187">
        <v>180.93</v>
      </c>
      <c r="D871" s="187">
        <v>305.98</v>
      </c>
      <c r="E871" s="187">
        <v>327.07</v>
      </c>
      <c r="F871" s="187">
        <v>346.89</v>
      </c>
      <c r="G871" s="188">
        <v>335.11</v>
      </c>
      <c r="H871" s="187">
        <v>466.08</v>
      </c>
      <c r="I871" s="187">
        <v>88.06</v>
      </c>
    </row>
    <row r="872" spans="1:9" ht="15.75" customHeight="1" x14ac:dyDescent="0.25">
      <c r="A872" s="169">
        <v>42953</v>
      </c>
      <c r="B872" s="187">
        <v>597.6</v>
      </c>
      <c r="C872" s="187">
        <v>178.33</v>
      </c>
      <c r="D872" s="187">
        <v>304.39999999999998</v>
      </c>
      <c r="E872" s="187">
        <v>328.55</v>
      </c>
      <c r="F872" s="187">
        <v>348.6</v>
      </c>
      <c r="G872" s="188">
        <v>340.05</v>
      </c>
      <c r="H872" s="187">
        <v>458.11</v>
      </c>
      <c r="I872" s="187">
        <v>85.74</v>
      </c>
    </row>
    <row r="873" spans="1:9" ht="15.75" customHeight="1" x14ac:dyDescent="0.25">
      <c r="A873" s="169">
        <v>42960</v>
      </c>
      <c r="B873" s="187">
        <v>603.70000000000005</v>
      </c>
      <c r="C873" s="187">
        <v>178.1</v>
      </c>
      <c r="D873" s="187">
        <v>306</v>
      </c>
      <c r="E873" s="187">
        <v>329.77</v>
      </c>
      <c r="F873" s="187">
        <v>350.48</v>
      </c>
      <c r="G873" s="188">
        <v>340.7</v>
      </c>
      <c r="H873" s="187">
        <v>462.02</v>
      </c>
      <c r="I873" s="187">
        <v>84.72</v>
      </c>
    </row>
    <row r="874" spans="1:9" ht="15.75" customHeight="1" x14ac:dyDescent="0.25">
      <c r="A874" s="169">
        <v>42967</v>
      </c>
      <c r="B874" s="187">
        <v>616.6</v>
      </c>
      <c r="C874" s="187">
        <v>174.63</v>
      </c>
      <c r="D874" s="187">
        <v>310.58</v>
      </c>
      <c r="E874" s="187">
        <v>329.71</v>
      </c>
      <c r="F874" s="187">
        <v>355.43</v>
      </c>
      <c r="G874" s="188">
        <v>342.04</v>
      </c>
      <c r="H874" s="187">
        <v>462.77</v>
      </c>
      <c r="I874" s="187">
        <v>83.79</v>
      </c>
    </row>
    <row r="875" spans="1:9" ht="15.75" customHeight="1" x14ac:dyDescent="0.25">
      <c r="A875" s="169">
        <v>42974</v>
      </c>
      <c r="B875" s="187">
        <v>622.88</v>
      </c>
      <c r="C875" s="187">
        <v>172.93</v>
      </c>
      <c r="D875" s="187">
        <v>310.01</v>
      </c>
      <c r="E875" s="187">
        <v>329.41</v>
      </c>
      <c r="F875" s="187">
        <v>355.9</v>
      </c>
      <c r="G875" s="188">
        <v>345.95</v>
      </c>
      <c r="H875" s="187">
        <v>465.15</v>
      </c>
      <c r="I875" s="187">
        <v>82.17</v>
      </c>
    </row>
    <row r="876" spans="1:9" ht="15.75" customHeight="1" x14ac:dyDescent="0.25">
      <c r="A876" s="169">
        <v>42981</v>
      </c>
      <c r="B876" s="187">
        <v>642.41999999999996</v>
      </c>
      <c r="C876" s="187">
        <v>169.67</v>
      </c>
      <c r="D876" s="187">
        <v>309.86</v>
      </c>
      <c r="E876" s="187">
        <v>329.71</v>
      </c>
      <c r="F876" s="187">
        <v>354.46</v>
      </c>
      <c r="G876" s="188">
        <v>342.06</v>
      </c>
      <c r="H876" s="187">
        <v>444.35</v>
      </c>
      <c r="I876" s="187">
        <v>81.209999999999994</v>
      </c>
    </row>
    <row r="877" spans="1:9" ht="15.75" customHeight="1" x14ac:dyDescent="0.25">
      <c r="A877" s="169">
        <v>42988</v>
      </c>
      <c r="B877" s="187">
        <v>652.91</v>
      </c>
      <c r="C877" s="187">
        <v>168.58</v>
      </c>
      <c r="D877" s="187">
        <v>308.22000000000003</v>
      </c>
      <c r="E877" s="187">
        <v>330.01</v>
      </c>
      <c r="F877" s="187">
        <v>355.38</v>
      </c>
      <c r="G877" s="188">
        <v>346.51</v>
      </c>
      <c r="H877" s="187">
        <v>457.01</v>
      </c>
      <c r="I877" s="187">
        <v>76.19</v>
      </c>
    </row>
    <row r="878" spans="1:9" ht="15.75" customHeight="1" x14ac:dyDescent="0.25">
      <c r="A878" s="169">
        <v>42995</v>
      </c>
      <c r="B878" s="187">
        <v>650.91</v>
      </c>
      <c r="C878" s="187">
        <v>167.63</v>
      </c>
      <c r="D878" s="187">
        <v>299.16000000000003</v>
      </c>
      <c r="E878" s="187">
        <v>331.11</v>
      </c>
      <c r="F878" s="187">
        <v>352.95</v>
      </c>
      <c r="G878" s="188">
        <v>346.72</v>
      </c>
      <c r="H878" s="187">
        <v>475.07</v>
      </c>
      <c r="I878" s="187">
        <v>75.72</v>
      </c>
    </row>
    <row r="879" spans="1:9" ht="15.75" customHeight="1" x14ac:dyDescent="0.25">
      <c r="A879" s="169">
        <v>43002</v>
      </c>
      <c r="B879" s="187">
        <v>646.58000000000004</v>
      </c>
      <c r="C879" s="187">
        <v>165.93</v>
      </c>
      <c r="D879" s="187">
        <v>305.05</v>
      </c>
      <c r="E879" s="187">
        <v>330.38</v>
      </c>
      <c r="F879" s="187">
        <v>354.09</v>
      </c>
      <c r="G879" s="188">
        <v>347.06</v>
      </c>
      <c r="H879" s="187">
        <v>486.63</v>
      </c>
      <c r="I879" s="187">
        <v>73.819999999999993</v>
      </c>
    </row>
    <row r="880" spans="1:9" ht="15.75" customHeight="1" x14ac:dyDescent="0.25">
      <c r="A880" s="169">
        <v>43009</v>
      </c>
      <c r="B880" s="187">
        <v>632.86</v>
      </c>
      <c r="C880" s="187">
        <v>162.27000000000001</v>
      </c>
      <c r="D880" s="187">
        <v>302.70999999999998</v>
      </c>
      <c r="E880" s="187">
        <v>331.6</v>
      </c>
      <c r="F880" s="187">
        <v>355.2</v>
      </c>
      <c r="G880" s="188">
        <v>346.96</v>
      </c>
      <c r="H880" s="187">
        <v>473.64</v>
      </c>
      <c r="I880" s="187">
        <v>73.64</v>
      </c>
    </row>
    <row r="881" spans="1:9" ht="15.75" customHeight="1" x14ac:dyDescent="0.25">
      <c r="A881" s="169">
        <v>43016</v>
      </c>
      <c r="B881" s="187">
        <v>627.6</v>
      </c>
      <c r="C881" s="187">
        <v>164.55</v>
      </c>
      <c r="D881" s="187">
        <v>297.02</v>
      </c>
      <c r="E881" s="187">
        <v>340.02</v>
      </c>
      <c r="F881" s="187">
        <v>354.37</v>
      </c>
      <c r="G881" s="188">
        <v>346.24</v>
      </c>
      <c r="H881" s="187">
        <v>464.18</v>
      </c>
      <c r="I881" s="187">
        <v>71.08</v>
      </c>
    </row>
    <row r="882" spans="1:9" ht="15.75" customHeight="1" x14ac:dyDescent="0.25">
      <c r="A882" s="169">
        <v>43023</v>
      </c>
      <c r="B882" s="187">
        <v>618.44000000000005</v>
      </c>
      <c r="C882" s="187">
        <v>161.52000000000001</v>
      </c>
      <c r="D882" s="187">
        <v>292.79000000000002</v>
      </c>
      <c r="E882" s="187">
        <v>340.63</v>
      </c>
      <c r="F882" s="187">
        <v>352.35</v>
      </c>
      <c r="G882" s="188">
        <v>346.7</v>
      </c>
      <c r="H882" s="187">
        <v>457.84</v>
      </c>
      <c r="I882" s="187">
        <v>69.900000000000006</v>
      </c>
    </row>
    <row r="883" spans="1:9" ht="15.75" customHeight="1" x14ac:dyDescent="0.25">
      <c r="A883" s="169">
        <v>43030</v>
      </c>
      <c r="B883" s="187">
        <v>579.84</v>
      </c>
      <c r="C883" s="187">
        <v>159.27000000000001</v>
      </c>
      <c r="D883" s="187">
        <v>282.63</v>
      </c>
      <c r="E883" s="187">
        <v>340.75</v>
      </c>
      <c r="F883" s="187">
        <v>351.56</v>
      </c>
      <c r="G883" s="188">
        <v>346.06</v>
      </c>
      <c r="H883" s="187">
        <v>480.03</v>
      </c>
      <c r="I883" s="187">
        <v>67.099999999999994</v>
      </c>
    </row>
    <row r="884" spans="1:9" ht="15.75" customHeight="1" x14ac:dyDescent="0.25">
      <c r="A884" s="169">
        <v>43037</v>
      </c>
      <c r="B884" s="187">
        <v>556.64</v>
      </c>
      <c r="C884" s="187">
        <v>155.30000000000001</v>
      </c>
      <c r="D884" s="187">
        <v>284.2</v>
      </c>
      <c r="E884" s="187">
        <v>336.42</v>
      </c>
      <c r="F884" s="187">
        <v>349.22</v>
      </c>
      <c r="G884" s="188">
        <v>348.34</v>
      </c>
      <c r="H884" s="187">
        <v>480.51</v>
      </c>
      <c r="I884" s="187">
        <v>65.510000000000005</v>
      </c>
    </row>
    <row r="885" spans="1:9" ht="15.75" customHeight="1" x14ac:dyDescent="0.25">
      <c r="A885" s="169">
        <v>43044</v>
      </c>
      <c r="B885" s="187">
        <v>507.4</v>
      </c>
      <c r="C885" s="187">
        <v>154.38</v>
      </c>
      <c r="D885" s="187">
        <v>274.02</v>
      </c>
      <c r="E885" s="187">
        <v>344</v>
      </c>
      <c r="F885" s="187">
        <v>342.75</v>
      </c>
      <c r="G885" s="188">
        <v>352.02</v>
      </c>
      <c r="H885" s="187">
        <v>467.61</v>
      </c>
      <c r="I885" s="187">
        <v>62.37</v>
      </c>
    </row>
    <row r="886" spans="1:9" ht="15.75" customHeight="1" x14ac:dyDescent="0.25">
      <c r="A886" s="169">
        <v>43051</v>
      </c>
      <c r="B886" s="187">
        <v>529.16999999999996</v>
      </c>
      <c r="C886" s="187">
        <v>151.02000000000001</v>
      </c>
      <c r="D886" s="187">
        <v>272.08</v>
      </c>
      <c r="E886" s="187">
        <v>341.45</v>
      </c>
      <c r="F886" s="187">
        <v>340.07</v>
      </c>
      <c r="G886" s="188">
        <v>348.41</v>
      </c>
      <c r="H886" s="187">
        <v>467.06</v>
      </c>
      <c r="I886" s="187">
        <v>61.19</v>
      </c>
    </row>
    <row r="887" spans="1:9" ht="15.75" customHeight="1" x14ac:dyDescent="0.25">
      <c r="A887" s="169">
        <v>43058</v>
      </c>
      <c r="B887" s="187">
        <v>524.37</v>
      </c>
      <c r="C887" s="187">
        <v>151.87</v>
      </c>
      <c r="D887" s="187">
        <v>270.12</v>
      </c>
      <c r="E887" s="187">
        <v>336.32</v>
      </c>
      <c r="F887" s="187">
        <v>338.34</v>
      </c>
      <c r="G887" s="188">
        <v>343.5</v>
      </c>
      <c r="H887" s="187">
        <v>471.42</v>
      </c>
      <c r="I887" s="187">
        <v>60.6</v>
      </c>
    </row>
    <row r="888" spans="1:9" ht="15.75" customHeight="1" x14ac:dyDescent="0.25">
      <c r="A888" s="169">
        <v>43065</v>
      </c>
      <c r="B888" s="187">
        <v>513.94000000000005</v>
      </c>
      <c r="C888" s="187">
        <v>150.87</v>
      </c>
      <c r="D888" s="187">
        <v>269.17</v>
      </c>
      <c r="E888" s="187">
        <v>335.56</v>
      </c>
      <c r="F888" s="187">
        <v>334.73</v>
      </c>
      <c r="G888" s="188">
        <v>341.83</v>
      </c>
      <c r="H888" s="187">
        <v>482.07</v>
      </c>
      <c r="I888" s="187">
        <v>62.24</v>
      </c>
    </row>
    <row r="889" spans="1:9" ht="15.75" customHeight="1" x14ac:dyDescent="0.25">
      <c r="A889" s="169">
        <v>43072</v>
      </c>
      <c r="B889" s="187">
        <v>519.89</v>
      </c>
      <c r="C889" s="187">
        <v>150.76</v>
      </c>
      <c r="D889" s="187">
        <v>266.79000000000002</v>
      </c>
      <c r="E889" s="187">
        <v>331.47</v>
      </c>
      <c r="F889" s="187">
        <v>332.46</v>
      </c>
      <c r="G889" s="188">
        <v>340.2</v>
      </c>
      <c r="H889" s="187">
        <v>472.1</v>
      </c>
      <c r="I889" s="187">
        <v>62.92</v>
      </c>
    </row>
    <row r="890" spans="1:9" ht="15.75" customHeight="1" x14ac:dyDescent="0.25">
      <c r="A890" s="169">
        <v>43079</v>
      </c>
      <c r="B890" s="187">
        <v>497.18</v>
      </c>
      <c r="C890" s="187">
        <v>147.22</v>
      </c>
      <c r="D890" s="187">
        <v>261.10000000000002</v>
      </c>
      <c r="E890" s="187">
        <v>330.33</v>
      </c>
      <c r="F890" s="187">
        <v>316.35000000000002</v>
      </c>
      <c r="G890" s="188">
        <v>329.09</v>
      </c>
      <c r="H890" s="187">
        <v>469.31</v>
      </c>
      <c r="I890" s="187">
        <v>61.9</v>
      </c>
    </row>
    <row r="891" spans="1:9" ht="15.75" customHeight="1" x14ac:dyDescent="0.25">
      <c r="A891" s="169">
        <v>43086</v>
      </c>
      <c r="B891" s="187">
        <v>480.85</v>
      </c>
      <c r="C891" s="187">
        <v>145.41</v>
      </c>
      <c r="D891" s="187">
        <v>258.27</v>
      </c>
      <c r="E891" s="187">
        <v>327.78</v>
      </c>
      <c r="F891" s="187">
        <v>311.52</v>
      </c>
      <c r="G891" s="188">
        <v>326.18</v>
      </c>
      <c r="H891" s="187">
        <v>482.59</v>
      </c>
      <c r="I891" s="187">
        <v>61.56</v>
      </c>
    </row>
    <row r="892" spans="1:9" ht="15.75" customHeight="1" x14ac:dyDescent="0.25">
      <c r="A892" s="169">
        <v>43093</v>
      </c>
      <c r="B892" s="187">
        <v>451.02</v>
      </c>
      <c r="C892" s="187">
        <v>143.44999999999999</v>
      </c>
      <c r="D892" s="187">
        <v>258.81</v>
      </c>
      <c r="E892" s="187">
        <v>329.47</v>
      </c>
      <c r="F892" s="187">
        <v>309.58999999999997</v>
      </c>
      <c r="G892" s="188">
        <v>327.64999999999998</v>
      </c>
      <c r="H892" s="187">
        <v>468.5</v>
      </c>
      <c r="I892" s="187">
        <v>62.81</v>
      </c>
    </row>
    <row r="893" spans="1:9" ht="15.75" customHeight="1" x14ac:dyDescent="0.25">
      <c r="A893" s="169">
        <v>43100</v>
      </c>
      <c r="B893" s="187">
        <v>440.78</v>
      </c>
      <c r="C893" s="187">
        <v>143.19</v>
      </c>
      <c r="D893" s="187">
        <v>259.11</v>
      </c>
      <c r="E893" s="187">
        <v>319.43</v>
      </c>
      <c r="F893" s="187">
        <v>311.55</v>
      </c>
      <c r="G893" s="188">
        <v>327.91</v>
      </c>
      <c r="H893" s="187">
        <v>472.62</v>
      </c>
      <c r="I893" s="187">
        <v>61.81</v>
      </c>
    </row>
    <row r="894" spans="1:9" ht="15.75" customHeight="1" x14ac:dyDescent="0.25">
      <c r="A894" s="169">
        <v>43107</v>
      </c>
      <c r="B894" s="187">
        <v>433.37</v>
      </c>
      <c r="C894" s="187">
        <v>143.28</v>
      </c>
      <c r="D894" s="187">
        <v>259.95999999999998</v>
      </c>
      <c r="E894" s="187">
        <v>318.58</v>
      </c>
      <c r="F894" s="187">
        <v>299.5</v>
      </c>
      <c r="G894" s="188">
        <v>318.95999999999998</v>
      </c>
      <c r="H894" s="187">
        <v>464.23</v>
      </c>
      <c r="I894" s="187">
        <v>62.04</v>
      </c>
    </row>
    <row r="895" spans="1:9" ht="15.75" customHeight="1" x14ac:dyDescent="0.25">
      <c r="A895" s="169">
        <v>43114</v>
      </c>
      <c r="B895" s="187">
        <v>423.18</v>
      </c>
      <c r="C895" s="187">
        <v>140.29</v>
      </c>
      <c r="D895" s="187">
        <v>250.98</v>
      </c>
      <c r="E895" s="187">
        <v>318.20999999999998</v>
      </c>
      <c r="F895" s="187">
        <v>294.81</v>
      </c>
      <c r="G895" s="188">
        <v>311.31</v>
      </c>
      <c r="H895" s="187">
        <v>488.2</v>
      </c>
      <c r="I895" s="187">
        <v>61.48</v>
      </c>
    </row>
    <row r="896" spans="1:9" ht="15.75" customHeight="1" x14ac:dyDescent="0.25">
      <c r="A896" s="169">
        <v>43121</v>
      </c>
      <c r="B896" s="187">
        <v>424.18</v>
      </c>
      <c r="C896" s="187">
        <v>140.58000000000001</v>
      </c>
      <c r="D896" s="187">
        <v>253.52</v>
      </c>
      <c r="E896" s="187">
        <v>316.57</v>
      </c>
      <c r="F896" s="187">
        <v>289.83999999999997</v>
      </c>
      <c r="G896" s="188">
        <v>307.14999999999998</v>
      </c>
      <c r="H896" s="187">
        <v>468.28</v>
      </c>
      <c r="I896" s="187">
        <v>63.04</v>
      </c>
    </row>
    <row r="897" spans="1:9" ht="15.75" customHeight="1" x14ac:dyDescent="0.25">
      <c r="A897" s="169">
        <v>43128</v>
      </c>
      <c r="B897" s="187">
        <v>426.83</v>
      </c>
      <c r="C897" s="187">
        <v>139.84</v>
      </c>
      <c r="D897" s="187">
        <v>253.58</v>
      </c>
      <c r="E897" s="187">
        <v>316.08999999999997</v>
      </c>
      <c r="F897" s="187">
        <v>284.57</v>
      </c>
      <c r="G897" s="188">
        <v>304.64</v>
      </c>
      <c r="H897" s="187">
        <v>491.01</v>
      </c>
      <c r="I897" s="187">
        <v>62.74</v>
      </c>
    </row>
    <row r="898" spans="1:9" ht="15.75" customHeight="1" x14ac:dyDescent="0.25">
      <c r="A898" s="169">
        <v>43135</v>
      </c>
      <c r="B898" s="187">
        <v>428.95</v>
      </c>
      <c r="C898" s="187">
        <v>140.49</v>
      </c>
      <c r="D898" s="187">
        <v>253.72</v>
      </c>
      <c r="E898" s="187">
        <v>315.56</v>
      </c>
      <c r="F898" s="187">
        <v>283.76</v>
      </c>
      <c r="G898" s="188">
        <v>304</v>
      </c>
      <c r="H898" s="187">
        <v>466.06</v>
      </c>
      <c r="I898" s="187">
        <v>62.86</v>
      </c>
    </row>
    <row r="899" spans="1:9" ht="15.75" customHeight="1" x14ac:dyDescent="0.25">
      <c r="A899" s="169">
        <v>43142</v>
      </c>
      <c r="B899" s="187">
        <v>430.69</v>
      </c>
      <c r="C899" s="187">
        <v>139.21</v>
      </c>
      <c r="D899" s="187">
        <v>255.43</v>
      </c>
      <c r="E899" s="187">
        <v>313.95999999999998</v>
      </c>
      <c r="F899" s="187">
        <v>281.88</v>
      </c>
      <c r="G899" s="188">
        <v>298.55</v>
      </c>
      <c r="H899" s="187">
        <v>465.4</v>
      </c>
      <c r="I899" s="187">
        <v>63.32</v>
      </c>
    </row>
    <row r="900" spans="1:9" ht="15.75" customHeight="1" x14ac:dyDescent="0.25">
      <c r="A900" s="169">
        <v>43149</v>
      </c>
      <c r="B900" s="187">
        <v>444.6</v>
      </c>
      <c r="C900" s="187">
        <v>138.62</v>
      </c>
      <c r="D900" s="187">
        <v>257.62</v>
      </c>
      <c r="E900" s="187">
        <v>315.45999999999998</v>
      </c>
      <c r="F900" s="187">
        <v>281.48</v>
      </c>
      <c r="G900" s="188">
        <v>300.3</v>
      </c>
      <c r="H900" s="187">
        <v>481.24</v>
      </c>
      <c r="I900" s="187">
        <v>64.58</v>
      </c>
    </row>
    <row r="901" spans="1:9" ht="15.75" customHeight="1" x14ac:dyDescent="0.25">
      <c r="A901" s="169">
        <v>43156</v>
      </c>
      <c r="B901" s="187">
        <v>459.17</v>
      </c>
      <c r="C901" s="187">
        <v>136.72999999999999</v>
      </c>
      <c r="D901" s="187">
        <v>260.01</v>
      </c>
      <c r="E901" s="187">
        <v>315.95999999999998</v>
      </c>
      <c r="F901" s="187">
        <v>282.3</v>
      </c>
      <c r="G901" s="188">
        <v>300.33999999999997</v>
      </c>
      <c r="H901" s="187">
        <v>470.25</v>
      </c>
      <c r="I901" s="187">
        <v>63.48</v>
      </c>
    </row>
    <row r="902" spans="1:9" ht="15.75" customHeight="1" x14ac:dyDescent="0.25">
      <c r="A902" s="169">
        <v>43163</v>
      </c>
      <c r="B902" s="187">
        <v>461.57</v>
      </c>
      <c r="C902" s="187">
        <v>135.78</v>
      </c>
      <c r="D902" s="187">
        <v>258.7</v>
      </c>
      <c r="E902" s="187">
        <v>321.95999999999998</v>
      </c>
      <c r="F902" s="187">
        <v>283.52</v>
      </c>
      <c r="G902" s="188">
        <v>300.07</v>
      </c>
      <c r="H902" s="187">
        <v>466.45</v>
      </c>
      <c r="I902" s="187">
        <v>64.53</v>
      </c>
    </row>
    <row r="903" spans="1:9" ht="15.75" customHeight="1" x14ac:dyDescent="0.25">
      <c r="A903" s="169">
        <v>43170</v>
      </c>
      <c r="B903" s="187">
        <v>469.21</v>
      </c>
      <c r="C903" s="187">
        <v>132.68</v>
      </c>
      <c r="D903" s="187">
        <v>259.26</v>
      </c>
      <c r="E903" s="187">
        <v>323.06</v>
      </c>
      <c r="F903" s="187">
        <v>283.14999999999998</v>
      </c>
      <c r="G903" s="188">
        <v>296.43</v>
      </c>
      <c r="H903" s="187">
        <v>464.52</v>
      </c>
      <c r="I903" s="187">
        <v>66.069999999999993</v>
      </c>
    </row>
    <row r="904" spans="1:9" ht="15.75" customHeight="1" x14ac:dyDescent="0.25">
      <c r="A904" s="169">
        <v>43177</v>
      </c>
      <c r="B904" s="187">
        <v>470.26</v>
      </c>
      <c r="C904" s="187">
        <v>132.34</v>
      </c>
      <c r="D904" s="187">
        <v>258.55</v>
      </c>
      <c r="E904" s="187">
        <v>323.18</v>
      </c>
      <c r="F904" s="187">
        <v>286.83</v>
      </c>
      <c r="G904" s="188">
        <v>295.58999999999997</v>
      </c>
      <c r="H904" s="187">
        <v>475.49</v>
      </c>
      <c r="I904" s="187">
        <v>66.3</v>
      </c>
    </row>
    <row r="905" spans="1:9" ht="15.75" customHeight="1" x14ac:dyDescent="0.25">
      <c r="A905" s="169">
        <v>43184</v>
      </c>
      <c r="B905" s="187">
        <v>470.53</v>
      </c>
      <c r="C905" s="187">
        <v>131.47999999999999</v>
      </c>
      <c r="D905" s="187">
        <v>257.87</v>
      </c>
      <c r="E905" s="187">
        <v>322.81</v>
      </c>
      <c r="F905" s="187">
        <v>285.88</v>
      </c>
      <c r="G905" s="188">
        <v>295.49</v>
      </c>
      <c r="H905" s="187">
        <v>463.79</v>
      </c>
      <c r="I905" s="187">
        <v>65.55</v>
      </c>
    </row>
    <row r="906" spans="1:9" ht="15.75" customHeight="1" x14ac:dyDescent="0.25">
      <c r="A906" s="169">
        <v>43191</v>
      </c>
      <c r="B906" s="187">
        <v>474.07</v>
      </c>
      <c r="C906" s="187">
        <v>130.37</v>
      </c>
      <c r="D906" s="187">
        <v>259.70999999999998</v>
      </c>
      <c r="E906" s="187">
        <v>324.14999999999998</v>
      </c>
      <c r="F906" s="187">
        <v>287.06</v>
      </c>
      <c r="G906" s="188">
        <v>298.19</v>
      </c>
      <c r="H906" s="187">
        <v>459.67</v>
      </c>
      <c r="I906" s="187">
        <v>65.680000000000007</v>
      </c>
    </row>
    <row r="907" spans="1:9" ht="15" customHeight="1" x14ac:dyDescent="0.25">
      <c r="A907" s="169">
        <v>43198</v>
      </c>
      <c r="B907" s="187">
        <v>485.49</v>
      </c>
      <c r="C907" s="187">
        <v>131.43</v>
      </c>
      <c r="D907" s="187">
        <v>259.38</v>
      </c>
      <c r="E907" s="187">
        <v>301.24</v>
      </c>
      <c r="F907" s="187">
        <v>288.62</v>
      </c>
      <c r="G907" s="188">
        <v>301.67</v>
      </c>
      <c r="H907" s="187">
        <v>467.47</v>
      </c>
      <c r="I907" s="187">
        <v>65.849999999999994</v>
      </c>
    </row>
    <row r="908" spans="1:9" ht="15.75" customHeight="1" x14ac:dyDescent="0.25">
      <c r="A908" s="169">
        <v>43205</v>
      </c>
      <c r="B908" s="187">
        <v>514.1</v>
      </c>
      <c r="C908" s="187">
        <v>132.30000000000001</v>
      </c>
      <c r="D908" s="187">
        <v>262.39999999999998</v>
      </c>
      <c r="E908" s="187">
        <v>303.35000000000002</v>
      </c>
      <c r="F908" s="187">
        <v>289.06</v>
      </c>
      <c r="G908" s="188">
        <v>300.02</v>
      </c>
      <c r="H908" s="187">
        <v>464.67</v>
      </c>
      <c r="I908" s="187">
        <v>65.87</v>
      </c>
    </row>
    <row r="909" spans="1:9" ht="15.75" customHeight="1" x14ac:dyDescent="0.25">
      <c r="A909" s="169">
        <v>43212</v>
      </c>
      <c r="B909" s="187">
        <v>516.23</v>
      </c>
      <c r="C909" s="187">
        <v>135.84</v>
      </c>
      <c r="D909" s="187">
        <v>265.83999999999997</v>
      </c>
      <c r="E909" s="187">
        <v>305.72000000000003</v>
      </c>
      <c r="F909" s="187">
        <v>288.83</v>
      </c>
      <c r="G909" s="188">
        <v>299.58</v>
      </c>
      <c r="H909" s="187">
        <v>482.13</v>
      </c>
      <c r="I909" s="187">
        <v>65.66</v>
      </c>
    </row>
    <row r="910" spans="1:9" ht="15.75" customHeight="1" x14ac:dyDescent="0.25">
      <c r="A910" s="169">
        <v>43219</v>
      </c>
      <c r="B910" s="187">
        <v>520.74</v>
      </c>
      <c r="C910" s="187">
        <v>138.25</v>
      </c>
      <c r="D910" s="187">
        <v>268.47000000000003</v>
      </c>
      <c r="E910" s="187">
        <v>308.11</v>
      </c>
      <c r="F910" s="187">
        <v>289.73</v>
      </c>
      <c r="G910" s="188">
        <v>299.27</v>
      </c>
      <c r="H910" s="187">
        <v>464.88</v>
      </c>
      <c r="I910" s="187">
        <v>65.989999999999995</v>
      </c>
    </row>
    <row r="911" spans="1:9" ht="15.75" customHeight="1" x14ac:dyDescent="0.25">
      <c r="A911" s="169">
        <v>43226</v>
      </c>
      <c r="B911" s="187">
        <v>546.59</v>
      </c>
      <c r="C911" s="187">
        <v>141.38</v>
      </c>
      <c r="D911" s="187">
        <v>270.89999999999998</v>
      </c>
      <c r="E911" s="187">
        <v>311.73</v>
      </c>
      <c r="F911" s="187">
        <v>289.89</v>
      </c>
      <c r="G911" s="188">
        <v>297.13</v>
      </c>
      <c r="H911" s="187">
        <v>451.94</v>
      </c>
      <c r="I911" s="187">
        <v>66.599999999999994</v>
      </c>
    </row>
    <row r="912" spans="1:9" ht="15.75" customHeight="1" x14ac:dyDescent="0.25">
      <c r="A912" s="169">
        <v>43233</v>
      </c>
      <c r="B912" s="187">
        <v>560.41</v>
      </c>
      <c r="C912" s="187">
        <v>143.68</v>
      </c>
      <c r="D912" s="187">
        <v>271.20999999999998</v>
      </c>
      <c r="E912" s="187">
        <v>313.47000000000003</v>
      </c>
      <c r="F912" s="187">
        <v>293.83999999999997</v>
      </c>
      <c r="G912" s="188">
        <v>298.69</v>
      </c>
      <c r="H912" s="187">
        <v>457.96</v>
      </c>
      <c r="I912" s="187">
        <v>67.75</v>
      </c>
    </row>
    <row r="913" spans="1:9" ht="15" customHeight="1" x14ac:dyDescent="0.25">
      <c r="A913" s="169">
        <v>43240</v>
      </c>
      <c r="B913" s="187">
        <v>564.15</v>
      </c>
      <c r="C913" s="187">
        <v>145.80000000000001</v>
      </c>
      <c r="D913" s="187">
        <v>276.64</v>
      </c>
      <c r="E913" s="187">
        <v>314.49</v>
      </c>
      <c r="F913" s="187">
        <v>293.79000000000002</v>
      </c>
      <c r="G913" s="188">
        <v>297.93</v>
      </c>
      <c r="H913" s="187">
        <v>478.29</v>
      </c>
      <c r="I913" s="187">
        <v>69.72</v>
      </c>
    </row>
    <row r="914" spans="1:9" ht="15.75" customHeight="1" x14ac:dyDescent="0.25">
      <c r="A914" s="169">
        <v>43247</v>
      </c>
      <c r="B914" s="187">
        <v>568.91</v>
      </c>
      <c r="C914" s="187">
        <v>145.49</v>
      </c>
      <c r="D914" s="187">
        <v>276.18</v>
      </c>
      <c r="E914" s="187">
        <v>316.58999999999997</v>
      </c>
      <c r="F914" s="187">
        <v>293.56</v>
      </c>
      <c r="G914" s="188">
        <v>298.75</v>
      </c>
      <c r="H914" s="187">
        <v>480.08</v>
      </c>
      <c r="I914" s="187">
        <v>69.61</v>
      </c>
    </row>
    <row r="915" spans="1:9" ht="15.75" customHeight="1" x14ac:dyDescent="0.25">
      <c r="A915" s="169">
        <v>43254</v>
      </c>
      <c r="B915" s="187">
        <v>583.48</v>
      </c>
      <c r="C915" s="187">
        <v>150.88999999999999</v>
      </c>
      <c r="D915" s="187">
        <v>281.87</v>
      </c>
      <c r="E915" s="187">
        <v>316.58999999999997</v>
      </c>
      <c r="F915" s="187">
        <v>298.20999999999998</v>
      </c>
      <c r="G915" s="188">
        <v>301.04000000000002</v>
      </c>
      <c r="H915" s="187">
        <v>461.64</v>
      </c>
      <c r="I915" s="187">
        <v>70.16</v>
      </c>
    </row>
    <row r="916" spans="1:9" ht="15.75" customHeight="1" x14ac:dyDescent="0.25">
      <c r="A916" s="169">
        <v>43261</v>
      </c>
      <c r="B916" s="187">
        <v>590.33000000000004</v>
      </c>
      <c r="C916" s="187">
        <v>152.65</v>
      </c>
      <c r="D916" s="187">
        <v>278.27</v>
      </c>
      <c r="E916" s="187">
        <v>320.17</v>
      </c>
      <c r="F916" s="187">
        <v>297.39999999999998</v>
      </c>
      <c r="G916" s="188">
        <v>302.45</v>
      </c>
      <c r="H916" s="187">
        <v>468.13</v>
      </c>
      <c r="I916" s="187">
        <v>69.19</v>
      </c>
    </row>
    <row r="917" spans="1:9" ht="15.75" customHeight="1" x14ac:dyDescent="0.25">
      <c r="A917" s="169">
        <v>43268</v>
      </c>
      <c r="B917" s="187">
        <v>584.4</v>
      </c>
      <c r="C917" s="187">
        <v>154.63999999999999</v>
      </c>
      <c r="D917" s="187">
        <v>285.70999999999998</v>
      </c>
      <c r="E917" s="187">
        <v>320.54000000000002</v>
      </c>
      <c r="F917" s="187">
        <v>299.08</v>
      </c>
      <c r="G917" s="188">
        <v>302.43</v>
      </c>
      <c r="H917" s="187">
        <v>475.01</v>
      </c>
      <c r="I917" s="187">
        <v>69.02</v>
      </c>
    </row>
    <row r="918" spans="1:9" ht="15.75" customHeight="1" x14ac:dyDescent="0.25">
      <c r="A918" s="169">
        <v>43275</v>
      </c>
      <c r="B918" s="187">
        <v>572.33000000000004</v>
      </c>
      <c r="C918" s="187">
        <v>153.44999999999999</v>
      </c>
      <c r="D918" s="187">
        <v>283.32</v>
      </c>
      <c r="E918" s="187">
        <v>320.77999999999997</v>
      </c>
      <c r="F918" s="187">
        <v>299.48</v>
      </c>
      <c r="G918" s="188">
        <v>302.89999999999998</v>
      </c>
      <c r="H918" s="187">
        <v>461.42</v>
      </c>
      <c r="I918" s="187">
        <v>71.39</v>
      </c>
    </row>
    <row r="919" spans="1:9" ht="15.75" customHeight="1" x14ac:dyDescent="0.25">
      <c r="A919" s="169">
        <v>43282</v>
      </c>
      <c r="B919" s="187">
        <v>576.15</v>
      </c>
      <c r="C919" s="187">
        <v>153.36000000000001</v>
      </c>
      <c r="D919" s="187">
        <v>281.25</v>
      </c>
      <c r="E919" s="187">
        <v>324.11</v>
      </c>
      <c r="F919" s="187">
        <v>299.98</v>
      </c>
      <c r="G919" s="188">
        <v>303.67</v>
      </c>
      <c r="H919" s="187">
        <v>461.68</v>
      </c>
      <c r="I919" s="187">
        <v>72</v>
      </c>
    </row>
    <row r="920" spans="1:9" ht="15.75" customHeight="1" x14ac:dyDescent="0.25">
      <c r="A920" s="169">
        <v>43289</v>
      </c>
      <c r="B920" s="187">
        <v>558.21</v>
      </c>
      <c r="C920" s="187">
        <v>152.47999999999999</v>
      </c>
      <c r="D920" s="187">
        <v>279.89999999999998</v>
      </c>
      <c r="E920" s="187">
        <v>324.95999999999998</v>
      </c>
      <c r="F920" s="187">
        <v>300.26</v>
      </c>
      <c r="G920" s="188">
        <v>305.02</v>
      </c>
      <c r="H920" s="187">
        <v>467.03</v>
      </c>
      <c r="I920" s="187">
        <v>72.27</v>
      </c>
    </row>
    <row r="921" spans="1:9" ht="15.75" customHeight="1" x14ac:dyDescent="0.25">
      <c r="A921" s="169">
        <v>43296</v>
      </c>
      <c r="B921" s="187">
        <v>570.01</v>
      </c>
      <c r="C921" s="187">
        <v>151.02000000000001</v>
      </c>
      <c r="D921" s="187">
        <v>277.74</v>
      </c>
      <c r="E921" s="187">
        <v>324.72000000000003</v>
      </c>
      <c r="F921" s="187">
        <v>307.08999999999997</v>
      </c>
      <c r="G921" s="188">
        <v>309</v>
      </c>
      <c r="H921" s="187">
        <v>477.3</v>
      </c>
      <c r="I921" s="187">
        <v>72.53</v>
      </c>
    </row>
    <row r="922" spans="1:9" ht="15.75" customHeight="1" x14ac:dyDescent="0.25">
      <c r="A922" s="169">
        <v>43303</v>
      </c>
      <c r="B922" s="187">
        <v>558.59</v>
      </c>
      <c r="C922" s="187">
        <v>147.86000000000001</v>
      </c>
      <c r="D922" s="187">
        <v>277</v>
      </c>
      <c r="E922" s="187">
        <v>325.33</v>
      </c>
      <c r="F922" s="187">
        <v>306.08</v>
      </c>
      <c r="G922" s="188">
        <v>306.86</v>
      </c>
      <c r="H922" s="187">
        <v>462.87</v>
      </c>
      <c r="I922" s="187">
        <v>72.25</v>
      </c>
    </row>
    <row r="923" spans="1:9" ht="15.75" customHeight="1" x14ac:dyDescent="0.25">
      <c r="A923" s="169">
        <v>43310</v>
      </c>
      <c r="B923" s="187">
        <v>547.4</v>
      </c>
      <c r="C923" s="187">
        <v>144.59</v>
      </c>
      <c r="D923" s="187">
        <v>276.42</v>
      </c>
      <c r="E923" s="187">
        <v>324.7</v>
      </c>
      <c r="F923" s="187">
        <v>307.08999999999997</v>
      </c>
      <c r="G923" s="188">
        <v>309.64999999999998</v>
      </c>
      <c r="H923" s="187">
        <v>458.65</v>
      </c>
      <c r="I923" s="187">
        <v>73.12</v>
      </c>
    </row>
    <row r="924" spans="1:9" ht="15.75" customHeight="1" x14ac:dyDescent="0.25">
      <c r="A924" s="169">
        <v>43317</v>
      </c>
      <c r="B924" s="187">
        <v>547.95000000000005</v>
      </c>
      <c r="C924" s="187">
        <v>146.46</v>
      </c>
      <c r="D924" s="187">
        <v>277.98</v>
      </c>
      <c r="E924" s="187">
        <v>327.12</v>
      </c>
      <c r="F924" s="187">
        <v>311.33999999999997</v>
      </c>
      <c r="G924" s="188">
        <v>313.98</v>
      </c>
      <c r="H924" s="187">
        <v>465.51</v>
      </c>
      <c r="I924" s="187">
        <v>73.61</v>
      </c>
    </row>
    <row r="925" spans="1:9" ht="15.75" customHeight="1" x14ac:dyDescent="0.25">
      <c r="A925" s="169">
        <v>43324</v>
      </c>
      <c r="B925" s="187">
        <v>544.71</v>
      </c>
      <c r="C925" s="187">
        <v>152.47999999999999</v>
      </c>
      <c r="D925" s="187">
        <v>278.26</v>
      </c>
      <c r="E925" s="187">
        <v>323.70999999999998</v>
      </c>
      <c r="F925" s="187">
        <v>310.04000000000002</v>
      </c>
      <c r="G925" s="188">
        <v>316.33999999999997</v>
      </c>
      <c r="H925" s="187">
        <v>475.44</v>
      </c>
      <c r="I925" s="187">
        <v>74.38</v>
      </c>
    </row>
    <row r="926" spans="1:9" ht="15.75" customHeight="1" x14ac:dyDescent="0.25">
      <c r="A926" s="169">
        <v>43331</v>
      </c>
      <c r="B926" s="187">
        <v>551.76</v>
      </c>
      <c r="C926" s="187">
        <v>154.97999999999999</v>
      </c>
      <c r="D926" s="187">
        <v>281.29000000000002</v>
      </c>
      <c r="E926" s="187">
        <v>323.83</v>
      </c>
      <c r="F926" s="187">
        <v>309.05</v>
      </c>
      <c r="G926" s="188">
        <v>313.99</v>
      </c>
      <c r="H926" s="187">
        <v>481.98</v>
      </c>
      <c r="I926" s="187">
        <v>75.599999999999994</v>
      </c>
    </row>
    <row r="927" spans="1:9" ht="15.75" customHeight="1" x14ac:dyDescent="0.25">
      <c r="A927" s="169">
        <v>43338</v>
      </c>
      <c r="B927" s="187">
        <v>549.26</v>
      </c>
      <c r="C927" s="187">
        <v>158.31</v>
      </c>
      <c r="D927" s="187">
        <v>283.69</v>
      </c>
      <c r="E927" s="187">
        <v>323.95</v>
      </c>
      <c r="F927" s="187">
        <v>310.67</v>
      </c>
      <c r="G927" s="188">
        <v>315.02999999999997</v>
      </c>
      <c r="H927" s="187">
        <v>468.07</v>
      </c>
      <c r="I927" s="187">
        <v>77.22</v>
      </c>
    </row>
    <row r="928" spans="1:9" ht="15.75" customHeight="1" x14ac:dyDescent="0.25">
      <c r="A928" s="169">
        <v>43345</v>
      </c>
      <c r="B928" s="187">
        <v>554.91</v>
      </c>
      <c r="C928" s="187">
        <v>162.1</v>
      </c>
      <c r="D928" s="187">
        <v>283.01</v>
      </c>
      <c r="E928" s="187">
        <v>323.83</v>
      </c>
      <c r="F928" s="187">
        <v>311.85000000000002</v>
      </c>
      <c r="G928" s="188">
        <v>315.05</v>
      </c>
      <c r="H928" s="187">
        <v>473.61</v>
      </c>
      <c r="I928" s="187">
        <v>76.959999999999994</v>
      </c>
    </row>
    <row r="929" spans="1:9" ht="15.75" customHeight="1" x14ac:dyDescent="0.25">
      <c r="A929" s="169">
        <v>43352</v>
      </c>
      <c r="B929" s="187">
        <v>554.44000000000005</v>
      </c>
      <c r="C929" s="187">
        <v>160.47</v>
      </c>
      <c r="D929" s="187">
        <v>284.19</v>
      </c>
      <c r="E929" s="187">
        <v>326.68</v>
      </c>
      <c r="F929" s="187">
        <v>313.81</v>
      </c>
      <c r="G929" s="188">
        <v>317.01</v>
      </c>
      <c r="H929" s="187">
        <v>474.18</v>
      </c>
      <c r="I929" s="187">
        <v>79.510000000000005</v>
      </c>
    </row>
    <row r="930" spans="1:9" ht="15.75" customHeight="1" x14ac:dyDescent="0.25">
      <c r="A930" s="169">
        <v>43359</v>
      </c>
      <c r="B930" s="187">
        <v>552.46</v>
      </c>
      <c r="C930" s="187">
        <v>158.47</v>
      </c>
      <c r="D930" s="187">
        <v>276.85000000000002</v>
      </c>
      <c r="E930" s="187">
        <v>326.68</v>
      </c>
      <c r="F930" s="187">
        <v>318.08999999999997</v>
      </c>
      <c r="G930" s="188">
        <v>323.3</v>
      </c>
      <c r="H930" s="187">
        <v>473.77</v>
      </c>
      <c r="I930" s="187">
        <v>80.069999999999993</v>
      </c>
    </row>
    <row r="931" spans="1:9" ht="15.75" customHeight="1" x14ac:dyDescent="0.25">
      <c r="A931" s="169">
        <v>43366</v>
      </c>
      <c r="B931" s="187">
        <v>519.79999999999995</v>
      </c>
      <c r="C931" s="187">
        <v>158.30000000000001</v>
      </c>
      <c r="D931" s="187">
        <v>281.67</v>
      </c>
      <c r="E931" s="187">
        <v>326.32</v>
      </c>
      <c r="F931" s="187">
        <v>318.99</v>
      </c>
      <c r="G931" s="188">
        <v>320.62</v>
      </c>
      <c r="H931" s="187">
        <v>468.45</v>
      </c>
      <c r="I931" s="187">
        <v>78.84</v>
      </c>
    </row>
    <row r="932" spans="1:9" ht="15.75" customHeight="1" x14ac:dyDescent="0.25">
      <c r="A932" s="169">
        <v>43373</v>
      </c>
      <c r="B932" s="187">
        <v>519.49</v>
      </c>
      <c r="C932" s="187">
        <v>157.49</v>
      </c>
      <c r="D932" s="187">
        <v>276.64</v>
      </c>
      <c r="E932" s="187">
        <v>325.31</v>
      </c>
      <c r="F932" s="187">
        <v>319.39999999999998</v>
      </c>
      <c r="G932" s="188">
        <v>322.48</v>
      </c>
      <c r="H932" s="187">
        <v>507.41</v>
      </c>
      <c r="I932" s="187">
        <v>78.8</v>
      </c>
    </row>
    <row r="933" spans="1:9" ht="15.75" customHeight="1" x14ac:dyDescent="0.25">
      <c r="A933" s="169">
        <v>43380</v>
      </c>
      <c r="B933" s="187">
        <v>498.08</v>
      </c>
      <c r="C933" s="187">
        <v>155.69999999999999</v>
      </c>
      <c r="D933" s="187">
        <v>273.36</v>
      </c>
      <c r="E933" s="187">
        <v>318.11</v>
      </c>
      <c r="F933" s="187">
        <v>321.22000000000003</v>
      </c>
      <c r="G933" s="188">
        <v>322.27</v>
      </c>
      <c r="H933" s="187">
        <v>470.13</v>
      </c>
      <c r="I933" s="187">
        <v>78.63</v>
      </c>
    </row>
    <row r="934" spans="1:9" ht="15.75" customHeight="1" x14ac:dyDescent="0.25">
      <c r="A934" s="169">
        <v>43387</v>
      </c>
      <c r="B934" s="187">
        <v>495.14</v>
      </c>
      <c r="C934" s="187">
        <v>153.52000000000001</v>
      </c>
      <c r="D934" s="187">
        <v>270.13</v>
      </c>
      <c r="E934" s="187">
        <v>316.97000000000003</v>
      </c>
      <c r="F934" s="187">
        <v>322.45999999999998</v>
      </c>
      <c r="G934" s="188">
        <v>322.82</v>
      </c>
      <c r="H934" s="187">
        <v>471.53</v>
      </c>
      <c r="I934" s="187">
        <v>78.34</v>
      </c>
    </row>
    <row r="935" spans="1:9" ht="15.75" customHeight="1" x14ac:dyDescent="0.25">
      <c r="A935" s="169">
        <v>43394</v>
      </c>
      <c r="B935" s="187">
        <v>483.13</v>
      </c>
      <c r="C935" s="187">
        <v>154.94999999999999</v>
      </c>
      <c r="D935" s="187">
        <v>267.51</v>
      </c>
      <c r="E935" s="187">
        <v>316.10000000000002</v>
      </c>
      <c r="F935" s="187">
        <v>321.98</v>
      </c>
      <c r="G935" s="188">
        <v>323.83</v>
      </c>
      <c r="H935" s="187">
        <v>473.17</v>
      </c>
      <c r="I935" s="187">
        <v>76.599999999999994</v>
      </c>
    </row>
    <row r="936" spans="1:9" ht="15.75" customHeight="1" x14ac:dyDescent="0.25">
      <c r="A936" s="169">
        <v>43401</v>
      </c>
      <c r="B936" s="187">
        <v>479.09</v>
      </c>
      <c r="C936" s="187">
        <v>155.74</v>
      </c>
      <c r="D936" s="187">
        <v>268.33</v>
      </c>
      <c r="E936" s="187">
        <v>316.10000000000002</v>
      </c>
      <c r="F936" s="187">
        <v>322.33999999999997</v>
      </c>
      <c r="G936" s="188">
        <v>323.36</v>
      </c>
      <c r="H936" s="187">
        <v>478.76</v>
      </c>
      <c r="I936" s="187">
        <v>77.91</v>
      </c>
    </row>
    <row r="937" spans="1:9" ht="15.75" customHeight="1" x14ac:dyDescent="0.25">
      <c r="A937" s="169">
        <v>43408</v>
      </c>
      <c r="B937" s="187">
        <v>477.65</v>
      </c>
      <c r="C937" s="187">
        <v>156.19</v>
      </c>
      <c r="D937" s="187">
        <v>271.77</v>
      </c>
      <c r="E937" s="187">
        <v>316.24</v>
      </c>
      <c r="F937" s="187">
        <v>321.33999999999997</v>
      </c>
      <c r="G937" s="188">
        <v>324.58</v>
      </c>
      <c r="H937" s="187">
        <v>469.09</v>
      </c>
      <c r="I937" s="187">
        <v>78</v>
      </c>
    </row>
    <row r="938" spans="1:9" ht="15.75" customHeight="1" x14ac:dyDescent="0.25">
      <c r="A938" s="169">
        <v>43415</v>
      </c>
      <c r="B938" s="187">
        <v>457.72</v>
      </c>
      <c r="C938" s="187">
        <v>158.58000000000001</v>
      </c>
      <c r="D938" s="187">
        <v>270.72000000000003</v>
      </c>
      <c r="E938" s="187">
        <v>309.82</v>
      </c>
      <c r="F938" s="187">
        <v>324.41000000000003</v>
      </c>
      <c r="G938" s="188">
        <v>323.95</v>
      </c>
      <c r="H938" s="187">
        <v>466.18</v>
      </c>
      <c r="I938" s="187">
        <v>78.66</v>
      </c>
    </row>
    <row r="939" spans="1:9" ht="15.75" customHeight="1" x14ac:dyDescent="0.25">
      <c r="A939" s="169">
        <v>43422</v>
      </c>
      <c r="B939" s="187">
        <v>455.2</v>
      </c>
      <c r="C939" s="187">
        <v>157.91</v>
      </c>
      <c r="D939" s="187">
        <v>269.82</v>
      </c>
      <c r="E939" s="187">
        <v>309.57</v>
      </c>
      <c r="F939" s="187">
        <v>319.55</v>
      </c>
      <c r="G939" s="188">
        <v>321.13</v>
      </c>
      <c r="H939" s="187">
        <v>475.85</v>
      </c>
      <c r="I939" s="187">
        <v>79.61</v>
      </c>
    </row>
    <row r="940" spans="1:9" ht="15.75" customHeight="1" x14ac:dyDescent="0.25">
      <c r="A940" s="169">
        <v>43429</v>
      </c>
      <c r="B940" s="187">
        <v>454.29</v>
      </c>
      <c r="C940" s="187">
        <v>160.58000000000001</v>
      </c>
      <c r="D940" s="187">
        <v>270.62</v>
      </c>
      <c r="E940" s="187">
        <v>309.69</v>
      </c>
      <c r="F940" s="187">
        <v>317.95999999999998</v>
      </c>
      <c r="G940" s="188">
        <v>320.61</v>
      </c>
      <c r="H940" s="187">
        <v>472.66</v>
      </c>
      <c r="I940" s="187">
        <v>79.510000000000005</v>
      </c>
    </row>
    <row r="941" spans="1:9" ht="15.75" customHeight="1" x14ac:dyDescent="0.25">
      <c r="A941" s="169">
        <v>43436</v>
      </c>
      <c r="B941" s="187">
        <v>451.09</v>
      </c>
      <c r="C941" s="187">
        <v>161.88</v>
      </c>
      <c r="D941" s="187">
        <v>269.62</v>
      </c>
      <c r="E941" s="187">
        <v>309.94</v>
      </c>
      <c r="F941" s="187">
        <v>317.66000000000003</v>
      </c>
      <c r="G941" s="188">
        <v>320.33</v>
      </c>
      <c r="H941" s="187">
        <v>468.5</v>
      </c>
      <c r="I941" s="187">
        <v>79.55</v>
      </c>
    </row>
    <row r="942" spans="1:9" ht="15.75" customHeight="1" x14ac:dyDescent="0.25">
      <c r="A942" s="169">
        <v>43443</v>
      </c>
      <c r="B942" s="187">
        <v>440.38</v>
      </c>
      <c r="C942" s="187">
        <v>167.28</v>
      </c>
      <c r="D942" s="187">
        <v>268.29000000000002</v>
      </c>
      <c r="E942" s="187">
        <v>300.77999999999997</v>
      </c>
      <c r="F942" s="187">
        <v>314.54000000000002</v>
      </c>
      <c r="G942" s="188">
        <v>318.72000000000003</v>
      </c>
      <c r="H942" s="187">
        <v>469.05</v>
      </c>
      <c r="I942" s="187">
        <v>79.430000000000007</v>
      </c>
    </row>
    <row r="943" spans="1:9" ht="15.75" customHeight="1" x14ac:dyDescent="0.25">
      <c r="A943" s="169">
        <v>43450</v>
      </c>
      <c r="B943" s="187">
        <v>441.49</v>
      </c>
      <c r="C943" s="187">
        <v>169.45</v>
      </c>
      <c r="D943" s="187">
        <v>269.95999999999998</v>
      </c>
      <c r="E943" s="187">
        <v>301.27</v>
      </c>
      <c r="F943" s="187">
        <v>312.81</v>
      </c>
      <c r="G943" s="188">
        <v>317.55</v>
      </c>
      <c r="H943" s="187">
        <v>482.74</v>
      </c>
      <c r="I943" s="187">
        <v>79.83</v>
      </c>
    </row>
    <row r="944" spans="1:9" ht="15.75" customHeight="1" x14ac:dyDescent="0.25">
      <c r="A944" s="169">
        <v>43457</v>
      </c>
      <c r="B944" s="187">
        <v>436.58</v>
      </c>
      <c r="C944" s="187">
        <v>169.06</v>
      </c>
      <c r="D944" s="187">
        <v>270.83999999999997</v>
      </c>
      <c r="E944" s="187">
        <v>301.39</v>
      </c>
      <c r="F944" s="187">
        <v>313.29000000000002</v>
      </c>
      <c r="G944" s="188">
        <v>318.05</v>
      </c>
      <c r="H944" s="187">
        <v>480.57</v>
      </c>
      <c r="I944" s="187">
        <v>79.239999999999995</v>
      </c>
    </row>
    <row r="945" spans="1:9" ht="15.75" customHeight="1" x14ac:dyDescent="0.25">
      <c r="A945" s="169">
        <v>43464</v>
      </c>
      <c r="B945" s="187">
        <v>437.39</v>
      </c>
      <c r="C945" s="187">
        <v>171.68</v>
      </c>
      <c r="D945" s="187">
        <v>270.04000000000002</v>
      </c>
      <c r="E945" s="187">
        <v>301.39</v>
      </c>
      <c r="F945" s="187">
        <v>313.58999999999997</v>
      </c>
      <c r="G945" s="188">
        <v>315.79000000000002</v>
      </c>
      <c r="H945" s="187">
        <v>473.51</v>
      </c>
      <c r="I945" s="187">
        <v>79.89</v>
      </c>
    </row>
    <row r="946" spans="1:9" ht="15.75" customHeight="1" x14ac:dyDescent="0.25">
      <c r="A946" s="169">
        <v>43471</v>
      </c>
      <c r="B946" s="187">
        <v>432.5</v>
      </c>
      <c r="C946" s="187">
        <v>172.48</v>
      </c>
      <c r="D946" s="187">
        <v>269.60000000000002</v>
      </c>
      <c r="E946" s="187">
        <v>301.39</v>
      </c>
      <c r="F946" s="187">
        <v>313.95999999999998</v>
      </c>
      <c r="G946" s="188">
        <v>315.20999999999998</v>
      </c>
      <c r="H946" s="187">
        <v>485.59</v>
      </c>
      <c r="I946" s="187">
        <v>80.16</v>
      </c>
    </row>
    <row r="947" spans="1:9" ht="15.75" customHeight="1" x14ac:dyDescent="0.25">
      <c r="A947" s="169">
        <v>43478</v>
      </c>
      <c r="B947" s="187">
        <v>432.31</v>
      </c>
      <c r="C947" s="187">
        <v>179.85</v>
      </c>
      <c r="D947" s="187">
        <v>274.8</v>
      </c>
      <c r="E947" s="187">
        <v>303.63</v>
      </c>
      <c r="F947" s="187">
        <v>310.99</v>
      </c>
      <c r="G947" s="188">
        <v>315.18</v>
      </c>
      <c r="H947" s="187">
        <v>481.63</v>
      </c>
      <c r="I947" s="187">
        <v>81.44</v>
      </c>
    </row>
    <row r="948" spans="1:9" ht="15.75" customHeight="1" x14ac:dyDescent="0.25">
      <c r="A948" s="169">
        <v>43485</v>
      </c>
      <c r="B948" s="187">
        <v>435.12</v>
      </c>
      <c r="C948" s="187">
        <v>184.82</v>
      </c>
      <c r="D948" s="187">
        <v>277.12</v>
      </c>
      <c r="E948" s="187">
        <v>304</v>
      </c>
      <c r="F948" s="187">
        <v>310.83</v>
      </c>
      <c r="G948" s="188">
        <v>315.86</v>
      </c>
      <c r="H948" s="187">
        <v>478.52</v>
      </c>
      <c r="I948" s="187">
        <v>82.72</v>
      </c>
    </row>
    <row r="949" spans="1:9" ht="15.75" customHeight="1" x14ac:dyDescent="0.25">
      <c r="A949" s="169">
        <v>43492</v>
      </c>
      <c r="B949" s="187">
        <v>440.9</v>
      </c>
      <c r="C949" s="187">
        <v>183.91</v>
      </c>
      <c r="D949" s="187">
        <v>280.33999999999997</v>
      </c>
      <c r="E949" s="187">
        <v>303.14</v>
      </c>
      <c r="F949" s="187">
        <v>310.47000000000003</v>
      </c>
      <c r="G949" s="188">
        <v>316.88</v>
      </c>
      <c r="H949" s="187">
        <v>473.1</v>
      </c>
      <c r="I949" s="187">
        <v>83.03</v>
      </c>
    </row>
    <row r="950" spans="1:9" ht="15.75" customHeight="1" x14ac:dyDescent="0.25">
      <c r="A950" s="169">
        <v>43499</v>
      </c>
      <c r="B950" s="187">
        <v>441.82</v>
      </c>
      <c r="C950" s="187">
        <v>185.61</v>
      </c>
      <c r="D950" s="187">
        <v>282.41000000000003</v>
      </c>
      <c r="E950" s="187">
        <v>304.76</v>
      </c>
      <c r="F950" s="187">
        <v>310.95999999999998</v>
      </c>
      <c r="G950" s="188">
        <v>317.25</v>
      </c>
      <c r="H950" s="187">
        <v>488.9</v>
      </c>
      <c r="I950" s="187">
        <v>84.05</v>
      </c>
    </row>
    <row r="951" spans="1:9" ht="15.75" customHeight="1" x14ac:dyDescent="0.25">
      <c r="A951" s="169">
        <v>43506</v>
      </c>
      <c r="B951" s="187">
        <v>441.97</v>
      </c>
      <c r="C951" s="187">
        <v>187.18</v>
      </c>
      <c r="D951" s="187">
        <v>282.11</v>
      </c>
      <c r="E951" s="187">
        <v>309.11</v>
      </c>
      <c r="F951" s="187">
        <v>308.04000000000002</v>
      </c>
      <c r="G951" s="188">
        <v>310.68</v>
      </c>
      <c r="H951" s="187">
        <v>472.81</v>
      </c>
      <c r="I951" s="187">
        <v>82.6</v>
      </c>
    </row>
    <row r="952" spans="1:9" ht="15.75" customHeight="1" x14ac:dyDescent="0.25">
      <c r="A952" s="169">
        <v>43513</v>
      </c>
      <c r="B952" s="187">
        <v>440.39</v>
      </c>
      <c r="C952" s="187">
        <v>189.63</v>
      </c>
      <c r="D952" s="187">
        <v>285.51</v>
      </c>
      <c r="E952" s="187">
        <v>308.73</v>
      </c>
      <c r="F952" s="187">
        <v>305.31</v>
      </c>
      <c r="G952" s="188">
        <v>309.43</v>
      </c>
      <c r="H952" s="187">
        <v>475.59</v>
      </c>
      <c r="I952" s="187">
        <v>83.05</v>
      </c>
    </row>
    <row r="953" spans="1:9" ht="15.75" customHeight="1" x14ac:dyDescent="0.25">
      <c r="A953" s="169">
        <v>43520</v>
      </c>
      <c r="B953" s="187">
        <v>426.79</v>
      </c>
      <c r="C953" s="187">
        <v>190.8</v>
      </c>
      <c r="D953" s="187">
        <v>286.7</v>
      </c>
      <c r="E953" s="187">
        <v>307.11</v>
      </c>
      <c r="F953" s="187">
        <v>305.32</v>
      </c>
      <c r="G953" s="188">
        <v>310.66000000000003</v>
      </c>
      <c r="H953" s="187">
        <v>477.43</v>
      </c>
      <c r="I953" s="187">
        <v>83.86</v>
      </c>
    </row>
    <row r="954" spans="1:9" ht="15.75" customHeight="1" x14ac:dyDescent="0.25">
      <c r="A954" s="169">
        <v>43527</v>
      </c>
      <c r="B954" s="187">
        <v>423.3</v>
      </c>
      <c r="C954" s="187">
        <v>192.11</v>
      </c>
      <c r="D954" s="187">
        <v>282.82</v>
      </c>
      <c r="E954" s="187">
        <v>306.24</v>
      </c>
      <c r="F954" s="187">
        <v>306.25</v>
      </c>
      <c r="G954" s="188">
        <v>309.77</v>
      </c>
      <c r="H954" s="187">
        <v>484.29</v>
      </c>
      <c r="I954" s="187">
        <v>83.23</v>
      </c>
    </row>
    <row r="955" spans="1:9" ht="15.75" customHeight="1" x14ac:dyDescent="0.25">
      <c r="A955" s="169">
        <v>43534</v>
      </c>
      <c r="B955" s="187">
        <v>418.48</v>
      </c>
      <c r="C955" s="187">
        <v>191.65</v>
      </c>
      <c r="D955" s="187">
        <v>288.06</v>
      </c>
      <c r="E955" s="187">
        <v>312.18</v>
      </c>
      <c r="F955" s="187">
        <v>306.05</v>
      </c>
      <c r="G955" s="188">
        <v>309.81</v>
      </c>
      <c r="H955" s="187">
        <v>489.53</v>
      </c>
      <c r="I955" s="187">
        <v>81.47</v>
      </c>
    </row>
    <row r="956" spans="1:9" ht="15.75" customHeight="1" x14ac:dyDescent="0.25">
      <c r="A956" s="169">
        <v>43541</v>
      </c>
      <c r="B956" s="187">
        <v>421.02</v>
      </c>
      <c r="C956" s="187">
        <v>191.96</v>
      </c>
      <c r="D956" s="187">
        <v>286.91000000000003</v>
      </c>
      <c r="E956" s="187">
        <v>312.18</v>
      </c>
      <c r="F956" s="187">
        <v>307.44</v>
      </c>
      <c r="G956" s="188">
        <v>310.23</v>
      </c>
      <c r="H956" s="187">
        <v>479.44</v>
      </c>
      <c r="I956" s="187">
        <v>81.83</v>
      </c>
    </row>
    <row r="957" spans="1:9" ht="15.75" customHeight="1" x14ac:dyDescent="0.25">
      <c r="A957" s="169">
        <v>43548</v>
      </c>
      <c r="B957" s="187">
        <v>417.85</v>
      </c>
      <c r="C957" s="187">
        <v>189.27</v>
      </c>
      <c r="D957" s="187">
        <v>288.18</v>
      </c>
      <c r="E957" s="187">
        <v>312.18</v>
      </c>
      <c r="F957" s="187">
        <v>308.22000000000003</v>
      </c>
      <c r="G957" s="188">
        <v>311.24</v>
      </c>
      <c r="H957" s="187">
        <v>478.43</v>
      </c>
      <c r="I957" s="187">
        <v>80.900000000000006</v>
      </c>
    </row>
    <row r="958" spans="1:9" ht="15.75" customHeight="1" x14ac:dyDescent="0.25">
      <c r="A958" s="169">
        <v>43555</v>
      </c>
      <c r="B958" s="187">
        <v>417.16</v>
      </c>
      <c r="C958" s="187">
        <v>187.9</v>
      </c>
      <c r="D958" s="187">
        <v>288.06</v>
      </c>
      <c r="E958" s="187">
        <v>312.3</v>
      </c>
      <c r="F958" s="187">
        <v>306.33999999999997</v>
      </c>
      <c r="G958" s="188">
        <v>311.83</v>
      </c>
      <c r="H958" s="187">
        <v>479.12</v>
      </c>
      <c r="I958" s="187">
        <v>80.62</v>
      </c>
    </row>
    <row r="959" spans="1:9" ht="15.75" customHeight="1" x14ac:dyDescent="0.25">
      <c r="A959" s="169">
        <v>43562</v>
      </c>
      <c r="B959" s="187">
        <v>417.27</v>
      </c>
      <c r="C959" s="187">
        <v>188.84</v>
      </c>
      <c r="D959" s="187">
        <v>289.58</v>
      </c>
      <c r="E959" s="187">
        <v>308.95999999999998</v>
      </c>
      <c r="F959" s="187">
        <v>307.02</v>
      </c>
      <c r="G959" s="188">
        <v>311.89</v>
      </c>
      <c r="H959" s="187">
        <v>472.33</v>
      </c>
      <c r="I959" s="187">
        <v>80.23</v>
      </c>
    </row>
    <row r="960" spans="1:9" ht="15.75" customHeight="1" x14ac:dyDescent="0.25">
      <c r="A960" s="169">
        <v>43569</v>
      </c>
      <c r="B960" s="187">
        <v>414.84</v>
      </c>
      <c r="C960" s="187">
        <v>190.5</v>
      </c>
      <c r="D960" s="187">
        <v>290.39</v>
      </c>
      <c r="E960" s="187">
        <v>308.95999999999998</v>
      </c>
      <c r="F960" s="187">
        <v>307.89</v>
      </c>
      <c r="G960" s="188">
        <v>310.5</v>
      </c>
      <c r="H960" s="187">
        <v>470.88</v>
      </c>
      <c r="I960" s="187">
        <v>81.180000000000007</v>
      </c>
    </row>
    <row r="961" spans="1:9" ht="15.75" customHeight="1" x14ac:dyDescent="0.25">
      <c r="A961" s="169">
        <v>43576</v>
      </c>
      <c r="B961" s="187">
        <v>417.37</v>
      </c>
      <c r="C961" s="187">
        <v>191.17</v>
      </c>
      <c r="D961" s="187">
        <v>292.45</v>
      </c>
      <c r="E961" s="187">
        <v>309.20999999999998</v>
      </c>
      <c r="F961" s="187">
        <v>307.02999999999997</v>
      </c>
      <c r="G961" s="188">
        <v>311.47000000000003</v>
      </c>
      <c r="H961" s="187">
        <v>471.62</v>
      </c>
      <c r="I961" s="187">
        <v>80.099999999999994</v>
      </c>
    </row>
    <row r="962" spans="1:9" ht="15.75" customHeight="1" x14ac:dyDescent="0.25">
      <c r="A962" s="169">
        <v>43583</v>
      </c>
      <c r="B962" s="187">
        <v>416.65</v>
      </c>
      <c r="C962" s="187">
        <v>195.16</v>
      </c>
      <c r="D962" s="187">
        <v>290.39</v>
      </c>
      <c r="E962" s="187">
        <v>308.83999999999997</v>
      </c>
      <c r="F962" s="187">
        <v>307.06</v>
      </c>
      <c r="G962" s="188">
        <v>311.36</v>
      </c>
      <c r="H962" s="187">
        <v>474.35</v>
      </c>
      <c r="I962" s="187">
        <v>80.31</v>
      </c>
    </row>
    <row r="963" spans="1:9" ht="15.75" customHeight="1" x14ac:dyDescent="0.25">
      <c r="A963" s="169">
        <v>43590</v>
      </c>
      <c r="B963" s="187">
        <v>415.27</v>
      </c>
      <c r="C963" s="187">
        <v>196.85</v>
      </c>
      <c r="D963" s="187">
        <v>294.77</v>
      </c>
      <c r="E963" s="187">
        <v>308.95999999999998</v>
      </c>
      <c r="F963" s="187">
        <v>306.13</v>
      </c>
      <c r="G963" s="188">
        <v>310.33</v>
      </c>
      <c r="H963" s="187">
        <v>474.58</v>
      </c>
      <c r="I963" s="187">
        <v>79.61</v>
      </c>
    </row>
    <row r="964" spans="1:9" ht="15.75" customHeight="1" x14ac:dyDescent="0.25">
      <c r="A964" s="169">
        <v>43597</v>
      </c>
      <c r="B964" s="187">
        <v>419.26</v>
      </c>
      <c r="C964" s="187">
        <v>200.05</v>
      </c>
      <c r="D964" s="187">
        <v>295.22000000000003</v>
      </c>
      <c r="E964" s="187">
        <v>309.58999999999997</v>
      </c>
      <c r="F964" s="187">
        <v>307.23</v>
      </c>
      <c r="G964" s="188">
        <v>314.62</v>
      </c>
      <c r="H964" s="187">
        <v>473.92</v>
      </c>
      <c r="I964" s="187">
        <v>79.349999999999994</v>
      </c>
    </row>
    <row r="965" spans="1:9" ht="15.75" customHeight="1" x14ac:dyDescent="0.25">
      <c r="A965" s="169">
        <v>43604</v>
      </c>
      <c r="B965" s="187">
        <v>411.87</v>
      </c>
      <c r="C965" s="187">
        <v>203.05</v>
      </c>
      <c r="D965" s="187">
        <v>295.10000000000002</v>
      </c>
      <c r="E965" s="187">
        <v>311.08999999999997</v>
      </c>
      <c r="F965" s="187">
        <v>308.23</v>
      </c>
      <c r="G965" s="188">
        <v>311.25</v>
      </c>
      <c r="H965" s="187">
        <v>467.39</v>
      </c>
      <c r="I965" s="187">
        <v>78.290000000000006</v>
      </c>
    </row>
    <row r="966" spans="1:9" ht="15.75" customHeight="1" x14ac:dyDescent="0.25">
      <c r="A966" s="169">
        <v>43611</v>
      </c>
      <c r="B966" s="187">
        <v>405.76</v>
      </c>
      <c r="C966" s="187">
        <v>203.76</v>
      </c>
      <c r="D966" s="187">
        <v>296.06</v>
      </c>
      <c r="E966" s="187">
        <v>310.33999999999997</v>
      </c>
      <c r="F966" s="187">
        <v>306.83999999999997</v>
      </c>
      <c r="G966" s="188">
        <v>309.91000000000003</v>
      </c>
      <c r="H966" s="187">
        <v>467.06</v>
      </c>
      <c r="I966" s="187">
        <v>77.599999999999994</v>
      </c>
    </row>
    <row r="967" spans="1:9" ht="15.75" customHeight="1" x14ac:dyDescent="0.25">
      <c r="A967" s="169">
        <v>43618</v>
      </c>
      <c r="B967" s="187">
        <v>403.38</v>
      </c>
      <c r="C967" s="187">
        <v>203.98</v>
      </c>
      <c r="D967" s="187">
        <v>296.56</v>
      </c>
      <c r="E967" s="187">
        <v>308.83999999999997</v>
      </c>
      <c r="F967" s="187">
        <v>305.29000000000002</v>
      </c>
      <c r="G967" s="188">
        <v>308.8</v>
      </c>
      <c r="H967" s="187">
        <v>471.39</v>
      </c>
      <c r="I967" s="187">
        <v>77.150000000000006</v>
      </c>
    </row>
    <row r="968" spans="1:9" ht="15.75" customHeight="1" x14ac:dyDescent="0.25">
      <c r="A968" s="169">
        <v>43625</v>
      </c>
      <c r="B968" s="187">
        <v>399.64</v>
      </c>
      <c r="C968" s="187">
        <v>204.97</v>
      </c>
      <c r="D968" s="187">
        <v>295.75</v>
      </c>
      <c r="E968" s="187">
        <v>302.76</v>
      </c>
      <c r="F968" s="187">
        <v>306.68</v>
      </c>
      <c r="G968" s="188">
        <v>309.29000000000002</v>
      </c>
      <c r="H968" s="187">
        <v>469.59</v>
      </c>
      <c r="I968" s="187">
        <v>76.900000000000006</v>
      </c>
    </row>
    <row r="969" spans="1:9" ht="15.75" customHeight="1" x14ac:dyDescent="0.25">
      <c r="A969" s="169">
        <v>43632</v>
      </c>
      <c r="B969" s="187">
        <v>397.11</v>
      </c>
      <c r="C969" s="187">
        <v>204.83</v>
      </c>
      <c r="D969" s="187">
        <v>290.70999999999998</v>
      </c>
      <c r="E969" s="187">
        <v>302.25</v>
      </c>
      <c r="F969" s="187">
        <v>308.45</v>
      </c>
      <c r="G969" s="188">
        <v>312.25</v>
      </c>
      <c r="H969" s="187">
        <v>473.53</v>
      </c>
      <c r="I969" s="187">
        <v>76.459999999999994</v>
      </c>
    </row>
    <row r="970" spans="1:9" ht="15.75" customHeight="1" x14ac:dyDescent="0.25">
      <c r="A970" s="169">
        <v>43639</v>
      </c>
      <c r="B970" s="187">
        <v>389.34</v>
      </c>
      <c r="C970" s="187">
        <v>205.6</v>
      </c>
      <c r="D970" s="187">
        <v>289.39999999999998</v>
      </c>
      <c r="E970" s="187">
        <v>302.37</v>
      </c>
      <c r="F970" s="187">
        <v>307.69</v>
      </c>
      <c r="G970" s="188">
        <v>311.32</v>
      </c>
      <c r="H970" s="187">
        <v>471.27</v>
      </c>
      <c r="I970" s="187">
        <v>74.819999999999993</v>
      </c>
    </row>
    <row r="971" spans="1:9" ht="15.75" customHeight="1" x14ac:dyDescent="0.25">
      <c r="A971" s="169">
        <v>43646</v>
      </c>
      <c r="B971" s="187">
        <v>392.94</v>
      </c>
      <c r="C971" s="187">
        <v>202.79</v>
      </c>
      <c r="D971" s="187">
        <v>287.68</v>
      </c>
      <c r="E971" s="187">
        <v>302.37</v>
      </c>
      <c r="F971" s="187">
        <v>310.22000000000003</v>
      </c>
      <c r="G971" s="188">
        <v>312.48</v>
      </c>
      <c r="H971" s="187">
        <v>470.78</v>
      </c>
      <c r="I971" s="187">
        <v>73.599999999999994</v>
      </c>
    </row>
    <row r="972" spans="1:9" ht="15.75" customHeight="1" x14ac:dyDescent="0.25">
      <c r="A972" s="169">
        <v>43653</v>
      </c>
      <c r="B972" s="187">
        <v>384.98</v>
      </c>
      <c r="C972" s="187">
        <v>205.89</v>
      </c>
      <c r="D972" s="187">
        <v>289.2</v>
      </c>
      <c r="E972" s="187">
        <v>301.38</v>
      </c>
      <c r="F972" s="187">
        <v>308.24</v>
      </c>
      <c r="G972" s="188">
        <v>310.99</v>
      </c>
      <c r="H972" s="187">
        <v>478.93</v>
      </c>
      <c r="I972" s="187">
        <v>71.569999999999993</v>
      </c>
    </row>
    <row r="973" spans="1:9" ht="15.75" customHeight="1" x14ac:dyDescent="0.25">
      <c r="A973" s="169">
        <v>43660</v>
      </c>
      <c r="B973" s="187">
        <v>384.36</v>
      </c>
      <c r="C973" s="187">
        <v>204.87</v>
      </c>
      <c r="D973" s="187">
        <v>284.58999999999997</v>
      </c>
      <c r="E973" s="187">
        <v>300.51</v>
      </c>
      <c r="F973" s="187">
        <v>305.68</v>
      </c>
      <c r="G973" s="188">
        <v>309.25</v>
      </c>
      <c r="H973" s="187">
        <v>471.39</v>
      </c>
      <c r="I973" s="187">
        <v>70.8</v>
      </c>
    </row>
    <row r="974" spans="1:9" ht="15.75" customHeight="1" x14ac:dyDescent="0.25">
      <c r="A974" s="169">
        <v>43667</v>
      </c>
      <c r="B974" s="187">
        <v>375.62</v>
      </c>
      <c r="C974" s="187">
        <v>205.07</v>
      </c>
      <c r="D974" s="187">
        <v>287.31</v>
      </c>
      <c r="E974" s="187">
        <v>300.51</v>
      </c>
      <c r="F974" s="187">
        <v>308.39999999999998</v>
      </c>
      <c r="G974" s="188">
        <v>308.75</v>
      </c>
      <c r="H974" s="187">
        <v>475.75</v>
      </c>
      <c r="I974" s="187">
        <v>67.55</v>
      </c>
    </row>
    <row r="975" spans="1:9" ht="15.75" customHeight="1" x14ac:dyDescent="0.25">
      <c r="A975" s="169">
        <v>43674</v>
      </c>
      <c r="B975" s="187">
        <v>379.95</v>
      </c>
      <c r="C975" s="187">
        <v>205.43</v>
      </c>
      <c r="D975" s="187">
        <v>284.24</v>
      </c>
      <c r="E975" s="187">
        <v>300.27</v>
      </c>
      <c r="F975" s="187">
        <v>309.79000000000002</v>
      </c>
      <c r="G975" s="188">
        <v>310.60000000000002</v>
      </c>
      <c r="H975" s="187">
        <v>469.25</v>
      </c>
      <c r="I975" s="187">
        <v>67.45</v>
      </c>
    </row>
    <row r="976" spans="1:9" ht="15.75" customHeight="1" x14ac:dyDescent="0.25">
      <c r="A976" s="169">
        <v>43681</v>
      </c>
      <c r="B976" s="187">
        <v>360.06</v>
      </c>
      <c r="C976" s="187">
        <v>208.18</v>
      </c>
      <c r="D976" s="187">
        <v>290.51</v>
      </c>
      <c r="E976" s="187">
        <v>300.14999999999998</v>
      </c>
      <c r="F976" s="187">
        <v>307.04000000000002</v>
      </c>
      <c r="G976" s="188">
        <v>310.67</v>
      </c>
      <c r="H976" s="187">
        <v>475.18</v>
      </c>
      <c r="I976" s="187">
        <v>67.87</v>
      </c>
    </row>
    <row r="977" spans="1:9" ht="15.75" customHeight="1" x14ac:dyDescent="0.25">
      <c r="A977" s="169">
        <v>43688</v>
      </c>
      <c r="B977" s="187">
        <v>359.6</v>
      </c>
      <c r="C977" s="187">
        <v>209.04</v>
      </c>
      <c r="D977" s="187">
        <v>287</v>
      </c>
      <c r="E977" s="187">
        <v>300.27</v>
      </c>
      <c r="F977" s="187">
        <v>308.77</v>
      </c>
      <c r="G977" s="188">
        <v>310.64999999999998</v>
      </c>
      <c r="H977" s="187">
        <v>470.15</v>
      </c>
      <c r="I977" s="187">
        <v>67.7</v>
      </c>
    </row>
    <row r="978" spans="1:9" ht="15.75" customHeight="1" x14ac:dyDescent="0.25">
      <c r="A978" s="169">
        <v>43695</v>
      </c>
      <c r="B978" s="187">
        <v>355.57</v>
      </c>
      <c r="C978" s="187">
        <v>207.9</v>
      </c>
      <c r="D978" s="187">
        <v>283.08</v>
      </c>
      <c r="E978" s="187">
        <v>300.02</v>
      </c>
      <c r="F978" s="187">
        <v>308.14</v>
      </c>
      <c r="G978" s="188">
        <v>309.19</v>
      </c>
      <c r="H978" s="187">
        <v>486.54</v>
      </c>
      <c r="I978" s="187">
        <v>66.92</v>
      </c>
    </row>
    <row r="979" spans="1:9" ht="15.75" customHeight="1" x14ac:dyDescent="0.25">
      <c r="A979" s="169">
        <v>43702</v>
      </c>
      <c r="B979" s="187">
        <v>359.2</v>
      </c>
      <c r="C979" s="187">
        <v>207.63</v>
      </c>
      <c r="D979" s="187">
        <v>282.58999999999997</v>
      </c>
      <c r="E979" s="187">
        <v>299.89999999999998</v>
      </c>
      <c r="F979" s="187">
        <v>307.42</v>
      </c>
      <c r="G979" s="188">
        <v>309.79000000000002</v>
      </c>
      <c r="H979" s="187">
        <v>474.5</v>
      </c>
      <c r="I979" s="187">
        <v>67.849999999999994</v>
      </c>
    </row>
    <row r="980" spans="1:9" ht="15.75" customHeight="1" x14ac:dyDescent="0.25">
      <c r="A980" s="169">
        <v>43709</v>
      </c>
      <c r="B980" s="187">
        <v>358.21</v>
      </c>
      <c r="C980" s="187">
        <v>209.66</v>
      </c>
      <c r="D980" s="187">
        <v>285.57</v>
      </c>
      <c r="E980" s="187">
        <v>299.27</v>
      </c>
      <c r="F980" s="187">
        <v>307</v>
      </c>
      <c r="G980" s="188">
        <v>312.18</v>
      </c>
      <c r="H980" s="187">
        <v>489.46</v>
      </c>
      <c r="I980" s="187">
        <v>67.430000000000007</v>
      </c>
    </row>
    <row r="981" spans="1:9" ht="15.75" customHeight="1" x14ac:dyDescent="0.25">
      <c r="A981" s="169">
        <v>43716</v>
      </c>
      <c r="B981" s="187">
        <v>363.77</v>
      </c>
      <c r="C981" s="187">
        <v>212.19</v>
      </c>
      <c r="D981" s="187">
        <v>287.89999999999998</v>
      </c>
      <c r="E981" s="187">
        <v>297.23</v>
      </c>
      <c r="F981" s="187">
        <v>309.02</v>
      </c>
      <c r="G981" s="188">
        <v>313.88</v>
      </c>
      <c r="H981" s="187">
        <v>478.25</v>
      </c>
      <c r="I981" s="187">
        <v>68.22</v>
      </c>
    </row>
    <row r="982" spans="1:9" ht="15.75" customHeight="1" x14ac:dyDescent="0.25">
      <c r="A982" s="169">
        <v>43723</v>
      </c>
      <c r="B982" s="187">
        <v>361.69</v>
      </c>
      <c r="C982" s="187">
        <v>215.23</v>
      </c>
      <c r="D982" s="187">
        <v>292.60000000000002</v>
      </c>
      <c r="E982" s="187">
        <v>297.61</v>
      </c>
      <c r="F982" s="187">
        <v>307.37</v>
      </c>
      <c r="G982" s="188">
        <v>313.60000000000002</v>
      </c>
      <c r="H982" s="187">
        <v>477.07</v>
      </c>
      <c r="I982" s="187">
        <v>67.3</v>
      </c>
    </row>
    <row r="983" spans="1:9" ht="15.75" customHeight="1" x14ac:dyDescent="0.25">
      <c r="A983" s="169">
        <v>43730</v>
      </c>
      <c r="B983" s="187">
        <v>362.77</v>
      </c>
      <c r="C983" s="187">
        <v>218.19</v>
      </c>
      <c r="D983" s="187">
        <v>291.77999999999997</v>
      </c>
      <c r="E983" s="187">
        <v>296.61</v>
      </c>
      <c r="F983" s="187">
        <v>308.51</v>
      </c>
      <c r="G983" s="188">
        <v>313.02999999999997</v>
      </c>
      <c r="H983" s="187">
        <v>478.26</v>
      </c>
      <c r="I983" s="187">
        <v>68.540000000000006</v>
      </c>
    </row>
    <row r="984" spans="1:9" ht="15.75" customHeight="1" x14ac:dyDescent="0.25">
      <c r="A984" s="169">
        <v>43737</v>
      </c>
      <c r="B984" s="187">
        <v>363.82</v>
      </c>
      <c r="C984" s="187">
        <v>222.48</v>
      </c>
      <c r="D984" s="187">
        <v>296.06</v>
      </c>
      <c r="E984" s="187">
        <v>295.36</v>
      </c>
      <c r="F984" s="187">
        <v>309</v>
      </c>
      <c r="G984" s="188">
        <v>313.61</v>
      </c>
      <c r="H984" s="187">
        <v>472.07</v>
      </c>
      <c r="I984" s="187">
        <v>68.849999999999994</v>
      </c>
    </row>
    <row r="985" spans="1:9" ht="15.75" customHeight="1" x14ac:dyDescent="0.25">
      <c r="A985" s="169">
        <v>43744</v>
      </c>
      <c r="B985" s="187">
        <v>364.36</v>
      </c>
      <c r="C985" s="187">
        <v>227.69</v>
      </c>
      <c r="D985" s="187">
        <v>296</v>
      </c>
      <c r="E985" s="187">
        <v>295.36</v>
      </c>
      <c r="F985" s="187">
        <v>311.33999999999997</v>
      </c>
      <c r="G985" s="188">
        <v>313.49</v>
      </c>
      <c r="H985" s="187">
        <v>464.53</v>
      </c>
      <c r="I985" s="187">
        <v>69.53</v>
      </c>
    </row>
    <row r="986" spans="1:9" ht="15.75" customHeight="1" x14ac:dyDescent="0.25">
      <c r="A986" s="169">
        <v>43751</v>
      </c>
      <c r="B986" s="187">
        <v>362.02</v>
      </c>
      <c r="C986" s="187">
        <v>231.04</v>
      </c>
      <c r="D986" s="187">
        <v>297.66000000000003</v>
      </c>
      <c r="E986" s="187">
        <v>295.48</v>
      </c>
      <c r="F986" s="187">
        <v>310.39999999999998</v>
      </c>
      <c r="G986" s="188">
        <v>313.35000000000002</v>
      </c>
      <c r="H986" s="187">
        <v>474.33</v>
      </c>
      <c r="I986" s="187">
        <v>70.2</v>
      </c>
    </row>
    <row r="987" spans="1:9" ht="15.75" customHeight="1" x14ac:dyDescent="0.25">
      <c r="A987" s="169">
        <v>43758</v>
      </c>
      <c r="B987" s="187">
        <v>357.18</v>
      </c>
      <c r="C987" s="187">
        <v>232.18</v>
      </c>
      <c r="D987" s="187">
        <v>296.57</v>
      </c>
      <c r="E987" s="187">
        <v>296.11</v>
      </c>
      <c r="F987" s="187">
        <v>311.14999999999998</v>
      </c>
      <c r="G987" s="188">
        <v>314.98</v>
      </c>
      <c r="H987" s="187">
        <v>483.05</v>
      </c>
      <c r="I987" s="187">
        <v>71.349999999999994</v>
      </c>
    </row>
    <row r="988" spans="1:9" ht="15.75" customHeight="1" x14ac:dyDescent="0.25">
      <c r="A988" s="169">
        <v>43765</v>
      </c>
      <c r="B988" s="187">
        <v>362.89</v>
      </c>
      <c r="C988" s="187">
        <v>234.71</v>
      </c>
      <c r="D988" s="187">
        <v>300.05</v>
      </c>
      <c r="E988" s="187">
        <v>298.48</v>
      </c>
      <c r="F988" s="187">
        <v>312.23</v>
      </c>
      <c r="G988" s="188">
        <v>314.76</v>
      </c>
      <c r="H988" s="187">
        <v>470.61</v>
      </c>
      <c r="I988" s="187">
        <v>71.349999999999994</v>
      </c>
    </row>
    <row r="989" spans="1:9" ht="15.75" customHeight="1" x14ac:dyDescent="0.25">
      <c r="A989" s="169">
        <v>43772</v>
      </c>
      <c r="B989" s="187">
        <v>359.57</v>
      </c>
      <c r="C989" s="187">
        <v>235.83</v>
      </c>
      <c r="D989" s="187">
        <v>296.08</v>
      </c>
      <c r="E989" s="187">
        <v>299.86</v>
      </c>
      <c r="F989" s="187">
        <v>312.26</v>
      </c>
      <c r="G989" s="188">
        <v>314.72000000000003</v>
      </c>
      <c r="H989" s="187">
        <v>472.97</v>
      </c>
      <c r="I989" s="187">
        <v>73.05</v>
      </c>
    </row>
    <row r="990" spans="1:9" ht="15.75" customHeight="1" x14ac:dyDescent="0.25">
      <c r="A990" s="169">
        <v>43779</v>
      </c>
      <c r="B990" s="187">
        <v>364.6</v>
      </c>
      <c r="C990" s="187">
        <v>240.73</v>
      </c>
      <c r="D990" s="187">
        <v>299.87</v>
      </c>
      <c r="E990" s="187">
        <v>297.75</v>
      </c>
      <c r="F990" s="187">
        <v>312.64</v>
      </c>
      <c r="G990" s="188">
        <v>315.91000000000003</v>
      </c>
      <c r="H990" s="187">
        <v>474.1</v>
      </c>
      <c r="I990" s="187">
        <v>72.69</v>
      </c>
    </row>
    <row r="991" spans="1:9" ht="15.75" customHeight="1" x14ac:dyDescent="0.25">
      <c r="A991" s="169">
        <v>43786</v>
      </c>
      <c r="B991" s="187">
        <v>365.15</v>
      </c>
      <c r="C991" s="187">
        <v>244.64</v>
      </c>
      <c r="D991" s="187">
        <v>302.47000000000003</v>
      </c>
      <c r="E991" s="187">
        <v>298.25</v>
      </c>
      <c r="F991" s="187">
        <v>315.27999999999997</v>
      </c>
      <c r="G991" s="188">
        <v>316.54000000000002</v>
      </c>
      <c r="H991" s="187">
        <v>474.62</v>
      </c>
      <c r="I991" s="187">
        <v>73.69</v>
      </c>
    </row>
    <row r="992" spans="1:9" ht="15.75" customHeight="1" x14ac:dyDescent="0.25">
      <c r="A992" s="169">
        <v>43793</v>
      </c>
      <c r="B992" s="187">
        <v>364</v>
      </c>
      <c r="C992" s="187">
        <v>247.36</v>
      </c>
      <c r="D992" s="187">
        <v>303.45999999999998</v>
      </c>
      <c r="E992" s="187">
        <v>297.12</v>
      </c>
      <c r="F992" s="187">
        <v>314.74</v>
      </c>
      <c r="G992" s="188">
        <v>316.88</v>
      </c>
      <c r="H992" s="187">
        <v>477.3</v>
      </c>
      <c r="I992" s="187">
        <v>72.92</v>
      </c>
    </row>
    <row r="993" spans="1:9" ht="15.75" customHeight="1" x14ac:dyDescent="0.25">
      <c r="A993" s="169">
        <v>43800</v>
      </c>
      <c r="B993" s="187">
        <v>362.94</v>
      </c>
      <c r="C993" s="187">
        <v>249.5</v>
      </c>
      <c r="D993" s="187">
        <v>304.44</v>
      </c>
      <c r="E993" s="187">
        <v>296.75</v>
      </c>
      <c r="F993" s="187">
        <v>315.73</v>
      </c>
      <c r="G993" s="188">
        <v>317.10000000000002</v>
      </c>
      <c r="H993" s="187">
        <v>470.43</v>
      </c>
      <c r="I993" s="187">
        <v>74.47</v>
      </c>
    </row>
    <row r="994" spans="1:9" ht="15.75" customHeight="1" x14ac:dyDescent="0.25">
      <c r="A994" s="169">
        <v>43807</v>
      </c>
      <c r="B994" s="187">
        <v>367.67</v>
      </c>
      <c r="C994" s="187">
        <v>252.06</v>
      </c>
      <c r="D994" s="187">
        <v>308.62</v>
      </c>
      <c r="E994" s="187">
        <v>298.60000000000002</v>
      </c>
      <c r="F994" s="187">
        <v>317.83</v>
      </c>
      <c r="G994" s="188">
        <v>319.27999999999997</v>
      </c>
      <c r="H994" s="187">
        <v>473.75</v>
      </c>
      <c r="I994" s="187">
        <v>77.48</v>
      </c>
    </row>
    <row r="995" spans="1:9" ht="15.75" customHeight="1" x14ac:dyDescent="0.25">
      <c r="A995" s="169">
        <v>43814</v>
      </c>
      <c r="B995" s="187">
        <v>363.87</v>
      </c>
      <c r="C995" s="187">
        <v>253.36</v>
      </c>
      <c r="D995" s="187">
        <v>306.27999999999997</v>
      </c>
      <c r="E995" s="187">
        <v>298.73</v>
      </c>
      <c r="F995" s="187">
        <v>317.87</v>
      </c>
      <c r="G995" s="188">
        <v>323.3</v>
      </c>
      <c r="H995" s="187">
        <v>476.23</v>
      </c>
      <c r="I995" s="187">
        <v>75.459999999999994</v>
      </c>
    </row>
    <row r="996" spans="1:9" ht="15.75" customHeight="1" x14ac:dyDescent="0.25">
      <c r="A996" s="169">
        <v>43821</v>
      </c>
      <c r="B996" s="187">
        <v>364.93</v>
      </c>
      <c r="C996" s="187">
        <v>254.61</v>
      </c>
      <c r="D996" s="187">
        <v>306.19</v>
      </c>
      <c r="E996" s="187">
        <v>299.20999999999998</v>
      </c>
      <c r="F996" s="187">
        <v>321.16000000000003</v>
      </c>
      <c r="G996" s="188">
        <v>324.76</v>
      </c>
      <c r="H996" s="187">
        <v>478.73</v>
      </c>
      <c r="I996" s="187">
        <v>76.05</v>
      </c>
    </row>
    <row r="997" spans="1:9" ht="15.75" customHeight="1" x14ac:dyDescent="0.25">
      <c r="A997" s="169">
        <v>43828</v>
      </c>
      <c r="B997" s="187">
        <v>366.07</v>
      </c>
      <c r="C997" s="187">
        <v>254.97</v>
      </c>
      <c r="D997" s="187">
        <v>303.52</v>
      </c>
      <c r="E997" s="187">
        <v>298.11</v>
      </c>
      <c r="F997" s="187">
        <v>321.60000000000002</v>
      </c>
      <c r="G997" s="188">
        <v>326.44</v>
      </c>
      <c r="H997" s="187">
        <v>475.65</v>
      </c>
      <c r="I997" s="187">
        <v>77.64</v>
      </c>
    </row>
    <row r="998" spans="1:9" ht="15.75" customHeight="1" x14ac:dyDescent="0.25">
      <c r="A998" s="169">
        <v>43835</v>
      </c>
      <c r="B998" s="187">
        <v>367.88</v>
      </c>
      <c r="C998" s="187">
        <v>256.61</v>
      </c>
      <c r="D998" s="187">
        <v>304.08</v>
      </c>
      <c r="E998" s="187">
        <v>298.11</v>
      </c>
      <c r="F998" s="187">
        <v>323.14</v>
      </c>
      <c r="G998" s="188">
        <v>328.61</v>
      </c>
      <c r="H998" s="187">
        <v>484.41</v>
      </c>
      <c r="I998" s="187">
        <v>76.040000000000006</v>
      </c>
    </row>
    <row r="999" spans="1:9" ht="15.75" customHeight="1" x14ac:dyDescent="0.25">
      <c r="A999" s="169">
        <v>43842</v>
      </c>
      <c r="B999" s="187">
        <v>363.5</v>
      </c>
      <c r="C999" s="187">
        <v>257.14</v>
      </c>
      <c r="D999" s="187">
        <v>302.88</v>
      </c>
      <c r="E999" s="187">
        <v>300.38</v>
      </c>
      <c r="F999" s="187">
        <v>323.10000000000002</v>
      </c>
      <c r="G999" s="188">
        <v>326.05</v>
      </c>
      <c r="H999" s="187">
        <v>489.02</v>
      </c>
      <c r="I999" s="187">
        <v>76.64</v>
      </c>
    </row>
    <row r="1000" spans="1:9" ht="15.75" customHeight="1" x14ac:dyDescent="0.25">
      <c r="A1000" s="169">
        <v>43849</v>
      </c>
      <c r="B1000" s="187">
        <v>365.26</v>
      </c>
      <c r="C1000" s="187">
        <v>258.63</v>
      </c>
      <c r="D1000" s="187">
        <v>304.95999999999998</v>
      </c>
      <c r="E1000" s="187">
        <v>301.25</v>
      </c>
      <c r="F1000" s="187">
        <v>326.64</v>
      </c>
      <c r="G1000" s="188">
        <v>331.42</v>
      </c>
      <c r="H1000" s="187">
        <v>483.97</v>
      </c>
      <c r="I1000" s="187">
        <v>79.239999999999995</v>
      </c>
    </row>
    <row r="1001" spans="1:9" ht="15.75" customHeight="1" x14ac:dyDescent="0.25">
      <c r="A1001" s="169">
        <v>43856</v>
      </c>
      <c r="B1001" s="187">
        <v>362.48</v>
      </c>
      <c r="C1001" s="187">
        <v>260.45</v>
      </c>
      <c r="D1001" s="187">
        <v>303.41000000000003</v>
      </c>
      <c r="E1001" s="187">
        <v>301.37</v>
      </c>
      <c r="F1001" s="187">
        <v>326.89</v>
      </c>
      <c r="G1001" s="188">
        <v>330.02</v>
      </c>
      <c r="H1001" s="187">
        <v>482.6</v>
      </c>
      <c r="I1001" s="187">
        <v>82.71</v>
      </c>
    </row>
    <row r="1002" spans="1:9" ht="15.75" customHeight="1" x14ac:dyDescent="0.25">
      <c r="A1002" s="169">
        <v>43863</v>
      </c>
      <c r="B1002" s="187">
        <v>363.28</v>
      </c>
      <c r="C1002" s="187">
        <v>260.43</v>
      </c>
      <c r="D1002" s="187">
        <v>306.3</v>
      </c>
      <c r="E1002" s="187">
        <v>301.49</v>
      </c>
      <c r="F1002" s="187">
        <v>325.87</v>
      </c>
      <c r="G1002" s="188">
        <v>329.21</v>
      </c>
      <c r="H1002" s="187">
        <v>475.72</v>
      </c>
      <c r="I1002" s="187">
        <v>80.7</v>
      </c>
    </row>
    <row r="1003" spans="1:9" ht="15.75" customHeight="1" x14ac:dyDescent="0.25">
      <c r="A1003" s="169">
        <v>43870</v>
      </c>
      <c r="B1003" s="187">
        <v>361.47</v>
      </c>
      <c r="C1003" s="187">
        <v>260.66000000000003</v>
      </c>
      <c r="D1003" s="187">
        <v>306.63</v>
      </c>
      <c r="E1003" s="187">
        <v>304.45999999999998</v>
      </c>
      <c r="F1003" s="187">
        <v>324.79000000000002</v>
      </c>
      <c r="G1003" s="188">
        <v>329.21</v>
      </c>
      <c r="H1003" s="187">
        <v>478.5</v>
      </c>
      <c r="I1003" s="187">
        <v>82.6</v>
      </c>
    </row>
    <row r="1004" spans="1:9" ht="15.75" customHeight="1" x14ac:dyDescent="0.25">
      <c r="A1004" s="169">
        <v>43877</v>
      </c>
      <c r="B1004" s="187">
        <v>360.21</v>
      </c>
      <c r="C1004" s="187">
        <v>258.56</v>
      </c>
      <c r="D1004" s="187">
        <v>304.19</v>
      </c>
      <c r="E1004" s="187">
        <v>304.70999999999998</v>
      </c>
      <c r="F1004" s="187">
        <v>326.58</v>
      </c>
      <c r="G1004" s="188">
        <v>329.65</v>
      </c>
      <c r="H1004" s="187">
        <v>479.23</v>
      </c>
      <c r="I1004" s="187">
        <v>82.35</v>
      </c>
    </row>
    <row r="1005" spans="1:9" ht="15.75" customHeight="1" x14ac:dyDescent="0.25">
      <c r="A1005" s="169">
        <v>43884</v>
      </c>
      <c r="B1005" s="187">
        <v>355.14</v>
      </c>
      <c r="C1005" s="187">
        <v>256.12</v>
      </c>
      <c r="D1005" s="187">
        <v>300.02</v>
      </c>
      <c r="E1005" s="187">
        <v>304.70999999999998</v>
      </c>
      <c r="F1005" s="187">
        <v>327.58</v>
      </c>
      <c r="G1005" s="188">
        <v>328.81</v>
      </c>
      <c r="H1005" s="187">
        <v>482.7</v>
      </c>
      <c r="I1005" s="187">
        <v>81.77</v>
      </c>
    </row>
    <row r="1006" spans="1:9" ht="15.75" customHeight="1" x14ac:dyDescent="0.25">
      <c r="A1006" s="169">
        <v>43891</v>
      </c>
      <c r="B1006" s="187">
        <v>352.59</v>
      </c>
      <c r="C1006" s="187">
        <v>253.76</v>
      </c>
      <c r="D1006" s="187">
        <v>299.91000000000003</v>
      </c>
      <c r="E1006" s="187">
        <v>304.95</v>
      </c>
      <c r="F1006" s="187">
        <v>327.94</v>
      </c>
      <c r="G1006" s="188">
        <v>329.01</v>
      </c>
      <c r="H1006" s="187">
        <v>494.96</v>
      </c>
      <c r="I1006" s="187">
        <v>81.8</v>
      </c>
    </row>
    <row r="1007" spans="1:9" ht="15.75" customHeight="1" x14ac:dyDescent="0.25">
      <c r="A1007" s="169">
        <v>43898</v>
      </c>
      <c r="B1007" s="187">
        <v>351.06</v>
      </c>
      <c r="C1007" s="187">
        <v>248.44</v>
      </c>
      <c r="D1007" s="187">
        <v>296.25</v>
      </c>
      <c r="E1007" s="187">
        <v>304.95</v>
      </c>
      <c r="F1007" s="187">
        <v>325.69</v>
      </c>
      <c r="G1007" s="188">
        <v>328.44</v>
      </c>
      <c r="H1007" s="187">
        <v>485</v>
      </c>
      <c r="I1007" s="187">
        <v>79.08</v>
      </c>
    </row>
    <row r="1008" spans="1:9" ht="15.75" customHeight="1" x14ac:dyDescent="0.25">
      <c r="A1008" s="169">
        <v>43905</v>
      </c>
      <c r="B1008" s="187">
        <v>350.2</v>
      </c>
      <c r="C1008" s="187">
        <v>242.03</v>
      </c>
      <c r="D1008" s="187">
        <v>296.12</v>
      </c>
      <c r="E1008" s="187">
        <v>305.44</v>
      </c>
      <c r="F1008" s="187">
        <v>326.36</v>
      </c>
      <c r="G1008" s="188">
        <v>327.23</v>
      </c>
      <c r="H1008" s="187">
        <v>482.08</v>
      </c>
      <c r="I1008" s="187">
        <v>77.45</v>
      </c>
    </row>
    <row r="1009" spans="1:9" ht="15.75" customHeight="1" x14ac:dyDescent="0.25">
      <c r="A1009" s="169">
        <v>43912</v>
      </c>
      <c r="B1009" s="187">
        <v>349.26</v>
      </c>
      <c r="C1009" s="187">
        <v>229.25</v>
      </c>
      <c r="D1009" s="187">
        <v>287.70999999999998</v>
      </c>
      <c r="E1009" s="187">
        <v>308.17</v>
      </c>
      <c r="F1009" s="187">
        <v>323.83</v>
      </c>
      <c r="G1009" s="188">
        <v>325.63</v>
      </c>
      <c r="H1009" s="187">
        <v>523.13</v>
      </c>
      <c r="I1009" s="187">
        <v>74.739999999999995</v>
      </c>
    </row>
    <row r="1010" spans="1:9" ht="15.75" customHeight="1" x14ac:dyDescent="0.25">
      <c r="A1010" s="169">
        <v>43919</v>
      </c>
      <c r="B1010" s="187">
        <v>342.28</v>
      </c>
      <c r="C1010" s="187">
        <v>219.81</v>
      </c>
      <c r="D1010" s="187">
        <v>284.5</v>
      </c>
      <c r="E1010" s="187">
        <v>308.17</v>
      </c>
      <c r="F1010" s="187">
        <v>323.01</v>
      </c>
      <c r="G1010" s="188">
        <v>325.29000000000002</v>
      </c>
      <c r="H1010" s="187">
        <v>517.80999999999995</v>
      </c>
      <c r="I1010" s="187">
        <v>75.28</v>
      </c>
    </row>
    <row r="1011" spans="1:9" ht="15.75" customHeight="1" x14ac:dyDescent="0.25">
      <c r="A1011" s="169">
        <v>43926</v>
      </c>
      <c r="B1011" s="187">
        <v>325.08999999999997</v>
      </c>
      <c r="C1011" s="187">
        <v>211.85</v>
      </c>
      <c r="D1011" s="187">
        <v>275.60000000000002</v>
      </c>
      <c r="E1011" s="187">
        <v>304.17</v>
      </c>
      <c r="F1011" s="187">
        <v>319.74</v>
      </c>
      <c r="G1011" s="188">
        <v>322.54000000000002</v>
      </c>
      <c r="H1011" s="187">
        <v>513.61</v>
      </c>
      <c r="I1011" s="187">
        <v>74.31</v>
      </c>
    </row>
    <row r="1012" spans="1:9" ht="15.75" customHeight="1" x14ac:dyDescent="0.25">
      <c r="A1012" s="169">
        <v>43933</v>
      </c>
      <c r="B1012" s="187">
        <v>299.93</v>
      </c>
      <c r="C1012" s="187">
        <v>201.4</v>
      </c>
      <c r="D1012" s="187">
        <v>267.91000000000003</v>
      </c>
      <c r="E1012" s="187">
        <v>299.44</v>
      </c>
      <c r="F1012" s="187">
        <v>317.62</v>
      </c>
      <c r="G1012" s="188">
        <v>326.63</v>
      </c>
      <c r="H1012" s="187">
        <v>506.73</v>
      </c>
      <c r="I1012" s="187">
        <v>73.290000000000006</v>
      </c>
    </row>
    <row r="1013" spans="1:9" ht="15.75" customHeight="1" x14ac:dyDescent="0.25">
      <c r="A1013" s="169">
        <v>43940</v>
      </c>
      <c r="B1013" s="187">
        <v>295.05</v>
      </c>
      <c r="C1013" s="187">
        <v>195.56</v>
      </c>
      <c r="D1013" s="187">
        <v>263.56</v>
      </c>
      <c r="E1013" s="187">
        <v>303.07</v>
      </c>
      <c r="F1013" s="187">
        <v>316.67</v>
      </c>
      <c r="G1013" s="188">
        <v>328.55</v>
      </c>
      <c r="H1013" s="187">
        <v>512.52</v>
      </c>
      <c r="I1013" s="187">
        <v>71.16</v>
      </c>
    </row>
    <row r="1014" spans="1:9" ht="15.75" customHeight="1" x14ac:dyDescent="0.25">
      <c r="A1014" s="169">
        <v>43947</v>
      </c>
      <c r="B1014" s="187">
        <v>292.33999999999997</v>
      </c>
      <c r="C1014" s="187">
        <v>197.8</v>
      </c>
      <c r="D1014" s="187">
        <v>266.02</v>
      </c>
      <c r="E1014" s="187">
        <v>302.7</v>
      </c>
      <c r="F1014" s="187">
        <v>314.45999999999998</v>
      </c>
      <c r="G1014" s="188">
        <v>321.70999999999998</v>
      </c>
      <c r="H1014" s="187">
        <v>505.03</v>
      </c>
      <c r="I1014" s="187">
        <v>72.31</v>
      </c>
    </row>
    <row r="1015" spans="1:9" ht="15.75" customHeight="1" x14ac:dyDescent="0.25">
      <c r="A1015" s="169">
        <v>43954</v>
      </c>
      <c r="B1015" s="187">
        <v>290.68</v>
      </c>
      <c r="C1015" s="187">
        <v>196.85</v>
      </c>
      <c r="D1015" s="187">
        <v>261.18</v>
      </c>
      <c r="E1015" s="187">
        <v>303.8</v>
      </c>
      <c r="F1015" s="187">
        <v>312.54000000000002</v>
      </c>
      <c r="G1015" s="188">
        <v>321.49</v>
      </c>
      <c r="H1015" s="187">
        <v>514.32000000000005</v>
      </c>
      <c r="I1015" s="187">
        <v>73.23</v>
      </c>
    </row>
    <row r="1016" spans="1:9" ht="15.75" customHeight="1" x14ac:dyDescent="0.25">
      <c r="A1016" s="169">
        <v>43961</v>
      </c>
      <c r="B1016" s="187">
        <v>281.17</v>
      </c>
      <c r="C1016" s="187">
        <v>196.19</v>
      </c>
      <c r="D1016" s="187">
        <v>263.33999999999997</v>
      </c>
      <c r="E1016" s="187">
        <v>307.18</v>
      </c>
      <c r="F1016" s="187">
        <v>299.56</v>
      </c>
      <c r="G1016" s="188">
        <v>311.44</v>
      </c>
      <c r="H1016" s="187">
        <v>524.04</v>
      </c>
      <c r="I1016" s="187">
        <v>72.97</v>
      </c>
    </row>
    <row r="1017" spans="1:9" ht="15.75" customHeight="1" x14ac:dyDescent="0.25">
      <c r="A1017" s="169">
        <v>43968</v>
      </c>
      <c r="B1017" s="187">
        <v>287.94</v>
      </c>
      <c r="C1017" s="187">
        <v>199.26</v>
      </c>
      <c r="D1017" s="187">
        <v>266.18</v>
      </c>
      <c r="E1017" s="187">
        <v>301.66000000000003</v>
      </c>
      <c r="F1017" s="187">
        <v>295.27999999999997</v>
      </c>
      <c r="G1017" s="188">
        <v>305.83999999999997</v>
      </c>
      <c r="H1017" s="187">
        <v>516.84</v>
      </c>
      <c r="I1017" s="187">
        <v>74.03</v>
      </c>
    </row>
    <row r="1018" spans="1:9" ht="15.75" customHeight="1" x14ac:dyDescent="0.25">
      <c r="A1018" s="169">
        <v>43975</v>
      </c>
      <c r="B1018" s="187">
        <v>295.43</v>
      </c>
      <c r="C1018" s="187">
        <v>203.93</v>
      </c>
      <c r="D1018" s="187">
        <v>261.89</v>
      </c>
      <c r="E1018" s="187">
        <v>300.32</v>
      </c>
      <c r="F1018" s="187">
        <v>289</v>
      </c>
      <c r="G1018" s="188">
        <v>305.23</v>
      </c>
      <c r="H1018" s="187">
        <v>472.99</v>
      </c>
      <c r="I1018" s="187">
        <v>74.180000000000007</v>
      </c>
    </row>
    <row r="1019" spans="1:9" ht="15.75" customHeight="1" x14ac:dyDescent="0.25">
      <c r="A1019" s="169">
        <v>43982</v>
      </c>
      <c r="B1019" s="187">
        <v>295.64</v>
      </c>
      <c r="C1019" s="187">
        <v>204.75</v>
      </c>
      <c r="D1019" s="187">
        <v>267.77999999999997</v>
      </c>
      <c r="E1019" s="187">
        <v>300.70999999999998</v>
      </c>
      <c r="F1019" s="187">
        <v>292.27999999999997</v>
      </c>
      <c r="G1019" s="188">
        <v>306.83</v>
      </c>
      <c r="H1019" s="187">
        <v>476.94</v>
      </c>
      <c r="I1019" s="187">
        <v>75.47</v>
      </c>
    </row>
    <row r="1020" spans="1:9" ht="15.75" customHeight="1" x14ac:dyDescent="0.25">
      <c r="A1020" s="169">
        <v>43989</v>
      </c>
      <c r="B1020" s="187">
        <v>309.01</v>
      </c>
      <c r="C1020" s="187">
        <v>215.19</v>
      </c>
      <c r="D1020" s="187">
        <v>270.85000000000002</v>
      </c>
      <c r="E1020" s="187">
        <v>302.2</v>
      </c>
      <c r="F1020" s="187">
        <v>296.22000000000003</v>
      </c>
      <c r="G1020" s="188">
        <v>303.67</v>
      </c>
      <c r="H1020" s="187">
        <v>487.63</v>
      </c>
      <c r="I1020" s="187">
        <v>74.98</v>
      </c>
    </row>
    <row r="1021" spans="1:9" ht="15.75" customHeight="1" x14ac:dyDescent="0.25">
      <c r="A1021" s="169">
        <v>43996</v>
      </c>
      <c r="B1021" s="187">
        <v>318.24</v>
      </c>
      <c r="C1021" s="187">
        <v>212.95</v>
      </c>
      <c r="D1021" s="187">
        <v>269.5</v>
      </c>
      <c r="E1021" s="187">
        <v>302.95</v>
      </c>
      <c r="F1021" s="187">
        <v>293.92</v>
      </c>
      <c r="G1021" s="188">
        <v>303.13</v>
      </c>
      <c r="H1021" s="187">
        <v>480.39</v>
      </c>
      <c r="I1021" s="187">
        <v>74.87</v>
      </c>
    </row>
    <row r="1022" spans="1:9" ht="15.75" customHeight="1" x14ac:dyDescent="0.25">
      <c r="A1022" s="169">
        <v>44003</v>
      </c>
      <c r="B1022" s="187">
        <v>317.2</v>
      </c>
      <c r="C1022" s="187">
        <v>213.38</v>
      </c>
      <c r="D1022" s="187">
        <v>275.08</v>
      </c>
      <c r="E1022" s="187">
        <v>303.61</v>
      </c>
      <c r="F1022" s="187">
        <v>294.26</v>
      </c>
      <c r="G1022" s="188">
        <v>302.77</v>
      </c>
      <c r="H1022" s="187">
        <v>480.68</v>
      </c>
      <c r="I1022" s="187">
        <v>74.23</v>
      </c>
    </row>
    <row r="1023" spans="1:9" ht="15.75" customHeight="1" x14ac:dyDescent="0.25">
      <c r="A1023" s="169">
        <v>44010</v>
      </c>
      <c r="B1023" s="187">
        <v>321.56</v>
      </c>
      <c r="C1023" s="187">
        <v>211.2</v>
      </c>
      <c r="D1023" s="187">
        <v>277.7</v>
      </c>
      <c r="E1023" s="187">
        <v>302.83</v>
      </c>
      <c r="F1023" s="187">
        <v>292.22000000000003</v>
      </c>
      <c r="G1023" s="188">
        <v>298.92</v>
      </c>
      <c r="H1023" s="187">
        <v>474.92</v>
      </c>
      <c r="I1023" s="187">
        <v>74.36</v>
      </c>
    </row>
    <row r="1024" spans="1:9" ht="15.75" customHeight="1" x14ac:dyDescent="0.25">
      <c r="A1024" s="169">
        <v>44017</v>
      </c>
      <c r="B1024" s="187">
        <v>330.84</v>
      </c>
      <c r="C1024" s="187">
        <v>216.09</v>
      </c>
      <c r="D1024" s="187">
        <v>277.27999999999997</v>
      </c>
      <c r="E1024" s="187">
        <v>302.58999999999997</v>
      </c>
      <c r="F1024" s="187">
        <v>294.18</v>
      </c>
      <c r="G1024" s="188">
        <v>302.2</v>
      </c>
      <c r="H1024" s="187">
        <v>482.27</v>
      </c>
      <c r="I1024" s="187">
        <v>73.81</v>
      </c>
    </row>
    <row r="1025" spans="1:9" ht="15.75" customHeight="1" x14ac:dyDescent="0.25">
      <c r="A1025" s="169">
        <v>44024</v>
      </c>
      <c r="B1025" s="187">
        <v>329.92</v>
      </c>
      <c r="C1025" s="187">
        <v>209.78</v>
      </c>
      <c r="D1025" s="187">
        <v>272.36</v>
      </c>
      <c r="E1025" s="187">
        <v>305.3</v>
      </c>
      <c r="F1025" s="187">
        <v>300.18</v>
      </c>
      <c r="G1025" s="188">
        <v>306.60000000000002</v>
      </c>
      <c r="H1025" s="187">
        <v>476.43</v>
      </c>
      <c r="I1025" s="187">
        <v>73.41</v>
      </c>
    </row>
    <row r="1026" spans="1:9" ht="15.75" customHeight="1" x14ac:dyDescent="0.25">
      <c r="A1026" s="169">
        <v>44031</v>
      </c>
      <c r="B1026" s="187">
        <v>336.44</v>
      </c>
      <c r="C1026" s="187">
        <v>210.94</v>
      </c>
      <c r="D1026" s="187">
        <v>276.23</v>
      </c>
      <c r="E1026" s="187">
        <v>306.8</v>
      </c>
      <c r="F1026" s="187">
        <v>303.58999999999997</v>
      </c>
      <c r="G1026" s="188">
        <v>308.99</v>
      </c>
      <c r="H1026" s="187">
        <v>480.26</v>
      </c>
      <c r="I1026" s="187">
        <v>73.61</v>
      </c>
    </row>
    <row r="1027" spans="1:9" ht="15.75" customHeight="1" x14ac:dyDescent="0.25">
      <c r="A1027" s="169">
        <v>44038</v>
      </c>
      <c r="B1027" s="187">
        <v>335.96</v>
      </c>
      <c r="C1027" s="187">
        <v>209.7</v>
      </c>
      <c r="D1027" s="187">
        <v>274.02</v>
      </c>
      <c r="E1027" s="187">
        <v>306.8</v>
      </c>
      <c r="F1027" s="187">
        <v>300.5</v>
      </c>
      <c r="G1027" s="188">
        <v>309.02</v>
      </c>
      <c r="H1027" s="187">
        <v>477.76</v>
      </c>
      <c r="I1027" s="187">
        <v>73.34</v>
      </c>
    </row>
    <row r="1028" spans="1:9" ht="15.75" customHeight="1" x14ac:dyDescent="0.25">
      <c r="A1028" s="169">
        <v>44045</v>
      </c>
      <c r="B1028" s="187">
        <v>341.7</v>
      </c>
      <c r="C1028" s="187">
        <v>212.5</v>
      </c>
      <c r="D1028" s="187">
        <v>277.17</v>
      </c>
      <c r="E1028" s="187">
        <v>294.11</v>
      </c>
      <c r="F1028" s="187">
        <v>303.89</v>
      </c>
      <c r="G1028" s="188">
        <v>307.88</v>
      </c>
      <c r="H1028" s="187">
        <v>484.54</v>
      </c>
      <c r="I1028" s="187">
        <v>72.75</v>
      </c>
    </row>
    <row r="1029" spans="1:9" ht="15.75" customHeight="1" x14ac:dyDescent="0.25">
      <c r="A1029" s="169">
        <v>44052</v>
      </c>
      <c r="B1029" s="187">
        <v>340.97</v>
      </c>
      <c r="C1029" s="187">
        <v>208.02</v>
      </c>
      <c r="D1029" s="187">
        <v>276.79000000000002</v>
      </c>
      <c r="E1029" s="187">
        <v>295.81</v>
      </c>
      <c r="F1029" s="187">
        <v>304.86</v>
      </c>
      <c r="G1029" s="188">
        <v>310.83</v>
      </c>
      <c r="H1029" s="187">
        <v>481.12</v>
      </c>
      <c r="I1029" s="187">
        <v>71.14</v>
      </c>
    </row>
    <row r="1030" spans="1:9" ht="15.75" customHeight="1" x14ac:dyDescent="0.25">
      <c r="A1030" s="169">
        <v>44059</v>
      </c>
      <c r="B1030" s="187">
        <v>340.38</v>
      </c>
      <c r="C1030" s="187">
        <v>208.15</v>
      </c>
      <c r="D1030" s="187">
        <v>271.97000000000003</v>
      </c>
      <c r="E1030" s="187">
        <v>296.3</v>
      </c>
      <c r="F1030" s="187">
        <v>307.66000000000003</v>
      </c>
      <c r="G1030" s="188">
        <v>316.38</v>
      </c>
      <c r="H1030" s="187">
        <v>494.62</v>
      </c>
      <c r="I1030" s="187">
        <v>72.28</v>
      </c>
    </row>
    <row r="1031" spans="1:9" ht="15.75" customHeight="1" x14ac:dyDescent="0.25">
      <c r="A1031" s="169">
        <v>44066</v>
      </c>
      <c r="B1031" s="187">
        <v>339.92</v>
      </c>
      <c r="C1031" s="187">
        <v>212.18</v>
      </c>
      <c r="D1031" s="187">
        <v>276.95999999999998</v>
      </c>
      <c r="E1031" s="187">
        <v>296.3</v>
      </c>
      <c r="F1031" s="187">
        <v>318.05</v>
      </c>
      <c r="G1031" s="188">
        <v>305.95</v>
      </c>
      <c r="H1031" s="187">
        <v>485.15</v>
      </c>
      <c r="I1031" s="187">
        <v>72.400000000000006</v>
      </c>
    </row>
    <row r="1032" spans="1:9" ht="15.75" customHeight="1" x14ac:dyDescent="0.25">
      <c r="A1032" s="169">
        <v>44073</v>
      </c>
      <c r="B1032" s="187">
        <v>342.77</v>
      </c>
      <c r="C1032" s="187">
        <v>214.63</v>
      </c>
      <c r="D1032" s="187">
        <v>273.62</v>
      </c>
      <c r="E1032" s="187">
        <v>296.42</v>
      </c>
      <c r="F1032" s="187">
        <v>306.41000000000003</v>
      </c>
      <c r="G1032" s="188">
        <v>314.55</v>
      </c>
      <c r="H1032" s="187">
        <v>476.43</v>
      </c>
      <c r="I1032" s="187">
        <v>72.75</v>
      </c>
    </row>
    <row r="1033" spans="1:9" ht="15.75" customHeight="1" x14ac:dyDescent="0.25">
      <c r="A1033" s="169">
        <v>44080</v>
      </c>
      <c r="B1033" s="187">
        <v>342.83</v>
      </c>
      <c r="C1033" s="187">
        <v>214.19</v>
      </c>
      <c r="D1033" s="187">
        <v>272.81</v>
      </c>
      <c r="E1033" s="187">
        <v>294.87</v>
      </c>
      <c r="F1033" s="187">
        <v>311.08</v>
      </c>
      <c r="G1033" s="188">
        <v>318.42</v>
      </c>
      <c r="H1033" s="187">
        <v>481.55</v>
      </c>
      <c r="I1033" s="187">
        <v>70.599999999999994</v>
      </c>
    </row>
    <row r="1034" spans="1:9" ht="15.75" customHeight="1" x14ac:dyDescent="0.25">
      <c r="A1034" s="169">
        <v>44087</v>
      </c>
      <c r="B1034" s="187">
        <v>348.5</v>
      </c>
      <c r="C1034" s="187">
        <v>215.25</v>
      </c>
      <c r="D1034" s="187">
        <v>273.85000000000002</v>
      </c>
      <c r="E1034" s="187">
        <v>298.39</v>
      </c>
      <c r="F1034" s="187">
        <v>307.17</v>
      </c>
      <c r="G1034" s="188">
        <v>315.83</v>
      </c>
      <c r="H1034" s="187">
        <v>481.02</v>
      </c>
      <c r="I1034" s="187">
        <v>71.62</v>
      </c>
    </row>
    <row r="1035" spans="1:9" ht="15.75" customHeight="1" x14ac:dyDescent="0.25">
      <c r="A1035" s="169">
        <v>44094</v>
      </c>
      <c r="B1035" s="187">
        <v>349.83</v>
      </c>
      <c r="C1035" s="187">
        <v>215.13</v>
      </c>
      <c r="D1035" s="187">
        <v>272.58999999999997</v>
      </c>
      <c r="E1035" s="187">
        <v>298.43</v>
      </c>
      <c r="F1035" s="187">
        <v>311.61</v>
      </c>
      <c r="G1035" s="188">
        <v>315.58</v>
      </c>
      <c r="H1035" s="187">
        <v>478.79</v>
      </c>
      <c r="I1035" s="187">
        <v>71.89</v>
      </c>
    </row>
    <row r="1036" spans="1:9" ht="15.75" customHeight="1" x14ac:dyDescent="0.25">
      <c r="A1036" s="169">
        <v>44101</v>
      </c>
      <c r="B1036" s="187">
        <v>350.32</v>
      </c>
      <c r="C1036" s="187">
        <v>215.19</v>
      </c>
      <c r="D1036" s="187">
        <v>270.41000000000003</v>
      </c>
      <c r="E1036" s="187">
        <v>298.62</v>
      </c>
      <c r="F1036" s="187">
        <v>311.39999999999998</v>
      </c>
      <c r="G1036" s="188">
        <v>315.13</v>
      </c>
      <c r="H1036" s="187">
        <v>488.19</v>
      </c>
      <c r="I1036" s="187">
        <v>72.010000000000005</v>
      </c>
    </row>
    <row r="1037" spans="1:9" ht="15.75" customHeight="1" x14ac:dyDescent="0.25">
      <c r="A1037" s="169">
        <v>44108</v>
      </c>
      <c r="B1037" s="187">
        <v>344.8</v>
      </c>
      <c r="C1037" s="187">
        <v>217.1</v>
      </c>
      <c r="D1037" s="187">
        <v>273.02999999999997</v>
      </c>
      <c r="E1037" s="187">
        <v>304.58999999999997</v>
      </c>
      <c r="F1037" s="187">
        <v>311.68</v>
      </c>
      <c r="G1037" s="188">
        <v>314.81</v>
      </c>
      <c r="H1037" s="187">
        <v>479.92</v>
      </c>
      <c r="I1037" s="187">
        <v>72.86</v>
      </c>
    </row>
    <row r="1038" spans="1:9" ht="15.75" customHeight="1" x14ac:dyDescent="0.25">
      <c r="A1038" s="169">
        <v>44115</v>
      </c>
      <c r="B1038" s="187">
        <v>347.43</v>
      </c>
      <c r="C1038" s="187">
        <v>217.51</v>
      </c>
      <c r="D1038" s="187">
        <v>274.35000000000002</v>
      </c>
      <c r="E1038" s="187">
        <v>304.7</v>
      </c>
      <c r="F1038" s="187">
        <v>312.47000000000003</v>
      </c>
      <c r="G1038" s="188">
        <v>317.13</v>
      </c>
      <c r="H1038" s="187">
        <v>485.39</v>
      </c>
      <c r="I1038" s="187">
        <v>73.069999999999993</v>
      </c>
    </row>
    <row r="1039" spans="1:9" ht="15.75" customHeight="1" x14ac:dyDescent="0.25">
      <c r="A1039" s="169">
        <v>44122</v>
      </c>
      <c r="B1039" s="187">
        <v>345.49</v>
      </c>
      <c r="C1039" s="187">
        <v>217.05</v>
      </c>
      <c r="D1039" s="187">
        <v>272.24</v>
      </c>
      <c r="E1039" s="187">
        <v>304.57</v>
      </c>
      <c r="F1039" s="187">
        <v>312.33</v>
      </c>
      <c r="G1039" s="188">
        <v>316.32</v>
      </c>
      <c r="H1039" s="187">
        <v>479.2</v>
      </c>
      <c r="I1039" s="187">
        <v>72.099999999999994</v>
      </c>
    </row>
    <row r="1040" spans="1:9" ht="15.75" customHeight="1" x14ac:dyDescent="0.25">
      <c r="A1040" s="169">
        <v>44129</v>
      </c>
      <c r="B1040" s="187">
        <v>344.93</v>
      </c>
      <c r="C1040" s="187">
        <v>217.64</v>
      </c>
      <c r="D1040" s="187">
        <v>272.05</v>
      </c>
      <c r="E1040" s="187">
        <v>304.24</v>
      </c>
      <c r="F1040" s="187">
        <v>313.24</v>
      </c>
      <c r="G1040" s="188">
        <v>315.35000000000002</v>
      </c>
      <c r="H1040" s="187">
        <v>473.13</v>
      </c>
      <c r="I1040" s="187">
        <v>71.06</v>
      </c>
    </row>
    <row r="1041" spans="1:9" ht="15.75" customHeight="1" x14ac:dyDescent="0.25">
      <c r="A1041" s="169">
        <v>44136</v>
      </c>
      <c r="B1041" s="187">
        <v>347.48</v>
      </c>
      <c r="C1041" s="187">
        <v>216.51</v>
      </c>
      <c r="D1041" s="187">
        <v>272.52</v>
      </c>
      <c r="E1041" s="187">
        <v>308.42</v>
      </c>
      <c r="F1041" s="187">
        <v>311.27</v>
      </c>
      <c r="G1041" s="188">
        <v>319.25</v>
      </c>
      <c r="H1041" s="187">
        <v>513.12</v>
      </c>
      <c r="I1041" s="187">
        <v>72.489999999999995</v>
      </c>
    </row>
    <row r="1042" spans="1:9" ht="15.75" customHeight="1" x14ac:dyDescent="0.25">
      <c r="A1042" s="169">
        <v>44143</v>
      </c>
      <c r="B1042" s="187">
        <v>347.96</v>
      </c>
      <c r="C1042" s="187">
        <v>215.54</v>
      </c>
      <c r="D1042" s="187">
        <v>273.88</v>
      </c>
      <c r="E1042" s="187">
        <v>308.8</v>
      </c>
      <c r="F1042" s="187">
        <v>312.16000000000003</v>
      </c>
      <c r="G1042" s="188">
        <v>322.23</v>
      </c>
      <c r="H1042" s="187">
        <v>497.6</v>
      </c>
      <c r="I1042" s="187">
        <v>72</v>
      </c>
    </row>
    <row r="1043" spans="1:9" ht="15.75" customHeight="1" x14ac:dyDescent="0.25">
      <c r="A1043" s="169">
        <v>44150</v>
      </c>
      <c r="B1043" s="187">
        <v>348.65</v>
      </c>
      <c r="C1043" s="187">
        <v>215.18</v>
      </c>
      <c r="D1043" s="187">
        <v>273.95</v>
      </c>
      <c r="E1043" s="187">
        <v>309.39999999999998</v>
      </c>
      <c r="F1043" s="187">
        <v>310.08</v>
      </c>
      <c r="G1043" s="188">
        <v>320.95999999999998</v>
      </c>
      <c r="H1043" s="187">
        <v>478.83</v>
      </c>
      <c r="I1043" s="187">
        <v>72.55</v>
      </c>
    </row>
    <row r="1044" spans="1:9" ht="15.75" customHeight="1" x14ac:dyDescent="0.25">
      <c r="A1044" s="169">
        <v>44157</v>
      </c>
      <c r="B1044" s="187">
        <v>348.15</v>
      </c>
      <c r="C1044" s="187">
        <v>216.71</v>
      </c>
      <c r="D1044" s="187">
        <v>271.62</v>
      </c>
      <c r="E1044" s="187">
        <v>309.62</v>
      </c>
      <c r="F1044" s="187">
        <v>314.64</v>
      </c>
      <c r="G1044" s="188">
        <v>317.93</v>
      </c>
      <c r="H1044" s="187">
        <v>479.42</v>
      </c>
      <c r="I1044" s="187">
        <v>74.239999999999995</v>
      </c>
    </row>
    <row r="1045" spans="1:9" ht="15.75" customHeight="1" x14ac:dyDescent="0.25">
      <c r="A1045" s="169">
        <v>44164</v>
      </c>
      <c r="B1045" s="187">
        <v>347.06</v>
      </c>
      <c r="C1045" s="187">
        <v>216.64</v>
      </c>
      <c r="D1045" s="187">
        <v>271.62</v>
      </c>
      <c r="E1045" s="187">
        <v>309.01</v>
      </c>
      <c r="F1045" s="187">
        <v>315.13</v>
      </c>
      <c r="G1045" s="188">
        <v>318.63</v>
      </c>
      <c r="H1045" s="187">
        <v>480.49</v>
      </c>
      <c r="I1045" s="187">
        <v>74.36</v>
      </c>
    </row>
    <row r="1046" spans="1:9" ht="15.75" customHeight="1" x14ac:dyDescent="0.25">
      <c r="A1046" s="169">
        <v>44171</v>
      </c>
      <c r="B1046" s="187">
        <v>340.31</v>
      </c>
      <c r="C1046" s="187">
        <v>217.98</v>
      </c>
      <c r="D1046" s="187">
        <v>274.83999999999997</v>
      </c>
      <c r="E1046" s="187">
        <v>308.64999999999998</v>
      </c>
      <c r="F1046" s="187">
        <v>314.05</v>
      </c>
      <c r="G1046" s="188">
        <v>319.77999999999997</v>
      </c>
      <c r="H1046" s="187">
        <v>491.08</v>
      </c>
      <c r="I1046" s="187">
        <v>74.319999999999993</v>
      </c>
    </row>
    <row r="1047" spans="1:9" ht="15.75" customHeight="1" x14ac:dyDescent="0.25">
      <c r="A1047" s="169">
        <v>44178</v>
      </c>
      <c r="B1047" s="187">
        <v>339.3</v>
      </c>
      <c r="C1047" s="187">
        <v>218.52</v>
      </c>
      <c r="D1047" s="187">
        <v>276.14999999999998</v>
      </c>
      <c r="E1047" s="187">
        <v>309.48</v>
      </c>
      <c r="F1047" s="187">
        <v>315.27</v>
      </c>
      <c r="G1047" s="188">
        <v>320.31</v>
      </c>
      <c r="H1047" s="187">
        <v>478.18</v>
      </c>
      <c r="I1047" s="187">
        <v>76.94</v>
      </c>
    </row>
    <row r="1048" spans="1:9" ht="15.75" customHeight="1" x14ac:dyDescent="0.25">
      <c r="A1048" s="169">
        <v>44185</v>
      </c>
      <c r="B1048" s="187">
        <v>337.94</v>
      </c>
      <c r="C1048" s="187">
        <v>220.89</v>
      </c>
      <c r="D1048" s="187">
        <v>272.51</v>
      </c>
      <c r="E1048" s="187">
        <v>309.63</v>
      </c>
      <c r="F1048" s="187">
        <v>314.77</v>
      </c>
      <c r="G1048" s="188">
        <v>318.91000000000003</v>
      </c>
      <c r="H1048" s="187">
        <v>456.48</v>
      </c>
      <c r="I1048" s="187">
        <v>75.790000000000006</v>
      </c>
    </row>
    <row r="1049" spans="1:9" ht="15.75" customHeight="1" x14ac:dyDescent="0.25">
      <c r="A1049" s="169">
        <v>44192</v>
      </c>
      <c r="B1049" s="187">
        <v>335.87</v>
      </c>
      <c r="C1049" s="187">
        <v>218.62</v>
      </c>
      <c r="D1049" s="187">
        <v>271.36</v>
      </c>
      <c r="E1049" s="187">
        <v>309.56</v>
      </c>
      <c r="F1049" s="187">
        <v>314.74</v>
      </c>
      <c r="G1049" s="188">
        <v>318.97000000000003</v>
      </c>
      <c r="H1049" s="187">
        <v>452.63</v>
      </c>
      <c r="I1049" s="187">
        <v>78.040000000000006</v>
      </c>
    </row>
    <row r="1050" spans="1:9" ht="15.75" customHeight="1" x14ac:dyDescent="0.25">
      <c r="A1050" s="169">
        <v>44199</v>
      </c>
      <c r="B1050" s="187">
        <v>335.21</v>
      </c>
      <c r="C1050" s="187">
        <v>218.78</v>
      </c>
      <c r="D1050" s="187">
        <v>271.38</v>
      </c>
      <c r="E1050" s="187">
        <v>308.91000000000003</v>
      </c>
      <c r="F1050" s="187">
        <v>311.20999999999998</v>
      </c>
      <c r="G1050" s="188">
        <v>317.04000000000002</v>
      </c>
      <c r="H1050" s="187">
        <v>456.6</v>
      </c>
      <c r="I1050" s="187">
        <v>78.27</v>
      </c>
    </row>
    <row r="1051" spans="1:9" ht="15.75" customHeight="1" x14ac:dyDescent="0.25">
      <c r="A1051" s="169">
        <v>44206</v>
      </c>
      <c r="B1051" s="187">
        <v>336.27</v>
      </c>
      <c r="C1051" s="187">
        <v>222.56</v>
      </c>
      <c r="D1051" s="187">
        <v>276.52</v>
      </c>
      <c r="E1051" s="187">
        <v>307.49</v>
      </c>
      <c r="F1051" s="187">
        <v>309.39999999999998</v>
      </c>
      <c r="G1051" s="188">
        <v>315.43</v>
      </c>
      <c r="H1051" s="187">
        <v>442.95</v>
      </c>
      <c r="I1051" s="187">
        <v>77.34</v>
      </c>
    </row>
    <row r="1052" spans="1:9" ht="15.75" customHeight="1" x14ac:dyDescent="0.25">
      <c r="A1052" s="169">
        <v>44213</v>
      </c>
      <c r="B1052" s="187">
        <v>342.21</v>
      </c>
      <c r="C1052" s="187">
        <v>225.35</v>
      </c>
      <c r="D1052" s="187">
        <v>275.77999999999997</v>
      </c>
      <c r="E1052" s="187">
        <v>306.64</v>
      </c>
      <c r="F1052" s="187">
        <v>311.14</v>
      </c>
      <c r="G1052" s="188">
        <v>316.2</v>
      </c>
      <c r="H1052" s="187">
        <v>444.91</v>
      </c>
      <c r="I1052" s="187">
        <v>79.83</v>
      </c>
    </row>
    <row r="1053" spans="1:9" ht="15.75" customHeight="1" x14ac:dyDescent="0.25">
      <c r="A1053" s="169">
        <v>44220</v>
      </c>
      <c r="B1053" s="187">
        <v>345.33</v>
      </c>
      <c r="C1053" s="187">
        <v>227.9</v>
      </c>
      <c r="D1053" s="187">
        <v>279.24</v>
      </c>
      <c r="E1053" s="187">
        <v>306.89999999999998</v>
      </c>
      <c r="F1053" s="187">
        <v>309.63</v>
      </c>
      <c r="G1053" s="188">
        <v>314.97000000000003</v>
      </c>
      <c r="H1053" s="187">
        <v>472.16</v>
      </c>
      <c r="I1053" s="187">
        <v>80.44</v>
      </c>
    </row>
    <row r="1054" spans="1:9" ht="15.75" customHeight="1" x14ac:dyDescent="0.25">
      <c r="A1054" s="169">
        <v>44227</v>
      </c>
      <c r="B1054" s="187">
        <v>348.51</v>
      </c>
      <c r="C1054" s="187">
        <v>231.79</v>
      </c>
      <c r="D1054" s="187">
        <v>283.19</v>
      </c>
      <c r="E1054" s="187">
        <v>306.64999999999998</v>
      </c>
      <c r="F1054" s="187">
        <v>310.24</v>
      </c>
      <c r="G1054" s="188">
        <v>316.13</v>
      </c>
      <c r="H1054" s="187">
        <v>452.3</v>
      </c>
      <c r="I1054" s="187">
        <v>86</v>
      </c>
    </row>
    <row r="1055" spans="1:9" ht="15.75" customHeight="1" x14ac:dyDescent="0.25">
      <c r="A1055" s="169">
        <v>44234</v>
      </c>
      <c r="B1055" s="187">
        <v>354.49</v>
      </c>
      <c r="C1055" s="187">
        <v>233.3</v>
      </c>
      <c r="D1055" s="187">
        <v>286.14999999999998</v>
      </c>
      <c r="E1055" s="187">
        <v>307.54000000000002</v>
      </c>
      <c r="F1055" s="187">
        <v>310.41000000000003</v>
      </c>
      <c r="G1055" s="188">
        <v>317.12</v>
      </c>
      <c r="H1055" s="187">
        <v>454.99</v>
      </c>
      <c r="I1055" s="187">
        <v>85.69</v>
      </c>
    </row>
    <row r="1056" spans="1:9" ht="15.75" customHeight="1" x14ac:dyDescent="0.25">
      <c r="A1056" s="169">
        <v>44241</v>
      </c>
      <c r="B1056" s="187">
        <v>354.57</v>
      </c>
      <c r="C1056" s="187">
        <v>234.94</v>
      </c>
      <c r="D1056" s="187">
        <v>287.23</v>
      </c>
      <c r="E1056" s="187">
        <v>305.66000000000003</v>
      </c>
      <c r="F1056" s="187">
        <v>311.37</v>
      </c>
      <c r="G1056" s="188">
        <v>317.29000000000002</v>
      </c>
      <c r="H1056" s="187">
        <v>449.58</v>
      </c>
      <c r="I1056" s="187">
        <v>87.84</v>
      </c>
    </row>
    <row r="1057" spans="1:9" ht="15.75" customHeight="1" x14ac:dyDescent="0.25">
      <c r="A1057" s="169">
        <v>44248</v>
      </c>
      <c r="B1057" s="187">
        <v>358.37</v>
      </c>
      <c r="C1057" s="187">
        <v>233.9</v>
      </c>
      <c r="D1057" s="187">
        <v>291.32</v>
      </c>
      <c r="E1057" s="187">
        <v>305.97000000000003</v>
      </c>
      <c r="F1057" s="187">
        <v>314.32</v>
      </c>
      <c r="G1057" s="188">
        <v>318.55</v>
      </c>
      <c r="H1057" s="187">
        <v>464.52</v>
      </c>
      <c r="I1057" s="187">
        <v>88.04</v>
      </c>
    </row>
    <row r="1058" spans="1:9" ht="15.75" customHeight="1" x14ac:dyDescent="0.25">
      <c r="A1058" s="169">
        <v>44255</v>
      </c>
      <c r="B1058" s="187">
        <v>363.09</v>
      </c>
      <c r="C1058" s="187">
        <v>234.55</v>
      </c>
      <c r="D1058" s="187">
        <v>294.16000000000003</v>
      </c>
      <c r="E1058" s="187">
        <v>305.54000000000002</v>
      </c>
      <c r="F1058" s="187">
        <v>313.12</v>
      </c>
      <c r="G1058" s="188">
        <v>317.27999999999997</v>
      </c>
      <c r="H1058" s="187">
        <v>451.66</v>
      </c>
      <c r="I1058" s="187">
        <v>88.3</v>
      </c>
    </row>
    <row r="1059" spans="1:9" ht="15.75" customHeight="1" x14ac:dyDescent="0.25">
      <c r="A1059" s="169">
        <v>44262</v>
      </c>
      <c r="B1059" s="187">
        <v>380.13</v>
      </c>
      <c r="C1059" s="187">
        <v>237.69</v>
      </c>
      <c r="D1059" s="187">
        <v>302.29000000000002</v>
      </c>
      <c r="E1059" s="187">
        <v>306.83999999999997</v>
      </c>
      <c r="F1059" s="187">
        <v>312.25</v>
      </c>
      <c r="G1059" s="188">
        <v>313.94</v>
      </c>
      <c r="H1059" s="187">
        <v>449.83</v>
      </c>
      <c r="I1059" s="187">
        <v>88.79</v>
      </c>
    </row>
    <row r="1060" spans="1:9" ht="15.75" customHeight="1" x14ac:dyDescent="0.25">
      <c r="A1060" s="169">
        <v>44269</v>
      </c>
      <c r="B1060" s="187">
        <v>388.78</v>
      </c>
      <c r="C1060" s="187">
        <v>242.4</v>
      </c>
      <c r="D1060" s="187">
        <v>312</v>
      </c>
      <c r="E1060" s="187">
        <v>306.54000000000002</v>
      </c>
      <c r="F1060" s="187">
        <v>314.19</v>
      </c>
      <c r="G1060" s="188">
        <v>314.7</v>
      </c>
      <c r="H1060" s="187">
        <v>453.91</v>
      </c>
      <c r="I1060" s="187">
        <v>93.3</v>
      </c>
    </row>
    <row r="1061" spans="1:9" ht="15.75" customHeight="1" x14ac:dyDescent="0.25">
      <c r="A1061" s="169">
        <v>44276</v>
      </c>
      <c r="B1061" s="187">
        <v>392.45</v>
      </c>
      <c r="C1061" s="187">
        <v>244.54</v>
      </c>
      <c r="D1061" s="187">
        <v>317.29000000000002</v>
      </c>
      <c r="E1061" s="187">
        <v>306.97000000000003</v>
      </c>
      <c r="F1061" s="187">
        <v>314.2</v>
      </c>
      <c r="G1061" s="188">
        <v>316.35000000000002</v>
      </c>
      <c r="H1061" s="187">
        <v>463.81</v>
      </c>
      <c r="I1061" s="187">
        <v>93.77</v>
      </c>
    </row>
    <row r="1062" spans="1:9" ht="15.75" customHeight="1" x14ac:dyDescent="0.25">
      <c r="A1062" s="169">
        <v>44283</v>
      </c>
      <c r="B1062" s="187">
        <v>389.07</v>
      </c>
      <c r="C1062" s="187">
        <v>244.64</v>
      </c>
      <c r="D1062" s="187">
        <v>316.83999999999997</v>
      </c>
      <c r="E1062" s="187">
        <v>306.64999999999998</v>
      </c>
      <c r="F1062" s="187">
        <v>316.3</v>
      </c>
      <c r="G1062" s="188">
        <v>315.36</v>
      </c>
      <c r="H1062" s="187">
        <v>455.82</v>
      </c>
      <c r="I1062" s="187">
        <v>93.33</v>
      </c>
    </row>
    <row r="1063" spans="1:9" ht="15.75" customHeight="1" x14ac:dyDescent="0.25">
      <c r="A1063" s="169">
        <v>44290</v>
      </c>
      <c r="B1063" s="187">
        <v>400.35</v>
      </c>
      <c r="C1063" s="187">
        <v>244.67</v>
      </c>
      <c r="D1063" s="187">
        <v>318.91000000000003</v>
      </c>
      <c r="E1063" s="187">
        <v>306.73</v>
      </c>
      <c r="F1063" s="187">
        <v>317.8</v>
      </c>
      <c r="G1063" s="188">
        <v>315.81</v>
      </c>
      <c r="H1063" s="187">
        <v>451.92</v>
      </c>
      <c r="I1063" s="187">
        <v>98.01</v>
      </c>
    </row>
    <row r="1064" spans="1:9" ht="15.75" customHeight="1" x14ac:dyDescent="0.25">
      <c r="A1064" s="169">
        <v>44297</v>
      </c>
      <c r="B1064" s="187">
        <v>401.02</v>
      </c>
      <c r="C1064" s="187">
        <v>246.33</v>
      </c>
      <c r="D1064" s="187">
        <v>315.87</v>
      </c>
      <c r="E1064" s="187">
        <v>307.49</v>
      </c>
      <c r="F1064" s="187">
        <v>316.45</v>
      </c>
      <c r="G1064" s="188">
        <v>316.70999999999998</v>
      </c>
      <c r="H1064" s="187">
        <v>454.17</v>
      </c>
      <c r="I1064" s="187">
        <v>96.8</v>
      </c>
    </row>
    <row r="1065" spans="1:9" ht="15.75" customHeight="1" x14ac:dyDescent="0.25">
      <c r="A1065" s="169">
        <v>44304</v>
      </c>
      <c r="B1065" s="187">
        <v>398.79</v>
      </c>
      <c r="C1065" s="187">
        <v>248.69</v>
      </c>
      <c r="D1065" s="187">
        <v>316.33999999999997</v>
      </c>
      <c r="E1065" s="187">
        <v>309.17</v>
      </c>
      <c r="F1065" s="187">
        <v>316.74</v>
      </c>
      <c r="G1065" s="188">
        <v>312.01</v>
      </c>
      <c r="H1065" s="187">
        <v>449.41</v>
      </c>
      <c r="I1065" s="187">
        <v>96.4</v>
      </c>
    </row>
    <row r="1066" spans="1:9" ht="15.75" customHeight="1" x14ac:dyDescent="0.25">
      <c r="A1066" s="169">
        <v>44311</v>
      </c>
      <c r="B1066" s="187">
        <v>398.81</v>
      </c>
      <c r="C1066" s="187">
        <v>248.78</v>
      </c>
      <c r="D1066" s="187">
        <v>316.52999999999997</v>
      </c>
      <c r="E1066" s="187">
        <v>309.60000000000002</v>
      </c>
      <c r="F1066" s="187">
        <v>319.3</v>
      </c>
      <c r="G1066" s="188">
        <v>318.38</v>
      </c>
      <c r="H1066" s="187">
        <v>458.73</v>
      </c>
      <c r="I1066" s="187">
        <v>97.23</v>
      </c>
    </row>
    <row r="1067" spans="1:9" ht="15.75" customHeight="1" x14ac:dyDescent="0.25">
      <c r="A1067" s="169">
        <v>44318</v>
      </c>
      <c r="B1067" s="187">
        <v>403.84</v>
      </c>
      <c r="C1067" s="187">
        <v>252.91</v>
      </c>
      <c r="D1067" s="187">
        <v>313.98</v>
      </c>
      <c r="E1067" s="187">
        <v>311.88</v>
      </c>
      <c r="F1067" s="187">
        <v>320.8</v>
      </c>
      <c r="G1067" s="188">
        <v>318.08999999999997</v>
      </c>
      <c r="H1067" s="187">
        <v>460.28</v>
      </c>
      <c r="I1067" s="187">
        <v>99.4</v>
      </c>
    </row>
    <row r="1068" spans="1:9" ht="15.75" customHeight="1" x14ac:dyDescent="0.25">
      <c r="A1068" s="169">
        <v>44325</v>
      </c>
      <c r="B1068" s="187">
        <v>402.59</v>
      </c>
      <c r="C1068" s="187">
        <v>254.23</v>
      </c>
      <c r="D1068" s="187">
        <v>320.29000000000002</v>
      </c>
      <c r="E1068" s="187">
        <v>311.86</v>
      </c>
      <c r="F1068" s="187">
        <v>322.18</v>
      </c>
      <c r="G1068" s="188">
        <v>323.20999999999998</v>
      </c>
      <c r="H1068" s="187">
        <v>458.08</v>
      </c>
      <c r="I1068" s="187">
        <v>99.89</v>
      </c>
    </row>
    <row r="1069" spans="1:9" ht="15.75" customHeight="1" x14ac:dyDescent="0.25">
      <c r="A1069" s="169">
        <v>44332</v>
      </c>
      <c r="B1069" s="187">
        <v>407.22</v>
      </c>
      <c r="C1069" s="187">
        <v>255.19</v>
      </c>
      <c r="D1069" s="187">
        <v>321.13</v>
      </c>
      <c r="E1069" s="187">
        <v>312.38</v>
      </c>
      <c r="F1069" s="187">
        <v>322.47000000000003</v>
      </c>
      <c r="G1069" s="188">
        <v>322.92</v>
      </c>
      <c r="H1069" s="187">
        <v>449.08</v>
      </c>
      <c r="I1069" s="187">
        <v>99.42</v>
      </c>
    </row>
    <row r="1070" spans="1:9" ht="15.75" customHeight="1" x14ac:dyDescent="0.25">
      <c r="A1070" s="169">
        <v>44339</v>
      </c>
      <c r="B1070" s="187">
        <v>409.89</v>
      </c>
      <c r="C1070" s="187">
        <v>256.33999999999997</v>
      </c>
      <c r="D1070" s="187">
        <v>320.57</v>
      </c>
      <c r="E1070" s="187">
        <v>312.77</v>
      </c>
      <c r="F1070" s="187">
        <v>326.02999999999997</v>
      </c>
      <c r="G1070" s="188">
        <v>327.82</v>
      </c>
      <c r="H1070" s="187">
        <v>455.48</v>
      </c>
      <c r="I1070" s="187">
        <v>100.16</v>
      </c>
    </row>
    <row r="1071" spans="1:9" ht="15.75" customHeight="1" x14ac:dyDescent="0.25">
      <c r="A1071" s="169">
        <v>44346</v>
      </c>
      <c r="B1071" s="187">
        <v>411.74</v>
      </c>
      <c r="C1071" s="187">
        <v>257.3</v>
      </c>
      <c r="D1071" s="187">
        <v>320.29000000000002</v>
      </c>
      <c r="E1071" s="187">
        <v>312.19</v>
      </c>
      <c r="F1071" s="187">
        <v>326.13</v>
      </c>
      <c r="G1071" s="188">
        <v>329.18</v>
      </c>
      <c r="H1071" s="187">
        <v>448.57</v>
      </c>
      <c r="I1071" s="187">
        <v>100.58</v>
      </c>
    </row>
    <row r="1072" spans="1:9" ht="15.75" customHeight="1" x14ac:dyDescent="0.25">
      <c r="A1072" s="169">
        <v>44353</v>
      </c>
      <c r="B1072" s="187">
        <v>413.07</v>
      </c>
      <c r="C1072" s="187">
        <v>258.97000000000003</v>
      </c>
      <c r="D1072" s="187">
        <v>322.49</v>
      </c>
      <c r="E1072" s="187">
        <v>314.11</v>
      </c>
      <c r="F1072" s="187">
        <v>326.14999999999998</v>
      </c>
      <c r="G1072" s="188">
        <v>328.82</v>
      </c>
      <c r="H1072" s="187">
        <v>447.74</v>
      </c>
      <c r="I1072" s="187">
        <v>100.9</v>
      </c>
    </row>
    <row r="1073" spans="1:9" ht="15.75" customHeight="1" x14ac:dyDescent="0.25">
      <c r="A1073" s="169">
        <v>44360</v>
      </c>
      <c r="B1073" s="187">
        <v>409.76</v>
      </c>
      <c r="C1073" s="187">
        <v>258.49</v>
      </c>
      <c r="D1073" s="187">
        <v>317.27999999999997</v>
      </c>
      <c r="E1073" s="187">
        <v>314.33999999999997</v>
      </c>
      <c r="F1073" s="187">
        <v>328.96</v>
      </c>
      <c r="G1073" s="188">
        <v>330.38</v>
      </c>
      <c r="H1073" s="187">
        <v>449.13</v>
      </c>
      <c r="I1073" s="187">
        <v>100.9</v>
      </c>
    </row>
    <row r="1074" spans="1:9" ht="15.75" customHeight="1" x14ac:dyDescent="0.25">
      <c r="A1074" s="169">
        <v>44367</v>
      </c>
      <c r="B1074" s="187">
        <v>409.81</v>
      </c>
      <c r="C1074" s="187">
        <v>256.99</v>
      </c>
      <c r="D1074" s="187">
        <v>321.33</v>
      </c>
      <c r="E1074" s="187">
        <v>314.55</v>
      </c>
      <c r="F1074" s="187">
        <v>328.64</v>
      </c>
      <c r="G1074" s="188">
        <v>326.64999999999998</v>
      </c>
      <c r="H1074" s="187">
        <v>444.46</v>
      </c>
      <c r="I1074" s="187">
        <v>100.43</v>
      </c>
    </row>
    <row r="1075" spans="1:9" ht="15.75" customHeight="1" x14ac:dyDescent="0.25">
      <c r="A1075" s="169">
        <v>44374</v>
      </c>
      <c r="B1075" s="187">
        <v>406.16</v>
      </c>
      <c r="C1075" s="187">
        <v>255.7</v>
      </c>
      <c r="D1075" s="187">
        <v>320.66000000000003</v>
      </c>
      <c r="E1075" s="187">
        <v>314.94</v>
      </c>
      <c r="F1075" s="187">
        <v>328.55</v>
      </c>
      <c r="G1075" s="188">
        <v>326.11</v>
      </c>
      <c r="H1075" s="187">
        <v>460.64</v>
      </c>
      <c r="I1075" s="187">
        <v>99.14</v>
      </c>
    </row>
    <row r="1076" spans="1:9" ht="15.75" customHeight="1" x14ac:dyDescent="0.25">
      <c r="A1076" s="169">
        <v>44381</v>
      </c>
      <c r="B1076" s="187">
        <v>400.45</v>
      </c>
      <c r="C1076" s="187">
        <v>255.05</v>
      </c>
      <c r="D1076" s="187">
        <v>320.76</v>
      </c>
      <c r="E1076" s="187">
        <v>318</v>
      </c>
      <c r="F1076" s="187">
        <v>327.5</v>
      </c>
      <c r="G1076" s="188">
        <v>326.62</v>
      </c>
      <c r="H1076" s="187">
        <v>443.91</v>
      </c>
      <c r="I1076" s="187">
        <v>99.77</v>
      </c>
    </row>
    <row r="1077" spans="1:9" ht="15.75" customHeight="1" x14ac:dyDescent="0.25">
      <c r="A1077" s="169">
        <v>44388</v>
      </c>
      <c r="B1077" s="187">
        <v>397.49</v>
      </c>
      <c r="C1077" s="187">
        <v>252.92</v>
      </c>
      <c r="D1077" s="187">
        <v>319.01</v>
      </c>
      <c r="E1077" s="187">
        <v>319.02</v>
      </c>
      <c r="F1077" s="187">
        <v>331.1</v>
      </c>
      <c r="G1077" s="188">
        <v>334.07</v>
      </c>
      <c r="H1077" s="187">
        <v>454.44</v>
      </c>
      <c r="I1077" s="187">
        <v>97.55</v>
      </c>
    </row>
    <row r="1078" spans="1:9" ht="15.75" customHeight="1" x14ac:dyDescent="0.25">
      <c r="A1078" s="169">
        <v>44395</v>
      </c>
      <c r="B1078" s="187">
        <v>396.85</v>
      </c>
      <c r="C1078" s="187">
        <v>251.21</v>
      </c>
      <c r="D1078" s="187">
        <v>316.52</v>
      </c>
      <c r="E1078" s="187">
        <v>318.77</v>
      </c>
      <c r="F1078" s="187">
        <v>330.46</v>
      </c>
      <c r="G1078" s="188">
        <v>328.16</v>
      </c>
      <c r="H1078" s="187">
        <v>448.69</v>
      </c>
      <c r="I1078" s="187">
        <v>96</v>
      </c>
    </row>
    <row r="1079" spans="1:9" ht="15.75" customHeight="1" x14ac:dyDescent="0.25">
      <c r="A1079" s="169">
        <v>44402</v>
      </c>
      <c r="B1079" s="187">
        <v>393.33</v>
      </c>
      <c r="C1079" s="187">
        <v>248.21</v>
      </c>
      <c r="D1079" s="187">
        <v>312.77999999999997</v>
      </c>
      <c r="E1079" s="187">
        <v>318.45999999999998</v>
      </c>
      <c r="F1079" s="187">
        <v>329.72</v>
      </c>
      <c r="G1079" s="188">
        <v>328.24</v>
      </c>
      <c r="H1079" s="187">
        <v>456.06</v>
      </c>
      <c r="I1079" s="187">
        <v>96.56</v>
      </c>
    </row>
    <row r="1080" spans="1:9" ht="15.75" customHeight="1" x14ac:dyDescent="0.25">
      <c r="A1080" s="169">
        <v>44409</v>
      </c>
      <c r="B1080" s="187">
        <v>393.18</v>
      </c>
      <c r="C1080" s="187">
        <v>248.45</v>
      </c>
      <c r="D1080" s="187">
        <v>316.48</v>
      </c>
      <c r="E1080" s="187">
        <v>330.03</v>
      </c>
      <c r="F1080" s="187">
        <v>329.77</v>
      </c>
      <c r="G1080" s="188">
        <v>327.18</v>
      </c>
      <c r="H1080" s="187">
        <v>453.15</v>
      </c>
      <c r="I1080" s="187">
        <v>95.18</v>
      </c>
    </row>
    <row r="1081" spans="1:9" ht="15.75" customHeight="1" x14ac:dyDescent="0.25">
      <c r="A1081" s="169">
        <v>44416</v>
      </c>
      <c r="B1081" s="187">
        <v>393.08</v>
      </c>
      <c r="C1081" s="187">
        <v>249.07</v>
      </c>
      <c r="D1081" s="187">
        <v>314.79000000000002</v>
      </c>
      <c r="E1081" s="187">
        <v>329.99</v>
      </c>
      <c r="F1081" s="187">
        <v>329.54</v>
      </c>
      <c r="G1081" s="188">
        <v>330.94</v>
      </c>
      <c r="H1081" s="187">
        <v>443.63</v>
      </c>
      <c r="I1081" s="187">
        <v>94.48</v>
      </c>
    </row>
    <row r="1082" spans="1:9" ht="15.75" customHeight="1" x14ac:dyDescent="0.25">
      <c r="A1082" s="169">
        <v>44423</v>
      </c>
      <c r="B1082" s="187">
        <v>395.74</v>
      </c>
      <c r="C1082" s="187">
        <v>250.04</v>
      </c>
      <c r="D1082" s="187">
        <v>316.88</v>
      </c>
      <c r="E1082" s="187">
        <v>330.4</v>
      </c>
      <c r="F1082" s="187">
        <v>330.13</v>
      </c>
      <c r="G1082" s="188">
        <v>331.9</v>
      </c>
      <c r="H1082" s="187">
        <v>451.56</v>
      </c>
      <c r="I1082" s="187">
        <v>93.54</v>
      </c>
    </row>
    <row r="1083" spans="1:9" ht="15.75" customHeight="1" x14ac:dyDescent="0.25">
      <c r="A1083" s="169">
        <v>44430</v>
      </c>
      <c r="B1083" s="187">
        <v>394.16</v>
      </c>
      <c r="C1083" s="187">
        <v>252.49</v>
      </c>
      <c r="D1083" s="187">
        <v>314.26</v>
      </c>
      <c r="E1083" s="187">
        <v>331.07</v>
      </c>
      <c r="F1083" s="187">
        <v>331.19</v>
      </c>
      <c r="G1083" s="188">
        <v>333.83</v>
      </c>
      <c r="H1083" s="187">
        <v>455.09</v>
      </c>
      <c r="I1083" s="187">
        <v>94.87</v>
      </c>
    </row>
    <row r="1084" spans="1:9" ht="15.75" customHeight="1" x14ac:dyDescent="0.25">
      <c r="A1084" s="169">
        <v>44437</v>
      </c>
      <c r="B1084" s="187">
        <v>401.12</v>
      </c>
      <c r="C1084" s="187">
        <v>252.76</v>
      </c>
      <c r="D1084" s="187">
        <v>314.66000000000003</v>
      </c>
      <c r="E1084" s="187">
        <v>329.93</v>
      </c>
      <c r="F1084" s="187">
        <v>329.37</v>
      </c>
      <c r="G1084" s="188">
        <v>331.36</v>
      </c>
      <c r="H1084" s="187">
        <v>461.82</v>
      </c>
      <c r="I1084" s="187">
        <v>95.93</v>
      </c>
    </row>
    <row r="1085" spans="1:9" ht="15.75" customHeight="1" x14ac:dyDescent="0.25">
      <c r="A1085" s="169">
        <v>44444</v>
      </c>
      <c r="B1085" s="187">
        <v>400.53</v>
      </c>
      <c r="C1085" s="187">
        <v>257.45999999999998</v>
      </c>
      <c r="D1085" s="187">
        <v>318.35000000000002</v>
      </c>
      <c r="E1085" s="187">
        <v>331.91</v>
      </c>
      <c r="F1085" s="187">
        <v>331.79</v>
      </c>
      <c r="G1085" s="188">
        <v>334.41</v>
      </c>
      <c r="H1085" s="187">
        <v>462.29</v>
      </c>
      <c r="I1085" s="187">
        <v>96.24</v>
      </c>
    </row>
    <row r="1086" spans="1:9" ht="15.75" customHeight="1" x14ac:dyDescent="0.25">
      <c r="A1086" s="169">
        <v>44451</v>
      </c>
      <c r="B1086" s="187">
        <v>404.81</v>
      </c>
      <c r="C1086" s="187">
        <v>260.04000000000002</v>
      </c>
      <c r="D1086" s="187">
        <v>324.77999999999997</v>
      </c>
      <c r="E1086" s="187">
        <v>327.57</v>
      </c>
      <c r="F1086" s="187">
        <v>332.31</v>
      </c>
      <c r="G1086" s="188">
        <v>335.6</v>
      </c>
      <c r="H1086" s="187">
        <v>451.75</v>
      </c>
      <c r="I1086" s="187">
        <v>96.76</v>
      </c>
    </row>
    <row r="1087" spans="1:9" ht="15.75" customHeight="1" x14ac:dyDescent="0.25">
      <c r="A1087" s="169">
        <v>44458</v>
      </c>
      <c r="B1087" s="187">
        <v>414.7</v>
      </c>
      <c r="C1087" s="187">
        <v>263.07</v>
      </c>
      <c r="D1087" s="187">
        <v>326.25</v>
      </c>
      <c r="E1087" s="187">
        <v>332.53</v>
      </c>
      <c r="F1087" s="187">
        <v>337.01</v>
      </c>
      <c r="G1087" s="188">
        <v>334.73</v>
      </c>
      <c r="H1087" s="187">
        <v>470.47</v>
      </c>
      <c r="I1087" s="187">
        <v>97.04</v>
      </c>
    </row>
    <row r="1088" spans="1:9" ht="15.75" customHeight="1" x14ac:dyDescent="0.25">
      <c r="A1088" s="169">
        <v>44465</v>
      </c>
      <c r="B1088" s="187">
        <v>410.96</v>
      </c>
      <c r="C1088" s="187">
        <v>265.23</v>
      </c>
      <c r="D1088" s="187">
        <v>328.91</v>
      </c>
      <c r="E1088" s="187">
        <v>331.88</v>
      </c>
      <c r="F1088" s="187">
        <v>337.09</v>
      </c>
      <c r="G1088" s="188">
        <v>335.11</v>
      </c>
      <c r="H1088" s="187">
        <v>468.29</v>
      </c>
      <c r="I1088" s="187">
        <v>99.08</v>
      </c>
    </row>
    <row r="1089" spans="1:9" ht="15.75" customHeight="1" x14ac:dyDescent="0.25">
      <c r="A1089" s="169">
        <v>44472</v>
      </c>
      <c r="B1089" s="187">
        <v>427.82</v>
      </c>
      <c r="C1089" s="187">
        <v>268.77999999999997</v>
      </c>
      <c r="D1089" s="187">
        <v>332.98</v>
      </c>
      <c r="E1089" s="187">
        <v>333.89</v>
      </c>
      <c r="F1089" s="187">
        <v>335.41</v>
      </c>
      <c r="G1089" s="188">
        <v>336.84</v>
      </c>
      <c r="H1089" s="187">
        <v>459.25</v>
      </c>
      <c r="I1089" s="187">
        <v>98.12</v>
      </c>
    </row>
    <row r="1090" spans="1:9" ht="15.75" customHeight="1" x14ac:dyDescent="0.25">
      <c r="A1090" s="169">
        <v>44479</v>
      </c>
      <c r="B1090" s="187">
        <v>432.42</v>
      </c>
      <c r="C1090" s="187">
        <v>273.10000000000002</v>
      </c>
      <c r="D1090" s="187">
        <v>337.29</v>
      </c>
      <c r="E1090" s="187">
        <v>334.9</v>
      </c>
      <c r="F1090" s="187">
        <v>341.57</v>
      </c>
      <c r="G1090" s="188">
        <v>341.23</v>
      </c>
      <c r="H1090" s="187">
        <v>466.9</v>
      </c>
      <c r="I1090" s="187">
        <v>98.79</v>
      </c>
    </row>
    <row r="1091" spans="1:9" ht="15.75" customHeight="1" x14ac:dyDescent="0.25">
      <c r="A1091" s="169">
        <v>44486</v>
      </c>
      <c r="B1091" s="187">
        <v>453.57</v>
      </c>
      <c r="C1091" s="187">
        <v>280.52999999999997</v>
      </c>
      <c r="D1091" s="187">
        <v>342.45</v>
      </c>
      <c r="E1091" s="187">
        <v>335.15</v>
      </c>
      <c r="F1091" s="187">
        <v>346.62</v>
      </c>
      <c r="G1091" s="188">
        <v>343.37</v>
      </c>
      <c r="H1091" s="187">
        <v>480.06</v>
      </c>
      <c r="I1091" s="187">
        <v>100.36</v>
      </c>
    </row>
    <row r="1092" spans="1:9" ht="15.75" customHeight="1" x14ac:dyDescent="0.25">
      <c r="A1092" s="169">
        <v>44493</v>
      </c>
      <c r="B1092" s="187">
        <v>476.22</v>
      </c>
      <c r="C1092" s="187">
        <v>287.64</v>
      </c>
      <c r="D1092" s="187">
        <v>352.68</v>
      </c>
      <c r="E1092" s="187">
        <v>335.18</v>
      </c>
      <c r="F1092" s="187">
        <v>348.84</v>
      </c>
      <c r="G1092" s="188">
        <v>346.09</v>
      </c>
      <c r="H1092" s="187">
        <v>463.63</v>
      </c>
      <c r="I1092" s="187">
        <v>100.13</v>
      </c>
    </row>
    <row r="1093" spans="1:9" ht="15.75" customHeight="1" x14ac:dyDescent="0.25">
      <c r="A1093" s="169">
        <v>44500</v>
      </c>
      <c r="B1093" s="187">
        <v>491.48</v>
      </c>
      <c r="C1093" s="187">
        <v>291.76</v>
      </c>
      <c r="D1093" s="187">
        <v>362.79</v>
      </c>
      <c r="E1093" s="187">
        <v>337.21</v>
      </c>
      <c r="F1093" s="187">
        <v>352.08</v>
      </c>
      <c r="G1093" s="188">
        <v>347.86</v>
      </c>
      <c r="H1093" s="187">
        <v>471.57</v>
      </c>
      <c r="I1093" s="187">
        <v>102.62</v>
      </c>
    </row>
    <row r="1094" spans="1:9" ht="15.75" customHeight="1" x14ac:dyDescent="0.25">
      <c r="A1094" s="169">
        <v>44507</v>
      </c>
      <c r="B1094" s="187">
        <v>494.37</v>
      </c>
      <c r="C1094" s="187">
        <v>296.16000000000003</v>
      </c>
      <c r="D1094" s="187">
        <v>366.49</v>
      </c>
      <c r="E1094" s="187">
        <v>338.29</v>
      </c>
      <c r="F1094" s="187">
        <v>357.47</v>
      </c>
      <c r="G1094" s="188">
        <v>355.12</v>
      </c>
      <c r="H1094" s="187">
        <v>473.62</v>
      </c>
      <c r="I1094" s="187">
        <v>102.3</v>
      </c>
    </row>
    <row r="1095" spans="1:9" ht="15.75" customHeight="1" x14ac:dyDescent="0.25">
      <c r="A1095" s="169">
        <v>44514</v>
      </c>
      <c r="B1095" s="187">
        <v>523.25</v>
      </c>
      <c r="C1095" s="187">
        <v>300.33</v>
      </c>
      <c r="D1095" s="187">
        <v>364.85</v>
      </c>
      <c r="E1095" s="187">
        <v>338.34</v>
      </c>
      <c r="F1095" s="187">
        <v>365.17</v>
      </c>
      <c r="G1095" s="188">
        <v>359.46</v>
      </c>
      <c r="H1095" s="187">
        <v>470.26</v>
      </c>
      <c r="I1095" s="187">
        <v>103.03</v>
      </c>
    </row>
    <row r="1096" spans="1:9" ht="15.75" customHeight="1" x14ac:dyDescent="0.25">
      <c r="A1096" s="169">
        <v>44521</v>
      </c>
      <c r="B1096" s="187">
        <v>498.06</v>
      </c>
      <c r="C1096" s="187">
        <v>306.23</v>
      </c>
      <c r="D1096" s="187">
        <v>380.14</v>
      </c>
      <c r="E1096" s="187">
        <v>338.83</v>
      </c>
      <c r="F1096" s="187">
        <v>367.54</v>
      </c>
      <c r="G1096" s="188">
        <v>361.94</v>
      </c>
      <c r="H1096" s="187">
        <v>472.91</v>
      </c>
      <c r="I1096" s="187">
        <v>107.64</v>
      </c>
    </row>
    <row r="1097" spans="1:9" ht="15.75" customHeight="1" x14ac:dyDescent="0.25">
      <c r="A1097" s="169">
        <v>44528</v>
      </c>
      <c r="B1097" s="187">
        <v>524.65</v>
      </c>
      <c r="C1097" s="187">
        <v>310.22000000000003</v>
      </c>
      <c r="D1097" s="187">
        <v>391.68</v>
      </c>
      <c r="E1097" s="187">
        <v>338.83</v>
      </c>
      <c r="F1097" s="187">
        <v>369.28</v>
      </c>
      <c r="G1097" s="188">
        <v>364.87</v>
      </c>
      <c r="H1097" s="187">
        <v>476.24</v>
      </c>
      <c r="I1097" s="187">
        <v>108.52</v>
      </c>
    </row>
    <row r="1098" spans="1:9" ht="15.75" customHeight="1" x14ac:dyDescent="0.25">
      <c r="A1098" s="169">
        <v>44535</v>
      </c>
      <c r="B1098" s="187">
        <v>534.46</v>
      </c>
      <c r="C1098" s="187">
        <v>315.8</v>
      </c>
      <c r="D1098" s="187">
        <v>397.69</v>
      </c>
      <c r="E1098" s="187">
        <v>339.99</v>
      </c>
      <c r="F1098" s="187">
        <v>383.93</v>
      </c>
      <c r="G1098" s="188">
        <v>376.29</v>
      </c>
      <c r="H1098" s="187">
        <v>470.38</v>
      </c>
      <c r="I1098" s="187">
        <v>108.1</v>
      </c>
    </row>
    <row r="1099" spans="1:9" ht="15.75" customHeight="1" x14ac:dyDescent="0.25">
      <c r="A1099" s="169">
        <v>44542</v>
      </c>
      <c r="B1099" s="187">
        <v>546.64</v>
      </c>
      <c r="C1099" s="187">
        <v>320.33</v>
      </c>
      <c r="D1099" s="187">
        <v>400.26</v>
      </c>
      <c r="E1099" s="187">
        <v>340.64</v>
      </c>
      <c r="F1099" s="187">
        <v>389.05</v>
      </c>
      <c r="G1099" s="188">
        <v>380.46</v>
      </c>
      <c r="H1099" s="187">
        <v>489.17</v>
      </c>
      <c r="I1099" s="187">
        <v>110.98</v>
      </c>
    </row>
    <row r="1100" spans="1:9" ht="15.75" customHeight="1" x14ac:dyDescent="0.25">
      <c r="A1100" s="169">
        <v>44549</v>
      </c>
      <c r="B1100" s="187">
        <v>550.03</v>
      </c>
      <c r="C1100" s="187">
        <v>323.3</v>
      </c>
      <c r="D1100" s="187">
        <v>407.83</v>
      </c>
      <c r="E1100" s="187">
        <v>340.46</v>
      </c>
      <c r="F1100" s="187">
        <v>392.13</v>
      </c>
      <c r="G1100" s="188">
        <v>384.97</v>
      </c>
      <c r="H1100" s="187">
        <v>463.3</v>
      </c>
      <c r="I1100" s="187">
        <v>112.09</v>
      </c>
    </row>
    <row r="1101" spans="1:9" ht="15.75" customHeight="1" x14ac:dyDescent="0.25">
      <c r="A1101" s="169">
        <v>44556</v>
      </c>
      <c r="B1101" s="187">
        <v>553.27</v>
      </c>
      <c r="C1101" s="187">
        <v>327.95</v>
      </c>
      <c r="D1101" s="187">
        <v>408.69</v>
      </c>
      <c r="E1101" s="187">
        <v>347.9</v>
      </c>
      <c r="F1101" s="187">
        <v>395.15</v>
      </c>
      <c r="G1101" s="188">
        <v>385.94</v>
      </c>
      <c r="H1101" s="187">
        <v>464.65</v>
      </c>
      <c r="I1101" s="187">
        <v>112.67</v>
      </c>
    </row>
    <row r="1102" spans="1:9" ht="15.75" customHeight="1" x14ac:dyDescent="0.25">
      <c r="A1102" s="169">
        <v>44563</v>
      </c>
      <c r="B1102" s="187">
        <v>558.79</v>
      </c>
      <c r="C1102" s="187">
        <v>326.08999999999997</v>
      </c>
      <c r="D1102" s="187">
        <v>403.89</v>
      </c>
      <c r="E1102" s="187">
        <v>349.65</v>
      </c>
      <c r="F1102" s="187">
        <v>397.36</v>
      </c>
      <c r="G1102" s="188">
        <v>386.92</v>
      </c>
      <c r="H1102" s="187">
        <v>465.52</v>
      </c>
      <c r="I1102" s="187">
        <v>113.34</v>
      </c>
    </row>
    <row r="1103" spans="1:9" ht="15.75" customHeight="1" x14ac:dyDescent="0.25">
      <c r="A1103" s="169">
        <v>44570</v>
      </c>
      <c r="B1103" s="187">
        <v>570.99</v>
      </c>
      <c r="C1103" s="187">
        <v>335.16</v>
      </c>
      <c r="D1103" s="187">
        <v>412.66</v>
      </c>
      <c r="E1103" s="187">
        <v>346.29</v>
      </c>
      <c r="F1103" s="187">
        <v>401.2</v>
      </c>
      <c r="G1103" s="188">
        <v>391.83</v>
      </c>
      <c r="H1103" s="187">
        <v>477.9</v>
      </c>
      <c r="I1103" s="187">
        <v>116.66</v>
      </c>
    </row>
    <row r="1104" spans="1:9" ht="15.75" customHeight="1" x14ac:dyDescent="0.25">
      <c r="A1104" s="169">
        <v>44577</v>
      </c>
      <c r="B1104" s="187">
        <v>573.37</v>
      </c>
      <c r="C1104" s="187">
        <v>335.84</v>
      </c>
      <c r="D1104" s="187">
        <v>422.57</v>
      </c>
      <c r="E1104" s="187">
        <v>349.5</v>
      </c>
      <c r="F1104" s="187">
        <v>409.08</v>
      </c>
      <c r="G1104" s="188">
        <v>398.18</v>
      </c>
      <c r="H1104" s="187">
        <v>479.89</v>
      </c>
      <c r="I1104" s="187">
        <v>121.28</v>
      </c>
    </row>
    <row r="1105" spans="1:9" ht="15.75" customHeight="1" x14ac:dyDescent="0.25">
      <c r="A1105" s="169">
        <v>44584</v>
      </c>
      <c r="B1105" s="187">
        <v>576.19000000000005</v>
      </c>
      <c r="C1105" s="187">
        <v>341.36</v>
      </c>
      <c r="D1105" s="187">
        <v>430.9</v>
      </c>
      <c r="E1105" s="187">
        <v>349.7</v>
      </c>
      <c r="F1105" s="187">
        <v>412.21</v>
      </c>
      <c r="G1105" s="188">
        <v>403.02</v>
      </c>
      <c r="H1105" s="187">
        <v>489.83</v>
      </c>
      <c r="I1105" s="187">
        <v>119.98</v>
      </c>
    </row>
    <row r="1106" spans="1:9" ht="15.75" customHeight="1" x14ac:dyDescent="0.25">
      <c r="A1106" s="169">
        <v>44591</v>
      </c>
      <c r="B1106" s="187">
        <v>579.38</v>
      </c>
      <c r="C1106" s="187">
        <v>344.95</v>
      </c>
      <c r="D1106" s="187">
        <v>431.15</v>
      </c>
      <c r="E1106" s="187">
        <v>349.96</v>
      </c>
      <c r="F1106" s="187">
        <v>412.99</v>
      </c>
      <c r="G1106" s="188">
        <v>402.69</v>
      </c>
      <c r="H1106" s="187">
        <v>480.71</v>
      </c>
      <c r="I1106" s="187">
        <v>121.87</v>
      </c>
    </row>
    <row r="1107" spans="1:9" ht="15.75" customHeight="1" x14ac:dyDescent="0.25">
      <c r="A1107" s="169">
        <v>44598</v>
      </c>
      <c r="B1107" s="187">
        <v>589.44000000000005</v>
      </c>
      <c r="C1107" s="187">
        <v>349.68</v>
      </c>
      <c r="D1107" s="187">
        <v>439.25</v>
      </c>
      <c r="E1107" s="187">
        <v>382.5</v>
      </c>
      <c r="F1107" s="187">
        <v>420.69</v>
      </c>
      <c r="G1107" s="188">
        <v>411.37</v>
      </c>
      <c r="H1107" s="187">
        <v>477.3</v>
      </c>
      <c r="I1107" s="187">
        <v>125.89</v>
      </c>
    </row>
    <row r="1108" spans="1:9" ht="15.75" customHeight="1" x14ac:dyDescent="0.25">
      <c r="A1108" s="169">
        <v>44605</v>
      </c>
      <c r="B1108" s="187">
        <v>594.04</v>
      </c>
      <c r="C1108" s="187">
        <v>357.94</v>
      </c>
      <c r="D1108" s="187">
        <v>447.7</v>
      </c>
      <c r="E1108" s="187">
        <v>382.29</v>
      </c>
      <c r="F1108" s="187">
        <v>426.71</v>
      </c>
      <c r="G1108" s="188">
        <v>411.98</v>
      </c>
      <c r="H1108" s="187">
        <v>483.38</v>
      </c>
      <c r="I1108" s="187">
        <v>127.78</v>
      </c>
    </row>
    <row r="1109" spans="1:9" ht="15.75" customHeight="1" x14ac:dyDescent="0.25">
      <c r="A1109" s="169">
        <v>44612</v>
      </c>
      <c r="B1109" s="187">
        <v>594.47</v>
      </c>
      <c r="C1109" s="187">
        <v>358.02</v>
      </c>
      <c r="D1109" s="187">
        <v>454.27</v>
      </c>
      <c r="E1109" s="187">
        <v>382.56</v>
      </c>
      <c r="F1109" s="187">
        <v>430.49</v>
      </c>
      <c r="G1109" s="188">
        <v>416.53</v>
      </c>
      <c r="H1109" s="187">
        <v>486.18</v>
      </c>
      <c r="I1109" s="187">
        <v>130.47999999999999</v>
      </c>
    </row>
    <row r="1110" spans="1:9" ht="15.75" customHeight="1" x14ac:dyDescent="0.25">
      <c r="A1110" s="169">
        <v>44619</v>
      </c>
      <c r="B1110" s="187">
        <v>597.67999999999995</v>
      </c>
      <c r="C1110" s="187">
        <v>365.89</v>
      </c>
      <c r="D1110" s="187">
        <v>462.82</v>
      </c>
      <c r="E1110" s="187">
        <v>392.68</v>
      </c>
      <c r="F1110" s="187">
        <v>426.86</v>
      </c>
      <c r="G1110" s="188">
        <v>411.49</v>
      </c>
      <c r="H1110" s="187">
        <v>473.61</v>
      </c>
      <c r="I1110" s="187">
        <v>131.62</v>
      </c>
    </row>
    <row r="1111" spans="1:9" ht="15.75" customHeight="1" x14ac:dyDescent="0.25">
      <c r="A1111" s="169">
        <v>44626</v>
      </c>
      <c r="B1111" s="187">
        <v>597.70000000000005</v>
      </c>
      <c r="C1111" s="187">
        <v>370.01</v>
      </c>
      <c r="D1111" s="187">
        <v>467.3</v>
      </c>
      <c r="E1111" s="187">
        <v>392.27</v>
      </c>
      <c r="F1111" s="187">
        <v>426.22</v>
      </c>
      <c r="G1111" s="188">
        <v>413.03</v>
      </c>
      <c r="H1111" s="187">
        <v>486.64</v>
      </c>
      <c r="I1111" s="187">
        <v>131.09</v>
      </c>
    </row>
    <row r="1112" spans="1:9" ht="15.75" customHeight="1" x14ac:dyDescent="0.25">
      <c r="A1112" s="169">
        <v>44633</v>
      </c>
      <c r="B1112" s="187">
        <v>614.16</v>
      </c>
      <c r="C1112" s="187">
        <v>378.14</v>
      </c>
      <c r="D1112" s="187">
        <v>477.31</v>
      </c>
      <c r="E1112" s="187">
        <v>393.57</v>
      </c>
      <c r="F1112" s="187">
        <v>427.28</v>
      </c>
      <c r="G1112" s="188">
        <v>413.82</v>
      </c>
      <c r="H1112" s="187">
        <v>503.74</v>
      </c>
      <c r="I1112" s="187">
        <v>134.41999999999999</v>
      </c>
    </row>
    <row r="1113" spans="1:9" ht="15.75" customHeight="1" x14ac:dyDescent="0.25">
      <c r="A1113" s="169">
        <v>44640</v>
      </c>
      <c r="B1113" s="187">
        <v>630.80999999999995</v>
      </c>
      <c r="C1113" s="187">
        <v>389.57</v>
      </c>
      <c r="D1113" s="187">
        <v>481.09</v>
      </c>
      <c r="E1113" s="187">
        <v>393.58</v>
      </c>
      <c r="F1113" s="187">
        <v>429.06</v>
      </c>
      <c r="G1113" s="188">
        <v>415.21</v>
      </c>
      <c r="H1113" s="187">
        <v>503.77</v>
      </c>
      <c r="I1113" s="187">
        <v>135.74</v>
      </c>
    </row>
    <row r="1114" spans="1:9" ht="15.75" customHeight="1" x14ac:dyDescent="0.25">
      <c r="A1114" s="169">
        <v>44647</v>
      </c>
      <c r="B1114" s="187">
        <v>645.04999999999995</v>
      </c>
      <c r="C1114" s="187">
        <v>396.43</v>
      </c>
      <c r="D1114" s="187">
        <v>490.89</v>
      </c>
      <c r="E1114" s="187">
        <v>392.23</v>
      </c>
      <c r="F1114" s="187">
        <v>434.37</v>
      </c>
      <c r="G1114" s="188">
        <v>419.04</v>
      </c>
      <c r="H1114" s="187">
        <v>498.24</v>
      </c>
      <c r="I1114" s="187">
        <v>135.57</v>
      </c>
    </row>
    <row r="1115" spans="1:9" ht="15.75" customHeight="1" x14ac:dyDescent="0.25">
      <c r="A1115" s="169">
        <v>44654</v>
      </c>
      <c r="B1115" s="187">
        <v>664.24</v>
      </c>
      <c r="C1115" s="187">
        <v>404.5</v>
      </c>
      <c r="D1115" s="187">
        <v>511.68</v>
      </c>
      <c r="E1115" s="187">
        <v>409.69</v>
      </c>
      <c r="F1115" s="187">
        <v>435.51</v>
      </c>
      <c r="G1115" s="188">
        <v>418.26</v>
      </c>
      <c r="H1115" s="187">
        <v>493.25</v>
      </c>
      <c r="I1115" s="187">
        <v>141.57</v>
      </c>
    </row>
    <row r="1116" spans="1:9" ht="15.75" customHeight="1" x14ac:dyDescent="0.25">
      <c r="A1116" s="169">
        <v>44661</v>
      </c>
      <c r="B1116" s="187">
        <v>684.76</v>
      </c>
      <c r="C1116" s="187">
        <v>411.89</v>
      </c>
      <c r="D1116" s="187">
        <v>515.17999999999995</v>
      </c>
      <c r="E1116" s="187">
        <v>411</v>
      </c>
      <c r="F1116" s="187">
        <v>439.53</v>
      </c>
      <c r="G1116" s="188">
        <v>419.91</v>
      </c>
      <c r="H1116" s="187">
        <v>506.49</v>
      </c>
      <c r="I1116" s="187">
        <v>141.30000000000001</v>
      </c>
    </row>
    <row r="1117" spans="1:9" ht="15.75" customHeight="1" x14ac:dyDescent="0.25">
      <c r="A1117" s="169">
        <v>44668</v>
      </c>
      <c r="B1117" s="187">
        <v>691.39</v>
      </c>
      <c r="C1117" s="187">
        <v>412.69</v>
      </c>
      <c r="D1117" s="187">
        <v>518.69000000000005</v>
      </c>
      <c r="E1117" s="187">
        <v>412.94</v>
      </c>
      <c r="F1117" s="187">
        <v>445.51</v>
      </c>
      <c r="G1117" s="188">
        <v>423.18</v>
      </c>
      <c r="H1117" s="187">
        <v>520.67999999999995</v>
      </c>
      <c r="I1117" s="187">
        <v>144.80000000000001</v>
      </c>
    </row>
    <row r="1118" spans="1:9" ht="15.75" customHeight="1" x14ac:dyDescent="0.25">
      <c r="A1118" s="169">
        <v>44675</v>
      </c>
      <c r="B1118" s="187">
        <v>692.95</v>
      </c>
      <c r="C1118" s="187">
        <v>405.16</v>
      </c>
      <c r="D1118" s="187">
        <v>509.68</v>
      </c>
      <c r="E1118" s="187">
        <v>395.32</v>
      </c>
      <c r="F1118" s="187">
        <v>445.56</v>
      </c>
      <c r="G1118" s="188">
        <v>426.81</v>
      </c>
      <c r="H1118" s="187">
        <v>511.9</v>
      </c>
      <c r="I1118" s="187">
        <v>141.71</v>
      </c>
    </row>
    <row r="1119" spans="1:9" ht="15.75" customHeight="1" x14ac:dyDescent="0.25">
      <c r="A1119" s="169">
        <v>44682</v>
      </c>
      <c r="B1119" s="187">
        <v>681.7</v>
      </c>
      <c r="C1119" s="187">
        <v>407.17</v>
      </c>
      <c r="D1119" s="187">
        <v>513.6</v>
      </c>
      <c r="E1119" s="187">
        <v>394.98</v>
      </c>
      <c r="F1119" s="187">
        <v>454.4</v>
      </c>
      <c r="G1119" s="188">
        <v>431.13</v>
      </c>
      <c r="H1119" s="187">
        <v>503.17</v>
      </c>
      <c r="I1119" s="187">
        <v>137.59</v>
      </c>
    </row>
    <row r="1120" spans="1:9" ht="15.75" customHeight="1" x14ac:dyDescent="0.25">
      <c r="A1120" s="169">
        <v>44689</v>
      </c>
      <c r="B1120" s="187">
        <v>688.07</v>
      </c>
      <c r="C1120" s="187">
        <v>401.88</v>
      </c>
      <c r="D1120" s="187">
        <v>520.41999999999996</v>
      </c>
      <c r="E1120" s="187">
        <v>398.11</v>
      </c>
      <c r="F1120" s="187">
        <v>464.39</v>
      </c>
      <c r="G1120" s="188">
        <v>448.49</v>
      </c>
      <c r="H1120" s="187">
        <v>569.16999999999996</v>
      </c>
      <c r="I1120" s="187">
        <v>135.33000000000001</v>
      </c>
    </row>
    <row r="1121" spans="1:9" ht="15.75" customHeight="1" x14ac:dyDescent="0.25">
      <c r="A1121" s="169">
        <v>44696</v>
      </c>
      <c r="B1121" s="187">
        <v>688.44</v>
      </c>
      <c r="C1121" s="187">
        <v>396.3</v>
      </c>
      <c r="D1121" s="187">
        <v>514.52</v>
      </c>
      <c r="E1121" s="187">
        <v>397.57</v>
      </c>
      <c r="F1121" s="187">
        <v>480.93</v>
      </c>
      <c r="G1121" s="188">
        <v>455.57</v>
      </c>
      <c r="H1121" s="187">
        <v>570.75</v>
      </c>
      <c r="I1121" s="187">
        <v>133.99</v>
      </c>
    </row>
    <row r="1122" spans="1:9" ht="15.75" customHeight="1" x14ac:dyDescent="0.25">
      <c r="A1122" s="169">
        <v>44703</v>
      </c>
      <c r="B1122" s="187">
        <v>706.98</v>
      </c>
      <c r="C1122" s="187">
        <v>401.64</v>
      </c>
      <c r="D1122" s="187">
        <v>512.74</v>
      </c>
      <c r="E1122" s="187">
        <v>475.24</v>
      </c>
      <c r="F1122" s="187">
        <v>483.37</v>
      </c>
      <c r="G1122" s="188">
        <v>460.43</v>
      </c>
      <c r="H1122" s="187">
        <v>579.30999999999995</v>
      </c>
      <c r="I1122" s="187">
        <v>136.82</v>
      </c>
    </row>
    <row r="1123" spans="1:9" ht="15.75" customHeight="1" x14ac:dyDescent="0.25">
      <c r="A1123" s="169">
        <v>44710</v>
      </c>
      <c r="B1123" s="187">
        <v>722.99</v>
      </c>
      <c r="C1123" s="187">
        <v>403.12</v>
      </c>
      <c r="D1123" s="187">
        <v>508.96</v>
      </c>
      <c r="E1123" s="187">
        <v>474.76</v>
      </c>
      <c r="F1123" s="187">
        <v>478.36</v>
      </c>
      <c r="G1123" s="188">
        <v>460.35</v>
      </c>
      <c r="H1123" s="187">
        <v>566.99</v>
      </c>
      <c r="I1123" s="187">
        <v>133.53</v>
      </c>
    </row>
    <row r="1124" spans="1:9" ht="15.75" customHeight="1" x14ac:dyDescent="0.25">
      <c r="A1124" s="169">
        <v>44717</v>
      </c>
      <c r="B1124" s="187">
        <v>722.3</v>
      </c>
      <c r="C1124" s="187">
        <v>403.12</v>
      </c>
      <c r="D1124" s="187">
        <v>512.62</v>
      </c>
      <c r="E1124" s="187">
        <v>475.81</v>
      </c>
      <c r="F1124" s="187">
        <v>494.77</v>
      </c>
      <c r="G1124" s="188">
        <v>478.57</v>
      </c>
      <c r="H1124" s="187">
        <v>573.76</v>
      </c>
      <c r="I1124" s="187">
        <v>131.36000000000001</v>
      </c>
    </row>
    <row r="1125" spans="1:9" ht="15.75" customHeight="1" x14ac:dyDescent="0.25">
      <c r="A1125" s="169">
        <v>44724</v>
      </c>
      <c r="B1125" s="187">
        <v>726.99</v>
      </c>
      <c r="C1125" s="187">
        <v>404.38</v>
      </c>
      <c r="D1125" s="187">
        <v>519.41</v>
      </c>
      <c r="E1125" s="187">
        <v>477.15</v>
      </c>
      <c r="F1125" s="187">
        <v>502.58</v>
      </c>
      <c r="G1125" s="188">
        <v>478.79</v>
      </c>
      <c r="H1125" s="187">
        <v>572.16</v>
      </c>
      <c r="I1125" s="187">
        <v>131.63999999999999</v>
      </c>
    </row>
    <row r="1126" spans="1:9" ht="15.75" customHeight="1" x14ac:dyDescent="0.25">
      <c r="A1126" s="169">
        <v>44731</v>
      </c>
      <c r="B1126" s="187">
        <v>724.94</v>
      </c>
      <c r="C1126" s="187">
        <v>405.01</v>
      </c>
      <c r="D1126" s="187">
        <v>511.6</v>
      </c>
      <c r="E1126" s="187">
        <v>477.33</v>
      </c>
      <c r="F1126" s="187">
        <v>505.93</v>
      </c>
      <c r="G1126" s="188">
        <v>485.86</v>
      </c>
      <c r="H1126" s="187">
        <v>572.16</v>
      </c>
      <c r="I1126" s="187">
        <v>132.82</v>
      </c>
    </row>
    <row r="1127" spans="1:9" ht="15.75" customHeight="1" x14ac:dyDescent="0.25">
      <c r="A1127" s="169">
        <v>44738</v>
      </c>
      <c r="B1127" s="187">
        <v>722.1</v>
      </c>
      <c r="C1127" s="187">
        <v>401.09</v>
      </c>
      <c r="D1127" s="187">
        <v>508.18</v>
      </c>
      <c r="E1127" s="187">
        <v>508.24</v>
      </c>
      <c r="F1127" s="187">
        <v>506.04</v>
      </c>
      <c r="G1127" s="188">
        <v>482.14</v>
      </c>
      <c r="H1127" s="187">
        <v>576.27</v>
      </c>
      <c r="I1127" s="187">
        <v>121.36</v>
      </c>
    </row>
    <row r="1128" spans="1:9" ht="15.75" customHeight="1" x14ac:dyDescent="0.25">
      <c r="A1128" s="169">
        <v>44745</v>
      </c>
      <c r="B1128" s="187">
        <v>726.51</v>
      </c>
      <c r="C1128" s="187">
        <v>399.29</v>
      </c>
      <c r="D1128" s="187">
        <v>524.21</v>
      </c>
      <c r="E1128" s="187">
        <v>508.31</v>
      </c>
      <c r="F1128" s="187">
        <v>508.06</v>
      </c>
      <c r="G1128" s="188">
        <v>484</v>
      </c>
      <c r="H1128" s="187">
        <v>583.54</v>
      </c>
      <c r="I1128" s="187">
        <v>120.68</v>
      </c>
    </row>
    <row r="1129" spans="1:9" ht="15.75" customHeight="1" x14ac:dyDescent="0.25">
      <c r="A1129" s="169">
        <v>44752</v>
      </c>
      <c r="B1129" s="187">
        <v>722.43</v>
      </c>
      <c r="C1129" s="187">
        <v>394.4</v>
      </c>
      <c r="D1129" s="187">
        <v>501.16</v>
      </c>
      <c r="E1129" s="187">
        <v>509.68</v>
      </c>
      <c r="F1129" s="187">
        <v>515.01</v>
      </c>
      <c r="G1129" s="188">
        <v>501.25</v>
      </c>
      <c r="H1129" s="187">
        <v>577.54</v>
      </c>
      <c r="I1129" s="187">
        <v>118.37</v>
      </c>
    </row>
    <row r="1130" spans="1:9" ht="15.75" customHeight="1" x14ac:dyDescent="0.25">
      <c r="A1130" s="169">
        <v>44759</v>
      </c>
      <c r="B1130" s="187">
        <v>719.52</v>
      </c>
      <c r="C1130" s="187">
        <v>391.27</v>
      </c>
      <c r="D1130" s="187">
        <v>510.61</v>
      </c>
      <c r="E1130" s="187">
        <v>510.44</v>
      </c>
      <c r="F1130" s="187">
        <v>515.44000000000005</v>
      </c>
      <c r="G1130" s="188">
        <v>499.22</v>
      </c>
      <c r="H1130" s="187">
        <v>575.16</v>
      </c>
      <c r="I1130" s="187">
        <v>115.92</v>
      </c>
    </row>
    <row r="1131" spans="1:9" ht="15.75" customHeight="1" x14ac:dyDescent="0.25">
      <c r="A1131" s="169">
        <v>44766</v>
      </c>
      <c r="B1131" s="187">
        <v>714.56</v>
      </c>
      <c r="C1131" s="187">
        <v>385.16</v>
      </c>
      <c r="D1131" s="187">
        <v>487.64</v>
      </c>
      <c r="E1131" s="187">
        <v>530.89</v>
      </c>
      <c r="F1131" s="187">
        <v>517.23</v>
      </c>
      <c r="G1131" s="188">
        <v>498.46</v>
      </c>
      <c r="H1131" s="187">
        <v>581.6</v>
      </c>
      <c r="I1131" s="187">
        <v>119.72</v>
      </c>
    </row>
    <row r="1132" spans="1:9" ht="15.75" customHeight="1" x14ac:dyDescent="0.25">
      <c r="A1132" s="169">
        <v>44773</v>
      </c>
      <c r="B1132" s="187">
        <v>711.42</v>
      </c>
      <c r="C1132" s="187">
        <v>379.5</v>
      </c>
      <c r="D1132" s="187">
        <v>486.53</v>
      </c>
      <c r="E1132" s="187">
        <v>530.86</v>
      </c>
      <c r="F1132" s="187">
        <v>517.07000000000005</v>
      </c>
      <c r="G1132" s="188">
        <v>502.16</v>
      </c>
      <c r="H1132" s="187">
        <v>581.19000000000005</v>
      </c>
      <c r="I1132" s="187">
        <v>112.12</v>
      </c>
    </row>
    <row r="1133" spans="1:9" ht="15.75" customHeight="1" x14ac:dyDescent="0.25">
      <c r="A1133" s="169">
        <v>44780</v>
      </c>
      <c r="B1133" s="187">
        <v>711.09</v>
      </c>
      <c r="C1133" s="187">
        <v>377.63</v>
      </c>
      <c r="D1133" s="187">
        <v>489.89</v>
      </c>
      <c r="E1133" s="187">
        <v>532.03</v>
      </c>
      <c r="F1133" s="187">
        <v>519</v>
      </c>
      <c r="G1133" s="188">
        <v>507.18</v>
      </c>
      <c r="H1133" s="187">
        <v>596.5</v>
      </c>
      <c r="I1133" s="187">
        <v>112.75</v>
      </c>
    </row>
    <row r="1134" spans="1:9" ht="15.75" customHeight="1" x14ac:dyDescent="0.25">
      <c r="A1134" s="169">
        <v>44787</v>
      </c>
      <c r="B1134" s="187">
        <v>717.3</v>
      </c>
      <c r="C1134" s="187">
        <v>371.58</v>
      </c>
      <c r="D1134" s="187">
        <v>488.13</v>
      </c>
      <c r="E1134" s="187">
        <v>532.46</v>
      </c>
      <c r="F1134" s="187">
        <v>520.6</v>
      </c>
      <c r="G1134" s="188">
        <v>514.70000000000005</v>
      </c>
      <c r="H1134" s="187">
        <v>615.70000000000005</v>
      </c>
      <c r="I1134" s="187">
        <v>111.81</v>
      </c>
    </row>
    <row r="1135" spans="1:9" ht="15.75" customHeight="1" x14ac:dyDescent="0.25">
      <c r="A1135" s="169">
        <v>44794</v>
      </c>
      <c r="B1135" s="187">
        <v>713.83</v>
      </c>
      <c r="C1135" s="187">
        <v>364.53</v>
      </c>
      <c r="D1135" s="187">
        <v>490.34</v>
      </c>
      <c r="E1135" s="187">
        <v>536.48</v>
      </c>
      <c r="F1135" s="187">
        <v>519.82000000000005</v>
      </c>
      <c r="G1135" s="188">
        <v>513.09</v>
      </c>
      <c r="H1135" s="187">
        <v>614.62</v>
      </c>
      <c r="I1135" s="187">
        <v>106.16</v>
      </c>
    </row>
    <row r="1136" spans="1:9" ht="15.75" customHeight="1" x14ac:dyDescent="0.25">
      <c r="A1136" s="169">
        <v>44801</v>
      </c>
      <c r="B1136" s="187">
        <v>715.94</v>
      </c>
      <c r="C1136" s="187">
        <v>373.28</v>
      </c>
      <c r="D1136" s="187">
        <v>483.53</v>
      </c>
      <c r="E1136" s="187">
        <v>536.35</v>
      </c>
      <c r="F1136" s="187">
        <v>518.91</v>
      </c>
      <c r="G1136" s="188">
        <v>510.53</v>
      </c>
      <c r="H1136" s="187">
        <v>610.26</v>
      </c>
      <c r="I1136" s="187">
        <v>108.51</v>
      </c>
    </row>
    <row r="1137" spans="1:9" ht="15.75" customHeight="1" x14ac:dyDescent="0.25">
      <c r="A1137" s="169">
        <v>44808</v>
      </c>
      <c r="B1137" s="187">
        <v>725.03</v>
      </c>
      <c r="C1137" s="187">
        <v>376.75</v>
      </c>
      <c r="D1137" s="187">
        <v>496.51</v>
      </c>
      <c r="E1137" s="187">
        <v>536.04999999999995</v>
      </c>
      <c r="F1137" s="187">
        <v>522.48</v>
      </c>
      <c r="G1137" s="188">
        <v>516.38</v>
      </c>
      <c r="H1137" s="187">
        <v>612.80999999999995</v>
      </c>
      <c r="I1137" s="187">
        <v>109.58</v>
      </c>
    </row>
    <row r="1138" spans="1:9" ht="15.75" customHeight="1" x14ac:dyDescent="0.25">
      <c r="A1138" s="169">
        <v>44815</v>
      </c>
      <c r="B1138" s="187">
        <v>716.04</v>
      </c>
      <c r="C1138" s="187">
        <v>377.44</v>
      </c>
      <c r="D1138" s="187">
        <v>485.07</v>
      </c>
      <c r="E1138" s="187">
        <v>535.97</v>
      </c>
      <c r="F1138" s="187">
        <v>526.79</v>
      </c>
      <c r="G1138" s="188">
        <v>520.5</v>
      </c>
      <c r="H1138" s="187">
        <v>630.22</v>
      </c>
      <c r="I1138" s="187">
        <v>108.91</v>
      </c>
    </row>
    <row r="1139" spans="1:9" ht="15.75" customHeight="1" x14ac:dyDescent="0.25">
      <c r="A1139" s="169">
        <v>44822</v>
      </c>
      <c r="B1139" s="187">
        <v>723.9</v>
      </c>
      <c r="C1139" s="187">
        <v>375.85</v>
      </c>
      <c r="D1139" s="187">
        <v>483.91</v>
      </c>
      <c r="E1139" s="187">
        <v>554.97</v>
      </c>
      <c r="F1139" s="187">
        <v>530.66</v>
      </c>
      <c r="G1139" s="188">
        <v>522.82000000000005</v>
      </c>
      <c r="H1139" s="187">
        <v>604.72</v>
      </c>
      <c r="I1139" s="187">
        <v>107.95</v>
      </c>
    </row>
    <row r="1140" spans="1:9" ht="15.75" customHeight="1" x14ac:dyDescent="0.25">
      <c r="A1140" s="169">
        <v>44829</v>
      </c>
      <c r="B1140" s="187">
        <v>723.24</v>
      </c>
      <c r="C1140" s="187">
        <v>372.71</v>
      </c>
      <c r="D1140" s="187">
        <v>491.01</v>
      </c>
      <c r="E1140" s="187">
        <v>554.71</v>
      </c>
      <c r="F1140" s="187">
        <v>529.72</v>
      </c>
      <c r="G1140" s="188">
        <v>519.82000000000005</v>
      </c>
      <c r="H1140" s="187">
        <v>605.84</v>
      </c>
      <c r="I1140" s="187">
        <v>112.06</v>
      </c>
    </row>
    <row r="1141" spans="1:9" ht="15.75" customHeight="1" x14ac:dyDescent="0.25">
      <c r="A1141" s="169">
        <v>44836</v>
      </c>
      <c r="B1141" s="187">
        <v>721.91</v>
      </c>
      <c r="C1141" s="187">
        <v>371.35</v>
      </c>
      <c r="D1141" s="187">
        <v>485.78</v>
      </c>
      <c r="E1141" s="187">
        <v>554.23</v>
      </c>
      <c r="F1141" s="187">
        <v>527.30999999999995</v>
      </c>
      <c r="G1141" s="188">
        <v>520.92999999999995</v>
      </c>
      <c r="H1141" s="187">
        <v>608.91999999999996</v>
      </c>
      <c r="I1141" s="187">
        <v>108.85</v>
      </c>
    </row>
    <row r="1142" spans="1:9" ht="15.75" customHeight="1" x14ac:dyDescent="0.25">
      <c r="A1142" s="169">
        <v>44843</v>
      </c>
      <c r="B1142" s="187">
        <v>716.57</v>
      </c>
      <c r="C1142" s="187">
        <v>369.16</v>
      </c>
      <c r="D1142" s="187">
        <v>479.36</v>
      </c>
      <c r="E1142" s="187">
        <v>555.57000000000005</v>
      </c>
      <c r="F1142" s="187">
        <v>526.46</v>
      </c>
      <c r="G1142" s="188">
        <v>523.72</v>
      </c>
      <c r="H1142" s="187">
        <v>611.73</v>
      </c>
      <c r="I1142" s="187">
        <v>107.69</v>
      </c>
    </row>
    <row r="1143" spans="1:9" ht="15.75" customHeight="1" x14ac:dyDescent="0.25">
      <c r="A1143" s="169">
        <v>44850</v>
      </c>
      <c r="B1143" s="187">
        <v>704.92</v>
      </c>
      <c r="C1143" s="187">
        <v>360.81</v>
      </c>
      <c r="D1143" s="187">
        <v>485.74</v>
      </c>
      <c r="E1143" s="187">
        <v>555.59</v>
      </c>
      <c r="F1143" s="187">
        <v>531.03</v>
      </c>
      <c r="G1143" s="188">
        <v>521.58000000000004</v>
      </c>
      <c r="H1143" s="187">
        <v>606.41999999999996</v>
      </c>
      <c r="I1143" s="187">
        <v>106.39</v>
      </c>
    </row>
    <row r="1144" spans="1:9" ht="15.75" customHeight="1" x14ac:dyDescent="0.25">
      <c r="A1144" s="169">
        <v>44857</v>
      </c>
      <c r="B1144" s="187">
        <v>691.55</v>
      </c>
      <c r="C1144" s="187">
        <v>357.22</v>
      </c>
      <c r="D1144" s="187">
        <v>476.07</v>
      </c>
      <c r="E1144" s="187">
        <v>536.79999999999995</v>
      </c>
      <c r="F1144" s="187">
        <v>538.17999999999995</v>
      </c>
      <c r="G1144" s="188">
        <v>526.29</v>
      </c>
      <c r="H1144" s="187">
        <v>627.58000000000004</v>
      </c>
      <c r="I1144" s="187">
        <v>105.83</v>
      </c>
    </row>
    <row r="1145" spans="1:9" ht="15.75" customHeight="1" x14ac:dyDescent="0.25">
      <c r="A1145" s="169">
        <v>44864</v>
      </c>
      <c r="B1145" s="187">
        <v>686.63</v>
      </c>
      <c r="C1145" s="187">
        <v>341.54</v>
      </c>
      <c r="D1145" s="187">
        <v>468.42</v>
      </c>
      <c r="E1145" s="187">
        <v>537.41999999999996</v>
      </c>
      <c r="F1145" s="187">
        <v>540.01</v>
      </c>
      <c r="G1145" s="188">
        <v>527.6</v>
      </c>
      <c r="H1145" s="187">
        <v>617.04999999999995</v>
      </c>
      <c r="I1145" s="187">
        <v>104.28</v>
      </c>
    </row>
    <row r="1146" spans="1:9" ht="15.75" customHeight="1" x14ac:dyDescent="0.25">
      <c r="A1146" s="169">
        <v>44871</v>
      </c>
      <c r="B1146" s="187">
        <v>669.27</v>
      </c>
      <c r="C1146" s="187">
        <v>327.39</v>
      </c>
      <c r="D1146" s="187">
        <v>456.17</v>
      </c>
      <c r="E1146" s="187">
        <v>537.09</v>
      </c>
      <c r="F1146" s="187">
        <v>539.09</v>
      </c>
      <c r="G1146" s="188">
        <v>532.71</v>
      </c>
      <c r="H1146" s="187">
        <v>622.15</v>
      </c>
      <c r="I1146" s="187">
        <v>102.45</v>
      </c>
    </row>
    <row r="1147" spans="1:9" ht="15.75" customHeight="1" x14ac:dyDescent="0.25">
      <c r="A1147" s="169">
        <v>44878</v>
      </c>
      <c r="B1147" s="187">
        <v>672.38</v>
      </c>
      <c r="C1147" s="187">
        <v>319.41000000000003</v>
      </c>
      <c r="D1147" s="187">
        <v>462.34</v>
      </c>
      <c r="E1147" s="187">
        <v>537.91</v>
      </c>
      <c r="F1147" s="187">
        <v>535.30999999999995</v>
      </c>
      <c r="G1147" s="188">
        <v>531.94000000000005</v>
      </c>
      <c r="H1147" s="187">
        <v>625.45000000000005</v>
      </c>
      <c r="I1147" s="187">
        <v>102.01</v>
      </c>
    </row>
    <row r="1148" spans="1:9" ht="15.75" customHeight="1" x14ac:dyDescent="0.25">
      <c r="A1148" s="169">
        <v>44885</v>
      </c>
      <c r="B1148" s="187">
        <v>656.29</v>
      </c>
      <c r="C1148" s="187">
        <v>318.02999999999997</v>
      </c>
      <c r="D1148" s="187">
        <v>446.76</v>
      </c>
      <c r="E1148" s="187">
        <v>537.72</v>
      </c>
      <c r="F1148" s="187">
        <v>534.13</v>
      </c>
      <c r="G1148" s="188">
        <v>530.9</v>
      </c>
      <c r="H1148" s="187">
        <v>628.86</v>
      </c>
      <c r="I1148" s="187">
        <v>104.46</v>
      </c>
    </row>
    <row r="1149" spans="1:9" ht="15.75" customHeight="1" x14ac:dyDescent="0.25">
      <c r="A1149" s="169">
        <v>44892</v>
      </c>
      <c r="B1149" s="187">
        <v>636.42999999999995</v>
      </c>
      <c r="C1149" s="187">
        <v>311.27999999999997</v>
      </c>
      <c r="D1149" s="187">
        <v>443.32</v>
      </c>
      <c r="E1149" s="187">
        <v>539.34</v>
      </c>
      <c r="F1149" s="187">
        <v>533.86</v>
      </c>
      <c r="G1149" s="188">
        <v>528.04999999999995</v>
      </c>
      <c r="H1149" s="187">
        <v>621.07000000000005</v>
      </c>
      <c r="I1149" s="187">
        <v>95.75</v>
      </c>
    </row>
    <row r="1150" spans="1:9" ht="15.75" customHeight="1" x14ac:dyDescent="0.25">
      <c r="A1150" s="169">
        <v>44899</v>
      </c>
      <c r="B1150" s="187">
        <v>617.84</v>
      </c>
      <c r="C1150" s="187">
        <v>305.29000000000002</v>
      </c>
      <c r="D1150" s="187">
        <v>433.41</v>
      </c>
      <c r="E1150" s="187">
        <v>537.23</v>
      </c>
      <c r="F1150" s="187">
        <v>528.22</v>
      </c>
      <c r="G1150" s="188">
        <v>526.74</v>
      </c>
      <c r="H1150" s="187">
        <v>649.22</v>
      </c>
      <c r="I1150" s="187">
        <v>97.99</v>
      </c>
    </row>
    <row r="1151" spans="1:9" ht="15.75" customHeight="1" x14ac:dyDescent="0.25">
      <c r="A1151" s="169">
        <v>44906</v>
      </c>
      <c r="B1151" s="187">
        <v>599.29</v>
      </c>
      <c r="C1151" s="187">
        <v>301.69</v>
      </c>
      <c r="D1151" s="187">
        <v>433.17</v>
      </c>
      <c r="E1151" s="187">
        <v>537.85</v>
      </c>
      <c r="F1151" s="187">
        <v>522.52</v>
      </c>
      <c r="G1151" s="188">
        <v>531.66</v>
      </c>
      <c r="H1151" s="187">
        <v>669.84</v>
      </c>
      <c r="I1151" s="187">
        <v>92.85</v>
      </c>
    </row>
    <row r="1152" spans="1:9" ht="15.75" customHeight="1" x14ac:dyDescent="0.25">
      <c r="A1152" s="169">
        <v>44913</v>
      </c>
      <c r="B1152" s="187">
        <v>595.22</v>
      </c>
      <c r="C1152" s="187">
        <v>296.98</v>
      </c>
      <c r="D1152" s="187">
        <v>419.36</v>
      </c>
      <c r="E1152" s="187">
        <v>536.79999999999995</v>
      </c>
      <c r="F1152" s="187">
        <v>520.26</v>
      </c>
      <c r="G1152" s="188">
        <v>527.32000000000005</v>
      </c>
      <c r="H1152" s="187">
        <v>649.16999999999996</v>
      </c>
      <c r="I1152" s="187">
        <v>92.16</v>
      </c>
    </row>
    <row r="1153" spans="1:9" ht="15.75" customHeight="1" x14ac:dyDescent="0.25">
      <c r="A1153" s="169">
        <v>44920</v>
      </c>
      <c r="B1153" s="187">
        <v>576.77</v>
      </c>
      <c r="C1153" s="187">
        <v>296.29000000000002</v>
      </c>
      <c r="D1153" s="187">
        <v>410.09</v>
      </c>
      <c r="E1153" s="187">
        <v>534.79999999999995</v>
      </c>
      <c r="F1153" s="187">
        <v>525.96</v>
      </c>
      <c r="G1153" s="188">
        <v>529.33000000000004</v>
      </c>
      <c r="H1153" s="187">
        <v>652.62</v>
      </c>
      <c r="I1153" s="187">
        <v>92.52</v>
      </c>
    </row>
    <row r="1154" spans="1:9" ht="15.75" customHeight="1" x14ac:dyDescent="0.25">
      <c r="A1154" s="169">
        <v>44927</v>
      </c>
      <c r="B1154" s="187">
        <v>562.87</v>
      </c>
      <c r="C1154" s="187">
        <v>292.24</v>
      </c>
      <c r="D1154" s="187">
        <v>404.33</v>
      </c>
      <c r="E1154" s="187">
        <v>538.01</v>
      </c>
      <c r="F1154" s="187">
        <v>519.77</v>
      </c>
      <c r="G1154" s="188">
        <v>528.30999999999995</v>
      </c>
      <c r="H1154" s="187">
        <v>665.36</v>
      </c>
      <c r="I1154" s="187">
        <v>90.43</v>
      </c>
    </row>
    <row r="1155" spans="1:9" ht="15.75" customHeight="1" x14ac:dyDescent="0.25">
      <c r="A1155" s="169">
        <v>44934</v>
      </c>
      <c r="B1155" s="187">
        <v>574.25</v>
      </c>
      <c r="C1155" s="187">
        <v>289.73</v>
      </c>
      <c r="D1155" s="187">
        <v>398.81</v>
      </c>
      <c r="E1155" s="187">
        <v>533.28</v>
      </c>
      <c r="F1155" s="187">
        <v>508.93</v>
      </c>
      <c r="G1155" s="188">
        <v>528.48</v>
      </c>
      <c r="H1155" s="187">
        <v>690</v>
      </c>
      <c r="I1155" s="187">
        <v>87.99</v>
      </c>
    </row>
    <row r="1156" spans="1:9" ht="15.75" customHeight="1" x14ac:dyDescent="0.25">
      <c r="A1156" s="169">
        <v>44941</v>
      </c>
      <c r="B1156" s="187">
        <v>539.17999999999995</v>
      </c>
      <c r="C1156" s="187">
        <v>276.88</v>
      </c>
      <c r="D1156" s="187">
        <v>385.15</v>
      </c>
      <c r="E1156" s="187">
        <v>531.36</v>
      </c>
      <c r="F1156" s="187">
        <v>500.35</v>
      </c>
      <c r="G1156" s="188">
        <v>515.96</v>
      </c>
      <c r="H1156" s="187">
        <v>684.97</v>
      </c>
      <c r="I1156" s="187">
        <v>85.06</v>
      </c>
    </row>
    <row r="1157" spans="1:9" ht="15.75" customHeight="1" x14ac:dyDescent="0.25">
      <c r="A1157" s="169">
        <v>44948</v>
      </c>
      <c r="B1157" s="187">
        <v>511.59</v>
      </c>
      <c r="C1157" s="187">
        <v>267.31</v>
      </c>
      <c r="D1157" s="187">
        <v>368</v>
      </c>
      <c r="E1157" s="187">
        <v>531.37</v>
      </c>
      <c r="F1157" s="187">
        <v>502.02</v>
      </c>
      <c r="G1157" s="188">
        <v>515.91999999999996</v>
      </c>
      <c r="H1157" s="187">
        <v>667.5</v>
      </c>
      <c r="I1157" s="187">
        <v>84.16</v>
      </c>
    </row>
    <row r="1158" spans="1:9" ht="15.75" customHeight="1" x14ac:dyDescent="0.25">
      <c r="A1158" s="169">
        <v>44955</v>
      </c>
      <c r="B1158" s="187">
        <v>481.63</v>
      </c>
      <c r="C1158" s="187">
        <v>256.81</v>
      </c>
      <c r="D1158" s="187">
        <v>360.72</v>
      </c>
      <c r="E1158" s="187">
        <v>522.32000000000005</v>
      </c>
      <c r="F1158" s="187">
        <v>485.79</v>
      </c>
      <c r="G1158" s="188">
        <v>509.54</v>
      </c>
      <c r="H1158" s="187">
        <v>696.62</v>
      </c>
      <c r="I1158" s="187">
        <v>79.180000000000007</v>
      </c>
    </row>
    <row r="1159" spans="1:9" ht="15.75" customHeight="1" x14ac:dyDescent="0.25">
      <c r="A1159" s="169">
        <v>44962</v>
      </c>
      <c r="B1159" s="187">
        <v>477.48</v>
      </c>
      <c r="C1159" s="187">
        <v>252.13</v>
      </c>
      <c r="D1159" s="187">
        <v>362.36</v>
      </c>
      <c r="E1159" s="187">
        <v>517.62</v>
      </c>
      <c r="F1159" s="187">
        <v>469.23</v>
      </c>
      <c r="G1159" s="188">
        <v>489.78</v>
      </c>
      <c r="H1159" s="187">
        <v>678.52</v>
      </c>
      <c r="I1159" s="187">
        <v>78.39</v>
      </c>
    </row>
    <row r="1160" spans="1:9" ht="15.75" customHeight="1" x14ac:dyDescent="0.25">
      <c r="A1160" s="169">
        <v>44969</v>
      </c>
      <c r="B1160" s="187">
        <v>480.16</v>
      </c>
      <c r="C1160" s="187">
        <v>254.53</v>
      </c>
      <c r="D1160" s="187">
        <v>352.13</v>
      </c>
      <c r="E1160" s="187">
        <v>512.92999999999995</v>
      </c>
      <c r="F1160" s="187">
        <v>437.03</v>
      </c>
      <c r="G1160" s="188">
        <v>465.87</v>
      </c>
      <c r="H1160" s="187">
        <v>689.22</v>
      </c>
      <c r="I1160" s="187">
        <v>82.39</v>
      </c>
    </row>
    <row r="1161" spans="1:9" ht="15.75" customHeight="1" x14ac:dyDescent="0.25">
      <c r="A1161" s="169">
        <v>44976</v>
      </c>
      <c r="B1161" s="187">
        <v>484.18</v>
      </c>
      <c r="C1161" s="187">
        <v>259.97000000000003</v>
      </c>
      <c r="D1161" s="187">
        <v>347.22</v>
      </c>
      <c r="E1161" s="187">
        <v>510.19</v>
      </c>
      <c r="F1161" s="187">
        <v>452.95</v>
      </c>
      <c r="G1161" s="188">
        <v>468.43</v>
      </c>
      <c r="H1161" s="187">
        <v>653.97</v>
      </c>
      <c r="I1161" s="187">
        <v>81.349999999999994</v>
      </c>
    </row>
    <row r="1162" spans="1:9" ht="15.75" customHeight="1" x14ac:dyDescent="0.25">
      <c r="A1162" s="169">
        <v>44983</v>
      </c>
      <c r="B1162" s="187">
        <v>481.14</v>
      </c>
      <c r="C1162" s="187">
        <v>262.20999999999998</v>
      </c>
      <c r="D1162" s="187">
        <v>350.86</v>
      </c>
      <c r="E1162" s="187">
        <v>500.8</v>
      </c>
      <c r="F1162" s="187">
        <v>437.54</v>
      </c>
      <c r="G1162" s="188">
        <v>465.65</v>
      </c>
      <c r="H1162" s="187">
        <v>680.17</v>
      </c>
      <c r="I1162" s="187">
        <v>78.02</v>
      </c>
    </row>
    <row r="1163" spans="1:9" ht="15.75" customHeight="1" x14ac:dyDescent="0.25">
      <c r="A1163" s="169">
        <v>44990</v>
      </c>
      <c r="B1163" s="187">
        <v>474.64</v>
      </c>
      <c r="C1163" s="187">
        <v>261.89999999999998</v>
      </c>
      <c r="D1163" s="187">
        <v>348.97</v>
      </c>
      <c r="E1163" s="187">
        <v>492.56</v>
      </c>
      <c r="F1163" s="187">
        <v>443.62</v>
      </c>
      <c r="G1163" s="188">
        <v>472.62</v>
      </c>
      <c r="H1163" s="187">
        <v>676.52</v>
      </c>
      <c r="I1163" s="187">
        <v>81.73</v>
      </c>
    </row>
    <row r="1164" spans="1:9" ht="15.75" customHeight="1" x14ac:dyDescent="0.25">
      <c r="A1164" s="169">
        <v>44997</v>
      </c>
      <c r="B1164" s="187">
        <v>478.42</v>
      </c>
      <c r="C1164" s="187">
        <v>262.44</v>
      </c>
      <c r="D1164" s="187">
        <v>344.83</v>
      </c>
      <c r="E1164" s="187">
        <v>495.94</v>
      </c>
      <c r="F1164" s="187">
        <v>435.8</v>
      </c>
      <c r="G1164" s="188">
        <v>474.94</v>
      </c>
      <c r="H1164" s="187">
        <v>628.46</v>
      </c>
      <c r="I1164" s="187">
        <v>76.040000000000006</v>
      </c>
    </row>
    <row r="1165" spans="1:9" ht="15.75" customHeight="1" x14ac:dyDescent="0.25">
      <c r="A1165" s="169">
        <v>45004</v>
      </c>
      <c r="B1165" s="187">
        <v>478.09</v>
      </c>
      <c r="C1165" s="187">
        <v>254.44</v>
      </c>
      <c r="D1165" s="187">
        <v>346.02</v>
      </c>
      <c r="E1165" s="187">
        <v>487.55</v>
      </c>
      <c r="F1165" s="187">
        <v>426.04</v>
      </c>
      <c r="G1165" s="188">
        <v>471.93</v>
      </c>
      <c r="H1165" s="187">
        <v>650.96</v>
      </c>
      <c r="I1165" s="187">
        <v>76.53</v>
      </c>
    </row>
    <row r="1166" spans="1:9" ht="15.75" customHeight="1" x14ac:dyDescent="0.25">
      <c r="A1166" s="169">
        <v>45011</v>
      </c>
      <c r="B1166" s="187">
        <v>474.51</v>
      </c>
      <c r="C1166" s="187">
        <v>252.53</v>
      </c>
      <c r="D1166" s="187">
        <v>342.49</v>
      </c>
      <c r="E1166" s="187">
        <v>486.49</v>
      </c>
      <c r="F1166" s="187">
        <v>428.07</v>
      </c>
      <c r="G1166" s="188">
        <v>473.62</v>
      </c>
      <c r="H1166" s="187">
        <v>657.12</v>
      </c>
      <c r="I1166" s="187">
        <v>75.88</v>
      </c>
    </row>
    <row r="1167" spans="1:9" ht="15.75" customHeight="1" x14ac:dyDescent="0.25">
      <c r="A1167" s="169">
        <v>45018</v>
      </c>
      <c r="B1167" s="187">
        <v>470.89</v>
      </c>
      <c r="C1167" s="187">
        <v>245.65</v>
      </c>
      <c r="D1167" s="187">
        <v>343.36</v>
      </c>
      <c r="E1167" s="187">
        <v>486.49</v>
      </c>
      <c r="F1167" s="187">
        <v>418.32</v>
      </c>
      <c r="G1167" s="188">
        <v>469.63</v>
      </c>
      <c r="H1167" s="187">
        <v>654.80999999999995</v>
      </c>
      <c r="I1167" s="187">
        <v>74.97</v>
      </c>
    </row>
    <row r="1168" spans="1:9" ht="15.75" customHeight="1" x14ac:dyDescent="0.25">
      <c r="A1168" s="169">
        <v>45025</v>
      </c>
      <c r="B1168" s="187">
        <v>474.22</v>
      </c>
      <c r="C1168" s="187">
        <v>246.19</v>
      </c>
      <c r="D1168" s="187">
        <v>340.51</v>
      </c>
      <c r="E1168" s="187">
        <v>462.14</v>
      </c>
      <c r="F1168" s="187">
        <v>416.78</v>
      </c>
      <c r="G1168" s="188">
        <v>455.21</v>
      </c>
      <c r="H1168" s="187">
        <v>654.91999999999996</v>
      </c>
      <c r="I1168" s="187">
        <v>75.819999999999993</v>
      </c>
    </row>
    <row r="1169" spans="1:9" ht="15.75" customHeight="1" x14ac:dyDescent="0.25">
      <c r="A1169" s="169">
        <v>45032</v>
      </c>
      <c r="B1169" s="187">
        <v>472.32</v>
      </c>
      <c r="C1169" s="187">
        <v>240.17</v>
      </c>
      <c r="D1169" s="187">
        <v>338.05</v>
      </c>
      <c r="E1169" s="187">
        <v>460.9</v>
      </c>
      <c r="F1169" s="187">
        <v>420.55</v>
      </c>
      <c r="G1169" s="188">
        <v>458.47</v>
      </c>
      <c r="H1169" s="187">
        <v>649.30999999999995</v>
      </c>
      <c r="I1169" s="187">
        <v>75.22</v>
      </c>
    </row>
    <row r="1170" spans="1:9" ht="15.75" customHeight="1" x14ac:dyDescent="0.25">
      <c r="A1170" s="169">
        <v>45039</v>
      </c>
      <c r="B1170" s="187">
        <v>470.59</v>
      </c>
      <c r="C1170" s="187">
        <v>242.19</v>
      </c>
      <c r="D1170" s="187">
        <v>337.17</v>
      </c>
      <c r="E1170" s="187">
        <v>461.05</v>
      </c>
      <c r="F1170" s="187">
        <v>412.78</v>
      </c>
      <c r="G1170" s="188">
        <v>444.59</v>
      </c>
      <c r="H1170" s="187">
        <v>637.22</v>
      </c>
      <c r="I1170" s="187">
        <v>74.27</v>
      </c>
    </row>
    <row r="1171" spans="1:9" ht="15.75" customHeight="1" x14ac:dyDescent="0.25">
      <c r="A1171" s="169">
        <v>45046</v>
      </c>
      <c r="B1171" s="187">
        <v>463.54</v>
      </c>
      <c r="C1171" s="187">
        <v>241.54</v>
      </c>
      <c r="D1171" s="187">
        <v>338.14</v>
      </c>
      <c r="E1171" s="187">
        <v>402.64</v>
      </c>
      <c r="F1171" s="187">
        <v>411.54</v>
      </c>
      <c r="G1171" s="188">
        <v>451</v>
      </c>
      <c r="H1171" s="187">
        <v>660.25</v>
      </c>
      <c r="I1171" s="187">
        <v>71.66</v>
      </c>
    </row>
    <row r="1172" spans="1:9" ht="15.75" customHeight="1" x14ac:dyDescent="0.25">
      <c r="A1172" s="169">
        <v>45053</v>
      </c>
      <c r="B1172" s="187">
        <v>462.31</v>
      </c>
      <c r="C1172" s="187">
        <v>243.16</v>
      </c>
      <c r="D1172" s="187">
        <v>343.73</v>
      </c>
      <c r="E1172" s="187">
        <v>404.43</v>
      </c>
      <c r="F1172" s="187">
        <v>411.3</v>
      </c>
      <c r="G1172" s="188">
        <v>446.87</v>
      </c>
      <c r="H1172" s="187">
        <v>642.88</v>
      </c>
      <c r="I1172" s="187">
        <v>73.53</v>
      </c>
    </row>
    <row r="1173" spans="1:9" ht="15.75" customHeight="1" x14ac:dyDescent="0.25">
      <c r="A1173" s="169">
        <v>45060</v>
      </c>
      <c r="B1173" s="187">
        <v>464.74</v>
      </c>
      <c r="C1173" s="187">
        <v>245.56</v>
      </c>
      <c r="D1173" s="187">
        <v>341.13</v>
      </c>
      <c r="E1173" s="187">
        <v>400.49</v>
      </c>
      <c r="F1173" s="187">
        <v>400.12</v>
      </c>
      <c r="G1173" s="188">
        <v>436.06</v>
      </c>
      <c r="H1173" s="187">
        <v>650.86</v>
      </c>
      <c r="I1173" s="187">
        <v>71.650000000000006</v>
      </c>
    </row>
    <row r="1174" spans="1:9" ht="15.75" customHeight="1" x14ac:dyDescent="0.25">
      <c r="A1174" s="169">
        <v>45067</v>
      </c>
      <c r="B1174" s="187">
        <v>464.42</v>
      </c>
      <c r="C1174" s="187">
        <v>245.33</v>
      </c>
      <c r="D1174" s="187">
        <v>347.61</v>
      </c>
      <c r="E1174" s="187">
        <v>400.08</v>
      </c>
      <c r="F1174" s="187">
        <v>402.09</v>
      </c>
      <c r="G1174" s="188">
        <v>428.94</v>
      </c>
      <c r="H1174" s="187">
        <v>646.45000000000005</v>
      </c>
      <c r="I1174" s="187">
        <v>74.59</v>
      </c>
    </row>
    <row r="1175" spans="1:9" ht="15.75" customHeight="1" x14ac:dyDescent="0.25">
      <c r="A1175" s="169">
        <v>45074</v>
      </c>
      <c r="B1175" s="187">
        <v>473.54</v>
      </c>
      <c r="C1175" s="187">
        <v>247.88</v>
      </c>
      <c r="D1175" s="187">
        <v>348.95</v>
      </c>
      <c r="E1175" s="187">
        <v>380.36</v>
      </c>
      <c r="F1175" s="187">
        <v>412.01</v>
      </c>
      <c r="G1175" s="188">
        <v>447.32</v>
      </c>
      <c r="H1175" s="187">
        <v>622.89</v>
      </c>
      <c r="I1175" s="187">
        <v>74.52</v>
      </c>
    </row>
    <row r="1176" spans="1:9" ht="15.75" customHeight="1" x14ac:dyDescent="0.25">
      <c r="A1176" s="169">
        <v>45081</v>
      </c>
      <c r="B1176" s="187">
        <v>477.5</v>
      </c>
      <c r="C1176" s="187">
        <v>248.8</v>
      </c>
      <c r="D1176" s="187">
        <v>348.89</v>
      </c>
      <c r="E1176" s="187">
        <v>381</v>
      </c>
      <c r="F1176" s="187">
        <v>399.59</v>
      </c>
      <c r="G1176" s="188">
        <v>435.18</v>
      </c>
      <c r="H1176" s="187">
        <v>656.89</v>
      </c>
      <c r="I1176" s="187">
        <v>72.849999999999994</v>
      </c>
    </row>
    <row r="1177" spans="1:9" ht="15.75" customHeight="1" x14ac:dyDescent="0.25">
      <c r="A1177" s="169">
        <v>45088</v>
      </c>
      <c r="B1177" s="187">
        <v>470.06</v>
      </c>
      <c r="C1177" s="187">
        <v>249.83</v>
      </c>
      <c r="D1177" s="187">
        <v>353.04</v>
      </c>
      <c r="E1177" s="187">
        <v>379.87</v>
      </c>
      <c r="F1177" s="187">
        <v>397.75</v>
      </c>
      <c r="G1177" s="188">
        <v>422.59</v>
      </c>
      <c r="H1177" s="187">
        <v>638.82000000000005</v>
      </c>
      <c r="I1177" s="187">
        <v>72.3</v>
      </c>
    </row>
    <row r="1178" spans="1:9" ht="15.75" customHeight="1" x14ac:dyDescent="0.25">
      <c r="A1178" s="169">
        <v>45095</v>
      </c>
      <c r="B1178" s="187">
        <v>474.13</v>
      </c>
      <c r="C1178" s="187">
        <v>250.35</v>
      </c>
      <c r="D1178" s="187">
        <v>356.57</v>
      </c>
      <c r="E1178" s="187">
        <v>379.02</v>
      </c>
      <c r="F1178" s="187">
        <v>401.15</v>
      </c>
      <c r="G1178" s="188">
        <v>423.83</v>
      </c>
      <c r="H1178" s="187">
        <v>651.91999999999996</v>
      </c>
      <c r="I1178" s="187">
        <v>69.959999999999994</v>
      </c>
    </row>
    <row r="1179" spans="1:9" ht="15.75" customHeight="1" x14ac:dyDescent="0.25">
      <c r="A1179" s="169">
        <v>45102</v>
      </c>
      <c r="B1179" s="187">
        <v>470.43</v>
      </c>
      <c r="C1179" s="187">
        <v>247.8</v>
      </c>
      <c r="D1179" s="187">
        <v>355.33</v>
      </c>
      <c r="E1179" s="187">
        <v>379.48</v>
      </c>
      <c r="F1179" s="187">
        <v>396.92</v>
      </c>
      <c r="G1179" s="188">
        <v>423.21</v>
      </c>
      <c r="H1179" s="187">
        <v>638.13</v>
      </c>
      <c r="I1179" s="187">
        <v>69.98</v>
      </c>
    </row>
    <row r="1180" spans="1:9" ht="15.75" customHeight="1" x14ac:dyDescent="0.25">
      <c r="A1180" s="169">
        <v>45109</v>
      </c>
      <c r="B1180" s="187">
        <v>465.76</v>
      </c>
      <c r="C1180" s="187">
        <v>244.27</v>
      </c>
      <c r="D1180" s="187">
        <v>354.23</v>
      </c>
      <c r="E1180" s="187">
        <v>380.03</v>
      </c>
      <c r="F1180" s="187">
        <v>402.03</v>
      </c>
      <c r="G1180" s="188">
        <v>429.57</v>
      </c>
      <c r="H1180" s="187">
        <v>597.07000000000005</v>
      </c>
      <c r="I1180" s="187">
        <v>70.73</v>
      </c>
    </row>
    <row r="1181" spans="1:9" ht="15.75" customHeight="1" x14ac:dyDescent="0.25">
      <c r="A1181" s="169">
        <v>45116</v>
      </c>
      <c r="B1181" s="187">
        <v>467.59</v>
      </c>
      <c r="C1181" s="187">
        <v>239.53</v>
      </c>
      <c r="D1181" s="187">
        <v>352.67</v>
      </c>
      <c r="E1181" s="187">
        <v>377.5</v>
      </c>
      <c r="F1181" s="187">
        <v>403.2</v>
      </c>
      <c r="G1181" s="188">
        <v>421.17</v>
      </c>
      <c r="H1181" s="187">
        <v>622.97</v>
      </c>
      <c r="I1181" s="187">
        <v>69.44</v>
      </c>
    </row>
    <row r="1182" spans="1:9" ht="15.75" customHeight="1" x14ac:dyDescent="0.25">
      <c r="A1182" s="169">
        <v>45123</v>
      </c>
      <c r="B1182" s="187">
        <v>459.46</v>
      </c>
      <c r="C1182" s="187">
        <v>239.6</v>
      </c>
      <c r="D1182" s="187">
        <v>352.94</v>
      </c>
      <c r="E1182" s="187">
        <v>378.15</v>
      </c>
      <c r="F1182" s="187">
        <v>393.83</v>
      </c>
      <c r="G1182" s="188">
        <v>404.28</v>
      </c>
      <c r="H1182" s="187">
        <v>640.44000000000005</v>
      </c>
      <c r="I1182" s="187">
        <v>68.819999999999993</v>
      </c>
    </row>
    <row r="1183" spans="1:9" ht="15.75" customHeight="1" x14ac:dyDescent="0.25">
      <c r="A1183" s="169">
        <v>45130</v>
      </c>
      <c r="B1183" s="187">
        <v>453.74</v>
      </c>
      <c r="C1183" s="187">
        <v>228.06</v>
      </c>
      <c r="D1183" s="187">
        <v>341.13</v>
      </c>
      <c r="E1183" s="187">
        <v>377.9</v>
      </c>
      <c r="F1183" s="187">
        <v>398.18</v>
      </c>
      <c r="G1183" s="188">
        <v>417.1</v>
      </c>
      <c r="H1183" s="187">
        <v>638.24</v>
      </c>
      <c r="I1183" s="187">
        <v>65.69</v>
      </c>
    </row>
    <row r="1184" spans="1:9" ht="15.75" customHeight="1" x14ac:dyDescent="0.25">
      <c r="A1184" s="169">
        <v>45137</v>
      </c>
      <c r="B1184" s="187">
        <v>457.84</v>
      </c>
      <c r="C1184" s="187">
        <v>230.27</v>
      </c>
      <c r="D1184" s="187">
        <v>338.99</v>
      </c>
      <c r="E1184" s="187">
        <v>378.13</v>
      </c>
      <c r="F1184" s="187">
        <v>399.43</v>
      </c>
      <c r="G1184" s="188">
        <v>416.48</v>
      </c>
      <c r="H1184" s="187">
        <v>615.14</v>
      </c>
      <c r="I1184" s="187">
        <v>67.66</v>
      </c>
    </row>
    <row r="1185" spans="1:9" ht="15.75" customHeight="1" x14ac:dyDescent="0.25">
      <c r="A1185" s="169">
        <v>45144</v>
      </c>
      <c r="B1185" s="187">
        <v>458.21</v>
      </c>
      <c r="C1185" s="187">
        <v>230.59</v>
      </c>
      <c r="D1185" s="187">
        <v>341.25</v>
      </c>
      <c r="E1185" s="187">
        <v>378.21</v>
      </c>
      <c r="F1185" s="187">
        <v>405.73</v>
      </c>
      <c r="G1185" s="188">
        <v>418.76</v>
      </c>
      <c r="H1185" s="187">
        <v>608.72</v>
      </c>
      <c r="I1185" s="187">
        <v>67.569999999999993</v>
      </c>
    </row>
    <row r="1186" spans="1:9" ht="15.75" customHeight="1" x14ac:dyDescent="0.25">
      <c r="A1186" s="169">
        <v>45151</v>
      </c>
      <c r="B1186" s="187">
        <v>453.81</v>
      </c>
      <c r="C1186" s="187">
        <v>229.45</v>
      </c>
      <c r="D1186" s="187">
        <v>339.72</v>
      </c>
      <c r="E1186" s="187">
        <v>378.44</v>
      </c>
      <c r="F1186" s="187">
        <v>404.42</v>
      </c>
      <c r="G1186" s="188">
        <v>417.2</v>
      </c>
      <c r="H1186" s="187">
        <v>617.09</v>
      </c>
      <c r="I1186" s="187">
        <v>65.790000000000006</v>
      </c>
    </row>
    <row r="1187" spans="1:9" ht="15.75" customHeight="1" x14ac:dyDescent="0.25">
      <c r="A1187" s="169">
        <v>45158</v>
      </c>
      <c r="B1187" s="187">
        <v>449.04</v>
      </c>
      <c r="C1187" s="187">
        <v>228</v>
      </c>
      <c r="D1187" s="187">
        <v>336.08</v>
      </c>
      <c r="E1187" s="187">
        <v>377.92</v>
      </c>
      <c r="F1187" s="187">
        <v>402.57</v>
      </c>
      <c r="G1187" s="188">
        <v>415.05</v>
      </c>
      <c r="H1187" s="187">
        <v>624.99</v>
      </c>
      <c r="I1187" s="187">
        <v>65.790000000000006</v>
      </c>
    </row>
    <row r="1188" spans="1:9" ht="15.75" customHeight="1" x14ac:dyDescent="0.25">
      <c r="A1188" s="169">
        <v>45165</v>
      </c>
      <c r="B1188" s="187">
        <v>445.65</v>
      </c>
      <c r="C1188" s="187">
        <v>227.82</v>
      </c>
      <c r="D1188" s="187">
        <v>330.1</v>
      </c>
      <c r="E1188" s="187">
        <v>377.67</v>
      </c>
      <c r="F1188" s="187">
        <v>403.21</v>
      </c>
      <c r="G1188" s="188">
        <v>418.32</v>
      </c>
      <c r="H1188" s="187">
        <v>620.74</v>
      </c>
      <c r="I1188" s="187">
        <v>64.010000000000005</v>
      </c>
    </row>
    <row r="1189" spans="1:9" ht="15.75" customHeight="1" x14ac:dyDescent="0.25">
      <c r="A1189" s="169">
        <v>45172</v>
      </c>
      <c r="B1189" s="187">
        <v>441.13</v>
      </c>
      <c r="C1189" s="187">
        <v>226.69</v>
      </c>
      <c r="D1189" s="187">
        <v>325.33</v>
      </c>
      <c r="E1189" s="187">
        <v>377.49</v>
      </c>
      <c r="F1189" s="187">
        <v>404.81</v>
      </c>
      <c r="G1189" s="188">
        <v>415.55</v>
      </c>
      <c r="H1189" s="187">
        <v>636.11</v>
      </c>
      <c r="I1189" s="187">
        <v>64.319999999999993</v>
      </c>
    </row>
    <row r="1190" spans="1:9" ht="15.75" customHeight="1" x14ac:dyDescent="0.25">
      <c r="A1190" s="169">
        <v>45179</v>
      </c>
      <c r="B1190" s="187">
        <v>437.74</v>
      </c>
      <c r="C1190" s="187">
        <v>226.92</v>
      </c>
      <c r="D1190" s="187">
        <v>327.29000000000002</v>
      </c>
      <c r="E1190" s="187">
        <v>377.83</v>
      </c>
      <c r="F1190" s="187">
        <v>406.3</v>
      </c>
      <c r="G1190" s="188">
        <v>416.45</v>
      </c>
      <c r="H1190" s="187">
        <v>619.29999999999995</v>
      </c>
      <c r="I1190" s="187">
        <v>68.78</v>
      </c>
    </row>
    <row r="1191" spans="1:9" ht="15.75" customHeight="1" x14ac:dyDescent="0.25">
      <c r="A1191" s="169">
        <v>45186</v>
      </c>
      <c r="B1191" s="187">
        <v>440.53</v>
      </c>
      <c r="C1191" s="187">
        <v>228.62</v>
      </c>
      <c r="D1191" s="187">
        <v>327.52</v>
      </c>
      <c r="E1191" s="187">
        <v>377.33</v>
      </c>
      <c r="F1191" s="187">
        <v>400.32</v>
      </c>
      <c r="G1191" s="188">
        <v>411.92</v>
      </c>
      <c r="H1191" s="187">
        <v>618.74</v>
      </c>
      <c r="I1191" s="187">
        <v>71.790000000000006</v>
      </c>
    </row>
    <row r="1192" spans="1:9" ht="15.75" customHeight="1" x14ac:dyDescent="0.25">
      <c r="A1192" s="169">
        <v>45193</v>
      </c>
      <c r="B1192" s="187">
        <v>447.16</v>
      </c>
      <c r="C1192" s="187">
        <v>232.74</v>
      </c>
      <c r="D1192" s="187">
        <v>334.22</v>
      </c>
      <c r="E1192" s="187">
        <v>377.82</v>
      </c>
      <c r="F1192" s="187">
        <v>404.7</v>
      </c>
      <c r="G1192" s="188">
        <v>412.86</v>
      </c>
      <c r="H1192" s="187">
        <v>629.24</v>
      </c>
      <c r="I1192" s="187">
        <v>69.75</v>
      </c>
    </row>
    <row r="1193" spans="1:9" ht="15.75" customHeight="1" x14ac:dyDescent="0.25">
      <c r="A1193" s="169">
        <v>45200</v>
      </c>
      <c r="B1193" s="187">
        <v>456.49</v>
      </c>
      <c r="C1193" s="187">
        <v>244.68</v>
      </c>
      <c r="D1193" s="187">
        <v>341.43</v>
      </c>
      <c r="E1193" s="187">
        <v>378.95</v>
      </c>
      <c r="F1193" s="187">
        <v>409.84</v>
      </c>
      <c r="G1193" s="188">
        <v>411.57</v>
      </c>
      <c r="H1193" s="187">
        <v>615.14</v>
      </c>
      <c r="I1193" s="187">
        <v>73.2</v>
      </c>
    </row>
    <row r="1194" spans="1:9" ht="15.75" customHeight="1" x14ac:dyDescent="0.25">
      <c r="A1194" s="169">
        <v>45207</v>
      </c>
      <c r="B1194" s="187">
        <v>462.6</v>
      </c>
      <c r="C1194" s="187">
        <v>244.72</v>
      </c>
      <c r="D1194" s="187">
        <v>345.75</v>
      </c>
      <c r="E1194" s="187">
        <v>378.82</v>
      </c>
      <c r="F1194" s="187">
        <v>412.83</v>
      </c>
      <c r="G1194" s="188">
        <v>409.31</v>
      </c>
      <c r="H1194" s="187">
        <v>614.98</v>
      </c>
      <c r="I1194" s="187">
        <v>75.31</v>
      </c>
    </row>
    <row r="1195" spans="1:9" ht="15.75" customHeight="1" x14ac:dyDescent="0.25">
      <c r="A1195" s="169">
        <v>45214</v>
      </c>
      <c r="B1195" s="187">
        <v>470.61</v>
      </c>
      <c r="C1195" s="187">
        <v>249.32</v>
      </c>
      <c r="D1195" s="187">
        <v>350.13</v>
      </c>
      <c r="E1195" s="187">
        <v>377.25</v>
      </c>
      <c r="F1195" s="187">
        <v>413.54</v>
      </c>
      <c r="G1195" s="188">
        <v>409.89</v>
      </c>
      <c r="H1195" s="187">
        <v>629.29999999999995</v>
      </c>
      <c r="I1195" s="187">
        <v>74.739999999999995</v>
      </c>
    </row>
    <row r="1196" spans="1:9" ht="15.75" customHeight="1" x14ac:dyDescent="0.25">
      <c r="A1196" s="169">
        <v>45221</v>
      </c>
      <c r="B1196" s="187">
        <v>483.68</v>
      </c>
      <c r="C1196" s="187">
        <v>254.45</v>
      </c>
      <c r="D1196" s="187">
        <v>348.56</v>
      </c>
      <c r="E1196" s="187">
        <v>377.85</v>
      </c>
      <c r="F1196" s="187">
        <v>414.45</v>
      </c>
      <c r="G1196" s="188">
        <v>412.56</v>
      </c>
      <c r="H1196" s="187">
        <v>619.53</v>
      </c>
      <c r="I1196" s="187">
        <v>80.239999999999995</v>
      </c>
    </row>
    <row r="1197" spans="1:9" ht="15.75" customHeight="1" x14ac:dyDescent="0.25">
      <c r="A1197" s="169">
        <v>45228</v>
      </c>
      <c r="B1197" s="187">
        <v>487.91</v>
      </c>
      <c r="C1197" s="187">
        <v>255.33</v>
      </c>
      <c r="D1197" s="187">
        <v>351.54</v>
      </c>
      <c r="E1197" s="187">
        <v>378.12</v>
      </c>
      <c r="F1197" s="187">
        <v>411.53</v>
      </c>
      <c r="G1197" s="188">
        <v>418.26</v>
      </c>
      <c r="H1197" s="187">
        <v>623.26</v>
      </c>
      <c r="I1197" s="187">
        <v>77.900000000000006</v>
      </c>
    </row>
    <row r="1198" spans="1:9" ht="15.75" customHeight="1" x14ac:dyDescent="0.25">
      <c r="A1198" s="169">
        <v>45235</v>
      </c>
      <c r="B1198" s="187">
        <v>497.51</v>
      </c>
      <c r="C1198" s="187">
        <v>260.45999999999998</v>
      </c>
      <c r="D1198" s="187">
        <v>361.89</v>
      </c>
      <c r="E1198" s="187">
        <v>363.35</v>
      </c>
      <c r="F1198" s="187">
        <v>415.13</v>
      </c>
      <c r="G1198" s="188">
        <v>411.14</v>
      </c>
      <c r="H1198" s="187">
        <v>619.95000000000005</v>
      </c>
      <c r="I1198" s="187">
        <v>82.25</v>
      </c>
    </row>
    <row r="1199" spans="1:9" ht="15.75" customHeight="1" x14ac:dyDescent="0.25">
      <c r="A1199" s="169">
        <v>45242</v>
      </c>
      <c r="B1199" s="187">
        <v>508.13</v>
      </c>
      <c r="C1199" s="187">
        <v>260.38</v>
      </c>
      <c r="D1199" s="187">
        <v>365.06</v>
      </c>
      <c r="E1199" s="187">
        <v>361.09</v>
      </c>
      <c r="F1199" s="187">
        <v>413.07</v>
      </c>
      <c r="G1199" s="188">
        <v>417.16</v>
      </c>
      <c r="H1199" s="187">
        <v>616.07000000000005</v>
      </c>
      <c r="I1199" s="187">
        <v>82.48</v>
      </c>
    </row>
    <row r="1200" spans="1:9" ht="15.75" customHeight="1" x14ac:dyDescent="0.25">
      <c r="A1200" s="169">
        <v>45249</v>
      </c>
      <c r="B1200" s="187">
        <v>526.17999999999995</v>
      </c>
      <c r="C1200" s="187">
        <v>260.37</v>
      </c>
      <c r="D1200" s="187">
        <v>367.33</v>
      </c>
      <c r="E1200" s="187">
        <v>361.24</v>
      </c>
      <c r="F1200" s="187">
        <v>417.74</v>
      </c>
      <c r="G1200" s="188">
        <v>413.72</v>
      </c>
      <c r="H1200" s="187">
        <v>605.92999999999995</v>
      </c>
      <c r="I1200" s="187">
        <v>82.14</v>
      </c>
    </row>
    <row r="1201" spans="1:9" ht="15.75" customHeight="1" x14ac:dyDescent="0.25">
      <c r="A1201" s="169">
        <v>45256</v>
      </c>
      <c r="B1201" s="187">
        <v>527.80999999999995</v>
      </c>
      <c r="C1201" s="187">
        <v>259.43</v>
      </c>
      <c r="D1201" s="187">
        <v>359.52</v>
      </c>
      <c r="E1201" s="187">
        <v>362.13</v>
      </c>
      <c r="F1201" s="187">
        <v>422.3</v>
      </c>
      <c r="G1201" s="188">
        <v>421.22</v>
      </c>
      <c r="H1201" s="187">
        <v>614.34</v>
      </c>
      <c r="I1201" s="187">
        <v>83.77</v>
      </c>
    </row>
    <row r="1202" spans="1:9" ht="15.75" customHeight="1" x14ac:dyDescent="0.25">
      <c r="A1202" s="169">
        <v>45263</v>
      </c>
      <c r="B1202" s="187">
        <v>538.57000000000005</v>
      </c>
      <c r="C1202" s="187">
        <v>260.27999999999997</v>
      </c>
      <c r="D1202" s="187">
        <v>364.6</v>
      </c>
      <c r="E1202" s="187">
        <v>360.05</v>
      </c>
      <c r="F1202" s="187">
        <v>426.19</v>
      </c>
      <c r="G1202" s="188">
        <v>422.94</v>
      </c>
      <c r="H1202" s="187">
        <v>576.44000000000005</v>
      </c>
      <c r="I1202" s="187">
        <v>84.02</v>
      </c>
    </row>
    <row r="1203" spans="1:9" ht="15.75" customHeight="1" x14ac:dyDescent="0.25">
      <c r="A1203" s="169">
        <v>45270</v>
      </c>
      <c r="B1203" s="187">
        <v>548.36</v>
      </c>
      <c r="C1203" s="187">
        <v>260.57</v>
      </c>
      <c r="D1203" s="187">
        <v>368.72</v>
      </c>
      <c r="E1203" s="187">
        <v>361.37</v>
      </c>
      <c r="F1203" s="187">
        <v>431.46</v>
      </c>
      <c r="G1203" s="188">
        <v>417.78</v>
      </c>
      <c r="H1203" s="187">
        <v>626.1</v>
      </c>
      <c r="I1203" s="187">
        <v>83.46</v>
      </c>
    </row>
    <row r="1204" spans="1:9" ht="15.75" customHeight="1" x14ac:dyDescent="0.25">
      <c r="A1204" s="169">
        <v>45277</v>
      </c>
      <c r="B1204" s="187">
        <v>542.21</v>
      </c>
      <c r="C1204" s="187">
        <v>259.27</v>
      </c>
      <c r="D1204" s="187">
        <v>367.83</v>
      </c>
      <c r="E1204" s="187">
        <v>361.81</v>
      </c>
      <c r="F1204" s="187">
        <v>429.49</v>
      </c>
      <c r="G1204" s="188">
        <v>419.3</v>
      </c>
      <c r="H1204" s="187">
        <v>601.41</v>
      </c>
      <c r="I1204" s="187">
        <v>83.28</v>
      </c>
    </row>
    <row r="1205" spans="1:9" ht="15.75" customHeight="1" x14ac:dyDescent="0.25">
      <c r="A1205" s="169">
        <v>45284</v>
      </c>
      <c r="B1205" s="187">
        <v>545.64</v>
      </c>
      <c r="C1205" s="187">
        <v>260.58</v>
      </c>
      <c r="D1205" s="187">
        <v>369.97</v>
      </c>
      <c r="E1205" s="187">
        <v>364.9</v>
      </c>
      <c r="F1205" s="187">
        <v>431.92</v>
      </c>
      <c r="G1205" s="188">
        <v>427.39</v>
      </c>
      <c r="H1205" s="187">
        <v>604.54</v>
      </c>
      <c r="I1205" s="187">
        <v>84.27</v>
      </c>
    </row>
    <row r="1206" spans="1:9" ht="15.75" customHeight="1" x14ac:dyDescent="0.25">
      <c r="A1206" s="169">
        <v>45291</v>
      </c>
      <c r="B1206" s="187">
        <v>546.29999999999995</v>
      </c>
      <c r="C1206" s="187">
        <v>261.77</v>
      </c>
      <c r="D1206" s="187">
        <v>369.43</v>
      </c>
      <c r="E1206" s="187">
        <v>362.8</v>
      </c>
      <c r="F1206" s="187">
        <v>427.99</v>
      </c>
      <c r="G1206" s="188">
        <v>430.73</v>
      </c>
      <c r="H1206" s="187">
        <v>605.95000000000005</v>
      </c>
      <c r="I1206" s="187">
        <v>84.83</v>
      </c>
    </row>
    <row r="1207" spans="1:9" ht="15.75" customHeight="1" x14ac:dyDescent="0.25">
      <c r="A1207" s="169">
        <v>45298</v>
      </c>
      <c r="B1207" s="187">
        <v>548.54999999999995</v>
      </c>
      <c r="C1207" s="187">
        <v>255.66</v>
      </c>
      <c r="D1207" s="187">
        <v>369.27</v>
      </c>
      <c r="E1207" s="187">
        <v>355.58</v>
      </c>
      <c r="F1207" s="187">
        <v>433.02</v>
      </c>
      <c r="G1207" s="188">
        <v>437.77</v>
      </c>
      <c r="H1207" s="187">
        <v>610.70000000000005</v>
      </c>
      <c r="I1207" s="187">
        <v>85.64</v>
      </c>
    </row>
    <row r="1208" spans="1:9" ht="15.75" customHeight="1" x14ac:dyDescent="0.25">
      <c r="A1208" s="169">
        <v>45305</v>
      </c>
      <c r="B1208" s="187">
        <v>544.54999999999995</v>
      </c>
      <c r="C1208" s="187">
        <v>255.21</v>
      </c>
      <c r="D1208" s="187">
        <v>365.29</v>
      </c>
      <c r="E1208" s="187">
        <v>357.46</v>
      </c>
      <c r="F1208" s="187">
        <v>431.89</v>
      </c>
      <c r="G1208" s="188">
        <v>430.41</v>
      </c>
      <c r="H1208" s="187">
        <v>589.63</v>
      </c>
      <c r="I1208" s="187">
        <v>86.02</v>
      </c>
    </row>
    <row r="1209" spans="1:9" ht="15.75" customHeight="1" x14ac:dyDescent="0.25">
      <c r="A1209" s="169">
        <v>45312</v>
      </c>
      <c r="B1209" s="187">
        <v>543.85</v>
      </c>
      <c r="C1209" s="187">
        <v>252.35</v>
      </c>
      <c r="D1209" s="187">
        <v>366.65</v>
      </c>
      <c r="E1209" s="187">
        <v>356.01</v>
      </c>
      <c r="F1209" s="187">
        <v>430.79</v>
      </c>
      <c r="G1209" s="188">
        <v>427.31</v>
      </c>
      <c r="H1209" s="187">
        <v>613.9</v>
      </c>
      <c r="I1209" s="187">
        <v>84.82</v>
      </c>
    </row>
    <row r="1210" spans="1:9" ht="15.75" customHeight="1" x14ac:dyDescent="0.25">
      <c r="A1210" s="169">
        <v>45319</v>
      </c>
      <c r="B1210" s="187">
        <v>537.32000000000005</v>
      </c>
      <c r="C1210" s="187">
        <v>250.96</v>
      </c>
      <c r="D1210" s="187">
        <v>366.06</v>
      </c>
      <c r="E1210" s="187">
        <v>356.98</v>
      </c>
      <c r="F1210" s="187">
        <v>426.55</v>
      </c>
      <c r="G1210" s="188">
        <v>428.31</v>
      </c>
      <c r="H1210" s="187">
        <v>607.76</v>
      </c>
      <c r="I1210" s="187">
        <v>83.06</v>
      </c>
    </row>
    <row r="1211" spans="1:9" ht="15.75" customHeight="1" x14ac:dyDescent="0.25">
      <c r="A1211" s="169">
        <v>45326</v>
      </c>
      <c r="B1211" s="187">
        <v>537.84</v>
      </c>
      <c r="C1211" s="187">
        <v>249.65</v>
      </c>
      <c r="D1211" s="187">
        <v>358.29</v>
      </c>
      <c r="E1211" s="187">
        <v>359.2</v>
      </c>
      <c r="F1211" s="187">
        <v>427.19</v>
      </c>
      <c r="G1211" s="188">
        <v>419.87</v>
      </c>
      <c r="H1211" s="187">
        <v>602.66</v>
      </c>
      <c r="I1211" s="187">
        <v>84.83</v>
      </c>
    </row>
    <row r="1212" spans="1:9" ht="15.75" customHeight="1" x14ac:dyDescent="0.25">
      <c r="A1212" s="169">
        <v>45333</v>
      </c>
      <c r="B1212" s="187">
        <v>540.24</v>
      </c>
      <c r="C1212" s="187">
        <v>248.69</v>
      </c>
      <c r="D1212" s="187">
        <v>360.88</v>
      </c>
      <c r="E1212" s="187">
        <v>361.28</v>
      </c>
      <c r="F1212" s="187">
        <v>432.73</v>
      </c>
      <c r="G1212" s="188">
        <v>435.99</v>
      </c>
      <c r="H1212" s="187">
        <v>572.07000000000005</v>
      </c>
      <c r="I1212" s="187">
        <v>83.28</v>
      </c>
    </row>
    <row r="1213" spans="1:9" ht="15.75" customHeight="1" x14ac:dyDescent="0.25">
      <c r="A1213" s="169">
        <v>45340</v>
      </c>
      <c r="B1213" s="187">
        <v>550.66</v>
      </c>
      <c r="C1213" s="187">
        <v>250.97</v>
      </c>
      <c r="D1213" s="187">
        <v>361.06</v>
      </c>
      <c r="E1213" s="187">
        <v>361.23</v>
      </c>
      <c r="F1213" s="187">
        <v>428.54</v>
      </c>
      <c r="G1213" s="188">
        <v>431.88</v>
      </c>
      <c r="H1213" s="187">
        <v>606.04</v>
      </c>
      <c r="I1213" s="187">
        <v>82.08</v>
      </c>
    </row>
    <row r="1214" spans="1:9" ht="15.75" customHeight="1" x14ac:dyDescent="0.25">
      <c r="A1214" s="169">
        <v>45347</v>
      </c>
      <c r="B1214" s="187">
        <v>559.28</v>
      </c>
      <c r="C1214" s="187">
        <v>253.81</v>
      </c>
      <c r="D1214" s="187">
        <v>363.48</v>
      </c>
      <c r="E1214" s="187">
        <v>360.85</v>
      </c>
      <c r="F1214" s="187">
        <v>436.06</v>
      </c>
      <c r="G1214" s="188">
        <v>426.19</v>
      </c>
      <c r="H1214" s="187">
        <v>600.94000000000005</v>
      </c>
      <c r="I1214" s="187">
        <v>81.709999999999994</v>
      </c>
    </row>
    <row r="1215" spans="1:9" ht="15.75" customHeight="1" x14ac:dyDescent="0.25">
      <c r="A1215" s="169">
        <v>45354</v>
      </c>
      <c r="B1215" s="187">
        <v>563.15</v>
      </c>
      <c r="C1215" s="187">
        <v>250.9</v>
      </c>
      <c r="D1215" s="187">
        <v>365.59</v>
      </c>
      <c r="E1215" s="187">
        <v>387.97</v>
      </c>
      <c r="F1215" s="187">
        <v>433.86</v>
      </c>
      <c r="G1215" s="188">
        <v>436.81</v>
      </c>
      <c r="H1215" s="187">
        <v>586.72</v>
      </c>
      <c r="I1215" s="187">
        <v>82.44</v>
      </c>
    </row>
    <row r="1216" spans="1:9" ht="15.75" customHeight="1" x14ac:dyDescent="0.25">
      <c r="A1216" s="169">
        <v>45361</v>
      </c>
      <c r="B1216" s="187">
        <v>566.55999999999995</v>
      </c>
      <c r="C1216" s="187">
        <v>247.72</v>
      </c>
      <c r="D1216" s="187">
        <v>361.13</v>
      </c>
      <c r="E1216" s="187">
        <v>388.89</v>
      </c>
      <c r="F1216" s="187">
        <v>437.39</v>
      </c>
      <c r="G1216" s="188">
        <v>436.6</v>
      </c>
      <c r="H1216" s="187">
        <v>584.45000000000005</v>
      </c>
      <c r="I1216" s="187">
        <v>78.64</v>
      </c>
    </row>
    <row r="1217" spans="1:9" ht="15.75" customHeight="1" x14ac:dyDescent="0.25">
      <c r="A1217" s="169">
        <v>45368</v>
      </c>
      <c r="B1217" s="187">
        <v>562.37</v>
      </c>
      <c r="C1217" s="187">
        <v>245.45</v>
      </c>
      <c r="D1217" s="187">
        <v>351.38</v>
      </c>
      <c r="E1217" s="187">
        <v>387.41</v>
      </c>
      <c r="F1217" s="187">
        <v>439.95</v>
      </c>
      <c r="G1217" s="188">
        <v>441.05</v>
      </c>
      <c r="H1217" s="187">
        <v>598.29999999999995</v>
      </c>
      <c r="I1217" s="187">
        <v>80.94</v>
      </c>
    </row>
    <row r="1218" spans="1:9" ht="15.75" customHeight="1" x14ac:dyDescent="0.25">
      <c r="A1218" s="169">
        <v>45375</v>
      </c>
      <c r="B1218" s="187">
        <v>561.41999999999996</v>
      </c>
      <c r="C1218" s="187">
        <v>241.23</v>
      </c>
      <c r="D1218" s="187">
        <v>354.61</v>
      </c>
      <c r="E1218" s="187">
        <v>388</v>
      </c>
      <c r="F1218" s="187">
        <v>435.61</v>
      </c>
      <c r="G1218" s="188">
        <v>437.18</v>
      </c>
      <c r="H1218" s="187">
        <v>579.98</v>
      </c>
      <c r="I1218" s="187">
        <v>77.34</v>
      </c>
    </row>
    <row r="1219" spans="1:9" ht="15.75" customHeight="1" x14ac:dyDescent="0.25">
      <c r="A1219" s="169">
        <v>45382</v>
      </c>
      <c r="B1219" s="187">
        <v>562.57000000000005</v>
      </c>
      <c r="C1219" s="187">
        <v>239.12</v>
      </c>
      <c r="D1219" s="187">
        <v>354.6</v>
      </c>
      <c r="E1219" s="187">
        <v>387.8</v>
      </c>
      <c r="F1219" s="187">
        <v>438.8</v>
      </c>
      <c r="G1219" s="188">
        <v>427.06</v>
      </c>
      <c r="H1219" s="187">
        <v>591.53</v>
      </c>
      <c r="I1219" s="187">
        <v>77.17</v>
      </c>
    </row>
    <row r="1220" spans="1:9" ht="15.75" customHeight="1" x14ac:dyDescent="0.25">
      <c r="A1220" s="169">
        <v>45389</v>
      </c>
      <c r="B1220" s="187">
        <v>569.73</v>
      </c>
      <c r="C1220" s="187">
        <v>242.17</v>
      </c>
      <c r="D1220" s="187">
        <v>357.92</v>
      </c>
      <c r="E1220" s="187">
        <v>386.08</v>
      </c>
      <c r="F1220" s="187">
        <v>433.28</v>
      </c>
      <c r="G1220" s="188">
        <v>440.84</v>
      </c>
      <c r="H1220" s="187">
        <v>602.73</v>
      </c>
      <c r="I1220" s="187">
        <v>78.53</v>
      </c>
    </row>
    <row r="1221" spans="1:9" ht="15.75" customHeight="1" x14ac:dyDescent="0.25">
      <c r="A1221" s="169">
        <v>45396</v>
      </c>
      <c r="B1221" s="187">
        <v>576.86</v>
      </c>
      <c r="C1221" s="187">
        <v>240.56</v>
      </c>
      <c r="D1221" s="187">
        <v>359.75</v>
      </c>
      <c r="E1221" s="187">
        <v>393.44</v>
      </c>
      <c r="F1221" s="187">
        <v>436.63</v>
      </c>
      <c r="G1221" s="188">
        <v>427.85</v>
      </c>
      <c r="H1221" s="187">
        <v>603.38</v>
      </c>
      <c r="I1221" s="187">
        <v>78.459999999999994</v>
      </c>
    </row>
    <row r="1222" spans="1:9" ht="15.75" customHeight="1" x14ac:dyDescent="0.25">
      <c r="A1222" s="169">
        <v>45403</v>
      </c>
      <c r="B1222" s="187">
        <v>574.47</v>
      </c>
      <c r="C1222" s="187">
        <v>239.17</v>
      </c>
      <c r="D1222" s="187">
        <v>364.39</v>
      </c>
      <c r="E1222" s="187">
        <v>392.38</v>
      </c>
      <c r="F1222" s="187">
        <v>431.45</v>
      </c>
      <c r="G1222" s="188">
        <v>440.11</v>
      </c>
      <c r="H1222" s="187">
        <v>591.14</v>
      </c>
      <c r="I1222" s="187">
        <v>76.27</v>
      </c>
    </row>
    <row r="1223" spans="1:9" ht="15.75" customHeight="1" x14ac:dyDescent="0.25">
      <c r="A1223" s="169">
        <v>45410</v>
      </c>
      <c r="B1223" s="187">
        <v>574.87</v>
      </c>
      <c r="C1223" s="187">
        <v>237.62</v>
      </c>
      <c r="D1223" s="187">
        <v>362.77</v>
      </c>
      <c r="E1223" s="187">
        <v>392.24</v>
      </c>
      <c r="F1223" s="187">
        <v>430.89</v>
      </c>
      <c r="G1223" s="188">
        <v>435.43</v>
      </c>
      <c r="H1223" s="187">
        <v>609.79999999999995</v>
      </c>
      <c r="I1223" s="187">
        <v>78.33</v>
      </c>
    </row>
    <row r="1224" spans="1:9" ht="15.75" customHeight="1" x14ac:dyDescent="0.25">
      <c r="A1224" s="169">
        <v>45417</v>
      </c>
      <c r="B1224" s="187">
        <v>579.39</v>
      </c>
      <c r="C1224" s="187">
        <v>237.7</v>
      </c>
      <c r="D1224" s="187">
        <v>361.15</v>
      </c>
      <c r="E1224" s="187">
        <v>392.24</v>
      </c>
      <c r="F1224" s="187">
        <v>434.5</v>
      </c>
      <c r="G1224" s="188">
        <v>435.71</v>
      </c>
      <c r="H1224" s="187">
        <v>572.97</v>
      </c>
      <c r="I1224" s="187">
        <v>76.83</v>
      </c>
    </row>
    <row r="1225" spans="1:9" ht="15.75" customHeight="1" x14ac:dyDescent="0.25">
      <c r="A1225" s="169">
        <v>45424</v>
      </c>
      <c r="B1225" s="187">
        <v>583.82000000000005</v>
      </c>
      <c r="C1225" s="187">
        <v>240.08</v>
      </c>
      <c r="D1225" s="187">
        <v>365.39</v>
      </c>
      <c r="E1225" s="187">
        <v>391.99</v>
      </c>
      <c r="F1225" s="187">
        <v>429.41</v>
      </c>
      <c r="G1225" s="188">
        <v>433.98</v>
      </c>
      <c r="H1225" s="187">
        <v>607.08000000000004</v>
      </c>
      <c r="I1225" s="187">
        <v>76.48</v>
      </c>
    </row>
    <row r="1226" spans="1:9" ht="15.75" customHeight="1" x14ac:dyDescent="0.25">
      <c r="A1226" s="169">
        <v>45431</v>
      </c>
      <c r="B1226" s="187">
        <v>597.1</v>
      </c>
      <c r="C1226" s="187">
        <v>243.42</v>
      </c>
      <c r="D1226" s="187">
        <v>368.4</v>
      </c>
      <c r="E1226" s="187">
        <v>390.3</v>
      </c>
      <c r="F1226" s="187">
        <v>437.66</v>
      </c>
      <c r="G1226" s="188">
        <v>435.22</v>
      </c>
      <c r="H1226" s="187">
        <v>598.97</v>
      </c>
      <c r="I1226" s="187">
        <v>77.44</v>
      </c>
    </row>
    <row r="1227" spans="1:9" ht="15.75" customHeight="1" x14ac:dyDescent="0.25">
      <c r="A1227" s="169">
        <v>45438</v>
      </c>
      <c r="B1227" s="187">
        <v>609.91</v>
      </c>
      <c r="C1227" s="187">
        <v>245.02</v>
      </c>
      <c r="D1227" s="187">
        <v>373.23</v>
      </c>
      <c r="E1227" s="187">
        <v>389.53</v>
      </c>
      <c r="F1227" s="187">
        <v>436.74</v>
      </c>
      <c r="G1227" s="188">
        <v>436.63</v>
      </c>
      <c r="H1227" s="187">
        <v>605.42999999999995</v>
      </c>
      <c r="I1227" s="187">
        <v>78.13</v>
      </c>
    </row>
    <row r="1228" spans="1:9" ht="15.75" customHeight="1" x14ac:dyDescent="0.25">
      <c r="A1228" s="169">
        <v>45445</v>
      </c>
      <c r="B1228" s="187">
        <v>628.33000000000004</v>
      </c>
      <c r="C1228" s="187">
        <v>247.14</v>
      </c>
      <c r="D1228" s="187">
        <v>377.12</v>
      </c>
      <c r="E1228" s="187">
        <v>389.68</v>
      </c>
      <c r="F1228" s="187">
        <v>435.9</v>
      </c>
      <c r="G1228" s="188">
        <v>436.41</v>
      </c>
      <c r="H1228" s="187">
        <v>585.80999999999995</v>
      </c>
      <c r="I1228" s="187">
        <v>78.37</v>
      </c>
    </row>
    <row r="1229" spans="1:9" ht="15.75" customHeight="1" x14ac:dyDescent="0.25">
      <c r="A1229" s="169">
        <v>45452</v>
      </c>
      <c r="B1229" s="187">
        <v>630.92999999999995</v>
      </c>
      <c r="C1229" s="187">
        <v>247.92</v>
      </c>
      <c r="D1229" s="187">
        <v>378.54</v>
      </c>
      <c r="E1229" s="187">
        <v>390.86</v>
      </c>
      <c r="F1229" s="187">
        <v>435.54</v>
      </c>
      <c r="G1229" s="188">
        <v>433.74</v>
      </c>
      <c r="H1229" s="187">
        <v>613.30999999999995</v>
      </c>
      <c r="I1229" s="187">
        <v>80.56</v>
      </c>
    </row>
    <row r="1230" spans="1:9" ht="15.75" customHeight="1" x14ac:dyDescent="0.25">
      <c r="A1230" s="169">
        <v>45459</v>
      </c>
      <c r="B1230" s="187">
        <v>637.36</v>
      </c>
      <c r="C1230" s="187">
        <v>245.77</v>
      </c>
      <c r="D1230" s="187">
        <v>376.54</v>
      </c>
      <c r="E1230" s="187">
        <v>387.07</v>
      </c>
      <c r="F1230" s="187">
        <v>424.47</v>
      </c>
      <c r="G1230" s="188">
        <v>426.87</v>
      </c>
      <c r="H1230" s="187">
        <v>579.54999999999995</v>
      </c>
      <c r="I1230" s="187">
        <v>79.290000000000006</v>
      </c>
    </row>
    <row r="1231" spans="1:9" ht="15.75" customHeight="1" x14ac:dyDescent="0.25">
      <c r="A1231" s="169">
        <v>45466</v>
      </c>
      <c r="B1231" s="187">
        <v>638.54</v>
      </c>
      <c r="C1231" s="187">
        <v>243.47</v>
      </c>
      <c r="D1231" s="187">
        <v>381.16</v>
      </c>
      <c r="E1231" s="187">
        <v>387.23</v>
      </c>
      <c r="F1231" s="187">
        <v>423.27</v>
      </c>
      <c r="G1231" s="188">
        <v>426.86</v>
      </c>
      <c r="H1231" s="187">
        <v>613.5</v>
      </c>
      <c r="I1231" s="187">
        <v>78.53</v>
      </c>
    </row>
    <row r="1232" spans="1:9" ht="15.75" customHeight="1" x14ac:dyDescent="0.25">
      <c r="A1232" s="169">
        <v>45473</v>
      </c>
      <c r="B1232" s="187">
        <v>641.12</v>
      </c>
      <c r="C1232" s="187">
        <v>240.5</v>
      </c>
      <c r="D1232" s="187">
        <v>385.47</v>
      </c>
      <c r="E1232" s="187">
        <v>386.76</v>
      </c>
      <c r="F1232" s="187">
        <v>432.79</v>
      </c>
      <c r="G1232" s="188">
        <v>439.74</v>
      </c>
      <c r="H1232" s="187">
        <v>599.98</v>
      </c>
      <c r="I1232" s="187">
        <v>77.83</v>
      </c>
    </row>
    <row r="1233" spans="1:9" ht="15.75" customHeight="1" x14ac:dyDescent="0.25">
      <c r="A1233" s="169">
        <v>45480</v>
      </c>
      <c r="B1233" s="187">
        <v>644.62</v>
      </c>
      <c r="C1233" s="187">
        <v>239.45</v>
      </c>
      <c r="D1233" s="187">
        <v>380.42</v>
      </c>
      <c r="E1233" s="187">
        <v>388.01</v>
      </c>
      <c r="F1233" s="187">
        <v>434.9</v>
      </c>
      <c r="G1233" s="188">
        <v>436.56</v>
      </c>
      <c r="H1233" s="187">
        <v>596.02</v>
      </c>
      <c r="I1233" s="187">
        <v>78.349999999999994</v>
      </c>
    </row>
    <row r="1234" spans="1:9" ht="15.75" customHeight="1" x14ac:dyDescent="0.25">
      <c r="A1234" s="169">
        <v>45487</v>
      </c>
      <c r="B1234" s="187">
        <v>654.52</v>
      </c>
      <c r="C1234" s="187">
        <v>238.06</v>
      </c>
      <c r="D1234" s="187">
        <v>383.01</v>
      </c>
      <c r="E1234" s="187">
        <v>388.5</v>
      </c>
      <c r="F1234" s="187">
        <v>433.53</v>
      </c>
      <c r="G1234" s="188">
        <v>436.88</v>
      </c>
      <c r="H1234" s="187">
        <v>594.01</v>
      </c>
      <c r="I1234" s="187">
        <v>79.400000000000006</v>
      </c>
    </row>
    <row r="1235" spans="1:9" ht="15.75" customHeight="1" x14ac:dyDescent="0.25">
      <c r="A1235" s="169">
        <v>45494</v>
      </c>
      <c r="B1235" s="187">
        <v>654.47</v>
      </c>
      <c r="C1235" s="187">
        <v>235.48</v>
      </c>
      <c r="D1235" s="187">
        <v>379.5</v>
      </c>
      <c r="E1235" s="187">
        <v>389.41</v>
      </c>
      <c r="F1235" s="187">
        <v>432.58</v>
      </c>
      <c r="G1235" s="188">
        <v>438.24</v>
      </c>
      <c r="H1235" s="187">
        <v>576.38</v>
      </c>
      <c r="I1235" s="187">
        <v>80.48</v>
      </c>
    </row>
    <row r="1236" spans="1:9" ht="15.75" customHeight="1" x14ac:dyDescent="0.25">
      <c r="A1236" s="169">
        <v>45501</v>
      </c>
      <c r="B1236" s="187">
        <v>657.73</v>
      </c>
      <c r="C1236" s="187">
        <v>237.47</v>
      </c>
      <c r="D1236" s="187">
        <v>378.53</v>
      </c>
      <c r="E1236" s="187">
        <v>389.51</v>
      </c>
      <c r="F1236" s="187">
        <v>429.86</v>
      </c>
      <c r="G1236" s="188">
        <v>439.64</v>
      </c>
      <c r="H1236" s="187">
        <v>556.76</v>
      </c>
      <c r="I1236" s="187">
        <v>80.61</v>
      </c>
    </row>
    <row r="1237" spans="1:9" ht="15.75" customHeight="1" x14ac:dyDescent="0.25">
      <c r="A1237" s="169">
        <v>45508</v>
      </c>
      <c r="B1237" s="187">
        <v>671.56</v>
      </c>
      <c r="C1237" s="187">
        <v>239.55</v>
      </c>
      <c r="D1237" s="187">
        <v>385.75</v>
      </c>
      <c r="E1237" s="187">
        <v>389.25</v>
      </c>
      <c r="F1237" s="187">
        <v>433.82</v>
      </c>
      <c r="G1237" s="188">
        <v>434.82</v>
      </c>
      <c r="H1237" s="187">
        <v>581.25</v>
      </c>
      <c r="I1237" s="187">
        <v>79.98</v>
      </c>
    </row>
    <row r="1238" spans="1:9" ht="15.75" customHeight="1" x14ac:dyDescent="0.25">
      <c r="A1238" s="169">
        <v>45515</v>
      </c>
      <c r="B1238" s="187">
        <v>678.44</v>
      </c>
      <c r="C1238" s="187">
        <v>241.45</v>
      </c>
      <c r="D1238" s="187">
        <v>392.18</v>
      </c>
      <c r="E1238" s="187">
        <v>390.31</v>
      </c>
      <c r="F1238" s="187">
        <v>436.14</v>
      </c>
      <c r="G1238" s="188">
        <v>444.17</v>
      </c>
      <c r="H1238" s="187">
        <v>602.38</v>
      </c>
      <c r="I1238" s="187">
        <v>79.98</v>
      </c>
    </row>
    <row r="1239" spans="1:9" ht="15.75" customHeight="1" x14ac:dyDescent="0.25">
      <c r="A1239" s="169">
        <v>45522</v>
      </c>
      <c r="B1239" s="187">
        <v>694.95</v>
      </c>
      <c r="C1239" s="187">
        <v>243.79</v>
      </c>
      <c r="D1239" s="187">
        <v>391.81</v>
      </c>
      <c r="E1239" s="187">
        <v>390.22</v>
      </c>
      <c r="F1239" s="187">
        <v>445.96</v>
      </c>
      <c r="G1239" s="188">
        <v>441.34</v>
      </c>
      <c r="H1239" s="187">
        <v>593.64</v>
      </c>
      <c r="I1239" s="187">
        <v>81.709999999999994</v>
      </c>
    </row>
    <row r="1240" spans="1:9" ht="15.75" customHeight="1" x14ac:dyDescent="0.25">
      <c r="A1240" s="169">
        <v>45529</v>
      </c>
      <c r="B1240" s="187">
        <v>707.38</v>
      </c>
      <c r="C1240" s="187">
        <v>246.77</v>
      </c>
      <c r="D1240" s="187">
        <v>403.84</v>
      </c>
      <c r="E1240" s="187">
        <v>389.62</v>
      </c>
      <c r="F1240" s="187">
        <v>441</v>
      </c>
      <c r="G1240" s="188">
        <v>437.34</v>
      </c>
      <c r="H1240" s="187">
        <v>603.08000000000004</v>
      </c>
      <c r="I1240" s="187">
        <v>83.31</v>
      </c>
    </row>
    <row r="1241" spans="1:9" ht="15.75" customHeight="1" x14ac:dyDescent="0.25">
      <c r="A1241" s="169">
        <v>45536</v>
      </c>
      <c r="B1241" s="187">
        <v>736.97</v>
      </c>
      <c r="C1241" s="187">
        <v>250.46</v>
      </c>
      <c r="D1241" s="187">
        <v>406.51</v>
      </c>
      <c r="E1241" s="187">
        <v>392.09</v>
      </c>
      <c r="F1241" s="187">
        <v>444.61</v>
      </c>
      <c r="G1241" s="188">
        <v>438.4</v>
      </c>
      <c r="H1241" s="187">
        <v>602.42999999999995</v>
      </c>
      <c r="I1241" s="187">
        <v>86.79</v>
      </c>
    </row>
    <row r="1242" spans="1:9" ht="15.75" customHeight="1" x14ac:dyDescent="0.25">
      <c r="A1242" s="169">
        <v>45543</v>
      </c>
      <c r="B1242" s="187">
        <v>747.6</v>
      </c>
      <c r="C1242" s="187">
        <v>255.76</v>
      </c>
      <c r="D1242" s="187">
        <v>423.69</v>
      </c>
      <c r="E1242" s="187">
        <v>395.94</v>
      </c>
      <c r="F1242" s="187">
        <v>445.62</v>
      </c>
      <c r="G1242" s="188">
        <v>442.02</v>
      </c>
      <c r="H1242" s="187">
        <v>611.92999999999995</v>
      </c>
      <c r="I1242" s="187">
        <v>90.32</v>
      </c>
    </row>
    <row r="1243" spans="1:9" ht="15.75" customHeight="1" x14ac:dyDescent="0.25">
      <c r="A1243" s="169">
        <v>45550</v>
      </c>
      <c r="B1243" s="187">
        <v>751.77</v>
      </c>
      <c r="C1243" s="187">
        <v>254.48</v>
      </c>
      <c r="D1243" s="187">
        <v>428</v>
      </c>
      <c r="E1243" s="187">
        <v>395.03</v>
      </c>
      <c r="F1243" s="187">
        <v>450.4</v>
      </c>
      <c r="G1243" s="188">
        <v>447.47</v>
      </c>
      <c r="H1243" s="187">
        <v>601.29</v>
      </c>
      <c r="I1243" s="187">
        <v>93.29</v>
      </c>
    </row>
    <row r="1244" spans="1:9" ht="15.75" customHeight="1" x14ac:dyDescent="0.25">
      <c r="A1244" s="169">
        <v>45557</v>
      </c>
      <c r="B1244" s="187">
        <v>779.75</v>
      </c>
      <c r="C1244" s="187">
        <v>256.93</v>
      </c>
      <c r="D1244" s="187">
        <v>433.34</v>
      </c>
      <c r="E1244" s="187">
        <v>394.67</v>
      </c>
      <c r="F1244" s="187">
        <v>456.57</v>
      </c>
      <c r="G1244" s="188">
        <v>452.35</v>
      </c>
      <c r="H1244" s="187">
        <v>608.88</v>
      </c>
      <c r="I1244" s="187">
        <v>94.55</v>
      </c>
    </row>
    <row r="1245" spans="1:9" ht="15.75" customHeight="1" x14ac:dyDescent="0.25">
      <c r="A1245" s="169">
        <v>45564</v>
      </c>
      <c r="B1245" s="187">
        <v>767.68</v>
      </c>
      <c r="C1245" s="187">
        <v>256.39999999999998</v>
      </c>
      <c r="D1245" s="187">
        <v>429.29</v>
      </c>
      <c r="E1245" s="187">
        <v>396.64</v>
      </c>
      <c r="F1245" s="187">
        <v>458.7</v>
      </c>
      <c r="G1245" s="188">
        <v>456.05</v>
      </c>
      <c r="H1245" s="187">
        <v>581.54</v>
      </c>
      <c r="I1245" s="187">
        <v>93.81</v>
      </c>
    </row>
    <row r="1246" spans="1:9" ht="15.75" customHeight="1" x14ac:dyDescent="0.25">
      <c r="A1246" s="169">
        <v>45571</v>
      </c>
      <c r="B1246" s="187">
        <v>779.51</v>
      </c>
      <c r="C1246" s="187">
        <v>255.01</v>
      </c>
      <c r="D1246" s="187">
        <v>423.43</v>
      </c>
      <c r="E1246" s="187">
        <v>415.12</v>
      </c>
      <c r="F1246" s="187">
        <v>460.55</v>
      </c>
      <c r="G1246" s="188">
        <v>462.75</v>
      </c>
      <c r="H1246" s="187">
        <v>595.44000000000005</v>
      </c>
      <c r="I1246" s="187">
        <v>92.66</v>
      </c>
    </row>
    <row r="1247" spans="1:9" ht="15.75" customHeight="1" x14ac:dyDescent="0.25">
      <c r="A1247" s="169">
        <v>45578</v>
      </c>
      <c r="B1247" s="187">
        <v>787.54</v>
      </c>
      <c r="C1247" s="187">
        <v>249.5</v>
      </c>
      <c r="D1247" s="187">
        <v>414.16</v>
      </c>
      <c r="E1247" s="187">
        <v>417.66</v>
      </c>
      <c r="F1247" s="187">
        <v>475.41</v>
      </c>
      <c r="G1247" s="188">
        <v>467.45</v>
      </c>
      <c r="H1247" s="187">
        <v>625.86</v>
      </c>
      <c r="I1247" s="187">
        <v>91.06</v>
      </c>
    </row>
    <row r="1248" spans="1:9" ht="15.75" customHeight="1" x14ac:dyDescent="0.25">
      <c r="A1248" s="169">
        <v>45585</v>
      </c>
      <c r="B1248" s="187">
        <v>785.83</v>
      </c>
      <c r="C1248" s="187">
        <v>249.97</v>
      </c>
      <c r="D1248" s="187">
        <v>410.3</v>
      </c>
      <c r="E1248" s="187">
        <v>415.3</v>
      </c>
      <c r="F1248" s="187">
        <v>478.22</v>
      </c>
      <c r="G1248" s="188">
        <v>462.22</v>
      </c>
      <c r="H1248" s="187">
        <v>617.84</v>
      </c>
      <c r="I1248" s="187">
        <v>89.7</v>
      </c>
    </row>
    <row r="1249" spans="1:9" ht="15.75" customHeight="1" x14ac:dyDescent="0.25">
      <c r="A1249" s="169">
        <v>45592</v>
      </c>
      <c r="B1249" s="187">
        <v>771.48</v>
      </c>
      <c r="C1249" s="187">
        <v>248.82</v>
      </c>
      <c r="D1249" s="187">
        <v>417.89</v>
      </c>
      <c r="E1249" s="187">
        <v>416.01</v>
      </c>
      <c r="F1249" s="187">
        <v>472.39</v>
      </c>
      <c r="G1249" s="188">
        <v>467.76</v>
      </c>
      <c r="H1249" s="187">
        <v>609.72</v>
      </c>
      <c r="I1249" s="187">
        <v>91.38</v>
      </c>
    </row>
    <row r="1250" spans="1:9" ht="15.75" customHeight="1" x14ac:dyDescent="0.25">
      <c r="A1250" s="169">
        <v>45599</v>
      </c>
      <c r="B1250" s="187">
        <v>759.5</v>
      </c>
      <c r="C1250" s="187">
        <v>248.18</v>
      </c>
      <c r="D1250" s="187">
        <v>414.88</v>
      </c>
      <c r="E1250" s="187">
        <v>417.96</v>
      </c>
      <c r="F1250" s="187">
        <v>480.19</v>
      </c>
      <c r="G1250" s="188">
        <v>470.3</v>
      </c>
      <c r="H1250" s="187">
        <v>601.38</v>
      </c>
      <c r="I1250" s="187">
        <v>90.77</v>
      </c>
    </row>
    <row r="1251" spans="1:9" ht="15.75" customHeight="1" x14ac:dyDescent="0.25">
      <c r="A1251" s="169">
        <v>45606</v>
      </c>
      <c r="B1251" s="187">
        <v>764.64</v>
      </c>
      <c r="C1251" s="187">
        <v>254.7</v>
      </c>
      <c r="D1251" s="187">
        <v>419.43</v>
      </c>
      <c r="E1251" s="187">
        <v>428.31</v>
      </c>
      <c r="F1251" s="187">
        <v>493.01</v>
      </c>
      <c r="G1251" s="188">
        <v>482.72</v>
      </c>
      <c r="H1251" s="187">
        <v>607.19000000000005</v>
      </c>
      <c r="I1251" s="187">
        <v>92.83</v>
      </c>
    </row>
    <row r="1252" spans="1:9" ht="15.75" customHeight="1" x14ac:dyDescent="0.25">
      <c r="A1252" s="169">
        <v>45613</v>
      </c>
      <c r="B1252" s="187">
        <v>780.08</v>
      </c>
      <c r="C1252" s="187">
        <v>258.83</v>
      </c>
      <c r="D1252" s="187">
        <v>430.14</v>
      </c>
      <c r="E1252" s="187">
        <v>427.83</v>
      </c>
      <c r="F1252" s="187">
        <v>493.26</v>
      </c>
      <c r="G1252" s="188">
        <v>485.88</v>
      </c>
      <c r="H1252" s="187">
        <v>623.12</v>
      </c>
      <c r="I1252" s="187">
        <v>94.63</v>
      </c>
    </row>
    <row r="1253" spans="1:9" ht="15.75" customHeight="1" x14ac:dyDescent="0.25">
      <c r="A1253" s="169">
        <v>45620</v>
      </c>
      <c r="B1253" s="187">
        <v>774.69</v>
      </c>
      <c r="C1253" s="187">
        <v>259.70999999999998</v>
      </c>
      <c r="D1253" s="187">
        <v>432.61</v>
      </c>
      <c r="E1253" s="187">
        <v>429.51</v>
      </c>
      <c r="F1253" s="187">
        <v>494.9</v>
      </c>
      <c r="G1253" s="188">
        <v>481.93</v>
      </c>
      <c r="H1253" s="187">
        <v>609.28</v>
      </c>
      <c r="I1253" s="187">
        <v>95.72</v>
      </c>
    </row>
    <row r="1254" spans="1:9" ht="15.75" customHeight="1" x14ac:dyDescent="0.25">
      <c r="A1254" s="169">
        <v>45627</v>
      </c>
      <c r="B1254" s="187">
        <v>786.06</v>
      </c>
      <c r="C1254" s="187">
        <v>261.3</v>
      </c>
      <c r="D1254" s="187">
        <v>433.55</v>
      </c>
      <c r="E1254" s="187">
        <v>430.51</v>
      </c>
      <c r="F1254" s="187">
        <v>495.67</v>
      </c>
      <c r="G1254" s="188">
        <v>481.12</v>
      </c>
      <c r="H1254" s="187">
        <v>604.35</v>
      </c>
      <c r="I1254" s="187">
        <v>97.26</v>
      </c>
    </row>
    <row r="1255" spans="1:9" ht="15.75" customHeight="1" x14ac:dyDescent="0.25">
      <c r="A1255" s="169">
        <v>45634</v>
      </c>
      <c r="B1255" s="187">
        <v>787.94</v>
      </c>
      <c r="C1255" s="187">
        <v>258.62</v>
      </c>
      <c r="D1255" s="187">
        <v>430.6</v>
      </c>
      <c r="E1255" s="187">
        <v>428.04</v>
      </c>
      <c r="F1255" s="187">
        <v>491.62</v>
      </c>
      <c r="G1255" s="188">
        <v>500.24</v>
      </c>
      <c r="H1255" s="187">
        <v>619.19000000000005</v>
      </c>
      <c r="I1255" s="187">
        <v>95.98</v>
      </c>
    </row>
    <row r="1256" spans="1:9" ht="15.75" customHeight="1" x14ac:dyDescent="0.25">
      <c r="A1256" s="169">
        <v>45641</v>
      </c>
      <c r="B1256" s="187">
        <v>766</v>
      </c>
      <c r="C1256" s="187">
        <v>255.57</v>
      </c>
      <c r="D1256" s="187">
        <v>432.38</v>
      </c>
      <c r="E1256" s="187">
        <v>451.92</v>
      </c>
      <c r="F1256" s="187">
        <v>500.37</v>
      </c>
      <c r="G1256" s="188">
        <v>495.14</v>
      </c>
      <c r="H1256" s="187">
        <v>612.19000000000005</v>
      </c>
      <c r="I1256" s="187">
        <v>96.33</v>
      </c>
    </row>
    <row r="1257" spans="1:9" ht="15.75" customHeight="1" x14ac:dyDescent="0.25">
      <c r="A1257" s="169">
        <v>45648</v>
      </c>
      <c r="B1257" s="187">
        <v>767.32</v>
      </c>
      <c r="C1257" s="187">
        <v>257.22000000000003</v>
      </c>
      <c r="D1257" s="187">
        <v>437.25</v>
      </c>
      <c r="E1257" s="187">
        <v>448.28</v>
      </c>
      <c r="F1257" s="187">
        <v>496.86</v>
      </c>
      <c r="G1257" s="188">
        <v>499.98</v>
      </c>
      <c r="H1257" s="187">
        <v>607.91999999999996</v>
      </c>
      <c r="I1257" s="187">
        <v>97.17</v>
      </c>
    </row>
    <row r="1258" spans="1:9" ht="15.75" customHeight="1" x14ac:dyDescent="0.25">
      <c r="A1258" s="169">
        <v>45655</v>
      </c>
      <c r="B1258" s="187">
        <v>756.69</v>
      </c>
      <c r="C1258" s="187">
        <v>257.19</v>
      </c>
      <c r="D1258" s="187">
        <v>436.13</v>
      </c>
      <c r="E1258" s="187">
        <v>460.57</v>
      </c>
      <c r="F1258" s="187">
        <v>500.09</v>
      </c>
      <c r="G1258" s="188">
        <v>505.26</v>
      </c>
      <c r="H1258" s="187">
        <v>619.13</v>
      </c>
      <c r="I1258" s="187">
        <v>97.67</v>
      </c>
    </row>
    <row r="1259" spans="1:9" ht="15.75" customHeight="1" x14ac:dyDescent="0.25">
      <c r="A1259" s="169">
        <v>45662</v>
      </c>
      <c r="B1259" s="187">
        <v>742.63</v>
      </c>
      <c r="C1259" s="187">
        <v>261.57</v>
      </c>
      <c r="D1259" s="187">
        <v>441.32</v>
      </c>
      <c r="E1259" s="187">
        <v>447.39</v>
      </c>
      <c r="F1259" s="187">
        <v>497.75</v>
      </c>
      <c r="G1259" s="188">
        <v>493.39</v>
      </c>
      <c r="H1259" s="187">
        <v>620.82000000000005</v>
      </c>
      <c r="I1259" s="187">
        <v>96.76</v>
      </c>
    </row>
    <row r="1260" spans="1:9" ht="15.75" customHeight="1" x14ac:dyDescent="0.25">
      <c r="A1260" s="169">
        <v>45669</v>
      </c>
      <c r="B1260" s="187">
        <v>744.32</v>
      </c>
      <c r="C1260" s="187">
        <v>255.43</v>
      </c>
      <c r="D1260" s="187">
        <v>429.43</v>
      </c>
      <c r="E1260" s="187">
        <v>479.94</v>
      </c>
      <c r="F1260" s="187">
        <v>492.89</v>
      </c>
      <c r="G1260" s="188">
        <v>496.1</v>
      </c>
      <c r="H1260" s="187">
        <v>618.62</v>
      </c>
      <c r="I1260" s="187">
        <v>96.39</v>
      </c>
    </row>
    <row r="1261" spans="1:9" ht="15.75" customHeight="1" x14ac:dyDescent="0.25">
      <c r="A1261" s="169">
        <v>45676</v>
      </c>
      <c r="B1261" s="187">
        <v>740.01</v>
      </c>
      <c r="C1261" s="187">
        <v>253.15</v>
      </c>
      <c r="D1261" s="187">
        <v>428.65</v>
      </c>
      <c r="E1261" s="187">
        <v>477.37</v>
      </c>
      <c r="F1261" s="187">
        <v>481.07</v>
      </c>
      <c r="G1261" s="188">
        <v>498.63</v>
      </c>
      <c r="H1261" s="187">
        <v>615.59</v>
      </c>
      <c r="I1261" s="187">
        <v>98.5</v>
      </c>
    </row>
    <row r="1262" spans="1:9" ht="15.75" customHeight="1" x14ac:dyDescent="0.25">
      <c r="A1262" s="169">
        <v>45683</v>
      </c>
      <c r="B1262" s="187">
        <v>740.88</v>
      </c>
      <c r="C1262" s="187">
        <v>254.61</v>
      </c>
      <c r="D1262" s="187">
        <v>435.85</v>
      </c>
      <c r="E1262" s="187">
        <v>479.46</v>
      </c>
      <c r="F1262" s="187">
        <v>484.4</v>
      </c>
      <c r="G1262" s="188">
        <v>505.18</v>
      </c>
      <c r="H1262" s="187">
        <v>604.23</v>
      </c>
      <c r="I1262" s="187">
        <v>99.9</v>
      </c>
    </row>
    <row r="1263" spans="1:9" ht="15.75" customHeight="1" x14ac:dyDescent="0.25">
      <c r="A1263" s="169">
        <v>45690</v>
      </c>
      <c r="B1263" s="187">
        <v>741.13</v>
      </c>
      <c r="C1263" s="187">
        <v>254.66</v>
      </c>
      <c r="D1263" s="187">
        <v>436.19</v>
      </c>
      <c r="E1263" s="187">
        <v>498.66</v>
      </c>
      <c r="F1263" s="187">
        <v>483.88</v>
      </c>
      <c r="G1263" s="188">
        <v>502.98</v>
      </c>
      <c r="H1263" s="187">
        <v>610.1</v>
      </c>
      <c r="I1263" s="187">
        <v>100.2</v>
      </c>
    </row>
    <row r="1264" spans="1:9" ht="15.75" customHeight="1" x14ac:dyDescent="0.25">
      <c r="A1264" s="169">
        <v>45697</v>
      </c>
      <c r="B1264" s="187">
        <v>723.27</v>
      </c>
      <c r="C1264" s="187">
        <v>253.88</v>
      </c>
      <c r="D1264" s="187">
        <v>439.2</v>
      </c>
      <c r="E1264" s="187">
        <v>501.92</v>
      </c>
      <c r="F1264" s="187">
        <v>488.7</v>
      </c>
      <c r="G1264" s="188">
        <v>503.34</v>
      </c>
      <c r="H1264" s="187">
        <v>628.04</v>
      </c>
      <c r="I1264" s="187">
        <v>101.83</v>
      </c>
    </row>
    <row r="1265" spans="1:9" ht="15.75" customHeight="1" x14ac:dyDescent="0.25">
      <c r="A1265" s="169">
        <v>45704</v>
      </c>
      <c r="B1265" s="187">
        <v>718.21</v>
      </c>
      <c r="C1265" s="187">
        <v>254.94</v>
      </c>
      <c r="D1265" s="187">
        <v>432.32</v>
      </c>
      <c r="E1265" s="187">
        <v>499.32</v>
      </c>
      <c r="F1265" s="187">
        <v>491.71</v>
      </c>
      <c r="G1265" s="188">
        <v>495.19</v>
      </c>
      <c r="H1265" s="187">
        <v>624.04999999999995</v>
      </c>
      <c r="I1265" s="187">
        <v>102.05</v>
      </c>
    </row>
    <row r="1266" spans="1:9" ht="15.75" customHeight="1" x14ac:dyDescent="0.25">
      <c r="A1266" s="169">
        <v>45711</v>
      </c>
      <c r="B1266" s="187">
        <v>719.85</v>
      </c>
      <c r="C1266" s="187">
        <v>256.07</v>
      </c>
      <c r="D1266" s="187">
        <v>433.92</v>
      </c>
      <c r="E1266" s="187">
        <v>497.77</v>
      </c>
      <c r="F1266" s="187">
        <v>488.14</v>
      </c>
      <c r="G1266" s="188">
        <v>492.62</v>
      </c>
      <c r="H1266" s="187">
        <v>624.71</v>
      </c>
      <c r="I1266" s="187">
        <v>101.84</v>
      </c>
    </row>
    <row r="1267" spans="1:9" ht="15.75" customHeight="1" x14ac:dyDescent="0.25">
      <c r="A1267" s="169">
        <v>45718</v>
      </c>
      <c r="B1267" s="187">
        <v>724.39</v>
      </c>
      <c r="C1267" s="187">
        <v>253.09</v>
      </c>
      <c r="D1267" s="187">
        <v>433.97</v>
      </c>
      <c r="E1267" s="187">
        <v>468.02</v>
      </c>
      <c r="F1267" s="187">
        <v>485.82</v>
      </c>
      <c r="G1267" s="188">
        <v>494.63</v>
      </c>
      <c r="H1267" s="187">
        <v>637.39</v>
      </c>
      <c r="I1267" s="187">
        <v>103.06</v>
      </c>
    </row>
    <row r="1268" spans="1:9" ht="15.75" customHeight="1" x14ac:dyDescent="0.25">
      <c r="A1268" s="169">
        <v>45725</v>
      </c>
      <c r="B1268" s="187">
        <v>727.81</v>
      </c>
      <c r="C1268" s="187">
        <v>250.36</v>
      </c>
      <c r="D1268" s="187">
        <v>432.11</v>
      </c>
      <c r="E1268" s="187">
        <v>470.69</v>
      </c>
      <c r="F1268" s="187">
        <v>485.8</v>
      </c>
      <c r="G1268" s="188">
        <v>493.65</v>
      </c>
      <c r="H1268" s="187">
        <v>625.30999999999995</v>
      </c>
      <c r="I1268" s="187">
        <v>101.81</v>
      </c>
    </row>
    <row r="1269" spans="1:9" ht="15.75" customHeight="1" x14ac:dyDescent="0.25">
      <c r="A1269" s="169">
        <v>45732</v>
      </c>
      <c r="B1269" s="187">
        <v>737.85</v>
      </c>
      <c r="C1269" s="187">
        <v>250.11</v>
      </c>
      <c r="D1269" s="187">
        <v>436.37</v>
      </c>
      <c r="E1269" s="187">
        <v>470.71</v>
      </c>
      <c r="F1269" s="187">
        <v>484.17</v>
      </c>
      <c r="G1269" s="188">
        <v>489.55</v>
      </c>
      <c r="H1269" s="187">
        <v>606.1</v>
      </c>
      <c r="I1269" s="187">
        <v>102.83</v>
      </c>
    </row>
    <row r="1270" spans="1:9" ht="15.75" customHeight="1" x14ac:dyDescent="0.25">
      <c r="A1270" s="169">
        <v>45739</v>
      </c>
      <c r="B1270" s="187">
        <v>739.48</v>
      </c>
      <c r="C1270" s="187">
        <v>252.43</v>
      </c>
      <c r="D1270" s="187">
        <v>438.18</v>
      </c>
      <c r="E1270" s="187">
        <v>469.1</v>
      </c>
      <c r="F1270" s="187">
        <v>488.41</v>
      </c>
      <c r="G1270" s="188">
        <v>491.57</v>
      </c>
      <c r="H1270" s="187">
        <v>621.98</v>
      </c>
      <c r="I1270" s="187">
        <v>102.76</v>
      </c>
    </row>
    <row r="1271" spans="1:9" ht="15.75" customHeight="1" x14ac:dyDescent="0.25">
      <c r="A1271" s="169">
        <v>45746</v>
      </c>
      <c r="B1271" s="187">
        <v>742.29</v>
      </c>
      <c r="C1271" s="187">
        <v>247.41</v>
      </c>
      <c r="D1271" s="187">
        <v>439.62</v>
      </c>
      <c r="E1271" s="187">
        <v>473.33</v>
      </c>
      <c r="F1271" s="187">
        <v>490.42</v>
      </c>
      <c r="G1271" s="188">
        <v>494.54</v>
      </c>
      <c r="H1271" s="187">
        <v>616.89</v>
      </c>
      <c r="I1271" s="187">
        <v>102.94</v>
      </c>
    </row>
    <row r="1272" spans="1:9" ht="15.75" customHeight="1" x14ac:dyDescent="0.25">
      <c r="A1272" s="169">
        <v>45753</v>
      </c>
      <c r="B1272" s="187">
        <v>741.09</v>
      </c>
      <c r="C1272" s="187">
        <v>248.51</v>
      </c>
      <c r="D1272" s="187">
        <v>434.76</v>
      </c>
      <c r="E1272" s="187">
        <v>459.7</v>
      </c>
      <c r="F1272" s="187">
        <v>488.75</v>
      </c>
      <c r="G1272" s="188">
        <v>489.56</v>
      </c>
      <c r="H1272" s="187">
        <v>628.53</v>
      </c>
      <c r="I1272" s="187">
        <v>102.04</v>
      </c>
    </row>
    <row r="1273" spans="1:9" ht="15.75" customHeight="1" x14ac:dyDescent="0.25">
      <c r="A1273" s="169">
        <v>45760</v>
      </c>
      <c r="B1273" s="187">
        <v>738.47</v>
      </c>
      <c r="C1273" s="187">
        <v>244.36</v>
      </c>
      <c r="D1273" s="187">
        <v>436.15</v>
      </c>
      <c r="E1273" s="187">
        <v>461.47</v>
      </c>
      <c r="F1273" s="187">
        <v>484.94</v>
      </c>
      <c r="G1273" s="188">
        <v>492.36</v>
      </c>
      <c r="H1273" s="187">
        <v>634.82000000000005</v>
      </c>
      <c r="I1273" s="187">
        <v>103.6</v>
      </c>
    </row>
    <row r="1274" spans="1:9" ht="15.75" customHeight="1" x14ac:dyDescent="0.25">
      <c r="A1274" s="169">
        <v>45767</v>
      </c>
      <c r="B1274" s="187">
        <v>739.35</v>
      </c>
      <c r="C1274" s="187">
        <v>245.37</v>
      </c>
      <c r="D1274" s="187">
        <v>440.17</v>
      </c>
      <c r="E1274" s="187">
        <v>463.43</v>
      </c>
      <c r="F1274" s="187">
        <v>486.1</v>
      </c>
      <c r="G1274" s="188">
        <v>496.61</v>
      </c>
      <c r="H1274" s="187">
        <v>633.63</v>
      </c>
      <c r="I1274" s="187">
        <v>103.85</v>
      </c>
    </row>
    <row r="1275" spans="1:9" ht="15.75" customHeight="1" x14ac:dyDescent="0.25">
      <c r="A1275" s="169">
        <v>45774</v>
      </c>
      <c r="B1275" s="187">
        <v>736.53</v>
      </c>
      <c r="C1275" s="187">
        <v>245.88</v>
      </c>
      <c r="D1275" s="187">
        <v>437.02</v>
      </c>
      <c r="E1275" s="187">
        <v>459.32</v>
      </c>
      <c r="F1275" s="187">
        <v>490.24</v>
      </c>
      <c r="G1275" s="188">
        <v>491.64</v>
      </c>
      <c r="H1275" s="187">
        <v>633.5</v>
      </c>
      <c r="I1275" s="187">
        <v>100.8</v>
      </c>
    </row>
    <row r="1276" spans="1:9" ht="15.75" customHeight="1" x14ac:dyDescent="0.25">
      <c r="A1276" s="169">
        <v>45781</v>
      </c>
      <c r="B1276" s="187">
        <v>729.39</v>
      </c>
      <c r="C1276" s="187">
        <v>241.61</v>
      </c>
      <c r="D1276" s="187">
        <v>432.77</v>
      </c>
      <c r="E1276" s="187">
        <v>459.31</v>
      </c>
      <c r="F1276" s="187">
        <v>485.3</v>
      </c>
      <c r="G1276" s="188">
        <v>485.18</v>
      </c>
      <c r="H1276" s="187">
        <v>620.48</v>
      </c>
      <c r="I1276" s="187">
        <v>98.85</v>
      </c>
    </row>
    <row r="1277" spans="1:9" ht="15.75" customHeight="1" x14ac:dyDescent="0.25">
      <c r="A1277" s="169">
        <v>45788</v>
      </c>
      <c r="B1277" s="187">
        <v>723.54</v>
      </c>
      <c r="C1277" s="187">
        <v>246.5</v>
      </c>
      <c r="D1277" s="187">
        <v>435.5</v>
      </c>
      <c r="E1277" s="187">
        <v>460.72</v>
      </c>
      <c r="F1277" s="187">
        <v>495.93</v>
      </c>
      <c r="G1277" s="188">
        <v>487.28</v>
      </c>
      <c r="H1277" s="187">
        <v>614.79</v>
      </c>
      <c r="I1277" s="187">
        <v>98.52</v>
      </c>
    </row>
    <row r="1278" spans="1:9" ht="15.75" customHeight="1" x14ac:dyDescent="0.25">
      <c r="A1278" s="169">
        <v>45795</v>
      </c>
      <c r="B1278" s="187">
        <v>732.69</v>
      </c>
      <c r="C1278" s="187">
        <v>244.68</v>
      </c>
      <c r="D1278" s="187">
        <v>441.56</v>
      </c>
      <c r="E1278" s="187">
        <v>463.32</v>
      </c>
      <c r="F1278" s="187">
        <v>485.84</v>
      </c>
      <c r="G1278" s="188">
        <v>488.82</v>
      </c>
      <c r="H1278" s="187">
        <v>628.63</v>
      </c>
      <c r="I1278" s="187">
        <v>99.22</v>
      </c>
    </row>
    <row r="1279" spans="1:9" ht="15.75" customHeight="1" x14ac:dyDescent="0.25">
      <c r="A1279" s="169">
        <v>45802</v>
      </c>
      <c r="B1279" s="187">
        <v>735.33</v>
      </c>
      <c r="C1279" s="187">
        <v>245.96</v>
      </c>
      <c r="D1279" s="187">
        <v>433.77</v>
      </c>
      <c r="E1279" s="187">
        <v>463.74</v>
      </c>
      <c r="F1279" s="187">
        <v>486.84</v>
      </c>
      <c r="G1279" s="188">
        <v>491.77</v>
      </c>
      <c r="H1279" s="187">
        <v>617.91</v>
      </c>
      <c r="I1279" s="187">
        <v>97.98</v>
      </c>
    </row>
    <row r="1280" spans="1:9" ht="15.75" customHeight="1" x14ac:dyDescent="0.25">
      <c r="A1280" s="169">
        <v>45809</v>
      </c>
      <c r="B1280" s="187">
        <v>730.52</v>
      </c>
      <c r="C1280" s="187">
        <v>242.3</v>
      </c>
      <c r="D1280" s="187">
        <v>437.11</v>
      </c>
      <c r="E1280" s="187">
        <v>458.14</v>
      </c>
      <c r="F1280" s="187">
        <v>488.74</v>
      </c>
      <c r="G1280" s="188">
        <v>494.04</v>
      </c>
      <c r="H1280" s="187">
        <v>637.01</v>
      </c>
      <c r="I1280" s="187">
        <v>98.69</v>
      </c>
    </row>
    <row r="1281" spans="1:9" ht="15.75" customHeight="1" x14ac:dyDescent="0.25">
      <c r="A1281" s="169">
        <v>45816</v>
      </c>
      <c r="B1281" s="187">
        <v>735.92</v>
      </c>
      <c r="C1281" s="187">
        <v>244.98</v>
      </c>
      <c r="D1281" s="187">
        <v>436.05</v>
      </c>
      <c r="E1281" s="187">
        <v>458.61</v>
      </c>
      <c r="F1281" s="187">
        <v>487.06</v>
      </c>
      <c r="G1281" s="188">
        <v>498.69</v>
      </c>
      <c r="H1281" s="187">
        <v>638.35</v>
      </c>
      <c r="I1281" s="187">
        <v>98.43</v>
      </c>
    </row>
    <row r="1282" spans="1:9" ht="15.75" customHeight="1" x14ac:dyDescent="0.25">
      <c r="A1282" s="169">
        <v>45823</v>
      </c>
      <c r="B1282" s="187">
        <v>737.94</v>
      </c>
      <c r="C1282" s="187">
        <v>244.74</v>
      </c>
      <c r="D1282" s="187">
        <v>437.84</v>
      </c>
      <c r="E1282" s="187">
        <v>462.27</v>
      </c>
      <c r="F1282" s="187">
        <v>485.05</v>
      </c>
      <c r="G1282" s="188">
        <v>498.39</v>
      </c>
      <c r="H1282" s="187">
        <v>623.42999999999995</v>
      </c>
      <c r="I1282" s="187">
        <v>98.91</v>
      </c>
    </row>
    <row r="1283" spans="1:9" ht="15.75" customHeight="1" x14ac:dyDescent="0.25">
      <c r="A1283" s="169">
        <v>45830</v>
      </c>
      <c r="B1283" s="187">
        <v>739.29</v>
      </c>
      <c r="C1283" s="187">
        <v>239.78</v>
      </c>
      <c r="D1283" s="187">
        <v>436.64</v>
      </c>
      <c r="E1283" s="187">
        <v>457.86</v>
      </c>
      <c r="F1283" s="187">
        <v>484.91</v>
      </c>
      <c r="G1283" s="188">
        <v>497.07</v>
      </c>
      <c r="H1283" s="187">
        <v>630.74</v>
      </c>
      <c r="I1283" s="187">
        <v>95.52</v>
      </c>
    </row>
    <row r="1284" spans="1:9" ht="15.75" customHeight="1" x14ac:dyDescent="0.25">
      <c r="A1284" s="169">
        <v>45837</v>
      </c>
      <c r="B1284" s="187">
        <v>738.78</v>
      </c>
      <c r="C1284" s="187">
        <v>242.26</v>
      </c>
      <c r="D1284" s="187">
        <v>428.86</v>
      </c>
      <c r="E1284" s="187">
        <v>474.05</v>
      </c>
      <c r="F1284" s="187">
        <v>487.15</v>
      </c>
      <c r="G1284" s="188">
        <v>495.49</v>
      </c>
      <c r="H1284" s="187">
        <v>630.54</v>
      </c>
      <c r="I1284" s="187">
        <v>95.88</v>
      </c>
    </row>
    <row r="1285" spans="1:9" ht="15.75" customHeight="1" x14ac:dyDescent="0.25">
      <c r="A1285" s="169">
        <v>45844</v>
      </c>
      <c r="B1285" s="187">
        <v>739.72</v>
      </c>
      <c r="C1285" s="187">
        <v>238.76</v>
      </c>
      <c r="D1285" s="187">
        <v>429.21</v>
      </c>
      <c r="E1285" s="187">
        <v>458.45</v>
      </c>
      <c r="F1285" s="187">
        <v>487.38</v>
      </c>
      <c r="G1285" s="188">
        <v>499.01</v>
      </c>
      <c r="H1285" s="187">
        <v>611.80999999999995</v>
      </c>
      <c r="I1285" s="187">
        <v>92.99</v>
      </c>
    </row>
    <row r="1286" spans="1:9" ht="15.75" customHeight="1" x14ac:dyDescent="0.25">
      <c r="A1286" s="169">
        <v>45851</v>
      </c>
      <c r="B1286" s="187">
        <v>731.99</v>
      </c>
      <c r="C1286" s="187">
        <v>238.8</v>
      </c>
      <c r="D1286" s="187">
        <v>428.57</v>
      </c>
      <c r="E1286" s="187">
        <v>463.6</v>
      </c>
      <c r="F1286" s="187">
        <v>476.69</v>
      </c>
      <c r="G1286" s="188">
        <v>494.39</v>
      </c>
      <c r="H1286" s="187">
        <v>626.39</v>
      </c>
      <c r="I1286" s="187">
        <v>93.86</v>
      </c>
    </row>
    <row r="1287" spans="1:9" ht="15.75" customHeight="1" x14ac:dyDescent="0.25">
      <c r="A1287" s="169">
        <v>45858</v>
      </c>
      <c r="B1287" s="187">
        <v>733.71</v>
      </c>
      <c r="C1287" s="187">
        <v>237.9</v>
      </c>
      <c r="D1287" s="187">
        <v>426.76</v>
      </c>
      <c r="E1287" s="187">
        <v>461.07</v>
      </c>
      <c r="F1287" s="187">
        <v>477.03</v>
      </c>
      <c r="G1287" s="188">
        <v>488.04</v>
      </c>
      <c r="H1287" s="187">
        <v>641.04</v>
      </c>
      <c r="I1287" s="187">
        <v>93.72</v>
      </c>
    </row>
    <row r="1288" spans="1:9" ht="15.75" customHeight="1" x14ac:dyDescent="0.25">
      <c r="A1288" s="169">
        <v>45865</v>
      </c>
      <c r="B1288" s="187">
        <v>723.91</v>
      </c>
      <c r="C1288" s="187">
        <v>239.74</v>
      </c>
      <c r="D1288" s="187">
        <v>433.14</v>
      </c>
      <c r="E1288" s="187">
        <v>460.12</v>
      </c>
      <c r="F1288" s="187">
        <v>475.2</v>
      </c>
      <c r="G1288" s="188">
        <v>490.02</v>
      </c>
      <c r="H1288" s="187">
        <v>631.88</v>
      </c>
      <c r="I1288" s="187">
        <v>94.72</v>
      </c>
    </row>
    <row r="1289" spans="1:9" ht="15.75" customHeight="1" x14ac:dyDescent="0.25">
      <c r="A1289" s="169">
        <v>45872</v>
      </c>
      <c r="B1289" s="187">
        <v>711.74</v>
      </c>
      <c r="C1289" s="187">
        <v>240.61</v>
      </c>
      <c r="D1289" s="187">
        <v>424.05</v>
      </c>
      <c r="E1289" s="187">
        <v>453.31</v>
      </c>
      <c r="F1289" s="187">
        <v>476.71</v>
      </c>
      <c r="G1289" s="188">
        <v>493.52</v>
      </c>
      <c r="H1289" s="187">
        <v>632.79999999999995</v>
      </c>
      <c r="I1289" s="187">
        <v>95.45</v>
      </c>
    </row>
    <row r="1290" spans="1:9" ht="15.75" customHeight="1" x14ac:dyDescent="0.25">
      <c r="A1290" s="169">
        <v>45879</v>
      </c>
      <c r="B1290" s="187">
        <v>712.42</v>
      </c>
      <c r="C1290" s="187">
        <v>238.24</v>
      </c>
      <c r="D1290" s="187">
        <v>420.48</v>
      </c>
      <c r="E1290" s="187">
        <v>452.7</v>
      </c>
      <c r="F1290" s="187">
        <v>490.64</v>
      </c>
      <c r="G1290" s="188">
        <v>491.77</v>
      </c>
      <c r="H1290" s="187">
        <v>644.91</v>
      </c>
      <c r="I1290" s="187">
        <v>96.28</v>
      </c>
    </row>
    <row r="1291" spans="1:9" ht="15.75" customHeight="1" x14ac:dyDescent="0.25">
      <c r="A1291" s="169">
        <v>45886</v>
      </c>
      <c r="B1291" s="187">
        <v>722.31</v>
      </c>
      <c r="C1291" s="187">
        <v>239.44</v>
      </c>
      <c r="D1291" s="187">
        <v>417.24</v>
      </c>
      <c r="E1291" s="187">
        <v>453.12</v>
      </c>
      <c r="F1291" s="187">
        <v>485.74</v>
      </c>
      <c r="G1291" s="188">
        <v>495.08</v>
      </c>
      <c r="H1291" s="187">
        <v>618.79999999999995</v>
      </c>
      <c r="I1291" s="187">
        <v>97.74</v>
      </c>
    </row>
    <row r="1292" spans="1:9" ht="15.75" customHeight="1" x14ac:dyDescent="0.25">
      <c r="A1292" s="169">
        <v>45893</v>
      </c>
      <c r="B1292" s="187">
        <v>710.2</v>
      </c>
      <c r="C1292" s="187">
        <v>240.86</v>
      </c>
      <c r="D1292" s="187">
        <v>424.04</v>
      </c>
      <c r="E1292" s="187">
        <v>454.65</v>
      </c>
      <c r="F1292" s="187">
        <v>486.26</v>
      </c>
      <c r="G1292" s="188">
        <v>489.9</v>
      </c>
      <c r="H1292" s="187">
        <v>640.15</v>
      </c>
      <c r="I1292" s="187">
        <v>98.41</v>
      </c>
    </row>
    <row r="1293" spans="1:9" ht="15.75" customHeight="1" x14ac:dyDescent="0.25">
      <c r="A1293" s="169">
        <v>45900</v>
      </c>
      <c r="B1293" s="187">
        <v>705.52</v>
      </c>
      <c r="C1293" s="187">
        <v>241.96</v>
      </c>
      <c r="D1293" s="187">
        <v>412.8</v>
      </c>
      <c r="E1293" s="187">
        <v>446.16</v>
      </c>
      <c r="F1293" s="187">
        <v>473.52</v>
      </c>
      <c r="G1293" s="188">
        <v>491.16</v>
      </c>
      <c r="H1293" s="187">
        <v>657.75</v>
      </c>
      <c r="I1293" s="187">
        <v>98.63</v>
      </c>
    </row>
    <row r="1294" spans="1:9" ht="15.75" customHeight="1" x14ac:dyDescent="0.25">
      <c r="A1294" s="169">
        <v>45907</v>
      </c>
      <c r="B1294" s="187">
        <v>659.79</v>
      </c>
      <c r="C1294" s="187">
        <v>236.69</v>
      </c>
      <c r="D1294" s="187">
        <v>423.38</v>
      </c>
      <c r="E1294" s="187">
        <v>444.26</v>
      </c>
      <c r="F1294" s="187">
        <v>469.71</v>
      </c>
      <c r="G1294" s="188">
        <v>488.4</v>
      </c>
      <c r="H1294" s="187">
        <v>645.07000000000005</v>
      </c>
      <c r="I1294" s="187">
        <v>97.33</v>
      </c>
    </row>
    <row r="1295" spans="1:9" ht="15.75" customHeight="1" x14ac:dyDescent="0.25">
      <c r="A1295" s="169">
        <v>45914</v>
      </c>
      <c r="B1295" s="187">
        <v>638.16999999999996</v>
      </c>
      <c r="C1295" s="187">
        <v>231.01</v>
      </c>
      <c r="D1295" s="187">
        <v>401.98</v>
      </c>
      <c r="E1295" s="187">
        <v>445.48</v>
      </c>
      <c r="F1295" s="187">
        <v>476.7</v>
      </c>
      <c r="G1295" s="188">
        <v>490.11</v>
      </c>
      <c r="H1295" s="187">
        <v>632.79</v>
      </c>
      <c r="I1295" s="187">
        <v>96.99</v>
      </c>
    </row>
    <row r="1296" spans="1:9" ht="15.75" customHeight="1" x14ac:dyDescent="0.25">
      <c r="A1296" s="169">
        <v>45921</v>
      </c>
      <c r="B1296" s="187">
        <v>615.35</v>
      </c>
      <c r="C1296" s="187">
        <v>227.81</v>
      </c>
      <c r="D1296" s="187">
        <v>400.81</v>
      </c>
      <c r="E1296" s="187">
        <v>445.01</v>
      </c>
      <c r="F1296" s="187">
        <v>468.62</v>
      </c>
      <c r="G1296" s="188">
        <v>488.73</v>
      </c>
      <c r="H1296" s="187">
        <v>635.48</v>
      </c>
      <c r="I1296" s="187">
        <v>96.8</v>
      </c>
    </row>
    <row r="1297" spans="1:9" ht="15.75" customHeight="1" x14ac:dyDescent="0.25">
      <c r="A1297" s="169">
        <v>45928</v>
      </c>
      <c r="B1297" s="187">
        <v>609.27</v>
      </c>
      <c r="C1297" s="187">
        <v>225.61</v>
      </c>
      <c r="D1297" s="187">
        <v>388.75</v>
      </c>
      <c r="E1297" s="187">
        <v>445.71</v>
      </c>
      <c r="F1297" s="187">
        <v>459.97</v>
      </c>
      <c r="G1297" s="188">
        <v>483.64</v>
      </c>
      <c r="H1297" s="187">
        <v>636.48</v>
      </c>
      <c r="I1297" s="187">
        <v>97.55</v>
      </c>
    </row>
    <row r="1298" spans="1:9" ht="15.75" customHeight="1" x14ac:dyDescent="0.25">
      <c r="A1298" s="169">
        <v>45935</v>
      </c>
      <c r="B1298" s="187">
        <v>598.74</v>
      </c>
      <c r="C1298" s="187">
        <v>223.27</v>
      </c>
      <c r="D1298" s="187">
        <v>376.98</v>
      </c>
      <c r="E1298" s="187">
        <v>444.13</v>
      </c>
      <c r="F1298" s="187">
        <v>467.67</v>
      </c>
      <c r="G1298" s="188">
        <v>472.92</v>
      </c>
      <c r="H1298" s="187">
        <v>628.14</v>
      </c>
      <c r="I1298" s="187">
        <v>98.65</v>
      </c>
    </row>
    <row r="1299" spans="1:9" ht="15.75" customHeight="1" x14ac:dyDescent="0.25">
      <c r="A1299" s="169">
        <v>45942</v>
      </c>
      <c r="B1299" s="187">
        <v>580.29999999999995</v>
      </c>
      <c r="C1299" s="187">
        <v>221.1</v>
      </c>
      <c r="D1299" s="187">
        <v>366.82</v>
      </c>
      <c r="E1299" s="187">
        <v>443.51</v>
      </c>
      <c r="F1299" s="187">
        <v>464.42</v>
      </c>
      <c r="G1299" s="188">
        <v>478.44</v>
      </c>
      <c r="H1299" s="187">
        <v>643.97</v>
      </c>
      <c r="I1299" s="187">
        <v>97.65</v>
      </c>
    </row>
    <row r="1300" spans="1:9" ht="15.75" customHeight="1" x14ac:dyDescent="0.25">
      <c r="A1300" s="169">
        <v>45949</v>
      </c>
      <c r="B1300" s="187">
        <v>579.80999999999995</v>
      </c>
      <c r="C1300" s="187">
        <v>217.85</v>
      </c>
      <c r="D1300" s="187">
        <v>368.21</v>
      </c>
      <c r="E1300" s="187">
        <v>438.29</v>
      </c>
      <c r="F1300" s="187">
        <v>451.54</v>
      </c>
      <c r="G1300" s="188">
        <v>474.19</v>
      </c>
      <c r="H1300" s="187">
        <v>625.22</v>
      </c>
      <c r="I1300" s="187">
        <v>102.66</v>
      </c>
    </row>
    <row r="1301" spans="1:9" ht="15.75" customHeight="1" x14ac:dyDescent="0.25">
      <c r="A1301" s="169">
        <v>45956</v>
      </c>
      <c r="B1301" s="187">
        <v>573.01</v>
      </c>
      <c r="C1301" s="187">
        <v>216.23</v>
      </c>
      <c r="D1301" s="187">
        <v>356.44</v>
      </c>
      <c r="E1301" s="187">
        <v>439.01</v>
      </c>
      <c r="F1301" s="187">
        <v>450.61</v>
      </c>
      <c r="G1301" s="188">
        <v>470.83</v>
      </c>
      <c r="H1301" s="187">
        <v>630.37</v>
      </c>
      <c r="I1301" s="187">
        <v>102.5</v>
      </c>
    </row>
    <row r="1302" spans="1:9" ht="15.75" customHeight="1" x14ac:dyDescent="0.25">
      <c r="A1302" s="169">
        <v>45963</v>
      </c>
      <c r="B1302" s="187">
        <v>543.30999999999995</v>
      </c>
      <c r="C1302" s="187">
        <v>215.17</v>
      </c>
      <c r="D1302" s="187">
        <v>347.02</v>
      </c>
      <c r="E1302" s="187">
        <v>442.01</v>
      </c>
      <c r="F1302" s="187">
        <v>432.34</v>
      </c>
      <c r="G1302" s="188">
        <v>463.49</v>
      </c>
      <c r="H1302" s="187">
        <v>635.39</v>
      </c>
      <c r="I1302" s="187">
        <v>101.9</v>
      </c>
    </row>
    <row r="1303" spans="1:9" ht="15.75" customHeight="1" x14ac:dyDescent="0.25">
      <c r="A1303" s="169">
        <v>45970</v>
      </c>
      <c r="B1303" s="187">
        <v>550.1</v>
      </c>
      <c r="C1303" s="187">
        <v>212.92</v>
      </c>
      <c r="D1303" s="187">
        <v>341.06</v>
      </c>
      <c r="E1303" s="187">
        <v>438.6</v>
      </c>
      <c r="F1303" s="187">
        <v>400.04</v>
      </c>
      <c r="G1303" s="188">
        <v>444.55</v>
      </c>
      <c r="H1303" s="187">
        <v>625.23</v>
      </c>
      <c r="I1303" s="187">
        <v>101.07</v>
      </c>
    </row>
    <row r="1304" spans="1:9" ht="15.75" customHeight="1" x14ac:dyDescent="0.25">
      <c r="A1304" s="169">
        <v>45977</v>
      </c>
      <c r="B1304" s="187">
        <v>570.53</v>
      </c>
      <c r="C1304" s="187">
        <v>214.96</v>
      </c>
      <c r="D1304" s="187">
        <v>344.11</v>
      </c>
      <c r="E1304" s="187">
        <v>434.57</v>
      </c>
      <c r="F1304" s="187">
        <v>415.3</v>
      </c>
      <c r="G1304" s="188">
        <v>455.62</v>
      </c>
      <c r="H1304" s="187">
        <v>620.36</v>
      </c>
      <c r="I1304" s="187">
        <v>102.31</v>
      </c>
    </row>
    <row r="1305" spans="1:9" ht="15.75" customHeight="1" x14ac:dyDescent="0.25">
      <c r="A1305" s="169">
        <v>45984</v>
      </c>
      <c r="B1305" s="187">
        <v>543.94000000000005</v>
      </c>
      <c r="C1305" s="187">
        <v>211.94</v>
      </c>
      <c r="D1305" s="187">
        <v>337.51</v>
      </c>
      <c r="E1305" s="187">
        <v>434.93</v>
      </c>
      <c r="F1305" s="187">
        <v>403.95</v>
      </c>
      <c r="G1305" s="188">
        <v>448.69</v>
      </c>
      <c r="H1305" s="187">
        <v>641.75</v>
      </c>
      <c r="I1305" s="187">
        <v>103.3</v>
      </c>
    </row>
    <row r="1306" spans="1:9" ht="15.75" customHeight="1" x14ac:dyDescent="0.25">
      <c r="A1306" s="169">
        <v>45991</v>
      </c>
      <c r="B1306" s="187">
        <v>499.53</v>
      </c>
      <c r="C1306" s="187">
        <v>209.96</v>
      </c>
      <c r="D1306" s="187">
        <v>318.37</v>
      </c>
      <c r="E1306" s="187">
        <v>422.14</v>
      </c>
      <c r="F1306" s="187">
        <v>399.87</v>
      </c>
      <c r="G1306" s="188">
        <v>445.42</v>
      </c>
      <c r="H1306" s="187">
        <v>618.28</v>
      </c>
      <c r="I1306" s="187">
        <v>104.83</v>
      </c>
    </row>
    <row r="1307" spans="1:9" ht="15.75" customHeight="1" x14ac:dyDescent="0.25">
      <c r="A1307" s="169">
        <v>45998</v>
      </c>
      <c r="B1307" s="187">
        <v>467.28</v>
      </c>
      <c r="C1307" s="187">
        <v>204.99</v>
      </c>
      <c r="D1307" s="187">
        <v>308.49</v>
      </c>
      <c r="E1307" s="187">
        <v>415.75</v>
      </c>
      <c r="F1307" s="187">
        <v>384.15</v>
      </c>
      <c r="G1307" s="188">
        <v>431.96</v>
      </c>
      <c r="H1307" s="187">
        <v>594.86</v>
      </c>
      <c r="I1307" s="187">
        <v>106.12</v>
      </c>
    </row>
    <row r="1308" spans="1:9" ht="15.75" customHeight="1" x14ac:dyDescent="0.25">
      <c r="A1308" s="169">
        <v>46005</v>
      </c>
      <c r="B1308" s="187">
        <v>456.8</v>
      </c>
      <c r="C1308" s="187">
        <v>201.86</v>
      </c>
      <c r="D1308" s="187">
        <v>308.55</v>
      </c>
      <c r="E1308" s="187">
        <v>416.87</v>
      </c>
      <c r="F1308" s="187">
        <v>368.56</v>
      </c>
      <c r="G1308" s="188">
        <v>426.86</v>
      </c>
      <c r="H1308" s="187">
        <v>600.26</v>
      </c>
      <c r="I1308" s="187">
        <v>105.68</v>
      </c>
    </row>
    <row r="1309" spans="1:9" ht="15.75" customHeight="1" x14ac:dyDescent="0.25">
      <c r="A1309" s="169">
        <v>46012</v>
      </c>
      <c r="B1309" s="187">
        <v>449.42</v>
      </c>
      <c r="C1309" s="187">
        <v>201.26</v>
      </c>
      <c r="D1309" s="187">
        <v>302.64</v>
      </c>
      <c r="E1309" s="187">
        <v>413.72</v>
      </c>
      <c r="F1309" s="187">
        <v>388.28</v>
      </c>
      <c r="G1309" s="188">
        <v>419.15</v>
      </c>
      <c r="H1309" s="187">
        <v>600.70000000000005</v>
      </c>
      <c r="I1309" s="187">
        <v>107.04</v>
      </c>
    </row>
    <row r="1310" spans="1:9" ht="15.75" customHeight="1" x14ac:dyDescent="0.25">
      <c r="A1310" s="169">
        <v>46019</v>
      </c>
      <c r="B1310" s="187">
        <v>446.84</v>
      </c>
      <c r="C1310" s="187">
        <v>203.59</v>
      </c>
      <c r="D1310" s="187">
        <v>305.82</v>
      </c>
      <c r="E1310" s="187">
        <v>411.19</v>
      </c>
      <c r="F1310" s="187">
        <v>385.18</v>
      </c>
      <c r="G1310" s="188">
        <v>427.23</v>
      </c>
      <c r="H1310" s="187">
        <v>615.94000000000005</v>
      </c>
      <c r="I1310" s="187">
        <v>107.49</v>
      </c>
    </row>
    <row r="1311" spans="1:9" ht="15.75" customHeight="1" x14ac:dyDescent="0.25">
      <c r="A1311" s="169">
        <v>46026</v>
      </c>
      <c r="B1311" s="187">
        <v>440.21</v>
      </c>
      <c r="C1311" s="187">
        <v>206.81</v>
      </c>
      <c r="D1311" s="187">
        <v>313.74</v>
      </c>
      <c r="E1311" s="187">
        <v>375.71</v>
      </c>
      <c r="F1311" s="187">
        <v>383.06</v>
      </c>
      <c r="G1311" s="188">
        <v>415.1</v>
      </c>
      <c r="H1311" s="187">
        <v>576.24</v>
      </c>
      <c r="I1311" s="187">
        <v>106.34</v>
      </c>
    </row>
    <row r="1312" spans="1:9" ht="15.75" customHeight="1" x14ac:dyDescent="0.25">
      <c r="A1312" s="169">
        <v>46033</v>
      </c>
      <c r="B1312" s="187">
        <v>426.92</v>
      </c>
      <c r="C1312" s="187">
        <v>207.35</v>
      </c>
      <c r="D1312" s="187">
        <v>303.68</v>
      </c>
      <c r="E1312" s="187">
        <v>373.03</v>
      </c>
      <c r="F1312" s="187">
        <v>371.56</v>
      </c>
      <c r="G1312" s="188">
        <v>414.37</v>
      </c>
      <c r="H1312" s="187">
        <v>567.1</v>
      </c>
      <c r="I1312" s="187">
        <v>106.04</v>
      </c>
    </row>
    <row r="1313" spans="1:9" ht="15.75" customHeight="1" x14ac:dyDescent="0.25">
      <c r="A1313" s="169">
        <v>46040</v>
      </c>
      <c r="B1313" s="187">
        <v>429.27</v>
      </c>
      <c r="C1313" s="187">
        <v>208.36</v>
      </c>
      <c r="D1313" s="187">
        <v>305.38</v>
      </c>
      <c r="E1313" s="187">
        <v>372.98</v>
      </c>
      <c r="F1313" s="187">
        <v>372.55</v>
      </c>
      <c r="G1313" s="188">
        <v>410.91</v>
      </c>
      <c r="H1313" s="187">
        <v>573.04999999999995</v>
      </c>
      <c r="I1313" s="187">
        <v>107.41</v>
      </c>
    </row>
    <row r="1314" spans="1:9" ht="15.75" customHeight="1" x14ac:dyDescent="0.25">
      <c r="A1314" s="169">
        <v>46047</v>
      </c>
      <c r="B1314" s="187">
        <v>419.04</v>
      </c>
      <c r="C1314" s="187">
        <v>210.83</v>
      </c>
      <c r="D1314" s="187">
        <v>312.31</v>
      </c>
      <c r="E1314" s="187">
        <v>376.6</v>
      </c>
      <c r="F1314" s="187">
        <v>371.81</v>
      </c>
      <c r="G1314" s="188">
        <v>411.24</v>
      </c>
      <c r="H1314" s="187">
        <v>561.15</v>
      </c>
      <c r="I1314" s="187">
        <v>108.63</v>
      </c>
    </row>
    <row r="1315" spans="1:9" ht="15.75" customHeight="1" x14ac:dyDescent="0.25">
      <c r="A1315" s="169">
        <v>46054</v>
      </c>
      <c r="B1315" s="187">
        <v>406.07</v>
      </c>
      <c r="C1315" s="187">
        <v>216.59</v>
      </c>
      <c r="D1315" s="187">
        <v>304.5</v>
      </c>
      <c r="E1315" s="187">
        <v>337.17</v>
      </c>
      <c r="F1315" s="187">
        <v>376.92</v>
      </c>
      <c r="G1315" s="188">
        <v>409</v>
      </c>
      <c r="H1315" s="187">
        <v>564.67999999999995</v>
      </c>
      <c r="I1315" s="187">
        <v>108.84</v>
      </c>
    </row>
    <row r="1316" spans="1:9" ht="15.75" customHeight="1" x14ac:dyDescent="0.25">
      <c r="A1316" s="169">
        <v>46061</v>
      </c>
      <c r="B1316" s="187">
        <v>414.41</v>
      </c>
      <c r="C1316" s="187">
        <v>224.72</v>
      </c>
      <c r="D1316" s="187">
        <v>309.24</v>
      </c>
      <c r="E1316" s="187">
        <v>340.16</v>
      </c>
      <c r="F1316" s="187">
        <v>380.03</v>
      </c>
      <c r="G1316" s="188">
        <v>394.98</v>
      </c>
      <c r="H1316" s="187">
        <v>573.85</v>
      </c>
      <c r="I1316" s="187">
        <v>108.66</v>
      </c>
    </row>
    <row r="1317" spans="1:9" ht="15.75" customHeight="1" x14ac:dyDescent="0.25">
      <c r="A1317" s="169">
        <v>46068</v>
      </c>
      <c r="B1317" s="187">
        <v>412.86</v>
      </c>
      <c r="C1317" s="187">
        <v>225.75</v>
      </c>
      <c r="D1317" s="187">
        <v>308.74</v>
      </c>
      <c r="E1317" s="187">
        <v>335.28</v>
      </c>
      <c r="F1317" s="187">
        <v>373.18</v>
      </c>
      <c r="G1317" s="188">
        <v>385.21</v>
      </c>
      <c r="H1317" s="187">
        <v>564.86</v>
      </c>
      <c r="I1317" s="187">
        <v>113.92</v>
      </c>
    </row>
    <row r="1318" spans="1:9" ht="15.75" customHeight="1" x14ac:dyDescent="0.25">
      <c r="A1318" s="169">
        <v>46075</v>
      </c>
      <c r="B1318" s="187">
        <v>418.1</v>
      </c>
      <c r="C1318" s="187">
        <v>237.17</v>
      </c>
      <c r="D1318" s="187">
        <v>321.19</v>
      </c>
      <c r="E1318" s="187">
        <v>334.88</v>
      </c>
      <c r="F1318" s="187">
        <v>359.97</v>
      </c>
      <c r="G1318" s="188">
        <v>388.82</v>
      </c>
      <c r="H1318" s="187">
        <v>556.77</v>
      </c>
      <c r="I1318" s="187">
        <v>114.12</v>
      </c>
    </row>
  </sheetData>
  <mergeCells count="2">
    <mergeCell ref="A2:I2"/>
    <mergeCell ref="A3:I3"/>
  </mergeCells>
  <conditionalFormatting sqref="B1228:I1228">
    <cfRule type="expression" dxfId="0" priority="1" stopIfTrue="1">
      <formula>($A1228="")</formula>
    </cfRule>
  </conditionalFormatting>
  <printOptions horizontalCentered="1"/>
  <pageMargins left="0.51181102362204722" right="0.35433070866141736" top="0.59055118110236227" bottom="0.59055118110236227" header="0.31496062992125984" footer="0.31496062992125984"/>
  <pageSetup scale="98" fitToHeight="0" orientation="portrait" r:id="rId1"/>
  <headerFooter alignWithMargins="0">
    <oddFooter>&amp;CPage - &amp;P+9 -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F9FB0-2E52-4E2D-8308-14C80D112D7B}">
  <sheetPr codeName="Sheet2"/>
  <dimension ref="A1:BD1215"/>
  <sheetViews>
    <sheetView showGridLines="0" topLeftCell="A566" workbookViewId="0">
      <selection activeCell="BH573" sqref="BH573"/>
    </sheetView>
  </sheetViews>
  <sheetFormatPr defaultRowHeight="13.2" outlineLevelRow="1" x14ac:dyDescent="0.25"/>
  <cols>
    <col min="2" max="2" width="10" style="2" customWidth="1"/>
    <col min="3" max="56" width="2.6640625" style="196" customWidth="1"/>
  </cols>
  <sheetData>
    <row r="1" spans="1:56" x14ac:dyDescent="0.25">
      <c r="B1" s="1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W1" s="190"/>
      <c r="AX1" s="190"/>
      <c r="AY1" s="190"/>
      <c r="AZ1" s="190"/>
      <c r="BA1" s="190"/>
      <c r="BB1" s="190"/>
      <c r="BC1" s="190"/>
      <c r="BD1" s="190"/>
    </row>
    <row r="2" spans="1:56" x14ac:dyDescent="0.25">
      <c r="B2" s="1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W2" s="190"/>
      <c r="AX2" s="190"/>
      <c r="AY2" s="190"/>
      <c r="AZ2" s="190"/>
      <c r="BA2" s="190"/>
      <c r="BB2" s="190"/>
      <c r="BC2" s="190"/>
      <c r="BD2" s="190"/>
    </row>
    <row r="3" spans="1:56" x14ac:dyDescent="0.25">
      <c r="B3" s="10" t="str">
        <f>(YEAR($A$6)&amp;"m"&amp;TEXT(DAY($A$6),"00"))</f>
        <v>2025m01</v>
      </c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0"/>
      <c r="AK3" s="190"/>
      <c r="AL3" s="190"/>
      <c r="AM3" s="190"/>
      <c r="AN3" s="190"/>
      <c r="AO3" s="190"/>
      <c r="AP3" s="190"/>
      <c r="AQ3" s="190"/>
      <c r="AR3" s="190"/>
      <c r="AS3" s="190"/>
      <c r="AT3" s="190"/>
      <c r="AU3" s="190"/>
      <c r="AV3" s="190"/>
      <c r="AW3" s="190"/>
      <c r="AX3" s="190"/>
      <c r="AY3" s="190"/>
      <c r="AZ3" s="190"/>
      <c r="BA3" s="190"/>
      <c r="BB3" s="190"/>
      <c r="BC3" s="190"/>
      <c r="BD3" s="190"/>
    </row>
    <row r="4" spans="1:56" x14ac:dyDescent="0.25">
      <c r="B4" s="10"/>
      <c r="C4" s="297" t="s">
        <v>708</v>
      </c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298" t="s">
        <v>709</v>
      </c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0"/>
      <c r="AP4" s="190"/>
      <c r="AQ4" s="190"/>
      <c r="AR4" s="190"/>
      <c r="AS4" s="190"/>
      <c r="AT4" s="190"/>
      <c r="AU4" s="190"/>
      <c r="AV4" s="190"/>
      <c r="AW4" s="190"/>
      <c r="AX4" s="190"/>
      <c r="AY4" s="190"/>
      <c r="AZ4" s="190"/>
      <c r="BA4" s="190"/>
      <c r="BB4" s="190"/>
      <c r="BC4" s="190"/>
      <c r="BD4" s="190"/>
    </row>
    <row r="5" spans="1:56" x14ac:dyDescent="0.25">
      <c r="A5" s="288"/>
      <c r="B5" s="289"/>
      <c r="C5" s="299">
        <f>MATCH(C6,[1]Pivot!$AD$2:$BG$2,0)</f>
        <v>1</v>
      </c>
      <c r="D5" s="299">
        <f>MATCH(D6,[1]Pivot!$AD$2:$BG$2,0)</f>
        <v>2</v>
      </c>
      <c r="E5" s="299">
        <f>MATCH(E6,[1]Pivot!$AD$2:$BG$2,0)</f>
        <v>3</v>
      </c>
      <c r="F5" s="299">
        <f>MATCH(F6,[1]Pivot!$AD$2:$BG$2,0)</f>
        <v>4</v>
      </c>
      <c r="G5" s="299">
        <f>MATCH(G6,[1]Pivot!$AD$2:$BG$2,0)</f>
        <v>5</v>
      </c>
      <c r="H5" s="299">
        <f>MATCH(H6,[1]Pivot!$AD$2:$BG$2,0)</f>
        <v>6</v>
      </c>
      <c r="I5" s="299">
        <f>MATCH(I6,[1]Pivot!$AD$2:$BG$2,0)</f>
        <v>7</v>
      </c>
      <c r="J5" s="299">
        <f>MATCH(J6,[1]Pivot!$AD$2:$BG$2,0)</f>
        <v>8</v>
      </c>
      <c r="K5" s="299">
        <f>MATCH(K6,[1]Pivot!$AD$2:$BG$2,0)</f>
        <v>9</v>
      </c>
      <c r="L5" s="299">
        <f>MATCH(L6,[1]Pivot!$AD$2:$BG$2,0)</f>
        <v>10</v>
      </c>
      <c r="M5" s="299">
        <f>MATCH(M6,[1]Pivot!$AD$2:$BG$2,0)</f>
        <v>11</v>
      </c>
      <c r="N5" s="299">
        <f>MATCH(N6,[1]Pivot!$AD$2:$BG$2,0)</f>
        <v>12</v>
      </c>
      <c r="O5" s="299">
        <f>MATCH(O6,[1]Pivot!$AD$2:$BG$2,0)</f>
        <v>13</v>
      </c>
      <c r="P5" s="299">
        <f>MATCH(P6,[1]Pivot!$AD$2:$BG$2,0)</f>
        <v>14</v>
      </c>
      <c r="Q5" s="299">
        <f>MATCH(Q6,[1]Pivot!$AD$2:$BG$2,0)</f>
        <v>15</v>
      </c>
      <c r="R5" s="299">
        <f>MATCH(R6,[1]Pivot!$AD$2:$BG$2,0)</f>
        <v>16</v>
      </c>
      <c r="S5" s="299">
        <f>MATCH(S6,[1]Pivot!$AD$2:$BG$2,0)</f>
        <v>17</v>
      </c>
      <c r="T5" s="299">
        <f>MATCH(T6,[1]Pivot!$AD$2:$BG$2,0)</f>
        <v>18</v>
      </c>
      <c r="U5" s="299">
        <f>MATCH(U6,[1]Pivot!$AD$2:$BG$2,0)</f>
        <v>19</v>
      </c>
      <c r="V5" s="299">
        <f>MATCH(V6,[1]Pivot!$AD$2:$BG$2,0)</f>
        <v>20</v>
      </c>
      <c r="W5" s="299">
        <f>MATCH(W6,[1]Pivot!$AD$2:$BG$2,0)</f>
        <v>21</v>
      </c>
      <c r="X5" s="299">
        <f>MATCH(X6,[1]Pivot!$AD$2:$BG$2,0)</f>
        <v>22</v>
      </c>
      <c r="Y5" s="299">
        <f>MATCH(Y6,[1]Pivot!$AD$2:$BG$2,0)</f>
        <v>23</v>
      </c>
      <c r="Z5" s="299">
        <f>MATCH(Z6,[1]Pivot!$AD$2:$BG$2,0)</f>
        <v>24</v>
      </c>
      <c r="AA5" s="299">
        <f>MATCH(AA6,[1]Pivot!$AD$2:$BG$2,0)</f>
        <v>25</v>
      </c>
      <c r="AB5" s="299">
        <f>MATCH(AB6,[1]Pivot!$AD$2:$BG$2,0)</f>
        <v>26</v>
      </c>
      <c r="AC5" s="299">
        <f>MATCH(AC6,[1]Pivot!$AD$2:$BG$2,0)</f>
        <v>27</v>
      </c>
      <c r="AD5" s="300">
        <f>MATCH(AD6,[1]Pivot!$AD$2:$BG$2,0)</f>
        <v>1</v>
      </c>
      <c r="AE5" s="300">
        <f>MATCH(AE6,[1]Pivot!$AD$2:$BG$2,0)</f>
        <v>2</v>
      </c>
      <c r="AF5" s="300">
        <f>MATCH(AF6,[1]Pivot!$AD$2:$BG$2,0)</f>
        <v>3</v>
      </c>
      <c r="AG5" s="300">
        <f>MATCH(AG6,[1]Pivot!$AD$2:$BG$2,0)</f>
        <v>4</v>
      </c>
      <c r="AH5" s="300">
        <f>MATCH(AH6,[1]Pivot!$AD$2:$BG$2,0)</f>
        <v>5</v>
      </c>
      <c r="AI5" s="300">
        <f>MATCH(AI6,[1]Pivot!$AD$2:$BG$2,0)</f>
        <v>6</v>
      </c>
      <c r="AJ5" s="300">
        <f>MATCH(AJ6,[1]Pivot!$AD$2:$BG$2,0)</f>
        <v>7</v>
      </c>
      <c r="AK5" s="300">
        <f>MATCH(AK6,[1]Pivot!$AD$2:$BG$2,0)</f>
        <v>8</v>
      </c>
      <c r="AL5" s="300">
        <f>MATCH(AL6,[1]Pivot!$AD$2:$BG$2,0)</f>
        <v>9</v>
      </c>
      <c r="AM5" s="300">
        <f>MATCH(AM6,[1]Pivot!$AD$2:$BG$2,0)</f>
        <v>10</v>
      </c>
      <c r="AN5" s="300">
        <f>MATCH(AN6,[1]Pivot!$AD$2:$BG$2,0)</f>
        <v>11</v>
      </c>
      <c r="AO5" s="300">
        <f>MATCH(AO6,[1]Pivot!$AD$2:$BG$2,0)</f>
        <v>12</v>
      </c>
      <c r="AP5" s="300">
        <f>MATCH(AP6,[1]Pivot!$AD$2:$BG$2,0)</f>
        <v>13</v>
      </c>
      <c r="AQ5" s="300">
        <f>MATCH(AQ6,[1]Pivot!$AD$2:$BG$2,0)</f>
        <v>14</v>
      </c>
      <c r="AR5" s="300">
        <f>MATCH(AR6,[1]Pivot!$AD$2:$BG$2,0)</f>
        <v>15</v>
      </c>
      <c r="AS5" s="300">
        <f>MATCH(AS6,[1]Pivot!$AD$2:$BG$2,0)</f>
        <v>16</v>
      </c>
      <c r="AT5" s="300">
        <f>MATCH(AT6,[1]Pivot!$AD$2:$BG$2,0)</f>
        <v>17</v>
      </c>
      <c r="AU5" s="300">
        <f>MATCH(AU6,[1]Pivot!$AD$2:$BG$2,0)</f>
        <v>18</v>
      </c>
      <c r="AV5" s="300">
        <f>MATCH(AV6,[1]Pivot!$AD$2:$BG$2,0)</f>
        <v>19</v>
      </c>
      <c r="AW5" s="300">
        <f>MATCH(AW6,[1]Pivot!$AD$2:$BG$2,0)</f>
        <v>20</v>
      </c>
      <c r="AX5" s="300">
        <f>MATCH(AX6,[1]Pivot!$AD$2:$BG$2,0)</f>
        <v>21</v>
      </c>
      <c r="AY5" s="300">
        <f>MATCH(AY6,[1]Pivot!$AD$2:$BG$2,0)</f>
        <v>22</v>
      </c>
      <c r="AZ5" s="300">
        <f>MATCH(AZ6,[1]Pivot!$AD$2:$BG$2,0)</f>
        <v>23</v>
      </c>
      <c r="BA5" s="300">
        <f>MATCH(BA6,[1]Pivot!$AD$2:$BG$2,0)</f>
        <v>24</v>
      </c>
      <c r="BB5" s="300">
        <f>MATCH(BB6,[1]Pivot!$AD$2:$BG$2,0)</f>
        <v>25</v>
      </c>
      <c r="BC5" s="300">
        <f>MATCH(BC6,[1]Pivot!$AD$2:$BG$2,0)</f>
        <v>26</v>
      </c>
      <c r="BD5" s="300">
        <f>MATCH(BD6,[1]Pivot!$AD$2:$BG$2,0)</f>
        <v>27</v>
      </c>
    </row>
    <row r="6" spans="1:56" ht="26.4" x14ac:dyDescent="0.25">
      <c r="A6" s="290">
        <f>[1]Prices!$AC$2</f>
        <v>45992</v>
      </c>
      <c r="B6" s="291" t="s">
        <v>619</v>
      </c>
      <c r="C6" s="301" t="s">
        <v>0</v>
      </c>
      <c r="D6" s="301" t="s">
        <v>416</v>
      </c>
      <c r="E6" s="302" t="s">
        <v>372</v>
      </c>
      <c r="F6" s="302" t="s">
        <v>1</v>
      </c>
      <c r="G6" s="301" t="s">
        <v>2</v>
      </c>
      <c r="H6" s="301" t="s">
        <v>374</v>
      </c>
      <c r="I6" s="301" t="s">
        <v>5</v>
      </c>
      <c r="J6" s="301" t="s">
        <v>537</v>
      </c>
      <c r="K6" s="301" t="s">
        <v>3</v>
      </c>
      <c r="L6" s="301" t="s">
        <v>4</v>
      </c>
      <c r="M6" s="301" t="s">
        <v>492</v>
      </c>
      <c r="N6" s="301" t="s">
        <v>6</v>
      </c>
      <c r="O6" s="301" t="s">
        <v>375</v>
      </c>
      <c r="P6" s="301" t="s">
        <v>376</v>
      </c>
      <c r="Q6" s="301" t="s">
        <v>377</v>
      </c>
      <c r="R6" s="303" t="s">
        <v>7</v>
      </c>
      <c r="S6" s="301" t="s">
        <v>381</v>
      </c>
      <c r="T6" s="301" t="s">
        <v>382</v>
      </c>
      <c r="U6" s="301" t="s">
        <v>8</v>
      </c>
      <c r="V6" s="301" t="s">
        <v>9</v>
      </c>
      <c r="W6" s="301" t="s">
        <v>384</v>
      </c>
      <c r="X6" s="301" t="s">
        <v>10</v>
      </c>
      <c r="Y6" s="301" t="s">
        <v>418</v>
      </c>
      <c r="Z6" s="301" t="s">
        <v>387</v>
      </c>
      <c r="AA6" s="301" t="s">
        <v>386</v>
      </c>
      <c r="AB6" s="301" t="s">
        <v>11</v>
      </c>
      <c r="AC6" s="302" t="s">
        <v>12</v>
      </c>
      <c r="AD6" s="304" t="s">
        <v>0</v>
      </c>
      <c r="AE6" s="304" t="s">
        <v>416</v>
      </c>
      <c r="AF6" s="305" t="s">
        <v>372</v>
      </c>
      <c r="AG6" s="305" t="s">
        <v>1</v>
      </c>
      <c r="AH6" s="304" t="s">
        <v>2</v>
      </c>
      <c r="AI6" s="304" t="s">
        <v>374</v>
      </c>
      <c r="AJ6" s="304" t="s">
        <v>5</v>
      </c>
      <c r="AK6" s="304" t="s">
        <v>537</v>
      </c>
      <c r="AL6" s="304" t="s">
        <v>3</v>
      </c>
      <c r="AM6" s="304" t="s">
        <v>4</v>
      </c>
      <c r="AN6" s="304" t="s">
        <v>492</v>
      </c>
      <c r="AO6" s="304" t="s">
        <v>6</v>
      </c>
      <c r="AP6" s="304" t="s">
        <v>375</v>
      </c>
      <c r="AQ6" s="304" t="s">
        <v>376</v>
      </c>
      <c r="AR6" s="304" t="s">
        <v>377</v>
      </c>
      <c r="AS6" s="303" t="s">
        <v>7</v>
      </c>
      <c r="AT6" s="304" t="s">
        <v>381</v>
      </c>
      <c r="AU6" s="304" t="s">
        <v>382</v>
      </c>
      <c r="AV6" s="304" t="s">
        <v>8</v>
      </c>
      <c r="AW6" s="304" t="s">
        <v>9</v>
      </c>
      <c r="AX6" s="304" t="s">
        <v>384</v>
      </c>
      <c r="AY6" s="304" t="s">
        <v>10</v>
      </c>
      <c r="AZ6" s="304" t="s">
        <v>418</v>
      </c>
      <c r="BA6" s="304" t="s">
        <v>387</v>
      </c>
      <c r="BB6" s="304" t="s">
        <v>386</v>
      </c>
      <c r="BC6" s="304" t="s">
        <v>11</v>
      </c>
      <c r="BD6" s="305" t="s">
        <v>12</v>
      </c>
    </row>
    <row r="7" spans="1:56" ht="15.6" x14ac:dyDescent="0.3">
      <c r="A7" s="288"/>
      <c r="B7" s="189">
        <f>MATCH(YEAR($A$6)&amp;"m"&amp;TEXT(MONTH($A$6),"00"),$A:$A,0)+1</f>
        <v>596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306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307"/>
      <c r="AE7" s="307"/>
      <c r="AF7" s="307"/>
      <c r="AG7" s="307"/>
      <c r="AH7" s="307"/>
      <c r="AI7" s="307"/>
      <c r="AJ7" s="307"/>
      <c r="AK7" s="307"/>
      <c r="AL7" s="307"/>
      <c r="AM7" s="307"/>
      <c r="AN7" s="307"/>
      <c r="AO7" s="307"/>
      <c r="AP7" s="307"/>
      <c r="AQ7" s="307"/>
      <c r="AR7" s="307"/>
      <c r="AS7" s="306"/>
      <c r="AT7" s="307"/>
      <c r="AU7" s="307"/>
      <c r="AV7" s="307"/>
      <c r="AW7" s="307"/>
      <c r="AX7" s="307"/>
      <c r="AY7" s="307"/>
      <c r="AZ7" s="307"/>
      <c r="BA7" s="307"/>
      <c r="BB7" s="307"/>
      <c r="BC7" s="307"/>
      <c r="BD7" s="307"/>
    </row>
    <row r="8" spans="1:56" hidden="1" outlineLevel="1" x14ac:dyDescent="0.25">
      <c r="A8" s="288"/>
      <c r="B8" s="2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308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309"/>
      <c r="AE8" s="309"/>
      <c r="AF8" s="309"/>
      <c r="AG8" s="309"/>
      <c r="AH8" s="309"/>
      <c r="AI8" s="309"/>
      <c r="AJ8" s="309"/>
      <c r="AK8" s="309"/>
      <c r="AL8" s="309"/>
      <c r="AM8" s="309"/>
      <c r="AN8" s="309"/>
      <c r="AO8" s="309"/>
      <c r="AP8" s="309"/>
      <c r="AQ8" s="309"/>
      <c r="AR8" s="309"/>
      <c r="AS8" s="308"/>
      <c r="AT8" s="309"/>
      <c r="AU8" s="309"/>
      <c r="AV8" s="309"/>
      <c r="AW8" s="309"/>
      <c r="AX8" s="309"/>
      <c r="AY8" s="309"/>
      <c r="AZ8" s="309"/>
      <c r="BA8" s="309"/>
      <c r="BB8" s="309"/>
      <c r="BC8" s="309"/>
      <c r="BD8" s="309"/>
    </row>
    <row r="9" spans="1:56" hidden="1" outlineLevel="1" x14ac:dyDescent="0.25">
      <c r="A9" s="288"/>
      <c r="B9" s="2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308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309"/>
      <c r="AE9" s="309"/>
      <c r="AF9" s="309"/>
      <c r="AG9" s="309"/>
      <c r="AH9" s="309"/>
      <c r="AI9" s="309"/>
      <c r="AJ9" s="309"/>
      <c r="AK9" s="309"/>
      <c r="AL9" s="309"/>
      <c r="AM9" s="309"/>
      <c r="AN9" s="309"/>
      <c r="AO9" s="309"/>
      <c r="AP9" s="309"/>
      <c r="AQ9" s="309"/>
      <c r="AR9" s="309"/>
      <c r="AS9" s="308"/>
      <c r="AT9" s="309"/>
      <c r="AU9" s="309"/>
      <c r="AV9" s="309"/>
      <c r="AW9" s="309"/>
      <c r="AX9" s="309"/>
      <c r="AY9" s="309"/>
      <c r="AZ9" s="309"/>
      <c r="BA9" s="309"/>
      <c r="BB9" s="309"/>
      <c r="BC9" s="309"/>
      <c r="BD9" s="309"/>
    </row>
    <row r="10" spans="1:56" hidden="1" outlineLevel="1" x14ac:dyDescent="0.25">
      <c r="A10" s="288"/>
      <c r="B10" s="2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308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309"/>
      <c r="AE10" s="309"/>
      <c r="AF10" s="309"/>
      <c r="AG10" s="309"/>
      <c r="AH10" s="309"/>
      <c r="AI10" s="309"/>
      <c r="AJ10" s="309"/>
      <c r="AK10" s="309"/>
      <c r="AL10" s="309"/>
      <c r="AM10" s="309"/>
      <c r="AN10" s="309"/>
      <c r="AO10" s="309"/>
      <c r="AP10" s="309"/>
      <c r="AQ10" s="309"/>
      <c r="AR10" s="309"/>
      <c r="AS10" s="308"/>
      <c r="AT10" s="309"/>
      <c r="AU10" s="309"/>
      <c r="AV10" s="309"/>
      <c r="AW10" s="309"/>
      <c r="AX10" s="309"/>
      <c r="AY10" s="309"/>
      <c r="AZ10" s="309"/>
      <c r="BA10" s="309"/>
      <c r="BB10" s="309"/>
      <c r="BC10" s="309"/>
      <c r="BD10" s="309"/>
    </row>
    <row r="11" spans="1:56" hidden="1" outlineLevel="1" x14ac:dyDescent="0.25">
      <c r="A11" s="288"/>
      <c r="B11" s="292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308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309"/>
      <c r="AE11" s="309"/>
      <c r="AF11" s="309"/>
      <c r="AG11" s="309"/>
      <c r="AH11" s="309"/>
      <c r="AI11" s="309"/>
      <c r="AJ11" s="309"/>
      <c r="AK11" s="309"/>
      <c r="AL11" s="309"/>
      <c r="AM11" s="309"/>
      <c r="AN11" s="309"/>
      <c r="AO11" s="309"/>
      <c r="AP11" s="309"/>
      <c r="AQ11" s="309"/>
      <c r="AR11" s="309"/>
      <c r="AS11" s="308"/>
      <c r="AT11" s="309"/>
      <c r="AU11" s="309"/>
      <c r="AV11" s="309"/>
      <c r="AW11" s="309"/>
      <c r="AX11" s="309"/>
      <c r="AY11" s="309"/>
      <c r="AZ11" s="309"/>
      <c r="BA11" s="309"/>
      <c r="BB11" s="309"/>
      <c r="BC11" s="309"/>
      <c r="BD11" s="309"/>
    </row>
    <row r="12" spans="1:56" hidden="1" outlineLevel="1" x14ac:dyDescent="0.25">
      <c r="A12" s="288"/>
      <c r="B12" s="292"/>
      <c r="C12" s="192"/>
      <c r="D12" s="192"/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308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309"/>
      <c r="AE12" s="309"/>
      <c r="AF12" s="309"/>
      <c r="AG12" s="309"/>
      <c r="AH12" s="309"/>
      <c r="AI12" s="309"/>
      <c r="AJ12" s="309"/>
      <c r="AK12" s="309"/>
      <c r="AL12" s="309"/>
      <c r="AM12" s="309"/>
      <c r="AN12" s="309"/>
      <c r="AO12" s="309"/>
      <c r="AP12" s="309"/>
      <c r="AQ12" s="309"/>
      <c r="AR12" s="309"/>
      <c r="AS12" s="308"/>
      <c r="AT12" s="309"/>
      <c r="AU12" s="309"/>
      <c r="AV12" s="309"/>
      <c r="AW12" s="309"/>
      <c r="AX12" s="309"/>
      <c r="AY12" s="309"/>
      <c r="AZ12" s="309"/>
      <c r="BA12" s="309"/>
      <c r="BB12" s="309"/>
      <c r="BC12" s="309"/>
      <c r="BD12" s="309"/>
    </row>
    <row r="13" spans="1:56" hidden="1" outlineLevel="1" x14ac:dyDescent="0.25">
      <c r="A13" s="288"/>
      <c r="B13" s="292"/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308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309"/>
      <c r="AE13" s="309"/>
      <c r="AF13" s="309"/>
      <c r="AG13" s="309"/>
      <c r="AH13" s="309"/>
      <c r="AI13" s="309"/>
      <c r="AJ13" s="309"/>
      <c r="AK13" s="309"/>
      <c r="AL13" s="309"/>
      <c r="AM13" s="309"/>
      <c r="AN13" s="309"/>
      <c r="AO13" s="309"/>
      <c r="AP13" s="309"/>
      <c r="AQ13" s="309"/>
      <c r="AR13" s="309"/>
      <c r="AS13" s="308"/>
      <c r="AT13" s="309"/>
      <c r="AU13" s="309"/>
      <c r="AV13" s="309"/>
      <c r="AW13" s="309"/>
      <c r="AX13" s="309"/>
      <c r="AY13" s="309"/>
      <c r="AZ13" s="309"/>
      <c r="BA13" s="309"/>
      <c r="BB13" s="309"/>
      <c r="BC13" s="309"/>
      <c r="BD13" s="309"/>
    </row>
    <row r="14" spans="1:56" hidden="1" outlineLevel="1" x14ac:dyDescent="0.25">
      <c r="A14" s="288"/>
      <c r="B14" s="292"/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308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309"/>
      <c r="AE14" s="309"/>
      <c r="AF14" s="309"/>
      <c r="AG14" s="309"/>
      <c r="AH14" s="309"/>
      <c r="AI14" s="309"/>
      <c r="AJ14" s="309"/>
      <c r="AK14" s="309"/>
      <c r="AL14" s="309"/>
      <c r="AM14" s="309"/>
      <c r="AN14" s="309"/>
      <c r="AO14" s="309"/>
      <c r="AP14" s="309"/>
      <c r="AQ14" s="309"/>
      <c r="AR14" s="309"/>
      <c r="AS14" s="308"/>
      <c r="AT14" s="309"/>
      <c r="AU14" s="309"/>
      <c r="AV14" s="309"/>
      <c r="AW14" s="309"/>
      <c r="AX14" s="309"/>
      <c r="AY14" s="309"/>
      <c r="AZ14" s="309"/>
      <c r="BA14" s="309"/>
      <c r="BB14" s="309"/>
      <c r="BC14" s="309"/>
      <c r="BD14" s="309"/>
    </row>
    <row r="15" spans="1:56" hidden="1" outlineLevel="1" x14ac:dyDescent="0.25">
      <c r="A15" s="288"/>
      <c r="B15" s="2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308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309"/>
      <c r="AE15" s="309"/>
      <c r="AF15" s="309"/>
      <c r="AG15" s="309"/>
      <c r="AH15" s="309"/>
      <c r="AI15" s="309"/>
      <c r="AJ15" s="309"/>
      <c r="AK15" s="309"/>
      <c r="AL15" s="309"/>
      <c r="AM15" s="309"/>
      <c r="AN15" s="309"/>
      <c r="AO15" s="309"/>
      <c r="AP15" s="309"/>
      <c r="AQ15" s="309"/>
      <c r="AR15" s="309"/>
      <c r="AS15" s="308"/>
      <c r="AT15" s="309"/>
      <c r="AU15" s="309"/>
      <c r="AV15" s="309"/>
      <c r="AW15" s="309"/>
      <c r="AX15" s="309"/>
      <c r="AY15" s="309"/>
      <c r="AZ15" s="309"/>
      <c r="BA15" s="309"/>
      <c r="BB15" s="309"/>
      <c r="BC15" s="309"/>
      <c r="BD15" s="309"/>
    </row>
    <row r="16" spans="1:56" hidden="1" outlineLevel="1" x14ac:dyDescent="0.25">
      <c r="A16" s="288"/>
      <c r="B16" s="2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308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309"/>
      <c r="AE16" s="309"/>
      <c r="AF16" s="309"/>
      <c r="AG16" s="309"/>
      <c r="AH16" s="309"/>
      <c r="AI16" s="309"/>
      <c r="AJ16" s="309"/>
      <c r="AK16" s="309"/>
      <c r="AL16" s="309"/>
      <c r="AM16" s="309"/>
      <c r="AN16" s="309"/>
      <c r="AO16" s="309"/>
      <c r="AP16" s="309"/>
      <c r="AQ16" s="309"/>
      <c r="AR16" s="309"/>
      <c r="AS16" s="308"/>
      <c r="AT16" s="309"/>
      <c r="AU16" s="309"/>
      <c r="AV16" s="309"/>
      <c r="AW16" s="309"/>
      <c r="AX16" s="309"/>
      <c r="AY16" s="309"/>
      <c r="AZ16" s="309"/>
      <c r="BA16" s="309"/>
      <c r="BB16" s="309"/>
      <c r="BC16" s="309"/>
      <c r="BD16" s="309"/>
    </row>
    <row r="17" spans="1:56" hidden="1" outlineLevel="1" x14ac:dyDescent="0.25">
      <c r="A17" s="288"/>
      <c r="B17" s="292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308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309"/>
      <c r="AE17" s="309"/>
      <c r="AF17" s="309"/>
      <c r="AG17" s="309"/>
      <c r="AH17" s="309"/>
      <c r="AI17" s="309"/>
      <c r="AJ17" s="309"/>
      <c r="AK17" s="309"/>
      <c r="AL17" s="309"/>
      <c r="AM17" s="309"/>
      <c r="AN17" s="309"/>
      <c r="AO17" s="309"/>
      <c r="AP17" s="309"/>
      <c r="AQ17" s="309"/>
      <c r="AR17" s="309"/>
      <c r="AS17" s="308"/>
      <c r="AT17" s="309"/>
      <c r="AU17" s="309"/>
      <c r="AV17" s="309"/>
      <c r="AW17" s="309"/>
      <c r="AX17" s="309"/>
      <c r="AY17" s="309"/>
      <c r="AZ17" s="309"/>
      <c r="BA17" s="309"/>
      <c r="BB17" s="309"/>
      <c r="BC17" s="309"/>
      <c r="BD17" s="309"/>
    </row>
    <row r="18" spans="1:56" hidden="1" outlineLevel="1" x14ac:dyDescent="0.25">
      <c r="A18" s="288"/>
      <c r="B18" s="292"/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308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309"/>
      <c r="AE18" s="309"/>
      <c r="AF18" s="309"/>
      <c r="AG18" s="309"/>
      <c r="AH18" s="309"/>
      <c r="AI18" s="309"/>
      <c r="AJ18" s="309"/>
      <c r="AK18" s="309"/>
      <c r="AL18" s="309"/>
      <c r="AM18" s="309"/>
      <c r="AN18" s="309"/>
      <c r="AO18" s="309"/>
      <c r="AP18" s="309"/>
      <c r="AQ18" s="309"/>
      <c r="AR18" s="309"/>
      <c r="AS18" s="308"/>
      <c r="AT18" s="309"/>
      <c r="AU18" s="309"/>
      <c r="AV18" s="309"/>
      <c r="AW18" s="309"/>
      <c r="AX18" s="309"/>
      <c r="AY18" s="309"/>
      <c r="AZ18" s="309"/>
      <c r="BA18" s="309"/>
      <c r="BB18" s="309"/>
      <c r="BC18" s="309"/>
      <c r="BD18" s="309"/>
    </row>
    <row r="19" spans="1:56" hidden="1" outlineLevel="1" x14ac:dyDescent="0.25">
      <c r="A19" s="288"/>
      <c r="B19" s="2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308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309"/>
      <c r="AE19" s="309"/>
      <c r="AF19" s="309"/>
      <c r="AG19" s="309"/>
      <c r="AH19" s="309"/>
      <c r="AI19" s="309"/>
      <c r="AJ19" s="309"/>
      <c r="AK19" s="309"/>
      <c r="AL19" s="309"/>
      <c r="AM19" s="309"/>
      <c r="AN19" s="309"/>
      <c r="AO19" s="309"/>
      <c r="AP19" s="309"/>
      <c r="AQ19" s="309"/>
      <c r="AR19" s="309"/>
      <c r="AS19" s="308"/>
      <c r="AT19" s="309"/>
      <c r="AU19" s="309"/>
      <c r="AV19" s="309"/>
      <c r="AW19" s="309"/>
      <c r="AX19" s="309"/>
      <c r="AY19" s="309"/>
      <c r="AZ19" s="309"/>
      <c r="BA19" s="309"/>
      <c r="BB19" s="309"/>
      <c r="BC19" s="309"/>
      <c r="BD19" s="309"/>
    </row>
    <row r="20" spans="1:56" hidden="1" outlineLevel="1" x14ac:dyDescent="0.25">
      <c r="A20" s="288"/>
      <c r="B20" s="292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2"/>
      <c r="P20" s="192"/>
      <c r="Q20" s="192"/>
      <c r="R20" s="308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309"/>
      <c r="AE20" s="309"/>
      <c r="AF20" s="309"/>
      <c r="AG20" s="309"/>
      <c r="AH20" s="309"/>
      <c r="AI20" s="309"/>
      <c r="AJ20" s="309"/>
      <c r="AK20" s="309"/>
      <c r="AL20" s="309"/>
      <c r="AM20" s="309"/>
      <c r="AN20" s="309"/>
      <c r="AO20" s="309"/>
      <c r="AP20" s="309"/>
      <c r="AQ20" s="309"/>
      <c r="AR20" s="309"/>
      <c r="AS20" s="308"/>
      <c r="AT20" s="309"/>
      <c r="AU20" s="309"/>
      <c r="AV20" s="309"/>
      <c r="AW20" s="309"/>
      <c r="AX20" s="309"/>
      <c r="AY20" s="309"/>
      <c r="AZ20" s="309"/>
      <c r="BA20" s="309"/>
      <c r="BB20" s="309"/>
      <c r="BC20" s="309"/>
      <c r="BD20" s="309"/>
    </row>
    <row r="21" spans="1:56" hidden="1" outlineLevel="1" x14ac:dyDescent="0.25">
      <c r="A21" s="288"/>
      <c r="B21" s="292"/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2"/>
      <c r="R21" s="308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309"/>
      <c r="AE21" s="309"/>
      <c r="AF21" s="309"/>
      <c r="AG21" s="309"/>
      <c r="AH21" s="309"/>
      <c r="AI21" s="309"/>
      <c r="AJ21" s="309"/>
      <c r="AK21" s="309"/>
      <c r="AL21" s="309"/>
      <c r="AM21" s="309"/>
      <c r="AN21" s="309"/>
      <c r="AO21" s="309"/>
      <c r="AP21" s="309"/>
      <c r="AQ21" s="309"/>
      <c r="AR21" s="309"/>
      <c r="AS21" s="308"/>
      <c r="AT21" s="309"/>
      <c r="AU21" s="309"/>
      <c r="AV21" s="309"/>
      <c r="AW21" s="309"/>
      <c r="AX21" s="309"/>
      <c r="AY21" s="309"/>
      <c r="AZ21" s="309"/>
      <c r="BA21" s="309"/>
      <c r="BB21" s="309"/>
      <c r="BC21" s="309"/>
      <c r="BD21" s="309"/>
    </row>
    <row r="22" spans="1:56" hidden="1" outlineLevel="1" x14ac:dyDescent="0.25">
      <c r="A22" s="288"/>
      <c r="B22" s="292"/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308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309"/>
      <c r="AE22" s="309"/>
      <c r="AF22" s="309"/>
      <c r="AG22" s="309"/>
      <c r="AH22" s="309"/>
      <c r="AI22" s="309"/>
      <c r="AJ22" s="309"/>
      <c r="AK22" s="309"/>
      <c r="AL22" s="309"/>
      <c r="AM22" s="309"/>
      <c r="AN22" s="309"/>
      <c r="AO22" s="309"/>
      <c r="AP22" s="309"/>
      <c r="AQ22" s="309"/>
      <c r="AR22" s="309"/>
      <c r="AS22" s="308"/>
      <c r="AT22" s="309"/>
      <c r="AU22" s="309"/>
      <c r="AV22" s="309"/>
      <c r="AW22" s="309"/>
      <c r="AX22" s="309"/>
      <c r="AY22" s="309"/>
      <c r="AZ22" s="309"/>
      <c r="BA22" s="309"/>
      <c r="BB22" s="309"/>
      <c r="BC22" s="309"/>
      <c r="BD22" s="309"/>
    </row>
    <row r="23" spans="1:56" hidden="1" outlineLevel="1" x14ac:dyDescent="0.25">
      <c r="A23" s="288"/>
      <c r="B23" s="292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308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309"/>
      <c r="AE23" s="309"/>
      <c r="AF23" s="309"/>
      <c r="AG23" s="309"/>
      <c r="AH23" s="309"/>
      <c r="AI23" s="309"/>
      <c r="AJ23" s="309"/>
      <c r="AK23" s="309"/>
      <c r="AL23" s="309"/>
      <c r="AM23" s="309"/>
      <c r="AN23" s="309"/>
      <c r="AO23" s="309"/>
      <c r="AP23" s="309"/>
      <c r="AQ23" s="309"/>
      <c r="AR23" s="309"/>
      <c r="AS23" s="308"/>
      <c r="AT23" s="309"/>
      <c r="AU23" s="309"/>
      <c r="AV23" s="309"/>
      <c r="AW23" s="309"/>
      <c r="AX23" s="309"/>
      <c r="AY23" s="309"/>
      <c r="AZ23" s="309"/>
      <c r="BA23" s="309"/>
      <c r="BB23" s="309"/>
      <c r="BC23" s="309"/>
      <c r="BD23" s="309"/>
    </row>
    <row r="24" spans="1:56" hidden="1" outlineLevel="1" x14ac:dyDescent="0.25">
      <c r="A24" s="288"/>
      <c r="B24" s="2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308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309"/>
      <c r="AE24" s="309"/>
      <c r="AF24" s="309"/>
      <c r="AG24" s="309"/>
      <c r="AH24" s="309"/>
      <c r="AI24" s="309"/>
      <c r="AJ24" s="309"/>
      <c r="AK24" s="309"/>
      <c r="AL24" s="309"/>
      <c r="AM24" s="309"/>
      <c r="AN24" s="309"/>
      <c r="AO24" s="309"/>
      <c r="AP24" s="309"/>
      <c r="AQ24" s="309"/>
      <c r="AR24" s="309"/>
      <c r="AS24" s="308"/>
      <c r="AT24" s="309"/>
      <c r="AU24" s="309"/>
      <c r="AV24" s="309"/>
      <c r="AW24" s="309"/>
      <c r="AX24" s="309"/>
      <c r="AY24" s="309"/>
      <c r="AZ24" s="309"/>
      <c r="BA24" s="309"/>
      <c r="BB24" s="309"/>
      <c r="BC24" s="309"/>
      <c r="BD24" s="309"/>
    </row>
    <row r="25" spans="1:56" hidden="1" outlineLevel="1" x14ac:dyDescent="0.25">
      <c r="A25" s="288"/>
      <c r="B25" s="292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  <c r="R25" s="308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309"/>
      <c r="AE25" s="309"/>
      <c r="AF25" s="309"/>
      <c r="AG25" s="309"/>
      <c r="AH25" s="309"/>
      <c r="AI25" s="309"/>
      <c r="AJ25" s="309"/>
      <c r="AK25" s="309"/>
      <c r="AL25" s="309"/>
      <c r="AM25" s="309"/>
      <c r="AN25" s="309"/>
      <c r="AO25" s="309"/>
      <c r="AP25" s="309"/>
      <c r="AQ25" s="309"/>
      <c r="AR25" s="309"/>
      <c r="AS25" s="308"/>
      <c r="AT25" s="309"/>
      <c r="AU25" s="309"/>
      <c r="AV25" s="309"/>
      <c r="AW25" s="309"/>
      <c r="AX25" s="309"/>
      <c r="AY25" s="309"/>
      <c r="AZ25" s="309"/>
      <c r="BA25" s="309"/>
      <c r="BB25" s="309"/>
      <c r="BC25" s="309"/>
      <c r="BD25" s="309"/>
    </row>
    <row r="26" spans="1:56" hidden="1" outlineLevel="1" x14ac:dyDescent="0.25">
      <c r="A26" s="288"/>
      <c r="B26" s="2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2"/>
      <c r="R26" s="308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309"/>
      <c r="AE26" s="309"/>
      <c r="AF26" s="309"/>
      <c r="AG26" s="309"/>
      <c r="AH26" s="309"/>
      <c r="AI26" s="309"/>
      <c r="AJ26" s="309"/>
      <c r="AK26" s="309"/>
      <c r="AL26" s="309"/>
      <c r="AM26" s="309"/>
      <c r="AN26" s="309"/>
      <c r="AO26" s="309"/>
      <c r="AP26" s="309"/>
      <c r="AQ26" s="309"/>
      <c r="AR26" s="309"/>
      <c r="AS26" s="308"/>
      <c r="AT26" s="309"/>
      <c r="AU26" s="309"/>
      <c r="AV26" s="309"/>
      <c r="AW26" s="309"/>
      <c r="AX26" s="309"/>
      <c r="AY26" s="309"/>
      <c r="AZ26" s="309"/>
      <c r="BA26" s="309"/>
      <c r="BB26" s="309"/>
      <c r="BC26" s="309"/>
      <c r="BD26" s="309"/>
    </row>
    <row r="27" spans="1:56" hidden="1" outlineLevel="1" x14ac:dyDescent="0.25">
      <c r="A27" s="288"/>
      <c r="B27" s="292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308"/>
      <c r="S27" s="192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309"/>
      <c r="AE27" s="309"/>
      <c r="AF27" s="309"/>
      <c r="AG27" s="309"/>
      <c r="AH27" s="309"/>
      <c r="AI27" s="309"/>
      <c r="AJ27" s="309"/>
      <c r="AK27" s="309"/>
      <c r="AL27" s="309"/>
      <c r="AM27" s="309"/>
      <c r="AN27" s="309"/>
      <c r="AO27" s="309"/>
      <c r="AP27" s="309"/>
      <c r="AQ27" s="309"/>
      <c r="AR27" s="309"/>
      <c r="AS27" s="308"/>
      <c r="AT27" s="309"/>
      <c r="AU27" s="309"/>
      <c r="AV27" s="309"/>
      <c r="AW27" s="309"/>
      <c r="AX27" s="309"/>
      <c r="AY27" s="309"/>
      <c r="AZ27" s="309"/>
      <c r="BA27" s="309"/>
      <c r="BB27" s="309"/>
      <c r="BC27" s="309"/>
      <c r="BD27" s="309"/>
    </row>
    <row r="28" spans="1:56" hidden="1" outlineLevel="1" x14ac:dyDescent="0.25">
      <c r="A28" s="288"/>
      <c r="B28" s="2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308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309"/>
      <c r="AE28" s="309"/>
      <c r="AF28" s="309"/>
      <c r="AG28" s="309"/>
      <c r="AH28" s="309"/>
      <c r="AI28" s="309"/>
      <c r="AJ28" s="309"/>
      <c r="AK28" s="309"/>
      <c r="AL28" s="309"/>
      <c r="AM28" s="309"/>
      <c r="AN28" s="309"/>
      <c r="AO28" s="309"/>
      <c r="AP28" s="309"/>
      <c r="AQ28" s="309"/>
      <c r="AR28" s="309"/>
      <c r="AS28" s="308"/>
      <c r="AT28" s="309"/>
      <c r="AU28" s="309"/>
      <c r="AV28" s="309"/>
      <c r="AW28" s="309"/>
      <c r="AX28" s="309"/>
      <c r="AY28" s="309"/>
      <c r="AZ28" s="309"/>
      <c r="BA28" s="309"/>
      <c r="BB28" s="309"/>
      <c r="BC28" s="309"/>
      <c r="BD28" s="309"/>
    </row>
    <row r="29" spans="1:56" hidden="1" outlineLevel="1" x14ac:dyDescent="0.25">
      <c r="A29" s="288"/>
      <c r="B29" s="2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308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309"/>
      <c r="AE29" s="309"/>
      <c r="AF29" s="309"/>
      <c r="AG29" s="309"/>
      <c r="AH29" s="309"/>
      <c r="AI29" s="309"/>
      <c r="AJ29" s="309"/>
      <c r="AK29" s="309"/>
      <c r="AL29" s="309"/>
      <c r="AM29" s="309"/>
      <c r="AN29" s="309"/>
      <c r="AO29" s="309"/>
      <c r="AP29" s="309"/>
      <c r="AQ29" s="309"/>
      <c r="AR29" s="309"/>
      <c r="AS29" s="308"/>
      <c r="AT29" s="309"/>
      <c r="AU29" s="309"/>
      <c r="AV29" s="309"/>
      <c r="AW29" s="309"/>
      <c r="AX29" s="309"/>
      <c r="AY29" s="309"/>
      <c r="AZ29" s="309"/>
      <c r="BA29" s="309"/>
      <c r="BB29" s="309"/>
      <c r="BC29" s="309"/>
      <c r="BD29" s="309"/>
    </row>
    <row r="30" spans="1:56" hidden="1" outlineLevel="1" x14ac:dyDescent="0.25">
      <c r="A30" s="288"/>
      <c r="B30" s="2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308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309"/>
      <c r="AE30" s="309"/>
      <c r="AF30" s="309"/>
      <c r="AG30" s="309"/>
      <c r="AH30" s="309"/>
      <c r="AI30" s="309"/>
      <c r="AJ30" s="309"/>
      <c r="AK30" s="309"/>
      <c r="AL30" s="309"/>
      <c r="AM30" s="309"/>
      <c r="AN30" s="309"/>
      <c r="AO30" s="309"/>
      <c r="AP30" s="309"/>
      <c r="AQ30" s="309"/>
      <c r="AR30" s="309"/>
      <c r="AS30" s="308"/>
      <c r="AT30" s="309"/>
      <c r="AU30" s="309"/>
      <c r="AV30" s="309"/>
      <c r="AW30" s="309"/>
      <c r="AX30" s="309"/>
      <c r="AY30" s="309"/>
      <c r="AZ30" s="309"/>
      <c r="BA30" s="309"/>
      <c r="BB30" s="309"/>
      <c r="BC30" s="309"/>
      <c r="BD30" s="309"/>
    </row>
    <row r="31" spans="1:56" hidden="1" outlineLevel="1" x14ac:dyDescent="0.25">
      <c r="A31" s="288"/>
      <c r="B31" s="292"/>
      <c r="C31" s="192"/>
      <c r="D31" s="192"/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308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309"/>
      <c r="AE31" s="309"/>
      <c r="AF31" s="309"/>
      <c r="AG31" s="309"/>
      <c r="AH31" s="309"/>
      <c r="AI31" s="309"/>
      <c r="AJ31" s="309"/>
      <c r="AK31" s="309"/>
      <c r="AL31" s="309"/>
      <c r="AM31" s="309"/>
      <c r="AN31" s="309"/>
      <c r="AO31" s="309"/>
      <c r="AP31" s="309"/>
      <c r="AQ31" s="309"/>
      <c r="AR31" s="309"/>
      <c r="AS31" s="308"/>
      <c r="AT31" s="309"/>
      <c r="AU31" s="309"/>
      <c r="AV31" s="309"/>
      <c r="AW31" s="309"/>
      <c r="AX31" s="309"/>
      <c r="AY31" s="309"/>
      <c r="AZ31" s="309"/>
      <c r="BA31" s="309"/>
      <c r="BB31" s="309"/>
      <c r="BC31" s="309"/>
      <c r="BD31" s="309"/>
    </row>
    <row r="32" spans="1:56" hidden="1" outlineLevel="1" x14ac:dyDescent="0.25">
      <c r="A32" s="288"/>
      <c r="B32" s="292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308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309"/>
      <c r="AE32" s="309"/>
      <c r="AF32" s="309"/>
      <c r="AG32" s="309"/>
      <c r="AH32" s="309"/>
      <c r="AI32" s="309"/>
      <c r="AJ32" s="309"/>
      <c r="AK32" s="309"/>
      <c r="AL32" s="309"/>
      <c r="AM32" s="309"/>
      <c r="AN32" s="309"/>
      <c r="AO32" s="309"/>
      <c r="AP32" s="309"/>
      <c r="AQ32" s="309"/>
      <c r="AR32" s="309"/>
      <c r="AS32" s="308"/>
      <c r="AT32" s="309"/>
      <c r="AU32" s="309"/>
      <c r="AV32" s="309"/>
      <c r="AW32" s="309"/>
      <c r="AX32" s="309"/>
      <c r="AY32" s="309"/>
      <c r="AZ32" s="309"/>
      <c r="BA32" s="309"/>
      <c r="BB32" s="309"/>
      <c r="BC32" s="309"/>
      <c r="BD32" s="309"/>
    </row>
    <row r="33" spans="1:56" hidden="1" outlineLevel="1" x14ac:dyDescent="0.25">
      <c r="A33" s="288"/>
      <c r="B33" s="2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308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309"/>
      <c r="AE33" s="309"/>
      <c r="AF33" s="309"/>
      <c r="AG33" s="309"/>
      <c r="AH33" s="309"/>
      <c r="AI33" s="309"/>
      <c r="AJ33" s="309"/>
      <c r="AK33" s="309"/>
      <c r="AL33" s="309"/>
      <c r="AM33" s="309"/>
      <c r="AN33" s="309"/>
      <c r="AO33" s="309"/>
      <c r="AP33" s="309"/>
      <c r="AQ33" s="309"/>
      <c r="AR33" s="309"/>
      <c r="AS33" s="308"/>
      <c r="AT33" s="309"/>
      <c r="AU33" s="309"/>
      <c r="AV33" s="309"/>
      <c r="AW33" s="309"/>
      <c r="AX33" s="309"/>
      <c r="AY33" s="309"/>
      <c r="AZ33" s="309"/>
      <c r="BA33" s="309"/>
      <c r="BB33" s="309"/>
      <c r="BC33" s="309"/>
      <c r="BD33" s="309"/>
    </row>
    <row r="34" spans="1:56" hidden="1" outlineLevel="1" x14ac:dyDescent="0.25">
      <c r="A34" s="288"/>
      <c r="B34" s="292"/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308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309"/>
      <c r="AE34" s="309"/>
      <c r="AF34" s="309"/>
      <c r="AG34" s="309"/>
      <c r="AH34" s="309"/>
      <c r="AI34" s="309"/>
      <c r="AJ34" s="309"/>
      <c r="AK34" s="309"/>
      <c r="AL34" s="309"/>
      <c r="AM34" s="309"/>
      <c r="AN34" s="309"/>
      <c r="AO34" s="309"/>
      <c r="AP34" s="309"/>
      <c r="AQ34" s="309"/>
      <c r="AR34" s="309"/>
      <c r="AS34" s="308"/>
      <c r="AT34" s="309"/>
      <c r="AU34" s="309"/>
      <c r="AV34" s="309"/>
      <c r="AW34" s="309"/>
      <c r="AX34" s="309"/>
      <c r="AY34" s="309"/>
      <c r="AZ34" s="309"/>
      <c r="BA34" s="309"/>
      <c r="BB34" s="309"/>
      <c r="BC34" s="309"/>
      <c r="BD34" s="309"/>
    </row>
    <row r="35" spans="1:56" hidden="1" outlineLevel="1" x14ac:dyDescent="0.25">
      <c r="A35" s="288"/>
      <c r="B35" s="2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308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309"/>
      <c r="AE35" s="309"/>
      <c r="AF35" s="309"/>
      <c r="AG35" s="309"/>
      <c r="AH35" s="309"/>
      <c r="AI35" s="309"/>
      <c r="AJ35" s="309"/>
      <c r="AK35" s="309"/>
      <c r="AL35" s="309"/>
      <c r="AM35" s="309"/>
      <c r="AN35" s="309"/>
      <c r="AO35" s="309"/>
      <c r="AP35" s="309"/>
      <c r="AQ35" s="309"/>
      <c r="AR35" s="309"/>
      <c r="AS35" s="308"/>
      <c r="AT35" s="309"/>
      <c r="AU35" s="309"/>
      <c r="AV35" s="309"/>
      <c r="AW35" s="309"/>
      <c r="AX35" s="309"/>
      <c r="AY35" s="309"/>
      <c r="AZ35" s="309"/>
      <c r="BA35" s="309"/>
      <c r="BB35" s="309"/>
      <c r="BC35" s="309"/>
      <c r="BD35" s="309"/>
    </row>
    <row r="36" spans="1:56" hidden="1" outlineLevel="1" x14ac:dyDescent="0.25">
      <c r="A36" s="288"/>
      <c r="B36" s="292"/>
      <c r="C36" s="192"/>
      <c r="D36" s="192"/>
      <c r="E36" s="192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308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309"/>
      <c r="AE36" s="309"/>
      <c r="AF36" s="309"/>
      <c r="AG36" s="309"/>
      <c r="AH36" s="309"/>
      <c r="AI36" s="309"/>
      <c r="AJ36" s="309"/>
      <c r="AK36" s="309"/>
      <c r="AL36" s="309"/>
      <c r="AM36" s="309"/>
      <c r="AN36" s="309"/>
      <c r="AO36" s="309"/>
      <c r="AP36" s="309"/>
      <c r="AQ36" s="309"/>
      <c r="AR36" s="309"/>
      <c r="AS36" s="308"/>
      <c r="AT36" s="309"/>
      <c r="AU36" s="309"/>
      <c r="AV36" s="309"/>
      <c r="AW36" s="309"/>
      <c r="AX36" s="309"/>
      <c r="AY36" s="309"/>
      <c r="AZ36" s="309"/>
      <c r="BA36" s="309"/>
      <c r="BB36" s="309"/>
      <c r="BC36" s="309"/>
      <c r="BD36" s="309"/>
    </row>
    <row r="37" spans="1:56" hidden="1" outlineLevel="1" x14ac:dyDescent="0.25">
      <c r="A37" s="288"/>
      <c r="B37" s="292"/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308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309"/>
      <c r="AE37" s="309"/>
      <c r="AF37" s="309"/>
      <c r="AG37" s="309"/>
      <c r="AH37" s="309"/>
      <c r="AI37" s="309"/>
      <c r="AJ37" s="309"/>
      <c r="AK37" s="309"/>
      <c r="AL37" s="309"/>
      <c r="AM37" s="309"/>
      <c r="AN37" s="309"/>
      <c r="AO37" s="309"/>
      <c r="AP37" s="309"/>
      <c r="AQ37" s="309"/>
      <c r="AR37" s="309"/>
      <c r="AS37" s="308"/>
      <c r="AT37" s="309"/>
      <c r="AU37" s="309"/>
      <c r="AV37" s="309"/>
      <c r="AW37" s="309"/>
      <c r="AX37" s="309"/>
      <c r="AY37" s="309"/>
      <c r="AZ37" s="309"/>
      <c r="BA37" s="309"/>
      <c r="BB37" s="309"/>
      <c r="BC37" s="309"/>
      <c r="BD37" s="309"/>
    </row>
    <row r="38" spans="1:56" hidden="1" outlineLevel="1" x14ac:dyDescent="0.25">
      <c r="A38" s="288"/>
      <c r="B38" s="292"/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308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309"/>
      <c r="AE38" s="309"/>
      <c r="AF38" s="309"/>
      <c r="AG38" s="309"/>
      <c r="AH38" s="309"/>
      <c r="AI38" s="309"/>
      <c r="AJ38" s="309"/>
      <c r="AK38" s="309"/>
      <c r="AL38" s="309"/>
      <c r="AM38" s="309"/>
      <c r="AN38" s="309"/>
      <c r="AO38" s="309"/>
      <c r="AP38" s="309"/>
      <c r="AQ38" s="309"/>
      <c r="AR38" s="309"/>
      <c r="AS38" s="308"/>
      <c r="AT38" s="309"/>
      <c r="AU38" s="309"/>
      <c r="AV38" s="309"/>
      <c r="AW38" s="309"/>
      <c r="AX38" s="309"/>
      <c r="AY38" s="309"/>
      <c r="AZ38" s="309"/>
      <c r="BA38" s="309"/>
      <c r="BB38" s="309"/>
      <c r="BC38" s="309"/>
      <c r="BD38" s="309"/>
    </row>
    <row r="39" spans="1:56" hidden="1" outlineLevel="1" x14ac:dyDescent="0.25">
      <c r="A39" s="288"/>
      <c r="B39" s="292"/>
      <c r="C39" s="192"/>
      <c r="D39" s="192"/>
      <c r="E39" s="192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308"/>
      <c r="S39" s="192"/>
      <c r="T39" s="192"/>
      <c r="U39" s="192"/>
      <c r="V39" s="192"/>
      <c r="W39" s="192"/>
      <c r="X39" s="192"/>
      <c r="Y39" s="192"/>
      <c r="Z39" s="192"/>
      <c r="AA39" s="192"/>
      <c r="AB39" s="192"/>
      <c r="AC39" s="192"/>
      <c r="AD39" s="309"/>
      <c r="AE39" s="309"/>
      <c r="AF39" s="309"/>
      <c r="AG39" s="309"/>
      <c r="AH39" s="309"/>
      <c r="AI39" s="309"/>
      <c r="AJ39" s="309"/>
      <c r="AK39" s="309"/>
      <c r="AL39" s="309"/>
      <c r="AM39" s="309"/>
      <c r="AN39" s="309"/>
      <c r="AO39" s="309"/>
      <c r="AP39" s="309"/>
      <c r="AQ39" s="309"/>
      <c r="AR39" s="309"/>
      <c r="AS39" s="308"/>
      <c r="AT39" s="309"/>
      <c r="AU39" s="309"/>
      <c r="AV39" s="309"/>
      <c r="AW39" s="309"/>
      <c r="AX39" s="309"/>
      <c r="AY39" s="309"/>
      <c r="AZ39" s="309"/>
      <c r="BA39" s="309"/>
      <c r="BB39" s="309"/>
      <c r="BC39" s="309"/>
      <c r="BD39" s="309"/>
    </row>
    <row r="40" spans="1:56" hidden="1" outlineLevel="1" x14ac:dyDescent="0.25">
      <c r="A40" s="288"/>
      <c r="B40" s="292"/>
      <c r="C40" s="192"/>
      <c r="D40" s="192"/>
      <c r="E40" s="19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308"/>
      <c r="S40" s="192"/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309"/>
      <c r="AE40" s="309"/>
      <c r="AF40" s="309"/>
      <c r="AG40" s="309"/>
      <c r="AH40" s="309"/>
      <c r="AI40" s="309"/>
      <c r="AJ40" s="309"/>
      <c r="AK40" s="309"/>
      <c r="AL40" s="309"/>
      <c r="AM40" s="309"/>
      <c r="AN40" s="309"/>
      <c r="AO40" s="309"/>
      <c r="AP40" s="309"/>
      <c r="AQ40" s="309"/>
      <c r="AR40" s="309"/>
      <c r="AS40" s="308"/>
      <c r="AT40" s="309"/>
      <c r="AU40" s="309"/>
      <c r="AV40" s="309"/>
      <c r="AW40" s="309"/>
      <c r="AX40" s="309"/>
      <c r="AY40" s="309"/>
      <c r="AZ40" s="309"/>
      <c r="BA40" s="309"/>
      <c r="BB40" s="309"/>
      <c r="BC40" s="309"/>
      <c r="BD40" s="309"/>
    </row>
    <row r="41" spans="1:56" hidden="1" outlineLevel="1" x14ac:dyDescent="0.25">
      <c r="A41" s="288"/>
      <c r="B41" s="292"/>
      <c r="C41" s="192"/>
      <c r="D41" s="192"/>
      <c r="E41" s="192"/>
      <c r="F41" s="192"/>
      <c r="G41" s="192"/>
      <c r="H41" s="192"/>
      <c r="I41" s="192"/>
      <c r="J41" s="192"/>
      <c r="K41" s="192"/>
      <c r="L41" s="192"/>
      <c r="M41" s="192"/>
      <c r="N41" s="192"/>
      <c r="O41" s="192"/>
      <c r="P41" s="192"/>
      <c r="Q41" s="192"/>
      <c r="R41" s="308"/>
      <c r="S41" s="192"/>
      <c r="T41" s="192"/>
      <c r="U41" s="192"/>
      <c r="V41" s="192"/>
      <c r="W41" s="192"/>
      <c r="X41" s="192"/>
      <c r="Y41" s="192"/>
      <c r="Z41" s="192"/>
      <c r="AA41" s="192"/>
      <c r="AB41" s="192"/>
      <c r="AC41" s="192"/>
      <c r="AD41" s="309"/>
      <c r="AE41" s="309"/>
      <c r="AF41" s="309"/>
      <c r="AG41" s="309"/>
      <c r="AH41" s="309"/>
      <c r="AI41" s="309"/>
      <c r="AJ41" s="309"/>
      <c r="AK41" s="309"/>
      <c r="AL41" s="309"/>
      <c r="AM41" s="309"/>
      <c r="AN41" s="309"/>
      <c r="AO41" s="309"/>
      <c r="AP41" s="309"/>
      <c r="AQ41" s="309"/>
      <c r="AR41" s="309"/>
      <c r="AS41" s="308"/>
      <c r="AT41" s="309"/>
      <c r="AU41" s="309"/>
      <c r="AV41" s="309"/>
      <c r="AW41" s="309"/>
      <c r="AX41" s="309"/>
      <c r="AY41" s="309"/>
      <c r="AZ41" s="309"/>
      <c r="BA41" s="309"/>
      <c r="BB41" s="309"/>
      <c r="BC41" s="309"/>
      <c r="BD41" s="309"/>
    </row>
    <row r="42" spans="1:56" hidden="1" outlineLevel="1" x14ac:dyDescent="0.25">
      <c r="A42" s="288"/>
      <c r="B42" s="292"/>
      <c r="C42" s="192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308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309"/>
      <c r="AE42" s="309"/>
      <c r="AF42" s="309"/>
      <c r="AG42" s="309"/>
      <c r="AH42" s="309"/>
      <c r="AI42" s="309"/>
      <c r="AJ42" s="309"/>
      <c r="AK42" s="309"/>
      <c r="AL42" s="309"/>
      <c r="AM42" s="309"/>
      <c r="AN42" s="309"/>
      <c r="AO42" s="309"/>
      <c r="AP42" s="309"/>
      <c r="AQ42" s="309"/>
      <c r="AR42" s="309"/>
      <c r="AS42" s="308"/>
      <c r="AT42" s="309"/>
      <c r="AU42" s="309"/>
      <c r="AV42" s="309"/>
      <c r="AW42" s="309"/>
      <c r="AX42" s="309"/>
      <c r="AY42" s="309"/>
      <c r="AZ42" s="309"/>
      <c r="BA42" s="309"/>
      <c r="BB42" s="309"/>
      <c r="BC42" s="309"/>
      <c r="BD42" s="309"/>
    </row>
    <row r="43" spans="1:56" hidden="1" outlineLevel="1" x14ac:dyDescent="0.25">
      <c r="A43" s="288"/>
      <c r="B43" s="292"/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R43" s="308"/>
      <c r="S43" s="192"/>
      <c r="T43" s="192"/>
      <c r="U43" s="192"/>
      <c r="V43" s="192"/>
      <c r="W43" s="192"/>
      <c r="X43" s="192"/>
      <c r="Y43" s="192"/>
      <c r="Z43" s="192"/>
      <c r="AA43" s="192"/>
      <c r="AB43" s="192"/>
      <c r="AC43" s="192"/>
      <c r="AD43" s="309"/>
      <c r="AE43" s="309"/>
      <c r="AF43" s="309"/>
      <c r="AG43" s="309"/>
      <c r="AH43" s="309"/>
      <c r="AI43" s="309"/>
      <c r="AJ43" s="309"/>
      <c r="AK43" s="309"/>
      <c r="AL43" s="309"/>
      <c r="AM43" s="309"/>
      <c r="AN43" s="309"/>
      <c r="AO43" s="309"/>
      <c r="AP43" s="309"/>
      <c r="AQ43" s="309"/>
      <c r="AR43" s="309"/>
      <c r="AS43" s="308"/>
      <c r="AT43" s="309"/>
      <c r="AU43" s="309"/>
      <c r="AV43" s="309"/>
      <c r="AW43" s="309"/>
      <c r="AX43" s="309"/>
      <c r="AY43" s="309"/>
      <c r="AZ43" s="309"/>
      <c r="BA43" s="309"/>
      <c r="BB43" s="309"/>
      <c r="BC43" s="309"/>
      <c r="BD43" s="309"/>
    </row>
    <row r="44" spans="1:56" hidden="1" outlineLevel="1" x14ac:dyDescent="0.25">
      <c r="A44" s="288"/>
      <c r="B44" s="292"/>
      <c r="C44" s="192"/>
      <c r="D44" s="192"/>
      <c r="E44" s="192"/>
      <c r="F44" s="192"/>
      <c r="G44" s="192"/>
      <c r="H44" s="192"/>
      <c r="I44" s="192"/>
      <c r="J44" s="192"/>
      <c r="K44" s="192"/>
      <c r="L44" s="192"/>
      <c r="M44" s="192"/>
      <c r="N44" s="192"/>
      <c r="O44" s="192"/>
      <c r="P44" s="192"/>
      <c r="Q44" s="192"/>
      <c r="R44" s="308"/>
      <c r="S44" s="192"/>
      <c r="T44" s="192"/>
      <c r="U44" s="192"/>
      <c r="V44" s="192"/>
      <c r="W44" s="192"/>
      <c r="X44" s="192"/>
      <c r="Y44" s="192"/>
      <c r="Z44" s="192"/>
      <c r="AA44" s="192"/>
      <c r="AB44" s="192"/>
      <c r="AC44" s="192"/>
      <c r="AD44" s="309"/>
      <c r="AE44" s="309"/>
      <c r="AF44" s="309"/>
      <c r="AG44" s="309"/>
      <c r="AH44" s="309"/>
      <c r="AI44" s="309"/>
      <c r="AJ44" s="309"/>
      <c r="AK44" s="309"/>
      <c r="AL44" s="309"/>
      <c r="AM44" s="309"/>
      <c r="AN44" s="309"/>
      <c r="AO44" s="309"/>
      <c r="AP44" s="309"/>
      <c r="AQ44" s="309"/>
      <c r="AR44" s="309"/>
      <c r="AS44" s="308"/>
      <c r="AT44" s="309"/>
      <c r="AU44" s="309"/>
      <c r="AV44" s="309"/>
      <c r="AW44" s="309"/>
      <c r="AX44" s="309"/>
      <c r="AY44" s="309"/>
      <c r="AZ44" s="309"/>
      <c r="BA44" s="309"/>
      <c r="BB44" s="309"/>
      <c r="BC44" s="309"/>
      <c r="BD44" s="309"/>
    </row>
    <row r="45" spans="1:56" hidden="1" outlineLevel="1" x14ac:dyDescent="0.25">
      <c r="A45" s="288"/>
      <c r="B45" s="292"/>
      <c r="C45" s="192"/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308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309"/>
      <c r="AE45" s="309"/>
      <c r="AF45" s="309"/>
      <c r="AG45" s="309"/>
      <c r="AH45" s="309"/>
      <c r="AI45" s="309"/>
      <c r="AJ45" s="309"/>
      <c r="AK45" s="309"/>
      <c r="AL45" s="309"/>
      <c r="AM45" s="309"/>
      <c r="AN45" s="309"/>
      <c r="AO45" s="309"/>
      <c r="AP45" s="309"/>
      <c r="AQ45" s="309"/>
      <c r="AR45" s="309"/>
      <c r="AS45" s="308"/>
      <c r="AT45" s="309"/>
      <c r="AU45" s="309"/>
      <c r="AV45" s="309"/>
      <c r="AW45" s="309"/>
      <c r="AX45" s="309"/>
      <c r="AY45" s="309"/>
      <c r="AZ45" s="309"/>
      <c r="BA45" s="309"/>
      <c r="BB45" s="309"/>
      <c r="BC45" s="309"/>
      <c r="BD45" s="309"/>
    </row>
    <row r="46" spans="1:56" hidden="1" outlineLevel="1" x14ac:dyDescent="0.25">
      <c r="A46" s="288"/>
      <c r="B46" s="292"/>
      <c r="C46" s="192"/>
      <c r="D46" s="192"/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308"/>
      <c r="S46" s="192"/>
      <c r="T46" s="192"/>
      <c r="U46" s="192"/>
      <c r="V46" s="192"/>
      <c r="W46" s="192"/>
      <c r="X46" s="192"/>
      <c r="Y46" s="192"/>
      <c r="Z46" s="192"/>
      <c r="AA46" s="192"/>
      <c r="AB46" s="192"/>
      <c r="AC46" s="192"/>
      <c r="AD46" s="309"/>
      <c r="AE46" s="309"/>
      <c r="AF46" s="309"/>
      <c r="AG46" s="309"/>
      <c r="AH46" s="309"/>
      <c r="AI46" s="309"/>
      <c r="AJ46" s="309"/>
      <c r="AK46" s="309"/>
      <c r="AL46" s="309"/>
      <c r="AM46" s="309"/>
      <c r="AN46" s="309"/>
      <c r="AO46" s="309"/>
      <c r="AP46" s="309"/>
      <c r="AQ46" s="309"/>
      <c r="AR46" s="309"/>
      <c r="AS46" s="308"/>
      <c r="AT46" s="309"/>
      <c r="AU46" s="309"/>
      <c r="AV46" s="309"/>
      <c r="AW46" s="309"/>
      <c r="AX46" s="309"/>
      <c r="AY46" s="309"/>
      <c r="AZ46" s="309"/>
      <c r="BA46" s="309"/>
      <c r="BB46" s="309"/>
      <c r="BC46" s="309"/>
      <c r="BD46" s="309"/>
    </row>
    <row r="47" spans="1:56" hidden="1" outlineLevel="1" x14ac:dyDescent="0.25">
      <c r="A47" s="288"/>
      <c r="B47" s="292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308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309"/>
      <c r="AE47" s="309"/>
      <c r="AF47" s="309"/>
      <c r="AG47" s="309"/>
      <c r="AH47" s="309"/>
      <c r="AI47" s="309"/>
      <c r="AJ47" s="309"/>
      <c r="AK47" s="309"/>
      <c r="AL47" s="309"/>
      <c r="AM47" s="309"/>
      <c r="AN47" s="309"/>
      <c r="AO47" s="309"/>
      <c r="AP47" s="309"/>
      <c r="AQ47" s="309"/>
      <c r="AR47" s="309"/>
      <c r="AS47" s="308"/>
      <c r="AT47" s="309"/>
      <c r="AU47" s="309"/>
      <c r="AV47" s="309"/>
      <c r="AW47" s="309"/>
      <c r="AX47" s="309"/>
      <c r="AY47" s="309"/>
      <c r="AZ47" s="309"/>
      <c r="BA47" s="309"/>
      <c r="BB47" s="309"/>
      <c r="BC47" s="309"/>
      <c r="BD47" s="309"/>
    </row>
    <row r="48" spans="1:56" hidden="1" outlineLevel="1" x14ac:dyDescent="0.25">
      <c r="A48" s="288"/>
      <c r="B48" s="292"/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308"/>
      <c r="S48" s="192"/>
      <c r="T48" s="192"/>
      <c r="U48" s="192"/>
      <c r="V48" s="192"/>
      <c r="W48" s="192"/>
      <c r="X48" s="192"/>
      <c r="Y48" s="192"/>
      <c r="Z48" s="192"/>
      <c r="AA48" s="192"/>
      <c r="AB48" s="192"/>
      <c r="AC48" s="192"/>
      <c r="AD48" s="309"/>
      <c r="AE48" s="309"/>
      <c r="AF48" s="309"/>
      <c r="AG48" s="309"/>
      <c r="AH48" s="309"/>
      <c r="AI48" s="309"/>
      <c r="AJ48" s="309"/>
      <c r="AK48" s="309"/>
      <c r="AL48" s="309"/>
      <c r="AM48" s="309"/>
      <c r="AN48" s="309"/>
      <c r="AO48" s="309"/>
      <c r="AP48" s="309"/>
      <c r="AQ48" s="309"/>
      <c r="AR48" s="309"/>
      <c r="AS48" s="308"/>
      <c r="AT48" s="309"/>
      <c r="AU48" s="309"/>
      <c r="AV48" s="309"/>
      <c r="AW48" s="309"/>
      <c r="AX48" s="309"/>
      <c r="AY48" s="309"/>
      <c r="AZ48" s="309"/>
      <c r="BA48" s="309"/>
      <c r="BB48" s="309"/>
      <c r="BC48" s="309"/>
      <c r="BD48" s="309"/>
    </row>
    <row r="49" spans="1:56" hidden="1" outlineLevel="1" x14ac:dyDescent="0.25">
      <c r="A49" s="288"/>
      <c r="B49" s="292"/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308"/>
      <c r="S49" s="192"/>
      <c r="T49" s="192"/>
      <c r="U49" s="192"/>
      <c r="V49" s="192"/>
      <c r="W49" s="192"/>
      <c r="X49" s="192"/>
      <c r="Y49" s="192"/>
      <c r="Z49" s="192"/>
      <c r="AA49" s="192"/>
      <c r="AB49" s="192"/>
      <c r="AC49" s="192"/>
      <c r="AD49" s="309"/>
      <c r="AE49" s="309"/>
      <c r="AF49" s="309"/>
      <c r="AG49" s="309"/>
      <c r="AH49" s="309"/>
      <c r="AI49" s="309"/>
      <c r="AJ49" s="309"/>
      <c r="AK49" s="309"/>
      <c r="AL49" s="309"/>
      <c r="AM49" s="309"/>
      <c r="AN49" s="309"/>
      <c r="AO49" s="309"/>
      <c r="AP49" s="309"/>
      <c r="AQ49" s="309"/>
      <c r="AR49" s="309"/>
      <c r="AS49" s="308"/>
      <c r="AT49" s="309"/>
      <c r="AU49" s="309"/>
      <c r="AV49" s="309"/>
      <c r="AW49" s="309"/>
      <c r="AX49" s="309"/>
      <c r="AY49" s="309"/>
      <c r="AZ49" s="309"/>
      <c r="BA49" s="309"/>
      <c r="BB49" s="309"/>
      <c r="BC49" s="309"/>
      <c r="BD49" s="309"/>
    </row>
    <row r="50" spans="1:56" hidden="1" outlineLevel="1" x14ac:dyDescent="0.25">
      <c r="A50" s="288"/>
      <c r="B50" s="292"/>
      <c r="C50" s="192"/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308"/>
      <c r="S50" s="192"/>
      <c r="T50" s="192"/>
      <c r="U50" s="192"/>
      <c r="V50" s="192"/>
      <c r="W50" s="192"/>
      <c r="X50" s="192"/>
      <c r="Y50" s="192"/>
      <c r="Z50" s="192"/>
      <c r="AA50" s="192"/>
      <c r="AB50" s="192"/>
      <c r="AC50" s="192"/>
      <c r="AD50" s="309"/>
      <c r="AE50" s="309"/>
      <c r="AF50" s="309"/>
      <c r="AG50" s="309"/>
      <c r="AH50" s="309"/>
      <c r="AI50" s="309"/>
      <c r="AJ50" s="309"/>
      <c r="AK50" s="309"/>
      <c r="AL50" s="309"/>
      <c r="AM50" s="309"/>
      <c r="AN50" s="309"/>
      <c r="AO50" s="309"/>
      <c r="AP50" s="309"/>
      <c r="AQ50" s="309"/>
      <c r="AR50" s="309"/>
      <c r="AS50" s="308"/>
      <c r="AT50" s="309"/>
      <c r="AU50" s="309"/>
      <c r="AV50" s="309"/>
      <c r="AW50" s="309"/>
      <c r="AX50" s="309"/>
      <c r="AY50" s="309"/>
      <c r="AZ50" s="309"/>
      <c r="BA50" s="309"/>
      <c r="BB50" s="309"/>
      <c r="BC50" s="309"/>
      <c r="BD50" s="309"/>
    </row>
    <row r="51" spans="1:56" hidden="1" outlineLevel="1" x14ac:dyDescent="0.25">
      <c r="A51" s="288"/>
      <c r="B51" s="292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308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309"/>
      <c r="AE51" s="309"/>
      <c r="AF51" s="309"/>
      <c r="AG51" s="309"/>
      <c r="AH51" s="309"/>
      <c r="AI51" s="309"/>
      <c r="AJ51" s="309"/>
      <c r="AK51" s="309"/>
      <c r="AL51" s="309"/>
      <c r="AM51" s="309"/>
      <c r="AN51" s="309"/>
      <c r="AO51" s="309"/>
      <c r="AP51" s="309"/>
      <c r="AQ51" s="309"/>
      <c r="AR51" s="309"/>
      <c r="AS51" s="308"/>
      <c r="AT51" s="309"/>
      <c r="AU51" s="309"/>
      <c r="AV51" s="309"/>
      <c r="AW51" s="309"/>
      <c r="AX51" s="309"/>
      <c r="AY51" s="309"/>
      <c r="AZ51" s="309"/>
      <c r="BA51" s="309"/>
      <c r="BB51" s="309"/>
      <c r="BC51" s="309"/>
      <c r="BD51" s="309"/>
    </row>
    <row r="52" spans="1:56" hidden="1" outlineLevel="1" x14ac:dyDescent="0.25">
      <c r="A52" s="288"/>
      <c r="B52" s="292"/>
      <c r="C52" s="192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308"/>
      <c r="S52" s="192"/>
      <c r="T52" s="192"/>
      <c r="U52" s="192"/>
      <c r="V52" s="192"/>
      <c r="W52" s="192"/>
      <c r="X52" s="192"/>
      <c r="Y52" s="192"/>
      <c r="Z52" s="192"/>
      <c r="AA52" s="192"/>
      <c r="AB52" s="192"/>
      <c r="AC52" s="192"/>
      <c r="AD52" s="309"/>
      <c r="AE52" s="309"/>
      <c r="AF52" s="309"/>
      <c r="AG52" s="309"/>
      <c r="AH52" s="309"/>
      <c r="AI52" s="309"/>
      <c r="AJ52" s="309"/>
      <c r="AK52" s="309"/>
      <c r="AL52" s="309"/>
      <c r="AM52" s="309"/>
      <c r="AN52" s="309"/>
      <c r="AO52" s="309"/>
      <c r="AP52" s="309"/>
      <c r="AQ52" s="309"/>
      <c r="AR52" s="309"/>
      <c r="AS52" s="308"/>
      <c r="AT52" s="309"/>
      <c r="AU52" s="309"/>
      <c r="AV52" s="309"/>
      <c r="AW52" s="309"/>
      <c r="AX52" s="309"/>
      <c r="AY52" s="309"/>
      <c r="AZ52" s="309"/>
      <c r="BA52" s="309"/>
      <c r="BB52" s="309"/>
      <c r="BC52" s="309"/>
      <c r="BD52" s="309"/>
    </row>
    <row r="53" spans="1:56" hidden="1" outlineLevel="1" x14ac:dyDescent="0.25">
      <c r="A53" s="288"/>
      <c r="B53" s="292"/>
      <c r="C53" s="192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308"/>
      <c r="S53" s="192"/>
      <c r="T53" s="192"/>
      <c r="U53" s="192"/>
      <c r="V53" s="192"/>
      <c r="W53" s="192"/>
      <c r="X53" s="192"/>
      <c r="Y53" s="192"/>
      <c r="Z53" s="192"/>
      <c r="AA53" s="192"/>
      <c r="AB53" s="192"/>
      <c r="AC53" s="192"/>
      <c r="AD53" s="309"/>
      <c r="AE53" s="309"/>
      <c r="AF53" s="309"/>
      <c r="AG53" s="309"/>
      <c r="AH53" s="309"/>
      <c r="AI53" s="309"/>
      <c r="AJ53" s="309"/>
      <c r="AK53" s="309"/>
      <c r="AL53" s="309"/>
      <c r="AM53" s="309"/>
      <c r="AN53" s="309"/>
      <c r="AO53" s="309"/>
      <c r="AP53" s="309"/>
      <c r="AQ53" s="309"/>
      <c r="AR53" s="309"/>
      <c r="AS53" s="308"/>
      <c r="AT53" s="309"/>
      <c r="AU53" s="309"/>
      <c r="AV53" s="309"/>
      <c r="AW53" s="309"/>
      <c r="AX53" s="309"/>
      <c r="AY53" s="309"/>
      <c r="AZ53" s="309"/>
      <c r="BA53" s="309"/>
      <c r="BB53" s="309"/>
      <c r="BC53" s="309"/>
      <c r="BD53" s="309"/>
    </row>
    <row r="54" spans="1:56" hidden="1" outlineLevel="1" x14ac:dyDescent="0.25">
      <c r="A54" s="288"/>
      <c r="B54" s="292"/>
      <c r="C54" s="192"/>
      <c r="D54" s="192"/>
      <c r="E54" s="192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308"/>
      <c r="S54" s="192"/>
      <c r="T54" s="192"/>
      <c r="U54" s="192"/>
      <c r="V54" s="192"/>
      <c r="W54" s="192"/>
      <c r="X54" s="192"/>
      <c r="Y54" s="192"/>
      <c r="Z54" s="192"/>
      <c r="AA54" s="192"/>
      <c r="AB54" s="192"/>
      <c r="AC54" s="192"/>
      <c r="AD54" s="309"/>
      <c r="AE54" s="309"/>
      <c r="AF54" s="309"/>
      <c r="AG54" s="309"/>
      <c r="AH54" s="309"/>
      <c r="AI54" s="309"/>
      <c r="AJ54" s="309"/>
      <c r="AK54" s="309"/>
      <c r="AL54" s="309"/>
      <c r="AM54" s="309"/>
      <c r="AN54" s="309"/>
      <c r="AO54" s="309"/>
      <c r="AP54" s="309"/>
      <c r="AQ54" s="309"/>
      <c r="AR54" s="309"/>
      <c r="AS54" s="308"/>
      <c r="AT54" s="309"/>
      <c r="AU54" s="309"/>
      <c r="AV54" s="309"/>
      <c r="AW54" s="309"/>
      <c r="AX54" s="309"/>
      <c r="AY54" s="309"/>
      <c r="AZ54" s="309"/>
      <c r="BA54" s="309"/>
      <c r="BB54" s="309"/>
      <c r="BC54" s="309"/>
      <c r="BD54" s="309"/>
    </row>
    <row r="55" spans="1:56" hidden="1" outlineLevel="1" x14ac:dyDescent="0.25">
      <c r="A55" s="288"/>
      <c r="B55" s="292"/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308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309"/>
      <c r="AE55" s="309"/>
      <c r="AF55" s="309"/>
      <c r="AG55" s="309"/>
      <c r="AH55" s="309"/>
      <c r="AI55" s="309"/>
      <c r="AJ55" s="309"/>
      <c r="AK55" s="309"/>
      <c r="AL55" s="309"/>
      <c r="AM55" s="309"/>
      <c r="AN55" s="309"/>
      <c r="AO55" s="309"/>
      <c r="AP55" s="309"/>
      <c r="AQ55" s="309"/>
      <c r="AR55" s="309"/>
      <c r="AS55" s="308"/>
      <c r="AT55" s="309"/>
      <c r="AU55" s="309"/>
      <c r="AV55" s="309"/>
      <c r="AW55" s="309"/>
      <c r="AX55" s="309"/>
      <c r="AY55" s="309"/>
      <c r="AZ55" s="309"/>
      <c r="BA55" s="309"/>
      <c r="BB55" s="309"/>
      <c r="BC55" s="309"/>
      <c r="BD55" s="309"/>
    </row>
    <row r="56" spans="1:56" hidden="1" outlineLevel="1" x14ac:dyDescent="0.25">
      <c r="A56" s="288"/>
      <c r="B56" s="292"/>
      <c r="C56" s="192"/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308"/>
      <c r="S56" s="192"/>
      <c r="T56" s="192"/>
      <c r="U56" s="192"/>
      <c r="V56" s="192"/>
      <c r="W56" s="192"/>
      <c r="X56" s="192"/>
      <c r="Y56" s="192"/>
      <c r="Z56" s="192"/>
      <c r="AA56" s="192"/>
      <c r="AB56" s="192"/>
      <c r="AC56" s="192"/>
      <c r="AD56" s="309"/>
      <c r="AE56" s="309"/>
      <c r="AF56" s="309"/>
      <c r="AG56" s="309"/>
      <c r="AH56" s="309"/>
      <c r="AI56" s="309"/>
      <c r="AJ56" s="309"/>
      <c r="AK56" s="309"/>
      <c r="AL56" s="309"/>
      <c r="AM56" s="309"/>
      <c r="AN56" s="309"/>
      <c r="AO56" s="309"/>
      <c r="AP56" s="309"/>
      <c r="AQ56" s="309"/>
      <c r="AR56" s="309"/>
      <c r="AS56" s="308"/>
      <c r="AT56" s="309"/>
      <c r="AU56" s="309"/>
      <c r="AV56" s="309"/>
      <c r="AW56" s="309"/>
      <c r="AX56" s="309"/>
      <c r="AY56" s="309"/>
      <c r="AZ56" s="309"/>
      <c r="BA56" s="309"/>
      <c r="BB56" s="309"/>
      <c r="BC56" s="309"/>
      <c r="BD56" s="309"/>
    </row>
    <row r="57" spans="1:56" hidden="1" outlineLevel="1" x14ac:dyDescent="0.25">
      <c r="A57" s="288"/>
      <c r="B57" s="292"/>
      <c r="C57" s="192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308"/>
      <c r="S57" s="192"/>
      <c r="T57" s="192"/>
      <c r="U57" s="192"/>
      <c r="V57" s="192"/>
      <c r="W57" s="192"/>
      <c r="X57" s="192"/>
      <c r="Y57" s="192"/>
      <c r="Z57" s="192"/>
      <c r="AA57" s="192"/>
      <c r="AB57" s="192"/>
      <c r="AC57" s="192"/>
      <c r="AD57" s="309"/>
      <c r="AE57" s="309"/>
      <c r="AF57" s="309"/>
      <c r="AG57" s="309"/>
      <c r="AH57" s="309"/>
      <c r="AI57" s="309"/>
      <c r="AJ57" s="309"/>
      <c r="AK57" s="309"/>
      <c r="AL57" s="309"/>
      <c r="AM57" s="309"/>
      <c r="AN57" s="309"/>
      <c r="AO57" s="309"/>
      <c r="AP57" s="309"/>
      <c r="AQ57" s="309"/>
      <c r="AR57" s="309"/>
      <c r="AS57" s="308"/>
      <c r="AT57" s="309"/>
      <c r="AU57" s="309"/>
      <c r="AV57" s="309"/>
      <c r="AW57" s="309"/>
      <c r="AX57" s="309"/>
      <c r="AY57" s="309"/>
      <c r="AZ57" s="309"/>
      <c r="BA57" s="309"/>
      <c r="BB57" s="309"/>
      <c r="BC57" s="309"/>
      <c r="BD57" s="309"/>
    </row>
    <row r="58" spans="1:56" hidden="1" outlineLevel="1" x14ac:dyDescent="0.25">
      <c r="A58" s="288"/>
      <c r="B58" s="292"/>
      <c r="C58" s="192"/>
      <c r="D58" s="192"/>
      <c r="E58" s="192"/>
      <c r="F58" s="192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308"/>
      <c r="S58" s="192"/>
      <c r="T58" s="192"/>
      <c r="U58" s="192"/>
      <c r="V58" s="192"/>
      <c r="W58" s="192"/>
      <c r="X58" s="192"/>
      <c r="Y58" s="192"/>
      <c r="Z58" s="192"/>
      <c r="AA58" s="192"/>
      <c r="AB58" s="192"/>
      <c r="AC58" s="192"/>
      <c r="AD58" s="309"/>
      <c r="AE58" s="309"/>
      <c r="AF58" s="309"/>
      <c r="AG58" s="309"/>
      <c r="AH58" s="309"/>
      <c r="AI58" s="309"/>
      <c r="AJ58" s="309"/>
      <c r="AK58" s="309"/>
      <c r="AL58" s="309"/>
      <c r="AM58" s="309"/>
      <c r="AN58" s="309"/>
      <c r="AO58" s="309"/>
      <c r="AP58" s="309"/>
      <c r="AQ58" s="309"/>
      <c r="AR58" s="309"/>
      <c r="AS58" s="308"/>
      <c r="AT58" s="309"/>
      <c r="AU58" s="309"/>
      <c r="AV58" s="309"/>
      <c r="AW58" s="309"/>
      <c r="AX58" s="309"/>
      <c r="AY58" s="309"/>
      <c r="AZ58" s="309"/>
      <c r="BA58" s="309"/>
      <c r="BB58" s="309"/>
      <c r="BC58" s="309"/>
      <c r="BD58" s="309"/>
    </row>
    <row r="59" spans="1:56" hidden="1" outlineLevel="1" x14ac:dyDescent="0.25">
      <c r="A59" s="288"/>
      <c r="B59" s="292"/>
      <c r="C59" s="192"/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308"/>
      <c r="S59" s="192"/>
      <c r="T59" s="192"/>
      <c r="U59" s="192"/>
      <c r="V59" s="192"/>
      <c r="W59" s="192"/>
      <c r="X59" s="192"/>
      <c r="Y59" s="192"/>
      <c r="Z59" s="192"/>
      <c r="AA59" s="192"/>
      <c r="AB59" s="192"/>
      <c r="AC59" s="192"/>
      <c r="AD59" s="309"/>
      <c r="AE59" s="309"/>
      <c r="AF59" s="309"/>
      <c r="AG59" s="309"/>
      <c r="AH59" s="309"/>
      <c r="AI59" s="309"/>
      <c r="AJ59" s="309"/>
      <c r="AK59" s="309"/>
      <c r="AL59" s="309"/>
      <c r="AM59" s="309"/>
      <c r="AN59" s="309"/>
      <c r="AO59" s="309"/>
      <c r="AP59" s="309"/>
      <c r="AQ59" s="309"/>
      <c r="AR59" s="309"/>
      <c r="AS59" s="308"/>
      <c r="AT59" s="309"/>
      <c r="AU59" s="309"/>
      <c r="AV59" s="309"/>
      <c r="AW59" s="309"/>
      <c r="AX59" s="309"/>
      <c r="AY59" s="309"/>
      <c r="AZ59" s="309"/>
      <c r="BA59" s="309"/>
      <c r="BB59" s="309"/>
      <c r="BC59" s="309"/>
      <c r="BD59" s="309"/>
    </row>
    <row r="60" spans="1:56" hidden="1" outlineLevel="1" x14ac:dyDescent="0.25">
      <c r="A60" s="288"/>
      <c r="B60" s="2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308"/>
      <c r="S60" s="192"/>
      <c r="T60" s="192"/>
      <c r="U60" s="192"/>
      <c r="V60" s="192"/>
      <c r="W60" s="192"/>
      <c r="X60" s="192"/>
      <c r="Y60" s="192"/>
      <c r="Z60" s="192"/>
      <c r="AA60" s="192"/>
      <c r="AB60" s="192"/>
      <c r="AC60" s="192"/>
      <c r="AD60" s="309"/>
      <c r="AE60" s="309"/>
      <c r="AF60" s="309"/>
      <c r="AG60" s="309"/>
      <c r="AH60" s="309"/>
      <c r="AI60" s="309"/>
      <c r="AJ60" s="309"/>
      <c r="AK60" s="309"/>
      <c r="AL60" s="309"/>
      <c r="AM60" s="309"/>
      <c r="AN60" s="309"/>
      <c r="AO60" s="309"/>
      <c r="AP60" s="309"/>
      <c r="AQ60" s="309"/>
      <c r="AR60" s="309"/>
      <c r="AS60" s="308"/>
      <c r="AT60" s="309"/>
      <c r="AU60" s="309"/>
      <c r="AV60" s="309"/>
      <c r="AW60" s="309"/>
      <c r="AX60" s="309"/>
      <c r="AY60" s="309"/>
      <c r="AZ60" s="309"/>
      <c r="BA60" s="309"/>
      <c r="BB60" s="309"/>
      <c r="BC60" s="309"/>
      <c r="BD60" s="309"/>
    </row>
    <row r="61" spans="1:56" hidden="1" outlineLevel="1" x14ac:dyDescent="0.25">
      <c r="A61" s="288"/>
      <c r="B61" s="2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308"/>
      <c r="S61" s="192"/>
      <c r="T61" s="192"/>
      <c r="U61" s="192"/>
      <c r="V61" s="192"/>
      <c r="W61" s="192"/>
      <c r="X61" s="192"/>
      <c r="Y61" s="192"/>
      <c r="Z61" s="192"/>
      <c r="AA61" s="192"/>
      <c r="AB61" s="192"/>
      <c r="AC61" s="192"/>
      <c r="AD61" s="309"/>
      <c r="AE61" s="309"/>
      <c r="AF61" s="309"/>
      <c r="AG61" s="309"/>
      <c r="AH61" s="309"/>
      <c r="AI61" s="309"/>
      <c r="AJ61" s="309"/>
      <c r="AK61" s="309"/>
      <c r="AL61" s="309"/>
      <c r="AM61" s="309"/>
      <c r="AN61" s="309"/>
      <c r="AO61" s="309"/>
      <c r="AP61" s="309"/>
      <c r="AQ61" s="309"/>
      <c r="AR61" s="309"/>
      <c r="AS61" s="308"/>
      <c r="AT61" s="309"/>
      <c r="AU61" s="309"/>
      <c r="AV61" s="309"/>
      <c r="AW61" s="309"/>
      <c r="AX61" s="309"/>
      <c r="AY61" s="309"/>
      <c r="AZ61" s="309"/>
      <c r="BA61" s="309"/>
      <c r="BB61" s="309"/>
      <c r="BC61" s="309"/>
      <c r="BD61" s="309"/>
    </row>
    <row r="62" spans="1:56" hidden="1" outlineLevel="1" x14ac:dyDescent="0.25">
      <c r="A62" s="288"/>
      <c r="B62" s="2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308"/>
      <c r="S62" s="192"/>
      <c r="T62" s="192"/>
      <c r="U62" s="192"/>
      <c r="V62" s="192"/>
      <c r="W62" s="192"/>
      <c r="X62" s="192"/>
      <c r="Y62" s="192"/>
      <c r="Z62" s="192"/>
      <c r="AA62" s="192"/>
      <c r="AB62" s="192"/>
      <c r="AC62" s="192"/>
      <c r="AD62" s="309"/>
      <c r="AE62" s="309"/>
      <c r="AF62" s="309"/>
      <c r="AG62" s="309"/>
      <c r="AH62" s="309"/>
      <c r="AI62" s="309"/>
      <c r="AJ62" s="309"/>
      <c r="AK62" s="309"/>
      <c r="AL62" s="309"/>
      <c r="AM62" s="309"/>
      <c r="AN62" s="309"/>
      <c r="AO62" s="309"/>
      <c r="AP62" s="309"/>
      <c r="AQ62" s="309"/>
      <c r="AR62" s="309"/>
      <c r="AS62" s="308"/>
      <c r="AT62" s="309"/>
      <c r="AU62" s="309"/>
      <c r="AV62" s="309"/>
      <c r="AW62" s="309"/>
      <c r="AX62" s="309"/>
      <c r="AY62" s="309"/>
      <c r="AZ62" s="309"/>
      <c r="BA62" s="309"/>
      <c r="BB62" s="309"/>
      <c r="BC62" s="309"/>
      <c r="BD62" s="309"/>
    </row>
    <row r="63" spans="1:56" hidden="1" outlineLevel="1" x14ac:dyDescent="0.25">
      <c r="A63" s="288"/>
      <c r="B63" s="292"/>
      <c r="C63" s="192"/>
      <c r="D63" s="192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308"/>
      <c r="S63" s="192"/>
      <c r="T63" s="192"/>
      <c r="U63" s="192"/>
      <c r="V63" s="192"/>
      <c r="W63" s="192"/>
      <c r="X63" s="192"/>
      <c r="Y63" s="192"/>
      <c r="Z63" s="192"/>
      <c r="AA63" s="192"/>
      <c r="AB63" s="192"/>
      <c r="AC63" s="192"/>
      <c r="AD63" s="309"/>
      <c r="AE63" s="309"/>
      <c r="AF63" s="309"/>
      <c r="AG63" s="309"/>
      <c r="AH63" s="309"/>
      <c r="AI63" s="309"/>
      <c r="AJ63" s="309"/>
      <c r="AK63" s="309"/>
      <c r="AL63" s="309"/>
      <c r="AM63" s="309"/>
      <c r="AN63" s="309"/>
      <c r="AO63" s="309"/>
      <c r="AP63" s="309"/>
      <c r="AQ63" s="309"/>
      <c r="AR63" s="309"/>
      <c r="AS63" s="308"/>
      <c r="AT63" s="309"/>
      <c r="AU63" s="309"/>
      <c r="AV63" s="309"/>
      <c r="AW63" s="309"/>
      <c r="AX63" s="309"/>
      <c r="AY63" s="309"/>
      <c r="AZ63" s="309"/>
      <c r="BA63" s="309"/>
      <c r="BB63" s="309"/>
      <c r="BC63" s="309"/>
      <c r="BD63" s="309"/>
    </row>
    <row r="64" spans="1:56" hidden="1" outlineLevel="1" x14ac:dyDescent="0.25">
      <c r="A64" s="288"/>
      <c r="B64" s="292"/>
      <c r="C64" s="192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308"/>
      <c r="S64" s="192"/>
      <c r="T64" s="192"/>
      <c r="U64" s="192"/>
      <c r="V64" s="192"/>
      <c r="W64" s="192"/>
      <c r="X64" s="192"/>
      <c r="Y64" s="192"/>
      <c r="Z64" s="192"/>
      <c r="AA64" s="192"/>
      <c r="AB64" s="192"/>
      <c r="AC64" s="192"/>
      <c r="AD64" s="309"/>
      <c r="AE64" s="309"/>
      <c r="AF64" s="309"/>
      <c r="AG64" s="309"/>
      <c r="AH64" s="309"/>
      <c r="AI64" s="309"/>
      <c r="AJ64" s="309"/>
      <c r="AK64" s="309"/>
      <c r="AL64" s="309"/>
      <c r="AM64" s="309"/>
      <c r="AN64" s="309"/>
      <c r="AO64" s="309"/>
      <c r="AP64" s="309"/>
      <c r="AQ64" s="309"/>
      <c r="AR64" s="309"/>
      <c r="AS64" s="308"/>
      <c r="AT64" s="309"/>
      <c r="AU64" s="309"/>
      <c r="AV64" s="309"/>
      <c r="AW64" s="309"/>
      <c r="AX64" s="309"/>
      <c r="AY64" s="309"/>
      <c r="AZ64" s="309"/>
      <c r="BA64" s="309"/>
      <c r="BB64" s="309"/>
      <c r="BC64" s="309"/>
      <c r="BD64" s="309"/>
    </row>
    <row r="65" spans="1:56" hidden="1" outlineLevel="1" x14ac:dyDescent="0.25">
      <c r="A65" s="288"/>
      <c r="B65" s="292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308"/>
      <c r="S65" s="192"/>
      <c r="T65" s="192"/>
      <c r="U65" s="192"/>
      <c r="V65" s="192"/>
      <c r="W65" s="192"/>
      <c r="X65" s="192"/>
      <c r="Y65" s="192"/>
      <c r="Z65" s="192"/>
      <c r="AA65" s="192"/>
      <c r="AB65" s="192"/>
      <c r="AC65" s="192"/>
      <c r="AD65" s="309"/>
      <c r="AE65" s="309"/>
      <c r="AF65" s="309"/>
      <c r="AG65" s="309"/>
      <c r="AH65" s="309"/>
      <c r="AI65" s="309"/>
      <c r="AJ65" s="309"/>
      <c r="AK65" s="309"/>
      <c r="AL65" s="309"/>
      <c r="AM65" s="309"/>
      <c r="AN65" s="309"/>
      <c r="AO65" s="309"/>
      <c r="AP65" s="309"/>
      <c r="AQ65" s="309"/>
      <c r="AR65" s="309"/>
      <c r="AS65" s="308"/>
      <c r="AT65" s="309"/>
      <c r="AU65" s="309"/>
      <c r="AV65" s="309"/>
      <c r="AW65" s="309"/>
      <c r="AX65" s="309"/>
      <c r="AY65" s="309"/>
      <c r="AZ65" s="309"/>
      <c r="BA65" s="309"/>
      <c r="BB65" s="309"/>
      <c r="BC65" s="309"/>
      <c r="BD65" s="309"/>
    </row>
    <row r="66" spans="1:56" hidden="1" outlineLevel="1" x14ac:dyDescent="0.25">
      <c r="A66" s="288"/>
      <c r="B66" s="292"/>
      <c r="C66" s="192"/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308"/>
      <c r="S66" s="192"/>
      <c r="T66" s="192"/>
      <c r="U66" s="192"/>
      <c r="V66" s="192"/>
      <c r="W66" s="192"/>
      <c r="X66" s="192"/>
      <c r="Y66" s="192"/>
      <c r="Z66" s="192"/>
      <c r="AA66" s="192"/>
      <c r="AB66" s="192"/>
      <c r="AC66" s="192"/>
      <c r="AD66" s="309"/>
      <c r="AE66" s="309"/>
      <c r="AF66" s="309"/>
      <c r="AG66" s="309"/>
      <c r="AH66" s="309"/>
      <c r="AI66" s="309"/>
      <c r="AJ66" s="309"/>
      <c r="AK66" s="309"/>
      <c r="AL66" s="309"/>
      <c r="AM66" s="309"/>
      <c r="AN66" s="309"/>
      <c r="AO66" s="309"/>
      <c r="AP66" s="309"/>
      <c r="AQ66" s="309"/>
      <c r="AR66" s="309"/>
      <c r="AS66" s="308"/>
      <c r="AT66" s="309"/>
      <c r="AU66" s="309"/>
      <c r="AV66" s="309"/>
      <c r="AW66" s="309"/>
      <c r="AX66" s="309"/>
      <c r="AY66" s="309"/>
      <c r="AZ66" s="309"/>
      <c r="BA66" s="309"/>
      <c r="BB66" s="309"/>
      <c r="BC66" s="309"/>
      <c r="BD66" s="309"/>
    </row>
    <row r="67" spans="1:56" hidden="1" outlineLevel="1" x14ac:dyDescent="0.25">
      <c r="A67" s="288"/>
      <c r="B67" s="292"/>
      <c r="C67" s="192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308"/>
      <c r="S67" s="192"/>
      <c r="T67" s="192"/>
      <c r="U67" s="192"/>
      <c r="V67" s="192"/>
      <c r="W67" s="192"/>
      <c r="X67" s="192"/>
      <c r="Y67" s="192"/>
      <c r="Z67" s="192"/>
      <c r="AA67" s="192"/>
      <c r="AB67" s="192"/>
      <c r="AC67" s="192"/>
      <c r="AD67" s="309"/>
      <c r="AE67" s="309"/>
      <c r="AF67" s="309"/>
      <c r="AG67" s="309"/>
      <c r="AH67" s="309"/>
      <c r="AI67" s="309"/>
      <c r="AJ67" s="309"/>
      <c r="AK67" s="309"/>
      <c r="AL67" s="309"/>
      <c r="AM67" s="309"/>
      <c r="AN67" s="309"/>
      <c r="AO67" s="309"/>
      <c r="AP67" s="309"/>
      <c r="AQ67" s="309"/>
      <c r="AR67" s="309"/>
      <c r="AS67" s="308"/>
      <c r="AT67" s="309"/>
      <c r="AU67" s="309"/>
      <c r="AV67" s="309"/>
      <c r="AW67" s="309"/>
      <c r="AX67" s="309"/>
      <c r="AY67" s="309"/>
      <c r="AZ67" s="309"/>
      <c r="BA67" s="309"/>
      <c r="BB67" s="309"/>
      <c r="BC67" s="309"/>
      <c r="BD67" s="309"/>
    </row>
    <row r="68" spans="1:56" hidden="1" outlineLevel="1" x14ac:dyDescent="0.25">
      <c r="A68" s="288"/>
      <c r="B68" s="292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308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309"/>
      <c r="AE68" s="309"/>
      <c r="AF68" s="309"/>
      <c r="AG68" s="309"/>
      <c r="AH68" s="309"/>
      <c r="AI68" s="309"/>
      <c r="AJ68" s="309"/>
      <c r="AK68" s="309"/>
      <c r="AL68" s="309"/>
      <c r="AM68" s="309"/>
      <c r="AN68" s="309"/>
      <c r="AO68" s="309"/>
      <c r="AP68" s="309"/>
      <c r="AQ68" s="309"/>
      <c r="AR68" s="309"/>
      <c r="AS68" s="308"/>
      <c r="AT68" s="309"/>
      <c r="AU68" s="309"/>
      <c r="AV68" s="309"/>
      <c r="AW68" s="309"/>
      <c r="AX68" s="309"/>
      <c r="AY68" s="309"/>
      <c r="AZ68" s="309"/>
      <c r="BA68" s="309"/>
      <c r="BB68" s="309"/>
      <c r="BC68" s="309"/>
      <c r="BD68" s="309"/>
    </row>
    <row r="69" spans="1:56" hidden="1" outlineLevel="1" x14ac:dyDescent="0.25">
      <c r="A69" s="288"/>
      <c r="B69" s="292"/>
      <c r="C69" s="192"/>
      <c r="D69" s="192"/>
      <c r="E69" s="192"/>
      <c r="F69" s="192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308"/>
      <c r="S69" s="192"/>
      <c r="T69" s="192"/>
      <c r="U69" s="192"/>
      <c r="V69" s="192"/>
      <c r="W69" s="192"/>
      <c r="X69" s="192"/>
      <c r="Y69" s="192"/>
      <c r="Z69" s="192"/>
      <c r="AA69" s="192"/>
      <c r="AB69" s="192"/>
      <c r="AC69" s="192"/>
      <c r="AD69" s="309"/>
      <c r="AE69" s="309"/>
      <c r="AF69" s="309"/>
      <c r="AG69" s="309"/>
      <c r="AH69" s="309"/>
      <c r="AI69" s="309"/>
      <c r="AJ69" s="309"/>
      <c r="AK69" s="309"/>
      <c r="AL69" s="309"/>
      <c r="AM69" s="309"/>
      <c r="AN69" s="309"/>
      <c r="AO69" s="309"/>
      <c r="AP69" s="309"/>
      <c r="AQ69" s="309"/>
      <c r="AR69" s="309"/>
      <c r="AS69" s="308"/>
      <c r="AT69" s="309"/>
      <c r="AU69" s="309"/>
      <c r="AV69" s="309"/>
      <c r="AW69" s="309"/>
      <c r="AX69" s="309"/>
      <c r="AY69" s="309"/>
      <c r="AZ69" s="309"/>
      <c r="BA69" s="309"/>
      <c r="BB69" s="309"/>
      <c r="BC69" s="309"/>
      <c r="BD69" s="309"/>
    </row>
    <row r="70" spans="1:56" hidden="1" outlineLevel="1" x14ac:dyDescent="0.25">
      <c r="A70" s="288"/>
      <c r="B70" s="292"/>
      <c r="C70" s="192"/>
      <c r="D70" s="192"/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308"/>
      <c r="S70" s="192"/>
      <c r="T70" s="192"/>
      <c r="U70" s="192"/>
      <c r="V70" s="192"/>
      <c r="W70" s="192"/>
      <c r="X70" s="192"/>
      <c r="Y70" s="192"/>
      <c r="Z70" s="192"/>
      <c r="AA70" s="192"/>
      <c r="AB70" s="192"/>
      <c r="AC70" s="192"/>
      <c r="AD70" s="309"/>
      <c r="AE70" s="309"/>
      <c r="AF70" s="309"/>
      <c r="AG70" s="309"/>
      <c r="AH70" s="309"/>
      <c r="AI70" s="309"/>
      <c r="AJ70" s="309"/>
      <c r="AK70" s="309"/>
      <c r="AL70" s="309"/>
      <c r="AM70" s="309"/>
      <c r="AN70" s="309"/>
      <c r="AO70" s="309"/>
      <c r="AP70" s="309"/>
      <c r="AQ70" s="309"/>
      <c r="AR70" s="309"/>
      <c r="AS70" s="308"/>
      <c r="AT70" s="309"/>
      <c r="AU70" s="309"/>
      <c r="AV70" s="309"/>
      <c r="AW70" s="309"/>
      <c r="AX70" s="309"/>
      <c r="AY70" s="309"/>
      <c r="AZ70" s="309"/>
      <c r="BA70" s="309"/>
      <c r="BB70" s="309"/>
      <c r="BC70" s="309"/>
      <c r="BD70" s="309"/>
    </row>
    <row r="71" spans="1:56" hidden="1" outlineLevel="1" x14ac:dyDescent="0.25">
      <c r="A71" s="288"/>
      <c r="B71" s="292"/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308"/>
      <c r="S71" s="192"/>
      <c r="T71" s="192"/>
      <c r="U71" s="192"/>
      <c r="V71" s="192"/>
      <c r="W71" s="192"/>
      <c r="X71" s="192"/>
      <c r="Y71" s="192"/>
      <c r="Z71" s="192"/>
      <c r="AA71" s="192"/>
      <c r="AB71" s="192"/>
      <c r="AC71" s="192"/>
      <c r="AD71" s="309"/>
      <c r="AE71" s="309"/>
      <c r="AF71" s="309"/>
      <c r="AG71" s="309"/>
      <c r="AH71" s="309"/>
      <c r="AI71" s="309"/>
      <c r="AJ71" s="309"/>
      <c r="AK71" s="309"/>
      <c r="AL71" s="309"/>
      <c r="AM71" s="309"/>
      <c r="AN71" s="309"/>
      <c r="AO71" s="309"/>
      <c r="AP71" s="309"/>
      <c r="AQ71" s="309"/>
      <c r="AR71" s="309"/>
      <c r="AS71" s="308"/>
      <c r="AT71" s="309"/>
      <c r="AU71" s="309"/>
      <c r="AV71" s="309"/>
      <c r="AW71" s="309"/>
      <c r="AX71" s="309"/>
      <c r="AY71" s="309"/>
      <c r="AZ71" s="309"/>
      <c r="BA71" s="309"/>
      <c r="BB71" s="309"/>
      <c r="BC71" s="309"/>
      <c r="BD71" s="309"/>
    </row>
    <row r="72" spans="1:56" hidden="1" outlineLevel="1" x14ac:dyDescent="0.25">
      <c r="A72" s="288"/>
      <c r="B72" s="292"/>
      <c r="C72" s="192"/>
      <c r="D72" s="192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308"/>
      <c r="S72" s="192"/>
      <c r="T72" s="192"/>
      <c r="U72" s="192"/>
      <c r="V72" s="192"/>
      <c r="W72" s="192"/>
      <c r="X72" s="192"/>
      <c r="Y72" s="192"/>
      <c r="Z72" s="192"/>
      <c r="AA72" s="192"/>
      <c r="AB72" s="192"/>
      <c r="AC72" s="192"/>
      <c r="AD72" s="309"/>
      <c r="AE72" s="309"/>
      <c r="AF72" s="309"/>
      <c r="AG72" s="309"/>
      <c r="AH72" s="309"/>
      <c r="AI72" s="309"/>
      <c r="AJ72" s="309"/>
      <c r="AK72" s="309"/>
      <c r="AL72" s="309"/>
      <c r="AM72" s="309"/>
      <c r="AN72" s="309"/>
      <c r="AO72" s="309"/>
      <c r="AP72" s="309"/>
      <c r="AQ72" s="309"/>
      <c r="AR72" s="309"/>
      <c r="AS72" s="308"/>
      <c r="AT72" s="309"/>
      <c r="AU72" s="309"/>
      <c r="AV72" s="309"/>
      <c r="AW72" s="309"/>
      <c r="AX72" s="309"/>
      <c r="AY72" s="309"/>
      <c r="AZ72" s="309"/>
      <c r="BA72" s="309"/>
      <c r="BB72" s="309"/>
      <c r="BC72" s="309"/>
      <c r="BD72" s="309"/>
    </row>
    <row r="73" spans="1:56" hidden="1" outlineLevel="1" x14ac:dyDescent="0.25">
      <c r="A73" s="288"/>
      <c r="B73" s="292"/>
      <c r="C73" s="192"/>
      <c r="D73" s="192"/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308"/>
      <c r="S73" s="192"/>
      <c r="T73" s="192"/>
      <c r="U73" s="192"/>
      <c r="V73" s="192"/>
      <c r="W73" s="192"/>
      <c r="X73" s="192"/>
      <c r="Y73" s="192"/>
      <c r="Z73" s="192"/>
      <c r="AA73" s="192"/>
      <c r="AB73" s="192"/>
      <c r="AC73" s="192"/>
      <c r="AD73" s="309"/>
      <c r="AE73" s="309"/>
      <c r="AF73" s="309"/>
      <c r="AG73" s="309"/>
      <c r="AH73" s="309"/>
      <c r="AI73" s="309"/>
      <c r="AJ73" s="309"/>
      <c r="AK73" s="309"/>
      <c r="AL73" s="309"/>
      <c r="AM73" s="309"/>
      <c r="AN73" s="309"/>
      <c r="AO73" s="309"/>
      <c r="AP73" s="309"/>
      <c r="AQ73" s="309"/>
      <c r="AR73" s="309"/>
      <c r="AS73" s="308"/>
      <c r="AT73" s="309"/>
      <c r="AU73" s="309"/>
      <c r="AV73" s="309"/>
      <c r="AW73" s="309"/>
      <c r="AX73" s="309"/>
      <c r="AY73" s="309"/>
      <c r="AZ73" s="309"/>
      <c r="BA73" s="309"/>
      <c r="BB73" s="309"/>
      <c r="BC73" s="309"/>
      <c r="BD73" s="309"/>
    </row>
    <row r="74" spans="1:56" hidden="1" outlineLevel="1" x14ac:dyDescent="0.25">
      <c r="A74" s="288"/>
      <c r="B74" s="292"/>
      <c r="C74" s="192"/>
      <c r="D74" s="192"/>
      <c r="E74" s="192"/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308"/>
      <c r="S74" s="192"/>
      <c r="T74" s="192"/>
      <c r="U74" s="192"/>
      <c r="V74" s="192"/>
      <c r="W74" s="192"/>
      <c r="X74" s="192"/>
      <c r="Y74" s="192"/>
      <c r="Z74" s="192"/>
      <c r="AA74" s="192"/>
      <c r="AB74" s="192"/>
      <c r="AC74" s="192"/>
      <c r="AD74" s="309"/>
      <c r="AE74" s="309"/>
      <c r="AF74" s="309"/>
      <c r="AG74" s="309"/>
      <c r="AH74" s="309"/>
      <c r="AI74" s="309"/>
      <c r="AJ74" s="309"/>
      <c r="AK74" s="309"/>
      <c r="AL74" s="309"/>
      <c r="AM74" s="309"/>
      <c r="AN74" s="309"/>
      <c r="AO74" s="309"/>
      <c r="AP74" s="309"/>
      <c r="AQ74" s="309"/>
      <c r="AR74" s="309"/>
      <c r="AS74" s="308"/>
      <c r="AT74" s="309"/>
      <c r="AU74" s="309"/>
      <c r="AV74" s="309"/>
      <c r="AW74" s="309"/>
      <c r="AX74" s="309"/>
      <c r="AY74" s="309"/>
      <c r="AZ74" s="309"/>
      <c r="BA74" s="309"/>
      <c r="BB74" s="309"/>
      <c r="BC74" s="309"/>
      <c r="BD74" s="309"/>
    </row>
    <row r="75" spans="1:56" hidden="1" outlineLevel="1" x14ac:dyDescent="0.25">
      <c r="A75" s="288"/>
      <c r="B75" s="292"/>
      <c r="C75" s="192"/>
      <c r="D75" s="192"/>
      <c r="E75" s="192"/>
      <c r="F75" s="192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308"/>
      <c r="S75" s="192"/>
      <c r="T75" s="192"/>
      <c r="U75" s="192"/>
      <c r="V75" s="192"/>
      <c r="W75" s="192"/>
      <c r="X75" s="192"/>
      <c r="Y75" s="192"/>
      <c r="Z75" s="192"/>
      <c r="AA75" s="192"/>
      <c r="AB75" s="192"/>
      <c r="AC75" s="192"/>
      <c r="AD75" s="309"/>
      <c r="AE75" s="309"/>
      <c r="AF75" s="309"/>
      <c r="AG75" s="309"/>
      <c r="AH75" s="309"/>
      <c r="AI75" s="309"/>
      <c r="AJ75" s="309"/>
      <c r="AK75" s="309"/>
      <c r="AL75" s="309"/>
      <c r="AM75" s="309"/>
      <c r="AN75" s="309"/>
      <c r="AO75" s="309"/>
      <c r="AP75" s="309"/>
      <c r="AQ75" s="309"/>
      <c r="AR75" s="309"/>
      <c r="AS75" s="308"/>
      <c r="AT75" s="309"/>
      <c r="AU75" s="309"/>
      <c r="AV75" s="309"/>
      <c r="AW75" s="309"/>
      <c r="AX75" s="309"/>
      <c r="AY75" s="309"/>
      <c r="AZ75" s="309"/>
      <c r="BA75" s="309"/>
      <c r="BB75" s="309"/>
      <c r="BC75" s="309"/>
      <c r="BD75" s="309"/>
    </row>
    <row r="76" spans="1:56" hidden="1" outlineLevel="1" x14ac:dyDescent="0.25">
      <c r="A76" s="288"/>
      <c r="B76" s="292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308"/>
      <c r="S76" s="192"/>
      <c r="T76" s="192"/>
      <c r="U76" s="192"/>
      <c r="V76" s="192"/>
      <c r="W76" s="192"/>
      <c r="X76" s="192"/>
      <c r="Y76" s="192"/>
      <c r="Z76" s="192"/>
      <c r="AA76" s="192"/>
      <c r="AB76" s="192"/>
      <c r="AC76" s="192"/>
      <c r="AD76" s="309"/>
      <c r="AE76" s="309"/>
      <c r="AF76" s="309"/>
      <c r="AG76" s="309"/>
      <c r="AH76" s="309"/>
      <c r="AI76" s="309"/>
      <c r="AJ76" s="309"/>
      <c r="AK76" s="309"/>
      <c r="AL76" s="309"/>
      <c r="AM76" s="309"/>
      <c r="AN76" s="309"/>
      <c r="AO76" s="309"/>
      <c r="AP76" s="309"/>
      <c r="AQ76" s="309"/>
      <c r="AR76" s="309"/>
      <c r="AS76" s="308"/>
      <c r="AT76" s="309"/>
      <c r="AU76" s="309"/>
      <c r="AV76" s="309"/>
      <c r="AW76" s="309"/>
      <c r="AX76" s="309"/>
      <c r="AY76" s="309"/>
      <c r="AZ76" s="309"/>
      <c r="BA76" s="309"/>
      <c r="BB76" s="309"/>
      <c r="BC76" s="309"/>
      <c r="BD76" s="309"/>
    </row>
    <row r="77" spans="1:56" hidden="1" outlineLevel="1" x14ac:dyDescent="0.25">
      <c r="A77" s="288"/>
      <c r="B77" s="292"/>
      <c r="C77" s="192"/>
      <c r="D77" s="192"/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308"/>
      <c r="S77" s="192"/>
      <c r="T77" s="192"/>
      <c r="U77" s="192"/>
      <c r="V77" s="192"/>
      <c r="W77" s="192"/>
      <c r="X77" s="192"/>
      <c r="Y77" s="192"/>
      <c r="Z77" s="192"/>
      <c r="AA77" s="192"/>
      <c r="AB77" s="192"/>
      <c r="AC77" s="192"/>
      <c r="AD77" s="309"/>
      <c r="AE77" s="309"/>
      <c r="AF77" s="309"/>
      <c r="AG77" s="309"/>
      <c r="AH77" s="309"/>
      <c r="AI77" s="309"/>
      <c r="AJ77" s="309"/>
      <c r="AK77" s="309"/>
      <c r="AL77" s="309"/>
      <c r="AM77" s="309"/>
      <c r="AN77" s="309"/>
      <c r="AO77" s="309"/>
      <c r="AP77" s="309"/>
      <c r="AQ77" s="309"/>
      <c r="AR77" s="309"/>
      <c r="AS77" s="308"/>
      <c r="AT77" s="309"/>
      <c r="AU77" s="309"/>
      <c r="AV77" s="309"/>
      <c r="AW77" s="309"/>
      <c r="AX77" s="309"/>
      <c r="AY77" s="309"/>
      <c r="AZ77" s="309"/>
      <c r="BA77" s="309"/>
      <c r="BB77" s="309"/>
      <c r="BC77" s="309"/>
      <c r="BD77" s="309"/>
    </row>
    <row r="78" spans="1:56" hidden="1" outlineLevel="1" x14ac:dyDescent="0.25">
      <c r="A78" s="288"/>
      <c r="B78" s="292"/>
      <c r="C78" s="192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308"/>
      <c r="S78" s="192"/>
      <c r="T78" s="192"/>
      <c r="U78" s="192"/>
      <c r="V78" s="192"/>
      <c r="W78" s="192"/>
      <c r="X78" s="192"/>
      <c r="Y78" s="192"/>
      <c r="Z78" s="192"/>
      <c r="AA78" s="192"/>
      <c r="AB78" s="192"/>
      <c r="AC78" s="192"/>
      <c r="AD78" s="309"/>
      <c r="AE78" s="309"/>
      <c r="AF78" s="309"/>
      <c r="AG78" s="309"/>
      <c r="AH78" s="309"/>
      <c r="AI78" s="309"/>
      <c r="AJ78" s="309"/>
      <c r="AK78" s="309"/>
      <c r="AL78" s="309"/>
      <c r="AM78" s="309"/>
      <c r="AN78" s="309"/>
      <c r="AO78" s="309"/>
      <c r="AP78" s="309"/>
      <c r="AQ78" s="309"/>
      <c r="AR78" s="309"/>
      <c r="AS78" s="308"/>
      <c r="AT78" s="309"/>
      <c r="AU78" s="309"/>
      <c r="AV78" s="309"/>
      <c r="AW78" s="309"/>
      <c r="AX78" s="309"/>
      <c r="AY78" s="309"/>
      <c r="AZ78" s="309"/>
      <c r="BA78" s="309"/>
      <c r="BB78" s="309"/>
      <c r="BC78" s="309"/>
      <c r="BD78" s="309"/>
    </row>
    <row r="79" spans="1:56" hidden="1" outlineLevel="1" x14ac:dyDescent="0.25">
      <c r="A79" s="288"/>
      <c r="B79" s="292"/>
      <c r="C79" s="192"/>
      <c r="D79" s="192"/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308"/>
      <c r="S79" s="192"/>
      <c r="T79" s="192"/>
      <c r="U79" s="192"/>
      <c r="V79" s="192"/>
      <c r="W79" s="192"/>
      <c r="X79" s="192"/>
      <c r="Y79" s="192"/>
      <c r="Z79" s="192"/>
      <c r="AA79" s="192"/>
      <c r="AB79" s="192"/>
      <c r="AC79" s="192"/>
      <c r="AD79" s="309"/>
      <c r="AE79" s="309"/>
      <c r="AF79" s="309"/>
      <c r="AG79" s="309"/>
      <c r="AH79" s="309"/>
      <c r="AI79" s="309"/>
      <c r="AJ79" s="309"/>
      <c r="AK79" s="309"/>
      <c r="AL79" s="309"/>
      <c r="AM79" s="309"/>
      <c r="AN79" s="309"/>
      <c r="AO79" s="309"/>
      <c r="AP79" s="309"/>
      <c r="AQ79" s="309"/>
      <c r="AR79" s="309"/>
      <c r="AS79" s="308"/>
      <c r="AT79" s="309"/>
      <c r="AU79" s="309"/>
      <c r="AV79" s="309"/>
      <c r="AW79" s="309"/>
      <c r="AX79" s="309"/>
      <c r="AY79" s="309"/>
      <c r="AZ79" s="309"/>
      <c r="BA79" s="309"/>
      <c r="BB79" s="309"/>
      <c r="BC79" s="309"/>
      <c r="BD79" s="309"/>
    </row>
    <row r="80" spans="1:56" hidden="1" outlineLevel="1" x14ac:dyDescent="0.25">
      <c r="A80" s="288"/>
      <c r="B80" s="292"/>
      <c r="C80" s="192"/>
      <c r="D80" s="192"/>
      <c r="E80" s="192"/>
      <c r="F80" s="192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308"/>
      <c r="S80" s="192"/>
      <c r="T80" s="192"/>
      <c r="U80" s="192"/>
      <c r="V80" s="192"/>
      <c r="W80" s="192"/>
      <c r="X80" s="192"/>
      <c r="Y80" s="192"/>
      <c r="Z80" s="192"/>
      <c r="AA80" s="192"/>
      <c r="AB80" s="192"/>
      <c r="AC80" s="192"/>
      <c r="AD80" s="309"/>
      <c r="AE80" s="309"/>
      <c r="AF80" s="309"/>
      <c r="AG80" s="309"/>
      <c r="AH80" s="309"/>
      <c r="AI80" s="309"/>
      <c r="AJ80" s="309"/>
      <c r="AK80" s="309"/>
      <c r="AL80" s="309"/>
      <c r="AM80" s="309"/>
      <c r="AN80" s="309"/>
      <c r="AO80" s="309"/>
      <c r="AP80" s="309"/>
      <c r="AQ80" s="309"/>
      <c r="AR80" s="309"/>
      <c r="AS80" s="308"/>
      <c r="AT80" s="309"/>
      <c r="AU80" s="309"/>
      <c r="AV80" s="309"/>
      <c r="AW80" s="309"/>
      <c r="AX80" s="309"/>
      <c r="AY80" s="309"/>
      <c r="AZ80" s="309"/>
      <c r="BA80" s="309"/>
      <c r="BB80" s="309"/>
      <c r="BC80" s="309"/>
      <c r="BD80" s="309"/>
    </row>
    <row r="81" spans="1:56" hidden="1" outlineLevel="1" x14ac:dyDescent="0.25">
      <c r="A81" s="288"/>
      <c r="B81" s="292"/>
      <c r="C81" s="192"/>
      <c r="D81" s="192"/>
      <c r="E81" s="192"/>
      <c r="F81" s="192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308"/>
      <c r="S81" s="192"/>
      <c r="T81" s="192"/>
      <c r="U81" s="192"/>
      <c r="V81" s="192"/>
      <c r="W81" s="192"/>
      <c r="X81" s="192"/>
      <c r="Y81" s="192"/>
      <c r="Z81" s="192"/>
      <c r="AA81" s="192"/>
      <c r="AB81" s="192"/>
      <c r="AC81" s="192"/>
      <c r="AD81" s="309"/>
      <c r="AE81" s="309"/>
      <c r="AF81" s="309"/>
      <c r="AG81" s="309"/>
      <c r="AH81" s="309"/>
      <c r="AI81" s="309"/>
      <c r="AJ81" s="309"/>
      <c r="AK81" s="309"/>
      <c r="AL81" s="309"/>
      <c r="AM81" s="309"/>
      <c r="AN81" s="309"/>
      <c r="AO81" s="309"/>
      <c r="AP81" s="309"/>
      <c r="AQ81" s="309"/>
      <c r="AR81" s="309"/>
      <c r="AS81" s="308"/>
      <c r="AT81" s="309"/>
      <c r="AU81" s="309"/>
      <c r="AV81" s="309"/>
      <c r="AW81" s="309"/>
      <c r="AX81" s="309"/>
      <c r="AY81" s="309"/>
      <c r="AZ81" s="309"/>
      <c r="BA81" s="309"/>
      <c r="BB81" s="309"/>
      <c r="BC81" s="309"/>
      <c r="BD81" s="309"/>
    </row>
    <row r="82" spans="1:56" hidden="1" outlineLevel="1" x14ac:dyDescent="0.25">
      <c r="A82" s="288"/>
      <c r="B82" s="292"/>
      <c r="C82" s="192"/>
      <c r="D82" s="192"/>
      <c r="E82" s="192"/>
      <c r="F82" s="192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308"/>
      <c r="S82" s="192"/>
      <c r="T82" s="192"/>
      <c r="U82" s="192"/>
      <c r="V82" s="192"/>
      <c r="W82" s="192"/>
      <c r="X82" s="192"/>
      <c r="Y82" s="192"/>
      <c r="Z82" s="192"/>
      <c r="AA82" s="192"/>
      <c r="AB82" s="192"/>
      <c r="AC82" s="192"/>
      <c r="AD82" s="309"/>
      <c r="AE82" s="309"/>
      <c r="AF82" s="309"/>
      <c r="AG82" s="309"/>
      <c r="AH82" s="309"/>
      <c r="AI82" s="309"/>
      <c r="AJ82" s="309"/>
      <c r="AK82" s="309"/>
      <c r="AL82" s="309"/>
      <c r="AM82" s="309"/>
      <c r="AN82" s="309"/>
      <c r="AO82" s="309"/>
      <c r="AP82" s="309"/>
      <c r="AQ82" s="309"/>
      <c r="AR82" s="309"/>
      <c r="AS82" s="308"/>
      <c r="AT82" s="309"/>
      <c r="AU82" s="309"/>
      <c r="AV82" s="309"/>
      <c r="AW82" s="309"/>
      <c r="AX82" s="309"/>
      <c r="AY82" s="309"/>
      <c r="AZ82" s="309"/>
      <c r="BA82" s="309"/>
      <c r="BB82" s="309"/>
      <c r="BC82" s="309"/>
      <c r="BD82" s="309"/>
    </row>
    <row r="83" spans="1:56" hidden="1" outlineLevel="1" x14ac:dyDescent="0.25">
      <c r="A83" s="288"/>
      <c r="B83" s="292"/>
      <c r="C83" s="192"/>
      <c r="D83" s="192"/>
      <c r="E83" s="192"/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308"/>
      <c r="S83" s="192"/>
      <c r="T83" s="192"/>
      <c r="U83" s="192"/>
      <c r="V83" s="192"/>
      <c r="W83" s="192"/>
      <c r="X83" s="192"/>
      <c r="Y83" s="192"/>
      <c r="Z83" s="192"/>
      <c r="AA83" s="192"/>
      <c r="AB83" s="192"/>
      <c r="AC83" s="192"/>
      <c r="AD83" s="309"/>
      <c r="AE83" s="309"/>
      <c r="AF83" s="309"/>
      <c r="AG83" s="309"/>
      <c r="AH83" s="309"/>
      <c r="AI83" s="309"/>
      <c r="AJ83" s="309"/>
      <c r="AK83" s="309"/>
      <c r="AL83" s="309"/>
      <c r="AM83" s="309"/>
      <c r="AN83" s="309"/>
      <c r="AO83" s="309"/>
      <c r="AP83" s="309"/>
      <c r="AQ83" s="309"/>
      <c r="AR83" s="309"/>
      <c r="AS83" s="308"/>
      <c r="AT83" s="309"/>
      <c r="AU83" s="309"/>
      <c r="AV83" s="309"/>
      <c r="AW83" s="309"/>
      <c r="AX83" s="309"/>
      <c r="AY83" s="309"/>
      <c r="AZ83" s="309"/>
      <c r="BA83" s="309"/>
      <c r="BB83" s="309"/>
      <c r="BC83" s="309"/>
      <c r="BD83" s="309"/>
    </row>
    <row r="84" spans="1:56" hidden="1" outlineLevel="1" x14ac:dyDescent="0.25">
      <c r="A84" s="288"/>
      <c r="B84" s="292"/>
      <c r="C84" s="192"/>
      <c r="D84" s="192"/>
      <c r="E84" s="192"/>
      <c r="F84" s="192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308"/>
      <c r="S84" s="192"/>
      <c r="T84" s="192"/>
      <c r="U84" s="192"/>
      <c r="V84" s="192"/>
      <c r="W84" s="192"/>
      <c r="X84" s="192"/>
      <c r="Y84" s="192"/>
      <c r="Z84" s="192"/>
      <c r="AA84" s="192"/>
      <c r="AB84" s="192"/>
      <c r="AC84" s="192"/>
      <c r="AD84" s="309"/>
      <c r="AE84" s="309"/>
      <c r="AF84" s="309"/>
      <c r="AG84" s="309"/>
      <c r="AH84" s="309"/>
      <c r="AI84" s="309"/>
      <c r="AJ84" s="309"/>
      <c r="AK84" s="309"/>
      <c r="AL84" s="309"/>
      <c r="AM84" s="309"/>
      <c r="AN84" s="309"/>
      <c r="AO84" s="309"/>
      <c r="AP84" s="309"/>
      <c r="AQ84" s="309"/>
      <c r="AR84" s="309"/>
      <c r="AS84" s="308"/>
      <c r="AT84" s="309"/>
      <c r="AU84" s="309"/>
      <c r="AV84" s="309"/>
      <c r="AW84" s="309"/>
      <c r="AX84" s="309"/>
      <c r="AY84" s="309"/>
      <c r="AZ84" s="309"/>
      <c r="BA84" s="309"/>
      <c r="BB84" s="309"/>
      <c r="BC84" s="309"/>
      <c r="BD84" s="309"/>
    </row>
    <row r="85" spans="1:56" hidden="1" outlineLevel="1" x14ac:dyDescent="0.25">
      <c r="A85" s="288"/>
      <c r="B85" s="292"/>
      <c r="C85" s="192"/>
      <c r="D85" s="192"/>
      <c r="E85" s="192"/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308"/>
      <c r="S85" s="192"/>
      <c r="T85" s="192"/>
      <c r="U85" s="192"/>
      <c r="V85" s="192"/>
      <c r="W85" s="192"/>
      <c r="X85" s="192"/>
      <c r="Y85" s="192"/>
      <c r="Z85" s="192"/>
      <c r="AA85" s="192"/>
      <c r="AB85" s="192"/>
      <c r="AC85" s="192"/>
      <c r="AD85" s="309"/>
      <c r="AE85" s="309"/>
      <c r="AF85" s="309"/>
      <c r="AG85" s="309"/>
      <c r="AH85" s="309"/>
      <c r="AI85" s="309"/>
      <c r="AJ85" s="309"/>
      <c r="AK85" s="309"/>
      <c r="AL85" s="309"/>
      <c r="AM85" s="309"/>
      <c r="AN85" s="309"/>
      <c r="AO85" s="309"/>
      <c r="AP85" s="309"/>
      <c r="AQ85" s="309"/>
      <c r="AR85" s="309"/>
      <c r="AS85" s="308"/>
      <c r="AT85" s="309"/>
      <c r="AU85" s="309"/>
      <c r="AV85" s="309"/>
      <c r="AW85" s="309"/>
      <c r="AX85" s="309"/>
      <c r="AY85" s="309"/>
      <c r="AZ85" s="309"/>
      <c r="BA85" s="309"/>
      <c r="BB85" s="309"/>
      <c r="BC85" s="309"/>
      <c r="BD85" s="309"/>
    </row>
    <row r="86" spans="1:56" hidden="1" outlineLevel="1" x14ac:dyDescent="0.25">
      <c r="A86" s="288"/>
      <c r="B86" s="292"/>
      <c r="C86" s="192"/>
      <c r="D86" s="192"/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308"/>
      <c r="S86" s="192"/>
      <c r="T86" s="192"/>
      <c r="U86" s="192"/>
      <c r="V86" s="192"/>
      <c r="W86" s="192"/>
      <c r="X86" s="192"/>
      <c r="Y86" s="192"/>
      <c r="Z86" s="192"/>
      <c r="AA86" s="192"/>
      <c r="AB86" s="192"/>
      <c r="AC86" s="192"/>
      <c r="AD86" s="309"/>
      <c r="AE86" s="309"/>
      <c r="AF86" s="309"/>
      <c r="AG86" s="309"/>
      <c r="AH86" s="309"/>
      <c r="AI86" s="309"/>
      <c r="AJ86" s="309"/>
      <c r="AK86" s="309"/>
      <c r="AL86" s="309"/>
      <c r="AM86" s="309"/>
      <c r="AN86" s="309"/>
      <c r="AO86" s="309"/>
      <c r="AP86" s="309"/>
      <c r="AQ86" s="309"/>
      <c r="AR86" s="309"/>
      <c r="AS86" s="308"/>
      <c r="AT86" s="309"/>
      <c r="AU86" s="309"/>
      <c r="AV86" s="309"/>
      <c r="AW86" s="309"/>
      <c r="AX86" s="309"/>
      <c r="AY86" s="309"/>
      <c r="AZ86" s="309"/>
      <c r="BA86" s="309"/>
      <c r="BB86" s="309"/>
      <c r="BC86" s="309"/>
      <c r="BD86" s="309"/>
    </row>
    <row r="87" spans="1:56" hidden="1" outlineLevel="1" x14ac:dyDescent="0.25">
      <c r="A87" s="288"/>
      <c r="B87" s="292"/>
      <c r="C87" s="192"/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308"/>
      <c r="S87" s="192"/>
      <c r="T87" s="192"/>
      <c r="U87" s="192"/>
      <c r="V87" s="192"/>
      <c r="W87" s="192"/>
      <c r="X87" s="192"/>
      <c r="Y87" s="192"/>
      <c r="Z87" s="192"/>
      <c r="AA87" s="192"/>
      <c r="AB87" s="192"/>
      <c r="AC87" s="192"/>
      <c r="AD87" s="309"/>
      <c r="AE87" s="309"/>
      <c r="AF87" s="309"/>
      <c r="AG87" s="309"/>
      <c r="AH87" s="309"/>
      <c r="AI87" s="309"/>
      <c r="AJ87" s="309"/>
      <c r="AK87" s="309"/>
      <c r="AL87" s="309"/>
      <c r="AM87" s="309"/>
      <c r="AN87" s="309"/>
      <c r="AO87" s="309"/>
      <c r="AP87" s="309"/>
      <c r="AQ87" s="309"/>
      <c r="AR87" s="309"/>
      <c r="AS87" s="308"/>
      <c r="AT87" s="309"/>
      <c r="AU87" s="309"/>
      <c r="AV87" s="309"/>
      <c r="AW87" s="309"/>
      <c r="AX87" s="309"/>
      <c r="AY87" s="309"/>
      <c r="AZ87" s="309"/>
      <c r="BA87" s="309"/>
      <c r="BB87" s="309"/>
      <c r="BC87" s="309"/>
      <c r="BD87" s="309"/>
    </row>
    <row r="88" spans="1:56" hidden="1" outlineLevel="1" x14ac:dyDescent="0.25">
      <c r="A88" s="288"/>
      <c r="B88" s="292"/>
      <c r="C88" s="192"/>
      <c r="D88" s="192"/>
      <c r="E88" s="192"/>
      <c r="F88" s="192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308"/>
      <c r="S88" s="192"/>
      <c r="T88" s="192"/>
      <c r="U88" s="192"/>
      <c r="V88" s="192"/>
      <c r="W88" s="192"/>
      <c r="X88" s="192"/>
      <c r="Y88" s="192"/>
      <c r="Z88" s="192"/>
      <c r="AA88" s="192"/>
      <c r="AB88" s="192"/>
      <c r="AC88" s="192"/>
      <c r="AD88" s="309"/>
      <c r="AE88" s="309"/>
      <c r="AF88" s="309"/>
      <c r="AG88" s="309"/>
      <c r="AH88" s="309"/>
      <c r="AI88" s="309"/>
      <c r="AJ88" s="309"/>
      <c r="AK88" s="309"/>
      <c r="AL88" s="309"/>
      <c r="AM88" s="309"/>
      <c r="AN88" s="309"/>
      <c r="AO88" s="309"/>
      <c r="AP88" s="309"/>
      <c r="AQ88" s="309"/>
      <c r="AR88" s="309"/>
      <c r="AS88" s="308"/>
      <c r="AT88" s="309"/>
      <c r="AU88" s="309"/>
      <c r="AV88" s="309"/>
      <c r="AW88" s="309"/>
      <c r="AX88" s="309"/>
      <c r="AY88" s="309"/>
      <c r="AZ88" s="309"/>
      <c r="BA88" s="309"/>
      <c r="BB88" s="309"/>
      <c r="BC88" s="309"/>
      <c r="BD88" s="309"/>
    </row>
    <row r="89" spans="1:56" hidden="1" outlineLevel="1" x14ac:dyDescent="0.25">
      <c r="A89" s="288"/>
      <c r="B89" s="292"/>
      <c r="C89" s="192"/>
      <c r="D89" s="192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308"/>
      <c r="S89" s="192"/>
      <c r="T89" s="192"/>
      <c r="U89" s="192"/>
      <c r="V89" s="192"/>
      <c r="W89" s="192"/>
      <c r="X89" s="192"/>
      <c r="Y89" s="192"/>
      <c r="Z89" s="192"/>
      <c r="AA89" s="192"/>
      <c r="AB89" s="192"/>
      <c r="AC89" s="192"/>
      <c r="AD89" s="309"/>
      <c r="AE89" s="309"/>
      <c r="AF89" s="309"/>
      <c r="AG89" s="309"/>
      <c r="AH89" s="309"/>
      <c r="AI89" s="309"/>
      <c r="AJ89" s="309"/>
      <c r="AK89" s="309"/>
      <c r="AL89" s="309"/>
      <c r="AM89" s="309"/>
      <c r="AN89" s="309"/>
      <c r="AO89" s="309"/>
      <c r="AP89" s="309"/>
      <c r="AQ89" s="309"/>
      <c r="AR89" s="309"/>
      <c r="AS89" s="308"/>
      <c r="AT89" s="309"/>
      <c r="AU89" s="309"/>
      <c r="AV89" s="309"/>
      <c r="AW89" s="309"/>
      <c r="AX89" s="309"/>
      <c r="AY89" s="309"/>
      <c r="AZ89" s="309"/>
      <c r="BA89" s="309"/>
      <c r="BB89" s="309"/>
      <c r="BC89" s="309"/>
      <c r="BD89" s="309"/>
    </row>
    <row r="90" spans="1:56" hidden="1" outlineLevel="1" x14ac:dyDescent="0.25">
      <c r="A90" s="288"/>
      <c r="B90" s="292"/>
      <c r="C90" s="192"/>
      <c r="D90" s="192"/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308"/>
      <c r="S90" s="192"/>
      <c r="T90" s="192"/>
      <c r="U90" s="192"/>
      <c r="V90" s="192"/>
      <c r="W90" s="192"/>
      <c r="X90" s="192"/>
      <c r="Y90" s="192"/>
      <c r="Z90" s="192"/>
      <c r="AA90" s="192"/>
      <c r="AB90" s="192"/>
      <c r="AC90" s="192"/>
      <c r="AD90" s="309"/>
      <c r="AE90" s="309"/>
      <c r="AF90" s="309"/>
      <c r="AG90" s="309"/>
      <c r="AH90" s="309"/>
      <c r="AI90" s="309"/>
      <c r="AJ90" s="309"/>
      <c r="AK90" s="309"/>
      <c r="AL90" s="309"/>
      <c r="AM90" s="309"/>
      <c r="AN90" s="309"/>
      <c r="AO90" s="309"/>
      <c r="AP90" s="309"/>
      <c r="AQ90" s="309"/>
      <c r="AR90" s="309"/>
      <c r="AS90" s="308"/>
      <c r="AT90" s="309"/>
      <c r="AU90" s="309"/>
      <c r="AV90" s="309"/>
      <c r="AW90" s="309"/>
      <c r="AX90" s="309"/>
      <c r="AY90" s="309"/>
      <c r="AZ90" s="309"/>
      <c r="BA90" s="309"/>
      <c r="BB90" s="309"/>
      <c r="BC90" s="309"/>
      <c r="BD90" s="309"/>
    </row>
    <row r="91" spans="1:56" hidden="1" outlineLevel="1" x14ac:dyDescent="0.25">
      <c r="A91" s="288"/>
      <c r="B91" s="292"/>
      <c r="C91" s="192"/>
      <c r="D91" s="192"/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308"/>
      <c r="S91" s="192"/>
      <c r="T91" s="192"/>
      <c r="U91" s="192"/>
      <c r="V91" s="192"/>
      <c r="W91" s="192"/>
      <c r="X91" s="192"/>
      <c r="Y91" s="192"/>
      <c r="Z91" s="192"/>
      <c r="AA91" s="192"/>
      <c r="AB91" s="192"/>
      <c r="AC91" s="192"/>
      <c r="AD91" s="309"/>
      <c r="AE91" s="309"/>
      <c r="AF91" s="309"/>
      <c r="AG91" s="309"/>
      <c r="AH91" s="309"/>
      <c r="AI91" s="309"/>
      <c r="AJ91" s="309"/>
      <c r="AK91" s="309"/>
      <c r="AL91" s="309"/>
      <c r="AM91" s="309"/>
      <c r="AN91" s="309"/>
      <c r="AO91" s="309"/>
      <c r="AP91" s="309"/>
      <c r="AQ91" s="309"/>
      <c r="AR91" s="309"/>
      <c r="AS91" s="308"/>
      <c r="AT91" s="309"/>
      <c r="AU91" s="309"/>
      <c r="AV91" s="309"/>
      <c r="AW91" s="309"/>
      <c r="AX91" s="309"/>
      <c r="AY91" s="309"/>
      <c r="AZ91" s="309"/>
      <c r="BA91" s="309"/>
      <c r="BB91" s="309"/>
      <c r="BC91" s="309"/>
      <c r="BD91" s="309"/>
    </row>
    <row r="92" spans="1:56" hidden="1" outlineLevel="1" x14ac:dyDescent="0.25">
      <c r="A92" s="288"/>
      <c r="B92" s="292"/>
      <c r="C92" s="192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308"/>
      <c r="S92" s="192"/>
      <c r="T92" s="192"/>
      <c r="U92" s="192"/>
      <c r="V92" s="192"/>
      <c r="W92" s="192"/>
      <c r="X92" s="192"/>
      <c r="Y92" s="192"/>
      <c r="Z92" s="192"/>
      <c r="AA92" s="192"/>
      <c r="AB92" s="192"/>
      <c r="AC92" s="192"/>
      <c r="AD92" s="309"/>
      <c r="AE92" s="309"/>
      <c r="AF92" s="309"/>
      <c r="AG92" s="309"/>
      <c r="AH92" s="309"/>
      <c r="AI92" s="309"/>
      <c r="AJ92" s="309"/>
      <c r="AK92" s="309"/>
      <c r="AL92" s="309"/>
      <c r="AM92" s="309"/>
      <c r="AN92" s="309"/>
      <c r="AO92" s="309"/>
      <c r="AP92" s="309"/>
      <c r="AQ92" s="309"/>
      <c r="AR92" s="309"/>
      <c r="AS92" s="308"/>
      <c r="AT92" s="309"/>
      <c r="AU92" s="309"/>
      <c r="AV92" s="309"/>
      <c r="AW92" s="309"/>
      <c r="AX92" s="309"/>
      <c r="AY92" s="309"/>
      <c r="AZ92" s="309"/>
      <c r="BA92" s="309"/>
      <c r="BB92" s="309"/>
      <c r="BC92" s="309"/>
      <c r="BD92" s="309"/>
    </row>
    <row r="93" spans="1:56" hidden="1" outlineLevel="1" x14ac:dyDescent="0.25">
      <c r="A93" s="288"/>
      <c r="B93" s="292"/>
      <c r="C93" s="192"/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308"/>
      <c r="S93" s="192"/>
      <c r="T93" s="192"/>
      <c r="U93" s="192"/>
      <c r="V93" s="192"/>
      <c r="W93" s="192"/>
      <c r="X93" s="192"/>
      <c r="Y93" s="192"/>
      <c r="Z93" s="192"/>
      <c r="AA93" s="192"/>
      <c r="AB93" s="192"/>
      <c r="AC93" s="192"/>
      <c r="AD93" s="309"/>
      <c r="AE93" s="309"/>
      <c r="AF93" s="309"/>
      <c r="AG93" s="309"/>
      <c r="AH93" s="309"/>
      <c r="AI93" s="309"/>
      <c r="AJ93" s="309"/>
      <c r="AK93" s="309"/>
      <c r="AL93" s="309"/>
      <c r="AM93" s="309"/>
      <c r="AN93" s="309"/>
      <c r="AO93" s="309"/>
      <c r="AP93" s="309"/>
      <c r="AQ93" s="309"/>
      <c r="AR93" s="309"/>
      <c r="AS93" s="308"/>
      <c r="AT93" s="309"/>
      <c r="AU93" s="309"/>
      <c r="AV93" s="309"/>
      <c r="AW93" s="309"/>
      <c r="AX93" s="309"/>
      <c r="AY93" s="309"/>
      <c r="AZ93" s="309"/>
      <c r="BA93" s="309"/>
      <c r="BB93" s="309"/>
      <c r="BC93" s="309"/>
      <c r="BD93" s="309"/>
    </row>
    <row r="94" spans="1:56" hidden="1" outlineLevel="1" x14ac:dyDescent="0.25">
      <c r="A94" s="288"/>
      <c r="B94" s="292"/>
      <c r="C94" s="192"/>
      <c r="D94" s="192"/>
      <c r="E94" s="192"/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308"/>
      <c r="S94" s="192"/>
      <c r="T94" s="192"/>
      <c r="U94" s="192"/>
      <c r="V94" s="192"/>
      <c r="W94" s="192"/>
      <c r="X94" s="192"/>
      <c r="Y94" s="192"/>
      <c r="Z94" s="192"/>
      <c r="AA94" s="192"/>
      <c r="AB94" s="192"/>
      <c r="AC94" s="192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09"/>
      <c r="AQ94" s="309"/>
      <c r="AR94" s="309"/>
      <c r="AS94" s="308"/>
      <c r="AT94" s="309"/>
      <c r="AU94" s="309"/>
      <c r="AV94" s="309"/>
      <c r="AW94" s="309"/>
      <c r="AX94" s="309"/>
      <c r="AY94" s="309"/>
      <c r="AZ94" s="309"/>
      <c r="BA94" s="309"/>
      <c r="BB94" s="309"/>
      <c r="BC94" s="309"/>
      <c r="BD94" s="309"/>
    </row>
    <row r="95" spans="1:56" hidden="1" outlineLevel="1" x14ac:dyDescent="0.25">
      <c r="A95" s="288"/>
      <c r="B95" s="292"/>
      <c r="C95" s="192"/>
      <c r="D95" s="192"/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308"/>
      <c r="S95" s="192"/>
      <c r="T95" s="192"/>
      <c r="U95" s="192"/>
      <c r="V95" s="192"/>
      <c r="W95" s="192"/>
      <c r="X95" s="192"/>
      <c r="Y95" s="192"/>
      <c r="Z95" s="192"/>
      <c r="AA95" s="192"/>
      <c r="AB95" s="192"/>
      <c r="AC95" s="192"/>
      <c r="AD95" s="309"/>
      <c r="AE95" s="309"/>
      <c r="AF95" s="309"/>
      <c r="AG95" s="309"/>
      <c r="AH95" s="309"/>
      <c r="AI95" s="309"/>
      <c r="AJ95" s="309"/>
      <c r="AK95" s="309"/>
      <c r="AL95" s="309"/>
      <c r="AM95" s="309"/>
      <c r="AN95" s="309"/>
      <c r="AO95" s="309"/>
      <c r="AP95" s="309"/>
      <c r="AQ95" s="309"/>
      <c r="AR95" s="309"/>
      <c r="AS95" s="308"/>
      <c r="AT95" s="309"/>
      <c r="AU95" s="309"/>
      <c r="AV95" s="309"/>
      <c r="AW95" s="309"/>
      <c r="AX95" s="309"/>
      <c r="AY95" s="309"/>
      <c r="AZ95" s="309"/>
      <c r="BA95" s="309"/>
      <c r="BB95" s="309"/>
      <c r="BC95" s="309"/>
      <c r="BD95" s="309"/>
    </row>
    <row r="96" spans="1:56" hidden="1" outlineLevel="1" x14ac:dyDescent="0.25">
      <c r="A96" s="288"/>
      <c r="B96" s="292"/>
      <c r="C96" s="192"/>
      <c r="D96" s="192"/>
      <c r="E96" s="192"/>
      <c r="F96" s="192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308"/>
      <c r="S96" s="192"/>
      <c r="T96" s="192"/>
      <c r="U96" s="192"/>
      <c r="V96" s="192"/>
      <c r="W96" s="192"/>
      <c r="X96" s="192"/>
      <c r="Y96" s="192"/>
      <c r="Z96" s="192"/>
      <c r="AA96" s="192"/>
      <c r="AB96" s="192"/>
      <c r="AC96" s="192"/>
      <c r="AD96" s="309"/>
      <c r="AE96" s="309"/>
      <c r="AF96" s="309"/>
      <c r="AG96" s="309"/>
      <c r="AH96" s="309"/>
      <c r="AI96" s="309"/>
      <c r="AJ96" s="309"/>
      <c r="AK96" s="309"/>
      <c r="AL96" s="309"/>
      <c r="AM96" s="309"/>
      <c r="AN96" s="309"/>
      <c r="AO96" s="309"/>
      <c r="AP96" s="309"/>
      <c r="AQ96" s="309"/>
      <c r="AR96" s="309"/>
      <c r="AS96" s="308"/>
      <c r="AT96" s="309"/>
      <c r="AU96" s="309"/>
      <c r="AV96" s="309"/>
      <c r="AW96" s="309"/>
      <c r="AX96" s="309"/>
      <c r="AY96" s="309"/>
      <c r="AZ96" s="309"/>
      <c r="BA96" s="309"/>
      <c r="BB96" s="309"/>
      <c r="BC96" s="309"/>
      <c r="BD96" s="309"/>
    </row>
    <row r="97" spans="1:56" hidden="1" outlineLevel="1" x14ac:dyDescent="0.25">
      <c r="A97" s="288"/>
      <c r="B97" s="292"/>
      <c r="C97" s="192"/>
      <c r="D97" s="192"/>
      <c r="E97" s="192"/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308"/>
      <c r="S97" s="192"/>
      <c r="T97" s="192"/>
      <c r="U97" s="192"/>
      <c r="V97" s="192"/>
      <c r="W97" s="192"/>
      <c r="X97" s="192"/>
      <c r="Y97" s="192"/>
      <c r="Z97" s="192"/>
      <c r="AA97" s="192"/>
      <c r="AB97" s="192"/>
      <c r="AC97" s="192"/>
      <c r="AD97" s="309"/>
      <c r="AE97" s="309"/>
      <c r="AF97" s="309"/>
      <c r="AG97" s="309"/>
      <c r="AH97" s="309"/>
      <c r="AI97" s="309"/>
      <c r="AJ97" s="309"/>
      <c r="AK97" s="309"/>
      <c r="AL97" s="309"/>
      <c r="AM97" s="309"/>
      <c r="AN97" s="309"/>
      <c r="AO97" s="309"/>
      <c r="AP97" s="309"/>
      <c r="AQ97" s="309"/>
      <c r="AR97" s="309"/>
      <c r="AS97" s="308"/>
      <c r="AT97" s="309"/>
      <c r="AU97" s="309"/>
      <c r="AV97" s="309"/>
      <c r="AW97" s="309"/>
      <c r="AX97" s="309"/>
      <c r="AY97" s="309"/>
      <c r="AZ97" s="309"/>
      <c r="BA97" s="309"/>
      <c r="BB97" s="309"/>
      <c r="BC97" s="309"/>
      <c r="BD97" s="309"/>
    </row>
    <row r="98" spans="1:56" hidden="1" outlineLevel="1" x14ac:dyDescent="0.25">
      <c r="A98" s="288"/>
      <c r="B98" s="292"/>
      <c r="C98" s="192"/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308"/>
      <c r="S98" s="192"/>
      <c r="T98" s="192"/>
      <c r="U98" s="192"/>
      <c r="V98" s="192"/>
      <c r="W98" s="192"/>
      <c r="X98" s="192"/>
      <c r="Y98" s="192"/>
      <c r="Z98" s="192"/>
      <c r="AA98" s="192"/>
      <c r="AB98" s="192"/>
      <c r="AC98" s="192"/>
      <c r="AD98" s="309"/>
      <c r="AE98" s="309"/>
      <c r="AF98" s="309"/>
      <c r="AG98" s="309"/>
      <c r="AH98" s="309"/>
      <c r="AI98" s="309"/>
      <c r="AJ98" s="309"/>
      <c r="AK98" s="309"/>
      <c r="AL98" s="309"/>
      <c r="AM98" s="309"/>
      <c r="AN98" s="309"/>
      <c r="AO98" s="309"/>
      <c r="AP98" s="309"/>
      <c r="AQ98" s="309"/>
      <c r="AR98" s="309"/>
      <c r="AS98" s="308"/>
      <c r="AT98" s="309"/>
      <c r="AU98" s="309"/>
      <c r="AV98" s="309"/>
      <c r="AW98" s="309"/>
      <c r="AX98" s="309"/>
      <c r="AY98" s="309"/>
      <c r="AZ98" s="309"/>
      <c r="BA98" s="309"/>
      <c r="BB98" s="309"/>
      <c r="BC98" s="309"/>
      <c r="BD98" s="309"/>
    </row>
    <row r="99" spans="1:56" hidden="1" outlineLevel="1" x14ac:dyDescent="0.25">
      <c r="A99" s="288"/>
      <c r="B99" s="292"/>
      <c r="C99" s="192"/>
      <c r="D99" s="192"/>
      <c r="E99" s="192"/>
      <c r="F99" s="192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308"/>
      <c r="S99" s="192"/>
      <c r="T99" s="192"/>
      <c r="U99" s="192"/>
      <c r="V99" s="192"/>
      <c r="W99" s="192"/>
      <c r="X99" s="192"/>
      <c r="Y99" s="192"/>
      <c r="Z99" s="192"/>
      <c r="AA99" s="192"/>
      <c r="AB99" s="192"/>
      <c r="AC99" s="192"/>
      <c r="AD99" s="309"/>
      <c r="AE99" s="309"/>
      <c r="AF99" s="309"/>
      <c r="AG99" s="309"/>
      <c r="AH99" s="309"/>
      <c r="AI99" s="309"/>
      <c r="AJ99" s="309"/>
      <c r="AK99" s="309"/>
      <c r="AL99" s="309"/>
      <c r="AM99" s="309"/>
      <c r="AN99" s="309"/>
      <c r="AO99" s="309"/>
      <c r="AP99" s="309"/>
      <c r="AQ99" s="309"/>
      <c r="AR99" s="309"/>
      <c r="AS99" s="308"/>
      <c r="AT99" s="309"/>
      <c r="AU99" s="309"/>
      <c r="AV99" s="309"/>
      <c r="AW99" s="309"/>
      <c r="AX99" s="309"/>
      <c r="AY99" s="309"/>
      <c r="AZ99" s="309"/>
      <c r="BA99" s="309"/>
      <c r="BB99" s="309"/>
      <c r="BC99" s="309"/>
      <c r="BD99" s="309"/>
    </row>
    <row r="100" spans="1:56" hidden="1" outlineLevel="1" x14ac:dyDescent="0.25">
      <c r="A100" s="288"/>
      <c r="B100" s="292"/>
      <c r="C100" s="192"/>
      <c r="D100" s="192"/>
      <c r="E100" s="192"/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308"/>
      <c r="S100" s="192"/>
      <c r="T100" s="192"/>
      <c r="U100" s="192"/>
      <c r="V100" s="192"/>
      <c r="W100" s="192"/>
      <c r="X100" s="192"/>
      <c r="Y100" s="192"/>
      <c r="Z100" s="192"/>
      <c r="AA100" s="192"/>
      <c r="AB100" s="192"/>
      <c r="AC100" s="192"/>
      <c r="AD100" s="309"/>
      <c r="AE100" s="309"/>
      <c r="AF100" s="309"/>
      <c r="AG100" s="309"/>
      <c r="AH100" s="309"/>
      <c r="AI100" s="309"/>
      <c r="AJ100" s="309"/>
      <c r="AK100" s="309"/>
      <c r="AL100" s="309"/>
      <c r="AM100" s="309"/>
      <c r="AN100" s="309"/>
      <c r="AO100" s="309"/>
      <c r="AP100" s="309"/>
      <c r="AQ100" s="309"/>
      <c r="AR100" s="309"/>
      <c r="AS100" s="308"/>
      <c r="AT100" s="309"/>
      <c r="AU100" s="309"/>
      <c r="AV100" s="309"/>
      <c r="AW100" s="309"/>
      <c r="AX100" s="309"/>
      <c r="AY100" s="309"/>
      <c r="AZ100" s="309"/>
      <c r="BA100" s="309"/>
      <c r="BB100" s="309"/>
      <c r="BC100" s="309"/>
      <c r="BD100" s="309"/>
    </row>
    <row r="101" spans="1:56" hidden="1" outlineLevel="1" x14ac:dyDescent="0.25">
      <c r="A101" s="288"/>
      <c r="B101" s="292"/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308"/>
      <c r="S101" s="192"/>
      <c r="T101" s="192"/>
      <c r="U101" s="192"/>
      <c r="V101" s="192"/>
      <c r="W101" s="192"/>
      <c r="X101" s="192"/>
      <c r="Y101" s="192"/>
      <c r="Z101" s="192"/>
      <c r="AA101" s="192"/>
      <c r="AB101" s="192"/>
      <c r="AC101" s="192"/>
      <c r="AD101" s="309"/>
      <c r="AE101" s="309"/>
      <c r="AF101" s="309"/>
      <c r="AG101" s="309"/>
      <c r="AH101" s="309"/>
      <c r="AI101" s="309"/>
      <c r="AJ101" s="309"/>
      <c r="AK101" s="309"/>
      <c r="AL101" s="309"/>
      <c r="AM101" s="309"/>
      <c r="AN101" s="309"/>
      <c r="AO101" s="309"/>
      <c r="AP101" s="309"/>
      <c r="AQ101" s="309"/>
      <c r="AR101" s="309"/>
      <c r="AS101" s="308"/>
      <c r="AT101" s="309"/>
      <c r="AU101" s="309"/>
      <c r="AV101" s="309"/>
      <c r="AW101" s="309"/>
      <c r="AX101" s="309"/>
      <c r="AY101" s="309"/>
      <c r="AZ101" s="309"/>
      <c r="BA101" s="309"/>
      <c r="BB101" s="309"/>
      <c r="BC101" s="309"/>
      <c r="BD101" s="309"/>
    </row>
    <row r="102" spans="1:56" hidden="1" outlineLevel="1" x14ac:dyDescent="0.25">
      <c r="A102" s="288"/>
      <c r="B102" s="292"/>
      <c r="C102" s="192"/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308"/>
      <c r="S102" s="192"/>
      <c r="T102" s="192"/>
      <c r="U102" s="192"/>
      <c r="V102" s="192"/>
      <c r="W102" s="192"/>
      <c r="X102" s="192"/>
      <c r="Y102" s="192"/>
      <c r="Z102" s="192"/>
      <c r="AA102" s="192"/>
      <c r="AB102" s="192"/>
      <c r="AC102" s="192"/>
      <c r="AD102" s="309"/>
      <c r="AE102" s="309"/>
      <c r="AF102" s="309"/>
      <c r="AG102" s="309"/>
      <c r="AH102" s="309"/>
      <c r="AI102" s="309"/>
      <c r="AJ102" s="309"/>
      <c r="AK102" s="309"/>
      <c r="AL102" s="309"/>
      <c r="AM102" s="309"/>
      <c r="AN102" s="309"/>
      <c r="AO102" s="309"/>
      <c r="AP102" s="309"/>
      <c r="AQ102" s="309"/>
      <c r="AR102" s="309"/>
      <c r="AS102" s="308"/>
      <c r="AT102" s="309"/>
      <c r="AU102" s="309"/>
      <c r="AV102" s="309"/>
      <c r="AW102" s="309"/>
      <c r="AX102" s="309"/>
      <c r="AY102" s="309"/>
      <c r="AZ102" s="309"/>
      <c r="BA102" s="309"/>
      <c r="BB102" s="309"/>
      <c r="BC102" s="309"/>
      <c r="BD102" s="309"/>
    </row>
    <row r="103" spans="1:56" hidden="1" outlineLevel="1" x14ac:dyDescent="0.25">
      <c r="A103" s="288"/>
      <c r="B103" s="292"/>
      <c r="C103" s="192"/>
      <c r="D103" s="192"/>
      <c r="E103" s="192"/>
      <c r="F103" s="192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308"/>
      <c r="S103" s="192"/>
      <c r="T103" s="192"/>
      <c r="U103" s="192"/>
      <c r="V103" s="192"/>
      <c r="W103" s="192"/>
      <c r="X103" s="192"/>
      <c r="Y103" s="192"/>
      <c r="Z103" s="192"/>
      <c r="AA103" s="192"/>
      <c r="AB103" s="192"/>
      <c r="AC103" s="192"/>
      <c r="AD103" s="309"/>
      <c r="AE103" s="309"/>
      <c r="AF103" s="309"/>
      <c r="AG103" s="309"/>
      <c r="AH103" s="309"/>
      <c r="AI103" s="309"/>
      <c r="AJ103" s="309"/>
      <c r="AK103" s="309"/>
      <c r="AL103" s="309"/>
      <c r="AM103" s="309"/>
      <c r="AN103" s="309"/>
      <c r="AO103" s="309"/>
      <c r="AP103" s="309"/>
      <c r="AQ103" s="309"/>
      <c r="AR103" s="309"/>
      <c r="AS103" s="308"/>
      <c r="AT103" s="309"/>
      <c r="AU103" s="309"/>
      <c r="AV103" s="309"/>
      <c r="AW103" s="309"/>
      <c r="AX103" s="309"/>
      <c r="AY103" s="309"/>
      <c r="AZ103" s="309"/>
      <c r="BA103" s="309"/>
      <c r="BB103" s="309"/>
      <c r="BC103" s="309"/>
      <c r="BD103" s="309"/>
    </row>
    <row r="104" spans="1:56" hidden="1" outlineLevel="1" x14ac:dyDescent="0.25">
      <c r="A104" s="288"/>
      <c r="B104" s="292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308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309"/>
      <c r="AE104" s="309"/>
      <c r="AF104" s="309"/>
      <c r="AG104" s="309"/>
      <c r="AH104" s="309"/>
      <c r="AI104" s="309"/>
      <c r="AJ104" s="309"/>
      <c r="AK104" s="309"/>
      <c r="AL104" s="309"/>
      <c r="AM104" s="309"/>
      <c r="AN104" s="309"/>
      <c r="AO104" s="309"/>
      <c r="AP104" s="309"/>
      <c r="AQ104" s="309"/>
      <c r="AR104" s="309"/>
      <c r="AS104" s="308"/>
      <c r="AT104" s="309"/>
      <c r="AU104" s="309"/>
      <c r="AV104" s="309"/>
      <c r="AW104" s="309"/>
      <c r="AX104" s="309"/>
      <c r="AY104" s="309"/>
      <c r="AZ104" s="309"/>
      <c r="BA104" s="309"/>
      <c r="BB104" s="309"/>
      <c r="BC104" s="309"/>
      <c r="BD104" s="309"/>
    </row>
    <row r="105" spans="1:56" hidden="1" outlineLevel="1" x14ac:dyDescent="0.25">
      <c r="A105" s="288"/>
      <c r="B105" s="292"/>
      <c r="C105" s="192"/>
      <c r="D105" s="192"/>
      <c r="E105" s="192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308"/>
      <c r="S105" s="192"/>
      <c r="T105" s="192"/>
      <c r="U105" s="192"/>
      <c r="V105" s="192"/>
      <c r="W105" s="192"/>
      <c r="X105" s="192"/>
      <c r="Y105" s="192"/>
      <c r="Z105" s="192"/>
      <c r="AA105" s="192"/>
      <c r="AB105" s="192"/>
      <c r="AC105" s="192"/>
      <c r="AD105" s="309"/>
      <c r="AE105" s="309"/>
      <c r="AF105" s="309"/>
      <c r="AG105" s="309"/>
      <c r="AH105" s="309"/>
      <c r="AI105" s="309"/>
      <c r="AJ105" s="309"/>
      <c r="AK105" s="309"/>
      <c r="AL105" s="309"/>
      <c r="AM105" s="309"/>
      <c r="AN105" s="309"/>
      <c r="AO105" s="309"/>
      <c r="AP105" s="309"/>
      <c r="AQ105" s="309"/>
      <c r="AR105" s="309"/>
      <c r="AS105" s="308"/>
      <c r="AT105" s="309"/>
      <c r="AU105" s="309"/>
      <c r="AV105" s="309"/>
      <c r="AW105" s="309"/>
      <c r="AX105" s="309"/>
      <c r="AY105" s="309"/>
      <c r="AZ105" s="309"/>
      <c r="BA105" s="309"/>
      <c r="BB105" s="309"/>
      <c r="BC105" s="309"/>
      <c r="BD105" s="309"/>
    </row>
    <row r="106" spans="1:56" hidden="1" outlineLevel="1" x14ac:dyDescent="0.25">
      <c r="A106" s="288"/>
      <c r="B106" s="292"/>
      <c r="C106" s="192"/>
      <c r="D106" s="192"/>
      <c r="E106" s="192"/>
      <c r="F106" s="192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308"/>
      <c r="S106" s="192"/>
      <c r="T106" s="192"/>
      <c r="U106" s="192"/>
      <c r="V106" s="192"/>
      <c r="W106" s="192"/>
      <c r="X106" s="192"/>
      <c r="Y106" s="192"/>
      <c r="Z106" s="192"/>
      <c r="AA106" s="192"/>
      <c r="AB106" s="192"/>
      <c r="AC106" s="192"/>
      <c r="AD106" s="309"/>
      <c r="AE106" s="309"/>
      <c r="AF106" s="309"/>
      <c r="AG106" s="309"/>
      <c r="AH106" s="309"/>
      <c r="AI106" s="309"/>
      <c r="AJ106" s="309"/>
      <c r="AK106" s="309"/>
      <c r="AL106" s="309"/>
      <c r="AM106" s="309"/>
      <c r="AN106" s="309"/>
      <c r="AO106" s="309"/>
      <c r="AP106" s="309"/>
      <c r="AQ106" s="309"/>
      <c r="AR106" s="309"/>
      <c r="AS106" s="308"/>
      <c r="AT106" s="309"/>
      <c r="AU106" s="309"/>
      <c r="AV106" s="309"/>
      <c r="AW106" s="309"/>
      <c r="AX106" s="309"/>
      <c r="AY106" s="309"/>
      <c r="AZ106" s="309"/>
      <c r="BA106" s="309"/>
      <c r="BB106" s="309"/>
      <c r="BC106" s="309"/>
      <c r="BD106" s="309"/>
    </row>
    <row r="107" spans="1:56" hidden="1" outlineLevel="1" x14ac:dyDescent="0.25">
      <c r="A107" s="288"/>
      <c r="B107" s="292"/>
      <c r="C107" s="192"/>
      <c r="D107" s="192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308"/>
      <c r="S107" s="192"/>
      <c r="T107" s="192"/>
      <c r="U107" s="192"/>
      <c r="V107" s="192"/>
      <c r="W107" s="192"/>
      <c r="X107" s="192"/>
      <c r="Y107" s="192"/>
      <c r="Z107" s="192"/>
      <c r="AA107" s="192"/>
      <c r="AB107" s="192"/>
      <c r="AC107" s="192"/>
      <c r="AD107" s="309"/>
      <c r="AE107" s="309"/>
      <c r="AF107" s="309"/>
      <c r="AG107" s="309"/>
      <c r="AH107" s="309"/>
      <c r="AI107" s="309"/>
      <c r="AJ107" s="309"/>
      <c r="AK107" s="309"/>
      <c r="AL107" s="309"/>
      <c r="AM107" s="309"/>
      <c r="AN107" s="309"/>
      <c r="AO107" s="309"/>
      <c r="AP107" s="309"/>
      <c r="AQ107" s="309"/>
      <c r="AR107" s="309"/>
      <c r="AS107" s="308"/>
      <c r="AT107" s="309"/>
      <c r="AU107" s="309"/>
      <c r="AV107" s="309"/>
      <c r="AW107" s="309"/>
      <c r="AX107" s="309"/>
      <c r="AY107" s="309"/>
      <c r="AZ107" s="309"/>
      <c r="BA107" s="309"/>
      <c r="BB107" s="309"/>
      <c r="BC107" s="309"/>
      <c r="BD107" s="309"/>
    </row>
    <row r="108" spans="1:56" hidden="1" outlineLevel="1" x14ac:dyDescent="0.25">
      <c r="A108" s="288"/>
      <c r="B108" s="292"/>
      <c r="C108" s="192"/>
      <c r="D108" s="192"/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308"/>
      <c r="S108" s="192"/>
      <c r="T108" s="192"/>
      <c r="U108" s="192"/>
      <c r="V108" s="192"/>
      <c r="W108" s="192"/>
      <c r="X108" s="192"/>
      <c r="Y108" s="192"/>
      <c r="Z108" s="192"/>
      <c r="AA108" s="192"/>
      <c r="AB108" s="192"/>
      <c r="AC108" s="192"/>
      <c r="AD108" s="309"/>
      <c r="AE108" s="309"/>
      <c r="AF108" s="309"/>
      <c r="AG108" s="309"/>
      <c r="AH108" s="309"/>
      <c r="AI108" s="309"/>
      <c r="AJ108" s="309"/>
      <c r="AK108" s="309"/>
      <c r="AL108" s="309"/>
      <c r="AM108" s="309"/>
      <c r="AN108" s="309"/>
      <c r="AO108" s="309"/>
      <c r="AP108" s="309"/>
      <c r="AQ108" s="309"/>
      <c r="AR108" s="309"/>
      <c r="AS108" s="308"/>
      <c r="AT108" s="309"/>
      <c r="AU108" s="309"/>
      <c r="AV108" s="309"/>
      <c r="AW108" s="309"/>
      <c r="AX108" s="309"/>
      <c r="AY108" s="309"/>
      <c r="AZ108" s="309"/>
      <c r="BA108" s="309"/>
      <c r="BB108" s="309"/>
      <c r="BC108" s="309"/>
      <c r="BD108" s="309"/>
    </row>
    <row r="109" spans="1:56" hidden="1" outlineLevel="1" x14ac:dyDescent="0.25">
      <c r="A109" s="288"/>
      <c r="B109" s="292"/>
      <c r="C109" s="192"/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308"/>
      <c r="S109" s="192"/>
      <c r="T109" s="192"/>
      <c r="U109" s="192"/>
      <c r="V109" s="192"/>
      <c r="W109" s="192"/>
      <c r="X109" s="192"/>
      <c r="Y109" s="192"/>
      <c r="Z109" s="192"/>
      <c r="AA109" s="192"/>
      <c r="AB109" s="192"/>
      <c r="AC109" s="192"/>
      <c r="AD109" s="309"/>
      <c r="AE109" s="309"/>
      <c r="AF109" s="309"/>
      <c r="AG109" s="309"/>
      <c r="AH109" s="309"/>
      <c r="AI109" s="309"/>
      <c r="AJ109" s="309"/>
      <c r="AK109" s="309"/>
      <c r="AL109" s="309"/>
      <c r="AM109" s="309"/>
      <c r="AN109" s="309"/>
      <c r="AO109" s="309"/>
      <c r="AP109" s="309"/>
      <c r="AQ109" s="309"/>
      <c r="AR109" s="309"/>
      <c r="AS109" s="308"/>
      <c r="AT109" s="309"/>
      <c r="AU109" s="309"/>
      <c r="AV109" s="309"/>
      <c r="AW109" s="309"/>
      <c r="AX109" s="309"/>
      <c r="AY109" s="309"/>
      <c r="AZ109" s="309"/>
      <c r="BA109" s="309"/>
      <c r="BB109" s="309"/>
      <c r="BC109" s="309"/>
      <c r="BD109" s="309"/>
    </row>
    <row r="110" spans="1:56" hidden="1" outlineLevel="1" x14ac:dyDescent="0.25">
      <c r="A110" s="288"/>
      <c r="B110" s="292"/>
      <c r="C110" s="192"/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308"/>
      <c r="S110" s="192"/>
      <c r="T110" s="192"/>
      <c r="U110" s="192"/>
      <c r="V110" s="192"/>
      <c r="W110" s="192"/>
      <c r="X110" s="192"/>
      <c r="Y110" s="192"/>
      <c r="Z110" s="192"/>
      <c r="AA110" s="192"/>
      <c r="AB110" s="192"/>
      <c r="AC110" s="192"/>
      <c r="AD110" s="309"/>
      <c r="AE110" s="309"/>
      <c r="AF110" s="309"/>
      <c r="AG110" s="309"/>
      <c r="AH110" s="309"/>
      <c r="AI110" s="309"/>
      <c r="AJ110" s="309"/>
      <c r="AK110" s="309"/>
      <c r="AL110" s="309"/>
      <c r="AM110" s="309"/>
      <c r="AN110" s="309"/>
      <c r="AO110" s="309"/>
      <c r="AP110" s="309"/>
      <c r="AQ110" s="309"/>
      <c r="AR110" s="309"/>
      <c r="AS110" s="308"/>
      <c r="AT110" s="309"/>
      <c r="AU110" s="309"/>
      <c r="AV110" s="309"/>
      <c r="AW110" s="309"/>
      <c r="AX110" s="309"/>
      <c r="AY110" s="309"/>
      <c r="AZ110" s="309"/>
      <c r="BA110" s="309"/>
      <c r="BB110" s="309"/>
      <c r="BC110" s="309"/>
      <c r="BD110" s="309"/>
    </row>
    <row r="111" spans="1:56" hidden="1" outlineLevel="1" x14ac:dyDescent="0.25">
      <c r="A111" s="288"/>
      <c r="B111" s="292"/>
      <c r="C111" s="192"/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308"/>
      <c r="S111" s="192"/>
      <c r="T111" s="192"/>
      <c r="U111" s="192"/>
      <c r="V111" s="192"/>
      <c r="W111" s="192"/>
      <c r="X111" s="192"/>
      <c r="Y111" s="192"/>
      <c r="Z111" s="192"/>
      <c r="AA111" s="192"/>
      <c r="AB111" s="192"/>
      <c r="AC111" s="192"/>
      <c r="AD111" s="309"/>
      <c r="AE111" s="309"/>
      <c r="AF111" s="309"/>
      <c r="AG111" s="309"/>
      <c r="AH111" s="309"/>
      <c r="AI111" s="309"/>
      <c r="AJ111" s="309"/>
      <c r="AK111" s="309"/>
      <c r="AL111" s="309"/>
      <c r="AM111" s="309"/>
      <c r="AN111" s="309"/>
      <c r="AO111" s="309"/>
      <c r="AP111" s="309"/>
      <c r="AQ111" s="309"/>
      <c r="AR111" s="309"/>
      <c r="AS111" s="308"/>
      <c r="AT111" s="309"/>
      <c r="AU111" s="309"/>
      <c r="AV111" s="309"/>
      <c r="AW111" s="309"/>
      <c r="AX111" s="309"/>
      <c r="AY111" s="309"/>
      <c r="AZ111" s="309"/>
      <c r="BA111" s="309"/>
      <c r="BB111" s="309"/>
      <c r="BC111" s="309"/>
      <c r="BD111" s="309"/>
    </row>
    <row r="112" spans="1:56" hidden="1" outlineLevel="1" x14ac:dyDescent="0.25">
      <c r="A112" s="288"/>
      <c r="B112" s="292"/>
      <c r="C112" s="192"/>
      <c r="D112" s="192"/>
      <c r="E112" s="192"/>
      <c r="F112" s="192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308"/>
      <c r="S112" s="192"/>
      <c r="T112" s="192"/>
      <c r="U112" s="192"/>
      <c r="V112" s="192"/>
      <c r="W112" s="192"/>
      <c r="X112" s="192"/>
      <c r="Y112" s="192"/>
      <c r="Z112" s="192"/>
      <c r="AA112" s="192"/>
      <c r="AB112" s="192"/>
      <c r="AC112" s="192"/>
      <c r="AD112" s="309"/>
      <c r="AE112" s="309"/>
      <c r="AF112" s="309"/>
      <c r="AG112" s="309"/>
      <c r="AH112" s="309"/>
      <c r="AI112" s="309"/>
      <c r="AJ112" s="309"/>
      <c r="AK112" s="309"/>
      <c r="AL112" s="309"/>
      <c r="AM112" s="309"/>
      <c r="AN112" s="309"/>
      <c r="AO112" s="309"/>
      <c r="AP112" s="309"/>
      <c r="AQ112" s="309"/>
      <c r="AR112" s="309"/>
      <c r="AS112" s="308"/>
      <c r="AT112" s="309"/>
      <c r="AU112" s="309"/>
      <c r="AV112" s="309"/>
      <c r="AW112" s="309"/>
      <c r="AX112" s="309"/>
      <c r="AY112" s="309"/>
      <c r="AZ112" s="309"/>
      <c r="BA112" s="309"/>
      <c r="BB112" s="309"/>
      <c r="BC112" s="309"/>
      <c r="BD112" s="309"/>
    </row>
    <row r="113" spans="1:56" hidden="1" outlineLevel="1" x14ac:dyDescent="0.25">
      <c r="A113" s="288"/>
      <c r="B113" s="292"/>
      <c r="C113" s="192"/>
      <c r="D113" s="192"/>
      <c r="E113" s="192"/>
      <c r="F113" s="192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308"/>
      <c r="S113" s="192"/>
      <c r="T113" s="192"/>
      <c r="U113" s="192"/>
      <c r="V113" s="192"/>
      <c r="W113" s="192"/>
      <c r="X113" s="192"/>
      <c r="Y113" s="192"/>
      <c r="Z113" s="192"/>
      <c r="AA113" s="192"/>
      <c r="AB113" s="192"/>
      <c r="AC113" s="192"/>
      <c r="AD113" s="309"/>
      <c r="AE113" s="309"/>
      <c r="AF113" s="309"/>
      <c r="AG113" s="309"/>
      <c r="AH113" s="309"/>
      <c r="AI113" s="309"/>
      <c r="AJ113" s="309"/>
      <c r="AK113" s="309"/>
      <c r="AL113" s="309"/>
      <c r="AM113" s="309"/>
      <c r="AN113" s="309"/>
      <c r="AO113" s="309"/>
      <c r="AP113" s="309"/>
      <c r="AQ113" s="309"/>
      <c r="AR113" s="309"/>
      <c r="AS113" s="308"/>
      <c r="AT113" s="309"/>
      <c r="AU113" s="309"/>
      <c r="AV113" s="309"/>
      <c r="AW113" s="309"/>
      <c r="AX113" s="309"/>
      <c r="AY113" s="309"/>
      <c r="AZ113" s="309"/>
      <c r="BA113" s="309"/>
      <c r="BB113" s="309"/>
      <c r="BC113" s="309"/>
      <c r="BD113" s="309"/>
    </row>
    <row r="114" spans="1:56" hidden="1" outlineLevel="1" x14ac:dyDescent="0.25">
      <c r="A114" s="288"/>
      <c r="B114" s="292"/>
      <c r="C114" s="192"/>
      <c r="D114" s="192"/>
      <c r="E114" s="192"/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308"/>
      <c r="S114" s="192"/>
      <c r="T114" s="192"/>
      <c r="U114" s="192"/>
      <c r="V114" s="192"/>
      <c r="W114" s="192"/>
      <c r="X114" s="192"/>
      <c r="Y114" s="192"/>
      <c r="Z114" s="192"/>
      <c r="AA114" s="192"/>
      <c r="AB114" s="192"/>
      <c r="AC114" s="192"/>
      <c r="AD114" s="309"/>
      <c r="AE114" s="309"/>
      <c r="AF114" s="309"/>
      <c r="AG114" s="309"/>
      <c r="AH114" s="309"/>
      <c r="AI114" s="309"/>
      <c r="AJ114" s="309"/>
      <c r="AK114" s="309"/>
      <c r="AL114" s="309"/>
      <c r="AM114" s="309"/>
      <c r="AN114" s="309"/>
      <c r="AO114" s="309"/>
      <c r="AP114" s="309"/>
      <c r="AQ114" s="309"/>
      <c r="AR114" s="309"/>
      <c r="AS114" s="308"/>
      <c r="AT114" s="309"/>
      <c r="AU114" s="309"/>
      <c r="AV114" s="309"/>
      <c r="AW114" s="309"/>
      <c r="AX114" s="309"/>
      <c r="AY114" s="309"/>
      <c r="AZ114" s="309"/>
      <c r="BA114" s="309"/>
      <c r="BB114" s="309"/>
      <c r="BC114" s="309"/>
      <c r="BD114" s="309"/>
    </row>
    <row r="115" spans="1:56" hidden="1" outlineLevel="1" x14ac:dyDescent="0.25">
      <c r="A115" s="288"/>
      <c r="B115" s="292"/>
      <c r="C115" s="192"/>
      <c r="D115" s="192"/>
      <c r="E115" s="192"/>
      <c r="F115" s="192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308"/>
      <c r="S115" s="192"/>
      <c r="T115" s="192"/>
      <c r="U115" s="192"/>
      <c r="V115" s="192"/>
      <c r="W115" s="192"/>
      <c r="X115" s="192"/>
      <c r="Y115" s="192"/>
      <c r="Z115" s="192"/>
      <c r="AA115" s="192"/>
      <c r="AB115" s="192"/>
      <c r="AC115" s="192"/>
      <c r="AD115" s="309"/>
      <c r="AE115" s="309"/>
      <c r="AF115" s="309"/>
      <c r="AG115" s="309"/>
      <c r="AH115" s="309"/>
      <c r="AI115" s="309"/>
      <c r="AJ115" s="309"/>
      <c r="AK115" s="309"/>
      <c r="AL115" s="309"/>
      <c r="AM115" s="309"/>
      <c r="AN115" s="309"/>
      <c r="AO115" s="309"/>
      <c r="AP115" s="309"/>
      <c r="AQ115" s="309"/>
      <c r="AR115" s="309"/>
      <c r="AS115" s="308"/>
      <c r="AT115" s="309"/>
      <c r="AU115" s="309"/>
      <c r="AV115" s="309"/>
      <c r="AW115" s="309"/>
      <c r="AX115" s="309"/>
      <c r="AY115" s="309"/>
      <c r="AZ115" s="309"/>
      <c r="BA115" s="309"/>
      <c r="BB115" s="309"/>
      <c r="BC115" s="309"/>
      <c r="BD115" s="309"/>
    </row>
    <row r="116" spans="1:56" hidden="1" outlineLevel="1" x14ac:dyDescent="0.25">
      <c r="A116" s="288"/>
      <c r="B116" s="292"/>
      <c r="C116" s="192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308"/>
      <c r="S116" s="192"/>
      <c r="T116" s="192"/>
      <c r="U116" s="192"/>
      <c r="V116" s="192"/>
      <c r="W116" s="192"/>
      <c r="X116" s="192"/>
      <c r="Y116" s="192"/>
      <c r="Z116" s="192"/>
      <c r="AA116" s="192"/>
      <c r="AB116" s="192"/>
      <c r="AC116" s="192"/>
      <c r="AD116" s="309"/>
      <c r="AE116" s="309"/>
      <c r="AF116" s="309"/>
      <c r="AG116" s="309"/>
      <c r="AH116" s="309"/>
      <c r="AI116" s="309"/>
      <c r="AJ116" s="309"/>
      <c r="AK116" s="309"/>
      <c r="AL116" s="309"/>
      <c r="AM116" s="309"/>
      <c r="AN116" s="309"/>
      <c r="AO116" s="309"/>
      <c r="AP116" s="309"/>
      <c r="AQ116" s="309"/>
      <c r="AR116" s="309"/>
      <c r="AS116" s="308"/>
      <c r="AT116" s="309"/>
      <c r="AU116" s="309"/>
      <c r="AV116" s="309"/>
      <c r="AW116" s="309"/>
      <c r="AX116" s="309"/>
      <c r="AY116" s="309"/>
      <c r="AZ116" s="309"/>
      <c r="BA116" s="309"/>
      <c r="BB116" s="309"/>
      <c r="BC116" s="309"/>
      <c r="BD116" s="309"/>
    </row>
    <row r="117" spans="1:56" hidden="1" outlineLevel="1" x14ac:dyDescent="0.25">
      <c r="A117" s="288"/>
      <c r="B117" s="2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308"/>
      <c r="S117" s="192"/>
      <c r="T117" s="192"/>
      <c r="U117" s="192"/>
      <c r="V117" s="192"/>
      <c r="W117" s="192"/>
      <c r="X117" s="192"/>
      <c r="Y117" s="192"/>
      <c r="Z117" s="192"/>
      <c r="AA117" s="192"/>
      <c r="AB117" s="192"/>
      <c r="AC117" s="192"/>
      <c r="AD117" s="309"/>
      <c r="AE117" s="309"/>
      <c r="AF117" s="309"/>
      <c r="AG117" s="309"/>
      <c r="AH117" s="309"/>
      <c r="AI117" s="309"/>
      <c r="AJ117" s="309"/>
      <c r="AK117" s="309"/>
      <c r="AL117" s="309"/>
      <c r="AM117" s="309"/>
      <c r="AN117" s="309"/>
      <c r="AO117" s="309"/>
      <c r="AP117" s="309"/>
      <c r="AQ117" s="309"/>
      <c r="AR117" s="309"/>
      <c r="AS117" s="308"/>
      <c r="AT117" s="309"/>
      <c r="AU117" s="309"/>
      <c r="AV117" s="309"/>
      <c r="AW117" s="309"/>
      <c r="AX117" s="309"/>
      <c r="AY117" s="309"/>
      <c r="AZ117" s="309"/>
      <c r="BA117" s="309"/>
      <c r="BB117" s="309"/>
      <c r="BC117" s="309"/>
      <c r="BD117" s="309"/>
    </row>
    <row r="118" spans="1:56" hidden="1" outlineLevel="1" x14ac:dyDescent="0.25">
      <c r="A118" s="288"/>
      <c r="B118" s="292"/>
      <c r="C118" s="192"/>
      <c r="D118" s="192"/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308"/>
      <c r="S118" s="192"/>
      <c r="T118" s="192"/>
      <c r="U118" s="192"/>
      <c r="V118" s="192"/>
      <c r="W118" s="192"/>
      <c r="X118" s="192"/>
      <c r="Y118" s="192"/>
      <c r="Z118" s="192"/>
      <c r="AA118" s="192"/>
      <c r="AB118" s="192"/>
      <c r="AC118" s="192"/>
      <c r="AD118" s="309"/>
      <c r="AE118" s="309"/>
      <c r="AF118" s="309"/>
      <c r="AG118" s="309"/>
      <c r="AH118" s="309"/>
      <c r="AI118" s="309"/>
      <c r="AJ118" s="309"/>
      <c r="AK118" s="309"/>
      <c r="AL118" s="309"/>
      <c r="AM118" s="309"/>
      <c r="AN118" s="309"/>
      <c r="AO118" s="309"/>
      <c r="AP118" s="309"/>
      <c r="AQ118" s="309"/>
      <c r="AR118" s="309"/>
      <c r="AS118" s="308"/>
      <c r="AT118" s="309"/>
      <c r="AU118" s="309"/>
      <c r="AV118" s="309"/>
      <c r="AW118" s="309"/>
      <c r="AX118" s="309"/>
      <c r="AY118" s="309"/>
      <c r="AZ118" s="309"/>
      <c r="BA118" s="309"/>
      <c r="BB118" s="309"/>
      <c r="BC118" s="309"/>
      <c r="BD118" s="309"/>
    </row>
    <row r="119" spans="1:56" hidden="1" outlineLevel="1" x14ac:dyDescent="0.25">
      <c r="A119" s="288"/>
      <c r="B119" s="292"/>
      <c r="C119" s="192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308"/>
      <c r="S119" s="192"/>
      <c r="T119" s="192"/>
      <c r="U119" s="192"/>
      <c r="V119" s="192"/>
      <c r="W119" s="192"/>
      <c r="X119" s="192"/>
      <c r="Y119" s="192"/>
      <c r="Z119" s="192"/>
      <c r="AA119" s="192"/>
      <c r="AB119" s="192"/>
      <c r="AC119" s="192"/>
      <c r="AD119" s="309"/>
      <c r="AE119" s="309"/>
      <c r="AF119" s="309"/>
      <c r="AG119" s="309"/>
      <c r="AH119" s="309"/>
      <c r="AI119" s="309"/>
      <c r="AJ119" s="309"/>
      <c r="AK119" s="309"/>
      <c r="AL119" s="309"/>
      <c r="AM119" s="309"/>
      <c r="AN119" s="309"/>
      <c r="AO119" s="309"/>
      <c r="AP119" s="309"/>
      <c r="AQ119" s="309"/>
      <c r="AR119" s="309"/>
      <c r="AS119" s="308"/>
      <c r="AT119" s="309"/>
      <c r="AU119" s="309"/>
      <c r="AV119" s="309"/>
      <c r="AW119" s="309"/>
      <c r="AX119" s="309"/>
      <c r="AY119" s="309"/>
      <c r="AZ119" s="309"/>
      <c r="BA119" s="309"/>
      <c r="BB119" s="309"/>
      <c r="BC119" s="309"/>
      <c r="BD119" s="309"/>
    </row>
    <row r="120" spans="1:56" hidden="1" outlineLevel="1" x14ac:dyDescent="0.25">
      <c r="A120" s="288"/>
      <c r="B120" s="292"/>
      <c r="C120" s="192"/>
      <c r="D120" s="192"/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308"/>
      <c r="S120" s="192"/>
      <c r="T120" s="192"/>
      <c r="U120" s="192"/>
      <c r="V120" s="192"/>
      <c r="W120" s="192"/>
      <c r="X120" s="192"/>
      <c r="Y120" s="192"/>
      <c r="Z120" s="192"/>
      <c r="AA120" s="192"/>
      <c r="AB120" s="192"/>
      <c r="AC120" s="192"/>
      <c r="AD120" s="309"/>
      <c r="AE120" s="309"/>
      <c r="AF120" s="309"/>
      <c r="AG120" s="309"/>
      <c r="AH120" s="309"/>
      <c r="AI120" s="309"/>
      <c r="AJ120" s="309"/>
      <c r="AK120" s="309"/>
      <c r="AL120" s="309"/>
      <c r="AM120" s="309"/>
      <c r="AN120" s="309"/>
      <c r="AO120" s="309"/>
      <c r="AP120" s="309"/>
      <c r="AQ120" s="309"/>
      <c r="AR120" s="309"/>
      <c r="AS120" s="308"/>
      <c r="AT120" s="309"/>
      <c r="AU120" s="309"/>
      <c r="AV120" s="309"/>
      <c r="AW120" s="309"/>
      <c r="AX120" s="309"/>
      <c r="AY120" s="309"/>
      <c r="AZ120" s="309"/>
      <c r="BA120" s="309"/>
      <c r="BB120" s="309"/>
      <c r="BC120" s="309"/>
      <c r="BD120" s="309"/>
    </row>
    <row r="121" spans="1:56" hidden="1" outlineLevel="1" x14ac:dyDescent="0.25">
      <c r="A121" s="288"/>
      <c r="B121" s="292"/>
      <c r="C121" s="192"/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308"/>
      <c r="S121" s="192"/>
      <c r="T121" s="192"/>
      <c r="U121" s="192"/>
      <c r="V121" s="192"/>
      <c r="W121" s="192"/>
      <c r="X121" s="192"/>
      <c r="Y121" s="192"/>
      <c r="Z121" s="192"/>
      <c r="AA121" s="192"/>
      <c r="AB121" s="192"/>
      <c r="AC121" s="192"/>
      <c r="AD121" s="309"/>
      <c r="AE121" s="309"/>
      <c r="AF121" s="309"/>
      <c r="AG121" s="309"/>
      <c r="AH121" s="309"/>
      <c r="AI121" s="309"/>
      <c r="AJ121" s="309"/>
      <c r="AK121" s="309"/>
      <c r="AL121" s="309"/>
      <c r="AM121" s="309"/>
      <c r="AN121" s="309"/>
      <c r="AO121" s="309"/>
      <c r="AP121" s="309"/>
      <c r="AQ121" s="309"/>
      <c r="AR121" s="309"/>
      <c r="AS121" s="308"/>
      <c r="AT121" s="309"/>
      <c r="AU121" s="309"/>
      <c r="AV121" s="309"/>
      <c r="AW121" s="309"/>
      <c r="AX121" s="309"/>
      <c r="AY121" s="309"/>
      <c r="AZ121" s="309"/>
      <c r="BA121" s="309"/>
      <c r="BB121" s="309"/>
      <c r="BC121" s="309"/>
      <c r="BD121" s="309"/>
    </row>
    <row r="122" spans="1:56" hidden="1" outlineLevel="1" x14ac:dyDescent="0.25">
      <c r="A122" s="288"/>
      <c r="B122" s="292"/>
      <c r="C122" s="192"/>
      <c r="D122" s="192"/>
      <c r="E122" s="192"/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308"/>
      <c r="S122" s="192"/>
      <c r="T122" s="192"/>
      <c r="U122" s="192"/>
      <c r="V122" s="192"/>
      <c r="W122" s="192"/>
      <c r="X122" s="192"/>
      <c r="Y122" s="192"/>
      <c r="Z122" s="192"/>
      <c r="AA122" s="192"/>
      <c r="AB122" s="192"/>
      <c r="AC122" s="192"/>
      <c r="AD122" s="309"/>
      <c r="AE122" s="309"/>
      <c r="AF122" s="309"/>
      <c r="AG122" s="309"/>
      <c r="AH122" s="309"/>
      <c r="AI122" s="309"/>
      <c r="AJ122" s="309"/>
      <c r="AK122" s="309"/>
      <c r="AL122" s="309"/>
      <c r="AM122" s="309"/>
      <c r="AN122" s="309"/>
      <c r="AO122" s="309"/>
      <c r="AP122" s="309"/>
      <c r="AQ122" s="309"/>
      <c r="AR122" s="309"/>
      <c r="AS122" s="308"/>
      <c r="AT122" s="309"/>
      <c r="AU122" s="309"/>
      <c r="AV122" s="309"/>
      <c r="AW122" s="309"/>
      <c r="AX122" s="309"/>
      <c r="AY122" s="309"/>
      <c r="AZ122" s="309"/>
      <c r="BA122" s="309"/>
      <c r="BB122" s="309"/>
      <c r="BC122" s="309"/>
      <c r="BD122" s="309"/>
    </row>
    <row r="123" spans="1:56" hidden="1" outlineLevel="1" x14ac:dyDescent="0.25">
      <c r="A123" s="288"/>
      <c r="B123" s="292"/>
      <c r="C123" s="192"/>
      <c r="D123" s="192"/>
      <c r="E123" s="192"/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308"/>
      <c r="S123" s="192"/>
      <c r="T123" s="192"/>
      <c r="U123" s="192"/>
      <c r="V123" s="192"/>
      <c r="W123" s="192"/>
      <c r="X123" s="192"/>
      <c r="Y123" s="192"/>
      <c r="Z123" s="192"/>
      <c r="AA123" s="192"/>
      <c r="AB123" s="192"/>
      <c r="AC123" s="192"/>
      <c r="AD123" s="309"/>
      <c r="AE123" s="309"/>
      <c r="AF123" s="309"/>
      <c r="AG123" s="309"/>
      <c r="AH123" s="309"/>
      <c r="AI123" s="309"/>
      <c r="AJ123" s="309"/>
      <c r="AK123" s="309"/>
      <c r="AL123" s="309"/>
      <c r="AM123" s="309"/>
      <c r="AN123" s="309"/>
      <c r="AO123" s="309"/>
      <c r="AP123" s="309"/>
      <c r="AQ123" s="309"/>
      <c r="AR123" s="309"/>
      <c r="AS123" s="308"/>
      <c r="AT123" s="309"/>
      <c r="AU123" s="309"/>
      <c r="AV123" s="309"/>
      <c r="AW123" s="309"/>
      <c r="AX123" s="309"/>
      <c r="AY123" s="309"/>
      <c r="AZ123" s="309"/>
      <c r="BA123" s="309"/>
      <c r="BB123" s="309"/>
      <c r="BC123" s="309"/>
      <c r="BD123" s="309"/>
    </row>
    <row r="124" spans="1:56" hidden="1" outlineLevel="1" x14ac:dyDescent="0.25">
      <c r="A124" s="288"/>
      <c r="B124" s="292"/>
      <c r="C124" s="192"/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308"/>
      <c r="S124" s="192"/>
      <c r="T124" s="192"/>
      <c r="U124" s="192"/>
      <c r="V124" s="192"/>
      <c r="W124" s="192"/>
      <c r="X124" s="192"/>
      <c r="Y124" s="192"/>
      <c r="Z124" s="192"/>
      <c r="AA124" s="192"/>
      <c r="AB124" s="192"/>
      <c r="AC124" s="192"/>
      <c r="AD124" s="309"/>
      <c r="AE124" s="309"/>
      <c r="AF124" s="309"/>
      <c r="AG124" s="309"/>
      <c r="AH124" s="309"/>
      <c r="AI124" s="309"/>
      <c r="AJ124" s="309"/>
      <c r="AK124" s="309"/>
      <c r="AL124" s="309"/>
      <c r="AM124" s="309"/>
      <c r="AN124" s="309"/>
      <c r="AO124" s="309"/>
      <c r="AP124" s="309"/>
      <c r="AQ124" s="309"/>
      <c r="AR124" s="309"/>
      <c r="AS124" s="308"/>
      <c r="AT124" s="309"/>
      <c r="AU124" s="309"/>
      <c r="AV124" s="309"/>
      <c r="AW124" s="309"/>
      <c r="AX124" s="309"/>
      <c r="AY124" s="309"/>
      <c r="AZ124" s="309"/>
      <c r="BA124" s="309"/>
      <c r="BB124" s="309"/>
      <c r="BC124" s="309"/>
      <c r="BD124" s="309"/>
    </row>
    <row r="125" spans="1:56" hidden="1" outlineLevel="1" x14ac:dyDescent="0.25">
      <c r="A125" s="288"/>
      <c r="B125" s="292"/>
      <c r="C125" s="192"/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308"/>
      <c r="S125" s="192"/>
      <c r="T125" s="192"/>
      <c r="U125" s="192"/>
      <c r="V125" s="192"/>
      <c r="W125" s="192"/>
      <c r="X125" s="192"/>
      <c r="Y125" s="192"/>
      <c r="Z125" s="192"/>
      <c r="AA125" s="192"/>
      <c r="AB125" s="192"/>
      <c r="AC125" s="192"/>
      <c r="AD125" s="309"/>
      <c r="AE125" s="309"/>
      <c r="AF125" s="309"/>
      <c r="AG125" s="309"/>
      <c r="AH125" s="309"/>
      <c r="AI125" s="309"/>
      <c r="AJ125" s="309"/>
      <c r="AK125" s="309"/>
      <c r="AL125" s="309"/>
      <c r="AM125" s="309"/>
      <c r="AN125" s="309"/>
      <c r="AO125" s="309"/>
      <c r="AP125" s="309"/>
      <c r="AQ125" s="309"/>
      <c r="AR125" s="309"/>
      <c r="AS125" s="308"/>
      <c r="AT125" s="309"/>
      <c r="AU125" s="309"/>
      <c r="AV125" s="309"/>
      <c r="AW125" s="309"/>
      <c r="AX125" s="309"/>
      <c r="AY125" s="309"/>
      <c r="AZ125" s="309"/>
      <c r="BA125" s="309"/>
      <c r="BB125" s="309"/>
      <c r="BC125" s="309"/>
      <c r="BD125" s="309"/>
    </row>
    <row r="126" spans="1:56" hidden="1" outlineLevel="1" x14ac:dyDescent="0.25">
      <c r="A126" s="288"/>
      <c r="B126" s="292"/>
      <c r="C126" s="192"/>
      <c r="D126" s="192"/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308"/>
      <c r="S126" s="192"/>
      <c r="T126" s="192"/>
      <c r="U126" s="192"/>
      <c r="V126" s="192"/>
      <c r="W126" s="192"/>
      <c r="X126" s="192"/>
      <c r="Y126" s="192"/>
      <c r="Z126" s="192"/>
      <c r="AA126" s="192"/>
      <c r="AB126" s="192"/>
      <c r="AC126" s="192"/>
      <c r="AD126" s="309"/>
      <c r="AE126" s="309"/>
      <c r="AF126" s="309"/>
      <c r="AG126" s="309"/>
      <c r="AH126" s="309"/>
      <c r="AI126" s="309"/>
      <c r="AJ126" s="309"/>
      <c r="AK126" s="309"/>
      <c r="AL126" s="309"/>
      <c r="AM126" s="309"/>
      <c r="AN126" s="309"/>
      <c r="AO126" s="309"/>
      <c r="AP126" s="309"/>
      <c r="AQ126" s="309"/>
      <c r="AR126" s="309"/>
      <c r="AS126" s="308"/>
      <c r="AT126" s="309"/>
      <c r="AU126" s="309"/>
      <c r="AV126" s="309"/>
      <c r="AW126" s="309"/>
      <c r="AX126" s="309"/>
      <c r="AY126" s="309"/>
      <c r="AZ126" s="309"/>
      <c r="BA126" s="309"/>
      <c r="BB126" s="309"/>
      <c r="BC126" s="309"/>
      <c r="BD126" s="309"/>
    </row>
    <row r="127" spans="1:56" hidden="1" outlineLevel="1" x14ac:dyDescent="0.25">
      <c r="A127" s="288"/>
      <c r="B127" s="292"/>
      <c r="C127" s="192"/>
      <c r="D127" s="192"/>
      <c r="E127" s="192"/>
      <c r="F127" s="192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308"/>
      <c r="S127" s="192"/>
      <c r="T127" s="192"/>
      <c r="U127" s="192"/>
      <c r="V127" s="192"/>
      <c r="W127" s="192"/>
      <c r="X127" s="192"/>
      <c r="Y127" s="192"/>
      <c r="Z127" s="192"/>
      <c r="AA127" s="192"/>
      <c r="AB127" s="192"/>
      <c r="AC127" s="192"/>
      <c r="AD127" s="309"/>
      <c r="AE127" s="309"/>
      <c r="AF127" s="309"/>
      <c r="AG127" s="309"/>
      <c r="AH127" s="309"/>
      <c r="AI127" s="309"/>
      <c r="AJ127" s="309"/>
      <c r="AK127" s="309"/>
      <c r="AL127" s="309"/>
      <c r="AM127" s="309"/>
      <c r="AN127" s="309"/>
      <c r="AO127" s="309"/>
      <c r="AP127" s="309"/>
      <c r="AQ127" s="309"/>
      <c r="AR127" s="309"/>
      <c r="AS127" s="308"/>
      <c r="AT127" s="309"/>
      <c r="AU127" s="309"/>
      <c r="AV127" s="309"/>
      <c r="AW127" s="309"/>
      <c r="AX127" s="309"/>
      <c r="AY127" s="309"/>
      <c r="AZ127" s="309"/>
      <c r="BA127" s="309"/>
      <c r="BB127" s="309"/>
      <c r="BC127" s="309"/>
      <c r="BD127" s="309"/>
    </row>
    <row r="128" spans="1:56" hidden="1" outlineLevel="1" x14ac:dyDescent="0.25">
      <c r="A128" s="288"/>
      <c r="B128" s="292"/>
      <c r="C128" s="192"/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308"/>
      <c r="S128" s="192"/>
      <c r="T128" s="192"/>
      <c r="U128" s="192"/>
      <c r="V128" s="192"/>
      <c r="W128" s="192"/>
      <c r="X128" s="192"/>
      <c r="Y128" s="192"/>
      <c r="Z128" s="192"/>
      <c r="AA128" s="192"/>
      <c r="AB128" s="192"/>
      <c r="AC128" s="192"/>
      <c r="AD128" s="309"/>
      <c r="AE128" s="309"/>
      <c r="AF128" s="309"/>
      <c r="AG128" s="309"/>
      <c r="AH128" s="309"/>
      <c r="AI128" s="309"/>
      <c r="AJ128" s="309"/>
      <c r="AK128" s="309"/>
      <c r="AL128" s="309"/>
      <c r="AM128" s="309"/>
      <c r="AN128" s="309"/>
      <c r="AO128" s="309"/>
      <c r="AP128" s="309"/>
      <c r="AQ128" s="309"/>
      <c r="AR128" s="309"/>
      <c r="AS128" s="308"/>
      <c r="AT128" s="309"/>
      <c r="AU128" s="309"/>
      <c r="AV128" s="309"/>
      <c r="AW128" s="309"/>
      <c r="AX128" s="309"/>
      <c r="AY128" s="309"/>
      <c r="AZ128" s="309"/>
      <c r="BA128" s="309"/>
      <c r="BB128" s="309"/>
      <c r="BC128" s="309"/>
      <c r="BD128" s="309"/>
    </row>
    <row r="129" spans="1:56" hidden="1" outlineLevel="1" x14ac:dyDescent="0.25">
      <c r="A129" s="288"/>
      <c r="B129" s="292"/>
      <c r="C129" s="192"/>
      <c r="D129" s="192"/>
      <c r="E129" s="192"/>
      <c r="F129" s="192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308"/>
      <c r="S129" s="192"/>
      <c r="T129" s="192"/>
      <c r="U129" s="192"/>
      <c r="V129" s="192"/>
      <c r="W129" s="192"/>
      <c r="X129" s="192"/>
      <c r="Y129" s="192"/>
      <c r="Z129" s="192"/>
      <c r="AA129" s="192"/>
      <c r="AB129" s="192"/>
      <c r="AC129" s="192"/>
      <c r="AD129" s="309"/>
      <c r="AE129" s="309"/>
      <c r="AF129" s="309"/>
      <c r="AG129" s="309"/>
      <c r="AH129" s="309"/>
      <c r="AI129" s="309"/>
      <c r="AJ129" s="309"/>
      <c r="AK129" s="309"/>
      <c r="AL129" s="309"/>
      <c r="AM129" s="309"/>
      <c r="AN129" s="309"/>
      <c r="AO129" s="309"/>
      <c r="AP129" s="309"/>
      <c r="AQ129" s="309"/>
      <c r="AR129" s="309"/>
      <c r="AS129" s="308"/>
      <c r="AT129" s="309"/>
      <c r="AU129" s="309"/>
      <c r="AV129" s="309"/>
      <c r="AW129" s="309"/>
      <c r="AX129" s="309"/>
      <c r="AY129" s="309"/>
      <c r="AZ129" s="309"/>
      <c r="BA129" s="309"/>
      <c r="BB129" s="309"/>
      <c r="BC129" s="309"/>
      <c r="BD129" s="309"/>
    </row>
    <row r="130" spans="1:56" hidden="1" outlineLevel="1" x14ac:dyDescent="0.25">
      <c r="A130" s="288"/>
      <c r="B130" s="292"/>
      <c r="C130" s="192"/>
      <c r="D130" s="192"/>
      <c r="E130" s="192"/>
      <c r="F130" s="192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308"/>
      <c r="S130" s="192"/>
      <c r="T130" s="192"/>
      <c r="U130" s="192"/>
      <c r="V130" s="192"/>
      <c r="W130" s="192"/>
      <c r="X130" s="192"/>
      <c r="Y130" s="192"/>
      <c r="Z130" s="192"/>
      <c r="AA130" s="192"/>
      <c r="AB130" s="192"/>
      <c r="AC130" s="192"/>
      <c r="AD130" s="309"/>
      <c r="AE130" s="309"/>
      <c r="AF130" s="309"/>
      <c r="AG130" s="309"/>
      <c r="AH130" s="309"/>
      <c r="AI130" s="309"/>
      <c r="AJ130" s="309"/>
      <c r="AK130" s="309"/>
      <c r="AL130" s="309"/>
      <c r="AM130" s="309"/>
      <c r="AN130" s="309"/>
      <c r="AO130" s="309"/>
      <c r="AP130" s="309"/>
      <c r="AQ130" s="309"/>
      <c r="AR130" s="309"/>
      <c r="AS130" s="308"/>
      <c r="AT130" s="309"/>
      <c r="AU130" s="309"/>
      <c r="AV130" s="309"/>
      <c r="AW130" s="309"/>
      <c r="AX130" s="309"/>
      <c r="AY130" s="309"/>
      <c r="AZ130" s="309"/>
      <c r="BA130" s="309"/>
      <c r="BB130" s="309"/>
      <c r="BC130" s="309"/>
      <c r="BD130" s="309"/>
    </row>
    <row r="131" spans="1:56" hidden="1" outlineLevel="1" x14ac:dyDescent="0.25">
      <c r="A131" s="288"/>
      <c r="B131" s="292"/>
      <c r="C131" s="192"/>
      <c r="D131" s="192"/>
      <c r="E131" s="192"/>
      <c r="F131" s="192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308"/>
      <c r="S131" s="192"/>
      <c r="T131" s="192"/>
      <c r="U131" s="192"/>
      <c r="V131" s="192"/>
      <c r="W131" s="192"/>
      <c r="X131" s="192"/>
      <c r="Y131" s="192"/>
      <c r="Z131" s="192"/>
      <c r="AA131" s="192"/>
      <c r="AB131" s="192"/>
      <c r="AC131" s="192"/>
      <c r="AD131" s="309"/>
      <c r="AE131" s="309"/>
      <c r="AF131" s="309"/>
      <c r="AG131" s="309"/>
      <c r="AH131" s="309"/>
      <c r="AI131" s="309"/>
      <c r="AJ131" s="309"/>
      <c r="AK131" s="309"/>
      <c r="AL131" s="309"/>
      <c r="AM131" s="309"/>
      <c r="AN131" s="309"/>
      <c r="AO131" s="309"/>
      <c r="AP131" s="309"/>
      <c r="AQ131" s="309"/>
      <c r="AR131" s="309"/>
      <c r="AS131" s="308"/>
      <c r="AT131" s="309"/>
      <c r="AU131" s="309"/>
      <c r="AV131" s="309"/>
      <c r="AW131" s="309"/>
      <c r="AX131" s="309"/>
      <c r="AY131" s="309"/>
      <c r="AZ131" s="309"/>
      <c r="BA131" s="309"/>
      <c r="BB131" s="309"/>
      <c r="BC131" s="309"/>
      <c r="BD131" s="309"/>
    </row>
    <row r="132" spans="1:56" hidden="1" outlineLevel="1" x14ac:dyDescent="0.25">
      <c r="A132" s="288"/>
      <c r="B132" s="292"/>
      <c r="C132" s="192"/>
      <c r="D132" s="192"/>
      <c r="E132" s="192"/>
      <c r="F132" s="192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308"/>
      <c r="S132" s="192"/>
      <c r="T132" s="192"/>
      <c r="U132" s="192"/>
      <c r="V132" s="192"/>
      <c r="W132" s="192"/>
      <c r="X132" s="192"/>
      <c r="Y132" s="192"/>
      <c r="Z132" s="192"/>
      <c r="AA132" s="192"/>
      <c r="AB132" s="192"/>
      <c r="AC132" s="192"/>
      <c r="AD132" s="309"/>
      <c r="AE132" s="309"/>
      <c r="AF132" s="309"/>
      <c r="AG132" s="309"/>
      <c r="AH132" s="309"/>
      <c r="AI132" s="309"/>
      <c r="AJ132" s="309"/>
      <c r="AK132" s="309"/>
      <c r="AL132" s="309"/>
      <c r="AM132" s="309"/>
      <c r="AN132" s="309"/>
      <c r="AO132" s="309"/>
      <c r="AP132" s="309"/>
      <c r="AQ132" s="309"/>
      <c r="AR132" s="309"/>
      <c r="AS132" s="308"/>
      <c r="AT132" s="309"/>
      <c r="AU132" s="309"/>
      <c r="AV132" s="309"/>
      <c r="AW132" s="309"/>
      <c r="AX132" s="309"/>
      <c r="AY132" s="309"/>
      <c r="AZ132" s="309"/>
      <c r="BA132" s="309"/>
      <c r="BB132" s="309"/>
      <c r="BC132" s="309"/>
      <c r="BD132" s="309"/>
    </row>
    <row r="133" spans="1:56" hidden="1" outlineLevel="1" x14ac:dyDescent="0.25">
      <c r="A133" s="288"/>
      <c r="B133" s="292"/>
      <c r="C133" s="192"/>
      <c r="D133" s="192"/>
      <c r="E133" s="192"/>
      <c r="F133" s="192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308"/>
      <c r="S133" s="192"/>
      <c r="T133" s="192"/>
      <c r="U133" s="192"/>
      <c r="V133" s="192"/>
      <c r="W133" s="192"/>
      <c r="X133" s="192"/>
      <c r="Y133" s="192"/>
      <c r="Z133" s="192"/>
      <c r="AA133" s="192"/>
      <c r="AB133" s="192"/>
      <c r="AC133" s="192"/>
      <c r="AD133" s="309"/>
      <c r="AE133" s="309"/>
      <c r="AF133" s="309"/>
      <c r="AG133" s="309"/>
      <c r="AH133" s="309"/>
      <c r="AI133" s="309"/>
      <c r="AJ133" s="309"/>
      <c r="AK133" s="309"/>
      <c r="AL133" s="309"/>
      <c r="AM133" s="309"/>
      <c r="AN133" s="309"/>
      <c r="AO133" s="309"/>
      <c r="AP133" s="309"/>
      <c r="AQ133" s="309"/>
      <c r="AR133" s="309"/>
      <c r="AS133" s="308"/>
      <c r="AT133" s="309"/>
      <c r="AU133" s="309"/>
      <c r="AV133" s="309"/>
      <c r="AW133" s="309"/>
      <c r="AX133" s="309"/>
      <c r="AY133" s="309"/>
      <c r="AZ133" s="309"/>
      <c r="BA133" s="309"/>
      <c r="BB133" s="309"/>
      <c r="BC133" s="309"/>
      <c r="BD133" s="309"/>
    </row>
    <row r="134" spans="1:56" hidden="1" outlineLevel="1" x14ac:dyDescent="0.25">
      <c r="A134" s="288"/>
      <c r="B134" s="292"/>
      <c r="C134" s="192"/>
      <c r="D134" s="192"/>
      <c r="E134" s="192"/>
      <c r="F134" s="192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308"/>
      <c r="S134" s="192"/>
      <c r="T134" s="192"/>
      <c r="U134" s="192"/>
      <c r="V134" s="192"/>
      <c r="W134" s="192"/>
      <c r="X134" s="192"/>
      <c r="Y134" s="192"/>
      <c r="Z134" s="192"/>
      <c r="AA134" s="192"/>
      <c r="AB134" s="192"/>
      <c r="AC134" s="192"/>
      <c r="AD134" s="309"/>
      <c r="AE134" s="309"/>
      <c r="AF134" s="309"/>
      <c r="AG134" s="309"/>
      <c r="AH134" s="309"/>
      <c r="AI134" s="309"/>
      <c r="AJ134" s="309"/>
      <c r="AK134" s="309"/>
      <c r="AL134" s="309"/>
      <c r="AM134" s="309"/>
      <c r="AN134" s="309"/>
      <c r="AO134" s="309"/>
      <c r="AP134" s="309"/>
      <c r="AQ134" s="309"/>
      <c r="AR134" s="309"/>
      <c r="AS134" s="308"/>
      <c r="AT134" s="309"/>
      <c r="AU134" s="309"/>
      <c r="AV134" s="309"/>
      <c r="AW134" s="309"/>
      <c r="AX134" s="309"/>
      <c r="AY134" s="309"/>
      <c r="AZ134" s="309"/>
      <c r="BA134" s="309"/>
      <c r="BB134" s="309"/>
      <c r="BC134" s="309"/>
      <c r="BD134" s="309"/>
    </row>
    <row r="135" spans="1:56" hidden="1" outlineLevel="1" x14ac:dyDescent="0.25">
      <c r="A135" s="288"/>
      <c r="B135" s="292"/>
      <c r="C135" s="192"/>
      <c r="D135" s="192"/>
      <c r="E135" s="192"/>
      <c r="F135" s="192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308"/>
      <c r="S135" s="192"/>
      <c r="T135" s="192"/>
      <c r="U135" s="192"/>
      <c r="V135" s="192"/>
      <c r="W135" s="192"/>
      <c r="X135" s="192"/>
      <c r="Y135" s="192"/>
      <c r="Z135" s="192"/>
      <c r="AA135" s="192"/>
      <c r="AB135" s="192"/>
      <c r="AC135" s="192"/>
      <c r="AD135" s="309"/>
      <c r="AE135" s="309"/>
      <c r="AF135" s="309"/>
      <c r="AG135" s="309"/>
      <c r="AH135" s="309"/>
      <c r="AI135" s="309"/>
      <c r="AJ135" s="309"/>
      <c r="AK135" s="309"/>
      <c r="AL135" s="309"/>
      <c r="AM135" s="309"/>
      <c r="AN135" s="309"/>
      <c r="AO135" s="309"/>
      <c r="AP135" s="309"/>
      <c r="AQ135" s="309"/>
      <c r="AR135" s="309"/>
      <c r="AS135" s="308"/>
      <c r="AT135" s="309"/>
      <c r="AU135" s="309"/>
      <c r="AV135" s="309"/>
      <c r="AW135" s="309"/>
      <c r="AX135" s="309"/>
      <c r="AY135" s="309"/>
      <c r="AZ135" s="309"/>
      <c r="BA135" s="309"/>
      <c r="BB135" s="309"/>
      <c r="BC135" s="309"/>
      <c r="BD135" s="309"/>
    </row>
    <row r="136" spans="1:56" hidden="1" outlineLevel="1" x14ac:dyDescent="0.25">
      <c r="A136" s="288"/>
      <c r="B136" s="292"/>
      <c r="C136" s="192"/>
      <c r="D136" s="192"/>
      <c r="E136" s="192"/>
      <c r="F136" s="192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308"/>
      <c r="S136" s="192"/>
      <c r="T136" s="192"/>
      <c r="U136" s="192"/>
      <c r="V136" s="192"/>
      <c r="W136" s="192"/>
      <c r="X136" s="192"/>
      <c r="Y136" s="192"/>
      <c r="Z136" s="192"/>
      <c r="AA136" s="192"/>
      <c r="AB136" s="192"/>
      <c r="AC136" s="192"/>
      <c r="AD136" s="309"/>
      <c r="AE136" s="309"/>
      <c r="AF136" s="309"/>
      <c r="AG136" s="309"/>
      <c r="AH136" s="309"/>
      <c r="AI136" s="309"/>
      <c r="AJ136" s="309"/>
      <c r="AK136" s="309"/>
      <c r="AL136" s="309"/>
      <c r="AM136" s="309"/>
      <c r="AN136" s="309"/>
      <c r="AO136" s="309"/>
      <c r="AP136" s="309"/>
      <c r="AQ136" s="309"/>
      <c r="AR136" s="309"/>
      <c r="AS136" s="308"/>
      <c r="AT136" s="309"/>
      <c r="AU136" s="309"/>
      <c r="AV136" s="309"/>
      <c r="AW136" s="309"/>
      <c r="AX136" s="309"/>
      <c r="AY136" s="309"/>
      <c r="AZ136" s="309"/>
      <c r="BA136" s="309"/>
      <c r="BB136" s="309"/>
      <c r="BC136" s="309"/>
      <c r="BD136" s="309"/>
    </row>
    <row r="137" spans="1:56" hidden="1" outlineLevel="1" x14ac:dyDescent="0.25">
      <c r="A137" s="288"/>
      <c r="B137" s="292"/>
      <c r="C137" s="192"/>
      <c r="D137" s="192"/>
      <c r="E137" s="192"/>
      <c r="F137" s="192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308"/>
      <c r="S137" s="192"/>
      <c r="T137" s="192"/>
      <c r="U137" s="192"/>
      <c r="V137" s="192"/>
      <c r="W137" s="192"/>
      <c r="X137" s="192"/>
      <c r="Y137" s="192"/>
      <c r="Z137" s="192"/>
      <c r="AA137" s="192"/>
      <c r="AB137" s="192"/>
      <c r="AC137" s="192"/>
      <c r="AD137" s="309"/>
      <c r="AE137" s="309"/>
      <c r="AF137" s="309"/>
      <c r="AG137" s="309"/>
      <c r="AH137" s="309"/>
      <c r="AI137" s="309"/>
      <c r="AJ137" s="309"/>
      <c r="AK137" s="309"/>
      <c r="AL137" s="309"/>
      <c r="AM137" s="309"/>
      <c r="AN137" s="309"/>
      <c r="AO137" s="309"/>
      <c r="AP137" s="309"/>
      <c r="AQ137" s="309"/>
      <c r="AR137" s="309"/>
      <c r="AS137" s="308"/>
      <c r="AT137" s="309"/>
      <c r="AU137" s="309"/>
      <c r="AV137" s="309"/>
      <c r="AW137" s="309"/>
      <c r="AX137" s="309"/>
      <c r="AY137" s="309"/>
      <c r="AZ137" s="309"/>
      <c r="BA137" s="309"/>
      <c r="BB137" s="309"/>
      <c r="BC137" s="309"/>
      <c r="BD137" s="309"/>
    </row>
    <row r="138" spans="1:56" hidden="1" outlineLevel="1" x14ac:dyDescent="0.25">
      <c r="A138" s="288"/>
      <c r="B138" s="292"/>
      <c r="C138" s="192"/>
      <c r="D138" s="192"/>
      <c r="E138" s="192"/>
      <c r="F138" s="192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308"/>
      <c r="S138" s="192"/>
      <c r="T138" s="192"/>
      <c r="U138" s="192"/>
      <c r="V138" s="192"/>
      <c r="W138" s="192"/>
      <c r="X138" s="192"/>
      <c r="Y138" s="192"/>
      <c r="Z138" s="192"/>
      <c r="AA138" s="192"/>
      <c r="AB138" s="192"/>
      <c r="AC138" s="192"/>
      <c r="AD138" s="309"/>
      <c r="AE138" s="309"/>
      <c r="AF138" s="309"/>
      <c r="AG138" s="309"/>
      <c r="AH138" s="309"/>
      <c r="AI138" s="309"/>
      <c r="AJ138" s="309"/>
      <c r="AK138" s="309"/>
      <c r="AL138" s="309"/>
      <c r="AM138" s="309"/>
      <c r="AN138" s="309"/>
      <c r="AO138" s="309"/>
      <c r="AP138" s="309"/>
      <c r="AQ138" s="309"/>
      <c r="AR138" s="309"/>
      <c r="AS138" s="308"/>
      <c r="AT138" s="309"/>
      <c r="AU138" s="309"/>
      <c r="AV138" s="309"/>
      <c r="AW138" s="309"/>
      <c r="AX138" s="309"/>
      <c r="AY138" s="309"/>
      <c r="AZ138" s="309"/>
      <c r="BA138" s="309"/>
      <c r="BB138" s="309"/>
      <c r="BC138" s="309"/>
      <c r="BD138" s="309"/>
    </row>
    <row r="139" spans="1:56" hidden="1" outlineLevel="1" x14ac:dyDescent="0.25">
      <c r="A139" s="288"/>
      <c r="B139" s="292"/>
      <c r="C139" s="192"/>
      <c r="D139" s="192"/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308"/>
      <c r="S139" s="192"/>
      <c r="T139" s="192"/>
      <c r="U139" s="192"/>
      <c r="V139" s="192"/>
      <c r="W139" s="192"/>
      <c r="X139" s="192"/>
      <c r="Y139" s="192"/>
      <c r="Z139" s="192"/>
      <c r="AA139" s="192"/>
      <c r="AB139" s="192"/>
      <c r="AC139" s="192"/>
      <c r="AD139" s="309"/>
      <c r="AE139" s="309"/>
      <c r="AF139" s="309"/>
      <c r="AG139" s="309"/>
      <c r="AH139" s="309"/>
      <c r="AI139" s="309"/>
      <c r="AJ139" s="309"/>
      <c r="AK139" s="309"/>
      <c r="AL139" s="309"/>
      <c r="AM139" s="309"/>
      <c r="AN139" s="309"/>
      <c r="AO139" s="309"/>
      <c r="AP139" s="309"/>
      <c r="AQ139" s="309"/>
      <c r="AR139" s="309"/>
      <c r="AS139" s="308"/>
      <c r="AT139" s="309"/>
      <c r="AU139" s="309"/>
      <c r="AV139" s="309"/>
      <c r="AW139" s="309"/>
      <c r="AX139" s="309"/>
      <c r="AY139" s="309"/>
      <c r="AZ139" s="309"/>
      <c r="BA139" s="309"/>
      <c r="BB139" s="309"/>
      <c r="BC139" s="309"/>
      <c r="BD139" s="309"/>
    </row>
    <row r="140" spans="1:56" hidden="1" outlineLevel="1" x14ac:dyDescent="0.25">
      <c r="A140" s="288"/>
      <c r="B140" s="292"/>
      <c r="C140" s="192"/>
      <c r="D140" s="192"/>
      <c r="E140" s="192"/>
      <c r="F140" s="192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308"/>
      <c r="S140" s="192"/>
      <c r="T140" s="192"/>
      <c r="U140" s="192"/>
      <c r="V140" s="192"/>
      <c r="W140" s="192"/>
      <c r="X140" s="192"/>
      <c r="Y140" s="192"/>
      <c r="Z140" s="192"/>
      <c r="AA140" s="192"/>
      <c r="AB140" s="192"/>
      <c r="AC140" s="192"/>
      <c r="AD140" s="309"/>
      <c r="AE140" s="309"/>
      <c r="AF140" s="309"/>
      <c r="AG140" s="309"/>
      <c r="AH140" s="309"/>
      <c r="AI140" s="309"/>
      <c r="AJ140" s="309"/>
      <c r="AK140" s="309"/>
      <c r="AL140" s="309"/>
      <c r="AM140" s="309"/>
      <c r="AN140" s="309"/>
      <c r="AO140" s="309"/>
      <c r="AP140" s="309"/>
      <c r="AQ140" s="309"/>
      <c r="AR140" s="309"/>
      <c r="AS140" s="308"/>
      <c r="AT140" s="309"/>
      <c r="AU140" s="309"/>
      <c r="AV140" s="309"/>
      <c r="AW140" s="309"/>
      <c r="AX140" s="309"/>
      <c r="AY140" s="309"/>
      <c r="AZ140" s="309"/>
      <c r="BA140" s="309"/>
      <c r="BB140" s="309"/>
      <c r="BC140" s="309"/>
      <c r="BD140" s="309"/>
    </row>
    <row r="141" spans="1:56" hidden="1" outlineLevel="1" x14ac:dyDescent="0.25">
      <c r="A141" s="288"/>
      <c r="B141" s="292"/>
      <c r="C141" s="192"/>
      <c r="D141" s="192"/>
      <c r="E141" s="192"/>
      <c r="F141" s="192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308"/>
      <c r="S141" s="192"/>
      <c r="T141" s="192"/>
      <c r="U141" s="192"/>
      <c r="V141" s="192"/>
      <c r="W141" s="192"/>
      <c r="X141" s="192"/>
      <c r="Y141" s="192"/>
      <c r="Z141" s="192"/>
      <c r="AA141" s="192"/>
      <c r="AB141" s="192"/>
      <c r="AC141" s="192"/>
      <c r="AD141" s="309"/>
      <c r="AE141" s="309"/>
      <c r="AF141" s="309"/>
      <c r="AG141" s="309"/>
      <c r="AH141" s="309"/>
      <c r="AI141" s="309"/>
      <c r="AJ141" s="309"/>
      <c r="AK141" s="309"/>
      <c r="AL141" s="309"/>
      <c r="AM141" s="309"/>
      <c r="AN141" s="309"/>
      <c r="AO141" s="309"/>
      <c r="AP141" s="309"/>
      <c r="AQ141" s="309"/>
      <c r="AR141" s="309"/>
      <c r="AS141" s="308"/>
      <c r="AT141" s="309"/>
      <c r="AU141" s="309"/>
      <c r="AV141" s="309"/>
      <c r="AW141" s="309"/>
      <c r="AX141" s="309"/>
      <c r="AY141" s="309"/>
      <c r="AZ141" s="309"/>
      <c r="BA141" s="309"/>
      <c r="BB141" s="309"/>
      <c r="BC141" s="309"/>
      <c r="BD141" s="309"/>
    </row>
    <row r="142" spans="1:56" hidden="1" outlineLevel="1" x14ac:dyDescent="0.25">
      <c r="A142" s="288"/>
      <c r="B142" s="292"/>
      <c r="C142" s="192"/>
      <c r="D142" s="192"/>
      <c r="E142" s="192"/>
      <c r="F142" s="192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308"/>
      <c r="S142" s="192"/>
      <c r="T142" s="192"/>
      <c r="U142" s="192"/>
      <c r="V142" s="192"/>
      <c r="W142" s="192"/>
      <c r="X142" s="192"/>
      <c r="Y142" s="192"/>
      <c r="Z142" s="192"/>
      <c r="AA142" s="192"/>
      <c r="AB142" s="192"/>
      <c r="AC142" s="192"/>
      <c r="AD142" s="309"/>
      <c r="AE142" s="309"/>
      <c r="AF142" s="309"/>
      <c r="AG142" s="309"/>
      <c r="AH142" s="309"/>
      <c r="AI142" s="309"/>
      <c r="AJ142" s="309"/>
      <c r="AK142" s="309"/>
      <c r="AL142" s="309"/>
      <c r="AM142" s="309"/>
      <c r="AN142" s="309"/>
      <c r="AO142" s="309"/>
      <c r="AP142" s="309"/>
      <c r="AQ142" s="309"/>
      <c r="AR142" s="309"/>
      <c r="AS142" s="308"/>
      <c r="AT142" s="309"/>
      <c r="AU142" s="309"/>
      <c r="AV142" s="309"/>
      <c r="AW142" s="309"/>
      <c r="AX142" s="309"/>
      <c r="AY142" s="309"/>
      <c r="AZ142" s="309"/>
      <c r="BA142" s="309"/>
      <c r="BB142" s="309"/>
      <c r="BC142" s="309"/>
      <c r="BD142" s="309"/>
    </row>
    <row r="143" spans="1:56" hidden="1" outlineLevel="1" x14ac:dyDescent="0.25">
      <c r="A143" s="288"/>
      <c r="B143" s="292"/>
      <c r="C143" s="192"/>
      <c r="D143" s="192"/>
      <c r="E143" s="192"/>
      <c r="F143" s="192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308"/>
      <c r="S143" s="192"/>
      <c r="T143" s="192"/>
      <c r="U143" s="192"/>
      <c r="V143" s="192"/>
      <c r="W143" s="192"/>
      <c r="X143" s="192"/>
      <c r="Y143" s="192"/>
      <c r="Z143" s="192"/>
      <c r="AA143" s="192"/>
      <c r="AB143" s="192"/>
      <c r="AC143" s="192"/>
      <c r="AD143" s="309"/>
      <c r="AE143" s="309"/>
      <c r="AF143" s="309"/>
      <c r="AG143" s="309"/>
      <c r="AH143" s="309"/>
      <c r="AI143" s="309"/>
      <c r="AJ143" s="309"/>
      <c r="AK143" s="309"/>
      <c r="AL143" s="309"/>
      <c r="AM143" s="309"/>
      <c r="AN143" s="309"/>
      <c r="AO143" s="309"/>
      <c r="AP143" s="309"/>
      <c r="AQ143" s="309"/>
      <c r="AR143" s="309"/>
      <c r="AS143" s="308"/>
      <c r="AT143" s="309"/>
      <c r="AU143" s="309"/>
      <c r="AV143" s="309"/>
      <c r="AW143" s="309"/>
      <c r="AX143" s="309"/>
      <c r="AY143" s="309"/>
      <c r="AZ143" s="309"/>
      <c r="BA143" s="309"/>
      <c r="BB143" s="309"/>
      <c r="BC143" s="309"/>
      <c r="BD143" s="309"/>
    </row>
    <row r="144" spans="1:56" hidden="1" outlineLevel="1" x14ac:dyDescent="0.25">
      <c r="A144" s="288"/>
      <c r="B144" s="292"/>
      <c r="C144" s="192"/>
      <c r="D144" s="192"/>
      <c r="E144" s="192"/>
      <c r="F144" s="192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308"/>
      <c r="S144" s="192"/>
      <c r="T144" s="192"/>
      <c r="U144" s="192"/>
      <c r="V144" s="192"/>
      <c r="W144" s="192"/>
      <c r="X144" s="192"/>
      <c r="Y144" s="192"/>
      <c r="Z144" s="192"/>
      <c r="AA144" s="192"/>
      <c r="AB144" s="192"/>
      <c r="AC144" s="192"/>
      <c r="AD144" s="309"/>
      <c r="AE144" s="309"/>
      <c r="AF144" s="309"/>
      <c r="AG144" s="309"/>
      <c r="AH144" s="309"/>
      <c r="AI144" s="309"/>
      <c r="AJ144" s="309"/>
      <c r="AK144" s="309"/>
      <c r="AL144" s="309"/>
      <c r="AM144" s="309"/>
      <c r="AN144" s="309"/>
      <c r="AO144" s="309"/>
      <c r="AP144" s="309"/>
      <c r="AQ144" s="309"/>
      <c r="AR144" s="309"/>
      <c r="AS144" s="308"/>
      <c r="AT144" s="309"/>
      <c r="AU144" s="309"/>
      <c r="AV144" s="309"/>
      <c r="AW144" s="309"/>
      <c r="AX144" s="309"/>
      <c r="AY144" s="309"/>
      <c r="AZ144" s="309"/>
      <c r="BA144" s="309"/>
      <c r="BB144" s="309"/>
      <c r="BC144" s="309"/>
      <c r="BD144" s="309"/>
    </row>
    <row r="145" spans="1:56" hidden="1" outlineLevel="1" x14ac:dyDescent="0.25">
      <c r="A145" s="288"/>
      <c r="B145" s="292"/>
      <c r="C145" s="192"/>
      <c r="D145" s="192"/>
      <c r="E145" s="192"/>
      <c r="F145" s="192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308"/>
      <c r="S145" s="192"/>
      <c r="T145" s="192"/>
      <c r="U145" s="192"/>
      <c r="V145" s="192"/>
      <c r="W145" s="192"/>
      <c r="X145" s="192"/>
      <c r="Y145" s="192"/>
      <c r="Z145" s="192"/>
      <c r="AA145" s="192"/>
      <c r="AB145" s="192"/>
      <c r="AC145" s="192"/>
      <c r="AD145" s="309"/>
      <c r="AE145" s="309"/>
      <c r="AF145" s="309"/>
      <c r="AG145" s="309"/>
      <c r="AH145" s="309"/>
      <c r="AI145" s="309"/>
      <c r="AJ145" s="309"/>
      <c r="AK145" s="309"/>
      <c r="AL145" s="309"/>
      <c r="AM145" s="309"/>
      <c r="AN145" s="309"/>
      <c r="AO145" s="309"/>
      <c r="AP145" s="309"/>
      <c r="AQ145" s="309"/>
      <c r="AR145" s="309"/>
      <c r="AS145" s="308"/>
      <c r="AT145" s="309"/>
      <c r="AU145" s="309"/>
      <c r="AV145" s="309"/>
      <c r="AW145" s="309"/>
      <c r="AX145" s="309"/>
      <c r="AY145" s="309"/>
      <c r="AZ145" s="309"/>
      <c r="BA145" s="309"/>
      <c r="BB145" s="309"/>
      <c r="BC145" s="309"/>
      <c r="BD145" s="309"/>
    </row>
    <row r="146" spans="1:56" hidden="1" outlineLevel="1" x14ac:dyDescent="0.25">
      <c r="A146" s="288"/>
      <c r="B146" s="292"/>
      <c r="C146" s="192"/>
      <c r="D146" s="192"/>
      <c r="E146" s="192"/>
      <c r="F146" s="192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308"/>
      <c r="S146" s="192"/>
      <c r="T146" s="192"/>
      <c r="U146" s="192"/>
      <c r="V146" s="192"/>
      <c r="W146" s="192"/>
      <c r="X146" s="192"/>
      <c r="Y146" s="192"/>
      <c r="Z146" s="192"/>
      <c r="AA146" s="192"/>
      <c r="AB146" s="192"/>
      <c r="AC146" s="192"/>
      <c r="AD146" s="309"/>
      <c r="AE146" s="309"/>
      <c r="AF146" s="309"/>
      <c r="AG146" s="309"/>
      <c r="AH146" s="309"/>
      <c r="AI146" s="309"/>
      <c r="AJ146" s="309"/>
      <c r="AK146" s="309"/>
      <c r="AL146" s="309"/>
      <c r="AM146" s="309"/>
      <c r="AN146" s="309"/>
      <c r="AO146" s="309"/>
      <c r="AP146" s="309"/>
      <c r="AQ146" s="309"/>
      <c r="AR146" s="309"/>
      <c r="AS146" s="308"/>
      <c r="AT146" s="309"/>
      <c r="AU146" s="309"/>
      <c r="AV146" s="309"/>
      <c r="AW146" s="309"/>
      <c r="AX146" s="309"/>
      <c r="AY146" s="309"/>
      <c r="AZ146" s="309"/>
      <c r="BA146" s="309"/>
      <c r="BB146" s="309"/>
      <c r="BC146" s="309"/>
      <c r="BD146" s="309"/>
    </row>
    <row r="147" spans="1:56" hidden="1" outlineLevel="1" x14ac:dyDescent="0.25">
      <c r="A147" s="288"/>
      <c r="B147" s="292"/>
      <c r="C147" s="192"/>
      <c r="D147" s="192"/>
      <c r="E147" s="192"/>
      <c r="F147" s="192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308"/>
      <c r="S147" s="192"/>
      <c r="T147" s="192"/>
      <c r="U147" s="192"/>
      <c r="V147" s="192"/>
      <c r="W147" s="192"/>
      <c r="X147" s="192"/>
      <c r="Y147" s="192"/>
      <c r="Z147" s="192"/>
      <c r="AA147" s="192"/>
      <c r="AB147" s="192"/>
      <c r="AC147" s="192"/>
      <c r="AD147" s="309"/>
      <c r="AE147" s="309"/>
      <c r="AF147" s="309"/>
      <c r="AG147" s="309"/>
      <c r="AH147" s="309"/>
      <c r="AI147" s="309"/>
      <c r="AJ147" s="309"/>
      <c r="AK147" s="309"/>
      <c r="AL147" s="309"/>
      <c r="AM147" s="309"/>
      <c r="AN147" s="309"/>
      <c r="AO147" s="309"/>
      <c r="AP147" s="309"/>
      <c r="AQ147" s="309"/>
      <c r="AR147" s="309"/>
      <c r="AS147" s="308"/>
      <c r="AT147" s="309"/>
      <c r="AU147" s="309"/>
      <c r="AV147" s="309"/>
      <c r="AW147" s="309"/>
      <c r="AX147" s="309"/>
      <c r="AY147" s="309"/>
      <c r="AZ147" s="309"/>
      <c r="BA147" s="309"/>
      <c r="BB147" s="309"/>
      <c r="BC147" s="309"/>
      <c r="BD147" s="309"/>
    </row>
    <row r="148" spans="1:56" hidden="1" outlineLevel="1" x14ac:dyDescent="0.25">
      <c r="A148" s="288"/>
      <c r="B148" s="292"/>
      <c r="C148" s="192"/>
      <c r="D148" s="192"/>
      <c r="E148" s="192"/>
      <c r="F148" s="192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308"/>
      <c r="S148" s="192"/>
      <c r="T148" s="192"/>
      <c r="U148" s="192"/>
      <c r="V148" s="192"/>
      <c r="W148" s="192"/>
      <c r="X148" s="192"/>
      <c r="Y148" s="192"/>
      <c r="Z148" s="192"/>
      <c r="AA148" s="192"/>
      <c r="AB148" s="192"/>
      <c r="AC148" s="192"/>
      <c r="AD148" s="309"/>
      <c r="AE148" s="309"/>
      <c r="AF148" s="309"/>
      <c r="AG148" s="309"/>
      <c r="AH148" s="309"/>
      <c r="AI148" s="309"/>
      <c r="AJ148" s="309"/>
      <c r="AK148" s="309"/>
      <c r="AL148" s="309"/>
      <c r="AM148" s="309"/>
      <c r="AN148" s="309"/>
      <c r="AO148" s="309"/>
      <c r="AP148" s="309"/>
      <c r="AQ148" s="309"/>
      <c r="AR148" s="309"/>
      <c r="AS148" s="308"/>
      <c r="AT148" s="309"/>
      <c r="AU148" s="309"/>
      <c r="AV148" s="309"/>
      <c r="AW148" s="309"/>
      <c r="AX148" s="309"/>
      <c r="AY148" s="309"/>
      <c r="AZ148" s="309"/>
      <c r="BA148" s="309"/>
      <c r="BB148" s="309"/>
      <c r="BC148" s="309"/>
      <c r="BD148" s="309"/>
    </row>
    <row r="149" spans="1:56" hidden="1" outlineLevel="1" x14ac:dyDescent="0.25">
      <c r="A149" s="288"/>
      <c r="B149" s="292"/>
      <c r="C149" s="192"/>
      <c r="D149" s="192"/>
      <c r="E149" s="192"/>
      <c r="F149" s="192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308"/>
      <c r="S149" s="192"/>
      <c r="T149" s="192"/>
      <c r="U149" s="192"/>
      <c r="V149" s="192"/>
      <c r="W149" s="192"/>
      <c r="X149" s="192"/>
      <c r="Y149" s="192"/>
      <c r="Z149" s="192"/>
      <c r="AA149" s="192"/>
      <c r="AB149" s="192"/>
      <c r="AC149" s="192"/>
      <c r="AD149" s="309"/>
      <c r="AE149" s="309"/>
      <c r="AF149" s="309"/>
      <c r="AG149" s="309"/>
      <c r="AH149" s="309"/>
      <c r="AI149" s="309"/>
      <c r="AJ149" s="309"/>
      <c r="AK149" s="309"/>
      <c r="AL149" s="309"/>
      <c r="AM149" s="309"/>
      <c r="AN149" s="309"/>
      <c r="AO149" s="309"/>
      <c r="AP149" s="309"/>
      <c r="AQ149" s="309"/>
      <c r="AR149" s="309"/>
      <c r="AS149" s="308"/>
      <c r="AT149" s="309"/>
      <c r="AU149" s="309"/>
      <c r="AV149" s="309"/>
      <c r="AW149" s="309"/>
      <c r="AX149" s="309"/>
      <c r="AY149" s="309"/>
      <c r="AZ149" s="309"/>
      <c r="BA149" s="309"/>
      <c r="BB149" s="309"/>
      <c r="BC149" s="309"/>
      <c r="BD149" s="309"/>
    </row>
    <row r="150" spans="1:56" hidden="1" outlineLevel="1" x14ac:dyDescent="0.25">
      <c r="A150" s="288"/>
      <c r="B150" s="292"/>
      <c r="C150" s="192"/>
      <c r="D150" s="192"/>
      <c r="E150" s="192"/>
      <c r="F150" s="192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308"/>
      <c r="S150" s="192"/>
      <c r="T150" s="192"/>
      <c r="U150" s="192"/>
      <c r="V150" s="192"/>
      <c r="W150" s="192"/>
      <c r="X150" s="192"/>
      <c r="Y150" s="192"/>
      <c r="Z150" s="192"/>
      <c r="AA150" s="192"/>
      <c r="AB150" s="192"/>
      <c r="AC150" s="192"/>
      <c r="AD150" s="309"/>
      <c r="AE150" s="309"/>
      <c r="AF150" s="309"/>
      <c r="AG150" s="309"/>
      <c r="AH150" s="309"/>
      <c r="AI150" s="309"/>
      <c r="AJ150" s="309"/>
      <c r="AK150" s="309"/>
      <c r="AL150" s="309"/>
      <c r="AM150" s="309"/>
      <c r="AN150" s="309"/>
      <c r="AO150" s="309"/>
      <c r="AP150" s="309"/>
      <c r="AQ150" s="309"/>
      <c r="AR150" s="309"/>
      <c r="AS150" s="308"/>
      <c r="AT150" s="309"/>
      <c r="AU150" s="309"/>
      <c r="AV150" s="309"/>
      <c r="AW150" s="309"/>
      <c r="AX150" s="309"/>
      <c r="AY150" s="309"/>
      <c r="AZ150" s="309"/>
      <c r="BA150" s="309"/>
      <c r="BB150" s="309"/>
      <c r="BC150" s="309"/>
      <c r="BD150" s="309"/>
    </row>
    <row r="151" spans="1:56" hidden="1" outlineLevel="1" x14ac:dyDescent="0.25">
      <c r="A151" s="288"/>
      <c r="B151" s="292"/>
      <c r="C151" s="192"/>
      <c r="D151" s="192"/>
      <c r="E151" s="192"/>
      <c r="F151" s="192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308"/>
      <c r="S151" s="192"/>
      <c r="T151" s="192"/>
      <c r="U151" s="192"/>
      <c r="V151" s="192"/>
      <c r="W151" s="192"/>
      <c r="X151" s="192"/>
      <c r="Y151" s="192"/>
      <c r="Z151" s="192"/>
      <c r="AA151" s="192"/>
      <c r="AB151" s="192"/>
      <c r="AC151" s="192"/>
      <c r="AD151" s="309"/>
      <c r="AE151" s="309"/>
      <c r="AF151" s="309"/>
      <c r="AG151" s="309"/>
      <c r="AH151" s="309"/>
      <c r="AI151" s="309"/>
      <c r="AJ151" s="309"/>
      <c r="AK151" s="309"/>
      <c r="AL151" s="309"/>
      <c r="AM151" s="309"/>
      <c r="AN151" s="309"/>
      <c r="AO151" s="309"/>
      <c r="AP151" s="309"/>
      <c r="AQ151" s="309"/>
      <c r="AR151" s="309"/>
      <c r="AS151" s="308"/>
      <c r="AT151" s="309"/>
      <c r="AU151" s="309"/>
      <c r="AV151" s="309"/>
      <c r="AW151" s="309"/>
      <c r="AX151" s="309"/>
      <c r="AY151" s="309"/>
      <c r="AZ151" s="309"/>
      <c r="BA151" s="309"/>
      <c r="BB151" s="309"/>
      <c r="BC151" s="309"/>
      <c r="BD151" s="309"/>
    </row>
    <row r="152" spans="1:56" hidden="1" outlineLevel="1" x14ac:dyDescent="0.25">
      <c r="A152" s="288"/>
      <c r="B152" s="292"/>
      <c r="C152" s="192"/>
      <c r="D152" s="192"/>
      <c r="E152" s="192"/>
      <c r="F152" s="192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308"/>
      <c r="S152" s="192"/>
      <c r="T152" s="192"/>
      <c r="U152" s="192"/>
      <c r="V152" s="192"/>
      <c r="W152" s="192"/>
      <c r="X152" s="192"/>
      <c r="Y152" s="192"/>
      <c r="Z152" s="192"/>
      <c r="AA152" s="192"/>
      <c r="AB152" s="192"/>
      <c r="AC152" s="192"/>
      <c r="AD152" s="309"/>
      <c r="AE152" s="309"/>
      <c r="AF152" s="309"/>
      <c r="AG152" s="309"/>
      <c r="AH152" s="309"/>
      <c r="AI152" s="309"/>
      <c r="AJ152" s="309"/>
      <c r="AK152" s="309"/>
      <c r="AL152" s="309"/>
      <c r="AM152" s="309"/>
      <c r="AN152" s="309"/>
      <c r="AO152" s="309"/>
      <c r="AP152" s="309"/>
      <c r="AQ152" s="309"/>
      <c r="AR152" s="309"/>
      <c r="AS152" s="308"/>
      <c r="AT152" s="309"/>
      <c r="AU152" s="309"/>
      <c r="AV152" s="309"/>
      <c r="AW152" s="309"/>
      <c r="AX152" s="309"/>
      <c r="AY152" s="309"/>
      <c r="AZ152" s="309"/>
      <c r="BA152" s="309"/>
      <c r="BB152" s="309"/>
      <c r="BC152" s="309"/>
      <c r="BD152" s="309"/>
    </row>
    <row r="153" spans="1:56" hidden="1" outlineLevel="1" x14ac:dyDescent="0.25">
      <c r="A153" s="288"/>
      <c r="B153" s="292"/>
      <c r="C153" s="192"/>
      <c r="D153" s="192"/>
      <c r="E153" s="192"/>
      <c r="F153" s="192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308"/>
      <c r="S153" s="192"/>
      <c r="T153" s="192"/>
      <c r="U153" s="192"/>
      <c r="V153" s="192"/>
      <c r="W153" s="192"/>
      <c r="X153" s="192"/>
      <c r="Y153" s="192"/>
      <c r="Z153" s="192"/>
      <c r="AA153" s="192"/>
      <c r="AB153" s="192"/>
      <c r="AC153" s="192"/>
      <c r="AD153" s="309"/>
      <c r="AE153" s="309"/>
      <c r="AF153" s="309"/>
      <c r="AG153" s="309"/>
      <c r="AH153" s="309"/>
      <c r="AI153" s="309"/>
      <c r="AJ153" s="309"/>
      <c r="AK153" s="309"/>
      <c r="AL153" s="309"/>
      <c r="AM153" s="309"/>
      <c r="AN153" s="309"/>
      <c r="AO153" s="309"/>
      <c r="AP153" s="309"/>
      <c r="AQ153" s="309"/>
      <c r="AR153" s="309"/>
      <c r="AS153" s="308"/>
      <c r="AT153" s="309"/>
      <c r="AU153" s="309"/>
      <c r="AV153" s="309"/>
      <c r="AW153" s="309"/>
      <c r="AX153" s="309"/>
      <c r="AY153" s="309"/>
      <c r="AZ153" s="309"/>
      <c r="BA153" s="309"/>
      <c r="BB153" s="309"/>
      <c r="BC153" s="309"/>
      <c r="BD153" s="309"/>
    </row>
    <row r="154" spans="1:56" hidden="1" outlineLevel="1" x14ac:dyDescent="0.25">
      <c r="A154" s="288"/>
      <c r="B154" s="292"/>
      <c r="C154" s="192"/>
      <c r="D154" s="192"/>
      <c r="E154" s="192"/>
      <c r="F154" s="192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308"/>
      <c r="S154" s="192"/>
      <c r="T154" s="192"/>
      <c r="U154" s="192"/>
      <c r="V154" s="192"/>
      <c r="W154" s="192"/>
      <c r="X154" s="192"/>
      <c r="Y154" s="192"/>
      <c r="Z154" s="192"/>
      <c r="AA154" s="192"/>
      <c r="AB154" s="192"/>
      <c r="AC154" s="192"/>
      <c r="AD154" s="309"/>
      <c r="AE154" s="309"/>
      <c r="AF154" s="309"/>
      <c r="AG154" s="309"/>
      <c r="AH154" s="309"/>
      <c r="AI154" s="309"/>
      <c r="AJ154" s="309"/>
      <c r="AK154" s="309"/>
      <c r="AL154" s="309"/>
      <c r="AM154" s="309"/>
      <c r="AN154" s="309"/>
      <c r="AO154" s="309"/>
      <c r="AP154" s="309"/>
      <c r="AQ154" s="309"/>
      <c r="AR154" s="309"/>
      <c r="AS154" s="308"/>
      <c r="AT154" s="309"/>
      <c r="AU154" s="309"/>
      <c r="AV154" s="309"/>
      <c r="AW154" s="309"/>
      <c r="AX154" s="309"/>
      <c r="AY154" s="309"/>
      <c r="AZ154" s="309"/>
      <c r="BA154" s="309"/>
      <c r="BB154" s="309"/>
      <c r="BC154" s="309"/>
      <c r="BD154" s="309"/>
    </row>
    <row r="155" spans="1:56" hidden="1" outlineLevel="1" x14ac:dyDescent="0.25">
      <c r="A155" s="288"/>
      <c r="B155" s="292"/>
      <c r="C155" s="192"/>
      <c r="D155" s="192"/>
      <c r="E155" s="192"/>
      <c r="F155" s="192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308"/>
      <c r="S155" s="192"/>
      <c r="T155" s="192"/>
      <c r="U155" s="192"/>
      <c r="V155" s="192"/>
      <c r="W155" s="192"/>
      <c r="X155" s="192"/>
      <c r="Y155" s="192"/>
      <c r="Z155" s="192"/>
      <c r="AA155" s="192"/>
      <c r="AB155" s="192"/>
      <c r="AC155" s="192"/>
      <c r="AD155" s="309"/>
      <c r="AE155" s="309"/>
      <c r="AF155" s="309"/>
      <c r="AG155" s="309"/>
      <c r="AH155" s="309"/>
      <c r="AI155" s="309"/>
      <c r="AJ155" s="309"/>
      <c r="AK155" s="309"/>
      <c r="AL155" s="309"/>
      <c r="AM155" s="309"/>
      <c r="AN155" s="309"/>
      <c r="AO155" s="309"/>
      <c r="AP155" s="309"/>
      <c r="AQ155" s="309"/>
      <c r="AR155" s="309"/>
      <c r="AS155" s="308"/>
      <c r="AT155" s="309"/>
      <c r="AU155" s="309"/>
      <c r="AV155" s="309"/>
      <c r="AW155" s="309"/>
      <c r="AX155" s="309"/>
      <c r="AY155" s="309"/>
      <c r="AZ155" s="309"/>
      <c r="BA155" s="309"/>
      <c r="BB155" s="309"/>
      <c r="BC155" s="309"/>
      <c r="BD155" s="309"/>
    </row>
    <row r="156" spans="1:56" hidden="1" outlineLevel="1" x14ac:dyDescent="0.25">
      <c r="A156" s="288"/>
      <c r="B156" s="292"/>
      <c r="C156" s="192"/>
      <c r="D156" s="192"/>
      <c r="E156" s="192"/>
      <c r="F156" s="192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308"/>
      <c r="S156" s="192"/>
      <c r="T156" s="192"/>
      <c r="U156" s="192"/>
      <c r="V156" s="192"/>
      <c r="W156" s="192"/>
      <c r="X156" s="192"/>
      <c r="Y156" s="192"/>
      <c r="Z156" s="192"/>
      <c r="AA156" s="192"/>
      <c r="AB156" s="192"/>
      <c r="AC156" s="192"/>
      <c r="AD156" s="309"/>
      <c r="AE156" s="309"/>
      <c r="AF156" s="309"/>
      <c r="AG156" s="309"/>
      <c r="AH156" s="309"/>
      <c r="AI156" s="309"/>
      <c r="AJ156" s="309"/>
      <c r="AK156" s="309"/>
      <c r="AL156" s="309"/>
      <c r="AM156" s="309"/>
      <c r="AN156" s="309"/>
      <c r="AO156" s="309"/>
      <c r="AP156" s="309"/>
      <c r="AQ156" s="309"/>
      <c r="AR156" s="309"/>
      <c r="AS156" s="308"/>
      <c r="AT156" s="309"/>
      <c r="AU156" s="309"/>
      <c r="AV156" s="309"/>
      <c r="AW156" s="309"/>
      <c r="AX156" s="309"/>
      <c r="AY156" s="309"/>
      <c r="AZ156" s="309"/>
      <c r="BA156" s="309"/>
      <c r="BB156" s="309"/>
      <c r="BC156" s="309"/>
      <c r="BD156" s="309"/>
    </row>
    <row r="157" spans="1:56" hidden="1" outlineLevel="1" x14ac:dyDescent="0.25">
      <c r="A157" s="288"/>
      <c r="B157" s="292"/>
      <c r="C157" s="192"/>
      <c r="D157" s="192"/>
      <c r="E157" s="192"/>
      <c r="F157" s="192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308"/>
      <c r="S157" s="192"/>
      <c r="T157" s="192"/>
      <c r="U157" s="192"/>
      <c r="V157" s="192"/>
      <c r="W157" s="192"/>
      <c r="X157" s="192"/>
      <c r="Y157" s="192"/>
      <c r="Z157" s="192"/>
      <c r="AA157" s="192"/>
      <c r="AB157" s="192"/>
      <c r="AC157" s="192"/>
      <c r="AD157" s="309"/>
      <c r="AE157" s="309"/>
      <c r="AF157" s="309"/>
      <c r="AG157" s="309"/>
      <c r="AH157" s="309"/>
      <c r="AI157" s="309"/>
      <c r="AJ157" s="309"/>
      <c r="AK157" s="309"/>
      <c r="AL157" s="309"/>
      <c r="AM157" s="309"/>
      <c r="AN157" s="309"/>
      <c r="AO157" s="309"/>
      <c r="AP157" s="309"/>
      <c r="AQ157" s="309"/>
      <c r="AR157" s="309"/>
      <c r="AS157" s="308"/>
      <c r="AT157" s="309"/>
      <c r="AU157" s="309"/>
      <c r="AV157" s="309"/>
      <c r="AW157" s="309"/>
      <c r="AX157" s="309"/>
      <c r="AY157" s="309"/>
      <c r="AZ157" s="309"/>
      <c r="BA157" s="309"/>
      <c r="BB157" s="309"/>
      <c r="BC157" s="309"/>
      <c r="BD157" s="309"/>
    </row>
    <row r="158" spans="1:56" hidden="1" outlineLevel="1" x14ac:dyDescent="0.25">
      <c r="A158" s="288"/>
      <c r="B158" s="292"/>
      <c r="C158" s="192"/>
      <c r="D158" s="192"/>
      <c r="E158" s="192"/>
      <c r="F158" s="192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308"/>
      <c r="S158" s="192"/>
      <c r="T158" s="192"/>
      <c r="U158" s="192"/>
      <c r="V158" s="192"/>
      <c r="W158" s="192"/>
      <c r="X158" s="192"/>
      <c r="Y158" s="192"/>
      <c r="Z158" s="192"/>
      <c r="AA158" s="192"/>
      <c r="AB158" s="192"/>
      <c r="AC158" s="192"/>
      <c r="AD158" s="309"/>
      <c r="AE158" s="309"/>
      <c r="AF158" s="309"/>
      <c r="AG158" s="309"/>
      <c r="AH158" s="309"/>
      <c r="AI158" s="309"/>
      <c r="AJ158" s="309"/>
      <c r="AK158" s="309"/>
      <c r="AL158" s="309"/>
      <c r="AM158" s="309"/>
      <c r="AN158" s="309"/>
      <c r="AO158" s="309"/>
      <c r="AP158" s="309"/>
      <c r="AQ158" s="309"/>
      <c r="AR158" s="309"/>
      <c r="AS158" s="308"/>
      <c r="AT158" s="309"/>
      <c r="AU158" s="309"/>
      <c r="AV158" s="309"/>
      <c r="AW158" s="309"/>
      <c r="AX158" s="309"/>
      <c r="AY158" s="309"/>
      <c r="AZ158" s="309"/>
      <c r="BA158" s="309"/>
      <c r="BB158" s="309"/>
      <c r="BC158" s="309"/>
      <c r="BD158" s="309"/>
    </row>
    <row r="159" spans="1:56" hidden="1" outlineLevel="1" x14ac:dyDescent="0.25">
      <c r="A159" s="288"/>
      <c r="B159" s="292"/>
      <c r="C159" s="192"/>
      <c r="D159" s="192"/>
      <c r="E159" s="192"/>
      <c r="F159" s="192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308"/>
      <c r="S159" s="192"/>
      <c r="T159" s="192"/>
      <c r="U159" s="192"/>
      <c r="V159" s="192"/>
      <c r="W159" s="192"/>
      <c r="X159" s="192"/>
      <c r="Y159" s="192"/>
      <c r="Z159" s="192"/>
      <c r="AA159" s="192"/>
      <c r="AB159" s="192"/>
      <c r="AC159" s="192"/>
      <c r="AD159" s="309"/>
      <c r="AE159" s="309"/>
      <c r="AF159" s="309"/>
      <c r="AG159" s="309"/>
      <c r="AH159" s="309"/>
      <c r="AI159" s="309"/>
      <c r="AJ159" s="309"/>
      <c r="AK159" s="309"/>
      <c r="AL159" s="309"/>
      <c r="AM159" s="309"/>
      <c r="AN159" s="309"/>
      <c r="AO159" s="309"/>
      <c r="AP159" s="309"/>
      <c r="AQ159" s="309"/>
      <c r="AR159" s="309"/>
      <c r="AS159" s="308"/>
      <c r="AT159" s="309"/>
      <c r="AU159" s="309"/>
      <c r="AV159" s="309"/>
      <c r="AW159" s="309"/>
      <c r="AX159" s="309"/>
      <c r="AY159" s="309"/>
      <c r="AZ159" s="309"/>
      <c r="BA159" s="309"/>
      <c r="BB159" s="309"/>
      <c r="BC159" s="309"/>
      <c r="BD159" s="309"/>
    </row>
    <row r="160" spans="1:56" hidden="1" outlineLevel="1" x14ac:dyDescent="0.25">
      <c r="A160" s="288"/>
      <c r="B160" s="292"/>
      <c r="C160" s="192"/>
      <c r="D160" s="192"/>
      <c r="E160" s="192"/>
      <c r="F160" s="192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308"/>
      <c r="S160" s="192"/>
      <c r="T160" s="192"/>
      <c r="U160" s="192"/>
      <c r="V160" s="192"/>
      <c r="W160" s="192"/>
      <c r="X160" s="192"/>
      <c r="Y160" s="192"/>
      <c r="Z160" s="192"/>
      <c r="AA160" s="192"/>
      <c r="AB160" s="192"/>
      <c r="AC160" s="192"/>
      <c r="AD160" s="309"/>
      <c r="AE160" s="309"/>
      <c r="AF160" s="309"/>
      <c r="AG160" s="309"/>
      <c r="AH160" s="309"/>
      <c r="AI160" s="309"/>
      <c r="AJ160" s="309"/>
      <c r="AK160" s="309"/>
      <c r="AL160" s="309"/>
      <c r="AM160" s="309"/>
      <c r="AN160" s="309"/>
      <c r="AO160" s="309"/>
      <c r="AP160" s="309"/>
      <c r="AQ160" s="309"/>
      <c r="AR160" s="309"/>
      <c r="AS160" s="308"/>
      <c r="AT160" s="309"/>
      <c r="AU160" s="309"/>
      <c r="AV160" s="309"/>
      <c r="AW160" s="309"/>
      <c r="AX160" s="309"/>
      <c r="AY160" s="309"/>
      <c r="AZ160" s="309"/>
      <c r="BA160" s="309"/>
      <c r="BB160" s="309"/>
      <c r="BC160" s="309"/>
      <c r="BD160" s="309"/>
    </row>
    <row r="161" spans="1:56" hidden="1" outlineLevel="1" x14ac:dyDescent="0.25">
      <c r="A161" s="288"/>
      <c r="B161" s="292"/>
      <c r="C161" s="192"/>
      <c r="D161" s="192"/>
      <c r="E161" s="192"/>
      <c r="F161" s="192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308"/>
      <c r="S161" s="192"/>
      <c r="T161" s="192"/>
      <c r="U161" s="192"/>
      <c r="V161" s="192"/>
      <c r="W161" s="192"/>
      <c r="X161" s="192"/>
      <c r="Y161" s="192"/>
      <c r="Z161" s="192"/>
      <c r="AA161" s="192"/>
      <c r="AB161" s="192"/>
      <c r="AC161" s="192"/>
      <c r="AD161" s="309"/>
      <c r="AE161" s="309"/>
      <c r="AF161" s="309"/>
      <c r="AG161" s="309"/>
      <c r="AH161" s="309"/>
      <c r="AI161" s="309"/>
      <c r="AJ161" s="309"/>
      <c r="AK161" s="309"/>
      <c r="AL161" s="309"/>
      <c r="AM161" s="309"/>
      <c r="AN161" s="309"/>
      <c r="AO161" s="309"/>
      <c r="AP161" s="309"/>
      <c r="AQ161" s="309"/>
      <c r="AR161" s="309"/>
      <c r="AS161" s="308"/>
      <c r="AT161" s="309"/>
      <c r="AU161" s="309"/>
      <c r="AV161" s="309"/>
      <c r="AW161" s="309"/>
      <c r="AX161" s="309"/>
      <c r="AY161" s="309"/>
      <c r="AZ161" s="309"/>
      <c r="BA161" s="309"/>
      <c r="BB161" s="309"/>
      <c r="BC161" s="309"/>
      <c r="BD161" s="309"/>
    </row>
    <row r="162" spans="1:56" hidden="1" outlineLevel="1" x14ac:dyDescent="0.25">
      <c r="A162" s="288"/>
      <c r="B162" s="292"/>
      <c r="C162" s="192"/>
      <c r="D162" s="192"/>
      <c r="E162" s="192"/>
      <c r="F162" s="192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308"/>
      <c r="S162" s="192"/>
      <c r="T162" s="192"/>
      <c r="U162" s="192"/>
      <c r="V162" s="192"/>
      <c r="W162" s="192"/>
      <c r="X162" s="192"/>
      <c r="Y162" s="192"/>
      <c r="Z162" s="192"/>
      <c r="AA162" s="192"/>
      <c r="AB162" s="192"/>
      <c r="AC162" s="192"/>
      <c r="AD162" s="309"/>
      <c r="AE162" s="309"/>
      <c r="AF162" s="309"/>
      <c r="AG162" s="309"/>
      <c r="AH162" s="309"/>
      <c r="AI162" s="309"/>
      <c r="AJ162" s="309"/>
      <c r="AK162" s="309"/>
      <c r="AL162" s="309"/>
      <c r="AM162" s="309"/>
      <c r="AN162" s="309"/>
      <c r="AO162" s="309"/>
      <c r="AP162" s="309"/>
      <c r="AQ162" s="309"/>
      <c r="AR162" s="309"/>
      <c r="AS162" s="308"/>
      <c r="AT162" s="309"/>
      <c r="AU162" s="309"/>
      <c r="AV162" s="309"/>
      <c r="AW162" s="309"/>
      <c r="AX162" s="309"/>
      <c r="AY162" s="309"/>
      <c r="AZ162" s="309"/>
      <c r="BA162" s="309"/>
      <c r="BB162" s="309"/>
      <c r="BC162" s="309"/>
      <c r="BD162" s="309"/>
    </row>
    <row r="163" spans="1:56" hidden="1" outlineLevel="1" x14ac:dyDescent="0.25">
      <c r="A163" s="288"/>
      <c r="B163" s="292"/>
      <c r="C163" s="192"/>
      <c r="D163" s="192"/>
      <c r="E163" s="192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308"/>
      <c r="S163" s="192"/>
      <c r="T163" s="192"/>
      <c r="U163" s="192"/>
      <c r="V163" s="192"/>
      <c r="W163" s="192"/>
      <c r="X163" s="192"/>
      <c r="Y163" s="192"/>
      <c r="Z163" s="192"/>
      <c r="AA163" s="192"/>
      <c r="AB163" s="192"/>
      <c r="AC163" s="192"/>
      <c r="AD163" s="309"/>
      <c r="AE163" s="309"/>
      <c r="AF163" s="309"/>
      <c r="AG163" s="309"/>
      <c r="AH163" s="309"/>
      <c r="AI163" s="309"/>
      <c r="AJ163" s="309"/>
      <c r="AK163" s="309"/>
      <c r="AL163" s="309"/>
      <c r="AM163" s="309"/>
      <c r="AN163" s="309"/>
      <c r="AO163" s="309"/>
      <c r="AP163" s="309"/>
      <c r="AQ163" s="309"/>
      <c r="AR163" s="309"/>
      <c r="AS163" s="308"/>
      <c r="AT163" s="309"/>
      <c r="AU163" s="309"/>
      <c r="AV163" s="309"/>
      <c r="AW163" s="309"/>
      <c r="AX163" s="309"/>
      <c r="AY163" s="309"/>
      <c r="AZ163" s="309"/>
      <c r="BA163" s="309"/>
      <c r="BB163" s="309"/>
      <c r="BC163" s="309"/>
      <c r="BD163" s="309"/>
    </row>
    <row r="164" spans="1:56" hidden="1" outlineLevel="1" x14ac:dyDescent="0.25">
      <c r="A164" s="288"/>
      <c r="B164" s="292"/>
      <c r="C164" s="192"/>
      <c r="D164" s="192"/>
      <c r="E164" s="192"/>
      <c r="F164" s="192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308"/>
      <c r="S164" s="192"/>
      <c r="T164" s="192"/>
      <c r="U164" s="192"/>
      <c r="V164" s="192"/>
      <c r="W164" s="192"/>
      <c r="X164" s="192"/>
      <c r="Y164" s="192"/>
      <c r="Z164" s="192"/>
      <c r="AA164" s="192"/>
      <c r="AB164" s="192"/>
      <c r="AC164" s="192"/>
      <c r="AD164" s="309"/>
      <c r="AE164" s="309"/>
      <c r="AF164" s="309"/>
      <c r="AG164" s="309"/>
      <c r="AH164" s="309"/>
      <c r="AI164" s="309"/>
      <c r="AJ164" s="309"/>
      <c r="AK164" s="309"/>
      <c r="AL164" s="309"/>
      <c r="AM164" s="309"/>
      <c r="AN164" s="309"/>
      <c r="AO164" s="309"/>
      <c r="AP164" s="309"/>
      <c r="AQ164" s="309"/>
      <c r="AR164" s="309"/>
      <c r="AS164" s="308"/>
      <c r="AT164" s="309"/>
      <c r="AU164" s="309"/>
      <c r="AV164" s="309"/>
      <c r="AW164" s="309"/>
      <c r="AX164" s="309"/>
      <c r="AY164" s="309"/>
      <c r="AZ164" s="309"/>
      <c r="BA164" s="309"/>
      <c r="BB164" s="309"/>
      <c r="BC164" s="309"/>
      <c r="BD164" s="309"/>
    </row>
    <row r="165" spans="1:56" hidden="1" outlineLevel="1" x14ac:dyDescent="0.25">
      <c r="A165" s="288"/>
      <c r="B165" s="292"/>
      <c r="C165" s="192"/>
      <c r="D165" s="192"/>
      <c r="E165" s="192"/>
      <c r="F165" s="192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308"/>
      <c r="S165" s="192"/>
      <c r="T165" s="192"/>
      <c r="U165" s="192"/>
      <c r="V165" s="192"/>
      <c r="W165" s="192"/>
      <c r="X165" s="192"/>
      <c r="Y165" s="192"/>
      <c r="Z165" s="192"/>
      <c r="AA165" s="192"/>
      <c r="AB165" s="192"/>
      <c r="AC165" s="192"/>
      <c r="AD165" s="309"/>
      <c r="AE165" s="309"/>
      <c r="AF165" s="309"/>
      <c r="AG165" s="309"/>
      <c r="AH165" s="309"/>
      <c r="AI165" s="309"/>
      <c r="AJ165" s="309"/>
      <c r="AK165" s="309"/>
      <c r="AL165" s="309"/>
      <c r="AM165" s="309"/>
      <c r="AN165" s="309"/>
      <c r="AO165" s="309"/>
      <c r="AP165" s="309"/>
      <c r="AQ165" s="309"/>
      <c r="AR165" s="309"/>
      <c r="AS165" s="308"/>
      <c r="AT165" s="309"/>
      <c r="AU165" s="309"/>
      <c r="AV165" s="309"/>
      <c r="AW165" s="309"/>
      <c r="AX165" s="309"/>
      <c r="AY165" s="309"/>
      <c r="AZ165" s="309"/>
      <c r="BA165" s="309"/>
      <c r="BB165" s="309"/>
      <c r="BC165" s="309"/>
      <c r="BD165" s="309"/>
    </row>
    <row r="166" spans="1:56" hidden="1" outlineLevel="1" x14ac:dyDescent="0.25">
      <c r="A166" s="288"/>
      <c r="B166" s="292"/>
      <c r="C166" s="192"/>
      <c r="D166" s="192"/>
      <c r="E166" s="192"/>
      <c r="F166" s="192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308"/>
      <c r="S166" s="192"/>
      <c r="T166" s="192"/>
      <c r="U166" s="192"/>
      <c r="V166" s="192"/>
      <c r="W166" s="192"/>
      <c r="X166" s="192"/>
      <c r="Y166" s="192"/>
      <c r="Z166" s="192"/>
      <c r="AA166" s="192"/>
      <c r="AB166" s="192"/>
      <c r="AC166" s="192"/>
      <c r="AD166" s="309"/>
      <c r="AE166" s="309"/>
      <c r="AF166" s="309"/>
      <c r="AG166" s="309"/>
      <c r="AH166" s="309"/>
      <c r="AI166" s="309"/>
      <c r="AJ166" s="309"/>
      <c r="AK166" s="309"/>
      <c r="AL166" s="309"/>
      <c r="AM166" s="309"/>
      <c r="AN166" s="309"/>
      <c r="AO166" s="309"/>
      <c r="AP166" s="309"/>
      <c r="AQ166" s="309"/>
      <c r="AR166" s="309"/>
      <c r="AS166" s="308"/>
      <c r="AT166" s="309"/>
      <c r="AU166" s="309"/>
      <c r="AV166" s="309"/>
      <c r="AW166" s="309"/>
      <c r="AX166" s="309"/>
      <c r="AY166" s="309"/>
      <c r="AZ166" s="309"/>
      <c r="BA166" s="309"/>
      <c r="BB166" s="309"/>
      <c r="BC166" s="309"/>
      <c r="BD166" s="309"/>
    </row>
    <row r="167" spans="1:56" hidden="1" outlineLevel="1" x14ac:dyDescent="0.25">
      <c r="A167" s="288"/>
      <c r="B167" s="292"/>
      <c r="C167" s="192"/>
      <c r="D167" s="192"/>
      <c r="E167" s="192"/>
      <c r="F167" s="192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308"/>
      <c r="S167" s="192"/>
      <c r="T167" s="192"/>
      <c r="U167" s="192"/>
      <c r="V167" s="192"/>
      <c r="W167" s="192"/>
      <c r="X167" s="192"/>
      <c r="Y167" s="192"/>
      <c r="Z167" s="192"/>
      <c r="AA167" s="192"/>
      <c r="AB167" s="192"/>
      <c r="AC167" s="192"/>
      <c r="AD167" s="309"/>
      <c r="AE167" s="309"/>
      <c r="AF167" s="309"/>
      <c r="AG167" s="309"/>
      <c r="AH167" s="309"/>
      <c r="AI167" s="309"/>
      <c r="AJ167" s="309"/>
      <c r="AK167" s="309"/>
      <c r="AL167" s="309"/>
      <c r="AM167" s="309"/>
      <c r="AN167" s="309"/>
      <c r="AO167" s="309"/>
      <c r="AP167" s="309"/>
      <c r="AQ167" s="309"/>
      <c r="AR167" s="309"/>
      <c r="AS167" s="308"/>
      <c r="AT167" s="309"/>
      <c r="AU167" s="309"/>
      <c r="AV167" s="309"/>
      <c r="AW167" s="309"/>
      <c r="AX167" s="309"/>
      <c r="AY167" s="309"/>
      <c r="AZ167" s="309"/>
      <c r="BA167" s="309"/>
      <c r="BB167" s="309"/>
      <c r="BC167" s="309"/>
      <c r="BD167" s="309"/>
    </row>
    <row r="168" spans="1:56" hidden="1" outlineLevel="1" x14ac:dyDescent="0.25">
      <c r="A168" s="288"/>
      <c r="B168" s="292"/>
      <c r="C168" s="192"/>
      <c r="D168" s="192"/>
      <c r="E168" s="192"/>
      <c r="F168" s="192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308"/>
      <c r="S168" s="192"/>
      <c r="T168" s="192"/>
      <c r="U168" s="192"/>
      <c r="V168" s="192"/>
      <c r="W168" s="192"/>
      <c r="X168" s="192"/>
      <c r="Y168" s="192"/>
      <c r="Z168" s="192"/>
      <c r="AA168" s="192"/>
      <c r="AB168" s="192"/>
      <c r="AC168" s="192"/>
      <c r="AD168" s="309"/>
      <c r="AE168" s="309"/>
      <c r="AF168" s="309"/>
      <c r="AG168" s="309"/>
      <c r="AH168" s="309"/>
      <c r="AI168" s="309"/>
      <c r="AJ168" s="309"/>
      <c r="AK168" s="309"/>
      <c r="AL168" s="309"/>
      <c r="AM168" s="309"/>
      <c r="AN168" s="309"/>
      <c r="AO168" s="309"/>
      <c r="AP168" s="309"/>
      <c r="AQ168" s="309"/>
      <c r="AR168" s="309"/>
      <c r="AS168" s="308"/>
      <c r="AT168" s="309"/>
      <c r="AU168" s="309"/>
      <c r="AV168" s="309"/>
      <c r="AW168" s="309"/>
      <c r="AX168" s="309"/>
      <c r="AY168" s="309"/>
      <c r="AZ168" s="309"/>
      <c r="BA168" s="309"/>
      <c r="BB168" s="309"/>
      <c r="BC168" s="309"/>
      <c r="BD168" s="309"/>
    </row>
    <row r="169" spans="1:56" hidden="1" outlineLevel="1" x14ac:dyDescent="0.25">
      <c r="A169" s="288"/>
      <c r="B169" s="292"/>
      <c r="C169" s="192"/>
      <c r="D169" s="192"/>
      <c r="E169" s="192"/>
      <c r="F169" s="192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308"/>
      <c r="S169" s="192"/>
      <c r="T169" s="192"/>
      <c r="U169" s="192"/>
      <c r="V169" s="192"/>
      <c r="W169" s="192"/>
      <c r="X169" s="192"/>
      <c r="Y169" s="192"/>
      <c r="Z169" s="192"/>
      <c r="AA169" s="192"/>
      <c r="AB169" s="192"/>
      <c r="AC169" s="192"/>
      <c r="AD169" s="309"/>
      <c r="AE169" s="309"/>
      <c r="AF169" s="309"/>
      <c r="AG169" s="309"/>
      <c r="AH169" s="309"/>
      <c r="AI169" s="309"/>
      <c r="AJ169" s="309"/>
      <c r="AK169" s="309"/>
      <c r="AL169" s="309"/>
      <c r="AM169" s="309"/>
      <c r="AN169" s="309"/>
      <c r="AO169" s="309"/>
      <c r="AP169" s="309"/>
      <c r="AQ169" s="309"/>
      <c r="AR169" s="309"/>
      <c r="AS169" s="308"/>
      <c r="AT169" s="309"/>
      <c r="AU169" s="309"/>
      <c r="AV169" s="309"/>
      <c r="AW169" s="309"/>
      <c r="AX169" s="309"/>
      <c r="AY169" s="309"/>
      <c r="AZ169" s="309"/>
      <c r="BA169" s="309"/>
      <c r="BB169" s="309"/>
      <c r="BC169" s="309"/>
      <c r="BD169" s="309"/>
    </row>
    <row r="170" spans="1:56" hidden="1" outlineLevel="1" x14ac:dyDescent="0.25">
      <c r="A170" s="288"/>
      <c r="B170" s="292"/>
      <c r="C170" s="192"/>
      <c r="D170" s="192"/>
      <c r="E170" s="192"/>
      <c r="F170" s="192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308"/>
      <c r="S170" s="192"/>
      <c r="T170" s="192"/>
      <c r="U170" s="192"/>
      <c r="V170" s="192"/>
      <c r="W170" s="192"/>
      <c r="X170" s="192"/>
      <c r="Y170" s="192"/>
      <c r="Z170" s="192"/>
      <c r="AA170" s="192"/>
      <c r="AB170" s="192"/>
      <c r="AC170" s="192"/>
      <c r="AD170" s="309"/>
      <c r="AE170" s="309"/>
      <c r="AF170" s="309"/>
      <c r="AG170" s="309"/>
      <c r="AH170" s="309"/>
      <c r="AI170" s="309"/>
      <c r="AJ170" s="309"/>
      <c r="AK170" s="309"/>
      <c r="AL170" s="309"/>
      <c r="AM170" s="309"/>
      <c r="AN170" s="309"/>
      <c r="AO170" s="309"/>
      <c r="AP170" s="309"/>
      <c r="AQ170" s="309"/>
      <c r="AR170" s="309"/>
      <c r="AS170" s="308"/>
      <c r="AT170" s="309"/>
      <c r="AU170" s="309"/>
      <c r="AV170" s="309"/>
      <c r="AW170" s="309"/>
      <c r="AX170" s="309"/>
      <c r="AY170" s="309"/>
      <c r="AZ170" s="309"/>
      <c r="BA170" s="309"/>
      <c r="BB170" s="309"/>
      <c r="BC170" s="309"/>
      <c r="BD170" s="309"/>
    </row>
    <row r="171" spans="1:56" hidden="1" outlineLevel="1" x14ac:dyDescent="0.25">
      <c r="A171" s="288"/>
      <c r="B171" s="292"/>
      <c r="C171" s="192"/>
      <c r="D171" s="192"/>
      <c r="E171" s="192"/>
      <c r="F171" s="192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308"/>
      <c r="S171" s="192"/>
      <c r="T171" s="192"/>
      <c r="U171" s="192"/>
      <c r="V171" s="192"/>
      <c r="W171" s="192"/>
      <c r="X171" s="192"/>
      <c r="Y171" s="192"/>
      <c r="Z171" s="192"/>
      <c r="AA171" s="192"/>
      <c r="AB171" s="192"/>
      <c r="AC171" s="192"/>
      <c r="AD171" s="309"/>
      <c r="AE171" s="309"/>
      <c r="AF171" s="309"/>
      <c r="AG171" s="309"/>
      <c r="AH171" s="309"/>
      <c r="AI171" s="309"/>
      <c r="AJ171" s="309"/>
      <c r="AK171" s="309"/>
      <c r="AL171" s="309"/>
      <c r="AM171" s="309"/>
      <c r="AN171" s="309"/>
      <c r="AO171" s="309"/>
      <c r="AP171" s="309"/>
      <c r="AQ171" s="309"/>
      <c r="AR171" s="309"/>
      <c r="AS171" s="308"/>
      <c r="AT171" s="309"/>
      <c r="AU171" s="309"/>
      <c r="AV171" s="309"/>
      <c r="AW171" s="309"/>
      <c r="AX171" s="309"/>
      <c r="AY171" s="309"/>
      <c r="AZ171" s="309"/>
      <c r="BA171" s="309"/>
      <c r="BB171" s="309"/>
      <c r="BC171" s="309"/>
      <c r="BD171" s="309"/>
    </row>
    <row r="172" spans="1:56" hidden="1" outlineLevel="1" x14ac:dyDescent="0.25">
      <c r="A172" s="288"/>
      <c r="B172" s="292"/>
      <c r="C172" s="192"/>
      <c r="D172" s="192"/>
      <c r="E172" s="192"/>
      <c r="F172" s="192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308"/>
      <c r="S172" s="192"/>
      <c r="T172" s="192"/>
      <c r="U172" s="192"/>
      <c r="V172" s="192"/>
      <c r="W172" s="192"/>
      <c r="X172" s="192"/>
      <c r="Y172" s="192"/>
      <c r="Z172" s="192"/>
      <c r="AA172" s="192"/>
      <c r="AB172" s="192"/>
      <c r="AC172" s="192"/>
      <c r="AD172" s="309"/>
      <c r="AE172" s="309"/>
      <c r="AF172" s="309"/>
      <c r="AG172" s="309"/>
      <c r="AH172" s="309"/>
      <c r="AI172" s="309"/>
      <c r="AJ172" s="309"/>
      <c r="AK172" s="309"/>
      <c r="AL172" s="309"/>
      <c r="AM172" s="309"/>
      <c r="AN172" s="309"/>
      <c r="AO172" s="309"/>
      <c r="AP172" s="309"/>
      <c r="AQ172" s="309"/>
      <c r="AR172" s="309"/>
      <c r="AS172" s="308"/>
      <c r="AT172" s="309"/>
      <c r="AU172" s="309"/>
      <c r="AV172" s="309"/>
      <c r="AW172" s="309"/>
      <c r="AX172" s="309"/>
      <c r="AY172" s="309"/>
      <c r="AZ172" s="309"/>
      <c r="BA172" s="309"/>
      <c r="BB172" s="309"/>
      <c r="BC172" s="309"/>
      <c r="BD172" s="309"/>
    </row>
    <row r="173" spans="1:56" hidden="1" outlineLevel="1" x14ac:dyDescent="0.25">
      <c r="A173" s="288"/>
      <c r="B173" s="292"/>
      <c r="C173" s="192"/>
      <c r="D173" s="192"/>
      <c r="E173" s="192"/>
      <c r="F173" s="192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308"/>
      <c r="S173" s="192"/>
      <c r="T173" s="192"/>
      <c r="U173" s="192"/>
      <c r="V173" s="192"/>
      <c r="W173" s="192"/>
      <c r="X173" s="192"/>
      <c r="Y173" s="192"/>
      <c r="Z173" s="192"/>
      <c r="AA173" s="192"/>
      <c r="AB173" s="192"/>
      <c r="AC173" s="192"/>
      <c r="AD173" s="309"/>
      <c r="AE173" s="309"/>
      <c r="AF173" s="309"/>
      <c r="AG173" s="309"/>
      <c r="AH173" s="309"/>
      <c r="AI173" s="309"/>
      <c r="AJ173" s="309"/>
      <c r="AK173" s="309"/>
      <c r="AL173" s="309"/>
      <c r="AM173" s="309"/>
      <c r="AN173" s="309"/>
      <c r="AO173" s="309"/>
      <c r="AP173" s="309"/>
      <c r="AQ173" s="309"/>
      <c r="AR173" s="309"/>
      <c r="AS173" s="308"/>
      <c r="AT173" s="309"/>
      <c r="AU173" s="309"/>
      <c r="AV173" s="309"/>
      <c r="AW173" s="309"/>
      <c r="AX173" s="309"/>
      <c r="AY173" s="309"/>
      <c r="AZ173" s="309"/>
      <c r="BA173" s="309"/>
      <c r="BB173" s="309"/>
      <c r="BC173" s="309"/>
      <c r="BD173" s="309"/>
    </row>
    <row r="174" spans="1:56" hidden="1" outlineLevel="1" x14ac:dyDescent="0.25">
      <c r="A174" s="288"/>
      <c r="B174" s="292"/>
      <c r="C174" s="192"/>
      <c r="D174" s="192"/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308"/>
      <c r="S174" s="192"/>
      <c r="T174" s="192"/>
      <c r="U174" s="192"/>
      <c r="V174" s="192"/>
      <c r="W174" s="192"/>
      <c r="X174" s="192"/>
      <c r="Y174" s="192"/>
      <c r="Z174" s="192"/>
      <c r="AA174" s="192"/>
      <c r="AB174" s="192"/>
      <c r="AC174" s="192"/>
      <c r="AD174" s="309"/>
      <c r="AE174" s="309"/>
      <c r="AF174" s="309"/>
      <c r="AG174" s="309"/>
      <c r="AH174" s="309"/>
      <c r="AI174" s="309"/>
      <c r="AJ174" s="309"/>
      <c r="AK174" s="309"/>
      <c r="AL174" s="309"/>
      <c r="AM174" s="309"/>
      <c r="AN174" s="309"/>
      <c r="AO174" s="309"/>
      <c r="AP174" s="309"/>
      <c r="AQ174" s="309"/>
      <c r="AR174" s="309"/>
      <c r="AS174" s="308"/>
      <c r="AT174" s="309"/>
      <c r="AU174" s="309"/>
      <c r="AV174" s="309"/>
      <c r="AW174" s="309"/>
      <c r="AX174" s="309"/>
      <c r="AY174" s="309"/>
      <c r="AZ174" s="309"/>
      <c r="BA174" s="309"/>
      <c r="BB174" s="309"/>
      <c r="BC174" s="309"/>
      <c r="BD174" s="309"/>
    </row>
    <row r="175" spans="1:56" hidden="1" outlineLevel="1" x14ac:dyDescent="0.25">
      <c r="A175" s="288"/>
      <c r="B175" s="292"/>
      <c r="C175" s="192"/>
      <c r="D175" s="192"/>
      <c r="E175" s="192"/>
      <c r="F175" s="192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308"/>
      <c r="S175" s="192"/>
      <c r="T175" s="192"/>
      <c r="U175" s="192"/>
      <c r="V175" s="192"/>
      <c r="W175" s="192"/>
      <c r="X175" s="192"/>
      <c r="Y175" s="192"/>
      <c r="Z175" s="192"/>
      <c r="AA175" s="192"/>
      <c r="AB175" s="192"/>
      <c r="AC175" s="192"/>
      <c r="AD175" s="309"/>
      <c r="AE175" s="309"/>
      <c r="AF175" s="309"/>
      <c r="AG175" s="309"/>
      <c r="AH175" s="309"/>
      <c r="AI175" s="309"/>
      <c r="AJ175" s="309"/>
      <c r="AK175" s="309"/>
      <c r="AL175" s="309"/>
      <c r="AM175" s="309"/>
      <c r="AN175" s="309"/>
      <c r="AO175" s="309"/>
      <c r="AP175" s="309"/>
      <c r="AQ175" s="309"/>
      <c r="AR175" s="309"/>
      <c r="AS175" s="308"/>
      <c r="AT175" s="309"/>
      <c r="AU175" s="309"/>
      <c r="AV175" s="309"/>
      <c r="AW175" s="309"/>
      <c r="AX175" s="309"/>
      <c r="AY175" s="309"/>
      <c r="AZ175" s="309"/>
      <c r="BA175" s="309"/>
      <c r="BB175" s="309"/>
      <c r="BC175" s="309"/>
      <c r="BD175" s="309"/>
    </row>
    <row r="176" spans="1:56" hidden="1" outlineLevel="1" x14ac:dyDescent="0.25">
      <c r="A176" s="288"/>
      <c r="B176" s="292"/>
      <c r="C176" s="192"/>
      <c r="D176" s="192"/>
      <c r="E176" s="192"/>
      <c r="F176" s="192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308"/>
      <c r="S176" s="192"/>
      <c r="T176" s="192"/>
      <c r="U176" s="192"/>
      <c r="V176" s="192"/>
      <c r="W176" s="192"/>
      <c r="X176" s="192"/>
      <c r="Y176" s="192"/>
      <c r="Z176" s="192"/>
      <c r="AA176" s="192"/>
      <c r="AB176" s="192"/>
      <c r="AC176" s="192"/>
      <c r="AD176" s="309"/>
      <c r="AE176" s="309"/>
      <c r="AF176" s="309"/>
      <c r="AG176" s="309"/>
      <c r="AH176" s="309"/>
      <c r="AI176" s="309"/>
      <c r="AJ176" s="309"/>
      <c r="AK176" s="309"/>
      <c r="AL176" s="309"/>
      <c r="AM176" s="309"/>
      <c r="AN176" s="309"/>
      <c r="AO176" s="309"/>
      <c r="AP176" s="309"/>
      <c r="AQ176" s="309"/>
      <c r="AR176" s="309"/>
      <c r="AS176" s="308"/>
      <c r="AT176" s="309"/>
      <c r="AU176" s="309"/>
      <c r="AV176" s="309"/>
      <c r="AW176" s="309"/>
      <c r="AX176" s="309"/>
      <c r="AY176" s="309"/>
      <c r="AZ176" s="309"/>
      <c r="BA176" s="309"/>
      <c r="BB176" s="309"/>
      <c r="BC176" s="309"/>
      <c r="BD176" s="309"/>
    </row>
    <row r="177" spans="1:56" hidden="1" outlineLevel="1" x14ac:dyDescent="0.25">
      <c r="A177" s="288"/>
      <c r="B177" s="292"/>
      <c r="C177" s="192"/>
      <c r="D177" s="192"/>
      <c r="E177" s="192"/>
      <c r="F177" s="192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308"/>
      <c r="S177" s="192"/>
      <c r="T177" s="192"/>
      <c r="U177" s="192"/>
      <c r="V177" s="192"/>
      <c r="W177" s="192"/>
      <c r="X177" s="192"/>
      <c r="Y177" s="192"/>
      <c r="Z177" s="192"/>
      <c r="AA177" s="192"/>
      <c r="AB177" s="192"/>
      <c r="AC177" s="192"/>
      <c r="AD177" s="309"/>
      <c r="AE177" s="309"/>
      <c r="AF177" s="309"/>
      <c r="AG177" s="309"/>
      <c r="AH177" s="309"/>
      <c r="AI177" s="309"/>
      <c r="AJ177" s="309"/>
      <c r="AK177" s="309"/>
      <c r="AL177" s="309"/>
      <c r="AM177" s="309"/>
      <c r="AN177" s="309"/>
      <c r="AO177" s="309"/>
      <c r="AP177" s="309"/>
      <c r="AQ177" s="309"/>
      <c r="AR177" s="309"/>
      <c r="AS177" s="308"/>
      <c r="AT177" s="309"/>
      <c r="AU177" s="309"/>
      <c r="AV177" s="309"/>
      <c r="AW177" s="309"/>
      <c r="AX177" s="309"/>
      <c r="AY177" s="309"/>
      <c r="AZ177" s="309"/>
      <c r="BA177" s="309"/>
      <c r="BB177" s="309"/>
      <c r="BC177" s="309"/>
      <c r="BD177" s="309"/>
    </row>
    <row r="178" spans="1:56" hidden="1" outlineLevel="1" x14ac:dyDescent="0.25">
      <c r="A178" s="288"/>
      <c r="B178" s="292"/>
      <c r="C178" s="192"/>
      <c r="D178" s="192"/>
      <c r="E178" s="192"/>
      <c r="F178" s="192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308"/>
      <c r="S178" s="192"/>
      <c r="T178" s="192"/>
      <c r="U178" s="192"/>
      <c r="V178" s="192"/>
      <c r="W178" s="192"/>
      <c r="X178" s="192"/>
      <c r="Y178" s="192"/>
      <c r="Z178" s="192"/>
      <c r="AA178" s="192"/>
      <c r="AB178" s="192"/>
      <c r="AC178" s="192"/>
      <c r="AD178" s="309"/>
      <c r="AE178" s="309"/>
      <c r="AF178" s="309"/>
      <c r="AG178" s="309"/>
      <c r="AH178" s="309"/>
      <c r="AI178" s="309"/>
      <c r="AJ178" s="309"/>
      <c r="AK178" s="309"/>
      <c r="AL178" s="309"/>
      <c r="AM178" s="309"/>
      <c r="AN178" s="309"/>
      <c r="AO178" s="309"/>
      <c r="AP178" s="309"/>
      <c r="AQ178" s="309"/>
      <c r="AR178" s="309"/>
      <c r="AS178" s="308"/>
      <c r="AT178" s="309"/>
      <c r="AU178" s="309"/>
      <c r="AV178" s="309"/>
      <c r="AW178" s="309"/>
      <c r="AX178" s="309"/>
      <c r="AY178" s="309"/>
      <c r="AZ178" s="309"/>
      <c r="BA178" s="309"/>
      <c r="BB178" s="309"/>
      <c r="BC178" s="309"/>
      <c r="BD178" s="309"/>
    </row>
    <row r="179" spans="1:56" hidden="1" outlineLevel="1" x14ac:dyDescent="0.25">
      <c r="A179" s="288"/>
      <c r="B179" s="292"/>
      <c r="C179" s="192"/>
      <c r="D179" s="192"/>
      <c r="E179" s="192"/>
      <c r="F179" s="192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308"/>
      <c r="S179" s="192"/>
      <c r="T179" s="192"/>
      <c r="U179" s="192"/>
      <c r="V179" s="192"/>
      <c r="W179" s="192"/>
      <c r="X179" s="192"/>
      <c r="Y179" s="192"/>
      <c r="Z179" s="192"/>
      <c r="AA179" s="192"/>
      <c r="AB179" s="192"/>
      <c r="AC179" s="192"/>
      <c r="AD179" s="309"/>
      <c r="AE179" s="309"/>
      <c r="AF179" s="309"/>
      <c r="AG179" s="309"/>
      <c r="AH179" s="309"/>
      <c r="AI179" s="309"/>
      <c r="AJ179" s="309"/>
      <c r="AK179" s="309"/>
      <c r="AL179" s="309"/>
      <c r="AM179" s="309"/>
      <c r="AN179" s="309"/>
      <c r="AO179" s="309"/>
      <c r="AP179" s="309"/>
      <c r="AQ179" s="309"/>
      <c r="AR179" s="309"/>
      <c r="AS179" s="308"/>
      <c r="AT179" s="309"/>
      <c r="AU179" s="309"/>
      <c r="AV179" s="309"/>
      <c r="AW179" s="309"/>
      <c r="AX179" s="309"/>
      <c r="AY179" s="309"/>
      <c r="AZ179" s="309"/>
      <c r="BA179" s="309"/>
      <c r="BB179" s="309"/>
      <c r="BC179" s="309"/>
      <c r="BD179" s="309"/>
    </row>
    <row r="180" spans="1:56" hidden="1" outlineLevel="1" x14ac:dyDescent="0.25">
      <c r="A180" s="288"/>
      <c r="B180" s="292"/>
      <c r="C180" s="192"/>
      <c r="D180" s="192"/>
      <c r="E180" s="192"/>
      <c r="F180" s="192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308"/>
      <c r="S180" s="192"/>
      <c r="T180" s="192"/>
      <c r="U180" s="192"/>
      <c r="V180" s="192"/>
      <c r="W180" s="192"/>
      <c r="X180" s="192"/>
      <c r="Y180" s="192"/>
      <c r="Z180" s="192"/>
      <c r="AA180" s="192"/>
      <c r="AB180" s="192"/>
      <c r="AC180" s="192"/>
      <c r="AD180" s="309"/>
      <c r="AE180" s="309"/>
      <c r="AF180" s="309"/>
      <c r="AG180" s="309"/>
      <c r="AH180" s="309"/>
      <c r="AI180" s="309"/>
      <c r="AJ180" s="309"/>
      <c r="AK180" s="309"/>
      <c r="AL180" s="309"/>
      <c r="AM180" s="309"/>
      <c r="AN180" s="309"/>
      <c r="AO180" s="309"/>
      <c r="AP180" s="309"/>
      <c r="AQ180" s="309"/>
      <c r="AR180" s="309"/>
      <c r="AS180" s="308"/>
      <c r="AT180" s="309"/>
      <c r="AU180" s="309"/>
      <c r="AV180" s="309"/>
      <c r="AW180" s="309"/>
      <c r="AX180" s="309"/>
      <c r="AY180" s="309"/>
      <c r="AZ180" s="309"/>
      <c r="BA180" s="309"/>
      <c r="BB180" s="309"/>
      <c r="BC180" s="309"/>
      <c r="BD180" s="309"/>
    </row>
    <row r="181" spans="1:56" hidden="1" outlineLevel="1" x14ac:dyDescent="0.25">
      <c r="A181" s="288"/>
      <c r="B181" s="292"/>
      <c r="C181" s="192"/>
      <c r="D181" s="192"/>
      <c r="E181" s="192"/>
      <c r="F181" s="192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308"/>
      <c r="S181" s="192"/>
      <c r="T181" s="192"/>
      <c r="U181" s="192"/>
      <c r="V181" s="192"/>
      <c r="W181" s="192"/>
      <c r="X181" s="192"/>
      <c r="Y181" s="192"/>
      <c r="Z181" s="192"/>
      <c r="AA181" s="192"/>
      <c r="AB181" s="192"/>
      <c r="AC181" s="192"/>
      <c r="AD181" s="309"/>
      <c r="AE181" s="309"/>
      <c r="AF181" s="309"/>
      <c r="AG181" s="309"/>
      <c r="AH181" s="309"/>
      <c r="AI181" s="309"/>
      <c r="AJ181" s="309"/>
      <c r="AK181" s="309"/>
      <c r="AL181" s="309"/>
      <c r="AM181" s="309"/>
      <c r="AN181" s="309"/>
      <c r="AO181" s="309"/>
      <c r="AP181" s="309"/>
      <c r="AQ181" s="309"/>
      <c r="AR181" s="309"/>
      <c r="AS181" s="308"/>
      <c r="AT181" s="309"/>
      <c r="AU181" s="309"/>
      <c r="AV181" s="309"/>
      <c r="AW181" s="309"/>
      <c r="AX181" s="309"/>
      <c r="AY181" s="309"/>
      <c r="AZ181" s="309"/>
      <c r="BA181" s="309"/>
      <c r="BB181" s="309"/>
      <c r="BC181" s="309"/>
      <c r="BD181" s="309"/>
    </row>
    <row r="182" spans="1:56" hidden="1" outlineLevel="1" x14ac:dyDescent="0.25">
      <c r="A182" s="288"/>
      <c r="B182" s="292"/>
      <c r="C182" s="192"/>
      <c r="D182" s="192"/>
      <c r="E182" s="192"/>
      <c r="F182" s="192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308"/>
      <c r="S182" s="192"/>
      <c r="T182" s="192"/>
      <c r="U182" s="192"/>
      <c r="V182" s="192"/>
      <c r="W182" s="192"/>
      <c r="X182" s="192"/>
      <c r="Y182" s="192"/>
      <c r="Z182" s="192"/>
      <c r="AA182" s="192"/>
      <c r="AB182" s="192"/>
      <c r="AC182" s="192"/>
      <c r="AD182" s="309"/>
      <c r="AE182" s="309"/>
      <c r="AF182" s="309"/>
      <c r="AG182" s="309"/>
      <c r="AH182" s="309"/>
      <c r="AI182" s="309"/>
      <c r="AJ182" s="309"/>
      <c r="AK182" s="309"/>
      <c r="AL182" s="309"/>
      <c r="AM182" s="309"/>
      <c r="AN182" s="309"/>
      <c r="AO182" s="309"/>
      <c r="AP182" s="309"/>
      <c r="AQ182" s="309"/>
      <c r="AR182" s="309"/>
      <c r="AS182" s="308"/>
      <c r="AT182" s="309"/>
      <c r="AU182" s="309"/>
      <c r="AV182" s="309"/>
      <c r="AW182" s="309"/>
      <c r="AX182" s="309"/>
      <c r="AY182" s="309"/>
      <c r="AZ182" s="309"/>
      <c r="BA182" s="309"/>
      <c r="BB182" s="309"/>
      <c r="BC182" s="309"/>
      <c r="BD182" s="309"/>
    </row>
    <row r="183" spans="1:56" hidden="1" outlineLevel="1" x14ac:dyDescent="0.25">
      <c r="A183" s="288"/>
      <c r="B183" s="292"/>
      <c r="C183" s="192"/>
      <c r="D183" s="192"/>
      <c r="E183" s="192"/>
      <c r="F183" s="192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308"/>
      <c r="S183" s="192"/>
      <c r="T183" s="192"/>
      <c r="U183" s="192"/>
      <c r="V183" s="192"/>
      <c r="W183" s="192"/>
      <c r="X183" s="192"/>
      <c r="Y183" s="192"/>
      <c r="Z183" s="192"/>
      <c r="AA183" s="192"/>
      <c r="AB183" s="192"/>
      <c r="AC183" s="192"/>
      <c r="AD183" s="309"/>
      <c r="AE183" s="309"/>
      <c r="AF183" s="309"/>
      <c r="AG183" s="309"/>
      <c r="AH183" s="309"/>
      <c r="AI183" s="309"/>
      <c r="AJ183" s="309"/>
      <c r="AK183" s="309"/>
      <c r="AL183" s="309"/>
      <c r="AM183" s="309"/>
      <c r="AN183" s="309"/>
      <c r="AO183" s="309"/>
      <c r="AP183" s="309"/>
      <c r="AQ183" s="309"/>
      <c r="AR183" s="309"/>
      <c r="AS183" s="308"/>
      <c r="AT183" s="309"/>
      <c r="AU183" s="309"/>
      <c r="AV183" s="309"/>
      <c r="AW183" s="309"/>
      <c r="AX183" s="309"/>
      <c r="AY183" s="309"/>
      <c r="AZ183" s="309"/>
      <c r="BA183" s="309"/>
      <c r="BB183" s="309"/>
      <c r="BC183" s="309"/>
      <c r="BD183" s="309"/>
    </row>
    <row r="184" spans="1:56" hidden="1" outlineLevel="1" x14ac:dyDescent="0.25">
      <c r="A184" s="288"/>
      <c r="B184" s="292"/>
      <c r="C184" s="192"/>
      <c r="D184" s="192"/>
      <c r="E184" s="192"/>
      <c r="F184" s="192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308"/>
      <c r="S184" s="192"/>
      <c r="T184" s="192"/>
      <c r="U184" s="192"/>
      <c r="V184" s="192"/>
      <c r="W184" s="192"/>
      <c r="X184" s="192"/>
      <c r="Y184" s="192"/>
      <c r="Z184" s="192"/>
      <c r="AA184" s="192"/>
      <c r="AB184" s="192"/>
      <c r="AC184" s="192"/>
      <c r="AD184" s="309"/>
      <c r="AE184" s="309"/>
      <c r="AF184" s="309"/>
      <c r="AG184" s="309"/>
      <c r="AH184" s="309"/>
      <c r="AI184" s="309"/>
      <c r="AJ184" s="309"/>
      <c r="AK184" s="309"/>
      <c r="AL184" s="309"/>
      <c r="AM184" s="309"/>
      <c r="AN184" s="309"/>
      <c r="AO184" s="309"/>
      <c r="AP184" s="309"/>
      <c r="AQ184" s="309"/>
      <c r="AR184" s="309"/>
      <c r="AS184" s="308"/>
      <c r="AT184" s="309"/>
      <c r="AU184" s="309"/>
      <c r="AV184" s="309"/>
      <c r="AW184" s="309"/>
      <c r="AX184" s="309"/>
      <c r="AY184" s="309"/>
      <c r="AZ184" s="309"/>
      <c r="BA184" s="309"/>
      <c r="BB184" s="309"/>
      <c r="BC184" s="309"/>
      <c r="BD184" s="309"/>
    </row>
    <row r="185" spans="1:56" hidden="1" outlineLevel="1" x14ac:dyDescent="0.25">
      <c r="A185" s="288"/>
      <c r="B185" s="292"/>
      <c r="C185" s="192"/>
      <c r="D185" s="192"/>
      <c r="E185" s="192"/>
      <c r="F185" s="192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308"/>
      <c r="S185" s="192"/>
      <c r="T185" s="192"/>
      <c r="U185" s="192"/>
      <c r="V185" s="192"/>
      <c r="W185" s="192"/>
      <c r="X185" s="192"/>
      <c r="Y185" s="192"/>
      <c r="Z185" s="192"/>
      <c r="AA185" s="192"/>
      <c r="AB185" s="192"/>
      <c r="AC185" s="192"/>
      <c r="AD185" s="309"/>
      <c r="AE185" s="309"/>
      <c r="AF185" s="309"/>
      <c r="AG185" s="309"/>
      <c r="AH185" s="309"/>
      <c r="AI185" s="309"/>
      <c r="AJ185" s="309"/>
      <c r="AK185" s="309"/>
      <c r="AL185" s="309"/>
      <c r="AM185" s="309"/>
      <c r="AN185" s="309"/>
      <c r="AO185" s="309"/>
      <c r="AP185" s="309"/>
      <c r="AQ185" s="309"/>
      <c r="AR185" s="309"/>
      <c r="AS185" s="308"/>
      <c r="AT185" s="309"/>
      <c r="AU185" s="309"/>
      <c r="AV185" s="309"/>
      <c r="AW185" s="309"/>
      <c r="AX185" s="309"/>
      <c r="AY185" s="309"/>
      <c r="AZ185" s="309"/>
      <c r="BA185" s="309"/>
      <c r="BB185" s="309"/>
      <c r="BC185" s="309"/>
      <c r="BD185" s="309"/>
    </row>
    <row r="186" spans="1:56" hidden="1" outlineLevel="1" x14ac:dyDescent="0.25">
      <c r="A186" s="288"/>
      <c r="B186" s="292"/>
      <c r="C186" s="192"/>
      <c r="D186" s="192"/>
      <c r="E186" s="192"/>
      <c r="F186" s="192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308"/>
      <c r="S186" s="192"/>
      <c r="T186" s="192"/>
      <c r="U186" s="192"/>
      <c r="V186" s="192"/>
      <c r="W186" s="192"/>
      <c r="X186" s="192"/>
      <c r="Y186" s="192"/>
      <c r="Z186" s="192"/>
      <c r="AA186" s="192"/>
      <c r="AB186" s="192"/>
      <c r="AC186" s="192"/>
      <c r="AD186" s="309"/>
      <c r="AE186" s="309"/>
      <c r="AF186" s="309"/>
      <c r="AG186" s="309"/>
      <c r="AH186" s="309"/>
      <c r="AI186" s="309"/>
      <c r="AJ186" s="309"/>
      <c r="AK186" s="309"/>
      <c r="AL186" s="309"/>
      <c r="AM186" s="309"/>
      <c r="AN186" s="309"/>
      <c r="AO186" s="309"/>
      <c r="AP186" s="309"/>
      <c r="AQ186" s="309"/>
      <c r="AR186" s="309"/>
      <c r="AS186" s="308"/>
      <c r="AT186" s="309"/>
      <c r="AU186" s="309"/>
      <c r="AV186" s="309"/>
      <c r="AW186" s="309"/>
      <c r="AX186" s="309"/>
      <c r="AY186" s="309"/>
      <c r="AZ186" s="309"/>
      <c r="BA186" s="309"/>
      <c r="BB186" s="309"/>
      <c r="BC186" s="309"/>
      <c r="BD186" s="309"/>
    </row>
    <row r="187" spans="1:56" hidden="1" outlineLevel="1" x14ac:dyDescent="0.25">
      <c r="A187" s="288"/>
      <c r="B187" s="292"/>
      <c r="C187" s="192"/>
      <c r="D187" s="192"/>
      <c r="E187" s="192"/>
      <c r="F187" s="192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308"/>
      <c r="S187" s="192"/>
      <c r="T187" s="192"/>
      <c r="U187" s="192"/>
      <c r="V187" s="192"/>
      <c r="W187" s="192"/>
      <c r="X187" s="192"/>
      <c r="Y187" s="192"/>
      <c r="Z187" s="192"/>
      <c r="AA187" s="192"/>
      <c r="AB187" s="192"/>
      <c r="AC187" s="192"/>
      <c r="AD187" s="309"/>
      <c r="AE187" s="309"/>
      <c r="AF187" s="309"/>
      <c r="AG187" s="309"/>
      <c r="AH187" s="309"/>
      <c r="AI187" s="309"/>
      <c r="AJ187" s="309"/>
      <c r="AK187" s="309"/>
      <c r="AL187" s="309"/>
      <c r="AM187" s="309"/>
      <c r="AN187" s="309"/>
      <c r="AO187" s="309"/>
      <c r="AP187" s="309"/>
      <c r="AQ187" s="309"/>
      <c r="AR187" s="309"/>
      <c r="AS187" s="308"/>
      <c r="AT187" s="309"/>
      <c r="AU187" s="309"/>
      <c r="AV187" s="309"/>
      <c r="AW187" s="309"/>
      <c r="AX187" s="309"/>
      <c r="AY187" s="309"/>
      <c r="AZ187" s="309"/>
      <c r="BA187" s="309"/>
      <c r="BB187" s="309"/>
      <c r="BC187" s="309"/>
      <c r="BD187" s="309"/>
    </row>
    <row r="188" spans="1:56" hidden="1" outlineLevel="1" x14ac:dyDescent="0.25">
      <c r="A188" s="288"/>
      <c r="B188" s="292"/>
      <c r="C188" s="192"/>
      <c r="D188" s="192"/>
      <c r="E188" s="192"/>
      <c r="F188" s="192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308"/>
      <c r="S188" s="192"/>
      <c r="T188" s="192"/>
      <c r="U188" s="192"/>
      <c r="V188" s="192"/>
      <c r="W188" s="192"/>
      <c r="X188" s="192"/>
      <c r="Y188" s="192"/>
      <c r="Z188" s="192"/>
      <c r="AA188" s="192"/>
      <c r="AB188" s="192"/>
      <c r="AC188" s="192"/>
      <c r="AD188" s="309"/>
      <c r="AE188" s="309"/>
      <c r="AF188" s="309"/>
      <c r="AG188" s="309"/>
      <c r="AH188" s="309"/>
      <c r="AI188" s="309"/>
      <c r="AJ188" s="309"/>
      <c r="AK188" s="309"/>
      <c r="AL188" s="309"/>
      <c r="AM188" s="309"/>
      <c r="AN188" s="309"/>
      <c r="AO188" s="309"/>
      <c r="AP188" s="309"/>
      <c r="AQ188" s="309"/>
      <c r="AR188" s="309"/>
      <c r="AS188" s="308"/>
      <c r="AT188" s="309"/>
      <c r="AU188" s="309"/>
      <c r="AV188" s="309"/>
      <c r="AW188" s="309"/>
      <c r="AX188" s="309"/>
      <c r="AY188" s="309"/>
      <c r="AZ188" s="309"/>
      <c r="BA188" s="309"/>
      <c r="BB188" s="309"/>
      <c r="BC188" s="309"/>
      <c r="BD188" s="309"/>
    </row>
    <row r="189" spans="1:56" hidden="1" outlineLevel="1" x14ac:dyDescent="0.25">
      <c r="A189" s="288"/>
      <c r="B189" s="292"/>
      <c r="C189" s="192"/>
      <c r="D189" s="192"/>
      <c r="E189" s="192"/>
      <c r="F189" s="192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308"/>
      <c r="S189" s="192"/>
      <c r="T189" s="192"/>
      <c r="U189" s="192"/>
      <c r="V189" s="192"/>
      <c r="W189" s="192"/>
      <c r="X189" s="192"/>
      <c r="Y189" s="192"/>
      <c r="Z189" s="192"/>
      <c r="AA189" s="192"/>
      <c r="AB189" s="192"/>
      <c r="AC189" s="192"/>
      <c r="AD189" s="309"/>
      <c r="AE189" s="309"/>
      <c r="AF189" s="309"/>
      <c r="AG189" s="309"/>
      <c r="AH189" s="309"/>
      <c r="AI189" s="309"/>
      <c r="AJ189" s="309"/>
      <c r="AK189" s="309"/>
      <c r="AL189" s="309"/>
      <c r="AM189" s="309"/>
      <c r="AN189" s="309"/>
      <c r="AO189" s="309"/>
      <c r="AP189" s="309"/>
      <c r="AQ189" s="309"/>
      <c r="AR189" s="309"/>
      <c r="AS189" s="308"/>
      <c r="AT189" s="309"/>
      <c r="AU189" s="309"/>
      <c r="AV189" s="309"/>
      <c r="AW189" s="309"/>
      <c r="AX189" s="309"/>
      <c r="AY189" s="309"/>
      <c r="AZ189" s="309"/>
      <c r="BA189" s="309"/>
      <c r="BB189" s="309"/>
      <c r="BC189" s="309"/>
      <c r="BD189" s="309"/>
    </row>
    <row r="190" spans="1:56" hidden="1" outlineLevel="1" x14ac:dyDescent="0.25">
      <c r="A190" s="288"/>
      <c r="B190" s="292"/>
      <c r="C190" s="192"/>
      <c r="D190" s="192"/>
      <c r="E190" s="192"/>
      <c r="F190" s="192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308"/>
      <c r="S190" s="192"/>
      <c r="T190" s="192"/>
      <c r="U190" s="192"/>
      <c r="V190" s="192"/>
      <c r="W190" s="192"/>
      <c r="X190" s="192"/>
      <c r="Y190" s="192"/>
      <c r="Z190" s="192"/>
      <c r="AA190" s="192"/>
      <c r="AB190" s="192"/>
      <c r="AC190" s="192"/>
      <c r="AD190" s="309"/>
      <c r="AE190" s="309"/>
      <c r="AF190" s="309"/>
      <c r="AG190" s="309"/>
      <c r="AH190" s="309"/>
      <c r="AI190" s="309"/>
      <c r="AJ190" s="309"/>
      <c r="AK190" s="309"/>
      <c r="AL190" s="309"/>
      <c r="AM190" s="309"/>
      <c r="AN190" s="309"/>
      <c r="AO190" s="309"/>
      <c r="AP190" s="309"/>
      <c r="AQ190" s="309"/>
      <c r="AR190" s="309"/>
      <c r="AS190" s="308"/>
      <c r="AT190" s="309"/>
      <c r="AU190" s="309"/>
      <c r="AV190" s="309"/>
      <c r="AW190" s="309"/>
      <c r="AX190" s="309"/>
      <c r="AY190" s="309"/>
      <c r="AZ190" s="309"/>
      <c r="BA190" s="309"/>
      <c r="BB190" s="309"/>
      <c r="BC190" s="309"/>
      <c r="BD190" s="309"/>
    </row>
    <row r="191" spans="1:56" hidden="1" outlineLevel="1" x14ac:dyDescent="0.25">
      <c r="A191" s="288"/>
      <c r="B191" s="292"/>
      <c r="C191" s="192"/>
      <c r="D191" s="192"/>
      <c r="E191" s="192"/>
      <c r="F191" s="192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308"/>
      <c r="S191" s="192"/>
      <c r="T191" s="192"/>
      <c r="U191" s="192"/>
      <c r="V191" s="192"/>
      <c r="W191" s="192"/>
      <c r="X191" s="192"/>
      <c r="Y191" s="192"/>
      <c r="Z191" s="192"/>
      <c r="AA191" s="192"/>
      <c r="AB191" s="192"/>
      <c r="AC191" s="192"/>
      <c r="AD191" s="309"/>
      <c r="AE191" s="309"/>
      <c r="AF191" s="309"/>
      <c r="AG191" s="309"/>
      <c r="AH191" s="309"/>
      <c r="AI191" s="309"/>
      <c r="AJ191" s="309"/>
      <c r="AK191" s="309"/>
      <c r="AL191" s="309"/>
      <c r="AM191" s="309"/>
      <c r="AN191" s="309"/>
      <c r="AO191" s="309"/>
      <c r="AP191" s="309"/>
      <c r="AQ191" s="309"/>
      <c r="AR191" s="309"/>
      <c r="AS191" s="308"/>
      <c r="AT191" s="309"/>
      <c r="AU191" s="309"/>
      <c r="AV191" s="309"/>
      <c r="AW191" s="309"/>
      <c r="AX191" s="309"/>
      <c r="AY191" s="309"/>
      <c r="AZ191" s="309"/>
      <c r="BA191" s="309"/>
      <c r="BB191" s="309"/>
      <c r="BC191" s="309"/>
      <c r="BD191" s="309"/>
    </row>
    <row r="192" spans="1:56" hidden="1" outlineLevel="1" x14ac:dyDescent="0.25">
      <c r="A192" s="288"/>
      <c r="B192" s="292"/>
      <c r="C192" s="192"/>
      <c r="D192" s="192"/>
      <c r="E192" s="192"/>
      <c r="F192" s="192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308"/>
      <c r="S192" s="192"/>
      <c r="T192" s="192"/>
      <c r="U192" s="192"/>
      <c r="V192" s="192"/>
      <c r="W192" s="192"/>
      <c r="X192" s="192"/>
      <c r="Y192" s="192"/>
      <c r="Z192" s="192"/>
      <c r="AA192" s="192"/>
      <c r="AB192" s="192"/>
      <c r="AC192" s="192"/>
      <c r="AD192" s="309"/>
      <c r="AE192" s="309"/>
      <c r="AF192" s="309"/>
      <c r="AG192" s="309"/>
      <c r="AH192" s="309"/>
      <c r="AI192" s="309"/>
      <c r="AJ192" s="309"/>
      <c r="AK192" s="309"/>
      <c r="AL192" s="309"/>
      <c r="AM192" s="309"/>
      <c r="AN192" s="309"/>
      <c r="AO192" s="309"/>
      <c r="AP192" s="309"/>
      <c r="AQ192" s="309"/>
      <c r="AR192" s="309"/>
      <c r="AS192" s="308"/>
      <c r="AT192" s="309"/>
      <c r="AU192" s="309"/>
      <c r="AV192" s="309"/>
      <c r="AW192" s="309"/>
      <c r="AX192" s="309"/>
      <c r="AY192" s="309"/>
      <c r="AZ192" s="309"/>
      <c r="BA192" s="309"/>
      <c r="BB192" s="309"/>
      <c r="BC192" s="309"/>
      <c r="BD192" s="309"/>
    </row>
    <row r="193" spans="1:56" hidden="1" outlineLevel="1" x14ac:dyDescent="0.25">
      <c r="A193" s="288"/>
      <c r="B193" s="292"/>
      <c r="C193" s="192"/>
      <c r="D193" s="192"/>
      <c r="E193" s="192"/>
      <c r="F193" s="192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308"/>
      <c r="S193" s="192"/>
      <c r="T193" s="192"/>
      <c r="U193" s="192"/>
      <c r="V193" s="192"/>
      <c r="W193" s="192"/>
      <c r="X193" s="192"/>
      <c r="Y193" s="192"/>
      <c r="Z193" s="192"/>
      <c r="AA193" s="192"/>
      <c r="AB193" s="192"/>
      <c r="AC193" s="192"/>
      <c r="AD193" s="309"/>
      <c r="AE193" s="309"/>
      <c r="AF193" s="309"/>
      <c r="AG193" s="309"/>
      <c r="AH193" s="309"/>
      <c r="AI193" s="309"/>
      <c r="AJ193" s="309"/>
      <c r="AK193" s="309"/>
      <c r="AL193" s="309"/>
      <c r="AM193" s="309"/>
      <c r="AN193" s="309"/>
      <c r="AO193" s="309"/>
      <c r="AP193" s="309"/>
      <c r="AQ193" s="309"/>
      <c r="AR193" s="309"/>
      <c r="AS193" s="308"/>
      <c r="AT193" s="309"/>
      <c r="AU193" s="309"/>
      <c r="AV193" s="309"/>
      <c r="AW193" s="309"/>
      <c r="AX193" s="309"/>
      <c r="AY193" s="309"/>
      <c r="AZ193" s="309"/>
      <c r="BA193" s="309"/>
      <c r="BB193" s="309"/>
      <c r="BC193" s="309"/>
      <c r="BD193" s="309"/>
    </row>
    <row r="194" spans="1:56" hidden="1" outlineLevel="1" x14ac:dyDescent="0.25">
      <c r="A194" s="288"/>
      <c r="B194" s="292"/>
      <c r="C194" s="192"/>
      <c r="D194" s="192"/>
      <c r="E194" s="192"/>
      <c r="F194" s="192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308"/>
      <c r="S194" s="192"/>
      <c r="T194" s="192"/>
      <c r="U194" s="192"/>
      <c r="V194" s="192"/>
      <c r="W194" s="192"/>
      <c r="X194" s="192"/>
      <c r="Y194" s="192"/>
      <c r="Z194" s="192"/>
      <c r="AA194" s="192"/>
      <c r="AB194" s="192"/>
      <c r="AC194" s="192"/>
      <c r="AD194" s="309"/>
      <c r="AE194" s="309"/>
      <c r="AF194" s="309"/>
      <c r="AG194" s="309"/>
      <c r="AH194" s="309"/>
      <c r="AI194" s="309"/>
      <c r="AJ194" s="309"/>
      <c r="AK194" s="309"/>
      <c r="AL194" s="309"/>
      <c r="AM194" s="309"/>
      <c r="AN194" s="309"/>
      <c r="AO194" s="309"/>
      <c r="AP194" s="309"/>
      <c r="AQ194" s="309"/>
      <c r="AR194" s="309"/>
      <c r="AS194" s="308"/>
      <c r="AT194" s="309"/>
      <c r="AU194" s="309"/>
      <c r="AV194" s="309"/>
      <c r="AW194" s="309"/>
      <c r="AX194" s="309"/>
      <c r="AY194" s="309"/>
      <c r="AZ194" s="309"/>
      <c r="BA194" s="309"/>
      <c r="BB194" s="309"/>
      <c r="BC194" s="309"/>
      <c r="BD194" s="309"/>
    </row>
    <row r="195" spans="1:56" hidden="1" outlineLevel="1" x14ac:dyDescent="0.25">
      <c r="A195" s="288"/>
      <c r="B195" s="292"/>
      <c r="C195" s="192"/>
      <c r="D195" s="192"/>
      <c r="E195" s="192"/>
      <c r="F195" s="192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308"/>
      <c r="S195" s="192"/>
      <c r="T195" s="192"/>
      <c r="U195" s="192"/>
      <c r="V195" s="192"/>
      <c r="W195" s="192"/>
      <c r="X195" s="192"/>
      <c r="Y195" s="192"/>
      <c r="Z195" s="192"/>
      <c r="AA195" s="192"/>
      <c r="AB195" s="192"/>
      <c r="AC195" s="192"/>
      <c r="AD195" s="309"/>
      <c r="AE195" s="309"/>
      <c r="AF195" s="309"/>
      <c r="AG195" s="309"/>
      <c r="AH195" s="309"/>
      <c r="AI195" s="309"/>
      <c r="AJ195" s="309"/>
      <c r="AK195" s="309"/>
      <c r="AL195" s="309"/>
      <c r="AM195" s="309"/>
      <c r="AN195" s="309"/>
      <c r="AO195" s="309"/>
      <c r="AP195" s="309"/>
      <c r="AQ195" s="309"/>
      <c r="AR195" s="309"/>
      <c r="AS195" s="308"/>
      <c r="AT195" s="309"/>
      <c r="AU195" s="309"/>
      <c r="AV195" s="309"/>
      <c r="AW195" s="309"/>
      <c r="AX195" s="309"/>
      <c r="AY195" s="309"/>
      <c r="AZ195" s="309"/>
      <c r="BA195" s="309"/>
      <c r="BB195" s="309"/>
      <c r="BC195" s="309"/>
      <c r="BD195" s="309"/>
    </row>
    <row r="196" spans="1:56" hidden="1" outlineLevel="1" x14ac:dyDescent="0.25">
      <c r="A196" s="288"/>
      <c r="B196" s="292"/>
      <c r="C196" s="192"/>
      <c r="D196" s="192"/>
      <c r="E196" s="192"/>
      <c r="F196" s="192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308"/>
      <c r="S196" s="192"/>
      <c r="T196" s="192"/>
      <c r="U196" s="192"/>
      <c r="V196" s="192"/>
      <c r="W196" s="192"/>
      <c r="X196" s="192"/>
      <c r="Y196" s="192"/>
      <c r="Z196" s="192"/>
      <c r="AA196" s="192"/>
      <c r="AB196" s="192"/>
      <c r="AC196" s="192"/>
      <c r="AD196" s="309"/>
      <c r="AE196" s="309"/>
      <c r="AF196" s="309"/>
      <c r="AG196" s="309"/>
      <c r="AH196" s="309"/>
      <c r="AI196" s="309"/>
      <c r="AJ196" s="309"/>
      <c r="AK196" s="309"/>
      <c r="AL196" s="309"/>
      <c r="AM196" s="309"/>
      <c r="AN196" s="309"/>
      <c r="AO196" s="309"/>
      <c r="AP196" s="309"/>
      <c r="AQ196" s="309"/>
      <c r="AR196" s="309"/>
      <c r="AS196" s="308"/>
      <c r="AT196" s="309"/>
      <c r="AU196" s="309"/>
      <c r="AV196" s="309"/>
      <c r="AW196" s="309"/>
      <c r="AX196" s="309"/>
      <c r="AY196" s="309"/>
      <c r="AZ196" s="309"/>
      <c r="BA196" s="309"/>
      <c r="BB196" s="309"/>
      <c r="BC196" s="309"/>
      <c r="BD196" s="309"/>
    </row>
    <row r="197" spans="1:56" hidden="1" outlineLevel="1" x14ac:dyDescent="0.25">
      <c r="A197" s="288"/>
      <c r="B197" s="292"/>
      <c r="C197" s="192"/>
      <c r="D197" s="192"/>
      <c r="E197" s="192"/>
      <c r="F197" s="192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308"/>
      <c r="S197" s="192"/>
      <c r="T197" s="192"/>
      <c r="U197" s="192"/>
      <c r="V197" s="192"/>
      <c r="W197" s="192"/>
      <c r="X197" s="192"/>
      <c r="Y197" s="192"/>
      <c r="Z197" s="192"/>
      <c r="AA197" s="192"/>
      <c r="AB197" s="192"/>
      <c r="AC197" s="192"/>
      <c r="AD197" s="309"/>
      <c r="AE197" s="309"/>
      <c r="AF197" s="309"/>
      <c r="AG197" s="309"/>
      <c r="AH197" s="309"/>
      <c r="AI197" s="309"/>
      <c r="AJ197" s="309"/>
      <c r="AK197" s="309"/>
      <c r="AL197" s="309"/>
      <c r="AM197" s="309"/>
      <c r="AN197" s="309"/>
      <c r="AO197" s="309"/>
      <c r="AP197" s="309"/>
      <c r="AQ197" s="309"/>
      <c r="AR197" s="309"/>
      <c r="AS197" s="308"/>
      <c r="AT197" s="309"/>
      <c r="AU197" s="309"/>
      <c r="AV197" s="309"/>
      <c r="AW197" s="309"/>
      <c r="AX197" s="309"/>
      <c r="AY197" s="309"/>
      <c r="AZ197" s="309"/>
      <c r="BA197" s="309"/>
      <c r="BB197" s="309"/>
      <c r="BC197" s="309"/>
      <c r="BD197" s="309"/>
    </row>
    <row r="198" spans="1:56" hidden="1" outlineLevel="1" x14ac:dyDescent="0.25">
      <c r="A198" s="288"/>
      <c r="B198" s="292"/>
      <c r="C198" s="192"/>
      <c r="D198" s="192"/>
      <c r="E198" s="192"/>
      <c r="F198" s="192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308"/>
      <c r="S198" s="192"/>
      <c r="T198" s="192"/>
      <c r="U198" s="192"/>
      <c r="V198" s="192"/>
      <c r="W198" s="192"/>
      <c r="X198" s="192"/>
      <c r="Y198" s="192"/>
      <c r="Z198" s="192"/>
      <c r="AA198" s="192"/>
      <c r="AB198" s="192"/>
      <c r="AC198" s="192"/>
      <c r="AD198" s="309"/>
      <c r="AE198" s="309"/>
      <c r="AF198" s="309"/>
      <c r="AG198" s="309"/>
      <c r="AH198" s="309"/>
      <c r="AI198" s="309"/>
      <c r="AJ198" s="309"/>
      <c r="AK198" s="309"/>
      <c r="AL198" s="309"/>
      <c r="AM198" s="309"/>
      <c r="AN198" s="309"/>
      <c r="AO198" s="309"/>
      <c r="AP198" s="309"/>
      <c r="AQ198" s="309"/>
      <c r="AR198" s="309"/>
      <c r="AS198" s="308"/>
      <c r="AT198" s="309"/>
      <c r="AU198" s="309"/>
      <c r="AV198" s="309"/>
      <c r="AW198" s="309"/>
      <c r="AX198" s="309"/>
      <c r="AY198" s="309"/>
      <c r="AZ198" s="309"/>
      <c r="BA198" s="309"/>
      <c r="BB198" s="309"/>
      <c r="BC198" s="309"/>
      <c r="BD198" s="309"/>
    </row>
    <row r="199" spans="1:56" hidden="1" outlineLevel="1" x14ac:dyDescent="0.25">
      <c r="A199" s="288"/>
      <c r="B199" s="292"/>
      <c r="C199" s="192"/>
      <c r="D199" s="192"/>
      <c r="E199" s="192"/>
      <c r="F199" s="192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308"/>
      <c r="S199" s="192"/>
      <c r="T199" s="192"/>
      <c r="U199" s="192"/>
      <c r="V199" s="192"/>
      <c r="W199" s="192"/>
      <c r="X199" s="192"/>
      <c r="Y199" s="192"/>
      <c r="Z199" s="192"/>
      <c r="AA199" s="192"/>
      <c r="AB199" s="192"/>
      <c r="AC199" s="192"/>
      <c r="AD199" s="309"/>
      <c r="AE199" s="309"/>
      <c r="AF199" s="309"/>
      <c r="AG199" s="309"/>
      <c r="AH199" s="309"/>
      <c r="AI199" s="309"/>
      <c r="AJ199" s="309"/>
      <c r="AK199" s="309"/>
      <c r="AL199" s="309"/>
      <c r="AM199" s="309"/>
      <c r="AN199" s="309"/>
      <c r="AO199" s="309"/>
      <c r="AP199" s="309"/>
      <c r="AQ199" s="309"/>
      <c r="AR199" s="309"/>
      <c r="AS199" s="308"/>
      <c r="AT199" s="309"/>
      <c r="AU199" s="309"/>
      <c r="AV199" s="309"/>
      <c r="AW199" s="309"/>
      <c r="AX199" s="309"/>
      <c r="AY199" s="309"/>
      <c r="AZ199" s="309"/>
      <c r="BA199" s="309"/>
      <c r="BB199" s="309"/>
      <c r="BC199" s="309"/>
      <c r="BD199" s="309"/>
    </row>
    <row r="200" spans="1:56" hidden="1" outlineLevel="1" x14ac:dyDescent="0.25">
      <c r="A200" s="288"/>
      <c r="B200" s="292"/>
      <c r="C200" s="192"/>
      <c r="D200" s="192"/>
      <c r="E200" s="192"/>
      <c r="F200" s="192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308"/>
      <c r="S200" s="192"/>
      <c r="T200" s="192"/>
      <c r="U200" s="192"/>
      <c r="V200" s="192"/>
      <c r="W200" s="192"/>
      <c r="X200" s="192"/>
      <c r="Y200" s="192"/>
      <c r="Z200" s="192"/>
      <c r="AA200" s="192"/>
      <c r="AB200" s="192"/>
      <c r="AC200" s="192"/>
      <c r="AD200" s="309"/>
      <c r="AE200" s="309"/>
      <c r="AF200" s="309"/>
      <c r="AG200" s="309"/>
      <c r="AH200" s="309"/>
      <c r="AI200" s="309"/>
      <c r="AJ200" s="309"/>
      <c r="AK200" s="309"/>
      <c r="AL200" s="309"/>
      <c r="AM200" s="309"/>
      <c r="AN200" s="309"/>
      <c r="AO200" s="309"/>
      <c r="AP200" s="309"/>
      <c r="AQ200" s="309"/>
      <c r="AR200" s="309"/>
      <c r="AS200" s="308"/>
      <c r="AT200" s="309"/>
      <c r="AU200" s="309"/>
      <c r="AV200" s="309"/>
      <c r="AW200" s="309"/>
      <c r="AX200" s="309"/>
      <c r="AY200" s="309"/>
      <c r="AZ200" s="309"/>
      <c r="BA200" s="309"/>
      <c r="BB200" s="309"/>
      <c r="BC200" s="309"/>
      <c r="BD200" s="309"/>
    </row>
    <row r="201" spans="1:56" hidden="1" outlineLevel="1" x14ac:dyDescent="0.25">
      <c r="A201" s="288"/>
      <c r="B201" s="292"/>
      <c r="C201" s="192"/>
      <c r="D201" s="192"/>
      <c r="E201" s="192"/>
      <c r="F201" s="192"/>
      <c r="G201" s="192"/>
      <c r="H201" s="192"/>
      <c r="I201" s="192"/>
      <c r="J201" s="192"/>
      <c r="K201" s="192"/>
      <c r="L201" s="192"/>
      <c r="M201" s="192"/>
      <c r="N201" s="192"/>
      <c r="O201" s="192"/>
      <c r="P201" s="192"/>
      <c r="Q201" s="192"/>
      <c r="R201" s="308"/>
      <c r="S201" s="192"/>
      <c r="T201" s="192"/>
      <c r="U201" s="192"/>
      <c r="V201" s="192"/>
      <c r="W201" s="192"/>
      <c r="X201" s="192"/>
      <c r="Y201" s="192"/>
      <c r="Z201" s="192"/>
      <c r="AA201" s="192"/>
      <c r="AB201" s="192"/>
      <c r="AC201" s="192"/>
      <c r="AD201" s="309"/>
      <c r="AE201" s="309"/>
      <c r="AF201" s="309"/>
      <c r="AG201" s="309"/>
      <c r="AH201" s="309"/>
      <c r="AI201" s="309"/>
      <c r="AJ201" s="309"/>
      <c r="AK201" s="309"/>
      <c r="AL201" s="309"/>
      <c r="AM201" s="309"/>
      <c r="AN201" s="309"/>
      <c r="AO201" s="309"/>
      <c r="AP201" s="309"/>
      <c r="AQ201" s="309"/>
      <c r="AR201" s="309"/>
      <c r="AS201" s="308"/>
      <c r="AT201" s="309"/>
      <c r="AU201" s="309"/>
      <c r="AV201" s="309"/>
      <c r="AW201" s="309"/>
      <c r="AX201" s="309"/>
      <c r="AY201" s="309"/>
      <c r="AZ201" s="309"/>
      <c r="BA201" s="309"/>
      <c r="BB201" s="309"/>
      <c r="BC201" s="309"/>
      <c r="BD201" s="309"/>
    </row>
    <row r="202" spans="1:56" hidden="1" outlineLevel="1" x14ac:dyDescent="0.25">
      <c r="A202" s="288"/>
      <c r="B202" s="292"/>
      <c r="C202" s="192"/>
      <c r="D202" s="192"/>
      <c r="E202" s="192"/>
      <c r="F202" s="192"/>
      <c r="G202" s="192"/>
      <c r="H202" s="192"/>
      <c r="I202" s="192"/>
      <c r="J202" s="192"/>
      <c r="K202" s="192"/>
      <c r="L202" s="192"/>
      <c r="M202" s="192"/>
      <c r="N202" s="192"/>
      <c r="O202" s="192"/>
      <c r="P202" s="192"/>
      <c r="Q202" s="192"/>
      <c r="R202" s="308"/>
      <c r="S202" s="192"/>
      <c r="T202" s="192"/>
      <c r="U202" s="192"/>
      <c r="V202" s="192"/>
      <c r="W202" s="192"/>
      <c r="X202" s="192"/>
      <c r="Y202" s="192"/>
      <c r="Z202" s="192"/>
      <c r="AA202" s="192"/>
      <c r="AB202" s="192"/>
      <c r="AC202" s="192"/>
      <c r="AD202" s="309"/>
      <c r="AE202" s="309"/>
      <c r="AF202" s="309"/>
      <c r="AG202" s="309"/>
      <c r="AH202" s="309"/>
      <c r="AI202" s="309"/>
      <c r="AJ202" s="309"/>
      <c r="AK202" s="309"/>
      <c r="AL202" s="309"/>
      <c r="AM202" s="309"/>
      <c r="AN202" s="309"/>
      <c r="AO202" s="309"/>
      <c r="AP202" s="309"/>
      <c r="AQ202" s="309"/>
      <c r="AR202" s="309"/>
      <c r="AS202" s="308"/>
      <c r="AT202" s="309"/>
      <c r="AU202" s="309"/>
      <c r="AV202" s="309"/>
      <c r="AW202" s="309"/>
      <c r="AX202" s="309"/>
      <c r="AY202" s="309"/>
      <c r="AZ202" s="309"/>
      <c r="BA202" s="309"/>
      <c r="BB202" s="309"/>
      <c r="BC202" s="309"/>
      <c r="BD202" s="309"/>
    </row>
    <row r="203" spans="1:56" hidden="1" outlineLevel="1" x14ac:dyDescent="0.25">
      <c r="A203" s="288"/>
      <c r="B203" s="292"/>
      <c r="C203" s="192"/>
      <c r="D203" s="192"/>
      <c r="E203" s="192"/>
      <c r="F203" s="192"/>
      <c r="G203" s="192"/>
      <c r="H203" s="192"/>
      <c r="I203" s="192"/>
      <c r="J203" s="192"/>
      <c r="K203" s="192"/>
      <c r="L203" s="192"/>
      <c r="M203" s="192"/>
      <c r="N203" s="192"/>
      <c r="O203" s="192"/>
      <c r="P203" s="192"/>
      <c r="Q203" s="192"/>
      <c r="R203" s="308"/>
      <c r="S203" s="192"/>
      <c r="T203" s="192"/>
      <c r="U203" s="192"/>
      <c r="V203" s="192"/>
      <c r="W203" s="192"/>
      <c r="X203" s="192"/>
      <c r="Y203" s="192"/>
      <c r="Z203" s="192"/>
      <c r="AA203" s="192"/>
      <c r="AB203" s="192"/>
      <c r="AC203" s="192"/>
      <c r="AD203" s="309"/>
      <c r="AE203" s="309"/>
      <c r="AF203" s="309"/>
      <c r="AG203" s="309"/>
      <c r="AH203" s="309"/>
      <c r="AI203" s="309"/>
      <c r="AJ203" s="309"/>
      <c r="AK203" s="309"/>
      <c r="AL203" s="309"/>
      <c r="AM203" s="309"/>
      <c r="AN203" s="309"/>
      <c r="AO203" s="309"/>
      <c r="AP203" s="309"/>
      <c r="AQ203" s="309"/>
      <c r="AR203" s="309"/>
      <c r="AS203" s="308"/>
      <c r="AT203" s="309"/>
      <c r="AU203" s="309"/>
      <c r="AV203" s="309"/>
      <c r="AW203" s="309"/>
      <c r="AX203" s="309"/>
      <c r="AY203" s="309"/>
      <c r="AZ203" s="309"/>
      <c r="BA203" s="309"/>
      <c r="BB203" s="309"/>
      <c r="BC203" s="309"/>
      <c r="BD203" s="309"/>
    </row>
    <row r="204" spans="1:56" hidden="1" outlineLevel="1" x14ac:dyDescent="0.25">
      <c r="A204" s="288"/>
      <c r="B204" s="292"/>
      <c r="C204" s="192"/>
      <c r="D204" s="192"/>
      <c r="E204" s="192"/>
      <c r="F204" s="192"/>
      <c r="G204" s="192"/>
      <c r="H204" s="192"/>
      <c r="I204" s="192"/>
      <c r="J204" s="192"/>
      <c r="K204" s="192"/>
      <c r="L204" s="192"/>
      <c r="M204" s="192"/>
      <c r="N204" s="192"/>
      <c r="O204" s="192"/>
      <c r="P204" s="192"/>
      <c r="Q204" s="192"/>
      <c r="R204" s="308"/>
      <c r="S204" s="192"/>
      <c r="T204" s="192"/>
      <c r="U204" s="192"/>
      <c r="V204" s="192"/>
      <c r="W204" s="192"/>
      <c r="X204" s="192"/>
      <c r="Y204" s="192"/>
      <c r="Z204" s="192"/>
      <c r="AA204" s="192"/>
      <c r="AB204" s="192"/>
      <c r="AC204" s="192"/>
      <c r="AD204" s="309"/>
      <c r="AE204" s="309"/>
      <c r="AF204" s="309"/>
      <c r="AG204" s="309"/>
      <c r="AH204" s="309"/>
      <c r="AI204" s="309"/>
      <c r="AJ204" s="309"/>
      <c r="AK204" s="309"/>
      <c r="AL204" s="309"/>
      <c r="AM204" s="309"/>
      <c r="AN204" s="309"/>
      <c r="AO204" s="309"/>
      <c r="AP204" s="309"/>
      <c r="AQ204" s="309"/>
      <c r="AR204" s="309"/>
      <c r="AS204" s="308"/>
      <c r="AT204" s="309"/>
      <c r="AU204" s="309"/>
      <c r="AV204" s="309"/>
      <c r="AW204" s="309"/>
      <c r="AX204" s="309"/>
      <c r="AY204" s="309"/>
      <c r="AZ204" s="309"/>
      <c r="BA204" s="309"/>
      <c r="BB204" s="309"/>
      <c r="BC204" s="309"/>
      <c r="BD204" s="309"/>
    </row>
    <row r="205" spans="1:56" hidden="1" outlineLevel="1" x14ac:dyDescent="0.25">
      <c r="A205" s="288"/>
      <c r="B205" s="292"/>
      <c r="C205" s="192"/>
      <c r="D205" s="192"/>
      <c r="E205" s="192"/>
      <c r="F205" s="192"/>
      <c r="G205" s="192"/>
      <c r="H205" s="192"/>
      <c r="I205" s="192"/>
      <c r="J205" s="192"/>
      <c r="K205" s="192"/>
      <c r="L205" s="192"/>
      <c r="M205" s="192"/>
      <c r="N205" s="192"/>
      <c r="O205" s="192"/>
      <c r="P205" s="192"/>
      <c r="Q205" s="192"/>
      <c r="R205" s="308"/>
      <c r="S205" s="192"/>
      <c r="T205" s="192"/>
      <c r="U205" s="192"/>
      <c r="V205" s="192"/>
      <c r="W205" s="192"/>
      <c r="X205" s="192"/>
      <c r="Y205" s="192"/>
      <c r="Z205" s="192"/>
      <c r="AA205" s="192"/>
      <c r="AB205" s="192"/>
      <c r="AC205" s="192"/>
      <c r="AD205" s="309"/>
      <c r="AE205" s="309"/>
      <c r="AF205" s="309"/>
      <c r="AG205" s="309"/>
      <c r="AH205" s="309"/>
      <c r="AI205" s="309"/>
      <c r="AJ205" s="309"/>
      <c r="AK205" s="309"/>
      <c r="AL205" s="309"/>
      <c r="AM205" s="309"/>
      <c r="AN205" s="309"/>
      <c r="AO205" s="309"/>
      <c r="AP205" s="309"/>
      <c r="AQ205" s="309"/>
      <c r="AR205" s="309"/>
      <c r="AS205" s="308"/>
      <c r="AT205" s="309"/>
      <c r="AU205" s="309"/>
      <c r="AV205" s="309"/>
      <c r="AW205" s="309"/>
      <c r="AX205" s="309"/>
      <c r="AY205" s="309"/>
      <c r="AZ205" s="309"/>
      <c r="BA205" s="309"/>
      <c r="BB205" s="309"/>
      <c r="BC205" s="309"/>
      <c r="BD205" s="309"/>
    </row>
    <row r="206" spans="1:56" hidden="1" outlineLevel="1" x14ac:dyDescent="0.25">
      <c r="A206" s="288"/>
      <c r="B206" s="292"/>
      <c r="C206" s="192"/>
      <c r="D206" s="192"/>
      <c r="E206" s="192"/>
      <c r="F206" s="192"/>
      <c r="G206" s="192"/>
      <c r="H206" s="192"/>
      <c r="I206" s="192"/>
      <c r="J206" s="192"/>
      <c r="K206" s="192"/>
      <c r="L206" s="192"/>
      <c r="M206" s="192"/>
      <c r="N206" s="192"/>
      <c r="O206" s="192"/>
      <c r="P206" s="192"/>
      <c r="Q206" s="192"/>
      <c r="R206" s="308"/>
      <c r="S206" s="192"/>
      <c r="T206" s="192"/>
      <c r="U206" s="192"/>
      <c r="V206" s="192"/>
      <c r="W206" s="192"/>
      <c r="X206" s="192"/>
      <c r="Y206" s="192"/>
      <c r="Z206" s="192"/>
      <c r="AA206" s="192"/>
      <c r="AB206" s="192"/>
      <c r="AC206" s="192"/>
      <c r="AD206" s="309"/>
      <c r="AE206" s="309"/>
      <c r="AF206" s="309"/>
      <c r="AG206" s="309"/>
      <c r="AH206" s="309"/>
      <c r="AI206" s="309"/>
      <c r="AJ206" s="309"/>
      <c r="AK206" s="309"/>
      <c r="AL206" s="309"/>
      <c r="AM206" s="309"/>
      <c r="AN206" s="309"/>
      <c r="AO206" s="309"/>
      <c r="AP206" s="309"/>
      <c r="AQ206" s="309"/>
      <c r="AR206" s="309"/>
      <c r="AS206" s="308"/>
      <c r="AT206" s="309"/>
      <c r="AU206" s="309"/>
      <c r="AV206" s="309"/>
      <c r="AW206" s="309"/>
      <c r="AX206" s="309"/>
      <c r="AY206" s="309"/>
      <c r="AZ206" s="309"/>
      <c r="BA206" s="309"/>
      <c r="BB206" s="309"/>
      <c r="BC206" s="309"/>
      <c r="BD206" s="309"/>
    </row>
    <row r="207" spans="1:56" hidden="1" outlineLevel="1" x14ac:dyDescent="0.25">
      <c r="A207" s="288"/>
      <c r="B207" s="292"/>
      <c r="C207" s="192"/>
      <c r="D207" s="192"/>
      <c r="E207" s="192"/>
      <c r="F207" s="192"/>
      <c r="G207" s="192"/>
      <c r="H207" s="192"/>
      <c r="I207" s="192"/>
      <c r="J207" s="192"/>
      <c r="K207" s="192"/>
      <c r="L207" s="192"/>
      <c r="M207" s="192"/>
      <c r="N207" s="192"/>
      <c r="O207" s="192"/>
      <c r="P207" s="192"/>
      <c r="Q207" s="192"/>
      <c r="R207" s="308"/>
      <c r="S207" s="192"/>
      <c r="T207" s="192"/>
      <c r="U207" s="192"/>
      <c r="V207" s="192"/>
      <c r="W207" s="192"/>
      <c r="X207" s="192"/>
      <c r="Y207" s="192"/>
      <c r="Z207" s="192"/>
      <c r="AA207" s="192"/>
      <c r="AB207" s="192"/>
      <c r="AC207" s="192"/>
      <c r="AD207" s="309"/>
      <c r="AE207" s="309"/>
      <c r="AF207" s="309"/>
      <c r="AG207" s="309"/>
      <c r="AH207" s="309"/>
      <c r="AI207" s="309"/>
      <c r="AJ207" s="309"/>
      <c r="AK207" s="309"/>
      <c r="AL207" s="309"/>
      <c r="AM207" s="309"/>
      <c r="AN207" s="309"/>
      <c r="AO207" s="309"/>
      <c r="AP207" s="309"/>
      <c r="AQ207" s="309"/>
      <c r="AR207" s="309"/>
      <c r="AS207" s="308"/>
      <c r="AT207" s="309"/>
      <c r="AU207" s="309"/>
      <c r="AV207" s="309"/>
      <c r="AW207" s="309"/>
      <c r="AX207" s="309"/>
      <c r="AY207" s="309"/>
      <c r="AZ207" s="309"/>
      <c r="BA207" s="309"/>
      <c r="BB207" s="309"/>
      <c r="BC207" s="309"/>
      <c r="BD207" s="309"/>
    </row>
    <row r="208" spans="1:56" hidden="1" outlineLevel="1" x14ac:dyDescent="0.25">
      <c r="A208" s="288"/>
      <c r="B208" s="292"/>
      <c r="C208" s="192"/>
      <c r="D208" s="192"/>
      <c r="E208" s="192"/>
      <c r="F208" s="192"/>
      <c r="G208" s="192"/>
      <c r="H208" s="192"/>
      <c r="I208" s="192"/>
      <c r="J208" s="192"/>
      <c r="K208" s="192"/>
      <c r="L208" s="192"/>
      <c r="M208" s="192"/>
      <c r="N208" s="192"/>
      <c r="O208" s="192"/>
      <c r="P208" s="192"/>
      <c r="Q208" s="192"/>
      <c r="R208" s="308"/>
      <c r="S208" s="192"/>
      <c r="T208" s="192"/>
      <c r="U208" s="192"/>
      <c r="V208" s="192"/>
      <c r="W208" s="192"/>
      <c r="X208" s="192"/>
      <c r="Y208" s="192"/>
      <c r="Z208" s="192"/>
      <c r="AA208" s="192"/>
      <c r="AB208" s="192"/>
      <c r="AC208" s="192"/>
      <c r="AD208" s="309"/>
      <c r="AE208" s="309"/>
      <c r="AF208" s="309"/>
      <c r="AG208" s="309"/>
      <c r="AH208" s="309"/>
      <c r="AI208" s="309"/>
      <c r="AJ208" s="309"/>
      <c r="AK208" s="309"/>
      <c r="AL208" s="309"/>
      <c r="AM208" s="309"/>
      <c r="AN208" s="309"/>
      <c r="AO208" s="309"/>
      <c r="AP208" s="309"/>
      <c r="AQ208" s="309"/>
      <c r="AR208" s="309"/>
      <c r="AS208" s="308"/>
      <c r="AT208" s="309"/>
      <c r="AU208" s="309"/>
      <c r="AV208" s="309"/>
      <c r="AW208" s="309"/>
      <c r="AX208" s="309"/>
      <c r="AY208" s="309"/>
      <c r="AZ208" s="309"/>
      <c r="BA208" s="309"/>
      <c r="BB208" s="309"/>
      <c r="BC208" s="309"/>
      <c r="BD208" s="309"/>
    </row>
    <row r="209" spans="1:56" hidden="1" outlineLevel="1" x14ac:dyDescent="0.25">
      <c r="A209" s="288"/>
      <c r="B209" s="292"/>
      <c r="C209" s="192"/>
      <c r="D209" s="192"/>
      <c r="E209" s="192"/>
      <c r="F209" s="192"/>
      <c r="G209" s="192"/>
      <c r="H209" s="192"/>
      <c r="I209" s="192"/>
      <c r="J209" s="192"/>
      <c r="K209" s="192"/>
      <c r="L209" s="192"/>
      <c r="M209" s="192"/>
      <c r="N209" s="192"/>
      <c r="O209" s="192"/>
      <c r="P209" s="192"/>
      <c r="Q209" s="192"/>
      <c r="R209" s="308"/>
      <c r="S209" s="192"/>
      <c r="T209" s="192"/>
      <c r="U209" s="192"/>
      <c r="V209" s="192"/>
      <c r="W209" s="192"/>
      <c r="X209" s="192"/>
      <c r="Y209" s="192"/>
      <c r="Z209" s="192"/>
      <c r="AA209" s="192"/>
      <c r="AB209" s="192"/>
      <c r="AC209" s="192"/>
      <c r="AD209" s="309"/>
      <c r="AE209" s="309"/>
      <c r="AF209" s="309"/>
      <c r="AG209" s="309"/>
      <c r="AH209" s="309"/>
      <c r="AI209" s="309"/>
      <c r="AJ209" s="309"/>
      <c r="AK209" s="309"/>
      <c r="AL209" s="309"/>
      <c r="AM209" s="309"/>
      <c r="AN209" s="309"/>
      <c r="AO209" s="309"/>
      <c r="AP209" s="309"/>
      <c r="AQ209" s="309"/>
      <c r="AR209" s="309"/>
      <c r="AS209" s="308"/>
      <c r="AT209" s="309"/>
      <c r="AU209" s="309"/>
      <c r="AV209" s="309"/>
      <c r="AW209" s="309"/>
      <c r="AX209" s="309"/>
      <c r="AY209" s="309"/>
      <c r="AZ209" s="309"/>
      <c r="BA209" s="309"/>
      <c r="BB209" s="309"/>
      <c r="BC209" s="309"/>
      <c r="BD209" s="309"/>
    </row>
    <row r="210" spans="1:56" hidden="1" outlineLevel="1" x14ac:dyDescent="0.25">
      <c r="A210" s="288"/>
      <c r="B210" s="292"/>
      <c r="C210" s="192"/>
      <c r="D210" s="192"/>
      <c r="E210" s="192"/>
      <c r="F210" s="192"/>
      <c r="G210" s="192"/>
      <c r="H210" s="192"/>
      <c r="I210" s="192"/>
      <c r="J210" s="192"/>
      <c r="K210" s="192"/>
      <c r="L210" s="192"/>
      <c r="M210" s="192"/>
      <c r="N210" s="192"/>
      <c r="O210" s="192"/>
      <c r="P210" s="192"/>
      <c r="Q210" s="192"/>
      <c r="R210" s="308"/>
      <c r="S210" s="192"/>
      <c r="T210" s="192"/>
      <c r="U210" s="192"/>
      <c r="V210" s="192"/>
      <c r="W210" s="192"/>
      <c r="X210" s="192"/>
      <c r="Y210" s="192"/>
      <c r="Z210" s="192"/>
      <c r="AA210" s="192"/>
      <c r="AB210" s="192"/>
      <c r="AC210" s="192"/>
      <c r="AD210" s="309"/>
      <c r="AE210" s="309"/>
      <c r="AF210" s="309"/>
      <c r="AG210" s="309"/>
      <c r="AH210" s="309"/>
      <c r="AI210" s="309"/>
      <c r="AJ210" s="309"/>
      <c r="AK210" s="309"/>
      <c r="AL210" s="309"/>
      <c r="AM210" s="309"/>
      <c r="AN210" s="309"/>
      <c r="AO210" s="309"/>
      <c r="AP210" s="309"/>
      <c r="AQ210" s="309"/>
      <c r="AR210" s="309"/>
      <c r="AS210" s="308"/>
      <c r="AT210" s="309"/>
      <c r="AU210" s="309"/>
      <c r="AV210" s="309"/>
      <c r="AW210" s="309"/>
      <c r="AX210" s="309"/>
      <c r="AY210" s="309"/>
      <c r="AZ210" s="309"/>
      <c r="BA210" s="309"/>
      <c r="BB210" s="309"/>
      <c r="BC210" s="309"/>
      <c r="BD210" s="309"/>
    </row>
    <row r="211" spans="1:56" hidden="1" outlineLevel="1" x14ac:dyDescent="0.25">
      <c r="A211" s="288"/>
      <c r="B211" s="292"/>
      <c r="C211" s="192"/>
      <c r="D211" s="192"/>
      <c r="E211" s="192"/>
      <c r="F211" s="192"/>
      <c r="G211" s="192"/>
      <c r="H211" s="192"/>
      <c r="I211" s="192"/>
      <c r="J211" s="192"/>
      <c r="K211" s="192"/>
      <c r="L211" s="192"/>
      <c r="M211" s="192"/>
      <c r="N211" s="192"/>
      <c r="O211" s="192"/>
      <c r="P211" s="192"/>
      <c r="Q211" s="192"/>
      <c r="R211" s="308"/>
      <c r="S211" s="192"/>
      <c r="T211" s="192"/>
      <c r="U211" s="192"/>
      <c r="V211" s="192"/>
      <c r="W211" s="192"/>
      <c r="X211" s="192"/>
      <c r="Y211" s="192"/>
      <c r="Z211" s="192"/>
      <c r="AA211" s="192"/>
      <c r="AB211" s="192"/>
      <c r="AC211" s="192"/>
      <c r="AD211" s="309"/>
      <c r="AE211" s="309"/>
      <c r="AF211" s="309"/>
      <c r="AG211" s="309"/>
      <c r="AH211" s="309"/>
      <c r="AI211" s="309"/>
      <c r="AJ211" s="309"/>
      <c r="AK211" s="309"/>
      <c r="AL211" s="309"/>
      <c r="AM211" s="309"/>
      <c r="AN211" s="309"/>
      <c r="AO211" s="309"/>
      <c r="AP211" s="309"/>
      <c r="AQ211" s="309"/>
      <c r="AR211" s="309"/>
      <c r="AS211" s="308"/>
      <c r="AT211" s="309"/>
      <c r="AU211" s="309"/>
      <c r="AV211" s="309"/>
      <c r="AW211" s="309"/>
      <c r="AX211" s="309"/>
      <c r="AY211" s="309"/>
      <c r="AZ211" s="309"/>
      <c r="BA211" s="309"/>
      <c r="BB211" s="309"/>
      <c r="BC211" s="309"/>
      <c r="BD211" s="309"/>
    </row>
    <row r="212" spans="1:56" hidden="1" outlineLevel="1" x14ac:dyDescent="0.25">
      <c r="A212" s="288"/>
      <c r="B212" s="292"/>
      <c r="C212" s="192"/>
      <c r="D212" s="192"/>
      <c r="E212" s="192"/>
      <c r="F212" s="192"/>
      <c r="G212" s="192"/>
      <c r="H212" s="192"/>
      <c r="I212" s="192"/>
      <c r="J212" s="192"/>
      <c r="K212" s="192"/>
      <c r="L212" s="192"/>
      <c r="M212" s="192"/>
      <c r="N212" s="192"/>
      <c r="O212" s="192"/>
      <c r="P212" s="192"/>
      <c r="Q212" s="192"/>
      <c r="R212" s="308"/>
      <c r="S212" s="192"/>
      <c r="T212" s="192"/>
      <c r="U212" s="192"/>
      <c r="V212" s="192"/>
      <c r="W212" s="192"/>
      <c r="X212" s="192"/>
      <c r="Y212" s="192"/>
      <c r="Z212" s="192"/>
      <c r="AA212" s="192"/>
      <c r="AB212" s="192"/>
      <c r="AC212" s="192"/>
      <c r="AD212" s="309"/>
      <c r="AE212" s="309"/>
      <c r="AF212" s="309"/>
      <c r="AG212" s="309"/>
      <c r="AH212" s="309"/>
      <c r="AI212" s="309"/>
      <c r="AJ212" s="309"/>
      <c r="AK212" s="309"/>
      <c r="AL212" s="309"/>
      <c r="AM212" s="309"/>
      <c r="AN212" s="309"/>
      <c r="AO212" s="309"/>
      <c r="AP212" s="309"/>
      <c r="AQ212" s="309"/>
      <c r="AR212" s="309"/>
      <c r="AS212" s="308"/>
      <c r="AT212" s="309"/>
      <c r="AU212" s="309"/>
      <c r="AV212" s="309"/>
      <c r="AW212" s="309"/>
      <c r="AX212" s="309"/>
      <c r="AY212" s="309"/>
      <c r="AZ212" s="309"/>
      <c r="BA212" s="309"/>
      <c r="BB212" s="309"/>
      <c r="BC212" s="309"/>
      <c r="BD212" s="309"/>
    </row>
    <row r="213" spans="1:56" hidden="1" outlineLevel="1" x14ac:dyDescent="0.25">
      <c r="A213" s="288"/>
      <c r="B213" s="292"/>
      <c r="C213" s="192"/>
      <c r="D213" s="192"/>
      <c r="E213" s="192"/>
      <c r="F213" s="192"/>
      <c r="G213" s="192"/>
      <c r="H213" s="192"/>
      <c r="I213" s="192"/>
      <c r="J213" s="192"/>
      <c r="K213" s="192"/>
      <c r="L213" s="192"/>
      <c r="M213" s="192"/>
      <c r="N213" s="192"/>
      <c r="O213" s="192"/>
      <c r="P213" s="192"/>
      <c r="Q213" s="192"/>
      <c r="R213" s="308"/>
      <c r="S213" s="192"/>
      <c r="T213" s="192"/>
      <c r="U213" s="192"/>
      <c r="V213" s="192"/>
      <c r="W213" s="192"/>
      <c r="X213" s="192"/>
      <c r="Y213" s="192"/>
      <c r="Z213" s="192"/>
      <c r="AA213" s="192"/>
      <c r="AB213" s="192"/>
      <c r="AC213" s="192"/>
      <c r="AD213" s="309"/>
      <c r="AE213" s="309"/>
      <c r="AF213" s="309"/>
      <c r="AG213" s="309"/>
      <c r="AH213" s="309"/>
      <c r="AI213" s="309"/>
      <c r="AJ213" s="309"/>
      <c r="AK213" s="309"/>
      <c r="AL213" s="309"/>
      <c r="AM213" s="309"/>
      <c r="AN213" s="309"/>
      <c r="AO213" s="309"/>
      <c r="AP213" s="309"/>
      <c r="AQ213" s="309"/>
      <c r="AR213" s="309"/>
      <c r="AS213" s="308"/>
      <c r="AT213" s="309"/>
      <c r="AU213" s="309"/>
      <c r="AV213" s="309"/>
      <c r="AW213" s="309"/>
      <c r="AX213" s="309"/>
      <c r="AY213" s="309"/>
      <c r="AZ213" s="309"/>
      <c r="BA213" s="309"/>
      <c r="BB213" s="309"/>
      <c r="BC213" s="309"/>
      <c r="BD213" s="309"/>
    </row>
    <row r="214" spans="1:56" hidden="1" outlineLevel="1" x14ac:dyDescent="0.25">
      <c r="A214" s="288"/>
      <c r="B214" s="292"/>
      <c r="C214" s="192"/>
      <c r="D214" s="192"/>
      <c r="E214" s="192"/>
      <c r="F214" s="192"/>
      <c r="G214" s="192"/>
      <c r="H214" s="192"/>
      <c r="I214" s="192"/>
      <c r="J214" s="192"/>
      <c r="K214" s="192"/>
      <c r="L214" s="192"/>
      <c r="M214" s="192"/>
      <c r="N214" s="192"/>
      <c r="O214" s="192"/>
      <c r="P214" s="192"/>
      <c r="Q214" s="192"/>
      <c r="R214" s="308"/>
      <c r="S214" s="192"/>
      <c r="T214" s="192"/>
      <c r="U214" s="192"/>
      <c r="V214" s="192"/>
      <c r="W214" s="192"/>
      <c r="X214" s="192"/>
      <c r="Y214" s="192"/>
      <c r="Z214" s="192"/>
      <c r="AA214" s="192"/>
      <c r="AB214" s="192"/>
      <c r="AC214" s="192"/>
      <c r="AD214" s="309"/>
      <c r="AE214" s="309"/>
      <c r="AF214" s="309"/>
      <c r="AG214" s="309"/>
      <c r="AH214" s="309"/>
      <c r="AI214" s="309"/>
      <c r="AJ214" s="309"/>
      <c r="AK214" s="309"/>
      <c r="AL214" s="309"/>
      <c r="AM214" s="309"/>
      <c r="AN214" s="309"/>
      <c r="AO214" s="309"/>
      <c r="AP214" s="309"/>
      <c r="AQ214" s="309"/>
      <c r="AR214" s="309"/>
      <c r="AS214" s="308"/>
      <c r="AT214" s="309"/>
      <c r="AU214" s="309"/>
      <c r="AV214" s="309"/>
      <c r="AW214" s="309"/>
      <c r="AX214" s="309"/>
      <c r="AY214" s="309"/>
      <c r="AZ214" s="309"/>
      <c r="BA214" s="309"/>
      <c r="BB214" s="309"/>
      <c r="BC214" s="309"/>
      <c r="BD214" s="309"/>
    </row>
    <row r="215" spans="1:56" hidden="1" outlineLevel="1" x14ac:dyDescent="0.25">
      <c r="A215" s="288"/>
      <c r="B215" s="292"/>
      <c r="C215" s="192"/>
      <c r="D215" s="192"/>
      <c r="E215" s="192"/>
      <c r="F215" s="192"/>
      <c r="G215" s="192"/>
      <c r="H215" s="192"/>
      <c r="I215" s="192"/>
      <c r="J215" s="192"/>
      <c r="K215" s="192"/>
      <c r="L215" s="192"/>
      <c r="M215" s="192"/>
      <c r="N215" s="192"/>
      <c r="O215" s="192"/>
      <c r="P215" s="192"/>
      <c r="Q215" s="192"/>
      <c r="R215" s="308"/>
      <c r="S215" s="192"/>
      <c r="T215" s="192"/>
      <c r="U215" s="192"/>
      <c r="V215" s="192"/>
      <c r="W215" s="192"/>
      <c r="X215" s="192"/>
      <c r="Y215" s="192"/>
      <c r="Z215" s="192"/>
      <c r="AA215" s="192"/>
      <c r="AB215" s="192"/>
      <c r="AC215" s="192"/>
      <c r="AD215" s="309"/>
      <c r="AE215" s="309"/>
      <c r="AF215" s="309"/>
      <c r="AG215" s="309"/>
      <c r="AH215" s="309"/>
      <c r="AI215" s="309"/>
      <c r="AJ215" s="309"/>
      <c r="AK215" s="309"/>
      <c r="AL215" s="309"/>
      <c r="AM215" s="309"/>
      <c r="AN215" s="309"/>
      <c r="AO215" s="309"/>
      <c r="AP215" s="309"/>
      <c r="AQ215" s="309"/>
      <c r="AR215" s="309"/>
      <c r="AS215" s="308"/>
      <c r="AT215" s="309"/>
      <c r="AU215" s="309"/>
      <c r="AV215" s="309"/>
      <c r="AW215" s="309"/>
      <c r="AX215" s="309"/>
      <c r="AY215" s="309"/>
      <c r="AZ215" s="309"/>
      <c r="BA215" s="309"/>
      <c r="BB215" s="309"/>
      <c r="BC215" s="309"/>
      <c r="BD215" s="309"/>
    </row>
    <row r="216" spans="1:56" hidden="1" outlineLevel="1" x14ac:dyDescent="0.25">
      <c r="A216" s="288"/>
      <c r="B216" s="292"/>
      <c r="C216" s="192"/>
      <c r="D216" s="192"/>
      <c r="E216" s="192"/>
      <c r="F216" s="192"/>
      <c r="G216" s="192"/>
      <c r="H216" s="192"/>
      <c r="I216" s="192"/>
      <c r="J216" s="192"/>
      <c r="K216" s="192"/>
      <c r="L216" s="192"/>
      <c r="M216" s="192"/>
      <c r="N216" s="192"/>
      <c r="O216" s="192"/>
      <c r="P216" s="192"/>
      <c r="Q216" s="192"/>
      <c r="R216" s="308"/>
      <c r="S216" s="192"/>
      <c r="T216" s="192"/>
      <c r="U216" s="192"/>
      <c r="V216" s="192"/>
      <c r="W216" s="192"/>
      <c r="X216" s="192"/>
      <c r="Y216" s="192"/>
      <c r="Z216" s="192"/>
      <c r="AA216" s="192"/>
      <c r="AB216" s="192"/>
      <c r="AC216" s="192"/>
      <c r="AD216" s="309"/>
      <c r="AE216" s="309"/>
      <c r="AF216" s="309"/>
      <c r="AG216" s="309"/>
      <c r="AH216" s="309"/>
      <c r="AI216" s="309"/>
      <c r="AJ216" s="309"/>
      <c r="AK216" s="309"/>
      <c r="AL216" s="309"/>
      <c r="AM216" s="309"/>
      <c r="AN216" s="309"/>
      <c r="AO216" s="309"/>
      <c r="AP216" s="309"/>
      <c r="AQ216" s="309"/>
      <c r="AR216" s="309"/>
      <c r="AS216" s="308"/>
      <c r="AT216" s="309"/>
      <c r="AU216" s="309"/>
      <c r="AV216" s="309"/>
      <c r="AW216" s="309"/>
      <c r="AX216" s="309"/>
      <c r="AY216" s="309"/>
      <c r="AZ216" s="309"/>
      <c r="BA216" s="309"/>
      <c r="BB216" s="309"/>
      <c r="BC216" s="309"/>
      <c r="BD216" s="309"/>
    </row>
    <row r="217" spans="1:56" hidden="1" outlineLevel="1" x14ac:dyDescent="0.25">
      <c r="A217" s="288"/>
      <c r="B217" s="292"/>
      <c r="C217" s="192"/>
      <c r="D217" s="192"/>
      <c r="E217" s="192"/>
      <c r="F217" s="192"/>
      <c r="G217" s="192"/>
      <c r="H217" s="192"/>
      <c r="I217" s="192"/>
      <c r="J217" s="192"/>
      <c r="K217" s="192"/>
      <c r="L217" s="192"/>
      <c r="M217" s="192"/>
      <c r="N217" s="192"/>
      <c r="O217" s="192"/>
      <c r="P217" s="192"/>
      <c r="Q217" s="192"/>
      <c r="R217" s="308"/>
      <c r="S217" s="192"/>
      <c r="T217" s="192"/>
      <c r="U217" s="192"/>
      <c r="V217" s="192"/>
      <c r="W217" s="192"/>
      <c r="X217" s="192"/>
      <c r="Y217" s="192"/>
      <c r="Z217" s="192"/>
      <c r="AA217" s="192"/>
      <c r="AB217" s="192"/>
      <c r="AC217" s="192"/>
      <c r="AD217" s="309"/>
      <c r="AE217" s="309"/>
      <c r="AF217" s="309"/>
      <c r="AG217" s="309"/>
      <c r="AH217" s="309"/>
      <c r="AI217" s="309"/>
      <c r="AJ217" s="309"/>
      <c r="AK217" s="309"/>
      <c r="AL217" s="309"/>
      <c r="AM217" s="309"/>
      <c r="AN217" s="309"/>
      <c r="AO217" s="309"/>
      <c r="AP217" s="309"/>
      <c r="AQ217" s="309"/>
      <c r="AR217" s="309"/>
      <c r="AS217" s="308"/>
      <c r="AT217" s="309"/>
      <c r="AU217" s="309"/>
      <c r="AV217" s="309"/>
      <c r="AW217" s="309"/>
      <c r="AX217" s="309"/>
      <c r="AY217" s="309"/>
      <c r="AZ217" s="309"/>
      <c r="BA217" s="309"/>
      <c r="BB217" s="309"/>
      <c r="BC217" s="309"/>
      <c r="BD217" s="309"/>
    </row>
    <row r="218" spans="1:56" hidden="1" outlineLevel="1" x14ac:dyDescent="0.25">
      <c r="A218" s="288"/>
      <c r="B218" s="292"/>
      <c r="C218" s="192"/>
      <c r="D218" s="192"/>
      <c r="E218" s="192"/>
      <c r="F218" s="192"/>
      <c r="G218" s="192"/>
      <c r="H218" s="192"/>
      <c r="I218" s="192"/>
      <c r="J218" s="192"/>
      <c r="K218" s="192"/>
      <c r="L218" s="192"/>
      <c r="M218" s="192"/>
      <c r="N218" s="192"/>
      <c r="O218" s="192"/>
      <c r="P218" s="192"/>
      <c r="Q218" s="192"/>
      <c r="R218" s="308"/>
      <c r="S218" s="192"/>
      <c r="T218" s="192"/>
      <c r="U218" s="192"/>
      <c r="V218" s="192"/>
      <c r="W218" s="192"/>
      <c r="X218" s="192"/>
      <c r="Y218" s="192"/>
      <c r="Z218" s="192"/>
      <c r="AA218" s="192"/>
      <c r="AB218" s="192"/>
      <c r="AC218" s="192"/>
      <c r="AD218" s="309"/>
      <c r="AE218" s="309"/>
      <c r="AF218" s="309"/>
      <c r="AG218" s="309"/>
      <c r="AH218" s="309"/>
      <c r="AI218" s="309"/>
      <c r="AJ218" s="309"/>
      <c r="AK218" s="309"/>
      <c r="AL218" s="309"/>
      <c r="AM218" s="309"/>
      <c r="AN218" s="309"/>
      <c r="AO218" s="309"/>
      <c r="AP218" s="309"/>
      <c r="AQ218" s="309"/>
      <c r="AR218" s="309"/>
      <c r="AS218" s="308"/>
      <c r="AT218" s="309"/>
      <c r="AU218" s="309"/>
      <c r="AV218" s="309"/>
      <c r="AW218" s="309"/>
      <c r="AX218" s="309"/>
      <c r="AY218" s="309"/>
      <c r="AZ218" s="309"/>
      <c r="BA218" s="309"/>
      <c r="BB218" s="309"/>
      <c r="BC218" s="309"/>
      <c r="BD218" s="309"/>
    </row>
    <row r="219" spans="1:56" hidden="1" outlineLevel="1" x14ac:dyDescent="0.25">
      <c r="A219" s="288"/>
      <c r="B219" s="292"/>
      <c r="C219" s="192"/>
      <c r="D219" s="192"/>
      <c r="E219" s="192"/>
      <c r="F219" s="192"/>
      <c r="G219" s="192"/>
      <c r="H219" s="192"/>
      <c r="I219" s="192"/>
      <c r="J219" s="192"/>
      <c r="K219" s="192"/>
      <c r="L219" s="192"/>
      <c r="M219" s="192"/>
      <c r="N219" s="192"/>
      <c r="O219" s="192"/>
      <c r="P219" s="192"/>
      <c r="Q219" s="192"/>
      <c r="R219" s="308"/>
      <c r="S219" s="192"/>
      <c r="T219" s="192"/>
      <c r="U219" s="192"/>
      <c r="V219" s="192"/>
      <c r="W219" s="192"/>
      <c r="X219" s="192"/>
      <c r="Y219" s="192"/>
      <c r="Z219" s="192"/>
      <c r="AA219" s="192"/>
      <c r="AB219" s="192"/>
      <c r="AC219" s="192"/>
      <c r="AD219" s="309"/>
      <c r="AE219" s="309"/>
      <c r="AF219" s="309"/>
      <c r="AG219" s="309"/>
      <c r="AH219" s="309"/>
      <c r="AI219" s="309"/>
      <c r="AJ219" s="309"/>
      <c r="AK219" s="309"/>
      <c r="AL219" s="309"/>
      <c r="AM219" s="309"/>
      <c r="AN219" s="309"/>
      <c r="AO219" s="309"/>
      <c r="AP219" s="309"/>
      <c r="AQ219" s="309"/>
      <c r="AR219" s="309"/>
      <c r="AS219" s="308"/>
      <c r="AT219" s="309"/>
      <c r="AU219" s="309"/>
      <c r="AV219" s="309"/>
      <c r="AW219" s="309"/>
      <c r="AX219" s="309"/>
      <c r="AY219" s="309"/>
      <c r="AZ219" s="309"/>
      <c r="BA219" s="309"/>
      <c r="BB219" s="309"/>
      <c r="BC219" s="309"/>
      <c r="BD219" s="309"/>
    </row>
    <row r="220" spans="1:56" hidden="1" outlineLevel="1" x14ac:dyDescent="0.25">
      <c r="A220" s="288"/>
      <c r="B220" s="292"/>
      <c r="C220" s="192"/>
      <c r="D220" s="192"/>
      <c r="E220" s="192"/>
      <c r="F220" s="192"/>
      <c r="G220" s="192"/>
      <c r="H220" s="192"/>
      <c r="I220" s="192"/>
      <c r="J220" s="192"/>
      <c r="K220" s="192"/>
      <c r="L220" s="192"/>
      <c r="M220" s="192"/>
      <c r="N220" s="192"/>
      <c r="O220" s="192"/>
      <c r="P220" s="192"/>
      <c r="Q220" s="192"/>
      <c r="R220" s="308"/>
      <c r="S220" s="192"/>
      <c r="T220" s="192"/>
      <c r="U220" s="192"/>
      <c r="V220" s="192"/>
      <c r="W220" s="192"/>
      <c r="X220" s="192"/>
      <c r="Y220" s="192"/>
      <c r="Z220" s="192"/>
      <c r="AA220" s="192"/>
      <c r="AB220" s="192"/>
      <c r="AC220" s="192"/>
      <c r="AD220" s="309"/>
      <c r="AE220" s="309"/>
      <c r="AF220" s="309"/>
      <c r="AG220" s="309"/>
      <c r="AH220" s="309"/>
      <c r="AI220" s="309"/>
      <c r="AJ220" s="309"/>
      <c r="AK220" s="309"/>
      <c r="AL220" s="309"/>
      <c r="AM220" s="309"/>
      <c r="AN220" s="309"/>
      <c r="AO220" s="309"/>
      <c r="AP220" s="309"/>
      <c r="AQ220" s="309"/>
      <c r="AR220" s="309"/>
      <c r="AS220" s="308"/>
      <c r="AT220" s="309"/>
      <c r="AU220" s="309"/>
      <c r="AV220" s="309"/>
      <c r="AW220" s="309"/>
      <c r="AX220" s="309"/>
      <c r="AY220" s="309"/>
      <c r="AZ220" s="309"/>
      <c r="BA220" s="309"/>
      <c r="BB220" s="309"/>
      <c r="BC220" s="309"/>
      <c r="BD220" s="309"/>
    </row>
    <row r="221" spans="1:56" hidden="1" outlineLevel="1" x14ac:dyDescent="0.25">
      <c r="A221" s="288"/>
      <c r="B221" s="292"/>
      <c r="C221" s="192"/>
      <c r="D221" s="192"/>
      <c r="E221" s="192"/>
      <c r="F221" s="192"/>
      <c r="G221" s="192"/>
      <c r="H221" s="192"/>
      <c r="I221" s="192"/>
      <c r="J221" s="192"/>
      <c r="K221" s="192"/>
      <c r="L221" s="192"/>
      <c r="M221" s="192"/>
      <c r="N221" s="192"/>
      <c r="O221" s="192"/>
      <c r="P221" s="192"/>
      <c r="Q221" s="192"/>
      <c r="R221" s="308"/>
      <c r="S221" s="192"/>
      <c r="T221" s="192"/>
      <c r="U221" s="192"/>
      <c r="V221" s="192"/>
      <c r="W221" s="192"/>
      <c r="X221" s="192"/>
      <c r="Y221" s="192"/>
      <c r="Z221" s="192"/>
      <c r="AA221" s="192"/>
      <c r="AB221" s="192"/>
      <c r="AC221" s="192"/>
      <c r="AD221" s="309"/>
      <c r="AE221" s="309"/>
      <c r="AF221" s="309"/>
      <c r="AG221" s="309"/>
      <c r="AH221" s="309"/>
      <c r="AI221" s="309"/>
      <c r="AJ221" s="309"/>
      <c r="AK221" s="309"/>
      <c r="AL221" s="309"/>
      <c r="AM221" s="309"/>
      <c r="AN221" s="309"/>
      <c r="AO221" s="309"/>
      <c r="AP221" s="309"/>
      <c r="AQ221" s="309"/>
      <c r="AR221" s="309"/>
      <c r="AS221" s="308"/>
      <c r="AT221" s="309"/>
      <c r="AU221" s="309"/>
      <c r="AV221" s="309"/>
      <c r="AW221" s="309"/>
      <c r="AX221" s="309"/>
      <c r="AY221" s="309"/>
      <c r="AZ221" s="309"/>
      <c r="BA221" s="309"/>
      <c r="BB221" s="309"/>
      <c r="BC221" s="309"/>
      <c r="BD221" s="309"/>
    </row>
    <row r="222" spans="1:56" hidden="1" outlineLevel="1" x14ac:dyDescent="0.25">
      <c r="A222" s="288"/>
      <c r="B222" s="292"/>
      <c r="C222" s="192"/>
      <c r="D222" s="192"/>
      <c r="E222" s="192"/>
      <c r="F222" s="192"/>
      <c r="G222" s="192"/>
      <c r="H222" s="192"/>
      <c r="I222" s="192"/>
      <c r="J222" s="192"/>
      <c r="K222" s="192"/>
      <c r="L222" s="192"/>
      <c r="M222" s="192"/>
      <c r="N222" s="192"/>
      <c r="O222" s="192"/>
      <c r="P222" s="192"/>
      <c r="Q222" s="192"/>
      <c r="R222" s="308"/>
      <c r="S222" s="192"/>
      <c r="T222" s="192"/>
      <c r="U222" s="192"/>
      <c r="V222" s="192"/>
      <c r="W222" s="192"/>
      <c r="X222" s="192"/>
      <c r="Y222" s="192"/>
      <c r="Z222" s="192"/>
      <c r="AA222" s="192"/>
      <c r="AB222" s="192"/>
      <c r="AC222" s="192"/>
      <c r="AD222" s="309"/>
      <c r="AE222" s="309"/>
      <c r="AF222" s="309"/>
      <c r="AG222" s="309"/>
      <c r="AH222" s="309"/>
      <c r="AI222" s="309"/>
      <c r="AJ222" s="309"/>
      <c r="AK222" s="309"/>
      <c r="AL222" s="309"/>
      <c r="AM222" s="309"/>
      <c r="AN222" s="309"/>
      <c r="AO222" s="309"/>
      <c r="AP222" s="309"/>
      <c r="AQ222" s="309"/>
      <c r="AR222" s="309"/>
      <c r="AS222" s="308"/>
      <c r="AT222" s="309"/>
      <c r="AU222" s="309"/>
      <c r="AV222" s="309"/>
      <c r="AW222" s="309"/>
      <c r="AX222" s="309"/>
      <c r="AY222" s="309"/>
      <c r="AZ222" s="309"/>
      <c r="BA222" s="309"/>
      <c r="BB222" s="309"/>
      <c r="BC222" s="309"/>
      <c r="BD222" s="309"/>
    </row>
    <row r="223" spans="1:56" hidden="1" outlineLevel="1" x14ac:dyDescent="0.25">
      <c r="A223" s="288"/>
      <c r="B223" s="292"/>
      <c r="C223" s="192"/>
      <c r="D223" s="192"/>
      <c r="E223" s="192"/>
      <c r="F223" s="192"/>
      <c r="G223" s="192"/>
      <c r="H223" s="192"/>
      <c r="I223" s="192"/>
      <c r="J223" s="192"/>
      <c r="K223" s="192"/>
      <c r="L223" s="192"/>
      <c r="M223" s="192"/>
      <c r="N223" s="192"/>
      <c r="O223" s="192"/>
      <c r="P223" s="192"/>
      <c r="Q223" s="192"/>
      <c r="R223" s="308"/>
      <c r="S223" s="192"/>
      <c r="T223" s="192"/>
      <c r="U223" s="192"/>
      <c r="V223" s="192"/>
      <c r="W223" s="192"/>
      <c r="X223" s="192"/>
      <c r="Y223" s="192"/>
      <c r="Z223" s="192"/>
      <c r="AA223" s="192"/>
      <c r="AB223" s="192"/>
      <c r="AC223" s="192"/>
      <c r="AD223" s="309"/>
      <c r="AE223" s="309"/>
      <c r="AF223" s="309"/>
      <c r="AG223" s="309"/>
      <c r="AH223" s="309"/>
      <c r="AI223" s="309"/>
      <c r="AJ223" s="309"/>
      <c r="AK223" s="309"/>
      <c r="AL223" s="309"/>
      <c r="AM223" s="309"/>
      <c r="AN223" s="309"/>
      <c r="AO223" s="309"/>
      <c r="AP223" s="309"/>
      <c r="AQ223" s="309"/>
      <c r="AR223" s="309"/>
      <c r="AS223" s="308"/>
      <c r="AT223" s="309"/>
      <c r="AU223" s="309"/>
      <c r="AV223" s="309"/>
      <c r="AW223" s="309"/>
      <c r="AX223" s="309"/>
      <c r="AY223" s="309"/>
      <c r="AZ223" s="309"/>
      <c r="BA223" s="309"/>
      <c r="BB223" s="309"/>
      <c r="BC223" s="309"/>
      <c r="BD223" s="309"/>
    </row>
    <row r="224" spans="1:56" hidden="1" outlineLevel="1" x14ac:dyDescent="0.25">
      <c r="A224" s="288"/>
      <c r="B224" s="292"/>
      <c r="C224" s="192"/>
      <c r="D224" s="192"/>
      <c r="E224" s="192"/>
      <c r="F224" s="192"/>
      <c r="G224" s="192"/>
      <c r="H224" s="192"/>
      <c r="I224" s="192"/>
      <c r="J224" s="192"/>
      <c r="K224" s="192"/>
      <c r="L224" s="192"/>
      <c r="M224" s="192"/>
      <c r="N224" s="192"/>
      <c r="O224" s="192"/>
      <c r="P224" s="192"/>
      <c r="Q224" s="192"/>
      <c r="R224" s="308"/>
      <c r="S224" s="192"/>
      <c r="T224" s="192"/>
      <c r="U224" s="192"/>
      <c r="V224" s="192"/>
      <c r="W224" s="192"/>
      <c r="X224" s="192"/>
      <c r="Y224" s="192"/>
      <c r="Z224" s="192"/>
      <c r="AA224" s="192"/>
      <c r="AB224" s="192"/>
      <c r="AC224" s="192"/>
      <c r="AD224" s="309"/>
      <c r="AE224" s="309"/>
      <c r="AF224" s="309"/>
      <c r="AG224" s="309"/>
      <c r="AH224" s="309"/>
      <c r="AI224" s="309"/>
      <c r="AJ224" s="309"/>
      <c r="AK224" s="309"/>
      <c r="AL224" s="309"/>
      <c r="AM224" s="309"/>
      <c r="AN224" s="309"/>
      <c r="AO224" s="309"/>
      <c r="AP224" s="309"/>
      <c r="AQ224" s="309"/>
      <c r="AR224" s="309"/>
      <c r="AS224" s="308"/>
      <c r="AT224" s="309"/>
      <c r="AU224" s="309"/>
      <c r="AV224" s="309"/>
      <c r="AW224" s="309"/>
      <c r="AX224" s="309"/>
      <c r="AY224" s="309"/>
      <c r="AZ224" s="309"/>
      <c r="BA224" s="309"/>
      <c r="BB224" s="309"/>
      <c r="BC224" s="309"/>
      <c r="BD224" s="309"/>
    </row>
    <row r="225" spans="1:56" hidden="1" outlineLevel="1" x14ac:dyDescent="0.25">
      <c r="A225" s="288"/>
      <c r="B225" s="292"/>
      <c r="C225" s="192"/>
      <c r="D225" s="192"/>
      <c r="E225" s="192"/>
      <c r="F225" s="192"/>
      <c r="G225" s="192"/>
      <c r="H225" s="192"/>
      <c r="I225" s="192"/>
      <c r="J225" s="192"/>
      <c r="K225" s="192"/>
      <c r="L225" s="192"/>
      <c r="M225" s="192"/>
      <c r="N225" s="192"/>
      <c r="O225" s="192"/>
      <c r="P225" s="192"/>
      <c r="Q225" s="192"/>
      <c r="R225" s="308"/>
      <c r="S225" s="192"/>
      <c r="T225" s="192"/>
      <c r="U225" s="192"/>
      <c r="V225" s="192"/>
      <c r="W225" s="192"/>
      <c r="X225" s="192"/>
      <c r="Y225" s="192"/>
      <c r="Z225" s="192"/>
      <c r="AA225" s="192"/>
      <c r="AB225" s="192"/>
      <c r="AC225" s="192"/>
      <c r="AD225" s="309"/>
      <c r="AE225" s="309"/>
      <c r="AF225" s="309"/>
      <c r="AG225" s="309"/>
      <c r="AH225" s="309"/>
      <c r="AI225" s="309"/>
      <c r="AJ225" s="309"/>
      <c r="AK225" s="309"/>
      <c r="AL225" s="309"/>
      <c r="AM225" s="309"/>
      <c r="AN225" s="309"/>
      <c r="AO225" s="309"/>
      <c r="AP225" s="309"/>
      <c r="AQ225" s="309"/>
      <c r="AR225" s="309"/>
      <c r="AS225" s="308"/>
      <c r="AT225" s="309"/>
      <c r="AU225" s="309"/>
      <c r="AV225" s="309"/>
      <c r="AW225" s="309"/>
      <c r="AX225" s="309"/>
      <c r="AY225" s="309"/>
      <c r="AZ225" s="309"/>
      <c r="BA225" s="309"/>
      <c r="BB225" s="309"/>
      <c r="BC225" s="309"/>
      <c r="BD225" s="309"/>
    </row>
    <row r="226" spans="1:56" hidden="1" outlineLevel="1" x14ac:dyDescent="0.25">
      <c r="A226" s="288"/>
      <c r="B226" s="292"/>
      <c r="C226" s="192"/>
      <c r="D226" s="192"/>
      <c r="E226" s="192"/>
      <c r="F226" s="192"/>
      <c r="G226" s="192"/>
      <c r="H226" s="192"/>
      <c r="I226" s="192"/>
      <c r="J226" s="192"/>
      <c r="K226" s="192"/>
      <c r="L226" s="192"/>
      <c r="M226" s="192"/>
      <c r="N226" s="192"/>
      <c r="O226" s="192"/>
      <c r="P226" s="192"/>
      <c r="Q226" s="192"/>
      <c r="R226" s="308"/>
      <c r="S226" s="192"/>
      <c r="T226" s="192"/>
      <c r="U226" s="192"/>
      <c r="V226" s="192"/>
      <c r="W226" s="192"/>
      <c r="X226" s="192"/>
      <c r="Y226" s="192"/>
      <c r="Z226" s="192"/>
      <c r="AA226" s="192"/>
      <c r="AB226" s="192"/>
      <c r="AC226" s="192"/>
      <c r="AD226" s="309"/>
      <c r="AE226" s="309"/>
      <c r="AF226" s="309"/>
      <c r="AG226" s="309"/>
      <c r="AH226" s="309"/>
      <c r="AI226" s="309"/>
      <c r="AJ226" s="309"/>
      <c r="AK226" s="309"/>
      <c r="AL226" s="309"/>
      <c r="AM226" s="309"/>
      <c r="AN226" s="309"/>
      <c r="AO226" s="309"/>
      <c r="AP226" s="309"/>
      <c r="AQ226" s="309"/>
      <c r="AR226" s="309"/>
      <c r="AS226" s="308"/>
      <c r="AT226" s="309"/>
      <c r="AU226" s="309"/>
      <c r="AV226" s="309"/>
      <c r="AW226" s="309"/>
      <c r="AX226" s="309"/>
      <c r="AY226" s="309"/>
      <c r="AZ226" s="309"/>
      <c r="BA226" s="309"/>
      <c r="BB226" s="309"/>
      <c r="BC226" s="309"/>
      <c r="BD226" s="309"/>
    </row>
    <row r="227" spans="1:56" hidden="1" outlineLevel="1" x14ac:dyDescent="0.25">
      <c r="A227" s="288"/>
      <c r="B227" s="292"/>
      <c r="C227" s="192"/>
      <c r="D227" s="192"/>
      <c r="E227" s="192"/>
      <c r="F227" s="192"/>
      <c r="G227" s="192"/>
      <c r="H227" s="192"/>
      <c r="I227" s="192"/>
      <c r="J227" s="192"/>
      <c r="K227" s="192"/>
      <c r="L227" s="192"/>
      <c r="M227" s="192"/>
      <c r="N227" s="192"/>
      <c r="O227" s="192"/>
      <c r="P227" s="192"/>
      <c r="Q227" s="192"/>
      <c r="R227" s="308"/>
      <c r="S227" s="192"/>
      <c r="T227" s="192"/>
      <c r="U227" s="192"/>
      <c r="V227" s="192"/>
      <c r="W227" s="192"/>
      <c r="X227" s="192"/>
      <c r="Y227" s="192"/>
      <c r="Z227" s="192"/>
      <c r="AA227" s="192"/>
      <c r="AB227" s="192"/>
      <c r="AC227" s="192"/>
      <c r="AD227" s="309"/>
      <c r="AE227" s="309"/>
      <c r="AF227" s="309"/>
      <c r="AG227" s="309"/>
      <c r="AH227" s="309"/>
      <c r="AI227" s="309"/>
      <c r="AJ227" s="309"/>
      <c r="AK227" s="309"/>
      <c r="AL227" s="309"/>
      <c r="AM227" s="309"/>
      <c r="AN227" s="309"/>
      <c r="AO227" s="309"/>
      <c r="AP227" s="309"/>
      <c r="AQ227" s="309"/>
      <c r="AR227" s="309"/>
      <c r="AS227" s="308"/>
      <c r="AT227" s="309"/>
      <c r="AU227" s="309"/>
      <c r="AV227" s="309"/>
      <c r="AW227" s="309"/>
      <c r="AX227" s="309"/>
      <c r="AY227" s="309"/>
      <c r="AZ227" s="309"/>
      <c r="BA227" s="309"/>
      <c r="BB227" s="309"/>
      <c r="BC227" s="309"/>
      <c r="BD227" s="309"/>
    </row>
    <row r="228" spans="1:56" hidden="1" outlineLevel="1" x14ac:dyDescent="0.25">
      <c r="A228" s="288"/>
      <c r="B228" s="292"/>
      <c r="C228" s="192"/>
      <c r="D228" s="192"/>
      <c r="E228" s="192"/>
      <c r="F228" s="192"/>
      <c r="G228" s="192"/>
      <c r="H228" s="192"/>
      <c r="I228" s="192"/>
      <c r="J228" s="192"/>
      <c r="K228" s="192"/>
      <c r="L228" s="192"/>
      <c r="M228" s="192"/>
      <c r="N228" s="192"/>
      <c r="O228" s="192"/>
      <c r="P228" s="192"/>
      <c r="Q228" s="192"/>
      <c r="R228" s="308"/>
      <c r="S228" s="192"/>
      <c r="T228" s="192"/>
      <c r="U228" s="192"/>
      <c r="V228" s="192"/>
      <c r="W228" s="192"/>
      <c r="X228" s="192"/>
      <c r="Y228" s="192"/>
      <c r="Z228" s="192"/>
      <c r="AA228" s="192"/>
      <c r="AB228" s="192"/>
      <c r="AC228" s="192"/>
      <c r="AD228" s="309"/>
      <c r="AE228" s="309"/>
      <c r="AF228" s="309"/>
      <c r="AG228" s="309"/>
      <c r="AH228" s="309"/>
      <c r="AI228" s="309"/>
      <c r="AJ228" s="309"/>
      <c r="AK228" s="309"/>
      <c r="AL228" s="309"/>
      <c r="AM228" s="309"/>
      <c r="AN228" s="309"/>
      <c r="AO228" s="309"/>
      <c r="AP228" s="309"/>
      <c r="AQ228" s="309"/>
      <c r="AR228" s="309"/>
      <c r="AS228" s="308"/>
      <c r="AT228" s="309"/>
      <c r="AU228" s="309"/>
      <c r="AV228" s="309"/>
      <c r="AW228" s="309"/>
      <c r="AX228" s="309"/>
      <c r="AY228" s="309"/>
      <c r="AZ228" s="309"/>
      <c r="BA228" s="309"/>
      <c r="BB228" s="309"/>
      <c r="BC228" s="309"/>
      <c r="BD228" s="309"/>
    </row>
    <row r="229" spans="1:56" hidden="1" outlineLevel="1" x14ac:dyDescent="0.25">
      <c r="A229" s="288"/>
      <c r="B229" s="292"/>
      <c r="C229" s="192"/>
      <c r="D229" s="192"/>
      <c r="E229" s="192"/>
      <c r="F229" s="192"/>
      <c r="G229" s="192"/>
      <c r="H229" s="192"/>
      <c r="I229" s="192"/>
      <c r="J229" s="192"/>
      <c r="K229" s="192"/>
      <c r="L229" s="192"/>
      <c r="M229" s="192"/>
      <c r="N229" s="192"/>
      <c r="O229" s="192"/>
      <c r="P229" s="192"/>
      <c r="Q229" s="192"/>
      <c r="R229" s="308"/>
      <c r="S229" s="192"/>
      <c r="T229" s="192"/>
      <c r="U229" s="192"/>
      <c r="V229" s="192"/>
      <c r="W229" s="192"/>
      <c r="X229" s="192"/>
      <c r="Y229" s="192"/>
      <c r="Z229" s="192"/>
      <c r="AA229" s="192"/>
      <c r="AB229" s="192"/>
      <c r="AC229" s="192"/>
      <c r="AD229" s="309"/>
      <c r="AE229" s="309"/>
      <c r="AF229" s="309"/>
      <c r="AG229" s="309"/>
      <c r="AH229" s="309"/>
      <c r="AI229" s="309"/>
      <c r="AJ229" s="309"/>
      <c r="AK229" s="309"/>
      <c r="AL229" s="309"/>
      <c r="AM229" s="309"/>
      <c r="AN229" s="309"/>
      <c r="AO229" s="309"/>
      <c r="AP229" s="309"/>
      <c r="AQ229" s="309"/>
      <c r="AR229" s="309"/>
      <c r="AS229" s="308"/>
      <c r="AT229" s="309"/>
      <c r="AU229" s="309"/>
      <c r="AV229" s="309"/>
      <c r="AW229" s="309"/>
      <c r="AX229" s="309"/>
      <c r="AY229" s="309"/>
      <c r="AZ229" s="309"/>
      <c r="BA229" s="309"/>
      <c r="BB229" s="309"/>
      <c r="BC229" s="309"/>
      <c r="BD229" s="309"/>
    </row>
    <row r="230" spans="1:56" hidden="1" outlineLevel="1" x14ac:dyDescent="0.25">
      <c r="A230" s="288"/>
      <c r="B230" s="292"/>
      <c r="C230" s="192"/>
      <c r="D230" s="192"/>
      <c r="E230" s="192"/>
      <c r="F230" s="192"/>
      <c r="G230" s="192"/>
      <c r="H230" s="192"/>
      <c r="I230" s="192"/>
      <c r="J230" s="192"/>
      <c r="K230" s="192"/>
      <c r="L230" s="192"/>
      <c r="M230" s="192"/>
      <c r="N230" s="192"/>
      <c r="O230" s="192"/>
      <c r="P230" s="192"/>
      <c r="Q230" s="192"/>
      <c r="R230" s="308"/>
      <c r="S230" s="192"/>
      <c r="T230" s="192"/>
      <c r="U230" s="192"/>
      <c r="V230" s="192"/>
      <c r="W230" s="192"/>
      <c r="X230" s="192"/>
      <c r="Y230" s="192"/>
      <c r="Z230" s="192"/>
      <c r="AA230" s="192"/>
      <c r="AB230" s="192"/>
      <c r="AC230" s="192"/>
      <c r="AD230" s="309"/>
      <c r="AE230" s="309"/>
      <c r="AF230" s="309"/>
      <c r="AG230" s="309"/>
      <c r="AH230" s="309"/>
      <c r="AI230" s="309"/>
      <c r="AJ230" s="309"/>
      <c r="AK230" s="309"/>
      <c r="AL230" s="309"/>
      <c r="AM230" s="309"/>
      <c r="AN230" s="309"/>
      <c r="AO230" s="309"/>
      <c r="AP230" s="309"/>
      <c r="AQ230" s="309"/>
      <c r="AR230" s="309"/>
      <c r="AS230" s="308"/>
      <c r="AT230" s="309"/>
      <c r="AU230" s="309"/>
      <c r="AV230" s="309"/>
      <c r="AW230" s="309"/>
      <c r="AX230" s="309"/>
      <c r="AY230" s="309"/>
      <c r="AZ230" s="309"/>
      <c r="BA230" s="309"/>
      <c r="BB230" s="309"/>
      <c r="BC230" s="309"/>
      <c r="BD230" s="309"/>
    </row>
    <row r="231" spans="1:56" hidden="1" outlineLevel="1" x14ac:dyDescent="0.25">
      <c r="A231" s="288"/>
      <c r="B231" s="292"/>
      <c r="C231" s="192"/>
      <c r="D231" s="192"/>
      <c r="E231" s="192"/>
      <c r="F231" s="192"/>
      <c r="G231" s="192"/>
      <c r="H231" s="192"/>
      <c r="I231" s="192"/>
      <c r="J231" s="192"/>
      <c r="K231" s="192"/>
      <c r="L231" s="192"/>
      <c r="M231" s="192"/>
      <c r="N231" s="192"/>
      <c r="O231" s="192"/>
      <c r="P231" s="192"/>
      <c r="Q231" s="192"/>
      <c r="R231" s="308"/>
      <c r="S231" s="192"/>
      <c r="T231" s="192"/>
      <c r="U231" s="192"/>
      <c r="V231" s="192"/>
      <c r="W231" s="192"/>
      <c r="X231" s="192"/>
      <c r="Y231" s="192"/>
      <c r="Z231" s="192"/>
      <c r="AA231" s="192"/>
      <c r="AB231" s="192"/>
      <c r="AC231" s="192"/>
      <c r="AD231" s="309"/>
      <c r="AE231" s="309"/>
      <c r="AF231" s="309"/>
      <c r="AG231" s="309"/>
      <c r="AH231" s="309"/>
      <c r="AI231" s="309"/>
      <c r="AJ231" s="309"/>
      <c r="AK231" s="309"/>
      <c r="AL231" s="309"/>
      <c r="AM231" s="309"/>
      <c r="AN231" s="309"/>
      <c r="AO231" s="309"/>
      <c r="AP231" s="309"/>
      <c r="AQ231" s="309"/>
      <c r="AR231" s="309"/>
      <c r="AS231" s="308"/>
      <c r="AT231" s="309"/>
      <c r="AU231" s="309"/>
      <c r="AV231" s="309"/>
      <c r="AW231" s="309"/>
      <c r="AX231" s="309"/>
      <c r="AY231" s="309"/>
      <c r="AZ231" s="309"/>
      <c r="BA231" s="309"/>
      <c r="BB231" s="309"/>
      <c r="BC231" s="309"/>
      <c r="BD231" s="309"/>
    </row>
    <row r="232" spans="1:56" hidden="1" outlineLevel="1" x14ac:dyDescent="0.25">
      <c r="A232" s="288"/>
      <c r="B232" s="292"/>
      <c r="C232" s="192"/>
      <c r="D232" s="192"/>
      <c r="E232" s="192"/>
      <c r="F232" s="192"/>
      <c r="G232" s="192"/>
      <c r="H232" s="192"/>
      <c r="I232" s="192"/>
      <c r="J232" s="192"/>
      <c r="K232" s="192"/>
      <c r="L232" s="192"/>
      <c r="M232" s="192"/>
      <c r="N232" s="192"/>
      <c r="O232" s="192"/>
      <c r="P232" s="192"/>
      <c r="Q232" s="192"/>
      <c r="R232" s="308"/>
      <c r="S232" s="192"/>
      <c r="T232" s="192"/>
      <c r="U232" s="192"/>
      <c r="V232" s="192"/>
      <c r="W232" s="192"/>
      <c r="X232" s="192"/>
      <c r="Y232" s="192"/>
      <c r="Z232" s="192"/>
      <c r="AA232" s="192"/>
      <c r="AB232" s="192"/>
      <c r="AC232" s="192"/>
      <c r="AD232" s="309"/>
      <c r="AE232" s="309"/>
      <c r="AF232" s="309"/>
      <c r="AG232" s="309"/>
      <c r="AH232" s="309"/>
      <c r="AI232" s="309"/>
      <c r="AJ232" s="309"/>
      <c r="AK232" s="309"/>
      <c r="AL232" s="309"/>
      <c r="AM232" s="309"/>
      <c r="AN232" s="309"/>
      <c r="AO232" s="309"/>
      <c r="AP232" s="309"/>
      <c r="AQ232" s="309"/>
      <c r="AR232" s="309"/>
      <c r="AS232" s="308"/>
      <c r="AT232" s="309"/>
      <c r="AU232" s="309"/>
      <c r="AV232" s="309"/>
      <c r="AW232" s="309"/>
      <c r="AX232" s="309"/>
      <c r="AY232" s="309"/>
      <c r="AZ232" s="309"/>
      <c r="BA232" s="309"/>
      <c r="BB232" s="309"/>
      <c r="BC232" s="309"/>
      <c r="BD232" s="309"/>
    </row>
    <row r="233" spans="1:56" hidden="1" outlineLevel="1" x14ac:dyDescent="0.25">
      <c r="A233" s="288"/>
      <c r="B233" s="292"/>
      <c r="C233" s="192"/>
      <c r="D233" s="192"/>
      <c r="E233" s="192"/>
      <c r="F233" s="192"/>
      <c r="G233" s="192"/>
      <c r="H233" s="192"/>
      <c r="I233" s="192"/>
      <c r="J233" s="192"/>
      <c r="K233" s="192"/>
      <c r="L233" s="192"/>
      <c r="M233" s="192"/>
      <c r="N233" s="192"/>
      <c r="O233" s="192"/>
      <c r="P233" s="192"/>
      <c r="Q233" s="192"/>
      <c r="R233" s="308"/>
      <c r="S233" s="192"/>
      <c r="T233" s="192"/>
      <c r="U233" s="192"/>
      <c r="V233" s="192"/>
      <c r="W233" s="192"/>
      <c r="X233" s="192"/>
      <c r="Y233" s="192"/>
      <c r="Z233" s="192"/>
      <c r="AA233" s="192"/>
      <c r="AB233" s="192"/>
      <c r="AC233" s="192"/>
      <c r="AD233" s="309"/>
      <c r="AE233" s="309"/>
      <c r="AF233" s="309"/>
      <c r="AG233" s="309"/>
      <c r="AH233" s="309"/>
      <c r="AI233" s="309"/>
      <c r="AJ233" s="309"/>
      <c r="AK233" s="309"/>
      <c r="AL233" s="309"/>
      <c r="AM233" s="309"/>
      <c r="AN233" s="309"/>
      <c r="AO233" s="309"/>
      <c r="AP233" s="309"/>
      <c r="AQ233" s="309"/>
      <c r="AR233" s="309"/>
      <c r="AS233" s="308"/>
      <c r="AT233" s="309"/>
      <c r="AU233" s="309"/>
      <c r="AV233" s="309"/>
      <c r="AW233" s="309"/>
      <c r="AX233" s="309"/>
      <c r="AY233" s="309"/>
      <c r="AZ233" s="309"/>
      <c r="BA233" s="309"/>
      <c r="BB233" s="309"/>
      <c r="BC233" s="309"/>
      <c r="BD233" s="309"/>
    </row>
    <row r="234" spans="1:56" hidden="1" outlineLevel="1" x14ac:dyDescent="0.25">
      <c r="A234" s="288"/>
      <c r="B234" s="292"/>
      <c r="C234" s="192"/>
      <c r="D234" s="192"/>
      <c r="E234" s="192"/>
      <c r="F234" s="192"/>
      <c r="G234" s="192"/>
      <c r="H234" s="192"/>
      <c r="I234" s="192"/>
      <c r="J234" s="192"/>
      <c r="K234" s="192"/>
      <c r="L234" s="192"/>
      <c r="M234" s="192"/>
      <c r="N234" s="192"/>
      <c r="O234" s="192"/>
      <c r="P234" s="192"/>
      <c r="Q234" s="192"/>
      <c r="R234" s="308"/>
      <c r="S234" s="192"/>
      <c r="T234" s="192"/>
      <c r="U234" s="192"/>
      <c r="V234" s="192"/>
      <c r="W234" s="192"/>
      <c r="X234" s="192"/>
      <c r="Y234" s="192"/>
      <c r="Z234" s="192"/>
      <c r="AA234" s="192"/>
      <c r="AB234" s="192"/>
      <c r="AC234" s="192"/>
      <c r="AD234" s="309"/>
      <c r="AE234" s="309"/>
      <c r="AF234" s="309"/>
      <c r="AG234" s="309"/>
      <c r="AH234" s="309"/>
      <c r="AI234" s="309"/>
      <c r="AJ234" s="309"/>
      <c r="AK234" s="309"/>
      <c r="AL234" s="309"/>
      <c r="AM234" s="309"/>
      <c r="AN234" s="309"/>
      <c r="AO234" s="309"/>
      <c r="AP234" s="309"/>
      <c r="AQ234" s="309"/>
      <c r="AR234" s="309"/>
      <c r="AS234" s="308"/>
      <c r="AT234" s="309"/>
      <c r="AU234" s="309"/>
      <c r="AV234" s="309"/>
      <c r="AW234" s="309"/>
      <c r="AX234" s="309"/>
      <c r="AY234" s="309"/>
      <c r="AZ234" s="309"/>
      <c r="BA234" s="309"/>
      <c r="BB234" s="309"/>
      <c r="BC234" s="309"/>
      <c r="BD234" s="309"/>
    </row>
    <row r="235" spans="1:56" hidden="1" outlineLevel="1" x14ac:dyDescent="0.25">
      <c r="A235" s="288"/>
      <c r="B235" s="292"/>
      <c r="C235" s="192"/>
      <c r="D235" s="192"/>
      <c r="E235" s="192"/>
      <c r="F235" s="192"/>
      <c r="G235" s="192"/>
      <c r="H235" s="192"/>
      <c r="I235" s="192"/>
      <c r="J235" s="192"/>
      <c r="K235" s="192"/>
      <c r="L235" s="192"/>
      <c r="M235" s="192"/>
      <c r="N235" s="192"/>
      <c r="O235" s="192"/>
      <c r="P235" s="192"/>
      <c r="Q235" s="192"/>
      <c r="R235" s="308"/>
      <c r="S235" s="192"/>
      <c r="T235" s="192"/>
      <c r="U235" s="192"/>
      <c r="V235" s="192"/>
      <c r="W235" s="192"/>
      <c r="X235" s="192"/>
      <c r="Y235" s="192"/>
      <c r="Z235" s="192"/>
      <c r="AA235" s="192"/>
      <c r="AB235" s="192"/>
      <c r="AC235" s="192"/>
      <c r="AD235" s="309"/>
      <c r="AE235" s="309"/>
      <c r="AF235" s="309"/>
      <c r="AG235" s="309"/>
      <c r="AH235" s="309"/>
      <c r="AI235" s="309"/>
      <c r="AJ235" s="309"/>
      <c r="AK235" s="309"/>
      <c r="AL235" s="309"/>
      <c r="AM235" s="309"/>
      <c r="AN235" s="309"/>
      <c r="AO235" s="309"/>
      <c r="AP235" s="309"/>
      <c r="AQ235" s="309"/>
      <c r="AR235" s="309"/>
      <c r="AS235" s="308"/>
      <c r="AT235" s="309"/>
      <c r="AU235" s="309"/>
      <c r="AV235" s="309"/>
      <c r="AW235" s="309"/>
      <c r="AX235" s="309"/>
      <c r="AY235" s="309"/>
      <c r="AZ235" s="309"/>
      <c r="BA235" s="309"/>
      <c r="BB235" s="309"/>
      <c r="BC235" s="309"/>
      <c r="BD235" s="309"/>
    </row>
    <row r="236" spans="1:56" hidden="1" outlineLevel="1" x14ac:dyDescent="0.25">
      <c r="A236" s="288"/>
      <c r="B236" s="292"/>
      <c r="C236" s="192"/>
      <c r="D236" s="192"/>
      <c r="E236" s="192"/>
      <c r="F236" s="192"/>
      <c r="G236" s="192"/>
      <c r="H236" s="192"/>
      <c r="I236" s="192"/>
      <c r="J236" s="192"/>
      <c r="K236" s="192"/>
      <c r="L236" s="192"/>
      <c r="M236" s="192"/>
      <c r="N236" s="192"/>
      <c r="O236" s="192"/>
      <c r="P236" s="192"/>
      <c r="Q236" s="192"/>
      <c r="R236" s="308"/>
      <c r="S236" s="192"/>
      <c r="T236" s="192"/>
      <c r="U236" s="192"/>
      <c r="V236" s="192"/>
      <c r="W236" s="192"/>
      <c r="X236" s="192"/>
      <c r="Y236" s="192"/>
      <c r="Z236" s="192"/>
      <c r="AA236" s="192"/>
      <c r="AB236" s="192"/>
      <c r="AC236" s="192"/>
      <c r="AD236" s="309"/>
      <c r="AE236" s="309"/>
      <c r="AF236" s="309"/>
      <c r="AG236" s="309"/>
      <c r="AH236" s="309"/>
      <c r="AI236" s="309"/>
      <c r="AJ236" s="309"/>
      <c r="AK236" s="309"/>
      <c r="AL236" s="309"/>
      <c r="AM236" s="309"/>
      <c r="AN236" s="309"/>
      <c r="AO236" s="309"/>
      <c r="AP236" s="309"/>
      <c r="AQ236" s="309"/>
      <c r="AR236" s="309"/>
      <c r="AS236" s="308"/>
      <c r="AT236" s="309"/>
      <c r="AU236" s="309"/>
      <c r="AV236" s="309"/>
      <c r="AW236" s="309"/>
      <c r="AX236" s="309"/>
      <c r="AY236" s="309"/>
      <c r="AZ236" s="309"/>
      <c r="BA236" s="309"/>
      <c r="BB236" s="309"/>
      <c r="BC236" s="309"/>
      <c r="BD236" s="309"/>
    </row>
    <row r="237" spans="1:56" hidden="1" outlineLevel="1" x14ac:dyDescent="0.25">
      <c r="A237" s="288"/>
      <c r="B237" s="292"/>
      <c r="C237" s="192"/>
      <c r="D237" s="192"/>
      <c r="E237" s="192"/>
      <c r="F237" s="192"/>
      <c r="G237" s="192"/>
      <c r="H237" s="192"/>
      <c r="I237" s="192"/>
      <c r="J237" s="192"/>
      <c r="K237" s="192"/>
      <c r="L237" s="192"/>
      <c r="M237" s="192"/>
      <c r="N237" s="192"/>
      <c r="O237" s="192"/>
      <c r="P237" s="192"/>
      <c r="Q237" s="192"/>
      <c r="R237" s="308"/>
      <c r="S237" s="192"/>
      <c r="T237" s="192"/>
      <c r="U237" s="192"/>
      <c r="V237" s="192"/>
      <c r="W237" s="192"/>
      <c r="X237" s="192"/>
      <c r="Y237" s="192"/>
      <c r="Z237" s="192"/>
      <c r="AA237" s="192"/>
      <c r="AB237" s="192"/>
      <c r="AC237" s="192"/>
      <c r="AD237" s="309"/>
      <c r="AE237" s="309"/>
      <c r="AF237" s="309"/>
      <c r="AG237" s="309"/>
      <c r="AH237" s="309"/>
      <c r="AI237" s="309"/>
      <c r="AJ237" s="309"/>
      <c r="AK237" s="309"/>
      <c r="AL237" s="309"/>
      <c r="AM237" s="309"/>
      <c r="AN237" s="309"/>
      <c r="AO237" s="309"/>
      <c r="AP237" s="309"/>
      <c r="AQ237" s="309"/>
      <c r="AR237" s="309"/>
      <c r="AS237" s="308"/>
      <c r="AT237" s="309"/>
      <c r="AU237" s="309"/>
      <c r="AV237" s="309"/>
      <c r="AW237" s="309"/>
      <c r="AX237" s="309"/>
      <c r="AY237" s="309"/>
      <c r="AZ237" s="309"/>
      <c r="BA237" s="309"/>
      <c r="BB237" s="309"/>
      <c r="BC237" s="309"/>
      <c r="BD237" s="309"/>
    </row>
    <row r="238" spans="1:56" hidden="1" outlineLevel="1" x14ac:dyDescent="0.25">
      <c r="A238" s="288"/>
      <c r="B238" s="292"/>
      <c r="C238" s="192"/>
      <c r="D238" s="192"/>
      <c r="E238" s="192"/>
      <c r="F238" s="192"/>
      <c r="G238" s="192"/>
      <c r="H238" s="192"/>
      <c r="I238" s="192"/>
      <c r="J238" s="192"/>
      <c r="K238" s="192"/>
      <c r="L238" s="192"/>
      <c r="M238" s="192"/>
      <c r="N238" s="192"/>
      <c r="O238" s="192"/>
      <c r="P238" s="192"/>
      <c r="Q238" s="192"/>
      <c r="R238" s="308"/>
      <c r="S238" s="192"/>
      <c r="T238" s="192"/>
      <c r="U238" s="192"/>
      <c r="V238" s="192"/>
      <c r="W238" s="192"/>
      <c r="X238" s="192"/>
      <c r="Y238" s="192"/>
      <c r="Z238" s="192"/>
      <c r="AA238" s="192"/>
      <c r="AB238" s="192"/>
      <c r="AC238" s="192"/>
      <c r="AD238" s="309"/>
      <c r="AE238" s="309"/>
      <c r="AF238" s="309"/>
      <c r="AG238" s="309"/>
      <c r="AH238" s="309"/>
      <c r="AI238" s="309"/>
      <c r="AJ238" s="309"/>
      <c r="AK238" s="309"/>
      <c r="AL238" s="309"/>
      <c r="AM238" s="309"/>
      <c r="AN238" s="309"/>
      <c r="AO238" s="309"/>
      <c r="AP238" s="309"/>
      <c r="AQ238" s="309"/>
      <c r="AR238" s="309"/>
      <c r="AS238" s="308"/>
      <c r="AT238" s="309"/>
      <c r="AU238" s="309"/>
      <c r="AV238" s="309"/>
      <c r="AW238" s="309"/>
      <c r="AX238" s="309"/>
      <c r="AY238" s="309"/>
      <c r="AZ238" s="309"/>
      <c r="BA238" s="309"/>
      <c r="BB238" s="309"/>
      <c r="BC238" s="309"/>
      <c r="BD238" s="309"/>
    </row>
    <row r="239" spans="1:56" hidden="1" outlineLevel="1" x14ac:dyDescent="0.25">
      <c r="A239" s="288"/>
      <c r="B239" s="292"/>
      <c r="C239" s="192"/>
      <c r="D239" s="192"/>
      <c r="E239" s="192"/>
      <c r="F239" s="192"/>
      <c r="G239" s="192"/>
      <c r="H239" s="192"/>
      <c r="I239" s="192"/>
      <c r="J239" s="192"/>
      <c r="K239" s="192"/>
      <c r="L239" s="192"/>
      <c r="M239" s="192"/>
      <c r="N239" s="192"/>
      <c r="O239" s="192"/>
      <c r="P239" s="192"/>
      <c r="Q239" s="192"/>
      <c r="R239" s="308"/>
      <c r="S239" s="192"/>
      <c r="T239" s="192"/>
      <c r="U239" s="192"/>
      <c r="V239" s="192"/>
      <c r="W239" s="192"/>
      <c r="X239" s="192"/>
      <c r="Y239" s="192"/>
      <c r="Z239" s="192"/>
      <c r="AA239" s="192"/>
      <c r="AB239" s="192"/>
      <c r="AC239" s="192"/>
      <c r="AD239" s="309"/>
      <c r="AE239" s="309"/>
      <c r="AF239" s="309"/>
      <c r="AG239" s="309"/>
      <c r="AH239" s="309"/>
      <c r="AI239" s="309"/>
      <c r="AJ239" s="309"/>
      <c r="AK239" s="309"/>
      <c r="AL239" s="309"/>
      <c r="AM239" s="309"/>
      <c r="AN239" s="309"/>
      <c r="AO239" s="309"/>
      <c r="AP239" s="309"/>
      <c r="AQ239" s="309"/>
      <c r="AR239" s="309"/>
      <c r="AS239" s="308"/>
      <c r="AT239" s="309"/>
      <c r="AU239" s="309"/>
      <c r="AV239" s="309"/>
      <c r="AW239" s="309"/>
      <c r="AX239" s="309"/>
      <c r="AY239" s="309"/>
      <c r="AZ239" s="309"/>
      <c r="BA239" s="309"/>
      <c r="BB239" s="309"/>
      <c r="BC239" s="309"/>
      <c r="BD239" s="309"/>
    </row>
    <row r="240" spans="1:56" hidden="1" outlineLevel="1" x14ac:dyDescent="0.25">
      <c r="A240" s="288"/>
      <c r="B240" s="292"/>
      <c r="C240" s="192"/>
      <c r="D240" s="192"/>
      <c r="E240" s="192"/>
      <c r="F240" s="192"/>
      <c r="G240" s="192"/>
      <c r="H240" s="192"/>
      <c r="I240" s="192"/>
      <c r="J240" s="192"/>
      <c r="K240" s="192"/>
      <c r="L240" s="192"/>
      <c r="M240" s="192"/>
      <c r="N240" s="192"/>
      <c r="O240" s="192"/>
      <c r="P240" s="192"/>
      <c r="Q240" s="192"/>
      <c r="R240" s="308"/>
      <c r="S240" s="192"/>
      <c r="T240" s="192"/>
      <c r="U240" s="192"/>
      <c r="V240" s="192"/>
      <c r="W240" s="192"/>
      <c r="X240" s="192"/>
      <c r="Y240" s="192"/>
      <c r="Z240" s="192"/>
      <c r="AA240" s="192"/>
      <c r="AB240" s="192"/>
      <c r="AC240" s="192"/>
      <c r="AD240" s="309"/>
      <c r="AE240" s="309"/>
      <c r="AF240" s="309"/>
      <c r="AG240" s="309"/>
      <c r="AH240" s="309"/>
      <c r="AI240" s="309"/>
      <c r="AJ240" s="309"/>
      <c r="AK240" s="309"/>
      <c r="AL240" s="309"/>
      <c r="AM240" s="309"/>
      <c r="AN240" s="309"/>
      <c r="AO240" s="309"/>
      <c r="AP240" s="309"/>
      <c r="AQ240" s="309"/>
      <c r="AR240" s="309"/>
      <c r="AS240" s="308"/>
      <c r="AT240" s="309"/>
      <c r="AU240" s="309"/>
      <c r="AV240" s="309"/>
      <c r="AW240" s="309"/>
      <c r="AX240" s="309"/>
      <c r="AY240" s="309"/>
      <c r="AZ240" s="309"/>
      <c r="BA240" s="309"/>
      <c r="BB240" s="309"/>
      <c r="BC240" s="309"/>
      <c r="BD240" s="309"/>
    </row>
    <row r="241" spans="1:56" hidden="1" outlineLevel="1" x14ac:dyDescent="0.25">
      <c r="A241" s="288"/>
      <c r="B241" s="292"/>
      <c r="C241" s="192"/>
      <c r="D241" s="192"/>
      <c r="E241" s="192"/>
      <c r="F241" s="192"/>
      <c r="G241" s="192"/>
      <c r="H241" s="192"/>
      <c r="I241" s="192"/>
      <c r="J241" s="192"/>
      <c r="K241" s="192"/>
      <c r="L241" s="192"/>
      <c r="M241" s="192"/>
      <c r="N241" s="192"/>
      <c r="O241" s="192"/>
      <c r="P241" s="192"/>
      <c r="Q241" s="192"/>
      <c r="R241" s="308"/>
      <c r="S241" s="192"/>
      <c r="T241" s="192"/>
      <c r="U241" s="192"/>
      <c r="V241" s="192"/>
      <c r="W241" s="192"/>
      <c r="X241" s="192"/>
      <c r="Y241" s="192"/>
      <c r="Z241" s="192"/>
      <c r="AA241" s="192"/>
      <c r="AB241" s="192"/>
      <c r="AC241" s="192"/>
      <c r="AD241" s="309"/>
      <c r="AE241" s="309"/>
      <c r="AF241" s="309"/>
      <c r="AG241" s="309"/>
      <c r="AH241" s="309"/>
      <c r="AI241" s="309"/>
      <c r="AJ241" s="309"/>
      <c r="AK241" s="309"/>
      <c r="AL241" s="309"/>
      <c r="AM241" s="309"/>
      <c r="AN241" s="309"/>
      <c r="AO241" s="309"/>
      <c r="AP241" s="309"/>
      <c r="AQ241" s="309"/>
      <c r="AR241" s="309"/>
      <c r="AS241" s="308"/>
      <c r="AT241" s="309"/>
      <c r="AU241" s="309"/>
      <c r="AV241" s="309"/>
      <c r="AW241" s="309"/>
      <c r="AX241" s="309"/>
      <c r="AY241" s="309"/>
      <c r="AZ241" s="309"/>
      <c r="BA241" s="309"/>
      <c r="BB241" s="309"/>
      <c r="BC241" s="309"/>
      <c r="BD241" s="309"/>
    </row>
    <row r="242" spans="1:56" hidden="1" outlineLevel="1" x14ac:dyDescent="0.25">
      <c r="A242" s="288"/>
      <c r="B242" s="292"/>
      <c r="C242" s="192"/>
      <c r="D242" s="192"/>
      <c r="E242" s="192"/>
      <c r="F242" s="192"/>
      <c r="G242" s="192"/>
      <c r="H242" s="192"/>
      <c r="I242" s="192"/>
      <c r="J242" s="192"/>
      <c r="K242" s="192"/>
      <c r="L242" s="192"/>
      <c r="M242" s="192"/>
      <c r="N242" s="192"/>
      <c r="O242" s="192"/>
      <c r="P242" s="192"/>
      <c r="Q242" s="192"/>
      <c r="R242" s="308"/>
      <c r="S242" s="192"/>
      <c r="T242" s="192"/>
      <c r="U242" s="192"/>
      <c r="V242" s="192"/>
      <c r="W242" s="192"/>
      <c r="X242" s="192"/>
      <c r="Y242" s="192"/>
      <c r="Z242" s="192"/>
      <c r="AA242" s="192"/>
      <c r="AB242" s="192"/>
      <c r="AC242" s="192"/>
      <c r="AD242" s="309"/>
      <c r="AE242" s="309"/>
      <c r="AF242" s="309"/>
      <c r="AG242" s="309"/>
      <c r="AH242" s="309"/>
      <c r="AI242" s="309"/>
      <c r="AJ242" s="309"/>
      <c r="AK242" s="309"/>
      <c r="AL242" s="309"/>
      <c r="AM242" s="309"/>
      <c r="AN242" s="309"/>
      <c r="AO242" s="309"/>
      <c r="AP242" s="309"/>
      <c r="AQ242" s="309"/>
      <c r="AR242" s="309"/>
      <c r="AS242" s="308"/>
      <c r="AT242" s="309"/>
      <c r="AU242" s="309"/>
      <c r="AV242" s="309"/>
      <c r="AW242" s="309"/>
      <c r="AX242" s="309"/>
      <c r="AY242" s="309"/>
      <c r="AZ242" s="309"/>
      <c r="BA242" s="309"/>
      <c r="BB242" s="309"/>
      <c r="BC242" s="309"/>
      <c r="BD242" s="309"/>
    </row>
    <row r="243" spans="1:56" hidden="1" outlineLevel="1" x14ac:dyDescent="0.25">
      <c r="A243" s="288"/>
      <c r="B243" s="292"/>
      <c r="C243" s="192"/>
      <c r="D243" s="192"/>
      <c r="E243" s="192"/>
      <c r="F243" s="192"/>
      <c r="G243" s="192"/>
      <c r="H243" s="192"/>
      <c r="I243" s="192"/>
      <c r="J243" s="192"/>
      <c r="K243" s="192"/>
      <c r="L243" s="192"/>
      <c r="M243" s="192"/>
      <c r="N243" s="192"/>
      <c r="O243" s="192"/>
      <c r="P243" s="192"/>
      <c r="Q243" s="192"/>
      <c r="R243" s="308"/>
      <c r="S243" s="192"/>
      <c r="T243" s="192"/>
      <c r="U243" s="192"/>
      <c r="V243" s="192"/>
      <c r="W243" s="192"/>
      <c r="X243" s="192"/>
      <c r="Y243" s="192"/>
      <c r="Z243" s="192"/>
      <c r="AA243" s="192"/>
      <c r="AB243" s="192"/>
      <c r="AC243" s="192"/>
      <c r="AD243" s="309"/>
      <c r="AE243" s="309"/>
      <c r="AF243" s="309"/>
      <c r="AG243" s="309"/>
      <c r="AH243" s="309"/>
      <c r="AI243" s="309"/>
      <c r="AJ243" s="309"/>
      <c r="AK243" s="309"/>
      <c r="AL243" s="309"/>
      <c r="AM243" s="309"/>
      <c r="AN243" s="309"/>
      <c r="AO243" s="309"/>
      <c r="AP243" s="309"/>
      <c r="AQ243" s="309"/>
      <c r="AR243" s="309"/>
      <c r="AS243" s="308"/>
      <c r="AT243" s="309"/>
      <c r="AU243" s="309"/>
      <c r="AV243" s="309"/>
      <c r="AW243" s="309"/>
      <c r="AX243" s="309"/>
      <c r="AY243" s="309"/>
      <c r="AZ243" s="309"/>
      <c r="BA243" s="309"/>
      <c r="BB243" s="309"/>
      <c r="BC243" s="309"/>
      <c r="BD243" s="309"/>
    </row>
    <row r="244" spans="1:56" hidden="1" outlineLevel="1" x14ac:dyDescent="0.25">
      <c r="A244" s="288"/>
      <c r="B244" s="292"/>
      <c r="C244" s="192"/>
      <c r="D244" s="192"/>
      <c r="E244" s="192"/>
      <c r="F244" s="192"/>
      <c r="G244" s="192"/>
      <c r="H244" s="192"/>
      <c r="I244" s="192"/>
      <c r="J244" s="192"/>
      <c r="K244" s="192"/>
      <c r="L244" s="192"/>
      <c r="M244" s="192"/>
      <c r="N244" s="192"/>
      <c r="O244" s="192"/>
      <c r="P244" s="192"/>
      <c r="Q244" s="192"/>
      <c r="R244" s="308"/>
      <c r="S244" s="192"/>
      <c r="T244" s="192"/>
      <c r="U244" s="192"/>
      <c r="V244" s="192"/>
      <c r="W244" s="192"/>
      <c r="X244" s="192"/>
      <c r="Y244" s="192"/>
      <c r="Z244" s="192"/>
      <c r="AA244" s="192"/>
      <c r="AB244" s="192"/>
      <c r="AC244" s="192"/>
      <c r="AD244" s="309"/>
      <c r="AE244" s="309"/>
      <c r="AF244" s="309"/>
      <c r="AG244" s="309"/>
      <c r="AH244" s="309"/>
      <c r="AI244" s="309"/>
      <c r="AJ244" s="309"/>
      <c r="AK244" s="309"/>
      <c r="AL244" s="309"/>
      <c r="AM244" s="309"/>
      <c r="AN244" s="309"/>
      <c r="AO244" s="309"/>
      <c r="AP244" s="309"/>
      <c r="AQ244" s="309"/>
      <c r="AR244" s="309"/>
      <c r="AS244" s="308"/>
      <c r="AT244" s="309"/>
      <c r="AU244" s="309"/>
      <c r="AV244" s="309"/>
      <c r="AW244" s="309"/>
      <c r="AX244" s="309"/>
      <c r="AY244" s="309"/>
      <c r="AZ244" s="309"/>
      <c r="BA244" s="309"/>
      <c r="BB244" s="309"/>
      <c r="BC244" s="309"/>
      <c r="BD244" s="309"/>
    </row>
    <row r="245" spans="1:56" hidden="1" outlineLevel="1" x14ac:dyDescent="0.25">
      <c r="A245" s="288"/>
      <c r="B245" s="292"/>
      <c r="C245" s="192"/>
      <c r="D245" s="192"/>
      <c r="E245" s="192"/>
      <c r="F245" s="192"/>
      <c r="G245" s="192"/>
      <c r="H245" s="192"/>
      <c r="I245" s="192"/>
      <c r="J245" s="192"/>
      <c r="K245" s="192"/>
      <c r="L245" s="192"/>
      <c r="M245" s="192"/>
      <c r="N245" s="192"/>
      <c r="O245" s="192"/>
      <c r="P245" s="192"/>
      <c r="Q245" s="192"/>
      <c r="R245" s="308"/>
      <c r="S245" s="192"/>
      <c r="T245" s="192"/>
      <c r="U245" s="192"/>
      <c r="V245" s="192"/>
      <c r="W245" s="192"/>
      <c r="X245" s="192"/>
      <c r="Y245" s="192"/>
      <c r="Z245" s="192"/>
      <c r="AA245" s="192"/>
      <c r="AB245" s="192"/>
      <c r="AC245" s="192"/>
      <c r="AD245" s="309"/>
      <c r="AE245" s="309"/>
      <c r="AF245" s="309"/>
      <c r="AG245" s="309"/>
      <c r="AH245" s="309"/>
      <c r="AI245" s="309"/>
      <c r="AJ245" s="309"/>
      <c r="AK245" s="309"/>
      <c r="AL245" s="309"/>
      <c r="AM245" s="309"/>
      <c r="AN245" s="309"/>
      <c r="AO245" s="309"/>
      <c r="AP245" s="309"/>
      <c r="AQ245" s="309"/>
      <c r="AR245" s="309"/>
      <c r="AS245" s="308"/>
      <c r="AT245" s="309"/>
      <c r="AU245" s="309"/>
      <c r="AV245" s="309"/>
      <c r="AW245" s="309"/>
      <c r="AX245" s="309"/>
      <c r="AY245" s="309"/>
      <c r="AZ245" s="309"/>
      <c r="BA245" s="309"/>
      <c r="BB245" s="309"/>
      <c r="BC245" s="309"/>
      <c r="BD245" s="309"/>
    </row>
    <row r="246" spans="1:56" hidden="1" outlineLevel="1" x14ac:dyDescent="0.25">
      <c r="A246" s="288"/>
      <c r="B246" s="292"/>
      <c r="C246" s="192"/>
      <c r="D246" s="192"/>
      <c r="E246" s="192"/>
      <c r="F246" s="192"/>
      <c r="G246" s="192"/>
      <c r="H246" s="192"/>
      <c r="I246" s="192"/>
      <c r="J246" s="192"/>
      <c r="K246" s="192"/>
      <c r="L246" s="192"/>
      <c r="M246" s="192"/>
      <c r="N246" s="192"/>
      <c r="O246" s="192"/>
      <c r="P246" s="192"/>
      <c r="Q246" s="192"/>
      <c r="R246" s="308"/>
      <c r="S246" s="192"/>
      <c r="T246" s="192"/>
      <c r="U246" s="192"/>
      <c r="V246" s="192"/>
      <c r="W246" s="192"/>
      <c r="X246" s="192"/>
      <c r="Y246" s="192"/>
      <c r="Z246" s="192"/>
      <c r="AA246" s="192"/>
      <c r="AB246" s="192"/>
      <c r="AC246" s="192"/>
      <c r="AD246" s="309"/>
      <c r="AE246" s="309"/>
      <c r="AF246" s="309"/>
      <c r="AG246" s="309"/>
      <c r="AH246" s="309"/>
      <c r="AI246" s="309"/>
      <c r="AJ246" s="309"/>
      <c r="AK246" s="309"/>
      <c r="AL246" s="309"/>
      <c r="AM246" s="309"/>
      <c r="AN246" s="309"/>
      <c r="AO246" s="309"/>
      <c r="AP246" s="309"/>
      <c r="AQ246" s="309"/>
      <c r="AR246" s="309"/>
      <c r="AS246" s="308"/>
      <c r="AT246" s="309"/>
      <c r="AU246" s="309"/>
      <c r="AV246" s="309"/>
      <c r="AW246" s="309"/>
      <c r="AX246" s="309"/>
      <c r="AY246" s="309"/>
      <c r="AZ246" s="309"/>
      <c r="BA246" s="309"/>
      <c r="BB246" s="309"/>
      <c r="BC246" s="309"/>
      <c r="BD246" s="309"/>
    </row>
    <row r="247" spans="1:56" hidden="1" outlineLevel="1" x14ac:dyDescent="0.25">
      <c r="A247" s="288"/>
      <c r="B247" s="292"/>
      <c r="C247" s="192"/>
      <c r="D247" s="192"/>
      <c r="E247" s="192"/>
      <c r="F247" s="192"/>
      <c r="G247" s="192"/>
      <c r="H247" s="192"/>
      <c r="I247" s="192"/>
      <c r="J247" s="192"/>
      <c r="K247" s="192"/>
      <c r="L247" s="192"/>
      <c r="M247" s="192"/>
      <c r="N247" s="192"/>
      <c r="O247" s="192"/>
      <c r="P247" s="192"/>
      <c r="Q247" s="192"/>
      <c r="R247" s="308"/>
      <c r="S247" s="192"/>
      <c r="T247" s="192"/>
      <c r="U247" s="192"/>
      <c r="V247" s="192"/>
      <c r="W247" s="192"/>
      <c r="X247" s="192"/>
      <c r="Y247" s="192"/>
      <c r="Z247" s="192"/>
      <c r="AA247" s="192"/>
      <c r="AB247" s="192"/>
      <c r="AC247" s="192"/>
      <c r="AD247" s="309"/>
      <c r="AE247" s="309"/>
      <c r="AF247" s="309"/>
      <c r="AG247" s="309"/>
      <c r="AH247" s="309"/>
      <c r="AI247" s="309"/>
      <c r="AJ247" s="309"/>
      <c r="AK247" s="309"/>
      <c r="AL247" s="309"/>
      <c r="AM247" s="309"/>
      <c r="AN247" s="309"/>
      <c r="AO247" s="309"/>
      <c r="AP247" s="309"/>
      <c r="AQ247" s="309"/>
      <c r="AR247" s="309"/>
      <c r="AS247" s="308"/>
      <c r="AT247" s="309"/>
      <c r="AU247" s="309"/>
      <c r="AV247" s="309"/>
      <c r="AW247" s="309"/>
      <c r="AX247" s="309"/>
      <c r="AY247" s="309"/>
      <c r="AZ247" s="309"/>
      <c r="BA247" s="309"/>
      <c r="BB247" s="309"/>
      <c r="BC247" s="309"/>
      <c r="BD247" s="309"/>
    </row>
    <row r="248" spans="1:56" hidden="1" outlineLevel="1" x14ac:dyDescent="0.25">
      <c r="A248" s="288"/>
      <c r="B248" s="292"/>
      <c r="C248" s="192"/>
      <c r="D248" s="192"/>
      <c r="E248" s="192"/>
      <c r="F248" s="192"/>
      <c r="G248" s="192"/>
      <c r="H248" s="192"/>
      <c r="I248" s="192"/>
      <c r="J248" s="192"/>
      <c r="K248" s="192"/>
      <c r="L248" s="192"/>
      <c r="M248" s="192"/>
      <c r="N248" s="192"/>
      <c r="O248" s="192"/>
      <c r="P248" s="192"/>
      <c r="Q248" s="192"/>
      <c r="R248" s="308"/>
      <c r="S248" s="192"/>
      <c r="T248" s="192"/>
      <c r="U248" s="192"/>
      <c r="V248" s="192"/>
      <c r="W248" s="192"/>
      <c r="X248" s="192"/>
      <c r="Y248" s="192"/>
      <c r="Z248" s="192"/>
      <c r="AA248" s="192"/>
      <c r="AB248" s="192"/>
      <c r="AC248" s="192"/>
      <c r="AD248" s="309"/>
      <c r="AE248" s="309"/>
      <c r="AF248" s="309"/>
      <c r="AG248" s="309"/>
      <c r="AH248" s="309"/>
      <c r="AI248" s="309"/>
      <c r="AJ248" s="309"/>
      <c r="AK248" s="309"/>
      <c r="AL248" s="309"/>
      <c r="AM248" s="309"/>
      <c r="AN248" s="309"/>
      <c r="AO248" s="309"/>
      <c r="AP248" s="309"/>
      <c r="AQ248" s="309"/>
      <c r="AR248" s="309"/>
      <c r="AS248" s="308"/>
      <c r="AT248" s="309"/>
      <c r="AU248" s="309"/>
      <c r="AV248" s="309"/>
      <c r="AW248" s="309"/>
      <c r="AX248" s="309"/>
      <c r="AY248" s="309"/>
      <c r="AZ248" s="309"/>
      <c r="BA248" s="309"/>
      <c r="BB248" s="309"/>
      <c r="BC248" s="309"/>
      <c r="BD248" s="309"/>
    </row>
    <row r="249" spans="1:56" hidden="1" outlineLevel="1" x14ac:dyDescent="0.25">
      <c r="A249" s="288"/>
      <c r="B249" s="292"/>
      <c r="C249" s="192"/>
      <c r="D249" s="192"/>
      <c r="E249" s="192"/>
      <c r="F249" s="192"/>
      <c r="G249" s="192"/>
      <c r="H249" s="192"/>
      <c r="I249" s="192"/>
      <c r="J249" s="192"/>
      <c r="K249" s="192"/>
      <c r="L249" s="192"/>
      <c r="M249" s="192"/>
      <c r="N249" s="192"/>
      <c r="O249" s="192"/>
      <c r="P249" s="192"/>
      <c r="Q249" s="192"/>
      <c r="R249" s="308"/>
      <c r="S249" s="192"/>
      <c r="T249" s="192"/>
      <c r="U249" s="192"/>
      <c r="V249" s="192"/>
      <c r="W249" s="192"/>
      <c r="X249" s="192"/>
      <c r="Y249" s="192"/>
      <c r="Z249" s="192"/>
      <c r="AA249" s="192"/>
      <c r="AB249" s="192"/>
      <c r="AC249" s="192"/>
      <c r="AD249" s="309"/>
      <c r="AE249" s="309"/>
      <c r="AF249" s="309"/>
      <c r="AG249" s="309"/>
      <c r="AH249" s="309"/>
      <c r="AI249" s="309"/>
      <c r="AJ249" s="309"/>
      <c r="AK249" s="309"/>
      <c r="AL249" s="309"/>
      <c r="AM249" s="309"/>
      <c r="AN249" s="309"/>
      <c r="AO249" s="309"/>
      <c r="AP249" s="309"/>
      <c r="AQ249" s="309"/>
      <c r="AR249" s="309"/>
      <c r="AS249" s="308"/>
      <c r="AT249" s="309"/>
      <c r="AU249" s="309"/>
      <c r="AV249" s="309"/>
      <c r="AW249" s="309"/>
      <c r="AX249" s="309"/>
      <c r="AY249" s="309"/>
      <c r="AZ249" s="309"/>
      <c r="BA249" s="309"/>
      <c r="BB249" s="309"/>
      <c r="BC249" s="309"/>
      <c r="BD249" s="309"/>
    </row>
    <row r="250" spans="1:56" hidden="1" outlineLevel="1" x14ac:dyDescent="0.25">
      <c r="A250" s="288"/>
      <c r="B250" s="292"/>
      <c r="C250" s="192"/>
      <c r="D250" s="192"/>
      <c r="E250" s="192"/>
      <c r="F250" s="192"/>
      <c r="G250" s="192"/>
      <c r="H250" s="192"/>
      <c r="I250" s="192"/>
      <c r="J250" s="192"/>
      <c r="K250" s="192"/>
      <c r="L250" s="192"/>
      <c r="M250" s="192"/>
      <c r="N250" s="192"/>
      <c r="O250" s="192"/>
      <c r="P250" s="192"/>
      <c r="Q250" s="192"/>
      <c r="R250" s="308"/>
      <c r="S250" s="192"/>
      <c r="T250" s="192"/>
      <c r="U250" s="192"/>
      <c r="V250" s="192"/>
      <c r="W250" s="192"/>
      <c r="X250" s="192"/>
      <c r="Y250" s="192"/>
      <c r="Z250" s="192"/>
      <c r="AA250" s="192"/>
      <c r="AB250" s="192"/>
      <c r="AC250" s="192"/>
      <c r="AD250" s="309"/>
      <c r="AE250" s="309"/>
      <c r="AF250" s="309"/>
      <c r="AG250" s="309"/>
      <c r="AH250" s="309"/>
      <c r="AI250" s="309"/>
      <c r="AJ250" s="309"/>
      <c r="AK250" s="309"/>
      <c r="AL250" s="309"/>
      <c r="AM250" s="309"/>
      <c r="AN250" s="309"/>
      <c r="AO250" s="309"/>
      <c r="AP250" s="309"/>
      <c r="AQ250" s="309"/>
      <c r="AR250" s="309"/>
      <c r="AS250" s="308"/>
      <c r="AT250" s="309"/>
      <c r="AU250" s="309"/>
      <c r="AV250" s="309"/>
      <c r="AW250" s="309"/>
      <c r="AX250" s="309"/>
      <c r="AY250" s="309"/>
      <c r="AZ250" s="309"/>
      <c r="BA250" s="309"/>
      <c r="BB250" s="309"/>
      <c r="BC250" s="309"/>
      <c r="BD250" s="309"/>
    </row>
    <row r="251" spans="1:56" hidden="1" outlineLevel="1" x14ac:dyDescent="0.25">
      <c r="A251" s="288"/>
      <c r="B251" s="292"/>
      <c r="C251" s="192"/>
      <c r="D251" s="192"/>
      <c r="E251" s="192"/>
      <c r="F251" s="192"/>
      <c r="G251" s="192"/>
      <c r="H251" s="192"/>
      <c r="I251" s="192"/>
      <c r="J251" s="192"/>
      <c r="K251" s="192"/>
      <c r="L251" s="192"/>
      <c r="M251" s="192"/>
      <c r="N251" s="192"/>
      <c r="O251" s="192"/>
      <c r="P251" s="192"/>
      <c r="Q251" s="192"/>
      <c r="R251" s="308"/>
      <c r="S251" s="192"/>
      <c r="T251" s="192"/>
      <c r="U251" s="192"/>
      <c r="V251" s="192"/>
      <c r="W251" s="192"/>
      <c r="X251" s="192"/>
      <c r="Y251" s="192"/>
      <c r="Z251" s="192"/>
      <c r="AA251" s="192"/>
      <c r="AB251" s="192"/>
      <c r="AC251" s="192"/>
      <c r="AD251" s="309"/>
      <c r="AE251" s="309"/>
      <c r="AF251" s="309"/>
      <c r="AG251" s="309"/>
      <c r="AH251" s="309"/>
      <c r="AI251" s="309"/>
      <c r="AJ251" s="309"/>
      <c r="AK251" s="309"/>
      <c r="AL251" s="309"/>
      <c r="AM251" s="309"/>
      <c r="AN251" s="309"/>
      <c r="AO251" s="309"/>
      <c r="AP251" s="309"/>
      <c r="AQ251" s="309"/>
      <c r="AR251" s="309"/>
      <c r="AS251" s="308"/>
      <c r="AT251" s="309"/>
      <c r="AU251" s="309"/>
      <c r="AV251" s="309"/>
      <c r="AW251" s="309"/>
      <c r="AX251" s="309"/>
      <c r="AY251" s="309"/>
      <c r="AZ251" s="309"/>
      <c r="BA251" s="309"/>
      <c r="BB251" s="309"/>
      <c r="BC251" s="309"/>
      <c r="BD251" s="309"/>
    </row>
    <row r="252" spans="1:56" hidden="1" outlineLevel="1" x14ac:dyDescent="0.25">
      <c r="A252" s="288"/>
      <c r="B252" s="292"/>
      <c r="C252" s="192"/>
      <c r="D252" s="192"/>
      <c r="E252" s="192"/>
      <c r="F252" s="192"/>
      <c r="G252" s="192"/>
      <c r="H252" s="192"/>
      <c r="I252" s="192"/>
      <c r="J252" s="192"/>
      <c r="K252" s="192"/>
      <c r="L252" s="192"/>
      <c r="M252" s="192"/>
      <c r="N252" s="192"/>
      <c r="O252" s="192"/>
      <c r="P252" s="192"/>
      <c r="Q252" s="192"/>
      <c r="R252" s="308"/>
      <c r="S252" s="192"/>
      <c r="T252" s="192"/>
      <c r="U252" s="192"/>
      <c r="V252" s="192"/>
      <c r="W252" s="192"/>
      <c r="X252" s="192"/>
      <c r="Y252" s="192"/>
      <c r="Z252" s="192"/>
      <c r="AA252" s="192"/>
      <c r="AB252" s="192"/>
      <c r="AC252" s="192"/>
      <c r="AD252" s="309"/>
      <c r="AE252" s="309"/>
      <c r="AF252" s="309"/>
      <c r="AG252" s="309"/>
      <c r="AH252" s="309"/>
      <c r="AI252" s="309"/>
      <c r="AJ252" s="309"/>
      <c r="AK252" s="309"/>
      <c r="AL252" s="309"/>
      <c r="AM252" s="309"/>
      <c r="AN252" s="309"/>
      <c r="AO252" s="309"/>
      <c r="AP252" s="309"/>
      <c r="AQ252" s="309"/>
      <c r="AR252" s="309"/>
      <c r="AS252" s="308"/>
      <c r="AT252" s="309"/>
      <c r="AU252" s="309"/>
      <c r="AV252" s="309"/>
      <c r="AW252" s="309"/>
      <c r="AX252" s="309"/>
      <c r="AY252" s="309"/>
      <c r="AZ252" s="309"/>
      <c r="BA252" s="309"/>
      <c r="BB252" s="309"/>
      <c r="BC252" s="309"/>
      <c r="BD252" s="309"/>
    </row>
    <row r="253" spans="1:56" hidden="1" outlineLevel="1" x14ac:dyDescent="0.25">
      <c r="A253" s="288"/>
      <c r="B253" s="292"/>
      <c r="C253" s="192"/>
      <c r="D253" s="192"/>
      <c r="E253" s="192"/>
      <c r="F253" s="192"/>
      <c r="G253" s="192"/>
      <c r="H253" s="192"/>
      <c r="I253" s="192"/>
      <c r="J253" s="192"/>
      <c r="K253" s="192"/>
      <c r="L253" s="192"/>
      <c r="M253" s="192"/>
      <c r="N253" s="192"/>
      <c r="O253" s="192"/>
      <c r="P253" s="192"/>
      <c r="Q253" s="192"/>
      <c r="R253" s="308"/>
      <c r="S253" s="192"/>
      <c r="T253" s="192"/>
      <c r="U253" s="192"/>
      <c r="V253" s="192"/>
      <c r="W253" s="192"/>
      <c r="X253" s="192"/>
      <c r="Y253" s="192"/>
      <c r="Z253" s="192"/>
      <c r="AA253" s="192"/>
      <c r="AB253" s="192"/>
      <c r="AC253" s="192"/>
      <c r="AD253" s="309"/>
      <c r="AE253" s="309"/>
      <c r="AF253" s="309"/>
      <c r="AG253" s="309"/>
      <c r="AH253" s="309"/>
      <c r="AI253" s="309"/>
      <c r="AJ253" s="309"/>
      <c r="AK253" s="309"/>
      <c r="AL253" s="309"/>
      <c r="AM253" s="309"/>
      <c r="AN253" s="309"/>
      <c r="AO253" s="309"/>
      <c r="AP253" s="309"/>
      <c r="AQ253" s="309"/>
      <c r="AR253" s="309"/>
      <c r="AS253" s="308"/>
      <c r="AT253" s="309"/>
      <c r="AU253" s="309"/>
      <c r="AV253" s="309"/>
      <c r="AW253" s="309"/>
      <c r="AX253" s="309"/>
      <c r="AY253" s="309"/>
      <c r="AZ253" s="309"/>
      <c r="BA253" s="309"/>
      <c r="BB253" s="309"/>
      <c r="BC253" s="309"/>
      <c r="BD253" s="309"/>
    </row>
    <row r="254" spans="1:56" hidden="1" outlineLevel="1" x14ac:dyDescent="0.25">
      <c r="A254" s="288"/>
      <c r="B254" s="292"/>
      <c r="C254" s="192"/>
      <c r="D254" s="192"/>
      <c r="E254" s="192"/>
      <c r="F254" s="192"/>
      <c r="G254" s="192"/>
      <c r="H254" s="192"/>
      <c r="I254" s="192"/>
      <c r="J254" s="192"/>
      <c r="K254" s="192"/>
      <c r="L254" s="192"/>
      <c r="M254" s="192"/>
      <c r="N254" s="192"/>
      <c r="O254" s="192"/>
      <c r="P254" s="192"/>
      <c r="Q254" s="192"/>
      <c r="R254" s="308"/>
      <c r="S254" s="192"/>
      <c r="T254" s="192"/>
      <c r="U254" s="192"/>
      <c r="V254" s="192"/>
      <c r="W254" s="192"/>
      <c r="X254" s="192"/>
      <c r="Y254" s="192"/>
      <c r="Z254" s="192"/>
      <c r="AA254" s="192"/>
      <c r="AB254" s="192"/>
      <c r="AC254" s="192"/>
      <c r="AD254" s="309"/>
      <c r="AE254" s="309"/>
      <c r="AF254" s="309"/>
      <c r="AG254" s="309"/>
      <c r="AH254" s="309"/>
      <c r="AI254" s="309"/>
      <c r="AJ254" s="309"/>
      <c r="AK254" s="309"/>
      <c r="AL254" s="309"/>
      <c r="AM254" s="309"/>
      <c r="AN254" s="309"/>
      <c r="AO254" s="309"/>
      <c r="AP254" s="309"/>
      <c r="AQ254" s="309"/>
      <c r="AR254" s="309"/>
      <c r="AS254" s="308"/>
      <c r="AT254" s="309"/>
      <c r="AU254" s="309"/>
      <c r="AV254" s="309"/>
      <c r="AW254" s="309"/>
      <c r="AX254" s="309"/>
      <c r="AY254" s="309"/>
      <c r="AZ254" s="309"/>
      <c r="BA254" s="309"/>
      <c r="BB254" s="309"/>
      <c r="BC254" s="309"/>
      <c r="BD254" s="309"/>
    </row>
    <row r="255" spans="1:56" hidden="1" outlineLevel="1" x14ac:dyDescent="0.25">
      <c r="A255" s="288"/>
      <c r="B255" s="292"/>
      <c r="C255" s="192"/>
      <c r="D255" s="192"/>
      <c r="E255" s="192"/>
      <c r="F255" s="192"/>
      <c r="G255" s="192"/>
      <c r="H255" s="192"/>
      <c r="I255" s="192"/>
      <c r="J255" s="192"/>
      <c r="K255" s="192"/>
      <c r="L255" s="192"/>
      <c r="M255" s="192"/>
      <c r="N255" s="192"/>
      <c r="O255" s="192"/>
      <c r="P255" s="192"/>
      <c r="Q255" s="192"/>
      <c r="R255" s="308"/>
      <c r="S255" s="192"/>
      <c r="T255" s="192"/>
      <c r="U255" s="192"/>
      <c r="V255" s="192"/>
      <c r="W255" s="192"/>
      <c r="X255" s="192"/>
      <c r="Y255" s="192"/>
      <c r="Z255" s="192"/>
      <c r="AA255" s="192"/>
      <c r="AB255" s="192"/>
      <c r="AC255" s="192"/>
      <c r="AD255" s="309"/>
      <c r="AE255" s="309"/>
      <c r="AF255" s="309"/>
      <c r="AG255" s="309"/>
      <c r="AH255" s="309"/>
      <c r="AI255" s="309"/>
      <c r="AJ255" s="309"/>
      <c r="AK255" s="309"/>
      <c r="AL255" s="309"/>
      <c r="AM255" s="309"/>
      <c r="AN255" s="309"/>
      <c r="AO255" s="309"/>
      <c r="AP255" s="309"/>
      <c r="AQ255" s="309"/>
      <c r="AR255" s="309"/>
      <c r="AS255" s="308"/>
      <c r="AT255" s="309"/>
      <c r="AU255" s="309"/>
      <c r="AV255" s="309"/>
      <c r="AW255" s="309"/>
      <c r="AX255" s="309"/>
      <c r="AY255" s="309"/>
      <c r="AZ255" s="309"/>
      <c r="BA255" s="309"/>
      <c r="BB255" s="309"/>
      <c r="BC255" s="309"/>
      <c r="BD255" s="309"/>
    </row>
    <row r="256" spans="1:56" hidden="1" outlineLevel="1" x14ac:dyDescent="0.25">
      <c r="A256" s="288"/>
      <c r="B256" s="292"/>
      <c r="C256" s="192"/>
      <c r="D256" s="192"/>
      <c r="E256" s="192"/>
      <c r="F256" s="192"/>
      <c r="G256" s="192"/>
      <c r="H256" s="192"/>
      <c r="I256" s="192"/>
      <c r="J256" s="192"/>
      <c r="K256" s="192"/>
      <c r="L256" s="192"/>
      <c r="M256" s="192"/>
      <c r="N256" s="192"/>
      <c r="O256" s="192"/>
      <c r="P256" s="192"/>
      <c r="Q256" s="192"/>
      <c r="R256" s="308"/>
      <c r="S256" s="192"/>
      <c r="T256" s="192"/>
      <c r="U256" s="192"/>
      <c r="V256" s="192"/>
      <c r="W256" s="192"/>
      <c r="X256" s="192"/>
      <c r="Y256" s="192"/>
      <c r="Z256" s="192"/>
      <c r="AA256" s="192"/>
      <c r="AB256" s="192"/>
      <c r="AC256" s="192"/>
      <c r="AD256" s="309"/>
      <c r="AE256" s="309"/>
      <c r="AF256" s="309"/>
      <c r="AG256" s="309"/>
      <c r="AH256" s="309"/>
      <c r="AI256" s="309"/>
      <c r="AJ256" s="309"/>
      <c r="AK256" s="309"/>
      <c r="AL256" s="309"/>
      <c r="AM256" s="309"/>
      <c r="AN256" s="309"/>
      <c r="AO256" s="309"/>
      <c r="AP256" s="309"/>
      <c r="AQ256" s="309"/>
      <c r="AR256" s="309"/>
      <c r="AS256" s="308"/>
      <c r="AT256" s="309"/>
      <c r="AU256" s="309"/>
      <c r="AV256" s="309"/>
      <c r="AW256" s="309"/>
      <c r="AX256" s="309"/>
      <c r="AY256" s="309"/>
      <c r="AZ256" s="309"/>
      <c r="BA256" s="309"/>
      <c r="BB256" s="309"/>
      <c r="BC256" s="309"/>
      <c r="BD256" s="309"/>
    </row>
    <row r="257" spans="1:56" hidden="1" outlineLevel="1" x14ac:dyDescent="0.25">
      <c r="A257" s="288"/>
      <c r="B257" s="292"/>
      <c r="C257" s="192"/>
      <c r="D257" s="192"/>
      <c r="E257" s="192"/>
      <c r="F257" s="192"/>
      <c r="G257" s="192"/>
      <c r="H257" s="192"/>
      <c r="I257" s="192"/>
      <c r="J257" s="192"/>
      <c r="K257" s="192"/>
      <c r="L257" s="192"/>
      <c r="M257" s="192"/>
      <c r="N257" s="192"/>
      <c r="O257" s="192"/>
      <c r="P257" s="192"/>
      <c r="Q257" s="192"/>
      <c r="R257" s="308"/>
      <c r="S257" s="192"/>
      <c r="T257" s="192"/>
      <c r="U257" s="192"/>
      <c r="V257" s="192"/>
      <c r="W257" s="192"/>
      <c r="X257" s="192"/>
      <c r="Y257" s="192"/>
      <c r="Z257" s="192"/>
      <c r="AA257" s="192"/>
      <c r="AB257" s="192"/>
      <c r="AC257" s="192"/>
      <c r="AD257" s="309"/>
      <c r="AE257" s="309"/>
      <c r="AF257" s="309"/>
      <c r="AG257" s="309"/>
      <c r="AH257" s="309"/>
      <c r="AI257" s="309"/>
      <c r="AJ257" s="309"/>
      <c r="AK257" s="309"/>
      <c r="AL257" s="309"/>
      <c r="AM257" s="309"/>
      <c r="AN257" s="309"/>
      <c r="AO257" s="309"/>
      <c r="AP257" s="309"/>
      <c r="AQ257" s="309"/>
      <c r="AR257" s="309"/>
      <c r="AS257" s="308"/>
      <c r="AT257" s="309"/>
      <c r="AU257" s="309"/>
      <c r="AV257" s="309"/>
      <c r="AW257" s="309"/>
      <c r="AX257" s="309"/>
      <c r="AY257" s="309"/>
      <c r="AZ257" s="309"/>
      <c r="BA257" s="309"/>
      <c r="BB257" s="309"/>
      <c r="BC257" s="309"/>
      <c r="BD257" s="309"/>
    </row>
    <row r="258" spans="1:56" hidden="1" outlineLevel="1" x14ac:dyDescent="0.25">
      <c r="A258" s="288"/>
      <c r="B258" s="292"/>
      <c r="C258" s="192"/>
      <c r="D258" s="192"/>
      <c r="E258" s="192"/>
      <c r="F258" s="192"/>
      <c r="G258" s="192"/>
      <c r="H258" s="192"/>
      <c r="I258" s="192"/>
      <c r="J258" s="192"/>
      <c r="K258" s="192"/>
      <c r="L258" s="192"/>
      <c r="M258" s="192"/>
      <c r="N258" s="192"/>
      <c r="O258" s="192"/>
      <c r="P258" s="192"/>
      <c r="Q258" s="192"/>
      <c r="R258" s="308"/>
      <c r="S258" s="192"/>
      <c r="T258" s="192"/>
      <c r="U258" s="192"/>
      <c r="V258" s="192"/>
      <c r="W258" s="192"/>
      <c r="X258" s="192"/>
      <c r="Y258" s="192"/>
      <c r="Z258" s="192"/>
      <c r="AA258" s="192"/>
      <c r="AB258" s="192"/>
      <c r="AC258" s="192"/>
      <c r="AD258" s="309"/>
      <c r="AE258" s="309"/>
      <c r="AF258" s="309"/>
      <c r="AG258" s="309"/>
      <c r="AH258" s="309"/>
      <c r="AI258" s="309"/>
      <c r="AJ258" s="309"/>
      <c r="AK258" s="309"/>
      <c r="AL258" s="309"/>
      <c r="AM258" s="309"/>
      <c r="AN258" s="309"/>
      <c r="AO258" s="309"/>
      <c r="AP258" s="309"/>
      <c r="AQ258" s="309"/>
      <c r="AR258" s="309"/>
      <c r="AS258" s="308"/>
      <c r="AT258" s="309"/>
      <c r="AU258" s="309"/>
      <c r="AV258" s="309"/>
      <c r="AW258" s="309"/>
      <c r="AX258" s="309"/>
      <c r="AY258" s="309"/>
      <c r="AZ258" s="309"/>
      <c r="BA258" s="309"/>
      <c r="BB258" s="309"/>
      <c r="BC258" s="309"/>
      <c r="BD258" s="309"/>
    </row>
    <row r="259" spans="1:56" hidden="1" outlineLevel="1" x14ac:dyDescent="0.25">
      <c r="A259" s="288"/>
      <c r="B259" s="292"/>
      <c r="C259" s="192"/>
      <c r="D259" s="192"/>
      <c r="E259" s="192"/>
      <c r="F259" s="192"/>
      <c r="G259" s="192"/>
      <c r="H259" s="192"/>
      <c r="I259" s="192"/>
      <c r="J259" s="192"/>
      <c r="K259" s="192"/>
      <c r="L259" s="192"/>
      <c r="M259" s="192"/>
      <c r="N259" s="192"/>
      <c r="O259" s="192"/>
      <c r="P259" s="192"/>
      <c r="Q259" s="192"/>
      <c r="R259" s="308"/>
      <c r="S259" s="192"/>
      <c r="T259" s="192"/>
      <c r="U259" s="192"/>
      <c r="V259" s="192"/>
      <c r="W259" s="192"/>
      <c r="X259" s="192"/>
      <c r="Y259" s="192"/>
      <c r="Z259" s="192"/>
      <c r="AA259" s="192"/>
      <c r="AB259" s="192"/>
      <c r="AC259" s="192"/>
      <c r="AD259" s="309"/>
      <c r="AE259" s="309"/>
      <c r="AF259" s="309"/>
      <c r="AG259" s="309"/>
      <c r="AH259" s="309"/>
      <c r="AI259" s="309"/>
      <c r="AJ259" s="309"/>
      <c r="AK259" s="309"/>
      <c r="AL259" s="309"/>
      <c r="AM259" s="309"/>
      <c r="AN259" s="309"/>
      <c r="AO259" s="309"/>
      <c r="AP259" s="309"/>
      <c r="AQ259" s="309"/>
      <c r="AR259" s="309"/>
      <c r="AS259" s="308"/>
      <c r="AT259" s="309"/>
      <c r="AU259" s="309"/>
      <c r="AV259" s="309"/>
      <c r="AW259" s="309"/>
      <c r="AX259" s="309"/>
      <c r="AY259" s="309"/>
      <c r="AZ259" s="309"/>
      <c r="BA259" s="309"/>
      <c r="BB259" s="309"/>
      <c r="BC259" s="309"/>
      <c r="BD259" s="309"/>
    </row>
    <row r="260" spans="1:56" hidden="1" outlineLevel="1" x14ac:dyDescent="0.25">
      <c r="A260" s="288"/>
      <c r="B260" s="292"/>
      <c r="C260" s="192"/>
      <c r="D260" s="192"/>
      <c r="E260" s="192"/>
      <c r="F260" s="192"/>
      <c r="G260" s="192"/>
      <c r="H260" s="192"/>
      <c r="I260" s="192"/>
      <c r="J260" s="192"/>
      <c r="K260" s="192"/>
      <c r="L260" s="192"/>
      <c r="M260" s="192"/>
      <c r="N260" s="192"/>
      <c r="O260" s="192"/>
      <c r="P260" s="192"/>
      <c r="Q260" s="192"/>
      <c r="R260" s="308"/>
      <c r="S260" s="192"/>
      <c r="T260" s="192"/>
      <c r="U260" s="192"/>
      <c r="V260" s="192"/>
      <c r="W260" s="192"/>
      <c r="X260" s="192"/>
      <c r="Y260" s="192"/>
      <c r="Z260" s="192"/>
      <c r="AA260" s="192"/>
      <c r="AB260" s="192"/>
      <c r="AC260" s="192"/>
      <c r="AD260" s="309"/>
      <c r="AE260" s="309"/>
      <c r="AF260" s="309"/>
      <c r="AG260" s="309"/>
      <c r="AH260" s="309"/>
      <c r="AI260" s="309"/>
      <c r="AJ260" s="309"/>
      <c r="AK260" s="309"/>
      <c r="AL260" s="309"/>
      <c r="AM260" s="309"/>
      <c r="AN260" s="309"/>
      <c r="AO260" s="309"/>
      <c r="AP260" s="309"/>
      <c r="AQ260" s="309"/>
      <c r="AR260" s="309"/>
      <c r="AS260" s="308"/>
      <c r="AT260" s="309"/>
      <c r="AU260" s="309"/>
      <c r="AV260" s="309"/>
      <c r="AW260" s="309"/>
      <c r="AX260" s="309"/>
      <c r="AY260" s="309"/>
      <c r="AZ260" s="309"/>
      <c r="BA260" s="309"/>
      <c r="BB260" s="309"/>
      <c r="BC260" s="309"/>
      <c r="BD260" s="309"/>
    </row>
    <row r="261" spans="1:56" hidden="1" outlineLevel="1" x14ac:dyDescent="0.25">
      <c r="A261" s="288"/>
      <c r="B261" s="292"/>
      <c r="C261" s="192"/>
      <c r="D261" s="192"/>
      <c r="E261" s="192"/>
      <c r="F261" s="192"/>
      <c r="G261" s="192"/>
      <c r="H261" s="192"/>
      <c r="I261" s="192"/>
      <c r="J261" s="192"/>
      <c r="K261" s="192"/>
      <c r="L261" s="192"/>
      <c r="M261" s="192"/>
      <c r="N261" s="192"/>
      <c r="O261" s="192"/>
      <c r="P261" s="192"/>
      <c r="Q261" s="192"/>
      <c r="R261" s="308"/>
      <c r="S261" s="192"/>
      <c r="T261" s="192"/>
      <c r="U261" s="192"/>
      <c r="V261" s="192"/>
      <c r="W261" s="192"/>
      <c r="X261" s="192"/>
      <c r="Y261" s="192"/>
      <c r="Z261" s="192"/>
      <c r="AA261" s="192"/>
      <c r="AB261" s="192"/>
      <c r="AC261" s="192"/>
      <c r="AD261" s="309"/>
      <c r="AE261" s="309"/>
      <c r="AF261" s="309"/>
      <c r="AG261" s="309"/>
      <c r="AH261" s="309"/>
      <c r="AI261" s="309"/>
      <c r="AJ261" s="309"/>
      <c r="AK261" s="309"/>
      <c r="AL261" s="309"/>
      <c r="AM261" s="309"/>
      <c r="AN261" s="309"/>
      <c r="AO261" s="309"/>
      <c r="AP261" s="309"/>
      <c r="AQ261" s="309"/>
      <c r="AR261" s="309"/>
      <c r="AS261" s="308"/>
      <c r="AT261" s="309"/>
      <c r="AU261" s="309"/>
      <c r="AV261" s="309"/>
      <c r="AW261" s="309"/>
      <c r="AX261" s="309"/>
      <c r="AY261" s="309"/>
      <c r="AZ261" s="309"/>
      <c r="BA261" s="309"/>
      <c r="BB261" s="309"/>
      <c r="BC261" s="309"/>
      <c r="BD261" s="309"/>
    </row>
    <row r="262" spans="1:56" hidden="1" outlineLevel="1" x14ac:dyDescent="0.25">
      <c r="A262" s="288"/>
      <c r="B262" s="292"/>
      <c r="C262" s="192"/>
      <c r="D262" s="192"/>
      <c r="E262" s="192"/>
      <c r="F262" s="192"/>
      <c r="G262" s="192"/>
      <c r="H262" s="192"/>
      <c r="I262" s="192"/>
      <c r="J262" s="192"/>
      <c r="K262" s="192"/>
      <c r="L262" s="192"/>
      <c r="M262" s="192"/>
      <c r="N262" s="192"/>
      <c r="O262" s="192"/>
      <c r="P262" s="192"/>
      <c r="Q262" s="192"/>
      <c r="R262" s="308"/>
      <c r="S262" s="192"/>
      <c r="T262" s="192"/>
      <c r="U262" s="192"/>
      <c r="V262" s="192"/>
      <c r="W262" s="192"/>
      <c r="X262" s="192"/>
      <c r="Y262" s="192"/>
      <c r="Z262" s="192"/>
      <c r="AA262" s="192"/>
      <c r="AB262" s="192"/>
      <c r="AC262" s="192"/>
      <c r="AD262" s="309"/>
      <c r="AE262" s="309"/>
      <c r="AF262" s="309"/>
      <c r="AG262" s="309"/>
      <c r="AH262" s="309"/>
      <c r="AI262" s="309"/>
      <c r="AJ262" s="309"/>
      <c r="AK262" s="309"/>
      <c r="AL262" s="309"/>
      <c r="AM262" s="309"/>
      <c r="AN262" s="309"/>
      <c r="AO262" s="309"/>
      <c r="AP262" s="309"/>
      <c r="AQ262" s="309"/>
      <c r="AR262" s="309"/>
      <c r="AS262" s="308"/>
      <c r="AT262" s="309"/>
      <c r="AU262" s="309"/>
      <c r="AV262" s="309"/>
      <c r="AW262" s="309"/>
      <c r="AX262" s="309"/>
      <c r="AY262" s="309"/>
      <c r="AZ262" s="309"/>
      <c r="BA262" s="309"/>
      <c r="BB262" s="309"/>
      <c r="BC262" s="309"/>
      <c r="BD262" s="309"/>
    </row>
    <row r="263" spans="1:56" hidden="1" outlineLevel="1" x14ac:dyDescent="0.25">
      <c r="A263" s="288"/>
      <c r="B263" s="292"/>
      <c r="C263" s="192"/>
      <c r="D263" s="192"/>
      <c r="E263" s="192"/>
      <c r="F263" s="192"/>
      <c r="G263" s="192"/>
      <c r="H263" s="192"/>
      <c r="I263" s="192"/>
      <c r="J263" s="192"/>
      <c r="K263" s="192"/>
      <c r="L263" s="192"/>
      <c r="M263" s="192"/>
      <c r="N263" s="192"/>
      <c r="O263" s="192"/>
      <c r="P263" s="192"/>
      <c r="Q263" s="192"/>
      <c r="R263" s="308"/>
      <c r="S263" s="192"/>
      <c r="T263" s="192"/>
      <c r="U263" s="192"/>
      <c r="V263" s="192"/>
      <c r="W263" s="192"/>
      <c r="X263" s="192"/>
      <c r="Y263" s="192"/>
      <c r="Z263" s="192"/>
      <c r="AA263" s="192"/>
      <c r="AB263" s="192"/>
      <c r="AC263" s="192"/>
      <c r="AD263" s="309"/>
      <c r="AE263" s="309"/>
      <c r="AF263" s="309"/>
      <c r="AG263" s="309"/>
      <c r="AH263" s="309"/>
      <c r="AI263" s="309"/>
      <c r="AJ263" s="309"/>
      <c r="AK263" s="309"/>
      <c r="AL263" s="309"/>
      <c r="AM263" s="309"/>
      <c r="AN263" s="309"/>
      <c r="AO263" s="309"/>
      <c r="AP263" s="309"/>
      <c r="AQ263" s="309"/>
      <c r="AR263" s="309"/>
      <c r="AS263" s="308"/>
      <c r="AT263" s="309"/>
      <c r="AU263" s="309"/>
      <c r="AV263" s="309"/>
      <c r="AW263" s="309"/>
      <c r="AX263" s="309"/>
      <c r="AY263" s="309"/>
      <c r="AZ263" s="309"/>
      <c r="BA263" s="309"/>
      <c r="BB263" s="309"/>
      <c r="BC263" s="309"/>
      <c r="BD263" s="309"/>
    </row>
    <row r="264" spans="1:56" hidden="1" outlineLevel="1" x14ac:dyDescent="0.25">
      <c r="A264" s="288"/>
      <c r="B264" s="292"/>
      <c r="C264" s="192"/>
      <c r="D264" s="192"/>
      <c r="E264" s="192"/>
      <c r="F264" s="192"/>
      <c r="G264" s="192"/>
      <c r="H264" s="192"/>
      <c r="I264" s="192"/>
      <c r="J264" s="192"/>
      <c r="K264" s="192"/>
      <c r="L264" s="192"/>
      <c r="M264" s="192"/>
      <c r="N264" s="192"/>
      <c r="O264" s="192"/>
      <c r="P264" s="192"/>
      <c r="Q264" s="192"/>
      <c r="R264" s="308"/>
      <c r="S264" s="192"/>
      <c r="T264" s="192"/>
      <c r="U264" s="192"/>
      <c r="V264" s="192"/>
      <c r="W264" s="192"/>
      <c r="X264" s="192"/>
      <c r="Y264" s="192"/>
      <c r="Z264" s="192"/>
      <c r="AA264" s="192"/>
      <c r="AB264" s="192"/>
      <c r="AC264" s="192"/>
      <c r="AD264" s="309"/>
      <c r="AE264" s="309"/>
      <c r="AF264" s="309"/>
      <c r="AG264" s="309"/>
      <c r="AH264" s="309"/>
      <c r="AI264" s="309"/>
      <c r="AJ264" s="309"/>
      <c r="AK264" s="309"/>
      <c r="AL264" s="309"/>
      <c r="AM264" s="309"/>
      <c r="AN264" s="309"/>
      <c r="AO264" s="309"/>
      <c r="AP264" s="309"/>
      <c r="AQ264" s="309"/>
      <c r="AR264" s="309"/>
      <c r="AS264" s="308"/>
      <c r="AT264" s="309"/>
      <c r="AU264" s="309"/>
      <c r="AV264" s="309"/>
      <c r="AW264" s="309"/>
      <c r="AX264" s="309"/>
      <c r="AY264" s="309"/>
      <c r="AZ264" s="309"/>
      <c r="BA264" s="309"/>
      <c r="BB264" s="309"/>
      <c r="BC264" s="309"/>
      <c r="BD264" s="309"/>
    </row>
    <row r="265" spans="1:56" hidden="1" outlineLevel="1" x14ac:dyDescent="0.25">
      <c r="A265" s="288"/>
      <c r="B265" s="292"/>
      <c r="C265" s="192"/>
      <c r="D265" s="192"/>
      <c r="E265" s="192"/>
      <c r="F265" s="192"/>
      <c r="G265" s="192"/>
      <c r="H265" s="192"/>
      <c r="I265" s="192"/>
      <c r="J265" s="192"/>
      <c r="K265" s="192"/>
      <c r="L265" s="192"/>
      <c r="M265" s="192"/>
      <c r="N265" s="192"/>
      <c r="O265" s="192"/>
      <c r="P265" s="192"/>
      <c r="Q265" s="192"/>
      <c r="R265" s="308"/>
      <c r="S265" s="192"/>
      <c r="T265" s="192"/>
      <c r="U265" s="192"/>
      <c r="V265" s="192"/>
      <c r="W265" s="192"/>
      <c r="X265" s="192"/>
      <c r="Y265" s="192"/>
      <c r="Z265" s="192"/>
      <c r="AA265" s="192"/>
      <c r="AB265" s="192"/>
      <c r="AC265" s="192"/>
      <c r="AD265" s="309"/>
      <c r="AE265" s="309"/>
      <c r="AF265" s="309"/>
      <c r="AG265" s="309"/>
      <c r="AH265" s="309"/>
      <c r="AI265" s="309"/>
      <c r="AJ265" s="309"/>
      <c r="AK265" s="309"/>
      <c r="AL265" s="309"/>
      <c r="AM265" s="309"/>
      <c r="AN265" s="309"/>
      <c r="AO265" s="309"/>
      <c r="AP265" s="309"/>
      <c r="AQ265" s="309"/>
      <c r="AR265" s="309"/>
      <c r="AS265" s="308"/>
      <c r="AT265" s="309"/>
      <c r="AU265" s="309"/>
      <c r="AV265" s="309"/>
      <c r="AW265" s="309"/>
      <c r="AX265" s="309"/>
      <c r="AY265" s="309"/>
      <c r="AZ265" s="309"/>
      <c r="BA265" s="309"/>
      <c r="BB265" s="309"/>
      <c r="BC265" s="309"/>
      <c r="BD265" s="309"/>
    </row>
    <row r="266" spans="1:56" hidden="1" outlineLevel="1" x14ac:dyDescent="0.25">
      <c r="A266" s="288"/>
      <c r="B266" s="292"/>
      <c r="C266" s="192"/>
      <c r="D266" s="192"/>
      <c r="E266" s="192"/>
      <c r="F266" s="192"/>
      <c r="G266" s="192"/>
      <c r="H266" s="192"/>
      <c r="I266" s="192"/>
      <c r="J266" s="192"/>
      <c r="K266" s="192"/>
      <c r="L266" s="192"/>
      <c r="M266" s="192"/>
      <c r="N266" s="192"/>
      <c r="O266" s="192"/>
      <c r="P266" s="192"/>
      <c r="Q266" s="192"/>
      <c r="R266" s="308"/>
      <c r="S266" s="192"/>
      <c r="T266" s="192"/>
      <c r="U266" s="192"/>
      <c r="V266" s="192"/>
      <c r="W266" s="192"/>
      <c r="X266" s="192"/>
      <c r="Y266" s="192"/>
      <c r="Z266" s="192"/>
      <c r="AA266" s="192"/>
      <c r="AB266" s="192"/>
      <c r="AC266" s="192"/>
      <c r="AD266" s="309"/>
      <c r="AE266" s="309"/>
      <c r="AF266" s="309"/>
      <c r="AG266" s="309"/>
      <c r="AH266" s="309"/>
      <c r="AI266" s="309"/>
      <c r="AJ266" s="309"/>
      <c r="AK266" s="309"/>
      <c r="AL266" s="309"/>
      <c r="AM266" s="309"/>
      <c r="AN266" s="309"/>
      <c r="AO266" s="309"/>
      <c r="AP266" s="309"/>
      <c r="AQ266" s="309"/>
      <c r="AR266" s="309"/>
      <c r="AS266" s="308"/>
      <c r="AT266" s="309"/>
      <c r="AU266" s="309"/>
      <c r="AV266" s="309"/>
      <c r="AW266" s="309"/>
      <c r="AX266" s="309"/>
      <c r="AY266" s="309"/>
      <c r="AZ266" s="309"/>
      <c r="BA266" s="309"/>
      <c r="BB266" s="309"/>
      <c r="BC266" s="309"/>
      <c r="BD266" s="309"/>
    </row>
    <row r="267" spans="1:56" hidden="1" outlineLevel="1" x14ac:dyDescent="0.25">
      <c r="A267" s="288"/>
      <c r="B267" s="292"/>
      <c r="C267" s="192"/>
      <c r="D267" s="192"/>
      <c r="E267" s="192"/>
      <c r="F267" s="192"/>
      <c r="G267" s="192"/>
      <c r="H267" s="192"/>
      <c r="I267" s="192"/>
      <c r="J267" s="192"/>
      <c r="K267" s="192"/>
      <c r="L267" s="192"/>
      <c r="M267" s="192"/>
      <c r="N267" s="192"/>
      <c r="O267" s="192"/>
      <c r="P267" s="192"/>
      <c r="Q267" s="192"/>
      <c r="R267" s="308"/>
      <c r="S267" s="192"/>
      <c r="T267" s="192"/>
      <c r="U267" s="192"/>
      <c r="V267" s="192"/>
      <c r="W267" s="192"/>
      <c r="X267" s="192"/>
      <c r="Y267" s="192"/>
      <c r="Z267" s="192"/>
      <c r="AA267" s="192"/>
      <c r="AB267" s="192"/>
      <c r="AC267" s="192"/>
      <c r="AD267" s="309"/>
      <c r="AE267" s="309"/>
      <c r="AF267" s="309"/>
      <c r="AG267" s="309"/>
      <c r="AH267" s="309"/>
      <c r="AI267" s="309"/>
      <c r="AJ267" s="309"/>
      <c r="AK267" s="309"/>
      <c r="AL267" s="309"/>
      <c r="AM267" s="309"/>
      <c r="AN267" s="309"/>
      <c r="AO267" s="309"/>
      <c r="AP267" s="309"/>
      <c r="AQ267" s="309"/>
      <c r="AR267" s="309"/>
      <c r="AS267" s="308"/>
      <c r="AT267" s="309"/>
      <c r="AU267" s="309"/>
      <c r="AV267" s="309"/>
      <c r="AW267" s="309"/>
      <c r="AX267" s="309"/>
      <c r="AY267" s="309"/>
      <c r="AZ267" s="309"/>
      <c r="BA267" s="309"/>
      <c r="BB267" s="309"/>
      <c r="BC267" s="309"/>
      <c r="BD267" s="309"/>
    </row>
    <row r="268" spans="1:56" hidden="1" outlineLevel="1" x14ac:dyDescent="0.25">
      <c r="A268" s="288"/>
      <c r="B268" s="292"/>
      <c r="C268" s="192"/>
      <c r="D268" s="192"/>
      <c r="E268" s="192"/>
      <c r="F268" s="192"/>
      <c r="G268" s="192"/>
      <c r="H268" s="192"/>
      <c r="I268" s="192"/>
      <c r="J268" s="192"/>
      <c r="K268" s="192"/>
      <c r="L268" s="192"/>
      <c r="M268" s="192"/>
      <c r="N268" s="192"/>
      <c r="O268" s="192"/>
      <c r="P268" s="192"/>
      <c r="Q268" s="192"/>
      <c r="R268" s="308"/>
      <c r="S268" s="192"/>
      <c r="T268" s="192"/>
      <c r="U268" s="192"/>
      <c r="V268" s="192"/>
      <c r="W268" s="192"/>
      <c r="X268" s="192"/>
      <c r="Y268" s="192"/>
      <c r="Z268" s="192"/>
      <c r="AA268" s="192"/>
      <c r="AB268" s="192"/>
      <c r="AC268" s="192"/>
      <c r="AD268" s="309"/>
      <c r="AE268" s="309"/>
      <c r="AF268" s="309"/>
      <c r="AG268" s="309"/>
      <c r="AH268" s="309"/>
      <c r="AI268" s="309"/>
      <c r="AJ268" s="309"/>
      <c r="AK268" s="309"/>
      <c r="AL268" s="309"/>
      <c r="AM268" s="309"/>
      <c r="AN268" s="309"/>
      <c r="AO268" s="309"/>
      <c r="AP268" s="309"/>
      <c r="AQ268" s="309"/>
      <c r="AR268" s="309"/>
      <c r="AS268" s="308"/>
      <c r="AT268" s="309"/>
      <c r="AU268" s="309"/>
      <c r="AV268" s="309"/>
      <c r="AW268" s="309"/>
      <c r="AX268" s="309"/>
      <c r="AY268" s="309"/>
      <c r="AZ268" s="309"/>
      <c r="BA268" s="309"/>
      <c r="BB268" s="309"/>
      <c r="BC268" s="309"/>
      <c r="BD268" s="309"/>
    </row>
    <row r="269" spans="1:56" hidden="1" outlineLevel="1" x14ac:dyDescent="0.25">
      <c r="A269" s="288"/>
      <c r="B269" s="292"/>
      <c r="C269" s="192"/>
      <c r="D269" s="192"/>
      <c r="E269" s="192"/>
      <c r="F269" s="192"/>
      <c r="G269" s="192"/>
      <c r="H269" s="192"/>
      <c r="I269" s="192"/>
      <c r="J269" s="192"/>
      <c r="K269" s="192"/>
      <c r="L269" s="192"/>
      <c r="M269" s="192"/>
      <c r="N269" s="192"/>
      <c r="O269" s="192"/>
      <c r="P269" s="192"/>
      <c r="Q269" s="192"/>
      <c r="R269" s="308"/>
      <c r="S269" s="192"/>
      <c r="T269" s="192"/>
      <c r="U269" s="192"/>
      <c r="V269" s="192"/>
      <c r="W269" s="192"/>
      <c r="X269" s="192"/>
      <c r="Y269" s="192"/>
      <c r="Z269" s="192"/>
      <c r="AA269" s="192"/>
      <c r="AB269" s="192"/>
      <c r="AC269" s="192"/>
      <c r="AD269" s="309"/>
      <c r="AE269" s="309"/>
      <c r="AF269" s="309"/>
      <c r="AG269" s="309"/>
      <c r="AH269" s="309"/>
      <c r="AI269" s="309"/>
      <c r="AJ269" s="309"/>
      <c r="AK269" s="309"/>
      <c r="AL269" s="309"/>
      <c r="AM269" s="309"/>
      <c r="AN269" s="309"/>
      <c r="AO269" s="309"/>
      <c r="AP269" s="309"/>
      <c r="AQ269" s="309"/>
      <c r="AR269" s="309"/>
      <c r="AS269" s="308"/>
      <c r="AT269" s="309"/>
      <c r="AU269" s="309"/>
      <c r="AV269" s="309"/>
      <c r="AW269" s="309"/>
      <c r="AX269" s="309"/>
      <c r="AY269" s="309"/>
      <c r="AZ269" s="309"/>
      <c r="BA269" s="309"/>
      <c r="BB269" s="309"/>
      <c r="BC269" s="309"/>
      <c r="BD269" s="309"/>
    </row>
    <row r="270" spans="1:56" hidden="1" outlineLevel="1" x14ac:dyDescent="0.25">
      <c r="A270" s="288"/>
      <c r="B270" s="292"/>
      <c r="C270" s="192"/>
      <c r="D270" s="192"/>
      <c r="E270" s="192"/>
      <c r="F270" s="192"/>
      <c r="G270" s="192"/>
      <c r="H270" s="192"/>
      <c r="I270" s="192"/>
      <c r="J270" s="192"/>
      <c r="K270" s="192"/>
      <c r="L270" s="192"/>
      <c r="M270" s="192"/>
      <c r="N270" s="192"/>
      <c r="O270" s="192"/>
      <c r="P270" s="192"/>
      <c r="Q270" s="192"/>
      <c r="R270" s="308"/>
      <c r="S270" s="192"/>
      <c r="T270" s="192"/>
      <c r="U270" s="192"/>
      <c r="V270" s="192"/>
      <c r="W270" s="192"/>
      <c r="X270" s="192"/>
      <c r="Y270" s="192"/>
      <c r="Z270" s="192"/>
      <c r="AA270" s="192"/>
      <c r="AB270" s="192"/>
      <c r="AC270" s="192"/>
      <c r="AD270" s="309"/>
      <c r="AE270" s="309"/>
      <c r="AF270" s="309"/>
      <c r="AG270" s="309"/>
      <c r="AH270" s="309"/>
      <c r="AI270" s="309"/>
      <c r="AJ270" s="309"/>
      <c r="AK270" s="309"/>
      <c r="AL270" s="309"/>
      <c r="AM270" s="309"/>
      <c r="AN270" s="309"/>
      <c r="AO270" s="309"/>
      <c r="AP270" s="309"/>
      <c r="AQ270" s="309"/>
      <c r="AR270" s="309"/>
      <c r="AS270" s="308"/>
      <c r="AT270" s="309"/>
      <c r="AU270" s="309"/>
      <c r="AV270" s="309"/>
      <c r="AW270" s="309"/>
      <c r="AX270" s="309"/>
      <c r="AY270" s="309"/>
      <c r="AZ270" s="309"/>
      <c r="BA270" s="309"/>
      <c r="BB270" s="309"/>
      <c r="BC270" s="309"/>
      <c r="BD270" s="309"/>
    </row>
    <row r="271" spans="1:56" hidden="1" outlineLevel="1" x14ac:dyDescent="0.25">
      <c r="A271" s="288"/>
      <c r="B271" s="292"/>
      <c r="C271" s="192"/>
      <c r="D271" s="192"/>
      <c r="E271" s="192"/>
      <c r="F271" s="192"/>
      <c r="G271" s="192"/>
      <c r="H271" s="192"/>
      <c r="I271" s="192"/>
      <c r="J271" s="192"/>
      <c r="K271" s="192"/>
      <c r="L271" s="192"/>
      <c r="M271" s="192"/>
      <c r="N271" s="192"/>
      <c r="O271" s="192"/>
      <c r="P271" s="192"/>
      <c r="Q271" s="192"/>
      <c r="R271" s="308"/>
      <c r="S271" s="192"/>
      <c r="T271" s="192"/>
      <c r="U271" s="192"/>
      <c r="V271" s="192"/>
      <c r="W271" s="192"/>
      <c r="X271" s="192"/>
      <c r="Y271" s="192"/>
      <c r="Z271" s="192"/>
      <c r="AA271" s="192"/>
      <c r="AB271" s="192"/>
      <c r="AC271" s="192"/>
      <c r="AD271" s="309"/>
      <c r="AE271" s="309"/>
      <c r="AF271" s="309"/>
      <c r="AG271" s="309"/>
      <c r="AH271" s="309"/>
      <c r="AI271" s="309"/>
      <c r="AJ271" s="309"/>
      <c r="AK271" s="309"/>
      <c r="AL271" s="309"/>
      <c r="AM271" s="309"/>
      <c r="AN271" s="309"/>
      <c r="AO271" s="309"/>
      <c r="AP271" s="309"/>
      <c r="AQ271" s="309"/>
      <c r="AR271" s="309"/>
      <c r="AS271" s="308"/>
      <c r="AT271" s="309"/>
      <c r="AU271" s="309"/>
      <c r="AV271" s="309"/>
      <c r="AW271" s="309"/>
      <c r="AX271" s="309"/>
      <c r="AY271" s="309"/>
      <c r="AZ271" s="309"/>
      <c r="BA271" s="309"/>
      <c r="BB271" s="309"/>
      <c r="BC271" s="309"/>
      <c r="BD271" s="309"/>
    </row>
    <row r="272" spans="1:56" hidden="1" outlineLevel="1" x14ac:dyDescent="0.25">
      <c r="A272" s="288"/>
      <c r="B272" s="293"/>
      <c r="C272" s="193"/>
      <c r="D272" s="193"/>
      <c r="E272" s="193"/>
      <c r="F272" s="193"/>
      <c r="G272" s="193"/>
      <c r="H272" s="193"/>
      <c r="I272" s="193"/>
      <c r="J272" s="193"/>
      <c r="K272" s="193"/>
      <c r="L272" s="193"/>
      <c r="M272" s="193"/>
      <c r="N272" s="193"/>
      <c r="O272" s="193"/>
      <c r="P272" s="193"/>
      <c r="Q272" s="193"/>
      <c r="R272" s="310"/>
      <c r="S272" s="193"/>
      <c r="T272" s="193"/>
      <c r="U272" s="193"/>
      <c r="V272" s="193"/>
      <c r="W272" s="193"/>
      <c r="X272" s="193"/>
      <c r="Y272" s="193"/>
      <c r="Z272" s="193"/>
      <c r="AA272" s="193"/>
      <c r="AB272" s="193"/>
      <c r="AC272" s="193"/>
      <c r="AD272" s="311"/>
      <c r="AE272" s="311"/>
      <c r="AF272" s="311"/>
      <c r="AG272" s="311"/>
      <c r="AH272" s="311"/>
      <c r="AI272" s="311"/>
      <c r="AJ272" s="311"/>
      <c r="AK272" s="311"/>
      <c r="AL272" s="311"/>
      <c r="AM272" s="311"/>
      <c r="AN272" s="311"/>
      <c r="AO272" s="311"/>
      <c r="AP272" s="311"/>
      <c r="AQ272" s="311"/>
      <c r="AR272" s="311"/>
      <c r="AS272" s="310"/>
      <c r="AT272" s="311"/>
      <c r="AU272" s="311"/>
      <c r="AV272" s="311"/>
      <c r="AW272" s="311"/>
      <c r="AX272" s="311"/>
      <c r="AY272" s="311"/>
      <c r="AZ272" s="311"/>
      <c r="BA272" s="311"/>
      <c r="BB272" s="311"/>
      <c r="BC272" s="311"/>
      <c r="BD272" s="311"/>
    </row>
    <row r="273" spans="1:56" hidden="1" outlineLevel="1" x14ac:dyDescent="0.25">
      <c r="A273" s="288"/>
      <c r="B273" s="293"/>
      <c r="C273" s="193"/>
      <c r="D273" s="193"/>
      <c r="E273" s="193"/>
      <c r="F273" s="193"/>
      <c r="G273" s="193"/>
      <c r="H273" s="193"/>
      <c r="I273" s="193"/>
      <c r="J273" s="193"/>
      <c r="K273" s="193"/>
      <c r="L273" s="193"/>
      <c r="M273" s="193"/>
      <c r="N273" s="193"/>
      <c r="O273" s="193"/>
      <c r="P273" s="193"/>
      <c r="Q273" s="193"/>
      <c r="R273" s="310"/>
      <c r="S273" s="193"/>
      <c r="T273" s="193"/>
      <c r="U273" s="193"/>
      <c r="V273" s="193"/>
      <c r="W273" s="193"/>
      <c r="X273" s="193"/>
      <c r="Y273" s="193"/>
      <c r="Z273" s="193"/>
      <c r="AA273" s="193"/>
      <c r="AB273" s="193"/>
      <c r="AC273" s="193"/>
      <c r="AD273" s="311"/>
      <c r="AE273" s="311"/>
      <c r="AF273" s="311"/>
      <c r="AG273" s="311"/>
      <c r="AH273" s="311"/>
      <c r="AI273" s="311"/>
      <c r="AJ273" s="311"/>
      <c r="AK273" s="311"/>
      <c r="AL273" s="311"/>
      <c r="AM273" s="311"/>
      <c r="AN273" s="311"/>
      <c r="AO273" s="311"/>
      <c r="AP273" s="311"/>
      <c r="AQ273" s="311"/>
      <c r="AR273" s="311"/>
      <c r="AS273" s="310"/>
      <c r="AT273" s="311"/>
      <c r="AU273" s="311"/>
      <c r="AV273" s="311"/>
      <c r="AW273" s="311"/>
      <c r="AX273" s="311"/>
      <c r="AY273" s="311"/>
      <c r="AZ273" s="311"/>
      <c r="BA273" s="311"/>
      <c r="BB273" s="311"/>
      <c r="BC273" s="311"/>
      <c r="BD273" s="311"/>
    </row>
    <row r="274" spans="1:56" hidden="1" outlineLevel="1" x14ac:dyDescent="0.25">
      <c r="A274" s="288"/>
      <c r="B274" s="293"/>
      <c r="C274" s="193"/>
      <c r="D274" s="193"/>
      <c r="E274" s="193"/>
      <c r="F274" s="193"/>
      <c r="G274" s="193"/>
      <c r="H274" s="193"/>
      <c r="I274" s="193"/>
      <c r="J274" s="193"/>
      <c r="K274" s="193"/>
      <c r="L274" s="193"/>
      <c r="M274" s="193"/>
      <c r="N274" s="193"/>
      <c r="O274" s="193"/>
      <c r="P274" s="193"/>
      <c r="Q274" s="193"/>
      <c r="R274" s="310"/>
      <c r="S274" s="193"/>
      <c r="T274" s="193"/>
      <c r="U274" s="193"/>
      <c r="V274" s="193"/>
      <c r="W274" s="193"/>
      <c r="X274" s="193"/>
      <c r="Y274" s="193"/>
      <c r="Z274" s="193"/>
      <c r="AA274" s="193"/>
      <c r="AB274" s="193"/>
      <c r="AC274" s="193"/>
      <c r="AD274" s="311"/>
      <c r="AE274" s="311"/>
      <c r="AF274" s="311"/>
      <c r="AG274" s="311"/>
      <c r="AH274" s="311"/>
      <c r="AI274" s="311"/>
      <c r="AJ274" s="311"/>
      <c r="AK274" s="311"/>
      <c r="AL274" s="311"/>
      <c r="AM274" s="311"/>
      <c r="AN274" s="311"/>
      <c r="AO274" s="311"/>
      <c r="AP274" s="311"/>
      <c r="AQ274" s="311"/>
      <c r="AR274" s="311"/>
      <c r="AS274" s="310"/>
      <c r="AT274" s="311"/>
      <c r="AU274" s="311"/>
      <c r="AV274" s="311"/>
      <c r="AW274" s="311"/>
      <c r="AX274" s="311"/>
      <c r="AY274" s="311"/>
      <c r="AZ274" s="311"/>
      <c r="BA274" s="311"/>
      <c r="BB274" s="311"/>
      <c r="BC274" s="311"/>
      <c r="BD274" s="311"/>
    </row>
    <row r="275" spans="1:56" hidden="1" outlineLevel="1" x14ac:dyDescent="0.25">
      <c r="A275" s="288"/>
      <c r="B275" s="293"/>
      <c r="C275" s="193"/>
      <c r="D275" s="193"/>
      <c r="E275" s="193"/>
      <c r="F275" s="193"/>
      <c r="G275" s="193"/>
      <c r="H275" s="193"/>
      <c r="I275" s="193"/>
      <c r="J275" s="193"/>
      <c r="K275" s="193"/>
      <c r="L275" s="193"/>
      <c r="M275" s="193"/>
      <c r="N275" s="193"/>
      <c r="O275" s="193"/>
      <c r="P275" s="193"/>
      <c r="Q275" s="193"/>
      <c r="R275" s="310"/>
      <c r="S275" s="193"/>
      <c r="T275" s="193"/>
      <c r="U275" s="193"/>
      <c r="V275" s="193"/>
      <c r="W275" s="193"/>
      <c r="X275" s="193"/>
      <c r="Y275" s="193"/>
      <c r="Z275" s="193"/>
      <c r="AA275" s="193"/>
      <c r="AB275" s="193"/>
      <c r="AC275" s="193"/>
      <c r="AD275" s="311"/>
      <c r="AE275" s="311"/>
      <c r="AF275" s="311"/>
      <c r="AG275" s="311"/>
      <c r="AH275" s="311"/>
      <c r="AI275" s="311"/>
      <c r="AJ275" s="311"/>
      <c r="AK275" s="311"/>
      <c r="AL275" s="311"/>
      <c r="AM275" s="311"/>
      <c r="AN275" s="311"/>
      <c r="AO275" s="311"/>
      <c r="AP275" s="311"/>
      <c r="AQ275" s="311"/>
      <c r="AR275" s="311"/>
      <c r="AS275" s="310"/>
      <c r="AT275" s="311"/>
      <c r="AU275" s="311"/>
      <c r="AV275" s="311"/>
      <c r="AW275" s="311"/>
      <c r="AX275" s="311"/>
      <c r="AY275" s="311"/>
      <c r="AZ275" s="311"/>
      <c r="BA275" s="311"/>
      <c r="BB275" s="311"/>
      <c r="BC275" s="311"/>
      <c r="BD275" s="311"/>
    </row>
    <row r="276" spans="1:56" hidden="1" outlineLevel="1" x14ac:dyDescent="0.25">
      <c r="A276" s="288"/>
      <c r="B276" s="292"/>
      <c r="C276" s="192"/>
      <c r="D276" s="192"/>
      <c r="E276" s="192"/>
      <c r="F276" s="192"/>
      <c r="G276" s="192"/>
      <c r="H276" s="192"/>
      <c r="I276" s="192"/>
      <c r="J276" s="192"/>
      <c r="K276" s="192"/>
      <c r="L276" s="192"/>
      <c r="M276" s="192"/>
      <c r="N276" s="192"/>
      <c r="O276" s="192"/>
      <c r="P276" s="192"/>
      <c r="Q276" s="192"/>
      <c r="R276" s="308"/>
      <c r="S276" s="192"/>
      <c r="T276" s="192"/>
      <c r="U276" s="192"/>
      <c r="V276" s="192"/>
      <c r="W276" s="192"/>
      <c r="X276" s="192"/>
      <c r="Y276" s="192"/>
      <c r="Z276" s="192"/>
      <c r="AA276" s="192"/>
      <c r="AB276" s="192"/>
      <c r="AC276" s="192"/>
      <c r="AD276" s="309"/>
      <c r="AE276" s="309"/>
      <c r="AF276" s="309"/>
      <c r="AG276" s="309"/>
      <c r="AH276" s="309"/>
      <c r="AI276" s="309"/>
      <c r="AJ276" s="309"/>
      <c r="AK276" s="309"/>
      <c r="AL276" s="309"/>
      <c r="AM276" s="309"/>
      <c r="AN276" s="309"/>
      <c r="AO276" s="309"/>
      <c r="AP276" s="309"/>
      <c r="AQ276" s="309"/>
      <c r="AR276" s="309"/>
      <c r="AS276" s="308"/>
      <c r="AT276" s="309"/>
      <c r="AU276" s="309"/>
      <c r="AV276" s="309"/>
      <c r="AW276" s="309"/>
      <c r="AX276" s="309"/>
      <c r="AY276" s="309"/>
      <c r="AZ276" s="309"/>
      <c r="BA276" s="309"/>
      <c r="BB276" s="309"/>
      <c r="BC276" s="309"/>
      <c r="BD276" s="309"/>
    </row>
    <row r="277" spans="1:56" hidden="1" outlineLevel="1" x14ac:dyDescent="0.25">
      <c r="A277" s="288"/>
      <c r="B277" s="292"/>
      <c r="C277" s="192"/>
      <c r="D277" s="192"/>
      <c r="E277" s="192"/>
      <c r="F277" s="192"/>
      <c r="G277" s="192"/>
      <c r="H277" s="192"/>
      <c r="I277" s="192"/>
      <c r="J277" s="192"/>
      <c r="K277" s="192"/>
      <c r="L277" s="192"/>
      <c r="M277" s="192"/>
      <c r="N277" s="192"/>
      <c r="O277" s="192"/>
      <c r="P277" s="192"/>
      <c r="Q277" s="192"/>
      <c r="R277" s="308"/>
      <c r="S277" s="192"/>
      <c r="T277" s="192"/>
      <c r="U277" s="192"/>
      <c r="V277" s="192"/>
      <c r="W277" s="192"/>
      <c r="X277" s="192"/>
      <c r="Y277" s="192"/>
      <c r="Z277" s="192"/>
      <c r="AA277" s="192"/>
      <c r="AB277" s="192"/>
      <c r="AC277" s="192"/>
      <c r="AD277" s="309"/>
      <c r="AE277" s="309"/>
      <c r="AF277" s="309"/>
      <c r="AG277" s="309"/>
      <c r="AH277" s="309"/>
      <c r="AI277" s="309"/>
      <c r="AJ277" s="309"/>
      <c r="AK277" s="309"/>
      <c r="AL277" s="309"/>
      <c r="AM277" s="309"/>
      <c r="AN277" s="309"/>
      <c r="AO277" s="309"/>
      <c r="AP277" s="309"/>
      <c r="AQ277" s="309"/>
      <c r="AR277" s="309"/>
      <c r="AS277" s="308"/>
      <c r="AT277" s="309"/>
      <c r="AU277" s="309"/>
      <c r="AV277" s="309"/>
      <c r="AW277" s="309"/>
      <c r="AX277" s="309"/>
      <c r="AY277" s="309"/>
      <c r="AZ277" s="309"/>
      <c r="BA277" s="309"/>
      <c r="BB277" s="309"/>
      <c r="BC277" s="309"/>
      <c r="BD277" s="309"/>
    </row>
    <row r="278" spans="1:56" hidden="1" outlineLevel="1" x14ac:dyDescent="0.25">
      <c r="A278" s="288"/>
      <c r="B278" s="292"/>
      <c r="C278" s="192"/>
      <c r="D278" s="192"/>
      <c r="E278" s="192"/>
      <c r="F278" s="192"/>
      <c r="G278" s="192"/>
      <c r="H278" s="192"/>
      <c r="I278" s="192"/>
      <c r="J278" s="192"/>
      <c r="K278" s="192"/>
      <c r="L278" s="192"/>
      <c r="M278" s="192"/>
      <c r="N278" s="192"/>
      <c r="O278" s="192"/>
      <c r="P278" s="192"/>
      <c r="Q278" s="192"/>
      <c r="R278" s="308"/>
      <c r="S278" s="192"/>
      <c r="T278" s="192"/>
      <c r="U278" s="192"/>
      <c r="V278" s="192"/>
      <c r="W278" s="192"/>
      <c r="X278" s="192"/>
      <c r="Y278" s="192"/>
      <c r="Z278" s="192"/>
      <c r="AA278" s="192"/>
      <c r="AB278" s="192"/>
      <c r="AC278" s="192"/>
      <c r="AD278" s="309"/>
      <c r="AE278" s="309"/>
      <c r="AF278" s="309"/>
      <c r="AG278" s="309"/>
      <c r="AH278" s="309"/>
      <c r="AI278" s="309"/>
      <c r="AJ278" s="309"/>
      <c r="AK278" s="309"/>
      <c r="AL278" s="309"/>
      <c r="AM278" s="309"/>
      <c r="AN278" s="309"/>
      <c r="AO278" s="309"/>
      <c r="AP278" s="309"/>
      <c r="AQ278" s="309"/>
      <c r="AR278" s="309"/>
      <c r="AS278" s="308"/>
      <c r="AT278" s="309"/>
      <c r="AU278" s="309"/>
      <c r="AV278" s="309"/>
      <c r="AW278" s="309"/>
      <c r="AX278" s="309"/>
      <c r="AY278" s="309"/>
      <c r="AZ278" s="309"/>
      <c r="BA278" s="309"/>
      <c r="BB278" s="309"/>
      <c r="BC278" s="309"/>
      <c r="BD278" s="309"/>
    </row>
    <row r="279" spans="1:56" hidden="1" outlineLevel="1" x14ac:dyDescent="0.25">
      <c r="A279" s="288"/>
      <c r="B279" s="292"/>
      <c r="C279" s="192"/>
      <c r="D279" s="192"/>
      <c r="E279" s="192"/>
      <c r="F279" s="192"/>
      <c r="G279" s="192"/>
      <c r="H279" s="192"/>
      <c r="I279" s="192"/>
      <c r="J279" s="192"/>
      <c r="K279" s="192"/>
      <c r="L279" s="192"/>
      <c r="M279" s="192"/>
      <c r="N279" s="192"/>
      <c r="O279" s="192"/>
      <c r="P279" s="192"/>
      <c r="Q279" s="192"/>
      <c r="R279" s="308"/>
      <c r="S279" s="192"/>
      <c r="T279" s="192"/>
      <c r="U279" s="192"/>
      <c r="V279" s="192"/>
      <c r="W279" s="192"/>
      <c r="X279" s="192"/>
      <c r="Y279" s="192"/>
      <c r="Z279" s="192"/>
      <c r="AA279" s="192"/>
      <c r="AB279" s="192"/>
      <c r="AC279" s="192"/>
      <c r="AD279" s="309"/>
      <c r="AE279" s="309"/>
      <c r="AF279" s="309"/>
      <c r="AG279" s="309"/>
      <c r="AH279" s="309"/>
      <c r="AI279" s="309"/>
      <c r="AJ279" s="309"/>
      <c r="AK279" s="309"/>
      <c r="AL279" s="309"/>
      <c r="AM279" s="309"/>
      <c r="AN279" s="309"/>
      <c r="AO279" s="309"/>
      <c r="AP279" s="309"/>
      <c r="AQ279" s="309"/>
      <c r="AR279" s="309"/>
      <c r="AS279" s="308"/>
      <c r="AT279" s="309"/>
      <c r="AU279" s="309"/>
      <c r="AV279" s="309"/>
      <c r="AW279" s="309"/>
      <c r="AX279" s="309"/>
      <c r="AY279" s="309"/>
      <c r="AZ279" s="309"/>
      <c r="BA279" s="309"/>
      <c r="BB279" s="309"/>
      <c r="BC279" s="309"/>
      <c r="BD279" s="309"/>
    </row>
    <row r="280" spans="1:56" hidden="1" outlineLevel="1" x14ac:dyDescent="0.25">
      <c r="A280" s="288"/>
      <c r="B280" s="292"/>
      <c r="C280" s="192"/>
      <c r="D280" s="192"/>
      <c r="E280" s="192"/>
      <c r="F280" s="192"/>
      <c r="G280" s="192"/>
      <c r="H280" s="192"/>
      <c r="I280" s="192"/>
      <c r="J280" s="192"/>
      <c r="K280" s="192"/>
      <c r="L280" s="192"/>
      <c r="M280" s="192"/>
      <c r="N280" s="192"/>
      <c r="O280" s="192"/>
      <c r="P280" s="192"/>
      <c r="Q280" s="192"/>
      <c r="R280" s="308"/>
      <c r="S280" s="192"/>
      <c r="T280" s="192"/>
      <c r="U280" s="192"/>
      <c r="V280" s="192"/>
      <c r="W280" s="192"/>
      <c r="X280" s="192"/>
      <c r="Y280" s="192"/>
      <c r="Z280" s="192"/>
      <c r="AA280" s="192"/>
      <c r="AB280" s="192"/>
      <c r="AC280" s="192"/>
      <c r="AD280" s="309"/>
      <c r="AE280" s="309"/>
      <c r="AF280" s="309"/>
      <c r="AG280" s="309"/>
      <c r="AH280" s="309"/>
      <c r="AI280" s="309"/>
      <c r="AJ280" s="309"/>
      <c r="AK280" s="309"/>
      <c r="AL280" s="309"/>
      <c r="AM280" s="309"/>
      <c r="AN280" s="309"/>
      <c r="AO280" s="309"/>
      <c r="AP280" s="309"/>
      <c r="AQ280" s="309"/>
      <c r="AR280" s="309"/>
      <c r="AS280" s="308"/>
      <c r="AT280" s="309"/>
      <c r="AU280" s="309"/>
      <c r="AV280" s="309"/>
      <c r="AW280" s="309"/>
      <c r="AX280" s="309"/>
      <c r="AY280" s="309"/>
      <c r="AZ280" s="309"/>
      <c r="BA280" s="309"/>
      <c r="BB280" s="309"/>
      <c r="BC280" s="309"/>
      <c r="BD280" s="309"/>
    </row>
    <row r="281" spans="1:56" hidden="1" outlineLevel="1" x14ac:dyDescent="0.25">
      <c r="A281" s="288"/>
      <c r="B281" s="292"/>
      <c r="C281" s="192"/>
      <c r="D281" s="192"/>
      <c r="E281" s="192"/>
      <c r="F281" s="192"/>
      <c r="G281" s="192"/>
      <c r="H281" s="192"/>
      <c r="I281" s="192"/>
      <c r="J281" s="192"/>
      <c r="K281" s="192"/>
      <c r="L281" s="192"/>
      <c r="M281" s="192"/>
      <c r="N281" s="192"/>
      <c r="O281" s="192"/>
      <c r="P281" s="192"/>
      <c r="Q281" s="192"/>
      <c r="R281" s="308"/>
      <c r="S281" s="192"/>
      <c r="T281" s="192"/>
      <c r="U281" s="192"/>
      <c r="V281" s="192"/>
      <c r="W281" s="192"/>
      <c r="X281" s="192"/>
      <c r="Y281" s="192"/>
      <c r="Z281" s="192"/>
      <c r="AA281" s="192"/>
      <c r="AB281" s="192"/>
      <c r="AC281" s="192"/>
      <c r="AD281" s="309"/>
      <c r="AE281" s="309"/>
      <c r="AF281" s="309"/>
      <c r="AG281" s="309"/>
      <c r="AH281" s="309"/>
      <c r="AI281" s="309"/>
      <c r="AJ281" s="309"/>
      <c r="AK281" s="309"/>
      <c r="AL281" s="309"/>
      <c r="AM281" s="309"/>
      <c r="AN281" s="309"/>
      <c r="AO281" s="309"/>
      <c r="AP281" s="309"/>
      <c r="AQ281" s="309"/>
      <c r="AR281" s="309"/>
      <c r="AS281" s="308"/>
      <c r="AT281" s="309"/>
      <c r="AU281" s="309"/>
      <c r="AV281" s="309"/>
      <c r="AW281" s="309"/>
      <c r="AX281" s="309"/>
      <c r="AY281" s="309"/>
      <c r="AZ281" s="309"/>
      <c r="BA281" s="309"/>
      <c r="BB281" s="309"/>
      <c r="BC281" s="309"/>
      <c r="BD281" s="309"/>
    </row>
    <row r="282" spans="1:56" hidden="1" outlineLevel="1" x14ac:dyDescent="0.25">
      <c r="A282" s="288"/>
      <c r="B282" s="292"/>
      <c r="C282" s="192"/>
      <c r="D282" s="192"/>
      <c r="E282" s="192"/>
      <c r="F282" s="192"/>
      <c r="G282" s="192"/>
      <c r="H282" s="192"/>
      <c r="I282" s="192"/>
      <c r="J282" s="192"/>
      <c r="K282" s="192"/>
      <c r="L282" s="192"/>
      <c r="M282" s="192"/>
      <c r="N282" s="192"/>
      <c r="O282" s="192"/>
      <c r="P282" s="192"/>
      <c r="Q282" s="192"/>
      <c r="R282" s="308"/>
      <c r="S282" s="192"/>
      <c r="T282" s="192"/>
      <c r="U282" s="192"/>
      <c r="V282" s="192"/>
      <c r="W282" s="192"/>
      <c r="X282" s="192"/>
      <c r="Y282" s="192"/>
      <c r="Z282" s="192"/>
      <c r="AA282" s="192"/>
      <c r="AB282" s="192"/>
      <c r="AC282" s="192"/>
      <c r="AD282" s="309"/>
      <c r="AE282" s="309"/>
      <c r="AF282" s="309"/>
      <c r="AG282" s="309"/>
      <c r="AH282" s="309"/>
      <c r="AI282" s="309"/>
      <c r="AJ282" s="309"/>
      <c r="AK282" s="309"/>
      <c r="AL282" s="309"/>
      <c r="AM282" s="309"/>
      <c r="AN282" s="309"/>
      <c r="AO282" s="309"/>
      <c r="AP282" s="309"/>
      <c r="AQ282" s="309"/>
      <c r="AR282" s="309"/>
      <c r="AS282" s="308"/>
      <c r="AT282" s="309"/>
      <c r="AU282" s="309"/>
      <c r="AV282" s="309"/>
      <c r="AW282" s="309"/>
      <c r="AX282" s="309"/>
      <c r="AY282" s="309"/>
      <c r="AZ282" s="309"/>
      <c r="BA282" s="309"/>
      <c r="BB282" s="309"/>
      <c r="BC282" s="309"/>
      <c r="BD282" s="309"/>
    </row>
    <row r="283" spans="1:56" hidden="1" outlineLevel="1" x14ac:dyDescent="0.25">
      <c r="A283" s="288"/>
      <c r="B283" s="292"/>
      <c r="C283" s="192"/>
      <c r="D283" s="192"/>
      <c r="E283" s="192"/>
      <c r="F283" s="192"/>
      <c r="G283" s="192"/>
      <c r="H283" s="192"/>
      <c r="I283" s="192"/>
      <c r="J283" s="192"/>
      <c r="K283" s="192"/>
      <c r="L283" s="192"/>
      <c r="M283" s="192"/>
      <c r="N283" s="192"/>
      <c r="O283" s="192"/>
      <c r="P283" s="192"/>
      <c r="Q283" s="192"/>
      <c r="R283" s="308"/>
      <c r="S283" s="192"/>
      <c r="T283" s="192"/>
      <c r="U283" s="192"/>
      <c r="V283" s="192"/>
      <c r="W283" s="192"/>
      <c r="X283" s="192"/>
      <c r="Y283" s="192"/>
      <c r="Z283" s="192"/>
      <c r="AA283" s="192"/>
      <c r="AB283" s="192"/>
      <c r="AC283" s="192"/>
      <c r="AD283" s="309"/>
      <c r="AE283" s="309"/>
      <c r="AF283" s="309"/>
      <c r="AG283" s="309"/>
      <c r="AH283" s="309"/>
      <c r="AI283" s="309"/>
      <c r="AJ283" s="309"/>
      <c r="AK283" s="309"/>
      <c r="AL283" s="309"/>
      <c r="AM283" s="309"/>
      <c r="AN283" s="309"/>
      <c r="AO283" s="309"/>
      <c r="AP283" s="309"/>
      <c r="AQ283" s="309"/>
      <c r="AR283" s="309"/>
      <c r="AS283" s="308"/>
      <c r="AT283" s="309"/>
      <c r="AU283" s="309"/>
      <c r="AV283" s="309"/>
      <c r="AW283" s="309"/>
      <c r="AX283" s="309"/>
      <c r="AY283" s="309"/>
      <c r="AZ283" s="309"/>
      <c r="BA283" s="309"/>
      <c r="BB283" s="309"/>
      <c r="BC283" s="309"/>
      <c r="BD283" s="309"/>
    </row>
    <row r="284" spans="1:56" hidden="1" outlineLevel="1" x14ac:dyDescent="0.25">
      <c r="A284" s="288"/>
      <c r="B284" s="292"/>
      <c r="C284" s="192"/>
      <c r="D284" s="192"/>
      <c r="E284" s="192"/>
      <c r="F284" s="192"/>
      <c r="G284" s="192"/>
      <c r="H284" s="192"/>
      <c r="I284" s="192"/>
      <c r="J284" s="192"/>
      <c r="K284" s="192"/>
      <c r="L284" s="192"/>
      <c r="M284" s="192"/>
      <c r="N284" s="192"/>
      <c r="O284" s="192"/>
      <c r="P284" s="192"/>
      <c r="Q284" s="192"/>
      <c r="R284" s="308"/>
      <c r="S284" s="192"/>
      <c r="T284" s="192"/>
      <c r="U284" s="192"/>
      <c r="V284" s="192"/>
      <c r="W284" s="192"/>
      <c r="X284" s="192"/>
      <c r="Y284" s="192"/>
      <c r="Z284" s="192"/>
      <c r="AA284" s="192"/>
      <c r="AB284" s="192"/>
      <c r="AC284" s="192"/>
      <c r="AD284" s="309"/>
      <c r="AE284" s="309"/>
      <c r="AF284" s="309"/>
      <c r="AG284" s="309"/>
      <c r="AH284" s="309"/>
      <c r="AI284" s="309"/>
      <c r="AJ284" s="309"/>
      <c r="AK284" s="309"/>
      <c r="AL284" s="309"/>
      <c r="AM284" s="309"/>
      <c r="AN284" s="309"/>
      <c r="AO284" s="309"/>
      <c r="AP284" s="309"/>
      <c r="AQ284" s="309"/>
      <c r="AR284" s="309"/>
      <c r="AS284" s="308"/>
      <c r="AT284" s="309"/>
      <c r="AU284" s="309"/>
      <c r="AV284" s="309"/>
      <c r="AW284" s="309"/>
      <c r="AX284" s="309"/>
      <c r="AY284" s="309"/>
      <c r="AZ284" s="309"/>
      <c r="BA284" s="309"/>
      <c r="BB284" s="309"/>
      <c r="BC284" s="309"/>
      <c r="BD284" s="309"/>
    </row>
    <row r="285" spans="1:56" hidden="1" outlineLevel="1" x14ac:dyDescent="0.25">
      <c r="A285" s="288"/>
      <c r="B285" s="292"/>
      <c r="C285" s="192"/>
      <c r="D285" s="192"/>
      <c r="E285" s="192"/>
      <c r="F285" s="192"/>
      <c r="G285" s="192"/>
      <c r="H285" s="192"/>
      <c r="I285" s="192"/>
      <c r="J285" s="192"/>
      <c r="K285" s="192"/>
      <c r="L285" s="192"/>
      <c r="M285" s="192"/>
      <c r="N285" s="192"/>
      <c r="O285" s="192"/>
      <c r="P285" s="192"/>
      <c r="Q285" s="192"/>
      <c r="R285" s="308"/>
      <c r="S285" s="192"/>
      <c r="T285" s="192"/>
      <c r="U285" s="192"/>
      <c r="V285" s="192"/>
      <c r="W285" s="192"/>
      <c r="X285" s="192"/>
      <c r="Y285" s="192"/>
      <c r="Z285" s="192"/>
      <c r="AA285" s="192"/>
      <c r="AB285" s="192"/>
      <c r="AC285" s="192"/>
      <c r="AD285" s="309"/>
      <c r="AE285" s="309"/>
      <c r="AF285" s="309"/>
      <c r="AG285" s="309"/>
      <c r="AH285" s="309"/>
      <c r="AI285" s="309"/>
      <c r="AJ285" s="309"/>
      <c r="AK285" s="309"/>
      <c r="AL285" s="309"/>
      <c r="AM285" s="309"/>
      <c r="AN285" s="309"/>
      <c r="AO285" s="309"/>
      <c r="AP285" s="309"/>
      <c r="AQ285" s="309"/>
      <c r="AR285" s="309"/>
      <c r="AS285" s="308"/>
      <c r="AT285" s="309"/>
      <c r="AU285" s="309"/>
      <c r="AV285" s="309"/>
      <c r="AW285" s="309"/>
      <c r="AX285" s="309"/>
      <c r="AY285" s="309"/>
      <c r="AZ285" s="309"/>
      <c r="BA285" s="309"/>
      <c r="BB285" s="309"/>
      <c r="BC285" s="309"/>
      <c r="BD285" s="309"/>
    </row>
    <row r="286" spans="1:56" hidden="1" outlineLevel="1" x14ac:dyDescent="0.25">
      <c r="A286" s="288"/>
      <c r="B286" s="292"/>
      <c r="C286" s="192"/>
      <c r="D286" s="192"/>
      <c r="E286" s="192"/>
      <c r="F286" s="192"/>
      <c r="G286" s="192"/>
      <c r="H286" s="192"/>
      <c r="I286" s="192"/>
      <c r="J286" s="192"/>
      <c r="K286" s="192"/>
      <c r="L286" s="192"/>
      <c r="M286" s="192"/>
      <c r="N286" s="192"/>
      <c r="O286" s="192"/>
      <c r="P286" s="192"/>
      <c r="Q286" s="192"/>
      <c r="R286" s="308"/>
      <c r="S286" s="192"/>
      <c r="T286" s="192"/>
      <c r="U286" s="192"/>
      <c r="V286" s="192"/>
      <c r="W286" s="192"/>
      <c r="X286" s="192"/>
      <c r="Y286" s="192"/>
      <c r="Z286" s="192"/>
      <c r="AA286" s="192"/>
      <c r="AB286" s="192"/>
      <c r="AC286" s="192"/>
      <c r="AD286" s="309"/>
      <c r="AE286" s="309"/>
      <c r="AF286" s="309"/>
      <c r="AG286" s="309"/>
      <c r="AH286" s="309"/>
      <c r="AI286" s="309"/>
      <c r="AJ286" s="309"/>
      <c r="AK286" s="309"/>
      <c r="AL286" s="309"/>
      <c r="AM286" s="309"/>
      <c r="AN286" s="309"/>
      <c r="AO286" s="309"/>
      <c r="AP286" s="309"/>
      <c r="AQ286" s="309"/>
      <c r="AR286" s="309"/>
      <c r="AS286" s="308"/>
      <c r="AT286" s="309"/>
      <c r="AU286" s="309"/>
      <c r="AV286" s="309"/>
      <c r="AW286" s="309"/>
      <c r="AX286" s="309"/>
      <c r="AY286" s="309"/>
      <c r="AZ286" s="309"/>
      <c r="BA286" s="309"/>
      <c r="BB286" s="309"/>
      <c r="BC286" s="309"/>
      <c r="BD286" s="309"/>
    </row>
    <row r="287" spans="1:56" hidden="1" outlineLevel="1" x14ac:dyDescent="0.25">
      <c r="A287" s="288"/>
      <c r="B287" s="292"/>
      <c r="C287" s="192"/>
      <c r="D287" s="192"/>
      <c r="E287" s="192"/>
      <c r="F287" s="192"/>
      <c r="G287" s="192"/>
      <c r="H287" s="192"/>
      <c r="I287" s="192"/>
      <c r="J287" s="192"/>
      <c r="K287" s="192"/>
      <c r="L287" s="192"/>
      <c r="M287" s="192"/>
      <c r="N287" s="192"/>
      <c r="O287" s="192"/>
      <c r="P287" s="192"/>
      <c r="Q287" s="192"/>
      <c r="R287" s="308"/>
      <c r="S287" s="192"/>
      <c r="T287" s="192"/>
      <c r="U287" s="192"/>
      <c r="V287" s="192"/>
      <c r="W287" s="192"/>
      <c r="X287" s="192"/>
      <c r="Y287" s="192"/>
      <c r="Z287" s="192"/>
      <c r="AA287" s="192"/>
      <c r="AB287" s="192"/>
      <c r="AC287" s="192"/>
      <c r="AD287" s="309"/>
      <c r="AE287" s="309"/>
      <c r="AF287" s="309"/>
      <c r="AG287" s="309"/>
      <c r="AH287" s="309"/>
      <c r="AI287" s="309"/>
      <c r="AJ287" s="309"/>
      <c r="AK287" s="309"/>
      <c r="AL287" s="309"/>
      <c r="AM287" s="309"/>
      <c r="AN287" s="309"/>
      <c r="AO287" s="309"/>
      <c r="AP287" s="309"/>
      <c r="AQ287" s="309"/>
      <c r="AR287" s="309"/>
      <c r="AS287" s="308"/>
      <c r="AT287" s="309"/>
      <c r="AU287" s="309"/>
      <c r="AV287" s="309"/>
      <c r="AW287" s="309"/>
      <c r="AX287" s="309"/>
      <c r="AY287" s="309"/>
      <c r="AZ287" s="309"/>
      <c r="BA287" s="309"/>
      <c r="BB287" s="309"/>
      <c r="BC287" s="309"/>
      <c r="BD287" s="309"/>
    </row>
    <row r="288" spans="1:56" hidden="1" outlineLevel="1" x14ac:dyDescent="0.25">
      <c r="A288" s="288"/>
      <c r="B288" s="292"/>
      <c r="C288" s="192"/>
      <c r="D288" s="192"/>
      <c r="E288" s="192"/>
      <c r="F288" s="192"/>
      <c r="G288" s="192"/>
      <c r="H288" s="192"/>
      <c r="I288" s="192"/>
      <c r="J288" s="192"/>
      <c r="K288" s="192"/>
      <c r="L288" s="192"/>
      <c r="M288" s="192"/>
      <c r="N288" s="192"/>
      <c r="O288" s="192"/>
      <c r="P288" s="192"/>
      <c r="Q288" s="192"/>
      <c r="R288" s="308"/>
      <c r="S288" s="192"/>
      <c r="T288" s="192"/>
      <c r="U288" s="192"/>
      <c r="V288" s="192"/>
      <c r="W288" s="192"/>
      <c r="X288" s="192"/>
      <c r="Y288" s="192"/>
      <c r="Z288" s="192"/>
      <c r="AA288" s="192"/>
      <c r="AB288" s="192"/>
      <c r="AC288" s="192"/>
      <c r="AD288" s="309"/>
      <c r="AE288" s="309"/>
      <c r="AF288" s="309"/>
      <c r="AG288" s="309"/>
      <c r="AH288" s="309"/>
      <c r="AI288" s="309"/>
      <c r="AJ288" s="309"/>
      <c r="AK288" s="309"/>
      <c r="AL288" s="309"/>
      <c r="AM288" s="309"/>
      <c r="AN288" s="309"/>
      <c r="AO288" s="309"/>
      <c r="AP288" s="309"/>
      <c r="AQ288" s="309"/>
      <c r="AR288" s="309"/>
      <c r="AS288" s="308"/>
      <c r="AT288" s="309"/>
      <c r="AU288" s="309"/>
      <c r="AV288" s="309"/>
      <c r="AW288" s="309"/>
      <c r="AX288" s="309"/>
      <c r="AY288" s="309"/>
      <c r="AZ288" s="309"/>
      <c r="BA288" s="309"/>
      <c r="BB288" s="309"/>
      <c r="BC288" s="309"/>
      <c r="BD288" s="309"/>
    </row>
    <row r="289" spans="1:56" hidden="1" outlineLevel="1" x14ac:dyDescent="0.25">
      <c r="A289" s="288"/>
      <c r="B289" s="292"/>
      <c r="C289" s="192"/>
      <c r="D289" s="192"/>
      <c r="E289" s="192"/>
      <c r="F289" s="192"/>
      <c r="G289" s="192"/>
      <c r="H289" s="192"/>
      <c r="I289" s="192"/>
      <c r="J289" s="192"/>
      <c r="K289" s="192"/>
      <c r="L289" s="192"/>
      <c r="M289" s="192"/>
      <c r="N289" s="192"/>
      <c r="O289" s="192"/>
      <c r="P289" s="192"/>
      <c r="Q289" s="192"/>
      <c r="R289" s="308"/>
      <c r="S289" s="192"/>
      <c r="T289" s="192"/>
      <c r="U289" s="192"/>
      <c r="V289" s="192"/>
      <c r="W289" s="192"/>
      <c r="X289" s="192"/>
      <c r="Y289" s="192"/>
      <c r="Z289" s="192"/>
      <c r="AA289" s="192"/>
      <c r="AB289" s="192"/>
      <c r="AC289" s="192"/>
      <c r="AD289" s="309"/>
      <c r="AE289" s="309"/>
      <c r="AF289" s="309"/>
      <c r="AG289" s="309"/>
      <c r="AH289" s="309"/>
      <c r="AI289" s="309"/>
      <c r="AJ289" s="309"/>
      <c r="AK289" s="309"/>
      <c r="AL289" s="309"/>
      <c r="AM289" s="309"/>
      <c r="AN289" s="309"/>
      <c r="AO289" s="309"/>
      <c r="AP289" s="309"/>
      <c r="AQ289" s="309"/>
      <c r="AR289" s="309"/>
      <c r="AS289" s="308"/>
      <c r="AT289" s="309"/>
      <c r="AU289" s="309"/>
      <c r="AV289" s="309"/>
      <c r="AW289" s="309"/>
      <c r="AX289" s="309"/>
      <c r="AY289" s="309"/>
      <c r="AZ289" s="309"/>
      <c r="BA289" s="309"/>
      <c r="BB289" s="309"/>
      <c r="BC289" s="309"/>
      <c r="BD289" s="309"/>
    </row>
    <row r="290" spans="1:56" hidden="1" outlineLevel="1" x14ac:dyDescent="0.25">
      <c r="A290" s="288"/>
      <c r="B290" s="292"/>
      <c r="C290" s="192"/>
      <c r="D290" s="192"/>
      <c r="E290" s="192"/>
      <c r="F290" s="192"/>
      <c r="G290" s="192"/>
      <c r="H290" s="192"/>
      <c r="I290" s="192"/>
      <c r="J290" s="192"/>
      <c r="K290" s="192"/>
      <c r="L290" s="192"/>
      <c r="M290" s="192"/>
      <c r="N290" s="192"/>
      <c r="O290" s="192"/>
      <c r="P290" s="192"/>
      <c r="Q290" s="192"/>
      <c r="R290" s="308"/>
      <c r="S290" s="192"/>
      <c r="T290" s="192"/>
      <c r="U290" s="192"/>
      <c r="V290" s="192"/>
      <c r="W290" s="192"/>
      <c r="X290" s="192"/>
      <c r="Y290" s="192"/>
      <c r="Z290" s="192"/>
      <c r="AA290" s="192"/>
      <c r="AB290" s="192"/>
      <c r="AC290" s="192"/>
      <c r="AD290" s="309"/>
      <c r="AE290" s="309"/>
      <c r="AF290" s="309"/>
      <c r="AG290" s="309"/>
      <c r="AH290" s="309"/>
      <c r="AI290" s="309"/>
      <c r="AJ290" s="309"/>
      <c r="AK290" s="309"/>
      <c r="AL290" s="309"/>
      <c r="AM290" s="309"/>
      <c r="AN290" s="309"/>
      <c r="AO290" s="309"/>
      <c r="AP290" s="309"/>
      <c r="AQ290" s="309"/>
      <c r="AR290" s="309"/>
      <c r="AS290" s="308"/>
      <c r="AT290" s="309"/>
      <c r="AU290" s="309"/>
      <c r="AV290" s="309"/>
      <c r="AW290" s="309"/>
      <c r="AX290" s="309"/>
      <c r="AY290" s="309"/>
      <c r="AZ290" s="309"/>
      <c r="BA290" s="309"/>
      <c r="BB290" s="309"/>
      <c r="BC290" s="309"/>
      <c r="BD290" s="309"/>
    </row>
    <row r="291" spans="1:56" hidden="1" outlineLevel="1" x14ac:dyDescent="0.25">
      <c r="A291" s="288"/>
      <c r="B291" s="292"/>
      <c r="C291" s="192"/>
      <c r="D291" s="192"/>
      <c r="E291" s="192"/>
      <c r="F291" s="192"/>
      <c r="G291" s="192"/>
      <c r="H291" s="192"/>
      <c r="I291" s="192"/>
      <c r="J291" s="192"/>
      <c r="K291" s="192"/>
      <c r="L291" s="192"/>
      <c r="M291" s="192"/>
      <c r="N291" s="192"/>
      <c r="O291" s="192"/>
      <c r="P291" s="192"/>
      <c r="Q291" s="192"/>
      <c r="R291" s="308"/>
      <c r="S291" s="192"/>
      <c r="T291" s="192"/>
      <c r="U291" s="192"/>
      <c r="V291" s="192"/>
      <c r="W291" s="192"/>
      <c r="X291" s="192"/>
      <c r="Y291" s="192"/>
      <c r="Z291" s="192"/>
      <c r="AA291" s="192"/>
      <c r="AB291" s="192"/>
      <c r="AC291" s="192"/>
      <c r="AD291" s="309"/>
      <c r="AE291" s="309"/>
      <c r="AF291" s="309"/>
      <c r="AG291" s="309"/>
      <c r="AH291" s="309"/>
      <c r="AI291" s="309"/>
      <c r="AJ291" s="309"/>
      <c r="AK291" s="309"/>
      <c r="AL291" s="309"/>
      <c r="AM291" s="309"/>
      <c r="AN291" s="309"/>
      <c r="AO291" s="309"/>
      <c r="AP291" s="309"/>
      <c r="AQ291" s="309"/>
      <c r="AR291" s="309"/>
      <c r="AS291" s="308"/>
      <c r="AT291" s="309"/>
      <c r="AU291" s="309"/>
      <c r="AV291" s="309"/>
      <c r="AW291" s="309"/>
      <c r="AX291" s="309"/>
      <c r="AY291" s="309"/>
      <c r="AZ291" s="309"/>
      <c r="BA291" s="309"/>
      <c r="BB291" s="309"/>
      <c r="BC291" s="309"/>
      <c r="BD291" s="309"/>
    </row>
    <row r="292" spans="1:56" hidden="1" outlineLevel="1" x14ac:dyDescent="0.25">
      <c r="A292" s="288"/>
      <c r="B292" s="292"/>
      <c r="C292" s="192"/>
      <c r="D292" s="192"/>
      <c r="E292" s="192"/>
      <c r="F292" s="192"/>
      <c r="G292" s="192"/>
      <c r="H292" s="192"/>
      <c r="I292" s="192"/>
      <c r="J292" s="192"/>
      <c r="K292" s="192"/>
      <c r="L292" s="192"/>
      <c r="M292" s="192"/>
      <c r="N292" s="192"/>
      <c r="O292" s="192"/>
      <c r="P292" s="192"/>
      <c r="Q292" s="192"/>
      <c r="R292" s="308"/>
      <c r="S292" s="192"/>
      <c r="T292" s="192"/>
      <c r="U292" s="192"/>
      <c r="V292" s="192"/>
      <c r="W292" s="192"/>
      <c r="X292" s="192"/>
      <c r="Y292" s="192"/>
      <c r="Z292" s="192"/>
      <c r="AA292" s="192"/>
      <c r="AB292" s="192"/>
      <c r="AC292" s="192"/>
      <c r="AD292" s="309"/>
      <c r="AE292" s="309"/>
      <c r="AF292" s="309"/>
      <c r="AG292" s="309"/>
      <c r="AH292" s="309"/>
      <c r="AI292" s="309"/>
      <c r="AJ292" s="309"/>
      <c r="AK292" s="309"/>
      <c r="AL292" s="309"/>
      <c r="AM292" s="309"/>
      <c r="AN292" s="309"/>
      <c r="AO292" s="309"/>
      <c r="AP292" s="309"/>
      <c r="AQ292" s="309"/>
      <c r="AR292" s="309"/>
      <c r="AS292" s="308"/>
      <c r="AT292" s="309"/>
      <c r="AU292" s="309"/>
      <c r="AV292" s="309"/>
      <c r="AW292" s="309"/>
      <c r="AX292" s="309"/>
      <c r="AY292" s="309"/>
      <c r="AZ292" s="309"/>
      <c r="BA292" s="309"/>
      <c r="BB292" s="309"/>
      <c r="BC292" s="309"/>
      <c r="BD292" s="309"/>
    </row>
    <row r="293" spans="1:56" hidden="1" outlineLevel="1" x14ac:dyDescent="0.25">
      <c r="A293" s="288"/>
      <c r="B293" s="292"/>
      <c r="C293" s="192"/>
      <c r="D293" s="192"/>
      <c r="E293" s="192"/>
      <c r="F293" s="192"/>
      <c r="G293" s="192"/>
      <c r="H293" s="192"/>
      <c r="I293" s="192"/>
      <c r="J293" s="192"/>
      <c r="K293" s="192"/>
      <c r="L293" s="192"/>
      <c r="M293" s="192"/>
      <c r="N293" s="192"/>
      <c r="O293" s="192"/>
      <c r="P293" s="192"/>
      <c r="Q293" s="192"/>
      <c r="R293" s="308"/>
      <c r="S293" s="192"/>
      <c r="T293" s="192"/>
      <c r="U293" s="192"/>
      <c r="V293" s="192"/>
      <c r="W293" s="192"/>
      <c r="X293" s="192"/>
      <c r="Y293" s="192"/>
      <c r="Z293" s="192"/>
      <c r="AA293" s="192"/>
      <c r="AB293" s="192"/>
      <c r="AC293" s="192"/>
      <c r="AD293" s="309"/>
      <c r="AE293" s="309"/>
      <c r="AF293" s="309"/>
      <c r="AG293" s="309"/>
      <c r="AH293" s="309"/>
      <c r="AI293" s="309"/>
      <c r="AJ293" s="309"/>
      <c r="AK293" s="309"/>
      <c r="AL293" s="309"/>
      <c r="AM293" s="309"/>
      <c r="AN293" s="309"/>
      <c r="AO293" s="309"/>
      <c r="AP293" s="309"/>
      <c r="AQ293" s="309"/>
      <c r="AR293" s="309"/>
      <c r="AS293" s="308"/>
      <c r="AT293" s="309"/>
      <c r="AU293" s="309"/>
      <c r="AV293" s="309"/>
      <c r="AW293" s="309"/>
      <c r="AX293" s="309"/>
      <c r="AY293" s="309"/>
      <c r="AZ293" s="309"/>
      <c r="BA293" s="309"/>
      <c r="BB293" s="309"/>
      <c r="BC293" s="309"/>
      <c r="BD293" s="309"/>
    </row>
    <row r="294" spans="1:56" hidden="1" outlineLevel="1" x14ac:dyDescent="0.25">
      <c r="A294" s="288"/>
      <c r="B294" s="292"/>
      <c r="C294" s="192"/>
      <c r="D294" s="192"/>
      <c r="E294" s="192"/>
      <c r="F294" s="192"/>
      <c r="G294" s="192"/>
      <c r="H294" s="192"/>
      <c r="I294" s="192"/>
      <c r="J294" s="192"/>
      <c r="K294" s="192"/>
      <c r="L294" s="192"/>
      <c r="M294" s="192"/>
      <c r="N294" s="192"/>
      <c r="O294" s="192"/>
      <c r="P294" s="192"/>
      <c r="Q294" s="192"/>
      <c r="R294" s="308"/>
      <c r="S294" s="192"/>
      <c r="T294" s="192"/>
      <c r="U294" s="192"/>
      <c r="V294" s="192"/>
      <c r="W294" s="192"/>
      <c r="X294" s="192"/>
      <c r="Y294" s="192"/>
      <c r="Z294" s="192"/>
      <c r="AA294" s="192"/>
      <c r="AB294" s="192"/>
      <c r="AC294" s="192"/>
      <c r="AD294" s="309"/>
      <c r="AE294" s="309"/>
      <c r="AF294" s="309"/>
      <c r="AG294" s="309"/>
      <c r="AH294" s="309"/>
      <c r="AI294" s="309"/>
      <c r="AJ294" s="309"/>
      <c r="AK294" s="309"/>
      <c r="AL294" s="309"/>
      <c r="AM294" s="309"/>
      <c r="AN294" s="309"/>
      <c r="AO294" s="309"/>
      <c r="AP294" s="309"/>
      <c r="AQ294" s="309"/>
      <c r="AR294" s="309"/>
      <c r="AS294" s="308"/>
      <c r="AT294" s="309"/>
      <c r="AU294" s="309"/>
      <c r="AV294" s="309"/>
      <c r="AW294" s="309"/>
      <c r="AX294" s="309"/>
      <c r="AY294" s="309"/>
      <c r="AZ294" s="309"/>
      <c r="BA294" s="309"/>
      <c r="BB294" s="309"/>
      <c r="BC294" s="309"/>
      <c r="BD294" s="309"/>
    </row>
    <row r="295" spans="1:56" hidden="1" outlineLevel="1" x14ac:dyDescent="0.25">
      <c r="A295" s="288"/>
      <c r="B295" s="292"/>
      <c r="C295" s="192"/>
      <c r="D295" s="192"/>
      <c r="E295" s="192"/>
      <c r="F295" s="192"/>
      <c r="G295" s="192"/>
      <c r="H295" s="192"/>
      <c r="I295" s="192"/>
      <c r="J295" s="192"/>
      <c r="K295" s="192"/>
      <c r="L295" s="192"/>
      <c r="M295" s="192"/>
      <c r="N295" s="192"/>
      <c r="O295" s="192"/>
      <c r="P295" s="192"/>
      <c r="Q295" s="192"/>
      <c r="R295" s="308"/>
      <c r="S295" s="192"/>
      <c r="T295" s="192"/>
      <c r="U295" s="192"/>
      <c r="V295" s="192"/>
      <c r="W295" s="192"/>
      <c r="X295" s="192"/>
      <c r="Y295" s="192"/>
      <c r="Z295" s="192"/>
      <c r="AA295" s="192"/>
      <c r="AB295" s="192"/>
      <c r="AC295" s="192"/>
      <c r="AD295" s="309"/>
      <c r="AE295" s="309"/>
      <c r="AF295" s="309"/>
      <c r="AG295" s="309"/>
      <c r="AH295" s="309"/>
      <c r="AI295" s="309"/>
      <c r="AJ295" s="309"/>
      <c r="AK295" s="309"/>
      <c r="AL295" s="309"/>
      <c r="AM295" s="309"/>
      <c r="AN295" s="309"/>
      <c r="AO295" s="309"/>
      <c r="AP295" s="309"/>
      <c r="AQ295" s="309"/>
      <c r="AR295" s="309"/>
      <c r="AS295" s="308"/>
      <c r="AT295" s="309"/>
      <c r="AU295" s="309"/>
      <c r="AV295" s="309"/>
      <c r="AW295" s="309"/>
      <c r="AX295" s="309"/>
      <c r="AY295" s="309"/>
      <c r="AZ295" s="309"/>
      <c r="BA295" s="309"/>
      <c r="BB295" s="309"/>
      <c r="BC295" s="309"/>
      <c r="BD295" s="309"/>
    </row>
    <row r="296" spans="1:56" hidden="1" outlineLevel="1" x14ac:dyDescent="0.25">
      <c r="A296" s="288"/>
      <c r="B296" s="292"/>
      <c r="C296" s="192"/>
      <c r="D296" s="192"/>
      <c r="E296" s="192"/>
      <c r="F296" s="192"/>
      <c r="G296" s="192"/>
      <c r="H296" s="192"/>
      <c r="I296" s="192"/>
      <c r="J296" s="192"/>
      <c r="K296" s="192"/>
      <c r="L296" s="192"/>
      <c r="M296" s="192"/>
      <c r="N296" s="192"/>
      <c r="O296" s="192"/>
      <c r="P296" s="192"/>
      <c r="Q296" s="192"/>
      <c r="R296" s="308"/>
      <c r="S296" s="192"/>
      <c r="T296" s="192"/>
      <c r="U296" s="192"/>
      <c r="V296" s="192"/>
      <c r="W296" s="192"/>
      <c r="X296" s="192"/>
      <c r="Y296" s="192"/>
      <c r="Z296" s="192"/>
      <c r="AA296" s="192"/>
      <c r="AB296" s="192"/>
      <c r="AC296" s="192"/>
      <c r="AD296" s="309"/>
      <c r="AE296" s="309"/>
      <c r="AF296" s="309"/>
      <c r="AG296" s="309"/>
      <c r="AH296" s="309"/>
      <c r="AI296" s="309"/>
      <c r="AJ296" s="309"/>
      <c r="AK296" s="309"/>
      <c r="AL296" s="309"/>
      <c r="AM296" s="309"/>
      <c r="AN296" s="309"/>
      <c r="AO296" s="309"/>
      <c r="AP296" s="309"/>
      <c r="AQ296" s="309"/>
      <c r="AR296" s="309"/>
      <c r="AS296" s="308"/>
      <c r="AT296" s="309"/>
      <c r="AU296" s="309"/>
      <c r="AV296" s="309"/>
      <c r="AW296" s="309"/>
      <c r="AX296" s="309"/>
      <c r="AY296" s="309"/>
      <c r="AZ296" s="309"/>
      <c r="BA296" s="309"/>
      <c r="BB296" s="309"/>
      <c r="BC296" s="309"/>
      <c r="BD296" s="309"/>
    </row>
    <row r="297" spans="1:56" hidden="1" outlineLevel="1" x14ac:dyDescent="0.25">
      <c r="A297" s="288"/>
      <c r="B297" s="292"/>
      <c r="C297" s="192"/>
      <c r="D297" s="192"/>
      <c r="E297" s="192"/>
      <c r="F297" s="192"/>
      <c r="G297" s="192"/>
      <c r="H297" s="192"/>
      <c r="I297" s="192"/>
      <c r="J297" s="192"/>
      <c r="K297" s="192"/>
      <c r="L297" s="192"/>
      <c r="M297" s="192"/>
      <c r="N297" s="192"/>
      <c r="O297" s="192"/>
      <c r="P297" s="192"/>
      <c r="Q297" s="192"/>
      <c r="R297" s="308"/>
      <c r="S297" s="192"/>
      <c r="T297" s="192"/>
      <c r="U297" s="192"/>
      <c r="V297" s="192"/>
      <c r="W297" s="192"/>
      <c r="X297" s="192"/>
      <c r="Y297" s="192"/>
      <c r="Z297" s="192"/>
      <c r="AA297" s="192"/>
      <c r="AB297" s="192"/>
      <c r="AC297" s="192"/>
      <c r="AD297" s="309"/>
      <c r="AE297" s="309"/>
      <c r="AF297" s="309"/>
      <c r="AG297" s="309"/>
      <c r="AH297" s="309"/>
      <c r="AI297" s="309"/>
      <c r="AJ297" s="309"/>
      <c r="AK297" s="309"/>
      <c r="AL297" s="309"/>
      <c r="AM297" s="309"/>
      <c r="AN297" s="309"/>
      <c r="AO297" s="309"/>
      <c r="AP297" s="309"/>
      <c r="AQ297" s="309"/>
      <c r="AR297" s="309"/>
      <c r="AS297" s="308"/>
      <c r="AT297" s="309"/>
      <c r="AU297" s="309"/>
      <c r="AV297" s="309"/>
      <c r="AW297" s="309"/>
      <c r="AX297" s="309"/>
      <c r="AY297" s="309"/>
      <c r="AZ297" s="309"/>
      <c r="BA297" s="309"/>
      <c r="BB297" s="309"/>
      <c r="BC297" s="309"/>
      <c r="BD297" s="309"/>
    </row>
    <row r="298" spans="1:56" hidden="1" outlineLevel="1" x14ac:dyDescent="0.25">
      <c r="A298" s="288"/>
      <c r="B298" s="292"/>
      <c r="C298" s="192"/>
      <c r="D298" s="192"/>
      <c r="E298" s="192"/>
      <c r="F298" s="192"/>
      <c r="G298" s="192"/>
      <c r="H298" s="192"/>
      <c r="I298" s="192"/>
      <c r="J298" s="192"/>
      <c r="K298" s="192"/>
      <c r="L298" s="192"/>
      <c r="M298" s="192"/>
      <c r="N298" s="192"/>
      <c r="O298" s="192"/>
      <c r="P298" s="192"/>
      <c r="Q298" s="192"/>
      <c r="R298" s="308"/>
      <c r="S298" s="192"/>
      <c r="T298" s="192"/>
      <c r="U298" s="192"/>
      <c r="V298" s="192"/>
      <c r="W298" s="192"/>
      <c r="X298" s="192"/>
      <c r="Y298" s="192"/>
      <c r="Z298" s="192"/>
      <c r="AA298" s="192"/>
      <c r="AB298" s="192"/>
      <c r="AC298" s="192"/>
      <c r="AD298" s="309"/>
      <c r="AE298" s="309"/>
      <c r="AF298" s="309"/>
      <c r="AG298" s="309"/>
      <c r="AH298" s="309"/>
      <c r="AI298" s="309"/>
      <c r="AJ298" s="309"/>
      <c r="AK298" s="309"/>
      <c r="AL298" s="309"/>
      <c r="AM298" s="309"/>
      <c r="AN298" s="309"/>
      <c r="AO298" s="309"/>
      <c r="AP298" s="309"/>
      <c r="AQ298" s="309"/>
      <c r="AR298" s="309"/>
      <c r="AS298" s="308"/>
      <c r="AT298" s="309"/>
      <c r="AU298" s="309"/>
      <c r="AV298" s="309"/>
      <c r="AW298" s="309"/>
      <c r="AX298" s="309"/>
      <c r="AY298" s="309"/>
      <c r="AZ298" s="309"/>
      <c r="BA298" s="309"/>
      <c r="BB298" s="309"/>
      <c r="BC298" s="309"/>
      <c r="BD298" s="309"/>
    </row>
    <row r="299" spans="1:56" hidden="1" outlineLevel="1" x14ac:dyDescent="0.25">
      <c r="A299" s="288"/>
      <c r="B299" s="292"/>
      <c r="C299" s="192"/>
      <c r="D299" s="192"/>
      <c r="E299" s="192"/>
      <c r="F299" s="192"/>
      <c r="G299" s="192"/>
      <c r="H299" s="192"/>
      <c r="I299" s="192"/>
      <c r="J299" s="192"/>
      <c r="K299" s="192"/>
      <c r="L299" s="192"/>
      <c r="M299" s="192"/>
      <c r="N299" s="192"/>
      <c r="O299" s="192"/>
      <c r="P299" s="192"/>
      <c r="Q299" s="192"/>
      <c r="R299" s="308"/>
      <c r="S299" s="192"/>
      <c r="T299" s="192"/>
      <c r="U299" s="192"/>
      <c r="V299" s="192"/>
      <c r="W299" s="192"/>
      <c r="X299" s="192"/>
      <c r="Y299" s="192"/>
      <c r="Z299" s="192"/>
      <c r="AA299" s="192"/>
      <c r="AB299" s="192"/>
      <c r="AC299" s="192"/>
      <c r="AD299" s="309"/>
      <c r="AE299" s="309"/>
      <c r="AF299" s="309"/>
      <c r="AG299" s="309"/>
      <c r="AH299" s="309"/>
      <c r="AI299" s="309"/>
      <c r="AJ299" s="309"/>
      <c r="AK299" s="309"/>
      <c r="AL299" s="309"/>
      <c r="AM299" s="309"/>
      <c r="AN299" s="309"/>
      <c r="AO299" s="309"/>
      <c r="AP299" s="309"/>
      <c r="AQ299" s="309"/>
      <c r="AR299" s="309"/>
      <c r="AS299" s="308"/>
      <c r="AT299" s="309"/>
      <c r="AU299" s="309"/>
      <c r="AV299" s="309"/>
      <c r="AW299" s="309"/>
      <c r="AX299" s="309"/>
      <c r="AY299" s="309"/>
      <c r="AZ299" s="309"/>
      <c r="BA299" s="309"/>
      <c r="BB299" s="309"/>
      <c r="BC299" s="309"/>
      <c r="BD299" s="309"/>
    </row>
    <row r="300" spans="1:56" hidden="1" outlineLevel="1" x14ac:dyDescent="0.25">
      <c r="A300" s="288"/>
      <c r="B300" s="292"/>
      <c r="C300" s="192"/>
      <c r="D300" s="192"/>
      <c r="E300" s="192"/>
      <c r="F300" s="192"/>
      <c r="G300" s="192"/>
      <c r="H300" s="192"/>
      <c r="I300" s="192"/>
      <c r="J300" s="192"/>
      <c r="K300" s="192"/>
      <c r="L300" s="192"/>
      <c r="M300" s="192"/>
      <c r="N300" s="192"/>
      <c r="O300" s="192"/>
      <c r="P300" s="192"/>
      <c r="Q300" s="192"/>
      <c r="R300" s="308"/>
      <c r="S300" s="192"/>
      <c r="T300" s="192"/>
      <c r="U300" s="192"/>
      <c r="V300" s="192"/>
      <c r="W300" s="192"/>
      <c r="X300" s="192"/>
      <c r="Y300" s="192"/>
      <c r="Z300" s="192"/>
      <c r="AA300" s="192"/>
      <c r="AB300" s="192"/>
      <c r="AC300" s="192"/>
      <c r="AD300" s="309"/>
      <c r="AE300" s="309"/>
      <c r="AF300" s="309"/>
      <c r="AG300" s="309"/>
      <c r="AH300" s="309"/>
      <c r="AI300" s="309"/>
      <c r="AJ300" s="309"/>
      <c r="AK300" s="309"/>
      <c r="AL300" s="309"/>
      <c r="AM300" s="309"/>
      <c r="AN300" s="309"/>
      <c r="AO300" s="309"/>
      <c r="AP300" s="309"/>
      <c r="AQ300" s="309"/>
      <c r="AR300" s="309"/>
      <c r="AS300" s="308"/>
      <c r="AT300" s="309"/>
      <c r="AU300" s="309"/>
      <c r="AV300" s="309"/>
      <c r="AW300" s="309"/>
      <c r="AX300" s="309"/>
      <c r="AY300" s="309"/>
      <c r="AZ300" s="309"/>
      <c r="BA300" s="309"/>
      <c r="BB300" s="309"/>
      <c r="BC300" s="309"/>
      <c r="BD300" s="309"/>
    </row>
    <row r="301" spans="1:56" hidden="1" outlineLevel="1" x14ac:dyDescent="0.25">
      <c r="A301" s="288"/>
      <c r="B301" s="292"/>
      <c r="C301" s="192"/>
      <c r="D301" s="192"/>
      <c r="E301" s="192"/>
      <c r="F301" s="192"/>
      <c r="G301" s="192"/>
      <c r="H301" s="192"/>
      <c r="I301" s="192"/>
      <c r="J301" s="192"/>
      <c r="K301" s="192"/>
      <c r="L301" s="192"/>
      <c r="M301" s="192"/>
      <c r="N301" s="192"/>
      <c r="O301" s="192"/>
      <c r="P301" s="192"/>
      <c r="Q301" s="192"/>
      <c r="R301" s="308"/>
      <c r="S301" s="192"/>
      <c r="T301" s="192"/>
      <c r="U301" s="192"/>
      <c r="V301" s="192"/>
      <c r="W301" s="192"/>
      <c r="X301" s="192"/>
      <c r="Y301" s="192"/>
      <c r="Z301" s="192"/>
      <c r="AA301" s="192"/>
      <c r="AB301" s="192"/>
      <c r="AC301" s="192"/>
      <c r="AD301" s="309"/>
      <c r="AE301" s="309"/>
      <c r="AF301" s="309"/>
      <c r="AG301" s="309"/>
      <c r="AH301" s="309"/>
      <c r="AI301" s="309"/>
      <c r="AJ301" s="309"/>
      <c r="AK301" s="309"/>
      <c r="AL301" s="309"/>
      <c r="AM301" s="309"/>
      <c r="AN301" s="309"/>
      <c r="AO301" s="309"/>
      <c r="AP301" s="309"/>
      <c r="AQ301" s="309"/>
      <c r="AR301" s="309"/>
      <c r="AS301" s="308"/>
      <c r="AT301" s="309"/>
      <c r="AU301" s="309"/>
      <c r="AV301" s="309"/>
      <c r="AW301" s="309"/>
      <c r="AX301" s="309"/>
      <c r="AY301" s="309"/>
      <c r="AZ301" s="309"/>
      <c r="BA301" s="309"/>
      <c r="BB301" s="309"/>
      <c r="BC301" s="309"/>
      <c r="BD301" s="309"/>
    </row>
    <row r="302" spans="1:56" hidden="1" outlineLevel="1" x14ac:dyDescent="0.25">
      <c r="A302" s="288"/>
      <c r="B302" s="292"/>
      <c r="C302" s="192"/>
      <c r="D302" s="192"/>
      <c r="E302" s="192"/>
      <c r="F302" s="192"/>
      <c r="G302" s="192"/>
      <c r="H302" s="192"/>
      <c r="I302" s="192"/>
      <c r="J302" s="192"/>
      <c r="K302" s="192"/>
      <c r="L302" s="192"/>
      <c r="M302" s="192"/>
      <c r="N302" s="192"/>
      <c r="O302" s="192"/>
      <c r="P302" s="192"/>
      <c r="Q302" s="192"/>
      <c r="R302" s="308"/>
      <c r="S302" s="192"/>
      <c r="T302" s="192"/>
      <c r="U302" s="192"/>
      <c r="V302" s="192"/>
      <c r="W302" s="192"/>
      <c r="X302" s="192"/>
      <c r="Y302" s="192"/>
      <c r="Z302" s="192"/>
      <c r="AA302" s="192"/>
      <c r="AB302" s="192"/>
      <c r="AC302" s="192"/>
      <c r="AD302" s="309"/>
      <c r="AE302" s="309"/>
      <c r="AF302" s="309"/>
      <c r="AG302" s="309"/>
      <c r="AH302" s="309"/>
      <c r="AI302" s="309"/>
      <c r="AJ302" s="309"/>
      <c r="AK302" s="309"/>
      <c r="AL302" s="309"/>
      <c r="AM302" s="309"/>
      <c r="AN302" s="309"/>
      <c r="AO302" s="309"/>
      <c r="AP302" s="309"/>
      <c r="AQ302" s="309"/>
      <c r="AR302" s="309"/>
      <c r="AS302" s="308"/>
      <c r="AT302" s="309"/>
      <c r="AU302" s="309"/>
      <c r="AV302" s="309"/>
      <c r="AW302" s="309"/>
      <c r="AX302" s="309"/>
      <c r="AY302" s="309"/>
      <c r="AZ302" s="309"/>
      <c r="BA302" s="309"/>
      <c r="BB302" s="309"/>
      <c r="BC302" s="309"/>
      <c r="BD302" s="309"/>
    </row>
    <row r="303" spans="1:56" hidden="1" outlineLevel="1" x14ac:dyDescent="0.25">
      <c r="A303" s="288"/>
      <c r="B303" s="292"/>
      <c r="C303" s="192"/>
      <c r="D303" s="192"/>
      <c r="E303" s="192"/>
      <c r="F303" s="192"/>
      <c r="G303" s="192"/>
      <c r="H303" s="192"/>
      <c r="I303" s="192"/>
      <c r="J303" s="192"/>
      <c r="K303" s="192"/>
      <c r="L303" s="192"/>
      <c r="M303" s="192"/>
      <c r="N303" s="192"/>
      <c r="O303" s="192"/>
      <c r="P303" s="192"/>
      <c r="Q303" s="192"/>
      <c r="R303" s="308"/>
      <c r="S303" s="192"/>
      <c r="T303" s="192"/>
      <c r="U303" s="192"/>
      <c r="V303" s="192"/>
      <c r="W303" s="192"/>
      <c r="X303" s="192"/>
      <c r="Y303" s="192"/>
      <c r="Z303" s="192"/>
      <c r="AA303" s="192"/>
      <c r="AB303" s="192"/>
      <c r="AC303" s="192"/>
      <c r="AD303" s="309"/>
      <c r="AE303" s="309"/>
      <c r="AF303" s="309"/>
      <c r="AG303" s="309"/>
      <c r="AH303" s="309"/>
      <c r="AI303" s="309"/>
      <c r="AJ303" s="309"/>
      <c r="AK303" s="309"/>
      <c r="AL303" s="309"/>
      <c r="AM303" s="309"/>
      <c r="AN303" s="309"/>
      <c r="AO303" s="309"/>
      <c r="AP303" s="309"/>
      <c r="AQ303" s="309"/>
      <c r="AR303" s="309"/>
      <c r="AS303" s="308"/>
      <c r="AT303" s="309"/>
      <c r="AU303" s="309"/>
      <c r="AV303" s="309"/>
      <c r="AW303" s="309"/>
      <c r="AX303" s="309"/>
      <c r="AY303" s="309"/>
      <c r="AZ303" s="309"/>
      <c r="BA303" s="309"/>
      <c r="BB303" s="309"/>
      <c r="BC303" s="309"/>
      <c r="BD303" s="309"/>
    </row>
    <row r="304" spans="1:56" hidden="1" outlineLevel="1" x14ac:dyDescent="0.25">
      <c r="A304" s="288"/>
      <c r="B304" s="292"/>
      <c r="C304" s="192"/>
      <c r="D304" s="192"/>
      <c r="E304" s="192"/>
      <c r="F304" s="192"/>
      <c r="G304" s="192"/>
      <c r="H304" s="192"/>
      <c r="I304" s="192"/>
      <c r="J304" s="192"/>
      <c r="K304" s="192"/>
      <c r="L304" s="192"/>
      <c r="M304" s="192"/>
      <c r="N304" s="192"/>
      <c r="O304" s="192"/>
      <c r="P304" s="192"/>
      <c r="Q304" s="192"/>
      <c r="R304" s="308"/>
      <c r="S304" s="192"/>
      <c r="T304" s="192"/>
      <c r="U304" s="192"/>
      <c r="V304" s="192"/>
      <c r="W304" s="192"/>
      <c r="X304" s="192"/>
      <c r="Y304" s="192"/>
      <c r="Z304" s="192"/>
      <c r="AA304" s="192"/>
      <c r="AB304" s="192"/>
      <c r="AC304" s="192"/>
      <c r="AD304" s="309"/>
      <c r="AE304" s="309"/>
      <c r="AF304" s="309"/>
      <c r="AG304" s="309"/>
      <c r="AH304" s="309"/>
      <c r="AI304" s="309"/>
      <c r="AJ304" s="309"/>
      <c r="AK304" s="309"/>
      <c r="AL304" s="309"/>
      <c r="AM304" s="309"/>
      <c r="AN304" s="309"/>
      <c r="AO304" s="309"/>
      <c r="AP304" s="309"/>
      <c r="AQ304" s="309"/>
      <c r="AR304" s="309"/>
      <c r="AS304" s="308"/>
      <c r="AT304" s="309"/>
      <c r="AU304" s="309"/>
      <c r="AV304" s="309"/>
      <c r="AW304" s="309"/>
      <c r="AX304" s="309"/>
      <c r="AY304" s="309"/>
      <c r="AZ304" s="309"/>
      <c r="BA304" s="309"/>
      <c r="BB304" s="309"/>
      <c r="BC304" s="309"/>
      <c r="BD304" s="309"/>
    </row>
    <row r="305" spans="1:56" hidden="1" outlineLevel="1" x14ac:dyDescent="0.25">
      <c r="A305" s="288"/>
      <c r="B305" s="292"/>
      <c r="C305" s="192"/>
      <c r="D305" s="192"/>
      <c r="E305" s="192"/>
      <c r="F305" s="192"/>
      <c r="G305" s="192"/>
      <c r="H305" s="192"/>
      <c r="I305" s="192"/>
      <c r="J305" s="192"/>
      <c r="K305" s="192"/>
      <c r="L305" s="192"/>
      <c r="M305" s="192"/>
      <c r="N305" s="192"/>
      <c r="O305" s="192"/>
      <c r="P305" s="192"/>
      <c r="Q305" s="192"/>
      <c r="R305" s="308"/>
      <c r="S305" s="192"/>
      <c r="T305" s="192"/>
      <c r="U305" s="192"/>
      <c r="V305" s="192"/>
      <c r="W305" s="192"/>
      <c r="X305" s="192"/>
      <c r="Y305" s="192"/>
      <c r="Z305" s="192"/>
      <c r="AA305" s="192"/>
      <c r="AB305" s="192"/>
      <c r="AC305" s="192"/>
      <c r="AD305" s="309"/>
      <c r="AE305" s="309"/>
      <c r="AF305" s="309"/>
      <c r="AG305" s="309"/>
      <c r="AH305" s="309"/>
      <c r="AI305" s="309"/>
      <c r="AJ305" s="309"/>
      <c r="AK305" s="309"/>
      <c r="AL305" s="309"/>
      <c r="AM305" s="309"/>
      <c r="AN305" s="309"/>
      <c r="AO305" s="309"/>
      <c r="AP305" s="309"/>
      <c r="AQ305" s="309"/>
      <c r="AR305" s="309"/>
      <c r="AS305" s="308"/>
      <c r="AT305" s="309"/>
      <c r="AU305" s="309"/>
      <c r="AV305" s="309"/>
      <c r="AW305" s="309"/>
      <c r="AX305" s="309"/>
      <c r="AY305" s="309"/>
      <c r="AZ305" s="309"/>
      <c r="BA305" s="309"/>
      <c r="BB305" s="309"/>
      <c r="BC305" s="309"/>
      <c r="BD305" s="309"/>
    </row>
    <row r="306" spans="1:56" hidden="1" outlineLevel="1" x14ac:dyDescent="0.25">
      <c r="A306" s="288"/>
      <c r="B306" s="292"/>
      <c r="C306" s="192"/>
      <c r="D306" s="192"/>
      <c r="E306" s="192"/>
      <c r="F306" s="192"/>
      <c r="G306" s="192"/>
      <c r="H306" s="192"/>
      <c r="I306" s="192"/>
      <c r="J306" s="192"/>
      <c r="K306" s="192"/>
      <c r="L306" s="192"/>
      <c r="M306" s="192"/>
      <c r="N306" s="192"/>
      <c r="O306" s="192"/>
      <c r="P306" s="192"/>
      <c r="Q306" s="192"/>
      <c r="R306" s="308"/>
      <c r="S306" s="192"/>
      <c r="T306" s="192"/>
      <c r="U306" s="192"/>
      <c r="V306" s="192"/>
      <c r="W306" s="192"/>
      <c r="X306" s="192"/>
      <c r="Y306" s="192"/>
      <c r="Z306" s="192"/>
      <c r="AA306" s="192"/>
      <c r="AB306" s="192"/>
      <c r="AC306" s="192"/>
      <c r="AD306" s="309"/>
      <c r="AE306" s="309"/>
      <c r="AF306" s="309"/>
      <c r="AG306" s="309"/>
      <c r="AH306" s="309"/>
      <c r="AI306" s="309"/>
      <c r="AJ306" s="309"/>
      <c r="AK306" s="309"/>
      <c r="AL306" s="309"/>
      <c r="AM306" s="309"/>
      <c r="AN306" s="309"/>
      <c r="AO306" s="309"/>
      <c r="AP306" s="309"/>
      <c r="AQ306" s="309"/>
      <c r="AR306" s="309"/>
      <c r="AS306" s="308"/>
      <c r="AT306" s="309"/>
      <c r="AU306" s="309"/>
      <c r="AV306" s="309"/>
      <c r="AW306" s="309"/>
      <c r="AX306" s="309"/>
      <c r="AY306" s="309"/>
      <c r="AZ306" s="309"/>
      <c r="BA306" s="309"/>
      <c r="BB306" s="309"/>
      <c r="BC306" s="309"/>
      <c r="BD306" s="309"/>
    </row>
    <row r="307" spans="1:56" hidden="1" outlineLevel="1" x14ac:dyDescent="0.25">
      <c r="A307" s="288"/>
      <c r="B307" s="292"/>
      <c r="C307" s="192"/>
      <c r="D307" s="192"/>
      <c r="E307" s="192"/>
      <c r="F307" s="192"/>
      <c r="G307" s="192"/>
      <c r="H307" s="192"/>
      <c r="I307" s="192"/>
      <c r="J307" s="192"/>
      <c r="K307" s="192"/>
      <c r="L307" s="192"/>
      <c r="M307" s="192"/>
      <c r="N307" s="192"/>
      <c r="O307" s="192"/>
      <c r="P307" s="192"/>
      <c r="Q307" s="192"/>
      <c r="R307" s="308"/>
      <c r="S307" s="192"/>
      <c r="T307" s="192"/>
      <c r="U307" s="192"/>
      <c r="V307" s="192"/>
      <c r="W307" s="192"/>
      <c r="X307" s="192"/>
      <c r="Y307" s="192"/>
      <c r="Z307" s="192"/>
      <c r="AA307" s="192"/>
      <c r="AB307" s="192"/>
      <c r="AC307" s="192"/>
      <c r="AD307" s="309"/>
      <c r="AE307" s="309"/>
      <c r="AF307" s="309"/>
      <c r="AG307" s="309"/>
      <c r="AH307" s="309"/>
      <c r="AI307" s="309"/>
      <c r="AJ307" s="309"/>
      <c r="AK307" s="309"/>
      <c r="AL307" s="309"/>
      <c r="AM307" s="309"/>
      <c r="AN307" s="309"/>
      <c r="AO307" s="309"/>
      <c r="AP307" s="309"/>
      <c r="AQ307" s="309"/>
      <c r="AR307" s="309"/>
      <c r="AS307" s="308"/>
      <c r="AT307" s="309"/>
      <c r="AU307" s="309"/>
      <c r="AV307" s="309"/>
      <c r="AW307" s="309"/>
      <c r="AX307" s="309"/>
      <c r="AY307" s="309"/>
      <c r="AZ307" s="309"/>
      <c r="BA307" s="309"/>
      <c r="BB307" s="309"/>
      <c r="BC307" s="309"/>
      <c r="BD307" s="309"/>
    </row>
    <row r="308" spans="1:56" hidden="1" outlineLevel="1" x14ac:dyDescent="0.25">
      <c r="A308" s="288"/>
      <c r="B308" s="292"/>
      <c r="C308" s="192"/>
      <c r="D308" s="192"/>
      <c r="E308" s="192"/>
      <c r="F308" s="192"/>
      <c r="G308" s="192"/>
      <c r="H308" s="192"/>
      <c r="I308" s="192"/>
      <c r="J308" s="192"/>
      <c r="K308" s="192"/>
      <c r="L308" s="192"/>
      <c r="M308" s="192"/>
      <c r="N308" s="192"/>
      <c r="O308" s="192"/>
      <c r="P308" s="192"/>
      <c r="Q308" s="192"/>
      <c r="R308" s="308"/>
      <c r="S308" s="192"/>
      <c r="T308" s="192"/>
      <c r="U308" s="192"/>
      <c r="V308" s="192"/>
      <c r="W308" s="192"/>
      <c r="X308" s="192"/>
      <c r="Y308" s="192"/>
      <c r="Z308" s="192"/>
      <c r="AA308" s="192"/>
      <c r="AB308" s="192"/>
      <c r="AC308" s="192"/>
      <c r="AD308" s="309"/>
      <c r="AE308" s="309"/>
      <c r="AF308" s="309"/>
      <c r="AG308" s="309"/>
      <c r="AH308" s="309"/>
      <c r="AI308" s="309"/>
      <c r="AJ308" s="309"/>
      <c r="AK308" s="309"/>
      <c r="AL308" s="309"/>
      <c r="AM308" s="309"/>
      <c r="AN308" s="309"/>
      <c r="AO308" s="309"/>
      <c r="AP308" s="309"/>
      <c r="AQ308" s="309"/>
      <c r="AR308" s="309"/>
      <c r="AS308" s="308"/>
      <c r="AT308" s="309"/>
      <c r="AU308" s="309"/>
      <c r="AV308" s="309"/>
      <c r="AW308" s="309"/>
      <c r="AX308" s="309"/>
      <c r="AY308" s="309"/>
      <c r="AZ308" s="309"/>
      <c r="BA308" s="309"/>
      <c r="BB308" s="309"/>
      <c r="BC308" s="309"/>
      <c r="BD308" s="309"/>
    </row>
    <row r="309" spans="1:56" hidden="1" outlineLevel="1" x14ac:dyDescent="0.25">
      <c r="A309" s="288"/>
      <c r="B309" s="292"/>
      <c r="C309" s="192"/>
      <c r="D309" s="192"/>
      <c r="E309" s="192"/>
      <c r="F309" s="192"/>
      <c r="G309" s="192"/>
      <c r="H309" s="192"/>
      <c r="I309" s="192"/>
      <c r="J309" s="192"/>
      <c r="K309" s="192"/>
      <c r="L309" s="192"/>
      <c r="M309" s="192"/>
      <c r="N309" s="192"/>
      <c r="O309" s="192"/>
      <c r="P309" s="192"/>
      <c r="Q309" s="192"/>
      <c r="R309" s="308"/>
      <c r="S309" s="192"/>
      <c r="T309" s="192"/>
      <c r="U309" s="192"/>
      <c r="V309" s="192"/>
      <c r="W309" s="192"/>
      <c r="X309" s="192"/>
      <c r="Y309" s="192"/>
      <c r="Z309" s="192"/>
      <c r="AA309" s="192"/>
      <c r="AB309" s="192"/>
      <c r="AC309" s="192"/>
      <c r="AD309" s="309"/>
      <c r="AE309" s="309"/>
      <c r="AF309" s="309"/>
      <c r="AG309" s="309"/>
      <c r="AH309" s="309"/>
      <c r="AI309" s="309"/>
      <c r="AJ309" s="309"/>
      <c r="AK309" s="309"/>
      <c r="AL309" s="309"/>
      <c r="AM309" s="309"/>
      <c r="AN309" s="309"/>
      <c r="AO309" s="309"/>
      <c r="AP309" s="309"/>
      <c r="AQ309" s="309"/>
      <c r="AR309" s="309"/>
      <c r="AS309" s="308"/>
      <c r="AT309" s="309"/>
      <c r="AU309" s="309"/>
      <c r="AV309" s="309"/>
      <c r="AW309" s="309"/>
      <c r="AX309" s="309"/>
      <c r="AY309" s="309"/>
      <c r="AZ309" s="309"/>
      <c r="BA309" s="309"/>
      <c r="BB309" s="309"/>
      <c r="BC309" s="309"/>
      <c r="BD309" s="309"/>
    </row>
    <row r="310" spans="1:56" hidden="1" outlineLevel="1" x14ac:dyDescent="0.25">
      <c r="A310" s="288"/>
      <c r="B310" s="292"/>
      <c r="C310" s="192"/>
      <c r="D310" s="192"/>
      <c r="E310" s="192"/>
      <c r="F310" s="192"/>
      <c r="G310" s="192"/>
      <c r="H310" s="192"/>
      <c r="I310" s="192"/>
      <c r="J310" s="192"/>
      <c r="K310" s="192"/>
      <c r="L310" s="192"/>
      <c r="M310" s="192"/>
      <c r="N310" s="192"/>
      <c r="O310" s="192"/>
      <c r="P310" s="192"/>
      <c r="Q310" s="192"/>
      <c r="R310" s="308"/>
      <c r="S310" s="192"/>
      <c r="T310" s="192"/>
      <c r="U310" s="192"/>
      <c r="V310" s="192"/>
      <c r="W310" s="192"/>
      <c r="X310" s="192"/>
      <c r="Y310" s="192"/>
      <c r="Z310" s="192"/>
      <c r="AA310" s="192"/>
      <c r="AB310" s="192"/>
      <c r="AC310" s="192"/>
      <c r="AD310" s="309"/>
      <c r="AE310" s="309"/>
      <c r="AF310" s="309"/>
      <c r="AG310" s="309"/>
      <c r="AH310" s="309"/>
      <c r="AI310" s="309"/>
      <c r="AJ310" s="309"/>
      <c r="AK310" s="309"/>
      <c r="AL310" s="309"/>
      <c r="AM310" s="309"/>
      <c r="AN310" s="309"/>
      <c r="AO310" s="309"/>
      <c r="AP310" s="309"/>
      <c r="AQ310" s="309"/>
      <c r="AR310" s="309"/>
      <c r="AS310" s="308"/>
      <c r="AT310" s="309"/>
      <c r="AU310" s="309"/>
      <c r="AV310" s="309"/>
      <c r="AW310" s="309"/>
      <c r="AX310" s="309"/>
      <c r="AY310" s="309"/>
      <c r="AZ310" s="309"/>
      <c r="BA310" s="309"/>
      <c r="BB310" s="309"/>
      <c r="BC310" s="309"/>
      <c r="BD310" s="309"/>
    </row>
    <row r="311" spans="1:56" hidden="1" outlineLevel="1" x14ac:dyDescent="0.25">
      <c r="A311" s="288"/>
      <c r="B311" s="292"/>
      <c r="C311" s="192"/>
      <c r="D311" s="192"/>
      <c r="E311" s="192"/>
      <c r="F311" s="192"/>
      <c r="G311" s="192"/>
      <c r="H311" s="192"/>
      <c r="I311" s="192"/>
      <c r="J311" s="192"/>
      <c r="K311" s="192"/>
      <c r="L311" s="192"/>
      <c r="M311" s="192"/>
      <c r="N311" s="192"/>
      <c r="O311" s="192"/>
      <c r="P311" s="192"/>
      <c r="Q311" s="192"/>
      <c r="R311" s="308"/>
      <c r="S311" s="192"/>
      <c r="T311" s="192"/>
      <c r="U311" s="192"/>
      <c r="V311" s="192"/>
      <c r="W311" s="192"/>
      <c r="X311" s="192"/>
      <c r="Y311" s="192"/>
      <c r="Z311" s="192"/>
      <c r="AA311" s="192"/>
      <c r="AB311" s="192"/>
      <c r="AC311" s="192"/>
      <c r="AD311" s="309"/>
      <c r="AE311" s="309"/>
      <c r="AF311" s="309"/>
      <c r="AG311" s="309"/>
      <c r="AH311" s="309"/>
      <c r="AI311" s="309"/>
      <c r="AJ311" s="309"/>
      <c r="AK311" s="309"/>
      <c r="AL311" s="309"/>
      <c r="AM311" s="309"/>
      <c r="AN311" s="309"/>
      <c r="AO311" s="309"/>
      <c r="AP311" s="309"/>
      <c r="AQ311" s="309"/>
      <c r="AR311" s="309"/>
      <c r="AS311" s="308"/>
      <c r="AT311" s="309"/>
      <c r="AU311" s="309"/>
      <c r="AV311" s="309"/>
      <c r="AW311" s="309"/>
      <c r="AX311" s="309"/>
      <c r="AY311" s="309"/>
      <c r="AZ311" s="309"/>
      <c r="BA311" s="309"/>
      <c r="BB311" s="309"/>
      <c r="BC311" s="309"/>
      <c r="BD311" s="309"/>
    </row>
    <row r="312" spans="1:56" hidden="1" outlineLevel="1" x14ac:dyDescent="0.25">
      <c r="A312" s="288"/>
      <c r="B312" s="292"/>
      <c r="C312" s="192"/>
      <c r="D312" s="192"/>
      <c r="E312" s="192"/>
      <c r="F312" s="192"/>
      <c r="G312" s="192"/>
      <c r="H312" s="192"/>
      <c r="I312" s="192"/>
      <c r="J312" s="192"/>
      <c r="K312" s="192"/>
      <c r="L312" s="192"/>
      <c r="M312" s="192"/>
      <c r="N312" s="192"/>
      <c r="O312" s="192"/>
      <c r="P312" s="192"/>
      <c r="Q312" s="192"/>
      <c r="R312" s="308"/>
      <c r="S312" s="192"/>
      <c r="T312" s="192"/>
      <c r="U312" s="192"/>
      <c r="V312" s="192"/>
      <c r="W312" s="192"/>
      <c r="X312" s="192"/>
      <c r="Y312" s="192"/>
      <c r="Z312" s="192"/>
      <c r="AA312" s="192"/>
      <c r="AB312" s="192"/>
      <c r="AC312" s="192"/>
      <c r="AD312" s="309"/>
      <c r="AE312" s="309"/>
      <c r="AF312" s="309"/>
      <c r="AG312" s="309"/>
      <c r="AH312" s="309"/>
      <c r="AI312" s="309"/>
      <c r="AJ312" s="309"/>
      <c r="AK312" s="309"/>
      <c r="AL312" s="309"/>
      <c r="AM312" s="309"/>
      <c r="AN312" s="309"/>
      <c r="AO312" s="309"/>
      <c r="AP312" s="309"/>
      <c r="AQ312" s="309"/>
      <c r="AR312" s="309"/>
      <c r="AS312" s="308"/>
      <c r="AT312" s="309"/>
      <c r="AU312" s="309"/>
      <c r="AV312" s="309"/>
      <c r="AW312" s="309"/>
      <c r="AX312" s="309"/>
      <c r="AY312" s="309"/>
      <c r="AZ312" s="309"/>
      <c r="BA312" s="309"/>
      <c r="BB312" s="309"/>
      <c r="BC312" s="309"/>
      <c r="BD312" s="309"/>
    </row>
    <row r="313" spans="1:56" hidden="1" outlineLevel="1" x14ac:dyDescent="0.25">
      <c r="A313" s="288"/>
      <c r="B313" s="292"/>
      <c r="C313" s="192"/>
      <c r="D313" s="192"/>
      <c r="E313" s="192"/>
      <c r="F313" s="192"/>
      <c r="G313" s="192"/>
      <c r="H313" s="192"/>
      <c r="I313" s="192"/>
      <c r="J313" s="192"/>
      <c r="K313" s="192"/>
      <c r="L313" s="192"/>
      <c r="M313" s="192"/>
      <c r="N313" s="192"/>
      <c r="O313" s="192"/>
      <c r="P313" s="192"/>
      <c r="Q313" s="192"/>
      <c r="R313" s="308"/>
      <c r="S313" s="192"/>
      <c r="T313" s="192"/>
      <c r="U313" s="192"/>
      <c r="V313" s="192"/>
      <c r="W313" s="192"/>
      <c r="X313" s="192"/>
      <c r="Y313" s="192"/>
      <c r="Z313" s="192"/>
      <c r="AA313" s="192"/>
      <c r="AB313" s="192"/>
      <c r="AC313" s="192"/>
      <c r="AD313" s="309"/>
      <c r="AE313" s="309"/>
      <c r="AF313" s="309"/>
      <c r="AG313" s="309"/>
      <c r="AH313" s="309"/>
      <c r="AI313" s="309"/>
      <c r="AJ313" s="309"/>
      <c r="AK313" s="309"/>
      <c r="AL313" s="309"/>
      <c r="AM313" s="309"/>
      <c r="AN313" s="309"/>
      <c r="AO313" s="309"/>
      <c r="AP313" s="309"/>
      <c r="AQ313" s="309"/>
      <c r="AR313" s="309"/>
      <c r="AS313" s="308"/>
      <c r="AT313" s="309"/>
      <c r="AU313" s="309"/>
      <c r="AV313" s="309"/>
      <c r="AW313" s="309"/>
      <c r="AX313" s="309"/>
      <c r="AY313" s="309"/>
      <c r="AZ313" s="309"/>
      <c r="BA313" s="309"/>
      <c r="BB313" s="309"/>
      <c r="BC313" s="309"/>
      <c r="BD313" s="309"/>
    </row>
    <row r="314" spans="1:56" hidden="1" outlineLevel="1" x14ac:dyDescent="0.25">
      <c r="A314" s="288"/>
      <c r="B314" s="292"/>
      <c r="C314" s="192"/>
      <c r="D314" s="192"/>
      <c r="E314" s="192"/>
      <c r="F314" s="192"/>
      <c r="G314" s="192"/>
      <c r="H314" s="192"/>
      <c r="I314" s="192"/>
      <c r="J314" s="192"/>
      <c r="K314" s="192"/>
      <c r="L314" s="192"/>
      <c r="M314" s="192"/>
      <c r="N314" s="192"/>
      <c r="O314" s="192"/>
      <c r="P314" s="192"/>
      <c r="Q314" s="192"/>
      <c r="R314" s="308"/>
      <c r="S314" s="192"/>
      <c r="T314" s="192"/>
      <c r="U314" s="192"/>
      <c r="V314" s="192"/>
      <c r="W314" s="192"/>
      <c r="X314" s="192"/>
      <c r="Y314" s="192"/>
      <c r="Z314" s="192"/>
      <c r="AA314" s="192"/>
      <c r="AB314" s="192"/>
      <c r="AC314" s="192"/>
      <c r="AD314" s="309"/>
      <c r="AE314" s="309"/>
      <c r="AF314" s="309"/>
      <c r="AG314" s="309"/>
      <c r="AH314" s="309"/>
      <c r="AI314" s="309"/>
      <c r="AJ314" s="309"/>
      <c r="AK314" s="309"/>
      <c r="AL314" s="309"/>
      <c r="AM314" s="309"/>
      <c r="AN314" s="309"/>
      <c r="AO314" s="309"/>
      <c r="AP314" s="309"/>
      <c r="AQ314" s="309"/>
      <c r="AR314" s="309"/>
      <c r="AS314" s="308"/>
      <c r="AT314" s="309"/>
      <c r="AU314" s="309"/>
      <c r="AV314" s="309"/>
      <c r="AW314" s="309"/>
      <c r="AX314" s="309"/>
      <c r="AY314" s="309"/>
      <c r="AZ314" s="309"/>
      <c r="BA314" s="309"/>
      <c r="BB314" s="309"/>
      <c r="BC314" s="309"/>
      <c r="BD314" s="309"/>
    </row>
    <row r="315" spans="1:56" hidden="1" outlineLevel="1" x14ac:dyDescent="0.25">
      <c r="A315" s="288"/>
      <c r="B315" s="292"/>
      <c r="C315" s="192"/>
      <c r="D315" s="192"/>
      <c r="E315" s="192"/>
      <c r="F315" s="192"/>
      <c r="G315" s="192"/>
      <c r="H315" s="192"/>
      <c r="I315" s="192"/>
      <c r="J315" s="192"/>
      <c r="K315" s="192"/>
      <c r="L315" s="192"/>
      <c r="M315" s="192"/>
      <c r="N315" s="192"/>
      <c r="O315" s="192"/>
      <c r="P315" s="192"/>
      <c r="Q315" s="192"/>
      <c r="R315" s="308"/>
      <c r="S315" s="192"/>
      <c r="T315" s="192"/>
      <c r="U315" s="192"/>
      <c r="V315" s="192"/>
      <c r="W315" s="192"/>
      <c r="X315" s="192"/>
      <c r="Y315" s="192"/>
      <c r="Z315" s="192"/>
      <c r="AA315" s="192"/>
      <c r="AB315" s="192"/>
      <c r="AC315" s="192"/>
      <c r="AD315" s="309"/>
      <c r="AE315" s="309"/>
      <c r="AF315" s="309"/>
      <c r="AG315" s="309"/>
      <c r="AH315" s="309"/>
      <c r="AI315" s="309"/>
      <c r="AJ315" s="309"/>
      <c r="AK315" s="309"/>
      <c r="AL315" s="309"/>
      <c r="AM315" s="309"/>
      <c r="AN315" s="309"/>
      <c r="AO315" s="309"/>
      <c r="AP315" s="309"/>
      <c r="AQ315" s="309"/>
      <c r="AR315" s="309"/>
      <c r="AS315" s="308"/>
      <c r="AT315" s="309"/>
      <c r="AU315" s="309"/>
      <c r="AV315" s="309"/>
      <c r="AW315" s="309"/>
      <c r="AX315" s="309"/>
      <c r="AY315" s="309"/>
      <c r="AZ315" s="309"/>
      <c r="BA315" s="309"/>
      <c r="BB315" s="309"/>
      <c r="BC315" s="309"/>
      <c r="BD315" s="309"/>
    </row>
    <row r="316" spans="1:56" hidden="1" outlineLevel="1" x14ac:dyDescent="0.25">
      <c r="A316" s="288"/>
      <c r="B316" s="292"/>
      <c r="C316" s="192"/>
      <c r="D316" s="192"/>
      <c r="E316" s="192"/>
      <c r="F316" s="192"/>
      <c r="G316" s="192"/>
      <c r="H316" s="192"/>
      <c r="I316" s="192"/>
      <c r="J316" s="192"/>
      <c r="K316" s="192"/>
      <c r="L316" s="192"/>
      <c r="M316" s="192"/>
      <c r="N316" s="192"/>
      <c r="O316" s="192"/>
      <c r="P316" s="192"/>
      <c r="Q316" s="192"/>
      <c r="R316" s="308"/>
      <c r="S316" s="192"/>
      <c r="T316" s="192"/>
      <c r="U316" s="192"/>
      <c r="V316" s="192"/>
      <c r="W316" s="192"/>
      <c r="X316" s="192"/>
      <c r="Y316" s="192"/>
      <c r="Z316" s="192"/>
      <c r="AA316" s="192"/>
      <c r="AB316" s="192"/>
      <c r="AC316" s="192"/>
      <c r="AD316" s="309"/>
      <c r="AE316" s="309"/>
      <c r="AF316" s="309"/>
      <c r="AG316" s="309"/>
      <c r="AH316" s="309"/>
      <c r="AI316" s="309"/>
      <c r="AJ316" s="309"/>
      <c r="AK316" s="309"/>
      <c r="AL316" s="309"/>
      <c r="AM316" s="309"/>
      <c r="AN316" s="309"/>
      <c r="AO316" s="309"/>
      <c r="AP316" s="309"/>
      <c r="AQ316" s="309"/>
      <c r="AR316" s="309"/>
      <c r="AS316" s="308"/>
      <c r="AT316" s="309"/>
      <c r="AU316" s="309"/>
      <c r="AV316" s="309"/>
      <c r="AW316" s="309"/>
      <c r="AX316" s="309"/>
      <c r="AY316" s="309"/>
      <c r="AZ316" s="309"/>
      <c r="BA316" s="309"/>
      <c r="BB316" s="309"/>
      <c r="BC316" s="309"/>
      <c r="BD316" s="309"/>
    </row>
    <row r="317" spans="1:56" hidden="1" outlineLevel="1" x14ac:dyDescent="0.25">
      <c r="A317" s="288"/>
      <c r="B317" s="292"/>
      <c r="C317" s="192"/>
      <c r="D317" s="192"/>
      <c r="E317" s="192"/>
      <c r="F317" s="192"/>
      <c r="G317" s="192"/>
      <c r="H317" s="192"/>
      <c r="I317" s="192"/>
      <c r="J317" s="192"/>
      <c r="K317" s="192"/>
      <c r="L317" s="192"/>
      <c r="M317" s="192"/>
      <c r="N317" s="192"/>
      <c r="O317" s="192"/>
      <c r="P317" s="192"/>
      <c r="Q317" s="192"/>
      <c r="R317" s="308"/>
      <c r="S317" s="192"/>
      <c r="T317" s="192"/>
      <c r="U317" s="192"/>
      <c r="V317" s="192"/>
      <c r="W317" s="192"/>
      <c r="X317" s="192"/>
      <c r="Y317" s="192"/>
      <c r="Z317" s="192"/>
      <c r="AA317" s="192"/>
      <c r="AB317" s="192"/>
      <c r="AC317" s="192"/>
      <c r="AD317" s="309"/>
      <c r="AE317" s="309"/>
      <c r="AF317" s="309"/>
      <c r="AG317" s="309"/>
      <c r="AH317" s="309"/>
      <c r="AI317" s="309"/>
      <c r="AJ317" s="309"/>
      <c r="AK317" s="309"/>
      <c r="AL317" s="309"/>
      <c r="AM317" s="309"/>
      <c r="AN317" s="309"/>
      <c r="AO317" s="309"/>
      <c r="AP317" s="309"/>
      <c r="AQ317" s="309"/>
      <c r="AR317" s="309"/>
      <c r="AS317" s="308"/>
      <c r="AT317" s="309"/>
      <c r="AU317" s="309"/>
      <c r="AV317" s="309"/>
      <c r="AW317" s="309"/>
      <c r="AX317" s="309"/>
      <c r="AY317" s="309"/>
      <c r="AZ317" s="309"/>
      <c r="BA317" s="309"/>
      <c r="BB317" s="309"/>
      <c r="BC317" s="309"/>
      <c r="BD317" s="309"/>
    </row>
    <row r="318" spans="1:56" hidden="1" outlineLevel="1" x14ac:dyDescent="0.25">
      <c r="A318" s="288"/>
      <c r="B318" s="292"/>
      <c r="C318" s="192"/>
      <c r="D318" s="192"/>
      <c r="E318" s="192"/>
      <c r="F318" s="192"/>
      <c r="G318" s="192"/>
      <c r="H318" s="192"/>
      <c r="I318" s="192"/>
      <c r="J318" s="192"/>
      <c r="K318" s="192"/>
      <c r="L318" s="192"/>
      <c r="M318" s="192"/>
      <c r="N318" s="192"/>
      <c r="O318" s="192"/>
      <c r="P318" s="192"/>
      <c r="Q318" s="192"/>
      <c r="R318" s="308"/>
      <c r="S318" s="192"/>
      <c r="T318" s="192"/>
      <c r="U318" s="192"/>
      <c r="V318" s="192"/>
      <c r="W318" s="192"/>
      <c r="X318" s="192"/>
      <c r="Y318" s="192"/>
      <c r="Z318" s="192"/>
      <c r="AA318" s="192"/>
      <c r="AB318" s="192"/>
      <c r="AC318" s="192"/>
      <c r="AD318" s="309"/>
      <c r="AE318" s="309"/>
      <c r="AF318" s="309"/>
      <c r="AG318" s="309"/>
      <c r="AH318" s="309"/>
      <c r="AI318" s="309"/>
      <c r="AJ318" s="309"/>
      <c r="AK318" s="309"/>
      <c r="AL318" s="309"/>
      <c r="AM318" s="309"/>
      <c r="AN318" s="309"/>
      <c r="AO318" s="309"/>
      <c r="AP318" s="309"/>
      <c r="AQ318" s="309"/>
      <c r="AR318" s="309"/>
      <c r="AS318" s="308"/>
      <c r="AT318" s="309"/>
      <c r="AU318" s="309"/>
      <c r="AV318" s="309"/>
      <c r="AW318" s="309"/>
      <c r="AX318" s="309"/>
      <c r="AY318" s="309"/>
      <c r="AZ318" s="309"/>
      <c r="BA318" s="309"/>
      <c r="BB318" s="309"/>
      <c r="BC318" s="309"/>
      <c r="BD318" s="309"/>
    </row>
    <row r="319" spans="1:56" hidden="1" outlineLevel="1" x14ac:dyDescent="0.25">
      <c r="A319" s="288"/>
      <c r="B319" s="292"/>
      <c r="C319" s="192"/>
      <c r="D319" s="192"/>
      <c r="E319" s="192"/>
      <c r="F319" s="192"/>
      <c r="G319" s="192"/>
      <c r="H319" s="192"/>
      <c r="I319" s="192"/>
      <c r="J319" s="192"/>
      <c r="K319" s="192"/>
      <c r="L319" s="192"/>
      <c r="M319" s="192"/>
      <c r="N319" s="192"/>
      <c r="O319" s="192"/>
      <c r="P319" s="192"/>
      <c r="Q319" s="192"/>
      <c r="R319" s="308"/>
      <c r="S319" s="192"/>
      <c r="T319" s="192"/>
      <c r="U319" s="192"/>
      <c r="V319" s="192"/>
      <c r="W319" s="192"/>
      <c r="X319" s="192"/>
      <c r="Y319" s="192"/>
      <c r="Z319" s="192"/>
      <c r="AA319" s="192"/>
      <c r="AB319" s="192"/>
      <c r="AC319" s="192"/>
      <c r="AD319" s="309"/>
      <c r="AE319" s="309"/>
      <c r="AF319" s="309"/>
      <c r="AG319" s="309"/>
      <c r="AH319" s="309"/>
      <c r="AI319" s="309"/>
      <c r="AJ319" s="309"/>
      <c r="AK319" s="309"/>
      <c r="AL319" s="309"/>
      <c r="AM319" s="309"/>
      <c r="AN319" s="309"/>
      <c r="AO319" s="309"/>
      <c r="AP319" s="309"/>
      <c r="AQ319" s="309"/>
      <c r="AR319" s="309"/>
      <c r="AS319" s="308"/>
      <c r="AT319" s="309"/>
      <c r="AU319" s="309"/>
      <c r="AV319" s="309"/>
      <c r="AW319" s="309"/>
      <c r="AX319" s="309"/>
      <c r="AY319" s="309"/>
      <c r="AZ319" s="309"/>
      <c r="BA319" s="309"/>
      <c r="BB319" s="309"/>
      <c r="BC319" s="309"/>
      <c r="BD319" s="309"/>
    </row>
    <row r="320" spans="1:56" hidden="1" outlineLevel="1" x14ac:dyDescent="0.25">
      <c r="A320" s="288"/>
      <c r="B320" s="292"/>
      <c r="C320" s="192"/>
      <c r="D320" s="192"/>
      <c r="E320" s="192"/>
      <c r="F320" s="192"/>
      <c r="G320" s="192"/>
      <c r="H320" s="192"/>
      <c r="I320" s="192"/>
      <c r="J320" s="192"/>
      <c r="K320" s="192"/>
      <c r="L320" s="192"/>
      <c r="M320" s="192"/>
      <c r="N320" s="192"/>
      <c r="O320" s="192"/>
      <c r="P320" s="192"/>
      <c r="Q320" s="192"/>
      <c r="R320" s="308"/>
      <c r="S320" s="192"/>
      <c r="T320" s="192"/>
      <c r="U320" s="192"/>
      <c r="V320" s="192"/>
      <c r="W320" s="192"/>
      <c r="X320" s="192"/>
      <c r="Y320" s="192"/>
      <c r="Z320" s="192"/>
      <c r="AA320" s="192"/>
      <c r="AB320" s="192"/>
      <c r="AC320" s="192"/>
      <c r="AD320" s="309"/>
      <c r="AE320" s="309"/>
      <c r="AF320" s="309"/>
      <c r="AG320" s="309"/>
      <c r="AH320" s="309"/>
      <c r="AI320" s="309"/>
      <c r="AJ320" s="309"/>
      <c r="AK320" s="309"/>
      <c r="AL320" s="309"/>
      <c r="AM320" s="309"/>
      <c r="AN320" s="309"/>
      <c r="AO320" s="309"/>
      <c r="AP320" s="309"/>
      <c r="AQ320" s="309"/>
      <c r="AR320" s="309"/>
      <c r="AS320" s="308"/>
      <c r="AT320" s="309"/>
      <c r="AU320" s="309"/>
      <c r="AV320" s="309"/>
      <c r="AW320" s="309"/>
      <c r="AX320" s="309"/>
      <c r="AY320" s="309"/>
      <c r="AZ320" s="309"/>
      <c r="BA320" s="309"/>
      <c r="BB320" s="309"/>
      <c r="BC320" s="309"/>
      <c r="BD320" s="309"/>
    </row>
    <row r="321" spans="1:56" hidden="1" outlineLevel="1" x14ac:dyDescent="0.25">
      <c r="A321" s="288"/>
      <c r="B321" s="292"/>
      <c r="C321" s="192"/>
      <c r="D321" s="192"/>
      <c r="E321" s="192"/>
      <c r="F321" s="192"/>
      <c r="G321" s="192"/>
      <c r="H321" s="192"/>
      <c r="I321" s="192"/>
      <c r="J321" s="192"/>
      <c r="K321" s="192"/>
      <c r="L321" s="192"/>
      <c r="M321" s="192"/>
      <c r="N321" s="192"/>
      <c r="O321" s="192"/>
      <c r="P321" s="192"/>
      <c r="Q321" s="192"/>
      <c r="R321" s="308"/>
      <c r="S321" s="192"/>
      <c r="T321" s="192"/>
      <c r="U321" s="192"/>
      <c r="V321" s="192"/>
      <c r="W321" s="192"/>
      <c r="X321" s="192"/>
      <c r="Y321" s="192"/>
      <c r="Z321" s="192"/>
      <c r="AA321" s="192"/>
      <c r="AB321" s="192"/>
      <c r="AC321" s="192"/>
      <c r="AD321" s="309"/>
      <c r="AE321" s="309"/>
      <c r="AF321" s="309"/>
      <c r="AG321" s="309"/>
      <c r="AH321" s="309"/>
      <c r="AI321" s="309"/>
      <c r="AJ321" s="309"/>
      <c r="AK321" s="309"/>
      <c r="AL321" s="309"/>
      <c r="AM321" s="309"/>
      <c r="AN321" s="309"/>
      <c r="AO321" s="309"/>
      <c r="AP321" s="309"/>
      <c r="AQ321" s="309"/>
      <c r="AR321" s="309"/>
      <c r="AS321" s="308"/>
      <c r="AT321" s="309"/>
      <c r="AU321" s="309"/>
      <c r="AV321" s="309"/>
      <c r="AW321" s="309"/>
      <c r="AX321" s="309"/>
      <c r="AY321" s="309"/>
      <c r="AZ321" s="309"/>
      <c r="BA321" s="309"/>
      <c r="BB321" s="309"/>
      <c r="BC321" s="309"/>
      <c r="BD321" s="309"/>
    </row>
    <row r="322" spans="1:56" hidden="1" outlineLevel="1" x14ac:dyDescent="0.25">
      <c r="A322" s="288"/>
      <c r="B322" s="292"/>
      <c r="C322" s="192"/>
      <c r="D322" s="192"/>
      <c r="E322" s="192"/>
      <c r="F322" s="192"/>
      <c r="G322" s="192"/>
      <c r="H322" s="192"/>
      <c r="I322" s="192"/>
      <c r="J322" s="192"/>
      <c r="K322" s="192"/>
      <c r="L322" s="192"/>
      <c r="M322" s="192"/>
      <c r="N322" s="192"/>
      <c r="O322" s="192"/>
      <c r="P322" s="192"/>
      <c r="Q322" s="192"/>
      <c r="R322" s="308"/>
      <c r="S322" s="192"/>
      <c r="T322" s="192"/>
      <c r="U322" s="192"/>
      <c r="V322" s="192"/>
      <c r="W322" s="192"/>
      <c r="X322" s="192"/>
      <c r="Y322" s="192"/>
      <c r="Z322" s="192"/>
      <c r="AA322" s="192"/>
      <c r="AB322" s="192"/>
      <c r="AC322" s="192"/>
      <c r="AD322" s="309"/>
      <c r="AE322" s="309"/>
      <c r="AF322" s="309"/>
      <c r="AG322" s="309"/>
      <c r="AH322" s="309"/>
      <c r="AI322" s="309"/>
      <c r="AJ322" s="309"/>
      <c r="AK322" s="309"/>
      <c r="AL322" s="309"/>
      <c r="AM322" s="309"/>
      <c r="AN322" s="309"/>
      <c r="AO322" s="309"/>
      <c r="AP322" s="309"/>
      <c r="AQ322" s="309"/>
      <c r="AR322" s="309"/>
      <c r="AS322" s="308"/>
      <c r="AT322" s="309"/>
      <c r="AU322" s="309"/>
      <c r="AV322" s="309"/>
      <c r="AW322" s="309"/>
      <c r="AX322" s="309"/>
      <c r="AY322" s="309"/>
      <c r="AZ322" s="309"/>
      <c r="BA322" s="309"/>
      <c r="BB322" s="309"/>
      <c r="BC322" s="309"/>
      <c r="BD322" s="309"/>
    </row>
    <row r="323" spans="1:56" hidden="1" outlineLevel="1" x14ac:dyDescent="0.25">
      <c r="A323" s="288"/>
      <c r="B323" s="292"/>
      <c r="C323" s="192"/>
      <c r="D323" s="192"/>
      <c r="E323" s="192"/>
      <c r="F323" s="192"/>
      <c r="G323" s="192"/>
      <c r="H323" s="192"/>
      <c r="I323" s="192"/>
      <c r="J323" s="192"/>
      <c r="K323" s="192"/>
      <c r="L323" s="192"/>
      <c r="M323" s="192"/>
      <c r="N323" s="192"/>
      <c r="O323" s="192"/>
      <c r="P323" s="192"/>
      <c r="Q323" s="192"/>
      <c r="R323" s="308"/>
      <c r="S323" s="192"/>
      <c r="T323" s="192"/>
      <c r="U323" s="192"/>
      <c r="V323" s="192"/>
      <c r="W323" s="192"/>
      <c r="X323" s="192"/>
      <c r="Y323" s="192"/>
      <c r="Z323" s="192"/>
      <c r="AA323" s="192"/>
      <c r="AB323" s="192"/>
      <c r="AC323" s="192"/>
      <c r="AD323" s="309"/>
      <c r="AE323" s="309"/>
      <c r="AF323" s="309"/>
      <c r="AG323" s="309"/>
      <c r="AH323" s="309"/>
      <c r="AI323" s="309"/>
      <c r="AJ323" s="309"/>
      <c r="AK323" s="309"/>
      <c r="AL323" s="309"/>
      <c r="AM323" s="309"/>
      <c r="AN323" s="309"/>
      <c r="AO323" s="309"/>
      <c r="AP323" s="309"/>
      <c r="AQ323" s="309"/>
      <c r="AR323" s="309"/>
      <c r="AS323" s="308"/>
      <c r="AT323" s="309"/>
      <c r="AU323" s="309"/>
      <c r="AV323" s="309"/>
      <c r="AW323" s="309"/>
      <c r="AX323" s="309"/>
      <c r="AY323" s="309"/>
      <c r="AZ323" s="309"/>
      <c r="BA323" s="309"/>
      <c r="BB323" s="309"/>
      <c r="BC323" s="309"/>
      <c r="BD323" s="309"/>
    </row>
    <row r="324" spans="1:56" hidden="1" outlineLevel="1" x14ac:dyDescent="0.25">
      <c r="A324" s="288"/>
      <c r="B324" s="292"/>
      <c r="C324" s="192"/>
      <c r="D324" s="192"/>
      <c r="E324" s="192"/>
      <c r="F324" s="192"/>
      <c r="G324" s="192"/>
      <c r="H324" s="192"/>
      <c r="I324" s="192"/>
      <c r="J324" s="192"/>
      <c r="K324" s="192"/>
      <c r="L324" s="192"/>
      <c r="M324" s="192"/>
      <c r="N324" s="192"/>
      <c r="O324" s="192"/>
      <c r="P324" s="192"/>
      <c r="Q324" s="192"/>
      <c r="R324" s="308"/>
      <c r="S324" s="192"/>
      <c r="T324" s="192"/>
      <c r="U324" s="192"/>
      <c r="V324" s="192"/>
      <c r="W324" s="192"/>
      <c r="X324" s="192"/>
      <c r="Y324" s="192"/>
      <c r="Z324" s="192"/>
      <c r="AA324" s="192"/>
      <c r="AB324" s="192"/>
      <c r="AC324" s="192"/>
      <c r="AD324" s="309"/>
      <c r="AE324" s="309"/>
      <c r="AF324" s="309"/>
      <c r="AG324" s="309"/>
      <c r="AH324" s="309"/>
      <c r="AI324" s="309"/>
      <c r="AJ324" s="309"/>
      <c r="AK324" s="309"/>
      <c r="AL324" s="309"/>
      <c r="AM324" s="309"/>
      <c r="AN324" s="309"/>
      <c r="AO324" s="309"/>
      <c r="AP324" s="309"/>
      <c r="AQ324" s="309"/>
      <c r="AR324" s="309"/>
      <c r="AS324" s="308"/>
      <c r="AT324" s="309"/>
      <c r="AU324" s="309"/>
      <c r="AV324" s="309"/>
      <c r="AW324" s="309"/>
      <c r="AX324" s="309"/>
      <c r="AY324" s="309"/>
      <c r="AZ324" s="309"/>
      <c r="BA324" s="309"/>
      <c r="BB324" s="309"/>
      <c r="BC324" s="309"/>
      <c r="BD324" s="309"/>
    </row>
    <row r="325" spans="1:56" hidden="1" outlineLevel="1" x14ac:dyDescent="0.25">
      <c r="A325" s="288"/>
      <c r="B325" s="292"/>
      <c r="C325" s="192"/>
      <c r="D325" s="192"/>
      <c r="E325" s="192"/>
      <c r="F325" s="192"/>
      <c r="G325" s="192"/>
      <c r="H325" s="192"/>
      <c r="I325" s="192"/>
      <c r="J325" s="192"/>
      <c r="K325" s="192"/>
      <c r="L325" s="192"/>
      <c r="M325" s="192"/>
      <c r="N325" s="192"/>
      <c r="O325" s="192"/>
      <c r="P325" s="192"/>
      <c r="Q325" s="192"/>
      <c r="R325" s="308"/>
      <c r="S325" s="192"/>
      <c r="T325" s="192"/>
      <c r="U325" s="192"/>
      <c r="V325" s="192"/>
      <c r="W325" s="192"/>
      <c r="X325" s="192"/>
      <c r="Y325" s="192"/>
      <c r="Z325" s="192"/>
      <c r="AA325" s="192"/>
      <c r="AB325" s="192"/>
      <c r="AC325" s="192"/>
      <c r="AD325" s="309"/>
      <c r="AE325" s="309"/>
      <c r="AF325" s="309"/>
      <c r="AG325" s="309"/>
      <c r="AH325" s="309"/>
      <c r="AI325" s="309"/>
      <c r="AJ325" s="309"/>
      <c r="AK325" s="309"/>
      <c r="AL325" s="309"/>
      <c r="AM325" s="309"/>
      <c r="AN325" s="309"/>
      <c r="AO325" s="309"/>
      <c r="AP325" s="309"/>
      <c r="AQ325" s="309"/>
      <c r="AR325" s="309"/>
      <c r="AS325" s="308"/>
      <c r="AT325" s="309"/>
      <c r="AU325" s="309"/>
      <c r="AV325" s="309"/>
      <c r="AW325" s="309"/>
      <c r="AX325" s="309"/>
      <c r="AY325" s="309"/>
      <c r="AZ325" s="309"/>
      <c r="BA325" s="309"/>
      <c r="BB325" s="309"/>
      <c r="BC325" s="309"/>
      <c r="BD325" s="309"/>
    </row>
    <row r="326" spans="1:56" hidden="1" outlineLevel="1" x14ac:dyDescent="0.25">
      <c r="A326" s="288"/>
      <c r="B326" s="292"/>
      <c r="C326" s="192"/>
      <c r="D326" s="192"/>
      <c r="E326" s="192"/>
      <c r="F326" s="192"/>
      <c r="G326" s="192"/>
      <c r="H326" s="192"/>
      <c r="I326" s="192"/>
      <c r="J326" s="192"/>
      <c r="K326" s="192"/>
      <c r="L326" s="192"/>
      <c r="M326" s="192"/>
      <c r="N326" s="192"/>
      <c r="O326" s="192"/>
      <c r="P326" s="192"/>
      <c r="Q326" s="192"/>
      <c r="R326" s="308"/>
      <c r="S326" s="192"/>
      <c r="T326" s="192"/>
      <c r="U326" s="192"/>
      <c r="V326" s="192"/>
      <c r="W326" s="192"/>
      <c r="X326" s="192"/>
      <c r="Y326" s="192"/>
      <c r="Z326" s="192"/>
      <c r="AA326" s="192"/>
      <c r="AB326" s="192"/>
      <c r="AC326" s="192"/>
      <c r="AD326" s="309"/>
      <c r="AE326" s="309"/>
      <c r="AF326" s="309"/>
      <c r="AG326" s="309"/>
      <c r="AH326" s="309"/>
      <c r="AI326" s="309"/>
      <c r="AJ326" s="309"/>
      <c r="AK326" s="309"/>
      <c r="AL326" s="309"/>
      <c r="AM326" s="309"/>
      <c r="AN326" s="309"/>
      <c r="AO326" s="309"/>
      <c r="AP326" s="309"/>
      <c r="AQ326" s="309"/>
      <c r="AR326" s="309"/>
      <c r="AS326" s="308"/>
      <c r="AT326" s="309"/>
      <c r="AU326" s="309"/>
      <c r="AV326" s="309"/>
      <c r="AW326" s="309"/>
      <c r="AX326" s="309"/>
      <c r="AY326" s="309"/>
      <c r="AZ326" s="309"/>
      <c r="BA326" s="309"/>
      <c r="BB326" s="309"/>
      <c r="BC326" s="309"/>
      <c r="BD326" s="309"/>
    </row>
    <row r="327" spans="1:56" hidden="1" outlineLevel="1" x14ac:dyDescent="0.25">
      <c r="A327" s="288"/>
      <c r="B327" s="292"/>
      <c r="C327" s="192"/>
      <c r="D327" s="192"/>
      <c r="E327" s="192"/>
      <c r="F327" s="192"/>
      <c r="G327" s="192"/>
      <c r="H327" s="192"/>
      <c r="I327" s="192"/>
      <c r="J327" s="192"/>
      <c r="K327" s="192"/>
      <c r="L327" s="192"/>
      <c r="M327" s="192"/>
      <c r="N327" s="192"/>
      <c r="O327" s="192"/>
      <c r="P327" s="192"/>
      <c r="Q327" s="192"/>
      <c r="R327" s="308"/>
      <c r="S327" s="192"/>
      <c r="T327" s="192"/>
      <c r="U327" s="192"/>
      <c r="V327" s="192"/>
      <c r="W327" s="192"/>
      <c r="X327" s="192"/>
      <c r="Y327" s="192"/>
      <c r="Z327" s="192"/>
      <c r="AA327" s="192"/>
      <c r="AB327" s="192"/>
      <c r="AC327" s="192"/>
      <c r="AD327" s="309"/>
      <c r="AE327" s="309"/>
      <c r="AF327" s="309"/>
      <c r="AG327" s="309"/>
      <c r="AH327" s="309"/>
      <c r="AI327" s="309"/>
      <c r="AJ327" s="309"/>
      <c r="AK327" s="309"/>
      <c r="AL327" s="309"/>
      <c r="AM327" s="309"/>
      <c r="AN327" s="309"/>
      <c r="AO327" s="309"/>
      <c r="AP327" s="309"/>
      <c r="AQ327" s="309"/>
      <c r="AR327" s="309"/>
      <c r="AS327" s="308"/>
      <c r="AT327" s="309"/>
      <c r="AU327" s="309"/>
      <c r="AV327" s="309"/>
      <c r="AW327" s="309"/>
      <c r="AX327" s="309"/>
      <c r="AY327" s="309"/>
      <c r="AZ327" s="309"/>
      <c r="BA327" s="309"/>
      <c r="BB327" s="309"/>
      <c r="BC327" s="309"/>
      <c r="BD327" s="309"/>
    </row>
    <row r="328" spans="1:56" hidden="1" outlineLevel="1" x14ac:dyDescent="0.25">
      <c r="A328" s="288"/>
      <c r="B328" s="292"/>
      <c r="C328" s="192"/>
      <c r="D328" s="192"/>
      <c r="E328" s="192"/>
      <c r="F328" s="192"/>
      <c r="G328" s="192"/>
      <c r="H328" s="192"/>
      <c r="I328" s="192"/>
      <c r="J328" s="192"/>
      <c r="K328" s="192"/>
      <c r="L328" s="192"/>
      <c r="M328" s="192"/>
      <c r="N328" s="192"/>
      <c r="O328" s="192"/>
      <c r="P328" s="192"/>
      <c r="Q328" s="192"/>
      <c r="R328" s="308"/>
      <c r="S328" s="192"/>
      <c r="T328" s="192"/>
      <c r="U328" s="192"/>
      <c r="V328" s="192"/>
      <c r="W328" s="192"/>
      <c r="X328" s="192"/>
      <c r="Y328" s="192"/>
      <c r="Z328" s="192"/>
      <c r="AA328" s="192"/>
      <c r="AB328" s="192"/>
      <c r="AC328" s="192"/>
      <c r="AD328" s="309"/>
      <c r="AE328" s="309"/>
      <c r="AF328" s="309"/>
      <c r="AG328" s="309"/>
      <c r="AH328" s="309"/>
      <c r="AI328" s="309"/>
      <c r="AJ328" s="309"/>
      <c r="AK328" s="309"/>
      <c r="AL328" s="309"/>
      <c r="AM328" s="309"/>
      <c r="AN328" s="309"/>
      <c r="AO328" s="309"/>
      <c r="AP328" s="309"/>
      <c r="AQ328" s="309"/>
      <c r="AR328" s="309"/>
      <c r="AS328" s="308"/>
      <c r="AT328" s="309"/>
      <c r="AU328" s="309"/>
      <c r="AV328" s="309"/>
      <c r="AW328" s="309"/>
      <c r="AX328" s="309"/>
      <c r="AY328" s="309"/>
      <c r="AZ328" s="309"/>
      <c r="BA328" s="309"/>
      <c r="BB328" s="309"/>
      <c r="BC328" s="309"/>
      <c r="BD328" s="309"/>
    </row>
    <row r="329" spans="1:56" hidden="1" outlineLevel="1" x14ac:dyDescent="0.25">
      <c r="A329" s="288"/>
      <c r="B329" s="292"/>
      <c r="C329" s="192"/>
      <c r="D329" s="192"/>
      <c r="E329" s="192"/>
      <c r="F329" s="192"/>
      <c r="G329" s="192"/>
      <c r="H329" s="192"/>
      <c r="I329" s="192"/>
      <c r="J329" s="192"/>
      <c r="K329" s="192"/>
      <c r="L329" s="192"/>
      <c r="M329" s="192"/>
      <c r="N329" s="192"/>
      <c r="O329" s="192"/>
      <c r="P329" s="192"/>
      <c r="Q329" s="192"/>
      <c r="R329" s="308"/>
      <c r="S329" s="192"/>
      <c r="T329" s="192"/>
      <c r="U329" s="192"/>
      <c r="V329" s="192"/>
      <c r="W329" s="192"/>
      <c r="X329" s="192"/>
      <c r="Y329" s="192"/>
      <c r="Z329" s="192"/>
      <c r="AA329" s="192"/>
      <c r="AB329" s="192"/>
      <c r="AC329" s="192"/>
      <c r="AD329" s="309"/>
      <c r="AE329" s="309"/>
      <c r="AF329" s="309"/>
      <c r="AG329" s="309"/>
      <c r="AH329" s="309"/>
      <c r="AI329" s="309"/>
      <c r="AJ329" s="309"/>
      <c r="AK329" s="309"/>
      <c r="AL329" s="309"/>
      <c r="AM329" s="309"/>
      <c r="AN329" s="309"/>
      <c r="AO329" s="309"/>
      <c r="AP329" s="309"/>
      <c r="AQ329" s="309"/>
      <c r="AR329" s="309"/>
      <c r="AS329" s="308"/>
      <c r="AT329" s="309"/>
      <c r="AU329" s="309"/>
      <c r="AV329" s="309"/>
      <c r="AW329" s="309"/>
      <c r="AX329" s="309"/>
      <c r="AY329" s="309"/>
      <c r="AZ329" s="309"/>
      <c r="BA329" s="309"/>
      <c r="BB329" s="309"/>
      <c r="BC329" s="309"/>
      <c r="BD329" s="309"/>
    </row>
    <row r="330" spans="1:56" hidden="1" outlineLevel="1" x14ac:dyDescent="0.25">
      <c r="A330" s="288"/>
      <c r="B330" s="292"/>
      <c r="C330" s="192"/>
      <c r="D330" s="192"/>
      <c r="E330" s="192"/>
      <c r="F330" s="192"/>
      <c r="G330" s="192"/>
      <c r="H330" s="192"/>
      <c r="I330" s="192"/>
      <c r="J330" s="192"/>
      <c r="K330" s="192"/>
      <c r="L330" s="192"/>
      <c r="M330" s="192"/>
      <c r="N330" s="192"/>
      <c r="O330" s="192"/>
      <c r="P330" s="192"/>
      <c r="Q330" s="192"/>
      <c r="R330" s="308"/>
      <c r="S330" s="192"/>
      <c r="T330" s="192"/>
      <c r="U330" s="192"/>
      <c r="V330" s="192"/>
      <c r="W330" s="192"/>
      <c r="X330" s="192"/>
      <c r="Y330" s="192"/>
      <c r="Z330" s="192"/>
      <c r="AA330" s="192"/>
      <c r="AB330" s="192"/>
      <c r="AC330" s="192"/>
      <c r="AD330" s="309"/>
      <c r="AE330" s="309"/>
      <c r="AF330" s="309"/>
      <c r="AG330" s="309"/>
      <c r="AH330" s="309"/>
      <c r="AI330" s="309"/>
      <c r="AJ330" s="309"/>
      <c r="AK330" s="309"/>
      <c r="AL330" s="309"/>
      <c r="AM330" s="309"/>
      <c r="AN330" s="309"/>
      <c r="AO330" s="309"/>
      <c r="AP330" s="309"/>
      <c r="AQ330" s="309"/>
      <c r="AR330" s="309"/>
      <c r="AS330" s="308"/>
      <c r="AT330" s="309"/>
      <c r="AU330" s="309"/>
      <c r="AV330" s="309"/>
      <c r="AW330" s="309"/>
      <c r="AX330" s="309"/>
      <c r="AY330" s="309"/>
      <c r="AZ330" s="309"/>
      <c r="BA330" s="309"/>
      <c r="BB330" s="309"/>
      <c r="BC330" s="309"/>
      <c r="BD330" s="309"/>
    </row>
    <row r="331" spans="1:56" hidden="1" outlineLevel="1" x14ac:dyDescent="0.25">
      <c r="A331" s="288"/>
      <c r="B331" s="292"/>
      <c r="C331" s="192"/>
      <c r="D331" s="192"/>
      <c r="E331" s="192"/>
      <c r="F331" s="192"/>
      <c r="G331" s="192"/>
      <c r="H331" s="192"/>
      <c r="I331" s="192"/>
      <c r="J331" s="192"/>
      <c r="K331" s="192"/>
      <c r="L331" s="192"/>
      <c r="M331" s="192"/>
      <c r="N331" s="192"/>
      <c r="O331" s="192"/>
      <c r="P331" s="192"/>
      <c r="Q331" s="192"/>
      <c r="R331" s="308"/>
      <c r="S331" s="192"/>
      <c r="T331" s="192"/>
      <c r="U331" s="192"/>
      <c r="V331" s="192"/>
      <c r="W331" s="192"/>
      <c r="X331" s="192"/>
      <c r="Y331" s="192"/>
      <c r="Z331" s="192"/>
      <c r="AA331" s="192"/>
      <c r="AB331" s="192"/>
      <c r="AC331" s="192"/>
      <c r="AD331" s="309"/>
      <c r="AE331" s="309"/>
      <c r="AF331" s="309"/>
      <c r="AG331" s="309"/>
      <c r="AH331" s="309"/>
      <c r="AI331" s="309"/>
      <c r="AJ331" s="309"/>
      <c r="AK331" s="309"/>
      <c r="AL331" s="309"/>
      <c r="AM331" s="309"/>
      <c r="AN331" s="309"/>
      <c r="AO331" s="309"/>
      <c r="AP331" s="309"/>
      <c r="AQ331" s="309"/>
      <c r="AR331" s="309"/>
      <c r="AS331" s="308"/>
      <c r="AT331" s="309"/>
      <c r="AU331" s="309"/>
      <c r="AV331" s="309"/>
      <c r="AW331" s="309"/>
      <c r="AX331" s="309"/>
      <c r="AY331" s="309"/>
      <c r="AZ331" s="309"/>
      <c r="BA331" s="309"/>
      <c r="BB331" s="309"/>
      <c r="BC331" s="309"/>
      <c r="BD331" s="309"/>
    </row>
    <row r="332" spans="1:56" hidden="1" outlineLevel="1" x14ac:dyDescent="0.25">
      <c r="A332" s="288"/>
      <c r="B332" s="292"/>
      <c r="C332" s="192"/>
      <c r="D332" s="192"/>
      <c r="E332" s="192"/>
      <c r="F332" s="192"/>
      <c r="G332" s="192"/>
      <c r="H332" s="192"/>
      <c r="I332" s="192"/>
      <c r="J332" s="192"/>
      <c r="K332" s="192"/>
      <c r="L332" s="192"/>
      <c r="M332" s="192"/>
      <c r="N332" s="192"/>
      <c r="O332" s="192"/>
      <c r="P332" s="192"/>
      <c r="Q332" s="192"/>
      <c r="R332" s="308"/>
      <c r="S332" s="192"/>
      <c r="T332" s="192"/>
      <c r="U332" s="192"/>
      <c r="V332" s="192"/>
      <c r="W332" s="192"/>
      <c r="X332" s="192"/>
      <c r="Y332" s="192"/>
      <c r="Z332" s="192"/>
      <c r="AA332" s="192"/>
      <c r="AB332" s="192"/>
      <c r="AC332" s="192"/>
      <c r="AD332" s="309"/>
      <c r="AE332" s="309"/>
      <c r="AF332" s="309"/>
      <c r="AG332" s="309"/>
      <c r="AH332" s="309"/>
      <c r="AI332" s="309"/>
      <c r="AJ332" s="309"/>
      <c r="AK332" s="309"/>
      <c r="AL332" s="309"/>
      <c r="AM332" s="309"/>
      <c r="AN332" s="309"/>
      <c r="AO332" s="309"/>
      <c r="AP332" s="309"/>
      <c r="AQ332" s="309"/>
      <c r="AR332" s="309"/>
      <c r="AS332" s="308"/>
      <c r="AT332" s="309"/>
      <c r="AU332" s="309"/>
      <c r="AV332" s="309"/>
      <c r="AW332" s="309"/>
      <c r="AX332" s="309"/>
      <c r="AY332" s="309"/>
      <c r="AZ332" s="309"/>
      <c r="BA332" s="309"/>
      <c r="BB332" s="309"/>
      <c r="BC332" s="309"/>
      <c r="BD332" s="309"/>
    </row>
    <row r="333" spans="1:56" hidden="1" outlineLevel="1" x14ac:dyDescent="0.25">
      <c r="A333" s="288"/>
      <c r="B333" s="292"/>
      <c r="C333" s="192"/>
      <c r="D333" s="192"/>
      <c r="E333" s="192"/>
      <c r="F333" s="192"/>
      <c r="G333" s="192"/>
      <c r="H333" s="192"/>
      <c r="I333" s="192"/>
      <c r="J333" s="192"/>
      <c r="K333" s="192"/>
      <c r="L333" s="192"/>
      <c r="M333" s="192"/>
      <c r="N333" s="192"/>
      <c r="O333" s="192"/>
      <c r="P333" s="192"/>
      <c r="Q333" s="192"/>
      <c r="R333" s="308"/>
      <c r="S333" s="192"/>
      <c r="T333" s="192"/>
      <c r="U333" s="192"/>
      <c r="V333" s="192"/>
      <c r="W333" s="192"/>
      <c r="X333" s="192"/>
      <c r="Y333" s="192"/>
      <c r="Z333" s="192"/>
      <c r="AA333" s="192"/>
      <c r="AB333" s="192"/>
      <c r="AC333" s="192"/>
      <c r="AD333" s="309"/>
      <c r="AE333" s="309"/>
      <c r="AF333" s="309"/>
      <c r="AG333" s="309"/>
      <c r="AH333" s="309"/>
      <c r="AI333" s="309"/>
      <c r="AJ333" s="309"/>
      <c r="AK333" s="309"/>
      <c r="AL333" s="309"/>
      <c r="AM333" s="309"/>
      <c r="AN333" s="309"/>
      <c r="AO333" s="309"/>
      <c r="AP333" s="309"/>
      <c r="AQ333" s="309"/>
      <c r="AR333" s="309"/>
      <c r="AS333" s="308"/>
      <c r="AT333" s="309"/>
      <c r="AU333" s="309"/>
      <c r="AV333" s="309"/>
      <c r="AW333" s="309"/>
      <c r="AX333" s="309"/>
      <c r="AY333" s="309"/>
      <c r="AZ333" s="309"/>
      <c r="BA333" s="309"/>
      <c r="BB333" s="309"/>
      <c r="BC333" s="309"/>
      <c r="BD333" s="309"/>
    </row>
    <row r="334" spans="1:56" hidden="1" outlineLevel="1" x14ac:dyDescent="0.25">
      <c r="A334" s="288"/>
      <c r="B334" s="292"/>
      <c r="C334" s="192"/>
      <c r="D334" s="192"/>
      <c r="E334" s="192"/>
      <c r="F334" s="192"/>
      <c r="G334" s="192"/>
      <c r="H334" s="192"/>
      <c r="I334" s="192"/>
      <c r="J334" s="192"/>
      <c r="K334" s="192"/>
      <c r="L334" s="192"/>
      <c r="M334" s="192"/>
      <c r="N334" s="192"/>
      <c r="O334" s="192"/>
      <c r="P334" s="192"/>
      <c r="Q334" s="192"/>
      <c r="R334" s="308"/>
      <c r="S334" s="192"/>
      <c r="T334" s="192"/>
      <c r="U334" s="192"/>
      <c r="V334" s="192"/>
      <c r="W334" s="192"/>
      <c r="X334" s="192"/>
      <c r="Y334" s="192"/>
      <c r="Z334" s="192"/>
      <c r="AA334" s="192"/>
      <c r="AB334" s="192"/>
      <c r="AC334" s="192"/>
      <c r="AD334" s="309"/>
      <c r="AE334" s="309"/>
      <c r="AF334" s="309"/>
      <c r="AG334" s="309"/>
      <c r="AH334" s="309"/>
      <c r="AI334" s="309"/>
      <c r="AJ334" s="309"/>
      <c r="AK334" s="309"/>
      <c r="AL334" s="309"/>
      <c r="AM334" s="309"/>
      <c r="AN334" s="309"/>
      <c r="AO334" s="309"/>
      <c r="AP334" s="309"/>
      <c r="AQ334" s="309"/>
      <c r="AR334" s="309"/>
      <c r="AS334" s="308"/>
      <c r="AT334" s="309"/>
      <c r="AU334" s="309"/>
      <c r="AV334" s="309"/>
      <c r="AW334" s="309"/>
      <c r="AX334" s="309"/>
      <c r="AY334" s="309"/>
      <c r="AZ334" s="309"/>
      <c r="BA334" s="309"/>
      <c r="BB334" s="309"/>
      <c r="BC334" s="309"/>
      <c r="BD334" s="309"/>
    </row>
    <row r="335" spans="1:56" hidden="1" outlineLevel="1" x14ac:dyDescent="0.25">
      <c r="A335" s="288"/>
      <c r="B335" s="292"/>
      <c r="C335" s="192"/>
      <c r="D335" s="192"/>
      <c r="E335" s="192"/>
      <c r="F335" s="192"/>
      <c r="G335" s="192"/>
      <c r="H335" s="192"/>
      <c r="I335" s="192"/>
      <c r="J335" s="192"/>
      <c r="K335" s="192"/>
      <c r="L335" s="192"/>
      <c r="M335" s="192"/>
      <c r="N335" s="192"/>
      <c r="O335" s="192"/>
      <c r="P335" s="192"/>
      <c r="Q335" s="192"/>
      <c r="R335" s="308"/>
      <c r="S335" s="192"/>
      <c r="T335" s="192"/>
      <c r="U335" s="192"/>
      <c r="V335" s="192"/>
      <c r="W335" s="192"/>
      <c r="X335" s="192"/>
      <c r="Y335" s="192"/>
      <c r="Z335" s="192"/>
      <c r="AA335" s="192"/>
      <c r="AB335" s="192"/>
      <c r="AC335" s="192"/>
      <c r="AD335" s="309"/>
      <c r="AE335" s="309"/>
      <c r="AF335" s="309"/>
      <c r="AG335" s="309"/>
      <c r="AH335" s="309"/>
      <c r="AI335" s="309"/>
      <c r="AJ335" s="309"/>
      <c r="AK335" s="309"/>
      <c r="AL335" s="309"/>
      <c r="AM335" s="309"/>
      <c r="AN335" s="309"/>
      <c r="AO335" s="309"/>
      <c r="AP335" s="309"/>
      <c r="AQ335" s="309"/>
      <c r="AR335" s="309"/>
      <c r="AS335" s="308"/>
      <c r="AT335" s="309"/>
      <c r="AU335" s="309"/>
      <c r="AV335" s="309"/>
      <c r="AW335" s="309"/>
      <c r="AX335" s="309"/>
      <c r="AY335" s="309"/>
      <c r="AZ335" s="309"/>
      <c r="BA335" s="309"/>
      <c r="BB335" s="309"/>
      <c r="BC335" s="309"/>
      <c r="BD335" s="309"/>
    </row>
    <row r="336" spans="1:56" hidden="1" outlineLevel="1" x14ac:dyDescent="0.25">
      <c r="A336" s="288"/>
      <c r="B336" s="292"/>
      <c r="C336" s="192"/>
      <c r="D336" s="192"/>
      <c r="E336" s="192"/>
      <c r="F336" s="192"/>
      <c r="G336" s="192"/>
      <c r="H336" s="192"/>
      <c r="I336" s="192"/>
      <c r="J336" s="192"/>
      <c r="K336" s="192"/>
      <c r="L336" s="192"/>
      <c r="M336" s="192"/>
      <c r="N336" s="192"/>
      <c r="O336" s="192"/>
      <c r="P336" s="192"/>
      <c r="Q336" s="192"/>
      <c r="R336" s="308"/>
      <c r="S336" s="192"/>
      <c r="T336" s="192"/>
      <c r="U336" s="192"/>
      <c r="V336" s="192"/>
      <c r="W336" s="192"/>
      <c r="X336" s="192"/>
      <c r="Y336" s="192"/>
      <c r="Z336" s="192"/>
      <c r="AA336" s="192"/>
      <c r="AB336" s="192"/>
      <c r="AC336" s="192"/>
      <c r="AD336" s="309"/>
      <c r="AE336" s="309"/>
      <c r="AF336" s="309"/>
      <c r="AG336" s="309"/>
      <c r="AH336" s="309"/>
      <c r="AI336" s="309"/>
      <c r="AJ336" s="309"/>
      <c r="AK336" s="309"/>
      <c r="AL336" s="309"/>
      <c r="AM336" s="309"/>
      <c r="AN336" s="309"/>
      <c r="AO336" s="309"/>
      <c r="AP336" s="309"/>
      <c r="AQ336" s="309"/>
      <c r="AR336" s="309"/>
      <c r="AS336" s="308"/>
      <c r="AT336" s="309"/>
      <c r="AU336" s="309"/>
      <c r="AV336" s="309"/>
      <c r="AW336" s="309"/>
      <c r="AX336" s="309"/>
      <c r="AY336" s="309"/>
      <c r="AZ336" s="309"/>
      <c r="BA336" s="309"/>
      <c r="BB336" s="309"/>
      <c r="BC336" s="309"/>
      <c r="BD336" s="309"/>
    </row>
    <row r="337" spans="1:56" hidden="1" outlineLevel="1" x14ac:dyDescent="0.25">
      <c r="A337" s="288"/>
      <c r="B337" s="292"/>
      <c r="C337" s="192"/>
      <c r="D337" s="192"/>
      <c r="E337" s="192"/>
      <c r="F337" s="192"/>
      <c r="G337" s="192"/>
      <c r="H337" s="192"/>
      <c r="I337" s="192"/>
      <c r="J337" s="192"/>
      <c r="K337" s="192"/>
      <c r="L337" s="192"/>
      <c r="M337" s="192"/>
      <c r="N337" s="192"/>
      <c r="O337" s="192"/>
      <c r="P337" s="192"/>
      <c r="Q337" s="192"/>
      <c r="R337" s="308"/>
      <c r="S337" s="192"/>
      <c r="T337" s="192"/>
      <c r="U337" s="192"/>
      <c r="V337" s="192"/>
      <c r="W337" s="192"/>
      <c r="X337" s="192"/>
      <c r="Y337" s="192"/>
      <c r="Z337" s="192"/>
      <c r="AA337" s="192"/>
      <c r="AB337" s="192"/>
      <c r="AC337" s="192"/>
      <c r="AD337" s="309"/>
      <c r="AE337" s="309"/>
      <c r="AF337" s="309"/>
      <c r="AG337" s="309"/>
      <c r="AH337" s="309"/>
      <c r="AI337" s="309"/>
      <c r="AJ337" s="309"/>
      <c r="AK337" s="309"/>
      <c r="AL337" s="309"/>
      <c r="AM337" s="309"/>
      <c r="AN337" s="309"/>
      <c r="AO337" s="309"/>
      <c r="AP337" s="309"/>
      <c r="AQ337" s="309"/>
      <c r="AR337" s="309"/>
      <c r="AS337" s="308"/>
      <c r="AT337" s="309"/>
      <c r="AU337" s="309"/>
      <c r="AV337" s="309"/>
      <c r="AW337" s="309"/>
      <c r="AX337" s="309"/>
      <c r="AY337" s="309"/>
      <c r="AZ337" s="309"/>
      <c r="BA337" s="309"/>
      <c r="BB337" s="309"/>
      <c r="BC337" s="309"/>
      <c r="BD337" s="309"/>
    </row>
    <row r="338" spans="1:56" hidden="1" outlineLevel="1" x14ac:dyDescent="0.25">
      <c r="A338" s="288"/>
      <c r="B338" s="292"/>
      <c r="C338" s="192"/>
      <c r="D338" s="192"/>
      <c r="E338" s="192"/>
      <c r="F338" s="192"/>
      <c r="G338" s="192"/>
      <c r="H338" s="192"/>
      <c r="I338" s="192"/>
      <c r="J338" s="192"/>
      <c r="K338" s="192"/>
      <c r="L338" s="192"/>
      <c r="M338" s="192"/>
      <c r="N338" s="192"/>
      <c r="O338" s="192"/>
      <c r="P338" s="192"/>
      <c r="Q338" s="192"/>
      <c r="R338" s="308"/>
      <c r="S338" s="192"/>
      <c r="T338" s="192"/>
      <c r="U338" s="192"/>
      <c r="V338" s="192"/>
      <c r="W338" s="192"/>
      <c r="X338" s="192"/>
      <c r="Y338" s="192"/>
      <c r="Z338" s="192"/>
      <c r="AA338" s="192"/>
      <c r="AB338" s="192"/>
      <c r="AC338" s="192"/>
      <c r="AD338" s="309"/>
      <c r="AE338" s="309"/>
      <c r="AF338" s="309"/>
      <c r="AG338" s="309"/>
      <c r="AH338" s="309"/>
      <c r="AI338" s="309"/>
      <c r="AJ338" s="309"/>
      <c r="AK338" s="309"/>
      <c r="AL338" s="309"/>
      <c r="AM338" s="309"/>
      <c r="AN338" s="309"/>
      <c r="AO338" s="309"/>
      <c r="AP338" s="309"/>
      <c r="AQ338" s="309"/>
      <c r="AR338" s="309"/>
      <c r="AS338" s="308"/>
      <c r="AT338" s="309"/>
      <c r="AU338" s="309"/>
      <c r="AV338" s="309"/>
      <c r="AW338" s="309"/>
      <c r="AX338" s="309"/>
      <c r="AY338" s="309"/>
      <c r="AZ338" s="309"/>
      <c r="BA338" s="309"/>
      <c r="BB338" s="309"/>
      <c r="BC338" s="309"/>
      <c r="BD338" s="309"/>
    </row>
    <row r="339" spans="1:56" hidden="1" outlineLevel="1" x14ac:dyDescent="0.25">
      <c r="A339" s="288"/>
      <c r="B339" s="292"/>
      <c r="C339" s="192"/>
      <c r="D339" s="192"/>
      <c r="E339" s="192"/>
      <c r="F339" s="192"/>
      <c r="G339" s="192"/>
      <c r="H339" s="192"/>
      <c r="I339" s="192"/>
      <c r="J339" s="192"/>
      <c r="K339" s="192"/>
      <c r="L339" s="192"/>
      <c r="M339" s="192"/>
      <c r="N339" s="192"/>
      <c r="O339" s="192"/>
      <c r="P339" s="192"/>
      <c r="Q339" s="192"/>
      <c r="R339" s="308"/>
      <c r="S339" s="192"/>
      <c r="T339" s="192"/>
      <c r="U339" s="192"/>
      <c r="V339" s="192"/>
      <c r="W339" s="192"/>
      <c r="X339" s="192"/>
      <c r="Y339" s="192"/>
      <c r="Z339" s="192"/>
      <c r="AA339" s="192"/>
      <c r="AB339" s="192"/>
      <c r="AC339" s="192"/>
      <c r="AD339" s="309"/>
      <c r="AE339" s="309"/>
      <c r="AF339" s="309"/>
      <c r="AG339" s="309"/>
      <c r="AH339" s="309"/>
      <c r="AI339" s="309"/>
      <c r="AJ339" s="309"/>
      <c r="AK339" s="309"/>
      <c r="AL339" s="309"/>
      <c r="AM339" s="309"/>
      <c r="AN339" s="309"/>
      <c r="AO339" s="309"/>
      <c r="AP339" s="309"/>
      <c r="AQ339" s="309"/>
      <c r="AR339" s="309"/>
      <c r="AS339" s="308"/>
      <c r="AT339" s="309"/>
      <c r="AU339" s="309"/>
      <c r="AV339" s="309"/>
      <c r="AW339" s="309"/>
      <c r="AX339" s="309"/>
      <c r="AY339" s="309"/>
      <c r="AZ339" s="309"/>
      <c r="BA339" s="309"/>
      <c r="BB339" s="309"/>
      <c r="BC339" s="309"/>
      <c r="BD339" s="309"/>
    </row>
    <row r="340" spans="1:56" hidden="1" outlineLevel="1" x14ac:dyDescent="0.25">
      <c r="A340" s="288"/>
      <c r="B340" s="292"/>
      <c r="C340" s="192"/>
      <c r="D340" s="192"/>
      <c r="E340" s="192"/>
      <c r="F340" s="192"/>
      <c r="G340" s="192"/>
      <c r="H340" s="192"/>
      <c r="I340" s="192"/>
      <c r="J340" s="192"/>
      <c r="K340" s="192"/>
      <c r="L340" s="192"/>
      <c r="M340" s="192"/>
      <c r="N340" s="192"/>
      <c r="O340" s="192"/>
      <c r="P340" s="192"/>
      <c r="Q340" s="192"/>
      <c r="R340" s="308"/>
      <c r="S340" s="192"/>
      <c r="T340" s="192"/>
      <c r="U340" s="192"/>
      <c r="V340" s="192"/>
      <c r="W340" s="192"/>
      <c r="X340" s="192"/>
      <c r="Y340" s="192"/>
      <c r="Z340" s="192"/>
      <c r="AA340" s="192"/>
      <c r="AB340" s="192"/>
      <c r="AC340" s="192"/>
      <c r="AD340" s="309"/>
      <c r="AE340" s="309"/>
      <c r="AF340" s="309"/>
      <c r="AG340" s="309"/>
      <c r="AH340" s="309"/>
      <c r="AI340" s="309"/>
      <c r="AJ340" s="309"/>
      <c r="AK340" s="309"/>
      <c r="AL340" s="309"/>
      <c r="AM340" s="309"/>
      <c r="AN340" s="309"/>
      <c r="AO340" s="309"/>
      <c r="AP340" s="309"/>
      <c r="AQ340" s="309"/>
      <c r="AR340" s="309"/>
      <c r="AS340" s="308"/>
      <c r="AT340" s="309"/>
      <c r="AU340" s="309"/>
      <c r="AV340" s="309"/>
      <c r="AW340" s="309"/>
      <c r="AX340" s="309"/>
      <c r="AY340" s="309"/>
      <c r="AZ340" s="309"/>
      <c r="BA340" s="309"/>
      <c r="BB340" s="309"/>
      <c r="BC340" s="309"/>
      <c r="BD340" s="309"/>
    </row>
    <row r="341" spans="1:56" hidden="1" outlineLevel="1" x14ac:dyDescent="0.25">
      <c r="A341" s="288"/>
      <c r="B341" s="292"/>
      <c r="C341" s="192"/>
      <c r="D341" s="192"/>
      <c r="E341" s="192"/>
      <c r="F341" s="192"/>
      <c r="G341" s="192"/>
      <c r="H341" s="192"/>
      <c r="I341" s="192"/>
      <c r="J341" s="192"/>
      <c r="K341" s="192"/>
      <c r="L341" s="192"/>
      <c r="M341" s="192"/>
      <c r="N341" s="192"/>
      <c r="O341" s="192"/>
      <c r="P341" s="192"/>
      <c r="Q341" s="192"/>
      <c r="R341" s="308"/>
      <c r="S341" s="192"/>
      <c r="T341" s="192"/>
      <c r="U341" s="192"/>
      <c r="V341" s="192"/>
      <c r="W341" s="192"/>
      <c r="X341" s="192"/>
      <c r="Y341" s="192"/>
      <c r="Z341" s="192"/>
      <c r="AA341" s="192"/>
      <c r="AB341" s="192"/>
      <c r="AC341" s="192"/>
      <c r="AD341" s="309"/>
      <c r="AE341" s="309"/>
      <c r="AF341" s="309"/>
      <c r="AG341" s="309"/>
      <c r="AH341" s="309"/>
      <c r="AI341" s="309"/>
      <c r="AJ341" s="309"/>
      <c r="AK341" s="309"/>
      <c r="AL341" s="309"/>
      <c r="AM341" s="309"/>
      <c r="AN341" s="309"/>
      <c r="AO341" s="309"/>
      <c r="AP341" s="309"/>
      <c r="AQ341" s="309"/>
      <c r="AR341" s="309"/>
      <c r="AS341" s="308"/>
      <c r="AT341" s="309"/>
      <c r="AU341" s="309"/>
      <c r="AV341" s="309"/>
      <c r="AW341" s="309"/>
      <c r="AX341" s="309"/>
      <c r="AY341" s="309"/>
      <c r="AZ341" s="309"/>
      <c r="BA341" s="309"/>
      <c r="BB341" s="309"/>
      <c r="BC341" s="309"/>
      <c r="BD341" s="309"/>
    </row>
    <row r="342" spans="1:56" hidden="1" outlineLevel="1" x14ac:dyDescent="0.25">
      <c r="A342" s="288"/>
      <c r="B342" s="292"/>
      <c r="C342" s="192"/>
      <c r="D342" s="192"/>
      <c r="E342" s="192"/>
      <c r="F342" s="192"/>
      <c r="G342" s="192"/>
      <c r="H342" s="192"/>
      <c r="I342" s="192"/>
      <c r="J342" s="192"/>
      <c r="K342" s="192"/>
      <c r="L342" s="192"/>
      <c r="M342" s="192"/>
      <c r="N342" s="192"/>
      <c r="O342" s="192"/>
      <c r="P342" s="192"/>
      <c r="Q342" s="192"/>
      <c r="R342" s="308"/>
      <c r="S342" s="192"/>
      <c r="T342" s="192"/>
      <c r="U342" s="192"/>
      <c r="V342" s="192"/>
      <c r="W342" s="192"/>
      <c r="X342" s="192"/>
      <c r="Y342" s="192"/>
      <c r="Z342" s="192"/>
      <c r="AA342" s="192"/>
      <c r="AB342" s="192"/>
      <c r="AC342" s="192"/>
      <c r="AD342" s="309"/>
      <c r="AE342" s="309"/>
      <c r="AF342" s="309"/>
      <c r="AG342" s="309"/>
      <c r="AH342" s="309"/>
      <c r="AI342" s="309"/>
      <c r="AJ342" s="309"/>
      <c r="AK342" s="309"/>
      <c r="AL342" s="309"/>
      <c r="AM342" s="309"/>
      <c r="AN342" s="309"/>
      <c r="AO342" s="309"/>
      <c r="AP342" s="309"/>
      <c r="AQ342" s="309"/>
      <c r="AR342" s="309"/>
      <c r="AS342" s="308"/>
      <c r="AT342" s="309"/>
      <c r="AU342" s="309"/>
      <c r="AV342" s="309"/>
      <c r="AW342" s="309"/>
      <c r="AX342" s="309"/>
      <c r="AY342" s="309"/>
      <c r="AZ342" s="309"/>
      <c r="BA342" s="309"/>
      <c r="BB342" s="309"/>
      <c r="BC342" s="309"/>
      <c r="BD342" s="309"/>
    </row>
    <row r="343" spans="1:56" hidden="1" outlineLevel="1" x14ac:dyDescent="0.25">
      <c r="A343" s="288"/>
      <c r="B343" s="292"/>
      <c r="C343" s="192"/>
      <c r="D343" s="192"/>
      <c r="E343" s="192"/>
      <c r="F343" s="192"/>
      <c r="G343" s="192"/>
      <c r="H343" s="192"/>
      <c r="I343" s="192"/>
      <c r="J343" s="192"/>
      <c r="K343" s="192"/>
      <c r="L343" s="192"/>
      <c r="M343" s="192"/>
      <c r="N343" s="192"/>
      <c r="O343" s="192"/>
      <c r="P343" s="192"/>
      <c r="Q343" s="192"/>
      <c r="R343" s="308"/>
      <c r="S343" s="192"/>
      <c r="T343" s="192"/>
      <c r="U343" s="192"/>
      <c r="V343" s="192"/>
      <c r="W343" s="192"/>
      <c r="X343" s="192"/>
      <c r="Y343" s="192"/>
      <c r="Z343" s="192"/>
      <c r="AA343" s="192"/>
      <c r="AB343" s="192"/>
      <c r="AC343" s="192"/>
      <c r="AD343" s="309"/>
      <c r="AE343" s="309"/>
      <c r="AF343" s="309"/>
      <c r="AG343" s="309"/>
      <c r="AH343" s="309"/>
      <c r="AI343" s="309"/>
      <c r="AJ343" s="309"/>
      <c r="AK343" s="309"/>
      <c r="AL343" s="309"/>
      <c r="AM343" s="309"/>
      <c r="AN343" s="309"/>
      <c r="AO343" s="309"/>
      <c r="AP343" s="309"/>
      <c r="AQ343" s="309"/>
      <c r="AR343" s="309"/>
      <c r="AS343" s="308"/>
      <c r="AT343" s="309"/>
      <c r="AU343" s="309"/>
      <c r="AV343" s="309"/>
      <c r="AW343" s="309"/>
      <c r="AX343" s="309"/>
      <c r="AY343" s="309"/>
      <c r="AZ343" s="309"/>
      <c r="BA343" s="309"/>
      <c r="BB343" s="309"/>
      <c r="BC343" s="309"/>
      <c r="BD343" s="309"/>
    </row>
    <row r="344" spans="1:56" hidden="1" outlineLevel="1" x14ac:dyDescent="0.25">
      <c r="A344" s="288"/>
      <c r="B344" s="292"/>
      <c r="C344" s="192"/>
      <c r="D344" s="192"/>
      <c r="E344" s="192"/>
      <c r="F344" s="192"/>
      <c r="G344" s="192"/>
      <c r="H344" s="192"/>
      <c r="I344" s="192"/>
      <c r="J344" s="192"/>
      <c r="K344" s="192"/>
      <c r="L344" s="192"/>
      <c r="M344" s="192"/>
      <c r="N344" s="192"/>
      <c r="O344" s="192"/>
      <c r="P344" s="192"/>
      <c r="Q344" s="192"/>
      <c r="R344" s="308"/>
      <c r="S344" s="192"/>
      <c r="T344" s="192"/>
      <c r="U344" s="192"/>
      <c r="V344" s="192"/>
      <c r="W344" s="192"/>
      <c r="X344" s="192"/>
      <c r="Y344" s="192"/>
      <c r="Z344" s="192"/>
      <c r="AA344" s="192"/>
      <c r="AB344" s="192"/>
      <c r="AC344" s="192"/>
      <c r="AD344" s="309"/>
      <c r="AE344" s="309"/>
      <c r="AF344" s="309"/>
      <c r="AG344" s="309"/>
      <c r="AH344" s="309"/>
      <c r="AI344" s="309"/>
      <c r="AJ344" s="309"/>
      <c r="AK344" s="309"/>
      <c r="AL344" s="309"/>
      <c r="AM344" s="309"/>
      <c r="AN344" s="309"/>
      <c r="AO344" s="309"/>
      <c r="AP344" s="309"/>
      <c r="AQ344" s="309"/>
      <c r="AR344" s="309"/>
      <c r="AS344" s="308"/>
      <c r="AT344" s="309"/>
      <c r="AU344" s="309"/>
      <c r="AV344" s="309"/>
      <c r="AW344" s="309"/>
      <c r="AX344" s="309"/>
      <c r="AY344" s="309"/>
      <c r="AZ344" s="309"/>
      <c r="BA344" s="309"/>
      <c r="BB344" s="309"/>
      <c r="BC344" s="309"/>
      <c r="BD344" s="309"/>
    </row>
    <row r="345" spans="1:56" hidden="1" outlineLevel="1" x14ac:dyDescent="0.25">
      <c r="A345" s="288"/>
      <c r="B345" s="292"/>
      <c r="C345" s="192"/>
      <c r="D345" s="192"/>
      <c r="E345" s="192"/>
      <c r="F345" s="192"/>
      <c r="G345" s="192"/>
      <c r="H345" s="192"/>
      <c r="I345" s="192"/>
      <c r="J345" s="192"/>
      <c r="K345" s="192"/>
      <c r="L345" s="192"/>
      <c r="M345" s="192"/>
      <c r="N345" s="192"/>
      <c r="O345" s="192"/>
      <c r="P345" s="192"/>
      <c r="Q345" s="192"/>
      <c r="R345" s="308"/>
      <c r="S345" s="192"/>
      <c r="T345" s="192"/>
      <c r="U345" s="192"/>
      <c r="V345" s="192"/>
      <c r="W345" s="192"/>
      <c r="X345" s="192"/>
      <c r="Y345" s="192"/>
      <c r="Z345" s="192"/>
      <c r="AA345" s="192"/>
      <c r="AB345" s="192"/>
      <c r="AC345" s="192"/>
      <c r="AD345" s="309"/>
      <c r="AE345" s="309"/>
      <c r="AF345" s="309"/>
      <c r="AG345" s="309"/>
      <c r="AH345" s="309"/>
      <c r="AI345" s="309"/>
      <c r="AJ345" s="309"/>
      <c r="AK345" s="309"/>
      <c r="AL345" s="309"/>
      <c r="AM345" s="309"/>
      <c r="AN345" s="309"/>
      <c r="AO345" s="309"/>
      <c r="AP345" s="309"/>
      <c r="AQ345" s="309"/>
      <c r="AR345" s="309"/>
      <c r="AS345" s="308"/>
      <c r="AT345" s="309"/>
      <c r="AU345" s="309"/>
      <c r="AV345" s="309"/>
      <c r="AW345" s="309"/>
      <c r="AX345" s="309"/>
      <c r="AY345" s="309"/>
      <c r="AZ345" s="309"/>
      <c r="BA345" s="309"/>
      <c r="BB345" s="309"/>
      <c r="BC345" s="309"/>
      <c r="BD345" s="309"/>
    </row>
    <row r="346" spans="1:56" hidden="1" outlineLevel="1" x14ac:dyDescent="0.25">
      <c r="A346" s="288"/>
      <c r="B346" s="292"/>
      <c r="C346" s="192"/>
      <c r="D346" s="192"/>
      <c r="E346" s="192"/>
      <c r="F346" s="192"/>
      <c r="G346" s="192"/>
      <c r="H346" s="192"/>
      <c r="I346" s="192"/>
      <c r="J346" s="192"/>
      <c r="K346" s="192"/>
      <c r="L346" s="192"/>
      <c r="M346" s="192"/>
      <c r="N346" s="192"/>
      <c r="O346" s="192"/>
      <c r="P346" s="192"/>
      <c r="Q346" s="192"/>
      <c r="R346" s="308"/>
      <c r="S346" s="192"/>
      <c r="T346" s="192"/>
      <c r="U346" s="192"/>
      <c r="V346" s="192"/>
      <c r="W346" s="192"/>
      <c r="X346" s="192"/>
      <c r="Y346" s="192"/>
      <c r="Z346" s="192"/>
      <c r="AA346" s="192"/>
      <c r="AB346" s="192"/>
      <c r="AC346" s="192"/>
      <c r="AD346" s="309"/>
      <c r="AE346" s="309"/>
      <c r="AF346" s="309"/>
      <c r="AG346" s="309"/>
      <c r="AH346" s="309"/>
      <c r="AI346" s="309"/>
      <c r="AJ346" s="309"/>
      <c r="AK346" s="309"/>
      <c r="AL346" s="309"/>
      <c r="AM346" s="309"/>
      <c r="AN346" s="309"/>
      <c r="AO346" s="309"/>
      <c r="AP346" s="309"/>
      <c r="AQ346" s="309"/>
      <c r="AR346" s="309"/>
      <c r="AS346" s="308"/>
      <c r="AT346" s="309"/>
      <c r="AU346" s="309"/>
      <c r="AV346" s="309"/>
      <c r="AW346" s="309"/>
      <c r="AX346" s="309"/>
      <c r="AY346" s="309"/>
      <c r="AZ346" s="309"/>
      <c r="BA346" s="309"/>
      <c r="BB346" s="309"/>
      <c r="BC346" s="309"/>
      <c r="BD346" s="309"/>
    </row>
    <row r="347" spans="1:56" hidden="1" outlineLevel="1" x14ac:dyDescent="0.25">
      <c r="A347" s="288"/>
      <c r="B347" s="292"/>
      <c r="C347" s="192"/>
      <c r="D347" s="192"/>
      <c r="E347" s="192"/>
      <c r="F347" s="192"/>
      <c r="G347" s="192"/>
      <c r="H347" s="192"/>
      <c r="I347" s="192"/>
      <c r="J347" s="192"/>
      <c r="K347" s="192"/>
      <c r="L347" s="192"/>
      <c r="M347" s="192"/>
      <c r="N347" s="192"/>
      <c r="O347" s="192"/>
      <c r="P347" s="192"/>
      <c r="Q347" s="192"/>
      <c r="R347" s="308"/>
      <c r="S347" s="192"/>
      <c r="T347" s="192"/>
      <c r="U347" s="192"/>
      <c r="V347" s="192"/>
      <c r="W347" s="192"/>
      <c r="X347" s="192"/>
      <c r="Y347" s="192"/>
      <c r="Z347" s="192"/>
      <c r="AA347" s="192"/>
      <c r="AB347" s="192"/>
      <c r="AC347" s="192"/>
      <c r="AD347" s="309"/>
      <c r="AE347" s="309"/>
      <c r="AF347" s="309"/>
      <c r="AG347" s="309"/>
      <c r="AH347" s="309"/>
      <c r="AI347" s="309"/>
      <c r="AJ347" s="309"/>
      <c r="AK347" s="309"/>
      <c r="AL347" s="309"/>
      <c r="AM347" s="309"/>
      <c r="AN347" s="309"/>
      <c r="AO347" s="309"/>
      <c r="AP347" s="309"/>
      <c r="AQ347" s="309"/>
      <c r="AR347" s="309"/>
      <c r="AS347" s="308"/>
      <c r="AT347" s="309"/>
      <c r="AU347" s="309"/>
      <c r="AV347" s="309"/>
      <c r="AW347" s="309"/>
      <c r="AX347" s="309"/>
      <c r="AY347" s="309"/>
      <c r="AZ347" s="309"/>
      <c r="BA347" s="309"/>
      <c r="BB347" s="309"/>
      <c r="BC347" s="309"/>
      <c r="BD347" s="309"/>
    </row>
    <row r="348" spans="1:56" hidden="1" outlineLevel="1" x14ac:dyDescent="0.25">
      <c r="A348" s="288"/>
      <c r="B348" s="292"/>
      <c r="C348" s="192"/>
      <c r="D348" s="192"/>
      <c r="E348" s="192"/>
      <c r="F348" s="192"/>
      <c r="G348" s="192"/>
      <c r="H348" s="192"/>
      <c r="I348" s="192"/>
      <c r="J348" s="192"/>
      <c r="K348" s="192"/>
      <c r="L348" s="192"/>
      <c r="M348" s="192"/>
      <c r="N348" s="192"/>
      <c r="O348" s="192"/>
      <c r="P348" s="192"/>
      <c r="Q348" s="192"/>
      <c r="R348" s="308"/>
      <c r="S348" s="192"/>
      <c r="T348" s="192"/>
      <c r="U348" s="192"/>
      <c r="V348" s="192"/>
      <c r="W348" s="192"/>
      <c r="X348" s="192"/>
      <c r="Y348" s="192"/>
      <c r="Z348" s="192"/>
      <c r="AA348" s="192"/>
      <c r="AB348" s="192"/>
      <c r="AC348" s="192"/>
      <c r="AD348" s="309"/>
      <c r="AE348" s="309"/>
      <c r="AF348" s="309"/>
      <c r="AG348" s="309"/>
      <c r="AH348" s="309"/>
      <c r="AI348" s="309"/>
      <c r="AJ348" s="309"/>
      <c r="AK348" s="309"/>
      <c r="AL348" s="309"/>
      <c r="AM348" s="309"/>
      <c r="AN348" s="309"/>
      <c r="AO348" s="309"/>
      <c r="AP348" s="309"/>
      <c r="AQ348" s="309"/>
      <c r="AR348" s="309"/>
      <c r="AS348" s="308"/>
      <c r="AT348" s="309"/>
      <c r="AU348" s="309"/>
      <c r="AV348" s="309"/>
      <c r="AW348" s="309"/>
      <c r="AX348" s="309"/>
      <c r="AY348" s="309"/>
      <c r="AZ348" s="309"/>
      <c r="BA348" s="309"/>
      <c r="BB348" s="309"/>
      <c r="BC348" s="309"/>
      <c r="BD348" s="309"/>
    </row>
    <row r="349" spans="1:56" hidden="1" outlineLevel="1" x14ac:dyDescent="0.25">
      <c r="A349" s="288"/>
      <c r="B349" s="292"/>
      <c r="C349" s="192"/>
      <c r="D349" s="192"/>
      <c r="E349" s="192"/>
      <c r="F349" s="192"/>
      <c r="G349" s="192"/>
      <c r="H349" s="192"/>
      <c r="I349" s="192"/>
      <c r="J349" s="192"/>
      <c r="K349" s="192"/>
      <c r="L349" s="192"/>
      <c r="M349" s="192"/>
      <c r="N349" s="192"/>
      <c r="O349" s="192"/>
      <c r="P349" s="192"/>
      <c r="Q349" s="192"/>
      <c r="R349" s="308"/>
      <c r="S349" s="192"/>
      <c r="T349" s="192"/>
      <c r="U349" s="192"/>
      <c r="V349" s="192"/>
      <c r="W349" s="192"/>
      <c r="X349" s="192"/>
      <c r="Y349" s="192"/>
      <c r="Z349" s="192"/>
      <c r="AA349" s="192"/>
      <c r="AB349" s="192"/>
      <c r="AC349" s="192"/>
      <c r="AD349" s="309"/>
      <c r="AE349" s="309"/>
      <c r="AF349" s="309"/>
      <c r="AG349" s="309"/>
      <c r="AH349" s="309"/>
      <c r="AI349" s="309"/>
      <c r="AJ349" s="309"/>
      <c r="AK349" s="309"/>
      <c r="AL349" s="309"/>
      <c r="AM349" s="309"/>
      <c r="AN349" s="309"/>
      <c r="AO349" s="309"/>
      <c r="AP349" s="309"/>
      <c r="AQ349" s="309"/>
      <c r="AR349" s="309"/>
      <c r="AS349" s="308"/>
      <c r="AT349" s="309"/>
      <c r="AU349" s="309"/>
      <c r="AV349" s="309"/>
      <c r="AW349" s="309"/>
      <c r="AX349" s="309"/>
      <c r="AY349" s="309"/>
      <c r="AZ349" s="309"/>
      <c r="BA349" s="309"/>
      <c r="BB349" s="309"/>
      <c r="BC349" s="309"/>
      <c r="BD349" s="309"/>
    </row>
    <row r="350" spans="1:56" hidden="1" outlineLevel="1" x14ac:dyDescent="0.25">
      <c r="A350" s="288"/>
      <c r="B350" s="292"/>
      <c r="C350" s="192"/>
      <c r="D350" s="192"/>
      <c r="E350" s="192"/>
      <c r="F350" s="192"/>
      <c r="G350" s="192"/>
      <c r="H350" s="192"/>
      <c r="I350" s="192"/>
      <c r="J350" s="192"/>
      <c r="K350" s="192"/>
      <c r="L350" s="192"/>
      <c r="M350" s="192"/>
      <c r="N350" s="192"/>
      <c r="O350" s="192"/>
      <c r="P350" s="192"/>
      <c r="Q350" s="192"/>
      <c r="R350" s="308"/>
      <c r="S350" s="192"/>
      <c r="T350" s="192"/>
      <c r="U350" s="192"/>
      <c r="V350" s="192"/>
      <c r="W350" s="192"/>
      <c r="X350" s="192"/>
      <c r="Y350" s="192"/>
      <c r="Z350" s="192"/>
      <c r="AA350" s="192"/>
      <c r="AB350" s="192"/>
      <c r="AC350" s="192"/>
      <c r="AD350" s="309"/>
      <c r="AE350" s="309"/>
      <c r="AF350" s="309"/>
      <c r="AG350" s="309"/>
      <c r="AH350" s="309"/>
      <c r="AI350" s="309"/>
      <c r="AJ350" s="309"/>
      <c r="AK350" s="309"/>
      <c r="AL350" s="309"/>
      <c r="AM350" s="309"/>
      <c r="AN350" s="309"/>
      <c r="AO350" s="309"/>
      <c r="AP350" s="309"/>
      <c r="AQ350" s="309"/>
      <c r="AR350" s="309"/>
      <c r="AS350" s="308"/>
      <c r="AT350" s="309"/>
      <c r="AU350" s="309"/>
      <c r="AV350" s="309"/>
      <c r="AW350" s="309"/>
      <c r="AX350" s="309"/>
      <c r="AY350" s="309"/>
      <c r="AZ350" s="309"/>
      <c r="BA350" s="309"/>
      <c r="BB350" s="309"/>
      <c r="BC350" s="309"/>
      <c r="BD350" s="309"/>
    </row>
    <row r="351" spans="1:56" hidden="1" outlineLevel="1" x14ac:dyDescent="0.25">
      <c r="A351" s="288"/>
      <c r="B351" s="292"/>
      <c r="C351" s="192"/>
      <c r="D351" s="192"/>
      <c r="E351" s="192"/>
      <c r="F351" s="192"/>
      <c r="G351" s="192"/>
      <c r="H351" s="192"/>
      <c r="I351" s="192"/>
      <c r="J351" s="192"/>
      <c r="K351" s="192"/>
      <c r="L351" s="192"/>
      <c r="M351" s="192"/>
      <c r="N351" s="192"/>
      <c r="O351" s="192"/>
      <c r="P351" s="192"/>
      <c r="Q351" s="192"/>
      <c r="R351" s="308"/>
      <c r="S351" s="192"/>
      <c r="T351" s="192"/>
      <c r="U351" s="192"/>
      <c r="V351" s="192"/>
      <c r="W351" s="192"/>
      <c r="X351" s="192"/>
      <c r="Y351" s="192"/>
      <c r="Z351" s="192"/>
      <c r="AA351" s="192"/>
      <c r="AB351" s="192"/>
      <c r="AC351" s="192"/>
      <c r="AD351" s="309"/>
      <c r="AE351" s="309"/>
      <c r="AF351" s="309"/>
      <c r="AG351" s="309"/>
      <c r="AH351" s="309"/>
      <c r="AI351" s="309"/>
      <c r="AJ351" s="309"/>
      <c r="AK351" s="309"/>
      <c r="AL351" s="309"/>
      <c r="AM351" s="309"/>
      <c r="AN351" s="309"/>
      <c r="AO351" s="309"/>
      <c r="AP351" s="309"/>
      <c r="AQ351" s="309"/>
      <c r="AR351" s="309"/>
      <c r="AS351" s="308"/>
      <c r="AT351" s="309"/>
      <c r="AU351" s="309"/>
      <c r="AV351" s="309"/>
      <c r="AW351" s="309"/>
      <c r="AX351" s="309"/>
      <c r="AY351" s="309"/>
      <c r="AZ351" s="309"/>
      <c r="BA351" s="309"/>
      <c r="BB351" s="309"/>
      <c r="BC351" s="309"/>
      <c r="BD351" s="309"/>
    </row>
    <row r="352" spans="1:56" hidden="1" outlineLevel="1" x14ac:dyDescent="0.25">
      <c r="A352" s="288"/>
      <c r="B352" s="292"/>
      <c r="C352" s="192"/>
      <c r="D352" s="192"/>
      <c r="E352" s="192"/>
      <c r="F352" s="192"/>
      <c r="G352" s="192"/>
      <c r="H352" s="192"/>
      <c r="I352" s="192"/>
      <c r="J352" s="192"/>
      <c r="K352" s="192"/>
      <c r="L352" s="192"/>
      <c r="M352" s="192"/>
      <c r="N352" s="192"/>
      <c r="O352" s="192"/>
      <c r="P352" s="192"/>
      <c r="Q352" s="192"/>
      <c r="R352" s="308"/>
      <c r="S352" s="192"/>
      <c r="T352" s="192"/>
      <c r="U352" s="192"/>
      <c r="V352" s="192"/>
      <c r="W352" s="192"/>
      <c r="X352" s="192"/>
      <c r="Y352" s="192"/>
      <c r="Z352" s="192"/>
      <c r="AA352" s="192"/>
      <c r="AB352" s="192"/>
      <c r="AC352" s="192"/>
      <c r="AD352" s="309"/>
      <c r="AE352" s="309"/>
      <c r="AF352" s="309"/>
      <c r="AG352" s="309"/>
      <c r="AH352" s="309"/>
      <c r="AI352" s="309"/>
      <c r="AJ352" s="309"/>
      <c r="AK352" s="309"/>
      <c r="AL352" s="309"/>
      <c r="AM352" s="309"/>
      <c r="AN352" s="309"/>
      <c r="AO352" s="309"/>
      <c r="AP352" s="309"/>
      <c r="AQ352" s="309"/>
      <c r="AR352" s="309"/>
      <c r="AS352" s="308"/>
      <c r="AT352" s="309"/>
      <c r="AU352" s="309"/>
      <c r="AV352" s="309"/>
      <c r="AW352" s="309"/>
      <c r="AX352" s="309"/>
      <c r="AY352" s="309"/>
      <c r="AZ352" s="309"/>
      <c r="BA352" s="309"/>
      <c r="BB352" s="309"/>
      <c r="BC352" s="309"/>
      <c r="BD352" s="309"/>
    </row>
    <row r="353" spans="1:56" hidden="1" outlineLevel="1" x14ac:dyDescent="0.25">
      <c r="A353" s="288"/>
      <c r="B353" s="292"/>
      <c r="C353" s="192"/>
      <c r="D353" s="192"/>
      <c r="E353" s="192"/>
      <c r="F353" s="192"/>
      <c r="G353" s="192"/>
      <c r="H353" s="192"/>
      <c r="I353" s="192"/>
      <c r="J353" s="192"/>
      <c r="K353" s="192"/>
      <c r="L353" s="192"/>
      <c r="M353" s="192"/>
      <c r="N353" s="192"/>
      <c r="O353" s="192"/>
      <c r="P353" s="192"/>
      <c r="Q353" s="192"/>
      <c r="R353" s="308"/>
      <c r="S353" s="192"/>
      <c r="T353" s="192"/>
      <c r="U353" s="192"/>
      <c r="V353" s="192"/>
      <c r="W353" s="192"/>
      <c r="X353" s="192"/>
      <c r="Y353" s="192"/>
      <c r="Z353" s="192"/>
      <c r="AA353" s="192"/>
      <c r="AB353" s="192"/>
      <c r="AC353" s="192"/>
      <c r="AD353" s="309"/>
      <c r="AE353" s="309"/>
      <c r="AF353" s="309"/>
      <c r="AG353" s="309"/>
      <c r="AH353" s="309"/>
      <c r="AI353" s="309"/>
      <c r="AJ353" s="309"/>
      <c r="AK353" s="309"/>
      <c r="AL353" s="309"/>
      <c r="AM353" s="309"/>
      <c r="AN353" s="309"/>
      <c r="AO353" s="309"/>
      <c r="AP353" s="309"/>
      <c r="AQ353" s="309"/>
      <c r="AR353" s="309"/>
      <c r="AS353" s="308"/>
      <c r="AT353" s="309"/>
      <c r="AU353" s="309"/>
      <c r="AV353" s="309"/>
      <c r="AW353" s="309"/>
      <c r="AX353" s="309"/>
      <c r="AY353" s="309"/>
      <c r="AZ353" s="309"/>
      <c r="BA353" s="309"/>
      <c r="BB353" s="309"/>
      <c r="BC353" s="309"/>
      <c r="BD353" s="309"/>
    </row>
    <row r="354" spans="1:56" hidden="1" outlineLevel="1" x14ac:dyDescent="0.25">
      <c r="A354" s="288"/>
      <c r="B354" s="292"/>
      <c r="C354" s="192"/>
      <c r="D354" s="192"/>
      <c r="E354" s="192"/>
      <c r="F354" s="192"/>
      <c r="G354" s="192"/>
      <c r="H354" s="192"/>
      <c r="I354" s="192"/>
      <c r="J354" s="192"/>
      <c r="K354" s="192"/>
      <c r="L354" s="192"/>
      <c r="M354" s="192"/>
      <c r="N354" s="192"/>
      <c r="O354" s="192"/>
      <c r="P354" s="192"/>
      <c r="Q354" s="192"/>
      <c r="R354" s="308"/>
      <c r="S354" s="192"/>
      <c r="T354" s="192"/>
      <c r="U354" s="192"/>
      <c r="V354" s="192"/>
      <c r="W354" s="192"/>
      <c r="X354" s="192"/>
      <c r="Y354" s="192"/>
      <c r="Z354" s="192"/>
      <c r="AA354" s="192"/>
      <c r="AB354" s="192"/>
      <c r="AC354" s="192"/>
      <c r="AD354" s="309"/>
      <c r="AE354" s="309"/>
      <c r="AF354" s="309"/>
      <c r="AG354" s="309"/>
      <c r="AH354" s="309"/>
      <c r="AI354" s="309"/>
      <c r="AJ354" s="309"/>
      <c r="AK354" s="309"/>
      <c r="AL354" s="309"/>
      <c r="AM354" s="309"/>
      <c r="AN354" s="309"/>
      <c r="AO354" s="309"/>
      <c r="AP354" s="309"/>
      <c r="AQ354" s="309"/>
      <c r="AR354" s="309"/>
      <c r="AS354" s="308"/>
      <c r="AT354" s="309"/>
      <c r="AU354" s="309"/>
      <c r="AV354" s="309"/>
      <c r="AW354" s="309"/>
      <c r="AX354" s="309"/>
      <c r="AY354" s="309"/>
      <c r="AZ354" s="309"/>
      <c r="BA354" s="309"/>
      <c r="BB354" s="309"/>
      <c r="BC354" s="309"/>
      <c r="BD354" s="309"/>
    </row>
    <row r="355" spans="1:56" hidden="1" outlineLevel="1" x14ac:dyDescent="0.25">
      <c r="A355" s="288"/>
      <c r="B355" s="292"/>
      <c r="C355" s="192"/>
      <c r="D355" s="192"/>
      <c r="E355" s="192"/>
      <c r="F355" s="192"/>
      <c r="G355" s="192"/>
      <c r="H355" s="192"/>
      <c r="I355" s="192"/>
      <c r="J355" s="192"/>
      <c r="K355" s="192"/>
      <c r="L355" s="192"/>
      <c r="M355" s="192"/>
      <c r="N355" s="192"/>
      <c r="O355" s="192"/>
      <c r="P355" s="192"/>
      <c r="Q355" s="192"/>
      <c r="R355" s="308"/>
      <c r="S355" s="192"/>
      <c r="T355" s="192"/>
      <c r="U355" s="192"/>
      <c r="V355" s="192"/>
      <c r="W355" s="192"/>
      <c r="X355" s="192"/>
      <c r="Y355" s="192"/>
      <c r="Z355" s="192"/>
      <c r="AA355" s="192"/>
      <c r="AB355" s="192"/>
      <c r="AC355" s="192"/>
      <c r="AD355" s="309"/>
      <c r="AE355" s="309"/>
      <c r="AF355" s="309"/>
      <c r="AG355" s="309"/>
      <c r="AH355" s="309"/>
      <c r="AI355" s="309"/>
      <c r="AJ355" s="309"/>
      <c r="AK355" s="309"/>
      <c r="AL355" s="309"/>
      <c r="AM355" s="309"/>
      <c r="AN355" s="309"/>
      <c r="AO355" s="309"/>
      <c r="AP355" s="309"/>
      <c r="AQ355" s="309"/>
      <c r="AR355" s="309"/>
      <c r="AS355" s="308"/>
      <c r="AT355" s="309"/>
      <c r="AU355" s="309"/>
      <c r="AV355" s="309"/>
      <c r="AW355" s="309"/>
      <c r="AX355" s="309"/>
      <c r="AY355" s="309"/>
      <c r="AZ355" s="309"/>
      <c r="BA355" s="309"/>
      <c r="BB355" s="309"/>
      <c r="BC355" s="309"/>
      <c r="BD355" s="309"/>
    </row>
    <row r="356" spans="1:56" hidden="1" outlineLevel="1" x14ac:dyDescent="0.25">
      <c r="A356" s="288"/>
      <c r="B356" s="292"/>
      <c r="C356" s="192"/>
      <c r="D356" s="192"/>
      <c r="E356" s="192"/>
      <c r="F356" s="192"/>
      <c r="G356" s="192"/>
      <c r="H356" s="192"/>
      <c r="I356" s="192"/>
      <c r="J356" s="192"/>
      <c r="K356" s="192"/>
      <c r="L356" s="192"/>
      <c r="M356" s="192"/>
      <c r="N356" s="192"/>
      <c r="O356" s="192"/>
      <c r="P356" s="192"/>
      <c r="Q356" s="192"/>
      <c r="R356" s="308"/>
      <c r="S356" s="192"/>
      <c r="T356" s="192"/>
      <c r="U356" s="192"/>
      <c r="V356" s="192"/>
      <c r="W356" s="192"/>
      <c r="X356" s="192"/>
      <c r="Y356" s="192"/>
      <c r="Z356" s="192"/>
      <c r="AA356" s="192"/>
      <c r="AB356" s="192"/>
      <c r="AC356" s="192"/>
      <c r="AD356" s="309"/>
      <c r="AE356" s="309"/>
      <c r="AF356" s="309"/>
      <c r="AG356" s="309"/>
      <c r="AH356" s="309"/>
      <c r="AI356" s="309"/>
      <c r="AJ356" s="309"/>
      <c r="AK356" s="309"/>
      <c r="AL356" s="309"/>
      <c r="AM356" s="309"/>
      <c r="AN356" s="309"/>
      <c r="AO356" s="309"/>
      <c r="AP356" s="309"/>
      <c r="AQ356" s="309"/>
      <c r="AR356" s="309"/>
      <c r="AS356" s="308"/>
      <c r="AT356" s="309"/>
      <c r="AU356" s="309"/>
      <c r="AV356" s="309"/>
      <c r="AW356" s="309"/>
      <c r="AX356" s="309"/>
      <c r="AY356" s="309"/>
      <c r="AZ356" s="309"/>
      <c r="BA356" s="309"/>
      <c r="BB356" s="309"/>
      <c r="BC356" s="309"/>
      <c r="BD356" s="309"/>
    </row>
    <row r="357" spans="1:56" hidden="1" outlineLevel="1" x14ac:dyDescent="0.25">
      <c r="A357" s="288"/>
      <c r="B357" s="292"/>
      <c r="C357" s="192"/>
      <c r="D357" s="192"/>
      <c r="E357" s="192"/>
      <c r="F357" s="192"/>
      <c r="G357" s="192"/>
      <c r="H357" s="192"/>
      <c r="I357" s="192"/>
      <c r="J357" s="192"/>
      <c r="K357" s="192"/>
      <c r="L357" s="192"/>
      <c r="M357" s="192"/>
      <c r="N357" s="192"/>
      <c r="O357" s="192"/>
      <c r="P357" s="192"/>
      <c r="Q357" s="192"/>
      <c r="R357" s="308"/>
      <c r="S357" s="192"/>
      <c r="T357" s="192"/>
      <c r="U357" s="192"/>
      <c r="V357" s="192"/>
      <c r="W357" s="192"/>
      <c r="X357" s="192"/>
      <c r="Y357" s="192"/>
      <c r="Z357" s="192"/>
      <c r="AA357" s="192"/>
      <c r="AB357" s="192"/>
      <c r="AC357" s="192"/>
      <c r="AD357" s="309"/>
      <c r="AE357" s="309"/>
      <c r="AF357" s="309"/>
      <c r="AG357" s="309"/>
      <c r="AH357" s="309"/>
      <c r="AI357" s="309"/>
      <c r="AJ357" s="309"/>
      <c r="AK357" s="309"/>
      <c r="AL357" s="309"/>
      <c r="AM357" s="309"/>
      <c r="AN357" s="309"/>
      <c r="AO357" s="309"/>
      <c r="AP357" s="309"/>
      <c r="AQ357" s="309"/>
      <c r="AR357" s="309"/>
      <c r="AS357" s="308"/>
      <c r="AT357" s="309"/>
      <c r="AU357" s="309"/>
      <c r="AV357" s="309"/>
      <c r="AW357" s="309"/>
      <c r="AX357" s="309"/>
      <c r="AY357" s="309"/>
      <c r="AZ357" s="309"/>
      <c r="BA357" s="309"/>
      <c r="BB357" s="309"/>
      <c r="BC357" s="309"/>
      <c r="BD357" s="309"/>
    </row>
    <row r="358" spans="1:56" hidden="1" outlineLevel="1" x14ac:dyDescent="0.25">
      <c r="A358" s="288"/>
      <c r="B358" s="292"/>
      <c r="C358" s="192"/>
      <c r="D358" s="192"/>
      <c r="E358" s="192"/>
      <c r="F358" s="192"/>
      <c r="G358" s="192"/>
      <c r="H358" s="192"/>
      <c r="I358" s="192"/>
      <c r="J358" s="192"/>
      <c r="K358" s="192"/>
      <c r="L358" s="192"/>
      <c r="M358" s="192"/>
      <c r="N358" s="192"/>
      <c r="O358" s="192"/>
      <c r="P358" s="192"/>
      <c r="Q358" s="192"/>
      <c r="R358" s="308"/>
      <c r="S358" s="192"/>
      <c r="T358" s="192"/>
      <c r="U358" s="192"/>
      <c r="V358" s="192"/>
      <c r="W358" s="192"/>
      <c r="X358" s="192"/>
      <c r="Y358" s="192"/>
      <c r="Z358" s="192"/>
      <c r="AA358" s="192"/>
      <c r="AB358" s="192"/>
      <c r="AC358" s="192"/>
      <c r="AD358" s="309"/>
      <c r="AE358" s="309"/>
      <c r="AF358" s="309"/>
      <c r="AG358" s="309"/>
      <c r="AH358" s="309"/>
      <c r="AI358" s="309"/>
      <c r="AJ358" s="309"/>
      <c r="AK358" s="309"/>
      <c r="AL358" s="309"/>
      <c r="AM358" s="309"/>
      <c r="AN358" s="309"/>
      <c r="AO358" s="309"/>
      <c r="AP358" s="309"/>
      <c r="AQ358" s="309"/>
      <c r="AR358" s="309"/>
      <c r="AS358" s="308"/>
      <c r="AT358" s="309"/>
      <c r="AU358" s="309"/>
      <c r="AV358" s="309"/>
      <c r="AW358" s="309"/>
      <c r="AX358" s="309"/>
      <c r="AY358" s="309"/>
      <c r="AZ358" s="309"/>
      <c r="BA358" s="309"/>
      <c r="BB358" s="309"/>
      <c r="BC358" s="309"/>
      <c r="BD358" s="309"/>
    </row>
    <row r="359" spans="1:56" hidden="1" outlineLevel="1" x14ac:dyDescent="0.25">
      <c r="A359" s="288"/>
      <c r="B359" s="292"/>
      <c r="C359" s="192"/>
      <c r="D359" s="192"/>
      <c r="E359" s="192"/>
      <c r="F359" s="192"/>
      <c r="G359" s="192"/>
      <c r="H359" s="192"/>
      <c r="I359" s="192"/>
      <c r="J359" s="192"/>
      <c r="K359" s="192"/>
      <c r="L359" s="192"/>
      <c r="M359" s="192"/>
      <c r="N359" s="192"/>
      <c r="O359" s="192"/>
      <c r="P359" s="192"/>
      <c r="Q359" s="192"/>
      <c r="R359" s="308"/>
      <c r="S359" s="192"/>
      <c r="T359" s="192"/>
      <c r="U359" s="192"/>
      <c r="V359" s="192"/>
      <c r="W359" s="192"/>
      <c r="X359" s="192"/>
      <c r="Y359" s="192"/>
      <c r="Z359" s="192"/>
      <c r="AA359" s="192"/>
      <c r="AB359" s="192"/>
      <c r="AC359" s="192"/>
      <c r="AD359" s="309"/>
      <c r="AE359" s="309"/>
      <c r="AF359" s="309"/>
      <c r="AG359" s="309"/>
      <c r="AH359" s="309"/>
      <c r="AI359" s="309"/>
      <c r="AJ359" s="309"/>
      <c r="AK359" s="309"/>
      <c r="AL359" s="309"/>
      <c r="AM359" s="309"/>
      <c r="AN359" s="309"/>
      <c r="AO359" s="309"/>
      <c r="AP359" s="309"/>
      <c r="AQ359" s="309"/>
      <c r="AR359" s="309"/>
      <c r="AS359" s="308"/>
      <c r="AT359" s="309"/>
      <c r="AU359" s="309"/>
      <c r="AV359" s="309"/>
      <c r="AW359" s="309"/>
      <c r="AX359" s="309"/>
      <c r="AY359" s="309"/>
      <c r="AZ359" s="309"/>
      <c r="BA359" s="309"/>
      <c r="BB359" s="309"/>
      <c r="BC359" s="309"/>
      <c r="BD359" s="309"/>
    </row>
    <row r="360" spans="1:56" hidden="1" outlineLevel="1" x14ac:dyDescent="0.25">
      <c r="A360" s="288"/>
      <c r="B360" s="292"/>
      <c r="C360" s="192"/>
      <c r="D360" s="192"/>
      <c r="E360" s="192"/>
      <c r="F360" s="192"/>
      <c r="G360" s="192"/>
      <c r="H360" s="192"/>
      <c r="I360" s="192"/>
      <c r="J360" s="192"/>
      <c r="K360" s="192"/>
      <c r="L360" s="192"/>
      <c r="M360" s="192"/>
      <c r="N360" s="192"/>
      <c r="O360" s="192"/>
      <c r="P360" s="192"/>
      <c r="Q360" s="192"/>
      <c r="R360" s="308"/>
      <c r="S360" s="192"/>
      <c r="T360" s="192"/>
      <c r="U360" s="192"/>
      <c r="V360" s="192"/>
      <c r="W360" s="192"/>
      <c r="X360" s="192"/>
      <c r="Y360" s="192"/>
      <c r="Z360" s="192"/>
      <c r="AA360" s="192"/>
      <c r="AB360" s="192"/>
      <c r="AC360" s="192"/>
      <c r="AD360" s="309"/>
      <c r="AE360" s="309"/>
      <c r="AF360" s="309"/>
      <c r="AG360" s="309"/>
      <c r="AH360" s="309"/>
      <c r="AI360" s="309"/>
      <c r="AJ360" s="309"/>
      <c r="AK360" s="309"/>
      <c r="AL360" s="309"/>
      <c r="AM360" s="309"/>
      <c r="AN360" s="309"/>
      <c r="AO360" s="309"/>
      <c r="AP360" s="309"/>
      <c r="AQ360" s="309"/>
      <c r="AR360" s="309"/>
      <c r="AS360" s="308"/>
      <c r="AT360" s="309"/>
      <c r="AU360" s="309"/>
      <c r="AV360" s="309"/>
      <c r="AW360" s="309"/>
      <c r="AX360" s="309"/>
      <c r="AY360" s="309"/>
      <c r="AZ360" s="309"/>
      <c r="BA360" s="309"/>
      <c r="BB360" s="309"/>
      <c r="BC360" s="309"/>
      <c r="BD360" s="309"/>
    </row>
    <row r="361" spans="1:56" hidden="1" outlineLevel="1" x14ac:dyDescent="0.25">
      <c r="A361" s="288"/>
      <c r="B361" s="292"/>
      <c r="C361" s="192"/>
      <c r="D361" s="192"/>
      <c r="E361" s="192"/>
      <c r="F361" s="192"/>
      <c r="G361" s="192"/>
      <c r="H361" s="192"/>
      <c r="I361" s="192"/>
      <c r="J361" s="192"/>
      <c r="K361" s="192"/>
      <c r="L361" s="192"/>
      <c r="M361" s="192"/>
      <c r="N361" s="192"/>
      <c r="O361" s="192"/>
      <c r="P361" s="192"/>
      <c r="Q361" s="192"/>
      <c r="R361" s="308"/>
      <c r="S361" s="192"/>
      <c r="T361" s="192"/>
      <c r="U361" s="192"/>
      <c r="V361" s="192"/>
      <c r="W361" s="192"/>
      <c r="X361" s="192"/>
      <c r="Y361" s="192"/>
      <c r="Z361" s="192"/>
      <c r="AA361" s="192"/>
      <c r="AB361" s="192"/>
      <c r="AC361" s="192"/>
      <c r="AD361" s="309"/>
      <c r="AE361" s="309"/>
      <c r="AF361" s="309"/>
      <c r="AG361" s="309"/>
      <c r="AH361" s="309"/>
      <c r="AI361" s="309"/>
      <c r="AJ361" s="309"/>
      <c r="AK361" s="309"/>
      <c r="AL361" s="309"/>
      <c r="AM361" s="309"/>
      <c r="AN361" s="309"/>
      <c r="AO361" s="309"/>
      <c r="AP361" s="309"/>
      <c r="AQ361" s="309"/>
      <c r="AR361" s="309"/>
      <c r="AS361" s="308"/>
      <c r="AT361" s="309"/>
      <c r="AU361" s="309"/>
      <c r="AV361" s="309"/>
      <c r="AW361" s="309"/>
      <c r="AX361" s="309"/>
      <c r="AY361" s="309"/>
      <c r="AZ361" s="309"/>
      <c r="BA361" s="309"/>
      <c r="BB361" s="309"/>
      <c r="BC361" s="309"/>
      <c r="BD361" s="309"/>
    </row>
    <row r="362" spans="1:56" hidden="1" outlineLevel="1" x14ac:dyDescent="0.25">
      <c r="A362" s="288"/>
      <c r="B362" s="292"/>
      <c r="C362" s="192"/>
      <c r="D362" s="192"/>
      <c r="E362" s="192"/>
      <c r="F362" s="192"/>
      <c r="G362" s="192"/>
      <c r="H362" s="192"/>
      <c r="I362" s="192"/>
      <c r="J362" s="192"/>
      <c r="K362" s="192"/>
      <c r="L362" s="192"/>
      <c r="M362" s="192"/>
      <c r="N362" s="192"/>
      <c r="O362" s="192"/>
      <c r="P362" s="192"/>
      <c r="Q362" s="192"/>
      <c r="R362" s="308"/>
      <c r="S362" s="192"/>
      <c r="T362" s="192"/>
      <c r="U362" s="192"/>
      <c r="V362" s="192"/>
      <c r="W362" s="192"/>
      <c r="X362" s="192"/>
      <c r="Y362" s="192"/>
      <c r="Z362" s="192"/>
      <c r="AA362" s="192"/>
      <c r="AB362" s="192"/>
      <c r="AC362" s="192"/>
      <c r="AD362" s="309"/>
      <c r="AE362" s="309"/>
      <c r="AF362" s="309"/>
      <c r="AG362" s="309"/>
      <c r="AH362" s="309"/>
      <c r="AI362" s="309"/>
      <c r="AJ362" s="309"/>
      <c r="AK362" s="309"/>
      <c r="AL362" s="309"/>
      <c r="AM362" s="309"/>
      <c r="AN362" s="309"/>
      <c r="AO362" s="309"/>
      <c r="AP362" s="309"/>
      <c r="AQ362" s="309"/>
      <c r="AR362" s="309"/>
      <c r="AS362" s="308"/>
      <c r="AT362" s="309"/>
      <c r="AU362" s="309"/>
      <c r="AV362" s="309"/>
      <c r="AW362" s="309"/>
      <c r="AX362" s="309"/>
      <c r="AY362" s="309"/>
      <c r="AZ362" s="309"/>
      <c r="BA362" s="309"/>
      <c r="BB362" s="309"/>
      <c r="BC362" s="309"/>
      <c r="BD362" s="309"/>
    </row>
    <row r="363" spans="1:56" hidden="1" outlineLevel="1" x14ac:dyDescent="0.25">
      <c r="A363" s="288"/>
      <c r="B363" s="292"/>
      <c r="C363" s="192"/>
      <c r="D363" s="192"/>
      <c r="E363" s="192"/>
      <c r="F363" s="192"/>
      <c r="G363" s="192"/>
      <c r="H363" s="192"/>
      <c r="I363" s="192"/>
      <c r="J363" s="192"/>
      <c r="K363" s="192"/>
      <c r="L363" s="192"/>
      <c r="M363" s="192"/>
      <c r="N363" s="192"/>
      <c r="O363" s="192"/>
      <c r="P363" s="192"/>
      <c r="Q363" s="192"/>
      <c r="R363" s="308"/>
      <c r="S363" s="192"/>
      <c r="T363" s="192"/>
      <c r="U363" s="192"/>
      <c r="V363" s="192"/>
      <c r="W363" s="192"/>
      <c r="X363" s="192"/>
      <c r="Y363" s="192"/>
      <c r="Z363" s="192"/>
      <c r="AA363" s="192"/>
      <c r="AB363" s="192"/>
      <c r="AC363" s="192"/>
      <c r="AD363" s="309"/>
      <c r="AE363" s="309"/>
      <c r="AF363" s="309"/>
      <c r="AG363" s="309"/>
      <c r="AH363" s="309"/>
      <c r="AI363" s="309"/>
      <c r="AJ363" s="309"/>
      <c r="AK363" s="309"/>
      <c r="AL363" s="309"/>
      <c r="AM363" s="309"/>
      <c r="AN363" s="309"/>
      <c r="AO363" s="309"/>
      <c r="AP363" s="309"/>
      <c r="AQ363" s="309"/>
      <c r="AR363" s="309"/>
      <c r="AS363" s="308"/>
      <c r="AT363" s="309"/>
      <c r="AU363" s="309"/>
      <c r="AV363" s="309"/>
      <c r="AW363" s="309"/>
      <c r="AX363" s="309"/>
      <c r="AY363" s="309"/>
      <c r="AZ363" s="309"/>
      <c r="BA363" s="309"/>
      <c r="BB363" s="309"/>
      <c r="BC363" s="309"/>
      <c r="BD363" s="309"/>
    </row>
    <row r="364" spans="1:56" hidden="1" outlineLevel="1" x14ac:dyDescent="0.25">
      <c r="A364" s="288"/>
      <c r="B364" s="292"/>
      <c r="C364" s="192"/>
      <c r="D364" s="192"/>
      <c r="E364" s="192"/>
      <c r="F364" s="192"/>
      <c r="G364" s="192"/>
      <c r="H364" s="192"/>
      <c r="I364" s="192"/>
      <c r="J364" s="192"/>
      <c r="K364" s="192"/>
      <c r="L364" s="192"/>
      <c r="M364" s="192"/>
      <c r="N364" s="192"/>
      <c r="O364" s="192"/>
      <c r="P364" s="192"/>
      <c r="Q364" s="192"/>
      <c r="R364" s="308"/>
      <c r="S364" s="192"/>
      <c r="T364" s="192"/>
      <c r="U364" s="192"/>
      <c r="V364" s="192"/>
      <c r="W364" s="192"/>
      <c r="X364" s="192"/>
      <c r="Y364" s="192"/>
      <c r="Z364" s="192"/>
      <c r="AA364" s="192"/>
      <c r="AB364" s="192"/>
      <c r="AC364" s="192"/>
      <c r="AD364" s="309"/>
      <c r="AE364" s="309"/>
      <c r="AF364" s="309"/>
      <c r="AG364" s="309"/>
      <c r="AH364" s="309"/>
      <c r="AI364" s="309"/>
      <c r="AJ364" s="309"/>
      <c r="AK364" s="309"/>
      <c r="AL364" s="309"/>
      <c r="AM364" s="309"/>
      <c r="AN364" s="309"/>
      <c r="AO364" s="309"/>
      <c r="AP364" s="309"/>
      <c r="AQ364" s="309"/>
      <c r="AR364" s="309"/>
      <c r="AS364" s="308"/>
      <c r="AT364" s="309"/>
      <c r="AU364" s="309"/>
      <c r="AV364" s="309"/>
      <c r="AW364" s="309"/>
      <c r="AX364" s="309"/>
      <c r="AY364" s="309"/>
      <c r="AZ364" s="309"/>
      <c r="BA364" s="309"/>
      <c r="BB364" s="309"/>
      <c r="BC364" s="309"/>
      <c r="BD364" s="309"/>
    </row>
    <row r="365" spans="1:56" hidden="1" outlineLevel="1" x14ac:dyDescent="0.25">
      <c r="A365" s="288"/>
      <c r="B365" s="292"/>
      <c r="C365" s="192"/>
      <c r="D365" s="192"/>
      <c r="E365" s="192"/>
      <c r="F365" s="192"/>
      <c r="G365" s="192"/>
      <c r="H365" s="192"/>
      <c r="I365" s="192"/>
      <c r="J365" s="192"/>
      <c r="K365" s="192"/>
      <c r="L365" s="192"/>
      <c r="M365" s="192"/>
      <c r="N365" s="192"/>
      <c r="O365" s="192"/>
      <c r="P365" s="192"/>
      <c r="Q365" s="192"/>
      <c r="R365" s="308"/>
      <c r="S365" s="192"/>
      <c r="T365" s="192"/>
      <c r="U365" s="192"/>
      <c r="V365" s="192"/>
      <c r="W365" s="192"/>
      <c r="X365" s="192"/>
      <c r="Y365" s="192"/>
      <c r="Z365" s="192"/>
      <c r="AA365" s="192"/>
      <c r="AB365" s="192"/>
      <c r="AC365" s="192"/>
      <c r="AD365" s="309"/>
      <c r="AE365" s="309"/>
      <c r="AF365" s="309"/>
      <c r="AG365" s="309"/>
      <c r="AH365" s="309"/>
      <c r="AI365" s="309"/>
      <c r="AJ365" s="309"/>
      <c r="AK365" s="309"/>
      <c r="AL365" s="309"/>
      <c r="AM365" s="309"/>
      <c r="AN365" s="309"/>
      <c r="AO365" s="309"/>
      <c r="AP365" s="309"/>
      <c r="AQ365" s="309"/>
      <c r="AR365" s="309"/>
      <c r="AS365" s="308"/>
      <c r="AT365" s="309"/>
      <c r="AU365" s="309"/>
      <c r="AV365" s="309"/>
      <c r="AW365" s="309"/>
      <c r="AX365" s="309"/>
      <c r="AY365" s="309"/>
      <c r="AZ365" s="309"/>
      <c r="BA365" s="309"/>
      <c r="BB365" s="309"/>
      <c r="BC365" s="309"/>
      <c r="BD365" s="309"/>
    </row>
    <row r="366" spans="1:56" hidden="1" outlineLevel="1" x14ac:dyDescent="0.25">
      <c r="A366" s="288"/>
      <c r="B366" s="292"/>
      <c r="C366" s="192"/>
      <c r="D366" s="192"/>
      <c r="E366" s="192"/>
      <c r="F366" s="192"/>
      <c r="G366" s="192"/>
      <c r="H366" s="192"/>
      <c r="I366" s="192"/>
      <c r="J366" s="192"/>
      <c r="K366" s="192"/>
      <c r="L366" s="192"/>
      <c r="M366" s="192"/>
      <c r="N366" s="192"/>
      <c r="O366" s="192"/>
      <c r="P366" s="192"/>
      <c r="Q366" s="192"/>
      <c r="R366" s="308"/>
      <c r="S366" s="192"/>
      <c r="T366" s="192"/>
      <c r="U366" s="192"/>
      <c r="V366" s="192"/>
      <c r="W366" s="192"/>
      <c r="X366" s="192"/>
      <c r="Y366" s="192"/>
      <c r="Z366" s="192"/>
      <c r="AA366" s="192"/>
      <c r="AB366" s="192"/>
      <c r="AC366" s="192"/>
      <c r="AD366" s="309"/>
      <c r="AE366" s="309"/>
      <c r="AF366" s="309"/>
      <c r="AG366" s="309"/>
      <c r="AH366" s="309"/>
      <c r="AI366" s="309"/>
      <c r="AJ366" s="309"/>
      <c r="AK366" s="309"/>
      <c r="AL366" s="309"/>
      <c r="AM366" s="309"/>
      <c r="AN366" s="309"/>
      <c r="AO366" s="309"/>
      <c r="AP366" s="309"/>
      <c r="AQ366" s="309"/>
      <c r="AR366" s="309"/>
      <c r="AS366" s="308"/>
      <c r="AT366" s="309"/>
      <c r="AU366" s="309"/>
      <c r="AV366" s="309"/>
      <c r="AW366" s="309"/>
      <c r="AX366" s="309"/>
      <c r="AY366" s="309"/>
      <c r="AZ366" s="309"/>
      <c r="BA366" s="309"/>
      <c r="BB366" s="309"/>
      <c r="BC366" s="309"/>
      <c r="BD366" s="309"/>
    </row>
    <row r="367" spans="1:56" hidden="1" outlineLevel="1" x14ac:dyDescent="0.25">
      <c r="A367" s="288"/>
      <c r="B367" s="292"/>
      <c r="C367" s="192"/>
      <c r="D367" s="192"/>
      <c r="E367" s="192"/>
      <c r="F367" s="192"/>
      <c r="G367" s="192"/>
      <c r="H367" s="192"/>
      <c r="I367" s="192"/>
      <c r="J367" s="192"/>
      <c r="K367" s="192"/>
      <c r="L367" s="192"/>
      <c r="M367" s="192"/>
      <c r="N367" s="192"/>
      <c r="O367" s="192"/>
      <c r="P367" s="192"/>
      <c r="Q367" s="192"/>
      <c r="R367" s="308"/>
      <c r="S367" s="192"/>
      <c r="T367" s="192"/>
      <c r="U367" s="192"/>
      <c r="V367" s="192"/>
      <c r="W367" s="192"/>
      <c r="X367" s="192"/>
      <c r="Y367" s="192"/>
      <c r="Z367" s="192"/>
      <c r="AA367" s="192"/>
      <c r="AB367" s="192"/>
      <c r="AC367" s="192"/>
      <c r="AD367" s="309"/>
      <c r="AE367" s="309"/>
      <c r="AF367" s="309"/>
      <c r="AG367" s="309"/>
      <c r="AH367" s="309"/>
      <c r="AI367" s="309"/>
      <c r="AJ367" s="309"/>
      <c r="AK367" s="309"/>
      <c r="AL367" s="309"/>
      <c r="AM367" s="309"/>
      <c r="AN367" s="309"/>
      <c r="AO367" s="309"/>
      <c r="AP367" s="309"/>
      <c r="AQ367" s="309"/>
      <c r="AR367" s="309"/>
      <c r="AS367" s="308"/>
      <c r="AT367" s="309"/>
      <c r="AU367" s="309"/>
      <c r="AV367" s="309"/>
      <c r="AW367" s="309"/>
      <c r="AX367" s="309"/>
      <c r="AY367" s="309"/>
      <c r="AZ367" s="309"/>
      <c r="BA367" s="309"/>
      <c r="BB367" s="309"/>
      <c r="BC367" s="309"/>
      <c r="BD367" s="309"/>
    </row>
    <row r="368" spans="1:56" hidden="1" outlineLevel="1" x14ac:dyDescent="0.25">
      <c r="A368" s="288"/>
      <c r="B368" s="292"/>
      <c r="C368" s="192"/>
      <c r="D368" s="192"/>
      <c r="E368" s="192"/>
      <c r="F368" s="192"/>
      <c r="G368" s="192"/>
      <c r="H368" s="192"/>
      <c r="I368" s="192"/>
      <c r="J368" s="192"/>
      <c r="K368" s="192"/>
      <c r="L368" s="192"/>
      <c r="M368" s="192"/>
      <c r="N368" s="192"/>
      <c r="O368" s="192"/>
      <c r="P368" s="192"/>
      <c r="Q368" s="192"/>
      <c r="R368" s="308"/>
      <c r="S368" s="192"/>
      <c r="T368" s="192"/>
      <c r="U368" s="192"/>
      <c r="V368" s="192"/>
      <c r="W368" s="192"/>
      <c r="X368" s="192"/>
      <c r="Y368" s="192"/>
      <c r="Z368" s="192"/>
      <c r="AA368" s="192"/>
      <c r="AB368" s="192"/>
      <c r="AC368" s="192"/>
      <c r="AD368" s="309"/>
      <c r="AE368" s="309"/>
      <c r="AF368" s="309"/>
      <c r="AG368" s="309"/>
      <c r="AH368" s="309"/>
      <c r="AI368" s="309"/>
      <c r="AJ368" s="309"/>
      <c r="AK368" s="309"/>
      <c r="AL368" s="309"/>
      <c r="AM368" s="309"/>
      <c r="AN368" s="309"/>
      <c r="AO368" s="309"/>
      <c r="AP368" s="309"/>
      <c r="AQ368" s="309"/>
      <c r="AR368" s="309"/>
      <c r="AS368" s="308"/>
      <c r="AT368" s="309"/>
      <c r="AU368" s="309"/>
      <c r="AV368" s="309"/>
      <c r="AW368" s="309"/>
      <c r="AX368" s="309"/>
      <c r="AY368" s="309"/>
      <c r="AZ368" s="309"/>
      <c r="BA368" s="309"/>
      <c r="BB368" s="309"/>
      <c r="BC368" s="309"/>
      <c r="BD368" s="309"/>
    </row>
    <row r="369" spans="1:56" hidden="1" outlineLevel="1" x14ac:dyDescent="0.25">
      <c r="A369" s="288"/>
      <c r="B369" s="292"/>
      <c r="C369" s="192"/>
      <c r="D369" s="192"/>
      <c r="E369" s="192"/>
      <c r="F369" s="192"/>
      <c r="G369" s="192"/>
      <c r="H369" s="192"/>
      <c r="I369" s="192"/>
      <c r="J369" s="192"/>
      <c r="K369" s="192"/>
      <c r="L369" s="192"/>
      <c r="M369" s="192"/>
      <c r="N369" s="192"/>
      <c r="O369" s="192"/>
      <c r="P369" s="192"/>
      <c r="Q369" s="192"/>
      <c r="R369" s="308"/>
      <c r="S369" s="192"/>
      <c r="T369" s="192"/>
      <c r="U369" s="192"/>
      <c r="V369" s="192"/>
      <c r="W369" s="192"/>
      <c r="X369" s="192"/>
      <c r="Y369" s="192"/>
      <c r="Z369" s="192"/>
      <c r="AA369" s="192"/>
      <c r="AB369" s="192"/>
      <c r="AC369" s="192"/>
      <c r="AD369" s="309"/>
      <c r="AE369" s="309"/>
      <c r="AF369" s="309"/>
      <c r="AG369" s="309"/>
      <c r="AH369" s="309"/>
      <c r="AI369" s="309"/>
      <c r="AJ369" s="309"/>
      <c r="AK369" s="309"/>
      <c r="AL369" s="309"/>
      <c r="AM369" s="309"/>
      <c r="AN369" s="309"/>
      <c r="AO369" s="309"/>
      <c r="AP369" s="309"/>
      <c r="AQ369" s="309"/>
      <c r="AR369" s="309"/>
      <c r="AS369" s="308"/>
      <c r="AT369" s="309"/>
      <c r="AU369" s="309"/>
      <c r="AV369" s="309"/>
      <c r="AW369" s="309"/>
      <c r="AX369" s="309"/>
      <c r="AY369" s="309"/>
      <c r="AZ369" s="309"/>
      <c r="BA369" s="309"/>
      <c r="BB369" s="309"/>
      <c r="BC369" s="309"/>
      <c r="BD369" s="309"/>
    </row>
    <row r="370" spans="1:56" hidden="1" outlineLevel="1" x14ac:dyDescent="0.25">
      <c r="A370" s="288"/>
      <c r="B370" s="292"/>
      <c r="C370" s="192"/>
      <c r="D370" s="192"/>
      <c r="E370" s="192"/>
      <c r="F370" s="192"/>
      <c r="G370" s="192"/>
      <c r="H370" s="192"/>
      <c r="I370" s="192"/>
      <c r="J370" s="192"/>
      <c r="K370" s="192"/>
      <c r="L370" s="192"/>
      <c r="M370" s="192"/>
      <c r="N370" s="192"/>
      <c r="O370" s="192"/>
      <c r="P370" s="192"/>
      <c r="Q370" s="192"/>
      <c r="R370" s="308"/>
      <c r="S370" s="192"/>
      <c r="T370" s="192"/>
      <c r="U370" s="192"/>
      <c r="V370" s="192"/>
      <c r="W370" s="192"/>
      <c r="X370" s="192"/>
      <c r="Y370" s="192"/>
      <c r="Z370" s="192"/>
      <c r="AA370" s="192"/>
      <c r="AB370" s="192"/>
      <c r="AC370" s="192"/>
      <c r="AD370" s="309"/>
      <c r="AE370" s="309"/>
      <c r="AF370" s="309"/>
      <c r="AG370" s="309"/>
      <c r="AH370" s="309"/>
      <c r="AI370" s="309"/>
      <c r="AJ370" s="309"/>
      <c r="AK370" s="309"/>
      <c r="AL370" s="309"/>
      <c r="AM370" s="309"/>
      <c r="AN370" s="309"/>
      <c r="AO370" s="309"/>
      <c r="AP370" s="309"/>
      <c r="AQ370" s="309"/>
      <c r="AR370" s="309"/>
      <c r="AS370" s="308"/>
      <c r="AT370" s="309"/>
      <c r="AU370" s="309"/>
      <c r="AV370" s="309"/>
      <c r="AW370" s="309"/>
      <c r="AX370" s="309"/>
      <c r="AY370" s="309"/>
      <c r="AZ370" s="309"/>
      <c r="BA370" s="309"/>
      <c r="BB370" s="309"/>
      <c r="BC370" s="309"/>
      <c r="BD370" s="309"/>
    </row>
    <row r="371" spans="1:56" hidden="1" outlineLevel="1" x14ac:dyDescent="0.25">
      <c r="A371" s="288"/>
      <c r="B371" s="292"/>
      <c r="C371" s="192"/>
      <c r="D371" s="192"/>
      <c r="E371" s="192"/>
      <c r="F371" s="192"/>
      <c r="G371" s="192"/>
      <c r="H371" s="192"/>
      <c r="I371" s="192"/>
      <c r="J371" s="192"/>
      <c r="K371" s="192"/>
      <c r="L371" s="192"/>
      <c r="M371" s="192"/>
      <c r="N371" s="192"/>
      <c r="O371" s="192"/>
      <c r="P371" s="192"/>
      <c r="Q371" s="192"/>
      <c r="R371" s="308"/>
      <c r="S371" s="192"/>
      <c r="T371" s="192"/>
      <c r="U371" s="192"/>
      <c r="V371" s="192"/>
      <c r="W371" s="192"/>
      <c r="X371" s="192"/>
      <c r="Y371" s="192"/>
      <c r="Z371" s="192"/>
      <c r="AA371" s="192"/>
      <c r="AB371" s="192"/>
      <c r="AC371" s="192"/>
      <c r="AD371" s="309"/>
      <c r="AE371" s="309"/>
      <c r="AF371" s="309"/>
      <c r="AG371" s="309"/>
      <c r="AH371" s="309"/>
      <c r="AI371" s="309"/>
      <c r="AJ371" s="309"/>
      <c r="AK371" s="309"/>
      <c r="AL371" s="309"/>
      <c r="AM371" s="309"/>
      <c r="AN371" s="309"/>
      <c r="AO371" s="309"/>
      <c r="AP371" s="309"/>
      <c r="AQ371" s="309"/>
      <c r="AR371" s="309"/>
      <c r="AS371" s="308"/>
      <c r="AT371" s="309"/>
      <c r="AU371" s="309"/>
      <c r="AV371" s="309"/>
      <c r="AW371" s="309"/>
      <c r="AX371" s="309"/>
      <c r="AY371" s="309"/>
      <c r="AZ371" s="309"/>
      <c r="BA371" s="309"/>
      <c r="BB371" s="309"/>
      <c r="BC371" s="309"/>
      <c r="BD371" s="309"/>
    </row>
    <row r="372" spans="1:56" hidden="1" outlineLevel="1" x14ac:dyDescent="0.25">
      <c r="A372" s="288"/>
      <c r="B372" s="292"/>
      <c r="C372" s="192"/>
      <c r="D372" s="192"/>
      <c r="E372" s="192"/>
      <c r="F372" s="192"/>
      <c r="G372" s="192"/>
      <c r="H372" s="192"/>
      <c r="I372" s="192"/>
      <c r="J372" s="192"/>
      <c r="K372" s="192"/>
      <c r="L372" s="192"/>
      <c r="M372" s="192"/>
      <c r="N372" s="192"/>
      <c r="O372" s="192"/>
      <c r="P372" s="192"/>
      <c r="Q372" s="192"/>
      <c r="R372" s="308"/>
      <c r="S372" s="192"/>
      <c r="T372" s="192"/>
      <c r="U372" s="192"/>
      <c r="V372" s="192"/>
      <c r="W372" s="192"/>
      <c r="X372" s="192"/>
      <c r="Y372" s="192"/>
      <c r="Z372" s="192"/>
      <c r="AA372" s="192"/>
      <c r="AB372" s="192"/>
      <c r="AC372" s="192"/>
      <c r="AD372" s="309"/>
      <c r="AE372" s="309"/>
      <c r="AF372" s="309"/>
      <c r="AG372" s="309"/>
      <c r="AH372" s="309"/>
      <c r="AI372" s="309"/>
      <c r="AJ372" s="309"/>
      <c r="AK372" s="309"/>
      <c r="AL372" s="309"/>
      <c r="AM372" s="309"/>
      <c r="AN372" s="309"/>
      <c r="AO372" s="309"/>
      <c r="AP372" s="309"/>
      <c r="AQ372" s="309"/>
      <c r="AR372" s="309"/>
      <c r="AS372" s="308"/>
      <c r="AT372" s="309"/>
      <c r="AU372" s="309"/>
      <c r="AV372" s="309"/>
      <c r="AW372" s="309"/>
      <c r="AX372" s="309"/>
      <c r="AY372" s="309"/>
      <c r="AZ372" s="309"/>
      <c r="BA372" s="309"/>
      <c r="BB372" s="309"/>
      <c r="BC372" s="309"/>
      <c r="BD372" s="309"/>
    </row>
    <row r="373" spans="1:56" hidden="1" outlineLevel="1" x14ac:dyDescent="0.25">
      <c r="A373" s="288"/>
      <c r="B373" s="292"/>
      <c r="C373" s="192"/>
      <c r="D373" s="192"/>
      <c r="E373" s="192"/>
      <c r="F373" s="192"/>
      <c r="G373" s="192"/>
      <c r="H373" s="192"/>
      <c r="I373" s="192"/>
      <c r="J373" s="192"/>
      <c r="K373" s="192"/>
      <c r="L373" s="192"/>
      <c r="M373" s="192"/>
      <c r="N373" s="192"/>
      <c r="O373" s="192"/>
      <c r="P373" s="192"/>
      <c r="Q373" s="192"/>
      <c r="R373" s="308"/>
      <c r="S373" s="192"/>
      <c r="T373" s="192"/>
      <c r="U373" s="192"/>
      <c r="V373" s="192"/>
      <c r="W373" s="192"/>
      <c r="X373" s="192"/>
      <c r="Y373" s="192"/>
      <c r="Z373" s="192"/>
      <c r="AA373" s="192"/>
      <c r="AB373" s="192"/>
      <c r="AC373" s="192"/>
      <c r="AD373" s="309"/>
      <c r="AE373" s="309"/>
      <c r="AF373" s="309"/>
      <c r="AG373" s="309"/>
      <c r="AH373" s="309"/>
      <c r="AI373" s="309"/>
      <c r="AJ373" s="309"/>
      <c r="AK373" s="309"/>
      <c r="AL373" s="309"/>
      <c r="AM373" s="309"/>
      <c r="AN373" s="309"/>
      <c r="AO373" s="309"/>
      <c r="AP373" s="309"/>
      <c r="AQ373" s="309"/>
      <c r="AR373" s="309"/>
      <c r="AS373" s="308"/>
      <c r="AT373" s="309"/>
      <c r="AU373" s="309"/>
      <c r="AV373" s="309"/>
      <c r="AW373" s="309"/>
      <c r="AX373" s="309"/>
      <c r="AY373" s="309"/>
      <c r="AZ373" s="309"/>
      <c r="BA373" s="309"/>
      <c r="BB373" s="309"/>
      <c r="BC373" s="309"/>
      <c r="BD373" s="309"/>
    </row>
    <row r="374" spans="1:56" hidden="1" outlineLevel="1" x14ac:dyDescent="0.25">
      <c r="A374" s="288"/>
      <c r="B374" s="292"/>
      <c r="C374" s="192"/>
      <c r="D374" s="192"/>
      <c r="E374" s="192"/>
      <c r="F374" s="192"/>
      <c r="G374" s="192"/>
      <c r="H374" s="192"/>
      <c r="I374" s="192"/>
      <c r="J374" s="192"/>
      <c r="K374" s="192"/>
      <c r="L374" s="192"/>
      <c r="M374" s="192"/>
      <c r="N374" s="192"/>
      <c r="O374" s="192"/>
      <c r="P374" s="192"/>
      <c r="Q374" s="192"/>
      <c r="R374" s="308"/>
      <c r="S374" s="192"/>
      <c r="T374" s="192"/>
      <c r="U374" s="192"/>
      <c r="V374" s="192"/>
      <c r="W374" s="192"/>
      <c r="X374" s="192"/>
      <c r="Y374" s="192"/>
      <c r="Z374" s="192"/>
      <c r="AA374" s="192"/>
      <c r="AB374" s="192"/>
      <c r="AC374" s="192"/>
      <c r="AD374" s="309"/>
      <c r="AE374" s="309"/>
      <c r="AF374" s="309"/>
      <c r="AG374" s="309"/>
      <c r="AH374" s="309"/>
      <c r="AI374" s="309"/>
      <c r="AJ374" s="309"/>
      <c r="AK374" s="309"/>
      <c r="AL374" s="309"/>
      <c r="AM374" s="309"/>
      <c r="AN374" s="309"/>
      <c r="AO374" s="309"/>
      <c r="AP374" s="309"/>
      <c r="AQ374" s="309"/>
      <c r="AR374" s="309"/>
      <c r="AS374" s="308"/>
      <c r="AT374" s="309"/>
      <c r="AU374" s="309"/>
      <c r="AV374" s="309"/>
      <c r="AW374" s="309"/>
      <c r="AX374" s="309"/>
      <c r="AY374" s="309"/>
      <c r="AZ374" s="309"/>
      <c r="BA374" s="309"/>
      <c r="BB374" s="309"/>
      <c r="BC374" s="309"/>
      <c r="BD374" s="309"/>
    </row>
    <row r="375" spans="1:56" hidden="1" outlineLevel="1" x14ac:dyDescent="0.25">
      <c r="A375" s="288"/>
      <c r="B375" s="292"/>
      <c r="C375" s="192"/>
      <c r="D375" s="192"/>
      <c r="E375" s="192"/>
      <c r="F375" s="192"/>
      <c r="G375" s="192"/>
      <c r="H375" s="192"/>
      <c r="I375" s="192"/>
      <c r="J375" s="192"/>
      <c r="K375" s="192"/>
      <c r="L375" s="192"/>
      <c r="M375" s="192"/>
      <c r="N375" s="192"/>
      <c r="O375" s="192"/>
      <c r="P375" s="192"/>
      <c r="Q375" s="192"/>
      <c r="R375" s="308"/>
      <c r="S375" s="192"/>
      <c r="T375" s="192"/>
      <c r="U375" s="192"/>
      <c r="V375" s="192"/>
      <c r="W375" s="192"/>
      <c r="X375" s="192"/>
      <c r="Y375" s="192"/>
      <c r="Z375" s="192"/>
      <c r="AA375" s="192"/>
      <c r="AB375" s="192"/>
      <c r="AC375" s="192"/>
      <c r="AD375" s="309"/>
      <c r="AE375" s="309"/>
      <c r="AF375" s="309"/>
      <c r="AG375" s="309"/>
      <c r="AH375" s="309"/>
      <c r="AI375" s="309"/>
      <c r="AJ375" s="309"/>
      <c r="AK375" s="309"/>
      <c r="AL375" s="309"/>
      <c r="AM375" s="309"/>
      <c r="AN375" s="309"/>
      <c r="AO375" s="309"/>
      <c r="AP375" s="309"/>
      <c r="AQ375" s="309"/>
      <c r="AR375" s="309"/>
      <c r="AS375" s="308"/>
      <c r="AT375" s="309"/>
      <c r="AU375" s="309"/>
      <c r="AV375" s="309"/>
      <c r="AW375" s="309"/>
      <c r="AX375" s="309"/>
      <c r="AY375" s="309"/>
      <c r="AZ375" s="309"/>
      <c r="BA375" s="309"/>
      <c r="BB375" s="309"/>
      <c r="BC375" s="309"/>
      <c r="BD375" s="309"/>
    </row>
    <row r="376" spans="1:56" hidden="1" outlineLevel="1" x14ac:dyDescent="0.25">
      <c r="A376" s="288"/>
      <c r="B376" s="292"/>
      <c r="C376" s="192"/>
      <c r="D376" s="192"/>
      <c r="E376" s="192"/>
      <c r="F376" s="192"/>
      <c r="G376" s="192"/>
      <c r="H376" s="192"/>
      <c r="I376" s="192"/>
      <c r="J376" s="192"/>
      <c r="K376" s="192"/>
      <c r="L376" s="192"/>
      <c r="M376" s="192"/>
      <c r="N376" s="192"/>
      <c r="O376" s="192"/>
      <c r="P376" s="192"/>
      <c r="Q376" s="192"/>
      <c r="R376" s="308"/>
      <c r="S376" s="192"/>
      <c r="T376" s="192"/>
      <c r="U376" s="192"/>
      <c r="V376" s="192"/>
      <c r="W376" s="192"/>
      <c r="X376" s="192"/>
      <c r="Y376" s="192"/>
      <c r="Z376" s="192"/>
      <c r="AA376" s="192"/>
      <c r="AB376" s="192"/>
      <c r="AC376" s="192"/>
      <c r="AD376" s="309"/>
      <c r="AE376" s="309"/>
      <c r="AF376" s="309"/>
      <c r="AG376" s="309"/>
      <c r="AH376" s="309"/>
      <c r="AI376" s="309"/>
      <c r="AJ376" s="309"/>
      <c r="AK376" s="309"/>
      <c r="AL376" s="309"/>
      <c r="AM376" s="309"/>
      <c r="AN376" s="309"/>
      <c r="AO376" s="309"/>
      <c r="AP376" s="309"/>
      <c r="AQ376" s="309"/>
      <c r="AR376" s="309"/>
      <c r="AS376" s="308"/>
      <c r="AT376" s="309"/>
      <c r="AU376" s="309"/>
      <c r="AV376" s="309"/>
      <c r="AW376" s="309"/>
      <c r="AX376" s="309"/>
      <c r="AY376" s="309"/>
      <c r="AZ376" s="309"/>
      <c r="BA376" s="309"/>
      <c r="BB376" s="309"/>
      <c r="BC376" s="309"/>
      <c r="BD376" s="309"/>
    </row>
    <row r="377" spans="1:56" hidden="1" outlineLevel="1" x14ac:dyDescent="0.25">
      <c r="A377" s="288"/>
      <c r="B377" s="292"/>
      <c r="C377" s="192"/>
      <c r="D377" s="192"/>
      <c r="E377" s="192"/>
      <c r="F377" s="192"/>
      <c r="G377" s="192"/>
      <c r="H377" s="192"/>
      <c r="I377" s="192"/>
      <c r="J377" s="192"/>
      <c r="K377" s="192"/>
      <c r="L377" s="192"/>
      <c r="M377" s="192"/>
      <c r="N377" s="192"/>
      <c r="O377" s="192"/>
      <c r="P377" s="192"/>
      <c r="Q377" s="192"/>
      <c r="R377" s="308"/>
      <c r="S377" s="192"/>
      <c r="T377" s="192"/>
      <c r="U377" s="192"/>
      <c r="V377" s="192"/>
      <c r="W377" s="192"/>
      <c r="X377" s="192"/>
      <c r="Y377" s="192"/>
      <c r="Z377" s="192"/>
      <c r="AA377" s="192"/>
      <c r="AB377" s="192"/>
      <c r="AC377" s="192"/>
      <c r="AD377" s="309"/>
      <c r="AE377" s="309"/>
      <c r="AF377" s="309"/>
      <c r="AG377" s="309"/>
      <c r="AH377" s="309"/>
      <c r="AI377" s="309"/>
      <c r="AJ377" s="309"/>
      <c r="AK377" s="309"/>
      <c r="AL377" s="309"/>
      <c r="AM377" s="309"/>
      <c r="AN377" s="309"/>
      <c r="AO377" s="309"/>
      <c r="AP377" s="309"/>
      <c r="AQ377" s="309"/>
      <c r="AR377" s="309"/>
      <c r="AS377" s="308"/>
      <c r="AT377" s="309"/>
      <c r="AU377" s="309"/>
      <c r="AV377" s="309"/>
      <c r="AW377" s="309"/>
      <c r="AX377" s="309"/>
      <c r="AY377" s="309"/>
      <c r="AZ377" s="309"/>
      <c r="BA377" s="309"/>
      <c r="BB377" s="309"/>
      <c r="BC377" s="309"/>
      <c r="BD377" s="309"/>
    </row>
    <row r="378" spans="1:56" hidden="1" outlineLevel="1" x14ac:dyDescent="0.25">
      <c r="A378" s="288"/>
      <c r="B378" s="292"/>
      <c r="C378" s="192"/>
      <c r="D378" s="192"/>
      <c r="E378" s="192"/>
      <c r="F378" s="192"/>
      <c r="G378" s="192"/>
      <c r="H378" s="192"/>
      <c r="I378" s="192"/>
      <c r="J378" s="192"/>
      <c r="K378" s="192"/>
      <c r="L378" s="192"/>
      <c r="M378" s="192"/>
      <c r="N378" s="192"/>
      <c r="O378" s="192"/>
      <c r="P378" s="192"/>
      <c r="Q378" s="192"/>
      <c r="R378" s="308"/>
      <c r="S378" s="192"/>
      <c r="T378" s="192"/>
      <c r="U378" s="192"/>
      <c r="V378" s="192"/>
      <c r="W378" s="192"/>
      <c r="X378" s="192"/>
      <c r="Y378" s="192"/>
      <c r="Z378" s="192"/>
      <c r="AA378" s="192"/>
      <c r="AB378" s="192"/>
      <c r="AC378" s="192"/>
      <c r="AD378" s="309"/>
      <c r="AE378" s="309"/>
      <c r="AF378" s="309"/>
      <c r="AG378" s="309"/>
      <c r="AH378" s="309"/>
      <c r="AI378" s="309"/>
      <c r="AJ378" s="309"/>
      <c r="AK378" s="309"/>
      <c r="AL378" s="309"/>
      <c r="AM378" s="309"/>
      <c r="AN378" s="309"/>
      <c r="AO378" s="309"/>
      <c r="AP378" s="309"/>
      <c r="AQ378" s="309"/>
      <c r="AR378" s="309"/>
      <c r="AS378" s="308"/>
      <c r="AT378" s="309"/>
      <c r="AU378" s="309"/>
      <c r="AV378" s="309"/>
      <c r="AW378" s="309"/>
      <c r="AX378" s="309"/>
      <c r="AY378" s="309"/>
      <c r="AZ378" s="309"/>
      <c r="BA378" s="309"/>
      <c r="BB378" s="309"/>
      <c r="BC378" s="309"/>
      <c r="BD378" s="309"/>
    </row>
    <row r="379" spans="1:56" hidden="1" outlineLevel="1" x14ac:dyDescent="0.25">
      <c r="A379" s="288"/>
      <c r="B379" s="292"/>
      <c r="C379" s="192"/>
      <c r="D379" s="192"/>
      <c r="E379" s="192"/>
      <c r="F379" s="192"/>
      <c r="G379" s="192"/>
      <c r="H379" s="192"/>
      <c r="I379" s="192"/>
      <c r="J379" s="192"/>
      <c r="K379" s="192"/>
      <c r="L379" s="192"/>
      <c r="M379" s="192"/>
      <c r="N379" s="192"/>
      <c r="O379" s="192"/>
      <c r="P379" s="192"/>
      <c r="Q379" s="192"/>
      <c r="R379" s="308"/>
      <c r="S379" s="192"/>
      <c r="T379" s="192"/>
      <c r="U379" s="192"/>
      <c r="V379" s="192"/>
      <c r="W379" s="192"/>
      <c r="X379" s="192"/>
      <c r="Y379" s="192"/>
      <c r="Z379" s="192"/>
      <c r="AA379" s="192"/>
      <c r="AB379" s="192"/>
      <c r="AC379" s="192"/>
      <c r="AD379" s="309"/>
      <c r="AE379" s="309"/>
      <c r="AF379" s="309"/>
      <c r="AG379" s="309"/>
      <c r="AH379" s="309"/>
      <c r="AI379" s="309"/>
      <c r="AJ379" s="309"/>
      <c r="AK379" s="309"/>
      <c r="AL379" s="309"/>
      <c r="AM379" s="309"/>
      <c r="AN379" s="309"/>
      <c r="AO379" s="309"/>
      <c r="AP379" s="309"/>
      <c r="AQ379" s="309"/>
      <c r="AR379" s="309"/>
      <c r="AS379" s="308"/>
      <c r="AT379" s="309"/>
      <c r="AU379" s="309"/>
      <c r="AV379" s="309"/>
      <c r="AW379" s="309"/>
      <c r="AX379" s="309"/>
      <c r="AY379" s="309"/>
      <c r="AZ379" s="309"/>
      <c r="BA379" s="309"/>
      <c r="BB379" s="309"/>
      <c r="BC379" s="309"/>
      <c r="BD379" s="309"/>
    </row>
    <row r="380" spans="1:56" hidden="1" outlineLevel="1" x14ac:dyDescent="0.25">
      <c r="A380" s="288"/>
      <c r="B380" s="292"/>
      <c r="C380" s="192"/>
      <c r="D380" s="192"/>
      <c r="E380" s="192"/>
      <c r="F380" s="192"/>
      <c r="G380" s="192"/>
      <c r="H380" s="192"/>
      <c r="I380" s="192"/>
      <c r="J380" s="192"/>
      <c r="K380" s="192"/>
      <c r="L380" s="192"/>
      <c r="M380" s="192"/>
      <c r="N380" s="192"/>
      <c r="O380" s="192"/>
      <c r="P380" s="192"/>
      <c r="Q380" s="192"/>
      <c r="R380" s="308"/>
      <c r="S380" s="192"/>
      <c r="T380" s="192"/>
      <c r="U380" s="192"/>
      <c r="V380" s="192"/>
      <c r="W380" s="192"/>
      <c r="X380" s="192"/>
      <c r="Y380" s="192"/>
      <c r="Z380" s="192"/>
      <c r="AA380" s="192"/>
      <c r="AB380" s="192"/>
      <c r="AC380" s="192"/>
      <c r="AD380" s="309"/>
      <c r="AE380" s="309"/>
      <c r="AF380" s="309"/>
      <c r="AG380" s="309"/>
      <c r="AH380" s="309"/>
      <c r="AI380" s="309"/>
      <c r="AJ380" s="309"/>
      <c r="AK380" s="309"/>
      <c r="AL380" s="309"/>
      <c r="AM380" s="309"/>
      <c r="AN380" s="309"/>
      <c r="AO380" s="309"/>
      <c r="AP380" s="309"/>
      <c r="AQ380" s="309"/>
      <c r="AR380" s="309"/>
      <c r="AS380" s="308"/>
      <c r="AT380" s="309"/>
      <c r="AU380" s="309"/>
      <c r="AV380" s="309"/>
      <c r="AW380" s="309"/>
      <c r="AX380" s="309"/>
      <c r="AY380" s="309"/>
      <c r="AZ380" s="309"/>
      <c r="BA380" s="309"/>
      <c r="BB380" s="309"/>
      <c r="BC380" s="309"/>
      <c r="BD380" s="309"/>
    </row>
    <row r="381" spans="1:56" hidden="1" outlineLevel="1" x14ac:dyDescent="0.25">
      <c r="A381" s="288"/>
      <c r="B381" s="292"/>
      <c r="C381" s="192"/>
      <c r="D381" s="192"/>
      <c r="E381" s="192"/>
      <c r="F381" s="192"/>
      <c r="G381" s="192"/>
      <c r="H381" s="192"/>
      <c r="I381" s="192"/>
      <c r="J381" s="192"/>
      <c r="K381" s="192"/>
      <c r="L381" s="192"/>
      <c r="M381" s="192"/>
      <c r="N381" s="192"/>
      <c r="O381" s="192"/>
      <c r="P381" s="192"/>
      <c r="Q381" s="192"/>
      <c r="R381" s="308"/>
      <c r="S381" s="192"/>
      <c r="T381" s="192"/>
      <c r="U381" s="192"/>
      <c r="V381" s="192"/>
      <c r="W381" s="192"/>
      <c r="X381" s="192"/>
      <c r="Y381" s="192"/>
      <c r="Z381" s="192"/>
      <c r="AA381" s="192"/>
      <c r="AB381" s="192"/>
      <c r="AC381" s="192"/>
      <c r="AD381" s="309"/>
      <c r="AE381" s="309"/>
      <c r="AF381" s="309"/>
      <c r="AG381" s="309"/>
      <c r="AH381" s="309"/>
      <c r="AI381" s="309"/>
      <c r="AJ381" s="309"/>
      <c r="AK381" s="309"/>
      <c r="AL381" s="309"/>
      <c r="AM381" s="309"/>
      <c r="AN381" s="309"/>
      <c r="AO381" s="309"/>
      <c r="AP381" s="309"/>
      <c r="AQ381" s="309"/>
      <c r="AR381" s="309"/>
      <c r="AS381" s="308"/>
      <c r="AT381" s="309"/>
      <c r="AU381" s="309"/>
      <c r="AV381" s="309"/>
      <c r="AW381" s="309"/>
      <c r="AX381" s="309"/>
      <c r="AY381" s="309"/>
      <c r="AZ381" s="309"/>
      <c r="BA381" s="309"/>
      <c r="BB381" s="309"/>
      <c r="BC381" s="309"/>
      <c r="BD381" s="309"/>
    </row>
    <row r="382" spans="1:56" hidden="1" outlineLevel="1" x14ac:dyDescent="0.25">
      <c r="A382" s="288"/>
      <c r="B382" s="292"/>
      <c r="C382" s="192"/>
      <c r="D382" s="192"/>
      <c r="E382" s="192"/>
      <c r="F382" s="192"/>
      <c r="G382" s="192"/>
      <c r="H382" s="192"/>
      <c r="I382" s="192"/>
      <c r="J382" s="192"/>
      <c r="K382" s="192"/>
      <c r="L382" s="192"/>
      <c r="M382" s="192"/>
      <c r="N382" s="192"/>
      <c r="O382" s="192"/>
      <c r="P382" s="192"/>
      <c r="Q382" s="192"/>
      <c r="R382" s="308"/>
      <c r="S382" s="192"/>
      <c r="T382" s="192"/>
      <c r="U382" s="192"/>
      <c r="V382" s="192"/>
      <c r="W382" s="192"/>
      <c r="X382" s="192"/>
      <c r="Y382" s="192"/>
      <c r="Z382" s="192"/>
      <c r="AA382" s="192"/>
      <c r="AB382" s="192"/>
      <c r="AC382" s="192"/>
      <c r="AD382" s="309"/>
      <c r="AE382" s="309"/>
      <c r="AF382" s="309"/>
      <c r="AG382" s="309"/>
      <c r="AH382" s="309"/>
      <c r="AI382" s="309"/>
      <c r="AJ382" s="309"/>
      <c r="AK382" s="309"/>
      <c r="AL382" s="309"/>
      <c r="AM382" s="309"/>
      <c r="AN382" s="309"/>
      <c r="AO382" s="309"/>
      <c r="AP382" s="309"/>
      <c r="AQ382" s="309"/>
      <c r="AR382" s="309"/>
      <c r="AS382" s="308"/>
      <c r="AT382" s="309"/>
      <c r="AU382" s="309"/>
      <c r="AV382" s="309"/>
      <c r="AW382" s="309"/>
      <c r="AX382" s="309"/>
      <c r="AY382" s="309"/>
      <c r="AZ382" s="309"/>
      <c r="BA382" s="309"/>
      <c r="BB382" s="309"/>
      <c r="BC382" s="309"/>
      <c r="BD382" s="309"/>
    </row>
    <row r="383" spans="1:56" hidden="1" outlineLevel="1" x14ac:dyDescent="0.25">
      <c r="A383" s="288"/>
      <c r="B383" s="292"/>
      <c r="C383" s="192"/>
      <c r="D383" s="192"/>
      <c r="E383" s="192"/>
      <c r="F383" s="192"/>
      <c r="G383" s="192"/>
      <c r="H383" s="192"/>
      <c r="I383" s="192"/>
      <c r="J383" s="192"/>
      <c r="K383" s="192"/>
      <c r="L383" s="192"/>
      <c r="M383" s="192"/>
      <c r="N383" s="192"/>
      <c r="O383" s="192"/>
      <c r="P383" s="192"/>
      <c r="Q383" s="192"/>
      <c r="R383" s="308"/>
      <c r="S383" s="192"/>
      <c r="T383" s="192"/>
      <c r="U383" s="192"/>
      <c r="V383" s="192"/>
      <c r="W383" s="192"/>
      <c r="X383" s="192"/>
      <c r="Y383" s="192"/>
      <c r="Z383" s="192"/>
      <c r="AA383" s="192"/>
      <c r="AB383" s="192"/>
      <c r="AC383" s="192"/>
      <c r="AD383" s="309"/>
      <c r="AE383" s="309"/>
      <c r="AF383" s="309"/>
      <c r="AG383" s="309"/>
      <c r="AH383" s="309"/>
      <c r="AI383" s="309"/>
      <c r="AJ383" s="309"/>
      <c r="AK383" s="309"/>
      <c r="AL383" s="309"/>
      <c r="AM383" s="309"/>
      <c r="AN383" s="309"/>
      <c r="AO383" s="309"/>
      <c r="AP383" s="309"/>
      <c r="AQ383" s="309"/>
      <c r="AR383" s="309"/>
      <c r="AS383" s="308"/>
      <c r="AT383" s="309"/>
      <c r="AU383" s="309"/>
      <c r="AV383" s="309"/>
      <c r="AW383" s="309"/>
      <c r="AX383" s="309"/>
      <c r="AY383" s="309"/>
      <c r="AZ383" s="309"/>
      <c r="BA383" s="309"/>
      <c r="BB383" s="309"/>
      <c r="BC383" s="309"/>
      <c r="BD383" s="309"/>
    </row>
    <row r="384" spans="1:56" hidden="1" outlineLevel="1" x14ac:dyDescent="0.25">
      <c r="A384" s="288"/>
      <c r="B384" s="292"/>
      <c r="C384" s="192"/>
      <c r="D384" s="192"/>
      <c r="E384" s="192"/>
      <c r="F384" s="192"/>
      <c r="G384" s="192"/>
      <c r="H384" s="192"/>
      <c r="I384" s="192"/>
      <c r="J384" s="192"/>
      <c r="K384" s="192"/>
      <c r="L384" s="192"/>
      <c r="M384" s="192"/>
      <c r="N384" s="192"/>
      <c r="O384" s="192"/>
      <c r="P384" s="192"/>
      <c r="Q384" s="192"/>
      <c r="R384" s="308"/>
      <c r="S384" s="192"/>
      <c r="T384" s="192"/>
      <c r="U384" s="192"/>
      <c r="V384" s="192"/>
      <c r="W384" s="192"/>
      <c r="X384" s="192"/>
      <c r="Y384" s="192"/>
      <c r="Z384" s="192"/>
      <c r="AA384" s="192"/>
      <c r="AB384" s="192"/>
      <c r="AC384" s="192"/>
      <c r="AD384" s="309"/>
      <c r="AE384" s="309"/>
      <c r="AF384" s="309"/>
      <c r="AG384" s="309"/>
      <c r="AH384" s="309"/>
      <c r="AI384" s="309"/>
      <c r="AJ384" s="309"/>
      <c r="AK384" s="309"/>
      <c r="AL384" s="309"/>
      <c r="AM384" s="309"/>
      <c r="AN384" s="309"/>
      <c r="AO384" s="309"/>
      <c r="AP384" s="309"/>
      <c r="AQ384" s="309"/>
      <c r="AR384" s="309"/>
      <c r="AS384" s="308"/>
      <c r="AT384" s="309"/>
      <c r="AU384" s="309"/>
      <c r="AV384" s="309"/>
      <c r="AW384" s="309"/>
      <c r="AX384" s="309"/>
      <c r="AY384" s="309"/>
      <c r="AZ384" s="309"/>
      <c r="BA384" s="309"/>
      <c r="BB384" s="309"/>
      <c r="BC384" s="309"/>
      <c r="BD384" s="309"/>
    </row>
    <row r="385" spans="1:56" hidden="1" outlineLevel="1" x14ac:dyDescent="0.25">
      <c r="A385" s="288"/>
      <c r="B385" s="292"/>
      <c r="C385" s="192"/>
      <c r="D385" s="192"/>
      <c r="E385" s="192"/>
      <c r="F385" s="192"/>
      <c r="G385" s="192"/>
      <c r="H385" s="192"/>
      <c r="I385" s="192"/>
      <c r="J385" s="192"/>
      <c r="K385" s="192"/>
      <c r="L385" s="192"/>
      <c r="M385" s="192"/>
      <c r="N385" s="192"/>
      <c r="O385" s="192"/>
      <c r="P385" s="192"/>
      <c r="Q385" s="192"/>
      <c r="R385" s="308"/>
      <c r="S385" s="192"/>
      <c r="T385" s="192"/>
      <c r="U385" s="192"/>
      <c r="V385" s="192"/>
      <c r="W385" s="192"/>
      <c r="X385" s="192"/>
      <c r="Y385" s="192"/>
      <c r="Z385" s="192"/>
      <c r="AA385" s="192"/>
      <c r="AB385" s="192"/>
      <c r="AC385" s="192"/>
      <c r="AD385" s="309"/>
      <c r="AE385" s="309"/>
      <c r="AF385" s="309"/>
      <c r="AG385" s="309"/>
      <c r="AH385" s="309"/>
      <c r="AI385" s="309"/>
      <c r="AJ385" s="309"/>
      <c r="AK385" s="309"/>
      <c r="AL385" s="309"/>
      <c r="AM385" s="309"/>
      <c r="AN385" s="309"/>
      <c r="AO385" s="309"/>
      <c r="AP385" s="309"/>
      <c r="AQ385" s="309"/>
      <c r="AR385" s="309"/>
      <c r="AS385" s="308"/>
      <c r="AT385" s="309"/>
      <c r="AU385" s="309"/>
      <c r="AV385" s="309"/>
      <c r="AW385" s="309"/>
      <c r="AX385" s="309"/>
      <c r="AY385" s="309"/>
      <c r="AZ385" s="309"/>
      <c r="BA385" s="309"/>
      <c r="BB385" s="309"/>
      <c r="BC385" s="309"/>
      <c r="BD385" s="309"/>
    </row>
    <row r="386" spans="1:56" hidden="1" outlineLevel="1" x14ac:dyDescent="0.25">
      <c r="A386" s="288"/>
      <c r="B386" s="292"/>
      <c r="C386" s="192"/>
      <c r="D386" s="192"/>
      <c r="E386" s="192"/>
      <c r="F386" s="192"/>
      <c r="G386" s="192"/>
      <c r="H386" s="192"/>
      <c r="I386" s="192"/>
      <c r="J386" s="192"/>
      <c r="K386" s="192"/>
      <c r="L386" s="192"/>
      <c r="M386" s="192"/>
      <c r="N386" s="192"/>
      <c r="O386" s="192"/>
      <c r="P386" s="192"/>
      <c r="Q386" s="192"/>
      <c r="R386" s="308"/>
      <c r="S386" s="192"/>
      <c r="T386" s="192"/>
      <c r="U386" s="192"/>
      <c r="V386" s="192"/>
      <c r="W386" s="192"/>
      <c r="X386" s="192"/>
      <c r="Y386" s="192"/>
      <c r="Z386" s="192"/>
      <c r="AA386" s="192"/>
      <c r="AB386" s="192"/>
      <c r="AC386" s="192"/>
      <c r="AD386" s="309"/>
      <c r="AE386" s="309"/>
      <c r="AF386" s="309"/>
      <c r="AG386" s="309"/>
      <c r="AH386" s="309"/>
      <c r="AI386" s="309"/>
      <c r="AJ386" s="309"/>
      <c r="AK386" s="309"/>
      <c r="AL386" s="309"/>
      <c r="AM386" s="309"/>
      <c r="AN386" s="309"/>
      <c r="AO386" s="309"/>
      <c r="AP386" s="309"/>
      <c r="AQ386" s="309"/>
      <c r="AR386" s="309"/>
      <c r="AS386" s="308"/>
      <c r="AT386" s="309"/>
      <c r="AU386" s="309"/>
      <c r="AV386" s="309"/>
      <c r="AW386" s="309"/>
      <c r="AX386" s="309"/>
      <c r="AY386" s="309"/>
      <c r="AZ386" s="309"/>
      <c r="BA386" s="309"/>
      <c r="BB386" s="309"/>
      <c r="BC386" s="309"/>
      <c r="BD386" s="309"/>
    </row>
    <row r="387" spans="1:56" hidden="1" outlineLevel="1" x14ac:dyDescent="0.25">
      <c r="A387" s="288"/>
      <c r="B387" s="292"/>
      <c r="C387" s="192"/>
      <c r="D387" s="192"/>
      <c r="E387" s="192"/>
      <c r="F387" s="192"/>
      <c r="G387" s="192"/>
      <c r="H387" s="192"/>
      <c r="I387" s="192"/>
      <c r="J387" s="192"/>
      <c r="K387" s="192"/>
      <c r="L387" s="192"/>
      <c r="M387" s="192"/>
      <c r="N387" s="192"/>
      <c r="O387" s="192"/>
      <c r="P387" s="192"/>
      <c r="Q387" s="192"/>
      <c r="R387" s="308"/>
      <c r="S387" s="192"/>
      <c r="T387" s="192"/>
      <c r="U387" s="192"/>
      <c r="V387" s="192"/>
      <c r="W387" s="192"/>
      <c r="X387" s="192"/>
      <c r="Y387" s="192"/>
      <c r="Z387" s="192"/>
      <c r="AA387" s="192"/>
      <c r="AB387" s="192"/>
      <c r="AC387" s="192"/>
      <c r="AD387" s="309"/>
      <c r="AE387" s="309"/>
      <c r="AF387" s="309"/>
      <c r="AG387" s="309"/>
      <c r="AH387" s="309"/>
      <c r="AI387" s="309"/>
      <c r="AJ387" s="309"/>
      <c r="AK387" s="309"/>
      <c r="AL387" s="309"/>
      <c r="AM387" s="309"/>
      <c r="AN387" s="309"/>
      <c r="AO387" s="309"/>
      <c r="AP387" s="309"/>
      <c r="AQ387" s="309"/>
      <c r="AR387" s="309"/>
      <c r="AS387" s="308"/>
      <c r="AT387" s="309"/>
      <c r="AU387" s="309"/>
      <c r="AV387" s="309"/>
      <c r="AW387" s="309"/>
      <c r="AX387" s="309"/>
      <c r="AY387" s="309"/>
      <c r="AZ387" s="309"/>
      <c r="BA387" s="309"/>
      <c r="BB387" s="309"/>
      <c r="BC387" s="309"/>
      <c r="BD387" s="309"/>
    </row>
    <row r="388" spans="1:56" hidden="1" outlineLevel="1" x14ac:dyDescent="0.25">
      <c r="A388" s="288"/>
      <c r="B388" s="292"/>
      <c r="C388" s="192"/>
      <c r="D388" s="192"/>
      <c r="E388" s="192"/>
      <c r="F388" s="192"/>
      <c r="G388" s="192"/>
      <c r="H388" s="192"/>
      <c r="I388" s="192"/>
      <c r="J388" s="192"/>
      <c r="K388" s="192"/>
      <c r="L388" s="192"/>
      <c r="M388" s="192"/>
      <c r="N388" s="192"/>
      <c r="O388" s="192"/>
      <c r="P388" s="192"/>
      <c r="Q388" s="192"/>
      <c r="R388" s="308"/>
      <c r="S388" s="192"/>
      <c r="T388" s="192"/>
      <c r="U388" s="192"/>
      <c r="V388" s="192"/>
      <c r="W388" s="192"/>
      <c r="X388" s="192"/>
      <c r="Y388" s="192"/>
      <c r="Z388" s="192"/>
      <c r="AA388" s="192"/>
      <c r="AB388" s="192"/>
      <c r="AC388" s="192"/>
      <c r="AD388" s="309"/>
      <c r="AE388" s="309"/>
      <c r="AF388" s="309"/>
      <c r="AG388" s="309"/>
      <c r="AH388" s="309"/>
      <c r="AI388" s="309"/>
      <c r="AJ388" s="309"/>
      <c r="AK388" s="309"/>
      <c r="AL388" s="309"/>
      <c r="AM388" s="309"/>
      <c r="AN388" s="309"/>
      <c r="AO388" s="309"/>
      <c r="AP388" s="309"/>
      <c r="AQ388" s="309"/>
      <c r="AR388" s="309"/>
      <c r="AS388" s="308"/>
      <c r="AT388" s="309"/>
      <c r="AU388" s="309"/>
      <c r="AV388" s="309"/>
      <c r="AW388" s="309"/>
      <c r="AX388" s="309"/>
      <c r="AY388" s="309"/>
      <c r="AZ388" s="309"/>
      <c r="BA388" s="309"/>
      <c r="BB388" s="309"/>
      <c r="BC388" s="309"/>
      <c r="BD388" s="309"/>
    </row>
    <row r="389" spans="1:56" hidden="1" outlineLevel="1" x14ac:dyDescent="0.25">
      <c r="A389" s="288"/>
      <c r="B389" s="292"/>
      <c r="C389" s="192"/>
      <c r="D389" s="192"/>
      <c r="E389" s="192"/>
      <c r="F389" s="192"/>
      <c r="G389" s="192"/>
      <c r="H389" s="192"/>
      <c r="I389" s="192"/>
      <c r="J389" s="192"/>
      <c r="K389" s="192"/>
      <c r="L389" s="192"/>
      <c r="M389" s="192"/>
      <c r="N389" s="192"/>
      <c r="O389" s="192"/>
      <c r="P389" s="192"/>
      <c r="Q389" s="192"/>
      <c r="R389" s="308"/>
      <c r="S389" s="192"/>
      <c r="T389" s="192"/>
      <c r="U389" s="192"/>
      <c r="V389" s="192"/>
      <c r="W389" s="192"/>
      <c r="X389" s="192"/>
      <c r="Y389" s="192"/>
      <c r="Z389" s="192"/>
      <c r="AA389" s="192"/>
      <c r="AB389" s="192"/>
      <c r="AC389" s="192"/>
      <c r="AD389" s="309"/>
      <c r="AE389" s="309"/>
      <c r="AF389" s="309"/>
      <c r="AG389" s="309"/>
      <c r="AH389" s="309"/>
      <c r="AI389" s="309"/>
      <c r="AJ389" s="309"/>
      <c r="AK389" s="309"/>
      <c r="AL389" s="309"/>
      <c r="AM389" s="309"/>
      <c r="AN389" s="309"/>
      <c r="AO389" s="309"/>
      <c r="AP389" s="309"/>
      <c r="AQ389" s="309"/>
      <c r="AR389" s="309"/>
      <c r="AS389" s="308"/>
      <c r="AT389" s="309"/>
      <c r="AU389" s="309"/>
      <c r="AV389" s="309"/>
      <c r="AW389" s="309"/>
      <c r="AX389" s="309"/>
      <c r="AY389" s="309"/>
      <c r="AZ389" s="309"/>
      <c r="BA389" s="309"/>
      <c r="BB389" s="309"/>
      <c r="BC389" s="309"/>
      <c r="BD389" s="309"/>
    </row>
    <row r="390" spans="1:56" hidden="1" outlineLevel="1" x14ac:dyDescent="0.25">
      <c r="A390" s="288"/>
      <c r="B390" s="292"/>
      <c r="C390" s="192"/>
      <c r="D390" s="192"/>
      <c r="E390" s="192"/>
      <c r="F390" s="192"/>
      <c r="G390" s="192"/>
      <c r="H390" s="192"/>
      <c r="I390" s="192"/>
      <c r="J390" s="192"/>
      <c r="K390" s="192"/>
      <c r="L390" s="192"/>
      <c r="M390" s="192"/>
      <c r="N390" s="192"/>
      <c r="O390" s="192"/>
      <c r="P390" s="192"/>
      <c r="Q390" s="192"/>
      <c r="R390" s="308"/>
      <c r="S390" s="192"/>
      <c r="T390" s="192"/>
      <c r="U390" s="192"/>
      <c r="V390" s="192"/>
      <c r="W390" s="192"/>
      <c r="X390" s="192"/>
      <c r="Y390" s="192"/>
      <c r="Z390" s="192"/>
      <c r="AA390" s="192"/>
      <c r="AB390" s="192"/>
      <c r="AC390" s="192"/>
      <c r="AD390" s="309"/>
      <c r="AE390" s="309"/>
      <c r="AF390" s="309"/>
      <c r="AG390" s="309"/>
      <c r="AH390" s="309"/>
      <c r="AI390" s="309"/>
      <c r="AJ390" s="309"/>
      <c r="AK390" s="309"/>
      <c r="AL390" s="309"/>
      <c r="AM390" s="309"/>
      <c r="AN390" s="309"/>
      <c r="AO390" s="309"/>
      <c r="AP390" s="309"/>
      <c r="AQ390" s="309"/>
      <c r="AR390" s="309"/>
      <c r="AS390" s="308"/>
      <c r="AT390" s="309"/>
      <c r="AU390" s="309"/>
      <c r="AV390" s="309"/>
      <c r="AW390" s="309"/>
      <c r="AX390" s="309"/>
      <c r="AY390" s="309"/>
      <c r="AZ390" s="309"/>
      <c r="BA390" s="309"/>
      <c r="BB390" s="309"/>
      <c r="BC390" s="309"/>
      <c r="BD390" s="309"/>
    </row>
    <row r="391" spans="1:56" hidden="1" outlineLevel="1" x14ac:dyDescent="0.25">
      <c r="A391" s="288"/>
      <c r="B391" s="292"/>
      <c r="C391" s="192"/>
      <c r="D391" s="192"/>
      <c r="E391" s="192"/>
      <c r="F391" s="192"/>
      <c r="G391" s="192"/>
      <c r="H391" s="192"/>
      <c r="I391" s="192"/>
      <c r="J391" s="192"/>
      <c r="K391" s="192"/>
      <c r="L391" s="192"/>
      <c r="M391" s="192"/>
      <c r="N391" s="192"/>
      <c r="O391" s="192"/>
      <c r="P391" s="192"/>
      <c r="Q391" s="192"/>
      <c r="R391" s="308"/>
      <c r="S391" s="192"/>
      <c r="T391" s="192"/>
      <c r="U391" s="192"/>
      <c r="V391" s="192"/>
      <c r="W391" s="192"/>
      <c r="X391" s="192"/>
      <c r="Y391" s="192"/>
      <c r="Z391" s="192"/>
      <c r="AA391" s="192"/>
      <c r="AB391" s="192"/>
      <c r="AC391" s="192"/>
      <c r="AD391" s="309"/>
      <c r="AE391" s="309"/>
      <c r="AF391" s="309"/>
      <c r="AG391" s="309"/>
      <c r="AH391" s="309"/>
      <c r="AI391" s="309"/>
      <c r="AJ391" s="309"/>
      <c r="AK391" s="309"/>
      <c r="AL391" s="309"/>
      <c r="AM391" s="309"/>
      <c r="AN391" s="309"/>
      <c r="AO391" s="309"/>
      <c r="AP391" s="309"/>
      <c r="AQ391" s="309"/>
      <c r="AR391" s="309"/>
      <c r="AS391" s="308"/>
      <c r="AT391" s="309"/>
      <c r="AU391" s="309"/>
      <c r="AV391" s="309"/>
      <c r="AW391" s="309"/>
      <c r="AX391" s="309"/>
      <c r="AY391" s="309"/>
      <c r="AZ391" s="309"/>
      <c r="BA391" s="309"/>
      <c r="BB391" s="309"/>
      <c r="BC391" s="309"/>
      <c r="BD391" s="309"/>
    </row>
    <row r="392" spans="1:56" hidden="1" outlineLevel="1" x14ac:dyDescent="0.25">
      <c r="A392" s="288"/>
      <c r="B392" s="292"/>
      <c r="C392" s="192"/>
      <c r="D392" s="192"/>
      <c r="E392" s="192"/>
      <c r="F392" s="192"/>
      <c r="G392" s="192"/>
      <c r="H392" s="192"/>
      <c r="I392" s="192"/>
      <c r="J392" s="192"/>
      <c r="K392" s="192"/>
      <c r="L392" s="192"/>
      <c r="M392" s="192"/>
      <c r="N392" s="192"/>
      <c r="O392" s="192"/>
      <c r="P392" s="192"/>
      <c r="Q392" s="192"/>
      <c r="R392" s="308"/>
      <c r="S392" s="192"/>
      <c r="T392" s="192"/>
      <c r="U392" s="192"/>
      <c r="V392" s="192"/>
      <c r="W392" s="192"/>
      <c r="X392" s="192"/>
      <c r="Y392" s="192"/>
      <c r="Z392" s="192"/>
      <c r="AA392" s="192"/>
      <c r="AB392" s="192"/>
      <c r="AC392" s="192"/>
      <c r="AD392" s="309"/>
      <c r="AE392" s="309"/>
      <c r="AF392" s="309"/>
      <c r="AG392" s="309"/>
      <c r="AH392" s="309"/>
      <c r="AI392" s="309"/>
      <c r="AJ392" s="309"/>
      <c r="AK392" s="309"/>
      <c r="AL392" s="309"/>
      <c r="AM392" s="309"/>
      <c r="AN392" s="309"/>
      <c r="AO392" s="309"/>
      <c r="AP392" s="309"/>
      <c r="AQ392" s="309"/>
      <c r="AR392" s="309"/>
      <c r="AS392" s="308"/>
      <c r="AT392" s="309"/>
      <c r="AU392" s="309"/>
      <c r="AV392" s="309"/>
      <c r="AW392" s="309"/>
      <c r="AX392" s="309"/>
      <c r="AY392" s="309"/>
      <c r="AZ392" s="309"/>
      <c r="BA392" s="309"/>
      <c r="BB392" s="309"/>
      <c r="BC392" s="309"/>
      <c r="BD392" s="309"/>
    </row>
    <row r="393" spans="1:56" hidden="1" outlineLevel="1" x14ac:dyDescent="0.25">
      <c r="A393" s="288"/>
      <c r="B393" s="292"/>
      <c r="C393" s="192"/>
      <c r="D393" s="192"/>
      <c r="E393" s="192"/>
      <c r="F393" s="192"/>
      <c r="G393" s="192"/>
      <c r="H393" s="192"/>
      <c r="I393" s="192"/>
      <c r="J393" s="192"/>
      <c r="K393" s="192"/>
      <c r="L393" s="192"/>
      <c r="M393" s="192"/>
      <c r="N393" s="192"/>
      <c r="O393" s="192"/>
      <c r="P393" s="192"/>
      <c r="Q393" s="192"/>
      <c r="R393" s="308"/>
      <c r="S393" s="192"/>
      <c r="T393" s="192"/>
      <c r="U393" s="192"/>
      <c r="V393" s="192"/>
      <c r="W393" s="192"/>
      <c r="X393" s="192"/>
      <c r="Y393" s="192"/>
      <c r="Z393" s="192"/>
      <c r="AA393" s="192"/>
      <c r="AB393" s="192"/>
      <c r="AC393" s="192"/>
      <c r="AD393" s="309"/>
      <c r="AE393" s="309"/>
      <c r="AF393" s="309"/>
      <c r="AG393" s="309"/>
      <c r="AH393" s="309"/>
      <c r="AI393" s="309"/>
      <c r="AJ393" s="309"/>
      <c r="AK393" s="309"/>
      <c r="AL393" s="309"/>
      <c r="AM393" s="309"/>
      <c r="AN393" s="309"/>
      <c r="AO393" s="309"/>
      <c r="AP393" s="309"/>
      <c r="AQ393" s="309"/>
      <c r="AR393" s="309"/>
      <c r="AS393" s="308"/>
      <c r="AT393" s="309"/>
      <c r="AU393" s="309"/>
      <c r="AV393" s="309"/>
      <c r="AW393" s="309"/>
      <c r="AX393" s="309"/>
      <c r="AY393" s="309"/>
      <c r="AZ393" s="309"/>
      <c r="BA393" s="309"/>
      <c r="BB393" s="309"/>
      <c r="BC393" s="309"/>
      <c r="BD393" s="309"/>
    </row>
    <row r="394" spans="1:56" hidden="1" outlineLevel="1" x14ac:dyDescent="0.25">
      <c r="A394" s="288"/>
      <c r="B394" s="292"/>
      <c r="C394" s="192"/>
      <c r="D394" s="192"/>
      <c r="E394" s="192"/>
      <c r="F394" s="192"/>
      <c r="G394" s="192"/>
      <c r="H394" s="192"/>
      <c r="I394" s="192"/>
      <c r="J394" s="192"/>
      <c r="K394" s="192"/>
      <c r="L394" s="192"/>
      <c r="M394" s="192"/>
      <c r="N394" s="192"/>
      <c r="O394" s="192"/>
      <c r="P394" s="192"/>
      <c r="Q394" s="192"/>
      <c r="R394" s="308"/>
      <c r="S394" s="192"/>
      <c r="T394" s="192"/>
      <c r="U394" s="192"/>
      <c r="V394" s="192"/>
      <c r="W394" s="192"/>
      <c r="X394" s="192"/>
      <c r="Y394" s="192"/>
      <c r="Z394" s="192"/>
      <c r="AA394" s="192"/>
      <c r="AB394" s="192"/>
      <c r="AC394" s="192"/>
      <c r="AD394" s="309"/>
      <c r="AE394" s="309"/>
      <c r="AF394" s="309"/>
      <c r="AG394" s="309"/>
      <c r="AH394" s="309"/>
      <c r="AI394" s="309"/>
      <c r="AJ394" s="309"/>
      <c r="AK394" s="309"/>
      <c r="AL394" s="309"/>
      <c r="AM394" s="309"/>
      <c r="AN394" s="309"/>
      <c r="AO394" s="309"/>
      <c r="AP394" s="309"/>
      <c r="AQ394" s="309"/>
      <c r="AR394" s="309"/>
      <c r="AS394" s="308"/>
      <c r="AT394" s="309"/>
      <c r="AU394" s="309"/>
      <c r="AV394" s="309"/>
      <c r="AW394" s="309"/>
      <c r="AX394" s="309"/>
      <c r="AY394" s="309"/>
      <c r="AZ394" s="309"/>
      <c r="BA394" s="309"/>
      <c r="BB394" s="309"/>
      <c r="BC394" s="309"/>
      <c r="BD394" s="309"/>
    </row>
    <row r="395" spans="1:56" hidden="1" outlineLevel="1" x14ac:dyDescent="0.25">
      <c r="A395" s="288"/>
      <c r="B395" s="292"/>
      <c r="C395" s="192"/>
      <c r="D395" s="192"/>
      <c r="E395" s="192"/>
      <c r="F395" s="192"/>
      <c r="G395" s="192"/>
      <c r="H395" s="192"/>
      <c r="I395" s="192"/>
      <c r="J395" s="192"/>
      <c r="K395" s="192"/>
      <c r="L395" s="192"/>
      <c r="M395" s="192"/>
      <c r="N395" s="192"/>
      <c r="O395" s="192"/>
      <c r="P395" s="192"/>
      <c r="Q395" s="192"/>
      <c r="R395" s="308"/>
      <c r="S395" s="192"/>
      <c r="T395" s="192"/>
      <c r="U395" s="192"/>
      <c r="V395" s="192"/>
      <c r="W395" s="192"/>
      <c r="X395" s="192"/>
      <c r="Y395" s="192"/>
      <c r="Z395" s="192"/>
      <c r="AA395" s="192"/>
      <c r="AB395" s="192"/>
      <c r="AC395" s="192"/>
      <c r="AD395" s="309"/>
      <c r="AE395" s="309"/>
      <c r="AF395" s="309"/>
      <c r="AG395" s="309"/>
      <c r="AH395" s="309"/>
      <c r="AI395" s="309"/>
      <c r="AJ395" s="309"/>
      <c r="AK395" s="309"/>
      <c r="AL395" s="309"/>
      <c r="AM395" s="309"/>
      <c r="AN395" s="309"/>
      <c r="AO395" s="309"/>
      <c r="AP395" s="309"/>
      <c r="AQ395" s="309"/>
      <c r="AR395" s="309"/>
      <c r="AS395" s="308"/>
      <c r="AT395" s="309"/>
      <c r="AU395" s="309"/>
      <c r="AV395" s="309"/>
      <c r="AW395" s="309"/>
      <c r="AX395" s="309"/>
      <c r="AY395" s="309"/>
      <c r="AZ395" s="309"/>
      <c r="BA395" s="309"/>
      <c r="BB395" s="309"/>
      <c r="BC395" s="309"/>
      <c r="BD395" s="309"/>
    </row>
    <row r="396" spans="1:56" hidden="1" outlineLevel="1" x14ac:dyDescent="0.25">
      <c r="A396" s="288"/>
      <c r="B396" s="292"/>
      <c r="C396" s="192"/>
      <c r="D396" s="192"/>
      <c r="E396" s="192"/>
      <c r="F396" s="192"/>
      <c r="G396" s="192"/>
      <c r="H396" s="192"/>
      <c r="I396" s="192"/>
      <c r="J396" s="192"/>
      <c r="K396" s="192"/>
      <c r="L396" s="192"/>
      <c r="M396" s="192"/>
      <c r="N396" s="192"/>
      <c r="O396" s="192"/>
      <c r="P396" s="192"/>
      <c r="Q396" s="192"/>
      <c r="R396" s="308"/>
      <c r="S396" s="192"/>
      <c r="T396" s="192"/>
      <c r="U396" s="192"/>
      <c r="V396" s="192"/>
      <c r="W396" s="192"/>
      <c r="X396" s="192"/>
      <c r="Y396" s="192"/>
      <c r="Z396" s="192"/>
      <c r="AA396" s="192"/>
      <c r="AB396" s="192"/>
      <c r="AC396" s="192"/>
      <c r="AD396" s="309"/>
      <c r="AE396" s="309"/>
      <c r="AF396" s="309"/>
      <c r="AG396" s="309"/>
      <c r="AH396" s="309"/>
      <c r="AI396" s="309"/>
      <c r="AJ396" s="309"/>
      <c r="AK396" s="309"/>
      <c r="AL396" s="309"/>
      <c r="AM396" s="309"/>
      <c r="AN396" s="309"/>
      <c r="AO396" s="309"/>
      <c r="AP396" s="309"/>
      <c r="AQ396" s="309"/>
      <c r="AR396" s="309"/>
      <c r="AS396" s="308"/>
      <c r="AT396" s="309"/>
      <c r="AU396" s="309"/>
      <c r="AV396" s="309"/>
      <c r="AW396" s="309"/>
      <c r="AX396" s="309"/>
      <c r="AY396" s="309"/>
      <c r="AZ396" s="309"/>
      <c r="BA396" s="309"/>
      <c r="BB396" s="309"/>
      <c r="BC396" s="309"/>
      <c r="BD396" s="309"/>
    </row>
    <row r="397" spans="1:56" hidden="1" outlineLevel="1" x14ac:dyDescent="0.25">
      <c r="A397" s="288"/>
      <c r="B397" s="292"/>
      <c r="C397" s="192"/>
      <c r="D397" s="192"/>
      <c r="E397" s="192"/>
      <c r="F397" s="192"/>
      <c r="G397" s="192"/>
      <c r="H397" s="192"/>
      <c r="I397" s="192"/>
      <c r="J397" s="192"/>
      <c r="K397" s="192"/>
      <c r="L397" s="192"/>
      <c r="M397" s="192"/>
      <c r="N397" s="192"/>
      <c r="O397" s="192"/>
      <c r="P397" s="192"/>
      <c r="Q397" s="192"/>
      <c r="R397" s="308"/>
      <c r="S397" s="192"/>
      <c r="T397" s="192"/>
      <c r="U397" s="192"/>
      <c r="V397" s="192"/>
      <c r="W397" s="192"/>
      <c r="X397" s="192"/>
      <c r="Y397" s="192"/>
      <c r="Z397" s="192"/>
      <c r="AA397" s="192"/>
      <c r="AB397" s="192"/>
      <c r="AC397" s="192"/>
      <c r="AD397" s="309"/>
      <c r="AE397" s="309"/>
      <c r="AF397" s="309"/>
      <c r="AG397" s="309"/>
      <c r="AH397" s="309"/>
      <c r="AI397" s="309"/>
      <c r="AJ397" s="309"/>
      <c r="AK397" s="309"/>
      <c r="AL397" s="309"/>
      <c r="AM397" s="309"/>
      <c r="AN397" s="309"/>
      <c r="AO397" s="309"/>
      <c r="AP397" s="309"/>
      <c r="AQ397" s="309"/>
      <c r="AR397" s="309"/>
      <c r="AS397" s="308"/>
      <c r="AT397" s="309"/>
      <c r="AU397" s="309"/>
      <c r="AV397" s="309"/>
      <c r="AW397" s="309"/>
      <c r="AX397" s="309"/>
      <c r="AY397" s="309"/>
      <c r="AZ397" s="309"/>
      <c r="BA397" s="309"/>
      <c r="BB397" s="309"/>
      <c r="BC397" s="309"/>
      <c r="BD397" s="309"/>
    </row>
    <row r="398" spans="1:56" hidden="1" outlineLevel="1" x14ac:dyDescent="0.25">
      <c r="A398" s="288"/>
      <c r="B398" s="292"/>
      <c r="C398" s="192"/>
      <c r="D398" s="192"/>
      <c r="E398" s="192"/>
      <c r="F398" s="192"/>
      <c r="G398" s="192"/>
      <c r="H398" s="192"/>
      <c r="I398" s="192"/>
      <c r="J398" s="192"/>
      <c r="K398" s="192"/>
      <c r="L398" s="192"/>
      <c r="M398" s="192"/>
      <c r="N398" s="192"/>
      <c r="O398" s="192"/>
      <c r="P398" s="192"/>
      <c r="Q398" s="192"/>
      <c r="R398" s="308"/>
      <c r="S398" s="192"/>
      <c r="T398" s="192"/>
      <c r="U398" s="192"/>
      <c r="V398" s="192"/>
      <c r="W398" s="192"/>
      <c r="X398" s="192"/>
      <c r="Y398" s="192"/>
      <c r="Z398" s="192"/>
      <c r="AA398" s="192"/>
      <c r="AB398" s="192"/>
      <c r="AC398" s="192"/>
      <c r="AD398" s="309"/>
      <c r="AE398" s="309"/>
      <c r="AF398" s="309"/>
      <c r="AG398" s="309"/>
      <c r="AH398" s="309"/>
      <c r="AI398" s="309"/>
      <c r="AJ398" s="309"/>
      <c r="AK398" s="309"/>
      <c r="AL398" s="309"/>
      <c r="AM398" s="309"/>
      <c r="AN398" s="309"/>
      <c r="AO398" s="309"/>
      <c r="AP398" s="309"/>
      <c r="AQ398" s="309"/>
      <c r="AR398" s="309"/>
      <c r="AS398" s="308"/>
      <c r="AT398" s="309"/>
      <c r="AU398" s="309"/>
      <c r="AV398" s="309"/>
      <c r="AW398" s="309"/>
      <c r="AX398" s="309"/>
      <c r="AY398" s="309"/>
      <c r="AZ398" s="309"/>
      <c r="BA398" s="309"/>
      <c r="BB398" s="309"/>
      <c r="BC398" s="309"/>
      <c r="BD398" s="309"/>
    </row>
    <row r="399" spans="1:56" hidden="1" outlineLevel="1" x14ac:dyDescent="0.25">
      <c r="A399" s="288"/>
      <c r="B399" s="292"/>
      <c r="C399" s="192"/>
      <c r="D399" s="192"/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  <c r="Q399" s="192"/>
      <c r="R399" s="308"/>
      <c r="S399" s="192"/>
      <c r="T399" s="192"/>
      <c r="U399" s="192"/>
      <c r="V399" s="192"/>
      <c r="W399" s="192"/>
      <c r="X399" s="192"/>
      <c r="Y399" s="192"/>
      <c r="Z399" s="192"/>
      <c r="AA399" s="192"/>
      <c r="AB399" s="192"/>
      <c r="AC399" s="192"/>
      <c r="AD399" s="309"/>
      <c r="AE399" s="309"/>
      <c r="AF399" s="309"/>
      <c r="AG399" s="309"/>
      <c r="AH399" s="309"/>
      <c r="AI399" s="309"/>
      <c r="AJ399" s="309"/>
      <c r="AK399" s="309"/>
      <c r="AL399" s="309"/>
      <c r="AM399" s="309"/>
      <c r="AN399" s="309"/>
      <c r="AO399" s="309"/>
      <c r="AP399" s="309"/>
      <c r="AQ399" s="309"/>
      <c r="AR399" s="309"/>
      <c r="AS399" s="308"/>
      <c r="AT399" s="309"/>
      <c r="AU399" s="309"/>
      <c r="AV399" s="309"/>
      <c r="AW399" s="309"/>
      <c r="AX399" s="309"/>
      <c r="AY399" s="309"/>
      <c r="AZ399" s="309"/>
      <c r="BA399" s="309"/>
      <c r="BB399" s="309"/>
      <c r="BC399" s="309"/>
      <c r="BD399" s="309"/>
    </row>
    <row r="400" spans="1:56" hidden="1" outlineLevel="1" x14ac:dyDescent="0.25">
      <c r="A400" s="288"/>
      <c r="B400" s="292"/>
      <c r="C400" s="192"/>
      <c r="D400" s="192"/>
      <c r="E400" s="192"/>
      <c r="F400" s="192"/>
      <c r="G400" s="192"/>
      <c r="H400" s="192"/>
      <c r="I400" s="192"/>
      <c r="J400" s="192"/>
      <c r="K400" s="192"/>
      <c r="L400" s="192"/>
      <c r="M400" s="192"/>
      <c r="N400" s="192"/>
      <c r="O400" s="192"/>
      <c r="P400" s="192"/>
      <c r="Q400" s="192"/>
      <c r="R400" s="308"/>
      <c r="S400" s="192"/>
      <c r="T400" s="192"/>
      <c r="U400" s="192"/>
      <c r="V400" s="192"/>
      <c r="W400" s="192"/>
      <c r="X400" s="192"/>
      <c r="Y400" s="192"/>
      <c r="Z400" s="192"/>
      <c r="AA400" s="192"/>
      <c r="AB400" s="192"/>
      <c r="AC400" s="192"/>
      <c r="AD400" s="309"/>
      <c r="AE400" s="309"/>
      <c r="AF400" s="309"/>
      <c r="AG400" s="309"/>
      <c r="AH400" s="309"/>
      <c r="AI400" s="309"/>
      <c r="AJ400" s="309"/>
      <c r="AK400" s="309"/>
      <c r="AL400" s="309"/>
      <c r="AM400" s="309"/>
      <c r="AN400" s="309"/>
      <c r="AO400" s="309"/>
      <c r="AP400" s="309"/>
      <c r="AQ400" s="309"/>
      <c r="AR400" s="309"/>
      <c r="AS400" s="308"/>
      <c r="AT400" s="309"/>
      <c r="AU400" s="309"/>
      <c r="AV400" s="309"/>
      <c r="AW400" s="309"/>
      <c r="AX400" s="309"/>
      <c r="AY400" s="309"/>
      <c r="AZ400" s="309"/>
      <c r="BA400" s="309"/>
      <c r="BB400" s="309"/>
      <c r="BC400" s="309"/>
      <c r="BD400" s="309"/>
    </row>
    <row r="401" spans="1:56" hidden="1" outlineLevel="1" x14ac:dyDescent="0.25">
      <c r="A401" s="288"/>
      <c r="B401" s="292"/>
      <c r="C401" s="192"/>
      <c r="D401" s="192"/>
      <c r="E401" s="192"/>
      <c r="F401" s="192"/>
      <c r="G401" s="192"/>
      <c r="H401" s="192"/>
      <c r="I401" s="192"/>
      <c r="J401" s="192"/>
      <c r="K401" s="192"/>
      <c r="L401" s="192"/>
      <c r="M401" s="192"/>
      <c r="N401" s="192"/>
      <c r="O401" s="192"/>
      <c r="P401" s="192"/>
      <c r="Q401" s="192"/>
      <c r="R401" s="308"/>
      <c r="S401" s="192"/>
      <c r="T401" s="192"/>
      <c r="U401" s="192"/>
      <c r="V401" s="192"/>
      <c r="W401" s="192"/>
      <c r="X401" s="192"/>
      <c r="Y401" s="192"/>
      <c r="Z401" s="192"/>
      <c r="AA401" s="192"/>
      <c r="AB401" s="192"/>
      <c r="AC401" s="192"/>
      <c r="AD401" s="309"/>
      <c r="AE401" s="309"/>
      <c r="AF401" s="309"/>
      <c r="AG401" s="309"/>
      <c r="AH401" s="309"/>
      <c r="AI401" s="309"/>
      <c r="AJ401" s="309"/>
      <c r="AK401" s="309"/>
      <c r="AL401" s="309"/>
      <c r="AM401" s="309"/>
      <c r="AN401" s="309"/>
      <c r="AO401" s="309"/>
      <c r="AP401" s="309"/>
      <c r="AQ401" s="309"/>
      <c r="AR401" s="309"/>
      <c r="AS401" s="308"/>
      <c r="AT401" s="309"/>
      <c r="AU401" s="309"/>
      <c r="AV401" s="309"/>
      <c r="AW401" s="309"/>
      <c r="AX401" s="309"/>
      <c r="AY401" s="309"/>
      <c r="AZ401" s="309"/>
      <c r="BA401" s="309"/>
      <c r="BB401" s="309"/>
      <c r="BC401" s="309"/>
      <c r="BD401" s="309"/>
    </row>
    <row r="402" spans="1:56" hidden="1" outlineLevel="1" x14ac:dyDescent="0.25">
      <c r="A402" s="288"/>
      <c r="B402" s="292"/>
      <c r="C402" s="192"/>
      <c r="D402" s="192"/>
      <c r="E402" s="192"/>
      <c r="F402" s="192"/>
      <c r="G402" s="192"/>
      <c r="H402" s="192"/>
      <c r="I402" s="192"/>
      <c r="J402" s="192"/>
      <c r="K402" s="192"/>
      <c r="L402" s="192"/>
      <c r="M402" s="192"/>
      <c r="N402" s="192"/>
      <c r="O402" s="192"/>
      <c r="P402" s="192"/>
      <c r="Q402" s="192"/>
      <c r="R402" s="308"/>
      <c r="S402" s="192"/>
      <c r="T402" s="192"/>
      <c r="U402" s="192"/>
      <c r="V402" s="192"/>
      <c r="W402" s="192"/>
      <c r="X402" s="192"/>
      <c r="Y402" s="192"/>
      <c r="Z402" s="192"/>
      <c r="AA402" s="192"/>
      <c r="AB402" s="192"/>
      <c r="AC402" s="192"/>
      <c r="AD402" s="309"/>
      <c r="AE402" s="309"/>
      <c r="AF402" s="309"/>
      <c r="AG402" s="309"/>
      <c r="AH402" s="309"/>
      <c r="AI402" s="309"/>
      <c r="AJ402" s="309"/>
      <c r="AK402" s="309"/>
      <c r="AL402" s="309"/>
      <c r="AM402" s="309"/>
      <c r="AN402" s="309"/>
      <c r="AO402" s="309"/>
      <c r="AP402" s="309"/>
      <c r="AQ402" s="309"/>
      <c r="AR402" s="309"/>
      <c r="AS402" s="308"/>
      <c r="AT402" s="309"/>
      <c r="AU402" s="309"/>
      <c r="AV402" s="309"/>
      <c r="AW402" s="309"/>
      <c r="AX402" s="309"/>
      <c r="AY402" s="309"/>
      <c r="AZ402" s="309"/>
      <c r="BA402" s="309"/>
      <c r="BB402" s="309"/>
      <c r="BC402" s="309"/>
      <c r="BD402" s="309"/>
    </row>
    <row r="403" spans="1:56" hidden="1" outlineLevel="1" x14ac:dyDescent="0.25">
      <c r="A403" s="288"/>
      <c r="B403" s="292"/>
      <c r="C403" s="192"/>
      <c r="D403" s="192"/>
      <c r="E403" s="192"/>
      <c r="F403" s="192"/>
      <c r="G403" s="192"/>
      <c r="H403" s="192"/>
      <c r="I403" s="192"/>
      <c r="J403" s="192"/>
      <c r="K403" s="192"/>
      <c r="L403" s="192"/>
      <c r="M403" s="192"/>
      <c r="N403" s="192"/>
      <c r="O403" s="192"/>
      <c r="P403" s="192"/>
      <c r="Q403" s="192"/>
      <c r="R403" s="308"/>
      <c r="S403" s="192"/>
      <c r="T403" s="192"/>
      <c r="U403" s="192"/>
      <c r="V403" s="192"/>
      <c r="W403" s="192"/>
      <c r="X403" s="192"/>
      <c r="Y403" s="192"/>
      <c r="Z403" s="192"/>
      <c r="AA403" s="192"/>
      <c r="AB403" s="192"/>
      <c r="AC403" s="192"/>
      <c r="AD403" s="309"/>
      <c r="AE403" s="309"/>
      <c r="AF403" s="309"/>
      <c r="AG403" s="309"/>
      <c r="AH403" s="309"/>
      <c r="AI403" s="309"/>
      <c r="AJ403" s="309"/>
      <c r="AK403" s="309"/>
      <c r="AL403" s="309"/>
      <c r="AM403" s="309"/>
      <c r="AN403" s="309"/>
      <c r="AO403" s="309"/>
      <c r="AP403" s="309"/>
      <c r="AQ403" s="309"/>
      <c r="AR403" s="309"/>
      <c r="AS403" s="308"/>
      <c r="AT403" s="309"/>
      <c r="AU403" s="309"/>
      <c r="AV403" s="309"/>
      <c r="AW403" s="309"/>
      <c r="AX403" s="309"/>
      <c r="AY403" s="309"/>
      <c r="AZ403" s="309"/>
      <c r="BA403" s="309"/>
      <c r="BB403" s="309"/>
      <c r="BC403" s="309"/>
      <c r="BD403" s="309"/>
    </row>
    <row r="404" spans="1:56" hidden="1" outlineLevel="1" x14ac:dyDescent="0.25">
      <c r="A404" s="288"/>
      <c r="B404" s="292"/>
      <c r="C404" s="192"/>
      <c r="D404" s="192"/>
      <c r="E404" s="192"/>
      <c r="F404" s="192"/>
      <c r="G404" s="192"/>
      <c r="H404" s="192"/>
      <c r="I404" s="192"/>
      <c r="J404" s="192"/>
      <c r="K404" s="192"/>
      <c r="L404" s="192"/>
      <c r="M404" s="192"/>
      <c r="N404" s="192"/>
      <c r="O404" s="192"/>
      <c r="P404" s="192"/>
      <c r="Q404" s="192"/>
      <c r="R404" s="308"/>
      <c r="S404" s="192"/>
      <c r="T404" s="192"/>
      <c r="U404" s="192"/>
      <c r="V404" s="192"/>
      <c r="W404" s="192"/>
      <c r="X404" s="192"/>
      <c r="Y404" s="192"/>
      <c r="Z404" s="192"/>
      <c r="AA404" s="192"/>
      <c r="AB404" s="192"/>
      <c r="AC404" s="192"/>
      <c r="AD404" s="309"/>
      <c r="AE404" s="309"/>
      <c r="AF404" s="309"/>
      <c r="AG404" s="309"/>
      <c r="AH404" s="309"/>
      <c r="AI404" s="309"/>
      <c r="AJ404" s="309"/>
      <c r="AK404" s="309"/>
      <c r="AL404" s="309"/>
      <c r="AM404" s="309"/>
      <c r="AN404" s="309"/>
      <c r="AO404" s="309"/>
      <c r="AP404" s="309"/>
      <c r="AQ404" s="309"/>
      <c r="AR404" s="309"/>
      <c r="AS404" s="308"/>
      <c r="AT404" s="309"/>
      <c r="AU404" s="309"/>
      <c r="AV404" s="309"/>
      <c r="AW404" s="309"/>
      <c r="AX404" s="309"/>
      <c r="AY404" s="309"/>
      <c r="AZ404" s="309"/>
      <c r="BA404" s="309"/>
      <c r="BB404" s="309"/>
      <c r="BC404" s="309"/>
      <c r="BD404" s="309"/>
    </row>
    <row r="405" spans="1:56" hidden="1" outlineLevel="1" x14ac:dyDescent="0.25">
      <c r="A405" s="288"/>
      <c r="B405" s="292"/>
      <c r="C405" s="192"/>
      <c r="D405" s="192"/>
      <c r="E405" s="192"/>
      <c r="F405" s="192"/>
      <c r="G405" s="192"/>
      <c r="H405" s="192"/>
      <c r="I405" s="192"/>
      <c r="J405" s="192"/>
      <c r="K405" s="192"/>
      <c r="L405" s="192"/>
      <c r="M405" s="192"/>
      <c r="N405" s="192"/>
      <c r="O405" s="192"/>
      <c r="P405" s="192"/>
      <c r="Q405" s="192"/>
      <c r="R405" s="308"/>
      <c r="S405" s="192"/>
      <c r="T405" s="192"/>
      <c r="U405" s="192"/>
      <c r="V405" s="192"/>
      <c r="W405" s="192"/>
      <c r="X405" s="192"/>
      <c r="Y405" s="192"/>
      <c r="Z405" s="192"/>
      <c r="AA405" s="192"/>
      <c r="AB405" s="192"/>
      <c r="AC405" s="192"/>
      <c r="AD405" s="309"/>
      <c r="AE405" s="309"/>
      <c r="AF405" s="309"/>
      <c r="AG405" s="309"/>
      <c r="AH405" s="309"/>
      <c r="AI405" s="309"/>
      <c r="AJ405" s="309"/>
      <c r="AK405" s="309"/>
      <c r="AL405" s="309"/>
      <c r="AM405" s="309"/>
      <c r="AN405" s="309"/>
      <c r="AO405" s="309"/>
      <c r="AP405" s="309"/>
      <c r="AQ405" s="309"/>
      <c r="AR405" s="309"/>
      <c r="AS405" s="308"/>
      <c r="AT405" s="309"/>
      <c r="AU405" s="309"/>
      <c r="AV405" s="309"/>
      <c r="AW405" s="309"/>
      <c r="AX405" s="309"/>
      <c r="AY405" s="309"/>
      <c r="AZ405" s="309"/>
      <c r="BA405" s="309"/>
      <c r="BB405" s="309"/>
      <c r="BC405" s="309"/>
      <c r="BD405" s="309"/>
    </row>
    <row r="406" spans="1:56" hidden="1" outlineLevel="1" x14ac:dyDescent="0.25">
      <c r="A406" s="288"/>
      <c r="B406" s="292"/>
      <c r="C406" s="192"/>
      <c r="D406" s="192"/>
      <c r="E406" s="192"/>
      <c r="F406" s="192"/>
      <c r="G406" s="192"/>
      <c r="H406" s="192"/>
      <c r="I406" s="192"/>
      <c r="J406" s="192"/>
      <c r="K406" s="192"/>
      <c r="L406" s="192"/>
      <c r="M406" s="192"/>
      <c r="N406" s="192"/>
      <c r="O406" s="192"/>
      <c r="P406" s="192"/>
      <c r="Q406" s="192"/>
      <c r="R406" s="308"/>
      <c r="S406" s="192"/>
      <c r="T406" s="192"/>
      <c r="U406" s="192"/>
      <c r="V406" s="192"/>
      <c r="W406" s="192"/>
      <c r="X406" s="192"/>
      <c r="Y406" s="192"/>
      <c r="Z406" s="192"/>
      <c r="AA406" s="192"/>
      <c r="AB406" s="192"/>
      <c r="AC406" s="192"/>
      <c r="AD406" s="309"/>
      <c r="AE406" s="309"/>
      <c r="AF406" s="309"/>
      <c r="AG406" s="309"/>
      <c r="AH406" s="309"/>
      <c r="AI406" s="309"/>
      <c r="AJ406" s="309"/>
      <c r="AK406" s="309"/>
      <c r="AL406" s="309"/>
      <c r="AM406" s="309"/>
      <c r="AN406" s="309"/>
      <c r="AO406" s="309"/>
      <c r="AP406" s="309"/>
      <c r="AQ406" s="309"/>
      <c r="AR406" s="309"/>
      <c r="AS406" s="308"/>
      <c r="AT406" s="309"/>
      <c r="AU406" s="309"/>
      <c r="AV406" s="309"/>
      <c r="AW406" s="309"/>
      <c r="AX406" s="309"/>
      <c r="AY406" s="309"/>
      <c r="AZ406" s="309"/>
      <c r="BA406" s="309"/>
      <c r="BB406" s="309"/>
      <c r="BC406" s="309"/>
      <c r="BD406" s="309"/>
    </row>
    <row r="407" spans="1:56" hidden="1" outlineLevel="1" x14ac:dyDescent="0.25">
      <c r="A407" s="288"/>
      <c r="B407" s="292"/>
      <c r="C407" s="192"/>
      <c r="D407" s="192"/>
      <c r="E407" s="192"/>
      <c r="F407" s="192"/>
      <c r="G407" s="192"/>
      <c r="H407" s="192"/>
      <c r="I407" s="192"/>
      <c r="J407" s="192"/>
      <c r="K407" s="192"/>
      <c r="L407" s="192"/>
      <c r="M407" s="192"/>
      <c r="N407" s="192"/>
      <c r="O407" s="192"/>
      <c r="P407" s="192"/>
      <c r="Q407" s="192"/>
      <c r="R407" s="308"/>
      <c r="S407" s="192"/>
      <c r="T407" s="192"/>
      <c r="U407" s="192"/>
      <c r="V407" s="192"/>
      <c r="W407" s="192"/>
      <c r="X407" s="192"/>
      <c r="Y407" s="192"/>
      <c r="Z407" s="192"/>
      <c r="AA407" s="192"/>
      <c r="AB407" s="192"/>
      <c r="AC407" s="192"/>
      <c r="AD407" s="309"/>
      <c r="AE407" s="309"/>
      <c r="AF407" s="309"/>
      <c r="AG407" s="309"/>
      <c r="AH407" s="309"/>
      <c r="AI407" s="309"/>
      <c r="AJ407" s="309"/>
      <c r="AK407" s="309"/>
      <c r="AL407" s="309"/>
      <c r="AM407" s="309"/>
      <c r="AN407" s="309"/>
      <c r="AO407" s="309"/>
      <c r="AP407" s="309"/>
      <c r="AQ407" s="309"/>
      <c r="AR407" s="309"/>
      <c r="AS407" s="308"/>
      <c r="AT407" s="309"/>
      <c r="AU407" s="309"/>
      <c r="AV407" s="309"/>
      <c r="AW407" s="309"/>
      <c r="AX407" s="309"/>
      <c r="AY407" s="309"/>
      <c r="AZ407" s="309"/>
      <c r="BA407" s="309"/>
      <c r="BB407" s="309"/>
      <c r="BC407" s="309"/>
      <c r="BD407" s="309"/>
    </row>
    <row r="408" spans="1:56" hidden="1" outlineLevel="1" x14ac:dyDescent="0.25">
      <c r="A408" s="288"/>
      <c r="B408" s="292"/>
      <c r="C408" s="192"/>
      <c r="D408" s="192"/>
      <c r="E408" s="192"/>
      <c r="F408" s="192"/>
      <c r="G408" s="192"/>
      <c r="H408" s="192"/>
      <c r="I408" s="192"/>
      <c r="J408" s="192"/>
      <c r="K408" s="192"/>
      <c r="L408" s="192"/>
      <c r="M408" s="192"/>
      <c r="N408" s="192"/>
      <c r="O408" s="192"/>
      <c r="P408" s="192"/>
      <c r="Q408" s="192"/>
      <c r="R408" s="308"/>
      <c r="S408" s="192"/>
      <c r="T408" s="192"/>
      <c r="U408" s="192"/>
      <c r="V408" s="192"/>
      <c r="W408" s="192"/>
      <c r="X408" s="192"/>
      <c r="Y408" s="192"/>
      <c r="Z408" s="192"/>
      <c r="AA408" s="192"/>
      <c r="AB408" s="192"/>
      <c r="AC408" s="192"/>
      <c r="AD408" s="309"/>
      <c r="AE408" s="309"/>
      <c r="AF408" s="309"/>
      <c r="AG408" s="309"/>
      <c r="AH408" s="309"/>
      <c r="AI408" s="309"/>
      <c r="AJ408" s="309"/>
      <c r="AK408" s="309"/>
      <c r="AL408" s="309"/>
      <c r="AM408" s="309"/>
      <c r="AN408" s="309"/>
      <c r="AO408" s="309"/>
      <c r="AP408" s="309"/>
      <c r="AQ408" s="309"/>
      <c r="AR408" s="309"/>
      <c r="AS408" s="308"/>
      <c r="AT408" s="309"/>
      <c r="AU408" s="309"/>
      <c r="AV408" s="309"/>
      <c r="AW408" s="309"/>
      <c r="AX408" s="309"/>
      <c r="AY408" s="309"/>
      <c r="AZ408" s="309"/>
      <c r="BA408" s="309"/>
      <c r="BB408" s="309"/>
      <c r="BC408" s="309"/>
      <c r="BD408" s="309"/>
    </row>
    <row r="409" spans="1:56" hidden="1" outlineLevel="1" x14ac:dyDescent="0.25">
      <c r="A409" s="288"/>
      <c r="B409" s="292"/>
      <c r="C409" s="192"/>
      <c r="D409" s="192"/>
      <c r="E409" s="192"/>
      <c r="F409" s="192"/>
      <c r="G409" s="192"/>
      <c r="H409" s="192"/>
      <c r="I409" s="192"/>
      <c r="J409" s="192"/>
      <c r="K409" s="192"/>
      <c r="L409" s="192"/>
      <c r="M409" s="192"/>
      <c r="N409" s="192"/>
      <c r="O409" s="192"/>
      <c r="P409" s="192"/>
      <c r="Q409" s="192"/>
      <c r="R409" s="308"/>
      <c r="S409" s="192"/>
      <c r="T409" s="192"/>
      <c r="U409" s="192"/>
      <c r="V409" s="192"/>
      <c r="W409" s="192"/>
      <c r="X409" s="192"/>
      <c r="Y409" s="192"/>
      <c r="Z409" s="192"/>
      <c r="AA409" s="192"/>
      <c r="AB409" s="192"/>
      <c r="AC409" s="192"/>
      <c r="AD409" s="309"/>
      <c r="AE409" s="309"/>
      <c r="AF409" s="309"/>
      <c r="AG409" s="309"/>
      <c r="AH409" s="309"/>
      <c r="AI409" s="309"/>
      <c r="AJ409" s="309"/>
      <c r="AK409" s="309"/>
      <c r="AL409" s="309"/>
      <c r="AM409" s="309"/>
      <c r="AN409" s="309"/>
      <c r="AO409" s="309"/>
      <c r="AP409" s="309"/>
      <c r="AQ409" s="309"/>
      <c r="AR409" s="309"/>
      <c r="AS409" s="308"/>
      <c r="AT409" s="309"/>
      <c r="AU409" s="309"/>
      <c r="AV409" s="309"/>
      <c r="AW409" s="309"/>
      <c r="AX409" s="309"/>
      <c r="AY409" s="309"/>
      <c r="AZ409" s="309"/>
      <c r="BA409" s="309"/>
      <c r="BB409" s="309"/>
      <c r="BC409" s="309"/>
      <c r="BD409" s="309"/>
    </row>
    <row r="410" spans="1:56" hidden="1" outlineLevel="1" x14ac:dyDescent="0.25">
      <c r="A410" s="288"/>
      <c r="B410" s="292"/>
      <c r="C410" s="192"/>
      <c r="D410" s="192"/>
      <c r="E410" s="192"/>
      <c r="F410" s="192"/>
      <c r="G410" s="192"/>
      <c r="H410" s="192"/>
      <c r="I410" s="192"/>
      <c r="J410" s="192"/>
      <c r="K410" s="192"/>
      <c r="L410" s="192"/>
      <c r="M410" s="192"/>
      <c r="N410" s="192"/>
      <c r="O410" s="192"/>
      <c r="P410" s="192"/>
      <c r="Q410" s="192"/>
      <c r="R410" s="308"/>
      <c r="S410" s="192"/>
      <c r="T410" s="192"/>
      <c r="U410" s="192"/>
      <c r="V410" s="192"/>
      <c r="W410" s="192"/>
      <c r="X410" s="192"/>
      <c r="Y410" s="192"/>
      <c r="Z410" s="192"/>
      <c r="AA410" s="192"/>
      <c r="AB410" s="192"/>
      <c r="AC410" s="192"/>
      <c r="AD410" s="309"/>
      <c r="AE410" s="309"/>
      <c r="AF410" s="309"/>
      <c r="AG410" s="309"/>
      <c r="AH410" s="309"/>
      <c r="AI410" s="309"/>
      <c r="AJ410" s="309"/>
      <c r="AK410" s="309"/>
      <c r="AL410" s="309"/>
      <c r="AM410" s="309"/>
      <c r="AN410" s="309"/>
      <c r="AO410" s="309"/>
      <c r="AP410" s="309"/>
      <c r="AQ410" s="309"/>
      <c r="AR410" s="309"/>
      <c r="AS410" s="308"/>
      <c r="AT410" s="309"/>
      <c r="AU410" s="309"/>
      <c r="AV410" s="309"/>
      <c r="AW410" s="309"/>
      <c r="AX410" s="309"/>
      <c r="AY410" s="309"/>
      <c r="AZ410" s="309"/>
      <c r="BA410" s="309"/>
      <c r="BB410" s="309"/>
      <c r="BC410" s="309"/>
      <c r="BD410" s="309"/>
    </row>
    <row r="411" spans="1:56" hidden="1" outlineLevel="1" x14ac:dyDescent="0.25">
      <c r="A411" s="288"/>
      <c r="B411" s="292"/>
      <c r="C411" s="192"/>
      <c r="D411" s="192"/>
      <c r="E411" s="192"/>
      <c r="F411" s="192"/>
      <c r="G411" s="192"/>
      <c r="H411" s="192"/>
      <c r="I411" s="192"/>
      <c r="J411" s="192"/>
      <c r="K411" s="192"/>
      <c r="L411" s="192"/>
      <c r="M411" s="192"/>
      <c r="N411" s="192"/>
      <c r="O411" s="192"/>
      <c r="P411" s="192"/>
      <c r="Q411" s="192"/>
      <c r="R411" s="308"/>
      <c r="S411" s="192"/>
      <c r="T411" s="192"/>
      <c r="U411" s="192"/>
      <c r="V411" s="192"/>
      <c r="W411" s="192"/>
      <c r="X411" s="192"/>
      <c r="Y411" s="192"/>
      <c r="Z411" s="192"/>
      <c r="AA411" s="192"/>
      <c r="AB411" s="192"/>
      <c r="AC411" s="192"/>
      <c r="AD411" s="309"/>
      <c r="AE411" s="309"/>
      <c r="AF411" s="309"/>
      <c r="AG411" s="309"/>
      <c r="AH411" s="309"/>
      <c r="AI411" s="309"/>
      <c r="AJ411" s="309"/>
      <c r="AK411" s="309"/>
      <c r="AL411" s="309"/>
      <c r="AM411" s="309"/>
      <c r="AN411" s="309"/>
      <c r="AO411" s="309"/>
      <c r="AP411" s="309"/>
      <c r="AQ411" s="309"/>
      <c r="AR411" s="309"/>
      <c r="AS411" s="308"/>
      <c r="AT411" s="309"/>
      <c r="AU411" s="309"/>
      <c r="AV411" s="309"/>
      <c r="AW411" s="309"/>
      <c r="AX411" s="309"/>
      <c r="AY411" s="309"/>
      <c r="AZ411" s="309"/>
      <c r="BA411" s="309"/>
      <c r="BB411" s="309"/>
      <c r="BC411" s="309"/>
      <c r="BD411" s="309"/>
    </row>
    <row r="412" spans="1:56" hidden="1" outlineLevel="1" x14ac:dyDescent="0.25">
      <c r="A412" s="288"/>
      <c r="B412" s="292"/>
      <c r="C412" s="192"/>
      <c r="D412" s="192"/>
      <c r="E412" s="192"/>
      <c r="F412" s="192"/>
      <c r="G412" s="192"/>
      <c r="H412" s="192"/>
      <c r="I412" s="192"/>
      <c r="J412" s="192"/>
      <c r="K412" s="192"/>
      <c r="L412" s="192"/>
      <c r="M412" s="192"/>
      <c r="N412" s="192"/>
      <c r="O412" s="192"/>
      <c r="P412" s="192"/>
      <c r="Q412" s="192"/>
      <c r="R412" s="308"/>
      <c r="S412" s="192"/>
      <c r="T412" s="192"/>
      <c r="U412" s="192"/>
      <c r="V412" s="192"/>
      <c r="W412" s="192"/>
      <c r="X412" s="192"/>
      <c r="Y412" s="192"/>
      <c r="Z412" s="192"/>
      <c r="AA412" s="192"/>
      <c r="AB412" s="192"/>
      <c r="AC412" s="192"/>
      <c r="AD412" s="309"/>
      <c r="AE412" s="309"/>
      <c r="AF412" s="309"/>
      <c r="AG412" s="309"/>
      <c r="AH412" s="309"/>
      <c r="AI412" s="309"/>
      <c r="AJ412" s="309"/>
      <c r="AK412" s="309"/>
      <c r="AL412" s="309"/>
      <c r="AM412" s="309"/>
      <c r="AN412" s="309"/>
      <c r="AO412" s="309"/>
      <c r="AP412" s="309"/>
      <c r="AQ412" s="309"/>
      <c r="AR412" s="309"/>
      <c r="AS412" s="308"/>
      <c r="AT412" s="309"/>
      <c r="AU412" s="309"/>
      <c r="AV412" s="309"/>
      <c r="AW412" s="309"/>
      <c r="AX412" s="309"/>
      <c r="AY412" s="309"/>
      <c r="AZ412" s="309"/>
      <c r="BA412" s="309"/>
      <c r="BB412" s="309"/>
      <c r="BC412" s="309"/>
      <c r="BD412" s="309"/>
    </row>
    <row r="413" spans="1:56" hidden="1" outlineLevel="1" x14ac:dyDescent="0.25">
      <c r="A413" s="288"/>
      <c r="B413" s="292"/>
      <c r="C413" s="192"/>
      <c r="D413" s="192"/>
      <c r="E413" s="192"/>
      <c r="F413" s="192"/>
      <c r="G413" s="192"/>
      <c r="H413" s="192"/>
      <c r="I413" s="192"/>
      <c r="J413" s="192"/>
      <c r="K413" s="192"/>
      <c r="L413" s="192"/>
      <c r="M413" s="192"/>
      <c r="N413" s="192"/>
      <c r="O413" s="192"/>
      <c r="P413" s="192"/>
      <c r="Q413" s="192"/>
      <c r="R413" s="308"/>
      <c r="S413" s="192"/>
      <c r="T413" s="192"/>
      <c r="U413" s="192"/>
      <c r="V413" s="192"/>
      <c r="W413" s="192"/>
      <c r="X413" s="192"/>
      <c r="Y413" s="192"/>
      <c r="Z413" s="192"/>
      <c r="AA413" s="192"/>
      <c r="AB413" s="192"/>
      <c r="AC413" s="192"/>
      <c r="AD413" s="309"/>
      <c r="AE413" s="309"/>
      <c r="AF413" s="309"/>
      <c r="AG413" s="309"/>
      <c r="AH413" s="309"/>
      <c r="AI413" s="309"/>
      <c r="AJ413" s="309"/>
      <c r="AK413" s="309"/>
      <c r="AL413" s="309"/>
      <c r="AM413" s="309"/>
      <c r="AN413" s="309"/>
      <c r="AO413" s="309"/>
      <c r="AP413" s="309"/>
      <c r="AQ413" s="309"/>
      <c r="AR413" s="309"/>
      <c r="AS413" s="308"/>
      <c r="AT413" s="309"/>
      <c r="AU413" s="309"/>
      <c r="AV413" s="309"/>
      <c r="AW413" s="309"/>
      <c r="AX413" s="309"/>
      <c r="AY413" s="309"/>
      <c r="AZ413" s="309"/>
      <c r="BA413" s="309"/>
      <c r="BB413" s="309"/>
      <c r="BC413" s="309"/>
      <c r="BD413" s="309"/>
    </row>
    <row r="414" spans="1:56" hidden="1" outlineLevel="1" x14ac:dyDescent="0.25">
      <c r="A414" s="288"/>
      <c r="B414" s="292"/>
      <c r="C414" s="192"/>
      <c r="D414" s="192"/>
      <c r="E414" s="192"/>
      <c r="F414" s="192"/>
      <c r="G414" s="192"/>
      <c r="H414" s="192"/>
      <c r="I414" s="192"/>
      <c r="J414" s="192"/>
      <c r="K414" s="192"/>
      <c r="L414" s="192"/>
      <c r="M414" s="192"/>
      <c r="N414" s="192"/>
      <c r="O414" s="192"/>
      <c r="P414" s="192"/>
      <c r="Q414" s="192"/>
      <c r="R414" s="308"/>
      <c r="S414" s="192"/>
      <c r="T414" s="192"/>
      <c r="U414" s="192"/>
      <c r="V414" s="192"/>
      <c r="W414" s="192"/>
      <c r="X414" s="192"/>
      <c r="Y414" s="192"/>
      <c r="Z414" s="192"/>
      <c r="AA414" s="192"/>
      <c r="AB414" s="192"/>
      <c r="AC414" s="192"/>
      <c r="AD414" s="309"/>
      <c r="AE414" s="309"/>
      <c r="AF414" s="309"/>
      <c r="AG414" s="309"/>
      <c r="AH414" s="309"/>
      <c r="AI414" s="309"/>
      <c r="AJ414" s="309"/>
      <c r="AK414" s="309"/>
      <c r="AL414" s="309"/>
      <c r="AM414" s="309"/>
      <c r="AN414" s="309"/>
      <c r="AO414" s="309"/>
      <c r="AP414" s="309"/>
      <c r="AQ414" s="309"/>
      <c r="AR414" s="309"/>
      <c r="AS414" s="308"/>
      <c r="AT414" s="309"/>
      <c r="AU414" s="309"/>
      <c r="AV414" s="309"/>
      <c r="AW414" s="309"/>
      <c r="AX414" s="309"/>
      <c r="AY414" s="309"/>
      <c r="AZ414" s="309"/>
      <c r="BA414" s="309"/>
      <c r="BB414" s="309"/>
      <c r="BC414" s="309"/>
      <c r="BD414" s="309"/>
    </row>
    <row r="415" spans="1:56" hidden="1" outlineLevel="1" x14ac:dyDescent="0.25">
      <c r="A415" s="288"/>
      <c r="B415" s="292"/>
      <c r="C415" s="192"/>
      <c r="D415" s="192"/>
      <c r="E415" s="192"/>
      <c r="F415" s="192"/>
      <c r="G415" s="192"/>
      <c r="H415" s="192"/>
      <c r="I415" s="192"/>
      <c r="J415" s="192"/>
      <c r="K415" s="192"/>
      <c r="L415" s="192"/>
      <c r="M415" s="192"/>
      <c r="N415" s="192"/>
      <c r="O415" s="192"/>
      <c r="P415" s="192"/>
      <c r="Q415" s="192"/>
      <c r="R415" s="308"/>
      <c r="S415" s="192"/>
      <c r="T415" s="192"/>
      <c r="U415" s="192"/>
      <c r="V415" s="192"/>
      <c r="W415" s="192"/>
      <c r="X415" s="192"/>
      <c r="Y415" s="192"/>
      <c r="Z415" s="192"/>
      <c r="AA415" s="192"/>
      <c r="AB415" s="192"/>
      <c r="AC415" s="192"/>
      <c r="AD415" s="309"/>
      <c r="AE415" s="309"/>
      <c r="AF415" s="309"/>
      <c r="AG415" s="309"/>
      <c r="AH415" s="309"/>
      <c r="AI415" s="309"/>
      <c r="AJ415" s="309"/>
      <c r="AK415" s="309"/>
      <c r="AL415" s="309"/>
      <c r="AM415" s="309"/>
      <c r="AN415" s="309"/>
      <c r="AO415" s="309"/>
      <c r="AP415" s="309"/>
      <c r="AQ415" s="309"/>
      <c r="AR415" s="309"/>
      <c r="AS415" s="308"/>
      <c r="AT415" s="309"/>
      <c r="AU415" s="309"/>
      <c r="AV415" s="309"/>
      <c r="AW415" s="309"/>
      <c r="AX415" s="309"/>
      <c r="AY415" s="309"/>
      <c r="AZ415" s="309"/>
      <c r="BA415" s="309"/>
      <c r="BB415" s="309"/>
      <c r="BC415" s="309"/>
      <c r="BD415" s="309"/>
    </row>
    <row r="416" spans="1:56" hidden="1" outlineLevel="1" x14ac:dyDescent="0.25">
      <c r="A416" s="288"/>
      <c r="B416" s="292"/>
      <c r="C416" s="192"/>
      <c r="D416" s="192"/>
      <c r="E416" s="192"/>
      <c r="F416" s="192"/>
      <c r="G416" s="192"/>
      <c r="H416" s="192"/>
      <c r="I416" s="192"/>
      <c r="J416" s="192"/>
      <c r="K416" s="192"/>
      <c r="L416" s="192"/>
      <c r="M416" s="192"/>
      <c r="N416" s="192"/>
      <c r="O416" s="192"/>
      <c r="P416" s="192"/>
      <c r="Q416" s="192"/>
      <c r="R416" s="308"/>
      <c r="S416" s="192"/>
      <c r="T416" s="192"/>
      <c r="U416" s="192"/>
      <c r="V416" s="192"/>
      <c r="W416" s="192"/>
      <c r="X416" s="192"/>
      <c r="Y416" s="192"/>
      <c r="Z416" s="192"/>
      <c r="AA416" s="192"/>
      <c r="AB416" s="192"/>
      <c r="AC416" s="192"/>
      <c r="AD416" s="309"/>
      <c r="AE416" s="309"/>
      <c r="AF416" s="309"/>
      <c r="AG416" s="309"/>
      <c r="AH416" s="309"/>
      <c r="AI416" s="309"/>
      <c r="AJ416" s="309"/>
      <c r="AK416" s="309"/>
      <c r="AL416" s="309"/>
      <c r="AM416" s="309"/>
      <c r="AN416" s="309"/>
      <c r="AO416" s="309"/>
      <c r="AP416" s="309"/>
      <c r="AQ416" s="309"/>
      <c r="AR416" s="309"/>
      <c r="AS416" s="308"/>
      <c r="AT416" s="309"/>
      <c r="AU416" s="309"/>
      <c r="AV416" s="309"/>
      <c r="AW416" s="309"/>
      <c r="AX416" s="309"/>
      <c r="AY416" s="309"/>
      <c r="AZ416" s="309"/>
      <c r="BA416" s="309"/>
      <c r="BB416" s="309"/>
      <c r="BC416" s="309"/>
      <c r="BD416" s="309"/>
    </row>
    <row r="417" spans="1:56" hidden="1" outlineLevel="1" x14ac:dyDescent="0.25">
      <c r="A417" s="288"/>
      <c r="B417" s="292"/>
      <c r="C417" s="192"/>
      <c r="D417" s="192"/>
      <c r="E417" s="192"/>
      <c r="F417" s="192"/>
      <c r="G417" s="192"/>
      <c r="H417" s="192"/>
      <c r="I417" s="192"/>
      <c r="J417" s="192"/>
      <c r="K417" s="192"/>
      <c r="L417" s="192"/>
      <c r="M417" s="192"/>
      <c r="N417" s="192"/>
      <c r="O417" s="192"/>
      <c r="P417" s="192"/>
      <c r="Q417" s="192"/>
      <c r="R417" s="308"/>
      <c r="S417" s="192"/>
      <c r="T417" s="192"/>
      <c r="U417" s="192"/>
      <c r="V417" s="192"/>
      <c r="W417" s="192"/>
      <c r="X417" s="192"/>
      <c r="Y417" s="192"/>
      <c r="Z417" s="192"/>
      <c r="AA417" s="192"/>
      <c r="AB417" s="192"/>
      <c r="AC417" s="192"/>
      <c r="AD417" s="309"/>
      <c r="AE417" s="309"/>
      <c r="AF417" s="309"/>
      <c r="AG417" s="309"/>
      <c r="AH417" s="309"/>
      <c r="AI417" s="309"/>
      <c r="AJ417" s="309"/>
      <c r="AK417" s="309"/>
      <c r="AL417" s="309"/>
      <c r="AM417" s="309"/>
      <c r="AN417" s="309"/>
      <c r="AO417" s="309"/>
      <c r="AP417" s="309"/>
      <c r="AQ417" s="309"/>
      <c r="AR417" s="309"/>
      <c r="AS417" s="308"/>
      <c r="AT417" s="309"/>
      <c r="AU417" s="309"/>
      <c r="AV417" s="309"/>
      <c r="AW417" s="309"/>
      <c r="AX417" s="309"/>
      <c r="AY417" s="309"/>
      <c r="AZ417" s="309"/>
      <c r="BA417" s="309"/>
      <c r="BB417" s="309"/>
      <c r="BC417" s="309"/>
      <c r="BD417" s="309"/>
    </row>
    <row r="418" spans="1:56" hidden="1" outlineLevel="1" x14ac:dyDescent="0.25">
      <c r="A418" s="288"/>
      <c r="B418" s="292"/>
      <c r="C418" s="192"/>
      <c r="D418" s="192"/>
      <c r="E418" s="192"/>
      <c r="F418" s="192"/>
      <c r="G418" s="192"/>
      <c r="H418" s="192"/>
      <c r="I418" s="192"/>
      <c r="J418" s="192"/>
      <c r="K418" s="192"/>
      <c r="L418" s="192"/>
      <c r="M418" s="192"/>
      <c r="N418" s="192"/>
      <c r="O418" s="192"/>
      <c r="P418" s="192"/>
      <c r="Q418" s="192"/>
      <c r="R418" s="308"/>
      <c r="S418" s="192"/>
      <c r="T418" s="192"/>
      <c r="U418" s="192"/>
      <c r="V418" s="192"/>
      <c r="W418" s="192"/>
      <c r="X418" s="192"/>
      <c r="Y418" s="192"/>
      <c r="Z418" s="192"/>
      <c r="AA418" s="192"/>
      <c r="AB418" s="192"/>
      <c r="AC418" s="192"/>
      <c r="AD418" s="309"/>
      <c r="AE418" s="309"/>
      <c r="AF418" s="309"/>
      <c r="AG418" s="309"/>
      <c r="AH418" s="309"/>
      <c r="AI418" s="309"/>
      <c r="AJ418" s="309"/>
      <c r="AK418" s="309"/>
      <c r="AL418" s="309"/>
      <c r="AM418" s="309"/>
      <c r="AN418" s="309"/>
      <c r="AO418" s="309"/>
      <c r="AP418" s="309"/>
      <c r="AQ418" s="309"/>
      <c r="AR418" s="309"/>
      <c r="AS418" s="308"/>
      <c r="AT418" s="309"/>
      <c r="AU418" s="309"/>
      <c r="AV418" s="309"/>
      <c r="AW418" s="309"/>
      <c r="AX418" s="309"/>
      <c r="AY418" s="309"/>
      <c r="AZ418" s="309"/>
      <c r="BA418" s="309"/>
      <c r="BB418" s="309"/>
      <c r="BC418" s="309"/>
      <c r="BD418" s="309"/>
    </row>
    <row r="419" spans="1:56" hidden="1" outlineLevel="1" x14ac:dyDescent="0.25">
      <c r="A419" s="288"/>
      <c r="B419" s="292"/>
      <c r="C419" s="192"/>
      <c r="D419" s="192"/>
      <c r="E419" s="192"/>
      <c r="F419" s="192"/>
      <c r="G419" s="192"/>
      <c r="H419" s="192"/>
      <c r="I419" s="192"/>
      <c r="J419" s="192"/>
      <c r="K419" s="192"/>
      <c r="L419" s="192"/>
      <c r="M419" s="192"/>
      <c r="N419" s="192"/>
      <c r="O419" s="192"/>
      <c r="P419" s="192"/>
      <c r="Q419" s="192"/>
      <c r="R419" s="308"/>
      <c r="S419" s="192"/>
      <c r="T419" s="192"/>
      <c r="U419" s="192"/>
      <c r="V419" s="192"/>
      <c r="W419" s="192"/>
      <c r="X419" s="192"/>
      <c r="Y419" s="192"/>
      <c r="Z419" s="192"/>
      <c r="AA419" s="192"/>
      <c r="AB419" s="192"/>
      <c r="AC419" s="192"/>
      <c r="AD419" s="309"/>
      <c r="AE419" s="309"/>
      <c r="AF419" s="309"/>
      <c r="AG419" s="309"/>
      <c r="AH419" s="309"/>
      <c r="AI419" s="309"/>
      <c r="AJ419" s="309"/>
      <c r="AK419" s="309"/>
      <c r="AL419" s="309"/>
      <c r="AM419" s="309"/>
      <c r="AN419" s="309"/>
      <c r="AO419" s="309"/>
      <c r="AP419" s="309"/>
      <c r="AQ419" s="309"/>
      <c r="AR419" s="309"/>
      <c r="AS419" s="308"/>
      <c r="AT419" s="309"/>
      <c r="AU419" s="309"/>
      <c r="AV419" s="309"/>
      <c r="AW419" s="309"/>
      <c r="AX419" s="309"/>
      <c r="AY419" s="309"/>
      <c r="AZ419" s="309"/>
      <c r="BA419" s="309"/>
      <c r="BB419" s="309"/>
      <c r="BC419" s="309"/>
      <c r="BD419" s="309"/>
    </row>
    <row r="420" spans="1:56" hidden="1" outlineLevel="1" x14ac:dyDescent="0.25">
      <c r="A420" s="288"/>
      <c r="B420" s="292"/>
      <c r="C420" s="192"/>
      <c r="D420" s="192"/>
      <c r="E420" s="192"/>
      <c r="F420" s="192"/>
      <c r="G420" s="192"/>
      <c r="H420" s="192"/>
      <c r="I420" s="192"/>
      <c r="J420" s="192"/>
      <c r="K420" s="192"/>
      <c r="L420" s="192"/>
      <c r="M420" s="192"/>
      <c r="N420" s="192"/>
      <c r="O420" s="192"/>
      <c r="P420" s="192"/>
      <c r="Q420" s="192"/>
      <c r="R420" s="308"/>
      <c r="S420" s="192"/>
      <c r="T420" s="192"/>
      <c r="U420" s="192"/>
      <c r="V420" s="192"/>
      <c r="W420" s="192"/>
      <c r="X420" s="192"/>
      <c r="Y420" s="192"/>
      <c r="Z420" s="192"/>
      <c r="AA420" s="192"/>
      <c r="AB420" s="192"/>
      <c r="AC420" s="192"/>
      <c r="AD420" s="309"/>
      <c r="AE420" s="309"/>
      <c r="AF420" s="309"/>
      <c r="AG420" s="309"/>
      <c r="AH420" s="309"/>
      <c r="AI420" s="309"/>
      <c r="AJ420" s="309"/>
      <c r="AK420" s="309"/>
      <c r="AL420" s="309"/>
      <c r="AM420" s="309"/>
      <c r="AN420" s="309"/>
      <c r="AO420" s="309"/>
      <c r="AP420" s="309"/>
      <c r="AQ420" s="309"/>
      <c r="AR420" s="309"/>
      <c r="AS420" s="308"/>
      <c r="AT420" s="309"/>
      <c r="AU420" s="309"/>
      <c r="AV420" s="309"/>
      <c r="AW420" s="309"/>
      <c r="AX420" s="309"/>
      <c r="AY420" s="309"/>
      <c r="AZ420" s="309"/>
      <c r="BA420" s="309"/>
      <c r="BB420" s="309"/>
      <c r="BC420" s="309"/>
      <c r="BD420" s="309"/>
    </row>
    <row r="421" spans="1:56" hidden="1" outlineLevel="1" x14ac:dyDescent="0.25">
      <c r="A421" s="288"/>
      <c r="B421" s="292"/>
      <c r="C421" s="192"/>
      <c r="D421" s="192"/>
      <c r="E421" s="192"/>
      <c r="F421" s="192"/>
      <c r="G421" s="192"/>
      <c r="H421" s="192"/>
      <c r="I421" s="192"/>
      <c r="J421" s="192"/>
      <c r="K421" s="192"/>
      <c r="L421" s="192"/>
      <c r="M421" s="192"/>
      <c r="N421" s="192"/>
      <c r="O421" s="192"/>
      <c r="P421" s="192"/>
      <c r="Q421" s="192"/>
      <c r="R421" s="308"/>
      <c r="S421" s="192"/>
      <c r="T421" s="192"/>
      <c r="U421" s="192"/>
      <c r="V421" s="192"/>
      <c r="W421" s="192"/>
      <c r="X421" s="192"/>
      <c r="Y421" s="192"/>
      <c r="Z421" s="192"/>
      <c r="AA421" s="192"/>
      <c r="AB421" s="192"/>
      <c r="AC421" s="192"/>
      <c r="AD421" s="309"/>
      <c r="AE421" s="309"/>
      <c r="AF421" s="309"/>
      <c r="AG421" s="309"/>
      <c r="AH421" s="309"/>
      <c r="AI421" s="309"/>
      <c r="AJ421" s="309"/>
      <c r="AK421" s="309"/>
      <c r="AL421" s="309"/>
      <c r="AM421" s="309"/>
      <c r="AN421" s="309"/>
      <c r="AO421" s="309"/>
      <c r="AP421" s="309"/>
      <c r="AQ421" s="309"/>
      <c r="AR421" s="309"/>
      <c r="AS421" s="308"/>
      <c r="AT421" s="309"/>
      <c r="AU421" s="309"/>
      <c r="AV421" s="309"/>
      <c r="AW421" s="309"/>
      <c r="AX421" s="309"/>
      <c r="AY421" s="309"/>
      <c r="AZ421" s="309"/>
      <c r="BA421" s="309"/>
      <c r="BB421" s="309"/>
      <c r="BC421" s="309"/>
      <c r="BD421" s="309"/>
    </row>
    <row r="422" spans="1:56" hidden="1" outlineLevel="1" x14ac:dyDescent="0.25">
      <c r="A422" s="288"/>
      <c r="B422" s="292"/>
      <c r="C422" s="192"/>
      <c r="D422" s="192"/>
      <c r="E422" s="192"/>
      <c r="F422" s="192"/>
      <c r="G422" s="192"/>
      <c r="H422" s="192"/>
      <c r="I422" s="192"/>
      <c r="J422" s="192"/>
      <c r="K422" s="192"/>
      <c r="L422" s="192"/>
      <c r="M422" s="192"/>
      <c r="N422" s="192"/>
      <c r="O422" s="192"/>
      <c r="P422" s="192"/>
      <c r="Q422" s="192"/>
      <c r="R422" s="308"/>
      <c r="S422" s="192"/>
      <c r="T422" s="192"/>
      <c r="U422" s="192"/>
      <c r="V422" s="192"/>
      <c r="W422" s="192"/>
      <c r="X422" s="192"/>
      <c r="Y422" s="192"/>
      <c r="Z422" s="192"/>
      <c r="AA422" s="192"/>
      <c r="AB422" s="192"/>
      <c r="AC422" s="192"/>
      <c r="AD422" s="309"/>
      <c r="AE422" s="309"/>
      <c r="AF422" s="309"/>
      <c r="AG422" s="309"/>
      <c r="AH422" s="309"/>
      <c r="AI422" s="309"/>
      <c r="AJ422" s="309"/>
      <c r="AK422" s="309"/>
      <c r="AL422" s="309"/>
      <c r="AM422" s="309"/>
      <c r="AN422" s="309"/>
      <c r="AO422" s="309"/>
      <c r="AP422" s="309"/>
      <c r="AQ422" s="309"/>
      <c r="AR422" s="309"/>
      <c r="AS422" s="308"/>
      <c r="AT422" s="309"/>
      <c r="AU422" s="309"/>
      <c r="AV422" s="309"/>
      <c r="AW422" s="309"/>
      <c r="AX422" s="309"/>
      <c r="AY422" s="309"/>
      <c r="AZ422" s="309"/>
      <c r="BA422" s="309"/>
      <c r="BB422" s="309"/>
      <c r="BC422" s="309"/>
      <c r="BD422" s="309"/>
    </row>
    <row r="423" spans="1:56" hidden="1" outlineLevel="1" x14ac:dyDescent="0.25">
      <c r="A423" s="288"/>
      <c r="B423" s="292"/>
      <c r="C423" s="192"/>
      <c r="D423" s="192"/>
      <c r="E423" s="192"/>
      <c r="F423" s="192"/>
      <c r="G423" s="192"/>
      <c r="H423" s="192"/>
      <c r="I423" s="192"/>
      <c r="J423" s="192"/>
      <c r="K423" s="192"/>
      <c r="L423" s="192"/>
      <c r="M423" s="192"/>
      <c r="N423" s="192"/>
      <c r="O423" s="192"/>
      <c r="P423" s="192"/>
      <c r="Q423" s="192"/>
      <c r="R423" s="308"/>
      <c r="S423" s="192"/>
      <c r="T423" s="192"/>
      <c r="U423" s="192"/>
      <c r="V423" s="192"/>
      <c r="W423" s="192"/>
      <c r="X423" s="192"/>
      <c r="Y423" s="192"/>
      <c r="Z423" s="192"/>
      <c r="AA423" s="192"/>
      <c r="AB423" s="192"/>
      <c r="AC423" s="192"/>
      <c r="AD423" s="309"/>
      <c r="AE423" s="309"/>
      <c r="AF423" s="309"/>
      <c r="AG423" s="309"/>
      <c r="AH423" s="309"/>
      <c r="AI423" s="309"/>
      <c r="AJ423" s="309"/>
      <c r="AK423" s="309"/>
      <c r="AL423" s="309"/>
      <c r="AM423" s="309"/>
      <c r="AN423" s="309"/>
      <c r="AO423" s="309"/>
      <c r="AP423" s="309"/>
      <c r="AQ423" s="309"/>
      <c r="AR423" s="309"/>
      <c r="AS423" s="308"/>
      <c r="AT423" s="309"/>
      <c r="AU423" s="309"/>
      <c r="AV423" s="309"/>
      <c r="AW423" s="309"/>
      <c r="AX423" s="309"/>
      <c r="AY423" s="309"/>
      <c r="AZ423" s="309"/>
      <c r="BA423" s="309"/>
      <c r="BB423" s="309"/>
      <c r="BC423" s="309"/>
      <c r="BD423" s="309"/>
    </row>
    <row r="424" spans="1:56" hidden="1" outlineLevel="1" x14ac:dyDescent="0.25">
      <c r="A424" s="288"/>
      <c r="B424" s="292"/>
      <c r="C424" s="192"/>
      <c r="D424" s="192"/>
      <c r="E424" s="192"/>
      <c r="F424" s="192"/>
      <c r="G424" s="192"/>
      <c r="H424" s="192"/>
      <c r="I424" s="192"/>
      <c r="J424" s="192"/>
      <c r="K424" s="192"/>
      <c r="L424" s="192"/>
      <c r="M424" s="192"/>
      <c r="N424" s="192"/>
      <c r="O424" s="192"/>
      <c r="P424" s="192"/>
      <c r="Q424" s="192"/>
      <c r="R424" s="308"/>
      <c r="S424" s="192"/>
      <c r="T424" s="192"/>
      <c r="U424" s="192"/>
      <c r="V424" s="192"/>
      <c r="W424" s="192"/>
      <c r="X424" s="192"/>
      <c r="Y424" s="192"/>
      <c r="Z424" s="192"/>
      <c r="AA424" s="192"/>
      <c r="AB424" s="192"/>
      <c r="AC424" s="192"/>
      <c r="AD424" s="309"/>
      <c r="AE424" s="309"/>
      <c r="AF424" s="309"/>
      <c r="AG424" s="309"/>
      <c r="AH424" s="309"/>
      <c r="AI424" s="309"/>
      <c r="AJ424" s="309"/>
      <c r="AK424" s="309"/>
      <c r="AL424" s="309"/>
      <c r="AM424" s="309"/>
      <c r="AN424" s="309"/>
      <c r="AO424" s="309"/>
      <c r="AP424" s="309"/>
      <c r="AQ424" s="309"/>
      <c r="AR424" s="309"/>
      <c r="AS424" s="308"/>
      <c r="AT424" s="309"/>
      <c r="AU424" s="309"/>
      <c r="AV424" s="309"/>
      <c r="AW424" s="309"/>
      <c r="AX424" s="309"/>
      <c r="AY424" s="309"/>
      <c r="AZ424" s="309"/>
      <c r="BA424" s="309"/>
      <c r="BB424" s="309"/>
      <c r="BC424" s="309"/>
      <c r="BD424" s="309"/>
    </row>
    <row r="425" spans="1:56" hidden="1" outlineLevel="1" x14ac:dyDescent="0.25">
      <c r="A425" s="288"/>
      <c r="B425" s="292"/>
      <c r="C425" s="192"/>
      <c r="D425" s="192"/>
      <c r="E425" s="192"/>
      <c r="F425" s="192"/>
      <c r="G425" s="192"/>
      <c r="H425" s="192"/>
      <c r="I425" s="192"/>
      <c r="J425" s="192"/>
      <c r="K425" s="192"/>
      <c r="L425" s="192"/>
      <c r="M425" s="192"/>
      <c r="N425" s="192"/>
      <c r="O425" s="192"/>
      <c r="P425" s="192"/>
      <c r="Q425" s="192"/>
      <c r="R425" s="308"/>
      <c r="S425" s="192"/>
      <c r="T425" s="192"/>
      <c r="U425" s="192"/>
      <c r="V425" s="192"/>
      <c r="W425" s="192"/>
      <c r="X425" s="192"/>
      <c r="Y425" s="192"/>
      <c r="Z425" s="192"/>
      <c r="AA425" s="192"/>
      <c r="AB425" s="192"/>
      <c r="AC425" s="192"/>
      <c r="AD425" s="309"/>
      <c r="AE425" s="309"/>
      <c r="AF425" s="309"/>
      <c r="AG425" s="309"/>
      <c r="AH425" s="309"/>
      <c r="AI425" s="309"/>
      <c r="AJ425" s="309"/>
      <c r="AK425" s="309"/>
      <c r="AL425" s="309"/>
      <c r="AM425" s="309"/>
      <c r="AN425" s="309"/>
      <c r="AO425" s="309"/>
      <c r="AP425" s="309"/>
      <c r="AQ425" s="309"/>
      <c r="AR425" s="309"/>
      <c r="AS425" s="308"/>
      <c r="AT425" s="309"/>
      <c r="AU425" s="309"/>
      <c r="AV425" s="309"/>
      <c r="AW425" s="309"/>
      <c r="AX425" s="309"/>
      <c r="AY425" s="309"/>
      <c r="AZ425" s="309"/>
      <c r="BA425" s="309"/>
      <c r="BB425" s="309"/>
      <c r="BC425" s="309"/>
      <c r="BD425" s="309"/>
    </row>
    <row r="426" spans="1:56" hidden="1" outlineLevel="1" x14ac:dyDescent="0.25">
      <c r="A426" s="288"/>
      <c r="B426" s="292"/>
      <c r="C426" s="192"/>
      <c r="D426" s="192"/>
      <c r="E426" s="192"/>
      <c r="F426" s="192"/>
      <c r="G426" s="192"/>
      <c r="H426" s="192"/>
      <c r="I426" s="192"/>
      <c r="J426" s="192"/>
      <c r="K426" s="192"/>
      <c r="L426" s="192"/>
      <c r="M426" s="192"/>
      <c r="N426" s="192"/>
      <c r="O426" s="192"/>
      <c r="P426" s="192"/>
      <c r="Q426" s="192"/>
      <c r="R426" s="308"/>
      <c r="S426" s="192"/>
      <c r="T426" s="192"/>
      <c r="U426" s="192"/>
      <c r="V426" s="192"/>
      <c r="W426" s="192"/>
      <c r="X426" s="192"/>
      <c r="Y426" s="192"/>
      <c r="Z426" s="192"/>
      <c r="AA426" s="192"/>
      <c r="AB426" s="192"/>
      <c r="AC426" s="192"/>
      <c r="AD426" s="309"/>
      <c r="AE426" s="309"/>
      <c r="AF426" s="309"/>
      <c r="AG426" s="309"/>
      <c r="AH426" s="309"/>
      <c r="AI426" s="309"/>
      <c r="AJ426" s="309"/>
      <c r="AK426" s="309"/>
      <c r="AL426" s="309"/>
      <c r="AM426" s="309"/>
      <c r="AN426" s="309"/>
      <c r="AO426" s="309"/>
      <c r="AP426" s="309"/>
      <c r="AQ426" s="309"/>
      <c r="AR426" s="309"/>
      <c r="AS426" s="308"/>
      <c r="AT426" s="309"/>
      <c r="AU426" s="309"/>
      <c r="AV426" s="309"/>
      <c r="AW426" s="309"/>
      <c r="AX426" s="309"/>
      <c r="AY426" s="309"/>
      <c r="AZ426" s="309"/>
      <c r="BA426" s="309"/>
      <c r="BB426" s="309"/>
      <c r="BC426" s="309"/>
      <c r="BD426" s="309"/>
    </row>
    <row r="427" spans="1:56" hidden="1" outlineLevel="1" x14ac:dyDescent="0.25">
      <c r="A427" s="288"/>
      <c r="B427" s="292"/>
      <c r="C427" s="192"/>
      <c r="D427" s="192"/>
      <c r="E427" s="192"/>
      <c r="F427" s="192"/>
      <c r="G427" s="192"/>
      <c r="H427" s="192"/>
      <c r="I427" s="192"/>
      <c r="J427" s="192"/>
      <c r="K427" s="192"/>
      <c r="L427" s="192"/>
      <c r="M427" s="192"/>
      <c r="N427" s="192"/>
      <c r="O427" s="192"/>
      <c r="P427" s="192"/>
      <c r="Q427" s="192"/>
      <c r="R427" s="308"/>
      <c r="S427" s="192"/>
      <c r="T427" s="192"/>
      <c r="U427" s="192"/>
      <c r="V427" s="192"/>
      <c r="W427" s="192"/>
      <c r="X427" s="192"/>
      <c r="Y427" s="192"/>
      <c r="Z427" s="192"/>
      <c r="AA427" s="192"/>
      <c r="AB427" s="192"/>
      <c r="AC427" s="192"/>
      <c r="AD427" s="309"/>
      <c r="AE427" s="309"/>
      <c r="AF427" s="309"/>
      <c r="AG427" s="309"/>
      <c r="AH427" s="309"/>
      <c r="AI427" s="309"/>
      <c r="AJ427" s="309"/>
      <c r="AK427" s="309"/>
      <c r="AL427" s="309"/>
      <c r="AM427" s="309"/>
      <c r="AN427" s="309"/>
      <c r="AO427" s="309"/>
      <c r="AP427" s="309"/>
      <c r="AQ427" s="309"/>
      <c r="AR427" s="309"/>
      <c r="AS427" s="308"/>
      <c r="AT427" s="309"/>
      <c r="AU427" s="309"/>
      <c r="AV427" s="309"/>
      <c r="AW427" s="309"/>
      <c r="AX427" s="309"/>
      <c r="AY427" s="309"/>
      <c r="AZ427" s="309"/>
      <c r="BA427" s="309"/>
      <c r="BB427" s="309"/>
      <c r="BC427" s="309"/>
      <c r="BD427" s="309"/>
    </row>
    <row r="428" spans="1:56" hidden="1" outlineLevel="1" x14ac:dyDescent="0.25">
      <c r="A428" s="288"/>
      <c r="B428" s="292"/>
      <c r="C428" s="192"/>
      <c r="D428" s="192"/>
      <c r="E428" s="192"/>
      <c r="F428" s="192"/>
      <c r="G428" s="192"/>
      <c r="H428" s="192"/>
      <c r="I428" s="192"/>
      <c r="J428" s="192"/>
      <c r="K428" s="192"/>
      <c r="L428" s="192"/>
      <c r="M428" s="192"/>
      <c r="N428" s="192"/>
      <c r="O428" s="192"/>
      <c r="P428" s="192"/>
      <c r="Q428" s="192"/>
      <c r="R428" s="308"/>
      <c r="S428" s="192"/>
      <c r="T428" s="192"/>
      <c r="U428" s="192"/>
      <c r="V428" s="192"/>
      <c r="W428" s="192"/>
      <c r="X428" s="192"/>
      <c r="Y428" s="192"/>
      <c r="Z428" s="192"/>
      <c r="AA428" s="192"/>
      <c r="AB428" s="192"/>
      <c r="AC428" s="192"/>
      <c r="AD428" s="309"/>
      <c r="AE428" s="309"/>
      <c r="AF428" s="309"/>
      <c r="AG428" s="309"/>
      <c r="AH428" s="309"/>
      <c r="AI428" s="309"/>
      <c r="AJ428" s="309"/>
      <c r="AK428" s="309"/>
      <c r="AL428" s="309"/>
      <c r="AM428" s="309"/>
      <c r="AN428" s="309"/>
      <c r="AO428" s="309"/>
      <c r="AP428" s="309"/>
      <c r="AQ428" s="309"/>
      <c r="AR428" s="309"/>
      <c r="AS428" s="308"/>
      <c r="AT428" s="309"/>
      <c r="AU428" s="309"/>
      <c r="AV428" s="309"/>
      <c r="AW428" s="309"/>
      <c r="AX428" s="309"/>
      <c r="AY428" s="309"/>
      <c r="AZ428" s="309"/>
      <c r="BA428" s="309"/>
      <c r="BB428" s="309"/>
      <c r="BC428" s="309"/>
      <c r="BD428" s="309"/>
    </row>
    <row r="429" spans="1:56" hidden="1" outlineLevel="1" x14ac:dyDescent="0.25">
      <c r="A429" s="288"/>
      <c r="B429" s="292"/>
      <c r="C429" s="192"/>
      <c r="D429" s="192"/>
      <c r="E429" s="192"/>
      <c r="F429" s="192"/>
      <c r="G429" s="192"/>
      <c r="H429" s="192"/>
      <c r="I429" s="192"/>
      <c r="J429" s="192"/>
      <c r="K429" s="192"/>
      <c r="L429" s="192"/>
      <c r="M429" s="192"/>
      <c r="N429" s="192"/>
      <c r="O429" s="192"/>
      <c r="P429" s="192"/>
      <c r="Q429" s="192"/>
      <c r="R429" s="308"/>
      <c r="S429" s="192"/>
      <c r="T429" s="192"/>
      <c r="U429" s="192"/>
      <c r="V429" s="192"/>
      <c r="W429" s="192"/>
      <c r="X429" s="192"/>
      <c r="Y429" s="192"/>
      <c r="Z429" s="192"/>
      <c r="AA429" s="192"/>
      <c r="AB429" s="192"/>
      <c r="AC429" s="192"/>
      <c r="AD429" s="309"/>
      <c r="AE429" s="309"/>
      <c r="AF429" s="309"/>
      <c r="AG429" s="309"/>
      <c r="AH429" s="309"/>
      <c r="AI429" s="309"/>
      <c r="AJ429" s="309"/>
      <c r="AK429" s="309"/>
      <c r="AL429" s="309"/>
      <c r="AM429" s="309"/>
      <c r="AN429" s="309"/>
      <c r="AO429" s="309"/>
      <c r="AP429" s="309"/>
      <c r="AQ429" s="309"/>
      <c r="AR429" s="309"/>
      <c r="AS429" s="308"/>
      <c r="AT429" s="309"/>
      <c r="AU429" s="309"/>
      <c r="AV429" s="309"/>
      <c r="AW429" s="309"/>
      <c r="AX429" s="309"/>
      <c r="AY429" s="309"/>
      <c r="AZ429" s="309"/>
      <c r="BA429" s="309"/>
      <c r="BB429" s="309"/>
      <c r="BC429" s="309"/>
      <c r="BD429" s="309"/>
    </row>
    <row r="430" spans="1:56" hidden="1" outlineLevel="1" x14ac:dyDescent="0.25">
      <c r="A430" s="288"/>
      <c r="B430" s="292"/>
      <c r="C430" s="192"/>
      <c r="D430" s="192"/>
      <c r="E430" s="192"/>
      <c r="F430" s="192"/>
      <c r="G430" s="192"/>
      <c r="H430" s="192"/>
      <c r="I430" s="192"/>
      <c r="J430" s="192"/>
      <c r="K430" s="192"/>
      <c r="L430" s="192"/>
      <c r="M430" s="192"/>
      <c r="N430" s="192"/>
      <c r="O430" s="192"/>
      <c r="P430" s="192"/>
      <c r="Q430" s="192"/>
      <c r="R430" s="308"/>
      <c r="S430" s="192"/>
      <c r="T430" s="192"/>
      <c r="U430" s="192"/>
      <c r="V430" s="192"/>
      <c r="W430" s="192"/>
      <c r="X430" s="192"/>
      <c r="Y430" s="192"/>
      <c r="Z430" s="192"/>
      <c r="AA430" s="192"/>
      <c r="AB430" s="192"/>
      <c r="AC430" s="192"/>
      <c r="AD430" s="309"/>
      <c r="AE430" s="309"/>
      <c r="AF430" s="309"/>
      <c r="AG430" s="309"/>
      <c r="AH430" s="309"/>
      <c r="AI430" s="309"/>
      <c r="AJ430" s="309"/>
      <c r="AK430" s="309"/>
      <c r="AL430" s="309"/>
      <c r="AM430" s="309"/>
      <c r="AN430" s="309"/>
      <c r="AO430" s="309"/>
      <c r="AP430" s="309"/>
      <c r="AQ430" s="309"/>
      <c r="AR430" s="309"/>
      <c r="AS430" s="308"/>
      <c r="AT430" s="309"/>
      <c r="AU430" s="309"/>
      <c r="AV430" s="309"/>
      <c r="AW430" s="309"/>
      <c r="AX430" s="309"/>
      <c r="AY430" s="309"/>
      <c r="AZ430" s="309"/>
      <c r="BA430" s="309"/>
      <c r="BB430" s="309"/>
      <c r="BC430" s="309"/>
      <c r="BD430" s="309"/>
    </row>
    <row r="431" spans="1:56" hidden="1" outlineLevel="1" x14ac:dyDescent="0.25">
      <c r="A431" s="288"/>
      <c r="B431" s="292"/>
      <c r="C431" s="192"/>
      <c r="D431" s="192"/>
      <c r="E431" s="192"/>
      <c r="F431" s="192"/>
      <c r="G431" s="192"/>
      <c r="H431" s="192"/>
      <c r="I431" s="192"/>
      <c r="J431" s="192"/>
      <c r="K431" s="192"/>
      <c r="L431" s="192"/>
      <c r="M431" s="192"/>
      <c r="N431" s="192"/>
      <c r="O431" s="192"/>
      <c r="P431" s="192"/>
      <c r="Q431" s="192"/>
      <c r="R431" s="308"/>
      <c r="S431" s="192"/>
      <c r="T431" s="192"/>
      <c r="U431" s="192"/>
      <c r="V431" s="192"/>
      <c r="W431" s="192"/>
      <c r="X431" s="192"/>
      <c r="Y431" s="192"/>
      <c r="Z431" s="192"/>
      <c r="AA431" s="192"/>
      <c r="AB431" s="192"/>
      <c r="AC431" s="192"/>
      <c r="AD431" s="309"/>
      <c r="AE431" s="309"/>
      <c r="AF431" s="309"/>
      <c r="AG431" s="309"/>
      <c r="AH431" s="309"/>
      <c r="AI431" s="309"/>
      <c r="AJ431" s="309"/>
      <c r="AK431" s="309"/>
      <c r="AL431" s="309"/>
      <c r="AM431" s="309"/>
      <c r="AN431" s="309"/>
      <c r="AO431" s="309"/>
      <c r="AP431" s="309"/>
      <c r="AQ431" s="309"/>
      <c r="AR431" s="309"/>
      <c r="AS431" s="308"/>
      <c r="AT431" s="309"/>
      <c r="AU431" s="309"/>
      <c r="AV431" s="309"/>
      <c r="AW431" s="309"/>
      <c r="AX431" s="309"/>
      <c r="AY431" s="309"/>
      <c r="AZ431" s="309"/>
      <c r="BA431" s="309"/>
      <c r="BB431" s="309"/>
      <c r="BC431" s="309"/>
      <c r="BD431" s="309"/>
    </row>
    <row r="432" spans="1:56" hidden="1" outlineLevel="1" x14ac:dyDescent="0.25">
      <c r="A432" s="288"/>
      <c r="B432" s="292"/>
      <c r="C432" s="192"/>
      <c r="D432" s="192"/>
      <c r="E432" s="192"/>
      <c r="F432" s="192"/>
      <c r="G432" s="192"/>
      <c r="H432" s="192"/>
      <c r="I432" s="192"/>
      <c r="J432" s="192"/>
      <c r="K432" s="192"/>
      <c r="L432" s="192"/>
      <c r="M432" s="192"/>
      <c r="N432" s="192"/>
      <c r="O432" s="192"/>
      <c r="P432" s="192"/>
      <c r="Q432" s="192"/>
      <c r="R432" s="308"/>
      <c r="S432" s="192"/>
      <c r="T432" s="192"/>
      <c r="U432" s="192"/>
      <c r="V432" s="192"/>
      <c r="W432" s="192"/>
      <c r="X432" s="192"/>
      <c r="Y432" s="192"/>
      <c r="Z432" s="192"/>
      <c r="AA432" s="192"/>
      <c r="AB432" s="192"/>
      <c r="AC432" s="192"/>
      <c r="AD432" s="309"/>
      <c r="AE432" s="309"/>
      <c r="AF432" s="309"/>
      <c r="AG432" s="309"/>
      <c r="AH432" s="309"/>
      <c r="AI432" s="309"/>
      <c r="AJ432" s="309"/>
      <c r="AK432" s="309"/>
      <c r="AL432" s="309"/>
      <c r="AM432" s="309"/>
      <c r="AN432" s="309"/>
      <c r="AO432" s="309"/>
      <c r="AP432" s="309"/>
      <c r="AQ432" s="309"/>
      <c r="AR432" s="309"/>
      <c r="AS432" s="308"/>
      <c r="AT432" s="309"/>
      <c r="AU432" s="309"/>
      <c r="AV432" s="309"/>
      <c r="AW432" s="309"/>
      <c r="AX432" s="309"/>
      <c r="AY432" s="309"/>
      <c r="AZ432" s="309"/>
      <c r="BA432" s="309"/>
      <c r="BB432" s="309"/>
      <c r="BC432" s="309"/>
      <c r="BD432" s="309"/>
    </row>
    <row r="433" spans="1:56" hidden="1" outlineLevel="1" x14ac:dyDescent="0.25">
      <c r="A433" s="288"/>
      <c r="B433" s="292"/>
      <c r="C433" s="192"/>
      <c r="D433" s="192"/>
      <c r="E433" s="192"/>
      <c r="F433" s="192"/>
      <c r="G433" s="192"/>
      <c r="H433" s="192"/>
      <c r="I433" s="192"/>
      <c r="J433" s="192"/>
      <c r="K433" s="192"/>
      <c r="L433" s="192"/>
      <c r="M433" s="192"/>
      <c r="N433" s="192"/>
      <c r="O433" s="192"/>
      <c r="P433" s="192"/>
      <c r="Q433" s="192"/>
      <c r="R433" s="308"/>
      <c r="S433" s="192"/>
      <c r="T433" s="192"/>
      <c r="U433" s="192"/>
      <c r="V433" s="192"/>
      <c r="W433" s="192"/>
      <c r="X433" s="192"/>
      <c r="Y433" s="192"/>
      <c r="Z433" s="192"/>
      <c r="AA433" s="192"/>
      <c r="AB433" s="192"/>
      <c r="AC433" s="192"/>
      <c r="AD433" s="309"/>
      <c r="AE433" s="309"/>
      <c r="AF433" s="309"/>
      <c r="AG433" s="309"/>
      <c r="AH433" s="309"/>
      <c r="AI433" s="309"/>
      <c r="AJ433" s="309"/>
      <c r="AK433" s="309"/>
      <c r="AL433" s="309"/>
      <c r="AM433" s="309"/>
      <c r="AN433" s="309"/>
      <c r="AO433" s="309"/>
      <c r="AP433" s="309"/>
      <c r="AQ433" s="309"/>
      <c r="AR433" s="309"/>
      <c r="AS433" s="308"/>
      <c r="AT433" s="309"/>
      <c r="AU433" s="309"/>
      <c r="AV433" s="309"/>
      <c r="AW433" s="309"/>
      <c r="AX433" s="309"/>
      <c r="AY433" s="309"/>
      <c r="AZ433" s="309"/>
      <c r="BA433" s="309"/>
      <c r="BB433" s="309"/>
      <c r="BC433" s="309"/>
      <c r="BD433" s="309"/>
    </row>
    <row r="434" spans="1:56" hidden="1" outlineLevel="1" x14ac:dyDescent="0.25">
      <c r="A434" s="288"/>
      <c r="B434" s="292"/>
      <c r="C434" s="192"/>
      <c r="D434" s="192"/>
      <c r="E434" s="192"/>
      <c r="F434" s="192"/>
      <c r="G434" s="192"/>
      <c r="H434" s="192"/>
      <c r="I434" s="192"/>
      <c r="J434" s="192"/>
      <c r="K434" s="192"/>
      <c r="L434" s="192"/>
      <c r="M434" s="192"/>
      <c r="N434" s="192"/>
      <c r="O434" s="192"/>
      <c r="P434" s="192"/>
      <c r="Q434" s="192"/>
      <c r="R434" s="308"/>
      <c r="S434" s="192"/>
      <c r="T434" s="192"/>
      <c r="U434" s="192"/>
      <c r="V434" s="192"/>
      <c r="W434" s="192"/>
      <c r="X434" s="192"/>
      <c r="Y434" s="192"/>
      <c r="Z434" s="192"/>
      <c r="AA434" s="192"/>
      <c r="AB434" s="192"/>
      <c r="AC434" s="192"/>
      <c r="AD434" s="309"/>
      <c r="AE434" s="309"/>
      <c r="AF434" s="309"/>
      <c r="AG434" s="309"/>
      <c r="AH434" s="309"/>
      <c r="AI434" s="309"/>
      <c r="AJ434" s="309"/>
      <c r="AK434" s="309"/>
      <c r="AL434" s="309"/>
      <c r="AM434" s="309"/>
      <c r="AN434" s="309"/>
      <c r="AO434" s="309"/>
      <c r="AP434" s="309"/>
      <c r="AQ434" s="309"/>
      <c r="AR434" s="309"/>
      <c r="AS434" s="308"/>
      <c r="AT434" s="309"/>
      <c r="AU434" s="309"/>
      <c r="AV434" s="309"/>
      <c r="AW434" s="309"/>
      <c r="AX434" s="309"/>
      <c r="AY434" s="309"/>
      <c r="AZ434" s="309"/>
      <c r="BA434" s="309"/>
      <c r="BB434" s="309"/>
      <c r="BC434" s="309"/>
      <c r="BD434" s="309"/>
    </row>
    <row r="435" spans="1:56" hidden="1" outlineLevel="1" x14ac:dyDescent="0.25">
      <c r="A435" s="288"/>
      <c r="B435" s="292"/>
      <c r="C435" s="192"/>
      <c r="D435" s="192"/>
      <c r="E435" s="192"/>
      <c r="F435" s="192"/>
      <c r="G435" s="192"/>
      <c r="H435" s="192"/>
      <c r="I435" s="192"/>
      <c r="J435" s="192"/>
      <c r="K435" s="192"/>
      <c r="L435" s="192"/>
      <c r="M435" s="192"/>
      <c r="N435" s="192"/>
      <c r="O435" s="192"/>
      <c r="P435" s="192"/>
      <c r="Q435" s="192"/>
      <c r="R435" s="308"/>
      <c r="S435" s="192"/>
      <c r="T435" s="192"/>
      <c r="U435" s="192"/>
      <c r="V435" s="192"/>
      <c r="W435" s="192"/>
      <c r="X435" s="192"/>
      <c r="Y435" s="192"/>
      <c r="Z435" s="192"/>
      <c r="AA435" s="192"/>
      <c r="AB435" s="192"/>
      <c r="AC435" s="192"/>
      <c r="AD435" s="309"/>
      <c r="AE435" s="309"/>
      <c r="AF435" s="309"/>
      <c r="AG435" s="309"/>
      <c r="AH435" s="309"/>
      <c r="AI435" s="309"/>
      <c r="AJ435" s="309"/>
      <c r="AK435" s="309"/>
      <c r="AL435" s="309"/>
      <c r="AM435" s="309"/>
      <c r="AN435" s="309"/>
      <c r="AO435" s="309"/>
      <c r="AP435" s="309"/>
      <c r="AQ435" s="309"/>
      <c r="AR435" s="309"/>
      <c r="AS435" s="308"/>
      <c r="AT435" s="309"/>
      <c r="AU435" s="309"/>
      <c r="AV435" s="309"/>
      <c r="AW435" s="309"/>
      <c r="AX435" s="309"/>
      <c r="AY435" s="309"/>
      <c r="AZ435" s="309"/>
      <c r="BA435" s="309"/>
      <c r="BB435" s="309"/>
      <c r="BC435" s="309"/>
      <c r="BD435" s="309"/>
    </row>
    <row r="436" spans="1:56" hidden="1" outlineLevel="1" x14ac:dyDescent="0.25">
      <c r="A436" s="288"/>
      <c r="B436" s="292"/>
      <c r="C436" s="192"/>
      <c r="D436" s="192"/>
      <c r="E436" s="192"/>
      <c r="F436" s="192"/>
      <c r="G436" s="192"/>
      <c r="H436" s="192"/>
      <c r="I436" s="192"/>
      <c r="J436" s="192"/>
      <c r="K436" s="192"/>
      <c r="L436" s="192"/>
      <c r="M436" s="192"/>
      <c r="N436" s="192"/>
      <c r="O436" s="192"/>
      <c r="P436" s="192"/>
      <c r="Q436" s="192"/>
      <c r="R436" s="308"/>
      <c r="S436" s="192"/>
      <c r="T436" s="192"/>
      <c r="U436" s="192"/>
      <c r="V436" s="192"/>
      <c r="W436" s="192"/>
      <c r="X436" s="192"/>
      <c r="Y436" s="192"/>
      <c r="Z436" s="192"/>
      <c r="AA436" s="192"/>
      <c r="AB436" s="192"/>
      <c r="AC436" s="192"/>
      <c r="AD436" s="309"/>
      <c r="AE436" s="309"/>
      <c r="AF436" s="309"/>
      <c r="AG436" s="309"/>
      <c r="AH436" s="309"/>
      <c r="AI436" s="309"/>
      <c r="AJ436" s="309"/>
      <c r="AK436" s="309"/>
      <c r="AL436" s="309"/>
      <c r="AM436" s="309"/>
      <c r="AN436" s="309"/>
      <c r="AO436" s="309"/>
      <c r="AP436" s="309"/>
      <c r="AQ436" s="309"/>
      <c r="AR436" s="309"/>
      <c r="AS436" s="308"/>
      <c r="AT436" s="309"/>
      <c r="AU436" s="309"/>
      <c r="AV436" s="309"/>
      <c r="AW436" s="309"/>
      <c r="AX436" s="309"/>
      <c r="AY436" s="309"/>
      <c r="AZ436" s="309"/>
      <c r="BA436" s="309"/>
      <c r="BB436" s="309"/>
      <c r="BC436" s="309"/>
      <c r="BD436" s="309"/>
    </row>
    <row r="437" spans="1:56" hidden="1" outlineLevel="1" x14ac:dyDescent="0.25">
      <c r="A437" s="288"/>
      <c r="B437" s="292"/>
      <c r="C437" s="192"/>
      <c r="D437" s="192"/>
      <c r="E437" s="192"/>
      <c r="F437" s="192"/>
      <c r="G437" s="192"/>
      <c r="H437" s="192"/>
      <c r="I437" s="192"/>
      <c r="J437" s="192"/>
      <c r="K437" s="192"/>
      <c r="L437" s="192"/>
      <c r="M437" s="192"/>
      <c r="N437" s="192"/>
      <c r="O437" s="192"/>
      <c r="P437" s="192"/>
      <c r="Q437" s="192"/>
      <c r="R437" s="308"/>
      <c r="S437" s="192"/>
      <c r="T437" s="192"/>
      <c r="U437" s="192"/>
      <c r="V437" s="192"/>
      <c r="W437" s="192"/>
      <c r="X437" s="192"/>
      <c r="Y437" s="192"/>
      <c r="Z437" s="192"/>
      <c r="AA437" s="192"/>
      <c r="AB437" s="192"/>
      <c r="AC437" s="192"/>
      <c r="AD437" s="309"/>
      <c r="AE437" s="309"/>
      <c r="AF437" s="309"/>
      <c r="AG437" s="309"/>
      <c r="AH437" s="309"/>
      <c r="AI437" s="309"/>
      <c r="AJ437" s="309"/>
      <c r="AK437" s="309"/>
      <c r="AL437" s="309"/>
      <c r="AM437" s="309"/>
      <c r="AN437" s="309"/>
      <c r="AO437" s="309"/>
      <c r="AP437" s="309"/>
      <c r="AQ437" s="309"/>
      <c r="AR437" s="309"/>
      <c r="AS437" s="308"/>
      <c r="AT437" s="309"/>
      <c r="AU437" s="309"/>
      <c r="AV437" s="309"/>
      <c r="AW437" s="309"/>
      <c r="AX437" s="309"/>
      <c r="AY437" s="309"/>
      <c r="AZ437" s="309"/>
      <c r="BA437" s="309"/>
      <c r="BB437" s="309"/>
      <c r="BC437" s="309"/>
      <c r="BD437" s="309"/>
    </row>
    <row r="438" spans="1:56" hidden="1" outlineLevel="1" x14ac:dyDescent="0.25">
      <c r="A438" s="288"/>
      <c r="B438" s="292"/>
      <c r="C438" s="192"/>
      <c r="D438" s="192"/>
      <c r="E438" s="192"/>
      <c r="F438" s="192"/>
      <c r="G438" s="192"/>
      <c r="H438" s="192"/>
      <c r="I438" s="192"/>
      <c r="J438" s="192"/>
      <c r="K438" s="192"/>
      <c r="L438" s="192"/>
      <c r="M438" s="192"/>
      <c r="N438" s="192"/>
      <c r="O438" s="192"/>
      <c r="P438" s="192"/>
      <c r="Q438" s="192"/>
      <c r="R438" s="308"/>
      <c r="S438" s="192"/>
      <c r="T438" s="192"/>
      <c r="U438" s="192"/>
      <c r="V438" s="192"/>
      <c r="W438" s="192"/>
      <c r="X438" s="192"/>
      <c r="Y438" s="192"/>
      <c r="Z438" s="192"/>
      <c r="AA438" s="192"/>
      <c r="AB438" s="192"/>
      <c r="AC438" s="192"/>
      <c r="AD438" s="309"/>
      <c r="AE438" s="309"/>
      <c r="AF438" s="309"/>
      <c r="AG438" s="309"/>
      <c r="AH438" s="309"/>
      <c r="AI438" s="309"/>
      <c r="AJ438" s="309"/>
      <c r="AK438" s="309"/>
      <c r="AL438" s="309"/>
      <c r="AM438" s="309"/>
      <c r="AN438" s="309"/>
      <c r="AO438" s="309"/>
      <c r="AP438" s="309"/>
      <c r="AQ438" s="309"/>
      <c r="AR438" s="309"/>
      <c r="AS438" s="308"/>
      <c r="AT438" s="309"/>
      <c r="AU438" s="309"/>
      <c r="AV438" s="309"/>
      <c r="AW438" s="309"/>
      <c r="AX438" s="309"/>
      <c r="AY438" s="309"/>
      <c r="AZ438" s="309"/>
      <c r="BA438" s="309"/>
      <c r="BB438" s="309"/>
      <c r="BC438" s="309"/>
      <c r="BD438" s="309"/>
    </row>
    <row r="439" spans="1:56" hidden="1" outlineLevel="1" x14ac:dyDescent="0.25">
      <c r="A439" s="288"/>
      <c r="B439" s="292"/>
      <c r="C439" s="192"/>
      <c r="D439" s="192"/>
      <c r="E439" s="192"/>
      <c r="F439" s="192"/>
      <c r="G439" s="192"/>
      <c r="H439" s="192"/>
      <c r="I439" s="192"/>
      <c r="J439" s="192"/>
      <c r="K439" s="192"/>
      <c r="L439" s="192"/>
      <c r="M439" s="192"/>
      <c r="N439" s="192"/>
      <c r="O439" s="192"/>
      <c r="P439" s="192"/>
      <c r="Q439" s="192"/>
      <c r="R439" s="308"/>
      <c r="S439" s="192"/>
      <c r="T439" s="192"/>
      <c r="U439" s="192"/>
      <c r="V439" s="192"/>
      <c r="W439" s="192"/>
      <c r="X439" s="192"/>
      <c r="Y439" s="192"/>
      <c r="Z439" s="192"/>
      <c r="AA439" s="192"/>
      <c r="AB439" s="192"/>
      <c r="AC439" s="192"/>
      <c r="AD439" s="309"/>
      <c r="AE439" s="309"/>
      <c r="AF439" s="309"/>
      <c r="AG439" s="309"/>
      <c r="AH439" s="309"/>
      <c r="AI439" s="309"/>
      <c r="AJ439" s="309"/>
      <c r="AK439" s="309"/>
      <c r="AL439" s="309"/>
      <c r="AM439" s="309"/>
      <c r="AN439" s="309"/>
      <c r="AO439" s="309"/>
      <c r="AP439" s="309"/>
      <c r="AQ439" s="309"/>
      <c r="AR439" s="309"/>
      <c r="AS439" s="308"/>
      <c r="AT439" s="309"/>
      <c r="AU439" s="309"/>
      <c r="AV439" s="309"/>
      <c r="AW439" s="309"/>
      <c r="AX439" s="309"/>
      <c r="AY439" s="309"/>
      <c r="AZ439" s="309"/>
      <c r="BA439" s="309"/>
      <c r="BB439" s="309"/>
      <c r="BC439" s="309"/>
      <c r="BD439" s="309"/>
    </row>
    <row r="440" spans="1:56" hidden="1" outlineLevel="1" x14ac:dyDescent="0.25">
      <c r="A440" s="288"/>
      <c r="B440" s="292"/>
      <c r="C440" s="192"/>
      <c r="D440" s="192"/>
      <c r="E440" s="192"/>
      <c r="F440" s="192"/>
      <c r="G440" s="192"/>
      <c r="H440" s="192"/>
      <c r="I440" s="192"/>
      <c r="J440" s="192"/>
      <c r="K440" s="192"/>
      <c r="L440" s="192"/>
      <c r="M440" s="192"/>
      <c r="N440" s="192"/>
      <c r="O440" s="192"/>
      <c r="P440" s="192"/>
      <c r="Q440" s="192"/>
      <c r="R440" s="308"/>
      <c r="S440" s="192"/>
      <c r="T440" s="192"/>
      <c r="U440" s="192"/>
      <c r="V440" s="192"/>
      <c r="W440" s="192"/>
      <c r="X440" s="192"/>
      <c r="Y440" s="192"/>
      <c r="Z440" s="192"/>
      <c r="AA440" s="192"/>
      <c r="AB440" s="192"/>
      <c r="AC440" s="192"/>
      <c r="AD440" s="309"/>
      <c r="AE440" s="309"/>
      <c r="AF440" s="309"/>
      <c r="AG440" s="309"/>
      <c r="AH440" s="309"/>
      <c r="AI440" s="309"/>
      <c r="AJ440" s="309"/>
      <c r="AK440" s="309"/>
      <c r="AL440" s="309"/>
      <c r="AM440" s="309"/>
      <c r="AN440" s="309"/>
      <c r="AO440" s="309"/>
      <c r="AP440" s="309"/>
      <c r="AQ440" s="309"/>
      <c r="AR440" s="309"/>
      <c r="AS440" s="308"/>
      <c r="AT440" s="309"/>
      <c r="AU440" s="309"/>
      <c r="AV440" s="309"/>
      <c r="AW440" s="309"/>
      <c r="AX440" s="309"/>
      <c r="AY440" s="309"/>
      <c r="AZ440" s="309"/>
      <c r="BA440" s="309"/>
      <c r="BB440" s="309"/>
      <c r="BC440" s="309"/>
      <c r="BD440" s="309"/>
    </row>
    <row r="441" spans="1:56" hidden="1" outlineLevel="1" x14ac:dyDescent="0.25">
      <c r="A441" s="288"/>
      <c r="B441" s="292"/>
      <c r="C441" s="192"/>
      <c r="D441" s="192"/>
      <c r="E441" s="192"/>
      <c r="F441" s="192"/>
      <c r="G441" s="192"/>
      <c r="H441" s="192"/>
      <c r="I441" s="192"/>
      <c r="J441" s="192"/>
      <c r="K441" s="192"/>
      <c r="L441" s="192"/>
      <c r="M441" s="192"/>
      <c r="N441" s="192"/>
      <c r="O441" s="192"/>
      <c r="P441" s="192"/>
      <c r="Q441" s="192"/>
      <c r="R441" s="308"/>
      <c r="S441" s="192"/>
      <c r="T441" s="192"/>
      <c r="U441" s="192"/>
      <c r="V441" s="192"/>
      <c r="W441" s="192"/>
      <c r="X441" s="192"/>
      <c r="Y441" s="192"/>
      <c r="Z441" s="192"/>
      <c r="AA441" s="192"/>
      <c r="AB441" s="192"/>
      <c r="AC441" s="192"/>
      <c r="AD441" s="309"/>
      <c r="AE441" s="309"/>
      <c r="AF441" s="309"/>
      <c r="AG441" s="309"/>
      <c r="AH441" s="309"/>
      <c r="AI441" s="309"/>
      <c r="AJ441" s="309"/>
      <c r="AK441" s="309"/>
      <c r="AL441" s="309"/>
      <c r="AM441" s="309"/>
      <c r="AN441" s="309"/>
      <c r="AO441" s="309"/>
      <c r="AP441" s="309"/>
      <c r="AQ441" s="309"/>
      <c r="AR441" s="309"/>
      <c r="AS441" s="308"/>
      <c r="AT441" s="309"/>
      <c r="AU441" s="309"/>
      <c r="AV441" s="309"/>
      <c r="AW441" s="309"/>
      <c r="AX441" s="309"/>
      <c r="AY441" s="309"/>
      <c r="AZ441" s="309"/>
      <c r="BA441" s="309"/>
      <c r="BB441" s="309"/>
      <c r="BC441" s="309"/>
      <c r="BD441" s="309"/>
    </row>
    <row r="442" spans="1:56" hidden="1" outlineLevel="1" x14ac:dyDescent="0.25">
      <c r="A442" s="288"/>
      <c r="B442" s="292"/>
      <c r="C442" s="192"/>
      <c r="D442" s="192"/>
      <c r="E442" s="192"/>
      <c r="F442" s="192"/>
      <c r="G442" s="192"/>
      <c r="H442" s="192"/>
      <c r="I442" s="192"/>
      <c r="J442" s="192"/>
      <c r="K442" s="192"/>
      <c r="L442" s="192"/>
      <c r="M442" s="192"/>
      <c r="N442" s="192"/>
      <c r="O442" s="192"/>
      <c r="P442" s="192"/>
      <c r="Q442" s="192"/>
      <c r="R442" s="308"/>
      <c r="S442" s="192"/>
      <c r="T442" s="192"/>
      <c r="U442" s="192"/>
      <c r="V442" s="192"/>
      <c r="W442" s="192"/>
      <c r="X442" s="192"/>
      <c r="Y442" s="192"/>
      <c r="Z442" s="192"/>
      <c r="AA442" s="192"/>
      <c r="AB442" s="192"/>
      <c r="AC442" s="192"/>
      <c r="AD442" s="309"/>
      <c r="AE442" s="309"/>
      <c r="AF442" s="309"/>
      <c r="AG442" s="309"/>
      <c r="AH442" s="309"/>
      <c r="AI442" s="309"/>
      <c r="AJ442" s="309"/>
      <c r="AK442" s="309"/>
      <c r="AL442" s="309"/>
      <c r="AM442" s="309"/>
      <c r="AN442" s="309"/>
      <c r="AO442" s="309"/>
      <c r="AP442" s="309"/>
      <c r="AQ442" s="309"/>
      <c r="AR442" s="309"/>
      <c r="AS442" s="308"/>
      <c r="AT442" s="309"/>
      <c r="AU442" s="309"/>
      <c r="AV442" s="309"/>
      <c r="AW442" s="309"/>
      <c r="AX442" s="309"/>
      <c r="AY442" s="309"/>
      <c r="AZ442" s="309"/>
      <c r="BA442" s="309"/>
      <c r="BB442" s="309"/>
      <c r="BC442" s="309"/>
      <c r="BD442" s="309"/>
    </row>
    <row r="443" spans="1:56" hidden="1" outlineLevel="1" x14ac:dyDescent="0.25">
      <c r="A443" s="288"/>
      <c r="B443" s="292"/>
      <c r="C443" s="192"/>
      <c r="D443" s="192"/>
      <c r="E443" s="192"/>
      <c r="F443" s="192"/>
      <c r="G443" s="192"/>
      <c r="H443" s="192"/>
      <c r="I443" s="192"/>
      <c r="J443" s="192"/>
      <c r="K443" s="192"/>
      <c r="L443" s="192"/>
      <c r="M443" s="192"/>
      <c r="N443" s="192"/>
      <c r="O443" s="192"/>
      <c r="P443" s="192"/>
      <c r="Q443" s="192"/>
      <c r="R443" s="308"/>
      <c r="S443" s="192"/>
      <c r="T443" s="192"/>
      <c r="U443" s="192"/>
      <c r="V443" s="192"/>
      <c r="W443" s="192"/>
      <c r="X443" s="192"/>
      <c r="Y443" s="192"/>
      <c r="Z443" s="192"/>
      <c r="AA443" s="192"/>
      <c r="AB443" s="192"/>
      <c r="AC443" s="192"/>
      <c r="AD443" s="309"/>
      <c r="AE443" s="309"/>
      <c r="AF443" s="309"/>
      <c r="AG443" s="309"/>
      <c r="AH443" s="309"/>
      <c r="AI443" s="309"/>
      <c r="AJ443" s="309"/>
      <c r="AK443" s="309"/>
      <c r="AL443" s="309"/>
      <c r="AM443" s="309"/>
      <c r="AN443" s="309"/>
      <c r="AO443" s="309"/>
      <c r="AP443" s="309"/>
      <c r="AQ443" s="309"/>
      <c r="AR443" s="309"/>
      <c r="AS443" s="308"/>
      <c r="AT443" s="309"/>
      <c r="AU443" s="309"/>
      <c r="AV443" s="309"/>
      <c r="AW443" s="309"/>
      <c r="AX443" s="309"/>
      <c r="AY443" s="309"/>
      <c r="AZ443" s="309"/>
      <c r="BA443" s="309"/>
      <c r="BB443" s="309"/>
      <c r="BC443" s="309"/>
      <c r="BD443" s="309"/>
    </row>
    <row r="444" spans="1:56" hidden="1" outlineLevel="1" x14ac:dyDescent="0.25">
      <c r="A444" s="288"/>
      <c r="B444" s="292"/>
      <c r="C444" s="192"/>
      <c r="D444" s="192"/>
      <c r="E444" s="192"/>
      <c r="F444" s="192"/>
      <c r="G444" s="192"/>
      <c r="H444" s="192"/>
      <c r="I444" s="192"/>
      <c r="J444" s="192"/>
      <c r="K444" s="192"/>
      <c r="L444" s="192"/>
      <c r="M444" s="192"/>
      <c r="N444" s="192"/>
      <c r="O444" s="192"/>
      <c r="P444" s="192"/>
      <c r="Q444" s="192"/>
      <c r="R444" s="308"/>
      <c r="S444" s="192"/>
      <c r="T444" s="192"/>
      <c r="U444" s="192"/>
      <c r="V444" s="192"/>
      <c r="W444" s="192"/>
      <c r="X444" s="192"/>
      <c r="Y444" s="192"/>
      <c r="Z444" s="192"/>
      <c r="AA444" s="192"/>
      <c r="AB444" s="192"/>
      <c r="AC444" s="192"/>
      <c r="AD444" s="309"/>
      <c r="AE444" s="309"/>
      <c r="AF444" s="309"/>
      <c r="AG444" s="309"/>
      <c r="AH444" s="309"/>
      <c r="AI444" s="309"/>
      <c r="AJ444" s="309"/>
      <c r="AK444" s="309"/>
      <c r="AL444" s="309"/>
      <c r="AM444" s="309"/>
      <c r="AN444" s="309"/>
      <c r="AO444" s="309"/>
      <c r="AP444" s="309"/>
      <c r="AQ444" s="309"/>
      <c r="AR444" s="309"/>
      <c r="AS444" s="308"/>
      <c r="AT444" s="309"/>
      <c r="AU444" s="309"/>
      <c r="AV444" s="309"/>
      <c r="AW444" s="309"/>
      <c r="AX444" s="309"/>
      <c r="AY444" s="309"/>
      <c r="AZ444" s="309"/>
      <c r="BA444" s="309"/>
      <c r="BB444" s="309"/>
      <c r="BC444" s="309"/>
      <c r="BD444" s="309"/>
    </row>
    <row r="445" spans="1:56" hidden="1" outlineLevel="1" x14ac:dyDescent="0.25">
      <c r="A445" s="288"/>
      <c r="B445" s="292"/>
      <c r="C445" s="192"/>
      <c r="D445" s="192"/>
      <c r="E445" s="192"/>
      <c r="F445" s="192"/>
      <c r="G445" s="192"/>
      <c r="H445" s="192"/>
      <c r="I445" s="192"/>
      <c r="J445" s="192"/>
      <c r="K445" s="192"/>
      <c r="L445" s="192"/>
      <c r="M445" s="192"/>
      <c r="N445" s="192"/>
      <c r="O445" s="192"/>
      <c r="P445" s="192"/>
      <c r="Q445" s="192"/>
      <c r="R445" s="308"/>
      <c r="S445" s="192"/>
      <c r="T445" s="192"/>
      <c r="U445" s="192"/>
      <c r="V445" s="192"/>
      <c r="W445" s="192"/>
      <c r="X445" s="192"/>
      <c r="Y445" s="192"/>
      <c r="Z445" s="192"/>
      <c r="AA445" s="192"/>
      <c r="AB445" s="192"/>
      <c r="AC445" s="192"/>
      <c r="AD445" s="309"/>
      <c r="AE445" s="309"/>
      <c r="AF445" s="309"/>
      <c r="AG445" s="309"/>
      <c r="AH445" s="309"/>
      <c r="AI445" s="309"/>
      <c r="AJ445" s="309"/>
      <c r="AK445" s="309"/>
      <c r="AL445" s="309"/>
      <c r="AM445" s="309"/>
      <c r="AN445" s="309"/>
      <c r="AO445" s="309"/>
      <c r="AP445" s="309"/>
      <c r="AQ445" s="309"/>
      <c r="AR445" s="309"/>
      <c r="AS445" s="308"/>
      <c r="AT445" s="309"/>
      <c r="AU445" s="309"/>
      <c r="AV445" s="309"/>
      <c r="AW445" s="309"/>
      <c r="AX445" s="309"/>
      <c r="AY445" s="309"/>
      <c r="AZ445" s="309"/>
      <c r="BA445" s="309"/>
      <c r="BB445" s="309"/>
      <c r="BC445" s="309"/>
      <c r="BD445" s="309"/>
    </row>
    <row r="446" spans="1:56" hidden="1" outlineLevel="1" x14ac:dyDescent="0.25">
      <c r="A446" s="288"/>
      <c r="B446" s="292"/>
      <c r="C446" s="192"/>
      <c r="D446" s="192"/>
      <c r="E446" s="192"/>
      <c r="F446" s="192"/>
      <c r="G446" s="192"/>
      <c r="H446" s="192"/>
      <c r="I446" s="192"/>
      <c r="J446" s="192"/>
      <c r="K446" s="192"/>
      <c r="L446" s="192"/>
      <c r="M446" s="192"/>
      <c r="N446" s="192"/>
      <c r="O446" s="192"/>
      <c r="P446" s="192"/>
      <c r="Q446" s="192"/>
      <c r="R446" s="308"/>
      <c r="S446" s="192"/>
      <c r="T446" s="192"/>
      <c r="U446" s="192"/>
      <c r="V446" s="192"/>
      <c r="W446" s="192"/>
      <c r="X446" s="192"/>
      <c r="Y446" s="192"/>
      <c r="Z446" s="192"/>
      <c r="AA446" s="192"/>
      <c r="AB446" s="192"/>
      <c r="AC446" s="192"/>
      <c r="AD446" s="309"/>
      <c r="AE446" s="309"/>
      <c r="AF446" s="309"/>
      <c r="AG446" s="309"/>
      <c r="AH446" s="309"/>
      <c r="AI446" s="309"/>
      <c r="AJ446" s="309"/>
      <c r="AK446" s="309"/>
      <c r="AL446" s="309"/>
      <c r="AM446" s="309"/>
      <c r="AN446" s="309"/>
      <c r="AO446" s="309"/>
      <c r="AP446" s="309"/>
      <c r="AQ446" s="309"/>
      <c r="AR446" s="309"/>
      <c r="AS446" s="308"/>
      <c r="AT446" s="309"/>
      <c r="AU446" s="309"/>
      <c r="AV446" s="309"/>
      <c r="AW446" s="309"/>
      <c r="AX446" s="309"/>
      <c r="AY446" s="309"/>
      <c r="AZ446" s="309"/>
      <c r="BA446" s="309"/>
      <c r="BB446" s="309"/>
      <c r="BC446" s="309"/>
      <c r="BD446" s="309"/>
    </row>
    <row r="447" spans="1:56" hidden="1" outlineLevel="1" x14ac:dyDescent="0.25">
      <c r="A447" s="288"/>
      <c r="B447" s="292"/>
      <c r="C447" s="192"/>
      <c r="D447" s="192"/>
      <c r="E447" s="192"/>
      <c r="F447" s="192"/>
      <c r="G447" s="192"/>
      <c r="H447" s="192"/>
      <c r="I447" s="192"/>
      <c r="J447" s="192"/>
      <c r="K447" s="192"/>
      <c r="L447" s="192"/>
      <c r="M447" s="192"/>
      <c r="N447" s="192"/>
      <c r="O447" s="192"/>
      <c r="P447" s="192"/>
      <c r="Q447" s="192"/>
      <c r="R447" s="308"/>
      <c r="S447" s="192"/>
      <c r="T447" s="192"/>
      <c r="U447" s="192"/>
      <c r="V447" s="192"/>
      <c r="W447" s="192"/>
      <c r="X447" s="192"/>
      <c r="Y447" s="192"/>
      <c r="Z447" s="192"/>
      <c r="AA447" s="192"/>
      <c r="AB447" s="192"/>
      <c r="AC447" s="192"/>
      <c r="AD447" s="309"/>
      <c r="AE447" s="309"/>
      <c r="AF447" s="309"/>
      <c r="AG447" s="309"/>
      <c r="AH447" s="309"/>
      <c r="AI447" s="309"/>
      <c r="AJ447" s="309"/>
      <c r="AK447" s="309"/>
      <c r="AL447" s="309"/>
      <c r="AM447" s="309"/>
      <c r="AN447" s="309"/>
      <c r="AO447" s="309"/>
      <c r="AP447" s="309"/>
      <c r="AQ447" s="309"/>
      <c r="AR447" s="309"/>
      <c r="AS447" s="308"/>
      <c r="AT447" s="309"/>
      <c r="AU447" s="309"/>
      <c r="AV447" s="309"/>
      <c r="AW447" s="309"/>
      <c r="AX447" s="309"/>
      <c r="AY447" s="309"/>
      <c r="AZ447" s="309"/>
      <c r="BA447" s="309"/>
      <c r="BB447" s="309"/>
      <c r="BC447" s="309"/>
      <c r="BD447" s="309"/>
    </row>
    <row r="448" spans="1:56" hidden="1" outlineLevel="1" x14ac:dyDescent="0.25">
      <c r="A448" s="288"/>
      <c r="B448" s="292"/>
      <c r="C448" s="192"/>
      <c r="D448" s="192"/>
      <c r="E448" s="192"/>
      <c r="F448" s="192"/>
      <c r="G448" s="192"/>
      <c r="H448" s="192"/>
      <c r="I448" s="192"/>
      <c r="J448" s="192"/>
      <c r="K448" s="192"/>
      <c r="L448" s="192"/>
      <c r="M448" s="192"/>
      <c r="N448" s="192"/>
      <c r="O448" s="192"/>
      <c r="P448" s="192"/>
      <c r="Q448" s="192"/>
      <c r="R448" s="308"/>
      <c r="S448" s="192"/>
      <c r="T448" s="192"/>
      <c r="U448" s="192"/>
      <c r="V448" s="192"/>
      <c r="W448" s="192"/>
      <c r="X448" s="192"/>
      <c r="Y448" s="192"/>
      <c r="Z448" s="192"/>
      <c r="AA448" s="192"/>
      <c r="AB448" s="192"/>
      <c r="AC448" s="192"/>
      <c r="AD448" s="309"/>
      <c r="AE448" s="309"/>
      <c r="AF448" s="309"/>
      <c r="AG448" s="309"/>
      <c r="AH448" s="309"/>
      <c r="AI448" s="309"/>
      <c r="AJ448" s="309"/>
      <c r="AK448" s="309"/>
      <c r="AL448" s="309"/>
      <c r="AM448" s="309"/>
      <c r="AN448" s="309"/>
      <c r="AO448" s="309"/>
      <c r="AP448" s="309"/>
      <c r="AQ448" s="309"/>
      <c r="AR448" s="309"/>
      <c r="AS448" s="308"/>
      <c r="AT448" s="309"/>
      <c r="AU448" s="309"/>
      <c r="AV448" s="309"/>
      <c r="AW448" s="309"/>
      <c r="AX448" s="309"/>
      <c r="AY448" s="309"/>
      <c r="AZ448" s="309"/>
      <c r="BA448" s="309"/>
      <c r="BB448" s="309"/>
      <c r="BC448" s="309"/>
      <c r="BD448" s="309"/>
    </row>
    <row r="449" spans="1:56" hidden="1" outlineLevel="1" x14ac:dyDescent="0.25">
      <c r="A449" s="288"/>
      <c r="B449" s="292"/>
      <c r="C449" s="192"/>
      <c r="D449" s="192"/>
      <c r="E449" s="192"/>
      <c r="F449" s="192"/>
      <c r="G449" s="192"/>
      <c r="H449" s="192"/>
      <c r="I449" s="192"/>
      <c r="J449" s="192"/>
      <c r="K449" s="192"/>
      <c r="L449" s="192"/>
      <c r="M449" s="192"/>
      <c r="N449" s="192"/>
      <c r="O449" s="192"/>
      <c r="P449" s="192"/>
      <c r="Q449" s="192"/>
      <c r="R449" s="308"/>
      <c r="S449" s="192"/>
      <c r="T449" s="192"/>
      <c r="U449" s="192"/>
      <c r="V449" s="192"/>
      <c r="W449" s="192"/>
      <c r="X449" s="192"/>
      <c r="Y449" s="192"/>
      <c r="Z449" s="192"/>
      <c r="AA449" s="192"/>
      <c r="AB449" s="192"/>
      <c r="AC449" s="192"/>
      <c r="AD449" s="309"/>
      <c r="AE449" s="309"/>
      <c r="AF449" s="309"/>
      <c r="AG449" s="309"/>
      <c r="AH449" s="309"/>
      <c r="AI449" s="309"/>
      <c r="AJ449" s="309"/>
      <c r="AK449" s="309"/>
      <c r="AL449" s="309"/>
      <c r="AM449" s="309"/>
      <c r="AN449" s="309"/>
      <c r="AO449" s="309"/>
      <c r="AP449" s="309"/>
      <c r="AQ449" s="309"/>
      <c r="AR449" s="309"/>
      <c r="AS449" s="308"/>
      <c r="AT449" s="309"/>
      <c r="AU449" s="309"/>
      <c r="AV449" s="309"/>
      <c r="AW449" s="309"/>
      <c r="AX449" s="309"/>
      <c r="AY449" s="309"/>
      <c r="AZ449" s="309"/>
      <c r="BA449" s="309"/>
      <c r="BB449" s="309"/>
      <c r="BC449" s="309"/>
      <c r="BD449" s="309"/>
    </row>
    <row r="450" spans="1:56" hidden="1" outlineLevel="1" x14ac:dyDescent="0.25">
      <c r="A450" s="288"/>
      <c r="B450" s="292"/>
      <c r="C450" s="192"/>
      <c r="D450" s="192"/>
      <c r="E450" s="192"/>
      <c r="F450" s="192"/>
      <c r="G450" s="192"/>
      <c r="H450" s="192"/>
      <c r="I450" s="192"/>
      <c r="J450" s="192"/>
      <c r="K450" s="192"/>
      <c r="L450" s="192"/>
      <c r="M450" s="192"/>
      <c r="N450" s="192"/>
      <c r="O450" s="192"/>
      <c r="P450" s="192"/>
      <c r="Q450" s="192"/>
      <c r="R450" s="308"/>
      <c r="S450" s="192"/>
      <c r="T450" s="192"/>
      <c r="U450" s="192"/>
      <c r="V450" s="192"/>
      <c r="W450" s="192"/>
      <c r="X450" s="192"/>
      <c r="Y450" s="192"/>
      <c r="Z450" s="192"/>
      <c r="AA450" s="192"/>
      <c r="AB450" s="192"/>
      <c r="AC450" s="192"/>
      <c r="AD450" s="309"/>
      <c r="AE450" s="309"/>
      <c r="AF450" s="309"/>
      <c r="AG450" s="309"/>
      <c r="AH450" s="309"/>
      <c r="AI450" s="309"/>
      <c r="AJ450" s="309"/>
      <c r="AK450" s="309"/>
      <c r="AL450" s="309"/>
      <c r="AM450" s="309"/>
      <c r="AN450" s="309"/>
      <c r="AO450" s="309"/>
      <c r="AP450" s="309"/>
      <c r="AQ450" s="309"/>
      <c r="AR450" s="309"/>
      <c r="AS450" s="308"/>
      <c r="AT450" s="309"/>
      <c r="AU450" s="309"/>
      <c r="AV450" s="309"/>
      <c r="AW450" s="309"/>
      <c r="AX450" s="309"/>
      <c r="AY450" s="309"/>
      <c r="AZ450" s="309"/>
      <c r="BA450" s="309"/>
      <c r="BB450" s="309"/>
      <c r="BC450" s="309"/>
      <c r="BD450" s="309"/>
    </row>
    <row r="451" spans="1:56" hidden="1" outlineLevel="1" x14ac:dyDescent="0.25">
      <c r="A451" s="288"/>
      <c r="B451" s="292"/>
      <c r="C451" s="192"/>
      <c r="D451" s="192"/>
      <c r="E451" s="192"/>
      <c r="F451" s="192"/>
      <c r="G451" s="192"/>
      <c r="H451" s="192"/>
      <c r="I451" s="192"/>
      <c r="J451" s="192"/>
      <c r="K451" s="192"/>
      <c r="L451" s="192"/>
      <c r="M451" s="192"/>
      <c r="N451" s="192"/>
      <c r="O451" s="192"/>
      <c r="P451" s="192"/>
      <c r="Q451" s="192"/>
      <c r="R451" s="308"/>
      <c r="S451" s="192"/>
      <c r="T451" s="192"/>
      <c r="U451" s="192"/>
      <c r="V451" s="192"/>
      <c r="W451" s="192"/>
      <c r="X451" s="192"/>
      <c r="Y451" s="192"/>
      <c r="Z451" s="192"/>
      <c r="AA451" s="192"/>
      <c r="AB451" s="192"/>
      <c r="AC451" s="192"/>
      <c r="AD451" s="309"/>
      <c r="AE451" s="309"/>
      <c r="AF451" s="309"/>
      <c r="AG451" s="309"/>
      <c r="AH451" s="309"/>
      <c r="AI451" s="309"/>
      <c r="AJ451" s="309"/>
      <c r="AK451" s="309"/>
      <c r="AL451" s="309"/>
      <c r="AM451" s="309"/>
      <c r="AN451" s="309"/>
      <c r="AO451" s="309"/>
      <c r="AP451" s="309"/>
      <c r="AQ451" s="309"/>
      <c r="AR451" s="309"/>
      <c r="AS451" s="308"/>
      <c r="AT451" s="309"/>
      <c r="AU451" s="309"/>
      <c r="AV451" s="309"/>
      <c r="AW451" s="309"/>
      <c r="AX451" s="309"/>
      <c r="AY451" s="309"/>
      <c r="AZ451" s="309"/>
      <c r="BA451" s="309"/>
      <c r="BB451" s="309"/>
      <c r="BC451" s="309"/>
      <c r="BD451" s="309"/>
    </row>
    <row r="452" spans="1:56" hidden="1" outlineLevel="1" x14ac:dyDescent="0.25">
      <c r="A452" s="288"/>
      <c r="B452" s="292"/>
      <c r="C452" s="192"/>
      <c r="D452" s="192"/>
      <c r="E452" s="192"/>
      <c r="F452" s="192"/>
      <c r="G452" s="192"/>
      <c r="H452" s="192"/>
      <c r="I452" s="192"/>
      <c r="J452" s="192"/>
      <c r="K452" s="192"/>
      <c r="L452" s="192"/>
      <c r="M452" s="192"/>
      <c r="N452" s="192"/>
      <c r="O452" s="192"/>
      <c r="P452" s="192"/>
      <c r="Q452" s="192"/>
      <c r="R452" s="308"/>
      <c r="S452" s="192"/>
      <c r="T452" s="192"/>
      <c r="U452" s="192"/>
      <c r="V452" s="192"/>
      <c r="W452" s="192"/>
      <c r="X452" s="192"/>
      <c r="Y452" s="192"/>
      <c r="Z452" s="192"/>
      <c r="AA452" s="192"/>
      <c r="AB452" s="192"/>
      <c r="AC452" s="192"/>
      <c r="AD452" s="309"/>
      <c r="AE452" s="309"/>
      <c r="AF452" s="309"/>
      <c r="AG452" s="309"/>
      <c r="AH452" s="309"/>
      <c r="AI452" s="309"/>
      <c r="AJ452" s="309"/>
      <c r="AK452" s="309"/>
      <c r="AL452" s="309"/>
      <c r="AM452" s="309"/>
      <c r="AN452" s="309"/>
      <c r="AO452" s="309"/>
      <c r="AP452" s="309"/>
      <c r="AQ452" s="309"/>
      <c r="AR452" s="309"/>
      <c r="AS452" s="308"/>
      <c r="AT452" s="309"/>
      <c r="AU452" s="309"/>
      <c r="AV452" s="309"/>
      <c r="AW452" s="309"/>
      <c r="AX452" s="309"/>
      <c r="AY452" s="309"/>
      <c r="AZ452" s="309"/>
      <c r="BA452" s="309"/>
      <c r="BB452" s="309"/>
      <c r="BC452" s="309"/>
      <c r="BD452" s="309"/>
    </row>
    <row r="453" spans="1:56" hidden="1" outlineLevel="1" x14ac:dyDescent="0.25">
      <c r="A453" s="288"/>
      <c r="B453" s="292"/>
      <c r="C453" s="192"/>
      <c r="D453" s="192"/>
      <c r="E453" s="192"/>
      <c r="F453" s="192"/>
      <c r="G453" s="192"/>
      <c r="H453" s="192"/>
      <c r="I453" s="192"/>
      <c r="J453" s="192"/>
      <c r="K453" s="192"/>
      <c r="L453" s="192"/>
      <c r="M453" s="192"/>
      <c r="N453" s="192"/>
      <c r="O453" s="192"/>
      <c r="P453" s="192"/>
      <c r="Q453" s="192"/>
      <c r="R453" s="308"/>
      <c r="S453" s="192"/>
      <c r="T453" s="192"/>
      <c r="U453" s="192"/>
      <c r="V453" s="192"/>
      <c r="W453" s="192"/>
      <c r="X453" s="192"/>
      <c r="Y453" s="192"/>
      <c r="Z453" s="192"/>
      <c r="AA453" s="192"/>
      <c r="AB453" s="192"/>
      <c r="AC453" s="192"/>
      <c r="AD453" s="309"/>
      <c r="AE453" s="309"/>
      <c r="AF453" s="309"/>
      <c r="AG453" s="309"/>
      <c r="AH453" s="309"/>
      <c r="AI453" s="309"/>
      <c r="AJ453" s="309"/>
      <c r="AK453" s="309"/>
      <c r="AL453" s="309"/>
      <c r="AM453" s="309"/>
      <c r="AN453" s="309"/>
      <c r="AO453" s="309"/>
      <c r="AP453" s="309"/>
      <c r="AQ453" s="309"/>
      <c r="AR453" s="309"/>
      <c r="AS453" s="308"/>
      <c r="AT453" s="309"/>
      <c r="AU453" s="309"/>
      <c r="AV453" s="309"/>
      <c r="AW453" s="309"/>
      <c r="AX453" s="309"/>
      <c r="AY453" s="309"/>
      <c r="AZ453" s="309"/>
      <c r="BA453" s="309"/>
      <c r="BB453" s="309"/>
      <c r="BC453" s="309"/>
      <c r="BD453" s="309"/>
    </row>
    <row r="454" spans="1:56" hidden="1" outlineLevel="1" x14ac:dyDescent="0.25">
      <c r="A454" s="288"/>
      <c r="B454" s="292"/>
      <c r="C454" s="192"/>
      <c r="D454" s="192"/>
      <c r="E454" s="192"/>
      <c r="F454" s="192"/>
      <c r="G454" s="192"/>
      <c r="H454" s="192"/>
      <c r="I454" s="192"/>
      <c r="J454" s="192"/>
      <c r="K454" s="192"/>
      <c r="L454" s="192"/>
      <c r="M454" s="192"/>
      <c r="N454" s="192"/>
      <c r="O454" s="192"/>
      <c r="P454" s="192"/>
      <c r="Q454" s="192"/>
      <c r="R454" s="308"/>
      <c r="S454" s="192"/>
      <c r="T454" s="192"/>
      <c r="U454" s="192"/>
      <c r="V454" s="192"/>
      <c r="W454" s="192"/>
      <c r="X454" s="192"/>
      <c r="Y454" s="192"/>
      <c r="Z454" s="192"/>
      <c r="AA454" s="192"/>
      <c r="AB454" s="192"/>
      <c r="AC454" s="192"/>
      <c r="AD454" s="309"/>
      <c r="AE454" s="309"/>
      <c r="AF454" s="309"/>
      <c r="AG454" s="309"/>
      <c r="AH454" s="309"/>
      <c r="AI454" s="309"/>
      <c r="AJ454" s="309"/>
      <c r="AK454" s="309"/>
      <c r="AL454" s="309"/>
      <c r="AM454" s="309"/>
      <c r="AN454" s="309"/>
      <c r="AO454" s="309"/>
      <c r="AP454" s="309"/>
      <c r="AQ454" s="309"/>
      <c r="AR454" s="309"/>
      <c r="AS454" s="308"/>
      <c r="AT454" s="309"/>
      <c r="AU454" s="309"/>
      <c r="AV454" s="309"/>
      <c r="AW454" s="309"/>
      <c r="AX454" s="309"/>
      <c r="AY454" s="309"/>
      <c r="AZ454" s="309"/>
      <c r="BA454" s="309"/>
      <c r="BB454" s="309"/>
      <c r="BC454" s="309"/>
      <c r="BD454" s="309"/>
    </row>
    <row r="455" spans="1:56" hidden="1" outlineLevel="1" x14ac:dyDescent="0.25">
      <c r="A455" s="288"/>
      <c r="B455" s="292"/>
      <c r="C455" s="192"/>
      <c r="D455" s="192"/>
      <c r="E455" s="192"/>
      <c r="F455" s="192"/>
      <c r="G455" s="192"/>
      <c r="H455" s="192"/>
      <c r="I455" s="192"/>
      <c r="J455" s="192"/>
      <c r="K455" s="192"/>
      <c r="L455" s="192"/>
      <c r="M455" s="192"/>
      <c r="N455" s="192"/>
      <c r="O455" s="192"/>
      <c r="P455" s="192"/>
      <c r="Q455" s="192"/>
      <c r="R455" s="308"/>
      <c r="S455" s="192"/>
      <c r="T455" s="192"/>
      <c r="U455" s="192"/>
      <c r="V455" s="192"/>
      <c r="W455" s="192"/>
      <c r="X455" s="192"/>
      <c r="Y455" s="192"/>
      <c r="Z455" s="192"/>
      <c r="AA455" s="192"/>
      <c r="AB455" s="192"/>
      <c r="AC455" s="192"/>
      <c r="AD455" s="309"/>
      <c r="AE455" s="309"/>
      <c r="AF455" s="309"/>
      <c r="AG455" s="309"/>
      <c r="AH455" s="309"/>
      <c r="AI455" s="309"/>
      <c r="AJ455" s="309"/>
      <c r="AK455" s="309"/>
      <c r="AL455" s="309"/>
      <c r="AM455" s="309"/>
      <c r="AN455" s="309"/>
      <c r="AO455" s="309"/>
      <c r="AP455" s="309"/>
      <c r="AQ455" s="309"/>
      <c r="AR455" s="309"/>
      <c r="AS455" s="308"/>
      <c r="AT455" s="309"/>
      <c r="AU455" s="309"/>
      <c r="AV455" s="309"/>
      <c r="AW455" s="309"/>
      <c r="AX455" s="309"/>
      <c r="AY455" s="309"/>
      <c r="AZ455" s="309"/>
      <c r="BA455" s="309"/>
      <c r="BB455" s="309"/>
      <c r="BC455" s="309"/>
      <c r="BD455" s="309"/>
    </row>
    <row r="456" spans="1:56" hidden="1" outlineLevel="1" x14ac:dyDescent="0.25">
      <c r="A456" s="288"/>
      <c r="B456" s="292"/>
      <c r="C456" s="192"/>
      <c r="D456" s="192"/>
      <c r="E456" s="192"/>
      <c r="F456" s="192"/>
      <c r="G456" s="192"/>
      <c r="H456" s="192"/>
      <c r="I456" s="192"/>
      <c r="J456" s="192"/>
      <c r="K456" s="192"/>
      <c r="L456" s="192"/>
      <c r="M456" s="192"/>
      <c r="N456" s="192"/>
      <c r="O456" s="192"/>
      <c r="P456" s="192"/>
      <c r="Q456" s="192"/>
      <c r="R456" s="308"/>
      <c r="S456" s="192"/>
      <c r="T456" s="192"/>
      <c r="U456" s="192"/>
      <c r="V456" s="192"/>
      <c r="W456" s="192"/>
      <c r="X456" s="192"/>
      <c r="Y456" s="192"/>
      <c r="Z456" s="192"/>
      <c r="AA456" s="192"/>
      <c r="AB456" s="192"/>
      <c r="AC456" s="192"/>
      <c r="AD456" s="309"/>
      <c r="AE456" s="309"/>
      <c r="AF456" s="309"/>
      <c r="AG456" s="309"/>
      <c r="AH456" s="309"/>
      <c r="AI456" s="309"/>
      <c r="AJ456" s="309"/>
      <c r="AK456" s="309"/>
      <c r="AL456" s="309"/>
      <c r="AM456" s="309"/>
      <c r="AN456" s="309"/>
      <c r="AO456" s="309"/>
      <c r="AP456" s="309"/>
      <c r="AQ456" s="309"/>
      <c r="AR456" s="309"/>
      <c r="AS456" s="308"/>
      <c r="AT456" s="309"/>
      <c r="AU456" s="309"/>
      <c r="AV456" s="309"/>
      <c r="AW456" s="309"/>
      <c r="AX456" s="309"/>
      <c r="AY456" s="309"/>
      <c r="AZ456" s="309"/>
      <c r="BA456" s="309"/>
      <c r="BB456" s="309"/>
      <c r="BC456" s="309"/>
      <c r="BD456" s="309"/>
    </row>
    <row r="457" spans="1:56" hidden="1" outlineLevel="1" x14ac:dyDescent="0.25">
      <c r="A457" s="288"/>
      <c r="B457" s="292"/>
      <c r="C457" s="192"/>
      <c r="D457" s="192"/>
      <c r="E457" s="192"/>
      <c r="F457" s="192"/>
      <c r="G457" s="192"/>
      <c r="H457" s="192"/>
      <c r="I457" s="192"/>
      <c r="J457" s="192"/>
      <c r="K457" s="192"/>
      <c r="L457" s="192"/>
      <c r="M457" s="192"/>
      <c r="N457" s="192"/>
      <c r="O457" s="192"/>
      <c r="P457" s="192"/>
      <c r="Q457" s="192"/>
      <c r="R457" s="308"/>
      <c r="S457" s="192"/>
      <c r="T457" s="192"/>
      <c r="U457" s="192"/>
      <c r="V457" s="192"/>
      <c r="W457" s="192"/>
      <c r="X457" s="192"/>
      <c r="Y457" s="192"/>
      <c r="Z457" s="192"/>
      <c r="AA457" s="192"/>
      <c r="AB457" s="192"/>
      <c r="AC457" s="192"/>
      <c r="AD457" s="309"/>
      <c r="AE457" s="309"/>
      <c r="AF457" s="309"/>
      <c r="AG457" s="309"/>
      <c r="AH457" s="309"/>
      <c r="AI457" s="309"/>
      <c r="AJ457" s="309"/>
      <c r="AK457" s="309"/>
      <c r="AL457" s="309"/>
      <c r="AM457" s="309"/>
      <c r="AN457" s="309"/>
      <c r="AO457" s="309"/>
      <c r="AP457" s="309"/>
      <c r="AQ457" s="309"/>
      <c r="AR457" s="309"/>
      <c r="AS457" s="308"/>
      <c r="AT457" s="309"/>
      <c r="AU457" s="309"/>
      <c r="AV457" s="309"/>
      <c r="AW457" s="309"/>
      <c r="AX457" s="309"/>
      <c r="AY457" s="309"/>
      <c r="AZ457" s="309"/>
      <c r="BA457" s="309"/>
      <c r="BB457" s="309"/>
      <c r="BC457" s="309"/>
      <c r="BD457" s="309"/>
    </row>
    <row r="458" spans="1:56" hidden="1" outlineLevel="1" x14ac:dyDescent="0.25">
      <c r="A458" s="288"/>
      <c r="B458" s="292"/>
      <c r="C458" s="192"/>
      <c r="D458" s="192"/>
      <c r="E458" s="192"/>
      <c r="F458" s="192"/>
      <c r="G458" s="192"/>
      <c r="H458" s="192"/>
      <c r="I458" s="192"/>
      <c r="J458" s="192"/>
      <c r="K458" s="192"/>
      <c r="L458" s="192"/>
      <c r="M458" s="192"/>
      <c r="N458" s="192"/>
      <c r="O458" s="192"/>
      <c r="P458" s="192"/>
      <c r="Q458" s="192"/>
      <c r="R458" s="308"/>
      <c r="S458" s="192"/>
      <c r="T458" s="192"/>
      <c r="U458" s="192"/>
      <c r="V458" s="192"/>
      <c r="W458" s="192"/>
      <c r="X458" s="192"/>
      <c r="Y458" s="192"/>
      <c r="Z458" s="192"/>
      <c r="AA458" s="192"/>
      <c r="AB458" s="192"/>
      <c r="AC458" s="192"/>
      <c r="AD458" s="309"/>
      <c r="AE458" s="309"/>
      <c r="AF458" s="309"/>
      <c r="AG458" s="309"/>
      <c r="AH458" s="309"/>
      <c r="AI458" s="309"/>
      <c r="AJ458" s="309"/>
      <c r="AK458" s="309"/>
      <c r="AL458" s="309"/>
      <c r="AM458" s="309"/>
      <c r="AN458" s="309"/>
      <c r="AO458" s="309"/>
      <c r="AP458" s="309"/>
      <c r="AQ458" s="309"/>
      <c r="AR458" s="309"/>
      <c r="AS458" s="308"/>
      <c r="AT458" s="309"/>
      <c r="AU458" s="309"/>
      <c r="AV458" s="309"/>
      <c r="AW458" s="309"/>
      <c r="AX458" s="309"/>
      <c r="AY458" s="309"/>
      <c r="AZ458" s="309"/>
      <c r="BA458" s="309"/>
      <c r="BB458" s="309"/>
      <c r="BC458" s="309"/>
      <c r="BD458" s="309"/>
    </row>
    <row r="459" spans="1:56" hidden="1" outlineLevel="1" x14ac:dyDescent="0.25">
      <c r="A459" s="288"/>
      <c r="B459" s="292"/>
      <c r="C459" s="192"/>
      <c r="D459" s="192"/>
      <c r="E459" s="192"/>
      <c r="F459" s="192"/>
      <c r="G459" s="192"/>
      <c r="H459" s="192"/>
      <c r="I459" s="192"/>
      <c r="J459" s="192"/>
      <c r="K459" s="192"/>
      <c r="L459" s="192"/>
      <c r="M459" s="192"/>
      <c r="N459" s="192"/>
      <c r="O459" s="192"/>
      <c r="P459" s="192"/>
      <c r="Q459" s="192"/>
      <c r="R459" s="308"/>
      <c r="S459" s="192"/>
      <c r="T459" s="192"/>
      <c r="U459" s="192"/>
      <c r="V459" s="192"/>
      <c r="W459" s="192"/>
      <c r="X459" s="192"/>
      <c r="Y459" s="192"/>
      <c r="Z459" s="192"/>
      <c r="AA459" s="192"/>
      <c r="AB459" s="192"/>
      <c r="AC459" s="192"/>
      <c r="AD459" s="309"/>
      <c r="AE459" s="309"/>
      <c r="AF459" s="309"/>
      <c r="AG459" s="309"/>
      <c r="AH459" s="309"/>
      <c r="AI459" s="309"/>
      <c r="AJ459" s="309"/>
      <c r="AK459" s="309"/>
      <c r="AL459" s="309"/>
      <c r="AM459" s="309"/>
      <c r="AN459" s="309"/>
      <c r="AO459" s="309"/>
      <c r="AP459" s="309"/>
      <c r="AQ459" s="309"/>
      <c r="AR459" s="309"/>
      <c r="AS459" s="308"/>
      <c r="AT459" s="309"/>
      <c r="AU459" s="309"/>
      <c r="AV459" s="309"/>
      <c r="AW459" s="309"/>
      <c r="AX459" s="309"/>
      <c r="AY459" s="309"/>
      <c r="AZ459" s="309"/>
      <c r="BA459" s="309"/>
      <c r="BB459" s="309"/>
      <c r="BC459" s="309"/>
      <c r="BD459" s="309"/>
    </row>
    <row r="460" spans="1:56" hidden="1" outlineLevel="1" x14ac:dyDescent="0.25">
      <c r="A460" s="288"/>
      <c r="B460" s="292"/>
      <c r="C460" s="192"/>
      <c r="D460" s="192"/>
      <c r="E460" s="192"/>
      <c r="F460" s="192"/>
      <c r="G460" s="192"/>
      <c r="H460" s="192"/>
      <c r="I460" s="192"/>
      <c r="J460" s="192"/>
      <c r="K460" s="192"/>
      <c r="L460" s="192"/>
      <c r="M460" s="192"/>
      <c r="N460" s="192"/>
      <c r="O460" s="192"/>
      <c r="P460" s="192"/>
      <c r="Q460" s="192"/>
      <c r="R460" s="308"/>
      <c r="S460" s="192"/>
      <c r="T460" s="192"/>
      <c r="U460" s="192"/>
      <c r="V460" s="192"/>
      <c r="W460" s="192"/>
      <c r="X460" s="192"/>
      <c r="Y460" s="192"/>
      <c r="Z460" s="192"/>
      <c r="AA460" s="192"/>
      <c r="AB460" s="192"/>
      <c r="AC460" s="192"/>
      <c r="AD460" s="309"/>
      <c r="AE460" s="309"/>
      <c r="AF460" s="309"/>
      <c r="AG460" s="309"/>
      <c r="AH460" s="309"/>
      <c r="AI460" s="309"/>
      <c r="AJ460" s="309"/>
      <c r="AK460" s="309"/>
      <c r="AL460" s="309"/>
      <c r="AM460" s="309"/>
      <c r="AN460" s="309"/>
      <c r="AO460" s="309"/>
      <c r="AP460" s="309"/>
      <c r="AQ460" s="309"/>
      <c r="AR460" s="309"/>
      <c r="AS460" s="308"/>
      <c r="AT460" s="309"/>
      <c r="AU460" s="309"/>
      <c r="AV460" s="309"/>
      <c r="AW460" s="309"/>
      <c r="AX460" s="309"/>
      <c r="AY460" s="309"/>
      <c r="AZ460" s="309"/>
      <c r="BA460" s="309"/>
      <c r="BB460" s="309"/>
      <c r="BC460" s="309"/>
      <c r="BD460" s="309"/>
    </row>
    <row r="461" spans="1:56" hidden="1" outlineLevel="1" x14ac:dyDescent="0.25">
      <c r="A461" s="288"/>
      <c r="B461" s="292"/>
      <c r="C461" s="192"/>
      <c r="D461" s="192"/>
      <c r="E461" s="192"/>
      <c r="F461" s="192"/>
      <c r="G461" s="192"/>
      <c r="H461" s="192"/>
      <c r="I461" s="192"/>
      <c r="J461" s="192"/>
      <c r="K461" s="192"/>
      <c r="L461" s="192"/>
      <c r="M461" s="192"/>
      <c r="N461" s="192"/>
      <c r="O461" s="192"/>
      <c r="P461" s="192"/>
      <c r="Q461" s="192"/>
      <c r="R461" s="308"/>
      <c r="S461" s="192"/>
      <c r="T461" s="192"/>
      <c r="U461" s="192"/>
      <c r="V461" s="192"/>
      <c r="W461" s="192"/>
      <c r="X461" s="192"/>
      <c r="Y461" s="192"/>
      <c r="Z461" s="192"/>
      <c r="AA461" s="192"/>
      <c r="AB461" s="192"/>
      <c r="AC461" s="192"/>
      <c r="AD461" s="309"/>
      <c r="AE461" s="309"/>
      <c r="AF461" s="309"/>
      <c r="AG461" s="309"/>
      <c r="AH461" s="309"/>
      <c r="AI461" s="309"/>
      <c r="AJ461" s="309"/>
      <c r="AK461" s="309"/>
      <c r="AL461" s="309"/>
      <c r="AM461" s="309"/>
      <c r="AN461" s="309"/>
      <c r="AO461" s="309"/>
      <c r="AP461" s="309"/>
      <c r="AQ461" s="309"/>
      <c r="AR461" s="309"/>
      <c r="AS461" s="308"/>
      <c r="AT461" s="309"/>
      <c r="AU461" s="309"/>
      <c r="AV461" s="309"/>
      <c r="AW461" s="309"/>
      <c r="AX461" s="309"/>
      <c r="AY461" s="309"/>
      <c r="AZ461" s="309"/>
      <c r="BA461" s="309"/>
      <c r="BB461" s="309"/>
      <c r="BC461" s="309"/>
      <c r="BD461" s="309"/>
    </row>
    <row r="462" spans="1:56" hidden="1" outlineLevel="1" x14ac:dyDescent="0.25">
      <c r="A462" s="288"/>
      <c r="B462" s="293"/>
      <c r="C462" s="193"/>
      <c r="D462" s="193"/>
      <c r="E462" s="193"/>
      <c r="F462" s="193"/>
      <c r="G462" s="192"/>
      <c r="H462" s="192"/>
      <c r="I462" s="192"/>
      <c r="J462" s="192"/>
      <c r="K462" s="192"/>
      <c r="L462" s="192"/>
      <c r="M462" s="192"/>
      <c r="N462" s="192"/>
      <c r="O462" s="192"/>
      <c r="P462" s="192"/>
      <c r="Q462" s="192"/>
      <c r="R462" s="308"/>
      <c r="S462" s="192"/>
      <c r="T462" s="192"/>
      <c r="U462" s="192"/>
      <c r="V462" s="192"/>
      <c r="W462" s="192"/>
      <c r="X462" s="192"/>
      <c r="Y462" s="192"/>
      <c r="Z462" s="192"/>
      <c r="AA462" s="192"/>
      <c r="AB462" s="192"/>
      <c r="AC462" s="192"/>
      <c r="AD462" s="311"/>
      <c r="AE462" s="311"/>
      <c r="AF462" s="311"/>
      <c r="AG462" s="311"/>
      <c r="AH462" s="309"/>
      <c r="AI462" s="309"/>
      <c r="AJ462" s="309"/>
      <c r="AK462" s="309"/>
      <c r="AL462" s="309"/>
      <c r="AM462" s="309"/>
      <c r="AN462" s="309"/>
      <c r="AO462" s="309"/>
      <c r="AP462" s="309"/>
      <c r="AQ462" s="309"/>
      <c r="AR462" s="309"/>
      <c r="AS462" s="308"/>
      <c r="AT462" s="309"/>
      <c r="AU462" s="309"/>
      <c r="AV462" s="309"/>
      <c r="AW462" s="309"/>
      <c r="AX462" s="309"/>
      <c r="AY462" s="309"/>
      <c r="AZ462" s="309"/>
      <c r="BA462" s="309"/>
      <c r="BB462" s="309"/>
      <c r="BC462" s="309"/>
      <c r="BD462" s="309"/>
    </row>
    <row r="463" spans="1:56" hidden="1" outlineLevel="1" x14ac:dyDescent="0.25">
      <c r="A463" s="288"/>
      <c r="B463" s="293"/>
      <c r="C463" s="193"/>
      <c r="D463" s="193"/>
      <c r="E463" s="193"/>
      <c r="F463" s="193"/>
      <c r="G463" s="192"/>
      <c r="H463" s="192"/>
      <c r="I463" s="192"/>
      <c r="J463" s="192"/>
      <c r="K463" s="192"/>
      <c r="L463" s="192"/>
      <c r="M463" s="192"/>
      <c r="N463" s="192"/>
      <c r="O463" s="192"/>
      <c r="P463" s="192"/>
      <c r="Q463" s="192"/>
      <c r="R463" s="308"/>
      <c r="S463" s="192"/>
      <c r="T463" s="192"/>
      <c r="U463" s="192"/>
      <c r="V463" s="192"/>
      <c r="W463" s="192"/>
      <c r="X463" s="192"/>
      <c r="Y463" s="192"/>
      <c r="Z463" s="192"/>
      <c r="AA463" s="192"/>
      <c r="AB463" s="192"/>
      <c r="AC463" s="192"/>
      <c r="AD463" s="311"/>
      <c r="AE463" s="311"/>
      <c r="AF463" s="311"/>
      <c r="AG463" s="311"/>
      <c r="AH463" s="309"/>
      <c r="AI463" s="309"/>
      <c r="AJ463" s="309"/>
      <c r="AK463" s="309"/>
      <c r="AL463" s="309"/>
      <c r="AM463" s="309"/>
      <c r="AN463" s="309"/>
      <c r="AO463" s="309"/>
      <c r="AP463" s="309"/>
      <c r="AQ463" s="309"/>
      <c r="AR463" s="309"/>
      <c r="AS463" s="308"/>
      <c r="AT463" s="309"/>
      <c r="AU463" s="309"/>
      <c r="AV463" s="309"/>
      <c r="AW463" s="309"/>
      <c r="AX463" s="309"/>
      <c r="AY463" s="309"/>
      <c r="AZ463" s="309"/>
      <c r="BA463" s="309"/>
      <c r="BB463" s="309"/>
      <c r="BC463" s="309"/>
      <c r="BD463" s="309"/>
    </row>
    <row r="464" spans="1:56" hidden="1" outlineLevel="1" x14ac:dyDescent="0.25">
      <c r="A464" s="288"/>
      <c r="B464" s="293"/>
      <c r="C464" s="193"/>
      <c r="D464" s="193"/>
      <c r="E464" s="193"/>
      <c r="F464" s="193"/>
      <c r="G464" s="192"/>
      <c r="H464" s="192"/>
      <c r="I464" s="192"/>
      <c r="J464" s="192"/>
      <c r="K464" s="192"/>
      <c r="L464" s="192"/>
      <c r="M464" s="192"/>
      <c r="N464" s="192"/>
      <c r="O464" s="192"/>
      <c r="P464" s="192"/>
      <c r="Q464" s="192"/>
      <c r="R464" s="308"/>
      <c r="S464" s="192"/>
      <c r="T464" s="192"/>
      <c r="U464" s="192"/>
      <c r="V464" s="192"/>
      <c r="W464" s="192"/>
      <c r="X464" s="192"/>
      <c r="Y464" s="192"/>
      <c r="Z464" s="192"/>
      <c r="AA464" s="192"/>
      <c r="AB464" s="192"/>
      <c r="AC464" s="192"/>
      <c r="AD464" s="311"/>
      <c r="AE464" s="311"/>
      <c r="AF464" s="311"/>
      <c r="AG464" s="311"/>
      <c r="AH464" s="309"/>
      <c r="AI464" s="309"/>
      <c r="AJ464" s="309"/>
      <c r="AK464" s="309"/>
      <c r="AL464" s="309"/>
      <c r="AM464" s="309"/>
      <c r="AN464" s="309"/>
      <c r="AO464" s="309"/>
      <c r="AP464" s="309"/>
      <c r="AQ464" s="309"/>
      <c r="AR464" s="309"/>
      <c r="AS464" s="308"/>
      <c r="AT464" s="309"/>
      <c r="AU464" s="309"/>
      <c r="AV464" s="309"/>
      <c r="AW464" s="309"/>
      <c r="AX464" s="309"/>
      <c r="AY464" s="309"/>
      <c r="AZ464" s="309"/>
      <c r="BA464" s="309"/>
      <c r="BB464" s="309"/>
      <c r="BC464" s="309"/>
      <c r="BD464" s="309"/>
    </row>
    <row r="465" spans="1:56" hidden="1" outlineLevel="1" x14ac:dyDescent="0.25">
      <c r="A465" s="288"/>
      <c r="B465" s="293"/>
      <c r="C465" s="193"/>
      <c r="D465" s="193"/>
      <c r="E465" s="193"/>
      <c r="F465" s="193"/>
      <c r="G465" s="192"/>
      <c r="H465" s="192"/>
      <c r="I465" s="192"/>
      <c r="J465" s="192"/>
      <c r="K465" s="192"/>
      <c r="L465" s="192"/>
      <c r="M465" s="192"/>
      <c r="N465" s="192"/>
      <c r="O465" s="192"/>
      <c r="P465" s="192"/>
      <c r="Q465" s="192"/>
      <c r="R465" s="308"/>
      <c r="S465" s="192"/>
      <c r="T465" s="192"/>
      <c r="U465" s="192"/>
      <c r="V465" s="192"/>
      <c r="W465" s="192"/>
      <c r="X465" s="192"/>
      <c r="Y465" s="192"/>
      <c r="Z465" s="192"/>
      <c r="AA465" s="192"/>
      <c r="AB465" s="192"/>
      <c r="AC465" s="192"/>
      <c r="AD465" s="311"/>
      <c r="AE465" s="311"/>
      <c r="AF465" s="311"/>
      <c r="AG465" s="311"/>
      <c r="AH465" s="309"/>
      <c r="AI465" s="309"/>
      <c r="AJ465" s="309"/>
      <c r="AK465" s="309"/>
      <c r="AL465" s="309"/>
      <c r="AM465" s="309"/>
      <c r="AN465" s="309"/>
      <c r="AO465" s="309"/>
      <c r="AP465" s="309"/>
      <c r="AQ465" s="309"/>
      <c r="AR465" s="309"/>
      <c r="AS465" s="308"/>
      <c r="AT465" s="309"/>
      <c r="AU465" s="309"/>
      <c r="AV465" s="309"/>
      <c r="AW465" s="309"/>
      <c r="AX465" s="309"/>
      <c r="AY465" s="309"/>
      <c r="AZ465" s="309"/>
      <c r="BA465" s="309"/>
      <c r="BB465" s="309"/>
      <c r="BC465" s="309"/>
      <c r="BD465" s="309"/>
    </row>
    <row r="466" spans="1:56" hidden="1" outlineLevel="1" x14ac:dyDescent="0.25">
      <c r="A466" s="288"/>
      <c r="B466" s="294"/>
      <c r="C466" s="193"/>
      <c r="D466" s="193"/>
      <c r="E466" s="193"/>
      <c r="F466" s="193"/>
      <c r="G466" s="192"/>
      <c r="H466" s="192"/>
      <c r="I466" s="192"/>
      <c r="J466" s="192"/>
      <c r="K466" s="192"/>
      <c r="L466" s="192"/>
      <c r="M466" s="192"/>
      <c r="N466" s="192"/>
      <c r="O466" s="192"/>
      <c r="P466" s="192"/>
      <c r="Q466" s="192"/>
      <c r="R466" s="308"/>
      <c r="S466" s="192"/>
      <c r="T466" s="192"/>
      <c r="U466" s="192"/>
      <c r="V466" s="192"/>
      <c r="W466" s="192"/>
      <c r="X466" s="192"/>
      <c r="Y466" s="192"/>
      <c r="Z466" s="192"/>
      <c r="AA466" s="192"/>
      <c r="AB466" s="192"/>
      <c r="AC466" s="192"/>
      <c r="AD466" s="311"/>
      <c r="AE466" s="311"/>
      <c r="AF466" s="311"/>
      <c r="AG466" s="311"/>
      <c r="AH466" s="309"/>
      <c r="AI466" s="309"/>
      <c r="AJ466" s="309"/>
      <c r="AK466" s="309"/>
      <c r="AL466" s="309"/>
      <c r="AM466" s="309"/>
      <c r="AN466" s="309"/>
      <c r="AO466" s="309"/>
      <c r="AP466" s="309"/>
      <c r="AQ466" s="309"/>
      <c r="AR466" s="309"/>
      <c r="AS466" s="308"/>
      <c r="AT466" s="309"/>
      <c r="AU466" s="309"/>
      <c r="AV466" s="309"/>
      <c r="AW466" s="309"/>
      <c r="AX466" s="309"/>
      <c r="AY466" s="309"/>
      <c r="AZ466" s="309"/>
      <c r="BA466" s="309"/>
      <c r="BB466" s="309"/>
      <c r="BC466" s="309"/>
      <c r="BD466" s="309"/>
    </row>
    <row r="467" spans="1:56" hidden="1" outlineLevel="1" x14ac:dyDescent="0.25">
      <c r="A467" s="288"/>
      <c r="B467" s="294"/>
      <c r="C467" s="193"/>
      <c r="D467" s="193"/>
      <c r="E467" s="193"/>
      <c r="F467" s="193"/>
      <c r="G467" s="192"/>
      <c r="H467" s="192"/>
      <c r="I467" s="192"/>
      <c r="J467" s="192"/>
      <c r="K467" s="192"/>
      <c r="L467" s="192"/>
      <c r="M467" s="192"/>
      <c r="N467" s="192"/>
      <c r="O467" s="192"/>
      <c r="P467" s="192"/>
      <c r="Q467" s="192"/>
      <c r="R467" s="308"/>
      <c r="S467" s="192"/>
      <c r="T467" s="192"/>
      <c r="U467" s="192"/>
      <c r="V467" s="192"/>
      <c r="W467" s="192"/>
      <c r="X467" s="192"/>
      <c r="Y467" s="192"/>
      <c r="Z467" s="192"/>
      <c r="AA467" s="192"/>
      <c r="AB467" s="192"/>
      <c r="AC467" s="192"/>
      <c r="AD467" s="311"/>
      <c r="AE467" s="311"/>
      <c r="AF467" s="311"/>
      <c r="AG467" s="311"/>
      <c r="AH467" s="309"/>
      <c r="AI467" s="309"/>
      <c r="AJ467" s="309"/>
      <c r="AK467" s="309"/>
      <c r="AL467" s="309"/>
      <c r="AM467" s="309"/>
      <c r="AN467" s="309"/>
      <c r="AO467" s="309"/>
      <c r="AP467" s="309"/>
      <c r="AQ467" s="309"/>
      <c r="AR467" s="309"/>
      <c r="AS467" s="308"/>
      <c r="AT467" s="309"/>
      <c r="AU467" s="309"/>
      <c r="AV467" s="309"/>
      <c r="AW467" s="309"/>
      <c r="AX467" s="309"/>
      <c r="AY467" s="309"/>
      <c r="AZ467" s="309"/>
      <c r="BA467" s="309"/>
      <c r="BB467" s="309"/>
      <c r="BC467" s="309"/>
      <c r="BD467" s="309"/>
    </row>
    <row r="468" spans="1:56" hidden="1" outlineLevel="1" x14ac:dyDescent="0.25">
      <c r="A468" s="288"/>
      <c r="B468" s="294"/>
      <c r="C468" s="193"/>
      <c r="D468" s="193"/>
      <c r="E468" s="193"/>
      <c r="F468" s="193"/>
      <c r="G468" s="192"/>
      <c r="H468" s="192"/>
      <c r="I468" s="192"/>
      <c r="J468" s="192"/>
      <c r="K468" s="192"/>
      <c r="L468" s="192"/>
      <c r="M468" s="192"/>
      <c r="N468" s="192"/>
      <c r="O468" s="192"/>
      <c r="P468" s="192"/>
      <c r="Q468" s="192"/>
      <c r="R468" s="308"/>
      <c r="S468" s="192"/>
      <c r="T468" s="192"/>
      <c r="U468" s="192"/>
      <c r="V468" s="192"/>
      <c r="W468" s="192"/>
      <c r="X468" s="192"/>
      <c r="Y468" s="192"/>
      <c r="Z468" s="192"/>
      <c r="AA468" s="192"/>
      <c r="AB468" s="192"/>
      <c r="AC468" s="192"/>
      <c r="AD468" s="311"/>
      <c r="AE468" s="311"/>
      <c r="AF468" s="311"/>
      <c r="AG468" s="311"/>
      <c r="AH468" s="309"/>
      <c r="AI468" s="309"/>
      <c r="AJ468" s="309"/>
      <c r="AK468" s="309"/>
      <c r="AL468" s="309"/>
      <c r="AM468" s="309"/>
      <c r="AN468" s="309"/>
      <c r="AO468" s="309"/>
      <c r="AP468" s="309"/>
      <c r="AQ468" s="309"/>
      <c r="AR468" s="309"/>
      <c r="AS468" s="308"/>
      <c r="AT468" s="309"/>
      <c r="AU468" s="309"/>
      <c r="AV468" s="309"/>
      <c r="AW468" s="309"/>
      <c r="AX468" s="309"/>
      <c r="AY468" s="309"/>
      <c r="AZ468" s="309"/>
      <c r="BA468" s="309"/>
      <c r="BB468" s="309"/>
      <c r="BC468" s="309"/>
      <c r="BD468" s="309"/>
    </row>
    <row r="469" spans="1:56" hidden="1" outlineLevel="1" x14ac:dyDescent="0.25">
      <c r="A469" s="288"/>
      <c r="B469" s="294"/>
      <c r="C469" s="193"/>
      <c r="D469" s="193"/>
      <c r="E469" s="193"/>
      <c r="F469" s="193"/>
      <c r="G469" s="192"/>
      <c r="H469" s="192"/>
      <c r="I469" s="192"/>
      <c r="J469" s="192"/>
      <c r="K469" s="192"/>
      <c r="L469" s="192"/>
      <c r="M469" s="192"/>
      <c r="N469" s="192"/>
      <c r="O469" s="192"/>
      <c r="P469" s="192"/>
      <c r="Q469" s="192"/>
      <c r="R469" s="308"/>
      <c r="S469" s="192"/>
      <c r="T469" s="192"/>
      <c r="U469" s="192"/>
      <c r="V469" s="192"/>
      <c r="W469" s="192"/>
      <c r="X469" s="192"/>
      <c r="Y469" s="192"/>
      <c r="Z469" s="192"/>
      <c r="AA469" s="192"/>
      <c r="AB469" s="192"/>
      <c r="AC469" s="192"/>
      <c r="AD469" s="311"/>
      <c r="AE469" s="311"/>
      <c r="AF469" s="311"/>
      <c r="AG469" s="311"/>
      <c r="AH469" s="309"/>
      <c r="AI469" s="309"/>
      <c r="AJ469" s="309"/>
      <c r="AK469" s="309"/>
      <c r="AL469" s="309"/>
      <c r="AM469" s="309"/>
      <c r="AN469" s="309"/>
      <c r="AO469" s="309"/>
      <c r="AP469" s="309"/>
      <c r="AQ469" s="309"/>
      <c r="AR469" s="309"/>
      <c r="AS469" s="308"/>
      <c r="AT469" s="309"/>
      <c r="AU469" s="309"/>
      <c r="AV469" s="309"/>
      <c r="AW469" s="309"/>
      <c r="AX469" s="309"/>
      <c r="AY469" s="309"/>
      <c r="AZ469" s="309"/>
      <c r="BA469" s="309"/>
      <c r="BB469" s="309"/>
      <c r="BC469" s="309"/>
      <c r="BD469" s="309"/>
    </row>
    <row r="470" spans="1:56" hidden="1" outlineLevel="1" collapsed="1" x14ac:dyDescent="0.25">
      <c r="A470" s="295"/>
      <c r="B470" s="295"/>
      <c r="C470" s="194"/>
      <c r="D470" s="194"/>
      <c r="E470" s="194"/>
      <c r="F470" s="194"/>
      <c r="G470" s="194"/>
      <c r="H470" s="194"/>
      <c r="I470" s="194"/>
      <c r="J470" s="194"/>
      <c r="K470" s="194"/>
      <c r="L470" s="194"/>
      <c r="M470" s="194"/>
      <c r="N470" s="194"/>
      <c r="O470" s="194"/>
      <c r="P470" s="194"/>
      <c r="Q470" s="194"/>
      <c r="R470" s="312"/>
      <c r="S470" s="194"/>
      <c r="T470" s="194"/>
      <c r="U470" s="194"/>
      <c r="V470" s="194"/>
      <c r="W470" s="194"/>
      <c r="X470" s="194"/>
      <c r="Y470" s="194"/>
      <c r="Z470" s="194"/>
      <c r="AA470" s="194"/>
      <c r="AB470" s="194"/>
      <c r="AC470" s="194"/>
      <c r="AD470" s="313"/>
      <c r="AE470" s="313"/>
      <c r="AF470" s="313"/>
      <c r="AG470" s="313"/>
      <c r="AH470" s="313"/>
      <c r="AI470" s="313"/>
      <c r="AJ470" s="313"/>
      <c r="AK470" s="313"/>
      <c r="AL470" s="313"/>
      <c r="AM470" s="313"/>
      <c r="AN470" s="313"/>
      <c r="AO470" s="313"/>
      <c r="AP470" s="313"/>
      <c r="AQ470" s="313"/>
      <c r="AR470" s="313"/>
      <c r="AS470" s="312"/>
      <c r="AT470" s="313"/>
      <c r="AU470" s="313"/>
      <c r="AV470" s="313"/>
      <c r="AW470" s="313"/>
      <c r="AX470" s="313"/>
      <c r="AY470" s="313"/>
      <c r="AZ470" s="313"/>
      <c r="BA470" s="313"/>
      <c r="BB470" s="313"/>
      <c r="BC470" s="313"/>
      <c r="BD470" s="313"/>
    </row>
    <row r="471" spans="1:56" hidden="1" outlineLevel="1" x14ac:dyDescent="0.25">
      <c r="A471" s="295"/>
      <c r="B471" s="295"/>
      <c r="C471" s="194"/>
      <c r="D471" s="194"/>
      <c r="E471" s="194"/>
      <c r="F471" s="194"/>
      <c r="G471" s="194"/>
      <c r="H471" s="194"/>
      <c r="I471" s="194"/>
      <c r="J471" s="194"/>
      <c r="K471" s="194"/>
      <c r="L471" s="194"/>
      <c r="M471" s="194"/>
      <c r="N471" s="194"/>
      <c r="O471" s="194"/>
      <c r="P471" s="194"/>
      <c r="Q471" s="194"/>
      <c r="R471" s="312"/>
      <c r="S471" s="194"/>
      <c r="T471" s="194"/>
      <c r="U471" s="194"/>
      <c r="V471" s="194"/>
      <c r="W471" s="194"/>
      <c r="X471" s="194"/>
      <c r="Y471" s="194"/>
      <c r="Z471" s="194"/>
      <c r="AA471" s="194"/>
      <c r="AB471" s="194"/>
      <c r="AC471" s="194"/>
      <c r="AD471" s="313"/>
      <c r="AE471" s="313"/>
      <c r="AF471" s="313"/>
      <c r="AG471" s="313"/>
      <c r="AH471" s="313"/>
      <c r="AI471" s="313"/>
      <c r="AJ471" s="313"/>
      <c r="AK471" s="313"/>
      <c r="AL471" s="313"/>
      <c r="AM471" s="313"/>
      <c r="AN471" s="313"/>
      <c r="AO471" s="313"/>
      <c r="AP471" s="313"/>
      <c r="AQ471" s="313"/>
      <c r="AR471" s="313"/>
      <c r="AS471" s="312"/>
      <c r="AT471" s="313"/>
      <c r="AU471" s="313"/>
      <c r="AV471" s="313"/>
      <c r="AW471" s="313"/>
      <c r="AX471" s="313"/>
      <c r="AY471" s="313"/>
      <c r="AZ471" s="313"/>
      <c r="BA471" s="313"/>
      <c r="BB471" s="313"/>
      <c r="BC471" s="313"/>
      <c r="BD471" s="313"/>
    </row>
    <row r="472" spans="1:56" hidden="1" outlineLevel="1" x14ac:dyDescent="0.25">
      <c r="A472" s="295"/>
      <c r="B472" s="295"/>
      <c r="C472" s="194"/>
      <c r="D472" s="194"/>
      <c r="E472" s="194"/>
      <c r="F472" s="194"/>
      <c r="G472" s="194"/>
      <c r="H472" s="194"/>
      <c r="I472" s="194"/>
      <c r="J472" s="194"/>
      <c r="K472" s="194"/>
      <c r="L472" s="194"/>
      <c r="M472" s="194"/>
      <c r="N472" s="194"/>
      <c r="O472" s="194"/>
      <c r="P472" s="194"/>
      <c r="Q472" s="194"/>
      <c r="R472" s="312"/>
      <c r="S472" s="194"/>
      <c r="T472" s="194"/>
      <c r="U472" s="194"/>
      <c r="V472" s="194"/>
      <c r="W472" s="194"/>
      <c r="X472" s="194"/>
      <c r="Y472" s="194"/>
      <c r="Z472" s="194"/>
      <c r="AA472" s="194"/>
      <c r="AB472" s="194"/>
      <c r="AC472" s="194"/>
      <c r="AD472" s="313"/>
      <c r="AE472" s="313"/>
      <c r="AF472" s="313"/>
      <c r="AG472" s="313"/>
      <c r="AH472" s="313"/>
      <c r="AI472" s="313"/>
      <c r="AJ472" s="313"/>
      <c r="AK472" s="313"/>
      <c r="AL472" s="313"/>
      <c r="AM472" s="313"/>
      <c r="AN472" s="313"/>
      <c r="AO472" s="313"/>
      <c r="AP472" s="313"/>
      <c r="AQ472" s="313"/>
      <c r="AR472" s="313"/>
      <c r="AS472" s="312"/>
      <c r="AT472" s="313"/>
      <c r="AU472" s="313"/>
      <c r="AV472" s="313"/>
      <c r="AW472" s="313"/>
      <c r="AX472" s="313"/>
      <c r="AY472" s="313"/>
      <c r="AZ472" s="313"/>
      <c r="BA472" s="313"/>
      <c r="BB472" s="313"/>
      <c r="BC472" s="313"/>
      <c r="BD472" s="313"/>
    </row>
    <row r="473" spans="1:56" hidden="1" outlineLevel="1" x14ac:dyDescent="0.25">
      <c r="A473" s="295"/>
      <c r="B473" s="295"/>
      <c r="C473" s="194"/>
      <c r="D473" s="194"/>
      <c r="E473" s="194"/>
      <c r="F473" s="194"/>
      <c r="G473" s="194"/>
      <c r="H473" s="194"/>
      <c r="I473" s="194"/>
      <c r="J473" s="194"/>
      <c r="K473" s="194"/>
      <c r="L473" s="194"/>
      <c r="M473" s="194"/>
      <c r="N473" s="194"/>
      <c r="O473" s="194"/>
      <c r="P473" s="194"/>
      <c r="Q473" s="194"/>
      <c r="R473" s="312"/>
      <c r="S473" s="194"/>
      <c r="T473" s="194"/>
      <c r="U473" s="194"/>
      <c r="V473" s="194"/>
      <c r="W473" s="194"/>
      <c r="X473" s="194"/>
      <c r="Y473" s="194"/>
      <c r="Z473" s="194"/>
      <c r="AA473" s="194"/>
      <c r="AB473" s="194"/>
      <c r="AC473" s="194"/>
      <c r="AD473" s="313"/>
      <c r="AE473" s="313"/>
      <c r="AF473" s="313"/>
      <c r="AG473" s="313"/>
      <c r="AH473" s="313"/>
      <c r="AI473" s="313"/>
      <c r="AJ473" s="313"/>
      <c r="AK473" s="313"/>
      <c r="AL473" s="313"/>
      <c r="AM473" s="313"/>
      <c r="AN473" s="313"/>
      <c r="AO473" s="313"/>
      <c r="AP473" s="313"/>
      <c r="AQ473" s="313"/>
      <c r="AR473" s="313"/>
      <c r="AS473" s="312"/>
      <c r="AT473" s="313"/>
      <c r="AU473" s="313"/>
      <c r="AV473" s="313"/>
      <c r="AW473" s="313"/>
      <c r="AX473" s="313"/>
      <c r="AY473" s="313"/>
      <c r="AZ473" s="313"/>
      <c r="BA473" s="313"/>
      <c r="BB473" s="313"/>
      <c r="BC473" s="313"/>
      <c r="BD473" s="313"/>
    </row>
    <row r="474" spans="1:56" hidden="1" outlineLevel="1" x14ac:dyDescent="0.25">
      <c r="A474" s="295"/>
      <c r="B474" s="295"/>
      <c r="C474" s="194"/>
      <c r="D474" s="194"/>
      <c r="E474" s="194"/>
      <c r="F474" s="194"/>
      <c r="G474" s="194"/>
      <c r="H474" s="194"/>
      <c r="I474" s="194"/>
      <c r="J474" s="194"/>
      <c r="K474" s="194"/>
      <c r="L474" s="194"/>
      <c r="M474" s="194"/>
      <c r="N474" s="194"/>
      <c r="O474" s="194"/>
      <c r="P474" s="194"/>
      <c r="Q474" s="194"/>
      <c r="R474" s="312"/>
      <c r="S474" s="194"/>
      <c r="T474" s="194"/>
      <c r="U474" s="194"/>
      <c r="V474" s="194"/>
      <c r="W474" s="194"/>
      <c r="X474" s="194"/>
      <c r="Y474" s="194"/>
      <c r="Z474" s="194"/>
      <c r="AA474" s="194"/>
      <c r="AB474" s="194"/>
      <c r="AC474" s="194"/>
      <c r="AD474" s="313"/>
      <c r="AE474" s="313"/>
      <c r="AF474" s="313"/>
      <c r="AG474" s="313"/>
      <c r="AH474" s="313"/>
      <c r="AI474" s="313"/>
      <c r="AJ474" s="313"/>
      <c r="AK474" s="313"/>
      <c r="AL474" s="313"/>
      <c r="AM474" s="313"/>
      <c r="AN474" s="313"/>
      <c r="AO474" s="313"/>
      <c r="AP474" s="313"/>
      <c r="AQ474" s="313"/>
      <c r="AR474" s="313"/>
      <c r="AS474" s="312"/>
      <c r="AT474" s="313"/>
      <c r="AU474" s="313"/>
      <c r="AV474" s="313"/>
      <c r="AW474" s="313"/>
      <c r="AX474" s="313"/>
      <c r="AY474" s="313"/>
      <c r="AZ474" s="313"/>
      <c r="BA474" s="313"/>
      <c r="BB474" s="313"/>
      <c r="BC474" s="313"/>
      <c r="BD474" s="313"/>
    </row>
    <row r="475" spans="1:56" hidden="1" outlineLevel="1" x14ac:dyDescent="0.25">
      <c r="A475" s="295"/>
      <c r="B475" s="295"/>
      <c r="C475" s="194"/>
      <c r="D475" s="194"/>
      <c r="E475" s="194"/>
      <c r="F475" s="194"/>
      <c r="G475" s="194"/>
      <c r="H475" s="194"/>
      <c r="I475" s="194"/>
      <c r="J475" s="194"/>
      <c r="K475" s="194"/>
      <c r="L475" s="194"/>
      <c r="M475" s="194"/>
      <c r="N475" s="194"/>
      <c r="O475" s="194"/>
      <c r="P475" s="194"/>
      <c r="Q475" s="194"/>
      <c r="R475" s="312"/>
      <c r="S475" s="194"/>
      <c r="T475" s="194"/>
      <c r="U475" s="194"/>
      <c r="V475" s="194"/>
      <c r="W475" s="194"/>
      <c r="X475" s="194"/>
      <c r="Y475" s="194"/>
      <c r="Z475" s="194"/>
      <c r="AA475" s="194"/>
      <c r="AB475" s="194"/>
      <c r="AC475" s="194"/>
      <c r="AD475" s="313"/>
      <c r="AE475" s="313"/>
      <c r="AF475" s="313"/>
      <c r="AG475" s="313"/>
      <c r="AH475" s="313"/>
      <c r="AI475" s="313"/>
      <c r="AJ475" s="313"/>
      <c r="AK475" s="313"/>
      <c r="AL475" s="313"/>
      <c r="AM475" s="313"/>
      <c r="AN475" s="313"/>
      <c r="AO475" s="313"/>
      <c r="AP475" s="313"/>
      <c r="AQ475" s="313"/>
      <c r="AR475" s="313"/>
      <c r="AS475" s="312"/>
      <c r="AT475" s="313"/>
      <c r="AU475" s="313"/>
      <c r="AV475" s="313"/>
      <c r="AW475" s="313"/>
      <c r="AX475" s="313"/>
      <c r="AY475" s="313"/>
      <c r="AZ475" s="313"/>
      <c r="BA475" s="313"/>
      <c r="BB475" s="313"/>
      <c r="BC475" s="313"/>
      <c r="BD475" s="313"/>
    </row>
    <row r="476" spans="1:56" hidden="1" outlineLevel="1" x14ac:dyDescent="0.25">
      <c r="A476" s="288" t="str">
        <f>'[2]Raw Milk Prices'!A476</f>
        <v>2016m01</v>
      </c>
      <c r="B476" s="296" t="e">
        <f>MATCH(DATE(LEFT('[2]Raw Milk Prices'!$A476,4),RIGHT('[2]Raw Milk Prices'!$A476,2),1),[1]Pivot!$A$1:$A$65000,0)</f>
        <v>#N/A</v>
      </c>
      <c r="C476" s="194">
        <f>IFERROR(IF(INDEX([1]Pivot!$AD$1:$BE$65000,$B476,C$5)=1,1,IF(AND(C475&gt;=1,C475&lt;=9,ROW()&lt;=cur_line),C475+1,0)),0)</f>
        <v>0</v>
      </c>
      <c r="D476" s="194">
        <f>IFERROR(IF(INDEX([1]Pivot!$AD$1:$BE$65000,$B476,D$5)=1,1,IF(AND(D475&gt;=1,D475&lt;=9,ROW()&lt;=cur_line),D475+1,0)),0)</f>
        <v>0</v>
      </c>
      <c r="E476" s="194">
        <f>IFERROR(IF(INDEX([1]Pivot!$AD$1:$BE$65000,$B476,E$5)=1,1,IF(AND(E475&gt;=1,E475&lt;=9,ROW()&lt;=cur_line),E475+1,0)),0)</f>
        <v>0</v>
      </c>
      <c r="F476" s="194">
        <f>IFERROR(IF(INDEX([1]Pivot!$AD$1:$BE$65000,$B476,F$5)=1,1,IF(AND(F475&gt;=1,F475&lt;=9,ROW()&lt;=cur_line),F475+1,0)),0)</f>
        <v>0</v>
      </c>
      <c r="G476" s="194">
        <f>IFERROR(IF(INDEX([1]Pivot!$AD$1:$BE$65000,$B476,G$5)=1,1,IF(AND(G475&gt;=1,G475&lt;=9,ROW()&lt;=cur_line),G475+1,0)),0)</f>
        <v>0</v>
      </c>
      <c r="H476" s="194">
        <f>IFERROR(IF(INDEX([1]Pivot!$AD$1:$BE$65000,$B476,H$5)=1,1,IF(AND(H475&gt;=1,H475&lt;=9,ROW()&lt;=cur_line),H475+1,0)),0)</f>
        <v>0</v>
      </c>
      <c r="I476" s="195">
        <f>IFERROR(IF(INDEX([1]Pivot!$AD$1:$BE$65000,$B476,I$5)=1,1,IF(AND(I475&gt;=1,I475&lt;=9,ROW()&lt;=cur_line),I475+1,0)),0)</f>
        <v>0</v>
      </c>
      <c r="J476" s="194">
        <f>IFERROR(IF(INDEX([1]Pivot!$AD$1:$BE$65000,$B476,J$5)=1,1,IF(AND(J475&gt;=1,J475&lt;=9,ROW()&lt;=cur_line),J475+1,0)),0)</f>
        <v>0</v>
      </c>
      <c r="K476" s="194">
        <f>IFERROR(IF(INDEX([1]Pivot!$AD$1:$BE$65000,$B476,K$5)=1,1,IF(AND(K475&gt;=1,K475&lt;=9,ROW()&lt;=cur_line),K475+1,0)),0)</f>
        <v>0</v>
      </c>
      <c r="L476" s="194">
        <f>IFERROR(IF(INDEX([1]Pivot!$AD$1:$BE$65000,$B476,L$5)=1,1,IF(AND(L475&gt;=1,L475&lt;=9,ROW()&lt;=cur_line),L475+1,0)),0)</f>
        <v>0</v>
      </c>
      <c r="M476" s="194">
        <f>IFERROR(IF(INDEX([1]Pivot!$AD$1:$BE$65000,$B476,M$5)=1,1,IF(AND(M475&gt;=1,M475&lt;=9,ROW()&lt;=cur_line),M475+1,0)),0)</f>
        <v>0</v>
      </c>
      <c r="N476" s="194">
        <f>IFERROR(IF(INDEX([1]Pivot!$AD$1:$BE$65000,$B476,N$5)=1,1,IF(AND(N475&gt;=1,N475&lt;=9,ROW()&lt;=cur_line),N475+1,0)),0)</f>
        <v>0</v>
      </c>
      <c r="O476" s="194">
        <f>IFERROR(IF(INDEX([1]Pivot!$AD$1:$BE$65000,$B476,O$5)=1,1,IF(AND(O475&gt;=1,O475&lt;=9,ROW()&lt;=cur_line),O475+1,0)),0)</f>
        <v>0</v>
      </c>
      <c r="P476" s="194">
        <f>IFERROR(IF(INDEX([1]Pivot!$AD$1:$BE$65000,$B476,P$5)=1,1,IF(AND(P475&gt;=1,P475&lt;=9,ROW()&lt;=cur_line),P475+1,0)),0)</f>
        <v>0</v>
      </c>
      <c r="Q476" s="194">
        <f>IFERROR(IF(INDEX([1]Pivot!$AD$1:$BE$65000,$B476,Q$5)=1,1,IF(AND(Q475&gt;=1,Q475&lt;=9,ROW()&lt;=cur_line),Q475+1,0)),0)</f>
        <v>0</v>
      </c>
      <c r="R476" s="312"/>
      <c r="S476" s="194">
        <f>IFERROR(IF(INDEX([1]Pivot!$AD$1:$BE$65000,$B476,S$5)=1,1,IF(AND(S475&gt;=1,S475&lt;=9,ROW()&lt;=cur_line),S475+1,0)),0)</f>
        <v>0</v>
      </c>
      <c r="T476" s="194">
        <f>IFERROR(IF(INDEX([1]Pivot!$AD$1:$BE$65000,$B476,T$5)=1,1,IF(AND(T475&gt;=1,T475&lt;=9,ROW()&lt;=cur_line),T475+1,0)),0)</f>
        <v>0</v>
      </c>
      <c r="U476" s="194">
        <f>IFERROR(IF(INDEX([1]Pivot!$AD$1:$BE$65000,$B476,U$5)=1,1,IF(AND(U475&gt;=1,U475&lt;=9,ROW()&lt;=cur_line),U475+1,0)),0)</f>
        <v>0</v>
      </c>
      <c r="V476" s="194">
        <f>IFERROR(IF(INDEX([1]Pivot!$AD$1:$BE$65000,$B476,V$5)=1,1,IF(AND(V475&gt;=1,V475&lt;=9,ROW()&lt;=cur_line),V475+1,0)),0)</f>
        <v>0</v>
      </c>
      <c r="W476" s="194">
        <f>IFERROR(IF(INDEX([1]Pivot!$AD$1:$BE$65000,$B476,W$5)=1,1,IF(AND(W475&gt;=1,W475&lt;=9,ROW()&lt;=cur_line),W475+1,0)),0)</f>
        <v>0</v>
      </c>
      <c r="X476" s="194">
        <f>IFERROR(IF(INDEX([1]Pivot!$AD$1:$BE$65000,$B476,X$5)=1,1,IF(AND(X475&gt;=1,X475&lt;=9,ROW()&lt;=cur_line),X475+1,0)),0)</f>
        <v>0</v>
      </c>
      <c r="Y476" s="194">
        <f>IFERROR(IF(INDEX([1]Pivot!$AD$1:$BE$65000,$B476,Y$5)=1,1,IF(AND(Y475&gt;=1,Y475&lt;=9,ROW()&lt;=cur_line),Y475+1,0)),0)</f>
        <v>0</v>
      </c>
      <c r="Z476" s="194">
        <f>IFERROR(IF(INDEX([1]Pivot!$AD$1:$BE$65000,$B476,Z$5)=1,1,IF(AND(Z475&gt;=1,Z475&lt;=9,ROW()&lt;=cur_line),Z475+1,0)),0)</f>
        <v>0</v>
      </c>
      <c r="AA476" s="194">
        <f>IFERROR(IF(INDEX([1]Pivot!$AD$1:$BE$65000,$B476,AA$5)=1,1,IF(AND(AA475&gt;=1,AA475&lt;=9,ROW()&lt;=cur_line),AA475+1,0)),0)</f>
        <v>0</v>
      </c>
      <c r="AB476" s="194">
        <f>IFERROR(IF(INDEX([1]Pivot!$AD$1:$BE$65000,$B476,AB$5)=1,1,IF(AND(AB475&gt;=1,AB475&lt;=9,ROW()&lt;=cur_line),AB475+1,0)),0)</f>
        <v>0</v>
      </c>
      <c r="AC476" s="194">
        <f>IFERROR(IF(INDEX([1]Pivot!$AD$1:$BE$65000,$B476,AC$5)=1,1,IF(AND(AC475&gt;=1,AC475&lt;=9,ROW()&lt;=cur_line),AC475+1,0)),0)</f>
        <v>0</v>
      </c>
      <c r="AD476" s="313">
        <f>IFERROR(IF(INDEX([1]Pivot!$BF$1:$CG$65000,$B476,AD$5)=1,1,IF(AND(AD475&gt;=1,AD475&lt;=9,ROW()&lt;=cur_line),AD475+1,0)),0)</f>
        <v>0</v>
      </c>
      <c r="AE476" s="313">
        <f>IFERROR(IF(INDEX([1]Pivot!$BF$1:$CG$65000,$B476,AE$5)=1,1,IF(AND(AE475&gt;=1,AE475&lt;=9,ROW()&lt;=cur_line),AE475+1,0)),0)</f>
        <v>0</v>
      </c>
      <c r="AF476" s="313">
        <f>IFERROR(IF(INDEX([1]Pivot!$BF$1:$CG$65000,$B476,AF$5)=1,1,IF(AND(AF475&gt;=1,AF475&lt;=9,ROW()&lt;=cur_line),AF475+1,0)),0)</f>
        <v>0</v>
      </c>
      <c r="AG476" s="313">
        <f>IFERROR(IF(INDEX([1]Pivot!$BF$1:$CG$65000,$B476,AG$5)=1,1,IF(AND(AG475&gt;=1,AG475&lt;=9,ROW()&lt;=cur_line),AG475+1,0)),0)</f>
        <v>0</v>
      </c>
      <c r="AH476" s="313">
        <f>IFERROR(IF(INDEX([1]Pivot!$BF$1:$CG$65000,$B476,AH$5)=1,1,IF(AND(AH475&gt;=1,AH475&lt;=9,ROW()&lt;=cur_line),AH475+1,0)),0)</f>
        <v>0</v>
      </c>
      <c r="AI476" s="313">
        <f>IFERROR(IF(INDEX([1]Pivot!$BF$1:$CG$65000,$B476,AI$5)=1,1,IF(AND(AI475&gt;=1,AI475&lt;=9,ROW()&lt;=cur_line),AI475+1,0)),0)</f>
        <v>0</v>
      </c>
      <c r="AJ476" s="313">
        <f>IFERROR(IF(INDEX([1]Pivot!$BF$1:$CG$65000,$B476,AJ$5)=1,1,IF(AND(AJ475&gt;=1,AJ475&lt;=9,ROW()&lt;=cur_line),AJ475+1,0)),0)</f>
        <v>0</v>
      </c>
      <c r="AK476" s="313">
        <f>IFERROR(IF(INDEX([1]Pivot!$BF$1:$CG$65000,$B476,AK$5)=1,1,IF(AND(AK475&gt;=1,AK475&lt;=9,ROW()&lt;=cur_line),AK475+1,0)),0)</f>
        <v>0</v>
      </c>
      <c r="AL476" s="313">
        <f>IFERROR(IF(INDEX([1]Pivot!$BF$1:$CG$65000,$B476,AL$5)=1,1,IF(AND(AL475&gt;=1,AL475&lt;=9,ROW()&lt;=cur_line),AL475+1,0)),0)</f>
        <v>0</v>
      </c>
      <c r="AM476" s="313">
        <f>IFERROR(IF(INDEX([1]Pivot!$BF$1:$CG$65000,$B476,AM$5)=1,1,IF(AND(AM475&gt;=1,AM475&lt;=9,ROW()&lt;=cur_line),AM475+1,0)),0)</f>
        <v>0</v>
      </c>
      <c r="AN476" s="313">
        <f>IFERROR(IF(INDEX([1]Pivot!$BF$1:$CG$65000,$B476,AN$5)=1,1,IF(AND(AN475&gt;=1,AN475&lt;=9,ROW()&lt;=cur_line),AN475+1,0)),0)</f>
        <v>0</v>
      </c>
      <c r="AO476" s="313">
        <f>IFERROR(IF(INDEX([1]Pivot!$BF$1:$CG$65000,$B476,AO$5)=1,1,IF(AND(AO475&gt;=1,AO475&lt;=9,ROW()&lt;=cur_line),AO475+1,0)),0)</f>
        <v>0</v>
      </c>
      <c r="AP476" s="313">
        <f>IFERROR(IF(INDEX([1]Pivot!$BF$1:$CG$65000,$B476,AP$5)=1,1,IF(AND(AP475&gt;=1,AP475&lt;=9,ROW()&lt;=cur_line),AP475+1,0)),0)</f>
        <v>0</v>
      </c>
      <c r="AQ476" s="313">
        <f>IFERROR(IF(INDEX([1]Pivot!$BF$1:$CG$65000,$B476,AQ$5)=1,1,IF(AND(AQ475&gt;=1,AQ475&lt;=9,ROW()&lt;=cur_line),AQ475+1,0)),0)</f>
        <v>0</v>
      </c>
      <c r="AR476" s="313">
        <f>IFERROR(IF(INDEX([1]Pivot!$BF$1:$CG$65000,$B476,AR$5)=1,1,IF(AND(AR475&gt;=1,AR475&lt;=9,ROW()&lt;=cur_line),AR475+1,0)),0)</f>
        <v>0</v>
      </c>
      <c r="AS476" s="312"/>
      <c r="AT476" s="313">
        <f>IFERROR(IF(INDEX([1]Pivot!$BF$1:$CG$65000,$B476,AT$5)=1,1,IF(AND(AT475&gt;=1,AT475&lt;=9,ROW()&lt;=cur_line),AT475+1,0)),0)</f>
        <v>0</v>
      </c>
      <c r="AU476" s="313">
        <f>IFERROR(IF(INDEX([1]Pivot!$BF$1:$CG$65000,$B476,AU$5)=1,1,IF(AND(AU475&gt;=1,AU475&lt;=9,ROW()&lt;=cur_line),AU475+1,0)),0)</f>
        <v>0</v>
      </c>
      <c r="AV476" s="313">
        <f>IFERROR(IF(INDEX([1]Pivot!$BF$1:$CG$65000,$B476,AV$5)=1,1,IF(AND(AV475&gt;=1,AV475&lt;=9,ROW()&lt;=cur_line),AV475+1,0)),0)</f>
        <v>0</v>
      </c>
      <c r="AW476" s="313">
        <f>IFERROR(IF(INDEX([1]Pivot!$BF$1:$CG$65000,$B476,AW$5)=1,1,IF(AND(AW475&gt;=1,AW475&lt;=9,ROW()&lt;=cur_line),AW475+1,0)),0)</f>
        <v>0</v>
      </c>
      <c r="AX476" s="313">
        <f>IFERROR(IF(INDEX([1]Pivot!$BF$1:$CG$65000,$B476,AX$5)=1,1,IF(AND(AX475&gt;=1,AX475&lt;=9,ROW()&lt;=cur_line),AX475+1,0)),0)</f>
        <v>0</v>
      </c>
      <c r="AY476" s="313">
        <f>IFERROR(IF(INDEX([1]Pivot!$BF$1:$CG$65000,$B476,AY$5)=1,1,IF(AND(AY475&gt;=1,AY475&lt;=9,ROW()&lt;=cur_line),AY475+1,0)),0)</f>
        <v>0</v>
      </c>
      <c r="AZ476" s="313">
        <f>IFERROR(IF(INDEX([1]Pivot!$BF$1:$CG$65000,$B476,AZ$5)=1,1,IF(AND(AZ475&gt;=1,AZ475&lt;=9,ROW()&lt;=cur_line),AZ475+1,0)),0)</f>
        <v>0</v>
      </c>
      <c r="BA476" s="313">
        <f>IFERROR(IF(INDEX([1]Pivot!$BF$1:$CG$65000,$B476,BA$5)=1,1,IF(AND(BA475&gt;=1,BA475&lt;=9,ROW()&lt;=cur_line),BA475+1,0)),0)</f>
        <v>0</v>
      </c>
      <c r="BB476" s="313">
        <f>IFERROR(IF(INDEX([1]Pivot!$BF$1:$CG$65000,$B476,BB$5)=1,1,IF(AND(BB475&gt;=1,BB475&lt;=9,ROW()&lt;=cur_line),BB475+1,0)),0)</f>
        <v>0</v>
      </c>
      <c r="BC476" s="313">
        <f>IFERROR(IF(INDEX([1]Pivot!$BF$1:$CG$65000,$B476,BC$5)=1,1,IF(AND(BC475&gt;=1,BC475&lt;=9,ROW()&lt;=cur_line),BC475+1,0)),0)</f>
        <v>0</v>
      </c>
      <c r="BD476" s="313">
        <f>IFERROR(IF(INDEX([1]Pivot!$BF$1:$CG$65000,$B476,BD$5)=1,1,IF(AND(BD475&gt;=1,BD475&lt;=9,ROW()&lt;=cur_line),BD475+1,0)),0)</f>
        <v>0</v>
      </c>
    </row>
    <row r="477" spans="1:56" hidden="1" outlineLevel="1" x14ac:dyDescent="0.25">
      <c r="A477" s="288" t="str">
        <f>'[2]Raw Milk Prices'!A477</f>
        <v>2016m02</v>
      </c>
      <c r="B477" s="296" t="e">
        <f>MATCH(DATE(LEFT('[2]Raw Milk Prices'!$A477,4),RIGHT('[2]Raw Milk Prices'!$A477,2),1),[1]Pivot!$A$1:$A$65000,0)</f>
        <v>#N/A</v>
      </c>
      <c r="C477" s="194">
        <f>IFERROR(IF(INDEX([1]Pivot!$AD$1:$BE$65000,$B477,C$5)=1,1,IF(AND(C476&gt;=1,C476&lt;=9,ROW()&lt;=cur_line),C476+1,0)),0)</f>
        <v>0</v>
      </c>
      <c r="D477" s="194">
        <f>IFERROR(IF(INDEX([1]Pivot!$AD$1:$BE$65000,$B477,D$5)=1,1,IF(AND(D476&gt;=1,D476&lt;=9,ROW()&lt;=cur_line),D476+1,0)),0)</f>
        <v>0</v>
      </c>
      <c r="E477" s="194">
        <f>IFERROR(IF(INDEX([1]Pivot!$AD$1:$BE$65000,$B477,E$5)=1,1,IF(AND(E476&gt;=1,E476&lt;=9,ROW()&lt;=cur_line),E476+1,0)),0)</f>
        <v>0</v>
      </c>
      <c r="F477" s="194">
        <f>IFERROR(IF(INDEX([1]Pivot!$AD$1:$BE$65000,$B477,F$5)=1,1,IF(AND(F476&gt;=1,F476&lt;=9,ROW()&lt;=cur_line),F476+1,0)),0)</f>
        <v>0</v>
      </c>
      <c r="G477" s="194">
        <f>IFERROR(IF(INDEX([1]Pivot!$AD$1:$BE$65000,$B477,G$5)=1,1,IF(AND(G476&gt;=1,G476&lt;=9,ROW()&lt;=cur_line),G476+1,0)),0)</f>
        <v>0</v>
      </c>
      <c r="H477" s="194">
        <f>IFERROR(IF(INDEX([1]Pivot!$AD$1:$BE$65000,$B477,H$5)=1,1,IF(AND(H476&gt;=1,H476&lt;=9,ROW()&lt;=cur_line),H476+1,0)),0)</f>
        <v>0</v>
      </c>
      <c r="I477" s="194">
        <f>IFERROR(IF(INDEX([1]Pivot!$AD$1:$BE$65000,$B477,I$5)=1,1,IF(AND(I476&gt;=1,I476&lt;=9,ROW()&lt;=cur_line),I476+1,0)),0)</f>
        <v>0</v>
      </c>
      <c r="J477" s="194">
        <f>IFERROR(IF(INDEX([1]Pivot!$AD$1:$BE$65000,$B477,J$5)=1,1,IF(AND(J476&gt;=1,J476&lt;=9,ROW()&lt;=cur_line),J476+1,0)),0)</f>
        <v>0</v>
      </c>
      <c r="K477" s="194">
        <f>IFERROR(IF(INDEX([1]Pivot!$AD$1:$BE$65000,$B477,K$5)=1,1,IF(AND(K476&gt;=1,K476&lt;=9,ROW()&lt;=cur_line),K476+1,0)),0)</f>
        <v>0</v>
      </c>
      <c r="L477" s="194">
        <f>IFERROR(IF(INDEX([1]Pivot!$AD$1:$BE$65000,$B477,L$5)=1,1,IF(AND(L476&gt;=1,L476&lt;=9,ROW()&lt;=cur_line),L476+1,0)),0)</f>
        <v>0</v>
      </c>
      <c r="M477" s="194">
        <f>IFERROR(IF(INDEX([1]Pivot!$AD$1:$BE$65000,$B477,M$5)=1,1,IF(AND(M476&gt;=1,M476&lt;=9,ROW()&lt;=cur_line),M476+1,0)),0)</f>
        <v>0</v>
      </c>
      <c r="N477" s="194">
        <f>IFERROR(IF(INDEX([1]Pivot!$AD$1:$BE$65000,$B477,N$5)=1,1,IF(AND(N476&gt;=1,N476&lt;=9,ROW()&lt;=cur_line),N476+1,0)),0)</f>
        <v>0</v>
      </c>
      <c r="O477" s="194">
        <f>IFERROR(IF(INDEX([1]Pivot!$AD$1:$BE$65000,$B477,O$5)=1,1,IF(AND(O476&gt;=1,O476&lt;=9,ROW()&lt;=cur_line),O476+1,0)),0)</f>
        <v>0</v>
      </c>
      <c r="P477" s="194">
        <f>IFERROR(IF(INDEX([1]Pivot!$AD$1:$BE$65000,$B477,P$5)=1,1,IF(AND(P476&gt;=1,P476&lt;=9,ROW()&lt;=cur_line),P476+1,0)),0)</f>
        <v>0</v>
      </c>
      <c r="Q477" s="194">
        <f>IFERROR(IF(INDEX([1]Pivot!$AD$1:$BE$65000,$B477,Q$5)=1,1,IF(AND(Q476&gt;=1,Q476&lt;=9,ROW()&lt;=cur_line),Q476+1,0)),0)</f>
        <v>0</v>
      </c>
      <c r="R477" s="312"/>
      <c r="S477" s="194">
        <f>IFERROR(IF(INDEX([1]Pivot!$AD$1:$BE$65000,$B477,S$5)=1,1,IF(AND(S476&gt;=1,S476&lt;=9,ROW()&lt;=cur_line),S476+1,0)),0)</f>
        <v>0</v>
      </c>
      <c r="T477" s="194">
        <f>IFERROR(IF(INDEX([1]Pivot!$AD$1:$BE$65000,$B477,T$5)=1,1,IF(AND(T476&gt;=1,T476&lt;=9,ROW()&lt;=cur_line),T476+1,0)),0)</f>
        <v>0</v>
      </c>
      <c r="U477" s="194">
        <f>IFERROR(IF(INDEX([1]Pivot!$AD$1:$BE$65000,$B477,U$5)=1,1,IF(AND(U476&gt;=1,U476&lt;=9,ROW()&lt;=cur_line),U476+1,0)),0)</f>
        <v>0</v>
      </c>
      <c r="V477" s="194">
        <f>IFERROR(IF(INDEX([1]Pivot!$AD$1:$BE$65000,$B477,V$5)=1,1,IF(AND(V476&gt;=1,V476&lt;=9,ROW()&lt;=cur_line),V476+1,0)),0)</f>
        <v>0</v>
      </c>
      <c r="W477" s="194">
        <f>IFERROR(IF(INDEX([1]Pivot!$AD$1:$BE$65000,$B477,W$5)=1,1,IF(AND(W476&gt;=1,W476&lt;=9,ROW()&lt;=cur_line),W476+1,0)),0)</f>
        <v>0</v>
      </c>
      <c r="X477" s="194">
        <f>IFERROR(IF(INDEX([1]Pivot!$AD$1:$BE$65000,$B477,X$5)=1,1,IF(AND(X476&gt;=1,X476&lt;=9,ROW()&lt;=cur_line),X476+1,0)),0)</f>
        <v>0</v>
      </c>
      <c r="Y477" s="194">
        <f>IFERROR(IF(INDEX([1]Pivot!$AD$1:$BE$65000,$B477,Y$5)=1,1,IF(AND(Y476&gt;=1,Y476&lt;=9,ROW()&lt;=cur_line),Y476+1,0)),0)</f>
        <v>0</v>
      </c>
      <c r="Z477" s="194">
        <f>IFERROR(IF(INDEX([1]Pivot!$AD$1:$BE$65000,$B477,Z$5)=1,1,IF(AND(Z476&gt;=1,Z476&lt;=9,ROW()&lt;=cur_line),Z476+1,0)),0)</f>
        <v>0</v>
      </c>
      <c r="AA477" s="194">
        <f>IFERROR(IF(INDEX([1]Pivot!$AD$1:$BE$65000,$B477,AA$5)=1,1,IF(AND(AA476&gt;=1,AA476&lt;=9,ROW()&lt;=cur_line),AA476+1,0)),0)</f>
        <v>0</v>
      </c>
      <c r="AB477" s="194">
        <f>IFERROR(IF(INDEX([1]Pivot!$AD$1:$BE$65000,$B477,AB$5)=1,1,IF(AND(AB476&gt;=1,AB476&lt;=9,ROW()&lt;=cur_line),AB476+1,0)),0)</f>
        <v>0</v>
      </c>
      <c r="AC477" s="194">
        <f>IFERROR(IF(INDEX([1]Pivot!$AD$1:$BE$65000,$B477,AC$5)=1,1,IF(AND(AC476&gt;=1,AC476&lt;=9,ROW()&lt;=cur_line),AC476+1,0)),0)</f>
        <v>0</v>
      </c>
      <c r="AD477" s="313">
        <f>IFERROR(IF(INDEX([1]Pivot!$BF$1:$CG$65000,$B477,AD$5)=1,1,IF(AND(AD476&gt;=1,AD476&lt;=9,ROW()&lt;=cur_line),AD476+1,0)),0)</f>
        <v>0</v>
      </c>
      <c r="AE477" s="313">
        <f>IFERROR(IF(INDEX([1]Pivot!$BF$1:$CG$65000,$B477,AE$5)=1,1,IF(AND(AE476&gt;=1,AE476&lt;=9,ROW()&lt;=cur_line),AE476+1,0)),0)</f>
        <v>0</v>
      </c>
      <c r="AF477" s="313">
        <f>IFERROR(IF(INDEX([1]Pivot!$BF$1:$CG$65000,$B477,AF$5)=1,1,IF(AND(AF476&gt;=1,AF476&lt;=9,ROW()&lt;=cur_line),AF476+1,0)),0)</f>
        <v>0</v>
      </c>
      <c r="AG477" s="313">
        <f>IFERROR(IF(INDEX([1]Pivot!$BF$1:$CG$65000,$B477,AG$5)=1,1,IF(AND(AG476&gt;=1,AG476&lt;=9,ROW()&lt;=cur_line),AG476+1,0)),0)</f>
        <v>0</v>
      </c>
      <c r="AH477" s="313">
        <f>IFERROR(IF(INDEX([1]Pivot!$BF$1:$CG$65000,$B477,AH$5)=1,1,IF(AND(AH476&gt;=1,AH476&lt;=9,ROW()&lt;=cur_line),AH476+1,0)),0)</f>
        <v>0</v>
      </c>
      <c r="AI477" s="313">
        <f>IFERROR(IF(INDEX([1]Pivot!$BF$1:$CG$65000,$B477,AI$5)=1,1,IF(AND(AI476&gt;=1,AI476&lt;=9,ROW()&lt;=cur_line),AI476+1,0)),0)</f>
        <v>0</v>
      </c>
      <c r="AJ477" s="313">
        <f>IFERROR(IF(INDEX([1]Pivot!$BF$1:$CG$65000,$B477,AJ$5)=1,1,IF(AND(AJ476&gt;=1,AJ476&lt;=9,ROW()&lt;=cur_line),AJ476+1,0)),0)</f>
        <v>0</v>
      </c>
      <c r="AK477" s="313">
        <f>IFERROR(IF(INDEX([1]Pivot!$BF$1:$CG$65000,$B477,AK$5)=1,1,IF(AND(AK476&gt;=1,AK476&lt;=9,ROW()&lt;=cur_line),AK476+1,0)),0)</f>
        <v>0</v>
      </c>
      <c r="AL477" s="313">
        <f>IFERROR(IF(INDEX([1]Pivot!$BF$1:$CG$65000,$B477,AL$5)=1,1,IF(AND(AL476&gt;=1,AL476&lt;=9,ROW()&lt;=cur_line),AL476+1,0)),0)</f>
        <v>0</v>
      </c>
      <c r="AM477" s="313">
        <f>IFERROR(IF(INDEX([1]Pivot!$BF$1:$CG$65000,$B477,AM$5)=1,1,IF(AND(AM476&gt;=1,AM476&lt;=9,ROW()&lt;=cur_line),AM476+1,0)),0)</f>
        <v>0</v>
      </c>
      <c r="AN477" s="313">
        <f>IFERROR(IF(INDEX([1]Pivot!$BF$1:$CG$65000,$B477,AN$5)=1,1,IF(AND(AN476&gt;=1,AN476&lt;=9,ROW()&lt;=cur_line),AN476+1,0)),0)</f>
        <v>0</v>
      </c>
      <c r="AO477" s="313">
        <f>IFERROR(IF(INDEX([1]Pivot!$BF$1:$CG$65000,$B477,AO$5)=1,1,IF(AND(AO476&gt;=1,AO476&lt;=9,ROW()&lt;=cur_line),AO476+1,0)),0)</f>
        <v>0</v>
      </c>
      <c r="AP477" s="313">
        <f>IFERROR(IF(INDEX([1]Pivot!$BF$1:$CG$65000,$B477,AP$5)=1,1,IF(AND(AP476&gt;=1,AP476&lt;=9,ROW()&lt;=cur_line),AP476+1,0)),0)</f>
        <v>0</v>
      </c>
      <c r="AQ477" s="313">
        <f>IFERROR(IF(INDEX([1]Pivot!$BF$1:$CG$65000,$B477,AQ$5)=1,1,IF(AND(AQ476&gt;=1,AQ476&lt;=9,ROW()&lt;=cur_line),AQ476+1,0)),0)</f>
        <v>0</v>
      </c>
      <c r="AR477" s="313">
        <f>IFERROR(IF(INDEX([1]Pivot!$BF$1:$CG$65000,$B477,AR$5)=1,1,IF(AND(AR476&gt;=1,AR476&lt;=9,ROW()&lt;=cur_line),AR476+1,0)),0)</f>
        <v>0</v>
      </c>
      <c r="AS477" s="312"/>
      <c r="AT477" s="313">
        <f>IFERROR(IF(INDEX([1]Pivot!$BF$1:$CG$65000,$B477,AT$5)=1,1,IF(AND(AT476&gt;=1,AT476&lt;=9,ROW()&lt;=cur_line),AT476+1,0)),0)</f>
        <v>0</v>
      </c>
      <c r="AU477" s="313">
        <f>IFERROR(IF(INDEX([1]Pivot!$BF$1:$CG$65000,$B477,AU$5)=1,1,IF(AND(AU476&gt;=1,AU476&lt;=9,ROW()&lt;=cur_line),AU476+1,0)),0)</f>
        <v>0</v>
      </c>
      <c r="AV477" s="313">
        <f>IFERROR(IF(INDEX([1]Pivot!$BF$1:$CG$65000,$B477,AV$5)=1,1,IF(AND(AV476&gt;=1,AV476&lt;=9,ROW()&lt;=cur_line),AV476+1,0)),0)</f>
        <v>0</v>
      </c>
      <c r="AW477" s="313">
        <f>IFERROR(IF(INDEX([1]Pivot!$BF$1:$CG$65000,$B477,AW$5)=1,1,IF(AND(AW476&gt;=1,AW476&lt;=9,ROW()&lt;=cur_line),AW476+1,0)),0)</f>
        <v>0</v>
      </c>
      <c r="AX477" s="313">
        <f>IFERROR(IF(INDEX([1]Pivot!$BF$1:$CG$65000,$B477,AX$5)=1,1,IF(AND(AX476&gt;=1,AX476&lt;=9,ROW()&lt;=cur_line),AX476+1,0)),0)</f>
        <v>0</v>
      </c>
      <c r="AY477" s="313">
        <f>IFERROR(IF(INDEX([1]Pivot!$BF$1:$CG$65000,$B477,AY$5)=1,1,IF(AND(AY476&gt;=1,AY476&lt;=9,ROW()&lt;=cur_line),AY476+1,0)),0)</f>
        <v>0</v>
      </c>
      <c r="AZ477" s="313">
        <f>IFERROR(IF(INDEX([1]Pivot!$BF$1:$CG$65000,$B477,AZ$5)=1,1,IF(AND(AZ476&gt;=1,AZ476&lt;=9,ROW()&lt;=cur_line),AZ476+1,0)),0)</f>
        <v>0</v>
      </c>
      <c r="BA477" s="313">
        <f>IFERROR(IF(INDEX([1]Pivot!$BF$1:$CG$65000,$B477,BA$5)=1,1,IF(AND(BA476&gt;=1,BA476&lt;=9,ROW()&lt;=cur_line),BA476+1,0)),0)</f>
        <v>0</v>
      </c>
      <c r="BB477" s="313">
        <f>IFERROR(IF(INDEX([1]Pivot!$BF$1:$CG$65000,$B477,BB$5)=1,1,IF(AND(BB476&gt;=1,BB476&lt;=9,ROW()&lt;=cur_line),BB476+1,0)),0)</f>
        <v>0</v>
      </c>
      <c r="BC477" s="313">
        <f>IFERROR(IF(INDEX([1]Pivot!$BF$1:$CG$65000,$B477,BC$5)=1,1,IF(AND(BC476&gt;=1,BC476&lt;=9,ROW()&lt;=cur_line),BC476+1,0)),0)</f>
        <v>0</v>
      </c>
      <c r="BD477" s="313">
        <f>IFERROR(IF(INDEX([1]Pivot!$BF$1:$CG$65000,$B477,BD$5)=1,1,IF(AND(BD476&gt;=1,BD476&lt;=9,ROW()&lt;=cur_line),BD476+1,0)),0)</f>
        <v>0</v>
      </c>
    </row>
    <row r="478" spans="1:56" hidden="1" outlineLevel="1" x14ac:dyDescent="0.25">
      <c r="A478" s="288" t="str">
        <f>'[2]Raw Milk Prices'!A478</f>
        <v>2016m03</v>
      </c>
      <c r="B478" s="296" t="e">
        <f>MATCH(DATE(LEFT('[2]Raw Milk Prices'!$A478,4),RIGHT('[2]Raw Milk Prices'!$A478,2),1),[1]Pivot!$A$1:$A$65000,0)</f>
        <v>#N/A</v>
      </c>
      <c r="C478" s="194">
        <f>IFERROR(IF(INDEX([1]Pivot!$AD$1:$BE$65000,$B478,C$5)=1,1,IF(AND(C477&gt;=1,C477&lt;=9,ROW()&lt;=cur_line),C477+1,0)),0)</f>
        <v>0</v>
      </c>
      <c r="D478" s="194">
        <f>IFERROR(IF(INDEX([1]Pivot!$AD$1:$BE$65000,$B478,D$5)=1,1,IF(AND(D477&gt;=1,D477&lt;=9,ROW()&lt;=cur_line),D477+1,0)),0)</f>
        <v>0</v>
      </c>
      <c r="E478" s="194">
        <f>IFERROR(IF(INDEX([1]Pivot!$AD$1:$BE$65000,$B478,E$5)=1,1,IF(AND(E477&gt;=1,E477&lt;=9,ROW()&lt;=cur_line),E477+1,0)),0)</f>
        <v>0</v>
      </c>
      <c r="F478" s="194">
        <f>IFERROR(IF(INDEX([1]Pivot!$AD$1:$BE$65000,$B478,F$5)=1,1,IF(AND(F477&gt;=1,F477&lt;=9,ROW()&lt;=cur_line),F477+1,0)),0)</f>
        <v>0</v>
      </c>
      <c r="G478" s="194">
        <f>IFERROR(IF(INDEX([1]Pivot!$AD$1:$BE$65000,$B478,G$5)=1,1,IF(AND(G477&gt;=1,G477&lt;=9,ROW()&lt;=cur_line),G477+1,0)),0)</f>
        <v>0</v>
      </c>
      <c r="H478" s="194">
        <f>IFERROR(IF(INDEX([1]Pivot!$AD$1:$BE$65000,$B478,H$5)=1,1,IF(AND(H477&gt;=1,H477&lt;=9,ROW()&lt;=cur_line),H477+1,0)),0)</f>
        <v>0</v>
      </c>
      <c r="I478" s="194">
        <f>IFERROR(IF(INDEX([1]Pivot!$AD$1:$BE$65000,$B478,I$5)=1,1,IF(AND(I477&gt;=1,I477&lt;=9,ROW()&lt;=cur_line),I477+1,0)),0)</f>
        <v>0</v>
      </c>
      <c r="J478" s="194">
        <f>IFERROR(IF(INDEX([1]Pivot!$AD$1:$BE$65000,$B478,J$5)=1,1,IF(AND(J477&gt;=1,J477&lt;=9,ROW()&lt;=cur_line),J477+1,0)),0)</f>
        <v>0</v>
      </c>
      <c r="K478" s="194">
        <f>IFERROR(IF(INDEX([1]Pivot!$AD$1:$BE$65000,$B478,K$5)=1,1,IF(AND(K477&gt;=1,K477&lt;=9,ROW()&lt;=cur_line),K477+1,0)),0)</f>
        <v>0</v>
      </c>
      <c r="L478" s="194">
        <f>IFERROR(IF(INDEX([1]Pivot!$AD$1:$BE$65000,$B478,L$5)=1,1,IF(AND(L477&gt;=1,L477&lt;=9,ROW()&lt;=cur_line),L477+1,0)),0)</f>
        <v>0</v>
      </c>
      <c r="M478" s="194">
        <f>IFERROR(IF(INDEX([1]Pivot!$AD$1:$BE$65000,$B478,M$5)=1,1,IF(AND(M477&gt;=1,M477&lt;=9,ROW()&lt;=cur_line),M477+1,0)),0)</f>
        <v>0</v>
      </c>
      <c r="N478" s="194">
        <f>IFERROR(IF(INDEX([1]Pivot!$AD$1:$BE$65000,$B478,N$5)=1,1,IF(AND(N477&gt;=1,N477&lt;=9,ROW()&lt;=cur_line),N477+1,0)),0)</f>
        <v>0</v>
      </c>
      <c r="O478" s="194">
        <f>IFERROR(IF(INDEX([1]Pivot!$AD$1:$BE$65000,$B478,O$5)=1,1,IF(AND(O477&gt;=1,O477&lt;=9,ROW()&lt;=cur_line),O477+1,0)),0)</f>
        <v>0</v>
      </c>
      <c r="P478" s="194">
        <f>IFERROR(IF(INDEX([1]Pivot!$AD$1:$BE$65000,$B478,P$5)=1,1,IF(AND(P477&gt;=1,P477&lt;=9,ROW()&lt;=cur_line),P477+1,0)),0)</f>
        <v>0</v>
      </c>
      <c r="Q478" s="194">
        <f>IFERROR(IF(INDEX([1]Pivot!$AD$1:$BE$65000,$B478,Q$5)=1,1,IF(AND(Q477&gt;=1,Q477&lt;=9,ROW()&lt;=cur_line),Q477+1,0)),0)</f>
        <v>0</v>
      </c>
      <c r="R478" s="312"/>
      <c r="S478" s="194">
        <f>IFERROR(IF(INDEX([1]Pivot!$AD$1:$BE$65000,$B478,S$5)=1,1,IF(AND(S477&gt;=1,S477&lt;=9,ROW()&lt;=cur_line),S477+1,0)),0)</f>
        <v>0</v>
      </c>
      <c r="T478" s="194">
        <f>IFERROR(IF(INDEX([1]Pivot!$AD$1:$BE$65000,$B478,T$5)=1,1,IF(AND(T477&gt;=1,T477&lt;=9,ROW()&lt;=cur_line),T477+1,0)),0)</f>
        <v>0</v>
      </c>
      <c r="U478" s="194">
        <f>IFERROR(IF(INDEX([1]Pivot!$AD$1:$BE$65000,$B478,U$5)=1,1,IF(AND(U477&gt;=1,U477&lt;=9,ROW()&lt;=cur_line),U477+1,0)),0)</f>
        <v>0</v>
      </c>
      <c r="V478" s="194">
        <f>IFERROR(IF(INDEX([1]Pivot!$AD$1:$BE$65000,$B478,V$5)=1,1,IF(AND(V477&gt;=1,V477&lt;=9,ROW()&lt;=cur_line),V477+1,0)),0)</f>
        <v>0</v>
      </c>
      <c r="W478" s="194">
        <f>IFERROR(IF(INDEX([1]Pivot!$AD$1:$BE$65000,$B478,W$5)=1,1,IF(AND(W477&gt;=1,W477&lt;=9,ROW()&lt;=cur_line),W477+1,0)),0)</f>
        <v>0</v>
      </c>
      <c r="X478" s="194">
        <f>IFERROR(IF(INDEX([1]Pivot!$AD$1:$BE$65000,$B478,X$5)=1,1,IF(AND(X477&gt;=1,X477&lt;=9,ROW()&lt;=cur_line),X477+1,0)),0)</f>
        <v>0</v>
      </c>
      <c r="Y478" s="194">
        <f>IFERROR(IF(INDEX([1]Pivot!$AD$1:$BE$65000,$B478,Y$5)=1,1,IF(AND(Y477&gt;=1,Y477&lt;=9,ROW()&lt;=cur_line),Y477+1,0)),0)</f>
        <v>0</v>
      </c>
      <c r="Z478" s="194">
        <f>IFERROR(IF(INDEX([1]Pivot!$AD$1:$BE$65000,$B478,Z$5)=1,1,IF(AND(Z477&gt;=1,Z477&lt;=9,ROW()&lt;=cur_line),Z477+1,0)),0)</f>
        <v>0</v>
      </c>
      <c r="AA478" s="194">
        <f>IFERROR(IF(INDEX([1]Pivot!$AD$1:$BE$65000,$B478,AA$5)=1,1,IF(AND(AA477&gt;=1,AA477&lt;=9,ROW()&lt;=cur_line),AA477+1,0)),0)</f>
        <v>0</v>
      </c>
      <c r="AB478" s="194">
        <f>IFERROR(IF(INDEX([1]Pivot!$AD$1:$BE$65000,$B478,AB$5)=1,1,IF(AND(AB477&gt;=1,AB477&lt;=9,ROW()&lt;=cur_line),AB477+1,0)),0)</f>
        <v>0</v>
      </c>
      <c r="AC478" s="194">
        <f>IFERROR(IF(INDEX([1]Pivot!$AD$1:$BE$65000,$B478,AC$5)=1,1,IF(AND(AC477&gt;=1,AC477&lt;=9,ROW()&lt;=cur_line),AC477+1,0)),0)</f>
        <v>0</v>
      </c>
      <c r="AD478" s="313">
        <f>IFERROR(IF(INDEX([1]Pivot!$BF$1:$CG$65000,$B478,AD$5)=1,1,IF(AND(AD477&gt;=1,AD477&lt;=9,ROW()&lt;=cur_line),AD477+1,0)),0)</f>
        <v>0</v>
      </c>
      <c r="AE478" s="313">
        <f>IFERROR(IF(INDEX([1]Pivot!$BF$1:$CG$65000,$B478,AE$5)=1,1,IF(AND(AE477&gt;=1,AE477&lt;=9,ROW()&lt;=cur_line),AE477+1,0)),0)</f>
        <v>0</v>
      </c>
      <c r="AF478" s="313">
        <f>IFERROR(IF(INDEX([1]Pivot!$BF$1:$CG$65000,$B478,AF$5)=1,1,IF(AND(AF477&gt;=1,AF477&lt;=9,ROW()&lt;=cur_line),AF477+1,0)),0)</f>
        <v>0</v>
      </c>
      <c r="AG478" s="313">
        <f>IFERROR(IF(INDEX([1]Pivot!$BF$1:$CG$65000,$B478,AG$5)=1,1,IF(AND(AG477&gt;=1,AG477&lt;=9,ROW()&lt;=cur_line),AG477+1,0)),0)</f>
        <v>0</v>
      </c>
      <c r="AH478" s="313">
        <f>IFERROR(IF(INDEX([1]Pivot!$BF$1:$CG$65000,$B478,AH$5)=1,1,IF(AND(AH477&gt;=1,AH477&lt;=9,ROW()&lt;=cur_line),AH477+1,0)),0)</f>
        <v>0</v>
      </c>
      <c r="AI478" s="313">
        <f>IFERROR(IF(INDEX([1]Pivot!$BF$1:$CG$65000,$B478,AI$5)=1,1,IF(AND(AI477&gt;=1,AI477&lt;=9,ROW()&lt;=cur_line),AI477+1,0)),0)</f>
        <v>0</v>
      </c>
      <c r="AJ478" s="313">
        <f>IFERROR(IF(INDEX([1]Pivot!$BF$1:$CG$65000,$B478,AJ$5)=1,1,IF(AND(AJ477&gt;=1,AJ477&lt;=9,ROW()&lt;=cur_line),AJ477+1,0)),0)</f>
        <v>0</v>
      </c>
      <c r="AK478" s="313">
        <f>IFERROR(IF(INDEX([1]Pivot!$BF$1:$CG$65000,$B478,AK$5)=1,1,IF(AND(AK477&gt;=1,AK477&lt;=9,ROW()&lt;=cur_line),AK477+1,0)),0)</f>
        <v>0</v>
      </c>
      <c r="AL478" s="313">
        <f>IFERROR(IF(INDEX([1]Pivot!$BF$1:$CG$65000,$B478,AL$5)=1,1,IF(AND(AL477&gt;=1,AL477&lt;=9,ROW()&lt;=cur_line),AL477+1,0)),0)</f>
        <v>0</v>
      </c>
      <c r="AM478" s="313">
        <f>IFERROR(IF(INDEX([1]Pivot!$BF$1:$CG$65000,$B478,AM$5)=1,1,IF(AND(AM477&gt;=1,AM477&lt;=9,ROW()&lt;=cur_line),AM477+1,0)),0)</f>
        <v>0</v>
      </c>
      <c r="AN478" s="313">
        <f>IFERROR(IF(INDEX([1]Pivot!$BF$1:$CG$65000,$B478,AN$5)=1,1,IF(AND(AN477&gt;=1,AN477&lt;=9,ROW()&lt;=cur_line),AN477+1,0)),0)</f>
        <v>0</v>
      </c>
      <c r="AO478" s="313">
        <f>IFERROR(IF(INDEX([1]Pivot!$BF$1:$CG$65000,$B478,AO$5)=1,1,IF(AND(AO477&gt;=1,AO477&lt;=9,ROW()&lt;=cur_line),AO477+1,0)),0)</f>
        <v>0</v>
      </c>
      <c r="AP478" s="313">
        <f>IFERROR(IF(INDEX([1]Pivot!$BF$1:$CG$65000,$B478,AP$5)=1,1,IF(AND(AP477&gt;=1,AP477&lt;=9,ROW()&lt;=cur_line),AP477+1,0)),0)</f>
        <v>0</v>
      </c>
      <c r="AQ478" s="313">
        <f>IFERROR(IF(INDEX([1]Pivot!$BF$1:$CG$65000,$B478,AQ$5)=1,1,IF(AND(AQ477&gt;=1,AQ477&lt;=9,ROW()&lt;=cur_line),AQ477+1,0)),0)</f>
        <v>0</v>
      </c>
      <c r="AR478" s="313">
        <f>IFERROR(IF(INDEX([1]Pivot!$BF$1:$CG$65000,$B478,AR$5)=1,1,IF(AND(AR477&gt;=1,AR477&lt;=9,ROW()&lt;=cur_line),AR477+1,0)),0)</f>
        <v>0</v>
      </c>
      <c r="AS478" s="312"/>
      <c r="AT478" s="313">
        <f>IFERROR(IF(INDEX([1]Pivot!$BF$1:$CG$65000,$B478,AT$5)=1,1,IF(AND(AT477&gt;=1,AT477&lt;=9,ROW()&lt;=cur_line),AT477+1,0)),0)</f>
        <v>0</v>
      </c>
      <c r="AU478" s="313">
        <f>IFERROR(IF(INDEX([1]Pivot!$BF$1:$CG$65000,$B478,AU$5)=1,1,IF(AND(AU477&gt;=1,AU477&lt;=9,ROW()&lt;=cur_line),AU477+1,0)),0)</f>
        <v>0</v>
      </c>
      <c r="AV478" s="313">
        <f>IFERROR(IF(INDEX([1]Pivot!$BF$1:$CG$65000,$B478,AV$5)=1,1,IF(AND(AV477&gt;=1,AV477&lt;=9,ROW()&lt;=cur_line),AV477+1,0)),0)</f>
        <v>0</v>
      </c>
      <c r="AW478" s="313">
        <f>IFERROR(IF(INDEX([1]Pivot!$BF$1:$CG$65000,$B478,AW$5)=1,1,IF(AND(AW477&gt;=1,AW477&lt;=9,ROW()&lt;=cur_line),AW477+1,0)),0)</f>
        <v>0</v>
      </c>
      <c r="AX478" s="313">
        <f>IFERROR(IF(INDEX([1]Pivot!$BF$1:$CG$65000,$B478,AX$5)=1,1,IF(AND(AX477&gt;=1,AX477&lt;=9,ROW()&lt;=cur_line),AX477+1,0)),0)</f>
        <v>0</v>
      </c>
      <c r="AY478" s="313">
        <f>IFERROR(IF(INDEX([1]Pivot!$BF$1:$CG$65000,$B478,AY$5)=1,1,IF(AND(AY477&gt;=1,AY477&lt;=9,ROW()&lt;=cur_line),AY477+1,0)),0)</f>
        <v>0</v>
      </c>
      <c r="AZ478" s="313">
        <f>IFERROR(IF(INDEX([1]Pivot!$BF$1:$CG$65000,$B478,AZ$5)=1,1,IF(AND(AZ477&gt;=1,AZ477&lt;=9,ROW()&lt;=cur_line),AZ477+1,0)),0)</f>
        <v>0</v>
      </c>
      <c r="BA478" s="313">
        <f>IFERROR(IF(INDEX([1]Pivot!$BF$1:$CG$65000,$B478,BA$5)=1,1,IF(AND(BA477&gt;=1,BA477&lt;=9,ROW()&lt;=cur_line),BA477+1,0)),0)</f>
        <v>0</v>
      </c>
      <c r="BB478" s="313">
        <f>IFERROR(IF(INDEX([1]Pivot!$BF$1:$CG$65000,$B478,BB$5)=1,1,IF(AND(BB477&gt;=1,BB477&lt;=9,ROW()&lt;=cur_line),BB477+1,0)),0)</f>
        <v>0</v>
      </c>
      <c r="BC478" s="313">
        <f>IFERROR(IF(INDEX([1]Pivot!$BF$1:$CG$65000,$B478,BC$5)=1,1,IF(AND(BC477&gt;=1,BC477&lt;=9,ROW()&lt;=cur_line),BC477+1,0)),0)</f>
        <v>0</v>
      </c>
      <c r="BD478" s="313">
        <f>IFERROR(IF(INDEX([1]Pivot!$BF$1:$CG$65000,$B478,BD$5)=1,1,IF(AND(BD477&gt;=1,BD477&lt;=9,ROW()&lt;=cur_line),BD477+1,0)),0)</f>
        <v>0</v>
      </c>
    </row>
    <row r="479" spans="1:56" hidden="1" outlineLevel="1" x14ac:dyDescent="0.25">
      <c r="A479" s="288" t="str">
        <f>'[2]Raw Milk Prices'!A479</f>
        <v>2016m04</v>
      </c>
      <c r="B479" s="296" t="e">
        <f>MATCH(DATE(LEFT('[2]Raw Milk Prices'!$A479,4),RIGHT('[2]Raw Milk Prices'!$A479,2),1),[1]Pivot!$A$1:$A$65000,0)</f>
        <v>#N/A</v>
      </c>
      <c r="C479" s="194">
        <f>IFERROR(IF(INDEX([1]Pivot!$AD$1:$BE$65000,$B479,C$5)=1,1,IF(AND(C478&gt;=1,C478&lt;=9,ROW()&lt;=cur_line),C478+1,0)),0)</f>
        <v>0</v>
      </c>
      <c r="D479" s="194">
        <f>IFERROR(IF(INDEX([1]Pivot!$AD$1:$BE$65000,$B479,D$5)=1,1,IF(AND(D478&gt;=1,D478&lt;=9,ROW()&lt;=cur_line),D478+1,0)),0)</f>
        <v>0</v>
      </c>
      <c r="E479" s="194">
        <f>IFERROR(IF(INDEX([1]Pivot!$AD$1:$BE$65000,$B479,E$5)=1,1,IF(AND(E478&gt;=1,E478&lt;=9,ROW()&lt;=cur_line),E478+1,0)),0)</f>
        <v>0</v>
      </c>
      <c r="F479" s="194">
        <f>IFERROR(IF(INDEX([1]Pivot!$AD$1:$BE$65000,$B479,F$5)=1,1,IF(AND(F478&gt;=1,F478&lt;=9,ROW()&lt;=cur_line),F478+1,0)),0)</f>
        <v>0</v>
      </c>
      <c r="G479" s="194">
        <f>IFERROR(IF(INDEX([1]Pivot!$AD$1:$BE$65000,$B479,G$5)=1,1,IF(AND(G478&gt;=1,G478&lt;=9,ROW()&lt;=cur_line),G478+1,0)),0)</f>
        <v>0</v>
      </c>
      <c r="H479" s="194">
        <f>IFERROR(IF(INDEX([1]Pivot!$AD$1:$BE$65000,$B479,H$5)=1,1,IF(AND(H478&gt;=1,H478&lt;=9,ROW()&lt;=cur_line),H478+1,0)),0)</f>
        <v>0</v>
      </c>
      <c r="I479" s="194">
        <f>IFERROR(IF(INDEX([1]Pivot!$AD$1:$BE$65000,$B479,I$5)=1,1,IF(AND(I478&gt;=1,I478&lt;=9,ROW()&lt;=cur_line),I478+1,0)),0)</f>
        <v>0</v>
      </c>
      <c r="J479" s="194">
        <f>IFERROR(IF(INDEX([1]Pivot!$AD$1:$BE$65000,$B479,J$5)=1,1,IF(AND(J478&gt;=1,J478&lt;=9,ROW()&lt;=cur_line),J478+1,0)),0)</f>
        <v>0</v>
      </c>
      <c r="K479" s="194">
        <f>IFERROR(IF(INDEX([1]Pivot!$AD$1:$BE$65000,$B479,K$5)=1,1,IF(AND(K478&gt;=1,K478&lt;=9,ROW()&lt;=cur_line),K478+1,0)),0)</f>
        <v>0</v>
      </c>
      <c r="L479" s="194">
        <f>IFERROR(IF(INDEX([1]Pivot!$AD$1:$BE$65000,$B479,L$5)=1,1,IF(AND(L478&gt;=1,L478&lt;=9,ROW()&lt;=cur_line),L478+1,0)),0)</f>
        <v>0</v>
      </c>
      <c r="M479" s="194">
        <f>IFERROR(IF(INDEX([1]Pivot!$AD$1:$BE$65000,$B479,M$5)=1,1,IF(AND(M478&gt;=1,M478&lt;=9,ROW()&lt;=cur_line),M478+1,0)),0)</f>
        <v>0</v>
      </c>
      <c r="N479" s="194">
        <f>IFERROR(IF(INDEX([1]Pivot!$AD$1:$BE$65000,$B479,N$5)=1,1,IF(AND(N478&gt;=1,N478&lt;=9,ROW()&lt;=cur_line),N478+1,0)),0)</f>
        <v>0</v>
      </c>
      <c r="O479" s="194">
        <f>IFERROR(IF(INDEX([1]Pivot!$AD$1:$BE$65000,$B479,O$5)=1,1,IF(AND(O478&gt;=1,O478&lt;=9,ROW()&lt;=cur_line),O478+1,0)),0)</f>
        <v>0</v>
      </c>
      <c r="P479" s="194">
        <f>IFERROR(IF(INDEX([1]Pivot!$AD$1:$BE$65000,$B479,P$5)=1,1,IF(AND(P478&gt;=1,P478&lt;=9,ROW()&lt;=cur_line),P478+1,0)),0)</f>
        <v>0</v>
      </c>
      <c r="Q479" s="194">
        <f>IFERROR(IF(INDEX([1]Pivot!$AD$1:$BE$65000,$B479,Q$5)=1,1,IF(AND(Q478&gt;=1,Q478&lt;=9,ROW()&lt;=cur_line),Q478+1,0)),0)</f>
        <v>0</v>
      </c>
      <c r="R479" s="312"/>
      <c r="S479" s="194">
        <f>IFERROR(IF(INDEX([1]Pivot!$AD$1:$BE$65000,$B479,S$5)=1,1,IF(AND(S478&gt;=1,S478&lt;=9,ROW()&lt;=cur_line),S478+1,0)),0)</f>
        <v>0</v>
      </c>
      <c r="T479" s="194">
        <f>IFERROR(IF(INDEX([1]Pivot!$AD$1:$BE$65000,$B479,T$5)=1,1,IF(AND(T478&gt;=1,T478&lt;=9,ROW()&lt;=cur_line),T478+1,0)),0)</f>
        <v>0</v>
      </c>
      <c r="U479" s="194">
        <f>IFERROR(IF(INDEX([1]Pivot!$AD$1:$BE$65000,$B479,U$5)=1,1,IF(AND(U478&gt;=1,U478&lt;=9,ROW()&lt;=cur_line),U478+1,0)),0)</f>
        <v>0</v>
      </c>
      <c r="V479" s="194">
        <f>IFERROR(IF(INDEX([1]Pivot!$AD$1:$BE$65000,$B479,V$5)=1,1,IF(AND(V478&gt;=1,V478&lt;=9,ROW()&lt;=cur_line),V478+1,0)),0)</f>
        <v>0</v>
      </c>
      <c r="W479" s="194">
        <f>IFERROR(IF(INDEX([1]Pivot!$AD$1:$BE$65000,$B479,W$5)=1,1,IF(AND(W478&gt;=1,W478&lt;=9,ROW()&lt;=cur_line),W478+1,0)),0)</f>
        <v>0</v>
      </c>
      <c r="X479" s="194">
        <f>IFERROR(IF(INDEX([1]Pivot!$AD$1:$BE$65000,$B479,X$5)=1,1,IF(AND(X478&gt;=1,X478&lt;=9,ROW()&lt;=cur_line),X478+1,0)),0)</f>
        <v>0</v>
      </c>
      <c r="Y479" s="194">
        <f>IFERROR(IF(INDEX([1]Pivot!$AD$1:$BE$65000,$B479,Y$5)=1,1,IF(AND(Y478&gt;=1,Y478&lt;=9,ROW()&lt;=cur_line),Y478+1,0)),0)</f>
        <v>0</v>
      </c>
      <c r="Z479" s="194">
        <f>IFERROR(IF(INDEX([1]Pivot!$AD$1:$BE$65000,$B479,Z$5)=1,1,IF(AND(Z478&gt;=1,Z478&lt;=9,ROW()&lt;=cur_line),Z478+1,0)),0)</f>
        <v>0</v>
      </c>
      <c r="AA479" s="194">
        <f>IFERROR(IF(INDEX([1]Pivot!$AD$1:$BE$65000,$B479,AA$5)=1,1,IF(AND(AA478&gt;=1,AA478&lt;=9,ROW()&lt;=cur_line),AA478+1,0)),0)</f>
        <v>0</v>
      </c>
      <c r="AB479" s="194">
        <f>IFERROR(IF(INDEX([1]Pivot!$AD$1:$BE$65000,$B479,AB$5)=1,1,IF(AND(AB478&gt;=1,AB478&lt;=9,ROW()&lt;=cur_line),AB478+1,0)),0)</f>
        <v>0</v>
      </c>
      <c r="AC479" s="194">
        <f>IFERROR(IF(INDEX([1]Pivot!$AD$1:$BE$65000,$B479,AC$5)=1,1,IF(AND(AC478&gt;=1,AC478&lt;=9,ROW()&lt;=cur_line),AC478+1,0)),0)</f>
        <v>0</v>
      </c>
      <c r="AD479" s="313">
        <f>IFERROR(IF(INDEX([1]Pivot!$BF$1:$CG$65000,$B479,AD$5)=1,1,IF(AND(AD478&gt;=1,AD478&lt;=9,ROW()&lt;=cur_line),AD478+1,0)),0)</f>
        <v>0</v>
      </c>
      <c r="AE479" s="313">
        <f>IFERROR(IF(INDEX([1]Pivot!$BF$1:$CG$65000,$B479,AE$5)=1,1,IF(AND(AE478&gt;=1,AE478&lt;=9,ROW()&lt;=cur_line),AE478+1,0)),0)</f>
        <v>0</v>
      </c>
      <c r="AF479" s="313">
        <f>IFERROR(IF(INDEX([1]Pivot!$BF$1:$CG$65000,$B479,AF$5)=1,1,IF(AND(AF478&gt;=1,AF478&lt;=9,ROW()&lt;=cur_line),AF478+1,0)),0)</f>
        <v>0</v>
      </c>
      <c r="AG479" s="313">
        <f>IFERROR(IF(INDEX([1]Pivot!$BF$1:$CG$65000,$B479,AG$5)=1,1,IF(AND(AG478&gt;=1,AG478&lt;=9,ROW()&lt;=cur_line),AG478+1,0)),0)</f>
        <v>0</v>
      </c>
      <c r="AH479" s="313">
        <f>IFERROR(IF(INDEX([1]Pivot!$BF$1:$CG$65000,$B479,AH$5)=1,1,IF(AND(AH478&gt;=1,AH478&lt;=9,ROW()&lt;=cur_line),AH478+1,0)),0)</f>
        <v>0</v>
      </c>
      <c r="AI479" s="313">
        <f>IFERROR(IF(INDEX([1]Pivot!$BF$1:$CG$65000,$B479,AI$5)=1,1,IF(AND(AI478&gt;=1,AI478&lt;=9,ROW()&lt;=cur_line),AI478+1,0)),0)</f>
        <v>0</v>
      </c>
      <c r="AJ479" s="313">
        <f>IFERROR(IF(INDEX([1]Pivot!$BF$1:$CG$65000,$B479,AJ$5)=1,1,IF(AND(AJ478&gt;=1,AJ478&lt;=9,ROW()&lt;=cur_line),AJ478+1,0)),0)</f>
        <v>0</v>
      </c>
      <c r="AK479" s="313">
        <f>IFERROR(IF(INDEX([1]Pivot!$BF$1:$CG$65000,$B479,AK$5)=1,1,IF(AND(AK478&gt;=1,AK478&lt;=9,ROW()&lt;=cur_line),AK478+1,0)),0)</f>
        <v>0</v>
      </c>
      <c r="AL479" s="313">
        <f>IFERROR(IF(INDEX([1]Pivot!$BF$1:$CG$65000,$B479,AL$5)=1,1,IF(AND(AL478&gt;=1,AL478&lt;=9,ROW()&lt;=cur_line),AL478+1,0)),0)</f>
        <v>0</v>
      </c>
      <c r="AM479" s="313">
        <f>IFERROR(IF(INDEX([1]Pivot!$BF$1:$CG$65000,$B479,AM$5)=1,1,IF(AND(AM478&gt;=1,AM478&lt;=9,ROW()&lt;=cur_line),AM478+1,0)),0)</f>
        <v>0</v>
      </c>
      <c r="AN479" s="313">
        <f>IFERROR(IF(INDEX([1]Pivot!$BF$1:$CG$65000,$B479,AN$5)=1,1,IF(AND(AN478&gt;=1,AN478&lt;=9,ROW()&lt;=cur_line),AN478+1,0)),0)</f>
        <v>0</v>
      </c>
      <c r="AO479" s="313">
        <f>IFERROR(IF(INDEX([1]Pivot!$BF$1:$CG$65000,$B479,AO$5)=1,1,IF(AND(AO478&gt;=1,AO478&lt;=9,ROW()&lt;=cur_line),AO478+1,0)),0)</f>
        <v>0</v>
      </c>
      <c r="AP479" s="313">
        <f>IFERROR(IF(INDEX([1]Pivot!$BF$1:$CG$65000,$B479,AP$5)=1,1,IF(AND(AP478&gt;=1,AP478&lt;=9,ROW()&lt;=cur_line),AP478+1,0)),0)</f>
        <v>0</v>
      </c>
      <c r="AQ479" s="313">
        <f>IFERROR(IF(INDEX([1]Pivot!$BF$1:$CG$65000,$B479,AQ$5)=1,1,IF(AND(AQ478&gt;=1,AQ478&lt;=9,ROW()&lt;=cur_line),AQ478+1,0)),0)</f>
        <v>0</v>
      </c>
      <c r="AR479" s="313">
        <f>IFERROR(IF(INDEX([1]Pivot!$BF$1:$CG$65000,$B479,AR$5)=1,1,IF(AND(AR478&gt;=1,AR478&lt;=9,ROW()&lt;=cur_line),AR478+1,0)),0)</f>
        <v>0</v>
      </c>
      <c r="AS479" s="312"/>
      <c r="AT479" s="313">
        <f>IFERROR(IF(INDEX([1]Pivot!$BF$1:$CG$65000,$B479,AT$5)=1,1,IF(AND(AT478&gt;=1,AT478&lt;=9,ROW()&lt;=cur_line),AT478+1,0)),0)</f>
        <v>0</v>
      </c>
      <c r="AU479" s="313">
        <f>IFERROR(IF(INDEX([1]Pivot!$BF$1:$CG$65000,$B479,AU$5)=1,1,IF(AND(AU478&gt;=1,AU478&lt;=9,ROW()&lt;=cur_line),AU478+1,0)),0)</f>
        <v>0</v>
      </c>
      <c r="AV479" s="313">
        <f>IFERROR(IF(INDEX([1]Pivot!$BF$1:$CG$65000,$B479,AV$5)=1,1,IF(AND(AV478&gt;=1,AV478&lt;=9,ROW()&lt;=cur_line),AV478+1,0)),0)</f>
        <v>0</v>
      </c>
      <c r="AW479" s="313">
        <f>IFERROR(IF(INDEX([1]Pivot!$BF$1:$CG$65000,$B479,AW$5)=1,1,IF(AND(AW478&gt;=1,AW478&lt;=9,ROW()&lt;=cur_line),AW478+1,0)),0)</f>
        <v>0</v>
      </c>
      <c r="AX479" s="313">
        <f>IFERROR(IF(INDEX([1]Pivot!$BF$1:$CG$65000,$B479,AX$5)=1,1,IF(AND(AX478&gt;=1,AX478&lt;=9,ROW()&lt;=cur_line),AX478+1,0)),0)</f>
        <v>0</v>
      </c>
      <c r="AY479" s="313">
        <f>IFERROR(IF(INDEX([1]Pivot!$BF$1:$CG$65000,$B479,AY$5)=1,1,IF(AND(AY478&gt;=1,AY478&lt;=9,ROW()&lt;=cur_line),AY478+1,0)),0)</f>
        <v>0</v>
      </c>
      <c r="AZ479" s="313">
        <f>IFERROR(IF(INDEX([1]Pivot!$BF$1:$CG$65000,$B479,AZ$5)=1,1,IF(AND(AZ478&gt;=1,AZ478&lt;=9,ROW()&lt;=cur_line),AZ478+1,0)),0)</f>
        <v>0</v>
      </c>
      <c r="BA479" s="313">
        <f>IFERROR(IF(INDEX([1]Pivot!$BF$1:$CG$65000,$B479,BA$5)=1,1,IF(AND(BA478&gt;=1,BA478&lt;=9,ROW()&lt;=cur_line),BA478+1,0)),0)</f>
        <v>0</v>
      </c>
      <c r="BB479" s="313">
        <f>IFERROR(IF(INDEX([1]Pivot!$BF$1:$CG$65000,$B479,BB$5)=1,1,IF(AND(BB478&gt;=1,BB478&lt;=9,ROW()&lt;=cur_line),BB478+1,0)),0)</f>
        <v>0</v>
      </c>
      <c r="BC479" s="313">
        <f>IFERROR(IF(INDEX([1]Pivot!$BF$1:$CG$65000,$B479,BC$5)=1,1,IF(AND(BC478&gt;=1,BC478&lt;=9,ROW()&lt;=cur_line),BC478+1,0)),0)</f>
        <v>0</v>
      </c>
      <c r="BD479" s="313">
        <f>IFERROR(IF(INDEX([1]Pivot!$BF$1:$CG$65000,$B479,BD$5)=1,1,IF(AND(BD478&gt;=1,BD478&lt;=9,ROW()&lt;=cur_line),BD478+1,0)),0)</f>
        <v>0</v>
      </c>
    </row>
    <row r="480" spans="1:56" hidden="1" outlineLevel="1" x14ac:dyDescent="0.25">
      <c r="A480" s="288" t="str">
        <f>'[2]Raw Milk Prices'!A480</f>
        <v>2016m05</v>
      </c>
      <c r="B480" s="296" t="e">
        <f>MATCH(DATE(LEFT('[2]Raw Milk Prices'!$A480,4),RIGHT('[2]Raw Milk Prices'!$A480,2),1),[1]Pivot!$A$1:$A$65000,0)</f>
        <v>#N/A</v>
      </c>
      <c r="C480" s="194">
        <f>IFERROR(IF(INDEX([1]Pivot!$AD$1:$BE$65000,$B480,C$5)=1,1,IF(AND(C479&gt;=1,C479&lt;=9,ROW()&lt;=cur_line),C479+1,0)),0)</f>
        <v>0</v>
      </c>
      <c r="D480" s="194">
        <f>IFERROR(IF(INDEX([1]Pivot!$AD$1:$BE$65000,$B480,D$5)=1,1,IF(AND(D479&gt;=1,D479&lt;=9,ROW()&lt;=cur_line),D479+1,0)),0)</f>
        <v>0</v>
      </c>
      <c r="E480" s="194">
        <f>IFERROR(IF(INDEX([1]Pivot!$AD$1:$BE$65000,$B480,E$5)=1,1,IF(AND(E479&gt;=1,E479&lt;=9,ROW()&lt;=cur_line),E479+1,0)),0)</f>
        <v>0</v>
      </c>
      <c r="F480" s="194">
        <f>IFERROR(IF(INDEX([1]Pivot!$AD$1:$BE$65000,$B480,F$5)=1,1,IF(AND(F479&gt;=1,F479&lt;=9,ROW()&lt;=cur_line),F479+1,0)),0)</f>
        <v>0</v>
      </c>
      <c r="G480" s="194">
        <f>IFERROR(IF(INDEX([1]Pivot!$AD$1:$BE$65000,$B480,G$5)=1,1,IF(AND(G479&gt;=1,G479&lt;=9,ROW()&lt;=cur_line),G479+1,0)),0)</f>
        <v>0</v>
      </c>
      <c r="H480" s="194">
        <f>IFERROR(IF(INDEX([1]Pivot!$AD$1:$BE$65000,$B480,H$5)=1,1,IF(AND(H479&gt;=1,H479&lt;=9,ROW()&lt;=cur_line),H479+1,0)),0)</f>
        <v>0</v>
      </c>
      <c r="I480" s="194">
        <f>IFERROR(IF(INDEX([1]Pivot!$AD$1:$BE$65000,$B480,I$5)=1,1,IF(AND(I479&gt;=1,I479&lt;=9,ROW()&lt;=cur_line),I479+1,0)),0)</f>
        <v>0</v>
      </c>
      <c r="J480" s="194">
        <f>IFERROR(IF(INDEX([1]Pivot!$AD$1:$BE$65000,$B480,J$5)=1,1,IF(AND(J479&gt;=1,J479&lt;=9,ROW()&lt;=cur_line),J479+1,0)),0)</f>
        <v>0</v>
      </c>
      <c r="K480" s="194">
        <f>IFERROR(IF(INDEX([1]Pivot!$AD$1:$BE$65000,$B480,K$5)=1,1,IF(AND(K479&gt;=1,K479&lt;=9,ROW()&lt;=cur_line),K479+1,0)),0)</f>
        <v>0</v>
      </c>
      <c r="L480" s="194">
        <f>IFERROR(IF(INDEX([1]Pivot!$AD$1:$BE$65000,$B480,L$5)=1,1,IF(AND(L479&gt;=1,L479&lt;=9,ROW()&lt;=cur_line),L479+1,0)),0)</f>
        <v>0</v>
      </c>
      <c r="M480" s="194">
        <f>IFERROR(IF(INDEX([1]Pivot!$AD$1:$BE$65000,$B480,M$5)=1,1,IF(AND(M479&gt;=1,M479&lt;=9,ROW()&lt;=cur_line),M479+1,0)),0)</f>
        <v>0</v>
      </c>
      <c r="N480" s="194">
        <f>IFERROR(IF(INDEX([1]Pivot!$AD$1:$BE$65000,$B480,N$5)=1,1,IF(AND(N479&gt;=1,N479&lt;=9,ROW()&lt;=cur_line),N479+1,0)),0)</f>
        <v>0</v>
      </c>
      <c r="O480" s="194">
        <f>IFERROR(IF(INDEX([1]Pivot!$AD$1:$BE$65000,$B480,O$5)=1,1,IF(AND(O479&gt;=1,O479&lt;=9,ROW()&lt;=cur_line),O479+1,0)),0)</f>
        <v>0</v>
      </c>
      <c r="P480" s="194">
        <f>IFERROR(IF(INDEX([1]Pivot!$AD$1:$BE$65000,$B480,P$5)=1,1,IF(AND(P479&gt;=1,P479&lt;=9,ROW()&lt;=cur_line),P479+1,0)),0)</f>
        <v>0</v>
      </c>
      <c r="Q480" s="194">
        <f>IFERROR(IF(INDEX([1]Pivot!$AD$1:$BE$65000,$B480,Q$5)=1,1,IF(AND(Q479&gt;=1,Q479&lt;=9,ROW()&lt;=cur_line),Q479+1,0)),0)</f>
        <v>0</v>
      </c>
      <c r="R480" s="312"/>
      <c r="S480" s="194">
        <f>IFERROR(IF(INDEX([1]Pivot!$AD$1:$BE$65000,$B480,S$5)=1,1,IF(AND(S479&gt;=1,S479&lt;=9,ROW()&lt;=cur_line),S479+1,0)),0)</f>
        <v>0</v>
      </c>
      <c r="T480" s="194">
        <f>IFERROR(IF(INDEX([1]Pivot!$AD$1:$BE$65000,$B480,T$5)=1,1,IF(AND(T479&gt;=1,T479&lt;=9,ROW()&lt;=cur_line),T479+1,0)),0)</f>
        <v>0</v>
      </c>
      <c r="U480" s="194">
        <f>IFERROR(IF(INDEX([1]Pivot!$AD$1:$BE$65000,$B480,U$5)=1,1,IF(AND(U479&gt;=1,U479&lt;=9,ROW()&lt;=cur_line),U479+1,0)),0)</f>
        <v>0</v>
      </c>
      <c r="V480" s="194">
        <f>IFERROR(IF(INDEX([1]Pivot!$AD$1:$BE$65000,$B480,V$5)=1,1,IF(AND(V479&gt;=1,V479&lt;=9,ROW()&lt;=cur_line),V479+1,0)),0)</f>
        <v>0</v>
      </c>
      <c r="W480" s="194">
        <f>IFERROR(IF(INDEX([1]Pivot!$AD$1:$BE$65000,$B480,W$5)=1,1,IF(AND(W479&gt;=1,W479&lt;=9,ROW()&lt;=cur_line),W479+1,0)),0)</f>
        <v>0</v>
      </c>
      <c r="X480" s="194">
        <f>IFERROR(IF(INDEX([1]Pivot!$AD$1:$BE$65000,$B480,X$5)=1,1,IF(AND(X479&gt;=1,X479&lt;=9,ROW()&lt;=cur_line),X479+1,0)),0)</f>
        <v>0</v>
      </c>
      <c r="Y480" s="194">
        <f>IFERROR(IF(INDEX([1]Pivot!$AD$1:$BE$65000,$B480,Y$5)=1,1,IF(AND(Y479&gt;=1,Y479&lt;=9,ROW()&lt;=cur_line),Y479+1,0)),0)</f>
        <v>0</v>
      </c>
      <c r="Z480" s="194">
        <f>IFERROR(IF(INDEX([1]Pivot!$AD$1:$BE$65000,$B480,Z$5)=1,1,IF(AND(Z479&gt;=1,Z479&lt;=9,ROW()&lt;=cur_line),Z479+1,0)),0)</f>
        <v>0</v>
      </c>
      <c r="AA480" s="194">
        <f>IFERROR(IF(INDEX([1]Pivot!$AD$1:$BE$65000,$B480,AA$5)=1,1,IF(AND(AA479&gt;=1,AA479&lt;=9,ROW()&lt;=cur_line),AA479+1,0)),0)</f>
        <v>0</v>
      </c>
      <c r="AB480" s="194">
        <f>IFERROR(IF(INDEX([1]Pivot!$AD$1:$BE$65000,$B480,AB$5)=1,1,IF(AND(AB479&gt;=1,AB479&lt;=9,ROW()&lt;=cur_line),AB479+1,0)),0)</f>
        <v>0</v>
      </c>
      <c r="AC480" s="194">
        <f>IFERROR(IF(INDEX([1]Pivot!$AD$1:$BE$65000,$B480,AC$5)=1,1,IF(AND(AC479&gt;=1,AC479&lt;=9,ROW()&lt;=cur_line),AC479+1,0)),0)</f>
        <v>0</v>
      </c>
      <c r="AD480" s="313">
        <f>IFERROR(IF(INDEX([1]Pivot!$BF$1:$CG$65000,$B480,AD$5)=1,1,IF(AND(AD479&gt;=1,AD479&lt;=9,ROW()&lt;=cur_line),AD479+1,0)),0)</f>
        <v>0</v>
      </c>
      <c r="AE480" s="313">
        <f>IFERROR(IF(INDEX([1]Pivot!$BF$1:$CG$65000,$B480,AE$5)=1,1,IF(AND(AE479&gt;=1,AE479&lt;=9,ROW()&lt;=cur_line),AE479+1,0)),0)</f>
        <v>0</v>
      </c>
      <c r="AF480" s="313">
        <f>IFERROR(IF(INDEX([1]Pivot!$BF$1:$CG$65000,$B480,AF$5)=1,1,IF(AND(AF479&gt;=1,AF479&lt;=9,ROW()&lt;=cur_line),AF479+1,0)),0)</f>
        <v>0</v>
      </c>
      <c r="AG480" s="313">
        <f>IFERROR(IF(INDEX([1]Pivot!$BF$1:$CG$65000,$B480,AG$5)=1,1,IF(AND(AG479&gt;=1,AG479&lt;=9,ROW()&lt;=cur_line),AG479+1,0)),0)</f>
        <v>0</v>
      </c>
      <c r="AH480" s="313">
        <f>IFERROR(IF(INDEX([1]Pivot!$BF$1:$CG$65000,$B480,AH$5)=1,1,IF(AND(AH479&gt;=1,AH479&lt;=9,ROW()&lt;=cur_line),AH479+1,0)),0)</f>
        <v>0</v>
      </c>
      <c r="AI480" s="313">
        <f>IFERROR(IF(INDEX([1]Pivot!$BF$1:$CG$65000,$B480,AI$5)=1,1,IF(AND(AI479&gt;=1,AI479&lt;=9,ROW()&lt;=cur_line),AI479+1,0)),0)</f>
        <v>0</v>
      </c>
      <c r="AJ480" s="313">
        <f>IFERROR(IF(INDEX([1]Pivot!$BF$1:$CG$65000,$B480,AJ$5)=1,1,IF(AND(AJ479&gt;=1,AJ479&lt;=9,ROW()&lt;=cur_line),AJ479+1,0)),0)</f>
        <v>0</v>
      </c>
      <c r="AK480" s="313">
        <f>IFERROR(IF(INDEX([1]Pivot!$BF$1:$CG$65000,$B480,AK$5)=1,1,IF(AND(AK479&gt;=1,AK479&lt;=9,ROW()&lt;=cur_line),AK479+1,0)),0)</f>
        <v>0</v>
      </c>
      <c r="AL480" s="313">
        <f>IFERROR(IF(INDEX([1]Pivot!$BF$1:$CG$65000,$B480,AL$5)=1,1,IF(AND(AL479&gt;=1,AL479&lt;=9,ROW()&lt;=cur_line),AL479+1,0)),0)</f>
        <v>0</v>
      </c>
      <c r="AM480" s="313">
        <f>IFERROR(IF(INDEX([1]Pivot!$BF$1:$CG$65000,$B480,AM$5)=1,1,IF(AND(AM479&gt;=1,AM479&lt;=9,ROW()&lt;=cur_line),AM479+1,0)),0)</f>
        <v>0</v>
      </c>
      <c r="AN480" s="313">
        <f>IFERROR(IF(INDEX([1]Pivot!$BF$1:$CG$65000,$B480,AN$5)=1,1,IF(AND(AN479&gt;=1,AN479&lt;=9,ROW()&lt;=cur_line),AN479+1,0)),0)</f>
        <v>0</v>
      </c>
      <c r="AO480" s="313">
        <f>IFERROR(IF(INDEX([1]Pivot!$BF$1:$CG$65000,$B480,AO$5)=1,1,IF(AND(AO479&gt;=1,AO479&lt;=9,ROW()&lt;=cur_line),AO479+1,0)),0)</f>
        <v>0</v>
      </c>
      <c r="AP480" s="313">
        <f>IFERROR(IF(INDEX([1]Pivot!$BF$1:$CG$65000,$B480,AP$5)=1,1,IF(AND(AP479&gt;=1,AP479&lt;=9,ROW()&lt;=cur_line),AP479+1,0)),0)</f>
        <v>0</v>
      </c>
      <c r="AQ480" s="313">
        <f>IFERROR(IF(INDEX([1]Pivot!$BF$1:$CG$65000,$B480,AQ$5)=1,1,IF(AND(AQ479&gt;=1,AQ479&lt;=9,ROW()&lt;=cur_line),AQ479+1,0)),0)</f>
        <v>0</v>
      </c>
      <c r="AR480" s="313">
        <f>IFERROR(IF(INDEX([1]Pivot!$BF$1:$CG$65000,$B480,AR$5)=1,1,IF(AND(AR479&gt;=1,AR479&lt;=9,ROW()&lt;=cur_line),AR479+1,0)),0)</f>
        <v>0</v>
      </c>
      <c r="AS480" s="312"/>
      <c r="AT480" s="313">
        <f>IFERROR(IF(INDEX([1]Pivot!$BF$1:$CG$65000,$B480,AT$5)=1,1,IF(AND(AT479&gt;=1,AT479&lt;=9,ROW()&lt;=cur_line),AT479+1,0)),0)</f>
        <v>0</v>
      </c>
      <c r="AU480" s="313">
        <f>IFERROR(IF(INDEX([1]Pivot!$BF$1:$CG$65000,$B480,AU$5)=1,1,IF(AND(AU479&gt;=1,AU479&lt;=9,ROW()&lt;=cur_line),AU479+1,0)),0)</f>
        <v>0</v>
      </c>
      <c r="AV480" s="313">
        <f>IFERROR(IF(INDEX([1]Pivot!$BF$1:$CG$65000,$B480,AV$5)=1,1,IF(AND(AV479&gt;=1,AV479&lt;=9,ROW()&lt;=cur_line),AV479+1,0)),0)</f>
        <v>0</v>
      </c>
      <c r="AW480" s="313">
        <f>IFERROR(IF(INDEX([1]Pivot!$BF$1:$CG$65000,$B480,AW$5)=1,1,IF(AND(AW479&gt;=1,AW479&lt;=9,ROW()&lt;=cur_line),AW479+1,0)),0)</f>
        <v>0</v>
      </c>
      <c r="AX480" s="313">
        <f>IFERROR(IF(INDEX([1]Pivot!$BF$1:$CG$65000,$B480,AX$5)=1,1,IF(AND(AX479&gt;=1,AX479&lt;=9,ROW()&lt;=cur_line),AX479+1,0)),0)</f>
        <v>0</v>
      </c>
      <c r="AY480" s="313">
        <f>IFERROR(IF(INDEX([1]Pivot!$BF$1:$CG$65000,$B480,AY$5)=1,1,IF(AND(AY479&gt;=1,AY479&lt;=9,ROW()&lt;=cur_line),AY479+1,0)),0)</f>
        <v>0</v>
      </c>
      <c r="AZ480" s="313">
        <f>IFERROR(IF(INDEX([1]Pivot!$BF$1:$CG$65000,$B480,AZ$5)=1,1,IF(AND(AZ479&gt;=1,AZ479&lt;=9,ROW()&lt;=cur_line),AZ479+1,0)),0)</f>
        <v>0</v>
      </c>
      <c r="BA480" s="313">
        <f>IFERROR(IF(INDEX([1]Pivot!$BF$1:$CG$65000,$B480,BA$5)=1,1,IF(AND(BA479&gt;=1,BA479&lt;=9,ROW()&lt;=cur_line),BA479+1,0)),0)</f>
        <v>0</v>
      </c>
      <c r="BB480" s="313">
        <f>IFERROR(IF(INDEX([1]Pivot!$BF$1:$CG$65000,$B480,BB$5)=1,1,IF(AND(BB479&gt;=1,BB479&lt;=9,ROW()&lt;=cur_line),BB479+1,0)),0)</f>
        <v>0</v>
      </c>
      <c r="BC480" s="313">
        <f>IFERROR(IF(INDEX([1]Pivot!$BF$1:$CG$65000,$B480,BC$5)=1,1,IF(AND(BC479&gt;=1,BC479&lt;=9,ROW()&lt;=cur_line),BC479+1,0)),0)</f>
        <v>0</v>
      </c>
      <c r="BD480" s="313">
        <f>IFERROR(IF(INDEX([1]Pivot!$BF$1:$CG$65000,$B480,BD$5)=1,1,IF(AND(BD479&gt;=1,BD479&lt;=9,ROW()&lt;=cur_line),BD479+1,0)),0)</f>
        <v>0</v>
      </c>
    </row>
    <row r="481" spans="1:56" hidden="1" outlineLevel="1" x14ac:dyDescent="0.25">
      <c r="A481" s="288" t="str">
        <f>'[2]Raw Milk Prices'!A481</f>
        <v>2016m06</v>
      </c>
      <c r="B481" s="296" t="e">
        <f>MATCH(DATE(LEFT('[2]Raw Milk Prices'!$A481,4),RIGHT('[2]Raw Milk Prices'!$A481,2),1),[1]Pivot!$A$1:$A$65000,0)</f>
        <v>#N/A</v>
      </c>
      <c r="C481" s="194">
        <f>IFERROR(IF(INDEX([1]Pivot!$AD$1:$BE$65000,$B481,C$5)=1,1,IF(AND(C480&gt;=1,C480&lt;=9,ROW()&lt;=cur_line),C480+1,0)),0)</f>
        <v>0</v>
      </c>
      <c r="D481" s="194">
        <f>IFERROR(IF(INDEX([1]Pivot!$AD$1:$BE$65000,$B481,D$5)=1,1,IF(AND(D480&gt;=1,D480&lt;=9,ROW()&lt;=cur_line),D480+1,0)),0)</f>
        <v>0</v>
      </c>
      <c r="E481" s="194">
        <f>IFERROR(IF(INDEX([1]Pivot!$AD$1:$BE$65000,$B481,E$5)=1,1,IF(AND(E480&gt;=1,E480&lt;=9,ROW()&lt;=cur_line),E480+1,0)),0)</f>
        <v>0</v>
      </c>
      <c r="F481" s="194">
        <f>IFERROR(IF(INDEX([1]Pivot!$AD$1:$BE$65000,$B481,F$5)=1,1,IF(AND(F480&gt;=1,F480&lt;=9,ROW()&lt;=cur_line),F480+1,0)),0)</f>
        <v>0</v>
      </c>
      <c r="G481" s="194">
        <f>IFERROR(IF(INDEX([1]Pivot!$AD$1:$BE$65000,$B481,G$5)=1,1,IF(AND(G480&gt;=1,G480&lt;=9,ROW()&lt;=cur_line),G480+1,0)),0)</f>
        <v>0</v>
      </c>
      <c r="H481" s="194">
        <f>IFERROR(IF(INDEX([1]Pivot!$AD$1:$BE$65000,$B481,H$5)=1,1,IF(AND(H480&gt;=1,H480&lt;=9,ROW()&lt;=cur_line),H480+1,0)),0)</f>
        <v>0</v>
      </c>
      <c r="I481" s="194">
        <f>IFERROR(IF(INDEX([1]Pivot!$AD$1:$BE$65000,$B481,I$5)=1,1,IF(AND(I480&gt;=1,I480&lt;=9,ROW()&lt;=cur_line),I480+1,0)),0)</f>
        <v>0</v>
      </c>
      <c r="J481" s="194">
        <f>IFERROR(IF(INDEX([1]Pivot!$AD$1:$BE$65000,$B481,J$5)=1,1,IF(AND(J480&gt;=1,J480&lt;=9,ROW()&lt;=cur_line),J480+1,0)),0)</f>
        <v>0</v>
      </c>
      <c r="K481" s="194">
        <f>IFERROR(IF(INDEX([1]Pivot!$AD$1:$BE$65000,$B481,K$5)=1,1,IF(AND(K480&gt;=1,K480&lt;=9,ROW()&lt;=cur_line),K480+1,0)),0)</f>
        <v>0</v>
      </c>
      <c r="L481" s="194">
        <f>IFERROR(IF(INDEX([1]Pivot!$AD$1:$BE$65000,$B481,L$5)=1,1,IF(AND(L480&gt;=1,L480&lt;=9,ROW()&lt;=cur_line),L480+1,0)),0)</f>
        <v>0</v>
      </c>
      <c r="M481" s="194">
        <f>IFERROR(IF(INDEX([1]Pivot!$AD$1:$BE$65000,$B481,M$5)=1,1,IF(AND(M480&gt;=1,M480&lt;=9,ROW()&lt;=cur_line),M480+1,0)),0)</f>
        <v>0</v>
      </c>
      <c r="N481" s="194">
        <f>IFERROR(IF(INDEX([1]Pivot!$AD$1:$BE$65000,$B481,N$5)=1,1,IF(AND(N480&gt;=1,N480&lt;=9,ROW()&lt;=cur_line),N480+1,0)),0)</f>
        <v>0</v>
      </c>
      <c r="O481" s="194">
        <f>IFERROR(IF(INDEX([1]Pivot!$AD$1:$BE$65000,$B481,O$5)=1,1,IF(AND(O480&gt;=1,O480&lt;=9,ROW()&lt;=cur_line),O480+1,0)),0)</f>
        <v>0</v>
      </c>
      <c r="P481" s="194">
        <f>IFERROR(IF(INDEX([1]Pivot!$AD$1:$BE$65000,$B481,P$5)=1,1,IF(AND(P480&gt;=1,P480&lt;=9,ROW()&lt;=cur_line),P480+1,0)),0)</f>
        <v>0</v>
      </c>
      <c r="Q481" s="194">
        <f>IFERROR(IF(INDEX([1]Pivot!$AD$1:$BE$65000,$B481,Q$5)=1,1,IF(AND(Q480&gt;=1,Q480&lt;=9,ROW()&lt;=cur_line),Q480+1,0)),0)</f>
        <v>0</v>
      </c>
      <c r="R481" s="312"/>
      <c r="S481" s="194">
        <f>IFERROR(IF(INDEX([1]Pivot!$AD$1:$BE$65000,$B481,S$5)=1,1,IF(AND(S480&gt;=1,S480&lt;=9,ROW()&lt;=cur_line),S480+1,0)),0)</f>
        <v>0</v>
      </c>
      <c r="T481" s="194">
        <f>IFERROR(IF(INDEX([1]Pivot!$AD$1:$BE$65000,$B481,T$5)=1,1,IF(AND(T480&gt;=1,T480&lt;=9,ROW()&lt;=cur_line),T480+1,0)),0)</f>
        <v>0</v>
      </c>
      <c r="U481" s="194">
        <f>IFERROR(IF(INDEX([1]Pivot!$AD$1:$BE$65000,$B481,U$5)=1,1,IF(AND(U480&gt;=1,U480&lt;=9,ROW()&lt;=cur_line),U480+1,0)),0)</f>
        <v>0</v>
      </c>
      <c r="V481" s="194">
        <f>IFERROR(IF(INDEX([1]Pivot!$AD$1:$BE$65000,$B481,V$5)=1,1,IF(AND(V480&gt;=1,V480&lt;=9,ROW()&lt;=cur_line),V480+1,0)),0)</f>
        <v>0</v>
      </c>
      <c r="W481" s="194">
        <f>IFERROR(IF(INDEX([1]Pivot!$AD$1:$BE$65000,$B481,W$5)=1,1,IF(AND(W480&gt;=1,W480&lt;=9,ROW()&lt;=cur_line),W480+1,0)),0)</f>
        <v>0</v>
      </c>
      <c r="X481" s="194">
        <f>IFERROR(IF(INDEX([1]Pivot!$AD$1:$BE$65000,$B481,X$5)=1,1,IF(AND(X480&gt;=1,X480&lt;=9,ROW()&lt;=cur_line),X480+1,0)),0)</f>
        <v>0</v>
      </c>
      <c r="Y481" s="194">
        <f>IFERROR(IF(INDEX([1]Pivot!$AD$1:$BE$65000,$B481,Y$5)=1,1,IF(AND(Y480&gt;=1,Y480&lt;=9,ROW()&lt;=cur_line),Y480+1,0)),0)</f>
        <v>0</v>
      </c>
      <c r="Z481" s="194">
        <f>IFERROR(IF(INDEX([1]Pivot!$AD$1:$BE$65000,$B481,Z$5)=1,1,IF(AND(Z480&gt;=1,Z480&lt;=9,ROW()&lt;=cur_line),Z480+1,0)),0)</f>
        <v>0</v>
      </c>
      <c r="AA481" s="194">
        <f>IFERROR(IF(INDEX([1]Pivot!$AD$1:$BE$65000,$B481,AA$5)=1,1,IF(AND(AA480&gt;=1,AA480&lt;=9,ROW()&lt;=cur_line),AA480+1,0)),0)</f>
        <v>0</v>
      </c>
      <c r="AB481" s="194">
        <f>IFERROR(IF(INDEX([1]Pivot!$AD$1:$BE$65000,$B481,AB$5)=1,1,IF(AND(AB480&gt;=1,AB480&lt;=9,ROW()&lt;=cur_line),AB480+1,0)),0)</f>
        <v>0</v>
      </c>
      <c r="AC481" s="194">
        <f>IFERROR(IF(INDEX([1]Pivot!$AD$1:$BE$65000,$B481,AC$5)=1,1,IF(AND(AC480&gt;=1,AC480&lt;=9,ROW()&lt;=cur_line),AC480+1,0)),0)</f>
        <v>0</v>
      </c>
      <c r="AD481" s="313">
        <f>IFERROR(IF(INDEX([1]Pivot!$BF$1:$CG$65000,$B481,AD$5)=1,1,IF(AND(AD480&gt;=1,AD480&lt;=9,ROW()&lt;=cur_line),AD480+1,0)),0)</f>
        <v>0</v>
      </c>
      <c r="AE481" s="313">
        <f>IFERROR(IF(INDEX([1]Pivot!$BF$1:$CG$65000,$B481,AE$5)=1,1,IF(AND(AE480&gt;=1,AE480&lt;=9,ROW()&lt;=cur_line),AE480+1,0)),0)</f>
        <v>0</v>
      </c>
      <c r="AF481" s="313">
        <f>IFERROR(IF(INDEX([1]Pivot!$BF$1:$CG$65000,$B481,AF$5)=1,1,IF(AND(AF480&gt;=1,AF480&lt;=9,ROW()&lt;=cur_line),AF480+1,0)),0)</f>
        <v>0</v>
      </c>
      <c r="AG481" s="313">
        <f>IFERROR(IF(INDEX([1]Pivot!$BF$1:$CG$65000,$B481,AG$5)=1,1,IF(AND(AG480&gt;=1,AG480&lt;=9,ROW()&lt;=cur_line),AG480+1,0)),0)</f>
        <v>0</v>
      </c>
      <c r="AH481" s="313">
        <f>IFERROR(IF(INDEX([1]Pivot!$BF$1:$CG$65000,$B481,AH$5)=1,1,IF(AND(AH480&gt;=1,AH480&lt;=9,ROW()&lt;=cur_line),AH480+1,0)),0)</f>
        <v>0</v>
      </c>
      <c r="AI481" s="313">
        <f>IFERROR(IF(INDEX([1]Pivot!$BF$1:$CG$65000,$B481,AI$5)=1,1,IF(AND(AI480&gt;=1,AI480&lt;=9,ROW()&lt;=cur_line),AI480+1,0)),0)</f>
        <v>0</v>
      </c>
      <c r="AJ481" s="313">
        <f>IFERROR(IF(INDEX([1]Pivot!$BF$1:$CG$65000,$B481,AJ$5)=1,1,IF(AND(AJ480&gt;=1,AJ480&lt;=9,ROW()&lt;=cur_line),AJ480+1,0)),0)</f>
        <v>0</v>
      </c>
      <c r="AK481" s="313">
        <f>IFERROR(IF(INDEX([1]Pivot!$BF$1:$CG$65000,$B481,AK$5)=1,1,IF(AND(AK480&gt;=1,AK480&lt;=9,ROW()&lt;=cur_line),AK480+1,0)),0)</f>
        <v>0</v>
      </c>
      <c r="AL481" s="313">
        <f>IFERROR(IF(INDEX([1]Pivot!$BF$1:$CG$65000,$B481,AL$5)=1,1,IF(AND(AL480&gt;=1,AL480&lt;=9,ROW()&lt;=cur_line),AL480+1,0)),0)</f>
        <v>0</v>
      </c>
      <c r="AM481" s="313">
        <f>IFERROR(IF(INDEX([1]Pivot!$BF$1:$CG$65000,$B481,AM$5)=1,1,IF(AND(AM480&gt;=1,AM480&lt;=9,ROW()&lt;=cur_line),AM480+1,0)),0)</f>
        <v>0</v>
      </c>
      <c r="AN481" s="313">
        <f>IFERROR(IF(INDEX([1]Pivot!$BF$1:$CG$65000,$B481,AN$5)=1,1,IF(AND(AN480&gt;=1,AN480&lt;=9,ROW()&lt;=cur_line),AN480+1,0)),0)</f>
        <v>0</v>
      </c>
      <c r="AO481" s="313">
        <f>IFERROR(IF(INDEX([1]Pivot!$BF$1:$CG$65000,$B481,AO$5)=1,1,IF(AND(AO480&gt;=1,AO480&lt;=9,ROW()&lt;=cur_line),AO480+1,0)),0)</f>
        <v>0</v>
      </c>
      <c r="AP481" s="313">
        <f>IFERROR(IF(INDEX([1]Pivot!$BF$1:$CG$65000,$B481,AP$5)=1,1,IF(AND(AP480&gt;=1,AP480&lt;=9,ROW()&lt;=cur_line),AP480+1,0)),0)</f>
        <v>0</v>
      </c>
      <c r="AQ481" s="313">
        <f>IFERROR(IF(INDEX([1]Pivot!$BF$1:$CG$65000,$B481,AQ$5)=1,1,IF(AND(AQ480&gt;=1,AQ480&lt;=9,ROW()&lt;=cur_line),AQ480+1,0)),0)</f>
        <v>0</v>
      </c>
      <c r="AR481" s="313">
        <f>IFERROR(IF(INDEX([1]Pivot!$BF$1:$CG$65000,$B481,AR$5)=1,1,IF(AND(AR480&gt;=1,AR480&lt;=9,ROW()&lt;=cur_line),AR480+1,0)),0)</f>
        <v>0</v>
      </c>
      <c r="AS481" s="312"/>
      <c r="AT481" s="313">
        <f>IFERROR(IF(INDEX([1]Pivot!$BF$1:$CG$65000,$B481,AT$5)=1,1,IF(AND(AT480&gt;=1,AT480&lt;=9,ROW()&lt;=cur_line),AT480+1,0)),0)</f>
        <v>0</v>
      </c>
      <c r="AU481" s="313">
        <f>IFERROR(IF(INDEX([1]Pivot!$BF$1:$CG$65000,$B481,AU$5)=1,1,IF(AND(AU480&gt;=1,AU480&lt;=9,ROW()&lt;=cur_line),AU480+1,0)),0)</f>
        <v>0</v>
      </c>
      <c r="AV481" s="313">
        <f>IFERROR(IF(INDEX([1]Pivot!$BF$1:$CG$65000,$B481,AV$5)=1,1,IF(AND(AV480&gt;=1,AV480&lt;=9,ROW()&lt;=cur_line),AV480+1,0)),0)</f>
        <v>0</v>
      </c>
      <c r="AW481" s="313">
        <f>IFERROR(IF(INDEX([1]Pivot!$BF$1:$CG$65000,$B481,AW$5)=1,1,IF(AND(AW480&gt;=1,AW480&lt;=9,ROW()&lt;=cur_line),AW480+1,0)),0)</f>
        <v>0</v>
      </c>
      <c r="AX481" s="313">
        <f>IFERROR(IF(INDEX([1]Pivot!$BF$1:$CG$65000,$B481,AX$5)=1,1,IF(AND(AX480&gt;=1,AX480&lt;=9,ROW()&lt;=cur_line),AX480+1,0)),0)</f>
        <v>0</v>
      </c>
      <c r="AY481" s="313">
        <f>IFERROR(IF(INDEX([1]Pivot!$BF$1:$CG$65000,$B481,AY$5)=1,1,IF(AND(AY480&gt;=1,AY480&lt;=9,ROW()&lt;=cur_line),AY480+1,0)),0)</f>
        <v>0</v>
      </c>
      <c r="AZ481" s="313">
        <f>IFERROR(IF(INDEX([1]Pivot!$BF$1:$CG$65000,$B481,AZ$5)=1,1,IF(AND(AZ480&gt;=1,AZ480&lt;=9,ROW()&lt;=cur_line),AZ480+1,0)),0)</f>
        <v>0</v>
      </c>
      <c r="BA481" s="313">
        <f>IFERROR(IF(INDEX([1]Pivot!$BF$1:$CG$65000,$B481,BA$5)=1,1,IF(AND(BA480&gt;=1,BA480&lt;=9,ROW()&lt;=cur_line),BA480+1,0)),0)</f>
        <v>0</v>
      </c>
      <c r="BB481" s="313">
        <f>IFERROR(IF(INDEX([1]Pivot!$BF$1:$CG$65000,$B481,BB$5)=1,1,IF(AND(BB480&gt;=1,BB480&lt;=9,ROW()&lt;=cur_line),BB480+1,0)),0)</f>
        <v>0</v>
      </c>
      <c r="BC481" s="313">
        <f>IFERROR(IF(INDEX([1]Pivot!$BF$1:$CG$65000,$B481,BC$5)=1,1,IF(AND(BC480&gt;=1,BC480&lt;=9,ROW()&lt;=cur_line),BC480+1,0)),0)</f>
        <v>0</v>
      </c>
      <c r="BD481" s="313">
        <f>IFERROR(IF(INDEX([1]Pivot!$BF$1:$CG$65000,$B481,BD$5)=1,1,IF(AND(BD480&gt;=1,BD480&lt;=9,ROW()&lt;=cur_line),BD480+1,0)),0)</f>
        <v>0</v>
      </c>
    </row>
    <row r="482" spans="1:56" hidden="1" outlineLevel="1" x14ac:dyDescent="0.25">
      <c r="A482" s="288" t="str">
        <f>'[2]Raw Milk Prices'!A482</f>
        <v>2016m07</v>
      </c>
      <c r="B482" s="296" t="e">
        <f>MATCH(DATE(LEFT('[2]Raw Milk Prices'!$A482,4),RIGHT('[2]Raw Milk Prices'!$A482,2),1),[1]Pivot!$A$1:$A$65000,0)</f>
        <v>#N/A</v>
      </c>
      <c r="C482" s="194">
        <f>IFERROR(IF(INDEX([1]Pivot!$AD$1:$BE$65000,$B482,C$5)=1,1,IF(AND(C481&gt;=1,C481&lt;=9,ROW()&lt;=cur_line),C481+1,0)),0)</f>
        <v>0</v>
      </c>
      <c r="D482" s="194">
        <f>IFERROR(IF(INDEX([1]Pivot!$AD$1:$BE$65000,$B482,D$5)=1,1,IF(AND(D481&gt;=1,D481&lt;=9,ROW()&lt;=cur_line),D481+1,0)),0)</f>
        <v>0</v>
      </c>
      <c r="E482" s="194">
        <f>IFERROR(IF(INDEX([1]Pivot!$AD$1:$BE$65000,$B482,E$5)=1,1,IF(AND(E481&gt;=1,E481&lt;=9,ROW()&lt;=cur_line),E481+1,0)),0)</f>
        <v>0</v>
      </c>
      <c r="F482" s="194">
        <f>IFERROR(IF(INDEX([1]Pivot!$AD$1:$BE$65000,$B482,F$5)=1,1,IF(AND(F481&gt;=1,F481&lt;=9,ROW()&lt;=cur_line),F481+1,0)),0)</f>
        <v>0</v>
      </c>
      <c r="G482" s="194">
        <f>IFERROR(IF(INDEX([1]Pivot!$AD$1:$BE$65000,$B482,G$5)=1,1,IF(AND(G481&gt;=1,G481&lt;=9,ROW()&lt;=cur_line),G481+1,0)),0)</f>
        <v>0</v>
      </c>
      <c r="H482" s="194">
        <f>IFERROR(IF(INDEX([1]Pivot!$AD$1:$BE$65000,$B482,H$5)=1,1,IF(AND(H481&gt;=1,H481&lt;=9,ROW()&lt;=cur_line),H481+1,0)),0)</f>
        <v>0</v>
      </c>
      <c r="I482" s="194">
        <f>IFERROR(IF(INDEX([1]Pivot!$AD$1:$BE$65000,$B482,I$5)=1,1,IF(AND(I481&gt;=1,I481&lt;=9,ROW()&lt;=cur_line),I481+1,0)),0)</f>
        <v>0</v>
      </c>
      <c r="J482" s="194">
        <f>IFERROR(IF(INDEX([1]Pivot!$AD$1:$BE$65000,$B482,J$5)=1,1,IF(AND(J481&gt;=1,J481&lt;=9,ROW()&lt;=cur_line),J481+1,0)),0)</f>
        <v>0</v>
      </c>
      <c r="K482" s="194">
        <f>IFERROR(IF(INDEX([1]Pivot!$AD$1:$BE$65000,$B482,K$5)=1,1,IF(AND(K481&gt;=1,K481&lt;=9,ROW()&lt;=cur_line),K481+1,0)),0)</f>
        <v>0</v>
      </c>
      <c r="L482" s="194">
        <f>IFERROR(IF(INDEX([1]Pivot!$AD$1:$BE$65000,$B482,L$5)=1,1,IF(AND(L481&gt;=1,L481&lt;=9,ROW()&lt;=cur_line),L481+1,0)),0)</f>
        <v>0</v>
      </c>
      <c r="M482" s="194">
        <f>IFERROR(IF(INDEX([1]Pivot!$AD$1:$BE$65000,$B482,M$5)=1,1,IF(AND(M481&gt;=1,M481&lt;=9,ROW()&lt;=cur_line),M481+1,0)),0)</f>
        <v>0</v>
      </c>
      <c r="N482" s="194">
        <f>IFERROR(IF(INDEX([1]Pivot!$AD$1:$BE$65000,$B482,N$5)=1,1,IF(AND(N481&gt;=1,N481&lt;=9,ROW()&lt;=cur_line),N481+1,0)),0)</f>
        <v>0</v>
      </c>
      <c r="O482" s="194">
        <f>IFERROR(IF(INDEX([1]Pivot!$AD$1:$BE$65000,$B482,O$5)=1,1,IF(AND(O481&gt;=1,O481&lt;=9,ROW()&lt;=cur_line),O481+1,0)),0)</f>
        <v>0</v>
      </c>
      <c r="P482" s="194">
        <f>IFERROR(IF(INDEX([1]Pivot!$AD$1:$BE$65000,$B482,P$5)=1,1,IF(AND(P481&gt;=1,P481&lt;=9,ROW()&lt;=cur_line),P481+1,0)),0)</f>
        <v>0</v>
      </c>
      <c r="Q482" s="194">
        <f>IFERROR(IF(INDEX([1]Pivot!$AD$1:$BE$65000,$B482,Q$5)=1,1,IF(AND(Q481&gt;=1,Q481&lt;=9,ROW()&lt;=cur_line),Q481+1,0)),0)</f>
        <v>0</v>
      </c>
      <c r="R482" s="312"/>
      <c r="S482" s="194">
        <f>IFERROR(IF(INDEX([1]Pivot!$AD$1:$BE$65000,$B482,S$5)=1,1,IF(AND(S481&gt;=1,S481&lt;=9,ROW()&lt;=cur_line),S481+1,0)),0)</f>
        <v>0</v>
      </c>
      <c r="T482" s="194">
        <f>IFERROR(IF(INDEX([1]Pivot!$AD$1:$BE$65000,$B482,T$5)=1,1,IF(AND(T481&gt;=1,T481&lt;=9,ROW()&lt;=cur_line),T481+1,0)),0)</f>
        <v>0</v>
      </c>
      <c r="U482" s="194">
        <f>IFERROR(IF(INDEX([1]Pivot!$AD$1:$BE$65000,$B482,U$5)=1,1,IF(AND(U481&gt;=1,U481&lt;=9,ROW()&lt;=cur_line),U481+1,0)),0)</f>
        <v>0</v>
      </c>
      <c r="V482" s="194">
        <f>IFERROR(IF(INDEX([1]Pivot!$AD$1:$BE$65000,$B482,V$5)=1,1,IF(AND(V481&gt;=1,V481&lt;=9,ROW()&lt;=cur_line),V481+1,0)),0)</f>
        <v>0</v>
      </c>
      <c r="W482" s="194">
        <f>IFERROR(IF(INDEX([1]Pivot!$AD$1:$BE$65000,$B482,W$5)=1,1,IF(AND(W481&gt;=1,W481&lt;=9,ROW()&lt;=cur_line),W481+1,0)),0)</f>
        <v>0</v>
      </c>
      <c r="X482" s="194">
        <f>IFERROR(IF(INDEX([1]Pivot!$AD$1:$BE$65000,$B482,X$5)=1,1,IF(AND(X481&gt;=1,X481&lt;=9,ROW()&lt;=cur_line),X481+1,0)),0)</f>
        <v>0</v>
      </c>
      <c r="Y482" s="194">
        <f>IFERROR(IF(INDEX([1]Pivot!$AD$1:$BE$65000,$B482,Y$5)=1,1,IF(AND(Y481&gt;=1,Y481&lt;=9,ROW()&lt;=cur_line),Y481+1,0)),0)</f>
        <v>0</v>
      </c>
      <c r="Z482" s="194">
        <f>IFERROR(IF(INDEX([1]Pivot!$AD$1:$BE$65000,$B482,Z$5)=1,1,IF(AND(Z481&gt;=1,Z481&lt;=9,ROW()&lt;=cur_line),Z481+1,0)),0)</f>
        <v>0</v>
      </c>
      <c r="AA482" s="194">
        <f>IFERROR(IF(INDEX([1]Pivot!$AD$1:$BE$65000,$B482,AA$5)=1,1,IF(AND(AA481&gt;=1,AA481&lt;=9,ROW()&lt;=cur_line),AA481+1,0)),0)</f>
        <v>0</v>
      </c>
      <c r="AB482" s="194">
        <f>IFERROR(IF(INDEX([1]Pivot!$AD$1:$BE$65000,$B482,AB$5)=1,1,IF(AND(AB481&gt;=1,AB481&lt;=9,ROW()&lt;=cur_line),AB481+1,0)),0)</f>
        <v>0</v>
      </c>
      <c r="AC482" s="194">
        <f>IFERROR(IF(INDEX([1]Pivot!$AD$1:$BE$65000,$B482,AC$5)=1,1,IF(AND(AC481&gt;=1,AC481&lt;=9,ROW()&lt;=cur_line),AC481+1,0)),0)</f>
        <v>0</v>
      </c>
      <c r="AD482" s="313">
        <f>IFERROR(IF(INDEX([1]Pivot!$BF$1:$CG$65000,$B482,AD$5)=1,1,IF(AND(AD481&gt;=1,AD481&lt;=9,ROW()&lt;=cur_line),AD481+1,0)),0)</f>
        <v>0</v>
      </c>
      <c r="AE482" s="313">
        <f>IFERROR(IF(INDEX([1]Pivot!$BF$1:$CG$65000,$B482,AE$5)=1,1,IF(AND(AE481&gt;=1,AE481&lt;=9,ROW()&lt;=cur_line),AE481+1,0)),0)</f>
        <v>0</v>
      </c>
      <c r="AF482" s="313">
        <f>IFERROR(IF(INDEX([1]Pivot!$BF$1:$CG$65000,$B482,AF$5)=1,1,IF(AND(AF481&gt;=1,AF481&lt;=9,ROW()&lt;=cur_line),AF481+1,0)),0)</f>
        <v>0</v>
      </c>
      <c r="AG482" s="313">
        <f>IFERROR(IF(INDEX([1]Pivot!$BF$1:$CG$65000,$B482,AG$5)=1,1,IF(AND(AG481&gt;=1,AG481&lt;=9,ROW()&lt;=cur_line),AG481+1,0)),0)</f>
        <v>0</v>
      </c>
      <c r="AH482" s="313">
        <f>IFERROR(IF(INDEX([1]Pivot!$BF$1:$CG$65000,$B482,AH$5)=1,1,IF(AND(AH481&gt;=1,AH481&lt;=9,ROW()&lt;=cur_line),AH481+1,0)),0)</f>
        <v>0</v>
      </c>
      <c r="AI482" s="313">
        <f>IFERROR(IF(INDEX([1]Pivot!$BF$1:$CG$65000,$B482,AI$5)=1,1,IF(AND(AI481&gt;=1,AI481&lt;=9,ROW()&lt;=cur_line),AI481+1,0)),0)</f>
        <v>0</v>
      </c>
      <c r="AJ482" s="313">
        <f>IFERROR(IF(INDEX([1]Pivot!$BF$1:$CG$65000,$B482,AJ$5)=1,1,IF(AND(AJ481&gt;=1,AJ481&lt;=9,ROW()&lt;=cur_line),AJ481+1,0)),0)</f>
        <v>0</v>
      </c>
      <c r="AK482" s="313">
        <f>IFERROR(IF(INDEX([1]Pivot!$BF$1:$CG$65000,$B482,AK$5)=1,1,IF(AND(AK481&gt;=1,AK481&lt;=9,ROW()&lt;=cur_line),AK481+1,0)),0)</f>
        <v>0</v>
      </c>
      <c r="AL482" s="313">
        <f>IFERROR(IF(INDEX([1]Pivot!$BF$1:$CG$65000,$B482,AL$5)=1,1,IF(AND(AL481&gt;=1,AL481&lt;=9,ROW()&lt;=cur_line),AL481+1,0)),0)</f>
        <v>0</v>
      </c>
      <c r="AM482" s="313">
        <f>IFERROR(IF(INDEX([1]Pivot!$BF$1:$CG$65000,$B482,AM$5)=1,1,IF(AND(AM481&gt;=1,AM481&lt;=9,ROW()&lt;=cur_line),AM481+1,0)),0)</f>
        <v>0</v>
      </c>
      <c r="AN482" s="313">
        <f>IFERROR(IF(INDEX([1]Pivot!$BF$1:$CG$65000,$B482,AN$5)=1,1,IF(AND(AN481&gt;=1,AN481&lt;=9,ROW()&lt;=cur_line),AN481+1,0)),0)</f>
        <v>0</v>
      </c>
      <c r="AO482" s="313">
        <f>IFERROR(IF(INDEX([1]Pivot!$BF$1:$CG$65000,$B482,AO$5)=1,1,IF(AND(AO481&gt;=1,AO481&lt;=9,ROW()&lt;=cur_line),AO481+1,0)),0)</f>
        <v>0</v>
      </c>
      <c r="AP482" s="313">
        <f>IFERROR(IF(INDEX([1]Pivot!$BF$1:$CG$65000,$B482,AP$5)=1,1,IF(AND(AP481&gt;=1,AP481&lt;=9,ROW()&lt;=cur_line),AP481+1,0)),0)</f>
        <v>0</v>
      </c>
      <c r="AQ482" s="313">
        <f>IFERROR(IF(INDEX([1]Pivot!$BF$1:$CG$65000,$B482,AQ$5)=1,1,IF(AND(AQ481&gt;=1,AQ481&lt;=9,ROW()&lt;=cur_line),AQ481+1,0)),0)</f>
        <v>0</v>
      </c>
      <c r="AR482" s="313">
        <f>IFERROR(IF(INDEX([1]Pivot!$BF$1:$CG$65000,$B482,AR$5)=1,1,IF(AND(AR481&gt;=1,AR481&lt;=9,ROW()&lt;=cur_line),AR481+1,0)),0)</f>
        <v>0</v>
      </c>
      <c r="AS482" s="312"/>
      <c r="AT482" s="313">
        <f>IFERROR(IF(INDEX([1]Pivot!$BF$1:$CG$65000,$B482,AT$5)=1,1,IF(AND(AT481&gt;=1,AT481&lt;=9,ROW()&lt;=cur_line),AT481+1,0)),0)</f>
        <v>0</v>
      </c>
      <c r="AU482" s="313">
        <f>IFERROR(IF(INDEX([1]Pivot!$BF$1:$CG$65000,$B482,AU$5)=1,1,IF(AND(AU481&gt;=1,AU481&lt;=9,ROW()&lt;=cur_line),AU481+1,0)),0)</f>
        <v>0</v>
      </c>
      <c r="AV482" s="313">
        <f>IFERROR(IF(INDEX([1]Pivot!$BF$1:$CG$65000,$B482,AV$5)=1,1,IF(AND(AV481&gt;=1,AV481&lt;=9,ROW()&lt;=cur_line),AV481+1,0)),0)</f>
        <v>0</v>
      </c>
      <c r="AW482" s="313">
        <f>IFERROR(IF(INDEX([1]Pivot!$BF$1:$CG$65000,$B482,AW$5)=1,1,IF(AND(AW481&gt;=1,AW481&lt;=9,ROW()&lt;=cur_line),AW481+1,0)),0)</f>
        <v>0</v>
      </c>
      <c r="AX482" s="313">
        <f>IFERROR(IF(INDEX([1]Pivot!$BF$1:$CG$65000,$B482,AX$5)=1,1,IF(AND(AX481&gt;=1,AX481&lt;=9,ROW()&lt;=cur_line),AX481+1,0)),0)</f>
        <v>0</v>
      </c>
      <c r="AY482" s="313">
        <f>IFERROR(IF(INDEX([1]Pivot!$BF$1:$CG$65000,$B482,AY$5)=1,1,IF(AND(AY481&gt;=1,AY481&lt;=9,ROW()&lt;=cur_line),AY481+1,0)),0)</f>
        <v>0</v>
      </c>
      <c r="AZ482" s="313">
        <f>IFERROR(IF(INDEX([1]Pivot!$BF$1:$CG$65000,$B482,AZ$5)=1,1,IF(AND(AZ481&gt;=1,AZ481&lt;=9,ROW()&lt;=cur_line),AZ481+1,0)),0)</f>
        <v>0</v>
      </c>
      <c r="BA482" s="313">
        <f>IFERROR(IF(INDEX([1]Pivot!$BF$1:$CG$65000,$B482,BA$5)=1,1,IF(AND(BA481&gt;=1,BA481&lt;=9,ROW()&lt;=cur_line),BA481+1,0)),0)</f>
        <v>0</v>
      </c>
      <c r="BB482" s="313">
        <f>IFERROR(IF(INDEX([1]Pivot!$BF$1:$CG$65000,$B482,BB$5)=1,1,IF(AND(BB481&gt;=1,BB481&lt;=9,ROW()&lt;=cur_line),BB481+1,0)),0)</f>
        <v>0</v>
      </c>
      <c r="BC482" s="313">
        <f>IFERROR(IF(INDEX([1]Pivot!$BF$1:$CG$65000,$B482,BC$5)=1,1,IF(AND(BC481&gt;=1,BC481&lt;=9,ROW()&lt;=cur_line),BC481+1,0)),0)</f>
        <v>0</v>
      </c>
      <c r="BD482" s="313">
        <f>IFERROR(IF(INDEX([1]Pivot!$BF$1:$CG$65000,$B482,BD$5)=1,1,IF(AND(BD481&gt;=1,BD481&lt;=9,ROW()&lt;=cur_line),BD481+1,0)),0)</f>
        <v>0</v>
      </c>
    </row>
    <row r="483" spans="1:56" hidden="1" outlineLevel="1" x14ac:dyDescent="0.25">
      <c r="A483" s="288" t="str">
        <f>'[2]Raw Milk Prices'!A483</f>
        <v>2016m08</v>
      </c>
      <c r="B483" s="296" t="e">
        <f>MATCH(DATE(LEFT('[2]Raw Milk Prices'!$A483,4),RIGHT('[2]Raw Milk Prices'!$A483,2),1),[1]Pivot!$A$1:$A$65000,0)</f>
        <v>#N/A</v>
      </c>
      <c r="C483" s="194">
        <f>IFERROR(IF(INDEX([1]Pivot!$AD$1:$BE$65000,$B483,C$5)=1,1,IF(AND(C482&gt;=1,C482&lt;=9,ROW()&lt;=cur_line),C482+1,0)),0)</f>
        <v>0</v>
      </c>
      <c r="D483" s="194">
        <f>IFERROR(IF(INDEX([1]Pivot!$AD$1:$BE$65000,$B483,D$5)=1,1,IF(AND(D482&gt;=1,D482&lt;=9,ROW()&lt;=cur_line),D482+1,0)),0)</f>
        <v>0</v>
      </c>
      <c r="E483" s="194">
        <f>IFERROR(IF(INDEX([1]Pivot!$AD$1:$BE$65000,$B483,E$5)=1,1,IF(AND(E482&gt;=1,E482&lt;=9,ROW()&lt;=cur_line),E482+1,0)),0)</f>
        <v>0</v>
      </c>
      <c r="F483" s="194">
        <f>IFERROR(IF(INDEX([1]Pivot!$AD$1:$BE$65000,$B483,F$5)=1,1,IF(AND(F482&gt;=1,F482&lt;=9,ROW()&lt;=cur_line),F482+1,0)),0)</f>
        <v>0</v>
      </c>
      <c r="G483" s="194">
        <f>IFERROR(IF(INDEX([1]Pivot!$AD$1:$BE$65000,$B483,G$5)=1,1,IF(AND(G482&gt;=1,G482&lt;=9,ROW()&lt;=cur_line),G482+1,0)),0)</f>
        <v>0</v>
      </c>
      <c r="H483" s="194">
        <f>IFERROR(IF(INDEX([1]Pivot!$AD$1:$BE$65000,$B483,H$5)=1,1,IF(AND(H482&gt;=1,H482&lt;=9,ROW()&lt;=cur_line),H482+1,0)),0)</f>
        <v>0</v>
      </c>
      <c r="I483" s="194">
        <f>IFERROR(IF(INDEX([1]Pivot!$AD$1:$BE$65000,$B483,I$5)=1,1,IF(AND(I482&gt;=1,I482&lt;=9,ROW()&lt;=cur_line),I482+1,0)),0)</f>
        <v>0</v>
      </c>
      <c r="J483" s="194">
        <f>IFERROR(IF(INDEX([1]Pivot!$AD$1:$BE$65000,$B483,J$5)=1,1,IF(AND(J482&gt;=1,J482&lt;=9,ROW()&lt;=cur_line),J482+1,0)),0)</f>
        <v>0</v>
      </c>
      <c r="K483" s="194">
        <f>IFERROR(IF(INDEX([1]Pivot!$AD$1:$BE$65000,$B483,K$5)=1,1,IF(AND(K482&gt;=1,K482&lt;=9,ROW()&lt;=cur_line),K482+1,0)),0)</f>
        <v>0</v>
      </c>
      <c r="L483" s="194">
        <f>IFERROR(IF(INDEX([1]Pivot!$AD$1:$BE$65000,$B483,L$5)=1,1,IF(AND(L482&gt;=1,L482&lt;=9,ROW()&lt;=cur_line),L482+1,0)),0)</f>
        <v>0</v>
      </c>
      <c r="M483" s="194">
        <f>IFERROR(IF(INDEX([1]Pivot!$AD$1:$BE$65000,$B483,M$5)=1,1,IF(AND(M482&gt;=1,M482&lt;=9,ROW()&lt;=cur_line),M482+1,0)),0)</f>
        <v>0</v>
      </c>
      <c r="N483" s="194">
        <f>IFERROR(IF(INDEX([1]Pivot!$AD$1:$BE$65000,$B483,N$5)=1,1,IF(AND(N482&gt;=1,N482&lt;=9,ROW()&lt;=cur_line),N482+1,0)),0)</f>
        <v>0</v>
      </c>
      <c r="O483" s="194">
        <f>IFERROR(IF(INDEX([1]Pivot!$AD$1:$BE$65000,$B483,O$5)=1,1,IF(AND(O482&gt;=1,O482&lt;=9,ROW()&lt;=cur_line),O482+1,0)),0)</f>
        <v>0</v>
      </c>
      <c r="P483" s="194">
        <f>IFERROR(IF(INDEX([1]Pivot!$AD$1:$BE$65000,$B483,P$5)=1,1,IF(AND(P482&gt;=1,P482&lt;=9,ROW()&lt;=cur_line),P482+1,0)),0)</f>
        <v>0</v>
      </c>
      <c r="Q483" s="194">
        <f>IFERROR(IF(INDEX([1]Pivot!$AD$1:$BE$65000,$B483,Q$5)=1,1,IF(AND(Q482&gt;=1,Q482&lt;=9,ROW()&lt;=cur_line),Q482+1,0)),0)</f>
        <v>0</v>
      </c>
      <c r="R483" s="312"/>
      <c r="S483" s="194">
        <f>IFERROR(IF(INDEX([1]Pivot!$AD$1:$BE$65000,$B483,S$5)=1,1,IF(AND(S482&gt;=1,S482&lt;=9,ROW()&lt;=cur_line),S482+1,0)),0)</f>
        <v>0</v>
      </c>
      <c r="T483" s="194">
        <f>IFERROR(IF(INDEX([1]Pivot!$AD$1:$BE$65000,$B483,T$5)=1,1,IF(AND(T482&gt;=1,T482&lt;=9,ROW()&lt;=cur_line),T482+1,0)),0)</f>
        <v>0</v>
      </c>
      <c r="U483" s="194">
        <f>IFERROR(IF(INDEX([1]Pivot!$AD$1:$BE$65000,$B483,U$5)=1,1,IF(AND(U482&gt;=1,U482&lt;=9,ROW()&lt;=cur_line),U482+1,0)),0)</f>
        <v>0</v>
      </c>
      <c r="V483" s="194">
        <f>IFERROR(IF(INDEX([1]Pivot!$AD$1:$BE$65000,$B483,V$5)=1,1,IF(AND(V482&gt;=1,V482&lt;=9,ROW()&lt;=cur_line),V482+1,0)),0)</f>
        <v>0</v>
      </c>
      <c r="W483" s="194">
        <f>IFERROR(IF(INDEX([1]Pivot!$AD$1:$BE$65000,$B483,W$5)=1,1,IF(AND(W482&gt;=1,W482&lt;=9,ROW()&lt;=cur_line),W482+1,0)),0)</f>
        <v>0</v>
      </c>
      <c r="X483" s="194">
        <f>IFERROR(IF(INDEX([1]Pivot!$AD$1:$BE$65000,$B483,X$5)=1,1,IF(AND(X482&gt;=1,X482&lt;=9,ROW()&lt;=cur_line),X482+1,0)),0)</f>
        <v>0</v>
      </c>
      <c r="Y483" s="194">
        <f>IFERROR(IF(INDEX([1]Pivot!$AD$1:$BE$65000,$B483,Y$5)=1,1,IF(AND(Y482&gt;=1,Y482&lt;=9,ROW()&lt;=cur_line),Y482+1,0)),0)</f>
        <v>0</v>
      </c>
      <c r="Z483" s="194">
        <f>IFERROR(IF(INDEX([1]Pivot!$AD$1:$BE$65000,$B483,Z$5)=1,1,IF(AND(Z482&gt;=1,Z482&lt;=9,ROW()&lt;=cur_line),Z482+1,0)),0)</f>
        <v>0</v>
      </c>
      <c r="AA483" s="194">
        <f>IFERROR(IF(INDEX([1]Pivot!$AD$1:$BE$65000,$B483,AA$5)=1,1,IF(AND(AA482&gt;=1,AA482&lt;=9,ROW()&lt;=cur_line),AA482+1,0)),0)</f>
        <v>0</v>
      </c>
      <c r="AB483" s="194">
        <f>IFERROR(IF(INDEX([1]Pivot!$AD$1:$BE$65000,$B483,AB$5)=1,1,IF(AND(AB482&gt;=1,AB482&lt;=9,ROW()&lt;=cur_line),AB482+1,0)),0)</f>
        <v>0</v>
      </c>
      <c r="AC483" s="194">
        <f>IFERROR(IF(INDEX([1]Pivot!$AD$1:$BE$65000,$B483,AC$5)=1,1,IF(AND(AC482&gt;=1,AC482&lt;=9,ROW()&lt;=cur_line),AC482+1,0)),0)</f>
        <v>0</v>
      </c>
      <c r="AD483" s="313">
        <f>IFERROR(IF(INDEX([1]Pivot!$BF$1:$CG$65000,$B483,AD$5)=1,1,IF(AND(AD482&gt;=1,AD482&lt;=9,ROW()&lt;=cur_line),AD482+1,0)),0)</f>
        <v>0</v>
      </c>
      <c r="AE483" s="313">
        <f>IFERROR(IF(INDEX([1]Pivot!$BF$1:$CG$65000,$B483,AE$5)=1,1,IF(AND(AE482&gt;=1,AE482&lt;=9,ROW()&lt;=cur_line),AE482+1,0)),0)</f>
        <v>0</v>
      </c>
      <c r="AF483" s="313">
        <f>IFERROR(IF(INDEX([1]Pivot!$BF$1:$CG$65000,$B483,AF$5)=1,1,IF(AND(AF482&gt;=1,AF482&lt;=9,ROW()&lt;=cur_line),AF482+1,0)),0)</f>
        <v>0</v>
      </c>
      <c r="AG483" s="313">
        <f>IFERROR(IF(INDEX([1]Pivot!$BF$1:$CG$65000,$B483,AG$5)=1,1,IF(AND(AG482&gt;=1,AG482&lt;=9,ROW()&lt;=cur_line),AG482+1,0)),0)</f>
        <v>0</v>
      </c>
      <c r="AH483" s="313">
        <f>IFERROR(IF(INDEX([1]Pivot!$BF$1:$CG$65000,$B483,AH$5)=1,1,IF(AND(AH482&gt;=1,AH482&lt;=9,ROW()&lt;=cur_line),AH482+1,0)),0)</f>
        <v>0</v>
      </c>
      <c r="AI483" s="313">
        <f>IFERROR(IF(INDEX([1]Pivot!$BF$1:$CG$65000,$B483,AI$5)=1,1,IF(AND(AI482&gt;=1,AI482&lt;=9,ROW()&lt;=cur_line),AI482+1,0)),0)</f>
        <v>0</v>
      </c>
      <c r="AJ483" s="313">
        <f>IFERROR(IF(INDEX([1]Pivot!$BF$1:$CG$65000,$B483,AJ$5)=1,1,IF(AND(AJ482&gt;=1,AJ482&lt;=9,ROW()&lt;=cur_line),AJ482+1,0)),0)</f>
        <v>0</v>
      </c>
      <c r="AK483" s="313">
        <f>IFERROR(IF(INDEX([1]Pivot!$BF$1:$CG$65000,$B483,AK$5)=1,1,IF(AND(AK482&gt;=1,AK482&lt;=9,ROW()&lt;=cur_line),AK482+1,0)),0)</f>
        <v>0</v>
      </c>
      <c r="AL483" s="313">
        <f>IFERROR(IF(INDEX([1]Pivot!$BF$1:$CG$65000,$B483,AL$5)=1,1,IF(AND(AL482&gt;=1,AL482&lt;=9,ROW()&lt;=cur_line),AL482+1,0)),0)</f>
        <v>0</v>
      </c>
      <c r="AM483" s="313">
        <f>IFERROR(IF(INDEX([1]Pivot!$BF$1:$CG$65000,$B483,AM$5)=1,1,IF(AND(AM482&gt;=1,AM482&lt;=9,ROW()&lt;=cur_line),AM482+1,0)),0)</f>
        <v>0</v>
      </c>
      <c r="AN483" s="313">
        <f>IFERROR(IF(INDEX([1]Pivot!$BF$1:$CG$65000,$B483,AN$5)=1,1,IF(AND(AN482&gt;=1,AN482&lt;=9,ROW()&lt;=cur_line),AN482+1,0)),0)</f>
        <v>0</v>
      </c>
      <c r="AO483" s="313">
        <f>IFERROR(IF(INDEX([1]Pivot!$BF$1:$CG$65000,$B483,AO$5)=1,1,IF(AND(AO482&gt;=1,AO482&lt;=9,ROW()&lt;=cur_line),AO482+1,0)),0)</f>
        <v>0</v>
      </c>
      <c r="AP483" s="313">
        <f>IFERROR(IF(INDEX([1]Pivot!$BF$1:$CG$65000,$B483,AP$5)=1,1,IF(AND(AP482&gt;=1,AP482&lt;=9,ROW()&lt;=cur_line),AP482+1,0)),0)</f>
        <v>0</v>
      </c>
      <c r="AQ483" s="313">
        <f>IFERROR(IF(INDEX([1]Pivot!$BF$1:$CG$65000,$B483,AQ$5)=1,1,IF(AND(AQ482&gt;=1,AQ482&lt;=9,ROW()&lt;=cur_line),AQ482+1,0)),0)</f>
        <v>0</v>
      </c>
      <c r="AR483" s="313">
        <f>IFERROR(IF(INDEX([1]Pivot!$BF$1:$CG$65000,$B483,AR$5)=1,1,IF(AND(AR482&gt;=1,AR482&lt;=9,ROW()&lt;=cur_line),AR482+1,0)),0)</f>
        <v>0</v>
      </c>
      <c r="AS483" s="312"/>
      <c r="AT483" s="313">
        <f>IFERROR(IF(INDEX([1]Pivot!$BF$1:$CG$65000,$B483,AT$5)=1,1,IF(AND(AT482&gt;=1,AT482&lt;=9,ROW()&lt;=cur_line),AT482+1,0)),0)</f>
        <v>0</v>
      </c>
      <c r="AU483" s="313">
        <f>IFERROR(IF(INDEX([1]Pivot!$BF$1:$CG$65000,$B483,AU$5)=1,1,IF(AND(AU482&gt;=1,AU482&lt;=9,ROW()&lt;=cur_line),AU482+1,0)),0)</f>
        <v>0</v>
      </c>
      <c r="AV483" s="313">
        <f>IFERROR(IF(INDEX([1]Pivot!$BF$1:$CG$65000,$B483,AV$5)=1,1,IF(AND(AV482&gt;=1,AV482&lt;=9,ROW()&lt;=cur_line),AV482+1,0)),0)</f>
        <v>0</v>
      </c>
      <c r="AW483" s="313">
        <f>IFERROR(IF(INDEX([1]Pivot!$BF$1:$CG$65000,$B483,AW$5)=1,1,IF(AND(AW482&gt;=1,AW482&lt;=9,ROW()&lt;=cur_line),AW482+1,0)),0)</f>
        <v>0</v>
      </c>
      <c r="AX483" s="313">
        <f>IFERROR(IF(INDEX([1]Pivot!$BF$1:$CG$65000,$B483,AX$5)=1,1,IF(AND(AX482&gt;=1,AX482&lt;=9,ROW()&lt;=cur_line),AX482+1,0)),0)</f>
        <v>0</v>
      </c>
      <c r="AY483" s="313">
        <f>IFERROR(IF(INDEX([1]Pivot!$BF$1:$CG$65000,$B483,AY$5)=1,1,IF(AND(AY482&gt;=1,AY482&lt;=9,ROW()&lt;=cur_line),AY482+1,0)),0)</f>
        <v>0</v>
      </c>
      <c r="AZ483" s="313">
        <f>IFERROR(IF(INDEX([1]Pivot!$BF$1:$CG$65000,$B483,AZ$5)=1,1,IF(AND(AZ482&gt;=1,AZ482&lt;=9,ROW()&lt;=cur_line),AZ482+1,0)),0)</f>
        <v>0</v>
      </c>
      <c r="BA483" s="313">
        <f>IFERROR(IF(INDEX([1]Pivot!$BF$1:$CG$65000,$B483,BA$5)=1,1,IF(AND(BA482&gt;=1,BA482&lt;=9,ROW()&lt;=cur_line),BA482+1,0)),0)</f>
        <v>0</v>
      </c>
      <c r="BB483" s="313">
        <f>IFERROR(IF(INDEX([1]Pivot!$BF$1:$CG$65000,$B483,BB$5)=1,1,IF(AND(BB482&gt;=1,BB482&lt;=9,ROW()&lt;=cur_line),BB482+1,0)),0)</f>
        <v>0</v>
      </c>
      <c r="BC483" s="313">
        <f>IFERROR(IF(INDEX([1]Pivot!$BF$1:$CG$65000,$B483,BC$5)=1,1,IF(AND(BC482&gt;=1,BC482&lt;=9,ROW()&lt;=cur_line),BC482+1,0)),0)</f>
        <v>0</v>
      </c>
      <c r="BD483" s="313">
        <f>IFERROR(IF(INDEX([1]Pivot!$BF$1:$CG$65000,$B483,BD$5)=1,1,IF(AND(BD482&gt;=1,BD482&lt;=9,ROW()&lt;=cur_line),BD482+1,0)),0)</f>
        <v>0</v>
      </c>
    </row>
    <row r="484" spans="1:56" hidden="1" outlineLevel="1" x14ac:dyDescent="0.25">
      <c r="A484" s="288" t="str">
        <f>'[2]Raw Milk Prices'!A484</f>
        <v>2016m09</v>
      </c>
      <c r="B484" s="296" t="e">
        <f>MATCH(DATE(LEFT('[2]Raw Milk Prices'!$A484,4),RIGHT('[2]Raw Milk Prices'!$A484,2),1),[1]Pivot!$A$1:$A$65000,0)</f>
        <v>#N/A</v>
      </c>
      <c r="C484" s="194">
        <f>IFERROR(IF(INDEX([1]Pivot!$AD$1:$BE$65000,$B484,C$5)=1,1,IF(AND(C483&gt;=1,C483&lt;=9,ROW()&lt;=cur_line),C483+1,0)),0)</f>
        <v>0</v>
      </c>
      <c r="D484" s="194">
        <f>IFERROR(IF(INDEX([1]Pivot!$AD$1:$BE$65000,$B484,D$5)=1,1,IF(AND(D483&gt;=1,D483&lt;=9,ROW()&lt;=cur_line),D483+1,0)),0)</f>
        <v>0</v>
      </c>
      <c r="E484" s="194">
        <f>IFERROR(IF(INDEX([1]Pivot!$AD$1:$BE$65000,$B484,E$5)=1,1,IF(AND(E483&gt;=1,E483&lt;=9,ROW()&lt;=cur_line),E483+1,0)),0)</f>
        <v>0</v>
      </c>
      <c r="F484" s="194">
        <f>IFERROR(IF(INDEX([1]Pivot!$AD$1:$BE$65000,$B484,F$5)=1,1,IF(AND(F483&gt;=1,F483&lt;=9,ROW()&lt;=cur_line),F483+1,0)),0)</f>
        <v>0</v>
      </c>
      <c r="G484" s="194">
        <f>IFERROR(IF(INDEX([1]Pivot!$AD$1:$BE$65000,$B484,G$5)=1,1,IF(AND(G483&gt;=1,G483&lt;=9,ROW()&lt;=cur_line),G483+1,0)),0)</f>
        <v>0</v>
      </c>
      <c r="H484" s="194">
        <f>IFERROR(IF(INDEX([1]Pivot!$AD$1:$BE$65000,$B484,H$5)=1,1,IF(AND(H483&gt;=1,H483&lt;=9,ROW()&lt;=cur_line),H483+1,0)),0)</f>
        <v>0</v>
      </c>
      <c r="I484" s="194">
        <f>IFERROR(IF(INDEX([1]Pivot!$AD$1:$BE$65000,$B484,I$5)=1,1,IF(AND(I483&gt;=1,I483&lt;=9,ROW()&lt;=cur_line),I483+1,0)),0)</f>
        <v>0</v>
      </c>
      <c r="J484" s="194">
        <f>IFERROR(IF(INDEX([1]Pivot!$AD$1:$BE$65000,$B484,J$5)=1,1,IF(AND(J483&gt;=1,J483&lt;=9,ROW()&lt;=cur_line),J483+1,0)),0)</f>
        <v>0</v>
      </c>
      <c r="K484" s="194">
        <f>IFERROR(IF(INDEX([1]Pivot!$AD$1:$BE$65000,$B484,K$5)=1,1,IF(AND(K483&gt;=1,K483&lt;=9,ROW()&lt;=cur_line),K483+1,0)),0)</f>
        <v>0</v>
      </c>
      <c r="L484" s="194">
        <f>IFERROR(IF(INDEX([1]Pivot!$AD$1:$BE$65000,$B484,L$5)=1,1,IF(AND(L483&gt;=1,L483&lt;=9,ROW()&lt;=cur_line),L483+1,0)),0)</f>
        <v>0</v>
      </c>
      <c r="M484" s="194">
        <f>IFERROR(IF(INDEX([1]Pivot!$AD$1:$BE$65000,$B484,M$5)=1,1,IF(AND(M483&gt;=1,M483&lt;=9,ROW()&lt;=cur_line),M483+1,0)),0)</f>
        <v>0</v>
      </c>
      <c r="N484" s="194">
        <f>IFERROR(IF(INDEX([1]Pivot!$AD$1:$BE$65000,$B484,N$5)=1,1,IF(AND(N483&gt;=1,N483&lt;=9,ROW()&lt;=cur_line),N483+1,0)),0)</f>
        <v>0</v>
      </c>
      <c r="O484" s="194">
        <f>IFERROR(IF(INDEX([1]Pivot!$AD$1:$BE$65000,$B484,O$5)=1,1,IF(AND(O483&gt;=1,O483&lt;=9,ROW()&lt;=cur_line),O483+1,0)),0)</f>
        <v>0</v>
      </c>
      <c r="P484" s="194">
        <f>IFERROR(IF(INDEX([1]Pivot!$AD$1:$BE$65000,$B484,P$5)=1,1,IF(AND(P483&gt;=1,P483&lt;=9,ROW()&lt;=cur_line),P483+1,0)),0)</f>
        <v>0</v>
      </c>
      <c r="Q484" s="194">
        <f>IFERROR(IF(INDEX([1]Pivot!$AD$1:$BE$65000,$B484,Q$5)=1,1,IF(AND(Q483&gt;=1,Q483&lt;=9,ROW()&lt;=cur_line),Q483+1,0)),0)</f>
        <v>0</v>
      </c>
      <c r="R484" s="312"/>
      <c r="S484" s="194">
        <f>IFERROR(IF(INDEX([1]Pivot!$AD$1:$BE$65000,$B484,S$5)=1,1,IF(AND(S483&gt;=1,S483&lt;=9,ROW()&lt;=cur_line),S483+1,0)),0)</f>
        <v>0</v>
      </c>
      <c r="T484" s="194">
        <f>IFERROR(IF(INDEX([1]Pivot!$AD$1:$BE$65000,$B484,T$5)=1,1,IF(AND(T483&gt;=1,T483&lt;=9,ROW()&lt;=cur_line),T483+1,0)),0)</f>
        <v>0</v>
      </c>
      <c r="U484" s="194">
        <f>IFERROR(IF(INDEX([1]Pivot!$AD$1:$BE$65000,$B484,U$5)=1,1,IF(AND(U483&gt;=1,U483&lt;=9,ROW()&lt;=cur_line),U483+1,0)),0)</f>
        <v>0</v>
      </c>
      <c r="V484" s="194">
        <f>IFERROR(IF(INDEX([1]Pivot!$AD$1:$BE$65000,$B484,V$5)=1,1,IF(AND(V483&gt;=1,V483&lt;=9,ROW()&lt;=cur_line),V483+1,0)),0)</f>
        <v>0</v>
      </c>
      <c r="W484" s="194">
        <f>IFERROR(IF(INDEX([1]Pivot!$AD$1:$BE$65000,$B484,W$5)=1,1,IF(AND(W483&gt;=1,W483&lt;=9,ROW()&lt;=cur_line),W483+1,0)),0)</f>
        <v>0</v>
      </c>
      <c r="X484" s="194">
        <f>IFERROR(IF(INDEX([1]Pivot!$AD$1:$BE$65000,$B484,X$5)=1,1,IF(AND(X483&gt;=1,X483&lt;=9,ROW()&lt;=cur_line),X483+1,0)),0)</f>
        <v>0</v>
      </c>
      <c r="Y484" s="194">
        <f>IFERROR(IF(INDEX([1]Pivot!$AD$1:$BE$65000,$B484,Y$5)=1,1,IF(AND(Y483&gt;=1,Y483&lt;=9,ROW()&lt;=cur_line),Y483+1,0)),0)</f>
        <v>0</v>
      </c>
      <c r="Z484" s="194">
        <f>IFERROR(IF(INDEX([1]Pivot!$AD$1:$BE$65000,$B484,Z$5)=1,1,IF(AND(Z483&gt;=1,Z483&lt;=9,ROW()&lt;=cur_line),Z483+1,0)),0)</f>
        <v>0</v>
      </c>
      <c r="AA484" s="194">
        <f>IFERROR(IF(INDEX([1]Pivot!$AD$1:$BE$65000,$B484,AA$5)=1,1,IF(AND(AA483&gt;=1,AA483&lt;=9,ROW()&lt;=cur_line),AA483+1,0)),0)</f>
        <v>0</v>
      </c>
      <c r="AB484" s="194">
        <f>IFERROR(IF(INDEX([1]Pivot!$AD$1:$BE$65000,$B484,AB$5)=1,1,IF(AND(AB483&gt;=1,AB483&lt;=9,ROW()&lt;=cur_line),AB483+1,0)),0)</f>
        <v>0</v>
      </c>
      <c r="AC484" s="194">
        <f>IFERROR(IF(INDEX([1]Pivot!$AD$1:$BE$65000,$B484,AC$5)=1,1,IF(AND(AC483&gt;=1,AC483&lt;=9,ROW()&lt;=cur_line),AC483+1,0)),0)</f>
        <v>0</v>
      </c>
      <c r="AD484" s="313">
        <f>IFERROR(IF(INDEX([1]Pivot!$BF$1:$CG$65000,$B484,AD$5)=1,1,IF(AND(AD483&gt;=1,AD483&lt;=9,ROW()&lt;=cur_line),AD483+1,0)),0)</f>
        <v>0</v>
      </c>
      <c r="AE484" s="313">
        <f>IFERROR(IF(INDEX([1]Pivot!$BF$1:$CG$65000,$B484,AE$5)=1,1,IF(AND(AE483&gt;=1,AE483&lt;=9,ROW()&lt;=cur_line),AE483+1,0)),0)</f>
        <v>0</v>
      </c>
      <c r="AF484" s="313">
        <f>IFERROR(IF(INDEX([1]Pivot!$BF$1:$CG$65000,$B484,AF$5)=1,1,IF(AND(AF483&gt;=1,AF483&lt;=9,ROW()&lt;=cur_line),AF483+1,0)),0)</f>
        <v>0</v>
      </c>
      <c r="AG484" s="313">
        <f>IFERROR(IF(INDEX([1]Pivot!$BF$1:$CG$65000,$B484,AG$5)=1,1,IF(AND(AG483&gt;=1,AG483&lt;=9,ROW()&lt;=cur_line),AG483+1,0)),0)</f>
        <v>0</v>
      </c>
      <c r="AH484" s="313">
        <f>IFERROR(IF(INDEX([1]Pivot!$BF$1:$CG$65000,$B484,AH$5)=1,1,IF(AND(AH483&gt;=1,AH483&lt;=9,ROW()&lt;=cur_line),AH483+1,0)),0)</f>
        <v>0</v>
      </c>
      <c r="AI484" s="313">
        <f>IFERROR(IF(INDEX([1]Pivot!$BF$1:$CG$65000,$B484,AI$5)=1,1,IF(AND(AI483&gt;=1,AI483&lt;=9,ROW()&lt;=cur_line),AI483+1,0)),0)</f>
        <v>0</v>
      </c>
      <c r="AJ484" s="313">
        <f>IFERROR(IF(INDEX([1]Pivot!$BF$1:$CG$65000,$B484,AJ$5)=1,1,IF(AND(AJ483&gt;=1,AJ483&lt;=9,ROW()&lt;=cur_line),AJ483+1,0)),0)</f>
        <v>0</v>
      </c>
      <c r="AK484" s="313">
        <f>IFERROR(IF(INDEX([1]Pivot!$BF$1:$CG$65000,$B484,AK$5)=1,1,IF(AND(AK483&gt;=1,AK483&lt;=9,ROW()&lt;=cur_line),AK483+1,0)),0)</f>
        <v>0</v>
      </c>
      <c r="AL484" s="313">
        <f>IFERROR(IF(INDEX([1]Pivot!$BF$1:$CG$65000,$B484,AL$5)=1,1,IF(AND(AL483&gt;=1,AL483&lt;=9,ROW()&lt;=cur_line),AL483+1,0)),0)</f>
        <v>0</v>
      </c>
      <c r="AM484" s="313">
        <f>IFERROR(IF(INDEX([1]Pivot!$BF$1:$CG$65000,$B484,AM$5)=1,1,IF(AND(AM483&gt;=1,AM483&lt;=9,ROW()&lt;=cur_line),AM483+1,0)),0)</f>
        <v>0</v>
      </c>
      <c r="AN484" s="313">
        <f>IFERROR(IF(INDEX([1]Pivot!$BF$1:$CG$65000,$B484,AN$5)=1,1,IF(AND(AN483&gt;=1,AN483&lt;=9,ROW()&lt;=cur_line),AN483+1,0)),0)</f>
        <v>0</v>
      </c>
      <c r="AO484" s="313">
        <f>IFERROR(IF(INDEX([1]Pivot!$BF$1:$CG$65000,$B484,AO$5)=1,1,IF(AND(AO483&gt;=1,AO483&lt;=9,ROW()&lt;=cur_line),AO483+1,0)),0)</f>
        <v>0</v>
      </c>
      <c r="AP484" s="313">
        <f>IFERROR(IF(INDEX([1]Pivot!$BF$1:$CG$65000,$B484,AP$5)=1,1,IF(AND(AP483&gt;=1,AP483&lt;=9,ROW()&lt;=cur_line),AP483+1,0)),0)</f>
        <v>0</v>
      </c>
      <c r="AQ484" s="313">
        <f>IFERROR(IF(INDEX([1]Pivot!$BF$1:$CG$65000,$B484,AQ$5)=1,1,IF(AND(AQ483&gt;=1,AQ483&lt;=9,ROW()&lt;=cur_line),AQ483+1,0)),0)</f>
        <v>0</v>
      </c>
      <c r="AR484" s="313">
        <f>IFERROR(IF(INDEX([1]Pivot!$BF$1:$CG$65000,$B484,AR$5)=1,1,IF(AND(AR483&gt;=1,AR483&lt;=9,ROW()&lt;=cur_line),AR483+1,0)),0)</f>
        <v>0</v>
      </c>
      <c r="AS484" s="312"/>
      <c r="AT484" s="313">
        <f>IFERROR(IF(INDEX([1]Pivot!$BF$1:$CG$65000,$B484,AT$5)=1,1,IF(AND(AT483&gt;=1,AT483&lt;=9,ROW()&lt;=cur_line),AT483+1,0)),0)</f>
        <v>0</v>
      </c>
      <c r="AU484" s="313">
        <f>IFERROR(IF(INDEX([1]Pivot!$BF$1:$CG$65000,$B484,AU$5)=1,1,IF(AND(AU483&gt;=1,AU483&lt;=9,ROW()&lt;=cur_line),AU483+1,0)),0)</f>
        <v>0</v>
      </c>
      <c r="AV484" s="313">
        <f>IFERROR(IF(INDEX([1]Pivot!$BF$1:$CG$65000,$B484,AV$5)=1,1,IF(AND(AV483&gt;=1,AV483&lt;=9,ROW()&lt;=cur_line),AV483+1,0)),0)</f>
        <v>0</v>
      </c>
      <c r="AW484" s="313">
        <f>IFERROR(IF(INDEX([1]Pivot!$BF$1:$CG$65000,$B484,AW$5)=1,1,IF(AND(AW483&gt;=1,AW483&lt;=9,ROW()&lt;=cur_line),AW483+1,0)),0)</f>
        <v>0</v>
      </c>
      <c r="AX484" s="313">
        <f>IFERROR(IF(INDEX([1]Pivot!$BF$1:$CG$65000,$B484,AX$5)=1,1,IF(AND(AX483&gt;=1,AX483&lt;=9,ROW()&lt;=cur_line),AX483+1,0)),0)</f>
        <v>0</v>
      </c>
      <c r="AY484" s="313">
        <f>IFERROR(IF(INDEX([1]Pivot!$BF$1:$CG$65000,$B484,AY$5)=1,1,IF(AND(AY483&gt;=1,AY483&lt;=9,ROW()&lt;=cur_line),AY483+1,0)),0)</f>
        <v>0</v>
      </c>
      <c r="AZ484" s="313">
        <f>IFERROR(IF(INDEX([1]Pivot!$BF$1:$CG$65000,$B484,AZ$5)=1,1,IF(AND(AZ483&gt;=1,AZ483&lt;=9,ROW()&lt;=cur_line),AZ483+1,0)),0)</f>
        <v>0</v>
      </c>
      <c r="BA484" s="313">
        <f>IFERROR(IF(INDEX([1]Pivot!$BF$1:$CG$65000,$B484,BA$5)=1,1,IF(AND(BA483&gt;=1,BA483&lt;=9,ROW()&lt;=cur_line),BA483+1,0)),0)</f>
        <v>0</v>
      </c>
      <c r="BB484" s="313">
        <f>IFERROR(IF(INDEX([1]Pivot!$BF$1:$CG$65000,$B484,BB$5)=1,1,IF(AND(BB483&gt;=1,BB483&lt;=9,ROW()&lt;=cur_line),BB483+1,0)),0)</f>
        <v>0</v>
      </c>
      <c r="BC484" s="313">
        <f>IFERROR(IF(INDEX([1]Pivot!$BF$1:$CG$65000,$B484,BC$5)=1,1,IF(AND(BC483&gt;=1,BC483&lt;=9,ROW()&lt;=cur_line),BC483+1,0)),0)</f>
        <v>0</v>
      </c>
      <c r="BD484" s="313">
        <f>IFERROR(IF(INDEX([1]Pivot!$BF$1:$CG$65000,$B484,BD$5)=1,1,IF(AND(BD483&gt;=1,BD483&lt;=9,ROW()&lt;=cur_line),BD483+1,0)),0)</f>
        <v>0</v>
      </c>
    </row>
    <row r="485" spans="1:56" hidden="1" outlineLevel="1" x14ac:dyDescent="0.25">
      <c r="A485" s="288" t="str">
        <f>'[2]Raw Milk Prices'!A485</f>
        <v>2016m10</v>
      </c>
      <c r="B485" s="296" t="e">
        <f>MATCH(DATE(LEFT('[2]Raw Milk Prices'!$A485,4),RIGHT('[2]Raw Milk Prices'!$A485,2),1),[1]Pivot!$A$1:$A$65000,0)</f>
        <v>#N/A</v>
      </c>
      <c r="C485" s="194">
        <f>IFERROR(IF(INDEX([1]Pivot!$AD$1:$BE$65000,$B485,C$5)=1,1,IF(AND(C484&gt;=1,C484&lt;=9,ROW()&lt;=cur_line),C484+1,0)),0)</f>
        <v>0</v>
      </c>
      <c r="D485" s="194">
        <f>IFERROR(IF(INDEX([1]Pivot!$AD$1:$BE$65000,$B485,D$5)=1,1,IF(AND(D484&gt;=1,D484&lt;=9,ROW()&lt;=cur_line),D484+1,0)),0)</f>
        <v>0</v>
      </c>
      <c r="E485" s="194">
        <f>IFERROR(IF(INDEX([1]Pivot!$AD$1:$BE$65000,$B485,E$5)=1,1,IF(AND(E484&gt;=1,E484&lt;=9,ROW()&lt;=cur_line),E484+1,0)),0)</f>
        <v>0</v>
      </c>
      <c r="F485" s="194">
        <f>IFERROR(IF(INDEX([1]Pivot!$AD$1:$BE$65000,$B485,F$5)=1,1,IF(AND(F484&gt;=1,F484&lt;=9,ROW()&lt;=cur_line),F484+1,0)),0)</f>
        <v>0</v>
      </c>
      <c r="G485" s="194">
        <f>IFERROR(IF(INDEX([1]Pivot!$AD$1:$BE$65000,$B485,G$5)=1,1,IF(AND(G484&gt;=1,G484&lt;=9,ROW()&lt;=cur_line),G484+1,0)),0)</f>
        <v>0</v>
      </c>
      <c r="H485" s="194">
        <f>IFERROR(IF(INDEX([1]Pivot!$AD$1:$BE$65000,$B485,H$5)=1,1,IF(AND(H484&gt;=1,H484&lt;=9,ROW()&lt;=cur_line),H484+1,0)),0)</f>
        <v>0</v>
      </c>
      <c r="I485" s="194">
        <f>IFERROR(IF(INDEX([1]Pivot!$AD$1:$BE$65000,$B485,I$5)=1,1,IF(AND(I484&gt;=1,I484&lt;=9,ROW()&lt;=cur_line),I484+1,0)),0)</f>
        <v>0</v>
      </c>
      <c r="J485" s="194">
        <f>IFERROR(IF(INDEX([1]Pivot!$AD$1:$BE$65000,$B485,J$5)=1,1,IF(AND(J484&gt;=1,J484&lt;=9,ROW()&lt;=cur_line),J484+1,0)),0)</f>
        <v>0</v>
      </c>
      <c r="K485" s="194">
        <f>IFERROR(IF(INDEX([1]Pivot!$AD$1:$BE$65000,$B485,K$5)=1,1,IF(AND(K484&gt;=1,K484&lt;=9,ROW()&lt;=cur_line),K484+1,0)),0)</f>
        <v>0</v>
      </c>
      <c r="L485" s="194">
        <f>IFERROR(IF(INDEX([1]Pivot!$AD$1:$BE$65000,$B485,L$5)=1,1,IF(AND(L484&gt;=1,L484&lt;=9,ROW()&lt;=cur_line),L484+1,0)),0)</f>
        <v>0</v>
      </c>
      <c r="M485" s="194">
        <f>IFERROR(IF(INDEX([1]Pivot!$AD$1:$BE$65000,$B485,M$5)=1,1,IF(AND(M484&gt;=1,M484&lt;=9,ROW()&lt;=cur_line),M484+1,0)),0)</f>
        <v>0</v>
      </c>
      <c r="N485" s="194">
        <f>IFERROR(IF(INDEX([1]Pivot!$AD$1:$BE$65000,$B485,N$5)=1,1,IF(AND(N484&gt;=1,N484&lt;=9,ROW()&lt;=cur_line),N484+1,0)),0)</f>
        <v>0</v>
      </c>
      <c r="O485" s="194">
        <f>IFERROR(IF(INDEX([1]Pivot!$AD$1:$BE$65000,$B485,O$5)=1,1,IF(AND(O484&gt;=1,O484&lt;=9,ROW()&lt;=cur_line),O484+1,0)),0)</f>
        <v>0</v>
      </c>
      <c r="P485" s="194">
        <f>IFERROR(IF(INDEX([1]Pivot!$AD$1:$BE$65000,$B485,P$5)=1,1,IF(AND(P484&gt;=1,P484&lt;=9,ROW()&lt;=cur_line),P484+1,0)),0)</f>
        <v>0</v>
      </c>
      <c r="Q485" s="194">
        <f>IFERROR(IF(INDEX([1]Pivot!$AD$1:$BE$65000,$B485,Q$5)=1,1,IF(AND(Q484&gt;=1,Q484&lt;=9,ROW()&lt;=cur_line),Q484+1,0)),0)</f>
        <v>0</v>
      </c>
      <c r="R485" s="312"/>
      <c r="S485" s="194">
        <f>IFERROR(IF(INDEX([1]Pivot!$AD$1:$BE$65000,$B485,S$5)=1,1,IF(AND(S484&gt;=1,S484&lt;=9,ROW()&lt;=cur_line),S484+1,0)),0)</f>
        <v>0</v>
      </c>
      <c r="T485" s="194">
        <f>IFERROR(IF(INDEX([1]Pivot!$AD$1:$BE$65000,$B485,T$5)=1,1,IF(AND(T484&gt;=1,T484&lt;=9,ROW()&lt;=cur_line),T484+1,0)),0)</f>
        <v>0</v>
      </c>
      <c r="U485" s="194">
        <f>IFERROR(IF(INDEX([1]Pivot!$AD$1:$BE$65000,$B485,U$5)=1,1,IF(AND(U484&gt;=1,U484&lt;=9,ROW()&lt;=cur_line),U484+1,0)),0)</f>
        <v>0</v>
      </c>
      <c r="V485" s="194">
        <f>IFERROR(IF(INDEX([1]Pivot!$AD$1:$BE$65000,$B485,V$5)=1,1,IF(AND(V484&gt;=1,V484&lt;=9,ROW()&lt;=cur_line),V484+1,0)),0)</f>
        <v>0</v>
      </c>
      <c r="W485" s="194">
        <f>IFERROR(IF(INDEX([1]Pivot!$AD$1:$BE$65000,$B485,W$5)=1,1,IF(AND(W484&gt;=1,W484&lt;=9,ROW()&lt;=cur_line),W484+1,0)),0)</f>
        <v>0</v>
      </c>
      <c r="X485" s="194">
        <f>IFERROR(IF(INDEX([1]Pivot!$AD$1:$BE$65000,$B485,X$5)=1,1,IF(AND(X484&gt;=1,X484&lt;=9,ROW()&lt;=cur_line),X484+1,0)),0)</f>
        <v>0</v>
      </c>
      <c r="Y485" s="194">
        <f>IFERROR(IF(INDEX([1]Pivot!$AD$1:$BE$65000,$B485,Y$5)=1,1,IF(AND(Y484&gt;=1,Y484&lt;=9,ROW()&lt;=cur_line),Y484+1,0)),0)</f>
        <v>0</v>
      </c>
      <c r="Z485" s="194">
        <f>IFERROR(IF(INDEX([1]Pivot!$AD$1:$BE$65000,$B485,Z$5)=1,1,IF(AND(Z484&gt;=1,Z484&lt;=9,ROW()&lt;=cur_line),Z484+1,0)),0)</f>
        <v>0</v>
      </c>
      <c r="AA485" s="194">
        <f>IFERROR(IF(INDEX([1]Pivot!$AD$1:$BE$65000,$B485,AA$5)=1,1,IF(AND(AA484&gt;=1,AA484&lt;=9,ROW()&lt;=cur_line),AA484+1,0)),0)</f>
        <v>0</v>
      </c>
      <c r="AB485" s="194">
        <f>IFERROR(IF(INDEX([1]Pivot!$AD$1:$BE$65000,$B485,AB$5)=1,1,IF(AND(AB484&gt;=1,AB484&lt;=9,ROW()&lt;=cur_line),AB484+1,0)),0)</f>
        <v>0</v>
      </c>
      <c r="AC485" s="194">
        <f>IFERROR(IF(INDEX([1]Pivot!$AD$1:$BE$65000,$B485,AC$5)=1,1,IF(AND(AC484&gt;=1,AC484&lt;=9,ROW()&lt;=cur_line),AC484+1,0)),0)</f>
        <v>0</v>
      </c>
      <c r="AD485" s="313">
        <f>IFERROR(IF(INDEX([1]Pivot!$BF$1:$CG$65000,$B485,AD$5)=1,1,IF(AND(AD484&gt;=1,AD484&lt;=9,ROW()&lt;=cur_line),AD484+1,0)),0)</f>
        <v>0</v>
      </c>
      <c r="AE485" s="313">
        <f>IFERROR(IF(INDEX([1]Pivot!$BF$1:$CG$65000,$B485,AE$5)=1,1,IF(AND(AE484&gt;=1,AE484&lt;=9,ROW()&lt;=cur_line),AE484+1,0)),0)</f>
        <v>0</v>
      </c>
      <c r="AF485" s="313">
        <f>IFERROR(IF(INDEX([1]Pivot!$BF$1:$CG$65000,$B485,AF$5)=1,1,IF(AND(AF484&gt;=1,AF484&lt;=9,ROW()&lt;=cur_line),AF484+1,0)),0)</f>
        <v>0</v>
      </c>
      <c r="AG485" s="313">
        <f>IFERROR(IF(INDEX([1]Pivot!$BF$1:$CG$65000,$B485,AG$5)=1,1,IF(AND(AG484&gt;=1,AG484&lt;=9,ROW()&lt;=cur_line),AG484+1,0)),0)</f>
        <v>0</v>
      </c>
      <c r="AH485" s="313">
        <f>IFERROR(IF(INDEX([1]Pivot!$BF$1:$CG$65000,$B485,AH$5)=1,1,IF(AND(AH484&gt;=1,AH484&lt;=9,ROW()&lt;=cur_line),AH484+1,0)),0)</f>
        <v>0</v>
      </c>
      <c r="AI485" s="313">
        <f>IFERROR(IF(INDEX([1]Pivot!$BF$1:$CG$65000,$B485,AI$5)=1,1,IF(AND(AI484&gt;=1,AI484&lt;=9,ROW()&lt;=cur_line),AI484+1,0)),0)</f>
        <v>0</v>
      </c>
      <c r="AJ485" s="313">
        <f>IFERROR(IF(INDEX([1]Pivot!$BF$1:$CG$65000,$B485,AJ$5)=1,1,IF(AND(AJ484&gt;=1,AJ484&lt;=9,ROW()&lt;=cur_line),AJ484+1,0)),0)</f>
        <v>0</v>
      </c>
      <c r="AK485" s="313">
        <f>IFERROR(IF(INDEX([1]Pivot!$BF$1:$CG$65000,$B485,AK$5)=1,1,IF(AND(AK484&gt;=1,AK484&lt;=9,ROW()&lt;=cur_line),AK484+1,0)),0)</f>
        <v>0</v>
      </c>
      <c r="AL485" s="313">
        <f>IFERROR(IF(INDEX([1]Pivot!$BF$1:$CG$65000,$B485,AL$5)=1,1,IF(AND(AL484&gt;=1,AL484&lt;=9,ROW()&lt;=cur_line),AL484+1,0)),0)</f>
        <v>0</v>
      </c>
      <c r="AM485" s="313">
        <f>IFERROR(IF(INDEX([1]Pivot!$BF$1:$CG$65000,$B485,AM$5)=1,1,IF(AND(AM484&gt;=1,AM484&lt;=9,ROW()&lt;=cur_line),AM484+1,0)),0)</f>
        <v>0</v>
      </c>
      <c r="AN485" s="313">
        <f>IFERROR(IF(INDEX([1]Pivot!$BF$1:$CG$65000,$B485,AN$5)=1,1,IF(AND(AN484&gt;=1,AN484&lt;=9,ROW()&lt;=cur_line),AN484+1,0)),0)</f>
        <v>0</v>
      </c>
      <c r="AO485" s="313">
        <f>IFERROR(IF(INDEX([1]Pivot!$BF$1:$CG$65000,$B485,AO$5)=1,1,IF(AND(AO484&gt;=1,AO484&lt;=9,ROW()&lt;=cur_line),AO484+1,0)),0)</f>
        <v>0</v>
      </c>
      <c r="AP485" s="313">
        <f>IFERROR(IF(INDEX([1]Pivot!$BF$1:$CG$65000,$B485,AP$5)=1,1,IF(AND(AP484&gt;=1,AP484&lt;=9,ROW()&lt;=cur_line),AP484+1,0)),0)</f>
        <v>0</v>
      </c>
      <c r="AQ485" s="313">
        <f>IFERROR(IF(INDEX([1]Pivot!$BF$1:$CG$65000,$B485,AQ$5)=1,1,IF(AND(AQ484&gt;=1,AQ484&lt;=9,ROW()&lt;=cur_line),AQ484+1,0)),0)</f>
        <v>0</v>
      </c>
      <c r="AR485" s="313">
        <f>IFERROR(IF(INDEX([1]Pivot!$BF$1:$CG$65000,$B485,AR$5)=1,1,IF(AND(AR484&gt;=1,AR484&lt;=9,ROW()&lt;=cur_line),AR484+1,0)),0)</f>
        <v>0</v>
      </c>
      <c r="AS485" s="312"/>
      <c r="AT485" s="313">
        <f>IFERROR(IF(INDEX([1]Pivot!$BF$1:$CG$65000,$B485,AT$5)=1,1,IF(AND(AT484&gt;=1,AT484&lt;=9,ROW()&lt;=cur_line),AT484+1,0)),0)</f>
        <v>0</v>
      </c>
      <c r="AU485" s="313">
        <f>IFERROR(IF(INDEX([1]Pivot!$BF$1:$CG$65000,$B485,AU$5)=1,1,IF(AND(AU484&gt;=1,AU484&lt;=9,ROW()&lt;=cur_line),AU484+1,0)),0)</f>
        <v>0</v>
      </c>
      <c r="AV485" s="313">
        <f>IFERROR(IF(INDEX([1]Pivot!$BF$1:$CG$65000,$B485,AV$5)=1,1,IF(AND(AV484&gt;=1,AV484&lt;=9,ROW()&lt;=cur_line),AV484+1,0)),0)</f>
        <v>0</v>
      </c>
      <c r="AW485" s="313">
        <f>IFERROR(IF(INDEX([1]Pivot!$BF$1:$CG$65000,$B485,AW$5)=1,1,IF(AND(AW484&gt;=1,AW484&lt;=9,ROW()&lt;=cur_line),AW484+1,0)),0)</f>
        <v>0</v>
      </c>
      <c r="AX485" s="313">
        <f>IFERROR(IF(INDEX([1]Pivot!$BF$1:$CG$65000,$B485,AX$5)=1,1,IF(AND(AX484&gt;=1,AX484&lt;=9,ROW()&lt;=cur_line),AX484+1,0)),0)</f>
        <v>0</v>
      </c>
      <c r="AY485" s="313">
        <f>IFERROR(IF(INDEX([1]Pivot!$BF$1:$CG$65000,$B485,AY$5)=1,1,IF(AND(AY484&gt;=1,AY484&lt;=9,ROW()&lt;=cur_line),AY484+1,0)),0)</f>
        <v>0</v>
      </c>
      <c r="AZ485" s="313">
        <f>IFERROR(IF(INDEX([1]Pivot!$BF$1:$CG$65000,$B485,AZ$5)=1,1,IF(AND(AZ484&gt;=1,AZ484&lt;=9,ROW()&lt;=cur_line),AZ484+1,0)),0)</f>
        <v>0</v>
      </c>
      <c r="BA485" s="313">
        <f>IFERROR(IF(INDEX([1]Pivot!$BF$1:$CG$65000,$B485,BA$5)=1,1,IF(AND(BA484&gt;=1,BA484&lt;=9,ROW()&lt;=cur_line),BA484+1,0)),0)</f>
        <v>0</v>
      </c>
      <c r="BB485" s="313">
        <f>IFERROR(IF(INDEX([1]Pivot!$BF$1:$CG$65000,$B485,BB$5)=1,1,IF(AND(BB484&gt;=1,BB484&lt;=9,ROW()&lt;=cur_line),BB484+1,0)),0)</f>
        <v>0</v>
      </c>
      <c r="BC485" s="313">
        <f>IFERROR(IF(INDEX([1]Pivot!$BF$1:$CG$65000,$B485,BC$5)=1,1,IF(AND(BC484&gt;=1,BC484&lt;=9,ROW()&lt;=cur_line),BC484+1,0)),0)</f>
        <v>0</v>
      </c>
      <c r="BD485" s="313">
        <f>IFERROR(IF(INDEX([1]Pivot!$BF$1:$CG$65000,$B485,BD$5)=1,1,IF(AND(BD484&gt;=1,BD484&lt;=9,ROW()&lt;=cur_line),BD484+1,0)),0)</f>
        <v>0</v>
      </c>
    </row>
    <row r="486" spans="1:56" hidden="1" outlineLevel="1" x14ac:dyDescent="0.25">
      <c r="A486" s="288" t="str">
        <f>'[2]Raw Milk Prices'!A486</f>
        <v>2016m11</v>
      </c>
      <c r="B486" s="296" t="e">
        <f>MATCH(DATE(LEFT('[2]Raw Milk Prices'!$A486,4),RIGHT('[2]Raw Milk Prices'!$A486,2),1),[1]Pivot!$A$1:$A$65000,0)</f>
        <v>#N/A</v>
      </c>
      <c r="C486" s="194">
        <f>IFERROR(IF(INDEX([1]Pivot!$AD$1:$BE$65000,$B486,C$5)=1,1,IF(AND(C485&gt;=1,C485&lt;=9,ROW()&lt;=cur_line),C485+1,0)),0)</f>
        <v>0</v>
      </c>
      <c r="D486" s="194">
        <f>IFERROR(IF(INDEX([1]Pivot!$AD$1:$BE$65000,$B486,D$5)=1,1,IF(AND(D485&gt;=1,D485&lt;=9,ROW()&lt;=cur_line),D485+1,0)),0)</f>
        <v>0</v>
      </c>
      <c r="E486" s="194">
        <f>IFERROR(IF(INDEX([1]Pivot!$AD$1:$BE$65000,$B486,E$5)=1,1,IF(AND(E485&gt;=1,E485&lt;=9,ROW()&lt;=cur_line),E485+1,0)),0)</f>
        <v>0</v>
      </c>
      <c r="F486" s="194">
        <f>IFERROR(IF(INDEX([1]Pivot!$AD$1:$BE$65000,$B486,F$5)=1,1,IF(AND(F485&gt;=1,F485&lt;=9,ROW()&lt;=cur_line),F485+1,0)),0)</f>
        <v>0</v>
      </c>
      <c r="G486" s="194">
        <f>IFERROR(IF(INDEX([1]Pivot!$AD$1:$BE$65000,$B486,G$5)=1,1,IF(AND(G485&gt;=1,G485&lt;=9,ROW()&lt;=cur_line),G485+1,0)),0)</f>
        <v>0</v>
      </c>
      <c r="H486" s="194">
        <f>IFERROR(IF(INDEX([1]Pivot!$AD$1:$BE$65000,$B486,H$5)=1,1,IF(AND(H485&gt;=1,H485&lt;=9,ROW()&lt;=cur_line),H485+1,0)),0)</f>
        <v>0</v>
      </c>
      <c r="I486" s="194">
        <f>IFERROR(IF(INDEX([1]Pivot!$AD$1:$BE$65000,$B486,I$5)=1,1,IF(AND(I485&gt;=1,I485&lt;=9,ROW()&lt;=cur_line),I485+1,0)),0)</f>
        <v>0</v>
      </c>
      <c r="J486" s="194">
        <f>IFERROR(IF(INDEX([1]Pivot!$AD$1:$BE$65000,$B486,J$5)=1,1,IF(AND(J485&gt;=1,J485&lt;=9,ROW()&lt;=cur_line),J485+1,0)),0)</f>
        <v>0</v>
      </c>
      <c r="K486" s="194">
        <f>IFERROR(IF(INDEX([1]Pivot!$AD$1:$BE$65000,$B486,K$5)=1,1,IF(AND(K485&gt;=1,K485&lt;=9,ROW()&lt;=cur_line),K485+1,0)),0)</f>
        <v>0</v>
      </c>
      <c r="L486" s="194">
        <f>IFERROR(IF(INDEX([1]Pivot!$AD$1:$BE$65000,$B486,L$5)=1,1,IF(AND(L485&gt;=1,L485&lt;=9,ROW()&lt;=cur_line),L485+1,0)),0)</f>
        <v>0</v>
      </c>
      <c r="M486" s="194">
        <f>IFERROR(IF(INDEX([1]Pivot!$AD$1:$BE$65000,$B486,M$5)=1,1,IF(AND(M485&gt;=1,M485&lt;=9,ROW()&lt;=cur_line),M485+1,0)),0)</f>
        <v>0</v>
      </c>
      <c r="N486" s="194">
        <f>IFERROR(IF(INDEX([1]Pivot!$AD$1:$BE$65000,$B486,N$5)=1,1,IF(AND(N485&gt;=1,N485&lt;=9,ROW()&lt;=cur_line),N485+1,0)),0)</f>
        <v>0</v>
      </c>
      <c r="O486" s="194">
        <f>IFERROR(IF(INDEX([1]Pivot!$AD$1:$BE$65000,$B486,O$5)=1,1,IF(AND(O485&gt;=1,O485&lt;=9,ROW()&lt;=cur_line),O485+1,0)),0)</f>
        <v>0</v>
      </c>
      <c r="P486" s="194">
        <f>IFERROR(IF(INDEX([1]Pivot!$AD$1:$BE$65000,$B486,P$5)=1,1,IF(AND(P485&gt;=1,P485&lt;=9,ROW()&lt;=cur_line),P485+1,0)),0)</f>
        <v>0</v>
      </c>
      <c r="Q486" s="194">
        <f>IFERROR(IF(INDEX([1]Pivot!$AD$1:$BE$65000,$B486,Q$5)=1,1,IF(AND(Q485&gt;=1,Q485&lt;=9,ROW()&lt;=cur_line),Q485+1,0)),0)</f>
        <v>0</v>
      </c>
      <c r="R486" s="312"/>
      <c r="S486" s="194">
        <f>IFERROR(IF(INDEX([1]Pivot!$AD$1:$BE$65000,$B486,S$5)=1,1,IF(AND(S485&gt;=1,S485&lt;=9,ROW()&lt;=cur_line),S485+1,0)),0)</f>
        <v>0</v>
      </c>
      <c r="T486" s="194">
        <f>IFERROR(IF(INDEX([1]Pivot!$AD$1:$BE$65000,$B486,T$5)=1,1,IF(AND(T485&gt;=1,T485&lt;=9,ROW()&lt;=cur_line),T485+1,0)),0)</f>
        <v>0</v>
      </c>
      <c r="U486" s="194">
        <f>IFERROR(IF(INDEX([1]Pivot!$AD$1:$BE$65000,$B486,U$5)=1,1,IF(AND(U485&gt;=1,U485&lt;=9,ROW()&lt;=cur_line),U485+1,0)),0)</f>
        <v>0</v>
      </c>
      <c r="V486" s="194">
        <f>IFERROR(IF(INDEX([1]Pivot!$AD$1:$BE$65000,$B486,V$5)=1,1,IF(AND(V485&gt;=1,V485&lt;=9,ROW()&lt;=cur_line),V485+1,0)),0)</f>
        <v>0</v>
      </c>
      <c r="W486" s="194">
        <f>IFERROR(IF(INDEX([1]Pivot!$AD$1:$BE$65000,$B486,W$5)=1,1,IF(AND(W485&gt;=1,W485&lt;=9,ROW()&lt;=cur_line),W485+1,0)),0)</f>
        <v>0</v>
      </c>
      <c r="X486" s="194">
        <f>IFERROR(IF(INDEX([1]Pivot!$AD$1:$BE$65000,$B486,X$5)=1,1,IF(AND(X485&gt;=1,X485&lt;=9,ROW()&lt;=cur_line),X485+1,0)),0)</f>
        <v>0</v>
      </c>
      <c r="Y486" s="194">
        <f>IFERROR(IF(INDEX([1]Pivot!$AD$1:$BE$65000,$B486,Y$5)=1,1,IF(AND(Y485&gt;=1,Y485&lt;=9,ROW()&lt;=cur_line),Y485+1,0)),0)</f>
        <v>0</v>
      </c>
      <c r="Z486" s="194">
        <f>IFERROR(IF(INDEX([1]Pivot!$AD$1:$BE$65000,$B486,Z$5)=1,1,IF(AND(Z485&gt;=1,Z485&lt;=9,ROW()&lt;=cur_line),Z485+1,0)),0)</f>
        <v>0</v>
      </c>
      <c r="AA486" s="194">
        <f>IFERROR(IF(INDEX([1]Pivot!$AD$1:$BE$65000,$B486,AA$5)=1,1,IF(AND(AA485&gt;=1,AA485&lt;=9,ROW()&lt;=cur_line),AA485+1,0)),0)</f>
        <v>0</v>
      </c>
      <c r="AB486" s="194">
        <f>IFERROR(IF(INDEX([1]Pivot!$AD$1:$BE$65000,$B486,AB$5)=1,1,IF(AND(AB485&gt;=1,AB485&lt;=9,ROW()&lt;=cur_line),AB485+1,0)),0)</f>
        <v>0</v>
      </c>
      <c r="AC486" s="194">
        <f>IFERROR(IF(INDEX([1]Pivot!$AD$1:$BE$65000,$B486,AC$5)=1,1,IF(AND(AC485&gt;=1,AC485&lt;=9,ROW()&lt;=cur_line),AC485+1,0)),0)</f>
        <v>0</v>
      </c>
      <c r="AD486" s="313">
        <f>IFERROR(IF(INDEX([1]Pivot!$BF$1:$CG$65000,$B486,AD$5)=1,1,IF(AND(AD485&gt;=1,AD485&lt;=9,ROW()&lt;=cur_line),AD485+1,0)),0)</f>
        <v>0</v>
      </c>
      <c r="AE486" s="313">
        <f>IFERROR(IF(INDEX([1]Pivot!$BF$1:$CG$65000,$B486,AE$5)=1,1,IF(AND(AE485&gt;=1,AE485&lt;=9,ROW()&lt;=cur_line),AE485+1,0)),0)</f>
        <v>0</v>
      </c>
      <c r="AF486" s="313">
        <f>IFERROR(IF(INDEX([1]Pivot!$BF$1:$CG$65000,$B486,AF$5)=1,1,IF(AND(AF485&gt;=1,AF485&lt;=9,ROW()&lt;=cur_line),AF485+1,0)),0)</f>
        <v>0</v>
      </c>
      <c r="AG486" s="313">
        <f>IFERROR(IF(INDEX([1]Pivot!$BF$1:$CG$65000,$B486,AG$5)=1,1,IF(AND(AG485&gt;=1,AG485&lt;=9,ROW()&lt;=cur_line),AG485+1,0)),0)</f>
        <v>0</v>
      </c>
      <c r="AH486" s="313">
        <f>IFERROR(IF(INDEX([1]Pivot!$BF$1:$CG$65000,$B486,AH$5)=1,1,IF(AND(AH485&gt;=1,AH485&lt;=9,ROW()&lt;=cur_line),AH485+1,0)),0)</f>
        <v>0</v>
      </c>
      <c r="AI486" s="313">
        <f>IFERROR(IF(INDEX([1]Pivot!$BF$1:$CG$65000,$B486,AI$5)=1,1,IF(AND(AI485&gt;=1,AI485&lt;=9,ROW()&lt;=cur_line),AI485+1,0)),0)</f>
        <v>0</v>
      </c>
      <c r="AJ486" s="313">
        <f>IFERROR(IF(INDEX([1]Pivot!$BF$1:$CG$65000,$B486,AJ$5)=1,1,IF(AND(AJ485&gt;=1,AJ485&lt;=9,ROW()&lt;=cur_line),AJ485+1,0)),0)</f>
        <v>0</v>
      </c>
      <c r="AK486" s="313">
        <f>IFERROR(IF(INDEX([1]Pivot!$BF$1:$CG$65000,$B486,AK$5)=1,1,IF(AND(AK485&gt;=1,AK485&lt;=9,ROW()&lt;=cur_line),AK485+1,0)),0)</f>
        <v>0</v>
      </c>
      <c r="AL486" s="313">
        <f>IFERROR(IF(INDEX([1]Pivot!$BF$1:$CG$65000,$B486,AL$5)=1,1,IF(AND(AL485&gt;=1,AL485&lt;=9,ROW()&lt;=cur_line),AL485+1,0)),0)</f>
        <v>0</v>
      </c>
      <c r="AM486" s="313">
        <f>IFERROR(IF(INDEX([1]Pivot!$BF$1:$CG$65000,$B486,AM$5)=1,1,IF(AND(AM485&gt;=1,AM485&lt;=9,ROW()&lt;=cur_line),AM485+1,0)),0)</f>
        <v>0</v>
      </c>
      <c r="AN486" s="313">
        <f>IFERROR(IF(INDEX([1]Pivot!$BF$1:$CG$65000,$B486,AN$5)=1,1,IF(AND(AN485&gt;=1,AN485&lt;=9,ROW()&lt;=cur_line),AN485+1,0)),0)</f>
        <v>0</v>
      </c>
      <c r="AO486" s="313">
        <f>IFERROR(IF(INDEX([1]Pivot!$BF$1:$CG$65000,$B486,AO$5)=1,1,IF(AND(AO485&gt;=1,AO485&lt;=9,ROW()&lt;=cur_line),AO485+1,0)),0)</f>
        <v>0</v>
      </c>
      <c r="AP486" s="313">
        <f>IFERROR(IF(INDEX([1]Pivot!$BF$1:$CG$65000,$B486,AP$5)=1,1,IF(AND(AP485&gt;=1,AP485&lt;=9,ROW()&lt;=cur_line),AP485+1,0)),0)</f>
        <v>0</v>
      </c>
      <c r="AQ486" s="313">
        <f>IFERROR(IF(INDEX([1]Pivot!$BF$1:$CG$65000,$B486,AQ$5)=1,1,IF(AND(AQ485&gt;=1,AQ485&lt;=9,ROW()&lt;=cur_line),AQ485+1,0)),0)</f>
        <v>0</v>
      </c>
      <c r="AR486" s="313">
        <f>IFERROR(IF(INDEX([1]Pivot!$BF$1:$CG$65000,$B486,AR$5)=1,1,IF(AND(AR485&gt;=1,AR485&lt;=9,ROW()&lt;=cur_line),AR485+1,0)),0)</f>
        <v>0</v>
      </c>
      <c r="AS486" s="312"/>
      <c r="AT486" s="313">
        <f>IFERROR(IF(INDEX([1]Pivot!$BF$1:$CG$65000,$B486,AT$5)=1,1,IF(AND(AT485&gt;=1,AT485&lt;=9,ROW()&lt;=cur_line),AT485+1,0)),0)</f>
        <v>0</v>
      </c>
      <c r="AU486" s="313">
        <f>IFERROR(IF(INDEX([1]Pivot!$BF$1:$CG$65000,$B486,AU$5)=1,1,IF(AND(AU485&gt;=1,AU485&lt;=9,ROW()&lt;=cur_line),AU485+1,0)),0)</f>
        <v>0</v>
      </c>
      <c r="AV486" s="313">
        <f>IFERROR(IF(INDEX([1]Pivot!$BF$1:$CG$65000,$B486,AV$5)=1,1,IF(AND(AV485&gt;=1,AV485&lt;=9,ROW()&lt;=cur_line),AV485+1,0)),0)</f>
        <v>0</v>
      </c>
      <c r="AW486" s="313">
        <f>IFERROR(IF(INDEX([1]Pivot!$BF$1:$CG$65000,$B486,AW$5)=1,1,IF(AND(AW485&gt;=1,AW485&lt;=9,ROW()&lt;=cur_line),AW485+1,0)),0)</f>
        <v>0</v>
      </c>
      <c r="AX486" s="313">
        <f>IFERROR(IF(INDEX([1]Pivot!$BF$1:$CG$65000,$B486,AX$5)=1,1,IF(AND(AX485&gt;=1,AX485&lt;=9,ROW()&lt;=cur_line),AX485+1,0)),0)</f>
        <v>0</v>
      </c>
      <c r="AY486" s="313">
        <f>IFERROR(IF(INDEX([1]Pivot!$BF$1:$CG$65000,$B486,AY$5)=1,1,IF(AND(AY485&gt;=1,AY485&lt;=9,ROW()&lt;=cur_line),AY485+1,0)),0)</f>
        <v>0</v>
      </c>
      <c r="AZ486" s="313">
        <f>IFERROR(IF(INDEX([1]Pivot!$BF$1:$CG$65000,$B486,AZ$5)=1,1,IF(AND(AZ485&gt;=1,AZ485&lt;=9,ROW()&lt;=cur_line),AZ485+1,0)),0)</f>
        <v>0</v>
      </c>
      <c r="BA486" s="313">
        <f>IFERROR(IF(INDEX([1]Pivot!$BF$1:$CG$65000,$B486,BA$5)=1,1,IF(AND(BA485&gt;=1,BA485&lt;=9,ROW()&lt;=cur_line),BA485+1,0)),0)</f>
        <v>0</v>
      </c>
      <c r="BB486" s="313">
        <f>IFERROR(IF(INDEX([1]Pivot!$BF$1:$CG$65000,$B486,BB$5)=1,1,IF(AND(BB485&gt;=1,BB485&lt;=9,ROW()&lt;=cur_line),BB485+1,0)),0)</f>
        <v>0</v>
      </c>
      <c r="BC486" s="313">
        <f>IFERROR(IF(INDEX([1]Pivot!$BF$1:$CG$65000,$B486,BC$5)=1,1,IF(AND(BC485&gt;=1,BC485&lt;=9,ROW()&lt;=cur_line),BC485+1,0)),0)</f>
        <v>0</v>
      </c>
      <c r="BD486" s="313">
        <f>IFERROR(IF(INDEX([1]Pivot!$BF$1:$CG$65000,$B486,BD$5)=1,1,IF(AND(BD485&gt;=1,BD485&lt;=9,ROW()&lt;=cur_line),BD485+1,0)),0)</f>
        <v>0</v>
      </c>
    </row>
    <row r="487" spans="1:56" hidden="1" outlineLevel="1" x14ac:dyDescent="0.25">
      <c r="A487" s="288" t="str">
        <f>'[2]Raw Milk Prices'!A487</f>
        <v>2016m12</v>
      </c>
      <c r="B487" s="296" t="e">
        <f>MATCH(DATE(LEFT('[2]Raw Milk Prices'!$A487,4),RIGHT('[2]Raw Milk Prices'!$A487,2),1),[1]Pivot!$A$1:$A$65000,0)</f>
        <v>#N/A</v>
      </c>
      <c r="C487" s="194">
        <f>IFERROR(IF(INDEX([1]Pivot!$AD$1:$BE$65000,$B487,C$5)=1,1,IF(AND(C486&gt;=1,C486&lt;=9,ROW()&lt;=cur_line),C486+1,0)),0)</f>
        <v>0</v>
      </c>
      <c r="D487" s="194">
        <f>IFERROR(IF(INDEX([1]Pivot!$AD$1:$BE$65000,$B487,D$5)=1,1,IF(AND(D486&gt;=1,D486&lt;=9,ROW()&lt;=cur_line),D486+1,0)),0)</f>
        <v>0</v>
      </c>
      <c r="E487" s="194">
        <f>IFERROR(IF(INDEX([1]Pivot!$AD$1:$BE$65000,$B487,E$5)=1,1,IF(AND(E486&gt;=1,E486&lt;=9,ROW()&lt;=cur_line),E486+1,0)),0)</f>
        <v>0</v>
      </c>
      <c r="F487" s="194">
        <f>IFERROR(IF(INDEX([1]Pivot!$AD$1:$BE$65000,$B487,F$5)=1,1,IF(AND(F486&gt;=1,F486&lt;=9,ROW()&lt;=cur_line),F486+1,0)),0)</f>
        <v>0</v>
      </c>
      <c r="G487" s="194">
        <f>IFERROR(IF(INDEX([1]Pivot!$AD$1:$BE$65000,$B487,G$5)=1,1,IF(AND(G486&gt;=1,G486&lt;=9,ROW()&lt;=cur_line),G486+1,0)),0)</f>
        <v>0</v>
      </c>
      <c r="H487" s="194">
        <f>IFERROR(IF(INDEX([1]Pivot!$AD$1:$BE$65000,$B487,H$5)=1,1,IF(AND(H486&gt;=1,H486&lt;=9,ROW()&lt;=cur_line),H486+1,0)),0)</f>
        <v>0</v>
      </c>
      <c r="I487" s="194">
        <f>IFERROR(IF(INDEX([1]Pivot!$AD$1:$BE$65000,$B487,I$5)=1,1,IF(AND(I486&gt;=1,I486&lt;=9,ROW()&lt;=cur_line),I486+1,0)),0)</f>
        <v>0</v>
      </c>
      <c r="J487" s="194">
        <f>IFERROR(IF(INDEX([1]Pivot!$AD$1:$BE$65000,$B487,J$5)=1,1,IF(AND(J486&gt;=1,J486&lt;=9,ROW()&lt;=cur_line),J486+1,0)),0)</f>
        <v>0</v>
      </c>
      <c r="K487" s="194">
        <f>IFERROR(IF(INDEX([1]Pivot!$AD$1:$BE$65000,$B487,K$5)=1,1,IF(AND(K486&gt;=1,K486&lt;=9,ROW()&lt;=cur_line),K486+1,0)),0)</f>
        <v>0</v>
      </c>
      <c r="L487" s="194">
        <f>IFERROR(IF(INDEX([1]Pivot!$AD$1:$BE$65000,$B487,L$5)=1,1,IF(AND(L486&gt;=1,L486&lt;=9,ROW()&lt;=cur_line),L486+1,0)),0)</f>
        <v>0</v>
      </c>
      <c r="M487" s="194">
        <f>IFERROR(IF(INDEX([1]Pivot!$AD$1:$BE$65000,$B487,M$5)=1,1,IF(AND(M486&gt;=1,M486&lt;=9,ROW()&lt;=cur_line),M486+1,0)),0)</f>
        <v>0</v>
      </c>
      <c r="N487" s="194">
        <f>IFERROR(IF(INDEX([1]Pivot!$AD$1:$BE$65000,$B487,N$5)=1,1,IF(AND(N486&gt;=1,N486&lt;=9,ROW()&lt;=cur_line),N486+1,0)),0)</f>
        <v>0</v>
      </c>
      <c r="O487" s="194">
        <f>IFERROR(IF(INDEX([1]Pivot!$AD$1:$BE$65000,$B487,O$5)=1,1,IF(AND(O486&gt;=1,O486&lt;=9,ROW()&lt;=cur_line),O486+1,0)),0)</f>
        <v>0</v>
      </c>
      <c r="P487" s="194">
        <f>IFERROR(IF(INDEX([1]Pivot!$AD$1:$BE$65000,$B487,P$5)=1,1,IF(AND(P486&gt;=1,P486&lt;=9,ROW()&lt;=cur_line),P486+1,0)),0)</f>
        <v>0</v>
      </c>
      <c r="Q487" s="194">
        <f>IFERROR(IF(INDEX([1]Pivot!$AD$1:$BE$65000,$B487,Q$5)=1,1,IF(AND(Q486&gt;=1,Q486&lt;=9,ROW()&lt;=cur_line),Q486+1,0)),0)</f>
        <v>0</v>
      </c>
      <c r="R487" s="312"/>
      <c r="S487" s="194">
        <f>IFERROR(IF(INDEX([1]Pivot!$AD$1:$BE$65000,$B487,S$5)=1,1,IF(AND(S486&gt;=1,S486&lt;=9,ROW()&lt;=cur_line),S486+1,0)),0)</f>
        <v>0</v>
      </c>
      <c r="T487" s="194">
        <f>IFERROR(IF(INDEX([1]Pivot!$AD$1:$BE$65000,$B487,T$5)=1,1,IF(AND(T486&gt;=1,T486&lt;=9,ROW()&lt;=cur_line),T486+1,0)),0)</f>
        <v>0</v>
      </c>
      <c r="U487" s="194">
        <f>IFERROR(IF(INDEX([1]Pivot!$AD$1:$BE$65000,$B487,U$5)=1,1,IF(AND(U486&gt;=1,U486&lt;=9,ROW()&lt;=cur_line),U486+1,0)),0)</f>
        <v>0</v>
      </c>
      <c r="V487" s="194">
        <f>IFERROR(IF(INDEX([1]Pivot!$AD$1:$BE$65000,$B487,V$5)=1,1,IF(AND(V486&gt;=1,V486&lt;=9,ROW()&lt;=cur_line),V486+1,0)),0)</f>
        <v>0</v>
      </c>
      <c r="W487" s="194">
        <f>IFERROR(IF(INDEX([1]Pivot!$AD$1:$BE$65000,$B487,W$5)=1,1,IF(AND(W486&gt;=1,W486&lt;=9,ROW()&lt;=cur_line),W486+1,0)),0)</f>
        <v>0</v>
      </c>
      <c r="X487" s="194">
        <f>IFERROR(IF(INDEX([1]Pivot!$AD$1:$BE$65000,$B487,X$5)=1,1,IF(AND(X486&gt;=1,X486&lt;=9,ROW()&lt;=cur_line),X486+1,0)),0)</f>
        <v>0</v>
      </c>
      <c r="Y487" s="194">
        <f>IFERROR(IF(INDEX([1]Pivot!$AD$1:$BE$65000,$B487,Y$5)=1,1,IF(AND(Y486&gt;=1,Y486&lt;=9,ROW()&lt;=cur_line),Y486+1,0)),0)</f>
        <v>0</v>
      </c>
      <c r="Z487" s="194">
        <f>IFERROR(IF(INDEX([1]Pivot!$AD$1:$BE$65000,$B487,Z$5)=1,1,IF(AND(Z486&gt;=1,Z486&lt;=9,ROW()&lt;=cur_line),Z486+1,0)),0)</f>
        <v>0</v>
      </c>
      <c r="AA487" s="194">
        <f>IFERROR(IF(INDEX([1]Pivot!$AD$1:$BE$65000,$B487,AA$5)=1,1,IF(AND(AA486&gt;=1,AA486&lt;=9,ROW()&lt;=cur_line),AA486+1,0)),0)</f>
        <v>0</v>
      </c>
      <c r="AB487" s="194">
        <f>IFERROR(IF(INDEX([1]Pivot!$AD$1:$BE$65000,$B487,AB$5)=1,1,IF(AND(AB486&gt;=1,AB486&lt;=9,ROW()&lt;=cur_line),AB486+1,0)),0)</f>
        <v>0</v>
      </c>
      <c r="AC487" s="194">
        <f>IFERROR(IF(INDEX([1]Pivot!$AD$1:$BE$65000,$B487,AC$5)=1,1,IF(AND(AC486&gt;=1,AC486&lt;=9,ROW()&lt;=cur_line),AC486+1,0)),0)</f>
        <v>0</v>
      </c>
      <c r="AD487" s="313">
        <f>IFERROR(IF(INDEX([1]Pivot!$BF$1:$CG$65000,$B487,AD$5)=1,1,IF(AND(AD486&gt;=1,AD486&lt;=9,ROW()&lt;=cur_line),AD486+1,0)),0)</f>
        <v>0</v>
      </c>
      <c r="AE487" s="313">
        <f>IFERROR(IF(INDEX([1]Pivot!$BF$1:$CG$65000,$B487,AE$5)=1,1,IF(AND(AE486&gt;=1,AE486&lt;=9,ROW()&lt;=cur_line),AE486+1,0)),0)</f>
        <v>0</v>
      </c>
      <c r="AF487" s="313">
        <f>IFERROR(IF(INDEX([1]Pivot!$BF$1:$CG$65000,$B487,AF$5)=1,1,IF(AND(AF486&gt;=1,AF486&lt;=9,ROW()&lt;=cur_line),AF486+1,0)),0)</f>
        <v>0</v>
      </c>
      <c r="AG487" s="313">
        <f>IFERROR(IF(INDEX([1]Pivot!$BF$1:$CG$65000,$B487,AG$5)=1,1,IF(AND(AG486&gt;=1,AG486&lt;=9,ROW()&lt;=cur_line),AG486+1,0)),0)</f>
        <v>0</v>
      </c>
      <c r="AH487" s="313">
        <f>IFERROR(IF(INDEX([1]Pivot!$BF$1:$CG$65000,$B487,AH$5)=1,1,IF(AND(AH486&gt;=1,AH486&lt;=9,ROW()&lt;=cur_line),AH486+1,0)),0)</f>
        <v>0</v>
      </c>
      <c r="AI487" s="313">
        <f>IFERROR(IF(INDEX([1]Pivot!$BF$1:$CG$65000,$B487,AI$5)=1,1,IF(AND(AI486&gt;=1,AI486&lt;=9,ROW()&lt;=cur_line),AI486+1,0)),0)</f>
        <v>0</v>
      </c>
      <c r="AJ487" s="313">
        <f>IFERROR(IF(INDEX([1]Pivot!$BF$1:$CG$65000,$B487,AJ$5)=1,1,IF(AND(AJ486&gt;=1,AJ486&lt;=9,ROW()&lt;=cur_line),AJ486+1,0)),0)</f>
        <v>0</v>
      </c>
      <c r="AK487" s="313">
        <f>IFERROR(IF(INDEX([1]Pivot!$BF$1:$CG$65000,$B487,AK$5)=1,1,IF(AND(AK486&gt;=1,AK486&lt;=9,ROW()&lt;=cur_line),AK486+1,0)),0)</f>
        <v>0</v>
      </c>
      <c r="AL487" s="313">
        <f>IFERROR(IF(INDEX([1]Pivot!$BF$1:$CG$65000,$B487,AL$5)=1,1,IF(AND(AL486&gt;=1,AL486&lt;=9,ROW()&lt;=cur_line),AL486+1,0)),0)</f>
        <v>0</v>
      </c>
      <c r="AM487" s="313">
        <f>IFERROR(IF(INDEX([1]Pivot!$BF$1:$CG$65000,$B487,AM$5)=1,1,IF(AND(AM486&gt;=1,AM486&lt;=9,ROW()&lt;=cur_line),AM486+1,0)),0)</f>
        <v>0</v>
      </c>
      <c r="AN487" s="313">
        <f>IFERROR(IF(INDEX([1]Pivot!$BF$1:$CG$65000,$B487,AN$5)=1,1,IF(AND(AN486&gt;=1,AN486&lt;=9,ROW()&lt;=cur_line),AN486+1,0)),0)</f>
        <v>0</v>
      </c>
      <c r="AO487" s="313">
        <f>IFERROR(IF(INDEX([1]Pivot!$BF$1:$CG$65000,$B487,AO$5)=1,1,IF(AND(AO486&gt;=1,AO486&lt;=9,ROW()&lt;=cur_line),AO486+1,0)),0)</f>
        <v>0</v>
      </c>
      <c r="AP487" s="313">
        <f>IFERROR(IF(INDEX([1]Pivot!$BF$1:$CG$65000,$B487,AP$5)=1,1,IF(AND(AP486&gt;=1,AP486&lt;=9,ROW()&lt;=cur_line),AP486+1,0)),0)</f>
        <v>0</v>
      </c>
      <c r="AQ487" s="313">
        <f>IFERROR(IF(INDEX([1]Pivot!$BF$1:$CG$65000,$B487,AQ$5)=1,1,IF(AND(AQ486&gt;=1,AQ486&lt;=9,ROW()&lt;=cur_line),AQ486+1,0)),0)</f>
        <v>0</v>
      </c>
      <c r="AR487" s="313">
        <f>IFERROR(IF(INDEX([1]Pivot!$BF$1:$CG$65000,$B487,AR$5)=1,1,IF(AND(AR486&gt;=1,AR486&lt;=9,ROW()&lt;=cur_line),AR486+1,0)),0)</f>
        <v>0</v>
      </c>
      <c r="AS487" s="312"/>
      <c r="AT487" s="313">
        <f>IFERROR(IF(INDEX([1]Pivot!$BF$1:$CG$65000,$B487,AT$5)=1,1,IF(AND(AT486&gt;=1,AT486&lt;=9,ROW()&lt;=cur_line),AT486+1,0)),0)</f>
        <v>0</v>
      </c>
      <c r="AU487" s="313">
        <f>IFERROR(IF(INDEX([1]Pivot!$BF$1:$CG$65000,$B487,AU$5)=1,1,IF(AND(AU486&gt;=1,AU486&lt;=9,ROW()&lt;=cur_line),AU486+1,0)),0)</f>
        <v>0</v>
      </c>
      <c r="AV487" s="313">
        <f>IFERROR(IF(INDEX([1]Pivot!$BF$1:$CG$65000,$B487,AV$5)=1,1,IF(AND(AV486&gt;=1,AV486&lt;=9,ROW()&lt;=cur_line),AV486+1,0)),0)</f>
        <v>0</v>
      </c>
      <c r="AW487" s="313">
        <f>IFERROR(IF(INDEX([1]Pivot!$BF$1:$CG$65000,$B487,AW$5)=1,1,IF(AND(AW486&gt;=1,AW486&lt;=9,ROW()&lt;=cur_line),AW486+1,0)),0)</f>
        <v>0</v>
      </c>
      <c r="AX487" s="313">
        <f>IFERROR(IF(INDEX([1]Pivot!$BF$1:$CG$65000,$B487,AX$5)=1,1,IF(AND(AX486&gt;=1,AX486&lt;=9,ROW()&lt;=cur_line),AX486+1,0)),0)</f>
        <v>0</v>
      </c>
      <c r="AY487" s="313">
        <f>IFERROR(IF(INDEX([1]Pivot!$BF$1:$CG$65000,$B487,AY$5)=1,1,IF(AND(AY486&gt;=1,AY486&lt;=9,ROW()&lt;=cur_line),AY486+1,0)),0)</f>
        <v>0</v>
      </c>
      <c r="AZ487" s="313">
        <f>IFERROR(IF(INDEX([1]Pivot!$BF$1:$CG$65000,$B487,AZ$5)=1,1,IF(AND(AZ486&gt;=1,AZ486&lt;=9,ROW()&lt;=cur_line),AZ486+1,0)),0)</f>
        <v>0</v>
      </c>
      <c r="BA487" s="313">
        <f>IFERROR(IF(INDEX([1]Pivot!$BF$1:$CG$65000,$B487,BA$5)=1,1,IF(AND(BA486&gt;=1,BA486&lt;=9,ROW()&lt;=cur_line),BA486+1,0)),0)</f>
        <v>0</v>
      </c>
      <c r="BB487" s="313">
        <f>IFERROR(IF(INDEX([1]Pivot!$BF$1:$CG$65000,$B487,BB$5)=1,1,IF(AND(BB486&gt;=1,BB486&lt;=9,ROW()&lt;=cur_line),BB486+1,0)),0)</f>
        <v>0</v>
      </c>
      <c r="BC487" s="313">
        <f>IFERROR(IF(INDEX([1]Pivot!$BF$1:$CG$65000,$B487,BC$5)=1,1,IF(AND(BC486&gt;=1,BC486&lt;=9,ROW()&lt;=cur_line),BC486+1,0)),0)</f>
        <v>0</v>
      </c>
      <c r="BD487" s="313">
        <f>IFERROR(IF(INDEX([1]Pivot!$BF$1:$CG$65000,$B487,BD$5)=1,1,IF(AND(BD486&gt;=1,BD486&lt;=9,ROW()&lt;=cur_line),BD486+1,0)),0)</f>
        <v>0</v>
      </c>
    </row>
    <row r="488" spans="1:56" hidden="1" outlineLevel="1" x14ac:dyDescent="0.25">
      <c r="A488" s="288" t="str">
        <f>'[2]Raw Milk Prices'!A488</f>
        <v>2017m01</v>
      </c>
      <c r="B488" s="296" t="e">
        <f>MATCH(DATE(LEFT('[2]Raw Milk Prices'!$A488,4),RIGHT('[2]Raw Milk Prices'!$A488,2),1),[1]Pivot!$A$1:$A$65000,0)</f>
        <v>#N/A</v>
      </c>
      <c r="C488" s="194">
        <f>IFERROR(IF(INDEX([1]Pivot!$AD$1:$BE$65000,$B488,C$5)=1,1,IF(AND(C487&gt;=1,C487&lt;=9,ROW()&lt;=cur_line),C487+1,0)),0)</f>
        <v>0</v>
      </c>
      <c r="D488" s="194">
        <f>IFERROR(IF(INDEX([1]Pivot!$AD$1:$BE$65000,$B488,D$5)=1,1,IF(AND(D487&gt;=1,D487&lt;=9,ROW()&lt;=cur_line),D487+1,0)),0)</f>
        <v>0</v>
      </c>
      <c r="E488" s="194">
        <f>IFERROR(IF(INDEX([1]Pivot!$AD$1:$BE$65000,$B488,E$5)=1,1,IF(AND(E487&gt;=1,E487&lt;=9,ROW()&lt;=cur_line),E487+1,0)),0)</f>
        <v>0</v>
      </c>
      <c r="F488" s="194">
        <f>IFERROR(IF(INDEX([1]Pivot!$AD$1:$BE$65000,$B488,F$5)=1,1,IF(AND(F487&gt;=1,F487&lt;=9,ROW()&lt;=cur_line),F487+1,0)),0)</f>
        <v>0</v>
      </c>
      <c r="G488" s="194">
        <f>IFERROR(IF(INDEX([1]Pivot!$AD$1:$BE$65000,$B488,G$5)=1,1,IF(AND(G487&gt;=1,G487&lt;=9,ROW()&lt;=cur_line),G487+1,0)),0)</f>
        <v>0</v>
      </c>
      <c r="H488" s="194">
        <f>IFERROR(IF(INDEX([1]Pivot!$AD$1:$BE$65000,$B488,H$5)=1,1,IF(AND(H487&gt;=1,H487&lt;=9,ROW()&lt;=cur_line),H487+1,0)),0)</f>
        <v>0</v>
      </c>
      <c r="I488" s="194">
        <f>IFERROR(IF(INDEX([1]Pivot!$AD$1:$BE$65000,$B488,I$5)=1,1,IF(AND(I487&gt;=1,I487&lt;=9,ROW()&lt;=cur_line),I487+1,0)),0)</f>
        <v>0</v>
      </c>
      <c r="J488" s="194">
        <f>IFERROR(IF(INDEX([1]Pivot!$AD$1:$BE$65000,$B488,J$5)=1,1,IF(AND(J487&gt;=1,J487&lt;=9,ROW()&lt;=cur_line),J487+1,0)),0)</f>
        <v>0</v>
      </c>
      <c r="K488" s="194">
        <f>IFERROR(IF(INDEX([1]Pivot!$AD$1:$BE$65000,$B488,K$5)=1,1,IF(AND(K487&gt;=1,K487&lt;=9,ROW()&lt;=cur_line),K487+1,0)),0)</f>
        <v>0</v>
      </c>
      <c r="L488" s="194">
        <f>IFERROR(IF(INDEX([1]Pivot!$AD$1:$BE$65000,$B488,L$5)=1,1,IF(AND(L487&gt;=1,L487&lt;=9,ROW()&lt;=cur_line),L487+1,0)),0)</f>
        <v>0</v>
      </c>
      <c r="M488" s="194">
        <f>IFERROR(IF(INDEX([1]Pivot!$AD$1:$BE$65000,$B488,M$5)=1,1,IF(AND(M487&gt;=1,M487&lt;=9,ROW()&lt;=cur_line),M487+1,0)),0)</f>
        <v>0</v>
      </c>
      <c r="N488" s="194">
        <f>IFERROR(IF(INDEX([1]Pivot!$AD$1:$BE$65000,$B488,N$5)=1,1,IF(AND(N487&gt;=1,N487&lt;=9,ROW()&lt;=cur_line),N487+1,0)),0)</f>
        <v>0</v>
      </c>
      <c r="O488" s="194">
        <f>IFERROR(IF(INDEX([1]Pivot!$AD$1:$BE$65000,$B488,O$5)=1,1,IF(AND(O487&gt;=1,O487&lt;=9,ROW()&lt;=cur_line),O487+1,0)),0)</f>
        <v>0</v>
      </c>
      <c r="P488" s="194">
        <f>IFERROR(IF(INDEX([1]Pivot!$AD$1:$BE$65000,$B488,P$5)=1,1,IF(AND(P487&gt;=1,P487&lt;=9,ROW()&lt;=cur_line),P487+1,0)),0)</f>
        <v>0</v>
      </c>
      <c r="Q488" s="194">
        <f>IFERROR(IF(INDEX([1]Pivot!$AD$1:$BE$65000,$B488,Q$5)=1,1,IF(AND(Q487&gt;=1,Q487&lt;=9,ROW()&lt;=cur_line),Q487+1,0)),0)</f>
        <v>0</v>
      </c>
      <c r="R488" s="312"/>
      <c r="S488" s="194">
        <f>IFERROR(IF(INDEX([1]Pivot!$AD$1:$BE$65000,$B488,S$5)=1,1,IF(AND(S487&gt;=1,S487&lt;=9,ROW()&lt;=cur_line),S487+1,0)),0)</f>
        <v>0</v>
      </c>
      <c r="T488" s="194">
        <f>IFERROR(IF(INDEX([1]Pivot!$AD$1:$BE$65000,$B488,T$5)=1,1,IF(AND(T487&gt;=1,T487&lt;=9,ROW()&lt;=cur_line),T487+1,0)),0)</f>
        <v>0</v>
      </c>
      <c r="U488" s="194">
        <f>IFERROR(IF(INDEX([1]Pivot!$AD$1:$BE$65000,$B488,U$5)=1,1,IF(AND(U487&gt;=1,U487&lt;=9,ROW()&lt;=cur_line),U487+1,0)),0)</f>
        <v>0</v>
      </c>
      <c r="V488" s="194">
        <f>IFERROR(IF(INDEX([1]Pivot!$AD$1:$BE$65000,$B488,V$5)=1,1,IF(AND(V487&gt;=1,V487&lt;=9,ROW()&lt;=cur_line),V487+1,0)),0)</f>
        <v>0</v>
      </c>
      <c r="W488" s="194">
        <f>IFERROR(IF(INDEX([1]Pivot!$AD$1:$BE$65000,$B488,W$5)=1,1,IF(AND(W487&gt;=1,W487&lt;=9,ROW()&lt;=cur_line),W487+1,0)),0)</f>
        <v>0</v>
      </c>
      <c r="X488" s="194">
        <f>IFERROR(IF(INDEX([1]Pivot!$AD$1:$BE$65000,$B488,X$5)=1,1,IF(AND(X487&gt;=1,X487&lt;=9,ROW()&lt;=cur_line),X487+1,0)),0)</f>
        <v>0</v>
      </c>
      <c r="Y488" s="194">
        <f>IFERROR(IF(INDEX([1]Pivot!$AD$1:$BE$65000,$B488,Y$5)=1,1,IF(AND(Y487&gt;=1,Y487&lt;=9,ROW()&lt;=cur_line),Y487+1,0)),0)</f>
        <v>0</v>
      </c>
      <c r="Z488" s="194">
        <f>IFERROR(IF(INDEX([1]Pivot!$AD$1:$BE$65000,$B488,Z$5)=1,1,IF(AND(Z487&gt;=1,Z487&lt;=9,ROW()&lt;=cur_line),Z487+1,0)),0)</f>
        <v>0</v>
      </c>
      <c r="AA488" s="194">
        <f>IFERROR(IF(INDEX([1]Pivot!$AD$1:$BE$65000,$B488,AA$5)=1,1,IF(AND(AA487&gt;=1,AA487&lt;=9,ROW()&lt;=cur_line),AA487+1,0)),0)</f>
        <v>0</v>
      </c>
      <c r="AB488" s="194">
        <f>IFERROR(IF(INDEX([1]Pivot!$AD$1:$BE$65000,$B488,AB$5)=1,1,IF(AND(AB487&gt;=1,AB487&lt;=9,ROW()&lt;=cur_line),AB487+1,0)),0)</f>
        <v>0</v>
      </c>
      <c r="AC488" s="194">
        <f>IFERROR(IF(INDEX([1]Pivot!$AD$1:$BE$65000,$B488,AC$5)=1,1,IF(AND(AC487&gt;=1,AC487&lt;=9,ROW()&lt;=cur_line),AC487+1,0)),0)</f>
        <v>0</v>
      </c>
      <c r="AD488" s="313">
        <f>IFERROR(IF(INDEX([1]Pivot!$BF$1:$CG$65000,$B488,AD$5)=1,1,IF(AND(AD487&gt;=1,AD487&lt;=9,ROW()&lt;=cur_line),AD487+1,0)),0)</f>
        <v>0</v>
      </c>
      <c r="AE488" s="313">
        <f>IFERROR(IF(INDEX([1]Pivot!$BF$1:$CG$65000,$B488,AE$5)=1,1,IF(AND(AE487&gt;=1,AE487&lt;=9,ROW()&lt;=cur_line),AE487+1,0)),0)</f>
        <v>0</v>
      </c>
      <c r="AF488" s="313">
        <f>IFERROR(IF(INDEX([1]Pivot!$BF$1:$CG$65000,$B488,AF$5)=1,1,IF(AND(AF487&gt;=1,AF487&lt;=9,ROW()&lt;=cur_line),AF487+1,0)),0)</f>
        <v>0</v>
      </c>
      <c r="AG488" s="313">
        <f>IFERROR(IF(INDEX([1]Pivot!$BF$1:$CG$65000,$B488,AG$5)=1,1,IF(AND(AG487&gt;=1,AG487&lt;=9,ROW()&lt;=cur_line),AG487+1,0)),0)</f>
        <v>0</v>
      </c>
      <c r="AH488" s="313">
        <f>IFERROR(IF(INDEX([1]Pivot!$BF$1:$CG$65000,$B488,AH$5)=1,1,IF(AND(AH487&gt;=1,AH487&lt;=9,ROW()&lt;=cur_line),AH487+1,0)),0)</f>
        <v>0</v>
      </c>
      <c r="AI488" s="313">
        <f>IFERROR(IF(INDEX([1]Pivot!$BF$1:$CG$65000,$B488,AI$5)=1,1,IF(AND(AI487&gt;=1,AI487&lt;=9,ROW()&lt;=cur_line),AI487+1,0)),0)</f>
        <v>0</v>
      </c>
      <c r="AJ488" s="313">
        <f>IFERROR(IF(INDEX([1]Pivot!$BF$1:$CG$65000,$B488,AJ$5)=1,1,IF(AND(AJ487&gt;=1,AJ487&lt;=9,ROW()&lt;=cur_line),AJ487+1,0)),0)</f>
        <v>0</v>
      </c>
      <c r="AK488" s="313">
        <f>IFERROR(IF(INDEX([1]Pivot!$BF$1:$CG$65000,$B488,AK$5)=1,1,IF(AND(AK487&gt;=1,AK487&lt;=9,ROW()&lt;=cur_line),AK487+1,0)),0)</f>
        <v>0</v>
      </c>
      <c r="AL488" s="313">
        <f>IFERROR(IF(INDEX([1]Pivot!$BF$1:$CG$65000,$B488,AL$5)=1,1,IF(AND(AL487&gt;=1,AL487&lt;=9,ROW()&lt;=cur_line),AL487+1,0)),0)</f>
        <v>0</v>
      </c>
      <c r="AM488" s="313">
        <f>IFERROR(IF(INDEX([1]Pivot!$BF$1:$CG$65000,$B488,AM$5)=1,1,IF(AND(AM487&gt;=1,AM487&lt;=9,ROW()&lt;=cur_line),AM487+1,0)),0)</f>
        <v>0</v>
      </c>
      <c r="AN488" s="313">
        <f>IFERROR(IF(INDEX([1]Pivot!$BF$1:$CG$65000,$B488,AN$5)=1,1,IF(AND(AN487&gt;=1,AN487&lt;=9,ROW()&lt;=cur_line),AN487+1,0)),0)</f>
        <v>0</v>
      </c>
      <c r="AO488" s="313">
        <f>IFERROR(IF(INDEX([1]Pivot!$BF$1:$CG$65000,$B488,AO$5)=1,1,IF(AND(AO487&gt;=1,AO487&lt;=9,ROW()&lt;=cur_line),AO487+1,0)),0)</f>
        <v>0</v>
      </c>
      <c r="AP488" s="313">
        <f>IFERROR(IF(INDEX([1]Pivot!$BF$1:$CG$65000,$B488,AP$5)=1,1,IF(AND(AP487&gt;=1,AP487&lt;=9,ROW()&lt;=cur_line),AP487+1,0)),0)</f>
        <v>0</v>
      </c>
      <c r="AQ488" s="313">
        <f>IFERROR(IF(INDEX([1]Pivot!$BF$1:$CG$65000,$B488,AQ$5)=1,1,IF(AND(AQ487&gt;=1,AQ487&lt;=9,ROW()&lt;=cur_line),AQ487+1,0)),0)</f>
        <v>0</v>
      </c>
      <c r="AR488" s="313">
        <f>IFERROR(IF(INDEX([1]Pivot!$BF$1:$CG$65000,$B488,AR$5)=1,1,IF(AND(AR487&gt;=1,AR487&lt;=9,ROW()&lt;=cur_line),AR487+1,0)),0)</f>
        <v>0</v>
      </c>
      <c r="AS488" s="312"/>
      <c r="AT488" s="313">
        <f>IFERROR(IF(INDEX([1]Pivot!$BF$1:$CG$65000,$B488,AT$5)=1,1,IF(AND(AT487&gt;=1,AT487&lt;=9,ROW()&lt;=cur_line),AT487+1,0)),0)</f>
        <v>0</v>
      </c>
      <c r="AU488" s="313">
        <f>IFERROR(IF(INDEX([1]Pivot!$BF$1:$CG$65000,$B488,AU$5)=1,1,IF(AND(AU487&gt;=1,AU487&lt;=9,ROW()&lt;=cur_line),AU487+1,0)),0)</f>
        <v>0</v>
      </c>
      <c r="AV488" s="313">
        <f>IFERROR(IF(INDEX([1]Pivot!$BF$1:$CG$65000,$B488,AV$5)=1,1,IF(AND(AV487&gt;=1,AV487&lt;=9,ROW()&lt;=cur_line),AV487+1,0)),0)</f>
        <v>0</v>
      </c>
      <c r="AW488" s="313">
        <f>IFERROR(IF(INDEX([1]Pivot!$BF$1:$CG$65000,$B488,AW$5)=1,1,IF(AND(AW487&gt;=1,AW487&lt;=9,ROW()&lt;=cur_line),AW487+1,0)),0)</f>
        <v>0</v>
      </c>
      <c r="AX488" s="313">
        <f>IFERROR(IF(INDEX([1]Pivot!$BF$1:$CG$65000,$B488,AX$5)=1,1,IF(AND(AX487&gt;=1,AX487&lt;=9,ROW()&lt;=cur_line),AX487+1,0)),0)</f>
        <v>0</v>
      </c>
      <c r="AY488" s="313">
        <f>IFERROR(IF(INDEX([1]Pivot!$BF$1:$CG$65000,$B488,AY$5)=1,1,IF(AND(AY487&gt;=1,AY487&lt;=9,ROW()&lt;=cur_line),AY487+1,0)),0)</f>
        <v>0</v>
      </c>
      <c r="AZ488" s="313">
        <f>IFERROR(IF(INDEX([1]Pivot!$BF$1:$CG$65000,$B488,AZ$5)=1,1,IF(AND(AZ487&gt;=1,AZ487&lt;=9,ROW()&lt;=cur_line),AZ487+1,0)),0)</f>
        <v>0</v>
      </c>
      <c r="BA488" s="313">
        <f>IFERROR(IF(INDEX([1]Pivot!$BF$1:$CG$65000,$B488,BA$5)=1,1,IF(AND(BA487&gt;=1,BA487&lt;=9,ROW()&lt;=cur_line),BA487+1,0)),0)</f>
        <v>0</v>
      </c>
      <c r="BB488" s="313">
        <f>IFERROR(IF(INDEX([1]Pivot!$BF$1:$CG$65000,$B488,BB$5)=1,1,IF(AND(BB487&gt;=1,BB487&lt;=9,ROW()&lt;=cur_line),BB487+1,0)),0)</f>
        <v>0</v>
      </c>
      <c r="BC488" s="313">
        <f>IFERROR(IF(INDEX([1]Pivot!$BF$1:$CG$65000,$B488,BC$5)=1,1,IF(AND(BC487&gt;=1,BC487&lt;=9,ROW()&lt;=cur_line),BC487+1,0)),0)</f>
        <v>0</v>
      </c>
      <c r="BD488" s="313">
        <f>IFERROR(IF(INDEX([1]Pivot!$BF$1:$CG$65000,$B488,BD$5)=1,1,IF(AND(BD487&gt;=1,BD487&lt;=9,ROW()&lt;=cur_line),BD487+1,0)),0)</f>
        <v>0</v>
      </c>
    </row>
    <row r="489" spans="1:56" hidden="1" outlineLevel="1" x14ac:dyDescent="0.25">
      <c r="A489" s="288" t="str">
        <f>'[2]Raw Milk Prices'!A489</f>
        <v>2017m02</v>
      </c>
      <c r="B489" s="296" t="e">
        <f>MATCH(DATE(LEFT('[2]Raw Milk Prices'!$A489,4),RIGHT('[2]Raw Milk Prices'!$A489,2),1),[1]Pivot!$A$1:$A$65000,0)</f>
        <v>#N/A</v>
      </c>
      <c r="C489" s="194">
        <f>IFERROR(IF(INDEX([1]Pivot!$AD$1:$BE$65000,$B489,C$5)=1,1,IF(AND(C488&gt;=1,C488&lt;=9,ROW()&lt;=cur_line),C488+1,0)),0)</f>
        <v>0</v>
      </c>
      <c r="D489" s="194">
        <f>IFERROR(IF(INDEX([1]Pivot!$AD$1:$BE$65000,$B489,D$5)=1,1,IF(AND(D488&gt;=1,D488&lt;=9,ROW()&lt;=cur_line),D488+1,0)),0)</f>
        <v>0</v>
      </c>
      <c r="E489" s="194">
        <f>IFERROR(IF(INDEX([1]Pivot!$AD$1:$BE$65000,$B489,E$5)=1,1,IF(AND(E488&gt;=1,E488&lt;=9,ROW()&lt;=cur_line),E488+1,0)),0)</f>
        <v>0</v>
      </c>
      <c r="F489" s="194">
        <f>IFERROR(IF(INDEX([1]Pivot!$AD$1:$BE$65000,$B489,F$5)=1,1,IF(AND(F488&gt;=1,F488&lt;=9,ROW()&lt;=cur_line),F488+1,0)),0)</f>
        <v>0</v>
      </c>
      <c r="G489" s="194">
        <f>IFERROR(IF(INDEX([1]Pivot!$AD$1:$BE$65000,$B489,G$5)=1,1,IF(AND(G488&gt;=1,G488&lt;=9,ROW()&lt;=cur_line),G488+1,0)),0)</f>
        <v>0</v>
      </c>
      <c r="H489" s="194">
        <f>IFERROR(IF(INDEX([1]Pivot!$AD$1:$BE$65000,$B489,H$5)=1,1,IF(AND(H488&gt;=1,H488&lt;=9,ROW()&lt;=cur_line),H488+1,0)),0)</f>
        <v>0</v>
      </c>
      <c r="I489" s="194">
        <f>IFERROR(IF(INDEX([1]Pivot!$AD$1:$BE$65000,$B489,I$5)=1,1,IF(AND(I488&gt;=1,I488&lt;=9,ROW()&lt;=cur_line),I488+1,0)),0)</f>
        <v>0</v>
      </c>
      <c r="J489" s="194">
        <f>IFERROR(IF(INDEX([1]Pivot!$AD$1:$BE$65000,$B489,J$5)=1,1,IF(AND(J488&gt;=1,J488&lt;=9,ROW()&lt;=cur_line),J488+1,0)),0)</f>
        <v>0</v>
      </c>
      <c r="K489" s="194">
        <f>IFERROR(IF(INDEX([1]Pivot!$AD$1:$BE$65000,$B489,K$5)=1,1,IF(AND(K488&gt;=1,K488&lt;=9,ROW()&lt;=cur_line),K488+1,0)),0)</f>
        <v>0</v>
      </c>
      <c r="L489" s="194">
        <f>IFERROR(IF(INDEX([1]Pivot!$AD$1:$BE$65000,$B489,L$5)=1,1,IF(AND(L488&gt;=1,L488&lt;=9,ROW()&lt;=cur_line),L488+1,0)),0)</f>
        <v>0</v>
      </c>
      <c r="M489" s="194">
        <f>IFERROR(IF(INDEX([1]Pivot!$AD$1:$BE$65000,$B489,M$5)=1,1,IF(AND(M488&gt;=1,M488&lt;=9,ROW()&lt;=cur_line),M488+1,0)),0)</f>
        <v>0</v>
      </c>
      <c r="N489" s="194">
        <f>IFERROR(IF(INDEX([1]Pivot!$AD$1:$BE$65000,$B489,N$5)=1,1,IF(AND(N488&gt;=1,N488&lt;=9,ROW()&lt;=cur_line),N488+1,0)),0)</f>
        <v>0</v>
      </c>
      <c r="O489" s="194">
        <f>IFERROR(IF(INDEX([1]Pivot!$AD$1:$BE$65000,$B489,O$5)=1,1,IF(AND(O488&gt;=1,O488&lt;=9,ROW()&lt;=cur_line),O488+1,0)),0)</f>
        <v>0</v>
      </c>
      <c r="P489" s="194">
        <f>IFERROR(IF(INDEX([1]Pivot!$AD$1:$BE$65000,$B489,P$5)=1,1,IF(AND(P488&gt;=1,P488&lt;=9,ROW()&lt;=cur_line),P488+1,0)),0)</f>
        <v>0</v>
      </c>
      <c r="Q489" s="194">
        <f>IFERROR(IF(INDEX([1]Pivot!$AD$1:$BE$65000,$B489,Q$5)=1,1,IF(AND(Q488&gt;=1,Q488&lt;=9,ROW()&lt;=cur_line),Q488+1,0)),0)</f>
        <v>0</v>
      </c>
      <c r="R489" s="312"/>
      <c r="S489" s="194">
        <f>IFERROR(IF(INDEX([1]Pivot!$AD$1:$BE$65000,$B489,S$5)=1,1,IF(AND(S488&gt;=1,S488&lt;=9,ROW()&lt;=cur_line),S488+1,0)),0)</f>
        <v>0</v>
      </c>
      <c r="T489" s="194">
        <f>IFERROR(IF(INDEX([1]Pivot!$AD$1:$BE$65000,$B489,T$5)=1,1,IF(AND(T488&gt;=1,T488&lt;=9,ROW()&lt;=cur_line),T488+1,0)),0)</f>
        <v>0</v>
      </c>
      <c r="U489" s="194">
        <f>IFERROR(IF(INDEX([1]Pivot!$AD$1:$BE$65000,$B489,U$5)=1,1,IF(AND(U488&gt;=1,U488&lt;=9,ROW()&lt;=cur_line),U488+1,0)),0)</f>
        <v>0</v>
      </c>
      <c r="V489" s="194">
        <f>IFERROR(IF(INDEX([1]Pivot!$AD$1:$BE$65000,$B489,V$5)=1,1,IF(AND(V488&gt;=1,V488&lt;=9,ROW()&lt;=cur_line),V488+1,0)),0)</f>
        <v>0</v>
      </c>
      <c r="W489" s="194">
        <f>IFERROR(IF(INDEX([1]Pivot!$AD$1:$BE$65000,$B489,W$5)=1,1,IF(AND(W488&gt;=1,W488&lt;=9,ROW()&lt;=cur_line),W488+1,0)),0)</f>
        <v>0</v>
      </c>
      <c r="X489" s="194">
        <f>IFERROR(IF(INDEX([1]Pivot!$AD$1:$BE$65000,$B489,X$5)=1,1,IF(AND(X488&gt;=1,X488&lt;=9,ROW()&lt;=cur_line),X488+1,0)),0)</f>
        <v>0</v>
      </c>
      <c r="Y489" s="194">
        <f>IFERROR(IF(INDEX([1]Pivot!$AD$1:$BE$65000,$B489,Y$5)=1,1,IF(AND(Y488&gt;=1,Y488&lt;=9,ROW()&lt;=cur_line),Y488+1,0)),0)</f>
        <v>0</v>
      </c>
      <c r="Z489" s="194">
        <f>IFERROR(IF(INDEX([1]Pivot!$AD$1:$BE$65000,$B489,Z$5)=1,1,IF(AND(Z488&gt;=1,Z488&lt;=9,ROW()&lt;=cur_line),Z488+1,0)),0)</f>
        <v>0</v>
      </c>
      <c r="AA489" s="194">
        <f>IFERROR(IF(INDEX([1]Pivot!$AD$1:$BE$65000,$B489,AA$5)=1,1,IF(AND(AA488&gt;=1,AA488&lt;=9,ROW()&lt;=cur_line),AA488+1,0)),0)</f>
        <v>0</v>
      </c>
      <c r="AB489" s="194">
        <f>IFERROR(IF(INDEX([1]Pivot!$AD$1:$BE$65000,$B489,AB$5)=1,1,IF(AND(AB488&gt;=1,AB488&lt;=9,ROW()&lt;=cur_line),AB488+1,0)),0)</f>
        <v>0</v>
      </c>
      <c r="AC489" s="194">
        <f>IFERROR(IF(INDEX([1]Pivot!$AD$1:$BE$65000,$B489,AC$5)=1,1,IF(AND(AC488&gt;=1,AC488&lt;=9,ROW()&lt;=cur_line),AC488+1,0)),0)</f>
        <v>0</v>
      </c>
      <c r="AD489" s="313">
        <f>IFERROR(IF(INDEX([1]Pivot!$BF$1:$CG$65000,$B489,AD$5)=1,1,IF(AND(AD488&gt;=1,AD488&lt;=9,ROW()&lt;=cur_line),AD488+1,0)),0)</f>
        <v>0</v>
      </c>
      <c r="AE489" s="313">
        <f>IFERROR(IF(INDEX([1]Pivot!$BF$1:$CG$65000,$B489,AE$5)=1,1,IF(AND(AE488&gt;=1,AE488&lt;=9,ROW()&lt;=cur_line),AE488+1,0)),0)</f>
        <v>0</v>
      </c>
      <c r="AF489" s="313">
        <f>IFERROR(IF(INDEX([1]Pivot!$BF$1:$CG$65000,$B489,AF$5)=1,1,IF(AND(AF488&gt;=1,AF488&lt;=9,ROW()&lt;=cur_line),AF488+1,0)),0)</f>
        <v>0</v>
      </c>
      <c r="AG489" s="313">
        <f>IFERROR(IF(INDEX([1]Pivot!$BF$1:$CG$65000,$B489,AG$5)=1,1,IF(AND(AG488&gt;=1,AG488&lt;=9,ROW()&lt;=cur_line),AG488+1,0)),0)</f>
        <v>0</v>
      </c>
      <c r="AH489" s="313">
        <f>IFERROR(IF(INDEX([1]Pivot!$BF$1:$CG$65000,$B489,AH$5)=1,1,IF(AND(AH488&gt;=1,AH488&lt;=9,ROW()&lt;=cur_line),AH488+1,0)),0)</f>
        <v>0</v>
      </c>
      <c r="AI489" s="313">
        <f>IFERROR(IF(INDEX([1]Pivot!$BF$1:$CG$65000,$B489,AI$5)=1,1,IF(AND(AI488&gt;=1,AI488&lt;=9,ROW()&lt;=cur_line),AI488+1,0)),0)</f>
        <v>0</v>
      </c>
      <c r="AJ489" s="313">
        <f>IFERROR(IF(INDEX([1]Pivot!$BF$1:$CG$65000,$B489,AJ$5)=1,1,IF(AND(AJ488&gt;=1,AJ488&lt;=9,ROW()&lt;=cur_line),AJ488+1,0)),0)</f>
        <v>0</v>
      </c>
      <c r="AK489" s="313">
        <f>IFERROR(IF(INDEX([1]Pivot!$BF$1:$CG$65000,$B489,AK$5)=1,1,IF(AND(AK488&gt;=1,AK488&lt;=9,ROW()&lt;=cur_line),AK488+1,0)),0)</f>
        <v>0</v>
      </c>
      <c r="AL489" s="313">
        <f>IFERROR(IF(INDEX([1]Pivot!$BF$1:$CG$65000,$B489,AL$5)=1,1,IF(AND(AL488&gt;=1,AL488&lt;=9,ROW()&lt;=cur_line),AL488+1,0)),0)</f>
        <v>0</v>
      </c>
      <c r="AM489" s="313">
        <f>IFERROR(IF(INDEX([1]Pivot!$BF$1:$CG$65000,$B489,AM$5)=1,1,IF(AND(AM488&gt;=1,AM488&lt;=9,ROW()&lt;=cur_line),AM488+1,0)),0)</f>
        <v>0</v>
      </c>
      <c r="AN489" s="313">
        <f>IFERROR(IF(INDEX([1]Pivot!$BF$1:$CG$65000,$B489,AN$5)=1,1,IF(AND(AN488&gt;=1,AN488&lt;=9,ROW()&lt;=cur_line),AN488+1,0)),0)</f>
        <v>0</v>
      </c>
      <c r="AO489" s="313">
        <f>IFERROR(IF(INDEX([1]Pivot!$BF$1:$CG$65000,$B489,AO$5)=1,1,IF(AND(AO488&gt;=1,AO488&lt;=9,ROW()&lt;=cur_line),AO488+1,0)),0)</f>
        <v>0</v>
      </c>
      <c r="AP489" s="313">
        <f>IFERROR(IF(INDEX([1]Pivot!$BF$1:$CG$65000,$B489,AP$5)=1,1,IF(AND(AP488&gt;=1,AP488&lt;=9,ROW()&lt;=cur_line),AP488+1,0)),0)</f>
        <v>0</v>
      </c>
      <c r="AQ489" s="313">
        <f>IFERROR(IF(INDEX([1]Pivot!$BF$1:$CG$65000,$B489,AQ$5)=1,1,IF(AND(AQ488&gt;=1,AQ488&lt;=9,ROW()&lt;=cur_line),AQ488+1,0)),0)</f>
        <v>0</v>
      </c>
      <c r="AR489" s="313">
        <f>IFERROR(IF(INDEX([1]Pivot!$BF$1:$CG$65000,$B489,AR$5)=1,1,IF(AND(AR488&gt;=1,AR488&lt;=9,ROW()&lt;=cur_line),AR488+1,0)),0)</f>
        <v>0</v>
      </c>
      <c r="AS489" s="312"/>
      <c r="AT489" s="313">
        <f>IFERROR(IF(INDEX([1]Pivot!$BF$1:$CG$65000,$B489,AT$5)=1,1,IF(AND(AT488&gt;=1,AT488&lt;=9,ROW()&lt;=cur_line),AT488+1,0)),0)</f>
        <v>0</v>
      </c>
      <c r="AU489" s="313">
        <f>IFERROR(IF(INDEX([1]Pivot!$BF$1:$CG$65000,$B489,AU$5)=1,1,IF(AND(AU488&gt;=1,AU488&lt;=9,ROW()&lt;=cur_line),AU488+1,0)),0)</f>
        <v>0</v>
      </c>
      <c r="AV489" s="313">
        <f>IFERROR(IF(INDEX([1]Pivot!$BF$1:$CG$65000,$B489,AV$5)=1,1,IF(AND(AV488&gt;=1,AV488&lt;=9,ROW()&lt;=cur_line),AV488+1,0)),0)</f>
        <v>0</v>
      </c>
      <c r="AW489" s="313">
        <f>IFERROR(IF(INDEX([1]Pivot!$BF$1:$CG$65000,$B489,AW$5)=1,1,IF(AND(AW488&gt;=1,AW488&lt;=9,ROW()&lt;=cur_line),AW488+1,0)),0)</f>
        <v>0</v>
      </c>
      <c r="AX489" s="313">
        <f>IFERROR(IF(INDEX([1]Pivot!$BF$1:$CG$65000,$B489,AX$5)=1,1,IF(AND(AX488&gt;=1,AX488&lt;=9,ROW()&lt;=cur_line),AX488+1,0)),0)</f>
        <v>0</v>
      </c>
      <c r="AY489" s="313">
        <f>IFERROR(IF(INDEX([1]Pivot!$BF$1:$CG$65000,$B489,AY$5)=1,1,IF(AND(AY488&gt;=1,AY488&lt;=9,ROW()&lt;=cur_line),AY488+1,0)),0)</f>
        <v>0</v>
      </c>
      <c r="AZ489" s="313">
        <f>IFERROR(IF(INDEX([1]Pivot!$BF$1:$CG$65000,$B489,AZ$5)=1,1,IF(AND(AZ488&gt;=1,AZ488&lt;=9,ROW()&lt;=cur_line),AZ488+1,0)),0)</f>
        <v>0</v>
      </c>
      <c r="BA489" s="313">
        <f>IFERROR(IF(INDEX([1]Pivot!$BF$1:$CG$65000,$B489,BA$5)=1,1,IF(AND(BA488&gt;=1,BA488&lt;=9,ROW()&lt;=cur_line),BA488+1,0)),0)</f>
        <v>0</v>
      </c>
      <c r="BB489" s="313">
        <f>IFERROR(IF(INDEX([1]Pivot!$BF$1:$CG$65000,$B489,BB$5)=1,1,IF(AND(BB488&gt;=1,BB488&lt;=9,ROW()&lt;=cur_line),BB488+1,0)),0)</f>
        <v>0</v>
      </c>
      <c r="BC489" s="313">
        <f>IFERROR(IF(INDEX([1]Pivot!$BF$1:$CG$65000,$B489,BC$5)=1,1,IF(AND(BC488&gt;=1,BC488&lt;=9,ROW()&lt;=cur_line),BC488+1,0)),0)</f>
        <v>0</v>
      </c>
      <c r="BD489" s="313">
        <f>IFERROR(IF(INDEX([1]Pivot!$BF$1:$CG$65000,$B489,BD$5)=1,1,IF(AND(BD488&gt;=1,BD488&lt;=9,ROW()&lt;=cur_line),BD488+1,0)),0)</f>
        <v>0</v>
      </c>
    </row>
    <row r="490" spans="1:56" hidden="1" outlineLevel="1" x14ac:dyDescent="0.25">
      <c r="A490" s="288" t="str">
        <f>'[2]Raw Milk Prices'!A490</f>
        <v>2017m03</v>
      </c>
      <c r="B490" s="296" t="e">
        <f>MATCH(DATE(LEFT('[2]Raw Milk Prices'!$A490,4),RIGHT('[2]Raw Milk Prices'!$A490,2),1),[1]Pivot!$A$1:$A$65000,0)</f>
        <v>#N/A</v>
      </c>
      <c r="C490" s="194">
        <f>IFERROR(IF(INDEX([1]Pivot!$AD$1:$BE$65000,$B490,C$5)=1,1,IF(AND(C489&gt;=1,C489&lt;=9,ROW()&lt;=cur_line),C489+1,0)),0)</f>
        <v>0</v>
      </c>
      <c r="D490" s="194">
        <f>IFERROR(IF(INDEX([1]Pivot!$AD$1:$BE$65000,$B490,D$5)=1,1,IF(AND(D489&gt;=1,D489&lt;=9,ROW()&lt;=cur_line),D489+1,0)),0)</f>
        <v>0</v>
      </c>
      <c r="E490" s="194">
        <f>IFERROR(IF(INDEX([1]Pivot!$AD$1:$BE$65000,$B490,E$5)=1,1,IF(AND(E489&gt;=1,E489&lt;=9,ROW()&lt;=cur_line),E489+1,0)),0)</f>
        <v>0</v>
      </c>
      <c r="F490" s="194">
        <f>IFERROR(IF(INDEX([1]Pivot!$AD$1:$BE$65000,$B490,F$5)=1,1,IF(AND(F489&gt;=1,F489&lt;=9,ROW()&lt;=cur_line),F489+1,0)),0)</f>
        <v>0</v>
      </c>
      <c r="G490" s="194">
        <f>IFERROR(IF(INDEX([1]Pivot!$AD$1:$BE$65000,$B490,G$5)=1,1,IF(AND(G489&gt;=1,G489&lt;=9,ROW()&lt;=cur_line),G489+1,0)),0)</f>
        <v>0</v>
      </c>
      <c r="H490" s="194">
        <f>IFERROR(IF(INDEX([1]Pivot!$AD$1:$BE$65000,$B490,H$5)=1,1,IF(AND(H489&gt;=1,H489&lt;=9,ROW()&lt;=cur_line),H489+1,0)),0)</f>
        <v>0</v>
      </c>
      <c r="I490" s="194">
        <f>IFERROR(IF(INDEX([1]Pivot!$AD$1:$BE$65000,$B490,I$5)=1,1,IF(AND(I489&gt;=1,I489&lt;=9,ROW()&lt;=cur_line),I489+1,0)),0)</f>
        <v>0</v>
      </c>
      <c r="J490" s="194">
        <f>IFERROR(IF(INDEX([1]Pivot!$AD$1:$BE$65000,$B490,J$5)=1,1,IF(AND(J489&gt;=1,J489&lt;=9,ROW()&lt;=cur_line),J489+1,0)),0)</f>
        <v>0</v>
      </c>
      <c r="K490" s="194">
        <f>IFERROR(IF(INDEX([1]Pivot!$AD$1:$BE$65000,$B490,K$5)=1,1,IF(AND(K489&gt;=1,K489&lt;=9,ROW()&lt;=cur_line),K489+1,0)),0)</f>
        <v>0</v>
      </c>
      <c r="L490" s="194">
        <f>IFERROR(IF(INDEX([1]Pivot!$AD$1:$BE$65000,$B490,L$5)=1,1,IF(AND(L489&gt;=1,L489&lt;=9,ROW()&lt;=cur_line),L489+1,0)),0)</f>
        <v>0</v>
      </c>
      <c r="M490" s="194">
        <f>IFERROR(IF(INDEX([1]Pivot!$AD$1:$BE$65000,$B490,M$5)=1,1,IF(AND(M489&gt;=1,M489&lt;=9,ROW()&lt;=cur_line),M489+1,0)),0)</f>
        <v>0</v>
      </c>
      <c r="N490" s="194">
        <f>IFERROR(IF(INDEX([1]Pivot!$AD$1:$BE$65000,$B490,N$5)=1,1,IF(AND(N489&gt;=1,N489&lt;=9,ROW()&lt;=cur_line),N489+1,0)),0)</f>
        <v>0</v>
      </c>
      <c r="O490" s="194">
        <f>IFERROR(IF(INDEX([1]Pivot!$AD$1:$BE$65000,$B490,O$5)=1,1,IF(AND(O489&gt;=1,O489&lt;=9,ROW()&lt;=cur_line),O489+1,0)),0)</f>
        <v>0</v>
      </c>
      <c r="P490" s="194">
        <f>IFERROR(IF(INDEX([1]Pivot!$AD$1:$BE$65000,$B490,P$5)=1,1,IF(AND(P489&gt;=1,P489&lt;=9,ROW()&lt;=cur_line),P489+1,0)),0)</f>
        <v>0</v>
      </c>
      <c r="Q490" s="194">
        <f>IFERROR(IF(INDEX([1]Pivot!$AD$1:$BE$65000,$B490,Q$5)=1,1,IF(AND(Q489&gt;=1,Q489&lt;=9,ROW()&lt;=cur_line),Q489+1,0)),0)</f>
        <v>0</v>
      </c>
      <c r="R490" s="312"/>
      <c r="S490" s="194">
        <f>IFERROR(IF(INDEX([1]Pivot!$AD$1:$BE$65000,$B490,S$5)=1,1,IF(AND(S489&gt;=1,S489&lt;=9,ROW()&lt;=cur_line),S489+1,0)),0)</f>
        <v>0</v>
      </c>
      <c r="T490" s="194">
        <f>IFERROR(IF(INDEX([1]Pivot!$AD$1:$BE$65000,$B490,T$5)=1,1,IF(AND(T489&gt;=1,T489&lt;=9,ROW()&lt;=cur_line),T489+1,0)),0)</f>
        <v>0</v>
      </c>
      <c r="U490" s="194">
        <f>IFERROR(IF(INDEX([1]Pivot!$AD$1:$BE$65000,$B490,U$5)=1,1,IF(AND(U489&gt;=1,U489&lt;=9,ROW()&lt;=cur_line),U489+1,0)),0)</f>
        <v>0</v>
      </c>
      <c r="V490" s="194">
        <f>IFERROR(IF(INDEX([1]Pivot!$AD$1:$BE$65000,$B490,V$5)=1,1,IF(AND(V489&gt;=1,V489&lt;=9,ROW()&lt;=cur_line),V489+1,0)),0)</f>
        <v>0</v>
      </c>
      <c r="W490" s="194">
        <f>IFERROR(IF(INDEX([1]Pivot!$AD$1:$BE$65000,$B490,W$5)=1,1,IF(AND(W489&gt;=1,W489&lt;=9,ROW()&lt;=cur_line),W489+1,0)),0)</f>
        <v>0</v>
      </c>
      <c r="X490" s="194">
        <f>IFERROR(IF(INDEX([1]Pivot!$AD$1:$BE$65000,$B490,X$5)=1,1,IF(AND(X489&gt;=1,X489&lt;=9,ROW()&lt;=cur_line),X489+1,0)),0)</f>
        <v>0</v>
      </c>
      <c r="Y490" s="194">
        <f>IFERROR(IF(INDEX([1]Pivot!$AD$1:$BE$65000,$B490,Y$5)=1,1,IF(AND(Y489&gt;=1,Y489&lt;=9,ROW()&lt;=cur_line),Y489+1,0)),0)</f>
        <v>0</v>
      </c>
      <c r="Z490" s="194">
        <f>IFERROR(IF(INDEX([1]Pivot!$AD$1:$BE$65000,$B490,Z$5)=1,1,IF(AND(Z489&gt;=1,Z489&lt;=9,ROW()&lt;=cur_line),Z489+1,0)),0)</f>
        <v>0</v>
      </c>
      <c r="AA490" s="194">
        <f>IFERROR(IF(INDEX([1]Pivot!$AD$1:$BE$65000,$B490,AA$5)=1,1,IF(AND(AA489&gt;=1,AA489&lt;=9,ROW()&lt;=cur_line),AA489+1,0)),0)</f>
        <v>0</v>
      </c>
      <c r="AB490" s="194">
        <f>IFERROR(IF(INDEX([1]Pivot!$AD$1:$BE$65000,$B490,AB$5)=1,1,IF(AND(AB489&gt;=1,AB489&lt;=9,ROW()&lt;=cur_line),AB489+1,0)),0)</f>
        <v>0</v>
      </c>
      <c r="AC490" s="194">
        <f>IFERROR(IF(INDEX([1]Pivot!$AD$1:$BE$65000,$B490,AC$5)=1,1,IF(AND(AC489&gt;=1,AC489&lt;=9,ROW()&lt;=cur_line),AC489+1,0)),0)</f>
        <v>0</v>
      </c>
      <c r="AD490" s="313">
        <f>IFERROR(IF(INDEX([1]Pivot!$BF$1:$CG$65000,$B490,AD$5)=1,1,IF(AND(AD489&gt;=1,AD489&lt;=9,ROW()&lt;=cur_line),AD489+1,0)),0)</f>
        <v>0</v>
      </c>
      <c r="AE490" s="313">
        <f>IFERROR(IF(INDEX([1]Pivot!$BF$1:$CG$65000,$B490,AE$5)=1,1,IF(AND(AE489&gt;=1,AE489&lt;=9,ROW()&lt;=cur_line),AE489+1,0)),0)</f>
        <v>0</v>
      </c>
      <c r="AF490" s="313">
        <f>IFERROR(IF(INDEX([1]Pivot!$BF$1:$CG$65000,$B490,AF$5)=1,1,IF(AND(AF489&gt;=1,AF489&lt;=9,ROW()&lt;=cur_line),AF489+1,0)),0)</f>
        <v>0</v>
      </c>
      <c r="AG490" s="313">
        <f>IFERROR(IF(INDEX([1]Pivot!$BF$1:$CG$65000,$B490,AG$5)=1,1,IF(AND(AG489&gt;=1,AG489&lt;=9,ROW()&lt;=cur_line),AG489+1,0)),0)</f>
        <v>0</v>
      </c>
      <c r="AH490" s="313">
        <f>IFERROR(IF(INDEX([1]Pivot!$BF$1:$CG$65000,$B490,AH$5)=1,1,IF(AND(AH489&gt;=1,AH489&lt;=9,ROW()&lt;=cur_line),AH489+1,0)),0)</f>
        <v>0</v>
      </c>
      <c r="AI490" s="313">
        <f>IFERROR(IF(INDEX([1]Pivot!$BF$1:$CG$65000,$B490,AI$5)=1,1,IF(AND(AI489&gt;=1,AI489&lt;=9,ROW()&lt;=cur_line),AI489+1,0)),0)</f>
        <v>0</v>
      </c>
      <c r="AJ490" s="313">
        <f>IFERROR(IF(INDEX([1]Pivot!$BF$1:$CG$65000,$B490,AJ$5)=1,1,IF(AND(AJ489&gt;=1,AJ489&lt;=9,ROW()&lt;=cur_line),AJ489+1,0)),0)</f>
        <v>0</v>
      </c>
      <c r="AK490" s="313">
        <f>IFERROR(IF(INDEX([1]Pivot!$BF$1:$CG$65000,$B490,AK$5)=1,1,IF(AND(AK489&gt;=1,AK489&lt;=9,ROW()&lt;=cur_line),AK489+1,0)),0)</f>
        <v>0</v>
      </c>
      <c r="AL490" s="313">
        <f>IFERROR(IF(INDEX([1]Pivot!$BF$1:$CG$65000,$B490,AL$5)=1,1,IF(AND(AL489&gt;=1,AL489&lt;=9,ROW()&lt;=cur_line),AL489+1,0)),0)</f>
        <v>0</v>
      </c>
      <c r="AM490" s="313">
        <f>IFERROR(IF(INDEX([1]Pivot!$BF$1:$CG$65000,$B490,AM$5)=1,1,IF(AND(AM489&gt;=1,AM489&lt;=9,ROW()&lt;=cur_line),AM489+1,0)),0)</f>
        <v>0</v>
      </c>
      <c r="AN490" s="313">
        <f>IFERROR(IF(INDEX([1]Pivot!$BF$1:$CG$65000,$B490,AN$5)=1,1,IF(AND(AN489&gt;=1,AN489&lt;=9,ROW()&lt;=cur_line),AN489+1,0)),0)</f>
        <v>0</v>
      </c>
      <c r="AO490" s="313">
        <f>IFERROR(IF(INDEX([1]Pivot!$BF$1:$CG$65000,$B490,AO$5)=1,1,IF(AND(AO489&gt;=1,AO489&lt;=9,ROW()&lt;=cur_line),AO489+1,0)),0)</f>
        <v>0</v>
      </c>
      <c r="AP490" s="313">
        <f>IFERROR(IF(INDEX([1]Pivot!$BF$1:$CG$65000,$B490,AP$5)=1,1,IF(AND(AP489&gt;=1,AP489&lt;=9,ROW()&lt;=cur_line),AP489+1,0)),0)</f>
        <v>0</v>
      </c>
      <c r="AQ490" s="313">
        <f>IFERROR(IF(INDEX([1]Pivot!$BF$1:$CG$65000,$B490,AQ$5)=1,1,IF(AND(AQ489&gt;=1,AQ489&lt;=9,ROW()&lt;=cur_line),AQ489+1,0)),0)</f>
        <v>0</v>
      </c>
      <c r="AR490" s="313">
        <f>IFERROR(IF(INDEX([1]Pivot!$BF$1:$CG$65000,$B490,AR$5)=1,1,IF(AND(AR489&gt;=1,AR489&lt;=9,ROW()&lt;=cur_line),AR489+1,0)),0)</f>
        <v>0</v>
      </c>
      <c r="AS490" s="312"/>
      <c r="AT490" s="313">
        <f>IFERROR(IF(INDEX([1]Pivot!$BF$1:$CG$65000,$B490,AT$5)=1,1,IF(AND(AT489&gt;=1,AT489&lt;=9,ROW()&lt;=cur_line),AT489+1,0)),0)</f>
        <v>0</v>
      </c>
      <c r="AU490" s="313">
        <f>IFERROR(IF(INDEX([1]Pivot!$BF$1:$CG$65000,$B490,AU$5)=1,1,IF(AND(AU489&gt;=1,AU489&lt;=9,ROW()&lt;=cur_line),AU489+1,0)),0)</f>
        <v>0</v>
      </c>
      <c r="AV490" s="313">
        <f>IFERROR(IF(INDEX([1]Pivot!$BF$1:$CG$65000,$B490,AV$5)=1,1,IF(AND(AV489&gt;=1,AV489&lt;=9,ROW()&lt;=cur_line),AV489+1,0)),0)</f>
        <v>0</v>
      </c>
      <c r="AW490" s="313">
        <f>IFERROR(IF(INDEX([1]Pivot!$BF$1:$CG$65000,$B490,AW$5)=1,1,IF(AND(AW489&gt;=1,AW489&lt;=9,ROW()&lt;=cur_line),AW489+1,0)),0)</f>
        <v>0</v>
      </c>
      <c r="AX490" s="313">
        <f>IFERROR(IF(INDEX([1]Pivot!$BF$1:$CG$65000,$B490,AX$5)=1,1,IF(AND(AX489&gt;=1,AX489&lt;=9,ROW()&lt;=cur_line),AX489+1,0)),0)</f>
        <v>0</v>
      </c>
      <c r="AY490" s="313">
        <f>IFERROR(IF(INDEX([1]Pivot!$BF$1:$CG$65000,$B490,AY$5)=1,1,IF(AND(AY489&gt;=1,AY489&lt;=9,ROW()&lt;=cur_line),AY489+1,0)),0)</f>
        <v>0</v>
      </c>
      <c r="AZ490" s="313">
        <f>IFERROR(IF(INDEX([1]Pivot!$BF$1:$CG$65000,$B490,AZ$5)=1,1,IF(AND(AZ489&gt;=1,AZ489&lt;=9,ROW()&lt;=cur_line),AZ489+1,0)),0)</f>
        <v>0</v>
      </c>
      <c r="BA490" s="313">
        <f>IFERROR(IF(INDEX([1]Pivot!$BF$1:$CG$65000,$B490,BA$5)=1,1,IF(AND(BA489&gt;=1,BA489&lt;=9,ROW()&lt;=cur_line),BA489+1,0)),0)</f>
        <v>0</v>
      </c>
      <c r="BB490" s="313">
        <f>IFERROR(IF(INDEX([1]Pivot!$BF$1:$CG$65000,$B490,BB$5)=1,1,IF(AND(BB489&gt;=1,BB489&lt;=9,ROW()&lt;=cur_line),BB489+1,0)),0)</f>
        <v>0</v>
      </c>
      <c r="BC490" s="313">
        <f>IFERROR(IF(INDEX([1]Pivot!$BF$1:$CG$65000,$B490,BC$5)=1,1,IF(AND(BC489&gt;=1,BC489&lt;=9,ROW()&lt;=cur_line),BC489+1,0)),0)</f>
        <v>0</v>
      </c>
      <c r="BD490" s="313">
        <f>IFERROR(IF(INDEX([1]Pivot!$BF$1:$CG$65000,$B490,BD$5)=1,1,IF(AND(BD489&gt;=1,BD489&lt;=9,ROW()&lt;=cur_line),BD489+1,0)),0)</f>
        <v>0</v>
      </c>
    </row>
    <row r="491" spans="1:56" hidden="1" outlineLevel="1" x14ac:dyDescent="0.25">
      <c r="A491" s="288" t="str">
        <f>'[2]Raw Milk Prices'!A491</f>
        <v>2017m04</v>
      </c>
      <c r="B491" s="296" t="e">
        <f>MATCH(DATE(LEFT('[2]Raw Milk Prices'!$A491,4),RIGHT('[2]Raw Milk Prices'!$A491,2),1),[1]Pivot!$A$1:$A$65000,0)</f>
        <v>#N/A</v>
      </c>
      <c r="C491" s="194">
        <f>IFERROR(IF(INDEX([1]Pivot!$AD$1:$BE$65000,$B491,C$5)=1,1,IF(AND(C490&gt;=1,C490&lt;=9,ROW()&lt;=cur_line),C490+1,0)),0)</f>
        <v>0</v>
      </c>
      <c r="D491" s="194">
        <f>IFERROR(IF(INDEX([1]Pivot!$AD$1:$BE$65000,$B491,D$5)=1,1,IF(AND(D490&gt;=1,D490&lt;=9,ROW()&lt;=cur_line),D490+1,0)),0)</f>
        <v>0</v>
      </c>
      <c r="E491" s="194">
        <f>IFERROR(IF(INDEX([1]Pivot!$AD$1:$BE$65000,$B491,E$5)=1,1,IF(AND(E490&gt;=1,E490&lt;=9,ROW()&lt;=cur_line),E490+1,0)),0)</f>
        <v>0</v>
      </c>
      <c r="F491" s="194">
        <f>IFERROR(IF(INDEX([1]Pivot!$AD$1:$BE$65000,$B491,F$5)=1,1,IF(AND(F490&gt;=1,F490&lt;=9,ROW()&lt;=cur_line),F490+1,0)),0)</f>
        <v>0</v>
      </c>
      <c r="G491" s="194">
        <f>IFERROR(IF(INDEX([1]Pivot!$AD$1:$BE$65000,$B491,G$5)=1,1,IF(AND(G490&gt;=1,G490&lt;=9,ROW()&lt;=cur_line),G490+1,0)),0)</f>
        <v>0</v>
      </c>
      <c r="H491" s="194">
        <f>IFERROR(IF(INDEX([1]Pivot!$AD$1:$BE$65000,$B491,H$5)=1,1,IF(AND(H490&gt;=1,H490&lt;=9,ROW()&lt;=cur_line),H490+1,0)),0)</f>
        <v>0</v>
      </c>
      <c r="I491" s="194">
        <f>IFERROR(IF(INDEX([1]Pivot!$AD$1:$BE$65000,$B491,I$5)=1,1,IF(AND(I490&gt;=1,I490&lt;=9,ROW()&lt;=cur_line),I490+1,0)),0)</f>
        <v>0</v>
      </c>
      <c r="J491" s="194">
        <f>IFERROR(IF(INDEX([1]Pivot!$AD$1:$BE$65000,$B491,J$5)=1,1,IF(AND(J490&gt;=1,J490&lt;=9,ROW()&lt;=cur_line),J490+1,0)),0)</f>
        <v>0</v>
      </c>
      <c r="K491" s="194">
        <f>IFERROR(IF(INDEX([1]Pivot!$AD$1:$BE$65000,$B491,K$5)=1,1,IF(AND(K490&gt;=1,K490&lt;=9,ROW()&lt;=cur_line),K490+1,0)),0)</f>
        <v>0</v>
      </c>
      <c r="L491" s="194">
        <f>IFERROR(IF(INDEX([1]Pivot!$AD$1:$BE$65000,$B491,L$5)=1,1,IF(AND(L490&gt;=1,L490&lt;=9,ROW()&lt;=cur_line),L490+1,0)),0)</f>
        <v>0</v>
      </c>
      <c r="M491" s="194">
        <f>IFERROR(IF(INDEX([1]Pivot!$AD$1:$BE$65000,$B491,M$5)=1,1,IF(AND(M490&gt;=1,M490&lt;=9,ROW()&lt;=cur_line),M490+1,0)),0)</f>
        <v>0</v>
      </c>
      <c r="N491" s="194">
        <f>IFERROR(IF(INDEX([1]Pivot!$AD$1:$BE$65000,$B491,N$5)=1,1,IF(AND(N490&gt;=1,N490&lt;=9,ROW()&lt;=cur_line),N490+1,0)),0)</f>
        <v>0</v>
      </c>
      <c r="O491" s="194">
        <f>IFERROR(IF(INDEX([1]Pivot!$AD$1:$BE$65000,$B491,O$5)=1,1,IF(AND(O490&gt;=1,O490&lt;=9,ROW()&lt;=cur_line),O490+1,0)),0)</f>
        <v>0</v>
      </c>
      <c r="P491" s="194">
        <f>IFERROR(IF(INDEX([1]Pivot!$AD$1:$BE$65000,$B491,P$5)=1,1,IF(AND(P490&gt;=1,P490&lt;=9,ROW()&lt;=cur_line),P490+1,0)),0)</f>
        <v>0</v>
      </c>
      <c r="Q491" s="194">
        <f>IFERROR(IF(INDEX([1]Pivot!$AD$1:$BE$65000,$B491,Q$5)=1,1,IF(AND(Q490&gt;=1,Q490&lt;=9,ROW()&lt;=cur_line),Q490+1,0)),0)</f>
        <v>0</v>
      </c>
      <c r="R491" s="312"/>
      <c r="S491" s="194">
        <f>IFERROR(IF(INDEX([1]Pivot!$AD$1:$BE$65000,$B491,S$5)=1,1,IF(AND(S490&gt;=1,S490&lt;=9,ROW()&lt;=cur_line),S490+1,0)),0)</f>
        <v>0</v>
      </c>
      <c r="T491" s="194">
        <f>IFERROR(IF(INDEX([1]Pivot!$AD$1:$BE$65000,$B491,T$5)=1,1,IF(AND(T490&gt;=1,T490&lt;=9,ROW()&lt;=cur_line),T490+1,0)),0)</f>
        <v>0</v>
      </c>
      <c r="U491" s="194">
        <f>IFERROR(IF(INDEX([1]Pivot!$AD$1:$BE$65000,$B491,U$5)=1,1,IF(AND(U490&gt;=1,U490&lt;=9,ROW()&lt;=cur_line),U490+1,0)),0)</f>
        <v>0</v>
      </c>
      <c r="V491" s="194">
        <f>IFERROR(IF(INDEX([1]Pivot!$AD$1:$BE$65000,$B491,V$5)=1,1,IF(AND(V490&gt;=1,V490&lt;=9,ROW()&lt;=cur_line),V490+1,0)),0)</f>
        <v>0</v>
      </c>
      <c r="W491" s="194">
        <f>IFERROR(IF(INDEX([1]Pivot!$AD$1:$BE$65000,$B491,W$5)=1,1,IF(AND(W490&gt;=1,W490&lt;=9,ROW()&lt;=cur_line),W490+1,0)),0)</f>
        <v>0</v>
      </c>
      <c r="X491" s="194">
        <f>IFERROR(IF(INDEX([1]Pivot!$AD$1:$BE$65000,$B491,X$5)=1,1,IF(AND(X490&gt;=1,X490&lt;=9,ROW()&lt;=cur_line),X490+1,0)),0)</f>
        <v>0</v>
      </c>
      <c r="Y491" s="194">
        <f>IFERROR(IF(INDEX([1]Pivot!$AD$1:$BE$65000,$B491,Y$5)=1,1,IF(AND(Y490&gt;=1,Y490&lt;=9,ROW()&lt;=cur_line),Y490+1,0)),0)</f>
        <v>0</v>
      </c>
      <c r="Z491" s="194">
        <f>IFERROR(IF(INDEX([1]Pivot!$AD$1:$BE$65000,$B491,Z$5)=1,1,IF(AND(Z490&gt;=1,Z490&lt;=9,ROW()&lt;=cur_line),Z490+1,0)),0)</f>
        <v>0</v>
      </c>
      <c r="AA491" s="194">
        <f>IFERROR(IF(INDEX([1]Pivot!$AD$1:$BE$65000,$B491,AA$5)=1,1,IF(AND(AA490&gt;=1,AA490&lt;=9,ROW()&lt;=cur_line),AA490+1,0)),0)</f>
        <v>0</v>
      </c>
      <c r="AB491" s="194">
        <f>IFERROR(IF(INDEX([1]Pivot!$AD$1:$BE$65000,$B491,AB$5)=1,1,IF(AND(AB490&gt;=1,AB490&lt;=9,ROW()&lt;=cur_line),AB490+1,0)),0)</f>
        <v>0</v>
      </c>
      <c r="AC491" s="194">
        <f>IFERROR(IF(INDEX([1]Pivot!$AD$1:$BE$65000,$B491,AC$5)=1,1,IF(AND(AC490&gt;=1,AC490&lt;=9,ROW()&lt;=cur_line),AC490+1,0)),0)</f>
        <v>0</v>
      </c>
      <c r="AD491" s="313">
        <f>IFERROR(IF(INDEX([1]Pivot!$BF$1:$CG$65000,$B491,AD$5)=1,1,IF(AND(AD490&gt;=1,AD490&lt;=9,ROW()&lt;=cur_line),AD490+1,0)),0)</f>
        <v>0</v>
      </c>
      <c r="AE491" s="313">
        <f>IFERROR(IF(INDEX([1]Pivot!$BF$1:$CG$65000,$B491,AE$5)=1,1,IF(AND(AE490&gt;=1,AE490&lt;=9,ROW()&lt;=cur_line),AE490+1,0)),0)</f>
        <v>0</v>
      </c>
      <c r="AF491" s="313">
        <f>IFERROR(IF(INDEX([1]Pivot!$BF$1:$CG$65000,$B491,AF$5)=1,1,IF(AND(AF490&gt;=1,AF490&lt;=9,ROW()&lt;=cur_line),AF490+1,0)),0)</f>
        <v>0</v>
      </c>
      <c r="AG491" s="313">
        <f>IFERROR(IF(INDEX([1]Pivot!$BF$1:$CG$65000,$B491,AG$5)=1,1,IF(AND(AG490&gt;=1,AG490&lt;=9,ROW()&lt;=cur_line),AG490+1,0)),0)</f>
        <v>0</v>
      </c>
      <c r="AH491" s="313">
        <f>IFERROR(IF(INDEX([1]Pivot!$BF$1:$CG$65000,$B491,AH$5)=1,1,IF(AND(AH490&gt;=1,AH490&lt;=9,ROW()&lt;=cur_line),AH490+1,0)),0)</f>
        <v>0</v>
      </c>
      <c r="AI491" s="313">
        <f>IFERROR(IF(INDEX([1]Pivot!$BF$1:$CG$65000,$B491,AI$5)=1,1,IF(AND(AI490&gt;=1,AI490&lt;=9,ROW()&lt;=cur_line),AI490+1,0)),0)</f>
        <v>0</v>
      </c>
      <c r="AJ491" s="313">
        <f>IFERROR(IF(INDEX([1]Pivot!$BF$1:$CG$65000,$B491,AJ$5)=1,1,IF(AND(AJ490&gt;=1,AJ490&lt;=9,ROW()&lt;=cur_line),AJ490+1,0)),0)</f>
        <v>0</v>
      </c>
      <c r="AK491" s="313">
        <f>IFERROR(IF(INDEX([1]Pivot!$BF$1:$CG$65000,$B491,AK$5)=1,1,IF(AND(AK490&gt;=1,AK490&lt;=9,ROW()&lt;=cur_line),AK490+1,0)),0)</f>
        <v>0</v>
      </c>
      <c r="AL491" s="313">
        <f>IFERROR(IF(INDEX([1]Pivot!$BF$1:$CG$65000,$B491,AL$5)=1,1,IF(AND(AL490&gt;=1,AL490&lt;=9,ROW()&lt;=cur_line),AL490+1,0)),0)</f>
        <v>0</v>
      </c>
      <c r="AM491" s="313">
        <f>IFERROR(IF(INDEX([1]Pivot!$BF$1:$CG$65000,$B491,AM$5)=1,1,IF(AND(AM490&gt;=1,AM490&lt;=9,ROW()&lt;=cur_line),AM490+1,0)),0)</f>
        <v>0</v>
      </c>
      <c r="AN491" s="313">
        <f>IFERROR(IF(INDEX([1]Pivot!$BF$1:$CG$65000,$B491,AN$5)=1,1,IF(AND(AN490&gt;=1,AN490&lt;=9,ROW()&lt;=cur_line),AN490+1,0)),0)</f>
        <v>0</v>
      </c>
      <c r="AO491" s="313">
        <f>IFERROR(IF(INDEX([1]Pivot!$BF$1:$CG$65000,$B491,AO$5)=1,1,IF(AND(AO490&gt;=1,AO490&lt;=9,ROW()&lt;=cur_line),AO490+1,0)),0)</f>
        <v>0</v>
      </c>
      <c r="AP491" s="313">
        <f>IFERROR(IF(INDEX([1]Pivot!$BF$1:$CG$65000,$B491,AP$5)=1,1,IF(AND(AP490&gt;=1,AP490&lt;=9,ROW()&lt;=cur_line),AP490+1,0)),0)</f>
        <v>0</v>
      </c>
      <c r="AQ491" s="313">
        <f>IFERROR(IF(INDEX([1]Pivot!$BF$1:$CG$65000,$B491,AQ$5)=1,1,IF(AND(AQ490&gt;=1,AQ490&lt;=9,ROW()&lt;=cur_line),AQ490+1,0)),0)</f>
        <v>0</v>
      </c>
      <c r="AR491" s="313">
        <f>IFERROR(IF(INDEX([1]Pivot!$BF$1:$CG$65000,$B491,AR$5)=1,1,IF(AND(AR490&gt;=1,AR490&lt;=9,ROW()&lt;=cur_line),AR490+1,0)),0)</f>
        <v>0</v>
      </c>
      <c r="AS491" s="312"/>
      <c r="AT491" s="313">
        <f>IFERROR(IF(INDEX([1]Pivot!$BF$1:$CG$65000,$B491,AT$5)=1,1,IF(AND(AT490&gt;=1,AT490&lt;=9,ROW()&lt;=cur_line),AT490+1,0)),0)</f>
        <v>0</v>
      </c>
      <c r="AU491" s="313">
        <f>IFERROR(IF(INDEX([1]Pivot!$BF$1:$CG$65000,$B491,AU$5)=1,1,IF(AND(AU490&gt;=1,AU490&lt;=9,ROW()&lt;=cur_line),AU490+1,0)),0)</f>
        <v>0</v>
      </c>
      <c r="AV491" s="313">
        <f>IFERROR(IF(INDEX([1]Pivot!$BF$1:$CG$65000,$B491,AV$5)=1,1,IF(AND(AV490&gt;=1,AV490&lt;=9,ROW()&lt;=cur_line),AV490+1,0)),0)</f>
        <v>0</v>
      </c>
      <c r="AW491" s="313">
        <f>IFERROR(IF(INDEX([1]Pivot!$BF$1:$CG$65000,$B491,AW$5)=1,1,IF(AND(AW490&gt;=1,AW490&lt;=9,ROW()&lt;=cur_line),AW490+1,0)),0)</f>
        <v>0</v>
      </c>
      <c r="AX491" s="313">
        <f>IFERROR(IF(INDEX([1]Pivot!$BF$1:$CG$65000,$B491,AX$5)=1,1,IF(AND(AX490&gt;=1,AX490&lt;=9,ROW()&lt;=cur_line),AX490+1,0)),0)</f>
        <v>0</v>
      </c>
      <c r="AY491" s="313">
        <f>IFERROR(IF(INDEX([1]Pivot!$BF$1:$CG$65000,$B491,AY$5)=1,1,IF(AND(AY490&gt;=1,AY490&lt;=9,ROW()&lt;=cur_line),AY490+1,0)),0)</f>
        <v>0</v>
      </c>
      <c r="AZ491" s="313">
        <f>IFERROR(IF(INDEX([1]Pivot!$BF$1:$CG$65000,$B491,AZ$5)=1,1,IF(AND(AZ490&gt;=1,AZ490&lt;=9,ROW()&lt;=cur_line),AZ490+1,0)),0)</f>
        <v>0</v>
      </c>
      <c r="BA491" s="313">
        <f>IFERROR(IF(INDEX([1]Pivot!$BF$1:$CG$65000,$B491,BA$5)=1,1,IF(AND(BA490&gt;=1,BA490&lt;=9,ROW()&lt;=cur_line),BA490+1,0)),0)</f>
        <v>0</v>
      </c>
      <c r="BB491" s="313">
        <f>IFERROR(IF(INDEX([1]Pivot!$BF$1:$CG$65000,$B491,BB$5)=1,1,IF(AND(BB490&gt;=1,BB490&lt;=9,ROW()&lt;=cur_line),BB490+1,0)),0)</f>
        <v>0</v>
      </c>
      <c r="BC491" s="313">
        <f>IFERROR(IF(INDEX([1]Pivot!$BF$1:$CG$65000,$B491,BC$5)=1,1,IF(AND(BC490&gt;=1,BC490&lt;=9,ROW()&lt;=cur_line),BC490+1,0)),0)</f>
        <v>0</v>
      </c>
      <c r="BD491" s="313">
        <f>IFERROR(IF(INDEX([1]Pivot!$BF$1:$CG$65000,$B491,BD$5)=1,1,IF(AND(BD490&gt;=1,BD490&lt;=9,ROW()&lt;=cur_line),BD490+1,0)),0)</f>
        <v>0</v>
      </c>
    </row>
    <row r="492" spans="1:56" hidden="1" outlineLevel="1" x14ac:dyDescent="0.25">
      <c r="A492" s="288" t="str">
        <f>'[2]Raw Milk Prices'!A492</f>
        <v>2017m05</v>
      </c>
      <c r="B492" s="296" t="e">
        <f>MATCH(DATE(LEFT('[2]Raw Milk Prices'!$A492,4),RIGHT('[2]Raw Milk Prices'!$A492,2),1),[1]Pivot!$A$1:$A$65000,0)</f>
        <v>#N/A</v>
      </c>
      <c r="C492" s="194">
        <f>IFERROR(IF(INDEX([1]Pivot!$AD$1:$BE$65000,$B492,C$5)=1,1,IF(AND(C491&gt;=1,C491&lt;=9,ROW()&lt;=cur_line),C491+1,0)),0)</f>
        <v>0</v>
      </c>
      <c r="D492" s="194">
        <f>IFERROR(IF(INDEX([1]Pivot!$AD$1:$BE$65000,$B492,D$5)=1,1,IF(AND(D491&gt;=1,D491&lt;=9,ROW()&lt;=cur_line),D491+1,0)),0)</f>
        <v>0</v>
      </c>
      <c r="E492" s="194">
        <f>IFERROR(IF(INDEX([1]Pivot!$AD$1:$BE$65000,$B492,E$5)=1,1,IF(AND(E491&gt;=1,E491&lt;=9,ROW()&lt;=cur_line),E491+1,0)),0)</f>
        <v>0</v>
      </c>
      <c r="F492" s="194">
        <f>IFERROR(IF(INDEX([1]Pivot!$AD$1:$BE$65000,$B492,F$5)=1,1,IF(AND(F491&gt;=1,F491&lt;=9,ROW()&lt;=cur_line),F491+1,0)),0)</f>
        <v>0</v>
      </c>
      <c r="G492" s="194">
        <f>IFERROR(IF(INDEX([1]Pivot!$AD$1:$BE$65000,$B492,G$5)=1,1,IF(AND(G491&gt;=1,G491&lt;=9,ROW()&lt;=cur_line),G491+1,0)),0)</f>
        <v>0</v>
      </c>
      <c r="H492" s="194">
        <f>IFERROR(IF(INDEX([1]Pivot!$AD$1:$BE$65000,$B492,H$5)=1,1,IF(AND(H491&gt;=1,H491&lt;=9,ROW()&lt;=cur_line),H491+1,0)),0)</f>
        <v>0</v>
      </c>
      <c r="I492" s="194">
        <f>IFERROR(IF(INDEX([1]Pivot!$AD$1:$BE$65000,$B492,I$5)=1,1,IF(AND(I491&gt;=1,I491&lt;=9,ROW()&lt;=cur_line),I491+1,0)),0)</f>
        <v>0</v>
      </c>
      <c r="J492" s="194">
        <f>IFERROR(IF(INDEX([1]Pivot!$AD$1:$BE$65000,$B492,J$5)=1,1,IF(AND(J491&gt;=1,J491&lt;=9,ROW()&lt;=cur_line),J491+1,0)),0)</f>
        <v>0</v>
      </c>
      <c r="K492" s="194">
        <f>IFERROR(IF(INDEX([1]Pivot!$AD$1:$BE$65000,$B492,K$5)=1,1,IF(AND(K491&gt;=1,K491&lt;=9,ROW()&lt;=cur_line),K491+1,0)),0)</f>
        <v>0</v>
      </c>
      <c r="L492" s="194">
        <f>IFERROR(IF(INDEX([1]Pivot!$AD$1:$BE$65000,$B492,L$5)=1,1,IF(AND(L491&gt;=1,L491&lt;=9,ROW()&lt;=cur_line),L491+1,0)),0)</f>
        <v>0</v>
      </c>
      <c r="M492" s="194">
        <f>IFERROR(IF(INDEX([1]Pivot!$AD$1:$BE$65000,$B492,M$5)=1,1,IF(AND(M491&gt;=1,M491&lt;=9,ROW()&lt;=cur_line),M491+1,0)),0)</f>
        <v>0</v>
      </c>
      <c r="N492" s="194">
        <f>IFERROR(IF(INDEX([1]Pivot!$AD$1:$BE$65000,$B492,N$5)=1,1,IF(AND(N491&gt;=1,N491&lt;=9,ROW()&lt;=cur_line),N491+1,0)),0)</f>
        <v>0</v>
      </c>
      <c r="O492" s="194">
        <f>IFERROR(IF(INDEX([1]Pivot!$AD$1:$BE$65000,$B492,O$5)=1,1,IF(AND(O491&gt;=1,O491&lt;=9,ROW()&lt;=cur_line),O491+1,0)),0)</f>
        <v>0</v>
      </c>
      <c r="P492" s="194">
        <f>IFERROR(IF(INDEX([1]Pivot!$AD$1:$BE$65000,$B492,P$5)=1,1,IF(AND(P491&gt;=1,P491&lt;=9,ROW()&lt;=cur_line),P491+1,0)),0)</f>
        <v>0</v>
      </c>
      <c r="Q492" s="194">
        <f>IFERROR(IF(INDEX([1]Pivot!$AD$1:$BE$65000,$B492,Q$5)=1,1,IF(AND(Q491&gt;=1,Q491&lt;=9,ROW()&lt;=cur_line),Q491+1,0)),0)</f>
        <v>0</v>
      </c>
      <c r="R492" s="312"/>
      <c r="S492" s="194">
        <f>IFERROR(IF(INDEX([1]Pivot!$AD$1:$BE$65000,$B492,S$5)=1,1,IF(AND(S491&gt;=1,S491&lt;=9,ROW()&lt;=cur_line),S491+1,0)),0)</f>
        <v>0</v>
      </c>
      <c r="T492" s="194">
        <f>IFERROR(IF(INDEX([1]Pivot!$AD$1:$BE$65000,$B492,T$5)=1,1,IF(AND(T491&gt;=1,T491&lt;=9,ROW()&lt;=cur_line),T491+1,0)),0)</f>
        <v>0</v>
      </c>
      <c r="U492" s="194">
        <f>IFERROR(IF(INDEX([1]Pivot!$AD$1:$BE$65000,$B492,U$5)=1,1,IF(AND(U491&gt;=1,U491&lt;=9,ROW()&lt;=cur_line),U491+1,0)),0)</f>
        <v>0</v>
      </c>
      <c r="V492" s="194">
        <f>IFERROR(IF(INDEX([1]Pivot!$AD$1:$BE$65000,$B492,V$5)=1,1,IF(AND(V491&gt;=1,V491&lt;=9,ROW()&lt;=cur_line),V491+1,0)),0)</f>
        <v>0</v>
      </c>
      <c r="W492" s="194">
        <f>IFERROR(IF(INDEX([1]Pivot!$AD$1:$BE$65000,$B492,W$5)=1,1,IF(AND(W491&gt;=1,W491&lt;=9,ROW()&lt;=cur_line),W491+1,0)),0)</f>
        <v>0</v>
      </c>
      <c r="X492" s="194">
        <f>IFERROR(IF(INDEX([1]Pivot!$AD$1:$BE$65000,$B492,X$5)=1,1,IF(AND(X491&gt;=1,X491&lt;=9,ROW()&lt;=cur_line),X491+1,0)),0)</f>
        <v>0</v>
      </c>
      <c r="Y492" s="194">
        <f>IFERROR(IF(INDEX([1]Pivot!$AD$1:$BE$65000,$B492,Y$5)=1,1,IF(AND(Y491&gt;=1,Y491&lt;=9,ROW()&lt;=cur_line),Y491+1,0)),0)</f>
        <v>0</v>
      </c>
      <c r="Z492" s="194">
        <f>IFERROR(IF(INDEX([1]Pivot!$AD$1:$BE$65000,$B492,Z$5)=1,1,IF(AND(Z491&gt;=1,Z491&lt;=9,ROW()&lt;=cur_line),Z491+1,0)),0)</f>
        <v>0</v>
      </c>
      <c r="AA492" s="194">
        <f>IFERROR(IF(INDEX([1]Pivot!$AD$1:$BE$65000,$B492,AA$5)=1,1,IF(AND(AA491&gt;=1,AA491&lt;=9,ROW()&lt;=cur_line),AA491+1,0)),0)</f>
        <v>0</v>
      </c>
      <c r="AB492" s="194">
        <f>IFERROR(IF(INDEX([1]Pivot!$AD$1:$BE$65000,$B492,AB$5)=1,1,IF(AND(AB491&gt;=1,AB491&lt;=9,ROW()&lt;=cur_line),AB491+1,0)),0)</f>
        <v>0</v>
      </c>
      <c r="AC492" s="194">
        <f>IFERROR(IF(INDEX([1]Pivot!$AD$1:$BE$65000,$B492,AC$5)=1,1,IF(AND(AC491&gt;=1,AC491&lt;=9,ROW()&lt;=cur_line),AC491+1,0)),0)</f>
        <v>0</v>
      </c>
      <c r="AD492" s="313">
        <f>IFERROR(IF(INDEX([1]Pivot!$BF$1:$CG$65000,$B492,AD$5)=1,1,IF(AND(AD491&gt;=1,AD491&lt;=9,ROW()&lt;=cur_line),AD491+1,0)),0)</f>
        <v>0</v>
      </c>
      <c r="AE492" s="313">
        <f>IFERROR(IF(INDEX([1]Pivot!$BF$1:$CG$65000,$B492,AE$5)=1,1,IF(AND(AE491&gt;=1,AE491&lt;=9,ROW()&lt;=cur_line),AE491+1,0)),0)</f>
        <v>0</v>
      </c>
      <c r="AF492" s="313">
        <f>IFERROR(IF(INDEX([1]Pivot!$BF$1:$CG$65000,$B492,AF$5)=1,1,IF(AND(AF491&gt;=1,AF491&lt;=9,ROW()&lt;=cur_line),AF491+1,0)),0)</f>
        <v>0</v>
      </c>
      <c r="AG492" s="313">
        <f>IFERROR(IF(INDEX([1]Pivot!$BF$1:$CG$65000,$B492,AG$5)=1,1,IF(AND(AG491&gt;=1,AG491&lt;=9,ROW()&lt;=cur_line),AG491+1,0)),0)</f>
        <v>0</v>
      </c>
      <c r="AH492" s="313">
        <f>IFERROR(IF(INDEX([1]Pivot!$BF$1:$CG$65000,$B492,AH$5)=1,1,IF(AND(AH491&gt;=1,AH491&lt;=9,ROW()&lt;=cur_line),AH491+1,0)),0)</f>
        <v>0</v>
      </c>
      <c r="AI492" s="313">
        <f>IFERROR(IF(INDEX([1]Pivot!$BF$1:$CG$65000,$B492,AI$5)=1,1,IF(AND(AI491&gt;=1,AI491&lt;=9,ROW()&lt;=cur_line),AI491+1,0)),0)</f>
        <v>0</v>
      </c>
      <c r="AJ492" s="313">
        <f>IFERROR(IF(INDEX([1]Pivot!$BF$1:$CG$65000,$B492,AJ$5)=1,1,IF(AND(AJ491&gt;=1,AJ491&lt;=9,ROW()&lt;=cur_line),AJ491+1,0)),0)</f>
        <v>0</v>
      </c>
      <c r="AK492" s="313">
        <f>IFERROR(IF(INDEX([1]Pivot!$BF$1:$CG$65000,$B492,AK$5)=1,1,IF(AND(AK491&gt;=1,AK491&lt;=9,ROW()&lt;=cur_line),AK491+1,0)),0)</f>
        <v>0</v>
      </c>
      <c r="AL492" s="313">
        <f>IFERROR(IF(INDEX([1]Pivot!$BF$1:$CG$65000,$B492,AL$5)=1,1,IF(AND(AL491&gt;=1,AL491&lt;=9,ROW()&lt;=cur_line),AL491+1,0)),0)</f>
        <v>0</v>
      </c>
      <c r="AM492" s="313">
        <f>IFERROR(IF(INDEX([1]Pivot!$BF$1:$CG$65000,$B492,AM$5)=1,1,IF(AND(AM491&gt;=1,AM491&lt;=9,ROW()&lt;=cur_line),AM491+1,0)),0)</f>
        <v>0</v>
      </c>
      <c r="AN492" s="313">
        <f>IFERROR(IF(INDEX([1]Pivot!$BF$1:$CG$65000,$B492,AN$5)=1,1,IF(AND(AN491&gt;=1,AN491&lt;=9,ROW()&lt;=cur_line),AN491+1,0)),0)</f>
        <v>0</v>
      </c>
      <c r="AO492" s="313">
        <f>IFERROR(IF(INDEX([1]Pivot!$BF$1:$CG$65000,$B492,AO$5)=1,1,IF(AND(AO491&gt;=1,AO491&lt;=9,ROW()&lt;=cur_line),AO491+1,0)),0)</f>
        <v>0</v>
      </c>
      <c r="AP492" s="313">
        <f>IFERROR(IF(INDEX([1]Pivot!$BF$1:$CG$65000,$B492,AP$5)=1,1,IF(AND(AP491&gt;=1,AP491&lt;=9,ROW()&lt;=cur_line),AP491+1,0)),0)</f>
        <v>0</v>
      </c>
      <c r="AQ492" s="313">
        <f>IFERROR(IF(INDEX([1]Pivot!$BF$1:$CG$65000,$B492,AQ$5)=1,1,IF(AND(AQ491&gt;=1,AQ491&lt;=9,ROW()&lt;=cur_line),AQ491+1,0)),0)</f>
        <v>0</v>
      </c>
      <c r="AR492" s="313">
        <f>IFERROR(IF(INDEX([1]Pivot!$BF$1:$CG$65000,$B492,AR$5)=1,1,IF(AND(AR491&gt;=1,AR491&lt;=9,ROW()&lt;=cur_line),AR491+1,0)),0)</f>
        <v>0</v>
      </c>
      <c r="AS492" s="312"/>
      <c r="AT492" s="313">
        <f>IFERROR(IF(INDEX([1]Pivot!$BF$1:$CG$65000,$B492,AT$5)=1,1,IF(AND(AT491&gt;=1,AT491&lt;=9,ROW()&lt;=cur_line),AT491+1,0)),0)</f>
        <v>0</v>
      </c>
      <c r="AU492" s="313">
        <f>IFERROR(IF(INDEX([1]Pivot!$BF$1:$CG$65000,$B492,AU$5)=1,1,IF(AND(AU491&gt;=1,AU491&lt;=9,ROW()&lt;=cur_line),AU491+1,0)),0)</f>
        <v>0</v>
      </c>
      <c r="AV492" s="313">
        <f>IFERROR(IF(INDEX([1]Pivot!$BF$1:$CG$65000,$B492,AV$5)=1,1,IF(AND(AV491&gt;=1,AV491&lt;=9,ROW()&lt;=cur_line),AV491+1,0)),0)</f>
        <v>0</v>
      </c>
      <c r="AW492" s="313">
        <f>IFERROR(IF(INDEX([1]Pivot!$BF$1:$CG$65000,$B492,AW$5)=1,1,IF(AND(AW491&gt;=1,AW491&lt;=9,ROW()&lt;=cur_line),AW491+1,0)),0)</f>
        <v>0</v>
      </c>
      <c r="AX492" s="313">
        <f>IFERROR(IF(INDEX([1]Pivot!$BF$1:$CG$65000,$B492,AX$5)=1,1,IF(AND(AX491&gt;=1,AX491&lt;=9,ROW()&lt;=cur_line),AX491+1,0)),0)</f>
        <v>0</v>
      </c>
      <c r="AY492" s="313">
        <f>IFERROR(IF(INDEX([1]Pivot!$BF$1:$CG$65000,$B492,AY$5)=1,1,IF(AND(AY491&gt;=1,AY491&lt;=9,ROW()&lt;=cur_line),AY491+1,0)),0)</f>
        <v>0</v>
      </c>
      <c r="AZ492" s="313">
        <f>IFERROR(IF(INDEX([1]Pivot!$BF$1:$CG$65000,$B492,AZ$5)=1,1,IF(AND(AZ491&gt;=1,AZ491&lt;=9,ROW()&lt;=cur_line),AZ491+1,0)),0)</f>
        <v>0</v>
      </c>
      <c r="BA492" s="313">
        <f>IFERROR(IF(INDEX([1]Pivot!$BF$1:$CG$65000,$B492,BA$5)=1,1,IF(AND(BA491&gt;=1,BA491&lt;=9,ROW()&lt;=cur_line),BA491+1,0)),0)</f>
        <v>0</v>
      </c>
      <c r="BB492" s="313">
        <f>IFERROR(IF(INDEX([1]Pivot!$BF$1:$CG$65000,$B492,BB$5)=1,1,IF(AND(BB491&gt;=1,BB491&lt;=9,ROW()&lt;=cur_line),BB491+1,0)),0)</f>
        <v>0</v>
      </c>
      <c r="BC492" s="313">
        <f>IFERROR(IF(INDEX([1]Pivot!$BF$1:$CG$65000,$B492,BC$5)=1,1,IF(AND(BC491&gt;=1,BC491&lt;=9,ROW()&lt;=cur_line),BC491+1,0)),0)</f>
        <v>0</v>
      </c>
      <c r="BD492" s="313">
        <f>IFERROR(IF(INDEX([1]Pivot!$BF$1:$CG$65000,$B492,BD$5)=1,1,IF(AND(BD491&gt;=1,BD491&lt;=9,ROW()&lt;=cur_line),BD491+1,0)),0)</f>
        <v>0</v>
      </c>
    </row>
    <row r="493" spans="1:56" hidden="1" outlineLevel="1" x14ac:dyDescent="0.25">
      <c r="A493" s="288" t="str">
        <f>'[2]Raw Milk Prices'!A493</f>
        <v>2017m06</v>
      </c>
      <c r="B493" s="296" t="e">
        <f>MATCH(DATE(LEFT('[2]Raw Milk Prices'!$A493,4),RIGHT('[2]Raw Milk Prices'!$A493,2),1),[1]Pivot!$A$1:$A$65000,0)</f>
        <v>#N/A</v>
      </c>
      <c r="C493" s="194">
        <f>IFERROR(IF(INDEX([1]Pivot!$AD$1:$BE$65000,$B493,C$5)=1,1,IF(AND(C492&gt;=1,C492&lt;=9,ROW()&lt;=cur_line),C492+1,0)),0)</f>
        <v>0</v>
      </c>
      <c r="D493" s="194">
        <f>IFERROR(IF(INDEX([1]Pivot!$AD$1:$BE$65000,$B493,D$5)=1,1,IF(AND(D492&gt;=1,D492&lt;=9,ROW()&lt;=cur_line),D492+1,0)),0)</f>
        <v>0</v>
      </c>
      <c r="E493" s="194">
        <f>IFERROR(IF(INDEX([1]Pivot!$AD$1:$BE$65000,$B493,E$5)=1,1,IF(AND(E492&gt;=1,E492&lt;=9,ROW()&lt;=cur_line),E492+1,0)),0)</f>
        <v>0</v>
      </c>
      <c r="F493" s="194">
        <f>IFERROR(IF(INDEX([1]Pivot!$AD$1:$BE$65000,$B493,F$5)=1,1,IF(AND(F492&gt;=1,F492&lt;=9,ROW()&lt;=cur_line),F492+1,0)),0)</f>
        <v>0</v>
      </c>
      <c r="G493" s="194">
        <f>IFERROR(IF(INDEX([1]Pivot!$AD$1:$BE$65000,$B493,G$5)=1,1,IF(AND(G492&gt;=1,G492&lt;=9,ROW()&lt;=cur_line),G492+1,0)),0)</f>
        <v>0</v>
      </c>
      <c r="H493" s="194">
        <f>IFERROR(IF(INDEX([1]Pivot!$AD$1:$BE$65000,$B493,H$5)=1,1,IF(AND(H492&gt;=1,H492&lt;=9,ROW()&lt;=cur_line),H492+1,0)),0)</f>
        <v>0</v>
      </c>
      <c r="I493" s="194">
        <f>IFERROR(IF(INDEX([1]Pivot!$AD$1:$BE$65000,$B493,I$5)=1,1,IF(AND(I492&gt;=1,I492&lt;=9,ROW()&lt;=cur_line),I492+1,0)),0)</f>
        <v>0</v>
      </c>
      <c r="J493" s="194">
        <f>IFERROR(IF(INDEX([1]Pivot!$AD$1:$BE$65000,$B493,J$5)=1,1,IF(AND(J492&gt;=1,J492&lt;=9,ROW()&lt;=cur_line),J492+1,0)),0)</f>
        <v>0</v>
      </c>
      <c r="K493" s="194">
        <f>IFERROR(IF(INDEX([1]Pivot!$AD$1:$BE$65000,$B493,K$5)=1,1,IF(AND(K492&gt;=1,K492&lt;=9,ROW()&lt;=cur_line),K492+1,0)),0)</f>
        <v>0</v>
      </c>
      <c r="L493" s="194">
        <f>IFERROR(IF(INDEX([1]Pivot!$AD$1:$BE$65000,$B493,L$5)=1,1,IF(AND(L492&gt;=1,L492&lt;=9,ROW()&lt;=cur_line),L492+1,0)),0)</f>
        <v>0</v>
      </c>
      <c r="M493" s="194">
        <f>IFERROR(IF(INDEX([1]Pivot!$AD$1:$BE$65000,$B493,M$5)=1,1,IF(AND(M492&gt;=1,M492&lt;=9,ROW()&lt;=cur_line),M492+1,0)),0)</f>
        <v>0</v>
      </c>
      <c r="N493" s="194">
        <f>IFERROR(IF(INDEX([1]Pivot!$AD$1:$BE$65000,$B493,N$5)=1,1,IF(AND(N492&gt;=1,N492&lt;=9,ROW()&lt;=cur_line),N492+1,0)),0)</f>
        <v>0</v>
      </c>
      <c r="O493" s="194">
        <f>IFERROR(IF(INDEX([1]Pivot!$AD$1:$BE$65000,$B493,O$5)=1,1,IF(AND(O492&gt;=1,O492&lt;=9,ROW()&lt;=cur_line),O492+1,0)),0)</f>
        <v>0</v>
      </c>
      <c r="P493" s="194">
        <f>IFERROR(IF(INDEX([1]Pivot!$AD$1:$BE$65000,$B493,P$5)=1,1,IF(AND(P492&gt;=1,P492&lt;=9,ROW()&lt;=cur_line),P492+1,0)),0)</f>
        <v>0</v>
      </c>
      <c r="Q493" s="194">
        <f>IFERROR(IF(INDEX([1]Pivot!$AD$1:$BE$65000,$B493,Q$5)=1,1,IF(AND(Q492&gt;=1,Q492&lt;=9,ROW()&lt;=cur_line),Q492+1,0)),0)</f>
        <v>0</v>
      </c>
      <c r="R493" s="312"/>
      <c r="S493" s="194">
        <f>IFERROR(IF(INDEX([1]Pivot!$AD$1:$BE$65000,$B493,S$5)=1,1,IF(AND(S492&gt;=1,S492&lt;=9,ROW()&lt;=cur_line),S492+1,0)),0)</f>
        <v>0</v>
      </c>
      <c r="T493" s="194">
        <f>IFERROR(IF(INDEX([1]Pivot!$AD$1:$BE$65000,$B493,T$5)=1,1,IF(AND(T492&gt;=1,T492&lt;=9,ROW()&lt;=cur_line),T492+1,0)),0)</f>
        <v>0</v>
      </c>
      <c r="U493" s="194">
        <f>IFERROR(IF(INDEX([1]Pivot!$AD$1:$BE$65000,$B493,U$5)=1,1,IF(AND(U492&gt;=1,U492&lt;=9,ROW()&lt;=cur_line),U492+1,0)),0)</f>
        <v>0</v>
      </c>
      <c r="V493" s="194">
        <f>IFERROR(IF(INDEX([1]Pivot!$AD$1:$BE$65000,$B493,V$5)=1,1,IF(AND(V492&gt;=1,V492&lt;=9,ROW()&lt;=cur_line),V492+1,0)),0)</f>
        <v>0</v>
      </c>
      <c r="W493" s="194">
        <f>IFERROR(IF(INDEX([1]Pivot!$AD$1:$BE$65000,$B493,W$5)=1,1,IF(AND(W492&gt;=1,W492&lt;=9,ROW()&lt;=cur_line),W492+1,0)),0)</f>
        <v>0</v>
      </c>
      <c r="X493" s="194">
        <f>IFERROR(IF(INDEX([1]Pivot!$AD$1:$BE$65000,$B493,X$5)=1,1,IF(AND(X492&gt;=1,X492&lt;=9,ROW()&lt;=cur_line),X492+1,0)),0)</f>
        <v>0</v>
      </c>
      <c r="Y493" s="194">
        <f>IFERROR(IF(INDEX([1]Pivot!$AD$1:$BE$65000,$B493,Y$5)=1,1,IF(AND(Y492&gt;=1,Y492&lt;=9,ROW()&lt;=cur_line),Y492+1,0)),0)</f>
        <v>0</v>
      </c>
      <c r="Z493" s="194">
        <f>IFERROR(IF(INDEX([1]Pivot!$AD$1:$BE$65000,$B493,Z$5)=1,1,IF(AND(Z492&gt;=1,Z492&lt;=9,ROW()&lt;=cur_line),Z492+1,0)),0)</f>
        <v>0</v>
      </c>
      <c r="AA493" s="194">
        <f>IFERROR(IF(INDEX([1]Pivot!$AD$1:$BE$65000,$B493,AA$5)=1,1,IF(AND(AA492&gt;=1,AA492&lt;=9,ROW()&lt;=cur_line),AA492+1,0)),0)</f>
        <v>0</v>
      </c>
      <c r="AB493" s="194">
        <f>IFERROR(IF(INDEX([1]Pivot!$AD$1:$BE$65000,$B493,AB$5)=1,1,IF(AND(AB492&gt;=1,AB492&lt;=9,ROW()&lt;=cur_line),AB492+1,0)),0)</f>
        <v>0</v>
      </c>
      <c r="AC493" s="194">
        <f>IFERROR(IF(INDEX([1]Pivot!$AD$1:$BE$65000,$B493,AC$5)=1,1,IF(AND(AC492&gt;=1,AC492&lt;=9,ROW()&lt;=cur_line),AC492+1,0)),0)</f>
        <v>0</v>
      </c>
      <c r="AD493" s="313">
        <f>IFERROR(IF(INDEX([1]Pivot!$BF$1:$CG$65000,$B493,AD$5)=1,1,IF(AND(AD492&gt;=1,AD492&lt;=9,ROW()&lt;=cur_line),AD492+1,0)),0)</f>
        <v>0</v>
      </c>
      <c r="AE493" s="313">
        <f>IFERROR(IF(INDEX([1]Pivot!$BF$1:$CG$65000,$B493,AE$5)=1,1,IF(AND(AE492&gt;=1,AE492&lt;=9,ROW()&lt;=cur_line),AE492+1,0)),0)</f>
        <v>0</v>
      </c>
      <c r="AF493" s="313">
        <f>IFERROR(IF(INDEX([1]Pivot!$BF$1:$CG$65000,$B493,AF$5)=1,1,IF(AND(AF492&gt;=1,AF492&lt;=9,ROW()&lt;=cur_line),AF492+1,0)),0)</f>
        <v>0</v>
      </c>
      <c r="AG493" s="313">
        <f>IFERROR(IF(INDEX([1]Pivot!$BF$1:$CG$65000,$B493,AG$5)=1,1,IF(AND(AG492&gt;=1,AG492&lt;=9,ROW()&lt;=cur_line),AG492+1,0)),0)</f>
        <v>0</v>
      </c>
      <c r="AH493" s="313">
        <f>IFERROR(IF(INDEX([1]Pivot!$BF$1:$CG$65000,$B493,AH$5)=1,1,IF(AND(AH492&gt;=1,AH492&lt;=9,ROW()&lt;=cur_line),AH492+1,0)),0)</f>
        <v>0</v>
      </c>
      <c r="AI493" s="313">
        <f>IFERROR(IF(INDEX([1]Pivot!$BF$1:$CG$65000,$B493,AI$5)=1,1,IF(AND(AI492&gt;=1,AI492&lt;=9,ROW()&lt;=cur_line),AI492+1,0)),0)</f>
        <v>0</v>
      </c>
      <c r="AJ493" s="313">
        <f>IFERROR(IF(INDEX([1]Pivot!$BF$1:$CG$65000,$B493,AJ$5)=1,1,IF(AND(AJ492&gt;=1,AJ492&lt;=9,ROW()&lt;=cur_line),AJ492+1,0)),0)</f>
        <v>0</v>
      </c>
      <c r="AK493" s="313">
        <f>IFERROR(IF(INDEX([1]Pivot!$BF$1:$CG$65000,$B493,AK$5)=1,1,IF(AND(AK492&gt;=1,AK492&lt;=9,ROW()&lt;=cur_line),AK492+1,0)),0)</f>
        <v>0</v>
      </c>
      <c r="AL493" s="313">
        <f>IFERROR(IF(INDEX([1]Pivot!$BF$1:$CG$65000,$B493,AL$5)=1,1,IF(AND(AL492&gt;=1,AL492&lt;=9,ROW()&lt;=cur_line),AL492+1,0)),0)</f>
        <v>0</v>
      </c>
      <c r="AM493" s="313">
        <f>IFERROR(IF(INDEX([1]Pivot!$BF$1:$CG$65000,$B493,AM$5)=1,1,IF(AND(AM492&gt;=1,AM492&lt;=9,ROW()&lt;=cur_line),AM492+1,0)),0)</f>
        <v>0</v>
      </c>
      <c r="AN493" s="313">
        <f>IFERROR(IF(INDEX([1]Pivot!$BF$1:$CG$65000,$B493,AN$5)=1,1,IF(AND(AN492&gt;=1,AN492&lt;=9,ROW()&lt;=cur_line),AN492+1,0)),0)</f>
        <v>0</v>
      </c>
      <c r="AO493" s="313">
        <f>IFERROR(IF(INDEX([1]Pivot!$BF$1:$CG$65000,$B493,AO$5)=1,1,IF(AND(AO492&gt;=1,AO492&lt;=9,ROW()&lt;=cur_line),AO492+1,0)),0)</f>
        <v>0</v>
      </c>
      <c r="AP493" s="313">
        <f>IFERROR(IF(INDEX([1]Pivot!$BF$1:$CG$65000,$B493,AP$5)=1,1,IF(AND(AP492&gt;=1,AP492&lt;=9,ROW()&lt;=cur_line),AP492+1,0)),0)</f>
        <v>0</v>
      </c>
      <c r="AQ493" s="313">
        <f>IFERROR(IF(INDEX([1]Pivot!$BF$1:$CG$65000,$B493,AQ$5)=1,1,IF(AND(AQ492&gt;=1,AQ492&lt;=9,ROW()&lt;=cur_line),AQ492+1,0)),0)</f>
        <v>0</v>
      </c>
      <c r="AR493" s="313">
        <f>IFERROR(IF(INDEX([1]Pivot!$BF$1:$CG$65000,$B493,AR$5)=1,1,IF(AND(AR492&gt;=1,AR492&lt;=9,ROW()&lt;=cur_line),AR492+1,0)),0)</f>
        <v>0</v>
      </c>
      <c r="AS493" s="312"/>
      <c r="AT493" s="313">
        <f>IFERROR(IF(INDEX([1]Pivot!$BF$1:$CG$65000,$B493,AT$5)=1,1,IF(AND(AT492&gt;=1,AT492&lt;=9,ROW()&lt;=cur_line),AT492+1,0)),0)</f>
        <v>0</v>
      </c>
      <c r="AU493" s="313">
        <f>IFERROR(IF(INDEX([1]Pivot!$BF$1:$CG$65000,$B493,AU$5)=1,1,IF(AND(AU492&gt;=1,AU492&lt;=9,ROW()&lt;=cur_line),AU492+1,0)),0)</f>
        <v>0</v>
      </c>
      <c r="AV493" s="313">
        <f>IFERROR(IF(INDEX([1]Pivot!$BF$1:$CG$65000,$B493,AV$5)=1,1,IF(AND(AV492&gt;=1,AV492&lt;=9,ROW()&lt;=cur_line),AV492+1,0)),0)</f>
        <v>0</v>
      </c>
      <c r="AW493" s="313">
        <f>IFERROR(IF(INDEX([1]Pivot!$BF$1:$CG$65000,$B493,AW$5)=1,1,IF(AND(AW492&gt;=1,AW492&lt;=9,ROW()&lt;=cur_line),AW492+1,0)),0)</f>
        <v>0</v>
      </c>
      <c r="AX493" s="313">
        <f>IFERROR(IF(INDEX([1]Pivot!$BF$1:$CG$65000,$B493,AX$5)=1,1,IF(AND(AX492&gt;=1,AX492&lt;=9,ROW()&lt;=cur_line),AX492+1,0)),0)</f>
        <v>0</v>
      </c>
      <c r="AY493" s="313">
        <f>IFERROR(IF(INDEX([1]Pivot!$BF$1:$CG$65000,$B493,AY$5)=1,1,IF(AND(AY492&gt;=1,AY492&lt;=9,ROW()&lt;=cur_line),AY492+1,0)),0)</f>
        <v>0</v>
      </c>
      <c r="AZ493" s="313">
        <f>IFERROR(IF(INDEX([1]Pivot!$BF$1:$CG$65000,$B493,AZ$5)=1,1,IF(AND(AZ492&gt;=1,AZ492&lt;=9,ROW()&lt;=cur_line),AZ492+1,0)),0)</f>
        <v>0</v>
      </c>
      <c r="BA493" s="313">
        <f>IFERROR(IF(INDEX([1]Pivot!$BF$1:$CG$65000,$B493,BA$5)=1,1,IF(AND(BA492&gt;=1,BA492&lt;=9,ROW()&lt;=cur_line),BA492+1,0)),0)</f>
        <v>0</v>
      </c>
      <c r="BB493" s="313">
        <f>IFERROR(IF(INDEX([1]Pivot!$BF$1:$CG$65000,$B493,BB$5)=1,1,IF(AND(BB492&gt;=1,BB492&lt;=9,ROW()&lt;=cur_line),BB492+1,0)),0)</f>
        <v>0</v>
      </c>
      <c r="BC493" s="313">
        <f>IFERROR(IF(INDEX([1]Pivot!$BF$1:$CG$65000,$B493,BC$5)=1,1,IF(AND(BC492&gt;=1,BC492&lt;=9,ROW()&lt;=cur_line),BC492+1,0)),0)</f>
        <v>0</v>
      </c>
      <c r="BD493" s="313">
        <f>IFERROR(IF(INDEX([1]Pivot!$BF$1:$CG$65000,$B493,BD$5)=1,1,IF(AND(BD492&gt;=1,BD492&lt;=9,ROW()&lt;=cur_line),BD492+1,0)),0)</f>
        <v>0</v>
      </c>
    </row>
    <row r="494" spans="1:56" hidden="1" outlineLevel="1" x14ac:dyDescent="0.25">
      <c r="A494" s="288" t="str">
        <f>'[2]Raw Milk Prices'!A494</f>
        <v>2017m07</v>
      </c>
      <c r="B494" s="296" t="e">
        <f>MATCH(DATE(LEFT('[2]Raw Milk Prices'!$A494,4),RIGHT('[2]Raw Milk Prices'!$A494,2),1),[1]Pivot!$A$1:$A$65000,0)</f>
        <v>#N/A</v>
      </c>
      <c r="C494" s="194">
        <f>IFERROR(IF(INDEX([1]Pivot!$AD$1:$BE$65000,$B494,C$5)=1,1,IF(AND(C493&gt;=1,C493&lt;=9,ROW()&lt;=cur_line),C493+1,0)),0)</f>
        <v>0</v>
      </c>
      <c r="D494" s="194">
        <f>IFERROR(IF(INDEX([1]Pivot!$AD$1:$BE$65000,$B494,D$5)=1,1,IF(AND(D493&gt;=1,D493&lt;=9,ROW()&lt;=cur_line),D493+1,0)),0)</f>
        <v>0</v>
      </c>
      <c r="E494" s="194">
        <f>IFERROR(IF(INDEX([1]Pivot!$AD$1:$BE$65000,$B494,E$5)=1,1,IF(AND(E493&gt;=1,E493&lt;=9,ROW()&lt;=cur_line),E493+1,0)),0)</f>
        <v>0</v>
      </c>
      <c r="F494" s="194">
        <f>IFERROR(IF(INDEX([1]Pivot!$AD$1:$BE$65000,$B494,F$5)=1,1,IF(AND(F493&gt;=1,F493&lt;=9,ROW()&lt;=cur_line),F493+1,0)),0)</f>
        <v>0</v>
      </c>
      <c r="G494" s="194">
        <f>IFERROR(IF(INDEX([1]Pivot!$AD$1:$BE$65000,$B494,G$5)=1,1,IF(AND(G493&gt;=1,G493&lt;=9,ROW()&lt;=cur_line),G493+1,0)),0)</f>
        <v>0</v>
      </c>
      <c r="H494" s="194">
        <f>IFERROR(IF(INDEX([1]Pivot!$AD$1:$BE$65000,$B494,H$5)=1,1,IF(AND(H493&gt;=1,H493&lt;=9,ROW()&lt;=cur_line),H493+1,0)),0)</f>
        <v>0</v>
      </c>
      <c r="I494" s="194">
        <f>IFERROR(IF(INDEX([1]Pivot!$AD$1:$BE$65000,$B494,I$5)=1,1,IF(AND(I493&gt;=1,I493&lt;=9,ROW()&lt;=cur_line),I493+1,0)),0)</f>
        <v>0</v>
      </c>
      <c r="J494" s="194">
        <f>IFERROR(IF(INDEX([1]Pivot!$AD$1:$BE$65000,$B494,J$5)=1,1,IF(AND(J493&gt;=1,J493&lt;=9,ROW()&lt;=cur_line),J493+1,0)),0)</f>
        <v>0</v>
      </c>
      <c r="K494" s="194">
        <f>IFERROR(IF(INDEX([1]Pivot!$AD$1:$BE$65000,$B494,K$5)=1,1,IF(AND(K493&gt;=1,K493&lt;=9,ROW()&lt;=cur_line),K493+1,0)),0)</f>
        <v>0</v>
      </c>
      <c r="L494" s="194">
        <f>IFERROR(IF(INDEX([1]Pivot!$AD$1:$BE$65000,$B494,L$5)=1,1,IF(AND(L493&gt;=1,L493&lt;=9,ROW()&lt;=cur_line),L493+1,0)),0)</f>
        <v>0</v>
      </c>
      <c r="M494" s="194">
        <f>IFERROR(IF(INDEX([1]Pivot!$AD$1:$BE$65000,$B494,M$5)=1,1,IF(AND(M493&gt;=1,M493&lt;=9,ROW()&lt;=cur_line),M493+1,0)),0)</f>
        <v>0</v>
      </c>
      <c r="N494" s="194">
        <f>IFERROR(IF(INDEX([1]Pivot!$AD$1:$BE$65000,$B494,N$5)=1,1,IF(AND(N493&gt;=1,N493&lt;=9,ROW()&lt;=cur_line),N493+1,0)),0)</f>
        <v>0</v>
      </c>
      <c r="O494" s="194">
        <f>IFERROR(IF(INDEX([1]Pivot!$AD$1:$BE$65000,$B494,O$5)=1,1,IF(AND(O493&gt;=1,O493&lt;=9,ROW()&lt;=cur_line),O493+1,0)),0)</f>
        <v>0</v>
      </c>
      <c r="P494" s="194">
        <f>IFERROR(IF(INDEX([1]Pivot!$AD$1:$BE$65000,$B494,P$5)=1,1,IF(AND(P493&gt;=1,P493&lt;=9,ROW()&lt;=cur_line),P493+1,0)),0)</f>
        <v>0</v>
      </c>
      <c r="Q494" s="194">
        <f>IFERROR(IF(INDEX([1]Pivot!$AD$1:$BE$65000,$B494,Q$5)=1,1,IF(AND(Q493&gt;=1,Q493&lt;=9,ROW()&lt;=cur_line),Q493+1,0)),0)</f>
        <v>0</v>
      </c>
      <c r="R494" s="312"/>
      <c r="S494" s="194">
        <f>IFERROR(IF(INDEX([1]Pivot!$AD$1:$BE$65000,$B494,S$5)=1,1,IF(AND(S493&gt;=1,S493&lt;=9,ROW()&lt;=cur_line),S493+1,0)),0)</f>
        <v>0</v>
      </c>
      <c r="T494" s="194">
        <f>IFERROR(IF(INDEX([1]Pivot!$AD$1:$BE$65000,$B494,T$5)=1,1,IF(AND(T493&gt;=1,T493&lt;=9,ROW()&lt;=cur_line),T493+1,0)),0)</f>
        <v>0</v>
      </c>
      <c r="U494" s="194">
        <f>IFERROR(IF(INDEX([1]Pivot!$AD$1:$BE$65000,$B494,U$5)=1,1,IF(AND(U493&gt;=1,U493&lt;=9,ROW()&lt;=cur_line),U493+1,0)),0)</f>
        <v>0</v>
      </c>
      <c r="V494" s="194">
        <f>IFERROR(IF(INDEX([1]Pivot!$AD$1:$BE$65000,$B494,V$5)=1,1,IF(AND(V493&gt;=1,V493&lt;=9,ROW()&lt;=cur_line),V493+1,0)),0)</f>
        <v>0</v>
      </c>
      <c r="W494" s="194">
        <f>IFERROR(IF(INDEX([1]Pivot!$AD$1:$BE$65000,$B494,W$5)=1,1,IF(AND(W493&gt;=1,W493&lt;=9,ROW()&lt;=cur_line),W493+1,0)),0)</f>
        <v>0</v>
      </c>
      <c r="X494" s="194">
        <f>IFERROR(IF(INDEX([1]Pivot!$AD$1:$BE$65000,$B494,X$5)=1,1,IF(AND(X493&gt;=1,X493&lt;=9,ROW()&lt;=cur_line),X493+1,0)),0)</f>
        <v>0</v>
      </c>
      <c r="Y494" s="194">
        <f>IFERROR(IF(INDEX([1]Pivot!$AD$1:$BE$65000,$B494,Y$5)=1,1,IF(AND(Y493&gt;=1,Y493&lt;=9,ROW()&lt;=cur_line),Y493+1,0)),0)</f>
        <v>0</v>
      </c>
      <c r="Z494" s="194">
        <f>IFERROR(IF(INDEX([1]Pivot!$AD$1:$BE$65000,$B494,Z$5)=1,1,IF(AND(Z493&gt;=1,Z493&lt;=9,ROW()&lt;=cur_line),Z493+1,0)),0)</f>
        <v>0</v>
      </c>
      <c r="AA494" s="194">
        <f>IFERROR(IF(INDEX([1]Pivot!$AD$1:$BE$65000,$B494,AA$5)=1,1,IF(AND(AA493&gt;=1,AA493&lt;=9,ROW()&lt;=cur_line),AA493+1,0)),0)</f>
        <v>0</v>
      </c>
      <c r="AB494" s="194">
        <f>IFERROR(IF(INDEX([1]Pivot!$AD$1:$BE$65000,$B494,AB$5)=1,1,IF(AND(AB493&gt;=1,AB493&lt;=9,ROW()&lt;=cur_line),AB493+1,0)),0)</f>
        <v>0</v>
      </c>
      <c r="AC494" s="194">
        <f>IFERROR(IF(INDEX([1]Pivot!$AD$1:$BE$65000,$B494,AC$5)=1,1,IF(AND(AC493&gt;=1,AC493&lt;=9,ROW()&lt;=cur_line),AC493+1,0)),0)</f>
        <v>0</v>
      </c>
      <c r="AD494" s="313">
        <f>IFERROR(IF(INDEX([1]Pivot!$BF$1:$CG$65000,$B494,AD$5)=1,1,IF(AND(AD493&gt;=1,AD493&lt;=9,ROW()&lt;=cur_line),AD493+1,0)),0)</f>
        <v>0</v>
      </c>
      <c r="AE494" s="313">
        <f>IFERROR(IF(INDEX([1]Pivot!$BF$1:$CG$65000,$B494,AE$5)=1,1,IF(AND(AE493&gt;=1,AE493&lt;=9,ROW()&lt;=cur_line),AE493+1,0)),0)</f>
        <v>0</v>
      </c>
      <c r="AF494" s="313">
        <f>IFERROR(IF(INDEX([1]Pivot!$BF$1:$CG$65000,$B494,AF$5)=1,1,IF(AND(AF493&gt;=1,AF493&lt;=9,ROW()&lt;=cur_line),AF493+1,0)),0)</f>
        <v>0</v>
      </c>
      <c r="AG494" s="313">
        <f>IFERROR(IF(INDEX([1]Pivot!$BF$1:$CG$65000,$B494,AG$5)=1,1,IF(AND(AG493&gt;=1,AG493&lt;=9,ROW()&lt;=cur_line),AG493+1,0)),0)</f>
        <v>0</v>
      </c>
      <c r="AH494" s="313">
        <f>IFERROR(IF(INDEX([1]Pivot!$BF$1:$CG$65000,$B494,AH$5)=1,1,IF(AND(AH493&gt;=1,AH493&lt;=9,ROW()&lt;=cur_line),AH493+1,0)),0)</f>
        <v>0</v>
      </c>
      <c r="AI494" s="313">
        <f>IFERROR(IF(INDEX([1]Pivot!$BF$1:$CG$65000,$B494,AI$5)=1,1,IF(AND(AI493&gt;=1,AI493&lt;=9,ROW()&lt;=cur_line),AI493+1,0)),0)</f>
        <v>0</v>
      </c>
      <c r="AJ494" s="313">
        <f>IFERROR(IF(INDEX([1]Pivot!$BF$1:$CG$65000,$B494,AJ$5)=1,1,IF(AND(AJ493&gt;=1,AJ493&lt;=9,ROW()&lt;=cur_line),AJ493+1,0)),0)</f>
        <v>0</v>
      </c>
      <c r="AK494" s="313">
        <f>IFERROR(IF(INDEX([1]Pivot!$BF$1:$CG$65000,$B494,AK$5)=1,1,IF(AND(AK493&gt;=1,AK493&lt;=9,ROW()&lt;=cur_line),AK493+1,0)),0)</f>
        <v>0</v>
      </c>
      <c r="AL494" s="313">
        <f>IFERROR(IF(INDEX([1]Pivot!$BF$1:$CG$65000,$B494,AL$5)=1,1,IF(AND(AL493&gt;=1,AL493&lt;=9,ROW()&lt;=cur_line),AL493+1,0)),0)</f>
        <v>0</v>
      </c>
      <c r="AM494" s="313">
        <f>IFERROR(IF(INDEX([1]Pivot!$BF$1:$CG$65000,$B494,AM$5)=1,1,IF(AND(AM493&gt;=1,AM493&lt;=9,ROW()&lt;=cur_line),AM493+1,0)),0)</f>
        <v>0</v>
      </c>
      <c r="AN494" s="313">
        <f>IFERROR(IF(INDEX([1]Pivot!$BF$1:$CG$65000,$B494,AN$5)=1,1,IF(AND(AN493&gt;=1,AN493&lt;=9,ROW()&lt;=cur_line),AN493+1,0)),0)</f>
        <v>0</v>
      </c>
      <c r="AO494" s="313">
        <f>IFERROR(IF(INDEX([1]Pivot!$BF$1:$CG$65000,$B494,AO$5)=1,1,IF(AND(AO493&gt;=1,AO493&lt;=9,ROW()&lt;=cur_line),AO493+1,0)),0)</f>
        <v>0</v>
      </c>
      <c r="AP494" s="313">
        <f>IFERROR(IF(INDEX([1]Pivot!$BF$1:$CG$65000,$B494,AP$5)=1,1,IF(AND(AP493&gt;=1,AP493&lt;=9,ROW()&lt;=cur_line),AP493+1,0)),0)</f>
        <v>0</v>
      </c>
      <c r="AQ494" s="313">
        <f>IFERROR(IF(INDEX([1]Pivot!$BF$1:$CG$65000,$B494,AQ$5)=1,1,IF(AND(AQ493&gt;=1,AQ493&lt;=9,ROW()&lt;=cur_line),AQ493+1,0)),0)</f>
        <v>0</v>
      </c>
      <c r="AR494" s="313">
        <f>IFERROR(IF(INDEX([1]Pivot!$BF$1:$CG$65000,$B494,AR$5)=1,1,IF(AND(AR493&gt;=1,AR493&lt;=9,ROW()&lt;=cur_line),AR493+1,0)),0)</f>
        <v>0</v>
      </c>
      <c r="AS494" s="312"/>
      <c r="AT494" s="313">
        <f>IFERROR(IF(INDEX([1]Pivot!$BF$1:$CG$65000,$B494,AT$5)=1,1,IF(AND(AT493&gt;=1,AT493&lt;=9,ROW()&lt;=cur_line),AT493+1,0)),0)</f>
        <v>0</v>
      </c>
      <c r="AU494" s="313">
        <f>IFERROR(IF(INDEX([1]Pivot!$BF$1:$CG$65000,$B494,AU$5)=1,1,IF(AND(AU493&gt;=1,AU493&lt;=9,ROW()&lt;=cur_line),AU493+1,0)),0)</f>
        <v>0</v>
      </c>
      <c r="AV494" s="313">
        <f>IFERROR(IF(INDEX([1]Pivot!$BF$1:$CG$65000,$B494,AV$5)=1,1,IF(AND(AV493&gt;=1,AV493&lt;=9,ROW()&lt;=cur_line),AV493+1,0)),0)</f>
        <v>0</v>
      </c>
      <c r="AW494" s="313">
        <f>IFERROR(IF(INDEX([1]Pivot!$BF$1:$CG$65000,$B494,AW$5)=1,1,IF(AND(AW493&gt;=1,AW493&lt;=9,ROW()&lt;=cur_line),AW493+1,0)),0)</f>
        <v>0</v>
      </c>
      <c r="AX494" s="313">
        <f>IFERROR(IF(INDEX([1]Pivot!$BF$1:$CG$65000,$B494,AX$5)=1,1,IF(AND(AX493&gt;=1,AX493&lt;=9,ROW()&lt;=cur_line),AX493+1,0)),0)</f>
        <v>0</v>
      </c>
      <c r="AY494" s="313">
        <f>IFERROR(IF(INDEX([1]Pivot!$BF$1:$CG$65000,$B494,AY$5)=1,1,IF(AND(AY493&gt;=1,AY493&lt;=9,ROW()&lt;=cur_line),AY493+1,0)),0)</f>
        <v>0</v>
      </c>
      <c r="AZ494" s="313">
        <f>IFERROR(IF(INDEX([1]Pivot!$BF$1:$CG$65000,$B494,AZ$5)=1,1,IF(AND(AZ493&gt;=1,AZ493&lt;=9,ROW()&lt;=cur_line),AZ493+1,0)),0)</f>
        <v>0</v>
      </c>
      <c r="BA494" s="313">
        <f>IFERROR(IF(INDEX([1]Pivot!$BF$1:$CG$65000,$B494,BA$5)=1,1,IF(AND(BA493&gt;=1,BA493&lt;=9,ROW()&lt;=cur_line),BA493+1,0)),0)</f>
        <v>0</v>
      </c>
      <c r="BB494" s="313">
        <f>IFERROR(IF(INDEX([1]Pivot!$BF$1:$CG$65000,$B494,BB$5)=1,1,IF(AND(BB493&gt;=1,BB493&lt;=9,ROW()&lt;=cur_line),BB493+1,0)),0)</f>
        <v>0</v>
      </c>
      <c r="BC494" s="313">
        <f>IFERROR(IF(INDEX([1]Pivot!$BF$1:$CG$65000,$B494,BC$5)=1,1,IF(AND(BC493&gt;=1,BC493&lt;=9,ROW()&lt;=cur_line),BC493+1,0)),0)</f>
        <v>0</v>
      </c>
      <c r="BD494" s="313">
        <f>IFERROR(IF(INDEX([1]Pivot!$BF$1:$CG$65000,$B494,BD$5)=1,1,IF(AND(BD493&gt;=1,BD493&lt;=9,ROW()&lt;=cur_line),BD493+1,0)),0)</f>
        <v>0</v>
      </c>
    </row>
    <row r="495" spans="1:56" hidden="1" outlineLevel="1" x14ac:dyDescent="0.25">
      <c r="A495" s="288" t="str">
        <f>'[2]Raw Milk Prices'!A495</f>
        <v>2017m08</v>
      </c>
      <c r="B495" s="296" t="e">
        <f>MATCH(DATE(LEFT('[2]Raw Milk Prices'!$A495,4),RIGHT('[2]Raw Milk Prices'!$A495,2),1),[1]Pivot!$A$1:$A$65000,0)</f>
        <v>#N/A</v>
      </c>
      <c r="C495" s="194">
        <f>IFERROR(IF(INDEX([1]Pivot!$AD$1:$BE$65000,$B495,C$5)=1,1,IF(AND(C494&gt;=1,C494&lt;=9,ROW()&lt;=cur_line),C494+1,0)),0)</f>
        <v>0</v>
      </c>
      <c r="D495" s="194">
        <f>IFERROR(IF(INDEX([1]Pivot!$AD$1:$BE$65000,$B495,D$5)=1,1,IF(AND(D494&gt;=1,D494&lt;=9,ROW()&lt;=cur_line),D494+1,0)),0)</f>
        <v>0</v>
      </c>
      <c r="E495" s="194">
        <f>IFERROR(IF(INDEX([1]Pivot!$AD$1:$BE$65000,$B495,E$5)=1,1,IF(AND(E494&gt;=1,E494&lt;=9,ROW()&lt;=cur_line),E494+1,0)),0)</f>
        <v>0</v>
      </c>
      <c r="F495" s="194">
        <f>IFERROR(IF(INDEX([1]Pivot!$AD$1:$BE$65000,$B495,F$5)=1,1,IF(AND(F494&gt;=1,F494&lt;=9,ROW()&lt;=cur_line),F494+1,0)),0)</f>
        <v>0</v>
      </c>
      <c r="G495" s="194">
        <f>IFERROR(IF(INDEX([1]Pivot!$AD$1:$BE$65000,$B495,G$5)=1,1,IF(AND(G494&gt;=1,G494&lt;=9,ROW()&lt;=cur_line),G494+1,0)),0)</f>
        <v>0</v>
      </c>
      <c r="H495" s="194">
        <f>IFERROR(IF(INDEX([1]Pivot!$AD$1:$BE$65000,$B495,H$5)=1,1,IF(AND(H494&gt;=1,H494&lt;=9,ROW()&lt;=cur_line),H494+1,0)),0)</f>
        <v>0</v>
      </c>
      <c r="I495" s="194">
        <f>IFERROR(IF(INDEX([1]Pivot!$AD$1:$BE$65000,$B495,I$5)=1,1,IF(AND(I494&gt;=1,I494&lt;=9,ROW()&lt;=cur_line),I494+1,0)),0)</f>
        <v>0</v>
      </c>
      <c r="J495" s="194">
        <f>IFERROR(IF(INDEX([1]Pivot!$AD$1:$BE$65000,$B495,J$5)=1,1,IF(AND(J494&gt;=1,J494&lt;=9,ROW()&lt;=cur_line),J494+1,0)),0)</f>
        <v>0</v>
      </c>
      <c r="K495" s="194">
        <f>IFERROR(IF(INDEX([1]Pivot!$AD$1:$BE$65000,$B495,K$5)=1,1,IF(AND(K494&gt;=1,K494&lt;=9,ROW()&lt;=cur_line),K494+1,0)),0)</f>
        <v>0</v>
      </c>
      <c r="L495" s="194">
        <f>IFERROR(IF(INDEX([1]Pivot!$AD$1:$BE$65000,$B495,L$5)=1,1,IF(AND(L494&gt;=1,L494&lt;=9,ROW()&lt;=cur_line),L494+1,0)),0)</f>
        <v>0</v>
      </c>
      <c r="M495" s="194">
        <f>IFERROR(IF(INDEX([1]Pivot!$AD$1:$BE$65000,$B495,M$5)=1,1,IF(AND(M494&gt;=1,M494&lt;=9,ROW()&lt;=cur_line),M494+1,0)),0)</f>
        <v>0</v>
      </c>
      <c r="N495" s="194">
        <f>IFERROR(IF(INDEX([1]Pivot!$AD$1:$BE$65000,$B495,N$5)=1,1,IF(AND(N494&gt;=1,N494&lt;=9,ROW()&lt;=cur_line),N494+1,0)),0)</f>
        <v>0</v>
      </c>
      <c r="O495" s="194">
        <f>IFERROR(IF(INDEX([1]Pivot!$AD$1:$BE$65000,$B495,O$5)=1,1,IF(AND(O494&gt;=1,O494&lt;=9,ROW()&lt;=cur_line),O494+1,0)),0)</f>
        <v>0</v>
      </c>
      <c r="P495" s="194">
        <f>IFERROR(IF(INDEX([1]Pivot!$AD$1:$BE$65000,$B495,P$5)=1,1,IF(AND(P494&gt;=1,P494&lt;=9,ROW()&lt;=cur_line),P494+1,0)),0)</f>
        <v>0</v>
      </c>
      <c r="Q495" s="194">
        <f>IFERROR(IF(INDEX([1]Pivot!$AD$1:$BE$65000,$B495,Q$5)=1,1,IF(AND(Q494&gt;=1,Q494&lt;=9,ROW()&lt;=cur_line),Q494+1,0)),0)</f>
        <v>0</v>
      </c>
      <c r="R495" s="312"/>
      <c r="S495" s="194">
        <f>IFERROR(IF(INDEX([1]Pivot!$AD$1:$BE$65000,$B495,S$5)=1,1,IF(AND(S494&gt;=1,S494&lt;=9,ROW()&lt;=cur_line),S494+1,0)),0)</f>
        <v>0</v>
      </c>
      <c r="T495" s="194">
        <f>IFERROR(IF(INDEX([1]Pivot!$AD$1:$BE$65000,$B495,T$5)=1,1,IF(AND(T494&gt;=1,T494&lt;=9,ROW()&lt;=cur_line),T494+1,0)),0)</f>
        <v>0</v>
      </c>
      <c r="U495" s="194">
        <f>IFERROR(IF(INDEX([1]Pivot!$AD$1:$BE$65000,$B495,U$5)=1,1,IF(AND(U494&gt;=1,U494&lt;=9,ROW()&lt;=cur_line),U494+1,0)),0)</f>
        <v>0</v>
      </c>
      <c r="V495" s="194">
        <f>IFERROR(IF(INDEX([1]Pivot!$AD$1:$BE$65000,$B495,V$5)=1,1,IF(AND(V494&gt;=1,V494&lt;=9,ROW()&lt;=cur_line),V494+1,0)),0)</f>
        <v>0</v>
      </c>
      <c r="W495" s="194">
        <f>IFERROR(IF(INDEX([1]Pivot!$AD$1:$BE$65000,$B495,W$5)=1,1,IF(AND(W494&gt;=1,W494&lt;=9,ROW()&lt;=cur_line),W494+1,0)),0)</f>
        <v>0</v>
      </c>
      <c r="X495" s="194">
        <f>IFERROR(IF(INDEX([1]Pivot!$AD$1:$BE$65000,$B495,X$5)=1,1,IF(AND(X494&gt;=1,X494&lt;=9,ROW()&lt;=cur_line),X494+1,0)),0)</f>
        <v>0</v>
      </c>
      <c r="Y495" s="194">
        <f>IFERROR(IF(INDEX([1]Pivot!$AD$1:$BE$65000,$B495,Y$5)=1,1,IF(AND(Y494&gt;=1,Y494&lt;=9,ROW()&lt;=cur_line),Y494+1,0)),0)</f>
        <v>0</v>
      </c>
      <c r="Z495" s="194">
        <f>IFERROR(IF(INDEX([1]Pivot!$AD$1:$BE$65000,$B495,Z$5)=1,1,IF(AND(Z494&gt;=1,Z494&lt;=9,ROW()&lt;=cur_line),Z494+1,0)),0)</f>
        <v>0</v>
      </c>
      <c r="AA495" s="194">
        <f>IFERROR(IF(INDEX([1]Pivot!$AD$1:$BE$65000,$B495,AA$5)=1,1,IF(AND(AA494&gt;=1,AA494&lt;=9,ROW()&lt;=cur_line),AA494+1,0)),0)</f>
        <v>0</v>
      </c>
      <c r="AB495" s="194">
        <f>IFERROR(IF(INDEX([1]Pivot!$AD$1:$BE$65000,$B495,AB$5)=1,1,IF(AND(AB494&gt;=1,AB494&lt;=9,ROW()&lt;=cur_line),AB494+1,0)),0)</f>
        <v>0</v>
      </c>
      <c r="AC495" s="194">
        <f>IFERROR(IF(INDEX([1]Pivot!$AD$1:$BE$65000,$B495,AC$5)=1,1,IF(AND(AC494&gt;=1,AC494&lt;=9,ROW()&lt;=cur_line),AC494+1,0)),0)</f>
        <v>0</v>
      </c>
      <c r="AD495" s="313">
        <f>IFERROR(IF(INDEX([1]Pivot!$BF$1:$CG$65000,$B495,AD$5)=1,1,IF(AND(AD494&gt;=1,AD494&lt;=9,ROW()&lt;=cur_line),AD494+1,0)),0)</f>
        <v>0</v>
      </c>
      <c r="AE495" s="313">
        <f>IFERROR(IF(INDEX([1]Pivot!$BF$1:$CG$65000,$B495,AE$5)=1,1,IF(AND(AE494&gt;=1,AE494&lt;=9,ROW()&lt;=cur_line),AE494+1,0)),0)</f>
        <v>0</v>
      </c>
      <c r="AF495" s="313">
        <f>IFERROR(IF(INDEX([1]Pivot!$BF$1:$CG$65000,$B495,AF$5)=1,1,IF(AND(AF494&gt;=1,AF494&lt;=9,ROW()&lt;=cur_line),AF494+1,0)),0)</f>
        <v>0</v>
      </c>
      <c r="AG495" s="313">
        <f>IFERROR(IF(INDEX([1]Pivot!$BF$1:$CG$65000,$B495,AG$5)=1,1,IF(AND(AG494&gt;=1,AG494&lt;=9,ROW()&lt;=cur_line),AG494+1,0)),0)</f>
        <v>0</v>
      </c>
      <c r="AH495" s="313">
        <f>IFERROR(IF(INDEX([1]Pivot!$BF$1:$CG$65000,$B495,AH$5)=1,1,IF(AND(AH494&gt;=1,AH494&lt;=9,ROW()&lt;=cur_line),AH494+1,0)),0)</f>
        <v>0</v>
      </c>
      <c r="AI495" s="313">
        <f>IFERROR(IF(INDEX([1]Pivot!$BF$1:$CG$65000,$B495,AI$5)=1,1,IF(AND(AI494&gt;=1,AI494&lt;=9,ROW()&lt;=cur_line),AI494+1,0)),0)</f>
        <v>0</v>
      </c>
      <c r="AJ495" s="313">
        <f>IFERROR(IF(INDEX([1]Pivot!$BF$1:$CG$65000,$B495,AJ$5)=1,1,IF(AND(AJ494&gt;=1,AJ494&lt;=9,ROW()&lt;=cur_line),AJ494+1,0)),0)</f>
        <v>0</v>
      </c>
      <c r="AK495" s="313">
        <f>IFERROR(IF(INDEX([1]Pivot!$BF$1:$CG$65000,$B495,AK$5)=1,1,IF(AND(AK494&gt;=1,AK494&lt;=9,ROW()&lt;=cur_line),AK494+1,0)),0)</f>
        <v>0</v>
      </c>
      <c r="AL495" s="313">
        <f>IFERROR(IF(INDEX([1]Pivot!$BF$1:$CG$65000,$B495,AL$5)=1,1,IF(AND(AL494&gt;=1,AL494&lt;=9,ROW()&lt;=cur_line),AL494+1,0)),0)</f>
        <v>0</v>
      </c>
      <c r="AM495" s="313">
        <f>IFERROR(IF(INDEX([1]Pivot!$BF$1:$CG$65000,$B495,AM$5)=1,1,IF(AND(AM494&gt;=1,AM494&lt;=9,ROW()&lt;=cur_line),AM494+1,0)),0)</f>
        <v>0</v>
      </c>
      <c r="AN495" s="313">
        <f>IFERROR(IF(INDEX([1]Pivot!$BF$1:$CG$65000,$B495,AN$5)=1,1,IF(AND(AN494&gt;=1,AN494&lt;=9,ROW()&lt;=cur_line),AN494+1,0)),0)</f>
        <v>0</v>
      </c>
      <c r="AO495" s="313">
        <f>IFERROR(IF(INDEX([1]Pivot!$BF$1:$CG$65000,$B495,AO$5)=1,1,IF(AND(AO494&gt;=1,AO494&lt;=9,ROW()&lt;=cur_line),AO494+1,0)),0)</f>
        <v>0</v>
      </c>
      <c r="AP495" s="313">
        <f>IFERROR(IF(INDEX([1]Pivot!$BF$1:$CG$65000,$B495,AP$5)=1,1,IF(AND(AP494&gt;=1,AP494&lt;=9,ROW()&lt;=cur_line),AP494+1,0)),0)</f>
        <v>0</v>
      </c>
      <c r="AQ495" s="313">
        <f>IFERROR(IF(INDEX([1]Pivot!$BF$1:$CG$65000,$B495,AQ$5)=1,1,IF(AND(AQ494&gt;=1,AQ494&lt;=9,ROW()&lt;=cur_line),AQ494+1,0)),0)</f>
        <v>0</v>
      </c>
      <c r="AR495" s="313">
        <f>IFERROR(IF(INDEX([1]Pivot!$BF$1:$CG$65000,$B495,AR$5)=1,1,IF(AND(AR494&gt;=1,AR494&lt;=9,ROW()&lt;=cur_line),AR494+1,0)),0)</f>
        <v>0</v>
      </c>
      <c r="AS495" s="312"/>
      <c r="AT495" s="313">
        <f>IFERROR(IF(INDEX([1]Pivot!$BF$1:$CG$65000,$B495,AT$5)=1,1,IF(AND(AT494&gt;=1,AT494&lt;=9,ROW()&lt;=cur_line),AT494+1,0)),0)</f>
        <v>0</v>
      </c>
      <c r="AU495" s="313">
        <f>IFERROR(IF(INDEX([1]Pivot!$BF$1:$CG$65000,$B495,AU$5)=1,1,IF(AND(AU494&gt;=1,AU494&lt;=9,ROW()&lt;=cur_line),AU494+1,0)),0)</f>
        <v>0</v>
      </c>
      <c r="AV495" s="313">
        <f>IFERROR(IF(INDEX([1]Pivot!$BF$1:$CG$65000,$B495,AV$5)=1,1,IF(AND(AV494&gt;=1,AV494&lt;=9,ROW()&lt;=cur_line),AV494+1,0)),0)</f>
        <v>0</v>
      </c>
      <c r="AW495" s="313">
        <f>IFERROR(IF(INDEX([1]Pivot!$BF$1:$CG$65000,$B495,AW$5)=1,1,IF(AND(AW494&gt;=1,AW494&lt;=9,ROW()&lt;=cur_line),AW494+1,0)),0)</f>
        <v>0</v>
      </c>
      <c r="AX495" s="313">
        <f>IFERROR(IF(INDEX([1]Pivot!$BF$1:$CG$65000,$B495,AX$5)=1,1,IF(AND(AX494&gt;=1,AX494&lt;=9,ROW()&lt;=cur_line),AX494+1,0)),0)</f>
        <v>0</v>
      </c>
      <c r="AY495" s="313">
        <f>IFERROR(IF(INDEX([1]Pivot!$BF$1:$CG$65000,$B495,AY$5)=1,1,IF(AND(AY494&gt;=1,AY494&lt;=9,ROW()&lt;=cur_line),AY494+1,0)),0)</f>
        <v>0</v>
      </c>
      <c r="AZ495" s="313">
        <f>IFERROR(IF(INDEX([1]Pivot!$BF$1:$CG$65000,$B495,AZ$5)=1,1,IF(AND(AZ494&gt;=1,AZ494&lt;=9,ROW()&lt;=cur_line),AZ494+1,0)),0)</f>
        <v>0</v>
      </c>
      <c r="BA495" s="313">
        <f>IFERROR(IF(INDEX([1]Pivot!$BF$1:$CG$65000,$B495,BA$5)=1,1,IF(AND(BA494&gt;=1,BA494&lt;=9,ROW()&lt;=cur_line),BA494+1,0)),0)</f>
        <v>0</v>
      </c>
      <c r="BB495" s="313">
        <f>IFERROR(IF(INDEX([1]Pivot!$BF$1:$CG$65000,$B495,BB$5)=1,1,IF(AND(BB494&gt;=1,BB494&lt;=9,ROW()&lt;=cur_line),BB494+1,0)),0)</f>
        <v>0</v>
      </c>
      <c r="BC495" s="313">
        <f>IFERROR(IF(INDEX([1]Pivot!$BF$1:$CG$65000,$B495,BC$5)=1,1,IF(AND(BC494&gt;=1,BC494&lt;=9,ROW()&lt;=cur_line),BC494+1,0)),0)</f>
        <v>0</v>
      </c>
      <c r="BD495" s="313">
        <f>IFERROR(IF(INDEX([1]Pivot!$BF$1:$CG$65000,$B495,BD$5)=1,1,IF(AND(BD494&gt;=1,BD494&lt;=9,ROW()&lt;=cur_line),BD494+1,0)),0)</f>
        <v>0</v>
      </c>
    </row>
    <row r="496" spans="1:56" hidden="1" outlineLevel="1" x14ac:dyDescent="0.25">
      <c r="A496" s="288" t="str">
        <f>'[2]Raw Milk Prices'!A496</f>
        <v>2017m09</v>
      </c>
      <c r="B496" s="296" t="e">
        <f>MATCH(DATE(LEFT('[2]Raw Milk Prices'!$A496,4),RIGHT('[2]Raw Milk Prices'!$A496,2),1),[1]Pivot!$A$1:$A$65000,0)</f>
        <v>#N/A</v>
      </c>
      <c r="C496" s="194">
        <f>IFERROR(IF(INDEX([1]Pivot!$AD$1:$BE$65000,$B496,C$5)=1,1,IF(AND(C495&gt;=1,C495&lt;=9,ROW()&lt;=cur_line),C495+1,0)),0)</f>
        <v>0</v>
      </c>
      <c r="D496" s="194">
        <f>IFERROR(IF(INDEX([1]Pivot!$AD$1:$BE$65000,$B496,D$5)=1,1,IF(AND(D495&gt;=1,D495&lt;=9,ROW()&lt;=cur_line),D495+1,0)),0)</f>
        <v>0</v>
      </c>
      <c r="E496" s="194">
        <f>IFERROR(IF(INDEX([1]Pivot!$AD$1:$BE$65000,$B496,E$5)=1,1,IF(AND(E495&gt;=1,E495&lt;=9,ROW()&lt;=cur_line),E495+1,0)),0)</f>
        <v>0</v>
      </c>
      <c r="F496" s="194">
        <f>IFERROR(IF(INDEX([1]Pivot!$AD$1:$BE$65000,$B496,F$5)=1,1,IF(AND(F495&gt;=1,F495&lt;=9,ROW()&lt;=cur_line),F495+1,0)),0)</f>
        <v>0</v>
      </c>
      <c r="G496" s="194">
        <f>IFERROR(IF(INDEX([1]Pivot!$AD$1:$BE$65000,$B496,G$5)=1,1,IF(AND(G495&gt;=1,G495&lt;=9,ROW()&lt;=cur_line),G495+1,0)),0)</f>
        <v>0</v>
      </c>
      <c r="H496" s="194">
        <f>IFERROR(IF(INDEX([1]Pivot!$AD$1:$BE$65000,$B496,H$5)=1,1,IF(AND(H495&gt;=1,H495&lt;=9,ROW()&lt;=cur_line),H495+1,0)),0)</f>
        <v>0</v>
      </c>
      <c r="I496" s="194">
        <f>IFERROR(IF(INDEX([1]Pivot!$AD$1:$BE$65000,$B496,I$5)=1,1,IF(AND(I495&gt;=1,I495&lt;=9,ROW()&lt;=cur_line),I495+1,0)),0)</f>
        <v>0</v>
      </c>
      <c r="J496" s="194">
        <f>IFERROR(IF(INDEX([1]Pivot!$AD$1:$BE$65000,$B496,J$5)=1,1,IF(AND(J495&gt;=1,J495&lt;=9,ROW()&lt;=cur_line),J495+1,0)),0)</f>
        <v>0</v>
      </c>
      <c r="K496" s="194">
        <f>IFERROR(IF(INDEX([1]Pivot!$AD$1:$BE$65000,$B496,K$5)=1,1,IF(AND(K495&gt;=1,K495&lt;=9,ROW()&lt;=cur_line),K495+1,0)),0)</f>
        <v>0</v>
      </c>
      <c r="L496" s="194">
        <f>IFERROR(IF(INDEX([1]Pivot!$AD$1:$BE$65000,$B496,L$5)=1,1,IF(AND(L495&gt;=1,L495&lt;=9,ROW()&lt;=cur_line),L495+1,0)),0)</f>
        <v>0</v>
      </c>
      <c r="M496" s="194">
        <f>IFERROR(IF(INDEX([1]Pivot!$AD$1:$BE$65000,$B496,M$5)=1,1,IF(AND(M495&gt;=1,M495&lt;=9,ROW()&lt;=cur_line),M495+1,0)),0)</f>
        <v>0</v>
      </c>
      <c r="N496" s="194">
        <f>IFERROR(IF(INDEX([1]Pivot!$AD$1:$BE$65000,$B496,N$5)=1,1,IF(AND(N495&gt;=1,N495&lt;=9,ROW()&lt;=cur_line),N495+1,0)),0)</f>
        <v>0</v>
      </c>
      <c r="O496" s="194">
        <f>IFERROR(IF(INDEX([1]Pivot!$AD$1:$BE$65000,$B496,O$5)=1,1,IF(AND(O495&gt;=1,O495&lt;=9,ROW()&lt;=cur_line),O495+1,0)),0)</f>
        <v>0</v>
      </c>
      <c r="P496" s="194">
        <f>IFERROR(IF(INDEX([1]Pivot!$AD$1:$BE$65000,$B496,P$5)=1,1,IF(AND(P495&gt;=1,P495&lt;=9,ROW()&lt;=cur_line),P495+1,0)),0)</f>
        <v>0</v>
      </c>
      <c r="Q496" s="194">
        <f>IFERROR(IF(INDEX([1]Pivot!$AD$1:$BE$65000,$B496,Q$5)=1,1,IF(AND(Q495&gt;=1,Q495&lt;=9,ROW()&lt;=cur_line),Q495+1,0)),0)</f>
        <v>0</v>
      </c>
      <c r="R496" s="312"/>
      <c r="S496" s="194">
        <f>IFERROR(IF(INDEX([1]Pivot!$AD$1:$BE$65000,$B496,S$5)=1,1,IF(AND(S495&gt;=1,S495&lt;=9,ROW()&lt;=cur_line),S495+1,0)),0)</f>
        <v>0</v>
      </c>
      <c r="T496" s="194">
        <f>IFERROR(IF(INDEX([1]Pivot!$AD$1:$BE$65000,$B496,T$5)=1,1,IF(AND(T495&gt;=1,T495&lt;=9,ROW()&lt;=cur_line),T495+1,0)),0)</f>
        <v>0</v>
      </c>
      <c r="U496" s="194">
        <f>IFERROR(IF(INDEX([1]Pivot!$AD$1:$BE$65000,$B496,U$5)=1,1,IF(AND(U495&gt;=1,U495&lt;=9,ROW()&lt;=cur_line),U495+1,0)),0)</f>
        <v>0</v>
      </c>
      <c r="V496" s="194">
        <f>IFERROR(IF(INDEX([1]Pivot!$AD$1:$BE$65000,$B496,V$5)=1,1,IF(AND(V495&gt;=1,V495&lt;=9,ROW()&lt;=cur_line),V495+1,0)),0)</f>
        <v>0</v>
      </c>
      <c r="W496" s="194">
        <f>IFERROR(IF(INDEX([1]Pivot!$AD$1:$BE$65000,$B496,W$5)=1,1,IF(AND(W495&gt;=1,W495&lt;=9,ROW()&lt;=cur_line),W495+1,0)),0)</f>
        <v>0</v>
      </c>
      <c r="X496" s="194">
        <f>IFERROR(IF(INDEX([1]Pivot!$AD$1:$BE$65000,$B496,X$5)=1,1,IF(AND(X495&gt;=1,X495&lt;=9,ROW()&lt;=cur_line),X495+1,0)),0)</f>
        <v>0</v>
      </c>
      <c r="Y496" s="194">
        <f>IFERROR(IF(INDEX([1]Pivot!$AD$1:$BE$65000,$B496,Y$5)=1,1,IF(AND(Y495&gt;=1,Y495&lt;=9,ROW()&lt;=cur_line),Y495+1,0)),0)</f>
        <v>0</v>
      </c>
      <c r="Z496" s="194">
        <f>IFERROR(IF(INDEX([1]Pivot!$AD$1:$BE$65000,$B496,Z$5)=1,1,IF(AND(Z495&gt;=1,Z495&lt;=9,ROW()&lt;=cur_line),Z495+1,0)),0)</f>
        <v>0</v>
      </c>
      <c r="AA496" s="194">
        <f>IFERROR(IF(INDEX([1]Pivot!$AD$1:$BE$65000,$B496,AA$5)=1,1,IF(AND(AA495&gt;=1,AA495&lt;=9,ROW()&lt;=cur_line),AA495+1,0)),0)</f>
        <v>0</v>
      </c>
      <c r="AB496" s="194">
        <f>IFERROR(IF(INDEX([1]Pivot!$AD$1:$BE$65000,$B496,AB$5)=1,1,IF(AND(AB495&gt;=1,AB495&lt;=9,ROW()&lt;=cur_line),AB495+1,0)),0)</f>
        <v>0</v>
      </c>
      <c r="AC496" s="194">
        <f>IFERROR(IF(INDEX([1]Pivot!$AD$1:$BE$65000,$B496,AC$5)=1,1,IF(AND(AC495&gt;=1,AC495&lt;=9,ROW()&lt;=cur_line),AC495+1,0)),0)</f>
        <v>0</v>
      </c>
      <c r="AD496" s="313">
        <f>IFERROR(IF(INDEX([1]Pivot!$BF$1:$CG$65000,$B496,AD$5)=1,1,IF(AND(AD495&gt;=1,AD495&lt;=9,ROW()&lt;=cur_line),AD495+1,0)),0)</f>
        <v>0</v>
      </c>
      <c r="AE496" s="313">
        <f>IFERROR(IF(INDEX([1]Pivot!$BF$1:$CG$65000,$B496,AE$5)=1,1,IF(AND(AE495&gt;=1,AE495&lt;=9,ROW()&lt;=cur_line),AE495+1,0)),0)</f>
        <v>0</v>
      </c>
      <c r="AF496" s="313">
        <f>IFERROR(IF(INDEX([1]Pivot!$BF$1:$CG$65000,$B496,AF$5)=1,1,IF(AND(AF495&gt;=1,AF495&lt;=9,ROW()&lt;=cur_line),AF495+1,0)),0)</f>
        <v>0</v>
      </c>
      <c r="AG496" s="313">
        <f>IFERROR(IF(INDEX([1]Pivot!$BF$1:$CG$65000,$B496,AG$5)=1,1,IF(AND(AG495&gt;=1,AG495&lt;=9,ROW()&lt;=cur_line),AG495+1,0)),0)</f>
        <v>0</v>
      </c>
      <c r="AH496" s="313">
        <f>IFERROR(IF(INDEX([1]Pivot!$BF$1:$CG$65000,$B496,AH$5)=1,1,IF(AND(AH495&gt;=1,AH495&lt;=9,ROW()&lt;=cur_line),AH495+1,0)),0)</f>
        <v>0</v>
      </c>
      <c r="AI496" s="313">
        <f>IFERROR(IF(INDEX([1]Pivot!$BF$1:$CG$65000,$B496,AI$5)=1,1,IF(AND(AI495&gt;=1,AI495&lt;=9,ROW()&lt;=cur_line),AI495+1,0)),0)</f>
        <v>0</v>
      </c>
      <c r="AJ496" s="313">
        <f>IFERROR(IF(INDEX([1]Pivot!$BF$1:$CG$65000,$B496,AJ$5)=1,1,IF(AND(AJ495&gt;=1,AJ495&lt;=9,ROW()&lt;=cur_line),AJ495+1,0)),0)</f>
        <v>0</v>
      </c>
      <c r="AK496" s="313">
        <f>IFERROR(IF(INDEX([1]Pivot!$BF$1:$CG$65000,$B496,AK$5)=1,1,IF(AND(AK495&gt;=1,AK495&lt;=9,ROW()&lt;=cur_line),AK495+1,0)),0)</f>
        <v>0</v>
      </c>
      <c r="AL496" s="313">
        <f>IFERROR(IF(INDEX([1]Pivot!$BF$1:$CG$65000,$B496,AL$5)=1,1,IF(AND(AL495&gt;=1,AL495&lt;=9,ROW()&lt;=cur_line),AL495+1,0)),0)</f>
        <v>0</v>
      </c>
      <c r="AM496" s="313">
        <f>IFERROR(IF(INDEX([1]Pivot!$BF$1:$CG$65000,$B496,AM$5)=1,1,IF(AND(AM495&gt;=1,AM495&lt;=9,ROW()&lt;=cur_line),AM495+1,0)),0)</f>
        <v>0</v>
      </c>
      <c r="AN496" s="313">
        <f>IFERROR(IF(INDEX([1]Pivot!$BF$1:$CG$65000,$B496,AN$5)=1,1,IF(AND(AN495&gt;=1,AN495&lt;=9,ROW()&lt;=cur_line),AN495+1,0)),0)</f>
        <v>0</v>
      </c>
      <c r="AO496" s="313">
        <f>IFERROR(IF(INDEX([1]Pivot!$BF$1:$CG$65000,$B496,AO$5)=1,1,IF(AND(AO495&gt;=1,AO495&lt;=9,ROW()&lt;=cur_line),AO495+1,0)),0)</f>
        <v>0</v>
      </c>
      <c r="AP496" s="313">
        <f>IFERROR(IF(INDEX([1]Pivot!$BF$1:$CG$65000,$B496,AP$5)=1,1,IF(AND(AP495&gt;=1,AP495&lt;=9,ROW()&lt;=cur_line),AP495+1,0)),0)</f>
        <v>0</v>
      </c>
      <c r="AQ496" s="313">
        <f>IFERROR(IF(INDEX([1]Pivot!$BF$1:$CG$65000,$B496,AQ$5)=1,1,IF(AND(AQ495&gt;=1,AQ495&lt;=9,ROW()&lt;=cur_line),AQ495+1,0)),0)</f>
        <v>0</v>
      </c>
      <c r="AR496" s="313">
        <f>IFERROR(IF(INDEX([1]Pivot!$BF$1:$CG$65000,$B496,AR$5)=1,1,IF(AND(AR495&gt;=1,AR495&lt;=9,ROW()&lt;=cur_line),AR495+1,0)),0)</f>
        <v>0</v>
      </c>
      <c r="AS496" s="312"/>
      <c r="AT496" s="313">
        <f>IFERROR(IF(INDEX([1]Pivot!$BF$1:$CG$65000,$B496,AT$5)=1,1,IF(AND(AT495&gt;=1,AT495&lt;=9,ROW()&lt;=cur_line),AT495+1,0)),0)</f>
        <v>0</v>
      </c>
      <c r="AU496" s="313">
        <f>IFERROR(IF(INDEX([1]Pivot!$BF$1:$CG$65000,$B496,AU$5)=1,1,IF(AND(AU495&gt;=1,AU495&lt;=9,ROW()&lt;=cur_line),AU495+1,0)),0)</f>
        <v>0</v>
      </c>
      <c r="AV496" s="313">
        <f>IFERROR(IF(INDEX([1]Pivot!$BF$1:$CG$65000,$B496,AV$5)=1,1,IF(AND(AV495&gt;=1,AV495&lt;=9,ROW()&lt;=cur_line),AV495+1,0)),0)</f>
        <v>0</v>
      </c>
      <c r="AW496" s="313">
        <f>IFERROR(IF(INDEX([1]Pivot!$BF$1:$CG$65000,$B496,AW$5)=1,1,IF(AND(AW495&gt;=1,AW495&lt;=9,ROW()&lt;=cur_line),AW495+1,0)),0)</f>
        <v>0</v>
      </c>
      <c r="AX496" s="313">
        <f>IFERROR(IF(INDEX([1]Pivot!$BF$1:$CG$65000,$B496,AX$5)=1,1,IF(AND(AX495&gt;=1,AX495&lt;=9,ROW()&lt;=cur_line),AX495+1,0)),0)</f>
        <v>0</v>
      </c>
      <c r="AY496" s="313">
        <f>IFERROR(IF(INDEX([1]Pivot!$BF$1:$CG$65000,$B496,AY$5)=1,1,IF(AND(AY495&gt;=1,AY495&lt;=9,ROW()&lt;=cur_line),AY495+1,0)),0)</f>
        <v>0</v>
      </c>
      <c r="AZ496" s="313">
        <f>IFERROR(IF(INDEX([1]Pivot!$BF$1:$CG$65000,$B496,AZ$5)=1,1,IF(AND(AZ495&gt;=1,AZ495&lt;=9,ROW()&lt;=cur_line),AZ495+1,0)),0)</f>
        <v>0</v>
      </c>
      <c r="BA496" s="313">
        <f>IFERROR(IF(INDEX([1]Pivot!$BF$1:$CG$65000,$B496,BA$5)=1,1,IF(AND(BA495&gt;=1,BA495&lt;=9,ROW()&lt;=cur_line),BA495+1,0)),0)</f>
        <v>0</v>
      </c>
      <c r="BB496" s="313">
        <f>IFERROR(IF(INDEX([1]Pivot!$BF$1:$CG$65000,$B496,BB$5)=1,1,IF(AND(BB495&gt;=1,BB495&lt;=9,ROW()&lt;=cur_line),BB495+1,0)),0)</f>
        <v>0</v>
      </c>
      <c r="BC496" s="313">
        <f>IFERROR(IF(INDEX([1]Pivot!$BF$1:$CG$65000,$B496,BC$5)=1,1,IF(AND(BC495&gt;=1,BC495&lt;=9,ROW()&lt;=cur_line),BC495+1,0)),0)</f>
        <v>0</v>
      </c>
      <c r="BD496" s="313">
        <f>IFERROR(IF(INDEX([1]Pivot!$BF$1:$CG$65000,$B496,BD$5)=1,1,IF(AND(BD495&gt;=1,BD495&lt;=9,ROW()&lt;=cur_line),BD495+1,0)),0)</f>
        <v>0</v>
      </c>
    </row>
    <row r="497" spans="1:56" hidden="1" outlineLevel="1" x14ac:dyDescent="0.25">
      <c r="A497" s="288" t="str">
        <f>'[2]Raw Milk Prices'!A497</f>
        <v>2017m10</v>
      </c>
      <c r="B497" s="296" t="e">
        <f>MATCH(DATE(LEFT('[2]Raw Milk Prices'!$A497,4),RIGHT('[2]Raw Milk Prices'!$A497,2),1),[1]Pivot!$A$1:$A$65000,0)</f>
        <v>#N/A</v>
      </c>
      <c r="C497" s="194">
        <f>IFERROR(IF(INDEX([1]Pivot!$AD$1:$BE$65000,$B497,C$5)=1,1,IF(AND(C496&gt;=1,C496&lt;=9,ROW()&lt;=cur_line),C496+1,0)),0)</f>
        <v>0</v>
      </c>
      <c r="D497" s="194">
        <f>IFERROR(IF(INDEX([1]Pivot!$AD$1:$BE$65000,$B497,D$5)=1,1,IF(AND(D496&gt;=1,D496&lt;=9,ROW()&lt;=cur_line),D496+1,0)),0)</f>
        <v>0</v>
      </c>
      <c r="E497" s="194">
        <f>IFERROR(IF(INDEX([1]Pivot!$AD$1:$BE$65000,$B497,E$5)=1,1,IF(AND(E496&gt;=1,E496&lt;=9,ROW()&lt;=cur_line),E496+1,0)),0)</f>
        <v>0</v>
      </c>
      <c r="F497" s="194">
        <f>IFERROR(IF(INDEX([1]Pivot!$AD$1:$BE$65000,$B497,F$5)=1,1,IF(AND(F496&gt;=1,F496&lt;=9,ROW()&lt;=cur_line),F496+1,0)),0)</f>
        <v>0</v>
      </c>
      <c r="G497" s="194">
        <f>IFERROR(IF(INDEX([1]Pivot!$AD$1:$BE$65000,$B497,G$5)=1,1,IF(AND(G496&gt;=1,G496&lt;=9,ROW()&lt;=cur_line),G496+1,0)),0)</f>
        <v>0</v>
      </c>
      <c r="H497" s="194">
        <f>IFERROR(IF(INDEX([1]Pivot!$AD$1:$BE$65000,$B497,H$5)=1,1,IF(AND(H496&gt;=1,H496&lt;=9,ROW()&lt;=cur_line),H496+1,0)),0)</f>
        <v>0</v>
      </c>
      <c r="I497" s="194">
        <f>IFERROR(IF(INDEX([1]Pivot!$AD$1:$BE$65000,$B497,I$5)=1,1,IF(AND(I496&gt;=1,I496&lt;=9,ROW()&lt;=cur_line),I496+1,0)),0)</f>
        <v>0</v>
      </c>
      <c r="J497" s="194">
        <f>IFERROR(IF(INDEX([1]Pivot!$AD$1:$BE$65000,$B497,J$5)=1,1,IF(AND(J496&gt;=1,J496&lt;=9,ROW()&lt;=cur_line),J496+1,0)),0)</f>
        <v>0</v>
      </c>
      <c r="K497" s="194">
        <f>IFERROR(IF(INDEX([1]Pivot!$AD$1:$BE$65000,$B497,K$5)=1,1,IF(AND(K496&gt;=1,K496&lt;=9,ROW()&lt;=cur_line),K496+1,0)),0)</f>
        <v>0</v>
      </c>
      <c r="L497" s="194">
        <f>IFERROR(IF(INDEX([1]Pivot!$AD$1:$BE$65000,$B497,L$5)=1,1,IF(AND(L496&gt;=1,L496&lt;=9,ROW()&lt;=cur_line),L496+1,0)),0)</f>
        <v>0</v>
      </c>
      <c r="M497" s="194">
        <f>IFERROR(IF(INDEX([1]Pivot!$AD$1:$BE$65000,$B497,M$5)=1,1,IF(AND(M496&gt;=1,M496&lt;=9,ROW()&lt;=cur_line),M496+1,0)),0)</f>
        <v>0</v>
      </c>
      <c r="N497" s="194">
        <f>IFERROR(IF(INDEX([1]Pivot!$AD$1:$BE$65000,$B497,N$5)=1,1,IF(AND(N496&gt;=1,N496&lt;=9,ROW()&lt;=cur_line),N496+1,0)),0)</f>
        <v>0</v>
      </c>
      <c r="O497" s="194">
        <f>IFERROR(IF(INDEX([1]Pivot!$AD$1:$BE$65000,$B497,O$5)=1,1,IF(AND(O496&gt;=1,O496&lt;=9,ROW()&lt;=cur_line),O496+1,0)),0)</f>
        <v>0</v>
      </c>
      <c r="P497" s="194">
        <f>IFERROR(IF(INDEX([1]Pivot!$AD$1:$BE$65000,$B497,P$5)=1,1,IF(AND(P496&gt;=1,P496&lt;=9,ROW()&lt;=cur_line),P496+1,0)),0)</f>
        <v>0</v>
      </c>
      <c r="Q497" s="194">
        <f>IFERROR(IF(INDEX([1]Pivot!$AD$1:$BE$65000,$B497,Q$5)=1,1,IF(AND(Q496&gt;=1,Q496&lt;=9,ROW()&lt;=cur_line),Q496+1,0)),0)</f>
        <v>0</v>
      </c>
      <c r="R497" s="312"/>
      <c r="S497" s="194">
        <f>IFERROR(IF(INDEX([1]Pivot!$AD$1:$BE$65000,$B497,S$5)=1,1,IF(AND(S496&gt;=1,S496&lt;=9,ROW()&lt;=cur_line),S496+1,0)),0)</f>
        <v>0</v>
      </c>
      <c r="T497" s="194">
        <f>IFERROR(IF(INDEX([1]Pivot!$AD$1:$BE$65000,$B497,T$5)=1,1,IF(AND(T496&gt;=1,T496&lt;=9,ROW()&lt;=cur_line),T496+1,0)),0)</f>
        <v>0</v>
      </c>
      <c r="U497" s="194">
        <f>IFERROR(IF(INDEX([1]Pivot!$AD$1:$BE$65000,$B497,U$5)=1,1,IF(AND(U496&gt;=1,U496&lt;=9,ROW()&lt;=cur_line),U496+1,0)),0)</f>
        <v>0</v>
      </c>
      <c r="V497" s="194">
        <f>IFERROR(IF(INDEX([1]Pivot!$AD$1:$BE$65000,$B497,V$5)=1,1,IF(AND(V496&gt;=1,V496&lt;=9,ROW()&lt;=cur_line),V496+1,0)),0)</f>
        <v>0</v>
      </c>
      <c r="W497" s="194">
        <f>IFERROR(IF(INDEX([1]Pivot!$AD$1:$BE$65000,$B497,W$5)=1,1,IF(AND(W496&gt;=1,W496&lt;=9,ROW()&lt;=cur_line),W496+1,0)),0)</f>
        <v>0</v>
      </c>
      <c r="X497" s="194">
        <f>IFERROR(IF(INDEX([1]Pivot!$AD$1:$BE$65000,$B497,X$5)=1,1,IF(AND(X496&gt;=1,X496&lt;=9,ROW()&lt;=cur_line),X496+1,0)),0)</f>
        <v>0</v>
      </c>
      <c r="Y497" s="194">
        <f>IFERROR(IF(INDEX([1]Pivot!$AD$1:$BE$65000,$B497,Y$5)=1,1,IF(AND(Y496&gt;=1,Y496&lt;=9,ROW()&lt;=cur_line),Y496+1,0)),0)</f>
        <v>0</v>
      </c>
      <c r="Z497" s="194">
        <f>IFERROR(IF(INDEX([1]Pivot!$AD$1:$BE$65000,$B497,Z$5)=1,1,IF(AND(Z496&gt;=1,Z496&lt;=9,ROW()&lt;=cur_line),Z496+1,0)),0)</f>
        <v>0</v>
      </c>
      <c r="AA497" s="194">
        <f>IFERROR(IF(INDEX([1]Pivot!$AD$1:$BE$65000,$B497,AA$5)=1,1,IF(AND(AA496&gt;=1,AA496&lt;=9,ROW()&lt;=cur_line),AA496+1,0)),0)</f>
        <v>0</v>
      </c>
      <c r="AB497" s="194">
        <f>IFERROR(IF(INDEX([1]Pivot!$AD$1:$BE$65000,$B497,AB$5)=1,1,IF(AND(AB496&gt;=1,AB496&lt;=9,ROW()&lt;=cur_line),AB496+1,0)),0)</f>
        <v>0</v>
      </c>
      <c r="AC497" s="194">
        <f>IFERROR(IF(INDEX([1]Pivot!$AD$1:$BE$65000,$B497,AC$5)=1,1,IF(AND(AC496&gt;=1,AC496&lt;=9,ROW()&lt;=cur_line),AC496+1,0)),0)</f>
        <v>0</v>
      </c>
      <c r="AD497" s="313">
        <f>IFERROR(IF(INDEX([1]Pivot!$BF$1:$CG$65000,$B497,AD$5)=1,1,IF(AND(AD496&gt;=1,AD496&lt;=9,ROW()&lt;=cur_line),AD496+1,0)),0)</f>
        <v>0</v>
      </c>
      <c r="AE497" s="313">
        <f>IFERROR(IF(INDEX([1]Pivot!$BF$1:$CG$65000,$B497,AE$5)=1,1,IF(AND(AE496&gt;=1,AE496&lt;=9,ROW()&lt;=cur_line),AE496+1,0)),0)</f>
        <v>0</v>
      </c>
      <c r="AF497" s="313">
        <f>IFERROR(IF(INDEX([1]Pivot!$BF$1:$CG$65000,$B497,AF$5)=1,1,IF(AND(AF496&gt;=1,AF496&lt;=9,ROW()&lt;=cur_line),AF496+1,0)),0)</f>
        <v>0</v>
      </c>
      <c r="AG497" s="313">
        <f>IFERROR(IF(INDEX([1]Pivot!$BF$1:$CG$65000,$B497,AG$5)=1,1,IF(AND(AG496&gt;=1,AG496&lt;=9,ROW()&lt;=cur_line),AG496+1,0)),0)</f>
        <v>0</v>
      </c>
      <c r="AH497" s="313">
        <f>IFERROR(IF(INDEX([1]Pivot!$BF$1:$CG$65000,$B497,AH$5)=1,1,IF(AND(AH496&gt;=1,AH496&lt;=9,ROW()&lt;=cur_line),AH496+1,0)),0)</f>
        <v>0</v>
      </c>
      <c r="AI497" s="313">
        <f>IFERROR(IF(INDEX([1]Pivot!$BF$1:$CG$65000,$B497,AI$5)=1,1,IF(AND(AI496&gt;=1,AI496&lt;=9,ROW()&lt;=cur_line),AI496+1,0)),0)</f>
        <v>0</v>
      </c>
      <c r="AJ497" s="313">
        <f>IFERROR(IF(INDEX([1]Pivot!$BF$1:$CG$65000,$B497,AJ$5)=1,1,IF(AND(AJ496&gt;=1,AJ496&lt;=9,ROW()&lt;=cur_line),AJ496+1,0)),0)</f>
        <v>0</v>
      </c>
      <c r="AK497" s="313">
        <f>IFERROR(IF(INDEX([1]Pivot!$BF$1:$CG$65000,$B497,AK$5)=1,1,IF(AND(AK496&gt;=1,AK496&lt;=9,ROW()&lt;=cur_line),AK496+1,0)),0)</f>
        <v>0</v>
      </c>
      <c r="AL497" s="313">
        <f>IFERROR(IF(INDEX([1]Pivot!$BF$1:$CG$65000,$B497,AL$5)=1,1,IF(AND(AL496&gt;=1,AL496&lt;=9,ROW()&lt;=cur_line),AL496+1,0)),0)</f>
        <v>0</v>
      </c>
      <c r="AM497" s="313">
        <f>IFERROR(IF(INDEX([1]Pivot!$BF$1:$CG$65000,$B497,AM$5)=1,1,IF(AND(AM496&gt;=1,AM496&lt;=9,ROW()&lt;=cur_line),AM496+1,0)),0)</f>
        <v>0</v>
      </c>
      <c r="AN497" s="313">
        <f>IFERROR(IF(INDEX([1]Pivot!$BF$1:$CG$65000,$B497,AN$5)=1,1,IF(AND(AN496&gt;=1,AN496&lt;=9,ROW()&lt;=cur_line),AN496+1,0)),0)</f>
        <v>0</v>
      </c>
      <c r="AO497" s="313">
        <f>IFERROR(IF(INDEX([1]Pivot!$BF$1:$CG$65000,$B497,AO$5)=1,1,IF(AND(AO496&gt;=1,AO496&lt;=9,ROW()&lt;=cur_line),AO496+1,0)),0)</f>
        <v>0</v>
      </c>
      <c r="AP497" s="313">
        <f>IFERROR(IF(INDEX([1]Pivot!$BF$1:$CG$65000,$B497,AP$5)=1,1,IF(AND(AP496&gt;=1,AP496&lt;=9,ROW()&lt;=cur_line),AP496+1,0)),0)</f>
        <v>0</v>
      </c>
      <c r="AQ497" s="313">
        <f>IFERROR(IF(INDEX([1]Pivot!$BF$1:$CG$65000,$B497,AQ$5)=1,1,IF(AND(AQ496&gt;=1,AQ496&lt;=9,ROW()&lt;=cur_line),AQ496+1,0)),0)</f>
        <v>0</v>
      </c>
      <c r="AR497" s="313">
        <f>IFERROR(IF(INDEX([1]Pivot!$BF$1:$CG$65000,$B497,AR$5)=1,1,IF(AND(AR496&gt;=1,AR496&lt;=9,ROW()&lt;=cur_line),AR496+1,0)),0)</f>
        <v>0</v>
      </c>
      <c r="AS497" s="312"/>
      <c r="AT497" s="313">
        <f>IFERROR(IF(INDEX([1]Pivot!$BF$1:$CG$65000,$B497,AT$5)=1,1,IF(AND(AT496&gt;=1,AT496&lt;=9,ROW()&lt;=cur_line),AT496+1,0)),0)</f>
        <v>0</v>
      </c>
      <c r="AU497" s="313">
        <f>IFERROR(IF(INDEX([1]Pivot!$BF$1:$CG$65000,$B497,AU$5)=1,1,IF(AND(AU496&gt;=1,AU496&lt;=9,ROW()&lt;=cur_line),AU496+1,0)),0)</f>
        <v>0</v>
      </c>
      <c r="AV497" s="313">
        <f>IFERROR(IF(INDEX([1]Pivot!$BF$1:$CG$65000,$B497,AV$5)=1,1,IF(AND(AV496&gt;=1,AV496&lt;=9,ROW()&lt;=cur_line),AV496+1,0)),0)</f>
        <v>0</v>
      </c>
      <c r="AW497" s="313">
        <f>IFERROR(IF(INDEX([1]Pivot!$BF$1:$CG$65000,$B497,AW$5)=1,1,IF(AND(AW496&gt;=1,AW496&lt;=9,ROW()&lt;=cur_line),AW496+1,0)),0)</f>
        <v>0</v>
      </c>
      <c r="AX497" s="313">
        <f>IFERROR(IF(INDEX([1]Pivot!$BF$1:$CG$65000,$B497,AX$5)=1,1,IF(AND(AX496&gt;=1,AX496&lt;=9,ROW()&lt;=cur_line),AX496+1,0)),0)</f>
        <v>0</v>
      </c>
      <c r="AY497" s="313">
        <f>IFERROR(IF(INDEX([1]Pivot!$BF$1:$CG$65000,$B497,AY$5)=1,1,IF(AND(AY496&gt;=1,AY496&lt;=9,ROW()&lt;=cur_line),AY496+1,0)),0)</f>
        <v>0</v>
      </c>
      <c r="AZ497" s="313">
        <f>IFERROR(IF(INDEX([1]Pivot!$BF$1:$CG$65000,$B497,AZ$5)=1,1,IF(AND(AZ496&gt;=1,AZ496&lt;=9,ROW()&lt;=cur_line),AZ496+1,0)),0)</f>
        <v>0</v>
      </c>
      <c r="BA497" s="313">
        <f>IFERROR(IF(INDEX([1]Pivot!$BF$1:$CG$65000,$B497,BA$5)=1,1,IF(AND(BA496&gt;=1,BA496&lt;=9,ROW()&lt;=cur_line),BA496+1,0)),0)</f>
        <v>0</v>
      </c>
      <c r="BB497" s="313">
        <f>IFERROR(IF(INDEX([1]Pivot!$BF$1:$CG$65000,$B497,BB$5)=1,1,IF(AND(BB496&gt;=1,BB496&lt;=9,ROW()&lt;=cur_line),BB496+1,0)),0)</f>
        <v>0</v>
      </c>
      <c r="BC497" s="313">
        <f>IFERROR(IF(INDEX([1]Pivot!$BF$1:$CG$65000,$B497,BC$5)=1,1,IF(AND(BC496&gt;=1,BC496&lt;=9,ROW()&lt;=cur_line),BC496+1,0)),0)</f>
        <v>0</v>
      </c>
      <c r="BD497" s="313">
        <f>IFERROR(IF(INDEX([1]Pivot!$BF$1:$CG$65000,$B497,BD$5)=1,1,IF(AND(BD496&gt;=1,BD496&lt;=9,ROW()&lt;=cur_line),BD496+1,0)),0)</f>
        <v>0</v>
      </c>
    </row>
    <row r="498" spans="1:56" hidden="1" outlineLevel="1" x14ac:dyDescent="0.25">
      <c r="A498" s="288" t="str">
        <f>'[2]Raw Milk Prices'!A498</f>
        <v>2017m11</v>
      </c>
      <c r="B498" s="296" t="e">
        <f>MATCH(DATE(LEFT('[2]Raw Milk Prices'!$A498,4),RIGHT('[2]Raw Milk Prices'!$A498,2),1),[1]Pivot!$A$1:$A$65000,0)</f>
        <v>#N/A</v>
      </c>
      <c r="C498" s="194">
        <f>IFERROR(IF(INDEX([1]Pivot!$AD$1:$BE$65000,$B498,C$5)=1,1,IF(AND(C497&gt;=1,C497&lt;=9,ROW()&lt;=cur_line),C497+1,0)),0)</f>
        <v>0</v>
      </c>
      <c r="D498" s="194">
        <f>IFERROR(IF(INDEX([1]Pivot!$AD$1:$BE$65000,$B498,D$5)=1,1,IF(AND(D497&gt;=1,D497&lt;=9,ROW()&lt;=cur_line),D497+1,0)),0)</f>
        <v>0</v>
      </c>
      <c r="E498" s="194">
        <f>IFERROR(IF(INDEX([1]Pivot!$AD$1:$BE$65000,$B498,E$5)=1,1,IF(AND(E497&gt;=1,E497&lt;=9,ROW()&lt;=cur_line),E497+1,0)),0)</f>
        <v>0</v>
      </c>
      <c r="F498" s="194">
        <f>IFERROR(IF(INDEX([1]Pivot!$AD$1:$BE$65000,$B498,F$5)=1,1,IF(AND(F497&gt;=1,F497&lt;=9,ROW()&lt;=cur_line),F497+1,0)),0)</f>
        <v>0</v>
      </c>
      <c r="G498" s="194">
        <f>IFERROR(IF(INDEX([1]Pivot!$AD$1:$BE$65000,$B498,G$5)=1,1,IF(AND(G497&gt;=1,G497&lt;=9,ROW()&lt;=cur_line),G497+1,0)),0)</f>
        <v>0</v>
      </c>
      <c r="H498" s="194">
        <f>IFERROR(IF(INDEX([1]Pivot!$AD$1:$BE$65000,$B498,H$5)=1,1,IF(AND(H497&gt;=1,H497&lt;=9,ROW()&lt;=cur_line),H497+1,0)),0)</f>
        <v>0</v>
      </c>
      <c r="I498" s="194">
        <f>IFERROR(IF(INDEX([1]Pivot!$AD$1:$BE$65000,$B498,I$5)=1,1,IF(AND(I497&gt;=1,I497&lt;=9,ROW()&lt;=cur_line),I497+1,0)),0)</f>
        <v>0</v>
      </c>
      <c r="J498" s="194">
        <f>IFERROR(IF(INDEX([1]Pivot!$AD$1:$BE$65000,$B498,J$5)=1,1,IF(AND(J497&gt;=1,J497&lt;=9,ROW()&lt;=cur_line),J497+1,0)),0)</f>
        <v>0</v>
      </c>
      <c r="K498" s="194">
        <f>IFERROR(IF(INDEX([1]Pivot!$AD$1:$BE$65000,$B498,K$5)=1,1,IF(AND(K497&gt;=1,K497&lt;=9,ROW()&lt;=cur_line),K497+1,0)),0)</f>
        <v>0</v>
      </c>
      <c r="L498" s="194">
        <f>IFERROR(IF(INDEX([1]Pivot!$AD$1:$BE$65000,$B498,L$5)=1,1,IF(AND(L497&gt;=1,L497&lt;=9,ROW()&lt;=cur_line),L497+1,0)),0)</f>
        <v>0</v>
      </c>
      <c r="M498" s="194">
        <f>IFERROR(IF(INDEX([1]Pivot!$AD$1:$BE$65000,$B498,M$5)=1,1,IF(AND(M497&gt;=1,M497&lt;=9,ROW()&lt;=cur_line),M497+1,0)),0)</f>
        <v>0</v>
      </c>
      <c r="N498" s="194">
        <f>IFERROR(IF(INDEX([1]Pivot!$AD$1:$BE$65000,$B498,N$5)=1,1,IF(AND(N497&gt;=1,N497&lt;=9,ROW()&lt;=cur_line),N497+1,0)),0)</f>
        <v>0</v>
      </c>
      <c r="O498" s="194">
        <f>IFERROR(IF(INDEX([1]Pivot!$AD$1:$BE$65000,$B498,O$5)=1,1,IF(AND(O497&gt;=1,O497&lt;=9,ROW()&lt;=cur_line),O497+1,0)),0)</f>
        <v>0</v>
      </c>
      <c r="P498" s="194">
        <f>IFERROR(IF(INDEX([1]Pivot!$AD$1:$BE$65000,$B498,P$5)=1,1,IF(AND(P497&gt;=1,P497&lt;=9,ROW()&lt;=cur_line),P497+1,0)),0)</f>
        <v>0</v>
      </c>
      <c r="Q498" s="194">
        <f>IFERROR(IF(INDEX([1]Pivot!$AD$1:$BE$65000,$B498,Q$5)=1,1,IF(AND(Q497&gt;=1,Q497&lt;=9,ROW()&lt;=cur_line),Q497+1,0)),0)</f>
        <v>0</v>
      </c>
      <c r="R498" s="312"/>
      <c r="S498" s="194">
        <f>IFERROR(IF(INDEX([1]Pivot!$AD$1:$BE$65000,$B498,S$5)=1,1,IF(AND(S497&gt;=1,S497&lt;=9,ROW()&lt;=cur_line),S497+1,0)),0)</f>
        <v>0</v>
      </c>
      <c r="T498" s="194">
        <f>IFERROR(IF(INDEX([1]Pivot!$AD$1:$BE$65000,$B498,T$5)=1,1,IF(AND(T497&gt;=1,T497&lt;=9,ROW()&lt;=cur_line),T497+1,0)),0)</f>
        <v>0</v>
      </c>
      <c r="U498" s="194">
        <f>IFERROR(IF(INDEX([1]Pivot!$AD$1:$BE$65000,$B498,U$5)=1,1,IF(AND(U497&gt;=1,U497&lt;=9,ROW()&lt;=cur_line),U497+1,0)),0)</f>
        <v>0</v>
      </c>
      <c r="V498" s="194">
        <f>IFERROR(IF(INDEX([1]Pivot!$AD$1:$BE$65000,$B498,V$5)=1,1,IF(AND(V497&gt;=1,V497&lt;=9,ROW()&lt;=cur_line),V497+1,0)),0)</f>
        <v>0</v>
      </c>
      <c r="W498" s="194">
        <f>IFERROR(IF(INDEX([1]Pivot!$AD$1:$BE$65000,$B498,W$5)=1,1,IF(AND(W497&gt;=1,W497&lt;=9,ROW()&lt;=cur_line),W497+1,0)),0)</f>
        <v>0</v>
      </c>
      <c r="X498" s="194">
        <f>IFERROR(IF(INDEX([1]Pivot!$AD$1:$BE$65000,$B498,X$5)=1,1,IF(AND(X497&gt;=1,X497&lt;=9,ROW()&lt;=cur_line),X497+1,0)),0)</f>
        <v>0</v>
      </c>
      <c r="Y498" s="194">
        <f>IFERROR(IF(INDEX([1]Pivot!$AD$1:$BE$65000,$B498,Y$5)=1,1,IF(AND(Y497&gt;=1,Y497&lt;=9,ROW()&lt;=cur_line),Y497+1,0)),0)</f>
        <v>0</v>
      </c>
      <c r="Z498" s="194">
        <f>IFERROR(IF(INDEX([1]Pivot!$AD$1:$BE$65000,$B498,Z$5)=1,1,IF(AND(Z497&gt;=1,Z497&lt;=9,ROW()&lt;=cur_line),Z497+1,0)),0)</f>
        <v>0</v>
      </c>
      <c r="AA498" s="194">
        <f>IFERROR(IF(INDEX([1]Pivot!$AD$1:$BE$65000,$B498,AA$5)=1,1,IF(AND(AA497&gt;=1,AA497&lt;=9,ROW()&lt;=cur_line),AA497+1,0)),0)</f>
        <v>0</v>
      </c>
      <c r="AB498" s="194">
        <f>IFERROR(IF(INDEX([1]Pivot!$AD$1:$BE$65000,$B498,AB$5)=1,1,IF(AND(AB497&gt;=1,AB497&lt;=9,ROW()&lt;=cur_line),AB497+1,0)),0)</f>
        <v>0</v>
      </c>
      <c r="AC498" s="194">
        <f>IFERROR(IF(INDEX([1]Pivot!$AD$1:$BE$65000,$B498,AC$5)=1,1,IF(AND(AC497&gt;=1,AC497&lt;=9,ROW()&lt;=cur_line),AC497+1,0)),0)</f>
        <v>0</v>
      </c>
      <c r="AD498" s="313">
        <f>IFERROR(IF(INDEX([1]Pivot!$BF$1:$CG$65000,$B498,AD$5)=1,1,IF(AND(AD497&gt;=1,AD497&lt;=9,ROW()&lt;=cur_line),AD497+1,0)),0)</f>
        <v>0</v>
      </c>
      <c r="AE498" s="313">
        <f>IFERROR(IF(INDEX([1]Pivot!$BF$1:$CG$65000,$B498,AE$5)=1,1,IF(AND(AE497&gt;=1,AE497&lt;=9,ROW()&lt;=cur_line),AE497+1,0)),0)</f>
        <v>0</v>
      </c>
      <c r="AF498" s="313">
        <f>IFERROR(IF(INDEX([1]Pivot!$BF$1:$CG$65000,$B498,AF$5)=1,1,IF(AND(AF497&gt;=1,AF497&lt;=9,ROW()&lt;=cur_line),AF497+1,0)),0)</f>
        <v>0</v>
      </c>
      <c r="AG498" s="313">
        <f>IFERROR(IF(INDEX([1]Pivot!$BF$1:$CG$65000,$B498,AG$5)=1,1,IF(AND(AG497&gt;=1,AG497&lt;=9,ROW()&lt;=cur_line),AG497+1,0)),0)</f>
        <v>0</v>
      </c>
      <c r="AH498" s="313">
        <f>IFERROR(IF(INDEX([1]Pivot!$BF$1:$CG$65000,$B498,AH$5)=1,1,IF(AND(AH497&gt;=1,AH497&lt;=9,ROW()&lt;=cur_line),AH497+1,0)),0)</f>
        <v>0</v>
      </c>
      <c r="AI498" s="313">
        <f>IFERROR(IF(INDEX([1]Pivot!$BF$1:$CG$65000,$B498,AI$5)=1,1,IF(AND(AI497&gt;=1,AI497&lt;=9,ROW()&lt;=cur_line),AI497+1,0)),0)</f>
        <v>0</v>
      </c>
      <c r="AJ498" s="313">
        <f>IFERROR(IF(INDEX([1]Pivot!$BF$1:$CG$65000,$B498,AJ$5)=1,1,IF(AND(AJ497&gt;=1,AJ497&lt;=9,ROW()&lt;=cur_line),AJ497+1,0)),0)</f>
        <v>0</v>
      </c>
      <c r="AK498" s="313">
        <f>IFERROR(IF(INDEX([1]Pivot!$BF$1:$CG$65000,$B498,AK$5)=1,1,IF(AND(AK497&gt;=1,AK497&lt;=9,ROW()&lt;=cur_line),AK497+1,0)),0)</f>
        <v>0</v>
      </c>
      <c r="AL498" s="313">
        <f>IFERROR(IF(INDEX([1]Pivot!$BF$1:$CG$65000,$B498,AL$5)=1,1,IF(AND(AL497&gt;=1,AL497&lt;=9,ROW()&lt;=cur_line),AL497+1,0)),0)</f>
        <v>0</v>
      </c>
      <c r="AM498" s="313">
        <f>IFERROR(IF(INDEX([1]Pivot!$BF$1:$CG$65000,$B498,AM$5)=1,1,IF(AND(AM497&gt;=1,AM497&lt;=9,ROW()&lt;=cur_line),AM497+1,0)),0)</f>
        <v>0</v>
      </c>
      <c r="AN498" s="313">
        <f>IFERROR(IF(INDEX([1]Pivot!$BF$1:$CG$65000,$B498,AN$5)=1,1,IF(AND(AN497&gt;=1,AN497&lt;=9,ROW()&lt;=cur_line),AN497+1,0)),0)</f>
        <v>0</v>
      </c>
      <c r="AO498" s="313">
        <f>IFERROR(IF(INDEX([1]Pivot!$BF$1:$CG$65000,$B498,AO$5)=1,1,IF(AND(AO497&gt;=1,AO497&lt;=9,ROW()&lt;=cur_line),AO497+1,0)),0)</f>
        <v>0</v>
      </c>
      <c r="AP498" s="313">
        <f>IFERROR(IF(INDEX([1]Pivot!$BF$1:$CG$65000,$B498,AP$5)=1,1,IF(AND(AP497&gt;=1,AP497&lt;=9,ROW()&lt;=cur_line),AP497+1,0)),0)</f>
        <v>0</v>
      </c>
      <c r="AQ498" s="313">
        <f>IFERROR(IF(INDEX([1]Pivot!$BF$1:$CG$65000,$B498,AQ$5)=1,1,IF(AND(AQ497&gt;=1,AQ497&lt;=9,ROW()&lt;=cur_line),AQ497+1,0)),0)</f>
        <v>0</v>
      </c>
      <c r="AR498" s="313">
        <f>IFERROR(IF(INDEX([1]Pivot!$BF$1:$CG$65000,$B498,AR$5)=1,1,IF(AND(AR497&gt;=1,AR497&lt;=9,ROW()&lt;=cur_line),AR497+1,0)),0)</f>
        <v>0</v>
      </c>
      <c r="AS498" s="312"/>
      <c r="AT498" s="313">
        <f>IFERROR(IF(INDEX([1]Pivot!$BF$1:$CG$65000,$B498,AT$5)=1,1,IF(AND(AT497&gt;=1,AT497&lt;=9,ROW()&lt;=cur_line),AT497+1,0)),0)</f>
        <v>0</v>
      </c>
      <c r="AU498" s="313">
        <f>IFERROR(IF(INDEX([1]Pivot!$BF$1:$CG$65000,$B498,AU$5)=1,1,IF(AND(AU497&gt;=1,AU497&lt;=9,ROW()&lt;=cur_line),AU497+1,0)),0)</f>
        <v>0</v>
      </c>
      <c r="AV498" s="313">
        <f>IFERROR(IF(INDEX([1]Pivot!$BF$1:$CG$65000,$B498,AV$5)=1,1,IF(AND(AV497&gt;=1,AV497&lt;=9,ROW()&lt;=cur_line),AV497+1,0)),0)</f>
        <v>0</v>
      </c>
      <c r="AW498" s="313">
        <f>IFERROR(IF(INDEX([1]Pivot!$BF$1:$CG$65000,$B498,AW$5)=1,1,IF(AND(AW497&gt;=1,AW497&lt;=9,ROW()&lt;=cur_line),AW497+1,0)),0)</f>
        <v>0</v>
      </c>
      <c r="AX498" s="313">
        <f>IFERROR(IF(INDEX([1]Pivot!$BF$1:$CG$65000,$B498,AX$5)=1,1,IF(AND(AX497&gt;=1,AX497&lt;=9,ROW()&lt;=cur_line),AX497+1,0)),0)</f>
        <v>0</v>
      </c>
      <c r="AY498" s="313">
        <f>IFERROR(IF(INDEX([1]Pivot!$BF$1:$CG$65000,$B498,AY$5)=1,1,IF(AND(AY497&gt;=1,AY497&lt;=9,ROW()&lt;=cur_line),AY497+1,0)),0)</f>
        <v>0</v>
      </c>
      <c r="AZ498" s="313">
        <f>IFERROR(IF(INDEX([1]Pivot!$BF$1:$CG$65000,$B498,AZ$5)=1,1,IF(AND(AZ497&gt;=1,AZ497&lt;=9,ROW()&lt;=cur_line),AZ497+1,0)),0)</f>
        <v>0</v>
      </c>
      <c r="BA498" s="313">
        <f>IFERROR(IF(INDEX([1]Pivot!$BF$1:$CG$65000,$B498,BA$5)=1,1,IF(AND(BA497&gt;=1,BA497&lt;=9,ROW()&lt;=cur_line),BA497+1,0)),0)</f>
        <v>0</v>
      </c>
      <c r="BB498" s="313">
        <f>IFERROR(IF(INDEX([1]Pivot!$BF$1:$CG$65000,$B498,BB$5)=1,1,IF(AND(BB497&gt;=1,BB497&lt;=9,ROW()&lt;=cur_line),BB497+1,0)),0)</f>
        <v>0</v>
      </c>
      <c r="BC498" s="313">
        <f>IFERROR(IF(INDEX([1]Pivot!$BF$1:$CG$65000,$B498,BC$5)=1,1,IF(AND(BC497&gt;=1,BC497&lt;=9,ROW()&lt;=cur_line),BC497+1,0)),0)</f>
        <v>0</v>
      </c>
      <c r="BD498" s="313">
        <f>IFERROR(IF(INDEX([1]Pivot!$BF$1:$CG$65000,$B498,BD$5)=1,1,IF(AND(BD497&gt;=1,BD497&lt;=9,ROW()&lt;=cur_line),BD497+1,0)),0)</f>
        <v>0</v>
      </c>
    </row>
    <row r="499" spans="1:56" hidden="1" outlineLevel="1" x14ac:dyDescent="0.25">
      <c r="A499" s="288" t="str">
        <f>'[2]Raw Milk Prices'!A499</f>
        <v>2017m12</v>
      </c>
      <c r="B499" s="296" t="e">
        <f>MATCH(DATE(LEFT('[2]Raw Milk Prices'!$A499,4),RIGHT('[2]Raw Milk Prices'!$A499,2),1),[1]Pivot!$A$1:$A$65000,0)</f>
        <v>#N/A</v>
      </c>
      <c r="C499" s="194">
        <f>IFERROR(IF(INDEX([1]Pivot!$AD$1:$BE$65000,$B499,C$5)=1,1,IF(AND(C498&gt;=1,C498&lt;=9,ROW()&lt;=cur_line),C498+1,0)),0)</f>
        <v>0</v>
      </c>
      <c r="D499" s="194">
        <f>IFERROR(IF(INDEX([1]Pivot!$AD$1:$BE$65000,$B499,D$5)=1,1,IF(AND(D498&gt;=1,D498&lt;=9,ROW()&lt;=cur_line),D498+1,0)),0)</f>
        <v>0</v>
      </c>
      <c r="E499" s="194">
        <f>IFERROR(IF(INDEX([1]Pivot!$AD$1:$BE$65000,$B499,E$5)=1,1,IF(AND(E498&gt;=1,E498&lt;=9,ROW()&lt;=cur_line),E498+1,0)),0)</f>
        <v>0</v>
      </c>
      <c r="F499" s="194">
        <f>IFERROR(IF(INDEX([1]Pivot!$AD$1:$BE$65000,$B499,F$5)=1,1,IF(AND(F498&gt;=1,F498&lt;=9,ROW()&lt;=cur_line),F498+1,0)),0)</f>
        <v>0</v>
      </c>
      <c r="G499" s="194">
        <f>IFERROR(IF(INDEX([1]Pivot!$AD$1:$BE$65000,$B499,G$5)=1,1,IF(AND(G498&gt;=1,G498&lt;=9,ROW()&lt;=cur_line),G498+1,0)),0)</f>
        <v>0</v>
      </c>
      <c r="H499" s="194">
        <f>IFERROR(IF(INDEX([1]Pivot!$AD$1:$BE$65000,$B499,H$5)=1,1,IF(AND(H498&gt;=1,H498&lt;=9,ROW()&lt;=cur_line),H498+1,0)),0)</f>
        <v>0</v>
      </c>
      <c r="I499" s="194">
        <f>IFERROR(IF(INDEX([1]Pivot!$AD$1:$BE$65000,$B499,I$5)=1,1,IF(AND(I498&gt;=1,I498&lt;=9,ROW()&lt;=cur_line),I498+1,0)),0)</f>
        <v>0</v>
      </c>
      <c r="J499" s="194">
        <f>IFERROR(IF(INDEX([1]Pivot!$AD$1:$BE$65000,$B499,J$5)=1,1,IF(AND(J498&gt;=1,J498&lt;=9,ROW()&lt;=cur_line),J498+1,0)),0)</f>
        <v>0</v>
      </c>
      <c r="K499" s="194">
        <f>IFERROR(IF(INDEX([1]Pivot!$AD$1:$BE$65000,$B499,K$5)=1,1,IF(AND(K498&gt;=1,K498&lt;=9,ROW()&lt;=cur_line),K498+1,0)),0)</f>
        <v>0</v>
      </c>
      <c r="L499" s="194">
        <f>IFERROR(IF(INDEX([1]Pivot!$AD$1:$BE$65000,$B499,L$5)=1,1,IF(AND(L498&gt;=1,L498&lt;=9,ROW()&lt;=cur_line),L498+1,0)),0)</f>
        <v>0</v>
      </c>
      <c r="M499" s="194">
        <f>IFERROR(IF(INDEX([1]Pivot!$AD$1:$BE$65000,$B499,M$5)=1,1,IF(AND(M498&gt;=1,M498&lt;=9,ROW()&lt;=cur_line),M498+1,0)),0)</f>
        <v>0</v>
      </c>
      <c r="N499" s="194">
        <f>IFERROR(IF(INDEX([1]Pivot!$AD$1:$BE$65000,$B499,N$5)=1,1,IF(AND(N498&gt;=1,N498&lt;=9,ROW()&lt;=cur_line),N498+1,0)),0)</f>
        <v>0</v>
      </c>
      <c r="O499" s="194">
        <f>IFERROR(IF(INDEX([1]Pivot!$AD$1:$BE$65000,$B499,O$5)=1,1,IF(AND(O498&gt;=1,O498&lt;=9,ROW()&lt;=cur_line),O498+1,0)),0)</f>
        <v>0</v>
      </c>
      <c r="P499" s="194">
        <f>IFERROR(IF(INDEX([1]Pivot!$AD$1:$BE$65000,$B499,P$5)=1,1,IF(AND(P498&gt;=1,P498&lt;=9,ROW()&lt;=cur_line),P498+1,0)),0)</f>
        <v>0</v>
      </c>
      <c r="Q499" s="194">
        <f>IFERROR(IF(INDEX([1]Pivot!$AD$1:$BE$65000,$B499,Q$5)=1,1,IF(AND(Q498&gt;=1,Q498&lt;=9,ROW()&lt;=cur_line),Q498+1,0)),0)</f>
        <v>0</v>
      </c>
      <c r="R499" s="312"/>
      <c r="S499" s="194">
        <f>IFERROR(IF(INDEX([1]Pivot!$AD$1:$BE$65000,$B499,S$5)=1,1,IF(AND(S498&gt;=1,S498&lt;=9,ROW()&lt;=cur_line),S498+1,0)),0)</f>
        <v>0</v>
      </c>
      <c r="T499" s="194">
        <f>IFERROR(IF(INDEX([1]Pivot!$AD$1:$BE$65000,$B499,T$5)=1,1,IF(AND(T498&gt;=1,T498&lt;=9,ROW()&lt;=cur_line),T498+1,0)),0)</f>
        <v>0</v>
      </c>
      <c r="U499" s="194">
        <f>IFERROR(IF(INDEX([1]Pivot!$AD$1:$BE$65000,$B499,U$5)=1,1,IF(AND(U498&gt;=1,U498&lt;=9,ROW()&lt;=cur_line),U498+1,0)),0)</f>
        <v>0</v>
      </c>
      <c r="V499" s="194">
        <f>IFERROR(IF(INDEX([1]Pivot!$AD$1:$BE$65000,$B499,V$5)=1,1,IF(AND(V498&gt;=1,V498&lt;=9,ROW()&lt;=cur_line),V498+1,0)),0)</f>
        <v>0</v>
      </c>
      <c r="W499" s="194">
        <f>IFERROR(IF(INDEX([1]Pivot!$AD$1:$BE$65000,$B499,W$5)=1,1,IF(AND(W498&gt;=1,W498&lt;=9,ROW()&lt;=cur_line),W498+1,0)),0)</f>
        <v>0</v>
      </c>
      <c r="X499" s="194">
        <f>IFERROR(IF(INDEX([1]Pivot!$AD$1:$BE$65000,$B499,X$5)=1,1,IF(AND(X498&gt;=1,X498&lt;=9,ROW()&lt;=cur_line),X498+1,0)),0)</f>
        <v>0</v>
      </c>
      <c r="Y499" s="194">
        <f>IFERROR(IF(INDEX([1]Pivot!$AD$1:$BE$65000,$B499,Y$5)=1,1,IF(AND(Y498&gt;=1,Y498&lt;=9,ROW()&lt;=cur_line),Y498+1,0)),0)</f>
        <v>0</v>
      </c>
      <c r="Z499" s="194">
        <f>IFERROR(IF(INDEX([1]Pivot!$AD$1:$BE$65000,$B499,Z$5)=1,1,IF(AND(Z498&gt;=1,Z498&lt;=9,ROW()&lt;=cur_line),Z498+1,0)),0)</f>
        <v>0</v>
      </c>
      <c r="AA499" s="194">
        <f>IFERROR(IF(INDEX([1]Pivot!$AD$1:$BE$65000,$B499,AA$5)=1,1,IF(AND(AA498&gt;=1,AA498&lt;=9,ROW()&lt;=cur_line),AA498+1,0)),0)</f>
        <v>0</v>
      </c>
      <c r="AB499" s="194">
        <f>IFERROR(IF(INDEX([1]Pivot!$AD$1:$BE$65000,$B499,AB$5)=1,1,IF(AND(AB498&gt;=1,AB498&lt;=9,ROW()&lt;=cur_line),AB498+1,0)),0)</f>
        <v>0</v>
      </c>
      <c r="AC499" s="194">
        <f>IFERROR(IF(INDEX([1]Pivot!$AD$1:$BE$65000,$B499,AC$5)=1,1,IF(AND(AC498&gt;=1,AC498&lt;=9,ROW()&lt;=cur_line),AC498+1,0)),0)</f>
        <v>0</v>
      </c>
      <c r="AD499" s="313">
        <f>IFERROR(IF(INDEX([1]Pivot!$BF$1:$CG$65000,$B499,AD$5)=1,1,IF(AND(AD498&gt;=1,AD498&lt;=9,ROW()&lt;=cur_line),AD498+1,0)),0)</f>
        <v>0</v>
      </c>
      <c r="AE499" s="313">
        <f>IFERROR(IF(INDEX([1]Pivot!$BF$1:$CG$65000,$B499,AE$5)=1,1,IF(AND(AE498&gt;=1,AE498&lt;=9,ROW()&lt;=cur_line),AE498+1,0)),0)</f>
        <v>0</v>
      </c>
      <c r="AF499" s="313">
        <f>IFERROR(IF(INDEX([1]Pivot!$BF$1:$CG$65000,$B499,AF$5)=1,1,IF(AND(AF498&gt;=1,AF498&lt;=9,ROW()&lt;=cur_line),AF498+1,0)),0)</f>
        <v>0</v>
      </c>
      <c r="AG499" s="313">
        <f>IFERROR(IF(INDEX([1]Pivot!$BF$1:$CG$65000,$B499,AG$5)=1,1,IF(AND(AG498&gt;=1,AG498&lt;=9,ROW()&lt;=cur_line),AG498+1,0)),0)</f>
        <v>0</v>
      </c>
      <c r="AH499" s="313">
        <f>IFERROR(IF(INDEX([1]Pivot!$BF$1:$CG$65000,$B499,AH$5)=1,1,IF(AND(AH498&gt;=1,AH498&lt;=9,ROW()&lt;=cur_line),AH498+1,0)),0)</f>
        <v>0</v>
      </c>
      <c r="AI499" s="313">
        <f>IFERROR(IF(INDEX([1]Pivot!$BF$1:$CG$65000,$B499,AI$5)=1,1,IF(AND(AI498&gt;=1,AI498&lt;=9,ROW()&lt;=cur_line),AI498+1,0)),0)</f>
        <v>0</v>
      </c>
      <c r="AJ499" s="313">
        <f>IFERROR(IF(INDEX([1]Pivot!$BF$1:$CG$65000,$B499,AJ$5)=1,1,IF(AND(AJ498&gt;=1,AJ498&lt;=9,ROW()&lt;=cur_line),AJ498+1,0)),0)</f>
        <v>0</v>
      </c>
      <c r="AK499" s="313">
        <f>IFERROR(IF(INDEX([1]Pivot!$BF$1:$CG$65000,$B499,AK$5)=1,1,IF(AND(AK498&gt;=1,AK498&lt;=9,ROW()&lt;=cur_line),AK498+1,0)),0)</f>
        <v>0</v>
      </c>
      <c r="AL499" s="313">
        <f>IFERROR(IF(INDEX([1]Pivot!$BF$1:$CG$65000,$B499,AL$5)=1,1,IF(AND(AL498&gt;=1,AL498&lt;=9,ROW()&lt;=cur_line),AL498+1,0)),0)</f>
        <v>0</v>
      </c>
      <c r="AM499" s="313">
        <f>IFERROR(IF(INDEX([1]Pivot!$BF$1:$CG$65000,$B499,AM$5)=1,1,IF(AND(AM498&gt;=1,AM498&lt;=9,ROW()&lt;=cur_line),AM498+1,0)),0)</f>
        <v>0</v>
      </c>
      <c r="AN499" s="313">
        <f>IFERROR(IF(INDEX([1]Pivot!$BF$1:$CG$65000,$B499,AN$5)=1,1,IF(AND(AN498&gt;=1,AN498&lt;=9,ROW()&lt;=cur_line),AN498+1,0)),0)</f>
        <v>0</v>
      </c>
      <c r="AO499" s="313">
        <f>IFERROR(IF(INDEX([1]Pivot!$BF$1:$CG$65000,$B499,AO$5)=1,1,IF(AND(AO498&gt;=1,AO498&lt;=9,ROW()&lt;=cur_line),AO498+1,0)),0)</f>
        <v>0</v>
      </c>
      <c r="AP499" s="313">
        <f>IFERROR(IF(INDEX([1]Pivot!$BF$1:$CG$65000,$B499,AP$5)=1,1,IF(AND(AP498&gt;=1,AP498&lt;=9,ROW()&lt;=cur_line),AP498+1,0)),0)</f>
        <v>0</v>
      </c>
      <c r="AQ499" s="313">
        <f>IFERROR(IF(INDEX([1]Pivot!$BF$1:$CG$65000,$B499,AQ$5)=1,1,IF(AND(AQ498&gt;=1,AQ498&lt;=9,ROW()&lt;=cur_line),AQ498+1,0)),0)</f>
        <v>0</v>
      </c>
      <c r="AR499" s="313">
        <f>IFERROR(IF(INDEX([1]Pivot!$BF$1:$CG$65000,$B499,AR$5)=1,1,IF(AND(AR498&gt;=1,AR498&lt;=9,ROW()&lt;=cur_line),AR498+1,0)),0)</f>
        <v>0</v>
      </c>
      <c r="AS499" s="312"/>
      <c r="AT499" s="313">
        <f>IFERROR(IF(INDEX([1]Pivot!$BF$1:$CG$65000,$B499,AT$5)=1,1,IF(AND(AT498&gt;=1,AT498&lt;=9,ROW()&lt;=cur_line),AT498+1,0)),0)</f>
        <v>0</v>
      </c>
      <c r="AU499" s="313">
        <f>IFERROR(IF(INDEX([1]Pivot!$BF$1:$CG$65000,$B499,AU$5)=1,1,IF(AND(AU498&gt;=1,AU498&lt;=9,ROW()&lt;=cur_line),AU498+1,0)),0)</f>
        <v>0</v>
      </c>
      <c r="AV499" s="313">
        <f>IFERROR(IF(INDEX([1]Pivot!$BF$1:$CG$65000,$B499,AV$5)=1,1,IF(AND(AV498&gt;=1,AV498&lt;=9,ROW()&lt;=cur_line),AV498+1,0)),0)</f>
        <v>0</v>
      </c>
      <c r="AW499" s="313">
        <f>IFERROR(IF(INDEX([1]Pivot!$BF$1:$CG$65000,$B499,AW$5)=1,1,IF(AND(AW498&gt;=1,AW498&lt;=9,ROW()&lt;=cur_line),AW498+1,0)),0)</f>
        <v>0</v>
      </c>
      <c r="AX499" s="313">
        <f>IFERROR(IF(INDEX([1]Pivot!$BF$1:$CG$65000,$B499,AX$5)=1,1,IF(AND(AX498&gt;=1,AX498&lt;=9,ROW()&lt;=cur_line),AX498+1,0)),0)</f>
        <v>0</v>
      </c>
      <c r="AY499" s="313">
        <f>IFERROR(IF(INDEX([1]Pivot!$BF$1:$CG$65000,$B499,AY$5)=1,1,IF(AND(AY498&gt;=1,AY498&lt;=9,ROW()&lt;=cur_line),AY498+1,0)),0)</f>
        <v>0</v>
      </c>
      <c r="AZ499" s="313">
        <f>IFERROR(IF(INDEX([1]Pivot!$BF$1:$CG$65000,$B499,AZ$5)=1,1,IF(AND(AZ498&gt;=1,AZ498&lt;=9,ROW()&lt;=cur_line),AZ498+1,0)),0)</f>
        <v>0</v>
      </c>
      <c r="BA499" s="313">
        <f>IFERROR(IF(INDEX([1]Pivot!$BF$1:$CG$65000,$B499,BA$5)=1,1,IF(AND(BA498&gt;=1,BA498&lt;=9,ROW()&lt;=cur_line),BA498+1,0)),0)</f>
        <v>0</v>
      </c>
      <c r="BB499" s="313">
        <f>IFERROR(IF(INDEX([1]Pivot!$BF$1:$CG$65000,$B499,BB$5)=1,1,IF(AND(BB498&gt;=1,BB498&lt;=9,ROW()&lt;=cur_line),BB498+1,0)),0)</f>
        <v>0</v>
      </c>
      <c r="BC499" s="313">
        <f>IFERROR(IF(INDEX([1]Pivot!$BF$1:$CG$65000,$B499,BC$5)=1,1,IF(AND(BC498&gt;=1,BC498&lt;=9,ROW()&lt;=cur_line),BC498+1,0)),0)</f>
        <v>0</v>
      </c>
      <c r="BD499" s="313">
        <f>IFERROR(IF(INDEX([1]Pivot!$BF$1:$CG$65000,$B499,BD$5)=1,1,IF(AND(BD498&gt;=1,BD498&lt;=9,ROW()&lt;=cur_line),BD498+1,0)),0)</f>
        <v>0</v>
      </c>
    </row>
    <row r="500" spans="1:56" hidden="1" outlineLevel="1" x14ac:dyDescent="0.25">
      <c r="A500" s="288" t="str">
        <f>'[2]Raw Milk Prices'!A500</f>
        <v>2018m01</v>
      </c>
      <c r="B500" s="296" t="e">
        <f>MATCH(DATE(LEFT('[2]Raw Milk Prices'!$A500,4),RIGHT('[2]Raw Milk Prices'!$A500,2),1),[1]Pivot!$A$1:$A$65000,0)</f>
        <v>#N/A</v>
      </c>
      <c r="C500" s="194">
        <f>IFERROR(IF(INDEX([1]Pivot!$AD$1:$BE$65000,$B500,C$5)=1,1,IF(AND(C499&gt;=1,C499&lt;=9,ROW()&lt;=cur_line),C499+1,0)),0)</f>
        <v>0</v>
      </c>
      <c r="D500" s="194">
        <f>IFERROR(IF(INDEX([1]Pivot!$AD$1:$BE$65000,$B500,D$5)=1,1,IF(AND(D499&gt;=1,D499&lt;=9,ROW()&lt;=cur_line),D499+1,0)),0)</f>
        <v>0</v>
      </c>
      <c r="E500" s="194">
        <f>IFERROR(IF(INDEX([1]Pivot!$AD$1:$BE$65000,$B500,E$5)=1,1,IF(AND(E499&gt;=1,E499&lt;=9,ROW()&lt;=cur_line),E499+1,0)),0)</f>
        <v>0</v>
      </c>
      <c r="F500" s="194">
        <f>IFERROR(IF(INDEX([1]Pivot!$AD$1:$BE$65000,$B500,F$5)=1,1,IF(AND(F499&gt;=1,F499&lt;=9,ROW()&lt;=cur_line),F499+1,0)),0)</f>
        <v>0</v>
      </c>
      <c r="G500" s="194">
        <f>IFERROR(IF(INDEX([1]Pivot!$AD$1:$BE$65000,$B500,G$5)=1,1,IF(AND(G499&gt;=1,G499&lt;=9,ROW()&lt;=cur_line),G499+1,0)),0)</f>
        <v>0</v>
      </c>
      <c r="H500" s="194">
        <f>IFERROR(IF(INDEX([1]Pivot!$AD$1:$BE$65000,$B500,H$5)=1,1,IF(AND(H499&gt;=1,H499&lt;=9,ROW()&lt;=cur_line),H499+1,0)),0)</f>
        <v>0</v>
      </c>
      <c r="I500" s="194">
        <f>IFERROR(IF(INDEX([1]Pivot!$AD$1:$BE$65000,$B500,I$5)=1,1,IF(AND(I499&gt;=1,I499&lt;=9,ROW()&lt;=cur_line),I499+1,0)),0)</f>
        <v>0</v>
      </c>
      <c r="J500" s="194">
        <f>IFERROR(IF(INDEX([1]Pivot!$AD$1:$BE$65000,$B500,J$5)=1,1,IF(AND(J499&gt;=1,J499&lt;=9,ROW()&lt;=cur_line),J499+1,0)),0)</f>
        <v>0</v>
      </c>
      <c r="K500" s="194">
        <f>IFERROR(IF(INDEX([1]Pivot!$AD$1:$BE$65000,$B500,K$5)=1,1,IF(AND(K499&gt;=1,K499&lt;=9,ROW()&lt;=cur_line),K499+1,0)),0)</f>
        <v>0</v>
      </c>
      <c r="L500" s="194">
        <f>IFERROR(IF(INDEX([1]Pivot!$AD$1:$BE$65000,$B500,L$5)=1,1,IF(AND(L499&gt;=1,L499&lt;=9,ROW()&lt;=cur_line),L499+1,0)),0)</f>
        <v>0</v>
      </c>
      <c r="M500" s="194">
        <f>IFERROR(IF(INDEX([1]Pivot!$AD$1:$BE$65000,$B500,M$5)=1,1,IF(AND(M499&gt;=1,M499&lt;=9,ROW()&lt;=cur_line),M499+1,0)),0)</f>
        <v>0</v>
      </c>
      <c r="N500" s="194">
        <f>IFERROR(IF(INDEX([1]Pivot!$AD$1:$BE$65000,$B500,N$5)=1,1,IF(AND(N499&gt;=1,N499&lt;=9,ROW()&lt;=cur_line),N499+1,0)),0)</f>
        <v>0</v>
      </c>
      <c r="O500" s="194">
        <f>IFERROR(IF(INDEX([1]Pivot!$AD$1:$BE$65000,$B500,O$5)=1,1,IF(AND(O499&gt;=1,O499&lt;=9,ROW()&lt;=cur_line),O499+1,0)),0)</f>
        <v>0</v>
      </c>
      <c r="P500" s="194">
        <f>IFERROR(IF(INDEX([1]Pivot!$AD$1:$BE$65000,$B500,P$5)=1,1,IF(AND(P499&gt;=1,P499&lt;=9,ROW()&lt;=cur_line),P499+1,0)),0)</f>
        <v>0</v>
      </c>
      <c r="Q500" s="194">
        <f>IFERROR(IF(INDEX([1]Pivot!$AD$1:$BE$65000,$B500,Q$5)=1,1,IF(AND(Q499&gt;=1,Q499&lt;=9,ROW()&lt;=cur_line),Q499+1,0)),0)</f>
        <v>0</v>
      </c>
      <c r="R500" s="312"/>
      <c r="S500" s="194">
        <f>IFERROR(IF(INDEX([1]Pivot!$AD$1:$BE$65000,$B500,S$5)=1,1,IF(AND(S499&gt;=1,S499&lt;=9,ROW()&lt;=cur_line),S499+1,0)),0)</f>
        <v>0</v>
      </c>
      <c r="T500" s="194">
        <f>IFERROR(IF(INDEX([1]Pivot!$AD$1:$BE$65000,$B500,T$5)=1,1,IF(AND(T499&gt;=1,T499&lt;=9,ROW()&lt;=cur_line),T499+1,0)),0)</f>
        <v>0</v>
      </c>
      <c r="U500" s="194">
        <f>IFERROR(IF(INDEX([1]Pivot!$AD$1:$BE$65000,$B500,U$5)=1,1,IF(AND(U499&gt;=1,U499&lt;=9,ROW()&lt;=cur_line),U499+1,0)),0)</f>
        <v>0</v>
      </c>
      <c r="V500" s="194">
        <f>IFERROR(IF(INDEX([1]Pivot!$AD$1:$BE$65000,$B500,V$5)=1,1,IF(AND(V499&gt;=1,V499&lt;=9,ROW()&lt;=cur_line),V499+1,0)),0)</f>
        <v>0</v>
      </c>
      <c r="W500" s="194">
        <f>IFERROR(IF(INDEX([1]Pivot!$AD$1:$BE$65000,$B500,W$5)=1,1,IF(AND(W499&gt;=1,W499&lt;=9,ROW()&lt;=cur_line),W499+1,0)),0)</f>
        <v>0</v>
      </c>
      <c r="X500" s="194">
        <f>IFERROR(IF(INDEX([1]Pivot!$AD$1:$BE$65000,$B500,X$5)=1,1,IF(AND(X499&gt;=1,X499&lt;=9,ROW()&lt;=cur_line),X499+1,0)),0)</f>
        <v>0</v>
      </c>
      <c r="Y500" s="194">
        <f>IFERROR(IF(INDEX([1]Pivot!$AD$1:$BE$65000,$B500,Y$5)=1,1,IF(AND(Y499&gt;=1,Y499&lt;=9,ROW()&lt;=cur_line),Y499+1,0)),0)</f>
        <v>0</v>
      </c>
      <c r="Z500" s="194">
        <f>IFERROR(IF(INDEX([1]Pivot!$AD$1:$BE$65000,$B500,Z$5)=1,1,IF(AND(Z499&gt;=1,Z499&lt;=9,ROW()&lt;=cur_line),Z499+1,0)),0)</f>
        <v>0</v>
      </c>
      <c r="AA500" s="194">
        <f>IFERROR(IF(INDEX([1]Pivot!$AD$1:$BE$65000,$B500,AA$5)=1,1,IF(AND(AA499&gt;=1,AA499&lt;=9,ROW()&lt;=cur_line),AA499+1,0)),0)</f>
        <v>0</v>
      </c>
      <c r="AB500" s="194">
        <f>IFERROR(IF(INDEX([1]Pivot!$AD$1:$BE$65000,$B500,AB$5)=1,1,IF(AND(AB499&gt;=1,AB499&lt;=9,ROW()&lt;=cur_line),AB499+1,0)),0)</f>
        <v>0</v>
      </c>
      <c r="AC500" s="194">
        <f>IFERROR(IF(INDEX([1]Pivot!$AD$1:$BE$65000,$B500,AC$5)=1,1,IF(AND(AC499&gt;=1,AC499&lt;=9,ROW()&lt;=cur_line),AC499+1,0)),0)</f>
        <v>0</v>
      </c>
      <c r="AD500" s="313">
        <f>IFERROR(IF(INDEX([1]Pivot!$BF$1:$CG$65000,$B500,AD$5)=1,1,IF(AND(AD499&gt;=1,AD499&lt;=9,ROW()&lt;=cur_line),AD499+1,0)),0)</f>
        <v>0</v>
      </c>
      <c r="AE500" s="313">
        <f>IFERROR(IF(INDEX([1]Pivot!$BF$1:$CG$65000,$B500,AE$5)=1,1,IF(AND(AE499&gt;=1,AE499&lt;=9,ROW()&lt;=cur_line),AE499+1,0)),0)</f>
        <v>0</v>
      </c>
      <c r="AF500" s="313">
        <f>IFERROR(IF(INDEX([1]Pivot!$BF$1:$CG$65000,$B500,AF$5)=1,1,IF(AND(AF499&gt;=1,AF499&lt;=9,ROW()&lt;=cur_line),AF499+1,0)),0)</f>
        <v>0</v>
      </c>
      <c r="AG500" s="313">
        <f>IFERROR(IF(INDEX([1]Pivot!$BF$1:$CG$65000,$B500,AG$5)=1,1,IF(AND(AG499&gt;=1,AG499&lt;=9,ROW()&lt;=cur_line),AG499+1,0)),0)</f>
        <v>0</v>
      </c>
      <c r="AH500" s="313">
        <f>IFERROR(IF(INDEX([1]Pivot!$BF$1:$CG$65000,$B500,AH$5)=1,1,IF(AND(AH499&gt;=1,AH499&lt;=9,ROW()&lt;=cur_line),AH499+1,0)),0)</f>
        <v>0</v>
      </c>
      <c r="AI500" s="313">
        <f>IFERROR(IF(INDEX([1]Pivot!$BF$1:$CG$65000,$B500,AI$5)=1,1,IF(AND(AI499&gt;=1,AI499&lt;=9,ROW()&lt;=cur_line),AI499+1,0)),0)</f>
        <v>0</v>
      </c>
      <c r="AJ500" s="313">
        <f>IFERROR(IF(INDEX([1]Pivot!$BF$1:$CG$65000,$B500,AJ$5)=1,1,IF(AND(AJ499&gt;=1,AJ499&lt;=9,ROW()&lt;=cur_line),AJ499+1,0)),0)</f>
        <v>0</v>
      </c>
      <c r="AK500" s="313">
        <f>IFERROR(IF(INDEX([1]Pivot!$BF$1:$CG$65000,$B500,AK$5)=1,1,IF(AND(AK499&gt;=1,AK499&lt;=9,ROW()&lt;=cur_line),AK499+1,0)),0)</f>
        <v>0</v>
      </c>
      <c r="AL500" s="313">
        <f>IFERROR(IF(INDEX([1]Pivot!$BF$1:$CG$65000,$B500,AL$5)=1,1,IF(AND(AL499&gt;=1,AL499&lt;=9,ROW()&lt;=cur_line),AL499+1,0)),0)</f>
        <v>0</v>
      </c>
      <c r="AM500" s="313">
        <f>IFERROR(IF(INDEX([1]Pivot!$BF$1:$CG$65000,$B500,AM$5)=1,1,IF(AND(AM499&gt;=1,AM499&lt;=9,ROW()&lt;=cur_line),AM499+1,0)),0)</f>
        <v>0</v>
      </c>
      <c r="AN500" s="313">
        <f>IFERROR(IF(INDEX([1]Pivot!$BF$1:$CG$65000,$B500,AN$5)=1,1,IF(AND(AN499&gt;=1,AN499&lt;=9,ROW()&lt;=cur_line),AN499+1,0)),0)</f>
        <v>0</v>
      </c>
      <c r="AO500" s="313">
        <f>IFERROR(IF(INDEX([1]Pivot!$BF$1:$CG$65000,$B500,AO$5)=1,1,IF(AND(AO499&gt;=1,AO499&lt;=9,ROW()&lt;=cur_line),AO499+1,0)),0)</f>
        <v>0</v>
      </c>
      <c r="AP500" s="313">
        <f>IFERROR(IF(INDEX([1]Pivot!$BF$1:$CG$65000,$B500,AP$5)=1,1,IF(AND(AP499&gt;=1,AP499&lt;=9,ROW()&lt;=cur_line),AP499+1,0)),0)</f>
        <v>0</v>
      </c>
      <c r="AQ500" s="313">
        <f>IFERROR(IF(INDEX([1]Pivot!$BF$1:$CG$65000,$B500,AQ$5)=1,1,IF(AND(AQ499&gt;=1,AQ499&lt;=9,ROW()&lt;=cur_line),AQ499+1,0)),0)</f>
        <v>0</v>
      </c>
      <c r="AR500" s="313">
        <f>IFERROR(IF(INDEX([1]Pivot!$BF$1:$CG$65000,$B500,AR$5)=1,1,IF(AND(AR499&gt;=1,AR499&lt;=9,ROW()&lt;=cur_line),AR499+1,0)),0)</f>
        <v>0</v>
      </c>
      <c r="AS500" s="312"/>
      <c r="AT500" s="313">
        <f>IFERROR(IF(INDEX([1]Pivot!$BF$1:$CG$65000,$B500,AT$5)=1,1,IF(AND(AT499&gt;=1,AT499&lt;=9,ROW()&lt;=cur_line),AT499+1,0)),0)</f>
        <v>0</v>
      </c>
      <c r="AU500" s="313">
        <f>IFERROR(IF(INDEX([1]Pivot!$BF$1:$CG$65000,$B500,AU$5)=1,1,IF(AND(AU499&gt;=1,AU499&lt;=9,ROW()&lt;=cur_line),AU499+1,0)),0)</f>
        <v>0</v>
      </c>
      <c r="AV500" s="313">
        <f>IFERROR(IF(INDEX([1]Pivot!$BF$1:$CG$65000,$B500,AV$5)=1,1,IF(AND(AV499&gt;=1,AV499&lt;=9,ROW()&lt;=cur_line),AV499+1,0)),0)</f>
        <v>0</v>
      </c>
      <c r="AW500" s="313">
        <f>IFERROR(IF(INDEX([1]Pivot!$BF$1:$CG$65000,$B500,AW$5)=1,1,IF(AND(AW499&gt;=1,AW499&lt;=9,ROW()&lt;=cur_line),AW499+1,0)),0)</f>
        <v>0</v>
      </c>
      <c r="AX500" s="313">
        <f>IFERROR(IF(INDEX([1]Pivot!$BF$1:$CG$65000,$B500,AX$5)=1,1,IF(AND(AX499&gt;=1,AX499&lt;=9,ROW()&lt;=cur_line),AX499+1,0)),0)</f>
        <v>0</v>
      </c>
      <c r="AY500" s="313">
        <f>IFERROR(IF(INDEX([1]Pivot!$BF$1:$CG$65000,$B500,AY$5)=1,1,IF(AND(AY499&gt;=1,AY499&lt;=9,ROW()&lt;=cur_line),AY499+1,0)),0)</f>
        <v>0</v>
      </c>
      <c r="AZ500" s="313">
        <f>IFERROR(IF(INDEX([1]Pivot!$BF$1:$CG$65000,$B500,AZ$5)=1,1,IF(AND(AZ499&gt;=1,AZ499&lt;=9,ROW()&lt;=cur_line),AZ499+1,0)),0)</f>
        <v>0</v>
      </c>
      <c r="BA500" s="313">
        <f>IFERROR(IF(INDEX([1]Pivot!$BF$1:$CG$65000,$B500,BA$5)=1,1,IF(AND(BA499&gt;=1,BA499&lt;=9,ROW()&lt;=cur_line),BA499+1,0)),0)</f>
        <v>0</v>
      </c>
      <c r="BB500" s="313">
        <f>IFERROR(IF(INDEX([1]Pivot!$BF$1:$CG$65000,$B500,BB$5)=1,1,IF(AND(BB499&gt;=1,BB499&lt;=9,ROW()&lt;=cur_line),BB499+1,0)),0)</f>
        <v>0</v>
      </c>
      <c r="BC500" s="313">
        <f>IFERROR(IF(INDEX([1]Pivot!$BF$1:$CG$65000,$B500,BC$5)=1,1,IF(AND(BC499&gt;=1,BC499&lt;=9,ROW()&lt;=cur_line),BC499+1,0)),0)</f>
        <v>0</v>
      </c>
      <c r="BD500" s="313">
        <f>IFERROR(IF(INDEX([1]Pivot!$BF$1:$CG$65000,$B500,BD$5)=1,1,IF(AND(BD499&gt;=1,BD499&lt;=9,ROW()&lt;=cur_line),BD499+1,0)),0)</f>
        <v>0</v>
      </c>
    </row>
    <row r="501" spans="1:56" hidden="1" outlineLevel="1" x14ac:dyDescent="0.25">
      <c r="A501" s="288" t="str">
        <f>'[2]Raw Milk Prices'!A501</f>
        <v>2018m02</v>
      </c>
      <c r="B501" s="296" t="e">
        <f>MATCH(DATE(LEFT('[2]Raw Milk Prices'!$A501,4),RIGHT('[2]Raw Milk Prices'!$A501,2),1),[1]Pivot!$A$1:$A$65000,0)</f>
        <v>#N/A</v>
      </c>
      <c r="C501" s="194">
        <f>IFERROR(IF(INDEX([1]Pivot!$AD$1:$BE$65000,$B501,C$5)=1,1,IF(AND(C500&gt;=1,C500&lt;=9,ROW()&lt;=cur_line),C500+1,0)),0)</f>
        <v>0</v>
      </c>
      <c r="D501" s="194">
        <f>IFERROR(IF(INDEX([1]Pivot!$AD$1:$BE$65000,$B501,D$5)=1,1,IF(AND(D500&gt;=1,D500&lt;=9,ROW()&lt;=cur_line),D500+1,0)),0)</f>
        <v>0</v>
      </c>
      <c r="E501" s="194">
        <f>IFERROR(IF(INDEX([1]Pivot!$AD$1:$BE$65000,$B501,E$5)=1,1,IF(AND(E500&gt;=1,E500&lt;=9,ROW()&lt;=cur_line),E500+1,0)),0)</f>
        <v>0</v>
      </c>
      <c r="F501" s="194">
        <f>IFERROR(IF(INDEX([1]Pivot!$AD$1:$BE$65000,$B501,F$5)=1,1,IF(AND(F500&gt;=1,F500&lt;=9,ROW()&lt;=cur_line),F500+1,0)),0)</f>
        <v>0</v>
      </c>
      <c r="G501" s="194">
        <f>IFERROR(IF(INDEX([1]Pivot!$AD$1:$BE$65000,$B501,G$5)=1,1,IF(AND(G500&gt;=1,G500&lt;=9,ROW()&lt;=cur_line),G500+1,0)),0)</f>
        <v>0</v>
      </c>
      <c r="H501" s="194">
        <f>IFERROR(IF(INDEX([1]Pivot!$AD$1:$BE$65000,$B501,H$5)=1,1,IF(AND(H500&gt;=1,H500&lt;=9,ROW()&lt;=cur_line),H500+1,0)),0)</f>
        <v>0</v>
      </c>
      <c r="I501" s="194">
        <f>IFERROR(IF(INDEX([1]Pivot!$AD$1:$BE$65000,$B501,I$5)=1,1,IF(AND(I500&gt;=1,I500&lt;=9,ROW()&lt;=cur_line),I500+1,0)),0)</f>
        <v>0</v>
      </c>
      <c r="J501" s="194">
        <f>IFERROR(IF(INDEX([1]Pivot!$AD$1:$BE$65000,$B501,J$5)=1,1,IF(AND(J500&gt;=1,J500&lt;=9,ROW()&lt;=cur_line),J500+1,0)),0)</f>
        <v>0</v>
      </c>
      <c r="K501" s="194">
        <f>IFERROR(IF(INDEX([1]Pivot!$AD$1:$BE$65000,$B501,K$5)=1,1,IF(AND(K500&gt;=1,K500&lt;=9,ROW()&lt;=cur_line),K500+1,0)),0)</f>
        <v>0</v>
      </c>
      <c r="L501" s="194">
        <f>IFERROR(IF(INDEX([1]Pivot!$AD$1:$BE$65000,$B501,L$5)=1,1,IF(AND(L500&gt;=1,L500&lt;=9,ROW()&lt;=cur_line),L500+1,0)),0)</f>
        <v>0</v>
      </c>
      <c r="M501" s="194">
        <f>IFERROR(IF(INDEX([1]Pivot!$AD$1:$BE$65000,$B501,M$5)=1,1,IF(AND(M500&gt;=1,M500&lt;=9,ROW()&lt;=cur_line),M500+1,0)),0)</f>
        <v>0</v>
      </c>
      <c r="N501" s="194">
        <f>IFERROR(IF(INDEX([1]Pivot!$AD$1:$BE$65000,$B501,N$5)=1,1,IF(AND(N500&gt;=1,N500&lt;=9,ROW()&lt;=cur_line),N500+1,0)),0)</f>
        <v>0</v>
      </c>
      <c r="O501" s="194">
        <f>IFERROR(IF(INDEX([1]Pivot!$AD$1:$BE$65000,$B501,O$5)=1,1,IF(AND(O500&gt;=1,O500&lt;=9,ROW()&lt;=cur_line),O500+1,0)),0)</f>
        <v>0</v>
      </c>
      <c r="P501" s="194">
        <f>IFERROR(IF(INDEX([1]Pivot!$AD$1:$BE$65000,$B501,P$5)=1,1,IF(AND(P500&gt;=1,P500&lt;=9,ROW()&lt;=cur_line),P500+1,0)),0)</f>
        <v>0</v>
      </c>
      <c r="Q501" s="194">
        <f>IFERROR(IF(INDEX([1]Pivot!$AD$1:$BE$65000,$B501,Q$5)=1,1,IF(AND(Q500&gt;=1,Q500&lt;=9,ROW()&lt;=cur_line),Q500+1,0)),0)</f>
        <v>0</v>
      </c>
      <c r="R501" s="312"/>
      <c r="S501" s="194">
        <f>IFERROR(IF(INDEX([1]Pivot!$AD$1:$BE$65000,$B501,S$5)=1,1,IF(AND(S500&gt;=1,S500&lt;=9,ROW()&lt;=cur_line),S500+1,0)),0)</f>
        <v>0</v>
      </c>
      <c r="T501" s="194">
        <f>IFERROR(IF(INDEX([1]Pivot!$AD$1:$BE$65000,$B501,T$5)=1,1,IF(AND(T500&gt;=1,T500&lt;=9,ROW()&lt;=cur_line),T500+1,0)),0)</f>
        <v>0</v>
      </c>
      <c r="U501" s="194">
        <f>IFERROR(IF(INDEX([1]Pivot!$AD$1:$BE$65000,$B501,U$5)=1,1,IF(AND(U500&gt;=1,U500&lt;=9,ROW()&lt;=cur_line),U500+1,0)),0)</f>
        <v>0</v>
      </c>
      <c r="V501" s="194">
        <f>IFERROR(IF(INDEX([1]Pivot!$AD$1:$BE$65000,$B501,V$5)=1,1,IF(AND(V500&gt;=1,V500&lt;=9,ROW()&lt;=cur_line),V500+1,0)),0)</f>
        <v>0</v>
      </c>
      <c r="W501" s="194">
        <f>IFERROR(IF(INDEX([1]Pivot!$AD$1:$BE$65000,$B501,W$5)=1,1,IF(AND(W500&gt;=1,W500&lt;=9,ROW()&lt;=cur_line),W500+1,0)),0)</f>
        <v>0</v>
      </c>
      <c r="X501" s="194">
        <f>IFERROR(IF(INDEX([1]Pivot!$AD$1:$BE$65000,$B501,X$5)=1,1,IF(AND(X500&gt;=1,X500&lt;=9,ROW()&lt;=cur_line),X500+1,0)),0)</f>
        <v>0</v>
      </c>
      <c r="Y501" s="194">
        <f>IFERROR(IF(INDEX([1]Pivot!$AD$1:$BE$65000,$B501,Y$5)=1,1,IF(AND(Y500&gt;=1,Y500&lt;=9,ROW()&lt;=cur_line),Y500+1,0)),0)</f>
        <v>0</v>
      </c>
      <c r="Z501" s="194">
        <f>IFERROR(IF(INDEX([1]Pivot!$AD$1:$BE$65000,$B501,Z$5)=1,1,IF(AND(Z500&gt;=1,Z500&lt;=9,ROW()&lt;=cur_line),Z500+1,0)),0)</f>
        <v>0</v>
      </c>
      <c r="AA501" s="194">
        <f>IFERROR(IF(INDEX([1]Pivot!$AD$1:$BE$65000,$B501,AA$5)=1,1,IF(AND(AA500&gt;=1,AA500&lt;=9,ROW()&lt;=cur_line),AA500+1,0)),0)</f>
        <v>0</v>
      </c>
      <c r="AB501" s="194">
        <f>IFERROR(IF(INDEX([1]Pivot!$AD$1:$BE$65000,$B501,AB$5)=1,1,IF(AND(AB500&gt;=1,AB500&lt;=9,ROW()&lt;=cur_line),AB500+1,0)),0)</f>
        <v>0</v>
      </c>
      <c r="AC501" s="194">
        <f>IFERROR(IF(INDEX([1]Pivot!$AD$1:$BE$65000,$B501,AC$5)=1,1,IF(AND(AC500&gt;=1,AC500&lt;=9,ROW()&lt;=cur_line),AC500+1,0)),0)</f>
        <v>0</v>
      </c>
      <c r="AD501" s="313">
        <f>IFERROR(IF(INDEX([1]Pivot!$BF$1:$CG$65000,$B501,AD$5)=1,1,IF(AND(AD500&gt;=1,AD500&lt;=9,ROW()&lt;=cur_line),AD500+1,0)),0)</f>
        <v>0</v>
      </c>
      <c r="AE501" s="313">
        <f>IFERROR(IF(INDEX([1]Pivot!$BF$1:$CG$65000,$B501,AE$5)=1,1,IF(AND(AE500&gt;=1,AE500&lt;=9,ROW()&lt;=cur_line),AE500+1,0)),0)</f>
        <v>0</v>
      </c>
      <c r="AF501" s="313">
        <f>IFERROR(IF(INDEX([1]Pivot!$BF$1:$CG$65000,$B501,AF$5)=1,1,IF(AND(AF500&gt;=1,AF500&lt;=9,ROW()&lt;=cur_line),AF500+1,0)),0)</f>
        <v>0</v>
      </c>
      <c r="AG501" s="313">
        <f>IFERROR(IF(INDEX([1]Pivot!$BF$1:$CG$65000,$B501,AG$5)=1,1,IF(AND(AG500&gt;=1,AG500&lt;=9,ROW()&lt;=cur_line),AG500+1,0)),0)</f>
        <v>0</v>
      </c>
      <c r="AH501" s="313">
        <f>IFERROR(IF(INDEX([1]Pivot!$BF$1:$CG$65000,$B501,AH$5)=1,1,IF(AND(AH500&gt;=1,AH500&lt;=9,ROW()&lt;=cur_line),AH500+1,0)),0)</f>
        <v>0</v>
      </c>
      <c r="AI501" s="313">
        <f>IFERROR(IF(INDEX([1]Pivot!$BF$1:$CG$65000,$B501,AI$5)=1,1,IF(AND(AI500&gt;=1,AI500&lt;=9,ROW()&lt;=cur_line),AI500+1,0)),0)</f>
        <v>0</v>
      </c>
      <c r="AJ501" s="313">
        <f>IFERROR(IF(INDEX([1]Pivot!$BF$1:$CG$65000,$B501,AJ$5)=1,1,IF(AND(AJ500&gt;=1,AJ500&lt;=9,ROW()&lt;=cur_line),AJ500+1,0)),0)</f>
        <v>0</v>
      </c>
      <c r="AK501" s="313">
        <f>IFERROR(IF(INDEX([1]Pivot!$BF$1:$CG$65000,$B501,AK$5)=1,1,IF(AND(AK500&gt;=1,AK500&lt;=9,ROW()&lt;=cur_line),AK500+1,0)),0)</f>
        <v>0</v>
      </c>
      <c r="AL501" s="313">
        <f>IFERROR(IF(INDEX([1]Pivot!$BF$1:$CG$65000,$B501,AL$5)=1,1,IF(AND(AL500&gt;=1,AL500&lt;=9,ROW()&lt;=cur_line),AL500+1,0)),0)</f>
        <v>0</v>
      </c>
      <c r="AM501" s="313">
        <f>IFERROR(IF(INDEX([1]Pivot!$BF$1:$CG$65000,$B501,AM$5)=1,1,IF(AND(AM500&gt;=1,AM500&lt;=9,ROW()&lt;=cur_line),AM500+1,0)),0)</f>
        <v>0</v>
      </c>
      <c r="AN501" s="313">
        <f>IFERROR(IF(INDEX([1]Pivot!$BF$1:$CG$65000,$B501,AN$5)=1,1,IF(AND(AN500&gt;=1,AN500&lt;=9,ROW()&lt;=cur_line),AN500+1,0)),0)</f>
        <v>0</v>
      </c>
      <c r="AO501" s="313">
        <f>IFERROR(IF(INDEX([1]Pivot!$BF$1:$CG$65000,$B501,AO$5)=1,1,IF(AND(AO500&gt;=1,AO500&lt;=9,ROW()&lt;=cur_line),AO500+1,0)),0)</f>
        <v>0</v>
      </c>
      <c r="AP501" s="313">
        <f>IFERROR(IF(INDEX([1]Pivot!$BF$1:$CG$65000,$B501,AP$5)=1,1,IF(AND(AP500&gt;=1,AP500&lt;=9,ROW()&lt;=cur_line),AP500+1,0)),0)</f>
        <v>0</v>
      </c>
      <c r="AQ501" s="313">
        <f>IFERROR(IF(INDEX([1]Pivot!$BF$1:$CG$65000,$B501,AQ$5)=1,1,IF(AND(AQ500&gt;=1,AQ500&lt;=9,ROW()&lt;=cur_line),AQ500+1,0)),0)</f>
        <v>0</v>
      </c>
      <c r="AR501" s="313">
        <f>IFERROR(IF(INDEX([1]Pivot!$BF$1:$CG$65000,$B501,AR$5)=1,1,IF(AND(AR500&gt;=1,AR500&lt;=9,ROW()&lt;=cur_line),AR500+1,0)),0)</f>
        <v>0</v>
      </c>
      <c r="AS501" s="312"/>
      <c r="AT501" s="313">
        <f>IFERROR(IF(INDEX([1]Pivot!$BF$1:$CG$65000,$B501,AT$5)=1,1,IF(AND(AT500&gt;=1,AT500&lt;=9,ROW()&lt;=cur_line),AT500+1,0)),0)</f>
        <v>0</v>
      </c>
      <c r="AU501" s="313">
        <f>IFERROR(IF(INDEX([1]Pivot!$BF$1:$CG$65000,$B501,AU$5)=1,1,IF(AND(AU500&gt;=1,AU500&lt;=9,ROW()&lt;=cur_line),AU500+1,0)),0)</f>
        <v>0</v>
      </c>
      <c r="AV501" s="313">
        <f>IFERROR(IF(INDEX([1]Pivot!$BF$1:$CG$65000,$B501,AV$5)=1,1,IF(AND(AV500&gt;=1,AV500&lt;=9,ROW()&lt;=cur_line),AV500+1,0)),0)</f>
        <v>0</v>
      </c>
      <c r="AW501" s="313">
        <f>IFERROR(IF(INDEX([1]Pivot!$BF$1:$CG$65000,$B501,AW$5)=1,1,IF(AND(AW500&gt;=1,AW500&lt;=9,ROW()&lt;=cur_line),AW500+1,0)),0)</f>
        <v>0</v>
      </c>
      <c r="AX501" s="313">
        <f>IFERROR(IF(INDEX([1]Pivot!$BF$1:$CG$65000,$B501,AX$5)=1,1,IF(AND(AX500&gt;=1,AX500&lt;=9,ROW()&lt;=cur_line),AX500+1,0)),0)</f>
        <v>0</v>
      </c>
      <c r="AY501" s="313">
        <f>IFERROR(IF(INDEX([1]Pivot!$BF$1:$CG$65000,$B501,AY$5)=1,1,IF(AND(AY500&gt;=1,AY500&lt;=9,ROW()&lt;=cur_line),AY500+1,0)),0)</f>
        <v>0</v>
      </c>
      <c r="AZ501" s="313">
        <f>IFERROR(IF(INDEX([1]Pivot!$BF$1:$CG$65000,$B501,AZ$5)=1,1,IF(AND(AZ500&gt;=1,AZ500&lt;=9,ROW()&lt;=cur_line),AZ500+1,0)),0)</f>
        <v>0</v>
      </c>
      <c r="BA501" s="313">
        <f>IFERROR(IF(INDEX([1]Pivot!$BF$1:$CG$65000,$B501,BA$5)=1,1,IF(AND(BA500&gt;=1,BA500&lt;=9,ROW()&lt;=cur_line),BA500+1,0)),0)</f>
        <v>0</v>
      </c>
      <c r="BB501" s="313">
        <f>IFERROR(IF(INDEX([1]Pivot!$BF$1:$CG$65000,$B501,BB$5)=1,1,IF(AND(BB500&gt;=1,BB500&lt;=9,ROW()&lt;=cur_line),BB500+1,0)),0)</f>
        <v>0</v>
      </c>
      <c r="BC501" s="313">
        <f>IFERROR(IF(INDEX([1]Pivot!$BF$1:$CG$65000,$B501,BC$5)=1,1,IF(AND(BC500&gt;=1,BC500&lt;=9,ROW()&lt;=cur_line),BC500+1,0)),0)</f>
        <v>0</v>
      </c>
      <c r="BD501" s="313">
        <f>IFERROR(IF(INDEX([1]Pivot!$BF$1:$CG$65000,$B501,BD$5)=1,1,IF(AND(BD500&gt;=1,BD500&lt;=9,ROW()&lt;=cur_line),BD500+1,0)),0)</f>
        <v>0</v>
      </c>
    </row>
    <row r="502" spans="1:56" hidden="1" outlineLevel="1" x14ac:dyDescent="0.25">
      <c r="A502" s="288" t="str">
        <f>'[2]Raw Milk Prices'!A502</f>
        <v>2018m03</v>
      </c>
      <c r="B502" s="296" t="e">
        <f>MATCH(DATE(LEFT('[2]Raw Milk Prices'!$A502,4),RIGHT('[2]Raw Milk Prices'!$A502,2),1),[1]Pivot!$A$1:$A$65000,0)</f>
        <v>#N/A</v>
      </c>
      <c r="C502" s="194">
        <f>IFERROR(IF(INDEX([1]Pivot!$AD$1:$BE$65000,$B502,C$5)=1,1,IF(AND(C501&gt;=1,C501&lt;=9,ROW()&lt;=cur_line),C501+1,0)),0)</f>
        <v>0</v>
      </c>
      <c r="D502" s="194">
        <f>IFERROR(IF(INDEX([1]Pivot!$AD$1:$BE$65000,$B502,D$5)=1,1,IF(AND(D501&gt;=1,D501&lt;=9,ROW()&lt;=cur_line),D501+1,0)),0)</f>
        <v>0</v>
      </c>
      <c r="E502" s="194">
        <f>IFERROR(IF(INDEX([1]Pivot!$AD$1:$BE$65000,$B502,E$5)=1,1,IF(AND(E501&gt;=1,E501&lt;=9,ROW()&lt;=cur_line),E501+1,0)),0)</f>
        <v>0</v>
      </c>
      <c r="F502" s="194">
        <f>IFERROR(IF(INDEX([1]Pivot!$AD$1:$BE$65000,$B502,F$5)=1,1,IF(AND(F501&gt;=1,F501&lt;=9,ROW()&lt;=cur_line),F501+1,0)),0)</f>
        <v>0</v>
      </c>
      <c r="G502" s="194">
        <f>IFERROR(IF(INDEX([1]Pivot!$AD$1:$BE$65000,$B502,G$5)=1,1,IF(AND(G501&gt;=1,G501&lt;=9,ROW()&lt;=cur_line),G501+1,0)),0)</f>
        <v>0</v>
      </c>
      <c r="H502" s="194">
        <f>IFERROR(IF(INDEX([1]Pivot!$AD$1:$BE$65000,$B502,H$5)=1,1,IF(AND(H501&gt;=1,H501&lt;=9,ROW()&lt;=cur_line),H501+1,0)),0)</f>
        <v>0</v>
      </c>
      <c r="I502" s="194">
        <f>IFERROR(IF(INDEX([1]Pivot!$AD$1:$BE$65000,$B502,I$5)=1,1,IF(AND(I501&gt;=1,I501&lt;=9,ROW()&lt;=cur_line),I501+1,0)),0)</f>
        <v>0</v>
      </c>
      <c r="J502" s="194">
        <f>IFERROR(IF(INDEX([1]Pivot!$AD$1:$BE$65000,$B502,J$5)=1,1,IF(AND(J501&gt;=1,J501&lt;=9,ROW()&lt;=cur_line),J501+1,0)),0)</f>
        <v>0</v>
      </c>
      <c r="K502" s="194">
        <f>IFERROR(IF(INDEX([1]Pivot!$AD$1:$BE$65000,$B502,K$5)=1,1,IF(AND(K501&gt;=1,K501&lt;=9,ROW()&lt;=cur_line),K501+1,0)),0)</f>
        <v>0</v>
      </c>
      <c r="L502" s="194">
        <f>IFERROR(IF(INDEX([1]Pivot!$AD$1:$BE$65000,$B502,L$5)=1,1,IF(AND(L501&gt;=1,L501&lt;=9,ROW()&lt;=cur_line),L501+1,0)),0)</f>
        <v>0</v>
      </c>
      <c r="M502" s="194">
        <f>IFERROR(IF(INDEX([1]Pivot!$AD$1:$BE$65000,$B502,M$5)=1,1,IF(AND(M501&gt;=1,M501&lt;=9,ROW()&lt;=cur_line),M501+1,0)),0)</f>
        <v>0</v>
      </c>
      <c r="N502" s="194">
        <f>IFERROR(IF(INDEX([1]Pivot!$AD$1:$BE$65000,$B502,N$5)=1,1,IF(AND(N501&gt;=1,N501&lt;=9,ROW()&lt;=cur_line),N501+1,0)),0)</f>
        <v>0</v>
      </c>
      <c r="O502" s="194">
        <f>IFERROR(IF(INDEX([1]Pivot!$AD$1:$BE$65000,$B502,O$5)=1,1,IF(AND(O501&gt;=1,O501&lt;=9,ROW()&lt;=cur_line),O501+1,0)),0)</f>
        <v>0</v>
      </c>
      <c r="P502" s="194">
        <f>IFERROR(IF(INDEX([1]Pivot!$AD$1:$BE$65000,$B502,P$5)=1,1,IF(AND(P501&gt;=1,P501&lt;=9,ROW()&lt;=cur_line),P501+1,0)),0)</f>
        <v>0</v>
      </c>
      <c r="Q502" s="194">
        <f>IFERROR(IF(INDEX([1]Pivot!$AD$1:$BE$65000,$B502,Q$5)=1,1,IF(AND(Q501&gt;=1,Q501&lt;=9,ROW()&lt;=cur_line),Q501+1,0)),0)</f>
        <v>0</v>
      </c>
      <c r="R502" s="312"/>
      <c r="S502" s="194">
        <f>IFERROR(IF(INDEX([1]Pivot!$AD$1:$BE$65000,$B502,S$5)=1,1,IF(AND(S501&gt;=1,S501&lt;=9,ROW()&lt;=cur_line),S501+1,0)),0)</f>
        <v>0</v>
      </c>
      <c r="T502" s="194">
        <f>IFERROR(IF(INDEX([1]Pivot!$AD$1:$BE$65000,$B502,T$5)=1,1,IF(AND(T501&gt;=1,T501&lt;=9,ROW()&lt;=cur_line),T501+1,0)),0)</f>
        <v>0</v>
      </c>
      <c r="U502" s="194">
        <f>IFERROR(IF(INDEX([1]Pivot!$AD$1:$BE$65000,$B502,U$5)=1,1,IF(AND(U501&gt;=1,U501&lt;=9,ROW()&lt;=cur_line),U501+1,0)),0)</f>
        <v>0</v>
      </c>
      <c r="V502" s="194">
        <f>IFERROR(IF(INDEX([1]Pivot!$AD$1:$BE$65000,$B502,V$5)=1,1,IF(AND(V501&gt;=1,V501&lt;=9,ROW()&lt;=cur_line),V501+1,0)),0)</f>
        <v>0</v>
      </c>
      <c r="W502" s="194">
        <f>IFERROR(IF(INDEX([1]Pivot!$AD$1:$BE$65000,$B502,W$5)=1,1,IF(AND(W501&gt;=1,W501&lt;=9,ROW()&lt;=cur_line),W501+1,0)),0)</f>
        <v>0</v>
      </c>
      <c r="X502" s="194">
        <f>IFERROR(IF(INDEX([1]Pivot!$AD$1:$BE$65000,$B502,X$5)=1,1,IF(AND(X501&gt;=1,X501&lt;=9,ROW()&lt;=cur_line),X501+1,0)),0)</f>
        <v>0</v>
      </c>
      <c r="Y502" s="194">
        <f>IFERROR(IF(INDEX([1]Pivot!$AD$1:$BE$65000,$B502,Y$5)=1,1,IF(AND(Y501&gt;=1,Y501&lt;=9,ROW()&lt;=cur_line),Y501+1,0)),0)</f>
        <v>0</v>
      </c>
      <c r="Z502" s="194">
        <f>IFERROR(IF(INDEX([1]Pivot!$AD$1:$BE$65000,$B502,Z$5)=1,1,IF(AND(Z501&gt;=1,Z501&lt;=9,ROW()&lt;=cur_line),Z501+1,0)),0)</f>
        <v>0</v>
      </c>
      <c r="AA502" s="194">
        <f>IFERROR(IF(INDEX([1]Pivot!$AD$1:$BE$65000,$B502,AA$5)=1,1,IF(AND(AA501&gt;=1,AA501&lt;=9,ROW()&lt;=cur_line),AA501+1,0)),0)</f>
        <v>0</v>
      </c>
      <c r="AB502" s="194">
        <f>IFERROR(IF(INDEX([1]Pivot!$AD$1:$BE$65000,$B502,AB$5)=1,1,IF(AND(AB501&gt;=1,AB501&lt;=9,ROW()&lt;=cur_line),AB501+1,0)),0)</f>
        <v>0</v>
      </c>
      <c r="AC502" s="194">
        <f>IFERROR(IF(INDEX([1]Pivot!$AD$1:$BE$65000,$B502,AC$5)=1,1,IF(AND(AC501&gt;=1,AC501&lt;=9,ROW()&lt;=cur_line),AC501+1,0)),0)</f>
        <v>0</v>
      </c>
      <c r="AD502" s="313">
        <f>IFERROR(IF(INDEX([1]Pivot!$BF$1:$CG$65000,$B502,AD$5)=1,1,IF(AND(AD501&gt;=1,AD501&lt;=9,ROW()&lt;=cur_line),AD501+1,0)),0)</f>
        <v>0</v>
      </c>
      <c r="AE502" s="313">
        <f>IFERROR(IF(INDEX([1]Pivot!$BF$1:$CG$65000,$B502,AE$5)=1,1,IF(AND(AE501&gt;=1,AE501&lt;=9,ROW()&lt;=cur_line),AE501+1,0)),0)</f>
        <v>0</v>
      </c>
      <c r="AF502" s="313">
        <f>IFERROR(IF(INDEX([1]Pivot!$BF$1:$CG$65000,$B502,AF$5)=1,1,IF(AND(AF501&gt;=1,AF501&lt;=9,ROW()&lt;=cur_line),AF501+1,0)),0)</f>
        <v>0</v>
      </c>
      <c r="AG502" s="313">
        <f>IFERROR(IF(INDEX([1]Pivot!$BF$1:$CG$65000,$B502,AG$5)=1,1,IF(AND(AG501&gt;=1,AG501&lt;=9,ROW()&lt;=cur_line),AG501+1,0)),0)</f>
        <v>0</v>
      </c>
      <c r="AH502" s="313">
        <f>IFERROR(IF(INDEX([1]Pivot!$BF$1:$CG$65000,$B502,AH$5)=1,1,IF(AND(AH501&gt;=1,AH501&lt;=9,ROW()&lt;=cur_line),AH501+1,0)),0)</f>
        <v>0</v>
      </c>
      <c r="AI502" s="313">
        <f>IFERROR(IF(INDEX([1]Pivot!$BF$1:$CG$65000,$B502,AI$5)=1,1,IF(AND(AI501&gt;=1,AI501&lt;=9,ROW()&lt;=cur_line),AI501+1,0)),0)</f>
        <v>0</v>
      </c>
      <c r="AJ502" s="313">
        <f>IFERROR(IF(INDEX([1]Pivot!$BF$1:$CG$65000,$B502,AJ$5)=1,1,IF(AND(AJ501&gt;=1,AJ501&lt;=9,ROW()&lt;=cur_line),AJ501+1,0)),0)</f>
        <v>0</v>
      </c>
      <c r="AK502" s="313">
        <f>IFERROR(IF(INDEX([1]Pivot!$BF$1:$CG$65000,$B502,AK$5)=1,1,IF(AND(AK501&gt;=1,AK501&lt;=9,ROW()&lt;=cur_line),AK501+1,0)),0)</f>
        <v>0</v>
      </c>
      <c r="AL502" s="313">
        <f>IFERROR(IF(INDEX([1]Pivot!$BF$1:$CG$65000,$B502,AL$5)=1,1,IF(AND(AL501&gt;=1,AL501&lt;=9,ROW()&lt;=cur_line),AL501+1,0)),0)</f>
        <v>0</v>
      </c>
      <c r="AM502" s="313">
        <f>IFERROR(IF(INDEX([1]Pivot!$BF$1:$CG$65000,$B502,AM$5)=1,1,IF(AND(AM501&gt;=1,AM501&lt;=9,ROW()&lt;=cur_line),AM501+1,0)),0)</f>
        <v>0</v>
      </c>
      <c r="AN502" s="313">
        <f>IFERROR(IF(INDEX([1]Pivot!$BF$1:$CG$65000,$B502,AN$5)=1,1,IF(AND(AN501&gt;=1,AN501&lt;=9,ROW()&lt;=cur_line),AN501+1,0)),0)</f>
        <v>0</v>
      </c>
      <c r="AO502" s="313">
        <f>IFERROR(IF(INDEX([1]Pivot!$BF$1:$CG$65000,$B502,AO$5)=1,1,IF(AND(AO501&gt;=1,AO501&lt;=9,ROW()&lt;=cur_line),AO501+1,0)),0)</f>
        <v>0</v>
      </c>
      <c r="AP502" s="313">
        <f>IFERROR(IF(INDEX([1]Pivot!$BF$1:$CG$65000,$B502,AP$5)=1,1,IF(AND(AP501&gt;=1,AP501&lt;=9,ROW()&lt;=cur_line),AP501+1,0)),0)</f>
        <v>0</v>
      </c>
      <c r="AQ502" s="313">
        <f>IFERROR(IF(INDEX([1]Pivot!$BF$1:$CG$65000,$B502,AQ$5)=1,1,IF(AND(AQ501&gt;=1,AQ501&lt;=9,ROW()&lt;=cur_line),AQ501+1,0)),0)</f>
        <v>0</v>
      </c>
      <c r="AR502" s="313">
        <f>IFERROR(IF(INDEX([1]Pivot!$BF$1:$CG$65000,$B502,AR$5)=1,1,IF(AND(AR501&gt;=1,AR501&lt;=9,ROW()&lt;=cur_line),AR501+1,0)),0)</f>
        <v>0</v>
      </c>
      <c r="AS502" s="312"/>
      <c r="AT502" s="313">
        <f>IFERROR(IF(INDEX([1]Pivot!$BF$1:$CG$65000,$B502,AT$5)=1,1,IF(AND(AT501&gt;=1,AT501&lt;=9,ROW()&lt;=cur_line),AT501+1,0)),0)</f>
        <v>0</v>
      </c>
      <c r="AU502" s="313">
        <f>IFERROR(IF(INDEX([1]Pivot!$BF$1:$CG$65000,$B502,AU$5)=1,1,IF(AND(AU501&gt;=1,AU501&lt;=9,ROW()&lt;=cur_line),AU501+1,0)),0)</f>
        <v>0</v>
      </c>
      <c r="AV502" s="313">
        <f>IFERROR(IF(INDEX([1]Pivot!$BF$1:$CG$65000,$B502,AV$5)=1,1,IF(AND(AV501&gt;=1,AV501&lt;=9,ROW()&lt;=cur_line),AV501+1,0)),0)</f>
        <v>0</v>
      </c>
      <c r="AW502" s="313">
        <f>IFERROR(IF(INDEX([1]Pivot!$BF$1:$CG$65000,$B502,AW$5)=1,1,IF(AND(AW501&gt;=1,AW501&lt;=9,ROW()&lt;=cur_line),AW501+1,0)),0)</f>
        <v>0</v>
      </c>
      <c r="AX502" s="313">
        <f>IFERROR(IF(INDEX([1]Pivot!$BF$1:$CG$65000,$B502,AX$5)=1,1,IF(AND(AX501&gt;=1,AX501&lt;=9,ROW()&lt;=cur_line),AX501+1,0)),0)</f>
        <v>0</v>
      </c>
      <c r="AY502" s="313">
        <f>IFERROR(IF(INDEX([1]Pivot!$BF$1:$CG$65000,$B502,AY$5)=1,1,IF(AND(AY501&gt;=1,AY501&lt;=9,ROW()&lt;=cur_line),AY501+1,0)),0)</f>
        <v>0</v>
      </c>
      <c r="AZ502" s="313">
        <f>IFERROR(IF(INDEX([1]Pivot!$BF$1:$CG$65000,$B502,AZ$5)=1,1,IF(AND(AZ501&gt;=1,AZ501&lt;=9,ROW()&lt;=cur_line),AZ501+1,0)),0)</f>
        <v>0</v>
      </c>
      <c r="BA502" s="313">
        <f>IFERROR(IF(INDEX([1]Pivot!$BF$1:$CG$65000,$B502,BA$5)=1,1,IF(AND(BA501&gt;=1,BA501&lt;=9,ROW()&lt;=cur_line),BA501+1,0)),0)</f>
        <v>0</v>
      </c>
      <c r="BB502" s="313">
        <f>IFERROR(IF(INDEX([1]Pivot!$BF$1:$CG$65000,$B502,BB$5)=1,1,IF(AND(BB501&gt;=1,BB501&lt;=9,ROW()&lt;=cur_line),BB501+1,0)),0)</f>
        <v>0</v>
      </c>
      <c r="BC502" s="313">
        <f>IFERROR(IF(INDEX([1]Pivot!$BF$1:$CG$65000,$B502,BC$5)=1,1,IF(AND(BC501&gt;=1,BC501&lt;=9,ROW()&lt;=cur_line),BC501+1,0)),0)</f>
        <v>0</v>
      </c>
      <c r="BD502" s="313">
        <f>IFERROR(IF(INDEX([1]Pivot!$BF$1:$CG$65000,$B502,BD$5)=1,1,IF(AND(BD501&gt;=1,BD501&lt;=9,ROW()&lt;=cur_line),BD501+1,0)),0)</f>
        <v>0</v>
      </c>
    </row>
    <row r="503" spans="1:56" hidden="1" outlineLevel="1" x14ac:dyDescent="0.25">
      <c r="A503" s="288" t="str">
        <f>'[2]Raw Milk Prices'!A503</f>
        <v>2018m04</v>
      </c>
      <c r="B503" s="296" t="e">
        <f>MATCH(DATE(LEFT('[2]Raw Milk Prices'!$A503,4),RIGHT('[2]Raw Milk Prices'!$A503,2),1),[1]Pivot!$A$1:$A$65000,0)</f>
        <v>#N/A</v>
      </c>
      <c r="C503" s="194">
        <f>IFERROR(IF(INDEX([1]Pivot!$AD$1:$BE$65000,$B503,C$5)=1,1,IF(AND(C502&gt;=1,C502&lt;=9,ROW()&lt;=cur_line),C502+1,0)),0)</f>
        <v>0</v>
      </c>
      <c r="D503" s="194">
        <f>IFERROR(IF(INDEX([1]Pivot!$AD$1:$BE$65000,$B503,D$5)=1,1,IF(AND(D502&gt;=1,D502&lt;=9,ROW()&lt;=cur_line),D502+1,0)),0)</f>
        <v>0</v>
      </c>
      <c r="E503" s="194">
        <f>IFERROR(IF(INDEX([1]Pivot!$AD$1:$BE$65000,$B503,E$5)=1,1,IF(AND(E502&gt;=1,E502&lt;=9,ROW()&lt;=cur_line),E502+1,0)),0)</f>
        <v>0</v>
      </c>
      <c r="F503" s="194">
        <f>IFERROR(IF(INDEX([1]Pivot!$AD$1:$BE$65000,$B503,F$5)=1,1,IF(AND(F502&gt;=1,F502&lt;=9,ROW()&lt;=cur_line),F502+1,0)),0)</f>
        <v>0</v>
      </c>
      <c r="G503" s="194">
        <f>IFERROR(IF(INDEX([1]Pivot!$AD$1:$BE$65000,$B503,G$5)=1,1,IF(AND(G502&gt;=1,G502&lt;=9,ROW()&lt;=cur_line),G502+1,0)),0)</f>
        <v>0</v>
      </c>
      <c r="H503" s="194">
        <f>IFERROR(IF(INDEX([1]Pivot!$AD$1:$BE$65000,$B503,H$5)=1,1,IF(AND(H502&gt;=1,H502&lt;=9,ROW()&lt;=cur_line),H502+1,0)),0)</f>
        <v>0</v>
      </c>
      <c r="I503" s="194">
        <f>IFERROR(IF(INDEX([1]Pivot!$AD$1:$BE$65000,$B503,I$5)=1,1,IF(AND(I502&gt;=1,I502&lt;=9,ROW()&lt;=cur_line),I502+1,0)),0)</f>
        <v>0</v>
      </c>
      <c r="J503" s="194">
        <f>IFERROR(IF(INDEX([1]Pivot!$AD$1:$BE$65000,$B503,J$5)=1,1,IF(AND(J502&gt;=1,J502&lt;=9,ROW()&lt;=cur_line),J502+1,0)),0)</f>
        <v>0</v>
      </c>
      <c r="K503" s="194">
        <f>IFERROR(IF(INDEX([1]Pivot!$AD$1:$BE$65000,$B503,K$5)=1,1,IF(AND(K502&gt;=1,K502&lt;=9,ROW()&lt;=cur_line),K502+1,0)),0)</f>
        <v>0</v>
      </c>
      <c r="L503" s="194">
        <f>IFERROR(IF(INDEX([1]Pivot!$AD$1:$BE$65000,$B503,L$5)=1,1,IF(AND(L502&gt;=1,L502&lt;=9,ROW()&lt;=cur_line),L502+1,0)),0)</f>
        <v>0</v>
      </c>
      <c r="M503" s="194">
        <f>IFERROR(IF(INDEX([1]Pivot!$AD$1:$BE$65000,$B503,M$5)=1,1,IF(AND(M502&gt;=1,M502&lt;=9,ROW()&lt;=cur_line),M502+1,0)),0)</f>
        <v>0</v>
      </c>
      <c r="N503" s="194">
        <f>IFERROR(IF(INDEX([1]Pivot!$AD$1:$BE$65000,$B503,N$5)=1,1,IF(AND(N502&gt;=1,N502&lt;=9,ROW()&lt;=cur_line),N502+1,0)),0)</f>
        <v>0</v>
      </c>
      <c r="O503" s="194">
        <f>IFERROR(IF(INDEX([1]Pivot!$AD$1:$BE$65000,$B503,O$5)=1,1,IF(AND(O502&gt;=1,O502&lt;=9,ROW()&lt;=cur_line),O502+1,0)),0)</f>
        <v>0</v>
      </c>
      <c r="P503" s="194">
        <f>IFERROR(IF(INDEX([1]Pivot!$AD$1:$BE$65000,$B503,P$5)=1,1,IF(AND(P502&gt;=1,P502&lt;=9,ROW()&lt;=cur_line),P502+1,0)),0)</f>
        <v>0</v>
      </c>
      <c r="Q503" s="194">
        <f>IFERROR(IF(INDEX([1]Pivot!$AD$1:$BE$65000,$B503,Q$5)=1,1,IF(AND(Q502&gt;=1,Q502&lt;=9,ROW()&lt;=cur_line),Q502+1,0)),0)</f>
        <v>0</v>
      </c>
      <c r="R503" s="312"/>
      <c r="S503" s="194">
        <f>IFERROR(IF(INDEX([1]Pivot!$AD$1:$BE$65000,$B503,S$5)=1,1,IF(AND(S502&gt;=1,S502&lt;=9,ROW()&lt;=cur_line),S502+1,0)),0)</f>
        <v>0</v>
      </c>
      <c r="T503" s="194">
        <f>IFERROR(IF(INDEX([1]Pivot!$AD$1:$BE$65000,$B503,T$5)=1,1,IF(AND(T502&gt;=1,T502&lt;=9,ROW()&lt;=cur_line),T502+1,0)),0)</f>
        <v>0</v>
      </c>
      <c r="U503" s="194">
        <f>IFERROR(IF(INDEX([1]Pivot!$AD$1:$BE$65000,$B503,U$5)=1,1,IF(AND(U502&gt;=1,U502&lt;=9,ROW()&lt;=cur_line),U502+1,0)),0)</f>
        <v>0</v>
      </c>
      <c r="V503" s="194">
        <f>IFERROR(IF(INDEX([1]Pivot!$AD$1:$BE$65000,$B503,V$5)=1,1,IF(AND(V502&gt;=1,V502&lt;=9,ROW()&lt;=cur_line),V502+1,0)),0)</f>
        <v>0</v>
      </c>
      <c r="W503" s="194">
        <f>IFERROR(IF(INDEX([1]Pivot!$AD$1:$BE$65000,$B503,W$5)=1,1,IF(AND(W502&gt;=1,W502&lt;=9,ROW()&lt;=cur_line),W502+1,0)),0)</f>
        <v>0</v>
      </c>
      <c r="X503" s="194">
        <f>IFERROR(IF(INDEX([1]Pivot!$AD$1:$BE$65000,$B503,X$5)=1,1,IF(AND(X502&gt;=1,X502&lt;=9,ROW()&lt;=cur_line),X502+1,0)),0)</f>
        <v>0</v>
      </c>
      <c r="Y503" s="194">
        <f>IFERROR(IF(INDEX([1]Pivot!$AD$1:$BE$65000,$B503,Y$5)=1,1,IF(AND(Y502&gt;=1,Y502&lt;=9,ROW()&lt;=cur_line),Y502+1,0)),0)</f>
        <v>0</v>
      </c>
      <c r="Z503" s="194">
        <f>IFERROR(IF(INDEX([1]Pivot!$AD$1:$BE$65000,$B503,Z$5)=1,1,IF(AND(Z502&gt;=1,Z502&lt;=9,ROW()&lt;=cur_line),Z502+1,0)),0)</f>
        <v>0</v>
      </c>
      <c r="AA503" s="194">
        <f>IFERROR(IF(INDEX([1]Pivot!$AD$1:$BE$65000,$B503,AA$5)=1,1,IF(AND(AA502&gt;=1,AA502&lt;=9,ROW()&lt;=cur_line),AA502+1,0)),0)</f>
        <v>0</v>
      </c>
      <c r="AB503" s="194">
        <f>IFERROR(IF(INDEX([1]Pivot!$AD$1:$BE$65000,$B503,AB$5)=1,1,IF(AND(AB502&gt;=1,AB502&lt;=9,ROW()&lt;=cur_line),AB502+1,0)),0)</f>
        <v>0</v>
      </c>
      <c r="AC503" s="194">
        <f>IFERROR(IF(INDEX([1]Pivot!$AD$1:$BE$65000,$B503,AC$5)=1,1,IF(AND(AC502&gt;=1,AC502&lt;=9,ROW()&lt;=cur_line),AC502+1,0)),0)</f>
        <v>0</v>
      </c>
      <c r="AD503" s="313">
        <f>IFERROR(IF(INDEX([1]Pivot!$BF$1:$CG$65000,$B503,AD$5)=1,1,IF(AND(AD502&gt;=1,AD502&lt;=9,ROW()&lt;=cur_line),AD502+1,0)),0)</f>
        <v>0</v>
      </c>
      <c r="AE503" s="313">
        <f>IFERROR(IF(INDEX([1]Pivot!$BF$1:$CG$65000,$B503,AE$5)=1,1,IF(AND(AE502&gt;=1,AE502&lt;=9,ROW()&lt;=cur_line),AE502+1,0)),0)</f>
        <v>0</v>
      </c>
      <c r="AF503" s="313">
        <f>IFERROR(IF(INDEX([1]Pivot!$BF$1:$CG$65000,$B503,AF$5)=1,1,IF(AND(AF502&gt;=1,AF502&lt;=9,ROW()&lt;=cur_line),AF502+1,0)),0)</f>
        <v>0</v>
      </c>
      <c r="AG503" s="313">
        <f>IFERROR(IF(INDEX([1]Pivot!$BF$1:$CG$65000,$B503,AG$5)=1,1,IF(AND(AG502&gt;=1,AG502&lt;=9,ROW()&lt;=cur_line),AG502+1,0)),0)</f>
        <v>0</v>
      </c>
      <c r="AH503" s="313">
        <f>IFERROR(IF(INDEX([1]Pivot!$BF$1:$CG$65000,$B503,AH$5)=1,1,IF(AND(AH502&gt;=1,AH502&lt;=9,ROW()&lt;=cur_line),AH502+1,0)),0)</f>
        <v>0</v>
      </c>
      <c r="AI503" s="313">
        <f>IFERROR(IF(INDEX([1]Pivot!$BF$1:$CG$65000,$B503,AI$5)=1,1,IF(AND(AI502&gt;=1,AI502&lt;=9,ROW()&lt;=cur_line),AI502+1,0)),0)</f>
        <v>0</v>
      </c>
      <c r="AJ503" s="313">
        <f>IFERROR(IF(INDEX([1]Pivot!$BF$1:$CG$65000,$B503,AJ$5)=1,1,IF(AND(AJ502&gt;=1,AJ502&lt;=9,ROW()&lt;=cur_line),AJ502+1,0)),0)</f>
        <v>0</v>
      </c>
      <c r="AK503" s="313">
        <f>IFERROR(IF(INDEX([1]Pivot!$BF$1:$CG$65000,$B503,AK$5)=1,1,IF(AND(AK502&gt;=1,AK502&lt;=9,ROW()&lt;=cur_line),AK502+1,0)),0)</f>
        <v>0</v>
      </c>
      <c r="AL503" s="313">
        <f>IFERROR(IF(INDEX([1]Pivot!$BF$1:$CG$65000,$B503,AL$5)=1,1,IF(AND(AL502&gt;=1,AL502&lt;=9,ROW()&lt;=cur_line),AL502+1,0)),0)</f>
        <v>0</v>
      </c>
      <c r="AM503" s="313">
        <f>IFERROR(IF(INDEX([1]Pivot!$BF$1:$CG$65000,$B503,AM$5)=1,1,IF(AND(AM502&gt;=1,AM502&lt;=9,ROW()&lt;=cur_line),AM502+1,0)),0)</f>
        <v>0</v>
      </c>
      <c r="AN503" s="313">
        <f>IFERROR(IF(INDEX([1]Pivot!$BF$1:$CG$65000,$B503,AN$5)=1,1,IF(AND(AN502&gt;=1,AN502&lt;=9,ROW()&lt;=cur_line),AN502+1,0)),0)</f>
        <v>0</v>
      </c>
      <c r="AO503" s="313">
        <f>IFERROR(IF(INDEX([1]Pivot!$BF$1:$CG$65000,$B503,AO$5)=1,1,IF(AND(AO502&gt;=1,AO502&lt;=9,ROW()&lt;=cur_line),AO502+1,0)),0)</f>
        <v>0</v>
      </c>
      <c r="AP503" s="313">
        <f>IFERROR(IF(INDEX([1]Pivot!$BF$1:$CG$65000,$B503,AP$5)=1,1,IF(AND(AP502&gt;=1,AP502&lt;=9,ROW()&lt;=cur_line),AP502+1,0)),0)</f>
        <v>0</v>
      </c>
      <c r="AQ503" s="313">
        <f>IFERROR(IF(INDEX([1]Pivot!$BF$1:$CG$65000,$B503,AQ$5)=1,1,IF(AND(AQ502&gt;=1,AQ502&lt;=9,ROW()&lt;=cur_line),AQ502+1,0)),0)</f>
        <v>0</v>
      </c>
      <c r="AR503" s="313">
        <f>IFERROR(IF(INDEX([1]Pivot!$BF$1:$CG$65000,$B503,AR$5)=1,1,IF(AND(AR502&gt;=1,AR502&lt;=9,ROW()&lt;=cur_line),AR502+1,0)),0)</f>
        <v>0</v>
      </c>
      <c r="AS503" s="312"/>
      <c r="AT503" s="313">
        <f>IFERROR(IF(INDEX([1]Pivot!$BF$1:$CG$65000,$B503,AT$5)=1,1,IF(AND(AT502&gt;=1,AT502&lt;=9,ROW()&lt;=cur_line),AT502+1,0)),0)</f>
        <v>0</v>
      </c>
      <c r="AU503" s="313">
        <f>IFERROR(IF(INDEX([1]Pivot!$BF$1:$CG$65000,$B503,AU$5)=1,1,IF(AND(AU502&gt;=1,AU502&lt;=9,ROW()&lt;=cur_line),AU502+1,0)),0)</f>
        <v>0</v>
      </c>
      <c r="AV503" s="313">
        <f>IFERROR(IF(INDEX([1]Pivot!$BF$1:$CG$65000,$B503,AV$5)=1,1,IF(AND(AV502&gt;=1,AV502&lt;=9,ROW()&lt;=cur_line),AV502+1,0)),0)</f>
        <v>0</v>
      </c>
      <c r="AW503" s="313">
        <f>IFERROR(IF(INDEX([1]Pivot!$BF$1:$CG$65000,$B503,AW$5)=1,1,IF(AND(AW502&gt;=1,AW502&lt;=9,ROW()&lt;=cur_line),AW502+1,0)),0)</f>
        <v>0</v>
      </c>
      <c r="AX503" s="313">
        <f>IFERROR(IF(INDEX([1]Pivot!$BF$1:$CG$65000,$B503,AX$5)=1,1,IF(AND(AX502&gt;=1,AX502&lt;=9,ROW()&lt;=cur_line),AX502+1,0)),0)</f>
        <v>0</v>
      </c>
      <c r="AY503" s="313">
        <f>IFERROR(IF(INDEX([1]Pivot!$BF$1:$CG$65000,$B503,AY$5)=1,1,IF(AND(AY502&gt;=1,AY502&lt;=9,ROW()&lt;=cur_line),AY502+1,0)),0)</f>
        <v>0</v>
      </c>
      <c r="AZ503" s="313">
        <f>IFERROR(IF(INDEX([1]Pivot!$BF$1:$CG$65000,$B503,AZ$5)=1,1,IF(AND(AZ502&gt;=1,AZ502&lt;=9,ROW()&lt;=cur_line),AZ502+1,0)),0)</f>
        <v>0</v>
      </c>
      <c r="BA503" s="313">
        <f>IFERROR(IF(INDEX([1]Pivot!$BF$1:$CG$65000,$B503,BA$5)=1,1,IF(AND(BA502&gt;=1,BA502&lt;=9,ROW()&lt;=cur_line),BA502+1,0)),0)</f>
        <v>0</v>
      </c>
      <c r="BB503" s="313">
        <f>IFERROR(IF(INDEX([1]Pivot!$BF$1:$CG$65000,$B503,BB$5)=1,1,IF(AND(BB502&gt;=1,BB502&lt;=9,ROW()&lt;=cur_line),BB502+1,0)),0)</f>
        <v>0</v>
      </c>
      <c r="BC503" s="313">
        <f>IFERROR(IF(INDEX([1]Pivot!$BF$1:$CG$65000,$B503,BC$5)=1,1,IF(AND(BC502&gt;=1,BC502&lt;=9,ROW()&lt;=cur_line),BC502+1,0)),0)</f>
        <v>0</v>
      </c>
      <c r="BD503" s="313">
        <f>IFERROR(IF(INDEX([1]Pivot!$BF$1:$CG$65000,$B503,BD$5)=1,1,IF(AND(BD502&gt;=1,BD502&lt;=9,ROW()&lt;=cur_line),BD502+1,0)),0)</f>
        <v>0</v>
      </c>
    </row>
    <row r="504" spans="1:56" hidden="1" outlineLevel="1" x14ac:dyDescent="0.25">
      <c r="A504" s="288" t="str">
        <f>'[2]Raw Milk Prices'!A504</f>
        <v>2018m05</v>
      </c>
      <c r="B504" s="296" t="e">
        <f>MATCH(DATE(LEFT('[2]Raw Milk Prices'!$A504,4),RIGHT('[2]Raw Milk Prices'!$A504,2),1),[1]Pivot!$A$1:$A$65000,0)</f>
        <v>#N/A</v>
      </c>
      <c r="C504" s="194">
        <f>IFERROR(IF(INDEX([1]Pivot!$AD$1:$BE$65000,$B504,C$5)=1,1,IF(AND(C503&gt;=1,C503&lt;=9,ROW()&lt;=cur_line),C503+1,0)),0)</f>
        <v>0</v>
      </c>
      <c r="D504" s="194">
        <f>IFERROR(IF(INDEX([1]Pivot!$AD$1:$BE$65000,$B504,D$5)=1,1,IF(AND(D503&gt;=1,D503&lt;=9,ROW()&lt;=cur_line),D503+1,0)),0)</f>
        <v>0</v>
      </c>
      <c r="E504" s="194">
        <f>IFERROR(IF(INDEX([1]Pivot!$AD$1:$BE$65000,$B504,E$5)=1,1,IF(AND(E503&gt;=1,E503&lt;=9,ROW()&lt;=cur_line),E503+1,0)),0)</f>
        <v>0</v>
      </c>
      <c r="F504" s="194">
        <f>IFERROR(IF(INDEX([1]Pivot!$AD$1:$BE$65000,$B504,F$5)=1,1,IF(AND(F503&gt;=1,F503&lt;=9,ROW()&lt;=cur_line),F503+1,0)),0)</f>
        <v>0</v>
      </c>
      <c r="G504" s="194">
        <f>IFERROR(IF(INDEX([1]Pivot!$AD$1:$BE$65000,$B504,G$5)=1,1,IF(AND(G503&gt;=1,G503&lt;=9,ROW()&lt;=cur_line),G503+1,0)),0)</f>
        <v>0</v>
      </c>
      <c r="H504" s="194">
        <f>IFERROR(IF(INDEX([1]Pivot!$AD$1:$BE$65000,$B504,H$5)=1,1,IF(AND(H503&gt;=1,H503&lt;=9,ROW()&lt;=cur_line),H503+1,0)),0)</f>
        <v>0</v>
      </c>
      <c r="I504" s="194">
        <f>IFERROR(IF(INDEX([1]Pivot!$AD$1:$BE$65000,$B504,I$5)=1,1,IF(AND(I503&gt;=1,I503&lt;=9,ROW()&lt;=cur_line),I503+1,0)),0)</f>
        <v>0</v>
      </c>
      <c r="J504" s="194">
        <f>IFERROR(IF(INDEX([1]Pivot!$AD$1:$BE$65000,$B504,J$5)=1,1,IF(AND(J503&gt;=1,J503&lt;=9,ROW()&lt;=cur_line),J503+1,0)),0)</f>
        <v>0</v>
      </c>
      <c r="K504" s="194">
        <f>IFERROR(IF(INDEX([1]Pivot!$AD$1:$BE$65000,$B504,K$5)=1,1,IF(AND(K503&gt;=1,K503&lt;=9,ROW()&lt;=cur_line),K503+1,0)),0)</f>
        <v>0</v>
      </c>
      <c r="L504" s="194">
        <f>IFERROR(IF(INDEX([1]Pivot!$AD$1:$BE$65000,$B504,L$5)=1,1,IF(AND(L503&gt;=1,L503&lt;=9,ROW()&lt;=cur_line),L503+1,0)),0)</f>
        <v>0</v>
      </c>
      <c r="M504" s="194">
        <f>IFERROR(IF(INDEX([1]Pivot!$AD$1:$BE$65000,$B504,M$5)=1,1,IF(AND(M503&gt;=1,M503&lt;=9,ROW()&lt;=cur_line),M503+1,0)),0)</f>
        <v>0</v>
      </c>
      <c r="N504" s="194">
        <f>IFERROR(IF(INDEX([1]Pivot!$AD$1:$BE$65000,$B504,N$5)=1,1,IF(AND(N503&gt;=1,N503&lt;=9,ROW()&lt;=cur_line),N503+1,0)),0)</f>
        <v>0</v>
      </c>
      <c r="O504" s="194">
        <f>IFERROR(IF(INDEX([1]Pivot!$AD$1:$BE$65000,$B504,O$5)=1,1,IF(AND(O503&gt;=1,O503&lt;=9,ROW()&lt;=cur_line),O503+1,0)),0)</f>
        <v>0</v>
      </c>
      <c r="P504" s="194">
        <f>IFERROR(IF(INDEX([1]Pivot!$AD$1:$BE$65000,$B504,P$5)=1,1,IF(AND(P503&gt;=1,P503&lt;=9,ROW()&lt;=cur_line),P503+1,0)),0)</f>
        <v>0</v>
      </c>
      <c r="Q504" s="194">
        <f>IFERROR(IF(INDEX([1]Pivot!$AD$1:$BE$65000,$B504,Q$5)=1,1,IF(AND(Q503&gt;=1,Q503&lt;=9,ROW()&lt;=cur_line),Q503+1,0)),0)</f>
        <v>0</v>
      </c>
      <c r="R504" s="312"/>
      <c r="S504" s="194">
        <f>IFERROR(IF(INDEX([1]Pivot!$AD$1:$BE$65000,$B504,S$5)=1,1,IF(AND(S503&gt;=1,S503&lt;=9,ROW()&lt;=cur_line),S503+1,0)),0)</f>
        <v>0</v>
      </c>
      <c r="T504" s="194">
        <f>IFERROR(IF(INDEX([1]Pivot!$AD$1:$BE$65000,$B504,T$5)=1,1,IF(AND(T503&gt;=1,T503&lt;=9,ROW()&lt;=cur_line),T503+1,0)),0)</f>
        <v>0</v>
      </c>
      <c r="U504" s="194">
        <f>IFERROR(IF(INDEX([1]Pivot!$AD$1:$BE$65000,$B504,U$5)=1,1,IF(AND(U503&gt;=1,U503&lt;=9,ROW()&lt;=cur_line),U503+1,0)),0)</f>
        <v>0</v>
      </c>
      <c r="V504" s="194">
        <f>IFERROR(IF(INDEX([1]Pivot!$AD$1:$BE$65000,$B504,V$5)=1,1,IF(AND(V503&gt;=1,V503&lt;=9,ROW()&lt;=cur_line),V503+1,0)),0)</f>
        <v>0</v>
      </c>
      <c r="W504" s="194">
        <f>IFERROR(IF(INDEX([1]Pivot!$AD$1:$BE$65000,$B504,W$5)=1,1,IF(AND(W503&gt;=1,W503&lt;=9,ROW()&lt;=cur_line),W503+1,0)),0)</f>
        <v>0</v>
      </c>
      <c r="X504" s="194">
        <f>IFERROR(IF(INDEX([1]Pivot!$AD$1:$BE$65000,$B504,X$5)=1,1,IF(AND(X503&gt;=1,X503&lt;=9,ROW()&lt;=cur_line),X503+1,0)),0)</f>
        <v>0</v>
      </c>
      <c r="Y504" s="194">
        <f>IFERROR(IF(INDEX([1]Pivot!$AD$1:$BE$65000,$B504,Y$5)=1,1,IF(AND(Y503&gt;=1,Y503&lt;=9,ROW()&lt;=cur_line),Y503+1,0)),0)</f>
        <v>0</v>
      </c>
      <c r="Z504" s="194">
        <f>IFERROR(IF(INDEX([1]Pivot!$AD$1:$BE$65000,$B504,Z$5)=1,1,IF(AND(Z503&gt;=1,Z503&lt;=9,ROW()&lt;=cur_line),Z503+1,0)),0)</f>
        <v>0</v>
      </c>
      <c r="AA504" s="194">
        <f>IFERROR(IF(INDEX([1]Pivot!$AD$1:$BE$65000,$B504,AA$5)=1,1,IF(AND(AA503&gt;=1,AA503&lt;=9,ROW()&lt;=cur_line),AA503+1,0)),0)</f>
        <v>0</v>
      </c>
      <c r="AB504" s="194">
        <f>IFERROR(IF(INDEX([1]Pivot!$AD$1:$BE$65000,$B504,AB$5)=1,1,IF(AND(AB503&gt;=1,AB503&lt;=9,ROW()&lt;=cur_line),AB503+1,0)),0)</f>
        <v>0</v>
      </c>
      <c r="AC504" s="194">
        <f>IFERROR(IF(INDEX([1]Pivot!$AD$1:$BE$65000,$B504,AC$5)=1,1,IF(AND(AC503&gt;=1,AC503&lt;=9,ROW()&lt;=cur_line),AC503+1,0)),0)</f>
        <v>0</v>
      </c>
      <c r="AD504" s="313">
        <f>IFERROR(IF(INDEX([1]Pivot!$BF$1:$CG$65000,$B504,AD$5)=1,1,IF(AND(AD503&gt;=1,AD503&lt;=9,ROW()&lt;=cur_line),AD503+1,0)),0)</f>
        <v>0</v>
      </c>
      <c r="AE504" s="313">
        <f>IFERROR(IF(INDEX([1]Pivot!$BF$1:$CG$65000,$B504,AE$5)=1,1,IF(AND(AE503&gt;=1,AE503&lt;=9,ROW()&lt;=cur_line),AE503+1,0)),0)</f>
        <v>0</v>
      </c>
      <c r="AF504" s="313">
        <f>IFERROR(IF(INDEX([1]Pivot!$BF$1:$CG$65000,$B504,AF$5)=1,1,IF(AND(AF503&gt;=1,AF503&lt;=9,ROW()&lt;=cur_line),AF503+1,0)),0)</f>
        <v>0</v>
      </c>
      <c r="AG504" s="313">
        <f>IFERROR(IF(INDEX([1]Pivot!$BF$1:$CG$65000,$B504,AG$5)=1,1,IF(AND(AG503&gt;=1,AG503&lt;=9,ROW()&lt;=cur_line),AG503+1,0)),0)</f>
        <v>0</v>
      </c>
      <c r="AH504" s="313">
        <f>IFERROR(IF(INDEX([1]Pivot!$BF$1:$CG$65000,$B504,AH$5)=1,1,IF(AND(AH503&gt;=1,AH503&lt;=9,ROW()&lt;=cur_line),AH503+1,0)),0)</f>
        <v>0</v>
      </c>
      <c r="AI504" s="313">
        <f>IFERROR(IF(INDEX([1]Pivot!$BF$1:$CG$65000,$B504,AI$5)=1,1,IF(AND(AI503&gt;=1,AI503&lt;=9,ROW()&lt;=cur_line),AI503+1,0)),0)</f>
        <v>0</v>
      </c>
      <c r="AJ504" s="313">
        <f>IFERROR(IF(INDEX([1]Pivot!$BF$1:$CG$65000,$B504,AJ$5)=1,1,IF(AND(AJ503&gt;=1,AJ503&lt;=9,ROW()&lt;=cur_line),AJ503+1,0)),0)</f>
        <v>0</v>
      </c>
      <c r="AK504" s="313">
        <f>IFERROR(IF(INDEX([1]Pivot!$BF$1:$CG$65000,$B504,AK$5)=1,1,IF(AND(AK503&gt;=1,AK503&lt;=9,ROW()&lt;=cur_line),AK503+1,0)),0)</f>
        <v>0</v>
      </c>
      <c r="AL504" s="313">
        <f>IFERROR(IF(INDEX([1]Pivot!$BF$1:$CG$65000,$B504,AL$5)=1,1,IF(AND(AL503&gt;=1,AL503&lt;=9,ROW()&lt;=cur_line),AL503+1,0)),0)</f>
        <v>0</v>
      </c>
      <c r="AM504" s="313">
        <f>IFERROR(IF(INDEX([1]Pivot!$BF$1:$CG$65000,$B504,AM$5)=1,1,IF(AND(AM503&gt;=1,AM503&lt;=9,ROW()&lt;=cur_line),AM503+1,0)),0)</f>
        <v>0</v>
      </c>
      <c r="AN504" s="313">
        <f>IFERROR(IF(INDEX([1]Pivot!$BF$1:$CG$65000,$B504,AN$5)=1,1,IF(AND(AN503&gt;=1,AN503&lt;=9,ROW()&lt;=cur_line),AN503+1,0)),0)</f>
        <v>0</v>
      </c>
      <c r="AO504" s="313">
        <f>IFERROR(IF(INDEX([1]Pivot!$BF$1:$CG$65000,$B504,AO$5)=1,1,IF(AND(AO503&gt;=1,AO503&lt;=9,ROW()&lt;=cur_line),AO503+1,0)),0)</f>
        <v>0</v>
      </c>
      <c r="AP504" s="313">
        <f>IFERROR(IF(INDEX([1]Pivot!$BF$1:$CG$65000,$B504,AP$5)=1,1,IF(AND(AP503&gt;=1,AP503&lt;=9,ROW()&lt;=cur_line),AP503+1,0)),0)</f>
        <v>0</v>
      </c>
      <c r="AQ504" s="313">
        <f>IFERROR(IF(INDEX([1]Pivot!$BF$1:$CG$65000,$B504,AQ$5)=1,1,IF(AND(AQ503&gt;=1,AQ503&lt;=9,ROW()&lt;=cur_line),AQ503+1,0)),0)</f>
        <v>0</v>
      </c>
      <c r="AR504" s="313">
        <f>IFERROR(IF(INDEX([1]Pivot!$BF$1:$CG$65000,$B504,AR$5)=1,1,IF(AND(AR503&gt;=1,AR503&lt;=9,ROW()&lt;=cur_line),AR503+1,0)),0)</f>
        <v>0</v>
      </c>
      <c r="AS504" s="312"/>
      <c r="AT504" s="313">
        <f>IFERROR(IF(INDEX([1]Pivot!$BF$1:$CG$65000,$B504,AT$5)=1,1,IF(AND(AT503&gt;=1,AT503&lt;=9,ROW()&lt;=cur_line),AT503+1,0)),0)</f>
        <v>0</v>
      </c>
      <c r="AU504" s="313">
        <f>IFERROR(IF(INDEX([1]Pivot!$BF$1:$CG$65000,$B504,AU$5)=1,1,IF(AND(AU503&gt;=1,AU503&lt;=9,ROW()&lt;=cur_line),AU503+1,0)),0)</f>
        <v>0</v>
      </c>
      <c r="AV504" s="313">
        <f>IFERROR(IF(INDEX([1]Pivot!$BF$1:$CG$65000,$B504,AV$5)=1,1,IF(AND(AV503&gt;=1,AV503&lt;=9,ROW()&lt;=cur_line),AV503+1,0)),0)</f>
        <v>0</v>
      </c>
      <c r="AW504" s="313">
        <f>IFERROR(IF(INDEX([1]Pivot!$BF$1:$CG$65000,$B504,AW$5)=1,1,IF(AND(AW503&gt;=1,AW503&lt;=9,ROW()&lt;=cur_line),AW503+1,0)),0)</f>
        <v>0</v>
      </c>
      <c r="AX504" s="313">
        <f>IFERROR(IF(INDEX([1]Pivot!$BF$1:$CG$65000,$B504,AX$5)=1,1,IF(AND(AX503&gt;=1,AX503&lt;=9,ROW()&lt;=cur_line),AX503+1,0)),0)</f>
        <v>0</v>
      </c>
      <c r="AY504" s="313">
        <f>IFERROR(IF(INDEX([1]Pivot!$BF$1:$CG$65000,$B504,AY$5)=1,1,IF(AND(AY503&gt;=1,AY503&lt;=9,ROW()&lt;=cur_line),AY503+1,0)),0)</f>
        <v>0</v>
      </c>
      <c r="AZ504" s="313">
        <f>IFERROR(IF(INDEX([1]Pivot!$BF$1:$CG$65000,$B504,AZ$5)=1,1,IF(AND(AZ503&gt;=1,AZ503&lt;=9,ROW()&lt;=cur_line),AZ503+1,0)),0)</f>
        <v>0</v>
      </c>
      <c r="BA504" s="313">
        <f>IFERROR(IF(INDEX([1]Pivot!$BF$1:$CG$65000,$B504,BA$5)=1,1,IF(AND(BA503&gt;=1,BA503&lt;=9,ROW()&lt;=cur_line),BA503+1,0)),0)</f>
        <v>0</v>
      </c>
      <c r="BB504" s="313">
        <f>IFERROR(IF(INDEX([1]Pivot!$BF$1:$CG$65000,$B504,BB$5)=1,1,IF(AND(BB503&gt;=1,BB503&lt;=9,ROW()&lt;=cur_line),BB503+1,0)),0)</f>
        <v>0</v>
      </c>
      <c r="BC504" s="313">
        <f>IFERROR(IF(INDEX([1]Pivot!$BF$1:$CG$65000,$B504,BC$5)=1,1,IF(AND(BC503&gt;=1,BC503&lt;=9,ROW()&lt;=cur_line),BC503+1,0)),0)</f>
        <v>0</v>
      </c>
      <c r="BD504" s="313">
        <f>IFERROR(IF(INDEX([1]Pivot!$BF$1:$CG$65000,$B504,BD$5)=1,1,IF(AND(BD503&gt;=1,BD503&lt;=9,ROW()&lt;=cur_line),BD503+1,0)),0)</f>
        <v>0</v>
      </c>
    </row>
    <row r="505" spans="1:56" hidden="1" outlineLevel="1" x14ac:dyDescent="0.25">
      <c r="A505" s="288" t="str">
        <f>'[2]Raw Milk Prices'!A505</f>
        <v>2018m06</v>
      </c>
      <c r="B505" s="296" t="e">
        <f>MATCH(DATE(LEFT('[2]Raw Milk Prices'!$A505,4),RIGHT('[2]Raw Milk Prices'!$A505,2),1),[1]Pivot!$A$1:$A$65000,0)</f>
        <v>#N/A</v>
      </c>
      <c r="C505" s="194">
        <f>IFERROR(IF(INDEX([1]Pivot!$AD$1:$BE$65000,$B505,C$5)=1,1,IF(AND(C504&gt;=1,C504&lt;=9,ROW()&lt;=cur_line),C504+1,0)),0)</f>
        <v>0</v>
      </c>
      <c r="D505" s="194">
        <f>IFERROR(IF(INDEX([1]Pivot!$AD$1:$BE$65000,$B505,D$5)=1,1,IF(AND(D504&gt;=1,D504&lt;=9,ROW()&lt;=cur_line),D504+1,0)),0)</f>
        <v>0</v>
      </c>
      <c r="E505" s="194">
        <f>IFERROR(IF(INDEX([1]Pivot!$AD$1:$BE$65000,$B505,E$5)=1,1,IF(AND(E504&gt;=1,E504&lt;=9,ROW()&lt;=cur_line),E504+1,0)),0)</f>
        <v>0</v>
      </c>
      <c r="F505" s="194">
        <f>IFERROR(IF(INDEX([1]Pivot!$AD$1:$BE$65000,$B505,F$5)=1,1,IF(AND(F504&gt;=1,F504&lt;=9,ROW()&lt;=cur_line),F504+1,0)),0)</f>
        <v>0</v>
      </c>
      <c r="G505" s="194">
        <f>IFERROR(IF(INDEX([1]Pivot!$AD$1:$BE$65000,$B505,G$5)=1,1,IF(AND(G504&gt;=1,G504&lt;=9,ROW()&lt;=cur_line),G504+1,0)),0)</f>
        <v>0</v>
      </c>
      <c r="H505" s="194">
        <f>IFERROR(IF(INDEX([1]Pivot!$AD$1:$BE$65000,$B505,H$5)=1,1,IF(AND(H504&gt;=1,H504&lt;=9,ROW()&lt;=cur_line),H504+1,0)),0)</f>
        <v>0</v>
      </c>
      <c r="I505" s="194">
        <f>IFERROR(IF(INDEX([1]Pivot!$AD$1:$BE$65000,$B505,I$5)=1,1,IF(AND(I504&gt;=1,I504&lt;=9,ROW()&lt;=cur_line),I504+1,0)),0)</f>
        <v>0</v>
      </c>
      <c r="J505" s="194">
        <f>IFERROR(IF(INDEX([1]Pivot!$AD$1:$BE$65000,$B505,J$5)=1,1,IF(AND(J504&gt;=1,J504&lt;=9,ROW()&lt;=cur_line),J504+1,0)),0)</f>
        <v>0</v>
      </c>
      <c r="K505" s="194">
        <f>IFERROR(IF(INDEX([1]Pivot!$AD$1:$BE$65000,$B505,K$5)=1,1,IF(AND(K504&gt;=1,K504&lt;=9,ROW()&lt;=cur_line),K504+1,0)),0)</f>
        <v>0</v>
      </c>
      <c r="L505" s="194">
        <f>IFERROR(IF(INDEX([1]Pivot!$AD$1:$BE$65000,$B505,L$5)=1,1,IF(AND(L504&gt;=1,L504&lt;=9,ROW()&lt;=cur_line),L504+1,0)),0)</f>
        <v>0</v>
      </c>
      <c r="M505" s="194">
        <f>IFERROR(IF(INDEX([1]Pivot!$AD$1:$BE$65000,$B505,M$5)=1,1,IF(AND(M504&gt;=1,M504&lt;=9,ROW()&lt;=cur_line),M504+1,0)),0)</f>
        <v>0</v>
      </c>
      <c r="N505" s="194">
        <f>IFERROR(IF(INDEX([1]Pivot!$AD$1:$BE$65000,$B505,N$5)=1,1,IF(AND(N504&gt;=1,N504&lt;=9,ROW()&lt;=cur_line),N504+1,0)),0)</f>
        <v>0</v>
      </c>
      <c r="O505" s="194">
        <f>IFERROR(IF(INDEX([1]Pivot!$AD$1:$BE$65000,$B505,O$5)=1,1,IF(AND(O504&gt;=1,O504&lt;=9,ROW()&lt;=cur_line),O504+1,0)),0)</f>
        <v>0</v>
      </c>
      <c r="P505" s="194">
        <f>IFERROR(IF(INDEX([1]Pivot!$AD$1:$BE$65000,$B505,P$5)=1,1,IF(AND(P504&gt;=1,P504&lt;=9,ROW()&lt;=cur_line),P504+1,0)),0)</f>
        <v>0</v>
      </c>
      <c r="Q505" s="194">
        <f>IFERROR(IF(INDEX([1]Pivot!$AD$1:$BE$65000,$B505,Q$5)=1,1,IF(AND(Q504&gt;=1,Q504&lt;=9,ROW()&lt;=cur_line),Q504+1,0)),0)</f>
        <v>0</v>
      </c>
      <c r="R505" s="312"/>
      <c r="S505" s="194">
        <f>IFERROR(IF(INDEX([1]Pivot!$AD$1:$BE$65000,$B505,S$5)=1,1,IF(AND(S504&gt;=1,S504&lt;=9,ROW()&lt;=cur_line),S504+1,0)),0)</f>
        <v>0</v>
      </c>
      <c r="T505" s="194">
        <f>IFERROR(IF(INDEX([1]Pivot!$AD$1:$BE$65000,$B505,T$5)=1,1,IF(AND(T504&gt;=1,T504&lt;=9,ROW()&lt;=cur_line),T504+1,0)),0)</f>
        <v>0</v>
      </c>
      <c r="U505" s="194">
        <f>IFERROR(IF(INDEX([1]Pivot!$AD$1:$BE$65000,$B505,U$5)=1,1,IF(AND(U504&gt;=1,U504&lt;=9,ROW()&lt;=cur_line),U504+1,0)),0)</f>
        <v>0</v>
      </c>
      <c r="V505" s="194">
        <f>IFERROR(IF(INDEX([1]Pivot!$AD$1:$BE$65000,$B505,V$5)=1,1,IF(AND(V504&gt;=1,V504&lt;=9,ROW()&lt;=cur_line),V504+1,0)),0)</f>
        <v>0</v>
      </c>
      <c r="W505" s="194">
        <f>IFERROR(IF(INDEX([1]Pivot!$AD$1:$BE$65000,$B505,W$5)=1,1,IF(AND(W504&gt;=1,W504&lt;=9,ROW()&lt;=cur_line),W504+1,0)),0)</f>
        <v>0</v>
      </c>
      <c r="X505" s="194">
        <f>IFERROR(IF(INDEX([1]Pivot!$AD$1:$BE$65000,$B505,X$5)=1,1,IF(AND(X504&gt;=1,X504&lt;=9,ROW()&lt;=cur_line),X504+1,0)),0)</f>
        <v>0</v>
      </c>
      <c r="Y505" s="194">
        <f>IFERROR(IF(INDEX([1]Pivot!$AD$1:$BE$65000,$B505,Y$5)=1,1,IF(AND(Y504&gt;=1,Y504&lt;=9,ROW()&lt;=cur_line),Y504+1,0)),0)</f>
        <v>0</v>
      </c>
      <c r="Z505" s="194">
        <f>IFERROR(IF(INDEX([1]Pivot!$AD$1:$BE$65000,$B505,Z$5)=1,1,IF(AND(Z504&gt;=1,Z504&lt;=9,ROW()&lt;=cur_line),Z504+1,0)),0)</f>
        <v>0</v>
      </c>
      <c r="AA505" s="194">
        <f>IFERROR(IF(INDEX([1]Pivot!$AD$1:$BE$65000,$B505,AA$5)=1,1,IF(AND(AA504&gt;=1,AA504&lt;=9,ROW()&lt;=cur_line),AA504+1,0)),0)</f>
        <v>0</v>
      </c>
      <c r="AB505" s="194">
        <f>IFERROR(IF(INDEX([1]Pivot!$AD$1:$BE$65000,$B505,AB$5)=1,1,IF(AND(AB504&gt;=1,AB504&lt;=9,ROW()&lt;=cur_line),AB504+1,0)),0)</f>
        <v>0</v>
      </c>
      <c r="AC505" s="194">
        <f>IFERROR(IF(INDEX([1]Pivot!$AD$1:$BE$65000,$B505,AC$5)=1,1,IF(AND(AC504&gt;=1,AC504&lt;=9,ROW()&lt;=cur_line),AC504+1,0)),0)</f>
        <v>0</v>
      </c>
      <c r="AD505" s="313">
        <f>IFERROR(IF(INDEX([1]Pivot!$BF$1:$CG$65000,$B505,AD$5)=1,1,IF(AND(AD504&gt;=1,AD504&lt;=9,ROW()&lt;=cur_line),AD504+1,0)),0)</f>
        <v>0</v>
      </c>
      <c r="AE505" s="313">
        <f>IFERROR(IF(INDEX([1]Pivot!$BF$1:$CG$65000,$B505,AE$5)=1,1,IF(AND(AE504&gt;=1,AE504&lt;=9,ROW()&lt;=cur_line),AE504+1,0)),0)</f>
        <v>0</v>
      </c>
      <c r="AF505" s="313">
        <f>IFERROR(IF(INDEX([1]Pivot!$BF$1:$CG$65000,$B505,AF$5)=1,1,IF(AND(AF504&gt;=1,AF504&lt;=9,ROW()&lt;=cur_line),AF504+1,0)),0)</f>
        <v>0</v>
      </c>
      <c r="AG505" s="313">
        <f>IFERROR(IF(INDEX([1]Pivot!$BF$1:$CG$65000,$B505,AG$5)=1,1,IF(AND(AG504&gt;=1,AG504&lt;=9,ROW()&lt;=cur_line),AG504+1,0)),0)</f>
        <v>0</v>
      </c>
      <c r="AH505" s="313">
        <f>IFERROR(IF(INDEX([1]Pivot!$BF$1:$CG$65000,$B505,AH$5)=1,1,IF(AND(AH504&gt;=1,AH504&lt;=9,ROW()&lt;=cur_line),AH504+1,0)),0)</f>
        <v>0</v>
      </c>
      <c r="AI505" s="313">
        <f>IFERROR(IF(INDEX([1]Pivot!$BF$1:$CG$65000,$B505,AI$5)=1,1,IF(AND(AI504&gt;=1,AI504&lt;=9,ROW()&lt;=cur_line),AI504+1,0)),0)</f>
        <v>0</v>
      </c>
      <c r="AJ505" s="313">
        <f>IFERROR(IF(INDEX([1]Pivot!$BF$1:$CG$65000,$B505,AJ$5)=1,1,IF(AND(AJ504&gt;=1,AJ504&lt;=9,ROW()&lt;=cur_line),AJ504+1,0)),0)</f>
        <v>0</v>
      </c>
      <c r="AK505" s="313">
        <f>IFERROR(IF(INDEX([1]Pivot!$BF$1:$CG$65000,$B505,AK$5)=1,1,IF(AND(AK504&gt;=1,AK504&lt;=9,ROW()&lt;=cur_line),AK504+1,0)),0)</f>
        <v>0</v>
      </c>
      <c r="AL505" s="313">
        <f>IFERROR(IF(INDEX([1]Pivot!$BF$1:$CG$65000,$B505,AL$5)=1,1,IF(AND(AL504&gt;=1,AL504&lt;=9,ROW()&lt;=cur_line),AL504+1,0)),0)</f>
        <v>0</v>
      </c>
      <c r="AM505" s="313">
        <f>IFERROR(IF(INDEX([1]Pivot!$BF$1:$CG$65000,$B505,AM$5)=1,1,IF(AND(AM504&gt;=1,AM504&lt;=9,ROW()&lt;=cur_line),AM504+1,0)),0)</f>
        <v>0</v>
      </c>
      <c r="AN505" s="313">
        <f>IFERROR(IF(INDEX([1]Pivot!$BF$1:$CG$65000,$B505,AN$5)=1,1,IF(AND(AN504&gt;=1,AN504&lt;=9,ROW()&lt;=cur_line),AN504+1,0)),0)</f>
        <v>0</v>
      </c>
      <c r="AO505" s="313">
        <f>IFERROR(IF(INDEX([1]Pivot!$BF$1:$CG$65000,$B505,AO$5)=1,1,IF(AND(AO504&gt;=1,AO504&lt;=9,ROW()&lt;=cur_line),AO504+1,0)),0)</f>
        <v>0</v>
      </c>
      <c r="AP505" s="313">
        <f>IFERROR(IF(INDEX([1]Pivot!$BF$1:$CG$65000,$B505,AP$5)=1,1,IF(AND(AP504&gt;=1,AP504&lt;=9,ROW()&lt;=cur_line),AP504+1,0)),0)</f>
        <v>0</v>
      </c>
      <c r="AQ505" s="313">
        <f>IFERROR(IF(INDEX([1]Pivot!$BF$1:$CG$65000,$B505,AQ$5)=1,1,IF(AND(AQ504&gt;=1,AQ504&lt;=9,ROW()&lt;=cur_line),AQ504+1,0)),0)</f>
        <v>0</v>
      </c>
      <c r="AR505" s="313">
        <f>IFERROR(IF(INDEX([1]Pivot!$BF$1:$CG$65000,$B505,AR$5)=1,1,IF(AND(AR504&gt;=1,AR504&lt;=9,ROW()&lt;=cur_line),AR504+1,0)),0)</f>
        <v>0</v>
      </c>
      <c r="AS505" s="312"/>
      <c r="AT505" s="313">
        <f>IFERROR(IF(INDEX([1]Pivot!$BF$1:$CG$65000,$B505,AT$5)=1,1,IF(AND(AT504&gt;=1,AT504&lt;=9,ROW()&lt;=cur_line),AT504+1,0)),0)</f>
        <v>0</v>
      </c>
      <c r="AU505" s="313">
        <f>IFERROR(IF(INDEX([1]Pivot!$BF$1:$CG$65000,$B505,AU$5)=1,1,IF(AND(AU504&gt;=1,AU504&lt;=9,ROW()&lt;=cur_line),AU504+1,0)),0)</f>
        <v>0</v>
      </c>
      <c r="AV505" s="313">
        <f>IFERROR(IF(INDEX([1]Pivot!$BF$1:$CG$65000,$B505,AV$5)=1,1,IF(AND(AV504&gt;=1,AV504&lt;=9,ROW()&lt;=cur_line),AV504+1,0)),0)</f>
        <v>0</v>
      </c>
      <c r="AW505" s="313">
        <f>IFERROR(IF(INDEX([1]Pivot!$BF$1:$CG$65000,$B505,AW$5)=1,1,IF(AND(AW504&gt;=1,AW504&lt;=9,ROW()&lt;=cur_line),AW504+1,0)),0)</f>
        <v>0</v>
      </c>
      <c r="AX505" s="313">
        <f>IFERROR(IF(INDEX([1]Pivot!$BF$1:$CG$65000,$B505,AX$5)=1,1,IF(AND(AX504&gt;=1,AX504&lt;=9,ROW()&lt;=cur_line),AX504+1,0)),0)</f>
        <v>0</v>
      </c>
      <c r="AY505" s="313">
        <f>IFERROR(IF(INDEX([1]Pivot!$BF$1:$CG$65000,$B505,AY$5)=1,1,IF(AND(AY504&gt;=1,AY504&lt;=9,ROW()&lt;=cur_line),AY504+1,0)),0)</f>
        <v>0</v>
      </c>
      <c r="AZ505" s="313">
        <f>IFERROR(IF(INDEX([1]Pivot!$BF$1:$CG$65000,$B505,AZ$5)=1,1,IF(AND(AZ504&gt;=1,AZ504&lt;=9,ROW()&lt;=cur_line),AZ504+1,0)),0)</f>
        <v>0</v>
      </c>
      <c r="BA505" s="313">
        <f>IFERROR(IF(INDEX([1]Pivot!$BF$1:$CG$65000,$B505,BA$5)=1,1,IF(AND(BA504&gt;=1,BA504&lt;=9,ROW()&lt;=cur_line),BA504+1,0)),0)</f>
        <v>0</v>
      </c>
      <c r="BB505" s="313">
        <f>IFERROR(IF(INDEX([1]Pivot!$BF$1:$CG$65000,$B505,BB$5)=1,1,IF(AND(BB504&gt;=1,BB504&lt;=9,ROW()&lt;=cur_line),BB504+1,0)),0)</f>
        <v>0</v>
      </c>
      <c r="BC505" s="313">
        <f>IFERROR(IF(INDEX([1]Pivot!$BF$1:$CG$65000,$B505,BC$5)=1,1,IF(AND(BC504&gt;=1,BC504&lt;=9,ROW()&lt;=cur_line),BC504+1,0)),0)</f>
        <v>0</v>
      </c>
      <c r="BD505" s="313">
        <f>IFERROR(IF(INDEX([1]Pivot!$BF$1:$CG$65000,$B505,BD$5)=1,1,IF(AND(BD504&gt;=1,BD504&lt;=9,ROW()&lt;=cur_line),BD504+1,0)),0)</f>
        <v>0</v>
      </c>
    </row>
    <row r="506" spans="1:56" hidden="1" outlineLevel="1" x14ac:dyDescent="0.25">
      <c r="A506" s="288" t="str">
        <f>'[2]Raw Milk Prices'!A506</f>
        <v>2018m07</v>
      </c>
      <c r="B506" s="296" t="e">
        <f>MATCH(DATE(LEFT('[2]Raw Milk Prices'!$A506,4),RIGHT('[2]Raw Milk Prices'!$A506,2),1),[1]Pivot!$A$1:$A$65000,0)</f>
        <v>#N/A</v>
      </c>
      <c r="C506" s="194">
        <f>IFERROR(IF(INDEX([1]Pivot!$AD$1:$BE$65000,$B506,C$5)=1,1,IF(AND(C505&gt;=1,C505&lt;=9,ROW()&lt;=cur_line),C505+1,0)),0)</f>
        <v>0</v>
      </c>
      <c r="D506" s="194">
        <f>IFERROR(IF(INDEX([1]Pivot!$AD$1:$BE$65000,$B506,D$5)=1,1,IF(AND(D505&gt;=1,D505&lt;=9,ROW()&lt;=cur_line),D505+1,0)),0)</f>
        <v>0</v>
      </c>
      <c r="E506" s="194">
        <f>IFERROR(IF(INDEX([1]Pivot!$AD$1:$BE$65000,$B506,E$5)=1,1,IF(AND(E505&gt;=1,E505&lt;=9,ROW()&lt;=cur_line),E505+1,0)),0)</f>
        <v>0</v>
      </c>
      <c r="F506" s="194">
        <f>IFERROR(IF(INDEX([1]Pivot!$AD$1:$BE$65000,$B506,F$5)=1,1,IF(AND(F505&gt;=1,F505&lt;=9,ROW()&lt;=cur_line),F505+1,0)),0)</f>
        <v>0</v>
      </c>
      <c r="G506" s="194">
        <f>IFERROR(IF(INDEX([1]Pivot!$AD$1:$BE$65000,$B506,G$5)=1,1,IF(AND(G505&gt;=1,G505&lt;=9,ROW()&lt;=cur_line),G505+1,0)),0)</f>
        <v>0</v>
      </c>
      <c r="H506" s="194">
        <f>IFERROR(IF(INDEX([1]Pivot!$AD$1:$BE$65000,$B506,H$5)=1,1,IF(AND(H505&gt;=1,H505&lt;=9,ROW()&lt;=cur_line),H505+1,0)),0)</f>
        <v>0</v>
      </c>
      <c r="I506" s="194">
        <f>IFERROR(IF(INDEX([1]Pivot!$AD$1:$BE$65000,$B506,I$5)=1,1,IF(AND(I505&gt;=1,I505&lt;=9,ROW()&lt;=cur_line),I505+1,0)),0)</f>
        <v>0</v>
      </c>
      <c r="J506" s="194">
        <f>IFERROR(IF(INDEX([1]Pivot!$AD$1:$BE$65000,$B506,J$5)=1,1,IF(AND(J505&gt;=1,J505&lt;=9,ROW()&lt;=cur_line),J505+1,0)),0)</f>
        <v>0</v>
      </c>
      <c r="K506" s="194">
        <f>IFERROR(IF(INDEX([1]Pivot!$AD$1:$BE$65000,$B506,K$5)=1,1,IF(AND(K505&gt;=1,K505&lt;=9,ROW()&lt;=cur_line),K505+1,0)),0)</f>
        <v>0</v>
      </c>
      <c r="L506" s="194">
        <f>IFERROR(IF(INDEX([1]Pivot!$AD$1:$BE$65000,$B506,L$5)=1,1,IF(AND(L505&gt;=1,L505&lt;=9,ROW()&lt;=cur_line),L505+1,0)),0)</f>
        <v>0</v>
      </c>
      <c r="M506" s="194">
        <f>IFERROR(IF(INDEX([1]Pivot!$AD$1:$BE$65000,$B506,M$5)=1,1,IF(AND(M505&gt;=1,M505&lt;=9,ROW()&lt;=cur_line),M505+1,0)),0)</f>
        <v>0</v>
      </c>
      <c r="N506" s="194">
        <f>IFERROR(IF(INDEX([1]Pivot!$AD$1:$BE$65000,$B506,N$5)=1,1,IF(AND(N505&gt;=1,N505&lt;=9,ROW()&lt;=cur_line),N505+1,0)),0)</f>
        <v>0</v>
      </c>
      <c r="O506" s="194">
        <f>IFERROR(IF(INDEX([1]Pivot!$AD$1:$BE$65000,$B506,O$5)=1,1,IF(AND(O505&gt;=1,O505&lt;=9,ROW()&lt;=cur_line),O505+1,0)),0)</f>
        <v>0</v>
      </c>
      <c r="P506" s="194">
        <f>IFERROR(IF(INDEX([1]Pivot!$AD$1:$BE$65000,$B506,P$5)=1,1,IF(AND(P505&gt;=1,P505&lt;=9,ROW()&lt;=cur_line),P505+1,0)),0)</f>
        <v>0</v>
      </c>
      <c r="Q506" s="194">
        <f>IFERROR(IF(INDEX([1]Pivot!$AD$1:$BE$65000,$B506,Q$5)=1,1,IF(AND(Q505&gt;=1,Q505&lt;=9,ROW()&lt;=cur_line),Q505+1,0)),0)</f>
        <v>0</v>
      </c>
      <c r="R506" s="312"/>
      <c r="S506" s="194">
        <f>IFERROR(IF(INDEX([1]Pivot!$AD$1:$BE$65000,$B506,S$5)=1,1,IF(AND(S505&gt;=1,S505&lt;=9,ROW()&lt;=cur_line),S505+1,0)),0)</f>
        <v>0</v>
      </c>
      <c r="T506" s="194">
        <f>IFERROR(IF(INDEX([1]Pivot!$AD$1:$BE$65000,$B506,T$5)=1,1,IF(AND(T505&gt;=1,T505&lt;=9,ROW()&lt;=cur_line),T505+1,0)),0)</f>
        <v>0</v>
      </c>
      <c r="U506" s="194">
        <f>IFERROR(IF(INDEX([1]Pivot!$AD$1:$BE$65000,$B506,U$5)=1,1,IF(AND(U505&gt;=1,U505&lt;=9,ROW()&lt;=cur_line),U505+1,0)),0)</f>
        <v>0</v>
      </c>
      <c r="V506" s="194">
        <f>IFERROR(IF(INDEX([1]Pivot!$AD$1:$BE$65000,$B506,V$5)=1,1,IF(AND(V505&gt;=1,V505&lt;=9,ROW()&lt;=cur_line),V505+1,0)),0)</f>
        <v>0</v>
      </c>
      <c r="W506" s="194">
        <f>IFERROR(IF(INDEX([1]Pivot!$AD$1:$BE$65000,$B506,W$5)=1,1,IF(AND(W505&gt;=1,W505&lt;=9,ROW()&lt;=cur_line),W505+1,0)),0)</f>
        <v>0</v>
      </c>
      <c r="X506" s="194">
        <f>IFERROR(IF(INDEX([1]Pivot!$AD$1:$BE$65000,$B506,X$5)=1,1,IF(AND(X505&gt;=1,X505&lt;=9,ROW()&lt;=cur_line),X505+1,0)),0)</f>
        <v>0</v>
      </c>
      <c r="Y506" s="194">
        <f>IFERROR(IF(INDEX([1]Pivot!$AD$1:$BE$65000,$B506,Y$5)=1,1,IF(AND(Y505&gt;=1,Y505&lt;=9,ROW()&lt;=cur_line),Y505+1,0)),0)</f>
        <v>0</v>
      </c>
      <c r="Z506" s="194">
        <f>IFERROR(IF(INDEX([1]Pivot!$AD$1:$BE$65000,$B506,Z$5)=1,1,IF(AND(Z505&gt;=1,Z505&lt;=9,ROW()&lt;=cur_line),Z505+1,0)),0)</f>
        <v>0</v>
      </c>
      <c r="AA506" s="194">
        <f>IFERROR(IF(INDEX([1]Pivot!$AD$1:$BE$65000,$B506,AA$5)=1,1,IF(AND(AA505&gt;=1,AA505&lt;=9,ROW()&lt;=cur_line),AA505+1,0)),0)</f>
        <v>0</v>
      </c>
      <c r="AB506" s="194">
        <f>IFERROR(IF(INDEX([1]Pivot!$AD$1:$BE$65000,$B506,AB$5)=1,1,IF(AND(AB505&gt;=1,AB505&lt;=9,ROW()&lt;=cur_line),AB505+1,0)),0)</f>
        <v>0</v>
      </c>
      <c r="AC506" s="194">
        <f>IFERROR(IF(INDEX([1]Pivot!$AD$1:$BE$65000,$B506,AC$5)=1,1,IF(AND(AC505&gt;=1,AC505&lt;=9,ROW()&lt;=cur_line),AC505+1,0)),0)</f>
        <v>0</v>
      </c>
      <c r="AD506" s="313">
        <f>IFERROR(IF(INDEX([1]Pivot!$BF$1:$CG$65000,$B506,AD$5)=1,1,IF(AND(AD505&gt;=1,AD505&lt;=9,ROW()&lt;=cur_line),AD505+1,0)),0)</f>
        <v>0</v>
      </c>
      <c r="AE506" s="313">
        <f>IFERROR(IF(INDEX([1]Pivot!$BF$1:$CG$65000,$B506,AE$5)=1,1,IF(AND(AE505&gt;=1,AE505&lt;=9,ROW()&lt;=cur_line),AE505+1,0)),0)</f>
        <v>0</v>
      </c>
      <c r="AF506" s="313">
        <f>IFERROR(IF(INDEX([1]Pivot!$BF$1:$CG$65000,$B506,AF$5)=1,1,IF(AND(AF505&gt;=1,AF505&lt;=9,ROW()&lt;=cur_line),AF505+1,0)),0)</f>
        <v>0</v>
      </c>
      <c r="AG506" s="313">
        <f>IFERROR(IF(INDEX([1]Pivot!$BF$1:$CG$65000,$B506,AG$5)=1,1,IF(AND(AG505&gt;=1,AG505&lt;=9,ROW()&lt;=cur_line),AG505+1,0)),0)</f>
        <v>0</v>
      </c>
      <c r="AH506" s="313">
        <f>IFERROR(IF(INDEX([1]Pivot!$BF$1:$CG$65000,$B506,AH$5)=1,1,IF(AND(AH505&gt;=1,AH505&lt;=9,ROW()&lt;=cur_line),AH505+1,0)),0)</f>
        <v>0</v>
      </c>
      <c r="AI506" s="313">
        <f>IFERROR(IF(INDEX([1]Pivot!$BF$1:$CG$65000,$B506,AI$5)=1,1,IF(AND(AI505&gt;=1,AI505&lt;=9,ROW()&lt;=cur_line),AI505+1,0)),0)</f>
        <v>0</v>
      </c>
      <c r="AJ506" s="313">
        <f>IFERROR(IF(INDEX([1]Pivot!$BF$1:$CG$65000,$B506,AJ$5)=1,1,IF(AND(AJ505&gt;=1,AJ505&lt;=9,ROW()&lt;=cur_line),AJ505+1,0)),0)</f>
        <v>0</v>
      </c>
      <c r="AK506" s="313">
        <f>IFERROR(IF(INDEX([1]Pivot!$BF$1:$CG$65000,$B506,AK$5)=1,1,IF(AND(AK505&gt;=1,AK505&lt;=9,ROW()&lt;=cur_line),AK505+1,0)),0)</f>
        <v>0</v>
      </c>
      <c r="AL506" s="313">
        <f>IFERROR(IF(INDEX([1]Pivot!$BF$1:$CG$65000,$B506,AL$5)=1,1,IF(AND(AL505&gt;=1,AL505&lt;=9,ROW()&lt;=cur_line),AL505+1,0)),0)</f>
        <v>0</v>
      </c>
      <c r="AM506" s="313">
        <f>IFERROR(IF(INDEX([1]Pivot!$BF$1:$CG$65000,$B506,AM$5)=1,1,IF(AND(AM505&gt;=1,AM505&lt;=9,ROW()&lt;=cur_line),AM505+1,0)),0)</f>
        <v>0</v>
      </c>
      <c r="AN506" s="313">
        <f>IFERROR(IF(INDEX([1]Pivot!$BF$1:$CG$65000,$B506,AN$5)=1,1,IF(AND(AN505&gt;=1,AN505&lt;=9,ROW()&lt;=cur_line),AN505+1,0)),0)</f>
        <v>0</v>
      </c>
      <c r="AO506" s="313">
        <f>IFERROR(IF(INDEX([1]Pivot!$BF$1:$CG$65000,$B506,AO$5)=1,1,IF(AND(AO505&gt;=1,AO505&lt;=9,ROW()&lt;=cur_line),AO505+1,0)),0)</f>
        <v>0</v>
      </c>
      <c r="AP506" s="313">
        <f>IFERROR(IF(INDEX([1]Pivot!$BF$1:$CG$65000,$B506,AP$5)=1,1,IF(AND(AP505&gt;=1,AP505&lt;=9,ROW()&lt;=cur_line),AP505+1,0)),0)</f>
        <v>0</v>
      </c>
      <c r="AQ506" s="313">
        <f>IFERROR(IF(INDEX([1]Pivot!$BF$1:$CG$65000,$B506,AQ$5)=1,1,IF(AND(AQ505&gt;=1,AQ505&lt;=9,ROW()&lt;=cur_line),AQ505+1,0)),0)</f>
        <v>0</v>
      </c>
      <c r="AR506" s="313">
        <f>IFERROR(IF(INDEX([1]Pivot!$BF$1:$CG$65000,$B506,AR$5)=1,1,IF(AND(AR505&gt;=1,AR505&lt;=9,ROW()&lt;=cur_line),AR505+1,0)),0)</f>
        <v>0</v>
      </c>
      <c r="AS506" s="312"/>
      <c r="AT506" s="313">
        <f>IFERROR(IF(INDEX([1]Pivot!$BF$1:$CG$65000,$B506,AT$5)=1,1,IF(AND(AT505&gt;=1,AT505&lt;=9,ROW()&lt;=cur_line),AT505+1,0)),0)</f>
        <v>0</v>
      </c>
      <c r="AU506" s="313">
        <f>IFERROR(IF(INDEX([1]Pivot!$BF$1:$CG$65000,$B506,AU$5)=1,1,IF(AND(AU505&gt;=1,AU505&lt;=9,ROW()&lt;=cur_line),AU505+1,0)),0)</f>
        <v>0</v>
      </c>
      <c r="AV506" s="313">
        <f>IFERROR(IF(INDEX([1]Pivot!$BF$1:$CG$65000,$B506,AV$5)=1,1,IF(AND(AV505&gt;=1,AV505&lt;=9,ROW()&lt;=cur_line),AV505+1,0)),0)</f>
        <v>0</v>
      </c>
      <c r="AW506" s="313">
        <f>IFERROR(IF(INDEX([1]Pivot!$BF$1:$CG$65000,$B506,AW$5)=1,1,IF(AND(AW505&gt;=1,AW505&lt;=9,ROW()&lt;=cur_line),AW505+1,0)),0)</f>
        <v>0</v>
      </c>
      <c r="AX506" s="313">
        <f>IFERROR(IF(INDEX([1]Pivot!$BF$1:$CG$65000,$B506,AX$5)=1,1,IF(AND(AX505&gt;=1,AX505&lt;=9,ROW()&lt;=cur_line),AX505+1,0)),0)</f>
        <v>0</v>
      </c>
      <c r="AY506" s="313">
        <f>IFERROR(IF(INDEX([1]Pivot!$BF$1:$CG$65000,$B506,AY$5)=1,1,IF(AND(AY505&gt;=1,AY505&lt;=9,ROW()&lt;=cur_line),AY505+1,0)),0)</f>
        <v>0</v>
      </c>
      <c r="AZ506" s="313">
        <f>IFERROR(IF(INDEX([1]Pivot!$BF$1:$CG$65000,$B506,AZ$5)=1,1,IF(AND(AZ505&gt;=1,AZ505&lt;=9,ROW()&lt;=cur_line),AZ505+1,0)),0)</f>
        <v>0</v>
      </c>
      <c r="BA506" s="313">
        <f>IFERROR(IF(INDEX([1]Pivot!$BF$1:$CG$65000,$B506,BA$5)=1,1,IF(AND(BA505&gt;=1,BA505&lt;=9,ROW()&lt;=cur_line),BA505+1,0)),0)</f>
        <v>0</v>
      </c>
      <c r="BB506" s="313">
        <f>IFERROR(IF(INDEX([1]Pivot!$BF$1:$CG$65000,$B506,BB$5)=1,1,IF(AND(BB505&gt;=1,BB505&lt;=9,ROW()&lt;=cur_line),BB505+1,0)),0)</f>
        <v>0</v>
      </c>
      <c r="BC506" s="313">
        <f>IFERROR(IF(INDEX([1]Pivot!$BF$1:$CG$65000,$B506,BC$5)=1,1,IF(AND(BC505&gt;=1,BC505&lt;=9,ROW()&lt;=cur_line),BC505+1,0)),0)</f>
        <v>0</v>
      </c>
      <c r="BD506" s="313">
        <f>IFERROR(IF(INDEX([1]Pivot!$BF$1:$CG$65000,$B506,BD$5)=1,1,IF(AND(BD505&gt;=1,BD505&lt;=9,ROW()&lt;=cur_line),BD505+1,0)),0)</f>
        <v>0</v>
      </c>
    </row>
    <row r="507" spans="1:56" hidden="1" outlineLevel="1" x14ac:dyDescent="0.25">
      <c r="A507" s="288" t="str">
        <f>'[2]Raw Milk Prices'!A507</f>
        <v>2018m08</v>
      </c>
      <c r="B507" s="296" t="e">
        <f>MATCH(DATE(LEFT('[2]Raw Milk Prices'!$A507,4),RIGHT('[2]Raw Milk Prices'!$A507,2),1),[1]Pivot!$A$1:$A$65000,0)</f>
        <v>#N/A</v>
      </c>
      <c r="C507" s="194">
        <f>IFERROR(IF(INDEX([1]Pivot!$AD$1:$BE$65000,$B507,C$5)=1,1,IF(AND(C506&gt;=1,C506&lt;=9,ROW()&lt;=cur_line),C506+1,0)),0)</f>
        <v>0</v>
      </c>
      <c r="D507" s="194">
        <f>IFERROR(IF(INDEX([1]Pivot!$AD$1:$BE$65000,$B507,D$5)=1,1,IF(AND(D506&gt;=1,D506&lt;=9,ROW()&lt;=cur_line),D506+1,0)),0)</f>
        <v>0</v>
      </c>
      <c r="E507" s="194">
        <f>IFERROR(IF(INDEX([1]Pivot!$AD$1:$BE$65000,$B507,E$5)=1,1,IF(AND(E506&gt;=1,E506&lt;=9,ROW()&lt;=cur_line),E506+1,0)),0)</f>
        <v>0</v>
      </c>
      <c r="F507" s="194">
        <f>IFERROR(IF(INDEX([1]Pivot!$AD$1:$BE$65000,$B507,F$5)=1,1,IF(AND(F506&gt;=1,F506&lt;=9,ROW()&lt;=cur_line),F506+1,0)),0)</f>
        <v>0</v>
      </c>
      <c r="G507" s="194">
        <f>IFERROR(IF(INDEX([1]Pivot!$AD$1:$BE$65000,$B507,G$5)=1,1,IF(AND(G506&gt;=1,G506&lt;=9,ROW()&lt;=cur_line),G506+1,0)),0)</f>
        <v>0</v>
      </c>
      <c r="H507" s="194">
        <f>IFERROR(IF(INDEX([1]Pivot!$AD$1:$BE$65000,$B507,H$5)=1,1,IF(AND(H506&gt;=1,H506&lt;=9,ROW()&lt;=cur_line),H506+1,0)),0)</f>
        <v>0</v>
      </c>
      <c r="I507" s="194">
        <f>IFERROR(IF(INDEX([1]Pivot!$AD$1:$BE$65000,$B507,I$5)=1,1,IF(AND(I506&gt;=1,I506&lt;=9,ROW()&lt;=cur_line),I506+1,0)),0)</f>
        <v>0</v>
      </c>
      <c r="J507" s="194">
        <f>IFERROR(IF(INDEX([1]Pivot!$AD$1:$BE$65000,$B507,J$5)=1,1,IF(AND(J506&gt;=1,J506&lt;=9,ROW()&lt;=cur_line),J506+1,0)),0)</f>
        <v>0</v>
      </c>
      <c r="K507" s="194">
        <f>IFERROR(IF(INDEX([1]Pivot!$AD$1:$BE$65000,$B507,K$5)=1,1,IF(AND(K506&gt;=1,K506&lt;=9,ROW()&lt;=cur_line),K506+1,0)),0)</f>
        <v>0</v>
      </c>
      <c r="L507" s="194">
        <f>IFERROR(IF(INDEX([1]Pivot!$AD$1:$BE$65000,$B507,L$5)=1,1,IF(AND(L506&gt;=1,L506&lt;=9,ROW()&lt;=cur_line),L506+1,0)),0)</f>
        <v>0</v>
      </c>
      <c r="M507" s="194">
        <f>IFERROR(IF(INDEX([1]Pivot!$AD$1:$BE$65000,$B507,M$5)=1,1,IF(AND(M506&gt;=1,M506&lt;=9,ROW()&lt;=cur_line),M506+1,0)),0)</f>
        <v>0</v>
      </c>
      <c r="N507" s="194">
        <f>IFERROR(IF(INDEX([1]Pivot!$AD$1:$BE$65000,$B507,N$5)=1,1,IF(AND(N506&gt;=1,N506&lt;=9,ROW()&lt;=cur_line),N506+1,0)),0)</f>
        <v>0</v>
      </c>
      <c r="O507" s="194">
        <f>IFERROR(IF(INDEX([1]Pivot!$AD$1:$BE$65000,$B507,O$5)=1,1,IF(AND(O506&gt;=1,O506&lt;=9,ROW()&lt;=cur_line),O506+1,0)),0)</f>
        <v>0</v>
      </c>
      <c r="P507" s="194">
        <f>IFERROR(IF(INDEX([1]Pivot!$AD$1:$BE$65000,$B507,P$5)=1,1,IF(AND(P506&gt;=1,P506&lt;=9,ROW()&lt;=cur_line),P506+1,0)),0)</f>
        <v>0</v>
      </c>
      <c r="Q507" s="194">
        <f>IFERROR(IF(INDEX([1]Pivot!$AD$1:$BE$65000,$B507,Q$5)=1,1,IF(AND(Q506&gt;=1,Q506&lt;=9,ROW()&lt;=cur_line),Q506+1,0)),0)</f>
        <v>0</v>
      </c>
      <c r="R507" s="312"/>
      <c r="S507" s="194">
        <f>IFERROR(IF(INDEX([1]Pivot!$AD$1:$BE$65000,$B507,S$5)=1,1,IF(AND(S506&gt;=1,S506&lt;=9,ROW()&lt;=cur_line),S506+1,0)),0)</f>
        <v>0</v>
      </c>
      <c r="T507" s="194">
        <f>IFERROR(IF(INDEX([1]Pivot!$AD$1:$BE$65000,$B507,T$5)=1,1,IF(AND(T506&gt;=1,T506&lt;=9,ROW()&lt;=cur_line),T506+1,0)),0)</f>
        <v>0</v>
      </c>
      <c r="U507" s="194">
        <f>IFERROR(IF(INDEX([1]Pivot!$AD$1:$BE$65000,$B507,U$5)=1,1,IF(AND(U506&gt;=1,U506&lt;=9,ROW()&lt;=cur_line),U506+1,0)),0)</f>
        <v>0</v>
      </c>
      <c r="V507" s="194">
        <f>IFERROR(IF(INDEX([1]Pivot!$AD$1:$BE$65000,$B507,V$5)=1,1,IF(AND(V506&gt;=1,V506&lt;=9,ROW()&lt;=cur_line),V506+1,0)),0)</f>
        <v>0</v>
      </c>
      <c r="W507" s="194">
        <f>IFERROR(IF(INDEX([1]Pivot!$AD$1:$BE$65000,$B507,W$5)=1,1,IF(AND(W506&gt;=1,W506&lt;=9,ROW()&lt;=cur_line),W506+1,0)),0)</f>
        <v>0</v>
      </c>
      <c r="X507" s="194">
        <f>IFERROR(IF(INDEX([1]Pivot!$AD$1:$BE$65000,$B507,X$5)=1,1,IF(AND(X506&gt;=1,X506&lt;=9,ROW()&lt;=cur_line),X506+1,0)),0)</f>
        <v>0</v>
      </c>
      <c r="Y507" s="194">
        <f>IFERROR(IF(INDEX([1]Pivot!$AD$1:$BE$65000,$B507,Y$5)=1,1,IF(AND(Y506&gt;=1,Y506&lt;=9,ROW()&lt;=cur_line),Y506+1,0)),0)</f>
        <v>0</v>
      </c>
      <c r="Z507" s="194">
        <f>IFERROR(IF(INDEX([1]Pivot!$AD$1:$BE$65000,$B507,Z$5)=1,1,IF(AND(Z506&gt;=1,Z506&lt;=9,ROW()&lt;=cur_line),Z506+1,0)),0)</f>
        <v>0</v>
      </c>
      <c r="AA507" s="194">
        <f>IFERROR(IF(INDEX([1]Pivot!$AD$1:$BE$65000,$B507,AA$5)=1,1,IF(AND(AA506&gt;=1,AA506&lt;=9,ROW()&lt;=cur_line),AA506+1,0)),0)</f>
        <v>0</v>
      </c>
      <c r="AB507" s="194">
        <f>IFERROR(IF(INDEX([1]Pivot!$AD$1:$BE$65000,$B507,AB$5)=1,1,IF(AND(AB506&gt;=1,AB506&lt;=9,ROW()&lt;=cur_line),AB506+1,0)),0)</f>
        <v>0</v>
      </c>
      <c r="AC507" s="194">
        <f>IFERROR(IF(INDEX([1]Pivot!$AD$1:$BE$65000,$B507,AC$5)=1,1,IF(AND(AC506&gt;=1,AC506&lt;=9,ROW()&lt;=cur_line),AC506+1,0)),0)</f>
        <v>0</v>
      </c>
      <c r="AD507" s="313">
        <f>IFERROR(IF(INDEX([1]Pivot!$BF$1:$CG$65000,$B507,AD$5)=1,1,IF(AND(AD506&gt;=1,AD506&lt;=9,ROW()&lt;=cur_line),AD506+1,0)),0)</f>
        <v>0</v>
      </c>
      <c r="AE507" s="313">
        <f>IFERROR(IF(INDEX([1]Pivot!$BF$1:$CG$65000,$B507,AE$5)=1,1,IF(AND(AE506&gt;=1,AE506&lt;=9,ROW()&lt;=cur_line),AE506+1,0)),0)</f>
        <v>0</v>
      </c>
      <c r="AF507" s="313">
        <f>IFERROR(IF(INDEX([1]Pivot!$BF$1:$CG$65000,$B507,AF$5)=1,1,IF(AND(AF506&gt;=1,AF506&lt;=9,ROW()&lt;=cur_line),AF506+1,0)),0)</f>
        <v>0</v>
      </c>
      <c r="AG507" s="313">
        <f>IFERROR(IF(INDEX([1]Pivot!$BF$1:$CG$65000,$B507,AG$5)=1,1,IF(AND(AG506&gt;=1,AG506&lt;=9,ROW()&lt;=cur_line),AG506+1,0)),0)</f>
        <v>0</v>
      </c>
      <c r="AH507" s="313">
        <f>IFERROR(IF(INDEX([1]Pivot!$BF$1:$CG$65000,$B507,AH$5)=1,1,IF(AND(AH506&gt;=1,AH506&lt;=9,ROW()&lt;=cur_line),AH506+1,0)),0)</f>
        <v>0</v>
      </c>
      <c r="AI507" s="313">
        <f>IFERROR(IF(INDEX([1]Pivot!$BF$1:$CG$65000,$B507,AI$5)=1,1,IF(AND(AI506&gt;=1,AI506&lt;=9,ROW()&lt;=cur_line),AI506+1,0)),0)</f>
        <v>0</v>
      </c>
      <c r="AJ507" s="313">
        <f>IFERROR(IF(INDEX([1]Pivot!$BF$1:$CG$65000,$B507,AJ$5)=1,1,IF(AND(AJ506&gt;=1,AJ506&lt;=9,ROW()&lt;=cur_line),AJ506+1,0)),0)</f>
        <v>0</v>
      </c>
      <c r="AK507" s="313">
        <f>IFERROR(IF(INDEX([1]Pivot!$BF$1:$CG$65000,$B507,AK$5)=1,1,IF(AND(AK506&gt;=1,AK506&lt;=9,ROW()&lt;=cur_line),AK506+1,0)),0)</f>
        <v>0</v>
      </c>
      <c r="AL507" s="313">
        <f>IFERROR(IF(INDEX([1]Pivot!$BF$1:$CG$65000,$B507,AL$5)=1,1,IF(AND(AL506&gt;=1,AL506&lt;=9,ROW()&lt;=cur_line),AL506+1,0)),0)</f>
        <v>0</v>
      </c>
      <c r="AM507" s="313">
        <f>IFERROR(IF(INDEX([1]Pivot!$BF$1:$CG$65000,$B507,AM$5)=1,1,IF(AND(AM506&gt;=1,AM506&lt;=9,ROW()&lt;=cur_line),AM506+1,0)),0)</f>
        <v>0</v>
      </c>
      <c r="AN507" s="313">
        <f>IFERROR(IF(INDEX([1]Pivot!$BF$1:$CG$65000,$B507,AN$5)=1,1,IF(AND(AN506&gt;=1,AN506&lt;=9,ROW()&lt;=cur_line),AN506+1,0)),0)</f>
        <v>0</v>
      </c>
      <c r="AO507" s="313">
        <f>IFERROR(IF(INDEX([1]Pivot!$BF$1:$CG$65000,$B507,AO$5)=1,1,IF(AND(AO506&gt;=1,AO506&lt;=9,ROW()&lt;=cur_line),AO506+1,0)),0)</f>
        <v>0</v>
      </c>
      <c r="AP507" s="313">
        <f>IFERROR(IF(INDEX([1]Pivot!$BF$1:$CG$65000,$B507,AP$5)=1,1,IF(AND(AP506&gt;=1,AP506&lt;=9,ROW()&lt;=cur_line),AP506+1,0)),0)</f>
        <v>0</v>
      </c>
      <c r="AQ507" s="313">
        <f>IFERROR(IF(INDEX([1]Pivot!$BF$1:$CG$65000,$B507,AQ$5)=1,1,IF(AND(AQ506&gt;=1,AQ506&lt;=9,ROW()&lt;=cur_line),AQ506+1,0)),0)</f>
        <v>0</v>
      </c>
      <c r="AR507" s="313">
        <f>IFERROR(IF(INDEX([1]Pivot!$BF$1:$CG$65000,$B507,AR$5)=1,1,IF(AND(AR506&gt;=1,AR506&lt;=9,ROW()&lt;=cur_line),AR506+1,0)),0)</f>
        <v>0</v>
      </c>
      <c r="AS507" s="312"/>
      <c r="AT507" s="313">
        <f>IFERROR(IF(INDEX([1]Pivot!$BF$1:$CG$65000,$B507,AT$5)=1,1,IF(AND(AT506&gt;=1,AT506&lt;=9,ROW()&lt;=cur_line),AT506+1,0)),0)</f>
        <v>0</v>
      </c>
      <c r="AU507" s="313">
        <f>IFERROR(IF(INDEX([1]Pivot!$BF$1:$CG$65000,$B507,AU$5)=1,1,IF(AND(AU506&gt;=1,AU506&lt;=9,ROW()&lt;=cur_line),AU506+1,0)),0)</f>
        <v>0</v>
      </c>
      <c r="AV507" s="313">
        <f>IFERROR(IF(INDEX([1]Pivot!$BF$1:$CG$65000,$B507,AV$5)=1,1,IF(AND(AV506&gt;=1,AV506&lt;=9,ROW()&lt;=cur_line),AV506+1,0)),0)</f>
        <v>0</v>
      </c>
      <c r="AW507" s="313">
        <f>IFERROR(IF(INDEX([1]Pivot!$BF$1:$CG$65000,$B507,AW$5)=1,1,IF(AND(AW506&gt;=1,AW506&lt;=9,ROW()&lt;=cur_line),AW506+1,0)),0)</f>
        <v>0</v>
      </c>
      <c r="AX507" s="313">
        <f>IFERROR(IF(INDEX([1]Pivot!$BF$1:$CG$65000,$B507,AX$5)=1,1,IF(AND(AX506&gt;=1,AX506&lt;=9,ROW()&lt;=cur_line),AX506+1,0)),0)</f>
        <v>0</v>
      </c>
      <c r="AY507" s="313">
        <f>IFERROR(IF(INDEX([1]Pivot!$BF$1:$CG$65000,$B507,AY$5)=1,1,IF(AND(AY506&gt;=1,AY506&lt;=9,ROW()&lt;=cur_line),AY506+1,0)),0)</f>
        <v>0</v>
      </c>
      <c r="AZ507" s="313">
        <f>IFERROR(IF(INDEX([1]Pivot!$BF$1:$CG$65000,$B507,AZ$5)=1,1,IF(AND(AZ506&gt;=1,AZ506&lt;=9,ROW()&lt;=cur_line),AZ506+1,0)),0)</f>
        <v>0</v>
      </c>
      <c r="BA507" s="313">
        <f>IFERROR(IF(INDEX([1]Pivot!$BF$1:$CG$65000,$B507,BA$5)=1,1,IF(AND(BA506&gt;=1,BA506&lt;=9,ROW()&lt;=cur_line),BA506+1,0)),0)</f>
        <v>0</v>
      </c>
      <c r="BB507" s="313">
        <f>IFERROR(IF(INDEX([1]Pivot!$BF$1:$CG$65000,$B507,BB$5)=1,1,IF(AND(BB506&gt;=1,BB506&lt;=9,ROW()&lt;=cur_line),BB506+1,0)),0)</f>
        <v>0</v>
      </c>
      <c r="BC507" s="313">
        <f>IFERROR(IF(INDEX([1]Pivot!$BF$1:$CG$65000,$B507,BC$5)=1,1,IF(AND(BC506&gt;=1,BC506&lt;=9,ROW()&lt;=cur_line),BC506+1,0)),0)</f>
        <v>0</v>
      </c>
      <c r="BD507" s="313">
        <f>IFERROR(IF(INDEX([1]Pivot!$BF$1:$CG$65000,$B507,BD$5)=1,1,IF(AND(BD506&gt;=1,BD506&lt;=9,ROW()&lt;=cur_line),BD506+1,0)),0)</f>
        <v>0</v>
      </c>
    </row>
    <row r="508" spans="1:56" hidden="1" outlineLevel="1" x14ac:dyDescent="0.25">
      <c r="A508" s="288" t="str">
        <f>'[2]Raw Milk Prices'!A508</f>
        <v>2018m09</v>
      </c>
      <c r="B508" s="296" t="e">
        <f>MATCH(DATE(LEFT('[2]Raw Milk Prices'!$A508,4),RIGHT('[2]Raw Milk Prices'!$A508,2),1),[1]Pivot!$A$1:$A$65000,0)</f>
        <v>#N/A</v>
      </c>
      <c r="C508" s="194">
        <f>IFERROR(IF(INDEX([1]Pivot!$AD$1:$BE$65000,$B508,C$5)=1,1,IF(AND(C507&gt;=1,C507&lt;=9,ROW()&lt;=cur_line),C507+1,0)),0)</f>
        <v>0</v>
      </c>
      <c r="D508" s="194">
        <f>IFERROR(IF(INDEX([1]Pivot!$AD$1:$BE$65000,$B508,D$5)=1,1,IF(AND(D507&gt;=1,D507&lt;=9,ROW()&lt;=cur_line),D507+1,0)),0)</f>
        <v>0</v>
      </c>
      <c r="E508" s="194">
        <f>IFERROR(IF(INDEX([1]Pivot!$AD$1:$BE$65000,$B508,E$5)=1,1,IF(AND(E507&gt;=1,E507&lt;=9,ROW()&lt;=cur_line),E507+1,0)),0)</f>
        <v>0</v>
      </c>
      <c r="F508" s="194">
        <f>IFERROR(IF(INDEX([1]Pivot!$AD$1:$BE$65000,$B508,F$5)=1,1,IF(AND(F507&gt;=1,F507&lt;=9,ROW()&lt;=cur_line),F507+1,0)),0)</f>
        <v>0</v>
      </c>
      <c r="G508" s="194">
        <f>IFERROR(IF(INDEX([1]Pivot!$AD$1:$BE$65000,$B508,G$5)=1,1,IF(AND(G507&gt;=1,G507&lt;=9,ROW()&lt;=cur_line),G507+1,0)),0)</f>
        <v>0</v>
      </c>
      <c r="H508" s="194">
        <f>IFERROR(IF(INDEX([1]Pivot!$AD$1:$BE$65000,$B508,H$5)=1,1,IF(AND(H507&gt;=1,H507&lt;=9,ROW()&lt;=cur_line),H507+1,0)),0)</f>
        <v>0</v>
      </c>
      <c r="I508" s="194">
        <f>IFERROR(IF(INDEX([1]Pivot!$AD$1:$BE$65000,$B508,I$5)=1,1,IF(AND(I507&gt;=1,I507&lt;=9,ROW()&lt;=cur_line),I507+1,0)),0)</f>
        <v>0</v>
      </c>
      <c r="J508" s="194">
        <f>IFERROR(IF(INDEX([1]Pivot!$AD$1:$BE$65000,$B508,J$5)=1,1,IF(AND(J507&gt;=1,J507&lt;=9,ROW()&lt;=cur_line),J507+1,0)),0)</f>
        <v>0</v>
      </c>
      <c r="K508" s="194">
        <f>IFERROR(IF(INDEX([1]Pivot!$AD$1:$BE$65000,$B508,K$5)=1,1,IF(AND(K507&gt;=1,K507&lt;=9,ROW()&lt;=cur_line),K507+1,0)),0)</f>
        <v>0</v>
      </c>
      <c r="L508" s="194">
        <f>IFERROR(IF(INDEX([1]Pivot!$AD$1:$BE$65000,$B508,L$5)=1,1,IF(AND(L507&gt;=1,L507&lt;=9,ROW()&lt;=cur_line),L507+1,0)),0)</f>
        <v>0</v>
      </c>
      <c r="M508" s="194">
        <f>IFERROR(IF(INDEX([1]Pivot!$AD$1:$BE$65000,$B508,M$5)=1,1,IF(AND(M507&gt;=1,M507&lt;=9,ROW()&lt;=cur_line),M507+1,0)),0)</f>
        <v>0</v>
      </c>
      <c r="N508" s="194">
        <f>IFERROR(IF(INDEX([1]Pivot!$AD$1:$BE$65000,$B508,N$5)=1,1,IF(AND(N507&gt;=1,N507&lt;=9,ROW()&lt;=cur_line),N507+1,0)),0)</f>
        <v>0</v>
      </c>
      <c r="O508" s="194">
        <f>IFERROR(IF(INDEX([1]Pivot!$AD$1:$BE$65000,$B508,O$5)=1,1,IF(AND(O507&gt;=1,O507&lt;=9,ROW()&lt;=cur_line),O507+1,0)),0)</f>
        <v>0</v>
      </c>
      <c r="P508" s="194">
        <f>IFERROR(IF(INDEX([1]Pivot!$AD$1:$BE$65000,$B508,P$5)=1,1,IF(AND(P507&gt;=1,P507&lt;=9,ROW()&lt;=cur_line),P507+1,0)),0)</f>
        <v>0</v>
      </c>
      <c r="Q508" s="194">
        <f>IFERROR(IF(INDEX([1]Pivot!$AD$1:$BE$65000,$B508,Q$5)=1,1,IF(AND(Q507&gt;=1,Q507&lt;=9,ROW()&lt;=cur_line),Q507+1,0)),0)</f>
        <v>0</v>
      </c>
      <c r="R508" s="312"/>
      <c r="S508" s="194">
        <f>IFERROR(IF(INDEX([1]Pivot!$AD$1:$BE$65000,$B508,S$5)=1,1,IF(AND(S507&gt;=1,S507&lt;=9,ROW()&lt;=cur_line),S507+1,0)),0)</f>
        <v>0</v>
      </c>
      <c r="T508" s="194">
        <f>IFERROR(IF(INDEX([1]Pivot!$AD$1:$BE$65000,$B508,T$5)=1,1,IF(AND(T507&gt;=1,T507&lt;=9,ROW()&lt;=cur_line),T507+1,0)),0)</f>
        <v>0</v>
      </c>
      <c r="U508" s="194">
        <f>IFERROR(IF(INDEX([1]Pivot!$AD$1:$BE$65000,$B508,U$5)=1,1,IF(AND(U507&gt;=1,U507&lt;=9,ROW()&lt;=cur_line),U507+1,0)),0)</f>
        <v>0</v>
      </c>
      <c r="V508" s="194">
        <f>IFERROR(IF(INDEX([1]Pivot!$AD$1:$BE$65000,$B508,V$5)=1,1,IF(AND(V507&gt;=1,V507&lt;=9,ROW()&lt;=cur_line),V507+1,0)),0)</f>
        <v>0</v>
      </c>
      <c r="W508" s="194">
        <f>IFERROR(IF(INDEX([1]Pivot!$AD$1:$BE$65000,$B508,W$5)=1,1,IF(AND(W507&gt;=1,W507&lt;=9,ROW()&lt;=cur_line),W507+1,0)),0)</f>
        <v>0</v>
      </c>
      <c r="X508" s="194">
        <f>IFERROR(IF(INDEX([1]Pivot!$AD$1:$BE$65000,$B508,X$5)=1,1,IF(AND(X507&gt;=1,X507&lt;=9,ROW()&lt;=cur_line),X507+1,0)),0)</f>
        <v>0</v>
      </c>
      <c r="Y508" s="194">
        <f>IFERROR(IF(INDEX([1]Pivot!$AD$1:$BE$65000,$B508,Y$5)=1,1,IF(AND(Y507&gt;=1,Y507&lt;=9,ROW()&lt;=cur_line),Y507+1,0)),0)</f>
        <v>0</v>
      </c>
      <c r="Z508" s="194">
        <f>IFERROR(IF(INDEX([1]Pivot!$AD$1:$BE$65000,$B508,Z$5)=1,1,IF(AND(Z507&gt;=1,Z507&lt;=9,ROW()&lt;=cur_line),Z507+1,0)),0)</f>
        <v>0</v>
      </c>
      <c r="AA508" s="194">
        <f>IFERROR(IF(INDEX([1]Pivot!$AD$1:$BE$65000,$B508,AA$5)=1,1,IF(AND(AA507&gt;=1,AA507&lt;=9,ROW()&lt;=cur_line),AA507+1,0)),0)</f>
        <v>0</v>
      </c>
      <c r="AB508" s="194">
        <f>IFERROR(IF(INDEX([1]Pivot!$AD$1:$BE$65000,$B508,AB$5)=1,1,IF(AND(AB507&gt;=1,AB507&lt;=9,ROW()&lt;=cur_line),AB507+1,0)),0)</f>
        <v>0</v>
      </c>
      <c r="AC508" s="194">
        <f>IFERROR(IF(INDEX([1]Pivot!$AD$1:$BE$65000,$B508,AC$5)=1,1,IF(AND(AC507&gt;=1,AC507&lt;=9,ROW()&lt;=cur_line),AC507+1,0)),0)</f>
        <v>0</v>
      </c>
      <c r="AD508" s="313">
        <f>IFERROR(IF(INDEX([1]Pivot!$BF$1:$CG$65000,$B508,AD$5)=1,1,IF(AND(AD507&gt;=1,AD507&lt;=9,ROW()&lt;=cur_line),AD507+1,0)),0)</f>
        <v>0</v>
      </c>
      <c r="AE508" s="313">
        <f>IFERROR(IF(INDEX([1]Pivot!$BF$1:$CG$65000,$B508,AE$5)=1,1,IF(AND(AE507&gt;=1,AE507&lt;=9,ROW()&lt;=cur_line),AE507+1,0)),0)</f>
        <v>0</v>
      </c>
      <c r="AF508" s="313">
        <f>IFERROR(IF(INDEX([1]Pivot!$BF$1:$CG$65000,$B508,AF$5)=1,1,IF(AND(AF507&gt;=1,AF507&lt;=9,ROW()&lt;=cur_line),AF507+1,0)),0)</f>
        <v>0</v>
      </c>
      <c r="AG508" s="313">
        <f>IFERROR(IF(INDEX([1]Pivot!$BF$1:$CG$65000,$B508,AG$5)=1,1,IF(AND(AG507&gt;=1,AG507&lt;=9,ROW()&lt;=cur_line),AG507+1,0)),0)</f>
        <v>0</v>
      </c>
      <c r="AH508" s="313">
        <f>IFERROR(IF(INDEX([1]Pivot!$BF$1:$CG$65000,$B508,AH$5)=1,1,IF(AND(AH507&gt;=1,AH507&lt;=9,ROW()&lt;=cur_line),AH507+1,0)),0)</f>
        <v>0</v>
      </c>
      <c r="AI508" s="313">
        <f>IFERROR(IF(INDEX([1]Pivot!$BF$1:$CG$65000,$B508,AI$5)=1,1,IF(AND(AI507&gt;=1,AI507&lt;=9,ROW()&lt;=cur_line),AI507+1,0)),0)</f>
        <v>0</v>
      </c>
      <c r="AJ508" s="313">
        <f>IFERROR(IF(INDEX([1]Pivot!$BF$1:$CG$65000,$B508,AJ$5)=1,1,IF(AND(AJ507&gt;=1,AJ507&lt;=9,ROW()&lt;=cur_line),AJ507+1,0)),0)</f>
        <v>0</v>
      </c>
      <c r="AK508" s="313">
        <f>IFERROR(IF(INDEX([1]Pivot!$BF$1:$CG$65000,$B508,AK$5)=1,1,IF(AND(AK507&gt;=1,AK507&lt;=9,ROW()&lt;=cur_line),AK507+1,0)),0)</f>
        <v>0</v>
      </c>
      <c r="AL508" s="313">
        <f>IFERROR(IF(INDEX([1]Pivot!$BF$1:$CG$65000,$B508,AL$5)=1,1,IF(AND(AL507&gt;=1,AL507&lt;=9,ROW()&lt;=cur_line),AL507+1,0)),0)</f>
        <v>0</v>
      </c>
      <c r="AM508" s="313">
        <f>IFERROR(IF(INDEX([1]Pivot!$BF$1:$CG$65000,$B508,AM$5)=1,1,IF(AND(AM507&gt;=1,AM507&lt;=9,ROW()&lt;=cur_line),AM507+1,0)),0)</f>
        <v>0</v>
      </c>
      <c r="AN508" s="313">
        <f>IFERROR(IF(INDEX([1]Pivot!$BF$1:$CG$65000,$B508,AN$5)=1,1,IF(AND(AN507&gt;=1,AN507&lt;=9,ROW()&lt;=cur_line),AN507+1,0)),0)</f>
        <v>0</v>
      </c>
      <c r="AO508" s="313">
        <f>IFERROR(IF(INDEX([1]Pivot!$BF$1:$CG$65000,$B508,AO$5)=1,1,IF(AND(AO507&gt;=1,AO507&lt;=9,ROW()&lt;=cur_line),AO507+1,0)),0)</f>
        <v>0</v>
      </c>
      <c r="AP508" s="313">
        <f>IFERROR(IF(INDEX([1]Pivot!$BF$1:$CG$65000,$B508,AP$5)=1,1,IF(AND(AP507&gt;=1,AP507&lt;=9,ROW()&lt;=cur_line),AP507+1,0)),0)</f>
        <v>0</v>
      </c>
      <c r="AQ508" s="313">
        <f>IFERROR(IF(INDEX([1]Pivot!$BF$1:$CG$65000,$B508,AQ$5)=1,1,IF(AND(AQ507&gt;=1,AQ507&lt;=9,ROW()&lt;=cur_line),AQ507+1,0)),0)</f>
        <v>0</v>
      </c>
      <c r="AR508" s="313">
        <f>IFERROR(IF(INDEX([1]Pivot!$BF$1:$CG$65000,$B508,AR$5)=1,1,IF(AND(AR507&gt;=1,AR507&lt;=9,ROW()&lt;=cur_line),AR507+1,0)),0)</f>
        <v>0</v>
      </c>
      <c r="AS508" s="312"/>
      <c r="AT508" s="313">
        <f>IFERROR(IF(INDEX([1]Pivot!$BF$1:$CG$65000,$B508,AT$5)=1,1,IF(AND(AT507&gt;=1,AT507&lt;=9,ROW()&lt;=cur_line),AT507+1,0)),0)</f>
        <v>0</v>
      </c>
      <c r="AU508" s="313">
        <f>IFERROR(IF(INDEX([1]Pivot!$BF$1:$CG$65000,$B508,AU$5)=1,1,IF(AND(AU507&gt;=1,AU507&lt;=9,ROW()&lt;=cur_line),AU507+1,0)),0)</f>
        <v>0</v>
      </c>
      <c r="AV508" s="313">
        <f>IFERROR(IF(INDEX([1]Pivot!$BF$1:$CG$65000,$B508,AV$5)=1,1,IF(AND(AV507&gt;=1,AV507&lt;=9,ROW()&lt;=cur_line),AV507+1,0)),0)</f>
        <v>0</v>
      </c>
      <c r="AW508" s="313">
        <f>IFERROR(IF(INDEX([1]Pivot!$BF$1:$CG$65000,$B508,AW$5)=1,1,IF(AND(AW507&gt;=1,AW507&lt;=9,ROW()&lt;=cur_line),AW507+1,0)),0)</f>
        <v>0</v>
      </c>
      <c r="AX508" s="313">
        <f>IFERROR(IF(INDEX([1]Pivot!$BF$1:$CG$65000,$B508,AX$5)=1,1,IF(AND(AX507&gt;=1,AX507&lt;=9,ROW()&lt;=cur_line),AX507+1,0)),0)</f>
        <v>0</v>
      </c>
      <c r="AY508" s="313">
        <f>IFERROR(IF(INDEX([1]Pivot!$BF$1:$CG$65000,$B508,AY$5)=1,1,IF(AND(AY507&gt;=1,AY507&lt;=9,ROW()&lt;=cur_line),AY507+1,0)),0)</f>
        <v>0</v>
      </c>
      <c r="AZ508" s="313">
        <f>IFERROR(IF(INDEX([1]Pivot!$BF$1:$CG$65000,$B508,AZ$5)=1,1,IF(AND(AZ507&gt;=1,AZ507&lt;=9,ROW()&lt;=cur_line),AZ507+1,0)),0)</f>
        <v>0</v>
      </c>
      <c r="BA508" s="313">
        <f>IFERROR(IF(INDEX([1]Pivot!$BF$1:$CG$65000,$B508,BA$5)=1,1,IF(AND(BA507&gt;=1,BA507&lt;=9,ROW()&lt;=cur_line),BA507+1,0)),0)</f>
        <v>0</v>
      </c>
      <c r="BB508" s="313">
        <f>IFERROR(IF(INDEX([1]Pivot!$BF$1:$CG$65000,$B508,BB$5)=1,1,IF(AND(BB507&gt;=1,BB507&lt;=9,ROW()&lt;=cur_line),BB507+1,0)),0)</f>
        <v>0</v>
      </c>
      <c r="BC508" s="313">
        <f>IFERROR(IF(INDEX([1]Pivot!$BF$1:$CG$65000,$B508,BC$5)=1,1,IF(AND(BC507&gt;=1,BC507&lt;=9,ROW()&lt;=cur_line),BC507+1,0)),0)</f>
        <v>0</v>
      </c>
      <c r="BD508" s="313">
        <f>IFERROR(IF(INDEX([1]Pivot!$BF$1:$CG$65000,$B508,BD$5)=1,1,IF(AND(BD507&gt;=1,BD507&lt;=9,ROW()&lt;=cur_line),BD507+1,0)),0)</f>
        <v>0</v>
      </c>
    </row>
    <row r="509" spans="1:56" hidden="1" outlineLevel="1" x14ac:dyDescent="0.25">
      <c r="A509" s="288" t="str">
        <f>'[2]Raw Milk Prices'!A509</f>
        <v>2018m10</v>
      </c>
      <c r="B509" s="296" t="e">
        <f>MATCH(DATE(LEFT('[2]Raw Milk Prices'!$A509,4),RIGHT('[2]Raw Milk Prices'!$A509,2),1),[1]Pivot!$A$1:$A$65000,0)</f>
        <v>#N/A</v>
      </c>
      <c r="C509" s="194">
        <f>IFERROR(IF(INDEX([1]Pivot!$AD$1:$BE$65000,$B509,C$5)=1,1,IF(AND(C508&gt;=1,C508&lt;=9,ROW()&lt;=cur_line),C508+1,0)),0)</f>
        <v>0</v>
      </c>
      <c r="D509" s="194">
        <f>IFERROR(IF(INDEX([1]Pivot!$AD$1:$BE$65000,$B509,D$5)=1,1,IF(AND(D508&gt;=1,D508&lt;=9,ROW()&lt;=cur_line),D508+1,0)),0)</f>
        <v>0</v>
      </c>
      <c r="E509" s="194">
        <f>IFERROR(IF(INDEX([1]Pivot!$AD$1:$BE$65000,$B509,E$5)=1,1,IF(AND(E508&gt;=1,E508&lt;=9,ROW()&lt;=cur_line),E508+1,0)),0)</f>
        <v>0</v>
      </c>
      <c r="F509" s="194">
        <f>IFERROR(IF(INDEX([1]Pivot!$AD$1:$BE$65000,$B509,F$5)=1,1,IF(AND(F508&gt;=1,F508&lt;=9,ROW()&lt;=cur_line),F508+1,0)),0)</f>
        <v>0</v>
      </c>
      <c r="G509" s="194">
        <f>IFERROR(IF(INDEX([1]Pivot!$AD$1:$BE$65000,$B509,G$5)=1,1,IF(AND(G508&gt;=1,G508&lt;=9,ROW()&lt;=cur_line),G508+1,0)),0)</f>
        <v>0</v>
      </c>
      <c r="H509" s="194">
        <f>IFERROR(IF(INDEX([1]Pivot!$AD$1:$BE$65000,$B509,H$5)=1,1,IF(AND(H508&gt;=1,H508&lt;=9,ROW()&lt;=cur_line),H508+1,0)),0)</f>
        <v>0</v>
      </c>
      <c r="I509" s="194">
        <f>IFERROR(IF(INDEX([1]Pivot!$AD$1:$BE$65000,$B509,I$5)=1,1,IF(AND(I508&gt;=1,I508&lt;=9,ROW()&lt;=cur_line),I508+1,0)),0)</f>
        <v>0</v>
      </c>
      <c r="J509" s="194">
        <f>IFERROR(IF(INDEX([1]Pivot!$AD$1:$BE$65000,$B509,J$5)=1,1,IF(AND(J508&gt;=1,J508&lt;=9,ROW()&lt;=cur_line),J508+1,0)),0)</f>
        <v>0</v>
      </c>
      <c r="K509" s="194">
        <f>IFERROR(IF(INDEX([1]Pivot!$AD$1:$BE$65000,$B509,K$5)=1,1,IF(AND(K508&gt;=1,K508&lt;=9,ROW()&lt;=cur_line),K508+1,0)),0)</f>
        <v>0</v>
      </c>
      <c r="L509" s="194">
        <f>IFERROR(IF(INDEX([1]Pivot!$AD$1:$BE$65000,$B509,L$5)=1,1,IF(AND(L508&gt;=1,L508&lt;=9,ROW()&lt;=cur_line),L508+1,0)),0)</f>
        <v>0</v>
      </c>
      <c r="M509" s="194">
        <f>IFERROR(IF(INDEX([1]Pivot!$AD$1:$BE$65000,$B509,M$5)=1,1,IF(AND(M508&gt;=1,M508&lt;=9,ROW()&lt;=cur_line),M508+1,0)),0)</f>
        <v>0</v>
      </c>
      <c r="N509" s="194">
        <f>IFERROR(IF(INDEX([1]Pivot!$AD$1:$BE$65000,$B509,N$5)=1,1,IF(AND(N508&gt;=1,N508&lt;=9,ROW()&lt;=cur_line),N508+1,0)),0)</f>
        <v>0</v>
      </c>
      <c r="O509" s="194">
        <f>IFERROR(IF(INDEX([1]Pivot!$AD$1:$BE$65000,$B509,O$5)=1,1,IF(AND(O508&gt;=1,O508&lt;=9,ROW()&lt;=cur_line),O508+1,0)),0)</f>
        <v>0</v>
      </c>
      <c r="P509" s="194">
        <f>IFERROR(IF(INDEX([1]Pivot!$AD$1:$BE$65000,$B509,P$5)=1,1,IF(AND(P508&gt;=1,P508&lt;=9,ROW()&lt;=cur_line),P508+1,0)),0)</f>
        <v>0</v>
      </c>
      <c r="Q509" s="194">
        <f>IFERROR(IF(INDEX([1]Pivot!$AD$1:$BE$65000,$B509,Q$5)=1,1,IF(AND(Q508&gt;=1,Q508&lt;=9,ROW()&lt;=cur_line),Q508+1,0)),0)</f>
        <v>0</v>
      </c>
      <c r="R509" s="312"/>
      <c r="S509" s="194">
        <f>IFERROR(IF(INDEX([1]Pivot!$AD$1:$BE$65000,$B509,S$5)=1,1,IF(AND(S508&gt;=1,S508&lt;=9,ROW()&lt;=cur_line),S508+1,0)),0)</f>
        <v>0</v>
      </c>
      <c r="T509" s="194">
        <f>IFERROR(IF(INDEX([1]Pivot!$AD$1:$BE$65000,$B509,T$5)=1,1,IF(AND(T508&gt;=1,T508&lt;=9,ROW()&lt;=cur_line),T508+1,0)),0)</f>
        <v>0</v>
      </c>
      <c r="U509" s="194">
        <f>IFERROR(IF(INDEX([1]Pivot!$AD$1:$BE$65000,$B509,U$5)=1,1,IF(AND(U508&gt;=1,U508&lt;=9,ROW()&lt;=cur_line),U508+1,0)),0)</f>
        <v>0</v>
      </c>
      <c r="V509" s="194">
        <f>IFERROR(IF(INDEX([1]Pivot!$AD$1:$BE$65000,$B509,V$5)=1,1,IF(AND(V508&gt;=1,V508&lt;=9,ROW()&lt;=cur_line),V508+1,0)),0)</f>
        <v>0</v>
      </c>
      <c r="W509" s="194">
        <f>IFERROR(IF(INDEX([1]Pivot!$AD$1:$BE$65000,$B509,W$5)=1,1,IF(AND(W508&gt;=1,W508&lt;=9,ROW()&lt;=cur_line),W508+1,0)),0)</f>
        <v>0</v>
      </c>
      <c r="X509" s="194">
        <f>IFERROR(IF(INDEX([1]Pivot!$AD$1:$BE$65000,$B509,X$5)=1,1,IF(AND(X508&gt;=1,X508&lt;=9,ROW()&lt;=cur_line),X508+1,0)),0)</f>
        <v>0</v>
      </c>
      <c r="Y509" s="194">
        <f>IFERROR(IF(INDEX([1]Pivot!$AD$1:$BE$65000,$B509,Y$5)=1,1,IF(AND(Y508&gt;=1,Y508&lt;=9,ROW()&lt;=cur_line),Y508+1,0)),0)</f>
        <v>0</v>
      </c>
      <c r="Z509" s="194">
        <f>IFERROR(IF(INDEX([1]Pivot!$AD$1:$BE$65000,$B509,Z$5)=1,1,IF(AND(Z508&gt;=1,Z508&lt;=9,ROW()&lt;=cur_line),Z508+1,0)),0)</f>
        <v>0</v>
      </c>
      <c r="AA509" s="194">
        <f>IFERROR(IF(INDEX([1]Pivot!$AD$1:$BE$65000,$B509,AA$5)=1,1,IF(AND(AA508&gt;=1,AA508&lt;=9,ROW()&lt;=cur_line),AA508+1,0)),0)</f>
        <v>0</v>
      </c>
      <c r="AB509" s="194">
        <f>IFERROR(IF(INDEX([1]Pivot!$AD$1:$BE$65000,$B509,AB$5)=1,1,IF(AND(AB508&gt;=1,AB508&lt;=9,ROW()&lt;=cur_line),AB508+1,0)),0)</f>
        <v>0</v>
      </c>
      <c r="AC509" s="194">
        <f>IFERROR(IF(INDEX([1]Pivot!$AD$1:$BE$65000,$B509,AC$5)=1,1,IF(AND(AC508&gt;=1,AC508&lt;=9,ROW()&lt;=cur_line),AC508+1,0)),0)</f>
        <v>0</v>
      </c>
      <c r="AD509" s="313">
        <f>IFERROR(IF(INDEX([1]Pivot!$BF$1:$CG$65000,$B509,AD$5)=1,1,IF(AND(AD508&gt;=1,AD508&lt;=9,ROW()&lt;=cur_line),AD508+1,0)),0)</f>
        <v>0</v>
      </c>
      <c r="AE509" s="313">
        <f>IFERROR(IF(INDEX([1]Pivot!$BF$1:$CG$65000,$B509,AE$5)=1,1,IF(AND(AE508&gt;=1,AE508&lt;=9,ROW()&lt;=cur_line),AE508+1,0)),0)</f>
        <v>0</v>
      </c>
      <c r="AF509" s="313">
        <f>IFERROR(IF(INDEX([1]Pivot!$BF$1:$CG$65000,$B509,AF$5)=1,1,IF(AND(AF508&gt;=1,AF508&lt;=9,ROW()&lt;=cur_line),AF508+1,0)),0)</f>
        <v>0</v>
      </c>
      <c r="AG509" s="313">
        <f>IFERROR(IF(INDEX([1]Pivot!$BF$1:$CG$65000,$B509,AG$5)=1,1,IF(AND(AG508&gt;=1,AG508&lt;=9,ROW()&lt;=cur_line),AG508+1,0)),0)</f>
        <v>0</v>
      </c>
      <c r="AH509" s="313">
        <f>IFERROR(IF(INDEX([1]Pivot!$BF$1:$CG$65000,$B509,AH$5)=1,1,IF(AND(AH508&gt;=1,AH508&lt;=9,ROW()&lt;=cur_line),AH508+1,0)),0)</f>
        <v>0</v>
      </c>
      <c r="AI509" s="313">
        <f>IFERROR(IF(INDEX([1]Pivot!$BF$1:$CG$65000,$B509,AI$5)=1,1,IF(AND(AI508&gt;=1,AI508&lt;=9,ROW()&lt;=cur_line),AI508+1,0)),0)</f>
        <v>0</v>
      </c>
      <c r="AJ509" s="313">
        <f>IFERROR(IF(INDEX([1]Pivot!$BF$1:$CG$65000,$B509,AJ$5)=1,1,IF(AND(AJ508&gt;=1,AJ508&lt;=9,ROW()&lt;=cur_line),AJ508+1,0)),0)</f>
        <v>0</v>
      </c>
      <c r="AK509" s="313">
        <f>IFERROR(IF(INDEX([1]Pivot!$BF$1:$CG$65000,$B509,AK$5)=1,1,IF(AND(AK508&gt;=1,AK508&lt;=9,ROW()&lt;=cur_line),AK508+1,0)),0)</f>
        <v>0</v>
      </c>
      <c r="AL509" s="313">
        <f>IFERROR(IF(INDEX([1]Pivot!$BF$1:$CG$65000,$B509,AL$5)=1,1,IF(AND(AL508&gt;=1,AL508&lt;=9,ROW()&lt;=cur_line),AL508+1,0)),0)</f>
        <v>0</v>
      </c>
      <c r="AM509" s="313">
        <f>IFERROR(IF(INDEX([1]Pivot!$BF$1:$CG$65000,$B509,AM$5)=1,1,IF(AND(AM508&gt;=1,AM508&lt;=9,ROW()&lt;=cur_line),AM508+1,0)),0)</f>
        <v>0</v>
      </c>
      <c r="AN509" s="313">
        <f>IFERROR(IF(INDEX([1]Pivot!$BF$1:$CG$65000,$B509,AN$5)=1,1,IF(AND(AN508&gt;=1,AN508&lt;=9,ROW()&lt;=cur_line),AN508+1,0)),0)</f>
        <v>0</v>
      </c>
      <c r="AO509" s="313">
        <f>IFERROR(IF(INDEX([1]Pivot!$BF$1:$CG$65000,$B509,AO$5)=1,1,IF(AND(AO508&gt;=1,AO508&lt;=9,ROW()&lt;=cur_line),AO508+1,0)),0)</f>
        <v>0</v>
      </c>
      <c r="AP509" s="313">
        <f>IFERROR(IF(INDEX([1]Pivot!$BF$1:$CG$65000,$B509,AP$5)=1,1,IF(AND(AP508&gt;=1,AP508&lt;=9,ROW()&lt;=cur_line),AP508+1,0)),0)</f>
        <v>0</v>
      </c>
      <c r="AQ509" s="313">
        <f>IFERROR(IF(INDEX([1]Pivot!$BF$1:$CG$65000,$B509,AQ$5)=1,1,IF(AND(AQ508&gt;=1,AQ508&lt;=9,ROW()&lt;=cur_line),AQ508+1,0)),0)</f>
        <v>0</v>
      </c>
      <c r="AR509" s="313">
        <f>IFERROR(IF(INDEX([1]Pivot!$BF$1:$CG$65000,$B509,AR$5)=1,1,IF(AND(AR508&gt;=1,AR508&lt;=9,ROW()&lt;=cur_line),AR508+1,0)),0)</f>
        <v>0</v>
      </c>
      <c r="AS509" s="312"/>
      <c r="AT509" s="313">
        <f>IFERROR(IF(INDEX([1]Pivot!$BF$1:$CG$65000,$B509,AT$5)=1,1,IF(AND(AT508&gt;=1,AT508&lt;=9,ROW()&lt;=cur_line),AT508+1,0)),0)</f>
        <v>0</v>
      </c>
      <c r="AU509" s="313">
        <f>IFERROR(IF(INDEX([1]Pivot!$BF$1:$CG$65000,$B509,AU$5)=1,1,IF(AND(AU508&gt;=1,AU508&lt;=9,ROW()&lt;=cur_line),AU508+1,0)),0)</f>
        <v>0</v>
      </c>
      <c r="AV509" s="313">
        <f>IFERROR(IF(INDEX([1]Pivot!$BF$1:$CG$65000,$B509,AV$5)=1,1,IF(AND(AV508&gt;=1,AV508&lt;=9,ROW()&lt;=cur_line),AV508+1,0)),0)</f>
        <v>0</v>
      </c>
      <c r="AW509" s="313">
        <f>IFERROR(IF(INDEX([1]Pivot!$BF$1:$CG$65000,$B509,AW$5)=1,1,IF(AND(AW508&gt;=1,AW508&lt;=9,ROW()&lt;=cur_line),AW508+1,0)),0)</f>
        <v>0</v>
      </c>
      <c r="AX509" s="313">
        <f>IFERROR(IF(INDEX([1]Pivot!$BF$1:$CG$65000,$B509,AX$5)=1,1,IF(AND(AX508&gt;=1,AX508&lt;=9,ROW()&lt;=cur_line),AX508+1,0)),0)</f>
        <v>0</v>
      </c>
      <c r="AY509" s="313">
        <f>IFERROR(IF(INDEX([1]Pivot!$BF$1:$CG$65000,$B509,AY$5)=1,1,IF(AND(AY508&gt;=1,AY508&lt;=9,ROW()&lt;=cur_line),AY508+1,0)),0)</f>
        <v>0</v>
      </c>
      <c r="AZ509" s="313">
        <f>IFERROR(IF(INDEX([1]Pivot!$BF$1:$CG$65000,$B509,AZ$5)=1,1,IF(AND(AZ508&gt;=1,AZ508&lt;=9,ROW()&lt;=cur_line),AZ508+1,0)),0)</f>
        <v>0</v>
      </c>
      <c r="BA509" s="313">
        <f>IFERROR(IF(INDEX([1]Pivot!$BF$1:$CG$65000,$B509,BA$5)=1,1,IF(AND(BA508&gt;=1,BA508&lt;=9,ROW()&lt;=cur_line),BA508+1,0)),0)</f>
        <v>0</v>
      </c>
      <c r="BB509" s="313">
        <f>IFERROR(IF(INDEX([1]Pivot!$BF$1:$CG$65000,$B509,BB$5)=1,1,IF(AND(BB508&gt;=1,BB508&lt;=9,ROW()&lt;=cur_line),BB508+1,0)),0)</f>
        <v>0</v>
      </c>
      <c r="BC509" s="313">
        <f>IFERROR(IF(INDEX([1]Pivot!$BF$1:$CG$65000,$B509,BC$5)=1,1,IF(AND(BC508&gt;=1,BC508&lt;=9,ROW()&lt;=cur_line),BC508+1,0)),0)</f>
        <v>0</v>
      </c>
      <c r="BD509" s="313">
        <f>IFERROR(IF(INDEX([1]Pivot!$BF$1:$CG$65000,$B509,BD$5)=1,1,IF(AND(BD508&gt;=1,BD508&lt;=9,ROW()&lt;=cur_line),BD508+1,0)),0)</f>
        <v>0</v>
      </c>
    </row>
    <row r="510" spans="1:56" hidden="1" outlineLevel="1" x14ac:dyDescent="0.25">
      <c r="A510" s="288" t="str">
        <f>'[2]Raw Milk Prices'!A510</f>
        <v>2018m11</v>
      </c>
      <c r="B510" s="296" t="e">
        <f>MATCH(DATE(LEFT('[2]Raw Milk Prices'!$A510,4),RIGHT('[2]Raw Milk Prices'!$A510,2),1),[1]Pivot!$A$1:$A$65000,0)</f>
        <v>#N/A</v>
      </c>
      <c r="C510" s="194">
        <f>IFERROR(IF(INDEX([1]Pivot!$AD$1:$BE$65000,$B510,C$5)=1,1,IF(AND(C509&gt;=1,C509&lt;=9,ROW()&lt;=cur_line),C509+1,0)),0)</f>
        <v>0</v>
      </c>
      <c r="D510" s="194">
        <f>IFERROR(IF(INDEX([1]Pivot!$AD$1:$BE$65000,$B510,D$5)=1,1,IF(AND(D509&gt;=1,D509&lt;=9,ROW()&lt;=cur_line),D509+1,0)),0)</f>
        <v>0</v>
      </c>
      <c r="E510" s="194">
        <f>IFERROR(IF(INDEX([1]Pivot!$AD$1:$BE$65000,$B510,E$5)=1,1,IF(AND(E509&gt;=1,E509&lt;=9,ROW()&lt;=cur_line),E509+1,0)),0)</f>
        <v>0</v>
      </c>
      <c r="F510" s="194">
        <f>IFERROR(IF(INDEX([1]Pivot!$AD$1:$BE$65000,$B510,F$5)=1,1,IF(AND(F509&gt;=1,F509&lt;=9,ROW()&lt;=cur_line),F509+1,0)),0)</f>
        <v>0</v>
      </c>
      <c r="G510" s="194">
        <f>IFERROR(IF(INDEX([1]Pivot!$AD$1:$BE$65000,$B510,G$5)=1,1,IF(AND(G509&gt;=1,G509&lt;=9,ROW()&lt;=cur_line),G509+1,0)),0)</f>
        <v>0</v>
      </c>
      <c r="H510" s="194">
        <f>IFERROR(IF(INDEX([1]Pivot!$AD$1:$BE$65000,$B510,H$5)=1,1,IF(AND(H509&gt;=1,H509&lt;=9,ROW()&lt;=cur_line),H509+1,0)),0)</f>
        <v>0</v>
      </c>
      <c r="I510" s="194">
        <f>IFERROR(IF(INDEX([1]Pivot!$AD$1:$BE$65000,$B510,I$5)=1,1,IF(AND(I509&gt;=1,I509&lt;=9,ROW()&lt;=cur_line),I509+1,0)),0)</f>
        <v>0</v>
      </c>
      <c r="J510" s="194">
        <f>IFERROR(IF(INDEX([1]Pivot!$AD$1:$BE$65000,$B510,J$5)=1,1,IF(AND(J509&gt;=1,J509&lt;=9,ROW()&lt;=cur_line),J509+1,0)),0)</f>
        <v>0</v>
      </c>
      <c r="K510" s="194">
        <f>IFERROR(IF(INDEX([1]Pivot!$AD$1:$BE$65000,$B510,K$5)=1,1,IF(AND(K509&gt;=1,K509&lt;=9,ROW()&lt;=cur_line),K509+1,0)),0)</f>
        <v>0</v>
      </c>
      <c r="L510" s="194">
        <f>IFERROR(IF(INDEX([1]Pivot!$AD$1:$BE$65000,$B510,L$5)=1,1,IF(AND(L509&gt;=1,L509&lt;=9,ROW()&lt;=cur_line),L509+1,0)),0)</f>
        <v>0</v>
      </c>
      <c r="M510" s="194">
        <f>IFERROR(IF(INDEX([1]Pivot!$AD$1:$BE$65000,$B510,M$5)=1,1,IF(AND(M509&gt;=1,M509&lt;=9,ROW()&lt;=cur_line),M509+1,0)),0)</f>
        <v>0</v>
      </c>
      <c r="N510" s="194">
        <f>IFERROR(IF(INDEX([1]Pivot!$AD$1:$BE$65000,$B510,N$5)=1,1,IF(AND(N509&gt;=1,N509&lt;=9,ROW()&lt;=cur_line),N509+1,0)),0)</f>
        <v>0</v>
      </c>
      <c r="O510" s="194">
        <f>IFERROR(IF(INDEX([1]Pivot!$AD$1:$BE$65000,$B510,O$5)=1,1,IF(AND(O509&gt;=1,O509&lt;=9,ROW()&lt;=cur_line),O509+1,0)),0)</f>
        <v>0</v>
      </c>
      <c r="P510" s="194">
        <f>IFERROR(IF(INDEX([1]Pivot!$AD$1:$BE$65000,$B510,P$5)=1,1,IF(AND(P509&gt;=1,P509&lt;=9,ROW()&lt;=cur_line),P509+1,0)),0)</f>
        <v>0</v>
      </c>
      <c r="Q510" s="194">
        <f>IFERROR(IF(INDEX([1]Pivot!$AD$1:$BE$65000,$B510,Q$5)=1,1,IF(AND(Q509&gt;=1,Q509&lt;=9,ROW()&lt;=cur_line),Q509+1,0)),0)</f>
        <v>0</v>
      </c>
      <c r="R510" s="312"/>
      <c r="S510" s="194">
        <f>IFERROR(IF(INDEX([1]Pivot!$AD$1:$BE$65000,$B510,S$5)=1,1,IF(AND(S509&gt;=1,S509&lt;=9,ROW()&lt;=cur_line),S509+1,0)),0)</f>
        <v>0</v>
      </c>
      <c r="T510" s="194">
        <f>IFERROR(IF(INDEX([1]Pivot!$AD$1:$BE$65000,$B510,T$5)=1,1,IF(AND(T509&gt;=1,T509&lt;=9,ROW()&lt;=cur_line),T509+1,0)),0)</f>
        <v>0</v>
      </c>
      <c r="U510" s="194">
        <f>IFERROR(IF(INDEX([1]Pivot!$AD$1:$BE$65000,$B510,U$5)=1,1,IF(AND(U509&gt;=1,U509&lt;=9,ROW()&lt;=cur_line),U509+1,0)),0)</f>
        <v>0</v>
      </c>
      <c r="V510" s="194">
        <f>IFERROR(IF(INDEX([1]Pivot!$AD$1:$BE$65000,$B510,V$5)=1,1,IF(AND(V509&gt;=1,V509&lt;=9,ROW()&lt;=cur_line),V509+1,0)),0)</f>
        <v>0</v>
      </c>
      <c r="W510" s="194">
        <f>IFERROR(IF(INDEX([1]Pivot!$AD$1:$BE$65000,$B510,W$5)=1,1,IF(AND(W509&gt;=1,W509&lt;=9,ROW()&lt;=cur_line),W509+1,0)),0)</f>
        <v>0</v>
      </c>
      <c r="X510" s="194">
        <f>IFERROR(IF(INDEX([1]Pivot!$AD$1:$BE$65000,$B510,X$5)=1,1,IF(AND(X509&gt;=1,X509&lt;=9,ROW()&lt;=cur_line),X509+1,0)),0)</f>
        <v>0</v>
      </c>
      <c r="Y510" s="194">
        <f>IFERROR(IF(INDEX([1]Pivot!$AD$1:$BE$65000,$B510,Y$5)=1,1,IF(AND(Y509&gt;=1,Y509&lt;=9,ROW()&lt;=cur_line),Y509+1,0)),0)</f>
        <v>0</v>
      </c>
      <c r="Z510" s="194">
        <f>IFERROR(IF(INDEX([1]Pivot!$AD$1:$BE$65000,$B510,Z$5)=1,1,IF(AND(Z509&gt;=1,Z509&lt;=9,ROW()&lt;=cur_line),Z509+1,0)),0)</f>
        <v>0</v>
      </c>
      <c r="AA510" s="194">
        <f>IFERROR(IF(INDEX([1]Pivot!$AD$1:$BE$65000,$B510,AA$5)=1,1,IF(AND(AA509&gt;=1,AA509&lt;=9,ROW()&lt;=cur_line),AA509+1,0)),0)</f>
        <v>0</v>
      </c>
      <c r="AB510" s="194">
        <f>IFERROR(IF(INDEX([1]Pivot!$AD$1:$BE$65000,$B510,AB$5)=1,1,IF(AND(AB509&gt;=1,AB509&lt;=9,ROW()&lt;=cur_line),AB509+1,0)),0)</f>
        <v>0</v>
      </c>
      <c r="AC510" s="194">
        <f>IFERROR(IF(INDEX([1]Pivot!$AD$1:$BE$65000,$B510,AC$5)=1,1,IF(AND(AC509&gt;=1,AC509&lt;=9,ROW()&lt;=cur_line),AC509+1,0)),0)</f>
        <v>0</v>
      </c>
      <c r="AD510" s="313">
        <f>IFERROR(IF(INDEX([1]Pivot!$BF$1:$CG$65000,$B510,AD$5)=1,1,IF(AND(AD509&gt;=1,AD509&lt;=9,ROW()&lt;=cur_line),AD509+1,0)),0)</f>
        <v>0</v>
      </c>
      <c r="AE510" s="313">
        <f>IFERROR(IF(INDEX([1]Pivot!$BF$1:$CG$65000,$B510,AE$5)=1,1,IF(AND(AE509&gt;=1,AE509&lt;=9,ROW()&lt;=cur_line),AE509+1,0)),0)</f>
        <v>0</v>
      </c>
      <c r="AF510" s="313">
        <f>IFERROR(IF(INDEX([1]Pivot!$BF$1:$CG$65000,$B510,AF$5)=1,1,IF(AND(AF509&gt;=1,AF509&lt;=9,ROW()&lt;=cur_line),AF509+1,0)),0)</f>
        <v>0</v>
      </c>
      <c r="AG510" s="313">
        <f>IFERROR(IF(INDEX([1]Pivot!$BF$1:$CG$65000,$B510,AG$5)=1,1,IF(AND(AG509&gt;=1,AG509&lt;=9,ROW()&lt;=cur_line),AG509+1,0)),0)</f>
        <v>0</v>
      </c>
      <c r="AH510" s="313">
        <f>IFERROR(IF(INDEX([1]Pivot!$BF$1:$CG$65000,$B510,AH$5)=1,1,IF(AND(AH509&gt;=1,AH509&lt;=9,ROW()&lt;=cur_line),AH509+1,0)),0)</f>
        <v>0</v>
      </c>
      <c r="AI510" s="313">
        <f>IFERROR(IF(INDEX([1]Pivot!$BF$1:$CG$65000,$B510,AI$5)=1,1,IF(AND(AI509&gt;=1,AI509&lt;=9,ROW()&lt;=cur_line),AI509+1,0)),0)</f>
        <v>0</v>
      </c>
      <c r="AJ510" s="313">
        <f>IFERROR(IF(INDEX([1]Pivot!$BF$1:$CG$65000,$B510,AJ$5)=1,1,IF(AND(AJ509&gt;=1,AJ509&lt;=9,ROW()&lt;=cur_line),AJ509+1,0)),0)</f>
        <v>0</v>
      </c>
      <c r="AK510" s="313">
        <f>IFERROR(IF(INDEX([1]Pivot!$BF$1:$CG$65000,$B510,AK$5)=1,1,IF(AND(AK509&gt;=1,AK509&lt;=9,ROW()&lt;=cur_line),AK509+1,0)),0)</f>
        <v>0</v>
      </c>
      <c r="AL510" s="313">
        <f>IFERROR(IF(INDEX([1]Pivot!$BF$1:$CG$65000,$B510,AL$5)=1,1,IF(AND(AL509&gt;=1,AL509&lt;=9,ROW()&lt;=cur_line),AL509+1,0)),0)</f>
        <v>0</v>
      </c>
      <c r="AM510" s="313">
        <f>IFERROR(IF(INDEX([1]Pivot!$BF$1:$CG$65000,$B510,AM$5)=1,1,IF(AND(AM509&gt;=1,AM509&lt;=9,ROW()&lt;=cur_line),AM509+1,0)),0)</f>
        <v>0</v>
      </c>
      <c r="AN510" s="313">
        <f>IFERROR(IF(INDEX([1]Pivot!$BF$1:$CG$65000,$B510,AN$5)=1,1,IF(AND(AN509&gt;=1,AN509&lt;=9,ROW()&lt;=cur_line),AN509+1,0)),0)</f>
        <v>0</v>
      </c>
      <c r="AO510" s="313">
        <f>IFERROR(IF(INDEX([1]Pivot!$BF$1:$CG$65000,$B510,AO$5)=1,1,IF(AND(AO509&gt;=1,AO509&lt;=9,ROW()&lt;=cur_line),AO509+1,0)),0)</f>
        <v>0</v>
      </c>
      <c r="AP510" s="313">
        <f>IFERROR(IF(INDEX([1]Pivot!$BF$1:$CG$65000,$B510,AP$5)=1,1,IF(AND(AP509&gt;=1,AP509&lt;=9,ROW()&lt;=cur_line),AP509+1,0)),0)</f>
        <v>0</v>
      </c>
      <c r="AQ510" s="313">
        <f>IFERROR(IF(INDEX([1]Pivot!$BF$1:$CG$65000,$B510,AQ$5)=1,1,IF(AND(AQ509&gt;=1,AQ509&lt;=9,ROW()&lt;=cur_line),AQ509+1,0)),0)</f>
        <v>0</v>
      </c>
      <c r="AR510" s="313">
        <f>IFERROR(IF(INDEX([1]Pivot!$BF$1:$CG$65000,$B510,AR$5)=1,1,IF(AND(AR509&gt;=1,AR509&lt;=9,ROW()&lt;=cur_line),AR509+1,0)),0)</f>
        <v>0</v>
      </c>
      <c r="AS510" s="312"/>
      <c r="AT510" s="313">
        <f>IFERROR(IF(INDEX([1]Pivot!$BF$1:$CG$65000,$B510,AT$5)=1,1,IF(AND(AT509&gt;=1,AT509&lt;=9,ROW()&lt;=cur_line),AT509+1,0)),0)</f>
        <v>0</v>
      </c>
      <c r="AU510" s="313">
        <f>IFERROR(IF(INDEX([1]Pivot!$BF$1:$CG$65000,$B510,AU$5)=1,1,IF(AND(AU509&gt;=1,AU509&lt;=9,ROW()&lt;=cur_line),AU509+1,0)),0)</f>
        <v>0</v>
      </c>
      <c r="AV510" s="313">
        <f>IFERROR(IF(INDEX([1]Pivot!$BF$1:$CG$65000,$B510,AV$5)=1,1,IF(AND(AV509&gt;=1,AV509&lt;=9,ROW()&lt;=cur_line),AV509+1,0)),0)</f>
        <v>0</v>
      </c>
      <c r="AW510" s="313">
        <f>IFERROR(IF(INDEX([1]Pivot!$BF$1:$CG$65000,$B510,AW$5)=1,1,IF(AND(AW509&gt;=1,AW509&lt;=9,ROW()&lt;=cur_line),AW509+1,0)),0)</f>
        <v>0</v>
      </c>
      <c r="AX510" s="313">
        <f>IFERROR(IF(INDEX([1]Pivot!$BF$1:$CG$65000,$B510,AX$5)=1,1,IF(AND(AX509&gt;=1,AX509&lt;=9,ROW()&lt;=cur_line),AX509+1,0)),0)</f>
        <v>0</v>
      </c>
      <c r="AY510" s="313">
        <f>IFERROR(IF(INDEX([1]Pivot!$BF$1:$CG$65000,$B510,AY$5)=1,1,IF(AND(AY509&gt;=1,AY509&lt;=9,ROW()&lt;=cur_line),AY509+1,0)),0)</f>
        <v>0</v>
      </c>
      <c r="AZ510" s="313">
        <f>IFERROR(IF(INDEX([1]Pivot!$BF$1:$CG$65000,$B510,AZ$5)=1,1,IF(AND(AZ509&gt;=1,AZ509&lt;=9,ROW()&lt;=cur_line),AZ509+1,0)),0)</f>
        <v>0</v>
      </c>
      <c r="BA510" s="313">
        <f>IFERROR(IF(INDEX([1]Pivot!$BF$1:$CG$65000,$B510,BA$5)=1,1,IF(AND(BA509&gt;=1,BA509&lt;=9,ROW()&lt;=cur_line),BA509+1,0)),0)</f>
        <v>0</v>
      </c>
      <c r="BB510" s="313">
        <f>IFERROR(IF(INDEX([1]Pivot!$BF$1:$CG$65000,$B510,BB$5)=1,1,IF(AND(BB509&gt;=1,BB509&lt;=9,ROW()&lt;=cur_line),BB509+1,0)),0)</f>
        <v>0</v>
      </c>
      <c r="BC510" s="313">
        <f>IFERROR(IF(INDEX([1]Pivot!$BF$1:$CG$65000,$B510,BC$5)=1,1,IF(AND(BC509&gt;=1,BC509&lt;=9,ROW()&lt;=cur_line),BC509+1,0)),0)</f>
        <v>0</v>
      </c>
      <c r="BD510" s="313">
        <f>IFERROR(IF(INDEX([1]Pivot!$BF$1:$CG$65000,$B510,BD$5)=1,1,IF(AND(BD509&gt;=1,BD509&lt;=9,ROW()&lt;=cur_line),BD509+1,0)),0)</f>
        <v>0</v>
      </c>
    </row>
    <row r="511" spans="1:56" hidden="1" outlineLevel="1" x14ac:dyDescent="0.25">
      <c r="A511" s="288" t="str">
        <f>'[2]Raw Milk Prices'!A511</f>
        <v>2018m12</v>
      </c>
      <c r="B511" s="296" t="e">
        <f>MATCH(DATE(LEFT('[2]Raw Milk Prices'!$A511,4),RIGHT('[2]Raw Milk Prices'!$A511,2),1),[1]Pivot!$A$1:$A$65000,0)</f>
        <v>#N/A</v>
      </c>
      <c r="C511" s="194">
        <f>IFERROR(IF(INDEX([1]Pivot!$AD$1:$BE$65000,$B511,C$5)=1,1,IF(AND(C510&gt;=1,C510&lt;=9,ROW()&lt;=cur_line),C510+1,0)),0)</f>
        <v>0</v>
      </c>
      <c r="D511" s="194">
        <f>IFERROR(IF(INDEX([1]Pivot!$AD$1:$BE$65000,$B511,D$5)=1,1,IF(AND(D510&gt;=1,D510&lt;=9,ROW()&lt;=cur_line),D510+1,0)),0)</f>
        <v>0</v>
      </c>
      <c r="E511" s="194">
        <f>IFERROR(IF(INDEX([1]Pivot!$AD$1:$BE$65000,$B511,E$5)=1,1,IF(AND(E510&gt;=1,E510&lt;=9,ROW()&lt;=cur_line),E510+1,0)),0)</f>
        <v>0</v>
      </c>
      <c r="F511" s="194">
        <f>IFERROR(IF(INDEX([1]Pivot!$AD$1:$BE$65000,$B511,F$5)=1,1,IF(AND(F510&gt;=1,F510&lt;=9,ROW()&lt;=cur_line),F510+1,0)),0)</f>
        <v>0</v>
      </c>
      <c r="G511" s="194">
        <f>IFERROR(IF(INDEX([1]Pivot!$AD$1:$BE$65000,$B511,G$5)=1,1,IF(AND(G510&gt;=1,G510&lt;=9,ROW()&lt;=cur_line),G510+1,0)),0)</f>
        <v>0</v>
      </c>
      <c r="H511" s="194">
        <f>IFERROR(IF(INDEX([1]Pivot!$AD$1:$BE$65000,$B511,H$5)=1,1,IF(AND(H510&gt;=1,H510&lt;=9,ROW()&lt;=cur_line),H510+1,0)),0)</f>
        <v>0</v>
      </c>
      <c r="I511" s="194">
        <f>IFERROR(IF(INDEX([1]Pivot!$AD$1:$BE$65000,$B511,I$5)=1,1,IF(AND(I510&gt;=1,I510&lt;=9,ROW()&lt;=cur_line),I510+1,0)),0)</f>
        <v>0</v>
      </c>
      <c r="J511" s="194">
        <f>IFERROR(IF(INDEX([1]Pivot!$AD$1:$BE$65000,$B511,J$5)=1,1,IF(AND(J510&gt;=1,J510&lt;=9,ROW()&lt;=cur_line),J510+1,0)),0)</f>
        <v>0</v>
      </c>
      <c r="K511" s="194">
        <f>IFERROR(IF(INDEX([1]Pivot!$AD$1:$BE$65000,$B511,K$5)=1,1,IF(AND(K510&gt;=1,K510&lt;=9,ROW()&lt;=cur_line),K510+1,0)),0)</f>
        <v>0</v>
      </c>
      <c r="L511" s="194">
        <f>IFERROR(IF(INDEX([1]Pivot!$AD$1:$BE$65000,$B511,L$5)=1,1,IF(AND(L510&gt;=1,L510&lt;=9,ROW()&lt;=cur_line),L510+1,0)),0)</f>
        <v>0</v>
      </c>
      <c r="M511" s="194">
        <f>IFERROR(IF(INDEX([1]Pivot!$AD$1:$BE$65000,$B511,M$5)=1,1,IF(AND(M510&gt;=1,M510&lt;=9,ROW()&lt;=cur_line),M510+1,0)),0)</f>
        <v>0</v>
      </c>
      <c r="N511" s="194">
        <f>IFERROR(IF(INDEX([1]Pivot!$AD$1:$BE$65000,$B511,N$5)=1,1,IF(AND(N510&gt;=1,N510&lt;=9,ROW()&lt;=cur_line),N510+1,0)),0)</f>
        <v>0</v>
      </c>
      <c r="O511" s="194">
        <f>IFERROR(IF(INDEX([1]Pivot!$AD$1:$BE$65000,$B511,O$5)=1,1,IF(AND(O510&gt;=1,O510&lt;=9,ROW()&lt;=cur_line),O510+1,0)),0)</f>
        <v>0</v>
      </c>
      <c r="P511" s="194">
        <f>IFERROR(IF(INDEX([1]Pivot!$AD$1:$BE$65000,$B511,P$5)=1,1,IF(AND(P510&gt;=1,P510&lt;=9,ROW()&lt;=cur_line),P510+1,0)),0)</f>
        <v>0</v>
      </c>
      <c r="Q511" s="194">
        <f>IFERROR(IF(INDEX([1]Pivot!$AD$1:$BE$65000,$B511,Q$5)=1,1,IF(AND(Q510&gt;=1,Q510&lt;=9,ROW()&lt;=cur_line),Q510+1,0)),0)</f>
        <v>0</v>
      </c>
      <c r="R511" s="312"/>
      <c r="S511" s="194">
        <f>IFERROR(IF(INDEX([1]Pivot!$AD$1:$BE$65000,$B511,S$5)=1,1,IF(AND(S510&gt;=1,S510&lt;=9,ROW()&lt;=cur_line),S510+1,0)),0)</f>
        <v>0</v>
      </c>
      <c r="T511" s="194">
        <f>IFERROR(IF(INDEX([1]Pivot!$AD$1:$BE$65000,$B511,T$5)=1,1,IF(AND(T510&gt;=1,T510&lt;=9,ROW()&lt;=cur_line),T510+1,0)),0)</f>
        <v>0</v>
      </c>
      <c r="U511" s="194">
        <f>IFERROR(IF(INDEX([1]Pivot!$AD$1:$BE$65000,$B511,U$5)=1,1,IF(AND(U510&gt;=1,U510&lt;=9,ROW()&lt;=cur_line),U510+1,0)),0)</f>
        <v>0</v>
      </c>
      <c r="V511" s="194">
        <f>IFERROR(IF(INDEX([1]Pivot!$AD$1:$BE$65000,$B511,V$5)=1,1,IF(AND(V510&gt;=1,V510&lt;=9,ROW()&lt;=cur_line),V510+1,0)),0)</f>
        <v>0</v>
      </c>
      <c r="W511" s="194">
        <f>IFERROR(IF(INDEX([1]Pivot!$AD$1:$BE$65000,$B511,W$5)=1,1,IF(AND(W510&gt;=1,W510&lt;=9,ROW()&lt;=cur_line),W510+1,0)),0)</f>
        <v>0</v>
      </c>
      <c r="X511" s="194">
        <f>IFERROR(IF(INDEX([1]Pivot!$AD$1:$BE$65000,$B511,X$5)=1,1,IF(AND(X510&gt;=1,X510&lt;=9,ROW()&lt;=cur_line),X510+1,0)),0)</f>
        <v>0</v>
      </c>
      <c r="Y511" s="194">
        <f>IFERROR(IF(INDEX([1]Pivot!$AD$1:$BE$65000,$B511,Y$5)=1,1,IF(AND(Y510&gt;=1,Y510&lt;=9,ROW()&lt;=cur_line),Y510+1,0)),0)</f>
        <v>0</v>
      </c>
      <c r="Z511" s="194">
        <f>IFERROR(IF(INDEX([1]Pivot!$AD$1:$BE$65000,$B511,Z$5)=1,1,IF(AND(Z510&gt;=1,Z510&lt;=9,ROW()&lt;=cur_line),Z510+1,0)),0)</f>
        <v>0</v>
      </c>
      <c r="AA511" s="194">
        <f>IFERROR(IF(INDEX([1]Pivot!$AD$1:$BE$65000,$B511,AA$5)=1,1,IF(AND(AA510&gt;=1,AA510&lt;=9,ROW()&lt;=cur_line),AA510+1,0)),0)</f>
        <v>0</v>
      </c>
      <c r="AB511" s="194">
        <f>IFERROR(IF(INDEX([1]Pivot!$AD$1:$BE$65000,$B511,AB$5)=1,1,IF(AND(AB510&gt;=1,AB510&lt;=9,ROW()&lt;=cur_line),AB510+1,0)),0)</f>
        <v>0</v>
      </c>
      <c r="AC511" s="194">
        <f>IFERROR(IF(INDEX([1]Pivot!$AD$1:$BE$65000,$B511,AC$5)=1,1,IF(AND(AC510&gt;=1,AC510&lt;=9,ROW()&lt;=cur_line),AC510+1,0)),0)</f>
        <v>0</v>
      </c>
      <c r="AD511" s="313">
        <f>IFERROR(IF(INDEX([1]Pivot!$BF$1:$CG$65000,$B511,AD$5)=1,1,IF(AND(AD510&gt;=1,AD510&lt;=9,ROW()&lt;=cur_line),AD510+1,0)),0)</f>
        <v>0</v>
      </c>
      <c r="AE511" s="313">
        <f>IFERROR(IF(INDEX([1]Pivot!$BF$1:$CG$65000,$B511,AE$5)=1,1,IF(AND(AE510&gt;=1,AE510&lt;=9,ROW()&lt;=cur_line),AE510+1,0)),0)</f>
        <v>0</v>
      </c>
      <c r="AF511" s="313">
        <f>IFERROR(IF(INDEX([1]Pivot!$BF$1:$CG$65000,$B511,AF$5)=1,1,IF(AND(AF510&gt;=1,AF510&lt;=9,ROW()&lt;=cur_line),AF510+1,0)),0)</f>
        <v>0</v>
      </c>
      <c r="AG511" s="313">
        <f>IFERROR(IF(INDEX([1]Pivot!$BF$1:$CG$65000,$B511,AG$5)=1,1,IF(AND(AG510&gt;=1,AG510&lt;=9,ROW()&lt;=cur_line),AG510+1,0)),0)</f>
        <v>0</v>
      </c>
      <c r="AH511" s="313">
        <f>IFERROR(IF(INDEX([1]Pivot!$BF$1:$CG$65000,$B511,AH$5)=1,1,IF(AND(AH510&gt;=1,AH510&lt;=9,ROW()&lt;=cur_line),AH510+1,0)),0)</f>
        <v>0</v>
      </c>
      <c r="AI511" s="313">
        <f>IFERROR(IF(INDEX([1]Pivot!$BF$1:$CG$65000,$B511,AI$5)=1,1,IF(AND(AI510&gt;=1,AI510&lt;=9,ROW()&lt;=cur_line),AI510+1,0)),0)</f>
        <v>0</v>
      </c>
      <c r="AJ511" s="313">
        <f>IFERROR(IF(INDEX([1]Pivot!$BF$1:$CG$65000,$B511,AJ$5)=1,1,IF(AND(AJ510&gt;=1,AJ510&lt;=9,ROW()&lt;=cur_line),AJ510+1,0)),0)</f>
        <v>0</v>
      </c>
      <c r="AK511" s="313">
        <f>IFERROR(IF(INDEX([1]Pivot!$BF$1:$CG$65000,$B511,AK$5)=1,1,IF(AND(AK510&gt;=1,AK510&lt;=9,ROW()&lt;=cur_line),AK510+1,0)),0)</f>
        <v>0</v>
      </c>
      <c r="AL511" s="313">
        <f>IFERROR(IF(INDEX([1]Pivot!$BF$1:$CG$65000,$B511,AL$5)=1,1,IF(AND(AL510&gt;=1,AL510&lt;=9,ROW()&lt;=cur_line),AL510+1,0)),0)</f>
        <v>0</v>
      </c>
      <c r="AM511" s="313">
        <f>IFERROR(IF(INDEX([1]Pivot!$BF$1:$CG$65000,$B511,AM$5)=1,1,IF(AND(AM510&gt;=1,AM510&lt;=9,ROW()&lt;=cur_line),AM510+1,0)),0)</f>
        <v>0</v>
      </c>
      <c r="AN511" s="313">
        <f>IFERROR(IF(INDEX([1]Pivot!$BF$1:$CG$65000,$B511,AN$5)=1,1,IF(AND(AN510&gt;=1,AN510&lt;=9,ROW()&lt;=cur_line),AN510+1,0)),0)</f>
        <v>0</v>
      </c>
      <c r="AO511" s="313">
        <f>IFERROR(IF(INDEX([1]Pivot!$BF$1:$CG$65000,$B511,AO$5)=1,1,IF(AND(AO510&gt;=1,AO510&lt;=9,ROW()&lt;=cur_line),AO510+1,0)),0)</f>
        <v>0</v>
      </c>
      <c r="AP511" s="313">
        <f>IFERROR(IF(INDEX([1]Pivot!$BF$1:$CG$65000,$B511,AP$5)=1,1,IF(AND(AP510&gt;=1,AP510&lt;=9,ROW()&lt;=cur_line),AP510+1,0)),0)</f>
        <v>0</v>
      </c>
      <c r="AQ511" s="313">
        <f>IFERROR(IF(INDEX([1]Pivot!$BF$1:$CG$65000,$B511,AQ$5)=1,1,IF(AND(AQ510&gt;=1,AQ510&lt;=9,ROW()&lt;=cur_line),AQ510+1,0)),0)</f>
        <v>0</v>
      </c>
      <c r="AR511" s="313">
        <f>IFERROR(IF(INDEX([1]Pivot!$BF$1:$CG$65000,$B511,AR$5)=1,1,IF(AND(AR510&gt;=1,AR510&lt;=9,ROW()&lt;=cur_line),AR510+1,0)),0)</f>
        <v>0</v>
      </c>
      <c r="AS511" s="312"/>
      <c r="AT511" s="313">
        <f>IFERROR(IF(INDEX([1]Pivot!$BF$1:$CG$65000,$B511,AT$5)=1,1,IF(AND(AT510&gt;=1,AT510&lt;=9,ROW()&lt;=cur_line),AT510+1,0)),0)</f>
        <v>0</v>
      </c>
      <c r="AU511" s="313">
        <f>IFERROR(IF(INDEX([1]Pivot!$BF$1:$CG$65000,$B511,AU$5)=1,1,IF(AND(AU510&gt;=1,AU510&lt;=9,ROW()&lt;=cur_line),AU510+1,0)),0)</f>
        <v>0</v>
      </c>
      <c r="AV511" s="313">
        <f>IFERROR(IF(INDEX([1]Pivot!$BF$1:$CG$65000,$B511,AV$5)=1,1,IF(AND(AV510&gt;=1,AV510&lt;=9,ROW()&lt;=cur_line),AV510+1,0)),0)</f>
        <v>0</v>
      </c>
      <c r="AW511" s="313">
        <f>IFERROR(IF(INDEX([1]Pivot!$BF$1:$CG$65000,$B511,AW$5)=1,1,IF(AND(AW510&gt;=1,AW510&lt;=9,ROW()&lt;=cur_line),AW510+1,0)),0)</f>
        <v>0</v>
      </c>
      <c r="AX511" s="313">
        <f>IFERROR(IF(INDEX([1]Pivot!$BF$1:$CG$65000,$B511,AX$5)=1,1,IF(AND(AX510&gt;=1,AX510&lt;=9,ROW()&lt;=cur_line),AX510+1,0)),0)</f>
        <v>0</v>
      </c>
      <c r="AY511" s="313">
        <f>IFERROR(IF(INDEX([1]Pivot!$BF$1:$CG$65000,$B511,AY$5)=1,1,IF(AND(AY510&gt;=1,AY510&lt;=9,ROW()&lt;=cur_line),AY510+1,0)),0)</f>
        <v>0</v>
      </c>
      <c r="AZ511" s="313">
        <f>IFERROR(IF(INDEX([1]Pivot!$BF$1:$CG$65000,$B511,AZ$5)=1,1,IF(AND(AZ510&gt;=1,AZ510&lt;=9,ROW()&lt;=cur_line),AZ510+1,0)),0)</f>
        <v>0</v>
      </c>
      <c r="BA511" s="313">
        <f>IFERROR(IF(INDEX([1]Pivot!$BF$1:$CG$65000,$B511,BA$5)=1,1,IF(AND(BA510&gt;=1,BA510&lt;=9,ROW()&lt;=cur_line),BA510+1,0)),0)</f>
        <v>0</v>
      </c>
      <c r="BB511" s="313">
        <f>IFERROR(IF(INDEX([1]Pivot!$BF$1:$CG$65000,$B511,BB$5)=1,1,IF(AND(BB510&gt;=1,BB510&lt;=9,ROW()&lt;=cur_line),BB510+1,0)),0)</f>
        <v>0</v>
      </c>
      <c r="BC511" s="313">
        <f>IFERROR(IF(INDEX([1]Pivot!$BF$1:$CG$65000,$B511,BC$5)=1,1,IF(AND(BC510&gt;=1,BC510&lt;=9,ROW()&lt;=cur_line),BC510+1,0)),0)</f>
        <v>0</v>
      </c>
      <c r="BD511" s="313">
        <f>IFERROR(IF(INDEX([1]Pivot!$BF$1:$CG$65000,$B511,BD$5)=1,1,IF(AND(BD510&gt;=1,BD510&lt;=9,ROW()&lt;=cur_line),BD510+1,0)),0)</f>
        <v>0</v>
      </c>
    </row>
    <row r="512" spans="1:56" hidden="1" outlineLevel="1" x14ac:dyDescent="0.25">
      <c r="A512" s="288" t="str">
        <f>'[2]Raw Milk Prices'!A512</f>
        <v>2019m01</v>
      </c>
      <c r="B512" s="296" t="e">
        <f>MATCH(DATE(LEFT('[2]Raw Milk Prices'!$A512,4),RIGHT('[2]Raw Milk Prices'!$A512,2),1),[1]Pivot!$A$1:$A$65000,0)</f>
        <v>#N/A</v>
      </c>
      <c r="C512" s="194">
        <f>IFERROR(IF(INDEX([1]Pivot!$AD$1:$BE$65000,$B512,C$5)=1,1,IF(AND(C511&gt;=1,C511&lt;=9,ROW()&lt;=cur_line),C511+1,0)),0)</f>
        <v>0</v>
      </c>
      <c r="D512" s="194">
        <f>IFERROR(IF(INDEX([1]Pivot!$AD$1:$BE$65000,$B512,D$5)=1,1,IF(AND(D511&gt;=1,D511&lt;=9,ROW()&lt;=cur_line),D511+1,0)),0)</f>
        <v>0</v>
      </c>
      <c r="E512" s="194">
        <f>IFERROR(IF(INDEX([1]Pivot!$AD$1:$BE$65000,$B512,E$5)=1,1,IF(AND(E511&gt;=1,E511&lt;=9,ROW()&lt;=cur_line),E511+1,0)),0)</f>
        <v>0</v>
      </c>
      <c r="F512" s="194">
        <f>IFERROR(IF(INDEX([1]Pivot!$AD$1:$BE$65000,$B512,F$5)=1,1,IF(AND(F511&gt;=1,F511&lt;=9,ROW()&lt;=cur_line),F511+1,0)),0)</f>
        <v>0</v>
      </c>
      <c r="G512" s="194">
        <f>IFERROR(IF(INDEX([1]Pivot!$AD$1:$BE$65000,$B512,G$5)=1,1,IF(AND(G511&gt;=1,G511&lt;=9,ROW()&lt;=cur_line),G511+1,0)),0)</f>
        <v>0</v>
      </c>
      <c r="H512" s="194">
        <f>IFERROR(IF(INDEX([1]Pivot!$AD$1:$BE$65000,$B512,H$5)=1,1,IF(AND(H511&gt;=1,H511&lt;=9,ROW()&lt;=cur_line),H511+1,0)),0)</f>
        <v>0</v>
      </c>
      <c r="I512" s="194">
        <f>IFERROR(IF(INDEX([1]Pivot!$AD$1:$BE$65000,$B512,I$5)=1,1,IF(AND(I511&gt;=1,I511&lt;=9,ROW()&lt;=cur_line),I511+1,0)),0)</f>
        <v>0</v>
      </c>
      <c r="J512" s="194">
        <f>IFERROR(IF(INDEX([1]Pivot!$AD$1:$BE$65000,$B512,J$5)=1,1,IF(AND(J511&gt;=1,J511&lt;=9,ROW()&lt;=cur_line),J511+1,0)),0)</f>
        <v>0</v>
      </c>
      <c r="K512" s="194">
        <f>IFERROR(IF(INDEX([1]Pivot!$AD$1:$BE$65000,$B512,K$5)=1,1,IF(AND(K511&gt;=1,K511&lt;=9,ROW()&lt;=cur_line),K511+1,0)),0)</f>
        <v>0</v>
      </c>
      <c r="L512" s="194">
        <f>IFERROR(IF(INDEX([1]Pivot!$AD$1:$BE$65000,$B512,L$5)=1,1,IF(AND(L511&gt;=1,L511&lt;=9,ROW()&lt;=cur_line),L511+1,0)),0)</f>
        <v>0</v>
      </c>
      <c r="M512" s="194">
        <f>IFERROR(IF(INDEX([1]Pivot!$AD$1:$BE$65000,$B512,M$5)=1,1,IF(AND(M511&gt;=1,M511&lt;=9,ROW()&lt;=cur_line),M511+1,0)),0)</f>
        <v>0</v>
      </c>
      <c r="N512" s="194">
        <f>IFERROR(IF(INDEX([1]Pivot!$AD$1:$BE$65000,$B512,N$5)=1,1,IF(AND(N511&gt;=1,N511&lt;=9,ROW()&lt;=cur_line),N511+1,0)),0)</f>
        <v>0</v>
      </c>
      <c r="O512" s="194">
        <f>IFERROR(IF(INDEX([1]Pivot!$AD$1:$BE$65000,$B512,O$5)=1,1,IF(AND(O511&gt;=1,O511&lt;=9,ROW()&lt;=cur_line),O511+1,0)),0)</f>
        <v>0</v>
      </c>
      <c r="P512" s="194">
        <f>IFERROR(IF(INDEX([1]Pivot!$AD$1:$BE$65000,$B512,P$5)=1,1,IF(AND(P511&gt;=1,P511&lt;=9,ROW()&lt;=cur_line),P511+1,0)),0)</f>
        <v>0</v>
      </c>
      <c r="Q512" s="194">
        <f>IFERROR(IF(INDEX([1]Pivot!$AD$1:$BE$65000,$B512,Q$5)=1,1,IF(AND(Q511&gt;=1,Q511&lt;=9,ROW()&lt;=cur_line),Q511+1,0)),0)</f>
        <v>0</v>
      </c>
      <c r="R512" s="312"/>
      <c r="S512" s="194">
        <f>IFERROR(IF(INDEX([1]Pivot!$AD$1:$BE$65000,$B512,S$5)=1,1,IF(AND(S511&gt;=1,S511&lt;=9,ROW()&lt;=cur_line),S511+1,0)),0)</f>
        <v>0</v>
      </c>
      <c r="T512" s="194">
        <f>IFERROR(IF(INDEX([1]Pivot!$AD$1:$BE$65000,$B512,T$5)=1,1,IF(AND(T511&gt;=1,T511&lt;=9,ROW()&lt;=cur_line),T511+1,0)),0)</f>
        <v>0</v>
      </c>
      <c r="U512" s="194">
        <f>IFERROR(IF(INDEX([1]Pivot!$AD$1:$BE$65000,$B512,U$5)=1,1,IF(AND(U511&gt;=1,U511&lt;=9,ROW()&lt;=cur_line),U511+1,0)),0)</f>
        <v>0</v>
      </c>
      <c r="V512" s="194">
        <f>IFERROR(IF(INDEX([1]Pivot!$AD$1:$BE$65000,$B512,V$5)=1,1,IF(AND(V511&gt;=1,V511&lt;=9,ROW()&lt;=cur_line),V511+1,0)),0)</f>
        <v>0</v>
      </c>
      <c r="W512" s="194">
        <f>IFERROR(IF(INDEX([1]Pivot!$AD$1:$BE$65000,$B512,W$5)=1,1,IF(AND(W511&gt;=1,W511&lt;=9,ROW()&lt;=cur_line),W511+1,0)),0)</f>
        <v>0</v>
      </c>
      <c r="X512" s="194">
        <f>IFERROR(IF(INDEX([1]Pivot!$AD$1:$BE$65000,$B512,X$5)=1,1,IF(AND(X511&gt;=1,X511&lt;=9,ROW()&lt;=cur_line),X511+1,0)),0)</f>
        <v>0</v>
      </c>
      <c r="Y512" s="194">
        <f>IFERROR(IF(INDEX([1]Pivot!$AD$1:$BE$65000,$B512,Y$5)=1,1,IF(AND(Y511&gt;=1,Y511&lt;=9,ROW()&lt;=cur_line),Y511+1,0)),0)</f>
        <v>0</v>
      </c>
      <c r="Z512" s="194">
        <f>IFERROR(IF(INDEX([1]Pivot!$AD$1:$BE$65000,$B512,Z$5)=1,1,IF(AND(Z511&gt;=1,Z511&lt;=9,ROW()&lt;=cur_line),Z511+1,0)),0)</f>
        <v>0</v>
      </c>
      <c r="AA512" s="194">
        <f>IFERROR(IF(INDEX([1]Pivot!$AD$1:$BE$65000,$B512,AA$5)=1,1,IF(AND(AA511&gt;=1,AA511&lt;=9,ROW()&lt;=cur_line),AA511+1,0)),0)</f>
        <v>0</v>
      </c>
      <c r="AB512" s="194">
        <f>IFERROR(IF(INDEX([1]Pivot!$AD$1:$BE$65000,$B512,AB$5)=1,1,IF(AND(AB511&gt;=1,AB511&lt;=9,ROW()&lt;=cur_line),AB511+1,0)),0)</f>
        <v>0</v>
      </c>
      <c r="AC512" s="194">
        <f>IFERROR(IF(INDEX([1]Pivot!$AD$1:$BE$65000,$B512,AC$5)=1,1,IF(AND(AC511&gt;=1,AC511&lt;=9,ROW()&lt;=cur_line),AC511+1,0)),0)</f>
        <v>0</v>
      </c>
      <c r="AD512" s="313">
        <f>IFERROR(IF(INDEX([1]Pivot!$BF$1:$CG$65000,$B512,AD$5)=1,1,IF(AND(AD511&gt;=1,AD511&lt;=9,ROW()&lt;=cur_line),AD511+1,0)),0)</f>
        <v>0</v>
      </c>
      <c r="AE512" s="313">
        <f>IFERROR(IF(INDEX([1]Pivot!$BF$1:$CG$65000,$B512,AE$5)=1,1,IF(AND(AE511&gt;=1,AE511&lt;=9,ROW()&lt;=cur_line),AE511+1,0)),0)</f>
        <v>0</v>
      </c>
      <c r="AF512" s="313">
        <f>IFERROR(IF(INDEX([1]Pivot!$BF$1:$CG$65000,$B512,AF$5)=1,1,IF(AND(AF511&gt;=1,AF511&lt;=9,ROW()&lt;=cur_line),AF511+1,0)),0)</f>
        <v>0</v>
      </c>
      <c r="AG512" s="313">
        <f>IFERROR(IF(INDEX([1]Pivot!$BF$1:$CG$65000,$B512,AG$5)=1,1,IF(AND(AG511&gt;=1,AG511&lt;=9,ROW()&lt;=cur_line),AG511+1,0)),0)</f>
        <v>0</v>
      </c>
      <c r="AH512" s="313">
        <f>IFERROR(IF(INDEX([1]Pivot!$BF$1:$CG$65000,$B512,AH$5)=1,1,IF(AND(AH511&gt;=1,AH511&lt;=9,ROW()&lt;=cur_line),AH511+1,0)),0)</f>
        <v>0</v>
      </c>
      <c r="AI512" s="313">
        <f>IFERROR(IF(INDEX([1]Pivot!$BF$1:$CG$65000,$B512,AI$5)=1,1,IF(AND(AI511&gt;=1,AI511&lt;=9,ROW()&lt;=cur_line),AI511+1,0)),0)</f>
        <v>0</v>
      </c>
      <c r="AJ512" s="313">
        <f>IFERROR(IF(INDEX([1]Pivot!$BF$1:$CG$65000,$B512,AJ$5)=1,1,IF(AND(AJ511&gt;=1,AJ511&lt;=9,ROW()&lt;=cur_line),AJ511+1,0)),0)</f>
        <v>0</v>
      </c>
      <c r="AK512" s="313">
        <f>IFERROR(IF(INDEX([1]Pivot!$BF$1:$CG$65000,$B512,AK$5)=1,1,IF(AND(AK511&gt;=1,AK511&lt;=9,ROW()&lt;=cur_line),AK511+1,0)),0)</f>
        <v>0</v>
      </c>
      <c r="AL512" s="313">
        <f>IFERROR(IF(INDEX([1]Pivot!$BF$1:$CG$65000,$B512,AL$5)=1,1,IF(AND(AL511&gt;=1,AL511&lt;=9,ROW()&lt;=cur_line),AL511+1,0)),0)</f>
        <v>0</v>
      </c>
      <c r="AM512" s="313">
        <f>IFERROR(IF(INDEX([1]Pivot!$BF$1:$CG$65000,$B512,AM$5)=1,1,IF(AND(AM511&gt;=1,AM511&lt;=9,ROW()&lt;=cur_line),AM511+1,0)),0)</f>
        <v>0</v>
      </c>
      <c r="AN512" s="313">
        <f>IFERROR(IF(INDEX([1]Pivot!$BF$1:$CG$65000,$B512,AN$5)=1,1,IF(AND(AN511&gt;=1,AN511&lt;=9,ROW()&lt;=cur_line),AN511+1,0)),0)</f>
        <v>0</v>
      </c>
      <c r="AO512" s="313">
        <f>IFERROR(IF(INDEX([1]Pivot!$BF$1:$CG$65000,$B512,AO$5)=1,1,IF(AND(AO511&gt;=1,AO511&lt;=9,ROW()&lt;=cur_line),AO511+1,0)),0)</f>
        <v>0</v>
      </c>
      <c r="AP512" s="313">
        <f>IFERROR(IF(INDEX([1]Pivot!$BF$1:$CG$65000,$B512,AP$5)=1,1,IF(AND(AP511&gt;=1,AP511&lt;=9,ROW()&lt;=cur_line),AP511+1,0)),0)</f>
        <v>0</v>
      </c>
      <c r="AQ512" s="313">
        <f>IFERROR(IF(INDEX([1]Pivot!$BF$1:$CG$65000,$B512,AQ$5)=1,1,IF(AND(AQ511&gt;=1,AQ511&lt;=9,ROW()&lt;=cur_line),AQ511+1,0)),0)</f>
        <v>0</v>
      </c>
      <c r="AR512" s="313">
        <f>IFERROR(IF(INDEX([1]Pivot!$BF$1:$CG$65000,$B512,AR$5)=1,1,IF(AND(AR511&gt;=1,AR511&lt;=9,ROW()&lt;=cur_line),AR511+1,0)),0)</f>
        <v>0</v>
      </c>
      <c r="AS512" s="312"/>
      <c r="AT512" s="313">
        <f>IFERROR(IF(INDEX([1]Pivot!$BF$1:$CG$65000,$B512,AT$5)=1,1,IF(AND(AT511&gt;=1,AT511&lt;=9,ROW()&lt;=cur_line),AT511+1,0)),0)</f>
        <v>0</v>
      </c>
      <c r="AU512" s="313">
        <f>IFERROR(IF(INDEX([1]Pivot!$BF$1:$CG$65000,$B512,AU$5)=1,1,IF(AND(AU511&gt;=1,AU511&lt;=9,ROW()&lt;=cur_line),AU511+1,0)),0)</f>
        <v>0</v>
      </c>
      <c r="AV512" s="313">
        <f>IFERROR(IF(INDEX([1]Pivot!$BF$1:$CG$65000,$B512,AV$5)=1,1,IF(AND(AV511&gt;=1,AV511&lt;=9,ROW()&lt;=cur_line),AV511+1,0)),0)</f>
        <v>0</v>
      </c>
      <c r="AW512" s="313">
        <f>IFERROR(IF(INDEX([1]Pivot!$BF$1:$CG$65000,$B512,AW$5)=1,1,IF(AND(AW511&gt;=1,AW511&lt;=9,ROW()&lt;=cur_line),AW511+1,0)),0)</f>
        <v>0</v>
      </c>
      <c r="AX512" s="313">
        <f>IFERROR(IF(INDEX([1]Pivot!$BF$1:$CG$65000,$B512,AX$5)=1,1,IF(AND(AX511&gt;=1,AX511&lt;=9,ROW()&lt;=cur_line),AX511+1,0)),0)</f>
        <v>0</v>
      </c>
      <c r="AY512" s="313">
        <f>IFERROR(IF(INDEX([1]Pivot!$BF$1:$CG$65000,$B512,AY$5)=1,1,IF(AND(AY511&gt;=1,AY511&lt;=9,ROW()&lt;=cur_line),AY511+1,0)),0)</f>
        <v>0</v>
      </c>
      <c r="AZ512" s="313">
        <f>IFERROR(IF(INDEX([1]Pivot!$BF$1:$CG$65000,$B512,AZ$5)=1,1,IF(AND(AZ511&gt;=1,AZ511&lt;=9,ROW()&lt;=cur_line),AZ511+1,0)),0)</f>
        <v>0</v>
      </c>
      <c r="BA512" s="313">
        <f>IFERROR(IF(INDEX([1]Pivot!$BF$1:$CG$65000,$B512,BA$5)=1,1,IF(AND(BA511&gt;=1,BA511&lt;=9,ROW()&lt;=cur_line),BA511+1,0)),0)</f>
        <v>0</v>
      </c>
      <c r="BB512" s="313">
        <f>IFERROR(IF(INDEX([1]Pivot!$BF$1:$CG$65000,$B512,BB$5)=1,1,IF(AND(BB511&gt;=1,BB511&lt;=9,ROW()&lt;=cur_line),BB511+1,0)),0)</f>
        <v>0</v>
      </c>
      <c r="BC512" s="313">
        <f>IFERROR(IF(INDEX([1]Pivot!$BF$1:$CG$65000,$B512,BC$5)=1,1,IF(AND(BC511&gt;=1,BC511&lt;=9,ROW()&lt;=cur_line),BC511+1,0)),0)</f>
        <v>0</v>
      </c>
      <c r="BD512" s="313">
        <f>IFERROR(IF(INDEX([1]Pivot!$BF$1:$CG$65000,$B512,BD$5)=1,1,IF(AND(BD511&gt;=1,BD511&lt;=9,ROW()&lt;=cur_line),BD511+1,0)),0)</f>
        <v>0</v>
      </c>
    </row>
    <row r="513" spans="1:56" hidden="1" outlineLevel="1" x14ac:dyDescent="0.25">
      <c r="A513" s="288" t="str">
        <f>'[2]Raw Milk Prices'!A513</f>
        <v>2019m02</v>
      </c>
      <c r="B513" s="296" t="e">
        <f>MATCH(DATE(LEFT('[2]Raw Milk Prices'!$A513,4),RIGHT('[2]Raw Milk Prices'!$A513,2),1),[1]Pivot!$A$1:$A$65000,0)</f>
        <v>#N/A</v>
      </c>
      <c r="C513" s="194">
        <f>IFERROR(IF(INDEX([1]Pivot!$AD$1:$BE$65000,$B513,C$5)=1,1,IF(AND(C512&gt;=1,C512&lt;=9,ROW()&lt;=cur_line),C512+1,0)),0)</f>
        <v>0</v>
      </c>
      <c r="D513" s="194">
        <f>IFERROR(IF(INDEX([1]Pivot!$AD$1:$BE$65000,$B513,D$5)=1,1,IF(AND(D512&gt;=1,D512&lt;=9,ROW()&lt;=cur_line),D512+1,0)),0)</f>
        <v>0</v>
      </c>
      <c r="E513" s="194">
        <f>IFERROR(IF(INDEX([1]Pivot!$AD$1:$BE$65000,$B513,E$5)=1,1,IF(AND(E512&gt;=1,E512&lt;=9,ROW()&lt;=cur_line),E512+1,0)),0)</f>
        <v>0</v>
      </c>
      <c r="F513" s="194">
        <f>IFERROR(IF(INDEX([1]Pivot!$AD$1:$BE$65000,$B513,F$5)=1,1,IF(AND(F512&gt;=1,F512&lt;=9,ROW()&lt;=cur_line),F512+1,0)),0)</f>
        <v>0</v>
      </c>
      <c r="G513" s="194">
        <f>IFERROR(IF(INDEX([1]Pivot!$AD$1:$BE$65000,$B513,G$5)=1,1,IF(AND(G512&gt;=1,G512&lt;=9,ROW()&lt;=cur_line),G512+1,0)),0)</f>
        <v>0</v>
      </c>
      <c r="H513" s="194">
        <f>IFERROR(IF(INDEX([1]Pivot!$AD$1:$BE$65000,$B513,H$5)=1,1,IF(AND(H512&gt;=1,H512&lt;=9,ROW()&lt;=cur_line),H512+1,0)),0)</f>
        <v>0</v>
      </c>
      <c r="I513" s="194">
        <f>IFERROR(IF(INDEX([1]Pivot!$AD$1:$BE$65000,$B513,I$5)=1,1,IF(AND(I512&gt;=1,I512&lt;=9,ROW()&lt;=cur_line),I512+1,0)),0)</f>
        <v>0</v>
      </c>
      <c r="J513" s="194">
        <f>IFERROR(IF(INDEX([1]Pivot!$AD$1:$BE$65000,$B513,J$5)=1,1,IF(AND(J512&gt;=1,J512&lt;=9,ROW()&lt;=cur_line),J512+1,0)),0)</f>
        <v>0</v>
      </c>
      <c r="K513" s="194">
        <f>IFERROR(IF(INDEX([1]Pivot!$AD$1:$BE$65000,$B513,K$5)=1,1,IF(AND(K512&gt;=1,K512&lt;=9,ROW()&lt;=cur_line),K512+1,0)),0)</f>
        <v>0</v>
      </c>
      <c r="L513" s="194">
        <f>IFERROR(IF(INDEX([1]Pivot!$AD$1:$BE$65000,$B513,L$5)=1,1,IF(AND(L512&gt;=1,L512&lt;=9,ROW()&lt;=cur_line),L512+1,0)),0)</f>
        <v>0</v>
      </c>
      <c r="M513" s="194">
        <f>IFERROR(IF(INDEX([1]Pivot!$AD$1:$BE$65000,$B513,M$5)=1,1,IF(AND(M512&gt;=1,M512&lt;=9,ROW()&lt;=cur_line),M512+1,0)),0)</f>
        <v>0</v>
      </c>
      <c r="N513" s="194">
        <f>IFERROR(IF(INDEX([1]Pivot!$AD$1:$BE$65000,$B513,N$5)=1,1,IF(AND(N512&gt;=1,N512&lt;=9,ROW()&lt;=cur_line),N512+1,0)),0)</f>
        <v>0</v>
      </c>
      <c r="O513" s="194">
        <f>IFERROR(IF(INDEX([1]Pivot!$AD$1:$BE$65000,$B513,O$5)=1,1,IF(AND(O512&gt;=1,O512&lt;=9,ROW()&lt;=cur_line),O512+1,0)),0)</f>
        <v>0</v>
      </c>
      <c r="P513" s="194">
        <f>IFERROR(IF(INDEX([1]Pivot!$AD$1:$BE$65000,$B513,P$5)=1,1,IF(AND(P512&gt;=1,P512&lt;=9,ROW()&lt;=cur_line),P512+1,0)),0)</f>
        <v>0</v>
      </c>
      <c r="Q513" s="194">
        <f>IFERROR(IF(INDEX([1]Pivot!$AD$1:$BE$65000,$B513,Q$5)=1,1,IF(AND(Q512&gt;=1,Q512&lt;=9,ROW()&lt;=cur_line),Q512+1,0)),0)</f>
        <v>0</v>
      </c>
      <c r="R513" s="312"/>
      <c r="S513" s="194">
        <f>IFERROR(IF(INDEX([1]Pivot!$AD$1:$BE$65000,$B513,S$5)=1,1,IF(AND(S512&gt;=1,S512&lt;=9,ROW()&lt;=cur_line),S512+1,0)),0)</f>
        <v>0</v>
      </c>
      <c r="T513" s="194">
        <f>IFERROR(IF(INDEX([1]Pivot!$AD$1:$BE$65000,$B513,T$5)=1,1,IF(AND(T512&gt;=1,T512&lt;=9,ROW()&lt;=cur_line),T512+1,0)),0)</f>
        <v>0</v>
      </c>
      <c r="U513" s="194">
        <f>IFERROR(IF(INDEX([1]Pivot!$AD$1:$BE$65000,$B513,U$5)=1,1,IF(AND(U512&gt;=1,U512&lt;=9,ROW()&lt;=cur_line),U512+1,0)),0)</f>
        <v>0</v>
      </c>
      <c r="V513" s="194">
        <f>IFERROR(IF(INDEX([1]Pivot!$AD$1:$BE$65000,$B513,V$5)=1,1,IF(AND(V512&gt;=1,V512&lt;=9,ROW()&lt;=cur_line),V512+1,0)),0)</f>
        <v>0</v>
      </c>
      <c r="W513" s="194">
        <f>IFERROR(IF(INDEX([1]Pivot!$AD$1:$BE$65000,$B513,W$5)=1,1,IF(AND(W512&gt;=1,W512&lt;=9,ROW()&lt;=cur_line),W512+1,0)),0)</f>
        <v>0</v>
      </c>
      <c r="X513" s="194">
        <f>IFERROR(IF(INDEX([1]Pivot!$AD$1:$BE$65000,$B513,X$5)=1,1,IF(AND(X512&gt;=1,X512&lt;=9,ROW()&lt;=cur_line),X512+1,0)),0)</f>
        <v>0</v>
      </c>
      <c r="Y513" s="194">
        <f>IFERROR(IF(INDEX([1]Pivot!$AD$1:$BE$65000,$B513,Y$5)=1,1,IF(AND(Y512&gt;=1,Y512&lt;=9,ROW()&lt;=cur_line),Y512+1,0)),0)</f>
        <v>0</v>
      </c>
      <c r="Z513" s="194">
        <f>IFERROR(IF(INDEX([1]Pivot!$AD$1:$BE$65000,$B513,Z$5)=1,1,IF(AND(Z512&gt;=1,Z512&lt;=9,ROW()&lt;=cur_line),Z512+1,0)),0)</f>
        <v>0</v>
      </c>
      <c r="AA513" s="194">
        <f>IFERROR(IF(INDEX([1]Pivot!$AD$1:$BE$65000,$B513,AA$5)=1,1,IF(AND(AA512&gt;=1,AA512&lt;=9,ROW()&lt;=cur_line),AA512+1,0)),0)</f>
        <v>0</v>
      </c>
      <c r="AB513" s="194">
        <f>IFERROR(IF(INDEX([1]Pivot!$AD$1:$BE$65000,$B513,AB$5)=1,1,IF(AND(AB512&gt;=1,AB512&lt;=9,ROW()&lt;=cur_line),AB512+1,0)),0)</f>
        <v>0</v>
      </c>
      <c r="AC513" s="194">
        <f>IFERROR(IF(INDEX([1]Pivot!$AD$1:$BE$65000,$B513,AC$5)=1,1,IF(AND(AC512&gt;=1,AC512&lt;=9,ROW()&lt;=cur_line),AC512+1,0)),0)</f>
        <v>0</v>
      </c>
      <c r="AD513" s="313">
        <f>IFERROR(IF(INDEX([1]Pivot!$BF$1:$CG$65000,$B513,AD$5)=1,1,IF(AND(AD512&gt;=1,AD512&lt;=9,ROW()&lt;=cur_line),AD512+1,0)),0)</f>
        <v>0</v>
      </c>
      <c r="AE513" s="313">
        <f>IFERROR(IF(INDEX([1]Pivot!$BF$1:$CG$65000,$B513,AE$5)=1,1,IF(AND(AE512&gt;=1,AE512&lt;=9,ROW()&lt;=cur_line),AE512+1,0)),0)</f>
        <v>0</v>
      </c>
      <c r="AF513" s="313">
        <f>IFERROR(IF(INDEX([1]Pivot!$BF$1:$CG$65000,$B513,AF$5)=1,1,IF(AND(AF512&gt;=1,AF512&lt;=9,ROW()&lt;=cur_line),AF512+1,0)),0)</f>
        <v>0</v>
      </c>
      <c r="AG513" s="313">
        <f>IFERROR(IF(INDEX([1]Pivot!$BF$1:$CG$65000,$B513,AG$5)=1,1,IF(AND(AG512&gt;=1,AG512&lt;=9,ROW()&lt;=cur_line),AG512+1,0)),0)</f>
        <v>0</v>
      </c>
      <c r="AH513" s="313">
        <f>IFERROR(IF(INDEX([1]Pivot!$BF$1:$CG$65000,$B513,AH$5)=1,1,IF(AND(AH512&gt;=1,AH512&lt;=9,ROW()&lt;=cur_line),AH512+1,0)),0)</f>
        <v>0</v>
      </c>
      <c r="AI513" s="313">
        <f>IFERROR(IF(INDEX([1]Pivot!$BF$1:$CG$65000,$B513,AI$5)=1,1,IF(AND(AI512&gt;=1,AI512&lt;=9,ROW()&lt;=cur_line),AI512+1,0)),0)</f>
        <v>0</v>
      </c>
      <c r="AJ513" s="313">
        <f>IFERROR(IF(INDEX([1]Pivot!$BF$1:$CG$65000,$B513,AJ$5)=1,1,IF(AND(AJ512&gt;=1,AJ512&lt;=9,ROW()&lt;=cur_line),AJ512+1,0)),0)</f>
        <v>0</v>
      </c>
      <c r="AK513" s="313">
        <f>IFERROR(IF(INDEX([1]Pivot!$BF$1:$CG$65000,$B513,AK$5)=1,1,IF(AND(AK512&gt;=1,AK512&lt;=9,ROW()&lt;=cur_line),AK512+1,0)),0)</f>
        <v>0</v>
      </c>
      <c r="AL513" s="313">
        <f>IFERROR(IF(INDEX([1]Pivot!$BF$1:$CG$65000,$B513,AL$5)=1,1,IF(AND(AL512&gt;=1,AL512&lt;=9,ROW()&lt;=cur_line),AL512+1,0)),0)</f>
        <v>0</v>
      </c>
      <c r="AM513" s="313">
        <f>IFERROR(IF(INDEX([1]Pivot!$BF$1:$CG$65000,$B513,AM$5)=1,1,IF(AND(AM512&gt;=1,AM512&lt;=9,ROW()&lt;=cur_line),AM512+1,0)),0)</f>
        <v>0</v>
      </c>
      <c r="AN513" s="313">
        <f>IFERROR(IF(INDEX([1]Pivot!$BF$1:$CG$65000,$B513,AN$5)=1,1,IF(AND(AN512&gt;=1,AN512&lt;=9,ROW()&lt;=cur_line),AN512+1,0)),0)</f>
        <v>0</v>
      </c>
      <c r="AO513" s="313">
        <f>IFERROR(IF(INDEX([1]Pivot!$BF$1:$CG$65000,$B513,AO$5)=1,1,IF(AND(AO512&gt;=1,AO512&lt;=9,ROW()&lt;=cur_line),AO512+1,0)),0)</f>
        <v>0</v>
      </c>
      <c r="AP513" s="313">
        <f>IFERROR(IF(INDEX([1]Pivot!$BF$1:$CG$65000,$B513,AP$5)=1,1,IF(AND(AP512&gt;=1,AP512&lt;=9,ROW()&lt;=cur_line),AP512+1,0)),0)</f>
        <v>0</v>
      </c>
      <c r="AQ513" s="313">
        <f>IFERROR(IF(INDEX([1]Pivot!$BF$1:$CG$65000,$B513,AQ$5)=1,1,IF(AND(AQ512&gt;=1,AQ512&lt;=9,ROW()&lt;=cur_line),AQ512+1,0)),0)</f>
        <v>0</v>
      </c>
      <c r="AR513" s="313">
        <f>IFERROR(IF(INDEX([1]Pivot!$BF$1:$CG$65000,$B513,AR$5)=1,1,IF(AND(AR512&gt;=1,AR512&lt;=9,ROW()&lt;=cur_line),AR512+1,0)),0)</f>
        <v>0</v>
      </c>
      <c r="AS513" s="312"/>
      <c r="AT513" s="313">
        <f>IFERROR(IF(INDEX([1]Pivot!$BF$1:$CG$65000,$B513,AT$5)=1,1,IF(AND(AT512&gt;=1,AT512&lt;=9,ROW()&lt;=cur_line),AT512+1,0)),0)</f>
        <v>0</v>
      </c>
      <c r="AU513" s="313">
        <f>IFERROR(IF(INDEX([1]Pivot!$BF$1:$CG$65000,$B513,AU$5)=1,1,IF(AND(AU512&gt;=1,AU512&lt;=9,ROW()&lt;=cur_line),AU512+1,0)),0)</f>
        <v>0</v>
      </c>
      <c r="AV513" s="313">
        <f>IFERROR(IF(INDEX([1]Pivot!$BF$1:$CG$65000,$B513,AV$5)=1,1,IF(AND(AV512&gt;=1,AV512&lt;=9,ROW()&lt;=cur_line),AV512+1,0)),0)</f>
        <v>0</v>
      </c>
      <c r="AW513" s="313">
        <f>IFERROR(IF(INDEX([1]Pivot!$BF$1:$CG$65000,$B513,AW$5)=1,1,IF(AND(AW512&gt;=1,AW512&lt;=9,ROW()&lt;=cur_line),AW512+1,0)),0)</f>
        <v>0</v>
      </c>
      <c r="AX513" s="313">
        <f>IFERROR(IF(INDEX([1]Pivot!$BF$1:$CG$65000,$B513,AX$5)=1,1,IF(AND(AX512&gt;=1,AX512&lt;=9,ROW()&lt;=cur_line),AX512+1,0)),0)</f>
        <v>0</v>
      </c>
      <c r="AY513" s="313">
        <f>IFERROR(IF(INDEX([1]Pivot!$BF$1:$CG$65000,$B513,AY$5)=1,1,IF(AND(AY512&gt;=1,AY512&lt;=9,ROW()&lt;=cur_line),AY512+1,0)),0)</f>
        <v>0</v>
      </c>
      <c r="AZ513" s="313">
        <f>IFERROR(IF(INDEX([1]Pivot!$BF$1:$CG$65000,$B513,AZ$5)=1,1,IF(AND(AZ512&gt;=1,AZ512&lt;=9,ROW()&lt;=cur_line),AZ512+1,0)),0)</f>
        <v>0</v>
      </c>
      <c r="BA513" s="313">
        <f>IFERROR(IF(INDEX([1]Pivot!$BF$1:$CG$65000,$B513,BA$5)=1,1,IF(AND(BA512&gt;=1,BA512&lt;=9,ROW()&lt;=cur_line),BA512+1,0)),0)</f>
        <v>0</v>
      </c>
      <c r="BB513" s="313">
        <f>IFERROR(IF(INDEX([1]Pivot!$BF$1:$CG$65000,$B513,BB$5)=1,1,IF(AND(BB512&gt;=1,BB512&lt;=9,ROW()&lt;=cur_line),BB512+1,0)),0)</f>
        <v>0</v>
      </c>
      <c r="BC513" s="313">
        <f>IFERROR(IF(INDEX([1]Pivot!$BF$1:$CG$65000,$B513,BC$5)=1,1,IF(AND(BC512&gt;=1,BC512&lt;=9,ROW()&lt;=cur_line),BC512+1,0)),0)</f>
        <v>0</v>
      </c>
      <c r="BD513" s="313">
        <f>IFERROR(IF(INDEX([1]Pivot!$BF$1:$CG$65000,$B513,BD$5)=1,1,IF(AND(BD512&gt;=1,BD512&lt;=9,ROW()&lt;=cur_line),BD512+1,0)),0)</f>
        <v>0</v>
      </c>
    </row>
    <row r="514" spans="1:56" hidden="1" outlineLevel="1" x14ac:dyDescent="0.25">
      <c r="A514" s="288" t="str">
        <f>'[2]Raw Milk Prices'!A514</f>
        <v>2019m03</v>
      </c>
      <c r="B514" s="296" t="e">
        <f>MATCH(DATE(LEFT('[2]Raw Milk Prices'!$A514,4),RIGHT('[2]Raw Milk Prices'!$A514,2),1),[1]Pivot!$A$1:$A$65000,0)</f>
        <v>#N/A</v>
      </c>
      <c r="C514" s="194">
        <f>IFERROR(IF(INDEX([1]Pivot!$AD$1:$BE$65000,$B514,C$5)=1,1,IF(AND(C513&gt;=1,C513&lt;=9,ROW()&lt;=cur_line),C513+1,0)),0)</f>
        <v>0</v>
      </c>
      <c r="D514" s="194">
        <f>IFERROR(IF(INDEX([1]Pivot!$AD$1:$BE$65000,$B514,D$5)=1,1,IF(AND(D513&gt;=1,D513&lt;=9,ROW()&lt;=cur_line),D513+1,0)),0)</f>
        <v>0</v>
      </c>
      <c r="E514" s="194">
        <f>IFERROR(IF(INDEX([1]Pivot!$AD$1:$BE$65000,$B514,E$5)=1,1,IF(AND(E513&gt;=1,E513&lt;=9,ROW()&lt;=cur_line),E513+1,0)),0)</f>
        <v>0</v>
      </c>
      <c r="F514" s="194">
        <f>IFERROR(IF(INDEX([1]Pivot!$AD$1:$BE$65000,$B514,F$5)=1,1,IF(AND(F513&gt;=1,F513&lt;=9,ROW()&lt;=cur_line),F513+1,0)),0)</f>
        <v>0</v>
      </c>
      <c r="G514" s="194">
        <f>IFERROR(IF(INDEX([1]Pivot!$AD$1:$BE$65000,$B514,G$5)=1,1,IF(AND(G513&gt;=1,G513&lt;=9,ROW()&lt;=cur_line),G513+1,0)),0)</f>
        <v>0</v>
      </c>
      <c r="H514" s="194">
        <f>IFERROR(IF(INDEX([1]Pivot!$AD$1:$BE$65000,$B514,H$5)=1,1,IF(AND(H513&gt;=1,H513&lt;=9,ROW()&lt;=cur_line),H513+1,0)),0)</f>
        <v>0</v>
      </c>
      <c r="I514" s="194">
        <f>IFERROR(IF(INDEX([1]Pivot!$AD$1:$BE$65000,$B514,I$5)=1,1,IF(AND(I513&gt;=1,I513&lt;=9,ROW()&lt;=cur_line),I513+1,0)),0)</f>
        <v>0</v>
      </c>
      <c r="J514" s="194">
        <f>IFERROR(IF(INDEX([1]Pivot!$AD$1:$BE$65000,$B514,J$5)=1,1,IF(AND(J513&gt;=1,J513&lt;=9,ROW()&lt;=cur_line),J513+1,0)),0)</f>
        <v>0</v>
      </c>
      <c r="K514" s="194">
        <f>IFERROR(IF(INDEX([1]Pivot!$AD$1:$BE$65000,$B514,K$5)=1,1,IF(AND(K513&gt;=1,K513&lt;=9,ROW()&lt;=cur_line),K513+1,0)),0)</f>
        <v>0</v>
      </c>
      <c r="L514" s="194">
        <f>IFERROR(IF(INDEX([1]Pivot!$AD$1:$BE$65000,$B514,L$5)=1,1,IF(AND(L513&gt;=1,L513&lt;=9,ROW()&lt;=cur_line),L513+1,0)),0)</f>
        <v>0</v>
      </c>
      <c r="M514" s="194">
        <f>IFERROR(IF(INDEX([1]Pivot!$AD$1:$BE$65000,$B514,M$5)=1,1,IF(AND(M513&gt;=1,M513&lt;=9,ROW()&lt;=cur_line),M513+1,0)),0)</f>
        <v>0</v>
      </c>
      <c r="N514" s="194">
        <f>IFERROR(IF(INDEX([1]Pivot!$AD$1:$BE$65000,$B514,N$5)=1,1,IF(AND(N513&gt;=1,N513&lt;=9,ROW()&lt;=cur_line),N513+1,0)),0)</f>
        <v>0</v>
      </c>
      <c r="O514" s="194">
        <f>IFERROR(IF(INDEX([1]Pivot!$AD$1:$BE$65000,$B514,O$5)=1,1,IF(AND(O513&gt;=1,O513&lt;=9,ROW()&lt;=cur_line),O513+1,0)),0)</f>
        <v>0</v>
      </c>
      <c r="P514" s="194">
        <f>IFERROR(IF(INDEX([1]Pivot!$AD$1:$BE$65000,$B514,P$5)=1,1,IF(AND(P513&gt;=1,P513&lt;=9,ROW()&lt;=cur_line),P513+1,0)),0)</f>
        <v>0</v>
      </c>
      <c r="Q514" s="194">
        <f>IFERROR(IF(INDEX([1]Pivot!$AD$1:$BE$65000,$B514,Q$5)=1,1,IF(AND(Q513&gt;=1,Q513&lt;=9,ROW()&lt;=cur_line),Q513+1,0)),0)</f>
        <v>0</v>
      </c>
      <c r="R514" s="312"/>
      <c r="S514" s="194">
        <f>IFERROR(IF(INDEX([1]Pivot!$AD$1:$BE$65000,$B514,S$5)=1,1,IF(AND(S513&gt;=1,S513&lt;=9,ROW()&lt;=cur_line),S513+1,0)),0)</f>
        <v>0</v>
      </c>
      <c r="T514" s="194">
        <f>IFERROR(IF(INDEX([1]Pivot!$AD$1:$BE$65000,$B514,T$5)=1,1,IF(AND(T513&gt;=1,T513&lt;=9,ROW()&lt;=cur_line),T513+1,0)),0)</f>
        <v>0</v>
      </c>
      <c r="U514" s="194">
        <f>IFERROR(IF(INDEX([1]Pivot!$AD$1:$BE$65000,$B514,U$5)=1,1,IF(AND(U513&gt;=1,U513&lt;=9,ROW()&lt;=cur_line),U513+1,0)),0)</f>
        <v>0</v>
      </c>
      <c r="V514" s="194">
        <f>IFERROR(IF(INDEX([1]Pivot!$AD$1:$BE$65000,$B514,V$5)=1,1,IF(AND(V513&gt;=1,V513&lt;=9,ROW()&lt;=cur_line),V513+1,0)),0)</f>
        <v>0</v>
      </c>
      <c r="W514" s="194">
        <f>IFERROR(IF(INDEX([1]Pivot!$AD$1:$BE$65000,$B514,W$5)=1,1,IF(AND(W513&gt;=1,W513&lt;=9,ROW()&lt;=cur_line),W513+1,0)),0)</f>
        <v>0</v>
      </c>
      <c r="X514" s="194">
        <f>IFERROR(IF(INDEX([1]Pivot!$AD$1:$BE$65000,$B514,X$5)=1,1,IF(AND(X513&gt;=1,X513&lt;=9,ROW()&lt;=cur_line),X513+1,0)),0)</f>
        <v>0</v>
      </c>
      <c r="Y514" s="194">
        <f>IFERROR(IF(INDEX([1]Pivot!$AD$1:$BE$65000,$B514,Y$5)=1,1,IF(AND(Y513&gt;=1,Y513&lt;=9,ROW()&lt;=cur_line),Y513+1,0)),0)</f>
        <v>0</v>
      </c>
      <c r="Z514" s="194">
        <f>IFERROR(IF(INDEX([1]Pivot!$AD$1:$BE$65000,$B514,Z$5)=1,1,IF(AND(Z513&gt;=1,Z513&lt;=9,ROW()&lt;=cur_line),Z513+1,0)),0)</f>
        <v>0</v>
      </c>
      <c r="AA514" s="194">
        <f>IFERROR(IF(INDEX([1]Pivot!$AD$1:$BE$65000,$B514,AA$5)=1,1,IF(AND(AA513&gt;=1,AA513&lt;=9,ROW()&lt;=cur_line),AA513+1,0)),0)</f>
        <v>0</v>
      </c>
      <c r="AB514" s="194">
        <f>IFERROR(IF(INDEX([1]Pivot!$AD$1:$BE$65000,$B514,AB$5)=1,1,IF(AND(AB513&gt;=1,AB513&lt;=9,ROW()&lt;=cur_line),AB513+1,0)),0)</f>
        <v>0</v>
      </c>
      <c r="AC514" s="194">
        <f>IFERROR(IF(INDEX([1]Pivot!$AD$1:$BE$65000,$B514,AC$5)=1,1,IF(AND(AC513&gt;=1,AC513&lt;=9,ROW()&lt;=cur_line),AC513+1,0)),0)</f>
        <v>0</v>
      </c>
      <c r="AD514" s="313">
        <f>IFERROR(IF(INDEX([1]Pivot!$BF$1:$CG$65000,$B514,AD$5)=1,1,IF(AND(AD513&gt;=1,AD513&lt;=9,ROW()&lt;=cur_line),AD513+1,0)),0)</f>
        <v>0</v>
      </c>
      <c r="AE514" s="313">
        <f>IFERROR(IF(INDEX([1]Pivot!$BF$1:$CG$65000,$B514,AE$5)=1,1,IF(AND(AE513&gt;=1,AE513&lt;=9,ROW()&lt;=cur_line),AE513+1,0)),0)</f>
        <v>0</v>
      </c>
      <c r="AF514" s="313">
        <f>IFERROR(IF(INDEX([1]Pivot!$BF$1:$CG$65000,$B514,AF$5)=1,1,IF(AND(AF513&gt;=1,AF513&lt;=9,ROW()&lt;=cur_line),AF513+1,0)),0)</f>
        <v>0</v>
      </c>
      <c r="AG514" s="313">
        <f>IFERROR(IF(INDEX([1]Pivot!$BF$1:$CG$65000,$B514,AG$5)=1,1,IF(AND(AG513&gt;=1,AG513&lt;=9,ROW()&lt;=cur_line),AG513+1,0)),0)</f>
        <v>0</v>
      </c>
      <c r="AH514" s="313">
        <f>IFERROR(IF(INDEX([1]Pivot!$BF$1:$CG$65000,$B514,AH$5)=1,1,IF(AND(AH513&gt;=1,AH513&lt;=9,ROW()&lt;=cur_line),AH513+1,0)),0)</f>
        <v>0</v>
      </c>
      <c r="AI514" s="313">
        <f>IFERROR(IF(INDEX([1]Pivot!$BF$1:$CG$65000,$B514,AI$5)=1,1,IF(AND(AI513&gt;=1,AI513&lt;=9,ROW()&lt;=cur_line),AI513+1,0)),0)</f>
        <v>0</v>
      </c>
      <c r="AJ514" s="313">
        <f>IFERROR(IF(INDEX([1]Pivot!$BF$1:$CG$65000,$B514,AJ$5)=1,1,IF(AND(AJ513&gt;=1,AJ513&lt;=9,ROW()&lt;=cur_line),AJ513+1,0)),0)</f>
        <v>0</v>
      </c>
      <c r="AK514" s="313">
        <f>IFERROR(IF(INDEX([1]Pivot!$BF$1:$CG$65000,$B514,AK$5)=1,1,IF(AND(AK513&gt;=1,AK513&lt;=9,ROW()&lt;=cur_line),AK513+1,0)),0)</f>
        <v>0</v>
      </c>
      <c r="AL514" s="313">
        <f>IFERROR(IF(INDEX([1]Pivot!$BF$1:$CG$65000,$B514,AL$5)=1,1,IF(AND(AL513&gt;=1,AL513&lt;=9,ROW()&lt;=cur_line),AL513+1,0)),0)</f>
        <v>0</v>
      </c>
      <c r="AM514" s="313">
        <f>IFERROR(IF(INDEX([1]Pivot!$BF$1:$CG$65000,$B514,AM$5)=1,1,IF(AND(AM513&gt;=1,AM513&lt;=9,ROW()&lt;=cur_line),AM513+1,0)),0)</f>
        <v>0</v>
      </c>
      <c r="AN514" s="313">
        <f>IFERROR(IF(INDEX([1]Pivot!$BF$1:$CG$65000,$B514,AN$5)=1,1,IF(AND(AN513&gt;=1,AN513&lt;=9,ROW()&lt;=cur_line),AN513+1,0)),0)</f>
        <v>0</v>
      </c>
      <c r="AO514" s="313">
        <f>IFERROR(IF(INDEX([1]Pivot!$BF$1:$CG$65000,$B514,AO$5)=1,1,IF(AND(AO513&gt;=1,AO513&lt;=9,ROW()&lt;=cur_line),AO513+1,0)),0)</f>
        <v>0</v>
      </c>
      <c r="AP514" s="313">
        <f>IFERROR(IF(INDEX([1]Pivot!$BF$1:$CG$65000,$B514,AP$5)=1,1,IF(AND(AP513&gt;=1,AP513&lt;=9,ROW()&lt;=cur_line),AP513+1,0)),0)</f>
        <v>0</v>
      </c>
      <c r="AQ514" s="313">
        <f>IFERROR(IF(INDEX([1]Pivot!$BF$1:$CG$65000,$B514,AQ$5)=1,1,IF(AND(AQ513&gt;=1,AQ513&lt;=9,ROW()&lt;=cur_line),AQ513+1,0)),0)</f>
        <v>0</v>
      </c>
      <c r="AR514" s="313">
        <f>IFERROR(IF(INDEX([1]Pivot!$BF$1:$CG$65000,$B514,AR$5)=1,1,IF(AND(AR513&gt;=1,AR513&lt;=9,ROW()&lt;=cur_line),AR513+1,0)),0)</f>
        <v>0</v>
      </c>
      <c r="AS514" s="312"/>
      <c r="AT514" s="313">
        <f>IFERROR(IF(INDEX([1]Pivot!$BF$1:$CG$65000,$B514,AT$5)=1,1,IF(AND(AT513&gt;=1,AT513&lt;=9,ROW()&lt;=cur_line),AT513+1,0)),0)</f>
        <v>0</v>
      </c>
      <c r="AU514" s="313">
        <f>IFERROR(IF(INDEX([1]Pivot!$BF$1:$CG$65000,$B514,AU$5)=1,1,IF(AND(AU513&gt;=1,AU513&lt;=9,ROW()&lt;=cur_line),AU513+1,0)),0)</f>
        <v>0</v>
      </c>
      <c r="AV514" s="313">
        <f>IFERROR(IF(INDEX([1]Pivot!$BF$1:$CG$65000,$B514,AV$5)=1,1,IF(AND(AV513&gt;=1,AV513&lt;=9,ROW()&lt;=cur_line),AV513+1,0)),0)</f>
        <v>0</v>
      </c>
      <c r="AW514" s="313">
        <f>IFERROR(IF(INDEX([1]Pivot!$BF$1:$CG$65000,$B514,AW$5)=1,1,IF(AND(AW513&gt;=1,AW513&lt;=9,ROW()&lt;=cur_line),AW513+1,0)),0)</f>
        <v>0</v>
      </c>
      <c r="AX514" s="313">
        <f>IFERROR(IF(INDEX([1]Pivot!$BF$1:$CG$65000,$B514,AX$5)=1,1,IF(AND(AX513&gt;=1,AX513&lt;=9,ROW()&lt;=cur_line),AX513+1,0)),0)</f>
        <v>0</v>
      </c>
      <c r="AY514" s="313">
        <f>IFERROR(IF(INDEX([1]Pivot!$BF$1:$CG$65000,$B514,AY$5)=1,1,IF(AND(AY513&gt;=1,AY513&lt;=9,ROW()&lt;=cur_line),AY513+1,0)),0)</f>
        <v>0</v>
      </c>
      <c r="AZ514" s="313">
        <f>IFERROR(IF(INDEX([1]Pivot!$BF$1:$CG$65000,$B514,AZ$5)=1,1,IF(AND(AZ513&gt;=1,AZ513&lt;=9,ROW()&lt;=cur_line),AZ513+1,0)),0)</f>
        <v>0</v>
      </c>
      <c r="BA514" s="313">
        <f>IFERROR(IF(INDEX([1]Pivot!$BF$1:$CG$65000,$B514,BA$5)=1,1,IF(AND(BA513&gt;=1,BA513&lt;=9,ROW()&lt;=cur_line),BA513+1,0)),0)</f>
        <v>0</v>
      </c>
      <c r="BB514" s="313">
        <f>IFERROR(IF(INDEX([1]Pivot!$BF$1:$CG$65000,$B514,BB$5)=1,1,IF(AND(BB513&gt;=1,BB513&lt;=9,ROW()&lt;=cur_line),BB513+1,0)),0)</f>
        <v>0</v>
      </c>
      <c r="BC514" s="313">
        <f>IFERROR(IF(INDEX([1]Pivot!$BF$1:$CG$65000,$B514,BC$5)=1,1,IF(AND(BC513&gt;=1,BC513&lt;=9,ROW()&lt;=cur_line),BC513+1,0)),0)</f>
        <v>0</v>
      </c>
      <c r="BD514" s="313">
        <f>IFERROR(IF(INDEX([1]Pivot!$BF$1:$CG$65000,$B514,BD$5)=1,1,IF(AND(BD513&gt;=1,BD513&lt;=9,ROW()&lt;=cur_line),BD513+1,0)),0)</f>
        <v>0</v>
      </c>
    </row>
    <row r="515" spans="1:56" hidden="1" outlineLevel="1" x14ac:dyDescent="0.25">
      <c r="A515" s="288" t="str">
        <f>'[2]Raw Milk Prices'!A515</f>
        <v>2019m04</v>
      </c>
      <c r="B515" s="296" t="e">
        <f>MATCH(DATE(LEFT('[2]Raw Milk Prices'!$A515,4),RIGHT('[2]Raw Milk Prices'!$A515,2),1),[1]Pivot!$A$1:$A$65000,0)</f>
        <v>#N/A</v>
      </c>
      <c r="C515" s="194">
        <f>IFERROR(IF(INDEX([1]Pivot!$AD$1:$BE$65000,$B515,C$5)=1,1,IF(AND(C514&gt;=1,C514&lt;=9,ROW()&lt;=cur_line),C514+1,0)),0)</f>
        <v>0</v>
      </c>
      <c r="D515" s="194">
        <f>IFERROR(IF(INDEX([1]Pivot!$AD$1:$BE$65000,$B515,D$5)=1,1,IF(AND(D514&gt;=1,D514&lt;=9,ROW()&lt;=cur_line),D514+1,0)),0)</f>
        <v>0</v>
      </c>
      <c r="E515" s="194">
        <f>IFERROR(IF(INDEX([1]Pivot!$AD$1:$BE$65000,$B515,E$5)=1,1,IF(AND(E514&gt;=1,E514&lt;=9,ROW()&lt;=cur_line),E514+1,0)),0)</f>
        <v>0</v>
      </c>
      <c r="F515" s="194">
        <f>IFERROR(IF(INDEX([1]Pivot!$AD$1:$BE$65000,$B515,F$5)=1,1,IF(AND(F514&gt;=1,F514&lt;=9,ROW()&lt;=cur_line),F514+1,0)),0)</f>
        <v>0</v>
      </c>
      <c r="G515" s="194">
        <f>IFERROR(IF(INDEX([1]Pivot!$AD$1:$BE$65000,$B515,G$5)=1,1,IF(AND(G514&gt;=1,G514&lt;=9,ROW()&lt;=cur_line),G514+1,0)),0)</f>
        <v>0</v>
      </c>
      <c r="H515" s="194">
        <f>IFERROR(IF(INDEX([1]Pivot!$AD$1:$BE$65000,$B515,H$5)=1,1,IF(AND(H514&gt;=1,H514&lt;=9,ROW()&lt;=cur_line),H514+1,0)),0)</f>
        <v>0</v>
      </c>
      <c r="I515" s="194">
        <f>IFERROR(IF(INDEX([1]Pivot!$AD$1:$BE$65000,$B515,I$5)=1,1,IF(AND(I514&gt;=1,I514&lt;=9,ROW()&lt;=cur_line),I514+1,0)),0)</f>
        <v>0</v>
      </c>
      <c r="J515" s="194">
        <f>IFERROR(IF(INDEX([1]Pivot!$AD$1:$BE$65000,$B515,J$5)=1,1,IF(AND(J514&gt;=1,J514&lt;=9,ROW()&lt;=cur_line),J514+1,0)),0)</f>
        <v>0</v>
      </c>
      <c r="K515" s="194">
        <f>IFERROR(IF(INDEX([1]Pivot!$AD$1:$BE$65000,$B515,K$5)=1,1,IF(AND(K514&gt;=1,K514&lt;=9,ROW()&lt;=cur_line),K514+1,0)),0)</f>
        <v>0</v>
      </c>
      <c r="L515" s="194">
        <f>IFERROR(IF(INDEX([1]Pivot!$AD$1:$BE$65000,$B515,L$5)=1,1,IF(AND(L514&gt;=1,L514&lt;=9,ROW()&lt;=cur_line),L514+1,0)),0)</f>
        <v>0</v>
      </c>
      <c r="M515" s="194">
        <f>IFERROR(IF(INDEX([1]Pivot!$AD$1:$BE$65000,$B515,M$5)=1,1,IF(AND(M514&gt;=1,M514&lt;=9,ROW()&lt;=cur_line),M514+1,0)),0)</f>
        <v>0</v>
      </c>
      <c r="N515" s="194">
        <f>IFERROR(IF(INDEX([1]Pivot!$AD$1:$BE$65000,$B515,N$5)=1,1,IF(AND(N514&gt;=1,N514&lt;=9,ROW()&lt;=cur_line),N514+1,0)),0)</f>
        <v>0</v>
      </c>
      <c r="O515" s="194">
        <f>IFERROR(IF(INDEX([1]Pivot!$AD$1:$BE$65000,$B515,O$5)=1,1,IF(AND(O514&gt;=1,O514&lt;=9,ROW()&lt;=cur_line),O514+1,0)),0)</f>
        <v>0</v>
      </c>
      <c r="P515" s="194">
        <f>IFERROR(IF(INDEX([1]Pivot!$AD$1:$BE$65000,$B515,P$5)=1,1,IF(AND(P514&gt;=1,P514&lt;=9,ROW()&lt;=cur_line),P514+1,0)),0)</f>
        <v>0</v>
      </c>
      <c r="Q515" s="194">
        <f>IFERROR(IF(INDEX([1]Pivot!$AD$1:$BE$65000,$B515,Q$5)=1,1,IF(AND(Q514&gt;=1,Q514&lt;=9,ROW()&lt;=cur_line),Q514+1,0)),0)</f>
        <v>0</v>
      </c>
      <c r="R515" s="312"/>
      <c r="S515" s="194">
        <f>IFERROR(IF(INDEX([1]Pivot!$AD$1:$BE$65000,$B515,S$5)=1,1,IF(AND(S514&gt;=1,S514&lt;=9,ROW()&lt;=cur_line),S514+1,0)),0)</f>
        <v>0</v>
      </c>
      <c r="T515" s="194">
        <f>IFERROR(IF(INDEX([1]Pivot!$AD$1:$BE$65000,$B515,T$5)=1,1,IF(AND(T514&gt;=1,T514&lt;=9,ROW()&lt;=cur_line),T514+1,0)),0)</f>
        <v>0</v>
      </c>
      <c r="U515" s="194">
        <f>IFERROR(IF(INDEX([1]Pivot!$AD$1:$BE$65000,$B515,U$5)=1,1,IF(AND(U514&gt;=1,U514&lt;=9,ROW()&lt;=cur_line),U514+1,0)),0)</f>
        <v>0</v>
      </c>
      <c r="V515" s="194">
        <f>IFERROR(IF(INDEX([1]Pivot!$AD$1:$BE$65000,$B515,V$5)=1,1,IF(AND(V514&gt;=1,V514&lt;=9,ROW()&lt;=cur_line),V514+1,0)),0)</f>
        <v>0</v>
      </c>
      <c r="W515" s="194">
        <f>IFERROR(IF(INDEX([1]Pivot!$AD$1:$BE$65000,$B515,W$5)=1,1,IF(AND(W514&gt;=1,W514&lt;=9,ROW()&lt;=cur_line),W514+1,0)),0)</f>
        <v>0</v>
      </c>
      <c r="X515" s="194">
        <f>IFERROR(IF(INDEX([1]Pivot!$AD$1:$BE$65000,$B515,X$5)=1,1,IF(AND(X514&gt;=1,X514&lt;=9,ROW()&lt;=cur_line),X514+1,0)),0)</f>
        <v>0</v>
      </c>
      <c r="Y515" s="194">
        <f>IFERROR(IF(INDEX([1]Pivot!$AD$1:$BE$65000,$B515,Y$5)=1,1,IF(AND(Y514&gt;=1,Y514&lt;=9,ROW()&lt;=cur_line),Y514+1,0)),0)</f>
        <v>0</v>
      </c>
      <c r="Z515" s="194">
        <f>IFERROR(IF(INDEX([1]Pivot!$AD$1:$BE$65000,$B515,Z$5)=1,1,IF(AND(Z514&gt;=1,Z514&lt;=9,ROW()&lt;=cur_line),Z514+1,0)),0)</f>
        <v>0</v>
      </c>
      <c r="AA515" s="194">
        <f>IFERROR(IF(INDEX([1]Pivot!$AD$1:$BE$65000,$B515,AA$5)=1,1,IF(AND(AA514&gt;=1,AA514&lt;=9,ROW()&lt;=cur_line),AA514+1,0)),0)</f>
        <v>0</v>
      </c>
      <c r="AB515" s="194">
        <f>IFERROR(IF(INDEX([1]Pivot!$AD$1:$BE$65000,$B515,AB$5)=1,1,IF(AND(AB514&gt;=1,AB514&lt;=9,ROW()&lt;=cur_line),AB514+1,0)),0)</f>
        <v>0</v>
      </c>
      <c r="AC515" s="194">
        <f>IFERROR(IF(INDEX([1]Pivot!$AD$1:$BE$65000,$B515,AC$5)=1,1,IF(AND(AC514&gt;=1,AC514&lt;=9,ROW()&lt;=cur_line),AC514+1,0)),0)</f>
        <v>0</v>
      </c>
      <c r="AD515" s="313">
        <f>IFERROR(IF(INDEX([1]Pivot!$BF$1:$CG$65000,$B515,AD$5)=1,1,IF(AND(AD514&gt;=1,AD514&lt;=9,ROW()&lt;=cur_line),AD514+1,0)),0)</f>
        <v>0</v>
      </c>
      <c r="AE515" s="313">
        <f>IFERROR(IF(INDEX([1]Pivot!$BF$1:$CG$65000,$B515,AE$5)=1,1,IF(AND(AE514&gt;=1,AE514&lt;=9,ROW()&lt;=cur_line),AE514+1,0)),0)</f>
        <v>0</v>
      </c>
      <c r="AF515" s="313">
        <f>IFERROR(IF(INDEX([1]Pivot!$BF$1:$CG$65000,$B515,AF$5)=1,1,IF(AND(AF514&gt;=1,AF514&lt;=9,ROW()&lt;=cur_line),AF514+1,0)),0)</f>
        <v>0</v>
      </c>
      <c r="AG515" s="313">
        <f>IFERROR(IF(INDEX([1]Pivot!$BF$1:$CG$65000,$B515,AG$5)=1,1,IF(AND(AG514&gt;=1,AG514&lt;=9,ROW()&lt;=cur_line),AG514+1,0)),0)</f>
        <v>0</v>
      </c>
      <c r="AH515" s="313">
        <f>IFERROR(IF(INDEX([1]Pivot!$BF$1:$CG$65000,$B515,AH$5)=1,1,IF(AND(AH514&gt;=1,AH514&lt;=9,ROW()&lt;=cur_line),AH514+1,0)),0)</f>
        <v>0</v>
      </c>
      <c r="AI515" s="313">
        <f>IFERROR(IF(INDEX([1]Pivot!$BF$1:$CG$65000,$B515,AI$5)=1,1,IF(AND(AI514&gt;=1,AI514&lt;=9,ROW()&lt;=cur_line),AI514+1,0)),0)</f>
        <v>0</v>
      </c>
      <c r="AJ515" s="313">
        <f>IFERROR(IF(INDEX([1]Pivot!$BF$1:$CG$65000,$B515,AJ$5)=1,1,IF(AND(AJ514&gt;=1,AJ514&lt;=9,ROW()&lt;=cur_line),AJ514+1,0)),0)</f>
        <v>0</v>
      </c>
      <c r="AK515" s="313">
        <f>IFERROR(IF(INDEX([1]Pivot!$BF$1:$CG$65000,$B515,AK$5)=1,1,IF(AND(AK514&gt;=1,AK514&lt;=9,ROW()&lt;=cur_line),AK514+1,0)),0)</f>
        <v>0</v>
      </c>
      <c r="AL515" s="313">
        <f>IFERROR(IF(INDEX([1]Pivot!$BF$1:$CG$65000,$B515,AL$5)=1,1,IF(AND(AL514&gt;=1,AL514&lt;=9,ROW()&lt;=cur_line),AL514+1,0)),0)</f>
        <v>0</v>
      </c>
      <c r="AM515" s="313">
        <f>IFERROR(IF(INDEX([1]Pivot!$BF$1:$CG$65000,$B515,AM$5)=1,1,IF(AND(AM514&gt;=1,AM514&lt;=9,ROW()&lt;=cur_line),AM514+1,0)),0)</f>
        <v>0</v>
      </c>
      <c r="AN515" s="313">
        <f>IFERROR(IF(INDEX([1]Pivot!$BF$1:$CG$65000,$B515,AN$5)=1,1,IF(AND(AN514&gt;=1,AN514&lt;=9,ROW()&lt;=cur_line),AN514+1,0)),0)</f>
        <v>0</v>
      </c>
      <c r="AO515" s="313">
        <f>IFERROR(IF(INDEX([1]Pivot!$BF$1:$CG$65000,$B515,AO$5)=1,1,IF(AND(AO514&gt;=1,AO514&lt;=9,ROW()&lt;=cur_line),AO514+1,0)),0)</f>
        <v>0</v>
      </c>
      <c r="AP515" s="313">
        <f>IFERROR(IF(INDEX([1]Pivot!$BF$1:$CG$65000,$B515,AP$5)=1,1,IF(AND(AP514&gt;=1,AP514&lt;=9,ROW()&lt;=cur_line),AP514+1,0)),0)</f>
        <v>0</v>
      </c>
      <c r="AQ515" s="313">
        <f>IFERROR(IF(INDEX([1]Pivot!$BF$1:$CG$65000,$B515,AQ$5)=1,1,IF(AND(AQ514&gt;=1,AQ514&lt;=9,ROW()&lt;=cur_line),AQ514+1,0)),0)</f>
        <v>0</v>
      </c>
      <c r="AR515" s="313">
        <f>IFERROR(IF(INDEX([1]Pivot!$BF$1:$CG$65000,$B515,AR$5)=1,1,IF(AND(AR514&gt;=1,AR514&lt;=9,ROW()&lt;=cur_line),AR514+1,0)),0)</f>
        <v>0</v>
      </c>
      <c r="AS515" s="312"/>
      <c r="AT515" s="313">
        <f>IFERROR(IF(INDEX([1]Pivot!$BF$1:$CG$65000,$B515,AT$5)=1,1,IF(AND(AT514&gt;=1,AT514&lt;=9,ROW()&lt;=cur_line),AT514+1,0)),0)</f>
        <v>0</v>
      </c>
      <c r="AU515" s="313">
        <f>IFERROR(IF(INDEX([1]Pivot!$BF$1:$CG$65000,$B515,AU$5)=1,1,IF(AND(AU514&gt;=1,AU514&lt;=9,ROW()&lt;=cur_line),AU514+1,0)),0)</f>
        <v>0</v>
      </c>
      <c r="AV515" s="313">
        <f>IFERROR(IF(INDEX([1]Pivot!$BF$1:$CG$65000,$B515,AV$5)=1,1,IF(AND(AV514&gt;=1,AV514&lt;=9,ROW()&lt;=cur_line),AV514+1,0)),0)</f>
        <v>0</v>
      </c>
      <c r="AW515" s="313">
        <f>IFERROR(IF(INDEX([1]Pivot!$BF$1:$CG$65000,$B515,AW$5)=1,1,IF(AND(AW514&gt;=1,AW514&lt;=9,ROW()&lt;=cur_line),AW514+1,0)),0)</f>
        <v>0</v>
      </c>
      <c r="AX515" s="313">
        <f>IFERROR(IF(INDEX([1]Pivot!$BF$1:$CG$65000,$B515,AX$5)=1,1,IF(AND(AX514&gt;=1,AX514&lt;=9,ROW()&lt;=cur_line),AX514+1,0)),0)</f>
        <v>0</v>
      </c>
      <c r="AY515" s="313">
        <f>IFERROR(IF(INDEX([1]Pivot!$BF$1:$CG$65000,$B515,AY$5)=1,1,IF(AND(AY514&gt;=1,AY514&lt;=9,ROW()&lt;=cur_line),AY514+1,0)),0)</f>
        <v>0</v>
      </c>
      <c r="AZ515" s="313">
        <f>IFERROR(IF(INDEX([1]Pivot!$BF$1:$CG$65000,$B515,AZ$5)=1,1,IF(AND(AZ514&gt;=1,AZ514&lt;=9,ROW()&lt;=cur_line),AZ514+1,0)),0)</f>
        <v>0</v>
      </c>
      <c r="BA515" s="313">
        <f>IFERROR(IF(INDEX([1]Pivot!$BF$1:$CG$65000,$B515,BA$5)=1,1,IF(AND(BA514&gt;=1,BA514&lt;=9,ROW()&lt;=cur_line),BA514+1,0)),0)</f>
        <v>0</v>
      </c>
      <c r="BB515" s="313">
        <f>IFERROR(IF(INDEX([1]Pivot!$BF$1:$CG$65000,$B515,BB$5)=1,1,IF(AND(BB514&gt;=1,BB514&lt;=9,ROW()&lt;=cur_line),BB514+1,0)),0)</f>
        <v>0</v>
      </c>
      <c r="BC515" s="313">
        <f>IFERROR(IF(INDEX([1]Pivot!$BF$1:$CG$65000,$B515,BC$5)=1,1,IF(AND(BC514&gt;=1,BC514&lt;=9,ROW()&lt;=cur_line),BC514+1,0)),0)</f>
        <v>0</v>
      </c>
      <c r="BD515" s="313">
        <f>IFERROR(IF(INDEX([1]Pivot!$BF$1:$CG$65000,$B515,BD$5)=1,1,IF(AND(BD514&gt;=1,BD514&lt;=9,ROW()&lt;=cur_line),BD514+1,0)),0)</f>
        <v>0</v>
      </c>
    </row>
    <row r="516" spans="1:56" hidden="1" outlineLevel="1" x14ac:dyDescent="0.25">
      <c r="A516" s="288" t="str">
        <f>'[2]Raw Milk Prices'!A516</f>
        <v>2019m05</v>
      </c>
      <c r="B516" s="296" t="e">
        <f>MATCH(DATE(LEFT('[2]Raw Milk Prices'!$A516,4),RIGHT('[2]Raw Milk Prices'!$A516,2),1),[1]Pivot!$A$1:$A$65000,0)</f>
        <v>#N/A</v>
      </c>
      <c r="C516" s="194">
        <f>IFERROR(IF(INDEX([1]Pivot!$AD$1:$BE$65000,$B516,C$5)=1,1,IF(AND(C515&gt;=1,C515&lt;=9,ROW()&lt;=cur_line),C515+1,0)),0)</f>
        <v>0</v>
      </c>
      <c r="D516" s="194">
        <f>IFERROR(IF(INDEX([1]Pivot!$AD$1:$BE$65000,$B516,D$5)=1,1,IF(AND(D515&gt;=1,D515&lt;=9,ROW()&lt;=cur_line),D515+1,0)),0)</f>
        <v>0</v>
      </c>
      <c r="E516" s="194">
        <f>IFERROR(IF(INDEX([1]Pivot!$AD$1:$BE$65000,$B516,E$5)=1,1,IF(AND(E515&gt;=1,E515&lt;=9,ROW()&lt;=cur_line),E515+1,0)),0)</f>
        <v>0</v>
      </c>
      <c r="F516" s="194">
        <f>IFERROR(IF(INDEX([1]Pivot!$AD$1:$BE$65000,$B516,F$5)=1,1,IF(AND(F515&gt;=1,F515&lt;=9,ROW()&lt;=cur_line),F515+1,0)),0)</f>
        <v>0</v>
      </c>
      <c r="G516" s="194">
        <f>IFERROR(IF(INDEX([1]Pivot!$AD$1:$BE$65000,$B516,G$5)=1,1,IF(AND(G515&gt;=1,G515&lt;=9,ROW()&lt;=cur_line),G515+1,0)),0)</f>
        <v>0</v>
      </c>
      <c r="H516" s="194">
        <f>IFERROR(IF(INDEX([1]Pivot!$AD$1:$BE$65000,$B516,H$5)=1,1,IF(AND(H515&gt;=1,H515&lt;=9,ROW()&lt;=cur_line),H515+1,0)),0)</f>
        <v>0</v>
      </c>
      <c r="I516" s="194">
        <f>IFERROR(IF(INDEX([1]Pivot!$AD$1:$BE$65000,$B516,I$5)=1,1,IF(AND(I515&gt;=1,I515&lt;=9,ROW()&lt;=cur_line),I515+1,0)),0)</f>
        <v>0</v>
      </c>
      <c r="J516" s="194">
        <f>IFERROR(IF(INDEX([1]Pivot!$AD$1:$BE$65000,$B516,J$5)=1,1,IF(AND(J515&gt;=1,J515&lt;=9,ROW()&lt;=cur_line),J515+1,0)),0)</f>
        <v>0</v>
      </c>
      <c r="K516" s="194">
        <f>IFERROR(IF(INDEX([1]Pivot!$AD$1:$BE$65000,$B516,K$5)=1,1,IF(AND(K515&gt;=1,K515&lt;=9,ROW()&lt;=cur_line),K515+1,0)),0)</f>
        <v>0</v>
      </c>
      <c r="L516" s="194">
        <f>IFERROR(IF(INDEX([1]Pivot!$AD$1:$BE$65000,$B516,L$5)=1,1,IF(AND(L515&gt;=1,L515&lt;=9,ROW()&lt;=cur_line),L515+1,0)),0)</f>
        <v>0</v>
      </c>
      <c r="M516" s="194">
        <f>IFERROR(IF(INDEX([1]Pivot!$AD$1:$BE$65000,$B516,M$5)=1,1,IF(AND(M515&gt;=1,M515&lt;=9,ROW()&lt;=cur_line),M515+1,0)),0)</f>
        <v>0</v>
      </c>
      <c r="N516" s="194">
        <f>IFERROR(IF(INDEX([1]Pivot!$AD$1:$BE$65000,$B516,N$5)=1,1,IF(AND(N515&gt;=1,N515&lt;=9,ROW()&lt;=cur_line),N515+1,0)),0)</f>
        <v>0</v>
      </c>
      <c r="O516" s="194">
        <f>IFERROR(IF(INDEX([1]Pivot!$AD$1:$BE$65000,$B516,O$5)=1,1,IF(AND(O515&gt;=1,O515&lt;=9,ROW()&lt;=cur_line),O515+1,0)),0)</f>
        <v>0</v>
      </c>
      <c r="P516" s="194">
        <f>IFERROR(IF(INDEX([1]Pivot!$AD$1:$BE$65000,$B516,P$5)=1,1,IF(AND(P515&gt;=1,P515&lt;=9,ROW()&lt;=cur_line),P515+1,0)),0)</f>
        <v>0</v>
      </c>
      <c r="Q516" s="194">
        <f>IFERROR(IF(INDEX([1]Pivot!$AD$1:$BE$65000,$B516,Q$5)=1,1,IF(AND(Q515&gt;=1,Q515&lt;=9,ROW()&lt;=cur_line),Q515+1,0)),0)</f>
        <v>0</v>
      </c>
      <c r="R516" s="312"/>
      <c r="S516" s="194">
        <f>IFERROR(IF(INDEX([1]Pivot!$AD$1:$BE$65000,$B516,S$5)=1,1,IF(AND(S515&gt;=1,S515&lt;=9,ROW()&lt;=cur_line),S515+1,0)),0)</f>
        <v>0</v>
      </c>
      <c r="T516" s="194">
        <f>IFERROR(IF(INDEX([1]Pivot!$AD$1:$BE$65000,$B516,T$5)=1,1,IF(AND(T515&gt;=1,T515&lt;=9,ROW()&lt;=cur_line),T515+1,0)),0)</f>
        <v>0</v>
      </c>
      <c r="U516" s="194">
        <f>IFERROR(IF(INDEX([1]Pivot!$AD$1:$BE$65000,$B516,U$5)=1,1,IF(AND(U515&gt;=1,U515&lt;=9,ROW()&lt;=cur_line),U515+1,0)),0)</f>
        <v>0</v>
      </c>
      <c r="V516" s="194">
        <f>IFERROR(IF(INDEX([1]Pivot!$AD$1:$BE$65000,$B516,V$5)=1,1,IF(AND(V515&gt;=1,V515&lt;=9,ROW()&lt;=cur_line),V515+1,0)),0)</f>
        <v>0</v>
      </c>
      <c r="W516" s="194">
        <f>IFERROR(IF(INDEX([1]Pivot!$AD$1:$BE$65000,$B516,W$5)=1,1,IF(AND(W515&gt;=1,W515&lt;=9,ROW()&lt;=cur_line),W515+1,0)),0)</f>
        <v>0</v>
      </c>
      <c r="X516" s="194">
        <f>IFERROR(IF(INDEX([1]Pivot!$AD$1:$BE$65000,$B516,X$5)=1,1,IF(AND(X515&gt;=1,X515&lt;=9,ROW()&lt;=cur_line),X515+1,0)),0)</f>
        <v>0</v>
      </c>
      <c r="Y516" s="194">
        <f>IFERROR(IF(INDEX([1]Pivot!$AD$1:$BE$65000,$B516,Y$5)=1,1,IF(AND(Y515&gt;=1,Y515&lt;=9,ROW()&lt;=cur_line),Y515+1,0)),0)</f>
        <v>0</v>
      </c>
      <c r="Z516" s="194">
        <f>IFERROR(IF(INDEX([1]Pivot!$AD$1:$BE$65000,$B516,Z$5)=1,1,IF(AND(Z515&gt;=1,Z515&lt;=9,ROW()&lt;=cur_line),Z515+1,0)),0)</f>
        <v>0</v>
      </c>
      <c r="AA516" s="194">
        <f>IFERROR(IF(INDEX([1]Pivot!$AD$1:$BE$65000,$B516,AA$5)=1,1,IF(AND(AA515&gt;=1,AA515&lt;=9,ROW()&lt;=cur_line),AA515+1,0)),0)</f>
        <v>0</v>
      </c>
      <c r="AB516" s="194">
        <f>IFERROR(IF(INDEX([1]Pivot!$AD$1:$BE$65000,$B516,AB$5)=1,1,IF(AND(AB515&gt;=1,AB515&lt;=9,ROW()&lt;=cur_line),AB515+1,0)),0)</f>
        <v>0</v>
      </c>
      <c r="AC516" s="194">
        <f>IFERROR(IF(INDEX([1]Pivot!$AD$1:$BE$65000,$B516,AC$5)=1,1,IF(AND(AC515&gt;=1,AC515&lt;=9,ROW()&lt;=cur_line),AC515+1,0)),0)</f>
        <v>0</v>
      </c>
      <c r="AD516" s="313">
        <f>IFERROR(IF(INDEX([1]Pivot!$BF$1:$CG$65000,$B516,AD$5)=1,1,IF(AND(AD515&gt;=1,AD515&lt;=9,ROW()&lt;=cur_line),AD515+1,0)),0)</f>
        <v>0</v>
      </c>
      <c r="AE516" s="313">
        <f>IFERROR(IF(INDEX([1]Pivot!$BF$1:$CG$65000,$B516,AE$5)=1,1,IF(AND(AE515&gt;=1,AE515&lt;=9,ROW()&lt;=cur_line),AE515+1,0)),0)</f>
        <v>0</v>
      </c>
      <c r="AF516" s="313">
        <f>IFERROR(IF(INDEX([1]Pivot!$BF$1:$CG$65000,$B516,AF$5)=1,1,IF(AND(AF515&gt;=1,AF515&lt;=9,ROW()&lt;=cur_line),AF515+1,0)),0)</f>
        <v>0</v>
      </c>
      <c r="AG516" s="313">
        <f>IFERROR(IF(INDEX([1]Pivot!$BF$1:$CG$65000,$B516,AG$5)=1,1,IF(AND(AG515&gt;=1,AG515&lt;=9,ROW()&lt;=cur_line),AG515+1,0)),0)</f>
        <v>0</v>
      </c>
      <c r="AH516" s="313">
        <f>IFERROR(IF(INDEX([1]Pivot!$BF$1:$CG$65000,$B516,AH$5)=1,1,IF(AND(AH515&gt;=1,AH515&lt;=9,ROW()&lt;=cur_line),AH515+1,0)),0)</f>
        <v>0</v>
      </c>
      <c r="AI516" s="313">
        <f>IFERROR(IF(INDEX([1]Pivot!$BF$1:$CG$65000,$B516,AI$5)=1,1,IF(AND(AI515&gt;=1,AI515&lt;=9,ROW()&lt;=cur_line),AI515+1,0)),0)</f>
        <v>0</v>
      </c>
      <c r="AJ516" s="313">
        <f>IFERROR(IF(INDEX([1]Pivot!$BF$1:$CG$65000,$B516,AJ$5)=1,1,IF(AND(AJ515&gt;=1,AJ515&lt;=9,ROW()&lt;=cur_line),AJ515+1,0)),0)</f>
        <v>0</v>
      </c>
      <c r="AK516" s="313">
        <f>IFERROR(IF(INDEX([1]Pivot!$BF$1:$CG$65000,$B516,AK$5)=1,1,IF(AND(AK515&gt;=1,AK515&lt;=9,ROW()&lt;=cur_line),AK515+1,0)),0)</f>
        <v>0</v>
      </c>
      <c r="AL516" s="313">
        <f>IFERROR(IF(INDEX([1]Pivot!$BF$1:$CG$65000,$B516,AL$5)=1,1,IF(AND(AL515&gt;=1,AL515&lt;=9,ROW()&lt;=cur_line),AL515+1,0)),0)</f>
        <v>0</v>
      </c>
      <c r="AM516" s="313">
        <f>IFERROR(IF(INDEX([1]Pivot!$BF$1:$CG$65000,$B516,AM$5)=1,1,IF(AND(AM515&gt;=1,AM515&lt;=9,ROW()&lt;=cur_line),AM515+1,0)),0)</f>
        <v>0</v>
      </c>
      <c r="AN516" s="313">
        <f>IFERROR(IF(INDEX([1]Pivot!$BF$1:$CG$65000,$B516,AN$5)=1,1,IF(AND(AN515&gt;=1,AN515&lt;=9,ROW()&lt;=cur_line),AN515+1,0)),0)</f>
        <v>0</v>
      </c>
      <c r="AO516" s="313">
        <f>IFERROR(IF(INDEX([1]Pivot!$BF$1:$CG$65000,$B516,AO$5)=1,1,IF(AND(AO515&gt;=1,AO515&lt;=9,ROW()&lt;=cur_line),AO515+1,0)),0)</f>
        <v>0</v>
      </c>
      <c r="AP516" s="313">
        <f>IFERROR(IF(INDEX([1]Pivot!$BF$1:$CG$65000,$B516,AP$5)=1,1,IF(AND(AP515&gt;=1,AP515&lt;=9,ROW()&lt;=cur_line),AP515+1,0)),0)</f>
        <v>0</v>
      </c>
      <c r="AQ516" s="313">
        <f>IFERROR(IF(INDEX([1]Pivot!$BF$1:$CG$65000,$B516,AQ$5)=1,1,IF(AND(AQ515&gt;=1,AQ515&lt;=9,ROW()&lt;=cur_line),AQ515+1,0)),0)</f>
        <v>0</v>
      </c>
      <c r="AR516" s="313">
        <f>IFERROR(IF(INDEX([1]Pivot!$BF$1:$CG$65000,$B516,AR$5)=1,1,IF(AND(AR515&gt;=1,AR515&lt;=9,ROW()&lt;=cur_line),AR515+1,0)),0)</f>
        <v>0</v>
      </c>
      <c r="AS516" s="312"/>
      <c r="AT516" s="313">
        <f>IFERROR(IF(INDEX([1]Pivot!$BF$1:$CG$65000,$B516,AT$5)=1,1,IF(AND(AT515&gt;=1,AT515&lt;=9,ROW()&lt;=cur_line),AT515+1,0)),0)</f>
        <v>0</v>
      </c>
      <c r="AU516" s="313">
        <f>IFERROR(IF(INDEX([1]Pivot!$BF$1:$CG$65000,$B516,AU$5)=1,1,IF(AND(AU515&gt;=1,AU515&lt;=9,ROW()&lt;=cur_line),AU515+1,0)),0)</f>
        <v>0</v>
      </c>
      <c r="AV516" s="313">
        <f>IFERROR(IF(INDEX([1]Pivot!$BF$1:$CG$65000,$B516,AV$5)=1,1,IF(AND(AV515&gt;=1,AV515&lt;=9,ROW()&lt;=cur_line),AV515+1,0)),0)</f>
        <v>0</v>
      </c>
      <c r="AW516" s="313">
        <f>IFERROR(IF(INDEX([1]Pivot!$BF$1:$CG$65000,$B516,AW$5)=1,1,IF(AND(AW515&gt;=1,AW515&lt;=9,ROW()&lt;=cur_line),AW515+1,0)),0)</f>
        <v>0</v>
      </c>
      <c r="AX516" s="313">
        <f>IFERROR(IF(INDEX([1]Pivot!$BF$1:$CG$65000,$B516,AX$5)=1,1,IF(AND(AX515&gt;=1,AX515&lt;=9,ROW()&lt;=cur_line),AX515+1,0)),0)</f>
        <v>0</v>
      </c>
      <c r="AY516" s="313">
        <f>IFERROR(IF(INDEX([1]Pivot!$BF$1:$CG$65000,$B516,AY$5)=1,1,IF(AND(AY515&gt;=1,AY515&lt;=9,ROW()&lt;=cur_line),AY515+1,0)),0)</f>
        <v>0</v>
      </c>
      <c r="AZ516" s="313">
        <f>IFERROR(IF(INDEX([1]Pivot!$BF$1:$CG$65000,$B516,AZ$5)=1,1,IF(AND(AZ515&gt;=1,AZ515&lt;=9,ROW()&lt;=cur_line),AZ515+1,0)),0)</f>
        <v>0</v>
      </c>
      <c r="BA516" s="313">
        <f>IFERROR(IF(INDEX([1]Pivot!$BF$1:$CG$65000,$B516,BA$5)=1,1,IF(AND(BA515&gt;=1,BA515&lt;=9,ROW()&lt;=cur_line),BA515+1,0)),0)</f>
        <v>0</v>
      </c>
      <c r="BB516" s="313">
        <f>IFERROR(IF(INDEX([1]Pivot!$BF$1:$CG$65000,$B516,BB$5)=1,1,IF(AND(BB515&gt;=1,BB515&lt;=9,ROW()&lt;=cur_line),BB515+1,0)),0)</f>
        <v>0</v>
      </c>
      <c r="BC516" s="313">
        <f>IFERROR(IF(INDEX([1]Pivot!$BF$1:$CG$65000,$B516,BC$5)=1,1,IF(AND(BC515&gt;=1,BC515&lt;=9,ROW()&lt;=cur_line),BC515+1,0)),0)</f>
        <v>0</v>
      </c>
      <c r="BD516" s="313">
        <f>IFERROR(IF(INDEX([1]Pivot!$BF$1:$CG$65000,$B516,BD$5)=1,1,IF(AND(BD515&gt;=1,BD515&lt;=9,ROW()&lt;=cur_line),BD515+1,0)),0)</f>
        <v>0</v>
      </c>
    </row>
    <row r="517" spans="1:56" hidden="1" outlineLevel="1" x14ac:dyDescent="0.25">
      <c r="A517" s="288" t="str">
        <f>'[2]Raw Milk Prices'!A517</f>
        <v>2019m06</v>
      </c>
      <c r="B517" s="296" t="e">
        <f>MATCH(DATE(LEFT('[2]Raw Milk Prices'!$A517,4),RIGHT('[2]Raw Milk Prices'!$A517,2),1),[1]Pivot!$A$1:$A$65000,0)</f>
        <v>#N/A</v>
      </c>
      <c r="C517" s="194">
        <f>IFERROR(IF(INDEX([1]Pivot!$AD$1:$BE$65000,$B517,C$5)=1,1,IF(AND(C516&gt;=1,C516&lt;=9,ROW()&lt;=cur_line),C516+1,0)),0)</f>
        <v>0</v>
      </c>
      <c r="D517" s="194">
        <f>IFERROR(IF(INDEX([1]Pivot!$AD$1:$BE$65000,$B517,D$5)=1,1,IF(AND(D516&gt;=1,D516&lt;=9,ROW()&lt;=cur_line),D516+1,0)),0)</f>
        <v>0</v>
      </c>
      <c r="E517" s="194">
        <f>IFERROR(IF(INDEX([1]Pivot!$AD$1:$BE$65000,$B517,E$5)=1,1,IF(AND(E516&gt;=1,E516&lt;=9,ROW()&lt;=cur_line),E516+1,0)),0)</f>
        <v>0</v>
      </c>
      <c r="F517" s="194">
        <f>IFERROR(IF(INDEX([1]Pivot!$AD$1:$BE$65000,$B517,F$5)=1,1,IF(AND(F516&gt;=1,F516&lt;=9,ROW()&lt;=cur_line),F516+1,0)),0)</f>
        <v>0</v>
      </c>
      <c r="G517" s="194">
        <f>IFERROR(IF(INDEX([1]Pivot!$AD$1:$BE$65000,$B517,G$5)=1,1,IF(AND(G516&gt;=1,G516&lt;=9,ROW()&lt;=cur_line),G516+1,0)),0)</f>
        <v>0</v>
      </c>
      <c r="H517" s="194">
        <f>IFERROR(IF(INDEX([1]Pivot!$AD$1:$BE$65000,$B517,H$5)=1,1,IF(AND(H516&gt;=1,H516&lt;=9,ROW()&lt;=cur_line),H516+1,0)),0)</f>
        <v>0</v>
      </c>
      <c r="I517" s="194">
        <f>IFERROR(IF(INDEX([1]Pivot!$AD$1:$BE$65000,$B517,I$5)=1,1,IF(AND(I516&gt;=1,I516&lt;=9,ROW()&lt;=cur_line),I516+1,0)),0)</f>
        <v>0</v>
      </c>
      <c r="J517" s="194">
        <f>IFERROR(IF(INDEX([1]Pivot!$AD$1:$BE$65000,$B517,J$5)=1,1,IF(AND(J516&gt;=1,J516&lt;=9,ROW()&lt;=cur_line),J516+1,0)),0)</f>
        <v>0</v>
      </c>
      <c r="K517" s="194">
        <f>IFERROR(IF(INDEX([1]Pivot!$AD$1:$BE$65000,$B517,K$5)=1,1,IF(AND(K516&gt;=1,K516&lt;=9,ROW()&lt;=cur_line),K516+1,0)),0)</f>
        <v>0</v>
      </c>
      <c r="L517" s="194">
        <f>IFERROR(IF(INDEX([1]Pivot!$AD$1:$BE$65000,$B517,L$5)=1,1,IF(AND(L516&gt;=1,L516&lt;=9,ROW()&lt;=cur_line),L516+1,0)),0)</f>
        <v>0</v>
      </c>
      <c r="M517" s="194">
        <f>IFERROR(IF(INDEX([1]Pivot!$AD$1:$BE$65000,$B517,M$5)=1,1,IF(AND(M516&gt;=1,M516&lt;=9,ROW()&lt;=cur_line),M516+1,0)),0)</f>
        <v>0</v>
      </c>
      <c r="N517" s="194">
        <f>IFERROR(IF(INDEX([1]Pivot!$AD$1:$BE$65000,$B517,N$5)=1,1,IF(AND(N516&gt;=1,N516&lt;=9,ROW()&lt;=cur_line),N516+1,0)),0)</f>
        <v>0</v>
      </c>
      <c r="O517" s="194">
        <f>IFERROR(IF(INDEX([1]Pivot!$AD$1:$BE$65000,$B517,O$5)=1,1,IF(AND(O516&gt;=1,O516&lt;=9,ROW()&lt;=cur_line),O516+1,0)),0)</f>
        <v>0</v>
      </c>
      <c r="P517" s="194">
        <f>IFERROR(IF(INDEX([1]Pivot!$AD$1:$BE$65000,$B517,P$5)=1,1,IF(AND(P516&gt;=1,P516&lt;=9,ROW()&lt;=cur_line),P516+1,0)),0)</f>
        <v>0</v>
      </c>
      <c r="Q517" s="194">
        <f>IFERROR(IF(INDEX([1]Pivot!$AD$1:$BE$65000,$B517,Q$5)=1,1,IF(AND(Q516&gt;=1,Q516&lt;=9,ROW()&lt;=cur_line),Q516+1,0)),0)</f>
        <v>0</v>
      </c>
      <c r="R517" s="312"/>
      <c r="S517" s="194">
        <f>IFERROR(IF(INDEX([1]Pivot!$AD$1:$BE$65000,$B517,S$5)=1,1,IF(AND(S516&gt;=1,S516&lt;=9,ROW()&lt;=cur_line),S516+1,0)),0)</f>
        <v>0</v>
      </c>
      <c r="T517" s="194">
        <f>IFERROR(IF(INDEX([1]Pivot!$AD$1:$BE$65000,$B517,T$5)=1,1,IF(AND(T516&gt;=1,T516&lt;=9,ROW()&lt;=cur_line),T516+1,0)),0)</f>
        <v>0</v>
      </c>
      <c r="U517" s="194">
        <f>IFERROR(IF(INDEX([1]Pivot!$AD$1:$BE$65000,$B517,U$5)=1,1,IF(AND(U516&gt;=1,U516&lt;=9,ROW()&lt;=cur_line),U516+1,0)),0)</f>
        <v>0</v>
      </c>
      <c r="V517" s="194">
        <f>IFERROR(IF(INDEX([1]Pivot!$AD$1:$BE$65000,$B517,V$5)=1,1,IF(AND(V516&gt;=1,V516&lt;=9,ROW()&lt;=cur_line),V516+1,0)),0)</f>
        <v>0</v>
      </c>
      <c r="W517" s="194">
        <f>IFERROR(IF(INDEX([1]Pivot!$AD$1:$BE$65000,$B517,W$5)=1,1,IF(AND(W516&gt;=1,W516&lt;=9,ROW()&lt;=cur_line),W516+1,0)),0)</f>
        <v>0</v>
      </c>
      <c r="X517" s="194">
        <f>IFERROR(IF(INDEX([1]Pivot!$AD$1:$BE$65000,$B517,X$5)=1,1,IF(AND(X516&gt;=1,X516&lt;=9,ROW()&lt;=cur_line),X516+1,0)),0)</f>
        <v>0</v>
      </c>
      <c r="Y517" s="194">
        <f>IFERROR(IF(INDEX([1]Pivot!$AD$1:$BE$65000,$B517,Y$5)=1,1,IF(AND(Y516&gt;=1,Y516&lt;=9,ROW()&lt;=cur_line),Y516+1,0)),0)</f>
        <v>0</v>
      </c>
      <c r="Z517" s="194">
        <f>IFERROR(IF(INDEX([1]Pivot!$AD$1:$BE$65000,$B517,Z$5)=1,1,IF(AND(Z516&gt;=1,Z516&lt;=9,ROW()&lt;=cur_line),Z516+1,0)),0)</f>
        <v>0</v>
      </c>
      <c r="AA517" s="194">
        <f>IFERROR(IF(INDEX([1]Pivot!$AD$1:$BE$65000,$B517,AA$5)=1,1,IF(AND(AA516&gt;=1,AA516&lt;=9,ROW()&lt;=cur_line),AA516+1,0)),0)</f>
        <v>0</v>
      </c>
      <c r="AB517" s="194">
        <f>IFERROR(IF(INDEX([1]Pivot!$AD$1:$BE$65000,$B517,AB$5)=1,1,IF(AND(AB516&gt;=1,AB516&lt;=9,ROW()&lt;=cur_line),AB516+1,0)),0)</f>
        <v>0</v>
      </c>
      <c r="AC517" s="194">
        <f>IFERROR(IF(INDEX([1]Pivot!$AD$1:$BE$65000,$B517,AC$5)=1,1,IF(AND(AC516&gt;=1,AC516&lt;=9,ROW()&lt;=cur_line),AC516+1,0)),0)</f>
        <v>0</v>
      </c>
      <c r="AD517" s="313">
        <f>IFERROR(IF(INDEX([1]Pivot!$BF$1:$CG$65000,$B517,AD$5)=1,1,IF(AND(AD516&gt;=1,AD516&lt;=9,ROW()&lt;=cur_line),AD516+1,0)),0)</f>
        <v>0</v>
      </c>
      <c r="AE517" s="313">
        <f>IFERROR(IF(INDEX([1]Pivot!$BF$1:$CG$65000,$B517,AE$5)=1,1,IF(AND(AE516&gt;=1,AE516&lt;=9,ROW()&lt;=cur_line),AE516+1,0)),0)</f>
        <v>0</v>
      </c>
      <c r="AF517" s="313">
        <f>IFERROR(IF(INDEX([1]Pivot!$BF$1:$CG$65000,$B517,AF$5)=1,1,IF(AND(AF516&gt;=1,AF516&lt;=9,ROW()&lt;=cur_line),AF516+1,0)),0)</f>
        <v>0</v>
      </c>
      <c r="AG517" s="313">
        <f>IFERROR(IF(INDEX([1]Pivot!$BF$1:$CG$65000,$B517,AG$5)=1,1,IF(AND(AG516&gt;=1,AG516&lt;=9,ROW()&lt;=cur_line),AG516+1,0)),0)</f>
        <v>0</v>
      </c>
      <c r="AH517" s="313">
        <f>IFERROR(IF(INDEX([1]Pivot!$BF$1:$CG$65000,$B517,AH$5)=1,1,IF(AND(AH516&gt;=1,AH516&lt;=9,ROW()&lt;=cur_line),AH516+1,0)),0)</f>
        <v>0</v>
      </c>
      <c r="AI517" s="313">
        <f>IFERROR(IF(INDEX([1]Pivot!$BF$1:$CG$65000,$B517,AI$5)=1,1,IF(AND(AI516&gt;=1,AI516&lt;=9,ROW()&lt;=cur_line),AI516+1,0)),0)</f>
        <v>0</v>
      </c>
      <c r="AJ517" s="313">
        <f>IFERROR(IF(INDEX([1]Pivot!$BF$1:$CG$65000,$B517,AJ$5)=1,1,IF(AND(AJ516&gt;=1,AJ516&lt;=9,ROW()&lt;=cur_line),AJ516+1,0)),0)</f>
        <v>0</v>
      </c>
      <c r="AK517" s="313">
        <f>IFERROR(IF(INDEX([1]Pivot!$BF$1:$CG$65000,$B517,AK$5)=1,1,IF(AND(AK516&gt;=1,AK516&lt;=9,ROW()&lt;=cur_line),AK516+1,0)),0)</f>
        <v>0</v>
      </c>
      <c r="AL517" s="313">
        <f>IFERROR(IF(INDEX([1]Pivot!$BF$1:$CG$65000,$B517,AL$5)=1,1,IF(AND(AL516&gt;=1,AL516&lt;=9,ROW()&lt;=cur_line),AL516+1,0)),0)</f>
        <v>0</v>
      </c>
      <c r="AM517" s="313">
        <f>IFERROR(IF(INDEX([1]Pivot!$BF$1:$CG$65000,$B517,AM$5)=1,1,IF(AND(AM516&gt;=1,AM516&lt;=9,ROW()&lt;=cur_line),AM516+1,0)),0)</f>
        <v>0</v>
      </c>
      <c r="AN517" s="313">
        <f>IFERROR(IF(INDEX([1]Pivot!$BF$1:$CG$65000,$B517,AN$5)=1,1,IF(AND(AN516&gt;=1,AN516&lt;=9,ROW()&lt;=cur_line),AN516+1,0)),0)</f>
        <v>0</v>
      </c>
      <c r="AO517" s="313">
        <f>IFERROR(IF(INDEX([1]Pivot!$BF$1:$CG$65000,$B517,AO$5)=1,1,IF(AND(AO516&gt;=1,AO516&lt;=9,ROW()&lt;=cur_line),AO516+1,0)),0)</f>
        <v>0</v>
      </c>
      <c r="AP517" s="313">
        <f>IFERROR(IF(INDEX([1]Pivot!$BF$1:$CG$65000,$B517,AP$5)=1,1,IF(AND(AP516&gt;=1,AP516&lt;=9,ROW()&lt;=cur_line),AP516+1,0)),0)</f>
        <v>0</v>
      </c>
      <c r="AQ517" s="313">
        <f>IFERROR(IF(INDEX([1]Pivot!$BF$1:$CG$65000,$B517,AQ$5)=1,1,IF(AND(AQ516&gt;=1,AQ516&lt;=9,ROW()&lt;=cur_line),AQ516+1,0)),0)</f>
        <v>0</v>
      </c>
      <c r="AR517" s="313">
        <f>IFERROR(IF(INDEX([1]Pivot!$BF$1:$CG$65000,$B517,AR$5)=1,1,IF(AND(AR516&gt;=1,AR516&lt;=9,ROW()&lt;=cur_line),AR516+1,0)),0)</f>
        <v>0</v>
      </c>
      <c r="AS517" s="312"/>
      <c r="AT517" s="313">
        <f>IFERROR(IF(INDEX([1]Pivot!$BF$1:$CG$65000,$B517,AT$5)=1,1,IF(AND(AT516&gt;=1,AT516&lt;=9,ROW()&lt;=cur_line),AT516+1,0)),0)</f>
        <v>0</v>
      </c>
      <c r="AU517" s="313">
        <f>IFERROR(IF(INDEX([1]Pivot!$BF$1:$CG$65000,$B517,AU$5)=1,1,IF(AND(AU516&gt;=1,AU516&lt;=9,ROW()&lt;=cur_line),AU516+1,0)),0)</f>
        <v>0</v>
      </c>
      <c r="AV517" s="313">
        <f>IFERROR(IF(INDEX([1]Pivot!$BF$1:$CG$65000,$B517,AV$5)=1,1,IF(AND(AV516&gt;=1,AV516&lt;=9,ROW()&lt;=cur_line),AV516+1,0)),0)</f>
        <v>0</v>
      </c>
      <c r="AW517" s="313">
        <f>IFERROR(IF(INDEX([1]Pivot!$BF$1:$CG$65000,$B517,AW$5)=1,1,IF(AND(AW516&gt;=1,AW516&lt;=9,ROW()&lt;=cur_line),AW516+1,0)),0)</f>
        <v>0</v>
      </c>
      <c r="AX517" s="313">
        <f>IFERROR(IF(INDEX([1]Pivot!$BF$1:$CG$65000,$B517,AX$5)=1,1,IF(AND(AX516&gt;=1,AX516&lt;=9,ROW()&lt;=cur_line),AX516+1,0)),0)</f>
        <v>0</v>
      </c>
      <c r="AY517" s="313">
        <f>IFERROR(IF(INDEX([1]Pivot!$BF$1:$CG$65000,$B517,AY$5)=1,1,IF(AND(AY516&gt;=1,AY516&lt;=9,ROW()&lt;=cur_line),AY516+1,0)),0)</f>
        <v>0</v>
      </c>
      <c r="AZ517" s="313">
        <f>IFERROR(IF(INDEX([1]Pivot!$BF$1:$CG$65000,$B517,AZ$5)=1,1,IF(AND(AZ516&gt;=1,AZ516&lt;=9,ROW()&lt;=cur_line),AZ516+1,0)),0)</f>
        <v>0</v>
      </c>
      <c r="BA517" s="313">
        <f>IFERROR(IF(INDEX([1]Pivot!$BF$1:$CG$65000,$B517,BA$5)=1,1,IF(AND(BA516&gt;=1,BA516&lt;=9,ROW()&lt;=cur_line),BA516+1,0)),0)</f>
        <v>0</v>
      </c>
      <c r="BB517" s="313">
        <f>IFERROR(IF(INDEX([1]Pivot!$BF$1:$CG$65000,$B517,BB$5)=1,1,IF(AND(BB516&gt;=1,BB516&lt;=9,ROW()&lt;=cur_line),BB516+1,0)),0)</f>
        <v>0</v>
      </c>
      <c r="BC517" s="313">
        <f>IFERROR(IF(INDEX([1]Pivot!$BF$1:$CG$65000,$B517,BC$5)=1,1,IF(AND(BC516&gt;=1,BC516&lt;=9,ROW()&lt;=cur_line),BC516+1,0)),0)</f>
        <v>0</v>
      </c>
      <c r="BD517" s="313">
        <f>IFERROR(IF(INDEX([1]Pivot!$BF$1:$CG$65000,$B517,BD$5)=1,1,IF(AND(BD516&gt;=1,BD516&lt;=9,ROW()&lt;=cur_line),BD516+1,0)),0)</f>
        <v>0</v>
      </c>
    </row>
    <row r="518" spans="1:56" hidden="1" outlineLevel="1" x14ac:dyDescent="0.25">
      <c r="A518" s="288" t="str">
        <f>'[2]Raw Milk Prices'!A518</f>
        <v>2019m07</v>
      </c>
      <c r="B518" s="296" t="e">
        <f>MATCH(DATE(LEFT('[2]Raw Milk Prices'!$A518,4),RIGHT('[2]Raw Milk Prices'!$A518,2),1),[1]Pivot!$A$1:$A$65000,0)</f>
        <v>#N/A</v>
      </c>
      <c r="C518" s="194">
        <f>IFERROR(IF(INDEX([1]Pivot!$AD$1:$BE$65000,$B518,C$5)=1,1,IF(AND(C517&gt;=1,C517&lt;=9,ROW()&lt;=cur_line),C517+1,0)),0)</f>
        <v>0</v>
      </c>
      <c r="D518" s="194">
        <f>IFERROR(IF(INDEX([1]Pivot!$AD$1:$BE$65000,$B518,D$5)=1,1,IF(AND(D517&gt;=1,D517&lt;=9,ROW()&lt;=cur_line),D517+1,0)),0)</f>
        <v>0</v>
      </c>
      <c r="E518" s="194">
        <f>IFERROR(IF(INDEX([1]Pivot!$AD$1:$BE$65000,$B518,E$5)=1,1,IF(AND(E517&gt;=1,E517&lt;=9,ROW()&lt;=cur_line),E517+1,0)),0)</f>
        <v>0</v>
      </c>
      <c r="F518" s="194">
        <f>IFERROR(IF(INDEX([1]Pivot!$AD$1:$BE$65000,$B518,F$5)=1,1,IF(AND(F517&gt;=1,F517&lt;=9,ROW()&lt;=cur_line),F517+1,0)),0)</f>
        <v>0</v>
      </c>
      <c r="G518" s="194">
        <f>IFERROR(IF(INDEX([1]Pivot!$AD$1:$BE$65000,$B518,G$5)=1,1,IF(AND(G517&gt;=1,G517&lt;=9,ROW()&lt;=cur_line),G517+1,0)),0)</f>
        <v>0</v>
      </c>
      <c r="H518" s="194">
        <f>IFERROR(IF(INDEX([1]Pivot!$AD$1:$BE$65000,$B518,H$5)=1,1,IF(AND(H517&gt;=1,H517&lt;=9,ROW()&lt;=cur_line),H517+1,0)),0)</f>
        <v>0</v>
      </c>
      <c r="I518" s="194">
        <f>IFERROR(IF(INDEX([1]Pivot!$AD$1:$BE$65000,$B518,I$5)=1,1,IF(AND(I517&gt;=1,I517&lt;=9,ROW()&lt;=cur_line),I517+1,0)),0)</f>
        <v>0</v>
      </c>
      <c r="J518" s="194">
        <f>IFERROR(IF(INDEX([1]Pivot!$AD$1:$BE$65000,$B518,J$5)=1,1,IF(AND(J517&gt;=1,J517&lt;=9,ROW()&lt;=cur_line),J517+1,0)),0)</f>
        <v>0</v>
      </c>
      <c r="K518" s="194">
        <f>IFERROR(IF(INDEX([1]Pivot!$AD$1:$BE$65000,$B518,K$5)=1,1,IF(AND(K517&gt;=1,K517&lt;=9,ROW()&lt;=cur_line),K517+1,0)),0)</f>
        <v>0</v>
      </c>
      <c r="L518" s="194">
        <f>IFERROR(IF(INDEX([1]Pivot!$AD$1:$BE$65000,$B518,L$5)=1,1,IF(AND(L517&gt;=1,L517&lt;=9,ROW()&lt;=cur_line),L517+1,0)),0)</f>
        <v>0</v>
      </c>
      <c r="M518" s="194">
        <f>IFERROR(IF(INDEX([1]Pivot!$AD$1:$BE$65000,$B518,M$5)=1,1,IF(AND(M517&gt;=1,M517&lt;=9,ROW()&lt;=cur_line),M517+1,0)),0)</f>
        <v>0</v>
      </c>
      <c r="N518" s="194">
        <f>IFERROR(IF(INDEX([1]Pivot!$AD$1:$BE$65000,$B518,N$5)=1,1,IF(AND(N517&gt;=1,N517&lt;=9,ROW()&lt;=cur_line),N517+1,0)),0)</f>
        <v>0</v>
      </c>
      <c r="O518" s="194">
        <f>IFERROR(IF(INDEX([1]Pivot!$AD$1:$BE$65000,$B518,O$5)=1,1,IF(AND(O517&gt;=1,O517&lt;=9,ROW()&lt;=cur_line),O517+1,0)),0)</f>
        <v>0</v>
      </c>
      <c r="P518" s="194">
        <f>IFERROR(IF(INDEX([1]Pivot!$AD$1:$BE$65000,$B518,P$5)=1,1,IF(AND(P517&gt;=1,P517&lt;=9,ROW()&lt;=cur_line),P517+1,0)),0)</f>
        <v>0</v>
      </c>
      <c r="Q518" s="194">
        <f>IFERROR(IF(INDEX([1]Pivot!$AD$1:$BE$65000,$B518,Q$5)=1,1,IF(AND(Q517&gt;=1,Q517&lt;=9,ROW()&lt;=cur_line),Q517+1,0)),0)</f>
        <v>0</v>
      </c>
      <c r="R518" s="312"/>
      <c r="S518" s="194">
        <f>IFERROR(IF(INDEX([1]Pivot!$AD$1:$BE$65000,$B518,S$5)=1,1,IF(AND(S517&gt;=1,S517&lt;=9,ROW()&lt;=cur_line),S517+1,0)),0)</f>
        <v>0</v>
      </c>
      <c r="T518" s="194">
        <f>IFERROR(IF(INDEX([1]Pivot!$AD$1:$BE$65000,$B518,T$5)=1,1,IF(AND(T517&gt;=1,T517&lt;=9,ROW()&lt;=cur_line),T517+1,0)),0)</f>
        <v>0</v>
      </c>
      <c r="U518" s="194">
        <f>IFERROR(IF(INDEX([1]Pivot!$AD$1:$BE$65000,$B518,U$5)=1,1,IF(AND(U517&gt;=1,U517&lt;=9,ROW()&lt;=cur_line),U517+1,0)),0)</f>
        <v>0</v>
      </c>
      <c r="V518" s="194">
        <f>IFERROR(IF(INDEX([1]Pivot!$AD$1:$BE$65000,$B518,V$5)=1,1,IF(AND(V517&gt;=1,V517&lt;=9,ROW()&lt;=cur_line),V517+1,0)),0)</f>
        <v>0</v>
      </c>
      <c r="W518" s="194">
        <f>IFERROR(IF(INDEX([1]Pivot!$AD$1:$BE$65000,$B518,W$5)=1,1,IF(AND(W517&gt;=1,W517&lt;=9,ROW()&lt;=cur_line),W517+1,0)),0)</f>
        <v>0</v>
      </c>
      <c r="X518" s="194">
        <f>IFERROR(IF(INDEX([1]Pivot!$AD$1:$BE$65000,$B518,X$5)=1,1,IF(AND(X517&gt;=1,X517&lt;=9,ROW()&lt;=cur_line),X517+1,0)),0)</f>
        <v>0</v>
      </c>
      <c r="Y518" s="194">
        <f>IFERROR(IF(INDEX([1]Pivot!$AD$1:$BE$65000,$B518,Y$5)=1,1,IF(AND(Y517&gt;=1,Y517&lt;=9,ROW()&lt;=cur_line),Y517+1,0)),0)</f>
        <v>0</v>
      </c>
      <c r="Z518" s="194">
        <f>IFERROR(IF(INDEX([1]Pivot!$AD$1:$BE$65000,$B518,Z$5)=1,1,IF(AND(Z517&gt;=1,Z517&lt;=9,ROW()&lt;=cur_line),Z517+1,0)),0)</f>
        <v>0</v>
      </c>
      <c r="AA518" s="194">
        <f>IFERROR(IF(INDEX([1]Pivot!$AD$1:$BE$65000,$B518,AA$5)=1,1,IF(AND(AA517&gt;=1,AA517&lt;=9,ROW()&lt;=cur_line),AA517+1,0)),0)</f>
        <v>0</v>
      </c>
      <c r="AB518" s="194">
        <f>IFERROR(IF(INDEX([1]Pivot!$AD$1:$BE$65000,$B518,AB$5)=1,1,IF(AND(AB517&gt;=1,AB517&lt;=9,ROW()&lt;=cur_line),AB517+1,0)),0)</f>
        <v>0</v>
      </c>
      <c r="AC518" s="194">
        <f>IFERROR(IF(INDEX([1]Pivot!$AD$1:$BE$65000,$B518,AC$5)=1,1,IF(AND(AC517&gt;=1,AC517&lt;=9,ROW()&lt;=cur_line),AC517+1,0)),0)</f>
        <v>0</v>
      </c>
      <c r="AD518" s="313">
        <f>IFERROR(IF(INDEX([1]Pivot!$BF$1:$CG$65000,$B518,AD$5)=1,1,IF(AND(AD517&gt;=1,AD517&lt;=9,ROW()&lt;=cur_line),AD517+1,0)),0)</f>
        <v>0</v>
      </c>
      <c r="AE518" s="313">
        <f>IFERROR(IF(INDEX([1]Pivot!$BF$1:$CG$65000,$B518,AE$5)=1,1,IF(AND(AE517&gt;=1,AE517&lt;=9,ROW()&lt;=cur_line),AE517+1,0)),0)</f>
        <v>0</v>
      </c>
      <c r="AF518" s="313">
        <f>IFERROR(IF(INDEX([1]Pivot!$BF$1:$CG$65000,$B518,AF$5)=1,1,IF(AND(AF517&gt;=1,AF517&lt;=9,ROW()&lt;=cur_line),AF517+1,0)),0)</f>
        <v>0</v>
      </c>
      <c r="AG518" s="313">
        <f>IFERROR(IF(INDEX([1]Pivot!$BF$1:$CG$65000,$B518,AG$5)=1,1,IF(AND(AG517&gt;=1,AG517&lt;=9,ROW()&lt;=cur_line),AG517+1,0)),0)</f>
        <v>0</v>
      </c>
      <c r="AH518" s="313">
        <f>IFERROR(IF(INDEX([1]Pivot!$BF$1:$CG$65000,$B518,AH$5)=1,1,IF(AND(AH517&gt;=1,AH517&lt;=9,ROW()&lt;=cur_line),AH517+1,0)),0)</f>
        <v>0</v>
      </c>
      <c r="AI518" s="313">
        <f>IFERROR(IF(INDEX([1]Pivot!$BF$1:$CG$65000,$B518,AI$5)=1,1,IF(AND(AI517&gt;=1,AI517&lt;=9,ROW()&lt;=cur_line),AI517+1,0)),0)</f>
        <v>0</v>
      </c>
      <c r="AJ518" s="313">
        <f>IFERROR(IF(INDEX([1]Pivot!$BF$1:$CG$65000,$B518,AJ$5)=1,1,IF(AND(AJ517&gt;=1,AJ517&lt;=9,ROW()&lt;=cur_line),AJ517+1,0)),0)</f>
        <v>0</v>
      </c>
      <c r="AK518" s="313">
        <f>IFERROR(IF(INDEX([1]Pivot!$BF$1:$CG$65000,$B518,AK$5)=1,1,IF(AND(AK517&gt;=1,AK517&lt;=9,ROW()&lt;=cur_line),AK517+1,0)),0)</f>
        <v>0</v>
      </c>
      <c r="AL518" s="313">
        <f>IFERROR(IF(INDEX([1]Pivot!$BF$1:$CG$65000,$B518,AL$5)=1,1,IF(AND(AL517&gt;=1,AL517&lt;=9,ROW()&lt;=cur_line),AL517+1,0)),0)</f>
        <v>0</v>
      </c>
      <c r="AM518" s="313">
        <f>IFERROR(IF(INDEX([1]Pivot!$BF$1:$CG$65000,$B518,AM$5)=1,1,IF(AND(AM517&gt;=1,AM517&lt;=9,ROW()&lt;=cur_line),AM517+1,0)),0)</f>
        <v>0</v>
      </c>
      <c r="AN518" s="313">
        <f>IFERROR(IF(INDEX([1]Pivot!$BF$1:$CG$65000,$B518,AN$5)=1,1,IF(AND(AN517&gt;=1,AN517&lt;=9,ROW()&lt;=cur_line),AN517+1,0)),0)</f>
        <v>0</v>
      </c>
      <c r="AO518" s="313">
        <f>IFERROR(IF(INDEX([1]Pivot!$BF$1:$CG$65000,$B518,AO$5)=1,1,IF(AND(AO517&gt;=1,AO517&lt;=9,ROW()&lt;=cur_line),AO517+1,0)),0)</f>
        <v>0</v>
      </c>
      <c r="AP518" s="313">
        <f>IFERROR(IF(INDEX([1]Pivot!$BF$1:$CG$65000,$B518,AP$5)=1,1,IF(AND(AP517&gt;=1,AP517&lt;=9,ROW()&lt;=cur_line),AP517+1,0)),0)</f>
        <v>0</v>
      </c>
      <c r="AQ518" s="313">
        <f>IFERROR(IF(INDEX([1]Pivot!$BF$1:$CG$65000,$B518,AQ$5)=1,1,IF(AND(AQ517&gt;=1,AQ517&lt;=9,ROW()&lt;=cur_line),AQ517+1,0)),0)</f>
        <v>0</v>
      </c>
      <c r="AR518" s="313">
        <f>IFERROR(IF(INDEX([1]Pivot!$BF$1:$CG$65000,$B518,AR$5)=1,1,IF(AND(AR517&gt;=1,AR517&lt;=9,ROW()&lt;=cur_line),AR517+1,0)),0)</f>
        <v>0</v>
      </c>
      <c r="AS518" s="312"/>
      <c r="AT518" s="313">
        <f>IFERROR(IF(INDEX([1]Pivot!$BF$1:$CG$65000,$B518,AT$5)=1,1,IF(AND(AT517&gt;=1,AT517&lt;=9,ROW()&lt;=cur_line),AT517+1,0)),0)</f>
        <v>0</v>
      </c>
      <c r="AU518" s="313">
        <f>IFERROR(IF(INDEX([1]Pivot!$BF$1:$CG$65000,$B518,AU$5)=1,1,IF(AND(AU517&gt;=1,AU517&lt;=9,ROW()&lt;=cur_line),AU517+1,0)),0)</f>
        <v>0</v>
      </c>
      <c r="AV518" s="313">
        <f>IFERROR(IF(INDEX([1]Pivot!$BF$1:$CG$65000,$B518,AV$5)=1,1,IF(AND(AV517&gt;=1,AV517&lt;=9,ROW()&lt;=cur_line),AV517+1,0)),0)</f>
        <v>0</v>
      </c>
      <c r="AW518" s="313">
        <f>IFERROR(IF(INDEX([1]Pivot!$BF$1:$CG$65000,$B518,AW$5)=1,1,IF(AND(AW517&gt;=1,AW517&lt;=9,ROW()&lt;=cur_line),AW517+1,0)),0)</f>
        <v>0</v>
      </c>
      <c r="AX518" s="313">
        <f>IFERROR(IF(INDEX([1]Pivot!$BF$1:$CG$65000,$B518,AX$5)=1,1,IF(AND(AX517&gt;=1,AX517&lt;=9,ROW()&lt;=cur_line),AX517+1,0)),0)</f>
        <v>0</v>
      </c>
      <c r="AY518" s="313">
        <f>IFERROR(IF(INDEX([1]Pivot!$BF$1:$CG$65000,$B518,AY$5)=1,1,IF(AND(AY517&gt;=1,AY517&lt;=9,ROW()&lt;=cur_line),AY517+1,0)),0)</f>
        <v>0</v>
      </c>
      <c r="AZ518" s="313">
        <f>IFERROR(IF(INDEX([1]Pivot!$BF$1:$CG$65000,$B518,AZ$5)=1,1,IF(AND(AZ517&gt;=1,AZ517&lt;=9,ROW()&lt;=cur_line),AZ517+1,0)),0)</f>
        <v>0</v>
      </c>
      <c r="BA518" s="313">
        <f>IFERROR(IF(INDEX([1]Pivot!$BF$1:$CG$65000,$B518,BA$5)=1,1,IF(AND(BA517&gt;=1,BA517&lt;=9,ROW()&lt;=cur_line),BA517+1,0)),0)</f>
        <v>0</v>
      </c>
      <c r="BB518" s="313">
        <f>IFERROR(IF(INDEX([1]Pivot!$BF$1:$CG$65000,$B518,BB$5)=1,1,IF(AND(BB517&gt;=1,BB517&lt;=9,ROW()&lt;=cur_line),BB517+1,0)),0)</f>
        <v>0</v>
      </c>
      <c r="BC518" s="313">
        <f>IFERROR(IF(INDEX([1]Pivot!$BF$1:$CG$65000,$B518,BC$5)=1,1,IF(AND(BC517&gt;=1,BC517&lt;=9,ROW()&lt;=cur_line),BC517+1,0)),0)</f>
        <v>0</v>
      </c>
      <c r="BD518" s="313">
        <f>IFERROR(IF(INDEX([1]Pivot!$BF$1:$CG$65000,$B518,BD$5)=1,1,IF(AND(BD517&gt;=1,BD517&lt;=9,ROW()&lt;=cur_line),BD517+1,0)),0)</f>
        <v>0</v>
      </c>
    </row>
    <row r="519" spans="1:56" hidden="1" outlineLevel="1" x14ac:dyDescent="0.25">
      <c r="A519" s="288" t="str">
        <f>'[2]Raw Milk Prices'!A519</f>
        <v>2019m08</v>
      </c>
      <c r="B519" s="296" t="e">
        <f>MATCH(DATE(LEFT('[2]Raw Milk Prices'!$A519,4),RIGHT('[2]Raw Milk Prices'!$A519,2),1),[1]Pivot!$A$1:$A$65000,0)</f>
        <v>#N/A</v>
      </c>
      <c r="C519" s="194">
        <f>IFERROR(IF(INDEX([1]Pivot!$AD$1:$BE$65000,$B519,C$5)=1,1,IF(AND(C518&gt;=1,C518&lt;=9,ROW()&lt;=cur_line),C518+1,0)),0)</f>
        <v>0</v>
      </c>
      <c r="D519" s="194">
        <f>IFERROR(IF(INDEX([1]Pivot!$AD$1:$BE$65000,$B519,D$5)=1,1,IF(AND(D518&gt;=1,D518&lt;=9,ROW()&lt;=cur_line),D518+1,0)),0)</f>
        <v>0</v>
      </c>
      <c r="E519" s="194">
        <f>IFERROR(IF(INDEX([1]Pivot!$AD$1:$BE$65000,$B519,E$5)=1,1,IF(AND(E518&gt;=1,E518&lt;=9,ROW()&lt;=cur_line),E518+1,0)),0)</f>
        <v>0</v>
      </c>
      <c r="F519" s="194">
        <f>IFERROR(IF(INDEX([1]Pivot!$AD$1:$BE$65000,$B519,F$5)=1,1,IF(AND(F518&gt;=1,F518&lt;=9,ROW()&lt;=cur_line),F518+1,0)),0)</f>
        <v>0</v>
      </c>
      <c r="G519" s="194">
        <f>IFERROR(IF(INDEX([1]Pivot!$AD$1:$BE$65000,$B519,G$5)=1,1,IF(AND(G518&gt;=1,G518&lt;=9,ROW()&lt;=cur_line),G518+1,0)),0)</f>
        <v>0</v>
      </c>
      <c r="H519" s="194">
        <f>IFERROR(IF(INDEX([1]Pivot!$AD$1:$BE$65000,$B519,H$5)=1,1,IF(AND(H518&gt;=1,H518&lt;=9,ROW()&lt;=cur_line),H518+1,0)),0)</f>
        <v>0</v>
      </c>
      <c r="I519" s="194">
        <f>IFERROR(IF(INDEX([1]Pivot!$AD$1:$BE$65000,$B519,I$5)=1,1,IF(AND(I518&gt;=1,I518&lt;=9,ROW()&lt;=cur_line),I518+1,0)),0)</f>
        <v>0</v>
      </c>
      <c r="J519" s="194">
        <f>IFERROR(IF(INDEX([1]Pivot!$AD$1:$BE$65000,$B519,J$5)=1,1,IF(AND(J518&gt;=1,J518&lt;=9,ROW()&lt;=cur_line),J518+1,0)),0)</f>
        <v>0</v>
      </c>
      <c r="K519" s="194">
        <f>IFERROR(IF(INDEX([1]Pivot!$AD$1:$BE$65000,$B519,K$5)=1,1,IF(AND(K518&gt;=1,K518&lt;=9,ROW()&lt;=cur_line),K518+1,0)),0)</f>
        <v>0</v>
      </c>
      <c r="L519" s="194">
        <f>IFERROR(IF(INDEX([1]Pivot!$AD$1:$BE$65000,$B519,L$5)=1,1,IF(AND(L518&gt;=1,L518&lt;=9,ROW()&lt;=cur_line),L518+1,0)),0)</f>
        <v>0</v>
      </c>
      <c r="M519" s="194">
        <f>IFERROR(IF(INDEX([1]Pivot!$AD$1:$BE$65000,$B519,M$5)=1,1,IF(AND(M518&gt;=1,M518&lt;=9,ROW()&lt;=cur_line),M518+1,0)),0)</f>
        <v>0</v>
      </c>
      <c r="N519" s="194">
        <f>IFERROR(IF(INDEX([1]Pivot!$AD$1:$BE$65000,$B519,N$5)=1,1,IF(AND(N518&gt;=1,N518&lt;=9,ROW()&lt;=cur_line),N518+1,0)),0)</f>
        <v>0</v>
      </c>
      <c r="O519" s="194">
        <f>IFERROR(IF(INDEX([1]Pivot!$AD$1:$BE$65000,$B519,O$5)=1,1,IF(AND(O518&gt;=1,O518&lt;=9,ROW()&lt;=cur_line),O518+1,0)),0)</f>
        <v>0</v>
      </c>
      <c r="P519" s="194">
        <f>IFERROR(IF(INDEX([1]Pivot!$AD$1:$BE$65000,$B519,P$5)=1,1,IF(AND(P518&gt;=1,P518&lt;=9,ROW()&lt;=cur_line),P518+1,0)),0)</f>
        <v>0</v>
      </c>
      <c r="Q519" s="194">
        <f>IFERROR(IF(INDEX([1]Pivot!$AD$1:$BE$65000,$B519,Q$5)=1,1,IF(AND(Q518&gt;=1,Q518&lt;=9,ROW()&lt;=cur_line),Q518+1,0)),0)</f>
        <v>0</v>
      </c>
      <c r="R519" s="312"/>
      <c r="S519" s="194">
        <f>IFERROR(IF(INDEX([1]Pivot!$AD$1:$BE$65000,$B519,S$5)=1,1,IF(AND(S518&gt;=1,S518&lt;=9,ROW()&lt;=cur_line),S518+1,0)),0)</f>
        <v>0</v>
      </c>
      <c r="T519" s="194">
        <f>IFERROR(IF(INDEX([1]Pivot!$AD$1:$BE$65000,$B519,T$5)=1,1,IF(AND(T518&gt;=1,T518&lt;=9,ROW()&lt;=cur_line),T518+1,0)),0)</f>
        <v>0</v>
      </c>
      <c r="U519" s="194">
        <f>IFERROR(IF(INDEX([1]Pivot!$AD$1:$BE$65000,$B519,U$5)=1,1,IF(AND(U518&gt;=1,U518&lt;=9,ROW()&lt;=cur_line),U518+1,0)),0)</f>
        <v>0</v>
      </c>
      <c r="V519" s="194">
        <f>IFERROR(IF(INDEX([1]Pivot!$AD$1:$BE$65000,$B519,V$5)=1,1,IF(AND(V518&gt;=1,V518&lt;=9,ROW()&lt;=cur_line),V518+1,0)),0)</f>
        <v>0</v>
      </c>
      <c r="W519" s="194">
        <f>IFERROR(IF(INDEX([1]Pivot!$AD$1:$BE$65000,$B519,W$5)=1,1,IF(AND(W518&gt;=1,W518&lt;=9,ROW()&lt;=cur_line),W518+1,0)),0)</f>
        <v>0</v>
      </c>
      <c r="X519" s="194">
        <f>IFERROR(IF(INDEX([1]Pivot!$AD$1:$BE$65000,$B519,X$5)=1,1,IF(AND(X518&gt;=1,X518&lt;=9,ROW()&lt;=cur_line),X518+1,0)),0)</f>
        <v>0</v>
      </c>
      <c r="Y519" s="194">
        <f>IFERROR(IF(INDEX([1]Pivot!$AD$1:$BE$65000,$B519,Y$5)=1,1,IF(AND(Y518&gt;=1,Y518&lt;=9,ROW()&lt;=cur_line),Y518+1,0)),0)</f>
        <v>0</v>
      </c>
      <c r="Z519" s="194">
        <f>IFERROR(IF(INDEX([1]Pivot!$AD$1:$BE$65000,$B519,Z$5)=1,1,IF(AND(Z518&gt;=1,Z518&lt;=9,ROW()&lt;=cur_line),Z518+1,0)),0)</f>
        <v>0</v>
      </c>
      <c r="AA519" s="194">
        <f>IFERROR(IF(INDEX([1]Pivot!$AD$1:$BE$65000,$B519,AA$5)=1,1,IF(AND(AA518&gt;=1,AA518&lt;=9,ROW()&lt;=cur_line),AA518+1,0)),0)</f>
        <v>0</v>
      </c>
      <c r="AB519" s="194">
        <f>IFERROR(IF(INDEX([1]Pivot!$AD$1:$BE$65000,$B519,AB$5)=1,1,IF(AND(AB518&gt;=1,AB518&lt;=9,ROW()&lt;=cur_line),AB518+1,0)),0)</f>
        <v>0</v>
      </c>
      <c r="AC519" s="194">
        <f>IFERROR(IF(INDEX([1]Pivot!$AD$1:$BE$65000,$B519,AC$5)=1,1,IF(AND(AC518&gt;=1,AC518&lt;=9,ROW()&lt;=cur_line),AC518+1,0)),0)</f>
        <v>0</v>
      </c>
      <c r="AD519" s="313">
        <f>IFERROR(IF(INDEX([1]Pivot!$BF$1:$CG$65000,$B519,AD$5)=1,1,IF(AND(AD518&gt;=1,AD518&lt;=9,ROW()&lt;=cur_line),AD518+1,0)),0)</f>
        <v>0</v>
      </c>
      <c r="AE519" s="313">
        <f>IFERROR(IF(INDEX([1]Pivot!$BF$1:$CG$65000,$B519,AE$5)=1,1,IF(AND(AE518&gt;=1,AE518&lt;=9,ROW()&lt;=cur_line),AE518+1,0)),0)</f>
        <v>0</v>
      </c>
      <c r="AF519" s="313">
        <f>IFERROR(IF(INDEX([1]Pivot!$BF$1:$CG$65000,$B519,AF$5)=1,1,IF(AND(AF518&gt;=1,AF518&lt;=9,ROW()&lt;=cur_line),AF518+1,0)),0)</f>
        <v>0</v>
      </c>
      <c r="AG519" s="313">
        <f>IFERROR(IF(INDEX([1]Pivot!$BF$1:$CG$65000,$B519,AG$5)=1,1,IF(AND(AG518&gt;=1,AG518&lt;=9,ROW()&lt;=cur_line),AG518+1,0)),0)</f>
        <v>0</v>
      </c>
      <c r="AH519" s="313">
        <f>IFERROR(IF(INDEX([1]Pivot!$BF$1:$CG$65000,$B519,AH$5)=1,1,IF(AND(AH518&gt;=1,AH518&lt;=9,ROW()&lt;=cur_line),AH518+1,0)),0)</f>
        <v>0</v>
      </c>
      <c r="AI519" s="313">
        <f>IFERROR(IF(INDEX([1]Pivot!$BF$1:$CG$65000,$B519,AI$5)=1,1,IF(AND(AI518&gt;=1,AI518&lt;=9,ROW()&lt;=cur_line),AI518+1,0)),0)</f>
        <v>0</v>
      </c>
      <c r="AJ519" s="313">
        <f>IFERROR(IF(INDEX([1]Pivot!$BF$1:$CG$65000,$B519,AJ$5)=1,1,IF(AND(AJ518&gt;=1,AJ518&lt;=9,ROW()&lt;=cur_line),AJ518+1,0)),0)</f>
        <v>0</v>
      </c>
      <c r="AK519" s="313">
        <f>IFERROR(IF(INDEX([1]Pivot!$BF$1:$CG$65000,$B519,AK$5)=1,1,IF(AND(AK518&gt;=1,AK518&lt;=9,ROW()&lt;=cur_line),AK518+1,0)),0)</f>
        <v>0</v>
      </c>
      <c r="AL519" s="313">
        <f>IFERROR(IF(INDEX([1]Pivot!$BF$1:$CG$65000,$B519,AL$5)=1,1,IF(AND(AL518&gt;=1,AL518&lt;=9,ROW()&lt;=cur_line),AL518+1,0)),0)</f>
        <v>0</v>
      </c>
      <c r="AM519" s="313">
        <f>IFERROR(IF(INDEX([1]Pivot!$BF$1:$CG$65000,$B519,AM$5)=1,1,IF(AND(AM518&gt;=1,AM518&lt;=9,ROW()&lt;=cur_line),AM518+1,0)),0)</f>
        <v>0</v>
      </c>
      <c r="AN519" s="313">
        <f>IFERROR(IF(INDEX([1]Pivot!$BF$1:$CG$65000,$B519,AN$5)=1,1,IF(AND(AN518&gt;=1,AN518&lt;=9,ROW()&lt;=cur_line),AN518+1,0)),0)</f>
        <v>0</v>
      </c>
      <c r="AO519" s="313">
        <f>IFERROR(IF(INDEX([1]Pivot!$BF$1:$CG$65000,$B519,AO$5)=1,1,IF(AND(AO518&gt;=1,AO518&lt;=9,ROW()&lt;=cur_line),AO518+1,0)),0)</f>
        <v>0</v>
      </c>
      <c r="AP519" s="313">
        <f>IFERROR(IF(INDEX([1]Pivot!$BF$1:$CG$65000,$B519,AP$5)=1,1,IF(AND(AP518&gt;=1,AP518&lt;=9,ROW()&lt;=cur_line),AP518+1,0)),0)</f>
        <v>0</v>
      </c>
      <c r="AQ519" s="313">
        <f>IFERROR(IF(INDEX([1]Pivot!$BF$1:$CG$65000,$B519,AQ$5)=1,1,IF(AND(AQ518&gt;=1,AQ518&lt;=9,ROW()&lt;=cur_line),AQ518+1,0)),0)</f>
        <v>0</v>
      </c>
      <c r="AR519" s="313">
        <f>IFERROR(IF(INDEX([1]Pivot!$BF$1:$CG$65000,$B519,AR$5)=1,1,IF(AND(AR518&gt;=1,AR518&lt;=9,ROW()&lt;=cur_line),AR518+1,0)),0)</f>
        <v>0</v>
      </c>
      <c r="AS519" s="312"/>
      <c r="AT519" s="313">
        <f>IFERROR(IF(INDEX([1]Pivot!$BF$1:$CG$65000,$B519,AT$5)=1,1,IF(AND(AT518&gt;=1,AT518&lt;=9,ROW()&lt;=cur_line),AT518+1,0)),0)</f>
        <v>0</v>
      </c>
      <c r="AU519" s="313">
        <f>IFERROR(IF(INDEX([1]Pivot!$BF$1:$CG$65000,$B519,AU$5)=1,1,IF(AND(AU518&gt;=1,AU518&lt;=9,ROW()&lt;=cur_line),AU518+1,0)),0)</f>
        <v>0</v>
      </c>
      <c r="AV519" s="313">
        <f>IFERROR(IF(INDEX([1]Pivot!$BF$1:$CG$65000,$B519,AV$5)=1,1,IF(AND(AV518&gt;=1,AV518&lt;=9,ROW()&lt;=cur_line),AV518+1,0)),0)</f>
        <v>0</v>
      </c>
      <c r="AW519" s="313">
        <f>IFERROR(IF(INDEX([1]Pivot!$BF$1:$CG$65000,$B519,AW$5)=1,1,IF(AND(AW518&gt;=1,AW518&lt;=9,ROW()&lt;=cur_line),AW518+1,0)),0)</f>
        <v>0</v>
      </c>
      <c r="AX519" s="313">
        <f>IFERROR(IF(INDEX([1]Pivot!$BF$1:$CG$65000,$B519,AX$5)=1,1,IF(AND(AX518&gt;=1,AX518&lt;=9,ROW()&lt;=cur_line),AX518+1,0)),0)</f>
        <v>0</v>
      </c>
      <c r="AY519" s="313">
        <f>IFERROR(IF(INDEX([1]Pivot!$BF$1:$CG$65000,$B519,AY$5)=1,1,IF(AND(AY518&gt;=1,AY518&lt;=9,ROW()&lt;=cur_line),AY518+1,0)),0)</f>
        <v>0</v>
      </c>
      <c r="AZ519" s="313">
        <f>IFERROR(IF(INDEX([1]Pivot!$BF$1:$CG$65000,$B519,AZ$5)=1,1,IF(AND(AZ518&gt;=1,AZ518&lt;=9,ROW()&lt;=cur_line),AZ518+1,0)),0)</f>
        <v>0</v>
      </c>
      <c r="BA519" s="313">
        <f>IFERROR(IF(INDEX([1]Pivot!$BF$1:$CG$65000,$B519,BA$5)=1,1,IF(AND(BA518&gt;=1,BA518&lt;=9,ROW()&lt;=cur_line),BA518+1,0)),0)</f>
        <v>0</v>
      </c>
      <c r="BB519" s="313">
        <f>IFERROR(IF(INDEX([1]Pivot!$BF$1:$CG$65000,$B519,BB$5)=1,1,IF(AND(BB518&gt;=1,BB518&lt;=9,ROW()&lt;=cur_line),BB518+1,0)),0)</f>
        <v>0</v>
      </c>
      <c r="BC519" s="313">
        <f>IFERROR(IF(INDEX([1]Pivot!$BF$1:$CG$65000,$B519,BC$5)=1,1,IF(AND(BC518&gt;=1,BC518&lt;=9,ROW()&lt;=cur_line),BC518+1,0)),0)</f>
        <v>0</v>
      </c>
      <c r="BD519" s="313">
        <f>IFERROR(IF(INDEX([1]Pivot!$BF$1:$CG$65000,$B519,BD$5)=1,1,IF(AND(BD518&gt;=1,BD518&lt;=9,ROW()&lt;=cur_line),BD518+1,0)),0)</f>
        <v>0</v>
      </c>
    </row>
    <row r="520" spans="1:56" hidden="1" outlineLevel="1" x14ac:dyDescent="0.25">
      <c r="A520" s="288" t="str">
        <f>'[2]Raw Milk Prices'!A520</f>
        <v>2019m09</v>
      </c>
      <c r="B520" s="296" t="e">
        <f>MATCH(DATE(LEFT('[2]Raw Milk Prices'!$A520,4),RIGHT('[2]Raw Milk Prices'!$A520,2),1),[1]Pivot!$A$1:$A$65000,0)</f>
        <v>#N/A</v>
      </c>
      <c r="C520" s="194">
        <f>IFERROR(IF(INDEX([1]Pivot!$AD$1:$BE$65000,$B520,C$5)=1,1,IF(AND(C519&gt;=1,C519&lt;=9,ROW()&lt;=cur_line),C519+1,0)),0)</f>
        <v>0</v>
      </c>
      <c r="D520" s="194">
        <f>IFERROR(IF(INDEX([1]Pivot!$AD$1:$BE$65000,$B520,D$5)=1,1,IF(AND(D519&gt;=1,D519&lt;=9,ROW()&lt;=cur_line),D519+1,0)),0)</f>
        <v>0</v>
      </c>
      <c r="E520" s="194">
        <f>IFERROR(IF(INDEX([1]Pivot!$AD$1:$BE$65000,$B520,E$5)=1,1,IF(AND(E519&gt;=1,E519&lt;=9,ROW()&lt;=cur_line),E519+1,0)),0)</f>
        <v>0</v>
      </c>
      <c r="F520" s="194">
        <f>IFERROR(IF(INDEX([1]Pivot!$AD$1:$BE$65000,$B520,F$5)=1,1,IF(AND(F519&gt;=1,F519&lt;=9,ROW()&lt;=cur_line),F519+1,0)),0)</f>
        <v>0</v>
      </c>
      <c r="G520" s="194">
        <f>IFERROR(IF(INDEX([1]Pivot!$AD$1:$BE$65000,$B520,G$5)=1,1,IF(AND(G519&gt;=1,G519&lt;=9,ROW()&lt;=cur_line),G519+1,0)),0)</f>
        <v>0</v>
      </c>
      <c r="H520" s="194">
        <f>IFERROR(IF(INDEX([1]Pivot!$AD$1:$BE$65000,$B520,H$5)=1,1,IF(AND(H519&gt;=1,H519&lt;=9,ROW()&lt;=cur_line),H519+1,0)),0)</f>
        <v>0</v>
      </c>
      <c r="I520" s="194">
        <f>IFERROR(IF(INDEX([1]Pivot!$AD$1:$BE$65000,$B520,I$5)=1,1,IF(AND(I519&gt;=1,I519&lt;=9,ROW()&lt;=cur_line),I519+1,0)),0)</f>
        <v>0</v>
      </c>
      <c r="J520" s="194">
        <f>IFERROR(IF(INDEX([1]Pivot!$AD$1:$BE$65000,$B520,J$5)=1,1,IF(AND(J519&gt;=1,J519&lt;=9,ROW()&lt;=cur_line),J519+1,0)),0)</f>
        <v>0</v>
      </c>
      <c r="K520" s="194">
        <f>IFERROR(IF(INDEX([1]Pivot!$AD$1:$BE$65000,$B520,K$5)=1,1,IF(AND(K519&gt;=1,K519&lt;=9,ROW()&lt;=cur_line),K519+1,0)),0)</f>
        <v>0</v>
      </c>
      <c r="L520" s="194">
        <f>IFERROR(IF(INDEX([1]Pivot!$AD$1:$BE$65000,$B520,L$5)=1,1,IF(AND(L519&gt;=1,L519&lt;=9,ROW()&lt;=cur_line),L519+1,0)),0)</f>
        <v>0</v>
      </c>
      <c r="M520" s="194">
        <f>IFERROR(IF(INDEX([1]Pivot!$AD$1:$BE$65000,$B520,M$5)=1,1,IF(AND(M519&gt;=1,M519&lt;=9,ROW()&lt;=cur_line),M519+1,0)),0)</f>
        <v>0</v>
      </c>
      <c r="N520" s="194">
        <f>IFERROR(IF(INDEX([1]Pivot!$AD$1:$BE$65000,$B520,N$5)=1,1,IF(AND(N519&gt;=1,N519&lt;=9,ROW()&lt;=cur_line),N519+1,0)),0)</f>
        <v>0</v>
      </c>
      <c r="O520" s="194">
        <f>IFERROR(IF(INDEX([1]Pivot!$AD$1:$BE$65000,$B520,O$5)=1,1,IF(AND(O519&gt;=1,O519&lt;=9,ROW()&lt;=cur_line),O519+1,0)),0)</f>
        <v>0</v>
      </c>
      <c r="P520" s="194">
        <f>IFERROR(IF(INDEX([1]Pivot!$AD$1:$BE$65000,$B520,P$5)=1,1,IF(AND(P519&gt;=1,P519&lt;=9,ROW()&lt;=cur_line),P519+1,0)),0)</f>
        <v>0</v>
      </c>
      <c r="Q520" s="194">
        <f>IFERROR(IF(INDEX([1]Pivot!$AD$1:$BE$65000,$B520,Q$5)=1,1,IF(AND(Q519&gt;=1,Q519&lt;=9,ROW()&lt;=cur_line),Q519+1,0)),0)</f>
        <v>0</v>
      </c>
      <c r="R520" s="312"/>
      <c r="S520" s="194">
        <f>IFERROR(IF(INDEX([1]Pivot!$AD$1:$BE$65000,$B520,S$5)=1,1,IF(AND(S519&gt;=1,S519&lt;=9,ROW()&lt;=cur_line),S519+1,0)),0)</f>
        <v>0</v>
      </c>
      <c r="T520" s="194">
        <f>IFERROR(IF(INDEX([1]Pivot!$AD$1:$BE$65000,$B520,T$5)=1,1,IF(AND(T519&gt;=1,T519&lt;=9,ROW()&lt;=cur_line),T519+1,0)),0)</f>
        <v>0</v>
      </c>
      <c r="U520" s="194">
        <f>IFERROR(IF(INDEX([1]Pivot!$AD$1:$BE$65000,$B520,U$5)=1,1,IF(AND(U519&gt;=1,U519&lt;=9,ROW()&lt;=cur_line),U519+1,0)),0)</f>
        <v>0</v>
      </c>
      <c r="V520" s="194">
        <f>IFERROR(IF(INDEX([1]Pivot!$AD$1:$BE$65000,$B520,V$5)=1,1,IF(AND(V519&gt;=1,V519&lt;=9,ROW()&lt;=cur_line),V519+1,0)),0)</f>
        <v>0</v>
      </c>
      <c r="W520" s="194">
        <f>IFERROR(IF(INDEX([1]Pivot!$AD$1:$BE$65000,$B520,W$5)=1,1,IF(AND(W519&gt;=1,W519&lt;=9,ROW()&lt;=cur_line),W519+1,0)),0)</f>
        <v>0</v>
      </c>
      <c r="X520" s="194">
        <f>IFERROR(IF(INDEX([1]Pivot!$AD$1:$BE$65000,$B520,X$5)=1,1,IF(AND(X519&gt;=1,X519&lt;=9,ROW()&lt;=cur_line),X519+1,0)),0)</f>
        <v>0</v>
      </c>
      <c r="Y520" s="194">
        <f>IFERROR(IF(INDEX([1]Pivot!$AD$1:$BE$65000,$B520,Y$5)=1,1,IF(AND(Y519&gt;=1,Y519&lt;=9,ROW()&lt;=cur_line),Y519+1,0)),0)</f>
        <v>0</v>
      </c>
      <c r="Z520" s="194">
        <f>IFERROR(IF(INDEX([1]Pivot!$AD$1:$BE$65000,$B520,Z$5)=1,1,IF(AND(Z519&gt;=1,Z519&lt;=9,ROW()&lt;=cur_line),Z519+1,0)),0)</f>
        <v>0</v>
      </c>
      <c r="AA520" s="194">
        <f>IFERROR(IF(INDEX([1]Pivot!$AD$1:$BE$65000,$B520,AA$5)=1,1,IF(AND(AA519&gt;=1,AA519&lt;=9,ROW()&lt;=cur_line),AA519+1,0)),0)</f>
        <v>0</v>
      </c>
      <c r="AB520" s="194">
        <f>IFERROR(IF(INDEX([1]Pivot!$AD$1:$BE$65000,$B520,AB$5)=1,1,IF(AND(AB519&gt;=1,AB519&lt;=9,ROW()&lt;=cur_line),AB519+1,0)),0)</f>
        <v>0</v>
      </c>
      <c r="AC520" s="194">
        <f>IFERROR(IF(INDEX([1]Pivot!$AD$1:$BE$65000,$B520,AC$5)=1,1,IF(AND(AC519&gt;=1,AC519&lt;=9,ROW()&lt;=cur_line),AC519+1,0)),0)</f>
        <v>0</v>
      </c>
      <c r="AD520" s="313">
        <f>IFERROR(IF(INDEX([1]Pivot!$BF$1:$CG$65000,$B520,AD$5)=1,1,IF(AND(AD519&gt;=1,AD519&lt;=9,ROW()&lt;=cur_line),AD519+1,0)),0)</f>
        <v>0</v>
      </c>
      <c r="AE520" s="313">
        <f>IFERROR(IF(INDEX([1]Pivot!$BF$1:$CG$65000,$B520,AE$5)=1,1,IF(AND(AE519&gt;=1,AE519&lt;=9,ROW()&lt;=cur_line),AE519+1,0)),0)</f>
        <v>0</v>
      </c>
      <c r="AF520" s="313">
        <f>IFERROR(IF(INDEX([1]Pivot!$BF$1:$CG$65000,$B520,AF$5)=1,1,IF(AND(AF519&gt;=1,AF519&lt;=9,ROW()&lt;=cur_line),AF519+1,0)),0)</f>
        <v>0</v>
      </c>
      <c r="AG520" s="313">
        <f>IFERROR(IF(INDEX([1]Pivot!$BF$1:$CG$65000,$B520,AG$5)=1,1,IF(AND(AG519&gt;=1,AG519&lt;=9,ROW()&lt;=cur_line),AG519+1,0)),0)</f>
        <v>0</v>
      </c>
      <c r="AH520" s="313">
        <f>IFERROR(IF(INDEX([1]Pivot!$BF$1:$CG$65000,$B520,AH$5)=1,1,IF(AND(AH519&gt;=1,AH519&lt;=9,ROW()&lt;=cur_line),AH519+1,0)),0)</f>
        <v>0</v>
      </c>
      <c r="AI520" s="313">
        <f>IFERROR(IF(INDEX([1]Pivot!$BF$1:$CG$65000,$B520,AI$5)=1,1,IF(AND(AI519&gt;=1,AI519&lt;=9,ROW()&lt;=cur_line),AI519+1,0)),0)</f>
        <v>0</v>
      </c>
      <c r="AJ520" s="313">
        <f>IFERROR(IF(INDEX([1]Pivot!$BF$1:$CG$65000,$B520,AJ$5)=1,1,IF(AND(AJ519&gt;=1,AJ519&lt;=9,ROW()&lt;=cur_line),AJ519+1,0)),0)</f>
        <v>0</v>
      </c>
      <c r="AK520" s="313">
        <f>IFERROR(IF(INDEX([1]Pivot!$BF$1:$CG$65000,$B520,AK$5)=1,1,IF(AND(AK519&gt;=1,AK519&lt;=9,ROW()&lt;=cur_line),AK519+1,0)),0)</f>
        <v>0</v>
      </c>
      <c r="AL520" s="313">
        <f>IFERROR(IF(INDEX([1]Pivot!$BF$1:$CG$65000,$B520,AL$5)=1,1,IF(AND(AL519&gt;=1,AL519&lt;=9,ROW()&lt;=cur_line),AL519+1,0)),0)</f>
        <v>0</v>
      </c>
      <c r="AM520" s="313">
        <f>IFERROR(IF(INDEX([1]Pivot!$BF$1:$CG$65000,$B520,AM$5)=1,1,IF(AND(AM519&gt;=1,AM519&lt;=9,ROW()&lt;=cur_line),AM519+1,0)),0)</f>
        <v>0</v>
      </c>
      <c r="AN520" s="313">
        <f>IFERROR(IF(INDEX([1]Pivot!$BF$1:$CG$65000,$B520,AN$5)=1,1,IF(AND(AN519&gt;=1,AN519&lt;=9,ROW()&lt;=cur_line),AN519+1,0)),0)</f>
        <v>0</v>
      </c>
      <c r="AO520" s="313">
        <f>IFERROR(IF(INDEX([1]Pivot!$BF$1:$CG$65000,$B520,AO$5)=1,1,IF(AND(AO519&gt;=1,AO519&lt;=9,ROW()&lt;=cur_line),AO519+1,0)),0)</f>
        <v>0</v>
      </c>
      <c r="AP520" s="313">
        <f>IFERROR(IF(INDEX([1]Pivot!$BF$1:$CG$65000,$B520,AP$5)=1,1,IF(AND(AP519&gt;=1,AP519&lt;=9,ROW()&lt;=cur_line),AP519+1,0)),0)</f>
        <v>0</v>
      </c>
      <c r="AQ520" s="313">
        <f>IFERROR(IF(INDEX([1]Pivot!$BF$1:$CG$65000,$B520,AQ$5)=1,1,IF(AND(AQ519&gt;=1,AQ519&lt;=9,ROW()&lt;=cur_line),AQ519+1,0)),0)</f>
        <v>0</v>
      </c>
      <c r="AR520" s="313">
        <f>IFERROR(IF(INDEX([1]Pivot!$BF$1:$CG$65000,$B520,AR$5)=1,1,IF(AND(AR519&gt;=1,AR519&lt;=9,ROW()&lt;=cur_line),AR519+1,0)),0)</f>
        <v>0</v>
      </c>
      <c r="AS520" s="312"/>
      <c r="AT520" s="313">
        <f>IFERROR(IF(INDEX([1]Pivot!$BF$1:$CG$65000,$B520,AT$5)=1,1,IF(AND(AT519&gt;=1,AT519&lt;=9,ROW()&lt;=cur_line),AT519+1,0)),0)</f>
        <v>0</v>
      </c>
      <c r="AU520" s="313">
        <f>IFERROR(IF(INDEX([1]Pivot!$BF$1:$CG$65000,$B520,AU$5)=1,1,IF(AND(AU519&gt;=1,AU519&lt;=9,ROW()&lt;=cur_line),AU519+1,0)),0)</f>
        <v>0</v>
      </c>
      <c r="AV520" s="313">
        <f>IFERROR(IF(INDEX([1]Pivot!$BF$1:$CG$65000,$B520,AV$5)=1,1,IF(AND(AV519&gt;=1,AV519&lt;=9,ROW()&lt;=cur_line),AV519+1,0)),0)</f>
        <v>0</v>
      </c>
      <c r="AW520" s="313">
        <f>IFERROR(IF(INDEX([1]Pivot!$BF$1:$CG$65000,$B520,AW$5)=1,1,IF(AND(AW519&gt;=1,AW519&lt;=9,ROW()&lt;=cur_line),AW519+1,0)),0)</f>
        <v>0</v>
      </c>
      <c r="AX520" s="313">
        <f>IFERROR(IF(INDEX([1]Pivot!$BF$1:$CG$65000,$B520,AX$5)=1,1,IF(AND(AX519&gt;=1,AX519&lt;=9,ROW()&lt;=cur_line),AX519+1,0)),0)</f>
        <v>0</v>
      </c>
      <c r="AY520" s="313">
        <f>IFERROR(IF(INDEX([1]Pivot!$BF$1:$CG$65000,$B520,AY$5)=1,1,IF(AND(AY519&gt;=1,AY519&lt;=9,ROW()&lt;=cur_line),AY519+1,0)),0)</f>
        <v>0</v>
      </c>
      <c r="AZ520" s="313">
        <f>IFERROR(IF(INDEX([1]Pivot!$BF$1:$CG$65000,$B520,AZ$5)=1,1,IF(AND(AZ519&gt;=1,AZ519&lt;=9,ROW()&lt;=cur_line),AZ519+1,0)),0)</f>
        <v>0</v>
      </c>
      <c r="BA520" s="313">
        <f>IFERROR(IF(INDEX([1]Pivot!$BF$1:$CG$65000,$B520,BA$5)=1,1,IF(AND(BA519&gt;=1,BA519&lt;=9,ROW()&lt;=cur_line),BA519+1,0)),0)</f>
        <v>0</v>
      </c>
      <c r="BB520" s="313">
        <f>IFERROR(IF(INDEX([1]Pivot!$BF$1:$CG$65000,$B520,BB$5)=1,1,IF(AND(BB519&gt;=1,BB519&lt;=9,ROW()&lt;=cur_line),BB519+1,0)),0)</f>
        <v>0</v>
      </c>
      <c r="BC520" s="313">
        <f>IFERROR(IF(INDEX([1]Pivot!$BF$1:$CG$65000,$B520,BC$5)=1,1,IF(AND(BC519&gt;=1,BC519&lt;=9,ROW()&lt;=cur_line),BC519+1,0)),0)</f>
        <v>0</v>
      </c>
      <c r="BD520" s="313">
        <f>IFERROR(IF(INDEX([1]Pivot!$BF$1:$CG$65000,$B520,BD$5)=1,1,IF(AND(BD519&gt;=1,BD519&lt;=9,ROW()&lt;=cur_line),BD519+1,0)),0)</f>
        <v>0</v>
      </c>
    </row>
    <row r="521" spans="1:56" hidden="1" outlineLevel="1" x14ac:dyDescent="0.25">
      <c r="A521" s="288" t="str">
        <f>'[2]Raw Milk Prices'!A521</f>
        <v>2019m10</v>
      </c>
      <c r="B521" s="296" t="e">
        <f>MATCH(DATE(LEFT('[2]Raw Milk Prices'!$A521,4),RIGHT('[2]Raw Milk Prices'!$A521,2),1),[1]Pivot!$A$1:$A$65000,0)</f>
        <v>#N/A</v>
      </c>
      <c r="C521" s="194">
        <f>IFERROR(IF(INDEX([1]Pivot!$AD$1:$BE$65000,$B521,C$5)=1,1,IF(AND(C520&gt;=1,C520&lt;=9,ROW()&lt;=cur_line),C520+1,0)),0)</f>
        <v>0</v>
      </c>
      <c r="D521" s="194">
        <f>IFERROR(IF(INDEX([1]Pivot!$AD$1:$BE$65000,$B521,D$5)=1,1,IF(AND(D520&gt;=1,D520&lt;=9,ROW()&lt;=cur_line),D520+1,0)),0)</f>
        <v>0</v>
      </c>
      <c r="E521" s="194">
        <f>IFERROR(IF(INDEX([1]Pivot!$AD$1:$BE$65000,$B521,E$5)=1,1,IF(AND(E520&gt;=1,E520&lt;=9,ROW()&lt;=cur_line),E520+1,0)),0)</f>
        <v>0</v>
      </c>
      <c r="F521" s="194">
        <f>IFERROR(IF(INDEX([1]Pivot!$AD$1:$BE$65000,$B521,F$5)=1,1,IF(AND(F520&gt;=1,F520&lt;=9,ROW()&lt;=cur_line),F520+1,0)),0)</f>
        <v>0</v>
      </c>
      <c r="G521" s="194">
        <f>IFERROR(IF(INDEX([1]Pivot!$AD$1:$BE$65000,$B521,G$5)=1,1,IF(AND(G520&gt;=1,G520&lt;=9,ROW()&lt;=cur_line),G520+1,0)),0)</f>
        <v>0</v>
      </c>
      <c r="H521" s="194">
        <f>IFERROR(IF(INDEX([1]Pivot!$AD$1:$BE$65000,$B521,H$5)=1,1,IF(AND(H520&gt;=1,H520&lt;=9,ROW()&lt;=cur_line),H520+1,0)),0)</f>
        <v>0</v>
      </c>
      <c r="I521" s="194">
        <f>IFERROR(IF(INDEX([1]Pivot!$AD$1:$BE$65000,$B521,I$5)=1,1,IF(AND(I520&gt;=1,I520&lt;=9,ROW()&lt;=cur_line),I520+1,0)),0)</f>
        <v>0</v>
      </c>
      <c r="J521" s="194">
        <f>IFERROR(IF(INDEX([1]Pivot!$AD$1:$BE$65000,$B521,J$5)=1,1,IF(AND(J520&gt;=1,J520&lt;=9,ROW()&lt;=cur_line),J520+1,0)),0)</f>
        <v>0</v>
      </c>
      <c r="K521" s="194">
        <f>IFERROR(IF(INDEX([1]Pivot!$AD$1:$BE$65000,$B521,K$5)=1,1,IF(AND(K520&gt;=1,K520&lt;=9,ROW()&lt;=cur_line),K520+1,0)),0)</f>
        <v>0</v>
      </c>
      <c r="L521" s="194">
        <f>IFERROR(IF(INDEX([1]Pivot!$AD$1:$BE$65000,$B521,L$5)=1,1,IF(AND(L520&gt;=1,L520&lt;=9,ROW()&lt;=cur_line),L520+1,0)),0)</f>
        <v>0</v>
      </c>
      <c r="M521" s="194">
        <f>IFERROR(IF(INDEX([1]Pivot!$AD$1:$BE$65000,$B521,M$5)=1,1,IF(AND(M520&gt;=1,M520&lt;=9,ROW()&lt;=cur_line),M520+1,0)),0)</f>
        <v>0</v>
      </c>
      <c r="N521" s="194">
        <f>IFERROR(IF(INDEX([1]Pivot!$AD$1:$BE$65000,$B521,N$5)=1,1,IF(AND(N520&gt;=1,N520&lt;=9,ROW()&lt;=cur_line),N520+1,0)),0)</f>
        <v>0</v>
      </c>
      <c r="O521" s="194">
        <f>IFERROR(IF(INDEX([1]Pivot!$AD$1:$BE$65000,$B521,O$5)=1,1,IF(AND(O520&gt;=1,O520&lt;=9,ROW()&lt;=cur_line),O520+1,0)),0)</f>
        <v>0</v>
      </c>
      <c r="P521" s="194">
        <f>IFERROR(IF(INDEX([1]Pivot!$AD$1:$BE$65000,$B521,P$5)=1,1,IF(AND(P520&gt;=1,P520&lt;=9,ROW()&lt;=cur_line),P520+1,0)),0)</f>
        <v>0</v>
      </c>
      <c r="Q521" s="194">
        <f>IFERROR(IF(INDEX([1]Pivot!$AD$1:$BE$65000,$B521,Q$5)=1,1,IF(AND(Q520&gt;=1,Q520&lt;=9,ROW()&lt;=cur_line),Q520+1,0)),0)</f>
        <v>0</v>
      </c>
      <c r="R521" s="312"/>
      <c r="S521" s="194">
        <f>IFERROR(IF(INDEX([1]Pivot!$AD$1:$BE$65000,$B521,S$5)=1,1,IF(AND(S520&gt;=1,S520&lt;=9,ROW()&lt;=cur_line),S520+1,0)),0)</f>
        <v>0</v>
      </c>
      <c r="T521" s="194">
        <f>IFERROR(IF(INDEX([1]Pivot!$AD$1:$BE$65000,$B521,T$5)=1,1,IF(AND(T520&gt;=1,T520&lt;=9,ROW()&lt;=cur_line),T520+1,0)),0)</f>
        <v>0</v>
      </c>
      <c r="U521" s="194">
        <f>IFERROR(IF(INDEX([1]Pivot!$AD$1:$BE$65000,$B521,U$5)=1,1,IF(AND(U520&gt;=1,U520&lt;=9,ROW()&lt;=cur_line),U520+1,0)),0)</f>
        <v>0</v>
      </c>
      <c r="V521" s="194">
        <f>IFERROR(IF(INDEX([1]Pivot!$AD$1:$BE$65000,$B521,V$5)=1,1,IF(AND(V520&gt;=1,V520&lt;=9,ROW()&lt;=cur_line),V520+1,0)),0)</f>
        <v>0</v>
      </c>
      <c r="W521" s="194">
        <f>IFERROR(IF(INDEX([1]Pivot!$AD$1:$BE$65000,$B521,W$5)=1,1,IF(AND(W520&gt;=1,W520&lt;=9,ROW()&lt;=cur_line),W520+1,0)),0)</f>
        <v>0</v>
      </c>
      <c r="X521" s="194">
        <f>IFERROR(IF(INDEX([1]Pivot!$AD$1:$BE$65000,$B521,X$5)=1,1,IF(AND(X520&gt;=1,X520&lt;=9,ROW()&lt;=cur_line),X520+1,0)),0)</f>
        <v>0</v>
      </c>
      <c r="Y521" s="194">
        <f>IFERROR(IF(INDEX([1]Pivot!$AD$1:$BE$65000,$B521,Y$5)=1,1,IF(AND(Y520&gt;=1,Y520&lt;=9,ROW()&lt;=cur_line),Y520+1,0)),0)</f>
        <v>0</v>
      </c>
      <c r="Z521" s="194">
        <f>IFERROR(IF(INDEX([1]Pivot!$AD$1:$BE$65000,$B521,Z$5)=1,1,IF(AND(Z520&gt;=1,Z520&lt;=9,ROW()&lt;=cur_line),Z520+1,0)),0)</f>
        <v>0</v>
      </c>
      <c r="AA521" s="194">
        <f>IFERROR(IF(INDEX([1]Pivot!$AD$1:$BE$65000,$B521,AA$5)=1,1,IF(AND(AA520&gt;=1,AA520&lt;=9,ROW()&lt;=cur_line),AA520+1,0)),0)</f>
        <v>0</v>
      </c>
      <c r="AB521" s="194">
        <f>IFERROR(IF(INDEX([1]Pivot!$AD$1:$BE$65000,$B521,AB$5)=1,1,IF(AND(AB520&gt;=1,AB520&lt;=9,ROW()&lt;=cur_line),AB520+1,0)),0)</f>
        <v>0</v>
      </c>
      <c r="AC521" s="194">
        <f>IFERROR(IF(INDEX([1]Pivot!$AD$1:$BE$65000,$B521,AC$5)=1,1,IF(AND(AC520&gt;=1,AC520&lt;=9,ROW()&lt;=cur_line),AC520+1,0)),0)</f>
        <v>0</v>
      </c>
      <c r="AD521" s="313">
        <f>IFERROR(IF(INDEX([1]Pivot!$BF$1:$CG$65000,$B521,AD$5)=1,1,IF(AND(AD520&gt;=1,AD520&lt;=9,ROW()&lt;=cur_line),AD520+1,0)),0)</f>
        <v>0</v>
      </c>
      <c r="AE521" s="313">
        <f>IFERROR(IF(INDEX([1]Pivot!$BF$1:$CG$65000,$B521,AE$5)=1,1,IF(AND(AE520&gt;=1,AE520&lt;=9,ROW()&lt;=cur_line),AE520+1,0)),0)</f>
        <v>0</v>
      </c>
      <c r="AF521" s="313">
        <f>IFERROR(IF(INDEX([1]Pivot!$BF$1:$CG$65000,$B521,AF$5)=1,1,IF(AND(AF520&gt;=1,AF520&lt;=9,ROW()&lt;=cur_line),AF520+1,0)),0)</f>
        <v>0</v>
      </c>
      <c r="AG521" s="313">
        <f>IFERROR(IF(INDEX([1]Pivot!$BF$1:$CG$65000,$B521,AG$5)=1,1,IF(AND(AG520&gt;=1,AG520&lt;=9,ROW()&lt;=cur_line),AG520+1,0)),0)</f>
        <v>0</v>
      </c>
      <c r="AH521" s="313">
        <f>IFERROR(IF(INDEX([1]Pivot!$BF$1:$CG$65000,$B521,AH$5)=1,1,IF(AND(AH520&gt;=1,AH520&lt;=9,ROW()&lt;=cur_line),AH520+1,0)),0)</f>
        <v>0</v>
      </c>
      <c r="AI521" s="313">
        <f>IFERROR(IF(INDEX([1]Pivot!$BF$1:$CG$65000,$B521,AI$5)=1,1,IF(AND(AI520&gt;=1,AI520&lt;=9,ROW()&lt;=cur_line),AI520+1,0)),0)</f>
        <v>0</v>
      </c>
      <c r="AJ521" s="313">
        <f>IFERROR(IF(INDEX([1]Pivot!$BF$1:$CG$65000,$B521,AJ$5)=1,1,IF(AND(AJ520&gt;=1,AJ520&lt;=9,ROW()&lt;=cur_line),AJ520+1,0)),0)</f>
        <v>0</v>
      </c>
      <c r="AK521" s="313">
        <f>IFERROR(IF(INDEX([1]Pivot!$BF$1:$CG$65000,$B521,AK$5)=1,1,IF(AND(AK520&gt;=1,AK520&lt;=9,ROW()&lt;=cur_line),AK520+1,0)),0)</f>
        <v>0</v>
      </c>
      <c r="AL521" s="313">
        <f>IFERROR(IF(INDEX([1]Pivot!$BF$1:$CG$65000,$B521,AL$5)=1,1,IF(AND(AL520&gt;=1,AL520&lt;=9,ROW()&lt;=cur_line),AL520+1,0)),0)</f>
        <v>0</v>
      </c>
      <c r="AM521" s="313">
        <f>IFERROR(IF(INDEX([1]Pivot!$BF$1:$CG$65000,$B521,AM$5)=1,1,IF(AND(AM520&gt;=1,AM520&lt;=9,ROW()&lt;=cur_line),AM520+1,0)),0)</f>
        <v>0</v>
      </c>
      <c r="AN521" s="313">
        <f>IFERROR(IF(INDEX([1]Pivot!$BF$1:$CG$65000,$B521,AN$5)=1,1,IF(AND(AN520&gt;=1,AN520&lt;=9,ROW()&lt;=cur_line),AN520+1,0)),0)</f>
        <v>0</v>
      </c>
      <c r="AO521" s="313">
        <f>IFERROR(IF(INDEX([1]Pivot!$BF$1:$CG$65000,$B521,AO$5)=1,1,IF(AND(AO520&gt;=1,AO520&lt;=9,ROW()&lt;=cur_line),AO520+1,0)),0)</f>
        <v>0</v>
      </c>
      <c r="AP521" s="313">
        <f>IFERROR(IF(INDEX([1]Pivot!$BF$1:$CG$65000,$B521,AP$5)=1,1,IF(AND(AP520&gt;=1,AP520&lt;=9,ROW()&lt;=cur_line),AP520+1,0)),0)</f>
        <v>0</v>
      </c>
      <c r="AQ521" s="313">
        <f>IFERROR(IF(INDEX([1]Pivot!$BF$1:$CG$65000,$B521,AQ$5)=1,1,IF(AND(AQ520&gt;=1,AQ520&lt;=9,ROW()&lt;=cur_line),AQ520+1,0)),0)</f>
        <v>0</v>
      </c>
      <c r="AR521" s="313">
        <f>IFERROR(IF(INDEX([1]Pivot!$BF$1:$CG$65000,$B521,AR$5)=1,1,IF(AND(AR520&gt;=1,AR520&lt;=9,ROW()&lt;=cur_line),AR520+1,0)),0)</f>
        <v>0</v>
      </c>
      <c r="AS521" s="312"/>
      <c r="AT521" s="313">
        <f>IFERROR(IF(INDEX([1]Pivot!$BF$1:$CG$65000,$B521,AT$5)=1,1,IF(AND(AT520&gt;=1,AT520&lt;=9,ROW()&lt;=cur_line),AT520+1,0)),0)</f>
        <v>0</v>
      </c>
      <c r="AU521" s="313">
        <f>IFERROR(IF(INDEX([1]Pivot!$BF$1:$CG$65000,$B521,AU$5)=1,1,IF(AND(AU520&gt;=1,AU520&lt;=9,ROW()&lt;=cur_line),AU520+1,0)),0)</f>
        <v>0</v>
      </c>
      <c r="AV521" s="313">
        <f>IFERROR(IF(INDEX([1]Pivot!$BF$1:$CG$65000,$B521,AV$5)=1,1,IF(AND(AV520&gt;=1,AV520&lt;=9,ROW()&lt;=cur_line),AV520+1,0)),0)</f>
        <v>0</v>
      </c>
      <c r="AW521" s="313">
        <f>IFERROR(IF(INDEX([1]Pivot!$BF$1:$CG$65000,$B521,AW$5)=1,1,IF(AND(AW520&gt;=1,AW520&lt;=9,ROW()&lt;=cur_line),AW520+1,0)),0)</f>
        <v>0</v>
      </c>
      <c r="AX521" s="313">
        <f>IFERROR(IF(INDEX([1]Pivot!$BF$1:$CG$65000,$B521,AX$5)=1,1,IF(AND(AX520&gt;=1,AX520&lt;=9,ROW()&lt;=cur_line),AX520+1,0)),0)</f>
        <v>0</v>
      </c>
      <c r="AY521" s="313">
        <f>IFERROR(IF(INDEX([1]Pivot!$BF$1:$CG$65000,$B521,AY$5)=1,1,IF(AND(AY520&gt;=1,AY520&lt;=9,ROW()&lt;=cur_line),AY520+1,0)),0)</f>
        <v>0</v>
      </c>
      <c r="AZ521" s="313">
        <f>IFERROR(IF(INDEX([1]Pivot!$BF$1:$CG$65000,$B521,AZ$5)=1,1,IF(AND(AZ520&gt;=1,AZ520&lt;=9,ROW()&lt;=cur_line),AZ520+1,0)),0)</f>
        <v>0</v>
      </c>
      <c r="BA521" s="313">
        <f>IFERROR(IF(INDEX([1]Pivot!$BF$1:$CG$65000,$B521,BA$5)=1,1,IF(AND(BA520&gt;=1,BA520&lt;=9,ROW()&lt;=cur_line),BA520+1,0)),0)</f>
        <v>0</v>
      </c>
      <c r="BB521" s="313">
        <f>IFERROR(IF(INDEX([1]Pivot!$BF$1:$CG$65000,$B521,BB$5)=1,1,IF(AND(BB520&gt;=1,BB520&lt;=9,ROW()&lt;=cur_line),BB520+1,0)),0)</f>
        <v>0</v>
      </c>
      <c r="BC521" s="313">
        <f>IFERROR(IF(INDEX([1]Pivot!$BF$1:$CG$65000,$B521,BC$5)=1,1,IF(AND(BC520&gt;=1,BC520&lt;=9,ROW()&lt;=cur_line),BC520+1,0)),0)</f>
        <v>0</v>
      </c>
      <c r="BD521" s="313">
        <f>IFERROR(IF(INDEX([1]Pivot!$BF$1:$CG$65000,$B521,BD$5)=1,1,IF(AND(BD520&gt;=1,BD520&lt;=9,ROW()&lt;=cur_line),BD520+1,0)),0)</f>
        <v>0</v>
      </c>
    </row>
    <row r="522" spans="1:56" hidden="1" outlineLevel="1" x14ac:dyDescent="0.25">
      <c r="A522" s="288" t="str">
        <f>'[2]Raw Milk Prices'!A522</f>
        <v>2019m11</v>
      </c>
      <c r="B522" s="296" t="e">
        <f>MATCH(DATE(LEFT('[2]Raw Milk Prices'!$A522,4),RIGHT('[2]Raw Milk Prices'!$A522,2),1),[1]Pivot!$A$1:$A$65000,0)</f>
        <v>#N/A</v>
      </c>
      <c r="C522" s="194">
        <f>IFERROR(IF(INDEX([1]Pivot!$AD$1:$BE$65000,$B522,C$5)=1,1,IF(AND(C521&gt;=1,C521&lt;=9,ROW()&lt;=cur_line),C521+1,0)),0)</f>
        <v>0</v>
      </c>
      <c r="D522" s="194">
        <f>IFERROR(IF(INDEX([1]Pivot!$AD$1:$BE$65000,$B522,D$5)=1,1,IF(AND(D521&gt;=1,D521&lt;=9,ROW()&lt;=cur_line),D521+1,0)),0)</f>
        <v>0</v>
      </c>
      <c r="E522" s="194">
        <f>IFERROR(IF(INDEX([1]Pivot!$AD$1:$BE$65000,$B522,E$5)=1,1,IF(AND(E521&gt;=1,E521&lt;=9,ROW()&lt;=cur_line),E521+1,0)),0)</f>
        <v>0</v>
      </c>
      <c r="F522" s="194">
        <f>IFERROR(IF(INDEX([1]Pivot!$AD$1:$BE$65000,$B522,F$5)=1,1,IF(AND(F521&gt;=1,F521&lt;=9,ROW()&lt;=cur_line),F521+1,0)),0)</f>
        <v>0</v>
      </c>
      <c r="G522" s="194">
        <f>IFERROR(IF(INDEX([1]Pivot!$AD$1:$BE$65000,$B522,G$5)=1,1,IF(AND(G521&gt;=1,G521&lt;=9,ROW()&lt;=cur_line),G521+1,0)),0)</f>
        <v>0</v>
      </c>
      <c r="H522" s="194">
        <f>IFERROR(IF(INDEX([1]Pivot!$AD$1:$BE$65000,$B522,H$5)=1,1,IF(AND(H521&gt;=1,H521&lt;=9,ROW()&lt;=cur_line),H521+1,0)),0)</f>
        <v>0</v>
      </c>
      <c r="I522" s="194">
        <f>IFERROR(IF(INDEX([1]Pivot!$AD$1:$BE$65000,$B522,I$5)=1,1,IF(AND(I521&gt;=1,I521&lt;=9,ROW()&lt;=cur_line),I521+1,0)),0)</f>
        <v>0</v>
      </c>
      <c r="J522" s="194">
        <f>IFERROR(IF(INDEX([1]Pivot!$AD$1:$BE$65000,$B522,J$5)=1,1,IF(AND(J521&gt;=1,J521&lt;=9,ROW()&lt;=cur_line),J521+1,0)),0)</f>
        <v>0</v>
      </c>
      <c r="K522" s="194">
        <f>IFERROR(IF(INDEX([1]Pivot!$AD$1:$BE$65000,$B522,K$5)=1,1,IF(AND(K521&gt;=1,K521&lt;=9,ROW()&lt;=cur_line),K521+1,0)),0)</f>
        <v>0</v>
      </c>
      <c r="L522" s="194">
        <f>IFERROR(IF(INDEX([1]Pivot!$AD$1:$BE$65000,$B522,L$5)=1,1,IF(AND(L521&gt;=1,L521&lt;=9,ROW()&lt;=cur_line),L521+1,0)),0)</f>
        <v>0</v>
      </c>
      <c r="M522" s="194">
        <f>IFERROR(IF(INDEX([1]Pivot!$AD$1:$BE$65000,$B522,M$5)=1,1,IF(AND(M521&gt;=1,M521&lt;=9,ROW()&lt;=cur_line),M521+1,0)),0)</f>
        <v>0</v>
      </c>
      <c r="N522" s="194">
        <f>IFERROR(IF(INDEX([1]Pivot!$AD$1:$BE$65000,$B522,N$5)=1,1,IF(AND(N521&gt;=1,N521&lt;=9,ROW()&lt;=cur_line),N521+1,0)),0)</f>
        <v>0</v>
      </c>
      <c r="O522" s="194">
        <f>IFERROR(IF(INDEX([1]Pivot!$AD$1:$BE$65000,$B522,O$5)=1,1,IF(AND(O521&gt;=1,O521&lt;=9,ROW()&lt;=cur_line),O521+1,0)),0)</f>
        <v>0</v>
      </c>
      <c r="P522" s="194">
        <f>IFERROR(IF(INDEX([1]Pivot!$AD$1:$BE$65000,$B522,P$5)=1,1,IF(AND(P521&gt;=1,P521&lt;=9,ROW()&lt;=cur_line),P521+1,0)),0)</f>
        <v>0</v>
      </c>
      <c r="Q522" s="194">
        <f>IFERROR(IF(INDEX([1]Pivot!$AD$1:$BE$65000,$B522,Q$5)=1,1,IF(AND(Q521&gt;=1,Q521&lt;=9,ROW()&lt;=cur_line),Q521+1,0)),0)</f>
        <v>0</v>
      </c>
      <c r="R522" s="312"/>
      <c r="S522" s="194">
        <f>IFERROR(IF(INDEX([1]Pivot!$AD$1:$BE$65000,$B522,S$5)=1,1,IF(AND(S521&gt;=1,S521&lt;=9,ROW()&lt;=cur_line),S521+1,0)),0)</f>
        <v>0</v>
      </c>
      <c r="T522" s="194">
        <f>IFERROR(IF(INDEX([1]Pivot!$AD$1:$BE$65000,$B522,T$5)=1,1,IF(AND(T521&gt;=1,T521&lt;=9,ROW()&lt;=cur_line),T521+1,0)),0)</f>
        <v>0</v>
      </c>
      <c r="U522" s="194">
        <f>IFERROR(IF(INDEX([1]Pivot!$AD$1:$BE$65000,$B522,U$5)=1,1,IF(AND(U521&gt;=1,U521&lt;=9,ROW()&lt;=cur_line),U521+1,0)),0)</f>
        <v>0</v>
      </c>
      <c r="V522" s="194">
        <f>IFERROR(IF(INDEX([1]Pivot!$AD$1:$BE$65000,$B522,V$5)=1,1,IF(AND(V521&gt;=1,V521&lt;=9,ROW()&lt;=cur_line),V521+1,0)),0)</f>
        <v>0</v>
      </c>
      <c r="W522" s="194">
        <f>IFERROR(IF(INDEX([1]Pivot!$AD$1:$BE$65000,$B522,W$5)=1,1,IF(AND(W521&gt;=1,W521&lt;=9,ROW()&lt;=cur_line),W521+1,0)),0)</f>
        <v>0</v>
      </c>
      <c r="X522" s="194">
        <f>IFERROR(IF(INDEX([1]Pivot!$AD$1:$BE$65000,$B522,X$5)=1,1,IF(AND(X521&gt;=1,X521&lt;=9,ROW()&lt;=cur_line),X521+1,0)),0)</f>
        <v>0</v>
      </c>
      <c r="Y522" s="194">
        <f>IFERROR(IF(INDEX([1]Pivot!$AD$1:$BE$65000,$B522,Y$5)=1,1,IF(AND(Y521&gt;=1,Y521&lt;=9,ROW()&lt;=cur_line),Y521+1,0)),0)</f>
        <v>0</v>
      </c>
      <c r="Z522" s="194">
        <f>IFERROR(IF(INDEX([1]Pivot!$AD$1:$BE$65000,$B522,Z$5)=1,1,IF(AND(Z521&gt;=1,Z521&lt;=9,ROW()&lt;=cur_line),Z521+1,0)),0)</f>
        <v>0</v>
      </c>
      <c r="AA522" s="194">
        <f>IFERROR(IF(INDEX([1]Pivot!$AD$1:$BE$65000,$B522,AA$5)=1,1,IF(AND(AA521&gt;=1,AA521&lt;=9,ROW()&lt;=cur_line),AA521+1,0)),0)</f>
        <v>0</v>
      </c>
      <c r="AB522" s="194">
        <f>IFERROR(IF(INDEX([1]Pivot!$AD$1:$BE$65000,$B522,AB$5)=1,1,IF(AND(AB521&gt;=1,AB521&lt;=9,ROW()&lt;=cur_line),AB521+1,0)),0)</f>
        <v>0</v>
      </c>
      <c r="AC522" s="194">
        <f>IFERROR(IF(INDEX([1]Pivot!$AD$1:$BE$65000,$B522,AC$5)=1,1,IF(AND(AC521&gt;=1,AC521&lt;=9,ROW()&lt;=cur_line),AC521+1,0)),0)</f>
        <v>0</v>
      </c>
      <c r="AD522" s="313">
        <f>IFERROR(IF(INDEX([1]Pivot!$BF$1:$CG$65000,$B522,AD$5)=1,1,IF(AND(AD521&gt;=1,AD521&lt;=9,ROW()&lt;=cur_line),AD521+1,0)),0)</f>
        <v>0</v>
      </c>
      <c r="AE522" s="313">
        <f>IFERROR(IF(INDEX([1]Pivot!$BF$1:$CG$65000,$B522,AE$5)=1,1,IF(AND(AE521&gt;=1,AE521&lt;=9,ROW()&lt;=cur_line),AE521+1,0)),0)</f>
        <v>0</v>
      </c>
      <c r="AF522" s="313">
        <f>IFERROR(IF(INDEX([1]Pivot!$BF$1:$CG$65000,$B522,AF$5)=1,1,IF(AND(AF521&gt;=1,AF521&lt;=9,ROW()&lt;=cur_line),AF521+1,0)),0)</f>
        <v>0</v>
      </c>
      <c r="AG522" s="313">
        <f>IFERROR(IF(INDEX([1]Pivot!$BF$1:$CG$65000,$B522,AG$5)=1,1,IF(AND(AG521&gt;=1,AG521&lt;=9,ROW()&lt;=cur_line),AG521+1,0)),0)</f>
        <v>0</v>
      </c>
      <c r="AH522" s="313">
        <f>IFERROR(IF(INDEX([1]Pivot!$BF$1:$CG$65000,$B522,AH$5)=1,1,IF(AND(AH521&gt;=1,AH521&lt;=9,ROW()&lt;=cur_line),AH521+1,0)),0)</f>
        <v>0</v>
      </c>
      <c r="AI522" s="313">
        <f>IFERROR(IF(INDEX([1]Pivot!$BF$1:$CG$65000,$B522,AI$5)=1,1,IF(AND(AI521&gt;=1,AI521&lt;=9,ROW()&lt;=cur_line),AI521+1,0)),0)</f>
        <v>0</v>
      </c>
      <c r="AJ522" s="313">
        <f>IFERROR(IF(INDEX([1]Pivot!$BF$1:$CG$65000,$B522,AJ$5)=1,1,IF(AND(AJ521&gt;=1,AJ521&lt;=9,ROW()&lt;=cur_line),AJ521+1,0)),0)</f>
        <v>0</v>
      </c>
      <c r="AK522" s="313">
        <f>IFERROR(IF(INDEX([1]Pivot!$BF$1:$CG$65000,$B522,AK$5)=1,1,IF(AND(AK521&gt;=1,AK521&lt;=9,ROW()&lt;=cur_line),AK521+1,0)),0)</f>
        <v>0</v>
      </c>
      <c r="AL522" s="313">
        <f>IFERROR(IF(INDEX([1]Pivot!$BF$1:$CG$65000,$B522,AL$5)=1,1,IF(AND(AL521&gt;=1,AL521&lt;=9,ROW()&lt;=cur_line),AL521+1,0)),0)</f>
        <v>0</v>
      </c>
      <c r="AM522" s="313">
        <f>IFERROR(IF(INDEX([1]Pivot!$BF$1:$CG$65000,$B522,AM$5)=1,1,IF(AND(AM521&gt;=1,AM521&lt;=9,ROW()&lt;=cur_line),AM521+1,0)),0)</f>
        <v>0</v>
      </c>
      <c r="AN522" s="313">
        <f>IFERROR(IF(INDEX([1]Pivot!$BF$1:$CG$65000,$B522,AN$5)=1,1,IF(AND(AN521&gt;=1,AN521&lt;=9,ROW()&lt;=cur_line),AN521+1,0)),0)</f>
        <v>0</v>
      </c>
      <c r="AO522" s="313">
        <f>IFERROR(IF(INDEX([1]Pivot!$BF$1:$CG$65000,$B522,AO$5)=1,1,IF(AND(AO521&gt;=1,AO521&lt;=9,ROW()&lt;=cur_line),AO521+1,0)),0)</f>
        <v>0</v>
      </c>
      <c r="AP522" s="313">
        <f>IFERROR(IF(INDEX([1]Pivot!$BF$1:$CG$65000,$B522,AP$5)=1,1,IF(AND(AP521&gt;=1,AP521&lt;=9,ROW()&lt;=cur_line),AP521+1,0)),0)</f>
        <v>0</v>
      </c>
      <c r="AQ522" s="313">
        <f>IFERROR(IF(INDEX([1]Pivot!$BF$1:$CG$65000,$B522,AQ$5)=1,1,IF(AND(AQ521&gt;=1,AQ521&lt;=9,ROW()&lt;=cur_line),AQ521+1,0)),0)</f>
        <v>0</v>
      </c>
      <c r="AR522" s="313">
        <f>IFERROR(IF(INDEX([1]Pivot!$BF$1:$CG$65000,$B522,AR$5)=1,1,IF(AND(AR521&gt;=1,AR521&lt;=9,ROW()&lt;=cur_line),AR521+1,0)),0)</f>
        <v>0</v>
      </c>
      <c r="AS522" s="312"/>
      <c r="AT522" s="313">
        <f>IFERROR(IF(INDEX([1]Pivot!$BF$1:$CG$65000,$B522,AT$5)=1,1,IF(AND(AT521&gt;=1,AT521&lt;=9,ROW()&lt;=cur_line),AT521+1,0)),0)</f>
        <v>0</v>
      </c>
      <c r="AU522" s="313">
        <f>IFERROR(IF(INDEX([1]Pivot!$BF$1:$CG$65000,$B522,AU$5)=1,1,IF(AND(AU521&gt;=1,AU521&lt;=9,ROW()&lt;=cur_line),AU521+1,0)),0)</f>
        <v>0</v>
      </c>
      <c r="AV522" s="313">
        <f>IFERROR(IF(INDEX([1]Pivot!$BF$1:$CG$65000,$B522,AV$5)=1,1,IF(AND(AV521&gt;=1,AV521&lt;=9,ROW()&lt;=cur_line),AV521+1,0)),0)</f>
        <v>0</v>
      </c>
      <c r="AW522" s="313">
        <f>IFERROR(IF(INDEX([1]Pivot!$BF$1:$CG$65000,$B522,AW$5)=1,1,IF(AND(AW521&gt;=1,AW521&lt;=9,ROW()&lt;=cur_line),AW521+1,0)),0)</f>
        <v>0</v>
      </c>
      <c r="AX522" s="313">
        <f>IFERROR(IF(INDEX([1]Pivot!$BF$1:$CG$65000,$B522,AX$5)=1,1,IF(AND(AX521&gt;=1,AX521&lt;=9,ROW()&lt;=cur_line),AX521+1,0)),0)</f>
        <v>0</v>
      </c>
      <c r="AY522" s="313">
        <f>IFERROR(IF(INDEX([1]Pivot!$BF$1:$CG$65000,$B522,AY$5)=1,1,IF(AND(AY521&gt;=1,AY521&lt;=9,ROW()&lt;=cur_line),AY521+1,0)),0)</f>
        <v>0</v>
      </c>
      <c r="AZ522" s="313">
        <f>IFERROR(IF(INDEX([1]Pivot!$BF$1:$CG$65000,$B522,AZ$5)=1,1,IF(AND(AZ521&gt;=1,AZ521&lt;=9,ROW()&lt;=cur_line),AZ521+1,0)),0)</f>
        <v>0</v>
      </c>
      <c r="BA522" s="313">
        <f>IFERROR(IF(INDEX([1]Pivot!$BF$1:$CG$65000,$B522,BA$5)=1,1,IF(AND(BA521&gt;=1,BA521&lt;=9,ROW()&lt;=cur_line),BA521+1,0)),0)</f>
        <v>0</v>
      </c>
      <c r="BB522" s="313">
        <f>IFERROR(IF(INDEX([1]Pivot!$BF$1:$CG$65000,$B522,BB$5)=1,1,IF(AND(BB521&gt;=1,BB521&lt;=9,ROW()&lt;=cur_line),BB521+1,0)),0)</f>
        <v>0</v>
      </c>
      <c r="BC522" s="313">
        <f>IFERROR(IF(INDEX([1]Pivot!$BF$1:$CG$65000,$B522,BC$5)=1,1,IF(AND(BC521&gt;=1,BC521&lt;=9,ROW()&lt;=cur_line),BC521+1,0)),0)</f>
        <v>0</v>
      </c>
      <c r="BD522" s="313">
        <f>IFERROR(IF(INDEX([1]Pivot!$BF$1:$CG$65000,$B522,BD$5)=1,1,IF(AND(BD521&gt;=1,BD521&lt;=9,ROW()&lt;=cur_line),BD521+1,0)),0)</f>
        <v>0</v>
      </c>
    </row>
    <row r="523" spans="1:56" hidden="1" outlineLevel="1" x14ac:dyDescent="0.25">
      <c r="A523" s="288" t="str">
        <f>'[2]Raw Milk Prices'!A523</f>
        <v>2019m12</v>
      </c>
      <c r="B523" s="296" t="e">
        <f>MATCH(DATE(LEFT('[2]Raw Milk Prices'!$A523,4),RIGHT('[2]Raw Milk Prices'!$A523,2),1),[1]Pivot!$A$1:$A$65000,0)</f>
        <v>#N/A</v>
      </c>
      <c r="C523" s="194">
        <f>IFERROR(IF(INDEX([1]Pivot!$AD$1:$BE$65000,$B523,C$5)=1,1,IF(AND(C522&gt;=1,C522&lt;=9,ROW()&lt;=cur_line),C522+1,0)),0)</f>
        <v>0</v>
      </c>
      <c r="D523" s="194">
        <f>IFERROR(IF(INDEX([1]Pivot!$AD$1:$BE$65000,$B523,D$5)=1,1,IF(AND(D522&gt;=1,D522&lt;=9,ROW()&lt;=cur_line),D522+1,0)),0)</f>
        <v>0</v>
      </c>
      <c r="E523" s="194">
        <f>IFERROR(IF(INDEX([1]Pivot!$AD$1:$BE$65000,$B523,E$5)=1,1,IF(AND(E522&gt;=1,E522&lt;=9,ROW()&lt;=cur_line),E522+1,0)),0)</f>
        <v>0</v>
      </c>
      <c r="F523" s="194">
        <f>IFERROR(IF(INDEX([1]Pivot!$AD$1:$BE$65000,$B523,F$5)=1,1,IF(AND(F522&gt;=1,F522&lt;=9,ROW()&lt;=cur_line),F522+1,0)),0)</f>
        <v>0</v>
      </c>
      <c r="G523" s="194">
        <f>IFERROR(IF(INDEX([1]Pivot!$AD$1:$BE$65000,$B523,G$5)=1,1,IF(AND(G522&gt;=1,G522&lt;=9,ROW()&lt;=cur_line),G522+1,0)),0)</f>
        <v>0</v>
      </c>
      <c r="H523" s="194">
        <f>IFERROR(IF(INDEX([1]Pivot!$AD$1:$BE$65000,$B523,H$5)=1,1,IF(AND(H522&gt;=1,H522&lt;=9,ROW()&lt;=cur_line),H522+1,0)),0)</f>
        <v>0</v>
      </c>
      <c r="I523" s="194">
        <f>IFERROR(IF(INDEX([1]Pivot!$AD$1:$BE$65000,$B523,I$5)=1,1,IF(AND(I522&gt;=1,I522&lt;=9,ROW()&lt;=cur_line),I522+1,0)),0)</f>
        <v>0</v>
      </c>
      <c r="J523" s="194">
        <f>IFERROR(IF(INDEX([1]Pivot!$AD$1:$BE$65000,$B523,J$5)=1,1,IF(AND(J522&gt;=1,J522&lt;=9,ROW()&lt;=cur_line),J522+1,0)),0)</f>
        <v>0</v>
      </c>
      <c r="K523" s="194">
        <f>IFERROR(IF(INDEX([1]Pivot!$AD$1:$BE$65000,$B523,K$5)=1,1,IF(AND(K522&gt;=1,K522&lt;=9,ROW()&lt;=cur_line),K522+1,0)),0)</f>
        <v>0</v>
      </c>
      <c r="L523" s="194">
        <f>IFERROR(IF(INDEX([1]Pivot!$AD$1:$BE$65000,$B523,L$5)=1,1,IF(AND(L522&gt;=1,L522&lt;=9,ROW()&lt;=cur_line),L522+1,0)),0)</f>
        <v>0</v>
      </c>
      <c r="M523" s="194">
        <f>IFERROR(IF(INDEX([1]Pivot!$AD$1:$BE$65000,$B523,M$5)=1,1,IF(AND(M522&gt;=1,M522&lt;=9,ROW()&lt;=cur_line),M522+1,0)),0)</f>
        <v>0</v>
      </c>
      <c r="N523" s="194">
        <f>IFERROR(IF(INDEX([1]Pivot!$AD$1:$BE$65000,$B523,N$5)=1,1,IF(AND(N522&gt;=1,N522&lt;=9,ROW()&lt;=cur_line),N522+1,0)),0)</f>
        <v>0</v>
      </c>
      <c r="O523" s="194">
        <f>IFERROR(IF(INDEX([1]Pivot!$AD$1:$BE$65000,$B523,O$5)=1,1,IF(AND(O522&gt;=1,O522&lt;=9,ROW()&lt;=cur_line),O522+1,0)),0)</f>
        <v>0</v>
      </c>
      <c r="P523" s="194">
        <f>IFERROR(IF(INDEX([1]Pivot!$AD$1:$BE$65000,$B523,P$5)=1,1,IF(AND(P522&gt;=1,P522&lt;=9,ROW()&lt;=cur_line),P522+1,0)),0)</f>
        <v>0</v>
      </c>
      <c r="Q523" s="194">
        <f>IFERROR(IF(INDEX([1]Pivot!$AD$1:$BE$65000,$B523,Q$5)=1,1,IF(AND(Q522&gt;=1,Q522&lt;=9,ROW()&lt;=cur_line),Q522+1,0)),0)</f>
        <v>0</v>
      </c>
      <c r="R523" s="312"/>
      <c r="S523" s="194">
        <f>IFERROR(IF(INDEX([1]Pivot!$AD$1:$BE$65000,$B523,S$5)=1,1,IF(AND(S522&gt;=1,S522&lt;=9,ROW()&lt;=cur_line),S522+1,0)),0)</f>
        <v>0</v>
      </c>
      <c r="T523" s="194">
        <f>IFERROR(IF(INDEX([1]Pivot!$AD$1:$BE$65000,$B523,T$5)=1,1,IF(AND(T522&gt;=1,T522&lt;=9,ROW()&lt;=cur_line),T522+1,0)),0)</f>
        <v>0</v>
      </c>
      <c r="U523" s="194">
        <f>IFERROR(IF(INDEX([1]Pivot!$AD$1:$BE$65000,$B523,U$5)=1,1,IF(AND(U522&gt;=1,U522&lt;=9,ROW()&lt;=cur_line),U522+1,0)),0)</f>
        <v>0</v>
      </c>
      <c r="V523" s="194">
        <f>IFERROR(IF(INDEX([1]Pivot!$AD$1:$BE$65000,$B523,V$5)=1,1,IF(AND(V522&gt;=1,V522&lt;=9,ROW()&lt;=cur_line),V522+1,0)),0)</f>
        <v>0</v>
      </c>
      <c r="W523" s="194">
        <f>IFERROR(IF(INDEX([1]Pivot!$AD$1:$BE$65000,$B523,W$5)=1,1,IF(AND(W522&gt;=1,W522&lt;=9,ROW()&lt;=cur_line),W522+1,0)),0)</f>
        <v>0</v>
      </c>
      <c r="X523" s="194">
        <f>IFERROR(IF(INDEX([1]Pivot!$AD$1:$BE$65000,$B523,X$5)=1,1,IF(AND(X522&gt;=1,X522&lt;=9,ROW()&lt;=cur_line),X522+1,0)),0)</f>
        <v>0</v>
      </c>
      <c r="Y523" s="194">
        <f>IFERROR(IF(INDEX([1]Pivot!$AD$1:$BE$65000,$B523,Y$5)=1,1,IF(AND(Y522&gt;=1,Y522&lt;=9,ROW()&lt;=cur_line),Y522+1,0)),0)</f>
        <v>0</v>
      </c>
      <c r="Z523" s="194">
        <f>IFERROR(IF(INDEX([1]Pivot!$AD$1:$BE$65000,$B523,Z$5)=1,1,IF(AND(Z522&gt;=1,Z522&lt;=9,ROW()&lt;=cur_line),Z522+1,0)),0)</f>
        <v>0</v>
      </c>
      <c r="AA523" s="194">
        <f>IFERROR(IF(INDEX([1]Pivot!$AD$1:$BE$65000,$B523,AA$5)=1,1,IF(AND(AA522&gt;=1,AA522&lt;=9,ROW()&lt;=cur_line),AA522+1,0)),0)</f>
        <v>0</v>
      </c>
      <c r="AB523" s="194">
        <f>IFERROR(IF(INDEX([1]Pivot!$AD$1:$BE$65000,$B523,AB$5)=1,1,IF(AND(AB522&gt;=1,AB522&lt;=9,ROW()&lt;=cur_line),AB522+1,0)),0)</f>
        <v>0</v>
      </c>
      <c r="AC523" s="194">
        <f>IFERROR(IF(INDEX([1]Pivot!$AD$1:$BE$65000,$B523,AC$5)=1,1,IF(AND(AC522&gt;=1,AC522&lt;=9,ROW()&lt;=cur_line),AC522+1,0)),0)</f>
        <v>0</v>
      </c>
      <c r="AD523" s="313">
        <f>IFERROR(IF(INDEX([1]Pivot!$BF$1:$CG$65000,$B523,AD$5)=1,1,IF(AND(AD522&gt;=1,AD522&lt;=9,ROW()&lt;=cur_line),AD522+1,0)),0)</f>
        <v>0</v>
      </c>
      <c r="AE523" s="313">
        <f>IFERROR(IF(INDEX([1]Pivot!$BF$1:$CG$65000,$B523,AE$5)=1,1,IF(AND(AE522&gt;=1,AE522&lt;=9,ROW()&lt;=cur_line),AE522+1,0)),0)</f>
        <v>0</v>
      </c>
      <c r="AF523" s="313">
        <f>IFERROR(IF(INDEX([1]Pivot!$BF$1:$CG$65000,$B523,AF$5)=1,1,IF(AND(AF522&gt;=1,AF522&lt;=9,ROW()&lt;=cur_line),AF522+1,0)),0)</f>
        <v>0</v>
      </c>
      <c r="AG523" s="313">
        <f>IFERROR(IF(INDEX([1]Pivot!$BF$1:$CG$65000,$B523,AG$5)=1,1,IF(AND(AG522&gt;=1,AG522&lt;=9,ROW()&lt;=cur_line),AG522+1,0)),0)</f>
        <v>0</v>
      </c>
      <c r="AH523" s="313">
        <f>IFERROR(IF(INDEX([1]Pivot!$BF$1:$CG$65000,$B523,AH$5)=1,1,IF(AND(AH522&gt;=1,AH522&lt;=9,ROW()&lt;=cur_line),AH522+1,0)),0)</f>
        <v>0</v>
      </c>
      <c r="AI523" s="313">
        <f>IFERROR(IF(INDEX([1]Pivot!$BF$1:$CG$65000,$B523,AI$5)=1,1,IF(AND(AI522&gt;=1,AI522&lt;=9,ROW()&lt;=cur_line),AI522+1,0)),0)</f>
        <v>0</v>
      </c>
      <c r="AJ523" s="313">
        <f>IFERROR(IF(INDEX([1]Pivot!$BF$1:$CG$65000,$B523,AJ$5)=1,1,IF(AND(AJ522&gt;=1,AJ522&lt;=9,ROW()&lt;=cur_line),AJ522+1,0)),0)</f>
        <v>0</v>
      </c>
      <c r="AK523" s="313">
        <f>IFERROR(IF(INDEX([1]Pivot!$BF$1:$CG$65000,$B523,AK$5)=1,1,IF(AND(AK522&gt;=1,AK522&lt;=9,ROW()&lt;=cur_line),AK522+1,0)),0)</f>
        <v>0</v>
      </c>
      <c r="AL523" s="313">
        <f>IFERROR(IF(INDEX([1]Pivot!$BF$1:$CG$65000,$B523,AL$5)=1,1,IF(AND(AL522&gt;=1,AL522&lt;=9,ROW()&lt;=cur_line),AL522+1,0)),0)</f>
        <v>0</v>
      </c>
      <c r="AM523" s="313">
        <f>IFERROR(IF(INDEX([1]Pivot!$BF$1:$CG$65000,$B523,AM$5)=1,1,IF(AND(AM522&gt;=1,AM522&lt;=9,ROW()&lt;=cur_line),AM522+1,0)),0)</f>
        <v>0</v>
      </c>
      <c r="AN523" s="313">
        <f>IFERROR(IF(INDEX([1]Pivot!$BF$1:$CG$65000,$B523,AN$5)=1,1,IF(AND(AN522&gt;=1,AN522&lt;=9,ROW()&lt;=cur_line),AN522+1,0)),0)</f>
        <v>0</v>
      </c>
      <c r="AO523" s="313">
        <f>IFERROR(IF(INDEX([1]Pivot!$BF$1:$CG$65000,$B523,AO$5)=1,1,IF(AND(AO522&gt;=1,AO522&lt;=9,ROW()&lt;=cur_line),AO522+1,0)),0)</f>
        <v>0</v>
      </c>
      <c r="AP523" s="313">
        <f>IFERROR(IF(INDEX([1]Pivot!$BF$1:$CG$65000,$B523,AP$5)=1,1,IF(AND(AP522&gt;=1,AP522&lt;=9,ROW()&lt;=cur_line),AP522+1,0)),0)</f>
        <v>0</v>
      </c>
      <c r="AQ523" s="313">
        <f>IFERROR(IF(INDEX([1]Pivot!$BF$1:$CG$65000,$B523,AQ$5)=1,1,IF(AND(AQ522&gt;=1,AQ522&lt;=9,ROW()&lt;=cur_line),AQ522+1,0)),0)</f>
        <v>0</v>
      </c>
      <c r="AR523" s="313">
        <f>IFERROR(IF(INDEX([1]Pivot!$BF$1:$CG$65000,$B523,AR$5)=1,1,IF(AND(AR522&gt;=1,AR522&lt;=9,ROW()&lt;=cur_line),AR522+1,0)),0)</f>
        <v>0</v>
      </c>
      <c r="AS523" s="312"/>
      <c r="AT523" s="313">
        <f>IFERROR(IF(INDEX([1]Pivot!$BF$1:$CG$65000,$B523,AT$5)=1,1,IF(AND(AT522&gt;=1,AT522&lt;=9,ROW()&lt;=cur_line),AT522+1,0)),0)</f>
        <v>0</v>
      </c>
      <c r="AU523" s="313">
        <f>IFERROR(IF(INDEX([1]Pivot!$BF$1:$CG$65000,$B523,AU$5)=1,1,IF(AND(AU522&gt;=1,AU522&lt;=9,ROW()&lt;=cur_line),AU522+1,0)),0)</f>
        <v>0</v>
      </c>
      <c r="AV523" s="313">
        <f>IFERROR(IF(INDEX([1]Pivot!$BF$1:$CG$65000,$B523,AV$5)=1,1,IF(AND(AV522&gt;=1,AV522&lt;=9,ROW()&lt;=cur_line),AV522+1,0)),0)</f>
        <v>0</v>
      </c>
      <c r="AW523" s="313">
        <f>IFERROR(IF(INDEX([1]Pivot!$BF$1:$CG$65000,$B523,AW$5)=1,1,IF(AND(AW522&gt;=1,AW522&lt;=9,ROW()&lt;=cur_line),AW522+1,0)),0)</f>
        <v>0</v>
      </c>
      <c r="AX523" s="313">
        <f>IFERROR(IF(INDEX([1]Pivot!$BF$1:$CG$65000,$B523,AX$5)=1,1,IF(AND(AX522&gt;=1,AX522&lt;=9,ROW()&lt;=cur_line),AX522+1,0)),0)</f>
        <v>0</v>
      </c>
      <c r="AY523" s="313">
        <f>IFERROR(IF(INDEX([1]Pivot!$BF$1:$CG$65000,$B523,AY$5)=1,1,IF(AND(AY522&gt;=1,AY522&lt;=9,ROW()&lt;=cur_line),AY522+1,0)),0)</f>
        <v>0</v>
      </c>
      <c r="AZ523" s="313">
        <f>IFERROR(IF(INDEX([1]Pivot!$BF$1:$CG$65000,$B523,AZ$5)=1,1,IF(AND(AZ522&gt;=1,AZ522&lt;=9,ROW()&lt;=cur_line),AZ522+1,0)),0)</f>
        <v>0</v>
      </c>
      <c r="BA523" s="313">
        <f>IFERROR(IF(INDEX([1]Pivot!$BF$1:$CG$65000,$B523,BA$5)=1,1,IF(AND(BA522&gt;=1,BA522&lt;=9,ROW()&lt;=cur_line),BA522+1,0)),0)</f>
        <v>0</v>
      </c>
      <c r="BB523" s="313">
        <f>IFERROR(IF(INDEX([1]Pivot!$BF$1:$CG$65000,$B523,BB$5)=1,1,IF(AND(BB522&gt;=1,BB522&lt;=9,ROW()&lt;=cur_line),BB522+1,0)),0)</f>
        <v>0</v>
      </c>
      <c r="BC523" s="313">
        <f>IFERROR(IF(INDEX([1]Pivot!$BF$1:$CG$65000,$B523,BC$5)=1,1,IF(AND(BC522&gt;=1,BC522&lt;=9,ROW()&lt;=cur_line),BC522+1,0)),0)</f>
        <v>0</v>
      </c>
      <c r="BD523" s="313">
        <f>IFERROR(IF(INDEX([1]Pivot!$BF$1:$CG$65000,$B523,BD$5)=1,1,IF(AND(BD522&gt;=1,BD522&lt;=9,ROW()&lt;=cur_line),BD522+1,0)),0)</f>
        <v>0</v>
      </c>
    </row>
    <row r="524" spans="1:56" hidden="1" outlineLevel="1" x14ac:dyDescent="0.25">
      <c r="A524" s="288" t="str">
        <f>'[2]Raw Milk Prices'!A524</f>
        <v>2020m01</v>
      </c>
      <c r="B524" s="296" t="e">
        <f>MATCH(DATE(LEFT('[2]Raw Milk Prices'!$A524,4),RIGHT('[2]Raw Milk Prices'!$A524,2),1),[1]Pivot!$A$1:$A$65000,0)</f>
        <v>#N/A</v>
      </c>
      <c r="C524" s="194">
        <f>IFERROR(IF(INDEX([1]Pivot!$AD$1:$BE$65000,$B524,C$5)=1,1,IF(AND(C523&gt;=1,C523&lt;=9,ROW()&lt;=cur_line),C523+1,0)),0)</f>
        <v>0</v>
      </c>
      <c r="D524" s="194">
        <f>IFERROR(IF(INDEX([1]Pivot!$AD$1:$BE$65000,$B524,D$5)=1,1,IF(AND(D523&gt;=1,D523&lt;=9,ROW()&lt;=cur_line),D523+1,0)),0)</f>
        <v>0</v>
      </c>
      <c r="E524" s="194">
        <f>IFERROR(IF(INDEX([1]Pivot!$AD$1:$BE$65000,$B524,E$5)=1,1,IF(AND(E523&gt;=1,E523&lt;=9,ROW()&lt;=cur_line),E523+1,0)),0)</f>
        <v>0</v>
      </c>
      <c r="F524" s="194">
        <f>IFERROR(IF(INDEX([1]Pivot!$AD$1:$BE$65000,$B524,F$5)=1,1,IF(AND(F523&gt;=1,F523&lt;=9,ROW()&lt;=cur_line),F523+1,0)),0)</f>
        <v>0</v>
      </c>
      <c r="G524" s="194">
        <f>IFERROR(IF(INDEX([1]Pivot!$AD$1:$BE$65000,$B524,G$5)=1,1,IF(AND(G523&gt;=1,G523&lt;=9,ROW()&lt;=cur_line),G523+1,0)),0)</f>
        <v>0</v>
      </c>
      <c r="H524" s="194">
        <f>IFERROR(IF(INDEX([1]Pivot!$AD$1:$BE$65000,$B524,H$5)=1,1,IF(AND(H523&gt;=1,H523&lt;=9,ROW()&lt;=cur_line),H523+1,0)),0)</f>
        <v>0</v>
      </c>
      <c r="I524" s="194">
        <f>IFERROR(IF(INDEX([1]Pivot!$AD$1:$BE$65000,$B524,I$5)=1,1,IF(AND(I523&gt;=1,I523&lt;=9,ROW()&lt;=cur_line),I523+1,0)),0)</f>
        <v>0</v>
      </c>
      <c r="J524" s="194">
        <f>IFERROR(IF(INDEX([1]Pivot!$AD$1:$BE$65000,$B524,J$5)=1,1,IF(AND(J523&gt;=1,J523&lt;=9,ROW()&lt;=cur_line),J523+1,0)),0)</f>
        <v>0</v>
      </c>
      <c r="K524" s="194">
        <f>IFERROR(IF(INDEX([1]Pivot!$AD$1:$BE$65000,$B524,K$5)=1,1,IF(AND(K523&gt;=1,K523&lt;=9,ROW()&lt;=cur_line),K523+1,0)),0)</f>
        <v>0</v>
      </c>
      <c r="L524" s="194">
        <f>IFERROR(IF(INDEX([1]Pivot!$AD$1:$BE$65000,$B524,L$5)=1,1,IF(AND(L523&gt;=1,L523&lt;=9,ROW()&lt;=cur_line),L523+1,0)),0)</f>
        <v>0</v>
      </c>
      <c r="M524" s="194">
        <f>IFERROR(IF(INDEX([1]Pivot!$AD$1:$BE$65000,$B524,M$5)=1,1,IF(AND(M523&gt;=1,M523&lt;=9,ROW()&lt;=cur_line),M523+1,0)),0)</f>
        <v>0</v>
      </c>
      <c r="N524" s="194">
        <f>IFERROR(IF(INDEX([1]Pivot!$AD$1:$BE$65000,$B524,N$5)=1,1,IF(AND(N523&gt;=1,N523&lt;=9,ROW()&lt;=cur_line),N523+1,0)),0)</f>
        <v>0</v>
      </c>
      <c r="O524" s="194">
        <f>IFERROR(IF(INDEX([1]Pivot!$AD$1:$BE$65000,$B524,O$5)=1,1,IF(AND(O523&gt;=1,O523&lt;=9,ROW()&lt;=cur_line),O523+1,0)),0)</f>
        <v>0</v>
      </c>
      <c r="P524" s="194">
        <f>IFERROR(IF(INDEX([1]Pivot!$AD$1:$BE$65000,$B524,P$5)=1,1,IF(AND(P523&gt;=1,P523&lt;=9,ROW()&lt;=cur_line),P523+1,0)),0)</f>
        <v>0</v>
      </c>
      <c r="Q524" s="194">
        <f>IFERROR(IF(INDEX([1]Pivot!$AD$1:$BE$65000,$B524,Q$5)=1,1,IF(AND(Q523&gt;=1,Q523&lt;=9,ROW()&lt;=cur_line),Q523+1,0)),0)</f>
        <v>0</v>
      </c>
      <c r="R524" s="312"/>
      <c r="S524" s="194">
        <f>IFERROR(IF(INDEX([1]Pivot!$AD$1:$BE$65000,$B524,S$5)=1,1,IF(AND(S523&gt;=1,S523&lt;=9,ROW()&lt;=cur_line),S523+1,0)),0)</f>
        <v>0</v>
      </c>
      <c r="T524" s="194">
        <f>IFERROR(IF(INDEX([1]Pivot!$AD$1:$BE$65000,$B524,T$5)=1,1,IF(AND(T523&gt;=1,T523&lt;=9,ROW()&lt;=cur_line),T523+1,0)),0)</f>
        <v>0</v>
      </c>
      <c r="U524" s="194">
        <f>IFERROR(IF(INDEX([1]Pivot!$AD$1:$BE$65000,$B524,U$5)=1,1,IF(AND(U523&gt;=1,U523&lt;=9,ROW()&lt;=cur_line),U523+1,0)),0)</f>
        <v>0</v>
      </c>
      <c r="V524" s="194">
        <f>IFERROR(IF(INDEX([1]Pivot!$AD$1:$BE$65000,$B524,V$5)=1,1,IF(AND(V523&gt;=1,V523&lt;=9,ROW()&lt;=cur_line),V523+1,0)),0)</f>
        <v>0</v>
      </c>
      <c r="W524" s="194">
        <f>IFERROR(IF(INDEX([1]Pivot!$AD$1:$BE$65000,$B524,W$5)=1,1,IF(AND(W523&gt;=1,W523&lt;=9,ROW()&lt;=cur_line),W523+1,0)),0)</f>
        <v>0</v>
      </c>
      <c r="X524" s="194">
        <f>IFERROR(IF(INDEX([1]Pivot!$AD$1:$BE$65000,$B524,X$5)=1,1,IF(AND(X523&gt;=1,X523&lt;=9,ROW()&lt;=cur_line),X523+1,0)),0)</f>
        <v>0</v>
      </c>
      <c r="Y524" s="194">
        <f>IFERROR(IF(INDEX([1]Pivot!$AD$1:$BE$65000,$B524,Y$5)=1,1,IF(AND(Y523&gt;=1,Y523&lt;=9,ROW()&lt;=cur_line),Y523+1,0)),0)</f>
        <v>0</v>
      </c>
      <c r="Z524" s="194">
        <f>IFERROR(IF(INDEX([1]Pivot!$AD$1:$BE$65000,$B524,Z$5)=1,1,IF(AND(Z523&gt;=1,Z523&lt;=9,ROW()&lt;=cur_line),Z523+1,0)),0)</f>
        <v>0</v>
      </c>
      <c r="AA524" s="194">
        <f>IFERROR(IF(INDEX([1]Pivot!$AD$1:$BE$65000,$B524,AA$5)=1,1,IF(AND(AA523&gt;=1,AA523&lt;=9,ROW()&lt;=cur_line),AA523+1,0)),0)</f>
        <v>0</v>
      </c>
      <c r="AB524" s="194">
        <f>IFERROR(IF(INDEX([1]Pivot!$AD$1:$BE$65000,$B524,AB$5)=1,1,IF(AND(AB523&gt;=1,AB523&lt;=9,ROW()&lt;=cur_line),AB523+1,0)),0)</f>
        <v>0</v>
      </c>
      <c r="AC524" s="194">
        <f>IFERROR(IF(INDEX([1]Pivot!$AD$1:$BE$65000,$B524,AC$5)=1,1,IF(AND(AC523&gt;=1,AC523&lt;=9,ROW()&lt;=cur_line),AC523+1,0)),0)</f>
        <v>0</v>
      </c>
      <c r="AD524" s="313">
        <f>IFERROR(IF(INDEX([1]Pivot!$BF$1:$CG$65000,$B524,AD$5)=1,1,IF(AND(AD523&gt;=1,AD523&lt;=9,ROW()&lt;=cur_line),AD523+1,0)),0)</f>
        <v>0</v>
      </c>
      <c r="AE524" s="313">
        <f>IFERROR(IF(INDEX([1]Pivot!$BF$1:$CG$65000,$B524,AE$5)=1,1,IF(AND(AE523&gt;=1,AE523&lt;=9,ROW()&lt;=cur_line),AE523+1,0)),0)</f>
        <v>0</v>
      </c>
      <c r="AF524" s="313">
        <f>IFERROR(IF(INDEX([1]Pivot!$BF$1:$CG$65000,$B524,AF$5)=1,1,IF(AND(AF523&gt;=1,AF523&lt;=9,ROW()&lt;=cur_line),AF523+1,0)),0)</f>
        <v>0</v>
      </c>
      <c r="AG524" s="313">
        <f>IFERROR(IF(INDEX([1]Pivot!$BF$1:$CG$65000,$B524,AG$5)=1,1,IF(AND(AG523&gt;=1,AG523&lt;=9,ROW()&lt;=cur_line),AG523+1,0)),0)</f>
        <v>0</v>
      </c>
      <c r="AH524" s="313">
        <f>IFERROR(IF(INDEX([1]Pivot!$BF$1:$CG$65000,$B524,AH$5)=1,1,IF(AND(AH523&gt;=1,AH523&lt;=9,ROW()&lt;=cur_line),AH523+1,0)),0)</f>
        <v>0</v>
      </c>
      <c r="AI524" s="313">
        <f>IFERROR(IF(INDEX([1]Pivot!$BF$1:$CG$65000,$B524,AI$5)=1,1,IF(AND(AI523&gt;=1,AI523&lt;=9,ROW()&lt;=cur_line),AI523+1,0)),0)</f>
        <v>0</v>
      </c>
      <c r="AJ524" s="313">
        <f>IFERROR(IF(INDEX([1]Pivot!$BF$1:$CG$65000,$B524,AJ$5)=1,1,IF(AND(AJ523&gt;=1,AJ523&lt;=9,ROW()&lt;=cur_line),AJ523+1,0)),0)</f>
        <v>0</v>
      </c>
      <c r="AK524" s="313">
        <f>IFERROR(IF(INDEX([1]Pivot!$BF$1:$CG$65000,$B524,AK$5)=1,1,IF(AND(AK523&gt;=1,AK523&lt;=9,ROW()&lt;=cur_line),AK523+1,0)),0)</f>
        <v>0</v>
      </c>
      <c r="AL524" s="313">
        <f>IFERROR(IF(INDEX([1]Pivot!$BF$1:$CG$65000,$B524,AL$5)=1,1,IF(AND(AL523&gt;=1,AL523&lt;=9,ROW()&lt;=cur_line),AL523+1,0)),0)</f>
        <v>0</v>
      </c>
      <c r="AM524" s="313">
        <f>IFERROR(IF(INDEX([1]Pivot!$BF$1:$CG$65000,$B524,AM$5)=1,1,IF(AND(AM523&gt;=1,AM523&lt;=9,ROW()&lt;=cur_line),AM523+1,0)),0)</f>
        <v>0</v>
      </c>
      <c r="AN524" s="313">
        <f>IFERROR(IF(INDEX([1]Pivot!$BF$1:$CG$65000,$B524,AN$5)=1,1,IF(AND(AN523&gt;=1,AN523&lt;=9,ROW()&lt;=cur_line),AN523+1,0)),0)</f>
        <v>0</v>
      </c>
      <c r="AO524" s="313">
        <f>IFERROR(IF(INDEX([1]Pivot!$BF$1:$CG$65000,$B524,AO$5)=1,1,IF(AND(AO523&gt;=1,AO523&lt;=9,ROW()&lt;=cur_line),AO523+1,0)),0)</f>
        <v>0</v>
      </c>
      <c r="AP524" s="313">
        <f>IFERROR(IF(INDEX([1]Pivot!$BF$1:$CG$65000,$B524,AP$5)=1,1,IF(AND(AP523&gt;=1,AP523&lt;=9,ROW()&lt;=cur_line),AP523+1,0)),0)</f>
        <v>0</v>
      </c>
      <c r="AQ524" s="313">
        <f>IFERROR(IF(INDEX([1]Pivot!$BF$1:$CG$65000,$B524,AQ$5)=1,1,IF(AND(AQ523&gt;=1,AQ523&lt;=9,ROW()&lt;=cur_line),AQ523+1,0)),0)</f>
        <v>0</v>
      </c>
      <c r="AR524" s="313">
        <f>IFERROR(IF(INDEX([1]Pivot!$BF$1:$CG$65000,$B524,AR$5)=1,1,IF(AND(AR523&gt;=1,AR523&lt;=9,ROW()&lt;=cur_line),AR523+1,0)),0)</f>
        <v>0</v>
      </c>
      <c r="AS524" s="312"/>
      <c r="AT524" s="313">
        <f>IFERROR(IF(INDEX([1]Pivot!$BF$1:$CG$65000,$B524,AT$5)=1,1,IF(AND(AT523&gt;=1,AT523&lt;=9,ROW()&lt;=cur_line),AT523+1,0)),0)</f>
        <v>0</v>
      </c>
      <c r="AU524" s="313">
        <f>IFERROR(IF(INDEX([1]Pivot!$BF$1:$CG$65000,$B524,AU$5)=1,1,IF(AND(AU523&gt;=1,AU523&lt;=9,ROW()&lt;=cur_line),AU523+1,0)),0)</f>
        <v>0</v>
      </c>
      <c r="AV524" s="313">
        <f>IFERROR(IF(INDEX([1]Pivot!$BF$1:$CG$65000,$B524,AV$5)=1,1,IF(AND(AV523&gt;=1,AV523&lt;=9,ROW()&lt;=cur_line),AV523+1,0)),0)</f>
        <v>0</v>
      </c>
      <c r="AW524" s="313">
        <f>IFERROR(IF(INDEX([1]Pivot!$BF$1:$CG$65000,$B524,AW$5)=1,1,IF(AND(AW523&gt;=1,AW523&lt;=9,ROW()&lt;=cur_line),AW523+1,0)),0)</f>
        <v>0</v>
      </c>
      <c r="AX524" s="313">
        <f>IFERROR(IF(INDEX([1]Pivot!$BF$1:$CG$65000,$B524,AX$5)=1,1,IF(AND(AX523&gt;=1,AX523&lt;=9,ROW()&lt;=cur_line),AX523+1,0)),0)</f>
        <v>0</v>
      </c>
      <c r="AY524" s="313">
        <f>IFERROR(IF(INDEX([1]Pivot!$BF$1:$CG$65000,$B524,AY$5)=1,1,IF(AND(AY523&gt;=1,AY523&lt;=9,ROW()&lt;=cur_line),AY523+1,0)),0)</f>
        <v>0</v>
      </c>
      <c r="AZ524" s="313">
        <f>IFERROR(IF(INDEX([1]Pivot!$BF$1:$CG$65000,$B524,AZ$5)=1,1,IF(AND(AZ523&gt;=1,AZ523&lt;=9,ROW()&lt;=cur_line),AZ523+1,0)),0)</f>
        <v>0</v>
      </c>
      <c r="BA524" s="313">
        <f>IFERROR(IF(INDEX([1]Pivot!$BF$1:$CG$65000,$B524,BA$5)=1,1,IF(AND(BA523&gt;=1,BA523&lt;=9,ROW()&lt;=cur_line),BA523+1,0)),0)</f>
        <v>0</v>
      </c>
      <c r="BB524" s="313">
        <f>IFERROR(IF(INDEX([1]Pivot!$BF$1:$CG$65000,$B524,BB$5)=1,1,IF(AND(BB523&gt;=1,BB523&lt;=9,ROW()&lt;=cur_line),BB523+1,0)),0)</f>
        <v>0</v>
      </c>
      <c r="BC524" s="313">
        <f>IFERROR(IF(INDEX([1]Pivot!$BF$1:$CG$65000,$B524,BC$5)=1,1,IF(AND(BC523&gt;=1,BC523&lt;=9,ROW()&lt;=cur_line),BC523+1,0)),0)</f>
        <v>0</v>
      </c>
      <c r="BD524" s="313">
        <f>IFERROR(IF(INDEX([1]Pivot!$BF$1:$CG$65000,$B524,BD$5)=1,1,IF(AND(BD523&gt;=1,BD523&lt;=9,ROW()&lt;=cur_line),BD523+1,0)),0)</f>
        <v>0</v>
      </c>
    </row>
    <row r="525" spans="1:56" hidden="1" outlineLevel="1" x14ac:dyDescent="0.25">
      <c r="A525" s="288" t="str">
        <f>'[2]Raw Milk Prices'!A525</f>
        <v>2020m02</v>
      </c>
      <c r="B525" s="296" t="e">
        <f>MATCH(DATE(LEFT('[2]Raw Milk Prices'!$A525,4),RIGHT('[2]Raw Milk Prices'!$A525,2),1),[1]Pivot!$A$1:$A$65000,0)</f>
        <v>#N/A</v>
      </c>
      <c r="C525" s="194">
        <f>IFERROR(IF(INDEX([1]Pivot!$AD$1:$BE$65000,$B525,C$5)=1,1,IF(AND(C524&gt;=1,C524&lt;=9,ROW()&lt;=cur_line),C524+1,0)),0)</f>
        <v>0</v>
      </c>
      <c r="D525" s="194">
        <f>IFERROR(IF(INDEX([1]Pivot!$AD$1:$BE$65000,$B525,D$5)=1,1,IF(AND(D524&gt;=1,D524&lt;=9,ROW()&lt;=cur_line),D524+1,0)),0)</f>
        <v>0</v>
      </c>
      <c r="E525" s="194">
        <f>IFERROR(IF(INDEX([1]Pivot!$AD$1:$BE$65000,$B525,E$5)=1,1,IF(AND(E524&gt;=1,E524&lt;=9,ROW()&lt;=cur_line),E524+1,0)),0)</f>
        <v>0</v>
      </c>
      <c r="F525" s="194">
        <f>IFERROR(IF(INDEX([1]Pivot!$AD$1:$BE$65000,$B525,F$5)=1,1,IF(AND(F524&gt;=1,F524&lt;=9,ROW()&lt;=cur_line),F524+1,0)),0)</f>
        <v>0</v>
      </c>
      <c r="G525" s="194">
        <f>IFERROR(IF(INDEX([1]Pivot!$AD$1:$BE$65000,$B525,G$5)=1,1,IF(AND(G524&gt;=1,G524&lt;=9,ROW()&lt;=cur_line),G524+1,0)),0)</f>
        <v>0</v>
      </c>
      <c r="H525" s="194">
        <f>IFERROR(IF(INDEX([1]Pivot!$AD$1:$BE$65000,$B525,H$5)=1,1,IF(AND(H524&gt;=1,H524&lt;=9,ROW()&lt;=cur_line),H524+1,0)),0)</f>
        <v>0</v>
      </c>
      <c r="I525" s="194">
        <f>IFERROR(IF(INDEX([1]Pivot!$AD$1:$BE$65000,$B525,I$5)=1,1,IF(AND(I524&gt;=1,I524&lt;=9,ROW()&lt;=cur_line),I524+1,0)),0)</f>
        <v>0</v>
      </c>
      <c r="J525" s="194">
        <f>IFERROR(IF(INDEX([1]Pivot!$AD$1:$BE$65000,$B525,J$5)=1,1,IF(AND(J524&gt;=1,J524&lt;=9,ROW()&lt;=cur_line),J524+1,0)),0)</f>
        <v>0</v>
      </c>
      <c r="K525" s="194">
        <f>IFERROR(IF(INDEX([1]Pivot!$AD$1:$BE$65000,$B525,K$5)=1,1,IF(AND(K524&gt;=1,K524&lt;=9,ROW()&lt;=cur_line),K524+1,0)),0)</f>
        <v>0</v>
      </c>
      <c r="L525" s="194">
        <f>IFERROR(IF(INDEX([1]Pivot!$AD$1:$BE$65000,$B525,L$5)=1,1,IF(AND(L524&gt;=1,L524&lt;=9,ROW()&lt;=cur_line),L524+1,0)),0)</f>
        <v>0</v>
      </c>
      <c r="M525" s="194">
        <f>IFERROR(IF(INDEX([1]Pivot!$AD$1:$BE$65000,$B525,M$5)=1,1,IF(AND(M524&gt;=1,M524&lt;=9,ROW()&lt;=cur_line),M524+1,0)),0)</f>
        <v>0</v>
      </c>
      <c r="N525" s="194">
        <f>IFERROR(IF(INDEX([1]Pivot!$AD$1:$BE$65000,$B525,N$5)=1,1,IF(AND(N524&gt;=1,N524&lt;=9,ROW()&lt;=cur_line),N524+1,0)),0)</f>
        <v>0</v>
      </c>
      <c r="O525" s="194">
        <f>IFERROR(IF(INDEX([1]Pivot!$AD$1:$BE$65000,$B525,O$5)=1,1,IF(AND(O524&gt;=1,O524&lt;=9,ROW()&lt;=cur_line),O524+1,0)),0)</f>
        <v>0</v>
      </c>
      <c r="P525" s="194">
        <f>IFERROR(IF(INDEX([1]Pivot!$AD$1:$BE$65000,$B525,P$5)=1,1,IF(AND(P524&gt;=1,P524&lt;=9,ROW()&lt;=cur_line),P524+1,0)),0)</f>
        <v>0</v>
      </c>
      <c r="Q525" s="194">
        <f>IFERROR(IF(INDEX([1]Pivot!$AD$1:$BE$65000,$B525,Q$5)=1,1,IF(AND(Q524&gt;=1,Q524&lt;=9,ROW()&lt;=cur_line),Q524+1,0)),0)</f>
        <v>0</v>
      </c>
      <c r="R525" s="312"/>
      <c r="S525" s="194">
        <f>IFERROR(IF(INDEX([1]Pivot!$AD$1:$BE$65000,$B525,S$5)=1,1,IF(AND(S524&gt;=1,S524&lt;=9,ROW()&lt;=cur_line),S524+1,0)),0)</f>
        <v>0</v>
      </c>
      <c r="T525" s="194">
        <f>IFERROR(IF(INDEX([1]Pivot!$AD$1:$BE$65000,$B525,T$5)=1,1,IF(AND(T524&gt;=1,T524&lt;=9,ROW()&lt;=cur_line),T524+1,0)),0)</f>
        <v>0</v>
      </c>
      <c r="U525" s="194">
        <f>IFERROR(IF(INDEX([1]Pivot!$AD$1:$BE$65000,$B525,U$5)=1,1,IF(AND(U524&gt;=1,U524&lt;=9,ROW()&lt;=cur_line),U524+1,0)),0)</f>
        <v>0</v>
      </c>
      <c r="V525" s="194">
        <f>IFERROR(IF(INDEX([1]Pivot!$AD$1:$BE$65000,$B525,V$5)=1,1,IF(AND(V524&gt;=1,V524&lt;=9,ROW()&lt;=cur_line),V524+1,0)),0)</f>
        <v>0</v>
      </c>
      <c r="W525" s="194">
        <f>IFERROR(IF(INDEX([1]Pivot!$AD$1:$BE$65000,$B525,W$5)=1,1,IF(AND(W524&gt;=1,W524&lt;=9,ROW()&lt;=cur_line),W524+1,0)),0)</f>
        <v>0</v>
      </c>
      <c r="X525" s="194">
        <f>IFERROR(IF(INDEX([1]Pivot!$AD$1:$BE$65000,$B525,X$5)=1,1,IF(AND(X524&gt;=1,X524&lt;=9,ROW()&lt;=cur_line),X524+1,0)),0)</f>
        <v>0</v>
      </c>
      <c r="Y525" s="194">
        <f>IFERROR(IF(INDEX([1]Pivot!$AD$1:$BE$65000,$B525,Y$5)=1,1,IF(AND(Y524&gt;=1,Y524&lt;=9,ROW()&lt;=cur_line),Y524+1,0)),0)</f>
        <v>0</v>
      </c>
      <c r="Z525" s="194">
        <f>IFERROR(IF(INDEX([1]Pivot!$AD$1:$BE$65000,$B525,Z$5)=1,1,IF(AND(Z524&gt;=1,Z524&lt;=9,ROW()&lt;=cur_line),Z524+1,0)),0)</f>
        <v>0</v>
      </c>
      <c r="AA525" s="194">
        <f>IFERROR(IF(INDEX([1]Pivot!$AD$1:$BE$65000,$B525,AA$5)=1,1,IF(AND(AA524&gt;=1,AA524&lt;=9,ROW()&lt;=cur_line),AA524+1,0)),0)</f>
        <v>0</v>
      </c>
      <c r="AB525" s="194">
        <f>IFERROR(IF(INDEX([1]Pivot!$AD$1:$BE$65000,$B525,AB$5)=1,1,IF(AND(AB524&gt;=1,AB524&lt;=9,ROW()&lt;=cur_line),AB524+1,0)),0)</f>
        <v>0</v>
      </c>
      <c r="AC525" s="194">
        <f>IFERROR(IF(INDEX([1]Pivot!$AD$1:$BE$65000,$B525,AC$5)=1,1,IF(AND(AC524&gt;=1,AC524&lt;=9,ROW()&lt;=cur_line),AC524+1,0)),0)</f>
        <v>0</v>
      </c>
      <c r="AD525" s="313">
        <f>IFERROR(IF(INDEX([1]Pivot!$BF$1:$CG$65000,$B525,AD$5)=1,1,IF(AND(AD524&gt;=1,AD524&lt;=9,ROW()&lt;=cur_line),AD524+1,0)),0)</f>
        <v>0</v>
      </c>
      <c r="AE525" s="313">
        <f>IFERROR(IF(INDEX([1]Pivot!$BF$1:$CG$65000,$B525,AE$5)=1,1,IF(AND(AE524&gt;=1,AE524&lt;=9,ROW()&lt;=cur_line),AE524+1,0)),0)</f>
        <v>0</v>
      </c>
      <c r="AF525" s="313">
        <f>IFERROR(IF(INDEX([1]Pivot!$BF$1:$CG$65000,$B525,AF$5)=1,1,IF(AND(AF524&gt;=1,AF524&lt;=9,ROW()&lt;=cur_line),AF524+1,0)),0)</f>
        <v>0</v>
      </c>
      <c r="AG525" s="313">
        <f>IFERROR(IF(INDEX([1]Pivot!$BF$1:$CG$65000,$B525,AG$5)=1,1,IF(AND(AG524&gt;=1,AG524&lt;=9,ROW()&lt;=cur_line),AG524+1,0)),0)</f>
        <v>0</v>
      </c>
      <c r="AH525" s="313">
        <f>IFERROR(IF(INDEX([1]Pivot!$BF$1:$CG$65000,$B525,AH$5)=1,1,IF(AND(AH524&gt;=1,AH524&lt;=9,ROW()&lt;=cur_line),AH524+1,0)),0)</f>
        <v>0</v>
      </c>
      <c r="AI525" s="313">
        <f>IFERROR(IF(INDEX([1]Pivot!$BF$1:$CG$65000,$B525,AI$5)=1,1,IF(AND(AI524&gt;=1,AI524&lt;=9,ROW()&lt;=cur_line),AI524+1,0)),0)</f>
        <v>0</v>
      </c>
      <c r="AJ525" s="313">
        <f>IFERROR(IF(INDEX([1]Pivot!$BF$1:$CG$65000,$B525,AJ$5)=1,1,IF(AND(AJ524&gt;=1,AJ524&lt;=9,ROW()&lt;=cur_line),AJ524+1,0)),0)</f>
        <v>0</v>
      </c>
      <c r="AK525" s="313">
        <f>IFERROR(IF(INDEX([1]Pivot!$BF$1:$CG$65000,$B525,AK$5)=1,1,IF(AND(AK524&gt;=1,AK524&lt;=9,ROW()&lt;=cur_line),AK524+1,0)),0)</f>
        <v>0</v>
      </c>
      <c r="AL525" s="313">
        <f>IFERROR(IF(INDEX([1]Pivot!$BF$1:$CG$65000,$B525,AL$5)=1,1,IF(AND(AL524&gt;=1,AL524&lt;=9,ROW()&lt;=cur_line),AL524+1,0)),0)</f>
        <v>0</v>
      </c>
      <c r="AM525" s="313">
        <f>IFERROR(IF(INDEX([1]Pivot!$BF$1:$CG$65000,$B525,AM$5)=1,1,IF(AND(AM524&gt;=1,AM524&lt;=9,ROW()&lt;=cur_line),AM524+1,0)),0)</f>
        <v>0</v>
      </c>
      <c r="AN525" s="313">
        <f>IFERROR(IF(INDEX([1]Pivot!$BF$1:$CG$65000,$B525,AN$5)=1,1,IF(AND(AN524&gt;=1,AN524&lt;=9,ROW()&lt;=cur_line),AN524+1,0)),0)</f>
        <v>0</v>
      </c>
      <c r="AO525" s="313">
        <f>IFERROR(IF(INDEX([1]Pivot!$BF$1:$CG$65000,$B525,AO$5)=1,1,IF(AND(AO524&gt;=1,AO524&lt;=9,ROW()&lt;=cur_line),AO524+1,0)),0)</f>
        <v>0</v>
      </c>
      <c r="AP525" s="313">
        <f>IFERROR(IF(INDEX([1]Pivot!$BF$1:$CG$65000,$B525,AP$5)=1,1,IF(AND(AP524&gt;=1,AP524&lt;=9,ROW()&lt;=cur_line),AP524+1,0)),0)</f>
        <v>0</v>
      </c>
      <c r="AQ525" s="313">
        <f>IFERROR(IF(INDEX([1]Pivot!$BF$1:$CG$65000,$B525,AQ$5)=1,1,IF(AND(AQ524&gt;=1,AQ524&lt;=9,ROW()&lt;=cur_line),AQ524+1,0)),0)</f>
        <v>0</v>
      </c>
      <c r="AR525" s="313">
        <f>IFERROR(IF(INDEX([1]Pivot!$BF$1:$CG$65000,$B525,AR$5)=1,1,IF(AND(AR524&gt;=1,AR524&lt;=9,ROW()&lt;=cur_line),AR524+1,0)),0)</f>
        <v>0</v>
      </c>
      <c r="AS525" s="312"/>
      <c r="AT525" s="313">
        <f>IFERROR(IF(INDEX([1]Pivot!$BF$1:$CG$65000,$B525,AT$5)=1,1,IF(AND(AT524&gt;=1,AT524&lt;=9,ROW()&lt;=cur_line),AT524+1,0)),0)</f>
        <v>0</v>
      </c>
      <c r="AU525" s="313">
        <f>IFERROR(IF(INDEX([1]Pivot!$BF$1:$CG$65000,$B525,AU$5)=1,1,IF(AND(AU524&gt;=1,AU524&lt;=9,ROW()&lt;=cur_line),AU524+1,0)),0)</f>
        <v>0</v>
      </c>
      <c r="AV525" s="313">
        <f>IFERROR(IF(INDEX([1]Pivot!$BF$1:$CG$65000,$B525,AV$5)=1,1,IF(AND(AV524&gt;=1,AV524&lt;=9,ROW()&lt;=cur_line),AV524+1,0)),0)</f>
        <v>0</v>
      </c>
      <c r="AW525" s="313">
        <f>IFERROR(IF(INDEX([1]Pivot!$BF$1:$CG$65000,$B525,AW$5)=1,1,IF(AND(AW524&gt;=1,AW524&lt;=9,ROW()&lt;=cur_line),AW524+1,0)),0)</f>
        <v>0</v>
      </c>
      <c r="AX525" s="313">
        <f>IFERROR(IF(INDEX([1]Pivot!$BF$1:$CG$65000,$B525,AX$5)=1,1,IF(AND(AX524&gt;=1,AX524&lt;=9,ROW()&lt;=cur_line),AX524+1,0)),0)</f>
        <v>0</v>
      </c>
      <c r="AY525" s="313">
        <f>IFERROR(IF(INDEX([1]Pivot!$BF$1:$CG$65000,$B525,AY$5)=1,1,IF(AND(AY524&gt;=1,AY524&lt;=9,ROW()&lt;=cur_line),AY524+1,0)),0)</f>
        <v>0</v>
      </c>
      <c r="AZ525" s="313">
        <f>IFERROR(IF(INDEX([1]Pivot!$BF$1:$CG$65000,$B525,AZ$5)=1,1,IF(AND(AZ524&gt;=1,AZ524&lt;=9,ROW()&lt;=cur_line),AZ524+1,0)),0)</f>
        <v>0</v>
      </c>
      <c r="BA525" s="313">
        <f>IFERROR(IF(INDEX([1]Pivot!$BF$1:$CG$65000,$B525,BA$5)=1,1,IF(AND(BA524&gt;=1,BA524&lt;=9,ROW()&lt;=cur_line),BA524+1,0)),0)</f>
        <v>0</v>
      </c>
      <c r="BB525" s="313">
        <f>IFERROR(IF(INDEX([1]Pivot!$BF$1:$CG$65000,$B525,BB$5)=1,1,IF(AND(BB524&gt;=1,BB524&lt;=9,ROW()&lt;=cur_line),BB524+1,0)),0)</f>
        <v>0</v>
      </c>
      <c r="BC525" s="313">
        <f>IFERROR(IF(INDEX([1]Pivot!$BF$1:$CG$65000,$B525,BC$5)=1,1,IF(AND(BC524&gt;=1,BC524&lt;=9,ROW()&lt;=cur_line),BC524+1,0)),0)</f>
        <v>0</v>
      </c>
      <c r="BD525" s="313">
        <f>IFERROR(IF(INDEX([1]Pivot!$BF$1:$CG$65000,$B525,BD$5)=1,1,IF(AND(BD524&gt;=1,BD524&lt;=9,ROW()&lt;=cur_line),BD524+1,0)),0)</f>
        <v>0</v>
      </c>
    </row>
    <row r="526" spans="1:56" hidden="1" outlineLevel="1" x14ac:dyDescent="0.25">
      <c r="A526" s="288" t="str">
        <f>'[2]Raw Milk Prices'!A526</f>
        <v>2020m03</v>
      </c>
      <c r="B526" s="296" t="e">
        <f>MATCH(DATE(LEFT('[2]Raw Milk Prices'!$A526,4),RIGHT('[2]Raw Milk Prices'!$A526,2),1),[1]Pivot!$A$1:$A$65000,0)</f>
        <v>#N/A</v>
      </c>
      <c r="C526" s="194">
        <f>IFERROR(IF(INDEX([1]Pivot!$AD$1:$BE$65000,$B526,C$5)=1,1,IF(AND(C525&gt;=1,C525&lt;=9,ROW()&lt;=cur_line),C525+1,0)),0)</f>
        <v>0</v>
      </c>
      <c r="D526" s="194">
        <f>IFERROR(IF(INDEX([1]Pivot!$AD$1:$BE$65000,$B526,D$5)=1,1,IF(AND(D525&gt;=1,D525&lt;=9,ROW()&lt;=cur_line),D525+1,0)),0)</f>
        <v>0</v>
      </c>
      <c r="E526" s="194">
        <f>IFERROR(IF(INDEX([1]Pivot!$AD$1:$BE$65000,$B526,E$5)=1,1,IF(AND(E525&gt;=1,E525&lt;=9,ROW()&lt;=cur_line),E525+1,0)),0)</f>
        <v>0</v>
      </c>
      <c r="F526" s="194">
        <f>IFERROR(IF(INDEX([1]Pivot!$AD$1:$BE$65000,$B526,F$5)=1,1,IF(AND(F525&gt;=1,F525&lt;=9,ROW()&lt;=cur_line),F525+1,0)),0)</f>
        <v>0</v>
      </c>
      <c r="G526" s="194">
        <f>IFERROR(IF(INDEX([1]Pivot!$AD$1:$BE$65000,$B526,G$5)=1,1,IF(AND(G525&gt;=1,G525&lt;=9,ROW()&lt;=cur_line),G525+1,0)),0)</f>
        <v>0</v>
      </c>
      <c r="H526" s="194">
        <f>IFERROR(IF(INDEX([1]Pivot!$AD$1:$BE$65000,$B526,H$5)=1,1,IF(AND(H525&gt;=1,H525&lt;=9,ROW()&lt;=cur_line),H525+1,0)),0)</f>
        <v>0</v>
      </c>
      <c r="I526" s="194">
        <f>IFERROR(IF(INDEX([1]Pivot!$AD$1:$BE$65000,$B526,I$5)=1,1,IF(AND(I525&gt;=1,I525&lt;=9,ROW()&lt;=cur_line),I525+1,0)),0)</f>
        <v>0</v>
      </c>
      <c r="J526" s="194">
        <f>IFERROR(IF(INDEX([1]Pivot!$AD$1:$BE$65000,$B526,J$5)=1,1,IF(AND(J525&gt;=1,J525&lt;=9,ROW()&lt;=cur_line),J525+1,0)),0)</f>
        <v>0</v>
      </c>
      <c r="K526" s="194">
        <f>IFERROR(IF(INDEX([1]Pivot!$AD$1:$BE$65000,$B526,K$5)=1,1,IF(AND(K525&gt;=1,K525&lt;=9,ROW()&lt;=cur_line),K525+1,0)),0)</f>
        <v>0</v>
      </c>
      <c r="L526" s="194">
        <f>IFERROR(IF(INDEX([1]Pivot!$AD$1:$BE$65000,$B526,L$5)=1,1,IF(AND(L525&gt;=1,L525&lt;=9,ROW()&lt;=cur_line),L525+1,0)),0)</f>
        <v>0</v>
      </c>
      <c r="M526" s="194">
        <f>IFERROR(IF(INDEX([1]Pivot!$AD$1:$BE$65000,$B526,M$5)=1,1,IF(AND(M525&gt;=1,M525&lt;=9,ROW()&lt;=cur_line),M525+1,0)),0)</f>
        <v>0</v>
      </c>
      <c r="N526" s="194">
        <f>IFERROR(IF(INDEX([1]Pivot!$AD$1:$BE$65000,$B526,N$5)=1,1,IF(AND(N525&gt;=1,N525&lt;=9,ROW()&lt;=cur_line),N525+1,0)),0)</f>
        <v>0</v>
      </c>
      <c r="O526" s="194">
        <f>IFERROR(IF(INDEX([1]Pivot!$AD$1:$BE$65000,$B526,O$5)=1,1,IF(AND(O525&gt;=1,O525&lt;=9,ROW()&lt;=cur_line),O525+1,0)),0)</f>
        <v>0</v>
      </c>
      <c r="P526" s="194">
        <f>IFERROR(IF(INDEX([1]Pivot!$AD$1:$BE$65000,$B526,P$5)=1,1,IF(AND(P525&gt;=1,P525&lt;=9,ROW()&lt;=cur_line),P525+1,0)),0)</f>
        <v>0</v>
      </c>
      <c r="Q526" s="194">
        <f>IFERROR(IF(INDEX([1]Pivot!$AD$1:$BE$65000,$B526,Q$5)=1,1,IF(AND(Q525&gt;=1,Q525&lt;=9,ROW()&lt;=cur_line),Q525+1,0)),0)</f>
        <v>0</v>
      </c>
      <c r="R526" s="312"/>
      <c r="S526" s="194">
        <f>IFERROR(IF(INDEX([1]Pivot!$AD$1:$BE$65000,$B526,S$5)=1,1,IF(AND(S525&gt;=1,S525&lt;=9,ROW()&lt;=cur_line),S525+1,0)),0)</f>
        <v>0</v>
      </c>
      <c r="T526" s="194">
        <f>IFERROR(IF(INDEX([1]Pivot!$AD$1:$BE$65000,$B526,T$5)=1,1,IF(AND(T525&gt;=1,T525&lt;=9,ROW()&lt;=cur_line),T525+1,0)),0)</f>
        <v>0</v>
      </c>
      <c r="U526" s="194">
        <f>IFERROR(IF(INDEX([1]Pivot!$AD$1:$BE$65000,$B526,U$5)=1,1,IF(AND(U525&gt;=1,U525&lt;=9,ROW()&lt;=cur_line),U525+1,0)),0)</f>
        <v>0</v>
      </c>
      <c r="V526" s="194">
        <f>IFERROR(IF(INDEX([1]Pivot!$AD$1:$BE$65000,$B526,V$5)=1,1,IF(AND(V525&gt;=1,V525&lt;=9,ROW()&lt;=cur_line),V525+1,0)),0)</f>
        <v>0</v>
      </c>
      <c r="W526" s="194">
        <f>IFERROR(IF(INDEX([1]Pivot!$AD$1:$BE$65000,$B526,W$5)=1,1,IF(AND(W525&gt;=1,W525&lt;=9,ROW()&lt;=cur_line),W525+1,0)),0)</f>
        <v>0</v>
      </c>
      <c r="X526" s="194">
        <f>IFERROR(IF(INDEX([1]Pivot!$AD$1:$BE$65000,$B526,X$5)=1,1,IF(AND(X525&gt;=1,X525&lt;=9,ROW()&lt;=cur_line),X525+1,0)),0)</f>
        <v>0</v>
      </c>
      <c r="Y526" s="194">
        <f>IFERROR(IF(INDEX([1]Pivot!$AD$1:$BE$65000,$B526,Y$5)=1,1,IF(AND(Y525&gt;=1,Y525&lt;=9,ROW()&lt;=cur_line),Y525+1,0)),0)</f>
        <v>0</v>
      </c>
      <c r="Z526" s="194">
        <f>IFERROR(IF(INDEX([1]Pivot!$AD$1:$BE$65000,$B526,Z$5)=1,1,IF(AND(Z525&gt;=1,Z525&lt;=9,ROW()&lt;=cur_line),Z525+1,0)),0)</f>
        <v>0</v>
      </c>
      <c r="AA526" s="194">
        <f>IFERROR(IF(INDEX([1]Pivot!$AD$1:$BE$65000,$B526,AA$5)=1,1,IF(AND(AA525&gt;=1,AA525&lt;=9,ROW()&lt;=cur_line),AA525+1,0)),0)</f>
        <v>0</v>
      </c>
      <c r="AB526" s="194">
        <f>IFERROR(IF(INDEX([1]Pivot!$AD$1:$BE$65000,$B526,AB$5)=1,1,IF(AND(AB525&gt;=1,AB525&lt;=9,ROW()&lt;=cur_line),AB525+1,0)),0)</f>
        <v>0</v>
      </c>
      <c r="AC526" s="194">
        <f>IFERROR(IF(INDEX([1]Pivot!$AD$1:$BE$65000,$B526,AC$5)=1,1,IF(AND(AC525&gt;=1,AC525&lt;=9,ROW()&lt;=cur_line),AC525+1,0)),0)</f>
        <v>0</v>
      </c>
      <c r="AD526" s="313">
        <f>IFERROR(IF(INDEX([1]Pivot!$BF$1:$CG$65000,$B526,AD$5)=1,1,IF(AND(AD525&gt;=1,AD525&lt;=9,ROW()&lt;=cur_line),AD525+1,0)),0)</f>
        <v>0</v>
      </c>
      <c r="AE526" s="313">
        <f>IFERROR(IF(INDEX([1]Pivot!$BF$1:$CG$65000,$B526,AE$5)=1,1,IF(AND(AE525&gt;=1,AE525&lt;=9,ROW()&lt;=cur_line),AE525+1,0)),0)</f>
        <v>0</v>
      </c>
      <c r="AF526" s="313">
        <f>IFERROR(IF(INDEX([1]Pivot!$BF$1:$CG$65000,$B526,AF$5)=1,1,IF(AND(AF525&gt;=1,AF525&lt;=9,ROW()&lt;=cur_line),AF525+1,0)),0)</f>
        <v>0</v>
      </c>
      <c r="AG526" s="313">
        <f>IFERROR(IF(INDEX([1]Pivot!$BF$1:$CG$65000,$B526,AG$5)=1,1,IF(AND(AG525&gt;=1,AG525&lt;=9,ROW()&lt;=cur_line),AG525+1,0)),0)</f>
        <v>0</v>
      </c>
      <c r="AH526" s="313">
        <f>IFERROR(IF(INDEX([1]Pivot!$BF$1:$CG$65000,$B526,AH$5)=1,1,IF(AND(AH525&gt;=1,AH525&lt;=9,ROW()&lt;=cur_line),AH525+1,0)),0)</f>
        <v>0</v>
      </c>
      <c r="AI526" s="313">
        <f>IFERROR(IF(INDEX([1]Pivot!$BF$1:$CG$65000,$B526,AI$5)=1,1,IF(AND(AI525&gt;=1,AI525&lt;=9,ROW()&lt;=cur_line),AI525+1,0)),0)</f>
        <v>0</v>
      </c>
      <c r="AJ526" s="313">
        <f>IFERROR(IF(INDEX([1]Pivot!$BF$1:$CG$65000,$B526,AJ$5)=1,1,IF(AND(AJ525&gt;=1,AJ525&lt;=9,ROW()&lt;=cur_line),AJ525+1,0)),0)</f>
        <v>0</v>
      </c>
      <c r="AK526" s="313">
        <f>IFERROR(IF(INDEX([1]Pivot!$BF$1:$CG$65000,$B526,AK$5)=1,1,IF(AND(AK525&gt;=1,AK525&lt;=9,ROW()&lt;=cur_line),AK525+1,0)),0)</f>
        <v>0</v>
      </c>
      <c r="AL526" s="313">
        <f>IFERROR(IF(INDEX([1]Pivot!$BF$1:$CG$65000,$B526,AL$5)=1,1,IF(AND(AL525&gt;=1,AL525&lt;=9,ROW()&lt;=cur_line),AL525+1,0)),0)</f>
        <v>0</v>
      </c>
      <c r="AM526" s="313">
        <f>IFERROR(IF(INDEX([1]Pivot!$BF$1:$CG$65000,$B526,AM$5)=1,1,IF(AND(AM525&gt;=1,AM525&lt;=9,ROW()&lt;=cur_line),AM525+1,0)),0)</f>
        <v>0</v>
      </c>
      <c r="AN526" s="313">
        <f>IFERROR(IF(INDEX([1]Pivot!$BF$1:$CG$65000,$B526,AN$5)=1,1,IF(AND(AN525&gt;=1,AN525&lt;=9,ROW()&lt;=cur_line),AN525+1,0)),0)</f>
        <v>0</v>
      </c>
      <c r="AO526" s="313">
        <f>IFERROR(IF(INDEX([1]Pivot!$BF$1:$CG$65000,$B526,AO$5)=1,1,IF(AND(AO525&gt;=1,AO525&lt;=9,ROW()&lt;=cur_line),AO525+1,0)),0)</f>
        <v>0</v>
      </c>
      <c r="AP526" s="313">
        <f>IFERROR(IF(INDEX([1]Pivot!$BF$1:$CG$65000,$B526,AP$5)=1,1,IF(AND(AP525&gt;=1,AP525&lt;=9,ROW()&lt;=cur_line),AP525+1,0)),0)</f>
        <v>0</v>
      </c>
      <c r="AQ526" s="313">
        <f>IFERROR(IF(INDEX([1]Pivot!$BF$1:$CG$65000,$B526,AQ$5)=1,1,IF(AND(AQ525&gt;=1,AQ525&lt;=9,ROW()&lt;=cur_line),AQ525+1,0)),0)</f>
        <v>0</v>
      </c>
      <c r="AR526" s="313">
        <f>IFERROR(IF(INDEX([1]Pivot!$BF$1:$CG$65000,$B526,AR$5)=1,1,IF(AND(AR525&gt;=1,AR525&lt;=9,ROW()&lt;=cur_line),AR525+1,0)),0)</f>
        <v>0</v>
      </c>
      <c r="AS526" s="312"/>
      <c r="AT526" s="313">
        <f>IFERROR(IF(INDEX([1]Pivot!$BF$1:$CG$65000,$B526,AT$5)=1,1,IF(AND(AT525&gt;=1,AT525&lt;=9,ROW()&lt;=cur_line),AT525+1,0)),0)</f>
        <v>0</v>
      </c>
      <c r="AU526" s="313">
        <f>IFERROR(IF(INDEX([1]Pivot!$BF$1:$CG$65000,$B526,AU$5)=1,1,IF(AND(AU525&gt;=1,AU525&lt;=9,ROW()&lt;=cur_line),AU525+1,0)),0)</f>
        <v>0</v>
      </c>
      <c r="AV526" s="313">
        <f>IFERROR(IF(INDEX([1]Pivot!$BF$1:$CG$65000,$B526,AV$5)=1,1,IF(AND(AV525&gt;=1,AV525&lt;=9,ROW()&lt;=cur_line),AV525+1,0)),0)</f>
        <v>0</v>
      </c>
      <c r="AW526" s="313">
        <f>IFERROR(IF(INDEX([1]Pivot!$BF$1:$CG$65000,$B526,AW$5)=1,1,IF(AND(AW525&gt;=1,AW525&lt;=9,ROW()&lt;=cur_line),AW525+1,0)),0)</f>
        <v>0</v>
      </c>
      <c r="AX526" s="313">
        <f>IFERROR(IF(INDEX([1]Pivot!$BF$1:$CG$65000,$B526,AX$5)=1,1,IF(AND(AX525&gt;=1,AX525&lt;=9,ROW()&lt;=cur_line),AX525+1,0)),0)</f>
        <v>0</v>
      </c>
      <c r="AY526" s="313">
        <f>IFERROR(IF(INDEX([1]Pivot!$BF$1:$CG$65000,$B526,AY$5)=1,1,IF(AND(AY525&gt;=1,AY525&lt;=9,ROW()&lt;=cur_line),AY525+1,0)),0)</f>
        <v>0</v>
      </c>
      <c r="AZ526" s="313">
        <f>IFERROR(IF(INDEX([1]Pivot!$BF$1:$CG$65000,$B526,AZ$5)=1,1,IF(AND(AZ525&gt;=1,AZ525&lt;=9,ROW()&lt;=cur_line),AZ525+1,0)),0)</f>
        <v>0</v>
      </c>
      <c r="BA526" s="313">
        <f>IFERROR(IF(INDEX([1]Pivot!$BF$1:$CG$65000,$B526,BA$5)=1,1,IF(AND(BA525&gt;=1,BA525&lt;=9,ROW()&lt;=cur_line),BA525+1,0)),0)</f>
        <v>0</v>
      </c>
      <c r="BB526" s="313">
        <f>IFERROR(IF(INDEX([1]Pivot!$BF$1:$CG$65000,$B526,BB$5)=1,1,IF(AND(BB525&gt;=1,BB525&lt;=9,ROW()&lt;=cur_line),BB525+1,0)),0)</f>
        <v>0</v>
      </c>
      <c r="BC526" s="313">
        <f>IFERROR(IF(INDEX([1]Pivot!$BF$1:$CG$65000,$B526,BC$5)=1,1,IF(AND(BC525&gt;=1,BC525&lt;=9,ROW()&lt;=cur_line),BC525+1,0)),0)</f>
        <v>0</v>
      </c>
      <c r="BD526" s="313">
        <f>IFERROR(IF(INDEX([1]Pivot!$BF$1:$CG$65000,$B526,BD$5)=1,1,IF(AND(BD525&gt;=1,BD525&lt;=9,ROW()&lt;=cur_line),BD525+1,0)),0)</f>
        <v>0</v>
      </c>
    </row>
    <row r="527" spans="1:56" hidden="1" outlineLevel="1" x14ac:dyDescent="0.25">
      <c r="A527" s="288" t="str">
        <f>'[2]Raw Milk Prices'!A527</f>
        <v>2020m04</v>
      </c>
      <c r="B527" s="296" t="e">
        <f>MATCH(DATE(LEFT('[2]Raw Milk Prices'!$A527,4),RIGHT('[2]Raw Milk Prices'!$A527,2),1),[1]Pivot!$A$1:$A$65000,0)</f>
        <v>#N/A</v>
      </c>
      <c r="C527" s="194">
        <f>IFERROR(IF(INDEX([1]Pivot!$AD$1:$BE$65000,$B527,C$5)=1,1,IF(AND(C526&gt;=1,C526&lt;=9,ROW()&lt;=cur_line),C526+1,0)),0)</f>
        <v>0</v>
      </c>
      <c r="D527" s="194">
        <f>IFERROR(IF(INDEX([1]Pivot!$AD$1:$BE$65000,$B527,D$5)=1,1,IF(AND(D526&gt;=1,D526&lt;=9,ROW()&lt;=cur_line),D526+1,0)),0)</f>
        <v>0</v>
      </c>
      <c r="E527" s="194">
        <f>IFERROR(IF(INDEX([1]Pivot!$AD$1:$BE$65000,$B527,E$5)=1,1,IF(AND(E526&gt;=1,E526&lt;=9,ROW()&lt;=cur_line),E526+1,0)),0)</f>
        <v>0</v>
      </c>
      <c r="F527" s="194">
        <f>IFERROR(IF(INDEX([1]Pivot!$AD$1:$BE$65000,$B527,F$5)=1,1,IF(AND(F526&gt;=1,F526&lt;=9,ROW()&lt;=cur_line),F526+1,0)),0)</f>
        <v>0</v>
      </c>
      <c r="G527" s="194">
        <f>IFERROR(IF(INDEX([1]Pivot!$AD$1:$BE$65000,$B527,G$5)=1,1,IF(AND(G526&gt;=1,G526&lt;=9,ROW()&lt;=cur_line),G526+1,0)),0)</f>
        <v>0</v>
      </c>
      <c r="H527" s="194">
        <f>IFERROR(IF(INDEX([1]Pivot!$AD$1:$BE$65000,$B527,H$5)=1,1,IF(AND(H526&gt;=1,H526&lt;=9,ROW()&lt;=cur_line),H526+1,0)),0)</f>
        <v>0</v>
      </c>
      <c r="I527" s="194">
        <f>IFERROR(IF(INDEX([1]Pivot!$AD$1:$BE$65000,$B527,I$5)=1,1,IF(AND(I526&gt;=1,I526&lt;=9,ROW()&lt;=cur_line),I526+1,0)),0)</f>
        <v>0</v>
      </c>
      <c r="J527" s="194">
        <f>IFERROR(IF(INDEX([1]Pivot!$AD$1:$BE$65000,$B527,J$5)=1,1,IF(AND(J526&gt;=1,J526&lt;=9,ROW()&lt;=cur_line),J526+1,0)),0)</f>
        <v>0</v>
      </c>
      <c r="K527" s="194">
        <f>IFERROR(IF(INDEX([1]Pivot!$AD$1:$BE$65000,$B527,K$5)=1,1,IF(AND(K526&gt;=1,K526&lt;=9,ROW()&lt;=cur_line),K526+1,0)),0)</f>
        <v>0</v>
      </c>
      <c r="L527" s="194">
        <f>IFERROR(IF(INDEX([1]Pivot!$AD$1:$BE$65000,$B527,L$5)=1,1,IF(AND(L526&gt;=1,L526&lt;=9,ROW()&lt;=cur_line),L526+1,0)),0)</f>
        <v>0</v>
      </c>
      <c r="M527" s="194">
        <f>IFERROR(IF(INDEX([1]Pivot!$AD$1:$BE$65000,$B527,M$5)=1,1,IF(AND(M526&gt;=1,M526&lt;=9,ROW()&lt;=cur_line),M526+1,0)),0)</f>
        <v>0</v>
      </c>
      <c r="N527" s="194">
        <f>IFERROR(IF(INDEX([1]Pivot!$AD$1:$BE$65000,$B527,N$5)=1,1,IF(AND(N526&gt;=1,N526&lt;=9,ROW()&lt;=cur_line),N526+1,0)),0)</f>
        <v>0</v>
      </c>
      <c r="O527" s="194">
        <f>IFERROR(IF(INDEX([1]Pivot!$AD$1:$BE$65000,$B527,O$5)=1,1,IF(AND(O526&gt;=1,O526&lt;=9,ROW()&lt;=cur_line),O526+1,0)),0)</f>
        <v>0</v>
      </c>
      <c r="P527" s="194">
        <f>IFERROR(IF(INDEX([1]Pivot!$AD$1:$BE$65000,$B527,P$5)=1,1,IF(AND(P526&gt;=1,P526&lt;=9,ROW()&lt;=cur_line),P526+1,0)),0)</f>
        <v>0</v>
      </c>
      <c r="Q527" s="194">
        <f>IFERROR(IF(INDEX([1]Pivot!$AD$1:$BE$65000,$B527,Q$5)=1,1,IF(AND(Q526&gt;=1,Q526&lt;=9,ROW()&lt;=cur_line),Q526+1,0)),0)</f>
        <v>0</v>
      </c>
      <c r="R527" s="312"/>
      <c r="S527" s="194">
        <f>IFERROR(IF(INDEX([1]Pivot!$AD$1:$BE$65000,$B527,S$5)=1,1,IF(AND(S526&gt;=1,S526&lt;=9,ROW()&lt;=cur_line),S526+1,0)),0)</f>
        <v>0</v>
      </c>
      <c r="T527" s="194">
        <f>IFERROR(IF(INDEX([1]Pivot!$AD$1:$BE$65000,$B527,T$5)=1,1,IF(AND(T526&gt;=1,T526&lt;=9,ROW()&lt;=cur_line),T526+1,0)),0)</f>
        <v>0</v>
      </c>
      <c r="U527" s="194">
        <f>IFERROR(IF(INDEX([1]Pivot!$AD$1:$BE$65000,$B527,U$5)=1,1,IF(AND(U526&gt;=1,U526&lt;=9,ROW()&lt;=cur_line),U526+1,0)),0)</f>
        <v>0</v>
      </c>
      <c r="V527" s="194">
        <f>IFERROR(IF(INDEX([1]Pivot!$AD$1:$BE$65000,$B527,V$5)=1,1,IF(AND(V526&gt;=1,V526&lt;=9,ROW()&lt;=cur_line),V526+1,0)),0)</f>
        <v>0</v>
      </c>
      <c r="W527" s="194">
        <f>IFERROR(IF(INDEX([1]Pivot!$AD$1:$BE$65000,$B527,W$5)=1,1,IF(AND(W526&gt;=1,W526&lt;=9,ROW()&lt;=cur_line),W526+1,0)),0)</f>
        <v>0</v>
      </c>
      <c r="X527" s="194">
        <f>IFERROR(IF(INDEX([1]Pivot!$AD$1:$BE$65000,$B527,X$5)=1,1,IF(AND(X526&gt;=1,X526&lt;=9,ROW()&lt;=cur_line),X526+1,0)),0)</f>
        <v>0</v>
      </c>
      <c r="Y527" s="194">
        <f>IFERROR(IF(INDEX([1]Pivot!$AD$1:$BE$65000,$B527,Y$5)=1,1,IF(AND(Y526&gt;=1,Y526&lt;=9,ROW()&lt;=cur_line),Y526+1,0)),0)</f>
        <v>0</v>
      </c>
      <c r="Z527" s="194">
        <f>IFERROR(IF(INDEX([1]Pivot!$AD$1:$BE$65000,$B527,Z$5)=1,1,IF(AND(Z526&gt;=1,Z526&lt;=9,ROW()&lt;=cur_line),Z526+1,0)),0)</f>
        <v>0</v>
      </c>
      <c r="AA527" s="194">
        <f>IFERROR(IF(INDEX([1]Pivot!$AD$1:$BE$65000,$B527,AA$5)=1,1,IF(AND(AA526&gt;=1,AA526&lt;=9,ROW()&lt;=cur_line),AA526+1,0)),0)</f>
        <v>0</v>
      </c>
      <c r="AB527" s="194">
        <f>IFERROR(IF(INDEX([1]Pivot!$AD$1:$BE$65000,$B527,AB$5)=1,1,IF(AND(AB526&gt;=1,AB526&lt;=9,ROW()&lt;=cur_line),AB526+1,0)),0)</f>
        <v>0</v>
      </c>
      <c r="AC527" s="194">
        <f>IFERROR(IF(INDEX([1]Pivot!$AD$1:$BE$65000,$B527,AC$5)=1,1,IF(AND(AC526&gt;=1,AC526&lt;=9,ROW()&lt;=cur_line),AC526+1,0)),0)</f>
        <v>0</v>
      </c>
      <c r="AD527" s="313">
        <f>IFERROR(IF(INDEX([1]Pivot!$BF$1:$CG$65000,$B527,AD$5)=1,1,IF(AND(AD526&gt;=1,AD526&lt;=9,ROW()&lt;=cur_line),AD526+1,0)),0)</f>
        <v>0</v>
      </c>
      <c r="AE527" s="313">
        <f>IFERROR(IF(INDEX([1]Pivot!$BF$1:$CG$65000,$B527,AE$5)=1,1,IF(AND(AE526&gt;=1,AE526&lt;=9,ROW()&lt;=cur_line),AE526+1,0)),0)</f>
        <v>0</v>
      </c>
      <c r="AF527" s="313">
        <f>IFERROR(IF(INDEX([1]Pivot!$BF$1:$CG$65000,$B527,AF$5)=1,1,IF(AND(AF526&gt;=1,AF526&lt;=9,ROW()&lt;=cur_line),AF526+1,0)),0)</f>
        <v>0</v>
      </c>
      <c r="AG527" s="313">
        <f>IFERROR(IF(INDEX([1]Pivot!$BF$1:$CG$65000,$B527,AG$5)=1,1,IF(AND(AG526&gt;=1,AG526&lt;=9,ROW()&lt;=cur_line),AG526+1,0)),0)</f>
        <v>0</v>
      </c>
      <c r="AH527" s="313">
        <f>IFERROR(IF(INDEX([1]Pivot!$BF$1:$CG$65000,$B527,AH$5)=1,1,IF(AND(AH526&gt;=1,AH526&lt;=9,ROW()&lt;=cur_line),AH526+1,0)),0)</f>
        <v>0</v>
      </c>
      <c r="AI527" s="313">
        <f>IFERROR(IF(INDEX([1]Pivot!$BF$1:$CG$65000,$B527,AI$5)=1,1,IF(AND(AI526&gt;=1,AI526&lt;=9,ROW()&lt;=cur_line),AI526+1,0)),0)</f>
        <v>0</v>
      </c>
      <c r="AJ527" s="313">
        <f>IFERROR(IF(INDEX([1]Pivot!$BF$1:$CG$65000,$B527,AJ$5)=1,1,IF(AND(AJ526&gt;=1,AJ526&lt;=9,ROW()&lt;=cur_line),AJ526+1,0)),0)</f>
        <v>0</v>
      </c>
      <c r="AK527" s="313">
        <f>IFERROR(IF(INDEX([1]Pivot!$BF$1:$CG$65000,$B527,AK$5)=1,1,IF(AND(AK526&gt;=1,AK526&lt;=9,ROW()&lt;=cur_line),AK526+1,0)),0)</f>
        <v>0</v>
      </c>
      <c r="AL527" s="313">
        <f>IFERROR(IF(INDEX([1]Pivot!$BF$1:$CG$65000,$B527,AL$5)=1,1,IF(AND(AL526&gt;=1,AL526&lt;=9,ROW()&lt;=cur_line),AL526+1,0)),0)</f>
        <v>0</v>
      </c>
      <c r="AM527" s="313">
        <f>IFERROR(IF(INDEX([1]Pivot!$BF$1:$CG$65000,$B527,AM$5)=1,1,IF(AND(AM526&gt;=1,AM526&lt;=9,ROW()&lt;=cur_line),AM526+1,0)),0)</f>
        <v>0</v>
      </c>
      <c r="AN527" s="313">
        <f>IFERROR(IF(INDEX([1]Pivot!$BF$1:$CG$65000,$B527,AN$5)=1,1,IF(AND(AN526&gt;=1,AN526&lt;=9,ROW()&lt;=cur_line),AN526+1,0)),0)</f>
        <v>0</v>
      </c>
      <c r="AO527" s="313">
        <f>IFERROR(IF(INDEX([1]Pivot!$BF$1:$CG$65000,$B527,AO$5)=1,1,IF(AND(AO526&gt;=1,AO526&lt;=9,ROW()&lt;=cur_line),AO526+1,0)),0)</f>
        <v>0</v>
      </c>
      <c r="AP527" s="313">
        <f>IFERROR(IF(INDEX([1]Pivot!$BF$1:$CG$65000,$B527,AP$5)=1,1,IF(AND(AP526&gt;=1,AP526&lt;=9,ROW()&lt;=cur_line),AP526+1,0)),0)</f>
        <v>0</v>
      </c>
      <c r="AQ527" s="313">
        <f>IFERROR(IF(INDEX([1]Pivot!$BF$1:$CG$65000,$B527,AQ$5)=1,1,IF(AND(AQ526&gt;=1,AQ526&lt;=9,ROW()&lt;=cur_line),AQ526+1,0)),0)</f>
        <v>0</v>
      </c>
      <c r="AR527" s="313">
        <f>IFERROR(IF(INDEX([1]Pivot!$BF$1:$CG$65000,$B527,AR$5)=1,1,IF(AND(AR526&gt;=1,AR526&lt;=9,ROW()&lt;=cur_line),AR526+1,0)),0)</f>
        <v>0</v>
      </c>
      <c r="AS527" s="312"/>
      <c r="AT527" s="313">
        <f>IFERROR(IF(INDEX([1]Pivot!$BF$1:$CG$65000,$B527,AT$5)=1,1,IF(AND(AT526&gt;=1,AT526&lt;=9,ROW()&lt;=cur_line),AT526+1,0)),0)</f>
        <v>0</v>
      </c>
      <c r="AU527" s="313">
        <f>IFERROR(IF(INDEX([1]Pivot!$BF$1:$CG$65000,$B527,AU$5)=1,1,IF(AND(AU526&gt;=1,AU526&lt;=9,ROW()&lt;=cur_line),AU526+1,0)),0)</f>
        <v>0</v>
      </c>
      <c r="AV527" s="313">
        <f>IFERROR(IF(INDEX([1]Pivot!$BF$1:$CG$65000,$B527,AV$5)=1,1,IF(AND(AV526&gt;=1,AV526&lt;=9,ROW()&lt;=cur_line),AV526+1,0)),0)</f>
        <v>0</v>
      </c>
      <c r="AW527" s="313">
        <f>IFERROR(IF(INDEX([1]Pivot!$BF$1:$CG$65000,$B527,AW$5)=1,1,IF(AND(AW526&gt;=1,AW526&lt;=9,ROW()&lt;=cur_line),AW526+1,0)),0)</f>
        <v>0</v>
      </c>
      <c r="AX527" s="313">
        <f>IFERROR(IF(INDEX([1]Pivot!$BF$1:$CG$65000,$B527,AX$5)=1,1,IF(AND(AX526&gt;=1,AX526&lt;=9,ROW()&lt;=cur_line),AX526+1,0)),0)</f>
        <v>0</v>
      </c>
      <c r="AY527" s="313">
        <f>IFERROR(IF(INDEX([1]Pivot!$BF$1:$CG$65000,$B527,AY$5)=1,1,IF(AND(AY526&gt;=1,AY526&lt;=9,ROW()&lt;=cur_line),AY526+1,0)),0)</f>
        <v>0</v>
      </c>
      <c r="AZ527" s="313">
        <f>IFERROR(IF(INDEX([1]Pivot!$BF$1:$CG$65000,$B527,AZ$5)=1,1,IF(AND(AZ526&gt;=1,AZ526&lt;=9,ROW()&lt;=cur_line),AZ526+1,0)),0)</f>
        <v>0</v>
      </c>
      <c r="BA527" s="313">
        <f>IFERROR(IF(INDEX([1]Pivot!$BF$1:$CG$65000,$B527,BA$5)=1,1,IF(AND(BA526&gt;=1,BA526&lt;=9,ROW()&lt;=cur_line),BA526+1,0)),0)</f>
        <v>0</v>
      </c>
      <c r="BB527" s="313">
        <f>IFERROR(IF(INDEX([1]Pivot!$BF$1:$CG$65000,$B527,BB$5)=1,1,IF(AND(BB526&gt;=1,BB526&lt;=9,ROW()&lt;=cur_line),BB526+1,0)),0)</f>
        <v>0</v>
      </c>
      <c r="BC527" s="313">
        <f>IFERROR(IF(INDEX([1]Pivot!$BF$1:$CG$65000,$B527,BC$5)=1,1,IF(AND(BC526&gt;=1,BC526&lt;=9,ROW()&lt;=cur_line),BC526+1,0)),0)</f>
        <v>0</v>
      </c>
      <c r="BD527" s="313">
        <f>IFERROR(IF(INDEX([1]Pivot!$BF$1:$CG$65000,$B527,BD$5)=1,1,IF(AND(BD526&gt;=1,BD526&lt;=9,ROW()&lt;=cur_line),BD526+1,0)),0)</f>
        <v>0</v>
      </c>
    </row>
    <row r="528" spans="1:56" hidden="1" outlineLevel="1" x14ac:dyDescent="0.25">
      <c r="A528" s="288" t="str">
        <f>'[2]Raw Milk Prices'!A528</f>
        <v>2020m05</v>
      </c>
      <c r="B528" s="296" t="e">
        <f>MATCH(DATE(LEFT('[2]Raw Milk Prices'!$A528,4),RIGHT('[2]Raw Milk Prices'!$A528,2),1),[1]Pivot!$A$1:$A$65000,0)</f>
        <v>#N/A</v>
      </c>
      <c r="C528" s="194">
        <f>IFERROR(IF(INDEX([1]Pivot!$AD$1:$BE$65000,$B528,C$5)=1,1,IF(AND(C527&gt;=1,C527&lt;=9,ROW()&lt;=cur_line),C527+1,0)),0)</f>
        <v>0</v>
      </c>
      <c r="D528" s="194">
        <f>IFERROR(IF(INDEX([1]Pivot!$AD$1:$BE$65000,$B528,D$5)=1,1,IF(AND(D527&gt;=1,D527&lt;=9,ROW()&lt;=cur_line),D527+1,0)),0)</f>
        <v>0</v>
      </c>
      <c r="E528" s="194">
        <f>IFERROR(IF(INDEX([1]Pivot!$AD$1:$BE$65000,$B528,E$5)=1,1,IF(AND(E527&gt;=1,E527&lt;=9,ROW()&lt;=cur_line),E527+1,0)),0)</f>
        <v>0</v>
      </c>
      <c r="F528" s="194">
        <f>IFERROR(IF(INDEX([1]Pivot!$AD$1:$BE$65000,$B528,F$5)=1,1,IF(AND(F527&gt;=1,F527&lt;=9,ROW()&lt;=cur_line),F527+1,0)),0)</f>
        <v>0</v>
      </c>
      <c r="G528" s="194">
        <f>IFERROR(IF(INDEX([1]Pivot!$AD$1:$BE$65000,$B528,G$5)=1,1,IF(AND(G527&gt;=1,G527&lt;=9,ROW()&lt;=cur_line),G527+1,0)),0)</f>
        <v>0</v>
      </c>
      <c r="H528" s="194">
        <f>IFERROR(IF(INDEX([1]Pivot!$AD$1:$BE$65000,$B528,H$5)=1,1,IF(AND(H527&gt;=1,H527&lt;=9,ROW()&lt;=cur_line),H527+1,0)),0)</f>
        <v>0</v>
      </c>
      <c r="I528" s="194">
        <f>IFERROR(IF(INDEX([1]Pivot!$AD$1:$BE$65000,$B528,I$5)=1,1,IF(AND(I527&gt;=1,I527&lt;=9,ROW()&lt;=cur_line),I527+1,0)),0)</f>
        <v>0</v>
      </c>
      <c r="J528" s="194">
        <f>IFERROR(IF(INDEX([1]Pivot!$AD$1:$BE$65000,$B528,J$5)=1,1,IF(AND(J527&gt;=1,J527&lt;=9,ROW()&lt;=cur_line),J527+1,0)),0)</f>
        <v>0</v>
      </c>
      <c r="K528" s="194">
        <f>IFERROR(IF(INDEX([1]Pivot!$AD$1:$BE$65000,$B528,K$5)=1,1,IF(AND(K527&gt;=1,K527&lt;=9,ROW()&lt;=cur_line),K527+1,0)),0)</f>
        <v>0</v>
      </c>
      <c r="L528" s="194">
        <f>IFERROR(IF(INDEX([1]Pivot!$AD$1:$BE$65000,$B528,L$5)=1,1,IF(AND(L527&gt;=1,L527&lt;=9,ROW()&lt;=cur_line),L527+1,0)),0)</f>
        <v>0</v>
      </c>
      <c r="M528" s="194">
        <f>IFERROR(IF(INDEX([1]Pivot!$AD$1:$BE$65000,$B528,M$5)=1,1,IF(AND(M527&gt;=1,M527&lt;=9,ROW()&lt;=cur_line),M527+1,0)),0)</f>
        <v>0</v>
      </c>
      <c r="N528" s="194">
        <f>IFERROR(IF(INDEX([1]Pivot!$AD$1:$BE$65000,$B528,N$5)=1,1,IF(AND(N527&gt;=1,N527&lt;=9,ROW()&lt;=cur_line),N527+1,0)),0)</f>
        <v>0</v>
      </c>
      <c r="O528" s="194">
        <f>IFERROR(IF(INDEX([1]Pivot!$AD$1:$BE$65000,$B528,O$5)=1,1,IF(AND(O527&gt;=1,O527&lt;=9,ROW()&lt;=cur_line),O527+1,0)),0)</f>
        <v>0</v>
      </c>
      <c r="P528" s="194">
        <f>IFERROR(IF(INDEX([1]Pivot!$AD$1:$BE$65000,$B528,P$5)=1,1,IF(AND(P527&gt;=1,P527&lt;=9,ROW()&lt;=cur_line),P527+1,0)),0)</f>
        <v>0</v>
      </c>
      <c r="Q528" s="194">
        <f>IFERROR(IF(INDEX([1]Pivot!$AD$1:$BE$65000,$B528,Q$5)=1,1,IF(AND(Q527&gt;=1,Q527&lt;=9,ROW()&lt;=cur_line),Q527+1,0)),0)</f>
        <v>0</v>
      </c>
      <c r="R528" s="312"/>
      <c r="S528" s="194">
        <f>IFERROR(IF(INDEX([1]Pivot!$AD$1:$BE$65000,$B528,S$5)=1,1,IF(AND(S527&gt;=1,S527&lt;=9,ROW()&lt;=cur_line),S527+1,0)),0)</f>
        <v>0</v>
      </c>
      <c r="T528" s="194">
        <f>IFERROR(IF(INDEX([1]Pivot!$AD$1:$BE$65000,$B528,T$5)=1,1,IF(AND(T527&gt;=1,T527&lt;=9,ROW()&lt;=cur_line),T527+1,0)),0)</f>
        <v>0</v>
      </c>
      <c r="U528" s="194">
        <f>IFERROR(IF(INDEX([1]Pivot!$AD$1:$BE$65000,$B528,U$5)=1,1,IF(AND(U527&gt;=1,U527&lt;=9,ROW()&lt;=cur_line),U527+1,0)),0)</f>
        <v>0</v>
      </c>
      <c r="V528" s="194">
        <f>IFERROR(IF(INDEX([1]Pivot!$AD$1:$BE$65000,$B528,V$5)=1,1,IF(AND(V527&gt;=1,V527&lt;=9,ROW()&lt;=cur_line),V527+1,0)),0)</f>
        <v>0</v>
      </c>
      <c r="W528" s="194">
        <f>IFERROR(IF(INDEX([1]Pivot!$AD$1:$BE$65000,$B528,W$5)=1,1,IF(AND(W527&gt;=1,W527&lt;=9,ROW()&lt;=cur_line),W527+1,0)),0)</f>
        <v>0</v>
      </c>
      <c r="X528" s="194">
        <f>IFERROR(IF(INDEX([1]Pivot!$AD$1:$BE$65000,$B528,X$5)=1,1,IF(AND(X527&gt;=1,X527&lt;=9,ROW()&lt;=cur_line),X527+1,0)),0)</f>
        <v>0</v>
      </c>
      <c r="Y528" s="194">
        <f>IFERROR(IF(INDEX([1]Pivot!$AD$1:$BE$65000,$B528,Y$5)=1,1,IF(AND(Y527&gt;=1,Y527&lt;=9,ROW()&lt;=cur_line),Y527+1,0)),0)</f>
        <v>0</v>
      </c>
      <c r="Z528" s="194">
        <f>IFERROR(IF(INDEX([1]Pivot!$AD$1:$BE$65000,$B528,Z$5)=1,1,IF(AND(Z527&gt;=1,Z527&lt;=9,ROW()&lt;=cur_line),Z527+1,0)),0)</f>
        <v>0</v>
      </c>
      <c r="AA528" s="194">
        <f>IFERROR(IF(INDEX([1]Pivot!$AD$1:$BE$65000,$B528,AA$5)=1,1,IF(AND(AA527&gt;=1,AA527&lt;=9,ROW()&lt;=cur_line),AA527+1,0)),0)</f>
        <v>0</v>
      </c>
      <c r="AB528" s="194">
        <f>IFERROR(IF(INDEX([1]Pivot!$AD$1:$BE$65000,$B528,AB$5)=1,1,IF(AND(AB527&gt;=1,AB527&lt;=9,ROW()&lt;=cur_line),AB527+1,0)),0)</f>
        <v>0</v>
      </c>
      <c r="AC528" s="194">
        <f>IFERROR(IF(INDEX([1]Pivot!$AD$1:$BE$65000,$B528,AC$5)=1,1,IF(AND(AC527&gt;=1,AC527&lt;=9,ROW()&lt;=cur_line),AC527+1,0)),0)</f>
        <v>0</v>
      </c>
      <c r="AD528" s="313">
        <f>IFERROR(IF(INDEX([1]Pivot!$BF$1:$CG$65000,$B528,AD$5)=1,1,IF(AND(AD527&gt;=1,AD527&lt;=9,ROW()&lt;=cur_line),AD527+1,0)),0)</f>
        <v>0</v>
      </c>
      <c r="AE528" s="313">
        <f>IFERROR(IF(INDEX([1]Pivot!$BF$1:$CG$65000,$B528,AE$5)=1,1,IF(AND(AE527&gt;=1,AE527&lt;=9,ROW()&lt;=cur_line),AE527+1,0)),0)</f>
        <v>0</v>
      </c>
      <c r="AF528" s="313">
        <f>IFERROR(IF(INDEX([1]Pivot!$BF$1:$CG$65000,$B528,AF$5)=1,1,IF(AND(AF527&gt;=1,AF527&lt;=9,ROW()&lt;=cur_line),AF527+1,0)),0)</f>
        <v>0</v>
      </c>
      <c r="AG528" s="313">
        <f>IFERROR(IF(INDEX([1]Pivot!$BF$1:$CG$65000,$B528,AG$5)=1,1,IF(AND(AG527&gt;=1,AG527&lt;=9,ROW()&lt;=cur_line),AG527+1,0)),0)</f>
        <v>0</v>
      </c>
      <c r="AH528" s="313">
        <f>IFERROR(IF(INDEX([1]Pivot!$BF$1:$CG$65000,$B528,AH$5)=1,1,IF(AND(AH527&gt;=1,AH527&lt;=9,ROW()&lt;=cur_line),AH527+1,0)),0)</f>
        <v>0</v>
      </c>
      <c r="AI528" s="313">
        <f>IFERROR(IF(INDEX([1]Pivot!$BF$1:$CG$65000,$B528,AI$5)=1,1,IF(AND(AI527&gt;=1,AI527&lt;=9,ROW()&lt;=cur_line),AI527+1,0)),0)</f>
        <v>0</v>
      </c>
      <c r="AJ528" s="313">
        <f>IFERROR(IF(INDEX([1]Pivot!$BF$1:$CG$65000,$B528,AJ$5)=1,1,IF(AND(AJ527&gt;=1,AJ527&lt;=9,ROW()&lt;=cur_line),AJ527+1,0)),0)</f>
        <v>0</v>
      </c>
      <c r="AK528" s="313">
        <f>IFERROR(IF(INDEX([1]Pivot!$BF$1:$CG$65000,$B528,AK$5)=1,1,IF(AND(AK527&gt;=1,AK527&lt;=9,ROW()&lt;=cur_line),AK527+1,0)),0)</f>
        <v>0</v>
      </c>
      <c r="AL528" s="313">
        <f>IFERROR(IF(INDEX([1]Pivot!$BF$1:$CG$65000,$B528,AL$5)=1,1,IF(AND(AL527&gt;=1,AL527&lt;=9,ROW()&lt;=cur_line),AL527+1,0)),0)</f>
        <v>0</v>
      </c>
      <c r="AM528" s="313">
        <f>IFERROR(IF(INDEX([1]Pivot!$BF$1:$CG$65000,$B528,AM$5)=1,1,IF(AND(AM527&gt;=1,AM527&lt;=9,ROW()&lt;=cur_line),AM527+1,0)),0)</f>
        <v>0</v>
      </c>
      <c r="AN528" s="313">
        <f>IFERROR(IF(INDEX([1]Pivot!$BF$1:$CG$65000,$B528,AN$5)=1,1,IF(AND(AN527&gt;=1,AN527&lt;=9,ROW()&lt;=cur_line),AN527+1,0)),0)</f>
        <v>0</v>
      </c>
      <c r="AO528" s="313">
        <f>IFERROR(IF(INDEX([1]Pivot!$BF$1:$CG$65000,$B528,AO$5)=1,1,IF(AND(AO527&gt;=1,AO527&lt;=9,ROW()&lt;=cur_line),AO527+1,0)),0)</f>
        <v>0</v>
      </c>
      <c r="AP528" s="313">
        <f>IFERROR(IF(INDEX([1]Pivot!$BF$1:$CG$65000,$B528,AP$5)=1,1,IF(AND(AP527&gt;=1,AP527&lt;=9,ROW()&lt;=cur_line),AP527+1,0)),0)</f>
        <v>0</v>
      </c>
      <c r="AQ528" s="313">
        <f>IFERROR(IF(INDEX([1]Pivot!$BF$1:$CG$65000,$B528,AQ$5)=1,1,IF(AND(AQ527&gt;=1,AQ527&lt;=9,ROW()&lt;=cur_line),AQ527+1,0)),0)</f>
        <v>0</v>
      </c>
      <c r="AR528" s="313">
        <f>IFERROR(IF(INDEX([1]Pivot!$BF$1:$CG$65000,$B528,AR$5)=1,1,IF(AND(AR527&gt;=1,AR527&lt;=9,ROW()&lt;=cur_line),AR527+1,0)),0)</f>
        <v>0</v>
      </c>
      <c r="AS528" s="312"/>
      <c r="AT528" s="313">
        <f>IFERROR(IF(INDEX([1]Pivot!$BF$1:$CG$65000,$B528,AT$5)=1,1,IF(AND(AT527&gt;=1,AT527&lt;=9,ROW()&lt;=cur_line),AT527+1,0)),0)</f>
        <v>0</v>
      </c>
      <c r="AU528" s="313">
        <f>IFERROR(IF(INDEX([1]Pivot!$BF$1:$CG$65000,$B528,AU$5)=1,1,IF(AND(AU527&gt;=1,AU527&lt;=9,ROW()&lt;=cur_line),AU527+1,0)),0)</f>
        <v>0</v>
      </c>
      <c r="AV528" s="313">
        <f>IFERROR(IF(INDEX([1]Pivot!$BF$1:$CG$65000,$B528,AV$5)=1,1,IF(AND(AV527&gt;=1,AV527&lt;=9,ROW()&lt;=cur_line),AV527+1,0)),0)</f>
        <v>0</v>
      </c>
      <c r="AW528" s="313">
        <f>IFERROR(IF(INDEX([1]Pivot!$BF$1:$CG$65000,$B528,AW$5)=1,1,IF(AND(AW527&gt;=1,AW527&lt;=9,ROW()&lt;=cur_line),AW527+1,0)),0)</f>
        <v>0</v>
      </c>
      <c r="AX528" s="313">
        <f>IFERROR(IF(INDEX([1]Pivot!$BF$1:$CG$65000,$B528,AX$5)=1,1,IF(AND(AX527&gt;=1,AX527&lt;=9,ROW()&lt;=cur_line),AX527+1,0)),0)</f>
        <v>0</v>
      </c>
      <c r="AY528" s="313">
        <f>IFERROR(IF(INDEX([1]Pivot!$BF$1:$CG$65000,$B528,AY$5)=1,1,IF(AND(AY527&gt;=1,AY527&lt;=9,ROW()&lt;=cur_line),AY527+1,0)),0)</f>
        <v>0</v>
      </c>
      <c r="AZ528" s="313">
        <f>IFERROR(IF(INDEX([1]Pivot!$BF$1:$CG$65000,$B528,AZ$5)=1,1,IF(AND(AZ527&gt;=1,AZ527&lt;=9,ROW()&lt;=cur_line),AZ527+1,0)),0)</f>
        <v>0</v>
      </c>
      <c r="BA528" s="313">
        <f>IFERROR(IF(INDEX([1]Pivot!$BF$1:$CG$65000,$B528,BA$5)=1,1,IF(AND(BA527&gt;=1,BA527&lt;=9,ROW()&lt;=cur_line),BA527+1,0)),0)</f>
        <v>0</v>
      </c>
      <c r="BB528" s="313">
        <f>IFERROR(IF(INDEX([1]Pivot!$BF$1:$CG$65000,$B528,BB$5)=1,1,IF(AND(BB527&gt;=1,BB527&lt;=9,ROW()&lt;=cur_line),BB527+1,0)),0)</f>
        <v>0</v>
      </c>
      <c r="BC528" s="313">
        <f>IFERROR(IF(INDEX([1]Pivot!$BF$1:$CG$65000,$B528,BC$5)=1,1,IF(AND(BC527&gt;=1,BC527&lt;=9,ROW()&lt;=cur_line),BC527+1,0)),0)</f>
        <v>0</v>
      </c>
      <c r="BD528" s="313">
        <f>IFERROR(IF(INDEX([1]Pivot!$BF$1:$CG$65000,$B528,BD$5)=1,1,IF(AND(BD527&gt;=1,BD527&lt;=9,ROW()&lt;=cur_line),BD527+1,0)),0)</f>
        <v>0</v>
      </c>
    </row>
    <row r="529" spans="1:56" hidden="1" outlineLevel="1" x14ac:dyDescent="0.25">
      <c r="A529" s="288" t="str">
        <f>'[2]Raw Milk Prices'!A529</f>
        <v>2020m06</v>
      </c>
      <c r="B529" s="296" t="e">
        <f>MATCH(DATE(LEFT('[2]Raw Milk Prices'!$A529,4),RIGHT('[2]Raw Milk Prices'!$A529,2),1),[1]Pivot!$A$1:$A$65000,0)</f>
        <v>#N/A</v>
      </c>
      <c r="C529" s="194">
        <f>IFERROR(IF(INDEX([1]Pivot!$AD$1:$BE$65000,$B529,C$5)=1,1,IF(AND(C528&gt;=1,C528&lt;=9,ROW()&lt;=cur_line),C528+1,0)),0)</f>
        <v>0</v>
      </c>
      <c r="D529" s="194">
        <f>IFERROR(IF(INDEX([1]Pivot!$AD$1:$BE$65000,$B529,D$5)=1,1,IF(AND(D528&gt;=1,D528&lt;=9,ROW()&lt;=cur_line),D528+1,0)),0)</f>
        <v>0</v>
      </c>
      <c r="E529" s="194">
        <f>IFERROR(IF(INDEX([1]Pivot!$AD$1:$BE$65000,$B529,E$5)=1,1,IF(AND(E528&gt;=1,E528&lt;=9,ROW()&lt;=cur_line),E528+1,0)),0)</f>
        <v>0</v>
      </c>
      <c r="F529" s="194">
        <f>IFERROR(IF(INDEX([1]Pivot!$AD$1:$BE$65000,$B529,F$5)=1,1,IF(AND(F528&gt;=1,F528&lt;=9,ROW()&lt;=cur_line),F528+1,0)),0)</f>
        <v>0</v>
      </c>
      <c r="G529" s="194">
        <f>IFERROR(IF(INDEX([1]Pivot!$AD$1:$BE$65000,$B529,G$5)=1,1,IF(AND(G528&gt;=1,G528&lt;=9,ROW()&lt;=cur_line),G528+1,0)),0)</f>
        <v>0</v>
      </c>
      <c r="H529" s="194">
        <f>IFERROR(IF(INDEX([1]Pivot!$AD$1:$BE$65000,$B529,H$5)=1,1,IF(AND(H528&gt;=1,H528&lt;=9,ROW()&lt;=cur_line),H528+1,0)),0)</f>
        <v>0</v>
      </c>
      <c r="I529" s="194">
        <f>IFERROR(IF(INDEX([1]Pivot!$AD$1:$BE$65000,$B529,I$5)=1,1,IF(AND(I528&gt;=1,I528&lt;=9,ROW()&lt;=cur_line),I528+1,0)),0)</f>
        <v>0</v>
      </c>
      <c r="J529" s="194">
        <f>IFERROR(IF(INDEX([1]Pivot!$AD$1:$BE$65000,$B529,J$5)=1,1,IF(AND(J528&gt;=1,J528&lt;=9,ROW()&lt;=cur_line),J528+1,0)),0)</f>
        <v>0</v>
      </c>
      <c r="K529" s="194">
        <f>IFERROR(IF(INDEX([1]Pivot!$AD$1:$BE$65000,$B529,K$5)=1,1,IF(AND(K528&gt;=1,K528&lt;=9,ROW()&lt;=cur_line),K528+1,0)),0)</f>
        <v>0</v>
      </c>
      <c r="L529" s="194">
        <f>IFERROR(IF(INDEX([1]Pivot!$AD$1:$BE$65000,$B529,L$5)=1,1,IF(AND(L528&gt;=1,L528&lt;=9,ROW()&lt;=cur_line),L528+1,0)),0)</f>
        <v>0</v>
      </c>
      <c r="M529" s="194">
        <f>IFERROR(IF(INDEX([1]Pivot!$AD$1:$BE$65000,$B529,M$5)=1,1,IF(AND(M528&gt;=1,M528&lt;=9,ROW()&lt;=cur_line),M528+1,0)),0)</f>
        <v>0</v>
      </c>
      <c r="N529" s="194">
        <f>IFERROR(IF(INDEX([1]Pivot!$AD$1:$BE$65000,$B529,N$5)=1,1,IF(AND(N528&gt;=1,N528&lt;=9,ROW()&lt;=cur_line),N528+1,0)),0)</f>
        <v>0</v>
      </c>
      <c r="O529" s="194">
        <f>IFERROR(IF(INDEX([1]Pivot!$AD$1:$BE$65000,$B529,O$5)=1,1,IF(AND(O528&gt;=1,O528&lt;=9,ROW()&lt;=cur_line),O528+1,0)),0)</f>
        <v>0</v>
      </c>
      <c r="P529" s="194">
        <f>IFERROR(IF(INDEX([1]Pivot!$AD$1:$BE$65000,$B529,P$5)=1,1,IF(AND(P528&gt;=1,P528&lt;=9,ROW()&lt;=cur_line),P528+1,0)),0)</f>
        <v>0</v>
      </c>
      <c r="Q529" s="194">
        <f>IFERROR(IF(INDEX([1]Pivot!$AD$1:$BE$65000,$B529,Q$5)=1,1,IF(AND(Q528&gt;=1,Q528&lt;=9,ROW()&lt;=cur_line),Q528+1,0)),0)</f>
        <v>0</v>
      </c>
      <c r="R529" s="312"/>
      <c r="S529" s="194">
        <f>IFERROR(IF(INDEX([1]Pivot!$AD$1:$BE$65000,$B529,S$5)=1,1,IF(AND(S528&gt;=1,S528&lt;=9,ROW()&lt;=cur_line),S528+1,0)),0)</f>
        <v>0</v>
      </c>
      <c r="T529" s="194">
        <f>IFERROR(IF(INDEX([1]Pivot!$AD$1:$BE$65000,$B529,T$5)=1,1,IF(AND(T528&gt;=1,T528&lt;=9,ROW()&lt;=cur_line),T528+1,0)),0)</f>
        <v>0</v>
      </c>
      <c r="U529" s="194">
        <f>IFERROR(IF(INDEX([1]Pivot!$AD$1:$BE$65000,$B529,U$5)=1,1,IF(AND(U528&gt;=1,U528&lt;=9,ROW()&lt;=cur_line),U528+1,0)),0)</f>
        <v>0</v>
      </c>
      <c r="V529" s="194">
        <f>IFERROR(IF(INDEX([1]Pivot!$AD$1:$BE$65000,$B529,V$5)=1,1,IF(AND(V528&gt;=1,V528&lt;=9,ROW()&lt;=cur_line),V528+1,0)),0)</f>
        <v>0</v>
      </c>
      <c r="W529" s="194">
        <f>IFERROR(IF(INDEX([1]Pivot!$AD$1:$BE$65000,$B529,W$5)=1,1,IF(AND(W528&gt;=1,W528&lt;=9,ROW()&lt;=cur_line),W528+1,0)),0)</f>
        <v>0</v>
      </c>
      <c r="X529" s="194">
        <f>IFERROR(IF(INDEX([1]Pivot!$AD$1:$BE$65000,$B529,X$5)=1,1,IF(AND(X528&gt;=1,X528&lt;=9,ROW()&lt;=cur_line),X528+1,0)),0)</f>
        <v>0</v>
      </c>
      <c r="Y529" s="194">
        <f>IFERROR(IF(INDEX([1]Pivot!$AD$1:$BE$65000,$B529,Y$5)=1,1,IF(AND(Y528&gt;=1,Y528&lt;=9,ROW()&lt;=cur_line),Y528+1,0)),0)</f>
        <v>0</v>
      </c>
      <c r="Z529" s="194">
        <f>IFERROR(IF(INDEX([1]Pivot!$AD$1:$BE$65000,$B529,Z$5)=1,1,IF(AND(Z528&gt;=1,Z528&lt;=9,ROW()&lt;=cur_line),Z528+1,0)),0)</f>
        <v>0</v>
      </c>
      <c r="AA529" s="194">
        <f>IFERROR(IF(INDEX([1]Pivot!$AD$1:$BE$65000,$B529,AA$5)=1,1,IF(AND(AA528&gt;=1,AA528&lt;=9,ROW()&lt;=cur_line),AA528+1,0)),0)</f>
        <v>0</v>
      </c>
      <c r="AB529" s="194">
        <f>IFERROR(IF(INDEX([1]Pivot!$AD$1:$BE$65000,$B529,AB$5)=1,1,IF(AND(AB528&gt;=1,AB528&lt;=9,ROW()&lt;=cur_line),AB528+1,0)),0)</f>
        <v>0</v>
      </c>
      <c r="AC529" s="194">
        <f>IFERROR(IF(INDEX([1]Pivot!$AD$1:$BE$65000,$B529,AC$5)=1,1,IF(AND(AC528&gt;=1,AC528&lt;=9,ROW()&lt;=cur_line),AC528+1,0)),0)</f>
        <v>0</v>
      </c>
      <c r="AD529" s="313">
        <f>IFERROR(IF(INDEX([1]Pivot!$BF$1:$CG$65000,$B529,AD$5)=1,1,IF(AND(AD528&gt;=1,AD528&lt;=9,ROW()&lt;=cur_line),AD528+1,0)),0)</f>
        <v>0</v>
      </c>
      <c r="AE529" s="313">
        <f>IFERROR(IF(INDEX([1]Pivot!$BF$1:$CG$65000,$B529,AE$5)=1,1,IF(AND(AE528&gt;=1,AE528&lt;=9,ROW()&lt;=cur_line),AE528+1,0)),0)</f>
        <v>0</v>
      </c>
      <c r="AF529" s="313">
        <f>IFERROR(IF(INDEX([1]Pivot!$BF$1:$CG$65000,$B529,AF$5)=1,1,IF(AND(AF528&gt;=1,AF528&lt;=9,ROW()&lt;=cur_line),AF528+1,0)),0)</f>
        <v>0</v>
      </c>
      <c r="AG529" s="313">
        <f>IFERROR(IF(INDEX([1]Pivot!$BF$1:$CG$65000,$B529,AG$5)=1,1,IF(AND(AG528&gt;=1,AG528&lt;=9,ROW()&lt;=cur_line),AG528+1,0)),0)</f>
        <v>0</v>
      </c>
      <c r="AH529" s="313">
        <f>IFERROR(IF(INDEX([1]Pivot!$BF$1:$CG$65000,$B529,AH$5)=1,1,IF(AND(AH528&gt;=1,AH528&lt;=9,ROW()&lt;=cur_line),AH528+1,0)),0)</f>
        <v>0</v>
      </c>
      <c r="AI529" s="313">
        <f>IFERROR(IF(INDEX([1]Pivot!$BF$1:$CG$65000,$B529,AI$5)=1,1,IF(AND(AI528&gt;=1,AI528&lt;=9,ROW()&lt;=cur_line),AI528+1,0)),0)</f>
        <v>0</v>
      </c>
      <c r="AJ529" s="313">
        <f>IFERROR(IF(INDEX([1]Pivot!$BF$1:$CG$65000,$B529,AJ$5)=1,1,IF(AND(AJ528&gt;=1,AJ528&lt;=9,ROW()&lt;=cur_line),AJ528+1,0)),0)</f>
        <v>0</v>
      </c>
      <c r="AK529" s="313">
        <f>IFERROR(IF(INDEX([1]Pivot!$BF$1:$CG$65000,$B529,AK$5)=1,1,IF(AND(AK528&gt;=1,AK528&lt;=9,ROW()&lt;=cur_line),AK528+1,0)),0)</f>
        <v>0</v>
      </c>
      <c r="AL529" s="313">
        <f>IFERROR(IF(INDEX([1]Pivot!$BF$1:$CG$65000,$B529,AL$5)=1,1,IF(AND(AL528&gt;=1,AL528&lt;=9,ROW()&lt;=cur_line),AL528+1,0)),0)</f>
        <v>0</v>
      </c>
      <c r="AM529" s="313">
        <f>IFERROR(IF(INDEX([1]Pivot!$BF$1:$CG$65000,$B529,AM$5)=1,1,IF(AND(AM528&gt;=1,AM528&lt;=9,ROW()&lt;=cur_line),AM528+1,0)),0)</f>
        <v>0</v>
      </c>
      <c r="AN529" s="313">
        <f>IFERROR(IF(INDEX([1]Pivot!$BF$1:$CG$65000,$B529,AN$5)=1,1,IF(AND(AN528&gt;=1,AN528&lt;=9,ROW()&lt;=cur_line),AN528+1,0)),0)</f>
        <v>0</v>
      </c>
      <c r="AO529" s="313">
        <f>IFERROR(IF(INDEX([1]Pivot!$BF$1:$CG$65000,$B529,AO$5)=1,1,IF(AND(AO528&gt;=1,AO528&lt;=9,ROW()&lt;=cur_line),AO528+1,0)),0)</f>
        <v>0</v>
      </c>
      <c r="AP529" s="313">
        <f>IFERROR(IF(INDEX([1]Pivot!$BF$1:$CG$65000,$B529,AP$5)=1,1,IF(AND(AP528&gt;=1,AP528&lt;=9,ROW()&lt;=cur_line),AP528+1,0)),0)</f>
        <v>0</v>
      </c>
      <c r="AQ529" s="313">
        <f>IFERROR(IF(INDEX([1]Pivot!$BF$1:$CG$65000,$B529,AQ$5)=1,1,IF(AND(AQ528&gt;=1,AQ528&lt;=9,ROW()&lt;=cur_line),AQ528+1,0)),0)</f>
        <v>0</v>
      </c>
      <c r="AR529" s="313">
        <f>IFERROR(IF(INDEX([1]Pivot!$BF$1:$CG$65000,$B529,AR$5)=1,1,IF(AND(AR528&gt;=1,AR528&lt;=9,ROW()&lt;=cur_line),AR528+1,0)),0)</f>
        <v>0</v>
      </c>
      <c r="AS529" s="312"/>
      <c r="AT529" s="313">
        <f>IFERROR(IF(INDEX([1]Pivot!$BF$1:$CG$65000,$B529,AT$5)=1,1,IF(AND(AT528&gt;=1,AT528&lt;=9,ROW()&lt;=cur_line),AT528+1,0)),0)</f>
        <v>0</v>
      </c>
      <c r="AU529" s="313">
        <f>IFERROR(IF(INDEX([1]Pivot!$BF$1:$CG$65000,$B529,AU$5)=1,1,IF(AND(AU528&gt;=1,AU528&lt;=9,ROW()&lt;=cur_line),AU528+1,0)),0)</f>
        <v>0</v>
      </c>
      <c r="AV529" s="313">
        <f>IFERROR(IF(INDEX([1]Pivot!$BF$1:$CG$65000,$B529,AV$5)=1,1,IF(AND(AV528&gt;=1,AV528&lt;=9,ROW()&lt;=cur_line),AV528+1,0)),0)</f>
        <v>0</v>
      </c>
      <c r="AW529" s="313">
        <f>IFERROR(IF(INDEX([1]Pivot!$BF$1:$CG$65000,$B529,AW$5)=1,1,IF(AND(AW528&gt;=1,AW528&lt;=9,ROW()&lt;=cur_line),AW528+1,0)),0)</f>
        <v>0</v>
      </c>
      <c r="AX529" s="313">
        <f>IFERROR(IF(INDEX([1]Pivot!$BF$1:$CG$65000,$B529,AX$5)=1,1,IF(AND(AX528&gt;=1,AX528&lt;=9,ROW()&lt;=cur_line),AX528+1,0)),0)</f>
        <v>0</v>
      </c>
      <c r="AY529" s="313">
        <f>IFERROR(IF(INDEX([1]Pivot!$BF$1:$CG$65000,$B529,AY$5)=1,1,IF(AND(AY528&gt;=1,AY528&lt;=9,ROW()&lt;=cur_line),AY528+1,0)),0)</f>
        <v>0</v>
      </c>
      <c r="AZ529" s="313">
        <f>IFERROR(IF(INDEX([1]Pivot!$BF$1:$CG$65000,$B529,AZ$5)=1,1,IF(AND(AZ528&gt;=1,AZ528&lt;=9,ROW()&lt;=cur_line),AZ528+1,0)),0)</f>
        <v>0</v>
      </c>
      <c r="BA529" s="313">
        <f>IFERROR(IF(INDEX([1]Pivot!$BF$1:$CG$65000,$B529,BA$5)=1,1,IF(AND(BA528&gt;=1,BA528&lt;=9,ROW()&lt;=cur_line),BA528+1,0)),0)</f>
        <v>0</v>
      </c>
      <c r="BB529" s="313">
        <f>IFERROR(IF(INDEX([1]Pivot!$BF$1:$CG$65000,$B529,BB$5)=1,1,IF(AND(BB528&gt;=1,BB528&lt;=9,ROW()&lt;=cur_line),BB528+1,0)),0)</f>
        <v>0</v>
      </c>
      <c r="BC529" s="313">
        <f>IFERROR(IF(INDEX([1]Pivot!$BF$1:$CG$65000,$B529,BC$5)=1,1,IF(AND(BC528&gt;=1,BC528&lt;=9,ROW()&lt;=cur_line),BC528+1,0)),0)</f>
        <v>0</v>
      </c>
      <c r="BD529" s="313">
        <f>IFERROR(IF(INDEX([1]Pivot!$BF$1:$CG$65000,$B529,BD$5)=1,1,IF(AND(BD528&gt;=1,BD528&lt;=9,ROW()&lt;=cur_line),BD528+1,0)),0)</f>
        <v>0</v>
      </c>
    </row>
    <row r="530" spans="1:56" hidden="1" outlineLevel="1" x14ac:dyDescent="0.25">
      <c r="A530" s="288" t="str">
        <f>'[2]Raw Milk Prices'!A530</f>
        <v>2020m07</v>
      </c>
      <c r="B530" s="296" t="e">
        <f>MATCH(DATE(LEFT('[2]Raw Milk Prices'!$A530,4),RIGHT('[2]Raw Milk Prices'!$A530,2),1),[1]Pivot!$A$1:$A$65000,0)</f>
        <v>#N/A</v>
      </c>
      <c r="C530" s="194">
        <f>IFERROR(IF(INDEX([1]Pivot!$AD$1:$BE$65000,$B530,C$5)=1,1,IF(AND(C529&gt;=1,C529&lt;=9,ROW()&lt;=cur_line),C529+1,0)),0)</f>
        <v>0</v>
      </c>
      <c r="D530" s="194">
        <f>IFERROR(IF(INDEX([1]Pivot!$AD$1:$BE$65000,$B530,D$5)=1,1,IF(AND(D529&gt;=1,D529&lt;=9,ROW()&lt;=cur_line),D529+1,0)),0)</f>
        <v>0</v>
      </c>
      <c r="E530" s="194">
        <f>IFERROR(IF(INDEX([1]Pivot!$AD$1:$BE$65000,$B530,E$5)=1,1,IF(AND(E529&gt;=1,E529&lt;=9,ROW()&lt;=cur_line),E529+1,0)),0)</f>
        <v>0</v>
      </c>
      <c r="F530" s="194">
        <f>IFERROR(IF(INDEX([1]Pivot!$AD$1:$BE$65000,$B530,F$5)=1,1,IF(AND(F529&gt;=1,F529&lt;=9,ROW()&lt;=cur_line),F529+1,0)),0)</f>
        <v>0</v>
      </c>
      <c r="G530" s="194">
        <f>IFERROR(IF(INDEX([1]Pivot!$AD$1:$BE$65000,$B530,G$5)=1,1,IF(AND(G529&gt;=1,G529&lt;=9,ROW()&lt;=cur_line),G529+1,0)),0)</f>
        <v>0</v>
      </c>
      <c r="H530" s="194">
        <f>IFERROR(IF(INDEX([1]Pivot!$AD$1:$BE$65000,$B530,H$5)=1,1,IF(AND(H529&gt;=1,H529&lt;=9,ROW()&lt;=cur_line),H529+1,0)),0)</f>
        <v>0</v>
      </c>
      <c r="I530" s="194">
        <f>IFERROR(IF(INDEX([1]Pivot!$AD$1:$BE$65000,$B530,I$5)=1,1,IF(AND(I529&gt;=1,I529&lt;=9,ROW()&lt;=cur_line),I529+1,0)),0)</f>
        <v>0</v>
      </c>
      <c r="J530" s="194">
        <f>IFERROR(IF(INDEX([1]Pivot!$AD$1:$BE$65000,$B530,J$5)=1,1,IF(AND(J529&gt;=1,J529&lt;=9,ROW()&lt;=cur_line),J529+1,0)),0)</f>
        <v>0</v>
      </c>
      <c r="K530" s="194">
        <f>IFERROR(IF(INDEX([1]Pivot!$AD$1:$BE$65000,$B530,K$5)=1,1,IF(AND(K529&gt;=1,K529&lt;=9,ROW()&lt;=cur_line),K529+1,0)),0)</f>
        <v>0</v>
      </c>
      <c r="L530" s="194">
        <f>IFERROR(IF(INDEX([1]Pivot!$AD$1:$BE$65000,$B530,L$5)=1,1,IF(AND(L529&gt;=1,L529&lt;=9,ROW()&lt;=cur_line),L529+1,0)),0)</f>
        <v>0</v>
      </c>
      <c r="M530" s="194">
        <f>IFERROR(IF(INDEX([1]Pivot!$AD$1:$BE$65000,$B530,M$5)=1,1,IF(AND(M529&gt;=1,M529&lt;=9,ROW()&lt;=cur_line),M529+1,0)),0)</f>
        <v>0</v>
      </c>
      <c r="N530" s="194">
        <f>IFERROR(IF(INDEX([1]Pivot!$AD$1:$BE$65000,$B530,N$5)=1,1,IF(AND(N529&gt;=1,N529&lt;=9,ROW()&lt;=cur_line),N529+1,0)),0)</f>
        <v>0</v>
      </c>
      <c r="O530" s="194">
        <f>IFERROR(IF(INDEX([1]Pivot!$AD$1:$BE$65000,$B530,O$5)=1,1,IF(AND(O529&gt;=1,O529&lt;=9,ROW()&lt;=cur_line),O529+1,0)),0)</f>
        <v>0</v>
      </c>
      <c r="P530" s="194">
        <f>IFERROR(IF(INDEX([1]Pivot!$AD$1:$BE$65000,$B530,P$5)=1,1,IF(AND(P529&gt;=1,P529&lt;=9,ROW()&lt;=cur_line),P529+1,0)),0)</f>
        <v>0</v>
      </c>
      <c r="Q530" s="194">
        <f>IFERROR(IF(INDEX([1]Pivot!$AD$1:$BE$65000,$B530,Q$5)=1,1,IF(AND(Q529&gt;=1,Q529&lt;=9,ROW()&lt;=cur_line),Q529+1,0)),0)</f>
        <v>0</v>
      </c>
      <c r="R530" s="312"/>
      <c r="S530" s="194">
        <f>IFERROR(IF(INDEX([1]Pivot!$AD$1:$BE$65000,$B530,S$5)=1,1,IF(AND(S529&gt;=1,S529&lt;=9,ROW()&lt;=cur_line),S529+1,0)),0)</f>
        <v>0</v>
      </c>
      <c r="T530" s="194">
        <f>IFERROR(IF(INDEX([1]Pivot!$AD$1:$BE$65000,$B530,T$5)=1,1,IF(AND(T529&gt;=1,T529&lt;=9,ROW()&lt;=cur_line),T529+1,0)),0)</f>
        <v>0</v>
      </c>
      <c r="U530" s="194">
        <f>IFERROR(IF(INDEX([1]Pivot!$AD$1:$BE$65000,$B530,U$5)=1,1,IF(AND(U529&gt;=1,U529&lt;=9,ROW()&lt;=cur_line),U529+1,0)),0)</f>
        <v>0</v>
      </c>
      <c r="V530" s="194">
        <f>IFERROR(IF(INDEX([1]Pivot!$AD$1:$BE$65000,$B530,V$5)=1,1,IF(AND(V529&gt;=1,V529&lt;=9,ROW()&lt;=cur_line),V529+1,0)),0)</f>
        <v>0</v>
      </c>
      <c r="W530" s="194">
        <f>IFERROR(IF(INDEX([1]Pivot!$AD$1:$BE$65000,$B530,W$5)=1,1,IF(AND(W529&gt;=1,W529&lt;=9,ROW()&lt;=cur_line),W529+1,0)),0)</f>
        <v>0</v>
      </c>
      <c r="X530" s="194">
        <f>IFERROR(IF(INDEX([1]Pivot!$AD$1:$BE$65000,$B530,X$5)=1,1,IF(AND(X529&gt;=1,X529&lt;=9,ROW()&lt;=cur_line),X529+1,0)),0)</f>
        <v>0</v>
      </c>
      <c r="Y530" s="194">
        <f>IFERROR(IF(INDEX([1]Pivot!$AD$1:$BE$65000,$B530,Y$5)=1,1,IF(AND(Y529&gt;=1,Y529&lt;=9,ROW()&lt;=cur_line),Y529+1,0)),0)</f>
        <v>0</v>
      </c>
      <c r="Z530" s="194">
        <f>IFERROR(IF(INDEX([1]Pivot!$AD$1:$BE$65000,$B530,Z$5)=1,1,IF(AND(Z529&gt;=1,Z529&lt;=9,ROW()&lt;=cur_line),Z529+1,0)),0)</f>
        <v>0</v>
      </c>
      <c r="AA530" s="194">
        <f>IFERROR(IF(INDEX([1]Pivot!$AD$1:$BE$65000,$B530,AA$5)=1,1,IF(AND(AA529&gt;=1,AA529&lt;=9,ROW()&lt;=cur_line),AA529+1,0)),0)</f>
        <v>0</v>
      </c>
      <c r="AB530" s="194">
        <f>IFERROR(IF(INDEX([1]Pivot!$AD$1:$BE$65000,$B530,AB$5)=1,1,IF(AND(AB529&gt;=1,AB529&lt;=9,ROW()&lt;=cur_line),AB529+1,0)),0)</f>
        <v>0</v>
      </c>
      <c r="AC530" s="194">
        <f>IFERROR(IF(INDEX([1]Pivot!$AD$1:$BE$65000,$B530,AC$5)=1,1,IF(AND(AC529&gt;=1,AC529&lt;=9,ROW()&lt;=cur_line),AC529+1,0)),0)</f>
        <v>0</v>
      </c>
      <c r="AD530" s="313">
        <f>IFERROR(IF(INDEX([1]Pivot!$BF$1:$CG$65000,$B530,AD$5)=1,1,IF(AND(AD529&gt;=1,AD529&lt;=9,ROW()&lt;=cur_line),AD529+1,0)),0)</f>
        <v>0</v>
      </c>
      <c r="AE530" s="313">
        <f>IFERROR(IF(INDEX([1]Pivot!$BF$1:$CG$65000,$B530,AE$5)=1,1,IF(AND(AE529&gt;=1,AE529&lt;=9,ROW()&lt;=cur_line),AE529+1,0)),0)</f>
        <v>0</v>
      </c>
      <c r="AF530" s="313">
        <f>IFERROR(IF(INDEX([1]Pivot!$BF$1:$CG$65000,$B530,AF$5)=1,1,IF(AND(AF529&gt;=1,AF529&lt;=9,ROW()&lt;=cur_line),AF529+1,0)),0)</f>
        <v>0</v>
      </c>
      <c r="AG530" s="313">
        <f>IFERROR(IF(INDEX([1]Pivot!$BF$1:$CG$65000,$B530,AG$5)=1,1,IF(AND(AG529&gt;=1,AG529&lt;=9,ROW()&lt;=cur_line),AG529+1,0)),0)</f>
        <v>0</v>
      </c>
      <c r="AH530" s="313">
        <f>IFERROR(IF(INDEX([1]Pivot!$BF$1:$CG$65000,$B530,AH$5)=1,1,IF(AND(AH529&gt;=1,AH529&lt;=9,ROW()&lt;=cur_line),AH529+1,0)),0)</f>
        <v>0</v>
      </c>
      <c r="AI530" s="313">
        <f>IFERROR(IF(INDEX([1]Pivot!$BF$1:$CG$65000,$B530,AI$5)=1,1,IF(AND(AI529&gt;=1,AI529&lt;=9,ROW()&lt;=cur_line),AI529+1,0)),0)</f>
        <v>0</v>
      </c>
      <c r="AJ530" s="313">
        <f>IFERROR(IF(INDEX([1]Pivot!$BF$1:$CG$65000,$B530,AJ$5)=1,1,IF(AND(AJ529&gt;=1,AJ529&lt;=9,ROW()&lt;=cur_line),AJ529+1,0)),0)</f>
        <v>0</v>
      </c>
      <c r="AK530" s="313">
        <f>IFERROR(IF(INDEX([1]Pivot!$BF$1:$CG$65000,$B530,AK$5)=1,1,IF(AND(AK529&gt;=1,AK529&lt;=9,ROW()&lt;=cur_line),AK529+1,0)),0)</f>
        <v>0</v>
      </c>
      <c r="AL530" s="313">
        <f>IFERROR(IF(INDEX([1]Pivot!$BF$1:$CG$65000,$B530,AL$5)=1,1,IF(AND(AL529&gt;=1,AL529&lt;=9,ROW()&lt;=cur_line),AL529+1,0)),0)</f>
        <v>0</v>
      </c>
      <c r="AM530" s="313">
        <f>IFERROR(IF(INDEX([1]Pivot!$BF$1:$CG$65000,$B530,AM$5)=1,1,IF(AND(AM529&gt;=1,AM529&lt;=9,ROW()&lt;=cur_line),AM529+1,0)),0)</f>
        <v>0</v>
      </c>
      <c r="AN530" s="313">
        <f>IFERROR(IF(INDEX([1]Pivot!$BF$1:$CG$65000,$B530,AN$5)=1,1,IF(AND(AN529&gt;=1,AN529&lt;=9,ROW()&lt;=cur_line),AN529+1,0)),0)</f>
        <v>0</v>
      </c>
      <c r="AO530" s="313">
        <f>IFERROR(IF(INDEX([1]Pivot!$BF$1:$CG$65000,$B530,AO$5)=1,1,IF(AND(AO529&gt;=1,AO529&lt;=9,ROW()&lt;=cur_line),AO529+1,0)),0)</f>
        <v>0</v>
      </c>
      <c r="AP530" s="313">
        <f>IFERROR(IF(INDEX([1]Pivot!$BF$1:$CG$65000,$B530,AP$5)=1,1,IF(AND(AP529&gt;=1,AP529&lt;=9,ROW()&lt;=cur_line),AP529+1,0)),0)</f>
        <v>0</v>
      </c>
      <c r="AQ530" s="313">
        <f>IFERROR(IF(INDEX([1]Pivot!$BF$1:$CG$65000,$B530,AQ$5)=1,1,IF(AND(AQ529&gt;=1,AQ529&lt;=9,ROW()&lt;=cur_line),AQ529+1,0)),0)</f>
        <v>0</v>
      </c>
      <c r="AR530" s="313">
        <f>IFERROR(IF(INDEX([1]Pivot!$BF$1:$CG$65000,$B530,AR$5)=1,1,IF(AND(AR529&gt;=1,AR529&lt;=9,ROW()&lt;=cur_line),AR529+1,0)),0)</f>
        <v>0</v>
      </c>
      <c r="AS530" s="312"/>
      <c r="AT530" s="313">
        <f>IFERROR(IF(INDEX([1]Pivot!$BF$1:$CG$65000,$B530,AT$5)=1,1,IF(AND(AT529&gt;=1,AT529&lt;=9,ROW()&lt;=cur_line),AT529+1,0)),0)</f>
        <v>0</v>
      </c>
      <c r="AU530" s="313">
        <f>IFERROR(IF(INDEX([1]Pivot!$BF$1:$CG$65000,$B530,AU$5)=1,1,IF(AND(AU529&gt;=1,AU529&lt;=9,ROW()&lt;=cur_line),AU529+1,0)),0)</f>
        <v>0</v>
      </c>
      <c r="AV530" s="313">
        <f>IFERROR(IF(INDEX([1]Pivot!$BF$1:$CG$65000,$B530,AV$5)=1,1,IF(AND(AV529&gt;=1,AV529&lt;=9,ROW()&lt;=cur_line),AV529+1,0)),0)</f>
        <v>0</v>
      </c>
      <c r="AW530" s="313">
        <f>IFERROR(IF(INDEX([1]Pivot!$BF$1:$CG$65000,$B530,AW$5)=1,1,IF(AND(AW529&gt;=1,AW529&lt;=9,ROW()&lt;=cur_line),AW529+1,0)),0)</f>
        <v>0</v>
      </c>
      <c r="AX530" s="313">
        <f>IFERROR(IF(INDEX([1]Pivot!$BF$1:$CG$65000,$B530,AX$5)=1,1,IF(AND(AX529&gt;=1,AX529&lt;=9,ROW()&lt;=cur_line),AX529+1,0)),0)</f>
        <v>0</v>
      </c>
      <c r="AY530" s="313">
        <f>IFERROR(IF(INDEX([1]Pivot!$BF$1:$CG$65000,$B530,AY$5)=1,1,IF(AND(AY529&gt;=1,AY529&lt;=9,ROW()&lt;=cur_line),AY529+1,0)),0)</f>
        <v>0</v>
      </c>
      <c r="AZ530" s="313">
        <f>IFERROR(IF(INDEX([1]Pivot!$BF$1:$CG$65000,$B530,AZ$5)=1,1,IF(AND(AZ529&gt;=1,AZ529&lt;=9,ROW()&lt;=cur_line),AZ529+1,0)),0)</f>
        <v>0</v>
      </c>
      <c r="BA530" s="313">
        <f>IFERROR(IF(INDEX([1]Pivot!$BF$1:$CG$65000,$B530,BA$5)=1,1,IF(AND(BA529&gt;=1,BA529&lt;=9,ROW()&lt;=cur_line),BA529+1,0)),0)</f>
        <v>0</v>
      </c>
      <c r="BB530" s="313">
        <f>IFERROR(IF(INDEX([1]Pivot!$BF$1:$CG$65000,$B530,BB$5)=1,1,IF(AND(BB529&gt;=1,BB529&lt;=9,ROW()&lt;=cur_line),BB529+1,0)),0)</f>
        <v>0</v>
      </c>
      <c r="BC530" s="313">
        <f>IFERROR(IF(INDEX([1]Pivot!$BF$1:$CG$65000,$B530,BC$5)=1,1,IF(AND(BC529&gt;=1,BC529&lt;=9,ROW()&lt;=cur_line),BC529+1,0)),0)</f>
        <v>0</v>
      </c>
      <c r="BD530" s="313">
        <f>IFERROR(IF(INDEX([1]Pivot!$BF$1:$CG$65000,$B530,BD$5)=1,1,IF(AND(BD529&gt;=1,BD529&lt;=9,ROW()&lt;=cur_line),BD529+1,0)),0)</f>
        <v>0</v>
      </c>
    </row>
    <row r="531" spans="1:56" hidden="1" outlineLevel="1" x14ac:dyDescent="0.25">
      <c r="A531" s="288" t="str">
        <f>'[2]Raw Milk Prices'!A531</f>
        <v>2020m08</v>
      </c>
      <c r="B531" s="296" t="e">
        <f>MATCH(DATE(LEFT('[2]Raw Milk Prices'!$A531,4),RIGHT('[2]Raw Milk Prices'!$A531,2),1),[1]Pivot!$A$1:$A$65000,0)</f>
        <v>#N/A</v>
      </c>
      <c r="C531" s="194">
        <f>IFERROR(IF(INDEX([1]Pivot!$AD$1:$BE$65000,$B531,C$5)=1,1,IF(AND(C530&gt;=1,C530&lt;=9,ROW()&lt;=cur_line),C530+1,0)),0)</f>
        <v>0</v>
      </c>
      <c r="D531" s="194">
        <f>IFERROR(IF(INDEX([1]Pivot!$AD$1:$BE$65000,$B531,D$5)=1,1,IF(AND(D530&gt;=1,D530&lt;=9,ROW()&lt;=cur_line),D530+1,0)),0)</f>
        <v>0</v>
      </c>
      <c r="E531" s="194">
        <f>IFERROR(IF(INDEX([1]Pivot!$AD$1:$BE$65000,$B531,E$5)=1,1,IF(AND(E530&gt;=1,E530&lt;=9,ROW()&lt;=cur_line),E530+1,0)),0)</f>
        <v>0</v>
      </c>
      <c r="F531" s="194">
        <f>IFERROR(IF(INDEX([1]Pivot!$AD$1:$BE$65000,$B531,F$5)=1,1,IF(AND(F530&gt;=1,F530&lt;=9,ROW()&lt;=cur_line),F530+1,0)),0)</f>
        <v>0</v>
      </c>
      <c r="G531" s="194">
        <f>IFERROR(IF(INDEX([1]Pivot!$AD$1:$BE$65000,$B531,G$5)=1,1,IF(AND(G530&gt;=1,G530&lt;=9,ROW()&lt;=cur_line),G530+1,0)),0)</f>
        <v>0</v>
      </c>
      <c r="H531" s="194">
        <f>IFERROR(IF(INDEX([1]Pivot!$AD$1:$BE$65000,$B531,H$5)=1,1,IF(AND(H530&gt;=1,H530&lt;=9,ROW()&lt;=cur_line),H530+1,0)),0)</f>
        <v>0</v>
      </c>
      <c r="I531" s="194">
        <f>IFERROR(IF(INDEX([1]Pivot!$AD$1:$BE$65000,$B531,I$5)=1,1,IF(AND(I530&gt;=1,I530&lt;=9,ROW()&lt;=cur_line),I530+1,0)),0)</f>
        <v>0</v>
      </c>
      <c r="J531" s="194">
        <f>IFERROR(IF(INDEX([1]Pivot!$AD$1:$BE$65000,$B531,J$5)=1,1,IF(AND(J530&gt;=1,J530&lt;=9,ROW()&lt;=cur_line),J530+1,0)),0)</f>
        <v>0</v>
      </c>
      <c r="K531" s="194">
        <f>IFERROR(IF(INDEX([1]Pivot!$AD$1:$BE$65000,$B531,K$5)=1,1,IF(AND(K530&gt;=1,K530&lt;=9,ROW()&lt;=cur_line),K530+1,0)),0)</f>
        <v>0</v>
      </c>
      <c r="L531" s="194">
        <f>IFERROR(IF(INDEX([1]Pivot!$AD$1:$BE$65000,$B531,L$5)=1,1,IF(AND(L530&gt;=1,L530&lt;=9,ROW()&lt;=cur_line),L530+1,0)),0)</f>
        <v>0</v>
      </c>
      <c r="M531" s="194">
        <f>IFERROR(IF(INDEX([1]Pivot!$AD$1:$BE$65000,$B531,M$5)=1,1,IF(AND(M530&gt;=1,M530&lt;=9,ROW()&lt;=cur_line),M530+1,0)),0)</f>
        <v>0</v>
      </c>
      <c r="N531" s="194">
        <f>IFERROR(IF(INDEX([1]Pivot!$AD$1:$BE$65000,$B531,N$5)=1,1,IF(AND(N530&gt;=1,N530&lt;=9,ROW()&lt;=cur_line),N530+1,0)),0)</f>
        <v>0</v>
      </c>
      <c r="O531" s="194">
        <f>IFERROR(IF(INDEX([1]Pivot!$AD$1:$BE$65000,$B531,O$5)=1,1,IF(AND(O530&gt;=1,O530&lt;=9,ROW()&lt;=cur_line),O530+1,0)),0)</f>
        <v>0</v>
      </c>
      <c r="P531" s="194">
        <f>IFERROR(IF(INDEX([1]Pivot!$AD$1:$BE$65000,$B531,P$5)=1,1,IF(AND(P530&gt;=1,P530&lt;=9,ROW()&lt;=cur_line),P530+1,0)),0)</f>
        <v>0</v>
      </c>
      <c r="Q531" s="194">
        <f>IFERROR(IF(INDEX([1]Pivot!$AD$1:$BE$65000,$B531,Q$5)=1,1,IF(AND(Q530&gt;=1,Q530&lt;=9,ROW()&lt;=cur_line),Q530+1,0)),0)</f>
        <v>0</v>
      </c>
      <c r="R531" s="312"/>
      <c r="S531" s="194">
        <f>IFERROR(IF(INDEX([1]Pivot!$AD$1:$BE$65000,$B531,S$5)=1,1,IF(AND(S530&gt;=1,S530&lt;=9,ROW()&lt;=cur_line),S530+1,0)),0)</f>
        <v>0</v>
      </c>
      <c r="T531" s="194">
        <f>IFERROR(IF(INDEX([1]Pivot!$AD$1:$BE$65000,$B531,T$5)=1,1,IF(AND(T530&gt;=1,T530&lt;=9,ROW()&lt;=cur_line),T530+1,0)),0)</f>
        <v>0</v>
      </c>
      <c r="U531" s="194">
        <f>IFERROR(IF(INDEX([1]Pivot!$AD$1:$BE$65000,$B531,U$5)=1,1,IF(AND(U530&gt;=1,U530&lt;=9,ROW()&lt;=cur_line),U530+1,0)),0)</f>
        <v>0</v>
      </c>
      <c r="V531" s="194">
        <f>IFERROR(IF(INDEX([1]Pivot!$AD$1:$BE$65000,$B531,V$5)=1,1,IF(AND(V530&gt;=1,V530&lt;=9,ROW()&lt;=cur_line),V530+1,0)),0)</f>
        <v>0</v>
      </c>
      <c r="W531" s="194">
        <f>IFERROR(IF(INDEX([1]Pivot!$AD$1:$BE$65000,$B531,W$5)=1,1,IF(AND(W530&gt;=1,W530&lt;=9,ROW()&lt;=cur_line),W530+1,0)),0)</f>
        <v>0</v>
      </c>
      <c r="X531" s="194">
        <f>IFERROR(IF(INDEX([1]Pivot!$AD$1:$BE$65000,$B531,X$5)=1,1,IF(AND(X530&gt;=1,X530&lt;=9,ROW()&lt;=cur_line),X530+1,0)),0)</f>
        <v>0</v>
      </c>
      <c r="Y531" s="194">
        <f>IFERROR(IF(INDEX([1]Pivot!$AD$1:$BE$65000,$B531,Y$5)=1,1,IF(AND(Y530&gt;=1,Y530&lt;=9,ROW()&lt;=cur_line),Y530+1,0)),0)</f>
        <v>0</v>
      </c>
      <c r="Z531" s="194">
        <f>IFERROR(IF(INDEX([1]Pivot!$AD$1:$BE$65000,$B531,Z$5)=1,1,IF(AND(Z530&gt;=1,Z530&lt;=9,ROW()&lt;=cur_line),Z530+1,0)),0)</f>
        <v>0</v>
      </c>
      <c r="AA531" s="194">
        <f>IFERROR(IF(INDEX([1]Pivot!$AD$1:$BE$65000,$B531,AA$5)=1,1,IF(AND(AA530&gt;=1,AA530&lt;=9,ROW()&lt;=cur_line),AA530+1,0)),0)</f>
        <v>0</v>
      </c>
      <c r="AB531" s="194">
        <f>IFERROR(IF(INDEX([1]Pivot!$AD$1:$BE$65000,$B531,AB$5)=1,1,IF(AND(AB530&gt;=1,AB530&lt;=9,ROW()&lt;=cur_line),AB530+1,0)),0)</f>
        <v>0</v>
      </c>
      <c r="AC531" s="194">
        <f>IFERROR(IF(INDEX([1]Pivot!$AD$1:$BE$65000,$B531,AC$5)=1,1,IF(AND(AC530&gt;=1,AC530&lt;=9,ROW()&lt;=cur_line),AC530+1,0)),0)</f>
        <v>0</v>
      </c>
      <c r="AD531" s="313">
        <f>IFERROR(IF(INDEX([1]Pivot!$BF$1:$CG$65000,$B531,AD$5)=1,1,IF(AND(AD530&gt;=1,AD530&lt;=9,ROW()&lt;=cur_line),AD530+1,0)),0)</f>
        <v>0</v>
      </c>
      <c r="AE531" s="313">
        <f>IFERROR(IF(INDEX([1]Pivot!$BF$1:$CG$65000,$B531,AE$5)=1,1,IF(AND(AE530&gt;=1,AE530&lt;=9,ROW()&lt;=cur_line),AE530+1,0)),0)</f>
        <v>0</v>
      </c>
      <c r="AF531" s="313">
        <f>IFERROR(IF(INDEX([1]Pivot!$BF$1:$CG$65000,$B531,AF$5)=1,1,IF(AND(AF530&gt;=1,AF530&lt;=9,ROW()&lt;=cur_line),AF530+1,0)),0)</f>
        <v>0</v>
      </c>
      <c r="AG531" s="313">
        <f>IFERROR(IF(INDEX([1]Pivot!$BF$1:$CG$65000,$B531,AG$5)=1,1,IF(AND(AG530&gt;=1,AG530&lt;=9,ROW()&lt;=cur_line),AG530+1,0)),0)</f>
        <v>0</v>
      </c>
      <c r="AH531" s="313">
        <f>IFERROR(IF(INDEX([1]Pivot!$BF$1:$CG$65000,$B531,AH$5)=1,1,IF(AND(AH530&gt;=1,AH530&lt;=9,ROW()&lt;=cur_line),AH530+1,0)),0)</f>
        <v>0</v>
      </c>
      <c r="AI531" s="313">
        <f>IFERROR(IF(INDEX([1]Pivot!$BF$1:$CG$65000,$B531,AI$5)=1,1,IF(AND(AI530&gt;=1,AI530&lt;=9,ROW()&lt;=cur_line),AI530+1,0)),0)</f>
        <v>0</v>
      </c>
      <c r="AJ531" s="313">
        <f>IFERROR(IF(INDEX([1]Pivot!$BF$1:$CG$65000,$B531,AJ$5)=1,1,IF(AND(AJ530&gt;=1,AJ530&lt;=9,ROW()&lt;=cur_line),AJ530+1,0)),0)</f>
        <v>0</v>
      </c>
      <c r="AK531" s="313">
        <f>IFERROR(IF(INDEX([1]Pivot!$BF$1:$CG$65000,$B531,AK$5)=1,1,IF(AND(AK530&gt;=1,AK530&lt;=9,ROW()&lt;=cur_line),AK530+1,0)),0)</f>
        <v>0</v>
      </c>
      <c r="AL531" s="313">
        <f>IFERROR(IF(INDEX([1]Pivot!$BF$1:$CG$65000,$B531,AL$5)=1,1,IF(AND(AL530&gt;=1,AL530&lt;=9,ROW()&lt;=cur_line),AL530+1,0)),0)</f>
        <v>0</v>
      </c>
      <c r="AM531" s="313">
        <f>IFERROR(IF(INDEX([1]Pivot!$BF$1:$CG$65000,$B531,AM$5)=1,1,IF(AND(AM530&gt;=1,AM530&lt;=9,ROW()&lt;=cur_line),AM530+1,0)),0)</f>
        <v>0</v>
      </c>
      <c r="AN531" s="313">
        <f>IFERROR(IF(INDEX([1]Pivot!$BF$1:$CG$65000,$B531,AN$5)=1,1,IF(AND(AN530&gt;=1,AN530&lt;=9,ROW()&lt;=cur_line),AN530+1,0)),0)</f>
        <v>0</v>
      </c>
      <c r="AO531" s="313">
        <f>IFERROR(IF(INDEX([1]Pivot!$BF$1:$CG$65000,$B531,AO$5)=1,1,IF(AND(AO530&gt;=1,AO530&lt;=9,ROW()&lt;=cur_line),AO530+1,0)),0)</f>
        <v>0</v>
      </c>
      <c r="AP531" s="313">
        <f>IFERROR(IF(INDEX([1]Pivot!$BF$1:$CG$65000,$B531,AP$5)=1,1,IF(AND(AP530&gt;=1,AP530&lt;=9,ROW()&lt;=cur_line),AP530+1,0)),0)</f>
        <v>0</v>
      </c>
      <c r="AQ531" s="313">
        <f>IFERROR(IF(INDEX([1]Pivot!$BF$1:$CG$65000,$B531,AQ$5)=1,1,IF(AND(AQ530&gt;=1,AQ530&lt;=9,ROW()&lt;=cur_line),AQ530+1,0)),0)</f>
        <v>0</v>
      </c>
      <c r="AR531" s="313">
        <f>IFERROR(IF(INDEX([1]Pivot!$BF$1:$CG$65000,$B531,AR$5)=1,1,IF(AND(AR530&gt;=1,AR530&lt;=9,ROW()&lt;=cur_line),AR530+1,0)),0)</f>
        <v>0</v>
      </c>
      <c r="AS531" s="312"/>
      <c r="AT531" s="313">
        <f>IFERROR(IF(INDEX([1]Pivot!$BF$1:$CG$65000,$B531,AT$5)=1,1,IF(AND(AT530&gt;=1,AT530&lt;=9,ROW()&lt;=cur_line),AT530+1,0)),0)</f>
        <v>0</v>
      </c>
      <c r="AU531" s="313">
        <f>IFERROR(IF(INDEX([1]Pivot!$BF$1:$CG$65000,$B531,AU$5)=1,1,IF(AND(AU530&gt;=1,AU530&lt;=9,ROW()&lt;=cur_line),AU530+1,0)),0)</f>
        <v>0</v>
      </c>
      <c r="AV531" s="313">
        <f>IFERROR(IF(INDEX([1]Pivot!$BF$1:$CG$65000,$B531,AV$5)=1,1,IF(AND(AV530&gt;=1,AV530&lt;=9,ROW()&lt;=cur_line),AV530+1,0)),0)</f>
        <v>0</v>
      </c>
      <c r="AW531" s="313">
        <f>IFERROR(IF(INDEX([1]Pivot!$BF$1:$CG$65000,$B531,AW$5)=1,1,IF(AND(AW530&gt;=1,AW530&lt;=9,ROW()&lt;=cur_line),AW530+1,0)),0)</f>
        <v>0</v>
      </c>
      <c r="AX531" s="313">
        <f>IFERROR(IF(INDEX([1]Pivot!$BF$1:$CG$65000,$B531,AX$5)=1,1,IF(AND(AX530&gt;=1,AX530&lt;=9,ROW()&lt;=cur_line),AX530+1,0)),0)</f>
        <v>0</v>
      </c>
      <c r="AY531" s="313">
        <f>IFERROR(IF(INDEX([1]Pivot!$BF$1:$CG$65000,$B531,AY$5)=1,1,IF(AND(AY530&gt;=1,AY530&lt;=9,ROW()&lt;=cur_line),AY530+1,0)),0)</f>
        <v>0</v>
      </c>
      <c r="AZ531" s="313">
        <f>IFERROR(IF(INDEX([1]Pivot!$BF$1:$CG$65000,$B531,AZ$5)=1,1,IF(AND(AZ530&gt;=1,AZ530&lt;=9,ROW()&lt;=cur_line),AZ530+1,0)),0)</f>
        <v>0</v>
      </c>
      <c r="BA531" s="313">
        <f>IFERROR(IF(INDEX([1]Pivot!$BF$1:$CG$65000,$B531,BA$5)=1,1,IF(AND(BA530&gt;=1,BA530&lt;=9,ROW()&lt;=cur_line),BA530+1,0)),0)</f>
        <v>0</v>
      </c>
      <c r="BB531" s="313">
        <f>IFERROR(IF(INDEX([1]Pivot!$BF$1:$CG$65000,$B531,BB$5)=1,1,IF(AND(BB530&gt;=1,BB530&lt;=9,ROW()&lt;=cur_line),BB530+1,0)),0)</f>
        <v>0</v>
      </c>
      <c r="BC531" s="313">
        <f>IFERROR(IF(INDEX([1]Pivot!$BF$1:$CG$65000,$B531,BC$5)=1,1,IF(AND(BC530&gt;=1,BC530&lt;=9,ROW()&lt;=cur_line),BC530+1,0)),0)</f>
        <v>0</v>
      </c>
      <c r="BD531" s="313">
        <f>IFERROR(IF(INDEX([1]Pivot!$BF$1:$CG$65000,$B531,BD$5)=1,1,IF(AND(BD530&gt;=1,BD530&lt;=9,ROW()&lt;=cur_line),BD530+1,0)),0)</f>
        <v>0</v>
      </c>
    </row>
    <row r="532" spans="1:56" hidden="1" outlineLevel="1" x14ac:dyDescent="0.25">
      <c r="A532" s="288" t="str">
        <f>'[2]Raw Milk Prices'!A532</f>
        <v>2020m09</v>
      </c>
      <c r="B532" s="296" t="e">
        <f>MATCH(DATE(LEFT('[2]Raw Milk Prices'!$A532,4),RIGHT('[2]Raw Milk Prices'!$A532,2),1),[1]Pivot!$A$1:$A$65000,0)</f>
        <v>#N/A</v>
      </c>
      <c r="C532" s="194">
        <f>IFERROR(IF(INDEX([1]Pivot!$AD$1:$BE$65000,$B532,C$5)=1,1,IF(AND(C531&gt;=1,C531&lt;=9,ROW()&lt;=cur_line),C531+1,0)),0)</f>
        <v>0</v>
      </c>
      <c r="D532" s="194">
        <f>IFERROR(IF(INDEX([1]Pivot!$AD$1:$BE$65000,$B532,D$5)=1,1,IF(AND(D531&gt;=1,D531&lt;=9,ROW()&lt;=cur_line),D531+1,0)),0)</f>
        <v>0</v>
      </c>
      <c r="E532" s="194">
        <f>IFERROR(IF(INDEX([1]Pivot!$AD$1:$BE$65000,$B532,E$5)=1,1,IF(AND(E531&gt;=1,E531&lt;=9,ROW()&lt;=cur_line),E531+1,0)),0)</f>
        <v>0</v>
      </c>
      <c r="F532" s="194">
        <f>IFERROR(IF(INDEX([1]Pivot!$AD$1:$BE$65000,$B532,F$5)=1,1,IF(AND(F531&gt;=1,F531&lt;=9,ROW()&lt;=cur_line),F531+1,0)),0)</f>
        <v>0</v>
      </c>
      <c r="G532" s="194">
        <f>IFERROR(IF(INDEX([1]Pivot!$AD$1:$BE$65000,$B532,G$5)=1,1,IF(AND(G531&gt;=1,G531&lt;=9,ROW()&lt;=cur_line),G531+1,0)),0)</f>
        <v>0</v>
      </c>
      <c r="H532" s="194">
        <f>IFERROR(IF(INDEX([1]Pivot!$AD$1:$BE$65000,$B532,H$5)=1,1,IF(AND(H531&gt;=1,H531&lt;=9,ROW()&lt;=cur_line),H531+1,0)),0)</f>
        <v>0</v>
      </c>
      <c r="I532" s="194">
        <f>IFERROR(IF(INDEX([1]Pivot!$AD$1:$BE$65000,$B532,I$5)=1,1,IF(AND(I531&gt;=1,I531&lt;=9,ROW()&lt;=cur_line),I531+1,0)),0)</f>
        <v>0</v>
      </c>
      <c r="J532" s="194">
        <f>IFERROR(IF(INDEX([1]Pivot!$AD$1:$BE$65000,$B532,J$5)=1,1,IF(AND(J531&gt;=1,J531&lt;=9,ROW()&lt;=cur_line),J531+1,0)),0)</f>
        <v>0</v>
      </c>
      <c r="K532" s="194">
        <f>IFERROR(IF(INDEX([1]Pivot!$AD$1:$BE$65000,$B532,K$5)=1,1,IF(AND(K531&gt;=1,K531&lt;=9,ROW()&lt;=cur_line),K531+1,0)),0)</f>
        <v>0</v>
      </c>
      <c r="L532" s="194">
        <f>IFERROR(IF(INDEX([1]Pivot!$AD$1:$BE$65000,$B532,L$5)=1,1,IF(AND(L531&gt;=1,L531&lt;=9,ROW()&lt;=cur_line),L531+1,0)),0)</f>
        <v>0</v>
      </c>
      <c r="M532" s="194">
        <f>IFERROR(IF(INDEX([1]Pivot!$AD$1:$BE$65000,$B532,M$5)=1,1,IF(AND(M531&gt;=1,M531&lt;=9,ROW()&lt;=cur_line),M531+1,0)),0)</f>
        <v>0</v>
      </c>
      <c r="N532" s="194">
        <f>IFERROR(IF(INDEX([1]Pivot!$AD$1:$BE$65000,$B532,N$5)=1,1,IF(AND(N531&gt;=1,N531&lt;=9,ROW()&lt;=cur_line),N531+1,0)),0)</f>
        <v>0</v>
      </c>
      <c r="O532" s="194">
        <f>IFERROR(IF(INDEX([1]Pivot!$AD$1:$BE$65000,$B532,O$5)=1,1,IF(AND(O531&gt;=1,O531&lt;=9,ROW()&lt;=cur_line),O531+1,0)),0)</f>
        <v>0</v>
      </c>
      <c r="P532" s="194">
        <f>IFERROR(IF(INDEX([1]Pivot!$AD$1:$BE$65000,$B532,P$5)=1,1,IF(AND(P531&gt;=1,P531&lt;=9,ROW()&lt;=cur_line),P531+1,0)),0)</f>
        <v>0</v>
      </c>
      <c r="Q532" s="194">
        <f>IFERROR(IF(INDEX([1]Pivot!$AD$1:$BE$65000,$B532,Q$5)=1,1,IF(AND(Q531&gt;=1,Q531&lt;=9,ROW()&lt;=cur_line),Q531+1,0)),0)</f>
        <v>0</v>
      </c>
      <c r="R532" s="312"/>
      <c r="S532" s="194">
        <f>IFERROR(IF(INDEX([1]Pivot!$AD$1:$BE$65000,$B532,S$5)=1,1,IF(AND(S531&gt;=1,S531&lt;=9,ROW()&lt;=cur_line),S531+1,0)),0)</f>
        <v>0</v>
      </c>
      <c r="T532" s="194">
        <f>IFERROR(IF(INDEX([1]Pivot!$AD$1:$BE$65000,$B532,T$5)=1,1,IF(AND(T531&gt;=1,T531&lt;=9,ROW()&lt;=cur_line),T531+1,0)),0)</f>
        <v>0</v>
      </c>
      <c r="U532" s="194">
        <f>IFERROR(IF(INDEX([1]Pivot!$AD$1:$BE$65000,$B532,U$5)=1,1,IF(AND(U531&gt;=1,U531&lt;=9,ROW()&lt;=cur_line),U531+1,0)),0)</f>
        <v>0</v>
      </c>
      <c r="V532" s="194">
        <f>IFERROR(IF(INDEX([1]Pivot!$AD$1:$BE$65000,$B532,V$5)=1,1,IF(AND(V531&gt;=1,V531&lt;=9,ROW()&lt;=cur_line),V531+1,0)),0)</f>
        <v>0</v>
      </c>
      <c r="W532" s="194">
        <f>IFERROR(IF(INDEX([1]Pivot!$AD$1:$BE$65000,$B532,W$5)=1,1,IF(AND(W531&gt;=1,W531&lt;=9,ROW()&lt;=cur_line),W531+1,0)),0)</f>
        <v>0</v>
      </c>
      <c r="X532" s="194">
        <f>IFERROR(IF(INDEX([1]Pivot!$AD$1:$BE$65000,$B532,X$5)=1,1,IF(AND(X531&gt;=1,X531&lt;=9,ROW()&lt;=cur_line),X531+1,0)),0)</f>
        <v>0</v>
      </c>
      <c r="Y532" s="194">
        <f>IFERROR(IF(INDEX([1]Pivot!$AD$1:$BE$65000,$B532,Y$5)=1,1,IF(AND(Y531&gt;=1,Y531&lt;=9,ROW()&lt;=cur_line),Y531+1,0)),0)</f>
        <v>0</v>
      </c>
      <c r="Z532" s="194">
        <f>IFERROR(IF(INDEX([1]Pivot!$AD$1:$BE$65000,$B532,Z$5)=1,1,IF(AND(Z531&gt;=1,Z531&lt;=9,ROW()&lt;=cur_line),Z531+1,0)),0)</f>
        <v>0</v>
      </c>
      <c r="AA532" s="194">
        <f>IFERROR(IF(INDEX([1]Pivot!$AD$1:$BE$65000,$B532,AA$5)=1,1,IF(AND(AA531&gt;=1,AA531&lt;=9,ROW()&lt;=cur_line),AA531+1,0)),0)</f>
        <v>0</v>
      </c>
      <c r="AB532" s="194">
        <f>IFERROR(IF(INDEX([1]Pivot!$AD$1:$BE$65000,$B532,AB$5)=1,1,IF(AND(AB531&gt;=1,AB531&lt;=9,ROW()&lt;=cur_line),AB531+1,0)),0)</f>
        <v>0</v>
      </c>
      <c r="AC532" s="194">
        <f>IFERROR(IF(INDEX([1]Pivot!$AD$1:$BE$65000,$B532,AC$5)=1,1,IF(AND(AC531&gt;=1,AC531&lt;=9,ROW()&lt;=cur_line),AC531+1,0)),0)</f>
        <v>0</v>
      </c>
      <c r="AD532" s="313">
        <f>IFERROR(IF(INDEX([1]Pivot!$BF$1:$CG$65000,$B532,AD$5)=1,1,IF(AND(AD531&gt;=1,AD531&lt;=9,ROW()&lt;=cur_line),AD531+1,0)),0)</f>
        <v>0</v>
      </c>
      <c r="AE532" s="313">
        <f>IFERROR(IF(INDEX([1]Pivot!$BF$1:$CG$65000,$B532,AE$5)=1,1,IF(AND(AE531&gt;=1,AE531&lt;=9,ROW()&lt;=cur_line),AE531+1,0)),0)</f>
        <v>0</v>
      </c>
      <c r="AF532" s="313">
        <f>IFERROR(IF(INDEX([1]Pivot!$BF$1:$CG$65000,$B532,AF$5)=1,1,IF(AND(AF531&gt;=1,AF531&lt;=9,ROW()&lt;=cur_line),AF531+1,0)),0)</f>
        <v>0</v>
      </c>
      <c r="AG532" s="313">
        <f>IFERROR(IF(INDEX([1]Pivot!$BF$1:$CG$65000,$B532,AG$5)=1,1,IF(AND(AG531&gt;=1,AG531&lt;=9,ROW()&lt;=cur_line),AG531+1,0)),0)</f>
        <v>0</v>
      </c>
      <c r="AH532" s="313">
        <f>IFERROR(IF(INDEX([1]Pivot!$BF$1:$CG$65000,$B532,AH$5)=1,1,IF(AND(AH531&gt;=1,AH531&lt;=9,ROW()&lt;=cur_line),AH531+1,0)),0)</f>
        <v>0</v>
      </c>
      <c r="AI532" s="313">
        <f>IFERROR(IF(INDEX([1]Pivot!$BF$1:$CG$65000,$B532,AI$5)=1,1,IF(AND(AI531&gt;=1,AI531&lt;=9,ROW()&lt;=cur_line),AI531+1,0)),0)</f>
        <v>0</v>
      </c>
      <c r="AJ532" s="313">
        <f>IFERROR(IF(INDEX([1]Pivot!$BF$1:$CG$65000,$B532,AJ$5)=1,1,IF(AND(AJ531&gt;=1,AJ531&lt;=9,ROW()&lt;=cur_line),AJ531+1,0)),0)</f>
        <v>0</v>
      </c>
      <c r="AK532" s="313">
        <f>IFERROR(IF(INDEX([1]Pivot!$BF$1:$CG$65000,$B532,AK$5)=1,1,IF(AND(AK531&gt;=1,AK531&lt;=9,ROW()&lt;=cur_line),AK531+1,0)),0)</f>
        <v>0</v>
      </c>
      <c r="AL532" s="313">
        <f>IFERROR(IF(INDEX([1]Pivot!$BF$1:$CG$65000,$B532,AL$5)=1,1,IF(AND(AL531&gt;=1,AL531&lt;=9,ROW()&lt;=cur_line),AL531+1,0)),0)</f>
        <v>0</v>
      </c>
      <c r="AM532" s="313">
        <f>IFERROR(IF(INDEX([1]Pivot!$BF$1:$CG$65000,$B532,AM$5)=1,1,IF(AND(AM531&gt;=1,AM531&lt;=9,ROW()&lt;=cur_line),AM531+1,0)),0)</f>
        <v>0</v>
      </c>
      <c r="AN532" s="313">
        <f>IFERROR(IF(INDEX([1]Pivot!$BF$1:$CG$65000,$B532,AN$5)=1,1,IF(AND(AN531&gt;=1,AN531&lt;=9,ROW()&lt;=cur_line),AN531+1,0)),0)</f>
        <v>0</v>
      </c>
      <c r="AO532" s="313">
        <f>IFERROR(IF(INDEX([1]Pivot!$BF$1:$CG$65000,$B532,AO$5)=1,1,IF(AND(AO531&gt;=1,AO531&lt;=9,ROW()&lt;=cur_line),AO531+1,0)),0)</f>
        <v>0</v>
      </c>
      <c r="AP532" s="313">
        <f>IFERROR(IF(INDEX([1]Pivot!$BF$1:$CG$65000,$B532,AP$5)=1,1,IF(AND(AP531&gt;=1,AP531&lt;=9,ROW()&lt;=cur_line),AP531+1,0)),0)</f>
        <v>0</v>
      </c>
      <c r="AQ532" s="313">
        <f>IFERROR(IF(INDEX([1]Pivot!$BF$1:$CG$65000,$B532,AQ$5)=1,1,IF(AND(AQ531&gt;=1,AQ531&lt;=9,ROW()&lt;=cur_line),AQ531+1,0)),0)</f>
        <v>0</v>
      </c>
      <c r="AR532" s="313">
        <f>IFERROR(IF(INDEX([1]Pivot!$BF$1:$CG$65000,$B532,AR$5)=1,1,IF(AND(AR531&gt;=1,AR531&lt;=9,ROW()&lt;=cur_line),AR531+1,0)),0)</f>
        <v>0</v>
      </c>
      <c r="AS532" s="312"/>
      <c r="AT532" s="313">
        <f>IFERROR(IF(INDEX([1]Pivot!$BF$1:$CG$65000,$B532,AT$5)=1,1,IF(AND(AT531&gt;=1,AT531&lt;=9,ROW()&lt;=cur_line),AT531+1,0)),0)</f>
        <v>0</v>
      </c>
      <c r="AU532" s="313">
        <f>IFERROR(IF(INDEX([1]Pivot!$BF$1:$CG$65000,$B532,AU$5)=1,1,IF(AND(AU531&gt;=1,AU531&lt;=9,ROW()&lt;=cur_line),AU531+1,0)),0)</f>
        <v>0</v>
      </c>
      <c r="AV532" s="313">
        <f>IFERROR(IF(INDEX([1]Pivot!$BF$1:$CG$65000,$B532,AV$5)=1,1,IF(AND(AV531&gt;=1,AV531&lt;=9,ROW()&lt;=cur_line),AV531+1,0)),0)</f>
        <v>0</v>
      </c>
      <c r="AW532" s="313">
        <f>IFERROR(IF(INDEX([1]Pivot!$BF$1:$CG$65000,$B532,AW$5)=1,1,IF(AND(AW531&gt;=1,AW531&lt;=9,ROW()&lt;=cur_line),AW531+1,0)),0)</f>
        <v>0</v>
      </c>
      <c r="AX532" s="313">
        <f>IFERROR(IF(INDEX([1]Pivot!$BF$1:$CG$65000,$B532,AX$5)=1,1,IF(AND(AX531&gt;=1,AX531&lt;=9,ROW()&lt;=cur_line),AX531+1,0)),0)</f>
        <v>0</v>
      </c>
      <c r="AY532" s="313">
        <f>IFERROR(IF(INDEX([1]Pivot!$BF$1:$CG$65000,$B532,AY$5)=1,1,IF(AND(AY531&gt;=1,AY531&lt;=9,ROW()&lt;=cur_line),AY531+1,0)),0)</f>
        <v>0</v>
      </c>
      <c r="AZ532" s="313">
        <f>IFERROR(IF(INDEX([1]Pivot!$BF$1:$CG$65000,$B532,AZ$5)=1,1,IF(AND(AZ531&gt;=1,AZ531&lt;=9,ROW()&lt;=cur_line),AZ531+1,0)),0)</f>
        <v>0</v>
      </c>
      <c r="BA532" s="313">
        <f>IFERROR(IF(INDEX([1]Pivot!$BF$1:$CG$65000,$B532,BA$5)=1,1,IF(AND(BA531&gt;=1,BA531&lt;=9,ROW()&lt;=cur_line),BA531+1,0)),0)</f>
        <v>0</v>
      </c>
      <c r="BB532" s="313">
        <f>IFERROR(IF(INDEX([1]Pivot!$BF$1:$CG$65000,$B532,BB$5)=1,1,IF(AND(BB531&gt;=1,BB531&lt;=9,ROW()&lt;=cur_line),BB531+1,0)),0)</f>
        <v>0</v>
      </c>
      <c r="BC532" s="313">
        <f>IFERROR(IF(INDEX([1]Pivot!$BF$1:$CG$65000,$B532,BC$5)=1,1,IF(AND(BC531&gt;=1,BC531&lt;=9,ROW()&lt;=cur_line),BC531+1,0)),0)</f>
        <v>0</v>
      </c>
      <c r="BD532" s="313">
        <f>IFERROR(IF(INDEX([1]Pivot!$BF$1:$CG$65000,$B532,BD$5)=1,1,IF(AND(BD531&gt;=1,BD531&lt;=9,ROW()&lt;=cur_line),BD531+1,0)),0)</f>
        <v>0</v>
      </c>
    </row>
    <row r="533" spans="1:56" hidden="1" outlineLevel="1" x14ac:dyDescent="0.25">
      <c r="A533" s="288" t="str">
        <f>'[2]Raw Milk Prices'!A533</f>
        <v>2020m10</v>
      </c>
      <c r="B533" s="296" t="e">
        <f>MATCH(DATE(LEFT('[2]Raw Milk Prices'!$A533,4),RIGHT('[2]Raw Milk Prices'!$A533,2),1),[1]Pivot!$A$1:$A$65000,0)</f>
        <v>#N/A</v>
      </c>
      <c r="C533" s="194">
        <f>IFERROR(IF(INDEX([1]Pivot!$AD$1:$BE$65000,$B533,C$5)=1,1,IF(AND(C532&gt;=1,C532&lt;=9,ROW()&lt;=cur_line),C532+1,0)),0)</f>
        <v>0</v>
      </c>
      <c r="D533" s="194">
        <f>IFERROR(IF(INDEX([1]Pivot!$AD$1:$BE$65000,$B533,D$5)=1,1,IF(AND(D532&gt;=1,D532&lt;=9,ROW()&lt;=cur_line),D532+1,0)),0)</f>
        <v>0</v>
      </c>
      <c r="E533" s="194">
        <f>IFERROR(IF(INDEX([1]Pivot!$AD$1:$BE$65000,$B533,E$5)=1,1,IF(AND(E532&gt;=1,E532&lt;=9,ROW()&lt;=cur_line),E532+1,0)),0)</f>
        <v>0</v>
      </c>
      <c r="F533" s="194">
        <f>IFERROR(IF(INDEX([1]Pivot!$AD$1:$BE$65000,$B533,F$5)=1,1,IF(AND(F532&gt;=1,F532&lt;=9,ROW()&lt;=cur_line),F532+1,0)),0)</f>
        <v>0</v>
      </c>
      <c r="G533" s="194">
        <f>IFERROR(IF(INDEX([1]Pivot!$AD$1:$BE$65000,$B533,G$5)=1,1,IF(AND(G532&gt;=1,G532&lt;=9,ROW()&lt;=cur_line),G532+1,0)),0)</f>
        <v>0</v>
      </c>
      <c r="H533" s="194">
        <f>IFERROR(IF(INDEX([1]Pivot!$AD$1:$BE$65000,$B533,H$5)=1,1,IF(AND(H532&gt;=1,H532&lt;=9,ROW()&lt;=cur_line),H532+1,0)),0)</f>
        <v>0</v>
      </c>
      <c r="I533" s="194">
        <f>IFERROR(IF(INDEX([1]Pivot!$AD$1:$BE$65000,$B533,I$5)=1,1,IF(AND(I532&gt;=1,I532&lt;=9,ROW()&lt;=cur_line),I532+1,0)),0)</f>
        <v>0</v>
      </c>
      <c r="J533" s="194">
        <f>IFERROR(IF(INDEX([1]Pivot!$AD$1:$BE$65000,$B533,J$5)=1,1,IF(AND(J532&gt;=1,J532&lt;=9,ROW()&lt;=cur_line),J532+1,0)),0)</f>
        <v>0</v>
      </c>
      <c r="K533" s="194">
        <f>IFERROR(IF(INDEX([1]Pivot!$AD$1:$BE$65000,$B533,K$5)=1,1,IF(AND(K532&gt;=1,K532&lt;=9,ROW()&lt;=cur_line),K532+1,0)),0)</f>
        <v>0</v>
      </c>
      <c r="L533" s="194">
        <f>IFERROR(IF(INDEX([1]Pivot!$AD$1:$BE$65000,$B533,L$5)=1,1,IF(AND(L532&gt;=1,L532&lt;=9,ROW()&lt;=cur_line),L532+1,0)),0)</f>
        <v>0</v>
      </c>
      <c r="M533" s="194">
        <f>IFERROR(IF(INDEX([1]Pivot!$AD$1:$BE$65000,$B533,M$5)=1,1,IF(AND(M532&gt;=1,M532&lt;=9,ROW()&lt;=cur_line),M532+1,0)),0)</f>
        <v>0</v>
      </c>
      <c r="N533" s="194">
        <f>IFERROR(IF(INDEX([1]Pivot!$AD$1:$BE$65000,$B533,N$5)=1,1,IF(AND(N532&gt;=1,N532&lt;=9,ROW()&lt;=cur_line),N532+1,0)),0)</f>
        <v>0</v>
      </c>
      <c r="O533" s="194">
        <f>IFERROR(IF(INDEX([1]Pivot!$AD$1:$BE$65000,$B533,O$5)=1,1,IF(AND(O532&gt;=1,O532&lt;=9,ROW()&lt;=cur_line),O532+1,0)),0)</f>
        <v>0</v>
      </c>
      <c r="P533" s="194">
        <f>IFERROR(IF(INDEX([1]Pivot!$AD$1:$BE$65000,$B533,P$5)=1,1,IF(AND(P532&gt;=1,P532&lt;=9,ROW()&lt;=cur_line),P532+1,0)),0)</f>
        <v>0</v>
      </c>
      <c r="Q533" s="194">
        <f>IFERROR(IF(INDEX([1]Pivot!$AD$1:$BE$65000,$B533,Q$5)=1,1,IF(AND(Q532&gt;=1,Q532&lt;=9,ROW()&lt;=cur_line),Q532+1,0)),0)</f>
        <v>0</v>
      </c>
      <c r="R533" s="312"/>
      <c r="S533" s="194">
        <f>IFERROR(IF(INDEX([1]Pivot!$AD$1:$BE$65000,$B533,S$5)=1,1,IF(AND(S532&gt;=1,S532&lt;=9,ROW()&lt;=cur_line),S532+1,0)),0)</f>
        <v>0</v>
      </c>
      <c r="T533" s="194">
        <f>IFERROR(IF(INDEX([1]Pivot!$AD$1:$BE$65000,$B533,T$5)=1,1,IF(AND(T532&gt;=1,T532&lt;=9,ROW()&lt;=cur_line),T532+1,0)),0)</f>
        <v>0</v>
      </c>
      <c r="U533" s="194">
        <f>IFERROR(IF(INDEX([1]Pivot!$AD$1:$BE$65000,$B533,U$5)=1,1,IF(AND(U532&gt;=1,U532&lt;=9,ROW()&lt;=cur_line),U532+1,0)),0)</f>
        <v>0</v>
      </c>
      <c r="V533" s="194">
        <f>IFERROR(IF(INDEX([1]Pivot!$AD$1:$BE$65000,$B533,V$5)=1,1,IF(AND(V532&gt;=1,V532&lt;=9,ROW()&lt;=cur_line),V532+1,0)),0)</f>
        <v>0</v>
      </c>
      <c r="W533" s="194">
        <f>IFERROR(IF(INDEX([1]Pivot!$AD$1:$BE$65000,$B533,W$5)=1,1,IF(AND(W532&gt;=1,W532&lt;=9,ROW()&lt;=cur_line),W532+1,0)),0)</f>
        <v>0</v>
      </c>
      <c r="X533" s="194">
        <f>IFERROR(IF(INDEX([1]Pivot!$AD$1:$BE$65000,$B533,X$5)=1,1,IF(AND(X532&gt;=1,X532&lt;=9,ROW()&lt;=cur_line),X532+1,0)),0)</f>
        <v>0</v>
      </c>
      <c r="Y533" s="194">
        <f>IFERROR(IF(INDEX([1]Pivot!$AD$1:$BE$65000,$B533,Y$5)=1,1,IF(AND(Y532&gt;=1,Y532&lt;=9,ROW()&lt;=cur_line),Y532+1,0)),0)</f>
        <v>0</v>
      </c>
      <c r="Z533" s="194">
        <f>IFERROR(IF(INDEX([1]Pivot!$AD$1:$BE$65000,$B533,Z$5)=1,1,IF(AND(Z532&gt;=1,Z532&lt;=9,ROW()&lt;=cur_line),Z532+1,0)),0)</f>
        <v>0</v>
      </c>
      <c r="AA533" s="194">
        <f>IFERROR(IF(INDEX([1]Pivot!$AD$1:$BE$65000,$B533,AA$5)=1,1,IF(AND(AA532&gt;=1,AA532&lt;=9,ROW()&lt;=cur_line),AA532+1,0)),0)</f>
        <v>0</v>
      </c>
      <c r="AB533" s="194">
        <f>IFERROR(IF(INDEX([1]Pivot!$AD$1:$BE$65000,$B533,AB$5)=1,1,IF(AND(AB532&gt;=1,AB532&lt;=9,ROW()&lt;=cur_line),AB532+1,0)),0)</f>
        <v>0</v>
      </c>
      <c r="AC533" s="194">
        <f>IFERROR(IF(INDEX([1]Pivot!$AD$1:$BE$65000,$B533,AC$5)=1,1,IF(AND(AC532&gt;=1,AC532&lt;=9,ROW()&lt;=cur_line),AC532+1,0)),0)</f>
        <v>0</v>
      </c>
      <c r="AD533" s="313">
        <f>IFERROR(IF(INDEX([1]Pivot!$BF$1:$CG$65000,$B533,AD$5)=1,1,IF(AND(AD532&gt;=1,AD532&lt;=9,ROW()&lt;=cur_line),AD532+1,0)),0)</f>
        <v>0</v>
      </c>
      <c r="AE533" s="313">
        <f>IFERROR(IF(INDEX([1]Pivot!$BF$1:$CG$65000,$B533,AE$5)=1,1,IF(AND(AE532&gt;=1,AE532&lt;=9,ROW()&lt;=cur_line),AE532+1,0)),0)</f>
        <v>0</v>
      </c>
      <c r="AF533" s="313">
        <f>IFERROR(IF(INDEX([1]Pivot!$BF$1:$CG$65000,$B533,AF$5)=1,1,IF(AND(AF532&gt;=1,AF532&lt;=9,ROW()&lt;=cur_line),AF532+1,0)),0)</f>
        <v>0</v>
      </c>
      <c r="AG533" s="313">
        <f>IFERROR(IF(INDEX([1]Pivot!$BF$1:$CG$65000,$B533,AG$5)=1,1,IF(AND(AG532&gt;=1,AG532&lt;=9,ROW()&lt;=cur_line),AG532+1,0)),0)</f>
        <v>0</v>
      </c>
      <c r="AH533" s="313">
        <f>IFERROR(IF(INDEX([1]Pivot!$BF$1:$CG$65000,$B533,AH$5)=1,1,IF(AND(AH532&gt;=1,AH532&lt;=9,ROW()&lt;=cur_line),AH532+1,0)),0)</f>
        <v>0</v>
      </c>
      <c r="AI533" s="313">
        <f>IFERROR(IF(INDEX([1]Pivot!$BF$1:$CG$65000,$B533,AI$5)=1,1,IF(AND(AI532&gt;=1,AI532&lt;=9,ROW()&lt;=cur_line),AI532+1,0)),0)</f>
        <v>0</v>
      </c>
      <c r="AJ533" s="313">
        <f>IFERROR(IF(INDEX([1]Pivot!$BF$1:$CG$65000,$B533,AJ$5)=1,1,IF(AND(AJ532&gt;=1,AJ532&lt;=9,ROW()&lt;=cur_line),AJ532+1,0)),0)</f>
        <v>0</v>
      </c>
      <c r="AK533" s="313">
        <f>IFERROR(IF(INDEX([1]Pivot!$BF$1:$CG$65000,$B533,AK$5)=1,1,IF(AND(AK532&gt;=1,AK532&lt;=9,ROW()&lt;=cur_line),AK532+1,0)),0)</f>
        <v>0</v>
      </c>
      <c r="AL533" s="313">
        <f>IFERROR(IF(INDEX([1]Pivot!$BF$1:$CG$65000,$B533,AL$5)=1,1,IF(AND(AL532&gt;=1,AL532&lt;=9,ROW()&lt;=cur_line),AL532+1,0)),0)</f>
        <v>0</v>
      </c>
      <c r="AM533" s="313">
        <f>IFERROR(IF(INDEX([1]Pivot!$BF$1:$CG$65000,$B533,AM$5)=1,1,IF(AND(AM532&gt;=1,AM532&lt;=9,ROW()&lt;=cur_line),AM532+1,0)),0)</f>
        <v>0</v>
      </c>
      <c r="AN533" s="313">
        <f>IFERROR(IF(INDEX([1]Pivot!$BF$1:$CG$65000,$B533,AN$5)=1,1,IF(AND(AN532&gt;=1,AN532&lt;=9,ROW()&lt;=cur_line),AN532+1,0)),0)</f>
        <v>0</v>
      </c>
      <c r="AO533" s="313">
        <f>IFERROR(IF(INDEX([1]Pivot!$BF$1:$CG$65000,$B533,AO$5)=1,1,IF(AND(AO532&gt;=1,AO532&lt;=9,ROW()&lt;=cur_line),AO532+1,0)),0)</f>
        <v>0</v>
      </c>
      <c r="AP533" s="313">
        <f>IFERROR(IF(INDEX([1]Pivot!$BF$1:$CG$65000,$B533,AP$5)=1,1,IF(AND(AP532&gt;=1,AP532&lt;=9,ROW()&lt;=cur_line),AP532+1,0)),0)</f>
        <v>0</v>
      </c>
      <c r="AQ533" s="313">
        <f>IFERROR(IF(INDEX([1]Pivot!$BF$1:$CG$65000,$B533,AQ$5)=1,1,IF(AND(AQ532&gt;=1,AQ532&lt;=9,ROW()&lt;=cur_line),AQ532+1,0)),0)</f>
        <v>0</v>
      </c>
      <c r="AR533" s="313">
        <f>IFERROR(IF(INDEX([1]Pivot!$BF$1:$CG$65000,$B533,AR$5)=1,1,IF(AND(AR532&gt;=1,AR532&lt;=9,ROW()&lt;=cur_line),AR532+1,0)),0)</f>
        <v>0</v>
      </c>
      <c r="AS533" s="312"/>
      <c r="AT533" s="313">
        <f>IFERROR(IF(INDEX([1]Pivot!$BF$1:$CG$65000,$B533,AT$5)=1,1,IF(AND(AT532&gt;=1,AT532&lt;=9,ROW()&lt;=cur_line),AT532+1,0)),0)</f>
        <v>0</v>
      </c>
      <c r="AU533" s="313">
        <f>IFERROR(IF(INDEX([1]Pivot!$BF$1:$CG$65000,$B533,AU$5)=1,1,IF(AND(AU532&gt;=1,AU532&lt;=9,ROW()&lt;=cur_line),AU532+1,0)),0)</f>
        <v>0</v>
      </c>
      <c r="AV533" s="313">
        <f>IFERROR(IF(INDEX([1]Pivot!$BF$1:$CG$65000,$B533,AV$5)=1,1,IF(AND(AV532&gt;=1,AV532&lt;=9,ROW()&lt;=cur_line),AV532+1,0)),0)</f>
        <v>0</v>
      </c>
      <c r="AW533" s="313">
        <f>IFERROR(IF(INDEX([1]Pivot!$BF$1:$CG$65000,$B533,AW$5)=1,1,IF(AND(AW532&gt;=1,AW532&lt;=9,ROW()&lt;=cur_line),AW532+1,0)),0)</f>
        <v>0</v>
      </c>
      <c r="AX533" s="313">
        <f>IFERROR(IF(INDEX([1]Pivot!$BF$1:$CG$65000,$B533,AX$5)=1,1,IF(AND(AX532&gt;=1,AX532&lt;=9,ROW()&lt;=cur_line),AX532+1,0)),0)</f>
        <v>0</v>
      </c>
      <c r="AY533" s="313">
        <f>IFERROR(IF(INDEX([1]Pivot!$BF$1:$CG$65000,$B533,AY$5)=1,1,IF(AND(AY532&gt;=1,AY532&lt;=9,ROW()&lt;=cur_line),AY532+1,0)),0)</f>
        <v>0</v>
      </c>
      <c r="AZ533" s="313">
        <f>IFERROR(IF(INDEX([1]Pivot!$BF$1:$CG$65000,$B533,AZ$5)=1,1,IF(AND(AZ532&gt;=1,AZ532&lt;=9,ROW()&lt;=cur_line),AZ532+1,0)),0)</f>
        <v>0</v>
      </c>
      <c r="BA533" s="313">
        <f>IFERROR(IF(INDEX([1]Pivot!$BF$1:$CG$65000,$B533,BA$5)=1,1,IF(AND(BA532&gt;=1,BA532&lt;=9,ROW()&lt;=cur_line),BA532+1,0)),0)</f>
        <v>0</v>
      </c>
      <c r="BB533" s="313">
        <f>IFERROR(IF(INDEX([1]Pivot!$BF$1:$CG$65000,$B533,BB$5)=1,1,IF(AND(BB532&gt;=1,BB532&lt;=9,ROW()&lt;=cur_line),BB532+1,0)),0)</f>
        <v>0</v>
      </c>
      <c r="BC533" s="313">
        <f>IFERROR(IF(INDEX([1]Pivot!$BF$1:$CG$65000,$B533,BC$5)=1,1,IF(AND(BC532&gt;=1,BC532&lt;=9,ROW()&lt;=cur_line),BC532+1,0)),0)</f>
        <v>0</v>
      </c>
      <c r="BD533" s="313">
        <f>IFERROR(IF(INDEX([1]Pivot!$BF$1:$CG$65000,$B533,BD$5)=1,1,IF(AND(BD532&gt;=1,BD532&lt;=9,ROW()&lt;=cur_line),BD532+1,0)),0)</f>
        <v>0</v>
      </c>
    </row>
    <row r="534" spans="1:56" hidden="1" outlineLevel="1" x14ac:dyDescent="0.25">
      <c r="A534" s="288" t="str">
        <f>'[2]Raw Milk Prices'!A534</f>
        <v>2020m11</v>
      </c>
      <c r="B534" s="296" t="e">
        <f>MATCH(DATE(LEFT('[2]Raw Milk Prices'!$A534,4),RIGHT('[2]Raw Milk Prices'!$A534,2),1),[1]Pivot!$A$1:$A$65000,0)</f>
        <v>#N/A</v>
      </c>
      <c r="C534" s="194">
        <f>IFERROR(IF(INDEX([1]Pivot!$AD$1:$BE$65000,$B534,C$5)=1,1,IF(AND(C533&gt;=1,C533&lt;=9,ROW()&lt;=cur_line),C533+1,0)),0)</f>
        <v>0</v>
      </c>
      <c r="D534" s="194">
        <f>IFERROR(IF(INDEX([1]Pivot!$AD$1:$BE$65000,$B534,D$5)=1,1,IF(AND(D533&gt;=1,D533&lt;=9,ROW()&lt;=cur_line),D533+1,0)),0)</f>
        <v>0</v>
      </c>
      <c r="E534" s="194">
        <f>IFERROR(IF(INDEX([1]Pivot!$AD$1:$BE$65000,$B534,E$5)=1,1,IF(AND(E533&gt;=1,E533&lt;=9,ROW()&lt;=cur_line),E533+1,0)),0)</f>
        <v>0</v>
      </c>
      <c r="F534" s="194">
        <f>IFERROR(IF(INDEX([1]Pivot!$AD$1:$BE$65000,$B534,F$5)=1,1,IF(AND(F533&gt;=1,F533&lt;=9,ROW()&lt;=cur_line),F533+1,0)),0)</f>
        <v>0</v>
      </c>
      <c r="G534" s="194">
        <f>IFERROR(IF(INDEX([1]Pivot!$AD$1:$BE$65000,$B534,G$5)=1,1,IF(AND(G533&gt;=1,G533&lt;=9,ROW()&lt;=cur_line),G533+1,0)),0)</f>
        <v>0</v>
      </c>
      <c r="H534" s="194">
        <f>IFERROR(IF(INDEX([1]Pivot!$AD$1:$BE$65000,$B534,H$5)=1,1,IF(AND(H533&gt;=1,H533&lt;=9,ROW()&lt;=cur_line),H533+1,0)),0)</f>
        <v>0</v>
      </c>
      <c r="I534" s="194">
        <f>IFERROR(IF(INDEX([1]Pivot!$AD$1:$BE$65000,$B534,I$5)=1,1,IF(AND(I533&gt;=1,I533&lt;=9,ROW()&lt;=cur_line),I533+1,0)),0)</f>
        <v>0</v>
      </c>
      <c r="J534" s="194">
        <f>IFERROR(IF(INDEX([1]Pivot!$AD$1:$BE$65000,$B534,J$5)=1,1,IF(AND(J533&gt;=1,J533&lt;=9,ROW()&lt;=cur_line),J533+1,0)),0)</f>
        <v>0</v>
      </c>
      <c r="K534" s="194">
        <f>IFERROR(IF(INDEX([1]Pivot!$AD$1:$BE$65000,$B534,K$5)=1,1,IF(AND(K533&gt;=1,K533&lt;=9,ROW()&lt;=cur_line),K533+1,0)),0)</f>
        <v>0</v>
      </c>
      <c r="L534" s="194">
        <f>IFERROR(IF(INDEX([1]Pivot!$AD$1:$BE$65000,$B534,L$5)=1,1,IF(AND(L533&gt;=1,L533&lt;=9,ROW()&lt;=cur_line),L533+1,0)),0)</f>
        <v>0</v>
      </c>
      <c r="M534" s="194">
        <f>IFERROR(IF(INDEX([1]Pivot!$AD$1:$BE$65000,$B534,M$5)=1,1,IF(AND(M533&gt;=1,M533&lt;=9,ROW()&lt;=cur_line),M533+1,0)),0)</f>
        <v>0</v>
      </c>
      <c r="N534" s="194">
        <f>IFERROR(IF(INDEX([1]Pivot!$AD$1:$BE$65000,$B534,N$5)=1,1,IF(AND(N533&gt;=1,N533&lt;=9,ROW()&lt;=cur_line),N533+1,0)),0)</f>
        <v>0</v>
      </c>
      <c r="O534" s="194">
        <f>IFERROR(IF(INDEX([1]Pivot!$AD$1:$BE$65000,$B534,O$5)=1,1,IF(AND(O533&gt;=1,O533&lt;=9,ROW()&lt;=cur_line),O533+1,0)),0)</f>
        <v>0</v>
      </c>
      <c r="P534" s="194">
        <f>IFERROR(IF(INDEX([1]Pivot!$AD$1:$BE$65000,$B534,P$5)=1,1,IF(AND(P533&gt;=1,P533&lt;=9,ROW()&lt;=cur_line),P533+1,0)),0)</f>
        <v>0</v>
      </c>
      <c r="Q534" s="194">
        <f>IFERROR(IF(INDEX([1]Pivot!$AD$1:$BE$65000,$B534,Q$5)=1,1,IF(AND(Q533&gt;=1,Q533&lt;=9,ROW()&lt;=cur_line),Q533+1,0)),0)</f>
        <v>0</v>
      </c>
      <c r="R534" s="312"/>
      <c r="S534" s="194">
        <f>IFERROR(IF(INDEX([1]Pivot!$AD$1:$BE$65000,$B534,S$5)=1,1,IF(AND(S533&gt;=1,S533&lt;=9,ROW()&lt;=cur_line),S533+1,0)),0)</f>
        <v>0</v>
      </c>
      <c r="T534" s="194">
        <f>IFERROR(IF(INDEX([1]Pivot!$AD$1:$BE$65000,$B534,T$5)=1,1,IF(AND(T533&gt;=1,T533&lt;=9,ROW()&lt;=cur_line),T533+1,0)),0)</f>
        <v>0</v>
      </c>
      <c r="U534" s="194">
        <f>IFERROR(IF(INDEX([1]Pivot!$AD$1:$BE$65000,$B534,U$5)=1,1,IF(AND(U533&gt;=1,U533&lt;=9,ROW()&lt;=cur_line),U533+1,0)),0)</f>
        <v>0</v>
      </c>
      <c r="V534" s="194">
        <f>IFERROR(IF(INDEX([1]Pivot!$AD$1:$BE$65000,$B534,V$5)=1,1,IF(AND(V533&gt;=1,V533&lt;=9,ROW()&lt;=cur_line),V533+1,0)),0)</f>
        <v>0</v>
      </c>
      <c r="W534" s="194">
        <f>IFERROR(IF(INDEX([1]Pivot!$AD$1:$BE$65000,$B534,W$5)=1,1,IF(AND(W533&gt;=1,W533&lt;=9,ROW()&lt;=cur_line),W533+1,0)),0)</f>
        <v>0</v>
      </c>
      <c r="X534" s="194">
        <f>IFERROR(IF(INDEX([1]Pivot!$AD$1:$BE$65000,$B534,X$5)=1,1,IF(AND(X533&gt;=1,X533&lt;=9,ROW()&lt;=cur_line),X533+1,0)),0)</f>
        <v>0</v>
      </c>
      <c r="Y534" s="194">
        <f>IFERROR(IF(INDEX([1]Pivot!$AD$1:$BE$65000,$B534,Y$5)=1,1,IF(AND(Y533&gt;=1,Y533&lt;=9,ROW()&lt;=cur_line),Y533+1,0)),0)</f>
        <v>0</v>
      </c>
      <c r="Z534" s="194">
        <f>IFERROR(IF(INDEX([1]Pivot!$AD$1:$BE$65000,$B534,Z$5)=1,1,IF(AND(Z533&gt;=1,Z533&lt;=9,ROW()&lt;=cur_line),Z533+1,0)),0)</f>
        <v>0</v>
      </c>
      <c r="AA534" s="194">
        <f>IFERROR(IF(INDEX([1]Pivot!$AD$1:$BE$65000,$B534,AA$5)=1,1,IF(AND(AA533&gt;=1,AA533&lt;=9,ROW()&lt;=cur_line),AA533+1,0)),0)</f>
        <v>0</v>
      </c>
      <c r="AB534" s="194">
        <f>IFERROR(IF(INDEX([1]Pivot!$AD$1:$BE$65000,$B534,AB$5)=1,1,IF(AND(AB533&gt;=1,AB533&lt;=9,ROW()&lt;=cur_line),AB533+1,0)),0)</f>
        <v>0</v>
      </c>
      <c r="AC534" s="194">
        <f>IFERROR(IF(INDEX([1]Pivot!$AD$1:$BE$65000,$B534,AC$5)=1,1,IF(AND(AC533&gt;=1,AC533&lt;=9,ROW()&lt;=cur_line),AC533+1,0)),0)</f>
        <v>0</v>
      </c>
      <c r="AD534" s="313">
        <f>IFERROR(IF(INDEX([1]Pivot!$BF$1:$CG$65000,$B534,AD$5)=1,1,IF(AND(AD533&gt;=1,AD533&lt;=9,ROW()&lt;=cur_line),AD533+1,0)),0)</f>
        <v>0</v>
      </c>
      <c r="AE534" s="313">
        <f>IFERROR(IF(INDEX([1]Pivot!$BF$1:$CG$65000,$B534,AE$5)=1,1,IF(AND(AE533&gt;=1,AE533&lt;=9,ROW()&lt;=cur_line),AE533+1,0)),0)</f>
        <v>0</v>
      </c>
      <c r="AF534" s="313">
        <f>IFERROR(IF(INDEX([1]Pivot!$BF$1:$CG$65000,$B534,AF$5)=1,1,IF(AND(AF533&gt;=1,AF533&lt;=9,ROW()&lt;=cur_line),AF533+1,0)),0)</f>
        <v>0</v>
      </c>
      <c r="AG534" s="313">
        <f>IFERROR(IF(INDEX([1]Pivot!$BF$1:$CG$65000,$B534,AG$5)=1,1,IF(AND(AG533&gt;=1,AG533&lt;=9,ROW()&lt;=cur_line),AG533+1,0)),0)</f>
        <v>0</v>
      </c>
      <c r="AH534" s="313">
        <f>IFERROR(IF(INDEX([1]Pivot!$BF$1:$CG$65000,$B534,AH$5)=1,1,IF(AND(AH533&gt;=1,AH533&lt;=9,ROW()&lt;=cur_line),AH533+1,0)),0)</f>
        <v>0</v>
      </c>
      <c r="AI534" s="313">
        <f>IFERROR(IF(INDEX([1]Pivot!$BF$1:$CG$65000,$B534,AI$5)=1,1,IF(AND(AI533&gt;=1,AI533&lt;=9,ROW()&lt;=cur_line),AI533+1,0)),0)</f>
        <v>0</v>
      </c>
      <c r="AJ534" s="313">
        <f>IFERROR(IF(INDEX([1]Pivot!$BF$1:$CG$65000,$B534,AJ$5)=1,1,IF(AND(AJ533&gt;=1,AJ533&lt;=9,ROW()&lt;=cur_line),AJ533+1,0)),0)</f>
        <v>0</v>
      </c>
      <c r="AK534" s="313">
        <f>IFERROR(IF(INDEX([1]Pivot!$BF$1:$CG$65000,$B534,AK$5)=1,1,IF(AND(AK533&gt;=1,AK533&lt;=9,ROW()&lt;=cur_line),AK533+1,0)),0)</f>
        <v>0</v>
      </c>
      <c r="AL534" s="313">
        <f>IFERROR(IF(INDEX([1]Pivot!$BF$1:$CG$65000,$B534,AL$5)=1,1,IF(AND(AL533&gt;=1,AL533&lt;=9,ROW()&lt;=cur_line),AL533+1,0)),0)</f>
        <v>0</v>
      </c>
      <c r="AM534" s="313">
        <f>IFERROR(IF(INDEX([1]Pivot!$BF$1:$CG$65000,$B534,AM$5)=1,1,IF(AND(AM533&gt;=1,AM533&lt;=9,ROW()&lt;=cur_line),AM533+1,0)),0)</f>
        <v>0</v>
      </c>
      <c r="AN534" s="313">
        <f>IFERROR(IF(INDEX([1]Pivot!$BF$1:$CG$65000,$B534,AN$5)=1,1,IF(AND(AN533&gt;=1,AN533&lt;=9,ROW()&lt;=cur_line),AN533+1,0)),0)</f>
        <v>0</v>
      </c>
      <c r="AO534" s="313">
        <f>IFERROR(IF(INDEX([1]Pivot!$BF$1:$CG$65000,$B534,AO$5)=1,1,IF(AND(AO533&gt;=1,AO533&lt;=9,ROW()&lt;=cur_line),AO533+1,0)),0)</f>
        <v>0</v>
      </c>
      <c r="AP534" s="313">
        <f>IFERROR(IF(INDEX([1]Pivot!$BF$1:$CG$65000,$B534,AP$5)=1,1,IF(AND(AP533&gt;=1,AP533&lt;=9,ROW()&lt;=cur_line),AP533+1,0)),0)</f>
        <v>0</v>
      </c>
      <c r="AQ534" s="313">
        <f>IFERROR(IF(INDEX([1]Pivot!$BF$1:$CG$65000,$B534,AQ$5)=1,1,IF(AND(AQ533&gt;=1,AQ533&lt;=9,ROW()&lt;=cur_line),AQ533+1,0)),0)</f>
        <v>0</v>
      </c>
      <c r="AR534" s="313">
        <f>IFERROR(IF(INDEX([1]Pivot!$BF$1:$CG$65000,$B534,AR$5)=1,1,IF(AND(AR533&gt;=1,AR533&lt;=9,ROW()&lt;=cur_line),AR533+1,0)),0)</f>
        <v>0</v>
      </c>
      <c r="AS534" s="312"/>
      <c r="AT534" s="313">
        <f>IFERROR(IF(INDEX([1]Pivot!$BF$1:$CG$65000,$B534,AT$5)=1,1,IF(AND(AT533&gt;=1,AT533&lt;=9,ROW()&lt;=cur_line),AT533+1,0)),0)</f>
        <v>0</v>
      </c>
      <c r="AU534" s="313">
        <f>IFERROR(IF(INDEX([1]Pivot!$BF$1:$CG$65000,$B534,AU$5)=1,1,IF(AND(AU533&gt;=1,AU533&lt;=9,ROW()&lt;=cur_line),AU533+1,0)),0)</f>
        <v>0</v>
      </c>
      <c r="AV534" s="313">
        <f>IFERROR(IF(INDEX([1]Pivot!$BF$1:$CG$65000,$B534,AV$5)=1,1,IF(AND(AV533&gt;=1,AV533&lt;=9,ROW()&lt;=cur_line),AV533+1,0)),0)</f>
        <v>0</v>
      </c>
      <c r="AW534" s="313">
        <f>IFERROR(IF(INDEX([1]Pivot!$BF$1:$CG$65000,$B534,AW$5)=1,1,IF(AND(AW533&gt;=1,AW533&lt;=9,ROW()&lt;=cur_line),AW533+1,0)),0)</f>
        <v>0</v>
      </c>
      <c r="AX534" s="313">
        <f>IFERROR(IF(INDEX([1]Pivot!$BF$1:$CG$65000,$B534,AX$5)=1,1,IF(AND(AX533&gt;=1,AX533&lt;=9,ROW()&lt;=cur_line),AX533+1,0)),0)</f>
        <v>0</v>
      </c>
      <c r="AY534" s="313">
        <f>IFERROR(IF(INDEX([1]Pivot!$BF$1:$CG$65000,$B534,AY$5)=1,1,IF(AND(AY533&gt;=1,AY533&lt;=9,ROW()&lt;=cur_line),AY533+1,0)),0)</f>
        <v>0</v>
      </c>
      <c r="AZ534" s="313">
        <f>IFERROR(IF(INDEX([1]Pivot!$BF$1:$CG$65000,$B534,AZ$5)=1,1,IF(AND(AZ533&gt;=1,AZ533&lt;=9,ROW()&lt;=cur_line),AZ533+1,0)),0)</f>
        <v>0</v>
      </c>
      <c r="BA534" s="313">
        <f>IFERROR(IF(INDEX([1]Pivot!$BF$1:$CG$65000,$B534,BA$5)=1,1,IF(AND(BA533&gt;=1,BA533&lt;=9,ROW()&lt;=cur_line),BA533+1,0)),0)</f>
        <v>0</v>
      </c>
      <c r="BB534" s="313">
        <f>IFERROR(IF(INDEX([1]Pivot!$BF$1:$CG$65000,$B534,BB$5)=1,1,IF(AND(BB533&gt;=1,BB533&lt;=9,ROW()&lt;=cur_line),BB533+1,0)),0)</f>
        <v>0</v>
      </c>
      <c r="BC534" s="313">
        <f>IFERROR(IF(INDEX([1]Pivot!$BF$1:$CG$65000,$B534,BC$5)=1,1,IF(AND(BC533&gt;=1,BC533&lt;=9,ROW()&lt;=cur_line),BC533+1,0)),0)</f>
        <v>0</v>
      </c>
      <c r="BD534" s="313">
        <f>IFERROR(IF(INDEX([1]Pivot!$BF$1:$CG$65000,$B534,BD$5)=1,1,IF(AND(BD533&gt;=1,BD533&lt;=9,ROW()&lt;=cur_line),BD533+1,0)),0)</f>
        <v>0</v>
      </c>
    </row>
    <row r="535" spans="1:56" hidden="1" outlineLevel="1" x14ac:dyDescent="0.25">
      <c r="A535" s="288" t="str">
        <f>'[2]Raw Milk Prices'!A535</f>
        <v>2020m12</v>
      </c>
      <c r="B535" s="296" t="e">
        <f>MATCH(DATE(LEFT('[2]Raw Milk Prices'!$A535,4),RIGHT('[2]Raw Milk Prices'!$A535,2),1),[1]Pivot!$A$1:$A$65000,0)</f>
        <v>#N/A</v>
      </c>
      <c r="C535" s="194">
        <f>IFERROR(IF(INDEX([1]Pivot!$AD$1:$BE$65000,$B535,C$5)=1,1,IF(AND(C534&gt;=1,C534&lt;=9,ROW()&lt;=cur_line),C534+1,0)),0)</f>
        <v>0</v>
      </c>
      <c r="D535" s="194">
        <f>IFERROR(IF(INDEX([1]Pivot!$AD$1:$BE$65000,$B535,D$5)=1,1,IF(AND(D534&gt;=1,D534&lt;=9,ROW()&lt;=cur_line),D534+1,0)),0)</f>
        <v>0</v>
      </c>
      <c r="E535" s="194">
        <f>IFERROR(IF(INDEX([1]Pivot!$AD$1:$BE$65000,$B535,E$5)=1,1,IF(AND(E534&gt;=1,E534&lt;=9,ROW()&lt;=cur_line),E534+1,0)),0)</f>
        <v>0</v>
      </c>
      <c r="F535" s="194">
        <f>IFERROR(IF(INDEX([1]Pivot!$AD$1:$BE$65000,$B535,F$5)=1,1,IF(AND(F534&gt;=1,F534&lt;=9,ROW()&lt;=cur_line),F534+1,0)),0)</f>
        <v>0</v>
      </c>
      <c r="G535" s="194">
        <f>IFERROR(IF(INDEX([1]Pivot!$AD$1:$BE$65000,$B535,G$5)=1,1,IF(AND(G534&gt;=1,G534&lt;=9,ROW()&lt;=cur_line),G534+1,0)),0)</f>
        <v>0</v>
      </c>
      <c r="H535" s="194">
        <f>IFERROR(IF(INDEX([1]Pivot!$AD$1:$BE$65000,$B535,H$5)=1,1,IF(AND(H534&gt;=1,H534&lt;=9,ROW()&lt;=cur_line),H534+1,0)),0)</f>
        <v>0</v>
      </c>
      <c r="I535" s="194">
        <f>IFERROR(IF(INDEX([1]Pivot!$AD$1:$BE$65000,$B535,I$5)=1,1,IF(AND(I534&gt;=1,I534&lt;=9,ROW()&lt;=cur_line),I534+1,0)),0)</f>
        <v>0</v>
      </c>
      <c r="J535" s="194">
        <f>IFERROR(IF(INDEX([1]Pivot!$AD$1:$BE$65000,$B535,J$5)=1,1,IF(AND(J534&gt;=1,J534&lt;=9,ROW()&lt;=cur_line),J534+1,0)),0)</f>
        <v>0</v>
      </c>
      <c r="K535" s="194">
        <f>IFERROR(IF(INDEX([1]Pivot!$AD$1:$BE$65000,$B535,K$5)=1,1,IF(AND(K534&gt;=1,K534&lt;=9,ROW()&lt;=cur_line),K534+1,0)),0)</f>
        <v>0</v>
      </c>
      <c r="L535" s="194">
        <f>IFERROR(IF(INDEX([1]Pivot!$AD$1:$BE$65000,$B535,L$5)=1,1,IF(AND(L534&gt;=1,L534&lt;=9,ROW()&lt;=cur_line),L534+1,0)),0)</f>
        <v>0</v>
      </c>
      <c r="M535" s="194">
        <f>IFERROR(IF(INDEX([1]Pivot!$AD$1:$BE$65000,$B535,M$5)=1,1,IF(AND(M534&gt;=1,M534&lt;=9,ROW()&lt;=cur_line),M534+1,0)),0)</f>
        <v>0</v>
      </c>
      <c r="N535" s="194">
        <f>IFERROR(IF(INDEX([1]Pivot!$AD$1:$BE$65000,$B535,N$5)=1,1,IF(AND(N534&gt;=1,N534&lt;=9,ROW()&lt;=cur_line),N534+1,0)),0)</f>
        <v>0</v>
      </c>
      <c r="O535" s="194">
        <f>IFERROR(IF(INDEX([1]Pivot!$AD$1:$BE$65000,$B535,O$5)=1,1,IF(AND(O534&gt;=1,O534&lt;=9,ROW()&lt;=cur_line),O534+1,0)),0)</f>
        <v>0</v>
      </c>
      <c r="P535" s="194">
        <f>IFERROR(IF(INDEX([1]Pivot!$AD$1:$BE$65000,$B535,P$5)=1,1,IF(AND(P534&gt;=1,P534&lt;=9,ROW()&lt;=cur_line),P534+1,0)),0)</f>
        <v>0</v>
      </c>
      <c r="Q535" s="194">
        <f>IFERROR(IF(INDEX([1]Pivot!$AD$1:$BE$65000,$B535,Q$5)=1,1,IF(AND(Q534&gt;=1,Q534&lt;=9,ROW()&lt;=cur_line),Q534+1,0)),0)</f>
        <v>0</v>
      </c>
      <c r="R535" s="312"/>
      <c r="S535" s="194">
        <f>IFERROR(IF(INDEX([1]Pivot!$AD$1:$BE$65000,$B535,S$5)=1,1,IF(AND(S534&gt;=1,S534&lt;=9,ROW()&lt;=cur_line),S534+1,0)),0)</f>
        <v>0</v>
      </c>
      <c r="T535" s="194">
        <f>IFERROR(IF(INDEX([1]Pivot!$AD$1:$BE$65000,$B535,T$5)=1,1,IF(AND(T534&gt;=1,T534&lt;=9,ROW()&lt;=cur_line),T534+1,0)),0)</f>
        <v>0</v>
      </c>
      <c r="U535" s="194">
        <f>IFERROR(IF(INDEX([1]Pivot!$AD$1:$BE$65000,$B535,U$5)=1,1,IF(AND(U534&gt;=1,U534&lt;=9,ROW()&lt;=cur_line),U534+1,0)),0)</f>
        <v>0</v>
      </c>
      <c r="V535" s="194">
        <f>IFERROR(IF(INDEX([1]Pivot!$AD$1:$BE$65000,$B535,V$5)=1,1,IF(AND(V534&gt;=1,V534&lt;=9,ROW()&lt;=cur_line),V534+1,0)),0)</f>
        <v>0</v>
      </c>
      <c r="W535" s="194">
        <f>IFERROR(IF(INDEX([1]Pivot!$AD$1:$BE$65000,$B535,W$5)=1,1,IF(AND(W534&gt;=1,W534&lt;=9,ROW()&lt;=cur_line),W534+1,0)),0)</f>
        <v>0</v>
      </c>
      <c r="X535" s="194">
        <f>IFERROR(IF(INDEX([1]Pivot!$AD$1:$BE$65000,$B535,X$5)=1,1,IF(AND(X534&gt;=1,X534&lt;=9,ROW()&lt;=cur_line),X534+1,0)),0)</f>
        <v>0</v>
      </c>
      <c r="Y535" s="194">
        <f>IFERROR(IF(INDEX([1]Pivot!$AD$1:$BE$65000,$B535,Y$5)=1,1,IF(AND(Y534&gt;=1,Y534&lt;=9,ROW()&lt;=cur_line),Y534+1,0)),0)</f>
        <v>0</v>
      </c>
      <c r="Z535" s="194">
        <f>IFERROR(IF(INDEX([1]Pivot!$AD$1:$BE$65000,$B535,Z$5)=1,1,IF(AND(Z534&gt;=1,Z534&lt;=9,ROW()&lt;=cur_line),Z534+1,0)),0)</f>
        <v>0</v>
      </c>
      <c r="AA535" s="194">
        <f>IFERROR(IF(INDEX([1]Pivot!$AD$1:$BE$65000,$B535,AA$5)=1,1,IF(AND(AA534&gt;=1,AA534&lt;=9,ROW()&lt;=cur_line),AA534+1,0)),0)</f>
        <v>0</v>
      </c>
      <c r="AB535" s="194">
        <f>IFERROR(IF(INDEX([1]Pivot!$AD$1:$BE$65000,$B535,AB$5)=1,1,IF(AND(AB534&gt;=1,AB534&lt;=9,ROW()&lt;=cur_line),AB534+1,0)),0)</f>
        <v>0</v>
      </c>
      <c r="AC535" s="194">
        <f>IFERROR(IF(INDEX([1]Pivot!$AD$1:$BE$65000,$B535,AC$5)=1,1,IF(AND(AC534&gt;=1,AC534&lt;=9,ROW()&lt;=cur_line),AC534+1,0)),0)</f>
        <v>0</v>
      </c>
      <c r="AD535" s="313">
        <f>IFERROR(IF(INDEX([1]Pivot!$BF$1:$CG$65000,$B535,AD$5)=1,1,IF(AND(AD534&gt;=1,AD534&lt;=9,ROW()&lt;=cur_line),AD534+1,0)),0)</f>
        <v>0</v>
      </c>
      <c r="AE535" s="313">
        <f>IFERROR(IF(INDEX([1]Pivot!$BF$1:$CG$65000,$B535,AE$5)=1,1,IF(AND(AE534&gt;=1,AE534&lt;=9,ROW()&lt;=cur_line),AE534+1,0)),0)</f>
        <v>0</v>
      </c>
      <c r="AF535" s="313">
        <f>IFERROR(IF(INDEX([1]Pivot!$BF$1:$CG$65000,$B535,AF$5)=1,1,IF(AND(AF534&gt;=1,AF534&lt;=9,ROW()&lt;=cur_line),AF534+1,0)),0)</f>
        <v>0</v>
      </c>
      <c r="AG535" s="313">
        <f>IFERROR(IF(INDEX([1]Pivot!$BF$1:$CG$65000,$B535,AG$5)=1,1,IF(AND(AG534&gt;=1,AG534&lt;=9,ROW()&lt;=cur_line),AG534+1,0)),0)</f>
        <v>0</v>
      </c>
      <c r="AH535" s="313">
        <f>IFERROR(IF(INDEX([1]Pivot!$BF$1:$CG$65000,$B535,AH$5)=1,1,IF(AND(AH534&gt;=1,AH534&lt;=9,ROW()&lt;=cur_line),AH534+1,0)),0)</f>
        <v>0</v>
      </c>
      <c r="AI535" s="313">
        <f>IFERROR(IF(INDEX([1]Pivot!$BF$1:$CG$65000,$B535,AI$5)=1,1,IF(AND(AI534&gt;=1,AI534&lt;=9,ROW()&lt;=cur_line),AI534+1,0)),0)</f>
        <v>0</v>
      </c>
      <c r="AJ535" s="313">
        <f>IFERROR(IF(INDEX([1]Pivot!$BF$1:$CG$65000,$B535,AJ$5)=1,1,IF(AND(AJ534&gt;=1,AJ534&lt;=9,ROW()&lt;=cur_line),AJ534+1,0)),0)</f>
        <v>0</v>
      </c>
      <c r="AK535" s="313">
        <f>IFERROR(IF(INDEX([1]Pivot!$BF$1:$CG$65000,$B535,AK$5)=1,1,IF(AND(AK534&gt;=1,AK534&lt;=9,ROW()&lt;=cur_line),AK534+1,0)),0)</f>
        <v>0</v>
      </c>
      <c r="AL535" s="313">
        <f>IFERROR(IF(INDEX([1]Pivot!$BF$1:$CG$65000,$B535,AL$5)=1,1,IF(AND(AL534&gt;=1,AL534&lt;=9,ROW()&lt;=cur_line),AL534+1,0)),0)</f>
        <v>0</v>
      </c>
      <c r="AM535" s="313">
        <f>IFERROR(IF(INDEX([1]Pivot!$BF$1:$CG$65000,$B535,AM$5)=1,1,IF(AND(AM534&gt;=1,AM534&lt;=9,ROW()&lt;=cur_line),AM534+1,0)),0)</f>
        <v>0</v>
      </c>
      <c r="AN535" s="313">
        <f>IFERROR(IF(INDEX([1]Pivot!$BF$1:$CG$65000,$B535,AN$5)=1,1,IF(AND(AN534&gt;=1,AN534&lt;=9,ROW()&lt;=cur_line),AN534+1,0)),0)</f>
        <v>0</v>
      </c>
      <c r="AO535" s="313">
        <f>IFERROR(IF(INDEX([1]Pivot!$BF$1:$CG$65000,$B535,AO$5)=1,1,IF(AND(AO534&gt;=1,AO534&lt;=9,ROW()&lt;=cur_line),AO534+1,0)),0)</f>
        <v>0</v>
      </c>
      <c r="AP535" s="313">
        <f>IFERROR(IF(INDEX([1]Pivot!$BF$1:$CG$65000,$B535,AP$5)=1,1,IF(AND(AP534&gt;=1,AP534&lt;=9,ROW()&lt;=cur_line),AP534+1,0)),0)</f>
        <v>0</v>
      </c>
      <c r="AQ535" s="313">
        <f>IFERROR(IF(INDEX([1]Pivot!$BF$1:$CG$65000,$B535,AQ$5)=1,1,IF(AND(AQ534&gt;=1,AQ534&lt;=9,ROW()&lt;=cur_line),AQ534+1,0)),0)</f>
        <v>0</v>
      </c>
      <c r="AR535" s="313">
        <f>IFERROR(IF(INDEX([1]Pivot!$BF$1:$CG$65000,$B535,AR$5)=1,1,IF(AND(AR534&gt;=1,AR534&lt;=9,ROW()&lt;=cur_line),AR534+1,0)),0)</f>
        <v>0</v>
      </c>
      <c r="AS535" s="312"/>
      <c r="AT535" s="313">
        <f>IFERROR(IF(INDEX([1]Pivot!$BF$1:$CG$65000,$B535,AT$5)=1,1,IF(AND(AT534&gt;=1,AT534&lt;=9,ROW()&lt;=cur_line),AT534+1,0)),0)</f>
        <v>0</v>
      </c>
      <c r="AU535" s="313">
        <f>IFERROR(IF(INDEX([1]Pivot!$BF$1:$CG$65000,$B535,AU$5)=1,1,IF(AND(AU534&gt;=1,AU534&lt;=9,ROW()&lt;=cur_line),AU534+1,0)),0)</f>
        <v>0</v>
      </c>
      <c r="AV535" s="313">
        <f>IFERROR(IF(INDEX([1]Pivot!$BF$1:$CG$65000,$B535,AV$5)=1,1,IF(AND(AV534&gt;=1,AV534&lt;=9,ROW()&lt;=cur_line),AV534+1,0)),0)</f>
        <v>0</v>
      </c>
      <c r="AW535" s="313">
        <f>IFERROR(IF(INDEX([1]Pivot!$BF$1:$CG$65000,$B535,AW$5)=1,1,IF(AND(AW534&gt;=1,AW534&lt;=9,ROW()&lt;=cur_line),AW534+1,0)),0)</f>
        <v>0</v>
      </c>
      <c r="AX535" s="313">
        <f>IFERROR(IF(INDEX([1]Pivot!$BF$1:$CG$65000,$B535,AX$5)=1,1,IF(AND(AX534&gt;=1,AX534&lt;=9,ROW()&lt;=cur_line),AX534+1,0)),0)</f>
        <v>0</v>
      </c>
      <c r="AY535" s="313">
        <f>IFERROR(IF(INDEX([1]Pivot!$BF$1:$CG$65000,$B535,AY$5)=1,1,IF(AND(AY534&gt;=1,AY534&lt;=9,ROW()&lt;=cur_line),AY534+1,0)),0)</f>
        <v>0</v>
      </c>
      <c r="AZ535" s="313">
        <f>IFERROR(IF(INDEX([1]Pivot!$BF$1:$CG$65000,$B535,AZ$5)=1,1,IF(AND(AZ534&gt;=1,AZ534&lt;=9,ROW()&lt;=cur_line),AZ534+1,0)),0)</f>
        <v>0</v>
      </c>
      <c r="BA535" s="313">
        <f>IFERROR(IF(INDEX([1]Pivot!$BF$1:$CG$65000,$B535,BA$5)=1,1,IF(AND(BA534&gt;=1,BA534&lt;=9,ROW()&lt;=cur_line),BA534+1,0)),0)</f>
        <v>0</v>
      </c>
      <c r="BB535" s="313">
        <f>IFERROR(IF(INDEX([1]Pivot!$BF$1:$CG$65000,$B535,BB$5)=1,1,IF(AND(BB534&gt;=1,BB534&lt;=9,ROW()&lt;=cur_line),BB534+1,0)),0)</f>
        <v>0</v>
      </c>
      <c r="BC535" s="313">
        <f>IFERROR(IF(INDEX([1]Pivot!$BF$1:$CG$65000,$B535,BC$5)=1,1,IF(AND(BC534&gt;=1,BC534&lt;=9,ROW()&lt;=cur_line),BC534+1,0)),0)</f>
        <v>0</v>
      </c>
      <c r="BD535" s="313">
        <f>IFERROR(IF(INDEX([1]Pivot!$BF$1:$CG$65000,$B535,BD$5)=1,1,IF(AND(BD534&gt;=1,BD534&lt;=9,ROW()&lt;=cur_line),BD534+1,0)),0)</f>
        <v>0</v>
      </c>
    </row>
    <row r="536" spans="1:56" hidden="1" outlineLevel="1" x14ac:dyDescent="0.25">
      <c r="A536" s="288" t="str">
        <f>'[2]Raw Milk Prices'!A536</f>
        <v>2021m01</v>
      </c>
      <c r="B536" s="296" t="e">
        <f>MATCH(DATE(LEFT('[2]Raw Milk Prices'!$A536,4),RIGHT('[2]Raw Milk Prices'!$A536,2),1),[1]Pivot!$A$1:$A$65000,0)</f>
        <v>#N/A</v>
      </c>
      <c r="C536" s="194">
        <f>IFERROR(IF(INDEX([1]Pivot!$AD$1:$BE$65000,$B536,C$5)=1,1,IF(AND(C535&gt;=1,C535&lt;=9,ROW()&lt;=cur_line),C535+1,0)),0)</f>
        <v>0</v>
      </c>
      <c r="D536" s="194">
        <f>IFERROR(IF(INDEX([1]Pivot!$AD$1:$BE$65000,$B536,D$5)=1,1,IF(AND(D535&gt;=1,D535&lt;=9,ROW()&lt;=cur_line),D535+1,0)),0)</f>
        <v>0</v>
      </c>
      <c r="E536" s="194">
        <f>IFERROR(IF(INDEX([1]Pivot!$AD$1:$BE$65000,$B536,E$5)=1,1,IF(AND(E535&gt;=1,E535&lt;=9,ROW()&lt;=cur_line),E535+1,0)),0)</f>
        <v>0</v>
      </c>
      <c r="F536" s="194">
        <f>IFERROR(IF(INDEX([1]Pivot!$AD$1:$BE$65000,$B536,F$5)=1,1,IF(AND(F535&gt;=1,F535&lt;=9,ROW()&lt;=cur_line),F535+1,0)),0)</f>
        <v>0</v>
      </c>
      <c r="G536" s="194">
        <f>IFERROR(IF(INDEX([1]Pivot!$AD$1:$BE$65000,$B536,G$5)=1,1,IF(AND(G535&gt;=1,G535&lt;=9,ROW()&lt;=cur_line),G535+1,0)),0)</f>
        <v>0</v>
      </c>
      <c r="H536" s="194">
        <f>IFERROR(IF(INDEX([1]Pivot!$AD$1:$BE$65000,$B536,H$5)=1,1,IF(AND(H535&gt;=1,H535&lt;=9,ROW()&lt;=cur_line),H535+1,0)),0)</f>
        <v>0</v>
      </c>
      <c r="I536" s="194">
        <f>IFERROR(IF(INDEX([1]Pivot!$AD$1:$BE$65000,$B536,I$5)=1,1,IF(AND(I535&gt;=1,I535&lt;=9,ROW()&lt;=cur_line),I535+1,0)),0)</f>
        <v>0</v>
      </c>
      <c r="J536" s="194">
        <f>IFERROR(IF(INDEX([1]Pivot!$AD$1:$BE$65000,$B536,J$5)=1,1,IF(AND(J535&gt;=1,J535&lt;=9,ROW()&lt;=cur_line),J535+1,0)),0)</f>
        <v>0</v>
      </c>
      <c r="K536" s="194">
        <f>IFERROR(IF(INDEX([1]Pivot!$AD$1:$BE$65000,$B536,K$5)=1,1,IF(AND(K535&gt;=1,K535&lt;=9,ROW()&lt;=cur_line),K535+1,0)),0)</f>
        <v>0</v>
      </c>
      <c r="L536" s="194">
        <f>IFERROR(IF(INDEX([1]Pivot!$AD$1:$BE$65000,$B536,L$5)=1,1,IF(AND(L535&gt;=1,L535&lt;=9,ROW()&lt;=cur_line),L535+1,0)),0)</f>
        <v>0</v>
      </c>
      <c r="M536" s="194">
        <f>IFERROR(IF(INDEX([1]Pivot!$AD$1:$BE$65000,$B536,M$5)=1,1,IF(AND(M535&gt;=1,M535&lt;=9,ROW()&lt;=cur_line),M535+1,0)),0)</f>
        <v>0</v>
      </c>
      <c r="N536" s="194">
        <f>IFERROR(IF(INDEX([1]Pivot!$AD$1:$BE$65000,$B536,N$5)=1,1,IF(AND(N535&gt;=1,N535&lt;=9,ROW()&lt;=cur_line),N535+1,0)),0)</f>
        <v>0</v>
      </c>
      <c r="O536" s="194">
        <f>IFERROR(IF(INDEX([1]Pivot!$AD$1:$BE$65000,$B536,O$5)=1,1,IF(AND(O535&gt;=1,O535&lt;=9,ROW()&lt;=cur_line),O535+1,0)),0)</f>
        <v>0</v>
      </c>
      <c r="P536" s="194">
        <f>IFERROR(IF(INDEX([1]Pivot!$AD$1:$BE$65000,$B536,P$5)=1,1,IF(AND(P535&gt;=1,P535&lt;=9,ROW()&lt;=cur_line),P535+1,0)),0)</f>
        <v>0</v>
      </c>
      <c r="Q536" s="194">
        <f>IFERROR(IF(INDEX([1]Pivot!$AD$1:$BE$65000,$B536,Q$5)=1,1,IF(AND(Q535&gt;=1,Q535&lt;=9,ROW()&lt;=cur_line),Q535+1,0)),0)</f>
        <v>0</v>
      </c>
      <c r="R536" s="312"/>
      <c r="S536" s="194">
        <f>IFERROR(IF(INDEX([1]Pivot!$AD$1:$BE$65000,$B536,S$5)=1,1,IF(AND(S535&gt;=1,S535&lt;=9,ROW()&lt;=cur_line),S535+1,0)),0)</f>
        <v>0</v>
      </c>
      <c r="T536" s="194">
        <f>IFERROR(IF(INDEX([1]Pivot!$AD$1:$BE$65000,$B536,T$5)=1,1,IF(AND(T535&gt;=1,T535&lt;=9,ROW()&lt;=cur_line),T535+1,0)),0)</f>
        <v>0</v>
      </c>
      <c r="U536" s="194">
        <f>IFERROR(IF(INDEX([1]Pivot!$AD$1:$BE$65000,$B536,U$5)=1,1,IF(AND(U535&gt;=1,U535&lt;=9,ROW()&lt;=cur_line),U535+1,0)),0)</f>
        <v>0</v>
      </c>
      <c r="V536" s="194">
        <f>IFERROR(IF(INDEX([1]Pivot!$AD$1:$BE$65000,$B536,V$5)=1,1,IF(AND(V535&gt;=1,V535&lt;=9,ROW()&lt;=cur_line),V535+1,0)),0)</f>
        <v>0</v>
      </c>
      <c r="W536" s="194">
        <f>IFERROR(IF(INDEX([1]Pivot!$AD$1:$BE$65000,$B536,W$5)=1,1,IF(AND(W535&gt;=1,W535&lt;=9,ROW()&lt;=cur_line),W535+1,0)),0)</f>
        <v>0</v>
      </c>
      <c r="X536" s="194">
        <f>IFERROR(IF(INDEX([1]Pivot!$AD$1:$BE$65000,$B536,X$5)=1,1,IF(AND(X535&gt;=1,X535&lt;=9,ROW()&lt;=cur_line),X535+1,0)),0)</f>
        <v>0</v>
      </c>
      <c r="Y536" s="194">
        <f>IFERROR(IF(INDEX([1]Pivot!$AD$1:$BE$65000,$B536,Y$5)=1,1,IF(AND(Y535&gt;=1,Y535&lt;=9,ROW()&lt;=cur_line),Y535+1,0)),0)</f>
        <v>0</v>
      </c>
      <c r="Z536" s="194">
        <f>IFERROR(IF(INDEX([1]Pivot!$AD$1:$BE$65000,$B536,Z$5)=1,1,IF(AND(Z535&gt;=1,Z535&lt;=9,ROW()&lt;=cur_line),Z535+1,0)),0)</f>
        <v>0</v>
      </c>
      <c r="AA536" s="194">
        <f>IFERROR(IF(INDEX([1]Pivot!$AD$1:$BE$65000,$B536,AA$5)=1,1,IF(AND(AA535&gt;=1,AA535&lt;=9,ROW()&lt;=cur_line),AA535+1,0)),0)</f>
        <v>0</v>
      </c>
      <c r="AB536" s="194">
        <f>IFERROR(IF(INDEX([1]Pivot!$AD$1:$BE$65000,$B536,AB$5)=1,1,IF(AND(AB535&gt;=1,AB535&lt;=9,ROW()&lt;=cur_line),AB535+1,0)),0)</f>
        <v>0</v>
      </c>
      <c r="AC536" s="194">
        <f>IFERROR(IF(INDEX([1]Pivot!$AD$1:$BE$65000,$B536,AC$5)=1,1,IF(AND(AC535&gt;=1,AC535&lt;=9,ROW()&lt;=cur_line),AC535+1,0)),0)</f>
        <v>0</v>
      </c>
      <c r="AD536" s="313">
        <f>IFERROR(IF(INDEX([1]Pivot!$BF$1:$CG$65000,$B536,AD$5)=1,1,IF(AND(AD535&gt;=1,AD535&lt;=9,ROW()&lt;=cur_line),AD535+1,0)),0)</f>
        <v>0</v>
      </c>
      <c r="AE536" s="313">
        <f>IFERROR(IF(INDEX([1]Pivot!$BF$1:$CG$65000,$B536,AE$5)=1,1,IF(AND(AE535&gt;=1,AE535&lt;=9,ROW()&lt;=cur_line),AE535+1,0)),0)</f>
        <v>0</v>
      </c>
      <c r="AF536" s="313">
        <f>IFERROR(IF(INDEX([1]Pivot!$BF$1:$CG$65000,$B536,AF$5)=1,1,IF(AND(AF535&gt;=1,AF535&lt;=9,ROW()&lt;=cur_line),AF535+1,0)),0)</f>
        <v>0</v>
      </c>
      <c r="AG536" s="313">
        <f>IFERROR(IF(INDEX([1]Pivot!$BF$1:$CG$65000,$B536,AG$5)=1,1,IF(AND(AG535&gt;=1,AG535&lt;=9,ROW()&lt;=cur_line),AG535+1,0)),0)</f>
        <v>0</v>
      </c>
      <c r="AH536" s="313">
        <f>IFERROR(IF(INDEX([1]Pivot!$BF$1:$CG$65000,$B536,AH$5)=1,1,IF(AND(AH535&gt;=1,AH535&lt;=9,ROW()&lt;=cur_line),AH535+1,0)),0)</f>
        <v>0</v>
      </c>
      <c r="AI536" s="313">
        <f>IFERROR(IF(INDEX([1]Pivot!$BF$1:$CG$65000,$B536,AI$5)=1,1,IF(AND(AI535&gt;=1,AI535&lt;=9,ROW()&lt;=cur_line),AI535+1,0)),0)</f>
        <v>0</v>
      </c>
      <c r="AJ536" s="313">
        <f>IFERROR(IF(INDEX([1]Pivot!$BF$1:$CG$65000,$B536,AJ$5)=1,1,IF(AND(AJ535&gt;=1,AJ535&lt;=9,ROW()&lt;=cur_line),AJ535+1,0)),0)</f>
        <v>0</v>
      </c>
      <c r="AK536" s="313">
        <f>IFERROR(IF(INDEX([1]Pivot!$BF$1:$CG$65000,$B536,AK$5)=1,1,IF(AND(AK535&gt;=1,AK535&lt;=9,ROW()&lt;=cur_line),AK535+1,0)),0)</f>
        <v>0</v>
      </c>
      <c r="AL536" s="313">
        <f>IFERROR(IF(INDEX([1]Pivot!$BF$1:$CG$65000,$B536,AL$5)=1,1,IF(AND(AL535&gt;=1,AL535&lt;=9,ROW()&lt;=cur_line),AL535+1,0)),0)</f>
        <v>0</v>
      </c>
      <c r="AM536" s="313">
        <f>IFERROR(IF(INDEX([1]Pivot!$BF$1:$CG$65000,$B536,AM$5)=1,1,IF(AND(AM535&gt;=1,AM535&lt;=9,ROW()&lt;=cur_line),AM535+1,0)),0)</f>
        <v>0</v>
      </c>
      <c r="AN536" s="313">
        <f>IFERROR(IF(INDEX([1]Pivot!$BF$1:$CG$65000,$B536,AN$5)=1,1,IF(AND(AN535&gt;=1,AN535&lt;=9,ROW()&lt;=cur_line),AN535+1,0)),0)</f>
        <v>0</v>
      </c>
      <c r="AO536" s="313">
        <f>IFERROR(IF(INDEX([1]Pivot!$BF$1:$CG$65000,$B536,AO$5)=1,1,IF(AND(AO535&gt;=1,AO535&lt;=9,ROW()&lt;=cur_line),AO535+1,0)),0)</f>
        <v>0</v>
      </c>
      <c r="AP536" s="313">
        <f>IFERROR(IF(INDEX([1]Pivot!$BF$1:$CG$65000,$B536,AP$5)=1,1,IF(AND(AP535&gt;=1,AP535&lt;=9,ROW()&lt;=cur_line),AP535+1,0)),0)</f>
        <v>0</v>
      </c>
      <c r="AQ536" s="313">
        <f>IFERROR(IF(INDEX([1]Pivot!$BF$1:$CG$65000,$B536,AQ$5)=1,1,IF(AND(AQ535&gt;=1,AQ535&lt;=9,ROW()&lt;=cur_line),AQ535+1,0)),0)</f>
        <v>0</v>
      </c>
      <c r="AR536" s="313">
        <f>IFERROR(IF(INDEX([1]Pivot!$BF$1:$CG$65000,$B536,AR$5)=1,1,IF(AND(AR535&gt;=1,AR535&lt;=9,ROW()&lt;=cur_line),AR535+1,0)),0)</f>
        <v>0</v>
      </c>
      <c r="AS536" s="312"/>
      <c r="AT536" s="313">
        <f>IFERROR(IF(INDEX([1]Pivot!$BF$1:$CG$65000,$B536,AT$5)=1,1,IF(AND(AT535&gt;=1,AT535&lt;=9,ROW()&lt;=cur_line),AT535+1,0)),0)</f>
        <v>0</v>
      </c>
      <c r="AU536" s="313">
        <f>IFERROR(IF(INDEX([1]Pivot!$BF$1:$CG$65000,$B536,AU$5)=1,1,IF(AND(AU535&gt;=1,AU535&lt;=9,ROW()&lt;=cur_line),AU535+1,0)),0)</f>
        <v>0</v>
      </c>
      <c r="AV536" s="313">
        <f>IFERROR(IF(INDEX([1]Pivot!$BF$1:$CG$65000,$B536,AV$5)=1,1,IF(AND(AV535&gt;=1,AV535&lt;=9,ROW()&lt;=cur_line),AV535+1,0)),0)</f>
        <v>0</v>
      </c>
      <c r="AW536" s="313">
        <f>IFERROR(IF(INDEX([1]Pivot!$BF$1:$CG$65000,$B536,AW$5)=1,1,IF(AND(AW535&gt;=1,AW535&lt;=9,ROW()&lt;=cur_line),AW535+1,0)),0)</f>
        <v>0</v>
      </c>
      <c r="AX536" s="313">
        <f>IFERROR(IF(INDEX([1]Pivot!$BF$1:$CG$65000,$B536,AX$5)=1,1,IF(AND(AX535&gt;=1,AX535&lt;=9,ROW()&lt;=cur_line),AX535+1,0)),0)</f>
        <v>0</v>
      </c>
      <c r="AY536" s="313">
        <f>IFERROR(IF(INDEX([1]Pivot!$BF$1:$CG$65000,$B536,AY$5)=1,1,IF(AND(AY535&gt;=1,AY535&lt;=9,ROW()&lt;=cur_line),AY535+1,0)),0)</f>
        <v>0</v>
      </c>
      <c r="AZ536" s="313">
        <f>IFERROR(IF(INDEX([1]Pivot!$BF$1:$CG$65000,$B536,AZ$5)=1,1,IF(AND(AZ535&gt;=1,AZ535&lt;=9,ROW()&lt;=cur_line),AZ535+1,0)),0)</f>
        <v>0</v>
      </c>
      <c r="BA536" s="313">
        <f>IFERROR(IF(INDEX([1]Pivot!$BF$1:$CG$65000,$B536,BA$5)=1,1,IF(AND(BA535&gt;=1,BA535&lt;=9,ROW()&lt;=cur_line),BA535+1,0)),0)</f>
        <v>0</v>
      </c>
      <c r="BB536" s="313">
        <f>IFERROR(IF(INDEX([1]Pivot!$BF$1:$CG$65000,$B536,BB$5)=1,1,IF(AND(BB535&gt;=1,BB535&lt;=9,ROW()&lt;=cur_line),BB535+1,0)),0)</f>
        <v>0</v>
      </c>
      <c r="BC536" s="313">
        <f>IFERROR(IF(INDEX([1]Pivot!$BF$1:$CG$65000,$B536,BC$5)=1,1,IF(AND(BC535&gt;=1,BC535&lt;=9,ROW()&lt;=cur_line),BC535+1,0)),0)</f>
        <v>0</v>
      </c>
      <c r="BD536" s="313">
        <f>IFERROR(IF(INDEX([1]Pivot!$BF$1:$CG$65000,$B536,BD$5)=1,1,IF(AND(BD535&gt;=1,BD535&lt;=9,ROW()&lt;=cur_line),BD535+1,0)),0)</f>
        <v>0</v>
      </c>
    </row>
    <row r="537" spans="1:56" hidden="1" outlineLevel="1" x14ac:dyDescent="0.25">
      <c r="A537" s="288" t="str">
        <f>'[2]Raw Milk Prices'!A537</f>
        <v>2021m02</v>
      </c>
      <c r="B537" s="296" t="e">
        <f>MATCH(DATE(LEFT('[2]Raw Milk Prices'!$A537,4),RIGHT('[2]Raw Milk Prices'!$A537,2),1),[1]Pivot!$A$1:$A$65000,0)</f>
        <v>#N/A</v>
      </c>
      <c r="C537" s="194">
        <f>IFERROR(IF(INDEX([1]Pivot!$AD$1:$BE$65000,$B537,C$5)=1,1,IF(AND(C536&gt;=1,C536&lt;=9,ROW()&lt;=cur_line),C536+1,0)),0)</f>
        <v>0</v>
      </c>
      <c r="D537" s="194">
        <f>IFERROR(IF(INDEX([1]Pivot!$AD$1:$BE$65000,$B537,D$5)=1,1,IF(AND(D536&gt;=1,D536&lt;=9,ROW()&lt;=cur_line),D536+1,0)),0)</f>
        <v>0</v>
      </c>
      <c r="E537" s="194">
        <f>IFERROR(IF(INDEX([1]Pivot!$AD$1:$BE$65000,$B537,E$5)=1,1,IF(AND(E536&gt;=1,E536&lt;=9,ROW()&lt;=cur_line),E536+1,0)),0)</f>
        <v>0</v>
      </c>
      <c r="F537" s="194">
        <f>IFERROR(IF(INDEX([1]Pivot!$AD$1:$BE$65000,$B537,F$5)=1,1,IF(AND(F536&gt;=1,F536&lt;=9,ROW()&lt;=cur_line),F536+1,0)),0)</f>
        <v>0</v>
      </c>
      <c r="G537" s="194">
        <f>IFERROR(IF(INDEX([1]Pivot!$AD$1:$BE$65000,$B537,G$5)=1,1,IF(AND(G536&gt;=1,G536&lt;=9,ROW()&lt;=cur_line),G536+1,0)),0)</f>
        <v>0</v>
      </c>
      <c r="H537" s="194">
        <f>IFERROR(IF(INDEX([1]Pivot!$AD$1:$BE$65000,$B537,H$5)=1,1,IF(AND(H536&gt;=1,H536&lt;=9,ROW()&lt;=cur_line),H536+1,0)),0)</f>
        <v>0</v>
      </c>
      <c r="I537" s="194">
        <f>IFERROR(IF(INDEX([1]Pivot!$AD$1:$BE$65000,$B537,I$5)=1,1,IF(AND(I536&gt;=1,I536&lt;=9,ROW()&lt;=cur_line),I536+1,0)),0)</f>
        <v>0</v>
      </c>
      <c r="J537" s="194">
        <f>IFERROR(IF(INDEX([1]Pivot!$AD$1:$BE$65000,$B537,J$5)=1,1,IF(AND(J536&gt;=1,J536&lt;=9,ROW()&lt;=cur_line),J536+1,0)),0)</f>
        <v>0</v>
      </c>
      <c r="K537" s="194">
        <f>IFERROR(IF(INDEX([1]Pivot!$AD$1:$BE$65000,$B537,K$5)=1,1,IF(AND(K536&gt;=1,K536&lt;=9,ROW()&lt;=cur_line),K536+1,0)),0)</f>
        <v>0</v>
      </c>
      <c r="L537" s="194">
        <f>IFERROR(IF(INDEX([1]Pivot!$AD$1:$BE$65000,$B537,L$5)=1,1,IF(AND(L536&gt;=1,L536&lt;=9,ROW()&lt;=cur_line),L536+1,0)),0)</f>
        <v>0</v>
      </c>
      <c r="M537" s="194">
        <f>IFERROR(IF(INDEX([1]Pivot!$AD$1:$BE$65000,$B537,M$5)=1,1,IF(AND(M536&gt;=1,M536&lt;=9,ROW()&lt;=cur_line),M536+1,0)),0)</f>
        <v>0</v>
      </c>
      <c r="N537" s="194">
        <f>IFERROR(IF(INDEX([1]Pivot!$AD$1:$BE$65000,$B537,N$5)=1,1,IF(AND(N536&gt;=1,N536&lt;=9,ROW()&lt;=cur_line),N536+1,0)),0)</f>
        <v>0</v>
      </c>
      <c r="O537" s="194">
        <f>IFERROR(IF(INDEX([1]Pivot!$AD$1:$BE$65000,$B537,O$5)=1,1,IF(AND(O536&gt;=1,O536&lt;=9,ROW()&lt;=cur_line),O536+1,0)),0)</f>
        <v>0</v>
      </c>
      <c r="P537" s="194">
        <f>IFERROR(IF(INDEX([1]Pivot!$AD$1:$BE$65000,$B537,P$5)=1,1,IF(AND(P536&gt;=1,P536&lt;=9,ROW()&lt;=cur_line),P536+1,0)),0)</f>
        <v>0</v>
      </c>
      <c r="Q537" s="194">
        <f>IFERROR(IF(INDEX([1]Pivot!$AD$1:$BE$65000,$B537,Q$5)=1,1,IF(AND(Q536&gt;=1,Q536&lt;=9,ROW()&lt;=cur_line),Q536+1,0)),0)</f>
        <v>0</v>
      </c>
      <c r="R537" s="312"/>
      <c r="S537" s="194">
        <f>IFERROR(IF(INDEX([1]Pivot!$AD$1:$BE$65000,$B537,S$5)=1,1,IF(AND(S536&gt;=1,S536&lt;=9,ROW()&lt;=cur_line),S536+1,0)),0)</f>
        <v>0</v>
      </c>
      <c r="T537" s="194">
        <f>IFERROR(IF(INDEX([1]Pivot!$AD$1:$BE$65000,$B537,T$5)=1,1,IF(AND(T536&gt;=1,T536&lt;=9,ROW()&lt;=cur_line),T536+1,0)),0)</f>
        <v>0</v>
      </c>
      <c r="U537" s="194">
        <f>IFERROR(IF(INDEX([1]Pivot!$AD$1:$BE$65000,$B537,U$5)=1,1,IF(AND(U536&gt;=1,U536&lt;=9,ROW()&lt;=cur_line),U536+1,0)),0)</f>
        <v>0</v>
      </c>
      <c r="V537" s="194">
        <f>IFERROR(IF(INDEX([1]Pivot!$AD$1:$BE$65000,$B537,V$5)=1,1,IF(AND(V536&gt;=1,V536&lt;=9,ROW()&lt;=cur_line),V536+1,0)),0)</f>
        <v>0</v>
      </c>
      <c r="W537" s="194">
        <f>IFERROR(IF(INDEX([1]Pivot!$AD$1:$BE$65000,$B537,W$5)=1,1,IF(AND(W536&gt;=1,W536&lt;=9,ROW()&lt;=cur_line),W536+1,0)),0)</f>
        <v>0</v>
      </c>
      <c r="X537" s="194">
        <f>IFERROR(IF(INDEX([1]Pivot!$AD$1:$BE$65000,$B537,X$5)=1,1,IF(AND(X536&gt;=1,X536&lt;=9,ROW()&lt;=cur_line),X536+1,0)),0)</f>
        <v>0</v>
      </c>
      <c r="Y537" s="194">
        <f>IFERROR(IF(INDEX([1]Pivot!$AD$1:$BE$65000,$B537,Y$5)=1,1,IF(AND(Y536&gt;=1,Y536&lt;=9,ROW()&lt;=cur_line),Y536+1,0)),0)</f>
        <v>0</v>
      </c>
      <c r="Z537" s="194">
        <f>IFERROR(IF(INDEX([1]Pivot!$AD$1:$BE$65000,$B537,Z$5)=1,1,IF(AND(Z536&gt;=1,Z536&lt;=9,ROW()&lt;=cur_line),Z536+1,0)),0)</f>
        <v>0</v>
      </c>
      <c r="AA537" s="194">
        <f>IFERROR(IF(INDEX([1]Pivot!$AD$1:$BE$65000,$B537,AA$5)=1,1,IF(AND(AA536&gt;=1,AA536&lt;=9,ROW()&lt;=cur_line),AA536+1,0)),0)</f>
        <v>0</v>
      </c>
      <c r="AB537" s="194">
        <f>IFERROR(IF(INDEX([1]Pivot!$AD$1:$BE$65000,$B537,AB$5)=1,1,IF(AND(AB536&gt;=1,AB536&lt;=9,ROW()&lt;=cur_line),AB536+1,0)),0)</f>
        <v>0</v>
      </c>
      <c r="AC537" s="194">
        <f>IFERROR(IF(INDEX([1]Pivot!$AD$1:$BE$65000,$B537,AC$5)=1,1,IF(AND(AC536&gt;=1,AC536&lt;=9,ROW()&lt;=cur_line),AC536+1,0)),0)</f>
        <v>0</v>
      </c>
      <c r="AD537" s="313">
        <f>IFERROR(IF(INDEX([1]Pivot!$BF$1:$CG$65000,$B537,AD$5)=1,1,IF(AND(AD536&gt;=1,AD536&lt;=9,ROW()&lt;=cur_line),AD536+1,0)),0)</f>
        <v>0</v>
      </c>
      <c r="AE537" s="313">
        <f>IFERROR(IF(INDEX([1]Pivot!$BF$1:$CG$65000,$B537,AE$5)=1,1,IF(AND(AE536&gt;=1,AE536&lt;=9,ROW()&lt;=cur_line),AE536+1,0)),0)</f>
        <v>0</v>
      </c>
      <c r="AF537" s="313">
        <f>IFERROR(IF(INDEX([1]Pivot!$BF$1:$CG$65000,$B537,AF$5)=1,1,IF(AND(AF536&gt;=1,AF536&lt;=9,ROW()&lt;=cur_line),AF536+1,0)),0)</f>
        <v>0</v>
      </c>
      <c r="AG537" s="313">
        <f>IFERROR(IF(INDEX([1]Pivot!$BF$1:$CG$65000,$B537,AG$5)=1,1,IF(AND(AG536&gt;=1,AG536&lt;=9,ROW()&lt;=cur_line),AG536+1,0)),0)</f>
        <v>0</v>
      </c>
      <c r="AH537" s="313">
        <f>IFERROR(IF(INDEX([1]Pivot!$BF$1:$CG$65000,$B537,AH$5)=1,1,IF(AND(AH536&gt;=1,AH536&lt;=9,ROW()&lt;=cur_line),AH536+1,0)),0)</f>
        <v>0</v>
      </c>
      <c r="AI537" s="313">
        <f>IFERROR(IF(INDEX([1]Pivot!$BF$1:$CG$65000,$B537,AI$5)=1,1,IF(AND(AI536&gt;=1,AI536&lt;=9,ROW()&lt;=cur_line),AI536+1,0)),0)</f>
        <v>0</v>
      </c>
      <c r="AJ537" s="313">
        <f>IFERROR(IF(INDEX([1]Pivot!$BF$1:$CG$65000,$B537,AJ$5)=1,1,IF(AND(AJ536&gt;=1,AJ536&lt;=9,ROW()&lt;=cur_line),AJ536+1,0)),0)</f>
        <v>0</v>
      </c>
      <c r="AK537" s="313">
        <f>IFERROR(IF(INDEX([1]Pivot!$BF$1:$CG$65000,$B537,AK$5)=1,1,IF(AND(AK536&gt;=1,AK536&lt;=9,ROW()&lt;=cur_line),AK536+1,0)),0)</f>
        <v>0</v>
      </c>
      <c r="AL537" s="313">
        <f>IFERROR(IF(INDEX([1]Pivot!$BF$1:$CG$65000,$B537,AL$5)=1,1,IF(AND(AL536&gt;=1,AL536&lt;=9,ROW()&lt;=cur_line),AL536+1,0)),0)</f>
        <v>0</v>
      </c>
      <c r="AM537" s="313">
        <f>IFERROR(IF(INDEX([1]Pivot!$BF$1:$CG$65000,$B537,AM$5)=1,1,IF(AND(AM536&gt;=1,AM536&lt;=9,ROW()&lt;=cur_line),AM536+1,0)),0)</f>
        <v>0</v>
      </c>
      <c r="AN537" s="313">
        <f>IFERROR(IF(INDEX([1]Pivot!$BF$1:$CG$65000,$B537,AN$5)=1,1,IF(AND(AN536&gt;=1,AN536&lt;=9,ROW()&lt;=cur_line),AN536+1,0)),0)</f>
        <v>0</v>
      </c>
      <c r="AO537" s="313">
        <f>IFERROR(IF(INDEX([1]Pivot!$BF$1:$CG$65000,$B537,AO$5)=1,1,IF(AND(AO536&gt;=1,AO536&lt;=9,ROW()&lt;=cur_line),AO536+1,0)),0)</f>
        <v>0</v>
      </c>
      <c r="AP537" s="313">
        <f>IFERROR(IF(INDEX([1]Pivot!$BF$1:$CG$65000,$B537,AP$5)=1,1,IF(AND(AP536&gt;=1,AP536&lt;=9,ROW()&lt;=cur_line),AP536+1,0)),0)</f>
        <v>0</v>
      </c>
      <c r="AQ537" s="313">
        <f>IFERROR(IF(INDEX([1]Pivot!$BF$1:$CG$65000,$B537,AQ$5)=1,1,IF(AND(AQ536&gt;=1,AQ536&lt;=9,ROW()&lt;=cur_line),AQ536+1,0)),0)</f>
        <v>0</v>
      </c>
      <c r="AR537" s="313">
        <f>IFERROR(IF(INDEX([1]Pivot!$BF$1:$CG$65000,$B537,AR$5)=1,1,IF(AND(AR536&gt;=1,AR536&lt;=9,ROW()&lt;=cur_line),AR536+1,0)),0)</f>
        <v>0</v>
      </c>
      <c r="AS537" s="312"/>
      <c r="AT537" s="313">
        <f>IFERROR(IF(INDEX([1]Pivot!$BF$1:$CG$65000,$B537,AT$5)=1,1,IF(AND(AT536&gt;=1,AT536&lt;=9,ROW()&lt;=cur_line),AT536+1,0)),0)</f>
        <v>0</v>
      </c>
      <c r="AU537" s="313">
        <f>IFERROR(IF(INDEX([1]Pivot!$BF$1:$CG$65000,$B537,AU$5)=1,1,IF(AND(AU536&gt;=1,AU536&lt;=9,ROW()&lt;=cur_line),AU536+1,0)),0)</f>
        <v>0</v>
      </c>
      <c r="AV537" s="313">
        <f>IFERROR(IF(INDEX([1]Pivot!$BF$1:$CG$65000,$B537,AV$5)=1,1,IF(AND(AV536&gt;=1,AV536&lt;=9,ROW()&lt;=cur_line),AV536+1,0)),0)</f>
        <v>0</v>
      </c>
      <c r="AW537" s="313">
        <f>IFERROR(IF(INDEX([1]Pivot!$BF$1:$CG$65000,$B537,AW$5)=1,1,IF(AND(AW536&gt;=1,AW536&lt;=9,ROW()&lt;=cur_line),AW536+1,0)),0)</f>
        <v>0</v>
      </c>
      <c r="AX537" s="313">
        <f>IFERROR(IF(INDEX([1]Pivot!$BF$1:$CG$65000,$B537,AX$5)=1,1,IF(AND(AX536&gt;=1,AX536&lt;=9,ROW()&lt;=cur_line),AX536+1,0)),0)</f>
        <v>0</v>
      </c>
      <c r="AY537" s="313">
        <f>IFERROR(IF(INDEX([1]Pivot!$BF$1:$CG$65000,$B537,AY$5)=1,1,IF(AND(AY536&gt;=1,AY536&lt;=9,ROW()&lt;=cur_line),AY536+1,0)),0)</f>
        <v>0</v>
      </c>
      <c r="AZ537" s="313">
        <f>IFERROR(IF(INDEX([1]Pivot!$BF$1:$CG$65000,$B537,AZ$5)=1,1,IF(AND(AZ536&gt;=1,AZ536&lt;=9,ROW()&lt;=cur_line),AZ536+1,0)),0)</f>
        <v>0</v>
      </c>
      <c r="BA537" s="313">
        <f>IFERROR(IF(INDEX([1]Pivot!$BF$1:$CG$65000,$B537,BA$5)=1,1,IF(AND(BA536&gt;=1,BA536&lt;=9,ROW()&lt;=cur_line),BA536+1,0)),0)</f>
        <v>0</v>
      </c>
      <c r="BB537" s="313">
        <f>IFERROR(IF(INDEX([1]Pivot!$BF$1:$CG$65000,$B537,BB$5)=1,1,IF(AND(BB536&gt;=1,BB536&lt;=9,ROW()&lt;=cur_line),BB536+1,0)),0)</f>
        <v>0</v>
      </c>
      <c r="BC537" s="313">
        <f>IFERROR(IF(INDEX([1]Pivot!$BF$1:$CG$65000,$B537,BC$5)=1,1,IF(AND(BC536&gt;=1,BC536&lt;=9,ROW()&lt;=cur_line),BC536+1,0)),0)</f>
        <v>0</v>
      </c>
      <c r="BD537" s="313">
        <f>IFERROR(IF(INDEX([1]Pivot!$BF$1:$CG$65000,$B537,BD$5)=1,1,IF(AND(BD536&gt;=1,BD536&lt;=9,ROW()&lt;=cur_line),BD536+1,0)),0)</f>
        <v>0</v>
      </c>
    </row>
    <row r="538" spans="1:56" hidden="1" outlineLevel="1" x14ac:dyDescent="0.25">
      <c r="A538" s="288" t="str">
        <f>'[2]Raw Milk Prices'!A538</f>
        <v>2021m03</v>
      </c>
      <c r="B538" s="296" t="e">
        <f>MATCH(DATE(LEFT('[2]Raw Milk Prices'!$A538,4),RIGHT('[2]Raw Milk Prices'!$A538,2),1),[1]Pivot!$A$1:$A$65000,0)</f>
        <v>#N/A</v>
      </c>
      <c r="C538" s="194">
        <f>IFERROR(IF(INDEX([1]Pivot!$AD$1:$BE$65000,$B538,C$5)=1,1,IF(AND(C537&gt;=1,C537&lt;=9,ROW()&lt;=cur_line),C537+1,0)),0)</f>
        <v>0</v>
      </c>
      <c r="D538" s="194">
        <f>IFERROR(IF(INDEX([1]Pivot!$AD$1:$BE$65000,$B538,D$5)=1,1,IF(AND(D537&gt;=1,D537&lt;=9,ROW()&lt;=cur_line),D537+1,0)),0)</f>
        <v>0</v>
      </c>
      <c r="E538" s="194">
        <f>IFERROR(IF(INDEX([1]Pivot!$AD$1:$BE$65000,$B538,E$5)=1,1,IF(AND(E537&gt;=1,E537&lt;=9,ROW()&lt;=cur_line),E537+1,0)),0)</f>
        <v>0</v>
      </c>
      <c r="F538" s="194">
        <f>IFERROR(IF(INDEX([1]Pivot!$AD$1:$BE$65000,$B538,F$5)=1,1,IF(AND(F537&gt;=1,F537&lt;=9,ROW()&lt;=cur_line),F537+1,0)),0)</f>
        <v>0</v>
      </c>
      <c r="G538" s="194">
        <f>IFERROR(IF(INDEX([1]Pivot!$AD$1:$BE$65000,$B538,G$5)=1,1,IF(AND(G537&gt;=1,G537&lt;=9,ROW()&lt;=cur_line),G537+1,0)),0)</f>
        <v>0</v>
      </c>
      <c r="H538" s="194">
        <f>IFERROR(IF(INDEX([1]Pivot!$AD$1:$BE$65000,$B538,H$5)=1,1,IF(AND(H537&gt;=1,H537&lt;=9,ROW()&lt;=cur_line),H537+1,0)),0)</f>
        <v>0</v>
      </c>
      <c r="I538" s="194">
        <f>IFERROR(IF(INDEX([1]Pivot!$AD$1:$BE$65000,$B538,I$5)=1,1,IF(AND(I537&gt;=1,I537&lt;=9,ROW()&lt;=cur_line),I537+1,0)),0)</f>
        <v>0</v>
      </c>
      <c r="J538" s="194">
        <f>IFERROR(IF(INDEX([1]Pivot!$AD$1:$BE$65000,$B538,J$5)=1,1,IF(AND(J537&gt;=1,J537&lt;=9,ROW()&lt;=cur_line),J537+1,0)),0)</f>
        <v>0</v>
      </c>
      <c r="K538" s="194">
        <f>IFERROR(IF(INDEX([1]Pivot!$AD$1:$BE$65000,$B538,K$5)=1,1,IF(AND(K537&gt;=1,K537&lt;=9,ROW()&lt;=cur_line),K537+1,0)),0)</f>
        <v>0</v>
      </c>
      <c r="L538" s="194">
        <f>IFERROR(IF(INDEX([1]Pivot!$AD$1:$BE$65000,$B538,L$5)=1,1,IF(AND(L537&gt;=1,L537&lt;=9,ROW()&lt;=cur_line),L537+1,0)),0)</f>
        <v>0</v>
      </c>
      <c r="M538" s="194">
        <f>IFERROR(IF(INDEX([1]Pivot!$AD$1:$BE$65000,$B538,M$5)=1,1,IF(AND(M537&gt;=1,M537&lt;=9,ROW()&lt;=cur_line),M537+1,0)),0)</f>
        <v>0</v>
      </c>
      <c r="N538" s="194">
        <f>IFERROR(IF(INDEX([1]Pivot!$AD$1:$BE$65000,$B538,N$5)=1,1,IF(AND(N537&gt;=1,N537&lt;=9,ROW()&lt;=cur_line),N537+1,0)),0)</f>
        <v>0</v>
      </c>
      <c r="O538" s="194">
        <f>IFERROR(IF(INDEX([1]Pivot!$AD$1:$BE$65000,$B538,O$5)=1,1,IF(AND(O537&gt;=1,O537&lt;=9,ROW()&lt;=cur_line),O537+1,0)),0)</f>
        <v>0</v>
      </c>
      <c r="P538" s="194">
        <f>IFERROR(IF(INDEX([1]Pivot!$AD$1:$BE$65000,$B538,P$5)=1,1,IF(AND(P537&gt;=1,P537&lt;=9,ROW()&lt;=cur_line),P537+1,0)),0)</f>
        <v>0</v>
      </c>
      <c r="Q538" s="194">
        <f>IFERROR(IF(INDEX([1]Pivot!$AD$1:$BE$65000,$B538,Q$5)=1,1,IF(AND(Q537&gt;=1,Q537&lt;=9,ROW()&lt;=cur_line),Q537+1,0)),0)</f>
        <v>0</v>
      </c>
      <c r="R538" s="312"/>
      <c r="S538" s="194">
        <f>IFERROR(IF(INDEX([1]Pivot!$AD$1:$BE$65000,$B538,S$5)=1,1,IF(AND(S537&gt;=1,S537&lt;=9,ROW()&lt;=cur_line),S537+1,0)),0)</f>
        <v>0</v>
      </c>
      <c r="T538" s="194">
        <f>IFERROR(IF(INDEX([1]Pivot!$AD$1:$BE$65000,$B538,T$5)=1,1,IF(AND(T537&gt;=1,T537&lt;=9,ROW()&lt;=cur_line),T537+1,0)),0)</f>
        <v>0</v>
      </c>
      <c r="U538" s="194">
        <f>IFERROR(IF(INDEX([1]Pivot!$AD$1:$BE$65000,$B538,U$5)=1,1,IF(AND(U537&gt;=1,U537&lt;=9,ROW()&lt;=cur_line),U537+1,0)),0)</f>
        <v>0</v>
      </c>
      <c r="V538" s="194">
        <f>IFERROR(IF(INDEX([1]Pivot!$AD$1:$BE$65000,$B538,V$5)=1,1,IF(AND(V537&gt;=1,V537&lt;=9,ROW()&lt;=cur_line),V537+1,0)),0)</f>
        <v>0</v>
      </c>
      <c r="W538" s="194">
        <f>IFERROR(IF(INDEX([1]Pivot!$AD$1:$BE$65000,$B538,W$5)=1,1,IF(AND(W537&gt;=1,W537&lt;=9,ROW()&lt;=cur_line),W537+1,0)),0)</f>
        <v>0</v>
      </c>
      <c r="X538" s="194">
        <f>IFERROR(IF(INDEX([1]Pivot!$AD$1:$BE$65000,$B538,X$5)=1,1,IF(AND(X537&gt;=1,X537&lt;=9,ROW()&lt;=cur_line),X537+1,0)),0)</f>
        <v>0</v>
      </c>
      <c r="Y538" s="194">
        <f>IFERROR(IF(INDEX([1]Pivot!$AD$1:$BE$65000,$B538,Y$5)=1,1,IF(AND(Y537&gt;=1,Y537&lt;=9,ROW()&lt;=cur_line),Y537+1,0)),0)</f>
        <v>0</v>
      </c>
      <c r="Z538" s="194">
        <f>IFERROR(IF(INDEX([1]Pivot!$AD$1:$BE$65000,$B538,Z$5)=1,1,IF(AND(Z537&gt;=1,Z537&lt;=9,ROW()&lt;=cur_line),Z537+1,0)),0)</f>
        <v>0</v>
      </c>
      <c r="AA538" s="194">
        <f>IFERROR(IF(INDEX([1]Pivot!$AD$1:$BE$65000,$B538,AA$5)=1,1,IF(AND(AA537&gt;=1,AA537&lt;=9,ROW()&lt;=cur_line),AA537+1,0)),0)</f>
        <v>0</v>
      </c>
      <c r="AB538" s="194">
        <f>IFERROR(IF(INDEX([1]Pivot!$AD$1:$BE$65000,$B538,AB$5)=1,1,IF(AND(AB537&gt;=1,AB537&lt;=9,ROW()&lt;=cur_line),AB537+1,0)),0)</f>
        <v>0</v>
      </c>
      <c r="AC538" s="194">
        <f>IFERROR(IF(INDEX([1]Pivot!$AD$1:$BE$65000,$B538,AC$5)=1,1,IF(AND(AC537&gt;=1,AC537&lt;=9,ROW()&lt;=cur_line),AC537+1,0)),0)</f>
        <v>0</v>
      </c>
      <c r="AD538" s="313">
        <f>IFERROR(IF(INDEX([1]Pivot!$BF$1:$CG$65000,$B538,AD$5)=1,1,IF(AND(AD537&gt;=1,AD537&lt;=9,ROW()&lt;=cur_line),AD537+1,0)),0)</f>
        <v>0</v>
      </c>
      <c r="AE538" s="313">
        <f>IFERROR(IF(INDEX([1]Pivot!$BF$1:$CG$65000,$B538,AE$5)=1,1,IF(AND(AE537&gt;=1,AE537&lt;=9,ROW()&lt;=cur_line),AE537+1,0)),0)</f>
        <v>0</v>
      </c>
      <c r="AF538" s="313">
        <f>IFERROR(IF(INDEX([1]Pivot!$BF$1:$CG$65000,$B538,AF$5)=1,1,IF(AND(AF537&gt;=1,AF537&lt;=9,ROW()&lt;=cur_line),AF537+1,0)),0)</f>
        <v>0</v>
      </c>
      <c r="AG538" s="313">
        <f>IFERROR(IF(INDEX([1]Pivot!$BF$1:$CG$65000,$B538,AG$5)=1,1,IF(AND(AG537&gt;=1,AG537&lt;=9,ROW()&lt;=cur_line),AG537+1,0)),0)</f>
        <v>0</v>
      </c>
      <c r="AH538" s="313">
        <f>IFERROR(IF(INDEX([1]Pivot!$BF$1:$CG$65000,$B538,AH$5)=1,1,IF(AND(AH537&gt;=1,AH537&lt;=9,ROW()&lt;=cur_line),AH537+1,0)),0)</f>
        <v>0</v>
      </c>
      <c r="AI538" s="313">
        <f>IFERROR(IF(INDEX([1]Pivot!$BF$1:$CG$65000,$B538,AI$5)=1,1,IF(AND(AI537&gt;=1,AI537&lt;=9,ROW()&lt;=cur_line),AI537+1,0)),0)</f>
        <v>0</v>
      </c>
      <c r="AJ538" s="313">
        <f>IFERROR(IF(INDEX([1]Pivot!$BF$1:$CG$65000,$B538,AJ$5)=1,1,IF(AND(AJ537&gt;=1,AJ537&lt;=9,ROW()&lt;=cur_line),AJ537+1,0)),0)</f>
        <v>0</v>
      </c>
      <c r="AK538" s="313">
        <f>IFERROR(IF(INDEX([1]Pivot!$BF$1:$CG$65000,$B538,AK$5)=1,1,IF(AND(AK537&gt;=1,AK537&lt;=9,ROW()&lt;=cur_line),AK537+1,0)),0)</f>
        <v>0</v>
      </c>
      <c r="AL538" s="313">
        <f>IFERROR(IF(INDEX([1]Pivot!$BF$1:$CG$65000,$B538,AL$5)=1,1,IF(AND(AL537&gt;=1,AL537&lt;=9,ROW()&lt;=cur_line),AL537+1,0)),0)</f>
        <v>0</v>
      </c>
      <c r="AM538" s="313">
        <f>IFERROR(IF(INDEX([1]Pivot!$BF$1:$CG$65000,$B538,AM$5)=1,1,IF(AND(AM537&gt;=1,AM537&lt;=9,ROW()&lt;=cur_line),AM537+1,0)),0)</f>
        <v>0</v>
      </c>
      <c r="AN538" s="313">
        <f>IFERROR(IF(INDEX([1]Pivot!$BF$1:$CG$65000,$B538,AN$5)=1,1,IF(AND(AN537&gt;=1,AN537&lt;=9,ROW()&lt;=cur_line),AN537+1,0)),0)</f>
        <v>0</v>
      </c>
      <c r="AO538" s="313">
        <f>IFERROR(IF(INDEX([1]Pivot!$BF$1:$CG$65000,$B538,AO$5)=1,1,IF(AND(AO537&gt;=1,AO537&lt;=9,ROW()&lt;=cur_line),AO537+1,0)),0)</f>
        <v>0</v>
      </c>
      <c r="AP538" s="313">
        <f>IFERROR(IF(INDEX([1]Pivot!$BF$1:$CG$65000,$B538,AP$5)=1,1,IF(AND(AP537&gt;=1,AP537&lt;=9,ROW()&lt;=cur_line),AP537+1,0)),0)</f>
        <v>0</v>
      </c>
      <c r="AQ538" s="313">
        <f>IFERROR(IF(INDEX([1]Pivot!$BF$1:$CG$65000,$B538,AQ$5)=1,1,IF(AND(AQ537&gt;=1,AQ537&lt;=9,ROW()&lt;=cur_line),AQ537+1,0)),0)</f>
        <v>0</v>
      </c>
      <c r="AR538" s="313">
        <f>IFERROR(IF(INDEX([1]Pivot!$BF$1:$CG$65000,$B538,AR$5)=1,1,IF(AND(AR537&gt;=1,AR537&lt;=9,ROW()&lt;=cur_line),AR537+1,0)),0)</f>
        <v>0</v>
      </c>
      <c r="AS538" s="312"/>
      <c r="AT538" s="313">
        <f>IFERROR(IF(INDEX([1]Pivot!$BF$1:$CG$65000,$B538,AT$5)=1,1,IF(AND(AT537&gt;=1,AT537&lt;=9,ROW()&lt;=cur_line),AT537+1,0)),0)</f>
        <v>0</v>
      </c>
      <c r="AU538" s="313">
        <f>IFERROR(IF(INDEX([1]Pivot!$BF$1:$CG$65000,$B538,AU$5)=1,1,IF(AND(AU537&gt;=1,AU537&lt;=9,ROW()&lt;=cur_line),AU537+1,0)),0)</f>
        <v>0</v>
      </c>
      <c r="AV538" s="313">
        <f>IFERROR(IF(INDEX([1]Pivot!$BF$1:$CG$65000,$B538,AV$5)=1,1,IF(AND(AV537&gt;=1,AV537&lt;=9,ROW()&lt;=cur_line),AV537+1,0)),0)</f>
        <v>0</v>
      </c>
      <c r="AW538" s="313">
        <f>IFERROR(IF(INDEX([1]Pivot!$BF$1:$CG$65000,$B538,AW$5)=1,1,IF(AND(AW537&gt;=1,AW537&lt;=9,ROW()&lt;=cur_line),AW537+1,0)),0)</f>
        <v>0</v>
      </c>
      <c r="AX538" s="313">
        <f>IFERROR(IF(INDEX([1]Pivot!$BF$1:$CG$65000,$B538,AX$5)=1,1,IF(AND(AX537&gt;=1,AX537&lt;=9,ROW()&lt;=cur_line),AX537+1,0)),0)</f>
        <v>0</v>
      </c>
      <c r="AY538" s="313">
        <f>IFERROR(IF(INDEX([1]Pivot!$BF$1:$CG$65000,$B538,AY$5)=1,1,IF(AND(AY537&gt;=1,AY537&lt;=9,ROW()&lt;=cur_line),AY537+1,0)),0)</f>
        <v>0</v>
      </c>
      <c r="AZ538" s="313">
        <f>IFERROR(IF(INDEX([1]Pivot!$BF$1:$CG$65000,$B538,AZ$5)=1,1,IF(AND(AZ537&gt;=1,AZ537&lt;=9,ROW()&lt;=cur_line),AZ537+1,0)),0)</f>
        <v>0</v>
      </c>
      <c r="BA538" s="313">
        <f>IFERROR(IF(INDEX([1]Pivot!$BF$1:$CG$65000,$B538,BA$5)=1,1,IF(AND(BA537&gt;=1,BA537&lt;=9,ROW()&lt;=cur_line),BA537+1,0)),0)</f>
        <v>0</v>
      </c>
      <c r="BB538" s="313">
        <f>IFERROR(IF(INDEX([1]Pivot!$BF$1:$CG$65000,$B538,BB$5)=1,1,IF(AND(BB537&gt;=1,BB537&lt;=9,ROW()&lt;=cur_line),BB537+1,0)),0)</f>
        <v>0</v>
      </c>
      <c r="BC538" s="313">
        <f>IFERROR(IF(INDEX([1]Pivot!$BF$1:$CG$65000,$B538,BC$5)=1,1,IF(AND(BC537&gt;=1,BC537&lt;=9,ROW()&lt;=cur_line),BC537+1,0)),0)</f>
        <v>0</v>
      </c>
      <c r="BD538" s="313">
        <f>IFERROR(IF(INDEX([1]Pivot!$BF$1:$CG$65000,$B538,BD$5)=1,1,IF(AND(BD537&gt;=1,BD537&lt;=9,ROW()&lt;=cur_line),BD537+1,0)),0)</f>
        <v>0</v>
      </c>
    </row>
    <row r="539" spans="1:56" hidden="1" outlineLevel="1" x14ac:dyDescent="0.25">
      <c r="A539" s="288" t="str">
        <f>'[2]Raw Milk Prices'!A539</f>
        <v>2021m04</v>
      </c>
      <c r="B539" s="296" t="e">
        <f>MATCH(DATE(LEFT('[2]Raw Milk Prices'!$A539,4),RIGHT('[2]Raw Milk Prices'!$A539,2),1),[1]Pivot!$A$1:$A$65000,0)</f>
        <v>#N/A</v>
      </c>
      <c r="C539" s="194">
        <f>IFERROR(IF(INDEX([1]Pivot!$AD$1:$BE$65000,$B539,C$5)=1,1,IF(AND(C538&gt;=1,C538&lt;=9,ROW()&lt;=cur_line),C538+1,0)),0)</f>
        <v>0</v>
      </c>
      <c r="D539" s="194">
        <f>IFERROR(IF(INDEX([1]Pivot!$AD$1:$BE$65000,$B539,D$5)=1,1,IF(AND(D538&gt;=1,D538&lt;=9,ROW()&lt;=cur_line),D538+1,0)),0)</f>
        <v>0</v>
      </c>
      <c r="E539" s="194">
        <f>IFERROR(IF(INDEX([1]Pivot!$AD$1:$BE$65000,$B539,E$5)=1,1,IF(AND(E538&gt;=1,E538&lt;=9,ROW()&lt;=cur_line),E538+1,0)),0)</f>
        <v>0</v>
      </c>
      <c r="F539" s="194">
        <f>IFERROR(IF(INDEX([1]Pivot!$AD$1:$BE$65000,$B539,F$5)=1,1,IF(AND(F538&gt;=1,F538&lt;=9,ROW()&lt;=cur_line),F538+1,0)),0)</f>
        <v>0</v>
      </c>
      <c r="G539" s="194">
        <f>IFERROR(IF(INDEX([1]Pivot!$AD$1:$BE$65000,$B539,G$5)=1,1,IF(AND(G538&gt;=1,G538&lt;=9,ROW()&lt;=cur_line),G538+1,0)),0)</f>
        <v>0</v>
      </c>
      <c r="H539" s="194">
        <f>IFERROR(IF(INDEX([1]Pivot!$AD$1:$BE$65000,$B539,H$5)=1,1,IF(AND(H538&gt;=1,H538&lt;=9,ROW()&lt;=cur_line),H538+1,0)),0)</f>
        <v>0</v>
      </c>
      <c r="I539" s="194">
        <f>IFERROR(IF(INDEX([1]Pivot!$AD$1:$BE$65000,$B539,I$5)=1,1,IF(AND(I538&gt;=1,I538&lt;=9,ROW()&lt;=cur_line),I538+1,0)),0)</f>
        <v>0</v>
      </c>
      <c r="J539" s="194">
        <f>IFERROR(IF(INDEX([1]Pivot!$AD$1:$BE$65000,$B539,J$5)=1,1,IF(AND(J538&gt;=1,J538&lt;=9,ROW()&lt;=cur_line),J538+1,0)),0)</f>
        <v>0</v>
      </c>
      <c r="K539" s="194">
        <f>IFERROR(IF(INDEX([1]Pivot!$AD$1:$BE$65000,$B539,K$5)=1,1,IF(AND(K538&gt;=1,K538&lt;=9,ROW()&lt;=cur_line),K538+1,0)),0)</f>
        <v>0</v>
      </c>
      <c r="L539" s="194">
        <f>IFERROR(IF(INDEX([1]Pivot!$AD$1:$BE$65000,$B539,L$5)=1,1,IF(AND(L538&gt;=1,L538&lt;=9,ROW()&lt;=cur_line),L538+1,0)),0)</f>
        <v>0</v>
      </c>
      <c r="M539" s="194">
        <f>IFERROR(IF(INDEX([1]Pivot!$AD$1:$BE$65000,$B539,M$5)=1,1,IF(AND(M538&gt;=1,M538&lt;=9,ROW()&lt;=cur_line),M538+1,0)),0)</f>
        <v>0</v>
      </c>
      <c r="N539" s="194">
        <f>IFERROR(IF(INDEX([1]Pivot!$AD$1:$BE$65000,$B539,N$5)=1,1,IF(AND(N538&gt;=1,N538&lt;=9,ROW()&lt;=cur_line),N538+1,0)),0)</f>
        <v>0</v>
      </c>
      <c r="O539" s="194">
        <f>IFERROR(IF(INDEX([1]Pivot!$AD$1:$BE$65000,$B539,O$5)=1,1,IF(AND(O538&gt;=1,O538&lt;=9,ROW()&lt;=cur_line),O538+1,0)),0)</f>
        <v>0</v>
      </c>
      <c r="P539" s="194">
        <f>IFERROR(IF(INDEX([1]Pivot!$AD$1:$BE$65000,$B539,P$5)=1,1,IF(AND(P538&gt;=1,P538&lt;=9,ROW()&lt;=cur_line),P538+1,0)),0)</f>
        <v>0</v>
      </c>
      <c r="Q539" s="194">
        <f>IFERROR(IF(INDEX([1]Pivot!$AD$1:$BE$65000,$B539,Q$5)=1,1,IF(AND(Q538&gt;=1,Q538&lt;=9,ROW()&lt;=cur_line),Q538+1,0)),0)</f>
        <v>0</v>
      </c>
      <c r="R539" s="312"/>
      <c r="S539" s="194">
        <f>IFERROR(IF(INDEX([1]Pivot!$AD$1:$BE$65000,$B539,S$5)=1,1,IF(AND(S538&gt;=1,S538&lt;=9,ROW()&lt;=cur_line),S538+1,0)),0)</f>
        <v>0</v>
      </c>
      <c r="T539" s="194">
        <f>IFERROR(IF(INDEX([1]Pivot!$AD$1:$BE$65000,$B539,T$5)=1,1,IF(AND(T538&gt;=1,T538&lt;=9,ROW()&lt;=cur_line),T538+1,0)),0)</f>
        <v>0</v>
      </c>
      <c r="U539" s="194">
        <f>IFERROR(IF(INDEX([1]Pivot!$AD$1:$BE$65000,$B539,U$5)=1,1,IF(AND(U538&gt;=1,U538&lt;=9,ROW()&lt;=cur_line),U538+1,0)),0)</f>
        <v>0</v>
      </c>
      <c r="V539" s="194">
        <f>IFERROR(IF(INDEX([1]Pivot!$AD$1:$BE$65000,$B539,V$5)=1,1,IF(AND(V538&gt;=1,V538&lt;=9,ROW()&lt;=cur_line),V538+1,0)),0)</f>
        <v>0</v>
      </c>
      <c r="W539" s="194">
        <f>IFERROR(IF(INDEX([1]Pivot!$AD$1:$BE$65000,$B539,W$5)=1,1,IF(AND(W538&gt;=1,W538&lt;=9,ROW()&lt;=cur_line),W538+1,0)),0)</f>
        <v>0</v>
      </c>
      <c r="X539" s="194">
        <f>IFERROR(IF(INDEX([1]Pivot!$AD$1:$BE$65000,$B539,X$5)=1,1,IF(AND(X538&gt;=1,X538&lt;=9,ROW()&lt;=cur_line),X538+1,0)),0)</f>
        <v>0</v>
      </c>
      <c r="Y539" s="194">
        <f>IFERROR(IF(INDEX([1]Pivot!$AD$1:$BE$65000,$B539,Y$5)=1,1,IF(AND(Y538&gt;=1,Y538&lt;=9,ROW()&lt;=cur_line),Y538+1,0)),0)</f>
        <v>0</v>
      </c>
      <c r="Z539" s="194">
        <f>IFERROR(IF(INDEX([1]Pivot!$AD$1:$BE$65000,$B539,Z$5)=1,1,IF(AND(Z538&gt;=1,Z538&lt;=9,ROW()&lt;=cur_line),Z538+1,0)),0)</f>
        <v>0</v>
      </c>
      <c r="AA539" s="194">
        <f>IFERROR(IF(INDEX([1]Pivot!$AD$1:$BE$65000,$B539,AA$5)=1,1,IF(AND(AA538&gt;=1,AA538&lt;=9,ROW()&lt;=cur_line),AA538+1,0)),0)</f>
        <v>0</v>
      </c>
      <c r="AB539" s="194">
        <f>IFERROR(IF(INDEX([1]Pivot!$AD$1:$BE$65000,$B539,AB$5)=1,1,IF(AND(AB538&gt;=1,AB538&lt;=9,ROW()&lt;=cur_line),AB538+1,0)),0)</f>
        <v>0</v>
      </c>
      <c r="AC539" s="194">
        <f>IFERROR(IF(INDEX([1]Pivot!$AD$1:$BE$65000,$B539,AC$5)=1,1,IF(AND(AC538&gt;=1,AC538&lt;=9,ROW()&lt;=cur_line),AC538+1,0)),0)</f>
        <v>0</v>
      </c>
      <c r="AD539" s="313">
        <f>IFERROR(IF(INDEX([1]Pivot!$BF$1:$CG$65000,$B539,AD$5)=1,1,IF(AND(AD538&gt;=1,AD538&lt;=9,ROW()&lt;=cur_line),AD538+1,0)),0)</f>
        <v>0</v>
      </c>
      <c r="AE539" s="313">
        <f>IFERROR(IF(INDEX([1]Pivot!$BF$1:$CG$65000,$B539,AE$5)=1,1,IF(AND(AE538&gt;=1,AE538&lt;=9,ROW()&lt;=cur_line),AE538+1,0)),0)</f>
        <v>0</v>
      </c>
      <c r="AF539" s="313">
        <f>IFERROR(IF(INDEX([1]Pivot!$BF$1:$CG$65000,$B539,AF$5)=1,1,IF(AND(AF538&gt;=1,AF538&lt;=9,ROW()&lt;=cur_line),AF538+1,0)),0)</f>
        <v>0</v>
      </c>
      <c r="AG539" s="313">
        <f>IFERROR(IF(INDEX([1]Pivot!$BF$1:$CG$65000,$B539,AG$5)=1,1,IF(AND(AG538&gt;=1,AG538&lt;=9,ROW()&lt;=cur_line),AG538+1,0)),0)</f>
        <v>0</v>
      </c>
      <c r="AH539" s="313">
        <f>IFERROR(IF(INDEX([1]Pivot!$BF$1:$CG$65000,$B539,AH$5)=1,1,IF(AND(AH538&gt;=1,AH538&lt;=9,ROW()&lt;=cur_line),AH538+1,0)),0)</f>
        <v>0</v>
      </c>
      <c r="AI539" s="313">
        <f>IFERROR(IF(INDEX([1]Pivot!$BF$1:$CG$65000,$B539,AI$5)=1,1,IF(AND(AI538&gt;=1,AI538&lt;=9,ROW()&lt;=cur_line),AI538+1,0)),0)</f>
        <v>0</v>
      </c>
      <c r="AJ539" s="313">
        <f>IFERROR(IF(INDEX([1]Pivot!$BF$1:$CG$65000,$B539,AJ$5)=1,1,IF(AND(AJ538&gt;=1,AJ538&lt;=9,ROW()&lt;=cur_line),AJ538+1,0)),0)</f>
        <v>0</v>
      </c>
      <c r="AK539" s="313">
        <f>IFERROR(IF(INDEX([1]Pivot!$BF$1:$CG$65000,$B539,AK$5)=1,1,IF(AND(AK538&gt;=1,AK538&lt;=9,ROW()&lt;=cur_line),AK538+1,0)),0)</f>
        <v>0</v>
      </c>
      <c r="AL539" s="313">
        <f>IFERROR(IF(INDEX([1]Pivot!$BF$1:$CG$65000,$B539,AL$5)=1,1,IF(AND(AL538&gt;=1,AL538&lt;=9,ROW()&lt;=cur_line),AL538+1,0)),0)</f>
        <v>0</v>
      </c>
      <c r="AM539" s="313">
        <f>IFERROR(IF(INDEX([1]Pivot!$BF$1:$CG$65000,$B539,AM$5)=1,1,IF(AND(AM538&gt;=1,AM538&lt;=9,ROW()&lt;=cur_line),AM538+1,0)),0)</f>
        <v>0</v>
      </c>
      <c r="AN539" s="313">
        <f>IFERROR(IF(INDEX([1]Pivot!$BF$1:$CG$65000,$B539,AN$5)=1,1,IF(AND(AN538&gt;=1,AN538&lt;=9,ROW()&lt;=cur_line),AN538+1,0)),0)</f>
        <v>0</v>
      </c>
      <c r="AO539" s="313">
        <f>IFERROR(IF(INDEX([1]Pivot!$BF$1:$CG$65000,$B539,AO$5)=1,1,IF(AND(AO538&gt;=1,AO538&lt;=9,ROW()&lt;=cur_line),AO538+1,0)),0)</f>
        <v>0</v>
      </c>
      <c r="AP539" s="313">
        <f>IFERROR(IF(INDEX([1]Pivot!$BF$1:$CG$65000,$B539,AP$5)=1,1,IF(AND(AP538&gt;=1,AP538&lt;=9,ROW()&lt;=cur_line),AP538+1,0)),0)</f>
        <v>0</v>
      </c>
      <c r="AQ539" s="313">
        <f>IFERROR(IF(INDEX([1]Pivot!$BF$1:$CG$65000,$B539,AQ$5)=1,1,IF(AND(AQ538&gt;=1,AQ538&lt;=9,ROW()&lt;=cur_line),AQ538+1,0)),0)</f>
        <v>0</v>
      </c>
      <c r="AR539" s="313">
        <f>IFERROR(IF(INDEX([1]Pivot!$BF$1:$CG$65000,$B539,AR$5)=1,1,IF(AND(AR538&gt;=1,AR538&lt;=9,ROW()&lt;=cur_line),AR538+1,0)),0)</f>
        <v>0</v>
      </c>
      <c r="AS539" s="312"/>
      <c r="AT539" s="313">
        <f>IFERROR(IF(INDEX([1]Pivot!$BF$1:$CG$65000,$B539,AT$5)=1,1,IF(AND(AT538&gt;=1,AT538&lt;=9,ROW()&lt;=cur_line),AT538+1,0)),0)</f>
        <v>0</v>
      </c>
      <c r="AU539" s="313">
        <f>IFERROR(IF(INDEX([1]Pivot!$BF$1:$CG$65000,$B539,AU$5)=1,1,IF(AND(AU538&gt;=1,AU538&lt;=9,ROW()&lt;=cur_line),AU538+1,0)),0)</f>
        <v>0</v>
      </c>
      <c r="AV539" s="313">
        <f>IFERROR(IF(INDEX([1]Pivot!$BF$1:$CG$65000,$B539,AV$5)=1,1,IF(AND(AV538&gt;=1,AV538&lt;=9,ROW()&lt;=cur_line),AV538+1,0)),0)</f>
        <v>0</v>
      </c>
      <c r="AW539" s="313">
        <f>IFERROR(IF(INDEX([1]Pivot!$BF$1:$CG$65000,$B539,AW$5)=1,1,IF(AND(AW538&gt;=1,AW538&lt;=9,ROW()&lt;=cur_line),AW538+1,0)),0)</f>
        <v>0</v>
      </c>
      <c r="AX539" s="313">
        <f>IFERROR(IF(INDEX([1]Pivot!$BF$1:$CG$65000,$B539,AX$5)=1,1,IF(AND(AX538&gt;=1,AX538&lt;=9,ROW()&lt;=cur_line),AX538+1,0)),0)</f>
        <v>0</v>
      </c>
      <c r="AY539" s="313">
        <f>IFERROR(IF(INDEX([1]Pivot!$BF$1:$CG$65000,$B539,AY$5)=1,1,IF(AND(AY538&gt;=1,AY538&lt;=9,ROW()&lt;=cur_line),AY538+1,0)),0)</f>
        <v>0</v>
      </c>
      <c r="AZ539" s="313">
        <f>IFERROR(IF(INDEX([1]Pivot!$BF$1:$CG$65000,$B539,AZ$5)=1,1,IF(AND(AZ538&gt;=1,AZ538&lt;=9,ROW()&lt;=cur_line),AZ538+1,0)),0)</f>
        <v>0</v>
      </c>
      <c r="BA539" s="313">
        <f>IFERROR(IF(INDEX([1]Pivot!$BF$1:$CG$65000,$B539,BA$5)=1,1,IF(AND(BA538&gt;=1,BA538&lt;=9,ROW()&lt;=cur_line),BA538+1,0)),0)</f>
        <v>0</v>
      </c>
      <c r="BB539" s="313">
        <f>IFERROR(IF(INDEX([1]Pivot!$BF$1:$CG$65000,$B539,BB$5)=1,1,IF(AND(BB538&gt;=1,BB538&lt;=9,ROW()&lt;=cur_line),BB538+1,0)),0)</f>
        <v>0</v>
      </c>
      <c r="BC539" s="313">
        <f>IFERROR(IF(INDEX([1]Pivot!$BF$1:$CG$65000,$B539,BC$5)=1,1,IF(AND(BC538&gt;=1,BC538&lt;=9,ROW()&lt;=cur_line),BC538+1,0)),0)</f>
        <v>0</v>
      </c>
      <c r="BD539" s="313">
        <f>IFERROR(IF(INDEX([1]Pivot!$BF$1:$CG$65000,$B539,BD$5)=1,1,IF(AND(BD538&gt;=1,BD538&lt;=9,ROW()&lt;=cur_line),BD538+1,0)),0)</f>
        <v>0</v>
      </c>
    </row>
    <row r="540" spans="1:56" hidden="1" outlineLevel="1" x14ac:dyDescent="0.25">
      <c r="A540" s="288" t="str">
        <f>'[2]Raw Milk Prices'!A540</f>
        <v>2021m05</v>
      </c>
      <c r="B540" s="296" t="e">
        <f>MATCH(DATE(LEFT('[2]Raw Milk Prices'!$A540,4),RIGHT('[2]Raw Milk Prices'!$A540,2),1),[1]Pivot!$A$1:$A$65000,0)</f>
        <v>#N/A</v>
      </c>
      <c r="C540" s="194">
        <f>IFERROR(IF(INDEX([1]Pivot!$AD$1:$BE$65000,$B540,C$5)=1,1,IF(AND(C539&gt;=1,C539&lt;=9,ROW()&lt;=cur_line),C539+1,0)),0)</f>
        <v>0</v>
      </c>
      <c r="D540" s="194">
        <f>IFERROR(IF(INDEX([1]Pivot!$AD$1:$BE$65000,$B540,D$5)=1,1,IF(AND(D539&gt;=1,D539&lt;=9,ROW()&lt;=cur_line),D539+1,0)),0)</f>
        <v>0</v>
      </c>
      <c r="E540" s="194">
        <f>IFERROR(IF(INDEX([1]Pivot!$AD$1:$BE$65000,$B540,E$5)=1,1,IF(AND(E539&gt;=1,E539&lt;=9,ROW()&lt;=cur_line),E539+1,0)),0)</f>
        <v>0</v>
      </c>
      <c r="F540" s="194">
        <f>IFERROR(IF(INDEX([1]Pivot!$AD$1:$BE$65000,$B540,F$5)=1,1,IF(AND(F539&gt;=1,F539&lt;=9,ROW()&lt;=cur_line),F539+1,0)),0)</f>
        <v>0</v>
      </c>
      <c r="G540" s="194">
        <f>IFERROR(IF(INDEX([1]Pivot!$AD$1:$BE$65000,$B540,G$5)=1,1,IF(AND(G539&gt;=1,G539&lt;=9,ROW()&lt;=cur_line),G539+1,0)),0)</f>
        <v>0</v>
      </c>
      <c r="H540" s="194">
        <f>IFERROR(IF(INDEX([1]Pivot!$AD$1:$BE$65000,$B540,H$5)=1,1,IF(AND(H539&gt;=1,H539&lt;=9,ROW()&lt;=cur_line),H539+1,0)),0)</f>
        <v>0</v>
      </c>
      <c r="I540" s="194">
        <f>IFERROR(IF(INDEX([1]Pivot!$AD$1:$BE$65000,$B540,I$5)=1,1,IF(AND(I539&gt;=1,I539&lt;=9,ROW()&lt;=cur_line),I539+1,0)),0)</f>
        <v>0</v>
      </c>
      <c r="J540" s="194">
        <f>IFERROR(IF(INDEX([1]Pivot!$AD$1:$BE$65000,$B540,J$5)=1,1,IF(AND(J539&gt;=1,J539&lt;=9,ROW()&lt;=cur_line),J539+1,0)),0)</f>
        <v>0</v>
      </c>
      <c r="K540" s="194">
        <f>IFERROR(IF(INDEX([1]Pivot!$AD$1:$BE$65000,$B540,K$5)=1,1,IF(AND(K539&gt;=1,K539&lt;=9,ROW()&lt;=cur_line),K539+1,0)),0)</f>
        <v>0</v>
      </c>
      <c r="L540" s="194">
        <f>IFERROR(IF(INDEX([1]Pivot!$AD$1:$BE$65000,$B540,L$5)=1,1,IF(AND(L539&gt;=1,L539&lt;=9,ROW()&lt;=cur_line),L539+1,0)),0)</f>
        <v>0</v>
      </c>
      <c r="M540" s="194">
        <f>IFERROR(IF(INDEX([1]Pivot!$AD$1:$BE$65000,$B540,M$5)=1,1,IF(AND(M539&gt;=1,M539&lt;=9,ROW()&lt;=cur_line),M539+1,0)),0)</f>
        <v>0</v>
      </c>
      <c r="N540" s="194">
        <f>IFERROR(IF(INDEX([1]Pivot!$AD$1:$BE$65000,$B540,N$5)=1,1,IF(AND(N539&gt;=1,N539&lt;=9,ROW()&lt;=cur_line),N539+1,0)),0)</f>
        <v>0</v>
      </c>
      <c r="O540" s="194">
        <f>IFERROR(IF(INDEX([1]Pivot!$AD$1:$BE$65000,$B540,O$5)=1,1,IF(AND(O539&gt;=1,O539&lt;=9,ROW()&lt;=cur_line),O539+1,0)),0)</f>
        <v>0</v>
      </c>
      <c r="P540" s="194">
        <f>IFERROR(IF(INDEX([1]Pivot!$AD$1:$BE$65000,$B540,P$5)=1,1,IF(AND(P539&gt;=1,P539&lt;=9,ROW()&lt;=cur_line),P539+1,0)),0)</f>
        <v>0</v>
      </c>
      <c r="Q540" s="194">
        <f>IFERROR(IF(INDEX([1]Pivot!$AD$1:$BE$65000,$B540,Q$5)=1,1,IF(AND(Q539&gt;=1,Q539&lt;=9,ROW()&lt;=cur_line),Q539+1,0)),0)</f>
        <v>0</v>
      </c>
      <c r="R540" s="312"/>
      <c r="S540" s="194">
        <f>IFERROR(IF(INDEX([1]Pivot!$AD$1:$BE$65000,$B540,S$5)=1,1,IF(AND(S539&gt;=1,S539&lt;=9,ROW()&lt;=cur_line),S539+1,0)),0)</f>
        <v>0</v>
      </c>
      <c r="T540" s="194">
        <f>IFERROR(IF(INDEX([1]Pivot!$AD$1:$BE$65000,$B540,T$5)=1,1,IF(AND(T539&gt;=1,T539&lt;=9,ROW()&lt;=cur_line),T539+1,0)),0)</f>
        <v>0</v>
      </c>
      <c r="U540" s="194">
        <f>IFERROR(IF(INDEX([1]Pivot!$AD$1:$BE$65000,$B540,U$5)=1,1,IF(AND(U539&gt;=1,U539&lt;=9,ROW()&lt;=cur_line),U539+1,0)),0)</f>
        <v>0</v>
      </c>
      <c r="V540" s="194">
        <f>IFERROR(IF(INDEX([1]Pivot!$AD$1:$BE$65000,$B540,V$5)=1,1,IF(AND(V539&gt;=1,V539&lt;=9,ROW()&lt;=cur_line),V539+1,0)),0)</f>
        <v>0</v>
      </c>
      <c r="W540" s="194">
        <f>IFERROR(IF(INDEX([1]Pivot!$AD$1:$BE$65000,$B540,W$5)=1,1,IF(AND(W539&gt;=1,W539&lt;=9,ROW()&lt;=cur_line),W539+1,0)),0)</f>
        <v>0</v>
      </c>
      <c r="X540" s="194">
        <f>IFERROR(IF(INDEX([1]Pivot!$AD$1:$BE$65000,$B540,X$5)=1,1,IF(AND(X539&gt;=1,X539&lt;=9,ROW()&lt;=cur_line),X539+1,0)),0)</f>
        <v>0</v>
      </c>
      <c r="Y540" s="194">
        <f>IFERROR(IF(INDEX([1]Pivot!$AD$1:$BE$65000,$B540,Y$5)=1,1,IF(AND(Y539&gt;=1,Y539&lt;=9,ROW()&lt;=cur_line),Y539+1,0)),0)</f>
        <v>0</v>
      </c>
      <c r="Z540" s="194">
        <f>IFERROR(IF(INDEX([1]Pivot!$AD$1:$BE$65000,$B540,Z$5)=1,1,IF(AND(Z539&gt;=1,Z539&lt;=9,ROW()&lt;=cur_line),Z539+1,0)),0)</f>
        <v>0</v>
      </c>
      <c r="AA540" s="194">
        <f>IFERROR(IF(INDEX([1]Pivot!$AD$1:$BE$65000,$B540,AA$5)=1,1,IF(AND(AA539&gt;=1,AA539&lt;=9,ROW()&lt;=cur_line),AA539+1,0)),0)</f>
        <v>0</v>
      </c>
      <c r="AB540" s="194">
        <f>IFERROR(IF(INDEX([1]Pivot!$AD$1:$BE$65000,$B540,AB$5)=1,1,IF(AND(AB539&gt;=1,AB539&lt;=9,ROW()&lt;=cur_line),AB539+1,0)),0)</f>
        <v>0</v>
      </c>
      <c r="AC540" s="194">
        <f>IFERROR(IF(INDEX([1]Pivot!$AD$1:$BE$65000,$B540,AC$5)=1,1,IF(AND(AC539&gt;=1,AC539&lt;=9,ROW()&lt;=cur_line),AC539+1,0)),0)</f>
        <v>0</v>
      </c>
      <c r="AD540" s="313">
        <f>IFERROR(IF(INDEX([1]Pivot!$BF$1:$CG$65000,$B540,AD$5)=1,1,IF(AND(AD539&gt;=1,AD539&lt;=9,ROW()&lt;=cur_line),AD539+1,0)),0)</f>
        <v>0</v>
      </c>
      <c r="AE540" s="313">
        <f>IFERROR(IF(INDEX([1]Pivot!$BF$1:$CG$65000,$B540,AE$5)=1,1,IF(AND(AE539&gt;=1,AE539&lt;=9,ROW()&lt;=cur_line),AE539+1,0)),0)</f>
        <v>0</v>
      </c>
      <c r="AF540" s="313">
        <f>IFERROR(IF(INDEX([1]Pivot!$BF$1:$CG$65000,$B540,AF$5)=1,1,IF(AND(AF539&gt;=1,AF539&lt;=9,ROW()&lt;=cur_line),AF539+1,0)),0)</f>
        <v>0</v>
      </c>
      <c r="AG540" s="313">
        <f>IFERROR(IF(INDEX([1]Pivot!$BF$1:$CG$65000,$B540,AG$5)=1,1,IF(AND(AG539&gt;=1,AG539&lt;=9,ROW()&lt;=cur_line),AG539+1,0)),0)</f>
        <v>0</v>
      </c>
      <c r="AH540" s="313">
        <f>IFERROR(IF(INDEX([1]Pivot!$BF$1:$CG$65000,$B540,AH$5)=1,1,IF(AND(AH539&gt;=1,AH539&lt;=9,ROW()&lt;=cur_line),AH539+1,0)),0)</f>
        <v>0</v>
      </c>
      <c r="AI540" s="313">
        <f>IFERROR(IF(INDEX([1]Pivot!$BF$1:$CG$65000,$B540,AI$5)=1,1,IF(AND(AI539&gt;=1,AI539&lt;=9,ROW()&lt;=cur_line),AI539+1,0)),0)</f>
        <v>0</v>
      </c>
      <c r="AJ540" s="313">
        <f>IFERROR(IF(INDEX([1]Pivot!$BF$1:$CG$65000,$B540,AJ$5)=1,1,IF(AND(AJ539&gt;=1,AJ539&lt;=9,ROW()&lt;=cur_line),AJ539+1,0)),0)</f>
        <v>0</v>
      </c>
      <c r="AK540" s="313">
        <f>IFERROR(IF(INDEX([1]Pivot!$BF$1:$CG$65000,$B540,AK$5)=1,1,IF(AND(AK539&gt;=1,AK539&lt;=9,ROW()&lt;=cur_line),AK539+1,0)),0)</f>
        <v>0</v>
      </c>
      <c r="AL540" s="313">
        <f>IFERROR(IF(INDEX([1]Pivot!$BF$1:$CG$65000,$B540,AL$5)=1,1,IF(AND(AL539&gt;=1,AL539&lt;=9,ROW()&lt;=cur_line),AL539+1,0)),0)</f>
        <v>0</v>
      </c>
      <c r="AM540" s="313">
        <f>IFERROR(IF(INDEX([1]Pivot!$BF$1:$CG$65000,$B540,AM$5)=1,1,IF(AND(AM539&gt;=1,AM539&lt;=9,ROW()&lt;=cur_line),AM539+1,0)),0)</f>
        <v>0</v>
      </c>
      <c r="AN540" s="313">
        <f>IFERROR(IF(INDEX([1]Pivot!$BF$1:$CG$65000,$B540,AN$5)=1,1,IF(AND(AN539&gt;=1,AN539&lt;=9,ROW()&lt;=cur_line),AN539+1,0)),0)</f>
        <v>0</v>
      </c>
      <c r="AO540" s="313">
        <f>IFERROR(IF(INDEX([1]Pivot!$BF$1:$CG$65000,$B540,AO$5)=1,1,IF(AND(AO539&gt;=1,AO539&lt;=9,ROW()&lt;=cur_line),AO539+1,0)),0)</f>
        <v>0</v>
      </c>
      <c r="AP540" s="313">
        <f>IFERROR(IF(INDEX([1]Pivot!$BF$1:$CG$65000,$B540,AP$5)=1,1,IF(AND(AP539&gt;=1,AP539&lt;=9,ROW()&lt;=cur_line),AP539+1,0)),0)</f>
        <v>0</v>
      </c>
      <c r="AQ540" s="313">
        <f>IFERROR(IF(INDEX([1]Pivot!$BF$1:$CG$65000,$B540,AQ$5)=1,1,IF(AND(AQ539&gt;=1,AQ539&lt;=9,ROW()&lt;=cur_line),AQ539+1,0)),0)</f>
        <v>0</v>
      </c>
      <c r="AR540" s="313">
        <f>IFERROR(IF(INDEX([1]Pivot!$BF$1:$CG$65000,$B540,AR$5)=1,1,IF(AND(AR539&gt;=1,AR539&lt;=9,ROW()&lt;=cur_line),AR539+1,0)),0)</f>
        <v>0</v>
      </c>
      <c r="AS540" s="312"/>
      <c r="AT540" s="313">
        <f>IFERROR(IF(INDEX([1]Pivot!$BF$1:$CG$65000,$B540,AT$5)=1,1,IF(AND(AT539&gt;=1,AT539&lt;=9,ROW()&lt;=cur_line),AT539+1,0)),0)</f>
        <v>0</v>
      </c>
      <c r="AU540" s="313">
        <f>IFERROR(IF(INDEX([1]Pivot!$BF$1:$CG$65000,$B540,AU$5)=1,1,IF(AND(AU539&gt;=1,AU539&lt;=9,ROW()&lt;=cur_line),AU539+1,0)),0)</f>
        <v>0</v>
      </c>
      <c r="AV540" s="313">
        <f>IFERROR(IF(INDEX([1]Pivot!$BF$1:$CG$65000,$B540,AV$5)=1,1,IF(AND(AV539&gt;=1,AV539&lt;=9,ROW()&lt;=cur_line),AV539+1,0)),0)</f>
        <v>0</v>
      </c>
      <c r="AW540" s="313">
        <f>IFERROR(IF(INDEX([1]Pivot!$BF$1:$CG$65000,$B540,AW$5)=1,1,IF(AND(AW539&gt;=1,AW539&lt;=9,ROW()&lt;=cur_line),AW539+1,0)),0)</f>
        <v>0</v>
      </c>
      <c r="AX540" s="313">
        <f>IFERROR(IF(INDEX([1]Pivot!$BF$1:$CG$65000,$B540,AX$5)=1,1,IF(AND(AX539&gt;=1,AX539&lt;=9,ROW()&lt;=cur_line),AX539+1,0)),0)</f>
        <v>0</v>
      </c>
      <c r="AY540" s="313">
        <f>IFERROR(IF(INDEX([1]Pivot!$BF$1:$CG$65000,$B540,AY$5)=1,1,IF(AND(AY539&gt;=1,AY539&lt;=9,ROW()&lt;=cur_line),AY539+1,0)),0)</f>
        <v>0</v>
      </c>
      <c r="AZ540" s="313">
        <f>IFERROR(IF(INDEX([1]Pivot!$BF$1:$CG$65000,$B540,AZ$5)=1,1,IF(AND(AZ539&gt;=1,AZ539&lt;=9,ROW()&lt;=cur_line),AZ539+1,0)),0)</f>
        <v>0</v>
      </c>
      <c r="BA540" s="313">
        <f>IFERROR(IF(INDEX([1]Pivot!$BF$1:$CG$65000,$B540,BA$5)=1,1,IF(AND(BA539&gt;=1,BA539&lt;=9,ROW()&lt;=cur_line),BA539+1,0)),0)</f>
        <v>0</v>
      </c>
      <c r="BB540" s="313">
        <f>IFERROR(IF(INDEX([1]Pivot!$BF$1:$CG$65000,$B540,BB$5)=1,1,IF(AND(BB539&gt;=1,BB539&lt;=9,ROW()&lt;=cur_line),BB539+1,0)),0)</f>
        <v>0</v>
      </c>
      <c r="BC540" s="313">
        <f>IFERROR(IF(INDEX([1]Pivot!$BF$1:$CG$65000,$B540,BC$5)=1,1,IF(AND(BC539&gt;=1,BC539&lt;=9,ROW()&lt;=cur_line),BC539+1,0)),0)</f>
        <v>0</v>
      </c>
      <c r="BD540" s="313">
        <f>IFERROR(IF(INDEX([1]Pivot!$BF$1:$CG$65000,$B540,BD$5)=1,1,IF(AND(BD539&gt;=1,BD539&lt;=9,ROW()&lt;=cur_line),BD539+1,0)),0)</f>
        <v>0</v>
      </c>
    </row>
    <row r="541" spans="1:56" hidden="1" outlineLevel="1" x14ac:dyDescent="0.25">
      <c r="A541" s="288" t="str">
        <f>'[2]Raw Milk Prices'!A541</f>
        <v>2021m06</v>
      </c>
      <c r="B541" s="296" t="e">
        <f>MATCH(DATE(LEFT('[2]Raw Milk Prices'!$A541,4),RIGHT('[2]Raw Milk Prices'!$A541,2),1),[1]Pivot!$A$1:$A$65000,0)</f>
        <v>#N/A</v>
      </c>
      <c r="C541" s="194">
        <f>IFERROR(IF(INDEX([1]Pivot!$AD$1:$BE$65000,$B541,C$5)=1,1,IF(AND(C540&gt;=1,C540&lt;=9,ROW()&lt;=cur_line),C540+1,0)),0)</f>
        <v>0</v>
      </c>
      <c r="D541" s="194">
        <f>IFERROR(IF(INDEX([1]Pivot!$AD$1:$BE$65000,$B541,D$5)=1,1,IF(AND(D540&gt;=1,D540&lt;=9,ROW()&lt;=cur_line),D540+1,0)),0)</f>
        <v>0</v>
      </c>
      <c r="E541" s="194">
        <f>IFERROR(IF(INDEX([1]Pivot!$AD$1:$BE$65000,$B541,E$5)=1,1,IF(AND(E540&gt;=1,E540&lt;=9,ROW()&lt;=cur_line),E540+1,0)),0)</f>
        <v>0</v>
      </c>
      <c r="F541" s="194">
        <f>IFERROR(IF(INDEX([1]Pivot!$AD$1:$BE$65000,$B541,F$5)=1,1,IF(AND(F540&gt;=1,F540&lt;=9,ROW()&lt;=cur_line),F540+1,0)),0)</f>
        <v>0</v>
      </c>
      <c r="G541" s="194">
        <f>IFERROR(IF(INDEX([1]Pivot!$AD$1:$BE$65000,$B541,G$5)=1,1,IF(AND(G540&gt;=1,G540&lt;=9,ROW()&lt;=cur_line),G540+1,0)),0)</f>
        <v>0</v>
      </c>
      <c r="H541" s="194">
        <f>IFERROR(IF(INDEX([1]Pivot!$AD$1:$BE$65000,$B541,H$5)=1,1,IF(AND(H540&gt;=1,H540&lt;=9,ROW()&lt;=cur_line),H540+1,0)),0)</f>
        <v>0</v>
      </c>
      <c r="I541" s="194">
        <f>IFERROR(IF(INDEX([1]Pivot!$AD$1:$BE$65000,$B541,I$5)=1,1,IF(AND(I540&gt;=1,I540&lt;=9,ROW()&lt;=cur_line),I540+1,0)),0)</f>
        <v>0</v>
      </c>
      <c r="J541" s="194">
        <f>IFERROR(IF(INDEX([1]Pivot!$AD$1:$BE$65000,$B541,J$5)=1,1,IF(AND(J540&gt;=1,J540&lt;=9,ROW()&lt;=cur_line),J540+1,0)),0)</f>
        <v>0</v>
      </c>
      <c r="K541" s="194">
        <f>IFERROR(IF(INDEX([1]Pivot!$AD$1:$BE$65000,$B541,K$5)=1,1,IF(AND(K540&gt;=1,K540&lt;=9,ROW()&lt;=cur_line),K540+1,0)),0)</f>
        <v>0</v>
      </c>
      <c r="L541" s="194">
        <f>IFERROR(IF(INDEX([1]Pivot!$AD$1:$BE$65000,$B541,L$5)=1,1,IF(AND(L540&gt;=1,L540&lt;=9,ROW()&lt;=cur_line),L540+1,0)),0)</f>
        <v>0</v>
      </c>
      <c r="M541" s="194">
        <f>IFERROR(IF(INDEX([1]Pivot!$AD$1:$BE$65000,$B541,M$5)=1,1,IF(AND(M540&gt;=1,M540&lt;=9,ROW()&lt;=cur_line),M540+1,0)),0)</f>
        <v>0</v>
      </c>
      <c r="N541" s="194">
        <f>IFERROR(IF(INDEX([1]Pivot!$AD$1:$BE$65000,$B541,N$5)=1,1,IF(AND(N540&gt;=1,N540&lt;=9,ROW()&lt;=cur_line),N540+1,0)),0)</f>
        <v>0</v>
      </c>
      <c r="O541" s="194">
        <f>IFERROR(IF(INDEX([1]Pivot!$AD$1:$BE$65000,$B541,O$5)=1,1,IF(AND(O540&gt;=1,O540&lt;=9,ROW()&lt;=cur_line),O540+1,0)),0)</f>
        <v>0</v>
      </c>
      <c r="P541" s="194">
        <f>IFERROR(IF(INDEX([1]Pivot!$AD$1:$BE$65000,$B541,P$5)=1,1,IF(AND(P540&gt;=1,P540&lt;=9,ROW()&lt;=cur_line),P540+1,0)),0)</f>
        <v>0</v>
      </c>
      <c r="Q541" s="194">
        <f>IFERROR(IF(INDEX([1]Pivot!$AD$1:$BE$65000,$B541,Q$5)=1,1,IF(AND(Q540&gt;=1,Q540&lt;=9,ROW()&lt;=cur_line),Q540+1,0)),0)</f>
        <v>0</v>
      </c>
      <c r="R541" s="312"/>
      <c r="S541" s="194">
        <f>IFERROR(IF(INDEX([1]Pivot!$AD$1:$BE$65000,$B541,S$5)=1,1,IF(AND(S540&gt;=1,S540&lt;=9,ROW()&lt;=cur_line),S540+1,0)),0)</f>
        <v>0</v>
      </c>
      <c r="T541" s="194">
        <f>IFERROR(IF(INDEX([1]Pivot!$AD$1:$BE$65000,$B541,T$5)=1,1,IF(AND(T540&gt;=1,T540&lt;=9,ROW()&lt;=cur_line),T540+1,0)),0)</f>
        <v>0</v>
      </c>
      <c r="U541" s="194">
        <f>IFERROR(IF(INDEX([1]Pivot!$AD$1:$BE$65000,$B541,U$5)=1,1,IF(AND(U540&gt;=1,U540&lt;=9,ROW()&lt;=cur_line),U540+1,0)),0)</f>
        <v>0</v>
      </c>
      <c r="V541" s="194">
        <f>IFERROR(IF(INDEX([1]Pivot!$AD$1:$BE$65000,$B541,V$5)=1,1,IF(AND(V540&gt;=1,V540&lt;=9,ROW()&lt;=cur_line),V540+1,0)),0)</f>
        <v>0</v>
      </c>
      <c r="W541" s="194">
        <f>IFERROR(IF(INDEX([1]Pivot!$AD$1:$BE$65000,$B541,W$5)=1,1,IF(AND(W540&gt;=1,W540&lt;=9,ROW()&lt;=cur_line),W540+1,0)),0)</f>
        <v>0</v>
      </c>
      <c r="X541" s="194">
        <f>IFERROR(IF(INDEX([1]Pivot!$AD$1:$BE$65000,$B541,X$5)=1,1,IF(AND(X540&gt;=1,X540&lt;=9,ROW()&lt;=cur_line),X540+1,0)),0)</f>
        <v>0</v>
      </c>
      <c r="Y541" s="194">
        <f>IFERROR(IF(INDEX([1]Pivot!$AD$1:$BE$65000,$B541,Y$5)=1,1,IF(AND(Y540&gt;=1,Y540&lt;=9,ROW()&lt;=cur_line),Y540+1,0)),0)</f>
        <v>0</v>
      </c>
      <c r="Z541" s="194">
        <f>IFERROR(IF(INDEX([1]Pivot!$AD$1:$BE$65000,$B541,Z$5)=1,1,IF(AND(Z540&gt;=1,Z540&lt;=9,ROW()&lt;=cur_line),Z540+1,0)),0)</f>
        <v>0</v>
      </c>
      <c r="AA541" s="194">
        <f>IFERROR(IF(INDEX([1]Pivot!$AD$1:$BE$65000,$B541,AA$5)=1,1,IF(AND(AA540&gt;=1,AA540&lt;=9,ROW()&lt;=cur_line),AA540+1,0)),0)</f>
        <v>0</v>
      </c>
      <c r="AB541" s="194">
        <f>IFERROR(IF(INDEX([1]Pivot!$AD$1:$BE$65000,$B541,AB$5)=1,1,IF(AND(AB540&gt;=1,AB540&lt;=9,ROW()&lt;=cur_line),AB540+1,0)),0)</f>
        <v>0</v>
      </c>
      <c r="AC541" s="194">
        <f>IFERROR(IF(INDEX([1]Pivot!$AD$1:$BE$65000,$B541,AC$5)=1,1,IF(AND(AC540&gt;=1,AC540&lt;=9,ROW()&lt;=cur_line),AC540+1,0)),0)</f>
        <v>0</v>
      </c>
      <c r="AD541" s="313">
        <f>IFERROR(IF(INDEX([1]Pivot!$BF$1:$CG$65000,$B541,AD$5)=1,1,IF(AND(AD540&gt;=1,AD540&lt;=9,ROW()&lt;=cur_line),AD540+1,0)),0)</f>
        <v>0</v>
      </c>
      <c r="AE541" s="313">
        <f>IFERROR(IF(INDEX([1]Pivot!$BF$1:$CG$65000,$B541,AE$5)=1,1,IF(AND(AE540&gt;=1,AE540&lt;=9,ROW()&lt;=cur_line),AE540+1,0)),0)</f>
        <v>0</v>
      </c>
      <c r="AF541" s="313">
        <f>IFERROR(IF(INDEX([1]Pivot!$BF$1:$CG$65000,$B541,AF$5)=1,1,IF(AND(AF540&gt;=1,AF540&lt;=9,ROW()&lt;=cur_line),AF540+1,0)),0)</f>
        <v>0</v>
      </c>
      <c r="AG541" s="313">
        <f>IFERROR(IF(INDEX([1]Pivot!$BF$1:$CG$65000,$B541,AG$5)=1,1,IF(AND(AG540&gt;=1,AG540&lt;=9,ROW()&lt;=cur_line),AG540+1,0)),0)</f>
        <v>0</v>
      </c>
      <c r="AH541" s="313">
        <f>IFERROR(IF(INDEX([1]Pivot!$BF$1:$CG$65000,$B541,AH$5)=1,1,IF(AND(AH540&gt;=1,AH540&lt;=9,ROW()&lt;=cur_line),AH540+1,0)),0)</f>
        <v>0</v>
      </c>
      <c r="AI541" s="313">
        <f>IFERROR(IF(INDEX([1]Pivot!$BF$1:$CG$65000,$B541,AI$5)=1,1,IF(AND(AI540&gt;=1,AI540&lt;=9,ROW()&lt;=cur_line),AI540+1,0)),0)</f>
        <v>0</v>
      </c>
      <c r="AJ541" s="313">
        <f>IFERROR(IF(INDEX([1]Pivot!$BF$1:$CG$65000,$B541,AJ$5)=1,1,IF(AND(AJ540&gt;=1,AJ540&lt;=9,ROW()&lt;=cur_line),AJ540+1,0)),0)</f>
        <v>0</v>
      </c>
      <c r="AK541" s="313">
        <f>IFERROR(IF(INDEX([1]Pivot!$BF$1:$CG$65000,$B541,AK$5)=1,1,IF(AND(AK540&gt;=1,AK540&lt;=9,ROW()&lt;=cur_line),AK540+1,0)),0)</f>
        <v>0</v>
      </c>
      <c r="AL541" s="313">
        <f>IFERROR(IF(INDEX([1]Pivot!$BF$1:$CG$65000,$B541,AL$5)=1,1,IF(AND(AL540&gt;=1,AL540&lt;=9,ROW()&lt;=cur_line),AL540+1,0)),0)</f>
        <v>0</v>
      </c>
      <c r="AM541" s="313">
        <f>IFERROR(IF(INDEX([1]Pivot!$BF$1:$CG$65000,$B541,AM$5)=1,1,IF(AND(AM540&gt;=1,AM540&lt;=9,ROW()&lt;=cur_line),AM540+1,0)),0)</f>
        <v>0</v>
      </c>
      <c r="AN541" s="313">
        <f>IFERROR(IF(INDEX([1]Pivot!$BF$1:$CG$65000,$B541,AN$5)=1,1,IF(AND(AN540&gt;=1,AN540&lt;=9,ROW()&lt;=cur_line),AN540+1,0)),0)</f>
        <v>0</v>
      </c>
      <c r="AO541" s="313">
        <f>IFERROR(IF(INDEX([1]Pivot!$BF$1:$CG$65000,$B541,AO$5)=1,1,IF(AND(AO540&gt;=1,AO540&lt;=9,ROW()&lt;=cur_line),AO540+1,0)),0)</f>
        <v>0</v>
      </c>
      <c r="AP541" s="313">
        <f>IFERROR(IF(INDEX([1]Pivot!$BF$1:$CG$65000,$B541,AP$5)=1,1,IF(AND(AP540&gt;=1,AP540&lt;=9,ROW()&lt;=cur_line),AP540+1,0)),0)</f>
        <v>0</v>
      </c>
      <c r="AQ541" s="313">
        <f>IFERROR(IF(INDEX([1]Pivot!$BF$1:$CG$65000,$B541,AQ$5)=1,1,IF(AND(AQ540&gt;=1,AQ540&lt;=9,ROW()&lt;=cur_line),AQ540+1,0)),0)</f>
        <v>0</v>
      </c>
      <c r="AR541" s="313">
        <f>IFERROR(IF(INDEX([1]Pivot!$BF$1:$CG$65000,$B541,AR$5)=1,1,IF(AND(AR540&gt;=1,AR540&lt;=9,ROW()&lt;=cur_line),AR540+1,0)),0)</f>
        <v>0</v>
      </c>
      <c r="AS541" s="312"/>
      <c r="AT541" s="313">
        <f>IFERROR(IF(INDEX([1]Pivot!$BF$1:$CG$65000,$B541,AT$5)=1,1,IF(AND(AT540&gt;=1,AT540&lt;=9,ROW()&lt;=cur_line),AT540+1,0)),0)</f>
        <v>0</v>
      </c>
      <c r="AU541" s="313">
        <f>IFERROR(IF(INDEX([1]Pivot!$BF$1:$CG$65000,$B541,AU$5)=1,1,IF(AND(AU540&gt;=1,AU540&lt;=9,ROW()&lt;=cur_line),AU540+1,0)),0)</f>
        <v>0</v>
      </c>
      <c r="AV541" s="313">
        <f>IFERROR(IF(INDEX([1]Pivot!$BF$1:$CG$65000,$B541,AV$5)=1,1,IF(AND(AV540&gt;=1,AV540&lt;=9,ROW()&lt;=cur_line),AV540+1,0)),0)</f>
        <v>0</v>
      </c>
      <c r="AW541" s="313">
        <f>IFERROR(IF(INDEX([1]Pivot!$BF$1:$CG$65000,$B541,AW$5)=1,1,IF(AND(AW540&gt;=1,AW540&lt;=9,ROW()&lt;=cur_line),AW540+1,0)),0)</f>
        <v>0</v>
      </c>
      <c r="AX541" s="313">
        <f>IFERROR(IF(INDEX([1]Pivot!$BF$1:$CG$65000,$B541,AX$5)=1,1,IF(AND(AX540&gt;=1,AX540&lt;=9,ROW()&lt;=cur_line),AX540+1,0)),0)</f>
        <v>0</v>
      </c>
      <c r="AY541" s="313">
        <f>IFERROR(IF(INDEX([1]Pivot!$BF$1:$CG$65000,$B541,AY$5)=1,1,IF(AND(AY540&gt;=1,AY540&lt;=9,ROW()&lt;=cur_line),AY540+1,0)),0)</f>
        <v>0</v>
      </c>
      <c r="AZ541" s="313">
        <f>IFERROR(IF(INDEX([1]Pivot!$BF$1:$CG$65000,$B541,AZ$5)=1,1,IF(AND(AZ540&gt;=1,AZ540&lt;=9,ROW()&lt;=cur_line),AZ540+1,0)),0)</f>
        <v>0</v>
      </c>
      <c r="BA541" s="313">
        <f>IFERROR(IF(INDEX([1]Pivot!$BF$1:$CG$65000,$B541,BA$5)=1,1,IF(AND(BA540&gt;=1,BA540&lt;=9,ROW()&lt;=cur_line),BA540+1,0)),0)</f>
        <v>0</v>
      </c>
      <c r="BB541" s="313">
        <f>IFERROR(IF(INDEX([1]Pivot!$BF$1:$CG$65000,$B541,BB$5)=1,1,IF(AND(BB540&gt;=1,BB540&lt;=9,ROW()&lt;=cur_line),BB540+1,0)),0)</f>
        <v>0</v>
      </c>
      <c r="BC541" s="313">
        <f>IFERROR(IF(INDEX([1]Pivot!$BF$1:$CG$65000,$B541,BC$5)=1,1,IF(AND(BC540&gt;=1,BC540&lt;=9,ROW()&lt;=cur_line),BC540+1,0)),0)</f>
        <v>0</v>
      </c>
      <c r="BD541" s="313">
        <f>IFERROR(IF(INDEX([1]Pivot!$BF$1:$CG$65000,$B541,BD$5)=1,1,IF(AND(BD540&gt;=1,BD540&lt;=9,ROW()&lt;=cur_line),BD540+1,0)),0)</f>
        <v>0</v>
      </c>
    </row>
    <row r="542" spans="1:56" hidden="1" outlineLevel="1" x14ac:dyDescent="0.25">
      <c r="A542" s="288" t="str">
        <f>'[2]Raw Milk Prices'!A542</f>
        <v>2021m07</v>
      </c>
      <c r="B542" s="296" t="e">
        <f>MATCH(DATE(LEFT('[2]Raw Milk Prices'!$A542,4),RIGHT('[2]Raw Milk Prices'!$A542,2),1),[1]Pivot!$A$1:$A$65000,0)</f>
        <v>#N/A</v>
      </c>
      <c r="C542" s="194">
        <f>IFERROR(IF(INDEX([1]Pivot!$AD$1:$BE$65000,$B542,C$5)=1,1,IF(AND(C541&gt;=1,C541&lt;=9,ROW()&lt;=cur_line),C541+1,0)),0)</f>
        <v>0</v>
      </c>
      <c r="D542" s="194">
        <f>IFERROR(IF(INDEX([1]Pivot!$AD$1:$BE$65000,$B542,D$5)=1,1,IF(AND(D541&gt;=1,D541&lt;=9,ROW()&lt;=cur_line),D541+1,0)),0)</f>
        <v>0</v>
      </c>
      <c r="E542" s="194">
        <f>IFERROR(IF(INDEX([1]Pivot!$AD$1:$BE$65000,$B542,E$5)=1,1,IF(AND(E541&gt;=1,E541&lt;=9,ROW()&lt;=cur_line),E541+1,0)),0)</f>
        <v>0</v>
      </c>
      <c r="F542" s="194">
        <f>IFERROR(IF(INDEX([1]Pivot!$AD$1:$BE$65000,$B542,F$5)=1,1,IF(AND(F541&gt;=1,F541&lt;=9,ROW()&lt;=cur_line),F541+1,0)),0)</f>
        <v>0</v>
      </c>
      <c r="G542" s="194">
        <f>IFERROR(IF(INDEX([1]Pivot!$AD$1:$BE$65000,$B542,G$5)=1,1,IF(AND(G541&gt;=1,G541&lt;=9,ROW()&lt;=cur_line),G541+1,0)),0)</f>
        <v>0</v>
      </c>
      <c r="H542" s="194">
        <f>IFERROR(IF(INDEX([1]Pivot!$AD$1:$BE$65000,$B542,H$5)=1,1,IF(AND(H541&gt;=1,H541&lt;=9,ROW()&lt;=cur_line),H541+1,0)),0)</f>
        <v>0</v>
      </c>
      <c r="I542" s="194">
        <f>IFERROR(IF(INDEX([1]Pivot!$AD$1:$BE$65000,$B542,I$5)=1,1,IF(AND(I541&gt;=1,I541&lt;=9,ROW()&lt;=cur_line),I541+1,0)),0)</f>
        <v>0</v>
      </c>
      <c r="J542" s="194">
        <f>IFERROR(IF(INDEX([1]Pivot!$AD$1:$BE$65000,$B542,J$5)=1,1,IF(AND(J541&gt;=1,J541&lt;=9,ROW()&lt;=cur_line),J541+1,0)),0)</f>
        <v>0</v>
      </c>
      <c r="K542" s="194">
        <f>IFERROR(IF(INDEX([1]Pivot!$AD$1:$BE$65000,$B542,K$5)=1,1,IF(AND(K541&gt;=1,K541&lt;=9,ROW()&lt;=cur_line),K541+1,0)),0)</f>
        <v>0</v>
      </c>
      <c r="L542" s="194">
        <f>IFERROR(IF(INDEX([1]Pivot!$AD$1:$BE$65000,$B542,L$5)=1,1,IF(AND(L541&gt;=1,L541&lt;=9,ROW()&lt;=cur_line),L541+1,0)),0)</f>
        <v>0</v>
      </c>
      <c r="M542" s="194">
        <f>IFERROR(IF(INDEX([1]Pivot!$AD$1:$BE$65000,$B542,M$5)=1,1,IF(AND(M541&gt;=1,M541&lt;=9,ROW()&lt;=cur_line),M541+1,0)),0)</f>
        <v>0</v>
      </c>
      <c r="N542" s="194">
        <f>IFERROR(IF(INDEX([1]Pivot!$AD$1:$BE$65000,$B542,N$5)=1,1,IF(AND(N541&gt;=1,N541&lt;=9,ROW()&lt;=cur_line),N541+1,0)),0)</f>
        <v>0</v>
      </c>
      <c r="O542" s="194">
        <f>IFERROR(IF(INDEX([1]Pivot!$AD$1:$BE$65000,$B542,O$5)=1,1,IF(AND(O541&gt;=1,O541&lt;=9,ROW()&lt;=cur_line),O541+1,0)),0)</f>
        <v>0</v>
      </c>
      <c r="P542" s="194">
        <f>IFERROR(IF(INDEX([1]Pivot!$AD$1:$BE$65000,$B542,P$5)=1,1,IF(AND(P541&gt;=1,P541&lt;=9,ROW()&lt;=cur_line),P541+1,0)),0)</f>
        <v>0</v>
      </c>
      <c r="Q542" s="194">
        <f>IFERROR(IF(INDEX([1]Pivot!$AD$1:$BE$65000,$B542,Q$5)=1,1,IF(AND(Q541&gt;=1,Q541&lt;=9,ROW()&lt;=cur_line),Q541+1,0)),0)</f>
        <v>0</v>
      </c>
      <c r="R542" s="312"/>
      <c r="S542" s="194">
        <f>IFERROR(IF(INDEX([1]Pivot!$AD$1:$BE$65000,$B542,S$5)=1,1,IF(AND(S541&gt;=1,S541&lt;=9,ROW()&lt;=cur_line),S541+1,0)),0)</f>
        <v>0</v>
      </c>
      <c r="T542" s="194">
        <f>IFERROR(IF(INDEX([1]Pivot!$AD$1:$BE$65000,$B542,T$5)=1,1,IF(AND(T541&gt;=1,T541&lt;=9,ROW()&lt;=cur_line),T541+1,0)),0)</f>
        <v>0</v>
      </c>
      <c r="U542" s="194">
        <f>IFERROR(IF(INDEX([1]Pivot!$AD$1:$BE$65000,$B542,U$5)=1,1,IF(AND(U541&gt;=1,U541&lt;=9,ROW()&lt;=cur_line),U541+1,0)),0)</f>
        <v>0</v>
      </c>
      <c r="V542" s="194">
        <f>IFERROR(IF(INDEX([1]Pivot!$AD$1:$BE$65000,$B542,V$5)=1,1,IF(AND(V541&gt;=1,V541&lt;=9,ROW()&lt;=cur_line),V541+1,0)),0)</f>
        <v>0</v>
      </c>
      <c r="W542" s="194">
        <f>IFERROR(IF(INDEX([1]Pivot!$AD$1:$BE$65000,$B542,W$5)=1,1,IF(AND(W541&gt;=1,W541&lt;=9,ROW()&lt;=cur_line),W541+1,0)),0)</f>
        <v>0</v>
      </c>
      <c r="X542" s="194">
        <f>IFERROR(IF(INDEX([1]Pivot!$AD$1:$BE$65000,$B542,X$5)=1,1,IF(AND(X541&gt;=1,X541&lt;=9,ROW()&lt;=cur_line),X541+1,0)),0)</f>
        <v>0</v>
      </c>
      <c r="Y542" s="194">
        <f>IFERROR(IF(INDEX([1]Pivot!$AD$1:$BE$65000,$B542,Y$5)=1,1,IF(AND(Y541&gt;=1,Y541&lt;=9,ROW()&lt;=cur_line),Y541+1,0)),0)</f>
        <v>0</v>
      </c>
      <c r="Z542" s="194">
        <f>IFERROR(IF(INDEX([1]Pivot!$AD$1:$BE$65000,$B542,Z$5)=1,1,IF(AND(Z541&gt;=1,Z541&lt;=9,ROW()&lt;=cur_line),Z541+1,0)),0)</f>
        <v>0</v>
      </c>
      <c r="AA542" s="194">
        <f>IFERROR(IF(INDEX([1]Pivot!$AD$1:$BE$65000,$B542,AA$5)=1,1,IF(AND(AA541&gt;=1,AA541&lt;=9,ROW()&lt;=cur_line),AA541+1,0)),0)</f>
        <v>0</v>
      </c>
      <c r="AB542" s="194">
        <f>IFERROR(IF(INDEX([1]Pivot!$AD$1:$BE$65000,$B542,AB$5)=1,1,IF(AND(AB541&gt;=1,AB541&lt;=9,ROW()&lt;=cur_line),AB541+1,0)),0)</f>
        <v>0</v>
      </c>
      <c r="AC542" s="194">
        <f>IFERROR(IF(INDEX([1]Pivot!$AD$1:$BE$65000,$B542,AC$5)=1,1,IF(AND(AC541&gt;=1,AC541&lt;=9,ROW()&lt;=cur_line),AC541+1,0)),0)</f>
        <v>0</v>
      </c>
      <c r="AD542" s="313">
        <f>IFERROR(IF(INDEX([1]Pivot!$BF$1:$CG$65000,$B542,AD$5)=1,1,IF(AND(AD541&gt;=1,AD541&lt;=9,ROW()&lt;=cur_line),AD541+1,0)),0)</f>
        <v>0</v>
      </c>
      <c r="AE542" s="313">
        <f>IFERROR(IF(INDEX([1]Pivot!$BF$1:$CG$65000,$B542,AE$5)=1,1,IF(AND(AE541&gt;=1,AE541&lt;=9,ROW()&lt;=cur_line),AE541+1,0)),0)</f>
        <v>0</v>
      </c>
      <c r="AF542" s="313">
        <f>IFERROR(IF(INDEX([1]Pivot!$BF$1:$CG$65000,$B542,AF$5)=1,1,IF(AND(AF541&gt;=1,AF541&lt;=9,ROW()&lt;=cur_line),AF541+1,0)),0)</f>
        <v>0</v>
      </c>
      <c r="AG542" s="313">
        <f>IFERROR(IF(INDEX([1]Pivot!$BF$1:$CG$65000,$B542,AG$5)=1,1,IF(AND(AG541&gt;=1,AG541&lt;=9,ROW()&lt;=cur_line),AG541+1,0)),0)</f>
        <v>0</v>
      </c>
      <c r="AH542" s="313">
        <f>IFERROR(IF(INDEX([1]Pivot!$BF$1:$CG$65000,$B542,AH$5)=1,1,IF(AND(AH541&gt;=1,AH541&lt;=9,ROW()&lt;=cur_line),AH541+1,0)),0)</f>
        <v>0</v>
      </c>
      <c r="AI542" s="313">
        <f>IFERROR(IF(INDEX([1]Pivot!$BF$1:$CG$65000,$B542,AI$5)=1,1,IF(AND(AI541&gt;=1,AI541&lt;=9,ROW()&lt;=cur_line),AI541+1,0)),0)</f>
        <v>0</v>
      </c>
      <c r="AJ542" s="313">
        <f>IFERROR(IF(INDEX([1]Pivot!$BF$1:$CG$65000,$B542,AJ$5)=1,1,IF(AND(AJ541&gt;=1,AJ541&lt;=9,ROW()&lt;=cur_line),AJ541+1,0)),0)</f>
        <v>0</v>
      </c>
      <c r="AK542" s="313">
        <f>IFERROR(IF(INDEX([1]Pivot!$BF$1:$CG$65000,$B542,AK$5)=1,1,IF(AND(AK541&gt;=1,AK541&lt;=9,ROW()&lt;=cur_line),AK541+1,0)),0)</f>
        <v>0</v>
      </c>
      <c r="AL542" s="313">
        <f>IFERROR(IF(INDEX([1]Pivot!$BF$1:$CG$65000,$B542,AL$5)=1,1,IF(AND(AL541&gt;=1,AL541&lt;=9,ROW()&lt;=cur_line),AL541+1,0)),0)</f>
        <v>0</v>
      </c>
      <c r="AM542" s="313">
        <f>IFERROR(IF(INDEX([1]Pivot!$BF$1:$CG$65000,$B542,AM$5)=1,1,IF(AND(AM541&gt;=1,AM541&lt;=9,ROW()&lt;=cur_line),AM541+1,0)),0)</f>
        <v>0</v>
      </c>
      <c r="AN542" s="313">
        <f>IFERROR(IF(INDEX([1]Pivot!$BF$1:$CG$65000,$B542,AN$5)=1,1,IF(AND(AN541&gt;=1,AN541&lt;=9,ROW()&lt;=cur_line),AN541+1,0)),0)</f>
        <v>0</v>
      </c>
      <c r="AO542" s="313">
        <f>IFERROR(IF(INDEX([1]Pivot!$BF$1:$CG$65000,$B542,AO$5)=1,1,IF(AND(AO541&gt;=1,AO541&lt;=9,ROW()&lt;=cur_line),AO541+1,0)),0)</f>
        <v>0</v>
      </c>
      <c r="AP542" s="313">
        <f>IFERROR(IF(INDEX([1]Pivot!$BF$1:$CG$65000,$B542,AP$5)=1,1,IF(AND(AP541&gt;=1,AP541&lt;=9,ROW()&lt;=cur_line),AP541+1,0)),0)</f>
        <v>0</v>
      </c>
      <c r="AQ542" s="313">
        <f>IFERROR(IF(INDEX([1]Pivot!$BF$1:$CG$65000,$B542,AQ$5)=1,1,IF(AND(AQ541&gt;=1,AQ541&lt;=9,ROW()&lt;=cur_line),AQ541+1,0)),0)</f>
        <v>0</v>
      </c>
      <c r="AR542" s="313">
        <f>IFERROR(IF(INDEX([1]Pivot!$BF$1:$CG$65000,$B542,AR$5)=1,1,IF(AND(AR541&gt;=1,AR541&lt;=9,ROW()&lt;=cur_line),AR541+1,0)),0)</f>
        <v>0</v>
      </c>
      <c r="AS542" s="312"/>
      <c r="AT542" s="313">
        <f>IFERROR(IF(INDEX([1]Pivot!$BF$1:$CG$65000,$B542,AT$5)=1,1,IF(AND(AT541&gt;=1,AT541&lt;=9,ROW()&lt;=cur_line),AT541+1,0)),0)</f>
        <v>0</v>
      </c>
      <c r="AU542" s="313">
        <f>IFERROR(IF(INDEX([1]Pivot!$BF$1:$CG$65000,$B542,AU$5)=1,1,IF(AND(AU541&gt;=1,AU541&lt;=9,ROW()&lt;=cur_line),AU541+1,0)),0)</f>
        <v>0</v>
      </c>
      <c r="AV542" s="313">
        <f>IFERROR(IF(INDEX([1]Pivot!$BF$1:$CG$65000,$B542,AV$5)=1,1,IF(AND(AV541&gt;=1,AV541&lt;=9,ROW()&lt;=cur_line),AV541+1,0)),0)</f>
        <v>0</v>
      </c>
      <c r="AW542" s="313">
        <f>IFERROR(IF(INDEX([1]Pivot!$BF$1:$CG$65000,$B542,AW$5)=1,1,IF(AND(AW541&gt;=1,AW541&lt;=9,ROW()&lt;=cur_line),AW541+1,0)),0)</f>
        <v>0</v>
      </c>
      <c r="AX542" s="313">
        <f>IFERROR(IF(INDEX([1]Pivot!$BF$1:$CG$65000,$B542,AX$5)=1,1,IF(AND(AX541&gt;=1,AX541&lt;=9,ROW()&lt;=cur_line),AX541+1,0)),0)</f>
        <v>0</v>
      </c>
      <c r="AY542" s="313">
        <f>IFERROR(IF(INDEX([1]Pivot!$BF$1:$CG$65000,$B542,AY$5)=1,1,IF(AND(AY541&gt;=1,AY541&lt;=9,ROW()&lt;=cur_line),AY541+1,0)),0)</f>
        <v>0</v>
      </c>
      <c r="AZ542" s="313">
        <f>IFERROR(IF(INDEX([1]Pivot!$BF$1:$CG$65000,$B542,AZ$5)=1,1,IF(AND(AZ541&gt;=1,AZ541&lt;=9,ROW()&lt;=cur_line),AZ541+1,0)),0)</f>
        <v>0</v>
      </c>
      <c r="BA542" s="313">
        <f>IFERROR(IF(INDEX([1]Pivot!$BF$1:$CG$65000,$B542,BA$5)=1,1,IF(AND(BA541&gt;=1,BA541&lt;=9,ROW()&lt;=cur_line),BA541+1,0)),0)</f>
        <v>0</v>
      </c>
      <c r="BB542" s="313">
        <f>IFERROR(IF(INDEX([1]Pivot!$BF$1:$CG$65000,$B542,BB$5)=1,1,IF(AND(BB541&gt;=1,BB541&lt;=9,ROW()&lt;=cur_line),BB541+1,0)),0)</f>
        <v>0</v>
      </c>
      <c r="BC542" s="313">
        <f>IFERROR(IF(INDEX([1]Pivot!$BF$1:$CG$65000,$B542,BC$5)=1,1,IF(AND(BC541&gt;=1,BC541&lt;=9,ROW()&lt;=cur_line),BC541+1,0)),0)</f>
        <v>0</v>
      </c>
      <c r="BD542" s="313">
        <f>IFERROR(IF(INDEX([1]Pivot!$BF$1:$CG$65000,$B542,BD$5)=1,1,IF(AND(BD541&gt;=1,BD541&lt;=9,ROW()&lt;=cur_line),BD541+1,0)),0)</f>
        <v>0</v>
      </c>
    </row>
    <row r="543" spans="1:56" hidden="1" outlineLevel="1" x14ac:dyDescent="0.25">
      <c r="A543" s="288" t="str">
        <f>'[2]Raw Milk Prices'!A543</f>
        <v>2021m08</v>
      </c>
      <c r="B543" s="296" t="e">
        <f>MATCH(DATE(LEFT('[2]Raw Milk Prices'!$A543,4),RIGHT('[2]Raw Milk Prices'!$A543,2),1),[1]Pivot!$A$1:$A$65000,0)</f>
        <v>#N/A</v>
      </c>
      <c r="C543" s="194">
        <f>IFERROR(IF(INDEX([1]Pivot!$AD$1:$BE$65000,$B543,C$5)=1,1,IF(AND(C542&gt;=1,C542&lt;=9,ROW()&lt;=cur_line),C542+1,0)),0)</f>
        <v>0</v>
      </c>
      <c r="D543" s="194">
        <f>IFERROR(IF(INDEX([1]Pivot!$AD$1:$BE$65000,$B543,D$5)=1,1,IF(AND(D542&gt;=1,D542&lt;=9,ROW()&lt;=cur_line),D542+1,0)),0)</f>
        <v>0</v>
      </c>
      <c r="E543" s="194">
        <f>IFERROR(IF(INDEX([1]Pivot!$AD$1:$BE$65000,$B543,E$5)=1,1,IF(AND(E542&gt;=1,E542&lt;=9,ROW()&lt;=cur_line),E542+1,0)),0)</f>
        <v>0</v>
      </c>
      <c r="F543" s="194">
        <f>IFERROR(IF(INDEX([1]Pivot!$AD$1:$BE$65000,$B543,F$5)=1,1,IF(AND(F542&gt;=1,F542&lt;=9,ROW()&lt;=cur_line),F542+1,0)),0)</f>
        <v>0</v>
      </c>
      <c r="G543" s="194">
        <f>IFERROR(IF(INDEX([1]Pivot!$AD$1:$BE$65000,$B543,G$5)=1,1,IF(AND(G542&gt;=1,G542&lt;=9,ROW()&lt;=cur_line),G542+1,0)),0)</f>
        <v>0</v>
      </c>
      <c r="H543" s="194">
        <f>IFERROR(IF(INDEX([1]Pivot!$AD$1:$BE$65000,$B543,H$5)=1,1,IF(AND(H542&gt;=1,H542&lt;=9,ROW()&lt;=cur_line),H542+1,0)),0)</f>
        <v>0</v>
      </c>
      <c r="I543" s="194">
        <f>IFERROR(IF(INDEX([1]Pivot!$AD$1:$BE$65000,$B543,I$5)=1,1,IF(AND(I542&gt;=1,I542&lt;=9,ROW()&lt;=cur_line),I542+1,0)),0)</f>
        <v>0</v>
      </c>
      <c r="J543" s="194">
        <f>IFERROR(IF(INDEX([1]Pivot!$AD$1:$BE$65000,$B543,J$5)=1,1,IF(AND(J542&gt;=1,J542&lt;=9,ROW()&lt;=cur_line),J542+1,0)),0)</f>
        <v>0</v>
      </c>
      <c r="K543" s="194">
        <f>IFERROR(IF(INDEX([1]Pivot!$AD$1:$BE$65000,$B543,K$5)=1,1,IF(AND(K542&gt;=1,K542&lt;=9,ROW()&lt;=cur_line),K542+1,0)),0)</f>
        <v>0</v>
      </c>
      <c r="L543" s="194">
        <f>IFERROR(IF(INDEX([1]Pivot!$AD$1:$BE$65000,$B543,L$5)=1,1,IF(AND(L542&gt;=1,L542&lt;=9,ROW()&lt;=cur_line),L542+1,0)),0)</f>
        <v>0</v>
      </c>
      <c r="M543" s="194">
        <f>IFERROR(IF(INDEX([1]Pivot!$AD$1:$BE$65000,$B543,M$5)=1,1,IF(AND(M542&gt;=1,M542&lt;=9,ROW()&lt;=cur_line),M542+1,0)),0)</f>
        <v>0</v>
      </c>
      <c r="N543" s="194">
        <f>IFERROR(IF(INDEX([1]Pivot!$AD$1:$BE$65000,$B543,N$5)=1,1,IF(AND(N542&gt;=1,N542&lt;=9,ROW()&lt;=cur_line),N542+1,0)),0)</f>
        <v>0</v>
      </c>
      <c r="O543" s="194">
        <f>IFERROR(IF(INDEX([1]Pivot!$AD$1:$BE$65000,$B543,O$5)=1,1,IF(AND(O542&gt;=1,O542&lt;=9,ROW()&lt;=cur_line),O542+1,0)),0)</f>
        <v>0</v>
      </c>
      <c r="P543" s="194">
        <f>IFERROR(IF(INDEX([1]Pivot!$AD$1:$BE$65000,$B543,P$5)=1,1,IF(AND(P542&gt;=1,P542&lt;=9,ROW()&lt;=cur_line),P542+1,0)),0)</f>
        <v>0</v>
      </c>
      <c r="Q543" s="194">
        <f>IFERROR(IF(INDEX([1]Pivot!$AD$1:$BE$65000,$B543,Q$5)=1,1,IF(AND(Q542&gt;=1,Q542&lt;=9,ROW()&lt;=cur_line),Q542+1,0)),0)</f>
        <v>0</v>
      </c>
      <c r="R543" s="312"/>
      <c r="S543" s="194">
        <f>IFERROR(IF(INDEX([1]Pivot!$AD$1:$BE$65000,$B543,S$5)=1,1,IF(AND(S542&gt;=1,S542&lt;=9,ROW()&lt;=cur_line),S542+1,0)),0)</f>
        <v>0</v>
      </c>
      <c r="T543" s="194">
        <f>IFERROR(IF(INDEX([1]Pivot!$AD$1:$BE$65000,$B543,T$5)=1,1,IF(AND(T542&gt;=1,T542&lt;=9,ROW()&lt;=cur_line),T542+1,0)),0)</f>
        <v>0</v>
      </c>
      <c r="U543" s="194">
        <f>IFERROR(IF(INDEX([1]Pivot!$AD$1:$BE$65000,$B543,U$5)=1,1,IF(AND(U542&gt;=1,U542&lt;=9,ROW()&lt;=cur_line),U542+1,0)),0)</f>
        <v>0</v>
      </c>
      <c r="V543" s="194">
        <f>IFERROR(IF(INDEX([1]Pivot!$AD$1:$BE$65000,$B543,V$5)=1,1,IF(AND(V542&gt;=1,V542&lt;=9,ROW()&lt;=cur_line),V542+1,0)),0)</f>
        <v>0</v>
      </c>
      <c r="W543" s="194">
        <f>IFERROR(IF(INDEX([1]Pivot!$AD$1:$BE$65000,$B543,W$5)=1,1,IF(AND(W542&gt;=1,W542&lt;=9,ROW()&lt;=cur_line),W542+1,0)),0)</f>
        <v>0</v>
      </c>
      <c r="X543" s="194">
        <f>IFERROR(IF(INDEX([1]Pivot!$AD$1:$BE$65000,$B543,X$5)=1,1,IF(AND(X542&gt;=1,X542&lt;=9,ROW()&lt;=cur_line),X542+1,0)),0)</f>
        <v>0</v>
      </c>
      <c r="Y543" s="194">
        <f>IFERROR(IF(INDEX([1]Pivot!$AD$1:$BE$65000,$B543,Y$5)=1,1,IF(AND(Y542&gt;=1,Y542&lt;=9,ROW()&lt;=cur_line),Y542+1,0)),0)</f>
        <v>0</v>
      </c>
      <c r="Z543" s="194">
        <f>IFERROR(IF(INDEX([1]Pivot!$AD$1:$BE$65000,$B543,Z$5)=1,1,IF(AND(Z542&gt;=1,Z542&lt;=9,ROW()&lt;=cur_line),Z542+1,0)),0)</f>
        <v>0</v>
      </c>
      <c r="AA543" s="194">
        <f>IFERROR(IF(INDEX([1]Pivot!$AD$1:$BE$65000,$B543,AA$5)=1,1,IF(AND(AA542&gt;=1,AA542&lt;=9,ROW()&lt;=cur_line),AA542+1,0)),0)</f>
        <v>0</v>
      </c>
      <c r="AB543" s="194">
        <f>IFERROR(IF(INDEX([1]Pivot!$AD$1:$BE$65000,$B543,AB$5)=1,1,IF(AND(AB542&gt;=1,AB542&lt;=9,ROW()&lt;=cur_line),AB542+1,0)),0)</f>
        <v>0</v>
      </c>
      <c r="AC543" s="194">
        <f>IFERROR(IF(INDEX([1]Pivot!$AD$1:$BE$65000,$B543,AC$5)=1,1,IF(AND(AC542&gt;=1,AC542&lt;=9,ROW()&lt;=cur_line),AC542+1,0)),0)</f>
        <v>0</v>
      </c>
      <c r="AD543" s="313">
        <f>IFERROR(IF(INDEX([1]Pivot!$BF$1:$CG$65000,$B543,AD$5)=1,1,IF(AND(AD542&gt;=1,AD542&lt;=9,ROW()&lt;=cur_line),AD542+1,0)),0)</f>
        <v>0</v>
      </c>
      <c r="AE543" s="313">
        <f>IFERROR(IF(INDEX([1]Pivot!$BF$1:$CG$65000,$B543,AE$5)=1,1,IF(AND(AE542&gt;=1,AE542&lt;=9,ROW()&lt;=cur_line),AE542+1,0)),0)</f>
        <v>0</v>
      </c>
      <c r="AF543" s="313">
        <f>IFERROR(IF(INDEX([1]Pivot!$BF$1:$CG$65000,$B543,AF$5)=1,1,IF(AND(AF542&gt;=1,AF542&lt;=9,ROW()&lt;=cur_line),AF542+1,0)),0)</f>
        <v>0</v>
      </c>
      <c r="AG543" s="313">
        <f>IFERROR(IF(INDEX([1]Pivot!$BF$1:$CG$65000,$B543,AG$5)=1,1,IF(AND(AG542&gt;=1,AG542&lt;=9,ROW()&lt;=cur_line),AG542+1,0)),0)</f>
        <v>0</v>
      </c>
      <c r="AH543" s="313">
        <f>IFERROR(IF(INDEX([1]Pivot!$BF$1:$CG$65000,$B543,AH$5)=1,1,IF(AND(AH542&gt;=1,AH542&lt;=9,ROW()&lt;=cur_line),AH542+1,0)),0)</f>
        <v>0</v>
      </c>
      <c r="AI543" s="313">
        <f>IFERROR(IF(INDEX([1]Pivot!$BF$1:$CG$65000,$B543,AI$5)=1,1,IF(AND(AI542&gt;=1,AI542&lt;=9,ROW()&lt;=cur_line),AI542+1,0)),0)</f>
        <v>0</v>
      </c>
      <c r="AJ543" s="313">
        <f>IFERROR(IF(INDEX([1]Pivot!$BF$1:$CG$65000,$B543,AJ$5)=1,1,IF(AND(AJ542&gt;=1,AJ542&lt;=9,ROW()&lt;=cur_line),AJ542+1,0)),0)</f>
        <v>0</v>
      </c>
      <c r="AK543" s="313">
        <f>IFERROR(IF(INDEX([1]Pivot!$BF$1:$CG$65000,$B543,AK$5)=1,1,IF(AND(AK542&gt;=1,AK542&lt;=9,ROW()&lt;=cur_line),AK542+1,0)),0)</f>
        <v>0</v>
      </c>
      <c r="AL543" s="313">
        <f>IFERROR(IF(INDEX([1]Pivot!$BF$1:$CG$65000,$B543,AL$5)=1,1,IF(AND(AL542&gt;=1,AL542&lt;=9,ROW()&lt;=cur_line),AL542+1,0)),0)</f>
        <v>0</v>
      </c>
      <c r="AM543" s="313">
        <f>IFERROR(IF(INDEX([1]Pivot!$BF$1:$CG$65000,$B543,AM$5)=1,1,IF(AND(AM542&gt;=1,AM542&lt;=9,ROW()&lt;=cur_line),AM542+1,0)),0)</f>
        <v>0</v>
      </c>
      <c r="AN543" s="313">
        <f>IFERROR(IF(INDEX([1]Pivot!$BF$1:$CG$65000,$B543,AN$5)=1,1,IF(AND(AN542&gt;=1,AN542&lt;=9,ROW()&lt;=cur_line),AN542+1,0)),0)</f>
        <v>0</v>
      </c>
      <c r="AO543" s="313">
        <f>IFERROR(IF(INDEX([1]Pivot!$BF$1:$CG$65000,$B543,AO$5)=1,1,IF(AND(AO542&gt;=1,AO542&lt;=9,ROW()&lt;=cur_line),AO542+1,0)),0)</f>
        <v>0</v>
      </c>
      <c r="AP543" s="313">
        <f>IFERROR(IF(INDEX([1]Pivot!$BF$1:$CG$65000,$B543,AP$5)=1,1,IF(AND(AP542&gt;=1,AP542&lt;=9,ROW()&lt;=cur_line),AP542+1,0)),0)</f>
        <v>0</v>
      </c>
      <c r="AQ543" s="313">
        <f>IFERROR(IF(INDEX([1]Pivot!$BF$1:$CG$65000,$B543,AQ$5)=1,1,IF(AND(AQ542&gt;=1,AQ542&lt;=9,ROW()&lt;=cur_line),AQ542+1,0)),0)</f>
        <v>0</v>
      </c>
      <c r="AR543" s="313">
        <f>IFERROR(IF(INDEX([1]Pivot!$BF$1:$CG$65000,$B543,AR$5)=1,1,IF(AND(AR542&gt;=1,AR542&lt;=9,ROW()&lt;=cur_line),AR542+1,0)),0)</f>
        <v>0</v>
      </c>
      <c r="AS543" s="312"/>
      <c r="AT543" s="313">
        <f>IFERROR(IF(INDEX([1]Pivot!$BF$1:$CG$65000,$B543,AT$5)=1,1,IF(AND(AT542&gt;=1,AT542&lt;=9,ROW()&lt;=cur_line),AT542+1,0)),0)</f>
        <v>0</v>
      </c>
      <c r="AU543" s="313">
        <f>IFERROR(IF(INDEX([1]Pivot!$BF$1:$CG$65000,$B543,AU$5)=1,1,IF(AND(AU542&gt;=1,AU542&lt;=9,ROW()&lt;=cur_line),AU542+1,0)),0)</f>
        <v>0</v>
      </c>
      <c r="AV543" s="313">
        <f>IFERROR(IF(INDEX([1]Pivot!$BF$1:$CG$65000,$B543,AV$5)=1,1,IF(AND(AV542&gt;=1,AV542&lt;=9,ROW()&lt;=cur_line),AV542+1,0)),0)</f>
        <v>0</v>
      </c>
      <c r="AW543" s="313">
        <f>IFERROR(IF(INDEX([1]Pivot!$BF$1:$CG$65000,$B543,AW$5)=1,1,IF(AND(AW542&gt;=1,AW542&lt;=9,ROW()&lt;=cur_line),AW542+1,0)),0)</f>
        <v>0</v>
      </c>
      <c r="AX543" s="313">
        <f>IFERROR(IF(INDEX([1]Pivot!$BF$1:$CG$65000,$B543,AX$5)=1,1,IF(AND(AX542&gt;=1,AX542&lt;=9,ROW()&lt;=cur_line),AX542+1,0)),0)</f>
        <v>0</v>
      </c>
      <c r="AY543" s="313">
        <f>IFERROR(IF(INDEX([1]Pivot!$BF$1:$CG$65000,$B543,AY$5)=1,1,IF(AND(AY542&gt;=1,AY542&lt;=9,ROW()&lt;=cur_line),AY542+1,0)),0)</f>
        <v>0</v>
      </c>
      <c r="AZ543" s="313">
        <f>IFERROR(IF(INDEX([1]Pivot!$BF$1:$CG$65000,$B543,AZ$5)=1,1,IF(AND(AZ542&gt;=1,AZ542&lt;=9,ROW()&lt;=cur_line),AZ542+1,0)),0)</f>
        <v>0</v>
      </c>
      <c r="BA543" s="313">
        <f>IFERROR(IF(INDEX([1]Pivot!$BF$1:$CG$65000,$B543,BA$5)=1,1,IF(AND(BA542&gt;=1,BA542&lt;=9,ROW()&lt;=cur_line),BA542+1,0)),0)</f>
        <v>0</v>
      </c>
      <c r="BB543" s="313">
        <f>IFERROR(IF(INDEX([1]Pivot!$BF$1:$CG$65000,$B543,BB$5)=1,1,IF(AND(BB542&gt;=1,BB542&lt;=9,ROW()&lt;=cur_line),BB542+1,0)),0)</f>
        <v>0</v>
      </c>
      <c r="BC543" s="313">
        <f>IFERROR(IF(INDEX([1]Pivot!$BF$1:$CG$65000,$B543,BC$5)=1,1,IF(AND(BC542&gt;=1,BC542&lt;=9,ROW()&lt;=cur_line),BC542+1,0)),0)</f>
        <v>0</v>
      </c>
      <c r="BD543" s="313">
        <f>IFERROR(IF(INDEX([1]Pivot!$BF$1:$CG$65000,$B543,BD$5)=1,1,IF(AND(BD542&gt;=1,BD542&lt;=9,ROW()&lt;=cur_line),BD542+1,0)),0)</f>
        <v>0</v>
      </c>
    </row>
    <row r="544" spans="1:56" hidden="1" outlineLevel="1" x14ac:dyDescent="0.25">
      <c r="A544" s="288" t="str">
        <f>'[2]Raw Milk Prices'!A544</f>
        <v>2021m09</v>
      </c>
      <c r="B544" s="296" t="e">
        <f>MATCH(DATE(LEFT('[2]Raw Milk Prices'!$A544,4),RIGHT('[2]Raw Milk Prices'!$A544,2),1),[1]Pivot!$A$1:$A$65000,0)</f>
        <v>#N/A</v>
      </c>
      <c r="C544" s="194">
        <f>IFERROR(IF(INDEX([1]Pivot!$AD$1:$BE$65000,$B544,C$5)=1,1,IF(AND(C543&gt;=1,C543&lt;=9,ROW()&lt;=cur_line),C543+1,0)),0)</f>
        <v>0</v>
      </c>
      <c r="D544" s="194">
        <f>IFERROR(IF(INDEX([1]Pivot!$AD$1:$BE$65000,$B544,D$5)=1,1,IF(AND(D543&gt;=1,D543&lt;=9,ROW()&lt;=cur_line),D543+1,0)),0)</f>
        <v>0</v>
      </c>
      <c r="E544" s="194">
        <f>IFERROR(IF(INDEX([1]Pivot!$AD$1:$BE$65000,$B544,E$5)=1,1,IF(AND(E543&gt;=1,E543&lt;=9,ROW()&lt;=cur_line),E543+1,0)),0)</f>
        <v>0</v>
      </c>
      <c r="F544" s="194">
        <f>IFERROR(IF(INDEX([1]Pivot!$AD$1:$BE$65000,$B544,F$5)=1,1,IF(AND(F543&gt;=1,F543&lt;=9,ROW()&lt;=cur_line),F543+1,0)),0)</f>
        <v>0</v>
      </c>
      <c r="G544" s="194">
        <f>IFERROR(IF(INDEX([1]Pivot!$AD$1:$BE$65000,$B544,G$5)=1,1,IF(AND(G543&gt;=1,G543&lt;=9,ROW()&lt;=cur_line),G543+1,0)),0)</f>
        <v>0</v>
      </c>
      <c r="H544" s="194">
        <f>IFERROR(IF(INDEX([1]Pivot!$AD$1:$BE$65000,$B544,H$5)=1,1,IF(AND(H543&gt;=1,H543&lt;=9,ROW()&lt;=cur_line),H543+1,0)),0)</f>
        <v>0</v>
      </c>
      <c r="I544" s="194">
        <f>IFERROR(IF(INDEX([1]Pivot!$AD$1:$BE$65000,$B544,I$5)=1,1,IF(AND(I543&gt;=1,I543&lt;=9,ROW()&lt;=cur_line),I543+1,0)),0)</f>
        <v>0</v>
      </c>
      <c r="J544" s="194">
        <f>IFERROR(IF(INDEX([1]Pivot!$AD$1:$BE$65000,$B544,J$5)=1,1,IF(AND(J543&gt;=1,J543&lt;=9,ROW()&lt;=cur_line),J543+1,0)),0)</f>
        <v>0</v>
      </c>
      <c r="K544" s="194">
        <f>IFERROR(IF(INDEX([1]Pivot!$AD$1:$BE$65000,$B544,K$5)=1,1,IF(AND(K543&gt;=1,K543&lt;=9,ROW()&lt;=cur_line),K543+1,0)),0)</f>
        <v>0</v>
      </c>
      <c r="L544" s="194">
        <f>IFERROR(IF(INDEX([1]Pivot!$AD$1:$BE$65000,$B544,L$5)=1,1,IF(AND(L543&gt;=1,L543&lt;=9,ROW()&lt;=cur_line),L543+1,0)),0)</f>
        <v>0</v>
      </c>
      <c r="M544" s="194">
        <f>IFERROR(IF(INDEX([1]Pivot!$AD$1:$BE$65000,$B544,M$5)=1,1,IF(AND(M543&gt;=1,M543&lt;=9,ROW()&lt;=cur_line),M543+1,0)),0)</f>
        <v>0</v>
      </c>
      <c r="N544" s="194">
        <f>IFERROR(IF(INDEX([1]Pivot!$AD$1:$BE$65000,$B544,N$5)=1,1,IF(AND(N543&gt;=1,N543&lt;=9,ROW()&lt;=cur_line),N543+1,0)),0)</f>
        <v>0</v>
      </c>
      <c r="O544" s="194">
        <f>IFERROR(IF(INDEX([1]Pivot!$AD$1:$BE$65000,$B544,O$5)=1,1,IF(AND(O543&gt;=1,O543&lt;=9,ROW()&lt;=cur_line),O543+1,0)),0)</f>
        <v>0</v>
      </c>
      <c r="P544" s="194">
        <f>IFERROR(IF(INDEX([1]Pivot!$AD$1:$BE$65000,$B544,P$5)=1,1,IF(AND(P543&gt;=1,P543&lt;=9,ROW()&lt;=cur_line),P543+1,0)),0)</f>
        <v>0</v>
      </c>
      <c r="Q544" s="194">
        <f>IFERROR(IF(INDEX([1]Pivot!$AD$1:$BE$65000,$B544,Q$5)=1,1,IF(AND(Q543&gt;=1,Q543&lt;=9,ROW()&lt;=cur_line),Q543+1,0)),0)</f>
        <v>0</v>
      </c>
      <c r="R544" s="312"/>
      <c r="S544" s="194">
        <f>IFERROR(IF(INDEX([1]Pivot!$AD$1:$BE$65000,$B544,S$5)=1,1,IF(AND(S543&gt;=1,S543&lt;=9,ROW()&lt;=cur_line),S543+1,0)),0)</f>
        <v>0</v>
      </c>
      <c r="T544" s="194">
        <f>IFERROR(IF(INDEX([1]Pivot!$AD$1:$BE$65000,$B544,T$5)=1,1,IF(AND(T543&gt;=1,T543&lt;=9,ROW()&lt;=cur_line),T543+1,0)),0)</f>
        <v>0</v>
      </c>
      <c r="U544" s="194">
        <f>IFERROR(IF(INDEX([1]Pivot!$AD$1:$BE$65000,$B544,U$5)=1,1,IF(AND(U543&gt;=1,U543&lt;=9,ROW()&lt;=cur_line),U543+1,0)),0)</f>
        <v>0</v>
      </c>
      <c r="V544" s="194">
        <f>IFERROR(IF(INDEX([1]Pivot!$AD$1:$BE$65000,$B544,V$5)=1,1,IF(AND(V543&gt;=1,V543&lt;=9,ROW()&lt;=cur_line),V543+1,0)),0)</f>
        <v>0</v>
      </c>
      <c r="W544" s="194">
        <f>IFERROR(IF(INDEX([1]Pivot!$AD$1:$BE$65000,$B544,W$5)=1,1,IF(AND(W543&gt;=1,W543&lt;=9,ROW()&lt;=cur_line),W543+1,0)),0)</f>
        <v>0</v>
      </c>
      <c r="X544" s="194">
        <f>IFERROR(IF(INDEX([1]Pivot!$AD$1:$BE$65000,$B544,X$5)=1,1,IF(AND(X543&gt;=1,X543&lt;=9,ROW()&lt;=cur_line),X543+1,0)),0)</f>
        <v>0</v>
      </c>
      <c r="Y544" s="194">
        <f>IFERROR(IF(INDEX([1]Pivot!$AD$1:$BE$65000,$B544,Y$5)=1,1,IF(AND(Y543&gt;=1,Y543&lt;=9,ROW()&lt;=cur_line),Y543+1,0)),0)</f>
        <v>0</v>
      </c>
      <c r="Z544" s="194">
        <f>IFERROR(IF(INDEX([1]Pivot!$AD$1:$BE$65000,$B544,Z$5)=1,1,IF(AND(Z543&gt;=1,Z543&lt;=9,ROW()&lt;=cur_line),Z543+1,0)),0)</f>
        <v>0</v>
      </c>
      <c r="AA544" s="194">
        <f>IFERROR(IF(INDEX([1]Pivot!$AD$1:$BE$65000,$B544,AA$5)=1,1,IF(AND(AA543&gt;=1,AA543&lt;=9,ROW()&lt;=cur_line),AA543+1,0)),0)</f>
        <v>0</v>
      </c>
      <c r="AB544" s="194">
        <f>IFERROR(IF(INDEX([1]Pivot!$AD$1:$BE$65000,$B544,AB$5)=1,1,IF(AND(AB543&gt;=1,AB543&lt;=9,ROW()&lt;=cur_line),AB543+1,0)),0)</f>
        <v>0</v>
      </c>
      <c r="AC544" s="194">
        <f>IFERROR(IF(INDEX([1]Pivot!$AD$1:$BE$65000,$B544,AC$5)=1,1,IF(AND(AC543&gt;=1,AC543&lt;=9,ROW()&lt;=cur_line),AC543+1,0)),0)</f>
        <v>0</v>
      </c>
      <c r="AD544" s="313">
        <f>IFERROR(IF(INDEX([1]Pivot!$BF$1:$CG$65000,$B544,AD$5)=1,1,IF(AND(AD543&gt;=1,AD543&lt;=9,ROW()&lt;=cur_line),AD543+1,0)),0)</f>
        <v>0</v>
      </c>
      <c r="AE544" s="313">
        <f>IFERROR(IF(INDEX([1]Pivot!$BF$1:$CG$65000,$B544,AE$5)=1,1,IF(AND(AE543&gt;=1,AE543&lt;=9,ROW()&lt;=cur_line),AE543+1,0)),0)</f>
        <v>0</v>
      </c>
      <c r="AF544" s="313">
        <f>IFERROR(IF(INDEX([1]Pivot!$BF$1:$CG$65000,$B544,AF$5)=1,1,IF(AND(AF543&gt;=1,AF543&lt;=9,ROW()&lt;=cur_line),AF543+1,0)),0)</f>
        <v>0</v>
      </c>
      <c r="AG544" s="313">
        <f>IFERROR(IF(INDEX([1]Pivot!$BF$1:$CG$65000,$B544,AG$5)=1,1,IF(AND(AG543&gt;=1,AG543&lt;=9,ROW()&lt;=cur_line),AG543+1,0)),0)</f>
        <v>0</v>
      </c>
      <c r="AH544" s="313">
        <f>IFERROR(IF(INDEX([1]Pivot!$BF$1:$CG$65000,$B544,AH$5)=1,1,IF(AND(AH543&gt;=1,AH543&lt;=9,ROW()&lt;=cur_line),AH543+1,0)),0)</f>
        <v>0</v>
      </c>
      <c r="AI544" s="313">
        <f>IFERROR(IF(INDEX([1]Pivot!$BF$1:$CG$65000,$B544,AI$5)=1,1,IF(AND(AI543&gt;=1,AI543&lt;=9,ROW()&lt;=cur_line),AI543+1,0)),0)</f>
        <v>0</v>
      </c>
      <c r="AJ544" s="313">
        <f>IFERROR(IF(INDEX([1]Pivot!$BF$1:$CG$65000,$B544,AJ$5)=1,1,IF(AND(AJ543&gt;=1,AJ543&lt;=9,ROW()&lt;=cur_line),AJ543+1,0)),0)</f>
        <v>0</v>
      </c>
      <c r="AK544" s="313">
        <f>IFERROR(IF(INDEX([1]Pivot!$BF$1:$CG$65000,$B544,AK$5)=1,1,IF(AND(AK543&gt;=1,AK543&lt;=9,ROW()&lt;=cur_line),AK543+1,0)),0)</f>
        <v>0</v>
      </c>
      <c r="AL544" s="313">
        <f>IFERROR(IF(INDEX([1]Pivot!$BF$1:$CG$65000,$B544,AL$5)=1,1,IF(AND(AL543&gt;=1,AL543&lt;=9,ROW()&lt;=cur_line),AL543+1,0)),0)</f>
        <v>0</v>
      </c>
      <c r="AM544" s="313">
        <f>IFERROR(IF(INDEX([1]Pivot!$BF$1:$CG$65000,$B544,AM$5)=1,1,IF(AND(AM543&gt;=1,AM543&lt;=9,ROW()&lt;=cur_line),AM543+1,0)),0)</f>
        <v>0</v>
      </c>
      <c r="AN544" s="313">
        <f>IFERROR(IF(INDEX([1]Pivot!$BF$1:$CG$65000,$B544,AN$5)=1,1,IF(AND(AN543&gt;=1,AN543&lt;=9,ROW()&lt;=cur_line),AN543+1,0)),0)</f>
        <v>0</v>
      </c>
      <c r="AO544" s="313">
        <f>IFERROR(IF(INDEX([1]Pivot!$BF$1:$CG$65000,$B544,AO$5)=1,1,IF(AND(AO543&gt;=1,AO543&lt;=9,ROW()&lt;=cur_line),AO543+1,0)),0)</f>
        <v>0</v>
      </c>
      <c r="AP544" s="313">
        <f>IFERROR(IF(INDEX([1]Pivot!$BF$1:$CG$65000,$B544,AP$5)=1,1,IF(AND(AP543&gt;=1,AP543&lt;=9,ROW()&lt;=cur_line),AP543+1,0)),0)</f>
        <v>0</v>
      </c>
      <c r="AQ544" s="313">
        <f>IFERROR(IF(INDEX([1]Pivot!$BF$1:$CG$65000,$B544,AQ$5)=1,1,IF(AND(AQ543&gt;=1,AQ543&lt;=9,ROW()&lt;=cur_line),AQ543+1,0)),0)</f>
        <v>0</v>
      </c>
      <c r="AR544" s="313">
        <f>IFERROR(IF(INDEX([1]Pivot!$BF$1:$CG$65000,$B544,AR$5)=1,1,IF(AND(AR543&gt;=1,AR543&lt;=9,ROW()&lt;=cur_line),AR543+1,0)),0)</f>
        <v>0</v>
      </c>
      <c r="AS544" s="312"/>
      <c r="AT544" s="313">
        <f>IFERROR(IF(INDEX([1]Pivot!$BF$1:$CG$65000,$B544,AT$5)=1,1,IF(AND(AT543&gt;=1,AT543&lt;=9,ROW()&lt;=cur_line),AT543+1,0)),0)</f>
        <v>0</v>
      </c>
      <c r="AU544" s="313">
        <f>IFERROR(IF(INDEX([1]Pivot!$BF$1:$CG$65000,$B544,AU$5)=1,1,IF(AND(AU543&gt;=1,AU543&lt;=9,ROW()&lt;=cur_line),AU543+1,0)),0)</f>
        <v>0</v>
      </c>
      <c r="AV544" s="313">
        <f>IFERROR(IF(INDEX([1]Pivot!$BF$1:$CG$65000,$B544,AV$5)=1,1,IF(AND(AV543&gt;=1,AV543&lt;=9,ROW()&lt;=cur_line),AV543+1,0)),0)</f>
        <v>0</v>
      </c>
      <c r="AW544" s="313">
        <f>IFERROR(IF(INDEX([1]Pivot!$BF$1:$CG$65000,$B544,AW$5)=1,1,IF(AND(AW543&gt;=1,AW543&lt;=9,ROW()&lt;=cur_line),AW543+1,0)),0)</f>
        <v>0</v>
      </c>
      <c r="AX544" s="313">
        <f>IFERROR(IF(INDEX([1]Pivot!$BF$1:$CG$65000,$B544,AX$5)=1,1,IF(AND(AX543&gt;=1,AX543&lt;=9,ROW()&lt;=cur_line),AX543+1,0)),0)</f>
        <v>0</v>
      </c>
      <c r="AY544" s="313">
        <f>IFERROR(IF(INDEX([1]Pivot!$BF$1:$CG$65000,$B544,AY$5)=1,1,IF(AND(AY543&gt;=1,AY543&lt;=9,ROW()&lt;=cur_line),AY543+1,0)),0)</f>
        <v>0</v>
      </c>
      <c r="AZ544" s="313">
        <f>IFERROR(IF(INDEX([1]Pivot!$BF$1:$CG$65000,$B544,AZ$5)=1,1,IF(AND(AZ543&gt;=1,AZ543&lt;=9,ROW()&lt;=cur_line),AZ543+1,0)),0)</f>
        <v>0</v>
      </c>
      <c r="BA544" s="313">
        <f>IFERROR(IF(INDEX([1]Pivot!$BF$1:$CG$65000,$B544,BA$5)=1,1,IF(AND(BA543&gt;=1,BA543&lt;=9,ROW()&lt;=cur_line),BA543+1,0)),0)</f>
        <v>0</v>
      </c>
      <c r="BB544" s="313">
        <f>IFERROR(IF(INDEX([1]Pivot!$BF$1:$CG$65000,$B544,BB$5)=1,1,IF(AND(BB543&gt;=1,BB543&lt;=9,ROW()&lt;=cur_line),BB543+1,0)),0)</f>
        <v>0</v>
      </c>
      <c r="BC544" s="313">
        <f>IFERROR(IF(INDEX([1]Pivot!$BF$1:$CG$65000,$B544,BC$5)=1,1,IF(AND(BC543&gt;=1,BC543&lt;=9,ROW()&lt;=cur_line),BC543+1,0)),0)</f>
        <v>0</v>
      </c>
      <c r="BD544" s="313">
        <f>IFERROR(IF(INDEX([1]Pivot!$BF$1:$CG$65000,$B544,BD$5)=1,1,IF(AND(BD543&gt;=1,BD543&lt;=9,ROW()&lt;=cur_line),BD543+1,0)),0)</f>
        <v>0</v>
      </c>
    </row>
    <row r="545" spans="1:56" hidden="1" outlineLevel="1" x14ac:dyDescent="0.25">
      <c r="A545" s="288" t="str">
        <f>'[2]Raw Milk Prices'!A545</f>
        <v>2021m10</v>
      </c>
      <c r="B545" s="296" t="e">
        <f>MATCH(DATE(LEFT('[2]Raw Milk Prices'!$A545,4),RIGHT('[2]Raw Milk Prices'!$A545,2),1),[1]Pivot!$A$1:$A$65000,0)</f>
        <v>#N/A</v>
      </c>
      <c r="C545" s="194">
        <f>IFERROR(IF(INDEX([1]Pivot!$AD$1:$BE$65000,$B545,C$5)=1,1,IF(AND(C544&gt;=1,C544&lt;=9,ROW()&lt;=cur_line),C544+1,0)),0)</f>
        <v>0</v>
      </c>
      <c r="D545" s="194">
        <f>IFERROR(IF(INDEX([1]Pivot!$AD$1:$BE$65000,$B545,D$5)=1,1,IF(AND(D544&gt;=1,D544&lt;=9,ROW()&lt;=cur_line),D544+1,0)),0)</f>
        <v>0</v>
      </c>
      <c r="E545" s="194">
        <f>IFERROR(IF(INDEX([1]Pivot!$AD$1:$BE$65000,$B545,E$5)=1,1,IF(AND(E544&gt;=1,E544&lt;=9,ROW()&lt;=cur_line),E544+1,0)),0)</f>
        <v>0</v>
      </c>
      <c r="F545" s="194">
        <f>IFERROR(IF(INDEX([1]Pivot!$AD$1:$BE$65000,$B545,F$5)=1,1,IF(AND(F544&gt;=1,F544&lt;=9,ROW()&lt;=cur_line),F544+1,0)),0)</f>
        <v>0</v>
      </c>
      <c r="G545" s="194">
        <f>IFERROR(IF(INDEX([1]Pivot!$AD$1:$BE$65000,$B545,G$5)=1,1,IF(AND(G544&gt;=1,G544&lt;=9,ROW()&lt;=cur_line),G544+1,0)),0)</f>
        <v>0</v>
      </c>
      <c r="H545" s="194">
        <f>IFERROR(IF(INDEX([1]Pivot!$AD$1:$BE$65000,$B545,H$5)=1,1,IF(AND(H544&gt;=1,H544&lt;=9,ROW()&lt;=cur_line),H544+1,0)),0)</f>
        <v>0</v>
      </c>
      <c r="I545" s="194">
        <f>IFERROR(IF(INDEX([1]Pivot!$AD$1:$BE$65000,$B545,I$5)=1,1,IF(AND(I544&gt;=1,I544&lt;=9,ROW()&lt;=cur_line),I544+1,0)),0)</f>
        <v>0</v>
      </c>
      <c r="J545" s="194">
        <f>IFERROR(IF(INDEX([1]Pivot!$AD$1:$BE$65000,$B545,J$5)=1,1,IF(AND(J544&gt;=1,J544&lt;=9,ROW()&lt;=cur_line),J544+1,0)),0)</f>
        <v>0</v>
      </c>
      <c r="K545" s="194">
        <f>IFERROR(IF(INDEX([1]Pivot!$AD$1:$BE$65000,$B545,K$5)=1,1,IF(AND(K544&gt;=1,K544&lt;=9,ROW()&lt;=cur_line),K544+1,0)),0)</f>
        <v>0</v>
      </c>
      <c r="L545" s="194">
        <f>IFERROR(IF(INDEX([1]Pivot!$AD$1:$BE$65000,$B545,L$5)=1,1,IF(AND(L544&gt;=1,L544&lt;=9,ROW()&lt;=cur_line),L544+1,0)),0)</f>
        <v>0</v>
      </c>
      <c r="M545" s="194">
        <f>IFERROR(IF(INDEX([1]Pivot!$AD$1:$BE$65000,$B545,M$5)=1,1,IF(AND(M544&gt;=1,M544&lt;=9,ROW()&lt;=cur_line),M544+1,0)),0)</f>
        <v>0</v>
      </c>
      <c r="N545" s="194">
        <f>IFERROR(IF(INDEX([1]Pivot!$AD$1:$BE$65000,$B545,N$5)=1,1,IF(AND(N544&gt;=1,N544&lt;=9,ROW()&lt;=cur_line),N544+1,0)),0)</f>
        <v>0</v>
      </c>
      <c r="O545" s="194">
        <f>IFERROR(IF(INDEX([1]Pivot!$AD$1:$BE$65000,$B545,O$5)=1,1,IF(AND(O544&gt;=1,O544&lt;=9,ROW()&lt;=cur_line),O544+1,0)),0)</f>
        <v>0</v>
      </c>
      <c r="P545" s="194">
        <f>IFERROR(IF(INDEX([1]Pivot!$AD$1:$BE$65000,$B545,P$5)=1,1,IF(AND(P544&gt;=1,P544&lt;=9,ROW()&lt;=cur_line),P544+1,0)),0)</f>
        <v>0</v>
      </c>
      <c r="Q545" s="194">
        <f>IFERROR(IF(INDEX([1]Pivot!$AD$1:$BE$65000,$B545,Q$5)=1,1,IF(AND(Q544&gt;=1,Q544&lt;=9,ROW()&lt;=cur_line),Q544+1,0)),0)</f>
        <v>0</v>
      </c>
      <c r="R545" s="312"/>
      <c r="S545" s="194">
        <f>IFERROR(IF(INDEX([1]Pivot!$AD$1:$BE$65000,$B545,S$5)=1,1,IF(AND(S544&gt;=1,S544&lt;=9,ROW()&lt;=cur_line),S544+1,0)),0)</f>
        <v>0</v>
      </c>
      <c r="T545" s="194">
        <f>IFERROR(IF(INDEX([1]Pivot!$AD$1:$BE$65000,$B545,T$5)=1,1,IF(AND(T544&gt;=1,T544&lt;=9,ROW()&lt;=cur_line),T544+1,0)),0)</f>
        <v>0</v>
      </c>
      <c r="U545" s="194">
        <f>IFERROR(IF(INDEX([1]Pivot!$AD$1:$BE$65000,$B545,U$5)=1,1,IF(AND(U544&gt;=1,U544&lt;=9,ROW()&lt;=cur_line),U544+1,0)),0)</f>
        <v>0</v>
      </c>
      <c r="V545" s="194">
        <f>IFERROR(IF(INDEX([1]Pivot!$AD$1:$BE$65000,$B545,V$5)=1,1,IF(AND(V544&gt;=1,V544&lt;=9,ROW()&lt;=cur_line),V544+1,0)),0)</f>
        <v>0</v>
      </c>
      <c r="W545" s="194">
        <f>IFERROR(IF(INDEX([1]Pivot!$AD$1:$BE$65000,$B545,W$5)=1,1,IF(AND(W544&gt;=1,W544&lt;=9,ROW()&lt;=cur_line),W544+1,0)),0)</f>
        <v>0</v>
      </c>
      <c r="X545" s="194">
        <f>IFERROR(IF(INDEX([1]Pivot!$AD$1:$BE$65000,$B545,X$5)=1,1,IF(AND(X544&gt;=1,X544&lt;=9,ROW()&lt;=cur_line),X544+1,0)),0)</f>
        <v>0</v>
      </c>
      <c r="Y545" s="194">
        <f>IFERROR(IF(INDEX([1]Pivot!$AD$1:$BE$65000,$B545,Y$5)=1,1,IF(AND(Y544&gt;=1,Y544&lt;=9,ROW()&lt;=cur_line),Y544+1,0)),0)</f>
        <v>0</v>
      </c>
      <c r="Z545" s="194">
        <f>IFERROR(IF(INDEX([1]Pivot!$AD$1:$BE$65000,$B545,Z$5)=1,1,IF(AND(Z544&gt;=1,Z544&lt;=9,ROW()&lt;=cur_line),Z544+1,0)),0)</f>
        <v>0</v>
      </c>
      <c r="AA545" s="194">
        <f>IFERROR(IF(INDEX([1]Pivot!$AD$1:$BE$65000,$B545,AA$5)=1,1,IF(AND(AA544&gt;=1,AA544&lt;=9,ROW()&lt;=cur_line),AA544+1,0)),0)</f>
        <v>0</v>
      </c>
      <c r="AB545" s="194">
        <f>IFERROR(IF(INDEX([1]Pivot!$AD$1:$BE$65000,$B545,AB$5)=1,1,IF(AND(AB544&gt;=1,AB544&lt;=9,ROW()&lt;=cur_line),AB544+1,0)),0)</f>
        <v>0</v>
      </c>
      <c r="AC545" s="194">
        <f>IFERROR(IF(INDEX([1]Pivot!$AD$1:$BE$65000,$B545,AC$5)=1,1,IF(AND(AC544&gt;=1,AC544&lt;=9,ROW()&lt;=cur_line),AC544+1,0)),0)</f>
        <v>0</v>
      </c>
      <c r="AD545" s="313">
        <f>IFERROR(IF(INDEX([1]Pivot!$BF$1:$CG$65000,$B545,AD$5)=1,1,IF(AND(AD544&gt;=1,AD544&lt;=9,ROW()&lt;=cur_line),AD544+1,0)),0)</f>
        <v>0</v>
      </c>
      <c r="AE545" s="313">
        <f>IFERROR(IF(INDEX([1]Pivot!$BF$1:$CG$65000,$B545,AE$5)=1,1,IF(AND(AE544&gt;=1,AE544&lt;=9,ROW()&lt;=cur_line),AE544+1,0)),0)</f>
        <v>0</v>
      </c>
      <c r="AF545" s="313">
        <f>IFERROR(IF(INDEX([1]Pivot!$BF$1:$CG$65000,$B545,AF$5)=1,1,IF(AND(AF544&gt;=1,AF544&lt;=9,ROW()&lt;=cur_line),AF544+1,0)),0)</f>
        <v>0</v>
      </c>
      <c r="AG545" s="313">
        <f>IFERROR(IF(INDEX([1]Pivot!$BF$1:$CG$65000,$B545,AG$5)=1,1,IF(AND(AG544&gt;=1,AG544&lt;=9,ROW()&lt;=cur_line),AG544+1,0)),0)</f>
        <v>0</v>
      </c>
      <c r="AH545" s="313">
        <f>IFERROR(IF(INDEX([1]Pivot!$BF$1:$CG$65000,$B545,AH$5)=1,1,IF(AND(AH544&gt;=1,AH544&lt;=9,ROW()&lt;=cur_line),AH544+1,0)),0)</f>
        <v>0</v>
      </c>
      <c r="AI545" s="313">
        <f>IFERROR(IF(INDEX([1]Pivot!$BF$1:$CG$65000,$B545,AI$5)=1,1,IF(AND(AI544&gt;=1,AI544&lt;=9,ROW()&lt;=cur_line),AI544+1,0)),0)</f>
        <v>0</v>
      </c>
      <c r="AJ545" s="313">
        <f>IFERROR(IF(INDEX([1]Pivot!$BF$1:$CG$65000,$B545,AJ$5)=1,1,IF(AND(AJ544&gt;=1,AJ544&lt;=9,ROW()&lt;=cur_line),AJ544+1,0)),0)</f>
        <v>0</v>
      </c>
      <c r="AK545" s="313">
        <f>IFERROR(IF(INDEX([1]Pivot!$BF$1:$CG$65000,$B545,AK$5)=1,1,IF(AND(AK544&gt;=1,AK544&lt;=9,ROW()&lt;=cur_line),AK544+1,0)),0)</f>
        <v>0</v>
      </c>
      <c r="AL545" s="313">
        <f>IFERROR(IF(INDEX([1]Pivot!$BF$1:$CG$65000,$B545,AL$5)=1,1,IF(AND(AL544&gt;=1,AL544&lt;=9,ROW()&lt;=cur_line),AL544+1,0)),0)</f>
        <v>0</v>
      </c>
      <c r="AM545" s="313">
        <f>IFERROR(IF(INDEX([1]Pivot!$BF$1:$CG$65000,$B545,AM$5)=1,1,IF(AND(AM544&gt;=1,AM544&lt;=9,ROW()&lt;=cur_line),AM544+1,0)),0)</f>
        <v>0</v>
      </c>
      <c r="AN545" s="313">
        <f>IFERROR(IF(INDEX([1]Pivot!$BF$1:$CG$65000,$B545,AN$5)=1,1,IF(AND(AN544&gt;=1,AN544&lt;=9,ROW()&lt;=cur_line),AN544+1,0)),0)</f>
        <v>0</v>
      </c>
      <c r="AO545" s="313">
        <f>IFERROR(IF(INDEX([1]Pivot!$BF$1:$CG$65000,$B545,AO$5)=1,1,IF(AND(AO544&gt;=1,AO544&lt;=9,ROW()&lt;=cur_line),AO544+1,0)),0)</f>
        <v>0</v>
      </c>
      <c r="AP545" s="313">
        <f>IFERROR(IF(INDEX([1]Pivot!$BF$1:$CG$65000,$B545,AP$5)=1,1,IF(AND(AP544&gt;=1,AP544&lt;=9,ROW()&lt;=cur_line),AP544+1,0)),0)</f>
        <v>0</v>
      </c>
      <c r="AQ545" s="313">
        <f>IFERROR(IF(INDEX([1]Pivot!$BF$1:$CG$65000,$B545,AQ$5)=1,1,IF(AND(AQ544&gt;=1,AQ544&lt;=9,ROW()&lt;=cur_line),AQ544+1,0)),0)</f>
        <v>0</v>
      </c>
      <c r="AR545" s="313">
        <f>IFERROR(IF(INDEX([1]Pivot!$BF$1:$CG$65000,$B545,AR$5)=1,1,IF(AND(AR544&gt;=1,AR544&lt;=9,ROW()&lt;=cur_line),AR544+1,0)),0)</f>
        <v>0</v>
      </c>
      <c r="AS545" s="312"/>
      <c r="AT545" s="313">
        <f>IFERROR(IF(INDEX([1]Pivot!$BF$1:$CG$65000,$B545,AT$5)=1,1,IF(AND(AT544&gt;=1,AT544&lt;=9,ROW()&lt;=cur_line),AT544+1,0)),0)</f>
        <v>0</v>
      </c>
      <c r="AU545" s="313">
        <f>IFERROR(IF(INDEX([1]Pivot!$BF$1:$CG$65000,$B545,AU$5)=1,1,IF(AND(AU544&gt;=1,AU544&lt;=9,ROW()&lt;=cur_line),AU544+1,0)),0)</f>
        <v>0</v>
      </c>
      <c r="AV545" s="313">
        <f>IFERROR(IF(INDEX([1]Pivot!$BF$1:$CG$65000,$B545,AV$5)=1,1,IF(AND(AV544&gt;=1,AV544&lt;=9,ROW()&lt;=cur_line),AV544+1,0)),0)</f>
        <v>0</v>
      </c>
      <c r="AW545" s="313">
        <f>IFERROR(IF(INDEX([1]Pivot!$BF$1:$CG$65000,$B545,AW$5)=1,1,IF(AND(AW544&gt;=1,AW544&lt;=9,ROW()&lt;=cur_line),AW544+1,0)),0)</f>
        <v>0</v>
      </c>
      <c r="AX545" s="313">
        <f>IFERROR(IF(INDEX([1]Pivot!$BF$1:$CG$65000,$B545,AX$5)=1,1,IF(AND(AX544&gt;=1,AX544&lt;=9,ROW()&lt;=cur_line),AX544+1,0)),0)</f>
        <v>0</v>
      </c>
      <c r="AY545" s="313">
        <f>IFERROR(IF(INDEX([1]Pivot!$BF$1:$CG$65000,$B545,AY$5)=1,1,IF(AND(AY544&gt;=1,AY544&lt;=9,ROW()&lt;=cur_line),AY544+1,0)),0)</f>
        <v>0</v>
      </c>
      <c r="AZ545" s="313">
        <f>IFERROR(IF(INDEX([1]Pivot!$BF$1:$CG$65000,$B545,AZ$5)=1,1,IF(AND(AZ544&gt;=1,AZ544&lt;=9,ROW()&lt;=cur_line),AZ544+1,0)),0)</f>
        <v>0</v>
      </c>
      <c r="BA545" s="313">
        <f>IFERROR(IF(INDEX([1]Pivot!$BF$1:$CG$65000,$B545,BA$5)=1,1,IF(AND(BA544&gt;=1,BA544&lt;=9,ROW()&lt;=cur_line),BA544+1,0)),0)</f>
        <v>0</v>
      </c>
      <c r="BB545" s="313">
        <f>IFERROR(IF(INDEX([1]Pivot!$BF$1:$CG$65000,$B545,BB$5)=1,1,IF(AND(BB544&gt;=1,BB544&lt;=9,ROW()&lt;=cur_line),BB544+1,0)),0)</f>
        <v>0</v>
      </c>
      <c r="BC545" s="313">
        <f>IFERROR(IF(INDEX([1]Pivot!$BF$1:$CG$65000,$B545,BC$5)=1,1,IF(AND(BC544&gt;=1,BC544&lt;=9,ROW()&lt;=cur_line),BC544+1,0)),0)</f>
        <v>0</v>
      </c>
      <c r="BD545" s="313">
        <f>IFERROR(IF(INDEX([1]Pivot!$BF$1:$CG$65000,$B545,BD$5)=1,1,IF(AND(BD544&gt;=1,BD544&lt;=9,ROW()&lt;=cur_line),BD544+1,0)),0)</f>
        <v>0</v>
      </c>
    </row>
    <row r="546" spans="1:56" hidden="1" outlineLevel="1" x14ac:dyDescent="0.25">
      <c r="A546" s="288" t="str">
        <f>'[2]Raw Milk Prices'!A546</f>
        <v>2021m11</v>
      </c>
      <c r="B546" s="296" t="e">
        <f>MATCH(DATE(LEFT('[2]Raw Milk Prices'!$A546,4),RIGHT('[2]Raw Milk Prices'!$A546,2),1),[1]Pivot!$A$1:$A$65000,0)</f>
        <v>#N/A</v>
      </c>
      <c r="C546" s="194">
        <f>IFERROR(IF(INDEX([1]Pivot!$AD$1:$BE$65000,$B546,C$5)=1,1,IF(AND(C545&gt;=1,C545&lt;=9,ROW()&lt;=cur_line),C545+1,0)),0)</f>
        <v>0</v>
      </c>
      <c r="D546" s="194">
        <f>IFERROR(IF(INDEX([1]Pivot!$AD$1:$BE$65000,$B546,D$5)=1,1,IF(AND(D545&gt;=1,D545&lt;=9,ROW()&lt;=cur_line),D545+1,0)),0)</f>
        <v>0</v>
      </c>
      <c r="E546" s="194">
        <f>IFERROR(IF(INDEX([1]Pivot!$AD$1:$BE$65000,$B546,E$5)=1,1,IF(AND(E545&gt;=1,E545&lt;=9,ROW()&lt;=cur_line),E545+1,0)),0)</f>
        <v>0</v>
      </c>
      <c r="F546" s="194">
        <f>IFERROR(IF(INDEX([1]Pivot!$AD$1:$BE$65000,$B546,F$5)=1,1,IF(AND(F545&gt;=1,F545&lt;=9,ROW()&lt;=cur_line),F545+1,0)),0)</f>
        <v>0</v>
      </c>
      <c r="G546" s="194">
        <f>IFERROR(IF(INDEX([1]Pivot!$AD$1:$BE$65000,$B546,G$5)=1,1,IF(AND(G545&gt;=1,G545&lt;=9,ROW()&lt;=cur_line),G545+1,0)),0)</f>
        <v>0</v>
      </c>
      <c r="H546" s="194">
        <f>IFERROR(IF(INDEX([1]Pivot!$AD$1:$BE$65000,$B546,H$5)=1,1,IF(AND(H545&gt;=1,H545&lt;=9,ROW()&lt;=cur_line),H545+1,0)),0)</f>
        <v>0</v>
      </c>
      <c r="I546" s="194">
        <f>IFERROR(IF(INDEX([1]Pivot!$AD$1:$BE$65000,$B546,I$5)=1,1,IF(AND(I545&gt;=1,I545&lt;=9,ROW()&lt;=cur_line),I545+1,0)),0)</f>
        <v>0</v>
      </c>
      <c r="J546" s="194">
        <f>IFERROR(IF(INDEX([1]Pivot!$AD$1:$BE$65000,$B546,J$5)=1,1,IF(AND(J545&gt;=1,J545&lt;=9,ROW()&lt;=cur_line),J545+1,0)),0)</f>
        <v>0</v>
      </c>
      <c r="K546" s="194">
        <f>IFERROR(IF(INDEX([1]Pivot!$AD$1:$BE$65000,$B546,K$5)=1,1,IF(AND(K545&gt;=1,K545&lt;=9,ROW()&lt;=cur_line),K545+1,0)),0)</f>
        <v>0</v>
      </c>
      <c r="L546" s="194">
        <f>IFERROR(IF(INDEX([1]Pivot!$AD$1:$BE$65000,$B546,L$5)=1,1,IF(AND(L545&gt;=1,L545&lt;=9,ROW()&lt;=cur_line),L545+1,0)),0)</f>
        <v>0</v>
      </c>
      <c r="M546" s="194">
        <f>IFERROR(IF(INDEX([1]Pivot!$AD$1:$BE$65000,$B546,M$5)=1,1,IF(AND(M545&gt;=1,M545&lt;=9,ROW()&lt;=cur_line),M545+1,0)),0)</f>
        <v>0</v>
      </c>
      <c r="N546" s="194">
        <f>IFERROR(IF(INDEX([1]Pivot!$AD$1:$BE$65000,$B546,N$5)=1,1,IF(AND(N545&gt;=1,N545&lt;=9,ROW()&lt;=cur_line),N545+1,0)),0)</f>
        <v>0</v>
      </c>
      <c r="O546" s="194">
        <f>IFERROR(IF(INDEX([1]Pivot!$AD$1:$BE$65000,$B546,O$5)=1,1,IF(AND(O545&gt;=1,O545&lt;=9,ROW()&lt;=cur_line),O545+1,0)),0)</f>
        <v>0</v>
      </c>
      <c r="P546" s="194">
        <f>IFERROR(IF(INDEX([1]Pivot!$AD$1:$BE$65000,$B546,P$5)=1,1,IF(AND(P545&gt;=1,P545&lt;=9,ROW()&lt;=cur_line),P545+1,0)),0)</f>
        <v>0</v>
      </c>
      <c r="Q546" s="194">
        <f>IFERROR(IF(INDEX([1]Pivot!$AD$1:$BE$65000,$B546,Q$5)=1,1,IF(AND(Q545&gt;=1,Q545&lt;=9,ROW()&lt;=cur_line),Q545+1,0)),0)</f>
        <v>0</v>
      </c>
      <c r="R546" s="312"/>
      <c r="S546" s="194">
        <f>IFERROR(IF(INDEX([1]Pivot!$AD$1:$BE$65000,$B546,S$5)=1,1,IF(AND(S545&gt;=1,S545&lt;=9,ROW()&lt;=cur_line),S545+1,0)),0)</f>
        <v>0</v>
      </c>
      <c r="T546" s="194">
        <f>IFERROR(IF(INDEX([1]Pivot!$AD$1:$BE$65000,$B546,T$5)=1,1,IF(AND(T545&gt;=1,T545&lt;=9,ROW()&lt;=cur_line),T545+1,0)),0)</f>
        <v>0</v>
      </c>
      <c r="U546" s="194">
        <f>IFERROR(IF(INDEX([1]Pivot!$AD$1:$BE$65000,$B546,U$5)=1,1,IF(AND(U545&gt;=1,U545&lt;=9,ROW()&lt;=cur_line),U545+1,0)),0)</f>
        <v>0</v>
      </c>
      <c r="V546" s="194">
        <f>IFERROR(IF(INDEX([1]Pivot!$AD$1:$BE$65000,$B546,V$5)=1,1,IF(AND(V545&gt;=1,V545&lt;=9,ROW()&lt;=cur_line),V545+1,0)),0)</f>
        <v>0</v>
      </c>
      <c r="W546" s="194">
        <f>IFERROR(IF(INDEX([1]Pivot!$AD$1:$BE$65000,$B546,W$5)=1,1,IF(AND(W545&gt;=1,W545&lt;=9,ROW()&lt;=cur_line),W545+1,0)),0)</f>
        <v>0</v>
      </c>
      <c r="X546" s="194">
        <f>IFERROR(IF(INDEX([1]Pivot!$AD$1:$BE$65000,$B546,X$5)=1,1,IF(AND(X545&gt;=1,X545&lt;=9,ROW()&lt;=cur_line),X545+1,0)),0)</f>
        <v>0</v>
      </c>
      <c r="Y546" s="194">
        <f>IFERROR(IF(INDEX([1]Pivot!$AD$1:$BE$65000,$B546,Y$5)=1,1,IF(AND(Y545&gt;=1,Y545&lt;=9,ROW()&lt;=cur_line),Y545+1,0)),0)</f>
        <v>0</v>
      </c>
      <c r="Z546" s="194">
        <f>IFERROR(IF(INDEX([1]Pivot!$AD$1:$BE$65000,$B546,Z$5)=1,1,IF(AND(Z545&gt;=1,Z545&lt;=9,ROW()&lt;=cur_line),Z545+1,0)),0)</f>
        <v>0</v>
      </c>
      <c r="AA546" s="194">
        <f>IFERROR(IF(INDEX([1]Pivot!$AD$1:$BE$65000,$B546,AA$5)=1,1,IF(AND(AA545&gt;=1,AA545&lt;=9,ROW()&lt;=cur_line),AA545+1,0)),0)</f>
        <v>0</v>
      </c>
      <c r="AB546" s="194">
        <f>IFERROR(IF(INDEX([1]Pivot!$AD$1:$BE$65000,$B546,AB$5)=1,1,IF(AND(AB545&gt;=1,AB545&lt;=9,ROW()&lt;=cur_line),AB545+1,0)),0)</f>
        <v>0</v>
      </c>
      <c r="AC546" s="194">
        <f>IFERROR(IF(INDEX([1]Pivot!$AD$1:$BE$65000,$B546,AC$5)=1,1,IF(AND(AC545&gt;=1,AC545&lt;=9,ROW()&lt;=cur_line),AC545+1,0)),0)</f>
        <v>0</v>
      </c>
      <c r="AD546" s="313">
        <f>IFERROR(IF(INDEX([1]Pivot!$BF$1:$CG$65000,$B546,AD$5)=1,1,IF(AND(AD545&gt;=1,AD545&lt;=9,ROW()&lt;=cur_line),AD545+1,0)),0)</f>
        <v>0</v>
      </c>
      <c r="AE546" s="313">
        <f>IFERROR(IF(INDEX([1]Pivot!$BF$1:$CG$65000,$B546,AE$5)=1,1,IF(AND(AE545&gt;=1,AE545&lt;=9,ROW()&lt;=cur_line),AE545+1,0)),0)</f>
        <v>0</v>
      </c>
      <c r="AF546" s="313">
        <f>IFERROR(IF(INDEX([1]Pivot!$BF$1:$CG$65000,$B546,AF$5)=1,1,IF(AND(AF545&gt;=1,AF545&lt;=9,ROW()&lt;=cur_line),AF545+1,0)),0)</f>
        <v>0</v>
      </c>
      <c r="AG546" s="313">
        <f>IFERROR(IF(INDEX([1]Pivot!$BF$1:$CG$65000,$B546,AG$5)=1,1,IF(AND(AG545&gt;=1,AG545&lt;=9,ROW()&lt;=cur_line),AG545+1,0)),0)</f>
        <v>0</v>
      </c>
      <c r="AH546" s="313">
        <f>IFERROR(IF(INDEX([1]Pivot!$BF$1:$CG$65000,$B546,AH$5)=1,1,IF(AND(AH545&gt;=1,AH545&lt;=9,ROW()&lt;=cur_line),AH545+1,0)),0)</f>
        <v>0</v>
      </c>
      <c r="AI546" s="313">
        <f>IFERROR(IF(INDEX([1]Pivot!$BF$1:$CG$65000,$B546,AI$5)=1,1,IF(AND(AI545&gt;=1,AI545&lt;=9,ROW()&lt;=cur_line),AI545+1,0)),0)</f>
        <v>0</v>
      </c>
      <c r="AJ546" s="313">
        <f>IFERROR(IF(INDEX([1]Pivot!$BF$1:$CG$65000,$B546,AJ$5)=1,1,IF(AND(AJ545&gt;=1,AJ545&lt;=9,ROW()&lt;=cur_line),AJ545+1,0)),0)</f>
        <v>0</v>
      </c>
      <c r="AK546" s="313">
        <f>IFERROR(IF(INDEX([1]Pivot!$BF$1:$CG$65000,$B546,AK$5)=1,1,IF(AND(AK545&gt;=1,AK545&lt;=9,ROW()&lt;=cur_line),AK545+1,0)),0)</f>
        <v>0</v>
      </c>
      <c r="AL546" s="313">
        <f>IFERROR(IF(INDEX([1]Pivot!$BF$1:$CG$65000,$B546,AL$5)=1,1,IF(AND(AL545&gt;=1,AL545&lt;=9,ROW()&lt;=cur_line),AL545+1,0)),0)</f>
        <v>0</v>
      </c>
      <c r="AM546" s="313">
        <f>IFERROR(IF(INDEX([1]Pivot!$BF$1:$CG$65000,$B546,AM$5)=1,1,IF(AND(AM545&gt;=1,AM545&lt;=9,ROW()&lt;=cur_line),AM545+1,0)),0)</f>
        <v>0</v>
      </c>
      <c r="AN546" s="313">
        <f>IFERROR(IF(INDEX([1]Pivot!$BF$1:$CG$65000,$B546,AN$5)=1,1,IF(AND(AN545&gt;=1,AN545&lt;=9,ROW()&lt;=cur_line),AN545+1,0)),0)</f>
        <v>0</v>
      </c>
      <c r="AO546" s="313">
        <f>IFERROR(IF(INDEX([1]Pivot!$BF$1:$CG$65000,$B546,AO$5)=1,1,IF(AND(AO545&gt;=1,AO545&lt;=9,ROW()&lt;=cur_line),AO545+1,0)),0)</f>
        <v>0</v>
      </c>
      <c r="AP546" s="313">
        <f>IFERROR(IF(INDEX([1]Pivot!$BF$1:$CG$65000,$B546,AP$5)=1,1,IF(AND(AP545&gt;=1,AP545&lt;=9,ROW()&lt;=cur_line),AP545+1,0)),0)</f>
        <v>0</v>
      </c>
      <c r="AQ546" s="313">
        <f>IFERROR(IF(INDEX([1]Pivot!$BF$1:$CG$65000,$B546,AQ$5)=1,1,IF(AND(AQ545&gt;=1,AQ545&lt;=9,ROW()&lt;=cur_line),AQ545+1,0)),0)</f>
        <v>0</v>
      </c>
      <c r="AR546" s="313">
        <f>IFERROR(IF(INDEX([1]Pivot!$BF$1:$CG$65000,$B546,AR$5)=1,1,IF(AND(AR545&gt;=1,AR545&lt;=9,ROW()&lt;=cur_line),AR545+1,0)),0)</f>
        <v>0</v>
      </c>
      <c r="AS546" s="312"/>
      <c r="AT546" s="313">
        <f>IFERROR(IF(INDEX([1]Pivot!$BF$1:$CG$65000,$B546,AT$5)=1,1,IF(AND(AT545&gt;=1,AT545&lt;=9,ROW()&lt;=cur_line),AT545+1,0)),0)</f>
        <v>0</v>
      </c>
      <c r="AU546" s="313">
        <f>IFERROR(IF(INDEX([1]Pivot!$BF$1:$CG$65000,$B546,AU$5)=1,1,IF(AND(AU545&gt;=1,AU545&lt;=9,ROW()&lt;=cur_line),AU545+1,0)),0)</f>
        <v>0</v>
      </c>
      <c r="AV546" s="313">
        <f>IFERROR(IF(INDEX([1]Pivot!$BF$1:$CG$65000,$B546,AV$5)=1,1,IF(AND(AV545&gt;=1,AV545&lt;=9,ROW()&lt;=cur_line),AV545+1,0)),0)</f>
        <v>0</v>
      </c>
      <c r="AW546" s="313">
        <f>IFERROR(IF(INDEX([1]Pivot!$BF$1:$CG$65000,$B546,AW$5)=1,1,IF(AND(AW545&gt;=1,AW545&lt;=9,ROW()&lt;=cur_line),AW545+1,0)),0)</f>
        <v>0</v>
      </c>
      <c r="AX546" s="313">
        <f>IFERROR(IF(INDEX([1]Pivot!$BF$1:$CG$65000,$B546,AX$5)=1,1,IF(AND(AX545&gt;=1,AX545&lt;=9,ROW()&lt;=cur_line),AX545+1,0)),0)</f>
        <v>0</v>
      </c>
      <c r="AY546" s="313">
        <f>IFERROR(IF(INDEX([1]Pivot!$BF$1:$CG$65000,$B546,AY$5)=1,1,IF(AND(AY545&gt;=1,AY545&lt;=9,ROW()&lt;=cur_line),AY545+1,0)),0)</f>
        <v>0</v>
      </c>
      <c r="AZ546" s="313">
        <f>IFERROR(IF(INDEX([1]Pivot!$BF$1:$CG$65000,$B546,AZ$5)=1,1,IF(AND(AZ545&gt;=1,AZ545&lt;=9,ROW()&lt;=cur_line),AZ545+1,0)),0)</f>
        <v>0</v>
      </c>
      <c r="BA546" s="313">
        <f>IFERROR(IF(INDEX([1]Pivot!$BF$1:$CG$65000,$B546,BA$5)=1,1,IF(AND(BA545&gt;=1,BA545&lt;=9,ROW()&lt;=cur_line),BA545+1,0)),0)</f>
        <v>0</v>
      </c>
      <c r="BB546" s="313">
        <f>IFERROR(IF(INDEX([1]Pivot!$BF$1:$CG$65000,$B546,BB$5)=1,1,IF(AND(BB545&gt;=1,BB545&lt;=9,ROW()&lt;=cur_line),BB545+1,0)),0)</f>
        <v>0</v>
      </c>
      <c r="BC546" s="313">
        <f>IFERROR(IF(INDEX([1]Pivot!$BF$1:$CG$65000,$B546,BC$5)=1,1,IF(AND(BC545&gt;=1,BC545&lt;=9,ROW()&lt;=cur_line),BC545+1,0)),0)</f>
        <v>0</v>
      </c>
      <c r="BD546" s="313">
        <f>IFERROR(IF(INDEX([1]Pivot!$BF$1:$CG$65000,$B546,BD$5)=1,1,IF(AND(BD545&gt;=1,BD545&lt;=9,ROW()&lt;=cur_line),BD545+1,0)),0)</f>
        <v>0</v>
      </c>
    </row>
    <row r="547" spans="1:56" hidden="1" outlineLevel="1" x14ac:dyDescent="0.25">
      <c r="A547" s="288" t="str">
        <f>'[2]Raw Milk Prices'!A547</f>
        <v>2021m12</v>
      </c>
      <c r="B547" s="296" t="e">
        <f>MATCH(DATE(LEFT('[2]Raw Milk Prices'!$A547,4),RIGHT('[2]Raw Milk Prices'!$A547,2),1),[1]Pivot!$A$1:$A$65000,0)</f>
        <v>#N/A</v>
      </c>
      <c r="C547" s="194">
        <f>IFERROR(IF(INDEX([1]Pivot!$AD$1:$BE$65000,$B547,C$5)=1,1,IF(AND(C546&gt;=1,C546&lt;=9,ROW()&lt;=cur_line),C546+1,0)),0)</f>
        <v>0</v>
      </c>
      <c r="D547" s="194">
        <f>IFERROR(IF(INDEX([1]Pivot!$AD$1:$BE$65000,$B547,D$5)=1,1,IF(AND(D546&gt;=1,D546&lt;=9,ROW()&lt;=cur_line),D546+1,0)),0)</f>
        <v>0</v>
      </c>
      <c r="E547" s="194">
        <f>IFERROR(IF(INDEX([1]Pivot!$AD$1:$BE$65000,$B547,E$5)=1,1,IF(AND(E546&gt;=1,E546&lt;=9,ROW()&lt;=cur_line),E546+1,0)),0)</f>
        <v>0</v>
      </c>
      <c r="F547" s="194">
        <f>IFERROR(IF(INDEX([1]Pivot!$AD$1:$BE$65000,$B547,F$5)=1,1,IF(AND(F546&gt;=1,F546&lt;=9,ROW()&lt;=cur_line),F546+1,0)),0)</f>
        <v>0</v>
      </c>
      <c r="G547" s="194">
        <f>IFERROR(IF(INDEX([1]Pivot!$AD$1:$BE$65000,$B547,G$5)=1,1,IF(AND(G546&gt;=1,G546&lt;=9,ROW()&lt;=cur_line),G546+1,0)),0)</f>
        <v>0</v>
      </c>
      <c r="H547" s="194">
        <f>IFERROR(IF(INDEX([1]Pivot!$AD$1:$BE$65000,$B547,H$5)=1,1,IF(AND(H546&gt;=1,H546&lt;=9,ROW()&lt;=cur_line),H546+1,0)),0)</f>
        <v>0</v>
      </c>
      <c r="I547" s="194">
        <f>IFERROR(IF(INDEX([1]Pivot!$AD$1:$BE$65000,$B547,I$5)=1,1,IF(AND(I546&gt;=1,I546&lt;=9,ROW()&lt;=cur_line),I546+1,0)),0)</f>
        <v>0</v>
      </c>
      <c r="J547" s="194">
        <f>IFERROR(IF(INDEX([1]Pivot!$AD$1:$BE$65000,$B547,J$5)=1,1,IF(AND(J546&gt;=1,J546&lt;=9,ROW()&lt;=cur_line),J546+1,0)),0)</f>
        <v>0</v>
      </c>
      <c r="K547" s="194">
        <f>IFERROR(IF(INDEX([1]Pivot!$AD$1:$BE$65000,$B547,K$5)=1,1,IF(AND(K546&gt;=1,K546&lt;=9,ROW()&lt;=cur_line),K546+1,0)),0)</f>
        <v>0</v>
      </c>
      <c r="L547" s="194">
        <f>IFERROR(IF(INDEX([1]Pivot!$AD$1:$BE$65000,$B547,L$5)=1,1,IF(AND(L546&gt;=1,L546&lt;=9,ROW()&lt;=cur_line),L546+1,0)),0)</f>
        <v>0</v>
      </c>
      <c r="M547" s="194">
        <f>IFERROR(IF(INDEX([1]Pivot!$AD$1:$BE$65000,$B547,M$5)=1,1,IF(AND(M546&gt;=1,M546&lt;=9,ROW()&lt;=cur_line),M546+1,0)),0)</f>
        <v>0</v>
      </c>
      <c r="N547" s="194">
        <f>IFERROR(IF(INDEX([1]Pivot!$AD$1:$BE$65000,$B547,N$5)=1,1,IF(AND(N546&gt;=1,N546&lt;=9,ROW()&lt;=cur_line),N546+1,0)),0)</f>
        <v>0</v>
      </c>
      <c r="O547" s="194">
        <f>IFERROR(IF(INDEX([1]Pivot!$AD$1:$BE$65000,$B547,O$5)=1,1,IF(AND(O546&gt;=1,O546&lt;=9,ROW()&lt;=cur_line),O546+1,0)),0)</f>
        <v>0</v>
      </c>
      <c r="P547" s="194">
        <f>IFERROR(IF(INDEX([1]Pivot!$AD$1:$BE$65000,$B547,P$5)=1,1,IF(AND(P546&gt;=1,P546&lt;=9,ROW()&lt;=cur_line),P546+1,0)),0)</f>
        <v>0</v>
      </c>
      <c r="Q547" s="194">
        <f>IFERROR(IF(INDEX([1]Pivot!$AD$1:$BE$65000,$B547,Q$5)=1,1,IF(AND(Q546&gt;=1,Q546&lt;=9,ROW()&lt;=cur_line),Q546+1,0)),0)</f>
        <v>0</v>
      </c>
      <c r="R547" s="312"/>
      <c r="S547" s="194">
        <f>IFERROR(IF(INDEX([1]Pivot!$AD$1:$BE$65000,$B547,S$5)=1,1,IF(AND(S546&gt;=1,S546&lt;=9,ROW()&lt;=cur_line),S546+1,0)),0)</f>
        <v>0</v>
      </c>
      <c r="T547" s="194">
        <f>IFERROR(IF(INDEX([1]Pivot!$AD$1:$BE$65000,$B547,T$5)=1,1,IF(AND(T546&gt;=1,T546&lt;=9,ROW()&lt;=cur_line),T546+1,0)),0)</f>
        <v>0</v>
      </c>
      <c r="U547" s="194">
        <f>IFERROR(IF(INDEX([1]Pivot!$AD$1:$BE$65000,$B547,U$5)=1,1,IF(AND(U546&gt;=1,U546&lt;=9,ROW()&lt;=cur_line),U546+1,0)),0)</f>
        <v>0</v>
      </c>
      <c r="V547" s="194">
        <f>IFERROR(IF(INDEX([1]Pivot!$AD$1:$BE$65000,$B547,V$5)=1,1,IF(AND(V546&gt;=1,V546&lt;=9,ROW()&lt;=cur_line),V546+1,0)),0)</f>
        <v>0</v>
      </c>
      <c r="W547" s="194">
        <f>IFERROR(IF(INDEX([1]Pivot!$AD$1:$BE$65000,$B547,W$5)=1,1,IF(AND(W546&gt;=1,W546&lt;=9,ROW()&lt;=cur_line),W546+1,0)),0)</f>
        <v>0</v>
      </c>
      <c r="X547" s="194">
        <f>IFERROR(IF(INDEX([1]Pivot!$AD$1:$BE$65000,$B547,X$5)=1,1,IF(AND(X546&gt;=1,X546&lt;=9,ROW()&lt;=cur_line),X546+1,0)),0)</f>
        <v>0</v>
      </c>
      <c r="Y547" s="194">
        <f>IFERROR(IF(INDEX([1]Pivot!$AD$1:$BE$65000,$B547,Y$5)=1,1,IF(AND(Y546&gt;=1,Y546&lt;=9,ROW()&lt;=cur_line),Y546+1,0)),0)</f>
        <v>0</v>
      </c>
      <c r="Z547" s="194">
        <f>IFERROR(IF(INDEX([1]Pivot!$AD$1:$BE$65000,$B547,Z$5)=1,1,IF(AND(Z546&gt;=1,Z546&lt;=9,ROW()&lt;=cur_line),Z546+1,0)),0)</f>
        <v>0</v>
      </c>
      <c r="AA547" s="194">
        <f>IFERROR(IF(INDEX([1]Pivot!$AD$1:$BE$65000,$B547,AA$5)=1,1,IF(AND(AA546&gt;=1,AA546&lt;=9,ROW()&lt;=cur_line),AA546+1,0)),0)</f>
        <v>0</v>
      </c>
      <c r="AB547" s="194">
        <f>IFERROR(IF(INDEX([1]Pivot!$AD$1:$BE$65000,$B547,AB$5)=1,1,IF(AND(AB546&gt;=1,AB546&lt;=9,ROW()&lt;=cur_line),AB546+1,0)),0)</f>
        <v>0</v>
      </c>
      <c r="AC547" s="194">
        <f>IFERROR(IF(INDEX([1]Pivot!$AD$1:$BE$65000,$B547,AC$5)=1,1,IF(AND(AC546&gt;=1,AC546&lt;=9,ROW()&lt;=cur_line),AC546+1,0)),0)</f>
        <v>0</v>
      </c>
      <c r="AD547" s="313">
        <f>IFERROR(IF(INDEX([1]Pivot!$BF$1:$CG$65000,$B547,AD$5)=1,1,IF(AND(AD546&gt;=1,AD546&lt;=9,ROW()&lt;=cur_line),AD546+1,0)),0)</f>
        <v>0</v>
      </c>
      <c r="AE547" s="313">
        <f>IFERROR(IF(INDEX([1]Pivot!$BF$1:$CG$65000,$B547,AE$5)=1,1,IF(AND(AE546&gt;=1,AE546&lt;=9,ROW()&lt;=cur_line),AE546+1,0)),0)</f>
        <v>0</v>
      </c>
      <c r="AF547" s="313">
        <f>IFERROR(IF(INDEX([1]Pivot!$BF$1:$CG$65000,$B547,AF$5)=1,1,IF(AND(AF546&gt;=1,AF546&lt;=9,ROW()&lt;=cur_line),AF546+1,0)),0)</f>
        <v>0</v>
      </c>
      <c r="AG547" s="313">
        <f>IFERROR(IF(INDEX([1]Pivot!$BF$1:$CG$65000,$B547,AG$5)=1,1,IF(AND(AG546&gt;=1,AG546&lt;=9,ROW()&lt;=cur_line),AG546+1,0)),0)</f>
        <v>0</v>
      </c>
      <c r="AH547" s="313">
        <f>IFERROR(IF(INDEX([1]Pivot!$BF$1:$CG$65000,$B547,AH$5)=1,1,IF(AND(AH546&gt;=1,AH546&lt;=9,ROW()&lt;=cur_line),AH546+1,0)),0)</f>
        <v>0</v>
      </c>
      <c r="AI547" s="313">
        <f>IFERROR(IF(INDEX([1]Pivot!$BF$1:$CG$65000,$B547,AI$5)=1,1,IF(AND(AI546&gt;=1,AI546&lt;=9,ROW()&lt;=cur_line),AI546+1,0)),0)</f>
        <v>0</v>
      </c>
      <c r="AJ547" s="313">
        <f>IFERROR(IF(INDEX([1]Pivot!$BF$1:$CG$65000,$B547,AJ$5)=1,1,IF(AND(AJ546&gt;=1,AJ546&lt;=9,ROW()&lt;=cur_line),AJ546+1,0)),0)</f>
        <v>0</v>
      </c>
      <c r="AK547" s="313">
        <f>IFERROR(IF(INDEX([1]Pivot!$BF$1:$CG$65000,$B547,AK$5)=1,1,IF(AND(AK546&gt;=1,AK546&lt;=9,ROW()&lt;=cur_line),AK546+1,0)),0)</f>
        <v>0</v>
      </c>
      <c r="AL547" s="313">
        <f>IFERROR(IF(INDEX([1]Pivot!$BF$1:$CG$65000,$B547,AL$5)=1,1,IF(AND(AL546&gt;=1,AL546&lt;=9,ROW()&lt;=cur_line),AL546+1,0)),0)</f>
        <v>0</v>
      </c>
      <c r="AM547" s="313">
        <f>IFERROR(IF(INDEX([1]Pivot!$BF$1:$CG$65000,$B547,AM$5)=1,1,IF(AND(AM546&gt;=1,AM546&lt;=9,ROW()&lt;=cur_line),AM546+1,0)),0)</f>
        <v>0</v>
      </c>
      <c r="AN547" s="313">
        <f>IFERROR(IF(INDEX([1]Pivot!$BF$1:$CG$65000,$B547,AN$5)=1,1,IF(AND(AN546&gt;=1,AN546&lt;=9,ROW()&lt;=cur_line),AN546+1,0)),0)</f>
        <v>0</v>
      </c>
      <c r="AO547" s="313">
        <f>IFERROR(IF(INDEX([1]Pivot!$BF$1:$CG$65000,$B547,AO$5)=1,1,IF(AND(AO546&gt;=1,AO546&lt;=9,ROW()&lt;=cur_line),AO546+1,0)),0)</f>
        <v>0</v>
      </c>
      <c r="AP547" s="313">
        <f>IFERROR(IF(INDEX([1]Pivot!$BF$1:$CG$65000,$B547,AP$5)=1,1,IF(AND(AP546&gt;=1,AP546&lt;=9,ROW()&lt;=cur_line),AP546+1,0)),0)</f>
        <v>0</v>
      </c>
      <c r="AQ547" s="313">
        <f>IFERROR(IF(INDEX([1]Pivot!$BF$1:$CG$65000,$B547,AQ$5)=1,1,IF(AND(AQ546&gt;=1,AQ546&lt;=9,ROW()&lt;=cur_line),AQ546+1,0)),0)</f>
        <v>0</v>
      </c>
      <c r="AR547" s="313">
        <f>IFERROR(IF(INDEX([1]Pivot!$BF$1:$CG$65000,$B547,AR$5)=1,1,IF(AND(AR546&gt;=1,AR546&lt;=9,ROW()&lt;=cur_line),AR546+1,0)),0)</f>
        <v>0</v>
      </c>
      <c r="AS547" s="312"/>
      <c r="AT547" s="313">
        <f>IFERROR(IF(INDEX([1]Pivot!$BF$1:$CG$65000,$B547,AT$5)=1,1,IF(AND(AT546&gt;=1,AT546&lt;=9,ROW()&lt;=cur_line),AT546+1,0)),0)</f>
        <v>0</v>
      </c>
      <c r="AU547" s="313">
        <f>IFERROR(IF(INDEX([1]Pivot!$BF$1:$CG$65000,$B547,AU$5)=1,1,IF(AND(AU546&gt;=1,AU546&lt;=9,ROW()&lt;=cur_line),AU546+1,0)),0)</f>
        <v>0</v>
      </c>
      <c r="AV547" s="313">
        <f>IFERROR(IF(INDEX([1]Pivot!$BF$1:$CG$65000,$B547,AV$5)=1,1,IF(AND(AV546&gt;=1,AV546&lt;=9,ROW()&lt;=cur_line),AV546+1,0)),0)</f>
        <v>0</v>
      </c>
      <c r="AW547" s="313">
        <f>IFERROR(IF(INDEX([1]Pivot!$BF$1:$CG$65000,$B547,AW$5)=1,1,IF(AND(AW546&gt;=1,AW546&lt;=9,ROW()&lt;=cur_line),AW546+1,0)),0)</f>
        <v>0</v>
      </c>
      <c r="AX547" s="313">
        <f>IFERROR(IF(INDEX([1]Pivot!$BF$1:$CG$65000,$B547,AX$5)=1,1,IF(AND(AX546&gt;=1,AX546&lt;=9,ROW()&lt;=cur_line),AX546+1,0)),0)</f>
        <v>0</v>
      </c>
      <c r="AY547" s="313">
        <f>IFERROR(IF(INDEX([1]Pivot!$BF$1:$CG$65000,$B547,AY$5)=1,1,IF(AND(AY546&gt;=1,AY546&lt;=9,ROW()&lt;=cur_line),AY546+1,0)),0)</f>
        <v>0</v>
      </c>
      <c r="AZ547" s="313">
        <f>IFERROR(IF(INDEX([1]Pivot!$BF$1:$CG$65000,$B547,AZ$5)=1,1,IF(AND(AZ546&gt;=1,AZ546&lt;=9,ROW()&lt;=cur_line),AZ546+1,0)),0)</f>
        <v>0</v>
      </c>
      <c r="BA547" s="313">
        <f>IFERROR(IF(INDEX([1]Pivot!$BF$1:$CG$65000,$B547,BA$5)=1,1,IF(AND(BA546&gt;=1,BA546&lt;=9,ROW()&lt;=cur_line),BA546+1,0)),0)</f>
        <v>0</v>
      </c>
      <c r="BB547" s="313">
        <f>IFERROR(IF(INDEX([1]Pivot!$BF$1:$CG$65000,$B547,BB$5)=1,1,IF(AND(BB546&gt;=1,BB546&lt;=9,ROW()&lt;=cur_line),BB546+1,0)),0)</f>
        <v>0</v>
      </c>
      <c r="BC547" s="313">
        <f>IFERROR(IF(INDEX([1]Pivot!$BF$1:$CG$65000,$B547,BC$5)=1,1,IF(AND(BC546&gt;=1,BC546&lt;=9,ROW()&lt;=cur_line),BC546+1,0)),0)</f>
        <v>0</v>
      </c>
      <c r="BD547" s="313">
        <f>IFERROR(IF(INDEX([1]Pivot!$BF$1:$CG$65000,$B547,BD$5)=1,1,IF(AND(BD546&gt;=1,BD546&lt;=9,ROW()&lt;=cur_line),BD546+1,0)),0)</f>
        <v>0</v>
      </c>
    </row>
    <row r="548" spans="1:56" hidden="1" outlineLevel="1" x14ac:dyDescent="0.25">
      <c r="A548" s="288" t="str">
        <f>'[2]Raw Milk Prices'!A548</f>
        <v>2022m01</v>
      </c>
      <c r="B548" s="296" t="e">
        <f>MATCH(DATE(LEFT('[2]Raw Milk Prices'!$A548,4),RIGHT('[2]Raw Milk Prices'!$A548,2),1),[1]Pivot!$A$1:$A$65000,0)</f>
        <v>#N/A</v>
      </c>
      <c r="C548" s="194">
        <f>IFERROR(IF(INDEX([1]Pivot!$AD$1:$BE$65000,$B548,C$5)=1,1,IF(AND(C547&gt;=1,C547&lt;=9,ROW()&lt;=cur_line),C547+1,0)),0)</f>
        <v>0</v>
      </c>
      <c r="D548" s="194">
        <f>IFERROR(IF(INDEX([1]Pivot!$AD$1:$BE$65000,$B548,D$5)=1,1,IF(AND(D547&gt;=1,D547&lt;=9,ROW()&lt;=cur_line),D547+1,0)),0)</f>
        <v>0</v>
      </c>
      <c r="E548" s="194">
        <f>IFERROR(IF(INDEX([1]Pivot!$AD$1:$BE$65000,$B548,E$5)=1,1,IF(AND(E547&gt;=1,E547&lt;=9,ROW()&lt;=cur_line),E547+1,0)),0)</f>
        <v>0</v>
      </c>
      <c r="F548" s="194">
        <f>IFERROR(IF(INDEX([1]Pivot!$AD$1:$BE$65000,$B548,F$5)=1,1,IF(AND(F547&gt;=1,F547&lt;=9,ROW()&lt;=cur_line),F547+1,0)),0)</f>
        <v>0</v>
      </c>
      <c r="G548" s="194">
        <f>IFERROR(IF(INDEX([1]Pivot!$AD$1:$BE$65000,$B548,G$5)=1,1,IF(AND(G547&gt;=1,G547&lt;=9,ROW()&lt;=cur_line),G547+1,0)),0)</f>
        <v>0</v>
      </c>
      <c r="H548" s="194">
        <f>IFERROR(IF(INDEX([1]Pivot!$AD$1:$BE$65000,$B548,H$5)=1,1,IF(AND(H547&gt;=1,H547&lt;=9,ROW()&lt;=cur_line),H547+1,0)),0)</f>
        <v>0</v>
      </c>
      <c r="I548" s="194">
        <f>IFERROR(IF(INDEX([1]Pivot!$AD$1:$BE$65000,$B548,I$5)=1,1,IF(AND(I547&gt;=1,I547&lt;=9,ROW()&lt;=cur_line),I547+1,0)),0)</f>
        <v>0</v>
      </c>
      <c r="J548" s="194">
        <f>IFERROR(IF(INDEX([1]Pivot!$AD$1:$BE$65000,$B548,J$5)=1,1,IF(AND(J547&gt;=1,J547&lt;=9,ROW()&lt;=cur_line),J547+1,0)),0)</f>
        <v>0</v>
      </c>
      <c r="K548" s="194">
        <f>IFERROR(IF(INDEX([1]Pivot!$AD$1:$BE$65000,$B548,K$5)=1,1,IF(AND(K547&gt;=1,K547&lt;=9,ROW()&lt;=cur_line),K547+1,0)),0)</f>
        <v>0</v>
      </c>
      <c r="L548" s="194">
        <f>IFERROR(IF(INDEX([1]Pivot!$AD$1:$BE$65000,$B548,L$5)=1,1,IF(AND(L547&gt;=1,L547&lt;=9,ROW()&lt;=cur_line),L547+1,0)),0)</f>
        <v>0</v>
      </c>
      <c r="M548" s="194">
        <f>IFERROR(IF(INDEX([1]Pivot!$AD$1:$BE$65000,$B548,M$5)=1,1,IF(AND(M547&gt;=1,M547&lt;=9,ROW()&lt;=cur_line),M547+1,0)),0)</f>
        <v>0</v>
      </c>
      <c r="N548" s="194">
        <f>IFERROR(IF(INDEX([1]Pivot!$AD$1:$BE$65000,$B548,N$5)=1,1,IF(AND(N547&gt;=1,N547&lt;=9,ROW()&lt;=cur_line),N547+1,0)),0)</f>
        <v>0</v>
      </c>
      <c r="O548" s="194">
        <f>IFERROR(IF(INDEX([1]Pivot!$AD$1:$BE$65000,$B548,O$5)=1,1,IF(AND(O547&gt;=1,O547&lt;=9,ROW()&lt;=cur_line),O547+1,0)),0)</f>
        <v>0</v>
      </c>
      <c r="P548" s="194">
        <f>IFERROR(IF(INDEX([1]Pivot!$AD$1:$BE$65000,$B548,P$5)=1,1,IF(AND(P547&gt;=1,P547&lt;=9,ROW()&lt;=cur_line),P547+1,0)),0)</f>
        <v>0</v>
      </c>
      <c r="Q548" s="194">
        <f>IFERROR(IF(INDEX([1]Pivot!$AD$1:$BE$65000,$B548,Q$5)=1,1,IF(AND(Q547&gt;=1,Q547&lt;=9,ROW()&lt;=cur_line),Q547+1,0)),0)</f>
        <v>0</v>
      </c>
      <c r="R548" s="312"/>
      <c r="S548" s="194">
        <f>IFERROR(IF(INDEX([1]Pivot!$AD$1:$BE$65000,$B548,S$5)=1,1,IF(AND(S547&gt;=1,S547&lt;=9,ROW()&lt;=cur_line),S547+1,0)),0)</f>
        <v>0</v>
      </c>
      <c r="T548" s="194">
        <f>IFERROR(IF(INDEX([1]Pivot!$AD$1:$BE$65000,$B548,T$5)=1,1,IF(AND(T547&gt;=1,T547&lt;=9,ROW()&lt;=cur_line),T547+1,0)),0)</f>
        <v>0</v>
      </c>
      <c r="U548" s="194">
        <f>IFERROR(IF(INDEX([1]Pivot!$AD$1:$BE$65000,$B548,U$5)=1,1,IF(AND(U547&gt;=1,U547&lt;=9,ROW()&lt;=cur_line),U547+1,0)),0)</f>
        <v>0</v>
      </c>
      <c r="V548" s="194">
        <f>IFERROR(IF(INDEX([1]Pivot!$AD$1:$BE$65000,$B548,V$5)=1,1,IF(AND(V547&gt;=1,V547&lt;=9,ROW()&lt;=cur_line),V547+1,0)),0)</f>
        <v>0</v>
      </c>
      <c r="W548" s="194">
        <f>IFERROR(IF(INDEX([1]Pivot!$AD$1:$BE$65000,$B548,W$5)=1,1,IF(AND(W547&gt;=1,W547&lt;=9,ROW()&lt;=cur_line),W547+1,0)),0)</f>
        <v>0</v>
      </c>
      <c r="X548" s="194">
        <f>IFERROR(IF(INDEX([1]Pivot!$AD$1:$BE$65000,$B548,X$5)=1,1,IF(AND(X547&gt;=1,X547&lt;=9,ROW()&lt;=cur_line),X547+1,0)),0)</f>
        <v>0</v>
      </c>
      <c r="Y548" s="194">
        <f>IFERROR(IF(INDEX([1]Pivot!$AD$1:$BE$65000,$B548,Y$5)=1,1,IF(AND(Y547&gt;=1,Y547&lt;=9,ROW()&lt;=cur_line),Y547+1,0)),0)</f>
        <v>0</v>
      </c>
      <c r="Z548" s="194">
        <f>IFERROR(IF(INDEX([1]Pivot!$AD$1:$BE$65000,$B548,Z$5)=1,1,IF(AND(Z547&gt;=1,Z547&lt;=9,ROW()&lt;=cur_line),Z547+1,0)),0)</f>
        <v>0</v>
      </c>
      <c r="AA548" s="194">
        <f>IFERROR(IF(INDEX([1]Pivot!$AD$1:$BE$65000,$B548,AA$5)=1,1,IF(AND(AA547&gt;=1,AA547&lt;=9,ROW()&lt;=cur_line),AA547+1,0)),0)</f>
        <v>0</v>
      </c>
      <c r="AB548" s="194">
        <f>IFERROR(IF(INDEX([1]Pivot!$AD$1:$BE$65000,$B548,AB$5)=1,1,IF(AND(AB547&gt;=1,AB547&lt;=9,ROW()&lt;=cur_line),AB547+1,0)),0)</f>
        <v>0</v>
      </c>
      <c r="AC548" s="194">
        <f>IFERROR(IF(INDEX([1]Pivot!$AD$1:$BE$65000,$B548,AC$5)=1,1,IF(AND(AC547&gt;=1,AC547&lt;=9,ROW()&lt;=cur_line),AC547+1,0)),0)</f>
        <v>0</v>
      </c>
      <c r="AD548" s="313">
        <f>IFERROR(IF(INDEX([1]Pivot!$BF$1:$CG$65000,$B548,AD$5)=1,1,IF(AND(AD547&gt;=1,AD547&lt;=9,ROW()&lt;=cur_line),AD547+1,0)),0)</f>
        <v>0</v>
      </c>
      <c r="AE548" s="313">
        <f>IFERROR(IF(INDEX([1]Pivot!$BF$1:$CG$65000,$B548,AE$5)=1,1,IF(AND(AE547&gt;=1,AE547&lt;=9,ROW()&lt;=cur_line),AE547+1,0)),0)</f>
        <v>0</v>
      </c>
      <c r="AF548" s="313">
        <f>IFERROR(IF(INDEX([1]Pivot!$BF$1:$CG$65000,$B548,AF$5)=1,1,IF(AND(AF547&gt;=1,AF547&lt;=9,ROW()&lt;=cur_line),AF547+1,0)),0)</f>
        <v>0</v>
      </c>
      <c r="AG548" s="313">
        <f>IFERROR(IF(INDEX([1]Pivot!$BF$1:$CG$65000,$B548,AG$5)=1,1,IF(AND(AG547&gt;=1,AG547&lt;=9,ROW()&lt;=cur_line),AG547+1,0)),0)</f>
        <v>0</v>
      </c>
      <c r="AH548" s="313">
        <f>IFERROR(IF(INDEX([1]Pivot!$BF$1:$CG$65000,$B548,AH$5)=1,1,IF(AND(AH547&gt;=1,AH547&lt;=9,ROW()&lt;=cur_line),AH547+1,0)),0)</f>
        <v>0</v>
      </c>
      <c r="AI548" s="313">
        <f>IFERROR(IF(INDEX([1]Pivot!$BF$1:$CG$65000,$B548,AI$5)=1,1,IF(AND(AI547&gt;=1,AI547&lt;=9,ROW()&lt;=cur_line),AI547+1,0)),0)</f>
        <v>0</v>
      </c>
      <c r="AJ548" s="313">
        <f>IFERROR(IF(INDEX([1]Pivot!$BF$1:$CG$65000,$B548,AJ$5)=1,1,IF(AND(AJ547&gt;=1,AJ547&lt;=9,ROW()&lt;=cur_line),AJ547+1,0)),0)</f>
        <v>0</v>
      </c>
      <c r="AK548" s="313">
        <f>IFERROR(IF(INDEX([1]Pivot!$BF$1:$CG$65000,$B548,AK$5)=1,1,IF(AND(AK547&gt;=1,AK547&lt;=9,ROW()&lt;=cur_line),AK547+1,0)),0)</f>
        <v>0</v>
      </c>
      <c r="AL548" s="313">
        <f>IFERROR(IF(INDEX([1]Pivot!$BF$1:$CG$65000,$B548,AL$5)=1,1,IF(AND(AL547&gt;=1,AL547&lt;=9,ROW()&lt;=cur_line),AL547+1,0)),0)</f>
        <v>0</v>
      </c>
      <c r="AM548" s="313">
        <f>IFERROR(IF(INDEX([1]Pivot!$BF$1:$CG$65000,$B548,AM$5)=1,1,IF(AND(AM547&gt;=1,AM547&lt;=9,ROW()&lt;=cur_line),AM547+1,0)),0)</f>
        <v>0</v>
      </c>
      <c r="AN548" s="313">
        <f>IFERROR(IF(INDEX([1]Pivot!$BF$1:$CG$65000,$B548,AN$5)=1,1,IF(AND(AN547&gt;=1,AN547&lt;=9,ROW()&lt;=cur_line),AN547+1,0)),0)</f>
        <v>0</v>
      </c>
      <c r="AO548" s="313">
        <f>IFERROR(IF(INDEX([1]Pivot!$BF$1:$CG$65000,$B548,AO$5)=1,1,IF(AND(AO547&gt;=1,AO547&lt;=9,ROW()&lt;=cur_line),AO547+1,0)),0)</f>
        <v>0</v>
      </c>
      <c r="AP548" s="313">
        <f>IFERROR(IF(INDEX([1]Pivot!$BF$1:$CG$65000,$B548,AP$5)=1,1,IF(AND(AP547&gt;=1,AP547&lt;=9,ROW()&lt;=cur_line),AP547+1,0)),0)</f>
        <v>0</v>
      </c>
      <c r="AQ548" s="313">
        <f>IFERROR(IF(INDEX([1]Pivot!$BF$1:$CG$65000,$B548,AQ$5)=1,1,IF(AND(AQ547&gt;=1,AQ547&lt;=9,ROW()&lt;=cur_line),AQ547+1,0)),0)</f>
        <v>0</v>
      </c>
      <c r="AR548" s="313">
        <f>IFERROR(IF(INDEX([1]Pivot!$BF$1:$CG$65000,$B548,AR$5)=1,1,IF(AND(AR547&gt;=1,AR547&lt;=9,ROW()&lt;=cur_line),AR547+1,0)),0)</f>
        <v>0</v>
      </c>
      <c r="AS548" s="312"/>
      <c r="AT548" s="313">
        <f>IFERROR(IF(INDEX([1]Pivot!$BF$1:$CG$65000,$B548,AT$5)=1,1,IF(AND(AT547&gt;=1,AT547&lt;=9,ROW()&lt;=cur_line),AT547+1,0)),0)</f>
        <v>0</v>
      </c>
      <c r="AU548" s="313">
        <f>IFERROR(IF(INDEX([1]Pivot!$BF$1:$CG$65000,$B548,AU$5)=1,1,IF(AND(AU547&gt;=1,AU547&lt;=9,ROW()&lt;=cur_line),AU547+1,0)),0)</f>
        <v>0</v>
      </c>
      <c r="AV548" s="313">
        <f>IFERROR(IF(INDEX([1]Pivot!$BF$1:$CG$65000,$B548,AV$5)=1,1,IF(AND(AV547&gt;=1,AV547&lt;=9,ROW()&lt;=cur_line),AV547+1,0)),0)</f>
        <v>0</v>
      </c>
      <c r="AW548" s="313">
        <f>IFERROR(IF(INDEX([1]Pivot!$BF$1:$CG$65000,$B548,AW$5)=1,1,IF(AND(AW547&gt;=1,AW547&lt;=9,ROW()&lt;=cur_line),AW547+1,0)),0)</f>
        <v>0</v>
      </c>
      <c r="AX548" s="313">
        <f>IFERROR(IF(INDEX([1]Pivot!$BF$1:$CG$65000,$B548,AX$5)=1,1,IF(AND(AX547&gt;=1,AX547&lt;=9,ROW()&lt;=cur_line),AX547+1,0)),0)</f>
        <v>0</v>
      </c>
      <c r="AY548" s="313">
        <f>IFERROR(IF(INDEX([1]Pivot!$BF$1:$CG$65000,$B548,AY$5)=1,1,IF(AND(AY547&gt;=1,AY547&lt;=9,ROW()&lt;=cur_line),AY547+1,0)),0)</f>
        <v>0</v>
      </c>
      <c r="AZ548" s="313">
        <f>IFERROR(IF(INDEX([1]Pivot!$BF$1:$CG$65000,$B548,AZ$5)=1,1,IF(AND(AZ547&gt;=1,AZ547&lt;=9,ROW()&lt;=cur_line),AZ547+1,0)),0)</f>
        <v>0</v>
      </c>
      <c r="BA548" s="313">
        <f>IFERROR(IF(INDEX([1]Pivot!$BF$1:$CG$65000,$B548,BA$5)=1,1,IF(AND(BA547&gt;=1,BA547&lt;=9,ROW()&lt;=cur_line),BA547+1,0)),0)</f>
        <v>0</v>
      </c>
      <c r="BB548" s="313">
        <f>IFERROR(IF(INDEX([1]Pivot!$BF$1:$CG$65000,$B548,BB$5)=1,1,IF(AND(BB547&gt;=1,BB547&lt;=9,ROW()&lt;=cur_line),BB547+1,0)),0)</f>
        <v>0</v>
      </c>
      <c r="BC548" s="313">
        <f>IFERROR(IF(INDEX([1]Pivot!$BF$1:$CG$65000,$B548,BC$5)=1,1,IF(AND(BC547&gt;=1,BC547&lt;=9,ROW()&lt;=cur_line),BC547+1,0)),0)</f>
        <v>0</v>
      </c>
      <c r="BD548" s="313">
        <f>IFERROR(IF(INDEX([1]Pivot!$BF$1:$CG$65000,$B548,BD$5)=1,1,IF(AND(BD547&gt;=1,BD547&lt;=9,ROW()&lt;=cur_line),BD547+1,0)),0)</f>
        <v>0</v>
      </c>
    </row>
    <row r="549" spans="1:56" hidden="1" outlineLevel="1" x14ac:dyDescent="0.25">
      <c r="A549" s="288" t="str">
        <f>'[2]Raw Milk Prices'!A549</f>
        <v>2022m02</v>
      </c>
      <c r="B549" s="296" t="e">
        <f>MATCH(DATE(LEFT('[2]Raw Milk Prices'!$A549,4),RIGHT('[2]Raw Milk Prices'!$A549,2),1),[1]Pivot!$A$1:$A$65000,0)</f>
        <v>#N/A</v>
      </c>
      <c r="C549" s="194">
        <f>IFERROR(IF(INDEX([1]Pivot!$AD$1:$BE$65000,$B549,C$5)=1,1,IF(AND(C548&gt;=1,C548&lt;=9,ROW()&lt;=cur_line),C548+1,0)),0)</f>
        <v>0</v>
      </c>
      <c r="D549" s="194">
        <f>IFERROR(IF(INDEX([1]Pivot!$AD$1:$BE$65000,$B549,D$5)=1,1,IF(AND(D548&gt;=1,D548&lt;=9,ROW()&lt;=cur_line),D548+1,0)),0)</f>
        <v>0</v>
      </c>
      <c r="E549" s="194">
        <f>IFERROR(IF(INDEX([1]Pivot!$AD$1:$BE$65000,$B549,E$5)=1,1,IF(AND(E548&gt;=1,E548&lt;=9,ROW()&lt;=cur_line),E548+1,0)),0)</f>
        <v>0</v>
      </c>
      <c r="F549" s="194">
        <f>IFERROR(IF(INDEX([1]Pivot!$AD$1:$BE$65000,$B549,F$5)=1,1,IF(AND(F548&gt;=1,F548&lt;=9,ROW()&lt;=cur_line),F548+1,0)),0)</f>
        <v>0</v>
      </c>
      <c r="G549" s="194">
        <f>IFERROR(IF(INDEX([1]Pivot!$AD$1:$BE$65000,$B549,G$5)=1,1,IF(AND(G548&gt;=1,G548&lt;=9,ROW()&lt;=cur_line),G548+1,0)),0)</f>
        <v>0</v>
      </c>
      <c r="H549" s="194">
        <f>IFERROR(IF(INDEX([1]Pivot!$AD$1:$BE$65000,$B549,H$5)=1,1,IF(AND(H548&gt;=1,H548&lt;=9,ROW()&lt;=cur_line),H548+1,0)),0)</f>
        <v>0</v>
      </c>
      <c r="I549" s="194">
        <f>IFERROR(IF(INDEX([1]Pivot!$AD$1:$BE$65000,$B549,I$5)=1,1,IF(AND(I548&gt;=1,I548&lt;=9,ROW()&lt;=cur_line),I548+1,0)),0)</f>
        <v>0</v>
      </c>
      <c r="J549" s="194">
        <f>IFERROR(IF(INDEX([1]Pivot!$AD$1:$BE$65000,$B549,J$5)=1,1,IF(AND(J548&gt;=1,J548&lt;=9,ROW()&lt;=cur_line),J548+1,0)),0)</f>
        <v>0</v>
      </c>
      <c r="K549" s="194">
        <f>IFERROR(IF(INDEX([1]Pivot!$AD$1:$BE$65000,$B549,K$5)=1,1,IF(AND(K548&gt;=1,K548&lt;=9,ROW()&lt;=cur_line),K548+1,0)),0)</f>
        <v>0</v>
      </c>
      <c r="L549" s="194">
        <f>IFERROR(IF(INDEX([1]Pivot!$AD$1:$BE$65000,$B549,L$5)=1,1,IF(AND(L548&gt;=1,L548&lt;=9,ROW()&lt;=cur_line),L548+1,0)),0)</f>
        <v>0</v>
      </c>
      <c r="M549" s="194">
        <f>IFERROR(IF(INDEX([1]Pivot!$AD$1:$BE$65000,$B549,M$5)=1,1,IF(AND(M548&gt;=1,M548&lt;=9,ROW()&lt;=cur_line),M548+1,0)),0)</f>
        <v>0</v>
      </c>
      <c r="N549" s="194">
        <f>IFERROR(IF(INDEX([1]Pivot!$AD$1:$BE$65000,$B549,N$5)=1,1,IF(AND(N548&gt;=1,N548&lt;=9,ROW()&lt;=cur_line),N548+1,0)),0)</f>
        <v>0</v>
      </c>
      <c r="O549" s="194">
        <f>IFERROR(IF(INDEX([1]Pivot!$AD$1:$BE$65000,$B549,O$5)=1,1,IF(AND(O548&gt;=1,O548&lt;=9,ROW()&lt;=cur_line),O548+1,0)),0)</f>
        <v>0</v>
      </c>
      <c r="P549" s="194">
        <f>IFERROR(IF(INDEX([1]Pivot!$AD$1:$BE$65000,$B549,P$5)=1,1,IF(AND(P548&gt;=1,P548&lt;=9,ROW()&lt;=cur_line),P548+1,0)),0)</f>
        <v>0</v>
      </c>
      <c r="Q549" s="194">
        <f>IFERROR(IF(INDEX([1]Pivot!$AD$1:$BE$65000,$B549,Q$5)=1,1,IF(AND(Q548&gt;=1,Q548&lt;=9,ROW()&lt;=cur_line),Q548+1,0)),0)</f>
        <v>0</v>
      </c>
      <c r="R549" s="312"/>
      <c r="S549" s="194">
        <f>IFERROR(IF(INDEX([1]Pivot!$AD$1:$BE$65000,$B549,S$5)=1,1,IF(AND(S548&gt;=1,S548&lt;=9,ROW()&lt;=cur_line),S548+1,0)),0)</f>
        <v>0</v>
      </c>
      <c r="T549" s="194">
        <f>IFERROR(IF(INDEX([1]Pivot!$AD$1:$BE$65000,$B549,T$5)=1,1,IF(AND(T548&gt;=1,T548&lt;=9,ROW()&lt;=cur_line),T548+1,0)),0)</f>
        <v>0</v>
      </c>
      <c r="U549" s="194">
        <f>IFERROR(IF(INDEX([1]Pivot!$AD$1:$BE$65000,$B549,U$5)=1,1,IF(AND(U548&gt;=1,U548&lt;=9,ROW()&lt;=cur_line),U548+1,0)),0)</f>
        <v>0</v>
      </c>
      <c r="V549" s="194">
        <f>IFERROR(IF(INDEX([1]Pivot!$AD$1:$BE$65000,$B549,V$5)=1,1,IF(AND(V548&gt;=1,V548&lt;=9,ROW()&lt;=cur_line),V548+1,0)),0)</f>
        <v>0</v>
      </c>
      <c r="W549" s="194">
        <f>IFERROR(IF(INDEX([1]Pivot!$AD$1:$BE$65000,$B549,W$5)=1,1,IF(AND(W548&gt;=1,W548&lt;=9,ROW()&lt;=cur_line),W548+1,0)),0)</f>
        <v>0</v>
      </c>
      <c r="X549" s="194">
        <f>IFERROR(IF(INDEX([1]Pivot!$AD$1:$BE$65000,$B549,X$5)=1,1,IF(AND(X548&gt;=1,X548&lt;=9,ROW()&lt;=cur_line),X548+1,0)),0)</f>
        <v>0</v>
      </c>
      <c r="Y549" s="194">
        <f>IFERROR(IF(INDEX([1]Pivot!$AD$1:$BE$65000,$B549,Y$5)=1,1,IF(AND(Y548&gt;=1,Y548&lt;=9,ROW()&lt;=cur_line),Y548+1,0)),0)</f>
        <v>0</v>
      </c>
      <c r="Z549" s="194">
        <f>IFERROR(IF(INDEX([1]Pivot!$AD$1:$BE$65000,$B549,Z$5)=1,1,IF(AND(Z548&gt;=1,Z548&lt;=9,ROW()&lt;=cur_line),Z548+1,0)),0)</f>
        <v>0</v>
      </c>
      <c r="AA549" s="194">
        <f>IFERROR(IF(INDEX([1]Pivot!$AD$1:$BE$65000,$B549,AA$5)=1,1,IF(AND(AA548&gt;=1,AA548&lt;=9,ROW()&lt;=cur_line),AA548+1,0)),0)</f>
        <v>0</v>
      </c>
      <c r="AB549" s="194">
        <f>IFERROR(IF(INDEX([1]Pivot!$AD$1:$BE$65000,$B549,AB$5)=1,1,IF(AND(AB548&gt;=1,AB548&lt;=9,ROW()&lt;=cur_line),AB548+1,0)),0)</f>
        <v>0</v>
      </c>
      <c r="AC549" s="194">
        <f>IFERROR(IF(INDEX([1]Pivot!$AD$1:$BE$65000,$B549,AC$5)=1,1,IF(AND(AC548&gt;=1,AC548&lt;=9,ROW()&lt;=cur_line),AC548+1,0)),0)</f>
        <v>0</v>
      </c>
      <c r="AD549" s="313">
        <f>IFERROR(IF(INDEX([1]Pivot!$BF$1:$CG$65000,$B549,AD$5)=1,1,IF(AND(AD548&gt;=1,AD548&lt;=9,ROW()&lt;=cur_line),AD548+1,0)),0)</f>
        <v>0</v>
      </c>
      <c r="AE549" s="313">
        <f>IFERROR(IF(INDEX([1]Pivot!$BF$1:$CG$65000,$B549,AE$5)=1,1,IF(AND(AE548&gt;=1,AE548&lt;=9,ROW()&lt;=cur_line),AE548+1,0)),0)</f>
        <v>0</v>
      </c>
      <c r="AF549" s="313">
        <f>IFERROR(IF(INDEX([1]Pivot!$BF$1:$CG$65000,$B549,AF$5)=1,1,IF(AND(AF548&gt;=1,AF548&lt;=9,ROW()&lt;=cur_line),AF548+1,0)),0)</f>
        <v>0</v>
      </c>
      <c r="AG549" s="313">
        <f>IFERROR(IF(INDEX([1]Pivot!$BF$1:$CG$65000,$B549,AG$5)=1,1,IF(AND(AG548&gt;=1,AG548&lt;=9,ROW()&lt;=cur_line),AG548+1,0)),0)</f>
        <v>0</v>
      </c>
      <c r="AH549" s="313">
        <f>IFERROR(IF(INDEX([1]Pivot!$BF$1:$CG$65000,$B549,AH$5)=1,1,IF(AND(AH548&gt;=1,AH548&lt;=9,ROW()&lt;=cur_line),AH548+1,0)),0)</f>
        <v>0</v>
      </c>
      <c r="AI549" s="313">
        <f>IFERROR(IF(INDEX([1]Pivot!$BF$1:$CG$65000,$B549,AI$5)=1,1,IF(AND(AI548&gt;=1,AI548&lt;=9,ROW()&lt;=cur_line),AI548+1,0)),0)</f>
        <v>0</v>
      </c>
      <c r="AJ549" s="313">
        <f>IFERROR(IF(INDEX([1]Pivot!$BF$1:$CG$65000,$B549,AJ$5)=1,1,IF(AND(AJ548&gt;=1,AJ548&lt;=9,ROW()&lt;=cur_line),AJ548+1,0)),0)</f>
        <v>0</v>
      </c>
      <c r="AK549" s="313">
        <f>IFERROR(IF(INDEX([1]Pivot!$BF$1:$CG$65000,$B549,AK$5)=1,1,IF(AND(AK548&gt;=1,AK548&lt;=9,ROW()&lt;=cur_line),AK548+1,0)),0)</f>
        <v>0</v>
      </c>
      <c r="AL549" s="313">
        <f>IFERROR(IF(INDEX([1]Pivot!$BF$1:$CG$65000,$B549,AL$5)=1,1,IF(AND(AL548&gt;=1,AL548&lt;=9,ROW()&lt;=cur_line),AL548+1,0)),0)</f>
        <v>0</v>
      </c>
      <c r="AM549" s="313">
        <f>IFERROR(IF(INDEX([1]Pivot!$BF$1:$CG$65000,$B549,AM$5)=1,1,IF(AND(AM548&gt;=1,AM548&lt;=9,ROW()&lt;=cur_line),AM548+1,0)),0)</f>
        <v>0</v>
      </c>
      <c r="AN549" s="313">
        <f>IFERROR(IF(INDEX([1]Pivot!$BF$1:$CG$65000,$B549,AN$5)=1,1,IF(AND(AN548&gt;=1,AN548&lt;=9,ROW()&lt;=cur_line),AN548+1,0)),0)</f>
        <v>0</v>
      </c>
      <c r="AO549" s="313">
        <f>IFERROR(IF(INDEX([1]Pivot!$BF$1:$CG$65000,$B549,AO$5)=1,1,IF(AND(AO548&gt;=1,AO548&lt;=9,ROW()&lt;=cur_line),AO548+1,0)),0)</f>
        <v>0</v>
      </c>
      <c r="AP549" s="313">
        <f>IFERROR(IF(INDEX([1]Pivot!$BF$1:$CG$65000,$B549,AP$5)=1,1,IF(AND(AP548&gt;=1,AP548&lt;=9,ROW()&lt;=cur_line),AP548+1,0)),0)</f>
        <v>0</v>
      </c>
      <c r="AQ549" s="313">
        <f>IFERROR(IF(INDEX([1]Pivot!$BF$1:$CG$65000,$B549,AQ$5)=1,1,IF(AND(AQ548&gt;=1,AQ548&lt;=9,ROW()&lt;=cur_line),AQ548+1,0)),0)</f>
        <v>0</v>
      </c>
      <c r="AR549" s="313">
        <f>IFERROR(IF(INDEX([1]Pivot!$BF$1:$CG$65000,$B549,AR$5)=1,1,IF(AND(AR548&gt;=1,AR548&lt;=9,ROW()&lt;=cur_line),AR548+1,0)),0)</f>
        <v>0</v>
      </c>
      <c r="AS549" s="312"/>
      <c r="AT549" s="313">
        <f>IFERROR(IF(INDEX([1]Pivot!$BF$1:$CG$65000,$B549,AT$5)=1,1,IF(AND(AT548&gt;=1,AT548&lt;=9,ROW()&lt;=cur_line),AT548+1,0)),0)</f>
        <v>0</v>
      </c>
      <c r="AU549" s="313">
        <f>IFERROR(IF(INDEX([1]Pivot!$BF$1:$CG$65000,$B549,AU$5)=1,1,IF(AND(AU548&gt;=1,AU548&lt;=9,ROW()&lt;=cur_line),AU548+1,0)),0)</f>
        <v>0</v>
      </c>
      <c r="AV549" s="313">
        <f>IFERROR(IF(INDEX([1]Pivot!$BF$1:$CG$65000,$B549,AV$5)=1,1,IF(AND(AV548&gt;=1,AV548&lt;=9,ROW()&lt;=cur_line),AV548+1,0)),0)</f>
        <v>0</v>
      </c>
      <c r="AW549" s="313">
        <f>IFERROR(IF(INDEX([1]Pivot!$BF$1:$CG$65000,$B549,AW$5)=1,1,IF(AND(AW548&gt;=1,AW548&lt;=9,ROW()&lt;=cur_line),AW548+1,0)),0)</f>
        <v>0</v>
      </c>
      <c r="AX549" s="313">
        <f>IFERROR(IF(INDEX([1]Pivot!$BF$1:$CG$65000,$B549,AX$5)=1,1,IF(AND(AX548&gt;=1,AX548&lt;=9,ROW()&lt;=cur_line),AX548+1,0)),0)</f>
        <v>0</v>
      </c>
      <c r="AY549" s="313">
        <f>IFERROR(IF(INDEX([1]Pivot!$BF$1:$CG$65000,$B549,AY$5)=1,1,IF(AND(AY548&gt;=1,AY548&lt;=9,ROW()&lt;=cur_line),AY548+1,0)),0)</f>
        <v>0</v>
      </c>
      <c r="AZ549" s="313">
        <f>IFERROR(IF(INDEX([1]Pivot!$BF$1:$CG$65000,$B549,AZ$5)=1,1,IF(AND(AZ548&gt;=1,AZ548&lt;=9,ROW()&lt;=cur_line),AZ548+1,0)),0)</f>
        <v>0</v>
      </c>
      <c r="BA549" s="313">
        <f>IFERROR(IF(INDEX([1]Pivot!$BF$1:$CG$65000,$B549,BA$5)=1,1,IF(AND(BA548&gt;=1,BA548&lt;=9,ROW()&lt;=cur_line),BA548+1,0)),0)</f>
        <v>0</v>
      </c>
      <c r="BB549" s="313">
        <f>IFERROR(IF(INDEX([1]Pivot!$BF$1:$CG$65000,$B549,BB$5)=1,1,IF(AND(BB548&gt;=1,BB548&lt;=9,ROW()&lt;=cur_line),BB548+1,0)),0)</f>
        <v>0</v>
      </c>
      <c r="BC549" s="313">
        <f>IFERROR(IF(INDEX([1]Pivot!$BF$1:$CG$65000,$B549,BC$5)=1,1,IF(AND(BC548&gt;=1,BC548&lt;=9,ROW()&lt;=cur_line),BC548+1,0)),0)</f>
        <v>0</v>
      </c>
      <c r="BD549" s="313">
        <f>IFERROR(IF(INDEX([1]Pivot!$BF$1:$CG$65000,$B549,BD$5)=1,1,IF(AND(BD548&gt;=1,BD548&lt;=9,ROW()&lt;=cur_line),BD548+1,0)),0)</f>
        <v>0</v>
      </c>
    </row>
    <row r="550" spans="1:56" hidden="1" outlineLevel="1" x14ac:dyDescent="0.25">
      <c r="A550" s="288" t="str">
        <f>'[2]Raw Milk Prices'!A550</f>
        <v>2022m03</v>
      </c>
      <c r="B550" s="296" t="e">
        <f>MATCH(DATE(LEFT('[2]Raw Milk Prices'!$A550,4),RIGHT('[2]Raw Milk Prices'!$A550,2),1),[1]Pivot!$A$1:$A$65000,0)</f>
        <v>#N/A</v>
      </c>
      <c r="C550" s="194">
        <f>IFERROR(IF(INDEX([1]Pivot!$AD$1:$BE$65000,$B550,C$5)=1,1,IF(AND(C549&gt;=1,C549&lt;=9,ROW()&lt;=cur_line),C549+1,0)),0)</f>
        <v>0</v>
      </c>
      <c r="D550" s="194">
        <f>IFERROR(IF(INDEX([1]Pivot!$AD$1:$BE$65000,$B550,D$5)=1,1,IF(AND(D549&gt;=1,D549&lt;=9,ROW()&lt;=cur_line),D549+1,0)),0)</f>
        <v>0</v>
      </c>
      <c r="E550" s="194">
        <f>IFERROR(IF(INDEX([1]Pivot!$AD$1:$BE$65000,$B550,E$5)=1,1,IF(AND(E549&gt;=1,E549&lt;=9,ROW()&lt;=cur_line),E549+1,0)),0)</f>
        <v>0</v>
      </c>
      <c r="F550" s="194">
        <f>IFERROR(IF(INDEX([1]Pivot!$AD$1:$BE$65000,$B550,F$5)=1,1,IF(AND(F549&gt;=1,F549&lt;=9,ROW()&lt;=cur_line),F549+1,0)),0)</f>
        <v>0</v>
      </c>
      <c r="G550" s="194">
        <f>IFERROR(IF(INDEX([1]Pivot!$AD$1:$BE$65000,$B550,G$5)=1,1,IF(AND(G549&gt;=1,G549&lt;=9,ROW()&lt;=cur_line),G549+1,0)),0)</f>
        <v>0</v>
      </c>
      <c r="H550" s="194">
        <f>IFERROR(IF(INDEX([1]Pivot!$AD$1:$BE$65000,$B550,H$5)=1,1,IF(AND(H549&gt;=1,H549&lt;=9,ROW()&lt;=cur_line),H549+1,0)),0)</f>
        <v>0</v>
      </c>
      <c r="I550" s="194">
        <f>IFERROR(IF(INDEX([1]Pivot!$AD$1:$BE$65000,$B550,I$5)=1,1,IF(AND(I549&gt;=1,I549&lt;=9,ROW()&lt;=cur_line),I549+1,0)),0)</f>
        <v>0</v>
      </c>
      <c r="J550" s="194">
        <f>IFERROR(IF(INDEX([1]Pivot!$AD$1:$BE$65000,$B550,J$5)=1,1,IF(AND(J549&gt;=1,J549&lt;=9,ROW()&lt;=cur_line),J549+1,0)),0)</f>
        <v>0</v>
      </c>
      <c r="K550" s="194">
        <f>IFERROR(IF(INDEX([1]Pivot!$AD$1:$BE$65000,$B550,K$5)=1,1,IF(AND(K549&gt;=1,K549&lt;=9,ROW()&lt;=cur_line),K549+1,0)),0)</f>
        <v>0</v>
      </c>
      <c r="L550" s="194">
        <f>IFERROR(IF(INDEX([1]Pivot!$AD$1:$BE$65000,$B550,L$5)=1,1,IF(AND(L549&gt;=1,L549&lt;=9,ROW()&lt;=cur_line),L549+1,0)),0)</f>
        <v>0</v>
      </c>
      <c r="M550" s="194">
        <f>IFERROR(IF(INDEX([1]Pivot!$AD$1:$BE$65000,$B550,M$5)=1,1,IF(AND(M549&gt;=1,M549&lt;=9,ROW()&lt;=cur_line),M549+1,0)),0)</f>
        <v>0</v>
      </c>
      <c r="N550" s="194">
        <f>IFERROR(IF(INDEX([1]Pivot!$AD$1:$BE$65000,$B550,N$5)=1,1,IF(AND(N549&gt;=1,N549&lt;=9,ROW()&lt;=cur_line),N549+1,0)),0)</f>
        <v>0</v>
      </c>
      <c r="O550" s="194">
        <f>IFERROR(IF(INDEX([1]Pivot!$AD$1:$BE$65000,$B550,O$5)=1,1,IF(AND(O549&gt;=1,O549&lt;=9,ROW()&lt;=cur_line),O549+1,0)),0)</f>
        <v>0</v>
      </c>
      <c r="P550" s="194">
        <f>IFERROR(IF(INDEX([1]Pivot!$AD$1:$BE$65000,$B550,P$5)=1,1,IF(AND(P549&gt;=1,P549&lt;=9,ROW()&lt;=cur_line),P549+1,0)),0)</f>
        <v>0</v>
      </c>
      <c r="Q550" s="194">
        <f>IFERROR(IF(INDEX([1]Pivot!$AD$1:$BE$65000,$B550,Q$5)=1,1,IF(AND(Q549&gt;=1,Q549&lt;=9,ROW()&lt;=cur_line),Q549+1,0)),0)</f>
        <v>0</v>
      </c>
      <c r="R550" s="312"/>
      <c r="S550" s="194">
        <f>IFERROR(IF(INDEX([1]Pivot!$AD$1:$BE$65000,$B550,S$5)=1,1,IF(AND(S549&gt;=1,S549&lt;=9,ROW()&lt;=cur_line),S549+1,0)),0)</f>
        <v>0</v>
      </c>
      <c r="T550" s="194">
        <f>IFERROR(IF(INDEX([1]Pivot!$AD$1:$BE$65000,$B550,T$5)=1,1,IF(AND(T549&gt;=1,T549&lt;=9,ROW()&lt;=cur_line),T549+1,0)),0)</f>
        <v>0</v>
      </c>
      <c r="U550" s="194">
        <f>IFERROR(IF(INDEX([1]Pivot!$AD$1:$BE$65000,$B550,U$5)=1,1,IF(AND(U549&gt;=1,U549&lt;=9,ROW()&lt;=cur_line),U549+1,0)),0)</f>
        <v>0</v>
      </c>
      <c r="V550" s="194">
        <f>IFERROR(IF(INDEX([1]Pivot!$AD$1:$BE$65000,$B550,V$5)=1,1,IF(AND(V549&gt;=1,V549&lt;=9,ROW()&lt;=cur_line),V549+1,0)),0)</f>
        <v>0</v>
      </c>
      <c r="W550" s="194">
        <f>IFERROR(IF(INDEX([1]Pivot!$AD$1:$BE$65000,$B550,W$5)=1,1,IF(AND(W549&gt;=1,W549&lt;=9,ROW()&lt;=cur_line),W549+1,0)),0)</f>
        <v>0</v>
      </c>
      <c r="X550" s="194">
        <f>IFERROR(IF(INDEX([1]Pivot!$AD$1:$BE$65000,$B550,X$5)=1,1,IF(AND(X549&gt;=1,X549&lt;=9,ROW()&lt;=cur_line),X549+1,0)),0)</f>
        <v>0</v>
      </c>
      <c r="Y550" s="194">
        <f>IFERROR(IF(INDEX([1]Pivot!$AD$1:$BE$65000,$B550,Y$5)=1,1,IF(AND(Y549&gt;=1,Y549&lt;=9,ROW()&lt;=cur_line),Y549+1,0)),0)</f>
        <v>0</v>
      </c>
      <c r="Z550" s="194">
        <f>IFERROR(IF(INDEX([1]Pivot!$AD$1:$BE$65000,$B550,Z$5)=1,1,IF(AND(Z549&gt;=1,Z549&lt;=9,ROW()&lt;=cur_line),Z549+1,0)),0)</f>
        <v>0</v>
      </c>
      <c r="AA550" s="194">
        <f>IFERROR(IF(INDEX([1]Pivot!$AD$1:$BE$65000,$B550,AA$5)=1,1,IF(AND(AA549&gt;=1,AA549&lt;=9,ROW()&lt;=cur_line),AA549+1,0)),0)</f>
        <v>0</v>
      </c>
      <c r="AB550" s="194">
        <f>IFERROR(IF(INDEX([1]Pivot!$AD$1:$BE$65000,$B550,AB$5)=1,1,IF(AND(AB549&gt;=1,AB549&lt;=9,ROW()&lt;=cur_line),AB549+1,0)),0)</f>
        <v>0</v>
      </c>
      <c r="AC550" s="194">
        <f>IFERROR(IF(INDEX([1]Pivot!$AD$1:$BE$65000,$B550,AC$5)=1,1,IF(AND(AC549&gt;=1,AC549&lt;=9,ROW()&lt;=cur_line),AC549+1,0)),0)</f>
        <v>0</v>
      </c>
      <c r="AD550" s="313">
        <f>IFERROR(IF(INDEX([1]Pivot!$BF$1:$CG$65000,$B550,AD$5)=1,1,IF(AND(AD549&gt;=1,AD549&lt;=9,ROW()&lt;=cur_line),AD549+1,0)),0)</f>
        <v>0</v>
      </c>
      <c r="AE550" s="313">
        <f>IFERROR(IF(INDEX([1]Pivot!$BF$1:$CG$65000,$B550,AE$5)=1,1,IF(AND(AE549&gt;=1,AE549&lt;=9,ROW()&lt;=cur_line),AE549+1,0)),0)</f>
        <v>0</v>
      </c>
      <c r="AF550" s="313">
        <f>IFERROR(IF(INDEX([1]Pivot!$BF$1:$CG$65000,$B550,AF$5)=1,1,IF(AND(AF549&gt;=1,AF549&lt;=9,ROW()&lt;=cur_line),AF549+1,0)),0)</f>
        <v>0</v>
      </c>
      <c r="AG550" s="313">
        <f>IFERROR(IF(INDEX([1]Pivot!$BF$1:$CG$65000,$B550,AG$5)=1,1,IF(AND(AG549&gt;=1,AG549&lt;=9,ROW()&lt;=cur_line),AG549+1,0)),0)</f>
        <v>0</v>
      </c>
      <c r="AH550" s="313">
        <f>IFERROR(IF(INDEX([1]Pivot!$BF$1:$CG$65000,$B550,AH$5)=1,1,IF(AND(AH549&gt;=1,AH549&lt;=9,ROW()&lt;=cur_line),AH549+1,0)),0)</f>
        <v>0</v>
      </c>
      <c r="AI550" s="313">
        <f>IFERROR(IF(INDEX([1]Pivot!$BF$1:$CG$65000,$B550,AI$5)=1,1,IF(AND(AI549&gt;=1,AI549&lt;=9,ROW()&lt;=cur_line),AI549+1,0)),0)</f>
        <v>0</v>
      </c>
      <c r="AJ550" s="313">
        <f>IFERROR(IF(INDEX([1]Pivot!$BF$1:$CG$65000,$B550,AJ$5)=1,1,IF(AND(AJ549&gt;=1,AJ549&lt;=9,ROW()&lt;=cur_line),AJ549+1,0)),0)</f>
        <v>0</v>
      </c>
      <c r="AK550" s="313">
        <f>IFERROR(IF(INDEX([1]Pivot!$BF$1:$CG$65000,$B550,AK$5)=1,1,IF(AND(AK549&gt;=1,AK549&lt;=9,ROW()&lt;=cur_line),AK549+1,0)),0)</f>
        <v>0</v>
      </c>
      <c r="AL550" s="313">
        <f>IFERROR(IF(INDEX([1]Pivot!$BF$1:$CG$65000,$B550,AL$5)=1,1,IF(AND(AL549&gt;=1,AL549&lt;=9,ROW()&lt;=cur_line),AL549+1,0)),0)</f>
        <v>0</v>
      </c>
      <c r="AM550" s="313">
        <f>IFERROR(IF(INDEX([1]Pivot!$BF$1:$CG$65000,$B550,AM$5)=1,1,IF(AND(AM549&gt;=1,AM549&lt;=9,ROW()&lt;=cur_line),AM549+1,0)),0)</f>
        <v>0</v>
      </c>
      <c r="AN550" s="313">
        <f>IFERROR(IF(INDEX([1]Pivot!$BF$1:$CG$65000,$B550,AN$5)=1,1,IF(AND(AN549&gt;=1,AN549&lt;=9,ROW()&lt;=cur_line),AN549+1,0)),0)</f>
        <v>0</v>
      </c>
      <c r="AO550" s="313">
        <f>IFERROR(IF(INDEX([1]Pivot!$BF$1:$CG$65000,$B550,AO$5)=1,1,IF(AND(AO549&gt;=1,AO549&lt;=9,ROW()&lt;=cur_line),AO549+1,0)),0)</f>
        <v>0</v>
      </c>
      <c r="AP550" s="313">
        <f>IFERROR(IF(INDEX([1]Pivot!$BF$1:$CG$65000,$B550,AP$5)=1,1,IF(AND(AP549&gt;=1,AP549&lt;=9,ROW()&lt;=cur_line),AP549+1,0)),0)</f>
        <v>0</v>
      </c>
      <c r="AQ550" s="313">
        <f>IFERROR(IF(INDEX([1]Pivot!$BF$1:$CG$65000,$B550,AQ$5)=1,1,IF(AND(AQ549&gt;=1,AQ549&lt;=9,ROW()&lt;=cur_line),AQ549+1,0)),0)</f>
        <v>0</v>
      </c>
      <c r="AR550" s="313">
        <f>IFERROR(IF(INDEX([1]Pivot!$BF$1:$CG$65000,$B550,AR$5)=1,1,IF(AND(AR549&gt;=1,AR549&lt;=9,ROW()&lt;=cur_line),AR549+1,0)),0)</f>
        <v>0</v>
      </c>
      <c r="AS550" s="312"/>
      <c r="AT550" s="313">
        <f>IFERROR(IF(INDEX([1]Pivot!$BF$1:$CG$65000,$B550,AT$5)=1,1,IF(AND(AT549&gt;=1,AT549&lt;=9,ROW()&lt;=cur_line),AT549+1,0)),0)</f>
        <v>0</v>
      </c>
      <c r="AU550" s="313">
        <f>IFERROR(IF(INDEX([1]Pivot!$BF$1:$CG$65000,$B550,AU$5)=1,1,IF(AND(AU549&gt;=1,AU549&lt;=9,ROW()&lt;=cur_line),AU549+1,0)),0)</f>
        <v>0</v>
      </c>
      <c r="AV550" s="313">
        <f>IFERROR(IF(INDEX([1]Pivot!$BF$1:$CG$65000,$B550,AV$5)=1,1,IF(AND(AV549&gt;=1,AV549&lt;=9,ROW()&lt;=cur_line),AV549+1,0)),0)</f>
        <v>0</v>
      </c>
      <c r="AW550" s="313">
        <f>IFERROR(IF(INDEX([1]Pivot!$BF$1:$CG$65000,$B550,AW$5)=1,1,IF(AND(AW549&gt;=1,AW549&lt;=9,ROW()&lt;=cur_line),AW549+1,0)),0)</f>
        <v>0</v>
      </c>
      <c r="AX550" s="313">
        <f>IFERROR(IF(INDEX([1]Pivot!$BF$1:$CG$65000,$B550,AX$5)=1,1,IF(AND(AX549&gt;=1,AX549&lt;=9,ROW()&lt;=cur_line),AX549+1,0)),0)</f>
        <v>0</v>
      </c>
      <c r="AY550" s="313">
        <f>IFERROR(IF(INDEX([1]Pivot!$BF$1:$CG$65000,$B550,AY$5)=1,1,IF(AND(AY549&gt;=1,AY549&lt;=9,ROW()&lt;=cur_line),AY549+1,0)),0)</f>
        <v>0</v>
      </c>
      <c r="AZ550" s="313">
        <f>IFERROR(IF(INDEX([1]Pivot!$BF$1:$CG$65000,$B550,AZ$5)=1,1,IF(AND(AZ549&gt;=1,AZ549&lt;=9,ROW()&lt;=cur_line),AZ549+1,0)),0)</f>
        <v>0</v>
      </c>
      <c r="BA550" s="313">
        <f>IFERROR(IF(INDEX([1]Pivot!$BF$1:$CG$65000,$B550,BA$5)=1,1,IF(AND(BA549&gt;=1,BA549&lt;=9,ROW()&lt;=cur_line),BA549+1,0)),0)</f>
        <v>0</v>
      </c>
      <c r="BB550" s="313">
        <f>IFERROR(IF(INDEX([1]Pivot!$BF$1:$CG$65000,$B550,BB$5)=1,1,IF(AND(BB549&gt;=1,BB549&lt;=9,ROW()&lt;=cur_line),BB549+1,0)),0)</f>
        <v>0</v>
      </c>
      <c r="BC550" s="313">
        <f>IFERROR(IF(INDEX([1]Pivot!$BF$1:$CG$65000,$B550,BC$5)=1,1,IF(AND(BC549&gt;=1,BC549&lt;=9,ROW()&lt;=cur_line),BC549+1,0)),0)</f>
        <v>0</v>
      </c>
      <c r="BD550" s="313">
        <f>IFERROR(IF(INDEX([1]Pivot!$BF$1:$CG$65000,$B550,BD$5)=1,1,IF(AND(BD549&gt;=1,BD549&lt;=9,ROW()&lt;=cur_line),BD549+1,0)),0)</f>
        <v>0</v>
      </c>
    </row>
    <row r="551" spans="1:56" hidden="1" outlineLevel="1" x14ac:dyDescent="0.25">
      <c r="A551" s="288" t="str">
        <f>'[2]Raw Milk Prices'!A551</f>
        <v>2022m04</v>
      </c>
      <c r="B551" s="296" t="e">
        <f>MATCH(DATE(LEFT('[2]Raw Milk Prices'!$A551,4),RIGHT('[2]Raw Milk Prices'!$A551,2),1),[1]Pivot!$A$1:$A$65000,0)</f>
        <v>#N/A</v>
      </c>
      <c r="C551" s="194">
        <f>IFERROR(IF(INDEX([1]Pivot!$AD$1:$BE$65000,$B551,C$5)=1,1,IF(AND(C550&gt;=1,C550&lt;=9,ROW()&lt;=cur_line),C550+1,0)),0)</f>
        <v>0</v>
      </c>
      <c r="D551" s="194">
        <f>IFERROR(IF(INDEX([1]Pivot!$AD$1:$BE$65000,$B551,D$5)=1,1,IF(AND(D550&gt;=1,D550&lt;=9,ROW()&lt;=cur_line),D550+1,0)),0)</f>
        <v>0</v>
      </c>
      <c r="E551" s="194">
        <f>IFERROR(IF(INDEX([1]Pivot!$AD$1:$BE$65000,$B551,E$5)=1,1,IF(AND(E550&gt;=1,E550&lt;=9,ROW()&lt;=cur_line),E550+1,0)),0)</f>
        <v>0</v>
      </c>
      <c r="F551" s="194">
        <f>IFERROR(IF(INDEX([1]Pivot!$AD$1:$BE$65000,$B551,F$5)=1,1,IF(AND(F550&gt;=1,F550&lt;=9,ROW()&lt;=cur_line),F550+1,0)),0)</f>
        <v>0</v>
      </c>
      <c r="G551" s="194">
        <f>IFERROR(IF(INDEX([1]Pivot!$AD$1:$BE$65000,$B551,G$5)=1,1,IF(AND(G550&gt;=1,G550&lt;=9,ROW()&lt;=cur_line),G550+1,0)),0)</f>
        <v>0</v>
      </c>
      <c r="H551" s="194">
        <f>IFERROR(IF(INDEX([1]Pivot!$AD$1:$BE$65000,$B551,H$5)=1,1,IF(AND(H550&gt;=1,H550&lt;=9,ROW()&lt;=cur_line),H550+1,0)),0)</f>
        <v>0</v>
      </c>
      <c r="I551" s="194">
        <f>IFERROR(IF(INDEX([1]Pivot!$AD$1:$BE$65000,$B551,I$5)=1,1,IF(AND(I550&gt;=1,I550&lt;=9,ROW()&lt;=cur_line),I550+1,0)),0)</f>
        <v>0</v>
      </c>
      <c r="J551" s="194">
        <f>IFERROR(IF(INDEX([1]Pivot!$AD$1:$BE$65000,$B551,J$5)=1,1,IF(AND(J550&gt;=1,J550&lt;=9,ROW()&lt;=cur_line),J550+1,0)),0)</f>
        <v>0</v>
      </c>
      <c r="K551" s="194">
        <f>IFERROR(IF(INDEX([1]Pivot!$AD$1:$BE$65000,$B551,K$5)=1,1,IF(AND(K550&gt;=1,K550&lt;=9,ROW()&lt;=cur_line),K550+1,0)),0)</f>
        <v>0</v>
      </c>
      <c r="L551" s="194">
        <f>IFERROR(IF(INDEX([1]Pivot!$AD$1:$BE$65000,$B551,L$5)=1,1,IF(AND(L550&gt;=1,L550&lt;=9,ROW()&lt;=cur_line),L550+1,0)),0)</f>
        <v>0</v>
      </c>
      <c r="M551" s="194">
        <f>IFERROR(IF(INDEX([1]Pivot!$AD$1:$BE$65000,$B551,M$5)=1,1,IF(AND(M550&gt;=1,M550&lt;=9,ROW()&lt;=cur_line),M550+1,0)),0)</f>
        <v>0</v>
      </c>
      <c r="N551" s="194">
        <f>IFERROR(IF(INDEX([1]Pivot!$AD$1:$BE$65000,$B551,N$5)=1,1,IF(AND(N550&gt;=1,N550&lt;=9,ROW()&lt;=cur_line),N550+1,0)),0)</f>
        <v>0</v>
      </c>
      <c r="O551" s="194">
        <f>IFERROR(IF(INDEX([1]Pivot!$AD$1:$BE$65000,$B551,O$5)=1,1,IF(AND(O550&gt;=1,O550&lt;=9,ROW()&lt;=cur_line),O550+1,0)),0)</f>
        <v>0</v>
      </c>
      <c r="P551" s="194">
        <f>IFERROR(IF(INDEX([1]Pivot!$AD$1:$BE$65000,$B551,P$5)=1,1,IF(AND(P550&gt;=1,P550&lt;=9,ROW()&lt;=cur_line),P550+1,0)),0)</f>
        <v>0</v>
      </c>
      <c r="Q551" s="194">
        <f>IFERROR(IF(INDEX([1]Pivot!$AD$1:$BE$65000,$B551,Q$5)=1,1,IF(AND(Q550&gt;=1,Q550&lt;=9,ROW()&lt;=cur_line),Q550+1,0)),0)</f>
        <v>0</v>
      </c>
      <c r="R551" s="312"/>
      <c r="S551" s="194">
        <f>IFERROR(IF(INDEX([1]Pivot!$AD$1:$BE$65000,$B551,S$5)=1,1,IF(AND(S550&gt;=1,S550&lt;=9,ROW()&lt;=cur_line),S550+1,0)),0)</f>
        <v>0</v>
      </c>
      <c r="T551" s="194">
        <f>IFERROR(IF(INDEX([1]Pivot!$AD$1:$BE$65000,$B551,T$5)=1,1,IF(AND(T550&gt;=1,T550&lt;=9,ROW()&lt;=cur_line),T550+1,0)),0)</f>
        <v>0</v>
      </c>
      <c r="U551" s="194">
        <f>IFERROR(IF(INDEX([1]Pivot!$AD$1:$BE$65000,$B551,U$5)=1,1,IF(AND(U550&gt;=1,U550&lt;=9,ROW()&lt;=cur_line),U550+1,0)),0)</f>
        <v>0</v>
      </c>
      <c r="V551" s="194">
        <f>IFERROR(IF(INDEX([1]Pivot!$AD$1:$BE$65000,$B551,V$5)=1,1,IF(AND(V550&gt;=1,V550&lt;=9,ROW()&lt;=cur_line),V550+1,0)),0)</f>
        <v>0</v>
      </c>
      <c r="W551" s="194">
        <f>IFERROR(IF(INDEX([1]Pivot!$AD$1:$BE$65000,$B551,W$5)=1,1,IF(AND(W550&gt;=1,W550&lt;=9,ROW()&lt;=cur_line),W550+1,0)),0)</f>
        <v>0</v>
      </c>
      <c r="X551" s="194">
        <f>IFERROR(IF(INDEX([1]Pivot!$AD$1:$BE$65000,$B551,X$5)=1,1,IF(AND(X550&gt;=1,X550&lt;=9,ROW()&lt;=cur_line),X550+1,0)),0)</f>
        <v>0</v>
      </c>
      <c r="Y551" s="194">
        <f>IFERROR(IF(INDEX([1]Pivot!$AD$1:$BE$65000,$B551,Y$5)=1,1,IF(AND(Y550&gt;=1,Y550&lt;=9,ROW()&lt;=cur_line),Y550+1,0)),0)</f>
        <v>0</v>
      </c>
      <c r="Z551" s="194">
        <f>IFERROR(IF(INDEX([1]Pivot!$AD$1:$BE$65000,$B551,Z$5)=1,1,IF(AND(Z550&gt;=1,Z550&lt;=9,ROW()&lt;=cur_line),Z550+1,0)),0)</f>
        <v>0</v>
      </c>
      <c r="AA551" s="194">
        <f>IFERROR(IF(INDEX([1]Pivot!$AD$1:$BE$65000,$B551,AA$5)=1,1,IF(AND(AA550&gt;=1,AA550&lt;=9,ROW()&lt;=cur_line),AA550+1,0)),0)</f>
        <v>0</v>
      </c>
      <c r="AB551" s="194">
        <f>IFERROR(IF(INDEX([1]Pivot!$AD$1:$BE$65000,$B551,AB$5)=1,1,IF(AND(AB550&gt;=1,AB550&lt;=9,ROW()&lt;=cur_line),AB550+1,0)),0)</f>
        <v>0</v>
      </c>
      <c r="AC551" s="194">
        <f>IFERROR(IF(INDEX([1]Pivot!$AD$1:$BE$65000,$B551,AC$5)=1,1,IF(AND(AC550&gt;=1,AC550&lt;=9,ROW()&lt;=cur_line),AC550+1,0)),0)</f>
        <v>0</v>
      </c>
      <c r="AD551" s="313">
        <f>IFERROR(IF(INDEX([1]Pivot!$BF$1:$CG$65000,$B551,AD$5)=1,1,IF(AND(AD550&gt;=1,AD550&lt;=9,ROW()&lt;=cur_line),AD550+1,0)),0)</f>
        <v>0</v>
      </c>
      <c r="AE551" s="313">
        <f>IFERROR(IF(INDEX([1]Pivot!$BF$1:$CG$65000,$B551,AE$5)=1,1,IF(AND(AE550&gt;=1,AE550&lt;=9,ROW()&lt;=cur_line),AE550+1,0)),0)</f>
        <v>0</v>
      </c>
      <c r="AF551" s="313">
        <f>IFERROR(IF(INDEX([1]Pivot!$BF$1:$CG$65000,$B551,AF$5)=1,1,IF(AND(AF550&gt;=1,AF550&lt;=9,ROW()&lt;=cur_line),AF550+1,0)),0)</f>
        <v>0</v>
      </c>
      <c r="AG551" s="313">
        <f>IFERROR(IF(INDEX([1]Pivot!$BF$1:$CG$65000,$B551,AG$5)=1,1,IF(AND(AG550&gt;=1,AG550&lt;=9,ROW()&lt;=cur_line),AG550+1,0)),0)</f>
        <v>0</v>
      </c>
      <c r="AH551" s="313">
        <f>IFERROR(IF(INDEX([1]Pivot!$BF$1:$CG$65000,$B551,AH$5)=1,1,IF(AND(AH550&gt;=1,AH550&lt;=9,ROW()&lt;=cur_line),AH550+1,0)),0)</f>
        <v>0</v>
      </c>
      <c r="AI551" s="313">
        <f>IFERROR(IF(INDEX([1]Pivot!$BF$1:$CG$65000,$B551,AI$5)=1,1,IF(AND(AI550&gt;=1,AI550&lt;=9,ROW()&lt;=cur_line),AI550+1,0)),0)</f>
        <v>0</v>
      </c>
      <c r="AJ551" s="313">
        <f>IFERROR(IF(INDEX([1]Pivot!$BF$1:$CG$65000,$B551,AJ$5)=1,1,IF(AND(AJ550&gt;=1,AJ550&lt;=9,ROW()&lt;=cur_line),AJ550+1,0)),0)</f>
        <v>0</v>
      </c>
      <c r="AK551" s="313">
        <f>IFERROR(IF(INDEX([1]Pivot!$BF$1:$CG$65000,$B551,AK$5)=1,1,IF(AND(AK550&gt;=1,AK550&lt;=9,ROW()&lt;=cur_line),AK550+1,0)),0)</f>
        <v>0</v>
      </c>
      <c r="AL551" s="313">
        <f>IFERROR(IF(INDEX([1]Pivot!$BF$1:$CG$65000,$B551,AL$5)=1,1,IF(AND(AL550&gt;=1,AL550&lt;=9,ROW()&lt;=cur_line),AL550+1,0)),0)</f>
        <v>0</v>
      </c>
      <c r="AM551" s="313">
        <f>IFERROR(IF(INDEX([1]Pivot!$BF$1:$CG$65000,$B551,AM$5)=1,1,IF(AND(AM550&gt;=1,AM550&lt;=9,ROW()&lt;=cur_line),AM550+1,0)),0)</f>
        <v>0</v>
      </c>
      <c r="AN551" s="313">
        <f>IFERROR(IF(INDEX([1]Pivot!$BF$1:$CG$65000,$B551,AN$5)=1,1,IF(AND(AN550&gt;=1,AN550&lt;=9,ROW()&lt;=cur_line),AN550+1,0)),0)</f>
        <v>0</v>
      </c>
      <c r="AO551" s="313">
        <f>IFERROR(IF(INDEX([1]Pivot!$BF$1:$CG$65000,$B551,AO$5)=1,1,IF(AND(AO550&gt;=1,AO550&lt;=9,ROW()&lt;=cur_line),AO550+1,0)),0)</f>
        <v>0</v>
      </c>
      <c r="AP551" s="313">
        <f>IFERROR(IF(INDEX([1]Pivot!$BF$1:$CG$65000,$B551,AP$5)=1,1,IF(AND(AP550&gt;=1,AP550&lt;=9,ROW()&lt;=cur_line),AP550+1,0)),0)</f>
        <v>0</v>
      </c>
      <c r="AQ551" s="313">
        <f>IFERROR(IF(INDEX([1]Pivot!$BF$1:$CG$65000,$B551,AQ$5)=1,1,IF(AND(AQ550&gt;=1,AQ550&lt;=9,ROW()&lt;=cur_line),AQ550+1,0)),0)</f>
        <v>0</v>
      </c>
      <c r="AR551" s="313">
        <f>IFERROR(IF(INDEX([1]Pivot!$BF$1:$CG$65000,$B551,AR$5)=1,1,IF(AND(AR550&gt;=1,AR550&lt;=9,ROW()&lt;=cur_line),AR550+1,0)),0)</f>
        <v>0</v>
      </c>
      <c r="AS551" s="312"/>
      <c r="AT551" s="313">
        <f>IFERROR(IF(INDEX([1]Pivot!$BF$1:$CG$65000,$B551,AT$5)=1,1,IF(AND(AT550&gt;=1,AT550&lt;=9,ROW()&lt;=cur_line),AT550+1,0)),0)</f>
        <v>0</v>
      </c>
      <c r="AU551" s="313">
        <f>IFERROR(IF(INDEX([1]Pivot!$BF$1:$CG$65000,$B551,AU$5)=1,1,IF(AND(AU550&gt;=1,AU550&lt;=9,ROW()&lt;=cur_line),AU550+1,0)),0)</f>
        <v>0</v>
      </c>
      <c r="AV551" s="313">
        <f>IFERROR(IF(INDEX([1]Pivot!$BF$1:$CG$65000,$B551,AV$5)=1,1,IF(AND(AV550&gt;=1,AV550&lt;=9,ROW()&lt;=cur_line),AV550+1,0)),0)</f>
        <v>0</v>
      </c>
      <c r="AW551" s="313">
        <f>IFERROR(IF(INDEX([1]Pivot!$BF$1:$CG$65000,$B551,AW$5)=1,1,IF(AND(AW550&gt;=1,AW550&lt;=9,ROW()&lt;=cur_line),AW550+1,0)),0)</f>
        <v>0</v>
      </c>
      <c r="AX551" s="313">
        <f>IFERROR(IF(INDEX([1]Pivot!$BF$1:$CG$65000,$B551,AX$5)=1,1,IF(AND(AX550&gt;=1,AX550&lt;=9,ROW()&lt;=cur_line),AX550+1,0)),0)</f>
        <v>0</v>
      </c>
      <c r="AY551" s="313">
        <f>IFERROR(IF(INDEX([1]Pivot!$BF$1:$CG$65000,$B551,AY$5)=1,1,IF(AND(AY550&gt;=1,AY550&lt;=9,ROW()&lt;=cur_line),AY550+1,0)),0)</f>
        <v>0</v>
      </c>
      <c r="AZ551" s="313">
        <f>IFERROR(IF(INDEX([1]Pivot!$BF$1:$CG$65000,$B551,AZ$5)=1,1,IF(AND(AZ550&gt;=1,AZ550&lt;=9,ROW()&lt;=cur_line),AZ550+1,0)),0)</f>
        <v>0</v>
      </c>
      <c r="BA551" s="313">
        <f>IFERROR(IF(INDEX([1]Pivot!$BF$1:$CG$65000,$B551,BA$5)=1,1,IF(AND(BA550&gt;=1,BA550&lt;=9,ROW()&lt;=cur_line),BA550+1,0)),0)</f>
        <v>0</v>
      </c>
      <c r="BB551" s="313">
        <f>IFERROR(IF(INDEX([1]Pivot!$BF$1:$CG$65000,$B551,BB$5)=1,1,IF(AND(BB550&gt;=1,BB550&lt;=9,ROW()&lt;=cur_line),BB550+1,0)),0)</f>
        <v>0</v>
      </c>
      <c r="BC551" s="313">
        <f>IFERROR(IF(INDEX([1]Pivot!$BF$1:$CG$65000,$B551,BC$5)=1,1,IF(AND(BC550&gt;=1,BC550&lt;=9,ROW()&lt;=cur_line),BC550+1,0)),0)</f>
        <v>0</v>
      </c>
      <c r="BD551" s="313">
        <f>IFERROR(IF(INDEX([1]Pivot!$BF$1:$CG$65000,$B551,BD$5)=1,1,IF(AND(BD550&gt;=1,BD550&lt;=9,ROW()&lt;=cur_line),BD550+1,0)),0)</f>
        <v>0</v>
      </c>
    </row>
    <row r="552" spans="1:56" hidden="1" outlineLevel="1" x14ac:dyDescent="0.25">
      <c r="A552" s="288" t="str">
        <f>'[2]Raw Milk Prices'!A552</f>
        <v>2022m05</v>
      </c>
      <c r="B552" s="296" t="e">
        <f>MATCH(DATE(LEFT('[2]Raw Milk Prices'!$A552,4),RIGHT('[2]Raw Milk Prices'!$A552,2),1),[1]Pivot!$A$1:$A$65000,0)</f>
        <v>#N/A</v>
      </c>
      <c r="C552" s="194">
        <f>IFERROR(IF(INDEX([1]Pivot!$AD$1:$BE$65000,$B552,C$5)=1,1,IF(AND(C551&gt;=1,C551&lt;=9,ROW()&lt;=cur_line),C551+1,0)),0)</f>
        <v>0</v>
      </c>
      <c r="D552" s="194">
        <f>IFERROR(IF(INDEX([1]Pivot!$AD$1:$BE$65000,$B552,D$5)=1,1,IF(AND(D551&gt;=1,D551&lt;=9,ROW()&lt;=cur_line),D551+1,0)),0)</f>
        <v>0</v>
      </c>
      <c r="E552" s="194">
        <f>IFERROR(IF(INDEX([1]Pivot!$AD$1:$BE$65000,$B552,E$5)=1,1,IF(AND(E551&gt;=1,E551&lt;=9,ROW()&lt;=cur_line),E551+1,0)),0)</f>
        <v>0</v>
      </c>
      <c r="F552" s="194">
        <f>IFERROR(IF(INDEX([1]Pivot!$AD$1:$BE$65000,$B552,F$5)=1,1,IF(AND(F551&gt;=1,F551&lt;=9,ROW()&lt;=cur_line),F551+1,0)),0)</f>
        <v>0</v>
      </c>
      <c r="G552" s="194">
        <f>IFERROR(IF(INDEX([1]Pivot!$AD$1:$BE$65000,$B552,G$5)=1,1,IF(AND(G551&gt;=1,G551&lt;=9,ROW()&lt;=cur_line),G551+1,0)),0)</f>
        <v>0</v>
      </c>
      <c r="H552" s="194">
        <f>IFERROR(IF(INDEX([1]Pivot!$AD$1:$BE$65000,$B552,H$5)=1,1,IF(AND(H551&gt;=1,H551&lt;=9,ROW()&lt;=cur_line),H551+1,0)),0)</f>
        <v>0</v>
      </c>
      <c r="I552" s="194">
        <f>IFERROR(IF(INDEX([1]Pivot!$AD$1:$BE$65000,$B552,I$5)=1,1,IF(AND(I551&gt;=1,I551&lt;=9,ROW()&lt;=cur_line),I551+1,0)),0)</f>
        <v>0</v>
      </c>
      <c r="J552" s="194">
        <f>IFERROR(IF(INDEX([1]Pivot!$AD$1:$BE$65000,$B552,J$5)=1,1,IF(AND(J551&gt;=1,J551&lt;=9,ROW()&lt;=cur_line),J551+1,0)),0)</f>
        <v>0</v>
      </c>
      <c r="K552" s="194">
        <f>IFERROR(IF(INDEX([1]Pivot!$AD$1:$BE$65000,$B552,K$5)=1,1,IF(AND(K551&gt;=1,K551&lt;=9,ROW()&lt;=cur_line),K551+1,0)),0)</f>
        <v>0</v>
      </c>
      <c r="L552" s="194">
        <f>IFERROR(IF(INDEX([1]Pivot!$AD$1:$BE$65000,$B552,L$5)=1,1,IF(AND(L551&gt;=1,L551&lt;=9,ROW()&lt;=cur_line),L551+1,0)),0)</f>
        <v>0</v>
      </c>
      <c r="M552" s="194">
        <f>IFERROR(IF(INDEX([1]Pivot!$AD$1:$BE$65000,$B552,M$5)=1,1,IF(AND(M551&gt;=1,M551&lt;=9,ROW()&lt;=cur_line),M551+1,0)),0)</f>
        <v>0</v>
      </c>
      <c r="N552" s="194">
        <f>IFERROR(IF(INDEX([1]Pivot!$AD$1:$BE$65000,$B552,N$5)=1,1,IF(AND(N551&gt;=1,N551&lt;=9,ROW()&lt;=cur_line),N551+1,0)),0)</f>
        <v>0</v>
      </c>
      <c r="O552" s="194">
        <f>IFERROR(IF(INDEX([1]Pivot!$AD$1:$BE$65000,$B552,O$5)=1,1,IF(AND(O551&gt;=1,O551&lt;=9,ROW()&lt;=cur_line),O551+1,0)),0)</f>
        <v>0</v>
      </c>
      <c r="P552" s="194">
        <f>IFERROR(IF(INDEX([1]Pivot!$AD$1:$BE$65000,$B552,P$5)=1,1,IF(AND(P551&gt;=1,P551&lt;=9,ROW()&lt;=cur_line),P551+1,0)),0)</f>
        <v>0</v>
      </c>
      <c r="Q552" s="194">
        <f>IFERROR(IF(INDEX([1]Pivot!$AD$1:$BE$65000,$B552,Q$5)=1,1,IF(AND(Q551&gt;=1,Q551&lt;=9,ROW()&lt;=cur_line),Q551+1,0)),0)</f>
        <v>0</v>
      </c>
      <c r="R552" s="312"/>
      <c r="S552" s="194">
        <f>IFERROR(IF(INDEX([1]Pivot!$AD$1:$BE$65000,$B552,S$5)=1,1,IF(AND(S551&gt;=1,S551&lt;=9,ROW()&lt;=cur_line),S551+1,0)),0)</f>
        <v>0</v>
      </c>
      <c r="T552" s="194">
        <f>IFERROR(IF(INDEX([1]Pivot!$AD$1:$BE$65000,$B552,T$5)=1,1,IF(AND(T551&gt;=1,T551&lt;=9,ROW()&lt;=cur_line),T551+1,0)),0)</f>
        <v>0</v>
      </c>
      <c r="U552" s="194">
        <f>IFERROR(IF(INDEX([1]Pivot!$AD$1:$BE$65000,$B552,U$5)=1,1,IF(AND(U551&gt;=1,U551&lt;=9,ROW()&lt;=cur_line),U551+1,0)),0)</f>
        <v>0</v>
      </c>
      <c r="V552" s="194">
        <f>IFERROR(IF(INDEX([1]Pivot!$AD$1:$BE$65000,$B552,V$5)=1,1,IF(AND(V551&gt;=1,V551&lt;=9,ROW()&lt;=cur_line),V551+1,0)),0)</f>
        <v>0</v>
      </c>
      <c r="W552" s="194">
        <f>IFERROR(IF(INDEX([1]Pivot!$AD$1:$BE$65000,$B552,W$5)=1,1,IF(AND(W551&gt;=1,W551&lt;=9,ROW()&lt;=cur_line),W551+1,0)),0)</f>
        <v>0</v>
      </c>
      <c r="X552" s="194">
        <f>IFERROR(IF(INDEX([1]Pivot!$AD$1:$BE$65000,$B552,X$5)=1,1,IF(AND(X551&gt;=1,X551&lt;=9,ROW()&lt;=cur_line),X551+1,0)),0)</f>
        <v>0</v>
      </c>
      <c r="Y552" s="194">
        <f>IFERROR(IF(INDEX([1]Pivot!$AD$1:$BE$65000,$B552,Y$5)=1,1,IF(AND(Y551&gt;=1,Y551&lt;=9,ROW()&lt;=cur_line),Y551+1,0)),0)</f>
        <v>0</v>
      </c>
      <c r="Z552" s="194">
        <f>IFERROR(IF(INDEX([1]Pivot!$AD$1:$BE$65000,$B552,Z$5)=1,1,IF(AND(Z551&gt;=1,Z551&lt;=9,ROW()&lt;=cur_line),Z551+1,0)),0)</f>
        <v>0</v>
      </c>
      <c r="AA552" s="194">
        <f>IFERROR(IF(INDEX([1]Pivot!$AD$1:$BE$65000,$B552,AA$5)=1,1,IF(AND(AA551&gt;=1,AA551&lt;=9,ROW()&lt;=cur_line),AA551+1,0)),0)</f>
        <v>0</v>
      </c>
      <c r="AB552" s="194">
        <f>IFERROR(IF(INDEX([1]Pivot!$AD$1:$BE$65000,$B552,AB$5)=1,1,IF(AND(AB551&gt;=1,AB551&lt;=9,ROW()&lt;=cur_line),AB551+1,0)),0)</f>
        <v>0</v>
      </c>
      <c r="AC552" s="194">
        <f>IFERROR(IF(INDEX([1]Pivot!$AD$1:$BE$65000,$B552,AC$5)=1,1,IF(AND(AC551&gt;=1,AC551&lt;=9,ROW()&lt;=cur_line),AC551+1,0)),0)</f>
        <v>0</v>
      </c>
      <c r="AD552" s="313">
        <f>IFERROR(IF(INDEX([1]Pivot!$BF$1:$CG$65000,$B552,AD$5)=1,1,IF(AND(AD551&gt;=1,AD551&lt;=9,ROW()&lt;=cur_line),AD551+1,0)),0)</f>
        <v>0</v>
      </c>
      <c r="AE552" s="313">
        <f>IFERROR(IF(INDEX([1]Pivot!$BF$1:$CG$65000,$B552,AE$5)=1,1,IF(AND(AE551&gt;=1,AE551&lt;=9,ROW()&lt;=cur_line),AE551+1,0)),0)</f>
        <v>0</v>
      </c>
      <c r="AF552" s="313">
        <f>IFERROR(IF(INDEX([1]Pivot!$BF$1:$CG$65000,$B552,AF$5)=1,1,IF(AND(AF551&gt;=1,AF551&lt;=9,ROW()&lt;=cur_line),AF551+1,0)),0)</f>
        <v>0</v>
      </c>
      <c r="AG552" s="313">
        <f>IFERROR(IF(INDEX([1]Pivot!$BF$1:$CG$65000,$B552,AG$5)=1,1,IF(AND(AG551&gt;=1,AG551&lt;=9,ROW()&lt;=cur_line),AG551+1,0)),0)</f>
        <v>0</v>
      </c>
      <c r="AH552" s="313">
        <f>IFERROR(IF(INDEX([1]Pivot!$BF$1:$CG$65000,$B552,AH$5)=1,1,IF(AND(AH551&gt;=1,AH551&lt;=9,ROW()&lt;=cur_line),AH551+1,0)),0)</f>
        <v>0</v>
      </c>
      <c r="AI552" s="313">
        <f>IFERROR(IF(INDEX([1]Pivot!$BF$1:$CG$65000,$B552,AI$5)=1,1,IF(AND(AI551&gt;=1,AI551&lt;=9,ROW()&lt;=cur_line),AI551+1,0)),0)</f>
        <v>0</v>
      </c>
      <c r="AJ552" s="313">
        <f>IFERROR(IF(INDEX([1]Pivot!$BF$1:$CG$65000,$B552,AJ$5)=1,1,IF(AND(AJ551&gt;=1,AJ551&lt;=9,ROW()&lt;=cur_line),AJ551+1,0)),0)</f>
        <v>0</v>
      </c>
      <c r="AK552" s="313">
        <f>IFERROR(IF(INDEX([1]Pivot!$BF$1:$CG$65000,$B552,AK$5)=1,1,IF(AND(AK551&gt;=1,AK551&lt;=9,ROW()&lt;=cur_line),AK551+1,0)),0)</f>
        <v>0</v>
      </c>
      <c r="AL552" s="313">
        <f>IFERROR(IF(INDEX([1]Pivot!$BF$1:$CG$65000,$B552,AL$5)=1,1,IF(AND(AL551&gt;=1,AL551&lt;=9,ROW()&lt;=cur_line),AL551+1,0)),0)</f>
        <v>0</v>
      </c>
      <c r="AM552" s="313">
        <f>IFERROR(IF(INDEX([1]Pivot!$BF$1:$CG$65000,$B552,AM$5)=1,1,IF(AND(AM551&gt;=1,AM551&lt;=9,ROW()&lt;=cur_line),AM551+1,0)),0)</f>
        <v>0</v>
      </c>
      <c r="AN552" s="313">
        <f>IFERROR(IF(INDEX([1]Pivot!$BF$1:$CG$65000,$B552,AN$5)=1,1,IF(AND(AN551&gt;=1,AN551&lt;=9,ROW()&lt;=cur_line),AN551+1,0)),0)</f>
        <v>0</v>
      </c>
      <c r="AO552" s="313">
        <f>IFERROR(IF(INDEX([1]Pivot!$BF$1:$CG$65000,$B552,AO$5)=1,1,IF(AND(AO551&gt;=1,AO551&lt;=9,ROW()&lt;=cur_line),AO551+1,0)),0)</f>
        <v>0</v>
      </c>
      <c r="AP552" s="313">
        <f>IFERROR(IF(INDEX([1]Pivot!$BF$1:$CG$65000,$B552,AP$5)=1,1,IF(AND(AP551&gt;=1,AP551&lt;=9,ROW()&lt;=cur_line),AP551+1,0)),0)</f>
        <v>0</v>
      </c>
      <c r="AQ552" s="313">
        <f>IFERROR(IF(INDEX([1]Pivot!$BF$1:$CG$65000,$B552,AQ$5)=1,1,IF(AND(AQ551&gt;=1,AQ551&lt;=9,ROW()&lt;=cur_line),AQ551+1,0)),0)</f>
        <v>0</v>
      </c>
      <c r="AR552" s="313">
        <f>IFERROR(IF(INDEX([1]Pivot!$BF$1:$CG$65000,$B552,AR$5)=1,1,IF(AND(AR551&gt;=1,AR551&lt;=9,ROW()&lt;=cur_line),AR551+1,0)),0)</f>
        <v>0</v>
      </c>
      <c r="AS552" s="312"/>
      <c r="AT552" s="313">
        <f>IFERROR(IF(INDEX([1]Pivot!$BF$1:$CG$65000,$B552,AT$5)=1,1,IF(AND(AT551&gt;=1,AT551&lt;=9,ROW()&lt;=cur_line),AT551+1,0)),0)</f>
        <v>0</v>
      </c>
      <c r="AU552" s="313">
        <f>IFERROR(IF(INDEX([1]Pivot!$BF$1:$CG$65000,$B552,AU$5)=1,1,IF(AND(AU551&gt;=1,AU551&lt;=9,ROW()&lt;=cur_line),AU551+1,0)),0)</f>
        <v>0</v>
      </c>
      <c r="AV552" s="313">
        <f>IFERROR(IF(INDEX([1]Pivot!$BF$1:$CG$65000,$B552,AV$5)=1,1,IF(AND(AV551&gt;=1,AV551&lt;=9,ROW()&lt;=cur_line),AV551+1,0)),0)</f>
        <v>0</v>
      </c>
      <c r="AW552" s="313">
        <f>IFERROR(IF(INDEX([1]Pivot!$BF$1:$CG$65000,$B552,AW$5)=1,1,IF(AND(AW551&gt;=1,AW551&lt;=9,ROW()&lt;=cur_line),AW551+1,0)),0)</f>
        <v>0</v>
      </c>
      <c r="AX552" s="313">
        <f>IFERROR(IF(INDEX([1]Pivot!$BF$1:$CG$65000,$B552,AX$5)=1,1,IF(AND(AX551&gt;=1,AX551&lt;=9,ROW()&lt;=cur_line),AX551+1,0)),0)</f>
        <v>0</v>
      </c>
      <c r="AY552" s="313">
        <f>IFERROR(IF(INDEX([1]Pivot!$BF$1:$CG$65000,$B552,AY$5)=1,1,IF(AND(AY551&gt;=1,AY551&lt;=9,ROW()&lt;=cur_line),AY551+1,0)),0)</f>
        <v>0</v>
      </c>
      <c r="AZ552" s="313">
        <f>IFERROR(IF(INDEX([1]Pivot!$BF$1:$CG$65000,$B552,AZ$5)=1,1,IF(AND(AZ551&gt;=1,AZ551&lt;=9,ROW()&lt;=cur_line),AZ551+1,0)),0)</f>
        <v>0</v>
      </c>
      <c r="BA552" s="313">
        <f>IFERROR(IF(INDEX([1]Pivot!$BF$1:$CG$65000,$B552,BA$5)=1,1,IF(AND(BA551&gt;=1,BA551&lt;=9,ROW()&lt;=cur_line),BA551+1,0)),0)</f>
        <v>0</v>
      </c>
      <c r="BB552" s="313">
        <f>IFERROR(IF(INDEX([1]Pivot!$BF$1:$CG$65000,$B552,BB$5)=1,1,IF(AND(BB551&gt;=1,BB551&lt;=9,ROW()&lt;=cur_line),BB551+1,0)),0)</f>
        <v>0</v>
      </c>
      <c r="BC552" s="313">
        <f>IFERROR(IF(INDEX([1]Pivot!$BF$1:$CG$65000,$B552,BC$5)=1,1,IF(AND(BC551&gt;=1,BC551&lt;=9,ROW()&lt;=cur_line),BC551+1,0)),0)</f>
        <v>0</v>
      </c>
      <c r="BD552" s="313">
        <f>IFERROR(IF(INDEX([1]Pivot!$BF$1:$CG$65000,$B552,BD$5)=1,1,IF(AND(BD551&gt;=1,BD551&lt;=9,ROW()&lt;=cur_line),BD551+1,0)),0)</f>
        <v>0</v>
      </c>
    </row>
    <row r="553" spans="1:56" hidden="1" outlineLevel="1" x14ac:dyDescent="0.25">
      <c r="A553" s="288" t="str">
        <f>'[2]Raw Milk Prices'!A553</f>
        <v>2022m06</v>
      </c>
      <c r="B553" s="296" t="e">
        <f>MATCH(DATE(LEFT('[2]Raw Milk Prices'!$A553,4),RIGHT('[2]Raw Milk Prices'!$A553,2),1),[1]Pivot!$A$1:$A$65000,0)</f>
        <v>#N/A</v>
      </c>
      <c r="C553" s="194">
        <f>IFERROR(IF(INDEX([1]Pivot!$AD$1:$BE$65000,$B553,C$5)=1,1,IF(AND(C552&gt;=1,C552&lt;=9,ROW()&lt;=cur_line),C552+1,0)),0)</f>
        <v>0</v>
      </c>
      <c r="D553" s="194">
        <f>IFERROR(IF(INDEX([1]Pivot!$AD$1:$BE$65000,$B553,D$5)=1,1,IF(AND(D552&gt;=1,D552&lt;=9,ROW()&lt;=cur_line),D552+1,0)),0)</f>
        <v>0</v>
      </c>
      <c r="E553" s="194">
        <f>IFERROR(IF(INDEX([1]Pivot!$AD$1:$BE$65000,$B553,E$5)=1,1,IF(AND(E552&gt;=1,E552&lt;=9,ROW()&lt;=cur_line),E552+1,0)),0)</f>
        <v>0</v>
      </c>
      <c r="F553" s="194">
        <f>IFERROR(IF(INDEX([1]Pivot!$AD$1:$BE$65000,$B553,F$5)=1,1,IF(AND(F552&gt;=1,F552&lt;=9,ROW()&lt;=cur_line),F552+1,0)),0)</f>
        <v>0</v>
      </c>
      <c r="G553" s="194">
        <f>IFERROR(IF(INDEX([1]Pivot!$AD$1:$BE$65000,$B553,G$5)=1,1,IF(AND(G552&gt;=1,G552&lt;=9,ROW()&lt;=cur_line),G552+1,0)),0)</f>
        <v>0</v>
      </c>
      <c r="H553" s="194">
        <f>IFERROR(IF(INDEX([1]Pivot!$AD$1:$BE$65000,$B553,H$5)=1,1,IF(AND(H552&gt;=1,H552&lt;=9,ROW()&lt;=cur_line),H552+1,0)),0)</f>
        <v>0</v>
      </c>
      <c r="I553" s="194">
        <f>IFERROR(IF(INDEX([1]Pivot!$AD$1:$BE$65000,$B553,I$5)=1,1,IF(AND(I552&gt;=1,I552&lt;=9,ROW()&lt;=cur_line),I552+1,0)),0)</f>
        <v>0</v>
      </c>
      <c r="J553" s="194">
        <f>IFERROR(IF(INDEX([1]Pivot!$AD$1:$BE$65000,$B553,J$5)=1,1,IF(AND(J552&gt;=1,J552&lt;=9,ROW()&lt;=cur_line),J552+1,0)),0)</f>
        <v>0</v>
      </c>
      <c r="K553" s="194">
        <f>IFERROR(IF(INDEX([1]Pivot!$AD$1:$BE$65000,$B553,K$5)=1,1,IF(AND(K552&gt;=1,K552&lt;=9,ROW()&lt;=cur_line),K552+1,0)),0)</f>
        <v>0</v>
      </c>
      <c r="L553" s="194">
        <f>IFERROR(IF(INDEX([1]Pivot!$AD$1:$BE$65000,$B553,L$5)=1,1,IF(AND(L552&gt;=1,L552&lt;=9,ROW()&lt;=cur_line),L552+1,0)),0)</f>
        <v>0</v>
      </c>
      <c r="M553" s="194">
        <f>IFERROR(IF(INDEX([1]Pivot!$AD$1:$BE$65000,$B553,M$5)=1,1,IF(AND(M552&gt;=1,M552&lt;=9,ROW()&lt;=cur_line),M552+1,0)),0)</f>
        <v>0</v>
      </c>
      <c r="N553" s="194">
        <f>IFERROR(IF(INDEX([1]Pivot!$AD$1:$BE$65000,$B553,N$5)=1,1,IF(AND(N552&gt;=1,N552&lt;=9,ROW()&lt;=cur_line),N552+1,0)),0)</f>
        <v>0</v>
      </c>
      <c r="O553" s="194">
        <f>IFERROR(IF(INDEX([1]Pivot!$AD$1:$BE$65000,$B553,O$5)=1,1,IF(AND(O552&gt;=1,O552&lt;=9,ROW()&lt;=cur_line),O552+1,0)),0)</f>
        <v>0</v>
      </c>
      <c r="P553" s="194">
        <f>IFERROR(IF(INDEX([1]Pivot!$AD$1:$BE$65000,$B553,P$5)=1,1,IF(AND(P552&gt;=1,P552&lt;=9,ROW()&lt;=cur_line),P552+1,0)),0)</f>
        <v>0</v>
      </c>
      <c r="Q553" s="194">
        <f>IFERROR(IF(INDEX([1]Pivot!$AD$1:$BE$65000,$B553,Q$5)=1,1,IF(AND(Q552&gt;=1,Q552&lt;=9,ROW()&lt;=cur_line),Q552+1,0)),0)</f>
        <v>0</v>
      </c>
      <c r="R553" s="312"/>
      <c r="S553" s="194">
        <f>IFERROR(IF(INDEX([1]Pivot!$AD$1:$BE$65000,$B553,S$5)=1,1,IF(AND(S552&gt;=1,S552&lt;=9,ROW()&lt;=cur_line),S552+1,0)),0)</f>
        <v>0</v>
      </c>
      <c r="T553" s="194">
        <f>IFERROR(IF(INDEX([1]Pivot!$AD$1:$BE$65000,$B553,T$5)=1,1,IF(AND(T552&gt;=1,T552&lt;=9,ROW()&lt;=cur_line),T552+1,0)),0)</f>
        <v>0</v>
      </c>
      <c r="U553" s="194">
        <f>IFERROR(IF(INDEX([1]Pivot!$AD$1:$BE$65000,$B553,U$5)=1,1,IF(AND(U552&gt;=1,U552&lt;=9,ROW()&lt;=cur_line),U552+1,0)),0)</f>
        <v>0</v>
      </c>
      <c r="V553" s="194">
        <f>IFERROR(IF(INDEX([1]Pivot!$AD$1:$BE$65000,$B553,V$5)=1,1,IF(AND(V552&gt;=1,V552&lt;=9,ROW()&lt;=cur_line),V552+1,0)),0)</f>
        <v>0</v>
      </c>
      <c r="W553" s="194">
        <f>IFERROR(IF(INDEX([1]Pivot!$AD$1:$BE$65000,$B553,W$5)=1,1,IF(AND(W552&gt;=1,W552&lt;=9,ROW()&lt;=cur_line),W552+1,0)),0)</f>
        <v>0</v>
      </c>
      <c r="X553" s="194">
        <f>IFERROR(IF(INDEX([1]Pivot!$AD$1:$BE$65000,$B553,X$5)=1,1,IF(AND(X552&gt;=1,X552&lt;=9,ROW()&lt;=cur_line),X552+1,0)),0)</f>
        <v>0</v>
      </c>
      <c r="Y553" s="194">
        <f>IFERROR(IF(INDEX([1]Pivot!$AD$1:$BE$65000,$B553,Y$5)=1,1,IF(AND(Y552&gt;=1,Y552&lt;=9,ROW()&lt;=cur_line),Y552+1,0)),0)</f>
        <v>0</v>
      </c>
      <c r="Z553" s="194">
        <f>IFERROR(IF(INDEX([1]Pivot!$AD$1:$BE$65000,$B553,Z$5)=1,1,IF(AND(Z552&gt;=1,Z552&lt;=9,ROW()&lt;=cur_line),Z552+1,0)),0)</f>
        <v>0</v>
      </c>
      <c r="AA553" s="194">
        <f>IFERROR(IF(INDEX([1]Pivot!$AD$1:$BE$65000,$B553,AA$5)=1,1,IF(AND(AA552&gt;=1,AA552&lt;=9,ROW()&lt;=cur_line),AA552+1,0)),0)</f>
        <v>0</v>
      </c>
      <c r="AB553" s="194">
        <f>IFERROR(IF(INDEX([1]Pivot!$AD$1:$BE$65000,$B553,AB$5)=1,1,IF(AND(AB552&gt;=1,AB552&lt;=9,ROW()&lt;=cur_line),AB552+1,0)),0)</f>
        <v>0</v>
      </c>
      <c r="AC553" s="194">
        <f>IFERROR(IF(INDEX([1]Pivot!$AD$1:$BE$65000,$B553,AC$5)=1,1,IF(AND(AC552&gt;=1,AC552&lt;=9,ROW()&lt;=cur_line),AC552+1,0)),0)</f>
        <v>0</v>
      </c>
      <c r="AD553" s="313">
        <f>IFERROR(IF(INDEX([1]Pivot!$BF$1:$CG$65000,$B553,AD$5)=1,1,IF(AND(AD552&gt;=1,AD552&lt;=9,ROW()&lt;=cur_line),AD552+1,0)),0)</f>
        <v>0</v>
      </c>
      <c r="AE553" s="313">
        <f>IFERROR(IF(INDEX([1]Pivot!$BF$1:$CG$65000,$B553,AE$5)=1,1,IF(AND(AE552&gt;=1,AE552&lt;=9,ROW()&lt;=cur_line),AE552+1,0)),0)</f>
        <v>0</v>
      </c>
      <c r="AF553" s="313">
        <f>IFERROR(IF(INDEX([1]Pivot!$BF$1:$CG$65000,$B553,AF$5)=1,1,IF(AND(AF552&gt;=1,AF552&lt;=9,ROW()&lt;=cur_line),AF552+1,0)),0)</f>
        <v>0</v>
      </c>
      <c r="AG553" s="313">
        <f>IFERROR(IF(INDEX([1]Pivot!$BF$1:$CG$65000,$B553,AG$5)=1,1,IF(AND(AG552&gt;=1,AG552&lt;=9,ROW()&lt;=cur_line),AG552+1,0)),0)</f>
        <v>0</v>
      </c>
      <c r="AH553" s="313">
        <f>IFERROR(IF(INDEX([1]Pivot!$BF$1:$CG$65000,$B553,AH$5)=1,1,IF(AND(AH552&gt;=1,AH552&lt;=9,ROW()&lt;=cur_line),AH552+1,0)),0)</f>
        <v>0</v>
      </c>
      <c r="AI553" s="313">
        <f>IFERROR(IF(INDEX([1]Pivot!$BF$1:$CG$65000,$B553,AI$5)=1,1,IF(AND(AI552&gt;=1,AI552&lt;=9,ROW()&lt;=cur_line),AI552+1,0)),0)</f>
        <v>0</v>
      </c>
      <c r="AJ553" s="313">
        <f>IFERROR(IF(INDEX([1]Pivot!$BF$1:$CG$65000,$B553,AJ$5)=1,1,IF(AND(AJ552&gt;=1,AJ552&lt;=9,ROW()&lt;=cur_line),AJ552+1,0)),0)</f>
        <v>0</v>
      </c>
      <c r="AK553" s="313">
        <f>IFERROR(IF(INDEX([1]Pivot!$BF$1:$CG$65000,$B553,AK$5)=1,1,IF(AND(AK552&gt;=1,AK552&lt;=9,ROW()&lt;=cur_line),AK552+1,0)),0)</f>
        <v>0</v>
      </c>
      <c r="AL553" s="313">
        <f>IFERROR(IF(INDEX([1]Pivot!$BF$1:$CG$65000,$B553,AL$5)=1,1,IF(AND(AL552&gt;=1,AL552&lt;=9,ROW()&lt;=cur_line),AL552+1,0)),0)</f>
        <v>0</v>
      </c>
      <c r="AM553" s="313">
        <f>IFERROR(IF(INDEX([1]Pivot!$BF$1:$CG$65000,$B553,AM$5)=1,1,IF(AND(AM552&gt;=1,AM552&lt;=9,ROW()&lt;=cur_line),AM552+1,0)),0)</f>
        <v>0</v>
      </c>
      <c r="AN553" s="313">
        <f>IFERROR(IF(INDEX([1]Pivot!$BF$1:$CG$65000,$B553,AN$5)=1,1,IF(AND(AN552&gt;=1,AN552&lt;=9,ROW()&lt;=cur_line),AN552+1,0)),0)</f>
        <v>0</v>
      </c>
      <c r="AO553" s="313">
        <f>IFERROR(IF(INDEX([1]Pivot!$BF$1:$CG$65000,$B553,AO$5)=1,1,IF(AND(AO552&gt;=1,AO552&lt;=9,ROW()&lt;=cur_line),AO552+1,0)),0)</f>
        <v>0</v>
      </c>
      <c r="AP553" s="313">
        <f>IFERROR(IF(INDEX([1]Pivot!$BF$1:$CG$65000,$B553,AP$5)=1,1,IF(AND(AP552&gt;=1,AP552&lt;=9,ROW()&lt;=cur_line),AP552+1,0)),0)</f>
        <v>0</v>
      </c>
      <c r="AQ553" s="313">
        <f>IFERROR(IF(INDEX([1]Pivot!$BF$1:$CG$65000,$B553,AQ$5)=1,1,IF(AND(AQ552&gt;=1,AQ552&lt;=9,ROW()&lt;=cur_line),AQ552+1,0)),0)</f>
        <v>0</v>
      </c>
      <c r="AR553" s="313">
        <f>IFERROR(IF(INDEX([1]Pivot!$BF$1:$CG$65000,$B553,AR$5)=1,1,IF(AND(AR552&gt;=1,AR552&lt;=9,ROW()&lt;=cur_line),AR552+1,0)),0)</f>
        <v>0</v>
      </c>
      <c r="AS553" s="312"/>
      <c r="AT553" s="313">
        <f>IFERROR(IF(INDEX([1]Pivot!$BF$1:$CG$65000,$B553,AT$5)=1,1,IF(AND(AT552&gt;=1,AT552&lt;=9,ROW()&lt;=cur_line),AT552+1,0)),0)</f>
        <v>0</v>
      </c>
      <c r="AU553" s="313">
        <f>IFERROR(IF(INDEX([1]Pivot!$BF$1:$CG$65000,$B553,AU$5)=1,1,IF(AND(AU552&gt;=1,AU552&lt;=9,ROW()&lt;=cur_line),AU552+1,0)),0)</f>
        <v>0</v>
      </c>
      <c r="AV553" s="313">
        <f>IFERROR(IF(INDEX([1]Pivot!$BF$1:$CG$65000,$B553,AV$5)=1,1,IF(AND(AV552&gt;=1,AV552&lt;=9,ROW()&lt;=cur_line),AV552+1,0)),0)</f>
        <v>0</v>
      </c>
      <c r="AW553" s="313">
        <f>IFERROR(IF(INDEX([1]Pivot!$BF$1:$CG$65000,$B553,AW$5)=1,1,IF(AND(AW552&gt;=1,AW552&lt;=9,ROW()&lt;=cur_line),AW552+1,0)),0)</f>
        <v>0</v>
      </c>
      <c r="AX553" s="313">
        <f>IFERROR(IF(INDEX([1]Pivot!$BF$1:$CG$65000,$B553,AX$5)=1,1,IF(AND(AX552&gt;=1,AX552&lt;=9,ROW()&lt;=cur_line),AX552+1,0)),0)</f>
        <v>0</v>
      </c>
      <c r="AY553" s="313">
        <f>IFERROR(IF(INDEX([1]Pivot!$BF$1:$CG$65000,$B553,AY$5)=1,1,IF(AND(AY552&gt;=1,AY552&lt;=9,ROW()&lt;=cur_line),AY552+1,0)),0)</f>
        <v>0</v>
      </c>
      <c r="AZ553" s="313">
        <f>IFERROR(IF(INDEX([1]Pivot!$BF$1:$CG$65000,$B553,AZ$5)=1,1,IF(AND(AZ552&gt;=1,AZ552&lt;=9,ROW()&lt;=cur_line),AZ552+1,0)),0)</f>
        <v>0</v>
      </c>
      <c r="BA553" s="313">
        <f>IFERROR(IF(INDEX([1]Pivot!$BF$1:$CG$65000,$B553,BA$5)=1,1,IF(AND(BA552&gt;=1,BA552&lt;=9,ROW()&lt;=cur_line),BA552+1,0)),0)</f>
        <v>0</v>
      </c>
      <c r="BB553" s="313">
        <f>IFERROR(IF(INDEX([1]Pivot!$BF$1:$CG$65000,$B553,BB$5)=1,1,IF(AND(BB552&gt;=1,BB552&lt;=9,ROW()&lt;=cur_line),BB552+1,0)),0)</f>
        <v>0</v>
      </c>
      <c r="BC553" s="313">
        <f>IFERROR(IF(INDEX([1]Pivot!$BF$1:$CG$65000,$B553,BC$5)=1,1,IF(AND(BC552&gt;=1,BC552&lt;=9,ROW()&lt;=cur_line),BC552+1,0)),0)</f>
        <v>0</v>
      </c>
      <c r="BD553" s="313">
        <f>IFERROR(IF(INDEX([1]Pivot!$BF$1:$CG$65000,$B553,BD$5)=1,1,IF(AND(BD552&gt;=1,BD552&lt;=9,ROW()&lt;=cur_line),BD552+1,0)),0)</f>
        <v>0</v>
      </c>
    </row>
    <row r="554" spans="1:56" hidden="1" outlineLevel="1" x14ac:dyDescent="0.25">
      <c r="A554" s="288" t="str">
        <f>'[2]Raw Milk Prices'!A554</f>
        <v>2022m07</v>
      </c>
      <c r="B554" s="296" t="e">
        <f>MATCH(DATE(LEFT('[2]Raw Milk Prices'!$A554,4),RIGHT('[2]Raw Milk Prices'!$A554,2),1),[1]Pivot!$A$1:$A$65000,0)</f>
        <v>#N/A</v>
      </c>
      <c r="C554" s="194">
        <f>IFERROR(IF(INDEX([1]Pivot!$AD$1:$BE$65000,$B554,C$5)=1,1,IF(AND(C553&gt;=1,C553&lt;=9,ROW()&lt;=cur_line),C553+1,0)),0)</f>
        <v>0</v>
      </c>
      <c r="D554" s="194">
        <f>IFERROR(IF(INDEX([1]Pivot!$AD$1:$BE$65000,$B554,D$5)=1,1,IF(AND(D553&gt;=1,D553&lt;=9,ROW()&lt;=cur_line),D553+1,0)),0)</f>
        <v>0</v>
      </c>
      <c r="E554" s="194">
        <f>IFERROR(IF(INDEX([1]Pivot!$AD$1:$BE$65000,$B554,E$5)=1,1,IF(AND(E553&gt;=1,E553&lt;=9,ROW()&lt;=cur_line),E553+1,0)),0)</f>
        <v>0</v>
      </c>
      <c r="F554" s="194">
        <f>IFERROR(IF(INDEX([1]Pivot!$AD$1:$BE$65000,$B554,F$5)=1,1,IF(AND(F553&gt;=1,F553&lt;=9,ROW()&lt;=cur_line),F553+1,0)),0)</f>
        <v>0</v>
      </c>
      <c r="G554" s="194">
        <f>IFERROR(IF(INDEX([1]Pivot!$AD$1:$BE$65000,$B554,G$5)=1,1,IF(AND(G553&gt;=1,G553&lt;=9,ROW()&lt;=cur_line),G553+1,0)),0)</f>
        <v>0</v>
      </c>
      <c r="H554" s="194">
        <f>IFERROR(IF(INDEX([1]Pivot!$AD$1:$BE$65000,$B554,H$5)=1,1,IF(AND(H553&gt;=1,H553&lt;=9,ROW()&lt;=cur_line),H553+1,0)),0)</f>
        <v>0</v>
      </c>
      <c r="I554" s="194">
        <f>IFERROR(IF(INDEX([1]Pivot!$AD$1:$BE$65000,$B554,I$5)=1,1,IF(AND(I553&gt;=1,I553&lt;=9,ROW()&lt;=cur_line),I553+1,0)),0)</f>
        <v>0</v>
      </c>
      <c r="J554" s="194">
        <f>IFERROR(IF(INDEX([1]Pivot!$AD$1:$BE$65000,$B554,J$5)=1,1,IF(AND(J553&gt;=1,J553&lt;=9,ROW()&lt;=cur_line),J553+1,0)),0)</f>
        <v>0</v>
      </c>
      <c r="K554" s="194">
        <f>IFERROR(IF(INDEX([1]Pivot!$AD$1:$BE$65000,$B554,K$5)=1,1,IF(AND(K553&gt;=1,K553&lt;=9,ROW()&lt;=cur_line),K553+1,0)),0)</f>
        <v>0</v>
      </c>
      <c r="L554" s="194">
        <f>IFERROR(IF(INDEX([1]Pivot!$AD$1:$BE$65000,$B554,L$5)=1,1,IF(AND(L553&gt;=1,L553&lt;=9,ROW()&lt;=cur_line),L553+1,0)),0)</f>
        <v>0</v>
      </c>
      <c r="M554" s="194">
        <f>IFERROR(IF(INDEX([1]Pivot!$AD$1:$BE$65000,$B554,M$5)=1,1,IF(AND(M553&gt;=1,M553&lt;=9,ROW()&lt;=cur_line),M553+1,0)),0)</f>
        <v>0</v>
      </c>
      <c r="N554" s="194">
        <f>IFERROR(IF(INDEX([1]Pivot!$AD$1:$BE$65000,$B554,N$5)=1,1,IF(AND(N553&gt;=1,N553&lt;=9,ROW()&lt;=cur_line),N553+1,0)),0)</f>
        <v>0</v>
      </c>
      <c r="O554" s="194">
        <f>IFERROR(IF(INDEX([1]Pivot!$AD$1:$BE$65000,$B554,O$5)=1,1,IF(AND(O553&gt;=1,O553&lt;=9,ROW()&lt;=cur_line),O553+1,0)),0)</f>
        <v>0</v>
      </c>
      <c r="P554" s="194">
        <f>IFERROR(IF(INDEX([1]Pivot!$AD$1:$BE$65000,$B554,P$5)=1,1,IF(AND(P553&gt;=1,P553&lt;=9,ROW()&lt;=cur_line),P553+1,0)),0)</f>
        <v>0</v>
      </c>
      <c r="Q554" s="194">
        <f>IFERROR(IF(INDEX([1]Pivot!$AD$1:$BE$65000,$B554,Q$5)=1,1,IF(AND(Q553&gt;=1,Q553&lt;=9,ROW()&lt;=cur_line),Q553+1,0)),0)</f>
        <v>0</v>
      </c>
      <c r="R554" s="312"/>
      <c r="S554" s="194">
        <f>IFERROR(IF(INDEX([1]Pivot!$AD$1:$BE$65000,$B554,S$5)=1,1,IF(AND(S553&gt;=1,S553&lt;=9,ROW()&lt;=cur_line),S553+1,0)),0)</f>
        <v>0</v>
      </c>
      <c r="T554" s="194">
        <f>IFERROR(IF(INDEX([1]Pivot!$AD$1:$BE$65000,$B554,T$5)=1,1,IF(AND(T553&gt;=1,T553&lt;=9,ROW()&lt;=cur_line),T553+1,0)),0)</f>
        <v>0</v>
      </c>
      <c r="U554" s="194">
        <f>IFERROR(IF(INDEX([1]Pivot!$AD$1:$BE$65000,$B554,U$5)=1,1,IF(AND(U553&gt;=1,U553&lt;=9,ROW()&lt;=cur_line),U553+1,0)),0)</f>
        <v>0</v>
      </c>
      <c r="V554" s="194">
        <f>IFERROR(IF(INDEX([1]Pivot!$AD$1:$BE$65000,$B554,V$5)=1,1,IF(AND(V553&gt;=1,V553&lt;=9,ROW()&lt;=cur_line),V553+1,0)),0)</f>
        <v>0</v>
      </c>
      <c r="W554" s="194">
        <f>IFERROR(IF(INDEX([1]Pivot!$AD$1:$BE$65000,$B554,W$5)=1,1,IF(AND(W553&gt;=1,W553&lt;=9,ROW()&lt;=cur_line),W553+1,0)),0)</f>
        <v>0</v>
      </c>
      <c r="X554" s="194">
        <f>IFERROR(IF(INDEX([1]Pivot!$AD$1:$BE$65000,$B554,X$5)=1,1,IF(AND(X553&gt;=1,X553&lt;=9,ROW()&lt;=cur_line),X553+1,0)),0)</f>
        <v>0</v>
      </c>
      <c r="Y554" s="194">
        <f>IFERROR(IF(INDEX([1]Pivot!$AD$1:$BE$65000,$B554,Y$5)=1,1,IF(AND(Y553&gt;=1,Y553&lt;=9,ROW()&lt;=cur_line),Y553+1,0)),0)</f>
        <v>0</v>
      </c>
      <c r="Z554" s="194">
        <f>IFERROR(IF(INDEX([1]Pivot!$AD$1:$BE$65000,$B554,Z$5)=1,1,IF(AND(Z553&gt;=1,Z553&lt;=9,ROW()&lt;=cur_line),Z553+1,0)),0)</f>
        <v>0</v>
      </c>
      <c r="AA554" s="194">
        <f>IFERROR(IF(INDEX([1]Pivot!$AD$1:$BE$65000,$B554,AA$5)=1,1,IF(AND(AA553&gt;=1,AA553&lt;=9,ROW()&lt;=cur_line),AA553+1,0)),0)</f>
        <v>0</v>
      </c>
      <c r="AB554" s="194">
        <f>IFERROR(IF(INDEX([1]Pivot!$AD$1:$BE$65000,$B554,AB$5)=1,1,IF(AND(AB553&gt;=1,AB553&lt;=9,ROW()&lt;=cur_line),AB553+1,0)),0)</f>
        <v>0</v>
      </c>
      <c r="AC554" s="194">
        <f>IFERROR(IF(INDEX([1]Pivot!$AD$1:$BE$65000,$B554,AC$5)=1,1,IF(AND(AC553&gt;=1,AC553&lt;=9,ROW()&lt;=cur_line),AC553+1,0)),0)</f>
        <v>0</v>
      </c>
      <c r="AD554" s="313">
        <f>IFERROR(IF(INDEX([1]Pivot!$BF$1:$CG$65000,$B554,AD$5)=1,1,IF(AND(AD553&gt;=1,AD553&lt;=9,ROW()&lt;=cur_line),AD553+1,0)),0)</f>
        <v>0</v>
      </c>
      <c r="AE554" s="313">
        <f>IFERROR(IF(INDEX([1]Pivot!$BF$1:$CG$65000,$B554,AE$5)=1,1,IF(AND(AE553&gt;=1,AE553&lt;=9,ROW()&lt;=cur_line),AE553+1,0)),0)</f>
        <v>0</v>
      </c>
      <c r="AF554" s="313">
        <f>IFERROR(IF(INDEX([1]Pivot!$BF$1:$CG$65000,$B554,AF$5)=1,1,IF(AND(AF553&gt;=1,AF553&lt;=9,ROW()&lt;=cur_line),AF553+1,0)),0)</f>
        <v>0</v>
      </c>
      <c r="AG554" s="313">
        <f>IFERROR(IF(INDEX([1]Pivot!$BF$1:$CG$65000,$B554,AG$5)=1,1,IF(AND(AG553&gt;=1,AG553&lt;=9,ROW()&lt;=cur_line),AG553+1,0)),0)</f>
        <v>0</v>
      </c>
      <c r="AH554" s="313">
        <f>IFERROR(IF(INDEX([1]Pivot!$BF$1:$CG$65000,$B554,AH$5)=1,1,IF(AND(AH553&gt;=1,AH553&lt;=9,ROW()&lt;=cur_line),AH553+1,0)),0)</f>
        <v>0</v>
      </c>
      <c r="AI554" s="313">
        <f>IFERROR(IF(INDEX([1]Pivot!$BF$1:$CG$65000,$B554,AI$5)=1,1,IF(AND(AI553&gt;=1,AI553&lt;=9,ROW()&lt;=cur_line),AI553+1,0)),0)</f>
        <v>0</v>
      </c>
      <c r="AJ554" s="313">
        <f>IFERROR(IF(INDEX([1]Pivot!$BF$1:$CG$65000,$B554,AJ$5)=1,1,IF(AND(AJ553&gt;=1,AJ553&lt;=9,ROW()&lt;=cur_line),AJ553+1,0)),0)</f>
        <v>0</v>
      </c>
      <c r="AK554" s="313">
        <f>IFERROR(IF(INDEX([1]Pivot!$BF$1:$CG$65000,$B554,AK$5)=1,1,IF(AND(AK553&gt;=1,AK553&lt;=9,ROW()&lt;=cur_line),AK553+1,0)),0)</f>
        <v>0</v>
      </c>
      <c r="AL554" s="313">
        <f>IFERROR(IF(INDEX([1]Pivot!$BF$1:$CG$65000,$B554,AL$5)=1,1,IF(AND(AL553&gt;=1,AL553&lt;=9,ROW()&lt;=cur_line),AL553+1,0)),0)</f>
        <v>0</v>
      </c>
      <c r="AM554" s="313">
        <f>IFERROR(IF(INDEX([1]Pivot!$BF$1:$CG$65000,$B554,AM$5)=1,1,IF(AND(AM553&gt;=1,AM553&lt;=9,ROW()&lt;=cur_line),AM553+1,0)),0)</f>
        <v>0</v>
      </c>
      <c r="AN554" s="313">
        <f>IFERROR(IF(INDEX([1]Pivot!$BF$1:$CG$65000,$B554,AN$5)=1,1,IF(AND(AN553&gt;=1,AN553&lt;=9,ROW()&lt;=cur_line),AN553+1,0)),0)</f>
        <v>0</v>
      </c>
      <c r="AO554" s="313">
        <f>IFERROR(IF(INDEX([1]Pivot!$BF$1:$CG$65000,$B554,AO$5)=1,1,IF(AND(AO553&gt;=1,AO553&lt;=9,ROW()&lt;=cur_line),AO553+1,0)),0)</f>
        <v>0</v>
      </c>
      <c r="AP554" s="313">
        <f>IFERROR(IF(INDEX([1]Pivot!$BF$1:$CG$65000,$B554,AP$5)=1,1,IF(AND(AP553&gt;=1,AP553&lt;=9,ROW()&lt;=cur_line),AP553+1,0)),0)</f>
        <v>0</v>
      </c>
      <c r="AQ554" s="313">
        <f>IFERROR(IF(INDEX([1]Pivot!$BF$1:$CG$65000,$B554,AQ$5)=1,1,IF(AND(AQ553&gt;=1,AQ553&lt;=9,ROW()&lt;=cur_line),AQ553+1,0)),0)</f>
        <v>0</v>
      </c>
      <c r="AR554" s="313">
        <f>IFERROR(IF(INDEX([1]Pivot!$BF$1:$CG$65000,$B554,AR$5)=1,1,IF(AND(AR553&gt;=1,AR553&lt;=9,ROW()&lt;=cur_line),AR553+1,0)),0)</f>
        <v>0</v>
      </c>
      <c r="AS554" s="312"/>
      <c r="AT554" s="313">
        <f>IFERROR(IF(INDEX([1]Pivot!$BF$1:$CG$65000,$B554,AT$5)=1,1,IF(AND(AT553&gt;=1,AT553&lt;=9,ROW()&lt;=cur_line),AT553+1,0)),0)</f>
        <v>0</v>
      </c>
      <c r="AU554" s="313">
        <f>IFERROR(IF(INDEX([1]Pivot!$BF$1:$CG$65000,$B554,AU$5)=1,1,IF(AND(AU553&gt;=1,AU553&lt;=9,ROW()&lt;=cur_line),AU553+1,0)),0)</f>
        <v>0</v>
      </c>
      <c r="AV554" s="313">
        <f>IFERROR(IF(INDEX([1]Pivot!$BF$1:$CG$65000,$B554,AV$5)=1,1,IF(AND(AV553&gt;=1,AV553&lt;=9,ROW()&lt;=cur_line),AV553+1,0)),0)</f>
        <v>0</v>
      </c>
      <c r="AW554" s="313">
        <f>IFERROR(IF(INDEX([1]Pivot!$BF$1:$CG$65000,$B554,AW$5)=1,1,IF(AND(AW553&gt;=1,AW553&lt;=9,ROW()&lt;=cur_line),AW553+1,0)),0)</f>
        <v>0</v>
      </c>
      <c r="AX554" s="313">
        <f>IFERROR(IF(INDEX([1]Pivot!$BF$1:$CG$65000,$B554,AX$5)=1,1,IF(AND(AX553&gt;=1,AX553&lt;=9,ROW()&lt;=cur_line),AX553+1,0)),0)</f>
        <v>0</v>
      </c>
      <c r="AY554" s="313">
        <f>IFERROR(IF(INDEX([1]Pivot!$BF$1:$CG$65000,$B554,AY$5)=1,1,IF(AND(AY553&gt;=1,AY553&lt;=9,ROW()&lt;=cur_line),AY553+1,0)),0)</f>
        <v>0</v>
      </c>
      <c r="AZ554" s="313">
        <f>IFERROR(IF(INDEX([1]Pivot!$BF$1:$CG$65000,$B554,AZ$5)=1,1,IF(AND(AZ553&gt;=1,AZ553&lt;=9,ROW()&lt;=cur_line),AZ553+1,0)),0)</f>
        <v>0</v>
      </c>
      <c r="BA554" s="313">
        <f>IFERROR(IF(INDEX([1]Pivot!$BF$1:$CG$65000,$B554,BA$5)=1,1,IF(AND(BA553&gt;=1,BA553&lt;=9,ROW()&lt;=cur_line),BA553+1,0)),0)</f>
        <v>0</v>
      </c>
      <c r="BB554" s="313">
        <f>IFERROR(IF(INDEX([1]Pivot!$BF$1:$CG$65000,$B554,BB$5)=1,1,IF(AND(BB553&gt;=1,BB553&lt;=9,ROW()&lt;=cur_line),BB553+1,0)),0)</f>
        <v>0</v>
      </c>
      <c r="BC554" s="313">
        <f>IFERROR(IF(INDEX([1]Pivot!$BF$1:$CG$65000,$B554,BC$5)=1,1,IF(AND(BC553&gt;=1,BC553&lt;=9,ROW()&lt;=cur_line),BC553+1,0)),0)</f>
        <v>0</v>
      </c>
      <c r="BD554" s="313">
        <f>IFERROR(IF(INDEX([1]Pivot!$BF$1:$CG$65000,$B554,BD$5)=1,1,IF(AND(BD553&gt;=1,BD553&lt;=9,ROW()&lt;=cur_line),BD553+1,0)),0)</f>
        <v>0</v>
      </c>
    </row>
    <row r="555" spans="1:56" hidden="1" outlineLevel="1" x14ac:dyDescent="0.25">
      <c r="A555" s="288" t="str">
        <f>'[2]Raw Milk Prices'!A555</f>
        <v>2022m08</v>
      </c>
      <c r="B555" s="296" t="e">
        <f>MATCH(DATE(LEFT('[2]Raw Milk Prices'!$A555,4),RIGHT('[2]Raw Milk Prices'!$A555,2),1),[1]Pivot!$A$1:$A$65000,0)</f>
        <v>#N/A</v>
      </c>
      <c r="C555" s="194">
        <f>IFERROR(IF(INDEX([1]Pivot!$AD$1:$BE$65000,$B555,C$5)=1,1,IF(AND(C554&gt;=1,C554&lt;=9,ROW()&lt;=cur_line),C554+1,0)),0)</f>
        <v>0</v>
      </c>
      <c r="D555" s="194">
        <f>IFERROR(IF(INDEX([1]Pivot!$AD$1:$BE$65000,$B555,D$5)=1,1,IF(AND(D554&gt;=1,D554&lt;=9,ROW()&lt;=cur_line),D554+1,0)),0)</f>
        <v>0</v>
      </c>
      <c r="E555" s="194">
        <f>IFERROR(IF(INDEX([1]Pivot!$AD$1:$BE$65000,$B555,E$5)=1,1,IF(AND(E554&gt;=1,E554&lt;=9,ROW()&lt;=cur_line),E554+1,0)),0)</f>
        <v>0</v>
      </c>
      <c r="F555" s="194">
        <f>IFERROR(IF(INDEX([1]Pivot!$AD$1:$BE$65000,$B555,F$5)=1,1,IF(AND(F554&gt;=1,F554&lt;=9,ROW()&lt;=cur_line),F554+1,0)),0)</f>
        <v>0</v>
      </c>
      <c r="G555" s="194">
        <f>IFERROR(IF(INDEX([1]Pivot!$AD$1:$BE$65000,$B555,G$5)=1,1,IF(AND(G554&gt;=1,G554&lt;=9,ROW()&lt;=cur_line),G554+1,0)),0)</f>
        <v>0</v>
      </c>
      <c r="H555" s="194">
        <f>IFERROR(IF(INDEX([1]Pivot!$AD$1:$BE$65000,$B555,H$5)=1,1,IF(AND(H554&gt;=1,H554&lt;=9,ROW()&lt;=cur_line),H554+1,0)),0)</f>
        <v>0</v>
      </c>
      <c r="I555" s="194">
        <f>IFERROR(IF(INDEX([1]Pivot!$AD$1:$BE$65000,$B555,I$5)=1,1,IF(AND(I554&gt;=1,I554&lt;=9,ROW()&lt;=cur_line),I554+1,0)),0)</f>
        <v>0</v>
      </c>
      <c r="J555" s="194">
        <f>IFERROR(IF(INDEX([1]Pivot!$AD$1:$BE$65000,$B555,J$5)=1,1,IF(AND(J554&gt;=1,J554&lt;=9,ROW()&lt;=cur_line),J554+1,0)),0)</f>
        <v>0</v>
      </c>
      <c r="K555" s="194">
        <f>IFERROR(IF(INDEX([1]Pivot!$AD$1:$BE$65000,$B555,K$5)=1,1,IF(AND(K554&gt;=1,K554&lt;=9,ROW()&lt;=cur_line),K554+1,0)),0)</f>
        <v>0</v>
      </c>
      <c r="L555" s="194">
        <f>IFERROR(IF(INDEX([1]Pivot!$AD$1:$BE$65000,$B555,L$5)=1,1,IF(AND(L554&gt;=1,L554&lt;=9,ROW()&lt;=cur_line),L554+1,0)),0)</f>
        <v>0</v>
      </c>
      <c r="M555" s="194">
        <f>IFERROR(IF(INDEX([1]Pivot!$AD$1:$BE$65000,$B555,M$5)=1,1,IF(AND(M554&gt;=1,M554&lt;=9,ROW()&lt;=cur_line),M554+1,0)),0)</f>
        <v>0</v>
      </c>
      <c r="N555" s="194">
        <f>IFERROR(IF(INDEX([1]Pivot!$AD$1:$BE$65000,$B555,N$5)=1,1,IF(AND(N554&gt;=1,N554&lt;=9,ROW()&lt;=cur_line),N554+1,0)),0)</f>
        <v>0</v>
      </c>
      <c r="O555" s="194">
        <f>IFERROR(IF(INDEX([1]Pivot!$AD$1:$BE$65000,$B555,O$5)=1,1,IF(AND(O554&gt;=1,O554&lt;=9,ROW()&lt;=cur_line),O554+1,0)),0)</f>
        <v>0</v>
      </c>
      <c r="P555" s="194">
        <f>IFERROR(IF(INDEX([1]Pivot!$AD$1:$BE$65000,$B555,P$5)=1,1,IF(AND(P554&gt;=1,P554&lt;=9,ROW()&lt;=cur_line),P554+1,0)),0)</f>
        <v>0</v>
      </c>
      <c r="Q555" s="194">
        <f>IFERROR(IF(INDEX([1]Pivot!$AD$1:$BE$65000,$B555,Q$5)=1,1,IF(AND(Q554&gt;=1,Q554&lt;=9,ROW()&lt;=cur_line),Q554+1,0)),0)</f>
        <v>0</v>
      </c>
      <c r="R555" s="312"/>
      <c r="S555" s="194">
        <f>IFERROR(IF(INDEX([1]Pivot!$AD$1:$BE$65000,$B555,S$5)=1,1,IF(AND(S554&gt;=1,S554&lt;=9,ROW()&lt;=cur_line),S554+1,0)),0)</f>
        <v>0</v>
      </c>
      <c r="T555" s="194">
        <f>IFERROR(IF(INDEX([1]Pivot!$AD$1:$BE$65000,$B555,T$5)=1,1,IF(AND(T554&gt;=1,T554&lt;=9,ROW()&lt;=cur_line),T554+1,0)),0)</f>
        <v>0</v>
      </c>
      <c r="U555" s="194">
        <f>IFERROR(IF(INDEX([1]Pivot!$AD$1:$BE$65000,$B555,U$5)=1,1,IF(AND(U554&gt;=1,U554&lt;=9,ROW()&lt;=cur_line),U554+1,0)),0)</f>
        <v>0</v>
      </c>
      <c r="V555" s="194">
        <f>IFERROR(IF(INDEX([1]Pivot!$AD$1:$BE$65000,$B555,V$5)=1,1,IF(AND(V554&gt;=1,V554&lt;=9,ROW()&lt;=cur_line),V554+1,0)),0)</f>
        <v>0</v>
      </c>
      <c r="W555" s="194">
        <f>IFERROR(IF(INDEX([1]Pivot!$AD$1:$BE$65000,$B555,W$5)=1,1,IF(AND(W554&gt;=1,W554&lt;=9,ROW()&lt;=cur_line),W554+1,0)),0)</f>
        <v>0</v>
      </c>
      <c r="X555" s="194">
        <f>IFERROR(IF(INDEX([1]Pivot!$AD$1:$BE$65000,$B555,X$5)=1,1,IF(AND(X554&gt;=1,X554&lt;=9,ROW()&lt;=cur_line),X554+1,0)),0)</f>
        <v>0</v>
      </c>
      <c r="Y555" s="194">
        <f>IFERROR(IF(INDEX([1]Pivot!$AD$1:$BE$65000,$B555,Y$5)=1,1,IF(AND(Y554&gt;=1,Y554&lt;=9,ROW()&lt;=cur_line),Y554+1,0)),0)</f>
        <v>0</v>
      </c>
      <c r="Z555" s="194">
        <f>IFERROR(IF(INDEX([1]Pivot!$AD$1:$BE$65000,$B555,Z$5)=1,1,IF(AND(Z554&gt;=1,Z554&lt;=9,ROW()&lt;=cur_line),Z554+1,0)),0)</f>
        <v>0</v>
      </c>
      <c r="AA555" s="194">
        <f>IFERROR(IF(INDEX([1]Pivot!$AD$1:$BE$65000,$B555,AA$5)=1,1,IF(AND(AA554&gt;=1,AA554&lt;=9,ROW()&lt;=cur_line),AA554+1,0)),0)</f>
        <v>0</v>
      </c>
      <c r="AB555" s="194">
        <f>IFERROR(IF(INDEX([1]Pivot!$AD$1:$BE$65000,$B555,AB$5)=1,1,IF(AND(AB554&gt;=1,AB554&lt;=9,ROW()&lt;=cur_line),AB554+1,0)),0)</f>
        <v>0</v>
      </c>
      <c r="AC555" s="194">
        <f>IFERROR(IF(INDEX([1]Pivot!$AD$1:$BE$65000,$B555,AC$5)=1,1,IF(AND(AC554&gt;=1,AC554&lt;=9,ROW()&lt;=cur_line),AC554+1,0)),0)</f>
        <v>0</v>
      </c>
      <c r="AD555" s="313">
        <f>IFERROR(IF(INDEX([1]Pivot!$BF$1:$CG$65000,$B555,AD$5)=1,1,IF(AND(AD554&gt;=1,AD554&lt;=9,ROW()&lt;=cur_line),AD554+1,0)),0)</f>
        <v>0</v>
      </c>
      <c r="AE555" s="313">
        <f>IFERROR(IF(INDEX([1]Pivot!$BF$1:$CG$65000,$B555,AE$5)=1,1,IF(AND(AE554&gt;=1,AE554&lt;=9,ROW()&lt;=cur_line),AE554+1,0)),0)</f>
        <v>0</v>
      </c>
      <c r="AF555" s="313">
        <f>IFERROR(IF(INDEX([1]Pivot!$BF$1:$CG$65000,$B555,AF$5)=1,1,IF(AND(AF554&gt;=1,AF554&lt;=9,ROW()&lt;=cur_line),AF554+1,0)),0)</f>
        <v>0</v>
      </c>
      <c r="AG555" s="313">
        <f>IFERROR(IF(INDEX([1]Pivot!$BF$1:$CG$65000,$B555,AG$5)=1,1,IF(AND(AG554&gt;=1,AG554&lt;=9,ROW()&lt;=cur_line),AG554+1,0)),0)</f>
        <v>0</v>
      </c>
      <c r="AH555" s="313">
        <f>IFERROR(IF(INDEX([1]Pivot!$BF$1:$CG$65000,$B555,AH$5)=1,1,IF(AND(AH554&gt;=1,AH554&lt;=9,ROW()&lt;=cur_line),AH554+1,0)),0)</f>
        <v>0</v>
      </c>
      <c r="AI555" s="313">
        <f>IFERROR(IF(INDEX([1]Pivot!$BF$1:$CG$65000,$B555,AI$5)=1,1,IF(AND(AI554&gt;=1,AI554&lt;=9,ROW()&lt;=cur_line),AI554+1,0)),0)</f>
        <v>0</v>
      </c>
      <c r="AJ555" s="313">
        <f>IFERROR(IF(INDEX([1]Pivot!$BF$1:$CG$65000,$B555,AJ$5)=1,1,IF(AND(AJ554&gt;=1,AJ554&lt;=9,ROW()&lt;=cur_line),AJ554+1,0)),0)</f>
        <v>0</v>
      </c>
      <c r="AK555" s="313">
        <f>IFERROR(IF(INDEX([1]Pivot!$BF$1:$CG$65000,$B555,AK$5)=1,1,IF(AND(AK554&gt;=1,AK554&lt;=9,ROW()&lt;=cur_line),AK554+1,0)),0)</f>
        <v>0</v>
      </c>
      <c r="AL555" s="313">
        <f>IFERROR(IF(INDEX([1]Pivot!$BF$1:$CG$65000,$B555,AL$5)=1,1,IF(AND(AL554&gt;=1,AL554&lt;=9,ROW()&lt;=cur_line),AL554+1,0)),0)</f>
        <v>0</v>
      </c>
      <c r="AM555" s="313">
        <f>IFERROR(IF(INDEX([1]Pivot!$BF$1:$CG$65000,$B555,AM$5)=1,1,IF(AND(AM554&gt;=1,AM554&lt;=9,ROW()&lt;=cur_line),AM554+1,0)),0)</f>
        <v>0</v>
      </c>
      <c r="AN555" s="313">
        <f>IFERROR(IF(INDEX([1]Pivot!$BF$1:$CG$65000,$B555,AN$5)=1,1,IF(AND(AN554&gt;=1,AN554&lt;=9,ROW()&lt;=cur_line),AN554+1,0)),0)</f>
        <v>0</v>
      </c>
      <c r="AO555" s="313">
        <f>IFERROR(IF(INDEX([1]Pivot!$BF$1:$CG$65000,$B555,AO$5)=1,1,IF(AND(AO554&gt;=1,AO554&lt;=9,ROW()&lt;=cur_line),AO554+1,0)),0)</f>
        <v>0</v>
      </c>
      <c r="AP555" s="313">
        <f>IFERROR(IF(INDEX([1]Pivot!$BF$1:$CG$65000,$B555,AP$5)=1,1,IF(AND(AP554&gt;=1,AP554&lt;=9,ROW()&lt;=cur_line),AP554+1,0)),0)</f>
        <v>0</v>
      </c>
      <c r="AQ555" s="313">
        <f>IFERROR(IF(INDEX([1]Pivot!$BF$1:$CG$65000,$B555,AQ$5)=1,1,IF(AND(AQ554&gt;=1,AQ554&lt;=9,ROW()&lt;=cur_line),AQ554+1,0)),0)</f>
        <v>0</v>
      </c>
      <c r="AR555" s="313">
        <f>IFERROR(IF(INDEX([1]Pivot!$BF$1:$CG$65000,$B555,AR$5)=1,1,IF(AND(AR554&gt;=1,AR554&lt;=9,ROW()&lt;=cur_line),AR554+1,0)),0)</f>
        <v>0</v>
      </c>
      <c r="AS555" s="312"/>
      <c r="AT555" s="313">
        <f>IFERROR(IF(INDEX([1]Pivot!$BF$1:$CG$65000,$B555,AT$5)=1,1,IF(AND(AT554&gt;=1,AT554&lt;=9,ROW()&lt;=cur_line),AT554+1,0)),0)</f>
        <v>0</v>
      </c>
      <c r="AU555" s="313">
        <f>IFERROR(IF(INDEX([1]Pivot!$BF$1:$CG$65000,$B555,AU$5)=1,1,IF(AND(AU554&gt;=1,AU554&lt;=9,ROW()&lt;=cur_line),AU554+1,0)),0)</f>
        <v>0</v>
      </c>
      <c r="AV555" s="313">
        <f>IFERROR(IF(INDEX([1]Pivot!$BF$1:$CG$65000,$B555,AV$5)=1,1,IF(AND(AV554&gt;=1,AV554&lt;=9,ROW()&lt;=cur_line),AV554+1,0)),0)</f>
        <v>0</v>
      </c>
      <c r="AW555" s="313">
        <f>IFERROR(IF(INDEX([1]Pivot!$BF$1:$CG$65000,$B555,AW$5)=1,1,IF(AND(AW554&gt;=1,AW554&lt;=9,ROW()&lt;=cur_line),AW554+1,0)),0)</f>
        <v>0</v>
      </c>
      <c r="AX555" s="313">
        <f>IFERROR(IF(INDEX([1]Pivot!$BF$1:$CG$65000,$B555,AX$5)=1,1,IF(AND(AX554&gt;=1,AX554&lt;=9,ROW()&lt;=cur_line),AX554+1,0)),0)</f>
        <v>0</v>
      </c>
      <c r="AY555" s="313">
        <f>IFERROR(IF(INDEX([1]Pivot!$BF$1:$CG$65000,$B555,AY$5)=1,1,IF(AND(AY554&gt;=1,AY554&lt;=9,ROW()&lt;=cur_line),AY554+1,0)),0)</f>
        <v>0</v>
      </c>
      <c r="AZ555" s="313">
        <f>IFERROR(IF(INDEX([1]Pivot!$BF$1:$CG$65000,$B555,AZ$5)=1,1,IF(AND(AZ554&gt;=1,AZ554&lt;=9,ROW()&lt;=cur_line),AZ554+1,0)),0)</f>
        <v>0</v>
      </c>
      <c r="BA555" s="313">
        <f>IFERROR(IF(INDEX([1]Pivot!$BF$1:$CG$65000,$B555,BA$5)=1,1,IF(AND(BA554&gt;=1,BA554&lt;=9,ROW()&lt;=cur_line),BA554+1,0)),0)</f>
        <v>0</v>
      </c>
      <c r="BB555" s="313">
        <f>IFERROR(IF(INDEX([1]Pivot!$BF$1:$CG$65000,$B555,BB$5)=1,1,IF(AND(BB554&gt;=1,BB554&lt;=9,ROW()&lt;=cur_line),BB554+1,0)),0)</f>
        <v>0</v>
      </c>
      <c r="BC555" s="313">
        <f>IFERROR(IF(INDEX([1]Pivot!$BF$1:$CG$65000,$B555,BC$5)=1,1,IF(AND(BC554&gt;=1,BC554&lt;=9,ROW()&lt;=cur_line),BC554+1,0)),0)</f>
        <v>0</v>
      </c>
      <c r="BD555" s="313">
        <f>IFERROR(IF(INDEX([1]Pivot!$BF$1:$CG$65000,$B555,BD$5)=1,1,IF(AND(BD554&gt;=1,BD554&lt;=9,ROW()&lt;=cur_line),BD554+1,0)),0)</f>
        <v>0</v>
      </c>
    </row>
    <row r="556" spans="1:56" hidden="1" outlineLevel="1" x14ac:dyDescent="0.25">
      <c r="A556" s="288" t="str">
        <f>'[2]Raw Milk Prices'!A556</f>
        <v>2022m09</v>
      </c>
      <c r="B556" s="296" t="e">
        <f>MATCH(DATE(LEFT('[2]Raw Milk Prices'!$A556,4),RIGHT('[2]Raw Milk Prices'!$A556,2),1),[1]Pivot!$A$1:$A$65000,0)</f>
        <v>#N/A</v>
      </c>
      <c r="C556" s="194">
        <f>IFERROR(IF(INDEX([1]Pivot!$AD$1:$BE$65000,$B556,C$5)=1,1,IF(AND(C555&gt;=1,C555&lt;=9,ROW()&lt;=cur_line),C555+1,0)),0)</f>
        <v>0</v>
      </c>
      <c r="D556" s="194">
        <f>IFERROR(IF(INDEX([1]Pivot!$AD$1:$BE$65000,$B556,D$5)=1,1,IF(AND(D555&gt;=1,D555&lt;=9,ROW()&lt;=cur_line),D555+1,0)),0)</f>
        <v>0</v>
      </c>
      <c r="E556" s="194">
        <f>IFERROR(IF(INDEX([1]Pivot!$AD$1:$BE$65000,$B556,E$5)=1,1,IF(AND(E555&gt;=1,E555&lt;=9,ROW()&lt;=cur_line),E555+1,0)),0)</f>
        <v>0</v>
      </c>
      <c r="F556" s="194">
        <f>IFERROR(IF(INDEX([1]Pivot!$AD$1:$BE$65000,$B556,F$5)=1,1,IF(AND(F555&gt;=1,F555&lt;=9,ROW()&lt;=cur_line),F555+1,0)),0)</f>
        <v>0</v>
      </c>
      <c r="G556" s="194">
        <f>IFERROR(IF(INDEX([1]Pivot!$AD$1:$BE$65000,$B556,G$5)=1,1,IF(AND(G555&gt;=1,G555&lt;=9,ROW()&lt;=cur_line),G555+1,0)),0)</f>
        <v>0</v>
      </c>
      <c r="H556" s="194">
        <f>IFERROR(IF(INDEX([1]Pivot!$AD$1:$BE$65000,$B556,H$5)=1,1,IF(AND(H555&gt;=1,H555&lt;=9,ROW()&lt;=cur_line),H555+1,0)),0)</f>
        <v>0</v>
      </c>
      <c r="I556" s="194">
        <f>IFERROR(IF(INDEX([1]Pivot!$AD$1:$BE$65000,$B556,I$5)=1,1,IF(AND(I555&gt;=1,I555&lt;=9,ROW()&lt;=cur_line),I555+1,0)),0)</f>
        <v>0</v>
      </c>
      <c r="J556" s="194">
        <f>IFERROR(IF(INDEX([1]Pivot!$AD$1:$BE$65000,$B556,J$5)=1,1,IF(AND(J555&gt;=1,J555&lt;=9,ROW()&lt;=cur_line),J555+1,0)),0)</f>
        <v>0</v>
      </c>
      <c r="K556" s="194">
        <f>IFERROR(IF(INDEX([1]Pivot!$AD$1:$BE$65000,$B556,K$5)=1,1,IF(AND(K555&gt;=1,K555&lt;=9,ROW()&lt;=cur_line),K555+1,0)),0)</f>
        <v>0</v>
      </c>
      <c r="L556" s="194">
        <f>IFERROR(IF(INDEX([1]Pivot!$AD$1:$BE$65000,$B556,L$5)=1,1,IF(AND(L555&gt;=1,L555&lt;=9,ROW()&lt;=cur_line),L555+1,0)),0)</f>
        <v>0</v>
      </c>
      <c r="M556" s="194">
        <f>IFERROR(IF(INDEX([1]Pivot!$AD$1:$BE$65000,$B556,M$5)=1,1,IF(AND(M555&gt;=1,M555&lt;=9,ROW()&lt;=cur_line),M555+1,0)),0)</f>
        <v>0</v>
      </c>
      <c r="N556" s="194">
        <f>IFERROR(IF(INDEX([1]Pivot!$AD$1:$BE$65000,$B556,N$5)=1,1,IF(AND(N555&gt;=1,N555&lt;=9,ROW()&lt;=cur_line),N555+1,0)),0)</f>
        <v>0</v>
      </c>
      <c r="O556" s="194">
        <f>IFERROR(IF(INDEX([1]Pivot!$AD$1:$BE$65000,$B556,O$5)=1,1,IF(AND(O555&gt;=1,O555&lt;=9,ROW()&lt;=cur_line),O555+1,0)),0)</f>
        <v>0</v>
      </c>
      <c r="P556" s="194">
        <f>IFERROR(IF(INDEX([1]Pivot!$AD$1:$BE$65000,$B556,P$5)=1,1,IF(AND(P555&gt;=1,P555&lt;=9,ROW()&lt;=cur_line),P555+1,0)),0)</f>
        <v>0</v>
      </c>
      <c r="Q556" s="194">
        <f>IFERROR(IF(INDEX([1]Pivot!$AD$1:$BE$65000,$B556,Q$5)=1,1,IF(AND(Q555&gt;=1,Q555&lt;=9,ROW()&lt;=cur_line),Q555+1,0)),0)</f>
        <v>0</v>
      </c>
      <c r="R556" s="312"/>
      <c r="S556" s="194">
        <f>IFERROR(IF(INDEX([1]Pivot!$AD$1:$BE$65000,$B556,S$5)=1,1,IF(AND(S555&gt;=1,S555&lt;=9,ROW()&lt;=cur_line),S555+1,0)),0)</f>
        <v>0</v>
      </c>
      <c r="T556" s="194">
        <f>IFERROR(IF(INDEX([1]Pivot!$AD$1:$BE$65000,$B556,T$5)=1,1,IF(AND(T555&gt;=1,T555&lt;=9,ROW()&lt;=cur_line),T555+1,0)),0)</f>
        <v>0</v>
      </c>
      <c r="U556" s="194">
        <f>IFERROR(IF(INDEX([1]Pivot!$AD$1:$BE$65000,$B556,U$5)=1,1,IF(AND(U555&gt;=1,U555&lt;=9,ROW()&lt;=cur_line),U555+1,0)),0)</f>
        <v>0</v>
      </c>
      <c r="V556" s="194">
        <f>IFERROR(IF(INDEX([1]Pivot!$AD$1:$BE$65000,$B556,V$5)=1,1,IF(AND(V555&gt;=1,V555&lt;=9,ROW()&lt;=cur_line),V555+1,0)),0)</f>
        <v>0</v>
      </c>
      <c r="W556" s="194">
        <f>IFERROR(IF(INDEX([1]Pivot!$AD$1:$BE$65000,$B556,W$5)=1,1,IF(AND(W555&gt;=1,W555&lt;=9,ROW()&lt;=cur_line),W555+1,0)),0)</f>
        <v>0</v>
      </c>
      <c r="X556" s="194">
        <f>IFERROR(IF(INDEX([1]Pivot!$AD$1:$BE$65000,$B556,X$5)=1,1,IF(AND(X555&gt;=1,X555&lt;=9,ROW()&lt;=cur_line),X555+1,0)),0)</f>
        <v>0</v>
      </c>
      <c r="Y556" s="194">
        <f>IFERROR(IF(INDEX([1]Pivot!$AD$1:$BE$65000,$B556,Y$5)=1,1,IF(AND(Y555&gt;=1,Y555&lt;=9,ROW()&lt;=cur_line),Y555+1,0)),0)</f>
        <v>0</v>
      </c>
      <c r="Z556" s="194">
        <f>IFERROR(IF(INDEX([1]Pivot!$AD$1:$BE$65000,$B556,Z$5)=1,1,IF(AND(Z555&gt;=1,Z555&lt;=9,ROW()&lt;=cur_line),Z555+1,0)),0)</f>
        <v>0</v>
      </c>
      <c r="AA556" s="194">
        <f>IFERROR(IF(INDEX([1]Pivot!$AD$1:$BE$65000,$B556,AA$5)=1,1,IF(AND(AA555&gt;=1,AA555&lt;=9,ROW()&lt;=cur_line),AA555+1,0)),0)</f>
        <v>0</v>
      </c>
      <c r="AB556" s="194">
        <f>IFERROR(IF(INDEX([1]Pivot!$AD$1:$BE$65000,$B556,AB$5)=1,1,IF(AND(AB555&gt;=1,AB555&lt;=9,ROW()&lt;=cur_line),AB555+1,0)),0)</f>
        <v>0</v>
      </c>
      <c r="AC556" s="194">
        <f>IFERROR(IF(INDEX([1]Pivot!$AD$1:$BE$65000,$B556,AC$5)=1,1,IF(AND(AC555&gt;=1,AC555&lt;=9,ROW()&lt;=cur_line),AC555+1,0)),0)</f>
        <v>0</v>
      </c>
      <c r="AD556" s="313">
        <f>IFERROR(IF(INDEX([1]Pivot!$BF$1:$CG$65000,$B556,AD$5)=1,1,IF(AND(AD555&gt;=1,AD555&lt;=9,ROW()&lt;=cur_line),AD555+1,0)),0)</f>
        <v>0</v>
      </c>
      <c r="AE556" s="313">
        <f>IFERROR(IF(INDEX([1]Pivot!$BF$1:$CG$65000,$B556,AE$5)=1,1,IF(AND(AE555&gt;=1,AE555&lt;=9,ROW()&lt;=cur_line),AE555+1,0)),0)</f>
        <v>0</v>
      </c>
      <c r="AF556" s="313">
        <f>IFERROR(IF(INDEX([1]Pivot!$BF$1:$CG$65000,$B556,AF$5)=1,1,IF(AND(AF555&gt;=1,AF555&lt;=9,ROW()&lt;=cur_line),AF555+1,0)),0)</f>
        <v>0</v>
      </c>
      <c r="AG556" s="313">
        <f>IFERROR(IF(INDEX([1]Pivot!$BF$1:$CG$65000,$B556,AG$5)=1,1,IF(AND(AG555&gt;=1,AG555&lt;=9,ROW()&lt;=cur_line),AG555+1,0)),0)</f>
        <v>0</v>
      </c>
      <c r="AH556" s="313">
        <f>IFERROR(IF(INDEX([1]Pivot!$BF$1:$CG$65000,$B556,AH$5)=1,1,IF(AND(AH555&gt;=1,AH555&lt;=9,ROW()&lt;=cur_line),AH555+1,0)),0)</f>
        <v>0</v>
      </c>
      <c r="AI556" s="313">
        <f>IFERROR(IF(INDEX([1]Pivot!$BF$1:$CG$65000,$B556,AI$5)=1,1,IF(AND(AI555&gt;=1,AI555&lt;=9,ROW()&lt;=cur_line),AI555+1,0)),0)</f>
        <v>0</v>
      </c>
      <c r="AJ556" s="313">
        <f>IFERROR(IF(INDEX([1]Pivot!$BF$1:$CG$65000,$B556,AJ$5)=1,1,IF(AND(AJ555&gt;=1,AJ555&lt;=9,ROW()&lt;=cur_line),AJ555+1,0)),0)</f>
        <v>0</v>
      </c>
      <c r="AK556" s="313">
        <f>IFERROR(IF(INDEX([1]Pivot!$BF$1:$CG$65000,$B556,AK$5)=1,1,IF(AND(AK555&gt;=1,AK555&lt;=9,ROW()&lt;=cur_line),AK555+1,0)),0)</f>
        <v>0</v>
      </c>
      <c r="AL556" s="313">
        <f>IFERROR(IF(INDEX([1]Pivot!$BF$1:$CG$65000,$B556,AL$5)=1,1,IF(AND(AL555&gt;=1,AL555&lt;=9,ROW()&lt;=cur_line),AL555+1,0)),0)</f>
        <v>0</v>
      </c>
      <c r="AM556" s="313">
        <f>IFERROR(IF(INDEX([1]Pivot!$BF$1:$CG$65000,$B556,AM$5)=1,1,IF(AND(AM555&gt;=1,AM555&lt;=9,ROW()&lt;=cur_line),AM555+1,0)),0)</f>
        <v>0</v>
      </c>
      <c r="AN556" s="313">
        <f>IFERROR(IF(INDEX([1]Pivot!$BF$1:$CG$65000,$B556,AN$5)=1,1,IF(AND(AN555&gt;=1,AN555&lt;=9,ROW()&lt;=cur_line),AN555+1,0)),0)</f>
        <v>0</v>
      </c>
      <c r="AO556" s="313">
        <f>IFERROR(IF(INDEX([1]Pivot!$BF$1:$CG$65000,$B556,AO$5)=1,1,IF(AND(AO555&gt;=1,AO555&lt;=9,ROW()&lt;=cur_line),AO555+1,0)),0)</f>
        <v>0</v>
      </c>
      <c r="AP556" s="313">
        <f>IFERROR(IF(INDEX([1]Pivot!$BF$1:$CG$65000,$B556,AP$5)=1,1,IF(AND(AP555&gt;=1,AP555&lt;=9,ROW()&lt;=cur_line),AP555+1,0)),0)</f>
        <v>0</v>
      </c>
      <c r="AQ556" s="313">
        <f>IFERROR(IF(INDEX([1]Pivot!$BF$1:$CG$65000,$B556,AQ$5)=1,1,IF(AND(AQ555&gt;=1,AQ555&lt;=9,ROW()&lt;=cur_line),AQ555+1,0)),0)</f>
        <v>0</v>
      </c>
      <c r="AR556" s="313">
        <f>IFERROR(IF(INDEX([1]Pivot!$BF$1:$CG$65000,$B556,AR$5)=1,1,IF(AND(AR555&gt;=1,AR555&lt;=9,ROW()&lt;=cur_line),AR555+1,0)),0)</f>
        <v>0</v>
      </c>
      <c r="AS556" s="312"/>
      <c r="AT556" s="313">
        <f>IFERROR(IF(INDEX([1]Pivot!$BF$1:$CG$65000,$B556,AT$5)=1,1,IF(AND(AT555&gt;=1,AT555&lt;=9,ROW()&lt;=cur_line),AT555+1,0)),0)</f>
        <v>0</v>
      </c>
      <c r="AU556" s="313">
        <f>IFERROR(IF(INDEX([1]Pivot!$BF$1:$CG$65000,$B556,AU$5)=1,1,IF(AND(AU555&gt;=1,AU555&lt;=9,ROW()&lt;=cur_line),AU555+1,0)),0)</f>
        <v>0</v>
      </c>
      <c r="AV556" s="313">
        <f>IFERROR(IF(INDEX([1]Pivot!$BF$1:$CG$65000,$B556,AV$5)=1,1,IF(AND(AV555&gt;=1,AV555&lt;=9,ROW()&lt;=cur_line),AV555+1,0)),0)</f>
        <v>0</v>
      </c>
      <c r="AW556" s="313">
        <f>IFERROR(IF(INDEX([1]Pivot!$BF$1:$CG$65000,$B556,AW$5)=1,1,IF(AND(AW555&gt;=1,AW555&lt;=9,ROW()&lt;=cur_line),AW555+1,0)),0)</f>
        <v>0</v>
      </c>
      <c r="AX556" s="313">
        <f>IFERROR(IF(INDEX([1]Pivot!$BF$1:$CG$65000,$B556,AX$5)=1,1,IF(AND(AX555&gt;=1,AX555&lt;=9,ROW()&lt;=cur_line),AX555+1,0)),0)</f>
        <v>0</v>
      </c>
      <c r="AY556" s="313">
        <f>IFERROR(IF(INDEX([1]Pivot!$BF$1:$CG$65000,$B556,AY$5)=1,1,IF(AND(AY555&gt;=1,AY555&lt;=9,ROW()&lt;=cur_line),AY555+1,0)),0)</f>
        <v>0</v>
      </c>
      <c r="AZ556" s="313">
        <f>IFERROR(IF(INDEX([1]Pivot!$BF$1:$CG$65000,$B556,AZ$5)=1,1,IF(AND(AZ555&gt;=1,AZ555&lt;=9,ROW()&lt;=cur_line),AZ555+1,0)),0)</f>
        <v>0</v>
      </c>
      <c r="BA556" s="313">
        <f>IFERROR(IF(INDEX([1]Pivot!$BF$1:$CG$65000,$B556,BA$5)=1,1,IF(AND(BA555&gt;=1,BA555&lt;=9,ROW()&lt;=cur_line),BA555+1,0)),0)</f>
        <v>0</v>
      </c>
      <c r="BB556" s="313">
        <f>IFERROR(IF(INDEX([1]Pivot!$BF$1:$CG$65000,$B556,BB$5)=1,1,IF(AND(BB555&gt;=1,BB555&lt;=9,ROW()&lt;=cur_line),BB555+1,0)),0)</f>
        <v>0</v>
      </c>
      <c r="BC556" s="313">
        <f>IFERROR(IF(INDEX([1]Pivot!$BF$1:$CG$65000,$B556,BC$5)=1,1,IF(AND(BC555&gt;=1,BC555&lt;=9,ROW()&lt;=cur_line),BC555+1,0)),0)</f>
        <v>0</v>
      </c>
      <c r="BD556" s="313">
        <f>IFERROR(IF(INDEX([1]Pivot!$BF$1:$CG$65000,$B556,BD$5)=1,1,IF(AND(BD555&gt;=1,BD555&lt;=9,ROW()&lt;=cur_line),BD555+1,0)),0)</f>
        <v>0</v>
      </c>
    </row>
    <row r="557" spans="1:56" hidden="1" outlineLevel="1" x14ac:dyDescent="0.25">
      <c r="A557" s="288" t="str">
        <f>'[2]Raw Milk Prices'!A557</f>
        <v>2022m10</v>
      </c>
      <c r="B557" s="296" t="e">
        <f>MATCH(DATE(LEFT('[2]Raw Milk Prices'!$A557,4),RIGHT('[2]Raw Milk Prices'!$A557,2),1),[1]Pivot!$A$1:$A$65000,0)</f>
        <v>#N/A</v>
      </c>
      <c r="C557" s="194">
        <f>IFERROR(IF(INDEX([1]Pivot!$AD$1:$BE$65000,$B557,C$5)=1,1,IF(AND(C556&gt;=1,C556&lt;=9,ROW()&lt;=cur_line),C556+1,0)),0)</f>
        <v>0</v>
      </c>
      <c r="D557" s="194">
        <f>IFERROR(IF(INDEX([1]Pivot!$AD$1:$BE$65000,$B557,D$5)=1,1,IF(AND(D556&gt;=1,D556&lt;=9,ROW()&lt;=cur_line),D556+1,0)),0)</f>
        <v>0</v>
      </c>
      <c r="E557" s="194">
        <f>IFERROR(IF(INDEX([1]Pivot!$AD$1:$BE$65000,$B557,E$5)=1,1,IF(AND(E556&gt;=1,E556&lt;=9,ROW()&lt;=cur_line),E556+1,0)),0)</f>
        <v>0</v>
      </c>
      <c r="F557" s="194">
        <f>IFERROR(IF(INDEX([1]Pivot!$AD$1:$BE$65000,$B557,F$5)=1,1,IF(AND(F556&gt;=1,F556&lt;=9,ROW()&lt;=cur_line),F556+1,0)),0)</f>
        <v>0</v>
      </c>
      <c r="G557" s="194">
        <f>IFERROR(IF(INDEX([1]Pivot!$AD$1:$BE$65000,$B557,G$5)=1,1,IF(AND(G556&gt;=1,G556&lt;=9,ROW()&lt;=cur_line),G556+1,0)),0)</f>
        <v>0</v>
      </c>
      <c r="H557" s="194">
        <f>IFERROR(IF(INDEX([1]Pivot!$AD$1:$BE$65000,$B557,H$5)=1,1,IF(AND(H556&gt;=1,H556&lt;=9,ROW()&lt;=cur_line),H556+1,0)),0)</f>
        <v>0</v>
      </c>
      <c r="I557" s="194">
        <f>IFERROR(IF(INDEX([1]Pivot!$AD$1:$BE$65000,$B557,I$5)=1,1,IF(AND(I556&gt;=1,I556&lt;=9,ROW()&lt;=cur_line),I556+1,0)),0)</f>
        <v>0</v>
      </c>
      <c r="J557" s="194">
        <f>IFERROR(IF(INDEX([1]Pivot!$AD$1:$BE$65000,$B557,J$5)=1,1,IF(AND(J556&gt;=1,J556&lt;=9,ROW()&lt;=cur_line),J556+1,0)),0)</f>
        <v>0</v>
      </c>
      <c r="K557" s="194">
        <f>IFERROR(IF(INDEX([1]Pivot!$AD$1:$BE$65000,$B557,K$5)=1,1,IF(AND(K556&gt;=1,K556&lt;=9,ROW()&lt;=cur_line),K556+1,0)),0)</f>
        <v>0</v>
      </c>
      <c r="L557" s="194">
        <f>IFERROR(IF(INDEX([1]Pivot!$AD$1:$BE$65000,$B557,L$5)=1,1,IF(AND(L556&gt;=1,L556&lt;=9,ROW()&lt;=cur_line),L556+1,0)),0)</f>
        <v>0</v>
      </c>
      <c r="M557" s="194">
        <f>IFERROR(IF(INDEX([1]Pivot!$AD$1:$BE$65000,$B557,M$5)=1,1,IF(AND(M556&gt;=1,M556&lt;=9,ROW()&lt;=cur_line),M556+1,0)),0)</f>
        <v>0</v>
      </c>
      <c r="N557" s="194">
        <f>IFERROR(IF(INDEX([1]Pivot!$AD$1:$BE$65000,$B557,N$5)=1,1,IF(AND(N556&gt;=1,N556&lt;=9,ROW()&lt;=cur_line),N556+1,0)),0)</f>
        <v>0</v>
      </c>
      <c r="O557" s="194">
        <f>IFERROR(IF(INDEX([1]Pivot!$AD$1:$BE$65000,$B557,O$5)=1,1,IF(AND(O556&gt;=1,O556&lt;=9,ROW()&lt;=cur_line),O556+1,0)),0)</f>
        <v>0</v>
      </c>
      <c r="P557" s="194">
        <f>IFERROR(IF(INDEX([1]Pivot!$AD$1:$BE$65000,$B557,P$5)=1,1,IF(AND(P556&gt;=1,P556&lt;=9,ROW()&lt;=cur_line),P556+1,0)),0)</f>
        <v>0</v>
      </c>
      <c r="Q557" s="194">
        <f>IFERROR(IF(INDEX([1]Pivot!$AD$1:$BE$65000,$B557,Q$5)=1,1,IF(AND(Q556&gt;=1,Q556&lt;=9,ROW()&lt;=cur_line),Q556+1,0)),0)</f>
        <v>0</v>
      </c>
      <c r="R557" s="312"/>
      <c r="S557" s="194">
        <f>IFERROR(IF(INDEX([1]Pivot!$AD$1:$BE$65000,$B557,S$5)=1,1,IF(AND(S556&gt;=1,S556&lt;=9,ROW()&lt;=cur_line),S556+1,0)),0)</f>
        <v>0</v>
      </c>
      <c r="T557" s="194">
        <f>IFERROR(IF(INDEX([1]Pivot!$AD$1:$BE$65000,$B557,T$5)=1,1,IF(AND(T556&gt;=1,T556&lt;=9,ROW()&lt;=cur_line),T556+1,0)),0)</f>
        <v>0</v>
      </c>
      <c r="U557" s="194">
        <f>IFERROR(IF(INDEX([1]Pivot!$AD$1:$BE$65000,$B557,U$5)=1,1,IF(AND(U556&gt;=1,U556&lt;=9,ROW()&lt;=cur_line),U556+1,0)),0)</f>
        <v>0</v>
      </c>
      <c r="V557" s="194">
        <f>IFERROR(IF(INDEX([1]Pivot!$AD$1:$BE$65000,$B557,V$5)=1,1,IF(AND(V556&gt;=1,V556&lt;=9,ROW()&lt;=cur_line),V556+1,0)),0)</f>
        <v>0</v>
      </c>
      <c r="W557" s="194">
        <f>IFERROR(IF(INDEX([1]Pivot!$AD$1:$BE$65000,$B557,W$5)=1,1,IF(AND(W556&gt;=1,W556&lt;=9,ROW()&lt;=cur_line),W556+1,0)),0)</f>
        <v>0</v>
      </c>
      <c r="X557" s="194">
        <f>IFERROR(IF(INDEX([1]Pivot!$AD$1:$BE$65000,$B557,X$5)=1,1,IF(AND(X556&gt;=1,X556&lt;=9,ROW()&lt;=cur_line),X556+1,0)),0)</f>
        <v>0</v>
      </c>
      <c r="Y557" s="194">
        <f>IFERROR(IF(INDEX([1]Pivot!$AD$1:$BE$65000,$B557,Y$5)=1,1,IF(AND(Y556&gt;=1,Y556&lt;=9,ROW()&lt;=cur_line),Y556+1,0)),0)</f>
        <v>0</v>
      </c>
      <c r="Z557" s="194">
        <f>IFERROR(IF(INDEX([1]Pivot!$AD$1:$BE$65000,$B557,Z$5)=1,1,IF(AND(Z556&gt;=1,Z556&lt;=9,ROW()&lt;=cur_line),Z556+1,0)),0)</f>
        <v>0</v>
      </c>
      <c r="AA557" s="194">
        <f>IFERROR(IF(INDEX([1]Pivot!$AD$1:$BE$65000,$B557,AA$5)=1,1,IF(AND(AA556&gt;=1,AA556&lt;=9,ROW()&lt;=cur_line),AA556+1,0)),0)</f>
        <v>0</v>
      </c>
      <c r="AB557" s="194">
        <f>IFERROR(IF(INDEX([1]Pivot!$AD$1:$BE$65000,$B557,AB$5)=1,1,IF(AND(AB556&gt;=1,AB556&lt;=9,ROW()&lt;=cur_line),AB556+1,0)),0)</f>
        <v>0</v>
      </c>
      <c r="AC557" s="194">
        <f>IFERROR(IF(INDEX([1]Pivot!$AD$1:$BE$65000,$B557,AC$5)=1,1,IF(AND(AC556&gt;=1,AC556&lt;=9,ROW()&lt;=cur_line),AC556+1,0)),0)</f>
        <v>0</v>
      </c>
      <c r="AD557" s="313">
        <f>IFERROR(IF(INDEX([1]Pivot!$BF$1:$CG$65000,$B557,AD$5)=1,1,IF(AND(AD556&gt;=1,AD556&lt;=9,ROW()&lt;=cur_line),AD556+1,0)),0)</f>
        <v>0</v>
      </c>
      <c r="AE557" s="313">
        <f>IFERROR(IF(INDEX([1]Pivot!$BF$1:$CG$65000,$B557,AE$5)=1,1,IF(AND(AE556&gt;=1,AE556&lt;=9,ROW()&lt;=cur_line),AE556+1,0)),0)</f>
        <v>0</v>
      </c>
      <c r="AF557" s="313">
        <f>IFERROR(IF(INDEX([1]Pivot!$BF$1:$CG$65000,$B557,AF$5)=1,1,IF(AND(AF556&gt;=1,AF556&lt;=9,ROW()&lt;=cur_line),AF556+1,0)),0)</f>
        <v>0</v>
      </c>
      <c r="AG557" s="313">
        <f>IFERROR(IF(INDEX([1]Pivot!$BF$1:$CG$65000,$B557,AG$5)=1,1,IF(AND(AG556&gt;=1,AG556&lt;=9,ROW()&lt;=cur_line),AG556+1,0)),0)</f>
        <v>0</v>
      </c>
      <c r="AH557" s="313">
        <f>IFERROR(IF(INDEX([1]Pivot!$BF$1:$CG$65000,$B557,AH$5)=1,1,IF(AND(AH556&gt;=1,AH556&lt;=9,ROW()&lt;=cur_line),AH556+1,0)),0)</f>
        <v>0</v>
      </c>
      <c r="AI557" s="313">
        <f>IFERROR(IF(INDEX([1]Pivot!$BF$1:$CG$65000,$B557,AI$5)=1,1,IF(AND(AI556&gt;=1,AI556&lt;=9,ROW()&lt;=cur_line),AI556+1,0)),0)</f>
        <v>0</v>
      </c>
      <c r="AJ557" s="313">
        <f>IFERROR(IF(INDEX([1]Pivot!$BF$1:$CG$65000,$B557,AJ$5)=1,1,IF(AND(AJ556&gt;=1,AJ556&lt;=9,ROW()&lt;=cur_line),AJ556+1,0)),0)</f>
        <v>0</v>
      </c>
      <c r="AK557" s="313">
        <f>IFERROR(IF(INDEX([1]Pivot!$BF$1:$CG$65000,$B557,AK$5)=1,1,IF(AND(AK556&gt;=1,AK556&lt;=9,ROW()&lt;=cur_line),AK556+1,0)),0)</f>
        <v>0</v>
      </c>
      <c r="AL557" s="313">
        <f>IFERROR(IF(INDEX([1]Pivot!$BF$1:$CG$65000,$B557,AL$5)=1,1,IF(AND(AL556&gt;=1,AL556&lt;=9,ROW()&lt;=cur_line),AL556+1,0)),0)</f>
        <v>0</v>
      </c>
      <c r="AM557" s="313">
        <f>IFERROR(IF(INDEX([1]Pivot!$BF$1:$CG$65000,$B557,AM$5)=1,1,IF(AND(AM556&gt;=1,AM556&lt;=9,ROW()&lt;=cur_line),AM556+1,0)),0)</f>
        <v>0</v>
      </c>
      <c r="AN557" s="313">
        <f>IFERROR(IF(INDEX([1]Pivot!$BF$1:$CG$65000,$B557,AN$5)=1,1,IF(AND(AN556&gt;=1,AN556&lt;=9,ROW()&lt;=cur_line),AN556+1,0)),0)</f>
        <v>0</v>
      </c>
      <c r="AO557" s="313">
        <f>IFERROR(IF(INDEX([1]Pivot!$BF$1:$CG$65000,$B557,AO$5)=1,1,IF(AND(AO556&gt;=1,AO556&lt;=9,ROW()&lt;=cur_line),AO556+1,0)),0)</f>
        <v>0</v>
      </c>
      <c r="AP557" s="313">
        <f>IFERROR(IF(INDEX([1]Pivot!$BF$1:$CG$65000,$B557,AP$5)=1,1,IF(AND(AP556&gt;=1,AP556&lt;=9,ROW()&lt;=cur_line),AP556+1,0)),0)</f>
        <v>0</v>
      </c>
      <c r="AQ557" s="313">
        <f>IFERROR(IF(INDEX([1]Pivot!$BF$1:$CG$65000,$B557,AQ$5)=1,1,IF(AND(AQ556&gt;=1,AQ556&lt;=9,ROW()&lt;=cur_line),AQ556+1,0)),0)</f>
        <v>0</v>
      </c>
      <c r="AR557" s="313">
        <f>IFERROR(IF(INDEX([1]Pivot!$BF$1:$CG$65000,$B557,AR$5)=1,1,IF(AND(AR556&gt;=1,AR556&lt;=9,ROW()&lt;=cur_line),AR556+1,0)),0)</f>
        <v>0</v>
      </c>
      <c r="AS557" s="312"/>
      <c r="AT557" s="313">
        <f>IFERROR(IF(INDEX([1]Pivot!$BF$1:$CG$65000,$B557,AT$5)=1,1,IF(AND(AT556&gt;=1,AT556&lt;=9,ROW()&lt;=cur_line),AT556+1,0)),0)</f>
        <v>0</v>
      </c>
      <c r="AU557" s="313">
        <f>IFERROR(IF(INDEX([1]Pivot!$BF$1:$CG$65000,$B557,AU$5)=1,1,IF(AND(AU556&gt;=1,AU556&lt;=9,ROW()&lt;=cur_line),AU556+1,0)),0)</f>
        <v>0</v>
      </c>
      <c r="AV557" s="313">
        <f>IFERROR(IF(INDEX([1]Pivot!$BF$1:$CG$65000,$B557,AV$5)=1,1,IF(AND(AV556&gt;=1,AV556&lt;=9,ROW()&lt;=cur_line),AV556+1,0)),0)</f>
        <v>0</v>
      </c>
      <c r="AW557" s="313">
        <f>IFERROR(IF(INDEX([1]Pivot!$BF$1:$CG$65000,$B557,AW$5)=1,1,IF(AND(AW556&gt;=1,AW556&lt;=9,ROW()&lt;=cur_line),AW556+1,0)),0)</f>
        <v>0</v>
      </c>
      <c r="AX557" s="313">
        <f>IFERROR(IF(INDEX([1]Pivot!$BF$1:$CG$65000,$B557,AX$5)=1,1,IF(AND(AX556&gt;=1,AX556&lt;=9,ROW()&lt;=cur_line),AX556+1,0)),0)</f>
        <v>0</v>
      </c>
      <c r="AY557" s="313">
        <f>IFERROR(IF(INDEX([1]Pivot!$BF$1:$CG$65000,$B557,AY$5)=1,1,IF(AND(AY556&gt;=1,AY556&lt;=9,ROW()&lt;=cur_line),AY556+1,0)),0)</f>
        <v>0</v>
      </c>
      <c r="AZ557" s="313">
        <f>IFERROR(IF(INDEX([1]Pivot!$BF$1:$CG$65000,$B557,AZ$5)=1,1,IF(AND(AZ556&gt;=1,AZ556&lt;=9,ROW()&lt;=cur_line),AZ556+1,0)),0)</f>
        <v>0</v>
      </c>
      <c r="BA557" s="313">
        <f>IFERROR(IF(INDEX([1]Pivot!$BF$1:$CG$65000,$B557,BA$5)=1,1,IF(AND(BA556&gt;=1,BA556&lt;=9,ROW()&lt;=cur_line),BA556+1,0)),0)</f>
        <v>0</v>
      </c>
      <c r="BB557" s="313">
        <f>IFERROR(IF(INDEX([1]Pivot!$BF$1:$CG$65000,$B557,BB$5)=1,1,IF(AND(BB556&gt;=1,BB556&lt;=9,ROW()&lt;=cur_line),BB556+1,0)),0)</f>
        <v>0</v>
      </c>
      <c r="BC557" s="313">
        <f>IFERROR(IF(INDEX([1]Pivot!$BF$1:$CG$65000,$B557,BC$5)=1,1,IF(AND(BC556&gt;=1,BC556&lt;=9,ROW()&lt;=cur_line),BC556+1,0)),0)</f>
        <v>0</v>
      </c>
      <c r="BD557" s="313">
        <f>IFERROR(IF(INDEX([1]Pivot!$BF$1:$CG$65000,$B557,BD$5)=1,1,IF(AND(BD556&gt;=1,BD556&lt;=9,ROW()&lt;=cur_line),BD556+1,0)),0)</f>
        <v>0</v>
      </c>
    </row>
    <row r="558" spans="1:56" hidden="1" outlineLevel="1" x14ac:dyDescent="0.25">
      <c r="A558" s="288" t="str">
        <f>'[2]Raw Milk Prices'!A558</f>
        <v>2022m11</v>
      </c>
      <c r="B558" s="296" t="e">
        <f>MATCH(DATE(LEFT('[2]Raw Milk Prices'!$A558,4),RIGHT('[2]Raw Milk Prices'!$A558,2),1),[1]Pivot!$A$1:$A$65000,0)</f>
        <v>#N/A</v>
      </c>
      <c r="C558" s="194">
        <f>IFERROR(IF(INDEX([1]Pivot!$AD$1:$BE$65000,$B558,C$5)=1,1,IF(AND(C557&gt;=1,C557&lt;=9,ROW()&lt;=cur_line),C557+1,0)),0)</f>
        <v>0</v>
      </c>
      <c r="D558" s="194">
        <f>IFERROR(IF(INDEX([1]Pivot!$AD$1:$BE$65000,$B558,D$5)=1,1,IF(AND(D557&gt;=1,D557&lt;=9,ROW()&lt;=cur_line),D557+1,0)),0)</f>
        <v>0</v>
      </c>
      <c r="E558" s="194">
        <f>IFERROR(IF(INDEX([1]Pivot!$AD$1:$BE$65000,$B558,E$5)=1,1,IF(AND(E557&gt;=1,E557&lt;=9,ROW()&lt;=cur_line),E557+1,0)),0)</f>
        <v>0</v>
      </c>
      <c r="F558" s="194">
        <f>IFERROR(IF(INDEX([1]Pivot!$AD$1:$BE$65000,$B558,F$5)=1,1,IF(AND(F557&gt;=1,F557&lt;=9,ROW()&lt;=cur_line),F557+1,0)),0)</f>
        <v>0</v>
      </c>
      <c r="G558" s="194">
        <f>IFERROR(IF(INDEX([1]Pivot!$AD$1:$BE$65000,$B558,G$5)=1,1,IF(AND(G557&gt;=1,G557&lt;=9,ROW()&lt;=cur_line),G557+1,0)),0)</f>
        <v>0</v>
      </c>
      <c r="H558" s="194">
        <f>IFERROR(IF(INDEX([1]Pivot!$AD$1:$BE$65000,$B558,H$5)=1,1,IF(AND(H557&gt;=1,H557&lt;=9,ROW()&lt;=cur_line),H557+1,0)),0)</f>
        <v>0</v>
      </c>
      <c r="I558" s="194">
        <f>IFERROR(IF(INDEX([1]Pivot!$AD$1:$BE$65000,$B558,I$5)=1,1,IF(AND(I557&gt;=1,I557&lt;=9,ROW()&lt;=cur_line),I557+1,0)),0)</f>
        <v>0</v>
      </c>
      <c r="J558" s="194">
        <f>IFERROR(IF(INDEX([1]Pivot!$AD$1:$BE$65000,$B558,J$5)=1,1,IF(AND(J557&gt;=1,J557&lt;=9,ROW()&lt;=cur_line),J557+1,0)),0)</f>
        <v>0</v>
      </c>
      <c r="K558" s="194">
        <f>IFERROR(IF(INDEX([1]Pivot!$AD$1:$BE$65000,$B558,K$5)=1,1,IF(AND(K557&gt;=1,K557&lt;=9,ROW()&lt;=cur_line),K557+1,0)),0)</f>
        <v>0</v>
      </c>
      <c r="L558" s="194">
        <f>IFERROR(IF(INDEX([1]Pivot!$AD$1:$BE$65000,$B558,L$5)=1,1,IF(AND(L557&gt;=1,L557&lt;=9,ROW()&lt;=cur_line),L557+1,0)),0)</f>
        <v>0</v>
      </c>
      <c r="M558" s="194"/>
      <c r="N558" s="194">
        <f>IFERROR(IF(INDEX([1]Pivot!$AD$1:$BE$65000,$B558,N$5)=1,1,IF(AND(N557&gt;=1,N557&lt;=9,ROW()&lt;=cur_line),N557+1,0)),0)</f>
        <v>0</v>
      </c>
      <c r="O558" s="194">
        <f>IFERROR(IF(INDEX([1]Pivot!$AD$1:$BE$65000,$B558,O$5)=1,1,IF(AND(O557&gt;=1,O557&lt;=9,ROW()&lt;=cur_line),O557+1,0)),0)</f>
        <v>0</v>
      </c>
      <c r="P558" s="194">
        <f>IFERROR(IF(INDEX([1]Pivot!$AD$1:$BE$65000,$B558,P$5)=1,1,IF(AND(P557&gt;=1,P557&lt;=9,ROW()&lt;=cur_line),P557+1,0)),0)</f>
        <v>0</v>
      </c>
      <c r="Q558" s="194">
        <f>IFERROR(IF(INDEX([1]Pivot!$AD$1:$BE$65000,$B558,Q$5)=1,1,IF(AND(Q557&gt;=1,Q557&lt;=9,ROW()&lt;=cur_line),Q557+1,0)),0)</f>
        <v>0</v>
      </c>
      <c r="R558" s="312"/>
      <c r="S558" s="194">
        <f>IFERROR(IF(INDEX([1]Pivot!$AD$1:$BE$65000,$B558,S$5)=1,1,IF(AND(S557&gt;=1,S557&lt;=9,ROW()&lt;=cur_line),S557+1,0)),0)</f>
        <v>0</v>
      </c>
      <c r="T558" s="194">
        <f>IFERROR(IF(INDEX([1]Pivot!$AD$1:$BE$65000,$B558,T$5)=1,1,IF(AND(T557&gt;=1,T557&lt;=9,ROW()&lt;=cur_line),T557+1,0)),0)</f>
        <v>0</v>
      </c>
      <c r="U558" s="194">
        <f>IFERROR(IF(INDEX([1]Pivot!$AD$1:$BE$65000,$B558,U$5)=1,1,IF(AND(U557&gt;=1,U557&lt;=9,ROW()&lt;=cur_line),U557+1,0)),0)</f>
        <v>0</v>
      </c>
      <c r="V558" s="194">
        <f>IFERROR(IF(INDEX([1]Pivot!$AD$1:$BE$65000,$B558,V$5)=1,1,IF(AND(V557&gt;=1,V557&lt;=9,ROW()&lt;=cur_line),V557+1,0)),0)</f>
        <v>0</v>
      </c>
      <c r="W558" s="194">
        <f>IFERROR(IF(INDEX([1]Pivot!$AD$1:$BE$65000,$B558,W$5)=1,1,IF(AND(W557&gt;=1,W557&lt;=9,ROW()&lt;=cur_line),W557+1,0)),0)</f>
        <v>0</v>
      </c>
      <c r="X558" s="194">
        <f>IFERROR(IF(INDEX([1]Pivot!$AD$1:$BE$65000,$B558,X$5)=1,1,IF(AND(X557&gt;=1,X557&lt;=9,ROW()&lt;=cur_line),X557+1,0)),0)</f>
        <v>0</v>
      </c>
      <c r="Y558" s="194">
        <f>IFERROR(IF(INDEX([1]Pivot!$AD$1:$BE$65000,$B558,Y$5)=1,1,IF(AND(Y557&gt;=1,Y557&lt;=9,ROW()&lt;=cur_line),Y557+1,0)),0)</f>
        <v>0</v>
      </c>
      <c r="Z558" s="194">
        <f>IFERROR(IF(INDEX([1]Pivot!$AD$1:$BE$65000,$B558,Z$5)=1,1,IF(AND(Z557&gt;=1,Z557&lt;=9,ROW()&lt;=cur_line),Z557+1,0)),0)</f>
        <v>0</v>
      </c>
      <c r="AA558" s="194">
        <f>IFERROR(IF(INDEX([1]Pivot!$AD$1:$BE$65000,$B558,AA$5)=1,1,IF(AND(AA557&gt;=1,AA557&lt;=9,ROW()&lt;=cur_line),AA557+1,0)),0)</f>
        <v>0</v>
      </c>
      <c r="AB558" s="194">
        <f>IFERROR(IF(INDEX([1]Pivot!$AD$1:$BE$65000,$B558,AB$5)=1,1,IF(AND(AB557&gt;=1,AB557&lt;=9,ROW()&lt;=cur_line),AB557+1,0)),0)</f>
        <v>0</v>
      </c>
      <c r="AC558" s="194">
        <f>IFERROR(IF(INDEX([1]Pivot!$AD$1:$BE$65000,$B558,AC$5)=1,1,IF(AND(AC557&gt;=1,AC557&lt;=9,ROW()&lt;=cur_line),AC557+1,0)),0)</f>
        <v>0</v>
      </c>
      <c r="AD558" s="313">
        <f>IFERROR(IF(INDEX([1]Pivot!$BF$1:$CG$65000,$B558,AD$5)=1,1,IF(AND(AD557&gt;=1,AD557&lt;=9,ROW()&lt;=cur_line),AD557+1,0)),0)</f>
        <v>0</v>
      </c>
      <c r="AE558" s="313">
        <f>IFERROR(IF(INDEX([1]Pivot!$BF$1:$CG$65000,$B558,AE$5)=1,1,IF(AND(AE557&gt;=1,AE557&lt;=9,ROW()&lt;=cur_line),AE557+1,0)),0)</f>
        <v>0</v>
      </c>
      <c r="AF558" s="313">
        <f>IFERROR(IF(INDEX([1]Pivot!$BF$1:$CG$65000,$B558,AF$5)=1,1,IF(AND(AF557&gt;=1,AF557&lt;=9,ROW()&lt;=cur_line),AF557+1,0)),0)</f>
        <v>0</v>
      </c>
      <c r="AG558" s="313">
        <f>IFERROR(IF(INDEX([1]Pivot!$BF$1:$CG$65000,$B558,AG$5)=1,1,IF(AND(AG557&gt;=1,AG557&lt;=9,ROW()&lt;=cur_line),AG557+1,0)),0)</f>
        <v>0</v>
      </c>
      <c r="AH558" s="313">
        <f>IFERROR(IF(INDEX([1]Pivot!$BF$1:$CG$65000,$B558,AH$5)=1,1,IF(AND(AH557&gt;=1,AH557&lt;=9,ROW()&lt;=cur_line),AH557+1,0)),0)</f>
        <v>0</v>
      </c>
      <c r="AI558" s="313">
        <f>IFERROR(IF(INDEX([1]Pivot!$BF$1:$CG$65000,$B558,AI$5)=1,1,IF(AND(AI557&gt;=1,AI557&lt;=9,ROW()&lt;=cur_line),AI557+1,0)),0)</f>
        <v>0</v>
      </c>
      <c r="AJ558" s="313">
        <f>IFERROR(IF(INDEX([1]Pivot!$BF$1:$CG$65000,$B558,AJ$5)=1,1,IF(AND(AJ557&gt;=1,AJ557&lt;=9,ROW()&lt;=cur_line),AJ557+1,0)),0)</f>
        <v>0</v>
      </c>
      <c r="AK558" s="313">
        <f>IFERROR(IF(INDEX([1]Pivot!$BF$1:$CG$65000,$B558,AK$5)=1,1,IF(AND(AK557&gt;=1,AK557&lt;=9,ROW()&lt;=cur_line),AK557+1,0)),0)</f>
        <v>0</v>
      </c>
      <c r="AL558" s="313">
        <f>IFERROR(IF(INDEX([1]Pivot!$BF$1:$CG$65000,$B558,AL$5)=1,1,IF(AND(AL557&gt;=1,AL557&lt;=9,ROW()&lt;=cur_line),AL557+1,0)),0)</f>
        <v>0</v>
      </c>
      <c r="AM558" s="313">
        <f>IFERROR(IF(INDEX([1]Pivot!$BF$1:$CG$65000,$B558,AM$5)=1,1,IF(AND(AM557&gt;=1,AM557&lt;=9,ROW()&lt;=cur_line),AM557+1,0)),0)</f>
        <v>0</v>
      </c>
      <c r="AN558" s="313"/>
      <c r="AO558" s="313">
        <f>IFERROR(IF(INDEX([1]Pivot!$BF$1:$CG$65000,$B558,AO$5)=1,1,IF(AND(AO557&gt;=1,AO557&lt;=9,ROW()&lt;=cur_line),AO557+1,0)),0)</f>
        <v>0</v>
      </c>
      <c r="AP558" s="313">
        <f>IFERROR(IF(INDEX([1]Pivot!$BF$1:$CG$65000,$B558,AP$5)=1,1,IF(AND(AP557&gt;=1,AP557&lt;=9,ROW()&lt;=cur_line),AP557+1,0)),0)</f>
        <v>0</v>
      </c>
      <c r="AQ558" s="313">
        <f>IFERROR(IF(INDEX([1]Pivot!$BF$1:$CG$65000,$B558,AQ$5)=1,1,IF(AND(AQ557&gt;=1,AQ557&lt;=9,ROW()&lt;=cur_line),AQ557+1,0)),0)</f>
        <v>0</v>
      </c>
      <c r="AR558" s="313">
        <f>IFERROR(IF(INDEX([1]Pivot!$BF$1:$CG$65000,$B558,AR$5)=1,1,IF(AND(AR557&gt;=1,AR557&lt;=9,ROW()&lt;=cur_line),AR557+1,0)),0)</f>
        <v>0</v>
      </c>
      <c r="AS558" s="312"/>
      <c r="AT558" s="313">
        <f>IFERROR(IF(INDEX([1]Pivot!$BF$1:$CG$65000,$B558,AT$5)=1,1,IF(AND(AT557&gt;=1,AT557&lt;=9,ROW()&lt;=cur_line),AT557+1,0)),0)</f>
        <v>0</v>
      </c>
      <c r="AU558" s="313">
        <f>IFERROR(IF(INDEX([1]Pivot!$BF$1:$CG$65000,$B558,AU$5)=1,1,IF(AND(AU557&gt;=1,AU557&lt;=9,ROW()&lt;=cur_line),AU557+1,0)),0)</f>
        <v>0</v>
      </c>
      <c r="AV558" s="313">
        <f>IFERROR(IF(INDEX([1]Pivot!$BF$1:$CG$65000,$B558,AV$5)=1,1,IF(AND(AV557&gt;=1,AV557&lt;=9,ROW()&lt;=cur_line),AV557+1,0)),0)</f>
        <v>0</v>
      </c>
      <c r="AW558" s="313">
        <f>IFERROR(IF(INDEX([1]Pivot!$BF$1:$CG$65000,$B558,AW$5)=1,1,IF(AND(AW557&gt;=1,AW557&lt;=9,ROW()&lt;=cur_line),AW557+1,0)),0)</f>
        <v>0</v>
      </c>
      <c r="AX558" s="313">
        <f>IFERROR(IF(INDEX([1]Pivot!$BF$1:$CG$65000,$B558,AX$5)=1,1,IF(AND(AX557&gt;=1,AX557&lt;=9,ROW()&lt;=cur_line),AX557+1,0)),0)</f>
        <v>0</v>
      </c>
      <c r="AY558" s="313">
        <f>IFERROR(IF(INDEX([1]Pivot!$BF$1:$CG$65000,$B558,AY$5)=1,1,IF(AND(AY557&gt;=1,AY557&lt;=9,ROW()&lt;=cur_line),AY557+1,0)),0)</f>
        <v>0</v>
      </c>
      <c r="AZ558" s="313">
        <f>IFERROR(IF(INDEX([1]Pivot!$BF$1:$CG$65000,$B558,AZ$5)=1,1,IF(AND(AZ557&gt;=1,AZ557&lt;=9,ROW()&lt;=cur_line),AZ557+1,0)),0)</f>
        <v>0</v>
      </c>
      <c r="BA558" s="313">
        <f>IFERROR(IF(INDEX([1]Pivot!$BF$1:$CG$65000,$B558,BA$5)=1,1,IF(AND(BA557&gt;=1,BA557&lt;=9,ROW()&lt;=cur_line),BA557+1,0)),0)</f>
        <v>0</v>
      </c>
      <c r="BB558" s="313">
        <f>IFERROR(IF(INDEX([1]Pivot!$BF$1:$CG$65000,$B558,BB$5)=1,1,IF(AND(BB557&gt;=1,BB557&lt;=9,ROW()&lt;=cur_line),BB557+1,0)),0)</f>
        <v>0</v>
      </c>
      <c r="BC558" s="313">
        <f>IFERROR(IF(INDEX([1]Pivot!$BF$1:$CG$65000,$B558,BC$5)=1,1,IF(AND(BC557&gt;=1,BC557&lt;=9,ROW()&lt;=cur_line),BC557+1,0)),0)</f>
        <v>0</v>
      </c>
      <c r="BD558" s="313">
        <f>IFERROR(IF(INDEX([1]Pivot!$BF$1:$CG$65000,$B558,BD$5)=1,1,IF(AND(BD557&gt;=1,BD557&lt;=9,ROW()&lt;=cur_line),BD557+1,0)),0)</f>
        <v>0</v>
      </c>
    </row>
    <row r="559" spans="1:56" hidden="1" outlineLevel="1" x14ac:dyDescent="0.25">
      <c r="A559" s="288" t="str">
        <f>'[2]Raw Milk Prices'!A559</f>
        <v>2022m12</v>
      </c>
      <c r="B559" s="296" t="e">
        <f>MATCH(DATE(LEFT('[2]Raw Milk Prices'!$A559,4),RIGHT('[2]Raw Milk Prices'!$A559,2),1),[1]Pivot!$A$1:$A$65000,0)</f>
        <v>#N/A</v>
      </c>
      <c r="C559" s="194">
        <f>IFERROR(IF(INDEX([1]Pivot!$AD$1:$BE$65000,$B559,C$5)=1,1,IF(AND(C558&gt;=1,C558&lt;=9,ROW()&lt;=cur_line),C558+1,0)),0)</f>
        <v>0</v>
      </c>
      <c r="D559" s="194">
        <f>IFERROR(IF(INDEX([1]Pivot!$AD$1:$BE$65000,$B559,D$5)=1,1,IF(AND(D558&gt;=1,D558&lt;=9,ROW()&lt;=cur_line),D558+1,0)),0)</f>
        <v>0</v>
      </c>
      <c r="E559" s="194">
        <f>IFERROR(IF(INDEX([1]Pivot!$AD$1:$BE$65000,$B559,E$5)=1,1,IF(AND(E558&gt;=1,E558&lt;=9,ROW()&lt;=cur_line),E558+1,0)),0)</f>
        <v>0</v>
      </c>
      <c r="F559" s="194">
        <f>IFERROR(IF(INDEX([1]Pivot!$AD$1:$BE$65000,$B559,F$5)=1,1,IF(AND(F558&gt;=1,F558&lt;=9,ROW()&lt;=cur_line),F558+1,0)),0)</f>
        <v>0</v>
      </c>
      <c r="G559" s="194">
        <f>IFERROR(IF(INDEX([1]Pivot!$AD$1:$BE$65000,$B559,G$5)=1,1,IF(AND(G558&gt;=1,G558&lt;=9,ROW()&lt;=cur_line),G558+1,0)),0)</f>
        <v>0</v>
      </c>
      <c r="H559" s="194">
        <f>IFERROR(IF(INDEX([1]Pivot!$AD$1:$BE$65000,$B559,H$5)=1,1,IF(AND(H558&gt;=1,H558&lt;=9,ROW()&lt;=cur_line),H558+1,0)),0)</f>
        <v>0</v>
      </c>
      <c r="I559" s="194">
        <f>IFERROR(IF(INDEX([1]Pivot!$AD$1:$BE$65000,$B559,I$5)=1,1,IF(AND(I558&gt;=1,I558&lt;=9,ROW()&lt;=cur_line),I558+1,0)),0)</f>
        <v>0</v>
      </c>
      <c r="J559" s="194">
        <f>IFERROR(IF(INDEX([1]Pivot!$AD$1:$BE$65000,$B559,J$5)=1,1,IF(AND(J558&gt;=1,J558&lt;=9,ROW()&lt;=cur_line),J558+1,0)),0)</f>
        <v>0</v>
      </c>
      <c r="K559" s="194">
        <f>IFERROR(IF(INDEX([1]Pivot!$AD$1:$BE$65000,$B559,K$5)=1,1,IF(AND(K558&gt;=1,K558&lt;=9,ROW()&lt;=cur_line),K558+1,0)),0)</f>
        <v>0</v>
      </c>
      <c r="L559" s="194">
        <f>IFERROR(IF(INDEX([1]Pivot!$AD$1:$BE$65000,$B559,L$5)=1,1,IF(AND(L558&gt;=1,L558&lt;=9,ROW()&lt;=cur_line),L558+1,0)),0)</f>
        <v>0</v>
      </c>
      <c r="M559" s="194"/>
      <c r="N559" s="194">
        <f>IFERROR(IF(INDEX([1]Pivot!$AD$1:$BE$65000,$B559,N$5)=1,1,IF(AND(N558&gt;=1,N558&lt;=9,ROW()&lt;=cur_line),N558+1,0)),0)</f>
        <v>0</v>
      </c>
      <c r="O559" s="194">
        <f>IFERROR(IF(INDEX([1]Pivot!$AD$1:$BE$65000,$B559,O$5)=1,1,IF(AND(O558&gt;=1,O558&lt;=9,ROW()&lt;=cur_line),O558+1,0)),0)</f>
        <v>0</v>
      </c>
      <c r="P559" s="194">
        <f>IFERROR(IF(INDEX([1]Pivot!$AD$1:$BE$65000,$B559,P$5)=1,1,IF(AND(P558&gt;=1,P558&lt;=9,ROW()&lt;=cur_line),P558+1,0)),0)</f>
        <v>0</v>
      </c>
      <c r="Q559" s="194">
        <f>IFERROR(IF(INDEX([1]Pivot!$AD$1:$BE$65000,$B559,Q$5)=1,1,IF(AND(Q558&gt;=1,Q558&lt;=9,ROW()&lt;=cur_line),Q558+1,0)),0)</f>
        <v>0</v>
      </c>
      <c r="R559" s="312"/>
      <c r="S559" s="194">
        <f>IFERROR(IF(INDEX([1]Pivot!$AD$1:$BE$65000,$B559,S$5)=1,1,IF(AND(S558&gt;=1,S558&lt;=9,ROW()&lt;=cur_line),S558+1,0)),0)</f>
        <v>0</v>
      </c>
      <c r="T559" s="194">
        <f>IFERROR(IF(INDEX([1]Pivot!$AD$1:$BE$65000,$B559,T$5)=1,1,IF(AND(T558&gt;=1,T558&lt;=9,ROW()&lt;=cur_line),T558+1,0)),0)</f>
        <v>0</v>
      </c>
      <c r="U559" s="194">
        <f>IFERROR(IF(INDEX([1]Pivot!$AD$1:$BE$65000,$B559,U$5)=1,1,IF(AND(U558&gt;=1,U558&lt;=9,ROW()&lt;=cur_line),U558+1,0)),0)</f>
        <v>0</v>
      </c>
      <c r="V559" s="194">
        <f>IFERROR(IF(INDEX([1]Pivot!$AD$1:$BE$65000,$B559,V$5)=1,1,IF(AND(V558&gt;=1,V558&lt;=9,ROW()&lt;=cur_line),V558+1,0)),0)</f>
        <v>0</v>
      </c>
      <c r="W559" s="194">
        <f>IFERROR(IF(INDEX([1]Pivot!$AD$1:$BE$65000,$B559,W$5)=1,1,IF(AND(W558&gt;=1,W558&lt;=9,ROW()&lt;=cur_line),W558+1,0)),0)</f>
        <v>0</v>
      </c>
      <c r="X559" s="194">
        <f>IFERROR(IF(INDEX([1]Pivot!$AD$1:$BE$65000,$B559,X$5)=1,1,IF(AND(X558&gt;=1,X558&lt;=9,ROW()&lt;=cur_line),X558+1,0)),0)</f>
        <v>0</v>
      </c>
      <c r="Y559" s="194">
        <f>IFERROR(IF(INDEX([1]Pivot!$AD$1:$BE$65000,$B559,Y$5)=1,1,IF(AND(Y558&gt;=1,Y558&lt;=9,ROW()&lt;=cur_line),Y558+1,0)),0)</f>
        <v>0</v>
      </c>
      <c r="Z559" s="194">
        <f>IFERROR(IF(INDEX([1]Pivot!$AD$1:$BE$65000,$B559,Z$5)=1,1,IF(AND(Z558&gt;=1,Z558&lt;=9,ROW()&lt;=cur_line),Z558+1,0)),0)</f>
        <v>0</v>
      </c>
      <c r="AA559" s="194">
        <f>IFERROR(IF(INDEX([1]Pivot!$AD$1:$BE$65000,$B559,AA$5)=1,1,IF(AND(AA558&gt;=1,AA558&lt;=9,ROW()&lt;=cur_line),AA558+1,0)),0)</f>
        <v>0</v>
      </c>
      <c r="AB559" s="194">
        <f>IFERROR(IF(INDEX([1]Pivot!$AD$1:$BE$65000,$B559,AB$5)=1,1,IF(AND(AB558&gt;=1,AB558&lt;=9,ROW()&lt;=cur_line),AB558+1,0)),0)</f>
        <v>0</v>
      </c>
      <c r="AC559" s="194">
        <f>IFERROR(IF(INDEX([1]Pivot!$AD$1:$BE$65000,$B559,AC$5)=1,1,IF(AND(AC558&gt;=1,AC558&lt;=9,ROW()&lt;=cur_line),AC558+1,0)),0)</f>
        <v>0</v>
      </c>
      <c r="AD559" s="313">
        <f>IFERROR(IF(INDEX([1]Pivot!$BF$1:$CG$65000,$B559,AD$5)=1,1,IF(AND(AD558&gt;=1,AD558&lt;=9,ROW()&lt;=cur_line),AD558+1,0)),0)</f>
        <v>0</v>
      </c>
      <c r="AE559" s="313">
        <f>IFERROR(IF(INDEX([1]Pivot!$BF$1:$CG$65000,$B559,AE$5)=1,1,IF(AND(AE558&gt;=1,AE558&lt;=9,ROW()&lt;=cur_line),AE558+1,0)),0)</f>
        <v>0</v>
      </c>
      <c r="AF559" s="313">
        <f>IFERROR(IF(INDEX([1]Pivot!$BF$1:$CG$65000,$B559,AF$5)=1,1,IF(AND(AF558&gt;=1,AF558&lt;=9,ROW()&lt;=cur_line),AF558+1,0)),0)</f>
        <v>0</v>
      </c>
      <c r="AG559" s="313">
        <f>IFERROR(IF(INDEX([1]Pivot!$BF$1:$CG$65000,$B559,AG$5)=1,1,IF(AND(AG558&gt;=1,AG558&lt;=9,ROW()&lt;=cur_line),AG558+1,0)),0)</f>
        <v>0</v>
      </c>
      <c r="AH559" s="313">
        <f>IFERROR(IF(INDEX([1]Pivot!$BF$1:$CG$65000,$B559,AH$5)=1,1,IF(AND(AH558&gt;=1,AH558&lt;=9,ROW()&lt;=cur_line),AH558+1,0)),0)</f>
        <v>0</v>
      </c>
      <c r="AI559" s="313">
        <f>IFERROR(IF(INDEX([1]Pivot!$BF$1:$CG$65000,$B559,AI$5)=1,1,IF(AND(AI558&gt;=1,AI558&lt;=9,ROW()&lt;=cur_line),AI558+1,0)),0)</f>
        <v>0</v>
      </c>
      <c r="AJ559" s="313">
        <f>IFERROR(IF(INDEX([1]Pivot!$BF$1:$CG$65000,$B559,AJ$5)=1,1,IF(AND(AJ558&gt;=1,AJ558&lt;=9,ROW()&lt;=cur_line),AJ558+1,0)),0)</f>
        <v>0</v>
      </c>
      <c r="AK559" s="313">
        <f>IFERROR(IF(INDEX([1]Pivot!$BF$1:$CG$65000,$B559,AK$5)=1,1,IF(AND(AK558&gt;=1,AK558&lt;=9,ROW()&lt;=cur_line),AK558+1,0)),0)</f>
        <v>0</v>
      </c>
      <c r="AL559" s="313">
        <f>IFERROR(IF(INDEX([1]Pivot!$BF$1:$CG$65000,$B559,AL$5)=1,1,IF(AND(AL558&gt;=1,AL558&lt;=9,ROW()&lt;=cur_line),AL558+1,0)),0)</f>
        <v>0</v>
      </c>
      <c r="AM559" s="313">
        <f>IFERROR(IF(INDEX([1]Pivot!$BF$1:$CG$65000,$B559,AM$5)=1,1,IF(AND(AM558&gt;=1,AM558&lt;=9,ROW()&lt;=cur_line),AM558+1,0)),0)</f>
        <v>0</v>
      </c>
      <c r="AN559" s="313"/>
      <c r="AO559" s="313">
        <f>IFERROR(IF(INDEX([1]Pivot!$BF$1:$CG$65000,$B559,AO$5)=1,1,IF(AND(AO558&gt;=1,AO558&lt;=9,ROW()&lt;=cur_line),AO558+1,0)),0)</f>
        <v>0</v>
      </c>
      <c r="AP559" s="313">
        <f>IFERROR(IF(INDEX([1]Pivot!$BF$1:$CG$65000,$B559,AP$5)=1,1,IF(AND(AP558&gt;=1,AP558&lt;=9,ROW()&lt;=cur_line),AP558+1,0)),0)</f>
        <v>0</v>
      </c>
      <c r="AQ559" s="313">
        <f>IFERROR(IF(INDEX([1]Pivot!$BF$1:$CG$65000,$B559,AQ$5)=1,1,IF(AND(AQ558&gt;=1,AQ558&lt;=9,ROW()&lt;=cur_line),AQ558+1,0)),0)</f>
        <v>0</v>
      </c>
      <c r="AR559" s="313">
        <f>IFERROR(IF(INDEX([1]Pivot!$BF$1:$CG$65000,$B559,AR$5)=1,1,IF(AND(AR558&gt;=1,AR558&lt;=9,ROW()&lt;=cur_line),AR558+1,0)),0)</f>
        <v>0</v>
      </c>
      <c r="AS559" s="312"/>
      <c r="AT559" s="313">
        <f>IFERROR(IF(INDEX([1]Pivot!$BF$1:$CG$65000,$B559,AT$5)=1,1,IF(AND(AT558&gt;=1,AT558&lt;=9,ROW()&lt;=cur_line),AT558+1,0)),0)</f>
        <v>0</v>
      </c>
      <c r="AU559" s="313">
        <f>IFERROR(IF(INDEX([1]Pivot!$BF$1:$CG$65000,$B559,AU$5)=1,1,IF(AND(AU558&gt;=1,AU558&lt;=9,ROW()&lt;=cur_line),AU558+1,0)),0)</f>
        <v>0</v>
      </c>
      <c r="AV559" s="313">
        <f>IFERROR(IF(INDEX([1]Pivot!$BF$1:$CG$65000,$B559,AV$5)=1,1,IF(AND(AV558&gt;=1,AV558&lt;=9,ROW()&lt;=cur_line),AV558+1,0)),0)</f>
        <v>0</v>
      </c>
      <c r="AW559" s="313">
        <f>IFERROR(IF(INDEX([1]Pivot!$BF$1:$CG$65000,$B559,AW$5)=1,1,IF(AND(AW558&gt;=1,AW558&lt;=9,ROW()&lt;=cur_line),AW558+1,0)),0)</f>
        <v>0</v>
      </c>
      <c r="AX559" s="313">
        <f>IFERROR(IF(INDEX([1]Pivot!$BF$1:$CG$65000,$B559,AX$5)=1,1,IF(AND(AX558&gt;=1,AX558&lt;=9,ROW()&lt;=cur_line),AX558+1,0)),0)</f>
        <v>0</v>
      </c>
      <c r="AY559" s="313">
        <f>IFERROR(IF(INDEX([1]Pivot!$BF$1:$CG$65000,$B559,AY$5)=1,1,IF(AND(AY558&gt;=1,AY558&lt;=9,ROW()&lt;=cur_line),AY558+1,0)),0)</f>
        <v>0</v>
      </c>
      <c r="AZ559" s="313">
        <f>IFERROR(IF(INDEX([1]Pivot!$BF$1:$CG$65000,$B559,AZ$5)=1,1,IF(AND(AZ558&gt;=1,AZ558&lt;=9,ROW()&lt;=cur_line),AZ558+1,0)),0)</f>
        <v>0</v>
      </c>
      <c r="BA559" s="313">
        <f>IFERROR(IF(INDEX([1]Pivot!$BF$1:$CG$65000,$B559,BA$5)=1,1,IF(AND(BA558&gt;=1,BA558&lt;=9,ROW()&lt;=cur_line),BA558+1,0)),0)</f>
        <v>0</v>
      </c>
      <c r="BB559" s="313">
        <f>IFERROR(IF(INDEX([1]Pivot!$BF$1:$CG$65000,$B559,BB$5)=1,1,IF(AND(BB558&gt;=1,BB558&lt;=9,ROW()&lt;=cur_line),BB558+1,0)),0)</f>
        <v>0</v>
      </c>
      <c r="BC559" s="313">
        <f>IFERROR(IF(INDEX([1]Pivot!$BF$1:$CG$65000,$B559,BC$5)=1,1,IF(AND(BC558&gt;=1,BC558&lt;=9,ROW()&lt;=cur_line),BC558+1,0)),0)</f>
        <v>0</v>
      </c>
      <c r="BD559" s="313">
        <f>IFERROR(IF(INDEX([1]Pivot!$BF$1:$CG$65000,$B559,BD$5)=1,1,IF(AND(BD558&gt;=1,BD558&lt;=9,ROW()&lt;=cur_line),BD558+1,0)),0)</f>
        <v>0</v>
      </c>
    </row>
    <row r="560" spans="1:56" collapsed="1" x14ac:dyDescent="0.25">
      <c r="A560" s="288" t="str">
        <f>'[2]Raw Milk Prices'!A560</f>
        <v>2023m01</v>
      </c>
      <c r="B560" s="296">
        <f>MATCH(DATE(LEFT('[2]Raw Milk Prices'!$A560,4),RIGHT('[2]Raw Milk Prices'!$A560,2),1),[1]Pivot!$A$1:$A$65000,0)</f>
        <v>9</v>
      </c>
      <c r="C560" s="194">
        <f>IFERROR(IF(INDEX([1]Pivot!$AD$1:$BE$65000,$B560,C$5)=1,1,IF(INDEX([1]Pivot!$B$1:$AB$65000,$B560,C$5)="",2,0)),0)</f>
        <v>0</v>
      </c>
      <c r="D560" s="194"/>
      <c r="E560" s="194"/>
      <c r="F560" s="194"/>
      <c r="G560" s="194"/>
      <c r="H560" s="194"/>
      <c r="I560" s="194"/>
      <c r="J560" s="194"/>
      <c r="K560" s="194"/>
      <c r="L560" s="194"/>
      <c r="M560" s="194"/>
      <c r="N560" s="194"/>
      <c r="O560" s="194"/>
      <c r="P560" s="194"/>
      <c r="Q560" s="194"/>
      <c r="R560" s="312"/>
      <c r="S560" s="194"/>
      <c r="T560" s="194"/>
      <c r="U560" s="194"/>
      <c r="V560" s="194"/>
      <c r="W560" s="194"/>
      <c r="X560" s="194"/>
      <c r="Y560" s="194"/>
      <c r="Z560" s="194"/>
      <c r="AA560" s="194"/>
      <c r="AB560" s="194"/>
      <c r="AC560" s="194"/>
      <c r="AD560" s="313"/>
      <c r="AE560" s="313"/>
      <c r="AF560" s="313"/>
      <c r="AG560" s="313"/>
      <c r="AH560" s="313"/>
      <c r="AI560" s="313"/>
      <c r="AJ560" s="313"/>
      <c r="AK560" s="313"/>
      <c r="AL560" s="313"/>
      <c r="AM560" s="313"/>
      <c r="AN560" s="313"/>
      <c r="AO560" s="313"/>
      <c r="AP560" s="313"/>
      <c r="AQ560" s="313"/>
      <c r="AR560" s="313"/>
      <c r="AS560" s="312"/>
      <c r="AT560" s="313"/>
      <c r="AU560" s="313"/>
      <c r="AV560" s="313"/>
      <c r="AW560" s="313"/>
      <c r="AX560" s="313"/>
      <c r="AY560" s="313"/>
      <c r="AZ560" s="313"/>
      <c r="BA560" s="313"/>
      <c r="BB560" s="313"/>
      <c r="BC560" s="313"/>
      <c r="BD560" s="313"/>
    </row>
    <row r="561" spans="1:56" x14ac:dyDescent="0.25">
      <c r="A561" s="288" t="str">
        <f>'[2]Raw Milk Prices'!A561</f>
        <v>2023m02</v>
      </c>
      <c r="B561" s="296">
        <f>MATCH(DATE(LEFT('[2]Raw Milk Prices'!$A561,4),RIGHT('[2]Raw Milk Prices'!$A561,2),1),[1]Pivot!$A$1:$A$65000,0)</f>
        <v>10</v>
      </c>
      <c r="C561" s="194">
        <f>IFERROR(IF(INDEX([1]Pivot!$AD$1:$BE$65000,$B561,C$5)=1,1,IF(INDEX([1]Pivot!$B$1:$AB$65000,$B561,C$5)="",2,0)),0)</f>
        <v>0</v>
      </c>
      <c r="D561" s="194"/>
      <c r="E561" s="194"/>
      <c r="F561" s="194"/>
      <c r="G561" s="194"/>
      <c r="H561" s="194"/>
      <c r="I561" s="194"/>
      <c r="J561" s="194"/>
      <c r="K561" s="194"/>
      <c r="L561" s="194"/>
      <c r="M561" s="194"/>
      <c r="N561" s="194"/>
      <c r="O561" s="194"/>
      <c r="P561" s="194"/>
      <c r="Q561" s="194"/>
      <c r="R561" s="312"/>
      <c r="S561" s="194"/>
      <c r="T561" s="194"/>
      <c r="U561" s="194"/>
      <c r="V561" s="194"/>
      <c r="W561" s="194"/>
      <c r="X561" s="194"/>
      <c r="Y561" s="194"/>
      <c r="Z561" s="194"/>
      <c r="AA561" s="194"/>
      <c r="AB561" s="194"/>
      <c r="AC561" s="194"/>
      <c r="AD561" s="313"/>
      <c r="AE561" s="313"/>
      <c r="AF561" s="313"/>
      <c r="AG561" s="313"/>
      <c r="AH561" s="313"/>
      <c r="AI561" s="313"/>
      <c r="AJ561" s="313"/>
      <c r="AK561" s="313"/>
      <c r="AL561" s="313"/>
      <c r="AM561" s="313"/>
      <c r="AN561" s="313"/>
      <c r="AO561" s="313"/>
      <c r="AP561" s="313"/>
      <c r="AQ561" s="313"/>
      <c r="AR561" s="313"/>
      <c r="AS561" s="312"/>
      <c r="AT561" s="313"/>
      <c r="AU561" s="313"/>
      <c r="AV561" s="313"/>
      <c r="AW561" s="313"/>
      <c r="AX561" s="313"/>
      <c r="AY561" s="313"/>
      <c r="AZ561" s="313"/>
      <c r="BA561" s="313"/>
      <c r="BB561" s="313"/>
      <c r="BC561" s="313"/>
      <c r="BD561" s="313"/>
    </row>
    <row r="562" spans="1:56" x14ac:dyDescent="0.25">
      <c r="A562" s="288" t="str">
        <f>'[2]Raw Milk Prices'!A562</f>
        <v>2023m03</v>
      </c>
      <c r="B562" s="296">
        <f>MATCH(DATE(LEFT('[2]Raw Milk Prices'!$A562,4),RIGHT('[2]Raw Milk Prices'!$A562,2),1),[1]Pivot!$A$1:$A$65000,0)</f>
        <v>11</v>
      </c>
      <c r="C562" s="194">
        <f>IFERROR(IF(INDEX([1]Pivot!$AD$1:$BE$65000,$B562,C$5)=1,1,IF(INDEX([1]Pivot!$B$1:$AB$65000,$B562,C$5)="",2,0)),0)</f>
        <v>0</v>
      </c>
      <c r="D562" s="194"/>
      <c r="E562" s="194"/>
      <c r="F562" s="194"/>
      <c r="G562" s="194"/>
      <c r="H562" s="194"/>
      <c r="I562" s="194"/>
      <c r="J562" s="194"/>
      <c r="K562" s="194"/>
      <c r="L562" s="194"/>
      <c r="M562" s="194"/>
      <c r="N562" s="194"/>
      <c r="O562" s="194"/>
      <c r="P562" s="194"/>
      <c r="Q562" s="194"/>
      <c r="R562" s="312"/>
      <c r="S562" s="194"/>
      <c r="T562" s="194"/>
      <c r="U562" s="194"/>
      <c r="V562" s="194"/>
      <c r="W562" s="194"/>
      <c r="X562" s="194"/>
      <c r="Y562" s="194"/>
      <c r="Z562" s="194"/>
      <c r="AA562" s="194"/>
      <c r="AB562" s="194"/>
      <c r="AC562" s="194"/>
      <c r="AD562" s="313"/>
      <c r="AE562" s="313"/>
      <c r="AF562" s="313"/>
      <c r="AG562" s="313"/>
      <c r="AH562" s="313"/>
      <c r="AI562" s="313"/>
      <c r="AJ562" s="313"/>
      <c r="AK562" s="313"/>
      <c r="AL562" s="313"/>
      <c r="AM562" s="313"/>
      <c r="AN562" s="313"/>
      <c r="AO562" s="313"/>
      <c r="AP562" s="313"/>
      <c r="AQ562" s="313"/>
      <c r="AR562" s="313"/>
      <c r="AS562" s="312"/>
      <c r="AT562" s="313"/>
      <c r="AU562" s="313"/>
      <c r="AV562" s="313"/>
      <c r="AW562" s="313"/>
      <c r="AX562" s="313"/>
      <c r="AY562" s="313"/>
      <c r="AZ562" s="313"/>
      <c r="BA562" s="313"/>
      <c r="BB562" s="313"/>
      <c r="BC562" s="313"/>
      <c r="BD562" s="313"/>
    </row>
    <row r="563" spans="1:56" x14ac:dyDescent="0.25">
      <c r="A563" s="288" t="str">
        <f>'[2]Raw Milk Prices'!A563</f>
        <v>2023m04</v>
      </c>
      <c r="B563" s="296">
        <f>MATCH(DATE(LEFT('[2]Raw Milk Prices'!$A563,4),RIGHT('[2]Raw Milk Prices'!$A563,2),1),[1]Pivot!$A$1:$A$65000,0)</f>
        <v>12</v>
      </c>
      <c r="C563" s="194">
        <f>IFERROR(IF(INDEX([1]Pivot!$AD$1:$BE$65000,$B563,C$5)=1,1,IF(INDEX([1]Pivot!$B$1:$AB$65000,$B563,C$5)="",2,0)),0)</f>
        <v>0</v>
      </c>
      <c r="D563" s="194"/>
      <c r="E563" s="194"/>
      <c r="F563" s="194"/>
      <c r="G563" s="194"/>
      <c r="H563" s="194"/>
      <c r="I563" s="194"/>
      <c r="J563" s="194"/>
      <c r="K563" s="194"/>
      <c r="L563" s="194"/>
      <c r="M563" s="194"/>
      <c r="N563" s="194"/>
      <c r="O563" s="194"/>
      <c r="P563" s="194"/>
      <c r="Q563" s="194"/>
      <c r="R563" s="312"/>
      <c r="S563" s="194"/>
      <c r="T563" s="194"/>
      <c r="U563" s="194"/>
      <c r="V563" s="194"/>
      <c r="W563" s="194"/>
      <c r="X563" s="194"/>
      <c r="Y563" s="194"/>
      <c r="Z563" s="194"/>
      <c r="AA563" s="194"/>
      <c r="AB563" s="194"/>
      <c r="AC563" s="194"/>
      <c r="AD563" s="313"/>
      <c r="AE563" s="313"/>
      <c r="AF563" s="313"/>
      <c r="AG563" s="313"/>
      <c r="AH563" s="313"/>
      <c r="AI563" s="313"/>
      <c r="AJ563" s="313"/>
      <c r="AK563" s="313"/>
      <c r="AL563" s="313"/>
      <c r="AM563" s="313"/>
      <c r="AN563" s="313"/>
      <c r="AO563" s="313"/>
      <c r="AP563" s="313"/>
      <c r="AQ563" s="313"/>
      <c r="AR563" s="313"/>
      <c r="AS563" s="312"/>
      <c r="AT563" s="313"/>
      <c r="AU563" s="313"/>
      <c r="AV563" s="313"/>
      <c r="AW563" s="313"/>
      <c r="AX563" s="313"/>
      <c r="AY563" s="313"/>
      <c r="AZ563" s="313"/>
      <c r="BA563" s="313"/>
      <c r="BB563" s="313"/>
      <c r="BC563" s="313"/>
      <c r="BD563" s="313"/>
    </row>
    <row r="564" spans="1:56" x14ac:dyDescent="0.25">
      <c r="A564" s="288" t="str">
        <f>'[2]Raw Milk Prices'!A564</f>
        <v>2023m05</v>
      </c>
      <c r="B564" s="296">
        <f>MATCH(DATE(LEFT('[2]Raw Milk Prices'!$A564,4),RIGHT('[2]Raw Milk Prices'!$A564,2),1),[1]Pivot!$A$1:$A$65000,0)</f>
        <v>13</v>
      </c>
      <c r="C564" s="194">
        <f>IFERROR(IF(INDEX([1]Pivot!$AD$1:$BE$65000,$B564,C$5)=1,1,IF(INDEX([1]Pivot!$B$1:$AB$65000,$B564,C$5)="",2,0)),0)</f>
        <v>0</v>
      </c>
      <c r="D564" s="194"/>
      <c r="E564" s="194"/>
      <c r="F564" s="194"/>
      <c r="G564" s="194"/>
      <c r="H564" s="194"/>
      <c r="I564" s="194"/>
      <c r="J564" s="194"/>
      <c r="K564" s="194"/>
      <c r="L564" s="194"/>
      <c r="M564" s="194"/>
      <c r="N564" s="194"/>
      <c r="O564" s="194"/>
      <c r="P564" s="194"/>
      <c r="Q564" s="194"/>
      <c r="R564" s="312"/>
      <c r="S564" s="194"/>
      <c r="T564" s="194"/>
      <c r="U564" s="194"/>
      <c r="V564" s="194"/>
      <c r="W564" s="194"/>
      <c r="X564" s="194"/>
      <c r="Y564" s="194"/>
      <c r="Z564" s="194"/>
      <c r="AA564" s="194"/>
      <c r="AB564" s="194"/>
      <c r="AC564" s="194"/>
      <c r="AD564" s="313"/>
      <c r="AE564" s="313"/>
      <c r="AF564" s="313"/>
      <c r="AG564" s="313"/>
      <c r="AH564" s="313"/>
      <c r="AI564" s="313"/>
      <c r="AJ564" s="313"/>
      <c r="AK564" s="313"/>
      <c r="AL564" s="313"/>
      <c r="AM564" s="313"/>
      <c r="AN564" s="313"/>
      <c r="AO564" s="313"/>
      <c r="AP564" s="313"/>
      <c r="AQ564" s="313"/>
      <c r="AR564" s="313"/>
      <c r="AS564" s="312"/>
      <c r="AT564" s="313"/>
      <c r="AU564" s="313"/>
      <c r="AV564" s="313"/>
      <c r="AW564" s="313"/>
      <c r="AX564" s="313"/>
      <c r="AY564" s="313"/>
      <c r="AZ564" s="313"/>
      <c r="BA564" s="313"/>
      <c r="BB564" s="313"/>
      <c r="BC564" s="313"/>
      <c r="BD564" s="313"/>
    </row>
    <row r="565" spans="1:56" x14ac:dyDescent="0.25">
      <c r="A565" s="288" t="str">
        <f>'[2]Raw Milk Prices'!A565</f>
        <v>2023m06</v>
      </c>
      <c r="B565" s="296">
        <f>MATCH(DATE(LEFT('[2]Raw Milk Prices'!$A565,4),RIGHT('[2]Raw Milk Prices'!$A565,2),1),[1]Pivot!$A$1:$A$65000,0)</f>
        <v>14</v>
      </c>
      <c r="C565" s="194">
        <f>IFERROR(IF(INDEX([1]Pivot!$AD$1:$BE$65000,$B565,C$5)=1,1,IF(INDEX([1]Pivot!$B$1:$AB$65000,$B565,C$5)="",2,0)),0)</f>
        <v>0</v>
      </c>
      <c r="D565" s="194"/>
      <c r="E565" s="194"/>
      <c r="F565" s="194"/>
      <c r="G565" s="194"/>
      <c r="H565" s="194"/>
      <c r="I565" s="194"/>
      <c r="J565" s="194"/>
      <c r="K565" s="194"/>
      <c r="L565" s="194"/>
      <c r="M565" s="194"/>
      <c r="N565" s="194"/>
      <c r="O565" s="194"/>
      <c r="P565" s="194"/>
      <c r="Q565" s="194"/>
      <c r="R565" s="312"/>
      <c r="S565" s="194"/>
      <c r="T565" s="194"/>
      <c r="U565" s="194"/>
      <c r="V565" s="194"/>
      <c r="W565" s="194"/>
      <c r="X565" s="194"/>
      <c r="Y565" s="194"/>
      <c r="Z565" s="194"/>
      <c r="AA565" s="194"/>
      <c r="AB565" s="194"/>
      <c r="AC565" s="194"/>
      <c r="AD565" s="313"/>
      <c r="AE565" s="313"/>
      <c r="AF565" s="313"/>
      <c r="AG565" s="313"/>
      <c r="AH565" s="313"/>
      <c r="AI565" s="313"/>
      <c r="AJ565" s="313"/>
      <c r="AK565" s="313"/>
      <c r="AL565" s="313"/>
      <c r="AM565" s="313"/>
      <c r="AN565" s="313"/>
      <c r="AO565" s="313"/>
      <c r="AP565" s="313"/>
      <c r="AQ565" s="313"/>
      <c r="AR565" s="313"/>
      <c r="AS565" s="312"/>
      <c r="AT565" s="313"/>
      <c r="AU565" s="313"/>
      <c r="AV565" s="313"/>
      <c r="AW565" s="313"/>
      <c r="AX565" s="313"/>
      <c r="AY565" s="313"/>
      <c r="AZ565" s="313"/>
      <c r="BA565" s="313"/>
      <c r="BB565" s="313"/>
      <c r="BC565" s="313"/>
      <c r="BD565" s="313"/>
    </row>
    <row r="566" spans="1:56" x14ac:dyDescent="0.25">
      <c r="A566" s="288" t="str">
        <f>'[2]Raw Milk Prices'!A566</f>
        <v>2023m07</v>
      </c>
      <c r="B566" s="296">
        <f>MATCH(DATE(LEFT('[2]Raw Milk Prices'!$A566,4),RIGHT('[2]Raw Milk Prices'!$A566,2),1),[1]Pivot!$A$1:$A$65000,0)</f>
        <v>15</v>
      </c>
      <c r="C566" s="194">
        <f>IFERROR(IF(INDEX([1]Pivot!$AD$1:$BE$65000,$B566,C$5)=1,1,IF(INDEX([1]Pivot!$B$1:$AB$65000,$B566,C$5)="",2,0)),0)</f>
        <v>0</v>
      </c>
      <c r="D566" s="194"/>
      <c r="E566" s="194"/>
      <c r="F566" s="194"/>
      <c r="G566" s="194"/>
      <c r="H566" s="194"/>
      <c r="I566" s="194"/>
      <c r="J566" s="194"/>
      <c r="K566" s="194"/>
      <c r="L566" s="194"/>
      <c r="M566" s="194"/>
      <c r="N566" s="194"/>
      <c r="O566" s="194"/>
      <c r="P566" s="194"/>
      <c r="Q566" s="194"/>
      <c r="R566" s="312"/>
      <c r="S566" s="194"/>
      <c r="T566" s="194"/>
      <c r="U566" s="194"/>
      <c r="V566" s="194"/>
      <c r="W566" s="194"/>
      <c r="X566" s="194"/>
      <c r="Y566" s="194"/>
      <c r="Z566" s="194"/>
      <c r="AA566" s="194"/>
      <c r="AB566" s="194"/>
      <c r="AC566" s="194"/>
      <c r="AD566" s="313"/>
      <c r="AE566" s="313"/>
      <c r="AF566" s="313"/>
      <c r="AG566" s="313"/>
      <c r="AH566" s="313"/>
      <c r="AI566" s="313"/>
      <c r="AJ566" s="313"/>
      <c r="AK566" s="313"/>
      <c r="AL566" s="313"/>
      <c r="AM566" s="313"/>
      <c r="AN566" s="313"/>
      <c r="AO566" s="313"/>
      <c r="AP566" s="313"/>
      <c r="AQ566" s="313"/>
      <c r="AR566" s="313"/>
      <c r="AS566" s="312"/>
      <c r="AT566" s="313"/>
      <c r="AU566" s="313"/>
      <c r="AV566" s="313"/>
      <c r="AW566" s="313"/>
      <c r="AX566" s="313"/>
      <c r="AY566" s="313"/>
      <c r="AZ566" s="313"/>
      <c r="BA566" s="313"/>
      <c r="BB566" s="313"/>
      <c r="BC566" s="313"/>
      <c r="BD566" s="313"/>
    </row>
    <row r="567" spans="1:56" x14ac:dyDescent="0.25">
      <c r="A567" s="288" t="str">
        <f>'[2]Raw Milk Prices'!A567</f>
        <v>2023m08</v>
      </c>
      <c r="B567" s="296">
        <f>MATCH(DATE(LEFT('[2]Raw Milk Prices'!$A567,4),RIGHT('[2]Raw Milk Prices'!$A567,2),1),[1]Pivot!$A$1:$A$65000,0)</f>
        <v>16</v>
      </c>
      <c r="C567" s="194">
        <f>IFERROR(IF(INDEX([1]Pivot!$AD$1:$BE$65000,$B567,C$5)=1,1,IF(INDEX([1]Pivot!$B$1:$AB$65000,$B567,C$5)="",2,0)),0)</f>
        <v>0</v>
      </c>
      <c r="D567" s="194"/>
      <c r="E567" s="194"/>
      <c r="F567" s="194"/>
      <c r="G567" s="194"/>
      <c r="H567" s="194"/>
      <c r="I567" s="194"/>
      <c r="J567" s="194"/>
      <c r="K567" s="194"/>
      <c r="L567" s="194"/>
      <c r="M567" s="194"/>
      <c r="N567" s="194"/>
      <c r="O567" s="194"/>
      <c r="P567" s="194"/>
      <c r="Q567" s="194"/>
      <c r="R567" s="312"/>
      <c r="S567" s="194"/>
      <c r="T567" s="194"/>
      <c r="U567" s="194"/>
      <c r="V567" s="194"/>
      <c r="W567" s="194"/>
      <c r="X567" s="194"/>
      <c r="Y567" s="194"/>
      <c r="Z567" s="194"/>
      <c r="AA567" s="194"/>
      <c r="AB567" s="194"/>
      <c r="AC567" s="194"/>
      <c r="AD567" s="313"/>
      <c r="AE567" s="313"/>
      <c r="AF567" s="313"/>
      <c r="AG567" s="313"/>
      <c r="AH567" s="313"/>
      <c r="AI567" s="313"/>
      <c r="AJ567" s="313"/>
      <c r="AK567" s="313"/>
      <c r="AL567" s="313"/>
      <c r="AM567" s="313"/>
      <c r="AN567" s="313"/>
      <c r="AO567" s="313"/>
      <c r="AP567" s="313"/>
      <c r="AQ567" s="313"/>
      <c r="AR567" s="313"/>
      <c r="AS567" s="312"/>
      <c r="AT567" s="313"/>
      <c r="AU567" s="313"/>
      <c r="AV567" s="313"/>
      <c r="AW567" s="313"/>
      <c r="AX567" s="313"/>
      <c r="AY567" s="313"/>
      <c r="AZ567" s="313"/>
      <c r="BA567" s="313"/>
      <c r="BB567" s="313"/>
      <c r="BC567" s="313"/>
      <c r="BD567" s="313"/>
    </row>
    <row r="568" spans="1:56" x14ac:dyDescent="0.25">
      <c r="A568" s="288" t="str">
        <f>'[2]Raw Milk Prices'!A568</f>
        <v>2023m09</v>
      </c>
      <c r="B568" s="296">
        <f>MATCH(DATE(LEFT('[2]Raw Milk Prices'!$A568,4),RIGHT('[2]Raw Milk Prices'!$A568,2),1),[1]Pivot!$A$1:$A$65000,0)</f>
        <v>17</v>
      </c>
      <c r="C568" s="194">
        <f>IFERROR(IF(INDEX([1]Pivot!$AD$1:$BE$65000,$B568,C$5)=1,1,IF(INDEX([1]Pivot!$B$1:$AB$65000,$B568,C$5)="",2,0)),0)</f>
        <v>0</v>
      </c>
      <c r="D568" s="194"/>
      <c r="E568" s="194"/>
      <c r="F568" s="194"/>
      <c r="G568" s="194"/>
      <c r="H568" s="194"/>
      <c r="I568" s="194"/>
      <c r="J568" s="194"/>
      <c r="K568" s="194"/>
      <c r="L568" s="194"/>
      <c r="M568" s="194"/>
      <c r="N568" s="194"/>
      <c r="O568" s="194"/>
      <c r="P568" s="194"/>
      <c r="Q568" s="194"/>
      <c r="R568" s="312"/>
      <c r="S568" s="194"/>
      <c r="T568" s="194"/>
      <c r="U568" s="194"/>
      <c r="V568" s="194"/>
      <c r="W568" s="194"/>
      <c r="X568" s="194"/>
      <c r="Y568" s="194"/>
      <c r="Z568" s="194"/>
      <c r="AA568" s="194"/>
      <c r="AB568" s="194"/>
      <c r="AC568" s="194"/>
      <c r="AD568" s="313"/>
      <c r="AE568" s="313"/>
      <c r="AF568" s="313"/>
      <c r="AG568" s="313"/>
      <c r="AH568" s="313"/>
      <c r="AI568" s="313"/>
      <c r="AJ568" s="313"/>
      <c r="AK568" s="313"/>
      <c r="AL568" s="313"/>
      <c r="AM568" s="313"/>
      <c r="AN568" s="313"/>
      <c r="AO568" s="313"/>
      <c r="AP568" s="313"/>
      <c r="AQ568" s="313"/>
      <c r="AR568" s="313"/>
      <c r="AS568" s="312"/>
      <c r="AT568" s="313"/>
      <c r="AU568" s="313"/>
      <c r="AV568" s="313"/>
      <c r="AW568" s="313"/>
      <c r="AX568" s="313"/>
      <c r="AY568" s="313"/>
      <c r="AZ568" s="313"/>
      <c r="BA568" s="313"/>
      <c r="BB568" s="313"/>
      <c r="BC568" s="313"/>
      <c r="BD568" s="313"/>
    </row>
    <row r="569" spans="1:56" x14ac:dyDescent="0.25">
      <c r="A569" s="288" t="str">
        <f>'[2]Raw Milk Prices'!A569</f>
        <v>2023m10</v>
      </c>
      <c r="B569" s="296">
        <f>MATCH(DATE(LEFT('[2]Raw Milk Prices'!$A569,4),RIGHT('[2]Raw Milk Prices'!$A569,2),1),[1]Pivot!$A$1:$A$65000,0)</f>
        <v>18</v>
      </c>
      <c r="C569" s="194">
        <f>IFERROR(IF(INDEX([1]Pivot!$AD$1:$BE$65000,$B569,C$5)=1,1,IF(INDEX([1]Pivot!$B$1:$AB$65000,$B569,C$5)="",2,0)),0)</f>
        <v>0</v>
      </c>
      <c r="D569" s="194"/>
      <c r="E569" s="194"/>
      <c r="F569" s="194"/>
      <c r="G569" s="194"/>
      <c r="H569" s="194"/>
      <c r="I569" s="194"/>
      <c r="J569" s="194"/>
      <c r="K569" s="194"/>
      <c r="L569" s="194"/>
      <c r="M569" s="194"/>
      <c r="N569" s="194"/>
      <c r="O569" s="194"/>
      <c r="P569" s="194"/>
      <c r="Q569" s="194"/>
      <c r="R569" s="312"/>
      <c r="S569" s="194"/>
      <c r="T569" s="194"/>
      <c r="U569" s="194"/>
      <c r="V569" s="194"/>
      <c r="W569" s="194"/>
      <c r="X569" s="194"/>
      <c r="Y569" s="194"/>
      <c r="Z569" s="194"/>
      <c r="AA569" s="194"/>
      <c r="AB569" s="194"/>
      <c r="AC569" s="194"/>
      <c r="AD569" s="313"/>
      <c r="AE569" s="313"/>
      <c r="AF569" s="313"/>
      <c r="AG569" s="313"/>
      <c r="AH569" s="313"/>
      <c r="AI569" s="313"/>
      <c r="AJ569" s="313"/>
      <c r="AK569" s="313"/>
      <c r="AL569" s="313"/>
      <c r="AM569" s="313"/>
      <c r="AN569" s="313"/>
      <c r="AO569" s="313"/>
      <c r="AP569" s="313"/>
      <c r="AQ569" s="313"/>
      <c r="AR569" s="313"/>
      <c r="AS569" s="312"/>
      <c r="AT569" s="313"/>
      <c r="AU569" s="313"/>
      <c r="AV569" s="313"/>
      <c r="AW569" s="313"/>
      <c r="AX569" s="313"/>
      <c r="AY569" s="313"/>
      <c r="AZ569" s="313"/>
      <c r="BA569" s="313"/>
      <c r="BB569" s="313"/>
      <c r="BC569" s="313"/>
      <c r="BD569" s="313"/>
    </row>
    <row r="570" spans="1:56" x14ac:dyDescent="0.25">
      <c r="A570" s="288" t="str">
        <f>'[2]Raw Milk Prices'!A570</f>
        <v>2023m11</v>
      </c>
      <c r="B570" s="296">
        <f>MATCH(DATE(LEFT('[2]Raw Milk Prices'!$A570,4),RIGHT('[2]Raw Milk Prices'!$A570,2),1),[1]Pivot!$A$1:$A$65000,0)</f>
        <v>19</v>
      </c>
      <c r="C570" s="194">
        <f>IFERROR(IF(INDEX([1]Pivot!$AD$1:$BE$65000,$B570,C$5)=1,1,IF(INDEX([1]Pivot!$B$1:$AB$65000,$B570,C$5)="",2,0)),0)</f>
        <v>0</v>
      </c>
      <c r="D570" s="194"/>
      <c r="E570" s="194"/>
      <c r="F570" s="194"/>
      <c r="G570" s="194"/>
      <c r="H570" s="194"/>
      <c r="I570" s="194"/>
      <c r="J570" s="194"/>
      <c r="K570" s="194"/>
      <c r="L570" s="194"/>
      <c r="M570" s="194"/>
      <c r="N570" s="194"/>
      <c r="O570" s="194"/>
      <c r="P570" s="194"/>
      <c r="Q570" s="194"/>
      <c r="R570" s="312"/>
      <c r="S570" s="194"/>
      <c r="T570" s="194"/>
      <c r="U570" s="194"/>
      <c r="V570" s="194"/>
      <c r="W570" s="194"/>
      <c r="X570" s="194"/>
      <c r="Y570" s="194"/>
      <c r="Z570" s="194"/>
      <c r="AA570" s="194"/>
      <c r="AB570" s="194"/>
      <c r="AC570" s="194"/>
      <c r="AD570" s="313"/>
      <c r="AE570" s="313"/>
      <c r="AF570" s="313"/>
      <c r="AG570" s="313"/>
      <c r="AH570" s="313"/>
      <c r="AI570" s="313"/>
      <c r="AJ570" s="313"/>
      <c r="AK570" s="313"/>
      <c r="AL570" s="313"/>
      <c r="AM570" s="313"/>
      <c r="AN570" s="313"/>
      <c r="AO570" s="313"/>
      <c r="AP570" s="313"/>
      <c r="AQ570" s="313"/>
      <c r="AR570" s="313"/>
      <c r="AS570" s="312"/>
      <c r="AT570" s="313"/>
      <c r="AU570" s="313"/>
      <c r="AV570" s="313"/>
      <c r="AW570" s="313"/>
      <c r="AX570" s="313"/>
      <c r="AY570" s="313"/>
      <c r="AZ570" s="313"/>
      <c r="BA570" s="313"/>
      <c r="BB570" s="313"/>
      <c r="BC570" s="313"/>
      <c r="BD570" s="313"/>
    </row>
    <row r="571" spans="1:56" x14ac:dyDescent="0.25">
      <c r="A571" s="288" t="str">
        <f>'[2]Raw Milk Prices'!A571</f>
        <v>2023m12</v>
      </c>
      <c r="B571" s="296">
        <f>MATCH(DATE(LEFT('[2]Raw Milk Prices'!$A571,4),RIGHT('[2]Raw Milk Prices'!$A571,2),1),[1]Pivot!$A$1:$A$65000,0)</f>
        <v>20</v>
      </c>
      <c r="C571" s="194">
        <f>IFERROR(IF(INDEX([1]Pivot!$AD$1:$BE$65000,$B571,C$5)=1,1,IF(INDEX([1]Pivot!$B$1:$AB$65000,$B571,C$5)="",2,0)),0)</f>
        <v>0</v>
      </c>
      <c r="D571" s="194"/>
      <c r="E571" s="194"/>
      <c r="F571" s="194"/>
      <c r="G571" s="194"/>
      <c r="H571" s="194"/>
      <c r="I571" s="194"/>
      <c r="J571" s="194"/>
      <c r="K571" s="194"/>
      <c r="L571" s="194"/>
      <c r="M571" s="194"/>
      <c r="N571" s="194"/>
      <c r="O571" s="194"/>
      <c r="P571" s="194"/>
      <c r="Q571" s="194"/>
      <c r="R571" s="312"/>
      <c r="S571" s="194"/>
      <c r="T571" s="194"/>
      <c r="U571" s="194"/>
      <c r="V571" s="194"/>
      <c r="W571" s="194"/>
      <c r="X571" s="194"/>
      <c r="Y571" s="194"/>
      <c r="Z571" s="194"/>
      <c r="AA571" s="194"/>
      <c r="AB571" s="194"/>
      <c r="AC571" s="194"/>
      <c r="AD571" s="313"/>
      <c r="AE571" s="313"/>
      <c r="AF571" s="313"/>
      <c r="AG571" s="313"/>
      <c r="AH571" s="313"/>
      <c r="AI571" s="313"/>
      <c r="AJ571" s="313"/>
      <c r="AK571" s="313"/>
      <c r="AL571" s="313"/>
      <c r="AM571" s="313"/>
      <c r="AN571" s="313"/>
      <c r="AO571" s="313"/>
      <c r="AP571" s="313"/>
      <c r="AQ571" s="313"/>
      <c r="AR571" s="313"/>
      <c r="AS571" s="312"/>
      <c r="AT571" s="313"/>
      <c r="AU571" s="313"/>
      <c r="AV571" s="313"/>
      <c r="AW571" s="313"/>
      <c r="AX571" s="313"/>
      <c r="AY571" s="313"/>
      <c r="AZ571" s="313"/>
      <c r="BA571" s="313"/>
      <c r="BB571" s="313"/>
      <c r="BC571" s="313"/>
      <c r="BD571" s="313"/>
    </row>
    <row r="572" spans="1:56" x14ac:dyDescent="0.25">
      <c r="A572" s="288" t="str">
        <f>'[2]Raw Milk Prices'!A572</f>
        <v>2024m01</v>
      </c>
      <c r="B572" s="296">
        <f>MATCH(DATE(LEFT('[2]Raw Milk Prices'!$A572,4),RIGHT('[2]Raw Milk Prices'!$A572,2),1),[1]Pivot!$A$1:$A$65000,0)</f>
        <v>21</v>
      </c>
      <c r="C572" s="194">
        <f>IFERROR(IF(INDEX([1]Pivot!$AD$1:$BE$65000,$B572,C$5)=1,1,IF(INDEX([1]Pivot!$B$1:$AB$65000,$B572,C$5)="",2,0)),0)</f>
        <v>0</v>
      </c>
      <c r="D572" s="194"/>
      <c r="E572" s="194"/>
      <c r="F572" s="194"/>
      <c r="G572" s="194"/>
      <c r="H572" s="194"/>
      <c r="I572" s="194"/>
      <c r="J572" s="194"/>
      <c r="K572" s="194"/>
      <c r="L572" s="194"/>
      <c r="M572" s="194"/>
      <c r="N572" s="194"/>
      <c r="O572" s="194"/>
      <c r="P572" s="194"/>
      <c r="Q572" s="194"/>
      <c r="R572" s="312"/>
      <c r="S572" s="194"/>
      <c r="T572" s="194"/>
      <c r="U572" s="194"/>
      <c r="V572" s="194"/>
      <c r="W572" s="194"/>
      <c r="X572" s="194"/>
      <c r="Y572" s="194"/>
      <c r="Z572" s="194"/>
      <c r="AA572" s="194"/>
      <c r="AB572" s="194"/>
      <c r="AC572" s="194"/>
      <c r="AD572" s="313"/>
      <c r="AE572" s="313"/>
      <c r="AF572" s="313"/>
      <c r="AG572" s="313"/>
      <c r="AH572" s="313"/>
      <c r="AI572" s="313"/>
      <c r="AJ572" s="313"/>
      <c r="AK572" s="313"/>
      <c r="AL572" s="313"/>
      <c r="AM572" s="313"/>
      <c r="AN572" s="313"/>
      <c r="AO572" s="313"/>
      <c r="AP572" s="313"/>
      <c r="AQ572" s="313"/>
      <c r="AR572" s="313"/>
      <c r="AS572" s="312"/>
      <c r="AT572" s="313"/>
      <c r="AU572" s="313"/>
      <c r="AV572" s="313"/>
      <c r="AW572" s="313"/>
      <c r="AX572" s="313"/>
      <c r="AY572" s="313"/>
      <c r="AZ572" s="313"/>
      <c r="BA572" s="313"/>
      <c r="BB572" s="313"/>
      <c r="BC572" s="313"/>
      <c r="BD572" s="313"/>
    </row>
    <row r="573" spans="1:56" x14ac:dyDescent="0.25">
      <c r="A573" s="288" t="str">
        <f>'[2]Raw Milk Prices'!A573</f>
        <v>2024m02</v>
      </c>
      <c r="B573" s="296">
        <f>MATCH(DATE(LEFT('[2]Raw Milk Prices'!$A573,4),RIGHT('[2]Raw Milk Prices'!$A573,2),1),[1]Pivot!$A$1:$A$65000,0)</f>
        <v>22</v>
      </c>
      <c r="C573" s="194">
        <f>IFERROR(IF(INDEX([1]Pivot!$AD$1:$BE$65000,$B573,C$5)=1,1,IF(INDEX([1]Pivot!$B$1:$AB$65000,$B573,C$5)="",2,0)),0)</f>
        <v>0</v>
      </c>
      <c r="D573" s="194"/>
      <c r="E573" s="194"/>
      <c r="F573" s="194"/>
      <c r="G573" s="194"/>
      <c r="H573" s="194"/>
      <c r="I573" s="194"/>
      <c r="J573" s="194"/>
      <c r="K573" s="194"/>
      <c r="L573" s="194"/>
      <c r="M573" s="194"/>
      <c r="N573" s="194"/>
      <c r="O573" s="194"/>
      <c r="P573" s="194"/>
      <c r="Q573" s="194"/>
      <c r="R573" s="312"/>
      <c r="S573" s="194"/>
      <c r="T573" s="194"/>
      <c r="U573" s="194"/>
      <c r="V573" s="194"/>
      <c r="W573" s="194"/>
      <c r="X573" s="194"/>
      <c r="Y573" s="194"/>
      <c r="Z573" s="194"/>
      <c r="AA573" s="194"/>
      <c r="AB573" s="194"/>
      <c r="AC573" s="194"/>
      <c r="AD573" s="313"/>
      <c r="AE573" s="313"/>
      <c r="AF573" s="313"/>
      <c r="AG573" s="313"/>
      <c r="AH573" s="313"/>
      <c r="AI573" s="313"/>
      <c r="AJ573" s="313"/>
      <c r="AK573" s="313"/>
      <c r="AL573" s="313"/>
      <c r="AM573" s="313"/>
      <c r="AN573" s="313"/>
      <c r="AO573" s="313"/>
      <c r="AP573" s="313"/>
      <c r="AQ573" s="313"/>
      <c r="AR573" s="313"/>
      <c r="AS573" s="312"/>
      <c r="AT573" s="313"/>
      <c r="AU573" s="313"/>
      <c r="AV573" s="313"/>
      <c r="AW573" s="313"/>
      <c r="AX573" s="313"/>
      <c r="AY573" s="313"/>
      <c r="AZ573" s="313"/>
      <c r="BA573" s="313"/>
      <c r="BB573" s="313"/>
      <c r="BC573" s="313"/>
      <c r="BD573" s="313"/>
    </row>
    <row r="574" spans="1:56" x14ac:dyDescent="0.25">
      <c r="A574" s="288" t="str">
        <f>'[2]Raw Milk Prices'!A574</f>
        <v>2024m03</v>
      </c>
      <c r="B574" s="296">
        <f>MATCH(DATE(LEFT('[2]Raw Milk Prices'!$A574,4),RIGHT('[2]Raw Milk Prices'!$A574,2),1),[1]Pivot!$A$1:$A$65000,0)</f>
        <v>23</v>
      </c>
      <c r="C574" s="194">
        <f>IFERROR(IF(INDEX([1]Pivot!$AD$1:$BE$65000,$B574,C$5)=1,1,IF(INDEX([1]Pivot!$B$1:$AB$65000,$B574,C$5)="",2,0)),0)</f>
        <v>0</v>
      </c>
      <c r="D574" s="194"/>
      <c r="E574" s="194"/>
      <c r="F574" s="194"/>
      <c r="G574" s="194"/>
      <c r="H574" s="194"/>
      <c r="I574" s="194"/>
      <c r="J574" s="194"/>
      <c r="K574" s="194"/>
      <c r="L574" s="194"/>
      <c r="M574" s="194"/>
      <c r="N574" s="194"/>
      <c r="O574" s="194"/>
      <c r="P574" s="194"/>
      <c r="Q574" s="194"/>
      <c r="R574" s="312"/>
      <c r="S574" s="194"/>
      <c r="T574" s="194"/>
      <c r="U574" s="194"/>
      <c r="V574" s="194"/>
      <c r="W574" s="194"/>
      <c r="X574" s="194"/>
      <c r="Y574" s="194"/>
      <c r="Z574" s="194"/>
      <c r="AA574" s="194"/>
      <c r="AB574" s="194"/>
      <c r="AC574" s="194"/>
      <c r="AD574" s="313"/>
      <c r="AE574" s="313"/>
      <c r="AF574" s="313"/>
      <c r="AG574" s="313"/>
      <c r="AH574" s="313"/>
      <c r="AI574" s="313"/>
      <c r="AJ574" s="313"/>
      <c r="AK574" s="313"/>
      <c r="AL574" s="313"/>
      <c r="AM574" s="313"/>
      <c r="AN574" s="313"/>
      <c r="AO574" s="313"/>
      <c r="AP574" s="313"/>
      <c r="AQ574" s="313"/>
      <c r="AR574" s="313"/>
      <c r="AS574" s="312"/>
      <c r="AT574" s="313"/>
      <c r="AU574" s="313"/>
      <c r="AV574" s="313"/>
      <c r="AW574" s="313"/>
      <c r="AX574" s="313"/>
      <c r="AY574" s="313"/>
      <c r="AZ574" s="313"/>
      <c r="BA574" s="313"/>
      <c r="BB574" s="313"/>
      <c r="BC574" s="313"/>
      <c r="BD574" s="313"/>
    </row>
    <row r="575" spans="1:56" x14ac:dyDescent="0.25">
      <c r="A575" s="288" t="str">
        <f>'[2]Raw Milk Prices'!A575</f>
        <v>2024m04</v>
      </c>
      <c r="B575" s="296">
        <f>MATCH(DATE(LEFT('[2]Raw Milk Prices'!$A575,4),RIGHT('[2]Raw Milk Prices'!$A575,2),1),[1]Pivot!$A$1:$A$65000,0)</f>
        <v>24</v>
      </c>
      <c r="C575" s="194">
        <f>IFERROR(IF(INDEX([1]Pivot!$AD$1:$BE$65000,$B575,C$5)=1,1,IF(INDEX([1]Pivot!$B$1:$AB$65000,$B575,C$5)="",2,0)),0)</f>
        <v>0</v>
      </c>
      <c r="D575" s="194"/>
      <c r="E575" s="194"/>
      <c r="F575" s="194"/>
      <c r="G575" s="194"/>
      <c r="H575" s="194"/>
      <c r="I575" s="194"/>
      <c r="J575" s="194"/>
      <c r="K575" s="194"/>
      <c r="L575" s="194"/>
      <c r="M575" s="194"/>
      <c r="N575" s="194"/>
      <c r="O575" s="194"/>
      <c r="P575" s="194"/>
      <c r="Q575" s="194"/>
      <c r="R575" s="312"/>
      <c r="S575" s="194"/>
      <c r="T575" s="194"/>
      <c r="U575" s="194"/>
      <c r="V575" s="194"/>
      <c r="W575" s="194"/>
      <c r="X575" s="194"/>
      <c r="Y575" s="194"/>
      <c r="Z575" s="194"/>
      <c r="AA575" s="194"/>
      <c r="AB575" s="194"/>
      <c r="AC575" s="194"/>
      <c r="AD575" s="313"/>
      <c r="AE575" s="313"/>
      <c r="AF575" s="313"/>
      <c r="AG575" s="313"/>
      <c r="AH575" s="313"/>
      <c r="AI575" s="313"/>
      <c r="AJ575" s="313"/>
      <c r="AK575" s="313"/>
      <c r="AL575" s="313"/>
      <c r="AM575" s="313"/>
      <c r="AN575" s="313"/>
      <c r="AO575" s="313"/>
      <c r="AP575" s="313"/>
      <c r="AQ575" s="313"/>
      <c r="AR575" s="313"/>
      <c r="AS575" s="312"/>
      <c r="AT575" s="313"/>
      <c r="AU575" s="313"/>
      <c r="AV575" s="313"/>
      <c r="AW575" s="313"/>
      <c r="AX575" s="313"/>
      <c r="AY575" s="313"/>
      <c r="AZ575" s="313"/>
      <c r="BA575" s="313"/>
      <c r="BB575" s="313"/>
      <c r="BC575" s="313"/>
      <c r="BD575" s="313"/>
    </row>
    <row r="576" spans="1:56" x14ac:dyDescent="0.25">
      <c r="A576" s="288" t="str">
        <f>'[2]Raw Milk Prices'!A576</f>
        <v>2024m05</v>
      </c>
      <c r="B576" s="296">
        <f>MATCH(DATE(LEFT('[2]Raw Milk Prices'!$A576,4),RIGHT('[2]Raw Milk Prices'!$A576,2),1),[1]Pivot!$A$1:$A$65000,0)</f>
        <v>25</v>
      </c>
      <c r="C576" s="194">
        <f>IFERROR(IF(INDEX([1]Pivot!$AD$1:$BE$65000,$B576,C$5)=1,1,IF(INDEX([1]Pivot!$B$1:$AB$65000,$B576,C$5)="",2,0)),0)</f>
        <v>0</v>
      </c>
      <c r="D576" s="194"/>
      <c r="E576" s="194"/>
      <c r="F576" s="194"/>
      <c r="G576" s="194"/>
      <c r="H576" s="194"/>
      <c r="I576" s="194"/>
      <c r="J576" s="194"/>
      <c r="K576" s="194"/>
      <c r="L576" s="194"/>
      <c r="M576" s="194"/>
      <c r="N576" s="194"/>
      <c r="O576" s="194"/>
      <c r="P576" s="194"/>
      <c r="Q576" s="194"/>
      <c r="R576" s="312"/>
      <c r="S576" s="194"/>
      <c r="T576" s="194"/>
      <c r="U576" s="194"/>
      <c r="V576" s="194"/>
      <c r="W576" s="194"/>
      <c r="X576" s="194"/>
      <c r="Y576" s="194"/>
      <c r="Z576" s="194"/>
      <c r="AA576" s="194"/>
      <c r="AB576" s="194"/>
      <c r="AC576" s="194"/>
      <c r="AD576" s="313"/>
      <c r="AE576" s="313"/>
      <c r="AF576" s="313"/>
      <c r="AG576" s="313"/>
      <c r="AH576" s="313"/>
      <c r="AI576" s="313"/>
      <c r="AJ576" s="313"/>
      <c r="AK576" s="313"/>
      <c r="AL576" s="313"/>
      <c r="AM576" s="313"/>
      <c r="AN576" s="313"/>
      <c r="AO576" s="313"/>
      <c r="AP576" s="313"/>
      <c r="AQ576" s="313"/>
      <c r="AR576" s="313"/>
      <c r="AS576" s="312"/>
      <c r="AT576" s="313"/>
      <c r="AU576" s="313"/>
      <c r="AV576" s="313"/>
      <c r="AW576" s="313"/>
      <c r="AX576" s="313"/>
      <c r="AY576" s="313"/>
      <c r="AZ576" s="313"/>
      <c r="BA576" s="313"/>
      <c r="BB576" s="313"/>
      <c r="BC576" s="313"/>
      <c r="BD576" s="313"/>
    </row>
    <row r="577" spans="1:56" x14ac:dyDescent="0.25">
      <c r="A577" s="288" t="str">
        <f>'[2]Raw Milk Prices'!A577</f>
        <v>2024m06</v>
      </c>
      <c r="B577" s="296">
        <f>MATCH(DATE(LEFT('[2]Raw Milk Prices'!$A577,4),RIGHT('[2]Raw Milk Prices'!$A577,2),1),[1]Pivot!$A$1:$A$65000,0)</f>
        <v>26</v>
      </c>
      <c r="C577" s="194">
        <f>IFERROR(IF(INDEX([1]Pivot!$AD$1:$BE$65000,$B577,C$5)=1,1,IF(INDEX([1]Pivot!$B$1:$AB$65000,$B577,C$5)="",2,0)),0)</f>
        <v>0</v>
      </c>
      <c r="D577" s="194"/>
      <c r="E577" s="194"/>
      <c r="F577" s="194"/>
      <c r="G577" s="194"/>
      <c r="H577" s="194"/>
      <c r="I577" s="194"/>
      <c r="J577" s="194"/>
      <c r="K577" s="194"/>
      <c r="L577" s="194"/>
      <c r="M577" s="194"/>
      <c r="N577" s="194"/>
      <c r="O577" s="194"/>
      <c r="P577" s="194"/>
      <c r="Q577" s="194"/>
      <c r="R577" s="312"/>
      <c r="S577" s="194"/>
      <c r="T577" s="194"/>
      <c r="U577" s="194"/>
      <c r="V577" s="194"/>
      <c r="W577" s="194"/>
      <c r="X577" s="194"/>
      <c r="Y577" s="194"/>
      <c r="Z577" s="194"/>
      <c r="AA577" s="194"/>
      <c r="AB577" s="194"/>
      <c r="AC577" s="194"/>
      <c r="AD577" s="313"/>
      <c r="AE577" s="313"/>
      <c r="AF577" s="313"/>
      <c r="AG577" s="313"/>
      <c r="AH577" s="313"/>
      <c r="AI577" s="313"/>
      <c r="AJ577" s="313"/>
      <c r="AK577" s="313"/>
      <c r="AL577" s="313"/>
      <c r="AM577" s="313"/>
      <c r="AN577" s="313"/>
      <c r="AO577" s="313"/>
      <c r="AP577" s="313"/>
      <c r="AQ577" s="313"/>
      <c r="AR577" s="313"/>
      <c r="AS577" s="312"/>
      <c r="AT577" s="313"/>
      <c r="AU577" s="313"/>
      <c r="AV577" s="313"/>
      <c r="AW577" s="313"/>
      <c r="AX577" s="313"/>
      <c r="AY577" s="313"/>
      <c r="AZ577" s="313"/>
      <c r="BA577" s="313"/>
      <c r="BB577" s="313"/>
      <c r="BC577" s="313"/>
      <c r="BD577" s="313"/>
    </row>
    <row r="578" spans="1:56" x14ac:dyDescent="0.25">
      <c r="A578" s="288" t="str">
        <f>'[2]Raw Milk Prices'!A578</f>
        <v>2024m07</v>
      </c>
      <c r="B578" s="296">
        <f>MATCH(DATE(LEFT('[2]Raw Milk Prices'!$A578,4),RIGHT('[2]Raw Milk Prices'!$A578,2),1),[1]Pivot!$A$1:$A$65000,0)</f>
        <v>27</v>
      </c>
      <c r="C578" s="194">
        <f>IFERROR(IF(INDEX([1]Pivot!$AD$1:$BE$65000,$B578,C$5)=1,1,IF(INDEX([1]Pivot!$B$1:$AB$65000,$B578,C$5)="",2,0)),0)</f>
        <v>0</v>
      </c>
      <c r="D578" s="194"/>
      <c r="E578" s="194"/>
      <c r="F578" s="194"/>
      <c r="G578" s="194"/>
      <c r="H578" s="194"/>
      <c r="I578" s="194"/>
      <c r="J578" s="194"/>
      <c r="K578" s="194"/>
      <c r="L578" s="194"/>
      <c r="M578" s="194"/>
      <c r="N578" s="194"/>
      <c r="O578" s="194"/>
      <c r="P578" s="194"/>
      <c r="Q578" s="194"/>
      <c r="R578" s="312"/>
      <c r="S578" s="194"/>
      <c r="T578" s="194"/>
      <c r="U578" s="194"/>
      <c r="V578" s="194"/>
      <c r="W578" s="194"/>
      <c r="X578" s="194"/>
      <c r="Y578" s="194"/>
      <c r="Z578" s="194"/>
      <c r="AA578" s="194"/>
      <c r="AB578" s="194"/>
      <c r="AC578" s="194"/>
      <c r="AD578" s="313"/>
      <c r="AE578" s="313"/>
      <c r="AF578" s="313"/>
      <c r="AG578" s="313"/>
      <c r="AH578" s="313"/>
      <c r="AI578" s="313"/>
      <c r="AJ578" s="313"/>
      <c r="AK578" s="313"/>
      <c r="AL578" s="313"/>
      <c r="AM578" s="313"/>
      <c r="AN578" s="313"/>
      <c r="AO578" s="313"/>
      <c r="AP578" s="313"/>
      <c r="AQ578" s="313"/>
      <c r="AR578" s="313"/>
      <c r="AS578" s="312"/>
      <c r="AT578" s="313"/>
      <c r="AU578" s="313"/>
      <c r="AV578" s="313"/>
      <c r="AW578" s="313"/>
      <c r="AX578" s="313"/>
      <c r="AY578" s="313"/>
      <c r="AZ578" s="313"/>
      <c r="BA578" s="313"/>
      <c r="BB578" s="313"/>
      <c r="BC578" s="313"/>
      <c r="BD578" s="313"/>
    </row>
    <row r="579" spans="1:56" x14ac:dyDescent="0.25">
      <c r="A579" s="288" t="str">
        <f>'[2]Raw Milk Prices'!A579</f>
        <v>2024m08</v>
      </c>
      <c r="B579" s="296">
        <f>MATCH(DATE(LEFT('[2]Raw Milk Prices'!$A579,4),RIGHT('[2]Raw Milk Prices'!$A579,2),1),[1]Pivot!$A$1:$A$65000,0)</f>
        <v>28</v>
      </c>
      <c r="C579" s="194">
        <f>IFERROR(IF(INDEX([1]Pivot!$AD$1:$BE$65000,$B579,C$5)=1,1,IF(INDEX([1]Pivot!$B$1:$AB$65000,$B579,C$5)="",2,0)),0)</f>
        <v>0</v>
      </c>
      <c r="D579" s="194"/>
      <c r="E579" s="194"/>
      <c r="F579" s="194"/>
      <c r="G579" s="194"/>
      <c r="H579" s="194"/>
      <c r="I579" s="194"/>
      <c r="J579" s="194"/>
      <c r="K579" s="194"/>
      <c r="L579" s="194"/>
      <c r="M579" s="194"/>
      <c r="N579" s="194"/>
      <c r="O579" s="194"/>
      <c r="P579" s="194"/>
      <c r="Q579" s="194"/>
      <c r="R579" s="312"/>
      <c r="S579" s="194"/>
      <c r="T579" s="194"/>
      <c r="U579" s="194"/>
      <c r="V579" s="194"/>
      <c r="W579" s="194"/>
      <c r="X579" s="194"/>
      <c r="Y579" s="194"/>
      <c r="Z579" s="194"/>
      <c r="AA579" s="194"/>
      <c r="AB579" s="194"/>
      <c r="AC579" s="194"/>
      <c r="AD579" s="313"/>
      <c r="AE579" s="313"/>
      <c r="AF579" s="313"/>
      <c r="AG579" s="313"/>
      <c r="AH579" s="313"/>
      <c r="AI579" s="313"/>
      <c r="AJ579" s="313"/>
      <c r="AK579" s="313"/>
      <c r="AL579" s="313"/>
      <c r="AM579" s="313"/>
      <c r="AN579" s="313"/>
      <c r="AO579" s="313"/>
      <c r="AP579" s="313"/>
      <c r="AQ579" s="313"/>
      <c r="AR579" s="313"/>
      <c r="AS579" s="312"/>
      <c r="AT579" s="313"/>
      <c r="AU579" s="313"/>
      <c r="AV579" s="313"/>
      <c r="AW579" s="313"/>
      <c r="AX579" s="313"/>
      <c r="AY579" s="313"/>
      <c r="AZ579" s="313"/>
      <c r="BA579" s="313"/>
      <c r="BB579" s="313"/>
      <c r="BC579" s="313"/>
      <c r="BD579" s="313"/>
    </row>
    <row r="580" spans="1:56" x14ac:dyDescent="0.25">
      <c r="A580" s="288" t="str">
        <f>'[2]Raw Milk Prices'!A580</f>
        <v>2024m09</v>
      </c>
      <c r="B580" s="296">
        <f>MATCH(DATE(LEFT('[2]Raw Milk Prices'!$A580,4),RIGHT('[2]Raw Milk Prices'!$A580,2),1),[1]Pivot!$A$1:$A$65000,0)</f>
        <v>29</v>
      </c>
      <c r="C580" s="194">
        <f>IFERROR(IF(INDEX([1]Pivot!$AD$1:$BE$65000,$B580,C$5)=1,1,IF(INDEX([1]Pivot!$B$1:$AB$65000,$B580,C$5)="",2,0)),0)</f>
        <v>0</v>
      </c>
      <c r="D580" s="194"/>
      <c r="E580" s="194"/>
      <c r="F580" s="194"/>
      <c r="G580" s="194"/>
      <c r="H580" s="194"/>
      <c r="I580" s="194"/>
      <c r="J580" s="194"/>
      <c r="K580" s="194"/>
      <c r="L580" s="194"/>
      <c r="M580" s="194"/>
      <c r="N580" s="194"/>
      <c r="O580" s="194"/>
      <c r="P580" s="194"/>
      <c r="Q580" s="194"/>
      <c r="R580" s="312"/>
      <c r="S580" s="194"/>
      <c r="T580" s="194"/>
      <c r="U580" s="194"/>
      <c r="V580" s="194"/>
      <c r="W580" s="194"/>
      <c r="X580" s="194"/>
      <c r="Y580" s="194"/>
      <c r="Z580" s="194"/>
      <c r="AA580" s="194"/>
      <c r="AB580" s="194"/>
      <c r="AC580" s="194"/>
      <c r="AD580" s="313"/>
      <c r="AE580" s="313"/>
      <c r="AF580" s="313"/>
      <c r="AG580" s="313"/>
      <c r="AH580" s="313"/>
      <c r="AI580" s="313"/>
      <c r="AJ580" s="313"/>
      <c r="AK580" s="313"/>
      <c r="AL580" s="313"/>
      <c r="AM580" s="313"/>
      <c r="AN580" s="313"/>
      <c r="AO580" s="313"/>
      <c r="AP580" s="313"/>
      <c r="AQ580" s="313"/>
      <c r="AR580" s="313"/>
      <c r="AS580" s="312"/>
      <c r="AT580" s="313"/>
      <c r="AU580" s="313"/>
      <c r="AV580" s="313"/>
      <c r="AW580" s="313"/>
      <c r="AX580" s="313"/>
      <c r="AY580" s="313"/>
      <c r="AZ580" s="313"/>
      <c r="BA580" s="313"/>
      <c r="BB580" s="313"/>
      <c r="BC580" s="313"/>
      <c r="BD580" s="313"/>
    </row>
    <row r="581" spans="1:56" x14ac:dyDescent="0.25">
      <c r="A581" s="288" t="str">
        <f>'[2]Raw Milk Prices'!A581</f>
        <v>2024m10</v>
      </c>
      <c r="B581" s="296">
        <f>MATCH(DATE(LEFT('[2]Raw Milk Prices'!$A581,4),RIGHT('[2]Raw Milk Prices'!$A581,2),1),[1]Pivot!$A$1:$A$65000,0)</f>
        <v>30</v>
      </c>
      <c r="C581" s="194">
        <f>IFERROR(IF(INDEX([1]Pivot!$AD$1:$BE$65000,$B581,C$5)=1,1,IF(INDEX([1]Pivot!$B$1:$AB$65000,$B581,C$5)="",2,0)),0)</f>
        <v>0</v>
      </c>
      <c r="D581" s="194"/>
      <c r="E581" s="194"/>
      <c r="F581" s="194"/>
      <c r="G581" s="194"/>
      <c r="H581" s="194"/>
      <c r="I581" s="194"/>
      <c r="J581" s="194"/>
      <c r="K581" s="194"/>
      <c r="L581" s="194"/>
      <c r="M581" s="194"/>
      <c r="N581" s="194"/>
      <c r="O581" s="194"/>
      <c r="P581" s="194"/>
      <c r="Q581" s="194"/>
      <c r="R581" s="312"/>
      <c r="S581" s="194"/>
      <c r="T581" s="194"/>
      <c r="U581" s="194"/>
      <c r="V581" s="194"/>
      <c r="W581" s="194"/>
      <c r="X581" s="194"/>
      <c r="Y581" s="194"/>
      <c r="Z581" s="194"/>
      <c r="AA581" s="194"/>
      <c r="AB581" s="194"/>
      <c r="AC581" s="194"/>
      <c r="AD581" s="313"/>
      <c r="AE581" s="313"/>
      <c r="AF581" s="313"/>
      <c r="AG581" s="313"/>
      <c r="AH581" s="313"/>
      <c r="AI581" s="313"/>
      <c r="AJ581" s="313"/>
      <c r="AK581" s="313"/>
      <c r="AL581" s="313"/>
      <c r="AM581" s="313"/>
      <c r="AN581" s="313"/>
      <c r="AO581" s="313"/>
      <c r="AP581" s="313"/>
      <c r="AQ581" s="313"/>
      <c r="AR581" s="313"/>
      <c r="AS581" s="312"/>
      <c r="AT581" s="313"/>
      <c r="AU581" s="313"/>
      <c r="AV581" s="313"/>
      <c r="AW581" s="313"/>
      <c r="AX581" s="313"/>
      <c r="AY581" s="313"/>
      <c r="AZ581" s="313"/>
      <c r="BA581" s="313"/>
      <c r="BB581" s="313"/>
      <c r="BC581" s="313"/>
      <c r="BD581" s="313"/>
    </row>
    <row r="582" spans="1:56" x14ac:dyDescent="0.25">
      <c r="A582" s="288" t="str">
        <f>'[2]Raw Milk Prices'!A582</f>
        <v>2024m11</v>
      </c>
      <c r="B582" s="296">
        <f>MATCH(DATE(LEFT('[2]Raw Milk Prices'!$A582,4),RIGHT('[2]Raw Milk Prices'!$A582,2),1),[1]Pivot!$A$1:$A$65000,0)</f>
        <v>31</v>
      </c>
      <c r="C582" s="194">
        <f>IFERROR(IF(INDEX([1]Pivot!$AD$1:$BE$65000,$B582,C$5)=1,1,IF(INDEX([1]Pivot!$B$1:$AB$65000,$B582,C$5)="",2,0)),0)</f>
        <v>0</v>
      </c>
      <c r="D582" s="194"/>
      <c r="E582" s="194"/>
      <c r="F582" s="194"/>
      <c r="G582" s="194"/>
      <c r="H582" s="194"/>
      <c r="I582" s="194"/>
      <c r="J582" s="194"/>
      <c r="K582" s="194"/>
      <c r="L582" s="194"/>
      <c r="M582" s="194"/>
      <c r="N582" s="194"/>
      <c r="O582" s="194"/>
      <c r="P582" s="194"/>
      <c r="Q582" s="194"/>
      <c r="R582" s="312"/>
      <c r="S582" s="194"/>
      <c r="T582" s="194"/>
      <c r="U582" s="194"/>
      <c r="V582" s="194"/>
      <c r="W582" s="194"/>
      <c r="X582" s="194"/>
      <c r="Y582" s="194"/>
      <c r="Z582" s="194"/>
      <c r="AA582" s="194"/>
      <c r="AB582" s="194"/>
      <c r="AC582" s="194"/>
      <c r="AD582" s="313"/>
      <c r="AE582" s="313"/>
      <c r="AF582" s="313"/>
      <c r="AG582" s="313"/>
      <c r="AH582" s="313"/>
      <c r="AI582" s="313"/>
      <c r="AJ582" s="313"/>
      <c r="AK582" s="313"/>
      <c r="AL582" s="313"/>
      <c r="AM582" s="313"/>
      <c r="AN582" s="313"/>
      <c r="AO582" s="313"/>
      <c r="AP582" s="313"/>
      <c r="AQ582" s="313"/>
      <c r="AR582" s="313"/>
      <c r="AS582" s="312"/>
      <c r="AT582" s="313"/>
      <c r="AU582" s="313"/>
      <c r="AV582" s="313"/>
      <c r="AW582" s="313"/>
      <c r="AX582" s="313"/>
      <c r="AY582" s="313"/>
      <c r="AZ582" s="313"/>
      <c r="BA582" s="313"/>
      <c r="BB582" s="313"/>
      <c r="BC582" s="313"/>
      <c r="BD582" s="313"/>
    </row>
    <row r="583" spans="1:56" x14ac:dyDescent="0.25">
      <c r="A583" s="288" t="str">
        <f>'[2]Raw Milk Prices'!A583</f>
        <v>2024m12</v>
      </c>
      <c r="B583" s="296">
        <f>MATCH(DATE(LEFT('[2]Raw Milk Prices'!$A583,4),RIGHT('[2]Raw Milk Prices'!$A583,2),1),[1]Pivot!$A$1:$A$65000,0)</f>
        <v>32</v>
      </c>
      <c r="C583" s="194">
        <f>IFERROR(IF(INDEX([1]Pivot!$AD$1:$BE$65000,$B583,C$5)=1,1,IF(INDEX([1]Pivot!$B$1:$AB$65000,$B583,C$5)="",2,0)),0)</f>
        <v>0</v>
      </c>
      <c r="D583" s="194"/>
      <c r="E583" s="194"/>
      <c r="F583" s="194"/>
      <c r="G583" s="194"/>
      <c r="H583" s="194"/>
      <c r="I583" s="194"/>
      <c r="J583" s="194"/>
      <c r="K583" s="194"/>
      <c r="L583" s="194"/>
      <c r="M583" s="194"/>
      <c r="N583" s="194"/>
      <c r="O583" s="194"/>
      <c r="P583" s="194"/>
      <c r="Q583" s="194"/>
      <c r="R583" s="312"/>
      <c r="S583" s="194"/>
      <c r="T583" s="194"/>
      <c r="U583" s="194"/>
      <c r="V583" s="194"/>
      <c r="W583" s="194"/>
      <c r="X583" s="194"/>
      <c r="Y583" s="194"/>
      <c r="Z583" s="194"/>
      <c r="AA583" s="194"/>
      <c r="AB583" s="194"/>
      <c r="AC583" s="194"/>
      <c r="AD583" s="313"/>
      <c r="AE583" s="313"/>
      <c r="AF583" s="313"/>
      <c r="AG583" s="313"/>
      <c r="AH583" s="313"/>
      <c r="AI583" s="313"/>
      <c r="AJ583" s="313"/>
      <c r="AK583" s="313"/>
      <c r="AL583" s="313"/>
      <c r="AM583" s="313"/>
      <c r="AN583" s="313"/>
      <c r="AO583" s="313"/>
      <c r="AP583" s="313"/>
      <c r="AQ583" s="313"/>
      <c r="AR583" s="313"/>
      <c r="AS583" s="312"/>
      <c r="AT583" s="313"/>
      <c r="AU583" s="313"/>
      <c r="AV583" s="313"/>
      <c r="AW583" s="313"/>
      <c r="AX583" s="313"/>
      <c r="AY583" s="313"/>
      <c r="AZ583" s="313"/>
      <c r="BA583" s="313"/>
      <c r="BB583" s="313"/>
      <c r="BC583" s="313"/>
      <c r="BD583" s="313"/>
    </row>
    <row r="584" spans="1:56" x14ac:dyDescent="0.25">
      <c r="A584" s="288" t="str">
        <f>'[2]Raw Milk Prices'!A584</f>
        <v>2025m01</v>
      </c>
      <c r="B584" s="296">
        <f>MATCH(DATE(LEFT('[2]Raw Milk Prices'!$A584,4),RIGHT('[2]Raw Milk Prices'!$A584,2),1),[1]Pivot!$A$1:$A$65000,0)</f>
        <v>33</v>
      </c>
      <c r="C584" s="194">
        <f>IFERROR(IF(INDEX([1]Pivot!$AD$1:$BE$65000,$B584,C$5)=1,1,IF(INDEX([1]Pivot!$B$1:$AB$65000,$B584,C$5)="",2,0)),0)</f>
        <v>0</v>
      </c>
      <c r="D584" s="194">
        <f>IFERROR(IF(INDEX([1]Pivot!$AD$1:$BE$65000,$B584,D$5)=1,1,IF(INDEX([1]Pivot!$B$1:$AB$65000,$B584,D$5)="",2,0)),0)</f>
        <v>0</v>
      </c>
      <c r="E584" s="194">
        <f>IFERROR(IF(INDEX([1]Pivot!$AD$1:$BE$65000,$B584,E$5)=1,1,IF(INDEX([1]Pivot!$B$1:$AB$65000,$B584,E$5)="",2,0)),0)</f>
        <v>0</v>
      </c>
      <c r="F584" s="194">
        <f>IFERROR(IF(INDEX([1]Pivot!$AD$1:$BE$65000,$B584,F$5)=1,1,IF(INDEX([1]Pivot!$B$1:$AB$65000,$B584,F$5)="",2,0)),0)</f>
        <v>0</v>
      </c>
      <c r="G584" s="194">
        <f>IFERROR(IF(INDEX([1]Pivot!$AD$1:$BE$65000,$B584,G$5)=1,1,IF(INDEX([1]Pivot!$B$1:$AB$65000,$B584,G$5)="",2,0)),0)</f>
        <v>0</v>
      </c>
      <c r="H584" s="194">
        <f>IFERROR(IF(INDEX([1]Pivot!$AD$1:$BE$65000,$B584,H$5)=1,1,IF(INDEX([1]Pivot!$B$1:$AB$65000,$B584,H$5)="",2,0)),0)</f>
        <v>0</v>
      </c>
      <c r="I584" s="194">
        <f>IFERROR(IF(INDEX([1]Pivot!$AD$1:$BE$65000,$B584,I$5)=1,1,IF(INDEX([1]Pivot!$B$1:$AB$65000,$B584,I$5)="",2,0)),0)</f>
        <v>0</v>
      </c>
      <c r="J584" s="194">
        <f>IFERROR(IF(INDEX([1]Pivot!$AD$1:$BE$65000,$B584,J$5)=1,1,IF(INDEX([1]Pivot!$B$1:$AB$65000,$B584,J$5)="",2,0)),0)</f>
        <v>0</v>
      </c>
      <c r="K584" s="194">
        <f>IFERROR(IF(INDEX([1]Pivot!$AD$1:$BE$65000,$B584,K$5)=1,1,IF(INDEX([1]Pivot!$B$1:$AB$65000,$B584,K$5)="",2,0)),0)</f>
        <v>0</v>
      </c>
      <c r="L584" s="194">
        <f>IFERROR(IF(INDEX([1]Pivot!$AD$1:$BE$65000,$B584,L$5)=1,1,IF(INDEX([1]Pivot!$B$1:$AB$65000,$B584,L$5)="",2,0)),0)</f>
        <v>0</v>
      </c>
      <c r="M584" s="194">
        <f>IFERROR(IF(INDEX([1]Pivot!$AD$1:$BE$65000,$B584,M$5)=1,1,IF(INDEX([1]Pivot!$B$1:$AB$65000,$B584,M$5)="",2,0)),0)</f>
        <v>0</v>
      </c>
      <c r="N584" s="194">
        <f>IFERROR(IF(INDEX([1]Pivot!$AD$1:$BE$65000,$B584,N$5)=1,1,IF(INDEX([1]Pivot!$B$1:$AB$65000,$B584,N$5)="",2,0)),0)</f>
        <v>0</v>
      </c>
      <c r="O584" s="194">
        <f>IFERROR(IF(INDEX([1]Pivot!$AD$1:$BE$65000,$B584,O$5)=1,1,IF(INDEX([1]Pivot!$B$1:$AB$65000,$B584,O$5)="",2,0)),0)</f>
        <v>0</v>
      </c>
      <c r="P584" s="194">
        <f>IFERROR(IF(INDEX([1]Pivot!$AD$1:$BE$65000,$B584,P$5)=1,1,IF(INDEX([1]Pivot!$B$1:$AB$65000,$B584,P$5)="",2,0)),0)</f>
        <v>0</v>
      </c>
      <c r="Q584" s="194">
        <f>IFERROR(IF(INDEX([1]Pivot!$AD$1:$BE$65000,$B584,Q$5)=1,1,IF(INDEX([1]Pivot!$B$1:$AB$65000,$B584,Q$5)="",2,0)),0)</f>
        <v>0</v>
      </c>
      <c r="R584" s="312"/>
      <c r="S584" s="194">
        <f>IFERROR(IF(INDEX([1]Pivot!$AD$1:$BE$65000,$B584,S$5)=1,1,IF(INDEX([1]Pivot!$B$1:$AB$65000,$B584,S$5)="",2,0)),0)</f>
        <v>0</v>
      </c>
      <c r="T584" s="194">
        <f>IFERROR(IF(INDEX([1]Pivot!$AD$1:$BE$65000,$B584,T$5)=1,1,IF(INDEX([1]Pivot!$B$1:$AB$65000,$B584,T$5)="",2,0)),0)</f>
        <v>0</v>
      </c>
      <c r="U584" s="194">
        <f>IFERROR(IF(INDEX([1]Pivot!$AD$1:$BE$65000,$B584,U$5)=1,1,IF(INDEX([1]Pivot!$B$1:$AB$65000,$B584,U$5)="",2,0)),0)</f>
        <v>0</v>
      </c>
      <c r="V584" s="194">
        <f>IFERROR(IF(INDEX([1]Pivot!$AD$1:$BE$65000,$B584,V$5)=1,1,IF(INDEX([1]Pivot!$B$1:$AB$65000,$B584,V$5)="",2,0)),0)</f>
        <v>0</v>
      </c>
      <c r="W584" s="194">
        <f>IFERROR(IF(INDEX([1]Pivot!$AD$1:$BE$65000,$B584,W$5)=1,1,IF(INDEX([1]Pivot!$B$1:$AB$65000,$B584,W$5)="",2,0)),0)</f>
        <v>0</v>
      </c>
      <c r="X584" s="194">
        <f>IFERROR(IF(INDEX([1]Pivot!$AD$1:$BE$65000,$B584,X$5)=1,1,IF(INDEX([1]Pivot!$B$1:$AB$65000,$B584,X$5)="",2,0)),0)</f>
        <v>0</v>
      </c>
      <c r="Y584" s="194">
        <f>IFERROR(IF(INDEX([1]Pivot!$AD$1:$BE$65000,$B584,Y$5)=1,1,IF(INDEX([1]Pivot!$B$1:$AB$65000,$B584,Y$5)="",2,0)),0)</f>
        <v>0</v>
      </c>
      <c r="Z584" s="194">
        <f>IFERROR(IF(INDEX([1]Pivot!$AD$1:$BE$65000,$B584,Z$5)=1,1,IF(INDEX([1]Pivot!$B$1:$AB$65000,$B584,Z$5)="",2,0)),0)</f>
        <v>0</v>
      </c>
      <c r="AA584" s="194">
        <f>IFERROR(IF(INDEX([1]Pivot!$AD$1:$BE$65000,$B584,AA$5)=1,1,IF(INDEX([1]Pivot!$B$1:$AB$65000,$B584,AA$5)="",2,0)),0)</f>
        <v>0</v>
      </c>
      <c r="AB584" s="194">
        <f>IFERROR(IF(INDEX([1]Pivot!$AD$1:$BE$65000,$B584,AB$5)=1,1,IF(INDEX([1]Pivot!$B$1:$AB$65000,$B584,AB$5)="",2,0)),0)</f>
        <v>0</v>
      </c>
      <c r="AC584" s="194">
        <f>IFERROR(IF(INDEX([1]Pivot!$AD$1:$BE$65000,$B584,AC$5)=1,1,IF(INDEX([1]Pivot!$B$1:$AB$65000,$B584,AC$5)="",2,0)),0)</f>
        <v>0</v>
      </c>
      <c r="AD584" s="313">
        <f>IFERROR(IF(INDEX([1]Pivot!$BF$1:$CG$65000,$B584,AD$5)=1,1,IF(INDEX([1]Pivot!$B$1:$AB$65000,$B584,AD$5)="",2,0)),0)</f>
        <v>0</v>
      </c>
      <c r="AE584" s="313">
        <f>IFERROR(IF(INDEX([1]Pivot!$BF$1:$CG$65000,$B584,AE$5)=1,1,IF(INDEX([1]Pivot!$B$1:$AB$65000,$B584,AE$5)="",2,0)),0)</f>
        <v>0</v>
      </c>
      <c r="AF584" s="313">
        <f>IFERROR(IF(INDEX([1]Pivot!$BF$1:$CG$65000,$B584,AF$5)=1,1,IF(INDEX([1]Pivot!$B$1:$AB$65000,$B584,AF$5)="",2,0)),0)</f>
        <v>0</v>
      </c>
      <c r="AG584" s="313">
        <f>IFERROR(IF(INDEX([1]Pivot!$BF$1:$CG$65000,$B584,AG$5)=1,1,IF(INDEX([1]Pivot!$B$1:$AB$65000,$B584,AG$5)="",2,0)),0)</f>
        <v>0</v>
      </c>
      <c r="AH584" s="313">
        <f>IFERROR(IF(INDEX([1]Pivot!$BF$1:$CG$65000,$B584,AH$5)=1,1,IF(INDEX([1]Pivot!$B$1:$AB$65000,$B584,AH$5)="",2,0)),0)</f>
        <v>0</v>
      </c>
      <c r="AI584" s="313">
        <f>IFERROR(IF(INDEX([1]Pivot!$BF$1:$CG$65000,$B584,AI$5)=1,1,IF(INDEX([1]Pivot!$B$1:$AB$65000,$B584,AI$5)="",2,0)),0)</f>
        <v>0</v>
      </c>
      <c r="AJ584" s="313">
        <f>IFERROR(IF(INDEX([1]Pivot!$BF$1:$CG$65000,$B584,AJ$5)=1,1,IF(INDEX([1]Pivot!$B$1:$AB$65000,$B584,AJ$5)="",2,0)),0)</f>
        <v>0</v>
      </c>
      <c r="AK584" s="313">
        <f>IFERROR(IF(INDEX([1]Pivot!$BF$1:$CG$65000,$B584,AK$5)=1,1,IF(INDEX([1]Pivot!$B$1:$AB$65000,$B584,AK$5)="",2,0)),0)</f>
        <v>0</v>
      </c>
      <c r="AL584" s="313">
        <f>IFERROR(IF(INDEX([1]Pivot!$BF$1:$CG$65000,$B584,AL$5)=1,1,IF(INDEX([1]Pivot!$B$1:$AB$65000,$B584,AL$5)="",2,0)),0)</f>
        <v>0</v>
      </c>
      <c r="AM584" s="313">
        <f>IFERROR(IF(INDEX([1]Pivot!$BF$1:$CG$65000,$B584,AM$5)=1,1,IF(INDEX([1]Pivot!$B$1:$AB$65000,$B584,AM$5)="",2,0)),0)</f>
        <v>0</v>
      </c>
      <c r="AN584" s="313">
        <f>IFERROR(IF(INDEX([1]Pivot!$BF$1:$CG$65000,$B584,AN$5)=1,1,IF(INDEX([1]Pivot!$B$1:$AB$65000,$B584,AN$5)="",2,0)),0)</f>
        <v>0</v>
      </c>
      <c r="AO584" s="313">
        <f>IFERROR(IF(INDEX([1]Pivot!$BF$1:$CG$65000,$B584,AO$5)=1,1,IF(INDEX([1]Pivot!$B$1:$AB$65000,$B584,AO$5)="",2,0)),0)</f>
        <v>0</v>
      </c>
      <c r="AP584" s="313">
        <f>IFERROR(IF(INDEX([1]Pivot!$BF$1:$CG$65000,$B584,AP$5)=1,1,IF(INDEX([1]Pivot!$B$1:$AB$65000,$B584,AP$5)="",2,0)),0)</f>
        <v>0</v>
      </c>
      <c r="AQ584" s="313">
        <f>IFERROR(IF(INDEX([1]Pivot!$BF$1:$CG$65000,$B584,AQ$5)=1,1,IF(INDEX([1]Pivot!$B$1:$AB$65000,$B584,AQ$5)="",2,0)),0)</f>
        <v>0</v>
      </c>
      <c r="AR584" s="313">
        <f>IFERROR(IF(INDEX([1]Pivot!$BF$1:$CG$65000,$B584,AR$5)=1,1,IF(INDEX([1]Pivot!$B$1:$AB$65000,$B584,AR$5)="",2,0)),0)</f>
        <v>0</v>
      </c>
      <c r="AS584" s="312"/>
      <c r="AT584" s="313">
        <f>IFERROR(IF(INDEX([1]Pivot!$BF$1:$CG$65000,$B584,AT$5)=1,1,IF(INDEX([1]Pivot!$B$1:$AB$65000,$B584,AT$5)="",2,0)),0)</f>
        <v>0</v>
      </c>
      <c r="AU584" s="313">
        <f>IFERROR(IF(INDEX([1]Pivot!$BF$1:$CG$65000,$B584,AU$5)=1,1,IF(INDEX([1]Pivot!$B$1:$AB$65000,$B584,AU$5)="",2,0)),0)</f>
        <v>0</v>
      </c>
      <c r="AV584" s="313">
        <f>IFERROR(IF(INDEX([1]Pivot!$BF$1:$CG$65000,$B584,AV$5)=1,1,IF(INDEX([1]Pivot!$B$1:$AB$65000,$B584,AV$5)="",2,0)),0)</f>
        <v>0</v>
      </c>
      <c r="AW584" s="313">
        <f>IFERROR(IF(INDEX([1]Pivot!$BF$1:$CG$65000,$B584,AW$5)=1,1,IF(INDEX([1]Pivot!$B$1:$AB$65000,$B584,AW$5)="",2,0)),0)</f>
        <v>0</v>
      </c>
      <c r="AX584" s="313">
        <f>IFERROR(IF(INDEX([1]Pivot!$BF$1:$CG$65000,$B584,AX$5)=1,1,IF(INDEX([1]Pivot!$B$1:$AB$65000,$B584,AX$5)="",2,0)),0)</f>
        <v>0</v>
      </c>
      <c r="AY584" s="313">
        <f>IFERROR(IF(INDEX([1]Pivot!$BF$1:$CG$65000,$B584,AY$5)=1,1,IF(INDEX([1]Pivot!$B$1:$AB$65000,$B584,AY$5)="",2,0)),0)</f>
        <v>0</v>
      </c>
      <c r="AZ584" s="313">
        <f>IFERROR(IF(INDEX([1]Pivot!$BF$1:$CG$65000,$B584,AZ$5)=1,1,IF(INDEX([1]Pivot!$B$1:$AB$65000,$B584,AZ$5)="",2,0)),0)</f>
        <v>0</v>
      </c>
      <c r="BA584" s="313">
        <f>IFERROR(IF(INDEX([1]Pivot!$BF$1:$CG$65000,$B584,BA$5)=1,1,IF(INDEX([1]Pivot!$B$1:$AB$65000,$B584,BA$5)="",2,0)),0)</f>
        <v>0</v>
      </c>
      <c r="BB584" s="313">
        <f>IFERROR(IF(INDEX([1]Pivot!$BF$1:$CG$65000,$B584,BB$5)=1,1,IF(INDEX([1]Pivot!$B$1:$AB$65000,$B584,BB$5)="",2,0)),0)</f>
        <v>0</v>
      </c>
      <c r="BC584" s="313">
        <f>IFERROR(IF(INDEX([1]Pivot!$BF$1:$CG$65000,$B584,BC$5)=1,1,IF(INDEX([1]Pivot!$B$1:$AB$65000,$B584,BC$5)="",2,0)),0)</f>
        <v>0</v>
      </c>
      <c r="BD584" s="313">
        <f>IFERROR(IF(INDEX([1]Pivot!$BF$1:$CG$65000,$B584,BD$5)=1,1,IF(INDEX([1]Pivot!$B$1:$AB$65000,$B584,BD$5)="",2,0)),0)</f>
        <v>0</v>
      </c>
    </row>
    <row r="585" spans="1:56" x14ac:dyDescent="0.25">
      <c r="A585" s="288" t="str">
        <f>'[2]Raw Milk Prices'!A585</f>
        <v>2025m02</v>
      </c>
      <c r="B585" s="296">
        <f>MATCH(DATE(LEFT('[2]Raw Milk Prices'!$A585,4),RIGHT('[2]Raw Milk Prices'!$A585,2),1),[1]Pivot!$A$1:$A$65000,0)</f>
        <v>34</v>
      </c>
      <c r="C585" s="194">
        <f>IFERROR(IF(INDEX([1]Pivot!$AD$1:$BE$65000,$B585,C$5)=1,1,IF(INDEX([1]Pivot!$B$1:$AB$65000,$B585,C$5)="",2,0)),0)</f>
        <v>0</v>
      </c>
      <c r="D585" s="194">
        <f>IFERROR(IF(INDEX([1]Pivot!$AD$1:$BE$65000,$B585,D$5)=1,1,IF(INDEX([1]Pivot!$B$1:$AB$65000,$B585,D$5)="",2,0)),0)</f>
        <v>0</v>
      </c>
      <c r="E585" s="194">
        <f>IFERROR(IF(INDEX([1]Pivot!$AD$1:$BE$65000,$B585,E$5)=1,1,IF(INDEX([1]Pivot!$B$1:$AB$65000,$B585,E$5)="",2,0)),0)</f>
        <v>0</v>
      </c>
      <c r="F585" s="194">
        <f>IFERROR(IF(INDEX([1]Pivot!$AD$1:$BE$65000,$B585,F$5)=1,1,IF(INDEX([1]Pivot!$B$1:$AB$65000,$B585,F$5)="",2,0)),0)</f>
        <v>0</v>
      </c>
      <c r="G585" s="194">
        <f>IFERROR(IF(INDEX([1]Pivot!$AD$1:$BE$65000,$B585,G$5)=1,1,IF(INDEX([1]Pivot!$B$1:$AB$65000,$B585,G$5)="",2,0)),0)</f>
        <v>0</v>
      </c>
      <c r="H585" s="194">
        <f>IFERROR(IF(INDEX([1]Pivot!$AD$1:$BE$65000,$B585,H$5)=1,1,IF(INDEX([1]Pivot!$B$1:$AB$65000,$B585,H$5)="",2,0)),0)</f>
        <v>0</v>
      </c>
      <c r="I585" s="194">
        <f>IFERROR(IF(INDEX([1]Pivot!$AD$1:$BE$65000,$B585,I$5)=1,1,IF(INDEX([1]Pivot!$B$1:$AB$65000,$B585,I$5)="",2,0)),0)</f>
        <v>0</v>
      </c>
      <c r="J585" s="194">
        <f>IFERROR(IF(INDEX([1]Pivot!$AD$1:$BE$65000,$B585,J$5)=1,1,IF(INDEX([1]Pivot!$B$1:$AB$65000,$B585,J$5)="",2,0)),0)</f>
        <v>0</v>
      </c>
      <c r="K585" s="194">
        <f>IFERROR(IF(INDEX([1]Pivot!$AD$1:$BE$65000,$B585,K$5)=1,1,IF(INDEX([1]Pivot!$B$1:$AB$65000,$B585,K$5)="",2,0)),0)</f>
        <v>0</v>
      </c>
      <c r="L585" s="194">
        <f>IFERROR(IF(INDEX([1]Pivot!$AD$1:$BE$65000,$B585,L$5)=1,1,IF(INDEX([1]Pivot!$B$1:$AB$65000,$B585,L$5)="",2,0)),0)</f>
        <v>0</v>
      </c>
      <c r="M585" s="194">
        <f>IFERROR(IF(INDEX([1]Pivot!$AD$1:$BE$65000,$B585,M$5)=1,1,IF(INDEX([1]Pivot!$B$1:$AB$65000,$B585,M$5)="",2,0)),0)</f>
        <v>0</v>
      </c>
      <c r="N585" s="194">
        <f>IFERROR(IF(INDEX([1]Pivot!$AD$1:$BE$65000,$B585,N$5)=1,1,IF(INDEX([1]Pivot!$B$1:$AB$65000,$B585,N$5)="",2,0)),0)</f>
        <v>0</v>
      </c>
      <c r="O585" s="194">
        <f>IFERROR(IF(INDEX([1]Pivot!$AD$1:$BE$65000,$B585,O$5)=1,1,IF(INDEX([1]Pivot!$B$1:$AB$65000,$B585,O$5)="",2,0)),0)</f>
        <v>0</v>
      </c>
      <c r="P585" s="194">
        <f>IFERROR(IF(INDEX([1]Pivot!$AD$1:$BE$65000,$B585,P$5)=1,1,IF(INDEX([1]Pivot!$B$1:$AB$65000,$B585,P$5)="",2,0)),0)</f>
        <v>0</v>
      </c>
      <c r="Q585" s="194">
        <f>IFERROR(IF(INDEX([1]Pivot!$AD$1:$BE$65000,$B585,Q$5)=1,1,IF(INDEX([1]Pivot!$B$1:$AB$65000,$B585,Q$5)="",2,0)),0)</f>
        <v>0</v>
      </c>
      <c r="R585" s="312"/>
      <c r="S585" s="194">
        <f>IFERROR(IF(INDEX([1]Pivot!$AD$1:$BE$65000,$B585,S$5)=1,1,IF(INDEX([1]Pivot!$B$1:$AB$65000,$B585,S$5)="",2,0)),0)</f>
        <v>0</v>
      </c>
      <c r="T585" s="194">
        <f>IFERROR(IF(INDEX([1]Pivot!$AD$1:$BE$65000,$B585,T$5)=1,1,IF(INDEX([1]Pivot!$B$1:$AB$65000,$B585,T$5)="",2,0)),0)</f>
        <v>0</v>
      </c>
      <c r="U585" s="194">
        <f>IFERROR(IF(INDEX([1]Pivot!$AD$1:$BE$65000,$B585,U$5)=1,1,IF(INDEX([1]Pivot!$B$1:$AB$65000,$B585,U$5)="",2,0)),0)</f>
        <v>0</v>
      </c>
      <c r="V585" s="194">
        <f>IFERROR(IF(INDEX([1]Pivot!$AD$1:$BE$65000,$B585,V$5)=1,1,IF(INDEX([1]Pivot!$B$1:$AB$65000,$B585,V$5)="",2,0)),0)</f>
        <v>0</v>
      </c>
      <c r="W585" s="194">
        <f>IFERROR(IF(INDEX([1]Pivot!$AD$1:$BE$65000,$B585,W$5)=1,1,IF(INDEX([1]Pivot!$B$1:$AB$65000,$B585,W$5)="",2,0)),0)</f>
        <v>0</v>
      </c>
      <c r="X585" s="194">
        <f>IFERROR(IF(INDEX([1]Pivot!$AD$1:$BE$65000,$B585,X$5)=1,1,IF(INDEX([1]Pivot!$B$1:$AB$65000,$B585,X$5)="",2,0)),0)</f>
        <v>0</v>
      </c>
      <c r="Y585" s="194">
        <f>IFERROR(IF(INDEX([1]Pivot!$AD$1:$BE$65000,$B585,Y$5)=1,1,IF(INDEX([1]Pivot!$B$1:$AB$65000,$B585,Y$5)="",2,0)),0)</f>
        <v>0</v>
      </c>
      <c r="Z585" s="194">
        <f>IFERROR(IF(INDEX([1]Pivot!$AD$1:$BE$65000,$B585,Z$5)=1,1,IF(INDEX([1]Pivot!$B$1:$AB$65000,$B585,Z$5)="",2,0)),0)</f>
        <v>0</v>
      </c>
      <c r="AA585" s="194">
        <f>IFERROR(IF(INDEX([1]Pivot!$AD$1:$BE$65000,$B585,AA$5)=1,1,IF(INDEX([1]Pivot!$B$1:$AB$65000,$B585,AA$5)="",2,0)),0)</f>
        <v>0</v>
      </c>
      <c r="AB585" s="194">
        <f>IFERROR(IF(INDEX([1]Pivot!$AD$1:$BE$65000,$B585,AB$5)=1,1,IF(INDEX([1]Pivot!$B$1:$AB$65000,$B585,AB$5)="",2,0)),0)</f>
        <v>0</v>
      </c>
      <c r="AC585" s="194">
        <f>IFERROR(IF(INDEX([1]Pivot!$AD$1:$BE$65000,$B585,AC$5)=1,1,IF(INDEX([1]Pivot!$B$1:$AB$65000,$B585,AC$5)="",2,0)),0)</f>
        <v>0</v>
      </c>
      <c r="AD585" s="313">
        <f>IFERROR(IF(INDEX([1]Pivot!$BF$1:$CG$65000,$B585,AD$5)=1,1,IF(INDEX([1]Pivot!$B$1:$AB$65000,$B585,AD$5)="",2,0)),0)</f>
        <v>0</v>
      </c>
      <c r="AE585" s="313">
        <f>IFERROR(IF(INDEX([1]Pivot!$BF$1:$CG$65000,$B585,AE$5)=1,1,IF(INDEX([1]Pivot!$B$1:$AB$65000,$B585,AE$5)="",2,0)),0)</f>
        <v>0</v>
      </c>
      <c r="AF585" s="313">
        <f>IFERROR(IF(INDEX([1]Pivot!$BF$1:$CG$65000,$B585,AF$5)=1,1,IF(INDEX([1]Pivot!$B$1:$AB$65000,$B585,AF$5)="",2,0)),0)</f>
        <v>0</v>
      </c>
      <c r="AG585" s="313">
        <f>IFERROR(IF(INDEX([1]Pivot!$BF$1:$CG$65000,$B585,AG$5)=1,1,IF(INDEX([1]Pivot!$B$1:$AB$65000,$B585,AG$5)="",2,0)),0)</f>
        <v>0</v>
      </c>
      <c r="AH585" s="313">
        <f>IFERROR(IF(INDEX([1]Pivot!$BF$1:$CG$65000,$B585,AH$5)=1,1,IF(INDEX([1]Pivot!$B$1:$AB$65000,$B585,AH$5)="",2,0)),0)</f>
        <v>0</v>
      </c>
      <c r="AI585" s="313">
        <f>IFERROR(IF(INDEX([1]Pivot!$BF$1:$CG$65000,$B585,AI$5)=1,1,IF(INDEX([1]Pivot!$B$1:$AB$65000,$B585,AI$5)="",2,0)),0)</f>
        <v>0</v>
      </c>
      <c r="AJ585" s="313">
        <f>IFERROR(IF(INDEX([1]Pivot!$BF$1:$CG$65000,$B585,AJ$5)=1,1,IF(INDEX([1]Pivot!$B$1:$AB$65000,$B585,AJ$5)="",2,0)),0)</f>
        <v>0</v>
      </c>
      <c r="AK585" s="313">
        <f>IFERROR(IF(INDEX([1]Pivot!$BF$1:$CG$65000,$B585,AK$5)=1,1,IF(INDEX([1]Pivot!$B$1:$AB$65000,$B585,AK$5)="",2,0)),0)</f>
        <v>0</v>
      </c>
      <c r="AL585" s="313">
        <f>IFERROR(IF(INDEX([1]Pivot!$BF$1:$CG$65000,$B585,AL$5)=1,1,IF(INDEX([1]Pivot!$B$1:$AB$65000,$B585,AL$5)="",2,0)),0)</f>
        <v>0</v>
      </c>
      <c r="AM585" s="313">
        <f>IFERROR(IF(INDEX([1]Pivot!$BF$1:$CG$65000,$B585,AM$5)=1,1,IF(INDEX([1]Pivot!$B$1:$AB$65000,$B585,AM$5)="",2,0)),0)</f>
        <v>0</v>
      </c>
      <c r="AN585" s="313">
        <f>IFERROR(IF(INDEX([1]Pivot!$BF$1:$CG$65000,$B585,AN$5)=1,1,IF(INDEX([1]Pivot!$B$1:$AB$65000,$B585,AN$5)="",2,0)),0)</f>
        <v>0</v>
      </c>
      <c r="AO585" s="313">
        <f>IFERROR(IF(INDEX([1]Pivot!$BF$1:$CG$65000,$B585,AO$5)=1,1,IF(INDEX([1]Pivot!$B$1:$AB$65000,$B585,AO$5)="",2,0)),0)</f>
        <v>0</v>
      </c>
      <c r="AP585" s="313">
        <f>IFERROR(IF(INDEX([1]Pivot!$BF$1:$CG$65000,$B585,AP$5)=1,1,IF(INDEX([1]Pivot!$B$1:$AB$65000,$B585,AP$5)="",2,0)),0)</f>
        <v>0</v>
      </c>
      <c r="AQ585" s="313">
        <f>IFERROR(IF(INDEX([1]Pivot!$BF$1:$CG$65000,$B585,AQ$5)=1,1,IF(INDEX([1]Pivot!$B$1:$AB$65000,$B585,AQ$5)="",2,0)),0)</f>
        <v>0</v>
      </c>
      <c r="AR585" s="313">
        <f>IFERROR(IF(INDEX([1]Pivot!$BF$1:$CG$65000,$B585,AR$5)=1,1,IF(INDEX([1]Pivot!$B$1:$AB$65000,$B585,AR$5)="",2,0)),0)</f>
        <v>0</v>
      </c>
      <c r="AS585" s="312"/>
      <c r="AT585" s="313">
        <f>IFERROR(IF(INDEX([1]Pivot!$BF$1:$CG$65000,$B585,AT$5)=1,1,IF(INDEX([1]Pivot!$B$1:$AB$65000,$B585,AT$5)="",2,0)),0)</f>
        <v>0</v>
      </c>
      <c r="AU585" s="313">
        <f>IFERROR(IF(INDEX([1]Pivot!$BF$1:$CG$65000,$B585,AU$5)=1,1,IF(INDEX([1]Pivot!$B$1:$AB$65000,$B585,AU$5)="",2,0)),0)</f>
        <v>0</v>
      </c>
      <c r="AV585" s="313">
        <f>IFERROR(IF(INDEX([1]Pivot!$BF$1:$CG$65000,$B585,AV$5)=1,1,IF(INDEX([1]Pivot!$B$1:$AB$65000,$B585,AV$5)="",2,0)),0)</f>
        <v>0</v>
      </c>
      <c r="AW585" s="313">
        <f>IFERROR(IF(INDEX([1]Pivot!$BF$1:$CG$65000,$B585,AW$5)=1,1,IF(INDEX([1]Pivot!$B$1:$AB$65000,$B585,AW$5)="",2,0)),0)</f>
        <v>0</v>
      </c>
      <c r="AX585" s="313">
        <f>IFERROR(IF(INDEX([1]Pivot!$BF$1:$CG$65000,$B585,AX$5)=1,1,IF(INDEX([1]Pivot!$B$1:$AB$65000,$B585,AX$5)="",2,0)),0)</f>
        <v>0</v>
      </c>
      <c r="AY585" s="313">
        <f>IFERROR(IF(INDEX([1]Pivot!$BF$1:$CG$65000,$B585,AY$5)=1,1,IF(INDEX([1]Pivot!$B$1:$AB$65000,$B585,AY$5)="",2,0)),0)</f>
        <v>0</v>
      </c>
      <c r="AZ585" s="313">
        <f>IFERROR(IF(INDEX([1]Pivot!$BF$1:$CG$65000,$B585,AZ$5)=1,1,IF(INDEX([1]Pivot!$B$1:$AB$65000,$B585,AZ$5)="",2,0)),0)</f>
        <v>0</v>
      </c>
      <c r="BA585" s="313">
        <f>IFERROR(IF(INDEX([1]Pivot!$BF$1:$CG$65000,$B585,BA$5)=1,1,IF(INDEX([1]Pivot!$B$1:$AB$65000,$B585,BA$5)="",2,0)),0)</f>
        <v>0</v>
      </c>
      <c r="BB585" s="313">
        <f>IFERROR(IF(INDEX([1]Pivot!$BF$1:$CG$65000,$B585,BB$5)=1,1,IF(INDEX([1]Pivot!$B$1:$AB$65000,$B585,BB$5)="",2,0)),0)</f>
        <v>0</v>
      </c>
      <c r="BC585" s="313">
        <f>IFERROR(IF(INDEX([1]Pivot!$BF$1:$CG$65000,$B585,BC$5)=1,1,IF(INDEX([1]Pivot!$B$1:$AB$65000,$B585,BC$5)="",2,0)),0)</f>
        <v>0</v>
      </c>
      <c r="BD585" s="313">
        <f>IFERROR(IF(INDEX([1]Pivot!$BF$1:$CG$65000,$B585,BD$5)=1,1,IF(INDEX([1]Pivot!$B$1:$AB$65000,$B585,BD$5)="",2,0)),0)</f>
        <v>0</v>
      </c>
    </row>
    <row r="586" spans="1:56" x14ac:dyDescent="0.25">
      <c r="A586" s="288" t="str">
        <f>'[2]Raw Milk Prices'!A586</f>
        <v>2025m03</v>
      </c>
      <c r="B586" s="296">
        <f>MATCH(DATE(LEFT('[2]Raw Milk Prices'!$A586,4),RIGHT('[2]Raw Milk Prices'!$A586,2),1),[1]Pivot!$A$1:$A$65000,0)</f>
        <v>35</v>
      </c>
      <c r="C586" s="194">
        <f>IFERROR(IF(INDEX([1]Pivot!$AD$1:$BE$65000,$B586,C$5)=1,1,IF(INDEX([1]Pivot!$B$1:$AB$65000,$B586,C$5)="",2,0)),0)</f>
        <v>0</v>
      </c>
      <c r="D586" s="194">
        <f>IFERROR(IF(INDEX([1]Pivot!$AD$1:$BE$65000,$B586,D$5)=1,1,IF(INDEX([1]Pivot!$B$1:$AB$65000,$B586,D$5)="",2,0)),0)</f>
        <v>0</v>
      </c>
      <c r="E586" s="194">
        <f>IFERROR(IF(INDEX([1]Pivot!$AD$1:$BE$65000,$B586,E$5)=1,1,IF(INDEX([1]Pivot!$B$1:$AB$65000,$B586,E$5)="",2,0)),0)</f>
        <v>0</v>
      </c>
      <c r="F586" s="194">
        <f>IFERROR(IF(INDEX([1]Pivot!$AD$1:$BE$65000,$B586,F$5)=1,1,IF(INDEX([1]Pivot!$B$1:$AB$65000,$B586,F$5)="",2,0)),0)</f>
        <v>0</v>
      </c>
      <c r="G586" s="194">
        <f>IFERROR(IF(INDEX([1]Pivot!$AD$1:$BE$65000,$B586,G$5)=1,1,IF(INDEX([1]Pivot!$B$1:$AB$65000,$B586,G$5)="",2,0)),0)</f>
        <v>0</v>
      </c>
      <c r="H586" s="194">
        <f>IFERROR(IF(INDEX([1]Pivot!$AD$1:$BE$65000,$B586,H$5)=1,1,IF(INDEX([1]Pivot!$B$1:$AB$65000,$B586,H$5)="",2,0)),0)</f>
        <v>0</v>
      </c>
      <c r="I586" s="194">
        <f>IFERROR(IF(INDEX([1]Pivot!$AD$1:$BE$65000,$B586,I$5)=1,1,IF(INDEX([1]Pivot!$B$1:$AB$65000,$B586,I$5)="",2,0)),0)</f>
        <v>0</v>
      </c>
      <c r="J586" s="194">
        <f>IFERROR(IF(INDEX([1]Pivot!$AD$1:$BE$65000,$B586,J$5)=1,1,IF(INDEX([1]Pivot!$B$1:$AB$65000,$B586,J$5)="",2,0)),0)</f>
        <v>0</v>
      </c>
      <c r="K586" s="194">
        <f>IFERROR(IF(INDEX([1]Pivot!$AD$1:$BE$65000,$B586,K$5)=1,1,IF(INDEX([1]Pivot!$B$1:$AB$65000,$B586,K$5)="",2,0)),0)</f>
        <v>0</v>
      </c>
      <c r="L586" s="194">
        <f>IFERROR(IF(INDEX([1]Pivot!$AD$1:$BE$65000,$B586,L$5)=1,1,IF(INDEX([1]Pivot!$B$1:$AB$65000,$B586,L$5)="",2,0)),0)</f>
        <v>0</v>
      </c>
      <c r="M586" s="194">
        <f>IFERROR(IF(INDEX([1]Pivot!$AD$1:$BE$65000,$B586,M$5)=1,1,IF(INDEX([1]Pivot!$B$1:$AB$65000,$B586,M$5)="",2,0)),0)</f>
        <v>0</v>
      </c>
      <c r="N586" s="194">
        <f>IFERROR(IF(INDEX([1]Pivot!$AD$1:$BE$65000,$B586,N$5)=1,1,IF(INDEX([1]Pivot!$B$1:$AB$65000,$B586,N$5)="",2,0)),0)</f>
        <v>0</v>
      </c>
      <c r="O586" s="194">
        <f>IFERROR(IF(INDEX([1]Pivot!$AD$1:$BE$65000,$B586,O$5)=1,1,IF(INDEX([1]Pivot!$B$1:$AB$65000,$B586,O$5)="",2,0)),0)</f>
        <v>0</v>
      </c>
      <c r="P586" s="194">
        <f>IFERROR(IF(INDEX([1]Pivot!$AD$1:$BE$65000,$B586,P$5)=1,1,IF(INDEX([1]Pivot!$B$1:$AB$65000,$B586,P$5)="",2,0)),0)</f>
        <v>0</v>
      </c>
      <c r="Q586" s="194">
        <f>IFERROR(IF(INDEX([1]Pivot!$AD$1:$BE$65000,$B586,Q$5)=1,1,IF(INDEX([1]Pivot!$B$1:$AB$65000,$B586,Q$5)="",2,0)),0)</f>
        <v>0</v>
      </c>
      <c r="R586" s="312"/>
      <c r="S586" s="194">
        <f>IFERROR(IF(INDEX([1]Pivot!$AD$1:$BE$65000,$B586,S$5)=1,1,IF(INDEX([1]Pivot!$B$1:$AB$65000,$B586,S$5)="",2,0)),0)</f>
        <v>0</v>
      </c>
      <c r="T586" s="194">
        <f>IFERROR(IF(INDEX([1]Pivot!$AD$1:$BE$65000,$B586,T$5)=1,1,IF(INDEX([1]Pivot!$B$1:$AB$65000,$B586,T$5)="",2,0)),0)</f>
        <v>0</v>
      </c>
      <c r="U586" s="194">
        <f>IFERROR(IF(INDEX([1]Pivot!$AD$1:$BE$65000,$B586,U$5)=1,1,IF(INDEX([1]Pivot!$B$1:$AB$65000,$B586,U$5)="",2,0)),0)</f>
        <v>0</v>
      </c>
      <c r="V586" s="194">
        <f>IFERROR(IF(INDEX([1]Pivot!$AD$1:$BE$65000,$B586,V$5)=1,1,IF(INDEX([1]Pivot!$B$1:$AB$65000,$B586,V$5)="",2,0)),0)</f>
        <v>0</v>
      </c>
      <c r="W586" s="194">
        <f>IFERROR(IF(INDEX([1]Pivot!$AD$1:$BE$65000,$B586,W$5)=1,1,IF(INDEX([1]Pivot!$B$1:$AB$65000,$B586,W$5)="",2,0)),0)</f>
        <v>0</v>
      </c>
      <c r="X586" s="194">
        <f>IFERROR(IF(INDEX([1]Pivot!$AD$1:$BE$65000,$B586,X$5)=1,1,IF(INDEX([1]Pivot!$B$1:$AB$65000,$B586,X$5)="",2,0)),0)</f>
        <v>0</v>
      </c>
      <c r="Y586" s="194">
        <f>IFERROR(IF(INDEX([1]Pivot!$AD$1:$BE$65000,$B586,Y$5)=1,1,IF(INDEX([1]Pivot!$B$1:$AB$65000,$B586,Y$5)="",2,0)),0)</f>
        <v>0</v>
      </c>
      <c r="Z586" s="194">
        <f>IFERROR(IF(INDEX([1]Pivot!$AD$1:$BE$65000,$B586,Z$5)=1,1,IF(INDEX([1]Pivot!$B$1:$AB$65000,$B586,Z$5)="",2,0)),0)</f>
        <v>0</v>
      </c>
      <c r="AA586" s="194">
        <f>IFERROR(IF(INDEX([1]Pivot!$AD$1:$BE$65000,$B586,AA$5)=1,1,IF(INDEX([1]Pivot!$B$1:$AB$65000,$B586,AA$5)="",2,0)),0)</f>
        <v>0</v>
      </c>
      <c r="AB586" s="194">
        <f>IFERROR(IF(INDEX([1]Pivot!$AD$1:$BE$65000,$B586,AB$5)=1,1,IF(INDEX([1]Pivot!$B$1:$AB$65000,$B586,AB$5)="",2,0)),0)</f>
        <v>0</v>
      </c>
      <c r="AC586" s="194">
        <f>IFERROR(IF(INDEX([1]Pivot!$AD$1:$BE$65000,$B586,AC$5)=1,1,IF(INDEX([1]Pivot!$B$1:$AB$65000,$B586,AC$5)="",2,0)),0)</f>
        <v>0</v>
      </c>
      <c r="AD586" s="313">
        <f>IFERROR(IF(INDEX([1]Pivot!$BF$1:$CG$65000,$B586,AD$5)=1,1,IF(INDEX([1]Pivot!$B$1:$AB$65000,$B586,AD$5)="",2,0)),0)</f>
        <v>0</v>
      </c>
      <c r="AE586" s="313">
        <f>IFERROR(IF(INDEX([1]Pivot!$BF$1:$CG$65000,$B586,AE$5)=1,1,IF(INDEX([1]Pivot!$B$1:$AB$65000,$B586,AE$5)="",2,0)),0)</f>
        <v>0</v>
      </c>
      <c r="AF586" s="313">
        <f>IFERROR(IF(INDEX([1]Pivot!$BF$1:$CG$65000,$B586,AF$5)=1,1,IF(INDEX([1]Pivot!$B$1:$AB$65000,$B586,AF$5)="",2,0)),0)</f>
        <v>0</v>
      </c>
      <c r="AG586" s="313">
        <f>IFERROR(IF(INDEX([1]Pivot!$BF$1:$CG$65000,$B586,AG$5)=1,1,IF(INDEX([1]Pivot!$B$1:$AB$65000,$B586,AG$5)="",2,0)),0)</f>
        <v>0</v>
      </c>
      <c r="AH586" s="313">
        <f>IFERROR(IF(INDEX([1]Pivot!$BF$1:$CG$65000,$B586,AH$5)=1,1,IF(INDEX([1]Pivot!$B$1:$AB$65000,$B586,AH$5)="",2,0)),0)</f>
        <v>0</v>
      </c>
      <c r="AI586" s="313">
        <f>IFERROR(IF(INDEX([1]Pivot!$BF$1:$CG$65000,$B586,AI$5)=1,1,IF(INDEX([1]Pivot!$B$1:$AB$65000,$B586,AI$5)="",2,0)),0)</f>
        <v>0</v>
      </c>
      <c r="AJ586" s="313">
        <f>IFERROR(IF(INDEX([1]Pivot!$BF$1:$CG$65000,$B586,AJ$5)=1,1,IF(INDEX([1]Pivot!$B$1:$AB$65000,$B586,AJ$5)="",2,0)),0)</f>
        <v>0</v>
      </c>
      <c r="AK586" s="313">
        <f>IFERROR(IF(INDEX([1]Pivot!$BF$1:$CG$65000,$B586,AK$5)=1,1,IF(INDEX([1]Pivot!$B$1:$AB$65000,$B586,AK$5)="",2,0)),0)</f>
        <v>0</v>
      </c>
      <c r="AL586" s="313">
        <f>IFERROR(IF(INDEX([1]Pivot!$BF$1:$CG$65000,$B586,AL$5)=1,1,IF(INDEX([1]Pivot!$B$1:$AB$65000,$B586,AL$5)="",2,0)),0)</f>
        <v>0</v>
      </c>
      <c r="AM586" s="313">
        <f>IFERROR(IF(INDEX([1]Pivot!$BF$1:$CG$65000,$B586,AM$5)=1,1,IF(INDEX([1]Pivot!$B$1:$AB$65000,$B586,AM$5)="",2,0)),0)</f>
        <v>0</v>
      </c>
      <c r="AN586" s="313">
        <f>IFERROR(IF(INDEX([1]Pivot!$BF$1:$CG$65000,$B586,AN$5)=1,1,IF(INDEX([1]Pivot!$B$1:$AB$65000,$B586,AN$5)="",2,0)),0)</f>
        <v>0</v>
      </c>
      <c r="AO586" s="313">
        <f>IFERROR(IF(INDEX([1]Pivot!$BF$1:$CG$65000,$B586,AO$5)=1,1,IF(INDEX([1]Pivot!$B$1:$AB$65000,$B586,AO$5)="",2,0)),0)</f>
        <v>0</v>
      </c>
      <c r="AP586" s="313">
        <f>IFERROR(IF(INDEX([1]Pivot!$BF$1:$CG$65000,$B586,AP$5)=1,1,IF(INDEX([1]Pivot!$B$1:$AB$65000,$B586,AP$5)="",2,0)),0)</f>
        <v>0</v>
      </c>
      <c r="AQ586" s="313">
        <f>IFERROR(IF(INDEX([1]Pivot!$BF$1:$CG$65000,$B586,AQ$5)=1,1,IF(INDEX([1]Pivot!$B$1:$AB$65000,$B586,AQ$5)="",2,0)),0)</f>
        <v>0</v>
      </c>
      <c r="AR586" s="313">
        <f>IFERROR(IF(INDEX([1]Pivot!$BF$1:$CG$65000,$B586,AR$5)=1,1,IF(INDEX([1]Pivot!$B$1:$AB$65000,$B586,AR$5)="",2,0)),0)</f>
        <v>0</v>
      </c>
      <c r="AS586" s="312"/>
      <c r="AT586" s="313">
        <f>IFERROR(IF(INDEX([1]Pivot!$BF$1:$CG$65000,$B586,AT$5)=1,1,IF(INDEX([1]Pivot!$B$1:$AB$65000,$B586,AT$5)="",2,0)),0)</f>
        <v>0</v>
      </c>
      <c r="AU586" s="313">
        <f>IFERROR(IF(INDEX([1]Pivot!$BF$1:$CG$65000,$B586,AU$5)=1,1,IF(INDEX([1]Pivot!$B$1:$AB$65000,$B586,AU$5)="",2,0)),0)</f>
        <v>0</v>
      </c>
      <c r="AV586" s="313">
        <f>IFERROR(IF(INDEX([1]Pivot!$BF$1:$CG$65000,$B586,AV$5)=1,1,IF(INDEX([1]Pivot!$B$1:$AB$65000,$B586,AV$5)="",2,0)),0)</f>
        <v>0</v>
      </c>
      <c r="AW586" s="313">
        <f>IFERROR(IF(INDEX([1]Pivot!$BF$1:$CG$65000,$B586,AW$5)=1,1,IF(INDEX([1]Pivot!$B$1:$AB$65000,$B586,AW$5)="",2,0)),0)</f>
        <v>0</v>
      </c>
      <c r="AX586" s="313">
        <f>IFERROR(IF(INDEX([1]Pivot!$BF$1:$CG$65000,$B586,AX$5)=1,1,IF(INDEX([1]Pivot!$B$1:$AB$65000,$B586,AX$5)="",2,0)),0)</f>
        <v>0</v>
      </c>
      <c r="AY586" s="313">
        <f>IFERROR(IF(INDEX([1]Pivot!$BF$1:$CG$65000,$B586,AY$5)=1,1,IF(INDEX([1]Pivot!$B$1:$AB$65000,$B586,AY$5)="",2,0)),0)</f>
        <v>0</v>
      </c>
      <c r="AZ586" s="313">
        <f>IFERROR(IF(INDEX([1]Pivot!$BF$1:$CG$65000,$B586,AZ$5)=1,1,IF(INDEX([1]Pivot!$B$1:$AB$65000,$B586,AZ$5)="",2,0)),0)</f>
        <v>0</v>
      </c>
      <c r="BA586" s="313">
        <f>IFERROR(IF(INDEX([1]Pivot!$BF$1:$CG$65000,$B586,BA$5)=1,1,IF(INDEX([1]Pivot!$B$1:$AB$65000,$B586,BA$5)="",2,0)),0)</f>
        <v>0</v>
      </c>
      <c r="BB586" s="313">
        <f>IFERROR(IF(INDEX([1]Pivot!$BF$1:$CG$65000,$B586,BB$5)=1,1,IF(INDEX([1]Pivot!$B$1:$AB$65000,$B586,BB$5)="",2,0)),0)</f>
        <v>0</v>
      </c>
      <c r="BC586" s="313">
        <f>IFERROR(IF(INDEX([1]Pivot!$BF$1:$CG$65000,$B586,BC$5)=1,1,IF(INDEX([1]Pivot!$B$1:$AB$65000,$B586,BC$5)="",2,0)),0)</f>
        <v>0</v>
      </c>
      <c r="BD586" s="313">
        <f>IFERROR(IF(INDEX([1]Pivot!$BF$1:$CG$65000,$B586,BD$5)=1,1,IF(INDEX([1]Pivot!$B$1:$AB$65000,$B586,BD$5)="",2,0)),0)</f>
        <v>0</v>
      </c>
    </row>
    <row r="587" spans="1:56" x14ac:dyDescent="0.25">
      <c r="A587" s="288" t="str">
        <f>'[2]Raw Milk Prices'!A587</f>
        <v>2025m04</v>
      </c>
      <c r="B587" s="296">
        <f>MATCH(DATE(LEFT('[2]Raw Milk Prices'!$A587,4),RIGHT('[2]Raw Milk Prices'!$A587,2),1),[1]Pivot!$A$1:$A$65000,0)</f>
        <v>36</v>
      </c>
      <c r="C587" s="194">
        <f>IFERROR(IF(INDEX([1]Pivot!$AD$1:$BE$65000,$B587,C$5)=1,1,IF(INDEX([1]Pivot!$B$1:$AB$65000,$B587,C$5)="",2,0)),0)</f>
        <v>0</v>
      </c>
      <c r="D587" s="194">
        <f>IFERROR(IF(INDEX([1]Pivot!$AD$1:$BE$65000,$B587,D$5)=1,1,IF(INDEX([1]Pivot!$B$1:$AB$65000,$B587,D$5)="",2,0)),0)</f>
        <v>0</v>
      </c>
      <c r="E587" s="194">
        <f>IFERROR(IF(INDEX([1]Pivot!$AD$1:$BE$65000,$B587,E$5)=1,1,IF(INDEX([1]Pivot!$B$1:$AB$65000,$B587,E$5)="",2,0)),0)</f>
        <v>0</v>
      </c>
      <c r="F587" s="194">
        <f>IFERROR(IF(INDEX([1]Pivot!$AD$1:$BE$65000,$B587,F$5)=1,1,IF(INDEX([1]Pivot!$B$1:$AB$65000,$B587,F$5)="",2,0)),0)</f>
        <v>0</v>
      </c>
      <c r="G587" s="194">
        <f>IFERROR(IF(INDEX([1]Pivot!$AD$1:$BE$65000,$B587,G$5)=1,1,IF(INDEX([1]Pivot!$B$1:$AB$65000,$B587,G$5)="",2,0)),0)</f>
        <v>0</v>
      </c>
      <c r="H587" s="194">
        <f>IFERROR(IF(INDEX([1]Pivot!$AD$1:$BE$65000,$B587,H$5)=1,1,IF(INDEX([1]Pivot!$B$1:$AB$65000,$B587,H$5)="",2,0)),0)</f>
        <v>0</v>
      </c>
      <c r="I587" s="194">
        <f>IFERROR(IF(INDEX([1]Pivot!$AD$1:$BE$65000,$B587,I$5)=1,1,IF(INDEX([1]Pivot!$B$1:$AB$65000,$B587,I$5)="",2,0)),0)</f>
        <v>0</v>
      </c>
      <c r="J587" s="194">
        <f>IFERROR(IF(INDEX([1]Pivot!$AD$1:$BE$65000,$B587,J$5)=1,1,IF(INDEX([1]Pivot!$B$1:$AB$65000,$B587,J$5)="",2,0)),0)</f>
        <v>0</v>
      </c>
      <c r="K587" s="194">
        <f>IFERROR(IF(INDEX([1]Pivot!$AD$1:$BE$65000,$B587,K$5)=1,1,IF(INDEX([1]Pivot!$B$1:$AB$65000,$B587,K$5)="",2,0)),0)</f>
        <v>0</v>
      </c>
      <c r="L587" s="194">
        <f>IFERROR(IF(INDEX([1]Pivot!$AD$1:$BE$65000,$B587,L$5)=1,1,IF(INDEX([1]Pivot!$B$1:$AB$65000,$B587,L$5)="",2,0)),0)</f>
        <v>0</v>
      </c>
      <c r="M587" s="194">
        <f>IFERROR(IF(INDEX([1]Pivot!$AD$1:$BE$65000,$B587,M$5)=1,1,IF(INDEX([1]Pivot!$B$1:$AB$65000,$B587,M$5)="",2,0)),0)</f>
        <v>0</v>
      </c>
      <c r="N587" s="194">
        <f>IFERROR(IF(INDEX([1]Pivot!$AD$1:$BE$65000,$B587,N$5)=1,1,IF(INDEX([1]Pivot!$B$1:$AB$65000,$B587,N$5)="",2,0)),0)</f>
        <v>0</v>
      </c>
      <c r="O587" s="194">
        <f>IFERROR(IF(INDEX([1]Pivot!$AD$1:$BE$65000,$B587,O$5)=1,1,IF(INDEX([1]Pivot!$B$1:$AB$65000,$B587,O$5)="",2,0)),0)</f>
        <v>0</v>
      </c>
      <c r="P587" s="194">
        <f>IFERROR(IF(INDEX([1]Pivot!$AD$1:$BE$65000,$B587,P$5)=1,1,IF(INDEX([1]Pivot!$B$1:$AB$65000,$B587,P$5)="",2,0)),0)</f>
        <v>0</v>
      </c>
      <c r="Q587" s="194">
        <f>IFERROR(IF(INDEX([1]Pivot!$AD$1:$BE$65000,$B587,Q$5)=1,1,IF(INDEX([1]Pivot!$B$1:$AB$65000,$B587,Q$5)="",2,0)),0)</f>
        <v>0</v>
      </c>
      <c r="R587" s="312"/>
      <c r="S587" s="194">
        <f>IFERROR(IF(INDEX([1]Pivot!$AD$1:$BE$65000,$B587,S$5)=1,1,IF(INDEX([1]Pivot!$B$1:$AB$65000,$B587,S$5)="",2,0)),0)</f>
        <v>0</v>
      </c>
      <c r="T587" s="194">
        <f>IFERROR(IF(INDEX([1]Pivot!$AD$1:$BE$65000,$B587,T$5)=1,1,IF(INDEX([1]Pivot!$B$1:$AB$65000,$B587,T$5)="",2,0)),0)</f>
        <v>0</v>
      </c>
      <c r="U587" s="194">
        <f>IFERROR(IF(INDEX([1]Pivot!$AD$1:$BE$65000,$B587,U$5)=1,1,IF(INDEX([1]Pivot!$B$1:$AB$65000,$B587,U$5)="",2,0)),0)</f>
        <v>0</v>
      </c>
      <c r="V587" s="194">
        <f>IFERROR(IF(INDEX([1]Pivot!$AD$1:$BE$65000,$B587,V$5)=1,1,IF(INDEX([1]Pivot!$B$1:$AB$65000,$B587,V$5)="",2,0)),0)</f>
        <v>0</v>
      </c>
      <c r="W587" s="194">
        <f>IFERROR(IF(INDEX([1]Pivot!$AD$1:$BE$65000,$B587,W$5)=1,1,IF(INDEX([1]Pivot!$B$1:$AB$65000,$B587,W$5)="",2,0)),0)</f>
        <v>0</v>
      </c>
      <c r="X587" s="194">
        <f>IFERROR(IF(INDEX([1]Pivot!$AD$1:$BE$65000,$B587,X$5)=1,1,IF(INDEX([1]Pivot!$B$1:$AB$65000,$B587,X$5)="",2,0)),0)</f>
        <v>0</v>
      </c>
      <c r="Y587" s="194">
        <f>IFERROR(IF(INDEX([1]Pivot!$AD$1:$BE$65000,$B587,Y$5)=1,1,IF(INDEX([1]Pivot!$B$1:$AB$65000,$B587,Y$5)="",2,0)),0)</f>
        <v>0</v>
      </c>
      <c r="Z587" s="194">
        <f>IFERROR(IF(INDEX([1]Pivot!$AD$1:$BE$65000,$B587,Z$5)=1,1,IF(INDEX([1]Pivot!$B$1:$AB$65000,$B587,Z$5)="",2,0)),0)</f>
        <v>0</v>
      </c>
      <c r="AA587" s="194">
        <f>IFERROR(IF(INDEX([1]Pivot!$AD$1:$BE$65000,$B587,AA$5)=1,1,IF(INDEX([1]Pivot!$B$1:$AB$65000,$B587,AA$5)="",2,0)),0)</f>
        <v>0</v>
      </c>
      <c r="AB587" s="194">
        <f>IFERROR(IF(INDEX([1]Pivot!$AD$1:$BE$65000,$B587,AB$5)=1,1,IF(INDEX([1]Pivot!$B$1:$AB$65000,$B587,AB$5)="",2,0)),0)</f>
        <v>0</v>
      </c>
      <c r="AC587" s="194">
        <f>IFERROR(IF(INDEX([1]Pivot!$AD$1:$BE$65000,$B587,AC$5)=1,1,IF(INDEX([1]Pivot!$B$1:$AB$65000,$B587,AC$5)="",2,0)),0)</f>
        <v>0</v>
      </c>
      <c r="AD587" s="313">
        <f>IFERROR(IF(INDEX([1]Pivot!$BF$1:$CG$65000,$B587,AD$5)=1,1,IF(INDEX([1]Pivot!$B$1:$AB$65000,$B587,AD$5)="",2,0)),0)</f>
        <v>0</v>
      </c>
      <c r="AE587" s="313">
        <f>IFERROR(IF(INDEX([1]Pivot!$BF$1:$CG$65000,$B587,AE$5)=1,1,IF(INDEX([1]Pivot!$B$1:$AB$65000,$B587,AE$5)="",2,0)),0)</f>
        <v>0</v>
      </c>
      <c r="AF587" s="313">
        <f>IFERROR(IF(INDEX([1]Pivot!$BF$1:$CG$65000,$B587,AF$5)=1,1,IF(INDEX([1]Pivot!$B$1:$AB$65000,$B587,AF$5)="",2,0)),0)</f>
        <v>0</v>
      </c>
      <c r="AG587" s="313">
        <f>IFERROR(IF(INDEX([1]Pivot!$BF$1:$CG$65000,$B587,AG$5)=1,1,IF(INDEX([1]Pivot!$B$1:$AB$65000,$B587,AG$5)="",2,0)),0)</f>
        <v>0</v>
      </c>
      <c r="AH587" s="313">
        <f>IFERROR(IF(INDEX([1]Pivot!$BF$1:$CG$65000,$B587,AH$5)=1,1,IF(INDEX([1]Pivot!$B$1:$AB$65000,$B587,AH$5)="",2,0)),0)</f>
        <v>0</v>
      </c>
      <c r="AI587" s="313">
        <f>IFERROR(IF(INDEX([1]Pivot!$BF$1:$CG$65000,$B587,AI$5)=1,1,IF(INDEX([1]Pivot!$B$1:$AB$65000,$B587,AI$5)="",2,0)),0)</f>
        <v>0</v>
      </c>
      <c r="AJ587" s="313">
        <f>IFERROR(IF(INDEX([1]Pivot!$BF$1:$CG$65000,$B587,AJ$5)=1,1,IF(INDEX([1]Pivot!$B$1:$AB$65000,$B587,AJ$5)="",2,0)),0)</f>
        <v>0</v>
      </c>
      <c r="AK587" s="313">
        <f>IFERROR(IF(INDEX([1]Pivot!$BF$1:$CG$65000,$B587,AK$5)=1,1,IF(INDEX([1]Pivot!$B$1:$AB$65000,$B587,AK$5)="",2,0)),0)</f>
        <v>0</v>
      </c>
      <c r="AL587" s="313">
        <f>IFERROR(IF(INDEX([1]Pivot!$BF$1:$CG$65000,$B587,AL$5)=1,1,IF(INDEX([1]Pivot!$B$1:$AB$65000,$B587,AL$5)="",2,0)),0)</f>
        <v>0</v>
      </c>
      <c r="AM587" s="313">
        <f>IFERROR(IF(INDEX([1]Pivot!$BF$1:$CG$65000,$B587,AM$5)=1,1,IF(INDEX([1]Pivot!$B$1:$AB$65000,$B587,AM$5)="",2,0)),0)</f>
        <v>0</v>
      </c>
      <c r="AN587" s="313">
        <f>IFERROR(IF(INDEX([1]Pivot!$BF$1:$CG$65000,$B587,AN$5)=1,1,IF(INDEX([1]Pivot!$B$1:$AB$65000,$B587,AN$5)="",2,0)),0)</f>
        <v>0</v>
      </c>
      <c r="AO587" s="313">
        <f>IFERROR(IF(INDEX([1]Pivot!$BF$1:$CG$65000,$B587,AO$5)=1,1,IF(INDEX([1]Pivot!$B$1:$AB$65000,$B587,AO$5)="",2,0)),0)</f>
        <v>0</v>
      </c>
      <c r="AP587" s="313">
        <f>IFERROR(IF(INDEX([1]Pivot!$BF$1:$CG$65000,$B587,AP$5)=1,1,IF(INDEX([1]Pivot!$B$1:$AB$65000,$B587,AP$5)="",2,0)),0)</f>
        <v>0</v>
      </c>
      <c r="AQ587" s="313">
        <f>IFERROR(IF(INDEX([1]Pivot!$BF$1:$CG$65000,$B587,AQ$5)=1,1,IF(INDEX([1]Pivot!$B$1:$AB$65000,$B587,AQ$5)="",2,0)),0)</f>
        <v>0</v>
      </c>
      <c r="AR587" s="313">
        <f>IFERROR(IF(INDEX([1]Pivot!$BF$1:$CG$65000,$B587,AR$5)=1,1,IF(INDEX([1]Pivot!$B$1:$AB$65000,$B587,AR$5)="",2,0)),0)</f>
        <v>0</v>
      </c>
      <c r="AS587" s="312"/>
      <c r="AT587" s="313">
        <f>IFERROR(IF(INDEX([1]Pivot!$BF$1:$CG$65000,$B587,AT$5)=1,1,IF(INDEX([1]Pivot!$B$1:$AB$65000,$B587,AT$5)="",2,0)),0)</f>
        <v>0</v>
      </c>
      <c r="AU587" s="313">
        <f>IFERROR(IF(INDEX([1]Pivot!$BF$1:$CG$65000,$B587,AU$5)=1,1,IF(INDEX([1]Pivot!$B$1:$AB$65000,$B587,AU$5)="",2,0)),0)</f>
        <v>0</v>
      </c>
      <c r="AV587" s="313">
        <f>IFERROR(IF(INDEX([1]Pivot!$BF$1:$CG$65000,$B587,AV$5)=1,1,IF(INDEX([1]Pivot!$B$1:$AB$65000,$B587,AV$5)="",2,0)),0)</f>
        <v>0</v>
      </c>
      <c r="AW587" s="313">
        <f>IFERROR(IF(INDEX([1]Pivot!$BF$1:$CG$65000,$B587,AW$5)=1,1,IF(INDEX([1]Pivot!$B$1:$AB$65000,$B587,AW$5)="",2,0)),0)</f>
        <v>0</v>
      </c>
      <c r="AX587" s="313">
        <f>IFERROR(IF(INDEX([1]Pivot!$BF$1:$CG$65000,$B587,AX$5)=1,1,IF(INDEX([1]Pivot!$B$1:$AB$65000,$B587,AX$5)="",2,0)),0)</f>
        <v>0</v>
      </c>
      <c r="AY587" s="313">
        <f>IFERROR(IF(INDEX([1]Pivot!$BF$1:$CG$65000,$B587,AY$5)=1,1,IF(INDEX([1]Pivot!$B$1:$AB$65000,$B587,AY$5)="",2,0)),0)</f>
        <v>0</v>
      </c>
      <c r="AZ587" s="313">
        <f>IFERROR(IF(INDEX([1]Pivot!$BF$1:$CG$65000,$B587,AZ$5)=1,1,IF(INDEX([1]Pivot!$B$1:$AB$65000,$B587,AZ$5)="",2,0)),0)</f>
        <v>0</v>
      </c>
      <c r="BA587" s="313">
        <f>IFERROR(IF(INDEX([1]Pivot!$BF$1:$CG$65000,$B587,BA$5)=1,1,IF(INDEX([1]Pivot!$B$1:$AB$65000,$B587,BA$5)="",2,0)),0)</f>
        <v>0</v>
      </c>
      <c r="BB587" s="313">
        <f>IFERROR(IF(INDEX([1]Pivot!$BF$1:$CG$65000,$B587,BB$5)=1,1,IF(INDEX([1]Pivot!$B$1:$AB$65000,$B587,BB$5)="",2,0)),0)</f>
        <v>0</v>
      </c>
      <c r="BC587" s="313">
        <f>IFERROR(IF(INDEX([1]Pivot!$BF$1:$CG$65000,$B587,BC$5)=1,1,IF(INDEX([1]Pivot!$B$1:$AB$65000,$B587,BC$5)="",2,0)),0)</f>
        <v>0</v>
      </c>
      <c r="BD587" s="313">
        <f>IFERROR(IF(INDEX([1]Pivot!$BF$1:$CG$65000,$B587,BD$5)=1,1,IF(INDEX([1]Pivot!$B$1:$AB$65000,$B587,BD$5)="",2,0)),0)</f>
        <v>0</v>
      </c>
    </row>
    <row r="588" spans="1:56" x14ac:dyDescent="0.25">
      <c r="A588" s="288" t="str">
        <f>'[2]Raw Milk Prices'!A588</f>
        <v>2025m05</v>
      </c>
      <c r="B588" s="296">
        <f>MATCH(DATE(LEFT('[2]Raw Milk Prices'!$A588,4),RIGHT('[2]Raw Milk Prices'!$A588,2),1),[1]Pivot!$A$1:$A$65000,0)</f>
        <v>37</v>
      </c>
      <c r="C588" s="194">
        <f>IFERROR(IF(INDEX([1]Pivot!$AD$1:$BE$65000,$B588,C$5)=1,1,IF(INDEX([1]Pivot!$B$1:$AB$65000,$B588,C$5)="",2,0)),0)</f>
        <v>0</v>
      </c>
      <c r="D588" s="194">
        <f>IFERROR(IF(INDEX([1]Pivot!$AD$1:$BE$65000,$B588,D$5)=1,1,IF(INDEX([1]Pivot!$B$1:$AB$65000,$B588,D$5)="",2,0)),0)</f>
        <v>0</v>
      </c>
      <c r="E588" s="194">
        <f>IFERROR(IF(INDEX([1]Pivot!$AD$1:$BE$65000,$B588,E$5)=1,1,IF(INDEX([1]Pivot!$B$1:$AB$65000,$B588,E$5)="",2,0)),0)</f>
        <v>0</v>
      </c>
      <c r="F588" s="194">
        <f>IFERROR(IF(INDEX([1]Pivot!$AD$1:$BE$65000,$B588,F$5)=1,1,IF(INDEX([1]Pivot!$B$1:$AB$65000,$B588,F$5)="",2,0)),0)</f>
        <v>0</v>
      </c>
      <c r="G588" s="194">
        <f>IFERROR(IF(INDEX([1]Pivot!$AD$1:$BE$65000,$B588,G$5)=1,1,IF(INDEX([1]Pivot!$B$1:$AB$65000,$B588,G$5)="",2,0)),0)</f>
        <v>0</v>
      </c>
      <c r="H588" s="194">
        <f>IFERROR(IF(INDEX([1]Pivot!$AD$1:$BE$65000,$B588,H$5)=1,1,IF(INDEX([1]Pivot!$B$1:$AB$65000,$B588,H$5)="",2,0)),0)</f>
        <v>0</v>
      </c>
      <c r="I588" s="194">
        <f>IFERROR(IF(INDEX([1]Pivot!$AD$1:$BE$65000,$B588,I$5)=1,1,IF(INDEX([1]Pivot!$B$1:$AB$65000,$B588,I$5)="",2,0)),0)</f>
        <v>0</v>
      </c>
      <c r="J588" s="194">
        <f>IFERROR(IF(INDEX([1]Pivot!$AD$1:$BE$65000,$B588,J$5)=1,1,IF(INDEX([1]Pivot!$B$1:$AB$65000,$B588,J$5)="",2,0)),0)</f>
        <v>0</v>
      </c>
      <c r="K588" s="194">
        <f>IFERROR(IF(INDEX([1]Pivot!$AD$1:$BE$65000,$B588,K$5)=1,1,IF(INDEX([1]Pivot!$B$1:$AB$65000,$B588,K$5)="",2,0)),0)</f>
        <v>0</v>
      </c>
      <c r="L588" s="194">
        <f>IFERROR(IF(INDEX([1]Pivot!$AD$1:$BE$65000,$B588,L$5)=1,1,IF(INDEX([1]Pivot!$B$1:$AB$65000,$B588,L$5)="",2,0)),0)</f>
        <v>0</v>
      </c>
      <c r="M588" s="194">
        <f>IFERROR(IF(INDEX([1]Pivot!$AD$1:$BE$65000,$B588,M$5)=1,1,IF(INDEX([1]Pivot!$B$1:$AB$65000,$B588,M$5)="",2,0)),0)</f>
        <v>0</v>
      </c>
      <c r="N588" s="194">
        <f>IFERROR(IF(INDEX([1]Pivot!$AD$1:$BE$65000,$B588,N$5)=1,1,IF(INDEX([1]Pivot!$B$1:$AB$65000,$B588,N$5)="",2,0)),0)</f>
        <v>0</v>
      </c>
      <c r="O588" s="194">
        <f>IFERROR(IF(INDEX([1]Pivot!$AD$1:$BE$65000,$B588,O$5)=1,1,IF(INDEX([1]Pivot!$B$1:$AB$65000,$B588,O$5)="",2,0)),0)</f>
        <v>0</v>
      </c>
      <c r="P588" s="194">
        <f>IFERROR(IF(INDEX([1]Pivot!$AD$1:$BE$65000,$B588,P$5)=1,1,IF(INDEX([1]Pivot!$B$1:$AB$65000,$B588,P$5)="",2,0)),0)</f>
        <v>0</v>
      </c>
      <c r="Q588" s="194">
        <f>IFERROR(IF(INDEX([1]Pivot!$AD$1:$BE$65000,$B588,Q$5)=1,1,IF(INDEX([1]Pivot!$B$1:$AB$65000,$B588,Q$5)="",2,0)),0)</f>
        <v>0</v>
      </c>
      <c r="R588" s="312"/>
      <c r="S588" s="194">
        <f>IFERROR(IF(INDEX([1]Pivot!$AD$1:$BE$65000,$B588,S$5)=1,1,IF(INDEX([1]Pivot!$B$1:$AB$65000,$B588,S$5)="",2,0)),0)</f>
        <v>0</v>
      </c>
      <c r="T588" s="194">
        <f>IFERROR(IF(INDEX([1]Pivot!$AD$1:$BE$65000,$B588,T$5)=1,1,IF(INDEX([1]Pivot!$B$1:$AB$65000,$B588,T$5)="",2,0)),0)</f>
        <v>0</v>
      </c>
      <c r="U588" s="194">
        <f>IFERROR(IF(INDEX([1]Pivot!$AD$1:$BE$65000,$B588,U$5)=1,1,IF(INDEX([1]Pivot!$B$1:$AB$65000,$B588,U$5)="",2,0)),0)</f>
        <v>0</v>
      </c>
      <c r="V588" s="194">
        <f>IFERROR(IF(INDEX([1]Pivot!$AD$1:$BE$65000,$B588,V$5)=1,1,IF(INDEX([1]Pivot!$B$1:$AB$65000,$B588,V$5)="",2,0)),0)</f>
        <v>0</v>
      </c>
      <c r="W588" s="194">
        <f>IFERROR(IF(INDEX([1]Pivot!$AD$1:$BE$65000,$B588,W$5)=1,1,IF(INDEX([1]Pivot!$B$1:$AB$65000,$B588,W$5)="",2,0)),0)</f>
        <v>0</v>
      </c>
      <c r="X588" s="194">
        <f>IFERROR(IF(INDEX([1]Pivot!$AD$1:$BE$65000,$B588,X$5)=1,1,IF(INDEX([1]Pivot!$B$1:$AB$65000,$B588,X$5)="",2,0)),0)</f>
        <v>0</v>
      </c>
      <c r="Y588" s="194">
        <f>IFERROR(IF(INDEX([1]Pivot!$AD$1:$BE$65000,$B588,Y$5)=1,1,IF(INDEX([1]Pivot!$B$1:$AB$65000,$B588,Y$5)="",2,0)),0)</f>
        <v>0</v>
      </c>
      <c r="Z588" s="194">
        <f>IFERROR(IF(INDEX([1]Pivot!$AD$1:$BE$65000,$B588,Z$5)=1,1,IF(INDEX([1]Pivot!$B$1:$AB$65000,$B588,Z$5)="",2,0)),0)</f>
        <v>0</v>
      </c>
      <c r="AA588" s="194">
        <f>IFERROR(IF(INDEX([1]Pivot!$AD$1:$BE$65000,$B588,AA$5)=1,1,IF(INDEX([1]Pivot!$B$1:$AB$65000,$B588,AA$5)="",2,0)),0)</f>
        <v>0</v>
      </c>
      <c r="AB588" s="194">
        <f>IFERROR(IF(INDEX([1]Pivot!$AD$1:$BE$65000,$B588,AB$5)=1,1,IF(INDEX([1]Pivot!$B$1:$AB$65000,$B588,AB$5)="",2,0)),0)</f>
        <v>0</v>
      </c>
      <c r="AC588" s="194">
        <f>IFERROR(IF(INDEX([1]Pivot!$AD$1:$BE$65000,$B588,AC$5)=1,1,IF(INDEX([1]Pivot!$B$1:$AB$65000,$B588,AC$5)="",2,0)),0)</f>
        <v>0</v>
      </c>
      <c r="AD588" s="313">
        <f>IFERROR(IF(INDEX([1]Pivot!$BF$1:$CG$65000,$B588,AD$5)=1,1,IF(INDEX([1]Pivot!$B$1:$AB$65000,$B588,AD$5)="",2,0)),0)</f>
        <v>0</v>
      </c>
      <c r="AE588" s="313">
        <f>IFERROR(IF(INDEX([1]Pivot!$BF$1:$CG$65000,$B588,AE$5)=1,1,IF(INDEX([1]Pivot!$B$1:$AB$65000,$B588,AE$5)="",2,0)),0)</f>
        <v>0</v>
      </c>
      <c r="AF588" s="313">
        <f>IFERROR(IF(INDEX([1]Pivot!$BF$1:$CG$65000,$B588,AF$5)=1,1,IF(INDEX([1]Pivot!$B$1:$AB$65000,$B588,AF$5)="",2,0)),0)</f>
        <v>0</v>
      </c>
      <c r="AG588" s="313">
        <f>IFERROR(IF(INDEX([1]Pivot!$BF$1:$CG$65000,$B588,AG$5)=1,1,IF(INDEX([1]Pivot!$B$1:$AB$65000,$B588,AG$5)="",2,0)),0)</f>
        <v>0</v>
      </c>
      <c r="AH588" s="313">
        <f>IFERROR(IF(INDEX([1]Pivot!$BF$1:$CG$65000,$B588,AH$5)=1,1,IF(INDEX([1]Pivot!$B$1:$AB$65000,$B588,AH$5)="",2,0)),0)</f>
        <v>0</v>
      </c>
      <c r="AI588" s="313">
        <f>IFERROR(IF(INDEX([1]Pivot!$BF$1:$CG$65000,$B588,AI$5)=1,1,IF(INDEX([1]Pivot!$B$1:$AB$65000,$B588,AI$5)="",2,0)),0)</f>
        <v>0</v>
      </c>
      <c r="AJ588" s="313">
        <f>IFERROR(IF(INDEX([1]Pivot!$BF$1:$CG$65000,$B588,AJ$5)=1,1,IF(INDEX([1]Pivot!$B$1:$AB$65000,$B588,AJ$5)="",2,0)),0)</f>
        <v>0</v>
      </c>
      <c r="AK588" s="313">
        <f>IFERROR(IF(INDEX([1]Pivot!$BF$1:$CG$65000,$B588,AK$5)=1,1,IF(INDEX([1]Pivot!$B$1:$AB$65000,$B588,AK$5)="",2,0)),0)</f>
        <v>0</v>
      </c>
      <c r="AL588" s="313">
        <f>IFERROR(IF(INDEX([1]Pivot!$BF$1:$CG$65000,$B588,AL$5)=1,1,IF(INDEX([1]Pivot!$B$1:$AB$65000,$B588,AL$5)="",2,0)),0)</f>
        <v>0</v>
      </c>
      <c r="AM588" s="313">
        <f>IFERROR(IF(INDEX([1]Pivot!$BF$1:$CG$65000,$B588,AM$5)=1,1,IF(INDEX([1]Pivot!$B$1:$AB$65000,$B588,AM$5)="",2,0)),0)</f>
        <v>0</v>
      </c>
      <c r="AN588" s="313">
        <f>IFERROR(IF(INDEX([1]Pivot!$BF$1:$CG$65000,$B588,AN$5)=1,1,IF(INDEX([1]Pivot!$B$1:$AB$65000,$B588,AN$5)="",2,0)),0)</f>
        <v>0</v>
      </c>
      <c r="AO588" s="313">
        <f>IFERROR(IF(INDEX([1]Pivot!$BF$1:$CG$65000,$B588,AO$5)=1,1,IF(INDEX([1]Pivot!$B$1:$AB$65000,$B588,AO$5)="",2,0)),0)</f>
        <v>0</v>
      </c>
      <c r="AP588" s="313">
        <f>IFERROR(IF(INDEX([1]Pivot!$BF$1:$CG$65000,$B588,AP$5)=1,1,IF(INDEX([1]Pivot!$B$1:$AB$65000,$B588,AP$5)="",2,0)),0)</f>
        <v>0</v>
      </c>
      <c r="AQ588" s="313">
        <f>IFERROR(IF(INDEX([1]Pivot!$BF$1:$CG$65000,$B588,AQ$5)=1,1,IF(INDEX([1]Pivot!$B$1:$AB$65000,$B588,AQ$5)="",2,0)),0)</f>
        <v>0</v>
      </c>
      <c r="AR588" s="313">
        <f>IFERROR(IF(INDEX([1]Pivot!$BF$1:$CG$65000,$B588,AR$5)=1,1,IF(INDEX([1]Pivot!$B$1:$AB$65000,$B588,AR$5)="",2,0)),0)</f>
        <v>0</v>
      </c>
      <c r="AS588" s="312"/>
      <c r="AT588" s="313">
        <f>IFERROR(IF(INDEX([1]Pivot!$BF$1:$CG$65000,$B588,AT$5)=1,1,IF(INDEX([1]Pivot!$B$1:$AB$65000,$B588,AT$5)="",2,0)),0)</f>
        <v>0</v>
      </c>
      <c r="AU588" s="313">
        <f>IFERROR(IF(INDEX([1]Pivot!$BF$1:$CG$65000,$B588,AU$5)=1,1,IF(INDEX([1]Pivot!$B$1:$AB$65000,$B588,AU$5)="",2,0)),0)</f>
        <v>0</v>
      </c>
      <c r="AV588" s="313">
        <f>IFERROR(IF(INDEX([1]Pivot!$BF$1:$CG$65000,$B588,AV$5)=1,1,IF(INDEX([1]Pivot!$B$1:$AB$65000,$B588,AV$5)="",2,0)),0)</f>
        <v>0</v>
      </c>
      <c r="AW588" s="313">
        <f>IFERROR(IF(INDEX([1]Pivot!$BF$1:$CG$65000,$B588,AW$5)=1,1,IF(INDEX([1]Pivot!$B$1:$AB$65000,$B588,AW$5)="",2,0)),0)</f>
        <v>0</v>
      </c>
      <c r="AX588" s="313">
        <f>IFERROR(IF(INDEX([1]Pivot!$BF$1:$CG$65000,$B588,AX$5)=1,1,IF(INDEX([1]Pivot!$B$1:$AB$65000,$B588,AX$5)="",2,0)),0)</f>
        <v>0</v>
      </c>
      <c r="AY588" s="313">
        <f>IFERROR(IF(INDEX([1]Pivot!$BF$1:$CG$65000,$B588,AY$5)=1,1,IF(INDEX([1]Pivot!$B$1:$AB$65000,$B588,AY$5)="",2,0)),0)</f>
        <v>0</v>
      </c>
      <c r="AZ588" s="313">
        <f>IFERROR(IF(INDEX([1]Pivot!$BF$1:$CG$65000,$B588,AZ$5)=1,1,IF(INDEX([1]Pivot!$B$1:$AB$65000,$B588,AZ$5)="",2,0)),0)</f>
        <v>0</v>
      </c>
      <c r="BA588" s="313">
        <f>IFERROR(IF(INDEX([1]Pivot!$BF$1:$CG$65000,$B588,BA$5)=1,1,IF(INDEX([1]Pivot!$B$1:$AB$65000,$B588,BA$5)="",2,0)),0)</f>
        <v>0</v>
      </c>
      <c r="BB588" s="313">
        <f>IFERROR(IF(INDEX([1]Pivot!$BF$1:$CG$65000,$B588,BB$5)=1,1,IF(INDEX([1]Pivot!$B$1:$AB$65000,$B588,BB$5)="",2,0)),0)</f>
        <v>0</v>
      </c>
      <c r="BC588" s="313">
        <f>IFERROR(IF(INDEX([1]Pivot!$BF$1:$CG$65000,$B588,BC$5)=1,1,IF(INDEX([1]Pivot!$B$1:$AB$65000,$B588,BC$5)="",2,0)),0)</f>
        <v>0</v>
      </c>
      <c r="BD588" s="313">
        <f>IFERROR(IF(INDEX([1]Pivot!$BF$1:$CG$65000,$B588,BD$5)=1,1,IF(INDEX([1]Pivot!$B$1:$AB$65000,$B588,BD$5)="",2,0)),0)</f>
        <v>0</v>
      </c>
    </row>
    <row r="589" spans="1:56" x14ac:dyDescent="0.25">
      <c r="A589" s="288" t="str">
        <f>'[2]Raw Milk Prices'!A589</f>
        <v>2025m06</v>
      </c>
      <c r="B589" s="296">
        <f>MATCH(DATE(LEFT('[2]Raw Milk Prices'!$A589,4),RIGHT('[2]Raw Milk Prices'!$A589,2),1),[1]Pivot!$A$1:$A$65000,0)</f>
        <v>38</v>
      </c>
      <c r="C589" s="194">
        <f>IFERROR(IF(INDEX([1]Pivot!$AD$1:$BE$65000,$B589,C$5)=1,1,IF(INDEX([1]Pivot!$B$1:$AB$65000,$B589,C$5)="",2,0)),0)</f>
        <v>0</v>
      </c>
      <c r="D589" s="194">
        <f>IFERROR(IF(INDEX([1]Pivot!$AD$1:$BE$65000,$B589,D$5)=1,1,IF(INDEX([1]Pivot!$B$1:$AB$65000,$B589,D$5)="",2,0)),0)</f>
        <v>0</v>
      </c>
      <c r="E589" s="194">
        <f>IFERROR(IF(INDEX([1]Pivot!$AD$1:$BE$65000,$B589,E$5)=1,1,IF(INDEX([1]Pivot!$B$1:$AB$65000,$B589,E$5)="",2,0)),0)</f>
        <v>0</v>
      </c>
      <c r="F589" s="194">
        <f>IFERROR(IF(INDEX([1]Pivot!$AD$1:$BE$65000,$B589,F$5)=1,1,IF(INDEX([1]Pivot!$B$1:$AB$65000,$B589,F$5)="",2,0)),0)</f>
        <v>0</v>
      </c>
      <c r="G589" s="194">
        <f>IFERROR(IF(INDEX([1]Pivot!$AD$1:$BE$65000,$B589,G$5)=1,1,IF(INDEX([1]Pivot!$B$1:$AB$65000,$B589,G$5)="",2,0)),0)</f>
        <v>0</v>
      </c>
      <c r="H589" s="194">
        <f>IFERROR(IF(INDEX([1]Pivot!$AD$1:$BE$65000,$B589,H$5)=1,1,IF(INDEX([1]Pivot!$B$1:$AB$65000,$B589,H$5)="",2,0)),0)</f>
        <v>0</v>
      </c>
      <c r="I589" s="194">
        <f>IFERROR(IF(INDEX([1]Pivot!$AD$1:$BE$65000,$B589,I$5)=1,1,IF(INDEX([1]Pivot!$B$1:$AB$65000,$B589,I$5)="",2,0)),0)</f>
        <v>0</v>
      </c>
      <c r="J589" s="194">
        <f>IFERROR(IF(INDEX([1]Pivot!$AD$1:$BE$65000,$B589,J$5)=1,1,IF(INDEX([1]Pivot!$B$1:$AB$65000,$B589,J$5)="",2,0)),0)</f>
        <v>0</v>
      </c>
      <c r="K589" s="194">
        <f>IFERROR(IF(INDEX([1]Pivot!$AD$1:$BE$65000,$B589,K$5)=1,1,IF(INDEX([1]Pivot!$B$1:$AB$65000,$B589,K$5)="",2,0)),0)</f>
        <v>0</v>
      </c>
      <c r="L589" s="194">
        <f>IFERROR(IF(INDEX([1]Pivot!$AD$1:$BE$65000,$B589,L$5)=1,1,IF(INDEX([1]Pivot!$B$1:$AB$65000,$B589,L$5)="",2,0)),0)</f>
        <v>0</v>
      </c>
      <c r="M589" s="194">
        <f>IFERROR(IF(INDEX([1]Pivot!$AD$1:$BE$65000,$B589,M$5)=1,1,IF(INDEX([1]Pivot!$B$1:$AB$65000,$B589,M$5)="",2,0)),0)</f>
        <v>0</v>
      </c>
      <c r="N589" s="194">
        <f>IFERROR(IF(INDEX([1]Pivot!$AD$1:$BE$65000,$B589,N$5)=1,1,IF(INDEX([1]Pivot!$B$1:$AB$65000,$B589,N$5)="",2,0)),0)</f>
        <v>0</v>
      </c>
      <c r="O589" s="194">
        <f>IFERROR(IF(INDEX([1]Pivot!$AD$1:$BE$65000,$B589,O$5)=1,1,IF(INDEX([1]Pivot!$B$1:$AB$65000,$B589,O$5)="",2,0)),0)</f>
        <v>0</v>
      </c>
      <c r="P589" s="194">
        <f>IFERROR(IF(INDEX([1]Pivot!$AD$1:$BE$65000,$B589,P$5)=1,1,IF(INDEX([1]Pivot!$B$1:$AB$65000,$B589,P$5)="",2,0)),0)</f>
        <v>0</v>
      </c>
      <c r="Q589" s="194">
        <f>IFERROR(IF(INDEX([1]Pivot!$AD$1:$BE$65000,$B589,Q$5)=1,1,IF(INDEX([1]Pivot!$B$1:$AB$65000,$B589,Q$5)="",2,0)),0)</f>
        <v>0</v>
      </c>
      <c r="R589" s="312"/>
      <c r="S589" s="194">
        <f>IFERROR(IF(INDEX([1]Pivot!$AD$1:$BE$65000,$B589,S$5)=1,1,IF(INDEX([1]Pivot!$B$1:$AB$65000,$B589,S$5)="",2,0)),0)</f>
        <v>0</v>
      </c>
      <c r="T589" s="194">
        <f>IFERROR(IF(INDEX([1]Pivot!$AD$1:$BE$65000,$B589,T$5)=1,1,IF(INDEX([1]Pivot!$B$1:$AB$65000,$B589,T$5)="",2,0)),0)</f>
        <v>0</v>
      </c>
      <c r="U589" s="194">
        <f>IFERROR(IF(INDEX([1]Pivot!$AD$1:$BE$65000,$B589,U$5)=1,1,IF(INDEX([1]Pivot!$B$1:$AB$65000,$B589,U$5)="",2,0)),0)</f>
        <v>0</v>
      </c>
      <c r="V589" s="194">
        <f>IFERROR(IF(INDEX([1]Pivot!$AD$1:$BE$65000,$B589,V$5)=1,1,IF(INDEX([1]Pivot!$B$1:$AB$65000,$B589,V$5)="",2,0)),0)</f>
        <v>0</v>
      </c>
      <c r="W589" s="194">
        <f>IFERROR(IF(INDEX([1]Pivot!$AD$1:$BE$65000,$B589,W$5)=1,1,IF(INDEX([1]Pivot!$B$1:$AB$65000,$B589,W$5)="",2,0)),0)</f>
        <v>0</v>
      </c>
      <c r="X589" s="194">
        <f>IFERROR(IF(INDEX([1]Pivot!$AD$1:$BE$65000,$B589,X$5)=1,1,IF(INDEX([1]Pivot!$B$1:$AB$65000,$B589,X$5)="",2,0)),0)</f>
        <v>0</v>
      </c>
      <c r="Y589" s="194">
        <f>IFERROR(IF(INDEX([1]Pivot!$AD$1:$BE$65000,$B589,Y$5)=1,1,IF(INDEX([1]Pivot!$B$1:$AB$65000,$B589,Y$5)="",2,0)),0)</f>
        <v>0</v>
      </c>
      <c r="Z589" s="194">
        <f>IFERROR(IF(INDEX([1]Pivot!$AD$1:$BE$65000,$B589,Z$5)=1,1,IF(INDEX([1]Pivot!$B$1:$AB$65000,$B589,Z$5)="",2,0)),0)</f>
        <v>0</v>
      </c>
      <c r="AA589" s="194">
        <f>IFERROR(IF(INDEX([1]Pivot!$AD$1:$BE$65000,$B589,AA$5)=1,1,IF(INDEX([1]Pivot!$B$1:$AB$65000,$B589,AA$5)="",2,0)),0)</f>
        <v>0</v>
      </c>
      <c r="AB589" s="194">
        <f>IFERROR(IF(INDEX([1]Pivot!$AD$1:$BE$65000,$B589,AB$5)=1,1,IF(INDEX([1]Pivot!$B$1:$AB$65000,$B589,AB$5)="",2,0)),0)</f>
        <v>0</v>
      </c>
      <c r="AC589" s="194">
        <f>IFERROR(IF(INDEX([1]Pivot!$AD$1:$BE$65000,$B589,AC$5)=1,1,IF(INDEX([1]Pivot!$B$1:$AB$65000,$B589,AC$5)="",2,0)),0)</f>
        <v>0</v>
      </c>
      <c r="AD589" s="313">
        <f>IFERROR(IF(INDEX([1]Pivot!$BF$1:$CG$65000,$B589,AD$5)=1,1,IF(INDEX([1]Pivot!$B$1:$AB$65000,$B589,AD$5)="",2,0)),0)</f>
        <v>0</v>
      </c>
      <c r="AE589" s="313">
        <f>IFERROR(IF(INDEX([1]Pivot!$BF$1:$CG$65000,$B589,AE$5)=1,1,IF(INDEX([1]Pivot!$B$1:$AB$65000,$B589,AE$5)="",2,0)),0)</f>
        <v>0</v>
      </c>
      <c r="AF589" s="313">
        <f>IFERROR(IF(INDEX([1]Pivot!$BF$1:$CG$65000,$B589,AF$5)=1,1,IF(INDEX([1]Pivot!$B$1:$AB$65000,$B589,AF$5)="",2,0)),0)</f>
        <v>0</v>
      </c>
      <c r="AG589" s="313">
        <f>IFERROR(IF(INDEX([1]Pivot!$BF$1:$CG$65000,$B589,AG$5)=1,1,IF(INDEX([1]Pivot!$B$1:$AB$65000,$B589,AG$5)="",2,0)),0)</f>
        <v>0</v>
      </c>
      <c r="AH589" s="313">
        <f>IFERROR(IF(INDEX([1]Pivot!$BF$1:$CG$65000,$B589,AH$5)=1,1,IF(INDEX([1]Pivot!$B$1:$AB$65000,$B589,AH$5)="",2,0)),0)</f>
        <v>0</v>
      </c>
      <c r="AI589" s="313">
        <f>IFERROR(IF(INDEX([1]Pivot!$BF$1:$CG$65000,$B589,AI$5)=1,1,IF(INDEX([1]Pivot!$B$1:$AB$65000,$B589,AI$5)="",2,0)),0)</f>
        <v>0</v>
      </c>
      <c r="AJ589" s="313">
        <f>IFERROR(IF(INDEX([1]Pivot!$BF$1:$CG$65000,$B589,AJ$5)=1,1,IF(INDEX([1]Pivot!$B$1:$AB$65000,$B589,AJ$5)="",2,0)),0)</f>
        <v>0</v>
      </c>
      <c r="AK589" s="313">
        <f>IFERROR(IF(INDEX([1]Pivot!$BF$1:$CG$65000,$B589,AK$5)=1,1,IF(INDEX([1]Pivot!$B$1:$AB$65000,$B589,AK$5)="",2,0)),0)</f>
        <v>0</v>
      </c>
      <c r="AL589" s="313">
        <f>IFERROR(IF(INDEX([1]Pivot!$BF$1:$CG$65000,$B589,AL$5)=1,1,IF(INDEX([1]Pivot!$B$1:$AB$65000,$B589,AL$5)="",2,0)),0)</f>
        <v>0</v>
      </c>
      <c r="AM589" s="313">
        <f>IFERROR(IF(INDEX([1]Pivot!$BF$1:$CG$65000,$B589,AM$5)=1,1,IF(INDEX([1]Pivot!$B$1:$AB$65000,$B589,AM$5)="",2,0)),0)</f>
        <v>0</v>
      </c>
      <c r="AN589" s="313">
        <f>IFERROR(IF(INDEX([1]Pivot!$BF$1:$CG$65000,$B589,AN$5)=1,1,IF(INDEX([1]Pivot!$B$1:$AB$65000,$B589,AN$5)="",2,0)),0)</f>
        <v>0</v>
      </c>
      <c r="AO589" s="313">
        <f>IFERROR(IF(INDEX([1]Pivot!$BF$1:$CG$65000,$B589,AO$5)=1,1,IF(INDEX([1]Pivot!$B$1:$AB$65000,$B589,AO$5)="",2,0)),0)</f>
        <v>0</v>
      </c>
      <c r="AP589" s="313">
        <f>IFERROR(IF(INDEX([1]Pivot!$BF$1:$CG$65000,$B589,AP$5)=1,1,IF(INDEX([1]Pivot!$B$1:$AB$65000,$B589,AP$5)="",2,0)),0)</f>
        <v>0</v>
      </c>
      <c r="AQ589" s="313">
        <f>IFERROR(IF(INDEX([1]Pivot!$BF$1:$CG$65000,$B589,AQ$5)=1,1,IF(INDEX([1]Pivot!$B$1:$AB$65000,$B589,AQ$5)="",2,0)),0)</f>
        <v>0</v>
      </c>
      <c r="AR589" s="313">
        <f>IFERROR(IF(INDEX([1]Pivot!$BF$1:$CG$65000,$B589,AR$5)=1,1,IF(INDEX([1]Pivot!$B$1:$AB$65000,$B589,AR$5)="",2,0)),0)</f>
        <v>0</v>
      </c>
      <c r="AS589" s="312"/>
      <c r="AT589" s="313">
        <f>IFERROR(IF(INDEX([1]Pivot!$BF$1:$CG$65000,$B589,AT$5)=1,1,IF(INDEX([1]Pivot!$B$1:$AB$65000,$B589,AT$5)="",2,0)),0)</f>
        <v>0</v>
      </c>
      <c r="AU589" s="313">
        <f>IFERROR(IF(INDEX([1]Pivot!$BF$1:$CG$65000,$B589,AU$5)=1,1,IF(INDEX([1]Pivot!$B$1:$AB$65000,$B589,AU$5)="",2,0)),0)</f>
        <v>0</v>
      </c>
      <c r="AV589" s="313">
        <f>IFERROR(IF(INDEX([1]Pivot!$BF$1:$CG$65000,$B589,AV$5)=1,1,IF(INDEX([1]Pivot!$B$1:$AB$65000,$B589,AV$5)="",2,0)),0)</f>
        <v>0</v>
      </c>
      <c r="AW589" s="313">
        <f>IFERROR(IF(INDEX([1]Pivot!$BF$1:$CG$65000,$B589,AW$5)=1,1,IF(INDEX([1]Pivot!$B$1:$AB$65000,$B589,AW$5)="",2,0)),0)</f>
        <v>0</v>
      </c>
      <c r="AX589" s="313">
        <f>IFERROR(IF(INDEX([1]Pivot!$BF$1:$CG$65000,$B589,AX$5)=1,1,IF(INDEX([1]Pivot!$B$1:$AB$65000,$B589,AX$5)="",2,0)),0)</f>
        <v>0</v>
      </c>
      <c r="AY589" s="313">
        <f>IFERROR(IF(INDEX([1]Pivot!$BF$1:$CG$65000,$B589,AY$5)=1,1,IF(INDEX([1]Pivot!$B$1:$AB$65000,$B589,AY$5)="",2,0)),0)</f>
        <v>0</v>
      </c>
      <c r="AZ589" s="313">
        <f>IFERROR(IF(INDEX([1]Pivot!$BF$1:$CG$65000,$B589,AZ$5)=1,1,IF(INDEX([1]Pivot!$B$1:$AB$65000,$B589,AZ$5)="",2,0)),0)</f>
        <v>0</v>
      </c>
      <c r="BA589" s="313">
        <f>IFERROR(IF(INDEX([1]Pivot!$BF$1:$CG$65000,$B589,BA$5)=1,1,IF(INDEX([1]Pivot!$B$1:$AB$65000,$B589,BA$5)="",2,0)),0)</f>
        <v>0</v>
      </c>
      <c r="BB589" s="313">
        <f>IFERROR(IF(INDEX([1]Pivot!$BF$1:$CG$65000,$B589,BB$5)=1,1,IF(INDEX([1]Pivot!$B$1:$AB$65000,$B589,BB$5)="",2,0)),0)</f>
        <v>0</v>
      </c>
      <c r="BC589" s="313">
        <f>IFERROR(IF(INDEX([1]Pivot!$BF$1:$CG$65000,$B589,BC$5)=1,1,IF(INDEX([1]Pivot!$B$1:$AB$65000,$B589,BC$5)="",2,0)),0)</f>
        <v>0</v>
      </c>
      <c r="BD589" s="313">
        <f>IFERROR(IF(INDEX([1]Pivot!$BF$1:$CG$65000,$B589,BD$5)=1,1,IF(INDEX([1]Pivot!$B$1:$AB$65000,$B589,BD$5)="",2,0)),0)</f>
        <v>0</v>
      </c>
    </row>
    <row r="590" spans="1:56" x14ac:dyDescent="0.25">
      <c r="A590" s="288" t="str">
        <f>'[2]Raw Milk Prices'!A590</f>
        <v>2025m07</v>
      </c>
      <c r="B590" s="296">
        <f>MATCH(DATE(LEFT('[2]Raw Milk Prices'!$A590,4),RIGHT('[2]Raw Milk Prices'!$A590,2),1),[1]Pivot!$A$1:$A$65000,0)</f>
        <v>39</v>
      </c>
      <c r="C590" s="194">
        <f>IFERROR(IF(INDEX([1]Pivot!$AD$1:$BE$65000,$B590,C$5)=1,1,IF(INDEX([1]Pivot!$B$1:$AB$65000,$B590,C$5)="",2,0)),0)</f>
        <v>0</v>
      </c>
      <c r="D590" s="194">
        <f>IFERROR(IF(INDEX([1]Pivot!$AD$1:$BE$65000,$B590,D$5)=1,1,IF(INDEX([1]Pivot!$B$1:$AB$65000,$B590,D$5)="",2,0)),0)</f>
        <v>0</v>
      </c>
      <c r="E590" s="194">
        <f>IFERROR(IF(INDEX([1]Pivot!$AD$1:$BE$65000,$B590,E$5)=1,1,IF(INDEX([1]Pivot!$B$1:$AB$65000,$B590,E$5)="",2,0)),0)</f>
        <v>0</v>
      </c>
      <c r="F590" s="194">
        <f>IFERROR(IF(INDEX([1]Pivot!$AD$1:$BE$65000,$B590,F$5)=1,1,IF(INDEX([1]Pivot!$B$1:$AB$65000,$B590,F$5)="",2,0)),0)</f>
        <v>0</v>
      </c>
      <c r="G590" s="194">
        <f>IFERROR(IF(INDEX([1]Pivot!$AD$1:$BE$65000,$B590,G$5)=1,1,IF(INDEX([1]Pivot!$B$1:$AB$65000,$B590,G$5)="",2,0)),0)</f>
        <v>0</v>
      </c>
      <c r="H590" s="194">
        <f>IFERROR(IF(INDEX([1]Pivot!$AD$1:$BE$65000,$B590,H$5)=1,1,IF(INDEX([1]Pivot!$B$1:$AB$65000,$B590,H$5)="",2,0)),0)</f>
        <v>0</v>
      </c>
      <c r="I590" s="194">
        <f>IFERROR(IF(INDEX([1]Pivot!$AD$1:$BE$65000,$B590,I$5)=1,1,IF(INDEX([1]Pivot!$B$1:$AB$65000,$B590,I$5)="",2,0)),0)</f>
        <v>0</v>
      </c>
      <c r="J590" s="194">
        <f>IFERROR(IF(INDEX([1]Pivot!$AD$1:$BE$65000,$B590,J$5)=1,1,IF(INDEX([1]Pivot!$B$1:$AB$65000,$B590,J$5)="",2,0)),0)</f>
        <v>0</v>
      </c>
      <c r="K590" s="194">
        <f>IFERROR(IF(INDEX([1]Pivot!$AD$1:$BE$65000,$B590,K$5)=1,1,IF(INDEX([1]Pivot!$B$1:$AB$65000,$B590,K$5)="",2,0)),0)</f>
        <v>0</v>
      </c>
      <c r="L590" s="194">
        <f>IFERROR(IF(INDEX([1]Pivot!$AD$1:$BE$65000,$B590,L$5)=1,1,IF(INDEX([1]Pivot!$B$1:$AB$65000,$B590,L$5)="",2,0)),0)</f>
        <v>0</v>
      </c>
      <c r="M590" s="194">
        <f>IFERROR(IF(INDEX([1]Pivot!$AD$1:$BE$65000,$B590,M$5)=1,1,IF(INDEX([1]Pivot!$B$1:$AB$65000,$B590,M$5)="",2,0)),0)</f>
        <v>0</v>
      </c>
      <c r="N590" s="194">
        <f>IFERROR(IF(INDEX([1]Pivot!$AD$1:$BE$65000,$B590,N$5)=1,1,IF(INDEX([1]Pivot!$B$1:$AB$65000,$B590,N$5)="",2,0)),0)</f>
        <v>0</v>
      </c>
      <c r="O590" s="194">
        <f>IFERROR(IF(INDEX([1]Pivot!$AD$1:$BE$65000,$B590,O$5)=1,1,IF(INDEX([1]Pivot!$B$1:$AB$65000,$B590,O$5)="",2,0)),0)</f>
        <v>0</v>
      </c>
      <c r="P590" s="194">
        <f>IFERROR(IF(INDEX([1]Pivot!$AD$1:$BE$65000,$B590,P$5)=1,1,IF(INDEX([1]Pivot!$B$1:$AB$65000,$B590,P$5)="",2,0)),0)</f>
        <v>0</v>
      </c>
      <c r="Q590" s="194">
        <f>IFERROR(IF(INDEX([1]Pivot!$AD$1:$BE$65000,$B590,Q$5)=1,1,IF(INDEX([1]Pivot!$B$1:$AB$65000,$B590,Q$5)="",2,0)),0)</f>
        <v>0</v>
      </c>
      <c r="R590" s="312"/>
      <c r="S590" s="194">
        <f>IFERROR(IF(INDEX([1]Pivot!$AD$1:$BE$65000,$B590,S$5)=1,1,IF(INDEX([1]Pivot!$B$1:$AB$65000,$B590,S$5)="",2,0)),0)</f>
        <v>0</v>
      </c>
      <c r="T590" s="194">
        <f>IFERROR(IF(INDEX([1]Pivot!$AD$1:$BE$65000,$B590,T$5)=1,1,IF(INDEX([1]Pivot!$B$1:$AB$65000,$B590,T$5)="",2,0)),0)</f>
        <v>0</v>
      </c>
      <c r="U590" s="194">
        <f>IFERROR(IF(INDEX([1]Pivot!$AD$1:$BE$65000,$B590,U$5)=1,1,IF(INDEX([1]Pivot!$B$1:$AB$65000,$B590,U$5)="",2,0)),0)</f>
        <v>0</v>
      </c>
      <c r="V590" s="194">
        <f>IFERROR(IF(INDEX([1]Pivot!$AD$1:$BE$65000,$B590,V$5)=1,1,IF(INDEX([1]Pivot!$B$1:$AB$65000,$B590,V$5)="",2,0)),0)</f>
        <v>0</v>
      </c>
      <c r="W590" s="194">
        <f>IFERROR(IF(INDEX([1]Pivot!$AD$1:$BE$65000,$B590,W$5)=1,1,IF(INDEX([1]Pivot!$B$1:$AB$65000,$B590,W$5)="",2,0)),0)</f>
        <v>0</v>
      </c>
      <c r="X590" s="194">
        <f>IFERROR(IF(INDEX([1]Pivot!$AD$1:$BE$65000,$B590,X$5)=1,1,IF(INDEX([1]Pivot!$B$1:$AB$65000,$B590,X$5)="",2,0)),0)</f>
        <v>0</v>
      </c>
      <c r="Y590" s="194">
        <f>IFERROR(IF(INDEX([1]Pivot!$AD$1:$BE$65000,$B590,Y$5)=1,1,IF(INDEX([1]Pivot!$B$1:$AB$65000,$B590,Y$5)="",2,0)),0)</f>
        <v>0</v>
      </c>
      <c r="Z590" s="194">
        <f>IFERROR(IF(INDEX([1]Pivot!$AD$1:$BE$65000,$B590,Z$5)=1,1,IF(INDEX([1]Pivot!$B$1:$AB$65000,$B590,Z$5)="",2,0)),0)</f>
        <v>0</v>
      </c>
      <c r="AA590" s="194">
        <f>IFERROR(IF(INDEX([1]Pivot!$AD$1:$BE$65000,$B590,AA$5)=1,1,IF(INDEX([1]Pivot!$B$1:$AB$65000,$B590,AA$5)="",2,0)),0)</f>
        <v>0</v>
      </c>
      <c r="AB590" s="194">
        <f>IFERROR(IF(INDEX([1]Pivot!$AD$1:$BE$65000,$B590,AB$5)=1,1,IF(INDEX([1]Pivot!$B$1:$AB$65000,$B590,AB$5)="",2,0)),0)</f>
        <v>0</v>
      </c>
      <c r="AC590" s="194">
        <f>IFERROR(IF(INDEX([1]Pivot!$AD$1:$BE$65000,$B590,AC$5)=1,1,IF(INDEX([1]Pivot!$B$1:$AB$65000,$B590,AC$5)="",2,0)),0)</f>
        <v>0</v>
      </c>
      <c r="AD590" s="313">
        <f>IFERROR(IF(INDEX([1]Pivot!$BF$1:$CG$65000,$B590,AD$5)=1,1,IF(INDEX([1]Pivot!$B$1:$AB$65000,$B590,AD$5)="",2,0)),0)</f>
        <v>0</v>
      </c>
      <c r="AE590" s="313">
        <f>IFERROR(IF(INDEX([1]Pivot!$BF$1:$CG$65000,$B590,AE$5)=1,1,IF(INDEX([1]Pivot!$B$1:$AB$65000,$B590,AE$5)="",2,0)),0)</f>
        <v>0</v>
      </c>
      <c r="AF590" s="313">
        <f>IFERROR(IF(INDEX([1]Pivot!$BF$1:$CG$65000,$B590,AF$5)=1,1,IF(INDEX([1]Pivot!$B$1:$AB$65000,$B590,AF$5)="",2,0)),0)</f>
        <v>0</v>
      </c>
      <c r="AG590" s="313">
        <f>IFERROR(IF(INDEX([1]Pivot!$BF$1:$CG$65000,$B590,AG$5)=1,1,IF(INDEX([1]Pivot!$B$1:$AB$65000,$B590,AG$5)="",2,0)),0)</f>
        <v>0</v>
      </c>
      <c r="AH590" s="313">
        <f>IFERROR(IF(INDEX([1]Pivot!$BF$1:$CG$65000,$B590,AH$5)=1,1,IF(INDEX([1]Pivot!$B$1:$AB$65000,$B590,AH$5)="",2,0)),0)</f>
        <v>0</v>
      </c>
      <c r="AI590" s="313">
        <f>IFERROR(IF(INDEX([1]Pivot!$BF$1:$CG$65000,$B590,AI$5)=1,1,IF(INDEX([1]Pivot!$B$1:$AB$65000,$B590,AI$5)="",2,0)),0)</f>
        <v>0</v>
      </c>
      <c r="AJ590" s="313">
        <f>IFERROR(IF(INDEX([1]Pivot!$BF$1:$CG$65000,$B590,AJ$5)=1,1,IF(INDEX([1]Pivot!$B$1:$AB$65000,$B590,AJ$5)="",2,0)),0)</f>
        <v>0</v>
      </c>
      <c r="AK590" s="313">
        <f>IFERROR(IF(INDEX([1]Pivot!$BF$1:$CG$65000,$B590,AK$5)=1,1,IF(INDEX([1]Pivot!$B$1:$AB$65000,$B590,AK$5)="",2,0)),0)</f>
        <v>0</v>
      </c>
      <c r="AL590" s="313">
        <f>IFERROR(IF(INDEX([1]Pivot!$BF$1:$CG$65000,$B590,AL$5)=1,1,IF(INDEX([1]Pivot!$B$1:$AB$65000,$B590,AL$5)="",2,0)),0)</f>
        <v>0</v>
      </c>
      <c r="AM590" s="313">
        <f>IFERROR(IF(INDEX([1]Pivot!$BF$1:$CG$65000,$B590,AM$5)=1,1,IF(INDEX([1]Pivot!$B$1:$AB$65000,$B590,AM$5)="",2,0)),0)</f>
        <v>0</v>
      </c>
      <c r="AN590" s="313">
        <f>IFERROR(IF(INDEX([1]Pivot!$BF$1:$CG$65000,$B590,AN$5)=1,1,IF(INDEX([1]Pivot!$B$1:$AB$65000,$B590,AN$5)="",2,0)),0)</f>
        <v>0</v>
      </c>
      <c r="AO590" s="313">
        <f>IFERROR(IF(INDEX([1]Pivot!$BF$1:$CG$65000,$B590,AO$5)=1,1,IF(INDEX([1]Pivot!$B$1:$AB$65000,$B590,AO$5)="",2,0)),0)</f>
        <v>0</v>
      </c>
      <c r="AP590" s="313">
        <f>IFERROR(IF(INDEX([1]Pivot!$BF$1:$CG$65000,$B590,AP$5)=1,1,IF(INDEX([1]Pivot!$B$1:$AB$65000,$B590,AP$5)="",2,0)),0)</f>
        <v>0</v>
      </c>
      <c r="AQ590" s="313">
        <f>IFERROR(IF(INDEX([1]Pivot!$BF$1:$CG$65000,$B590,AQ$5)=1,1,IF(INDEX([1]Pivot!$B$1:$AB$65000,$B590,AQ$5)="",2,0)),0)</f>
        <v>0</v>
      </c>
      <c r="AR590" s="313">
        <f>IFERROR(IF(INDEX([1]Pivot!$BF$1:$CG$65000,$B590,AR$5)=1,1,IF(INDEX([1]Pivot!$B$1:$AB$65000,$B590,AR$5)="",2,0)),0)</f>
        <v>0</v>
      </c>
      <c r="AS590" s="312"/>
      <c r="AT590" s="313">
        <f>IFERROR(IF(INDEX([1]Pivot!$BF$1:$CG$65000,$B590,AT$5)=1,1,IF(INDEX([1]Pivot!$B$1:$AB$65000,$B590,AT$5)="",2,0)),0)</f>
        <v>0</v>
      </c>
      <c r="AU590" s="313">
        <f>IFERROR(IF(INDEX([1]Pivot!$BF$1:$CG$65000,$B590,AU$5)=1,1,IF(INDEX([1]Pivot!$B$1:$AB$65000,$B590,AU$5)="",2,0)),0)</f>
        <v>0</v>
      </c>
      <c r="AV590" s="313">
        <f>IFERROR(IF(INDEX([1]Pivot!$BF$1:$CG$65000,$B590,AV$5)=1,1,IF(INDEX([1]Pivot!$B$1:$AB$65000,$B590,AV$5)="",2,0)),0)</f>
        <v>0</v>
      </c>
      <c r="AW590" s="313">
        <f>IFERROR(IF(INDEX([1]Pivot!$BF$1:$CG$65000,$B590,AW$5)=1,1,IF(INDEX([1]Pivot!$B$1:$AB$65000,$B590,AW$5)="",2,0)),0)</f>
        <v>0</v>
      </c>
      <c r="AX590" s="313">
        <f>IFERROR(IF(INDEX([1]Pivot!$BF$1:$CG$65000,$B590,AX$5)=1,1,IF(INDEX([1]Pivot!$B$1:$AB$65000,$B590,AX$5)="",2,0)),0)</f>
        <v>0</v>
      </c>
      <c r="AY590" s="313">
        <f>IFERROR(IF(INDEX([1]Pivot!$BF$1:$CG$65000,$B590,AY$5)=1,1,IF(INDEX([1]Pivot!$B$1:$AB$65000,$B590,AY$5)="",2,0)),0)</f>
        <v>0</v>
      </c>
      <c r="AZ590" s="313">
        <f>IFERROR(IF(INDEX([1]Pivot!$BF$1:$CG$65000,$B590,AZ$5)=1,1,IF(INDEX([1]Pivot!$B$1:$AB$65000,$B590,AZ$5)="",2,0)),0)</f>
        <v>0</v>
      </c>
      <c r="BA590" s="313">
        <f>IFERROR(IF(INDEX([1]Pivot!$BF$1:$CG$65000,$B590,BA$5)=1,1,IF(INDEX([1]Pivot!$B$1:$AB$65000,$B590,BA$5)="",2,0)),0)</f>
        <v>0</v>
      </c>
      <c r="BB590" s="313">
        <f>IFERROR(IF(INDEX([1]Pivot!$BF$1:$CG$65000,$B590,BB$5)=1,1,IF(INDEX([1]Pivot!$B$1:$AB$65000,$B590,BB$5)="",2,0)),0)</f>
        <v>0</v>
      </c>
      <c r="BC590" s="313">
        <f>IFERROR(IF(INDEX([1]Pivot!$BF$1:$CG$65000,$B590,BC$5)=1,1,IF(INDEX([1]Pivot!$B$1:$AB$65000,$B590,BC$5)="",2,0)),0)</f>
        <v>0</v>
      </c>
      <c r="BD590" s="313">
        <f>IFERROR(IF(INDEX([1]Pivot!$BF$1:$CG$65000,$B590,BD$5)=1,1,IF(INDEX([1]Pivot!$B$1:$AB$65000,$B590,BD$5)="",2,0)),0)</f>
        <v>0</v>
      </c>
    </row>
    <row r="591" spans="1:56" x14ac:dyDescent="0.25">
      <c r="A591" s="288" t="str">
        <f>'[2]Raw Milk Prices'!A591</f>
        <v>2025m08</v>
      </c>
      <c r="B591" s="296">
        <f>MATCH(DATE(LEFT('[2]Raw Milk Prices'!$A591,4),RIGHT('[2]Raw Milk Prices'!$A591,2),1),[1]Pivot!$A$1:$A$65000,0)</f>
        <v>40</v>
      </c>
      <c r="C591" s="194">
        <f>IFERROR(IF(INDEX([1]Pivot!$AD$1:$BE$65000,$B591,C$5)=1,1,IF(INDEX([1]Pivot!$B$1:$AB$65000,$B591,C$5)="",2,0)),0)</f>
        <v>0</v>
      </c>
      <c r="D591" s="194">
        <f>IFERROR(IF(INDEX([1]Pivot!$AD$1:$BE$65000,$B591,D$5)=1,1,IF(INDEX([1]Pivot!$B$1:$AB$65000,$B591,D$5)="",2,0)),0)</f>
        <v>0</v>
      </c>
      <c r="E591" s="194">
        <f>IFERROR(IF(INDEX([1]Pivot!$AD$1:$BE$65000,$B591,E$5)=1,1,IF(INDEX([1]Pivot!$B$1:$AB$65000,$B591,E$5)="",2,0)),0)</f>
        <v>0</v>
      </c>
      <c r="F591" s="194">
        <f>IFERROR(IF(INDEX([1]Pivot!$AD$1:$BE$65000,$B591,F$5)=1,1,IF(INDEX([1]Pivot!$B$1:$AB$65000,$B591,F$5)="",2,0)),0)</f>
        <v>0</v>
      </c>
      <c r="G591" s="194">
        <f>IFERROR(IF(INDEX([1]Pivot!$AD$1:$BE$65000,$B591,G$5)=1,1,IF(INDEX([1]Pivot!$B$1:$AB$65000,$B591,G$5)="",2,0)),0)</f>
        <v>0</v>
      </c>
      <c r="H591" s="194">
        <f>IFERROR(IF(INDEX([1]Pivot!$AD$1:$BE$65000,$B591,H$5)=1,1,IF(INDEX([1]Pivot!$B$1:$AB$65000,$B591,H$5)="",2,0)),0)</f>
        <v>0</v>
      </c>
      <c r="I591" s="194">
        <f>IFERROR(IF(INDEX([1]Pivot!$AD$1:$BE$65000,$B591,I$5)=1,1,IF(INDEX([1]Pivot!$B$1:$AB$65000,$B591,I$5)="",2,0)),0)</f>
        <v>0</v>
      </c>
      <c r="J591" s="194">
        <f>IFERROR(IF(INDEX([1]Pivot!$AD$1:$BE$65000,$B591,J$5)=1,1,IF(INDEX([1]Pivot!$B$1:$AB$65000,$B591,J$5)="",2,0)),0)</f>
        <v>0</v>
      </c>
      <c r="K591" s="194">
        <f>IFERROR(IF(INDEX([1]Pivot!$AD$1:$BE$65000,$B591,K$5)=1,1,IF(INDEX([1]Pivot!$B$1:$AB$65000,$B591,K$5)="",2,0)),0)</f>
        <v>0</v>
      </c>
      <c r="L591" s="194">
        <f>IFERROR(IF(INDEX([1]Pivot!$AD$1:$BE$65000,$B591,L$5)=1,1,IF(INDEX([1]Pivot!$B$1:$AB$65000,$B591,L$5)="",2,0)),0)</f>
        <v>0</v>
      </c>
      <c r="M591" s="194">
        <f>IFERROR(IF(INDEX([1]Pivot!$AD$1:$BE$65000,$B591,M$5)=1,1,IF(INDEX([1]Pivot!$B$1:$AB$65000,$B591,M$5)="",2,0)),0)</f>
        <v>0</v>
      </c>
      <c r="N591" s="194">
        <f>IFERROR(IF(INDEX([1]Pivot!$AD$1:$BE$65000,$B591,N$5)=1,1,IF(INDEX([1]Pivot!$B$1:$AB$65000,$B591,N$5)="",2,0)),0)</f>
        <v>0</v>
      </c>
      <c r="O591" s="194">
        <f>IFERROR(IF(INDEX([1]Pivot!$AD$1:$BE$65000,$B591,O$5)=1,1,IF(INDEX([1]Pivot!$B$1:$AB$65000,$B591,O$5)="",2,0)),0)</f>
        <v>0</v>
      </c>
      <c r="P591" s="194">
        <f>IFERROR(IF(INDEX([1]Pivot!$AD$1:$BE$65000,$B591,P$5)=1,1,IF(INDEX([1]Pivot!$B$1:$AB$65000,$B591,P$5)="",2,0)),0)</f>
        <v>0</v>
      </c>
      <c r="Q591" s="194">
        <f>IFERROR(IF(INDEX([1]Pivot!$AD$1:$BE$65000,$B591,Q$5)=1,1,IF(INDEX([1]Pivot!$B$1:$AB$65000,$B591,Q$5)="",2,0)),0)</f>
        <v>0</v>
      </c>
      <c r="R591" s="312"/>
      <c r="S591" s="194">
        <f>IFERROR(IF(INDEX([1]Pivot!$AD$1:$BE$65000,$B591,S$5)=1,1,IF(INDEX([1]Pivot!$B$1:$AB$65000,$B591,S$5)="",2,0)),0)</f>
        <v>0</v>
      </c>
      <c r="T591" s="194">
        <f>IFERROR(IF(INDEX([1]Pivot!$AD$1:$BE$65000,$B591,T$5)=1,1,IF(INDEX([1]Pivot!$B$1:$AB$65000,$B591,T$5)="",2,0)),0)</f>
        <v>0</v>
      </c>
      <c r="U591" s="194">
        <f>IFERROR(IF(INDEX([1]Pivot!$AD$1:$BE$65000,$B591,U$5)=1,1,IF(INDEX([1]Pivot!$B$1:$AB$65000,$B591,U$5)="",2,0)),0)</f>
        <v>0</v>
      </c>
      <c r="V591" s="194">
        <f>IFERROR(IF(INDEX([1]Pivot!$AD$1:$BE$65000,$B591,V$5)=1,1,IF(INDEX([1]Pivot!$B$1:$AB$65000,$B591,V$5)="",2,0)),0)</f>
        <v>0</v>
      </c>
      <c r="W591" s="194">
        <f>IFERROR(IF(INDEX([1]Pivot!$AD$1:$BE$65000,$B591,W$5)=1,1,IF(INDEX([1]Pivot!$B$1:$AB$65000,$B591,W$5)="",2,0)),0)</f>
        <v>0</v>
      </c>
      <c r="X591" s="194">
        <f>IFERROR(IF(INDEX([1]Pivot!$AD$1:$BE$65000,$B591,X$5)=1,1,IF(INDEX([1]Pivot!$B$1:$AB$65000,$B591,X$5)="",2,0)),0)</f>
        <v>0</v>
      </c>
      <c r="Y591" s="194">
        <f>IFERROR(IF(INDEX([1]Pivot!$AD$1:$BE$65000,$B591,Y$5)=1,1,IF(INDEX([1]Pivot!$B$1:$AB$65000,$B591,Y$5)="",2,0)),0)</f>
        <v>0</v>
      </c>
      <c r="Z591" s="194">
        <f>IFERROR(IF(INDEX([1]Pivot!$AD$1:$BE$65000,$B591,Z$5)=1,1,IF(INDEX([1]Pivot!$B$1:$AB$65000,$B591,Z$5)="",2,0)),0)</f>
        <v>0</v>
      </c>
      <c r="AA591" s="194">
        <f>IFERROR(IF(INDEX([1]Pivot!$AD$1:$BE$65000,$B591,AA$5)=1,1,IF(INDEX([1]Pivot!$B$1:$AB$65000,$B591,AA$5)="",2,0)),0)</f>
        <v>0</v>
      </c>
      <c r="AB591" s="194">
        <f>IFERROR(IF(INDEX([1]Pivot!$AD$1:$BE$65000,$B591,AB$5)=1,1,IF(INDEX([1]Pivot!$B$1:$AB$65000,$B591,AB$5)="",2,0)),0)</f>
        <v>0</v>
      </c>
      <c r="AC591" s="194">
        <f>IFERROR(IF(INDEX([1]Pivot!$AD$1:$BE$65000,$B591,AC$5)=1,1,IF(INDEX([1]Pivot!$B$1:$AB$65000,$B591,AC$5)="",2,0)),0)</f>
        <v>0</v>
      </c>
      <c r="AD591" s="313">
        <f>IFERROR(IF(INDEX([1]Pivot!$BF$1:$CG$65000,$B591,AD$5)=1,1,IF(INDEX([1]Pivot!$B$1:$AB$65000,$B591,AD$5)="",2,0)),0)</f>
        <v>0</v>
      </c>
      <c r="AE591" s="313">
        <f>IFERROR(IF(INDEX([1]Pivot!$BF$1:$CG$65000,$B591,AE$5)=1,1,IF(INDEX([1]Pivot!$B$1:$AB$65000,$B591,AE$5)="",2,0)),0)</f>
        <v>0</v>
      </c>
      <c r="AF591" s="313">
        <f>IFERROR(IF(INDEX([1]Pivot!$BF$1:$CG$65000,$B591,AF$5)=1,1,IF(INDEX([1]Pivot!$B$1:$AB$65000,$B591,AF$5)="",2,0)),0)</f>
        <v>0</v>
      </c>
      <c r="AG591" s="313">
        <f>IFERROR(IF(INDEX([1]Pivot!$BF$1:$CG$65000,$B591,AG$5)=1,1,IF(INDEX([1]Pivot!$B$1:$AB$65000,$B591,AG$5)="",2,0)),0)</f>
        <v>0</v>
      </c>
      <c r="AH591" s="313">
        <f>IFERROR(IF(INDEX([1]Pivot!$BF$1:$CG$65000,$B591,AH$5)=1,1,IF(INDEX([1]Pivot!$B$1:$AB$65000,$B591,AH$5)="",2,0)),0)</f>
        <v>0</v>
      </c>
      <c r="AI591" s="313">
        <f>IFERROR(IF(INDEX([1]Pivot!$BF$1:$CG$65000,$B591,AI$5)=1,1,IF(INDEX([1]Pivot!$B$1:$AB$65000,$B591,AI$5)="",2,0)),0)</f>
        <v>0</v>
      </c>
      <c r="AJ591" s="313">
        <f>IFERROR(IF(INDEX([1]Pivot!$BF$1:$CG$65000,$B591,AJ$5)=1,1,IF(INDEX([1]Pivot!$B$1:$AB$65000,$B591,AJ$5)="",2,0)),0)</f>
        <v>0</v>
      </c>
      <c r="AK591" s="313">
        <f>IFERROR(IF(INDEX([1]Pivot!$BF$1:$CG$65000,$B591,AK$5)=1,1,IF(INDEX([1]Pivot!$B$1:$AB$65000,$B591,AK$5)="",2,0)),0)</f>
        <v>0</v>
      </c>
      <c r="AL591" s="313">
        <f>IFERROR(IF(INDEX([1]Pivot!$BF$1:$CG$65000,$B591,AL$5)=1,1,IF(INDEX([1]Pivot!$B$1:$AB$65000,$B591,AL$5)="",2,0)),0)</f>
        <v>0</v>
      </c>
      <c r="AM591" s="313">
        <f>IFERROR(IF(INDEX([1]Pivot!$BF$1:$CG$65000,$B591,AM$5)=1,1,IF(INDEX([1]Pivot!$B$1:$AB$65000,$B591,AM$5)="",2,0)),0)</f>
        <v>0</v>
      </c>
      <c r="AN591" s="313">
        <f>IFERROR(IF(INDEX([1]Pivot!$BF$1:$CG$65000,$B591,AN$5)=1,1,IF(INDEX([1]Pivot!$B$1:$AB$65000,$B591,AN$5)="",2,0)),0)</f>
        <v>0</v>
      </c>
      <c r="AO591" s="313">
        <f>IFERROR(IF(INDEX([1]Pivot!$BF$1:$CG$65000,$B591,AO$5)=1,1,IF(INDEX([1]Pivot!$B$1:$AB$65000,$B591,AO$5)="",2,0)),0)</f>
        <v>0</v>
      </c>
      <c r="AP591" s="313">
        <f>IFERROR(IF(INDEX([1]Pivot!$BF$1:$CG$65000,$B591,AP$5)=1,1,IF(INDEX([1]Pivot!$B$1:$AB$65000,$B591,AP$5)="",2,0)),0)</f>
        <v>0</v>
      </c>
      <c r="AQ591" s="313">
        <f>IFERROR(IF(INDEX([1]Pivot!$BF$1:$CG$65000,$B591,AQ$5)=1,1,IF(INDEX([1]Pivot!$B$1:$AB$65000,$B591,AQ$5)="",2,0)),0)</f>
        <v>0</v>
      </c>
      <c r="AR591" s="313">
        <f>IFERROR(IF(INDEX([1]Pivot!$BF$1:$CG$65000,$B591,AR$5)=1,1,IF(INDEX([1]Pivot!$B$1:$AB$65000,$B591,AR$5)="",2,0)),0)</f>
        <v>0</v>
      </c>
      <c r="AS591" s="312"/>
      <c r="AT591" s="313">
        <f>IFERROR(IF(INDEX([1]Pivot!$BF$1:$CG$65000,$B591,AT$5)=1,1,IF(INDEX([1]Pivot!$B$1:$AB$65000,$B591,AT$5)="",2,0)),0)</f>
        <v>0</v>
      </c>
      <c r="AU591" s="313">
        <f>IFERROR(IF(INDEX([1]Pivot!$BF$1:$CG$65000,$B591,AU$5)=1,1,IF(INDEX([1]Pivot!$B$1:$AB$65000,$B591,AU$5)="",2,0)),0)</f>
        <v>0</v>
      </c>
      <c r="AV591" s="313">
        <f>IFERROR(IF(INDEX([1]Pivot!$BF$1:$CG$65000,$B591,AV$5)=1,1,IF(INDEX([1]Pivot!$B$1:$AB$65000,$B591,AV$5)="",2,0)),0)</f>
        <v>0</v>
      </c>
      <c r="AW591" s="313">
        <f>IFERROR(IF(INDEX([1]Pivot!$BF$1:$CG$65000,$B591,AW$5)=1,1,IF(INDEX([1]Pivot!$B$1:$AB$65000,$B591,AW$5)="",2,0)),0)</f>
        <v>0</v>
      </c>
      <c r="AX591" s="313">
        <f>IFERROR(IF(INDEX([1]Pivot!$BF$1:$CG$65000,$B591,AX$5)=1,1,IF(INDEX([1]Pivot!$B$1:$AB$65000,$B591,AX$5)="",2,0)),0)</f>
        <v>0</v>
      </c>
      <c r="AY591" s="313">
        <f>IFERROR(IF(INDEX([1]Pivot!$BF$1:$CG$65000,$B591,AY$5)=1,1,IF(INDEX([1]Pivot!$B$1:$AB$65000,$B591,AY$5)="",2,0)),0)</f>
        <v>0</v>
      </c>
      <c r="AZ591" s="313">
        <f>IFERROR(IF(INDEX([1]Pivot!$BF$1:$CG$65000,$B591,AZ$5)=1,1,IF(INDEX([1]Pivot!$B$1:$AB$65000,$B591,AZ$5)="",2,0)),0)</f>
        <v>0</v>
      </c>
      <c r="BA591" s="313">
        <f>IFERROR(IF(INDEX([1]Pivot!$BF$1:$CG$65000,$B591,BA$5)=1,1,IF(INDEX([1]Pivot!$B$1:$AB$65000,$B591,BA$5)="",2,0)),0)</f>
        <v>0</v>
      </c>
      <c r="BB591" s="313">
        <f>IFERROR(IF(INDEX([1]Pivot!$BF$1:$CG$65000,$B591,BB$5)=1,1,IF(INDEX([1]Pivot!$B$1:$AB$65000,$B591,BB$5)="",2,0)),0)</f>
        <v>0</v>
      </c>
      <c r="BC591" s="313">
        <f>IFERROR(IF(INDEX([1]Pivot!$BF$1:$CG$65000,$B591,BC$5)=1,1,IF(INDEX([1]Pivot!$B$1:$AB$65000,$B591,BC$5)="",2,0)),0)</f>
        <v>0</v>
      </c>
      <c r="BD591" s="313">
        <f>IFERROR(IF(INDEX([1]Pivot!$BF$1:$CG$65000,$B591,BD$5)=1,1,IF(INDEX([1]Pivot!$B$1:$AB$65000,$B591,BD$5)="",2,0)),0)</f>
        <v>0</v>
      </c>
    </row>
    <row r="592" spans="1:56" x14ac:dyDescent="0.25">
      <c r="A592" s="288" t="str">
        <f>'[2]Raw Milk Prices'!A592</f>
        <v>2025m09</v>
      </c>
      <c r="B592" s="296">
        <f>MATCH(DATE(LEFT('[2]Raw Milk Prices'!$A592,4),RIGHT('[2]Raw Milk Prices'!$A592,2),1),[1]Pivot!$A$1:$A$65000,0)</f>
        <v>41</v>
      </c>
      <c r="C592" s="194">
        <f>IFERROR(IF(INDEX([1]Pivot!$AD$1:$BE$65000,$B592,C$5)=1,1,IF(INDEX([1]Pivot!$B$1:$AB$65000,$B592,C$5)="",2,0)),0)</f>
        <v>0</v>
      </c>
      <c r="D592" s="194">
        <f>IFERROR(IF(INDEX([1]Pivot!$AD$1:$BE$65000,$B592,D$5)=1,1,IF(INDEX([1]Pivot!$B$1:$AB$65000,$B592,D$5)="",2,0)),0)</f>
        <v>0</v>
      </c>
      <c r="E592" s="194">
        <f>IFERROR(IF(INDEX([1]Pivot!$AD$1:$BE$65000,$B592,E$5)=1,1,IF(INDEX([1]Pivot!$B$1:$AB$65000,$B592,E$5)="",2,0)),0)</f>
        <v>0</v>
      </c>
      <c r="F592" s="194">
        <f>IFERROR(IF(INDEX([1]Pivot!$AD$1:$BE$65000,$B592,F$5)=1,1,IF(INDEX([1]Pivot!$B$1:$AB$65000,$B592,F$5)="",2,0)),0)</f>
        <v>0</v>
      </c>
      <c r="G592" s="194">
        <f>IFERROR(IF(INDEX([1]Pivot!$AD$1:$BE$65000,$B592,G$5)=1,1,IF(INDEX([1]Pivot!$B$1:$AB$65000,$B592,G$5)="",2,0)),0)</f>
        <v>0</v>
      </c>
      <c r="H592" s="194">
        <f>IFERROR(IF(INDEX([1]Pivot!$AD$1:$BE$65000,$B592,H$5)=1,1,IF(INDEX([1]Pivot!$B$1:$AB$65000,$B592,H$5)="",2,0)),0)</f>
        <v>0</v>
      </c>
      <c r="I592" s="194">
        <f>IFERROR(IF(INDEX([1]Pivot!$AD$1:$BE$65000,$B592,I$5)=1,1,IF(INDEX([1]Pivot!$B$1:$AB$65000,$B592,I$5)="",2,0)),0)</f>
        <v>0</v>
      </c>
      <c r="J592" s="194">
        <f>IFERROR(IF(INDEX([1]Pivot!$AD$1:$BE$65000,$B592,J$5)=1,1,IF(INDEX([1]Pivot!$B$1:$AB$65000,$B592,J$5)="",2,0)),0)</f>
        <v>0</v>
      </c>
      <c r="K592" s="194">
        <f>IFERROR(IF(INDEX([1]Pivot!$AD$1:$BE$65000,$B592,K$5)=1,1,IF(INDEX([1]Pivot!$B$1:$AB$65000,$B592,K$5)="",2,0)),0)</f>
        <v>0</v>
      </c>
      <c r="L592" s="194">
        <f>IFERROR(IF(INDEX([1]Pivot!$AD$1:$BE$65000,$B592,L$5)=1,1,IF(INDEX([1]Pivot!$B$1:$AB$65000,$B592,L$5)="",2,0)),0)</f>
        <v>0</v>
      </c>
      <c r="M592" s="194">
        <f>IFERROR(IF(INDEX([1]Pivot!$AD$1:$BE$65000,$B592,M$5)=1,1,IF(INDEX([1]Pivot!$B$1:$AB$65000,$B592,M$5)="",2,0)),0)</f>
        <v>0</v>
      </c>
      <c r="N592" s="194">
        <f>IFERROR(IF(INDEX([1]Pivot!$AD$1:$BE$65000,$B592,N$5)=1,1,IF(INDEX([1]Pivot!$B$1:$AB$65000,$B592,N$5)="",2,0)),0)</f>
        <v>0</v>
      </c>
      <c r="O592" s="194">
        <f>IFERROR(IF(INDEX([1]Pivot!$AD$1:$BE$65000,$B592,O$5)=1,1,IF(INDEX([1]Pivot!$B$1:$AB$65000,$B592,O$5)="",2,0)),0)</f>
        <v>0</v>
      </c>
      <c r="P592" s="194">
        <f>IFERROR(IF(INDEX([1]Pivot!$AD$1:$BE$65000,$B592,P$5)=1,1,IF(INDEX([1]Pivot!$B$1:$AB$65000,$B592,P$5)="",2,0)),0)</f>
        <v>0</v>
      </c>
      <c r="Q592" s="194">
        <f>IFERROR(IF(INDEX([1]Pivot!$AD$1:$BE$65000,$B592,Q$5)=1,1,IF(INDEX([1]Pivot!$B$1:$AB$65000,$B592,Q$5)="",2,0)),0)</f>
        <v>0</v>
      </c>
      <c r="R592" s="312"/>
      <c r="S592" s="194">
        <f>IFERROR(IF(INDEX([1]Pivot!$AD$1:$BE$65000,$B592,S$5)=1,1,IF(INDEX([1]Pivot!$B$1:$AB$65000,$B592,S$5)="",2,0)),0)</f>
        <v>0</v>
      </c>
      <c r="T592" s="194">
        <f>IFERROR(IF(INDEX([1]Pivot!$AD$1:$BE$65000,$B592,T$5)=1,1,IF(INDEX([1]Pivot!$B$1:$AB$65000,$B592,T$5)="",2,0)),0)</f>
        <v>0</v>
      </c>
      <c r="U592" s="194">
        <f>IFERROR(IF(INDEX([1]Pivot!$AD$1:$BE$65000,$B592,U$5)=1,1,IF(INDEX([1]Pivot!$B$1:$AB$65000,$B592,U$5)="",2,0)),0)</f>
        <v>0</v>
      </c>
      <c r="V592" s="194">
        <f>IFERROR(IF(INDEX([1]Pivot!$AD$1:$BE$65000,$B592,V$5)=1,1,IF(INDEX([1]Pivot!$B$1:$AB$65000,$B592,V$5)="",2,0)),0)</f>
        <v>0</v>
      </c>
      <c r="W592" s="194">
        <f>IFERROR(IF(INDEX([1]Pivot!$AD$1:$BE$65000,$B592,W$5)=1,1,IF(INDEX([1]Pivot!$B$1:$AB$65000,$B592,W$5)="",2,0)),0)</f>
        <v>0</v>
      </c>
      <c r="X592" s="194">
        <f>IFERROR(IF(INDEX([1]Pivot!$AD$1:$BE$65000,$B592,X$5)=1,1,IF(INDEX([1]Pivot!$B$1:$AB$65000,$B592,X$5)="",2,0)),0)</f>
        <v>0</v>
      </c>
      <c r="Y592" s="194">
        <f>IFERROR(IF(INDEX([1]Pivot!$AD$1:$BE$65000,$B592,Y$5)=1,1,IF(INDEX([1]Pivot!$B$1:$AB$65000,$B592,Y$5)="",2,0)),0)</f>
        <v>0</v>
      </c>
      <c r="Z592" s="194">
        <f>IFERROR(IF(INDEX([1]Pivot!$AD$1:$BE$65000,$B592,Z$5)=1,1,IF(INDEX([1]Pivot!$B$1:$AB$65000,$B592,Z$5)="",2,0)),0)</f>
        <v>0</v>
      </c>
      <c r="AA592" s="194">
        <f>IFERROR(IF(INDEX([1]Pivot!$AD$1:$BE$65000,$B592,AA$5)=1,1,IF(INDEX([1]Pivot!$B$1:$AB$65000,$B592,AA$5)="",2,0)),0)</f>
        <v>0</v>
      </c>
      <c r="AB592" s="194">
        <f>IFERROR(IF(INDEX([1]Pivot!$AD$1:$BE$65000,$B592,AB$5)=1,1,IF(INDEX([1]Pivot!$B$1:$AB$65000,$B592,AB$5)="",2,0)),0)</f>
        <v>0</v>
      </c>
      <c r="AC592" s="194">
        <f>IFERROR(IF(INDEX([1]Pivot!$AD$1:$BE$65000,$B592,AC$5)=1,1,IF(INDEX([1]Pivot!$B$1:$AB$65000,$B592,AC$5)="",2,0)),0)</f>
        <v>0</v>
      </c>
      <c r="AD592" s="313">
        <f>IFERROR(IF(INDEX([1]Pivot!$BF$1:$CG$65000,$B592,AD$5)=1,1,IF(INDEX([1]Pivot!$B$1:$AB$65000,$B592,AD$5)="",2,0)),0)</f>
        <v>0</v>
      </c>
      <c r="AE592" s="313">
        <f>IFERROR(IF(INDEX([1]Pivot!$BF$1:$CG$65000,$B592,AE$5)=1,1,IF(INDEX([1]Pivot!$B$1:$AB$65000,$B592,AE$5)="",2,0)),0)</f>
        <v>0</v>
      </c>
      <c r="AF592" s="313">
        <f>IFERROR(IF(INDEX([1]Pivot!$BF$1:$CG$65000,$B592,AF$5)=1,1,IF(INDEX([1]Pivot!$B$1:$AB$65000,$B592,AF$5)="",2,0)),0)</f>
        <v>0</v>
      </c>
      <c r="AG592" s="313">
        <f>IFERROR(IF(INDEX([1]Pivot!$BF$1:$CG$65000,$B592,AG$5)=1,1,IF(INDEX([1]Pivot!$B$1:$AB$65000,$B592,AG$5)="",2,0)),0)</f>
        <v>0</v>
      </c>
      <c r="AH592" s="313">
        <f>IFERROR(IF(INDEX([1]Pivot!$BF$1:$CG$65000,$B592,AH$5)=1,1,IF(INDEX([1]Pivot!$B$1:$AB$65000,$B592,AH$5)="",2,0)),0)</f>
        <v>0</v>
      </c>
      <c r="AI592" s="313">
        <f>IFERROR(IF(INDEX([1]Pivot!$BF$1:$CG$65000,$B592,AI$5)=1,1,IF(INDEX([1]Pivot!$B$1:$AB$65000,$B592,AI$5)="",2,0)),0)</f>
        <v>0</v>
      </c>
      <c r="AJ592" s="313">
        <f>IFERROR(IF(INDEX([1]Pivot!$BF$1:$CG$65000,$B592,AJ$5)=1,1,IF(INDEX([1]Pivot!$B$1:$AB$65000,$B592,AJ$5)="",2,0)),0)</f>
        <v>0</v>
      </c>
      <c r="AK592" s="313">
        <f>IFERROR(IF(INDEX([1]Pivot!$BF$1:$CG$65000,$B592,AK$5)=1,1,IF(INDEX([1]Pivot!$B$1:$AB$65000,$B592,AK$5)="",2,0)),0)</f>
        <v>0</v>
      </c>
      <c r="AL592" s="313">
        <f>IFERROR(IF(INDEX([1]Pivot!$BF$1:$CG$65000,$B592,AL$5)=1,1,IF(INDEX([1]Pivot!$B$1:$AB$65000,$B592,AL$5)="",2,0)),0)</f>
        <v>0</v>
      </c>
      <c r="AM592" s="313">
        <f>IFERROR(IF(INDEX([1]Pivot!$BF$1:$CG$65000,$B592,AM$5)=1,1,IF(INDEX([1]Pivot!$B$1:$AB$65000,$B592,AM$5)="",2,0)),0)</f>
        <v>0</v>
      </c>
      <c r="AN592" s="313">
        <f>IFERROR(IF(INDEX([1]Pivot!$BF$1:$CG$65000,$B592,AN$5)=1,1,IF(INDEX([1]Pivot!$B$1:$AB$65000,$B592,AN$5)="",2,0)),0)</f>
        <v>0</v>
      </c>
      <c r="AO592" s="313">
        <f>IFERROR(IF(INDEX([1]Pivot!$BF$1:$CG$65000,$B592,AO$5)=1,1,IF(INDEX([1]Pivot!$B$1:$AB$65000,$B592,AO$5)="",2,0)),0)</f>
        <v>0</v>
      </c>
      <c r="AP592" s="313">
        <f>IFERROR(IF(INDEX([1]Pivot!$BF$1:$CG$65000,$B592,AP$5)=1,1,IF(INDEX([1]Pivot!$B$1:$AB$65000,$B592,AP$5)="",2,0)),0)</f>
        <v>0</v>
      </c>
      <c r="AQ592" s="313">
        <f>IFERROR(IF(INDEX([1]Pivot!$BF$1:$CG$65000,$B592,AQ$5)=1,1,IF(INDEX([1]Pivot!$B$1:$AB$65000,$B592,AQ$5)="",2,0)),0)</f>
        <v>0</v>
      </c>
      <c r="AR592" s="313">
        <f>IFERROR(IF(INDEX([1]Pivot!$BF$1:$CG$65000,$B592,AR$5)=1,1,IF(INDEX([1]Pivot!$B$1:$AB$65000,$B592,AR$5)="",2,0)),0)</f>
        <v>0</v>
      </c>
      <c r="AS592" s="312"/>
      <c r="AT592" s="313">
        <f>IFERROR(IF(INDEX([1]Pivot!$BF$1:$CG$65000,$B592,AT$5)=1,1,IF(INDEX([1]Pivot!$B$1:$AB$65000,$B592,AT$5)="",2,0)),0)</f>
        <v>0</v>
      </c>
      <c r="AU592" s="313">
        <f>IFERROR(IF(INDEX([1]Pivot!$BF$1:$CG$65000,$B592,AU$5)=1,1,IF(INDEX([1]Pivot!$B$1:$AB$65000,$B592,AU$5)="",2,0)),0)</f>
        <v>0</v>
      </c>
      <c r="AV592" s="313">
        <f>IFERROR(IF(INDEX([1]Pivot!$BF$1:$CG$65000,$B592,AV$5)=1,1,IF(INDEX([1]Pivot!$B$1:$AB$65000,$B592,AV$5)="",2,0)),0)</f>
        <v>0</v>
      </c>
      <c r="AW592" s="313">
        <f>IFERROR(IF(INDEX([1]Pivot!$BF$1:$CG$65000,$B592,AW$5)=1,1,IF(INDEX([1]Pivot!$B$1:$AB$65000,$B592,AW$5)="",2,0)),0)</f>
        <v>0</v>
      </c>
      <c r="AX592" s="313">
        <f>IFERROR(IF(INDEX([1]Pivot!$BF$1:$CG$65000,$B592,AX$5)=1,1,IF(INDEX([1]Pivot!$B$1:$AB$65000,$B592,AX$5)="",2,0)),0)</f>
        <v>0</v>
      </c>
      <c r="AY592" s="313">
        <f>IFERROR(IF(INDEX([1]Pivot!$BF$1:$CG$65000,$B592,AY$5)=1,1,IF(INDEX([1]Pivot!$B$1:$AB$65000,$B592,AY$5)="",2,0)),0)</f>
        <v>0</v>
      </c>
      <c r="AZ592" s="313">
        <f>IFERROR(IF(INDEX([1]Pivot!$BF$1:$CG$65000,$B592,AZ$5)=1,1,IF(INDEX([1]Pivot!$B$1:$AB$65000,$B592,AZ$5)="",2,0)),0)</f>
        <v>0</v>
      </c>
      <c r="BA592" s="313">
        <f>IFERROR(IF(INDEX([1]Pivot!$BF$1:$CG$65000,$B592,BA$5)=1,1,IF(INDEX([1]Pivot!$B$1:$AB$65000,$B592,BA$5)="",2,0)),0)</f>
        <v>0</v>
      </c>
      <c r="BB592" s="313">
        <f>IFERROR(IF(INDEX([1]Pivot!$BF$1:$CG$65000,$B592,BB$5)=1,1,IF(INDEX([1]Pivot!$B$1:$AB$65000,$B592,BB$5)="",2,0)),0)</f>
        <v>0</v>
      </c>
      <c r="BC592" s="313">
        <f>IFERROR(IF(INDEX([1]Pivot!$BF$1:$CG$65000,$B592,BC$5)=1,1,IF(INDEX([1]Pivot!$B$1:$AB$65000,$B592,BC$5)="",2,0)),0)</f>
        <v>0</v>
      </c>
      <c r="BD592" s="313">
        <f>IFERROR(IF(INDEX([1]Pivot!$BF$1:$CG$65000,$B592,BD$5)=1,1,IF(INDEX([1]Pivot!$B$1:$AB$65000,$B592,BD$5)="",2,0)),0)</f>
        <v>0</v>
      </c>
    </row>
    <row r="593" spans="1:56" x14ac:dyDescent="0.25">
      <c r="A593" s="288" t="str">
        <f>'[2]Raw Milk Prices'!A593</f>
        <v>2025m10</v>
      </c>
      <c r="B593" s="296">
        <f>MATCH(DATE(LEFT('[2]Raw Milk Prices'!$A593,4),RIGHT('[2]Raw Milk Prices'!$A593,2),1),[1]Pivot!$A$1:$A$65000,0)</f>
        <v>42</v>
      </c>
      <c r="C593" s="194">
        <f>IFERROR(IF(INDEX([1]Pivot!$AD$1:$BE$65000,$B593,C$5)=1,1,IF(INDEX([1]Pivot!$B$1:$AB$65000,$B593,C$5)="",2,0)),0)</f>
        <v>0</v>
      </c>
      <c r="D593" s="194">
        <f>IFERROR(IF(INDEX([1]Pivot!$AD$1:$BE$65000,$B593,D$5)=1,1,IF(INDEX([1]Pivot!$B$1:$AB$65000,$B593,D$5)="",2,0)),0)</f>
        <v>0</v>
      </c>
      <c r="E593" s="194">
        <f>IFERROR(IF(INDEX([1]Pivot!$AD$1:$BE$65000,$B593,E$5)=1,1,IF(INDEX([1]Pivot!$B$1:$AB$65000,$B593,E$5)="",2,0)),0)</f>
        <v>0</v>
      </c>
      <c r="F593" s="194">
        <f>IFERROR(IF(INDEX([1]Pivot!$AD$1:$BE$65000,$B593,F$5)=1,1,IF(INDEX([1]Pivot!$B$1:$AB$65000,$B593,F$5)="",2,0)),0)</f>
        <v>0</v>
      </c>
      <c r="G593" s="194">
        <f>IFERROR(IF(INDEX([1]Pivot!$AD$1:$BE$65000,$B593,G$5)=1,1,IF(INDEX([1]Pivot!$B$1:$AB$65000,$B593,G$5)="",2,0)),0)</f>
        <v>0</v>
      </c>
      <c r="H593" s="194">
        <f>IFERROR(IF(INDEX([1]Pivot!$AD$1:$BE$65000,$B593,H$5)=1,1,IF(INDEX([1]Pivot!$B$1:$AB$65000,$B593,H$5)="",2,0)),0)</f>
        <v>0</v>
      </c>
      <c r="I593" s="194">
        <f>IFERROR(IF(INDEX([1]Pivot!$AD$1:$BE$65000,$B593,I$5)=1,1,IF(INDEX([1]Pivot!$B$1:$AB$65000,$B593,I$5)="",2,0)),0)</f>
        <v>0</v>
      </c>
      <c r="J593" s="194">
        <f>IFERROR(IF(INDEX([1]Pivot!$AD$1:$BE$65000,$B593,J$5)=1,1,IF(INDEX([1]Pivot!$B$1:$AB$65000,$B593,J$5)="",2,0)),0)</f>
        <v>0</v>
      </c>
      <c r="K593" s="194">
        <f>IFERROR(IF(INDEX([1]Pivot!$AD$1:$BE$65000,$B593,K$5)=1,1,IF(INDEX([1]Pivot!$B$1:$AB$65000,$B593,K$5)="",2,0)),0)</f>
        <v>0</v>
      </c>
      <c r="L593" s="194">
        <f>IFERROR(IF(INDEX([1]Pivot!$AD$1:$BE$65000,$B593,L$5)=1,1,IF(INDEX([1]Pivot!$B$1:$AB$65000,$B593,L$5)="",2,0)),0)</f>
        <v>0</v>
      </c>
      <c r="M593" s="194">
        <f>IFERROR(IF(INDEX([1]Pivot!$AD$1:$BE$65000,$B593,M$5)=1,1,IF(INDEX([1]Pivot!$B$1:$AB$65000,$B593,M$5)="",2,0)),0)</f>
        <v>0</v>
      </c>
      <c r="N593" s="194">
        <f>IFERROR(IF(INDEX([1]Pivot!$AD$1:$BE$65000,$B593,N$5)=1,1,IF(INDEX([1]Pivot!$B$1:$AB$65000,$B593,N$5)="",2,0)),0)</f>
        <v>0</v>
      </c>
      <c r="O593" s="194">
        <f>IFERROR(IF(INDEX([1]Pivot!$AD$1:$BE$65000,$B593,O$5)=1,1,IF(INDEX([1]Pivot!$B$1:$AB$65000,$B593,O$5)="",2,0)),0)</f>
        <v>0</v>
      </c>
      <c r="P593" s="194">
        <f>IFERROR(IF(INDEX([1]Pivot!$AD$1:$BE$65000,$B593,P$5)=1,1,IF(INDEX([1]Pivot!$B$1:$AB$65000,$B593,P$5)="",2,0)),0)</f>
        <v>0</v>
      </c>
      <c r="Q593" s="194">
        <f>IFERROR(IF(INDEX([1]Pivot!$AD$1:$BE$65000,$B593,Q$5)=1,1,IF(INDEX([1]Pivot!$B$1:$AB$65000,$B593,Q$5)="",2,0)),0)</f>
        <v>0</v>
      </c>
      <c r="R593" s="312"/>
      <c r="S593" s="194">
        <f>IFERROR(IF(INDEX([1]Pivot!$AD$1:$BE$65000,$B593,S$5)=1,1,IF(INDEX([1]Pivot!$B$1:$AB$65000,$B593,S$5)="",2,0)),0)</f>
        <v>0</v>
      </c>
      <c r="T593" s="194">
        <f>IFERROR(IF(INDEX([1]Pivot!$AD$1:$BE$65000,$B593,T$5)=1,1,IF(INDEX([1]Pivot!$B$1:$AB$65000,$B593,T$5)="",2,0)),0)</f>
        <v>0</v>
      </c>
      <c r="U593" s="194">
        <f>IFERROR(IF(INDEX([1]Pivot!$AD$1:$BE$65000,$B593,U$5)=1,1,IF(INDEX([1]Pivot!$B$1:$AB$65000,$B593,U$5)="",2,0)),0)</f>
        <v>0</v>
      </c>
      <c r="V593" s="194">
        <f>IFERROR(IF(INDEX([1]Pivot!$AD$1:$BE$65000,$B593,V$5)=1,1,IF(INDEX([1]Pivot!$B$1:$AB$65000,$B593,V$5)="",2,0)),0)</f>
        <v>0</v>
      </c>
      <c r="W593" s="194">
        <f>IFERROR(IF(INDEX([1]Pivot!$AD$1:$BE$65000,$B593,W$5)=1,1,IF(INDEX([1]Pivot!$B$1:$AB$65000,$B593,W$5)="",2,0)),0)</f>
        <v>0</v>
      </c>
      <c r="X593" s="194">
        <f>IFERROR(IF(INDEX([1]Pivot!$AD$1:$BE$65000,$B593,X$5)=1,1,IF(INDEX([1]Pivot!$B$1:$AB$65000,$B593,X$5)="",2,0)),0)</f>
        <v>0</v>
      </c>
      <c r="Y593" s="194">
        <f>IFERROR(IF(INDEX([1]Pivot!$AD$1:$BE$65000,$B593,Y$5)=1,1,IF(INDEX([1]Pivot!$B$1:$AB$65000,$B593,Y$5)="",2,0)),0)</f>
        <v>0</v>
      </c>
      <c r="Z593" s="194">
        <f>IFERROR(IF(INDEX([1]Pivot!$AD$1:$BE$65000,$B593,Z$5)=1,1,IF(INDEX([1]Pivot!$B$1:$AB$65000,$B593,Z$5)="",2,0)),0)</f>
        <v>0</v>
      </c>
      <c r="AA593" s="194">
        <f>IFERROR(IF(INDEX([1]Pivot!$AD$1:$BE$65000,$B593,AA$5)=1,1,IF(INDEX([1]Pivot!$B$1:$AB$65000,$B593,AA$5)="",2,0)),0)</f>
        <v>0</v>
      </c>
      <c r="AB593" s="194">
        <f>IFERROR(IF(INDEX([1]Pivot!$AD$1:$BE$65000,$B593,AB$5)=1,1,IF(INDEX([1]Pivot!$B$1:$AB$65000,$B593,AB$5)="",2,0)),0)</f>
        <v>0</v>
      </c>
      <c r="AC593" s="194">
        <f>IFERROR(IF(INDEX([1]Pivot!$AD$1:$BE$65000,$B593,AC$5)=1,1,IF(INDEX([1]Pivot!$B$1:$AB$65000,$B593,AC$5)="",2,0)),0)</f>
        <v>0</v>
      </c>
      <c r="AD593" s="313">
        <f>IFERROR(IF(INDEX([1]Pivot!$BF$1:$CG$65000,$B593,AD$5)=1,1,IF(INDEX([1]Pivot!$B$1:$AB$65000,$B593,AD$5)="",2,0)),0)</f>
        <v>0</v>
      </c>
      <c r="AE593" s="313">
        <f>IFERROR(IF(INDEX([1]Pivot!$BF$1:$CG$65000,$B593,AE$5)=1,1,IF(INDEX([1]Pivot!$B$1:$AB$65000,$B593,AE$5)="",2,0)),0)</f>
        <v>0</v>
      </c>
      <c r="AF593" s="313">
        <f>IFERROR(IF(INDEX([1]Pivot!$BF$1:$CG$65000,$B593,AF$5)=1,1,IF(INDEX([1]Pivot!$B$1:$AB$65000,$B593,AF$5)="",2,0)),0)</f>
        <v>0</v>
      </c>
      <c r="AG593" s="313">
        <f>IFERROR(IF(INDEX([1]Pivot!$BF$1:$CG$65000,$B593,AG$5)=1,1,IF(INDEX([1]Pivot!$B$1:$AB$65000,$B593,AG$5)="",2,0)),0)</f>
        <v>0</v>
      </c>
      <c r="AH593" s="313">
        <f>IFERROR(IF(INDEX([1]Pivot!$BF$1:$CG$65000,$B593,AH$5)=1,1,IF(INDEX([1]Pivot!$B$1:$AB$65000,$B593,AH$5)="",2,0)),0)</f>
        <v>0</v>
      </c>
      <c r="AI593" s="313">
        <f>IFERROR(IF(INDEX([1]Pivot!$BF$1:$CG$65000,$B593,AI$5)=1,1,IF(INDEX([1]Pivot!$B$1:$AB$65000,$B593,AI$5)="",2,0)),0)</f>
        <v>0</v>
      </c>
      <c r="AJ593" s="313">
        <f>IFERROR(IF(INDEX([1]Pivot!$BF$1:$CG$65000,$B593,AJ$5)=1,1,IF(INDEX([1]Pivot!$B$1:$AB$65000,$B593,AJ$5)="",2,0)),0)</f>
        <v>0</v>
      </c>
      <c r="AK593" s="313">
        <f>IFERROR(IF(INDEX([1]Pivot!$BF$1:$CG$65000,$B593,AK$5)=1,1,IF(INDEX([1]Pivot!$B$1:$AB$65000,$B593,AK$5)="",2,0)),0)</f>
        <v>0</v>
      </c>
      <c r="AL593" s="313">
        <f>IFERROR(IF(INDEX([1]Pivot!$BF$1:$CG$65000,$B593,AL$5)=1,1,IF(INDEX([1]Pivot!$B$1:$AB$65000,$B593,AL$5)="",2,0)),0)</f>
        <v>0</v>
      </c>
      <c r="AM593" s="313">
        <f>IFERROR(IF(INDEX([1]Pivot!$BF$1:$CG$65000,$B593,AM$5)=1,1,IF(INDEX([1]Pivot!$B$1:$AB$65000,$B593,AM$5)="",2,0)),0)</f>
        <v>0</v>
      </c>
      <c r="AN593" s="313">
        <f>IFERROR(IF(INDEX([1]Pivot!$BF$1:$CG$65000,$B593,AN$5)=1,1,IF(INDEX([1]Pivot!$B$1:$AB$65000,$B593,AN$5)="",2,0)),0)</f>
        <v>0</v>
      </c>
      <c r="AO593" s="313">
        <f>IFERROR(IF(INDEX([1]Pivot!$BF$1:$CG$65000,$B593,AO$5)=1,1,IF(INDEX([1]Pivot!$B$1:$AB$65000,$B593,AO$5)="",2,0)),0)</f>
        <v>0</v>
      </c>
      <c r="AP593" s="313">
        <f>IFERROR(IF(INDEX([1]Pivot!$BF$1:$CG$65000,$B593,AP$5)=1,1,IF(INDEX([1]Pivot!$B$1:$AB$65000,$B593,AP$5)="",2,0)),0)</f>
        <v>0</v>
      </c>
      <c r="AQ593" s="313">
        <f>IFERROR(IF(INDEX([1]Pivot!$BF$1:$CG$65000,$B593,AQ$5)=1,1,IF(INDEX([1]Pivot!$B$1:$AB$65000,$B593,AQ$5)="",2,0)),0)</f>
        <v>0</v>
      </c>
      <c r="AR593" s="313">
        <f>IFERROR(IF(INDEX([1]Pivot!$BF$1:$CG$65000,$B593,AR$5)=1,1,IF(INDEX([1]Pivot!$B$1:$AB$65000,$B593,AR$5)="",2,0)),0)</f>
        <v>0</v>
      </c>
      <c r="AS593" s="312"/>
      <c r="AT593" s="313">
        <f>IFERROR(IF(INDEX([1]Pivot!$BF$1:$CG$65000,$B593,AT$5)=1,1,IF(INDEX([1]Pivot!$B$1:$AB$65000,$B593,AT$5)="",2,0)),0)</f>
        <v>0</v>
      </c>
      <c r="AU593" s="313">
        <f>IFERROR(IF(INDEX([1]Pivot!$BF$1:$CG$65000,$B593,AU$5)=1,1,IF(INDEX([1]Pivot!$B$1:$AB$65000,$B593,AU$5)="",2,0)),0)</f>
        <v>0</v>
      </c>
      <c r="AV593" s="313">
        <f>IFERROR(IF(INDEX([1]Pivot!$BF$1:$CG$65000,$B593,AV$5)=1,1,IF(INDEX([1]Pivot!$B$1:$AB$65000,$B593,AV$5)="",2,0)),0)</f>
        <v>0</v>
      </c>
      <c r="AW593" s="313">
        <f>IFERROR(IF(INDEX([1]Pivot!$BF$1:$CG$65000,$B593,AW$5)=1,1,IF(INDEX([1]Pivot!$B$1:$AB$65000,$B593,AW$5)="",2,0)),0)</f>
        <v>0</v>
      </c>
      <c r="AX593" s="313">
        <f>IFERROR(IF(INDEX([1]Pivot!$BF$1:$CG$65000,$B593,AX$5)=1,1,IF(INDEX([1]Pivot!$B$1:$AB$65000,$B593,AX$5)="",2,0)),0)</f>
        <v>0</v>
      </c>
      <c r="AY593" s="313">
        <f>IFERROR(IF(INDEX([1]Pivot!$BF$1:$CG$65000,$B593,AY$5)=1,1,IF(INDEX([1]Pivot!$B$1:$AB$65000,$B593,AY$5)="",2,0)),0)</f>
        <v>0</v>
      </c>
      <c r="AZ593" s="313">
        <f>IFERROR(IF(INDEX([1]Pivot!$BF$1:$CG$65000,$B593,AZ$5)=1,1,IF(INDEX([1]Pivot!$B$1:$AB$65000,$B593,AZ$5)="",2,0)),0)</f>
        <v>0</v>
      </c>
      <c r="BA593" s="313">
        <f>IFERROR(IF(INDEX([1]Pivot!$BF$1:$CG$65000,$B593,BA$5)=1,1,IF(INDEX([1]Pivot!$B$1:$AB$65000,$B593,BA$5)="",2,0)),0)</f>
        <v>0</v>
      </c>
      <c r="BB593" s="313">
        <f>IFERROR(IF(INDEX([1]Pivot!$BF$1:$CG$65000,$B593,BB$5)=1,1,IF(INDEX([1]Pivot!$B$1:$AB$65000,$B593,BB$5)="",2,0)),0)</f>
        <v>0</v>
      </c>
      <c r="BC593" s="313">
        <f>IFERROR(IF(INDEX([1]Pivot!$BF$1:$CG$65000,$B593,BC$5)=1,1,IF(INDEX([1]Pivot!$B$1:$AB$65000,$B593,BC$5)="",2,0)),0)</f>
        <v>0</v>
      </c>
      <c r="BD593" s="313">
        <f>IFERROR(IF(INDEX([1]Pivot!$BF$1:$CG$65000,$B593,BD$5)=1,1,IF(INDEX([1]Pivot!$B$1:$AB$65000,$B593,BD$5)="",2,0)),0)</f>
        <v>0</v>
      </c>
    </row>
    <row r="594" spans="1:56" x14ac:dyDescent="0.25">
      <c r="A594" s="288" t="str">
        <f>'[2]Raw Milk Prices'!A594</f>
        <v>2025m11</v>
      </c>
      <c r="B594" s="296">
        <f>MATCH(DATE(LEFT('[2]Raw Milk Prices'!$A594,4),RIGHT('[2]Raw Milk Prices'!$A594,2),1),[1]Pivot!$A$1:$A$65000,0)</f>
        <v>43</v>
      </c>
      <c r="C594" s="194">
        <f>IFERROR(IF(INDEX([1]Pivot!$AD$1:$BE$65000,$B594,C$5)=1,1,IF(INDEX([1]Pivot!$B$1:$AB$65000,$B594,C$5)="",2,0)),0)</f>
        <v>0</v>
      </c>
      <c r="D594" s="194">
        <f>IFERROR(IF(INDEX([1]Pivot!$AD$1:$BE$65000,$B594,D$5)=1,1,IF(INDEX([1]Pivot!$B$1:$AB$65000,$B594,D$5)="",2,0)),0)</f>
        <v>0</v>
      </c>
      <c r="E594" s="194">
        <f>IFERROR(IF(INDEX([1]Pivot!$AD$1:$BE$65000,$B594,E$5)=1,1,IF(INDEX([1]Pivot!$B$1:$AB$65000,$B594,E$5)="",2,0)),0)</f>
        <v>0</v>
      </c>
      <c r="F594" s="194">
        <f>IFERROR(IF(INDEX([1]Pivot!$AD$1:$BE$65000,$B594,F$5)=1,1,IF(INDEX([1]Pivot!$B$1:$AB$65000,$B594,F$5)="",2,0)),0)</f>
        <v>0</v>
      </c>
      <c r="G594" s="194">
        <f>IFERROR(IF(INDEX([1]Pivot!$AD$1:$BE$65000,$B594,G$5)=1,1,IF(INDEX([1]Pivot!$B$1:$AB$65000,$B594,G$5)="",2,0)),0)</f>
        <v>0</v>
      </c>
      <c r="H594" s="194">
        <f>IFERROR(IF(INDEX([1]Pivot!$AD$1:$BE$65000,$B594,H$5)=1,1,IF(INDEX([1]Pivot!$B$1:$AB$65000,$B594,H$5)="",2,0)),0)</f>
        <v>0</v>
      </c>
      <c r="I594" s="194">
        <f>IFERROR(IF(INDEX([1]Pivot!$AD$1:$BE$65000,$B594,I$5)=1,1,IF(INDEX([1]Pivot!$B$1:$AB$65000,$B594,I$5)="",2,0)),0)</f>
        <v>0</v>
      </c>
      <c r="J594" s="194">
        <f>IFERROR(IF(INDEX([1]Pivot!$AD$1:$BE$65000,$B594,J$5)=1,1,IF(INDEX([1]Pivot!$B$1:$AB$65000,$B594,J$5)="",2,0)),0)</f>
        <v>0</v>
      </c>
      <c r="K594" s="194">
        <f>IFERROR(IF(INDEX([1]Pivot!$AD$1:$BE$65000,$B594,K$5)=1,1,IF(INDEX([1]Pivot!$B$1:$AB$65000,$B594,K$5)="",2,0)),0)</f>
        <v>0</v>
      </c>
      <c r="L594" s="194">
        <f>IFERROR(IF(INDEX([1]Pivot!$AD$1:$BE$65000,$B594,L$5)=1,1,IF(INDEX([1]Pivot!$B$1:$AB$65000,$B594,L$5)="",2,0)),0)</f>
        <v>0</v>
      </c>
      <c r="M594" s="194">
        <f>IFERROR(IF(INDEX([1]Pivot!$AD$1:$BE$65000,$B594,M$5)=1,1,IF(INDEX([1]Pivot!$B$1:$AB$65000,$B594,M$5)="",2,0)),0)</f>
        <v>0</v>
      </c>
      <c r="N594" s="194">
        <f>IFERROR(IF(INDEX([1]Pivot!$AD$1:$BE$65000,$B594,N$5)=1,1,IF(INDEX([1]Pivot!$B$1:$AB$65000,$B594,N$5)="",2,0)),0)</f>
        <v>0</v>
      </c>
      <c r="O594" s="194">
        <f>IFERROR(IF(INDEX([1]Pivot!$AD$1:$BE$65000,$B594,O$5)=1,1,IF(INDEX([1]Pivot!$B$1:$AB$65000,$B594,O$5)="",2,0)),0)</f>
        <v>0</v>
      </c>
      <c r="P594" s="194">
        <f>IFERROR(IF(INDEX([1]Pivot!$AD$1:$BE$65000,$B594,P$5)=1,1,IF(INDEX([1]Pivot!$B$1:$AB$65000,$B594,P$5)="",2,0)),0)</f>
        <v>0</v>
      </c>
      <c r="Q594" s="194">
        <f>IFERROR(IF(INDEX([1]Pivot!$AD$1:$BE$65000,$B594,Q$5)=1,1,IF(INDEX([1]Pivot!$B$1:$AB$65000,$B594,Q$5)="",2,0)),0)</f>
        <v>0</v>
      </c>
      <c r="R594" s="312"/>
      <c r="S594" s="194">
        <f>IFERROR(IF(INDEX([1]Pivot!$AD$1:$BE$65000,$B594,S$5)=1,1,IF(INDEX([1]Pivot!$B$1:$AB$65000,$B594,S$5)="",2,0)),0)</f>
        <v>0</v>
      </c>
      <c r="T594" s="194">
        <f>IFERROR(IF(INDEX([1]Pivot!$AD$1:$BE$65000,$B594,T$5)=1,1,IF(INDEX([1]Pivot!$B$1:$AB$65000,$B594,T$5)="",2,0)),0)</f>
        <v>0</v>
      </c>
      <c r="U594" s="194">
        <f>IFERROR(IF(INDEX([1]Pivot!$AD$1:$BE$65000,$B594,U$5)=1,1,IF(INDEX([1]Pivot!$B$1:$AB$65000,$B594,U$5)="",2,0)),0)</f>
        <v>0</v>
      </c>
      <c r="V594" s="194">
        <f>IFERROR(IF(INDEX([1]Pivot!$AD$1:$BE$65000,$B594,V$5)=1,1,IF(INDEX([1]Pivot!$B$1:$AB$65000,$B594,V$5)="",2,0)),0)</f>
        <v>0</v>
      </c>
      <c r="W594" s="194">
        <f>IFERROR(IF(INDEX([1]Pivot!$AD$1:$BE$65000,$B594,W$5)=1,1,IF(INDEX([1]Pivot!$B$1:$AB$65000,$B594,W$5)="",2,0)),0)</f>
        <v>0</v>
      </c>
      <c r="X594" s="194">
        <f>IFERROR(IF(INDEX([1]Pivot!$AD$1:$BE$65000,$B594,X$5)=1,1,IF(INDEX([1]Pivot!$B$1:$AB$65000,$B594,X$5)="",2,0)),0)</f>
        <v>0</v>
      </c>
      <c r="Y594" s="194">
        <f>IFERROR(IF(INDEX([1]Pivot!$AD$1:$BE$65000,$B594,Y$5)=1,1,IF(INDEX([1]Pivot!$B$1:$AB$65000,$B594,Y$5)="",2,0)),0)</f>
        <v>0</v>
      </c>
      <c r="Z594" s="194">
        <f>IFERROR(IF(INDEX([1]Pivot!$AD$1:$BE$65000,$B594,Z$5)=1,1,IF(INDEX([1]Pivot!$B$1:$AB$65000,$B594,Z$5)="",2,0)),0)</f>
        <v>0</v>
      </c>
      <c r="AA594" s="194">
        <f>IFERROR(IF(INDEX([1]Pivot!$AD$1:$BE$65000,$B594,AA$5)=1,1,IF(INDEX([1]Pivot!$B$1:$AB$65000,$B594,AA$5)="",2,0)),0)</f>
        <v>0</v>
      </c>
      <c r="AB594" s="194">
        <f>IFERROR(IF(INDEX([1]Pivot!$AD$1:$BE$65000,$B594,AB$5)=1,1,IF(INDEX([1]Pivot!$B$1:$AB$65000,$B594,AB$5)="",2,0)),0)</f>
        <v>0</v>
      </c>
      <c r="AC594" s="194">
        <f>IFERROR(IF(INDEX([1]Pivot!$AD$1:$BE$65000,$B594,AC$5)=1,1,IF(INDEX([1]Pivot!$B$1:$AB$65000,$B594,AC$5)="",2,0)),0)</f>
        <v>0</v>
      </c>
      <c r="AD594" s="313">
        <f>IFERROR(IF(INDEX([1]Pivot!$BF$1:$CG$65000,$B594,AD$5)=1,1,IF(INDEX([1]Pivot!$B$1:$AB$65000,$B594,AD$5)="",2,0)),0)</f>
        <v>0</v>
      </c>
      <c r="AE594" s="313">
        <f>IFERROR(IF(INDEX([1]Pivot!$BF$1:$CG$65000,$B594,AE$5)=1,1,IF(INDEX([1]Pivot!$B$1:$AB$65000,$B594,AE$5)="",2,0)),0)</f>
        <v>0</v>
      </c>
      <c r="AF594" s="313">
        <f>IFERROR(IF(INDEX([1]Pivot!$BF$1:$CG$65000,$B594,AF$5)=1,1,IF(INDEX([1]Pivot!$B$1:$AB$65000,$B594,AF$5)="",2,0)),0)</f>
        <v>0</v>
      </c>
      <c r="AG594" s="313">
        <f>IFERROR(IF(INDEX([1]Pivot!$BF$1:$CG$65000,$B594,AG$5)=1,1,IF(INDEX([1]Pivot!$B$1:$AB$65000,$B594,AG$5)="",2,0)),0)</f>
        <v>0</v>
      </c>
      <c r="AH594" s="313">
        <f>IFERROR(IF(INDEX([1]Pivot!$BF$1:$CG$65000,$B594,AH$5)=1,1,IF(INDEX([1]Pivot!$B$1:$AB$65000,$B594,AH$5)="",2,0)),0)</f>
        <v>0</v>
      </c>
      <c r="AI594" s="313">
        <f>IFERROR(IF(INDEX([1]Pivot!$BF$1:$CG$65000,$B594,AI$5)=1,1,IF(INDEX([1]Pivot!$B$1:$AB$65000,$B594,AI$5)="",2,0)),0)</f>
        <v>0</v>
      </c>
      <c r="AJ594" s="313">
        <f>IFERROR(IF(INDEX([1]Pivot!$BF$1:$CG$65000,$B594,AJ$5)=1,1,IF(INDEX([1]Pivot!$B$1:$AB$65000,$B594,AJ$5)="",2,0)),0)</f>
        <v>0</v>
      </c>
      <c r="AK594" s="313">
        <f>IFERROR(IF(INDEX([1]Pivot!$BF$1:$CG$65000,$B594,AK$5)=1,1,IF(INDEX([1]Pivot!$B$1:$AB$65000,$B594,AK$5)="",2,0)),0)</f>
        <v>0</v>
      </c>
      <c r="AL594" s="313">
        <f>IFERROR(IF(INDEX([1]Pivot!$BF$1:$CG$65000,$B594,AL$5)=1,1,IF(INDEX([1]Pivot!$B$1:$AB$65000,$B594,AL$5)="",2,0)),0)</f>
        <v>0</v>
      </c>
      <c r="AM594" s="313">
        <f>IFERROR(IF(INDEX([1]Pivot!$BF$1:$CG$65000,$B594,AM$5)=1,1,IF(INDEX([1]Pivot!$B$1:$AB$65000,$B594,AM$5)="",2,0)),0)</f>
        <v>0</v>
      </c>
      <c r="AN594" s="313">
        <f>IFERROR(IF(INDEX([1]Pivot!$BF$1:$CG$65000,$B594,AN$5)=1,1,IF(INDEX([1]Pivot!$B$1:$AB$65000,$B594,AN$5)="",2,0)),0)</f>
        <v>0</v>
      </c>
      <c r="AO594" s="313">
        <f>IFERROR(IF(INDEX([1]Pivot!$BF$1:$CG$65000,$B594,AO$5)=1,1,IF(INDEX([1]Pivot!$B$1:$AB$65000,$B594,AO$5)="",2,0)),0)</f>
        <v>0</v>
      </c>
      <c r="AP594" s="313">
        <f>IFERROR(IF(INDEX([1]Pivot!$BF$1:$CG$65000,$B594,AP$5)=1,1,IF(INDEX([1]Pivot!$B$1:$AB$65000,$B594,AP$5)="",2,0)),0)</f>
        <v>0</v>
      </c>
      <c r="AQ594" s="313">
        <f>IFERROR(IF(INDEX([1]Pivot!$BF$1:$CG$65000,$B594,AQ$5)=1,1,IF(INDEX([1]Pivot!$B$1:$AB$65000,$B594,AQ$5)="",2,0)),0)</f>
        <v>0</v>
      </c>
      <c r="AR594" s="313">
        <f>IFERROR(IF(INDEX([1]Pivot!$BF$1:$CG$65000,$B594,AR$5)=1,1,IF(INDEX([1]Pivot!$B$1:$AB$65000,$B594,AR$5)="",2,0)),0)</f>
        <v>0</v>
      </c>
      <c r="AS594" s="312"/>
      <c r="AT594" s="313">
        <f>IFERROR(IF(INDEX([1]Pivot!$BF$1:$CG$65000,$B594,AT$5)=1,1,IF(INDEX([1]Pivot!$B$1:$AB$65000,$B594,AT$5)="",2,0)),0)</f>
        <v>0</v>
      </c>
      <c r="AU594" s="313">
        <f>IFERROR(IF(INDEX([1]Pivot!$BF$1:$CG$65000,$B594,AU$5)=1,1,IF(INDEX([1]Pivot!$B$1:$AB$65000,$B594,AU$5)="",2,0)),0)</f>
        <v>0</v>
      </c>
      <c r="AV594" s="313">
        <f>IFERROR(IF(INDEX([1]Pivot!$BF$1:$CG$65000,$B594,AV$5)=1,1,IF(INDEX([1]Pivot!$B$1:$AB$65000,$B594,AV$5)="",2,0)),0)</f>
        <v>0</v>
      </c>
      <c r="AW594" s="313">
        <f>IFERROR(IF(INDEX([1]Pivot!$BF$1:$CG$65000,$B594,AW$5)=1,1,IF(INDEX([1]Pivot!$B$1:$AB$65000,$B594,AW$5)="",2,0)),0)</f>
        <v>0</v>
      </c>
      <c r="AX594" s="313">
        <f>IFERROR(IF(INDEX([1]Pivot!$BF$1:$CG$65000,$B594,AX$5)=1,1,IF(INDEX([1]Pivot!$B$1:$AB$65000,$B594,AX$5)="",2,0)),0)</f>
        <v>0</v>
      </c>
      <c r="AY594" s="313">
        <f>IFERROR(IF(INDEX([1]Pivot!$BF$1:$CG$65000,$B594,AY$5)=1,1,IF(INDEX([1]Pivot!$B$1:$AB$65000,$B594,AY$5)="",2,0)),0)</f>
        <v>0</v>
      </c>
      <c r="AZ594" s="313">
        <f>IFERROR(IF(INDEX([1]Pivot!$BF$1:$CG$65000,$B594,AZ$5)=1,1,IF(INDEX([1]Pivot!$B$1:$AB$65000,$B594,AZ$5)="",2,0)),0)</f>
        <v>0</v>
      </c>
      <c r="BA594" s="313">
        <f>IFERROR(IF(INDEX([1]Pivot!$BF$1:$CG$65000,$B594,BA$5)=1,1,IF(INDEX([1]Pivot!$B$1:$AB$65000,$B594,BA$5)="",2,0)),0)</f>
        <v>0</v>
      </c>
      <c r="BB594" s="313">
        <f>IFERROR(IF(INDEX([1]Pivot!$BF$1:$CG$65000,$B594,BB$5)=1,1,IF(INDEX([1]Pivot!$B$1:$AB$65000,$B594,BB$5)="",2,0)),0)</f>
        <v>0</v>
      </c>
      <c r="BC594" s="313">
        <f>IFERROR(IF(INDEX([1]Pivot!$BF$1:$CG$65000,$B594,BC$5)=1,1,IF(INDEX([1]Pivot!$B$1:$AB$65000,$B594,BC$5)="",2,0)),0)</f>
        <v>0</v>
      </c>
      <c r="BD594" s="313">
        <f>IFERROR(IF(INDEX([1]Pivot!$BF$1:$CG$65000,$B594,BD$5)=1,1,IF(INDEX([1]Pivot!$B$1:$AB$65000,$B594,BD$5)="",2,0)),0)</f>
        <v>0</v>
      </c>
    </row>
    <row r="595" spans="1:56" x14ac:dyDescent="0.25">
      <c r="A595" s="288" t="str">
        <f>'[2]Raw Milk Prices'!A595</f>
        <v>2025m12</v>
      </c>
      <c r="B595" s="296">
        <f>MATCH(DATE(LEFT('[2]Raw Milk Prices'!$A595,4),RIGHT('[2]Raw Milk Prices'!$A595,2),1),[1]Pivot!$A$1:$A$65000,0)</f>
        <v>44</v>
      </c>
      <c r="C595" s="194">
        <f>IFERROR(IF(INDEX([1]Pivot!$AD$1:$BE$65000,$B595,C$5)=1,1,IF(INDEX([1]Pivot!$B$1:$AB$65000,$B595,C$5)="",2,0)),0)</f>
        <v>0</v>
      </c>
      <c r="D595" s="194">
        <f>IFERROR(IF(INDEX([1]Pivot!$AD$1:$BE$65000,$B595,D$5)=1,1,IF(INDEX([1]Pivot!$B$1:$AB$65000,$B595,D$5)="",2,0)),0)</f>
        <v>0</v>
      </c>
      <c r="E595" s="194">
        <f>IFERROR(IF(INDEX([1]Pivot!$AD$1:$BE$65000,$B595,E$5)=1,1,IF(INDEX([1]Pivot!$B$1:$AB$65000,$B595,E$5)="",2,0)),0)</f>
        <v>0</v>
      </c>
      <c r="F595" s="194">
        <f>IFERROR(IF(INDEX([1]Pivot!$AD$1:$BE$65000,$B595,F$5)=1,1,IF(INDEX([1]Pivot!$B$1:$AB$65000,$B595,F$5)="",2,0)),0)</f>
        <v>0</v>
      </c>
      <c r="G595" s="194">
        <f>IFERROR(IF(INDEX([1]Pivot!$AD$1:$BE$65000,$B595,G$5)=1,1,IF(INDEX([1]Pivot!$B$1:$AB$65000,$B595,G$5)="",2,0)),0)</f>
        <v>0</v>
      </c>
      <c r="H595" s="194">
        <f>IFERROR(IF(INDEX([1]Pivot!$AD$1:$BE$65000,$B595,H$5)=1,1,IF(INDEX([1]Pivot!$B$1:$AB$65000,$B595,H$5)="",2,0)),0)</f>
        <v>0</v>
      </c>
      <c r="I595" s="194">
        <f>IFERROR(IF(INDEX([1]Pivot!$AD$1:$BE$65000,$B595,I$5)=1,1,IF(INDEX([1]Pivot!$B$1:$AB$65000,$B595,I$5)="",2,0)),0)</f>
        <v>0</v>
      </c>
      <c r="J595" s="194">
        <f>IFERROR(IF(INDEX([1]Pivot!$AD$1:$BE$65000,$B595,J$5)=1,1,IF(INDEX([1]Pivot!$B$1:$AB$65000,$B595,J$5)="",2,0)),0)</f>
        <v>0</v>
      </c>
      <c r="K595" s="194">
        <f>IFERROR(IF(INDEX([1]Pivot!$AD$1:$BE$65000,$B595,K$5)=1,1,IF(INDEX([1]Pivot!$B$1:$AB$65000,$B595,K$5)="",2,0)),0)</f>
        <v>0</v>
      </c>
      <c r="L595" s="194">
        <f>IFERROR(IF(INDEX([1]Pivot!$AD$1:$BE$65000,$B595,L$5)=1,1,IF(INDEX([1]Pivot!$B$1:$AB$65000,$B595,L$5)="",2,0)),0)</f>
        <v>0</v>
      </c>
      <c r="M595" s="194">
        <f>IFERROR(IF(INDEX([1]Pivot!$AD$1:$BE$65000,$B595,M$5)=1,1,IF(INDEX([1]Pivot!$B$1:$AB$65000,$B595,M$5)="",2,0)),0)</f>
        <v>0</v>
      </c>
      <c r="N595" s="194">
        <f>IFERROR(IF(INDEX([1]Pivot!$AD$1:$BE$65000,$B595,N$5)=1,1,IF(INDEX([1]Pivot!$B$1:$AB$65000,$B595,N$5)="",2,0)),0)</f>
        <v>0</v>
      </c>
      <c r="O595" s="194">
        <f>IFERROR(IF(INDEX([1]Pivot!$AD$1:$BE$65000,$B595,O$5)=1,1,IF(INDEX([1]Pivot!$B$1:$AB$65000,$B595,O$5)="",2,0)),0)</f>
        <v>0</v>
      </c>
      <c r="P595" s="194">
        <f>IFERROR(IF(INDEX([1]Pivot!$AD$1:$BE$65000,$B595,P$5)=1,1,IF(INDEX([1]Pivot!$B$1:$AB$65000,$B595,P$5)="",2,0)),0)</f>
        <v>0</v>
      </c>
      <c r="Q595" s="194">
        <f>IFERROR(IF(INDEX([1]Pivot!$AD$1:$BE$65000,$B595,Q$5)=1,1,IF(INDEX([1]Pivot!$B$1:$AB$65000,$B595,Q$5)="",2,0)),0)</f>
        <v>0</v>
      </c>
      <c r="R595" s="312"/>
      <c r="S595" s="194">
        <f>IFERROR(IF(INDEX([1]Pivot!$AD$1:$BE$65000,$B595,S$5)=1,1,IF(INDEX([1]Pivot!$B$1:$AB$65000,$B595,S$5)="",2,0)),0)</f>
        <v>0</v>
      </c>
      <c r="T595" s="194">
        <f>IFERROR(IF(INDEX([1]Pivot!$AD$1:$BE$65000,$B595,T$5)=1,1,IF(INDEX([1]Pivot!$B$1:$AB$65000,$B595,T$5)="",2,0)),0)</f>
        <v>0</v>
      </c>
      <c r="U595" s="194">
        <f>IFERROR(IF(INDEX([1]Pivot!$AD$1:$BE$65000,$B595,U$5)=1,1,IF(INDEX([1]Pivot!$B$1:$AB$65000,$B595,U$5)="",2,0)),0)</f>
        <v>0</v>
      </c>
      <c r="V595" s="194">
        <f>IFERROR(IF(INDEX([1]Pivot!$AD$1:$BE$65000,$B595,V$5)=1,1,IF(INDEX([1]Pivot!$B$1:$AB$65000,$B595,V$5)="",2,0)),0)</f>
        <v>0</v>
      </c>
      <c r="W595" s="194">
        <f>IFERROR(IF(INDEX([1]Pivot!$AD$1:$BE$65000,$B595,W$5)=1,1,IF(INDEX([1]Pivot!$B$1:$AB$65000,$B595,W$5)="",2,0)),0)</f>
        <v>0</v>
      </c>
      <c r="X595" s="194">
        <f>IFERROR(IF(INDEX([1]Pivot!$AD$1:$BE$65000,$B595,X$5)=1,1,IF(INDEX([1]Pivot!$B$1:$AB$65000,$B595,X$5)="",2,0)),0)</f>
        <v>0</v>
      </c>
      <c r="Y595" s="194">
        <f>IFERROR(IF(INDEX([1]Pivot!$AD$1:$BE$65000,$B595,Y$5)=1,1,IF(INDEX([1]Pivot!$B$1:$AB$65000,$B595,Y$5)="",2,0)),0)</f>
        <v>0</v>
      </c>
      <c r="Z595" s="194">
        <f>IFERROR(IF(INDEX([1]Pivot!$AD$1:$BE$65000,$B595,Z$5)=1,1,IF(INDEX([1]Pivot!$B$1:$AB$65000,$B595,Z$5)="",2,0)),0)</f>
        <v>0</v>
      </c>
      <c r="AA595" s="194">
        <f>IFERROR(IF(INDEX([1]Pivot!$AD$1:$BE$65000,$B595,AA$5)=1,1,IF(INDEX([1]Pivot!$B$1:$AB$65000,$B595,AA$5)="",2,0)),0)</f>
        <v>0</v>
      </c>
      <c r="AB595" s="194">
        <f>IFERROR(IF(INDEX([1]Pivot!$AD$1:$BE$65000,$B595,AB$5)=1,1,IF(INDEX([1]Pivot!$B$1:$AB$65000,$B595,AB$5)="",2,0)),0)</f>
        <v>0</v>
      </c>
      <c r="AC595" s="194">
        <f>IFERROR(IF(INDEX([1]Pivot!$AD$1:$BE$65000,$B595,AC$5)=1,1,IF(INDEX([1]Pivot!$B$1:$AB$65000,$B595,AC$5)="",2,0)),0)</f>
        <v>0</v>
      </c>
      <c r="AD595" s="313">
        <f>IFERROR(IF(INDEX([1]Pivot!$BF$1:$CG$65000,$B595,AD$5)=1,1,IF(INDEX([1]Pivot!$B$1:$AB$65000,$B595,AD$5)="",2,0)),0)</f>
        <v>0</v>
      </c>
      <c r="AE595" s="313">
        <f>IFERROR(IF(INDEX([1]Pivot!$BF$1:$CG$65000,$B595,AE$5)=1,1,IF(INDEX([1]Pivot!$B$1:$AB$65000,$B595,AE$5)="",2,0)),0)</f>
        <v>0</v>
      </c>
      <c r="AF595" s="313">
        <f>IFERROR(IF(INDEX([1]Pivot!$BF$1:$CG$65000,$B595,AF$5)=1,1,IF(INDEX([1]Pivot!$B$1:$AB$65000,$B595,AF$5)="",2,0)),0)</f>
        <v>0</v>
      </c>
      <c r="AG595" s="313">
        <f>IFERROR(IF(INDEX([1]Pivot!$BF$1:$CG$65000,$B595,AG$5)=1,1,IF(INDEX([1]Pivot!$B$1:$AB$65000,$B595,AG$5)="",2,0)),0)</f>
        <v>0</v>
      </c>
      <c r="AH595" s="313">
        <f>IFERROR(IF(INDEX([1]Pivot!$BF$1:$CG$65000,$B595,AH$5)=1,1,IF(INDEX([1]Pivot!$B$1:$AB$65000,$B595,AH$5)="",2,0)),0)</f>
        <v>0</v>
      </c>
      <c r="AI595" s="313">
        <f>IFERROR(IF(INDEX([1]Pivot!$BF$1:$CG$65000,$B595,AI$5)=1,1,IF(INDEX([1]Pivot!$B$1:$AB$65000,$B595,AI$5)="",2,0)),0)</f>
        <v>0</v>
      </c>
      <c r="AJ595" s="313">
        <f>IFERROR(IF(INDEX([1]Pivot!$BF$1:$CG$65000,$B595,AJ$5)=1,1,IF(INDEX([1]Pivot!$B$1:$AB$65000,$B595,AJ$5)="",2,0)),0)</f>
        <v>0</v>
      </c>
      <c r="AK595" s="313">
        <f>IFERROR(IF(INDEX([1]Pivot!$BF$1:$CG$65000,$B595,AK$5)=1,1,IF(INDEX([1]Pivot!$B$1:$AB$65000,$B595,AK$5)="",2,0)),0)</f>
        <v>0</v>
      </c>
      <c r="AL595" s="313">
        <f>IFERROR(IF(INDEX([1]Pivot!$BF$1:$CG$65000,$B595,AL$5)=1,1,IF(INDEX([1]Pivot!$B$1:$AB$65000,$B595,AL$5)="",2,0)),0)</f>
        <v>0</v>
      </c>
      <c r="AM595" s="313">
        <f>IFERROR(IF(INDEX([1]Pivot!$BF$1:$CG$65000,$B595,AM$5)=1,1,IF(INDEX([1]Pivot!$B$1:$AB$65000,$B595,AM$5)="",2,0)),0)</f>
        <v>0</v>
      </c>
      <c r="AN595" s="313">
        <f>IFERROR(IF(INDEX([1]Pivot!$BF$1:$CG$65000,$B595,AN$5)=1,1,IF(INDEX([1]Pivot!$B$1:$AB$65000,$B595,AN$5)="",2,0)),0)</f>
        <v>0</v>
      </c>
      <c r="AO595" s="313">
        <f>IFERROR(IF(INDEX([1]Pivot!$BF$1:$CG$65000,$B595,AO$5)=1,1,IF(INDEX([1]Pivot!$B$1:$AB$65000,$B595,AO$5)="",2,0)),0)</f>
        <v>0</v>
      </c>
      <c r="AP595" s="313">
        <f>IFERROR(IF(INDEX([1]Pivot!$BF$1:$CG$65000,$B595,AP$5)=1,1,IF(INDEX([1]Pivot!$B$1:$AB$65000,$B595,AP$5)="",2,0)),0)</f>
        <v>0</v>
      </c>
      <c r="AQ595" s="313">
        <f>IFERROR(IF(INDEX([1]Pivot!$BF$1:$CG$65000,$B595,AQ$5)=1,1,IF(INDEX([1]Pivot!$B$1:$AB$65000,$B595,AQ$5)="",2,0)),0)</f>
        <v>0</v>
      </c>
      <c r="AR595" s="313">
        <f>IFERROR(IF(INDEX([1]Pivot!$BF$1:$CG$65000,$B595,AR$5)=1,1,IF(INDEX([1]Pivot!$B$1:$AB$65000,$B595,AR$5)="",2,0)),0)</f>
        <v>0</v>
      </c>
      <c r="AS595" s="312"/>
      <c r="AT595" s="313">
        <f>IFERROR(IF(INDEX([1]Pivot!$BF$1:$CG$65000,$B595,AT$5)=1,1,IF(INDEX([1]Pivot!$B$1:$AB$65000,$B595,AT$5)="",2,0)),0)</f>
        <v>0</v>
      </c>
      <c r="AU595" s="313">
        <f>IFERROR(IF(INDEX([1]Pivot!$BF$1:$CG$65000,$B595,AU$5)=1,1,IF(INDEX([1]Pivot!$B$1:$AB$65000,$B595,AU$5)="",2,0)),0)</f>
        <v>0</v>
      </c>
      <c r="AV595" s="313">
        <f>IFERROR(IF(INDEX([1]Pivot!$BF$1:$CG$65000,$B595,AV$5)=1,1,IF(INDEX([1]Pivot!$B$1:$AB$65000,$B595,AV$5)="",2,0)),0)</f>
        <v>0</v>
      </c>
      <c r="AW595" s="313">
        <f>IFERROR(IF(INDEX([1]Pivot!$BF$1:$CG$65000,$B595,AW$5)=1,1,IF(INDEX([1]Pivot!$B$1:$AB$65000,$B595,AW$5)="",2,0)),0)</f>
        <v>0</v>
      </c>
      <c r="AX595" s="313">
        <f>IFERROR(IF(INDEX([1]Pivot!$BF$1:$CG$65000,$B595,AX$5)=1,1,IF(INDEX([1]Pivot!$B$1:$AB$65000,$B595,AX$5)="",2,0)),0)</f>
        <v>0</v>
      </c>
      <c r="AY595" s="313">
        <f>IFERROR(IF(INDEX([1]Pivot!$BF$1:$CG$65000,$B595,AY$5)=1,1,IF(INDEX([1]Pivot!$B$1:$AB$65000,$B595,AY$5)="",2,0)),0)</f>
        <v>0</v>
      </c>
      <c r="AZ595" s="313">
        <f>IFERROR(IF(INDEX([1]Pivot!$BF$1:$CG$65000,$B595,AZ$5)=1,1,IF(INDEX([1]Pivot!$B$1:$AB$65000,$B595,AZ$5)="",2,0)),0)</f>
        <v>0</v>
      </c>
      <c r="BA595" s="313">
        <f>IFERROR(IF(INDEX([1]Pivot!$BF$1:$CG$65000,$B595,BA$5)=1,1,IF(INDEX([1]Pivot!$B$1:$AB$65000,$B595,BA$5)="",2,0)),0)</f>
        <v>0</v>
      </c>
      <c r="BB595" s="313">
        <f>IFERROR(IF(INDEX([1]Pivot!$BF$1:$CG$65000,$B595,BB$5)=1,1,IF(INDEX([1]Pivot!$B$1:$AB$65000,$B595,BB$5)="",2,0)),0)</f>
        <v>0</v>
      </c>
      <c r="BC595" s="313">
        <f>IFERROR(IF(INDEX([1]Pivot!$BF$1:$CG$65000,$B595,BC$5)=1,1,IF(INDEX([1]Pivot!$B$1:$AB$65000,$B595,BC$5)="",2,0)),0)</f>
        <v>0</v>
      </c>
      <c r="BD595" s="313">
        <f>IFERROR(IF(INDEX([1]Pivot!$BF$1:$CG$65000,$B595,BD$5)=1,1,IF(INDEX([1]Pivot!$B$1:$AB$65000,$B595,BD$5)="",2,0)),0)</f>
        <v>0</v>
      </c>
    </row>
    <row r="596" spans="1:56" x14ac:dyDescent="0.25">
      <c r="A596" s="288" t="str">
        <f>'[2]Raw Milk Prices'!A596</f>
        <v>2026m01</v>
      </c>
      <c r="B596" s="296">
        <f>MATCH(DATE(LEFT('[2]Raw Milk Prices'!$A596,4),RIGHT('[2]Raw Milk Prices'!$A596,2),1),[1]Pivot!$A$1:$A$65000,0)</f>
        <v>45</v>
      </c>
      <c r="C596" s="194">
        <f>IFERROR(IF(INDEX([1]Pivot!$AD$1:$BE$65000,$B596,C$5)=1,1,IF(INDEX([1]Pivot!$B$1:$AB$65000,$B596,C$5)="",2,0)),0)</f>
        <v>0</v>
      </c>
      <c r="D596" s="194">
        <f>IFERROR(IF(INDEX([1]Pivot!$AD$1:$BE$65000,$B596,D$5)=1,1,IF(INDEX([1]Pivot!$B$1:$AB$65000,$B596,D$5)="",2,0)),0)</f>
        <v>0</v>
      </c>
      <c r="E596" s="194">
        <f>IFERROR(IF(INDEX([1]Pivot!$AD$1:$BE$65000,$B596,E$5)=1,1,IF(INDEX([1]Pivot!$B$1:$AB$65000,$B596,E$5)="",2,0)),0)</f>
        <v>0</v>
      </c>
      <c r="F596" s="194">
        <f>IFERROR(IF(INDEX([1]Pivot!$AD$1:$BE$65000,$B596,F$5)=1,1,IF(INDEX([1]Pivot!$B$1:$AB$65000,$B596,F$5)="",2,0)),0)</f>
        <v>0</v>
      </c>
      <c r="G596" s="194">
        <f>IFERROR(IF(INDEX([1]Pivot!$AD$1:$BE$65000,$B596,G$5)=1,1,IF(INDEX([1]Pivot!$B$1:$AB$65000,$B596,G$5)="",2,0)),0)</f>
        <v>0</v>
      </c>
      <c r="H596" s="194">
        <f>IFERROR(IF(INDEX([1]Pivot!$AD$1:$BE$65000,$B596,H$5)=1,1,IF(INDEX([1]Pivot!$B$1:$AB$65000,$B596,H$5)="",2,0)),0)</f>
        <v>0</v>
      </c>
      <c r="I596" s="194">
        <f>IFERROR(IF(INDEX([1]Pivot!$AD$1:$BE$65000,$B596,I$5)=1,1,IF(INDEX([1]Pivot!$B$1:$AB$65000,$B596,I$5)="",2,0)),0)</f>
        <v>0</v>
      </c>
      <c r="J596" s="194">
        <f>IFERROR(IF(INDEX([1]Pivot!$AD$1:$BE$65000,$B596,J$5)=1,1,IF(INDEX([1]Pivot!$B$1:$AB$65000,$B596,J$5)="",2,0)),0)</f>
        <v>0</v>
      </c>
      <c r="K596" s="194">
        <f>IFERROR(IF(INDEX([1]Pivot!$AD$1:$BE$65000,$B596,K$5)=1,1,IF(INDEX([1]Pivot!$B$1:$AB$65000,$B596,K$5)="",2,0)),0)</f>
        <v>0</v>
      </c>
      <c r="L596" s="194">
        <f>IFERROR(IF(INDEX([1]Pivot!$AD$1:$BE$65000,$B596,L$5)=1,1,IF(INDEX([1]Pivot!$B$1:$AB$65000,$B596,L$5)="",2,0)),0)</f>
        <v>0</v>
      </c>
      <c r="M596" s="194">
        <f>IFERROR(IF(INDEX([1]Pivot!$AD$1:$BE$65000,$B596,M$5)=1,1,IF(INDEX([1]Pivot!$B$1:$AB$65000,$B596,M$5)="",2,0)),0)</f>
        <v>0</v>
      </c>
      <c r="N596" s="194">
        <f>IFERROR(IF(INDEX([1]Pivot!$AD$1:$BE$65000,$B596,N$5)=1,1,IF(INDEX([1]Pivot!$B$1:$AB$65000,$B596,N$5)="",2,0)),0)</f>
        <v>0</v>
      </c>
      <c r="O596" s="194">
        <f>IFERROR(IF(INDEX([1]Pivot!$AD$1:$BE$65000,$B596,O$5)=1,1,IF(INDEX([1]Pivot!$B$1:$AB$65000,$B596,O$5)="",2,0)),0)</f>
        <v>0</v>
      </c>
      <c r="P596" s="194">
        <f>IFERROR(IF(INDEX([1]Pivot!$AD$1:$BE$65000,$B596,P$5)=1,1,IF(INDEX([1]Pivot!$B$1:$AB$65000,$B596,P$5)="",2,0)),0)</f>
        <v>0</v>
      </c>
      <c r="Q596" s="194">
        <f>IFERROR(IF(INDEX([1]Pivot!$AD$1:$BE$65000,$B596,Q$5)=1,1,IF(INDEX([1]Pivot!$B$1:$AB$65000,$B596,Q$5)="",2,0)),0)</f>
        <v>0</v>
      </c>
      <c r="R596" s="312"/>
      <c r="S596" s="194">
        <f>IFERROR(IF(INDEX([1]Pivot!$AD$1:$BE$65000,$B596,S$5)=1,1,IF(INDEX([1]Pivot!$B$1:$AB$65000,$B596,S$5)="",2,0)),0)</f>
        <v>0</v>
      </c>
      <c r="T596" s="194">
        <f>IFERROR(IF(INDEX([1]Pivot!$AD$1:$BE$65000,$B596,T$5)=1,1,IF(INDEX([1]Pivot!$B$1:$AB$65000,$B596,T$5)="",2,0)),0)</f>
        <v>0</v>
      </c>
      <c r="U596" s="194">
        <f>IFERROR(IF(INDEX([1]Pivot!$AD$1:$BE$65000,$B596,U$5)=1,1,IF(INDEX([1]Pivot!$B$1:$AB$65000,$B596,U$5)="",2,0)),0)</f>
        <v>0</v>
      </c>
      <c r="V596" s="194">
        <f>IFERROR(IF(INDEX([1]Pivot!$AD$1:$BE$65000,$B596,V$5)=1,1,IF(INDEX([1]Pivot!$B$1:$AB$65000,$B596,V$5)="",2,0)),0)</f>
        <v>0</v>
      </c>
      <c r="W596" s="194">
        <f>IFERROR(IF(INDEX([1]Pivot!$AD$1:$BE$65000,$B596,W$5)=1,1,IF(INDEX([1]Pivot!$B$1:$AB$65000,$B596,W$5)="",2,0)),0)</f>
        <v>0</v>
      </c>
      <c r="X596" s="194">
        <f>IFERROR(IF(INDEX([1]Pivot!$AD$1:$BE$65000,$B596,X$5)=1,1,IF(INDEX([1]Pivot!$B$1:$AB$65000,$B596,X$5)="",2,0)),0)</f>
        <v>0</v>
      </c>
      <c r="Y596" s="194">
        <f>IFERROR(IF(INDEX([1]Pivot!$AD$1:$BE$65000,$B596,Y$5)=1,1,IF(INDEX([1]Pivot!$B$1:$AB$65000,$B596,Y$5)="",2,0)),0)</f>
        <v>0</v>
      </c>
      <c r="Z596" s="194">
        <f>IFERROR(IF(INDEX([1]Pivot!$AD$1:$BE$65000,$B596,Z$5)=1,1,IF(INDEX([1]Pivot!$B$1:$AB$65000,$B596,Z$5)="",2,0)),0)</f>
        <v>0</v>
      </c>
      <c r="AA596" s="194">
        <f>IFERROR(IF(INDEX([1]Pivot!$AD$1:$BE$65000,$B596,AA$5)=1,1,IF(INDEX([1]Pivot!$B$1:$AB$65000,$B596,AA$5)="",2,0)),0)</f>
        <v>0</v>
      </c>
      <c r="AB596" s="194">
        <f>IFERROR(IF(INDEX([1]Pivot!$AD$1:$BE$65000,$B596,AB$5)=1,1,IF(INDEX([1]Pivot!$B$1:$AB$65000,$B596,AB$5)="",2,0)),0)</f>
        <v>0</v>
      </c>
      <c r="AC596" s="194">
        <f>IFERROR(IF(INDEX([1]Pivot!$AD$1:$BE$65000,$B596,AC$5)=1,1,IF(INDEX([1]Pivot!$B$1:$AB$65000,$B596,AC$5)="",2,0)),0)</f>
        <v>0</v>
      </c>
      <c r="AD596" s="313">
        <f>IFERROR(IF(INDEX([1]Pivot!$BF$1:$CG$65000,$B596,AD$5)=1,1,IF(INDEX([1]Pivot!$B$1:$AB$65000,$B596,AD$5)="",2,0)),0)</f>
        <v>0</v>
      </c>
      <c r="AE596" s="313">
        <f>IFERROR(IF(INDEX([1]Pivot!$BF$1:$CG$65000,$B596,AE$5)=1,1,IF(INDEX([1]Pivot!$B$1:$AB$65000,$B596,AE$5)="",2,0)),0)</f>
        <v>0</v>
      </c>
      <c r="AF596" s="313">
        <f>IFERROR(IF(INDEX([1]Pivot!$BF$1:$CG$65000,$B596,AF$5)=1,1,IF(INDEX([1]Pivot!$B$1:$AB$65000,$B596,AF$5)="",2,0)),0)</f>
        <v>0</v>
      </c>
      <c r="AG596" s="313">
        <f>IFERROR(IF(INDEX([1]Pivot!$BF$1:$CG$65000,$B596,AG$5)=1,1,IF(INDEX([1]Pivot!$B$1:$AB$65000,$B596,AG$5)="",2,0)),0)</f>
        <v>0</v>
      </c>
      <c r="AH596" s="313">
        <f>IFERROR(IF(INDEX([1]Pivot!$BF$1:$CG$65000,$B596,AH$5)=1,1,IF(INDEX([1]Pivot!$B$1:$AB$65000,$B596,AH$5)="",2,0)),0)</f>
        <v>0</v>
      </c>
      <c r="AI596" s="313">
        <f>IFERROR(IF(INDEX([1]Pivot!$BF$1:$CG$65000,$B596,AI$5)=1,1,IF(INDEX([1]Pivot!$B$1:$AB$65000,$B596,AI$5)="",2,0)),0)</f>
        <v>0</v>
      </c>
      <c r="AJ596" s="313">
        <f>IFERROR(IF(INDEX([1]Pivot!$BF$1:$CG$65000,$B596,AJ$5)=1,1,IF(INDEX([1]Pivot!$B$1:$AB$65000,$B596,AJ$5)="",2,0)),0)</f>
        <v>0</v>
      </c>
      <c r="AK596" s="313">
        <f>IFERROR(IF(INDEX([1]Pivot!$BF$1:$CG$65000,$B596,AK$5)=1,1,IF(INDEX([1]Pivot!$B$1:$AB$65000,$B596,AK$5)="",2,0)),0)</f>
        <v>0</v>
      </c>
      <c r="AL596" s="313">
        <f>IFERROR(IF(INDEX([1]Pivot!$BF$1:$CG$65000,$B596,AL$5)=1,1,IF(INDEX([1]Pivot!$B$1:$AB$65000,$B596,AL$5)="",2,0)),0)</f>
        <v>0</v>
      </c>
      <c r="AM596" s="313">
        <f>IFERROR(IF(INDEX([1]Pivot!$BF$1:$CG$65000,$B596,AM$5)=1,1,IF(INDEX([1]Pivot!$B$1:$AB$65000,$B596,AM$5)="",2,0)),0)</f>
        <v>0</v>
      </c>
      <c r="AN596" s="313">
        <f>IFERROR(IF(INDEX([1]Pivot!$BF$1:$CG$65000,$B596,AN$5)=1,1,IF(INDEX([1]Pivot!$B$1:$AB$65000,$B596,AN$5)="",2,0)),0)</f>
        <v>0</v>
      </c>
      <c r="AO596" s="313">
        <f>IFERROR(IF(INDEX([1]Pivot!$BF$1:$CG$65000,$B596,AO$5)=1,1,IF(INDEX([1]Pivot!$B$1:$AB$65000,$B596,AO$5)="",2,0)),0)</f>
        <v>0</v>
      </c>
      <c r="AP596" s="313">
        <f>IFERROR(IF(INDEX([1]Pivot!$BF$1:$CG$65000,$B596,AP$5)=1,1,IF(INDEX([1]Pivot!$B$1:$AB$65000,$B596,AP$5)="",2,0)),0)</f>
        <v>0</v>
      </c>
      <c r="AQ596" s="313">
        <f>IFERROR(IF(INDEX([1]Pivot!$BF$1:$CG$65000,$B596,AQ$5)=1,1,IF(INDEX([1]Pivot!$B$1:$AB$65000,$B596,AQ$5)="",2,0)),0)</f>
        <v>0</v>
      </c>
      <c r="AR596" s="313">
        <f>IFERROR(IF(INDEX([1]Pivot!$BF$1:$CG$65000,$B596,AR$5)=1,1,IF(INDEX([1]Pivot!$B$1:$AB$65000,$B596,AR$5)="",2,0)),0)</f>
        <v>0</v>
      </c>
      <c r="AS596" s="312"/>
      <c r="AT596" s="313">
        <f>IFERROR(IF(INDEX([1]Pivot!$BF$1:$CG$65000,$B596,AT$5)=1,1,IF(INDEX([1]Pivot!$B$1:$AB$65000,$B596,AT$5)="",2,0)),0)</f>
        <v>0</v>
      </c>
      <c r="AU596" s="313">
        <f>IFERROR(IF(INDEX([1]Pivot!$BF$1:$CG$65000,$B596,AU$5)=1,1,IF(INDEX([1]Pivot!$B$1:$AB$65000,$B596,AU$5)="",2,0)),0)</f>
        <v>0</v>
      </c>
      <c r="AV596" s="313">
        <f>IFERROR(IF(INDEX([1]Pivot!$BF$1:$CG$65000,$B596,AV$5)=1,1,IF(INDEX([1]Pivot!$B$1:$AB$65000,$B596,AV$5)="",2,0)),0)</f>
        <v>0</v>
      </c>
      <c r="AW596" s="313">
        <f>IFERROR(IF(INDEX([1]Pivot!$BF$1:$CG$65000,$B596,AW$5)=1,1,IF(INDEX([1]Pivot!$B$1:$AB$65000,$B596,AW$5)="",2,0)),0)</f>
        <v>0</v>
      </c>
      <c r="AX596" s="313">
        <f>IFERROR(IF(INDEX([1]Pivot!$BF$1:$CG$65000,$B596,AX$5)=1,1,IF(INDEX([1]Pivot!$B$1:$AB$65000,$B596,AX$5)="",2,0)),0)</f>
        <v>0</v>
      </c>
      <c r="AY596" s="313">
        <f>IFERROR(IF(INDEX([1]Pivot!$BF$1:$CG$65000,$B596,AY$5)=1,1,IF(INDEX([1]Pivot!$B$1:$AB$65000,$B596,AY$5)="",2,0)),0)</f>
        <v>0</v>
      </c>
      <c r="AZ596" s="313">
        <f>IFERROR(IF(INDEX([1]Pivot!$BF$1:$CG$65000,$B596,AZ$5)=1,1,IF(INDEX([1]Pivot!$B$1:$AB$65000,$B596,AZ$5)="",2,0)),0)</f>
        <v>0</v>
      </c>
      <c r="BA596" s="313">
        <f>IFERROR(IF(INDEX([1]Pivot!$BF$1:$CG$65000,$B596,BA$5)=1,1,IF(INDEX([1]Pivot!$B$1:$AB$65000,$B596,BA$5)="",2,0)),0)</f>
        <v>0</v>
      </c>
      <c r="BB596" s="313">
        <f>IFERROR(IF(INDEX([1]Pivot!$BF$1:$CG$65000,$B596,BB$5)=1,1,IF(INDEX([1]Pivot!$B$1:$AB$65000,$B596,BB$5)="",2,0)),0)</f>
        <v>0</v>
      </c>
      <c r="BC596" s="313">
        <f>IFERROR(IF(INDEX([1]Pivot!$BF$1:$CG$65000,$B596,BC$5)=1,1,IF(INDEX([1]Pivot!$B$1:$AB$65000,$B596,BC$5)="",2,0)),0)</f>
        <v>0</v>
      </c>
      <c r="BD596" s="313">
        <f>IFERROR(IF(INDEX([1]Pivot!$BF$1:$CG$65000,$B596,BD$5)=1,1,IF(INDEX([1]Pivot!$B$1:$AB$65000,$B596,BD$5)="",2,0)),0)</f>
        <v>0</v>
      </c>
    </row>
    <row r="597" spans="1:56" x14ac:dyDescent="0.25">
      <c r="A597" s="288" t="str">
        <f>'[2]Raw Milk Prices'!A597</f>
        <v>2026m02</v>
      </c>
      <c r="B597" s="296">
        <f>MATCH(DATE(LEFT('[2]Raw Milk Prices'!$A597,4),RIGHT('[2]Raw Milk Prices'!$A597,2),1),[1]Pivot!$A$1:$A$65000,0)</f>
        <v>46</v>
      </c>
      <c r="C597" s="194">
        <f>IFERROR(IF(INDEX([1]Pivot!$AD$1:$BE$65000,$B597,C$5)=1,1,IF(INDEX([1]Pivot!$B$1:$AB$65000,$B597,C$5)="",2,0)),0)</f>
        <v>1</v>
      </c>
      <c r="D597" s="194">
        <f>IFERROR(IF(INDEX([1]Pivot!$AD$1:$BE$65000,$B597,D$5)=1,1,IF(INDEX([1]Pivot!$B$1:$AB$65000,$B597,D$5)="",2,0)),0)</f>
        <v>1</v>
      </c>
      <c r="E597" s="194">
        <f>IFERROR(IF(INDEX([1]Pivot!$AD$1:$BE$65000,$B597,E$5)=1,1,IF(INDEX([1]Pivot!$B$1:$AB$65000,$B597,E$5)="",2,0)),0)</f>
        <v>1</v>
      </c>
      <c r="F597" s="194">
        <f>IFERROR(IF(INDEX([1]Pivot!$AD$1:$BE$65000,$B597,F$5)=1,1,IF(INDEX([1]Pivot!$B$1:$AB$65000,$B597,F$5)="",2,0)),0)</f>
        <v>1</v>
      </c>
      <c r="G597" s="194">
        <f>IFERROR(IF(INDEX([1]Pivot!$AD$1:$BE$65000,$B597,G$5)=1,1,IF(INDEX([1]Pivot!$B$1:$AB$65000,$B597,G$5)="",2,0)),0)</f>
        <v>1</v>
      </c>
      <c r="H597" s="194">
        <f>IFERROR(IF(INDEX([1]Pivot!$AD$1:$BE$65000,$B597,H$5)=1,1,IF(INDEX([1]Pivot!$B$1:$AB$65000,$B597,H$5)="",2,0)),0)</f>
        <v>1</v>
      </c>
      <c r="I597" s="194">
        <f>IFERROR(IF(INDEX([1]Pivot!$AD$1:$BE$65000,$B597,I$5)=1,1,IF(INDEX([1]Pivot!$B$1:$AB$65000,$B597,I$5)="",2,0)),0)</f>
        <v>1</v>
      </c>
      <c r="J597" s="194">
        <f>IFERROR(IF(INDEX([1]Pivot!$AD$1:$BE$65000,$B597,J$5)=1,1,IF(INDEX([1]Pivot!$B$1:$AB$65000,$B597,J$5)="",2,0)),0)</f>
        <v>1</v>
      </c>
      <c r="K597" s="194">
        <f>IFERROR(IF(INDEX([1]Pivot!$AD$1:$BE$65000,$B597,K$5)=1,1,IF(INDEX([1]Pivot!$B$1:$AB$65000,$B597,K$5)="",2,0)),0)</f>
        <v>1</v>
      </c>
      <c r="L597" s="194">
        <f>IFERROR(IF(INDEX([1]Pivot!$AD$1:$BE$65000,$B597,L$5)=1,1,IF(INDEX([1]Pivot!$B$1:$AB$65000,$B597,L$5)="",2,0)),0)</f>
        <v>1</v>
      </c>
      <c r="M597" s="194">
        <f>IFERROR(IF(INDEX([1]Pivot!$AD$1:$BE$65000,$B597,M$5)=1,1,IF(INDEX([1]Pivot!$B$1:$AB$65000,$B597,M$5)="",2,0)),0)</f>
        <v>0</v>
      </c>
      <c r="N597" s="194">
        <f>IFERROR(IF(INDEX([1]Pivot!$AD$1:$BE$65000,$B597,N$5)=1,1,IF(INDEX([1]Pivot!$B$1:$AB$65000,$B597,N$5)="",2,0)),0)</f>
        <v>1</v>
      </c>
      <c r="O597" s="194">
        <f>IFERROR(IF(INDEX([1]Pivot!$AD$1:$BE$65000,$B597,O$5)=1,1,IF(INDEX([1]Pivot!$B$1:$AB$65000,$B597,O$5)="",2,0)),0)</f>
        <v>1</v>
      </c>
      <c r="P597" s="194">
        <f>IFERROR(IF(INDEX([1]Pivot!$AD$1:$BE$65000,$B597,P$5)=1,1,IF(INDEX([1]Pivot!$B$1:$AB$65000,$B597,P$5)="",2,0)),0)</f>
        <v>1</v>
      </c>
      <c r="Q597" s="194">
        <f>IFERROR(IF(INDEX([1]Pivot!$AD$1:$BE$65000,$B597,Q$5)=1,1,IF(INDEX([1]Pivot!$B$1:$AB$65000,$B597,Q$5)="",2,0)),0)</f>
        <v>1</v>
      </c>
      <c r="R597" s="312"/>
      <c r="S597" s="194">
        <f>IFERROR(IF(INDEX([1]Pivot!$AD$1:$BE$65000,$B597,S$5)=1,1,IF(INDEX([1]Pivot!$B$1:$AB$65000,$B597,S$5)="",2,0)),0)</f>
        <v>0</v>
      </c>
      <c r="T597" s="194">
        <f>IFERROR(IF(INDEX([1]Pivot!$AD$1:$BE$65000,$B597,T$5)=1,1,IF(INDEX([1]Pivot!$B$1:$AB$65000,$B597,T$5)="",2,0)),0)</f>
        <v>1</v>
      </c>
      <c r="U597" s="194">
        <f>IFERROR(IF(INDEX([1]Pivot!$AD$1:$BE$65000,$B597,U$5)=1,1,IF(INDEX([1]Pivot!$B$1:$AB$65000,$B597,U$5)="",2,0)),0)</f>
        <v>0</v>
      </c>
      <c r="V597" s="194">
        <f>IFERROR(IF(INDEX([1]Pivot!$AD$1:$BE$65000,$B597,V$5)=1,1,IF(INDEX([1]Pivot!$B$1:$AB$65000,$B597,V$5)="",2,0)),0)</f>
        <v>1</v>
      </c>
      <c r="W597" s="194">
        <f>IFERROR(IF(INDEX([1]Pivot!$AD$1:$BE$65000,$B597,W$5)=1,1,IF(INDEX([1]Pivot!$B$1:$AB$65000,$B597,W$5)="",2,0)),0)</f>
        <v>1</v>
      </c>
      <c r="X597" s="194">
        <f>IFERROR(IF(INDEX([1]Pivot!$AD$1:$BE$65000,$B597,X$5)=1,1,IF(INDEX([1]Pivot!$B$1:$AB$65000,$B597,X$5)="",2,0)),0)</f>
        <v>1</v>
      </c>
      <c r="Y597" s="194">
        <f>IFERROR(IF(INDEX([1]Pivot!$AD$1:$BE$65000,$B597,Y$5)=1,1,IF(INDEX([1]Pivot!$B$1:$AB$65000,$B597,Y$5)="",2,0)),0)</f>
        <v>1</v>
      </c>
      <c r="Z597" s="194">
        <f>IFERROR(IF(INDEX([1]Pivot!$AD$1:$BE$65000,$B597,Z$5)=1,1,IF(INDEX([1]Pivot!$B$1:$AB$65000,$B597,Z$5)="",2,0)),0)</f>
        <v>1</v>
      </c>
      <c r="AA597" s="194">
        <f>IFERROR(IF(INDEX([1]Pivot!$AD$1:$BE$65000,$B597,AA$5)=1,1,IF(INDEX([1]Pivot!$B$1:$AB$65000,$B597,AA$5)="",2,0)),0)</f>
        <v>1</v>
      </c>
      <c r="AB597" s="194">
        <f>IFERROR(IF(INDEX([1]Pivot!$AD$1:$BE$65000,$B597,AB$5)=1,1,IF(INDEX([1]Pivot!$B$1:$AB$65000,$B597,AB$5)="",2,0)),0)</f>
        <v>1</v>
      </c>
      <c r="AC597" s="194">
        <f>IFERROR(IF(INDEX([1]Pivot!$AD$1:$BE$65000,$B597,AC$5)=1,1,IF(INDEX([1]Pivot!$B$1:$AB$65000,$B597,AC$5)="",2,0)),0)</f>
        <v>1</v>
      </c>
      <c r="AD597" s="313">
        <f>IFERROR(IF(INDEX([1]Pivot!$BF$1:$CG$65000,$B597,AD$5)=1,1,IF(INDEX([1]Pivot!$B$1:$AB$65000,$B597,AD$5)="",2,0)),0)</f>
        <v>0</v>
      </c>
      <c r="AE597" s="313">
        <f>IFERROR(IF(INDEX([1]Pivot!$BF$1:$CG$65000,$B597,AE$5)=1,1,IF(INDEX([1]Pivot!$B$1:$AB$65000,$B597,AE$5)="",2,0)),0)</f>
        <v>0</v>
      </c>
      <c r="AF597" s="313">
        <f>IFERROR(IF(INDEX([1]Pivot!$BF$1:$CG$65000,$B597,AF$5)=1,1,IF(INDEX([1]Pivot!$B$1:$AB$65000,$B597,AF$5)="",2,0)),0)</f>
        <v>0</v>
      </c>
      <c r="AG597" s="313">
        <f>IFERROR(IF(INDEX([1]Pivot!$BF$1:$CG$65000,$B597,AG$5)=1,1,IF(INDEX([1]Pivot!$B$1:$AB$65000,$B597,AG$5)="",2,0)),0)</f>
        <v>0</v>
      </c>
      <c r="AH597" s="313">
        <f>IFERROR(IF(INDEX([1]Pivot!$BF$1:$CG$65000,$B597,AH$5)=1,1,IF(INDEX([1]Pivot!$B$1:$AB$65000,$B597,AH$5)="",2,0)),0)</f>
        <v>0</v>
      </c>
      <c r="AI597" s="313">
        <f>IFERROR(IF(INDEX([1]Pivot!$BF$1:$CG$65000,$B597,AI$5)=1,1,IF(INDEX([1]Pivot!$B$1:$AB$65000,$B597,AI$5)="",2,0)),0)</f>
        <v>0</v>
      </c>
      <c r="AJ597" s="313">
        <f>IFERROR(IF(INDEX([1]Pivot!$BF$1:$CG$65000,$B597,AJ$5)=1,1,IF(INDEX([1]Pivot!$B$1:$AB$65000,$B597,AJ$5)="",2,0)),0)</f>
        <v>0</v>
      </c>
      <c r="AK597" s="313">
        <f>IFERROR(IF(INDEX([1]Pivot!$BF$1:$CG$65000,$B597,AK$5)=1,1,IF(INDEX([1]Pivot!$B$1:$AB$65000,$B597,AK$5)="",2,0)),0)</f>
        <v>0</v>
      </c>
      <c r="AL597" s="313">
        <f>IFERROR(IF(INDEX([1]Pivot!$BF$1:$CG$65000,$B597,AL$5)=1,1,IF(INDEX([1]Pivot!$B$1:$AB$65000,$B597,AL$5)="",2,0)),0)</f>
        <v>0</v>
      </c>
      <c r="AM597" s="313">
        <f>IFERROR(IF(INDEX([1]Pivot!$BF$1:$CG$65000,$B597,AM$5)=1,1,IF(INDEX([1]Pivot!$B$1:$AB$65000,$B597,AM$5)="",2,0)),0)</f>
        <v>0</v>
      </c>
      <c r="AN597" s="313">
        <f>IFERROR(IF(INDEX([1]Pivot!$BF$1:$CG$65000,$B597,AN$5)=1,1,IF(INDEX([1]Pivot!$B$1:$AB$65000,$B597,AN$5)="",2,0)),0)</f>
        <v>0</v>
      </c>
      <c r="AO597" s="313">
        <f>IFERROR(IF(INDEX([1]Pivot!$BF$1:$CG$65000,$B597,AO$5)=1,1,IF(INDEX([1]Pivot!$B$1:$AB$65000,$B597,AO$5)="",2,0)),0)</f>
        <v>0</v>
      </c>
      <c r="AP597" s="313">
        <f>IFERROR(IF(INDEX([1]Pivot!$BF$1:$CG$65000,$B597,AP$5)=1,1,IF(INDEX([1]Pivot!$B$1:$AB$65000,$B597,AP$5)="",2,0)),0)</f>
        <v>0</v>
      </c>
      <c r="AQ597" s="313">
        <f>IFERROR(IF(INDEX([1]Pivot!$BF$1:$CG$65000,$B597,AQ$5)=1,1,IF(INDEX([1]Pivot!$B$1:$AB$65000,$B597,AQ$5)="",2,0)),0)</f>
        <v>0</v>
      </c>
      <c r="AR597" s="313">
        <f>IFERROR(IF(INDEX([1]Pivot!$BF$1:$CG$65000,$B597,AR$5)=1,1,IF(INDEX([1]Pivot!$B$1:$AB$65000,$B597,AR$5)="",2,0)),0)</f>
        <v>0</v>
      </c>
      <c r="AS597" s="312"/>
      <c r="AT597" s="313">
        <f>IFERROR(IF(INDEX([1]Pivot!$BF$1:$CG$65000,$B597,AT$5)=1,1,IF(INDEX([1]Pivot!$B$1:$AB$65000,$B597,AT$5)="",2,0)),0)</f>
        <v>0</v>
      </c>
      <c r="AU597" s="313">
        <f>IFERROR(IF(INDEX([1]Pivot!$BF$1:$CG$65000,$B597,AU$5)=1,1,IF(INDEX([1]Pivot!$B$1:$AB$65000,$B597,AU$5)="",2,0)),0)</f>
        <v>0</v>
      </c>
      <c r="AV597" s="313">
        <f>IFERROR(IF(INDEX([1]Pivot!$BF$1:$CG$65000,$B597,AV$5)=1,1,IF(INDEX([1]Pivot!$B$1:$AB$65000,$B597,AV$5)="",2,0)),0)</f>
        <v>0</v>
      </c>
      <c r="AW597" s="313">
        <f>IFERROR(IF(INDEX([1]Pivot!$BF$1:$CG$65000,$B597,AW$5)=1,1,IF(INDEX([1]Pivot!$B$1:$AB$65000,$B597,AW$5)="",2,0)),0)</f>
        <v>0</v>
      </c>
      <c r="AX597" s="313">
        <f>IFERROR(IF(INDEX([1]Pivot!$BF$1:$CG$65000,$B597,AX$5)=1,1,IF(INDEX([1]Pivot!$B$1:$AB$65000,$B597,AX$5)="",2,0)),0)</f>
        <v>0</v>
      </c>
      <c r="AY597" s="313">
        <f>IFERROR(IF(INDEX([1]Pivot!$BF$1:$CG$65000,$B597,AY$5)=1,1,IF(INDEX([1]Pivot!$B$1:$AB$65000,$B597,AY$5)="",2,0)),0)</f>
        <v>0</v>
      </c>
      <c r="AZ597" s="313">
        <f>IFERROR(IF(INDEX([1]Pivot!$BF$1:$CG$65000,$B597,AZ$5)=1,1,IF(INDEX([1]Pivot!$B$1:$AB$65000,$B597,AZ$5)="",2,0)),0)</f>
        <v>0</v>
      </c>
      <c r="BA597" s="313">
        <f>IFERROR(IF(INDEX([1]Pivot!$BF$1:$CG$65000,$B597,BA$5)=1,1,IF(INDEX([1]Pivot!$B$1:$AB$65000,$B597,BA$5)="",2,0)),0)</f>
        <v>0</v>
      </c>
      <c r="BB597" s="313">
        <f>IFERROR(IF(INDEX([1]Pivot!$BF$1:$CG$65000,$B597,BB$5)=1,1,IF(INDEX([1]Pivot!$B$1:$AB$65000,$B597,BB$5)="",2,0)),0)</f>
        <v>0</v>
      </c>
      <c r="BC597" s="313">
        <f>IFERROR(IF(INDEX([1]Pivot!$BF$1:$CG$65000,$B597,BC$5)=1,1,IF(INDEX([1]Pivot!$B$1:$AB$65000,$B597,BC$5)="",2,0)),0)</f>
        <v>0</v>
      </c>
      <c r="BD597" s="313">
        <f>IFERROR(IF(INDEX([1]Pivot!$BF$1:$CG$65000,$B597,BD$5)=1,1,IF(INDEX([1]Pivot!$B$1:$AB$65000,$B597,BD$5)="",2,0)),0)</f>
        <v>0</v>
      </c>
    </row>
    <row r="598" spans="1:56" x14ac:dyDescent="0.25">
      <c r="A598" s="288" t="str">
        <f>'[2]Raw Milk Prices'!A598</f>
        <v>2026m03</v>
      </c>
      <c r="B598" s="296" t="e">
        <f>MATCH(DATE(LEFT('[2]Raw Milk Prices'!$A598,4),RIGHT('[2]Raw Milk Prices'!$A598,2),1),[1]Pivot!$A$1:$A$65000,0)</f>
        <v>#N/A</v>
      </c>
      <c r="C598" s="194">
        <f>IFERROR(IF(INDEX([1]Pivot!$AD$1:$BE$65000,$B598,C$5)=1,1,IF(INDEX([1]Pivot!$B$1:$AB$65000,$B598,C$5)="",2,0)),0)</f>
        <v>0</v>
      </c>
      <c r="D598" s="194">
        <f>IFERROR(IF(INDEX([1]Pivot!$AD$1:$BE$65000,$B598,D$5)=1,1,IF(INDEX([1]Pivot!$B$1:$AB$65000,$B598,D$5)="",2,0)),0)</f>
        <v>0</v>
      </c>
      <c r="E598" s="194">
        <f>IFERROR(IF(INDEX([1]Pivot!$AD$1:$BE$65000,$B598,E$5)=1,1,IF(INDEX([1]Pivot!$B$1:$AB$65000,$B598,E$5)="",2,0)),0)</f>
        <v>0</v>
      </c>
      <c r="F598" s="194">
        <f>IFERROR(IF(INDEX([1]Pivot!$AD$1:$BE$65000,$B598,F$5)=1,1,IF(INDEX([1]Pivot!$B$1:$AB$65000,$B598,F$5)="",2,0)),0)</f>
        <v>0</v>
      </c>
      <c r="G598" s="194">
        <f>IFERROR(IF(INDEX([1]Pivot!$AD$1:$BE$65000,$B598,G$5)=1,1,IF(INDEX([1]Pivot!$B$1:$AB$65000,$B598,G$5)="",2,0)),0)</f>
        <v>0</v>
      </c>
      <c r="H598" s="194">
        <f>IFERROR(IF(INDEX([1]Pivot!$AD$1:$BE$65000,$B598,H$5)=1,1,IF(INDEX([1]Pivot!$B$1:$AB$65000,$B598,H$5)="",2,0)),0)</f>
        <v>0</v>
      </c>
      <c r="I598" s="194">
        <f>IFERROR(IF(INDEX([1]Pivot!$AD$1:$BE$65000,$B598,I$5)=1,1,IF(INDEX([1]Pivot!$B$1:$AB$65000,$B598,I$5)="",2,0)),0)</f>
        <v>0</v>
      </c>
      <c r="J598" s="194">
        <f>IFERROR(IF(INDEX([1]Pivot!$AD$1:$BE$65000,$B598,J$5)=1,1,IF(INDEX([1]Pivot!$B$1:$AB$65000,$B598,J$5)="",2,0)),0)</f>
        <v>0</v>
      </c>
      <c r="K598" s="194">
        <f>IFERROR(IF(INDEX([1]Pivot!$AD$1:$BE$65000,$B598,K$5)=1,1,IF(INDEX([1]Pivot!$B$1:$AB$65000,$B598,K$5)="",2,0)),0)</f>
        <v>0</v>
      </c>
      <c r="L598" s="194">
        <f>IFERROR(IF(INDEX([1]Pivot!$AD$1:$BE$65000,$B598,L$5)=1,1,IF(INDEX([1]Pivot!$B$1:$AB$65000,$B598,L$5)="",2,0)),0)</f>
        <v>0</v>
      </c>
      <c r="M598" s="194">
        <f>IFERROR(IF(INDEX([1]Pivot!$AD$1:$BE$65000,$B598,M$5)=1,1,IF(INDEX([1]Pivot!$B$1:$AB$65000,$B598,M$5)="",2,0)),0)</f>
        <v>0</v>
      </c>
      <c r="N598" s="194">
        <f>IFERROR(IF(INDEX([1]Pivot!$AD$1:$BE$65000,$B598,N$5)=1,1,IF(INDEX([1]Pivot!$B$1:$AB$65000,$B598,N$5)="",2,0)),0)</f>
        <v>0</v>
      </c>
      <c r="O598" s="194">
        <f>IFERROR(IF(INDEX([1]Pivot!$AD$1:$BE$65000,$B598,O$5)=1,1,IF(INDEX([1]Pivot!$B$1:$AB$65000,$B598,O$5)="",2,0)),0)</f>
        <v>0</v>
      </c>
      <c r="P598" s="194">
        <f>IFERROR(IF(INDEX([1]Pivot!$AD$1:$BE$65000,$B598,P$5)=1,1,IF(INDEX([1]Pivot!$B$1:$AB$65000,$B598,P$5)="",2,0)),0)</f>
        <v>0</v>
      </c>
      <c r="Q598" s="194">
        <f>IFERROR(IF(INDEX([1]Pivot!$AD$1:$BE$65000,$B598,Q$5)=1,1,IF(INDEX([1]Pivot!$B$1:$AB$65000,$B598,Q$5)="",2,0)),0)</f>
        <v>0</v>
      </c>
      <c r="R598" s="312"/>
      <c r="S598" s="194">
        <f>IFERROR(IF(INDEX([1]Pivot!$AD$1:$BE$65000,$B598,S$5)=1,1,IF(INDEX([1]Pivot!$B$1:$AB$65000,$B598,S$5)="",2,0)),0)</f>
        <v>0</v>
      </c>
      <c r="T598" s="194">
        <f>IFERROR(IF(INDEX([1]Pivot!$AD$1:$BE$65000,$B598,T$5)=1,1,IF(INDEX([1]Pivot!$B$1:$AB$65000,$B598,T$5)="",2,0)),0)</f>
        <v>0</v>
      </c>
      <c r="U598" s="194">
        <f>IFERROR(IF(INDEX([1]Pivot!$AD$1:$BE$65000,$B598,U$5)=1,1,IF(INDEX([1]Pivot!$B$1:$AB$65000,$B598,U$5)="",2,0)),0)</f>
        <v>0</v>
      </c>
      <c r="V598" s="194">
        <f>IFERROR(IF(INDEX([1]Pivot!$AD$1:$BE$65000,$B598,V$5)=1,1,IF(INDEX([1]Pivot!$B$1:$AB$65000,$B598,V$5)="",2,0)),0)</f>
        <v>0</v>
      </c>
      <c r="W598" s="194">
        <f>IFERROR(IF(INDEX([1]Pivot!$AD$1:$BE$65000,$B598,W$5)=1,1,IF(INDEX([1]Pivot!$B$1:$AB$65000,$B598,W$5)="",2,0)),0)</f>
        <v>0</v>
      </c>
      <c r="X598" s="194">
        <f>IFERROR(IF(INDEX([1]Pivot!$AD$1:$BE$65000,$B598,X$5)=1,1,IF(INDEX([1]Pivot!$B$1:$AB$65000,$B598,X$5)="",2,0)),0)</f>
        <v>0</v>
      </c>
      <c r="Y598" s="194">
        <f>IFERROR(IF(INDEX([1]Pivot!$AD$1:$BE$65000,$B598,Y$5)=1,1,IF(INDEX([1]Pivot!$B$1:$AB$65000,$B598,Y$5)="",2,0)),0)</f>
        <v>0</v>
      </c>
      <c r="Z598" s="194">
        <f>IFERROR(IF(INDEX([1]Pivot!$AD$1:$BE$65000,$B598,Z$5)=1,1,IF(INDEX([1]Pivot!$B$1:$AB$65000,$B598,Z$5)="",2,0)),0)</f>
        <v>0</v>
      </c>
      <c r="AA598" s="194">
        <f>IFERROR(IF(INDEX([1]Pivot!$AD$1:$BE$65000,$B598,AA$5)=1,1,IF(INDEX([1]Pivot!$B$1:$AB$65000,$B598,AA$5)="",2,0)),0)</f>
        <v>0</v>
      </c>
      <c r="AB598" s="194">
        <f>IFERROR(IF(INDEX([1]Pivot!$AD$1:$BE$65000,$B598,AB$5)=1,1,IF(INDEX([1]Pivot!$B$1:$AB$65000,$B598,AB$5)="",2,0)),0)</f>
        <v>0</v>
      </c>
      <c r="AC598" s="194">
        <f>IFERROR(IF(INDEX([1]Pivot!$AD$1:$BE$65000,$B598,AC$5)=1,1,IF(INDEX([1]Pivot!$B$1:$AB$65000,$B598,AC$5)="",2,0)),0)</f>
        <v>0</v>
      </c>
      <c r="AD598" s="313">
        <f>IFERROR(IF(INDEX([1]Pivot!$BF$1:$CG$65000,$B598,AD$5)=1,1,IF(INDEX([1]Pivot!$B$1:$AB$65000,$B598,AD$5)="",2,0)),0)</f>
        <v>0</v>
      </c>
      <c r="AE598" s="313">
        <f>IFERROR(IF(INDEX([1]Pivot!$BF$1:$CG$65000,$B598,AE$5)=1,1,IF(INDEX([1]Pivot!$B$1:$AB$65000,$B598,AE$5)="",2,0)),0)</f>
        <v>0</v>
      </c>
      <c r="AF598" s="313">
        <f>IFERROR(IF(INDEX([1]Pivot!$BF$1:$CG$65000,$B598,AF$5)=1,1,IF(INDEX([1]Pivot!$B$1:$AB$65000,$B598,AF$5)="",2,0)),0)</f>
        <v>0</v>
      </c>
      <c r="AG598" s="313">
        <f>IFERROR(IF(INDEX([1]Pivot!$BF$1:$CG$65000,$B598,AG$5)=1,1,IF(INDEX([1]Pivot!$B$1:$AB$65000,$B598,AG$5)="",2,0)),0)</f>
        <v>0</v>
      </c>
      <c r="AH598" s="313">
        <f>IFERROR(IF(INDEX([1]Pivot!$BF$1:$CG$65000,$B598,AH$5)=1,1,IF(INDEX([1]Pivot!$B$1:$AB$65000,$B598,AH$5)="",2,0)),0)</f>
        <v>0</v>
      </c>
      <c r="AI598" s="313">
        <f>IFERROR(IF(INDEX([1]Pivot!$BF$1:$CG$65000,$B598,AI$5)=1,1,IF(INDEX([1]Pivot!$B$1:$AB$65000,$B598,AI$5)="",2,0)),0)</f>
        <v>0</v>
      </c>
      <c r="AJ598" s="313">
        <f>IFERROR(IF(INDEX([1]Pivot!$BF$1:$CG$65000,$B598,AJ$5)=1,1,IF(INDEX([1]Pivot!$B$1:$AB$65000,$B598,AJ$5)="",2,0)),0)</f>
        <v>0</v>
      </c>
      <c r="AK598" s="313">
        <f>IFERROR(IF(INDEX([1]Pivot!$BF$1:$CG$65000,$B598,AK$5)=1,1,IF(INDEX([1]Pivot!$B$1:$AB$65000,$B598,AK$5)="",2,0)),0)</f>
        <v>0</v>
      </c>
      <c r="AL598" s="313">
        <f>IFERROR(IF(INDEX([1]Pivot!$BF$1:$CG$65000,$B598,AL$5)=1,1,IF(INDEX([1]Pivot!$B$1:$AB$65000,$B598,AL$5)="",2,0)),0)</f>
        <v>0</v>
      </c>
      <c r="AM598" s="313">
        <f>IFERROR(IF(INDEX([1]Pivot!$BF$1:$CG$65000,$B598,AM$5)=1,1,IF(INDEX([1]Pivot!$B$1:$AB$65000,$B598,AM$5)="",2,0)),0)</f>
        <v>0</v>
      </c>
      <c r="AN598" s="313">
        <f>IFERROR(IF(INDEX([1]Pivot!$BF$1:$CG$65000,$B598,AN$5)=1,1,IF(INDEX([1]Pivot!$B$1:$AB$65000,$B598,AN$5)="",2,0)),0)</f>
        <v>0</v>
      </c>
      <c r="AO598" s="313">
        <f>IFERROR(IF(INDEX([1]Pivot!$BF$1:$CG$65000,$B598,AO$5)=1,1,IF(INDEX([1]Pivot!$B$1:$AB$65000,$B598,AO$5)="",2,0)),0)</f>
        <v>0</v>
      </c>
      <c r="AP598" s="313">
        <f>IFERROR(IF(INDEX([1]Pivot!$BF$1:$CG$65000,$B598,AP$5)=1,1,IF(INDEX([1]Pivot!$B$1:$AB$65000,$B598,AP$5)="",2,0)),0)</f>
        <v>0</v>
      </c>
      <c r="AQ598" s="313">
        <f>IFERROR(IF(INDEX([1]Pivot!$BF$1:$CG$65000,$B598,AQ$5)=1,1,IF(INDEX([1]Pivot!$B$1:$AB$65000,$B598,AQ$5)="",2,0)),0)</f>
        <v>0</v>
      </c>
      <c r="AR598" s="313">
        <f>IFERROR(IF(INDEX([1]Pivot!$BF$1:$CG$65000,$B598,AR$5)=1,1,IF(INDEX([1]Pivot!$B$1:$AB$65000,$B598,AR$5)="",2,0)),0)</f>
        <v>0</v>
      </c>
      <c r="AS598" s="312"/>
      <c r="AT598" s="313">
        <f>IFERROR(IF(INDEX([1]Pivot!$BF$1:$CG$65000,$B598,AT$5)=1,1,IF(INDEX([1]Pivot!$B$1:$AB$65000,$B598,AT$5)="",2,0)),0)</f>
        <v>0</v>
      </c>
      <c r="AU598" s="313">
        <f>IFERROR(IF(INDEX([1]Pivot!$BF$1:$CG$65000,$B598,AU$5)=1,1,IF(INDEX([1]Pivot!$B$1:$AB$65000,$B598,AU$5)="",2,0)),0)</f>
        <v>0</v>
      </c>
      <c r="AV598" s="313">
        <f>IFERROR(IF(INDEX([1]Pivot!$BF$1:$CG$65000,$B598,AV$5)=1,1,IF(INDEX([1]Pivot!$B$1:$AB$65000,$B598,AV$5)="",2,0)),0)</f>
        <v>0</v>
      </c>
      <c r="AW598" s="313">
        <f>IFERROR(IF(INDEX([1]Pivot!$BF$1:$CG$65000,$B598,AW$5)=1,1,IF(INDEX([1]Pivot!$B$1:$AB$65000,$B598,AW$5)="",2,0)),0)</f>
        <v>0</v>
      </c>
      <c r="AX598" s="313">
        <f>IFERROR(IF(INDEX([1]Pivot!$BF$1:$CG$65000,$B598,AX$5)=1,1,IF(INDEX([1]Pivot!$B$1:$AB$65000,$B598,AX$5)="",2,0)),0)</f>
        <v>0</v>
      </c>
      <c r="AY598" s="313">
        <f>IFERROR(IF(INDEX([1]Pivot!$BF$1:$CG$65000,$B598,AY$5)=1,1,IF(INDEX([1]Pivot!$B$1:$AB$65000,$B598,AY$5)="",2,0)),0)</f>
        <v>0</v>
      </c>
      <c r="AZ598" s="313">
        <f>IFERROR(IF(INDEX([1]Pivot!$BF$1:$CG$65000,$B598,AZ$5)=1,1,IF(INDEX([1]Pivot!$B$1:$AB$65000,$B598,AZ$5)="",2,0)),0)</f>
        <v>0</v>
      </c>
      <c r="BA598" s="313">
        <f>IFERROR(IF(INDEX([1]Pivot!$BF$1:$CG$65000,$B598,BA$5)=1,1,IF(INDEX([1]Pivot!$B$1:$AB$65000,$B598,BA$5)="",2,0)),0)</f>
        <v>0</v>
      </c>
      <c r="BB598" s="313">
        <f>IFERROR(IF(INDEX([1]Pivot!$BF$1:$CG$65000,$B598,BB$5)=1,1,IF(INDEX([1]Pivot!$B$1:$AB$65000,$B598,BB$5)="",2,0)),0)</f>
        <v>0</v>
      </c>
      <c r="BC598" s="313">
        <f>IFERROR(IF(INDEX([1]Pivot!$BF$1:$CG$65000,$B598,BC$5)=1,1,IF(INDEX([1]Pivot!$B$1:$AB$65000,$B598,BC$5)="",2,0)),0)</f>
        <v>0</v>
      </c>
      <c r="BD598" s="313">
        <f>IFERROR(IF(INDEX([1]Pivot!$BF$1:$CG$65000,$B598,BD$5)=1,1,IF(INDEX([1]Pivot!$B$1:$AB$65000,$B598,BD$5)="",2,0)),0)</f>
        <v>0</v>
      </c>
    </row>
    <row r="599" spans="1:56" x14ac:dyDescent="0.25">
      <c r="A599" s="288" t="str">
        <f>'[2]Raw Milk Prices'!A599</f>
        <v>2026m04</v>
      </c>
      <c r="B599" s="296" t="e">
        <f>MATCH(DATE(LEFT('[2]Raw Milk Prices'!$A599,4),RIGHT('[2]Raw Milk Prices'!$A599,2),1),[1]Pivot!$A$1:$A$65000,0)</f>
        <v>#N/A</v>
      </c>
      <c r="C599" s="194">
        <f>IFERROR(IF(INDEX([1]Pivot!$AD$1:$BE$65000,$B599,C$5)=1,1,IF(INDEX([1]Pivot!$B$1:$AB$65000,$B599,C$5)="",2,0)),0)</f>
        <v>0</v>
      </c>
      <c r="D599" s="194">
        <f>IFERROR(IF(INDEX([1]Pivot!$AD$1:$BE$65000,$B599,D$5)=1,1,IF(INDEX([1]Pivot!$B$1:$AB$65000,$B599,D$5)="",2,0)),0)</f>
        <v>0</v>
      </c>
      <c r="E599" s="194">
        <f>IFERROR(IF(INDEX([1]Pivot!$AD$1:$BE$65000,$B599,E$5)=1,1,IF(INDEX([1]Pivot!$B$1:$AB$65000,$B599,E$5)="",2,0)),0)</f>
        <v>0</v>
      </c>
      <c r="F599" s="194">
        <f>IFERROR(IF(INDEX([1]Pivot!$AD$1:$BE$65000,$B599,F$5)=1,1,IF(INDEX([1]Pivot!$B$1:$AB$65000,$B599,F$5)="",2,0)),0)</f>
        <v>0</v>
      </c>
      <c r="G599" s="194">
        <f>IFERROR(IF(INDEX([1]Pivot!$AD$1:$BE$65000,$B599,G$5)=1,1,IF(INDEX([1]Pivot!$B$1:$AB$65000,$B599,G$5)="",2,0)),0)</f>
        <v>0</v>
      </c>
      <c r="H599" s="194">
        <f>IFERROR(IF(INDEX([1]Pivot!$AD$1:$BE$65000,$B599,H$5)=1,1,IF(INDEX([1]Pivot!$B$1:$AB$65000,$B599,H$5)="",2,0)),0)</f>
        <v>0</v>
      </c>
      <c r="I599" s="194">
        <f>IFERROR(IF(INDEX([1]Pivot!$AD$1:$BE$65000,$B599,I$5)=1,1,IF(INDEX([1]Pivot!$B$1:$AB$65000,$B599,I$5)="",2,0)),0)</f>
        <v>0</v>
      </c>
      <c r="J599" s="194">
        <f>IFERROR(IF(INDEX([1]Pivot!$AD$1:$BE$65000,$B599,J$5)=1,1,IF(INDEX([1]Pivot!$B$1:$AB$65000,$B599,J$5)="",2,0)),0)</f>
        <v>0</v>
      </c>
      <c r="K599" s="194">
        <f>IFERROR(IF(INDEX([1]Pivot!$AD$1:$BE$65000,$B599,K$5)=1,1,IF(INDEX([1]Pivot!$B$1:$AB$65000,$B599,K$5)="",2,0)),0)</f>
        <v>0</v>
      </c>
      <c r="L599" s="194">
        <f>IFERROR(IF(INDEX([1]Pivot!$AD$1:$BE$65000,$B599,L$5)=1,1,IF(INDEX([1]Pivot!$B$1:$AB$65000,$B599,L$5)="",2,0)),0)</f>
        <v>0</v>
      </c>
      <c r="M599" s="194">
        <f>IFERROR(IF(INDEX([1]Pivot!$AD$1:$BE$65000,$B599,M$5)=1,1,IF(INDEX([1]Pivot!$B$1:$AB$65000,$B599,M$5)="",2,0)),0)</f>
        <v>0</v>
      </c>
      <c r="N599" s="194">
        <f>IFERROR(IF(INDEX([1]Pivot!$AD$1:$BE$65000,$B599,N$5)=1,1,IF(INDEX([1]Pivot!$B$1:$AB$65000,$B599,N$5)="",2,0)),0)</f>
        <v>0</v>
      </c>
      <c r="O599" s="194">
        <f>IFERROR(IF(INDEX([1]Pivot!$AD$1:$BE$65000,$B599,O$5)=1,1,IF(INDEX([1]Pivot!$B$1:$AB$65000,$B599,O$5)="",2,0)),0)</f>
        <v>0</v>
      </c>
      <c r="P599" s="194">
        <f>IFERROR(IF(INDEX([1]Pivot!$AD$1:$BE$65000,$B599,P$5)=1,1,IF(INDEX([1]Pivot!$B$1:$AB$65000,$B599,P$5)="",2,0)),0)</f>
        <v>0</v>
      </c>
      <c r="Q599" s="194">
        <f>IFERROR(IF(INDEX([1]Pivot!$AD$1:$BE$65000,$B599,Q$5)=1,1,IF(INDEX([1]Pivot!$B$1:$AB$65000,$B599,Q$5)="",2,0)),0)</f>
        <v>0</v>
      </c>
      <c r="R599" s="312"/>
      <c r="S599" s="194">
        <f>IFERROR(IF(INDEX([1]Pivot!$AD$1:$BE$65000,$B599,S$5)=1,1,IF(INDEX([1]Pivot!$B$1:$AB$65000,$B599,S$5)="",2,0)),0)</f>
        <v>0</v>
      </c>
      <c r="T599" s="194">
        <f>IFERROR(IF(INDEX([1]Pivot!$AD$1:$BE$65000,$B599,T$5)=1,1,IF(INDEX([1]Pivot!$B$1:$AB$65000,$B599,T$5)="",2,0)),0)</f>
        <v>0</v>
      </c>
      <c r="U599" s="194">
        <f>IFERROR(IF(INDEX([1]Pivot!$AD$1:$BE$65000,$B599,U$5)=1,1,IF(INDEX([1]Pivot!$B$1:$AB$65000,$B599,U$5)="",2,0)),0)</f>
        <v>0</v>
      </c>
      <c r="V599" s="194">
        <f>IFERROR(IF(INDEX([1]Pivot!$AD$1:$BE$65000,$B599,V$5)=1,1,IF(INDEX([1]Pivot!$B$1:$AB$65000,$B599,V$5)="",2,0)),0)</f>
        <v>0</v>
      </c>
      <c r="W599" s="194">
        <f>IFERROR(IF(INDEX([1]Pivot!$AD$1:$BE$65000,$B599,W$5)=1,1,IF(INDEX([1]Pivot!$B$1:$AB$65000,$B599,W$5)="",2,0)),0)</f>
        <v>0</v>
      </c>
      <c r="X599" s="194">
        <f>IFERROR(IF(INDEX([1]Pivot!$AD$1:$BE$65000,$B599,X$5)=1,1,IF(INDEX([1]Pivot!$B$1:$AB$65000,$B599,X$5)="",2,0)),0)</f>
        <v>0</v>
      </c>
      <c r="Y599" s="194">
        <f>IFERROR(IF(INDEX([1]Pivot!$AD$1:$BE$65000,$B599,Y$5)=1,1,IF(INDEX([1]Pivot!$B$1:$AB$65000,$B599,Y$5)="",2,0)),0)</f>
        <v>0</v>
      </c>
      <c r="Z599" s="194">
        <f>IFERROR(IF(INDEX([1]Pivot!$AD$1:$BE$65000,$B599,Z$5)=1,1,IF(INDEX([1]Pivot!$B$1:$AB$65000,$B599,Z$5)="",2,0)),0)</f>
        <v>0</v>
      </c>
      <c r="AA599" s="194">
        <f>IFERROR(IF(INDEX([1]Pivot!$AD$1:$BE$65000,$B599,AA$5)=1,1,IF(INDEX([1]Pivot!$B$1:$AB$65000,$B599,AA$5)="",2,0)),0)</f>
        <v>0</v>
      </c>
      <c r="AB599" s="194">
        <f>IFERROR(IF(INDEX([1]Pivot!$AD$1:$BE$65000,$B599,AB$5)=1,1,IF(INDEX([1]Pivot!$B$1:$AB$65000,$B599,AB$5)="",2,0)),0)</f>
        <v>0</v>
      </c>
      <c r="AC599" s="194">
        <f>IFERROR(IF(INDEX([1]Pivot!$AD$1:$BE$65000,$B599,AC$5)=1,1,IF(INDEX([1]Pivot!$B$1:$AB$65000,$B599,AC$5)="",2,0)),0)</f>
        <v>0</v>
      </c>
      <c r="AD599" s="313">
        <f>IFERROR(IF(INDEX([1]Pivot!$BF$1:$CG$65000,$B599,AD$5)=1,1,IF(INDEX([1]Pivot!$B$1:$AB$65000,$B599,AD$5)="",2,0)),0)</f>
        <v>0</v>
      </c>
      <c r="AE599" s="313">
        <f>IFERROR(IF(INDEX([1]Pivot!$BF$1:$CG$65000,$B599,AE$5)=1,1,IF(INDEX([1]Pivot!$B$1:$AB$65000,$B599,AE$5)="",2,0)),0)</f>
        <v>0</v>
      </c>
      <c r="AF599" s="313">
        <f>IFERROR(IF(INDEX([1]Pivot!$BF$1:$CG$65000,$B599,AF$5)=1,1,IF(INDEX([1]Pivot!$B$1:$AB$65000,$B599,AF$5)="",2,0)),0)</f>
        <v>0</v>
      </c>
      <c r="AG599" s="313">
        <f>IFERROR(IF(INDEX([1]Pivot!$BF$1:$CG$65000,$B599,AG$5)=1,1,IF(INDEX([1]Pivot!$B$1:$AB$65000,$B599,AG$5)="",2,0)),0)</f>
        <v>0</v>
      </c>
      <c r="AH599" s="313">
        <f>IFERROR(IF(INDEX([1]Pivot!$BF$1:$CG$65000,$B599,AH$5)=1,1,IF(INDEX([1]Pivot!$B$1:$AB$65000,$B599,AH$5)="",2,0)),0)</f>
        <v>0</v>
      </c>
      <c r="AI599" s="313">
        <f>IFERROR(IF(INDEX([1]Pivot!$BF$1:$CG$65000,$B599,AI$5)=1,1,IF(INDEX([1]Pivot!$B$1:$AB$65000,$B599,AI$5)="",2,0)),0)</f>
        <v>0</v>
      </c>
      <c r="AJ599" s="313">
        <f>IFERROR(IF(INDEX([1]Pivot!$BF$1:$CG$65000,$B599,AJ$5)=1,1,IF(INDEX([1]Pivot!$B$1:$AB$65000,$B599,AJ$5)="",2,0)),0)</f>
        <v>0</v>
      </c>
      <c r="AK599" s="313">
        <f>IFERROR(IF(INDEX([1]Pivot!$BF$1:$CG$65000,$B599,AK$5)=1,1,IF(INDEX([1]Pivot!$B$1:$AB$65000,$B599,AK$5)="",2,0)),0)</f>
        <v>0</v>
      </c>
      <c r="AL599" s="313">
        <f>IFERROR(IF(INDEX([1]Pivot!$BF$1:$CG$65000,$B599,AL$5)=1,1,IF(INDEX([1]Pivot!$B$1:$AB$65000,$B599,AL$5)="",2,0)),0)</f>
        <v>0</v>
      </c>
      <c r="AM599" s="313">
        <f>IFERROR(IF(INDEX([1]Pivot!$BF$1:$CG$65000,$B599,AM$5)=1,1,IF(INDEX([1]Pivot!$B$1:$AB$65000,$B599,AM$5)="",2,0)),0)</f>
        <v>0</v>
      </c>
      <c r="AN599" s="313">
        <f>IFERROR(IF(INDEX([1]Pivot!$BF$1:$CG$65000,$B599,AN$5)=1,1,IF(INDEX([1]Pivot!$B$1:$AB$65000,$B599,AN$5)="",2,0)),0)</f>
        <v>0</v>
      </c>
      <c r="AO599" s="313">
        <f>IFERROR(IF(INDEX([1]Pivot!$BF$1:$CG$65000,$B599,AO$5)=1,1,IF(INDEX([1]Pivot!$B$1:$AB$65000,$B599,AO$5)="",2,0)),0)</f>
        <v>0</v>
      </c>
      <c r="AP599" s="313">
        <f>IFERROR(IF(INDEX([1]Pivot!$BF$1:$CG$65000,$B599,AP$5)=1,1,IF(INDEX([1]Pivot!$B$1:$AB$65000,$B599,AP$5)="",2,0)),0)</f>
        <v>0</v>
      </c>
      <c r="AQ599" s="313">
        <f>IFERROR(IF(INDEX([1]Pivot!$BF$1:$CG$65000,$B599,AQ$5)=1,1,IF(INDEX([1]Pivot!$B$1:$AB$65000,$B599,AQ$5)="",2,0)),0)</f>
        <v>0</v>
      </c>
      <c r="AR599" s="313">
        <f>IFERROR(IF(INDEX([1]Pivot!$BF$1:$CG$65000,$B599,AR$5)=1,1,IF(INDEX([1]Pivot!$B$1:$AB$65000,$B599,AR$5)="",2,0)),0)</f>
        <v>0</v>
      </c>
      <c r="AS599" s="312"/>
      <c r="AT599" s="313">
        <f>IFERROR(IF(INDEX([1]Pivot!$BF$1:$CG$65000,$B599,AT$5)=1,1,IF(INDEX([1]Pivot!$B$1:$AB$65000,$B599,AT$5)="",2,0)),0)</f>
        <v>0</v>
      </c>
      <c r="AU599" s="313">
        <f>IFERROR(IF(INDEX([1]Pivot!$BF$1:$CG$65000,$B599,AU$5)=1,1,IF(INDEX([1]Pivot!$B$1:$AB$65000,$B599,AU$5)="",2,0)),0)</f>
        <v>0</v>
      </c>
      <c r="AV599" s="313">
        <f>IFERROR(IF(INDEX([1]Pivot!$BF$1:$CG$65000,$B599,AV$5)=1,1,IF(INDEX([1]Pivot!$B$1:$AB$65000,$B599,AV$5)="",2,0)),0)</f>
        <v>0</v>
      </c>
      <c r="AW599" s="313">
        <f>IFERROR(IF(INDEX([1]Pivot!$BF$1:$CG$65000,$B599,AW$5)=1,1,IF(INDEX([1]Pivot!$B$1:$AB$65000,$B599,AW$5)="",2,0)),0)</f>
        <v>0</v>
      </c>
      <c r="AX599" s="313">
        <f>IFERROR(IF(INDEX([1]Pivot!$BF$1:$CG$65000,$B599,AX$5)=1,1,IF(INDEX([1]Pivot!$B$1:$AB$65000,$B599,AX$5)="",2,0)),0)</f>
        <v>0</v>
      </c>
      <c r="AY599" s="313">
        <f>IFERROR(IF(INDEX([1]Pivot!$BF$1:$CG$65000,$B599,AY$5)=1,1,IF(INDEX([1]Pivot!$B$1:$AB$65000,$B599,AY$5)="",2,0)),0)</f>
        <v>0</v>
      </c>
      <c r="AZ599" s="313">
        <f>IFERROR(IF(INDEX([1]Pivot!$BF$1:$CG$65000,$B599,AZ$5)=1,1,IF(INDEX([1]Pivot!$B$1:$AB$65000,$B599,AZ$5)="",2,0)),0)</f>
        <v>0</v>
      </c>
      <c r="BA599" s="313">
        <f>IFERROR(IF(INDEX([1]Pivot!$BF$1:$CG$65000,$B599,BA$5)=1,1,IF(INDEX([1]Pivot!$B$1:$AB$65000,$B599,BA$5)="",2,0)),0)</f>
        <v>0</v>
      </c>
      <c r="BB599" s="313">
        <f>IFERROR(IF(INDEX([1]Pivot!$BF$1:$CG$65000,$B599,BB$5)=1,1,IF(INDEX([1]Pivot!$B$1:$AB$65000,$B599,BB$5)="",2,0)),0)</f>
        <v>0</v>
      </c>
      <c r="BC599" s="313">
        <f>IFERROR(IF(INDEX([1]Pivot!$BF$1:$CG$65000,$B599,BC$5)=1,1,IF(INDEX([1]Pivot!$B$1:$AB$65000,$B599,BC$5)="",2,0)),0)</f>
        <v>0</v>
      </c>
      <c r="BD599" s="313">
        <f>IFERROR(IF(INDEX([1]Pivot!$BF$1:$CG$65000,$B599,BD$5)=1,1,IF(INDEX([1]Pivot!$B$1:$AB$65000,$B599,BD$5)="",2,0)),0)</f>
        <v>0</v>
      </c>
    </row>
    <row r="600" spans="1:56" x14ac:dyDescent="0.25">
      <c r="A600" s="288" t="str">
        <f>'[2]Raw Milk Prices'!A600</f>
        <v>2026m05</v>
      </c>
      <c r="B600" s="296" t="e">
        <f>MATCH(DATE(LEFT('[2]Raw Milk Prices'!$A600,4),RIGHT('[2]Raw Milk Prices'!$A600,2),1),[1]Pivot!$A$1:$A$65000,0)</f>
        <v>#N/A</v>
      </c>
      <c r="C600" s="194">
        <f>IFERROR(IF(INDEX([1]Pivot!$AD$1:$BE$65000,$B600,C$5)=1,1,IF(INDEX([1]Pivot!$B$1:$AB$65000,$B600,C$5)="",2,0)),0)</f>
        <v>0</v>
      </c>
      <c r="D600" s="194">
        <f>IFERROR(IF(INDEX([1]Pivot!$AD$1:$BE$65000,$B600,D$5)=1,1,IF(INDEX([1]Pivot!$B$1:$AB$65000,$B600,D$5)="",2,0)),0)</f>
        <v>0</v>
      </c>
      <c r="E600" s="194">
        <f>IFERROR(IF(INDEX([1]Pivot!$AD$1:$BE$65000,$B600,E$5)=1,1,IF(INDEX([1]Pivot!$B$1:$AB$65000,$B600,E$5)="",2,0)),0)</f>
        <v>0</v>
      </c>
      <c r="F600" s="194">
        <f>IFERROR(IF(INDEX([1]Pivot!$AD$1:$BE$65000,$B600,F$5)=1,1,IF(INDEX([1]Pivot!$B$1:$AB$65000,$B600,F$5)="",2,0)),0)</f>
        <v>0</v>
      </c>
      <c r="G600" s="194">
        <f>IFERROR(IF(INDEX([1]Pivot!$AD$1:$BE$65000,$B600,G$5)=1,1,IF(INDEX([1]Pivot!$B$1:$AB$65000,$B600,G$5)="",2,0)),0)</f>
        <v>0</v>
      </c>
      <c r="H600" s="194">
        <f>IFERROR(IF(INDEX([1]Pivot!$AD$1:$BE$65000,$B600,H$5)=1,1,IF(INDEX([1]Pivot!$B$1:$AB$65000,$B600,H$5)="",2,0)),0)</f>
        <v>0</v>
      </c>
      <c r="I600" s="194">
        <f>IFERROR(IF(INDEX([1]Pivot!$AD$1:$BE$65000,$B600,I$5)=1,1,IF(INDEX([1]Pivot!$B$1:$AB$65000,$B600,I$5)="",2,0)),0)</f>
        <v>0</v>
      </c>
      <c r="J600" s="194">
        <f>IFERROR(IF(INDEX([1]Pivot!$AD$1:$BE$65000,$B600,J$5)=1,1,IF(INDEX([1]Pivot!$B$1:$AB$65000,$B600,J$5)="",2,0)),0)</f>
        <v>0</v>
      </c>
      <c r="K600" s="194">
        <f>IFERROR(IF(INDEX([1]Pivot!$AD$1:$BE$65000,$B600,K$5)=1,1,IF(INDEX([1]Pivot!$B$1:$AB$65000,$B600,K$5)="",2,0)),0)</f>
        <v>0</v>
      </c>
      <c r="L600" s="194">
        <f>IFERROR(IF(INDEX([1]Pivot!$AD$1:$BE$65000,$B600,L$5)=1,1,IF(INDEX([1]Pivot!$B$1:$AB$65000,$B600,L$5)="",2,0)),0)</f>
        <v>0</v>
      </c>
      <c r="M600" s="194">
        <f>IFERROR(IF(INDEX([1]Pivot!$AD$1:$BE$65000,$B600,M$5)=1,1,IF(INDEX([1]Pivot!$B$1:$AB$65000,$B600,M$5)="",2,0)),0)</f>
        <v>0</v>
      </c>
      <c r="N600" s="194">
        <f>IFERROR(IF(INDEX([1]Pivot!$AD$1:$BE$65000,$B600,N$5)=1,1,IF(INDEX([1]Pivot!$B$1:$AB$65000,$B600,N$5)="",2,0)),0)</f>
        <v>0</v>
      </c>
      <c r="O600" s="194">
        <f>IFERROR(IF(INDEX([1]Pivot!$AD$1:$BE$65000,$B600,O$5)=1,1,IF(INDEX([1]Pivot!$B$1:$AB$65000,$B600,O$5)="",2,0)),0)</f>
        <v>0</v>
      </c>
      <c r="P600" s="194">
        <f>IFERROR(IF(INDEX([1]Pivot!$AD$1:$BE$65000,$B600,P$5)=1,1,IF(INDEX([1]Pivot!$B$1:$AB$65000,$B600,P$5)="",2,0)),0)</f>
        <v>0</v>
      </c>
      <c r="Q600" s="194">
        <f>IFERROR(IF(INDEX([1]Pivot!$AD$1:$BE$65000,$B600,Q$5)=1,1,IF(INDEX([1]Pivot!$B$1:$AB$65000,$B600,Q$5)="",2,0)),0)</f>
        <v>0</v>
      </c>
      <c r="R600" s="312"/>
      <c r="S600" s="194">
        <f>IFERROR(IF(INDEX([1]Pivot!$AD$1:$BE$65000,$B600,S$5)=1,1,IF(INDEX([1]Pivot!$B$1:$AB$65000,$B600,S$5)="",2,0)),0)</f>
        <v>0</v>
      </c>
      <c r="T600" s="194">
        <f>IFERROR(IF(INDEX([1]Pivot!$AD$1:$BE$65000,$B600,T$5)=1,1,IF(INDEX([1]Pivot!$B$1:$AB$65000,$B600,T$5)="",2,0)),0)</f>
        <v>0</v>
      </c>
      <c r="U600" s="194">
        <f>IFERROR(IF(INDEX([1]Pivot!$AD$1:$BE$65000,$B600,U$5)=1,1,IF(INDEX([1]Pivot!$B$1:$AB$65000,$B600,U$5)="",2,0)),0)</f>
        <v>0</v>
      </c>
      <c r="V600" s="194">
        <f>IFERROR(IF(INDEX([1]Pivot!$AD$1:$BE$65000,$B600,V$5)=1,1,IF(INDEX([1]Pivot!$B$1:$AB$65000,$B600,V$5)="",2,0)),0)</f>
        <v>0</v>
      </c>
      <c r="W600" s="194">
        <f>IFERROR(IF(INDEX([1]Pivot!$AD$1:$BE$65000,$B600,W$5)=1,1,IF(INDEX([1]Pivot!$B$1:$AB$65000,$B600,W$5)="",2,0)),0)</f>
        <v>0</v>
      </c>
      <c r="X600" s="194">
        <f>IFERROR(IF(INDEX([1]Pivot!$AD$1:$BE$65000,$B600,X$5)=1,1,IF(INDEX([1]Pivot!$B$1:$AB$65000,$B600,X$5)="",2,0)),0)</f>
        <v>0</v>
      </c>
      <c r="Y600" s="194">
        <f>IFERROR(IF(INDEX([1]Pivot!$AD$1:$BE$65000,$B600,Y$5)=1,1,IF(INDEX([1]Pivot!$B$1:$AB$65000,$B600,Y$5)="",2,0)),0)</f>
        <v>0</v>
      </c>
      <c r="Z600" s="194">
        <f>IFERROR(IF(INDEX([1]Pivot!$AD$1:$BE$65000,$B600,Z$5)=1,1,IF(INDEX([1]Pivot!$B$1:$AB$65000,$B600,Z$5)="",2,0)),0)</f>
        <v>0</v>
      </c>
      <c r="AA600" s="194">
        <f>IFERROR(IF(INDEX([1]Pivot!$AD$1:$BE$65000,$B600,AA$5)=1,1,IF(INDEX([1]Pivot!$B$1:$AB$65000,$B600,AA$5)="",2,0)),0)</f>
        <v>0</v>
      </c>
      <c r="AB600" s="194">
        <f>IFERROR(IF(INDEX([1]Pivot!$AD$1:$BE$65000,$B600,AB$5)=1,1,IF(INDEX([1]Pivot!$B$1:$AB$65000,$B600,AB$5)="",2,0)),0)</f>
        <v>0</v>
      </c>
      <c r="AC600" s="194">
        <f>IFERROR(IF(INDEX([1]Pivot!$AD$1:$BE$65000,$B600,AC$5)=1,1,IF(INDEX([1]Pivot!$B$1:$AB$65000,$B600,AC$5)="",2,0)),0)</f>
        <v>0</v>
      </c>
      <c r="AD600" s="313">
        <f>IFERROR(IF(INDEX([1]Pivot!$BF$1:$CG$65000,$B600,AD$5)=1,1,IF(INDEX([1]Pivot!$B$1:$AB$65000,$B600,AD$5)="",2,0)),0)</f>
        <v>0</v>
      </c>
      <c r="AE600" s="313">
        <f>IFERROR(IF(INDEX([1]Pivot!$BF$1:$CG$65000,$B600,AE$5)=1,1,IF(INDEX([1]Pivot!$B$1:$AB$65000,$B600,AE$5)="",2,0)),0)</f>
        <v>0</v>
      </c>
      <c r="AF600" s="313">
        <f>IFERROR(IF(INDEX([1]Pivot!$BF$1:$CG$65000,$B600,AF$5)=1,1,IF(INDEX([1]Pivot!$B$1:$AB$65000,$B600,AF$5)="",2,0)),0)</f>
        <v>0</v>
      </c>
      <c r="AG600" s="313">
        <f>IFERROR(IF(INDEX([1]Pivot!$BF$1:$CG$65000,$B600,AG$5)=1,1,IF(INDEX([1]Pivot!$B$1:$AB$65000,$B600,AG$5)="",2,0)),0)</f>
        <v>0</v>
      </c>
      <c r="AH600" s="313">
        <f>IFERROR(IF(INDEX([1]Pivot!$BF$1:$CG$65000,$B600,AH$5)=1,1,IF(INDEX([1]Pivot!$B$1:$AB$65000,$B600,AH$5)="",2,0)),0)</f>
        <v>0</v>
      </c>
      <c r="AI600" s="313">
        <f>IFERROR(IF(INDEX([1]Pivot!$BF$1:$CG$65000,$B600,AI$5)=1,1,IF(INDEX([1]Pivot!$B$1:$AB$65000,$B600,AI$5)="",2,0)),0)</f>
        <v>0</v>
      </c>
      <c r="AJ600" s="313">
        <f>IFERROR(IF(INDEX([1]Pivot!$BF$1:$CG$65000,$B600,AJ$5)=1,1,IF(INDEX([1]Pivot!$B$1:$AB$65000,$B600,AJ$5)="",2,0)),0)</f>
        <v>0</v>
      </c>
      <c r="AK600" s="313">
        <f>IFERROR(IF(INDEX([1]Pivot!$BF$1:$CG$65000,$B600,AK$5)=1,1,IF(INDEX([1]Pivot!$B$1:$AB$65000,$B600,AK$5)="",2,0)),0)</f>
        <v>0</v>
      </c>
      <c r="AL600" s="313">
        <f>IFERROR(IF(INDEX([1]Pivot!$BF$1:$CG$65000,$B600,AL$5)=1,1,IF(INDEX([1]Pivot!$B$1:$AB$65000,$B600,AL$5)="",2,0)),0)</f>
        <v>0</v>
      </c>
      <c r="AM600" s="313">
        <f>IFERROR(IF(INDEX([1]Pivot!$BF$1:$CG$65000,$B600,AM$5)=1,1,IF(INDEX([1]Pivot!$B$1:$AB$65000,$B600,AM$5)="",2,0)),0)</f>
        <v>0</v>
      </c>
      <c r="AN600" s="313">
        <f>IFERROR(IF(INDEX([1]Pivot!$BF$1:$CG$65000,$B600,AN$5)=1,1,IF(INDEX([1]Pivot!$B$1:$AB$65000,$B600,AN$5)="",2,0)),0)</f>
        <v>0</v>
      </c>
      <c r="AO600" s="313">
        <f>IFERROR(IF(INDEX([1]Pivot!$BF$1:$CG$65000,$B600,AO$5)=1,1,IF(INDEX([1]Pivot!$B$1:$AB$65000,$B600,AO$5)="",2,0)),0)</f>
        <v>0</v>
      </c>
      <c r="AP600" s="313">
        <f>IFERROR(IF(INDEX([1]Pivot!$BF$1:$CG$65000,$B600,AP$5)=1,1,IF(INDEX([1]Pivot!$B$1:$AB$65000,$B600,AP$5)="",2,0)),0)</f>
        <v>0</v>
      </c>
      <c r="AQ600" s="313">
        <f>IFERROR(IF(INDEX([1]Pivot!$BF$1:$CG$65000,$B600,AQ$5)=1,1,IF(INDEX([1]Pivot!$B$1:$AB$65000,$B600,AQ$5)="",2,0)),0)</f>
        <v>0</v>
      </c>
      <c r="AR600" s="313">
        <f>IFERROR(IF(INDEX([1]Pivot!$BF$1:$CG$65000,$B600,AR$5)=1,1,IF(INDEX([1]Pivot!$B$1:$AB$65000,$B600,AR$5)="",2,0)),0)</f>
        <v>0</v>
      </c>
      <c r="AS600" s="312"/>
      <c r="AT600" s="313">
        <f>IFERROR(IF(INDEX([1]Pivot!$BF$1:$CG$65000,$B600,AT$5)=1,1,IF(INDEX([1]Pivot!$B$1:$AB$65000,$B600,AT$5)="",2,0)),0)</f>
        <v>0</v>
      </c>
      <c r="AU600" s="313">
        <f>IFERROR(IF(INDEX([1]Pivot!$BF$1:$CG$65000,$B600,AU$5)=1,1,IF(INDEX([1]Pivot!$B$1:$AB$65000,$B600,AU$5)="",2,0)),0)</f>
        <v>0</v>
      </c>
      <c r="AV600" s="313">
        <f>IFERROR(IF(INDEX([1]Pivot!$BF$1:$CG$65000,$B600,AV$5)=1,1,IF(INDEX([1]Pivot!$B$1:$AB$65000,$B600,AV$5)="",2,0)),0)</f>
        <v>0</v>
      </c>
      <c r="AW600" s="313">
        <f>IFERROR(IF(INDEX([1]Pivot!$BF$1:$CG$65000,$B600,AW$5)=1,1,IF(INDEX([1]Pivot!$B$1:$AB$65000,$B600,AW$5)="",2,0)),0)</f>
        <v>0</v>
      </c>
      <c r="AX600" s="313">
        <f>IFERROR(IF(INDEX([1]Pivot!$BF$1:$CG$65000,$B600,AX$5)=1,1,IF(INDEX([1]Pivot!$B$1:$AB$65000,$B600,AX$5)="",2,0)),0)</f>
        <v>0</v>
      </c>
      <c r="AY600" s="313">
        <f>IFERROR(IF(INDEX([1]Pivot!$BF$1:$CG$65000,$B600,AY$5)=1,1,IF(INDEX([1]Pivot!$B$1:$AB$65000,$B600,AY$5)="",2,0)),0)</f>
        <v>0</v>
      </c>
      <c r="AZ600" s="313">
        <f>IFERROR(IF(INDEX([1]Pivot!$BF$1:$CG$65000,$B600,AZ$5)=1,1,IF(INDEX([1]Pivot!$B$1:$AB$65000,$B600,AZ$5)="",2,0)),0)</f>
        <v>0</v>
      </c>
      <c r="BA600" s="313">
        <f>IFERROR(IF(INDEX([1]Pivot!$BF$1:$CG$65000,$B600,BA$5)=1,1,IF(INDEX([1]Pivot!$B$1:$AB$65000,$B600,BA$5)="",2,0)),0)</f>
        <v>0</v>
      </c>
      <c r="BB600" s="313">
        <f>IFERROR(IF(INDEX([1]Pivot!$BF$1:$CG$65000,$B600,BB$5)=1,1,IF(INDEX([1]Pivot!$B$1:$AB$65000,$B600,BB$5)="",2,0)),0)</f>
        <v>0</v>
      </c>
      <c r="BC600" s="313">
        <f>IFERROR(IF(INDEX([1]Pivot!$BF$1:$CG$65000,$B600,BC$5)=1,1,IF(INDEX([1]Pivot!$B$1:$AB$65000,$B600,BC$5)="",2,0)),0)</f>
        <v>0</v>
      </c>
      <c r="BD600" s="313">
        <f>IFERROR(IF(INDEX([1]Pivot!$BF$1:$CG$65000,$B600,BD$5)=1,1,IF(INDEX([1]Pivot!$B$1:$AB$65000,$B600,BD$5)="",2,0)),0)</f>
        <v>0</v>
      </c>
    </row>
    <row r="601" spans="1:56" x14ac:dyDescent="0.25">
      <c r="A601" s="288" t="str">
        <f>'[2]Raw Milk Prices'!A601</f>
        <v>2026m06</v>
      </c>
      <c r="B601" s="296" t="e">
        <f>MATCH(DATE(LEFT('[2]Raw Milk Prices'!$A601,4),RIGHT('[2]Raw Milk Prices'!$A601,2),1),[1]Pivot!$A$1:$A$65000,0)</f>
        <v>#N/A</v>
      </c>
      <c r="C601" s="194">
        <f>IFERROR(IF(INDEX([1]Pivot!$AD$1:$BE$65000,$B601,C$5)=1,1,IF(INDEX([1]Pivot!$B$1:$AB$65000,$B601,C$5)="",2,0)),0)</f>
        <v>0</v>
      </c>
      <c r="D601" s="194">
        <f>IFERROR(IF(INDEX([1]Pivot!$AD$1:$BE$65000,$B601,D$5)=1,1,IF(INDEX([1]Pivot!$B$1:$AB$65000,$B601,D$5)="",2,0)),0)</f>
        <v>0</v>
      </c>
      <c r="E601" s="194">
        <f>IFERROR(IF(INDEX([1]Pivot!$AD$1:$BE$65000,$B601,E$5)=1,1,IF(INDEX([1]Pivot!$B$1:$AB$65000,$B601,E$5)="",2,0)),0)</f>
        <v>0</v>
      </c>
      <c r="F601" s="194">
        <f>IFERROR(IF(INDEX([1]Pivot!$AD$1:$BE$65000,$B601,F$5)=1,1,IF(INDEX([1]Pivot!$B$1:$AB$65000,$B601,F$5)="",2,0)),0)</f>
        <v>0</v>
      </c>
      <c r="G601" s="194">
        <f>IFERROR(IF(INDEX([1]Pivot!$AD$1:$BE$65000,$B601,G$5)=1,1,IF(INDEX([1]Pivot!$B$1:$AB$65000,$B601,G$5)="",2,0)),0)</f>
        <v>0</v>
      </c>
      <c r="H601" s="194">
        <f>IFERROR(IF(INDEX([1]Pivot!$AD$1:$BE$65000,$B601,H$5)=1,1,IF(INDEX([1]Pivot!$B$1:$AB$65000,$B601,H$5)="",2,0)),0)</f>
        <v>0</v>
      </c>
      <c r="I601" s="194">
        <f>IFERROR(IF(INDEX([1]Pivot!$AD$1:$BE$65000,$B601,I$5)=1,1,IF(INDEX([1]Pivot!$B$1:$AB$65000,$B601,I$5)="",2,0)),0)</f>
        <v>0</v>
      </c>
      <c r="J601" s="194">
        <f>IFERROR(IF(INDEX([1]Pivot!$AD$1:$BE$65000,$B601,J$5)=1,1,IF(INDEX([1]Pivot!$B$1:$AB$65000,$B601,J$5)="",2,0)),0)</f>
        <v>0</v>
      </c>
      <c r="K601" s="194">
        <f>IFERROR(IF(INDEX([1]Pivot!$AD$1:$BE$65000,$B601,K$5)=1,1,IF(INDEX([1]Pivot!$B$1:$AB$65000,$B601,K$5)="",2,0)),0)</f>
        <v>0</v>
      </c>
      <c r="L601" s="194">
        <f>IFERROR(IF(INDEX([1]Pivot!$AD$1:$BE$65000,$B601,L$5)=1,1,IF(INDEX([1]Pivot!$B$1:$AB$65000,$B601,L$5)="",2,0)),0)</f>
        <v>0</v>
      </c>
      <c r="M601" s="194">
        <f>IFERROR(IF(INDEX([1]Pivot!$AD$1:$BE$65000,$B601,M$5)=1,1,IF(INDEX([1]Pivot!$B$1:$AB$65000,$B601,M$5)="",2,0)),0)</f>
        <v>0</v>
      </c>
      <c r="N601" s="194">
        <f>IFERROR(IF(INDEX([1]Pivot!$AD$1:$BE$65000,$B601,N$5)=1,1,IF(INDEX([1]Pivot!$B$1:$AB$65000,$B601,N$5)="",2,0)),0)</f>
        <v>0</v>
      </c>
      <c r="O601" s="194">
        <f>IFERROR(IF(INDEX([1]Pivot!$AD$1:$BE$65000,$B601,O$5)=1,1,IF(INDEX([1]Pivot!$B$1:$AB$65000,$B601,O$5)="",2,0)),0)</f>
        <v>0</v>
      </c>
      <c r="P601" s="194">
        <f>IFERROR(IF(INDEX([1]Pivot!$AD$1:$BE$65000,$B601,P$5)=1,1,IF(INDEX([1]Pivot!$B$1:$AB$65000,$B601,P$5)="",2,0)),0)</f>
        <v>0</v>
      </c>
      <c r="Q601" s="194">
        <f>IFERROR(IF(INDEX([1]Pivot!$AD$1:$BE$65000,$B601,Q$5)=1,1,IF(INDEX([1]Pivot!$B$1:$AB$65000,$B601,Q$5)="",2,0)),0)</f>
        <v>0</v>
      </c>
      <c r="R601" s="312"/>
      <c r="S601" s="194">
        <f>IFERROR(IF(INDEX([1]Pivot!$AD$1:$BE$65000,$B601,S$5)=1,1,IF(INDEX([1]Pivot!$B$1:$AB$65000,$B601,S$5)="",2,0)),0)</f>
        <v>0</v>
      </c>
      <c r="T601" s="194">
        <f>IFERROR(IF(INDEX([1]Pivot!$AD$1:$BE$65000,$B601,T$5)=1,1,IF(INDEX([1]Pivot!$B$1:$AB$65000,$B601,T$5)="",2,0)),0)</f>
        <v>0</v>
      </c>
      <c r="U601" s="194">
        <f>IFERROR(IF(INDEX([1]Pivot!$AD$1:$BE$65000,$B601,U$5)=1,1,IF(INDEX([1]Pivot!$B$1:$AB$65000,$B601,U$5)="",2,0)),0)</f>
        <v>0</v>
      </c>
      <c r="V601" s="194">
        <f>IFERROR(IF(INDEX([1]Pivot!$AD$1:$BE$65000,$B601,V$5)=1,1,IF(INDEX([1]Pivot!$B$1:$AB$65000,$B601,V$5)="",2,0)),0)</f>
        <v>0</v>
      </c>
      <c r="W601" s="194">
        <f>IFERROR(IF(INDEX([1]Pivot!$AD$1:$BE$65000,$B601,W$5)=1,1,IF(INDEX([1]Pivot!$B$1:$AB$65000,$B601,W$5)="",2,0)),0)</f>
        <v>0</v>
      </c>
      <c r="X601" s="194">
        <f>IFERROR(IF(INDEX([1]Pivot!$AD$1:$BE$65000,$B601,X$5)=1,1,IF(INDEX([1]Pivot!$B$1:$AB$65000,$B601,X$5)="",2,0)),0)</f>
        <v>0</v>
      </c>
      <c r="Y601" s="194">
        <f>IFERROR(IF(INDEX([1]Pivot!$AD$1:$BE$65000,$B601,Y$5)=1,1,IF(INDEX([1]Pivot!$B$1:$AB$65000,$B601,Y$5)="",2,0)),0)</f>
        <v>0</v>
      </c>
      <c r="Z601" s="194">
        <f>IFERROR(IF(INDEX([1]Pivot!$AD$1:$BE$65000,$B601,Z$5)=1,1,IF(INDEX([1]Pivot!$B$1:$AB$65000,$B601,Z$5)="",2,0)),0)</f>
        <v>0</v>
      </c>
      <c r="AA601" s="194">
        <f>IFERROR(IF(INDEX([1]Pivot!$AD$1:$BE$65000,$B601,AA$5)=1,1,IF(INDEX([1]Pivot!$B$1:$AB$65000,$B601,AA$5)="",2,0)),0)</f>
        <v>0</v>
      </c>
      <c r="AB601" s="194">
        <f>IFERROR(IF(INDEX([1]Pivot!$AD$1:$BE$65000,$B601,AB$5)=1,1,IF(INDEX([1]Pivot!$B$1:$AB$65000,$B601,AB$5)="",2,0)),0)</f>
        <v>0</v>
      </c>
      <c r="AC601" s="194">
        <f>IFERROR(IF(INDEX([1]Pivot!$AD$1:$BE$65000,$B601,AC$5)=1,1,IF(INDEX([1]Pivot!$B$1:$AB$65000,$B601,AC$5)="",2,0)),0)</f>
        <v>0</v>
      </c>
      <c r="AD601" s="313">
        <f>IFERROR(IF(INDEX([1]Pivot!$BF$1:$CG$65000,$B601,AD$5)=1,1,IF(INDEX([1]Pivot!$B$1:$AB$65000,$B601,AD$5)="",2,0)),0)</f>
        <v>0</v>
      </c>
      <c r="AE601" s="313">
        <f>IFERROR(IF(INDEX([1]Pivot!$BF$1:$CG$65000,$B601,AE$5)=1,1,IF(INDEX([1]Pivot!$B$1:$AB$65000,$B601,AE$5)="",2,0)),0)</f>
        <v>0</v>
      </c>
      <c r="AF601" s="313">
        <f>IFERROR(IF(INDEX([1]Pivot!$BF$1:$CG$65000,$B601,AF$5)=1,1,IF(INDEX([1]Pivot!$B$1:$AB$65000,$B601,AF$5)="",2,0)),0)</f>
        <v>0</v>
      </c>
      <c r="AG601" s="313">
        <f>IFERROR(IF(INDEX([1]Pivot!$BF$1:$CG$65000,$B601,AG$5)=1,1,IF(INDEX([1]Pivot!$B$1:$AB$65000,$B601,AG$5)="",2,0)),0)</f>
        <v>0</v>
      </c>
      <c r="AH601" s="313">
        <f>IFERROR(IF(INDEX([1]Pivot!$BF$1:$CG$65000,$B601,AH$5)=1,1,IF(INDEX([1]Pivot!$B$1:$AB$65000,$B601,AH$5)="",2,0)),0)</f>
        <v>0</v>
      </c>
      <c r="AI601" s="313">
        <f>IFERROR(IF(INDEX([1]Pivot!$BF$1:$CG$65000,$B601,AI$5)=1,1,IF(INDEX([1]Pivot!$B$1:$AB$65000,$B601,AI$5)="",2,0)),0)</f>
        <v>0</v>
      </c>
      <c r="AJ601" s="313">
        <f>IFERROR(IF(INDEX([1]Pivot!$BF$1:$CG$65000,$B601,AJ$5)=1,1,IF(INDEX([1]Pivot!$B$1:$AB$65000,$B601,AJ$5)="",2,0)),0)</f>
        <v>0</v>
      </c>
      <c r="AK601" s="313">
        <f>IFERROR(IF(INDEX([1]Pivot!$BF$1:$CG$65000,$B601,AK$5)=1,1,IF(INDEX([1]Pivot!$B$1:$AB$65000,$B601,AK$5)="",2,0)),0)</f>
        <v>0</v>
      </c>
      <c r="AL601" s="313">
        <f>IFERROR(IF(INDEX([1]Pivot!$BF$1:$CG$65000,$B601,AL$5)=1,1,IF(INDEX([1]Pivot!$B$1:$AB$65000,$B601,AL$5)="",2,0)),0)</f>
        <v>0</v>
      </c>
      <c r="AM601" s="313">
        <f>IFERROR(IF(INDEX([1]Pivot!$BF$1:$CG$65000,$B601,AM$5)=1,1,IF(INDEX([1]Pivot!$B$1:$AB$65000,$B601,AM$5)="",2,0)),0)</f>
        <v>0</v>
      </c>
      <c r="AN601" s="313">
        <f>IFERROR(IF(INDEX([1]Pivot!$BF$1:$CG$65000,$B601,AN$5)=1,1,IF(INDEX([1]Pivot!$B$1:$AB$65000,$B601,AN$5)="",2,0)),0)</f>
        <v>0</v>
      </c>
      <c r="AO601" s="313">
        <f>IFERROR(IF(INDEX([1]Pivot!$BF$1:$CG$65000,$B601,AO$5)=1,1,IF(INDEX([1]Pivot!$B$1:$AB$65000,$B601,AO$5)="",2,0)),0)</f>
        <v>0</v>
      </c>
      <c r="AP601" s="313">
        <f>IFERROR(IF(INDEX([1]Pivot!$BF$1:$CG$65000,$B601,AP$5)=1,1,IF(INDEX([1]Pivot!$B$1:$AB$65000,$B601,AP$5)="",2,0)),0)</f>
        <v>0</v>
      </c>
      <c r="AQ601" s="313">
        <f>IFERROR(IF(INDEX([1]Pivot!$BF$1:$CG$65000,$B601,AQ$5)=1,1,IF(INDEX([1]Pivot!$B$1:$AB$65000,$B601,AQ$5)="",2,0)),0)</f>
        <v>0</v>
      </c>
      <c r="AR601" s="313">
        <f>IFERROR(IF(INDEX([1]Pivot!$BF$1:$CG$65000,$B601,AR$5)=1,1,IF(INDEX([1]Pivot!$B$1:$AB$65000,$B601,AR$5)="",2,0)),0)</f>
        <v>0</v>
      </c>
      <c r="AS601" s="312"/>
      <c r="AT601" s="313">
        <f>IFERROR(IF(INDEX([1]Pivot!$BF$1:$CG$65000,$B601,AT$5)=1,1,IF(INDEX([1]Pivot!$B$1:$AB$65000,$B601,AT$5)="",2,0)),0)</f>
        <v>0</v>
      </c>
      <c r="AU601" s="313">
        <f>IFERROR(IF(INDEX([1]Pivot!$BF$1:$CG$65000,$B601,AU$5)=1,1,IF(INDEX([1]Pivot!$B$1:$AB$65000,$B601,AU$5)="",2,0)),0)</f>
        <v>0</v>
      </c>
      <c r="AV601" s="313">
        <f>IFERROR(IF(INDEX([1]Pivot!$BF$1:$CG$65000,$B601,AV$5)=1,1,IF(INDEX([1]Pivot!$B$1:$AB$65000,$B601,AV$5)="",2,0)),0)</f>
        <v>0</v>
      </c>
      <c r="AW601" s="313">
        <f>IFERROR(IF(INDEX([1]Pivot!$BF$1:$CG$65000,$B601,AW$5)=1,1,IF(INDEX([1]Pivot!$B$1:$AB$65000,$B601,AW$5)="",2,0)),0)</f>
        <v>0</v>
      </c>
      <c r="AX601" s="313">
        <f>IFERROR(IF(INDEX([1]Pivot!$BF$1:$CG$65000,$B601,AX$5)=1,1,IF(INDEX([1]Pivot!$B$1:$AB$65000,$B601,AX$5)="",2,0)),0)</f>
        <v>0</v>
      </c>
      <c r="AY601" s="313">
        <f>IFERROR(IF(INDEX([1]Pivot!$BF$1:$CG$65000,$B601,AY$5)=1,1,IF(INDEX([1]Pivot!$B$1:$AB$65000,$B601,AY$5)="",2,0)),0)</f>
        <v>0</v>
      </c>
      <c r="AZ601" s="313">
        <f>IFERROR(IF(INDEX([1]Pivot!$BF$1:$CG$65000,$B601,AZ$5)=1,1,IF(INDEX([1]Pivot!$B$1:$AB$65000,$B601,AZ$5)="",2,0)),0)</f>
        <v>0</v>
      </c>
      <c r="BA601" s="313">
        <f>IFERROR(IF(INDEX([1]Pivot!$BF$1:$CG$65000,$B601,BA$5)=1,1,IF(INDEX([1]Pivot!$B$1:$AB$65000,$B601,BA$5)="",2,0)),0)</f>
        <v>0</v>
      </c>
      <c r="BB601" s="313">
        <f>IFERROR(IF(INDEX([1]Pivot!$BF$1:$CG$65000,$B601,BB$5)=1,1,IF(INDEX([1]Pivot!$B$1:$AB$65000,$B601,BB$5)="",2,0)),0)</f>
        <v>0</v>
      </c>
      <c r="BC601" s="313">
        <f>IFERROR(IF(INDEX([1]Pivot!$BF$1:$CG$65000,$B601,BC$5)=1,1,IF(INDEX([1]Pivot!$B$1:$AB$65000,$B601,BC$5)="",2,0)),0)</f>
        <v>0</v>
      </c>
      <c r="BD601" s="313">
        <f>IFERROR(IF(INDEX([1]Pivot!$BF$1:$CG$65000,$B601,BD$5)=1,1,IF(INDEX([1]Pivot!$B$1:$AB$65000,$B601,BD$5)="",2,0)),0)</f>
        <v>0</v>
      </c>
    </row>
    <row r="602" spans="1:56" x14ac:dyDescent="0.25">
      <c r="A602" s="288" t="str">
        <f>'[2]Raw Milk Prices'!A602</f>
        <v>2026m07</v>
      </c>
      <c r="B602" s="296" t="e">
        <f>MATCH(DATE(LEFT('[2]Raw Milk Prices'!$A602,4),RIGHT('[2]Raw Milk Prices'!$A602,2),1),[1]Pivot!$A$1:$A$65000,0)</f>
        <v>#N/A</v>
      </c>
      <c r="C602" s="194">
        <f>IFERROR(IF(INDEX([1]Pivot!$AD$1:$BE$65000,$B602,C$5)=1,1,IF(INDEX([1]Pivot!$B$1:$AB$65000,$B602,C$5)="",2,0)),0)</f>
        <v>0</v>
      </c>
      <c r="D602" s="194">
        <f>IFERROR(IF(INDEX([1]Pivot!$AD$1:$BE$65000,$B602,D$5)=1,1,IF(INDEX([1]Pivot!$B$1:$AB$65000,$B602,D$5)="",2,0)),0)</f>
        <v>0</v>
      </c>
      <c r="E602" s="194">
        <f>IFERROR(IF(INDEX([1]Pivot!$AD$1:$BE$65000,$B602,E$5)=1,1,IF(INDEX([1]Pivot!$B$1:$AB$65000,$B602,E$5)="",2,0)),0)</f>
        <v>0</v>
      </c>
      <c r="F602" s="194">
        <f>IFERROR(IF(INDEX([1]Pivot!$AD$1:$BE$65000,$B602,F$5)=1,1,IF(INDEX([1]Pivot!$B$1:$AB$65000,$B602,F$5)="",2,0)),0)</f>
        <v>0</v>
      </c>
      <c r="G602" s="194">
        <f>IFERROR(IF(INDEX([1]Pivot!$AD$1:$BE$65000,$B602,G$5)=1,1,IF(INDEX([1]Pivot!$B$1:$AB$65000,$B602,G$5)="",2,0)),0)</f>
        <v>0</v>
      </c>
      <c r="H602" s="194">
        <f>IFERROR(IF(INDEX([1]Pivot!$AD$1:$BE$65000,$B602,H$5)=1,1,IF(INDEX([1]Pivot!$B$1:$AB$65000,$B602,H$5)="",2,0)),0)</f>
        <v>0</v>
      </c>
      <c r="I602" s="194">
        <f>IFERROR(IF(INDEX([1]Pivot!$AD$1:$BE$65000,$B602,I$5)=1,1,IF(INDEX([1]Pivot!$B$1:$AB$65000,$B602,I$5)="",2,0)),0)</f>
        <v>0</v>
      </c>
      <c r="J602" s="194">
        <f>IFERROR(IF(INDEX([1]Pivot!$AD$1:$BE$65000,$B602,J$5)=1,1,IF(INDEX([1]Pivot!$B$1:$AB$65000,$B602,J$5)="",2,0)),0)</f>
        <v>0</v>
      </c>
      <c r="K602" s="194">
        <f>IFERROR(IF(INDEX([1]Pivot!$AD$1:$BE$65000,$B602,K$5)=1,1,IF(INDEX([1]Pivot!$B$1:$AB$65000,$B602,K$5)="",2,0)),0)</f>
        <v>0</v>
      </c>
      <c r="L602" s="194">
        <f>IFERROR(IF(INDEX([1]Pivot!$AD$1:$BE$65000,$B602,L$5)=1,1,IF(INDEX([1]Pivot!$B$1:$AB$65000,$B602,L$5)="",2,0)),0)</f>
        <v>0</v>
      </c>
      <c r="M602" s="194">
        <f>IFERROR(IF(INDEX([1]Pivot!$AD$1:$BE$65000,$B602,M$5)=1,1,IF(INDEX([1]Pivot!$B$1:$AB$65000,$B602,M$5)="",2,0)),0)</f>
        <v>0</v>
      </c>
      <c r="N602" s="194">
        <f>IFERROR(IF(INDEX([1]Pivot!$AD$1:$BE$65000,$B602,N$5)=1,1,IF(INDEX([1]Pivot!$B$1:$AB$65000,$B602,N$5)="",2,0)),0)</f>
        <v>0</v>
      </c>
      <c r="O602" s="194">
        <f>IFERROR(IF(INDEX([1]Pivot!$AD$1:$BE$65000,$B602,O$5)=1,1,IF(INDEX([1]Pivot!$B$1:$AB$65000,$B602,O$5)="",2,0)),0)</f>
        <v>0</v>
      </c>
      <c r="P602" s="194">
        <f>IFERROR(IF(INDEX([1]Pivot!$AD$1:$BE$65000,$B602,P$5)=1,1,IF(INDEX([1]Pivot!$B$1:$AB$65000,$B602,P$5)="",2,0)),0)</f>
        <v>0</v>
      </c>
      <c r="Q602" s="194">
        <f>IFERROR(IF(INDEX([1]Pivot!$AD$1:$BE$65000,$B602,Q$5)=1,1,IF(INDEX([1]Pivot!$B$1:$AB$65000,$B602,Q$5)="",2,0)),0)</f>
        <v>0</v>
      </c>
      <c r="R602" s="312"/>
      <c r="S602" s="194">
        <f>IFERROR(IF(INDEX([1]Pivot!$AD$1:$BE$65000,$B602,S$5)=1,1,IF(INDEX([1]Pivot!$B$1:$AB$65000,$B602,S$5)="",2,0)),0)</f>
        <v>0</v>
      </c>
      <c r="T602" s="194">
        <f>IFERROR(IF(INDEX([1]Pivot!$AD$1:$BE$65000,$B602,T$5)=1,1,IF(INDEX([1]Pivot!$B$1:$AB$65000,$B602,T$5)="",2,0)),0)</f>
        <v>0</v>
      </c>
      <c r="U602" s="194">
        <f>IFERROR(IF(INDEX([1]Pivot!$AD$1:$BE$65000,$B602,U$5)=1,1,IF(INDEX([1]Pivot!$B$1:$AB$65000,$B602,U$5)="",2,0)),0)</f>
        <v>0</v>
      </c>
      <c r="V602" s="194">
        <f>IFERROR(IF(INDEX([1]Pivot!$AD$1:$BE$65000,$B602,V$5)=1,1,IF(INDEX([1]Pivot!$B$1:$AB$65000,$B602,V$5)="",2,0)),0)</f>
        <v>0</v>
      </c>
      <c r="W602" s="194">
        <f>IFERROR(IF(INDEX([1]Pivot!$AD$1:$BE$65000,$B602,W$5)=1,1,IF(INDEX([1]Pivot!$B$1:$AB$65000,$B602,W$5)="",2,0)),0)</f>
        <v>0</v>
      </c>
      <c r="X602" s="194">
        <f>IFERROR(IF(INDEX([1]Pivot!$AD$1:$BE$65000,$B602,X$5)=1,1,IF(INDEX([1]Pivot!$B$1:$AB$65000,$B602,X$5)="",2,0)),0)</f>
        <v>0</v>
      </c>
      <c r="Y602" s="194">
        <f>IFERROR(IF(INDEX([1]Pivot!$AD$1:$BE$65000,$B602,Y$5)=1,1,IF(INDEX([1]Pivot!$B$1:$AB$65000,$B602,Y$5)="",2,0)),0)</f>
        <v>0</v>
      </c>
      <c r="Z602" s="194">
        <f>IFERROR(IF(INDEX([1]Pivot!$AD$1:$BE$65000,$B602,Z$5)=1,1,IF(INDEX([1]Pivot!$B$1:$AB$65000,$B602,Z$5)="",2,0)),0)</f>
        <v>0</v>
      </c>
      <c r="AA602" s="194">
        <f>IFERROR(IF(INDEX([1]Pivot!$AD$1:$BE$65000,$B602,AA$5)=1,1,IF(INDEX([1]Pivot!$B$1:$AB$65000,$B602,AA$5)="",2,0)),0)</f>
        <v>0</v>
      </c>
      <c r="AB602" s="194">
        <f>IFERROR(IF(INDEX([1]Pivot!$AD$1:$BE$65000,$B602,AB$5)=1,1,IF(INDEX([1]Pivot!$B$1:$AB$65000,$B602,AB$5)="",2,0)),0)</f>
        <v>0</v>
      </c>
      <c r="AC602" s="194">
        <f>IFERROR(IF(INDEX([1]Pivot!$AD$1:$BE$65000,$B602,AC$5)=1,1,IF(INDEX([1]Pivot!$B$1:$AB$65000,$B602,AC$5)="",2,0)),0)</f>
        <v>0</v>
      </c>
      <c r="AD602" s="313">
        <f>IFERROR(IF(INDEX([1]Pivot!$BF$1:$CG$65000,$B602,AD$5)=1,1,IF(INDEX([1]Pivot!$B$1:$AB$65000,$B602,AD$5)="",2,0)),0)</f>
        <v>0</v>
      </c>
      <c r="AE602" s="313">
        <f>IFERROR(IF(INDEX([1]Pivot!$BF$1:$CG$65000,$B602,AE$5)=1,1,IF(INDEX([1]Pivot!$B$1:$AB$65000,$B602,AE$5)="",2,0)),0)</f>
        <v>0</v>
      </c>
      <c r="AF602" s="313">
        <f>IFERROR(IF(INDEX([1]Pivot!$BF$1:$CG$65000,$B602,AF$5)=1,1,IF(INDEX([1]Pivot!$B$1:$AB$65000,$B602,AF$5)="",2,0)),0)</f>
        <v>0</v>
      </c>
      <c r="AG602" s="313">
        <f>IFERROR(IF(INDEX([1]Pivot!$BF$1:$CG$65000,$B602,AG$5)=1,1,IF(INDEX([1]Pivot!$B$1:$AB$65000,$B602,AG$5)="",2,0)),0)</f>
        <v>0</v>
      </c>
      <c r="AH602" s="313">
        <f>IFERROR(IF(INDEX([1]Pivot!$BF$1:$CG$65000,$B602,AH$5)=1,1,IF(INDEX([1]Pivot!$B$1:$AB$65000,$B602,AH$5)="",2,0)),0)</f>
        <v>0</v>
      </c>
      <c r="AI602" s="313">
        <f>IFERROR(IF(INDEX([1]Pivot!$BF$1:$CG$65000,$B602,AI$5)=1,1,IF(INDEX([1]Pivot!$B$1:$AB$65000,$B602,AI$5)="",2,0)),0)</f>
        <v>0</v>
      </c>
      <c r="AJ602" s="313">
        <f>IFERROR(IF(INDEX([1]Pivot!$BF$1:$CG$65000,$B602,AJ$5)=1,1,IF(INDEX([1]Pivot!$B$1:$AB$65000,$B602,AJ$5)="",2,0)),0)</f>
        <v>0</v>
      </c>
      <c r="AK602" s="313">
        <f>IFERROR(IF(INDEX([1]Pivot!$BF$1:$CG$65000,$B602,AK$5)=1,1,IF(INDEX([1]Pivot!$B$1:$AB$65000,$B602,AK$5)="",2,0)),0)</f>
        <v>0</v>
      </c>
      <c r="AL602" s="313">
        <f>IFERROR(IF(INDEX([1]Pivot!$BF$1:$CG$65000,$B602,AL$5)=1,1,IF(INDEX([1]Pivot!$B$1:$AB$65000,$B602,AL$5)="",2,0)),0)</f>
        <v>0</v>
      </c>
      <c r="AM602" s="313">
        <f>IFERROR(IF(INDEX([1]Pivot!$BF$1:$CG$65000,$B602,AM$5)=1,1,IF(INDEX([1]Pivot!$B$1:$AB$65000,$B602,AM$5)="",2,0)),0)</f>
        <v>0</v>
      </c>
      <c r="AN602" s="313">
        <f>IFERROR(IF(INDEX([1]Pivot!$BF$1:$CG$65000,$B602,AN$5)=1,1,IF(INDEX([1]Pivot!$B$1:$AB$65000,$B602,AN$5)="",2,0)),0)</f>
        <v>0</v>
      </c>
      <c r="AO602" s="313">
        <f>IFERROR(IF(INDEX([1]Pivot!$BF$1:$CG$65000,$B602,AO$5)=1,1,IF(INDEX([1]Pivot!$B$1:$AB$65000,$B602,AO$5)="",2,0)),0)</f>
        <v>0</v>
      </c>
      <c r="AP602" s="313">
        <f>IFERROR(IF(INDEX([1]Pivot!$BF$1:$CG$65000,$B602,AP$5)=1,1,IF(INDEX([1]Pivot!$B$1:$AB$65000,$B602,AP$5)="",2,0)),0)</f>
        <v>0</v>
      </c>
      <c r="AQ602" s="313">
        <f>IFERROR(IF(INDEX([1]Pivot!$BF$1:$CG$65000,$B602,AQ$5)=1,1,IF(INDEX([1]Pivot!$B$1:$AB$65000,$B602,AQ$5)="",2,0)),0)</f>
        <v>0</v>
      </c>
      <c r="AR602" s="313">
        <f>IFERROR(IF(INDEX([1]Pivot!$BF$1:$CG$65000,$B602,AR$5)=1,1,IF(INDEX([1]Pivot!$B$1:$AB$65000,$B602,AR$5)="",2,0)),0)</f>
        <v>0</v>
      </c>
      <c r="AS602" s="312"/>
      <c r="AT602" s="313">
        <f>IFERROR(IF(INDEX([1]Pivot!$BF$1:$CG$65000,$B602,AT$5)=1,1,IF(INDEX([1]Pivot!$B$1:$AB$65000,$B602,AT$5)="",2,0)),0)</f>
        <v>0</v>
      </c>
      <c r="AU602" s="313">
        <f>IFERROR(IF(INDEX([1]Pivot!$BF$1:$CG$65000,$B602,AU$5)=1,1,IF(INDEX([1]Pivot!$B$1:$AB$65000,$B602,AU$5)="",2,0)),0)</f>
        <v>0</v>
      </c>
      <c r="AV602" s="313">
        <f>IFERROR(IF(INDEX([1]Pivot!$BF$1:$CG$65000,$B602,AV$5)=1,1,IF(INDEX([1]Pivot!$B$1:$AB$65000,$B602,AV$5)="",2,0)),0)</f>
        <v>0</v>
      </c>
      <c r="AW602" s="313">
        <f>IFERROR(IF(INDEX([1]Pivot!$BF$1:$CG$65000,$B602,AW$5)=1,1,IF(INDEX([1]Pivot!$B$1:$AB$65000,$B602,AW$5)="",2,0)),0)</f>
        <v>0</v>
      </c>
      <c r="AX602" s="313">
        <f>IFERROR(IF(INDEX([1]Pivot!$BF$1:$CG$65000,$B602,AX$5)=1,1,IF(INDEX([1]Pivot!$B$1:$AB$65000,$B602,AX$5)="",2,0)),0)</f>
        <v>0</v>
      </c>
      <c r="AY602" s="313">
        <f>IFERROR(IF(INDEX([1]Pivot!$BF$1:$CG$65000,$B602,AY$5)=1,1,IF(INDEX([1]Pivot!$B$1:$AB$65000,$B602,AY$5)="",2,0)),0)</f>
        <v>0</v>
      </c>
      <c r="AZ602" s="313">
        <f>IFERROR(IF(INDEX([1]Pivot!$BF$1:$CG$65000,$B602,AZ$5)=1,1,IF(INDEX([1]Pivot!$B$1:$AB$65000,$B602,AZ$5)="",2,0)),0)</f>
        <v>0</v>
      </c>
      <c r="BA602" s="313">
        <f>IFERROR(IF(INDEX([1]Pivot!$BF$1:$CG$65000,$B602,BA$5)=1,1,IF(INDEX([1]Pivot!$B$1:$AB$65000,$B602,BA$5)="",2,0)),0)</f>
        <v>0</v>
      </c>
      <c r="BB602" s="313">
        <f>IFERROR(IF(INDEX([1]Pivot!$BF$1:$CG$65000,$B602,BB$5)=1,1,IF(INDEX([1]Pivot!$B$1:$AB$65000,$B602,BB$5)="",2,0)),0)</f>
        <v>0</v>
      </c>
      <c r="BC602" s="313">
        <f>IFERROR(IF(INDEX([1]Pivot!$BF$1:$CG$65000,$B602,BC$5)=1,1,IF(INDEX([1]Pivot!$B$1:$AB$65000,$B602,BC$5)="",2,0)),0)</f>
        <v>0</v>
      </c>
      <c r="BD602" s="313">
        <f>IFERROR(IF(INDEX([1]Pivot!$BF$1:$CG$65000,$B602,BD$5)=1,1,IF(INDEX([1]Pivot!$B$1:$AB$65000,$B602,BD$5)="",2,0)),0)</f>
        <v>0</v>
      </c>
    </row>
    <row r="603" spans="1:56" x14ac:dyDescent="0.25">
      <c r="A603" s="288" t="str">
        <f>'[2]Raw Milk Prices'!A603</f>
        <v>2026m08</v>
      </c>
      <c r="B603" s="296" t="e">
        <f>MATCH(DATE(LEFT('[2]Raw Milk Prices'!$A603,4),RIGHT('[2]Raw Milk Prices'!$A603,2),1),[1]Pivot!$A$1:$A$65000,0)</f>
        <v>#N/A</v>
      </c>
      <c r="C603" s="194">
        <f>IFERROR(IF(INDEX([1]Pivot!$AD$1:$BE$65000,$B603,C$5)=1,1,IF(INDEX([1]Pivot!$B$1:$AB$65000,$B603,C$5)="",2,0)),0)</f>
        <v>0</v>
      </c>
      <c r="D603" s="194">
        <f>IFERROR(IF(INDEX([1]Pivot!$AD$1:$BE$65000,$B603,D$5)=1,1,IF(INDEX([1]Pivot!$B$1:$AB$65000,$B603,D$5)="",2,0)),0)</f>
        <v>0</v>
      </c>
      <c r="E603" s="194">
        <f>IFERROR(IF(INDEX([1]Pivot!$AD$1:$BE$65000,$B603,E$5)=1,1,IF(INDEX([1]Pivot!$B$1:$AB$65000,$B603,E$5)="",2,0)),0)</f>
        <v>0</v>
      </c>
      <c r="F603" s="194">
        <f>IFERROR(IF(INDEX([1]Pivot!$AD$1:$BE$65000,$B603,F$5)=1,1,IF(INDEX([1]Pivot!$B$1:$AB$65000,$B603,F$5)="",2,0)),0)</f>
        <v>0</v>
      </c>
      <c r="G603" s="194">
        <f>IFERROR(IF(INDEX([1]Pivot!$AD$1:$BE$65000,$B603,G$5)=1,1,IF(INDEX([1]Pivot!$B$1:$AB$65000,$B603,G$5)="",2,0)),0)</f>
        <v>0</v>
      </c>
      <c r="H603" s="194">
        <f>IFERROR(IF(INDEX([1]Pivot!$AD$1:$BE$65000,$B603,H$5)=1,1,IF(INDEX([1]Pivot!$B$1:$AB$65000,$B603,H$5)="",2,0)),0)</f>
        <v>0</v>
      </c>
      <c r="I603" s="194">
        <f>IFERROR(IF(INDEX([1]Pivot!$AD$1:$BE$65000,$B603,I$5)=1,1,IF(INDEX([1]Pivot!$B$1:$AB$65000,$B603,I$5)="",2,0)),0)</f>
        <v>0</v>
      </c>
      <c r="J603" s="194">
        <f>IFERROR(IF(INDEX([1]Pivot!$AD$1:$BE$65000,$B603,J$5)=1,1,IF(INDEX([1]Pivot!$B$1:$AB$65000,$B603,J$5)="",2,0)),0)</f>
        <v>0</v>
      </c>
      <c r="K603" s="194">
        <f>IFERROR(IF(INDEX([1]Pivot!$AD$1:$BE$65000,$B603,K$5)=1,1,IF(INDEX([1]Pivot!$B$1:$AB$65000,$B603,K$5)="",2,0)),0)</f>
        <v>0</v>
      </c>
      <c r="L603" s="194">
        <f>IFERROR(IF(INDEX([1]Pivot!$AD$1:$BE$65000,$B603,L$5)=1,1,IF(INDEX([1]Pivot!$B$1:$AB$65000,$B603,L$5)="",2,0)),0)</f>
        <v>0</v>
      </c>
      <c r="M603" s="194">
        <f>IFERROR(IF(INDEX([1]Pivot!$AD$1:$BE$65000,$B603,M$5)=1,1,IF(INDEX([1]Pivot!$B$1:$AB$65000,$B603,M$5)="",2,0)),0)</f>
        <v>0</v>
      </c>
      <c r="N603" s="194">
        <f>IFERROR(IF(INDEX([1]Pivot!$AD$1:$BE$65000,$B603,N$5)=1,1,IF(INDEX([1]Pivot!$B$1:$AB$65000,$B603,N$5)="",2,0)),0)</f>
        <v>0</v>
      </c>
      <c r="O603" s="194">
        <f>IFERROR(IF(INDEX([1]Pivot!$AD$1:$BE$65000,$B603,O$5)=1,1,IF(INDEX([1]Pivot!$B$1:$AB$65000,$B603,O$5)="",2,0)),0)</f>
        <v>0</v>
      </c>
      <c r="P603" s="194">
        <f>IFERROR(IF(INDEX([1]Pivot!$AD$1:$BE$65000,$B603,P$5)=1,1,IF(INDEX([1]Pivot!$B$1:$AB$65000,$B603,P$5)="",2,0)),0)</f>
        <v>0</v>
      </c>
      <c r="Q603" s="194">
        <f>IFERROR(IF(INDEX([1]Pivot!$AD$1:$BE$65000,$B603,Q$5)=1,1,IF(INDEX([1]Pivot!$B$1:$AB$65000,$B603,Q$5)="",2,0)),0)</f>
        <v>0</v>
      </c>
      <c r="R603" s="312"/>
      <c r="S603" s="194">
        <f>IFERROR(IF(INDEX([1]Pivot!$AD$1:$BE$65000,$B603,S$5)=1,1,IF(INDEX([1]Pivot!$B$1:$AB$65000,$B603,S$5)="",2,0)),0)</f>
        <v>0</v>
      </c>
      <c r="T603" s="194">
        <f>IFERROR(IF(INDEX([1]Pivot!$AD$1:$BE$65000,$B603,T$5)=1,1,IF(INDEX([1]Pivot!$B$1:$AB$65000,$B603,T$5)="",2,0)),0)</f>
        <v>0</v>
      </c>
      <c r="U603" s="194">
        <f>IFERROR(IF(INDEX([1]Pivot!$AD$1:$BE$65000,$B603,U$5)=1,1,IF(INDEX([1]Pivot!$B$1:$AB$65000,$B603,U$5)="",2,0)),0)</f>
        <v>0</v>
      </c>
      <c r="V603" s="194">
        <f>IFERROR(IF(INDEX([1]Pivot!$AD$1:$BE$65000,$B603,V$5)=1,1,IF(INDEX([1]Pivot!$B$1:$AB$65000,$B603,V$5)="",2,0)),0)</f>
        <v>0</v>
      </c>
      <c r="W603" s="194">
        <f>IFERROR(IF(INDEX([1]Pivot!$AD$1:$BE$65000,$B603,W$5)=1,1,IF(INDEX([1]Pivot!$B$1:$AB$65000,$B603,W$5)="",2,0)),0)</f>
        <v>0</v>
      </c>
      <c r="X603" s="194">
        <f>IFERROR(IF(INDEX([1]Pivot!$AD$1:$BE$65000,$B603,X$5)=1,1,IF(INDEX([1]Pivot!$B$1:$AB$65000,$B603,X$5)="",2,0)),0)</f>
        <v>0</v>
      </c>
      <c r="Y603" s="194">
        <f>IFERROR(IF(INDEX([1]Pivot!$AD$1:$BE$65000,$B603,Y$5)=1,1,IF(INDEX([1]Pivot!$B$1:$AB$65000,$B603,Y$5)="",2,0)),0)</f>
        <v>0</v>
      </c>
      <c r="Z603" s="194">
        <f>IFERROR(IF(INDEX([1]Pivot!$AD$1:$BE$65000,$B603,Z$5)=1,1,IF(INDEX([1]Pivot!$B$1:$AB$65000,$B603,Z$5)="",2,0)),0)</f>
        <v>0</v>
      </c>
      <c r="AA603" s="194">
        <f>IFERROR(IF(INDEX([1]Pivot!$AD$1:$BE$65000,$B603,AA$5)=1,1,IF(INDEX([1]Pivot!$B$1:$AB$65000,$B603,AA$5)="",2,0)),0)</f>
        <v>0</v>
      </c>
      <c r="AB603" s="194">
        <f>IFERROR(IF(INDEX([1]Pivot!$AD$1:$BE$65000,$B603,AB$5)=1,1,IF(INDEX([1]Pivot!$B$1:$AB$65000,$B603,AB$5)="",2,0)),0)</f>
        <v>0</v>
      </c>
      <c r="AC603" s="194">
        <f>IFERROR(IF(INDEX([1]Pivot!$AD$1:$BE$65000,$B603,AC$5)=1,1,IF(INDEX([1]Pivot!$B$1:$AB$65000,$B603,AC$5)="",2,0)),0)</f>
        <v>0</v>
      </c>
      <c r="AD603" s="313">
        <f>IFERROR(IF(INDEX([1]Pivot!$BF$1:$CG$65000,$B603,AD$5)=1,1,IF(INDEX([1]Pivot!$B$1:$AB$65000,$B603,AD$5)="",2,0)),0)</f>
        <v>0</v>
      </c>
      <c r="AE603" s="313">
        <f>IFERROR(IF(INDEX([1]Pivot!$BF$1:$CG$65000,$B603,AE$5)=1,1,IF(INDEX([1]Pivot!$B$1:$AB$65000,$B603,AE$5)="",2,0)),0)</f>
        <v>0</v>
      </c>
      <c r="AF603" s="313">
        <f>IFERROR(IF(INDEX([1]Pivot!$BF$1:$CG$65000,$B603,AF$5)=1,1,IF(INDEX([1]Pivot!$B$1:$AB$65000,$B603,AF$5)="",2,0)),0)</f>
        <v>0</v>
      </c>
      <c r="AG603" s="313">
        <f>IFERROR(IF(INDEX([1]Pivot!$BF$1:$CG$65000,$B603,AG$5)=1,1,IF(INDEX([1]Pivot!$B$1:$AB$65000,$B603,AG$5)="",2,0)),0)</f>
        <v>0</v>
      </c>
      <c r="AH603" s="313">
        <f>IFERROR(IF(INDEX([1]Pivot!$BF$1:$CG$65000,$B603,AH$5)=1,1,IF(INDEX([1]Pivot!$B$1:$AB$65000,$B603,AH$5)="",2,0)),0)</f>
        <v>0</v>
      </c>
      <c r="AI603" s="313">
        <f>IFERROR(IF(INDEX([1]Pivot!$BF$1:$CG$65000,$B603,AI$5)=1,1,IF(INDEX([1]Pivot!$B$1:$AB$65000,$B603,AI$5)="",2,0)),0)</f>
        <v>0</v>
      </c>
      <c r="AJ603" s="313">
        <f>IFERROR(IF(INDEX([1]Pivot!$BF$1:$CG$65000,$B603,AJ$5)=1,1,IF(INDEX([1]Pivot!$B$1:$AB$65000,$B603,AJ$5)="",2,0)),0)</f>
        <v>0</v>
      </c>
      <c r="AK603" s="313">
        <f>IFERROR(IF(INDEX([1]Pivot!$BF$1:$CG$65000,$B603,AK$5)=1,1,IF(INDEX([1]Pivot!$B$1:$AB$65000,$B603,AK$5)="",2,0)),0)</f>
        <v>0</v>
      </c>
      <c r="AL603" s="313">
        <f>IFERROR(IF(INDEX([1]Pivot!$BF$1:$CG$65000,$B603,AL$5)=1,1,IF(INDEX([1]Pivot!$B$1:$AB$65000,$B603,AL$5)="",2,0)),0)</f>
        <v>0</v>
      </c>
      <c r="AM603" s="313">
        <f>IFERROR(IF(INDEX([1]Pivot!$BF$1:$CG$65000,$B603,AM$5)=1,1,IF(INDEX([1]Pivot!$B$1:$AB$65000,$B603,AM$5)="",2,0)),0)</f>
        <v>0</v>
      </c>
      <c r="AN603" s="313">
        <f>IFERROR(IF(INDEX([1]Pivot!$BF$1:$CG$65000,$B603,AN$5)=1,1,IF(INDEX([1]Pivot!$B$1:$AB$65000,$B603,AN$5)="",2,0)),0)</f>
        <v>0</v>
      </c>
      <c r="AO603" s="313">
        <f>IFERROR(IF(INDEX([1]Pivot!$BF$1:$CG$65000,$B603,AO$5)=1,1,IF(INDEX([1]Pivot!$B$1:$AB$65000,$B603,AO$5)="",2,0)),0)</f>
        <v>0</v>
      </c>
      <c r="AP603" s="313">
        <f>IFERROR(IF(INDEX([1]Pivot!$BF$1:$CG$65000,$B603,AP$5)=1,1,IF(INDEX([1]Pivot!$B$1:$AB$65000,$B603,AP$5)="",2,0)),0)</f>
        <v>0</v>
      </c>
      <c r="AQ603" s="313">
        <f>IFERROR(IF(INDEX([1]Pivot!$BF$1:$CG$65000,$B603,AQ$5)=1,1,IF(INDEX([1]Pivot!$B$1:$AB$65000,$B603,AQ$5)="",2,0)),0)</f>
        <v>0</v>
      </c>
      <c r="AR603" s="313">
        <f>IFERROR(IF(INDEX([1]Pivot!$BF$1:$CG$65000,$B603,AR$5)=1,1,IF(INDEX([1]Pivot!$B$1:$AB$65000,$B603,AR$5)="",2,0)),0)</f>
        <v>0</v>
      </c>
      <c r="AS603" s="312"/>
      <c r="AT603" s="313">
        <f>IFERROR(IF(INDEX([1]Pivot!$BF$1:$CG$65000,$B603,AT$5)=1,1,IF(INDEX([1]Pivot!$B$1:$AB$65000,$B603,AT$5)="",2,0)),0)</f>
        <v>0</v>
      </c>
      <c r="AU603" s="313">
        <f>IFERROR(IF(INDEX([1]Pivot!$BF$1:$CG$65000,$B603,AU$5)=1,1,IF(INDEX([1]Pivot!$B$1:$AB$65000,$B603,AU$5)="",2,0)),0)</f>
        <v>0</v>
      </c>
      <c r="AV603" s="313">
        <f>IFERROR(IF(INDEX([1]Pivot!$BF$1:$CG$65000,$B603,AV$5)=1,1,IF(INDEX([1]Pivot!$B$1:$AB$65000,$B603,AV$5)="",2,0)),0)</f>
        <v>0</v>
      </c>
      <c r="AW603" s="313">
        <f>IFERROR(IF(INDEX([1]Pivot!$BF$1:$CG$65000,$B603,AW$5)=1,1,IF(INDEX([1]Pivot!$B$1:$AB$65000,$B603,AW$5)="",2,0)),0)</f>
        <v>0</v>
      </c>
      <c r="AX603" s="313">
        <f>IFERROR(IF(INDEX([1]Pivot!$BF$1:$CG$65000,$B603,AX$5)=1,1,IF(INDEX([1]Pivot!$B$1:$AB$65000,$B603,AX$5)="",2,0)),0)</f>
        <v>0</v>
      </c>
      <c r="AY603" s="313">
        <f>IFERROR(IF(INDEX([1]Pivot!$BF$1:$CG$65000,$B603,AY$5)=1,1,IF(INDEX([1]Pivot!$B$1:$AB$65000,$B603,AY$5)="",2,0)),0)</f>
        <v>0</v>
      </c>
      <c r="AZ603" s="313">
        <f>IFERROR(IF(INDEX([1]Pivot!$BF$1:$CG$65000,$B603,AZ$5)=1,1,IF(INDEX([1]Pivot!$B$1:$AB$65000,$B603,AZ$5)="",2,0)),0)</f>
        <v>0</v>
      </c>
      <c r="BA603" s="313">
        <f>IFERROR(IF(INDEX([1]Pivot!$BF$1:$CG$65000,$B603,BA$5)=1,1,IF(INDEX([1]Pivot!$B$1:$AB$65000,$B603,BA$5)="",2,0)),0)</f>
        <v>0</v>
      </c>
      <c r="BB603" s="313">
        <f>IFERROR(IF(INDEX([1]Pivot!$BF$1:$CG$65000,$B603,BB$5)=1,1,IF(INDEX([1]Pivot!$B$1:$AB$65000,$B603,BB$5)="",2,0)),0)</f>
        <v>0</v>
      </c>
      <c r="BC603" s="313">
        <f>IFERROR(IF(INDEX([1]Pivot!$BF$1:$CG$65000,$B603,BC$5)=1,1,IF(INDEX([1]Pivot!$B$1:$AB$65000,$B603,BC$5)="",2,0)),0)</f>
        <v>0</v>
      </c>
      <c r="BD603" s="313">
        <f>IFERROR(IF(INDEX([1]Pivot!$BF$1:$CG$65000,$B603,BD$5)=1,1,IF(INDEX([1]Pivot!$B$1:$AB$65000,$B603,BD$5)="",2,0)),0)</f>
        <v>0</v>
      </c>
    </row>
    <row r="604" spans="1:56" x14ac:dyDescent="0.25">
      <c r="A604" s="288" t="str">
        <f>'[2]Raw Milk Prices'!A604</f>
        <v>2026m09</v>
      </c>
      <c r="B604" s="296" t="e">
        <f>MATCH(DATE(LEFT('[2]Raw Milk Prices'!$A604,4),RIGHT('[2]Raw Milk Prices'!$A604,2),1),[1]Pivot!$A$1:$A$65000,0)</f>
        <v>#N/A</v>
      </c>
      <c r="C604" s="194">
        <f>IFERROR(IF(INDEX([1]Pivot!$AD$1:$BE$65000,$B604,C$5)=1,1,IF(INDEX([1]Pivot!$B$1:$AB$65000,$B604,C$5)="",2,0)),0)</f>
        <v>0</v>
      </c>
      <c r="D604" s="194">
        <f>IFERROR(IF(INDEX([1]Pivot!$AD$1:$BE$65000,$B604,D$5)=1,1,IF(INDEX([1]Pivot!$B$1:$AB$65000,$B604,D$5)="",2,0)),0)</f>
        <v>0</v>
      </c>
      <c r="E604" s="194">
        <f>IFERROR(IF(INDEX([1]Pivot!$AD$1:$BE$65000,$B604,E$5)=1,1,IF(INDEX([1]Pivot!$B$1:$AB$65000,$B604,E$5)="",2,0)),0)</f>
        <v>0</v>
      </c>
      <c r="F604" s="194">
        <f>IFERROR(IF(INDEX([1]Pivot!$AD$1:$BE$65000,$B604,F$5)=1,1,IF(INDEX([1]Pivot!$B$1:$AB$65000,$B604,F$5)="",2,0)),0)</f>
        <v>0</v>
      </c>
      <c r="G604" s="194">
        <f>IFERROR(IF(INDEX([1]Pivot!$AD$1:$BE$65000,$B604,G$5)=1,1,IF(INDEX([1]Pivot!$B$1:$AB$65000,$B604,G$5)="",2,0)),0)</f>
        <v>0</v>
      </c>
      <c r="H604" s="194">
        <f>IFERROR(IF(INDEX([1]Pivot!$AD$1:$BE$65000,$B604,H$5)=1,1,IF(INDEX([1]Pivot!$B$1:$AB$65000,$B604,H$5)="",2,0)),0)</f>
        <v>0</v>
      </c>
      <c r="I604" s="194">
        <f>IFERROR(IF(INDEX([1]Pivot!$AD$1:$BE$65000,$B604,I$5)=1,1,IF(INDEX([1]Pivot!$B$1:$AB$65000,$B604,I$5)="",2,0)),0)</f>
        <v>0</v>
      </c>
      <c r="J604" s="194">
        <f>IFERROR(IF(INDEX([1]Pivot!$AD$1:$BE$65000,$B604,J$5)=1,1,IF(INDEX([1]Pivot!$B$1:$AB$65000,$B604,J$5)="",2,0)),0)</f>
        <v>0</v>
      </c>
      <c r="K604" s="194">
        <f>IFERROR(IF(INDEX([1]Pivot!$AD$1:$BE$65000,$B604,K$5)=1,1,IF(INDEX([1]Pivot!$B$1:$AB$65000,$B604,K$5)="",2,0)),0)</f>
        <v>0</v>
      </c>
      <c r="L604" s="194">
        <f>IFERROR(IF(INDEX([1]Pivot!$AD$1:$BE$65000,$B604,L$5)=1,1,IF(INDEX([1]Pivot!$B$1:$AB$65000,$B604,L$5)="",2,0)),0)</f>
        <v>0</v>
      </c>
      <c r="M604" s="194">
        <f>IFERROR(IF(INDEX([1]Pivot!$AD$1:$BE$65000,$B604,M$5)=1,1,IF(INDEX([1]Pivot!$B$1:$AB$65000,$B604,M$5)="",2,0)),0)</f>
        <v>0</v>
      </c>
      <c r="N604" s="194">
        <f>IFERROR(IF(INDEX([1]Pivot!$AD$1:$BE$65000,$B604,N$5)=1,1,IF(INDEX([1]Pivot!$B$1:$AB$65000,$B604,N$5)="",2,0)),0)</f>
        <v>0</v>
      </c>
      <c r="O604" s="194">
        <f>IFERROR(IF(INDEX([1]Pivot!$AD$1:$BE$65000,$B604,O$5)=1,1,IF(INDEX([1]Pivot!$B$1:$AB$65000,$B604,O$5)="",2,0)),0)</f>
        <v>0</v>
      </c>
      <c r="P604" s="194">
        <f>IFERROR(IF(INDEX([1]Pivot!$AD$1:$BE$65000,$B604,P$5)=1,1,IF(INDEX([1]Pivot!$B$1:$AB$65000,$B604,P$5)="",2,0)),0)</f>
        <v>0</v>
      </c>
      <c r="Q604" s="194">
        <f>IFERROR(IF(INDEX([1]Pivot!$AD$1:$BE$65000,$B604,Q$5)=1,1,IF(INDEX([1]Pivot!$B$1:$AB$65000,$B604,Q$5)="",2,0)),0)</f>
        <v>0</v>
      </c>
      <c r="R604" s="312"/>
      <c r="S604" s="194">
        <f>IFERROR(IF(INDEX([1]Pivot!$AD$1:$BE$65000,$B604,S$5)=1,1,IF(INDEX([1]Pivot!$B$1:$AB$65000,$B604,S$5)="",2,0)),0)</f>
        <v>0</v>
      </c>
      <c r="T604" s="194">
        <f>IFERROR(IF(INDEX([1]Pivot!$AD$1:$BE$65000,$B604,T$5)=1,1,IF(INDEX([1]Pivot!$B$1:$AB$65000,$B604,T$5)="",2,0)),0)</f>
        <v>0</v>
      </c>
      <c r="U604" s="194">
        <f>IFERROR(IF(INDEX([1]Pivot!$AD$1:$BE$65000,$B604,U$5)=1,1,IF(INDEX([1]Pivot!$B$1:$AB$65000,$B604,U$5)="",2,0)),0)</f>
        <v>0</v>
      </c>
      <c r="V604" s="194">
        <f>IFERROR(IF(INDEX([1]Pivot!$AD$1:$BE$65000,$B604,V$5)=1,1,IF(INDEX([1]Pivot!$B$1:$AB$65000,$B604,V$5)="",2,0)),0)</f>
        <v>0</v>
      </c>
      <c r="W604" s="194">
        <f>IFERROR(IF(INDEX([1]Pivot!$AD$1:$BE$65000,$B604,W$5)=1,1,IF(INDEX([1]Pivot!$B$1:$AB$65000,$B604,W$5)="",2,0)),0)</f>
        <v>0</v>
      </c>
      <c r="X604" s="194">
        <f>IFERROR(IF(INDEX([1]Pivot!$AD$1:$BE$65000,$B604,X$5)=1,1,IF(INDEX([1]Pivot!$B$1:$AB$65000,$B604,X$5)="",2,0)),0)</f>
        <v>0</v>
      </c>
      <c r="Y604" s="194">
        <f>IFERROR(IF(INDEX([1]Pivot!$AD$1:$BE$65000,$B604,Y$5)=1,1,IF(INDEX([1]Pivot!$B$1:$AB$65000,$B604,Y$5)="",2,0)),0)</f>
        <v>0</v>
      </c>
      <c r="Z604" s="194">
        <f>IFERROR(IF(INDEX([1]Pivot!$AD$1:$BE$65000,$B604,Z$5)=1,1,IF(INDEX([1]Pivot!$B$1:$AB$65000,$B604,Z$5)="",2,0)),0)</f>
        <v>0</v>
      </c>
      <c r="AA604" s="194">
        <f>IFERROR(IF(INDEX([1]Pivot!$AD$1:$BE$65000,$B604,AA$5)=1,1,IF(INDEX([1]Pivot!$B$1:$AB$65000,$B604,AA$5)="",2,0)),0)</f>
        <v>0</v>
      </c>
      <c r="AB604" s="194">
        <f>IFERROR(IF(INDEX([1]Pivot!$AD$1:$BE$65000,$B604,AB$5)=1,1,IF(INDEX([1]Pivot!$B$1:$AB$65000,$B604,AB$5)="",2,0)),0)</f>
        <v>0</v>
      </c>
      <c r="AC604" s="194">
        <f>IFERROR(IF(INDEX([1]Pivot!$AD$1:$BE$65000,$B604,AC$5)=1,1,IF(INDEX([1]Pivot!$B$1:$AB$65000,$B604,AC$5)="",2,0)),0)</f>
        <v>0</v>
      </c>
      <c r="AD604" s="313">
        <f>IFERROR(IF(INDEX([1]Pivot!$BF$1:$CG$65000,$B604,AD$5)=1,1,IF(INDEX([1]Pivot!$B$1:$AB$65000,$B604,AD$5)="",2,0)),0)</f>
        <v>0</v>
      </c>
      <c r="AE604" s="313">
        <f>IFERROR(IF(INDEX([1]Pivot!$BF$1:$CG$65000,$B604,AE$5)=1,1,IF(INDEX([1]Pivot!$B$1:$AB$65000,$B604,AE$5)="",2,0)),0)</f>
        <v>0</v>
      </c>
      <c r="AF604" s="313">
        <f>IFERROR(IF(INDEX([1]Pivot!$BF$1:$CG$65000,$B604,AF$5)=1,1,IF(INDEX([1]Pivot!$B$1:$AB$65000,$B604,AF$5)="",2,0)),0)</f>
        <v>0</v>
      </c>
      <c r="AG604" s="313">
        <f>IFERROR(IF(INDEX([1]Pivot!$BF$1:$CG$65000,$B604,AG$5)=1,1,IF(INDEX([1]Pivot!$B$1:$AB$65000,$B604,AG$5)="",2,0)),0)</f>
        <v>0</v>
      </c>
      <c r="AH604" s="313">
        <f>IFERROR(IF(INDEX([1]Pivot!$BF$1:$CG$65000,$B604,AH$5)=1,1,IF(INDEX([1]Pivot!$B$1:$AB$65000,$B604,AH$5)="",2,0)),0)</f>
        <v>0</v>
      </c>
      <c r="AI604" s="313">
        <f>IFERROR(IF(INDEX([1]Pivot!$BF$1:$CG$65000,$B604,AI$5)=1,1,IF(INDEX([1]Pivot!$B$1:$AB$65000,$B604,AI$5)="",2,0)),0)</f>
        <v>0</v>
      </c>
      <c r="AJ604" s="313">
        <f>IFERROR(IF(INDEX([1]Pivot!$BF$1:$CG$65000,$B604,AJ$5)=1,1,IF(INDEX([1]Pivot!$B$1:$AB$65000,$B604,AJ$5)="",2,0)),0)</f>
        <v>0</v>
      </c>
      <c r="AK604" s="313">
        <f>IFERROR(IF(INDEX([1]Pivot!$BF$1:$CG$65000,$B604,AK$5)=1,1,IF(INDEX([1]Pivot!$B$1:$AB$65000,$B604,AK$5)="",2,0)),0)</f>
        <v>0</v>
      </c>
      <c r="AL604" s="313">
        <f>IFERROR(IF(INDEX([1]Pivot!$BF$1:$CG$65000,$B604,AL$5)=1,1,IF(INDEX([1]Pivot!$B$1:$AB$65000,$B604,AL$5)="",2,0)),0)</f>
        <v>0</v>
      </c>
      <c r="AM604" s="313">
        <f>IFERROR(IF(INDEX([1]Pivot!$BF$1:$CG$65000,$B604,AM$5)=1,1,IF(INDEX([1]Pivot!$B$1:$AB$65000,$B604,AM$5)="",2,0)),0)</f>
        <v>0</v>
      </c>
      <c r="AN604" s="313">
        <f>IFERROR(IF(INDEX([1]Pivot!$BF$1:$CG$65000,$B604,AN$5)=1,1,IF(INDEX([1]Pivot!$B$1:$AB$65000,$B604,AN$5)="",2,0)),0)</f>
        <v>0</v>
      </c>
      <c r="AO604" s="313">
        <f>IFERROR(IF(INDEX([1]Pivot!$BF$1:$CG$65000,$B604,AO$5)=1,1,IF(INDEX([1]Pivot!$B$1:$AB$65000,$B604,AO$5)="",2,0)),0)</f>
        <v>0</v>
      </c>
      <c r="AP604" s="313">
        <f>IFERROR(IF(INDEX([1]Pivot!$BF$1:$CG$65000,$B604,AP$5)=1,1,IF(INDEX([1]Pivot!$B$1:$AB$65000,$B604,AP$5)="",2,0)),0)</f>
        <v>0</v>
      </c>
      <c r="AQ604" s="313">
        <f>IFERROR(IF(INDEX([1]Pivot!$BF$1:$CG$65000,$B604,AQ$5)=1,1,IF(INDEX([1]Pivot!$B$1:$AB$65000,$B604,AQ$5)="",2,0)),0)</f>
        <v>0</v>
      </c>
      <c r="AR604" s="313">
        <f>IFERROR(IF(INDEX([1]Pivot!$BF$1:$CG$65000,$B604,AR$5)=1,1,IF(INDEX([1]Pivot!$B$1:$AB$65000,$B604,AR$5)="",2,0)),0)</f>
        <v>0</v>
      </c>
      <c r="AS604" s="312"/>
      <c r="AT604" s="313">
        <f>IFERROR(IF(INDEX([1]Pivot!$BF$1:$CG$65000,$B604,AT$5)=1,1,IF(INDEX([1]Pivot!$B$1:$AB$65000,$B604,AT$5)="",2,0)),0)</f>
        <v>0</v>
      </c>
      <c r="AU604" s="313">
        <f>IFERROR(IF(INDEX([1]Pivot!$BF$1:$CG$65000,$B604,AU$5)=1,1,IF(INDEX([1]Pivot!$B$1:$AB$65000,$B604,AU$5)="",2,0)),0)</f>
        <v>0</v>
      </c>
      <c r="AV604" s="313">
        <f>IFERROR(IF(INDEX([1]Pivot!$BF$1:$CG$65000,$B604,AV$5)=1,1,IF(INDEX([1]Pivot!$B$1:$AB$65000,$B604,AV$5)="",2,0)),0)</f>
        <v>0</v>
      </c>
      <c r="AW604" s="313">
        <f>IFERROR(IF(INDEX([1]Pivot!$BF$1:$CG$65000,$B604,AW$5)=1,1,IF(INDEX([1]Pivot!$B$1:$AB$65000,$B604,AW$5)="",2,0)),0)</f>
        <v>0</v>
      </c>
      <c r="AX604" s="313">
        <f>IFERROR(IF(INDEX([1]Pivot!$BF$1:$CG$65000,$B604,AX$5)=1,1,IF(INDEX([1]Pivot!$B$1:$AB$65000,$B604,AX$5)="",2,0)),0)</f>
        <v>0</v>
      </c>
      <c r="AY604" s="313">
        <f>IFERROR(IF(INDEX([1]Pivot!$BF$1:$CG$65000,$B604,AY$5)=1,1,IF(INDEX([1]Pivot!$B$1:$AB$65000,$B604,AY$5)="",2,0)),0)</f>
        <v>0</v>
      </c>
      <c r="AZ604" s="313">
        <f>IFERROR(IF(INDEX([1]Pivot!$BF$1:$CG$65000,$B604,AZ$5)=1,1,IF(INDEX([1]Pivot!$B$1:$AB$65000,$B604,AZ$5)="",2,0)),0)</f>
        <v>0</v>
      </c>
      <c r="BA604" s="313">
        <f>IFERROR(IF(INDEX([1]Pivot!$BF$1:$CG$65000,$B604,BA$5)=1,1,IF(INDEX([1]Pivot!$B$1:$AB$65000,$B604,BA$5)="",2,0)),0)</f>
        <v>0</v>
      </c>
      <c r="BB604" s="313">
        <f>IFERROR(IF(INDEX([1]Pivot!$BF$1:$CG$65000,$B604,BB$5)=1,1,IF(INDEX([1]Pivot!$B$1:$AB$65000,$B604,BB$5)="",2,0)),0)</f>
        <v>0</v>
      </c>
      <c r="BC604" s="313">
        <f>IFERROR(IF(INDEX([1]Pivot!$BF$1:$CG$65000,$B604,BC$5)=1,1,IF(INDEX([1]Pivot!$B$1:$AB$65000,$B604,BC$5)="",2,0)),0)</f>
        <v>0</v>
      </c>
      <c r="BD604" s="313">
        <f>IFERROR(IF(INDEX([1]Pivot!$BF$1:$CG$65000,$B604,BD$5)=1,1,IF(INDEX([1]Pivot!$B$1:$AB$65000,$B604,BD$5)="",2,0)),0)</f>
        <v>0</v>
      </c>
    </row>
    <row r="605" spans="1:56" x14ac:dyDescent="0.25">
      <c r="A605" s="288" t="str">
        <f>'[2]Raw Milk Prices'!A605</f>
        <v>2026m10</v>
      </c>
      <c r="B605" s="296" t="e">
        <f>MATCH(DATE(LEFT('[2]Raw Milk Prices'!$A605,4),RIGHT('[2]Raw Milk Prices'!$A605,2),1),[1]Pivot!$A$1:$A$65000,0)</f>
        <v>#N/A</v>
      </c>
      <c r="C605" s="194">
        <f>IFERROR(IF(INDEX([1]Pivot!$AD$1:$BE$65000,$B605,C$5)=1,1,IF(INDEX([1]Pivot!$B$1:$AB$65000,$B605,C$5)="",2,0)),0)</f>
        <v>0</v>
      </c>
      <c r="D605" s="194">
        <f>IFERROR(IF(INDEX([1]Pivot!$AD$1:$BE$65000,$B605,D$5)=1,1,IF(INDEX([1]Pivot!$B$1:$AB$65000,$B605,D$5)="",2,0)),0)</f>
        <v>0</v>
      </c>
      <c r="E605" s="194">
        <f>IFERROR(IF(INDEX([1]Pivot!$AD$1:$BE$65000,$B605,E$5)=1,1,IF(INDEX([1]Pivot!$B$1:$AB$65000,$B605,E$5)="",2,0)),0)</f>
        <v>0</v>
      </c>
      <c r="F605" s="194">
        <f>IFERROR(IF(INDEX([1]Pivot!$AD$1:$BE$65000,$B605,F$5)=1,1,IF(INDEX([1]Pivot!$B$1:$AB$65000,$B605,F$5)="",2,0)),0)</f>
        <v>0</v>
      </c>
      <c r="G605" s="194">
        <f>IFERROR(IF(INDEX([1]Pivot!$AD$1:$BE$65000,$B605,G$5)=1,1,IF(INDEX([1]Pivot!$B$1:$AB$65000,$B605,G$5)="",2,0)),0)</f>
        <v>0</v>
      </c>
      <c r="H605" s="194">
        <f>IFERROR(IF(INDEX([1]Pivot!$AD$1:$BE$65000,$B605,H$5)=1,1,IF(INDEX([1]Pivot!$B$1:$AB$65000,$B605,H$5)="",2,0)),0)</f>
        <v>0</v>
      </c>
      <c r="I605" s="194">
        <f>IFERROR(IF(INDEX([1]Pivot!$AD$1:$BE$65000,$B605,I$5)=1,1,IF(INDEX([1]Pivot!$B$1:$AB$65000,$B605,I$5)="",2,0)),0)</f>
        <v>0</v>
      </c>
      <c r="J605" s="194">
        <f>IFERROR(IF(INDEX([1]Pivot!$AD$1:$BE$65000,$B605,J$5)=1,1,IF(INDEX([1]Pivot!$B$1:$AB$65000,$B605,J$5)="",2,0)),0)</f>
        <v>0</v>
      </c>
      <c r="K605" s="194">
        <f>IFERROR(IF(INDEX([1]Pivot!$AD$1:$BE$65000,$B605,K$5)=1,1,IF(INDEX([1]Pivot!$B$1:$AB$65000,$B605,K$5)="",2,0)),0)</f>
        <v>0</v>
      </c>
      <c r="L605" s="194">
        <f>IFERROR(IF(INDEX([1]Pivot!$AD$1:$BE$65000,$B605,L$5)=1,1,IF(INDEX([1]Pivot!$B$1:$AB$65000,$B605,L$5)="",2,0)),0)</f>
        <v>0</v>
      </c>
      <c r="M605" s="194">
        <f>IFERROR(IF(INDEX([1]Pivot!$AD$1:$BE$65000,$B605,M$5)=1,1,IF(INDEX([1]Pivot!$B$1:$AB$65000,$B605,M$5)="",2,0)),0)</f>
        <v>0</v>
      </c>
      <c r="N605" s="194">
        <f>IFERROR(IF(INDEX([1]Pivot!$AD$1:$BE$65000,$B605,N$5)=1,1,IF(INDEX([1]Pivot!$B$1:$AB$65000,$B605,N$5)="",2,0)),0)</f>
        <v>0</v>
      </c>
      <c r="O605" s="194">
        <f>IFERROR(IF(INDEX([1]Pivot!$AD$1:$BE$65000,$B605,O$5)=1,1,IF(INDEX([1]Pivot!$B$1:$AB$65000,$B605,O$5)="",2,0)),0)</f>
        <v>0</v>
      </c>
      <c r="P605" s="194">
        <f>IFERROR(IF(INDEX([1]Pivot!$AD$1:$BE$65000,$B605,P$5)=1,1,IF(INDEX([1]Pivot!$B$1:$AB$65000,$B605,P$5)="",2,0)),0)</f>
        <v>0</v>
      </c>
      <c r="Q605" s="194">
        <f>IFERROR(IF(INDEX([1]Pivot!$AD$1:$BE$65000,$B605,Q$5)=1,1,IF(INDEX([1]Pivot!$B$1:$AB$65000,$B605,Q$5)="",2,0)),0)</f>
        <v>0</v>
      </c>
      <c r="R605" s="312"/>
      <c r="S605" s="194">
        <f>IFERROR(IF(INDEX([1]Pivot!$AD$1:$BE$65000,$B605,S$5)=1,1,IF(INDEX([1]Pivot!$B$1:$AB$65000,$B605,S$5)="",2,0)),0)</f>
        <v>0</v>
      </c>
      <c r="T605" s="194">
        <f>IFERROR(IF(INDEX([1]Pivot!$AD$1:$BE$65000,$B605,T$5)=1,1,IF(INDEX([1]Pivot!$B$1:$AB$65000,$B605,T$5)="",2,0)),0)</f>
        <v>0</v>
      </c>
      <c r="U605" s="194">
        <f>IFERROR(IF(INDEX([1]Pivot!$AD$1:$BE$65000,$B605,U$5)=1,1,IF(INDEX([1]Pivot!$B$1:$AB$65000,$B605,U$5)="",2,0)),0)</f>
        <v>0</v>
      </c>
      <c r="V605" s="194">
        <f>IFERROR(IF(INDEX([1]Pivot!$AD$1:$BE$65000,$B605,V$5)=1,1,IF(INDEX([1]Pivot!$B$1:$AB$65000,$B605,V$5)="",2,0)),0)</f>
        <v>0</v>
      </c>
      <c r="W605" s="194">
        <f>IFERROR(IF(INDEX([1]Pivot!$AD$1:$BE$65000,$B605,W$5)=1,1,IF(INDEX([1]Pivot!$B$1:$AB$65000,$B605,W$5)="",2,0)),0)</f>
        <v>0</v>
      </c>
      <c r="X605" s="194">
        <f>IFERROR(IF(INDEX([1]Pivot!$AD$1:$BE$65000,$B605,X$5)=1,1,IF(INDEX([1]Pivot!$B$1:$AB$65000,$B605,X$5)="",2,0)),0)</f>
        <v>0</v>
      </c>
      <c r="Y605" s="194">
        <f>IFERROR(IF(INDEX([1]Pivot!$AD$1:$BE$65000,$B605,Y$5)=1,1,IF(INDEX([1]Pivot!$B$1:$AB$65000,$B605,Y$5)="",2,0)),0)</f>
        <v>0</v>
      </c>
      <c r="Z605" s="194">
        <f>IFERROR(IF(INDEX([1]Pivot!$AD$1:$BE$65000,$B605,Z$5)=1,1,IF(INDEX([1]Pivot!$B$1:$AB$65000,$B605,Z$5)="",2,0)),0)</f>
        <v>0</v>
      </c>
      <c r="AA605" s="194">
        <f>IFERROR(IF(INDEX([1]Pivot!$AD$1:$BE$65000,$B605,AA$5)=1,1,IF(INDEX([1]Pivot!$B$1:$AB$65000,$B605,AA$5)="",2,0)),0)</f>
        <v>0</v>
      </c>
      <c r="AB605" s="194">
        <f>IFERROR(IF(INDEX([1]Pivot!$AD$1:$BE$65000,$B605,AB$5)=1,1,IF(INDEX([1]Pivot!$B$1:$AB$65000,$B605,AB$5)="",2,0)),0)</f>
        <v>0</v>
      </c>
      <c r="AC605" s="194">
        <f>IFERROR(IF(INDEX([1]Pivot!$AD$1:$BE$65000,$B605,AC$5)=1,1,IF(INDEX([1]Pivot!$B$1:$AB$65000,$B605,AC$5)="",2,0)),0)</f>
        <v>0</v>
      </c>
      <c r="AD605" s="313">
        <f>IFERROR(IF(INDEX([1]Pivot!$BF$1:$CG$65000,$B605,AD$5)=1,1,IF(INDEX([1]Pivot!$B$1:$AB$65000,$B605,AD$5)="",2,0)),0)</f>
        <v>0</v>
      </c>
      <c r="AE605" s="313">
        <f>IFERROR(IF(INDEX([1]Pivot!$BF$1:$CG$65000,$B605,AE$5)=1,1,IF(INDEX([1]Pivot!$B$1:$AB$65000,$B605,AE$5)="",2,0)),0)</f>
        <v>0</v>
      </c>
      <c r="AF605" s="313">
        <f>IFERROR(IF(INDEX([1]Pivot!$BF$1:$CG$65000,$B605,AF$5)=1,1,IF(INDEX([1]Pivot!$B$1:$AB$65000,$B605,AF$5)="",2,0)),0)</f>
        <v>0</v>
      </c>
      <c r="AG605" s="313">
        <f>IFERROR(IF(INDEX([1]Pivot!$BF$1:$CG$65000,$B605,AG$5)=1,1,IF(INDEX([1]Pivot!$B$1:$AB$65000,$B605,AG$5)="",2,0)),0)</f>
        <v>0</v>
      </c>
      <c r="AH605" s="313">
        <f>IFERROR(IF(INDEX([1]Pivot!$BF$1:$CG$65000,$B605,AH$5)=1,1,IF(INDEX([1]Pivot!$B$1:$AB$65000,$B605,AH$5)="",2,0)),0)</f>
        <v>0</v>
      </c>
      <c r="AI605" s="313">
        <f>IFERROR(IF(INDEX([1]Pivot!$BF$1:$CG$65000,$B605,AI$5)=1,1,IF(INDEX([1]Pivot!$B$1:$AB$65000,$B605,AI$5)="",2,0)),0)</f>
        <v>0</v>
      </c>
      <c r="AJ605" s="313">
        <f>IFERROR(IF(INDEX([1]Pivot!$BF$1:$CG$65000,$B605,AJ$5)=1,1,IF(INDEX([1]Pivot!$B$1:$AB$65000,$B605,AJ$5)="",2,0)),0)</f>
        <v>0</v>
      </c>
      <c r="AK605" s="313">
        <f>IFERROR(IF(INDEX([1]Pivot!$BF$1:$CG$65000,$B605,AK$5)=1,1,IF(INDEX([1]Pivot!$B$1:$AB$65000,$B605,AK$5)="",2,0)),0)</f>
        <v>0</v>
      </c>
      <c r="AL605" s="313">
        <f>IFERROR(IF(INDEX([1]Pivot!$BF$1:$CG$65000,$B605,AL$5)=1,1,IF(INDEX([1]Pivot!$B$1:$AB$65000,$B605,AL$5)="",2,0)),0)</f>
        <v>0</v>
      </c>
      <c r="AM605" s="313">
        <f>IFERROR(IF(INDEX([1]Pivot!$BF$1:$CG$65000,$B605,AM$5)=1,1,IF(INDEX([1]Pivot!$B$1:$AB$65000,$B605,AM$5)="",2,0)),0)</f>
        <v>0</v>
      </c>
      <c r="AN605" s="313">
        <f>IFERROR(IF(INDEX([1]Pivot!$BF$1:$CG$65000,$B605,AN$5)=1,1,IF(INDEX([1]Pivot!$B$1:$AB$65000,$B605,AN$5)="",2,0)),0)</f>
        <v>0</v>
      </c>
      <c r="AO605" s="313">
        <f>IFERROR(IF(INDEX([1]Pivot!$BF$1:$CG$65000,$B605,AO$5)=1,1,IF(INDEX([1]Pivot!$B$1:$AB$65000,$B605,AO$5)="",2,0)),0)</f>
        <v>0</v>
      </c>
      <c r="AP605" s="313">
        <f>IFERROR(IF(INDEX([1]Pivot!$BF$1:$CG$65000,$B605,AP$5)=1,1,IF(INDEX([1]Pivot!$B$1:$AB$65000,$B605,AP$5)="",2,0)),0)</f>
        <v>0</v>
      </c>
      <c r="AQ605" s="313">
        <f>IFERROR(IF(INDEX([1]Pivot!$BF$1:$CG$65000,$B605,AQ$5)=1,1,IF(INDEX([1]Pivot!$B$1:$AB$65000,$B605,AQ$5)="",2,0)),0)</f>
        <v>0</v>
      </c>
      <c r="AR605" s="313">
        <f>IFERROR(IF(INDEX([1]Pivot!$BF$1:$CG$65000,$B605,AR$5)=1,1,IF(INDEX([1]Pivot!$B$1:$AB$65000,$B605,AR$5)="",2,0)),0)</f>
        <v>0</v>
      </c>
      <c r="AS605" s="312"/>
      <c r="AT605" s="313">
        <f>IFERROR(IF(INDEX([1]Pivot!$BF$1:$CG$65000,$B605,AT$5)=1,1,IF(INDEX([1]Pivot!$B$1:$AB$65000,$B605,AT$5)="",2,0)),0)</f>
        <v>0</v>
      </c>
      <c r="AU605" s="313">
        <f>IFERROR(IF(INDEX([1]Pivot!$BF$1:$CG$65000,$B605,AU$5)=1,1,IF(INDEX([1]Pivot!$B$1:$AB$65000,$B605,AU$5)="",2,0)),0)</f>
        <v>0</v>
      </c>
      <c r="AV605" s="313">
        <f>IFERROR(IF(INDEX([1]Pivot!$BF$1:$CG$65000,$B605,AV$5)=1,1,IF(INDEX([1]Pivot!$B$1:$AB$65000,$B605,AV$5)="",2,0)),0)</f>
        <v>0</v>
      </c>
      <c r="AW605" s="313">
        <f>IFERROR(IF(INDEX([1]Pivot!$BF$1:$CG$65000,$B605,AW$5)=1,1,IF(INDEX([1]Pivot!$B$1:$AB$65000,$B605,AW$5)="",2,0)),0)</f>
        <v>0</v>
      </c>
      <c r="AX605" s="313">
        <f>IFERROR(IF(INDEX([1]Pivot!$BF$1:$CG$65000,$B605,AX$5)=1,1,IF(INDEX([1]Pivot!$B$1:$AB$65000,$B605,AX$5)="",2,0)),0)</f>
        <v>0</v>
      </c>
      <c r="AY605" s="313">
        <f>IFERROR(IF(INDEX([1]Pivot!$BF$1:$CG$65000,$B605,AY$5)=1,1,IF(INDEX([1]Pivot!$B$1:$AB$65000,$B605,AY$5)="",2,0)),0)</f>
        <v>0</v>
      </c>
      <c r="AZ605" s="313">
        <f>IFERROR(IF(INDEX([1]Pivot!$BF$1:$CG$65000,$B605,AZ$5)=1,1,IF(INDEX([1]Pivot!$B$1:$AB$65000,$B605,AZ$5)="",2,0)),0)</f>
        <v>0</v>
      </c>
      <c r="BA605" s="313">
        <f>IFERROR(IF(INDEX([1]Pivot!$BF$1:$CG$65000,$B605,BA$5)=1,1,IF(INDEX([1]Pivot!$B$1:$AB$65000,$B605,BA$5)="",2,0)),0)</f>
        <v>0</v>
      </c>
      <c r="BB605" s="313">
        <f>IFERROR(IF(INDEX([1]Pivot!$BF$1:$CG$65000,$B605,BB$5)=1,1,IF(INDEX([1]Pivot!$B$1:$AB$65000,$B605,BB$5)="",2,0)),0)</f>
        <v>0</v>
      </c>
      <c r="BC605" s="313">
        <f>IFERROR(IF(INDEX([1]Pivot!$BF$1:$CG$65000,$B605,BC$5)=1,1,IF(INDEX([1]Pivot!$B$1:$AB$65000,$B605,BC$5)="",2,0)),0)</f>
        <v>0</v>
      </c>
      <c r="BD605" s="313">
        <f>IFERROR(IF(INDEX([1]Pivot!$BF$1:$CG$65000,$B605,BD$5)=1,1,IF(INDEX([1]Pivot!$B$1:$AB$65000,$B605,BD$5)="",2,0)),0)</f>
        <v>0</v>
      </c>
    </row>
    <row r="606" spans="1:56" x14ac:dyDescent="0.25">
      <c r="A606" s="288" t="str">
        <f>'[2]Raw Milk Prices'!A606</f>
        <v>2026m11</v>
      </c>
      <c r="B606" s="296" t="e">
        <f>MATCH(DATE(LEFT('[2]Raw Milk Prices'!$A606,4),RIGHT('[2]Raw Milk Prices'!$A606,2),1),[1]Pivot!$A$1:$A$65000,0)</f>
        <v>#N/A</v>
      </c>
      <c r="C606" s="194">
        <f>IFERROR(IF(INDEX([1]Pivot!$AD$1:$BE$65000,$B606,C$5)=1,1,IF(INDEX([1]Pivot!$B$1:$AB$65000,$B606,C$5)="",2,0)),0)</f>
        <v>0</v>
      </c>
      <c r="D606" s="194">
        <f>IFERROR(IF(INDEX([1]Pivot!$AD$1:$BE$65000,$B606,D$5)=1,1,IF(INDEX([1]Pivot!$B$1:$AB$65000,$B606,D$5)="",2,0)),0)</f>
        <v>0</v>
      </c>
      <c r="E606" s="194">
        <f>IFERROR(IF(INDEX([1]Pivot!$AD$1:$BE$65000,$B606,E$5)=1,1,IF(INDEX([1]Pivot!$B$1:$AB$65000,$B606,E$5)="",2,0)),0)</f>
        <v>0</v>
      </c>
      <c r="F606" s="194">
        <f>IFERROR(IF(INDEX([1]Pivot!$AD$1:$BE$65000,$B606,F$5)=1,1,IF(INDEX([1]Pivot!$B$1:$AB$65000,$B606,F$5)="",2,0)),0)</f>
        <v>0</v>
      </c>
      <c r="G606" s="194">
        <f>IFERROR(IF(INDEX([1]Pivot!$AD$1:$BE$65000,$B606,G$5)=1,1,IF(INDEX([1]Pivot!$B$1:$AB$65000,$B606,G$5)="",2,0)),0)</f>
        <v>0</v>
      </c>
      <c r="H606" s="194">
        <f>IFERROR(IF(INDEX([1]Pivot!$AD$1:$BE$65000,$B606,H$5)=1,1,IF(INDEX([1]Pivot!$B$1:$AB$65000,$B606,H$5)="",2,0)),0)</f>
        <v>0</v>
      </c>
      <c r="I606" s="194">
        <f>IFERROR(IF(INDEX([1]Pivot!$AD$1:$BE$65000,$B606,I$5)=1,1,IF(INDEX([1]Pivot!$B$1:$AB$65000,$B606,I$5)="",2,0)),0)</f>
        <v>0</v>
      </c>
      <c r="J606" s="194">
        <f>IFERROR(IF(INDEX([1]Pivot!$AD$1:$BE$65000,$B606,J$5)=1,1,IF(INDEX([1]Pivot!$B$1:$AB$65000,$B606,J$5)="",2,0)),0)</f>
        <v>0</v>
      </c>
      <c r="K606" s="194">
        <f>IFERROR(IF(INDEX([1]Pivot!$AD$1:$BE$65000,$B606,K$5)=1,1,IF(INDEX([1]Pivot!$B$1:$AB$65000,$B606,K$5)="",2,0)),0)</f>
        <v>0</v>
      </c>
      <c r="L606" s="194">
        <f>IFERROR(IF(INDEX([1]Pivot!$AD$1:$BE$65000,$B606,L$5)=1,1,IF(INDEX([1]Pivot!$B$1:$AB$65000,$B606,L$5)="",2,0)),0)</f>
        <v>0</v>
      </c>
      <c r="M606" s="194">
        <f>IFERROR(IF(INDEX([1]Pivot!$AD$1:$BE$65000,$B606,M$5)=1,1,IF(INDEX([1]Pivot!$B$1:$AB$65000,$B606,M$5)="",2,0)),0)</f>
        <v>0</v>
      </c>
      <c r="N606" s="194">
        <f>IFERROR(IF(INDEX([1]Pivot!$AD$1:$BE$65000,$B606,N$5)=1,1,IF(INDEX([1]Pivot!$B$1:$AB$65000,$B606,N$5)="",2,0)),0)</f>
        <v>0</v>
      </c>
      <c r="O606" s="194">
        <f>IFERROR(IF(INDEX([1]Pivot!$AD$1:$BE$65000,$B606,O$5)=1,1,IF(INDEX([1]Pivot!$B$1:$AB$65000,$B606,O$5)="",2,0)),0)</f>
        <v>0</v>
      </c>
      <c r="P606" s="194">
        <f>IFERROR(IF(INDEX([1]Pivot!$AD$1:$BE$65000,$B606,P$5)=1,1,IF(INDEX([1]Pivot!$B$1:$AB$65000,$B606,P$5)="",2,0)),0)</f>
        <v>0</v>
      </c>
      <c r="Q606" s="194">
        <f>IFERROR(IF(INDEX([1]Pivot!$AD$1:$BE$65000,$B606,Q$5)=1,1,IF(INDEX([1]Pivot!$B$1:$AB$65000,$B606,Q$5)="",2,0)),0)</f>
        <v>0</v>
      </c>
      <c r="R606" s="312"/>
      <c r="S606" s="194">
        <f>IFERROR(IF(INDEX([1]Pivot!$AD$1:$BE$65000,$B606,S$5)=1,1,IF(INDEX([1]Pivot!$B$1:$AB$65000,$B606,S$5)="",2,0)),0)</f>
        <v>0</v>
      </c>
      <c r="T606" s="194">
        <f>IFERROR(IF(INDEX([1]Pivot!$AD$1:$BE$65000,$B606,T$5)=1,1,IF(INDEX([1]Pivot!$B$1:$AB$65000,$B606,T$5)="",2,0)),0)</f>
        <v>0</v>
      </c>
      <c r="U606" s="194">
        <f>IFERROR(IF(INDEX([1]Pivot!$AD$1:$BE$65000,$B606,U$5)=1,1,IF(INDEX([1]Pivot!$B$1:$AB$65000,$B606,U$5)="",2,0)),0)</f>
        <v>0</v>
      </c>
      <c r="V606" s="194">
        <f>IFERROR(IF(INDEX([1]Pivot!$AD$1:$BE$65000,$B606,V$5)=1,1,IF(INDEX([1]Pivot!$B$1:$AB$65000,$B606,V$5)="",2,0)),0)</f>
        <v>0</v>
      </c>
      <c r="W606" s="194">
        <f>IFERROR(IF(INDEX([1]Pivot!$AD$1:$BE$65000,$B606,W$5)=1,1,IF(INDEX([1]Pivot!$B$1:$AB$65000,$B606,W$5)="",2,0)),0)</f>
        <v>0</v>
      </c>
      <c r="X606" s="194">
        <f>IFERROR(IF(INDEX([1]Pivot!$AD$1:$BE$65000,$B606,X$5)=1,1,IF(INDEX([1]Pivot!$B$1:$AB$65000,$B606,X$5)="",2,0)),0)</f>
        <v>0</v>
      </c>
      <c r="Y606" s="194">
        <f>IFERROR(IF(INDEX([1]Pivot!$AD$1:$BE$65000,$B606,Y$5)=1,1,IF(INDEX([1]Pivot!$B$1:$AB$65000,$B606,Y$5)="",2,0)),0)</f>
        <v>0</v>
      </c>
      <c r="Z606" s="194">
        <f>IFERROR(IF(INDEX([1]Pivot!$AD$1:$BE$65000,$B606,Z$5)=1,1,IF(INDEX([1]Pivot!$B$1:$AB$65000,$B606,Z$5)="",2,0)),0)</f>
        <v>0</v>
      </c>
      <c r="AA606" s="194">
        <f>IFERROR(IF(INDEX([1]Pivot!$AD$1:$BE$65000,$B606,AA$5)=1,1,IF(INDEX([1]Pivot!$B$1:$AB$65000,$B606,AA$5)="",2,0)),0)</f>
        <v>0</v>
      </c>
      <c r="AB606" s="194">
        <f>IFERROR(IF(INDEX([1]Pivot!$AD$1:$BE$65000,$B606,AB$5)=1,1,IF(INDEX([1]Pivot!$B$1:$AB$65000,$B606,AB$5)="",2,0)),0)</f>
        <v>0</v>
      </c>
      <c r="AC606" s="194">
        <f>IFERROR(IF(INDEX([1]Pivot!$AD$1:$BE$65000,$B606,AC$5)=1,1,IF(INDEX([1]Pivot!$B$1:$AB$65000,$B606,AC$5)="",2,0)),0)</f>
        <v>0</v>
      </c>
      <c r="AD606" s="313">
        <f>IFERROR(IF(INDEX([1]Pivot!$BF$1:$CG$65000,$B606,AD$5)=1,1,IF(INDEX([1]Pivot!$B$1:$AB$65000,$B606,AD$5)="",2,0)),0)</f>
        <v>0</v>
      </c>
      <c r="AE606" s="313">
        <f>IFERROR(IF(INDEX([1]Pivot!$BF$1:$CG$65000,$B606,AE$5)=1,1,IF(INDEX([1]Pivot!$B$1:$AB$65000,$B606,AE$5)="",2,0)),0)</f>
        <v>0</v>
      </c>
      <c r="AF606" s="313">
        <f>IFERROR(IF(INDEX([1]Pivot!$BF$1:$CG$65000,$B606,AF$5)=1,1,IF(INDEX([1]Pivot!$B$1:$AB$65000,$B606,AF$5)="",2,0)),0)</f>
        <v>0</v>
      </c>
      <c r="AG606" s="313">
        <f>IFERROR(IF(INDEX([1]Pivot!$BF$1:$CG$65000,$B606,AG$5)=1,1,IF(INDEX([1]Pivot!$B$1:$AB$65000,$B606,AG$5)="",2,0)),0)</f>
        <v>0</v>
      </c>
      <c r="AH606" s="313">
        <f>IFERROR(IF(INDEX([1]Pivot!$BF$1:$CG$65000,$B606,AH$5)=1,1,IF(INDEX([1]Pivot!$B$1:$AB$65000,$B606,AH$5)="",2,0)),0)</f>
        <v>0</v>
      </c>
      <c r="AI606" s="313">
        <f>IFERROR(IF(INDEX([1]Pivot!$BF$1:$CG$65000,$B606,AI$5)=1,1,IF(INDEX([1]Pivot!$B$1:$AB$65000,$B606,AI$5)="",2,0)),0)</f>
        <v>0</v>
      </c>
      <c r="AJ606" s="313">
        <f>IFERROR(IF(INDEX([1]Pivot!$BF$1:$CG$65000,$B606,AJ$5)=1,1,IF(INDEX([1]Pivot!$B$1:$AB$65000,$B606,AJ$5)="",2,0)),0)</f>
        <v>0</v>
      </c>
      <c r="AK606" s="313">
        <f>IFERROR(IF(INDEX([1]Pivot!$BF$1:$CG$65000,$B606,AK$5)=1,1,IF(INDEX([1]Pivot!$B$1:$AB$65000,$B606,AK$5)="",2,0)),0)</f>
        <v>0</v>
      </c>
      <c r="AL606" s="313">
        <f>IFERROR(IF(INDEX([1]Pivot!$BF$1:$CG$65000,$B606,AL$5)=1,1,IF(INDEX([1]Pivot!$B$1:$AB$65000,$B606,AL$5)="",2,0)),0)</f>
        <v>0</v>
      </c>
      <c r="AM606" s="313">
        <f>IFERROR(IF(INDEX([1]Pivot!$BF$1:$CG$65000,$B606,AM$5)=1,1,IF(INDEX([1]Pivot!$B$1:$AB$65000,$B606,AM$5)="",2,0)),0)</f>
        <v>0</v>
      </c>
      <c r="AN606" s="313">
        <f>IFERROR(IF(INDEX([1]Pivot!$BF$1:$CG$65000,$B606,AN$5)=1,1,IF(INDEX([1]Pivot!$B$1:$AB$65000,$B606,AN$5)="",2,0)),0)</f>
        <v>0</v>
      </c>
      <c r="AO606" s="313">
        <f>IFERROR(IF(INDEX([1]Pivot!$BF$1:$CG$65000,$B606,AO$5)=1,1,IF(INDEX([1]Pivot!$B$1:$AB$65000,$B606,AO$5)="",2,0)),0)</f>
        <v>0</v>
      </c>
      <c r="AP606" s="313">
        <f>IFERROR(IF(INDEX([1]Pivot!$BF$1:$CG$65000,$B606,AP$5)=1,1,IF(INDEX([1]Pivot!$B$1:$AB$65000,$B606,AP$5)="",2,0)),0)</f>
        <v>0</v>
      </c>
      <c r="AQ606" s="313">
        <f>IFERROR(IF(INDEX([1]Pivot!$BF$1:$CG$65000,$B606,AQ$5)=1,1,IF(INDEX([1]Pivot!$B$1:$AB$65000,$B606,AQ$5)="",2,0)),0)</f>
        <v>0</v>
      </c>
      <c r="AR606" s="313">
        <f>IFERROR(IF(INDEX([1]Pivot!$BF$1:$CG$65000,$B606,AR$5)=1,1,IF(INDEX([1]Pivot!$B$1:$AB$65000,$B606,AR$5)="",2,0)),0)</f>
        <v>0</v>
      </c>
      <c r="AS606" s="312"/>
      <c r="AT606" s="313">
        <f>IFERROR(IF(INDEX([1]Pivot!$BF$1:$CG$65000,$B606,AT$5)=1,1,IF(INDEX([1]Pivot!$B$1:$AB$65000,$B606,AT$5)="",2,0)),0)</f>
        <v>0</v>
      </c>
      <c r="AU606" s="313">
        <f>IFERROR(IF(INDEX([1]Pivot!$BF$1:$CG$65000,$B606,AU$5)=1,1,IF(INDEX([1]Pivot!$B$1:$AB$65000,$B606,AU$5)="",2,0)),0)</f>
        <v>0</v>
      </c>
      <c r="AV606" s="313">
        <f>IFERROR(IF(INDEX([1]Pivot!$BF$1:$CG$65000,$B606,AV$5)=1,1,IF(INDEX([1]Pivot!$B$1:$AB$65000,$B606,AV$5)="",2,0)),0)</f>
        <v>0</v>
      </c>
      <c r="AW606" s="313">
        <f>IFERROR(IF(INDEX([1]Pivot!$BF$1:$CG$65000,$B606,AW$5)=1,1,IF(INDEX([1]Pivot!$B$1:$AB$65000,$B606,AW$5)="",2,0)),0)</f>
        <v>0</v>
      </c>
      <c r="AX606" s="313">
        <f>IFERROR(IF(INDEX([1]Pivot!$BF$1:$CG$65000,$B606,AX$5)=1,1,IF(INDEX([1]Pivot!$B$1:$AB$65000,$B606,AX$5)="",2,0)),0)</f>
        <v>0</v>
      </c>
      <c r="AY606" s="313">
        <f>IFERROR(IF(INDEX([1]Pivot!$BF$1:$CG$65000,$B606,AY$5)=1,1,IF(INDEX([1]Pivot!$B$1:$AB$65000,$B606,AY$5)="",2,0)),0)</f>
        <v>0</v>
      </c>
      <c r="AZ606" s="313">
        <f>IFERROR(IF(INDEX([1]Pivot!$BF$1:$CG$65000,$B606,AZ$5)=1,1,IF(INDEX([1]Pivot!$B$1:$AB$65000,$B606,AZ$5)="",2,0)),0)</f>
        <v>0</v>
      </c>
      <c r="BA606" s="313">
        <f>IFERROR(IF(INDEX([1]Pivot!$BF$1:$CG$65000,$B606,BA$5)=1,1,IF(INDEX([1]Pivot!$B$1:$AB$65000,$B606,BA$5)="",2,0)),0)</f>
        <v>0</v>
      </c>
      <c r="BB606" s="313">
        <f>IFERROR(IF(INDEX([1]Pivot!$BF$1:$CG$65000,$B606,BB$5)=1,1,IF(INDEX([1]Pivot!$B$1:$AB$65000,$B606,BB$5)="",2,0)),0)</f>
        <v>0</v>
      </c>
      <c r="BC606" s="313">
        <f>IFERROR(IF(INDEX([1]Pivot!$BF$1:$CG$65000,$B606,BC$5)=1,1,IF(INDEX([1]Pivot!$B$1:$AB$65000,$B606,BC$5)="",2,0)),0)</f>
        <v>0</v>
      </c>
      <c r="BD606" s="313">
        <f>IFERROR(IF(INDEX([1]Pivot!$BF$1:$CG$65000,$B606,BD$5)=1,1,IF(INDEX([1]Pivot!$B$1:$AB$65000,$B606,BD$5)="",2,0)),0)</f>
        <v>0</v>
      </c>
    </row>
    <row r="607" spans="1:56" x14ac:dyDescent="0.25">
      <c r="A607" s="288" t="str">
        <f>'[2]Raw Milk Prices'!A607</f>
        <v>2026m12</v>
      </c>
      <c r="B607" s="296" t="e">
        <f>MATCH(DATE(LEFT('[2]Raw Milk Prices'!$A607,4),RIGHT('[2]Raw Milk Prices'!$A607,2),1),[1]Pivot!$A$1:$A$65000,0)</f>
        <v>#N/A</v>
      </c>
      <c r="C607" s="194">
        <f>IFERROR(IF(INDEX([1]Pivot!$AD$1:$BE$65000,$B607,C$5)=1,1,IF(INDEX([1]Pivot!$B$1:$AB$65000,$B607,C$5)="",2,0)),0)</f>
        <v>0</v>
      </c>
      <c r="D607" s="194">
        <f>IFERROR(IF(INDEX([1]Pivot!$AD$1:$BE$65000,$B607,D$5)=1,1,IF(INDEX([1]Pivot!$B$1:$AB$65000,$B607,D$5)="",2,0)),0)</f>
        <v>0</v>
      </c>
      <c r="E607" s="194">
        <f>IFERROR(IF(INDEX([1]Pivot!$AD$1:$BE$65000,$B607,E$5)=1,1,IF(INDEX([1]Pivot!$B$1:$AB$65000,$B607,E$5)="",2,0)),0)</f>
        <v>0</v>
      </c>
      <c r="F607" s="194">
        <f>IFERROR(IF(INDEX([1]Pivot!$AD$1:$BE$65000,$B607,F$5)=1,1,IF(INDEX([1]Pivot!$B$1:$AB$65000,$B607,F$5)="",2,0)),0)</f>
        <v>0</v>
      </c>
      <c r="G607" s="194">
        <f>IFERROR(IF(INDEX([1]Pivot!$AD$1:$BE$65000,$B607,G$5)=1,1,IF(INDEX([1]Pivot!$B$1:$AB$65000,$B607,G$5)="",2,0)),0)</f>
        <v>0</v>
      </c>
      <c r="H607" s="194">
        <f>IFERROR(IF(INDEX([1]Pivot!$AD$1:$BE$65000,$B607,H$5)=1,1,IF(INDEX([1]Pivot!$B$1:$AB$65000,$B607,H$5)="",2,0)),0)</f>
        <v>0</v>
      </c>
      <c r="I607" s="194">
        <f>IFERROR(IF(INDEX([1]Pivot!$AD$1:$BE$65000,$B607,I$5)=1,1,IF(INDEX([1]Pivot!$B$1:$AB$65000,$B607,I$5)="",2,0)),0)</f>
        <v>0</v>
      </c>
      <c r="J607" s="194">
        <f>IFERROR(IF(INDEX([1]Pivot!$AD$1:$BE$65000,$B607,J$5)=1,1,IF(INDEX([1]Pivot!$B$1:$AB$65000,$B607,J$5)="",2,0)),0)</f>
        <v>0</v>
      </c>
      <c r="K607" s="194">
        <f>IFERROR(IF(INDEX([1]Pivot!$AD$1:$BE$65000,$B607,K$5)=1,1,IF(INDEX([1]Pivot!$B$1:$AB$65000,$B607,K$5)="",2,0)),0)</f>
        <v>0</v>
      </c>
      <c r="L607" s="194">
        <f>IFERROR(IF(INDEX([1]Pivot!$AD$1:$BE$65000,$B607,L$5)=1,1,IF(INDEX([1]Pivot!$B$1:$AB$65000,$B607,L$5)="",2,0)),0)</f>
        <v>0</v>
      </c>
      <c r="M607" s="194">
        <f>IFERROR(IF(INDEX([1]Pivot!$AD$1:$BE$65000,$B607,M$5)=1,1,IF(INDEX([1]Pivot!$B$1:$AB$65000,$B607,M$5)="",2,0)),0)</f>
        <v>0</v>
      </c>
      <c r="N607" s="194">
        <f>IFERROR(IF(INDEX([1]Pivot!$AD$1:$BE$65000,$B607,N$5)=1,1,IF(INDEX([1]Pivot!$B$1:$AB$65000,$B607,N$5)="",2,0)),0)</f>
        <v>0</v>
      </c>
      <c r="O607" s="194">
        <f>IFERROR(IF(INDEX([1]Pivot!$AD$1:$BE$65000,$B607,O$5)=1,1,IF(INDEX([1]Pivot!$B$1:$AB$65000,$B607,O$5)="",2,0)),0)</f>
        <v>0</v>
      </c>
      <c r="P607" s="194">
        <f>IFERROR(IF(INDEX([1]Pivot!$AD$1:$BE$65000,$B607,P$5)=1,1,IF(INDEX([1]Pivot!$B$1:$AB$65000,$B607,P$5)="",2,0)),0)</f>
        <v>0</v>
      </c>
      <c r="Q607" s="194">
        <f>IFERROR(IF(INDEX([1]Pivot!$AD$1:$BE$65000,$B607,Q$5)=1,1,IF(INDEX([1]Pivot!$B$1:$AB$65000,$B607,Q$5)="",2,0)),0)</f>
        <v>0</v>
      </c>
      <c r="R607" s="312"/>
      <c r="S607" s="194">
        <f>IFERROR(IF(INDEX([1]Pivot!$AD$1:$BE$65000,$B607,S$5)=1,1,IF(INDEX([1]Pivot!$B$1:$AB$65000,$B607,S$5)="",2,0)),0)</f>
        <v>0</v>
      </c>
      <c r="T607" s="194">
        <f>IFERROR(IF(INDEX([1]Pivot!$AD$1:$BE$65000,$B607,T$5)=1,1,IF(INDEX([1]Pivot!$B$1:$AB$65000,$B607,T$5)="",2,0)),0)</f>
        <v>0</v>
      </c>
      <c r="U607" s="194">
        <f>IFERROR(IF(INDEX([1]Pivot!$AD$1:$BE$65000,$B607,U$5)=1,1,IF(INDEX([1]Pivot!$B$1:$AB$65000,$B607,U$5)="",2,0)),0)</f>
        <v>0</v>
      </c>
      <c r="V607" s="194">
        <f>IFERROR(IF(INDEX([1]Pivot!$AD$1:$BE$65000,$B607,V$5)=1,1,IF(INDEX([1]Pivot!$B$1:$AB$65000,$B607,V$5)="",2,0)),0)</f>
        <v>0</v>
      </c>
      <c r="W607" s="194">
        <f>IFERROR(IF(INDEX([1]Pivot!$AD$1:$BE$65000,$B607,W$5)=1,1,IF(INDEX([1]Pivot!$B$1:$AB$65000,$B607,W$5)="",2,0)),0)</f>
        <v>0</v>
      </c>
      <c r="X607" s="194">
        <f>IFERROR(IF(INDEX([1]Pivot!$AD$1:$BE$65000,$B607,X$5)=1,1,IF(INDEX([1]Pivot!$B$1:$AB$65000,$B607,X$5)="",2,0)),0)</f>
        <v>0</v>
      </c>
      <c r="Y607" s="194">
        <f>IFERROR(IF(INDEX([1]Pivot!$AD$1:$BE$65000,$B607,Y$5)=1,1,IF(INDEX([1]Pivot!$B$1:$AB$65000,$B607,Y$5)="",2,0)),0)</f>
        <v>0</v>
      </c>
      <c r="Z607" s="194">
        <f>IFERROR(IF(INDEX([1]Pivot!$AD$1:$BE$65000,$B607,Z$5)=1,1,IF(INDEX([1]Pivot!$B$1:$AB$65000,$B607,Z$5)="",2,0)),0)</f>
        <v>0</v>
      </c>
      <c r="AA607" s="194">
        <f>IFERROR(IF(INDEX([1]Pivot!$AD$1:$BE$65000,$B607,AA$5)=1,1,IF(INDEX([1]Pivot!$B$1:$AB$65000,$B607,AA$5)="",2,0)),0)</f>
        <v>0</v>
      </c>
      <c r="AB607" s="194">
        <f>IFERROR(IF(INDEX([1]Pivot!$AD$1:$BE$65000,$B607,AB$5)=1,1,IF(INDEX([1]Pivot!$B$1:$AB$65000,$B607,AB$5)="",2,0)),0)</f>
        <v>0</v>
      </c>
      <c r="AC607" s="194">
        <f>IFERROR(IF(INDEX([1]Pivot!$AD$1:$BE$65000,$B607,AC$5)=1,1,IF(INDEX([1]Pivot!$B$1:$AB$65000,$B607,AC$5)="",2,0)),0)</f>
        <v>0</v>
      </c>
      <c r="AD607" s="313">
        <f>IFERROR(IF(INDEX([1]Pivot!$BF$1:$CG$65000,$B607,AD$5)=1,1,IF(INDEX([1]Pivot!$B$1:$AB$65000,$B607,AD$5)="",2,0)),0)</f>
        <v>0</v>
      </c>
      <c r="AE607" s="313">
        <f>IFERROR(IF(INDEX([1]Pivot!$BF$1:$CG$65000,$B607,AE$5)=1,1,IF(INDEX([1]Pivot!$B$1:$AB$65000,$B607,AE$5)="",2,0)),0)</f>
        <v>0</v>
      </c>
      <c r="AF607" s="313">
        <f>IFERROR(IF(INDEX([1]Pivot!$BF$1:$CG$65000,$B607,AF$5)=1,1,IF(INDEX([1]Pivot!$B$1:$AB$65000,$B607,AF$5)="",2,0)),0)</f>
        <v>0</v>
      </c>
      <c r="AG607" s="313">
        <f>IFERROR(IF(INDEX([1]Pivot!$BF$1:$CG$65000,$B607,AG$5)=1,1,IF(INDEX([1]Pivot!$B$1:$AB$65000,$B607,AG$5)="",2,0)),0)</f>
        <v>0</v>
      </c>
      <c r="AH607" s="313">
        <f>IFERROR(IF(INDEX([1]Pivot!$BF$1:$CG$65000,$B607,AH$5)=1,1,IF(INDEX([1]Pivot!$B$1:$AB$65000,$B607,AH$5)="",2,0)),0)</f>
        <v>0</v>
      </c>
      <c r="AI607" s="313">
        <f>IFERROR(IF(INDEX([1]Pivot!$BF$1:$CG$65000,$B607,AI$5)=1,1,IF(INDEX([1]Pivot!$B$1:$AB$65000,$B607,AI$5)="",2,0)),0)</f>
        <v>0</v>
      </c>
      <c r="AJ607" s="313">
        <f>IFERROR(IF(INDEX([1]Pivot!$BF$1:$CG$65000,$B607,AJ$5)=1,1,IF(INDEX([1]Pivot!$B$1:$AB$65000,$B607,AJ$5)="",2,0)),0)</f>
        <v>0</v>
      </c>
      <c r="AK607" s="313">
        <f>IFERROR(IF(INDEX([1]Pivot!$BF$1:$CG$65000,$B607,AK$5)=1,1,IF(INDEX([1]Pivot!$B$1:$AB$65000,$B607,AK$5)="",2,0)),0)</f>
        <v>0</v>
      </c>
      <c r="AL607" s="313">
        <f>IFERROR(IF(INDEX([1]Pivot!$BF$1:$CG$65000,$B607,AL$5)=1,1,IF(INDEX([1]Pivot!$B$1:$AB$65000,$B607,AL$5)="",2,0)),0)</f>
        <v>0</v>
      </c>
      <c r="AM607" s="313">
        <f>IFERROR(IF(INDEX([1]Pivot!$BF$1:$CG$65000,$B607,AM$5)=1,1,IF(INDEX([1]Pivot!$B$1:$AB$65000,$B607,AM$5)="",2,0)),0)</f>
        <v>0</v>
      </c>
      <c r="AN607" s="313">
        <f>IFERROR(IF(INDEX([1]Pivot!$BF$1:$CG$65000,$B607,AN$5)=1,1,IF(INDEX([1]Pivot!$B$1:$AB$65000,$B607,AN$5)="",2,0)),0)</f>
        <v>0</v>
      </c>
      <c r="AO607" s="313">
        <f>IFERROR(IF(INDEX([1]Pivot!$BF$1:$CG$65000,$B607,AO$5)=1,1,IF(INDEX([1]Pivot!$B$1:$AB$65000,$B607,AO$5)="",2,0)),0)</f>
        <v>0</v>
      </c>
      <c r="AP607" s="313">
        <f>IFERROR(IF(INDEX([1]Pivot!$BF$1:$CG$65000,$B607,AP$5)=1,1,IF(INDEX([1]Pivot!$B$1:$AB$65000,$B607,AP$5)="",2,0)),0)</f>
        <v>0</v>
      </c>
      <c r="AQ607" s="313">
        <f>IFERROR(IF(INDEX([1]Pivot!$BF$1:$CG$65000,$B607,AQ$5)=1,1,IF(INDEX([1]Pivot!$B$1:$AB$65000,$B607,AQ$5)="",2,0)),0)</f>
        <v>0</v>
      </c>
      <c r="AR607" s="313">
        <f>IFERROR(IF(INDEX([1]Pivot!$BF$1:$CG$65000,$B607,AR$5)=1,1,IF(INDEX([1]Pivot!$B$1:$AB$65000,$B607,AR$5)="",2,0)),0)</f>
        <v>0</v>
      </c>
      <c r="AS607" s="312"/>
      <c r="AT607" s="313">
        <f>IFERROR(IF(INDEX([1]Pivot!$BF$1:$CG$65000,$B607,AT$5)=1,1,IF(INDEX([1]Pivot!$B$1:$AB$65000,$B607,AT$5)="",2,0)),0)</f>
        <v>0</v>
      </c>
      <c r="AU607" s="313">
        <f>IFERROR(IF(INDEX([1]Pivot!$BF$1:$CG$65000,$B607,AU$5)=1,1,IF(INDEX([1]Pivot!$B$1:$AB$65000,$B607,AU$5)="",2,0)),0)</f>
        <v>0</v>
      </c>
      <c r="AV607" s="313">
        <f>IFERROR(IF(INDEX([1]Pivot!$BF$1:$CG$65000,$B607,AV$5)=1,1,IF(INDEX([1]Pivot!$B$1:$AB$65000,$B607,AV$5)="",2,0)),0)</f>
        <v>0</v>
      </c>
      <c r="AW607" s="313">
        <f>IFERROR(IF(INDEX([1]Pivot!$BF$1:$CG$65000,$B607,AW$5)=1,1,IF(INDEX([1]Pivot!$B$1:$AB$65000,$B607,AW$5)="",2,0)),0)</f>
        <v>0</v>
      </c>
      <c r="AX607" s="313">
        <f>IFERROR(IF(INDEX([1]Pivot!$BF$1:$CG$65000,$B607,AX$5)=1,1,IF(INDEX([1]Pivot!$B$1:$AB$65000,$B607,AX$5)="",2,0)),0)</f>
        <v>0</v>
      </c>
      <c r="AY607" s="313">
        <f>IFERROR(IF(INDEX([1]Pivot!$BF$1:$CG$65000,$B607,AY$5)=1,1,IF(INDEX([1]Pivot!$B$1:$AB$65000,$B607,AY$5)="",2,0)),0)</f>
        <v>0</v>
      </c>
      <c r="AZ607" s="313">
        <f>IFERROR(IF(INDEX([1]Pivot!$BF$1:$CG$65000,$B607,AZ$5)=1,1,IF(INDEX([1]Pivot!$B$1:$AB$65000,$B607,AZ$5)="",2,0)),0)</f>
        <v>0</v>
      </c>
      <c r="BA607" s="313">
        <f>IFERROR(IF(INDEX([1]Pivot!$BF$1:$CG$65000,$B607,BA$5)=1,1,IF(INDEX([1]Pivot!$B$1:$AB$65000,$B607,BA$5)="",2,0)),0)</f>
        <v>0</v>
      </c>
      <c r="BB607" s="313">
        <f>IFERROR(IF(INDEX([1]Pivot!$BF$1:$CG$65000,$B607,BB$5)=1,1,IF(INDEX([1]Pivot!$B$1:$AB$65000,$B607,BB$5)="",2,0)),0)</f>
        <v>0</v>
      </c>
      <c r="BC607" s="313">
        <f>IFERROR(IF(INDEX([1]Pivot!$BF$1:$CG$65000,$B607,BC$5)=1,1,IF(INDEX([1]Pivot!$B$1:$AB$65000,$B607,BC$5)="",2,0)),0)</f>
        <v>0</v>
      </c>
      <c r="BD607" s="313">
        <f>IFERROR(IF(INDEX([1]Pivot!$BF$1:$CG$65000,$B607,BD$5)=1,1,IF(INDEX([1]Pivot!$B$1:$AB$65000,$B607,BD$5)="",2,0)),0)</f>
        <v>0</v>
      </c>
    </row>
    <row r="608" spans="1:56" x14ac:dyDescent="0.25">
      <c r="A608" s="288">
        <f>'[2]Raw Milk Prices'!A608</f>
        <v>0</v>
      </c>
      <c r="B608" s="296" t="e">
        <f>MATCH(DATE(LEFT('[2]Raw Milk Prices'!$A608,4),RIGHT('[2]Raw Milk Prices'!$A608,2),1),[1]Pivot!$A$1:$A$65000,0)</f>
        <v>#VALUE!</v>
      </c>
      <c r="C608" s="194">
        <f>IFERROR(IF(INDEX([1]Pivot!$AD$1:$BE$65000,$B608,C$5)=1,1,IF(INDEX([1]Pivot!$B$1:$AB$65000,$B608,C$5)="",2,0)),0)</f>
        <v>0</v>
      </c>
      <c r="D608" s="194">
        <f>IFERROR(IF(INDEX([1]Pivot!$AD$1:$BE$65000,$B608,D$5)=1,1,IF(INDEX([1]Pivot!$B$1:$AB$65000,$B608,D$5)="",2,0)),0)</f>
        <v>0</v>
      </c>
      <c r="E608" s="194">
        <f>IFERROR(IF(INDEX([1]Pivot!$AD$1:$BE$65000,$B608,E$5)=1,1,IF(INDEX([1]Pivot!$B$1:$AB$65000,$B608,E$5)="",2,0)),0)</f>
        <v>0</v>
      </c>
      <c r="F608" s="194">
        <f>IFERROR(IF(INDEX([1]Pivot!$AD$1:$BE$65000,$B608,F$5)=1,1,IF(INDEX([1]Pivot!$B$1:$AB$65000,$B608,F$5)="",2,0)),0)</f>
        <v>0</v>
      </c>
      <c r="G608" s="194">
        <f>IFERROR(IF(INDEX([1]Pivot!$AD$1:$BE$65000,$B608,G$5)=1,1,IF(INDEX([1]Pivot!$B$1:$AB$65000,$B608,G$5)="",2,0)),0)</f>
        <v>0</v>
      </c>
      <c r="H608" s="194">
        <f>IFERROR(IF(INDEX([1]Pivot!$AD$1:$BE$65000,$B608,H$5)=1,1,IF(INDEX([1]Pivot!$B$1:$AB$65000,$B608,H$5)="",2,0)),0)</f>
        <v>0</v>
      </c>
      <c r="I608" s="194">
        <f>IFERROR(IF(INDEX([1]Pivot!$AD$1:$BE$65000,$B608,I$5)=1,1,IF(INDEX([1]Pivot!$B$1:$AB$65000,$B608,I$5)="",2,0)),0)</f>
        <v>0</v>
      </c>
      <c r="J608" s="194">
        <f>IFERROR(IF(INDEX([1]Pivot!$AD$1:$BE$65000,$B608,J$5)=1,1,IF(INDEX([1]Pivot!$B$1:$AB$65000,$B608,J$5)="",2,0)),0)</f>
        <v>0</v>
      </c>
      <c r="K608" s="194">
        <f>IFERROR(IF(INDEX([1]Pivot!$AD$1:$BE$65000,$B608,K$5)=1,1,IF(INDEX([1]Pivot!$B$1:$AB$65000,$B608,K$5)="",2,0)),0)</f>
        <v>0</v>
      </c>
      <c r="L608" s="194">
        <f>IFERROR(IF(INDEX([1]Pivot!$AD$1:$BE$65000,$B608,L$5)=1,1,IF(INDEX([1]Pivot!$B$1:$AB$65000,$B608,L$5)="",2,0)),0)</f>
        <v>0</v>
      </c>
      <c r="M608" s="194">
        <f>IFERROR(IF(INDEX([1]Pivot!$AD$1:$BE$65000,$B608,M$5)=1,1,IF(INDEX([1]Pivot!$B$1:$AB$65000,$B608,M$5)="",2,0)),0)</f>
        <v>0</v>
      </c>
      <c r="N608" s="194">
        <f>IFERROR(IF(INDEX([1]Pivot!$AD$1:$BE$65000,$B608,N$5)=1,1,IF(INDEX([1]Pivot!$B$1:$AB$65000,$B608,N$5)="",2,0)),0)</f>
        <v>0</v>
      </c>
      <c r="O608" s="194">
        <f>IFERROR(IF(INDEX([1]Pivot!$AD$1:$BE$65000,$B608,O$5)=1,1,IF(INDEX([1]Pivot!$B$1:$AB$65000,$B608,O$5)="",2,0)),0)</f>
        <v>0</v>
      </c>
      <c r="P608" s="194">
        <f>IFERROR(IF(INDEX([1]Pivot!$AD$1:$BE$65000,$B608,P$5)=1,1,IF(INDEX([1]Pivot!$B$1:$AB$65000,$B608,P$5)="",2,0)),0)</f>
        <v>0</v>
      </c>
      <c r="Q608" s="194">
        <f>IFERROR(IF(INDEX([1]Pivot!$AD$1:$BE$65000,$B608,Q$5)=1,1,IF(INDEX([1]Pivot!$B$1:$AB$65000,$B608,Q$5)="",2,0)),0)</f>
        <v>0</v>
      </c>
      <c r="R608" s="312"/>
      <c r="S608" s="194">
        <f>IFERROR(IF(INDEX([1]Pivot!$AD$1:$BE$65000,$B608,S$5)=1,1,IF(INDEX([1]Pivot!$B$1:$AB$65000,$B608,S$5)="",2,0)),0)</f>
        <v>0</v>
      </c>
      <c r="T608" s="194">
        <f>IFERROR(IF(INDEX([1]Pivot!$AD$1:$BE$65000,$B608,T$5)=1,1,IF(INDEX([1]Pivot!$B$1:$AB$65000,$B608,T$5)="",2,0)),0)</f>
        <v>0</v>
      </c>
      <c r="U608" s="194">
        <f>IFERROR(IF(INDEX([1]Pivot!$AD$1:$BE$65000,$B608,U$5)=1,1,IF(INDEX([1]Pivot!$B$1:$AB$65000,$B608,U$5)="",2,0)),0)</f>
        <v>0</v>
      </c>
      <c r="V608" s="194">
        <f>IFERROR(IF(INDEX([1]Pivot!$AD$1:$BE$65000,$B608,V$5)=1,1,IF(INDEX([1]Pivot!$B$1:$AB$65000,$B608,V$5)="",2,0)),0)</f>
        <v>0</v>
      </c>
      <c r="W608" s="194">
        <f>IFERROR(IF(INDEX([1]Pivot!$AD$1:$BE$65000,$B608,W$5)=1,1,IF(INDEX([1]Pivot!$B$1:$AB$65000,$B608,W$5)="",2,0)),0)</f>
        <v>0</v>
      </c>
      <c r="X608" s="194">
        <f>IFERROR(IF(INDEX([1]Pivot!$AD$1:$BE$65000,$B608,X$5)=1,1,IF(INDEX([1]Pivot!$B$1:$AB$65000,$B608,X$5)="",2,0)),0)</f>
        <v>0</v>
      </c>
      <c r="Y608" s="194">
        <f>IFERROR(IF(INDEX([1]Pivot!$AD$1:$BE$65000,$B608,Y$5)=1,1,IF(INDEX([1]Pivot!$B$1:$AB$65000,$B608,Y$5)="",2,0)),0)</f>
        <v>0</v>
      </c>
      <c r="Z608" s="194">
        <f>IFERROR(IF(INDEX([1]Pivot!$AD$1:$BE$65000,$B608,Z$5)=1,1,IF(INDEX([1]Pivot!$B$1:$AB$65000,$B608,Z$5)="",2,0)),0)</f>
        <v>0</v>
      </c>
      <c r="AA608" s="194">
        <f>IFERROR(IF(INDEX([1]Pivot!$AD$1:$BE$65000,$B608,AA$5)=1,1,IF(INDEX([1]Pivot!$B$1:$AB$65000,$B608,AA$5)="",2,0)),0)</f>
        <v>0</v>
      </c>
      <c r="AB608" s="194">
        <f>IFERROR(IF(INDEX([1]Pivot!$AD$1:$BE$65000,$B608,AB$5)=1,1,IF(INDEX([1]Pivot!$B$1:$AB$65000,$B608,AB$5)="",2,0)),0)</f>
        <v>0</v>
      </c>
      <c r="AC608" s="194">
        <f>IFERROR(IF(INDEX([1]Pivot!$AD$1:$BE$65000,$B608,AC$5)=1,1,IF(INDEX([1]Pivot!$B$1:$AB$65000,$B608,AC$5)="",2,0)),0)</f>
        <v>0</v>
      </c>
      <c r="AD608" s="313">
        <f>IFERROR(IF(INDEX([1]Pivot!$BF$1:$CG$65000,$B608,AD$5)=1,1,IF(INDEX([1]Pivot!$B$1:$AB$65000,$B608,AD$5)="",2,0)),0)</f>
        <v>0</v>
      </c>
      <c r="AE608" s="313">
        <f>IFERROR(IF(INDEX([1]Pivot!$BF$1:$CG$65000,$B608,AE$5)=1,1,IF(INDEX([1]Pivot!$B$1:$AB$65000,$B608,AE$5)="",2,0)),0)</f>
        <v>0</v>
      </c>
      <c r="AF608" s="313">
        <f>IFERROR(IF(INDEX([1]Pivot!$BF$1:$CG$65000,$B608,AF$5)=1,1,IF(INDEX([1]Pivot!$B$1:$AB$65000,$B608,AF$5)="",2,0)),0)</f>
        <v>0</v>
      </c>
      <c r="AG608" s="313">
        <f>IFERROR(IF(INDEX([1]Pivot!$BF$1:$CG$65000,$B608,AG$5)=1,1,IF(INDEX([1]Pivot!$B$1:$AB$65000,$B608,AG$5)="",2,0)),0)</f>
        <v>0</v>
      </c>
      <c r="AH608" s="313">
        <f>IFERROR(IF(INDEX([1]Pivot!$BF$1:$CG$65000,$B608,AH$5)=1,1,IF(INDEX([1]Pivot!$B$1:$AB$65000,$B608,AH$5)="",2,0)),0)</f>
        <v>0</v>
      </c>
      <c r="AI608" s="313">
        <f>IFERROR(IF(INDEX([1]Pivot!$BF$1:$CG$65000,$B608,AI$5)=1,1,IF(INDEX([1]Pivot!$B$1:$AB$65000,$B608,AI$5)="",2,0)),0)</f>
        <v>0</v>
      </c>
      <c r="AJ608" s="313">
        <f>IFERROR(IF(INDEX([1]Pivot!$BF$1:$CG$65000,$B608,AJ$5)=1,1,IF(INDEX([1]Pivot!$B$1:$AB$65000,$B608,AJ$5)="",2,0)),0)</f>
        <v>0</v>
      </c>
      <c r="AK608" s="313">
        <f>IFERROR(IF(INDEX([1]Pivot!$BF$1:$CG$65000,$B608,AK$5)=1,1,IF(INDEX([1]Pivot!$B$1:$AB$65000,$B608,AK$5)="",2,0)),0)</f>
        <v>0</v>
      </c>
      <c r="AL608" s="313">
        <f>IFERROR(IF(INDEX([1]Pivot!$BF$1:$CG$65000,$B608,AL$5)=1,1,IF(INDEX([1]Pivot!$B$1:$AB$65000,$B608,AL$5)="",2,0)),0)</f>
        <v>0</v>
      </c>
      <c r="AM608" s="313">
        <f>IFERROR(IF(INDEX([1]Pivot!$BF$1:$CG$65000,$B608,AM$5)=1,1,IF(INDEX([1]Pivot!$B$1:$AB$65000,$B608,AM$5)="",2,0)),0)</f>
        <v>0</v>
      </c>
      <c r="AN608" s="313">
        <f>IFERROR(IF(INDEX([1]Pivot!$BF$1:$CG$65000,$B608,AN$5)=1,1,IF(INDEX([1]Pivot!$B$1:$AB$65000,$B608,AN$5)="",2,0)),0)</f>
        <v>0</v>
      </c>
      <c r="AO608" s="313">
        <f>IFERROR(IF(INDEX([1]Pivot!$BF$1:$CG$65000,$B608,AO$5)=1,1,IF(INDEX([1]Pivot!$B$1:$AB$65000,$B608,AO$5)="",2,0)),0)</f>
        <v>0</v>
      </c>
      <c r="AP608" s="313">
        <f>IFERROR(IF(INDEX([1]Pivot!$BF$1:$CG$65000,$B608,AP$5)=1,1,IF(INDEX([1]Pivot!$B$1:$AB$65000,$B608,AP$5)="",2,0)),0)</f>
        <v>0</v>
      </c>
      <c r="AQ608" s="313">
        <f>IFERROR(IF(INDEX([1]Pivot!$BF$1:$CG$65000,$B608,AQ$5)=1,1,IF(INDEX([1]Pivot!$B$1:$AB$65000,$B608,AQ$5)="",2,0)),0)</f>
        <v>0</v>
      </c>
      <c r="AR608" s="313">
        <f>IFERROR(IF(INDEX([1]Pivot!$BF$1:$CG$65000,$B608,AR$5)=1,1,IF(INDEX([1]Pivot!$B$1:$AB$65000,$B608,AR$5)="",2,0)),0)</f>
        <v>0</v>
      </c>
      <c r="AS608" s="312"/>
      <c r="AT608" s="313">
        <f>IFERROR(IF(INDEX([1]Pivot!$BF$1:$CG$65000,$B608,AT$5)=1,1,IF(INDEX([1]Pivot!$B$1:$AB$65000,$B608,AT$5)="",2,0)),0)</f>
        <v>0</v>
      </c>
      <c r="AU608" s="313">
        <f>IFERROR(IF(INDEX([1]Pivot!$BF$1:$CG$65000,$B608,AU$5)=1,1,IF(INDEX([1]Pivot!$B$1:$AB$65000,$B608,AU$5)="",2,0)),0)</f>
        <v>0</v>
      </c>
      <c r="AV608" s="313">
        <f>IFERROR(IF(INDEX([1]Pivot!$BF$1:$CG$65000,$B608,AV$5)=1,1,IF(INDEX([1]Pivot!$B$1:$AB$65000,$B608,AV$5)="",2,0)),0)</f>
        <v>0</v>
      </c>
      <c r="AW608" s="313">
        <f>IFERROR(IF(INDEX([1]Pivot!$BF$1:$CG$65000,$B608,AW$5)=1,1,IF(INDEX([1]Pivot!$B$1:$AB$65000,$B608,AW$5)="",2,0)),0)</f>
        <v>0</v>
      </c>
      <c r="AX608" s="313">
        <f>IFERROR(IF(INDEX([1]Pivot!$BF$1:$CG$65000,$B608,AX$5)=1,1,IF(INDEX([1]Pivot!$B$1:$AB$65000,$B608,AX$5)="",2,0)),0)</f>
        <v>0</v>
      </c>
      <c r="AY608" s="313">
        <f>IFERROR(IF(INDEX([1]Pivot!$BF$1:$CG$65000,$B608,AY$5)=1,1,IF(INDEX([1]Pivot!$B$1:$AB$65000,$B608,AY$5)="",2,0)),0)</f>
        <v>0</v>
      </c>
      <c r="AZ608" s="313">
        <f>IFERROR(IF(INDEX([1]Pivot!$BF$1:$CG$65000,$B608,AZ$5)=1,1,IF(INDEX([1]Pivot!$B$1:$AB$65000,$B608,AZ$5)="",2,0)),0)</f>
        <v>0</v>
      </c>
      <c r="BA608" s="313">
        <f>IFERROR(IF(INDEX([1]Pivot!$BF$1:$CG$65000,$B608,BA$5)=1,1,IF(INDEX([1]Pivot!$B$1:$AB$65000,$B608,BA$5)="",2,0)),0)</f>
        <v>0</v>
      </c>
      <c r="BB608" s="313">
        <f>IFERROR(IF(INDEX([1]Pivot!$BF$1:$CG$65000,$B608,BB$5)=1,1,IF(INDEX([1]Pivot!$B$1:$AB$65000,$B608,BB$5)="",2,0)),0)</f>
        <v>0</v>
      </c>
      <c r="BC608" s="313">
        <f>IFERROR(IF(INDEX([1]Pivot!$BF$1:$CG$65000,$B608,BC$5)=1,1,IF(INDEX([1]Pivot!$B$1:$AB$65000,$B608,BC$5)="",2,0)),0)</f>
        <v>0</v>
      </c>
      <c r="BD608" s="313">
        <f>IFERROR(IF(INDEX([1]Pivot!$BF$1:$CG$65000,$B608,BD$5)=1,1,IF(INDEX([1]Pivot!$B$1:$AB$65000,$B608,BD$5)="",2,0)),0)</f>
        <v>0</v>
      </c>
    </row>
    <row r="609" spans="1:56" x14ac:dyDescent="0.25">
      <c r="A609" s="288">
        <f>'[2]Raw Milk Prices'!A609</f>
        <v>0</v>
      </c>
      <c r="B609" s="296" t="e">
        <f>MATCH(DATE(LEFT('[2]Raw Milk Prices'!$A609,4),RIGHT('[2]Raw Milk Prices'!$A609,2),1),[1]Pivot!$A$1:$A$65000,0)</f>
        <v>#VALUE!</v>
      </c>
      <c r="C609" s="194">
        <f>IFERROR(IF(INDEX([1]Pivot!$AD$1:$BE$65000,$B609,C$5)=1,1,IF(INDEX([1]Pivot!$B$1:$AB$65000,$B609,C$5)="",2,0)),0)</f>
        <v>0</v>
      </c>
      <c r="D609" s="194">
        <f>IFERROR(IF(INDEX([1]Pivot!$AD$1:$BE$65000,$B609,D$5)=1,1,IF(INDEX([1]Pivot!$B$1:$AB$65000,$B609,D$5)="",2,0)),0)</f>
        <v>0</v>
      </c>
      <c r="E609" s="194">
        <f>IFERROR(IF(INDEX([1]Pivot!$AD$1:$BE$65000,$B609,E$5)=1,1,IF(INDEX([1]Pivot!$B$1:$AB$65000,$B609,E$5)="",2,0)),0)</f>
        <v>0</v>
      </c>
      <c r="F609" s="194">
        <f>IFERROR(IF(INDEX([1]Pivot!$AD$1:$BE$65000,$B609,F$5)=1,1,IF(INDEX([1]Pivot!$B$1:$AB$65000,$B609,F$5)="",2,0)),0)</f>
        <v>0</v>
      </c>
      <c r="G609" s="194">
        <f>IFERROR(IF(INDEX([1]Pivot!$AD$1:$BE$65000,$B609,G$5)=1,1,IF(INDEX([1]Pivot!$B$1:$AB$65000,$B609,G$5)="",2,0)),0)</f>
        <v>0</v>
      </c>
      <c r="H609" s="194">
        <f>IFERROR(IF(INDEX([1]Pivot!$AD$1:$BE$65000,$B609,H$5)=1,1,IF(INDEX([1]Pivot!$B$1:$AB$65000,$B609,H$5)="",2,0)),0)</f>
        <v>0</v>
      </c>
      <c r="I609" s="194">
        <f>IFERROR(IF(INDEX([1]Pivot!$AD$1:$BE$65000,$B609,I$5)=1,1,IF(INDEX([1]Pivot!$B$1:$AB$65000,$B609,I$5)="",2,0)),0)</f>
        <v>0</v>
      </c>
      <c r="J609" s="194">
        <f>IFERROR(IF(INDEX([1]Pivot!$AD$1:$BE$65000,$B609,J$5)=1,1,IF(INDEX([1]Pivot!$B$1:$AB$65000,$B609,J$5)="",2,0)),0)</f>
        <v>0</v>
      </c>
      <c r="K609" s="194">
        <f>IFERROR(IF(INDEX([1]Pivot!$AD$1:$BE$65000,$B609,K$5)=1,1,IF(INDEX([1]Pivot!$B$1:$AB$65000,$B609,K$5)="",2,0)),0)</f>
        <v>0</v>
      </c>
      <c r="L609" s="194">
        <f>IFERROR(IF(INDEX([1]Pivot!$AD$1:$BE$65000,$B609,L$5)=1,1,IF(INDEX([1]Pivot!$B$1:$AB$65000,$B609,L$5)="",2,0)),0)</f>
        <v>0</v>
      </c>
      <c r="M609" s="194">
        <f>IFERROR(IF(INDEX([1]Pivot!$AD$1:$BE$65000,$B609,M$5)=1,1,IF(INDEX([1]Pivot!$B$1:$AB$65000,$B609,M$5)="",2,0)),0)</f>
        <v>0</v>
      </c>
      <c r="N609" s="194">
        <f>IFERROR(IF(INDEX([1]Pivot!$AD$1:$BE$65000,$B609,N$5)=1,1,IF(INDEX([1]Pivot!$B$1:$AB$65000,$B609,N$5)="",2,0)),0)</f>
        <v>0</v>
      </c>
      <c r="O609" s="194">
        <f>IFERROR(IF(INDEX([1]Pivot!$AD$1:$BE$65000,$B609,O$5)=1,1,IF(INDEX([1]Pivot!$B$1:$AB$65000,$B609,O$5)="",2,0)),0)</f>
        <v>0</v>
      </c>
      <c r="P609" s="194">
        <f>IFERROR(IF(INDEX([1]Pivot!$AD$1:$BE$65000,$B609,P$5)=1,1,IF(INDEX([1]Pivot!$B$1:$AB$65000,$B609,P$5)="",2,0)),0)</f>
        <v>0</v>
      </c>
      <c r="Q609" s="194">
        <f>IFERROR(IF(INDEX([1]Pivot!$AD$1:$BE$65000,$B609,Q$5)=1,1,IF(INDEX([1]Pivot!$B$1:$AB$65000,$B609,Q$5)="",2,0)),0)</f>
        <v>0</v>
      </c>
      <c r="R609" s="312"/>
      <c r="S609" s="194">
        <f>IFERROR(IF(INDEX([1]Pivot!$AD$1:$BE$65000,$B609,S$5)=1,1,IF(INDEX([1]Pivot!$B$1:$AB$65000,$B609,S$5)="",2,0)),0)</f>
        <v>0</v>
      </c>
      <c r="T609" s="194">
        <f>IFERROR(IF(INDEX([1]Pivot!$AD$1:$BE$65000,$B609,T$5)=1,1,IF(INDEX([1]Pivot!$B$1:$AB$65000,$B609,T$5)="",2,0)),0)</f>
        <v>0</v>
      </c>
      <c r="U609" s="194">
        <f>IFERROR(IF(INDEX([1]Pivot!$AD$1:$BE$65000,$B609,U$5)=1,1,IF(INDEX([1]Pivot!$B$1:$AB$65000,$B609,U$5)="",2,0)),0)</f>
        <v>0</v>
      </c>
      <c r="V609" s="194">
        <f>IFERROR(IF(INDEX([1]Pivot!$AD$1:$BE$65000,$B609,V$5)=1,1,IF(INDEX([1]Pivot!$B$1:$AB$65000,$B609,V$5)="",2,0)),0)</f>
        <v>0</v>
      </c>
      <c r="W609" s="194">
        <f>IFERROR(IF(INDEX([1]Pivot!$AD$1:$BE$65000,$B609,W$5)=1,1,IF(INDEX([1]Pivot!$B$1:$AB$65000,$B609,W$5)="",2,0)),0)</f>
        <v>0</v>
      </c>
      <c r="X609" s="194">
        <f>IFERROR(IF(INDEX([1]Pivot!$AD$1:$BE$65000,$B609,X$5)=1,1,IF(INDEX([1]Pivot!$B$1:$AB$65000,$B609,X$5)="",2,0)),0)</f>
        <v>0</v>
      </c>
      <c r="Y609" s="194">
        <f>IFERROR(IF(INDEX([1]Pivot!$AD$1:$BE$65000,$B609,Y$5)=1,1,IF(INDEX([1]Pivot!$B$1:$AB$65000,$B609,Y$5)="",2,0)),0)</f>
        <v>0</v>
      </c>
      <c r="Z609" s="194">
        <f>IFERROR(IF(INDEX([1]Pivot!$AD$1:$BE$65000,$B609,Z$5)=1,1,IF(INDEX([1]Pivot!$B$1:$AB$65000,$B609,Z$5)="",2,0)),0)</f>
        <v>0</v>
      </c>
      <c r="AA609" s="194">
        <f>IFERROR(IF(INDEX([1]Pivot!$AD$1:$BE$65000,$B609,AA$5)=1,1,IF(INDEX([1]Pivot!$B$1:$AB$65000,$B609,AA$5)="",2,0)),0)</f>
        <v>0</v>
      </c>
      <c r="AB609" s="194">
        <f>IFERROR(IF(INDEX([1]Pivot!$AD$1:$BE$65000,$B609,AB$5)=1,1,IF(INDEX([1]Pivot!$B$1:$AB$65000,$B609,AB$5)="",2,0)),0)</f>
        <v>0</v>
      </c>
      <c r="AC609" s="194">
        <f>IFERROR(IF(INDEX([1]Pivot!$AD$1:$BE$65000,$B609,AC$5)=1,1,IF(INDEX([1]Pivot!$B$1:$AB$65000,$B609,AC$5)="",2,0)),0)</f>
        <v>0</v>
      </c>
      <c r="AD609" s="313">
        <f>IFERROR(IF(INDEX([1]Pivot!$BF$1:$CG$65000,$B609,AD$5)=1,1,IF(INDEX([1]Pivot!$B$1:$AB$65000,$B609,AD$5)="",2,0)),0)</f>
        <v>0</v>
      </c>
      <c r="AE609" s="313">
        <f>IFERROR(IF(INDEX([1]Pivot!$BF$1:$CG$65000,$B609,AE$5)=1,1,IF(INDEX([1]Pivot!$B$1:$AB$65000,$B609,AE$5)="",2,0)),0)</f>
        <v>0</v>
      </c>
      <c r="AF609" s="313">
        <f>IFERROR(IF(INDEX([1]Pivot!$BF$1:$CG$65000,$B609,AF$5)=1,1,IF(INDEX([1]Pivot!$B$1:$AB$65000,$B609,AF$5)="",2,0)),0)</f>
        <v>0</v>
      </c>
      <c r="AG609" s="313">
        <f>IFERROR(IF(INDEX([1]Pivot!$BF$1:$CG$65000,$B609,AG$5)=1,1,IF(INDEX([1]Pivot!$B$1:$AB$65000,$B609,AG$5)="",2,0)),0)</f>
        <v>0</v>
      </c>
      <c r="AH609" s="313">
        <f>IFERROR(IF(INDEX([1]Pivot!$BF$1:$CG$65000,$B609,AH$5)=1,1,IF(INDEX([1]Pivot!$B$1:$AB$65000,$B609,AH$5)="",2,0)),0)</f>
        <v>0</v>
      </c>
      <c r="AI609" s="313">
        <f>IFERROR(IF(INDEX([1]Pivot!$BF$1:$CG$65000,$B609,AI$5)=1,1,IF(INDEX([1]Pivot!$B$1:$AB$65000,$B609,AI$5)="",2,0)),0)</f>
        <v>0</v>
      </c>
      <c r="AJ609" s="313">
        <f>IFERROR(IF(INDEX([1]Pivot!$BF$1:$CG$65000,$B609,AJ$5)=1,1,IF(INDEX([1]Pivot!$B$1:$AB$65000,$B609,AJ$5)="",2,0)),0)</f>
        <v>0</v>
      </c>
      <c r="AK609" s="313">
        <f>IFERROR(IF(INDEX([1]Pivot!$BF$1:$CG$65000,$B609,AK$5)=1,1,IF(INDEX([1]Pivot!$B$1:$AB$65000,$B609,AK$5)="",2,0)),0)</f>
        <v>0</v>
      </c>
      <c r="AL609" s="313">
        <f>IFERROR(IF(INDEX([1]Pivot!$BF$1:$CG$65000,$B609,AL$5)=1,1,IF(INDEX([1]Pivot!$B$1:$AB$65000,$B609,AL$5)="",2,0)),0)</f>
        <v>0</v>
      </c>
      <c r="AM609" s="313">
        <f>IFERROR(IF(INDEX([1]Pivot!$BF$1:$CG$65000,$B609,AM$5)=1,1,IF(INDEX([1]Pivot!$B$1:$AB$65000,$B609,AM$5)="",2,0)),0)</f>
        <v>0</v>
      </c>
      <c r="AN609" s="313">
        <f>IFERROR(IF(INDEX([1]Pivot!$BF$1:$CG$65000,$B609,AN$5)=1,1,IF(INDEX([1]Pivot!$B$1:$AB$65000,$B609,AN$5)="",2,0)),0)</f>
        <v>0</v>
      </c>
      <c r="AO609" s="313">
        <f>IFERROR(IF(INDEX([1]Pivot!$BF$1:$CG$65000,$B609,AO$5)=1,1,IF(INDEX([1]Pivot!$B$1:$AB$65000,$B609,AO$5)="",2,0)),0)</f>
        <v>0</v>
      </c>
      <c r="AP609" s="313">
        <f>IFERROR(IF(INDEX([1]Pivot!$BF$1:$CG$65000,$B609,AP$5)=1,1,IF(INDEX([1]Pivot!$B$1:$AB$65000,$B609,AP$5)="",2,0)),0)</f>
        <v>0</v>
      </c>
      <c r="AQ609" s="313">
        <f>IFERROR(IF(INDEX([1]Pivot!$BF$1:$CG$65000,$B609,AQ$5)=1,1,IF(INDEX([1]Pivot!$B$1:$AB$65000,$B609,AQ$5)="",2,0)),0)</f>
        <v>0</v>
      </c>
      <c r="AR609" s="313">
        <f>IFERROR(IF(INDEX([1]Pivot!$BF$1:$CG$65000,$B609,AR$5)=1,1,IF(INDEX([1]Pivot!$B$1:$AB$65000,$B609,AR$5)="",2,0)),0)</f>
        <v>0</v>
      </c>
      <c r="AS609" s="312"/>
      <c r="AT609" s="313">
        <f>IFERROR(IF(INDEX([1]Pivot!$BF$1:$CG$65000,$B609,AT$5)=1,1,IF(INDEX([1]Pivot!$B$1:$AB$65000,$B609,AT$5)="",2,0)),0)</f>
        <v>0</v>
      </c>
      <c r="AU609" s="313">
        <f>IFERROR(IF(INDEX([1]Pivot!$BF$1:$CG$65000,$B609,AU$5)=1,1,IF(INDEX([1]Pivot!$B$1:$AB$65000,$B609,AU$5)="",2,0)),0)</f>
        <v>0</v>
      </c>
      <c r="AV609" s="313">
        <f>IFERROR(IF(INDEX([1]Pivot!$BF$1:$CG$65000,$B609,AV$5)=1,1,IF(INDEX([1]Pivot!$B$1:$AB$65000,$B609,AV$5)="",2,0)),0)</f>
        <v>0</v>
      </c>
      <c r="AW609" s="313">
        <f>IFERROR(IF(INDEX([1]Pivot!$BF$1:$CG$65000,$B609,AW$5)=1,1,IF(INDEX([1]Pivot!$B$1:$AB$65000,$B609,AW$5)="",2,0)),0)</f>
        <v>0</v>
      </c>
      <c r="AX609" s="313">
        <f>IFERROR(IF(INDEX([1]Pivot!$BF$1:$CG$65000,$B609,AX$5)=1,1,IF(INDEX([1]Pivot!$B$1:$AB$65000,$B609,AX$5)="",2,0)),0)</f>
        <v>0</v>
      </c>
      <c r="AY609" s="313">
        <f>IFERROR(IF(INDEX([1]Pivot!$BF$1:$CG$65000,$B609,AY$5)=1,1,IF(INDEX([1]Pivot!$B$1:$AB$65000,$B609,AY$5)="",2,0)),0)</f>
        <v>0</v>
      </c>
      <c r="AZ609" s="313">
        <f>IFERROR(IF(INDEX([1]Pivot!$BF$1:$CG$65000,$B609,AZ$5)=1,1,IF(INDEX([1]Pivot!$B$1:$AB$65000,$B609,AZ$5)="",2,0)),0)</f>
        <v>0</v>
      </c>
      <c r="BA609" s="313">
        <f>IFERROR(IF(INDEX([1]Pivot!$BF$1:$CG$65000,$B609,BA$5)=1,1,IF(INDEX([1]Pivot!$B$1:$AB$65000,$B609,BA$5)="",2,0)),0)</f>
        <v>0</v>
      </c>
      <c r="BB609" s="313">
        <f>IFERROR(IF(INDEX([1]Pivot!$BF$1:$CG$65000,$B609,BB$5)=1,1,IF(INDEX([1]Pivot!$B$1:$AB$65000,$B609,BB$5)="",2,0)),0)</f>
        <v>0</v>
      </c>
      <c r="BC609" s="313">
        <f>IFERROR(IF(INDEX([1]Pivot!$BF$1:$CG$65000,$B609,BC$5)=1,1,IF(INDEX([1]Pivot!$B$1:$AB$65000,$B609,BC$5)="",2,0)),0)</f>
        <v>0</v>
      </c>
      <c r="BD609" s="313">
        <f>IFERROR(IF(INDEX([1]Pivot!$BF$1:$CG$65000,$B609,BD$5)=1,1,IF(INDEX([1]Pivot!$B$1:$AB$65000,$B609,BD$5)="",2,0)),0)</f>
        <v>0</v>
      </c>
    </row>
    <row r="610" spans="1:56" x14ac:dyDescent="0.25">
      <c r="A610" s="288">
        <f>'[2]Raw Milk Prices'!A610</f>
        <v>0</v>
      </c>
      <c r="B610" s="296" t="e">
        <f>MATCH(DATE(LEFT('[2]Raw Milk Prices'!$A610,4),RIGHT('[2]Raw Milk Prices'!$A610,2),1),[1]Pivot!$A$1:$A$65000,0)</f>
        <v>#VALUE!</v>
      </c>
      <c r="C610" s="194">
        <f>IFERROR(IF(INDEX([1]Pivot!$AD$1:$BE$65000,$B610,C$5)=1,1,IF(INDEX([1]Pivot!$B$1:$AB$65000,$B610,C$5)="",2,0)),0)</f>
        <v>0</v>
      </c>
      <c r="D610" s="194">
        <f>IFERROR(IF(INDEX([1]Pivot!$AD$1:$BE$65000,$B610,D$5)=1,1,IF(INDEX([1]Pivot!$B$1:$AB$65000,$B610,D$5)="",2,0)),0)</f>
        <v>0</v>
      </c>
      <c r="E610" s="194">
        <f>IFERROR(IF(INDEX([1]Pivot!$AD$1:$BE$65000,$B610,E$5)=1,1,IF(INDEX([1]Pivot!$B$1:$AB$65000,$B610,E$5)="",2,0)),0)</f>
        <v>0</v>
      </c>
      <c r="F610" s="194">
        <f>IFERROR(IF(INDEX([1]Pivot!$AD$1:$BE$65000,$B610,F$5)=1,1,IF(INDEX([1]Pivot!$B$1:$AB$65000,$B610,F$5)="",2,0)),0)</f>
        <v>0</v>
      </c>
      <c r="G610" s="194">
        <f>IFERROR(IF(INDEX([1]Pivot!$AD$1:$BE$65000,$B610,G$5)=1,1,IF(INDEX([1]Pivot!$B$1:$AB$65000,$B610,G$5)="",2,0)),0)</f>
        <v>0</v>
      </c>
      <c r="H610" s="194">
        <f>IFERROR(IF(INDEX([1]Pivot!$AD$1:$BE$65000,$B610,H$5)=1,1,IF(INDEX([1]Pivot!$B$1:$AB$65000,$B610,H$5)="",2,0)),0)</f>
        <v>0</v>
      </c>
      <c r="I610" s="194">
        <f>IFERROR(IF(INDEX([1]Pivot!$AD$1:$BE$65000,$B610,I$5)=1,1,IF(INDEX([1]Pivot!$B$1:$AB$65000,$B610,I$5)="",2,0)),0)</f>
        <v>0</v>
      </c>
      <c r="J610" s="194">
        <f>IFERROR(IF(INDEX([1]Pivot!$AD$1:$BE$65000,$B610,J$5)=1,1,IF(INDEX([1]Pivot!$B$1:$AB$65000,$B610,J$5)="",2,0)),0)</f>
        <v>0</v>
      </c>
      <c r="K610" s="194">
        <f>IFERROR(IF(INDEX([1]Pivot!$AD$1:$BE$65000,$B610,K$5)=1,1,IF(INDEX([1]Pivot!$B$1:$AB$65000,$B610,K$5)="",2,0)),0)</f>
        <v>0</v>
      </c>
      <c r="L610" s="194">
        <f>IFERROR(IF(INDEX([1]Pivot!$AD$1:$BE$65000,$B610,L$5)=1,1,IF(INDEX([1]Pivot!$B$1:$AB$65000,$B610,L$5)="",2,0)),0)</f>
        <v>0</v>
      </c>
      <c r="M610" s="194">
        <f>IFERROR(IF(INDEX([1]Pivot!$AD$1:$BE$65000,$B610,M$5)=1,1,IF(INDEX([1]Pivot!$B$1:$AB$65000,$B610,M$5)="",2,0)),0)</f>
        <v>0</v>
      </c>
      <c r="N610" s="194">
        <f>IFERROR(IF(INDEX([1]Pivot!$AD$1:$BE$65000,$B610,N$5)=1,1,IF(INDEX([1]Pivot!$B$1:$AB$65000,$B610,N$5)="",2,0)),0)</f>
        <v>0</v>
      </c>
      <c r="O610" s="194">
        <f>IFERROR(IF(INDEX([1]Pivot!$AD$1:$BE$65000,$B610,O$5)=1,1,IF(INDEX([1]Pivot!$B$1:$AB$65000,$B610,O$5)="",2,0)),0)</f>
        <v>0</v>
      </c>
      <c r="P610" s="194">
        <f>IFERROR(IF(INDEX([1]Pivot!$AD$1:$BE$65000,$B610,P$5)=1,1,IF(INDEX([1]Pivot!$B$1:$AB$65000,$B610,P$5)="",2,0)),0)</f>
        <v>0</v>
      </c>
      <c r="Q610" s="194">
        <f>IFERROR(IF(INDEX([1]Pivot!$AD$1:$BE$65000,$B610,Q$5)=1,1,IF(INDEX([1]Pivot!$B$1:$AB$65000,$B610,Q$5)="",2,0)),0)</f>
        <v>0</v>
      </c>
      <c r="R610" s="312"/>
      <c r="S610" s="194">
        <f>IFERROR(IF(INDEX([1]Pivot!$AD$1:$BE$65000,$B610,S$5)=1,1,IF(INDEX([1]Pivot!$B$1:$AB$65000,$B610,S$5)="",2,0)),0)</f>
        <v>0</v>
      </c>
      <c r="T610" s="194">
        <f>IFERROR(IF(INDEX([1]Pivot!$AD$1:$BE$65000,$B610,T$5)=1,1,IF(INDEX([1]Pivot!$B$1:$AB$65000,$B610,T$5)="",2,0)),0)</f>
        <v>0</v>
      </c>
      <c r="U610" s="194">
        <f>IFERROR(IF(INDEX([1]Pivot!$AD$1:$BE$65000,$B610,U$5)=1,1,IF(INDEX([1]Pivot!$B$1:$AB$65000,$B610,U$5)="",2,0)),0)</f>
        <v>0</v>
      </c>
      <c r="V610" s="194">
        <f>IFERROR(IF(INDEX([1]Pivot!$AD$1:$BE$65000,$B610,V$5)=1,1,IF(INDEX([1]Pivot!$B$1:$AB$65000,$B610,V$5)="",2,0)),0)</f>
        <v>0</v>
      </c>
      <c r="W610" s="194">
        <f>IFERROR(IF(INDEX([1]Pivot!$AD$1:$BE$65000,$B610,W$5)=1,1,IF(INDEX([1]Pivot!$B$1:$AB$65000,$B610,W$5)="",2,0)),0)</f>
        <v>0</v>
      </c>
      <c r="X610" s="194">
        <f>IFERROR(IF(INDEX([1]Pivot!$AD$1:$BE$65000,$B610,X$5)=1,1,IF(INDEX([1]Pivot!$B$1:$AB$65000,$B610,X$5)="",2,0)),0)</f>
        <v>0</v>
      </c>
      <c r="Y610" s="194">
        <f>IFERROR(IF(INDEX([1]Pivot!$AD$1:$BE$65000,$B610,Y$5)=1,1,IF(INDEX([1]Pivot!$B$1:$AB$65000,$B610,Y$5)="",2,0)),0)</f>
        <v>0</v>
      </c>
      <c r="Z610" s="194">
        <f>IFERROR(IF(INDEX([1]Pivot!$AD$1:$BE$65000,$B610,Z$5)=1,1,IF(INDEX([1]Pivot!$B$1:$AB$65000,$B610,Z$5)="",2,0)),0)</f>
        <v>0</v>
      </c>
      <c r="AA610" s="194">
        <f>IFERROR(IF(INDEX([1]Pivot!$AD$1:$BE$65000,$B610,AA$5)=1,1,IF(INDEX([1]Pivot!$B$1:$AB$65000,$B610,AA$5)="",2,0)),0)</f>
        <v>0</v>
      </c>
      <c r="AB610" s="194">
        <f>IFERROR(IF(INDEX([1]Pivot!$AD$1:$BE$65000,$B610,AB$5)=1,1,IF(INDEX([1]Pivot!$B$1:$AB$65000,$B610,AB$5)="",2,0)),0)</f>
        <v>0</v>
      </c>
      <c r="AC610" s="194">
        <f>IFERROR(IF(INDEX([1]Pivot!$AD$1:$BE$65000,$B610,AC$5)=1,1,IF(INDEX([1]Pivot!$B$1:$AB$65000,$B610,AC$5)="",2,0)),0)</f>
        <v>0</v>
      </c>
      <c r="AD610" s="313">
        <f>IFERROR(IF(INDEX([1]Pivot!$BF$1:$CG$65000,$B610,AD$5)=1,1,IF(INDEX([1]Pivot!$B$1:$AB$65000,$B610,AD$5)="",2,0)),0)</f>
        <v>0</v>
      </c>
      <c r="AE610" s="313">
        <f>IFERROR(IF(INDEX([1]Pivot!$BF$1:$CG$65000,$B610,AE$5)=1,1,IF(INDEX([1]Pivot!$B$1:$AB$65000,$B610,AE$5)="",2,0)),0)</f>
        <v>0</v>
      </c>
      <c r="AF610" s="313">
        <f>IFERROR(IF(INDEX([1]Pivot!$BF$1:$CG$65000,$B610,AF$5)=1,1,IF(INDEX([1]Pivot!$B$1:$AB$65000,$B610,AF$5)="",2,0)),0)</f>
        <v>0</v>
      </c>
      <c r="AG610" s="313">
        <f>IFERROR(IF(INDEX([1]Pivot!$BF$1:$CG$65000,$B610,AG$5)=1,1,IF(INDEX([1]Pivot!$B$1:$AB$65000,$B610,AG$5)="",2,0)),0)</f>
        <v>0</v>
      </c>
      <c r="AH610" s="313">
        <f>IFERROR(IF(INDEX([1]Pivot!$BF$1:$CG$65000,$B610,AH$5)=1,1,IF(INDEX([1]Pivot!$B$1:$AB$65000,$B610,AH$5)="",2,0)),0)</f>
        <v>0</v>
      </c>
      <c r="AI610" s="313">
        <f>IFERROR(IF(INDEX([1]Pivot!$BF$1:$CG$65000,$B610,AI$5)=1,1,IF(INDEX([1]Pivot!$B$1:$AB$65000,$B610,AI$5)="",2,0)),0)</f>
        <v>0</v>
      </c>
      <c r="AJ610" s="313">
        <f>IFERROR(IF(INDEX([1]Pivot!$BF$1:$CG$65000,$B610,AJ$5)=1,1,IF(INDEX([1]Pivot!$B$1:$AB$65000,$B610,AJ$5)="",2,0)),0)</f>
        <v>0</v>
      </c>
      <c r="AK610" s="313">
        <f>IFERROR(IF(INDEX([1]Pivot!$BF$1:$CG$65000,$B610,AK$5)=1,1,IF(INDEX([1]Pivot!$B$1:$AB$65000,$B610,AK$5)="",2,0)),0)</f>
        <v>0</v>
      </c>
      <c r="AL610" s="313">
        <f>IFERROR(IF(INDEX([1]Pivot!$BF$1:$CG$65000,$B610,AL$5)=1,1,IF(INDEX([1]Pivot!$B$1:$AB$65000,$B610,AL$5)="",2,0)),0)</f>
        <v>0</v>
      </c>
      <c r="AM610" s="313">
        <f>IFERROR(IF(INDEX([1]Pivot!$BF$1:$CG$65000,$B610,AM$5)=1,1,IF(INDEX([1]Pivot!$B$1:$AB$65000,$B610,AM$5)="",2,0)),0)</f>
        <v>0</v>
      </c>
      <c r="AN610" s="313">
        <f>IFERROR(IF(INDEX([1]Pivot!$BF$1:$CG$65000,$B610,AN$5)=1,1,IF(INDEX([1]Pivot!$B$1:$AB$65000,$B610,AN$5)="",2,0)),0)</f>
        <v>0</v>
      </c>
      <c r="AO610" s="313">
        <f>IFERROR(IF(INDEX([1]Pivot!$BF$1:$CG$65000,$B610,AO$5)=1,1,IF(INDEX([1]Pivot!$B$1:$AB$65000,$B610,AO$5)="",2,0)),0)</f>
        <v>0</v>
      </c>
      <c r="AP610" s="313">
        <f>IFERROR(IF(INDEX([1]Pivot!$BF$1:$CG$65000,$B610,AP$5)=1,1,IF(INDEX([1]Pivot!$B$1:$AB$65000,$B610,AP$5)="",2,0)),0)</f>
        <v>0</v>
      </c>
      <c r="AQ610" s="313">
        <f>IFERROR(IF(INDEX([1]Pivot!$BF$1:$CG$65000,$B610,AQ$5)=1,1,IF(INDEX([1]Pivot!$B$1:$AB$65000,$B610,AQ$5)="",2,0)),0)</f>
        <v>0</v>
      </c>
      <c r="AR610" s="313">
        <f>IFERROR(IF(INDEX([1]Pivot!$BF$1:$CG$65000,$B610,AR$5)=1,1,IF(INDEX([1]Pivot!$B$1:$AB$65000,$B610,AR$5)="",2,0)),0)</f>
        <v>0</v>
      </c>
      <c r="AS610" s="312"/>
      <c r="AT610" s="313">
        <f>IFERROR(IF(INDEX([1]Pivot!$BF$1:$CG$65000,$B610,AT$5)=1,1,IF(INDEX([1]Pivot!$B$1:$AB$65000,$B610,AT$5)="",2,0)),0)</f>
        <v>0</v>
      </c>
      <c r="AU610" s="313">
        <f>IFERROR(IF(INDEX([1]Pivot!$BF$1:$CG$65000,$B610,AU$5)=1,1,IF(INDEX([1]Pivot!$B$1:$AB$65000,$B610,AU$5)="",2,0)),0)</f>
        <v>0</v>
      </c>
      <c r="AV610" s="313">
        <f>IFERROR(IF(INDEX([1]Pivot!$BF$1:$CG$65000,$B610,AV$5)=1,1,IF(INDEX([1]Pivot!$B$1:$AB$65000,$B610,AV$5)="",2,0)),0)</f>
        <v>0</v>
      </c>
      <c r="AW610" s="313">
        <f>IFERROR(IF(INDEX([1]Pivot!$BF$1:$CG$65000,$B610,AW$5)=1,1,IF(INDEX([1]Pivot!$B$1:$AB$65000,$B610,AW$5)="",2,0)),0)</f>
        <v>0</v>
      </c>
      <c r="AX610" s="313">
        <f>IFERROR(IF(INDEX([1]Pivot!$BF$1:$CG$65000,$B610,AX$5)=1,1,IF(INDEX([1]Pivot!$B$1:$AB$65000,$B610,AX$5)="",2,0)),0)</f>
        <v>0</v>
      </c>
      <c r="AY610" s="313">
        <f>IFERROR(IF(INDEX([1]Pivot!$BF$1:$CG$65000,$B610,AY$5)=1,1,IF(INDEX([1]Pivot!$B$1:$AB$65000,$B610,AY$5)="",2,0)),0)</f>
        <v>0</v>
      </c>
      <c r="AZ610" s="313">
        <f>IFERROR(IF(INDEX([1]Pivot!$BF$1:$CG$65000,$B610,AZ$5)=1,1,IF(INDEX([1]Pivot!$B$1:$AB$65000,$B610,AZ$5)="",2,0)),0)</f>
        <v>0</v>
      </c>
      <c r="BA610" s="313">
        <f>IFERROR(IF(INDEX([1]Pivot!$BF$1:$CG$65000,$B610,BA$5)=1,1,IF(INDEX([1]Pivot!$B$1:$AB$65000,$B610,BA$5)="",2,0)),0)</f>
        <v>0</v>
      </c>
      <c r="BB610" s="313">
        <f>IFERROR(IF(INDEX([1]Pivot!$BF$1:$CG$65000,$B610,BB$5)=1,1,IF(INDEX([1]Pivot!$B$1:$AB$65000,$B610,BB$5)="",2,0)),0)</f>
        <v>0</v>
      </c>
      <c r="BC610" s="313">
        <f>IFERROR(IF(INDEX([1]Pivot!$BF$1:$CG$65000,$B610,BC$5)=1,1,IF(INDEX([1]Pivot!$B$1:$AB$65000,$B610,BC$5)="",2,0)),0)</f>
        <v>0</v>
      </c>
      <c r="BD610" s="313">
        <f>IFERROR(IF(INDEX([1]Pivot!$BF$1:$CG$65000,$B610,BD$5)=1,1,IF(INDEX([1]Pivot!$B$1:$AB$65000,$B610,BD$5)="",2,0)),0)</f>
        <v>0</v>
      </c>
    </row>
    <row r="611" spans="1:56" x14ac:dyDescent="0.25">
      <c r="A611" s="288">
        <f>'[2]Raw Milk Prices'!A611</f>
        <v>0</v>
      </c>
      <c r="B611" s="296" t="e">
        <f>MATCH(DATE(LEFT('[2]Raw Milk Prices'!$A611,4),RIGHT('[2]Raw Milk Prices'!$A611,2),1),[1]Pivot!$A$1:$A$65000,0)</f>
        <v>#VALUE!</v>
      </c>
      <c r="C611" s="194">
        <f>IFERROR(IF(INDEX([1]Pivot!$AD$1:$BE$65000,$B611,C$5)=1,1,IF(INDEX([1]Pivot!$B$1:$AB$65000,$B611,C$5)="",2,0)),0)</f>
        <v>0</v>
      </c>
      <c r="D611" s="194">
        <f>IFERROR(IF(INDEX([1]Pivot!$AD$1:$BE$65000,$B611,D$5)=1,1,IF(INDEX([1]Pivot!$B$1:$AB$65000,$B611,D$5)="",2,0)),0)</f>
        <v>0</v>
      </c>
      <c r="E611" s="194">
        <f>IFERROR(IF(INDEX([1]Pivot!$AD$1:$BE$65000,$B611,E$5)=1,1,IF(INDEX([1]Pivot!$B$1:$AB$65000,$B611,E$5)="",2,0)),0)</f>
        <v>0</v>
      </c>
      <c r="F611" s="194">
        <f>IFERROR(IF(INDEX([1]Pivot!$AD$1:$BE$65000,$B611,F$5)=1,1,IF(INDEX([1]Pivot!$B$1:$AB$65000,$B611,F$5)="",2,0)),0)</f>
        <v>0</v>
      </c>
      <c r="G611" s="194">
        <f>IFERROR(IF(INDEX([1]Pivot!$AD$1:$BE$65000,$B611,G$5)=1,1,IF(INDEX([1]Pivot!$B$1:$AB$65000,$B611,G$5)="",2,0)),0)</f>
        <v>0</v>
      </c>
      <c r="H611" s="194">
        <f>IFERROR(IF(INDEX([1]Pivot!$AD$1:$BE$65000,$B611,H$5)=1,1,IF(INDEX([1]Pivot!$B$1:$AB$65000,$B611,H$5)="",2,0)),0)</f>
        <v>0</v>
      </c>
      <c r="I611" s="194">
        <f>IFERROR(IF(INDEX([1]Pivot!$AD$1:$BE$65000,$B611,I$5)=1,1,IF(INDEX([1]Pivot!$B$1:$AB$65000,$B611,I$5)="",2,0)),0)</f>
        <v>0</v>
      </c>
      <c r="J611" s="194">
        <f>IFERROR(IF(INDEX([1]Pivot!$AD$1:$BE$65000,$B611,J$5)=1,1,IF(INDEX([1]Pivot!$B$1:$AB$65000,$B611,J$5)="",2,0)),0)</f>
        <v>0</v>
      </c>
      <c r="K611" s="194">
        <f>IFERROR(IF(INDEX([1]Pivot!$AD$1:$BE$65000,$B611,K$5)=1,1,IF(INDEX([1]Pivot!$B$1:$AB$65000,$B611,K$5)="",2,0)),0)</f>
        <v>0</v>
      </c>
      <c r="L611" s="194">
        <f>IFERROR(IF(INDEX([1]Pivot!$AD$1:$BE$65000,$B611,L$5)=1,1,IF(INDEX([1]Pivot!$B$1:$AB$65000,$B611,L$5)="",2,0)),0)</f>
        <v>0</v>
      </c>
      <c r="M611" s="194">
        <f>IFERROR(IF(INDEX([1]Pivot!$AD$1:$BE$65000,$B611,M$5)=1,1,IF(INDEX([1]Pivot!$B$1:$AB$65000,$B611,M$5)="",2,0)),0)</f>
        <v>0</v>
      </c>
      <c r="N611" s="194">
        <f>IFERROR(IF(INDEX([1]Pivot!$AD$1:$BE$65000,$B611,N$5)=1,1,IF(INDEX([1]Pivot!$B$1:$AB$65000,$B611,N$5)="",2,0)),0)</f>
        <v>0</v>
      </c>
      <c r="O611" s="194">
        <f>IFERROR(IF(INDEX([1]Pivot!$AD$1:$BE$65000,$B611,O$5)=1,1,IF(INDEX([1]Pivot!$B$1:$AB$65000,$B611,O$5)="",2,0)),0)</f>
        <v>0</v>
      </c>
      <c r="P611" s="194">
        <f>IFERROR(IF(INDEX([1]Pivot!$AD$1:$BE$65000,$B611,P$5)=1,1,IF(INDEX([1]Pivot!$B$1:$AB$65000,$B611,P$5)="",2,0)),0)</f>
        <v>0</v>
      </c>
      <c r="Q611" s="194">
        <f>IFERROR(IF(INDEX([1]Pivot!$AD$1:$BE$65000,$B611,Q$5)=1,1,IF(INDEX([1]Pivot!$B$1:$AB$65000,$B611,Q$5)="",2,0)),0)</f>
        <v>0</v>
      </c>
      <c r="R611" s="312"/>
      <c r="S611" s="194">
        <f>IFERROR(IF(INDEX([1]Pivot!$AD$1:$BE$65000,$B611,S$5)=1,1,IF(INDEX([1]Pivot!$B$1:$AB$65000,$B611,S$5)="",2,0)),0)</f>
        <v>0</v>
      </c>
      <c r="T611" s="194">
        <f>IFERROR(IF(INDEX([1]Pivot!$AD$1:$BE$65000,$B611,T$5)=1,1,IF(INDEX([1]Pivot!$B$1:$AB$65000,$B611,T$5)="",2,0)),0)</f>
        <v>0</v>
      </c>
      <c r="U611" s="194">
        <f>IFERROR(IF(INDEX([1]Pivot!$AD$1:$BE$65000,$B611,U$5)=1,1,IF(INDEX([1]Pivot!$B$1:$AB$65000,$B611,U$5)="",2,0)),0)</f>
        <v>0</v>
      </c>
      <c r="V611" s="194">
        <f>IFERROR(IF(INDEX([1]Pivot!$AD$1:$BE$65000,$B611,V$5)=1,1,IF(INDEX([1]Pivot!$B$1:$AB$65000,$B611,V$5)="",2,0)),0)</f>
        <v>0</v>
      </c>
      <c r="W611" s="194">
        <f>IFERROR(IF(INDEX([1]Pivot!$AD$1:$BE$65000,$B611,W$5)=1,1,IF(INDEX([1]Pivot!$B$1:$AB$65000,$B611,W$5)="",2,0)),0)</f>
        <v>0</v>
      </c>
      <c r="X611" s="194">
        <f>IFERROR(IF(INDEX([1]Pivot!$AD$1:$BE$65000,$B611,X$5)=1,1,IF(INDEX([1]Pivot!$B$1:$AB$65000,$B611,X$5)="",2,0)),0)</f>
        <v>0</v>
      </c>
      <c r="Y611" s="194">
        <f>IFERROR(IF(INDEX([1]Pivot!$AD$1:$BE$65000,$B611,Y$5)=1,1,IF(INDEX([1]Pivot!$B$1:$AB$65000,$B611,Y$5)="",2,0)),0)</f>
        <v>0</v>
      </c>
      <c r="Z611" s="194">
        <f>IFERROR(IF(INDEX([1]Pivot!$AD$1:$BE$65000,$B611,Z$5)=1,1,IF(INDEX([1]Pivot!$B$1:$AB$65000,$B611,Z$5)="",2,0)),0)</f>
        <v>0</v>
      </c>
      <c r="AA611" s="194">
        <f>IFERROR(IF(INDEX([1]Pivot!$AD$1:$BE$65000,$B611,AA$5)=1,1,IF(INDEX([1]Pivot!$B$1:$AB$65000,$B611,AA$5)="",2,0)),0)</f>
        <v>0</v>
      </c>
      <c r="AB611" s="194">
        <f>IFERROR(IF(INDEX([1]Pivot!$AD$1:$BE$65000,$B611,AB$5)=1,1,IF(INDEX([1]Pivot!$B$1:$AB$65000,$B611,AB$5)="",2,0)),0)</f>
        <v>0</v>
      </c>
      <c r="AC611" s="194">
        <f>IFERROR(IF(INDEX([1]Pivot!$AD$1:$BE$65000,$B611,AC$5)=1,1,IF(INDEX([1]Pivot!$B$1:$AB$65000,$B611,AC$5)="",2,0)),0)</f>
        <v>0</v>
      </c>
      <c r="AD611" s="313">
        <f>IFERROR(IF(INDEX([1]Pivot!$BF$1:$CG$65000,$B611,AD$5)=1,1,IF(INDEX([1]Pivot!$B$1:$AB$65000,$B611,AD$5)="",2,0)),0)</f>
        <v>0</v>
      </c>
      <c r="AE611" s="313">
        <f>IFERROR(IF(INDEX([1]Pivot!$BF$1:$CG$65000,$B611,AE$5)=1,1,IF(INDEX([1]Pivot!$B$1:$AB$65000,$B611,AE$5)="",2,0)),0)</f>
        <v>0</v>
      </c>
      <c r="AF611" s="313">
        <f>IFERROR(IF(INDEX([1]Pivot!$BF$1:$CG$65000,$B611,AF$5)=1,1,IF(INDEX([1]Pivot!$B$1:$AB$65000,$B611,AF$5)="",2,0)),0)</f>
        <v>0</v>
      </c>
      <c r="AG611" s="313">
        <f>IFERROR(IF(INDEX([1]Pivot!$BF$1:$CG$65000,$B611,AG$5)=1,1,IF(INDEX([1]Pivot!$B$1:$AB$65000,$B611,AG$5)="",2,0)),0)</f>
        <v>0</v>
      </c>
      <c r="AH611" s="313">
        <f>IFERROR(IF(INDEX([1]Pivot!$BF$1:$CG$65000,$B611,AH$5)=1,1,IF(INDEX([1]Pivot!$B$1:$AB$65000,$B611,AH$5)="",2,0)),0)</f>
        <v>0</v>
      </c>
      <c r="AI611" s="313">
        <f>IFERROR(IF(INDEX([1]Pivot!$BF$1:$CG$65000,$B611,AI$5)=1,1,IF(INDEX([1]Pivot!$B$1:$AB$65000,$B611,AI$5)="",2,0)),0)</f>
        <v>0</v>
      </c>
      <c r="AJ611" s="313">
        <f>IFERROR(IF(INDEX([1]Pivot!$BF$1:$CG$65000,$B611,AJ$5)=1,1,IF(INDEX([1]Pivot!$B$1:$AB$65000,$B611,AJ$5)="",2,0)),0)</f>
        <v>0</v>
      </c>
      <c r="AK611" s="313">
        <f>IFERROR(IF(INDEX([1]Pivot!$BF$1:$CG$65000,$B611,AK$5)=1,1,IF(INDEX([1]Pivot!$B$1:$AB$65000,$B611,AK$5)="",2,0)),0)</f>
        <v>0</v>
      </c>
      <c r="AL611" s="313">
        <f>IFERROR(IF(INDEX([1]Pivot!$BF$1:$CG$65000,$B611,AL$5)=1,1,IF(INDEX([1]Pivot!$B$1:$AB$65000,$B611,AL$5)="",2,0)),0)</f>
        <v>0</v>
      </c>
      <c r="AM611" s="313">
        <f>IFERROR(IF(INDEX([1]Pivot!$BF$1:$CG$65000,$B611,AM$5)=1,1,IF(INDEX([1]Pivot!$B$1:$AB$65000,$B611,AM$5)="",2,0)),0)</f>
        <v>0</v>
      </c>
      <c r="AN611" s="313">
        <f>IFERROR(IF(INDEX([1]Pivot!$BF$1:$CG$65000,$B611,AN$5)=1,1,IF(INDEX([1]Pivot!$B$1:$AB$65000,$B611,AN$5)="",2,0)),0)</f>
        <v>0</v>
      </c>
      <c r="AO611" s="313">
        <f>IFERROR(IF(INDEX([1]Pivot!$BF$1:$CG$65000,$B611,AO$5)=1,1,IF(INDEX([1]Pivot!$B$1:$AB$65000,$B611,AO$5)="",2,0)),0)</f>
        <v>0</v>
      </c>
      <c r="AP611" s="313">
        <f>IFERROR(IF(INDEX([1]Pivot!$BF$1:$CG$65000,$B611,AP$5)=1,1,IF(INDEX([1]Pivot!$B$1:$AB$65000,$B611,AP$5)="",2,0)),0)</f>
        <v>0</v>
      </c>
      <c r="AQ611" s="313">
        <f>IFERROR(IF(INDEX([1]Pivot!$BF$1:$CG$65000,$B611,AQ$5)=1,1,IF(INDEX([1]Pivot!$B$1:$AB$65000,$B611,AQ$5)="",2,0)),0)</f>
        <v>0</v>
      </c>
      <c r="AR611" s="313">
        <f>IFERROR(IF(INDEX([1]Pivot!$BF$1:$CG$65000,$B611,AR$5)=1,1,IF(INDEX([1]Pivot!$B$1:$AB$65000,$B611,AR$5)="",2,0)),0)</f>
        <v>0</v>
      </c>
      <c r="AS611" s="312"/>
      <c r="AT611" s="313">
        <f>IFERROR(IF(INDEX([1]Pivot!$BF$1:$CG$65000,$B611,AT$5)=1,1,IF(INDEX([1]Pivot!$B$1:$AB$65000,$B611,AT$5)="",2,0)),0)</f>
        <v>0</v>
      </c>
      <c r="AU611" s="313">
        <f>IFERROR(IF(INDEX([1]Pivot!$BF$1:$CG$65000,$B611,AU$5)=1,1,IF(INDEX([1]Pivot!$B$1:$AB$65000,$B611,AU$5)="",2,0)),0)</f>
        <v>0</v>
      </c>
      <c r="AV611" s="313">
        <f>IFERROR(IF(INDEX([1]Pivot!$BF$1:$CG$65000,$B611,AV$5)=1,1,IF(INDEX([1]Pivot!$B$1:$AB$65000,$B611,AV$5)="",2,0)),0)</f>
        <v>0</v>
      </c>
      <c r="AW611" s="313">
        <f>IFERROR(IF(INDEX([1]Pivot!$BF$1:$CG$65000,$B611,AW$5)=1,1,IF(INDEX([1]Pivot!$B$1:$AB$65000,$B611,AW$5)="",2,0)),0)</f>
        <v>0</v>
      </c>
      <c r="AX611" s="313">
        <f>IFERROR(IF(INDEX([1]Pivot!$BF$1:$CG$65000,$B611,AX$5)=1,1,IF(INDEX([1]Pivot!$B$1:$AB$65000,$B611,AX$5)="",2,0)),0)</f>
        <v>0</v>
      </c>
      <c r="AY611" s="313">
        <f>IFERROR(IF(INDEX([1]Pivot!$BF$1:$CG$65000,$B611,AY$5)=1,1,IF(INDEX([1]Pivot!$B$1:$AB$65000,$B611,AY$5)="",2,0)),0)</f>
        <v>0</v>
      </c>
      <c r="AZ611" s="313">
        <f>IFERROR(IF(INDEX([1]Pivot!$BF$1:$CG$65000,$B611,AZ$5)=1,1,IF(INDEX([1]Pivot!$B$1:$AB$65000,$B611,AZ$5)="",2,0)),0)</f>
        <v>0</v>
      </c>
      <c r="BA611" s="313">
        <f>IFERROR(IF(INDEX([1]Pivot!$BF$1:$CG$65000,$B611,BA$5)=1,1,IF(INDEX([1]Pivot!$B$1:$AB$65000,$B611,BA$5)="",2,0)),0)</f>
        <v>0</v>
      </c>
      <c r="BB611" s="313">
        <f>IFERROR(IF(INDEX([1]Pivot!$BF$1:$CG$65000,$B611,BB$5)=1,1,IF(INDEX([1]Pivot!$B$1:$AB$65000,$B611,BB$5)="",2,0)),0)</f>
        <v>0</v>
      </c>
      <c r="BC611" s="313">
        <f>IFERROR(IF(INDEX([1]Pivot!$BF$1:$CG$65000,$B611,BC$5)=1,1,IF(INDEX([1]Pivot!$B$1:$AB$65000,$B611,BC$5)="",2,0)),0)</f>
        <v>0</v>
      </c>
      <c r="BD611" s="313">
        <f>IFERROR(IF(INDEX([1]Pivot!$BF$1:$CG$65000,$B611,BD$5)=1,1,IF(INDEX([1]Pivot!$B$1:$AB$65000,$B611,BD$5)="",2,0)),0)</f>
        <v>0</v>
      </c>
    </row>
    <row r="612" spans="1:56" x14ac:dyDescent="0.25">
      <c r="A612" s="288">
        <f>'[2]Raw Milk Prices'!A612</f>
        <v>0</v>
      </c>
      <c r="B612" s="296" t="e">
        <f>MATCH(DATE(LEFT('[2]Raw Milk Prices'!$A612,4),RIGHT('[2]Raw Milk Prices'!$A612,2),1),[1]Pivot!$A$1:$A$65000,0)</f>
        <v>#VALUE!</v>
      </c>
      <c r="C612" s="194">
        <f>IFERROR(IF(INDEX([1]Pivot!$AD$1:$BE$65000,$B612,C$5)=1,1,IF(INDEX([1]Pivot!$B$1:$AB$65000,$B612,C$5)="",2,0)),0)</f>
        <v>0</v>
      </c>
      <c r="D612" s="194">
        <f>IFERROR(IF(INDEX([1]Pivot!$AD$1:$BE$65000,$B612,D$5)=1,1,IF(INDEX([1]Pivot!$B$1:$AB$65000,$B612,D$5)="",2,0)),0)</f>
        <v>0</v>
      </c>
      <c r="E612" s="194">
        <f>IFERROR(IF(INDEX([1]Pivot!$AD$1:$BE$65000,$B612,E$5)=1,1,IF(INDEX([1]Pivot!$B$1:$AB$65000,$B612,E$5)="",2,0)),0)</f>
        <v>0</v>
      </c>
      <c r="F612" s="194">
        <f>IFERROR(IF(INDEX([1]Pivot!$AD$1:$BE$65000,$B612,F$5)=1,1,IF(INDEX([1]Pivot!$B$1:$AB$65000,$B612,F$5)="",2,0)),0)</f>
        <v>0</v>
      </c>
      <c r="G612" s="194">
        <f>IFERROR(IF(INDEX([1]Pivot!$AD$1:$BE$65000,$B612,G$5)=1,1,IF(INDEX([1]Pivot!$B$1:$AB$65000,$B612,G$5)="",2,0)),0)</f>
        <v>0</v>
      </c>
      <c r="H612" s="194">
        <f>IFERROR(IF(INDEX([1]Pivot!$AD$1:$BE$65000,$B612,H$5)=1,1,IF(INDEX([1]Pivot!$B$1:$AB$65000,$B612,H$5)="",2,0)),0)</f>
        <v>0</v>
      </c>
      <c r="I612" s="194">
        <f>IFERROR(IF(INDEX([1]Pivot!$AD$1:$BE$65000,$B612,I$5)=1,1,IF(INDEX([1]Pivot!$B$1:$AB$65000,$B612,I$5)="",2,0)),0)</f>
        <v>0</v>
      </c>
      <c r="J612" s="194">
        <f>IFERROR(IF(INDEX([1]Pivot!$AD$1:$BE$65000,$B612,J$5)=1,1,IF(INDEX([1]Pivot!$B$1:$AB$65000,$B612,J$5)="",2,0)),0)</f>
        <v>0</v>
      </c>
      <c r="K612" s="194">
        <f>IFERROR(IF(INDEX([1]Pivot!$AD$1:$BE$65000,$B612,K$5)=1,1,IF(INDEX([1]Pivot!$B$1:$AB$65000,$B612,K$5)="",2,0)),0)</f>
        <v>0</v>
      </c>
      <c r="L612" s="194">
        <f>IFERROR(IF(INDEX([1]Pivot!$AD$1:$BE$65000,$B612,L$5)=1,1,IF(INDEX([1]Pivot!$B$1:$AB$65000,$B612,L$5)="",2,0)),0)</f>
        <v>0</v>
      </c>
      <c r="M612" s="194">
        <f>IFERROR(IF(INDEX([1]Pivot!$AD$1:$BE$65000,$B612,M$5)=1,1,IF(INDEX([1]Pivot!$B$1:$AB$65000,$B612,M$5)="",2,0)),0)</f>
        <v>0</v>
      </c>
      <c r="N612" s="194">
        <f>IFERROR(IF(INDEX([1]Pivot!$AD$1:$BE$65000,$B612,N$5)=1,1,IF(INDEX([1]Pivot!$B$1:$AB$65000,$B612,N$5)="",2,0)),0)</f>
        <v>0</v>
      </c>
      <c r="O612" s="194">
        <f>IFERROR(IF(INDEX([1]Pivot!$AD$1:$BE$65000,$B612,O$5)=1,1,IF(INDEX([1]Pivot!$B$1:$AB$65000,$B612,O$5)="",2,0)),0)</f>
        <v>0</v>
      </c>
      <c r="P612" s="194">
        <f>IFERROR(IF(INDEX([1]Pivot!$AD$1:$BE$65000,$B612,P$5)=1,1,IF(INDEX([1]Pivot!$B$1:$AB$65000,$B612,P$5)="",2,0)),0)</f>
        <v>0</v>
      </c>
      <c r="Q612" s="194">
        <f>IFERROR(IF(INDEX([1]Pivot!$AD$1:$BE$65000,$B612,Q$5)=1,1,IF(INDEX([1]Pivot!$B$1:$AB$65000,$B612,Q$5)="",2,0)),0)</f>
        <v>0</v>
      </c>
      <c r="R612" s="312"/>
      <c r="S612" s="194">
        <f>IFERROR(IF(INDEX([1]Pivot!$AD$1:$BE$65000,$B612,S$5)=1,1,IF(INDEX([1]Pivot!$B$1:$AB$65000,$B612,S$5)="",2,0)),0)</f>
        <v>0</v>
      </c>
      <c r="T612" s="194">
        <f>IFERROR(IF(INDEX([1]Pivot!$AD$1:$BE$65000,$B612,T$5)=1,1,IF(INDEX([1]Pivot!$B$1:$AB$65000,$B612,T$5)="",2,0)),0)</f>
        <v>0</v>
      </c>
      <c r="U612" s="194">
        <f>IFERROR(IF(INDEX([1]Pivot!$AD$1:$BE$65000,$B612,U$5)=1,1,IF(INDEX([1]Pivot!$B$1:$AB$65000,$B612,U$5)="",2,0)),0)</f>
        <v>0</v>
      </c>
      <c r="V612" s="194">
        <f>IFERROR(IF(INDEX([1]Pivot!$AD$1:$BE$65000,$B612,V$5)=1,1,IF(INDEX([1]Pivot!$B$1:$AB$65000,$B612,V$5)="",2,0)),0)</f>
        <v>0</v>
      </c>
      <c r="W612" s="194">
        <f>IFERROR(IF(INDEX([1]Pivot!$AD$1:$BE$65000,$B612,W$5)=1,1,IF(INDEX([1]Pivot!$B$1:$AB$65000,$B612,W$5)="",2,0)),0)</f>
        <v>0</v>
      </c>
      <c r="X612" s="194">
        <f>IFERROR(IF(INDEX([1]Pivot!$AD$1:$BE$65000,$B612,X$5)=1,1,IF(INDEX([1]Pivot!$B$1:$AB$65000,$B612,X$5)="",2,0)),0)</f>
        <v>0</v>
      </c>
      <c r="Y612" s="194">
        <f>IFERROR(IF(INDEX([1]Pivot!$AD$1:$BE$65000,$B612,Y$5)=1,1,IF(INDEX([1]Pivot!$B$1:$AB$65000,$B612,Y$5)="",2,0)),0)</f>
        <v>0</v>
      </c>
      <c r="Z612" s="194">
        <f>IFERROR(IF(INDEX([1]Pivot!$AD$1:$BE$65000,$B612,Z$5)=1,1,IF(INDEX([1]Pivot!$B$1:$AB$65000,$B612,Z$5)="",2,0)),0)</f>
        <v>0</v>
      </c>
      <c r="AA612" s="194">
        <f>IFERROR(IF(INDEX([1]Pivot!$AD$1:$BE$65000,$B612,AA$5)=1,1,IF(INDEX([1]Pivot!$B$1:$AB$65000,$B612,AA$5)="",2,0)),0)</f>
        <v>0</v>
      </c>
      <c r="AB612" s="194">
        <f>IFERROR(IF(INDEX([1]Pivot!$AD$1:$BE$65000,$B612,AB$5)=1,1,IF(INDEX([1]Pivot!$B$1:$AB$65000,$B612,AB$5)="",2,0)),0)</f>
        <v>0</v>
      </c>
      <c r="AC612" s="194">
        <f>IFERROR(IF(INDEX([1]Pivot!$AD$1:$BE$65000,$B612,AC$5)=1,1,IF(INDEX([1]Pivot!$B$1:$AB$65000,$B612,AC$5)="",2,0)),0)</f>
        <v>0</v>
      </c>
      <c r="AD612" s="313">
        <f>IFERROR(IF(INDEX([1]Pivot!$BF$1:$CG$65000,$B612,AD$5)=1,1,IF(INDEX([1]Pivot!$B$1:$AB$65000,$B612,AD$5)="",2,0)),0)</f>
        <v>0</v>
      </c>
      <c r="AE612" s="313">
        <f>IFERROR(IF(INDEX([1]Pivot!$BF$1:$CG$65000,$B612,AE$5)=1,1,IF(INDEX([1]Pivot!$B$1:$AB$65000,$B612,AE$5)="",2,0)),0)</f>
        <v>0</v>
      </c>
      <c r="AF612" s="313">
        <f>IFERROR(IF(INDEX([1]Pivot!$BF$1:$CG$65000,$B612,AF$5)=1,1,IF(INDEX([1]Pivot!$B$1:$AB$65000,$B612,AF$5)="",2,0)),0)</f>
        <v>0</v>
      </c>
      <c r="AG612" s="313">
        <f>IFERROR(IF(INDEX([1]Pivot!$BF$1:$CG$65000,$B612,AG$5)=1,1,IF(INDEX([1]Pivot!$B$1:$AB$65000,$B612,AG$5)="",2,0)),0)</f>
        <v>0</v>
      </c>
      <c r="AH612" s="313">
        <f>IFERROR(IF(INDEX([1]Pivot!$BF$1:$CG$65000,$B612,AH$5)=1,1,IF(INDEX([1]Pivot!$B$1:$AB$65000,$B612,AH$5)="",2,0)),0)</f>
        <v>0</v>
      </c>
      <c r="AI612" s="313">
        <f>IFERROR(IF(INDEX([1]Pivot!$BF$1:$CG$65000,$B612,AI$5)=1,1,IF(INDEX([1]Pivot!$B$1:$AB$65000,$B612,AI$5)="",2,0)),0)</f>
        <v>0</v>
      </c>
      <c r="AJ612" s="313">
        <f>IFERROR(IF(INDEX([1]Pivot!$BF$1:$CG$65000,$B612,AJ$5)=1,1,IF(INDEX([1]Pivot!$B$1:$AB$65000,$B612,AJ$5)="",2,0)),0)</f>
        <v>0</v>
      </c>
      <c r="AK612" s="313">
        <f>IFERROR(IF(INDEX([1]Pivot!$BF$1:$CG$65000,$B612,AK$5)=1,1,IF(INDEX([1]Pivot!$B$1:$AB$65000,$B612,AK$5)="",2,0)),0)</f>
        <v>0</v>
      </c>
      <c r="AL612" s="313">
        <f>IFERROR(IF(INDEX([1]Pivot!$BF$1:$CG$65000,$B612,AL$5)=1,1,IF(INDEX([1]Pivot!$B$1:$AB$65000,$B612,AL$5)="",2,0)),0)</f>
        <v>0</v>
      </c>
      <c r="AM612" s="313">
        <f>IFERROR(IF(INDEX([1]Pivot!$BF$1:$CG$65000,$B612,AM$5)=1,1,IF(INDEX([1]Pivot!$B$1:$AB$65000,$B612,AM$5)="",2,0)),0)</f>
        <v>0</v>
      </c>
      <c r="AN612" s="313">
        <f>IFERROR(IF(INDEX([1]Pivot!$BF$1:$CG$65000,$B612,AN$5)=1,1,IF(INDEX([1]Pivot!$B$1:$AB$65000,$B612,AN$5)="",2,0)),0)</f>
        <v>0</v>
      </c>
      <c r="AO612" s="313">
        <f>IFERROR(IF(INDEX([1]Pivot!$BF$1:$CG$65000,$B612,AO$5)=1,1,IF(INDEX([1]Pivot!$B$1:$AB$65000,$B612,AO$5)="",2,0)),0)</f>
        <v>0</v>
      </c>
      <c r="AP612" s="313">
        <f>IFERROR(IF(INDEX([1]Pivot!$BF$1:$CG$65000,$B612,AP$5)=1,1,IF(INDEX([1]Pivot!$B$1:$AB$65000,$B612,AP$5)="",2,0)),0)</f>
        <v>0</v>
      </c>
      <c r="AQ612" s="313">
        <f>IFERROR(IF(INDEX([1]Pivot!$BF$1:$CG$65000,$B612,AQ$5)=1,1,IF(INDEX([1]Pivot!$B$1:$AB$65000,$B612,AQ$5)="",2,0)),0)</f>
        <v>0</v>
      </c>
      <c r="AR612" s="313">
        <f>IFERROR(IF(INDEX([1]Pivot!$BF$1:$CG$65000,$B612,AR$5)=1,1,IF(INDEX([1]Pivot!$B$1:$AB$65000,$B612,AR$5)="",2,0)),0)</f>
        <v>0</v>
      </c>
      <c r="AS612" s="312"/>
      <c r="AT612" s="313">
        <f>IFERROR(IF(INDEX([1]Pivot!$BF$1:$CG$65000,$B612,AT$5)=1,1,IF(INDEX([1]Pivot!$B$1:$AB$65000,$B612,AT$5)="",2,0)),0)</f>
        <v>0</v>
      </c>
      <c r="AU612" s="313">
        <f>IFERROR(IF(INDEX([1]Pivot!$BF$1:$CG$65000,$B612,AU$5)=1,1,IF(INDEX([1]Pivot!$B$1:$AB$65000,$B612,AU$5)="",2,0)),0)</f>
        <v>0</v>
      </c>
      <c r="AV612" s="313">
        <f>IFERROR(IF(INDEX([1]Pivot!$BF$1:$CG$65000,$B612,AV$5)=1,1,IF(INDEX([1]Pivot!$B$1:$AB$65000,$B612,AV$5)="",2,0)),0)</f>
        <v>0</v>
      </c>
      <c r="AW612" s="313">
        <f>IFERROR(IF(INDEX([1]Pivot!$BF$1:$CG$65000,$B612,AW$5)=1,1,IF(INDEX([1]Pivot!$B$1:$AB$65000,$B612,AW$5)="",2,0)),0)</f>
        <v>0</v>
      </c>
      <c r="AX612" s="313">
        <f>IFERROR(IF(INDEX([1]Pivot!$BF$1:$CG$65000,$B612,AX$5)=1,1,IF(INDEX([1]Pivot!$B$1:$AB$65000,$B612,AX$5)="",2,0)),0)</f>
        <v>0</v>
      </c>
      <c r="AY612" s="313">
        <f>IFERROR(IF(INDEX([1]Pivot!$BF$1:$CG$65000,$B612,AY$5)=1,1,IF(INDEX([1]Pivot!$B$1:$AB$65000,$B612,AY$5)="",2,0)),0)</f>
        <v>0</v>
      </c>
      <c r="AZ612" s="313">
        <f>IFERROR(IF(INDEX([1]Pivot!$BF$1:$CG$65000,$B612,AZ$5)=1,1,IF(INDEX([1]Pivot!$B$1:$AB$65000,$B612,AZ$5)="",2,0)),0)</f>
        <v>0</v>
      </c>
      <c r="BA612" s="313">
        <f>IFERROR(IF(INDEX([1]Pivot!$BF$1:$CG$65000,$B612,BA$5)=1,1,IF(INDEX([1]Pivot!$B$1:$AB$65000,$B612,BA$5)="",2,0)),0)</f>
        <v>0</v>
      </c>
      <c r="BB612" s="313">
        <f>IFERROR(IF(INDEX([1]Pivot!$BF$1:$CG$65000,$B612,BB$5)=1,1,IF(INDEX([1]Pivot!$B$1:$AB$65000,$B612,BB$5)="",2,0)),0)</f>
        <v>0</v>
      </c>
      <c r="BC612" s="313">
        <f>IFERROR(IF(INDEX([1]Pivot!$BF$1:$CG$65000,$B612,BC$5)=1,1,IF(INDEX([1]Pivot!$B$1:$AB$65000,$B612,BC$5)="",2,0)),0)</f>
        <v>0</v>
      </c>
      <c r="BD612" s="313">
        <f>IFERROR(IF(INDEX([1]Pivot!$BF$1:$CG$65000,$B612,BD$5)=1,1,IF(INDEX([1]Pivot!$B$1:$AB$65000,$B612,BD$5)="",2,0)),0)</f>
        <v>0</v>
      </c>
    </row>
    <row r="613" spans="1:56" x14ac:dyDescent="0.25">
      <c r="A613" s="288">
        <f>'[2]Raw Milk Prices'!A613</f>
        <v>0</v>
      </c>
      <c r="B613" s="296" t="e">
        <f>MATCH(DATE(LEFT('[2]Raw Milk Prices'!$A613,4),RIGHT('[2]Raw Milk Prices'!$A613,2),1),[1]Pivot!$A$1:$A$65000,0)</f>
        <v>#VALUE!</v>
      </c>
      <c r="C613" s="194">
        <f>IFERROR(IF(INDEX([1]Pivot!$AD$1:$BE$65000,$B613,C$5)=1,1,IF(INDEX([1]Pivot!$B$1:$AB$65000,$B613,C$5)="",2,0)),0)</f>
        <v>0</v>
      </c>
      <c r="D613" s="194">
        <f>IFERROR(IF(INDEX([1]Pivot!$AD$1:$BE$65000,$B613,D$5)=1,1,IF(INDEX([1]Pivot!$B$1:$AB$65000,$B613,D$5)="",2,0)),0)</f>
        <v>0</v>
      </c>
      <c r="E613" s="194">
        <f>IFERROR(IF(INDEX([1]Pivot!$AD$1:$BE$65000,$B613,E$5)=1,1,IF(INDEX([1]Pivot!$B$1:$AB$65000,$B613,E$5)="",2,0)),0)</f>
        <v>0</v>
      </c>
      <c r="F613" s="194">
        <f>IFERROR(IF(INDEX([1]Pivot!$AD$1:$BE$65000,$B613,F$5)=1,1,IF(INDEX([1]Pivot!$B$1:$AB$65000,$B613,F$5)="",2,0)),0)</f>
        <v>0</v>
      </c>
      <c r="G613" s="194">
        <f>IFERROR(IF(INDEX([1]Pivot!$AD$1:$BE$65000,$B613,G$5)=1,1,IF(INDEX([1]Pivot!$B$1:$AB$65000,$B613,G$5)="",2,0)),0)</f>
        <v>0</v>
      </c>
      <c r="H613" s="194">
        <f>IFERROR(IF(INDEX([1]Pivot!$AD$1:$BE$65000,$B613,H$5)=1,1,IF(INDEX([1]Pivot!$B$1:$AB$65000,$B613,H$5)="",2,0)),0)</f>
        <v>0</v>
      </c>
      <c r="I613" s="194">
        <f>IFERROR(IF(INDEX([1]Pivot!$AD$1:$BE$65000,$B613,I$5)=1,1,IF(INDEX([1]Pivot!$B$1:$AB$65000,$B613,I$5)="",2,0)),0)</f>
        <v>0</v>
      </c>
      <c r="J613" s="194">
        <f>IFERROR(IF(INDEX([1]Pivot!$AD$1:$BE$65000,$B613,J$5)=1,1,IF(INDEX([1]Pivot!$B$1:$AB$65000,$B613,J$5)="",2,0)),0)</f>
        <v>0</v>
      </c>
      <c r="K613" s="194">
        <f>IFERROR(IF(INDEX([1]Pivot!$AD$1:$BE$65000,$B613,K$5)=1,1,IF(INDEX([1]Pivot!$B$1:$AB$65000,$B613,K$5)="",2,0)),0)</f>
        <v>0</v>
      </c>
      <c r="L613" s="194">
        <f>IFERROR(IF(INDEX([1]Pivot!$AD$1:$BE$65000,$B613,L$5)=1,1,IF(INDEX([1]Pivot!$B$1:$AB$65000,$B613,L$5)="",2,0)),0)</f>
        <v>0</v>
      </c>
      <c r="M613" s="194">
        <f>IFERROR(IF(INDEX([1]Pivot!$AD$1:$BE$65000,$B613,M$5)=1,1,IF(INDEX([1]Pivot!$B$1:$AB$65000,$B613,M$5)="",2,0)),0)</f>
        <v>0</v>
      </c>
      <c r="N613" s="194">
        <f>IFERROR(IF(INDEX([1]Pivot!$AD$1:$BE$65000,$B613,N$5)=1,1,IF(INDEX([1]Pivot!$B$1:$AB$65000,$B613,N$5)="",2,0)),0)</f>
        <v>0</v>
      </c>
      <c r="O613" s="194">
        <f>IFERROR(IF(INDEX([1]Pivot!$AD$1:$BE$65000,$B613,O$5)=1,1,IF(INDEX([1]Pivot!$B$1:$AB$65000,$B613,O$5)="",2,0)),0)</f>
        <v>0</v>
      </c>
      <c r="P613" s="194">
        <f>IFERROR(IF(INDEX([1]Pivot!$AD$1:$BE$65000,$B613,P$5)=1,1,IF(INDEX([1]Pivot!$B$1:$AB$65000,$B613,P$5)="",2,0)),0)</f>
        <v>0</v>
      </c>
      <c r="Q613" s="194">
        <f>IFERROR(IF(INDEX([1]Pivot!$AD$1:$BE$65000,$B613,Q$5)=1,1,IF(INDEX([1]Pivot!$B$1:$AB$65000,$B613,Q$5)="",2,0)),0)</f>
        <v>0</v>
      </c>
      <c r="R613" s="312"/>
      <c r="S613" s="194">
        <f>IFERROR(IF(INDEX([1]Pivot!$AD$1:$BE$65000,$B613,S$5)=1,1,IF(INDEX([1]Pivot!$B$1:$AB$65000,$B613,S$5)="",2,0)),0)</f>
        <v>0</v>
      </c>
      <c r="T613" s="194">
        <f>IFERROR(IF(INDEX([1]Pivot!$AD$1:$BE$65000,$B613,T$5)=1,1,IF(INDEX([1]Pivot!$B$1:$AB$65000,$B613,T$5)="",2,0)),0)</f>
        <v>0</v>
      </c>
      <c r="U613" s="194">
        <f>IFERROR(IF(INDEX([1]Pivot!$AD$1:$BE$65000,$B613,U$5)=1,1,IF(INDEX([1]Pivot!$B$1:$AB$65000,$B613,U$5)="",2,0)),0)</f>
        <v>0</v>
      </c>
      <c r="V613" s="194">
        <f>IFERROR(IF(INDEX([1]Pivot!$AD$1:$BE$65000,$B613,V$5)=1,1,IF(INDEX([1]Pivot!$B$1:$AB$65000,$B613,V$5)="",2,0)),0)</f>
        <v>0</v>
      </c>
      <c r="W613" s="194">
        <f>IFERROR(IF(INDEX([1]Pivot!$AD$1:$BE$65000,$B613,W$5)=1,1,IF(INDEX([1]Pivot!$B$1:$AB$65000,$B613,W$5)="",2,0)),0)</f>
        <v>0</v>
      </c>
      <c r="X613" s="194">
        <f>IFERROR(IF(INDEX([1]Pivot!$AD$1:$BE$65000,$B613,X$5)=1,1,IF(INDEX([1]Pivot!$B$1:$AB$65000,$B613,X$5)="",2,0)),0)</f>
        <v>0</v>
      </c>
      <c r="Y613" s="194">
        <f>IFERROR(IF(INDEX([1]Pivot!$AD$1:$BE$65000,$B613,Y$5)=1,1,IF(INDEX([1]Pivot!$B$1:$AB$65000,$B613,Y$5)="",2,0)),0)</f>
        <v>0</v>
      </c>
      <c r="Z613" s="194">
        <f>IFERROR(IF(INDEX([1]Pivot!$AD$1:$BE$65000,$B613,Z$5)=1,1,IF(INDEX([1]Pivot!$B$1:$AB$65000,$B613,Z$5)="",2,0)),0)</f>
        <v>0</v>
      </c>
      <c r="AA613" s="194">
        <f>IFERROR(IF(INDEX([1]Pivot!$AD$1:$BE$65000,$B613,AA$5)=1,1,IF(INDEX([1]Pivot!$B$1:$AB$65000,$B613,AA$5)="",2,0)),0)</f>
        <v>0</v>
      </c>
      <c r="AB613" s="194">
        <f>IFERROR(IF(INDEX([1]Pivot!$AD$1:$BE$65000,$B613,AB$5)=1,1,IF(INDEX([1]Pivot!$B$1:$AB$65000,$B613,AB$5)="",2,0)),0)</f>
        <v>0</v>
      </c>
      <c r="AC613" s="194">
        <f>IFERROR(IF(INDEX([1]Pivot!$AD$1:$BE$65000,$B613,AC$5)=1,1,IF(INDEX([1]Pivot!$B$1:$AB$65000,$B613,AC$5)="",2,0)),0)</f>
        <v>0</v>
      </c>
      <c r="AD613" s="313">
        <f>IFERROR(IF(INDEX([1]Pivot!$BF$1:$CG$65000,$B613,AD$5)=1,1,IF(INDEX([1]Pivot!$B$1:$AB$65000,$B613,AD$5)="",2,0)),0)</f>
        <v>0</v>
      </c>
      <c r="AE613" s="313">
        <f>IFERROR(IF(INDEX([1]Pivot!$BF$1:$CG$65000,$B613,AE$5)=1,1,IF(INDEX([1]Pivot!$B$1:$AB$65000,$B613,AE$5)="",2,0)),0)</f>
        <v>0</v>
      </c>
      <c r="AF613" s="313">
        <f>IFERROR(IF(INDEX([1]Pivot!$BF$1:$CG$65000,$B613,AF$5)=1,1,IF(INDEX([1]Pivot!$B$1:$AB$65000,$B613,AF$5)="",2,0)),0)</f>
        <v>0</v>
      </c>
      <c r="AG613" s="313">
        <f>IFERROR(IF(INDEX([1]Pivot!$BF$1:$CG$65000,$B613,AG$5)=1,1,IF(INDEX([1]Pivot!$B$1:$AB$65000,$B613,AG$5)="",2,0)),0)</f>
        <v>0</v>
      </c>
      <c r="AH613" s="313">
        <f>IFERROR(IF(INDEX([1]Pivot!$BF$1:$CG$65000,$B613,AH$5)=1,1,IF(INDEX([1]Pivot!$B$1:$AB$65000,$B613,AH$5)="",2,0)),0)</f>
        <v>0</v>
      </c>
      <c r="AI613" s="313">
        <f>IFERROR(IF(INDEX([1]Pivot!$BF$1:$CG$65000,$B613,AI$5)=1,1,IF(INDEX([1]Pivot!$B$1:$AB$65000,$B613,AI$5)="",2,0)),0)</f>
        <v>0</v>
      </c>
      <c r="AJ613" s="313">
        <f>IFERROR(IF(INDEX([1]Pivot!$BF$1:$CG$65000,$B613,AJ$5)=1,1,IF(INDEX([1]Pivot!$B$1:$AB$65000,$B613,AJ$5)="",2,0)),0)</f>
        <v>0</v>
      </c>
      <c r="AK613" s="313">
        <f>IFERROR(IF(INDEX([1]Pivot!$BF$1:$CG$65000,$B613,AK$5)=1,1,IF(INDEX([1]Pivot!$B$1:$AB$65000,$B613,AK$5)="",2,0)),0)</f>
        <v>0</v>
      </c>
      <c r="AL613" s="313">
        <f>IFERROR(IF(INDEX([1]Pivot!$BF$1:$CG$65000,$B613,AL$5)=1,1,IF(INDEX([1]Pivot!$B$1:$AB$65000,$B613,AL$5)="",2,0)),0)</f>
        <v>0</v>
      </c>
      <c r="AM613" s="313">
        <f>IFERROR(IF(INDEX([1]Pivot!$BF$1:$CG$65000,$B613,AM$5)=1,1,IF(INDEX([1]Pivot!$B$1:$AB$65000,$B613,AM$5)="",2,0)),0)</f>
        <v>0</v>
      </c>
      <c r="AN613" s="313">
        <f>IFERROR(IF(INDEX([1]Pivot!$BF$1:$CG$65000,$B613,AN$5)=1,1,IF(INDEX([1]Pivot!$B$1:$AB$65000,$B613,AN$5)="",2,0)),0)</f>
        <v>0</v>
      </c>
      <c r="AO613" s="313">
        <f>IFERROR(IF(INDEX([1]Pivot!$BF$1:$CG$65000,$B613,AO$5)=1,1,IF(INDEX([1]Pivot!$B$1:$AB$65000,$B613,AO$5)="",2,0)),0)</f>
        <v>0</v>
      </c>
      <c r="AP613" s="313">
        <f>IFERROR(IF(INDEX([1]Pivot!$BF$1:$CG$65000,$B613,AP$5)=1,1,IF(INDEX([1]Pivot!$B$1:$AB$65000,$B613,AP$5)="",2,0)),0)</f>
        <v>0</v>
      </c>
      <c r="AQ613" s="313">
        <f>IFERROR(IF(INDEX([1]Pivot!$BF$1:$CG$65000,$B613,AQ$5)=1,1,IF(INDEX([1]Pivot!$B$1:$AB$65000,$B613,AQ$5)="",2,0)),0)</f>
        <v>0</v>
      </c>
      <c r="AR613" s="313">
        <f>IFERROR(IF(INDEX([1]Pivot!$BF$1:$CG$65000,$B613,AR$5)=1,1,IF(INDEX([1]Pivot!$B$1:$AB$65000,$B613,AR$5)="",2,0)),0)</f>
        <v>0</v>
      </c>
      <c r="AS613" s="312"/>
      <c r="AT613" s="313">
        <f>IFERROR(IF(INDEX([1]Pivot!$BF$1:$CG$65000,$B613,AT$5)=1,1,IF(INDEX([1]Pivot!$B$1:$AB$65000,$B613,AT$5)="",2,0)),0)</f>
        <v>0</v>
      </c>
      <c r="AU613" s="313">
        <f>IFERROR(IF(INDEX([1]Pivot!$BF$1:$CG$65000,$B613,AU$5)=1,1,IF(INDEX([1]Pivot!$B$1:$AB$65000,$B613,AU$5)="",2,0)),0)</f>
        <v>0</v>
      </c>
      <c r="AV613" s="313">
        <f>IFERROR(IF(INDEX([1]Pivot!$BF$1:$CG$65000,$B613,AV$5)=1,1,IF(INDEX([1]Pivot!$B$1:$AB$65000,$B613,AV$5)="",2,0)),0)</f>
        <v>0</v>
      </c>
      <c r="AW613" s="313">
        <f>IFERROR(IF(INDEX([1]Pivot!$BF$1:$CG$65000,$B613,AW$5)=1,1,IF(INDEX([1]Pivot!$B$1:$AB$65000,$B613,AW$5)="",2,0)),0)</f>
        <v>0</v>
      </c>
      <c r="AX613" s="313">
        <f>IFERROR(IF(INDEX([1]Pivot!$BF$1:$CG$65000,$B613,AX$5)=1,1,IF(INDEX([1]Pivot!$B$1:$AB$65000,$B613,AX$5)="",2,0)),0)</f>
        <v>0</v>
      </c>
      <c r="AY613" s="313">
        <f>IFERROR(IF(INDEX([1]Pivot!$BF$1:$CG$65000,$B613,AY$5)=1,1,IF(INDEX([1]Pivot!$B$1:$AB$65000,$B613,AY$5)="",2,0)),0)</f>
        <v>0</v>
      </c>
      <c r="AZ613" s="313">
        <f>IFERROR(IF(INDEX([1]Pivot!$BF$1:$CG$65000,$B613,AZ$5)=1,1,IF(INDEX([1]Pivot!$B$1:$AB$65000,$B613,AZ$5)="",2,0)),0)</f>
        <v>0</v>
      </c>
      <c r="BA613" s="313">
        <f>IFERROR(IF(INDEX([1]Pivot!$BF$1:$CG$65000,$B613,BA$5)=1,1,IF(INDEX([1]Pivot!$B$1:$AB$65000,$B613,BA$5)="",2,0)),0)</f>
        <v>0</v>
      </c>
      <c r="BB613" s="313">
        <f>IFERROR(IF(INDEX([1]Pivot!$BF$1:$CG$65000,$B613,BB$5)=1,1,IF(INDEX([1]Pivot!$B$1:$AB$65000,$B613,BB$5)="",2,0)),0)</f>
        <v>0</v>
      </c>
      <c r="BC613" s="313">
        <f>IFERROR(IF(INDEX([1]Pivot!$BF$1:$CG$65000,$B613,BC$5)=1,1,IF(INDEX([1]Pivot!$B$1:$AB$65000,$B613,BC$5)="",2,0)),0)</f>
        <v>0</v>
      </c>
      <c r="BD613" s="313">
        <f>IFERROR(IF(INDEX([1]Pivot!$BF$1:$CG$65000,$B613,BD$5)=1,1,IF(INDEX([1]Pivot!$B$1:$AB$65000,$B613,BD$5)="",2,0)),0)</f>
        <v>0</v>
      </c>
    </row>
    <row r="614" spans="1:56" x14ac:dyDescent="0.25">
      <c r="A614" s="288">
        <f>'[2]Raw Milk Prices'!A614</f>
        <v>0</v>
      </c>
      <c r="B614" s="296" t="e">
        <f>MATCH(DATE(LEFT('[2]Raw Milk Prices'!$A614,4),RIGHT('[2]Raw Milk Prices'!$A614,2),1),[1]Pivot!$A$1:$A$65000,0)</f>
        <v>#VALUE!</v>
      </c>
      <c r="C614" s="194">
        <f>IFERROR(IF(INDEX([1]Pivot!$AD$1:$BE$65000,$B614,C$5)=1,1,IF(INDEX([1]Pivot!$B$1:$AB$65000,$B614,C$5)="",2,0)),0)</f>
        <v>0</v>
      </c>
      <c r="D614" s="194">
        <f>IFERROR(IF(INDEX([1]Pivot!$AD$1:$BE$65000,$B614,D$5)=1,1,IF(INDEX([1]Pivot!$B$1:$AB$65000,$B614,D$5)="",2,0)),0)</f>
        <v>0</v>
      </c>
      <c r="E614" s="194">
        <f>IFERROR(IF(INDEX([1]Pivot!$AD$1:$BE$65000,$B614,E$5)=1,1,IF(INDEX([1]Pivot!$B$1:$AB$65000,$B614,E$5)="",2,0)),0)</f>
        <v>0</v>
      </c>
      <c r="F614" s="194">
        <f>IFERROR(IF(INDEX([1]Pivot!$AD$1:$BE$65000,$B614,F$5)=1,1,IF(INDEX([1]Pivot!$B$1:$AB$65000,$B614,F$5)="",2,0)),0)</f>
        <v>0</v>
      </c>
      <c r="G614" s="194">
        <f>IFERROR(IF(INDEX([1]Pivot!$AD$1:$BE$65000,$B614,G$5)=1,1,IF(INDEX([1]Pivot!$B$1:$AB$65000,$B614,G$5)="",2,0)),0)</f>
        <v>0</v>
      </c>
      <c r="H614" s="194">
        <f>IFERROR(IF(INDEX([1]Pivot!$AD$1:$BE$65000,$B614,H$5)=1,1,IF(INDEX([1]Pivot!$B$1:$AB$65000,$B614,H$5)="",2,0)),0)</f>
        <v>0</v>
      </c>
      <c r="I614" s="194">
        <f>IFERROR(IF(INDEX([1]Pivot!$AD$1:$BE$65000,$B614,I$5)=1,1,IF(INDEX([1]Pivot!$B$1:$AB$65000,$B614,I$5)="",2,0)),0)</f>
        <v>0</v>
      </c>
      <c r="J614" s="194">
        <f>IFERROR(IF(INDEX([1]Pivot!$AD$1:$BE$65000,$B614,J$5)=1,1,IF(INDEX([1]Pivot!$B$1:$AB$65000,$B614,J$5)="",2,0)),0)</f>
        <v>0</v>
      </c>
      <c r="K614" s="194">
        <f>IFERROR(IF(INDEX([1]Pivot!$AD$1:$BE$65000,$B614,K$5)=1,1,IF(INDEX([1]Pivot!$B$1:$AB$65000,$B614,K$5)="",2,0)),0)</f>
        <v>0</v>
      </c>
      <c r="L614" s="194">
        <f>IFERROR(IF(INDEX([1]Pivot!$AD$1:$BE$65000,$B614,L$5)=1,1,IF(INDEX([1]Pivot!$B$1:$AB$65000,$B614,L$5)="",2,0)),0)</f>
        <v>0</v>
      </c>
      <c r="M614" s="194">
        <f>IFERROR(IF(INDEX([1]Pivot!$AD$1:$BE$65000,$B614,M$5)=1,1,IF(INDEX([1]Pivot!$B$1:$AB$65000,$B614,M$5)="",2,0)),0)</f>
        <v>0</v>
      </c>
      <c r="N614" s="194">
        <f>IFERROR(IF(INDEX([1]Pivot!$AD$1:$BE$65000,$B614,N$5)=1,1,IF(INDEX([1]Pivot!$B$1:$AB$65000,$B614,N$5)="",2,0)),0)</f>
        <v>0</v>
      </c>
      <c r="O614" s="194">
        <f>IFERROR(IF(INDEX([1]Pivot!$AD$1:$BE$65000,$B614,O$5)=1,1,IF(INDEX([1]Pivot!$B$1:$AB$65000,$B614,O$5)="",2,0)),0)</f>
        <v>0</v>
      </c>
      <c r="P614" s="194">
        <f>IFERROR(IF(INDEX([1]Pivot!$AD$1:$BE$65000,$B614,P$5)=1,1,IF(INDEX([1]Pivot!$B$1:$AB$65000,$B614,P$5)="",2,0)),0)</f>
        <v>0</v>
      </c>
      <c r="Q614" s="194">
        <f>IFERROR(IF(INDEX([1]Pivot!$AD$1:$BE$65000,$B614,Q$5)=1,1,IF(INDEX([1]Pivot!$B$1:$AB$65000,$B614,Q$5)="",2,0)),0)</f>
        <v>0</v>
      </c>
      <c r="R614" s="312"/>
      <c r="S614" s="194">
        <f>IFERROR(IF(INDEX([1]Pivot!$AD$1:$BE$65000,$B614,S$5)=1,1,IF(INDEX([1]Pivot!$B$1:$AB$65000,$B614,S$5)="",2,0)),0)</f>
        <v>0</v>
      </c>
      <c r="T614" s="194">
        <f>IFERROR(IF(INDEX([1]Pivot!$AD$1:$BE$65000,$B614,T$5)=1,1,IF(INDEX([1]Pivot!$B$1:$AB$65000,$B614,T$5)="",2,0)),0)</f>
        <v>0</v>
      </c>
      <c r="U614" s="194">
        <f>IFERROR(IF(INDEX([1]Pivot!$AD$1:$BE$65000,$B614,U$5)=1,1,IF(INDEX([1]Pivot!$B$1:$AB$65000,$B614,U$5)="",2,0)),0)</f>
        <v>0</v>
      </c>
      <c r="V614" s="194">
        <f>IFERROR(IF(INDEX([1]Pivot!$AD$1:$BE$65000,$B614,V$5)=1,1,IF(INDEX([1]Pivot!$B$1:$AB$65000,$B614,V$5)="",2,0)),0)</f>
        <v>0</v>
      </c>
      <c r="W614" s="194">
        <f>IFERROR(IF(INDEX([1]Pivot!$AD$1:$BE$65000,$B614,W$5)=1,1,IF(INDEX([1]Pivot!$B$1:$AB$65000,$B614,W$5)="",2,0)),0)</f>
        <v>0</v>
      </c>
      <c r="X614" s="194">
        <f>IFERROR(IF(INDEX([1]Pivot!$AD$1:$BE$65000,$B614,X$5)=1,1,IF(INDEX([1]Pivot!$B$1:$AB$65000,$B614,X$5)="",2,0)),0)</f>
        <v>0</v>
      </c>
      <c r="Y614" s="194">
        <f>IFERROR(IF(INDEX([1]Pivot!$AD$1:$BE$65000,$B614,Y$5)=1,1,IF(INDEX([1]Pivot!$B$1:$AB$65000,$B614,Y$5)="",2,0)),0)</f>
        <v>0</v>
      </c>
      <c r="Z614" s="194">
        <f>IFERROR(IF(INDEX([1]Pivot!$AD$1:$BE$65000,$B614,Z$5)=1,1,IF(INDEX([1]Pivot!$B$1:$AB$65000,$B614,Z$5)="",2,0)),0)</f>
        <v>0</v>
      </c>
      <c r="AA614" s="194">
        <f>IFERROR(IF(INDEX([1]Pivot!$AD$1:$BE$65000,$B614,AA$5)=1,1,IF(INDEX([1]Pivot!$B$1:$AB$65000,$B614,AA$5)="",2,0)),0)</f>
        <v>0</v>
      </c>
      <c r="AB614" s="194">
        <f>IFERROR(IF(INDEX([1]Pivot!$AD$1:$BE$65000,$B614,AB$5)=1,1,IF(INDEX([1]Pivot!$B$1:$AB$65000,$B614,AB$5)="",2,0)),0)</f>
        <v>0</v>
      </c>
      <c r="AC614" s="194">
        <f>IFERROR(IF(INDEX([1]Pivot!$AD$1:$BE$65000,$B614,AC$5)=1,1,IF(INDEX([1]Pivot!$B$1:$AB$65000,$B614,AC$5)="",2,0)),0)</f>
        <v>0</v>
      </c>
      <c r="AD614" s="313">
        <f>IFERROR(IF(INDEX([1]Pivot!$BF$1:$CG$65000,$B614,AD$5)=1,1,IF(INDEX([1]Pivot!$B$1:$AB$65000,$B614,AD$5)="",2,0)),0)</f>
        <v>0</v>
      </c>
      <c r="AE614" s="313">
        <f>IFERROR(IF(INDEX([1]Pivot!$BF$1:$CG$65000,$B614,AE$5)=1,1,IF(INDEX([1]Pivot!$B$1:$AB$65000,$B614,AE$5)="",2,0)),0)</f>
        <v>0</v>
      </c>
      <c r="AF614" s="313">
        <f>IFERROR(IF(INDEX([1]Pivot!$BF$1:$CG$65000,$B614,AF$5)=1,1,IF(INDEX([1]Pivot!$B$1:$AB$65000,$B614,AF$5)="",2,0)),0)</f>
        <v>0</v>
      </c>
      <c r="AG614" s="313">
        <f>IFERROR(IF(INDEX([1]Pivot!$BF$1:$CG$65000,$B614,AG$5)=1,1,IF(INDEX([1]Pivot!$B$1:$AB$65000,$B614,AG$5)="",2,0)),0)</f>
        <v>0</v>
      </c>
      <c r="AH614" s="313">
        <f>IFERROR(IF(INDEX([1]Pivot!$BF$1:$CG$65000,$B614,AH$5)=1,1,IF(INDEX([1]Pivot!$B$1:$AB$65000,$B614,AH$5)="",2,0)),0)</f>
        <v>0</v>
      </c>
      <c r="AI614" s="313">
        <f>IFERROR(IF(INDEX([1]Pivot!$BF$1:$CG$65000,$B614,AI$5)=1,1,IF(INDEX([1]Pivot!$B$1:$AB$65000,$B614,AI$5)="",2,0)),0)</f>
        <v>0</v>
      </c>
      <c r="AJ614" s="313">
        <f>IFERROR(IF(INDEX([1]Pivot!$BF$1:$CG$65000,$B614,AJ$5)=1,1,IF(INDEX([1]Pivot!$B$1:$AB$65000,$B614,AJ$5)="",2,0)),0)</f>
        <v>0</v>
      </c>
      <c r="AK614" s="313">
        <f>IFERROR(IF(INDEX([1]Pivot!$BF$1:$CG$65000,$B614,AK$5)=1,1,IF(INDEX([1]Pivot!$B$1:$AB$65000,$B614,AK$5)="",2,0)),0)</f>
        <v>0</v>
      </c>
      <c r="AL614" s="313">
        <f>IFERROR(IF(INDEX([1]Pivot!$BF$1:$CG$65000,$B614,AL$5)=1,1,IF(INDEX([1]Pivot!$B$1:$AB$65000,$B614,AL$5)="",2,0)),0)</f>
        <v>0</v>
      </c>
      <c r="AM614" s="313">
        <f>IFERROR(IF(INDEX([1]Pivot!$BF$1:$CG$65000,$B614,AM$5)=1,1,IF(INDEX([1]Pivot!$B$1:$AB$65000,$B614,AM$5)="",2,0)),0)</f>
        <v>0</v>
      </c>
      <c r="AN614" s="313">
        <f>IFERROR(IF(INDEX([1]Pivot!$BF$1:$CG$65000,$B614,AN$5)=1,1,IF(INDEX([1]Pivot!$B$1:$AB$65000,$B614,AN$5)="",2,0)),0)</f>
        <v>0</v>
      </c>
      <c r="AO614" s="313">
        <f>IFERROR(IF(INDEX([1]Pivot!$BF$1:$CG$65000,$B614,AO$5)=1,1,IF(INDEX([1]Pivot!$B$1:$AB$65000,$B614,AO$5)="",2,0)),0)</f>
        <v>0</v>
      </c>
      <c r="AP614" s="313">
        <f>IFERROR(IF(INDEX([1]Pivot!$BF$1:$CG$65000,$B614,AP$5)=1,1,IF(INDEX([1]Pivot!$B$1:$AB$65000,$B614,AP$5)="",2,0)),0)</f>
        <v>0</v>
      </c>
      <c r="AQ614" s="313">
        <f>IFERROR(IF(INDEX([1]Pivot!$BF$1:$CG$65000,$B614,AQ$5)=1,1,IF(INDEX([1]Pivot!$B$1:$AB$65000,$B614,AQ$5)="",2,0)),0)</f>
        <v>0</v>
      </c>
      <c r="AR614" s="313">
        <f>IFERROR(IF(INDEX([1]Pivot!$BF$1:$CG$65000,$B614,AR$5)=1,1,IF(INDEX([1]Pivot!$B$1:$AB$65000,$B614,AR$5)="",2,0)),0)</f>
        <v>0</v>
      </c>
      <c r="AS614" s="312"/>
      <c r="AT614" s="313">
        <f>IFERROR(IF(INDEX([1]Pivot!$BF$1:$CG$65000,$B614,AT$5)=1,1,IF(INDEX([1]Pivot!$B$1:$AB$65000,$B614,AT$5)="",2,0)),0)</f>
        <v>0</v>
      </c>
      <c r="AU614" s="313">
        <f>IFERROR(IF(INDEX([1]Pivot!$BF$1:$CG$65000,$B614,AU$5)=1,1,IF(INDEX([1]Pivot!$B$1:$AB$65000,$B614,AU$5)="",2,0)),0)</f>
        <v>0</v>
      </c>
      <c r="AV614" s="313">
        <f>IFERROR(IF(INDEX([1]Pivot!$BF$1:$CG$65000,$B614,AV$5)=1,1,IF(INDEX([1]Pivot!$B$1:$AB$65000,$B614,AV$5)="",2,0)),0)</f>
        <v>0</v>
      </c>
      <c r="AW614" s="313">
        <f>IFERROR(IF(INDEX([1]Pivot!$BF$1:$CG$65000,$B614,AW$5)=1,1,IF(INDEX([1]Pivot!$B$1:$AB$65000,$B614,AW$5)="",2,0)),0)</f>
        <v>0</v>
      </c>
      <c r="AX614" s="313">
        <f>IFERROR(IF(INDEX([1]Pivot!$BF$1:$CG$65000,$B614,AX$5)=1,1,IF(INDEX([1]Pivot!$B$1:$AB$65000,$B614,AX$5)="",2,0)),0)</f>
        <v>0</v>
      </c>
      <c r="AY614" s="313">
        <f>IFERROR(IF(INDEX([1]Pivot!$BF$1:$CG$65000,$B614,AY$5)=1,1,IF(INDEX([1]Pivot!$B$1:$AB$65000,$B614,AY$5)="",2,0)),0)</f>
        <v>0</v>
      </c>
      <c r="AZ614" s="313">
        <f>IFERROR(IF(INDEX([1]Pivot!$BF$1:$CG$65000,$B614,AZ$5)=1,1,IF(INDEX([1]Pivot!$B$1:$AB$65000,$B614,AZ$5)="",2,0)),0)</f>
        <v>0</v>
      </c>
      <c r="BA614" s="313">
        <f>IFERROR(IF(INDEX([1]Pivot!$BF$1:$CG$65000,$B614,BA$5)=1,1,IF(INDEX([1]Pivot!$B$1:$AB$65000,$B614,BA$5)="",2,0)),0)</f>
        <v>0</v>
      </c>
      <c r="BB614" s="313">
        <f>IFERROR(IF(INDEX([1]Pivot!$BF$1:$CG$65000,$B614,BB$5)=1,1,IF(INDEX([1]Pivot!$B$1:$AB$65000,$B614,BB$5)="",2,0)),0)</f>
        <v>0</v>
      </c>
      <c r="BC614" s="313">
        <f>IFERROR(IF(INDEX([1]Pivot!$BF$1:$CG$65000,$B614,BC$5)=1,1,IF(INDEX([1]Pivot!$B$1:$AB$65000,$B614,BC$5)="",2,0)),0)</f>
        <v>0</v>
      </c>
      <c r="BD614" s="313">
        <f>IFERROR(IF(INDEX([1]Pivot!$BF$1:$CG$65000,$B614,BD$5)=1,1,IF(INDEX([1]Pivot!$B$1:$AB$65000,$B614,BD$5)="",2,0)),0)</f>
        <v>0</v>
      </c>
    </row>
    <row r="615" spans="1:56" x14ac:dyDescent="0.25">
      <c r="A615" s="288">
        <f>'[2]Raw Milk Prices'!A615</f>
        <v>0</v>
      </c>
      <c r="B615" s="296" t="e">
        <f>MATCH(DATE(LEFT('[2]Raw Milk Prices'!$A615,4),RIGHT('[2]Raw Milk Prices'!$A615,2),1),[1]Pivot!$A$1:$A$65000,0)</f>
        <v>#VALUE!</v>
      </c>
      <c r="C615" s="194">
        <f>IFERROR(IF(INDEX([1]Pivot!$AD$1:$BE$65000,$B615,C$5)=1,1,IF(INDEX([1]Pivot!$B$1:$AB$65000,$B615,C$5)="",2,0)),0)</f>
        <v>0</v>
      </c>
      <c r="D615" s="194">
        <f>IFERROR(IF(INDEX([1]Pivot!$AD$1:$BE$65000,$B615,D$5)=1,1,IF(INDEX([1]Pivot!$B$1:$AB$65000,$B615,D$5)="",2,0)),0)</f>
        <v>0</v>
      </c>
      <c r="E615" s="194">
        <f>IFERROR(IF(INDEX([1]Pivot!$AD$1:$BE$65000,$B615,E$5)=1,1,IF(INDEX([1]Pivot!$B$1:$AB$65000,$B615,E$5)="",2,0)),0)</f>
        <v>0</v>
      </c>
      <c r="F615" s="194">
        <f>IFERROR(IF(INDEX([1]Pivot!$AD$1:$BE$65000,$B615,F$5)=1,1,IF(INDEX([1]Pivot!$B$1:$AB$65000,$B615,F$5)="",2,0)),0)</f>
        <v>0</v>
      </c>
      <c r="G615" s="194">
        <f>IFERROR(IF(INDEX([1]Pivot!$AD$1:$BE$65000,$B615,G$5)=1,1,IF(INDEX([1]Pivot!$B$1:$AB$65000,$B615,G$5)="",2,0)),0)</f>
        <v>0</v>
      </c>
      <c r="H615" s="194">
        <f>IFERROR(IF(INDEX([1]Pivot!$AD$1:$BE$65000,$B615,H$5)=1,1,IF(INDEX([1]Pivot!$B$1:$AB$65000,$B615,H$5)="",2,0)),0)</f>
        <v>0</v>
      </c>
      <c r="I615" s="194">
        <f>IFERROR(IF(INDEX([1]Pivot!$AD$1:$BE$65000,$B615,I$5)=1,1,IF(INDEX([1]Pivot!$B$1:$AB$65000,$B615,I$5)="",2,0)),0)</f>
        <v>0</v>
      </c>
      <c r="J615" s="194">
        <f>IFERROR(IF(INDEX([1]Pivot!$AD$1:$BE$65000,$B615,J$5)=1,1,IF(INDEX([1]Pivot!$B$1:$AB$65000,$B615,J$5)="",2,0)),0)</f>
        <v>0</v>
      </c>
      <c r="K615" s="194">
        <f>IFERROR(IF(INDEX([1]Pivot!$AD$1:$BE$65000,$B615,K$5)=1,1,IF(INDEX([1]Pivot!$B$1:$AB$65000,$B615,K$5)="",2,0)),0)</f>
        <v>0</v>
      </c>
      <c r="L615" s="194">
        <f>IFERROR(IF(INDEX([1]Pivot!$AD$1:$BE$65000,$B615,L$5)=1,1,IF(INDEX([1]Pivot!$B$1:$AB$65000,$B615,L$5)="",2,0)),0)</f>
        <v>0</v>
      </c>
      <c r="M615" s="194">
        <f>IFERROR(IF(INDEX([1]Pivot!$AD$1:$BE$65000,$B615,M$5)=1,1,IF(INDEX([1]Pivot!$B$1:$AB$65000,$B615,M$5)="",2,0)),0)</f>
        <v>0</v>
      </c>
      <c r="N615" s="194">
        <f>IFERROR(IF(INDEX([1]Pivot!$AD$1:$BE$65000,$B615,N$5)=1,1,IF(INDEX([1]Pivot!$B$1:$AB$65000,$B615,N$5)="",2,0)),0)</f>
        <v>0</v>
      </c>
      <c r="O615" s="194">
        <f>IFERROR(IF(INDEX([1]Pivot!$AD$1:$BE$65000,$B615,O$5)=1,1,IF(INDEX([1]Pivot!$B$1:$AB$65000,$B615,O$5)="",2,0)),0)</f>
        <v>0</v>
      </c>
      <c r="P615" s="194">
        <f>IFERROR(IF(INDEX([1]Pivot!$AD$1:$BE$65000,$B615,P$5)=1,1,IF(INDEX([1]Pivot!$B$1:$AB$65000,$B615,P$5)="",2,0)),0)</f>
        <v>0</v>
      </c>
      <c r="Q615" s="194">
        <f>IFERROR(IF(INDEX([1]Pivot!$AD$1:$BE$65000,$B615,Q$5)=1,1,IF(INDEX([1]Pivot!$B$1:$AB$65000,$B615,Q$5)="",2,0)),0)</f>
        <v>0</v>
      </c>
      <c r="R615" s="312"/>
      <c r="S615" s="194">
        <f>IFERROR(IF(INDEX([1]Pivot!$AD$1:$BE$65000,$B615,S$5)=1,1,IF(INDEX([1]Pivot!$B$1:$AB$65000,$B615,S$5)="",2,0)),0)</f>
        <v>0</v>
      </c>
      <c r="T615" s="194">
        <f>IFERROR(IF(INDEX([1]Pivot!$AD$1:$BE$65000,$B615,T$5)=1,1,IF(INDEX([1]Pivot!$B$1:$AB$65000,$B615,T$5)="",2,0)),0)</f>
        <v>0</v>
      </c>
      <c r="U615" s="194">
        <f>IFERROR(IF(INDEX([1]Pivot!$AD$1:$BE$65000,$B615,U$5)=1,1,IF(INDEX([1]Pivot!$B$1:$AB$65000,$B615,U$5)="",2,0)),0)</f>
        <v>0</v>
      </c>
      <c r="V615" s="194">
        <f>IFERROR(IF(INDEX([1]Pivot!$AD$1:$BE$65000,$B615,V$5)=1,1,IF(INDEX([1]Pivot!$B$1:$AB$65000,$B615,V$5)="",2,0)),0)</f>
        <v>0</v>
      </c>
      <c r="W615" s="194">
        <f>IFERROR(IF(INDEX([1]Pivot!$AD$1:$BE$65000,$B615,W$5)=1,1,IF(INDEX([1]Pivot!$B$1:$AB$65000,$B615,W$5)="",2,0)),0)</f>
        <v>0</v>
      </c>
      <c r="X615" s="194">
        <f>IFERROR(IF(INDEX([1]Pivot!$AD$1:$BE$65000,$B615,X$5)=1,1,IF(INDEX([1]Pivot!$B$1:$AB$65000,$B615,X$5)="",2,0)),0)</f>
        <v>0</v>
      </c>
      <c r="Y615" s="194">
        <f>IFERROR(IF(INDEX([1]Pivot!$AD$1:$BE$65000,$B615,Y$5)=1,1,IF(INDEX([1]Pivot!$B$1:$AB$65000,$B615,Y$5)="",2,0)),0)</f>
        <v>0</v>
      </c>
      <c r="Z615" s="194">
        <f>IFERROR(IF(INDEX([1]Pivot!$AD$1:$BE$65000,$B615,Z$5)=1,1,IF(INDEX([1]Pivot!$B$1:$AB$65000,$B615,Z$5)="",2,0)),0)</f>
        <v>0</v>
      </c>
      <c r="AA615" s="194">
        <f>IFERROR(IF(INDEX([1]Pivot!$AD$1:$BE$65000,$B615,AA$5)=1,1,IF(INDEX([1]Pivot!$B$1:$AB$65000,$B615,AA$5)="",2,0)),0)</f>
        <v>0</v>
      </c>
      <c r="AB615" s="194">
        <f>IFERROR(IF(INDEX([1]Pivot!$AD$1:$BE$65000,$B615,AB$5)=1,1,IF(INDEX([1]Pivot!$B$1:$AB$65000,$B615,AB$5)="",2,0)),0)</f>
        <v>0</v>
      </c>
      <c r="AC615" s="194">
        <f>IFERROR(IF(INDEX([1]Pivot!$AD$1:$BE$65000,$B615,AC$5)=1,1,IF(INDEX([1]Pivot!$B$1:$AB$65000,$B615,AC$5)="",2,0)),0)</f>
        <v>0</v>
      </c>
      <c r="AD615" s="313">
        <f>IFERROR(IF(INDEX([1]Pivot!$BF$1:$CG$65000,$B615,AD$5)=1,1,IF(INDEX([1]Pivot!$B$1:$AB$65000,$B615,AD$5)="",2,0)),0)</f>
        <v>0</v>
      </c>
      <c r="AE615" s="313">
        <f>IFERROR(IF(INDEX([1]Pivot!$BF$1:$CG$65000,$B615,AE$5)=1,1,IF(INDEX([1]Pivot!$B$1:$AB$65000,$B615,AE$5)="",2,0)),0)</f>
        <v>0</v>
      </c>
      <c r="AF615" s="313">
        <f>IFERROR(IF(INDEX([1]Pivot!$BF$1:$CG$65000,$B615,AF$5)=1,1,IF(INDEX([1]Pivot!$B$1:$AB$65000,$B615,AF$5)="",2,0)),0)</f>
        <v>0</v>
      </c>
      <c r="AG615" s="313">
        <f>IFERROR(IF(INDEX([1]Pivot!$BF$1:$CG$65000,$B615,AG$5)=1,1,IF(INDEX([1]Pivot!$B$1:$AB$65000,$B615,AG$5)="",2,0)),0)</f>
        <v>0</v>
      </c>
      <c r="AH615" s="313">
        <f>IFERROR(IF(INDEX([1]Pivot!$BF$1:$CG$65000,$B615,AH$5)=1,1,IF(INDEX([1]Pivot!$B$1:$AB$65000,$B615,AH$5)="",2,0)),0)</f>
        <v>0</v>
      </c>
      <c r="AI615" s="313">
        <f>IFERROR(IF(INDEX([1]Pivot!$BF$1:$CG$65000,$B615,AI$5)=1,1,IF(INDEX([1]Pivot!$B$1:$AB$65000,$B615,AI$5)="",2,0)),0)</f>
        <v>0</v>
      </c>
      <c r="AJ615" s="313">
        <f>IFERROR(IF(INDEX([1]Pivot!$BF$1:$CG$65000,$B615,AJ$5)=1,1,IF(INDEX([1]Pivot!$B$1:$AB$65000,$B615,AJ$5)="",2,0)),0)</f>
        <v>0</v>
      </c>
      <c r="AK615" s="313">
        <f>IFERROR(IF(INDEX([1]Pivot!$BF$1:$CG$65000,$B615,AK$5)=1,1,IF(INDEX([1]Pivot!$B$1:$AB$65000,$B615,AK$5)="",2,0)),0)</f>
        <v>0</v>
      </c>
      <c r="AL615" s="313">
        <f>IFERROR(IF(INDEX([1]Pivot!$BF$1:$CG$65000,$B615,AL$5)=1,1,IF(INDEX([1]Pivot!$B$1:$AB$65000,$B615,AL$5)="",2,0)),0)</f>
        <v>0</v>
      </c>
      <c r="AM615" s="313">
        <f>IFERROR(IF(INDEX([1]Pivot!$BF$1:$CG$65000,$B615,AM$5)=1,1,IF(INDEX([1]Pivot!$B$1:$AB$65000,$B615,AM$5)="",2,0)),0)</f>
        <v>0</v>
      </c>
      <c r="AN615" s="313">
        <f>IFERROR(IF(INDEX([1]Pivot!$BF$1:$CG$65000,$B615,AN$5)=1,1,IF(INDEX([1]Pivot!$B$1:$AB$65000,$B615,AN$5)="",2,0)),0)</f>
        <v>0</v>
      </c>
      <c r="AO615" s="313">
        <f>IFERROR(IF(INDEX([1]Pivot!$BF$1:$CG$65000,$B615,AO$5)=1,1,IF(INDEX([1]Pivot!$B$1:$AB$65000,$B615,AO$5)="",2,0)),0)</f>
        <v>0</v>
      </c>
      <c r="AP615" s="313">
        <f>IFERROR(IF(INDEX([1]Pivot!$BF$1:$CG$65000,$B615,AP$5)=1,1,IF(INDEX([1]Pivot!$B$1:$AB$65000,$B615,AP$5)="",2,0)),0)</f>
        <v>0</v>
      </c>
      <c r="AQ615" s="313">
        <f>IFERROR(IF(INDEX([1]Pivot!$BF$1:$CG$65000,$B615,AQ$5)=1,1,IF(INDEX([1]Pivot!$B$1:$AB$65000,$B615,AQ$5)="",2,0)),0)</f>
        <v>0</v>
      </c>
      <c r="AR615" s="313">
        <f>IFERROR(IF(INDEX([1]Pivot!$BF$1:$CG$65000,$B615,AR$5)=1,1,IF(INDEX([1]Pivot!$B$1:$AB$65000,$B615,AR$5)="",2,0)),0)</f>
        <v>0</v>
      </c>
      <c r="AS615" s="312"/>
      <c r="AT615" s="313">
        <f>IFERROR(IF(INDEX([1]Pivot!$BF$1:$CG$65000,$B615,AT$5)=1,1,IF(INDEX([1]Pivot!$B$1:$AB$65000,$B615,AT$5)="",2,0)),0)</f>
        <v>0</v>
      </c>
      <c r="AU615" s="313">
        <f>IFERROR(IF(INDEX([1]Pivot!$BF$1:$CG$65000,$B615,AU$5)=1,1,IF(INDEX([1]Pivot!$B$1:$AB$65000,$B615,AU$5)="",2,0)),0)</f>
        <v>0</v>
      </c>
      <c r="AV615" s="313">
        <f>IFERROR(IF(INDEX([1]Pivot!$BF$1:$CG$65000,$B615,AV$5)=1,1,IF(INDEX([1]Pivot!$B$1:$AB$65000,$B615,AV$5)="",2,0)),0)</f>
        <v>0</v>
      </c>
      <c r="AW615" s="313">
        <f>IFERROR(IF(INDEX([1]Pivot!$BF$1:$CG$65000,$B615,AW$5)=1,1,IF(INDEX([1]Pivot!$B$1:$AB$65000,$B615,AW$5)="",2,0)),0)</f>
        <v>0</v>
      </c>
      <c r="AX615" s="313">
        <f>IFERROR(IF(INDEX([1]Pivot!$BF$1:$CG$65000,$B615,AX$5)=1,1,IF(INDEX([1]Pivot!$B$1:$AB$65000,$B615,AX$5)="",2,0)),0)</f>
        <v>0</v>
      </c>
      <c r="AY615" s="313">
        <f>IFERROR(IF(INDEX([1]Pivot!$BF$1:$CG$65000,$B615,AY$5)=1,1,IF(INDEX([1]Pivot!$B$1:$AB$65000,$B615,AY$5)="",2,0)),0)</f>
        <v>0</v>
      </c>
      <c r="AZ615" s="313">
        <f>IFERROR(IF(INDEX([1]Pivot!$BF$1:$CG$65000,$B615,AZ$5)=1,1,IF(INDEX([1]Pivot!$B$1:$AB$65000,$B615,AZ$5)="",2,0)),0)</f>
        <v>0</v>
      </c>
      <c r="BA615" s="313">
        <f>IFERROR(IF(INDEX([1]Pivot!$BF$1:$CG$65000,$B615,BA$5)=1,1,IF(INDEX([1]Pivot!$B$1:$AB$65000,$B615,BA$5)="",2,0)),0)</f>
        <v>0</v>
      </c>
      <c r="BB615" s="313">
        <f>IFERROR(IF(INDEX([1]Pivot!$BF$1:$CG$65000,$B615,BB$5)=1,1,IF(INDEX([1]Pivot!$B$1:$AB$65000,$B615,BB$5)="",2,0)),0)</f>
        <v>0</v>
      </c>
      <c r="BC615" s="313">
        <f>IFERROR(IF(INDEX([1]Pivot!$BF$1:$CG$65000,$B615,BC$5)=1,1,IF(INDEX([1]Pivot!$B$1:$AB$65000,$B615,BC$5)="",2,0)),0)</f>
        <v>0</v>
      </c>
      <c r="BD615" s="313">
        <f>IFERROR(IF(INDEX([1]Pivot!$BF$1:$CG$65000,$B615,BD$5)=1,1,IF(INDEX([1]Pivot!$B$1:$AB$65000,$B615,BD$5)="",2,0)),0)</f>
        <v>0</v>
      </c>
    </row>
    <row r="616" spans="1:56" x14ac:dyDescent="0.25">
      <c r="A616" s="288">
        <f>'[2]Raw Milk Prices'!A616</f>
        <v>0</v>
      </c>
      <c r="B616" s="296" t="e">
        <f>MATCH(DATE(LEFT('[2]Raw Milk Prices'!$A616,4),RIGHT('[2]Raw Milk Prices'!$A616,2),1),[1]Pivot!$A$1:$A$65000,0)</f>
        <v>#VALUE!</v>
      </c>
      <c r="C616" s="194">
        <f>IFERROR(IF(INDEX([1]Pivot!$AD$1:$BE$65000,$B616,C$5)=1,1,IF(INDEX([1]Pivot!$B$1:$AB$65000,$B616,C$5)="",2,0)),0)</f>
        <v>0</v>
      </c>
      <c r="D616" s="194">
        <f>IFERROR(IF(INDEX([1]Pivot!$AD$1:$BE$65000,$B616,D$5)=1,1,IF(INDEX([1]Pivot!$B$1:$AB$65000,$B616,D$5)="",2,0)),0)</f>
        <v>0</v>
      </c>
      <c r="E616" s="194">
        <f>IFERROR(IF(INDEX([1]Pivot!$AD$1:$BE$65000,$B616,E$5)=1,1,IF(INDEX([1]Pivot!$B$1:$AB$65000,$B616,E$5)="",2,0)),0)</f>
        <v>0</v>
      </c>
      <c r="F616" s="194">
        <f>IFERROR(IF(INDEX([1]Pivot!$AD$1:$BE$65000,$B616,F$5)=1,1,IF(INDEX([1]Pivot!$B$1:$AB$65000,$B616,F$5)="",2,0)),0)</f>
        <v>0</v>
      </c>
      <c r="G616" s="194">
        <f>IFERROR(IF(INDEX([1]Pivot!$AD$1:$BE$65000,$B616,G$5)=1,1,IF(INDEX([1]Pivot!$B$1:$AB$65000,$B616,G$5)="",2,0)),0)</f>
        <v>0</v>
      </c>
      <c r="H616" s="194">
        <f>IFERROR(IF(INDEX([1]Pivot!$AD$1:$BE$65000,$B616,H$5)=1,1,IF(INDEX([1]Pivot!$B$1:$AB$65000,$B616,H$5)="",2,0)),0)</f>
        <v>0</v>
      </c>
      <c r="I616" s="194">
        <f>IFERROR(IF(INDEX([1]Pivot!$AD$1:$BE$65000,$B616,I$5)=1,1,IF(INDEX([1]Pivot!$B$1:$AB$65000,$B616,I$5)="",2,0)),0)</f>
        <v>0</v>
      </c>
      <c r="J616" s="194">
        <f>IFERROR(IF(INDEX([1]Pivot!$AD$1:$BE$65000,$B616,J$5)=1,1,IF(INDEX([1]Pivot!$B$1:$AB$65000,$B616,J$5)="",2,0)),0)</f>
        <v>0</v>
      </c>
      <c r="K616" s="194">
        <f>IFERROR(IF(INDEX([1]Pivot!$AD$1:$BE$65000,$B616,K$5)=1,1,IF(INDEX([1]Pivot!$B$1:$AB$65000,$B616,K$5)="",2,0)),0)</f>
        <v>0</v>
      </c>
      <c r="L616" s="194">
        <f>IFERROR(IF(INDEX([1]Pivot!$AD$1:$BE$65000,$B616,L$5)=1,1,IF(INDEX([1]Pivot!$B$1:$AB$65000,$B616,L$5)="",2,0)),0)</f>
        <v>0</v>
      </c>
      <c r="M616" s="194">
        <f>IFERROR(IF(INDEX([1]Pivot!$AD$1:$BE$65000,$B616,M$5)=1,1,IF(INDEX([1]Pivot!$B$1:$AB$65000,$B616,M$5)="",2,0)),0)</f>
        <v>0</v>
      </c>
      <c r="N616" s="194">
        <f>IFERROR(IF(INDEX([1]Pivot!$AD$1:$BE$65000,$B616,N$5)=1,1,IF(INDEX([1]Pivot!$B$1:$AB$65000,$B616,N$5)="",2,0)),0)</f>
        <v>0</v>
      </c>
      <c r="O616" s="194">
        <f>IFERROR(IF(INDEX([1]Pivot!$AD$1:$BE$65000,$B616,O$5)=1,1,IF(INDEX([1]Pivot!$B$1:$AB$65000,$B616,O$5)="",2,0)),0)</f>
        <v>0</v>
      </c>
      <c r="P616" s="194">
        <f>IFERROR(IF(INDEX([1]Pivot!$AD$1:$BE$65000,$B616,P$5)=1,1,IF(INDEX([1]Pivot!$B$1:$AB$65000,$B616,P$5)="",2,0)),0)</f>
        <v>0</v>
      </c>
      <c r="Q616" s="194">
        <f>IFERROR(IF(INDEX([1]Pivot!$AD$1:$BE$65000,$B616,Q$5)=1,1,IF(INDEX([1]Pivot!$B$1:$AB$65000,$B616,Q$5)="",2,0)),0)</f>
        <v>0</v>
      </c>
      <c r="R616" s="312"/>
      <c r="S616" s="194">
        <f>IFERROR(IF(INDEX([1]Pivot!$AD$1:$BE$65000,$B616,S$5)=1,1,IF(INDEX([1]Pivot!$B$1:$AB$65000,$B616,S$5)="",2,0)),0)</f>
        <v>0</v>
      </c>
      <c r="T616" s="194">
        <f>IFERROR(IF(INDEX([1]Pivot!$AD$1:$BE$65000,$B616,T$5)=1,1,IF(INDEX([1]Pivot!$B$1:$AB$65000,$B616,T$5)="",2,0)),0)</f>
        <v>0</v>
      </c>
      <c r="U616" s="194">
        <f>IFERROR(IF(INDEX([1]Pivot!$AD$1:$BE$65000,$B616,U$5)=1,1,IF(INDEX([1]Pivot!$B$1:$AB$65000,$B616,U$5)="",2,0)),0)</f>
        <v>0</v>
      </c>
      <c r="V616" s="194">
        <f>IFERROR(IF(INDEX([1]Pivot!$AD$1:$BE$65000,$B616,V$5)=1,1,IF(INDEX([1]Pivot!$B$1:$AB$65000,$B616,V$5)="",2,0)),0)</f>
        <v>0</v>
      </c>
      <c r="W616" s="194">
        <f>IFERROR(IF(INDEX([1]Pivot!$AD$1:$BE$65000,$B616,W$5)=1,1,IF(INDEX([1]Pivot!$B$1:$AB$65000,$B616,W$5)="",2,0)),0)</f>
        <v>0</v>
      </c>
      <c r="X616" s="194">
        <f>IFERROR(IF(INDEX([1]Pivot!$AD$1:$BE$65000,$B616,X$5)=1,1,IF(INDEX([1]Pivot!$B$1:$AB$65000,$B616,X$5)="",2,0)),0)</f>
        <v>0</v>
      </c>
      <c r="Y616" s="194">
        <f>IFERROR(IF(INDEX([1]Pivot!$AD$1:$BE$65000,$B616,Y$5)=1,1,IF(INDEX([1]Pivot!$B$1:$AB$65000,$B616,Y$5)="",2,0)),0)</f>
        <v>0</v>
      </c>
      <c r="Z616" s="194">
        <f>IFERROR(IF(INDEX([1]Pivot!$AD$1:$BE$65000,$B616,Z$5)=1,1,IF(INDEX([1]Pivot!$B$1:$AB$65000,$B616,Z$5)="",2,0)),0)</f>
        <v>0</v>
      </c>
      <c r="AA616" s="194">
        <f>IFERROR(IF(INDEX([1]Pivot!$AD$1:$BE$65000,$B616,AA$5)=1,1,IF(INDEX([1]Pivot!$B$1:$AB$65000,$B616,AA$5)="",2,0)),0)</f>
        <v>0</v>
      </c>
      <c r="AB616" s="194">
        <f>IFERROR(IF(INDEX([1]Pivot!$AD$1:$BE$65000,$B616,AB$5)=1,1,IF(INDEX([1]Pivot!$B$1:$AB$65000,$B616,AB$5)="",2,0)),0)</f>
        <v>0</v>
      </c>
      <c r="AC616" s="194">
        <f>IFERROR(IF(INDEX([1]Pivot!$AD$1:$BE$65000,$B616,AC$5)=1,1,IF(INDEX([1]Pivot!$B$1:$AB$65000,$B616,AC$5)="",2,0)),0)</f>
        <v>0</v>
      </c>
      <c r="AD616" s="313">
        <f>IFERROR(IF(INDEX([1]Pivot!$BF$1:$CG$65000,$B616,AD$5)=1,1,IF(INDEX([1]Pivot!$B$1:$AB$65000,$B616,AD$5)="",2,0)),0)</f>
        <v>0</v>
      </c>
      <c r="AE616" s="313">
        <f>IFERROR(IF(INDEX([1]Pivot!$BF$1:$CG$65000,$B616,AE$5)=1,1,IF(INDEX([1]Pivot!$B$1:$AB$65000,$B616,AE$5)="",2,0)),0)</f>
        <v>0</v>
      </c>
      <c r="AF616" s="313">
        <f>IFERROR(IF(INDEX([1]Pivot!$BF$1:$CG$65000,$B616,AF$5)=1,1,IF(INDEX([1]Pivot!$B$1:$AB$65000,$B616,AF$5)="",2,0)),0)</f>
        <v>0</v>
      </c>
      <c r="AG616" s="313">
        <f>IFERROR(IF(INDEX([1]Pivot!$BF$1:$CG$65000,$B616,AG$5)=1,1,IF(INDEX([1]Pivot!$B$1:$AB$65000,$B616,AG$5)="",2,0)),0)</f>
        <v>0</v>
      </c>
      <c r="AH616" s="313">
        <f>IFERROR(IF(INDEX([1]Pivot!$BF$1:$CG$65000,$B616,AH$5)=1,1,IF(INDEX([1]Pivot!$B$1:$AB$65000,$B616,AH$5)="",2,0)),0)</f>
        <v>0</v>
      </c>
      <c r="AI616" s="313">
        <f>IFERROR(IF(INDEX([1]Pivot!$BF$1:$CG$65000,$B616,AI$5)=1,1,IF(INDEX([1]Pivot!$B$1:$AB$65000,$B616,AI$5)="",2,0)),0)</f>
        <v>0</v>
      </c>
      <c r="AJ616" s="313">
        <f>IFERROR(IF(INDEX([1]Pivot!$BF$1:$CG$65000,$B616,AJ$5)=1,1,IF(INDEX([1]Pivot!$B$1:$AB$65000,$B616,AJ$5)="",2,0)),0)</f>
        <v>0</v>
      </c>
      <c r="AK616" s="313">
        <f>IFERROR(IF(INDEX([1]Pivot!$BF$1:$CG$65000,$B616,AK$5)=1,1,IF(INDEX([1]Pivot!$B$1:$AB$65000,$B616,AK$5)="",2,0)),0)</f>
        <v>0</v>
      </c>
      <c r="AL616" s="313">
        <f>IFERROR(IF(INDEX([1]Pivot!$BF$1:$CG$65000,$B616,AL$5)=1,1,IF(INDEX([1]Pivot!$B$1:$AB$65000,$B616,AL$5)="",2,0)),0)</f>
        <v>0</v>
      </c>
      <c r="AM616" s="313">
        <f>IFERROR(IF(INDEX([1]Pivot!$BF$1:$CG$65000,$B616,AM$5)=1,1,IF(INDEX([1]Pivot!$B$1:$AB$65000,$B616,AM$5)="",2,0)),0)</f>
        <v>0</v>
      </c>
      <c r="AN616" s="313">
        <f>IFERROR(IF(INDEX([1]Pivot!$BF$1:$CG$65000,$B616,AN$5)=1,1,IF(INDEX([1]Pivot!$B$1:$AB$65000,$B616,AN$5)="",2,0)),0)</f>
        <v>0</v>
      </c>
      <c r="AO616" s="313">
        <f>IFERROR(IF(INDEX([1]Pivot!$BF$1:$CG$65000,$B616,AO$5)=1,1,IF(INDEX([1]Pivot!$B$1:$AB$65000,$B616,AO$5)="",2,0)),0)</f>
        <v>0</v>
      </c>
      <c r="AP616" s="313">
        <f>IFERROR(IF(INDEX([1]Pivot!$BF$1:$CG$65000,$B616,AP$5)=1,1,IF(INDEX([1]Pivot!$B$1:$AB$65000,$B616,AP$5)="",2,0)),0)</f>
        <v>0</v>
      </c>
      <c r="AQ616" s="313">
        <f>IFERROR(IF(INDEX([1]Pivot!$BF$1:$CG$65000,$B616,AQ$5)=1,1,IF(INDEX([1]Pivot!$B$1:$AB$65000,$B616,AQ$5)="",2,0)),0)</f>
        <v>0</v>
      </c>
      <c r="AR616" s="313">
        <f>IFERROR(IF(INDEX([1]Pivot!$BF$1:$CG$65000,$B616,AR$5)=1,1,IF(INDEX([1]Pivot!$B$1:$AB$65000,$B616,AR$5)="",2,0)),0)</f>
        <v>0</v>
      </c>
      <c r="AS616" s="312"/>
      <c r="AT616" s="313">
        <f>IFERROR(IF(INDEX([1]Pivot!$BF$1:$CG$65000,$B616,AT$5)=1,1,IF(INDEX([1]Pivot!$B$1:$AB$65000,$B616,AT$5)="",2,0)),0)</f>
        <v>0</v>
      </c>
      <c r="AU616" s="313">
        <f>IFERROR(IF(INDEX([1]Pivot!$BF$1:$CG$65000,$B616,AU$5)=1,1,IF(INDEX([1]Pivot!$B$1:$AB$65000,$B616,AU$5)="",2,0)),0)</f>
        <v>0</v>
      </c>
      <c r="AV616" s="313">
        <f>IFERROR(IF(INDEX([1]Pivot!$BF$1:$CG$65000,$B616,AV$5)=1,1,IF(INDEX([1]Pivot!$B$1:$AB$65000,$B616,AV$5)="",2,0)),0)</f>
        <v>0</v>
      </c>
      <c r="AW616" s="313">
        <f>IFERROR(IF(INDEX([1]Pivot!$BF$1:$CG$65000,$B616,AW$5)=1,1,IF(INDEX([1]Pivot!$B$1:$AB$65000,$B616,AW$5)="",2,0)),0)</f>
        <v>0</v>
      </c>
      <c r="AX616" s="313">
        <f>IFERROR(IF(INDEX([1]Pivot!$BF$1:$CG$65000,$B616,AX$5)=1,1,IF(INDEX([1]Pivot!$B$1:$AB$65000,$B616,AX$5)="",2,0)),0)</f>
        <v>0</v>
      </c>
      <c r="AY616" s="313">
        <f>IFERROR(IF(INDEX([1]Pivot!$BF$1:$CG$65000,$B616,AY$5)=1,1,IF(INDEX([1]Pivot!$B$1:$AB$65000,$B616,AY$5)="",2,0)),0)</f>
        <v>0</v>
      </c>
      <c r="AZ616" s="313">
        <f>IFERROR(IF(INDEX([1]Pivot!$BF$1:$CG$65000,$B616,AZ$5)=1,1,IF(INDEX([1]Pivot!$B$1:$AB$65000,$B616,AZ$5)="",2,0)),0)</f>
        <v>0</v>
      </c>
      <c r="BA616" s="313">
        <f>IFERROR(IF(INDEX([1]Pivot!$BF$1:$CG$65000,$B616,BA$5)=1,1,IF(INDEX([1]Pivot!$B$1:$AB$65000,$B616,BA$5)="",2,0)),0)</f>
        <v>0</v>
      </c>
      <c r="BB616" s="313">
        <f>IFERROR(IF(INDEX([1]Pivot!$BF$1:$CG$65000,$B616,BB$5)=1,1,IF(INDEX([1]Pivot!$B$1:$AB$65000,$B616,BB$5)="",2,0)),0)</f>
        <v>0</v>
      </c>
      <c r="BC616" s="313">
        <f>IFERROR(IF(INDEX([1]Pivot!$BF$1:$CG$65000,$B616,BC$5)=1,1,IF(INDEX([1]Pivot!$B$1:$AB$65000,$B616,BC$5)="",2,0)),0)</f>
        <v>0</v>
      </c>
      <c r="BD616" s="313">
        <f>IFERROR(IF(INDEX([1]Pivot!$BF$1:$CG$65000,$B616,BD$5)=1,1,IF(INDEX([1]Pivot!$B$1:$AB$65000,$B616,BD$5)="",2,0)),0)</f>
        <v>0</v>
      </c>
    </row>
    <row r="617" spans="1:56" x14ac:dyDescent="0.25">
      <c r="A617" s="288">
        <f>'[2]Raw Milk Prices'!A617</f>
        <v>0</v>
      </c>
      <c r="B617" s="296" t="e">
        <f>MATCH(DATE(LEFT('[2]Raw Milk Prices'!$A617,4),RIGHT('[2]Raw Milk Prices'!$A617,2),1),[1]Pivot!$A$1:$A$65000,0)</f>
        <v>#VALUE!</v>
      </c>
      <c r="C617" s="194">
        <f>IFERROR(IF(INDEX([1]Pivot!$AD$1:$BE$65000,$B617,C$5)=1,1,IF(INDEX([1]Pivot!$B$1:$AB$65000,$B617,C$5)="",2,0)),0)</f>
        <v>0</v>
      </c>
      <c r="D617" s="194">
        <f>IFERROR(IF(INDEX([1]Pivot!$AD$1:$BE$65000,$B617,D$5)=1,1,IF(INDEX([1]Pivot!$B$1:$AB$65000,$B617,D$5)="",2,0)),0)</f>
        <v>0</v>
      </c>
      <c r="E617" s="194">
        <f>IFERROR(IF(INDEX([1]Pivot!$AD$1:$BE$65000,$B617,E$5)=1,1,IF(INDEX([1]Pivot!$B$1:$AB$65000,$B617,E$5)="",2,0)),0)</f>
        <v>0</v>
      </c>
      <c r="F617" s="194">
        <f>IFERROR(IF(INDEX([1]Pivot!$AD$1:$BE$65000,$B617,F$5)=1,1,IF(INDEX([1]Pivot!$B$1:$AB$65000,$B617,F$5)="",2,0)),0)</f>
        <v>0</v>
      </c>
      <c r="G617" s="194">
        <f>IFERROR(IF(INDEX([1]Pivot!$AD$1:$BE$65000,$B617,G$5)=1,1,IF(INDEX([1]Pivot!$B$1:$AB$65000,$B617,G$5)="",2,0)),0)</f>
        <v>0</v>
      </c>
      <c r="H617" s="194">
        <f>IFERROR(IF(INDEX([1]Pivot!$AD$1:$BE$65000,$B617,H$5)=1,1,IF(INDEX([1]Pivot!$B$1:$AB$65000,$B617,H$5)="",2,0)),0)</f>
        <v>0</v>
      </c>
      <c r="I617" s="194">
        <f>IFERROR(IF(INDEX([1]Pivot!$AD$1:$BE$65000,$B617,I$5)=1,1,IF(INDEX([1]Pivot!$B$1:$AB$65000,$B617,I$5)="",2,0)),0)</f>
        <v>0</v>
      </c>
      <c r="J617" s="194">
        <f>IFERROR(IF(INDEX([1]Pivot!$AD$1:$BE$65000,$B617,J$5)=1,1,IF(INDEX([1]Pivot!$B$1:$AB$65000,$B617,J$5)="",2,0)),0)</f>
        <v>0</v>
      </c>
      <c r="K617" s="194">
        <f>IFERROR(IF(INDEX([1]Pivot!$AD$1:$BE$65000,$B617,K$5)=1,1,IF(INDEX([1]Pivot!$B$1:$AB$65000,$B617,K$5)="",2,0)),0)</f>
        <v>0</v>
      </c>
      <c r="L617" s="194">
        <f>IFERROR(IF(INDEX([1]Pivot!$AD$1:$BE$65000,$B617,L$5)=1,1,IF(INDEX([1]Pivot!$B$1:$AB$65000,$B617,L$5)="",2,0)),0)</f>
        <v>0</v>
      </c>
      <c r="M617" s="194">
        <f>IFERROR(IF(INDEX([1]Pivot!$AD$1:$BE$65000,$B617,M$5)=1,1,IF(INDEX([1]Pivot!$B$1:$AB$65000,$B617,M$5)="",2,0)),0)</f>
        <v>0</v>
      </c>
      <c r="N617" s="194">
        <f>IFERROR(IF(INDEX([1]Pivot!$AD$1:$BE$65000,$B617,N$5)=1,1,IF(INDEX([1]Pivot!$B$1:$AB$65000,$B617,N$5)="",2,0)),0)</f>
        <v>0</v>
      </c>
      <c r="O617" s="194">
        <f>IFERROR(IF(INDEX([1]Pivot!$AD$1:$BE$65000,$B617,O$5)=1,1,IF(INDEX([1]Pivot!$B$1:$AB$65000,$B617,O$5)="",2,0)),0)</f>
        <v>0</v>
      </c>
      <c r="P617" s="194">
        <f>IFERROR(IF(INDEX([1]Pivot!$AD$1:$BE$65000,$B617,P$5)=1,1,IF(INDEX([1]Pivot!$B$1:$AB$65000,$B617,P$5)="",2,0)),0)</f>
        <v>0</v>
      </c>
      <c r="Q617" s="194">
        <f>IFERROR(IF(INDEX([1]Pivot!$AD$1:$BE$65000,$B617,Q$5)=1,1,IF(INDEX([1]Pivot!$B$1:$AB$65000,$B617,Q$5)="",2,0)),0)</f>
        <v>0</v>
      </c>
      <c r="R617" s="312"/>
      <c r="S617" s="194">
        <f>IFERROR(IF(INDEX([1]Pivot!$AD$1:$BE$65000,$B617,S$5)=1,1,IF(INDEX([1]Pivot!$B$1:$AB$65000,$B617,S$5)="",2,0)),0)</f>
        <v>0</v>
      </c>
      <c r="T617" s="194">
        <f>IFERROR(IF(INDEX([1]Pivot!$AD$1:$BE$65000,$B617,T$5)=1,1,IF(INDEX([1]Pivot!$B$1:$AB$65000,$B617,T$5)="",2,0)),0)</f>
        <v>0</v>
      </c>
      <c r="U617" s="194">
        <f>IFERROR(IF(INDEX([1]Pivot!$AD$1:$BE$65000,$B617,U$5)=1,1,IF(INDEX([1]Pivot!$B$1:$AB$65000,$B617,U$5)="",2,0)),0)</f>
        <v>0</v>
      </c>
      <c r="V617" s="194">
        <f>IFERROR(IF(INDEX([1]Pivot!$AD$1:$BE$65000,$B617,V$5)=1,1,IF(INDEX([1]Pivot!$B$1:$AB$65000,$B617,V$5)="",2,0)),0)</f>
        <v>0</v>
      </c>
      <c r="W617" s="194">
        <f>IFERROR(IF(INDEX([1]Pivot!$AD$1:$BE$65000,$B617,W$5)=1,1,IF(INDEX([1]Pivot!$B$1:$AB$65000,$B617,W$5)="",2,0)),0)</f>
        <v>0</v>
      </c>
      <c r="X617" s="194">
        <f>IFERROR(IF(INDEX([1]Pivot!$AD$1:$BE$65000,$B617,X$5)=1,1,IF(INDEX([1]Pivot!$B$1:$AB$65000,$B617,X$5)="",2,0)),0)</f>
        <v>0</v>
      </c>
      <c r="Y617" s="194">
        <f>IFERROR(IF(INDEX([1]Pivot!$AD$1:$BE$65000,$B617,Y$5)=1,1,IF(INDEX([1]Pivot!$B$1:$AB$65000,$B617,Y$5)="",2,0)),0)</f>
        <v>0</v>
      </c>
      <c r="Z617" s="194">
        <f>IFERROR(IF(INDEX([1]Pivot!$AD$1:$BE$65000,$B617,Z$5)=1,1,IF(INDEX([1]Pivot!$B$1:$AB$65000,$B617,Z$5)="",2,0)),0)</f>
        <v>0</v>
      </c>
      <c r="AA617" s="194">
        <f>IFERROR(IF(INDEX([1]Pivot!$AD$1:$BE$65000,$B617,AA$5)=1,1,IF(INDEX([1]Pivot!$B$1:$AB$65000,$B617,AA$5)="",2,0)),0)</f>
        <v>0</v>
      </c>
      <c r="AB617" s="194">
        <f>IFERROR(IF(INDEX([1]Pivot!$AD$1:$BE$65000,$B617,AB$5)=1,1,IF(INDEX([1]Pivot!$B$1:$AB$65000,$B617,AB$5)="",2,0)),0)</f>
        <v>0</v>
      </c>
      <c r="AC617" s="194">
        <f>IFERROR(IF(INDEX([1]Pivot!$AD$1:$BE$65000,$B617,AC$5)=1,1,IF(INDEX([1]Pivot!$B$1:$AB$65000,$B617,AC$5)="",2,0)),0)</f>
        <v>0</v>
      </c>
      <c r="AD617" s="313">
        <f>IFERROR(IF(INDEX([1]Pivot!$BF$1:$CG$65000,$B617,AD$5)=1,1,IF(INDEX([1]Pivot!$B$1:$AB$65000,$B617,AD$5)="",2,0)),0)</f>
        <v>0</v>
      </c>
      <c r="AE617" s="313">
        <f>IFERROR(IF(INDEX([1]Pivot!$BF$1:$CG$65000,$B617,AE$5)=1,1,IF(INDEX([1]Pivot!$B$1:$AB$65000,$B617,AE$5)="",2,0)),0)</f>
        <v>0</v>
      </c>
      <c r="AF617" s="313">
        <f>IFERROR(IF(INDEX([1]Pivot!$BF$1:$CG$65000,$B617,AF$5)=1,1,IF(INDEX([1]Pivot!$B$1:$AB$65000,$B617,AF$5)="",2,0)),0)</f>
        <v>0</v>
      </c>
      <c r="AG617" s="313">
        <f>IFERROR(IF(INDEX([1]Pivot!$BF$1:$CG$65000,$B617,AG$5)=1,1,IF(INDEX([1]Pivot!$B$1:$AB$65000,$B617,AG$5)="",2,0)),0)</f>
        <v>0</v>
      </c>
      <c r="AH617" s="313">
        <f>IFERROR(IF(INDEX([1]Pivot!$BF$1:$CG$65000,$B617,AH$5)=1,1,IF(INDEX([1]Pivot!$B$1:$AB$65000,$B617,AH$5)="",2,0)),0)</f>
        <v>0</v>
      </c>
      <c r="AI617" s="313">
        <f>IFERROR(IF(INDEX([1]Pivot!$BF$1:$CG$65000,$B617,AI$5)=1,1,IF(INDEX([1]Pivot!$B$1:$AB$65000,$B617,AI$5)="",2,0)),0)</f>
        <v>0</v>
      </c>
      <c r="AJ617" s="313">
        <f>IFERROR(IF(INDEX([1]Pivot!$BF$1:$CG$65000,$B617,AJ$5)=1,1,IF(INDEX([1]Pivot!$B$1:$AB$65000,$B617,AJ$5)="",2,0)),0)</f>
        <v>0</v>
      </c>
      <c r="AK617" s="313">
        <f>IFERROR(IF(INDEX([1]Pivot!$BF$1:$CG$65000,$B617,AK$5)=1,1,IF(INDEX([1]Pivot!$B$1:$AB$65000,$B617,AK$5)="",2,0)),0)</f>
        <v>0</v>
      </c>
      <c r="AL617" s="313">
        <f>IFERROR(IF(INDEX([1]Pivot!$BF$1:$CG$65000,$B617,AL$5)=1,1,IF(INDEX([1]Pivot!$B$1:$AB$65000,$B617,AL$5)="",2,0)),0)</f>
        <v>0</v>
      </c>
      <c r="AM617" s="313">
        <f>IFERROR(IF(INDEX([1]Pivot!$BF$1:$CG$65000,$B617,AM$5)=1,1,IF(INDEX([1]Pivot!$B$1:$AB$65000,$B617,AM$5)="",2,0)),0)</f>
        <v>0</v>
      </c>
      <c r="AN617" s="313">
        <f>IFERROR(IF(INDEX([1]Pivot!$BF$1:$CG$65000,$B617,AN$5)=1,1,IF(INDEX([1]Pivot!$B$1:$AB$65000,$B617,AN$5)="",2,0)),0)</f>
        <v>0</v>
      </c>
      <c r="AO617" s="313">
        <f>IFERROR(IF(INDEX([1]Pivot!$BF$1:$CG$65000,$B617,AO$5)=1,1,IF(INDEX([1]Pivot!$B$1:$AB$65000,$B617,AO$5)="",2,0)),0)</f>
        <v>0</v>
      </c>
      <c r="AP617" s="313">
        <f>IFERROR(IF(INDEX([1]Pivot!$BF$1:$CG$65000,$B617,AP$5)=1,1,IF(INDEX([1]Pivot!$B$1:$AB$65000,$B617,AP$5)="",2,0)),0)</f>
        <v>0</v>
      </c>
      <c r="AQ617" s="313">
        <f>IFERROR(IF(INDEX([1]Pivot!$BF$1:$CG$65000,$B617,AQ$5)=1,1,IF(INDEX([1]Pivot!$B$1:$AB$65000,$B617,AQ$5)="",2,0)),0)</f>
        <v>0</v>
      </c>
      <c r="AR617" s="313">
        <f>IFERROR(IF(INDEX([1]Pivot!$BF$1:$CG$65000,$B617,AR$5)=1,1,IF(INDEX([1]Pivot!$B$1:$AB$65000,$B617,AR$5)="",2,0)),0)</f>
        <v>0</v>
      </c>
      <c r="AS617" s="312"/>
      <c r="AT617" s="313">
        <f>IFERROR(IF(INDEX([1]Pivot!$BF$1:$CG$65000,$B617,AT$5)=1,1,IF(INDEX([1]Pivot!$B$1:$AB$65000,$B617,AT$5)="",2,0)),0)</f>
        <v>0</v>
      </c>
      <c r="AU617" s="313">
        <f>IFERROR(IF(INDEX([1]Pivot!$BF$1:$CG$65000,$B617,AU$5)=1,1,IF(INDEX([1]Pivot!$B$1:$AB$65000,$B617,AU$5)="",2,0)),0)</f>
        <v>0</v>
      </c>
      <c r="AV617" s="313">
        <f>IFERROR(IF(INDEX([1]Pivot!$BF$1:$CG$65000,$B617,AV$5)=1,1,IF(INDEX([1]Pivot!$B$1:$AB$65000,$B617,AV$5)="",2,0)),0)</f>
        <v>0</v>
      </c>
      <c r="AW617" s="313">
        <f>IFERROR(IF(INDEX([1]Pivot!$BF$1:$CG$65000,$B617,AW$5)=1,1,IF(INDEX([1]Pivot!$B$1:$AB$65000,$B617,AW$5)="",2,0)),0)</f>
        <v>0</v>
      </c>
      <c r="AX617" s="313">
        <f>IFERROR(IF(INDEX([1]Pivot!$BF$1:$CG$65000,$B617,AX$5)=1,1,IF(INDEX([1]Pivot!$B$1:$AB$65000,$B617,AX$5)="",2,0)),0)</f>
        <v>0</v>
      </c>
      <c r="AY617" s="313">
        <f>IFERROR(IF(INDEX([1]Pivot!$BF$1:$CG$65000,$B617,AY$5)=1,1,IF(INDEX([1]Pivot!$B$1:$AB$65000,$B617,AY$5)="",2,0)),0)</f>
        <v>0</v>
      </c>
      <c r="AZ617" s="313">
        <f>IFERROR(IF(INDEX([1]Pivot!$BF$1:$CG$65000,$B617,AZ$5)=1,1,IF(INDEX([1]Pivot!$B$1:$AB$65000,$B617,AZ$5)="",2,0)),0)</f>
        <v>0</v>
      </c>
      <c r="BA617" s="313">
        <f>IFERROR(IF(INDEX([1]Pivot!$BF$1:$CG$65000,$B617,BA$5)=1,1,IF(INDEX([1]Pivot!$B$1:$AB$65000,$B617,BA$5)="",2,0)),0)</f>
        <v>0</v>
      </c>
      <c r="BB617" s="313">
        <f>IFERROR(IF(INDEX([1]Pivot!$BF$1:$CG$65000,$B617,BB$5)=1,1,IF(INDEX([1]Pivot!$B$1:$AB$65000,$B617,BB$5)="",2,0)),0)</f>
        <v>0</v>
      </c>
      <c r="BC617" s="313">
        <f>IFERROR(IF(INDEX([1]Pivot!$BF$1:$CG$65000,$B617,BC$5)=1,1,IF(INDEX([1]Pivot!$B$1:$AB$65000,$B617,BC$5)="",2,0)),0)</f>
        <v>0</v>
      </c>
      <c r="BD617" s="313">
        <f>IFERROR(IF(INDEX([1]Pivot!$BF$1:$CG$65000,$B617,BD$5)=1,1,IF(INDEX([1]Pivot!$B$1:$AB$65000,$B617,BD$5)="",2,0)),0)</f>
        <v>0</v>
      </c>
    </row>
    <row r="618" spans="1:56" x14ac:dyDescent="0.25">
      <c r="A618" s="288">
        <f>'[2]Raw Milk Prices'!A618</f>
        <v>0</v>
      </c>
      <c r="B618" s="296" t="e">
        <f>MATCH(DATE(LEFT('[2]Raw Milk Prices'!$A618,4),RIGHT('[2]Raw Milk Prices'!$A618,2),1),[1]Pivot!$A$1:$A$65000,0)</f>
        <v>#VALUE!</v>
      </c>
      <c r="C618" s="194">
        <f>IFERROR(IF(INDEX([1]Pivot!$AD$1:$BE$65000,$B618,C$5)=1,1,IF(INDEX([1]Pivot!$B$1:$AB$65000,$B618,C$5)="",2,0)),0)</f>
        <v>0</v>
      </c>
      <c r="D618" s="194">
        <f>IFERROR(IF(INDEX([1]Pivot!$AD$1:$BE$65000,$B618,D$5)=1,1,IF(INDEX([1]Pivot!$B$1:$AB$65000,$B618,D$5)="",2,0)),0)</f>
        <v>0</v>
      </c>
      <c r="E618" s="194">
        <f>IFERROR(IF(INDEX([1]Pivot!$AD$1:$BE$65000,$B618,E$5)=1,1,IF(INDEX([1]Pivot!$B$1:$AB$65000,$B618,E$5)="",2,0)),0)</f>
        <v>0</v>
      </c>
      <c r="F618" s="194">
        <f>IFERROR(IF(INDEX([1]Pivot!$AD$1:$BE$65000,$B618,F$5)=1,1,IF(INDEX([1]Pivot!$B$1:$AB$65000,$B618,F$5)="",2,0)),0)</f>
        <v>0</v>
      </c>
      <c r="G618" s="194">
        <f>IFERROR(IF(INDEX([1]Pivot!$AD$1:$BE$65000,$B618,G$5)=1,1,IF(INDEX([1]Pivot!$B$1:$AB$65000,$B618,G$5)="",2,0)),0)</f>
        <v>0</v>
      </c>
      <c r="H618" s="194">
        <f>IFERROR(IF(INDEX([1]Pivot!$AD$1:$BE$65000,$B618,H$5)=1,1,IF(INDEX([1]Pivot!$B$1:$AB$65000,$B618,H$5)="",2,0)),0)</f>
        <v>0</v>
      </c>
      <c r="I618" s="194">
        <f>IFERROR(IF(INDEX([1]Pivot!$AD$1:$BE$65000,$B618,I$5)=1,1,IF(INDEX([1]Pivot!$B$1:$AB$65000,$B618,I$5)="",2,0)),0)</f>
        <v>0</v>
      </c>
      <c r="J618" s="194">
        <f>IFERROR(IF(INDEX([1]Pivot!$AD$1:$BE$65000,$B618,J$5)=1,1,IF(INDEX([1]Pivot!$B$1:$AB$65000,$B618,J$5)="",2,0)),0)</f>
        <v>0</v>
      </c>
      <c r="K618" s="194">
        <f>IFERROR(IF(INDEX([1]Pivot!$AD$1:$BE$65000,$B618,K$5)=1,1,IF(INDEX([1]Pivot!$B$1:$AB$65000,$B618,K$5)="",2,0)),0)</f>
        <v>0</v>
      </c>
      <c r="L618" s="194">
        <f>IFERROR(IF(INDEX([1]Pivot!$AD$1:$BE$65000,$B618,L$5)=1,1,IF(INDEX([1]Pivot!$B$1:$AB$65000,$B618,L$5)="",2,0)),0)</f>
        <v>0</v>
      </c>
      <c r="M618" s="194">
        <f>IFERROR(IF(INDEX([1]Pivot!$AD$1:$BE$65000,$B618,M$5)=1,1,IF(INDEX([1]Pivot!$B$1:$AB$65000,$B618,M$5)="",2,0)),0)</f>
        <v>0</v>
      </c>
      <c r="N618" s="194">
        <f>IFERROR(IF(INDEX([1]Pivot!$AD$1:$BE$65000,$B618,N$5)=1,1,IF(INDEX([1]Pivot!$B$1:$AB$65000,$B618,N$5)="",2,0)),0)</f>
        <v>0</v>
      </c>
      <c r="O618" s="194">
        <f>IFERROR(IF(INDEX([1]Pivot!$AD$1:$BE$65000,$B618,O$5)=1,1,IF(INDEX([1]Pivot!$B$1:$AB$65000,$B618,O$5)="",2,0)),0)</f>
        <v>0</v>
      </c>
      <c r="P618" s="194">
        <f>IFERROR(IF(INDEX([1]Pivot!$AD$1:$BE$65000,$B618,P$5)=1,1,IF(INDEX([1]Pivot!$B$1:$AB$65000,$B618,P$5)="",2,0)),0)</f>
        <v>0</v>
      </c>
      <c r="Q618" s="194">
        <f>IFERROR(IF(INDEX([1]Pivot!$AD$1:$BE$65000,$B618,Q$5)=1,1,IF(INDEX([1]Pivot!$B$1:$AB$65000,$B618,Q$5)="",2,0)),0)</f>
        <v>0</v>
      </c>
      <c r="R618" s="312"/>
      <c r="S618" s="194">
        <f>IFERROR(IF(INDEX([1]Pivot!$AD$1:$BE$65000,$B618,S$5)=1,1,IF(INDEX([1]Pivot!$B$1:$AB$65000,$B618,S$5)="",2,0)),0)</f>
        <v>0</v>
      </c>
      <c r="T618" s="194">
        <f>IFERROR(IF(INDEX([1]Pivot!$AD$1:$BE$65000,$B618,T$5)=1,1,IF(INDEX([1]Pivot!$B$1:$AB$65000,$B618,T$5)="",2,0)),0)</f>
        <v>0</v>
      </c>
      <c r="U618" s="194">
        <f>IFERROR(IF(INDEX([1]Pivot!$AD$1:$BE$65000,$B618,U$5)=1,1,IF(INDEX([1]Pivot!$B$1:$AB$65000,$B618,U$5)="",2,0)),0)</f>
        <v>0</v>
      </c>
      <c r="V618" s="194">
        <f>IFERROR(IF(INDEX([1]Pivot!$AD$1:$BE$65000,$B618,V$5)=1,1,IF(INDEX([1]Pivot!$B$1:$AB$65000,$B618,V$5)="",2,0)),0)</f>
        <v>0</v>
      </c>
      <c r="W618" s="194">
        <f>IFERROR(IF(INDEX([1]Pivot!$AD$1:$BE$65000,$B618,W$5)=1,1,IF(INDEX([1]Pivot!$B$1:$AB$65000,$B618,W$5)="",2,0)),0)</f>
        <v>0</v>
      </c>
      <c r="X618" s="194">
        <f>IFERROR(IF(INDEX([1]Pivot!$AD$1:$BE$65000,$B618,X$5)=1,1,IF(INDEX([1]Pivot!$B$1:$AB$65000,$B618,X$5)="",2,0)),0)</f>
        <v>0</v>
      </c>
      <c r="Y618" s="194">
        <f>IFERROR(IF(INDEX([1]Pivot!$AD$1:$BE$65000,$B618,Y$5)=1,1,IF(INDEX([1]Pivot!$B$1:$AB$65000,$B618,Y$5)="",2,0)),0)</f>
        <v>0</v>
      </c>
      <c r="Z618" s="194">
        <f>IFERROR(IF(INDEX([1]Pivot!$AD$1:$BE$65000,$B618,Z$5)=1,1,IF(INDEX([1]Pivot!$B$1:$AB$65000,$B618,Z$5)="",2,0)),0)</f>
        <v>0</v>
      </c>
      <c r="AA618" s="194">
        <f>IFERROR(IF(INDEX([1]Pivot!$AD$1:$BE$65000,$B618,AA$5)=1,1,IF(INDEX([1]Pivot!$B$1:$AB$65000,$B618,AA$5)="",2,0)),0)</f>
        <v>0</v>
      </c>
      <c r="AB618" s="194">
        <f>IFERROR(IF(INDEX([1]Pivot!$AD$1:$BE$65000,$B618,AB$5)=1,1,IF(INDEX([1]Pivot!$B$1:$AB$65000,$B618,AB$5)="",2,0)),0)</f>
        <v>0</v>
      </c>
      <c r="AC618" s="194">
        <f>IFERROR(IF(INDEX([1]Pivot!$AD$1:$BE$65000,$B618,AC$5)=1,1,IF(INDEX([1]Pivot!$B$1:$AB$65000,$B618,AC$5)="",2,0)),0)</f>
        <v>0</v>
      </c>
      <c r="AD618" s="313">
        <f>IFERROR(IF(INDEX([1]Pivot!$BF$1:$CG$65000,$B618,AD$5)=1,1,IF(INDEX([1]Pivot!$B$1:$AB$65000,$B618,AD$5)="",2,0)),0)</f>
        <v>0</v>
      </c>
      <c r="AE618" s="313">
        <f>IFERROR(IF(INDEX([1]Pivot!$BF$1:$CG$65000,$B618,AE$5)=1,1,IF(INDEX([1]Pivot!$B$1:$AB$65000,$B618,AE$5)="",2,0)),0)</f>
        <v>0</v>
      </c>
      <c r="AF618" s="313">
        <f>IFERROR(IF(INDEX([1]Pivot!$BF$1:$CG$65000,$B618,AF$5)=1,1,IF(INDEX([1]Pivot!$B$1:$AB$65000,$B618,AF$5)="",2,0)),0)</f>
        <v>0</v>
      </c>
      <c r="AG618" s="313">
        <f>IFERROR(IF(INDEX([1]Pivot!$BF$1:$CG$65000,$B618,AG$5)=1,1,IF(INDEX([1]Pivot!$B$1:$AB$65000,$B618,AG$5)="",2,0)),0)</f>
        <v>0</v>
      </c>
      <c r="AH618" s="313">
        <f>IFERROR(IF(INDEX([1]Pivot!$BF$1:$CG$65000,$B618,AH$5)=1,1,IF(INDEX([1]Pivot!$B$1:$AB$65000,$B618,AH$5)="",2,0)),0)</f>
        <v>0</v>
      </c>
      <c r="AI618" s="313">
        <f>IFERROR(IF(INDEX([1]Pivot!$BF$1:$CG$65000,$B618,AI$5)=1,1,IF(INDEX([1]Pivot!$B$1:$AB$65000,$B618,AI$5)="",2,0)),0)</f>
        <v>0</v>
      </c>
      <c r="AJ618" s="313">
        <f>IFERROR(IF(INDEX([1]Pivot!$BF$1:$CG$65000,$B618,AJ$5)=1,1,IF(INDEX([1]Pivot!$B$1:$AB$65000,$B618,AJ$5)="",2,0)),0)</f>
        <v>0</v>
      </c>
      <c r="AK618" s="313">
        <f>IFERROR(IF(INDEX([1]Pivot!$BF$1:$CG$65000,$B618,AK$5)=1,1,IF(INDEX([1]Pivot!$B$1:$AB$65000,$B618,AK$5)="",2,0)),0)</f>
        <v>0</v>
      </c>
      <c r="AL618" s="313">
        <f>IFERROR(IF(INDEX([1]Pivot!$BF$1:$CG$65000,$B618,AL$5)=1,1,IF(INDEX([1]Pivot!$B$1:$AB$65000,$B618,AL$5)="",2,0)),0)</f>
        <v>0</v>
      </c>
      <c r="AM618" s="313">
        <f>IFERROR(IF(INDEX([1]Pivot!$BF$1:$CG$65000,$B618,AM$5)=1,1,IF(INDEX([1]Pivot!$B$1:$AB$65000,$B618,AM$5)="",2,0)),0)</f>
        <v>0</v>
      </c>
      <c r="AN618" s="313">
        <f>IFERROR(IF(INDEX([1]Pivot!$BF$1:$CG$65000,$B618,AN$5)=1,1,IF(INDEX([1]Pivot!$B$1:$AB$65000,$B618,AN$5)="",2,0)),0)</f>
        <v>0</v>
      </c>
      <c r="AO618" s="313">
        <f>IFERROR(IF(INDEX([1]Pivot!$BF$1:$CG$65000,$B618,AO$5)=1,1,IF(INDEX([1]Pivot!$B$1:$AB$65000,$B618,AO$5)="",2,0)),0)</f>
        <v>0</v>
      </c>
      <c r="AP618" s="313">
        <f>IFERROR(IF(INDEX([1]Pivot!$BF$1:$CG$65000,$B618,AP$5)=1,1,IF(INDEX([1]Pivot!$B$1:$AB$65000,$B618,AP$5)="",2,0)),0)</f>
        <v>0</v>
      </c>
      <c r="AQ618" s="313">
        <f>IFERROR(IF(INDEX([1]Pivot!$BF$1:$CG$65000,$B618,AQ$5)=1,1,IF(INDEX([1]Pivot!$B$1:$AB$65000,$B618,AQ$5)="",2,0)),0)</f>
        <v>0</v>
      </c>
      <c r="AR618" s="313">
        <f>IFERROR(IF(INDEX([1]Pivot!$BF$1:$CG$65000,$B618,AR$5)=1,1,IF(INDEX([1]Pivot!$B$1:$AB$65000,$B618,AR$5)="",2,0)),0)</f>
        <v>0</v>
      </c>
      <c r="AS618" s="312"/>
      <c r="AT618" s="313">
        <f>IFERROR(IF(INDEX([1]Pivot!$BF$1:$CG$65000,$B618,AT$5)=1,1,IF(INDEX([1]Pivot!$B$1:$AB$65000,$B618,AT$5)="",2,0)),0)</f>
        <v>0</v>
      </c>
      <c r="AU618" s="313">
        <f>IFERROR(IF(INDEX([1]Pivot!$BF$1:$CG$65000,$B618,AU$5)=1,1,IF(INDEX([1]Pivot!$B$1:$AB$65000,$B618,AU$5)="",2,0)),0)</f>
        <v>0</v>
      </c>
      <c r="AV618" s="313">
        <f>IFERROR(IF(INDEX([1]Pivot!$BF$1:$CG$65000,$B618,AV$5)=1,1,IF(INDEX([1]Pivot!$B$1:$AB$65000,$B618,AV$5)="",2,0)),0)</f>
        <v>0</v>
      </c>
      <c r="AW618" s="313">
        <f>IFERROR(IF(INDEX([1]Pivot!$BF$1:$CG$65000,$B618,AW$5)=1,1,IF(INDEX([1]Pivot!$B$1:$AB$65000,$B618,AW$5)="",2,0)),0)</f>
        <v>0</v>
      </c>
      <c r="AX618" s="313">
        <f>IFERROR(IF(INDEX([1]Pivot!$BF$1:$CG$65000,$B618,AX$5)=1,1,IF(INDEX([1]Pivot!$B$1:$AB$65000,$B618,AX$5)="",2,0)),0)</f>
        <v>0</v>
      </c>
      <c r="AY618" s="313">
        <f>IFERROR(IF(INDEX([1]Pivot!$BF$1:$CG$65000,$B618,AY$5)=1,1,IF(INDEX([1]Pivot!$B$1:$AB$65000,$B618,AY$5)="",2,0)),0)</f>
        <v>0</v>
      </c>
      <c r="AZ618" s="313">
        <f>IFERROR(IF(INDEX([1]Pivot!$BF$1:$CG$65000,$B618,AZ$5)=1,1,IF(INDEX([1]Pivot!$B$1:$AB$65000,$B618,AZ$5)="",2,0)),0)</f>
        <v>0</v>
      </c>
      <c r="BA618" s="313">
        <f>IFERROR(IF(INDEX([1]Pivot!$BF$1:$CG$65000,$B618,BA$5)=1,1,IF(INDEX([1]Pivot!$B$1:$AB$65000,$B618,BA$5)="",2,0)),0)</f>
        <v>0</v>
      </c>
      <c r="BB618" s="313">
        <f>IFERROR(IF(INDEX([1]Pivot!$BF$1:$CG$65000,$B618,BB$5)=1,1,IF(INDEX([1]Pivot!$B$1:$AB$65000,$B618,BB$5)="",2,0)),0)</f>
        <v>0</v>
      </c>
      <c r="BC618" s="313">
        <f>IFERROR(IF(INDEX([1]Pivot!$BF$1:$CG$65000,$B618,BC$5)=1,1,IF(INDEX([1]Pivot!$B$1:$AB$65000,$B618,BC$5)="",2,0)),0)</f>
        <v>0</v>
      </c>
      <c r="BD618" s="313">
        <f>IFERROR(IF(INDEX([1]Pivot!$BF$1:$CG$65000,$B618,BD$5)=1,1,IF(INDEX([1]Pivot!$B$1:$AB$65000,$B618,BD$5)="",2,0)),0)</f>
        <v>0</v>
      </c>
    </row>
    <row r="619" spans="1:56" x14ac:dyDescent="0.25">
      <c r="A619" s="288">
        <f>'[2]Raw Milk Prices'!A619</f>
        <v>0</v>
      </c>
      <c r="B619" s="296" t="e">
        <f>MATCH(DATE(LEFT('[2]Raw Milk Prices'!$A619,4),RIGHT('[2]Raw Milk Prices'!$A619,2),1),[1]Pivot!$A$1:$A$65000,0)</f>
        <v>#VALUE!</v>
      </c>
      <c r="C619" s="194">
        <f>IFERROR(IF(INDEX([1]Pivot!$AD$1:$BE$65000,$B619,C$5)=1,1,IF(INDEX([1]Pivot!$B$1:$AB$65000,$B619,C$5)="",2,0)),0)</f>
        <v>0</v>
      </c>
      <c r="D619" s="194">
        <f>IFERROR(IF(INDEX([1]Pivot!$AD$1:$BE$65000,$B619,D$5)=1,1,IF(INDEX([1]Pivot!$B$1:$AB$65000,$B619,D$5)="",2,0)),0)</f>
        <v>0</v>
      </c>
      <c r="E619" s="194">
        <f>IFERROR(IF(INDEX([1]Pivot!$AD$1:$BE$65000,$B619,E$5)=1,1,IF(INDEX([1]Pivot!$B$1:$AB$65000,$B619,E$5)="",2,0)),0)</f>
        <v>0</v>
      </c>
      <c r="F619" s="194">
        <f>IFERROR(IF(INDEX([1]Pivot!$AD$1:$BE$65000,$B619,F$5)=1,1,IF(INDEX([1]Pivot!$B$1:$AB$65000,$B619,F$5)="",2,0)),0)</f>
        <v>0</v>
      </c>
      <c r="G619" s="194">
        <f>IFERROR(IF(INDEX([1]Pivot!$AD$1:$BE$65000,$B619,G$5)=1,1,IF(INDEX([1]Pivot!$B$1:$AB$65000,$B619,G$5)="",2,0)),0)</f>
        <v>0</v>
      </c>
      <c r="H619" s="194">
        <f>IFERROR(IF(INDEX([1]Pivot!$AD$1:$BE$65000,$B619,H$5)=1,1,IF(INDEX([1]Pivot!$B$1:$AB$65000,$B619,H$5)="",2,0)),0)</f>
        <v>0</v>
      </c>
      <c r="I619" s="194">
        <f>IFERROR(IF(INDEX([1]Pivot!$AD$1:$BE$65000,$B619,I$5)=1,1,IF(INDEX([1]Pivot!$B$1:$AB$65000,$B619,I$5)="",2,0)),0)</f>
        <v>0</v>
      </c>
      <c r="J619" s="194">
        <f>IFERROR(IF(INDEX([1]Pivot!$AD$1:$BE$65000,$B619,J$5)=1,1,IF(INDEX([1]Pivot!$B$1:$AB$65000,$B619,J$5)="",2,0)),0)</f>
        <v>0</v>
      </c>
      <c r="K619" s="194">
        <f>IFERROR(IF(INDEX([1]Pivot!$AD$1:$BE$65000,$B619,K$5)=1,1,IF(INDEX([1]Pivot!$B$1:$AB$65000,$B619,K$5)="",2,0)),0)</f>
        <v>0</v>
      </c>
      <c r="L619" s="194">
        <f>IFERROR(IF(INDEX([1]Pivot!$AD$1:$BE$65000,$B619,L$5)=1,1,IF(INDEX([1]Pivot!$B$1:$AB$65000,$B619,L$5)="",2,0)),0)</f>
        <v>0</v>
      </c>
      <c r="M619" s="194">
        <f>IFERROR(IF(INDEX([1]Pivot!$AD$1:$BE$65000,$B619,M$5)=1,1,IF(INDEX([1]Pivot!$B$1:$AB$65000,$B619,M$5)="",2,0)),0)</f>
        <v>0</v>
      </c>
      <c r="N619" s="194">
        <f>IFERROR(IF(INDEX([1]Pivot!$AD$1:$BE$65000,$B619,N$5)=1,1,IF(INDEX([1]Pivot!$B$1:$AB$65000,$B619,N$5)="",2,0)),0)</f>
        <v>0</v>
      </c>
      <c r="O619" s="194">
        <f>IFERROR(IF(INDEX([1]Pivot!$AD$1:$BE$65000,$B619,O$5)=1,1,IF(INDEX([1]Pivot!$B$1:$AB$65000,$B619,O$5)="",2,0)),0)</f>
        <v>0</v>
      </c>
      <c r="P619" s="194">
        <f>IFERROR(IF(INDEX([1]Pivot!$AD$1:$BE$65000,$B619,P$5)=1,1,IF(INDEX([1]Pivot!$B$1:$AB$65000,$B619,P$5)="",2,0)),0)</f>
        <v>0</v>
      </c>
      <c r="Q619" s="194">
        <f>IFERROR(IF(INDEX([1]Pivot!$AD$1:$BE$65000,$B619,Q$5)=1,1,IF(INDEX([1]Pivot!$B$1:$AB$65000,$B619,Q$5)="",2,0)),0)</f>
        <v>0</v>
      </c>
      <c r="R619" s="312"/>
      <c r="S619" s="194">
        <f>IFERROR(IF(INDEX([1]Pivot!$AD$1:$BE$65000,$B619,S$5)=1,1,IF(INDEX([1]Pivot!$B$1:$AB$65000,$B619,S$5)="",2,0)),0)</f>
        <v>0</v>
      </c>
      <c r="T619" s="194">
        <f>IFERROR(IF(INDEX([1]Pivot!$AD$1:$BE$65000,$B619,T$5)=1,1,IF(INDEX([1]Pivot!$B$1:$AB$65000,$B619,T$5)="",2,0)),0)</f>
        <v>0</v>
      </c>
      <c r="U619" s="194">
        <f>IFERROR(IF(INDEX([1]Pivot!$AD$1:$BE$65000,$B619,U$5)=1,1,IF(INDEX([1]Pivot!$B$1:$AB$65000,$B619,U$5)="",2,0)),0)</f>
        <v>0</v>
      </c>
      <c r="V619" s="194">
        <f>IFERROR(IF(INDEX([1]Pivot!$AD$1:$BE$65000,$B619,V$5)=1,1,IF(INDEX([1]Pivot!$B$1:$AB$65000,$B619,V$5)="",2,0)),0)</f>
        <v>0</v>
      </c>
      <c r="W619" s="194">
        <f>IFERROR(IF(INDEX([1]Pivot!$AD$1:$BE$65000,$B619,W$5)=1,1,IF(INDEX([1]Pivot!$B$1:$AB$65000,$B619,W$5)="",2,0)),0)</f>
        <v>0</v>
      </c>
      <c r="X619" s="194">
        <f>IFERROR(IF(INDEX([1]Pivot!$AD$1:$BE$65000,$B619,X$5)=1,1,IF(INDEX([1]Pivot!$B$1:$AB$65000,$B619,X$5)="",2,0)),0)</f>
        <v>0</v>
      </c>
      <c r="Y619" s="194">
        <f>IFERROR(IF(INDEX([1]Pivot!$AD$1:$BE$65000,$B619,Y$5)=1,1,IF(INDEX([1]Pivot!$B$1:$AB$65000,$B619,Y$5)="",2,0)),0)</f>
        <v>0</v>
      </c>
      <c r="Z619" s="194">
        <f>IFERROR(IF(INDEX([1]Pivot!$AD$1:$BE$65000,$B619,Z$5)=1,1,IF(INDEX([1]Pivot!$B$1:$AB$65000,$B619,Z$5)="",2,0)),0)</f>
        <v>0</v>
      </c>
      <c r="AA619" s="194">
        <f>IFERROR(IF(INDEX([1]Pivot!$AD$1:$BE$65000,$B619,AA$5)=1,1,IF(INDEX([1]Pivot!$B$1:$AB$65000,$B619,AA$5)="",2,0)),0)</f>
        <v>0</v>
      </c>
      <c r="AB619" s="194">
        <f>IFERROR(IF(INDEX([1]Pivot!$AD$1:$BE$65000,$B619,AB$5)=1,1,IF(INDEX([1]Pivot!$B$1:$AB$65000,$B619,AB$5)="",2,0)),0)</f>
        <v>0</v>
      </c>
      <c r="AC619" s="194">
        <f>IFERROR(IF(INDEX([1]Pivot!$AD$1:$BE$65000,$B619,AC$5)=1,1,IF(INDEX([1]Pivot!$B$1:$AB$65000,$B619,AC$5)="",2,0)),0)</f>
        <v>0</v>
      </c>
      <c r="AD619" s="313">
        <f>IFERROR(IF(INDEX([1]Pivot!$BF$1:$CG$65000,$B619,AD$5)=1,1,IF(INDEX([1]Pivot!$B$1:$AB$65000,$B619,AD$5)="",2,0)),0)</f>
        <v>0</v>
      </c>
      <c r="AE619" s="313">
        <f>IFERROR(IF(INDEX([1]Pivot!$BF$1:$CG$65000,$B619,AE$5)=1,1,IF(INDEX([1]Pivot!$B$1:$AB$65000,$B619,AE$5)="",2,0)),0)</f>
        <v>0</v>
      </c>
      <c r="AF619" s="313">
        <f>IFERROR(IF(INDEX([1]Pivot!$BF$1:$CG$65000,$B619,AF$5)=1,1,IF(INDEX([1]Pivot!$B$1:$AB$65000,$B619,AF$5)="",2,0)),0)</f>
        <v>0</v>
      </c>
      <c r="AG619" s="313">
        <f>IFERROR(IF(INDEX([1]Pivot!$BF$1:$CG$65000,$B619,AG$5)=1,1,IF(INDEX([1]Pivot!$B$1:$AB$65000,$B619,AG$5)="",2,0)),0)</f>
        <v>0</v>
      </c>
      <c r="AH619" s="313">
        <f>IFERROR(IF(INDEX([1]Pivot!$BF$1:$CG$65000,$B619,AH$5)=1,1,IF(INDEX([1]Pivot!$B$1:$AB$65000,$B619,AH$5)="",2,0)),0)</f>
        <v>0</v>
      </c>
      <c r="AI619" s="313">
        <f>IFERROR(IF(INDEX([1]Pivot!$BF$1:$CG$65000,$B619,AI$5)=1,1,IF(INDEX([1]Pivot!$B$1:$AB$65000,$B619,AI$5)="",2,0)),0)</f>
        <v>0</v>
      </c>
      <c r="AJ619" s="313">
        <f>IFERROR(IF(INDEX([1]Pivot!$BF$1:$CG$65000,$B619,AJ$5)=1,1,IF(INDEX([1]Pivot!$B$1:$AB$65000,$B619,AJ$5)="",2,0)),0)</f>
        <v>0</v>
      </c>
      <c r="AK619" s="313">
        <f>IFERROR(IF(INDEX([1]Pivot!$BF$1:$CG$65000,$B619,AK$5)=1,1,IF(INDEX([1]Pivot!$B$1:$AB$65000,$B619,AK$5)="",2,0)),0)</f>
        <v>0</v>
      </c>
      <c r="AL619" s="313">
        <f>IFERROR(IF(INDEX([1]Pivot!$BF$1:$CG$65000,$B619,AL$5)=1,1,IF(INDEX([1]Pivot!$B$1:$AB$65000,$B619,AL$5)="",2,0)),0)</f>
        <v>0</v>
      </c>
      <c r="AM619" s="313">
        <f>IFERROR(IF(INDEX([1]Pivot!$BF$1:$CG$65000,$B619,AM$5)=1,1,IF(INDEX([1]Pivot!$B$1:$AB$65000,$B619,AM$5)="",2,0)),0)</f>
        <v>0</v>
      </c>
      <c r="AN619" s="313">
        <f>IFERROR(IF(INDEX([1]Pivot!$BF$1:$CG$65000,$B619,AN$5)=1,1,IF(INDEX([1]Pivot!$B$1:$AB$65000,$B619,AN$5)="",2,0)),0)</f>
        <v>0</v>
      </c>
      <c r="AO619" s="313">
        <f>IFERROR(IF(INDEX([1]Pivot!$BF$1:$CG$65000,$B619,AO$5)=1,1,IF(INDEX([1]Pivot!$B$1:$AB$65000,$B619,AO$5)="",2,0)),0)</f>
        <v>0</v>
      </c>
      <c r="AP619" s="313">
        <f>IFERROR(IF(INDEX([1]Pivot!$BF$1:$CG$65000,$B619,AP$5)=1,1,IF(INDEX([1]Pivot!$B$1:$AB$65000,$B619,AP$5)="",2,0)),0)</f>
        <v>0</v>
      </c>
      <c r="AQ619" s="313">
        <f>IFERROR(IF(INDEX([1]Pivot!$BF$1:$CG$65000,$B619,AQ$5)=1,1,IF(INDEX([1]Pivot!$B$1:$AB$65000,$B619,AQ$5)="",2,0)),0)</f>
        <v>0</v>
      </c>
      <c r="AR619" s="313">
        <f>IFERROR(IF(INDEX([1]Pivot!$BF$1:$CG$65000,$B619,AR$5)=1,1,IF(INDEX([1]Pivot!$B$1:$AB$65000,$B619,AR$5)="",2,0)),0)</f>
        <v>0</v>
      </c>
      <c r="AS619" s="312"/>
      <c r="AT619" s="313">
        <f>IFERROR(IF(INDEX([1]Pivot!$BF$1:$CG$65000,$B619,AT$5)=1,1,IF(INDEX([1]Pivot!$B$1:$AB$65000,$B619,AT$5)="",2,0)),0)</f>
        <v>0</v>
      </c>
      <c r="AU619" s="313">
        <f>IFERROR(IF(INDEX([1]Pivot!$BF$1:$CG$65000,$B619,AU$5)=1,1,IF(INDEX([1]Pivot!$B$1:$AB$65000,$B619,AU$5)="",2,0)),0)</f>
        <v>0</v>
      </c>
      <c r="AV619" s="313">
        <f>IFERROR(IF(INDEX([1]Pivot!$BF$1:$CG$65000,$B619,AV$5)=1,1,IF(INDEX([1]Pivot!$B$1:$AB$65000,$B619,AV$5)="",2,0)),0)</f>
        <v>0</v>
      </c>
      <c r="AW619" s="313">
        <f>IFERROR(IF(INDEX([1]Pivot!$BF$1:$CG$65000,$B619,AW$5)=1,1,IF(INDEX([1]Pivot!$B$1:$AB$65000,$B619,AW$5)="",2,0)),0)</f>
        <v>0</v>
      </c>
      <c r="AX619" s="313">
        <f>IFERROR(IF(INDEX([1]Pivot!$BF$1:$CG$65000,$B619,AX$5)=1,1,IF(INDEX([1]Pivot!$B$1:$AB$65000,$B619,AX$5)="",2,0)),0)</f>
        <v>0</v>
      </c>
      <c r="AY619" s="313">
        <f>IFERROR(IF(INDEX([1]Pivot!$BF$1:$CG$65000,$B619,AY$5)=1,1,IF(INDEX([1]Pivot!$B$1:$AB$65000,$B619,AY$5)="",2,0)),0)</f>
        <v>0</v>
      </c>
      <c r="AZ619" s="313">
        <f>IFERROR(IF(INDEX([1]Pivot!$BF$1:$CG$65000,$B619,AZ$5)=1,1,IF(INDEX([1]Pivot!$B$1:$AB$65000,$B619,AZ$5)="",2,0)),0)</f>
        <v>0</v>
      </c>
      <c r="BA619" s="313">
        <f>IFERROR(IF(INDEX([1]Pivot!$BF$1:$CG$65000,$B619,BA$5)=1,1,IF(INDEX([1]Pivot!$B$1:$AB$65000,$B619,BA$5)="",2,0)),0)</f>
        <v>0</v>
      </c>
      <c r="BB619" s="313">
        <f>IFERROR(IF(INDEX([1]Pivot!$BF$1:$CG$65000,$B619,BB$5)=1,1,IF(INDEX([1]Pivot!$B$1:$AB$65000,$B619,BB$5)="",2,0)),0)</f>
        <v>0</v>
      </c>
      <c r="BC619" s="313">
        <f>IFERROR(IF(INDEX([1]Pivot!$BF$1:$CG$65000,$B619,BC$5)=1,1,IF(INDEX([1]Pivot!$B$1:$AB$65000,$B619,BC$5)="",2,0)),0)</f>
        <v>0</v>
      </c>
      <c r="BD619" s="313">
        <f>IFERROR(IF(INDEX([1]Pivot!$BF$1:$CG$65000,$B619,BD$5)=1,1,IF(INDEX([1]Pivot!$B$1:$AB$65000,$B619,BD$5)="",2,0)),0)</f>
        <v>0</v>
      </c>
    </row>
    <row r="620" spans="1:56" x14ac:dyDescent="0.25">
      <c r="A620" s="288">
        <f>'[2]Raw Milk Prices'!A620</f>
        <v>0</v>
      </c>
      <c r="B620" s="296" t="e">
        <f>MATCH(DATE(LEFT('[2]Raw Milk Prices'!$A620,4),RIGHT('[2]Raw Milk Prices'!$A620,2),1),[1]Pivot!$A$1:$A$65000,0)</f>
        <v>#VALUE!</v>
      </c>
      <c r="C620" s="194">
        <f>IFERROR(IF(INDEX([1]Pivot!$AD$1:$BE$65000,$B620,C$5)=1,1,IF(INDEX([1]Pivot!$B$1:$AB$65000,$B620,C$5)="",2,0)),0)</f>
        <v>0</v>
      </c>
      <c r="D620" s="194">
        <f>IFERROR(IF(INDEX([1]Pivot!$AD$1:$BE$65000,$B620,D$5)=1,1,IF(INDEX([1]Pivot!$B$1:$AB$65000,$B620,D$5)="",2,0)),0)</f>
        <v>0</v>
      </c>
      <c r="E620" s="194">
        <f>IFERROR(IF(INDEX([1]Pivot!$AD$1:$BE$65000,$B620,E$5)=1,1,IF(INDEX([1]Pivot!$B$1:$AB$65000,$B620,E$5)="",2,0)),0)</f>
        <v>0</v>
      </c>
      <c r="F620" s="194">
        <f>IFERROR(IF(INDEX([1]Pivot!$AD$1:$BE$65000,$B620,F$5)=1,1,IF(INDEX([1]Pivot!$B$1:$AB$65000,$B620,F$5)="",2,0)),0)</f>
        <v>0</v>
      </c>
      <c r="G620" s="194">
        <f>IFERROR(IF(INDEX([1]Pivot!$AD$1:$BE$65000,$B620,G$5)=1,1,IF(INDEX([1]Pivot!$B$1:$AB$65000,$B620,G$5)="",2,0)),0)</f>
        <v>0</v>
      </c>
      <c r="H620" s="194">
        <f>IFERROR(IF(INDEX([1]Pivot!$AD$1:$BE$65000,$B620,H$5)=1,1,IF(INDEX([1]Pivot!$B$1:$AB$65000,$B620,H$5)="",2,0)),0)</f>
        <v>0</v>
      </c>
      <c r="I620" s="194">
        <f>IFERROR(IF(INDEX([1]Pivot!$AD$1:$BE$65000,$B620,I$5)=1,1,IF(INDEX([1]Pivot!$B$1:$AB$65000,$B620,I$5)="",2,0)),0)</f>
        <v>0</v>
      </c>
      <c r="J620" s="194">
        <f>IFERROR(IF(INDEX([1]Pivot!$AD$1:$BE$65000,$B620,J$5)=1,1,IF(INDEX([1]Pivot!$B$1:$AB$65000,$B620,J$5)="",2,0)),0)</f>
        <v>0</v>
      </c>
      <c r="K620" s="194">
        <f>IFERROR(IF(INDEX([1]Pivot!$AD$1:$BE$65000,$B620,K$5)=1,1,IF(INDEX([1]Pivot!$B$1:$AB$65000,$B620,K$5)="",2,0)),0)</f>
        <v>0</v>
      </c>
      <c r="L620" s="194">
        <f>IFERROR(IF(INDEX([1]Pivot!$AD$1:$BE$65000,$B620,L$5)=1,1,IF(INDEX([1]Pivot!$B$1:$AB$65000,$B620,L$5)="",2,0)),0)</f>
        <v>0</v>
      </c>
      <c r="M620" s="194">
        <f>IFERROR(IF(INDEX([1]Pivot!$AD$1:$BE$65000,$B620,M$5)=1,1,IF(INDEX([1]Pivot!$B$1:$AB$65000,$B620,M$5)="",2,0)),0)</f>
        <v>0</v>
      </c>
      <c r="N620" s="194">
        <f>IFERROR(IF(INDEX([1]Pivot!$AD$1:$BE$65000,$B620,N$5)=1,1,IF(INDEX([1]Pivot!$B$1:$AB$65000,$B620,N$5)="",2,0)),0)</f>
        <v>0</v>
      </c>
      <c r="O620" s="194">
        <f>IFERROR(IF(INDEX([1]Pivot!$AD$1:$BE$65000,$B620,O$5)=1,1,IF(INDEX([1]Pivot!$B$1:$AB$65000,$B620,O$5)="",2,0)),0)</f>
        <v>0</v>
      </c>
      <c r="P620" s="194">
        <f>IFERROR(IF(INDEX([1]Pivot!$AD$1:$BE$65000,$B620,P$5)=1,1,IF(INDEX([1]Pivot!$B$1:$AB$65000,$B620,P$5)="",2,0)),0)</f>
        <v>0</v>
      </c>
      <c r="Q620" s="194">
        <f>IFERROR(IF(INDEX([1]Pivot!$AD$1:$BE$65000,$B620,Q$5)=1,1,IF(INDEX([1]Pivot!$B$1:$AB$65000,$B620,Q$5)="",2,0)),0)</f>
        <v>0</v>
      </c>
      <c r="R620" s="312"/>
      <c r="S620" s="194">
        <f>IFERROR(IF(INDEX([1]Pivot!$AD$1:$BE$65000,$B620,S$5)=1,1,IF(INDEX([1]Pivot!$B$1:$AB$65000,$B620,S$5)="",2,0)),0)</f>
        <v>0</v>
      </c>
      <c r="T620" s="194">
        <f>IFERROR(IF(INDEX([1]Pivot!$AD$1:$BE$65000,$B620,T$5)=1,1,IF(INDEX([1]Pivot!$B$1:$AB$65000,$B620,T$5)="",2,0)),0)</f>
        <v>0</v>
      </c>
      <c r="U620" s="194">
        <f>IFERROR(IF(INDEX([1]Pivot!$AD$1:$BE$65000,$B620,U$5)=1,1,IF(INDEX([1]Pivot!$B$1:$AB$65000,$B620,U$5)="",2,0)),0)</f>
        <v>0</v>
      </c>
      <c r="V620" s="194">
        <f>IFERROR(IF(INDEX([1]Pivot!$AD$1:$BE$65000,$B620,V$5)=1,1,IF(INDEX([1]Pivot!$B$1:$AB$65000,$B620,V$5)="",2,0)),0)</f>
        <v>0</v>
      </c>
      <c r="W620" s="194">
        <f>IFERROR(IF(INDEX([1]Pivot!$AD$1:$BE$65000,$B620,W$5)=1,1,IF(INDEX([1]Pivot!$B$1:$AB$65000,$B620,W$5)="",2,0)),0)</f>
        <v>0</v>
      </c>
      <c r="X620" s="194">
        <f>IFERROR(IF(INDEX([1]Pivot!$AD$1:$BE$65000,$B620,X$5)=1,1,IF(INDEX([1]Pivot!$B$1:$AB$65000,$B620,X$5)="",2,0)),0)</f>
        <v>0</v>
      </c>
      <c r="Y620" s="194">
        <f>IFERROR(IF(INDEX([1]Pivot!$AD$1:$BE$65000,$B620,Y$5)=1,1,IF(INDEX([1]Pivot!$B$1:$AB$65000,$B620,Y$5)="",2,0)),0)</f>
        <v>0</v>
      </c>
      <c r="Z620" s="194">
        <f>IFERROR(IF(INDEX([1]Pivot!$AD$1:$BE$65000,$B620,Z$5)=1,1,IF(INDEX([1]Pivot!$B$1:$AB$65000,$B620,Z$5)="",2,0)),0)</f>
        <v>0</v>
      </c>
      <c r="AA620" s="194">
        <f>IFERROR(IF(INDEX([1]Pivot!$AD$1:$BE$65000,$B620,AA$5)=1,1,IF(INDEX([1]Pivot!$B$1:$AB$65000,$B620,AA$5)="",2,0)),0)</f>
        <v>0</v>
      </c>
      <c r="AB620" s="194">
        <f>IFERROR(IF(INDEX([1]Pivot!$AD$1:$BE$65000,$B620,AB$5)=1,1,IF(INDEX([1]Pivot!$B$1:$AB$65000,$B620,AB$5)="",2,0)),0)</f>
        <v>0</v>
      </c>
      <c r="AC620" s="194">
        <f>IFERROR(IF(INDEX([1]Pivot!$AD$1:$BE$65000,$B620,AC$5)=1,1,IF(INDEX([1]Pivot!$B$1:$AB$65000,$B620,AC$5)="",2,0)),0)</f>
        <v>0</v>
      </c>
      <c r="AD620" s="313">
        <f>IFERROR(IF(INDEX([1]Pivot!$BF$1:$CG$65000,$B620,AD$5)=1,1,IF(INDEX([1]Pivot!$B$1:$AB$65000,$B620,AD$5)="",2,0)),0)</f>
        <v>0</v>
      </c>
      <c r="AE620" s="313">
        <f>IFERROR(IF(INDEX([1]Pivot!$BF$1:$CG$65000,$B620,AE$5)=1,1,IF(INDEX([1]Pivot!$B$1:$AB$65000,$B620,AE$5)="",2,0)),0)</f>
        <v>0</v>
      </c>
      <c r="AF620" s="313">
        <f>IFERROR(IF(INDEX([1]Pivot!$BF$1:$CG$65000,$B620,AF$5)=1,1,IF(INDEX([1]Pivot!$B$1:$AB$65000,$B620,AF$5)="",2,0)),0)</f>
        <v>0</v>
      </c>
      <c r="AG620" s="313">
        <f>IFERROR(IF(INDEX([1]Pivot!$BF$1:$CG$65000,$B620,AG$5)=1,1,IF(INDEX([1]Pivot!$B$1:$AB$65000,$B620,AG$5)="",2,0)),0)</f>
        <v>0</v>
      </c>
      <c r="AH620" s="313">
        <f>IFERROR(IF(INDEX([1]Pivot!$BF$1:$CG$65000,$B620,AH$5)=1,1,IF(INDEX([1]Pivot!$B$1:$AB$65000,$B620,AH$5)="",2,0)),0)</f>
        <v>0</v>
      </c>
      <c r="AI620" s="313">
        <f>IFERROR(IF(INDEX([1]Pivot!$BF$1:$CG$65000,$B620,AI$5)=1,1,IF(INDEX([1]Pivot!$B$1:$AB$65000,$B620,AI$5)="",2,0)),0)</f>
        <v>0</v>
      </c>
      <c r="AJ620" s="313">
        <f>IFERROR(IF(INDEX([1]Pivot!$BF$1:$CG$65000,$B620,AJ$5)=1,1,IF(INDEX([1]Pivot!$B$1:$AB$65000,$B620,AJ$5)="",2,0)),0)</f>
        <v>0</v>
      </c>
      <c r="AK620" s="313">
        <f>IFERROR(IF(INDEX([1]Pivot!$BF$1:$CG$65000,$B620,AK$5)=1,1,IF(INDEX([1]Pivot!$B$1:$AB$65000,$B620,AK$5)="",2,0)),0)</f>
        <v>0</v>
      </c>
      <c r="AL620" s="313">
        <f>IFERROR(IF(INDEX([1]Pivot!$BF$1:$CG$65000,$B620,AL$5)=1,1,IF(INDEX([1]Pivot!$B$1:$AB$65000,$B620,AL$5)="",2,0)),0)</f>
        <v>0</v>
      </c>
      <c r="AM620" s="313">
        <f>IFERROR(IF(INDEX([1]Pivot!$BF$1:$CG$65000,$B620,AM$5)=1,1,IF(INDEX([1]Pivot!$B$1:$AB$65000,$B620,AM$5)="",2,0)),0)</f>
        <v>0</v>
      </c>
      <c r="AN620" s="313">
        <f>IFERROR(IF(INDEX([1]Pivot!$BF$1:$CG$65000,$B620,AN$5)=1,1,IF(INDEX([1]Pivot!$B$1:$AB$65000,$B620,AN$5)="",2,0)),0)</f>
        <v>0</v>
      </c>
      <c r="AO620" s="313">
        <f>IFERROR(IF(INDEX([1]Pivot!$BF$1:$CG$65000,$B620,AO$5)=1,1,IF(INDEX([1]Pivot!$B$1:$AB$65000,$B620,AO$5)="",2,0)),0)</f>
        <v>0</v>
      </c>
      <c r="AP620" s="313">
        <f>IFERROR(IF(INDEX([1]Pivot!$BF$1:$CG$65000,$B620,AP$5)=1,1,IF(INDEX([1]Pivot!$B$1:$AB$65000,$B620,AP$5)="",2,0)),0)</f>
        <v>0</v>
      </c>
      <c r="AQ620" s="313">
        <f>IFERROR(IF(INDEX([1]Pivot!$BF$1:$CG$65000,$B620,AQ$5)=1,1,IF(INDEX([1]Pivot!$B$1:$AB$65000,$B620,AQ$5)="",2,0)),0)</f>
        <v>0</v>
      </c>
      <c r="AR620" s="313">
        <f>IFERROR(IF(INDEX([1]Pivot!$BF$1:$CG$65000,$B620,AR$5)=1,1,IF(INDEX([1]Pivot!$B$1:$AB$65000,$B620,AR$5)="",2,0)),0)</f>
        <v>0</v>
      </c>
      <c r="AS620" s="312"/>
      <c r="AT620" s="313">
        <f>IFERROR(IF(INDEX([1]Pivot!$BF$1:$CG$65000,$B620,AT$5)=1,1,IF(INDEX([1]Pivot!$B$1:$AB$65000,$B620,AT$5)="",2,0)),0)</f>
        <v>0</v>
      </c>
      <c r="AU620" s="313">
        <f>IFERROR(IF(INDEX([1]Pivot!$BF$1:$CG$65000,$B620,AU$5)=1,1,IF(INDEX([1]Pivot!$B$1:$AB$65000,$B620,AU$5)="",2,0)),0)</f>
        <v>0</v>
      </c>
      <c r="AV620" s="313">
        <f>IFERROR(IF(INDEX([1]Pivot!$BF$1:$CG$65000,$B620,AV$5)=1,1,IF(INDEX([1]Pivot!$B$1:$AB$65000,$B620,AV$5)="",2,0)),0)</f>
        <v>0</v>
      </c>
      <c r="AW620" s="313">
        <f>IFERROR(IF(INDEX([1]Pivot!$BF$1:$CG$65000,$B620,AW$5)=1,1,IF(INDEX([1]Pivot!$B$1:$AB$65000,$B620,AW$5)="",2,0)),0)</f>
        <v>0</v>
      </c>
      <c r="AX620" s="313">
        <f>IFERROR(IF(INDEX([1]Pivot!$BF$1:$CG$65000,$B620,AX$5)=1,1,IF(INDEX([1]Pivot!$B$1:$AB$65000,$B620,AX$5)="",2,0)),0)</f>
        <v>0</v>
      </c>
      <c r="AY620" s="313">
        <f>IFERROR(IF(INDEX([1]Pivot!$BF$1:$CG$65000,$B620,AY$5)=1,1,IF(INDEX([1]Pivot!$B$1:$AB$65000,$B620,AY$5)="",2,0)),0)</f>
        <v>0</v>
      </c>
      <c r="AZ620" s="313">
        <f>IFERROR(IF(INDEX([1]Pivot!$BF$1:$CG$65000,$B620,AZ$5)=1,1,IF(INDEX([1]Pivot!$B$1:$AB$65000,$B620,AZ$5)="",2,0)),0)</f>
        <v>0</v>
      </c>
      <c r="BA620" s="313">
        <f>IFERROR(IF(INDEX([1]Pivot!$BF$1:$CG$65000,$B620,BA$5)=1,1,IF(INDEX([1]Pivot!$B$1:$AB$65000,$B620,BA$5)="",2,0)),0)</f>
        <v>0</v>
      </c>
      <c r="BB620" s="313">
        <f>IFERROR(IF(INDEX([1]Pivot!$BF$1:$CG$65000,$B620,BB$5)=1,1,IF(INDEX([1]Pivot!$B$1:$AB$65000,$B620,BB$5)="",2,0)),0)</f>
        <v>0</v>
      </c>
      <c r="BC620" s="313">
        <f>IFERROR(IF(INDEX([1]Pivot!$BF$1:$CG$65000,$B620,BC$5)=1,1,IF(INDEX([1]Pivot!$B$1:$AB$65000,$B620,BC$5)="",2,0)),0)</f>
        <v>0</v>
      </c>
      <c r="BD620" s="313">
        <f>IFERROR(IF(INDEX([1]Pivot!$BF$1:$CG$65000,$B620,BD$5)=1,1,IF(INDEX([1]Pivot!$B$1:$AB$65000,$B620,BD$5)="",2,0)),0)</f>
        <v>0</v>
      </c>
    </row>
    <row r="621" spans="1:56" x14ac:dyDescent="0.25">
      <c r="A621" s="288">
        <f>'[2]Raw Milk Prices'!A621</f>
        <v>0</v>
      </c>
      <c r="B621" s="296" t="e">
        <f>MATCH(DATE(LEFT('[2]Raw Milk Prices'!$A621,4),RIGHT('[2]Raw Milk Prices'!$A621,2),1),[1]Pivot!$A$1:$A$65000,0)</f>
        <v>#VALUE!</v>
      </c>
      <c r="C621" s="194">
        <f>IFERROR(IF(INDEX([1]Pivot!$AD$1:$BE$65000,$B621,C$5)=1,1,IF(INDEX([1]Pivot!$B$1:$AB$65000,$B621,C$5)="",2,0)),0)</f>
        <v>0</v>
      </c>
      <c r="D621" s="194">
        <f>IFERROR(IF(INDEX([1]Pivot!$AD$1:$BE$65000,$B621,D$5)=1,1,IF(INDEX([1]Pivot!$B$1:$AB$65000,$B621,D$5)="",2,0)),0)</f>
        <v>0</v>
      </c>
      <c r="E621" s="194">
        <f>IFERROR(IF(INDEX([1]Pivot!$AD$1:$BE$65000,$B621,E$5)=1,1,IF(INDEX([1]Pivot!$B$1:$AB$65000,$B621,E$5)="",2,0)),0)</f>
        <v>0</v>
      </c>
      <c r="F621" s="194">
        <f>IFERROR(IF(INDEX([1]Pivot!$AD$1:$BE$65000,$B621,F$5)=1,1,IF(INDEX([1]Pivot!$B$1:$AB$65000,$B621,F$5)="",2,0)),0)</f>
        <v>0</v>
      </c>
      <c r="G621" s="194">
        <f>IFERROR(IF(INDEX([1]Pivot!$AD$1:$BE$65000,$B621,G$5)=1,1,IF(INDEX([1]Pivot!$B$1:$AB$65000,$B621,G$5)="",2,0)),0)</f>
        <v>0</v>
      </c>
      <c r="H621" s="194">
        <f>IFERROR(IF(INDEX([1]Pivot!$AD$1:$BE$65000,$B621,H$5)=1,1,IF(INDEX([1]Pivot!$B$1:$AB$65000,$B621,H$5)="",2,0)),0)</f>
        <v>0</v>
      </c>
      <c r="I621" s="194">
        <f>IFERROR(IF(INDEX([1]Pivot!$AD$1:$BE$65000,$B621,I$5)=1,1,IF(INDEX([1]Pivot!$B$1:$AB$65000,$B621,I$5)="",2,0)),0)</f>
        <v>0</v>
      </c>
      <c r="J621" s="194">
        <f>IFERROR(IF(INDEX([1]Pivot!$AD$1:$BE$65000,$B621,J$5)=1,1,IF(INDEX([1]Pivot!$B$1:$AB$65000,$B621,J$5)="",2,0)),0)</f>
        <v>0</v>
      </c>
      <c r="K621" s="194">
        <f>IFERROR(IF(INDEX([1]Pivot!$AD$1:$BE$65000,$B621,K$5)=1,1,IF(INDEX([1]Pivot!$B$1:$AB$65000,$B621,K$5)="",2,0)),0)</f>
        <v>0</v>
      </c>
      <c r="L621" s="194">
        <f>IFERROR(IF(INDEX([1]Pivot!$AD$1:$BE$65000,$B621,L$5)=1,1,IF(INDEX([1]Pivot!$B$1:$AB$65000,$B621,L$5)="",2,0)),0)</f>
        <v>0</v>
      </c>
      <c r="M621" s="194">
        <f>IFERROR(IF(INDEX([1]Pivot!$AD$1:$BE$65000,$B621,M$5)=1,1,IF(INDEX([1]Pivot!$B$1:$AB$65000,$B621,M$5)="",2,0)),0)</f>
        <v>0</v>
      </c>
      <c r="N621" s="194">
        <f>IFERROR(IF(INDEX([1]Pivot!$AD$1:$BE$65000,$B621,N$5)=1,1,IF(INDEX([1]Pivot!$B$1:$AB$65000,$B621,N$5)="",2,0)),0)</f>
        <v>0</v>
      </c>
      <c r="O621" s="194">
        <f>IFERROR(IF(INDEX([1]Pivot!$AD$1:$BE$65000,$B621,O$5)=1,1,IF(INDEX([1]Pivot!$B$1:$AB$65000,$B621,O$5)="",2,0)),0)</f>
        <v>0</v>
      </c>
      <c r="P621" s="194">
        <f>IFERROR(IF(INDEX([1]Pivot!$AD$1:$BE$65000,$B621,P$5)=1,1,IF(INDEX([1]Pivot!$B$1:$AB$65000,$B621,P$5)="",2,0)),0)</f>
        <v>0</v>
      </c>
      <c r="Q621" s="194">
        <f>IFERROR(IF(INDEX([1]Pivot!$AD$1:$BE$65000,$B621,Q$5)=1,1,IF(INDEX([1]Pivot!$B$1:$AB$65000,$B621,Q$5)="",2,0)),0)</f>
        <v>0</v>
      </c>
      <c r="R621" s="312"/>
      <c r="S621" s="194">
        <f>IFERROR(IF(INDEX([1]Pivot!$AD$1:$BE$65000,$B621,S$5)=1,1,IF(INDEX([1]Pivot!$B$1:$AB$65000,$B621,S$5)="",2,0)),0)</f>
        <v>0</v>
      </c>
      <c r="T621" s="194">
        <f>IFERROR(IF(INDEX([1]Pivot!$AD$1:$BE$65000,$B621,T$5)=1,1,IF(INDEX([1]Pivot!$B$1:$AB$65000,$B621,T$5)="",2,0)),0)</f>
        <v>0</v>
      </c>
      <c r="U621" s="194">
        <f>IFERROR(IF(INDEX([1]Pivot!$AD$1:$BE$65000,$B621,U$5)=1,1,IF(INDEX([1]Pivot!$B$1:$AB$65000,$B621,U$5)="",2,0)),0)</f>
        <v>0</v>
      </c>
      <c r="V621" s="194">
        <f>IFERROR(IF(INDEX([1]Pivot!$AD$1:$BE$65000,$B621,V$5)=1,1,IF(INDEX([1]Pivot!$B$1:$AB$65000,$B621,V$5)="",2,0)),0)</f>
        <v>0</v>
      </c>
      <c r="W621" s="194">
        <f>IFERROR(IF(INDEX([1]Pivot!$AD$1:$BE$65000,$B621,W$5)=1,1,IF(INDEX([1]Pivot!$B$1:$AB$65000,$B621,W$5)="",2,0)),0)</f>
        <v>0</v>
      </c>
      <c r="X621" s="194">
        <f>IFERROR(IF(INDEX([1]Pivot!$AD$1:$BE$65000,$B621,X$5)=1,1,IF(INDEX([1]Pivot!$B$1:$AB$65000,$B621,X$5)="",2,0)),0)</f>
        <v>0</v>
      </c>
      <c r="Y621" s="194">
        <f>IFERROR(IF(INDEX([1]Pivot!$AD$1:$BE$65000,$B621,Y$5)=1,1,IF(INDEX([1]Pivot!$B$1:$AB$65000,$B621,Y$5)="",2,0)),0)</f>
        <v>0</v>
      </c>
      <c r="Z621" s="194">
        <f>IFERROR(IF(INDEX([1]Pivot!$AD$1:$BE$65000,$B621,Z$5)=1,1,IF(INDEX([1]Pivot!$B$1:$AB$65000,$B621,Z$5)="",2,0)),0)</f>
        <v>0</v>
      </c>
      <c r="AA621" s="194">
        <f>IFERROR(IF(INDEX([1]Pivot!$AD$1:$BE$65000,$B621,AA$5)=1,1,IF(INDEX([1]Pivot!$B$1:$AB$65000,$B621,AA$5)="",2,0)),0)</f>
        <v>0</v>
      </c>
      <c r="AB621" s="194">
        <f>IFERROR(IF(INDEX([1]Pivot!$AD$1:$BE$65000,$B621,AB$5)=1,1,IF(INDEX([1]Pivot!$B$1:$AB$65000,$B621,AB$5)="",2,0)),0)</f>
        <v>0</v>
      </c>
      <c r="AC621" s="194">
        <f>IFERROR(IF(INDEX([1]Pivot!$AD$1:$BE$65000,$B621,AC$5)=1,1,IF(INDEX([1]Pivot!$B$1:$AB$65000,$B621,AC$5)="",2,0)),0)</f>
        <v>0</v>
      </c>
      <c r="AD621" s="313">
        <f>IFERROR(IF(INDEX([1]Pivot!$BF$1:$CG$65000,$B621,AD$5)=1,1,IF(INDEX([1]Pivot!$B$1:$AB$65000,$B621,AD$5)="",2,0)),0)</f>
        <v>0</v>
      </c>
      <c r="AE621" s="313">
        <f>IFERROR(IF(INDEX([1]Pivot!$BF$1:$CG$65000,$B621,AE$5)=1,1,IF(INDEX([1]Pivot!$B$1:$AB$65000,$B621,AE$5)="",2,0)),0)</f>
        <v>0</v>
      </c>
      <c r="AF621" s="313">
        <f>IFERROR(IF(INDEX([1]Pivot!$BF$1:$CG$65000,$B621,AF$5)=1,1,IF(INDEX([1]Pivot!$B$1:$AB$65000,$B621,AF$5)="",2,0)),0)</f>
        <v>0</v>
      </c>
      <c r="AG621" s="313">
        <f>IFERROR(IF(INDEX([1]Pivot!$BF$1:$CG$65000,$B621,AG$5)=1,1,IF(INDEX([1]Pivot!$B$1:$AB$65000,$B621,AG$5)="",2,0)),0)</f>
        <v>0</v>
      </c>
      <c r="AH621" s="313">
        <f>IFERROR(IF(INDEX([1]Pivot!$BF$1:$CG$65000,$B621,AH$5)=1,1,IF(INDEX([1]Pivot!$B$1:$AB$65000,$B621,AH$5)="",2,0)),0)</f>
        <v>0</v>
      </c>
      <c r="AI621" s="313">
        <f>IFERROR(IF(INDEX([1]Pivot!$BF$1:$CG$65000,$B621,AI$5)=1,1,IF(INDEX([1]Pivot!$B$1:$AB$65000,$B621,AI$5)="",2,0)),0)</f>
        <v>0</v>
      </c>
      <c r="AJ621" s="313">
        <f>IFERROR(IF(INDEX([1]Pivot!$BF$1:$CG$65000,$B621,AJ$5)=1,1,IF(INDEX([1]Pivot!$B$1:$AB$65000,$B621,AJ$5)="",2,0)),0)</f>
        <v>0</v>
      </c>
      <c r="AK621" s="313">
        <f>IFERROR(IF(INDEX([1]Pivot!$BF$1:$CG$65000,$B621,AK$5)=1,1,IF(INDEX([1]Pivot!$B$1:$AB$65000,$B621,AK$5)="",2,0)),0)</f>
        <v>0</v>
      </c>
      <c r="AL621" s="313">
        <f>IFERROR(IF(INDEX([1]Pivot!$BF$1:$CG$65000,$B621,AL$5)=1,1,IF(INDEX([1]Pivot!$B$1:$AB$65000,$B621,AL$5)="",2,0)),0)</f>
        <v>0</v>
      </c>
      <c r="AM621" s="313">
        <f>IFERROR(IF(INDEX([1]Pivot!$BF$1:$CG$65000,$B621,AM$5)=1,1,IF(INDEX([1]Pivot!$B$1:$AB$65000,$B621,AM$5)="",2,0)),0)</f>
        <v>0</v>
      </c>
      <c r="AN621" s="313">
        <f>IFERROR(IF(INDEX([1]Pivot!$BF$1:$CG$65000,$B621,AN$5)=1,1,IF(INDEX([1]Pivot!$B$1:$AB$65000,$B621,AN$5)="",2,0)),0)</f>
        <v>0</v>
      </c>
      <c r="AO621" s="313">
        <f>IFERROR(IF(INDEX([1]Pivot!$BF$1:$CG$65000,$B621,AO$5)=1,1,IF(INDEX([1]Pivot!$B$1:$AB$65000,$B621,AO$5)="",2,0)),0)</f>
        <v>0</v>
      </c>
      <c r="AP621" s="313">
        <f>IFERROR(IF(INDEX([1]Pivot!$BF$1:$CG$65000,$B621,AP$5)=1,1,IF(INDEX([1]Pivot!$B$1:$AB$65000,$B621,AP$5)="",2,0)),0)</f>
        <v>0</v>
      </c>
      <c r="AQ621" s="313">
        <f>IFERROR(IF(INDEX([1]Pivot!$BF$1:$CG$65000,$B621,AQ$5)=1,1,IF(INDEX([1]Pivot!$B$1:$AB$65000,$B621,AQ$5)="",2,0)),0)</f>
        <v>0</v>
      </c>
      <c r="AR621" s="313">
        <f>IFERROR(IF(INDEX([1]Pivot!$BF$1:$CG$65000,$B621,AR$5)=1,1,IF(INDEX([1]Pivot!$B$1:$AB$65000,$B621,AR$5)="",2,0)),0)</f>
        <v>0</v>
      </c>
      <c r="AS621" s="312"/>
      <c r="AT621" s="313">
        <f>IFERROR(IF(INDEX([1]Pivot!$BF$1:$CG$65000,$B621,AT$5)=1,1,IF(INDEX([1]Pivot!$B$1:$AB$65000,$B621,AT$5)="",2,0)),0)</f>
        <v>0</v>
      </c>
      <c r="AU621" s="313">
        <f>IFERROR(IF(INDEX([1]Pivot!$BF$1:$CG$65000,$B621,AU$5)=1,1,IF(INDEX([1]Pivot!$B$1:$AB$65000,$B621,AU$5)="",2,0)),0)</f>
        <v>0</v>
      </c>
      <c r="AV621" s="313">
        <f>IFERROR(IF(INDEX([1]Pivot!$BF$1:$CG$65000,$B621,AV$5)=1,1,IF(INDEX([1]Pivot!$B$1:$AB$65000,$B621,AV$5)="",2,0)),0)</f>
        <v>0</v>
      </c>
      <c r="AW621" s="313">
        <f>IFERROR(IF(INDEX([1]Pivot!$BF$1:$CG$65000,$B621,AW$5)=1,1,IF(INDEX([1]Pivot!$B$1:$AB$65000,$B621,AW$5)="",2,0)),0)</f>
        <v>0</v>
      </c>
      <c r="AX621" s="313">
        <f>IFERROR(IF(INDEX([1]Pivot!$BF$1:$CG$65000,$B621,AX$5)=1,1,IF(INDEX([1]Pivot!$B$1:$AB$65000,$B621,AX$5)="",2,0)),0)</f>
        <v>0</v>
      </c>
      <c r="AY621" s="313">
        <f>IFERROR(IF(INDEX([1]Pivot!$BF$1:$CG$65000,$B621,AY$5)=1,1,IF(INDEX([1]Pivot!$B$1:$AB$65000,$B621,AY$5)="",2,0)),0)</f>
        <v>0</v>
      </c>
      <c r="AZ621" s="313">
        <f>IFERROR(IF(INDEX([1]Pivot!$BF$1:$CG$65000,$B621,AZ$5)=1,1,IF(INDEX([1]Pivot!$B$1:$AB$65000,$B621,AZ$5)="",2,0)),0)</f>
        <v>0</v>
      </c>
      <c r="BA621" s="313">
        <f>IFERROR(IF(INDEX([1]Pivot!$BF$1:$CG$65000,$B621,BA$5)=1,1,IF(INDEX([1]Pivot!$B$1:$AB$65000,$B621,BA$5)="",2,0)),0)</f>
        <v>0</v>
      </c>
      <c r="BB621" s="313">
        <f>IFERROR(IF(INDEX([1]Pivot!$BF$1:$CG$65000,$B621,BB$5)=1,1,IF(INDEX([1]Pivot!$B$1:$AB$65000,$B621,BB$5)="",2,0)),0)</f>
        <v>0</v>
      </c>
      <c r="BC621" s="313">
        <f>IFERROR(IF(INDEX([1]Pivot!$BF$1:$CG$65000,$B621,BC$5)=1,1,IF(INDEX([1]Pivot!$B$1:$AB$65000,$B621,BC$5)="",2,0)),0)</f>
        <v>0</v>
      </c>
      <c r="BD621" s="313">
        <f>IFERROR(IF(INDEX([1]Pivot!$BF$1:$CG$65000,$B621,BD$5)=1,1,IF(INDEX([1]Pivot!$B$1:$AB$65000,$B621,BD$5)="",2,0)),0)</f>
        <v>0</v>
      </c>
    </row>
    <row r="622" spans="1:56" x14ac:dyDescent="0.25">
      <c r="A622" s="288">
        <f>'[2]Raw Milk Prices'!A622</f>
        <v>0</v>
      </c>
      <c r="B622" s="296" t="e">
        <f>MATCH(DATE(LEFT('[2]Raw Milk Prices'!$A622,4),RIGHT('[2]Raw Milk Prices'!$A622,2),1),[1]Pivot!$A$1:$A$65000,0)</f>
        <v>#VALUE!</v>
      </c>
      <c r="C622" s="194">
        <f>IFERROR(IF(INDEX([1]Pivot!$AD$1:$BE$65000,$B622,C$5)=1,1,IF(INDEX([1]Pivot!$B$1:$AB$65000,$B622,C$5)="",2,0)),0)</f>
        <v>0</v>
      </c>
      <c r="D622" s="194">
        <f>IFERROR(IF(INDEX([1]Pivot!$AD$1:$BE$65000,$B622,D$5)=1,1,IF(INDEX([1]Pivot!$B$1:$AB$65000,$B622,D$5)="",2,0)),0)</f>
        <v>0</v>
      </c>
      <c r="E622" s="194">
        <f>IFERROR(IF(INDEX([1]Pivot!$AD$1:$BE$65000,$B622,E$5)=1,1,IF(INDEX([1]Pivot!$B$1:$AB$65000,$B622,E$5)="",2,0)),0)</f>
        <v>0</v>
      </c>
      <c r="F622" s="194">
        <f>IFERROR(IF(INDEX([1]Pivot!$AD$1:$BE$65000,$B622,F$5)=1,1,IF(INDEX([1]Pivot!$B$1:$AB$65000,$B622,F$5)="",2,0)),0)</f>
        <v>0</v>
      </c>
      <c r="G622" s="194">
        <f>IFERROR(IF(INDEX([1]Pivot!$AD$1:$BE$65000,$B622,G$5)=1,1,IF(INDEX([1]Pivot!$B$1:$AB$65000,$B622,G$5)="",2,0)),0)</f>
        <v>0</v>
      </c>
      <c r="H622" s="194">
        <f>IFERROR(IF(INDEX([1]Pivot!$AD$1:$BE$65000,$B622,H$5)=1,1,IF(INDEX([1]Pivot!$B$1:$AB$65000,$B622,H$5)="",2,0)),0)</f>
        <v>0</v>
      </c>
      <c r="I622" s="194">
        <f>IFERROR(IF(INDEX([1]Pivot!$AD$1:$BE$65000,$B622,I$5)=1,1,IF(INDEX([1]Pivot!$B$1:$AB$65000,$B622,I$5)="",2,0)),0)</f>
        <v>0</v>
      </c>
      <c r="J622" s="194">
        <f>IFERROR(IF(INDEX([1]Pivot!$AD$1:$BE$65000,$B622,J$5)=1,1,IF(INDEX([1]Pivot!$B$1:$AB$65000,$B622,J$5)="",2,0)),0)</f>
        <v>0</v>
      </c>
      <c r="K622" s="194">
        <f>IFERROR(IF(INDEX([1]Pivot!$AD$1:$BE$65000,$B622,K$5)=1,1,IF(INDEX([1]Pivot!$B$1:$AB$65000,$B622,K$5)="",2,0)),0)</f>
        <v>0</v>
      </c>
      <c r="L622" s="194">
        <f>IFERROR(IF(INDEX([1]Pivot!$AD$1:$BE$65000,$B622,L$5)=1,1,IF(INDEX([1]Pivot!$B$1:$AB$65000,$B622,L$5)="",2,0)),0)</f>
        <v>0</v>
      </c>
      <c r="M622" s="194">
        <f>IFERROR(IF(INDEX([1]Pivot!$AD$1:$BE$65000,$B622,M$5)=1,1,IF(INDEX([1]Pivot!$B$1:$AB$65000,$B622,M$5)="",2,0)),0)</f>
        <v>0</v>
      </c>
      <c r="N622" s="194">
        <f>IFERROR(IF(INDEX([1]Pivot!$AD$1:$BE$65000,$B622,N$5)=1,1,IF(INDEX([1]Pivot!$B$1:$AB$65000,$B622,N$5)="",2,0)),0)</f>
        <v>0</v>
      </c>
      <c r="O622" s="194">
        <f>IFERROR(IF(INDEX([1]Pivot!$AD$1:$BE$65000,$B622,O$5)=1,1,IF(INDEX([1]Pivot!$B$1:$AB$65000,$B622,O$5)="",2,0)),0)</f>
        <v>0</v>
      </c>
      <c r="P622" s="194">
        <f>IFERROR(IF(INDEX([1]Pivot!$AD$1:$BE$65000,$B622,P$5)=1,1,IF(INDEX([1]Pivot!$B$1:$AB$65000,$B622,P$5)="",2,0)),0)</f>
        <v>0</v>
      </c>
      <c r="Q622" s="194">
        <f>IFERROR(IF(INDEX([1]Pivot!$AD$1:$BE$65000,$B622,Q$5)=1,1,IF(INDEX([1]Pivot!$B$1:$AB$65000,$B622,Q$5)="",2,0)),0)</f>
        <v>0</v>
      </c>
      <c r="R622" s="312"/>
      <c r="S622" s="194">
        <f>IFERROR(IF(INDEX([1]Pivot!$AD$1:$BE$65000,$B622,S$5)=1,1,IF(INDEX([1]Pivot!$B$1:$AB$65000,$B622,S$5)="",2,0)),0)</f>
        <v>0</v>
      </c>
      <c r="T622" s="194">
        <f>IFERROR(IF(INDEX([1]Pivot!$AD$1:$BE$65000,$B622,T$5)=1,1,IF(INDEX([1]Pivot!$B$1:$AB$65000,$B622,T$5)="",2,0)),0)</f>
        <v>0</v>
      </c>
      <c r="U622" s="194">
        <f>IFERROR(IF(INDEX([1]Pivot!$AD$1:$BE$65000,$B622,U$5)=1,1,IF(INDEX([1]Pivot!$B$1:$AB$65000,$B622,U$5)="",2,0)),0)</f>
        <v>0</v>
      </c>
      <c r="V622" s="194">
        <f>IFERROR(IF(INDEX([1]Pivot!$AD$1:$BE$65000,$B622,V$5)=1,1,IF(INDEX([1]Pivot!$B$1:$AB$65000,$B622,V$5)="",2,0)),0)</f>
        <v>0</v>
      </c>
      <c r="W622" s="194">
        <f>IFERROR(IF(INDEX([1]Pivot!$AD$1:$BE$65000,$B622,W$5)=1,1,IF(INDEX([1]Pivot!$B$1:$AB$65000,$B622,W$5)="",2,0)),0)</f>
        <v>0</v>
      </c>
      <c r="X622" s="194">
        <f>IFERROR(IF(INDEX([1]Pivot!$AD$1:$BE$65000,$B622,X$5)=1,1,IF(INDEX([1]Pivot!$B$1:$AB$65000,$B622,X$5)="",2,0)),0)</f>
        <v>0</v>
      </c>
      <c r="Y622" s="194">
        <f>IFERROR(IF(INDEX([1]Pivot!$AD$1:$BE$65000,$B622,Y$5)=1,1,IF(INDEX([1]Pivot!$B$1:$AB$65000,$B622,Y$5)="",2,0)),0)</f>
        <v>0</v>
      </c>
      <c r="Z622" s="194">
        <f>IFERROR(IF(INDEX([1]Pivot!$AD$1:$BE$65000,$B622,Z$5)=1,1,IF(INDEX([1]Pivot!$B$1:$AB$65000,$B622,Z$5)="",2,0)),0)</f>
        <v>0</v>
      </c>
      <c r="AA622" s="194">
        <f>IFERROR(IF(INDEX([1]Pivot!$AD$1:$BE$65000,$B622,AA$5)=1,1,IF(INDEX([1]Pivot!$B$1:$AB$65000,$B622,AA$5)="",2,0)),0)</f>
        <v>0</v>
      </c>
      <c r="AB622" s="194">
        <f>IFERROR(IF(INDEX([1]Pivot!$AD$1:$BE$65000,$B622,AB$5)=1,1,IF(INDEX([1]Pivot!$B$1:$AB$65000,$B622,AB$5)="",2,0)),0)</f>
        <v>0</v>
      </c>
      <c r="AC622" s="194">
        <f>IFERROR(IF(INDEX([1]Pivot!$AD$1:$BE$65000,$B622,AC$5)=1,1,IF(INDEX([1]Pivot!$B$1:$AB$65000,$B622,AC$5)="",2,0)),0)</f>
        <v>0</v>
      </c>
      <c r="AD622" s="313">
        <f>IFERROR(IF(INDEX([1]Pivot!$BF$1:$CG$65000,$B622,AD$5)=1,1,IF(INDEX([1]Pivot!$B$1:$AB$65000,$B622,AD$5)="",2,0)),0)</f>
        <v>0</v>
      </c>
      <c r="AE622" s="313">
        <f>IFERROR(IF(INDEX([1]Pivot!$BF$1:$CG$65000,$B622,AE$5)=1,1,IF(INDEX([1]Pivot!$B$1:$AB$65000,$B622,AE$5)="",2,0)),0)</f>
        <v>0</v>
      </c>
      <c r="AF622" s="313">
        <f>IFERROR(IF(INDEX([1]Pivot!$BF$1:$CG$65000,$B622,AF$5)=1,1,IF(INDEX([1]Pivot!$B$1:$AB$65000,$B622,AF$5)="",2,0)),0)</f>
        <v>0</v>
      </c>
      <c r="AG622" s="313">
        <f>IFERROR(IF(INDEX([1]Pivot!$BF$1:$CG$65000,$B622,AG$5)=1,1,IF(INDEX([1]Pivot!$B$1:$AB$65000,$B622,AG$5)="",2,0)),0)</f>
        <v>0</v>
      </c>
      <c r="AH622" s="313">
        <f>IFERROR(IF(INDEX([1]Pivot!$BF$1:$CG$65000,$B622,AH$5)=1,1,IF(INDEX([1]Pivot!$B$1:$AB$65000,$B622,AH$5)="",2,0)),0)</f>
        <v>0</v>
      </c>
      <c r="AI622" s="313">
        <f>IFERROR(IF(INDEX([1]Pivot!$BF$1:$CG$65000,$B622,AI$5)=1,1,IF(INDEX([1]Pivot!$B$1:$AB$65000,$B622,AI$5)="",2,0)),0)</f>
        <v>0</v>
      </c>
      <c r="AJ622" s="313">
        <f>IFERROR(IF(INDEX([1]Pivot!$BF$1:$CG$65000,$B622,AJ$5)=1,1,IF(INDEX([1]Pivot!$B$1:$AB$65000,$B622,AJ$5)="",2,0)),0)</f>
        <v>0</v>
      </c>
      <c r="AK622" s="313">
        <f>IFERROR(IF(INDEX([1]Pivot!$BF$1:$CG$65000,$B622,AK$5)=1,1,IF(INDEX([1]Pivot!$B$1:$AB$65000,$B622,AK$5)="",2,0)),0)</f>
        <v>0</v>
      </c>
      <c r="AL622" s="313">
        <f>IFERROR(IF(INDEX([1]Pivot!$BF$1:$CG$65000,$B622,AL$5)=1,1,IF(INDEX([1]Pivot!$B$1:$AB$65000,$B622,AL$5)="",2,0)),0)</f>
        <v>0</v>
      </c>
      <c r="AM622" s="313">
        <f>IFERROR(IF(INDEX([1]Pivot!$BF$1:$CG$65000,$B622,AM$5)=1,1,IF(INDEX([1]Pivot!$B$1:$AB$65000,$B622,AM$5)="",2,0)),0)</f>
        <v>0</v>
      </c>
      <c r="AN622" s="313">
        <f>IFERROR(IF(INDEX([1]Pivot!$BF$1:$CG$65000,$B622,AN$5)=1,1,IF(INDEX([1]Pivot!$B$1:$AB$65000,$B622,AN$5)="",2,0)),0)</f>
        <v>0</v>
      </c>
      <c r="AO622" s="313">
        <f>IFERROR(IF(INDEX([1]Pivot!$BF$1:$CG$65000,$B622,AO$5)=1,1,IF(INDEX([1]Pivot!$B$1:$AB$65000,$B622,AO$5)="",2,0)),0)</f>
        <v>0</v>
      </c>
      <c r="AP622" s="313">
        <f>IFERROR(IF(INDEX([1]Pivot!$BF$1:$CG$65000,$B622,AP$5)=1,1,IF(INDEX([1]Pivot!$B$1:$AB$65000,$B622,AP$5)="",2,0)),0)</f>
        <v>0</v>
      </c>
      <c r="AQ622" s="313">
        <f>IFERROR(IF(INDEX([1]Pivot!$BF$1:$CG$65000,$B622,AQ$5)=1,1,IF(INDEX([1]Pivot!$B$1:$AB$65000,$B622,AQ$5)="",2,0)),0)</f>
        <v>0</v>
      </c>
      <c r="AR622" s="313">
        <f>IFERROR(IF(INDEX([1]Pivot!$BF$1:$CG$65000,$B622,AR$5)=1,1,IF(INDEX([1]Pivot!$B$1:$AB$65000,$B622,AR$5)="",2,0)),0)</f>
        <v>0</v>
      </c>
      <c r="AS622" s="312"/>
      <c r="AT622" s="313">
        <f>IFERROR(IF(INDEX([1]Pivot!$BF$1:$CG$65000,$B622,AT$5)=1,1,IF(INDEX([1]Pivot!$B$1:$AB$65000,$B622,AT$5)="",2,0)),0)</f>
        <v>0</v>
      </c>
      <c r="AU622" s="313">
        <f>IFERROR(IF(INDEX([1]Pivot!$BF$1:$CG$65000,$B622,AU$5)=1,1,IF(INDEX([1]Pivot!$B$1:$AB$65000,$B622,AU$5)="",2,0)),0)</f>
        <v>0</v>
      </c>
      <c r="AV622" s="313">
        <f>IFERROR(IF(INDEX([1]Pivot!$BF$1:$CG$65000,$B622,AV$5)=1,1,IF(INDEX([1]Pivot!$B$1:$AB$65000,$B622,AV$5)="",2,0)),0)</f>
        <v>0</v>
      </c>
      <c r="AW622" s="313">
        <f>IFERROR(IF(INDEX([1]Pivot!$BF$1:$CG$65000,$B622,AW$5)=1,1,IF(INDEX([1]Pivot!$B$1:$AB$65000,$B622,AW$5)="",2,0)),0)</f>
        <v>0</v>
      </c>
      <c r="AX622" s="313">
        <f>IFERROR(IF(INDEX([1]Pivot!$BF$1:$CG$65000,$B622,AX$5)=1,1,IF(INDEX([1]Pivot!$B$1:$AB$65000,$B622,AX$5)="",2,0)),0)</f>
        <v>0</v>
      </c>
      <c r="AY622" s="313">
        <f>IFERROR(IF(INDEX([1]Pivot!$BF$1:$CG$65000,$B622,AY$5)=1,1,IF(INDEX([1]Pivot!$B$1:$AB$65000,$B622,AY$5)="",2,0)),0)</f>
        <v>0</v>
      </c>
      <c r="AZ622" s="313">
        <f>IFERROR(IF(INDEX([1]Pivot!$BF$1:$CG$65000,$B622,AZ$5)=1,1,IF(INDEX([1]Pivot!$B$1:$AB$65000,$B622,AZ$5)="",2,0)),0)</f>
        <v>0</v>
      </c>
      <c r="BA622" s="313">
        <f>IFERROR(IF(INDEX([1]Pivot!$BF$1:$CG$65000,$B622,BA$5)=1,1,IF(INDEX([1]Pivot!$B$1:$AB$65000,$B622,BA$5)="",2,0)),0)</f>
        <v>0</v>
      </c>
      <c r="BB622" s="313">
        <f>IFERROR(IF(INDEX([1]Pivot!$BF$1:$CG$65000,$B622,BB$5)=1,1,IF(INDEX([1]Pivot!$B$1:$AB$65000,$B622,BB$5)="",2,0)),0)</f>
        <v>0</v>
      </c>
      <c r="BC622" s="313">
        <f>IFERROR(IF(INDEX([1]Pivot!$BF$1:$CG$65000,$B622,BC$5)=1,1,IF(INDEX([1]Pivot!$B$1:$AB$65000,$B622,BC$5)="",2,0)),0)</f>
        <v>0</v>
      </c>
      <c r="BD622" s="313">
        <f>IFERROR(IF(INDEX([1]Pivot!$BF$1:$CG$65000,$B622,BD$5)=1,1,IF(INDEX([1]Pivot!$B$1:$AB$65000,$B622,BD$5)="",2,0)),0)</f>
        <v>0</v>
      </c>
    </row>
    <row r="623" spans="1:56" x14ac:dyDescent="0.25">
      <c r="A623" s="288">
        <f>'[2]Raw Milk Prices'!A623</f>
        <v>0</v>
      </c>
      <c r="B623" s="296" t="e">
        <f>MATCH(DATE(LEFT('[2]Raw Milk Prices'!$A623,4),RIGHT('[2]Raw Milk Prices'!$A623,2),1),[1]Pivot!$A$1:$A$65000,0)</f>
        <v>#VALUE!</v>
      </c>
      <c r="C623" s="194">
        <f>IFERROR(IF(INDEX([1]Pivot!$AD$1:$BE$65000,$B623,C$5)=1,1,IF(INDEX([1]Pivot!$B$1:$AB$65000,$B623,C$5)="",2,0)),0)</f>
        <v>0</v>
      </c>
      <c r="D623" s="194">
        <f>IFERROR(IF(INDEX([1]Pivot!$AD$1:$BE$65000,$B623,D$5)=1,1,IF(INDEX([1]Pivot!$B$1:$AB$65000,$B623,D$5)="",2,0)),0)</f>
        <v>0</v>
      </c>
      <c r="E623" s="194">
        <f>IFERROR(IF(INDEX([1]Pivot!$AD$1:$BE$65000,$B623,E$5)=1,1,IF(INDEX([1]Pivot!$B$1:$AB$65000,$B623,E$5)="",2,0)),0)</f>
        <v>0</v>
      </c>
      <c r="F623" s="194">
        <f>IFERROR(IF(INDEX([1]Pivot!$AD$1:$BE$65000,$B623,F$5)=1,1,IF(INDEX([1]Pivot!$B$1:$AB$65000,$B623,F$5)="",2,0)),0)</f>
        <v>0</v>
      </c>
      <c r="G623" s="194">
        <f>IFERROR(IF(INDEX([1]Pivot!$AD$1:$BE$65000,$B623,G$5)=1,1,IF(INDEX([1]Pivot!$B$1:$AB$65000,$B623,G$5)="",2,0)),0)</f>
        <v>0</v>
      </c>
      <c r="H623" s="194">
        <f>IFERROR(IF(INDEX([1]Pivot!$AD$1:$BE$65000,$B623,H$5)=1,1,IF(INDEX([1]Pivot!$B$1:$AB$65000,$B623,H$5)="",2,0)),0)</f>
        <v>0</v>
      </c>
      <c r="I623" s="194">
        <f>IFERROR(IF(INDEX([1]Pivot!$AD$1:$BE$65000,$B623,I$5)=1,1,IF(INDEX([1]Pivot!$B$1:$AB$65000,$B623,I$5)="",2,0)),0)</f>
        <v>0</v>
      </c>
      <c r="J623" s="194">
        <f>IFERROR(IF(INDEX([1]Pivot!$AD$1:$BE$65000,$B623,J$5)=1,1,IF(INDEX([1]Pivot!$B$1:$AB$65000,$B623,J$5)="",2,0)),0)</f>
        <v>0</v>
      </c>
      <c r="K623" s="194">
        <f>IFERROR(IF(INDEX([1]Pivot!$AD$1:$BE$65000,$B623,K$5)=1,1,IF(INDEX([1]Pivot!$B$1:$AB$65000,$B623,K$5)="",2,0)),0)</f>
        <v>0</v>
      </c>
      <c r="L623" s="194">
        <f>IFERROR(IF(INDEX([1]Pivot!$AD$1:$BE$65000,$B623,L$5)=1,1,IF(INDEX([1]Pivot!$B$1:$AB$65000,$B623,L$5)="",2,0)),0)</f>
        <v>0</v>
      </c>
      <c r="M623" s="194">
        <f>IFERROR(IF(INDEX([1]Pivot!$AD$1:$BE$65000,$B623,M$5)=1,1,IF(INDEX([1]Pivot!$B$1:$AB$65000,$B623,M$5)="",2,0)),0)</f>
        <v>0</v>
      </c>
      <c r="N623" s="194">
        <f>IFERROR(IF(INDEX([1]Pivot!$AD$1:$BE$65000,$B623,N$5)=1,1,IF(INDEX([1]Pivot!$B$1:$AB$65000,$B623,N$5)="",2,0)),0)</f>
        <v>0</v>
      </c>
      <c r="O623" s="194">
        <f>IFERROR(IF(INDEX([1]Pivot!$AD$1:$BE$65000,$B623,O$5)=1,1,IF(INDEX([1]Pivot!$B$1:$AB$65000,$B623,O$5)="",2,0)),0)</f>
        <v>0</v>
      </c>
      <c r="P623" s="194">
        <f>IFERROR(IF(INDEX([1]Pivot!$AD$1:$BE$65000,$B623,P$5)=1,1,IF(INDEX([1]Pivot!$B$1:$AB$65000,$B623,P$5)="",2,0)),0)</f>
        <v>0</v>
      </c>
      <c r="Q623" s="194">
        <f>IFERROR(IF(INDEX([1]Pivot!$AD$1:$BE$65000,$B623,Q$5)=1,1,IF(INDEX([1]Pivot!$B$1:$AB$65000,$B623,Q$5)="",2,0)),0)</f>
        <v>0</v>
      </c>
      <c r="R623" s="312"/>
      <c r="S623" s="194">
        <f>IFERROR(IF(INDEX([1]Pivot!$AD$1:$BE$65000,$B623,S$5)=1,1,IF(INDEX([1]Pivot!$B$1:$AB$65000,$B623,S$5)="",2,0)),0)</f>
        <v>0</v>
      </c>
      <c r="T623" s="194">
        <f>IFERROR(IF(INDEX([1]Pivot!$AD$1:$BE$65000,$B623,T$5)=1,1,IF(INDEX([1]Pivot!$B$1:$AB$65000,$B623,T$5)="",2,0)),0)</f>
        <v>0</v>
      </c>
      <c r="U623" s="194">
        <f>IFERROR(IF(INDEX([1]Pivot!$AD$1:$BE$65000,$B623,U$5)=1,1,IF(INDEX([1]Pivot!$B$1:$AB$65000,$B623,U$5)="",2,0)),0)</f>
        <v>0</v>
      </c>
      <c r="V623" s="194">
        <f>IFERROR(IF(INDEX([1]Pivot!$AD$1:$BE$65000,$B623,V$5)=1,1,IF(INDEX([1]Pivot!$B$1:$AB$65000,$B623,V$5)="",2,0)),0)</f>
        <v>0</v>
      </c>
      <c r="W623" s="194">
        <f>IFERROR(IF(INDEX([1]Pivot!$AD$1:$BE$65000,$B623,W$5)=1,1,IF(INDEX([1]Pivot!$B$1:$AB$65000,$B623,W$5)="",2,0)),0)</f>
        <v>0</v>
      </c>
      <c r="X623" s="194">
        <f>IFERROR(IF(INDEX([1]Pivot!$AD$1:$BE$65000,$B623,X$5)=1,1,IF(INDEX([1]Pivot!$B$1:$AB$65000,$B623,X$5)="",2,0)),0)</f>
        <v>0</v>
      </c>
      <c r="Y623" s="194">
        <f>IFERROR(IF(INDEX([1]Pivot!$AD$1:$BE$65000,$B623,Y$5)=1,1,IF(INDEX([1]Pivot!$B$1:$AB$65000,$B623,Y$5)="",2,0)),0)</f>
        <v>0</v>
      </c>
      <c r="Z623" s="194">
        <f>IFERROR(IF(INDEX([1]Pivot!$AD$1:$BE$65000,$B623,Z$5)=1,1,IF(INDEX([1]Pivot!$B$1:$AB$65000,$B623,Z$5)="",2,0)),0)</f>
        <v>0</v>
      </c>
      <c r="AA623" s="194">
        <f>IFERROR(IF(INDEX([1]Pivot!$AD$1:$BE$65000,$B623,AA$5)=1,1,IF(INDEX([1]Pivot!$B$1:$AB$65000,$B623,AA$5)="",2,0)),0)</f>
        <v>0</v>
      </c>
      <c r="AB623" s="194">
        <f>IFERROR(IF(INDEX([1]Pivot!$AD$1:$BE$65000,$B623,AB$5)=1,1,IF(INDEX([1]Pivot!$B$1:$AB$65000,$B623,AB$5)="",2,0)),0)</f>
        <v>0</v>
      </c>
      <c r="AC623" s="194">
        <f>IFERROR(IF(INDEX([1]Pivot!$AD$1:$BE$65000,$B623,AC$5)=1,1,IF(INDEX([1]Pivot!$B$1:$AB$65000,$B623,AC$5)="",2,0)),0)</f>
        <v>0</v>
      </c>
      <c r="AD623" s="313">
        <f>IFERROR(IF(INDEX([1]Pivot!$BF$1:$CG$65000,$B623,AD$5)=1,1,IF(INDEX([1]Pivot!$B$1:$AB$65000,$B623,AD$5)="",2,0)),0)</f>
        <v>0</v>
      </c>
      <c r="AE623" s="313">
        <f>IFERROR(IF(INDEX([1]Pivot!$BF$1:$CG$65000,$B623,AE$5)=1,1,IF(INDEX([1]Pivot!$B$1:$AB$65000,$B623,AE$5)="",2,0)),0)</f>
        <v>0</v>
      </c>
      <c r="AF623" s="313">
        <f>IFERROR(IF(INDEX([1]Pivot!$BF$1:$CG$65000,$B623,AF$5)=1,1,IF(INDEX([1]Pivot!$B$1:$AB$65000,$B623,AF$5)="",2,0)),0)</f>
        <v>0</v>
      </c>
      <c r="AG623" s="313">
        <f>IFERROR(IF(INDEX([1]Pivot!$BF$1:$CG$65000,$B623,AG$5)=1,1,IF(INDEX([1]Pivot!$B$1:$AB$65000,$B623,AG$5)="",2,0)),0)</f>
        <v>0</v>
      </c>
      <c r="AH623" s="313">
        <f>IFERROR(IF(INDEX([1]Pivot!$BF$1:$CG$65000,$B623,AH$5)=1,1,IF(INDEX([1]Pivot!$B$1:$AB$65000,$B623,AH$5)="",2,0)),0)</f>
        <v>0</v>
      </c>
      <c r="AI623" s="313">
        <f>IFERROR(IF(INDEX([1]Pivot!$BF$1:$CG$65000,$B623,AI$5)=1,1,IF(INDEX([1]Pivot!$B$1:$AB$65000,$B623,AI$5)="",2,0)),0)</f>
        <v>0</v>
      </c>
      <c r="AJ623" s="313">
        <f>IFERROR(IF(INDEX([1]Pivot!$BF$1:$CG$65000,$B623,AJ$5)=1,1,IF(INDEX([1]Pivot!$B$1:$AB$65000,$B623,AJ$5)="",2,0)),0)</f>
        <v>0</v>
      </c>
      <c r="AK623" s="313">
        <f>IFERROR(IF(INDEX([1]Pivot!$BF$1:$CG$65000,$B623,AK$5)=1,1,IF(INDEX([1]Pivot!$B$1:$AB$65000,$B623,AK$5)="",2,0)),0)</f>
        <v>0</v>
      </c>
      <c r="AL623" s="313">
        <f>IFERROR(IF(INDEX([1]Pivot!$BF$1:$CG$65000,$B623,AL$5)=1,1,IF(INDEX([1]Pivot!$B$1:$AB$65000,$B623,AL$5)="",2,0)),0)</f>
        <v>0</v>
      </c>
      <c r="AM623" s="313">
        <f>IFERROR(IF(INDEX([1]Pivot!$BF$1:$CG$65000,$B623,AM$5)=1,1,IF(INDEX([1]Pivot!$B$1:$AB$65000,$B623,AM$5)="",2,0)),0)</f>
        <v>0</v>
      </c>
      <c r="AN623" s="313">
        <f>IFERROR(IF(INDEX([1]Pivot!$BF$1:$CG$65000,$B623,AN$5)=1,1,IF(INDEX([1]Pivot!$B$1:$AB$65000,$B623,AN$5)="",2,0)),0)</f>
        <v>0</v>
      </c>
      <c r="AO623" s="313">
        <f>IFERROR(IF(INDEX([1]Pivot!$BF$1:$CG$65000,$B623,AO$5)=1,1,IF(INDEX([1]Pivot!$B$1:$AB$65000,$B623,AO$5)="",2,0)),0)</f>
        <v>0</v>
      </c>
      <c r="AP623" s="313">
        <f>IFERROR(IF(INDEX([1]Pivot!$BF$1:$CG$65000,$B623,AP$5)=1,1,IF(INDEX([1]Pivot!$B$1:$AB$65000,$B623,AP$5)="",2,0)),0)</f>
        <v>0</v>
      </c>
      <c r="AQ623" s="313">
        <f>IFERROR(IF(INDEX([1]Pivot!$BF$1:$CG$65000,$B623,AQ$5)=1,1,IF(INDEX([1]Pivot!$B$1:$AB$65000,$B623,AQ$5)="",2,0)),0)</f>
        <v>0</v>
      </c>
      <c r="AR623" s="313">
        <f>IFERROR(IF(INDEX([1]Pivot!$BF$1:$CG$65000,$B623,AR$5)=1,1,IF(INDEX([1]Pivot!$B$1:$AB$65000,$B623,AR$5)="",2,0)),0)</f>
        <v>0</v>
      </c>
      <c r="AS623" s="312"/>
      <c r="AT623" s="313">
        <f>IFERROR(IF(INDEX([1]Pivot!$BF$1:$CG$65000,$B623,AT$5)=1,1,IF(INDEX([1]Pivot!$B$1:$AB$65000,$B623,AT$5)="",2,0)),0)</f>
        <v>0</v>
      </c>
      <c r="AU623" s="313">
        <f>IFERROR(IF(INDEX([1]Pivot!$BF$1:$CG$65000,$B623,AU$5)=1,1,IF(INDEX([1]Pivot!$B$1:$AB$65000,$B623,AU$5)="",2,0)),0)</f>
        <v>0</v>
      </c>
      <c r="AV623" s="313">
        <f>IFERROR(IF(INDEX([1]Pivot!$BF$1:$CG$65000,$B623,AV$5)=1,1,IF(INDEX([1]Pivot!$B$1:$AB$65000,$B623,AV$5)="",2,0)),0)</f>
        <v>0</v>
      </c>
      <c r="AW623" s="313">
        <f>IFERROR(IF(INDEX([1]Pivot!$BF$1:$CG$65000,$B623,AW$5)=1,1,IF(INDEX([1]Pivot!$B$1:$AB$65000,$B623,AW$5)="",2,0)),0)</f>
        <v>0</v>
      </c>
      <c r="AX623" s="313">
        <f>IFERROR(IF(INDEX([1]Pivot!$BF$1:$CG$65000,$B623,AX$5)=1,1,IF(INDEX([1]Pivot!$B$1:$AB$65000,$B623,AX$5)="",2,0)),0)</f>
        <v>0</v>
      </c>
      <c r="AY623" s="313">
        <f>IFERROR(IF(INDEX([1]Pivot!$BF$1:$CG$65000,$B623,AY$5)=1,1,IF(INDEX([1]Pivot!$B$1:$AB$65000,$B623,AY$5)="",2,0)),0)</f>
        <v>0</v>
      </c>
      <c r="AZ623" s="313">
        <f>IFERROR(IF(INDEX([1]Pivot!$BF$1:$CG$65000,$B623,AZ$5)=1,1,IF(INDEX([1]Pivot!$B$1:$AB$65000,$B623,AZ$5)="",2,0)),0)</f>
        <v>0</v>
      </c>
      <c r="BA623" s="313">
        <f>IFERROR(IF(INDEX([1]Pivot!$BF$1:$CG$65000,$B623,BA$5)=1,1,IF(INDEX([1]Pivot!$B$1:$AB$65000,$B623,BA$5)="",2,0)),0)</f>
        <v>0</v>
      </c>
      <c r="BB623" s="313">
        <f>IFERROR(IF(INDEX([1]Pivot!$BF$1:$CG$65000,$B623,BB$5)=1,1,IF(INDEX([1]Pivot!$B$1:$AB$65000,$B623,BB$5)="",2,0)),0)</f>
        <v>0</v>
      </c>
      <c r="BC623" s="313">
        <f>IFERROR(IF(INDEX([1]Pivot!$BF$1:$CG$65000,$B623,BC$5)=1,1,IF(INDEX([1]Pivot!$B$1:$AB$65000,$B623,BC$5)="",2,0)),0)</f>
        <v>0</v>
      </c>
      <c r="BD623" s="313">
        <f>IFERROR(IF(INDEX([1]Pivot!$BF$1:$CG$65000,$B623,BD$5)=1,1,IF(INDEX([1]Pivot!$B$1:$AB$65000,$B623,BD$5)="",2,0)),0)</f>
        <v>0</v>
      </c>
    </row>
    <row r="624" spans="1:56" x14ac:dyDescent="0.25">
      <c r="A624" s="288">
        <f>'[2]Raw Milk Prices'!A624</f>
        <v>0</v>
      </c>
      <c r="B624" s="296" t="e">
        <f>MATCH(DATE(LEFT('[2]Raw Milk Prices'!$A624,4),RIGHT('[2]Raw Milk Prices'!$A624,2),1),[1]Pivot!$A$1:$A$65000,0)</f>
        <v>#VALUE!</v>
      </c>
      <c r="C624" s="194">
        <f>IFERROR(IF(INDEX([1]Pivot!$AD$1:$BE$65000,$B624,C$5)=1,1,IF(INDEX([1]Pivot!$B$1:$AB$65000,$B624,C$5)="",2,0)),0)</f>
        <v>0</v>
      </c>
      <c r="D624" s="194">
        <f>IFERROR(IF(INDEX([1]Pivot!$AD$1:$BE$65000,$B624,D$5)=1,1,IF(INDEX([1]Pivot!$B$1:$AB$65000,$B624,D$5)="",2,0)),0)</f>
        <v>0</v>
      </c>
      <c r="E624" s="194">
        <f>IFERROR(IF(INDEX([1]Pivot!$AD$1:$BE$65000,$B624,E$5)=1,1,IF(INDEX([1]Pivot!$B$1:$AB$65000,$B624,E$5)="",2,0)),0)</f>
        <v>0</v>
      </c>
      <c r="F624" s="194">
        <f>IFERROR(IF(INDEX([1]Pivot!$AD$1:$BE$65000,$B624,F$5)=1,1,IF(INDEX([1]Pivot!$B$1:$AB$65000,$B624,F$5)="",2,0)),0)</f>
        <v>0</v>
      </c>
      <c r="G624" s="194">
        <f>IFERROR(IF(INDEX([1]Pivot!$AD$1:$BE$65000,$B624,G$5)=1,1,IF(INDEX([1]Pivot!$B$1:$AB$65000,$B624,G$5)="",2,0)),0)</f>
        <v>0</v>
      </c>
      <c r="H624" s="194">
        <f>IFERROR(IF(INDEX([1]Pivot!$AD$1:$BE$65000,$B624,H$5)=1,1,IF(INDEX([1]Pivot!$B$1:$AB$65000,$B624,H$5)="",2,0)),0)</f>
        <v>0</v>
      </c>
      <c r="I624" s="194">
        <f>IFERROR(IF(INDEX([1]Pivot!$AD$1:$BE$65000,$B624,I$5)=1,1,IF(INDEX([1]Pivot!$B$1:$AB$65000,$B624,I$5)="",2,0)),0)</f>
        <v>0</v>
      </c>
      <c r="J624" s="194">
        <f>IFERROR(IF(INDEX([1]Pivot!$AD$1:$BE$65000,$B624,J$5)=1,1,IF(INDEX([1]Pivot!$B$1:$AB$65000,$B624,J$5)="",2,0)),0)</f>
        <v>0</v>
      </c>
      <c r="K624" s="194">
        <f>IFERROR(IF(INDEX([1]Pivot!$AD$1:$BE$65000,$B624,K$5)=1,1,IF(INDEX([1]Pivot!$B$1:$AB$65000,$B624,K$5)="",2,0)),0)</f>
        <v>0</v>
      </c>
      <c r="L624" s="194">
        <f>IFERROR(IF(INDEX([1]Pivot!$AD$1:$BE$65000,$B624,L$5)=1,1,IF(INDEX([1]Pivot!$B$1:$AB$65000,$B624,L$5)="",2,0)),0)</f>
        <v>0</v>
      </c>
      <c r="M624" s="194">
        <f>IFERROR(IF(INDEX([1]Pivot!$AD$1:$BE$65000,$B624,M$5)=1,1,IF(INDEX([1]Pivot!$B$1:$AB$65000,$B624,M$5)="",2,0)),0)</f>
        <v>0</v>
      </c>
      <c r="N624" s="194">
        <f>IFERROR(IF(INDEX([1]Pivot!$AD$1:$BE$65000,$B624,N$5)=1,1,IF(INDEX([1]Pivot!$B$1:$AB$65000,$B624,N$5)="",2,0)),0)</f>
        <v>0</v>
      </c>
      <c r="O624" s="194">
        <f>IFERROR(IF(INDEX([1]Pivot!$AD$1:$BE$65000,$B624,O$5)=1,1,IF(INDEX([1]Pivot!$B$1:$AB$65000,$B624,O$5)="",2,0)),0)</f>
        <v>0</v>
      </c>
      <c r="P624" s="194">
        <f>IFERROR(IF(INDEX([1]Pivot!$AD$1:$BE$65000,$B624,P$5)=1,1,IF(INDEX([1]Pivot!$B$1:$AB$65000,$B624,P$5)="",2,0)),0)</f>
        <v>0</v>
      </c>
      <c r="Q624" s="194">
        <f>IFERROR(IF(INDEX([1]Pivot!$AD$1:$BE$65000,$B624,Q$5)=1,1,IF(INDEX([1]Pivot!$B$1:$AB$65000,$B624,Q$5)="",2,0)),0)</f>
        <v>0</v>
      </c>
      <c r="R624" s="312"/>
      <c r="S624" s="194">
        <f>IFERROR(IF(INDEX([1]Pivot!$AD$1:$BE$65000,$B624,S$5)=1,1,IF(INDEX([1]Pivot!$B$1:$AB$65000,$B624,S$5)="",2,0)),0)</f>
        <v>0</v>
      </c>
      <c r="T624" s="194">
        <f>IFERROR(IF(INDEX([1]Pivot!$AD$1:$BE$65000,$B624,T$5)=1,1,IF(INDEX([1]Pivot!$B$1:$AB$65000,$B624,T$5)="",2,0)),0)</f>
        <v>0</v>
      </c>
      <c r="U624" s="194">
        <f>IFERROR(IF(INDEX([1]Pivot!$AD$1:$BE$65000,$B624,U$5)=1,1,IF(INDEX([1]Pivot!$B$1:$AB$65000,$B624,U$5)="",2,0)),0)</f>
        <v>0</v>
      </c>
      <c r="V624" s="194">
        <f>IFERROR(IF(INDEX([1]Pivot!$AD$1:$BE$65000,$B624,V$5)=1,1,IF(INDEX([1]Pivot!$B$1:$AB$65000,$B624,V$5)="",2,0)),0)</f>
        <v>0</v>
      </c>
      <c r="W624" s="194">
        <f>IFERROR(IF(INDEX([1]Pivot!$AD$1:$BE$65000,$B624,W$5)=1,1,IF(INDEX([1]Pivot!$B$1:$AB$65000,$B624,W$5)="",2,0)),0)</f>
        <v>0</v>
      </c>
      <c r="X624" s="194">
        <f>IFERROR(IF(INDEX([1]Pivot!$AD$1:$BE$65000,$B624,X$5)=1,1,IF(INDEX([1]Pivot!$B$1:$AB$65000,$B624,X$5)="",2,0)),0)</f>
        <v>0</v>
      </c>
      <c r="Y624" s="194">
        <f>IFERROR(IF(INDEX([1]Pivot!$AD$1:$BE$65000,$B624,Y$5)=1,1,IF(INDEX([1]Pivot!$B$1:$AB$65000,$B624,Y$5)="",2,0)),0)</f>
        <v>0</v>
      </c>
      <c r="Z624" s="194">
        <f>IFERROR(IF(INDEX([1]Pivot!$AD$1:$BE$65000,$B624,Z$5)=1,1,IF(INDEX([1]Pivot!$B$1:$AB$65000,$B624,Z$5)="",2,0)),0)</f>
        <v>0</v>
      </c>
      <c r="AA624" s="194">
        <f>IFERROR(IF(INDEX([1]Pivot!$AD$1:$BE$65000,$B624,AA$5)=1,1,IF(INDEX([1]Pivot!$B$1:$AB$65000,$B624,AA$5)="",2,0)),0)</f>
        <v>0</v>
      </c>
      <c r="AB624" s="194">
        <f>IFERROR(IF(INDEX([1]Pivot!$AD$1:$BE$65000,$B624,AB$5)=1,1,IF(INDEX([1]Pivot!$B$1:$AB$65000,$B624,AB$5)="",2,0)),0)</f>
        <v>0</v>
      </c>
      <c r="AC624" s="194">
        <f>IFERROR(IF(INDEX([1]Pivot!$AD$1:$BE$65000,$B624,AC$5)=1,1,IF(INDEX([1]Pivot!$B$1:$AB$65000,$B624,AC$5)="",2,0)),0)</f>
        <v>0</v>
      </c>
      <c r="AD624" s="313">
        <f>IFERROR(IF(INDEX([1]Pivot!$BF$1:$CG$65000,$B624,AD$5)=1,1,IF(INDEX([1]Pivot!$B$1:$AB$65000,$B624,AD$5)="",2,0)),0)</f>
        <v>0</v>
      </c>
      <c r="AE624" s="313">
        <f>IFERROR(IF(INDEX([1]Pivot!$BF$1:$CG$65000,$B624,AE$5)=1,1,IF(INDEX([1]Pivot!$B$1:$AB$65000,$B624,AE$5)="",2,0)),0)</f>
        <v>0</v>
      </c>
      <c r="AF624" s="313">
        <f>IFERROR(IF(INDEX([1]Pivot!$BF$1:$CG$65000,$B624,AF$5)=1,1,IF(INDEX([1]Pivot!$B$1:$AB$65000,$B624,AF$5)="",2,0)),0)</f>
        <v>0</v>
      </c>
      <c r="AG624" s="313">
        <f>IFERROR(IF(INDEX([1]Pivot!$BF$1:$CG$65000,$B624,AG$5)=1,1,IF(INDEX([1]Pivot!$B$1:$AB$65000,$B624,AG$5)="",2,0)),0)</f>
        <v>0</v>
      </c>
      <c r="AH624" s="313">
        <f>IFERROR(IF(INDEX([1]Pivot!$BF$1:$CG$65000,$B624,AH$5)=1,1,IF(INDEX([1]Pivot!$B$1:$AB$65000,$B624,AH$5)="",2,0)),0)</f>
        <v>0</v>
      </c>
      <c r="AI624" s="313">
        <f>IFERROR(IF(INDEX([1]Pivot!$BF$1:$CG$65000,$B624,AI$5)=1,1,IF(INDEX([1]Pivot!$B$1:$AB$65000,$B624,AI$5)="",2,0)),0)</f>
        <v>0</v>
      </c>
      <c r="AJ624" s="313">
        <f>IFERROR(IF(INDEX([1]Pivot!$BF$1:$CG$65000,$B624,AJ$5)=1,1,IF(INDEX([1]Pivot!$B$1:$AB$65000,$B624,AJ$5)="",2,0)),0)</f>
        <v>0</v>
      </c>
      <c r="AK624" s="313">
        <f>IFERROR(IF(INDEX([1]Pivot!$BF$1:$CG$65000,$B624,AK$5)=1,1,IF(INDEX([1]Pivot!$B$1:$AB$65000,$B624,AK$5)="",2,0)),0)</f>
        <v>0</v>
      </c>
      <c r="AL624" s="313">
        <f>IFERROR(IF(INDEX([1]Pivot!$BF$1:$CG$65000,$B624,AL$5)=1,1,IF(INDEX([1]Pivot!$B$1:$AB$65000,$B624,AL$5)="",2,0)),0)</f>
        <v>0</v>
      </c>
      <c r="AM624" s="313">
        <f>IFERROR(IF(INDEX([1]Pivot!$BF$1:$CG$65000,$B624,AM$5)=1,1,IF(INDEX([1]Pivot!$B$1:$AB$65000,$B624,AM$5)="",2,0)),0)</f>
        <v>0</v>
      </c>
      <c r="AN624" s="313">
        <f>IFERROR(IF(INDEX([1]Pivot!$BF$1:$CG$65000,$B624,AN$5)=1,1,IF(INDEX([1]Pivot!$B$1:$AB$65000,$B624,AN$5)="",2,0)),0)</f>
        <v>0</v>
      </c>
      <c r="AO624" s="313">
        <f>IFERROR(IF(INDEX([1]Pivot!$BF$1:$CG$65000,$B624,AO$5)=1,1,IF(INDEX([1]Pivot!$B$1:$AB$65000,$B624,AO$5)="",2,0)),0)</f>
        <v>0</v>
      </c>
      <c r="AP624" s="313">
        <f>IFERROR(IF(INDEX([1]Pivot!$BF$1:$CG$65000,$B624,AP$5)=1,1,IF(INDEX([1]Pivot!$B$1:$AB$65000,$B624,AP$5)="",2,0)),0)</f>
        <v>0</v>
      </c>
      <c r="AQ624" s="313">
        <f>IFERROR(IF(INDEX([1]Pivot!$BF$1:$CG$65000,$B624,AQ$5)=1,1,IF(INDEX([1]Pivot!$B$1:$AB$65000,$B624,AQ$5)="",2,0)),0)</f>
        <v>0</v>
      </c>
      <c r="AR624" s="313">
        <f>IFERROR(IF(INDEX([1]Pivot!$BF$1:$CG$65000,$B624,AR$5)=1,1,IF(INDEX([1]Pivot!$B$1:$AB$65000,$B624,AR$5)="",2,0)),0)</f>
        <v>0</v>
      </c>
      <c r="AS624" s="312"/>
      <c r="AT624" s="313">
        <f>IFERROR(IF(INDEX([1]Pivot!$BF$1:$CG$65000,$B624,AT$5)=1,1,IF(INDEX([1]Pivot!$B$1:$AB$65000,$B624,AT$5)="",2,0)),0)</f>
        <v>0</v>
      </c>
      <c r="AU624" s="313">
        <f>IFERROR(IF(INDEX([1]Pivot!$BF$1:$CG$65000,$B624,AU$5)=1,1,IF(INDEX([1]Pivot!$B$1:$AB$65000,$B624,AU$5)="",2,0)),0)</f>
        <v>0</v>
      </c>
      <c r="AV624" s="313">
        <f>IFERROR(IF(INDEX([1]Pivot!$BF$1:$CG$65000,$B624,AV$5)=1,1,IF(INDEX([1]Pivot!$B$1:$AB$65000,$B624,AV$5)="",2,0)),0)</f>
        <v>0</v>
      </c>
      <c r="AW624" s="313">
        <f>IFERROR(IF(INDEX([1]Pivot!$BF$1:$CG$65000,$B624,AW$5)=1,1,IF(INDEX([1]Pivot!$B$1:$AB$65000,$B624,AW$5)="",2,0)),0)</f>
        <v>0</v>
      </c>
      <c r="AX624" s="313">
        <f>IFERROR(IF(INDEX([1]Pivot!$BF$1:$CG$65000,$B624,AX$5)=1,1,IF(INDEX([1]Pivot!$B$1:$AB$65000,$B624,AX$5)="",2,0)),0)</f>
        <v>0</v>
      </c>
      <c r="AY624" s="313">
        <f>IFERROR(IF(INDEX([1]Pivot!$BF$1:$CG$65000,$B624,AY$5)=1,1,IF(INDEX([1]Pivot!$B$1:$AB$65000,$B624,AY$5)="",2,0)),0)</f>
        <v>0</v>
      </c>
      <c r="AZ624" s="313">
        <f>IFERROR(IF(INDEX([1]Pivot!$BF$1:$CG$65000,$B624,AZ$5)=1,1,IF(INDEX([1]Pivot!$B$1:$AB$65000,$B624,AZ$5)="",2,0)),0)</f>
        <v>0</v>
      </c>
      <c r="BA624" s="313">
        <f>IFERROR(IF(INDEX([1]Pivot!$BF$1:$CG$65000,$B624,BA$5)=1,1,IF(INDEX([1]Pivot!$B$1:$AB$65000,$B624,BA$5)="",2,0)),0)</f>
        <v>0</v>
      </c>
      <c r="BB624" s="313">
        <f>IFERROR(IF(INDEX([1]Pivot!$BF$1:$CG$65000,$B624,BB$5)=1,1,IF(INDEX([1]Pivot!$B$1:$AB$65000,$B624,BB$5)="",2,0)),0)</f>
        <v>0</v>
      </c>
      <c r="BC624" s="313">
        <f>IFERROR(IF(INDEX([1]Pivot!$BF$1:$CG$65000,$B624,BC$5)=1,1,IF(INDEX([1]Pivot!$B$1:$AB$65000,$B624,BC$5)="",2,0)),0)</f>
        <v>0</v>
      </c>
      <c r="BD624" s="313">
        <f>IFERROR(IF(INDEX([1]Pivot!$BF$1:$CG$65000,$B624,BD$5)=1,1,IF(INDEX([1]Pivot!$B$1:$AB$65000,$B624,BD$5)="",2,0)),0)</f>
        <v>0</v>
      </c>
    </row>
    <row r="625" spans="1:56" x14ac:dyDescent="0.25">
      <c r="A625" s="288">
        <f>'[2]Raw Milk Prices'!A625</f>
        <v>0</v>
      </c>
      <c r="B625" s="296" t="e">
        <f>MATCH(DATE(LEFT('[2]Raw Milk Prices'!$A625,4),RIGHT('[2]Raw Milk Prices'!$A625,2),1),[1]Pivot!$A$1:$A$65000,0)</f>
        <v>#VALUE!</v>
      </c>
      <c r="C625" s="194">
        <f>IFERROR(IF(INDEX([1]Pivot!$AD$1:$BE$65000,$B625,C$5)=1,1,IF(INDEX([1]Pivot!$B$1:$AB$65000,$B625,C$5)="",2,0)),0)</f>
        <v>0</v>
      </c>
      <c r="D625" s="194">
        <f>IFERROR(IF(INDEX([1]Pivot!$AD$1:$BE$65000,$B625,D$5)=1,1,IF(INDEX([1]Pivot!$B$1:$AB$65000,$B625,D$5)="",2,0)),0)</f>
        <v>0</v>
      </c>
      <c r="E625" s="194">
        <f>IFERROR(IF(INDEX([1]Pivot!$AD$1:$BE$65000,$B625,E$5)=1,1,IF(INDEX([1]Pivot!$B$1:$AB$65000,$B625,E$5)="",2,0)),0)</f>
        <v>0</v>
      </c>
      <c r="F625" s="194">
        <f>IFERROR(IF(INDEX([1]Pivot!$AD$1:$BE$65000,$B625,F$5)=1,1,IF(INDEX([1]Pivot!$B$1:$AB$65000,$B625,F$5)="",2,0)),0)</f>
        <v>0</v>
      </c>
      <c r="G625" s="194">
        <f>IFERROR(IF(INDEX([1]Pivot!$AD$1:$BE$65000,$B625,G$5)=1,1,IF(INDEX([1]Pivot!$B$1:$AB$65000,$B625,G$5)="",2,0)),0)</f>
        <v>0</v>
      </c>
      <c r="H625" s="194">
        <f>IFERROR(IF(INDEX([1]Pivot!$AD$1:$BE$65000,$B625,H$5)=1,1,IF(INDEX([1]Pivot!$B$1:$AB$65000,$B625,H$5)="",2,0)),0)</f>
        <v>0</v>
      </c>
      <c r="I625" s="194">
        <f>IFERROR(IF(INDEX([1]Pivot!$AD$1:$BE$65000,$B625,I$5)=1,1,IF(INDEX([1]Pivot!$B$1:$AB$65000,$B625,I$5)="",2,0)),0)</f>
        <v>0</v>
      </c>
      <c r="J625" s="194">
        <f>IFERROR(IF(INDEX([1]Pivot!$AD$1:$BE$65000,$B625,J$5)=1,1,IF(INDEX([1]Pivot!$B$1:$AB$65000,$B625,J$5)="",2,0)),0)</f>
        <v>0</v>
      </c>
      <c r="K625" s="194">
        <f>IFERROR(IF(INDEX([1]Pivot!$AD$1:$BE$65000,$B625,K$5)=1,1,IF(INDEX([1]Pivot!$B$1:$AB$65000,$B625,K$5)="",2,0)),0)</f>
        <v>0</v>
      </c>
      <c r="L625" s="194">
        <f>IFERROR(IF(INDEX([1]Pivot!$AD$1:$BE$65000,$B625,L$5)=1,1,IF(INDEX([1]Pivot!$B$1:$AB$65000,$B625,L$5)="",2,0)),0)</f>
        <v>0</v>
      </c>
      <c r="M625" s="194">
        <f>IFERROR(IF(INDEX([1]Pivot!$AD$1:$BE$65000,$B625,M$5)=1,1,IF(INDEX([1]Pivot!$B$1:$AB$65000,$B625,M$5)="",2,0)),0)</f>
        <v>0</v>
      </c>
      <c r="N625" s="194">
        <f>IFERROR(IF(INDEX([1]Pivot!$AD$1:$BE$65000,$B625,N$5)=1,1,IF(INDEX([1]Pivot!$B$1:$AB$65000,$B625,N$5)="",2,0)),0)</f>
        <v>0</v>
      </c>
      <c r="O625" s="194">
        <f>IFERROR(IF(INDEX([1]Pivot!$AD$1:$BE$65000,$B625,O$5)=1,1,IF(INDEX([1]Pivot!$B$1:$AB$65000,$B625,O$5)="",2,0)),0)</f>
        <v>0</v>
      </c>
      <c r="P625" s="194">
        <f>IFERROR(IF(INDEX([1]Pivot!$AD$1:$BE$65000,$B625,P$5)=1,1,IF(INDEX([1]Pivot!$B$1:$AB$65000,$B625,P$5)="",2,0)),0)</f>
        <v>0</v>
      </c>
      <c r="Q625" s="194">
        <f>IFERROR(IF(INDEX([1]Pivot!$AD$1:$BE$65000,$B625,Q$5)=1,1,IF(INDEX([1]Pivot!$B$1:$AB$65000,$B625,Q$5)="",2,0)),0)</f>
        <v>0</v>
      </c>
      <c r="R625" s="312"/>
      <c r="S625" s="194">
        <f>IFERROR(IF(INDEX([1]Pivot!$AD$1:$BE$65000,$B625,S$5)=1,1,IF(INDEX([1]Pivot!$B$1:$AB$65000,$B625,S$5)="",2,0)),0)</f>
        <v>0</v>
      </c>
      <c r="T625" s="194">
        <f>IFERROR(IF(INDEX([1]Pivot!$AD$1:$BE$65000,$B625,T$5)=1,1,IF(INDEX([1]Pivot!$B$1:$AB$65000,$B625,T$5)="",2,0)),0)</f>
        <v>0</v>
      </c>
      <c r="U625" s="194">
        <f>IFERROR(IF(INDEX([1]Pivot!$AD$1:$BE$65000,$B625,U$5)=1,1,IF(INDEX([1]Pivot!$B$1:$AB$65000,$B625,U$5)="",2,0)),0)</f>
        <v>0</v>
      </c>
      <c r="V625" s="194">
        <f>IFERROR(IF(INDEX([1]Pivot!$AD$1:$BE$65000,$B625,V$5)=1,1,IF(INDEX([1]Pivot!$B$1:$AB$65000,$B625,V$5)="",2,0)),0)</f>
        <v>0</v>
      </c>
      <c r="W625" s="194">
        <f>IFERROR(IF(INDEX([1]Pivot!$AD$1:$BE$65000,$B625,W$5)=1,1,IF(INDEX([1]Pivot!$B$1:$AB$65000,$B625,W$5)="",2,0)),0)</f>
        <v>0</v>
      </c>
      <c r="X625" s="194">
        <f>IFERROR(IF(INDEX([1]Pivot!$AD$1:$BE$65000,$B625,X$5)=1,1,IF(INDEX([1]Pivot!$B$1:$AB$65000,$B625,X$5)="",2,0)),0)</f>
        <v>0</v>
      </c>
      <c r="Y625" s="194">
        <f>IFERROR(IF(INDEX([1]Pivot!$AD$1:$BE$65000,$B625,Y$5)=1,1,IF(INDEX([1]Pivot!$B$1:$AB$65000,$B625,Y$5)="",2,0)),0)</f>
        <v>0</v>
      </c>
      <c r="Z625" s="194">
        <f>IFERROR(IF(INDEX([1]Pivot!$AD$1:$BE$65000,$B625,Z$5)=1,1,IF(INDEX([1]Pivot!$B$1:$AB$65000,$B625,Z$5)="",2,0)),0)</f>
        <v>0</v>
      </c>
      <c r="AA625" s="194">
        <f>IFERROR(IF(INDEX([1]Pivot!$AD$1:$BE$65000,$B625,AA$5)=1,1,IF(INDEX([1]Pivot!$B$1:$AB$65000,$B625,AA$5)="",2,0)),0)</f>
        <v>0</v>
      </c>
      <c r="AB625" s="194">
        <f>IFERROR(IF(INDEX([1]Pivot!$AD$1:$BE$65000,$B625,AB$5)=1,1,IF(INDEX([1]Pivot!$B$1:$AB$65000,$B625,AB$5)="",2,0)),0)</f>
        <v>0</v>
      </c>
      <c r="AC625" s="194">
        <f>IFERROR(IF(INDEX([1]Pivot!$AD$1:$BE$65000,$B625,AC$5)=1,1,IF(INDEX([1]Pivot!$B$1:$AB$65000,$B625,AC$5)="",2,0)),0)</f>
        <v>0</v>
      </c>
      <c r="AD625" s="313">
        <f>IFERROR(IF(INDEX([1]Pivot!$BF$1:$CG$65000,$B625,AD$5)=1,1,IF(INDEX([1]Pivot!$B$1:$AB$65000,$B625,AD$5)="",2,0)),0)</f>
        <v>0</v>
      </c>
      <c r="AE625" s="313">
        <f>IFERROR(IF(INDEX([1]Pivot!$BF$1:$CG$65000,$B625,AE$5)=1,1,IF(INDEX([1]Pivot!$B$1:$AB$65000,$B625,AE$5)="",2,0)),0)</f>
        <v>0</v>
      </c>
      <c r="AF625" s="313">
        <f>IFERROR(IF(INDEX([1]Pivot!$BF$1:$CG$65000,$B625,AF$5)=1,1,IF(INDEX([1]Pivot!$B$1:$AB$65000,$B625,AF$5)="",2,0)),0)</f>
        <v>0</v>
      </c>
      <c r="AG625" s="313">
        <f>IFERROR(IF(INDEX([1]Pivot!$BF$1:$CG$65000,$B625,AG$5)=1,1,IF(INDEX([1]Pivot!$B$1:$AB$65000,$B625,AG$5)="",2,0)),0)</f>
        <v>0</v>
      </c>
      <c r="AH625" s="313">
        <f>IFERROR(IF(INDEX([1]Pivot!$BF$1:$CG$65000,$B625,AH$5)=1,1,IF(INDEX([1]Pivot!$B$1:$AB$65000,$B625,AH$5)="",2,0)),0)</f>
        <v>0</v>
      </c>
      <c r="AI625" s="313">
        <f>IFERROR(IF(INDEX([1]Pivot!$BF$1:$CG$65000,$B625,AI$5)=1,1,IF(INDEX([1]Pivot!$B$1:$AB$65000,$B625,AI$5)="",2,0)),0)</f>
        <v>0</v>
      </c>
      <c r="AJ625" s="313">
        <f>IFERROR(IF(INDEX([1]Pivot!$BF$1:$CG$65000,$B625,AJ$5)=1,1,IF(INDEX([1]Pivot!$B$1:$AB$65000,$B625,AJ$5)="",2,0)),0)</f>
        <v>0</v>
      </c>
      <c r="AK625" s="313">
        <f>IFERROR(IF(INDEX([1]Pivot!$BF$1:$CG$65000,$B625,AK$5)=1,1,IF(INDEX([1]Pivot!$B$1:$AB$65000,$B625,AK$5)="",2,0)),0)</f>
        <v>0</v>
      </c>
      <c r="AL625" s="313">
        <f>IFERROR(IF(INDEX([1]Pivot!$BF$1:$CG$65000,$B625,AL$5)=1,1,IF(INDEX([1]Pivot!$B$1:$AB$65000,$B625,AL$5)="",2,0)),0)</f>
        <v>0</v>
      </c>
      <c r="AM625" s="313">
        <f>IFERROR(IF(INDEX([1]Pivot!$BF$1:$CG$65000,$B625,AM$5)=1,1,IF(INDEX([1]Pivot!$B$1:$AB$65000,$B625,AM$5)="",2,0)),0)</f>
        <v>0</v>
      </c>
      <c r="AN625" s="313">
        <f>IFERROR(IF(INDEX([1]Pivot!$BF$1:$CG$65000,$B625,AN$5)=1,1,IF(INDEX([1]Pivot!$B$1:$AB$65000,$B625,AN$5)="",2,0)),0)</f>
        <v>0</v>
      </c>
      <c r="AO625" s="313">
        <f>IFERROR(IF(INDEX([1]Pivot!$BF$1:$CG$65000,$B625,AO$5)=1,1,IF(INDEX([1]Pivot!$B$1:$AB$65000,$B625,AO$5)="",2,0)),0)</f>
        <v>0</v>
      </c>
      <c r="AP625" s="313">
        <f>IFERROR(IF(INDEX([1]Pivot!$BF$1:$CG$65000,$B625,AP$5)=1,1,IF(INDEX([1]Pivot!$B$1:$AB$65000,$B625,AP$5)="",2,0)),0)</f>
        <v>0</v>
      </c>
      <c r="AQ625" s="313">
        <f>IFERROR(IF(INDEX([1]Pivot!$BF$1:$CG$65000,$B625,AQ$5)=1,1,IF(INDEX([1]Pivot!$B$1:$AB$65000,$B625,AQ$5)="",2,0)),0)</f>
        <v>0</v>
      </c>
      <c r="AR625" s="313">
        <f>IFERROR(IF(INDEX([1]Pivot!$BF$1:$CG$65000,$B625,AR$5)=1,1,IF(INDEX([1]Pivot!$B$1:$AB$65000,$B625,AR$5)="",2,0)),0)</f>
        <v>0</v>
      </c>
      <c r="AS625" s="312"/>
      <c r="AT625" s="313">
        <f>IFERROR(IF(INDEX([1]Pivot!$BF$1:$CG$65000,$B625,AT$5)=1,1,IF(INDEX([1]Pivot!$B$1:$AB$65000,$B625,AT$5)="",2,0)),0)</f>
        <v>0</v>
      </c>
      <c r="AU625" s="313">
        <f>IFERROR(IF(INDEX([1]Pivot!$BF$1:$CG$65000,$B625,AU$5)=1,1,IF(INDEX([1]Pivot!$B$1:$AB$65000,$B625,AU$5)="",2,0)),0)</f>
        <v>0</v>
      </c>
      <c r="AV625" s="313">
        <f>IFERROR(IF(INDEX([1]Pivot!$BF$1:$CG$65000,$B625,AV$5)=1,1,IF(INDEX([1]Pivot!$B$1:$AB$65000,$B625,AV$5)="",2,0)),0)</f>
        <v>0</v>
      </c>
      <c r="AW625" s="313">
        <f>IFERROR(IF(INDEX([1]Pivot!$BF$1:$CG$65000,$B625,AW$5)=1,1,IF(INDEX([1]Pivot!$B$1:$AB$65000,$B625,AW$5)="",2,0)),0)</f>
        <v>0</v>
      </c>
      <c r="AX625" s="313">
        <f>IFERROR(IF(INDEX([1]Pivot!$BF$1:$CG$65000,$B625,AX$5)=1,1,IF(INDEX([1]Pivot!$B$1:$AB$65000,$B625,AX$5)="",2,0)),0)</f>
        <v>0</v>
      </c>
      <c r="AY625" s="313">
        <f>IFERROR(IF(INDEX([1]Pivot!$BF$1:$CG$65000,$B625,AY$5)=1,1,IF(INDEX([1]Pivot!$B$1:$AB$65000,$B625,AY$5)="",2,0)),0)</f>
        <v>0</v>
      </c>
      <c r="AZ625" s="313">
        <f>IFERROR(IF(INDEX([1]Pivot!$BF$1:$CG$65000,$B625,AZ$5)=1,1,IF(INDEX([1]Pivot!$B$1:$AB$65000,$B625,AZ$5)="",2,0)),0)</f>
        <v>0</v>
      </c>
      <c r="BA625" s="313">
        <f>IFERROR(IF(INDEX([1]Pivot!$BF$1:$CG$65000,$B625,BA$5)=1,1,IF(INDEX([1]Pivot!$B$1:$AB$65000,$B625,BA$5)="",2,0)),0)</f>
        <v>0</v>
      </c>
      <c r="BB625" s="313">
        <f>IFERROR(IF(INDEX([1]Pivot!$BF$1:$CG$65000,$B625,BB$5)=1,1,IF(INDEX([1]Pivot!$B$1:$AB$65000,$B625,BB$5)="",2,0)),0)</f>
        <v>0</v>
      </c>
      <c r="BC625" s="313">
        <f>IFERROR(IF(INDEX([1]Pivot!$BF$1:$CG$65000,$B625,BC$5)=1,1,IF(INDEX([1]Pivot!$B$1:$AB$65000,$B625,BC$5)="",2,0)),0)</f>
        <v>0</v>
      </c>
      <c r="BD625" s="313">
        <f>IFERROR(IF(INDEX([1]Pivot!$BF$1:$CG$65000,$B625,BD$5)=1,1,IF(INDEX([1]Pivot!$B$1:$AB$65000,$B625,BD$5)="",2,0)),0)</f>
        <v>0</v>
      </c>
    </row>
    <row r="626" spans="1:56" x14ac:dyDescent="0.25">
      <c r="A626" s="288">
        <f>'[2]Raw Milk Prices'!A626</f>
        <v>0</v>
      </c>
      <c r="B626" s="296" t="e">
        <f>MATCH(DATE(LEFT('[2]Raw Milk Prices'!$A626,4),RIGHT('[2]Raw Milk Prices'!$A626,2),1),[1]Pivot!$A$1:$A$65000,0)</f>
        <v>#VALUE!</v>
      </c>
      <c r="C626" s="194">
        <f>IFERROR(IF(INDEX([1]Pivot!$AD$1:$BE$65000,$B626,C$5)=1,1,IF(INDEX([1]Pivot!$B$1:$AB$65000,$B626,C$5)="",2,0)),0)</f>
        <v>0</v>
      </c>
      <c r="D626" s="194">
        <f>IFERROR(IF(INDEX([1]Pivot!$AD$1:$BE$65000,$B626,D$5)=1,1,IF(INDEX([1]Pivot!$B$1:$AB$65000,$B626,D$5)="",2,0)),0)</f>
        <v>0</v>
      </c>
      <c r="E626" s="194">
        <f>IFERROR(IF(INDEX([1]Pivot!$AD$1:$BE$65000,$B626,E$5)=1,1,IF(INDEX([1]Pivot!$B$1:$AB$65000,$B626,E$5)="",2,0)),0)</f>
        <v>0</v>
      </c>
      <c r="F626" s="194">
        <f>IFERROR(IF(INDEX([1]Pivot!$AD$1:$BE$65000,$B626,F$5)=1,1,IF(INDEX([1]Pivot!$B$1:$AB$65000,$B626,F$5)="",2,0)),0)</f>
        <v>0</v>
      </c>
      <c r="G626" s="194">
        <f>IFERROR(IF(INDEX([1]Pivot!$AD$1:$BE$65000,$B626,G$5)=1,1,IF(INDEX([1]Pivot!$B$1:$AB$65000,$B626,G$5)="",2,0)),0)</f>
        <v>0</v>
      </c>
      <c r="H626" s="194">
        <f>IFERROR(IF(INDEX([1]Pivot!$AD$1:$BE$65000,$B626,H$5)=1,1,IF(INDEX([1]Pivot!$B$1:$AB$65000,$B626,H$5)="",2,0)),0)</f>
        <v>0</v>
      </c>
      <c r="I626" s="194">
        <f>IFERROR(IF(INDEX([1]Pivot!$AD$1:$BE$65000,$B626,I$5)=1,1,IF(INDEX([1]Pivot!$B$1:$AB$65000,$B626,I$5)="",2,0)),0)</f>
        <v>0</v>
      </c>
      <c r="J626" s="194">
        <f>IFERROR(IF(INDEX([1]Pivot!$AD$1:$BE$65000,$B626,J$5)=1,1,IF(INDEX([1]Pivot!$B$1:$AB$65000,$B626,J$5)="",2,0)),0)</f>
        <v>0</v>
      </c>
      <c r="K626" s="194">
        <f>IFERROR(IF(INDEX([1]Pivot!$AD$1:$BE$65000,$B626,K$5)=1,1,IF(INDEX([1]Pivot!$B$1:$AB$65000,$B626,K$5)="",2,0)),0)</f>
        <v>0</v>
      </c>
      <c r="L626" s="194">
        <f>IFERROR(IF(INDEX([1]Pivot!$AD$1:$BE$65000,$B626,L$5)=1,1,IF(INDEX([1]Pivot!$B$1:$AB$65000,$B626,L$5)="",2,0)),0)</f>
        <v>0</v>
      </c>
      <c r="M626" s="194">
        <f>IFERROR(IF(INDEX([1]Pivot!$AD$1:$BE$65000,$B626,M$5)=1,1,IF(INDEX([1]Pivot!$B$1:$AB$65000,$B626,M$5)="",2,0)),0)</f>
        <v>0</v>
      </c>
      <c r="N626" s="194">
        <f>IFERROR(IF(INDEX([1]Pivot!$AD$1:$BE$65000,$B626,N$5)=1,1,IF(INDEX([1]Pivot!$B$1:$AB$65000,$B626,N$5)="",2,0)),0)</f>
        <v>0</v>
      </c>
      <c r="O626" s="194">
        <f>IFERROR(IF(INDEX([1]Pivot!$AD$1:$BE$65000,$B626,O$5)=1,1,IF(INDEX([1]Pivot!$B$1:$AB$65000,$B626,O$5)="",2,0)),0)</f>
        <v>0</v>
      </c>
      <c r="P626" s="194">
        <f>IFERROR(IF(INDEX([1]Pivot!$AD$1:$BE$65000,$B626,P$5)=1,1,IF(INDEX([1]Pivot!$B$1:$AB$65000,$B626,P$5)="",2,0)),0)</f>
        <v>0</v>
      </c>
      <c r="Q626" s="194">
        <f>IFERROR(IF(INDEX([1]Pivot!$AD$1:$BE$65000,$B626,Q$5)=1,1,IF(INDEX([1]Pivot!$B$1:$AB$65000,$B626,Q$5)="",2,0)),0)</f>
        <v>0</v>
      </c>
      <c r="R626" s="312"/>
      <c r="S626" s="194">
        <f>IFERROR(IF(INDEX([1]Pivot!$AD$1:$BE$65000,$B626,S$5)=1,1,IF(INDEX([1]Pivot!$B$1:$AB$65000,$B626,S$5)="",2,0)),0)</f>
        <v>0</v>
      </c>
      <c r="T626" s="194">
        <f>IFERROR(IF(INDEX([1]Pivot!$AD$1:$BE$65000,$B626,T$5)=1,1,IF(INDEX([1]Pivot!$B$1:$AB$65000,$B626,T$5)="",2,0)),0)</f>
        <v>0</v>
      </c>
      <c r="U626" s="194">
        <f>IFERROR(IF(INDEX([1]Pivot!$AD$1:$BE$65000,$B626,U$5)=1,1,IF(INDEX([1]Pivot!$B$1:$AB$65000,$B626,U$5)="",2,0)),0)</f>
        <v>0</v>
      </c>
      <c r="V626" s="194">
        <f>IFERROR(IF(INDEX([1]Pivot!$AD$1:$BE$65000,$B626,V$5)=1,1,IF(INDEX([1]Pivot!$B$1:$AB$65000,$B626,V$5)="",2,0)),0)</f>
        <v>0</v>
      </c>
      <c r="W626" s="194">
        <f>IFERROR(IF(INDEX([1]Pivot!$AD$1:$BE$65000,$B626,W$5)=1,1,IF(INDEX([1]Pivot!$B$1:$AB$65000,$B626,W$5)="",2,0)),0)</f>
        <v>0</v>
      </c>
      <c r="X626" s="194">
        <f>IFERROR(IF(INDEX([1]Pivot!$AD$1:$BE$65000,$B626,X$5)=1,1,IF(INDEX([1]Pivot!$B$1:$AB$65000,$B626,X$5)="",2,0)),0)</f>
        <v>0</v>
      </c>
      <c r="Y626" s="194">
        <f>IFERROR(IF(INDEX([1]Pivot!$AD$1:$BE$65000,$B626,Y$5)=1,1,IF(INDEX([1]Pivot!$B$1:$AB$65000,$B626,Y$5)="",2,0)),0)</f>
        <v>0</v>
      </c>
      <c r="Z626" s="194">
        <f>IFERROR(IF(INDEX([1]Pivot!$AD$1:$BE$65000,$B626,Z$5)=1,1,IF(INDEX([1]Pivot!$B$1:$AB$65000,$B626,Z$5)="",2,0)),0)</f>
        <v>0</v>
      </c>
      <c r="AA626" s="194">
        <f>IFERROR(IF(INDEX([1]Pivot!$AD$1:$BE$65000,$B626,AA$5)=1,1,IF(INDEX([1]Pivot!$B$1:$AB$65000,$B626,AA$5)="",2,0)),0)</f>
        <v>0</v>
      </c>
      <c r="AB626" s="194">
        <f>IFERROR(IF(INDEX([1]Pivot!$AD$1:$BE$65000,$B626,AB$5)=1,1,IF(INDEX([1]Pivot!$B$1:$AB$65000,$B626,AB$5)="",2,0)),0)</f>
        <v>0</v>
      </c>
      <c r="AC626" s="194">
        <f>IFERROR(IF(INDEX([1]Pivot!$AD$1:$BE$65000,$B626,AC$5)=1,1,IF(INDEX([1]Pivot!$B$1:$AB$65000,$B626,AC$5)="",2,0)),0)</f>
        <v>0</v>
      </c>
      <c r="AD626" s="313">
        <f>IFERROR(IF(INDEX([1]Pivot!$BF$1:$CG$65000,$B626,AD$5)=1,1,IF(INDEX([1]Pivot!$B$1:$AB$65000,$B626,AD$5)="",2,0)),0)</f>
        <v>0</v>
      </c>
      <c r="AE626" s="313">
        <f>IFERROR(IF(INDEX([1]Pivot!$BF$1:$CG$65000,$B626,AE$5)=1,1,IF(INDEX([1]Pivot!$B$1:$AB$65000,$B626,AE$5)="",2,0)),0)</f>
        <v>0</v>
      </c>
      <c r="AF626" s="313">
        <f>IFERROR(IF(INDEX([1]Pivot!$BF$1:$CG$65000,$B626,AF$5)=1,1,IF(INDEX([1]Pivot!$B$1:$AB$65000,$B626,AF$5)="",2,0)),0)</f>
        <v>0</v>
      </c>
      <c r="AG626" s="313">
        <f>IFERROR(IF(INDEX([1]Pivot!$BF$1:$CG$65000,$B626,AG$5)=1,1,IF(INDEX([1]Pivot!$B$1:$AB$65000,$B626,AG$5)="",2,0)),0)</f>
        <v>0</v>
      </c>
      <c r="AH626" s="313">
        <f>IFERROR(IF(INDEX([1]Pivot!$BF$1:$CG$65000,$B626,AH$5)=1,1,IF(INDEX([1]Pivot!$B$1:$AB$65000,$B626,AH$5)="",2,0)),0)</f>
        <v>0</v>
      </c>
      <c r="AI626" s="313">
        <f>IFERROR(IF(INDEX([1]Pivot!$BF$1:$CG$65000,$B626,AI$5)=1,1,IF(INDEX([1]Pivot!$B$1:$AB$65000,$B626,AI$5)="",2,0)),0)</f>
        <v>0</v>
      </c>
      <c r="AJ626" s="313">
        <f>IFERROR(IF(INDEX([1]Pivot!$BF$1:$CG$65000,$B626,AJ$5)=1,1,IF(INDEX([1]Pivot!$B$1:$AB$65000,$B626,AJ$5)="",2,0)),0)</f>
        <v>0</v>
      </c>
      <c r="AK626" s="313">
        <f>IFERROR(IF(INDEX([1]Pivot!$BF$1:$CG$65000,$B626,AK$5)=1,1,IF(INDEX([1]Pivot!$B$1:$AB$65000,$B626,AK$5)="",2,0)),0)</f>
        <v>0</v>
      </c>
      <c r="AL626" s="313">
        <f>IFERROR(IF(INDEX([1]Pivot!$BF$1:$CG$65000,$B626,AL$5)=1,1,IF(INDEX([1]Pivot!$B$1:$AB$65000,$B626,AL$5)="",2,0)),0)</f>
        <v>0</v>
      </c>
      <c r="AM626" s="313">
        <f>IFERROR(IF(INDEX([1]Pivot!$BF$1:$CG$65000,$B626,AM$5)=1,1,IF(INDEX([1]Pivot!$B$1:$AB$65000,$B626,AM$5)="",2,0)),0)</f>
        <v>0</v>
      </c>
      <c r="AN626" s="313">
        <f>IFERROR(IF(INDEX([1]Pivot!$BF$1:$CG$65000,$B626,AN$5)=1,1,IF(INDEX([1]Pivot!$B$1:$AB$65000,$B626,AN$5)="",2,0)),0)</f>
        <v>0</v>
      </c>
      <c r="AO626" s="313">
        <f>IFERROR(IF(INDEX([1]Pivot!$BF$1:$CG$65000,$B626,AO$5)=1,1,IF(INDEX([1]Pivot!$B$1:$AB$65000,$B626,AO$5)="",2,0)),0)</f>
        <v>0</v>
      </c>
      <c r="AP626" s="313">
        <f>IFERROR(IF(INDEX([1]Pivot!$BF$1:$CG$65000,$B626,AP$5)=1,1,IF(INDEX([1]Pivot!$B$1:$AB$65000,$B626,AP$5)="",2,0)),0)</f>
        <v>0</v>
      </c>
      <c r="AQ626" s="313">
        <f>IFERROR(IF(INDEX([1]Pivot!$BF$1:$CG$65000,$B626,AQ$5)=1,1,IF(INDEX([1]Pivot!$B$1:$AB$65000,$B626,AQ$5)="",2,0)),0)</f>
        <v>0</v>
      </c>
      <c r="AR626" s="313">
        <f>IFERROR(IF(INDEX([1]Pivot!$BF$1:$CG$65000,$B626,AR$5)=1,1,IF(INDEX([1]Pivot!$B$1:$AB$65000,$B626,AR$5)="",2,0)),0)</f>
        <v>0</v>
      </c>
      <c r="AS626" s="312"/>
      <c r="AT626" s="313">
        <f>IFERROR(IF(INDEX([1]Pivot!$BF$1:$CG$65000,$B626,AT$5)=1,1,IF(INDEX([1]Pivot!$B$1:$AB$65000,$B626,AT$5)="",2,0)),0)</f>
        <v>0</v>
      </c>
      <c r="AU626" s="313">
        <f>IFERROR(IF(INDEX([1]Pivot!$BF$1:$CG$65000,$B626,AU$5)=1,1,IF(INDEX([1]Pivot!$B$1:$AB$65000,$B626,AU$5)="",2,0)),0)</f>
        <v>0</v>
      </c>
      <c r="AV626" s="313">
        <f>IFERROR(IF(INDEX([1]Pivot!$BF$1:$CG$65000,$B626,AV$5)=1,1,IF(INDEX([1]Pivot!$B$1:$AB$65000,$B626,AV$5)="",2,0)),0)</f>
        <v>0</v>
      </c>
      <c r="AW626" s="313">
        <f>IFERROR(IF(INDEX([1]Pivot!$BF$1:$CG$65000,$B626,AW$5)=1,1,IF(INDEX([1]Pivot!$B$1:$AB$65000,$B626,AW$5)="",2,0)),0)</f>
        <v>0</v>
      </c>
      <c r="AX626" s="313">
        <f>IFERROR(IF(INDEX([1]Pivot!$BF$1:$CG$65000,$B626,AX$5)=1,1,IF(INDEX([1]Pivot!$B$1:$AB$65000,$B626,AX$5)="",2,0)),0)</f>
        <v>0</v>
      </c>
      <c r="AY626" s="313">
        <f>IFERROR(IF(INDEX([1]Pivot!$BF$1:$CG$65000,$B626,AY$5)=1,1,IF(INDEX([1]Pivot!$B$1:$AB$65000,$B626,AY$5)="",2,0)),0)</f>
        <v>0</v>
      </c>
      <c r="AZ626" s="313">
        <f>IFERROR(IF(INDEX([1]Pivot!$BF$1:$CG$65000,$B626,AZ$5)=1,1,IF(INDEX([1]Pivot!$B$1:$AB$65000,$B626,AZ$5)="",2,0)),0)</f>
        <v>0</v>
      </c>
      <c r="BA626" s="313">
        <f>IFERROR(IF(INDEX([1]Pivot!$BF$1:$CG$65000,$B626,BA$5)=1,1,IF(INDEX([1]Pivot!$B$1:$AB$65000,$B626,BA$5)="",2,0)),0)</f>
        <v>0</v>
      </c>
      <c r="BB626" s="313">
        <f>IFERROR(IF(INDEX([1]Pivot!$BF$1:$CG$65000,$B626,BB$5)=1,1,IF(INDEX([1]Pivot!$B$1:$AB$65000,$B626,BB$5)="",2,0)),0)</f>
        <v>0</v>
      </c>
      <c r="BC626" s="313">
        <f>IFERROR(IF(INDEX([1]Pivot!$BF$1:$CG$65000,$B626,BC$5)=1,1,IF(INDEX([1]Pivot!$B$1:$AB$65000,$B626,BC$5)="",2,0)),0)</f>
        <v>0</v>
      </c>
      <c r="BD626" s="313">
        <f>IFERROR(IF(INDEX([1]Pivot!$BF$1:$CG$65000,$B626,BD$5)=1,1,IF(INDEX([1]Pivot!$B$1:$AB$65000,$B626,BD$5)="",2,0)),0)</f>
        <v>0</v>
      </c>
    </row>
    <row r="627" spans="1:56" x14ac:dyDescent="0.25">
      <c r="A627" s="288">
        <f>'[2]Raw Milk Prices'!A627</f>
        <v>0</v>
      </c>
      <c r="B627" s="296" t="e">
        <f>MATCH(DATE(LEFT('[2]Raw Milk Prices'!$A627,4),RIGHT('[2]Raw Milk Prices'!$A627,2),1),[1]Pivot!$A$1:$A$65000,0)</f>
        <v>#VALUE!</v>
      </c>
      <c r="C627" s="194">
        <f>IFERROR(IF(INDEX([1]Pivot!$AD$1:$BE$65000,$B627,C$5)=1,1,IF(INDEX([1]Pivot!$B$1:$AB$65000,$B627,C$5)="",2,0)),0)</f>
        <v>0</v>
      </c>
      <c r="D627" s="194">
        <f>IFERROR(IF(INDEX([1]Pivot!$AD$1:$BE$65000,$B627,D$5)=1,1,IF(INDEX([1]Pivot!$B$1:$AB$65000,$B627,D$5)="",2,0)),0)</f>
        <v>0</v>
      </c>
      <c r="E627" s="194">
        <f>IFERROR(IF(INDEX([1]Pivot!$AD$1:$BE$65000,$B627,E$5)=1,1,IF(INDEX([1]Pivot!$B$1:$AB$65000,$B627,E$5)="",2,0)),0)</f>
        <v>0</v>
      </c>
      <c r="F627" s="194">
        <f>IFERROR(IF(INDEX([1]Pivot!$AD$1:$BE$65000,$B627,F$5)=1,1,IF(INDEX([1]Pivot!$B$1:$AB$65000,$B627,F$5)="",2,0)),0)</f>
        <v>0</v>
      </c>
      <c r="G627" s="194">
        <f>IFERROR(IF(INDEX([1]Pivot!$AD$1:$BE$65000,$B627,G$5)=1,1,IF(INDEX([1]Pivot!$B$1:$AB$65000,$B627,G$5)="",2,0)),0)</f>
        <v>0</v>
      </c>
      <c r="H627" s="194">
        <f>IFERROR(IF(INDEX([1]Pivot!$AD$1:$BE$65000,$B627,H$5)=1,1,IF(INDEX([1]Pivot!$B$1:$AB$65000,$B627,H$5)="",2,0)),0)</f>
        <v>0</v>
      </c>
      <c r="I627" s="194">
        <f>IFERROR(IF(INDEX([1]Pivot!$AD$1:$BE$65000,$B627,I$5)=1,1,IF(INDEX([1]Pivot!$B$1:$AB$65000,$B627,I$5)="",2,0)),0)</f>
        <v>0</v>
      </c>
      <c r="J627" s="194">
        <f>IFERROR(IF(INDEX([1]Pivot!$AD$1:$BE$65000,$B627,J$5)=1,1,IF(INDEX([1]Pivot!$B$1:$AB$65000,$B627,J$5)="",2,0)),0)</f>
        <v>0</v>
      </c>
      <c r="K627" s="194">
        <f>IFERROR(IF(INDEX([1]Pivot!$AD$1:$BE$65000,$B627,K$5)=1,1,IF(INDEX([1]Pivot!$B$1:$AB$65000,$B627,K$5)="",2,0)),0)</f>
        <v>0</v>
      </c>
      <c r="L627" s="194">
        <f>IFERROR(IF(INDEX([1]Pivot!$AD$1:$BE$65000,$B627,L$5)=1,1,IF(INDEX([1]Pivot!$B$1:$AB$65000,$B627,L$5)="",2,0)),0)</f>
        <v>0</v>
      </c>
      <c r="M627" s="194">
        <f>IFERROR(IF(INDEX([1]Pivot!$AD$1:$BE$65000,$B627,M$5)=1,1,IF(INDEX([1]Pivot!$B$1:$AB$65000,$B627,M$5)="",2,0)),0)</f>
        <v>0</v>
      </c>
      <c r="N627" s="194">
        <f>IFERROR(IF(INDEX([1]Pivot!$AD$1:$BE$65000,$B627,N$5)=1,1,IF(INDEX([1]Pivot!$B$1:$AB$65000,$B627,N$5)="",2,0)),0)</f>
        <v>0</v>
      </c>
      <c r="O627" s="194">
        <f>IFERROR(IF(INDEX([1]Pivot!$AD$1:$BE$65000,$B627,O$5)=1,1,IF(INDEX([1]Pivot!$B$1:$AB$65000,$B627,O$5)="",2,0)),0)</f>
        <v>0</v>
      </c>
      <c r="P627" s="194">
        <f>IFERROR(IF(INDEX([1]Pivot!$AD$1:$BE$65000,$B627,P$5)=1,1,IF(INDEX([1]Pivot!$B$1:$AB$65000,$B627,P$5)="",2,0)),0)</f>
        <v>0</v>
      </c>
      <c r="Q627" s="194">
        <f>IFERROR(IF(INDEX([1]Pivot!$AD$1:$BE$65000,$B627,Q$5)=1,1,IF(INDEX([1]Pivot!$B$1:$AB$65000,$B627,Q$5)="",2,0)),0)</f>
        <v>0</v>
      </c>
      <c r="R627" s="312"/>
      <c r="S627" s="194">
        <f>IFERROR(IF(INDEX([1]Pivot!$AD$1:$BE$65000,$B627,S$5)=1,1,IF(INDEX([1]Pivot!$B$1:$AB$65000,$B627,S$5)="",2,0)),0)</f>
        <v>0</v>
      </c>
      <c r="T627" s="194">
        <f>IFERROR(IF(INDEX([1]Pivot!$AD$1:$BE$65000,$B627,T$5)=1,1,IF(INDEX([1]Pivot!$B$1:$AB$65000,$B627,T$5)="",2,0)),0)</f>
        <v>0</v>
      </c>
      <c r="U627" s="194">
        <f>IFERROR(IF(INDEX([1]Pivot!$AD$1:$BE$65000,$B627,U$5)=1,1,IF(INDEX([1]Pivot!$B$1:$AB$65000,$B627,U$5)="",2,0)),0)</f>
        <v>0</v>
      </c>
      <c r="V627" s="194">
        <f>IFERROR(IF(INDEX([1]Pivot!$AD$1:$BE$65000,$B627,V$5)=1,1,IF(INDEX([1]Pivot!$B$1:$AB$65000,$B627,V$5)="",2,0)),0)</f>
        <v>0</v>
      </c>
      <c r="W627" s="194">
        <f>IFERROR(IF(INDEX([1]Pivot!$AD$1:$BE$65000,$B627,W$5)=1,1,IF(INDEX([1]Pivot!$B$1:$AB$65000,$B627,W$5)="",2,0)),0)</f>
        <v>0</v>
      </c>
      <c r="X627" s="194">
        <f>IFERROR(IF(INDEX([1]Pivot!$AD$1:$BE$65000,$B627,X$5)=1,1,IF(INDEX([1]Pivot!$B$1:$AB$65000,$B627,X$5)="",2,0)),0)</f>
        <v>0</v>
      </c>
      <c r="Y627" s="194">
        <f>IFERROR(IF(INDEX([1]Pivot!$AD$1:$BE$65000,$B627,Y$5)=1,1,IF(INDEX([1]Pivot!$B$1:$AB$65000,$B627,Y$5)="",2,0)),0)</f>
        <v>0</v>
      </c>
      <c r="Z627" s="194">
        <f>IFERROR(IF(INDEX([1]Pivot!$AD$1:$BE$65000,$B627,Z$5)=1,1,IF(INDEX([1]Pivot!$B$1:$AB$65000,$B627,Z$5)="",2,0)),0)</f>
        <v>0</v>
      </c>
      <c r="AA627" s="194">
        <f>IFERROR(IF(INDEX([1]Pivot!$AD$1:$BE$65000,$B627,AA$5)=1,1,IF(INDEX([1]Pivot!$B$1:$AB$65000,$B627,AA$5)="",2,0)),0)</f>
        <v>0</v>
      </c>
      <c r="AB627" s="194">
        <f>IFERROR(IF(INDEX([1]Pivot!$AD$1:$BE$65000,$B627,AB$5)=1,1,IF(INDEX([1]Pivot!$B$1:$AB$65000,$B627,AB$5)="",2,0)),0)</f>
        <v>0</v>
      </c>
      <c r="AC627" s="194">
        <f>IFERROR(IF(INDEX([1]Pivot!$AD$1:$BE$65000,$B627,AC$5)=1,1,IF(INDEX([1]Pivot!$B$1:$AB$65000,$B627,AC$5)="",2,0)),0)</f>
        <v>0</v>
      </c>
      <c r="AD627" s="313">
        <f>IFERROR(IF(INDEX([1]Pivot!$BF$1:$CG$65000,$B627,AD$5)=1,1,IF(INDEX([1]Pivot!$B$1:$AB$65000,$B627,AD$5)="",2,0)),0)</f>
        <v>0</v>
      </c>
      <c r="AE627" s="313">
        <f>IFERROR(IF(INDEX([1]Pivot!$BF$1:$CG$65000,$B627,AE$5)=1,1,IF(INDEX([1]Pivot!$B$1:$AB$65000,$B627,AE$5)="",2,0)),0)</f>
        <v>0</v>
      </c>
      <c r="AF627" s="313">
        <f>IFERROR(IF(INDEX([1]Pivot!$BF$1:$CG$65000,$B627,AF$5)=1,1,IF(INDEX([1]Pivot!$B$1:$AB$65000,$B627,AF$5)="",2,0)),0)</f>
        <v>0</v>
      </c>
      <c r="AG627" s="313">
        <f>IFERROR(IF(INDEX([1]Pivot!$BF$1:$CG$65000,$B627,AG$5)=1,1,IF(INDEX([1]Pivot!$B$1:$AB$65000,$B627,AG$5)="",2,0)),0)</f>
        <v>0</v>
      </c>
      <c r="AH627" s="313">
        <f>IFERROR(IF(INDEX([1]Pivot!$BF$1:$CG$65000,$B627,AH$5)=1,1,IF(INDEX([1]Pivot!$B$1:$AB$65000,$B627,AH$5)="",2,0)),0)</f>
        <v>0</v>
      </c>
      <c r="AI627" s="313">
        <f>IFERROR(IF(INDEX([1]Pivot!$BF$1:$CG$65000,$B627,AI$5)=1,1,IF(INDEX([1]Pivot!$B$1:$AB$65000,$B627,AI$5)="",2,0)),0)</f>
        <v>0</v>
      </c>
      <c r="AJ627" s="313">
        <f>IFERROR(IF(INDEX([1]Pivot!$BF$1:$CG$65000,$B627,AJ$5)=1,1,IF(INDEX([1]Pivot!$B$1:$AB$65000,$B627,AJ$5)="",2,0)),0)</f>
        <v>0</v>
      </c>
      <c r="AK627" s="313">
        <f>IFERROR(IF(INDEX([1]Pivot!$BF$1:$CG$65000,$B627,AK$5)=1,1,IF(INDEX([1]Pivot!$B$1:$AB$65000,$B627,AK$5)="",2,0)),0)</f>
        <v>0</v>
      </c>
      <c r="AL627" s="313">
        <f>IFERROR(IF(INDEX([1]Pivot!$BF$1:$CG$65000,$B627,AL$5)=1,1,IF(INDEX([1]Pivot!$B$1:$AB$65000,$B627,AL$5)="",2,0)),0)</f>
        <v>0</v>
      </c>
      <c r="AM627" s="313">
        <f>IFERROR(IF(INDEX([1]Pivot!$BF$1:$CG$65000,$B627,AM$5)=1,1,IF(INDEX([1]Pivot!$B$1:$AB$65000,$B627,AM$5)="",2,0)),0)</f>
        <v>0</v>
      </c>
      <c r="AN627" s="313">
        <f>IFERROR(IF(INDEX([1]Pivot!$BF$1:$CG$65000,$B627,AN$5)=1,1,IF(INDEX([1]Pivot!$B$1:$AB$65000,$B627,AN$5)="",2,0)),0)</f>
        <v>0</v>
      </c>
      <c r="AO627" s="313">
        <f>IFERROR(IF(INDEX([1]Pivot!$BF$1:$CG$65000,$B627,AO$5)=1,1,IF(INDEX([1]Pivot!$B$1:$AB$65000,$B627,AO$5)="",2,0)),0)</f>
        <v>0</v>
      </c>
      <c r="AP627" s="313">
        <f>IFERROR(IF(INDEX([1]Pivot!$BF$1:$CG$65000,$B627,AP$5)=1,1,IF(INDEX([1]Pivot!$B$1:$AB$65000,$B627,AP$5)="",2,0)),0)</f>
        <v>0</v>
      </c>
      <c r="AQ627" s="313">
        <f>IFERROR(IF(INDEX([1]Pivot!$BF$1:$CG$65000,$B627,AQ$5)=1,1,IF(INDEX([1]Pivot!$B$1:$AB$65000,$B627,AQ$5)="",2,0)),0)</f>
        <v>0</v>
      </c>
      <c r="AR627" s="313">
        <f>IFERROR(IF(INDEX([1]Pivot!$BF$1:$CG$65000,$B627,AR$5)=1,1,IF(INDEX([1]Pivot!$B$1:$AB$65000,$B627,AR$5)="",2,0)),0)</f>
        <v>0</v>
      </c>
      <c r="AS627" s="312"/>
      <c r="AT627" s="313">
        <f>IFERROR(IF(INDEX([1]Pivot!$BF$1:$CG$65000,$B627,AT$5)=1,1,IF(INDEX([1]Pivot!$B$1:$AB$65000,$B627,AT$5)="",2,0)),0)</f>
        <v>0</v>
      </c>
      <c r="AU627" s="313">
        <f>IFERROR(IF(INDEX([1]Pivot!$BF$1:$CG$65000,$B627,AU$5)=1,1,IF(INDEX([1]Pivot!$B$1:$AB$65000,$B627,AU$5)="",2,0)),0)</f>
        <v>0</v>
      </c>
      <c r="AV627" s="313">
        <f>IFERROR(IF(INDEX([1]Pivot!$BF$1:$CG$65000,$B627,AV$5)=1,1,IF(INDEX([1]Pivot!$B$1:$AB$65000,$B627,AV$5)="",2,0)),0)</f>
        <v>0</v>
      </c>
      <c r="AW627" s="313">
        <f>IFERROR(IF(INDEX([1]Pivot!$BF$1:$CG$65000,$B627,AW$5)=1,1,IF(INDEX([1]Pivot!$B$1:$AB$65000,$B627,AW$5)="",2,0)),0)</f>
        <v>0</v>
      </c>
      <c r="AX627" s="313">
        <f>IFERROR(IF(INDEX([1]Pivot!$BF$1:$CG$65000,$B627,AX$5)=1,1,IF(INDEX([1]Pivot!$B$1:$AB$65000,$B627,AX$5)="",2,0)),0)</f>
        <v>0</v>
      </c>
      <c r="AY627" s="313">
        <f>IFERROR(IF(INDEX([1]Pivot!$BF$1:$CG$65000,$B627,AY$5)=1,1,IF(INDEX([1]Pivot!$B$1:$AB$65000,$B627,AY$5)="",2,0)),0)</f>
        <v>0</v>
      </c>
      <c r="AZ627" s="313">
        <f>IFERROR(IF(INDEX([1]Pivot!$BF$1:$CG$65000,$B627,AZ$5)=1,1,IF(INDEX([1]Pivot!$B$1:$AB$65000,$B627,AZ$5)="",2,0)),0)</f>
        <v>0</v>
      </c>
      <c r="BA627" s="313">
        <f>IFERROR(IF(INDEX([1]Pivot!$BF$1:$CG$65000,$B627,BA$5)=1,1,IF(INDEX([1]Pivot!$B$1:$AB$65000,$B627,BA$5)="",2,0)),0)</f>
        <v>0</v>
      </c>
      <c r="BB627" s="313">
        <f>IFERROR(IF(INDEX([1]Pivot!$BF$1:$CG$65000,$B627,BB$5)=1,1,IF(INDEX([1]Pivot!$B$1:$AB$65000,$B627,BB$5)="",2,0)),0)</f>
        <v>0</v>
      </c>
      <c r="BC627" s="313">
        <f>IFERROR(IF(INDEX([1]Pivot!$BF$1:$CG$65000,$B627,BC$5)=1,1,IF(INDEX([1]Pivot!$B$1:$AB$65000,$B627,BC$5)="",2,0)),0)</f>
        <v>0</v>
      </c>
      <c r="BD627" s="313">
        <f>IFERROR(IF(INDEX([1]Pivot!$BF$1:$CG$65000,$B627,BD$5)=1,1,IF(INDEX([1]Pivot!$B$1:$AB$65000,$B627,BD$5)="",2,0)),0)</f>
        <v>0</v>
      </c>
    </row>
    <row r="628" spans="1:56" x14ac:dyDescent="0.25">
      <c r="A628" s="288">
        <f>'[2]Raw Milk Prices'!A628</f>
        <v>0</v>
      </c>
      <c r="B628" s="296" t="e">
        <f>MATCH(DATE(LEFT('[2]Raw Milk Prices'!$A628,4),RIGHT('[2]Raw Milk Prices'!$A628,2),1),[1]Pivot!$A$1:$A$65000,0)</f>
        <v>#VALUE!</v>
      </c>
      <c r="C628" s="194">
        <f>IFERROR(IF(INDEX([1]Pivot!$AD$1:$BE$65000,$B628,C$5)=1,1,IF(INDEX([1]Pivot!$B$1:$AB$65000,$B628,C$5)="",2,0)),0)</f>
        <v>0</v>
      </c>
      <c r="D628" s="194">
        <f>IFERROR(IF(INDEX([1]Pivot!$AD$1:$BE$65000,$B628,D$5)=1,1,IF(INDEX([1]Pivot!$B$1:$AB$65000,$B628,D$5)="",2,0)),0)</f>
        <v>0</v>
      </c>
      <c r="E628" s="194">
        <f>IFERROR(IF(INDEX([1]Pivot!$AD$1:$BE$65000,$B628,E$5)=1,1,IF(INDEX([1]Pivot!$B$1:$AB$65000,$B628,E$5)="",2,0)),0)</f>
        <v>0</v>
      </c>
      <c r="F628" s="194">
        <f>IFERROR(IF(INDEX([1]Pivot!$AD$1:$BE$65000,$B628,F$5)=1,1,IF(INDEX([1]Pivot!$B$1:$AB$65000,$B628,F$5)="",2,0)),0)</f>
        <v>0</v>
      </c>
      <c r="G628" s="194">
        <f>IFERROR(IF(INDEX([1]Pivot!$AD$1:$BE$65000,$B628,G$5)=1,1,IF(INDEX([1]Pivot!$B$1:$AB$65000,$B628,G$5)="",2,0)),0)</f>
        <v>0</v>
      </c>
      <c r="H628" s="194">
        <f>IFERROR(IF(INDEX([1]Pivot!$AD$1:$BE$65000,$B628,H$5)=1,1,IF(INDEX([1]Pivot!$B$1:$AB$65000,$B628,H$5)="",2,0)),0)</f>
        <v>0</v>
      </c>
      <c r="I628" s="194">
        <f>IFERROR(IF(INDEX([1]Pivot!$AD$1:$BE$65000,$B628,I$5)=1,1,IF(INDEX([1]Pivot!$B$1:$AB$65000,$B628,I$5)="",2,0)),0)</f>
        <v>0</v>
      </c>
      <c r="J628" s="194">
        <f>IFERROR(IF(INDEX([1]Pivot!$AD$1:$BE$65000,$B628,J$5)=1,1,IF(INDEX([1]Pivot!$B$1:$AB$65000,$B628,J$5)="",2,0)),0)</f>
        <v>0</v>
      </c>
      <c r="K628" s="194">
        <f>IFERROR(IF(INDEX([1]Pivot!$AD$1:$BE$65000,$B628,K$5)=1,1,IF(INDEX([1]Pivot!$B$1:$AB$65000,$B628,K$5)="",2,0)),0)</f>
        <v>0</v>
      </c>
      <c r="L628" s="194">
        <f>IFERROR(IF(INDEX([1]Pivot!$AD$1:$BE$65000,$B628,L$5)=1,1,IF(INDEX([1]Pivot!$B$1:$AB$65000,$B628,L$5)="",2,0)),0)</f>
        <v>0</v>
      </c>
      <c r="M628" s="194">
        <f>IFERROR(IF(INDEX([1]Pivot!$AD$1:$BE$65000,$B628,M$5)=1,1,IF(INDEX([1]Pivot!$B$1:$AB$65000,$B628,M$5)="",2,0)),0)</f>
        <v>0</v>
      </c>
      <c r="N628" s="194">
        <f>IFERROR(IF(INDEX([1]Pivot!$AD$1:$BE$65000,$B628,N$5)=1,1,IF(INDEX([1]Pivot!$B$1:$AB$65000,$B628,N$5)="",2,0)),0)</f>
        <v>0</v>
      </c>
      <c r="O628" s="194">
        <f>IFERROR(IF(INDEX([1]Pivot!$AD$1:$BE$65000,$B628,O$5)=1,1,IF(INDEX([1]Pivot!$B$1:$AB$65000,$B628,O$5)="",2,0)),0)</f>
        <v>0</v>
      </c>
      <c r="P628" s="194">
        <f>IFERROR(IF(INDEX([1]Pivot!$AD$1:$BE$65000,$B628,P$5)=1,1,IF(INDEX([1]Pivot!$B$1:$AB$65000,$B628,P$5)="",2,0)),0)</f>
        <v>0</v>
      </c>
      <c r="Q628" s="194">
        <f>IFERROR(IF(INDEX([1]Pivot!$AD$1:$BE$65000,$B628,Q$5)=1,1,IF(INDEX([1]Pivot!$B$1:$AB$65000,$B628,Q$5)="",2,0)),0)</f>
        <v>0</v>
      </c>
      <c r="R628" s="312"/>
      <c r="S628" s="194">
        <f>IFERROR(IF(INDEX([1]Pivot!$AD$1:$BE$65000,$B628,S$5)=1,1,IF(INDEX([1]Pivot!$B$1:$AB$65000,$B628,S$5)="",2,0)),0)</f>
        <v>0</v>
      </c>
      <c r="T628" s="194">
        <f>IFERROR(IF(INDEX([1]Pivot!$AD$1:$BE$65000,$B628,T$5)=1,1,IF(INDEX([1]Pivot!$B$1:$AB$65000,$B628,T$5)="",2,0)),0)</f>
        <v>0</v>
      </c>
      <c r="U628" s="194">
        <f>IFERROR(IF(INDEX([1]Pivot!$AD$1:$BE$65000,$B628,U$5)=1,1,IF(INDEX([1]Pivot!$B$1:$AB$65000,$B628,U$5)="",2,0)),0)</f>
        <v>0</v>
      </c>
      <c r="V628" s="194">
        <f>IFERROR(IF(INDEX([1]Pivot!$AD$1:$BE$65000,$B628,V$5)=1,1,IF(INDEX([1]Pivot!$B$1:$AB$65000,$B628,V$5)="",2,0)),0)</f>
        <v>0</v>
      </c>
      <c r="W628" s="194">
        <f>IFERROR(IF(INDEX([1]Pivot!$AD$1:$BE$65000,$B628,W$5)=1,1,IF(INDEX([1]Pivot!$B$1:$AB$65000,$B628,W$5)="",2,0)),0)</f>
        <v>0</v>
      </c>
      <c r="X628" s="194">
        <f>IFERROR(IF(INDEX([1]Pivot!$AD$1:$BE$65000,$B628,X$5)=1,1,IF(INDEX([1]Pivot!$B$1:$AB$65000,$B628,X$5)="",2,0)),0)</f>
        <v>0</v>
      </c>
      <c r="Y628" s="194">
        <f>IFERROR(IF(INDEX([1]Pivot!$AD$1:$BE$65000,$B628,Y$5)=1,1,IF(INDEX([1]Pivot!$B$1:$AB$65000,$B628,Y$5)="",2,0)),0)</f>
        <v>0</v>
      </c>
      <c r="Z628" s="194">
        <f>IFERROR(IF(INDEX([1]Pivot!$AD$1:$BE$65000,$B628,Z$5)=1,1,IF(INDEX([1]Pivot!$B$1:$AB$65000,$B628,Z$5)="",2,0)),0)</f>
        <v>0</v>
      </c>
      <c r="AA628" s="194">
        <f>IFERROR(IF(INDEX([1]Pivot!$AD$1:$BE$65000,$B628,AA$5)=1,1,IF(INDEX([1]Pivot!$B$1:$AB$65000,$B628,AA$5)="",2,0)),0)</f>
        <v>0</v>
      </c>
      <c r="AB628" s="194">
        <f>IFERROR(IF(INDEX([1]Pivot!$AD$1:$BE$65000,$B628,AB$5)=1,1,IF(INDEX([1]Pivot!$B$1:$AB$65000,$B628,AB$5)="",2,0)),0)</f>
        <v>0</v>
      </c>
      <c r="AC628" s="194">
        <f>IFERROR(IF(INDEX([1]Pivot!$AD$1:$BE$65000,$B628,AC$5)=1,1,IF(INDEX([1]Pivot!$B$1:$AB$65000,$B628,AC$5)="",2,0)),0)</f>
        <v>0</v>
      </c>
      <c r="AD628" s="313">
        <f>IFERROR(IF(INDEX([1]Pivot!$BF$1:$CG$65000,$B628,AD$5)=1,1,IF(INDEX([1]Pivot!$B$1:$AB$65000,$B628,AD$5)="",2,0)),0)</f>
        <v>0</v>
      </c>
      <c r="AE628" s="313">
        <f>IFERROR(IF(INDEX([1]Pivot!$BF$1:$CG$65000,$B628,AE$5)=1,1,IF(INDEX([1]Pivot!$B$1:$AB$65000,$B628,AE$5)="",2,0)),0)</f>
        <v>0</v>
      </c>
      <c r="AF628" s="313">
        <f>IFERROR(IF(INDEX([1]Pivot!$BF$1:$CG$65000,$B628,AF$5)=1,1,IF(INDEX([1]Pivot!$B$1:$AB$65000,$B628,AF$5)="",2,0)),0)</f>
        <v>0</v>
      </c>
      <c r="AG628" s="313">
        <f>IFERROR(IF(INDEX([1]Pivot!$BF$1:$CG$65000,$B628,AG$5)=1,1,IF(INDEX([1]Pivot!$B$1:$AB$65000,$B628,AG$5)="",2,0)),0)</f>
        <v>0</v>
      </c>
      <c r="AH628" s="313">
        <f>IFERROR(IF(INDEX([1]Pivot!$BF$1:$CG$65000,$B628,AH$5)=1,1,IF(INDEX([1]Pivot!$B$1:$AB$65000,$B628,AH$5)="",2,0)),0)</f>
        <v>0</v>
      </c>
      <c r="AI628" s="313">
        <f>IFERROR(IF(INDEX([1]Pivot!$BF$1:$CG$65000,$B628,AI$5)=1,1,IF(INDEX([1]Pivot!$B$1:$AB$65000,$B628,AI$5)="",2,0)),0)</f>
        <v>0</v>
      </c>
      <c r="AJ628" s="313">
        <f>IFERROR(IF(INDEX([1]Pivot!$BF$1:$CG$65000,$B628,AJ$5)=1,1,IF(INDEX([1]Pivot!$B$1:$AB$65000,$B628,AJ$5)="",2,0)),0)</f>
        <v>0</v>
      </c>
      <c r="AK628" s="313">
        <f>IFERROR(IF(INDEX([1]Pivot!$BF$1:$CG$65000,$B628,AK$5)=1,1,IF(INDEX([1]Pivot!$B$1:$AB$65000,$B628,AK$5)="",2,0)),0)</f>
        <v>0</v>
      </c>
      <c r="AL628" s="313">
        <f>IFERROR(IF(INDEX([1]Pivot!$BF$1:$CG$65000,$B628,AL$5)=1,1,IF(INDEX([1]Pivot!$B$1:$AB$65000,$B628,AL$5)="",2,0)),0)</f>
        <v>0</v>
      </c>
      <c r="AM628" s="313">
        <f>IFERROR(IF(INDEX([1]Pivot!$BF$1:$CG$65000,$B628,AM$5)=1,1,IF(INDEX([1]Pivot!$B$1:$AB$65000,$B628,AM$5)="",2,0)),0)</f>
        <v>0</v>
      </c>
      <c r="AN628" s="313">
        <f>IFERROR(IF(INDEX([1]Pivot!$BF$1:$CG$65000,$B628,AN$5)=1,1,IF(INDEX([1]Pivot!$B$1:$AB$65000,$B628,AN$5)="",2,0)),0)</f>
        <v>0</v>
      </c>
      <c r="AO628" s="313">
        <f>IFERROR(IF(INDEX([1]Pivot!$BF$1:$CG$65000,$B628,AO$5)=1,1,IF(INDEX([1]Pivot!$B$1:$AB$65000,$B628,AO$5)="",2,0)),0)</f>
        <v>0</v>
      </c>
      <c r="AP628" s="313">
        <f>IFERROR(IF(INDEX([1]Pivot!$BF$1:$CG$65000,$B628,AP$5)=1,1,IF(INDEX([1]Pivot!$B$1:$AB$65000,$B628,AP$5)="",2,0)),0)</f>
        <v>0</v>
      </c>
      <c r="AQ628" s="313">
        <f>IFERROR(IF(INDEX([1]Pivot!$BF$1:$CG$65000,$B628,AQ$5)=1,1,IF(INDEX([1]Pivot!$B$1:$AB$65000,$B628,AQ$5)="",2,0)),0)</f>
        <v>0</v>
      </c>
      <c r="AR628" s="313">
        <f>IFERROR(IF(INDEX([1]Pivot!$BF$1:$CG$65000,$B628,AR$5)=1,1,IF(INDEX([1]Pivot!$B$1:$AB$65000,$B628,AR$5)="",2,0)),0)</f>
        <v>0</v>
      </c>
      <c r="AS628" s="312"/>
      <c r="AT628" s="313">
        <f>IFERROR(IF(INDEX([1]Pivot!$BF$1:$CG$65000,$B628,AT$5)=1,1,IF(INDEX([1]Pivot!$B$1:$AB$65000,$B628,AT$5)="",2,0)),0)</f>
        <v>0</v>
      </c>
      <c r="AU628" s="313">
        <f>IFERROR(IF(INDEX([1]Pivot!$BF$1:$CG$65000,$B628,AU$5)=1,1,IF(INDEX([1]Pivot!$B$1:$AB$65000,$B628,AU$5)="",2,0)),0)</f>
        <v>0</v>
      </c>
      <c r="AV628" s="313">
        <f>IFERROR(IF(INDEX([1]Pivot!$BF$1:$CG$65000,$B628,AV$5)=1,1,IF(INDEX([1]Pivot!$B$1:$AB$65000,$B628,AV$5)="",2,0)),0)</f>
        <v>0</v>
      </c>
      <c r="AW628" s="313">
        <f>IFERROR(IF(INDEX([1]Pivot!$BF$1:$CG$65000,$B628,AW$5)=1,1,IF(INDEX([1]Pivot!$B$1:$AB$65000,$B628,AW$5)="",2,0)),0)</f>
        <v>0</v>
      </c>
      <c r="AX628" s="313">
        <f>IFERROR(IF(INDEX([1]Pivot!$BF$1:$CG$65000,$B628,AX$5)=1,1,IF(INDEX([1]Pivot!$B$1:$AB$65000,$B628,AX$5)="",2,0)),0)</f>
        <v>0</v>
      </c>
      <c r="AY628" s="313">
        <f>IFERROR(IF(INDEX([1]Pivot!$BF$1:$CG$65000,$B628,AY$5)=1,1,IF(INDEX([1]Pivot!$B$1:$AB$65000,$B628,AY$5)="",2,0)),0)</f>
        <v>0</v>
      </c>
      <c r="AZ628" s="313">
        <f>IFERROR(IF(INDEX([1]Pivot!$BF$1:$CG$65000,$B628,AZ$5)=1,1,IF(INDEX([1]Pivot!$B$1:$AB$65000,$B628,AZ$5)="",2,0)),0)</f>
        <v>0</v>
      </c>
      <c r="BA628" s="313">
        <f>IFERROR(IF(INDEX([1]Pivot!$BF$1:$CG$65000,$B628,BA$5)=1,1,IF(INDEX([1]Pivot!$B$1:$AB$65000,$B628,BA$5)="",2,0)),0)</f>
        <v>0</v>
      </c>
      <c r="BB628" s="313">
        <f>IFERROR(IF(INDEX([1]Pivot!$BF$1:$CG$65000,$B628,BB$5)=1,1,IF(INDEX([1]Pivot!$B$1:$AB$65000,$B628,BB$5)="",2,0)),0)</f>
        <v>0</v>
      </c>
      <c r="BC628" s="313">
        <f>IFERROR(IF(INDEX([1]Pivot!$BF$1:$CG$65000,$B628,BC$5)=1,1,IF(INDEX([1]Pivot!$B$1:$AB$65000,$B628,BC$5)="",2,0)),0)</f>
        <v>0</v>
      </c>
      <c r="BD628" s="313">
        <f>IFERROR(IF(INDEX([1]Pivot!$BF$1:$CG$65000,$B628,BD$5)=1,1,IF(INDEX([1]Pivot!$B$1:$AB$65000,$B628,BD$5)="",2,0)),0)</f>
        <v>0</v>
      </c>
    </row>
    <row r="629" spans="1:56" x14ac:dyDescent="0.25">
      <c r="A629" s="288">
        <f>'[2]Raw Milk Prices'!A629</f>
        <v>0</v>
      </c>
      <c r="B629" s="296" t="e">
        <f>MATCH(DATE(LEFT('[2]Raw Milk Prices'!$A629,4),RIGHT('[2]Raw Milk Prices'!$A629,2),1),[1]Pivot!$A$1:$A$65000,0)</f>
        <v>#VALUE!</v>
      </c>
      <c r="C629" s="194">
        <f>IFERROR(IF(INDEX([1]Pivot!$AD$1:$BE$65000,$B629,C$5)=1,1,IF(INDEX([1]Pivot!$B$1:$AB$65000,$B629,C$5)="",2,0)),0)</f>
        <v>0</v>
      </c>
      <c r="D629" s="194">
        <f>IFERROR(IF(INDEX([1]Pivot!$AD$1:$BE$65000,$B629,D$5)=1,1,IF(INDEX([1]Pivot!$B$1:$AB$65000,$B629,D$5)="",2,0)),0)</f>
        <v>0</v>
      </c>
      <c r="E629" s="194">
        <f>IFERROR(IF(INDEX([1]Pivot!$AD$1:$BE$65000,$B629,E$5)=1,1,IF(INDEX([1]Pivot!$B$1:$AB$65000,$B629,E$5)="",2,0)),0)</f>
        <v>0</v>
      </c>
      <c r="F629" s="194">
        <f>IFERROR(IF(INDEX([1]Pivot!$AD$1:$BE$65000,$B629,F$5)=1,1,IF(INDEX([1]Pivot!$B$1:$AB$65000,$B629,F$5)="",2,0)),0)</f>
        <v>0</v>
      </c>
      <c r="G629" s="194">
        <f>IFERROR(IF(INDEX([1]Pivot!$AD$1:$BE$65000,$B629,G$5)=1,1,IF(INDEX([1]Pivot!$B$1:$AB$65000,$B629,G$5)="",2,0)),0)</f>
        <v>0</v>
      </c>
      <c r="H629" s="194">
        <f>IFERROR(IF(INDEX([1]Pivot!$AD$1:$BE$65000,$B629,H$5)=1,1,IF(INDEX([1]Pivot!$B$1:$AB$65000,$B629,H$5)="",2,0)),0)</f>
        <v>0</v>
      </c>
      <c r="I629" s="194">
        <f>IFERROR(IF(INDEX([1]Pivot!$AD$1:$BE$65000,$B629,I$5)=1,1,IF(INDEX([1]Pivot!$B$1:$AB$65000,$B629,I$5)="",2,0)),0)</f>
        <v>0</v>
      </c>
      <c r="J629" s="194">
        <f>IFERROR(IF(INDEX([1]Pivot!$AD$1:$BE$65000,$B629,J$5)=1,1,IF(INDEX([1]Pivot!$B$1:$AB$65000,$B629,J$5)="",2,0)),0)</f>
        <v>0</v>
      </c>
      <c r="K629" s="194">
        <f>IFERROR(IF(INDEX([1]Pivot!$AD$1:$BE$65000,$B629,K$5)=1,1,IF(INDEX([1]Pivot!$B$1:$AB$65000,$B629,K$5)="",2,0)),0)</f>
        <v>0</v>
      </c>
      <c r="L629" s="194">
        <f>IFERROR(IF(INDEX([1]Pivot!$AD$1:$BE$65000,$B629,L$5)=1,1,IF(INDEX([1]Pivot!$B$1:$AB$65000,$B629,L$5)="",2,0)),0)</f>
        <v>0</v>
      </c>
      <c r="M629" s="194">
        <f>IFERROR(IF(INDEX([1]Pivot!$AD$1:$BE$65000,$B629,M$5)=1,1,IF(INDEX([1]Pivot!$B$1:$AB$65000,$B629,M$5)="",2,0)),0)</f>
        <v>0</v>
      </c>
      <c r="N629" s="194">
        <f>IFERROR(IF(INDEX([1]Pivot!$AD$1:$BE$65000,$B629,N$5)=1,1,IF(INDEX([1]Pivot!$B$1:$AB$65000,$B629,N$5)="",2,0)),0)</f>
        <v>0</v>
      </c>
      <c r="O629" s="194">
        <f>IFERROR(IF(INDEX([1]Pivot!$AD$1:$BE$65000,$B629,O$5)=1,1,IF(INDEX([1]Pivot!$B$1:$AB$65000,$B629,O$5)="",2,0)),0)</f>
        <v>0</v>
      </c>
      <c r="P629" s="194">
        <f>IFERROR(IF(INDEX([1]Pivot!$AD$1:$BE$65000,$B629,P$5)=1,1,IF(INDEX([1]Pivot!$B$1:$AB$65000,$B629,P$5)="",2,0)),0)</f>
        <v>0</v>
      </c>
      <c r="Q629" s="194">
        <f>IFERROR(IF(INDEX([1]Pivot!$AD$1:$BE$65000,$B629,Q$5)=1,1,IF(INDEX([1]Pivot!$B$1:$AB$65000,$B629,Q$5)="",2,0)),0)</f>
        <v>0</v>
      </c>
      <c r="R629" s="312"/>
      <c r="S629" s="194">
        <f>IFERROR(IF(INDEX([1]Pivot!$AD$1:$BE$65000,$B629,S$5)=1,1,IF(INDEX([1]Pivot!$B$1:$AB$65000,$B629,S$5)="",2,0)),0)</f>
        <v>0</v>
      </c>
      <c r="T629" s="194">
        <f>IFERROR(IF(INDEX([1]Pivot!$AD$1:$BE$65000,$B629,T$5)=1,1,IF(INDEX([1]Pivot!$B$1:$AB$65000,$B629,T$5)="",2,0)),0)</f>
        <v>0</v>
      </c>
      <c r="U629" s="194">
        <f>IFERROR(IF(INDEX([1]Pivot!$AD$1:$BE$65000,$B629,U$5)=1,1,IF(INDEX([1]Pivot!$B$1:$AB$65000,$B629,U$5)="",2,0)),0)</f>
        <v>0</v>
      </c>
      <c r="V629" s="194">
        <f>IFERROR(IF(INDEX([1]Pivot!$AD$1:$BE$65000,$B629,V$5)=1,1,IF(INDEX([1]Pivot!$B$1:$AB$65000,$B629,V$5)="",2,0)),0)</f>
        <v>0</v>
      </c>
      <c r="W629" s="194">
        <f>IFERROR(IF(INDEX([1]Pivot!$AD$1:$BE$65000,$B629,W$5)=1,1,IF(INDEX([1]Pivot!$B$1:$AB$65000,$B629,W$5)="",2,0)),0)</f>
        <v>0</v>
      </c>
      <c r="X629" s="194">
        <f>IFERROR(IF(INDEX([1]Pivot!$AD$1:$BE$65000,$B629,X$5)=1,1,IF(INDEX([1]Pivot!$B$1:$AB$65000,$B629,X$5)="",2,0)),0)</f>
        <v>0</v>
      </c>
      <c r="Y629" s="194">
        <f>IFERROR(IF(INDEX([1]Pivot!$AD$1:$BE$65000,$B629,Y$5)=1,1,IF(INDEX([1]Pivot!$B$1:$AB$65000,$B629,Y$5)="",2,0)),0)</f>
        <v>0</v>
      </c>
      <c r="Z629" s="194">
        <f>IFERROR(IF(INDEX([1]Pivot!$AD$1:$BE$65000,$B629,Z$5)=1,1,IF(INDEX([1]Pivot!$B$1:$AB$65000,$B629,Z$5)="",2,0)),0)</f>
        <v>0</v>
      </c>
      <c r="AA629" s="194">
        <f>IFERROR(IF(INDEX([1]Pivot!$AD$1:$BE$65000,$B629,AA$5)=1,1,IF(INDEX([1]Pivot!$B$1:$AB$65000,$B629,AA$5)="",2,0)),0)</f>
        <v>0</v>
      </c>
      <c r="AB629" s="194">
        <f>IFERROR(IF(INDEX([1]Pivot!$AD$1:$BE$65000,$B629,AB$5)=1,1,IF(INDEX([1]Pivot!$B$1:$AB$65000,$B629,AB$5)="",2,0)),0)</f>
        <v>0</v>
      </c>
      <c r="AC629" s="194">
        <f>IFERROR(IF(INDEX([1]Pivot!$AD$1:$BE$65000,$B629,AC$5)=1,1,IF(INDEX([1]Pivot!$B$1:$AB$65000,$B629,AC$5)="",2,0)),0)</f>
        <v>0</v>
      </c>
      <c r="AD629" s="313">
        <f>IFERROR(IF(INDEX([1]Pivot!$BF$1:$CG$65000,$B629,AD$5)=1,1,IF(INDEX([1]Pivot!$B$1:$AB$65000,$B629,AD$5)="",2,0)),0)</f>
        <v>0</v>
      </c>
      <c r="AE629" s="313">
        <f>IFERROR(IF(INDEX([1]Pivot!$BF$1:$CG$65000,$B629,AE$5)=1,1,IF(INDEX([1]Pivot!$B$1:$AB$65000,$B629,AE$5)="",2,0)),0)</f>
        <v>0</v>
      </c>
      <c r="AF629" s="313">
        <f>IFERROR(IF(INDEX([1]Pivot!$BF$1:$CG$65000,$B629,AF$5)=1,1,IF(INDEX([1]Pivot!$B$1:$AB$65000,$B629,AF$5)="",2,0)),0)</f>
        <v>0</v>
      </c>
      <c r="AG629" s="313">
        <f>IFERROR(IF(INDEX([1]Pivot!$BF$1:$CG$65000,$B629,AG$5)=1,1,IF(INDEX([1]Pivot!$B$1:$AB$65000,$B629,AG$5)="",2,0)),0)</f>
        <v>0</v>
      </c>
      <c r="AH629" s="313">
        <f>IFERROR(IF(INDEX([1]Pivot!$BF$1:$CG$65000,$B629,AH$5)=1,1,IF(INDEX([1]Pivot!$B$1:$AB$65000,$B629,AH$5)="",2,0)),0)</f>
        <v>0</v>
      </c>
      <c r="AI629" s="313">
        <f>IFERROR(IF(INDEX([1]Pivot!$BF$1:$CG$65000,$B629,AI$5)=1,1,IF(INDEX([1]Pivot!$B$1:$AB$65000,$B629,AI$5)="",2,0)),0)</f>
        <v>0</v>
      </c>
      <c r="AJ629" s="313">
        <f>IFERROR(IF(INDEX([1]Pivot!$BF$1:$CG$65000,$B629,AJ$5)=1,1,IF(INDEX([1]Pivot!$B$1:$AB$65000,$B629,AJ$5)="",2,0)),0)</f>
        <v>0</v>
      </c>
      <c r="AK629" s="313">
        <f>IFERROR(IF(INDEX([1]Pivot!$BF$1:$CG$65000,$B629,AK$5)=1,1,IF(INDEX([1]Pivot!$B$1:$AB$65000,$B629,AK$5)="",2,0)),0)</f>
        <v>0</v>
      </c>
      <c r="AL629" s="313">
        <f>IFERROR(IF(INDEX([1]Pivot!$BF$1:$CG$65000,$B629,AL$5)=1,1,IF(INDEX([1]Pivot!$B$1:$AB$65000,$B629,AL$5)="",2,0)),0)</f>
        <v>0</v>
      </c>
      <c r="AM629" s="313">
        <f>IFERROR(IF(INDEX([1]Pivot!$BF$1:$CG$65000,$B629,AM$5)=1,1,IF(INDEX([1]Pivot!$B$1:$AB$65000,$B629,AM$5)="",2,0)),0)</f>
        <v>0</v>
      </c>
      <c r="AN629" s="313">
        <f>IFERROR(IF(INDEX([1]Pivot!$BF$1:$CG$65000,$B629,AN$5)=1,1,IF(INDEX([1]Pivot!$B$1:$AB$65000,$B629,AN$5)="",2,0)),0)</f>
        <v>0</v>
      </c>
      <c r="AO629" s="313">
        <f>IFERROR(IF(INDEX([1]Pivot!$BF$1:$CG$65000,$B629,AO$5)=1,1,IF(INDEX([1]Pivot!$B$1:$AB$65000,$B629,AO$5)="",2,0)),0)</f>
        <v>0</v>
      </c>
      <c r="AP629" s="313">
        <f>IFERROR(IF(INDEX([1]Pivot!$BF$1:$CG$65000,$B629,AP$5)=1,1,IF(INDEX([1]Pivot!$B$1:$AB$65000,$B629,AP$5)="",2,0)),0)</f>
        <v>0</v>
      </c>
      <c r="AQ629" s="313">
        <f>IFERROR(IF(INDEX([1]Pivot!$BF$1:$CG$65000,$B629,AQ$5)=1,1,IF(INDEX([1]Pivot!$B$1:$AB$65000,$B629,AQ$5)="",2,0)),0)</f>
        <v>0</v>
      </c>
      <c r="AR629" s="313">
        <f>IFERROR(IF(INDEX([1]Pivot!$BF$1:$CG$65000,$B629,AR$5)=1,1,IF(INDEX([1]Pivot!$B$1:$AB$65000,$B629,AR$5)="",2,0)),0)</f>
        <v>0</v>
      </c>
      <c r="AS629" s="312"/>
      <c r="AT629" s="313">
        <f>IFERROR(IF(INDEX([1]Pivot!$BF$1:$CG$65000,$B629,AT$5)=1,1,IF(INDEX([1]Pivot!$B$1:$AB$65000,$B629,AT$5)="",2,0)),0)</f>
        <v>0</v>
      </c>
      <c r="AU629" s="313">
        <f>IFERROR(IF(INDEX([1]Pivot!$BF$1:$CG$65000,$B629,AU$5)=1,1,IF(INDEX([1]Pivot!$B$1:$AB$65000,$B629,AU$5)="",2,0)),0)</f>
        <v>0</v>
      </c>
      <c r="AV629" s="313">
        <f>IFERROR(IF(INDEX([1]Pivot!$BF$1:$CG$65000,$B629,AV$5)=1,1,IF(INDEX([1]Pivot!$B$1:$AB$65000,$B629,AV$5)="",2,0)),0)</f>
        <v>0</v>
      </c>
      <c r="AW629" s="313">
        <f>IFERROR(IF(INDEX([1]Pivot!$BF$1:$CG$65000,$B629,AW$5)=1,1,IF(INDEX([1]Pivot!$B$1:$AB$65000,$B629,AW$5)="",2,0)),0)</f>
        <v>0</v>
      </c>
      <c r="AX629" s="313">
        <f>IFERROR(IF(INDEX([1]Pivot!$BF$1:$CG$65000,$B629,AX$5)=1,1,IF(INDEX([1]Pivot!$B$1:$AB$65000,$B629,AX$5)="",2,0)),0)</f>
        <v>0</v>
      </c>
      <c r="AY629" s="313">
        <f>IFERROR(IF(INDEX([1]Pivot!$BF$1:$CG$65000,$B629,AY$5)=1,1,IF(INDEX([1]Pivot!$B$1:$AB$65000,$B629,AY$5)="",2,0)),0)</f>
        <v>0</v>
      </c>
      <c r="AZ629" s="313">
        <f>IFERROR(IF(INDEX([1]Pivot!$BF$1:$CG$65000,$B629,AZ$5)=1,1,IF(INDEX([1]Pivot!$B$1:$AB$65000,$B629,AZ$5)="",2,0)),0)</f>
        <v>0</v>
      </c>
      <c r="BA629" s="313">
        <f>IFERROR(IF(INDEX([1]Pivot!$BF$1:$CG$65000,$B629,BA$5)=1,1,IF(INDEX([1]Pivot!$B$1:$AB$65000,$B629,BA$5)="",2,0)),0)</f>
        <v>0</v>
      </c>
      <c r="BB629" s="313">
        <f>IFERROR(IF(INDEX([1]Pivot!$BF$1:$CG$65000,$B629,BB$5)=1,1,IF(INDEX([1]Pivot!$B$1:$AB$65000,$B629,BB$5)="",2,0)),0)</f>
        <v>0</v>
      </c>
      <c r="BC629" s="313">
        <f>IFERROR(IF(INDEX([1]Pivot!$BF$1:$CG$65000,$B629,BC$5)=1,1,IF(INDEX([1]Pivot!$B$1:$AB$65000,$B629,BC$5)="",2,0)),0)</f>
        <v>0</v>
      </c>
      <c r="BD629" s="313">
        <f>IFERROR(IF(INDEX([1]Pivot!$BF$1:$CG$65000,$B629,BD$5)=1,1,IF(INDEX([1]Pivot!$B$1:$AB$65000,$B629,BD$5)="",2,0)),0)</f>
        <v>0</v>
      </c>
    </row>
    <row r="630" spans="1:56" x14ac:dyDescent="0.25">
      <c r="A630" s="288">
        <f>'[2]Raw Milk Prices'!A630</f>
        <v>0</v>
      </c>
      <c r="B630" s="296" t="e">
        <f>MATCH(DATE(LEFT('[2]Raw Milk Prices'!$A630,4),RIGHT('[2]Raw Milk Prices'!$A630,2),1),[1]Pivot!$A$1:$A$65000,0)</f>
        <v>#VALUE!</v>
      </c>
      <c r="C630" s="194">
        <f>IFERROR(IF(INDEX([1]Pivot!$AD$1:$BE$65000,$B630,C$5)=1,1,IF(INDEX([1]Pivot!$B$1:$AB$65000,$B630,C$5)="",2,0)),0)</f>
        <v>0</v>
      </c>
      <c r="D630" s="194">
        <f>IFERROR(IF(INDEX([1]Pivot!$AD$1:$BE$65000,$B630,D$5)=1,1,IF(INDEX([1]Pivot!$B$1:$AB$65000,$B630,D$5)="",2,0)),0)</f>
        <v>0</v>
      </c>
      <c r="E630" s="194">
        <f>IFERROR(IF(INDEX([1]Pivot!$AD$1:$BE$65000,$B630,E$5)=1,1,IF(INDEX([1]Pivot!$B$1:$AB$65000,$B630,E$5)="",2,0)),0)</f>
        <v>0</v>
      </c>
      <c r="F630" s="194">
        <f>IFERROR(IF(INDEX([1]Pivot!$AD$1:$BE$65000,$B630,F$5)=1,1,IF(INDEX([1]Pivot!$B$1:$AB$65000,$B630,F$5)="",2,0)),0)</f>
        <v>0</v>
      </c>
      <c r="G630" s="194">
        <f>IFERROR(IF(INDEX([1]Pivot!$AD$1:$BE$65000,$B630,G$5)=1,1,IF(INDEX([1]Pivot!$B$1:$AB$65000,$B630,G$5)="",2,0)),0)</f>
        <v>0</v>
      </c>
      <c r="H630" s="194">
        <f>IFERROR(IF(INDEX([1]Pivot!$AD$1:$BE$65000,$B630,H$5)=1,1,IF(INDEX([1]Pivot!$B$1:$AB$65000,$B630,H$5)="",2,0)),0)</f>
        <v>0</v>
      </c>
      <c r="I630" s="194">
        <f>IFERROR(IF(INDEX([1]Pivot!$AD$1:$BE$65000,$B630,I$5)=1,1,IF(INDEX([1]Pivot!$B$1:$AB$65000,$B630,I$5)="",2,0)),0)</f>
        <v>0</v>
      </c>
      <c r="J630" s="194">
        <f>IFERROR(IF(INDEX([1]Pivot!$AD$1:$BE$65000,$B630,J$5)=1,1,IF(INDEX([1]Pivot!$B$1:$AB$65000,$B630,J$5)="",2,0)),0)</f>
        <v>0</v>
      </c>
      <c r="K630" s="194">
        <f>IFERROR(IF(INDEX([1]Pivot!$AD$1:$BE$65000,$B630,K$5)=1,1,IF(INDEX([1]Pivot!$B$1:$AB$65000,$B630,K$5)="",2,0)),0)</f>
        <v>0</v>
      </c>
      <c r="L630" s="194">
        <f>IFERROR(IF(INDEX([1]Pivot!$AD$1:$BE$65000,$B630,L$5)=1,1,IF(INDEX([1]Pivot!$B$1:$AB$65000,$B630,L$5)="",2,0)),0)</f>
        <v>0</v>
      </c>
      <c r="M630" s="194">
        <f>IFERROR(IF(INDEX([1]Pivot!$AD$1:$BE$65000,$B630,M$5)=1,1,IF(INDEX([1]Pivot!$B$1:$AB$65000,$B630,M$5)="",2,0)),0)</f>
        <v>0</v>
      </c>
      <c r="N630" s="194">
        <f>IFERROR(IF(INDEX([1]Pivot!$AD$1:$BE$65000,$B630,N$5)=1,1,IF(INDEX([1]Pivot!$B$1:$AB$65000,$B630,N$5)="",2,0)),0)</f>
        <v>0</v>
      </c>
      <c r="O630" s="194">
        <f>IFERROR(IF(INDEX([1]Pivot!$AD$1:$BE$65000,$B630,O$5)=1,1,IF(INDEX([1]Pivot!$B$1:$AB$65000,$B630,O$5)="",2,0)),0)</f>
        <v>0</v>
      </c>
      <c r="P630" s="194">
        <f>IFERROR(IF(INDEX([1]Pivot!$AD$1:$BE$65000,$B630,P$5)=1,1,IF(INDEX([1]Pivot!$B$1:$AB$65000,$B630,P$5)="",2,0)),0)</f>
        <v>0</v>
      </c>
      <c r="Q630" s="194">
        <f>IFERROR(IF(INDEX([1]Pivot!$AD$1:$BE$65000,$B630,Q$5)=1,1,IF(INDEX([1]Pivot!$B$1:$AB$65000,$B630,Q$5)="",2,0)),0)</f>
        <v>0</v>
      </c>
      <c r="R630" s="312"/>
      <c r="S630" s="194">
        <f>IFERROR(IF(INDEX([1]Pivot!$AD$1:$BE$65000,$B630,S$5)=1,1,IF(INDEX([1]Pivot!$B$1:$AB$65000,$B630,S$5)="",2,0)),0)</f>
        <v>0</v>
      </c>
      <c r="T630" s="194">
        <f>IFERROR(IF(INDEX([1]Pivot!$AD$1:$BE$65000,$B630,T$5)=1,1,IF(INDEX([1]Pivot!$B$1:$AB$65000,$B630,T$5)="",2,0)),0)</f>
        <v>0</v>
      </c>
      <c r="U630" s="194">
        <f>IFERROR(IF(INDEX([1]Pivot!$AD$1:$BE$65000,$B630,U$5)=1,1,IF(INDEX([1]Pivot!$B$1:$AB$65000,$B630,U$5)="",2,0)),0)</f>
        <v>0</v>
      </c>
      <c r="V630" s="194">
        <f>IFERROR(IF(INDEX([1]Pivot!$AD$1:$BE$65000,$B630,V$5)=1,1,IF(INDEX([1]Pivot!$B$1:$AB$65000,$B630,V$5)="",2,0)),0)</f>
        <v>0</v>
      </c>
      <c r="W630" s="194">
        <f>IFERROR(IF(INDEX([1]Pivot!$AD$1:$BE$65000,$B630,W$5)=1,1,IF(INDEX([1]Pivot!$B$1:$AB$65000,$B630,W$5)="",2,0)),0)</f>
        <v>0</v>
      </c>
      <c r="X630" s="194">
        <f>IFERROR(IF(INDEX([1]Pivot!$AD$1:$BE$65000,$B630,X$5)=1,1,IF(INDEX([1]Pivot!$B$1:$AB$65000,$B630,X$5)="",2,0)),0)</f>
        <v>0</v>
      </c>
      <c r="Y630" s="194">
        <f>IFERROR(IF(INDEX([1]Pivot!$AD$1:$BE$65000,$B630,Y$5)=1,1,IF(INDEX([1]Pivot!$B$1:$AB$65000,$B630,Y$5)="",2,0)),0)</f>
        <v>0</v>
      </c>
      <c r="Z630" s="194">
        <f>IFERROR(IF(INDEX([1]Pivot!$AD$1:$BE$65000,$B630,Z$5)=1,1,IF(INDEX([1]Pivot!$B$1:$AB$65000,$B630,Z$5)="",2,0)),0)</f>
        <v>0</v>
      </c>
      <c r="AA630" s="194">
        <f>IFERROR(IF(INDEX([1]Pivot!$AD$1:$BE$65000,$B630,AA$5)=1,1,IF(INDEX([1]Pivot!$B$1:$AB$65000,$B630,AA$5)="",2,0)),0)</f>
        <v>0</v>
      </c>
      <c r="AB630" s="194">
        <f>IFERROR(IF(INDEX([1]Pivot!$AD$1:$BE$65000,$B630,AB$5)=1,1,IF(INDEX([1]Pivot!$B$1:$AB$65000,$B630,AB$5)="",2,0)),0)</f>
        <v>0</v>
      </c>
      <c r="AC630" s="194">
        <f>IFERROR(IF(INDEX([1]Pivot!$AD$1:$BE$65000,$B630,AC$5)=1,1,IF(INDEX([1]Pivot!$B$1:$AB$65000,$B630,AC$5)="",2,0)),0)</f>
        <v>0</v>
      </c>
      <c r="AD630" s="313">
        <f>IFERROR(IF(INDEX([1]Pivot!$BF$1:$CG$65000,$B630,AD$5)=1,1,IF(INDEX([1]Pivot!$B$1:$AB$65000,$B630,AD$5)="",2,0)),0)</f>
        <v>0</v>
      </c>
      <c r="AE630" s="313">
        <f>IFERROR(IF(INDEX([1]Pivot!$BF$1:$CG$65000,$B630,AE$5)=1,1,IF(INDEX([1]Pivot!$B$1:$AB$65000,$B630,AE$5)="",2,0)),0)</f>
        <v>0</v>
      </c>
      <c r="AF630" s="313">
        <f>IFERROR(IF(INDEX([1]Pivot!$BF$1:$CG$65000,$B630,AF$5)=1,1,IF(INDEX([1]Pivot!$B$1:$AB$65000,$B630,AF$5)="",2,0)),0)</f>
        <v>0</v>
      </c>
      <c r="AG630" s="313">
        <f>IFERROR(IF(INDEX([1]Pivot!$BF$1:$CG$65000,$B630,AG$5)=1,1,IF(INDEX([1]Pivot!$B$1:$AB$65000,$B630,AG$5)="",2,0)),0)</f>
        <v>0</v>
      </c>
      <c r="AH630" s="313">
        <f>IFERROR(IF(INDEX([1]Pivot!$BF$1:$CG$65000,$B630,AH$5)=1,1,IF(INDEX([1]Pivot!$B$1:$AB$65000,$B630,AH$5)="",2,0)),0)</f>
        <v>0</v>
      </c>
      <c r="AI630" s="313">
        <f>IFERROR(IF(INDEX([1]Pivot!$BF$1:$CG$65000,$B630,AI$5)=1,1,IF(INDEX([1]Pivot!$B$1:$AB$65000,$B630,AI$5)="",2,0)),0)</f>
        <v>0</v>
      </c>
      <c r="AJ630" s="313">
        <f>IFERROR(IF(INDEX([1]Pivot!$BF$1:$CG$65000,$B630,AJ$5)=1,1,IF(INDEX([1]Pivot!$B$1:$AB$65000,$B630,AJ$5)="",2,0)),0)</f>
        <v>0</v>
      </c>
      <c r="AK630" s="313">
        <f>IFERROR(IF(INDEX([1]Pivot!$BF$1:$CG$65000,$B630,AK$5)=1,1,IF(INDEX([1]Pivot!$B$1:$AB$65000,$B630,AK$5)="",2,0)),0)</f>
        <v>0</v>
      </c>
      <c r="AL630" s="313">
        <f>IFERROR(IF(INDEX([1]Pivot!$BF$1:$CG$65000,$B630,AL$5)=1,1,IF(INDEX([1]Pivot!$B$1:$AB$65000,$B630,AL$5)="",2,0)),0)</f>
        <v>0</v>
      </c>
      <c r="AM630" s="313">
        <f>IFERROR(IF(INDEX([1]Pivot!$BF$1:$CG$65000,$B630,AM$5)=1,1,IF(INDEX([1]Pivot!$B$1:$AB$65000,$B630,AM$5)="",2,0)),0)</f>
        <v>0</v>
      </c>
      <c r="AN630" s="313">
        <f>IFERROR(IF(INDEX([1]Pivot!$BF$1:$CG$65000,$B630,AN$5)=1,1,IF(INDEX([1]Pivot!$B$1:$AB$65000,$B630,AN$5)="",2,0)),0)</f>
        <v>0</v>
      </c>
      <c r="AO630" s="313">
        <f>IFERROR(IF(INDEX([1]Pivot!$BF$1:$CG$65000,$B630,AO$5)=1,1,IF(INDEX([1]Pivot!$B$1:$AB$65000,$B630,AO$5)="",2,0)),0)</f>
        <v>0</v>
      </c>
      <c r="AP630" s="313">
        <f>IFERROR(IF(INDEX([1]Pivot!$BF$1:$CG$65000,$B630,AP$5)=1,1,IF(INDEX([1]Pivot!$B$1:$AB$65000,$B630,AP$5)="",2,0)),0)</f>
        <v>0</v>
      </c>
      <c r="AQ630" s="313">
        <f>IFERROR(IF(INDEX([1]Pivot!$BF$1:$CG$65000,$B630,AQ$5)=1,1,IF(INDEX([1]Pivot!$B$1:$AB$65000,$B630,AQ$5)="",2,0)),0)</f>
        <v>0</v>
      </c>
      <c r="AR630" s="313">
        <f>IFERROR(IF(INDEX([1]Pivot!$BF$1:$CG$65000,$B630,AR$5)=1,1,IF(INDEX([1]Pivot!$B$1:$AB$65000,$B630,AR$5)="",2,0)),0)</f>
        <v>0</v>
      </c>
      <c r="AS630" s="312"/>
      <c r="AT630" s="313">
        <f>IFERROR(IF(INDEX([1]Pivot!$BF$1:$CG$65000,$B630,AT$5)=1,1,IF(INDEX([1]Pivot!$B$1:$AB$65000,$B630,AT$5)="",2,0)),0)</f>
        <v>0</v>
      </c>
      <c r="AU630" s="313">
        <f>IFERROR(IF(INDEX([1]Pivot!$BF$1:$CG$65000,$B630,AU$5)=1,1,IF(INDEX([1]Pivot!$B$1:$AB$65000,$B630,AU$5)="",2,0)),0)</f>
        <v>0</v>
      </c>
      <c r="AV630" s="313">
        <f>IFERROR(IF(INDEX([1]Pivot!$BF$1:$CG$65000,$B630,AV$5)=1,1,IF(INDEX([1]Pivot!$B$1:$AB$65000,$B630,AV$5)="",2,0)),0)</f>
        <v>0</v>
      </c>
      <c r="AW630" s="313">
        <f>IFERROR(IF(INDEX([1]Pivot!$BF$1:$CG$65000,$B630,AW$5)=1,1,IF(INDEX([1]Pivot!$B$1:$AB$65000,$B630,AW$5)="",2,0)),0)</f>
        <v>0</v>
      </c>
      <c r="AX630" s="313">
        <f>IFERROR(IF(INDEX([1]Pivot!$BF$1:$CG$65000,$B630,AX$5)=1,1,IF(INDEX([1]Pivot!$B$1:$AB$65000,$B630,AX$5)="",2,0)),0)</f>
        <v>0</v>
      </c>
      <c r="AY630" s="313">
        <f>IFERROR(IF(INDEX([1]Pivot!$BF$1:$CG$65000,$B630,AY$5)=1,1,IF(INDEX([1]Pivot!$B$1:$AB$65000,$B630,AY$5)="",2,0)),0)</f>
        <v>0</v>
      </c>
      <c r="AZ630" s="313">
        <f>IFERROR(IF(INDEX([1]Pivot!$BF$1:$CG$65000,$B630,AZ$5)=1,1,IF(INDEX([1]Pivot!$B$1:$AB$65000,$B630,AZ$5)="",2,0)),0)</f>
        <v>0</v>
      </c>
      <c r="BA630" s="313">
        <f>IFERROR(IF(INDEX([1]Pivot!$BF$1:$CG$65000,$B630,BA$5)=1,1,IF(INDEX([1]Pivot!$B$1:$AB$65000,$B630,BA$5)="",2,0)),0)</f>
        <v>0</v>
      </c>
      <c r="BB630" s="313">
        <f>IFERROR(IF(INDEX([1]Pivot!$BF$1:$CG$65000,$B630,BB$5)=1,1,IF(INDEX([1]Pivot!$B$1:$AB$65000,$B630,BB$5)="",2,0)),0)</f>
        <v>0</v>
      </c>
      <c r="BC630" s="313">
        <f>IFERROR(IF(INDEX([1]Pivot!$BF$1:$CG$65000,$B630,BC$5)=1,1,IF(INDEX([1]Pivot!$B$1:$AB$65000,$B630,BC$5)="",2,0)),0)</f>
        <v>0</v>
      </c>
      <c r="BD630" s="313">
        <f>IFERROR(IF(INDEX([1]Pivot!$BF$1:$CG$65000,$B630,BD$5)=1,1,IF(INDEX([1]Pivot!$B$1:$AB$65000,$B630,BD$5)="",2,0)),0)</f>
        <v>0</v>
      </c>
    </row>
    <row r="631" spans="1:56" x14ac:dyDescent="0.25">
      <c r="A631" s="288">
        <f>'[2]Raw Milk Prices'!A631</f>
        <v>0</v>
      </c>
      <c r="B631" s="296" t="e">
        <f>MATCH(DATE(LEFT('[2]Raw Milk Prices'!$A631,4),RIGHT('[2]Raw Milk Prices'!$A631,2),1),[1]Pivot!$A$1:$A$65000,0)</f>
        <v>#VALUE!</v>
      </c>
      <c r="C631" s="194">
        <f>IFERROR(IF(INDEX([1]Pivot!$AD$1:$BE$65000,$B631,C$5)=1,1,IF(INDEX([1]Pivot!$B$1:$AB$65000,$B631,C$5)="",2,0)),0)</f>
        <v>0</v>
      </c>
      <c r="D631" s="194">
        <f>IFERROR(IF(INDEX([1]Pivot!$AD$1:$BE$65000,$B631,D$5)=1,1,IF(INDEX([1]Pivot!$B$1:$AB$65000,$B631,D$5)="",2,0)),0)</f>
        <v>0</v>
      </c>
      <c r="E631" s="194">
        <f>IFERROR(IF(INDEX([1]Pivot!$AD$1:$BE$65000,$B631,E$5)=1,1,IF(INDEX([1]Pivot!$B$1:$AB$65000,$B631,E$5)="",2,0)),0)</f>
        <v>0</v>
      </c>
      <c r="F631" s="194">
        <f>IFERROR(IF(INDEX([1]Pivot!$AD$1:$BE$65000,$B631,F$5)=1,1,IF(INDEX([1]Pivot!$B$1:$AB$65000,$B631,F$5)="",2,0)),0)</f>
        <v>0</v>
      </c>
      <c r="G631" s="194">
        <f>IFERROR(IF(INDEX([1]Pivot!$AD$1:$BE$65000,$B631,G$5)=1,1,IF(INDEX([1]Pivot!$B$1:$AB$65000,$B631,G$5)="",2,0)),0)</f>
        <v>0</v>
      </c>
      <c r="H631" s="194">
        <f>IFERROR(IF(INDEX([1]Pivot!$AD$1:$BE$65000,$B631,H$5)=1,1,IF(INDEX([1]Pivot!$B$1:$AB$65000,$B631,H$5)="",2,0)),0)</f>
        <v>0</v>
      </c>
      <c r="I631" s="194">
        <f>IFERROR(IF(INDEX([1]Pivot!$AD$1:$BE$65000,$B631,I$5)=1,1,IF(INDEX([1]Pivot!$B$1:$AB$65000,$B631,I$5)="",2,0)),0)</f>
        <v>0</v>
      </c>
      <c r="J631" s="194">
        <f>IFERROR(IF(INDEX([1]Pivot!$AD$1:$BE$65000,$B631,J$5)=1,1,IF(INDEX([1]Pivot!$B$1:$AB$65000,$B631,J$5)="",2,0)),0)</f>
        <v>0</v>
      </c>
      <c r="K631" s="194">
        <f>IFERROR(IF(INDEX([1]Pivot!$AD$1:$BE$65000,$B631,K$5)=1,1,IF(INDEX([1]Pivot!$B$1:$AB$65000,$B631,K$5)="",2,0)),0)</f>
        <v>0</v>
      </c>
      <c r="L631" s="194">
        <f>IFERROR(IF(INDEX([1]Pivot!$AD$1:$BE$65000,$B631,L$5)=1,1,IF(INDEX([1]Pivot!$B$1:$AB$65000,$B631,L$5)="",2,0)),0)</f>
        <v>0</v>
      </c>
      <c r="M631" s="194">
        <f>IFERROR(IF(INDEX([1]Pivot!$AD$1:$BE$65000,$B631,M$5)=1,1,IF(INDEX([1]Pivot!$B$1:$AB$65000,$B631,M$5)="",2,0)),0)</f>
        <v>0</v>
      </c>
      <c r="N631" s="194">
        <f>IFERROR(IF(INDEX([1]Pivot!$AD$1:$BE$65000,$B631,N$5)=1,1,IF(INDEX([1]Pivot!$B$1:$AB$65000,$B631,N$5)="",2,0)),0)</f>
        <v>0</v>
      </c>
      <c r="O631" s="194">
        <f>IFERROR(IF(INDEX([1]Pivot!$AD$1:$BE$65000,$B631,O$5)=1,1,IF(INDEX([1]Pivot!$B$1:$AB$65000,$B631,O$5)="",2,0)),0)</f>
        <v>0</v>
      </c>
      <c r="P631" s="194">
        <f>IFERROR(IF(INDEX([1]Pivot!$AD$1:$BE$65000,$B631,P$5)=1,1,IF(INDEX([1]Pivot!$B$1:$AB$65000,$B631,P$5)="",2,0)),0)</f>
        <v>0</v>
      </c>
      <c r="Q631" s="194">
        <f>IFERROR(IF(INDEX([1]Pivot!$AD$1:$BE$65000,$B631,Q$5)=1,1,IF(INDEX([1]Pivot!$B$1:$AB$65000,$B631,Q$5)="",2,0)),0)</f>
        <v>0</v>
      </c>
      <c r="R631" s="312"/>
      <c r="S631" s="194">
        <f>IFERROR(IF(INDEX([1]Pivot!$AD$1:$BE$65000,$B631,S$5)=1,1,IF(INDEX([1]Pivot!$B$1:$AB$65000,$B631,S$5)="",2,0)),0)</f>
        <v>0</v>
      </c>
      <c r="T631" s="194">
        <f>IFERROR(IF(INDEX([1]Pivot!$AD$1:$BE$65000,$B631,T$5)=1,1,IF(INDEX([1]Pivot!$B$1:$AB$65000,$B631,T$5)="",2,0)),0)</f>
        <v>0</v>
      </c>
      <c r="U631" s="194">
        <f>IFERROR(IF(INDEX([1]Pivot!$AD$1:$BE$65000,$B631,U$5)=1,1,IF(INDEX([1]Pivot!$B$1:$AB$65000,$B631,U$5)="",2,0)),0)</f>
        <v>0</v>
      </c>
      <c r="V631" s="194">
        <f>IFERROR(IF(INDEX([1]Pivot!$AD$1:$BE$65000,$B631,V$5)=1,1,IF(INDEX([1]Pivot!$B$1:$AB$65000,$B631,V$5)="",2,0)),0)</f>
        <v>0</v>
      </c>
      <c r="W631" s="194">
        <f>IFERROR(IF(INDEX([1]Pivot!$AD$1:$BE$65000,$B631,W$5)=1,1,IF(INDEX([1]Pivot!$B$1:$AB$65000,$B631,W$5)="",2,0)),0)</f>
        <v>0</v>
      </c>
      <c r="X631" s="194">
        <f>IFERROR(IF(INDEX([1]Pivot!$AD$1:$BE$65000,$B631,X$5)=1,1,IF(INDEX([1]Pivot!$B$1:$AB$65000,$B631,X$5)="",2,0)),0)</f>
        <v>0</v>
      </c>
      <c r="Y631" s="194">
        <f>IFERROR(IF(INDEX([1]Pivot!$AD$1:$BE$65000,$B631,Y$5)=1,1,IF(INDEX([1]Pivot!$B$1:$AB$65000,$B631,Y$5)="",2,0)),0)</f>
        <v>0</v>
      </c>
      <c r="Z631" s="194">
        <f>IFERROR(IF(INDEX([1]Pivot!$AD$1:$BE$65000,$B631,Z$5)=1,1,IF(INDEX([1]Pivot!$B$1:$AB$65000,$B631,Z$5)="",2,0)),0)</f>
        <v>0</v>
      </c>
      <c r="AA631" s="194">
        <f>IFERROR(IF(INDEX([1]Pivot!$AD$1:$BE$65000,$B631,AA$5)=1,1,IF(INDEX([1]Pivot!$B$1:$AB$65000,$B631,AA$5)="",2,0)),0)</f>
        <v>0</v>
      </c>
      <c r="AB631" s="194">
        <f>IFERROR(IF(INDEX([1]Pivot!$AD$1:$BE$65000,$B631,AB$5)=1,1,IF(INDEX([1]Pivot!$B$1:$AB$65000,$B631,AB$5)="",2,0)),0)</f>
        <v>0</v>
      </c>
      <c r="AC631" s="194">
        <f>IFERROR(IF(INDEX([1]Pivot!$AD$1:$BE$65000,$B631,AC$5)=1,1,IF(INDEX([1]Pivot!$B$1:$AB$65000,$B631,AC$5)="",2,0)),0)</f>
        <v>0</v>
      </c>
      <c r="AD631" s="313">
        <f>IFERROR(IF(INDEX([1]Pivot!$BF$1:$CG$65000,$B631,AD$5)=1,1,IF(INDEX([1]Pivot!$B$1:$AB$65000,$B631,AD$5)="",2,0)),0)</f>
        <v>0</v>
      </c>
      <c r="AE631" s="313">
        <f>IFERROR(IF(INDEX([1]Pivot!$BF$1:$CG$65000,$B631,AE$5)=1,1,IF(INDEX([1]Pivot!$B$1:$AB$65000,$B631,AE$5)="",2,0)),0)</f>
        <v>0</v>
      </c>
      <c r="AF631" s="313">
        <f>IFERROR(IF(INDEX([1]Pivot!$BF$1:$CG$65000,$B631,AF$5)=1,1,IF(INDEX([1]Pivot!$B$1:$AB$65000,$B631,AF$5)="",2,0)),0)</f>
        <v>0</v>
      </c>
      <c r="AG631" s="313">
        <f>IFERROR(IF(INDEX([1]Pivot!$BF$1:$CG$65000,$B631,AG$5)=1,1,IF(INDEX([1]Pivot!$B$1:$AB$65000,$B631,AG$5)="",2,0)),0)</f>
        <v>0</v>
      </c>
      <c r="AH631" s="313">
        <f>IFERROR(IF(INDEX([1]Pivot!$BF$1:$CG$65000,$B631,AH$5)=1,1,IF(INDEX([1]Pivot!$B$1:$AB$65000,$B631,AH$5)="",2,0)),0)</f>
        <v>0</v>
      </c>
      <c r="AI631" s="313">
        <f>IFERROR(IF(INDEX([1]Pivot!$BF$1:$CG$65000,$B631,AI$5)=1,1,IF(INDEX([1]Pivot!$B$1:$AB$65000,$B631,AI$5)="",2,0)),0)</f>
        <v>0</v>
      </c>
      <c r="AJ631" s="313">
        <f>IFERROR(IF(INDEX([1]Pivot!$BF$1:$CG$65000,$B631,AJ$5)=1,1,IF(INDEX([1]Pivot!$B$1:$AB$65000,$B631,AJ$5)="",2,0)),0)</f>
        <v>0</v>
      </c>
      <c r="AK631" s="313">
        <f>IFERROR(IF(INDEX([1]Pivot!$BF$1:$CG$65000,$B631,AK$5)=1,1,IF(INDEX([1]Pivot!$B$1:$AB$65000,$B631,AK$5)="",2,0)),0)</f>
        <v>0</v>
      </c>
      <c r="AL631" s="313">
        <f>IFERROR(IF(INDEX([1]Pivot!$BF$1:$CG$65000,$B631,AL$5)=1,1,IF(INDEX([1]Pivot!$B$1:$AB$65000,$B631,AL$5)="",2,0)),0)</f>
        <v>0</v>
      </c>
      <c r="AM631" s="313">
        <f>IFERROR(IF(INDEX([1]Pivot!$BF$1:$CG$65000,$B631,AM$5)=1,1,IF(INDEX([1]Pivot!$B$1:$AB$65000,$B631,AM$5)="",2,0)),0)</f>
        <v>0</v>
      </c>
      <c r="AN631" s="313">
        <f>IFERROR(IF(INDEX([1]Pivot!$BF$1:$CG$65000,$B631,AN$5)=1,1,IF(INDEX([1]Pivot!$B$1:$AB$65000,$B631,AN$5)="",2,0)),0)</f>
        <v>0</v>
      </c>
      <c r="AO631" s="313">
        <f>IFERROR(IF(INDEX([1]Pivot!$BF$1:$CG$65000,$B631,AO$5)=1,1,IF(INDEX([1]Pivot!$B$1:$AB$65000,$B631,AO$5)="",2,0)),0)</f>
        <v>0</v>
      </c>
      <c r="AP631" s="313">
        <f>IFERROR(IF(INDEX([1]Pivot!$BF$1:$CG$65000,$B631,AP$5)=1,1,IF(INDEX([1]Pivot!$B$1:$AB$65000,$B631,AP$5)="",2,0)),0)</f>
        <v>0</v>
      </c>
      <c r="AQ631" s="313">
        <f>IFERROR(IF(INDEX([1]Pivot!$BF$1:$CG$65000,$B631,AQ$5)=1,1,IF(INDEX([1]Pivot!$B$1:$AB$65000,$B631,AQ$5)="",2,0)),0)</f>
        <v>0</v>
      </c>
      <c r="AR631" s="313">
        <f>IFERROR(IF(INDEX([1]Pivot!$BF$1:$CG$65000,$B631,AR$5)=1,1,IF(INDEX([1]Pivot!$B$1:$AB$65000,$B631,AR$5)="",2,0)),0)</f>
        <v>0</v>
      </c>
      <c r="AS631" s="312"/>
      <c r="AT631" s="313">
        <f>IFERROR(IF(INDEX([1]Pivot!$BF$1:$CG$65000,$B631,AT$5)=1,1,IF(INDEX([1]Pivot!$B$1:$AB$65000,$B631,AT$5)="",2,0)),0)</f>
        <v>0</v>
      </c>
      <c r="AU631" s="313">
        <f>IFERROR(IF(INDEX([1]Pivot!$BF$1:$CG$65000,$B631,AU$5)=1,1,IF(INDEX([1]Pivot!$B$1:$AB$65000,$B631,AU$5)="",2,0)),0)</f>
        <v>0</v>
      </c>
      <c r="AV631" s="313">
        <f>IFERROR(IF(INDEX([1]Pivot!$BF$1:$CG$65000,$B631,AV$5)=1,1,IF(INDEX([1]Pivot!$B$1:$AB$65000,$B631,AV$5)="",2,0)),0)</f>
        <v>0</v>
      </c>
      <c r="AW631" s="313">
        <f>IFERROR(IF(INDEX([1]Pivot!$BF$1:$CG$65000,$B631,AW$5)=1,1,IF(INDEX([1]Pivot!$B$1:$AB$65000,$B631,AW$5)="",2,0)),0)</f>
        <v>0</v>
      </c>
      <c r="AX631" s="313">
        <f>IFERROR(IF(INDEX([1]Pivot!$BF$1:$CG$65000,$B631,AX$5)=1,1,IF(INDEX([1]Pivot!$B$1:$AB$65000,$B631,AX$5)="",2,0)),0)</f>
        <v>0</v>
      </c>
      <c r="AY631" s="313">
        <f>IFERROR(IF(INDEX([1]Pivot!$BF$1:$CG$65000,$B631,AY$5)=1,1,IF(INDEX([1]Pivot!$B$1:$AB$65000,$B631,AY$5)="",2,0)),0)</f>
        <v>0</v>
      </c>
      <c r="AZ631" s="313">
        <f>IFERROR(IF(INDEX([1]Pivot!$BF$1:$CG$65000,$B631,AZ$5)=1,1,IF(INDEX([1]Pivot!$B$1:$AB$65000,$B631,AZ$5)="",2,0)),0)</f>
        <v>0</v>
      </c>
      <c r="BA631" s="313">
        <f>IFERROR(IF(INDEX([1]Pivot!$BF$1:$CG$65000,$B631,BA$5)=1,1,IF(INDEX([1]Pivot!$B$1:$AB$65000,$B631,BA$5)="",2,0)),0)</f>
        <v>0</v>
      </c>
      <c r="BB631" s="313">
        <f>IFERROR(IF(INDEX([1]Pivot!$BF$1:$CG$65000,$B631,BB$5)=1,1,IF(INDEX([1]Pivot!$B$1:$AB$65000,$B631,BB$5)="",2,0)),0)</f>
        <v>0</v>
      </c>
      <c r="BC631" s="313">
        <f>IFERROR(IF(INDEX([1]Pivot!$BF$1:$CG$65000,$B631,BC$5)=1,1,IF(INDEX([1]Pivot!$B$1:$AB$65000,$B631,BC$5)="",2,0)),0)</f>
        <v>0</v>
      </c>
      <c r="BD631" s="313">
        <f>IFERROR(IF(INDEX([1]Pivot!$BF$1:$CG$65000,$B631,BD$5)=1,1,IF(INDEX([1]Pivot!$B$1:$AB$65000,$B631,BD$5)="",2,0)),0)</f>
        <v>0</v>
      </c>
    </row>
    <row r="632" spans="1:56" x14ac:dyDescent="0.25">
      <c r="A632" s="288">
        <f>'[2]Raw Milk Prices'!A632</f>
        <v>0</v>
      </c>
      <c r="B632" s="296" t="e">
        <f>MATCH(DATE(LEFT('[2]Raw Milk Prices'!$A632,4),RIGHT('[2]Raw Milk Prices'!$A632,2),1),[1]Pivot!$A$1:$A$65000,0)</f>
        <v>#VALUE!</v>
      </c>
      <c r="C632" s="194">
        <f>IFERROR(IF(INDEX([1]Pivot!$AD$1:$BE$65000,$B632,C$5)=1,1,IF(INDEX([1]Pivot!$B$1:$AB$65000,$B632,C$5)="",2,0)),0)</f>
        <v>0</v>
      </c>
      <c r="D632" s="194">
        <f>IFERROR(IF(INDEX([1]Pivot!$AD$1:$BE$65000,$B632,D$5)=1,1,IF(INDEX([1]Pivot!$B$1:$AB$65000,$B632,D$5)="",2,0)),0)</f>
        <v>0</v>
      </c>
      <c r="E632" s="194">
        <f>IFERROR(IF(INDEX([1]Pivot!$AD$1:$BE$65000,$B632,E$5)=1,1,IF(INDEX([1]Pivot!$B$1:$AB$65000,$B632,E$5)="",2,0)),0)</f>
        <v>0</v>
      </c>
      <c r="F632" s="194">
        <f>IFERROR(IF(INDEX([1]Pivot!$AD$1:$BE$65000,$B632,F$5)=1,1,IF(INDEX([1]Pivot!$B$1:$AB$65000,$B632,F$5)="",2,0)),0)</f>
        <v>0</v>
      </c>
      <c r="G632" s="194">
        <f>IFERROR(IF(INDEX([1]Pivot!$AD$1:$BE$65000,$B632,G$5)=1,1,IF(INDEX([1]Pivot!$B$1:$AB$65000,$B632,G$5)="",2,0)),0)</f>
        <v>0</v>
      </c>
      <c r="H632" s="194">
        <f>IFERROR(IF(INDEX([1]Pivot!$AD$1:$BE$65000,$B632,H$5)=1,1,IF(INDEX([1]Pivot!$B$1:$AB$65000,$B632,H$5)="",2,0)),0)</f>
        <v>0</v>
      </c>
      <c r="I632" s="194">
        <f>IFERROR(IF(INDEX([1]Pivot!$AD$1:$BE$65000,$B632,I$5)=1,1,IF(INDEX([1]Pivot!$B$1:$AB$65000,$B632,I$5)="",2,0)),0)</f>
        <v>0</v>
      </c>
      <c r="J632" s="194">
        <f>IFERROR(IF(INDEX([1]Pivot!$AD$1:$BE$65000,$B632,J$5)=1,1,IF(INDEX([1]Pivot!$B$1:$AB$65000,$B632,J$5)="",2,0)),0)</f>
        <v>0</v>
      </c>
      <c r="K632" s="194">
        <f>IFERROR(IF(INDEX([1]Pivot!$AD$1:$BE$65000,$B632,K$5)=1,1,IF(INDEX([1]Pivot!$B$1:$AB$65000,$B632,K$5)="",2,0)),0)</f>
        <v>0</v>
      </c>
      <c r="L632" s="194">
        <f>IFERROR(IF(INDEX([1]Pivot!$AD$1:$BE$65000,$B632,L$5)=1,1,IF(INDEX([1]Pivot!$B$1:$AB$65000,$B632,L$5)="",2,0)),0)</f>
        <v>0</v>
      </c>
      <c r="M632" s="194">
        <f>IFERROR(IF(INDEX([1]Pivot!$AD$1:$BE$65000,$B632,M$5)=1,1,IF(INDEX([1]Pivot!$B$1:$AB$65000,$B632,M$5)="",2,0)),0)</f>
        <v>0</v>
      </c>
      <c r="N632" s="194">
        <f>IFERROR(IF(INDEX([1]Pivot!$AD$1:$BE$65000,$B632,N$5)=1,1,IF(INDEX([1]Pivot!$B$1:$AB$65000,$B632,N$5)="",2,0)),0)</f>
        <v>0</v>
      </c>
      <c r="O632" s="194">
        <f>IFERROR(IF(INDEX([1]Pivot!$AD$1:$BE$65000,$B632,O$5)=1,1,IF(INDEX([1]Pivot!$B$1:$AB$65000,$B632,O$5)="",2,0)),0)</f>
        <v>0</v>
      </c>
      <c r="P632" s="194">
        <f>IFERROR(IF(INDEX([1]Pivot!$AD$1:$BE$65000,$B632,P$5)=1,1,IF(INDEX([1]Pivot!$B$1:$AB$65000,$B632,P$5)="",2,0)),0)</f>
        <v>0</v>
      </c>
      <c r="Q632" s="194">
        <f>IFERROR(IF(INDEX([1]Pivot!$AD$1:$BE$65000,$B632,Q$5)=1,1,IF(INDEX([1]Pivot!$B$1:$AB$65000,$B632,Q$5)="",2,0)),0)</f>
        <v>0</v>
      </c>
      <c r="R632" s="312"/>
      <c r="S632" s="194">
        <f>IFERROR(IF(INDEX([1]Pivot!$AD$1:$BE$65000,$B632,S$5)=1,1,IF(INDEX([1]Pivot!$B$1:$AB$65000,$B632,S$5)="",2,0)),0)</f>
        <v>0</v>
      </c>
      <c r="T632" s="194">
        <f>IFERROR(IF(INDEX([1]Pivot!$AD$1:$BE$65000,$B632,T$5)=1,1,IF(INDEX([1]Pivot!$B$1:$AB$65000,$B632,T$5)="",2,0)),0)</f>
        <v>0</v>
      </c>
      <c r="U632" s="194">
        <f>IFERROR(IF(INDEX([1]Pivot!$AD$1:$BE$65000,$B632,U$5)=1,1,IF(INDEX([1]Pivot!$B$1:$AB$65000,$B632,U$5)="",2,0)),0)</f>
        <v>0</v>
      </c>
      <c r="V632" s="194">
        <f>IFERROR(IF(INDEX([1]Pivot!$AD$1:$BE$65000,$B632,V$5)=1,1,IF(INDEX([1]Pivot!$B$1:$AB$65000,$B632,V$5)="",2,0)),0)</f>
        <v>0</v>
      </c>
      <c r="W632" s="194">
        <f>IFERROR(IF(INDEX([1]Pivot!$AD$1:$BE$65000,$B632,W$5)=1,1,IF(INDEX([1]Pivot!$B$1:$AB$65000,$B632,W$5)="",2,0)),0)</f>
        <v>0</v>
      </c>
      <c r="X632" s="194">
        <f>IFERROR(IF(INDEX([1]Pivot!$AD$1:$BE$65000,$B632,X$5)=1,1,IF(INDEX([1]Pivot!$B$1:$AB$65000,$B632,X$5)="",2,0)),0)</f>
        <v>0</v>
      </c>
      <c r="Y632" s="194">
        <f>IFERROR(IF(INDEX([1]Pivot!$AD$1:$BE$65000,$B632,Y$5)=1,1,IF(INDEX([1]Pivot!$B$1:$AB$65000,$B632,Y$5)="",2,0)),0)</f>
        <v>0</v>
      </c>
      <c r="Z632" s="194">
        <f>IFERROR(IF(INDEX([1]Pivot!$AD$1:$BE$65000,$B632,Z$5)=1,1,IF(INDEX([1]Pivot!$B$1:$AB$65000,$B632,Z$5)="",2,0)),0)</f>
        <v>0</v>
      </c>
      <c r="AA632" s="194">
        <f>IFERROR(IF(INDEX([1]Pivot!$AD$1:$BE$65000,$B632,AA$5)=1,1,IF(INDEX([1]Pivot!$B$1:$AB$65000,$B632,AA$5)="",2,0)),0)</f>
        <v>0</v>
      </c>
      <c r="AB632" s="194">
        <f>IFERROR(IF(INDEX([1]Pivot!$AD$1:$BE$65000,$B632,AB$5)=1,1,IF(INDEX([1]Pivot!$B$1:$AB$65000,$B632,AB$5)="",2,0)),0)</f>
        <v>0</v>
      </c>
      <c r="AC632" s="194">
        <f>IFERROR(IF(INDEX([1]Pivot!$AD$1:$BE$65000,$B632,AC$5)=1,1,IF(INDEX([1]Pivot!$B$1:$AB$65000,$B632,AC$5)="",2,0)),0)</f>
        <v>0</v>
      </c>
      <c r="AD632" s="313">
        <f>IFERROR(IF(INDEX([1]Pivot!$BF$1:$CG$65000,$B632,AD$5)=1,1,IF(INDEX([1]Pivot!$B$1:$AB$65000,$B632,AD$5)="",2,0)),0)</f>
        <v>0</v>
      </c>
      <c r="AE632" s="313">
        <f>IFERROR(IF(INDEX([1]Pivot!$BF$1:$CG$65000,$B632,AE$5)=1,1,IF(INDEX([1]Pivot!$B$1:$AB$65000,$B632,AE$5)="",2,0)),0)</f>
        <v>0</v>
      </c>
      <c r="AF632" s="313">
        <f>IFERROR(IF(INDEX([1]Pivot!$BF$1:$CG$65000,$B632,AF$5)=1,1,IF(INDEX([1]Pivot!$B$1:$AB$65000,$B632,AF$5)="",2,0)),0)</f>
        <v>0</v>
      </c>
      <c r="AG632" s="313">
        <f>IFERROR(IF(INDEX([1]Pivot!$BF$1:$CG$65000,$B632,AG$5)=1,1,IF(INDEX([1]Pivot!$B$1:$AB$65000,$B632,AG$5)="",2,0)),0)</f>
        <v>0</v>
      </c>
      <c r="AH632" s="313">
        <f>IFERROR(IF(INDEX([1]Pivot!$BF$1:$CG$65000,$B632,AH$5)=1,1,IF(INDEX([1]Pivot!$B$1:$AB$65000,$B632,AH$5)="",2,0)),0)</f>
        <v>0</v>
      </c>
      <c r="AI632" s="313">
        <f>IFERROR(IF(INDEX([1]Pivot!$BF$1:$CG$65000,$B632,AI$5)=1,1,IF(INDEX([1]Pivot!$B$1:$AB$65000,$B632,AI$5)="",2,0)),0)</f>
        <v>0</v>
      </c>
      <c r="AJ632" s="313">
        <f>IFERROR(IF(INDEX([1]Pivot!$BF$1:$CG$65000,$B632,AJ$5)=1,1,IF(INDEX([1]Pivot!$B$1:$AB$65000,$B632,AJ$5)="",2,0)),0)</f>
        <v>0</v>
      </c>
      <c r="AK632" s="313">
        <f>IFERROR(IF(INDEX([1]Pivot!$BF$1:$CG$65000,$B632,AK$5)=1,1,IF(INDEX([1]Pivot!$B$1:$AB$65000,$B632,AK$5)="",2,0)),0)</f>
        <v>0</v>
      </c>
      <c r="AL632" s="313">
        <f>IFERROR(IF(INDEX([1]Pivot!$BF$1:$CG$65000,$B632,AL$5)=1,1,IF(INDEX([1]Pivot!$B$1:$AB$65000,$B632,AL$5)="",2,0)),0)</f>
        <v>0</v>
      </c>
      <c r="AM632" s="313">
        <f>IFERROR(IF(INDEX([1]Pivot!$BF$1:$CG$65000,$B632,AM$5)=1,1,IF(INDEX([1]Pivot!$B$1:$AB$65000,$B632,AM$5)="",2,0)),0)</f>
        <v>0</v>
      </c>
      <c r="AN632" s="313">
        <f>IFERROR(IF(INDEX([1]Pivot!$BF$1:$CG$65000,$B632,AN$5)=1,1,IF(INDEX([1]Pivot!$B$1:$AB$65000,$B632,AN$5)="",2,0)),0)</f>
        <v>0</v>
      </c>
      <c r="AO632" s="313">
        <f>IFERROR(IF(INDEX([1]Pivot!$BF$1:$CG$65000,$B632,AO$5)=1,1,IF(INDEX([1]Pivot!$B$1:$AB$65000,$B632,AO$5)="",2,0)),0)</f>
        <v>0</v>
      </c>
      <c r="AP632" s="313">
        <f>IFERROR(IF(INDEX([1]Pivot!$BF$1:$CG$65000,$B632,AP$5)=1,1,IF(INDEX([1]Pivot!$B$1:$AB$65000,$B632,AP$5)="",2,0)),0)</f>
        <v>0</v>
      </c>
      <c r="AQ632" s="313">
        <f>IFERROR(IF(INDEX([1]Pivot!$BF$1:$CG$65000,$B632,AQ$5)=1,1,IF(INDEX([1]Pivot!$B$1:$AB$65000,$B632,AQ$5)="",2,0)),0)</f>
        <v>0</v>
      </c>
      <c r="AR632" s="313">
        <f>IFERROR(IF(INDEX([1]Pivot!$BF$1:$CG$65000,$B632,AR$5)=1,1,IF(INDEX([1]Pivot!$B$1:$AB$65000,$B632,AR$5)="",2,0)),0)</f>
        <v>0</v>
      </c>
      <c r="AS632" s="312"/>
      <c r="AT632" s="313">
        <f>IFERROR(IF(INDEX([1]Pivot!$BF$1:$CG$65000,$B632,AT$5)=1,1,IF(INDEX([1]Pivot!$B$1:$AB$65000,$B632,AT$5)="",2,0)),0)</f>
        <v>0</v>
      </c>
      <c r="AU632" s="313">
        <f>IFERROR(IF(INDEX([1]Pivot!$BF$1:$CG$65000,$B632,AU$5)=1,1,IF(INDEX([1]Pivot!$B$1:$AB$65000,$B632,AU$5)="",2,0)),0)</f>
        <v>0</v>
      </c>
      <c r="AV632" s="313">
        <f>IFERROR(IF(INDEX([1]Pivot!$BF$1:$CG$65000,$B632,AV$5)=1,1,IF(INDEX([1]Pivot!$B$1:$AB$65000,$B632,AV$5)="",2,0)),0)</f>
        <v>0</v>
      </c>
      <c r="AW632" s="313">
        <f>IFERROR(IF(INDEX([1]Pivot!$BF$1:$CG$65000,$B632,AW$5)=1,1,IF(INDEX([1]Pivot!$B$1:$AB$65000,$B632,AW$5)="",2,0)),0)</f>
        <v>0</v>
      </c>
      <c r="AX632" s="313">
        <f>IFERROR(IF(INDEX([1]Pivot!$BF$1:$CG$65000,$B632,AX$5)=1,1,IF(INDEX([1]Pivot!$B$1:$AB$65000,$B632,AX$5)="",2,0)),0)</f>
        <v>0</v>
      </c>
      <c r="AY632" s="313">
        <f>IFERROR(IF(INDEX([1]Pivot!$BF$1:$CG$65000,$B632,AY$5)=1,1,IF(INDEX([1]Pivot!$B$1:$AB$65000,$B632,AY$5)="",2,0)),0)</f>
        <v>0</v>
      </c>
      <c r="AZ632" s="313">
        <f>IFERROR(IF(INDEX([1]Pivot!$BF$1:$CG$65000,$B632,AZ$5)=1,1,IF(INDEX([1]Pivot!$B$1:$AB$65000,$B632,AZ$5)="",2,0)),0)</f>
        <v>0</v>
      </c>
      <c r="BA632" s="313">
        <f>IFERROR(IF(INDEX([1]Pivot!$BF$1:$CG$65000,$B632,BA$5)=1,1,IF(INDEX([1]Pivot!$B$1:$AB$65000,$B632,BA$5)="",2,0)),0)</f>
        <v>0</v>
      </c>
      <c r="BB632" s="313">
        <f>IFERROR(IF(INDEX([1]Pivot!$BF$1:$CG$65000,$B632,BB$5)=1,1,IF(INDEX([1]Pivot!$B$1:$AB$65000,$B632,BB$5)="",2,0)),0)</f>
        <v>0</v>
      </c>
      <c r="BC632" s="313">
        <f>IFERROR(IF(INDEX([1]Pivot!$BF$1:$CG$65000,$B632,BC$5)=1,1,IF(INDEX([1]Pivot!$B$1:$AB$65000,$B632,BC$5)="",2,0)),0)</f>
        <v>0</v>
      </c>
      <c r="BD632" s="313">
        <f>IFERROR(IF(INDEX([1]Pivot!$BF$1:$CG$65000,$B632,BD$5)=1,1,IF(INDEX([1]Pivot!$B$1:$AB$65000,$B632,BD$5)="",2,0)),0)</f>
        <v>0</v>
      </c>
    </row>
    <row r="633" spans="1:56" x14ac:dyDescent="0.25">
      <c r="A633" s="288">
        <f>'[2]Raw Milk Prices'!A633</f>
        <v>0</v>
      </c>
      <c r="B633" s="296" t="e">
        <f>MATCH(DATE(LEFT('[2]Raw Milk Prices'!$A633,4),RIGHT('[2]Raw Milk Prices'!$A633,2),1),[1]Pivot!$A$1:$A$65000,0)</f>
        <v>#VALUE!</v>
      </c>
      <c r="C633" s="194">
        <f>IFERROR(IF(INDEX([1]Pivot!$AD$1:$BE$65000,$B633,C$5)=1,1,IF(INDEX([1]Pivot!$B$1:$AB$65000,$B633,C$5)="",2,0)),0)</f>
        <v>0</v>
      </c>
      <c r="D633" s="194">
        <f>IFERROR(IF(INDEX([1]Pivot!$AD$1:$BE$65000,$B633,D$5)=1,1,IF(INDEX([1]Pivot!$B$1:$AB$65000,$B633,D$5)="",2,0)),0)</f>
        <v>0</v>
      </c>
      <c r="E633" s="194">
        <f>IFERROR(IF(INDEX([1]Pivot!$AD$1:$BE$65000,$B633,E$5)=1,1,IF(INDEX([1]Pivot!$B$1:$AB$65000,$B633,E$5)="",2,0)),0)</f>
        <v>0</v>
      </c>
      <c r="F633" s="194">
        <f>IFERROR(IF(INDEX([1]Pivot!$AD$1:$BE$65000,$B633,F$5)=1,1,IF(INDEX([1]Pivot!$B$1:$AB$65000,$B633,F$5)="",2,0)),0)</f>
        <v>0</v>
      </c>
      <c r="G633" s="194">
        <f>IFERROR(IF(INDEX([1]Pivot!$AD$1:$BE$65000,$B633,G$5)=1,1,IF(INDEX([1]Pivot!$B$1:$AB$65000,$B633,G$5)="",2,0)),0)</f>
        <v>0</v>
      </c>
      <c r="H633" s="194">
        <f>IFERROR(IF(INDEX([1]Pivot!$AD$1:$BE$65000,$B633,H$5)=1,1,IF(INDEX([1]Pivot!$B$1:$AB$65000,$B633,H$5)="",2,0)),0)</f>
        <v>0</v>
      </c>
      <c r="I633" s="194">
        <f>IFERROR(IF(INDEX([1]Pivot!$AD$1:$BE$65000,$B633,I$5)=1,1,IF(INDEX([1]Pivot!$B$1:$AB$65000,$B633,I$5)="",2,0)),0)</f>
        <v>0</v>
      </c>
      <c r="J633" s="194">
        <f>IFERROR(IF(INDEX([1]Pivot!$AD$1:$BE$65000,$B633,J$5)=1,1,IF(INDEX([1]Pivot!$B$1:$AB$65000,$B633,J$5)="",2,0)),0)</f>
        <v>0</v>
      </c>
      <c r="K633" s="194">
        <f>IFERROR(IF(INDEX([1]Pivot!$AD$1:$BE$65000,$B633,K$5)=1,1,IF(INDEX([1]Pivot!$B$1:$AB$65000,$B633,K$5)="",2,0)),0)</f>
        <v>0</v>
      </c>
      <c r="L633" s="194">
        <f>IFERROR(IF(INDEX([1]Pivot!$AD$1:$BE$65000,$B633,L$5)=1,1,IF(INDEX([1]Pivot!$B$1:$AB$65000,$B633,L$5)="",2,0)),0)</f>
        <v>0</v>
      </c>
      <c r="M633" s="194">
        <f>IFERROR(IF(INDEX([1]Pivot!$AD$1:$BE$65000,$B633,M$5)=1,1,IF(INDEX([1]Pivot!$B$1:$AB$65000,$B633,M$5)="",2,0)),0)</f>
        <v>0</v>
      </c>
      <c r="N633" s="194">
        <f>IFERROR(IF(INDEX([1]Pivot!$AD$1:$BE$65000,$B633,N$5)=1,1,IF(INDEX([1]Pivot!$B$1:$AB$65000,$B633,N$5)="",2,0)),0)</f>
        <v>0</v>
      </c>
      <c r="O633" s="194">
        <f>IFERROR(IF(INDEX([1]Pivot!$AD$1:$BE$65000,$B633,O$5)=1,1,IF(INDEX([1]Pivot!$B$1:$AB$65000,$B633,O$5)="",2,0)),0)</f>
        <v>0</v>
      </c>
      <c r="P633" s="194">
        <f>IFERROR(IF(INDEX([1]Pivot!$AD$1:$BE$65000,$B633,P$5)=1,1,IF(INDEX([1]Pivot!$B$1:$AB$65000,$B633,P$5)="",2,0)),0)</f>
        <v>0</v>
      </c>
      <c r="Q633" s="194">
        <f>IFERROR(IF(INDEX([1]Pivot!$AD$1:$BE$65000,$B633,Q$5)=1,1,IF(INDEX([1]Pivot!$B$1:$AB$65000,$B633,Q$5)="",2,0)),0)</f>
        <v>0</v>
      </c>
      <c r="R633" s="312"/>
      <c r="S633" s="194">
        <f>IFERROR(IF(INDEX([1]Pivot!$AD$1:$BE$65000,$B633,S$5)=1,1,IF(INDEX([1]Pivot!$B$1:$AB$65000,$B633,S$5)="",2,0)),0)</f>
        <v>0</v>
      </c>
      <c r="T633" s="194">
        <f>IFERROR(IF(INDEX([1]Pivot!$AD$1:$BE$65000,$B633,T$5)=1,1,IF(INDEX([1]Pivot!$B$1:$AB$65000,$B633,T$5)="",2,0)),0)</f>
        <v>0</v>
      </c>
      <c r="U633" s="194">
        <f>IFERROR(IF(INDEX([1]Pivot!$AD$1:$BE$65000,$B633,U$5)=1,1,IF(INDEX([1]Pivot!$B$1:$AB$65000,$B633,U$5)="",2,0)),0)</f>
        <v>0</v>
      </c>
      <c r="V633" s="194">
        <f>IFERROR(IF(INDEX([1]Pivot!$AD$1:$BE$65000,$B633,V$5)=1,1,IF(INDEX([1]Pivot!$B$1:$AB$65000,$B633,V$5)="",2,0)),0)</f>
        <v>0</v>
      </c>
      <c r="W633" s="194">
        <f>IFERROR(IF(INDEX([1]Pivot!$AD$1:$BE$65000,$B633,W$5)=1,1,IF(INDEX([1]Pivot!$B$1:$AB$65000,$B633,W$5)="",2,0)),0)</f>
        <v>0</v>
      </c>
      <c r="X633" s="194">
        <f>IFERROR(IF(INDEX([1]Pivot!$AD$1:$BE$65000,$B633,X$5)=1,1,IF(INDEX([1]Pivot!$B$1:$AB$65000,$B633,X$5)="",2,0)),0)</f>
        <v>0</v>
      </c>
      <c r="Y633" s="194">
        <f>IFERROR(IF(INDEX([1]Pivot!$AD$1:$BE$65000,$B633,Y$5)=1,1,IF(INDEX([1]Pivot!$B$1:$AB$65000,$B633,Y$5)="",2,0)),0)</f>
        <v>0</v>
      </c>
      <c r="Z633" s="194">
        <f>IFERROR(IF(INDEX([1]Pivot!$AD$1:$BE$65000,$B633,Z$5)=1,1,IF(INDEX([1]Pivot!$B$1:$AB$65000,$B633,Z$5)="",2,0)),0)</f>
        <v>0</v>
      </c>
      <c r="AA633" s="194">
        <f>IFERROR(IF(INDEX([1]Pivot!$AD$1:$BE$65000,$B633,AA$5)=1,1,IF(INDEX([1]Pivot!$B$1:$AB$65000,$B633,AA$5)="",2,0)),0)</f>
        <v>0</v>
      </c>
      <c r="AB633" s="194">
        <f>IFERROR(IF(INDEX([1]Pivot!$AD$1:$BE$65000,$B633,AB$5)=1,1,IF(INDEX([1]Pivot!$B$1:$AB$65000,$B633,AB$5)="",2,0)),0)</f>
        <v>0</v>
      </c>
      <c r="AC633" s="194">
        <f>IFERROR(IF(INDEX([1]Pivot!$AD$1:$BE$65000,$B633,AC$5)=1,1,IF(INDEX([1]Pivot!$B$1:$AB$65000,$B633,AC$5)="",2,0)),0)</f>
        <v>0</v>
      </c>
      <c r="AD633" s="313">
        <f>IFERROR(IF(INDEX([1]Pivot!$BF$1:$CG$65000,$B633,AD$5)=1,1,IF(INDEX([1]Pivot!$B$1:$AB$65000,$B633,AD$5)="",2,0)),0)</f>
        <v>0</v>
      </c>
      <c r="AE633" s="313">
        <f>IFERROR(IF(INDEX([1]Pivot!$BF$1:$CG$65000,$B633,AE$5)=1,1,IF(INDEX([1]Pivot!$B$1:$AB$65000,$B633,AE$5)="",2,0)),0)</f>
        <v>0</v>
      </c>
      <c r="AF633" s="313">
        <f>IFERROR(IF(INDEX([1]Pivot!$BF$1:$CG$65000,$B633,AF$5)=1,1,IF(INDEX([1]Pivot!$B$1:$AB$65000,$B633,AF$5)="",2,0)),0)</f>
        <v>0</v>
      </c>
      <c r="AG633" s="313">
        <f>IFERROR(IF(INDEX([1]Pivot!$BF$1:$CG$65000,$B633,AG$5)=1,1,IF(INDEX([1]Pivot!$B$1:$AB$65000,$B633,AG$5)="",2,0)),0)</f>
        <v>0</v>
      </c>
      <c r="AH633" s="313">
        <f>IFERROR(IF(INDEX([1]Pivot!$BF$1:$CG$65000,$B633,AH$5)=1,1,IF(INDEX([1]Pivot!$B$1:$AB$65000,$B633,AH$5)="",2,0)),0)</f>
        <v>0</v>
      </c>
      <c r="AI633" s="313">
        <f>IFERROR(IF(INDEX([1]Pivot!$BF$1:$CG$65000,$B633,AI$5)=1,1,IF(INDEX([1]Pivot!$B$1:$AB$65000,$B633,AI$5)="",2,0)),0)</f>
        <v>0</v>
      </c>
      <c r="AJ633" s="313">
        <f>IFERROR(IF(INDEX([1]Pivot!$BF$1:$CG$65000,$B633,AJ$5)=1,1,IF(INDEX([1]Pivot!$B$1:$AB$65000,$B633,AJ$5)="",2,0)),0)</f>
        <v>0</v>
      </c>
      <c r="AK633" s="313">
        <f>IFERROR(IF(INDEX([1]Pivot!$BF$1:$CG$65000,$B633,AK$5)=1,1,IF(INDEX([1]Pivot!$B$1:$AB$65000,$B633,AK$5)="",2,0)),0)</f>
        <v>0</v>
      </c>
      <c r="AL633" s="313">
        <f>IFERROR(IF(INDEX([1]Pivot!$BF$1:$CG$65000,$B633,AL$5)=1,1,IF(INDEX([1]Pivot!$B$1:$AB$65000,$B633,AL$5)="",2,0)),0)</f>
        <v>0</v>
      </c>
      <c r="AM633" s="313">
        <f>IFERROR(IF(INDEX([1]Pivot!$BF$1:$CG$65000,$B633,AM$5)=1,1,IF(INDEX([1]Pivot!$B$1:$AB$65000,$B633,AM$5)="",2,0)),0)</f>
        <v>0</v>
      </c>
      <c r="AN633" s="313">
        <f>IFERROR(IF(INDEX([1]Pivot!$BF$1:$CG$65000,$B633,AN$5)=1,1,IF(INDEX([1]Pivot!$B$1:$AB$65000,$B633,AN$5)="",2,0)),0)</f>
        <v>0</v>
      </c>
      <c r="AO633" s="313">
        <f>IFERROR(IF(INDEX([1]Pivot!$BF$1:$CG$65000,$B633,AO$5)=1,1,IF(INDEX([1]Pivot!$B$1:$AB$65000,$B633,AO$5)="",2,0)),0)</f>
        <v>0</v>
      </c>
      <c r="AP633" s="313">
        <f>IFERROR(IF(INDEX([1]Pivot!$BF$1:$CG$65000,$B633,AP$5)=1,1,IF(INDEX([1]Pivot!$B$1:$AB$65000,$B633,AP$5)="",2,0)),0)</f>
        <v>0</v>
      </c>
      <c r="AQ633" s="313">
        <f>IFERROR(IF(INDEX([1]Pivot!$BF$1:$CG$65000,$B633,AQ$5)=1,1,IF(INDEX([1]Pivot!$B$1:$AB$65000,$B633,AQ$5)="",2,0)),0)</f>
        <v>0</v>
      </c>
      <c r="AR633" s="313">
        <f>IFERROR(IF(INDEX([1]Pivot!$BF$1:$CG$65000,$B633,AR$5)=1,1,IF(INDEX([1]Pivot!$B$1:$AB$65000,$B633,AR$5)="",2,0)),0)</f>
        <v>0</v>
      </c>
      <c r="AS633" s="312"/>
      <c r="AT633" s="313">
        <f>IFERROR(IF(INDEX([1]Pivot!$BF$1:$CG$65000,$B633,AT$5)=1,1,IF(INDEX([1]Pivot!$B$1:$AB$65000,$B633,AT$5)="",2,0)),0)</f>
        <v>0</v>
      </c>
      <c r="AU633" s="313">
        <f>IFERROR(IF(INDEX([1]Pivot!$BF$1:$CG$65000,$B633,AU$5)=1,1,IF(INDEX([1]Pivot!$B$1:$AB$65000,$B633,AU$5)="",2,0)),0)</f>
        <v>0</v>
      </c>
      <c r="AV633" s="313">
        <f>IFERROR(IF(INDEX([1]Pivot!$BF$1:$CG$65000,$B633,AV$5)=1,1,IF(INDEX([1]Pivot!$B$1:$AB$65000,$B633,AV$5)="",2,0)),0)</f>
        <v>0</v>
      </c>
      <c r="AW633" s="313">
        <f>IFERROR(IF(INDEX([1]Pivot!$BF$1:$CG$65000,$B633,AW$5)=1,1,IF(INDEX([1]Pivot!$B$1:$AB$65000,$B633,AW$5)="",2,0)),0)</f>
        <v>0</v>
      </c>
      <c r="AX633" s="313">
        <f>IFERROR(IF(INDEX([1]Pivot!$BF$1:$CG$65000,$B633,AX$5)=1,1,IF(INDEX([1]Pivot!$B$1:$AB$65000,$B633,AX$5)="",2,0)),0)</f>
        <v>0</v>
      </c>
      <c r="AY633" s="313">
        <f>IFERROR(IF(INDEX([1]Pivot!$BF$1:$CG$65000,$B633,AY$5)=1,1,IF(INDEX([1]Pivot!$B$1:$AB$65000,$B633,AY$5)="",2,0)),0)</f>
        <v>0</v>
      </c>
      <c r="AZ633" s="313">
        <f>IFERROR(IF(INDEX([1]Pivot!$BF$1:$CG$65000,$B633,AZ$5)=1,1,IF(INDEX([1]Pivot!$B$1:$AB$65000,$B633,AZ$5)="",2,0)),0)</f>
        <v>0</v>
      </c>
      <c r="BA633" s="313">
        <f>IFERROR(IF(INDEX([1]Pivot!$BF$1:$CG$65000,$B633,BA$5)=1,1,IF(INDEX([1]Pivot!$B$1:$AB$65000,$B633,BA$5)="",2,0)),0)</f>
        <v>0</v>
      </c>
      <c r="BB633" s="313">
        <f>IFERROR(IF(INDEX([1]Pivot!$BF$1:$CG$65000,$B633,BB$5)=1,1,IF(INDEX([1]Pivot!$B$1:$AB$65000,$B633,BB$5)="",2,0)),0)</f>
        <v>0</v>
      </c>
      <c r="BC633" s="313">
        <f>IFERROR(IF(INDEX([1]Pivot!$BF$1:$CG$65000,$B633,BC$5)=1,1,IF(INDEX([1]Pivot!$B$1:$AB$65000,$B633,BC$5)="",2,0)),0)</f>
        <v>0</v>
      </c>
      <c r="BD633" s="313">
        <f>IFERROR(IF(INDEX([1]Pivot!$BF$1:$CG$65000,$B633,BD$5)=1,1,IF(INDEX([1]Pivot!$B$1:$AB$65000,$B633,BD$5)="",2,0)),0)</f>
        <v>0</v>
      </c>
    </row>
    <row r="634" spans="1:56" x14ac:dyDescent="0.25">
      <c r="A634" s="288">
        <f>'[2]Raw Milk Prices'!A634</f>
        <v>0</v>
      </c>
      <c r="B634" s="296" t="e">
        <f>MATCH(DATE(LEFT('[2]Raw Milk Prices'!$A634,4),RIGHT('[2]Raw Milk Prices'!$A634,2),1),[1]Pivot!$A$1:$A$65000,0)</f>
        <v>#VALUE!</v>
      </c>
      <c r="C634" s="194">
        <f>IFERROR(IF(INDEX([1]Pivot!$AD$1:$BE$65000,$B634,C$5)=1,1,IF(INDEX([1]Pivot!$B$1:$AB$65000,$B634,C$5)="",2,0)),0)</f>
        <v>0</v>
      </c>
      <c r="D634" s="194">
        <f>IFERROR(IF(INDEX([1]Pivot!$AD$1:$BE$65000,$B634,D$5)=1,1,IF(INDEX([1]Pivot!$B$1:$AB$65000,$B634,D$5)="",2,0)),0)</f>
        <v>0</v>
      </c>
      <c r="E634" s="194">
        <f>IFERROR(IF(INDEX([1]Pivot!$AD$1:$BE$65000,$B634,E$5)=1,1,IF(INDEX([1]Pivot!$B$1:$AB$65000,$B634,E$5)="",2,0)),0)</f>
        <v>0</v>
      </c>
      <c r="F634" s="194">
        <f>IFERROR(IF(INDEX([1]Pivot!$AD$1:$BE$65000,$B634,F$5)=1,1,IF(INDEX([1]Pivot!$B$1:$AB$65000,$B634,F$5)="",2,0)),0)</f>
        <v>0</v>
      </c>
      <c r="G634" s="194">
        <f>IFERROR(IF(INDEX([1]Pivot!$AD$1:$BE$65000,$B634,G$5)=1,1,IF(INDEX([1]Pivot!$B$1:$AB$65000,$B634,G$5)="",2,0)),0)</f>
        <v>0</v>
      </c>
      <c r="H634" s="194">
        <f>IFERROR(IF(INDEX([1]Pivot!$AD$1:$BE$65000,$B634,H$5)=1,1,IF(INDEX([1]Pivot!$B$1:$AB$65000,$B634,H$5)="",2,0)),0)</f>
        <v>0</v>
      </c>
      <c r="I634" s="194">
        <f>IFERROR(IF(INDEX([1]Pivot!$AD$1:$BE$65000,$B634,I$5)=1,1,IF(INDEX([1]Pivot!$B$1:$AB$65000,$B634,I$5)="",2,0)),0)</f>
        <v>0</v>
      </c>
      <c r="J634" s="194">
        <f>IFERROR(IF(INDEX([1]Pivot!$AD$1:$BE$65000,$B634,J$5)=1,1,IF(INDEX([1]Pivot!$B$1:$AB$65000,$B634,J$5)="",2,0)),0)</f>
        <v>0</v>
      </c>
      <c r="K634" s="194">
        <f>IFERROR(IF(INDEX([1]Pivot!$AD$1:$BE$65000,$B634,K$5)=1,1,IF(INDEX([1]Pivot!$B$1:$AB$65000,$B634,K$5)="",2,0)),0)</f>
        <v>0</v>
      </c>
      <c r="L634" s="194">
        <f>IFERROR(IF(INDEX([1]Pivot!$AD$1:$BE$65000,$B634,L$5)=1,1,IF(INDEX([1]Pivot!$B$1:$AB$65000,$B634,L$5)="",2,0)),0)</f>
        <v>0</v>
      </c>
      <c r="M634" s="194">
        <f>IFERROR(IF(INDEX([1]Pivot!$AD$1:$BE$65000,$B634,M$5)=1,1,IF(INDEX([1]Pivot!$B$1:$AB$65000,$B634,M$5)="",2,0)),0)</f>
        <v>0</v>
      </c>
      <c r="N634" s="194">
        <f>IFERROR(IF(INDEX([1]Pivot!$AD$1:$BE$65000,$B634,N$5)=1,1,IF(INDEX([1]Pivot!$B$1:$AB$65000,$B634,N$5)="",2,0)),0)</f>
        <v>0</v>
      </c>
      <c r="O634" s="194">
        <f>IFERROR(IF(INDEX([1]Pivot!$AD$1:$BE$65000,$B634,O$5)=1,1,IF(INDEX([1]Pivot!$B$1:$AB$65000,$B634,O$5)="",2,0)),0)</f>
        <v>0</v>
      </c>
      <c r="P634" s="194">
        <f>IFERROR(IF(INDEX([1]Pivot!$AD$1:$BE$65000,$B634,P$5)=1,1,IF(INDEX([1]Pivot!$B$1:$AB$65000,$B634,P$5)="",2,0)),0)</f>
        <v>0</v>
      </c>
      <c r="Q634" s="194">
        <f>IFERROR(IF(INDEX([1]Pivot!$AD$1:$BE$65000,$B634,Q$5)=1,1,IF(INDEX([1]Pivot!$B$1:$AB$65000,$B634,Q$5)="",2,0)),0)</f>
        <v>0</v>
      </c>
      <c r="R634" s="312"/>
      <c r="S634" s="194">
        <f>IFERROR(IF(INDEX([1]Pivot!$AD$1:$BE$65000,$B634,S$5)=1,1,IF(INDEX([1]Pivot!$B$1:$AB$65000,$B634,S$5)="",2,0)),0)</f>
        <v>0</v>
      </c>
      <c r="T634" s="194">
        <f>IFERROR(IF(INDEX([1]Pivot!$AD$1:$BE$65000,$B634,T$5)=1,1,IF(INDEX([1]Pivot!$B$1:$AB$65000,$B634,T$5)="",2,0)),0)</f>
        <v>0</v>
      </c>
      <c r="U634" s="194">
        <f>IFERROR(IF(INDEX([1]Pivot!$AD$1:$BE$65000,$B634,U$5)=1,1,IF(INDEX([1]Pivot!$B$1:$AB$65000,$B634,U$5)="",2,0)),0)</f>
        <v>0</v>
      </c>
      <c r="V634" s="194">
        <f>IFERROR(IF(INDEX([1]Pivot!$AD$1:$BE$65000,$B634,V$5)=1,1,IF(INDEX([1]Pivot!$B$1:$AB$65000,$B634,V$5)="",2,0)),0)</f>
        <v>0</v>
      </c>
      <c r="W634" s="194">
        <f>IFERROR(IF(INDEX([1]Pivot!$AD$1:$BE$65000,$B634,W$5)=1,1,IF(INDEX([1]Pivot!$B$1:$AB$65000,$B634,W$5)="",2,0)),0)</f>
        <v>0</v>
      </c>
      <c r="X634" s="194">
        <f>IFERROR(IF(INDEX([1]Pivot!$AD$1:$BE$65000,$B634,X$5)=1,1,IF(INDEX([1]Pivot!$B$1:$AB$65000,$B634,X$5)="",2,0)),0)</f>
        <v>0</v>
      </c>
      <c r="Y634" s="194">
        <f>IFERROR(IF(INDEX([1]Pivot!$AD$1:$BE$65000,$B634,Y$5)=1,1,IF(INDEX([1]Pivot!$B$1:$AB$65000,$B634,Y$5)="",2,0)),0)</f>
        <v>0</v>
      </c>
      <c r="Z634" s="194">
        <f>IFERROR(IF(INDEX([1]Pivot!$AD$1:$BE$65000,$B634,Z$5)=1,1,IF(INDEX([1]Pivot!$B$1:$AB$65000,$B634,Z$5)="",2,0)),0)</f>
        <v>0</v>
      </c>
      <c r="AA634" s="194">
        <f>IFERROR(IF(INDEX([1]Pivot!$AD$1:$BE$65000,$B634,AA$5)=1,1,IF(INDEX([1]Pivot!$B$1:$AB$65000,$B634,AA$5)="",2,0)),0)</f>
        <v>0</v>
      </c>
      <c r="AB634" s="194">
        <f>IFERROR(IF(INDEX([1]Pivot!$AD$1:$BE$65000,$B634,AB$5)=1,1,IF(INDEX([1]Pivot!$B$1:$AB$65000,$B634,AB$5)="",2,0)),0)</f>
        <v>0</v>
      </c>
      <c r="AC634" s="194">
        <f>IFERROR(IF(INDEX([1]Pivot!$AD$1:$BE$65000,$B634,AC$5)=1,1,IF(INDEX([1]Pivot!$B$1:$AB$65000,$B634,AC$5)="",2,0)),0)</f>
        <v>0</v>
      </c>
      <c r="AD634" s="313">
        <f>IFERROR(IF(INDEX([1]Pivot!$BF$1:$CG$65000,$B634,AD$5)=1,1,IF(INDEX([1]Pivot!$B$1:$AB$65000,$B634,AD$5)="",2,0)),0)</f>
        <v>0</v>
      </c>
      <c r="AE634" s="313">
        <f>IFERROR(IF(INDEX([1]Pivot!$BF$1:$CG$65000,$B634,AE$5)=1,1,IF(INDEX([1]Pivot!$B$1:$AB$65000,$B634,AE$5)="",2,0)),0)</f>
        <v>0</v>
      </c>
      <c r="AF634" s="313">
        <f>IFERROR(IF(INDEX([1]Pivot!$BF$1:$CG$65000,$B634,AF$5)=1,1,IF(INDEX([1]Pivot!$B$1:$AB$65000,$B634,AF$5)="",2,0)),0)</f>
        <v>0</v>
      </c>
      <c r="AG634" s="313">
        <f>IFERROR(IF(INDEX([1]Pivot!$BF$1:$CG$65000,$B634,AG$5)=1,1,IF(INDEX([1]Pivot!$B$1:$AB$65000,$B634,AG$5)="",2,0)),0)</f>
        <v>0</v>
      </c>
      <c r="AH634" s="313">
        <f>IFERROR(IF(INDEX([1]Pivot!$BF$1:$CG$65000,$B634,AH$5)=1,1,IF(INDEX([1]Pivot!$B$1:$AB$65000,$B634,AH$5)="",2,0)),0)</f>
        <v>0</v>
      </c>
      <c r="AI634" s="313">
        <f>IFERROR(IF(INDEX([1]Pivot!$BF$1:$CG$65000,$B634,AI$5)=1,1,IF(INDEX([1]Pivot!$B$1:$AB$65000,$B634,AI$5)="",2,0)),0)</f>
        <v>0</v>
      </c>
      <c r="AJ634" s="313">
        <f>IFERROR(IF(INDEX([1]Pivot!$BF$1:$CG$65000,$B634,AJ$5)=1,1,IF(INDEX([1]Pivot!$B$1:$AB$65000,$B634,AJ$5)="",2,0)),0)</f>
        <v>0</v>
      </c>
      <c r="AK634" s="313">
        <f>IFERROR(IF(INDEX([1]Pivot!$BF$1:$CG$65000,$B634,AK$5)=1,1,IF(INDEX([1]Pivot!$B$1:$AB$65000,$B634,AK$5)="",2,0)),0)</f>
        <v>0</v>
      </c>
      <c r="AL634" s="313">
        <f>IFERROR(IF(INDEX([1]Pivot!$BF$1:$CG$65000,$B634,AL$5)=1,1,IF(INDEX([1]Pivot!$B$1:$AB$65000,$B634,AL$5)="",2,0)),0)</f>
        <v>0</v>
      </c>
      <c r="AM634" s="313">
        <f>IFERROR(IF(INDEX([1]Pivot!$BF$1:$CG$65000,$B634,AM$5)=1,1,IF(INDEX([1]Pivot!$B$1:$AB$65000,$B634,AM$5)="",2,0)),0)</f>
        <v>0</v>
      </c>
      <c r="AN634" s="313">
        <f>IFERROR(IF(INDEX([1]Pivot!$BF$1:$CG$65000,$B634,AN$5)=1,1,IF(INDEX([1]Pivot!$B$1:$AB$65000,$B634,AN$5)="",2,0)),0)</f>
        <v>0</v>
      </c>
      <c r="AO634" s="313">
        <f>IFERROR(IF(INDEX([1]Pivot!$BF$1:$CG$65000,$B634,AO$5)=1,1,IF(INDEX([1]Pivot!$B$1:$AB$65000,$B634,AO$5)="",2,0)),0)</f>
        <v>0</v>
      </c>
      <c r="AP634" s="313">
        <f>IFERROR(IF(INDEX([1]Pivot!$BF$1:$CG$65000,$B634,AP$5)=1,1,IF(INDEX([1]Pivot!$B$1:$AB$65000,$B634,AP$5)="",2,0)),0)</f>
        <v>0</v>
      </c>
      <c r="AQ634" s="313">
        <f>IFERROR(IF(INDEX([1]Pivot!$BF$1:$CG$65000,$B634,AQ$5)=1,1,IF(INDEX([1]Pivot!$B$1:$AB$65000,$B634,AQ$5)="",2,0)),0)</f>
        <v>0</v>
      </c>
      <c r="AR634" s="313">
        <f>IFERROR(IF(INDEX([1]Pivot!$BF$1:$CG$65000,$B634,AR$5)=1,1,IF(INDEX([1]Pivot!$B$1:$AB$65000,$B634,AR$5)="",2,0)),0)</f>
        <v>0</v>
      </c>
      <c r="AS634" s="312"/>
      <c r="AT634" s="313">
        <f>IFERROR(IF(INDEX([1]Pivot!$BF$1:$CG$65000,$B634,AT$5)=1,1,IF(INDEX([1]Pivot!$B$1:$AB$65000,$B634,AT$5)="",2,0)),0)</f>
        <v>0</v>
      </c>
      <c r="AU634" s="313">
        <f>IFERROR(IF(INDEX([1]Pivot!$BF$1:$CG$65000,$B634,AU$5)=1,1,IF(INDEX([1]Pivot!$B$1:$AB$65000,$B634,AU$5)="",2,0)),0)</f>
        <v>0</v>
      </c>
      <c r="AV634" s="313">
        <f>IFERROR(IF(INDEX([1]Pivot!$BF$1:$CG$65000,$B634,AV$5)=1,1,IF(INDEX([1]Pivot!$B$1:$AB$65000,$B634,AV$5)="",2,0)),0)</f>
        <v>0</v>
      </c>
      <c r="AW634" s="313">
        <f>IFERROR(IF(INDEX([1]Pivot!$BF$1:$CG$65000,$B634,AW$5)=1,1,IF(INDEX([1]Pivot!$B$1:$AB$65000,$B634,AW$5)="",2,0)),0)</f>
        <v>0</v>
      </c>
      <c r="AX634" s="313">
        <f>IFERROR(IF(INDEX([1]Pivot!$BF$1:$CG$65000,$B634,AX$5)=1,1,IF(INDEX([1]Pivot!$B$1:$AB$65000,$B634,AX$5)="",2,0)),0)</f>
        <v>0</v>
      </c>
      <c r="AY634" s="313">
        <f>IFERROR(IF(INDEX([1]Pivot!$BF$1:$CG$65000,$B634,AY$5)=1,1,IF(INDEX([1]Pivot!$B$1:$AB$65000,$B634,AY$5)="",2,0)),0)</f>
        <v>0</v>
      </c>
      <c r="AZ634" s="313">
        <f>IFERROR(IF(INDEX([1]Pivot!$BF$1:$CG$65000,$B634,AZ$5)=1,1,IF(INDEX([1]Pivot!$B$1:$AB$65000,$B634,AZ$5)="",2,0)),0)</f>
        <v>0</v>
      </c>
      <c r="BA634" s="313">
        <f>IFERROR(IF(INDEX([1]Pivot!$BF$1:$CG$65000,$B634,BA$5)=1,1,IF(INDEX([1]Pivot!$B$1:$AB$65000,$B634,BA$5)="",2,0)),0)</f>
        <v>0</v>
      </c>
      <c r="BB634" s="313">
        <f>IFERROR(IF(INDEX([1]Pivot!$BF$1:$CG$65000,$B634,BB$5)=1,1,IF(INDEX([1]Pivot!$B$1:$AB$65000,$B634,BB$5)="",2,0)),0)</f>
        <v>0</v>
      </c>
      <c r="BC634" s="313">
        <f>IFERROR(IF(INDEX([1]Pivot!$BF$1:$CG$65000,$B634,BC$5)=1,1,IF(INDEX([1]Pivot!$B$1:$AB$65000,$B634,BC$5)="",2,0)),0)</f>
        <v>0</v>
      </c>
      <c r="BD634" s="313">
        <f>IFERROR(IF(INDEX([1]Pivot!$BF$1:$CG$65000,$B634,BD$5)=1,1,IF(INDEX([1]Pivot!$B$1:$AB$65000,$B634,BD$5)="",2,0)),0)</f>
        <v>0</v>
      </c>
    </row>
    <row r="635" spans="1:56" x14ac:dyDescent="0.25">
      <c r="A635" s="288">
        <f>'[2]Raw Milk Prices'!A635</f>
        <v>0</v>
      </c>
      <c r="B635" s="296" t="e">
        <f>MATCH(DATE(LEFT('[2]Raw Milk Prices'!$A635,4),RIGHT('[2]Raw Milk Prices'!$A635,2),1),[1]Pivot!$A$1:$A$65000,0)</f>
        <v>#VALUE!</v>
      </c>
      <c r="C635" s="194">
        <f>IFERROR(IF(INDEX([1]Pivot!$AD$1:$BE$65000,$B635,C$5)=1,1,IF(INDEX([1]Pivot!$B$1:$AB$65000,$B635,C$5)="",2,0)),0)</f>
        <v>0</v>
      </c>
      <c r="D635" s="194">
        <f>IFERROR(IF(INDEX([1]Pivot!$AD$1:$BE$65000,$B635,D$5)=1,1,IF(INDEX([1]Pivot!$B$1:$AB$65000,$B635,D$5)="",2,0)),0)</f>
        <v>0</v>
      </c>
      <c r="E635" s="194">
        <f>IFERROR(IF(INDEX([1]Pivot!$AD$1:$BE$65000,$B635,E$5)=1,1,IF(INDEX([1]Pivot!$B$1:$AB$65000,$B635,E$5)="",2,0)),0)</f>
        <v>0</v>
      </c>
      <c r="F635" s="194">
        <f>IFERROR(IF(INDEX([1]Pivot!$AD$1:$BE$65000,$B635,F$5)=1,1,IF(INDEX([1]Pivot!$B$1:$AB$65000,$B635,F$5)="",2,0)),0)</f>
        <v>0</v>
      </c>
      <c r="G635" s="194">
        <f>IFERROR(IF(INDEX([1]Pivot!$AD$1:$BE$65000,$B635,G$5)=1,1,IF(INDEX([1]Pivot!$B$1:$AB$65000,$B635,G$5)="",2,0)),0)</f>
        <v>0</v>
      </c>
      <c r="H635" s="194">
        <f>IFERROR(IF(INDEX([1]Pivot!$AD$1:$BE$65000,$B635,H$5)=1,1,IF(INDEX([1]Pivot!$B$1:$AB$65000,$B635,H$5)="",2,0)),0)</f>
        <v>0</v>
      </c>
      <c r="I635" s="194">
        <f>IFERROR(IF(INDEX([1]Pivot!$AD$1:$BE$65000,$B635,I$5)=1,1,IF(INDEX([1]Pivot!$B$1:$AB$65000,$B635,I$5)="",2,0)),0)</f>
        <v>0</v>
      </c>
      <c r="J635" s="194">
        <f>IFERROR(IF(INDEX([1]Pivot!$AD$1:$BE$65000,$B635,J$5)=1,1,IF(INDEX([1]Pivot!$B$1:$AB$65000,$B635,J$5)="",2,0)),0)</f>
        <v>0</v>
      </c>
      <c r="K635" s="194">
        <f>IFERROR(IF(INDEX([1]Pivot!$AD$1:$BE$65000,$B635,K$5)=1,1,IF(INDEX([1]Pivot!$B$1:$AB$65000,$B635,K$5)="",2,0)),0)</f>
        <v>0</v>
      </c>
      <c r="L635" s="194">
        <f>IFERROR(IF(INDEX([1]Pivot!$AD$1:$BE$65000,$B635,L$5)=1,1,IF(INDEX([1]Pivot!$B$1:$AB$65000,$B635,L$5)="",2,0)),0)</f>
        <v>0</v>
      </c>
      <c r="M635" s="194">
        <f>IFERROR(IF(INDEX([1]Pivot!$AD$1:$BE$65000,$B635,M$5)=1,1,IF(INDEX([1]Pivot!$B$1:$AB$65000,$B635,M$5)="",2,0)),0)</f>
        <v>0</v>
      </c>
      <c r="N635" s="194">
        <f>IFERROR(IF(INDEX([1]Pivot!$AD$1:$BE$65000,$B635,N$5)=1,1,IF(INDEX([1]Pivot!$B$1:$AB$65000,$B635,N$5)="",2,0)),0)</f>
        <v>0</v>
      </c>
      <c r="O635" s="194">
        <f>IFERROR(IF(INDEX([1]Pivot!$AD$1:$BE$65000,$B635,O$5)=1,1,IF(INDEX([1]Pivot!$B$1:$AB$65000,$B635,O$5)="",2,0)),0)</f>
        <v>0</v>
      </c>
      <c r="P635" s="194">
        <f>IFERROR(IF(INDEX([1]Pivot!$AD$1:$BE$65000,$B635,P$5)=1,1,IF(INDEX([1]Pivot!$B$1:$AB$65000,$B635,P$5)="",2,0)),0)</f>
        <v>0</v>
      </c>
      <c r="Q635" s="194">
        <f>IFERROR(IF(INDEX([1]Pivot!$AD$1:$BE$65000,$B635,Q$5)=1,1,IF(INDEX([1]Pivot!$B$1:$AB$65000,$B635,Q$5)="",2,0)),0)</f>
        <v>0</v>
      </c>
      <c r="R635" s="312"/>
      <c r="S635" s="194">
        <f>IFERROR(IF(INDEX([1]Pivot!$AD$1:$BE$65000,$B635,S$5)=1,1,IF(INDEX([1]Pivot!$B$1:$AB$65000,$B635,S$5)="",2,0)),0)</f>
        <v>0</v>
      </c>
      <c r="T635" s="194">
        <f>IFERROR(IF(INDEX([1]Pivot!$AD$1:$BE$65000,$B635,T$5)=1,1,IF(INDEX([1]Pivot!$B$1:$AB$65000,$B635,T$5)="",2,0)),0)</f>
        <v>0</v>
      </c>
      <c r="U635" s="194">
        <f>IFERROR(IF(INDEX([1]Pivot!$AD$1:$BE$65000,$B635,U$5)=1,1,IF(INDEX([1]Pivot!$B$1:$AB$65000,$B635,U$5)="",2,0)),0)</f>
        <v>0</v>
      </c>
      <c r="V635" s="194">
        <f>IFERROR(IF(INDEX([1]Pivot!$AD$1:$BE$65000,$B635,V$5)=1,1,IF(INDEX([1]Pivot!$B$1:$AB$65000,$B635,V$5)="",2,0)),0)</f>
        <v>0</v>
      </c>
      <c r="W635" s="194">
        <f>IFERROR(IF(INDEX([1]Pivot!$AD$1:$BE$65000,$B635,W$5)=1,1,IF(INDEX([1]Pivot!$B$1:$AB$65000,$B635,W$5)="",2,0)),0)</f>
        <v>0</v>
      </c>
      <c r="X635" s="194">
        <f>IFERROR(IF(INDEX([1]Pivot!$AD$1:$BE$65000,$B635,X$5)=1,1,IF(INDEX([1]Pivot!$B$1:$AB$65000,$B635,X$5)="",2,0)),0)</f>
        <v>0</v>
      </c>
      <c r="Y635" s="194">
        <f>IFERROR(IF(INDEX([1]Pivot!$AD$1:$BE$65000,$B635,Y$5)=1,1,IF(INDEX([1]Pivot!$B$1:$AB$65000,$B635,Y$5)="",2,0)),0)</f>
        <v>0</v>
      </c>
      <c r="Z635" s="194">
        <f>IFERROR(IF(INDEX([1]Pivot!$AD$1:$BE$65000,$B635,Z$5)=1,1,IF(INDEX([1]Pivot!$B$1:$AB$65000,$B635,Z$5)="",2,0)),0)</f>
        <v>0</v>
      </c>
      <c r="AA635" s="194">
        <f>IFERROR(IF(INDEX([1]Pivot!$AD$1:$BE$65000,$B635,AA$5)=1,1,IF(INDEX([1]Pivot!$B$1:$AB$65000,$B635,AA$5)="",2,0)),0)</f>
        <v>0</v>
      </c>
      <c r="AB635" s="194">
        <f>IFERROR(IF(INDEX([1]Pivot!$AD$1:$BE$65000,$B635,AB$5)=1,1,IF(INDEX([1]Pivot!$B$1:$AB$65000,$B635,AB$5)="",2,0)),0)</f>
        <v>0</v>
      </c>
      <c r="AC635" s="194">
        <f>IFERROR(IF(INDEX([1]Pivot!$AD$1:$BE$65000,$B635,AC$5)=1,1,IF(INDEX([1]Pivot!$B$1:$AB$65000,$B635,AC$5)="",2,0)),0)</f>
        <v>0</v>
      </c>
      <c r="AD635" s="313">
        <f>IFERROR(IF(INDEX([1]Pivot!$BF$1:$CG$65000,$B635,AD$5)=1,1,IF(INDEX([1]Pivot!$B$1:$AB$65000,$B635,AD$5)="",2,0)),0)</f>
        <v>0</v>
      </c>
      <c r="AE635" s="313">
        <f>IFERROR(IF(INDEX([1]Pivot!$BF$1:$CG$65000,$B635,AE$5)=1,1,IF(INDEX([1]Pivot!$B$1:$AB$65000,$B635,AE$5)="",2,0)),0)</f>
        <v>0</v>
      </c>
      <c r="AF635" s="313">
        <f>IFERROR(IF(INDEX([1]Pivot!$BF$1:$CG$65000,$B635,AF$5)=1,1,IF(INDEX([1]Pivot!$B$1:$AB$65000,$B635,AF$5)="",2,0)),0)</f>
        <v>0</v>
      </c>
      <c r="AG635" s="313">
        <f>IFERROR(IF(INDEX([1]Pivot!$BF$1:$CG$65000,$B635,AG$5)=1,1,IF(INDEX([1]Pivot!$B$1:$AB$65000,$B635,AG$5)="",2,0)),0)</f>
        <v>0</v>
      </c>
      <c r="AH635" s="313">
        <f>IFERROR(IF(INDEX([1]Pivot!$BF$1:$CG$65000,$B635,AH$5)=1,1,IF(INDEX([1]Pivot!$B$1:$AB$65000,$B635,AH$5)="",2,0)),0)</f>
        <v>0</v>
      </c>
      <c r="AI635" s="313">
        <f>IFERROR(IF(INDEX([1]Pivot!$BF$1:$CG$65000,$B635,AI$5)=1,1,IF(INDEX([1]Pivot!$B$1:$AB$65000,$B635,AI$5)="",2,0)),0)</f>
        <v>0</v>
      </c>
      <c r="AJ635" s="313">
        <f>IFERROR(IF(INDEX([1]Pivot!$BF$1:$CG$65000,$B635,AJ$5)=1,1,IF(INDEX([1]Pivot!$B$1:$AB$65000,$B635,AJ$5)="",2,0)),0)</f>
        <v>0</v>
      </c>
      <c r="AK635" s="313">
        <f>IFERROR(IF(INDEX([1]Pivot!$BF$1:$CG$65000,$B635,AK$5)=1,1,IF(INDEX([1]Pivot!$B$1:$AB$65000,$B635,AK$5)="",2,0)),0)</f>
        <v>0</v>
      </c>
      <c r="AL635" s="313">
        <f>IFERROR(IF(INDEX([1]Pivot!$BF$1:$CG$65000,$B635,AL$5)=1,1,IF(INDEX([1]Pivot!$B$1:$AB$65000,$B635,AL$5)="",2,0)),0)</f>
        <v>0</v>
      </c>
      <c r="AM635" s="313">
        <f>IFERROR(IF(INDEX([1]Pivot!$BF$1:$CG$65000,$B635,AM$5)=1,1,IF(INDEX([1]Pivot!$B$1:$AB$65000,$B635,AM$5)="",2,0)),0)</f>
        <v>0</v>
      </c>
      <c r="AN635" s="313">
        <f>IFERROR(IF(INDEX([1]Pivot!$BF$1:$CG$65000,$B635,AN$5)=1,1,IF(INDEX([1]Pivot!$B$1:$AB$65000,$B635,AN$5)="",2,0)),0)</f>
        <v>0</v>
      </c>
      <c r="AO635" s="313">
        <f>IFERROR(IF(INDEX([1]Pivot!$BF$1:$CG$65000,$B635,AO$5)=1,1,IF(INDEX([1]Pivot!$B$1:$AB$65000,$B635,AO$5)="",2,0)),0)</f>
        <v>0</v>
      </c>
      <c r="AP635" s="313">
        <f>IFERROR(IF(INDEX([1]Pivot!$BF$1:$CG$65000,$B635,AP$5)=1,1,IF(INDEX([1]Pivot!$B$1:$AB$65000,$B635,AP$5)="",2,0)),0)</f>
        <v>0</v>
      </c>
      <c r="AQ635" s="313">
        <f>IFERROR(IF(INDEX([1]Pivot!$BF$1:$CG$65000,$B635,AQ$5)=1,1,IF(INDEX([1]Pivot!$B$1:$AB$65000,$B635,AQ$5)="",2,0)),0)</f>
        <v>0</v>
      </c>
      <c r="AR635" s="313">
        <f>IFERROR(IF(INDEX([1]Pivot!$BF$1:$CG$65000,$B635,AR$5)=1,1,IF(INDEX([1]Pivot!$B$1:$AB$65000,$B635,AR$5)="",2,0)),0)</f>
        <v>0</v>
      </c>
      <c r="AS635" s="312"/>
      <c r="AT635" s="313">
        <f>IFERROR(IF(INDEX([1]Pivot!$BF$1:$CG$65000,$B635,AT$5)=1,1,IF(INDEX([1]Pivot!$B$1:$AB$65000,$B635,AT$5)="",2,0)),0)</f>
        <v>0</v>
      </c>
      <c r="AU635" s="313">
        <f>IFERROR(IF(INDEX([1]Pivot!$BF$1:$CG$65000,$B635,AU$5)=1,1,IF(INDEX([1]Pivot!$B$1:$AB$65000,$B635,AU$5)="",2,0)),0)</f>
        <v>0</v>
      </c>
      <c r="AV635" s="313">
        <f>IFERROR(IF(INDEX([1]Pivot!$BF$1:$CG$65000,$B635,AV$5)=1,1,IF(INDEX([1]Pivot!$B$1:$AB$65000,$B635,AV$5)="",2,0)),0)</f>
        <v>0</v>
      </c>
      <c r="AW635" s="313">
        <f>IFERROR(IF(INDEX([1]Pivot!$BF$1:$CG$65000,$B635,AW$5)=1,1,IF(INDEX([1]Pivot!$B$1:$AB$65000,$B635,AW$5)="",2,0)),0)</f>
        <v>0</v>
      </c>
      <c r="AX635" s="313">
        <f>IFERROR(IF(INDEX([1]Pivot!$BF$1:$CG$65000,$B635,AX$5)=1,1,IF(INDEX([1]Pivot!$B$1:$AB$65000,$B635,AX$5)="",2,0)),0)</f>
        <v>0</v>
      </c>
      <c r="AY635" s="313">
        <f>IFERROR(IF(INDEX([1]Pivot!$BF$1:$CG$65000,$B635,AY$5)=1,1,IF(INDEX([1]Pivot!$B$1:$AB$65000,$B635,AY$5)="",2,0)),0)</f>
        <v>0</v>
      </c>
      <c r="AZ635" s="313">
        <f>IFERROR(IF(INDEX([1]Pivot!$BF$1:$CG$65000,$B635,AZ$5)=1,1,IF(INDEX([1]Pivot!$B$1:$AB$65000,$B635,AZ$5)="",2,0)),0)</f>
        <v>0</v>
      </c>
      <c r="BA635" s="313">
        <f>IFERROR(IF(INDEX([1]Pivot!$BF$1:$CG$65000,$B635,BA$5)=1,1,IF(INDEX([1]Pivot!$B$1:$AB$65000,$B635,BA$5)="",2,0)),0)</f>
        <v>0</v>
      </c>
      <c r="BB635" s="313">
        <f>IFERROR(IF(INDEX([1]Pivot!$BF$1:$CG$65000,$B635,BB$5)=1,1,IF(INDEX([1]Pivot!$B$1:$AB$65000,$B635,BB$5)="",2,0)),0)</f>
        <v>0</v>
      </c>
      <c r="BC635" s="313">
        <f>IFERROR(IF(INDEX([1]Pivot!$BF$1:$CG$65000,$B635,BC$5)=1,1,IF(INDEX([1]Pivot!$B$1:$AB$65000,$B635,BC$5)="",2,0)),0)</f>
        <v>0</v>
      </c>
      <c r="BD635" s="313">
        <f>IFERROR(IF(INDEX([1]Pivot!$BF$1:$CG$65000,$B635,BD$5)=1,1,IF(INDEX([1]Pivot!$B$1:$AB$65000,$B635,BD$5)="",2,0)),0)</f>
        <v>0</v>
      </c>
    </row>
    <row r="636" spans="1:56" x14ac:dyDescent="0.25">
      <c r="A636" s="288">
        <f>'[2]Raw Milk Prices'!A636</f>
        <v>0</v>
      </c>
      <c r="B636" s="296" t="e">
        <f>MATCH(DATE(LEFT('[2]Raw Milk Prices'!$A636,4),RIGHT('[2]Raw Milk Prices'!$A636,2),1),[1]Pivot!$A$1:$A$65000,0)</f>
        <v>#VALUE!</v>
      </c>
      <c r="C636" s="194">
        <f>IFERROR(IF(INDEX([1]Pivot!$AD$1:$BE$65000,$B636,C$5)=1,1,IF(INDEX([1]Pivot!$B$1:$AB$65000,$B636,C$5)="",2,0)),0)</f>
        <v>0</v>
      </c>
      <c r="D636" s="194">
        <f>IFERROR(IF(INDEX([1]Pivot!$AD$1:$BE$65000,$B636,D$5)=1,1,IF(INDEX([1]Pivot!$B$1:$AB$65000,$B636,D$5)="",2,0)),0)</f>
        <v>0</v>
      </c>
      <c r="E636" s="194">
        <f>IFERROR(IF(INDEX([1]Pivot!$AD$1:$BE$65000,$B636,E$5)=1,1,IF(INDEX([1]Pivot!$B$1:$AB$65000,$B636,E$5)="",2,0)),0)</f>
        <v>0</v>
      </c>
      <c r="F636" s="194">
        <f>IFERROR(IF(INDEX([1]Pivot!$AD$1:$BE$65000,$B636,F$5)=1,1,IF(INDEX([1]Pivot!$B$1:$AB$65000,$B636,F$5)="",2,0)),0)</f>
        <v>0</v>
      </c>
      <c r="G636" s="194">
        <f>IFERROR(IF(INDEX([1]Pivot!$AD$1:$BE$65000,$B636,G$5)=1,1,IF(INDEX([1]Pivot!$B$1:$AB$65000,$B636,G$5)="",2,0)),0)</f>
        <v>0</v>
      </c>
      <c r="H636" s="194">
        <f>IFERROR(IF(INDEX([1]Pivot!$AD$1:$BE$65000,$B636,H$5)=1,1,IF(INDEX([1]Pivot!$B$1:$AB$65000,$B636,H$5)="",2,0)),0)</f>
        <v>0</v>
      </c>
      <c r="I636" s="194">
        <f>IFERROR(IF(INDEX([1]Pivot!$AD$1:$BE$65000,$B636,I$5)=1,1,IF(INDEX([1]Pivot!$B$1:$AB$65000,$B636,I$5)="",2,0)),0)</f>
        <v>0</v>
      </c>
      <c r="J636" s="194">
        <f>IFERROR(IF(INDEX([1]Pivot!$AD$1:$BE$65000,$B636,J$5)=1,1,IF(INDEX([1]Pivot!$B$1:$AB$65000,$B636,J$5)="",2,0)),0)</f>
        <v>0</v>
      </c>
      <c r="K636" s="194">
        <f>IFERROR(IF(INDEX([1]Pivot!$AD$1:$BE$65000,$B636,K$5)=1,1,IF(INDEX([1]Pivot!$B$1:$AB$65000,$B636,K$5)="",2,0)),0)</f>
        <v>0</v>
      </c>
      <c r="L636" s="194">
        <f>IFERROR(IF(INDEX([1]Pivot!$AD$1:$BE$65000,$B636,L$5)=1,1,IF(INDEX([1]Pivot!$B$1:$AB$65000,$B636,L$5)="",2,0)),0)</f>
        <v>0</v>
      </c>
      <c r="M636" s="194">
        <f>IFERROR(IF(INDEX([1]Pivot!$AD$1:$BE$65000,$B636,M$5)=1,1,IF(INDEX([1]Pivot!$B$1:$AB$65000,$B636,M$5)="",2,0)),0)</f>
        <v>0</v>
      </c>
      <c r="N636" s="194">
        <f>IFERROR(IF(INDEX([1]Pivot!$AD$1:$BE$65000,$B636,N$5)=1,1,IF(INDEX([1]Pivot!$B$1:$AB$65000,$B636,N$5)="",2,0)),0)</f>
        <v>0</v>
      </c>
      <c r="O636" s="194">
        <f>IFERROR(IF(INDEX([1]Pivot!$AD$1:$BE$65000,$B636,O$5)=1,1,IF(INDEX([1]Pivot!$B$1:$AB$65000,$B636,O$5)="",2,0)),0)</f>
        <v>0</v>
      </c>
      <c r="P636" s="194">
        <f>IFERROR(IF(INDEX([1]Pivot!$AD$1:$BE$65000,$B636,P$5)=1,1,IF(INDEX([1]Pivot!$B$1:$AB$65000,$B636,P$5)="",2,0)),0)</f>
        <v>0</v>
      </c>
      <c r="Q636" s="194">
        <f>IFERROR(IF(INDEX([1]Pivot!$AD$1:$BE$65000,$B636,Q$5)=1,1,IF(INDEX([1]Pivot!$B$1:$AB$65000,$B636,Q$5)="",2,0)),0)</f>
        <v>0</v>
      </c>
      <c r="R636" s="312"/>
      <c r="S636" s="194">
        <f>IFERROR(IF(INDEX([1]Pivot!$AD$1:$BE$65000,$B636,S$5)=1,1,IF(INDEX([1]Pivot!$B$1:$AB$65000,$B636,S$5)="",2,0)),0)</f>
        <v>0</v>
      </c>
      <c r="T636" s="194">
        <f>IFERROR(IF(INDEX([1]Pivot!$AD$1:$BE$65000,$B636,T$5)=1,1,IF(INDEX([1]Pivot!$B$1:$AB$65000,$B636,T$5)="",2,0)),0)</f>
        <v>0</v>
      </c>
      <c r="U636" s="194">
        <f>IFERROR(IF(INDEX([1]Pivot!$AD$1:$BE$65000,$B636,U$5)=1,1,IF(INDEX([1]Pivot!$B$1:$AB$65000,$B636,U$5)="",2,0)),0)</f>
        <v>0</v>
      </c>
      <c r="V636" s="194">
        <f>IFERROR(IF(INDEX([1]Pivot!$AD$1:$BE$65000,$B636,V$5)=1,1,IF(INDEX([1]Pivot!$B$1:$AB$65000,$B636,V$5)="",2,0)),0)</f>
        <v>0</v>
      </c>
      <c r="W636" s="194">
        <f>IFERROR(IF(INDEX([1]Pivot!$AD$1:$BE$65000,$B636,W$5)=1,1,IF(INDEX([1]Pivot!$B$1:$AB$65000,$B636,W$5)="",2,0)),0)</f>
        <v>0</v>
      </c>
      <c r="X636" s="194">
        <f>IFERROR(IF(INDEX([1]Pivot!$AD$1:$BE$65000,$B636,X$5)=1,1,IF(INDEX([1]Pivot!$B$1:$AB$65000,$B636,X$5)="",2,0)),0)</f>
        <v>0</v>
      </c>
      <c r="Y636" s="194">
        <f>IFERROR(IF(INDEX([1]Pivot!$AD$1:$BE$65000,$B636,Y$5)=1,1,IF(INDEX([1]Pivot!$B$1:$AB$65000,$B636,Y$5)="",2,0)),0)</f>
        <v>0</v>
      </c>
      <c r="Z636" s="194">
        <f>IFERROR(IF(INDEX([1]Pivot!$AD$1:$BE$65000,$B636,Z$5)=1,1,IF(INDEX([1]Pivot!$B$1:$AB$65000,$B636,Z$5)="",2,0)),0)</f>
        <v>0</v>
      </c>
      <c r="AA636" s="194">
        <f>IFERROR(IF(INDEX([1]Pivot!$AD$1:$BE$65000,$B636,AA$5)=1,1,IF(INDEX([1]Pivot!$B$1:$AB$65000,$B636,AA$5)="",2,0)),0)</f>
        <v>0</v>
      </c>
      <c r="AB636" s="194">
        <f>IFERROR(IF(INDEX([1]Pivot!$AD$1:$BE$65000,$B636,AB$5)=1,1,IF(INDEX([1]Pivot!$B$1:$AB$65000,$B636,AB$5)="",2,0)),0)</f>
        <v>0</v>
      </c>
      <c r="AC636" s="194">
        <f>IFERROR(IF(INDEX([1]Pivot!$AD$1:$BE$65000,$B636,AC$5)=1,1,IF(INDEX([1]Pivot!$B$1:$AB$65000,$B636,AC$5)="",2,0)),0)</f>
        <v>0</v>
      </c>
      <c r="AD636" s="313">
        <f>IFERROR(IF(INDEX([1]Pivot!$BF$1:$CG$65000,$B636,AD$5)=1,1,IF(INDEX([1]Pivot!$B$1:$AB$65000,$B636,AD$5)="",2,0)),0)</f>
        <v>0</v>
      </c>
      <c r="AE636" s="313">
        <f>IFERROR(IF(INDEX([1]Pivot!$BF$1:$CG$65000,$B636,AE$5)=1,1,IF(INDEX([1]Pivot!$B$1:$AB$65000,$B636,AE$5)="",2,0)),0)</f>
        <v>0</v>
      </c>
      <c r="AF636" s="313">
        <f>IFERROR(IF(INDEX([1]Pivot!$BF$1:$CG$65000,$B636,AF$5)=1,1,IF(INDEX([1]Pivot!$B$1:$AB$65000,$B636,AF$5)="",2,0)),0)</f>
        <v>0</v>
      </c>
      <c r="AG636" s="313">
        <f>IFERROR(IF(INDEX([1]Pivot!$BF$1:$CG$65000,$B636,AG$5)=1,1,IF(INDEX([1]Pivot!$B$1:$AB$65000,$B636,AG$5)="",2,0)),0)</f>
        <v>0</v>
      </c>
      <c r="AH636" s="313">
        <f>IFERROR(IF(INDEX([1]Pivot!$BF$1:$CG$65000,$B636,AH$5)=1,1,IF(INDEX([1]Pivot!$B$1:$AB$65000,$B636,AH$5)="",2,0)),0)</f>
        <v>0</v>
      </c>
      <c r="AI636" s="313">
        <f>IFERROR(IF(INDEX([1]Pivot!$BF$1:$CG$65000,$B636,AI$5)=1,1,IF(INDEX([1]Pivot!$B$1:$AB$65000,$B636,AI$5)="",2,0)),0)</f>
        <v>0</v>
      </c>
      <c r="AJ636" s="313">
        <f>IFERROR(IF(INDEX([1]Pivot!$BF$1:$CG$65000,$B636,AJ$5)=1,1,IF(INDEX([1]Pivot!$B$1:$AB$65000,$B636,AJ$5)="",2,0)),0)</f>
        <v>0</v>
      </c>
      <c r="AK636" s="313">
        <f>IFERROR(IF(INDEX([1]Pivot!$BF$1:$CG$65000,$B636,AK$5)=1,1,IF(INDEX([1]Pivot!$B$1:$AB$65000,$B636,AK$5)="",2,0)),0)</f>
        <v>0</v>
      </c>
      <c r="AL636" s="313">
        <f>IFERROR(IF(INDEX([1]Pivot!$BF$1:$CG$65000,$B636,AL$5)=1,1,IF(INDEX([1]Pivot!$B$1:$AB$65000,$B636,AL$5)="",2,0)),0)</f>
        <v>0</v>
      </c>
      <c r="AM636" s="313">
        <f>IFERROR(IF(INDEX([1]Pivot!$BF$1:$CG$65000,$B636,AM$5)=1,1,IF(INDEX([1]Pivot!$B$1:$AB$65000,$B636,AM$5)="",2,0)),0)</f>
        <v>0</v>
      </c>
      <c r="AN636" s="313">
        <f>IFERROR(IF(INDEX([1]Pivot!$BF$1:$CG$65000,$B636,AN$5)=1,1,IF(INDEX([1]Pivot!$B$1:$AB$65000,$B636,AN$5)="",2,0)),0)</f>
        <v>0</v>
      </c>
      <c r="AO636" s="313">
        <f>IFERROR(IF(INDEX([1]Pivot!$BF$1:$CG$65000,$B636,AO$5)=1,1,IF(INDEX([1]Pivot!$B$1:$AB$65000,$B636,AO$5)="",2,0)),0)</f>
        <v>0</v>
      </c>
      <c r="AP636" s="313">
        <f>IFERROR(IF(INDEX([1]Pivot!$BF$1:$CG$65000,$B636,AP$5)=1,1,IF(INDEX([1]Pivot!$B$1:$AB$65000,$B636,AP$5)="",2,0)),0)</f>
        <v>0</v>
      </c>
      <c r="AQ636" s="313">
        <f>IFERROR(IF(INDEX([1]Pivot!$BF$1:$CG$65000,$B636,AQ$5)=1,1,IF(INDEX([1]Pivot!$B$1:$AB$65000,$B636,AQ$5)="",2,0)),0)</f>
        <v>0</v>
      </c>
      <c r="AR636" s="313">
        <f>IFERROR(IF(INDEX([1]Pivot!$BF$1:$CG$65000,$B636,AR$5)=1,1,IF(INDEX([1]Pivot!$B$1:$AB$65000,$B636,AR$5)="",2,0)),0)</f>
        <v>0</v>
      </c>
      <c r="AS636" s="312"/>
      <c r="AT636" s="313">
        <f>IFERROR(IF(INDEX([1]Pivot!$BF$1:$CG$65000,$B636,AT$5)=1,1,IF(INDEX([1]Pivot!$B$1:$AB$65000,$B636,AT$5)="",2,0)),0)</f>
        <v>0</v>
      </c>
      <c r="AU636" s="313">
        <f>IFERROR(IF(INDEX([1]Pivot!$BF$1:$CG$65000,$B636,AU$5)=1,1,IF(INDEX([1]Pivot!$B$1:$AB$65000,$B636,AU$5)="",2,0)),0)</f>
        <v>0</v>
      </c>
      <c r="AV636" s="313">
        <f>IFERROR(IF(INDEX([1]Pivot!$BF$1:$CG$65000,$B636,AV$5)=1,1,IF(INDEX([1]Pivot!$B$1:$AB$65000,$B636,AV$5)="",2,0)),0)</f>
        <v>0</v>
      </c>
      <c r="AW636" s="313">
        <f>IFERROR(IF(INDEX([1]Pivot!$BF$1:$CG$65000,$B636,AW$5)=1,1,IF(INDEX([1]Pivot!$B$1:$AB$65000,$B636,AW$5)="",2,0)),0)</f>
        <v>0</v>
      </c>
      <c r="AX636" s="313">
        <f>IFERROR(IF(INDEX([1]Pivot!$BF$1:$CG$65000,$B636,AX$5)=1,1,IF(INDEX([1]Pivot!$B$1:$AB$65000,$B636,AX$5)="",2,0)),0)</f>
        <v>0</v>
      </c>
      <c r="AY636" s="313">
        <f>IFERROR(IF(INDEX([1]Pivot!$BF$1:$CG$65000,$B636,AY$5)=1,1,IF(INDEX([1]Pivot!$B$1:$AB$65000,$B636,AY$5)="",2,0)),0)</f>
        <v>0</v>
      </c>
      <c r="AZ636" s="313">
        <f>IFERROR(IF(INDEX([1]Pivot!$BF$1:$CG$65000,$B636,AZ$5)=1,1,IF(INDEX([1]Pivot!$B$1:$AB$65000,$B636,AZ$5)="",2,0)),0)</f>
        <v>0</v>
      </c>
      <c r="BA636" s="313">
        <f>IFERROR(IF(INDEX([1]Pivot!$BF$1:$CG$65000,$B636,BA$5)=1,1,IF(INDEX([1]Pivot!$B$1:$AB$65000,$B636,BA$5)="",2,0)),0)</f>
        <v>0</v>
      </c>
      <c r="BB636" s="313">
        <f>IFERROR(IF(INDEX([1]Pivot!$BF$1:$CG$65000,$B636,BB$5)=1,1,IF(INDEX([1]Pivot!$B$1:$AB$65000,$B636,BB$5)="",2,0)),0)</f>
        <v>0</v>
      </c>
      <c r="BC636" s="313">
        <f>IFERROR(IF(INDEX([1]Pivot!$BF$1:$CG$65000,$B636,BC$5)=1,1,IF(INDEX([1]Pivot!$B$1:$AB$65000,$B636,BC$5)="",2,0)),0)</f>
        <v>0</v>
      </c>
      <c r="BD636" s="313">
        <f>IFERROR(IF(INDEX([1]Pivot!$BF$1:$CG$65000,$B636,BD$5)=1,1,IF(INDEX([1]Pivot!$B$1:$AB$65000,$B636,BD$5)="",2,0)),0)</f>
        <v>0</v>
      </c>
    </row>
    <row r="637" spans="1:56" x14ac:dyDescent="0.25">
      <c r="A637" s="288">
        <f>'[2]Raw Milk Prices'!A637</f>
        <v>0</v>
      </c>
      <c r="B637" s="296" t="e">
        <f>MATCH(DATE(LEFT('[2]Raw Milk Prices'!$A637,4),RIGHT('[2]Raw Milk Prices'!$A637,2),1),[1]Pivot!$A$1:$A$65000,0)</f>
        <v>#VALUE!</v>
      </c>
      <c r="C637" s="194">
        <f>IFERROR(IF(INDEX([1]Pivot!$AD$1:$BE$65000,$B637,C$5)=1,1,IF(INDEX([1]Pivot!$B$1:$AB$65000,$B637,C$5)="",2,0)),0)</f>
        <v>0</v>
      </c>
      <c r="D637" s="194">
        <f>IFERROR(IF(INDEX([1]Pivot!$AD$1:$BE$65000,$B637,D$5)=1,1,IF(INDEX([1]Pivot!$B$1:$AB$65000,$B637,D$5)="",2,0)),0)</f>
        <v>0</v>
      </c>
      <c r="E637" s="194">
        <f>IFERROR(IF(INDEX([1]Pivot!$AD$1:$BE$65000,$B637,E$5)=1,1,IF(INDEX([1]Pivot!$B$1:$AB$65000,$B637,E$5)="",2,0)),0)</f>
        <v>0</v>
      </c>
      <c r="F637" s="194">
        <f>IFERROR(IF(INDEX([1]Pivot!$AD$1:$BE$65000,$B637,F$5)=1,1,IF(INDEX([1]Pivot!$B$1:$AB$65000,$B637,F$5)="",2,0)),0)</f>
        <v>0</v>
      </c>
      <c r="G637" s="194">
        <f>IFERROR(IF(INDEX([1]Pivot!$AD$1:$BE$65000,$B637,G$5)=1,1,IF(INDEX([1]Pivot!$B$1:$AB$65000,$B637,G$5)="",2,0)),0)</f>
        <v>0</v>
      </c>
      <c r="H637" s="194">
        <f>IFERROR(IF(INDEX([1]Pivot!$AD$1:$BE$65000,$B637,H$5)=1,1,IF(INDEX([1]Pivot!$B$1:$AB$65000,$B637,H$5)="",2,0)),0)</f>
        <v>0</v>
      </c>
      <c r="I637" s="194">
        <f>IFERROR(IF(INDEX([1]Pivot!$AD$1:$BE$65000,$B637,I$5)=1,1,IF(INDEX([1]Pivot!$B$1:$AB$65000,$B637,I$5)="",2,0)),0)</f>
        <v>0</v>
      </c>
      <c r="J637" s="194">
        <f>IFERROR(IF(INDEX([1]Pivot!$AD$1:$BE$65000,$B637,J$5)=1,1,IF(INDEX([1]Pivot!$B$1:$AB$65000,$B637,J$5)="",2,0)),0)</f>
        <v>0</v>
      </c>
      <c r="K637" s="194">
        <f>IFERROR(IF(INDEX([1]Pivot!$AD$1:$BE$65000,$B637,K$5)=1,1,IF(INDEX([1]Pivot!$B$1:$AB$65000,$B637,K$5)="",2,0)),0)</f>
        <v>0</v>
      </c>
      <c r="L637" s="194">
        <f>IFERROR(IF(INDEX([1]Pivot!$AD$1:$BE$65000,$B637,L$5)=1,1,IF(INDEX([1]Pivot!$B$1:$AB$65000,$B637,L$5)="",2,0)),0)</f>
        <v>0</v>
      </c>
      <c r="M637" s="194">
        <f>IFERROR(IF(INDEX([1]Pivot!$AD$1:$BE$65000,$B637,M$5)=1,1,IF(INDEX([1]Pivot!$B$1:$AB$65000,$B637,M$5)="",2,0)),0)</f>
        <v>0</v>
      </c>
      <c r="N637" s="194">
        <f>IFERROR(IF(INDEX([1]Pivot!$AD$1:$BE$65000,$B637,N$5)=1,1,IF(INDEX([1]Pivot!$B$1:$AB$65000,$B637,N$5)="",2,0)),0)</f>
        <v>0</v>
      </c>
      <c r="O637" s="194">
        <f>IFERROR(IF(INDEX([1]Pivot!$AD$1:$BE$65000,$B637,O$5)=1,1,IF(INDEX([1]Pivot!$B$1:$AB$65000,$B637,O$5)="",2,0)),0)</f>
        <v>0</v>
      </c>
      <c r="P637" s="194">
        <f>IFERROR(IF(INDEX([1]Pivot!$AD$1:$BE$65000,$B637,P$5)=1,1,IF(INDEX([1]Pivot!$B$1:$AB$65000,$B637,P$5)="",2,0)),0)</f>
        <v>0</v>
      </c>
      <c r="Q637" s="194">
        <f>IFERROR(IF(INDEX([1]Pivot!$AD$1:$BE$65000,$B637,Q$5)=1,1,IF(INDEX([1]Pivot!$B$1:$AB$65000,$B637,Q$5)="",2,0)),0)</f>
        <v>0</v>
      </c>
      <c r="R637" s="312"/>
      <c r="S637" s="194">
        <f>IFERROR(IF(INDEX([1]Pivot!$AD$1:$BE$65000,$B637,S$5)=1,1,IF(INDEX([1]Pivot!$B$1:$AB$65000,$B637,S$5)="",2,0)),0)</f>
        <v>0</v>
      </c>
      <c r="T637" s="194">
        <f>IFERROR(IF(INDEX([1]Pivot!$AD$1:$BE$65000,$B637,T$5)=1,1,IF(INDEX([1]Pivot!$B$1:$AB$65000,$B637,T$5)="",2,0)),0)</f>
        <v>0</v>
      </c>
      <c r="U637" s="194">
        <f>IFERROR(IF(INDEX([1]Pivot!$AD$1:$BE$65000,$B637,U$5)=1,1,IF(INDEX([1]Pivot!$B$1:$AB$65000,$B637,U$5)="",2,0)),0)</f>
        <v>0</v>
      </c>
      <c r="V637" s="194">
        <f>IFERROR(IF(INDEX([1]Pivot!$AD$1:$BE$65000,$B637,V$5)=1,1,IF(INDEX([1]Pivot!$B$1:$AB$65000,$B637,V$5)="",2,0)),0)</f>
        <v>0</v>
      </c>
      <c r="W637" s="194">
        <f>IFERROR(IF(INDEX([1]Pivot!$AD$1:$BE$65000,$B637,W$5)=1,1,IF(INDEX([1]Pivot!$B$1:$AB$65000,$B637,W$5)="",2,0)),0)</f>
        <v>0</v>
      </c>
      <c r="X637" s="194">
        <f>IFERROR(IF(INDEX([1]Pivot!$AD$1:$BE$65000,$B637,X$5)=1,1,IF(INDEX([1]Pivot!$B$1:$AB$65000,$B637,X$5)="",2,0)),0)</f>
        <v>0</v>
      </c>
      <c r="Y637" s="194">
        <f>IFERROR(IF(INDEX([1]Pivot!$AD$1:$BE$65000,$B637,Y$5)=1,1,IF(INDEX([1]Pivot!$B$1:$AB$65000,$B637,Y$5)="",2,0)),0)</f>
        <v>0</v>
      </c>
      <c r="Z637" s="194">
        <f>IFERROR(IF(INDEX([1]Pivot!$AD$1:$BE$65000,$B637,Z$5)=1,1,IF(INDEX([1]Pivot!$B$1:$AB$65000,$B637,Z$5)="",2,0)),0)</f>
        <v>0</v>
      </c>
      <c r="AA637" s="194">
        <f>IFERROR(IF(INDEX([1]Pivot!$AD$1:$BE$65000,$B637,AA$5)=1,1,IF(INDEX([1]Pivot!$B$1:$AB$65000,$B637,AA$5)="",2,0)),0)</f>
        <v>0</v>
      </c>
      <c r="AB637" s="194">
        <f>IFERROR(IF(INDEX([1]Pivot!$AD$1:$BE$65000,$B637,AB$5)=1,1,IF(INDEX([1]Pivot!$B$1:$AB$65000,$B637,AB$5)="",2,0)),0)</f>
        <v>0</v>
      </c>
      <c r="AC637" s="194">
        <f>IFERROR(IF(INDEX([1]Pivot!$AD$1:$BE$65000,$B637,AC$5)=1,1,IF(INDEX([1]Pivot!$B$1:$AB$65000,$B637,AC$5)="",2,0)),0)</f>
        <v>0</v>
      </c>
      <c r="AD637" s="313">
        <f>IFERROR(IF(INDEX([1]Pivot!$BF$1:$CG$65000,$B637,AD$5)=1,1,IF(INDEX([1]Pivot!$B$1:$AB$65000,$B637,AD$5)="",2,0)),0)</f>
        <v>0</v>
      </c>
      <c r="AE637" s="313">
        <f>IFERROR(IF(INDEX([1]Pivot!$BF$1:$CG$65000,$B637,AE$5)=1,1,IF(INDEX([1]Pivot!$B$1:$AB$65000,$B637,AE$5)="",2,0)),0)</f>
        <v>0</v>
      </c>
      <c r="AF637" s="313">
        <f>IFERROR(IF(INDEX([1]Pivot!$BF$1:$CG$65000,$B637,AF$5)=1,1,IF(INDEX([1]Pivot!$B$1:$AB$65000,$B637,AF$5)="",2,0)),0)</f>
        <v>0</v>
      </c>
      <c r="AG637" s="313">
        <f>IFERROR(IF(INDEX([1]Pivot!$BF$1:$CG$65000,$B637,AG$5)=1,1,IF(INDEX([1]Pivot!$B$1:$AB$65000,$B637,AG$5)="",2,0)),0)</f>
        <v>0</v>
      </c>
      <c r="AH637" s="313">
        <f>IFERROR(IF(INDEX([1]Pivot!$BF$1:$CG$65000,$B637,AH$5)=1,1,IF(INDEX([1]Pivot!$B$1:$AB$65000,$B637,AH$5)="",2,0)),0)</f>
        <v>0</v>
      </c>
      <c r="AI637" s="313">
        <f>IFERROR(IF(INDEX([1]Pivot!$BF$1:$CG$65000,$B637,AI$5)=1,1,IF(INDEX([1]Pivot!$B$1:$AB$65000,$B637,AI$5)="",2,0)),0)</f>
        <v>0</v>
      </c>
      <c r="AJ637" s="313">
        <f>IFERROR(IF(INDEX([1]Pivot!$BF$1:$CG$65000,$B637,AJ$5)=1,1,IF(INDEX([1]Pivot!$B$1:$AB$65000,$B637,AJ$5)="",2,0)),0)</f>
        <v>0</v>
      </c>
      <c r="AK637" s="313">
        <f>IFERROR(IF(INDEX([1]Pivot!$BF$1:$CG$65000,$B637,AK$5)=1,1,IF(INDEX([1]Pivot!$B$1:$AB$65000,$B637,AK$5)="",2,0)),0)</f>
        <v>0</v>
      </c>
      <c r="AL637" s="313">
        <f>IFERROR(IF(INDEX([1]Pivot!$BF$1:$CG$65000,$B637,AL$5)=1,1,IF(INDEX([1]Pivot!$B$1:$AB$65000,$B637,AL$5)="",2,0)),0)</f>
        <v>0</v>
      </c>
      <c r="AM637" s="313">
        <f>IFERROR(IF(INDEX([1]Pivot!$BF$1:$CG$65000,$B637,AM$5)=1,1,IF(INDEX([1]Pivot!$B$1:$AB$65000,$B637,AM$5)="",2,0)),0)</f>
        <v>0</v>
      </c>
      <c r="AN637" s="313">
        <f>IFERROR(IF(INDEX([1]Pivot!$BF$1:$CG$65000,$B637,AN$5)=1,1,IF(INDEX([1]Pivot!$B$1:$AB$65000,$B637,AN$5)="",2,0)),0)</f>
        <v>0</v>
      </c>
      <c r="AO637" s="313">
        <f>IFERROR(IF(INDEX([1]Pivot!$BF$1:$CG$65000,$B637,AO$5)=1,1,IF(INDEX([1]Pivot!$B$1:$AB$65000,$B637,AO$5)="",2,0)),0)</f>
        <v>0</v>
      </c>
      <c r="AP637" s="313">
        <f>IFERROR(IF(INDEX([1]Pivot!$BF$1:$CG$65000,$B637,AP$5)=1,1,IF(INDEX([1]Pivot!$B$1:$AB$65000,$B637,AP$5)="",2,0)),0)</f>
        <v>0</v>
      </c>
      <c r="AQ637" s="313">
        <f>IFERROR(IF(INDEX([1]Pivot!$BF$1:$CG$65000,$B637,AQ$5)=1,1,IF(INDEX([1]Pivot!$B$1:$AB$65000,$B637,AQ$5)="",2,0)),0)</f>
        <v>0</v>
      </c>
      <c r="AR637" s="313">
        <f>IFERROR(IF(INDEX([1]Pivot!$BF$1:$CG$65000,$B637,AR$5)=1,1,IF(INDEX([1]Pivot!$B$1:$AB$65000,$B637,AR$5)="",2,0)),0)</f>
        <v>0</v>
      </c>
      <c r="AS637" s="312"/>
      <c r="AT637" s="313">
        <f>IFERROR(IF(INDEX([1]Pivot!$BF$1:$CG$65000,$B637,AT$5)=1,1,IF(INDEX([1]Pivot!$B$1:$AB$65000,$B637,AT$5)="",2,0)),0)</f>
        <v>0</v>
      </c>
      <c r="AU637" s="313">
        <f>IFERROR(IF(INDEX([1]Pivot!$BF$1:$CG$65000,$B637,AU$5)=1,1,IF(INDEX([1]Pivot!$B$1:$AB$65000,$B637,AU$5)="",2,0)),0)</f>
        <v>0</v>
      </c>
      <c r="AV637" s="313">
        <f>IFERROR(IF(INDEX([1]Pivot!$BF$1:$CG$65000,$B637,AV$5)=1,1,IF(INDEX([1]Pivot!$B$1:$AB$65000,$B637,AV$5)="",2,0)),0)</f>
        <v>0</v>
      </c>
      <c r="AW637" s="313">
        <f>IFERROR(IF(INDEX([1]Pivot!$BF$1:$CG$65000,$B637,AW$5)=1,1,IF(INDEX([1]Pivot!$B$1:$AB$65000,$B637,AW$5)="",2,0)),0)</f>
        <v>0</v>
      </c>
      <c r="AX637" s="313">
        <f>IFERROR(IF(INDEX([1]Pivot!$BF$1:$CG$65000,$B637,AX$5)=1,1,IF(INDEX([1]Pivot!$B$1:$AB$65000,$B637,AX$5)="",2,0)),0)</f>
        <v>0</v>
      </c>
      <c r="AY637" s="313">
        <f>IFERROR(IF(INDEX([1]Pivot!$BF$1:$CG$65000,$B637,AY$5)=1,1,IF(INDEX([1]Pivot!$B$1:$AB$65000,$B637,AY$5)="",2,0)),0)</f>
        <v>0</v>
      </c>
      <c r="AZ637" s="313">
        <f>IFERROR(IF(INDEX([1]Pivot!$BF$1:$CG$65000,$B637,AZ$5)=1,1,IF(INDEX([1]Pivot!$B$1:$AB$65000,$B637,AZ$5)="",2,0)),0)</f>
        <v>0</v>
      </c>
      <c r="BA637" s="313">
        <f>IFERROR(IF(INDEX([1]Pivot!$BF$1:$CG$65000,$B637,BA$5)=1,1,IF(INDEX([1]Pivot!$B$1:$AB$65000,$B637,BA$5)="",2,0)),0)</f>
        <v>0</v>
      </c>
      <c r="BB637" s="313">
        <f>IFERROR(IF(INDEX([1]Pivot!$BF$1:$CG$65000,$B637,BB$5)=1,1,IF(INDEX([1]Pivot!$B$1:$AB$65000,$B637,BB$5)="",2,0)),0)</f>
        <v>0</v>
      </c>
      <c r="BC637" s="313">
        <f>IFERROR(IF(INDEX([1]Pivot!$BF$1:$CG$65000,$B637,BC$5)=1,1,IF(INDEX([1]Pivot!$B$1:$AB$65000,$B637,BC$5)="",2,0)),0)</f>
        <v>0</v>
      </c>
      <c r="BD637" s="313">
        <f>IFERROR(IF(INDEX([1]Pivot!$BF$1:$CG$65000,$B637,BD$5)=1,1,IF(INDEX([1]Pivot!$B$1:$AB$65000,$B637,BD$5)="",2,0)),0)</f>
        <v>0</v>
      </c>
    </row>
    <row r="638" spans="1:56" x14ac:dyDescent="0.25">
      <c r="A638" s="288">
        <f>'[2]Raw Milk Prices'!A638</f>
        <v>0</v>
      </c>
      <c r="B638" s="296" t="e">
        <f>MATCH(DATE(LEFT('[2]Raw Milk Prices'!$A638,4),RIGHT('[2]Raw Milk Prices'!$A638,2),1),[1]Pivot!$A$1:$A$65000,0)</f>
        <v>#VALUE!</v>
      </c>
      <c r="C638" s="194">
        <f>IFERROR(IF(INDEX([1]Pivot!$AD$1:$BE$65000,$B638,C$5)=1,1,IF(INDEX([1]Pivot!$B$1:$AB$65000,$B638,C$5)="",2,0)),0)</f>
        <v>0</v>
      </c>
      <c r="D638" s="194">
        <f>IFERROR(IF(INDEX([1]Pivot!$AD$1:$BE$65000,$B638,D$5)=1,1,IF(INDEX([1]Pivot!$B$1:$AB$65000,$B638,D$5)="",2,0)),0)</f>
        <v>0</v>
      </c>
      <c r="E638" s="194">
        <f>IFERROR(IF(INDEX([1]Pivot!$AD$1:$BE$65000,$B638,E$5)=1,1,IF(INDEX([1]Pivot!$B$1:$AB$65000,$B638,E$5)="",2,0)),0)</f>
        <v>0</v>
      </c>
      <c r="F638" s="194">
        <f>IFERROR(IF(INDEX([1]Pivot!$AD$1:$BE$65000,$B638,F$5)=1,1,IF(INDEX([1]Pivot!$B$1:$AB$65000,$B638,F$5)="",2,0)),0)</f>
        <v>0</v>
      </c>
      <c r="G638" s="194">
        <f>IFERROR(IF(INDEX([1]Pivot!$AD$1:$BE$65000,$B638,G$5)=1,1,IF(INDEX([1]Pivot!$B$1:$AB$65000,$B638,G$5)="",2,0)),0)</f>
        <v>0</v>
      </c>
      <c r="H638" s="194">
        <f>IFERROR(IF(INDEX([1]Pivot!$AD$1:$BE$65000,$B638,H$5)=1,1,IF(INDEX([1]Pivot!$B$1:$AB$65000,$B638,H$5)="",2,0)),0)</f>
        <v>0</v>
      </c>
      <c r="I638" s="194">
        <f>IFERROR(IF(INDEX([1]Pivot!$AD$1:$BE$65000,$B638,I$5)=1,1,IF(INDEX([1]Pivot!$B$1:$AB$65000,$B638,I$5)="",2,0)),0)</f>
        <v>0</v>
      </c>
      <c r="J638" s="194">
        <f>IFERROR(IF(INDEX([1]Pivot!$AD$1:$BE$65000,$B638,J$5)=1,1,IF(INDEX([1]Pivot!$B$1:$AB$65000,$B638,J$5)="",2,0)),0)</f>
        <v>0</v>
      </c>
      <c r="K638" s="194">
        <f>IFERROR(IF(INDEX([1]Pivot!$AD$1:$BE$65000,$B638,K$5)=1,1,IF(INDEX([1]Pivot!$B$1:$AB$65000,$B638,K$5)="",2,0)),0)</f>
        <v>0</v>
      </c>
      <c r="L638" s="194">
        <f>IFERROR(IF(INDEX([1]Pivot!$AD$1:$BE$65000,$B638,L$5)=1,1,IF(INDEX([1]Pivot!$B$1:$AB$65000,$B638,L$5)="",2,0)),0)</f>
        <v>0</v>
      </c>
      <c r="M638" s="194">
        <f>IFERROR(IF(INDEX([1]Pivot!$AD$1:$BE$65000,$B638,M$5)=1,1,IF(INDEX([1]Pivot!$B$1:$AB$65000,$B638,M$5)="",2,0)),0)</f>
        <v>0</v>
      </c>
      <c r="N638" s="194">
        <f>IFERROR(IF(INDEX([1]Pivot!$AD$1:$BE$65000,$B638,N$5)=1,1,IF(INDEX([1]Pivot!$B$1:$AB$65000,$B638,N$5)="",2,0)),0)</f>
        <v>0</v>
      </c>
      <c r="O638" s="194">
        <f>IFERROR(IF(INDEX([1]Pivot!$AD$1:$BE$65000,$B638,O$5)=1,1,IF(INDEX([1]Pivot!$B$1:$AB$65000,$B638,O$5)="",2,0)),0)</f>
        <v>0</v>
      </c>
      <c r="P638" s="194">
        <f>IFERROR(IF(INDEX([1]Pivot!$AD$1:$BE$65000,$B638,P$5)=1,1,IF(INDEX([1]Pivot!$B$1:$AB$65000,$B638,P$5)="",2,0)),0)</f>
        <v>0</v>
      </c>
      <c r="Q638" s="194">
        <f>IFERROR(IF(INDEX([1]Pivot!$AD$1:$BE$65000,$B638,Q$5)=1,1,IF(INDEX([1]Pivot!$B$1:$AB$65000,$B638,Q$5)="",2,0)),0)</f>
        <v>0</v>
      </c>
      <c r="R638" s="312"/>
      <c r="S638" s="194">
        <f>IFERROR(IF(INDEX([1]Pivot!$AD$1:$BE$65000,$B638,S$5)=1,1,IF(INDEX([1]Pivot!$B$1:$AB$65000,$B638,S$5)="",2,0)),0)</f>
        <v>0</v>
      </c>
      <c r="T638" s="194">
        <f>IFERROR(IF(INDEX([1]Pivot!$AD$1:$BE$65000,$B638,T$5)=1,1,IF(INDEX([1]Pivot!$B$1:$AB$65000,$B638,T$5)="",2,0)),0)</f>
        <v>0</v>
      </c>
      <c r="U638" s="194">
        <f>IFERROR(IF(INDEX([1]Pivot!$AD$1:$BE$65000,$B638,U$5)=1,1,IF(INDEX([1]Pivot!$B$1:$AB$65000,$B638,U$5)="",2,0)),0)</f>
        <v>0</v>
      </c>
      <c r="V638" s="194">
        <f>IFERROR(IF(INDEX([1]Pivot!$AD$1:$BE$65000,$B638,V$5)=1,1,IF(INDEX([1]Pivot!$B$1:$AB$65000,$B638,V$5)="",2,0)),0)</f>
        <v>0</v>
      </c>
      <c r="W638" s="194">
        <f>IFERROR(IF(INDEX([1]Pivot!$AD$1:$BE$65000,$B638,W$5)=1,1,IF(INDEX([1]Pivot!$B$1:$AB$65000,$B638,W$5)="",2,0)),0)</f>
        <v>0</v>
      </c>
      <c r="X638" s="194">
        <f>IFERROR(IF(INDEX([1]Pivot!$AD$1:$BE$65000,$B638,X$5)=1,1,IF(INDEX([1]Pivot!$B$1:$AB$65000,$B638,X$5)="",2,0)),0)</f>
        <v>0</v>
      </c>
      <c r="Y638" s="194">
        <f>IFERROR(IF(INDEX([1]Pivot!$AD$1:$BE$65000,$B638,Y$5)=1,1,IF(INDEX([1]Pivot!$B$1:$AB$65000,$B638,Y$5)="",2,0)),0)</f>
        <v>0</v>
      </c>
      <c r="Z638" s="194">
        <f>IFERROR(IF(INDEX([1]Pivot!$AD$1:$BE$65000,$B638,Z$5)=1,1,IF(INDEX([1]Pivot!$B$1:$AB$65000,$B638,Z$5)="",2,0)),0)</f>
        <v>0</v>
      </c>
      <c r="AA638" s="194">
        <f>IFERROR(IF(INDEX([1]Pivot!$AD$1:$BE$65000,$B638,AA$5)=1,1,IF(INDEX([1]Pivot!$B$1:$AB$65000,$B638,AA$5)="",2,0)),0)</f>
        <v>0</v>
      </c>
      <c r="AB638" s="194">
        <f>IFERROR(IF(INDEX([1]Pivot!$AD$1:$BE$65000,$B638,AB$5)=1,1,IF(INDEX([1]Pivot!$B$1:$AB$65000,$B638,AB$5)="",2,0)),0)</f>
        <v>0</v>
      </c>
      <c r="AC638" s="194">
        <f>IFERROR(IF(INDEX([1]Pivot!$AD$1:$BE$65000,$B638,AC$5)=1,1,IF(INDEX([1]Pivot!$B$1:$AB$65000,$B638,AC$5)="",2,0)),0)</f>
        <v>0</v>
      </c>
      <c r="AD638" s="313">
        <f>IFERROR(IF(INDEX([1]Pivot!$BF$1:$CG$65000,$B638,AD$5)=1,1,IF(INDEX([1]Pivot!$B$1:$AB$65000,$B638,AD$5)="",2,0)),0)</f>
        <v>0</v>
      </c>
      <c r="AE638" s="313">
        <f>IFERROR(IF(INDEX([1]Pivot!$BF$1:$CG$65000,$B638,AE$5)=1,1,IF(INDEX([1]Pivot!$B$1:$AB$65000,$B638,AE$5)="",2,0)),0)</f>
        <v>0</v>
      </c>
      <c r="AF638" s="313">
        <f>IFERROR(IF(INDEX([1]Pivot!$BF$1:$CG$65000,$B638,AF$5)=1,1,IF(INDEX([1]Pivot!$B$1:$AB$65000,$B638,AF$5)="",2,0)),0)</f>
        <v>0</v>
      </c>
      <c r="AG638" s="313">
        <f>IFERROR(IF(INDEX([1]Pivot!$BF$1:$CG$65000,$B638,AG$5)=1,1,IF(INDEX([1]Pivot!$B$1:$AB$65000,$B638,AG$5)="",2,0)),0)</f>
        <v>0</v>
      </c>
      <c r="AH638" s="313">
        <f>IFERROR(IF(INDEX([1]Pivot!$BF$1:$CG$65000,$B638,AH$5)=1,1,IF(INDEX([1]Pivot!$B$1:$AB$65000,$B638,AH$5)="",2,0)),0)</f>
        <v>0</v>
      </c>
      <c r="AI638" s="313">
        <f>IFERROR(IF(INDEX([1]Pivot!$BF$1:$CG$65000,$B638,AI$5)=1,1,IF(INDEX([1]Pivot!$B$1:$AB$65000,$B638,AI$5)="",2,0)),0)</f>
        <v>0</v>
      </c>
      <c r="AJ638" s="313">
        <f>IFERROR(IF(INDEX([1]Pivot!$BF$1:$CG$65000,$B638,AJ$5)=1,1,IF(INDEX([1]Pivot!$B$1:$AB$65000,$B638,AJ$5)="",2,0)),0)</f>
        <v>0</v>
      </c>
      <c r="AK638" s="313">
        <f>IFERROR(IF(INDEX([1]Pivot!$BF$1:$CG$65000,$B638,AK$5)=1,1,IF(INDEX([1]Pivot!$B$1:$AB$65000,$B638,AK$5)="",2,0)),0)</f>
        <v>0</v>
      </c>
      <c r="AL638" s="313">
        <f>IFERROR(IF(INDEX([1]Pivot!$BF$1:$CG$65000,$B638,AL$5)=1,1,IF(INDEX([1]Pivot!$B$1:$AB$65000,$B638,AL$5)="",2,0)),0)</f>
        <v>0</v>
      </c>
      <c r="AM638" s="313">
        <f>IFERROR(IF(INDEX([1]Pivot!$BF$1:$CG$65000,$B638,AM$5)=1,1,IF(INDEX([1]Pivot!$B$1:$AB$65000,$B638,AM$5)="",2,0)),0)</f>
        <v>0</v>
      </c>
      <c r="AN638" s="313">
        <f>IFERROR(IF(INDEX([1]Pivot!$BF$1:$CG$65000,$B638,AN$5)=1,1,IF(INDEX([1]Pivot!$B$1:$AB$65000,$B638,AN$5)="",2,0)),0)</f>
        <v>0</v>
      </c>
      <c r="AO638" s="313">
        <f>IFERROR(IF(INDEX([1]Pivot!$BF$1:$CG$65000,$B638,AO$5)=1,1,IF(INDEX([1]Pivot!$B$1:$AB$65000,$B638,AO$5)="",2,0)),0)</f>
        <v>0</v>
      </c>
      <c r="AP638" s="313">
        <f>IFERROR(IF(INDEX([1]Pivot!$BF$1:$CG$65000,$B638,AP$5)=1,1,IF(INDEX([1]Pivot!$B$1:$AB$65000,$B638,AP$5)="",2,0)),0)</f>
        <v>0</v>
      </c>
      <c r="AQ638" s="313">
        <f>IFERROR(IF(INDEX([1]Pivot!$BF$1:$CG$65000,$B638,AQ$5)=1,1,IF(INDEX([1]Pivot!$B$1:$AB$65000,$B638,AQ$5)="",2,0)),0)</f>
        <v>0</v>
      </c>
      <c r="AR638" s="313">
        <f>IFERROR(IF(INDEX([1]Pivot!$BF$1:$CG$65000,$B638,AR$5)=1,1,IF(INDEX([1]Pivot!$B$1:$AB$65000,$B638,AR$5)="",2,0)),0)</f>
        <v>0</v>
      </c>
      <c r="AS638" s="312"/>
      <c r="AT638" s="313">
        <f>IFERROR(IF(INDEX([1]Pivot!$BF$1:$CG$65000,$B638,AT$5)=1,1,IF(INDEX([1]Pivot!$B$1:$AB$65000,$B638,AT$5)="",2,0)),0)</f>
        <v>0</v>
      </c>
      <c r="AU638" s="313">
        <f>IFERROR(IF(INDEX([1]Pivot!$BF$1:$CG$65000,$B638,AU$5)=1,1,IF(INDEX([1]Pivot!$B$1:$AB$65000,$B638,AU$5)="",2,0)),0)</f>
        <v>0</v>
      </c>
      <c r="AV638" s="313">
        <f>IFERROR(IF(INDEX([1]Pivot!$BF$1:$CG$65000,$B638,AV$5)=1,1,IF(INDEX([1]Pivot!$B$1:$AB$65000,$B638,AV$5)="",2,0)),0)</f>
        <v>0</v>
      </c>
      <c r="AW638" s="313">
        <f>IFERROR(IF(INDEX([1]Pivot!$BF$1:$CG$65000,$B638,AW$5)=1,1,IF(INDEX([1]Pivot!$B$1:$AB$65000,$B638,AW$5)="",2,0)),0)</f>
        <v>0</v>
      </c>
      <c r="AX638" s="313">
        <f>IFERROR(IF(INDEX([1]Pivot!$BF$1:$CG$65000,$B638,AX$5)=1,1,IF(INDEX([1]Pivot!$B$1:$AB$65000,$B638,AX$5)="",2,0)),0)</f>
        <v>0</v>
      </c>
      <c r="AY638" s="313">
        <f>IFERROR(IF(INDEX([1]Pivot!$BF$1:$CG$65000,$B638,AY$5)=1,1,IF(INDEX([1]Pivot!$B$1:$AB$65000,$B638,AY$5)="",2,0)),0)</f>
        <v>0</v>
      </c>
      <c r="AZ638" s="313">
        <f>IFERROR(IF(INDEX([1]Pivot!$BF$1:$CG$65000,$B638,AZ$5)=1,1,IF(INDEX([1]Pivot!$B$1:$AB$65000,$B638,AZ$5)="",2,0)),0)</f>
        <v>0</v>
      </c>
      <c r="BA638" s="313">
        <f>IFERROR(IF(INDEX([1]Pivot!$BF$1:$CG$65000,$B638,BA$5)=1,1,IF(INDEX([1]Pivot!$B$1:$AB$65000,$B638,BA$5)="",2,0)),0)</f>
        <v>0</v>
      </c>
      <c r="BB638" s="313">
        <f>IFERROR(IF(INDEX([1]Pivot!$BF$1:$CG$65000,$B638,BB$5)=1,1,IF(INDEX([1]Pivot!$B$1:$AB$65000,$B638,BB$5)="",2,0)),0)</f>
        <v>0</v>
      </c>
      <c r="BC638" s="313">
        <f>IFERROR(IF(INDEX([1]Pivot!$BF$1:$CG$65000,$B638,BC$5)=1,1,IF(INDEX([1]Pivot!$B$1:$AB$65000,$B638,BC$5)="",2,0)),0)</f>
        <v>0</v>
      </c>
      <c r="BD638" s="313">
        <f>IFERROR(IF(INDEX([1]Pivot!$BF$1:$CG$65000,$B638,BD$5)=1,1,IF(INDEX([1]Pivot!$B$1:$AB$65000,$B638,BD$5)="",2,0)),0)</f>
        <v>0</v>
      </c>
    </row>
    <row r="639" spans="1:56" x14ac:dyDescent="0.25">
      <c r="A639" s="288">
        <f>'[2]Raw Milk Prices'!A639</f>
        <v>0</v>
      </c>
      <c r="B639" s="296" t="e">
        <f>MATCH(DATE(LEFT('[2]Raw Milk Prices'!$A639,4),RIGHT('[2]Raw Milk Prices'!$A639,2),1),[1]Pivot!$A$1:$A$65000,0)</f>
        <v>#VALUE!</v>
      </c>
      <c r="C639" s="194">
        <f>IFERROR(IF(INDEX([1]Pivot!$AD$1:$BE$65000,$B639,C$5)=1,1,IF(INDEX([1]Pivot!$B$1:$AB$65000,$B639,C$5)="",2,0)),0)</f>
        <v>0</v>
      </c>
      <c r="D639" s="194">
        <f>IFERROR(IF(INDEX([1]Pivot!$AD$1:$BE$65000,$B639,D$5)=1,1,IF(INDEX([1]Pivot!$B$1:$AB$65000,$B639,D$5)="",2,0)),0)</f>
        <v>0</v>
      </c>
      <c r="E639" s="194">
        <f>IFERROR(IF(INDEX([1]Pivot!$AD$1:$BE$65000,$B639,E$5)=1,1,IF(INDEX([1]Pivot!$B$1:$AB$65000,$B639,E$5)="",2,0)),0)</f>
        <v>0</v>
      </c>
      <c r="F639" s="194">
        <f>IFERROR(IF(INDEX([1]Pivot!$AD$1:$BE$65000,$B639,F$5)=1,1,IF(INDEX([1]Pivot!$B$1:$AB$65000,$B639,F$5)="",2,0)),0)</f>
        <v>0</v>
      </c>
      <c r="G639" s="194">
        <f>IFERROR(IF(INDEX([1]Pivot!$AD$1:$BE$65000,$B639,G$5)=1,1,IF(INDEX([1]Pivot!$B$1:$AB$65000,$B639,G$5)="",2,0)),0)</f>
        <v>0</v>
      </c>
      <c r="H639" s="194">
        <f>IFERROR(IF(INDEX([1]Pivot!$AD$1:$BE$65000,$B639,H$5)=1,1,IF(INDEX([1]Pivot!$B$1:$AB$65000,$B639,H$5)="",2,0)),0)</f>
        <v>0</v>
      </c>
      <c r="I639" s="194">
        <f>IFERROR(IF(INDEX([1]Pivot!$AD$1:$BE$65000,$B639,I$5)=1,1,IF(INDEX([1]Pivot!$B$1:$AB$65000,$B639,I$5)="",2,0)),0)</f>
        <v>0</v>
      </c>
      <c r="J639" s="194">
        <f>IFERROR(IF(INDEX([1]Pivot!$AD$1:$BE$65000,$B639,J$5)=1,1,IF(INDEX([1]Pivot!$B$1:$AB$65000,$B639,J$5)="",2,0)),0)</f>
        <v>0</v>
      </c>
      <c r="K639" s="194">
        <f>IFERROR(IF(INDEX([1]Pivot!$AD$1:$BE$65000,$B639,K$5)=1,1,IF(INDEX([1]Pivot!$B$1:$AB$65000,$B639,K$5)="",2,0)),0)</f>
        <v>0</v>
      </c>
      <c r="L639" s="194">
        <f>IFERROR(IF(INDEX([1]Pivot!$AD$1:$BE$65000,$B639,L$5)=1,1,IF(INDEX([1]Pivot!$B$1:$AB$65000,$B639,L$5)="",2,0)),0)</f>
        <v>0</v>
      </c>
      <c r="M639" s="194">
        <f>IFERROR(IF(INDEX([1]Pivot!$AD$1:$BE$65000,$B639,M$5)=1,1,IF(INDEX([1]Pivot!$B$1:$AB$65000,$B639,M$5)="",2,0)),0)</f>
        <v>0</v>
      </c>
      <c r="N639" s="194">
        <f>IFERROR(IF(INDEX([1]Pivot!$AD$1:$BE$65000,$B639,N$5)=1,1,IF(INDEX([1]Pivot!$B$1:$AB$65000,$B639,N$5)="",2,0)),0)</f>
        <v>0</v>
      </c>
      <c r="O639" s="194">
        <f>IFERROR(IF(INDEX([1]Pivot!$AD$1:$BE$65000,$B639,O$5)=1,1,IF(INDEX([1]Pivot!$B$1:$AB$65000,$B639,O$5)="",2,0)),0)</f>
        <v>0</v>
      </c>
      <c r="P639" s="194">
        <f>IFERROR(IF(INDEX([1]Pivot!$AD$1:$BE$65000,$B639,P$5)=1,1,IF(INDEX([1]Pivot!$B$1:$AB$65000,$B639,P$5)="",2,0)),0)</f>
        <v>0</v>
      </c>
      <c r="Q639" s="194">
        <f>IFERROR(IF(INDEX([1]Pivot!$AD$1:$BE$65000,$B639,Q$5)=1,1,IF(INDEX([1]Pivot!$B$1:$AB$65000,$B639,Q$5)="",2,0)),0)</f>
        <v>0</v>
      </c>
      <c r="R639" s="312"/>
      <c r="S639" s="194">
        <f>IFERROR(IF(INDEX([1]Pivot!$AD$1:$BE$65000,$B639,S$5)=1,1,IF(INDEX([1]Pivot!$B$1:$AB$65000,$B639,S$5)="",2,0)),0)</f>
        <v>0</v>
      </c>
      <c r="T639" s="194">
        <f>IFERROR(IF(INDEX([1]Pivot!$AD$1:$BE$65000,$B639,T$5)=1,1,IF(INDEX([1]Pivot!$B$1:$AB$65000,$B639,T$5)="",2,0)),0)</f>
        <v>0</v>
      </c>
      <c r="U639" s="194">
        <f>IFERROR(IF(INDEX([1]Pivot!$AD$1:$BE$65000,$B639,U$5)=1,1,IF(INDEX([1]Pivot!$B$1:$AB$65000,$B639,U$5)="",2,0)),0)</f>
        <v>0</v>
      </c>
      <c r="V639" s="194">
        <f>IFERROR(IF(INDEX([1]Pivot!$AD$1:$BE$65000,$B639,V$5)=1,1,IF(INDEX([1]Pivot!$B$1:$AB$65000,$B639,V$5)="",2,0)),0)</f>
        <v>0</v>
      </c>
      <c r="W639" s="194">
        <f>IFERROR(IF(INDEX([1]Pivot!$AD$1:$BE$65000,$B639,W$5)=1,1,IF(INDEX([1]Pivot!$B$1:$AB$65000,$B639,W$5)="",2,0)),0)</f>
        <v>0</v>
      </c>
      <c r="X639" s="194">
        <f>IFERROR(IF(INDEX([1]Pivot!$AD$1:$BE$65000,$B639,X$5)=1,1,IF(INDEX([1]Pivot!$B$1:$AB$65000,$B639,X$5)="",2,0)),0)</f>
        <v>0</v>
      </c>
      <c r="Y639" s="194">
        <f>IFERROR(IF(INDEX([1]Pivot!$AD$1:$BE$65000,$B639,Y$5)=1,1,IF(INDEX([1]Pivot!$B$1:$AB$65000,$B639,Y$5)="",2,0)),0)</f>
        <v>0</v>
      </c>
      <c r="Z639" s="194">
        <f>IFERROR(IF(INDEX([1]Pivot!$AD$1:$BE$65000,$B639,Z$5)=1,1,IF(INDEX([1]Pivot!$B$1:$AB$65000,$B639,Z$5)="",2,0)),0)</f>
        <v>0</v>
      </c>
      <c r="AA639" s="194">
        <f>IFERROR(IF(INDEX([1]Pivot!$AD$1:$BE$65000,$B639,AA$5)=1,1,IF(INDEX([1]Pivot!$B$1:$AB$65000,$B639,AA$5)="",2,0)),0)</f>
        <v>0</v>
      </c>
      <c r="AB639" s="194">
        <f>IFERROR(IF(INDEX([1]Pivot!$AD$1:$BE$65000,$B639,AB$5)=1,1,IF(INDEX([1]Pivot!$B$1:$AB$65000,$B639,AB$5)="",2,0)),0)</f>
        <v>0</v>
      </c>
      <c r="AC639" s="194">
        <f>IFERROR(IF(INDEX([1]Pivot!$AD$1:$BE$65000,$B639,AC$5)=1,1,IF(INDEX([1]Pivot!$B$1:$AB$65000,$B639,AC$5)="",2,0)),0)</f>
        <v>0</v>
      </c>
      <c r="AD639" s="313">
        <f>IFERROR(IF(INDEX([1]Pivot!$BF$1:$CG$65000,$B639,AD$5)=1,1,IF(INDEX([1]Pivot!$B$1:$AB$65000,$B639,AD$5)="",2,0)),0)</f>
        <v>0</v>
      </c>
      <c r="AE639" s="313">
        <f>IFERROR(IF(INDEX([1]Pivot!$BF$1:$CG$65000,$B639,AE$5)=1,1,IF(INDEX([1]Pivot!$B$1:$AB$65000,$B639,AE$5)="",2,0)),0)</f>
        <v>0</v>
      </c>
      <c r="AF639" s="313">
        <f>IFERROR(IF(INDEX([1]Pivot!$BF$1:$CG$65000,$B639,AF$5)=1,1,IF(INDEX([1]Pivot!$B$1:$AB$65000,$B639,AF$5)="",2,0)),0)</f>
        <v>0</v>
      </c>
      <c r="AG639" s="313">
        <f>IFERROR(IF(INDEX([1]Pivot!$BF$1:$CG$65000,$B639,AG$5)=1,1,IF(INDEX([1]Pivot!$B$1:$AB$65000,$B639,AG$5)="",2,0)),0)</f>
        <v>0</v>
      </c>
      <c r="AH639" s="313">
        <f>IFERROR(IF(INDEX([1]Pivot!$BF$1:$CG$65000,$B639,AH$5)=1,1,IF(INDEX([1]Pivot!$B$1:$AB$65000,$B639,AH$5)="",2,0)),0)</f>
        <v>0</v>
      </c>
      <c r="AI639" s="313">
        <f>IFERROR(IF(INDEX([1]Pivot!$BF$1:$CG$65000,$B639,AI$5)=1,1,IF(INDEX([1]Pivot!$B$1:$AB$65000,$B639,AI$5)="",2,0)),0)</f>
        <v>0</v>
      </c>
      <c r="AJ639" s="313">
        <f>IFERROR(IF(INDEX([1]Pivot!$BF$1:$CG$65000,$B639,AJ$5)=1,1,IF(INDEX([1]Pivot!$B$1:$AB$65000,$B639,AJ$5)="",2,0)),0)</f>
        <v>0</v>
      </c>
      <c r="AK639" s="313">
        <f>IFERROR(IF(INDEX([1]Pivot!$BF$1:$CG$65000,$B639,AK$5)=1,1,IF(INDEX([1]Pivot!$B$1:$AB$65000,$B639,AK$5)="",2,0)),0)</f>
        <v>0</v>
      </c>
      <c r="AL639" s="313">
        <f>IFERROR(IF(INDEX([1]Pivot!$BF$1:$CG$65000,$B639,AL$5)=1,1,IF(INDEX([1]Pivot!$B$1:$AB$65000,$B639,AL$5)="",2,0)),0)</f>
        <v>0</v>
      </c>
      <c r="AM639" s="313">
        <f>IFERROR(IF(INDEX([1]Pivot!$BF$1:$CG$65000,$B639,AM$5)=1,1,IF(INDEX([1]Pivot!$B$1:$AB$65000,$B639,AM$5)="",2,0)),0)</f>
        <v>0</v>
      </c>
      <c r="AN639" s="313">
        <f>IFERROR(IF(INDEX([1]Pivot!$BF$1:$CG$65000,$B639,AN$5)=1,1,IF(INDEX([1]Pivot!$B$1:$AB$65000,$B639,AN$5)="",2,0)),0)</f>
        <v>0</v>
      </c>
      <c r="AO639" s="313">
        <f>IFERROR(IF(INDEX([1]Pivot!$BF$1:$CG$65000,$B639,AO$5)=1,1,IF(INDEX([1]Pivot!$B$1:$AB$65000,$B639,AO$5)="",2,0)),0)</f>
        <v>0</v>
      </c>
      <c r="AP639" s="313">
        <f>IFERROR(IF(INDEX([1]Pivot!$BF$1:$CG$65000,$B639,AP$5)=1,1,IF(INDEX([1]Pivot!$B$1:$AB$65000,$B639,AP$5)="",2,0)),0)</f>
        <v>0</v>
      </c>
      <c r="AQ639" s="313">
        <f>IFERROR(IF(INDEX([1]Pivot!$BF$1:$CG$65000,$B639,AQ$5)=1,1,IF(INDEX([1]Pivot!$B$1:$AB$65000,$B639,AQ$5)="",2,0)),0)</f>
        <v>0</v>
      </c>
      <c r="AR639" s="313">
        <f>IFERROR(IF(INDEX([1]Pivot!$BF$1:$CG$65000,$B639,AR$5)=1,1,IF(INDEX([1]Pivot!$B$1:$AB$65000,$B639,AR$5)="",2,0)),0)</f>
        <v>0</v>
      </c>
      <c r="AS639" s="312"/>
      <c r="AT639" s="313">
        <f>IFERROR(IF(INDEX([1]Pivot!$BF$1:$CG$65000,$B639,AT$5)=1,1,IF(INDEX([1]Pivot!$B$1:$AB$65000,$B639,AT$5)="",2,0)),0)</f>
        <v>0</v>
      </c>
      <c r="AU639" s="313">
        <f>IFERROR(IF(INDEX([1]Pivot!$BF$1:$CG$65000,$B639,AU$5)=1,1,IF(INDEX([1]Pivot!$B$1:$AB$65000,$B639,AU$5)="",2,0)),0)</f>
        <v>0</v>
      </c>
      <c r="AV639" s="313">
        <f>IFERROR(IF(INDEX([1]Pivot!$BF$1:$CG$65000,$B639,AV$5)=1,1,IF(INDEX([1]Pivot!$B$1:$AB$65000,$B639,AV$5)="",2,0)),0)</f>
        <v>0</v>
      </c>
      <c r="AW639" s="313">
        <f>IFERROR(IF(INDEX([1]Pivot!$BF$1:$CG$65000,$B639,AW$5)=1,1,IF(INDEX([1]Pivot!$B$1:$AB$65000,$B639,AW$5)="",2,0)),0)</f>
        <v>0</v>
      </c>
      <c r="AX639" s="313">
        <f>IFERROR(IF(INDEX([1]Pivot!$BF$1:$CG$65000,$B639,AX$5)=1,1,IF(INDEX([1]Pivot!$B$1:$AB$65000,$B639,AX$5)="",2,0)),0)</f>
        <v>0</v>
      </c>
      <c r="AY639" s="313">
        <f>IFERROR(IF(INDEX([1]Pivot!$BF$1:$CG$65000,$B639,AY$5)=1,1,IF(INDEX([1]Pivot!$B$1:$AB$65000,$B639,AY$5)="",2,0)),0)</f>
        <v>0</v>
      </c>
      <c r="AZ639" s="313">
        <f>IFERROR(IF(INDEX([1]Pivot!$BF$1:$CG$65000,$B639,AZ$5)=1,1,IF(INDEX([1]Pivot!$B$1:$AB$65000,$B639,AZ$5)="",2,0)),0)</f>
        <v>0</v>
      </c>
      <c r="BA639" s="313">
        <f>IFERROR(IF(INDEX([1]Pivot!$BF$1:$CG$65000,$B639,BA$5)=1,1,IF(INDEX([1]Pivot!$B$1:$AB$65000,$B639,BA$5)="",2,0)),0)</f>
        <v>0</v>
      </c>
      <c r="BB639" s="313">
        <f>IFERROR(IF(INDEX([1]Pivot!$BF$1:$CG$65000,$B639,BB$5)=1,1,IF(INDEX([1]Pivot!$B$1:$AB$65000,$B639,BB$5)="",2,0)),0)</f>
        <v>0</v>
      </c>
      <c r="BC639" s="313">
        <f>IFERROR(IF(INDEX([1]Pivot!$BF$1:$CG$65000,$B639,BC$5)=1,1,IF(INDEX([1]Pivot!$B$1:$AB$65000,$B639,BC$5)="",2,0)),0)</f>
        <v>0</v>
      </c>
      <c r="BD639" s="313">
        <f>IFERROR(IF(INDEX([1]Pivot!$BF$1:$CG$65000,$B639,BD$5)=1,1,IF(INDEX([1]Pivot!$B$1:$AB$65000,$B639,BD$5)="",2,0)),0)</f>
        <v>0</v>
      </c>
    </row>
    <row r="640" spans="1:56" x14ac:dyDescent="0.25">
      <c r="A640" s="288">
        <f>'[2]Raw Milk Prices'!A640</f>
        <v>0</v>
      </c>
      <c r="B640" s="296" t="e">
        <f>MATCH(DATE(LEFT('[2]Raw Milk Prices'!$A640,4),RIGHT('[2]Raw Milk Prices'!$A640,2),1),[1]Pivot!$A$1:$A$65000,0)</f>
        <v>#VALUE!</v>
      </c>
      <c r="C640" s="194">
        <f>IFERROR(IF(INDEX([1]Pivot!$AD$1:$BE$65000,$B640,C$5)=1,1,IF(INDEX([1]Pivot!$B$1:$AB$65000,$B640,C$5)="",2,0)),0)</f>
        <v>0</v>
      </c>
      <c r="D640" s="194">
        <f>IFERROR(IF(INDEX([1]Pivot!$AD$1:$BE$65000,$B640,D$5)=1,1,IF(INDEX([1]Pivot!$B$1:$AB$65000,$B640,D$5)="",2,0)),0)</f>
        <v>0</v>
      </c>
      <c r="E640" s="194">
        <f>IFERROR(IF(INDEX([1]Pivot!$AD$1:$BE$65000,$B640,E$5)=1,1,IF(INDEX([1]Pivot!$B$1:$AB$65000,$B640,E$5)="",2,0)),0)</f>
        <v>0</v>
      </c>
      <c r="F640" s="194">
        <f>IFERROR(IF(INDEX([1]Pivot!$AD$1:$BE$65000,$B640,F$5)=1,1,IF(INDEX([1]Pivot!$B$1:$AB$65000,$B640,F$5)="",2,0)),0)</f>
        <v>0</v>
      </c>
      <c r="G640" s="194">
        <f>IFERROR(IF(INDEX([1]Pivot!$AD$1:$BE$65000,$B640,G$5)=1,1,IF(INDEX([1]Pivot!$B$1:$AB$65000,$B640,G$5)="",2,0)),0)</f>
        <v>0</v>
      </c>
      <c r="H640" s="194">
        <f>IFERROR(IF(INDEX([1]Pivot!$AD$1:$BE$65000,$B640,H$5)=1,1,IF(INDEX([1]Pivot!$B$1:$AB$65000,$B640,H$5)="",2,0)),0)</f>
        <v>0</v>
      </c>
      <c r="I640" s="194">
        <f>IFERROR(IF(INDEX([1]Pivot!$AD$1:$BE$65000,$B640,I$5)=1,1,IF(INDEX([1]Pivot!$B$1:$AB$65000,$B640,I$5)="",2,0)),0)</f>
        <v>0</v>
      </c>
      <c r="J640" s="194">
        <f>IFERROR(IF(INDEX([1]Pivot!$AD$1:$BE$65000,$B640,J$5)=1,1,IF(INDEX([1]Pivot!$B$1:$AB$65000,$B640,J$5)="",2,0)),0)</f>
        <v>0</v>
      </c>
      <c r="K640" s="194">
        <f>IFERROR(IF(INDEX([1]Pivot!$AD$1:$BE$65000,$B640,K$5)=1,1,IF(INDEX([1]Pivot!$B$1:$AB$65000,$B640,K$5)="",2,0)),0)</f>
        <v>0</v>
      </c>
      <c r="L640" s="194">
        <f>IFERROR(IF(INDEX([1]Pivot!$AD$1:$BE$65000,$B640,L$5)=1,1,IF(INDEX([1]Pivot!$B$1:$AB$65000,$B640,L$5)="",2,0)),0)</f>
        <v>0</v>
      </c>
      <c r="M640" s="194">
        <f>IFERROR(IF(INDEX([1]Pivot!$AD$1:$BE$65000,$B640,M$5)=1,1,IF(INDEX([1]Pivot!$B$1:$AB$65000,$B640,M$5)="",2,0)),0)</f>
        <v>0</v>
      </c>
      <c r="N640" s="194">
        <f>IFERROR(IF(INDEX([1]Pivot!$AD$1:$BE$65000,$B640,N$5)=1,1,IF(INDEX([1]Pivot!$B$1:$AB$65000,$B640,N$5)="",2,0)),0)</f>
        <v>0</v>
      </c>
      <c r="O640" s="194">
        <f>IFERROR(IF(INDEX([1]Pivot!$AD$1:$BE$65000,$B640,O$5)=1,1,IF(INDEX([1]Pivot!$B$1:$AB$65000,$B640,O$5)="",2,0)),0)</f>
        <v>0</v>
      </c>
      <c r="P640" s="194">
        <f>IFERROR(IF(INDEX([1]Pivot!$AD$1:$BE$65000,$B640,P$5)=1,1,IF(INDEX([1]Pivot!$B$1:$AB$65000,$B640,P$5)="",2,0)),0)</f>
        <v>0</v>
      </c>
      <c r="Q640" s="194">
        <f>IFERROR(IF(INDEX([1]Pivot!$AD$1:$BE$65000,$B640,Q$5)=1,1,IF(INDEX([1]Pivot!$B$1:$AB$65000,$B640,Q$5)="",2,0)),0)</f>
        <v>0</v>
      </c>
      <c r="R640" s="312"/>
      <c r="S640" s="194">
        <f>IFERROR(IF(INDEX([1]Pivot!$AD$1:$BE$65000,$B640,S$5)=1,1,IF(INDEX([1]Pivot!$B$1:$AB$65000,$B640,S$5)="",2,0)),0)</f>
        <v>0</v>
      </c>
      <c r="T640" s="194">
        <f>IFERROR(IF(INDEX([1]Pivot!$AD$1:$BE$65000,$B640,T$5)=1,1,IF(INDEX([1]Pivot!$B$1:$AB$65000,$B640,T$5)="",2,0)),0)</f>
        <v>0</v>
      </c>
      <c r="U640" s="194">
        <f>IFERROR(IF(INDEX([1]Pivot!$AD$1:$BE$65000,$B640,U$5)=1,1,IF(INDEX([1]Pivot!$B$1:$AB$65000,$B640,U$5)="",2,0)),0)</f>
        <v>0</v>
      </c>
      <c r="V640" s="194">
        <f>IFERROR(IF(INDEX([1]Pivot!$AD$1:$BE$65000,$B640,V$5)=1,1,IF(INDEX([1]Pivot!$B$1:$AB$65000,$B640,V$5)="",2,0)),0)</f>
        <v>0</v>
      </c>
      <c r="W640" s="194">
        <f>IFERROR(IF(INDEX([1]Pivot!$AD$1:$BE$65000,$B640,W$5)=1,1,IF(INDEX([1]Pivot!$B$1:$AB$65000,$B640,W$5)="",2,0)),0)</f>
        <v>0</v>
      </c>
      <c r="X640" s="194">
        <f>IFERROR(IF(INDEX([1]Pivot!$AD$1:$BE$65000,$B640,X$5)=1,1,IF(INDEX([1]Pivot!$B$1:$AB$65000,$B640,X$5)="",2,0)),0)</f>
        <v>0</v>
      </c>
      <c r="Y640" s="194">
        <f>IFERROR(IF(INDEX([1]Pivot!$AD$1:$BE$65000,$B640,Y$5)=1,1,IF(INDEX([1]Pivot!$B$1:$AB$65000,$B640,Y$5)="",2,0)),0)</f>
        <v>0</v>
      </c>
      <c r="Z640" s="194">
        <f>IFERROR(IF(INDEX([1]Pivot!$AD$1:$BE$65000,$B640,Z$5)=1,1,IF(INDEX([1]Pivot!$B$1:$AB$65000,$B640,Z$5)="",2,0)),0)</f>
        <v>0</v>
      </c>
      <c r="AA640" s="194">
        <f>IFERROR(IF(INDEX([1]Pivot!$AD$1:$BE$65000,$B640,AA$5)=1,1,IF(INDEX([1]Pivot!$B$1:$AB$65000,$B640,AA$5)="",2,0)),0)</f>
        <v>0</v>
      </c>
      <c r="AB640" s="194">
        <f>IFERROR(IF(INDEX([1]Pivot!$AD$1:$BE$65000,$B640,AB$5)=1,1,IF(INDEX([1]Pivot!$B$1:$AB$65000,$B640,AB$5)="",2,0)),0)</f>
        <v>0</v>
      </c>
      <c r="AC640" s="194">
        <f>IFERROR(IF(INDEX([1]Pivot!$AD$1:$BE$65000,$B640,AC$5)=1,1,IF(INDEX([1]Pivot!$B$1:$AB$65000,$B640,AC$5)="",2,0)),0)</f>
        <v>0</v>
      </c>
      <c r="AD640" s="313">
        <f>IFERROR(IF(INDEX([1]Pivot!$BF$1:$CG$65000,$B640,AD$5)=1,1,IF(INDEX([1]Pivot!$B$1:$AB$65000,$B640,AD$5)="",2,0)),0)</f>
        <v>0</v>
      </c>
      <c r="AE640" s="313">
        <f>IFERROR(IF(INDEX([1]Pivot!$BF$1:$CG$65000,$B640,AE$5)=1,1,IF(INDEX([1]Pivot!$B$1:$AB$65000,$B640,AE$5)="",2,0)),0)</f>
        <v>0</v>
      </c>
      <c r="AF640" s="313">
        <f>IFERROR(IF(INDEX([1]Pivot!$BF$1:$CG$65000,$B640,AF$5)=1,1,IF(INDEX([1]Pivot!$B$1:$AB$65000,$B640,AF$5)="",2,0)),0)</f>
        <v>0</v>
      </c>
      <c r="AG640" s="313">
        <f>IFERROR(IF(INDEX([1]Pivot!$BF$1:$CG$65000,$B640,AG$5)=1,1,IF(INDEX([1]Pivot!$B$1:$AB$65000,$B640,AG$5)="",2,0)),0)</f>
        <v>0</v>
      </c>
      <c r="AH640" s="313">
        <f>IFERROR(IF(INDEX([1]Pivot!$BF$1:$CG$65000,$B640,AH$5)=1,1,IF(INDEX([1]Pivot!$B$1:$AB$65000,$B640,AH$5)="",2,0)),0)</f>
        <v>0</v>
      </c>
      <c r="AI640" s="313">
        <f>IFERROR(IF(INDEX([1]Pivot!$BF$1:$CG$65000,$B640,AI$5)=1,1,IF(INDEX([1]Pivot!$B$1:$AB$65000,$B640,AI$5)="",2,0)),0)</f>
        <v>0</v>
      </c>
      <c r="AJ640" s="313">
        <f>IFERROR(IF(INDEX([1]Pivot!$BF$1:$CG$65000,$B640,AJ$5)=1,1,IF(INDEX([1]Pivot!$B$1:$AB$65000,$B640,AJ$5)="",2,0)),0)</f>
        <v>0</v>
      </c>
      <c r="AK640" s="313">
        <f>IFERROR(IF(INDEX([1]Pivot!$BF$1:$CG$65000,$B640,AK$5)=1,1,IF(INDEX([1]Pivot!$B$1:$AB$65000,$B640,AK$5)="",2,0)),0)</f>
        <v>0</v>
      </c>
      <c r="AL640" s="313">
        <f>IFERROR(IF(INDEX([1]Pivot!$BF$1:$CG$65000,$B640,AL$5)=1,1,IF(INDEX([1]Pivot!$B$1:$AB$65000,$B640,AL$5)="",2,0)),0)</f>
        <v>0</v>
      </c>
      <c r="AM640" s="313">
        <f>IFERROR(IF(INDEX([1]Pivot!$BF$1:$CG$65000,$B640,AM$5)=1,1,IF(INDEX([1]Pivot!$B$1:$AB$65000,$B640,AM$5)="",2,0)),0)</f>
        <v>0</v>
      </c>
      <c r="AN640" s="313">
        <f>IFERROR(IF(INDEX([1]Pivot!$BF$1:$CG$65000,$B640,AN$5)=1,1,IF(INDEX([1]Pivot!$B$1:$AB$65000,$B640,AN$5)="",2,0)),0)</f>
        <v>0</v>
      </c>
      <c r="AO640" s="313">
        <f>IFERROR(IF(INDEX([1]Pivot!$BF$1:$CG$65000,$B640,AO$5)=1,1,IF(INDEX([1]Pivot!$B$1:$AB$65000,$B640,AO$5)="",2,0)),0)</f>
        <v>0</v>
      </c>
      <c r="AP640" s="313">
        <f>IFERROR(IF(INDEX([1]Pivot!$BF$1:$CG$65000,$B640,AP$5)=1,1,IF(INDEX([1]Pivot!$B$1:$AB$65000,$B640,AP$5)="",2,0)),0)</f>
        <v>0</v>
      </c>
      <c r="AQ640" s="313">
        <f>IFERROR(IF(INDEX([1]Pivot!$BF$1:$CG$65000,$B640,AQ$5)=1,1,IF(INDEX([1]Pivot!$B$1:$AB$65000,$B640,AQ$5)="",2,0)),0)</f>
        <v>0</v>
      </c>
      <c r="AR640" s="313">
        <f>IFERROR(IF(INDEX([1]Pivot!$BF$1:$CG$65000,$B640,AR$5)=1,1,IF(INDEX([1]Pivot!$B$1:$AB$65000,$B640,AR$5)="",2,0)),0)</f>
        <v>0</v>
      </c>
      <c r="AS640" s="312"/>
      <c r="AT640" s="313">
        <f>IFERROR(IF(INDEX([1]Pivot!$BF$1:$CG$65000,$B640,AT$5)=1,1,IF(INDEX([1]Pivot!$B$1:$AB$65000,$B640,AT$5)="",2,0)),0)</f>
        <v>0</v>
      </c>
      <c r="AU640" s="313">
        <f>IFERROR(IF(INDEX([1]Pivot!$BF$1:$CG$65000,$B640,AU$5)=1,1,IF(INDEX([1]Pivot!$B$1:$AB$65000,$B640,AU$5)="",2,0)),0)</f>
        <v>0</v>
      </c>
      <c r="AV640" s="313">
        <f>IFERROR(IF(INDEX([1]Pivot!$BF$1:$CG$65000,$B640,AV$5)=1,1,IF(INDEX([1]Pivot!$B$1:$AB$65000,$B640,AV$5)="",2,0)),0)</f>
        <v>0</v>
      </c>
      <c r="AW640" s="313">
        <f>IFERROR(IF(INDEX([1]Pivot!$BF$1:$CG$65000,$B640,AW$5)=1,1,IF(INDEX([1]Pivot!$B$1:$AB$65000,$B640,AW$5)="",2,0)),0)</f>
        <v>0</v>
      </c>
      <c r="AX640" s="313">
        <f>IFERROR(IF(INDEX([1]Pivot!$BF$1:$CG$65000,$B640,AX$5)=1,1,IF(INDEX([1]Pivot!$B$1:$AB$65000,$B640,AX$5)="",2,0)),0)</f>
        <v>0</v>
      </c>
      <c r="AY640" s="313">
        <f>IFERROR(IF(INDEX([1]Pivot!$BF$1:$CG$65000,$B640,AY$5)=1,1,IF(INDEX([1]Pivot!$B$1:$AB$65000,$B640,AY$5)="",2,0)),0)</f>
        <v>0</v>
      </c>
      <c r="AZ640" s="313">
        <f>IFERROR(IF(INDEX([1]Pivot!$BF$1:$CG$65000,$B640,AZ$5)=1,1,IF(INDEX([1]Pivot!$B$1:$AB$65000,$B640,AZ$5)="",2,0)),0)</f>
        <v>0</v>
      </c>
      <c r="BA640" s="313">
        <f>IFERROR(IF(INDEX([1]Pivot!$BF$1:$CG$65000,$B640,BA$5)=1,1,IF(INDEX([1]Pivot!$B$1:$AB$65000,$B640,BA$5)="",2,0)),0)</f>
        <v>0</v>
      </c>
      <c r="BB640" s="313">
        <f>IFERROR(IF(INDEX([1]Pivot!$BF$1:$CG$65000,$B640,BB$5)=1,1,IF(INDEX([1]Pivot!$B$1:$AB$65000,$B640,BB$5)="",2,0)),0)</f>
        <v>0</v>
      </c>
      <c r="BC640" s="313">
        <f>IFERROR(IF(INDEX([1]Pivot!$BF$1:$CG$65000,$B640,BC$5)=1,1,IF(INDEX([1]Pivot!$B$1:$AB$65000,$B640,BC$5)="",2,0)),0)</f>
        <v>0</v>
      </c>
      <c r="BD640" s="313">
        <f>IFERROR(IF(INDEX([1]Pivot!$BF$1:$CG$65000,$B640,BD$5)=1,1,IF(INDEX([1]Pivot!$B$1:$AB$65000,$B640,BD$5)="",2,0)),0)</f>
        <v>0</v>
      </c>
    </row>
    <row r="641" spans="1:56" x14ac:dyDescent="0.25">
      <c r="A641" s="288">
        <f>'[2]Raw Milk Prices'!A641</f>
        <v>0</v>
      </c>
      <c r="B641" s="296" t="e">
        <f>MATCH(DATE(LEFT('[2]Raw Milk Prices'!$A641,4),RIGHT('[2]Raw Milk Prices'!$A641,2),1),[1]Pivot!$A$1:$A$65000,0)</f>
        <v>#VALUE!</v>
      </c>
      <c r="C641" s="194">
        <f>IFERROR(IF(INDEX([1]Pivot!$AD$1:$BE$65000,$B641,C$5)=1,1,IF(INDEX([1]Pivot!$B$1:$AB$65000,$B641,C$5)="",2,0)),0)</f>
        <v>0</v>
      </c>
      <c r="D641" s="194">
        <f>IFERROR(IF(INDEX([1]Pivot!$AD$1:$BE$65000,$B641,D$5)=1,1,IF(INDEX([1]Pivot!$B$1:$AB$65000,$B641,D$5)="",2,0)),0)</f>
        <v>0</v>
      </c>
      <c r="E641" s="194">
        <f>IFERROR(IF(INDEX([1]Pivot!$AD$1:$BE$65000,$B641,E$5)=1,1,IF(INDEX([1]Pivot!$B$1:$AB$65000,$B641,E$5)="",2,0)),0)</f>
        <v>0</v>
      </c>
      <c r="F641" s="194">
        <f>IFERROR(IF(INDEX([1]Pivot!$AD$1:$BE$65000,$B641,F$5)=1,1,IF(INDEX([1]Pivot!$B$1:$AB$65000,$B641,F$5)="",2,0)),0)</f>
        <v>0</v>
      </c>
      <c r="G641" s="194">
        <f>IFERROR(IF(INDEX([1]Pivot!$AD$1:$BE$65000,$B641,G$5)=1,1,IF(INDEX([1]Pivot!$B$1:$AB$65000,$B641,G$5)="",2,0)),0)</f>
        <v>0</v>
      </c>
      <c r="H641" s="194">
        <f>IFERROR(IF(INDEX([1]Pivot!$AD$1:$BE$65000,$B641,H$5)=1,1,IF(INDEX([1]Pivot!$B$1:$AB$65000,$B641,H$5)="",2,0)),0)</f>
        <v>0</v>
      </c>
      <c r="I641" s="194">
        <f>IFERROR(IF(INDEX([1]Pivot!$AD$1:$BE$65000,$B641,I$5)=1,1,IF(INDEX([1]Pivot!$B$1:$AB$65000,$B641,I$5)="",2,0)),0)</f>
        <v>0</v>
      </c>
      <c r="J641" s="194">
        <f>IFERROR(IF(INDEX([1]Pivot!$AD$1:$BE$65000,$B641,J$5)=1,1,IF(INDEX([1]Pivot!$B$1:$AB$65000,$B641,J$5)="",2,0)),0)</f>
        <v>0</v>
      </c>
      <c r="K641" s="194">
        <f>IFERROR(IF(INDEX([1]Pivot!$AD$1:$BE$65000,$B641,K$5)=1,1,IF(INDEX([1]Pivot!$B$1:$AB$65000,$B641,K$5)="",2,0)),0)</f>
        <v>0</v>
      </c>
      <c r="L641" s="194">
        <f>IFERROR(IF(INDEX([1]Pivot!$AD$1:$BE$65000,$B641,L$5)=1,1,IF(INDEX([1]Pivot!$B$1:$AB$65000,$B641,L$5)="",2,0)),0)</f>
        <v>0</v>
      </c>
      <c r="M641" s="194">
        <f>IFERROR(IF(INDEX([1]Pivot!$AD$1:$BE$65000,$B641,M$5)=1,1,IF(INDEX([1]Pivot!$B$1:$AB$65000,$B641,M$5)="",2,0)),0)</f>
        <v>0</v>
      </c>
      <c r="N641" s="194">
        <f>IFERROR(IF(INDEX([1]Pivot!$AD$1:$BE$65000,$B641,N$5)=1,1,IF(INDEX([1]Pivot!$B$1:$AB$65000,$B641,N$5)="",2,0)),0)</f>
        <v>0</v>
      </c>
      <c r="O641" s="194">
        <f>IFERROR(IF(INDEX([1]Pivot!$AD$1:$BE$65000,$B641,O$5)=1,1,IF(INDEX([1]Pivot!$B$1:$AB$65000,$B641,O$5)="",2,0)),0)</f>
        <v>0</v>
      </c>
      <c r="P641" s="194">
        <f>IFERROR(IF(INDEX([1]Pivot!$AD$1:$BE$65000,$B641,P$5)=1,1,IF(INDEX([1]Pivot!$B$1:$AB$65000,$B641,P$5)="",2,0)),0)</f>
        <v>0</v>
      </c>
      <c r="Q641" s="194">
        <f>IFERROR(IF(INDEX([1]Pivot!$AD$1:$BE$65000,$B641,Q$5)=1,1,IF(INDEX([1]Pivot!$B$1:$AB$65000,$B641,Q$5)="",2,0)),0)</f>
        <v>0</v>
      </c>
      <c r="R641" s="312"/>
      <c r="S641" s="194">
        <f>IFERROR(IF(INDEX([1]Pivot!$AD$1:$BE$65000,$B641,S$5)=1,1,IF(INDEX([1]Pivot!$B$1:$AB$65000,$B641,S$5)="",2,0)),0)</f>
        <v>0</v>
      </c>
      <c r="T641" s="194">
        <f>IFERROR(IF(INDEX([1]Pivot!$AD$1:$BE$65000,$B641,T$5)=1,1,IF(INDEX([1]Pivot!$B$1:$AB$65000,$B641,T$5)="",2,0)),0)</f>
        <v>0</v>
      </c>
      <c r="U641" s="194">
        <f>IFERROR(IF(INDEX([1]Pivot!$AD$1:$BE$65000,$B641,U$5)=1,1,IF(INDEX([1]Pivot!$B$1:$AB$65000,$B641,U$5)="",2,0)),0)</f>
        <v>0</v>
      </c>
      <c r="V641" s="194">
        <f>IFERROR(IF(INDEX([1]Pivot!$AD$1:$BE$65000,$B641,V$5)=1,1,IF(INDEX([1]Pivot!$B$1:$AB$65000,$B641,V$5)="",2,0)),0)</f>
        <v>0</v>
      </c>
      <c r="W641" s="194">
        <f>IFERROR(IF(INDEX([1]Pivot!$AD$1:$BE$65000,$B641,W$5)=1,1,IF(INDEX([1]Pivot!$B$1:$AB$65000,$B641,W$5)="",2,0)),0)</f>
        <v>0</v>
      </c>
      <c r="X641" s="194">
        <f>IFERROR(IF(INDEX([1]Pivot!$AD$1:$BE$65000,$B641,X$5)=1,1,IF(INDEX([1]Pivot!$B$1:$AB$65000,$B641,X$5)="",2,0)),0)</f>
        <v>0</v>
      </c>
      <c r="Y641" s="194">
        <f>IFERROR(IF(INDEX([1]Pivot!$AD$1:$BE$65000,$B641,Y$5)=1,1,IF(INDEX([1]Pivot!$B$1:$AB$65000,$B641,Y$5)="",2,0)),0)</f>
        <v>0</v>
      </c>
      <c r="Z641" s="194">
        <f>IFERROR(IF(INDEX([1]Pivot!$AD$1:$BE$65000,$B641,Z$5)=1,1,IF(INDEX([1]Pivot!$B$1:$AB$65000,$B641,Z$5)="",2,0)),0)</f>
        <v>0</v>
      </c>
      <c r="AA641" s="194">
        <f>IFERROR(IF(INDEX([1]Pivot!$AD$1:$BE$65000,$B641,AA$5)=1,1,IF(INDEX([1]Pivot!$B$1:$AB$65000,$B641,AA$5)="",2,0)),0)</f>
        <v>0</v>
      </c>
      <c r="AB641" s="194">
        <f>IFERROR(IF(INDEX([1]Pivot!$AD$1:$BE$65000,$B641,AB$5)=1,1,IF(INDEX([1]Pivot!$B$1:$AB$65000,$B641,AB$5)="",2,0)),0)</f>
        <v>0</v>
      </c>
      <c r="AC641" s="194">
        <f>IFERROR(IF(INDEX([1]Pivot!$AD$1:$BE$65000,$B641,AC$5)=1,1,IF(INDEX([1]Pivot!$B$1:$AB$65000,$B641,AC$5)="",2,0)),0)</f>
        <v>0</v>
      </c>
      <c r="AD641" s="313">
        <f>IFERROR(IF(INDEX([1]Pivot!$BF$1:$CG$65000,$B641,AD$5)=1,1,IF(INDEX([1]Pivot!$B$1:$AB$65000,$B641,AD$5)="",2,0)),0)</f>
        <v>0</v>
      </c>
      <c r="AE641" s="313">
        <f>IFERROR(IF(INDEX([1]Pivot!$BF$1:$CG$65000,$B641,AE$5)=1,1,IF(INDEX([1]Pivot!$B$1:$AB$65000,$B641,AE$5)="",2,0)),0)</f>
        <v>0</v>
      </c>
      <c r="AF641" s="313">
        <f>IFERROR(IF(INDEX([1]Pivot!$BF$1:$CG$65000,$B641,AF$5)=1,1,IF(INDEX([1]Pivot!$B$1:$AB$65000,$B641,AF$5)="",2,0)),0)</f>
        <v>0</v>
      </c>
      <c r="AG641" s="313">
        <f>IFERROR(IF(INDEX([1]Pivot!$BF$1:$CG$65000,$B641,AG$5)=1,1,IF(INDEX([1]Pivot!$B$1:$AB$65000,$B641,AG$5)="",2,0)),0)</f>
        <v>0</v>
      </c>
      <c r="AH641" s="313">
        <f>IFERROR(IF(INDEX([1]Pivot!$BF$1:$CG$65000,$B641,AH$5)=1,1,IF(INDEX([1]Pivot!$B$1:$AB$65000,$B641,AH$5)="",2,0)),0)</f>
        <v>0</v>
      </c>
      <c r="AI641" s="313">
        <f>IFERROR(IF(INDEX([1]Pivot!$BF$1:$CG$65000,$B641,AI$5)=1,1,IF(INDEX([1]Pivot!$B$1:$AB$65000,$B641,AI$5)="",2,0)),0)</f>
        <v>0</v>
      </c>
      <c r="AJ641" s="313">
        <f>IFERROR(IF(INDEX([1]Pivot!$BF$1:$CG$65000,$B641,AJ$5)=1,1,IF(INDEX([1]Pivot!$B$1:$AB$65000,$B641,AJ$5)="",2,0)),0)</f>
        <v>0</v>
      </c>
      <c r="AK641" s="313">
        <f>IFERROR(IF(INDEX([1]Pivot!$BF$1:$CG$65000,$B641,AK$5)=1,1,IF(INDEX([1]Pivot!$B$1:$AB$65000,$B641,AK$5)="",2,0)),0)</f>
        <v>0</v>
      </c>
      <c r="AL641" s="313">
        <f>IFERROR(IF(INDEX([1]Pivot!$BF$1:$CG$65000,$B641,AL$5)=1,1,IF(INDEX([1]Pivot!$B$1:$AB$65000,$B641,AL$5)="",2,0)),0)</f>
        <v>0</v>
      </c>
      <c r="AM641" s="313">
        <f>IFERROR(IF(INDEX([1]Pivot!$BF$1:$CG$65000,$B641,AM$5)=1,1,IF(INDEX([1]Pivot!$B$1:$AB$65000,$B641,AM$5)="",2,0)),0)</f>
        <v>0</v>
      </c>
      <c r="AN641" s="313">
        <f>IFERROR(IF(INDEX([1]Pivot!$BF$1:$CG$65000,$B641,AN$5)=1,1,IF(INDEX([1]Pivot!$B$1:$AB$65000,$B641,AN$5)="",2,0)),0)</f>
        <v>0</v>
      </c>
      <c r="AO641" s="313">
        <f>IFERROR(IF(INDEX([1]Pivot!$BF$1:$CG$65000,$B641,AO$5)=1,1,IF(INDEX([1]Pivot!$B$1:$AB$65000,$B641,AO$5)="",2,0)),0)</f>
        <v>0</v>
      </c>
      <c r="AP641" s="313">
        <f>IFERROR(IF(INDEX([1]Pivot!$BF$1:$CG$65000,$B641,AP$5)=1,1,IF(INDEX([1]Pivot!$B$1:$AB$65000,$B641,AP$5)="",2,0)),0)</f>
        <v>0</v>
      </c>
      <c r="AQ641" s="313">
        <f>IFERROR(IF(INDEX([1]Pivot!$BF$1:$CG$65000,$B641,AQ$5)=1,1,IF(INDEX([1]Pivot!$B$1:$AB$65000,$B641,AQ$5)="",2,0)),0)</f>
        <v>0</v>
      </c>
      <c r="AR641" s="313">
        <f>IFERROR(IF(INDEX([1]Pivot!$BF$1:$CG$65000,$B641,AR$5)=1,1,IF(INDEX([1]Pivot!$B$1:$AB$65000,$B641,AR$5)="",2,0)),0)</f>
        <v>0</v>
      </c>
      <c r="AS641" s="312"/>
      <c r="AT641" s="313">
        <f>IFERROR(IF(INDEX([1]Pivot!$BF$1:$CG$65000,$B641,AT$5)=1,1,IF(INDEX([1]Pivot!$B$1:$AB$65000,$B641,AT$5)="",2,0)),0)</f>
        <v>0</v>
      </c>
      <c r="AU641" s="313">
        <f>IFERROR(IF(INDEX([1]Pivot!$BF$1:$CG$65000,$B641,AU$5)=1,1,IF(INDEX([1]Pivot!$B$1:$AB$65000,$B641,AU$5)="",2,0)),0)</f>
        <v>0</v>
      </c>
      <c r="AV641" s="313">
        <f>IFERROR(IF(INDEX([1]Pivot!$BF$1:$CG$65000,$B641,AV$5)=1,1,IF(INDEX([1]Pivot!$B$1:$AB$65000,$B641,AV$5)="",2,0)),0)</f>
        <v>0</v>
      </c>
      <c r="AW641" s="313">
        <f>IFERROR(IF(INDEX([1]Pivot!$BF$1:$CG$65000,$B641,AW$5)=1,1,IF(INDEX([1]Pivot!$B$1:$AB$65000,$B641,AW$5)="",2,0)),0)</f>
        <v>0</v>
      </c>
      <c r="AX641" s="313">
        <f>IFERROR(IF(INDEX([1]Pivot!$BF$1:$CG$65000,$B641,AX$5)=1,1,IF(INDEX([1]Pivot!$B$1:$AB$65000,$B641,AX$5)="",2,0)),0)</f>
        <v>0</v>
      </c>
      <c r="AY641" s="313">
        <f>IFERROR(IF(INDEX([1]Pivot!$BF$1:$CG$65000,$B641,AY$5)=1,1,IF(INDEX([1]Pivot!$B$1:$AB$65000,$B641,AY$5)="",2,0)),0)</f>
        <v>0</v>
      </c>
      <c r="AZ641" s="313">
        <f>IFERROR(IF(INDEX([1]Pivot!$BF$1:$CG$65000,$B641,AZ$5)=1,1,IF(INDEX([1]Pivot!$B$1:$AB$65000,$B641,AZ$5)="",2,0)),0)</f>
        <v>0</v>
      </c>
      <c r="BA641" s="313">
        <f>IFERROR(IF(INDEX([1]Pivot!$BF$1:$CG$65000,$B641,BA$5)=1,1,IF(INDEX([1]Pivot!$B$1:$AB$65000,$B641,BA$5)="",2,0)),0)</f>
        <v>0</v>
      </c>
      <c r="BB641" s="313">
        <f>IFERROR(IF(INDEX([1]Pivot!$BF$1:$CG$65000,$B641,BB$5)=1,1,IF(INDEX([1]Pivot!$B$1:$AB$65000,$B641,BB$5)="",2,0)),0)</f>
        <v>0</v>
      </c>
      <c r="BC641" s="313">
        <f>IFERROR(IF(INDEX([1]Pivot!$BF$1:$CG$65000,$B641,BC$5)=1,1,IF(INDEX([1]Pivot!$B$1:$AB$65000,$B641,BC$5)="",2,0)),0)</f>
        <v>0</v>
      </c>
      <c r="BD641" s="313">
        <f>IFERROR(IF(INDEX([1]Pivot!$BF$1:$CG$65000,$B641,BD$5)=1,1,IF(INDEX([1]Pivot!$B$1:$AB$65000,$B641,BD$5)="",2,0)),0)</f>
        <v>0</v>
      </c>
    </row>
    <row r="642" spans="1:56" x14ac:dyDescent="0.25">
      <c r="A642" s="288">
        <f>'[2]Raw Milk Prices'!A642</f>
        <v>0</v>
      </c>
      <c r="B642" s="296" t="e">
        <f>MATCH(DATE(LEFT('[2]Raw Milk Prices'!$A642,4),RIGHT('[2]Raw Milk Prices'!$A642,2),1),[1]Pivot!$A$1:$A$65000,0)</f>
        <v>#VALUE!</v>
      </c>
      <c r="C642" s="194">
        <f>IFERROR(IF(INDEX([1]Pivot!$AD$1:$BE$65000,$B642,C$5)=1,1,IF(INDEX([1]Pivot!$B$1:$AB$65000,$B642,C$5)="",2,0)),0)</f>
        <v>0</v>
      </c>
      <c r="D642" s="194">
        <f>IFERROR(IF(INDEX([1]Pivot!$AD$1:$BE$65000,$B642,D$5)=1,1,IF(INDEX([1]Pivot!$B$1:$AB$65000,$B642,D$5)="",2,0)),0)</f>
        <v>0</v>
      </c>
      <c r="E642" s="194">
        <f>IFERROR(IF(INDEX([1]Pivot!$AD$1:$BE$65000,$B642,E$5)=1,1,IF(INDEX([1]Pivot!$B$1:$AB$65000,$B642,E$5)="",2,0)),0)</f>
        <v>0</v>
      </c>
      <c r="F642" s="194">
        <f>IFERROR(IF(INDEX([1]Pivot!$AD$1:$BE$65000,$B642,F$5)=1,1,IF(INDEX([1]Pivot!$B$1:$AB$65000,$B642,F$5)="",2,0)),0)</f>
        <v>0</v>
      </c>
      <c r="G642" s="194">
        <f>IFERROR(IF(INDEX([1]Pivot!$AD$1:$BE$65000,$B642,G$5)=1,1,IF(INDEX([1]Pivot!$B$1:$AB$65000,$B642,G$5)="",2,0)),0)</f>
        <v>0</v>
      </c>
      <c r="H642" s="194">
        <f>IFERROR(IF(INDEX([1]Pivot!$AD$1:$BE$65000,$B642,H$5)=1,1,IF(INDEX([1]Pivot!$B$1:$AB$65000,$B642,H$5)="",2,0)),0)</f>
        <v>0</v>
      </c>
      <c r="I642" s="194">
        <f>IFERROR(IF(INDEX([1]Pivot!$AD$1:$BE$65000,$B642,I$5)=1,1,IF(INDEX([1]Pivot!$B$1:$AB$65000,$B642,I$5)="",2,0)),0)</f>
        <v>0</v>
      </c>
      <c r="J642" s="194">
        <f>IFERROR(IF(INDEX([1]Pivot!$AD$1:$BE$65000,$B642,J$5)=1,1,IF(INDEX([1]Pivot!$B$1:$AB$65000,$B642,J$5)="",2,0)),0)</f>
        <v>0</v>
      </c>
      <c r="K642" s="194">
        <f>IFERROR(IF(INDEX([1]Pivot!$AD$1:$BE$65000,$B642,K$5)=1,1,IF(INDEX([1]Pivot!$B$1:$AB$65000,$B642,K$5)="",2,0)),0)</f>
        <v>0</v>
      </c>
      <c r="L642" s="194">
        <f>IFERROR(IF(INDEX([1]Pivot!$AD$1:$BE$65000,$B642,L$5)=1,1,IF(INDEX([1]Pivot!$B$1:$AB$65000,$B642,L$5)="",2,0)),0)</f>
        <v>0</v>
      </c>
      <c r="M642" s="194">
        <f>IFERROR(IF(INDEX([1]Pivot!$AD$1:$BE$65000,$B642,M$5)=1,1,IF(INDEX([1]Pivot!$B$1:$AB$65000,$B642,M$5)="",2,0)),0)</f>
        <v>0</v>
      </c>
      <c r="N642" s="194">
        <f>IFERROR(IF(INDEX([1]Pivot!$AD$1:$BE$65000,$B642,N$5)=1,1,IF(INDEX([1]Pivot!$B$1:$AB$65000,$B642,N$5)="",2,0)),0)</f>
        <v>0</v>
      </c>
      <c r="O642" s="194">
        <f>IFERROR(IF(INDEX([1]Pivot!$AD$1:$BE$65000,$B642,O$5)=1,1,IF(INDEX([1]Pivot!$B$1:$AB$65000,$B642,O$5)="",2,0)),0)</f>
        <v>0</v>
      </c>
      <c r="P642" s="194">
        <f>IFERROR(IF(INDEX([1]Pivot!$AD$1:$BE$65000,$B642,P$5)=1,1,IF(INDEX([1]Pivot!$B$1:$AB$65000,$B642,P$5)="",2,0)),0)</f>
        <v>0</v>
      </c>
      <c r="Q642" s="194">
        <f>IFERROR(IF(INDEX([1]Pivot!$AD$1:$BE$65000,$B642,Q$5)=1,1,IF(INDEX([1]Pivot!$B$1:$AB$65000,$B642,Q$5)="",2,0)),0)</f>
        <v>0</v>
      </c>
      <c r="R642" s="312"/>
      <c r="S642" s="194">
        <f>IFERROR(IF(INDEX([1]Pivot!$AD$1:$BE$65000,$B642,S$5)=1,1,IF(INDEX([1]Pivot!$B$1:$AB$65000,$B642,S$5)="",2,0)),0)</f>
        <v>0</v>
      </c>
      <c r="T642" s="194">
        <f>IFERROR(IF(INDEX([1]Pivot!$AD$1:$BE$65000,$B642,T$5)=1,1,IF(INDEX([1]Pivot!$B$1:$AB$65000,$B642,T$5)="",2,0)),0)</f>
        <v>0</v>
      </c>
      <c r="U642" s="194">
        <f>IFERROR(IF(INDEX([1]Pivot!$AD$1:$BE$65000,$B642,U$5)=1,1,IF(INDEX([1]Pivot!$B$1:$AB$65000,$B642,U$5)="",2,0)),0)</f>
        <v>0</v>
      </c>
      <c r="V642" s="194">
        <f>IFERROR(IF(INDEX([1]Pivot!$AD$1:$BE$65000,$B642,V$5)=1,1,IF(INDEX([1]Pivot!$B$1:$AB$65000,$B642,V$5)="",2,0)),0)</f>
        <v>0</v>
      </c>
      <c r="W642" s="194">
        <f>IFERROR(IF(INDEX([1]Pivot!$AD$1:$BE$65000,$B642,W$5)=1,1,IF(INDEX([1]Pivot!$B$1:$AB$65000,$B642,W$5)="",2,0)),0)</f>
        <v>0</v>
      </c>
      <c r="X642" s="194">
        <f>IFERROR(IF(INDEX([1]Pivot!$AD$1:$BE$65000,$B642,X$5)=1,1,IF(INDEX([1]Pivot!$B$1:$AB$65000,$B642,X$5)="",2,0)),0)</f>
        <v>0</v>
      </c>
      <c r="Y642" s="194">
        <f>IFERROR(IF(INDEX([1]Pivot!$AD$1:$BE$65000,$B642,Y$5)=1,1,IF(INDEX([1]Pivot!$B$1:$AB$65000,$B642,Y$5)="",2,0)),0)</f>
        <v>0</v>
      </c>
      <c r="Z642" s="194">
        <f>IFERROR(IF(INDEX([1]Pivot!$AD$1:$BE$65000,$B642,Z$5)=1,1,IF(INDEX([1]Pivot!$B$1:$AB$65000,$B642,Z$5)="",2,0)),0)</f>
        <v>0</v>
      </c>
      <c r="AA642" s="194">
        <f>IFERROR(IF(INDEX([1]Pivot!$AD$1:$BE$65000,$B642,AA$5)=1,1,IF(INDEX([1]Pivot!$B$1:$AB$65000,$B642,AA$5)="",2,0)),0)</f>
        <v>0</v>
      </c>
      <c r="AB642" s="194">
        <f>IFERROR(IF(INDEX([1]Pivot!$AD$1:$BE$65000,$B642,AB$5)=1,1,IF(INDEX([1]Pivot!$B$1:$AB$65000,$B642,AB$5)="",2,0)),0)</f>
        <v>0</v>
      </c>
      <c r="AC642" s="194">
        <f>IFERROR(IF(INDEX([1]Pivot!$AD$1:$BE$65000,$B642,AC$5)=1,1,IF(INDEX([1]Pivot!$B$1:$AB$65000,$B642,AC$5)="",2,0)),0)</f>
        <v>0</v>
      </c>
      <c r="AD642" s="313">
        <f>IFERROR(IF(INDEX([1]Pivot!$BF$1:$CG$65000,$B642,AD$5)=1,1,IF(INDEX([1]Pivot!$B$1:$AB$65000,$B642,AD$5)="",2,0)),0)</f>
        <v>0</v>
      </c>
      <c r="AE642" s="313">
        <f>IFERROR(IF(INDEX([1]Pivot!$BF$1:$CG$65000,$B642,AE$5)=1,1,IF(INDEX([1]Pivot!$B$1:$AB$65000,$B642,AE$5)="",2,0)),0)</f>
        <v>0</v>
      </c>
      <c r="AF642" s="313">
        <f>IFERROR(IF(INDEX([1]Pivot!$BF$1:$CG$65000,$B642,AF$5)=1,1,IF(INDEX([1]Pivot!$B$1:$AB$65000,$B642,AF$5)="",2,0)),0)</f>
        <v>0</v>
      </c>
      <c r="AG642" s="313">
        <f>IFERROR(IF(INDEX([1]Pivot!$BF$1:$CG$65000,$B642,AG$5)=1,1,IF(INDEX([1]Pivot!$B$1:$AB$65000,$B642,AG$5)="",2,0)),0)</f>
        <v>0</v>
      </c>
      <c r="AH642" s="313">
        <f>IFERROR(IF(INDEX([1]Pivot!$BF$1:$CG$65000,$B642,AH$5)=1,1,IF(INDEX([1]Pivot!$B$1:$AB$65000,$B642,AH$5)="",2,0)),0)</f>
        <v>0</v>
      </c>
      <c r="AI642" s="313">
        <f>IFERROR(IF(INDEX([1]Pivot!$BF$1:$CG$65000,$B642,AI$5)=1,1,IF(INDEX([1]Pivot!$B$1:$AB$65000,$B642,AI$5)="",2,0)),0)</f>
        <v>0</v>
      </c>
      <c r="AJ642" s="313">
        <f>IFERROR(IF(INDEX([1]Pivot!$BF$1:$CG$65000,$B642,AJ$5)=1,1,IF(INDEX([1]Pivot!$B$1:$AB$65000,$B642,AJ$5)="",2,0)),0)</f>
        <v>0</v>
      </c>
      <c r="AK642" s="313">
        <f>IFERROR(IF(INDEX([1]Pivot!$BF$1:$CG$65000,$B642,AK$5)=1,1,IF(INDEX([1]Pivot!$B$1:$AB$65000,$B642,AK$5)="",2,0)),0)</f>
        <v>0</v>
      </c>
      <c r="AL642" s="313">
        <f>IFERROR(IF(INDEX([1]Pivot!$BF$1:$CG$65000,$B642,AL$5)=1,1,IF(INDEX([1]Pivot!$B$1:$AB$65000,$B642,AL$5)="",2,0)),0)</f>
        <v>0</v>
      </c>
      <c r="AM642" s="313">
        <f>IFERROR(IF(INDEX([1]Pivot!$BF$1:$CG$65000,$B642,AM$5)=1,1,IF(INDEX([1]Pivot!$B$1:$AB$65000,$B642,AM$5)="",2,0)),0)</f>
        <v>0</v>
      </c>
      <c r="AN642" s="313">
        <f>IFERROR(IF(INDEX([1]Pivot!$BF$1:$CG$65000,$B642,AN$5)=1,1,IF(INDEX([1]Pivot!$B$1:$AB$65000,$B642,AN$5)="",2,0)),0)</f>
        <v>0</v>
      </c>
      <c r="AO642" s="313">
        <f>IFERROR(IF(INDEX([1]Pivot!$BF$1:$CG$65000,$B642,AO$5)=1,1,IF(INDEX([1]Pivot!$B$1:$AB$65000,$B642,AO$5)="",2,0)),0)</f>
        <v>0</v>
      </c>
      <c r="AP642" s="313">
        <f>IFERROR(IF(INDEX([1]Pivot!$BF$1:$CG$65000,$B642,AP$5)=1,1,IF(INDEX([1]Pivot!$B$1:$AB$65000,$B642,AP$5)="",2,0)),0)</f>
        <v>0</v>
      </c>
      <c r="AQ642" s="313">
        <f>IFERROR(IF(INDEX([1]Pivot!$BF$1:$CG$65000,$B642,AQ$5)=1,1,IF(INDEX([1]Pivot!$B$1:$AB$65000,$B642,AQ$5)="",2,0)),0)</f>
        <v>0</v>
      </c>
      <c r="AR642" s="313">
        <f>IFERROR(IF(INDEX([1]Pivot!$BF$1:$CG$65000,$B642,AR$5)=1,1,IF(INDEX([1]Pivot!$B$1:$AB$65000,$B642,AR$5)="",2,0)),0)</f>
        <v>0</v>
      </c>
      <c r="AS642" s="312"/>
      <c r="AT642" s="313">
        <f>IFERROR(IF(INDEX([1]Pivot!$BF$1:$CG$65000,$B642,AT$5)=1,1,IF(INDEX([1]Pivot!$B$1:$AB$65000,$B642,AT$5)="",2,0)),0)</f>
        <v>0</v>
      </c>
      <c r="AU642" s="313">
        <f>IFERROR(IF(INDEX([1]Pivot!$BF$1:$CG$65000,$B642,AU$5)=1,1,IF(INDEX([1]Pivot!$B$1:$AB$65000,$B642,AU$5)="",2,0)),0)</f>
        <v>0</v>
      </c>
      <c r="AV642" s="313">
        <f>IFERROR(IF(INDEX([1]Pivot!$BF$1:$CG$65000,$B642,AV$5)=1,1,IF(INDEX([1]Pivot!$B$1:$AB$65000,$B642,AV$5)="",2,0)),0)</f>
        <v>0</v>
      </c>
      <c r="AW642" s="313">
        <f>IFERROR(IF(INDEX([1]Pivot!$BF$1:$CG$65000,$B642,AW$5)=1,1,IF(INDEX([1]Pivot!$B$1:$AB$65000,$B642,AW$5)="",2,0)),0)</f>
        <v>0</v>
      </c>
      <c r="AX642" s="313">
        <f>IFERROR(IF(INDEX([1]Pivot!$BF$1:$CG$65000,$B642,AX$5)=1,1,IF(INDEX([1]Pivot!$B$1:$AB$65000,$B642,AX$5)="",2,0)),0)</f>
        <v>0</v>
      </c>
      <c r="AY642" s="313">
        <f>IFERROR(IF(INDEX([1]Pivot!$BF$1:$CG$65000,$B642,AY$5)=1,1,IF(INDEX([1]Pivot!$B$1:$AB$65000,$B642,AY$5)="",2,0)),0)</f>
        <v>0</v>
      </c>
      <c r="AZ642" s="313">
        <f>IFERROR(IF(INDEX([1]Pivot!$BF$1:$CG$65000,$B642,AZ$5)=1,1,IF(INDEX([1]Pivot!$B$1:$AB$65000,$B642,AZ$5)="",2,0)),0)</f>
        <v>0</v>
      </c>
      <c r="BA642" s="313">
        <f>IFERROR(IF(INDEX([1]Pivot!$BF$1:$CG$65000,$B642,BA$5)=1,1,IF(INDEX([1]Pivot!$B$1:$AB$65000,$B642,BA$5)="",2,0)),0)</f>
        <v>0</v>
      </c>
      <c r="BB642" s="313">
        <f>IFERROR(IF(INDEX([1]Pivot!$BF$1:$CG$65000,$B642,BB$5)=1,1,IF(INDEX([1]Pivot!$B$1:$AB$65000,$B642,BB$5)="",2,0)),0)</f>
        <v>0</v>
      </c>
      <c r="BC642" s="313">
        <f>IFERROR(IF(INDEX([1]Pivot!$BF$1:$CG$65000,$B642,BC$5)=1,1,IF(INDEX([1]Pivot!$B$1:$AB$65000,$B642,BC$5)="",2,0)),0)</f>
        <v>0</v>
      </c>
      <c r="BD642" s="313">
        <f>IFERROR(IF(INDEX([1]Pivot!$BF$1:$CG$65000,$B642,BD$5)=1,1,IF(INDEX([1]Pivot!$B$1:$AB$65000,$B642,BD$5)="",2,0)),0)</f>
        <v>0</v>
      </c>
    </row>
    <row r="643" spans="1:56" x14ac:dyDescent="0.25">
      <c r="A643" s="288">
        <f>'[2]Raw Milk Prices'!A643</f>
        <v>0</v>
      </c>
      <c r="B643" s="296" t="e">
        <f>MATCH(DATE(LEFT('[2]Raw Milk Prices'!$A643,4),RIGHT('[2]Raw Milk Prices'!$A643,2),1),[1]Pivot!$A$1:$A$65000,0)</f>
        <v>#VALUE!</v>
      </c>
      <c r="C643" s="194">
        <f>IFERROR(IF(INDEX([1]Pivot!$AD$1:$BE$65000,$B643,C$5)=1,1,IF(INDEX([1]Pivot!$B$1:$AB$65000,$B643,C$5)="",2,0)),0)</f>
        <v>0</v>
      </c>
      <c r="D643" s="194">
        <f>IFERROR(IF(INDEX([1]Pivot!$AD$1:$BE$65000,$B643,D$5)=1,1,IF(INDEX([1]Pivot!$B$1:$AB$65000,$B643,D$5)="",2,0)),0)</f>
        <v>0</v>
      </c>
      <c r="E643" s="194">
        <f>IFERROR(IF(INDEX([1]Pivot!$AD$1:$BE$65000,$B643,E$5)=1,1,IF(INDEX([1]Pivot!$B$1:$AB$65000,$B643,E$5)="",2,0)),0)</f>
        <v>0</v>
      </c>
      <c r="F643" s="194">
        <f>IFERROR(IF(INDEX([1]Pivot!$AD$1:$BE$65000,$B643,F$5)=1,1,IF(INDEX([1]Pivot!$B$1:$AB$65000,$B643,F$5)="",2,0)),0)</f>
        <v>0</v>
      </c>
      <c r="G643" s="194">
        <f>IFERROR(IF(INDEX([1]Pivot!$AD$1:$BE$65000,$B643,G$5)=1,1,IF(INDEX([1]Pivot!$B$1:$AB$65000,$B643,G$5)="",2,0)),0)</f>
        <v>0</v>
      </c>
      <c r="H643" s="194">
        <f>IFERROR(IF(INDEX([1]Pivot!$AD$1:$BE$65000,$B643,H$5)=1,1,IF(INDEX([1]Pivot!$B$1:$AB$65000,$B643,H$5)="",2,0)),0)</f>
        <v>0</v>
      </c>
      <c r="I643" s="194">
        <f>IFERROR(IF(INDEX([1]Pivot!$AD$1:$BE$65000,$B643,I$5)=1,1,IF(INDEX([1]Pivot!$B$1:$AB$65000,$B643,I$5)="",2,0)),0)</f>
        <v>0</v>
      </c>
      <c r="J643" s="194">
        <f>IFERROR(IF(INDEX([1]Pivot!$AD$1:$BE$65000,$B643,J$5)=1,1,IF(INDEX([1]Pivot!$B$1:$AB$65000,$B643,J$5)="",2,0)),0)</f>
        <v>0</v>
      </c>
      <c r="K643" s="194">
        <f>IFERROR(IF(INDEX([1]Pivot!$AD$1:$BE$65000,$B643,K$5)=1,1,IF(INDEX([1]Pivot!$B$1:$AB$65000,$B643,K$5)="",2,0)),0)</f>
        <v>0</v>
      </c>
      <c r="L643" s="194">
        <f>IFERROR(IF(INDEX([1]Pivot!$AD$1:$BE$65000,$B643,L$5)=1,1,IF(INDEX([1]Pivot!$B$1:$AB$65000,$B643,L$5)="",2,0)),0)</f>
        <v>0</v>
      </c>
      <c r="M643" s="194">
        <f>IFERROR(IF(INDEX([1]Pivot!$AD$1:$BE$65000,$B643,M$5)=1,1,IF(INDEX([1]Pivot!$B$1:$AB$65000,$B643,M$5)="",2,0)),0)</f>
        <v>0</v>
      </c>
      <c r="N643" s="194">
        <f>IFERROR(IF(INDEX([1]Pivot!$AD$1:$BE$65000,$B643,N$5)=1,1,IF(INDEX([1]Pivot!$B$1:$AB$65000,$B643,N$5)="",2,0)),0)</f>
        <v>0</v>
      </c>
      <c r="O643" s="194">
        <f>IFERROR(IF(INDEX([1]Pivot!$AD$1:$BE$65000,$B643,O$5)=1,1,IF(INDEX([1]Pivot!$B$1:$AB$65000,$B643,O$5)="",2,0)),0)</f>
        <v>0</v>
      </c>
      <c r="P643" s="194">
        <f>IFERROR(IF(INDEX([1]Pivot!$AD$1:$BE$65000,$B643,P$5)=1,1,IF(INDEX([1]Pivot!$B$1:$AB$65000,$B643,P$5)="",2,0)),0)</f>
        <v>0</v>
      </c>
      <c r="Q643" s="194">
        <f>IFERROR(IF(INDEX([1]Pivot!$AD$1:$BE$65000,$B643,Q$5)=1,1,IF(INDEX([1]Pivot!$B$1:$AB$65000,$B643,Q$5)="",2,0)),0)</f>
        <v>0</v>
      </c>
      <c r="R643" s="312"/>
      <c r="S643" s="194">
        <f>IFERROR(IF(INDEX([1]Pivot!$AD$1:$BE$65000,$B643,S$5)=1,1,IF(INDEX([1]Pivot!$B$1:$AB$65000,$B643,S$5)="",2,0)),0)</f>
        <v>0</v>
      </c>
      <c r="T643" s="194">
        <f>IFERROR(IF(INDEX([1]Pivot!$AD$1:$BE$65000,$B643,T$5)=1,1,IF(INDEX([1]Pivot!$B$1:$AB$65000,$B643,T$5)="",2,0)),0)</f>
        <v>0</v>
      </c>
      <c r="U643" s="194">
        <f>IFERROR(IF(INDEX([1]Pivot!$AD$1:$BE$65000,$B643,U$5)=1,1,IF(INDEX([1]Pivot!$B$1:$AB$65000,$B643,U$5)="",2,0)),0)</f>
        <v>0</v>
      </c>
      <c r="V643" s="194">
        <f>IFERROR(IF(INDEX([1]Pivot!$AD$1:$BE$65000,$B643,V$5)=1,1,IF(INDEX([1]Pivot!$B$1:$AB$65000,$B643,V$5)="",2,0)),0)</f>
        <v>0</v>
      </c>
      <c r="W643" s="194">
        <f>IFERROR(IF(INDEX([1]Pivot!$AD$1:$BE$65000,$B643,W$5)=1,1,IF(INDEX([1]Pivot!$B$1:$AB$65000,$B643,W$5)="",2,0)),0)</f>
        <v>0</v>
      </c>
      <c r="X643" s="194">
        <f>IFERROR(IF(INDEX([1]Pivot!$AD$1:$BE$65000,$B643,X$5)=1,1,IF(INDEX([1]Pivot!$B$1:$AB$65000,$B643,X$5)="",2,0)),0)</f>
        <v>0</v>
      </c>
      <c r="Y643" s="194">
        <f>IFERROR(IF(INDEX([1]Pivot!$AD$1:$BE$65000,$B643,Y$5)=1,1,IF(INDEX([1]Pivot!$B$1:$AB$65000,$B643,Y$5)="",2,0)),0)</f>
        <v>0</v>
      </c>
      <c r="Z643" s="194">
        <f>IFERROR(IF(INDEX([1]Pivot!$AD$1:$BE$65000,$B643,Z$5)=1,1,IF(INDEX([1]Pivot!$B$1:$AB$65000,$B643,Z$5)="",2,0)),0)</f>
        <v>0</v>
      </c>
      <c r="AA643" s="194">
        <f>IFERROR(IF(INDEX([1]Pivot!$AD$1:$BE$65000,$B643,AA$5)=1,1,IF(INDEX([1]Pivot!$B$1:$AB$65000,$B643,AA$5)="",2,0)),0)</f>
        <v>0</v>
      </c>
      <c r="AB643" s="194">
        <f>IFERROR(IF(INDEX([1]Pivot!$AD$1:$BE$65000,$B643,AB$5)=1,1,IF(INDEX([1]Pivot!$B$1:$AB$65000,$B643,AB$5)="",2,0)),0)</f>
        <v>0</v>
      </c>
      <c r="AC643" s="194">
        <f>IFERROR(IF(INDEX([1]Pivot!$AD$1:$BE$65000,$B643,AC$5)=1,1,IF(INDEX([1]Pivot!$B$1:$AB$65000,$B643,AC$5)="",2,0)),0)</f>
        <v>0</v>
      </c>
      <c r="AD643" s="313">
        <f>IFERROR(IF(INDEX([1]Pivot!$BF$1:$CG$65000,$B643,AD$5)=1,1,IF(INDEX([1]Pivot!$B$1:$AB$65000,$B643,AD$5)="",2,0)),0)</f>
        <v>0</v>
      </c>
      <c r="AE643" s="313">
        <f>IFERROR(IF(INDEX([1]Pivot!$BF$1:$CG$65000,$B643,AE$5)=1,1,IF(INDEX([1]Pivot!$B$1:$AB$65000,$B643,AE$5)="",2,0)),0)</f>
        <v>0</v>
      </c>
      <c r="AF643" s="313">
        <f>IFERROR(IF(INDEX([1]Pivot!$BF$1:$CG$65000,$B643,AF$5)=1,1,IF(INDEX([1]Pivot!$B$1:$AB$65000,$B643,AF$5)="",2,0)),0)</f>
        <v>0</v>
      </c>
      <c r="AG643" s="313">
        <f>IFERROR(IF(INDEX([1]Pivot!$BF$1:$CG$65000,$B643,AG$5)=1,1,IF(INDEX([1]Pivot!$B$1:$AB$65000,$B643,AG$5)="",2,0)),0)</f>
        <v>0</v>
      </c>
      <c r="AH643" s="313">
        <f>IFERROR(IF(INDEX([1]Pivot!$BF$1:$CG$65000,$B643,AH$5)=1,1,IF(INDEX([1]Pivot!$B$1:$AB$65000,$B643,AH$5)="",2,0)),0)</f>
        <v>0</v>
      </c>
      <c r="AI643" s="313">
        <f>IFERROR(IF(INDEX([1]Pivot!$BF$1:$CG$65000,$B643,AI$5)=1,1,IF(INDEX([1]Pivot!$B$1:$AB$65000,$B643,AI$5)="",2,0)),0)</f>
        <v>0</v>
      </c>
      <c r="AJ643" s="313">
        <f>IFERROR(IF(INDEX([1]Pivot!$BF$1:$CG$65000,$B643,AJ$5)=1,1,IF(INDEX([1]Pivot!$B$1:$AB$65000,$B643,AJ$5)="",2,0)),0)</f>
        <v>0</v>
      </c>
      <c r="AK643" s="313">
        <f>IFERROR(IF(INDEX([1]Pivot!$BF$1:$CG$65000,$B643,AK$5)=1,1,IF(INDEX([1]Pivot!$B$1:$AB$65000,$B643,AK$5)="",2,0)),0)</f>
        <v>0</v>
      </c>
      <c r="AL643" s="313">
        <f>IFERROR(IF(INDEX([1]Pivot!$BF$1:$CG$65000,$B643,AL$5)=1,1,IF(INDEX([1]Pivot!$B$1:$AB$65000,$B643,AL$5)="",2,0)),0)</f>
        <v>0</v>
      </c>
      <c r="AM643" s="313">
        <f>IFERROR(IF(INDEX([1]Pivot!$BF$1:$CG$65000,$B643,AM$5)=1,1,IF(INDEX([1]Pivot!$B$1:$AB$65000,$B643,AM$5)="",2,0)),0)</f>
        <v>0</v>
      </c>
      <c r="AN643" s="313">
        <f>IFERROR(IF(INDEX([1]Pivot!$BF$1:$CG$65000,$B643,AN$5)=1,1,IF(INDEX([1]Pivot!$B$1:$AB$65000,$B643,AN$5)="",2,0)),0)</f>
        <v>0</v>
      </c>
      <c r="AO643" s="313">
        <f>IFERROR(IF(INDEX([1]Pivot!$BF$1:$CG$65000,$B643,AO$5)=1,1,IF(INDEX([1]Pivot!$B$1:$AB$65000,$B643,AO$5)="",2,0)),0)</f>
        <v>0</v>
      </c>
      <c r="AP643" s="313">
        <f>IFERROR(IF(INDEX([1]Pivot!$BF$1:$CG$65000,$B643,AP$5)=1,1,IF(INDEX([1]Pivot!$B$1:$AB$65000,$B643,AP$5)="",2,0)),0)</f>
        <v>0</v>
      </c>
      <c r="AQ643" s="313">
        <f>IFERROR(IF(INDEX([1]Pivot!$BF$1:$CG$65000,$B643,AQ$5)=1,1,IF(INDEX([1]Pivot!$B$1:$AB$65000,$B643,AQ$5)="",2,0)),0)</f>
        <v>0</v>
      </c>
      <c r="AR643" s="313">
        <f>IFERROR(IF(INDEX([1]Pivot!$BF$1:$CG$65000,$B643,AR$5)=1,1,IF(INDEX([1]Pivot!$B$1:$AB$65000,$B643,AR$5)="",2,0)),0)</f>
        <v>0</v>
      </c>
      <c r="AS643" s="312"/>
      <c r="AT643" s="313">
        <f>IFERROR(IF(INDEX([1]Pivot!$BF$1:$CG$65000,$B643,AT$5)=1,1,IF(INDEX([1]Pivot!$B$1:$AB$65000,$B643,AT$5)="",2,0)),0)</f>
        <v>0</v>
      </c>
      <c r="AU643" s="313">
        <f>IFERROR(IF(INDEX([1]Pivot!$BF$1:$CG$65000,$B643,AU$5)=1,1,IF(INDEX([1]Pivot!$B$1:$AB$65000,$B643,AU$5)="",2,0)),0)</f>
        <v>0</v>
      </c>
      <c r="AV643" s="313">
        <f>IFERROR(IF(INDEX([1]Pivot!$BF$1:$CG$65000,$B643,AV$5)=1,1,IF(INDEX([1]Pivot!$B$1:$AB$65000,$B643,AV$5)="",2,0)),0)</f>
        <v>0</v>
      </c>
      <c r="AW643" s="313">
        <f>IFERROR(IF(INDEX([1]Pivot!$BF$1:$CG$65000,$B643,AW$5)=1,1,IF(INDEX([1]Pivot!$B$1:$AB$65000,$B643,AW$5)="",2,0)),0)</f>
        <v>0</v>
      </c>
      <c r="AX643" s="313">
        <f>IFERROR(IF(INDEX([1]Pivot!$BF$1:$CG$65000,$B643,AX$5)=1,1,IF(INDEX([1]Pivot!$B$1:$AB$65000,$B643,AX$5)="",2,0)),0)</f>
        <v>0</v>
      </c>
      <c r="AY643" s="313">
        <f>IFERROR(IF(INDEX([1]Pivot!$BF$1:$CG$65000,$B643,AY$5)=1,1,IF(INDEX([1]Pivot!$B$1:$AB$65000,$B643,AY$5)="",2,0)),0)</f>
        <v>0</v>
      </c>
      <c r="AZ643" s="313">
        <f>IFERROR(IF(INDEX([1]Pivot!$BF$1:$CG$65000,$B643,AZ$5)=1,1,IF(INDEX([1]Pivot!$B$1:$AB$65000,$B643,AZ$5)="",2,0)),0)</f>
        <v>0</v>
      </c>
      <c r="BA643" s="313">
        <f>IFERROR(IF(INDEX([1]Pivot!$BF$1:$CG$65000,$B643,BA$5)=1,1,IF(INDEX([1]Pivot!$B$1:$AB$65000,$B643,BA$5)="",2,0)),0)</f>
        <v>0</v>
      </c>
      <c r="BB643" s="313">
        <f>IFERROR(IF(INDEX([1]Pivot!$BF$1:$CG$65000,$B643,BB$5)=1,1,IF(INDEX([1]Pivot!$B$1:$AB$65000,$B643,BB$5)="",2,0)),0)</f>
        <v>0</v>
      </c>
      <c r="BC643" s="313">
        <f>IFERROR(IF(INDEX([1]Pivot!$BF$1:$CG$65000,$B643,BC$5)=1,1,IF(INDEX([1]Pivot!$B$1:$AB$65000,$B643,BC$5)="",2,0)),0)</f>
        <v>0</v>
      </c>
      <c r="BD643" s="313">
        <f>IFERROR(IF(INDEX([1]Pivot!$BF$1:$CG$65000,$B643,BD$5)=1,1,IF(INDEX([1]Pivot!$B$1:$AB$65000,$B643,BD$5)="",2,0)),0)</f>
        <v>0</v>
      </c>
    </row>
    <row r="644" spans="1:56" x14ac:dyDescent="0.25">
      <c r="A644" s="288">
        <f>'[2]Raw Milk Prices'!A644</f>
        <v>0</v>
      </c>
      <c r="B644" s="296" t="e">
        <f>MATCH(DATE(LEFT('[2]Raw Milk Prices'!$A644,4),RIGHT('[2]Raw Milk Prices'!$A644,2),1),[1]Pivot!$A$1:$A$65000,0)</f>
        <v>#VALUE!</v>
      </c>
      <c r="C644" s="194">
        <f>IFERROR(IF(INDEX([1]Pivot!$AD$1:$BE$65000,$B644,C$5)=1,1,IF(INDEX([1]Pivot!$B$1:$AB$65000,$B644,C$5)="",2,0)),0)</f>
        <v>0</v>
      </c>
      <c r="D644" s="194">
        <f>IFERROR(IF(INDEX([1]Pivot!$AD$1:$BE$65000,$B644,D$5)=1,1,IF(INDEX([1]Pivot!$B$1:$AB$65000,$B644,D$5)="",2,0)),0)</f>
        <v>0</v>
      </c>
      <c r="E644" s="194">
        <f>IFERROR(IF(INDEX([1]Pivot!$AD$1:$BE$65000,$B644,E$5)=1,1,IF(INDEX([1]Pivot!$B$1:$AB$65000,$B644,E$5)="",2,0)),0)</f>
        <v>0</v>
      </c>
      <c r="F644" s="194">
        <f>IFERROR(IF(INDEX([1]Pivot!$AD$1:$BE$65000,$B644,F$5)=1,1,IF(INDEX([1]Pivot!$B$1:$AB$65000,$B644,F$5)="",2,0)),0)</f>
        <v>0</v>
      </c>
      <c r="G644" s="194">
        <f>IFERROR(IF(INDEX([1]Pivot!$AD$1:$BE$65000,$B644,G$5)=1,1,IF(INDEX([1]Pivot!$B$1:$AB$65000,$B644,G$5)="",2,0)),0)</f>
        <v>0</v>
      </c>
      <c r="H644" s="194">
        <f>IFERROR(IF(INDEX([1]Pivot!$AD$1:$BE$65000,$B644,H$5)=1,1,IF(INDEX([1]Pivot!$B$1:$AB$65000,$B644,H$5)="",2,0)),0)</f>
        <v>0</v>
      </c>
      <c r="I644" s="194">
        <f>IFERROR(IF(INDEX([1]Pivot!$AD$1:$BE$65000,$B644,I$5)=1,1,IF(INDEX([1]Pivot!$B$1:$AB$65000,$B644,I$5)="",2,0)),0)</f>
        <v>0</v>
      </c>
      <c r="J644" s="194">
        <f>IFERROR(IF(INDEX([1]Pivot!$AD$1:$BE$65000,$B644,J$5)=1,1,IF(INDEX([1]Pivot!$B$1:$AB$65000,$B644,J$5)="",2,0)),0)</f>
        <v>0</v>
      </c>
      <c r="K644" s="194">
        <f>IFERROR(IF(INDEX([1]Pivot!$AD$1:$BE$65000,$B644,K$5)=1,1,IF(INDEX([1]Pivot!$B$1:$AB$65000,$B644,K$5)="",2,0)),0)</f>
        <v>0</v>
      </c>
      <c r="L644" s="194">
        <f>IFERROR(IF(INDEX([1]Pivot!$AD$1:$BE$65000,$B644,L$5)=1,1,IF(INDEX([1]Pivot!$B$1:$AB$65000,$B644,L$5)="",2,0)),0)</f>
        <v>0</v>
      </c>
      <c r="M644" s="194">
        <f>IFERROR(IF(INDEX([1]Pivot!$AD$1:$BE$65000,$B644,M$5)=1,1,IF(INDEX([1]Pivot!$B$1:$AB$65000,$B644,M$5)="",2,0)),0)</f>
        <v>0</v>
      </c>
      <c r="N644" s="194">
        <f>IFERROR(IF(INDEX([1]Pivot!$AD$1:$BE$65000,$B644,N$5)=1,1,IF(INDEX([1]Pivot!$B$1:$AB$65000,$B644,N$5)="",2,0)),0)</f>
        <v>0</v>
      </c>
      <c r="O644" s="194">
        <f>IFERROR(IF(INDEX([1]Pivot!$AD$1:$BE$65000,$B644,O$5)=1,1,IF(INDEX([1]Pivot!$B$1:$AB$65000,$B644,O$5)="",2,0)),0)</f>
        <v>0</v>
      </c>
      <c r="P644" s="194">
        <f>IFERROR(IF(INDEX([1]Pivot!$AD$1:$BE$65000,$B644,P$5)=1,1,IF(INDEX([1]Pivot!$B$1:$AB$65000,$B644,P$5)="",2,0)),0)</f>
        <v>0</v>
      </c>
      <c r="Q644" s="194">
        <f>IFERROR(IF(INDEX([1]Pivot!$AD$1:$BE$65000,$B644,Q$5)=1,1,IF(INDEX([1]Pivot!$B$1:$AB$65000,$B644,Q$5)="",2,0)),0)</f>
        <v>0</v>
      </c>
      <c r="R644" s="312"/>
      <c r="S644" s="194">
        <f>IFERROR(IF(INDEX([1]Pivot!$AD$1:$BE$65000,$B644,S$5)=1,1,IF(INDEX([1]Pivot!$B$1:$AB$65000,$B644,S$5)="",2,0)),0)</f>
        <v>0</v>
      </c>
      <c r="T644" s="194">
        <f>IFERROR(IF(INDEX([1]Pivot!$AD$1:$BE$65000,$B644,T$5)=1,1,IF(INDEX([1]Pivot!$B$1:$AB$65000,$B644,T$5)="",2,0)),0)</f>
        <v>0</v>
      </c>
      <c r="U644" s="194">
        <f>IFERROR(IF(INDEX([1]Pivot!$AD$1:$BE$65000,$B644,U$5)=1,1,IF(INDEX([1]Pivot!$B$1:$AB$65000,$B644,U$5)="",2,0)),0)</f>
        <v>0</v>
      </c>
      <c r="V644" s="194">
        <f>IFERROR(IF(INDEX([1]Pivot!$AD$1:$BE$65000,$B644,V$5)=1,1,IF(INDEX([1]Pivot!$B$1:$AB$65000,$B644,V$5)="",2,0)),0)</f>
        <v>0</v>
      </c>
      <c r="W644" s="194">
        <f>IFERROR(IF(INDEX([1]Pivot!$AD$1:$BE$65000,$B644,W$5)=1,1,IF(INDEX([1]Pivot!$B$1:$AB$65000,$B644,W$5)="",2,0)),0)</f>
        <v>0</v>
      </c>
      <c r="X644" s="194">
        <f>IFERROR(IF(INDEX([1]Pivot!$AD$1:$BE$65000,$B644,X$5)=1,1,IF(INDEX([1]Pivot!$B$1:$AB$65000,$B644,X$5)="",2,0)),0)</f>
        <v>0</v>
      </c>
      <c r="Y644" s="194">
        <f>IFERROR(IF(INDEX([1]Pivot!$AD$1:$BE$65000,$B644,Y$5)=1,1,IF(INDEX([1]Pivot!$B$1:$AB$65000,$B644,Y$5)="",2,0)),0)</f>
        <v>0</v>
      </c>
      <c r="Z644" s="194">
        <f>IFERROR(IF(INDEX([1]Pivot!$AD$1:$BE$65000,$B644,Z$5)=1,1,IF(INDEX([1]Pivot!$B$1:$AB$65000,$B644,Z$5)="",2,0)),0)</f>
        <v>0</v>
      </c>
      <c r="AA644" s="194">
        <f>IFERROR(IF(INDEX([1]Pivot!$AD$1:$BE$65000,$B644,AA$5)=1,1,IF(INDEX([1]Pivot!$B$1:$AB$65000,$B644,AA$5)="",2,0)),0)</f>
        <v>0</v>
      </c>
      <c r="AB644" s="194">
        <f>IFERROR(IF(INDEX([1]Pivot!$AD$1:$BE$65000,$B644,AB$5)=1,1,IF(INDEX([1]Pivot!$B$1:$AB$65000,$B644,AB$5)="",2,0)),0)</f>
        <v>0</v>
      </c>
      <c r="AC644" s="194">
        <f>IFERROR(IF(INDEX([1]Pivot!$AD$1:$BE$65000,$B644,AC$5)=1,1,IF(INDEX([1]Pivot!$B$1:$AB$65000,$B644,AC$5)="",2,0)),0)</f>
        <v>0</v>
      </c>
      <c r="AD644" s="313">
        <f>IFERROR(IF(INDEX([1]Pivot!$BF$1:$CG$65000,$B644,AD$5)=1,1,IF(INDEX([1]Pivot!$B$1:$AB$65000,$B644,AD$5)="",2,0)),0)</f>
        <v>0</v>
      </c>
      <c r="AE644" s="313">
        <f>IFERROR(IF(INDEX([1]Pivot!$BF$1:$CG$65000,$B644,AE$5)=1,1,IF(INDEX([1]Pivot!$B$1:$AB$65000,$B644,AE$5)="",2,0)),0)</f>
        <v>0</v>
      </c>
      <c r="AF644" s="313">
        <f>IFERROR(IF(INDEX([1]Pivot!$BF$1:$CG$65000,$B644,AF$5)=1,1,IF(INDEX([1]Pivot!$B$1:$AB$65000,$B644,AF$5)="",2,0)),0)</f>
        <v>0</v>
      </c>
      <c r="AG644" s="313">
        <f>IFERROR(IF(INDEX([1]Pivot!$BF$1:$CG$65000,$B644,AG$5)=1,1,IF(INDEX([1]Pivot!$B$1:$AB$65000,$B644,AG$5)="",2,0)),0)</f>
        <v>0</v>
      </c>
      <c r="AH644" s="313">
        <f>IFERROR(IF(INDEX([1]Pivot!$BF$1:$CG$65000,$B644,AH$5)=1,1,IF(INDEX([1]Pivot!$B$1:$AB$65000,$B644,AH$5)="",2,0)),0)</f>
        <v>0</v>
      </c>
      <c r="AI644" s="313">
        <f>IFERROR(IF(INDEX([1]Pivot!$BF$1:$CG$65000,$B644,AI$5)=1,1,IF(INDEX([1]Pivot!$B$1:$AB$65000,$B644,AI$5)="",2,0)),0)</f>
        <v>0</v>
      </c>
      <c r="AJ644" s="313">
        <f>IFERROR(IF(INDEX([1]Pivot!$BF$1:$CG$65000,$B644,AJ$5)=1,1,IF(INDEX([1]Pivot!$B$1:$AB$65000,$B644,AJ$5)="",2,0)),0)</f>
        <v>0</v>
      </c>
      <c r="AK644" s="313">
        <f>IFERROR(IF(INDEX([1]Pivot!$BF$1:$CG$65000,$B644,AK$5)=1,1,IF(INDEX([1]Pivot!$B$1:$AB$65000,$B644,AK$5)="",2,0)),0)</f>
        <v>0</v>
      </c>
      <c r="AL644" s="313">
        <f>IFERROR(IF(INDEX([1]Pivot!$BF$1:$CG$65000,$B644,AL$5)=1,1,IF(INDEX([1]Pivot!$B$1:$AB$65000,$B644,AL$5)="",2,0)),0)</f>
        <v>0</v>
      </c>
      <c r="AM644" s="313">
        <f>IFERROR(IF(INDEX([1]Pivot!$BF$1:$CG$65000,$B644,AM$5)=1,1,IF(INDEX([1]Pivot!$B$1:$AB$65000,$B644,AM$5)="",2,0)),0)</f>
        <v>0</v>
      </c>
      <c r="AN644" s="313">
        <f>IFERROR(IF(INDEX([1]Pivot!$BF$1:$CG$65000,$B644,AN$5)=1,1,IF(INDEX([1]Pivot!$B$1:$AB$65000,$B644,AN$5)="",2,0)),0)</f>
        <v>0</v>
      </c>
      <c r="AO644" s="313">
        <f>IFERROR(IF(INDEX([1]Pivot!$BF$1:$CG$65000,$B644,AO$5)=1,1,IF(INDEX([1]Pivot!$B$1:$AB$65000,$B644,AO$5)="",2,0)),0)</f>
        <v>0</v>
      </c>
      <c r="AP644" s="313">
        <f>IFERROR(IF(INDEX([1]Pivot!$BF$1:$CG$65000,$B644,AP$5)=1,1,IF(INDEX([1]Pivot!$B$1:$AB$65000,$B644,AP$5)="",2,0)),0)</f>
        <v>0</v>
      </c>
      <c r="AQ644" s="313">
        <f>IFERROR(IF(INDEX([1]Pivot!$BF$1:$CG$65000,$B644,AQ$5)=1,1,IF(INDEX([1]Pivot!$B$1:$AB$65000,$B644,AQ$5)="",2,0)),0)</f>
        <v>0</v>
      </c>
      <c r="AR644" s="313">
        <f>IFERROR(IF(INDEX([1]Pivot!$BF$1:$CG$65000,$B644,AR$5)=1,1,IF(INDEX([1]Pivot!$B$1:$AB$65000,$B644,AR$5)="",2,0)),0)</f>
        <v>0</v>
      </c>
      <c r="AS644" s="312"/>
      <c r="AT644" s="313">
        <f>IFERROR(IF(INDEX([1]Pivot!$BF$1:$CG$65000,$B644,AT$5)=1,1,IF(INDEX([1]Pivot!$B$1:$AB$65000,$B644,AT$5)="",2,0)),0)</f>
        <v>0</v>
      </c>
      <c r="AU644" s="313">
        <f>IFERROR(IF(INDEX([1]Pivot!$BF$1:$CG$65000,$B644,AU$5)=1,1,IF(INDEX([1]Pivot!$B$1:$AB$65000,$B644,AU$5)="",2,0)),0)</f>
        <v>0</v>
      </c>
      <c r="AV644" s="313">
        <f>IFERROR(IF(INDEX([1]Pivot!$BF$1:$CG$65000,$B644,AV$5)=1,1,IF(INDEX([1]Pivot!$B$1:$AB$65000,$B644,AV$5)="",2,0)),0)</f>
        <v>0</v>
      </c>
      <c r="AW644" s="313">
        <f>IFERROR(IF(INDEX([1]Pivot!$BF$1:$CG$65000,$B644,AW$5)=1,1,IF(INDEX([1]Pivot!$B$1:$AB$65000,$B644,AW$5)="",2,0)),0)</f>
        <v>0</v>
      </c>
      <c r="AX644" s="313">
        <f>IFERROR(IF(INDEX([1]Pivot!$BF$1:$CG$65000,$B644,AX$5)=1,1,IF(INDEX([1]Pivot!$B$1:$AB$65000,$B644,AX$5)="",2,0)),0)</f>
        <v>0</v>
      </c>
      <c r="AY644" s="313">
        <f>IFERROR(IF(INDEX([1]Pivot!$BF$1:$CG$65000,$B644,AY$5)=1,1,IF(INDEX([1]Pivot!$B$1:$AB$65000,$B644,AY$5)="",2,0)),0)</f>
        <v>0</v>
      </c>
      <c r="AZ644" s="313">
        <f>IFERROR(IF(INDEX([1]Pivot!$BF$1:$CG$65000,$B644,AZ$5)=1,1,IF(INDEX([1]Pivot!$B$1:$AB$65000,$B644,AZ$5)="",2,0)),0)</f>
        <v>0</v>
      </c>
      <c r="BA644" s="313">
        <f>IFERROR(IF(INDEX([1]Pivot!$BF$1:$CG$65000,$B644,BA$5)=1,1,IF(INDEX([1]Pivot!$B$1:$AB$65000,$B644,BA$5)="",2,0)),0)</f>
        <v>0</v>
      </c>
      <c r="BB644" s="313">
        <f>IFERROR(IF(INDEX([1]Pivot!$BF$1:$CG$65000,$B644,BB$5)=1,1,IF(INDEX([1]Pivot!$B$1:$AB$65000,$B644,BB$5)="",2,0)),0)</f>
        <v>0</v>
      </c>
      <c r="BC644" s="313">
        <f>IFERROR(IF(INDEX([1]Pivot!$BF$1:$CG$65000,$B644,BC$5)=1,1,IF(INDEX([1]Pivot!$B$1:$AB$65000,$B644,BC$5)="",2,0)),0)</f>
        <v>0</v>
      </c>
      <c r="BD644" s="313">
        <f>IFERROR(IF(INDEX([1]Pivot!$BF$1:$CG$65000,$B644,BD$5)=1,1,IF(INDEX([1]Pivot!$B$1:$AB$65000,$B644,BD$5)="",2,0)),0)</f>
        <v>0</v>
      </c>
    </row>
    <row r="645" spans="1:56" x14ac:dyDescent="0.25">
      <c r="A645" s="288">
        <f>'[2]Raw Milk Prices'!A645</f>
        <v>0</v>
      </c>
      <c r="B645" s="296" t="e">
        <f>MATCH(DATE(LEFT('[2]Raw Milk Prices'!$A645,4),RIGHT('[2]Raw Milk Prices'!$A645,2),1),[1]Pivot!$A$1:$A$65000,0)</f>
        <v>#VALUE!</v>
      </c>
      <c r="C645" s="194">
        <f>IFERROR(IF(INDEX([1]Pivot!$AD$1:$BE$65000,$B645,C$5)=1,1,IF(INDEX([1]Pivot!$B$1:$AB$65000,$B645,C$5)="",2,0)),0)</f>
        <v>0</v>
      </c>
      <c r="D645" s="194">
        <f>IFERROR(IF(INDEX([1]Pivot!$AD$1:$BE$65000,$B645,D$5)=1,1,IF(INDEX([1]Pivot!$B$1:$AB$65000,$B645,D$5)="",2,0)),0)</f>
        <v>0</v>
      </c>
      <c r="E645" s="194">
        <f>IFERROR(IF(INDEX([1]Pivot!$AD$1:$BE$65000,$B645,E$5)=1,1,IF(INDEX([1]Pivot!$B$1:$AB$65000,$B645,E$5)="",2,0)),0)</f>
        <v>0</v>
      </c>
      <c r="F645" s="194">
        <f>IFERROR(IF(INDEX([1]Pivot!$AD$1:$BE$65000,$B645,F$5)=1,1,IF(INDEX([1]Pivot!$B$1:$AB$65000,$B645,F$5)="",2,0)),0)</f>
        <v>0</v>
      </c>
      <c r="G645" s="194">
        <f>IFERROR(IF(INDEX([1]Pivot!$AD$1:$BE$65000,$B645,G$5)=1,1,IF(INDEX([1]Pivot!$B$1:$AB$65000,$B645,G$5)="",2,0)),0)</f>
        <v>0</v>
      </c>
      <c r="H645" s="194">
        <f>IFERROR(IF(INDEX([1]Pivot!$AD$1:$BE$65000,$B645,H$5)=1,1,IF(INDEX([1]Pivot!$B$1:$AB$65000,$B645,H$5)="",2,0)),0)</f>
        <v>0</v>
      </c>
      <c r="I645" s="194">
        <f>IFERROR(IF(INDEX([1]Pivot!$AD$1:$BE$65000,$B645,I$5)=1,1,IF(INDEX([1]Pivot!$B$1:$AB$65000,$B645,I$5)="",2,0)),0)</f>
        <v>0</v>
      </c>
      <c r="J645" s="194">
        <f>IFERROR(IF(INDEX([1]Pivot!$AD$1:$BE$65000,$B645,J$5)=1,1,IF(INDEX([1]Pivot!$B$1:$AB$65000,$B645,J$5)="",2,0)),0)</f>
        <v>0</v>
      </c>
      <c r="K645" s="194">
        <f>IFERROR(IF(INDEX([1]Pivot!$AD$1:$BE$65000,$B645,K$5)=1,1,IF(INDEX([1]Pivot!$B$1:$AB$65000,$B645,K$5)="",2,0)),0)</f>
        <v>0</v>
      </c>
      <c r="L645" s="194">
        <f>IFERROR(IF(INDEX([1]Pivot!$AD$1:$BE$65000,$B645,L$5)=1,1,IF(INDEX([1]Pivot!$B$1:$AB$65000,$B645,L$5)="",2,0)),0)</f>
        <v>0</v>
      </c>
      <c r="M645" s="194">
        <f>IFERROR(IF(INDEX([1]Pivot!$AD$1:$BE$65000,$B645,M$5)=1,1,IF(INDEX([1]Pivot!$B$1:$AB$65000,$B645,M$5)="",2,0)),0)</f>
        <v>0</v>
      </c>
      <c r="N645" s="194">
        <f>IFERROR(IF(INDEX([1]Pivot!$AD$1:$BE$65000,$B645,N$5)=1,1,IF(INDEX([1]Pivot!$B$1:$AB$65000,$B645,N$5)="",2,0)),0)</f>
        <v>0</v>
      </c>
      <c r="O645" s="194">
        <f>IFERROR(IF(INDEX([1]Pivot!$AD$1:$BE$65000,$B645,O$5)=1,1,IF(INDEX([1]Pivot!$B$1:$AB$65000,$B645,O$5)="",2,0)),0)</f>
        <v>0</v>
      </c>
      <c r="P645" s="194">
        <f>IFERROR(IF(INDEX([1]Pivot!$AD$1:$BE$65000,$B645,P$5)=1,1,IF(INDEX([1]Pivot!$B$1:$AB$65000,$B645,P$5)="",2,0)),0)</f>
        <v>0</v>
      </c>
      <c r="Q645" s="194">
        <f>IFERROR(IF(INDEX([1]Pivot!$AD$1:$BE$65000,$B645,Q$5)=1,1,IF(INDEX([1]Pivot!$B$1:$AB$65000,$B645,Q$5)="",2,0)),0)</f>
        <v>0</v>
      </c>
      <c r="R645" s="312"/>
      <c r="S645" s="194">
        <f>IFERROR(IF(INDEX([1]Pivot!$AD$1:$BE$65000,$B645,S$5)=1,1,IF(INDEX([1]Pivot!$B$1:$AB$65000,$B645,S$5)="",2,0)),0)</f>
        <v>0</v>
      </c>
      <c r="T645" s="194">
        <f>IFERROR(IF(INDEX([1]Pivot!$AD$1:$BE$65000,$B645,T$5)=1,1,IF(INDEX([1]Pivot!$B$1:$AB$65000,$B645,T$5)="",2,0)),0)</f>
        <v>0</v>
      </c>
      <c r="U645" s="194">
        <f>IFERROR(IF(INDEX([1]Pivot!$AD$1:$BE$65000,$B645,U$5)=1,1,IF(INDEX([1]Pivot!$B$1:$AB$65000,$B645,U$5)="",2,0)),0)</f>
        <v>0</v>
      </c>
      <c r="V645" s="194">
        <f>IFERROR(IF(INDEX([1]Pivot!$AD$1:$BE$65000,$B645,V$5)=1,1,IF(INDEX([1]Pivot!$B$1:$AB$65000,$B645,V$5)="",2,0)),0)</f>
        <v>0</v>
      </c>
      <c r="W645" s="194">
        <f>IFERROR(IF(INDEX([1]Pivot!$AD$1:$BE$65000,$B645,W$5)=1,1,IF(INDEX([1]Pivot!$B$1:$AB$65000,$B645,W$5)="",2,0)),0)</f>
        <v>0</v>
      </c>
      <c r="X645" s="194">
        <f>IFERROR(IF(INDEX([1]Pivot!$AD$1:$BE$65000,$B645,X$5)=1,1,IF(INDEX([1]Pivot!$B$1:$AB$65000,$B645,X$5)="",2,0)),0)</f>
        <v>0</v>
      </c>
      <c r="Y645" s="194">
        <f>IFERROR(IF(INDEX([1]Pivot!$AD$1:$BE$65000,$B645,Y$5)=1,1,IF(INDEX([1]Pivot!$B$1:$AB$65000,$B645,Y$5)="",2,0)),0)</f>
        <v>0</v>
      </c>
      <c r="Z645" s="194">
        <f>IFERROR(IF(INDEX([1]Pivot!$AD$1:$BE$65000,$B645,Z$5)=1,1,IF(INDEX([1]Pivot!$B$1:$AB$65000,$B645,Z$5)="",2,0)),0)</f>
        <v>0</v>
      </c>
      <c r="AA645" s="194">
        <f>IFERROR(IF(INDEX([1]Pivot!$AD$1:$BE$65000,$B645,AA$5)=1,1,IF(INDEX([1]Pivot!$B$1:$AB$65000,$B645,AA$5)="",2,0)),0)</f>
        <v>0</v>
      </c>
      <c r="AB645" s="194">
        <f>IFERROR(IF(INDEX([1]Pivot!$AD$1:$BE$65000,$B645,AB$5)=1,1,IF(INDEX([1]Pivot!$B$1:$AB$65000,$B645,AB$5)="",2,0)),0)</f>
        <v>0</v>
      </c>
      <c r="AC645" s="194">
        <f>IFERROR(IF(INDEX([1]Pivot!$AD$1:$BE$65000,$B645,AC$5)=1,1,IF(INDEX([1]Pivot!$B$1:$AB$65000,$B645,AC$5)="",2,0)),0)</f>
        <v>0</v>
      </c>
      <c r="AD645" s="313">
        <f>IFERROR(IF(INDEX([1]Pivot!$BF$1:$CG$65000,$B645,AD$5)=1,1,IF(INDEX([1]Pivot!$B$1:$AB$65000,$B645,AD$5)="",2,0)),0)</f>
        <v>0</v>
      </c>
      <c r="AE645" s="313">
        <f>IFERROR(IF(INDEX([1]Pivot!$BF$1:$CG$65000,$B645,AE$5)=1,1,IF(INDEX([1]Pivot!$B$1:$AB$65000,$B645,AE$5)="",2,0)),0)</f>
        <v>0</v>
      </c>
      <c r="AF645" s="313">
        <f>IFERROR(IF(INDEX([1]Pivot!$BF$1:$CG$65000,$B645,AF$5)=1,1,IF(INDEX([1]Pivot!$B$1:$AB$65000,$B645,AF$5)="",2,0)),0)</f>
        <v>0</v>
      </c>
      <c r="AG645" s="313">
        <f>IFERROR(IF(INDEX([1]Pivot!$BF$1:$CG$65000,$B645,AG$5)=1,1,IF(INDEX([1]Pivot!$B$1:$AB$65000,$B645,AG$5)="",2,0)),0)</f>
        <v>0</v>
      </c>
      <c r="AH645" s="313">
        <f>IFERROR(IF(INDEX([1]Pivot!$BF$1:$CG$65000,$B645,AH$5)=1,1,IF(INDEX([1]Pivot!$B$1:$AB$65000,$B645,AH$5)="",2,0)),0)</f>
        <v>0</v>
      </c>
      <c r="AI645" s="313">
        <f>IFERROR(IF(INDEX([1]Pivot!$BF$1:$CG$65000,$B645,AI$5)=1,1,IF(INDEX([1]Pivot!$B$1:$AB$65000,$B645,AI$5)="",2,0)),0)</f>
        <v>0</v>
      </c>
      <c r="AJ645" s="313">
        <f>IFERROR(IF(INDEX([1]Pivot!$BF$1:$CG$65000,$B645,AJ$5)=1,1,IF(INDEX([1]Pivot!$B$1:$AB$65000,$B645,AJ$5)="",2,0)),0)</f>
        <v>0</v>
      </c>
      <c r="AK645" s="313">
        <f>IFERROR(IF(INDEX([1]Pivot!$BF$1:$CG$65000,$B645,AK$5)=1,1,IF(INDEX([1]Pivot!$B$1:$AB$65000,$B645,AK$5)="",2,0)),0)</f>
        <v>0</v>
      </c>
      <c r="AL645" s="313">
        <f>IFERROR(IF(INDEX([1]Pivot!$BF$1:$CG$65000,$B645,AL$5)=1,1,IF(INDEX([1]Pivot!$B$1:$AB$65000,$B645,AL$5)="",2,0)),0)</f>
        <v>0</v>
      </c>
      <c r="AM645" s="313">
        <f>IFERROR(IF(INDEX([1]Pivot!$BF$1:$CG$65000,$B645,AM$5)=1,1,IF(INDEX([1]Pivot!$B$1:$AB$65000,$B645,AM$5)="",2,0)),0)</f>
        <v>0</v>
      </c>
      <c r="AN645" s="313">
        <f>IFERROR(IF(INDEX([1]Pivot!$BF$1:$CG$65000,$B645,AN$5)=1,1,IF(INDEX([1]Pivot!$B$1:$AB$65000,$B645,AN$5)="",2,0)),0)</f>
        <v>0</v>
      </c>
      <c r="AO645" s="313">
        <f>IFERROR(IF(INDEX([1]Pivot!$BF$1:$CG$65000,$B645,AO$5)=1,1,IF(INDEX([1]Pivot!$B$1:$AB$65000,$B645,AO$5)="",2,0)),0)</f>
        <v>0</v>
      </c>
      <c r="AP645" s="313">
        <f>IFERROR(IF(INDEX([1]Pivot!$BF$1:$CG$65000,$B645,AP$5)=1,1,IF(INDEX([1]Pivot!$B$1:$AB$65000,$B645,AP$5)="",2,0)),0)</f>
        <v>0</v>
      </c>
      <c r="AQ645" s="313">
        <f>IFERROR(IF(INDEX([1]Pivot!$BF$1:$CG$65000,$B645,AQ$5)=1,1,IF(INDEX([1]Pivot!$B$1:$AB$65000,$B645,AQ$5)="",2,0)),0)</f>
        <v>0</v>
      </c>
      <c r="AR645" s="313">
        <f>IFERROR(IF(INDEX([1]Pivot!$BF$1:$CG$65000,$B645,AR$5)=1,1,IF(INDEX([1]Pivot!$B$1:$AB$65000,$B645,AR$5)="",2,0)),0)</f>
        <v>0</v>
      </c>
      <c r="AS645" s="312"/>
      <c r="AT645" s="313">
        <f>IFERROR(IF(INDEX([1]Pivot!$BF$1:$CG$65000,$B645,AT$5)=1,1,IF(INDEX([1]Pivot!$B$1:$AB$65000,$B645,AT$5)="",2,0)),0)</f>
        <v>0</v>
      </c>
      <c r="AU645" s="313">
        <f>IFERROR(IF(INDEX([1]Pivot!$BF$1:$CG$65000,$B645,AU$5)=1,1,IF(INDEX([1]Pivot!$B$1:$AB$65000,$B645,AU$5)="",2,0)),0)</f>
        <v>0</v>
      </c>
      <c r="AV645" s="313">
        <f>IFERROR(IF(INDEX([1]Pivot!$BF$1:$CG$65000,$B645,AV$5)=1,1,IF(INDEX([1]Pivot!$B$1:$AB$65000,$B645,AV$5)="",2,0)),0)</f>
        <v>0</v>
      </c>
      <c r="AW645" s="313">
        <f>IFERROR(IF(INDEX([1]Pivot!$BF$1:$CG$65000,$B645,AW$5)=1,1,IF(INDEX([1]Pivot!$B$1:$AB$65000,$B645,AW$5)="",2,0)),0)</f>
        <v>0</v>
      </c>
      <c r="AX645" s="313">
        <f>IFERROR(IF(INDEX([1]Pivot!$BF$1:$CG$65000,$B645,AX$5)=1,1,IF(INDEX([1]Pivot!$B$1:$AB$65000,$B645,AX$5)="",2,0)),0)</f>
        <v>0</v>
      </c>
      <c r="AY645" s="313">
        <f>IFERROR(IF(INDEX([1]Pivot!$BF$1:$CG$65000,$B645,AY$5)=1,1,IF(INDEX([1]Pivot!$B$1:$AB$65000,$B645,AY$5)="",2,0)),0)</f>
        <v>0</v>
      </c>
      <c r="AZ645" s="313">
        <f>IFERROR(IF(INDEX([1]Pivot!$BF$1:$CG$65000,$B645,AZ$5)=1,1,IF(INDEX([1]Pivot!$B$1:$AB$65000,$B645,AZ$5)="",2,0)),0)</f>
        <v>0</v>
      </c>
      <c r="BA645" s="313">
        <f>IFERROR(IF(INDEX([1]Pivot!$BF$1:$CG$65000,$B645,BA$5)=1,1,IF(INDEX([1]Pivot!$B$1:$AB$65000,$B645,BA$5)="",2,0)),0)</f>
        <v>0</v>
      </c>
      <c r="BB645" s="313">
        <f>IFERROR(IF(INDEX([1]Pivot!$BF$1:$CG$65000,$B645,BB$5)=1,1,IF(INDEX([1]Pivot!$B$1:$AB$65000,$B645,BB$5)="",2,0)),0)</f>
        <v>0</v>
      </c>
      <c r="BC645" s="313">
        <f>IFERROR(IF(INDEX([1]Pivot!$BF$1:$CG$65000,$B645,BC$5)=1,1,IF(INDEX([1]Pivot!$B$1:$AB$65000,$B645,BC$5)="",2,0)),0)</f>
        <v>0</v>
      </c>
      <c r="BD645" s="313">
        <f>IFERROR(IF(INDEX([1]Pivot!$BF$1:$CG$65000,$B645,BD$5)=1,1,IF(INDEX([1]Pivot!$B$1:$AB$65000,$B645,BD$5)="",2,0)),0)</f>
        <v>0</v>
      </c>
    </row>
    <row r="646" spans="1:56" x14ac:dyDescent="0.25">
      <c r="A646" s="288">
        <f>'[2]Raw Milk Prices'!A646</f>
        <v>0</v>
      </c>
      <c r="B646" s="296" t="e">
        <f>MATCH(DATE(LEFT('[2]Raw Milk Prices'!$A646,4),RIGHT('[2]Raw Milk Prices'!$A646,2),1),[1]Pivot!$A$1:$A$65000,0)</f>
        <v>#VALUE!</v>
      </c>
      <c r="C646" s="194">
        <f>IFERROR(IF(INDEX([1]Pivot!$AD$1:$BE$65000,$B646,C$5)=1,1,IF(INDEX([1]Pivot!$B$1:$AB$65000,$B646,C$5)="",2,0)),0)</f>
        <v>0</v>
      </c>
      <c r="D646" s="194">
        <f>IFERROR(IF(INDEX([1]Pivot!$AD$1:$BE$65000,$B646,D$5)=1,1,IF(INDEX([1]Pivot!$B$1:$AB$65000,$B646,D$5)="",2,0)),0)</f>
        <v>0</v>
      </c>
      <c r="E646" s="194">
        <f>IFERROR(IF(INDEX([1]Pivot!$AD$1:$BE$65000,$B646,E$5)=1,1,IF(INDEX([1]Pivot!$B$1:$AB$65000,$B646,E$5)="",2,0)),0)</f>
        <v>0</v>
      </c>
      <c r="F646" s="194">
        <f>IFERROR(IF(INDEX([1]Pivot!$AD$1:$BE$65000,$B646,F$5)=1,1,IF(INDEX([1]Pivot!$B$1:$AB$65000,$B646,F$5)="",2,0)),0)</f>
        <v>0</v>
      </c>
      <c r="G646" s="194">
        <f>IFERROR(IF(INDEX([1]Pivot!$AD$1:$BE$65000,$B646,G$5)=1,1,IF(INDEX([1]Pivot!$B$1:$AB$65000,$B646,G$5)="",2,0)),0)</f>
        <v>0</v>
      </c>
      <c r="H646" s="194">
        <f>IFERROR(IF(INDEX([1]Pivot!$AD$1:$BE$65000,$B646,H$5)=1,1,IF(INDEX([1]Pivot!$B$1:$AB$65000,$B646,H$5)="",2,0)),0)</f>
        <v>0</v>
      </c>
      <c r="I646" s="194">
        <f>IFERROR(IF(INDEX([1]Pivot!$AD$1:$BE$65000,$B646,I$5)=1,1,IF(INDEX([1]Pivot!$B$1:$AB$65000,$B646,I$5)="",2,0)),0)</f>
        <v>0</v>
      </c>
      <c r="J646" s="194">
        <f>IFERROR(IF(INDEX([1]Pivot!$AD$1:$BE$65000,$B646,J$5)=1,1,IF(INDEX([1]Pivot!$B$1:$AB$65000,$B646,J$5)="",2,0)),0)</f>
        <v>0</v>
      </c>
      <c r="K646" s="194">
        <f>IFERROR(IF(INDEX([1]Pivot!$AD$1:$BE$65000,$B646,K$5)=1,1,IF(INDEX([1]Pivot!$B$1:$AB$65000,$B646,K$5)="",2,0)),0)</f>
        <v>0</v>
      </c>
      <c r="L646" s="194">
        <f>IFERROR(IF(INDEX([1]Pivot!$AD$1:$BE$65000,$B646,L$5)=1,1,IF(INDEX([1]Pivot!$B$1:$AB$65000,$B646,L$5)="",2,0)),0)</f>
        <v>0</v>
      </c>
      <c r="M646" s="194">
        <f>IFERROR(IF(INDEX([1]Pivot!$AD$1:$BE$65000,$B646,M$5)=1,1,IF(INDEX([1]Pivot!$B$1:$AB$65000,$B646,M$5)="",2,0)),0)</f>
        <v>0</v>
      </c>
      <c r="N646" s="194">
        <f>IFERROR(IF(INDEX([1]Pivot!$AD$1:$BE$65000,$B646,N$5)=1,1,IF(INDEX([1]Pivot!$B$1:$AB$65000,$B646,N$5)="",2,0)),0)</f>
        <v>0</v>
      </c>
      <c r="O646" s="194">
        <f>IFERROR(IF(INDEX([1]Pivot!$AD$1:$BE$65000,$B646,O$5)=1,1,IF(INDEX([1]Pivot!$B$1:$AB$65000,$B646,O$5)="",2,0)),0)</f>
        <v>0</v>
      </c>
      <c r="P646" s="194">
        <f>IFERROR(IF(INDEX([1]Pivot!$AD$1:$BE$65000,$B646,P$5)=1,1,IF(INDEX([1]Pivot!$B$1:$AB$65000,$B646,P$5)="",2,0)),0)</f>
        <v>0</v>
      </c>
      <c r="Q646" s="194">
        <f>IFERROR(IF(INDEX([1]Pivot!$AD$1:$BE$65000,$B646,Q$5)=1,1,IF(INDEX([1]Pivot!$B$1:$AB$65000,$B646,Q$5)="",2,0)),0)</f>
        <v>0</v>
      </c>
      <c r="R646" s="312"/>
      <c r="S646" s="194">
        <f>IFERROR(IF(INDEX([1]Pivot!$AD$1:$BE$65000,$B646,S$5)=1,1,IF(INDEX([1]Pivot!$B$1:$AB$65000,$B646,S$5)="",2,0)),0)</f>
        <v>0</v>
      </c>
      <c r="T646" s="194">
        <f>IFERROR(IF(INDEX([1]Pivot!$AD$1:$BE$65000,$B646,T$5)=1,1,IF(INDEX([1]Pivot!$B$1:$AB$65000,$B646,T$5)="",2,0)),0)</f>
        <v>0</v>
      </c>
      <c r="U646" s="194">
        <f>IFERROR(IF(INDEX([1]Pivot!$AD$1:$BE$65000,$B646,U$5)=1,1,IF(INDEX([1]Pivot!$B$1:$AB$65000,$B646,U$5)="",2,0)),0)</f>
        <v>0</v>
      </c>
      <c r="V646" s="194">
        <f>IFERROR(IF(INDEX([1]Pivot!$AD$1:$BE$65000,$B646,V$5)=1,1,IF(INDEX([1]Pivot!$B$1:$AB$65000,$B646,V$5)="",2,0)),0)</f>
        <v>0</v>
      </c>
      <c r="W646" s="194">
        <f>IFERROR(IF(INDEX([1]Pivot!$AD$1:$BE$65000,$B646,W$5)=1,1,IF(INDEX([1]Pivot!$B$1:$AB$65000,$B646,W$5)="",2,0)),0)</f>
        <v>0</v>
      </c>
      <c r="X646" s="194">
        <f>IFERROR(IF(INDEX([1]Pivot!$AD$1:$BE$65000,$B646,X$5)=1,1,IF(INDEX([1]Pivot!$B$1:$AB$65000,$B646,X$5)="",2,0)),0)</f>
        <v>0</v>
      </c>
      <c r="Y646" s="194">
        <f>IFERROR(IF(INDEX([1]Pivot!$AD$1:$BE$65000,$B646,Y$5)=1,1,IF(INDEX([1]Pivot!$B$1:$AB$65000,$B646,Y$5)="",2,0)),0)</f>
        <v>0</v>
      </c>
      <c r="Z646" s="194">
        <f>IFERROR(IF(INDEX([1]Pivot!$AD$1:$BE$65000,$B646,Z$5)=1,1,IF(INDEX([1]Pivot!$B$1:$AB$65000,$B646,Z$5)="",2,0)),0)</f>
        <v>0</v>
      </c>
      <c r="AA646" s="194">
        <f>IFERROR(IF(INDEX([1]Pivot!$AD$1:$BE$65000,$B646,AA$5)=1,1,IF(INDEX([1]Pivot!$B$1:$AB$65000,$B646,AA$5)="",2,0)),0)</f>
        <v>0</v>
      </c>
      <c r="AB646" s="194">
        <f>IFERROR(IF(INDEX([1]Pivot!$AD$1:$BE$65000,$B646,AB$5)=1,1,IF(INDEX([1]Pivot!$B$1:$AB$65000,$B646,AB$5)="",2,0)),0)</f>
        <v>0</v>
      </c>
      <c r="AC646" s="194">
        <f>IFERROR(IF(INDEX([1]Pivot!$AD$1:$BE$65000,$B646,AC$5)=1,1,IF(INDEX([1]Pivot!$B$1:$AB$65000,$B646,AC$5)="",2,0)),0)</f>
        <v>0</v>
      </c>
      <c r="AD646" s="313">
        <f>IFERROR(IF(INDEX([1]Pivot!$BF$1:$CG$65000,$B646,AD$5)=1,1,IF(INDEX([1]Pivot!$B$1:$AB$65000,$B646,AD$5)="",2,0)),0)</f>
        <v>0</v>
      </c>
      <c r="AE646" s="313">
        <f>IFERROR(IF(INDEX([1]Pivot!$BF$1:$CG$65000,$B646,AE$5)=1,1,IF(INDEX([1]Pivot!$B$1:$AB$65000,$B646,AE$5)="",2,0)),0)</f>
        <v>0</v>
      </c>
      <c r="AF646" s="313">
        <f>IFERROR(IF(INDEX([1]Pivot!$BF$1:$CG$65000,$B646,AF$5)=1,1,IF(INDEX([1]Pivot!$B$1:$AB$65000,$B646,AF$5)="",2,0)),0)</f>
        <v>0</v>
      </c>
      <c r="AG646" s="313">
        <f>IFERROR(IF(INDEX([1]Pivot!$BF$1:$CG$65000,$B646,AG$5)=1,1,IF(INDEX([1]Pivot!$B$1:$AB$65000,$B646,AG$5)="",2,0)),0)</f>
        <v>0</v>
      </c>
      <c r="AH646" s="313">
        <f>IFERROR(IF(INDEX([1]Pivot!$BF$1:$CG$65000,$B646,AH$5)=1,1,IF(INDEX([1]Pivot!$B$1:$AB$65000,$B646,AH$5)="",2,0)),0)</f>
        <v>0</v>
      </c>
      <c r="AI646" s="313">
        <f>IFERROR(IF(INDEX([1]Pivot!$BF$1:$CG$65000,$B646,AI$5)=1,1,IF(INDEX([1]Pivot!$B$1:$AB$65000,$B646,AI$5)="",2,0)),0)</f>
        <v>0</v>
      </c>
      <c r="AJ646" s="313">
        <f>IFERROR(IF(INDEX([1]Pivot!$BF$1:$CG$65000,$B646,AJ$5)=1,1,IF(INDEX([1]Pivot!$B$1:$AB$65000,$B646,AJ$5)="",2,0)),0)</f>
        <v>0</v>
      </c>
      <c r="AK646" s="313">
        <f>IFERROR(IF(INDEX([1]Pivot!$BF$1:$CG$65000,$B646,AK$5)=1,1,IF(INDEX([1]Pivot!$B$1:$AB$65000,$B646,AK$5)="",2,0)),0)</f>
        <v>0</v>
      </c>
      <c r="AL646" s="313">
        <f>IFERROR(IF(INDEX([1]Pivot!$BF$1:$CG$65000,$B646,AL$5)=1,1,IF(INDEX([1]Pivot!$B$1:$AB$65000,$B646,AL$5)="",2,0)),0)</f>
        <v>0</v>
      </c>
      <c r="AM646" s="313">
        <f>IFERROR(IF(INDEX([1]Pivot!$BF$1:$CG$65000,$B646,AM$5)=1,1,IF(INDEX([1]Pivot!$B$1:$AB$65000,$B646,AM$5)="",2,0)),0)</f>
        <v>0</v>
      </c>
      <c r="AN646" s="313">
        <f>IFERROR(IF(INDEX([1]Pivot!$BF$1:$CG$65000,$B646,AN$5)=1,1,IF(INDEX([1]Pivot!$B$1:$AB$65000,$B646,AN$5)="",2,0)),0)</f>
        <v>0</v>
      </c>
      <c r="AO646" s="313">
        <f>IFERROR(IF(INDEX([1]Pivot!$BF$1:$CG$65000,$B646,AO$5)=1,1,IF(INDEX([1]Pivot!$B$1:$AB$65000,$B646,AO$5)="",2,0)),0)</f>
        <v>0</v>
      </c>
      <c r="AP646" s="313">
        <f>IFERROR(IF(INDEX([1]Pivot!$BF$1:$CG$65000,$B646,AP$5)=1,1,IF(INDEX([1]Pivot!$B$1:$AB$65000,$B646,AP$5)="",2,0)),0)</f>
        <v>0</v>
      </c>
      <c r="AQ646" s="313">
        <f>IFERROR(IF(INDEX([1]Pivot!$BF$1:$CG$65000,$B646,AQ$5)=1,1,IF(INDEX([1]Pivot!$B$1:$AB$65000,$B646,AQ$5)="",2,0)),0)</f>
        <v>0</v>
      </c>
      <c r="AR646" s="313">
        <f>IFERROR(IF(INDEX([1]Pivot!$BF$1:$CG$65000,$B646,AR$5)=1,1,IF(INDEX([1]Pivot!$B$1:$AB$65000,$B646,AR$5)="",2,0)),0)</f>
        <v>0</v>
      </c>
      <c r="AS646" s="312"/>
      <c r="AT646" s="313">
        <f>IFERROR(IF(INDEX([1]Pivot!$BF$1:$CG$65000,$B646,AT$5)=1,1,IF(INDEX([1]Pivot!$B$1:$AB$65000,$B646,AT$5)="",2,0)),0)</f>
        <v>0</v>
      </c>
      <c r="AU646" s="313">
        <f>IFERROR(IF(INDEX([1]Pivot!$BF$1:$CG$65000,$B646,AU$5)=1,1,IF(INDEX([1]Pivot!$B$1:$AB$65000,$B646,AU$5)="",2,0)),0)</f>
        <v>0</v>
      </c>
      <c r="AV646" s="313">
        <f>IFERROR(IF(INDEX([1]Pivot!$BF$1:$CG$65000,$B646,AV$5)=1,1,IF(INDEX([1]Pivot!$B$1:$AB$65000,$B646,AV$5)="",2,0)),0)</f>
        <v>0</v>
      </c>
      <c r="AW646" s="313">
        <f>IFERROR(IF(INDEX([1]Pivot!$BF$1:$CG$65000,$B646,AW$5)=1,1,IF(INDEX([1]Pivot!$B$1:$AB$65000,$B646,AW$5)="",2,0)),0)</f>
        <v>0</v>
      </c>
      <c r="AX646" s="313">
        <f>IFERROR(IF(INDEX([1]Pivot!$BF$1:$CG$65000,$B646,AX$5)=1,1,IF(INDEX([1]Pivot!$B$1:$AB$65000,$B646,AX$5)="",2,0)),0)</f>
        <v>0</v>
      </c>
      <c r="AY646" s="313">
        <f>IFERROR(IF(INDEX([1]Pivot!$BF$1:$CG$65000,$B646,AY$5)=1,1,IF(INDEX([1]Pivot!$B$1:$AB$65000,$B646,AY$5)="",2,0)),0)</f>
        <v>0</v>
      </c>
      <c r="AZ646" s="313">
        <f>IFERROR(IF(INDEX([1]Pivot!$BF$1:$CG$65000,$B646,AZ$5)=1,1,IF(INDEX([1]Pivot!$B$1:$AB$65000,$B646,AZ$5)="",2,0)),0)</f>
        <v>0</v>
      </c>
      <c r="BA646" s="313">
        <f>IFERROR(IF(INDEX([1]Pivot!$BF$1:$CG$65000,$B646,BA$5)=1,1,IF(INDEX([1]Pivot!$B$1:$AB$65000,$B646,BA$5)="",2,0)),0)</f>
        <v>0</v>
      </c>
      <c r="BB646" s="313">
        <f>IFERROR(IF(INDEX([1]Pivot!$BF$1:$CG$65000,$B646,BB$5)=1,1,IF(INDEX([1]Pivot!$B$1:$AB$65000,$B646,BB$5)="",2,0)),0)</f>
        <v>0</v>
      </c>
      <c r="BC646" s="313">
        <f>IFERROR(IF(INDEX([1]Pivot!$BF$1:$CG$65000,$B646,BC$5)=1,1,IF(INDEX([1]Pivot!$B$1:$AB$65000,$B646,BC$5)="",2,0)),0)</f>
        <v>0</v>
      </c>
      <c r="BD646" s="313">
        <f>IFERROR(IF(INDEX([1]Pivot!$BF$1:$CG$65000,$B646,BD$5)=1,1,IF(INDEX([1]Pivot!$B$1:$AB$65000,$B646,BD$5)="",2,0)),0)</f>
        <v>0</v>
      </c>
    </row>
    <row r="647" spans="1:56" x14ac:dyDescent="0.25">
      <c r="A647" s="288">
        <f>'[2]Raw Milk Prices'!A647</f>
        <v>0</v>
      </c>
      <c r="B647" s="296" t="e">
        <f>MATCH(DATE(LEFT('[2]Raw Milk Prices'!$A647,4),RIGHT('[2]Raw Milk Prices'!$A647,2),1),[1]Pivot!$A$1:$A$65000,0)</f>
        <v>#VALUE!</v>
      </c>
      <c r="C647" s="194">
        <f>IFERROR(IF(INDEX([1]Pivot!$AD$1:$BE$65000,$B647,C$5)=1,1,IF(INDEX([1]Pivot!$B$1:$AB$65000,$B647,C$5)="",2,0)),0)</f>
        <v>0</v>
      </c>
      <c r="D647" s="194">
        <f>IFERROR(IF(INDEX([1]Pivot!$AD$1:$BE$65000,$B647,D$5)=1,1,IF(INDEX([1]Pivot!$B$1:$AB$65000,$B647,D$5)="",2,0)),0)</f>
        <v>0</v>
      </c>
      <c r="E647" s="194">
        <f>IFERROR(IF(INDEX([1]Pivot!$AD$1:$BE$65000,$B647,E$5)=1,1,IF(INDEX([1]Pivot!$B$1:$AB$65000,$B647,E$5)="",2,0)),0)</f>
        <v>0</v>
      </c>
      <c r="F647" s="194">
        <f>IFERROR(IF(INDEX([1]Pivot!$AD$1:$BE$65000,$B647,F$5)=1,1,IF(INDEX([1]Pivot!$B$1:$AB$65000,$B647,F$5)="",2,0)),0)</f>
        <v>0</v>
      </c>
      <c r="G647" s="194">
        <f>IFERROR(IF(INDEX([1]Pivot!$AD$1:$BE$65000,$B647,G$5)=1,1,IF(INDEX([1]Pivot!$B$1:$AB$65000,$B647,G$5)="",2,0)),0)</f>
        <v>0</v>
      </c>
      <c r="H647" s="194">
        <f>IFERROR(IF(INDEX([1]Pivot!$AD$1:$BE$65000,$B647,H$5)=1,1,IF(INDEX([1]Pivot!$B$1:$AB$65000,$B647,H$5)="",2,0)),0)</f>
        <v>0</v>
      </c>
      <c r="I647" s="194">
        <f>IFERROR(IF(INDEX([1]Pivot!$AD$1:$BE$65000,$B647,I$5)=1,1,IF(INDEX([1]Pivot!$B$1:$AB$65000,$B647,I$5)="",2,0)),0)</f>
        <v>0</v>
      </c>
      <c r="J647" s="194">
        <f>IFERROR(IF(INDEX([1]Pivot!$AD$1:$BE$65000,$B647,J$5)=1,1,IF(INDEX([1]Pivot!$B$1:$AB$65000,$B647,J$5)="",2,0)),0)</f>
        <v>0</v>
      </c>
      <c r="K647" s="194">
        <f>IFERROR(IF(INDEX([1]Pivot!$AD$1:$BE$65000,$B647,K$5)=1,1,IF(INDEX([1]Pivot!$B$1:$AB$65000,$B647,K$5)="",2,0)),0)</f>
        <v>0</v>
      </c>
      <c r="L647" s="194">
        <f>IFERROR(IF(INDEX([1]Pivot!$AD$1:$BE$65000,$B647,L$5)=1,1,IF(INDEX([1]Pivot!$B$1:$AB$65000,$B647,L$5)="",2,0)),0)</f>
        <v>0</v>
      </c>
      <c r="M647" s="194">
        <f>IFERROR(IF(INDEX([1]Pivot!$AD$1:$BE$65000,$B647,M$5)=1,1,IF(INDEX([1]Pivot!$B$1:$AB$65000,$B647,M$5)="",2,0)),0)</f>
        <v>0</v>
      </c>
      <c r="N647" s="194">
        <f>IFERROR(IF(INDEX([1]Pivot!$AD$1:$BE$65000,$B647,N$5)=1,1,IF(INDEX([1]Pivot!$B$1:$AB$65000,$B647,N$5)="",2,0)),0)</f>
        <v>0</v>
      </c>
      <c r="O647" s="194">
        <f>IFERROR(IF(INDEX([1]Pivot!$AD$1:$BE$65000,$B647,O$5)=1,1,IF(INDEX([1]Pivot!$B$1:$AB$65000,$B647,O$5)="",2,0)),0)</f>
        <v>0</v>
      </c>
      <c r="P647" s="194">
        <f>IFERROR(IF(INDEX([1]Pivot!$AD$1:$BE$65000,$B647,P$5)=1,1,IF(INDEX([1]Pivot!$B$1:$AB$65000,$B647,P$5)="",2,0)),0)</f>
        <v>0</v>
      </c>
      <c r="Q647" s="194">
        <f>IFERROR(IF(INDEX([1]Pivot!$AD$1:$BE$65000,$B647,Q$5)=1,1,IF(INDEX([1]Pivot!$B$1:$AB$65000,$B647,Q$5)="",2,0)),0)</f>
        <v>0</v>
      </c>
      <c r="R647" s="312"/>
      <c r="S647" s="194">
        <f>IFERROR(IF(INDEX([1]Pivot!$AD$1:$BE$65000,$B647,S$5)=1,1,IF(INDEX([1]Pivot!$B$1:$AB$65000,$B647,S$5)="",2,0)),0)</f>
        <v>0</v>
      </c>
      <c r="T647" s="194">
        <f>IFERROR(IF(INDEX([1]Pivot!$AD$1:$BE$65000,$B647,T$5)=1,1,IF(INDEX([1]Pivot!$B$1:$AB$65000,$B647,T$5)="",2,0)),0)</f>
        <v>0</v>
      </c>
      <c r="U647" s="194">
        <f>IFERROR(IF(INDEX([1]Pivot!$AD$1:$BE$65000,$B647,U$5)=1,1,IF(INDEX([1]Pivot!$B$1:$AB$65000,$B647,U$5)="",2,0)),0)</f>
        <v>0</v>
      </c>
      <c r="V647" s="194">
        <f>IFERROR(IF(INDEX([1]Pivot!$AD$1:$BE$65000,$B647,V$5)=1,1,IF(INDEX([1]Pivot!$B$1:$AB$65000,$B647,V$5)="",2,0)),0)</f>
        <v>0</v>
      </c>
      <c r="W647" s="194">
        <f>IFERROR(IF(INDEX([1]Pivot!$AD$1:$BE$65000,$B647,W$5)=1,1,IF(INDEX([1]Pivot!$B$1:$AB$65000,$B647,W$5)="",2,0)),0)</f>
        <v>0</v>
      </c>
      <c r="X647" s="194">
        <f>IFERROR(IF(INDEX([1]Pivot!$AD$1:$BE$65000,$B647,X$5)=1,1,IF(INDEX([1]Pivot!$B$1:$AB$65000,$B647,X$5)="",2,0)),0)</f>
        <v>0</v>
      </c>
      <c r="Y647" s="194">
        <f>IFERROR(IF(INDEX([1]Pivot!$AD$1:$BE$65000,$B647,Y$5)=1,1,IF(INDEX([1]Pivot!$B$1:$AB$65000,$B647,Y$5)="",2,0)),0)</f>
        <v>0</v>
      </c>
      <c r="Z647" s="194">
        <f>IFERROR(IF(INDEX([1]Pivot!$AD$1:$BE$65000,$B647,Z$5)=1,1,IF(INDEX([1]Pivot!$B$1:$AB$65000,$B647,Z$5)="",2,0)),0)</f>
        <v>0</v>
      </c>
      <c r="AA647" s="194">
        <f>IFERROR(IF(INDEX([1]Pivot!$AD$1:$BE$65000,$B647,AA$5)=1,1,IF(INDEX([1]Pivot!$B$1:$AB$65000,$B647,AA$5)="",2,0)),0)</f>
        <v>0</v>
      </c>
      <c r="AB647" s="194">
        <f>IFERROR(IF(INDEX([1]Pivot!$AD$1:$BE$65000,$B647,AB$5)=1,1,IF(INDEX([1]Pivot!$B$1:$AB$65000,$B647,AB$5)="",2,0)),0)</f>
        <v>0</v>
      </c>
      <c r="AC647" s="194">
        <f>IFERROR(IF(INDEX([1]Pivot!$AD$1:$BE$65000,$B647,AC$5)=1,1,IF(INDEX([1]Pivot!$B$1:$AB$65000,$B647,AC$5)="",2,0)),0)</f>
        <v>0</v>
      </c>
      <c r="AD647" s="313">
        <f>IFERROR(IF(INDEX([1]Pivot!$BF$1:$CG$65000,$B647,AD$5)=1,1,IF(INDEX([1]Pivot!$B$1:$AB$65000,$B647,AD$5)="",2,0)),0)</f>
        <v>0</v>
      </c>
      <c r="AE647" s="313">
        <f>IFERROR(IF(INDEX([1]Pivot!$BF$1:$CG$65000,$B647,AE$5)=1,1,IF(INDEX([1]Pivot!$B$1:$AB$65000,$B647,AE$5)="",2,0)),0)</f>
        <v>0</v>
      </c>
      <c r="AF647" s="313">
        <f>IFERROR(IF(INDEX([1]Pivot!$BF$1:$CG$65000,$B647,AF$5)=1,1,IF(INDEX([1]Pivot!$B$1:$AB$65000,$B647,AF$5)="",2,0)),0)</f>
        <v>0</v>
      </c>
      <c r="AG647" s="313">
        <f>IFERROR(IF(INDEX([1]Pivot!$BF$1:$CG$65000,$B647,AG$5)=1,1,IF(INDEX([1]Pivot!$B$1:$AB$65000,$B647,AG$5)="",2,0)),0)</f>
        <v>0</v>
      </c>
      <c r="AH647" s="313">
        <f>IFERROR(IF(INDEX([1]Pivot!$BF$1:$CG$65000,$B647,AH$5)=1,1,IF(INDEX([1]Pivot!$B$1:$AB$65000,$B647,AH$5)="",2,0)),0)</f>
        <v>0</v>
      </c>
      <c r="AI647" s="313">
        <f>IFERROR(IF(INDEX([1]Pivot!$BF$1:$CG$65000,$B647,AI$5)=1,1,IF(INDEX([1]Pivot!$B$1:$AB$65000,$B647,AI$5)="",2,0)),0)</f>
        <v>0</v>
      </c>
      <c r="AJ647" s="313">
        <f>IFERROR(IF(INDEX([1]Pivot!$BF$1:$CG$65000,$B647,AJ$5)=1,1,IF(INDEX([1]Pivot!$B$1:$AB$65000,$B647,AJ$5)="",2,0)),0)</f>
        <v>0</v>
      </c>
      <c r="AK647" s="313">
        <f>IFERROR(IF(INDEX([1]Pivot!$BF$1:$CG$65000,$B647,AK$5)=1,1,IF(INDEX([1]Pivot!$B$1:$AB$65000,$B647,AK$5)="",2,0)),0)</f>
        <v>0</v>
      </c>
      <c r="AL647" s="313">
        <f>IFERROR(IF(INDEX([1]Pivot!$BF$1:$CG$65000,$B647,AL$5)=1,1,IF(INDEX([1]Pivot!$B$1:$AB$65000,$B647,AL$5)="",2,0)),0)</f>
        <v>0</v>
      </c>
      <c r="AM647" s="313">
        <f>IFERROR(IF(INDEX([1]Pivot!$BF$1:$CG$65000,$B647,AM$5)=1,1,IF(INDEX([1]Pivot!$B$1:$AB$65000,$B647,AM$5)="",2,0)),0)</f>
        <v>0</v>
      </c>
      <c r="AN647" s="313">
        <f>IFERROR(IF(INDEX([1]Pivot!$BF$1:$CG$65000,$B647,AN$5)=1,1,IF(INDEX([1]Pivot!$B$1:$AB$65000,$B647,AN$5)="",2,0)),0)</f>
        <v>0</v>
      </c>
      <c r="AO647" s="313">
        <f>IFERROR(IF(INDEX([1]Pivot!$BF$1:$CG$65000,$B647,AO$5)=1,1,IF(INDEX([1]Pivot!$B$1:$AB$65000,$B647,AO$5)="",2,0)),0)</f>
        <v>0</v>
      </c>
      <c r="AP647" s="313">
        <f>IFERROR(IF(INDEX([1]Pivot!$BF$1:$CG$65000,$B647,AP$5)=1,1,IF(INDEX([1]Pivot!$B$1:$AB$65000,$B647,AP$5)="",2,0)),0)</f>
        <v>0</v>
      </c>
      <c r="AQ647" s="313">
        <f>IFERROR(IF(INDEX([1]Pivot!$BF$1:$CG$65000,$B647,AQ$5)=1,1,IF(INDEX([1]Pivot!$B$1:$AB$65000,$B647,AQ$5)="",2,0)),0)</f>
        <v>0</v>
      </c>
      <c r="AR647" s="313">
        <f>IFERROR(IF(INDEX([1]Pivot!$BF$1:$CG$65000,$B647,AR$5)=1,1,IF(INDEX([1]Pivot!$B$1:$AB$65000,$B647,AR$5)="",2,0)),0)</f>
        <v>0</v>
      </c>
      <c r="AS647" s="312"/>
      <c r="AT647" s="313">
        <f>IFERROR(IF(INDEX([1]Pivot!$BF$1:$CG$65000,$B647,AT$5)=1,1,IF(INDEX([1]Pivot!$B$1:$AB$65000,$B647,AT$5)="",2,0)),0)</f>
        <v>0</v>
      </c>
      <c r="AU647" s="313">
        <f>IFERROR(IF(INDEX([1]Pivot!$BF$1:$CG$65000,$B647,AU$5)=1,1,IF(INDEX([1]Pivot!$B$1:$AB$65000,$B647,AU$5)="",2,0)),0)</f>
        <v>0</v>
      </c>
      <c r="AV647" s="313">
        <f>IFERROR(IF(INDEX([1]Pivot!$BF$1:$CG$65000,$B647,AV$5)=1,1,IF(INDEX([1]Pivot!$B$1:$AB$65000,$B647,AV$5)="",2,0)),0)</f>
        <v>0</v>
      </c>
      <c r="AW647" s="313">
        <f>IFERROR(IF(INDEX([1]Pivot!$BF$1:$CG$65000,$B647,AW$5)=1,1,IF(INDEX([1]Pivot!$B$1:$AB$65000,$B647,AW$5)="",2,0)),0)</f>
        <v>0</v>
      </c>
      <c r="AX647" s="313">
        <f>IFERROR(IF(INDEX([1]Pivot!$BF$1:$CG$65000,$B647,AX$5)=1,1,IF(INDEX([1]Pivot!$B$1:$AB$65000,$B647,AX$5)="",2,0)),0)</f>
        <v>0</v>
      </c>
      <c r="AY647" s="313">
        <f>IFERROR(IF(INDEX([1]Pivot!$BF$1:$CG$65000,$B647,AY$5)=1,1,IF(INDEX([1]Pivot!$B$1:$AB$65000,$B647,AY$5)="",2,0)),0)</f>
        <v>0</v>
      </c>
      <c r="AZ647" s="313">
        <f>IFERROR(IF(INDEX([1]Pivot!$BF$1:$CG$65000,$B647,AZ$5)=1,1,IF(INDEX([1]Pivot!$B$1:$AB$65000,$B647,AZ$5)="",2,0)),0)</f>
        <v>0</v>
      </c>
      <c r="BA647" s="313">
        <f>IFERROR(IF(INDEX([1]Pivot!$BF$1:$CG$65000,$B647,BA$5)=1,1,IF(INDEX([1]Pivot!$B$1:$AB$65000,$B647,BA$5)="",2,0)),0)</f>
        <v>0</v>
      </c>
      <c r="BB647" s="313">
        <f>IFERROR(IF(INDEX([1]Pivot!$BF$1:$CG$65000,$B647,BB$5)=1,1,IF(INDEX([1]Pivot!$B$1:$AB$65000,$B647,BB$5)="",2,0)),0)</f>
        <v>0</v>
      </c>
      <c r="BC647" s="313">
        <f>IFERROR(IF(INDEX([1]Pivot!$BF$1:$CG$65000,$B647,BC$5)=1,1,IF(INDEX([1]Pivot!$B$1:$AB$65000,$B647,BC$5)="",2,0)),0)</f>
        <v>0</v>
      </c>
      <c r="BD647" s="313">
        <f>IFERROR(IF(INDEX([1]Pivot!$BF$1:$CG$65000,$B647,BD$5)=1,1,IF(INDEX([1]Pivot!$B$1:$AB$65000,$B647,BD$5)="",2,0)),0)</f>
        <v>0</v>
      </c>
    </row>
    <row r="648" spans="1:56" x14ac:dyDescent="0.25">
      <c r="A648" s="288">
        <f>'[2]Raw Milk Prices'!A648</f>
        <v>0</v>
      </c>
      <c r="B648" s="296" t="e">
        <f>MATCH(DATE(LEFT('[2]Raw Milk Prices'!$A648,4),RIGHT('[2]Raw Milk Prices'!$A648,2),1),[1]Pivot!$A$1:$A$65000,0)</f>
        <v>#VALUE!</v>
      </c>
      <c r="C648" s="194">
        <f>IFERROR(IF(INDEX([1]Pivot!$AD$1:$BE$65000,$B648,C$5)=1,1,IF(INDEX([1]Pivot!$B$1:$AB$65000,$B648,C$5)="",2,0)),0)</f>
        <v>0</v>
      </c>
      <c r="D648" s="194">
        <f>IFERROR(IF(INDEX([1]Pivot!$AD$1:$BE$65000,$B648,D$5)=1,1,IF(INDEX([1]Pivot!$B$1:$AB$65000,$B648,D$5)="",2,0)),0)</f>
        <v>0</v>
      </c>
      <c r="E648" s="194">
        <f>IFERROR(IF(INDEX([1]Pivot!$AD$1:$BE$65000,$B648,E$5)=1,1,IF(INDEX([1]Pivot!$B$1:$AB$65000,$B648,E$5)="",2,0)),0)</f>
        <v>0</v>
      </c>
      <c r="F648" s="194">
        <f>IFERROR(IF(INDEX([1]Pivot!$AD$1:$BE$65000,$B648,F$5)=1,1,IF(INDEX([1]Pivot!$B$1:$AB$65000,$B648,F$5)="",2,0)),0)</f>
        <v>0</v>
      </c>
      <c r="G648" s="194">
        <f>IFERROR(IF(INDEX([1]Pivot!$AD$1:$BE$65000,$B648,G$5)=1,1,IF(INDEX([1]Pivot!$B$1:$AB$65000,$B648,G$5)="",2,0)),0)</f>
        <v>0</v>
      </c>
      <c r="H648" s="194">
        <f>IFERROR(IF(INDEX([1]Pivot!$AD$1:$BE$65000,$B648,H$5)=1,1,IF(INDEX([1]Pivot!$B$1:$AB$65000,$B648,H$5)="",2,0)),0)</f>
        <v>0</v>
      </c>
      <c r="I648" s="194">
        <f>IFERROR(IF(INDEX([1]Pivot!$AD$1:$BE$65000,$B648,I$5)=1,1,IF(INDEX([1]Pivot!$B$1:$AB$65000,$B648,I$5)="",2,0)),0)</f>
        <v>0</v>
      </c>
      <c r="J648" s="194">
        <f>IFERROR(IF(INDEX([1]Pivot!$AD$1:$BE$65000,$B648,J$5)=1,1,IF(INDEX([1]Pivot!$B$1:$AB$65000,$B648,J$5)="",2,0)),0)</f>
        <v>0</v>
      </c>
      <c r="K648" s="194">
        <f>IFERROR(IF(INDEX([1]Pivot!$AD$1:$BE$65000,$B648,K$5)=1,1,IF(INDEX([1]Pivot!$B$1:$AB$65000,$B648,K$5)="",2,0)),0)</f>
        <v>0</v>
      </c>
      <c r="L648" s="194">
        <f>IFERROR(IF(INDEX([1]Pivot!$AD$1:$BE$65000,$B648,L$5)=1,1,IF(INDEX([1]Pivot!$B$1:$AB$65000,$B648,L$5)="",2,0)),0)</f>
        <v>0</v>
      </c>
      <c r="M648" s="194">
        <f>IFERROR(IF(INDEX([1]Pivot!$AD$1:$BE$65000,$B648,M$5)=1,1,IF(INDEX([1]Pivot!$B$1:$AB$65000,$B648,M$5)="",2,0)),0)</f>
        <v>0</v>
      </c>
      <c r="N648" s="194">
        <f>IFERROR(IF(INDEX([1]Pivot!$AD$1:$BE$65000,$B648,N$5)=1,1,IF(INDEX([1]Pivot!$B$1:$AB$65000,$B648,N$5)="",2,0)),0)</f>
        <v>0</v>
      </c>
      <c r="O648" s="194">
        <f>IFERROR(IF(INDEX([1]Pivot!$AD$1:$BE$65000,$B648,O$5)=1,1,IF(INDEX([1]Pivot!$B$1:$AB$65000,$B648,O$5)="",2,0)),0)</f>
        <v>0</v>
      </c>
      <c r="P648" s="194">
        <f>IFERROR(IF(INDEX([1]Pivot!$AD$1:$BE$65000,$B648,P$5)=1,1,IF(INDEX([1]Pivot!$B$1:$AB$65000,$B648,P$5)="",2,0)),0)</f>
        <v>0</v>
      </c>
      <c r="Q648" s="194">
        <f>IFERROR(IF(INDEX([1]Pivot!$AD$1:$BE$65000,$B648,Q$5)=1,1,IF(INDEX([1]Pivot!$B$1:$AB$65000,$B648,Q$5)="",2,0)),0)</f>
        <v>0</v>
      </c>
      <c r="R648" s="312"/>
      <c r="S648" s="194">
        <f>IFERROR(IF(INDEX([1]Pivot!$AD$1:$BE$65000,$B648,S$5)=1,1,IF(INDEX([1]Pivot!$B$1:$AB$65000,$B648,S$5)="",2,0)),0)</f>
        <v>0</v>
      </c>
      <c r="T648" s="194">
        <f>IFERROR(IF(INDEX([1]Pivot!$AD$1:$BE$65000,$B648,T$5)=1,1,IF(INDEX([1]Pivot!$B$1:$AB$65000,$B648,T$5)="",2,0)),0)</f>
        <v>0</v>
      </c>
      <c r="U648" s="194">
        <f>IFERROR(IF(INDEX([1]Pivot!$AD$1:$BE$65000,$B648,U$5)=1,1,IF(INDEX([1]Pivot!$B$1:$AB$65000,$B648,U$5)="",2,0)),0)</f>
        <v>0</v>
      </c>
      <c r="V648" s="194">
        <f>IFERROR(IF(INDEX([1]Pivot!$AD$1:$BE$65000,$B648,V$5)=1,1,IF(INDEX([1]Pivot!$B$1:$AB$65000,$B648,V$5)="",2,0)),0)</f>
        <v>0</v>
      </c>
      <c r="W648" s="194">
        <f>IFERROR(IF(INDEX([1]Pivot!$AD$1:$BE$65000,$B648,W$5)=1,1,IF(INDEX([1]Pivot!$B$1:$AB$65000,$B648,W$5)="",2,0)),0)</f>
        <v>0</v>
      </c>
      <c r="X648" s="194">
        <f>IFERROR(IF(INDEX([1]Pivot!$AD$1:$BE$65000,$B648,X$5)=1,1,IF(INDEX([1]Pivot!$B$1:$AB$65000,$B648,X$5)="",2,0)),0)</f>
        <v>0</v>
      </c>
      <c r="Y648" s="194">
        <f>IFERROR(IF(INDEX([1]Pivot!$AD$1:$BE$65000,$B648,Y$5)=1,1,IF(INDEX([1]Pivot!$B$1:$AB$65000,$B648,Y$5)="",2,0)),0)</f>
        <v>0</v>
      </c>
      <c r="Z648" s="194">
        <f>IFERROR(IF(INDEX([1]Pivot!$AD$1:$BE$65000,$B648,Z$5)=1,1,IF(INDEX([1]Pivot!$B$1:$AB$65000,$B648,Z$5)="",2,0)),0)</f>
        <v>0</v>
      </c>
      <c r="AA648" s="194">
        <f>IFERROR(IF(INDEX([1]Pivot!$AD$1:$BE$65000,$B648,AA$5)=1,1,IF(INDEX([1]Pivot!$B$1:$AB$65000,$B648,AA$5)="",2,0)),0)</f>
        <v>0</v>
      </c>
      <c r="AB648" s="194">
        <f>IFERROR(IF(INDEX([1]Pivot!$AD$1:$BE$65000,$B648,AB$5)=1,1,IF(INDEX([1]Pivot!$B$1:$AB$65000,$B648,AB$5)="",2,0)),0)</f>
        <v>0</v>
      </c>
      <c r="AC648" s="194">
        <f>IFERROR(IF(INDEX([1]Pivot!$AD$1:$BE$65000,$B648,AC$5)=1,1,IF(INDEX([1]Pivot!$B$1:$AB$65000,$B648,AC$5)="",2,0)),0)</f>
        <v>0</v>
      </c>
      <c r="AD648" s="313">
        <f>IFERROR(IF(INDEX([1]Pivot!$BF$1:$CG$65000,$B648,AD$5)=1,1,IF(INDEX([1]Pivot!$B$1:$AB$65000,$B648,AD$5)="",2,0)),0)</f>
        <v>0</v>
      </c>
      <c r="AE648" s="313">
        <f>IFERROR(IF(INDEX([1]Pivot!$BF$1:$CG$65000,$B648,AE$5)=1,1,IF(INDEX([1]Pivot!$B$1:$AB$65000,$B648,AE$5)="",2,0)),0)</f>
        <v>0</v>
      </c>
      <c r="AF648" s="313">
        <f>IFERROR(IF(INDEX([1]Pivot!$BF$1:$CG$65000,$B648,AF$5)=1,1,IF(INDEX([1]Pivot!$B$1:$AB$65000,$B648,AF$5)="",2,0)),0)</f>
        <v>0</v>
      </c>
      <c r="AG648" s="313">
        <f>IFERROR(IF(INDEX([1]Pivot!$BF$1:$CG$65000,$B648,AG$5)=1,1,IF(INDEX([1]Pivot!$B$1:$AB$65000,$B648,AG$5)="",2,0)),0)</f>
        <v>0</v>
      </c>
      <c r="AH648" s="313">
        <f>IFERROR(IF(INDEX([1]Pivot!$BF$1:$CG$65000,$B648,AH$5)=1,1,IF(INDEX([1]Pivot!$B$1:$AB$65000,$B648,AH$5)="",2,0)),0)</f>
        <v>0</v>
      </c>
      <c r="AI648" s="313">
        <f>IFERROR(IF(INDEX([1]Pivot!$BF$1:$CG$65000,$B648,AI$5)=1,1,IF(INDEX([1]Pivot!$B$1:$AB$65000,$B648,AI$5)="",2,0)),0)</f>
        <v>0</v>
      </c>
      <c r="AJ648" s="313">
        <f>IFERROR(IF(INDEX([1]Pivot!$BF$1:$CG$65000,$B648,AJ$5)=1,1,IF(INDEX([1]Pivot!$B$1:$AB$65000,$B648,AJ$5)="",2,0)),0)</f>
        <v>0</v>
      </c>
      <c r="AK648" s="313">
        <f>IFERROR(IF(INDEX([1]Pivot!$BF$1:$CG$65000,$B648,AK$5)=1,1,IF(INDEX([1]Pivot!$B$1:$AB$65000,$B648,AK$5)="",2,0)),0)</f>
        <v>0</v>
      </c>
      <c r="AL648" s="313">
        <f>IFERROR(IF(INDEX([1]Pivot!$BF$1:$CG$65000,$B648,AL$5)=1,1,IF(INDEX([1]Pivot!$B$1:$AB$65000,$B648,AL$5)="",2,0)),0)</f>
        <v>0</v>
      </c>
      <c r="AM648" s="313">
        <f>IFERROR(IF(INDEX([1]Pivot!$BF$1:$CG$65000,$B648,AM$5)=1,1,IF(INDEX([1]Pivot!$B$1:$AB$65000,$B648,AM$5)="",2,0)),0)</f>
        <v>0</v>
      </c>
      <c r="AN648" s="313">
        <f>IFERROR(IF(INDEX([1]Pivot!$BF$1:$CG$65000,$B648,AN$5)=1,1,IF(INDEX([1]Pivot!$B$1:$AB$65000,$B648,AN$5)="",2,0)),0)</f>
        <v>0</v>
      </c>
      <c r="AO648" s="313">
        <f>IFERROR(IF(INDEX([1]Pivot!$BF$1:$CG$65000,$B648,AO$5)=1,1,IF(INDEX([1]Pivot!$B$1:$AB$65000,$B648,AO$5)="",2,0)),0)</f>
        <v>0</v>
      </c>
      <c r="AP648" s="313">
        <f>IFERROR(IF(INDEX([1]Pivot!$BF$1:$CG$65000,$B648,AP$5)=1,1,IF(INDEX([1]Pivot!$B$1:$AB$65000,$B648,AP$5)="",2,0)),0)</f>
        <v>0</v>
      </c>
      <c r="AQ648" s="313">
        <f>IFERROR(IF(INDEX([1]Pivot!$BF$1:$CG$65000,$B648,AQ$5)=1,1,IF(INDEX([1]Pivot!$B$1:$AB$65000,$B648,AQ$5)="",2,0)),0)</f>
        <v>0</v>
      </c>
      <c r="AR648" s="313">
        <f>IFERROR(IF(INDEX([1]Pivot!$BF$1:$CG$65000,$B648,AR$5)=1,1,IF(INDEX([1]Pivot!$B$1:$AB$65000,$B648,AR$5)="",2,0)),0)</f>
        <v>0</v>
      </c>
      <c r="AS648" s="312"/>
      <c r="AT648" s="313">
        <f>IFERROR(IF(INDEX([1]Pivot!$BF$1:$CG$65000,$B648,AT$5)=1,1,IF(INDEX([1]Pivot!$B$1:$AB$65000,$B648,AT$5)="",2,0)),0)</f>
        <v>0</v>
      </c>
      <c r="AU648" s="313">
        <f>IFERROR(IF(INDEX([1]Pivot!$BF$1:$CG$65000,$B648,AU$5)=1,1,IF(INDEX([1]Pivot!$B$1:$AB$65000,$B648,AU$5)="",2,0)),0)</f>
        <v>0</v>
      </c>
      <c r="AV648" s="313">
        <f>IFERROR(IF(INDEX([1]Pivot!$BF$1:$CG$65000,$B648,AV$5)=1,1,IF(INDEX([1]Pivot!$B$1:$AB$65000,$B648,AV$5)="",2,0)),0)</f>
        <v>0</v>
      </c>
      <c r="AW648" s="313">
        <f>IFERROR(IF(INDEX([1]Pivot!$BF$1:$CG$65000,$B648,AW$5)=1,1,IF(INDEX([1]Pivot!$B$1:$AB$65000,$B648,AW$5)="",2,0)),0)</f>
        <v>0</v>
      </c>
      <c r="AX648" s="313">
        <f>IFERROR(IF(INDEX([1]Pivot!$BF$1:$CG$65000,$B648,AX$5)=1,1,IF(INDEX([1]Pivot!$B$1:$AB$65000,$B648,AX$5)="",2,0)),0)</f>
        <v>0</v>
      </c>
      <c r="AY648" s="313">
        <f>IFERROR(IF(INDEX([1]Pivot!$BF$1:$CG$65000,$B648,AY$5)=1,1,IF(INDEX([1]Pivot!$B$1:$AB$65000,$B648,AY$5)="",2,0)),0)</f>
        <v>0</v>
      </c>
      <c r="AZ648" s="313">
        <f>IFERROR(IF(INDEX([1]Pivot!$BF$1:$CG$65000,$B648,AZ$5)=1,1,IF(INDEX([1]Pivot!$B$1:$AB$65000,$B648,AZ$5)="",2,0)),0)</f>
        <v>0</v>
      </c>
      <c r="BA648" s="313">
        <f>IFERROR(IF(INDEX([1]Pivot!$BF$1:$CG$65000,$B648,BA$5)=1,1,IF(INDEX([1]Pivot!$B$1:$AB$65000,$B648,BA$5)="",2,0)),0)</f>
        <v>0</v>
      </c>
      <c r="BB648" s="313">
        <f>IFERROR(IF(INDEX([1]Pivot!$BF$1:$CG$65000,$B648,BB$5)=1,1,IF(INDEX([1]Pivot!$B$1:$AB$65000,$B648,BB$5)="",2,0)),0)</f>
        <v>0</v>
      </c>
      <c r="BC648" s="313">
        <f>IFERROR(IF(INDEX([1]Pivot!$BF$1:$CG$65000,$B648,BC$5)=1,1,IF(INDEX([1]Pivot!$B$1:$AB$65000,$B648,BC$5)="",2,0)),0)</f>
        <v>0</v>
      </c>
      <c r="BD648" s="313">
        <f>IFERROR(IF(INDEX([1]Pivot!$BF$1:$CG$65000,$B648,BD$5)=1,1,IF(INDEX([1]Pivot!$B$1:$AB$65000,$B648,BD$5)="",2,0)),0)</f>
        <v>0</v>
      </c>
    </row>
    <row r="649" spans="1:56" x14ac:dyDescent="0.25">
      <c r="A649" s="288">
        <f>'[2]Raw Milk Prices'!A649</f>
        <v>0</v>
      </c>
      <c r="B649" s="296" t="e">
        <f>MATCH(DATE(LEFT('[2]Raw Milk Prices'!$A649,4),RIGHT('[2]Raw Milk Prices'!$A649,2),1),[1]Pivot!$A$1:$A$65000,0)</f>
        <v>#VALUE!</v>
      </c>
      <c r="C649" s="194">
        <f>IFERROR(IF(INDEX([1]Pivot!$AD$1:$BE$65000,$B649,C$5)=1,1,IF(INDEX([1]Pivot!$B$1:$AB$65000,$B649,C$5)="",2,0)),0)</f>
        <v>0</v>
      </c>
      <c r="D649" s="194">
        <f>IFERROR(IF(INDEX([1]Pivot!$AD$1:$BE$65000,$B649,D$5)=1,1,IF(INDEX([1]Pivot!$B$1:$AB$65000,$B649,D$5)="",2,0)),0)</f>
        <v>0</v>
      </c>
      <c r="E649" s="194">
        <f>IFERROR(IF(INDEX([1]Pivot!$AD$1:$BE$65000,$B649,E$5)=1,1,IF(INDEX([1]Pivot!$B$1:$AB$65000,$B649,E$5)="",2,0)),0)</f>
        <v>0</v>
      </c>
      <c r="F649" s="194">
        <f>IFERROR(IF(INDEX([1]Pivot!$AD$1:$BE$65000,$B649,F$5)=1,1,IF(INDEX([1]Pivot!$B$1:$AB$65000,$B649,F$5)="",2,0)),0)</f>
        <v>0</v>
      </c>
      <c r="G649" s="194">
        <f>IFERROR(IF(INDEX([1]Pivot!$AD$1:$BE$65000,$B649,G$5)=1,1,IF(INDEX([1]Pivot!$B$1:$AB$65000,$B649,G$5)="",2,0)),0)</f>
        <v>0</v>
      </c>
      <c r="H649" s="194">
        <f>IFERROR(IF(INDEX([1]Pivot!$AD$1:$BE$65000,$B649,H$5)=1,1,IF(INDEX([1]Pivot!$B$1:$AB$65000,$B649,H$5)="",2,0)),0)</f>
        <v>0</v>
      </c>
      <c r="I649" s="194">
        <f>IFERROR(IF(INDEX([1]Pivot!$AD$1:$BE$65000,$B649,I$5)=1,1,IF(INDEX([1]Pivot!$B$1:$AB$65000,$B649,I$5)="",2,0)),0)</f>
        <v>0</v>
      </c>
      <c r="J649" s="194">
        <f>IFERROR(IF(INDEX([1]Pivot!$AD$1:$BE$65000,$B649,J$5)=1,1,IF(INDEX([1]Pivot!$B$1:$AB$65000,$B649,J$5)="",2,0)),0)</f>
        <v>0</v>
      </c>
      <c r="K649" s="194">
        <f>IFERROR(IF(INDEX([1]Pivot!$AD$1:$BE$65000,$B649,K$5)=1,1,IF(INDEX([1]Pivot!$B$1:$AB$65000,$B649,K$5)="",2,0)),0)</f>
        <v>0</v>
      </c>
      <c r="L649" s="194">
        <f>IFERROR(IF(INDEX([1]Pivot!$AD$1:$BE$65000,$B649,L$5)=1,1,IF(INDEX([1]Pivot!$B$1:$AB$65000,$B649,L$5)="",2,0)),0)</f>
        <v>0</v>
      </c>
      <c r="M649" s="194">
        <f>IFERROR(IF(INDEX([1]Pivot!$AD$1:$BE$65000,$B649,M$5)=1,1,IF(INDEX([1]Pivot!$B$1:$AB$65000,$B649,M$5)="",2,0)),0)</f>
        <v>0</v>
      </c>
      <c r="N649" s="194">
        <f>IFERROR(IF(INDEX([1]Pivot!$AD$1:$BE$65000,$B649,N$5)=1,1,IF(INDEX([1]Pivot!$B$1:$AB$65000,$B649,N$5)="",2,0)),0)</f>
        <v>0</v>
      </c>
      <c r="O649" s="194">
        <f>IFERROR(IF(INDEX([1]Pivot!$AD$1:$BE$65000,$B649,O$5)=1,1,IF(INDEX([1]Pivot!$B$1:$AB$65000,$B649,O$5)="",2,0)),0)</f>
        <v>0</v>
      </c>
      <c r="P649" s="194">
        <f>IFERROR(IF(INDEX([1]Pivot!$AD$1:$BE$65000,$B649,P$5)=1,1,IF(INDEX([1]Pivot!$B$1:$AB$65000,$B649,P$5)="",2,0)),0)</f>
        <v>0</v>
      </c>
      <c r="Q649" s="194">
        <f>IFERROR(IF(INDEX([1]Pivot!$AD$1:$BE$65000,$B649,Q$5)=1,1,IF(INDEX([1]Pivot!$B$1:$AB$65000,$B649,Q$5)="",2,0)),0)</f>
        <v>0</v>
      </c>
      <c r="R649" s="312"/>
      <c r="S649" s="194">
        <f>IFERROR(IF(INDEX([1]Pivot!$AD$1:$BE$65000,$B649,S$5)=1,1,IF(INDEX([1]Pivot!$B$1:$AB$65000,$B649,S$5)="",2,0)),0)</f>
        <v>0</v>
      </c>
      <c r="T649" s="194">
        <f>IFERROR(IF(INDEX([1]Pivot!$AD$1:$BE$65000,$B649,T$5)=1,1,IF(INDEX([1]Pivot!$B$1:$AB$65000,$B649,T$5)="",2,0)),0)</f>
        <v>0</v>
      </c>
      <c r="U649" s="194">
        <f>IFERROR(IF(INDEX([1]Pivot!$AD$1:$BE$65000,$B649,U$5)=1,1,IF(INDEX([1]Pivot!$B$1:$AB$65000,$B649,U$5)="",2,0)),0)</f>
        <v>0</v>
      </c>
      <c r="V649" s="194">
        <f>IFERROR(IF(INDEX([1]Pivot!$AD$1:$BE$65000,$B649,V$5)=1,1,IF(INDEX([1]Pivot!$B$1:$AB$65000,$B649,V$5)="",2,0)),0)</f>
        <v>0</v>
      </c>
      <c r="W649" s="194">
        <f>IFERROR(IF(INDEX([1]Pivot!$AD$1:$BE$65000,$B649,W$5)=1,1,IF(INDEX([1]Pivot!$B$1:$AB$65000,$B649,W$5)="",2,0)),0)</f>
        <v>0</v>
      </c>
      <c r="X649" s="194">
        <f>IFERROR(IF(INDEX([1]Pivot!$AD$1:$BE$65000,$B649,X$5)=1,1,IF(INDEX([1]Pivot!$B$1:$AB$65000,$B649,X$5)="",2,0)),0)</f>
        <v>0</v>
      </c>
      <c r="Y649" s="194">
        <f>IFERROR(IF(INDEX([1]Pivot!$AD$1:$BE$65000,$B649,Y$5)=1,1,IF(INDEX([1]Pivot!$B$1:$AB$65000,$B649,Y$5)="",2,0)),0)</f>
        <v>0</v>
      </c>
      <c r="Z649" s="194">
        <f>IFERROR(IF(INDEX([1]Pivot!$AD$1:$BE$65000,$B649,Z$5)=1,1,IF(INDEX([1]Pivot!$B$1:$AB$65000,$B649,Z$5)="",2,0)),0)</f>
        <v>0</v>
      </c>
      <c r="AA649" s="194">
        <f>IFERROR(IF(INDEX([1]Pivot!$AD$1:$BE$65000,$B649,AA$5)=1,1,IF(INDEX([1]Pivot!$B$1:$AB$65000,$B649,AA$5)="",2,0)),0)</f>
        <v>0</v>
      </c>
      <c r="AB649" s="194">
        <f>IFERROR(IF(INDEX([1]Pivot!$AD$1:$BE$65000,$B649,AB$5)=1,1,IF(INDEX([1]Pivot!$B$1:$AB$65000,$B649,AB$5)="",2,0)),0)</f>
        <v>0</v>
      </c>
      <c r="AC649" s="194">
        <f>IFERROR(IF(INDEX([1]Pivot!$AD$1:$BE$65000,$B649,AC$5)=1,1,IF(INDEX([1]Pivot!$B$1:$AB$65000,$B649,AC$5)="",2,0)),0)</f>
        <v>0</v>
      </c>
      <c r="AD649" s="313">
        <f>IFERROR(IF(INDEX([1]Pivot!$BF$1:$CG$65000,$B649,AD$5)=1,1,IF(INDEX([1]Pivot!$B$1:$AB$65000,$B649,AD$5)="",2,0)),0)</f>
        <v>0</v>
      </c>
      <c r="AE649" s="313">
        <f>IFERROR(IF(INDEX([1]Pivot!$BF$1:$CG$65000,$B649,AE$5)=1,1,IF(INDEX([1]Pivot!$B$1:$AB$65000,$B649,AE$5)="",2,0)),0)</f>
        <v>0</v>
      </c>
      <c r="AF649" s="313">
        <f>IFERROR(IF(INDEX([1]Pivot!$BF$1:$CG$65000,$B649,AF$5)=1,1,IF(INDEX([1]Pivot!$B$1:$AB$65000,$B649,AF$5)="",2,0)),0)</f>
        <v>0</v>
      </c>
      <c r="AG649" s="313">
        <f>IFERROR(IF(INDEX([1]Pivot!$BF$1:$CG$65000,$B649,AG$5)=1,1,IF(INDEX([1]Pivot!$B$1:$AB$65000,$B649,AG$5)="",2,0)),0)</f>
        <v>0</v>
      </c>
      <c r="AH649" s="313">
        <f>IFERROR(IF(INDEX([1]Pivot!$BF$1:$CG$65000,$B649,AH$5)=1,1,IF(INDEX([1]Pivot!$B$1:$AB$65000,$B649,AH$5)="",2,0)),0)</f>
        <v>0</v>
      </c>
      <c r="AI649" s="313">
        <f>IFERROR(IF(INDEX([1]Pivot!$BF$1:$CG$65000,$B649,AI$5)=1,1,IF(INDEX([1]Pivot!$B$1:$AB$65000,$B649,AI$5)="",2,0)),0)</f>
        <v>0</v>
      </c>
      <c r="AJ649" s="313">
        <f>IFERROR(IF(INDEX([1]Pivot!$BF$1:$CG$65000,$B649,AJ$5)=1,1,IF(INDEX([1]Pivot!$B$1:$AB$65000,$B649,AJ$5)="",2,0)),0)</f>
        <v>0</v>
      </c>
      <c r="AK649" s="313">
        <f>IFERROR(IF(INDEX([1]Pivot!$BF$1:$CG$65000,$B649,AK$5)=1,1,IF(INDEX([1]Pivot!$B$1:$AB$65000,$B649,AK$5)="",2,0)),0)</f>
        <v>0</v>
      </c>
      <c r="AL649" s="313">
        <f>IFERROR(IF(INDEX([1]Pivot!$BF$1:$CG$65000,$B649,AL$5)=1,1,IF(INDEX([1]Pivot!$B$1:$AB$65000,$B649,AL$5)="",2,0)),0)</f>
        <v>0</v>
      </c>
      <c r="AM649" s="313">
        <f>IFERROR(IF(INDEX([1]Pivot!$BF$1:$CG$65000,$B649,AM$5)=1,1,IF(INDEX([1]Pivot!$B$1:$AB$65000,$B649,AM$5)="",2,0)),0)</f>
        <v>0</v>
      </c>
      <c r="AN649" s="313">
        <f>IFERROR(IF(INDEX([1]Pivot!$BF$1:$CG$65000,$B649,AN$5)=1,1,IF(INDEX([1]Pivot!$B$1:$AB$65000,$B649,AN$5)="",2,0)),0)</f>
        <v>0</v>
      </c>
      <c r="AO649" s="313">
        <f>IFERROR(IF(INDEX([1]Pivot!$BF$1:$CG$65000,$B649,AO$5)=1,1,IF(INDEX([1]Pivot!$B$1:$AB$65000,$B649,AO$5)="",2,0)),0)</f>
        <v>0</v>
      </c>
      <c r="AP649" s="313">
        <f>IFERROR(IF(INDEX([1]Pivot!$BF$1:$CG$65000,$B649,AP$5)=1,1,IF(INDEX([1]Pivot!$B$1:$AB$65000,$B649,AP$5)="",2,0)),0)</f>
        <v>0</v>
      </c>
      <c r="AQ649" s="313">
        <f>IFERROR(IF(INDEX([1]Pivot!$BF$1:$CG$65000,$B649,AQ$5)=1,1,IF(INDEX([1]Pivot!$B$1:$AB$65000,$B649,AQ$5)="",2,0)),0)</f>
        <v>0</v>
      </c>
      <c r="AR649" s="313">
        <f>IFERROR(IF(INDEX([1]Pivot!$BF$1:$CG$65000,$B649,AR$5)=1,1,IF(INDEX([1]Pivot!$B$1:$AB$65000,$B649,AR$5)="",2,0)),0)</f>
        <v>0</v>
      </c>
      <c r="AS649" s="312"/>
      <c r="AT649" s="313">
        <f>IFERROR(IF(INDEX([1]Pivot!$BF$1:$CG$65000,$B649,AT$5)=1,1,IF(INDEX([1]Pivot!$B$1:$AB$65000,$B649,AT$5)="",2,0)),0)</f>
        <v>0</v>
      </c>
      <c r="AU649" s="313">
        <f>IFERROR(IF(INDEX([1]Pivot!$BF$1:$CG$65000,$B649,AU$5)=1,1,IF(INDEX([1]Pivot!$B$1:$AB$65000,$B649,AU$5)="",2,0)),0)</f>
        <v>0</v>
      </c>
      <c r="AV649" s="313">
        <f>IFERROR(IF(INDEX([1]Pivot!$BF$1:$CG$65000,$B649,AV$5)=1,1,IF(INDEX([1]Pivot!$B$1:$AB$65000,$B649,AV$5)="",2,0)),0)</f>
        <v>0</v>
      </c>
      <c r="AW649" s="313">
        <f>IFERROR(IF(INDEX([1]Pivot!$BF$1:$CG$65000,$B649,AW$5)=1,1,IF(INDEX([1]Pivot!$B$1:$AB$65000,$B649,AW$5)="",2,0)),0)</f>
        <v>0</v>
      </c>
      <c r="AX649" s="313">
        <f>IFERROR(IF(INDEX([1]Pivot!$BF$1:$CG$65000,$B649,AX$5)=1,1,IF(INDEX([1]Pivot!$B$1:$AB$65000,$B649,AX$5)="",2,0)),0)</f>
        <v>0</v>
      </c>
      <c r="AY649" s="313">
        <f>IFERROR(IF(INDEX([1]Pivot!$BF$1:$CG$65000,$B649,AY$5)=1,1,IF(INDEX([1]Pivot!$B$1:$AB$65000,$B649,AY$5)="",2,0)),0)</f>
        <v>0</v>
      </c>
      <c r="AZ649" s="313">
        <f>IFERROR(IF(INDEX([1]Pivot!$BF$1:$CG$65000,$B649,AZ$5)=1,1,IF(INDEX([1]Pivot!$B$1:$AB$65000,$B649,AZ$5)="",2,0)),0)</f>
        <v>0</v>
      </c>
      <c r="BA649" s="313">
        <f>IFERROR(IF(INDEX([1]Pivot!$BF$1:$CG$65000,$B649,BA$5)=1,1,IF(INDEX([1]Pivot!$B$1:$AB$65000,$B649,BA$5)="",2,0)),0)</f>
        <v>0</v>
      </c>
      <c r="BB649" s="313">
        <f>IFERROR(IF(INDEX([1]Pivot!$BF$1:$CG$65000,$B649,BB$5)=1,1,IF(INDEX([1]Pivot!$B$1:$AB$65000,$B649,BB$5)="",2,0)),0)</f>
        <v>0</v>
      </c>
      <c r="BC649" s="313">
        <f>IFERROR(IF(INDEX([1]Pivot!$BF$1:$CG$65000,$B649,BC$5)=1,1,IF(INDEX([1]Pivot!$B$1:$AB$65000,$B649,BC$5)="",2,0)),0)</f>
        <v>0</v>
      </c>
      <c r="BD649" s="313">
        <f>IFERROR(IF(INDEX([1]Pivot!$BF$1:$CG$65000,$B649,BD$5)=1,1,IF(INDEX([1]Pivot!$B$1:$AB$65000,$B649,BD$5)="",2,0)),0)</f>
        <v>0</v>
      </c>
    </row>
    <row r="650" spans="1:56" x14ac:dyDescent="0.25">
      <c r="A650" s="288">
        <f>'[2]Raw Milk Prices'!A650</f>
        <v>0</v>
      </c>
      <c r="B650" s="296" t="e">
        <f>MATCH(DATE(LEFT('[2]Raw Milk Prices'!$A650,4),RIGHT('[2]Raw Milk Prices'!$A650,2),1),[1]Pivot!$A$1:$A$65000,0)</f>
        <v>#VALUE!</v>
      </c>
      <c r="C650" s="194">
        <f>IFERROR(IF(INDEX([1]Pivot!$AD$1:$BE$65000,$B650,C$5)=1,1,IF(INDEX([1]Pivot!$B$1:$AB$65000,$B650,C$5)="",2,0)),0)</f>
        <v>0</v>
      </c>
      <c r="D650" s="194">
        <f>IFERROR(IF(INDEX([1]Pivot!$AD$1:$BE$65000,$B650,D$5)=1,1,IF(INDEX([1]Pivot!$B$1:$AB$65000,$B650,D$5)="",2,0)),0)</f>
        <v>0</v>
      </c>
      <c r="E650" s="194">
        <f>IFERROR(IF(INDEX([1]Pivot!$AD$1:$BE$65000,$B650,E$5)=1,1,IF(INDEX([1]Pivot!$B$1:$AB$65000,$B650,E$5)="",2,0)),0)</f>
        <v>0</v>
      </c>
      <c r="F650" s="194">
        <f>IFERROR(IF(INDEX([1]Pivot!$AD$1:$BE$65000,$B650,F$5)=1,1,IF(INDEX([1]Pivot!$B$1:$AB$65000,$B650,F$5)="",2,0)),0)</f>
        <v>0</v>
      </c>
      <c r="G650" s="194">
        <f>IFERROR(IF(INDEX([1]Pivot!$AD$1:$BE$65000,$B650,G$5)=1,1,IF(INDEX([1]Pivot!$B$1:$AB$65000,$B650,G$5)="",2,0)),0)</f>
        <v>0</v>
      </c>
      <c r="H650" s="194">
        <f>IFERROR(IF(INDEX([1]Pivot!$AD$1:$BE$65000,$B650,H$5)=1,1,IF(INDEX([1]Pivot!$B$1:$AB$65000,$B650,H$5)="",2,0)),0)</f>
        <v>0</v>
      </c>
      <c r="I650" s="194">
        <f>IFERROR(IF(INDEX([1]Pivot!$AD$1:$BE$65000,$B650,I$5)=1,1,IF(INDEX([1]Pivot!$B$1:$AB$65000,$B650,I$5)="",2,0)),0)</f>
        <v>0</v>
      </c>
      <c r="J650" s="194">
        <f>IFERROR(IF(INDEX([1]Pivot!$AD$1:$BE$65000,$B650,J$5)=1,1,IF(INDEX([1]Pivot!$B$1:$AB$65000,$B650,J$5)="",2,0)),0)</f>
        <v>0</v>
      </c>
      <c r="K650" s="194">
        <f>IFERROR(IF(INDEX([1]Pivot!$AD$1:$BE$65000,$B650,K$5)=1,1,IF(INDEX([1]Pivot!$B$1:$AB$65000,$B650,K$5)="",2,0)),0)</f>
        <v>0</v>
      </c>
      <c r="L650" s="194">
        <f>IFERROR(IF(INDEX([1]Pivot!$AD$1:$BE$65000,$B650,L$5)=1,1,IF(INDEX([1]Pivot!$B$1:$AB$65000,$B650,L$5)="",2,0)),0)</f>
        <v>0</v>
      </c>
      <c r="M650" s="194">
        <f>IFERROR(IF(INDEX([1]Pivot!$AD$1:$BE$65000,$B650,M$5)=1,1,IF(INDEX([1]Pivot!$B$1:$AB$65000,$B650,M$5)="",2,0)),0)</f>
        <v>0</v>
      </c>
      <c r="N650" s="194">
        <f>IFERROR(IF(INDEX([1]Pivot!$AD$1:$BE$65000,$B650,N$5)=1,1,IF(INDEX([1]Pivot!$B$1:$AB$65000,$B650,N$5)="",2,0)),0)</f>
        <v>0</v>
      </c>
      <c r="O650" s="194">
        <f>IFERROR(IF(INDEX([1]Pivot!$AD$1:$BE$65000,$B650,O$5)=1,1,IF(INDEX([1]Pivot!$B$1:$AB$65000,$B650,O$5)="",2,0)),0)</f>
        <v>0</v>
      </c>
      <c r="P650" s="194">
        <f>IFERROR(IF(INDEX([1]Pivot!$AD$1:$BE$65000,$B650,P$5)=1,1,IF(INDEX([1]Pivot!$B$1:$AB$65000,$B650,P$5)="",2,0)),0)</f>
        <v>0</v>
      </c>
      <c r="Q650" s="194">
        <f>IFERROR(IF(INDEX([1]Pivot!$AD$1:$BE$65000,$B650,Q$5)=1,1,IF(INDEX([1]Pivot!$B$1:$AB$65000,$B650,Q$5)="",2,0)),0)</f>
        <v>0</v>
      </c>
      <c r="R650" s="312"/>
      <c r="S650" s="194">
        <f>IFERROR(IF(INDEX([1]Pivot!$AD$1:$BE$65000,$B650,S$5)=1,1,IF(INDEX([1]Pivot!$B$1:$AB$65000,$B650,S$5)="",2,0)),0)</f>
        <v>0</v>
      </c>
      <c r="T650" s="194">
        <f>IFERROR(IF(INDEX([1]Pivot!$AD$1:$BE$65000,$B650,T$5)=1,1,IF(INDEX([1]Pivot!$B$1:$AB$65000,$B650,T$5)="",2,0)),0)</f>
        <v>0</v>
      </c>
      <c r="U650" s="194">
        <f>IFERROR(IF(INDEX([1]Pivot!$AD$1:$BE$65000,$B650,U$5)=1,1,IF(INDEX([1]Pivot!$B$1:$AB$65000,$B650,U$5)="",2,0)),0)</f>
        <v>0</v>
      </c>
      <c r="V650" s="194">
        <f>IFERROR(IF(INDEX([1]Pivot!$AD$1:$BE$65000,$B650,V$5)=1,1,IF(INDEX([1]Pivot!$B$1:$AB$65000,$B650,V$5)="",2,0)),0)</f>
        <v>0</v>
      </c>
      <c r="W650" s="194">
        <f>IFERROR(IF(INDEX([1]Pivot!$AD$1:$BE$65000,$B650,W$5)=1,1,IF(INDEX([1]Pivot!$B$1:$AB$65000,$B650,W$5)="",2,0)),0)</f>
        <v>0</v>
      </c>
      <c r="X650" s="194">
        <f>IFERROR(IF(INDEX([1]Pivot!$AD$1:$BE$65000,$B650,X$5)=1,1,IF(INDEX([1]Pivot!$B$1:$AB$65000,$B650,X$5)="",2,0)),0)</f>
        <v>0</v>
      </c>
      <c r="Y650" s="194">
        <f>IFERROR(IF(INDEX([1]Pivot!$AD$1:$BE$65000,$B650,Y$5)=1,1,IF(INDEX([1]Pivot!$B$1:$AB$65000,$B650,Y$5)="",2,0)),0)</f>
        <v>0</v>
      </c>
      <c r="Z650" s="194">
        <f>IFERROR(IF(INDEX([1]Pivot!$AD$1:$BE$65000,$B650,Z$5)=1,1,IF(INDEX([1]Pivot!$B$1:$AB$65000,$B650,Z$5)="",2,0)),0)</f>
        <v>0</v>
      </c>
      <c r="AA650" s="194">
        <f>IFERROR(IF(INDEX([1]Pivot!$AD$1:$BE$65000,$B650,AA$5)=1,1,IF(INDEX([1]Pivot!$B$1:$AB$65000,$B650,AA$5)="",2,0)),0)</f>
        <v>0</v>
      </c>
      <c r="AB650" s="194">
        <f>IFERROR(IF(INDEX([1]Pivot!$AD$1:$BE$65000,$B650,AB$5)=1,1,IF(INDEX([1]Pivot!$B$1:$AB$65000,$B650,AB$5)="",2,0)),0)</f>
        <v>0</v>
      </c>
      <c r="AC650" s="194">
        <f>IFERROR(IF(INDEX([1]Pivot!$AD$1:$BE$65000,$B650,AC$5)=1,1,IF(INDEX([1]Pivot!$B$1:$AB$65000,$B650,AC$5)="",2,0)),0)</f>
        <v>0</v>
      </c>
      <c r="AD650" s="313">
        <f>IFERROR(IF(INDEX([1]Pivot!$BF$1:$CG$65000,$B650,AD$5)=1,1,IF(INDEX([1]Pivot!$B$1:$AB$65000,$B650,AD$5)="",2,0)),0)</f>
        <v>0</v>
      </c>
      <c r="AE650" s="313">
        <f>IFERROR(IF(INDEX([1]Pivot!$BF$1:$CG$65000,$B650,AE$5)=1,1,IF(INDEX([1]Pivot!$B$1:$AB$65000,$B650,AE$5)="",2,0)),0)</f>
        <v>0</v>
      </c>
      <c r="AF650" s="313">
        <f>IFERROR(IF(INDEX([1]Pivot!$BF$1:$CG$65000,$B650,AF$5)=1,1,IF(INDEX([1]Pivot!$B$1:$AB$65000,$B650,AF$5)="",2,0)),0)</f>
        <v>0</v>
      </c>
      <c r="AG650" s="313">
        <f>IFERROR(IF(INDEX([1]Pivot!$BF$1:$CG$65000,$B650,AG$5)=1,1,IF(INDEX([1]Pivot!$B$1:$AB$65000,$B650,AG$5)="",2,0)),0)</f>
        <v>0</v>
      </c>
      <c r="AH650" s="313">
        <f>IFERROR(IF(INDEX([1]Pivot!$BF$1:$CG$65000,$B650,AH$5)=1,1,IF(INDEX([1]Pivot!$B$1:$AB$65000,$B650,AH$5)="",2,0)),0)</f>
        <v>0</v>
      </c>
      <c r="AI650" s="313">
        <f>IFERROR(IF(INDEX([1]Pivot!$BF$1:$CG$65000,$B650,AI$5)=1,1,IF(INDEX([1]Pivot!$B$1:$AB$65000,$B650,AI$5)="",2,0)),0)</f>
        <v>0</v>
      </c>
      <c r="AJ650" s="313">
        <f>IFERROR(IF(INDEX([1]Pivot!$BF$1:$CG$65000,$B650,AJ$5)=1,1,IF(INDEX([1]Pivot!$B$1:$AB$65000,$B650,AJ$5)="",2,0)),0)</f>
        <v>0</v>
      </c>
      <c r="AK650" s="313">
        <f>IFERROR(IF(INDEX([1]Pivot!$BF$1:$CG$65000,$B650,AK$5)=1,1,IF(INDEX([1]Pivot!$B$1:$AB$65000,$B650,AK$5)="",2,0)),0)</f>
        <v>0</v>
      </c>
      <c r="AL650" s="313">
        <f>IFERROR(IF(INDEX([1]Pivot!$BF$1:$CG$65000,$B650,AL$5)=1,1,IF(INDEX([1]Pivot!$B$1:$AB$65000,$B650,AL$5)="",2,0)),0)</f>
        <v>0</v>
      </c>
      <c r="AM650" s="313">
        <f>IFERROR(IF(INDEX([1]Pivot!$BF$1:$CG$65000,$B650,AM$5)=1,1,IF(INDEX([1]Pivot!$B$1:$AB$65000,$B650,AM$5)="",2,0)),0)</f>
        <v>0</v>
      </c>
      <c r="AN650" s="313">
        <f>IFERROR(IF(INDEX([1]Pivot!$BF$1:$CG$65000,$B650,AN$5)=1,1,IF(INDEX([1]Pivot!$B$1:$AB$65000,$B650,AN$5)="",2,0)),0)</f>
        <v>0</v>
      </c>
      <c r="AO650" s="313">
        <f>IFERROR(IF(INDEX([1]Pivot!$BF$1:$CG$65000,$B650,AO$5)=1,1,IF(INDEX([1]Pivot!$B$1:$AB$65000,$B650,AO$5)="",2,0)),0)</f>
        <v>0</v>
      </c>
      <c r="AP650" s="313">
        <f>IFERROR(IF(INDEX([1]Pivot!$BF$1:$CG$65000,$B650,AP$5)=1,1,IF(INDEX([1]Pivot!$B$1:$AB$65000,$B650,AP$5)="",2,0)),0)</f>
        <v>0</v>
      </c>
      <c r="AQ650" s="313">
        <f>IFERROR(IF(INDEX([1]Pivot!$BF$1:$CG$65000,$B650,AQ$5)=1,1,IF(INDEX([1]Pivot!$B$1:$AB$65000,$B650,AQ$5)="",2,0)),0)</f>
        <v>0</v>
      </c>
      <c r="AR650" s="313">
        <f>IFERROR(IF(INDEX([1]Pivot!$BF$1:$CG$65000,$B650,AR$5)=1,1,IF(INDEX([1]Pivot!$B$1:$AB$65000,$B650,AR$5)="",2,0)),0)</f>
        <v>0</v>
      </c>
      <c r="AS650" s="312"/>
      <c r="AT650" s="313">
        <f>IFERROR(IF(INDEX([1]Pivot!$BF$1:$CG$65000,$B650,AT$5)=1,1,IF(INDEX([1]Pivot!$B$1:$AB$65000,$B650,AT$5)="",2,0)),0)</f>
        <v>0</v>
      </c>
      <c r="AU650" s="313">
        <f>IFERROR(IF(INDEX([1]Pivot!$BF$1:$CG$65000,$B650,AU$5)=1,1,IF(INDEX([1]Pivot!$B$1:$AB$65000,$B650,AU$5)="",2,0)),0)</f>
        <v>0</v>
      </c>
      <c r="AV650" s="313">
        <f>IFERROR(IF(INDEX([1]Pivot!$BF$1:$CG$65000,$B650,AV$5)=1,1,IF(INDEX([1]Pivot!$B$1:$AB$65000,$B650,AV$5)="",2,0)),0)</f>
        <v>0</v>
      </c>
      <c r="AW650" s="313">
        <f>IFERROR(IF(INDEX([1]Pivot!$BF$1:$CG$65000,$B650,AW$5)=1,1,IF(INDEX([1]Pivot!$B$1:$AB$65000,$B650,AW$5)="",2,0)),0)</f>
        <v>0</v>
      </c>
      <c r="AX650" s="313">
        <f>IFERROR(IF(INDEX([1]Pivot!$BF$1:$CG$65000,$B650,AX$5)=1,1,IF(INDEX([1]Pivot!$B$1:$AB$65000,$B650,AX$5)="",2,0)),0)</f>
        <v>0</v>
      </c>
      <c r="AY650" s="313">
        <f>IFERROR(IF(INDEX([1]Pivot!$BF$1:$CG$65000,$B650,AY$5)=1,1,IF(INDEX([1]Pivot!$B$1:$AB$65000,$B650,AY$5)="",2,0)),0)</f>
        <v>0</v>
      </c>
      <c r="AZ650" s="313">
        <f>IFERROR(IF(INDEX([1]Pivot!$BF$1:$CG$65000,$B650,AZ$5)=1,1,IF(INDEX([1]Pivot!$B$1:$AB$65000,$B650,AZ$5)="",2,0)),0)</f>
        <v>0</v>
      </c>
      <c r="BA650" s="313">
        <f>IFERROR(IF(INDEX([1]Pivot!$BF$1:$CG$65000,$B650,BA$5)=1,1,IF(INDEX([1]Pivot!$B$1:$AB$65000,$B650,BA$5)="",2,0)),0)</f>
        <v>0</v>
      </c>
      <c r="BB650" s="313">
        <f>IFERROR(IF(INDEX([1]Pivot!$BF$1:$CG$65000,$B650,BB$5)=1,1,IF(INDEX([1]Pivot!$B$1:$AB$65000,$B650,BB$5)="",2,0)),0)</f>
        <v>0</v>
      </c>
      <c r="BC650" s="313">
        <f>IFERROR(IF(INDEX([1]Pivot!$BF$1:$CG$65000,$B650,BC$5)=1,1,IF(INDEX([1]Pivot!$B$1:$AB$65000,$B650,BC$5)="",2,0)),0)</f>
        <v>0</v>
      </c>
      <c r="BD650" s="313">
        <f>IFERROR(IF(INDEX([1]Pivot!$BF$1:$CG$65000,$B650,BD$5)=1,1,IF(INDEX([1]Pivot!$B$1:$AB$65000,$B650,BD$5)="",2,0)),0)</f>
        <v>0</v>
      </c>
    </row>
    <row r="651" spans="1:56" x14ac:dyDescent="0.25">
      <c r="A651" s="288">
        <f>'[2]Raw Milk Prices'!A651</f>
        <v>0</v>
      </c>
      <c r="B651" s="296" t="e">
        <f>MATCH(DATE(LEFT('[2]Raw Milk Prices'!$A651,4),RIGHT('[2]Raw Milk Prices'!$A651,2),1),[1]Pivot!$A$1:$A$65000,0)</f>
        <v>#VALUE!</v>
      </c>
      <c r="C651" s="194">
        <f>IFERROR(IF(INDEX([1]Pivot!$AD$1:$BE$65000,$B651,C$5)=1,1,IF(INDEX([1]Pivot!$B$1:$AB$65000,$B651,C$5)="",2,0)),0)</f>
        <v>0</v>
      </c>
      <c r="D651" s="194">
        <f>IFERROR(IF(INDEX([1]Pivot!$AD$1:$BE$65000,$B651,D$5)=1,1,IF(INDEX([1]Pivot!$B$1:$AB$65000,$B651,D$5)="",2,0)),0)</f>
        <v>0</v>
      </c>
      <c r="E651" s="194">
        <f>IFERROR(IF(INDEX([1]Pivot!$AD$1:$BE$65000,$B651,E$5)=1,1,IF(INDEX([1]Pivot!$B$1:$AB$65000,$B651,E$5)="",2,0)),0)</f>
        <v>0</v>
      </c>
      <c r="F651" s="194">
        <f>IFERROR(IF(INDEX([1]Pivot!$AD$1:$BE$65000,$B651,F$5)=1,1,IF(INDEX([1]Pivot!$B$1:$AB$65000,$B651,F$5)="",2,0)),0)</f>
        <v>0</v>
      </c>
      <c r="G651" s="194">
        <f>IFERROR(IF(INDEX([1]Pivot!$AD$1:$BE$65000,$B651,G$5)=1,1,IF(INDEX([1]Pivot!$B$1:$AB$65000,$B651,G$5)="",2,0)),0)</f>
        <v>0</v>
      </c>
      <c r="H651" s="194">
        <f>IFERROR(IF(INDEX([1]Pivot!$AD$1:$BE$65000,$B651,H$5)=1,1,IF(INDEX([1]Pivot!$B$1:$AB$65000,$B651,H$5)="",2,0)),0)</f>
        <v>0</v>
      </c>
      <c r="I651" s="194">
        <f>IFERROR(IF(INDEX([1]Pivot!$AD$1:$BE$65000,$B651,I$5)=1,1,IF(INDEX([1]Pivot!$B$1:$AB$65000,$B651,I$5)="",2,0)),0)</f>
        <v>0</v>
      </c>
      <c r="J651" s="194">
        <f>IFERROR(IF(INDEX([1]Pivot!$AD$1:$BE$65000,$B651,J$5)=1,1,IF(INDEX([1]Pivot!$B$1:$AB$65000,$B651,J$5)="",2,0)),0)</f>
        <v>0</v>
      </c>
      <c r="K651" s="194">
        <f>IFERROR(IF(INDEX([1]Pivot!$AD$1:$BE$65000,$B651,K$5)=1,1,IF(INDEX([1]Pivot!$B$1:$AB$65000,$B651,K$5)="",2,0)),0)</f>
        <v>0</v>
      </c>
      <c r="L651" s="194">
        <f>IFERROR(IF(INDEX([1]Pivot!$AD$1:$BE$65000,$B651,L$5)=1,1,IF(INDEX([1]Pivot!$B$1:$AB$65000,$B651,L$5)="",2,0)),0)</f>
        <v>0</v>
      </c>
      <c r="M651" s="194">
        <f>IFERROR(IF(INDEX([1]Pivot!$AD$1:$BE$65000,$B651,M$5)=1,1,IF(INDEX([1]Pivot!$B$1:$AB$65000,$B651,M$5)="",2,0)),0)</f>
        <v>0</v>
      </c>
      <c r="N651" s="194">
        <f>IFERROR(IF(INDEX([1]Pivot!$AD$1:$BE$65000,$B651,N$5)=1,1,IF(INDEX([1]Pivot!$B$1:$AB$65000,$B651,N$5)="",2,0)),0)</f>
        <v>0</v>
      </c>
      <c r="O651" s="194">
        <f>IFERROR(IF(INDEX([1]Pivot!$AD$1:$BE$65000,$B651,O$5)=1,1,IF(INDEX([1]Pivot!$B$1:$AB$65000,$B651,O$5)="",2,0)),0)</f>
        <v>0</v>
      </c>
      <c r="P651" s="194">
        <f>IFERROR(IF(INDEX([1]Pivot!$AD$1:$BE$65000,$B651,P$5)=1,1,IF(INDEX([1]Pivot!$B$1:$AB$65000,$B651,P$5)="",2,0)),0)</f>
        <v>0</v>
      </c>
      <c r="Q651" s="194">
        <f>IFERROR(IF(INDEX([1]Pivot!$AD$1:$BE$65000,$B651,Q$5)=1,1,IF(INDEX([1]Pivot!$B$1:$AB$65000,$B651,Q$5)="",2,0)),0)</f>
        <v>0</v>
      </c>
      <c r="R651" s="312"/>
      <c r="S651" s="194">
        <f>IFERROR(IF(INDEX([1]Pivot!$AD$1:$BE$65000,$B651,S$5)=1,1,IF(INDEX([1]Pivot!$B$1:$AB$65000,$B651,S$5)="",2,0)),0)</f>
        <v>0</v>
      </c>
      <c r="T651" s="194">
        <f>IFERROR(IF(INDEX([1]Pivot!$AD$1:$BE$65000,$B651,T$5)=1,1,IF(INDEX([1]Pivot!$B$1:$AB$65000,$B651,T$5)="",2,0)),0)</f>
        <v>0</v>
      </c>
      <c r="U651" s="194">
        <f>IFERROR(IF(INDEX([1]Pivot!$AD$1:$BE$65000,$B651,U$5)=1,1,IF(INDEX([1]Pivot!$B$1:$AB$65000,$B651,U$5)="",2,0)),0)</f>
        <v>0</v>
      </c>
      <c r="V651" s="194">
        <f>IFERROR(IF(INDEX([1]Pivot!$AD$1:$BE$65000,$B651,V$5)=1,1,IF(INDEX([1]Pivot!$B$1:$AB$65000,$B651,V$5)="",2,0)),0)</f>
        <v>0</v>
      </c>
      <c r="W651" s="194">
        <f>IFERROR(IF(INDEX([1]Pivot!$AD$1:$BE$65000,$B651,W$5)=1,1,IF(INDEX([1]Pivot!$B$1:$AB$65000,$B651,W$5)="",2,0)),0)</f>
        <v>0</v>
      </c>
      <c r="X651" s="194">
        <f>IFERROR(IF(INDEX([1]Pivot!$AD$1:$BE$65000,$B651,X$5)=1,1,IF(INDEX([1]Pivot!$B$1:$AB$65000,$B651,X$5)="",2,0)),0)</f>
        <v>0</v>
      </c>
      <c r="Y651" s="194">
        <f>IFERROR(IF(INDEX([1]Pivot!$AD$1:$BE$65000,$B651,Y$5)=1,1,IF(INDEX([1]Pivot!$B$1:$AB$65000,$B651,Y$5)="",2,0)),0)</f>
        <v>0</v>
      </c>
      <c r="Z651" s="194">
        <f>IFERROR(IF(INDEX([1]Pivot!$AD$1:$BE$65000,$B651,Z$5)=1,1,IF(INDEX([1]Pivot!$B$1:$AB$65000,$B651,Z$5)="",2,0)),0)</f>
        <v>0</v>
      </c>
      <c r="AA651" s="194">
        <f>IFERROR(IF(INDEX([1]Pivot!$AD$1:$BE$65000,$B651,AA$5)=1,1,IF(INDEX([1]Pivot!$B$1:$AB$65000,$B651,AA$5)="",2,0)),0)</f>
        <v>0</v>
      </c>
      <c r="AB651" s="194">
        <f>IFERROR(IF(INDEX([1]Pivot!$AD$1:$BE$65000,$B651,AB$5)=1,1,IF(INDEX([1]Pivot!$B$1:$AB$65000,$B651,AB$5)="",2,0)),0)</f>
        <v>0</v>
      </c>
      <c r="AC651" s="194">
        <f>IFERROR(IF(INDEX([1]Pivot!$AD$1:$BE$65000,$B651,AC$5)=1,1,IF(INDEX([1]Pivot!$B$1:$AB$65000,$B651,AC$5)="",2,0)),0)</f>
        <v>0</v>
      </c>
      <c r="AD651" s="313">
        <f>IFERROR(IF(INDEX([1]Pivot!$BF$1:$CG$65000,$B651,AD$5)=1,1,IF(INDEX([1]Pivot!$B$1:$AB$65000,$B651,AD$5)="",2,0)),0)</f>
        <v>0</v>
      </c>
      <c r="AE651" s="313">
        <f>IFERROR(IF(INDEX([1]Pivot!$BF$1:$CG$65000,$B651,AE$5)=1,1,IF(INDEX([1]Pivot!$B$1:$AB$65000,$B651,AE$5)="",2,0)),0)</f>
        <v>0</v>
      </c>
      <c r="AF651" s="313">
        <f>IFERROR(IF(INDEX([1]Pivot!$BF$1:$CG$65000,$B651,AF$5)=1,1,IF(INDEX([1]Pivot!$B$1:$AB$65000,$B651,AF$5)="",2,0)),0)</f>
        <v>0</v>
      </c>
      <c r="AG651" s="313">
        <f>IFERROR(IF(INDEX([1]Pivot!$BF$1:$CG$65000,$B651,AG$5)=1,1,IF(INDEX([1]Pivot!$B$1:$AB$65000,$B651,AG$5)="",2,0)),0)</f>
        <v>0</v>
      </c>
      <c r="AH651" s="313">
        <f>IFERROR(IF(INDEX([1]Pivot!$BF$1:$CG$65000,$B651,AH$5)=1,1,IF(INDEX([1]Pivot!$B$1:$AB$65000,$B651,AH$5)="",2,0)),0)</f>
        <v>0</v>
      </c>
      <c r="AI651" s="313">
        <f>IFERROR(IF(INDEX([1]Pivot!$BF$1:$CG$65000,$B651,AI$5)=1,1,IF(INDEX([1]Pivot!$B$1:$AB$65000,$B651,AI$5)="",2,0)),0)</f>
        <v>0</v>
      </c>
      <c r="AJ651" s="313">
        <f>IFERROR(IF(INDEX([1]Pivot!$BF$1:$CG$65000,$B651,AJ$5)=1,1,IF(INDEX([1]Pivot!$B$1:$AB$65000,$B651,AJ$5)="",2,0)),0)</f>
        <v>0</v>
      </c>
      <c r="AK651" s="313">
        <f>IFERROR(IF(INDEX([1]Pivot!$BF$1:$CG$65000,$B651,AK$5)=1,1,IF(INDEX([1]Pivot!$B$1:$AB$65000,$B651,AK$5)="",2,0)),0)</f>
        <v>0</v>
      </c>
      <c r="AL651" s="313">
        <f>IFERROR(IF(INDEX([1]Pivot!$BF$1:$CG$65000,$B651,AL$5)=1,1,IF(INDEX([1]Pivot!$B$1:$AB$65000,$B651,AL$5)="",2,0)),0)</f>
        <v>0</v>
      </c>
      <c r="AM651" s="313">
        <f>IFERROR(IF(INDEX([1]Pivot!$BF$1:$CG$65000,$B651,AM$5)=1,1,IF(INDEX([1]Pivot!$B$1:$AB$65000,$B651,AM$5)="",2,0)),0)</f>
        <v>0</v>
      </c>
      <c r="AN651" s="313">
        <f>IFERROR(IF(INDEX([1]Pivot!$BF$1:$CG$65000,$B651,AN$5)=1,1,IF(INDEX([1]Pivot!$B$1:$AB$65000,$B651,AN$5)="",2,0)),0)</f>
        <v>0</v>
      </c>
      <c r="AO651" s="313">
        <f>IFERROR(IF(INDEX([1]Pivot!$BF$1:$CG$65000,$B651,AO$5)=1,1,IF(INDEX([1]Pivot!$B$1:$AB$65000,$B651,AO$5)="",2,0)),0)</f>
        <v>0</v>
      </c>
      <c r="AP651" s="313">
        <f>IFERROR(IF(INDEX([1]Pivot!$BF$1:$CG$65000,$B651,AP$5)=1,1,IF(INDEX([1]Pivot!$B$1:$AB$65000,$B651,AP$5)="",2,0)),0)</f>
        <v>0</v>
      </c>
      <c r="AQ651" s="313">
        <f>IFERROR(IF(INDEX([1]Pivot!$BF$1:$CG$65000,$B651,AQ$5)=1,1,IF(INDEX([1]Pivot!$B$1:$AB$65000,$B651,AQ$5)="",2,0)),0)</f>
        <v>0</v>
      </c>
      <c r="AR651" s="313">
        <f>IFERROR(IF(INDEX([1]Pivot!$BF$1:$CG$65000,$B651,AR$5)=1,1,IF(INDEX([1]Pivot!$B$1:$AB$65000,$B651,AR$5)="",2,0)),0)</f>
        <v>0</v>
      </c>
      <c r="AS651" s="312"/>
      <c r="AT651" s="313">
        <f>IFERROR(IF(INDEX([1]Pivot!$BF$1:$CG$65000,$B651,AT$5)=1,1,IF(INDEX([1]Pivot!$B$1:$AB$65000,$B651,AT$5)="",2,0)),0)</f>
        <v>0</v>
      </c>
      <c r="AU651" s="313">
        <f>IFERROR(IF(INDEX([1]Pivot!$BF$1:$CG$65000,$B651,AU$5)=1,1,IF(INDEX([1]Pivot!$B$1:$AB$65000,$B651,AU$5)="",2,0)),0)</f>
        <v>0</v>
      </c>
      <c r="AV651" s="313">
        <f>IFERROR(IF(INDEX([1]Pivot!$BF$1:$CG$65000,$B651,AV$5)=1,1,IF(INDEX([1]Pivot!$B$1:$AB$65000,$B651,AV$5)="",2,0)),0)</f>
        <v>0</v>
      </c>
      <c r="AW651" s="313">
        <f>IFERROR(IF(INDEX([1]Pivot!$BF$1:$CG$65000,$B651,AW$5)=1,1,IF(INDEX([1]Pivot!$B$1:$AB$65000,$B651,AW$5)="",2,0)),0)</f>
        <v>0</v>
      </c>
      <c r="AX651" s="313">
        <f>IFERROR(IF(INDEX([1]Pivot!$BF$1:$CG$65000,$B651,AX$5)=1,1,IF(INDEX([1]Pivot!$B$1:$AB$65000,$B651,AX$5)="",2,0)),0)</f>
        <v>0</v>
      </c>
      <c r="AY651" s="313">
        <f>IFERROR(IF(INDEX([1]Pivot!$BF$1:$CG$65000,$B651,AY$5)=1,1,IF(INDEX([1]Pivot!$B$1:$AB$65000,$B651,AY$5)="",2,0)),0)</f>
        <v>0</v>
      </c>
      <c r="AZ651" s="313">
        <f>IFERROR(IF(INDEX([1]Pivot!$BF$1:$CG$65000,$B651,AZ$5)=1,1,IF(INDEX([1]Pivot!$B$1:$AB$65000,$B651,AZ$5)="",2,0)),0)</f>
        <v>0</v>
      </c>
      <c r="BA651" s="313">
        <f>IFERROR(IF(INDEX([1]Pivot!$BF$1:$CG$65000,$B651,BA$5)=1,1,IF(INDEX([1]Pivot!$B$1:$AB$65000,$B651,BA$5)="",2,0)),0)</f>
        <v>0</v>
      </c>
      <c r="BB651" s="313">
        <f>IFERROR(IF(INDEX([1]Pivot!$BF$1:$CG$65000,$B651,BB$5)=1,1,IF(INDEX([1]Pivot!$B$1:$AB$65000,$B651,BB$5)="",2,0)),0)</f>
        <v>0</v>
      </c>
      <c r="BC651" s="313">
        <f>IFERROR(IF(INDEX([1]Pivot!$BF$1:$CG$65000,$B651,BC$5)=1,1,IF(INDEX([1]Pivot!$B$1:$AB$65000,$B651,BC$5)="",2,0)),0)</f>
        <v>0</v>
      </c>
      <c r="BD651" s="313">
        <f>IFERROR(IF(INDEX([1]Pivot!$BF$1:$CG$65000,$B651,BD$5)=1,1,IF(INDEX([1]Pivot!$B$1:$AB$65000,$B651,BD$5)="",2,0)),0)</f>
        <v>0</v>
      </c>
    </row>
    <row r="652" spans="1:56" x14ac:dyDescent="0.25">
      <c r="A652" s="288">
        <f>'[2]Raw Milk Prices'!A652</f>
        <v>0</v>
      </c>
      <c r="B652" s="296" t="e">
        <f>MATCH(DATE(LEFT('[2]Raw Milk Prices'!$A652,4),RIGHT('[2]Raw Milk Prices'!$A652,2),1),[1]Pivot!$A$1:$A$65000,0)</f>
        <v>#VALUE!</v>
      </c>
      <c r="C652" s="194">
        <f>IFERROR(IF(INDEX([1]Pivot!$AD$1:$BE$65000,$B652,C$5)=1,1,IF(INDEX([1]Pivot!$B$1:$AB$65000,$B652,C$5)="",2,0)),0)</f>
        <v>0</v>
      </c>
      <c r="D652" s="194">
        <f>IFERROR(IF(INDEX([1]Pivot!$AD$1:$BE$65000,$B652,D$5)=1,1,IF(INDEX([1]Pivot!$B$1:$AB$65000,$B652,D$5)="",2,0)),0)</f>
        <v>0</v>
      </c>
      <c r="E652" s="194">
        <f>IFERROR(IF(INDEX([1]Pivot!$AD$1:$BE$65000,$B652,E$5)=1,1,IF(INDEX([1]Pivot!$B$1:$AB$65000,$B652,E$5)="",2,0)),0)</f>
        <v>0</v>
      </c>
      <c r="F652" s="194">
        <f>IFERROR(IF(INDEX([1]Pivot!$AD$1:$BE$65000,$B652,F$5)=1,1,IF(INDEX([1]Pivot!$B$1:$AB$65000,$B652,F$5)="",2,0)),0)</f>
        <v>0</v>
      </c>
      <c r="G652" s="194">
        <f>IFERROR(IF(INDEX([1]Pivot!$AD$1:$BE$65000,$B652,G$5)=1,1,IF(INDEX([1]Pivot!$B$1:$AB$65000,$B652,G$5)="",2,0)),0)</f>
        <v>0</v>
      </c>
      <c r="H652" s="194">
        <f>IFERROR(IF(INDEX([1]Pivot!$AD$1:$BE$65000,$B652,H$5)=1,1,IF(INDEX([1]Pivot!$B$1:$AB$65000,$B652,H$5)="",2,0)),0)</f>
        <v>0</v>
      </c>
      <c r="I652" s="194">
        <f>IFERROR(IF(INDEX([1]Pivot!$AD$1:$BE$65000,$B652,I$5)=1,1,IF(INDEX([1]Pivot!$B$1:$AB$65000,$B652,I$5)="",2,0)),0)</f>
        <v>0</v>
      </c>
      <c r="J652" s="194">
        <f>IFERROR(IF(INDEX([1]Pivot!$AD$1:$BE$65000,$B652,J$5)=1,1,IF(INDEX([1]Pivot!$B$1:$AB$65000,$B652,J$5)="",2,0)),0)</f>
        <v>0</v>
      </c>
      <c r="K652" s="194">
        <f>IFERROR(IF(INDEX([1]Pivot!$AD$1:$BE$65000,$B652,K$5)=1,1,IF(INDEX([1]Pivot!$B$1:$AB$65000,$B652,K$5)="",2,0)),0)</f>
        <v>0</v>
      </c>
      <c r="L652" s="194">
        <f>IFERROR(IF(INDEX([1]Pivot!$AD$1:$BE$65000,$B652,L$5)=1,1,IF(INDEX([1]Pivot!$B$1:$AB$65000,$B652,L$5)="",2,0)),0)</f>
        <v>0</v>
      </c>
      <c r="M652" s="194">
        <f>IFERROR(IF(INDEX([1]Pivot!$AD$1:$BE$65000,$B652,M$5)=1,1,IF(INDEX([1]Pivot!$B$1:$AB$65000,$B652,M$5)="",2,0)),0)</f>
        <v>0</v>
      </c>
      <c r="N652" s="194">
        <f>IFERROR(IF(INDEX([1]Pivot!$AD$1:$BE$65000,$B652,N$5)=1,1,IF(INDEX([1]Pivot!$B$1:$AB$65000,$B652,N$5)="",2,0)),0)</f>
        <v>0</v>
      </c>
      <c r="O652" s="194">
        <f>IFERROR(IF(INDEX([1]Pivot!$AD$1:$BE$65000,$B652,O$5)=1,1,IF(INDEX([1]Pivot!$B$1:$AB$65000,$B652,O$5)="",2,0)),0)</f>
        <v>0</v>
      </c>
      <c r="P652" s="194">
        <f>IFERROR(IF(INDEX([1]Pivot!$AD$1:$BE$65000,$B652,P$5)=1,1,IF(INDEX([1]Pivot!$B$1:$AB$65000,$B652,P$5)="",2,0)),0)</f>
        <v>0</v>
      </c>
      <c r="Q652" s="194">
        <f>IFERROR(IF(INDEX([1]Pivot!$AD$1:$BE$65000,$B652,Q$5)=1,1,IF(INDEX([1]Pivot!$B$1:$AB$65000,$B652,Q$5)="",2,0)),0)</f>
        <v>0</v>
      </c>
      <c r="R652" s="312"/>
      <c r="S652" s="194">
        <f>IFERROR(IF(INDEX([1]Pivot!$AD$1:$BE$65000,$B652,S$5)=1,1,IF(INDEX([1]Pivot!$B$1:$AB$65000,$B652,S$5)="",2,0)),0)</f>
        <v>0</v>
      </c>
      <c r="T652" s="194">
        <f>IFERROR(IF(INDEX([1]Pivot!$AD$1:$BE$65000,$B652,T$5)=1,1,IF(INDEX([1]Pivot!$B$1:$AB$65000,$B652,T$5)="",2,0)),0)</f>
        <v>0</v>
      </c>
      <c r="U652" s="194">
        <f>IFERROR(IF(INDEX([1]Pivot!$AD$1:$BE$65000,$B652,U$5)=1,1,IF(INDEX([1]Pivot!$B$1:$AB$65000,$B652,U$5)="",2,0)),0)</f>
        <v>0</v>
      </c>
      <c r="V652" s="194">
        <f>IFERROR(IF(INDEX([1]Pivot!$AD$1:$BE$65000,$B652,V$5)=1,1,IF(INDEX([1]Pivot!$B$1:$AB$65000,$B652,V$5)="",2,0)),0)</f>
        <v>0</v>
      </c>
      <c r="W652" s="194">
        <f>IFERROR(IF(INDEX([1]Pivot!$AD$1:$BE$65000,$B652,W$5)=1,1,IF(INDEX([1]Pivot!$B$1:$AB$65000,$B652,W$5)="",2,0)),0)</f>
        <v>0</v>
      </c>
      <c r="X652" s="194">
        <f>IFERROR(IF(INDEX([1]Pivot!$AD$1:$BE$65000,$B652,X$5)=1,1,IF(INDEX([1]Pivot!$B$1:$AB$65000,$B652,X$5)="",2,0)),0)</f>
        <v>0</v>
      </c>
      <c r="Y652" s="194">
        <f>IFERROR(IF(INDEX([1]Pivot!$AD$1:$BE$65000,$B652,Y$5)=1,1,IF(INDEX([1]Pivot!$B$1:$AB$65000,$B652,Y$5)="",2,0)),0)</f>
        <v>0</v>
      </c>
      <c r="Z652" s="194">
        <f>IFERROR(IF(INDEX([1]Pivot!$AD$1:$BE$65000,$B652,Z$5)=1,1,IF(INDEX([1]Pivot!$B$1:$AB$65000,$B652,Z$5)="",2,0)),0)</f>
        <v>0</v>
      </c>
      <c r="AA652" s="194">
        <f>IFERROR(IF(INDEX([1]Pivot!$AD$1:$BE$65000,$B652,AA$5)=1,1,IF(INDEX([1]Pivot!$B$1:$AB$65000,$B652,AA$5)="",2,0)),0)</f>
        <v>0</v>
      </c>
      <c r="AB652" s="194">
        <f>IFERROR(IF(INDEX([1]Pivot!$AD$1:$BE$65000,$B652,AB$5)=1,1,IF(INDEX([1]Pivot!$B$1:$AB$65000,$B652,AB$5)="",2,0)),0)</f>
        <v>0</v>
      </c>
      <c r="AC652" s="194">
        <f>IFERROR(IF(INDEX([1]Pivot!$AD$1:$BE$65000,$B652,AC$5)=1,1,IF(INDEX([1]Pivot!$B$1:$AB$65000,$B652,AC$5)="",2,0)),0)</f>
        <v>0</v>
      </c>
      <c r="AD652" s="313">
        <f>IFERROR(IF(INDEX([1]Pivot!$BF$1:$CG$65000,$B652,AD$5)=1,1,IF(INDEX([1]Pivot!$B$1:$AB$65000,$B652,AD$5)="",2,0)),0)</f>
        <v>0</v>
      </c>
      <c r="AE652" s="313">
        <f>IFERROR(IF(INDEX([1]Pivot!$BF$1:$CG$65000,$B652,AE$5)=1,1,IF(INDEX([1]Pivot!$B$1:$AB$65000,$B652,AE$5)="",2,0)),0)</f>
        <v>0</v>
      </c>
      <c r="AF652" s="313">
        <f>IFERROR(IF(INDEX([1]Pivot!$BF$1:$CG$65000,$B652,AF$5)=1,1,IF(INDEX([1]Pivot!$B$1:$AB$65000,$B652,AF$5)="",2,0)),0)</f>
        <v>0</v>
      </c>
      <c r="AG652" s="313">
        <f>IFERROR(IF(INDEX([1]Pivot!$BF$1:$CG$65000,$B652,AG$5)=1,1,IF(INDEX([1]Pivot!$B$1:$AB$65000,$B652,AG$5)="",2,0)),0)</f>
        <v>0</v>
      </c>
      <c r="AH652" s="313">
        <f>IFERROR(IF(INDEX([1]Pivot!$BF$1:$CG$65000,$B652,AH$5)=1,1,IF(INDEX([1]Pivot!$B$1:$AB$65000,$B652,AH$5)="",2,0)),0)</f>
        <v>0</v>
      </c>
      <c r="AI652" s="313">
        <f>IFERROR(IF(INDEX([1]Pivot!$BF$1:$CG$65000,$B652,AI$5)=1,1,IF(INDEX([1]Pivot!$B$1:$AB$65000,$B652,AI$5)="",2,0)),0)</f>
        <v>0</v>
      </c>
      <c r="AJ652" s="313">
        <f>IFERROR(IF(INDEX([1]Pivot!$BF$1:$CG$65000,$B652,AJ$5)=1,1,IF(INDEX([1]Pivot!$B$1:$AB$65000,$B652,AJ$5)="",2,0)),0)</f>
        <v>0</v>
      </c>
      <c r="AK652" s="313">
        <f>IFERROR(IF(INDEX([1]Pivot!$BF$1:$CG$65000,$B652,AK$5)=1,1,IF(INDEX([1]Pivot!$B$1:$AB$65000,$B652,AK$5)="",2,0)),0)</f>
        <v>0</v>
      </c>
      <c r="AL652" s="313">
        <f>IFERROR(IF(INDEX([1]Pivot!$BF$1:$CG$65000,$B652,AL$5)=1,1,IF(INDEX([1]Pivot!$B$1:$AB$65000,$B652,AL$5)="",2,0)),0)</f>
        <v>0</v>
      </c>
      <c r="AM652" s="313">
        <f>IFERROR(IF(INDEX([1]Pivot!$BF$1:$CG$65000,$B652,AM$5)=1,1,IF(INDEX([1]Pivot!$B$1:$AB$65000,$B652,AM$5)="",2,0)),0)</f>
        <v>0</v>
      </c>
      <c r="AN652" s="313">
        <f>IFERROR(IF(INDEX([1]Pivot!$BF$1:$CG$65000,$B652,AN$5)=1,1,IF(INDEX([1]Pivot!$B$1:$AB$65000,$B652,AN$5)="",2,0)),0)</f>
        <v>0</v>
      </c>
      <c r="AO652" s="313">
        <f>IFERROR(IF(INDEX([1]Pivot!$BF$1:$CG$65000,$B652,AO$5)=1,1,IF(INDEX([1]Pivot!$B$1:$AB$65000,$B652,AO$5)="",2,0)),0)</f>
        <v>0</v>
      </c>
      <c r="AP652" s="313">
        <f>IFERROR(IF(INDEX([1]Pivot!$BF$1:$CG$65000,$B652,AP$5)=1,1,IF(INDEX([1]Pivot!$B$1:$AB$65000,$B652,AP$5)="",2,0)),0)</f>
        <v>0</v>
      </c>
      <c r="AQ652" s="313">
        <f>IFERROR(IF(INDEX([1]Pivot!$BF$1:$CG$65000,$B652,AQ$5)=1,1,IF(INDEX([1]Pivot!$B$1:$AB$65000,$B652,AQ$5)="",2,0)),0)</f>
        <v>0</v>
      </c>
      <c r="AR652" s="313">
        <f>IFERROR(IF(INDEX([1]Pivot!$BF$1:$CG$65000,$B652,AR$5)=1,1,IF(INDEX([1]Pivot!$B$1:$AB$65000,$B652,AR$5)="",2,0)),0)</f>
        <v>0</v>
      </c>
      <c r="AS652" s="312"/>
      <c r="AT652" s="313">
        <f>IFERROR(IF(INDEX([1]Pivot!$BF$1:$CG$65000,$B652,AT$5)=1,1,IF(INDEX([1]Pivot!$B$1:$AB$65000,$B652,AT$5)="",2,0)),0)</f>
        <v>0</v>
      </c>
      <c r="AU652" s="313">
        <f>IFERROR(IF(INDEX([1]Pivot!$BF$1:$CG$65000,$B652,AU$5)=1,1,IF(INDEX([1]Pivot!$B$1:$AB$65000,$B652,AU$5)="",2,0)),0)</f>
        <v>0</v>
      </c>
      <c r="AV652" s="313">
        <f>IFERROR(IF(INDEX([1]Pivot!$BF$1:$CG$65000,$B652,AV$5)=1,1,IF(INDEX([1]Pivot!$B$1:$AB$65000,$B652,AV$5)="",2,0)),0)</f>
        <v>0</v>
      </c>
      <c r="AW652" s="313">
        <f>IFERROR(IF(INDEX([1]Pivot!$BF$1:$CG$65000,$B652,AW$5)=1,1,IF(INDEX([1]Pivot!$B$1:$AB$65000,$B652,AW$5)="",2,0)),0)</f>
        <v>0</v>
      </c>
      <c r="AX652" s="313">
        <f>IFERROR(IF(INDEX([1]Pivot!$BF$1:$CG$65000,$B652,AX$5)=1,1,IF(INDEX([1]Pivot!$B$1:$AB$65000,$B652,AX$5)="",2,0)),0)</f>
        <v>0</v>
      </c>
      <c r="AY652" s="313">
        <f>IFERROR(IF(INDEX([1]Pivot!$BF$1:$CG$65000,$B652,AY$5)=1,1,IF(INDEX([1]Pivot!$B$1:$AB$65000,$B652,AY$5)="",2,0)),0)</f>
        <v>0</v>
      </c>
      <c r="AZ652" s="313">
        <f>IFERROR(IF(INDEX([1]Pivot!$BF$1:$CG$65000,$B652,AZ$5)=1,1,IF(INDEX([1]Pivot!$B$1:$AB$65000,$B652,AZ$5)="",2,0)),0)</f>
        <v>0</v>
      </c>
      <c r="BA652" s="313">
        <f>IFERROR(IF(INDEX([1]Pivot!$BF$1:$CG$65000,$B652,BA$5)=1,1,IF(INDEX([1]Pivot!$B$1:$AB$65000,$B652,BA$5)="",2,0)),0)</f>
        <v>0</v>
      </c>
      <c r="BB652" s="313">
        <f>IFERROR(IF(INDEX([1]Pivot!$BF$1:$CG$65000,$B652,BB$5)=1,1,IF(INDEX([1]Pivot!$B$1:$AB$65000,$B652,BB$5)="",2,0)),0)</f>
        <v>0</v>
      </c>
      <c r="BC652" s="313">
        <f>IFERROR(IF(INDEX([1]Pivot!$BF$1:$CG$65000,$B652,BC$5)=1,1,IF(INDEX([1]Pivot!$B$1:$AB$65000,$B652,BC$5)="",2,0)),0)</f>
        <v>0</v>
      </c>
      <c r="BD652" s="313">
        <f>IFERROR(IF(INDEX([1]Pivot!$BF$1:$CG$65000,$B652,BD$5)=1,1,IF(INDEX([1]Pivot!$B$1:$AB$65000,$B652,BD$5)="",2,0)),0)</f>
        <v>0</v>
      </c>
    </row>
    <row r="653" spans="1:56" x14ac:dyDescent="0.25">
      <c r="A653" s="288">
        <f>'[2]Raw Milk Prices'!A653</f>
        <v>0</v>
      </c>
      <c r="B653" s="296" t="e">
        <f>MATCH(DATE(LEFT('[2]Raw Milk Prices'!$A653,4),RIGHT('[2]Raw Milk Prices'!$A653,2),1),[1]Pivot!$A$1:$A$65000,0)</f>
        <v>#VALUE!</v>
      </c>
      <c r="C653" s="194">
        <f>IFERROR(IF(INDEX([1]Pivot!$AD$1:$BE$65000,$B653,C$5)=1,1,IF(INDEX([1]Pivot!$B$1:$AB$65000,$B653,C$5)="",2,0)),0)</f>
        <v>0</v>
      </c>
      <c r="D653" s="194">
        <f>IFERROR(IF(INDEX([1]Pivot!$AD$1:$BE$65000,$B653,D$5)=1,1,IF(INDEX([1]Pivot!$B$1:$AB$65000,$B653,D$5)="",2,0)),0)</f>
        <v>0</v>
      </c>
      <c r="E653" s="194">
        <f>IFERROR(IF(INDEX([1]Pivot!$AD$1:$BE$65000,$B653,E$5)=1,1,IF(INDEX([1]Pivot!$B$1:$AB$65000,$B653,E$5)="",2,0)),0)</f>
        <v>0</v>
      </c>
      <c r="F653" s="194">
        <f>IFERROR(IF(INDEX([1]Pivot!$AD$1:$BE$65000,$B653,F$5)=1,1,IF(INDEX([1]Pivot!$B$1:$AB$65000,$B653,F$5)="",2,0)),0)</f>
        <v>0</v>
      </c>
      <c r="G653" s="194">
        <f>IFERROR(IF(INDEX([1]Pivot!$AD$1:$BE$65000,$B653,G$5)=1,1,IF(INDEX([1]Pivot!$B$1:$AB$65000,$B653,G$5)="",2,0)),0)</f>
        <v>0</v>
      </c>
      <c r="H653" s="194">
        <f>IFERROR(IF(INDEX([1]Pivot!$AD$1:$BE$65000,$B653,H$5)=1,1,IF(INDEX([1]Pivot!$B$1:$AB$65000,$B653,H$5)="",2,0)),0)</f>
        <v>0</v>
      </c>
      <c r="I653" s="194">
        <f>IFERROR(IF(INDEX([1]Pivot!$AD$1:$BE$65000,$B653,I$5)=1,1,IF(INDEX([1]Pivot!$B$1:$AB$65000,$B653,I$5)="",2,0)),0)</f>
        <v>0</v>
      </c>
      <c r="J653" s="194">
        <f>IFERROR(IF(INDEX([1]Pivot!$AD$1:$BE$65000,$B653,J$5)=1,1,IF(INDEX([1]Pivot!$B$1:$AB$65000,$B653,J$5)="",2,0)),0)</f>
        <v>0</v>
      </c>
      <c r="K653" s="194">
        <f>IFERROR(IF(INDEX([1]Pivot!$AD$1:$BE$65000,$B653,K$5)=1,1,IF(INDEX([1]Pivot!$B$1:$AB$65000,$B653,K$5)="",2,0)),0)</f>
        <v>0</v>
      </c>
      <c r="L653" s="194">
        <f>IFERROR(IF(INDEX([1]Pivot!$AD$1:$BE$65000,$B653,L$5)=1,1,IF(INDEX([1]Pivot!$B$1:$AB$65000,$B653,L$5)="",2,0)),0)</f>
        <v>0</v>
      </c>
      <c r="M653" s="194">
        <f>IFERROR(IF(INDEX([1]Pivot!$AD$1:$BE$65000,$B653,M$5)=1,1,IF(INDEX([1]Pivot!$B$1:$AB$65000,$B653,M$5)="",2,0)),0)</f>
        <v>0</v>
      </c>
      <c r="N653" s="194">
        <f>IFERROR(IF(INDEX([1]Pivot!$AD$1:$BE$65000,$B653,N$5)=1,1,IF(INDEX([1]Pivot!$B$1:$AB$65000,$B653,N$5)="",2,0)),0)</f>
        <v>0</v>
      </c>
      <c r="O653" s="194">
        <f>IFERROR(IF(INDEX([1]Pivot!$AD$1:$BE$65000,$B653,O$5)=1,1,IF(INDEX([1]Pivot!$B$1:$AB$65000,$B653,O$5)="",2,0)),0)</f>
        <v>0</v>
      </c>
      <c r="P653" s="194">
        <f>IFERROR(IF(INDEX([1]Pivot!$AD$1:$BE$65000,$B653,P$5)=1,1,IF(INDEX([1]Pivot!$B$1:$AB$65000,$B653,P$5)="",2,0)),0)</f>
        <v>0</v>
      </c>
      <c r="Q653" s="194">
        <f>IFERROR(IF(INDEX([1]Pivot!$AD$1:$BE$65000,$B653,Q$5)=1,1,IF(INDEX([1]Pivot!$B$1:$AB$65000,$B653,Q$5)="",2,0)),0)</f>
        <v>0</v>
      </c>
      <c r="R653" s="312"/>
      <c r="S653" s="194">
        <f>IFERROR(IF(INDEX([1]Pivot!$AD$1:$BE$65000,$B653,S$5)=1,1,IF(INDEX([1]Pivot!$B$1:$AB$65000,$B653,S$5)="",2,0)),0)</f>
        <v>0</v>
      </c>
      <c r="T653" s="194">
        <f>IFERROR(IF(INDEX([1]Pivot!$AD$1:$BE$65000,$B653,T$5)=1,1,IF(INDEX([1]Pivot!$B$1:$AB$65000,$B653,T$5)="",2,0)),0)</f>
        <v>0</v>
      </c>
      <c r="U653" s="194">
        <f>IFERROR(IF(INDEX([1]Pivot!$AD$1:$BE$65000,$B653,U$5)=1,1,IF(INDEX([1]Pivot!$B$1:$AB$65000,$B653,U$5)="",2,0)),0)</f>
        <v>0</v>
      </c>
      <c r="V653" s="194">
        <f>IFERROR(IF(INDEX([1]Pivot!$AD$1:$BE$65000,$B653,V$5)=1,1,IF(INDEX([1]Pivot!$B$1:$AB$65000,$B653,V$5)="",2,0)),0)</f>
        <v>0</v>
      </c>
      <c r="W653" s="194">
        <f>IFERROR(IF(INDEX([1]Pivot!$AD$1:$BE$65000,$B653,W$5)=1,1,IF(INDEX([1]Pivot!$B$1:$AB$65000,$B653,W$5)="",2,0)),0)</f>
        <v>0</v>
      </c>
      <c r="X653" s="194">
        <f>IFERROR(IF(INDEX([1]Pivot!$AD$1:$BE$65000,$B653,X$5)=1,1,IF(INDEX([1]Pivot!$B$1:$AB$65000,$B653,X$5)="",2,0)),0)</f>
        <v>0</v>
      </c>
      <c r="Y653" s="194">
        <f>IFERROR(IF(INDEX([1]Pivot!$AD$1:$BE$65000,$B653,Y$5)=1,1,IF(INDEX([1]Pivot!$B$1:$AB$65000,$B653,Y$5)="",2,0)),0)</f>
        <v>0</v>
      </c>
      <c r="Z653" s="194">
        <f>IFERROR(IF(INDEX([1]Pivot!$AD$1:$BE$65000,$B653,Z$5)=1,1,IF(INDEX([1]Pivot!$B$1:$AB$65000,$B653,Z$5)="",2,0)),0)</f>
        <v>0</v>
      </c>
      <c r="AA653" s="194">
        <f>IFERROR(IF(INDEX([1]Pivot!$AD$1:$BE$65000,$B653,AA$5)=1,1,IF(INDEX([1]Pivot!$B$1:$AB$65000,$B653,AA$5)="",2,0)),0)</f>
        <v>0</v>
      </c>
      <c r="AB653" s="194">
        <f>IFERROR(IF(INDEX([1]Pivot!$AD$1:$BE$65000,$B653,AB$5)=1,1,IF(INDEX([1]Pivot!$B$1:$AB$65000,$B653,AB$5)="",2,0)),0)</f>
        <v>0</v>
      </c>
      <c r="AC653" s="194">
        <f>IFERROR(IF(INDEX([1]Pivot!$AD$1:$BE$65000,$B653,AC$5)=1,1,IF(INDEX([1]Pivot!$B$1:$AB$65000,$B653,AC$5)="",2,0)),0)</f>
        <v>0</v>
      </c>
      <c r="AD653" s="313">
        <f>IFERROR(IF(INDEX([1]Pivot!$BF$1:$CG$65000,$B653,AD$5)=1,1,IF(INDEX([1]Pivot!$B$1:$AB$65000,$B653,AD$5)="",2,0)),0)</f>
        <v>0</v>
      </c>
      <c r="AE653" s="313">
        <f>IFERROR(IF(INDEX([1]Pivot!$BF$1:$CG$65000,$B653,AE$5)=1,1,IF(INDEX([1]Pivot!$B$1:$AB$65000,$B653,AE$5)="",2,0)),0)</f>
        <v>0</v>
      </c>
      <c r="AF653" s="313">
        <f>IFERROR(IF(INDEX([1]Pivot!$BF$1:$CG$65000,$B653,AF$5)=1,1,IF(INDEX([1]Pivot!$B$1:$AB$65000,$B653,AF$5)="",2,0)),0)</f>
        <v>0</v>
      </c>
      <c r="AG653" s="313">
        <f>IFERROR(IF(INDEX([1]Pivot!$BF$1:$CG$65000,$B653,AG$5)=1,1,IF(INDEX([1]Pivot!$B$1:$AB$65000,$B653,AG$5)="",2,0)),0)</f>
        <v>0</v>
      </c>
      <c r="AH653" s="313">
        <f>IFERROR(IF(INDEX([1]Pivot!$BF$1:$CG$65000,$B653,AH$5)=1,1,IF(INDEX([1]Pivot!$B$1:$AB$65000,$B653,AH$5)="",2,0)),0)</f>
        <v>0</v>
      </c>
      <c r="AI653" s="313">
        <f>IFERROR(IF(INDEX([1]Pivot!$BF$1:$CG$65000,$B653,AI$5)=1,1,IF(INDEX([1]Pivot!$B$1:$AB$65000,$B653,AI$5)="",2,0)),0)</f>
        <v>0</v>
      </c>
      <c r="AJ653" s="313">
        <f>IFERROR(IF(INDEX([1]Pivot!$BF$1:$CG$65000,$B653,AJ$5)=1,1,IF(INDEX([1]Pivot!$B$1:$AB$65000,$B653,AJ$5)="",2,0)),0)</f>
        <v>0</v>
      </c>
      <c r="AK653" s="313">
        <f>IFERROR(IF(INDEX([1]Pivot!$BF$1:$CG$65000,$B653,AK$5)=1,1,IF(INDEX([1]Pivot!$B$1:$AB$65000,$B653,AK$5)="",2,0)),0)</f>
        <v>0</v>
      </c>
      <c r="AL653" s="313">
        <f>IFERROR(IF(INDEX([1]Pivot!$BF$1:$CG$65000,$B653,AL$5)=1,1,IF(INDEX([1]Pivot!$B$1:$AB$65000,$B653,AL$5)="",2,0)),0)</f>
        <v>0</v>
      </c>
      <c r="AM653" s="313">
        <f>IFERROR(IF(INDEX([1]Pivot!$BF$1:$CG$65000,$B653,AM$5)=1,1,IF(INDEX([1]Pivot!$B$1:$AB$65000,$B653,AM$5)="",2,0)),0)</f>
        <v>0</v>
      </c>
      <c r="AN653" s="313">
        <f>IFERROR(IF(INDEX([1]Pivot!$BF$1:$CG$65000,$B653,AN$5)=1,1,IF(INDEX([1]Pivot!$B$1:$AB$65000,$B653,AN$5)="",2,0)),0)</f>
        <v>0</v>
      </c>
      <c r="AO653" s="313">
        <f>IFERROR(IF(INDEX([1]Pivot!$BF$1:$CG$65000,$B653,AO$5)=1,1,IF(INDEX([1]Pivot!$B$1:$AB$65000,$B653,AO$5)="",2,0)),0)</f>
        <v>0</v>
      </c>
      <c r="AP653" s="313">
        <f>IFERROR(IF(INDEX([1]Pivot!$BF$1:$CG$65000,$B653,AP$5)=1,1,IF(INDEX([1]Pivot!$B$1:$AB$65000,$B653,AP$5)="",2,0)),0)</f>
        <v>0</v>
      </c>
      <c r="AQ653" s="313">
        <f>IFERROR(IF(INDEX([1]Pivot!$BF$1:$CG$65000,$B653,AQ$5)=1,1,IF(INDEX([1]Pivot!$B$1:$AB$65000,$B653,AQ$5)="",2,0)),0)</f>
        <v>0</v>
      </c>
      <c r="AR653" s="313">
        <f>IFERROR(IF(INDEX([1]Pivot!$BF$1:$CG$65000,$B653,AR$5)=1,1,IF(INDEX([1]Pivot!$B$1:$AB$65000,$B653,AR$5)="",2,0)),0)</f>
        <v>0</v>
      </c>
      <c r="AS653" s="312"/>
      <c r="AT653" s="313">
        <f>IFERROR(IF(INDEX([1]Pivot!$BF$1:$CG$65000,$B653,AT$5)=1,1,IF(INDEX([1]Pivot!$B$1:$AB$65000,$B653,AT$5)="",2,0)),0)</f>
        <v>0</v>
      </c>
      <c r="AU653" s="313">
        <f>IFERROR(IF(INDEX([1]Pivot!$BF$1:$CG$65000,$B653,AU$5)=1,1,IF(INDEX([1]Pivot!$B$1:$AB$65000,$B653,AU$5)="",2,0)),0)</f>
        <v>0</v>
      </c>
      <c r="AV653" s="313">
        <f>IFERROR(IF(INDEX([1]Pivot!$BF$1:$CG$65000,$B653,AV$5)=1,1,IF(INDEX([1]Pivot!$B$1:$AB$65000,$B653,AV$5)="",2,0)),0)</f>
        <v>0</v>
      </c>
      <c r="AW653" s="313">
        <f>IFERROR(IF(INDEX([1]Pivot!$BF$1:$CG$65000,$B653,AW$5)=1,1,IF(INDEX([1]Pivot!$B$1:$AB$65000,$B653,AW$5)="",2,0)),0)</f>
        <v>0</v>
      </c>
      <c r="AX653" s="313">
        <f>IFERROR(IF(INDEX([1]Pivot!$BF$1:$CG$65000,$B653,AX$5)=1,1,IF(INDEX([1]Pivot!$B$1:$AB$65000,$B653,AX$5)="",2,0)),0)</f>
        <v>0</v>
      </c>
      <c r="AY653" s="313">
        <f>IFERROR(IF(INDEX([1]Pivot!$BF$1:$CG$65000,$B653,AY$5)=1,1,IF(INDEX([1]Pivot!$B$1:$AB$65000,$B653,AY$5)="",2,0)),0)</f>
        <v>0</v>
      </c>
      <c r="AZ653" s="313">
        <f>IFERROR(IF(INDEX([1]Pivot!$BF$1:$CG$65000,$B653,AZ$5)=1,1,IF(INDEX([1]Pivot!$B$1:$AB$65000,$B653,AZ$5)="",2,0)),0)</f>
        <v>0</v>
      </c>
      <c r="BA653" s="313">
        <f>IFERROR(IF(INDEX([1]Pivot!$BF$1:$CG$65000,$B653,BA$5)=1,1,IF(INDEX([1]Pivot!$B$1:$AB$65000,$B653,BA$5)="",2,0)),0)</f>
        <v>0</v>
      </c>
      <c r="BB653" s="313">
        <f>IFERROR(IF(INDEX([1]Pivot!$BF$1:$CG$65000,$B653,BB$5)=1,1,IF(INDEX([1]Pivot!$B$1:$AB$65000,$B653,BB$5)="",2,0)),0)</f>
        <v>0</v>
      </c>
      <c r="BC653" s="313">
        <f>IFERROR(IF(INDEX([1]Pivot!$BF$1:$CG$65000,$B653,BC$5)=1,1,IF(INDEX([1]Pivot!$B$1:$AB$65000,$B653,BC$5)="",2,0)),0)</f>
        <v>0</v>
      </c>
      <c r="BD653" s="313">
        <f>IFERROR(IF(INDEX([1]Pivot!$BF$1:$CG$65000,$B653,BD$5)=1,1,IF(INDEX([1]Pivot!$B$1:$AB$65000,$B653,BD$5)="",2,0)),0)</f>
        <v>0</v>
      </c>
    </row>
    <row r="654" spans="1:56" x14ac:dyDescent="0.25">
      <c r="A654" s="288">
        <f>'[2]Raw Milk Prices'!A654</f>
        <v>0</v>
      </c>
      <c r="B654" s="296" t="e">
        <f>MATCH(DATE(LEFT('[2]Raw Milk Prices'!$A654,4),RIGHT('[2]Raw Milk Prices'!$A654,2),1),[1]Pivot!$A$1:$A$65000,0)</f>
        <v>#VALUE!</v>
      </c>
      <c r="C654" s="194">
        <f>IFERROR(IF(INDEX([1]Pivot!$AD$1:$BE$65000,$B654,C$5)=1,1,IF(INDEX([1]Pivot!$B$1:$AB$65000,$B654,C$5)="",2,0)),0)</f>
        <v>0</v>
      </c>
      <c r="D654" s="194">
        <f>IFERROR(IF(INDEX([1]Pivot!$AD$1:$BE$65000,$B654,D$5)=1,1,IF(INDEX([1]Pivot!$B$1:$AB$65000,$B654,D$5)="",2,0)),0)</f>
        <v>0</v>
      </c>
      <c r="E654" s="194">
        <f>IFERROR(IF(INDEX([1]Pivot!$AD$1:$BE$65000,$B654,E$5)=1,1,IF(INDEX([1]Pivot!$B$1:$AB$65000,$B654,E$5)="",2,0)),0)</f>
        <v>0</v>
      </c>
      <c r="F654" s="194">
        <f>IFERROR(IF(INDEX([1]Pivot!$AD$1:$BE$65000,$B654,F$5)=1,1,IF(INDEX([1]Pivot!$B$1:$AB$65000,$B654,F$5)="",2,0)),0)</f>
        <v>0</v>
      </c>
      <c r="G654" s="194">
        <f>IFERROR(IF(INDEX([1]Pivot!$AD$1:$BE$65000,$B654,G$5)=1,1,IF(INDEX([1]Pivot!$B$1:$AB$65000,$B654,G$5)="",2,0)),0)</f>
        <v>0</v>
      </c>
      <c r="H654" s="194">
        <f>IFERROR(IF(INDEX([1]Pivot!$AD$1:$BE$65000,$B654,H$5)=1,1,IF(INDEX([1]Pivot!$B$1:$AB$65000,$B654,H$5)="",2,0)),0)</f>
        <v>0</v>
      </c>
      <c r="I654" s="194">
        <f>IFERROR(IF(INDEX([1]Pivot!$AD$1:$BE$65000,$B654,I$5)=1,1,IF(INDEX([1]Pivot!$B$1:$AB$65000,$B654,I$5)="",2,0)),0)</f>
        <v>0</v>
      </c>
      <c r="J654" s="194">
        <f>IFERROR(IF(INDEX([1]Pivot!$AD$1:$BE$65000,$B654,J$5)=1,1,IF(INDEX([1]Pivot!$B$1:$AB$65000,$B654,J$5)="",2,0)),0)</f>
        <v>0</v>
      </c>
      <c r="K654" s="194">
        <f>IFERROR(IF(INDEX([1]Pivot!$AD$1:$BE$65000,$B654,K$5)=1,1,IF(INDEX([1]Pivot!$B$1:$AB$65000,$B654,K$5)="",2,0)),0)</f>
        <v>0</v>
      </c>
      <c r="L654" s="194">
        <f>IFERROR(IF(INDEX([1]Pivot!$AD$1:$BE$65000,$B654,L$5)=1,1,IF(INDEX([1]Pivot!$B$1:$AB$65000,$B654,L$5)="",2,0)),0)</f>
        <v>0</v>
      </c>
      <c r="M654" s="194">
        <f>IFERROR(IF(INDEX([1]Pivot!$AD$1:$BE$65000,$B654,M$5)=1,1,IF(INDEX([1]Pivot!$B$1:$AB$65000,$B654,M$5)="",2,0)),0)</f>
        <v>0</v>
      </c>
      <c r="N654" s="194">
        <f>IFERROR(IF(INDEX([1]Pivot!$AD$1:$BE$65000,$B654,N$5)=1,1,IF(INDEX([1]Pivot!$B$1:$AB$65000,$B654,N$5)="",2,0)),0)</f>
        <v>0</v>
      </c>
      <c r="O654" s="194">
        <f>IFERROR(IF(INDEX([1]Pivot!$AD$1:$BE$65000,$B654,O$5)=1,1,IF(INDEX([1]Pivot!$B$1:$AB$65000,$B654,O$5)="",2,0)),0)</f>
        <v>0</v>
      </c>
      <c r="P654" s="194">
        <f>IFERROR(IF(INDEX([1]Pivot!$AD$1:$BE$65000,$B654,P$5)=1,1,IF(INDEX([1]Pivot!$B$1:$AB$65000,$B654,P$5)="",2,0)),0)</f>
        <v>0</v>
      </c>
      <c r="Q654" s="194">
        <f>IFERROR(IF(INDEX([1]Pivot!$AD$1:$BE$65000,$B654,Q$5)=1,1,IF(INDEX([1]Pivot!$B$1:$AB$65000,$B654,Q$5)="",2,0)),0)</f>
        <v>0</v>
      </c>
      <c r="R654" s="312"/>
      <c r="S654" s="194">
        <f>IFERROR(IF(INDEX([1]Pivot!$AD$1:$BE$65000,$B654,S$5)=1,1,IF(INDEX([1]Pivot!$B$1:$AB$65000,$B654,S$5)="",2,0)),0)</f>
        <v>0</v>
      </c>
      <c r="T654" s="194">
        <f>IFERROR(IF(INDEX([1]Pivot!$AD$1:$BE$65000,$B654,T$5)=1,1,IF(INDEX([1]Pivot!$B$1:$AB$65000,$B654,T$5)="",2,0)),0)</f>
        <v>0</v>
      </c>
      <c r="U654" s="194">
        <f>IFERROR(IF(INDEX([1]Pivot!$AD$1:$BE$65000,$B654,U$5)=1,1,IF(INDEX([1]Pivot!$B$1:$AB$65000,$B654,U$5)="",2,0)),0)</f>
        <v>0</v>
      </c>
      <c r="V654" s="194">
        <f>IFERROR(IF(INDEX([1]Pivot!$AD$1:$BE$65000,$B654,V$5)=1,1,IF(INDEX([1]Pivot!$B$1:$AB$65000,$B654,V$5)="",2,0)),0)</f>
        <v>0</v>
      </c>
      <c r="W654" s="194">
        <f>IFERROR(IF(INDEX([1]Pivot!$AD$1:$BE$65000,$B654,W$5)=1,1,IF(INDEX([1]Pivot!$B$1:$AB$65000,$B654,W$5)="",2,0)),0)</f>
        <v>0</v>
      </c>
      <c r="X654" s="194">
        <f>IFERROR(IF(INDEX([1]Pivot!$AD$1:$BE$65000,$B654,X$5)=1,1,IF(INDEX([1]Pivot!$B$1:$AB$65000,$B654,X$5)="",2,0)),0)</f>
        <v>0</v>
      </c>
      <c r="Y654" s="194">
        <f>IFERROR(IF(INDEX([1]Pivot!$AD$1:$BE$65000,$B654,Y$5)=1,1,IF(INDEX([1]Pivot!$B$1:$AB$65000,$B654,Y$5)="",2,0)),0)</f>
        <v>0</v>
      </c>
      <c r="Z654" s="194">
        <f>IFERROR(IF(INDEX([1]Pivot!$AD$1:$BE$65000,$B654,Z$5)=1,1,IF(INDEX([1]Pivot!$B$1:$AB$65000,$B654,Z$5)="",2,0)),0)</f>
        <v>0</v>
      </c>
      <c r="AA654" s="194">
        <f>IFERROR(IF(INDEX([1]Pivot!$AD$1:$BE$65000,$B654,AA$5)=1,1,IF(INDEX([1]Pivot!$B$1:$AB$65000,$B654,AA$5)="",2,0)),0)</f>
        <v>0</v>
      </c>
      <c r="AB654" s="194">
        <f>IFERROR(IF(INDEX([1]Pivot!$AD$1:$BE$65000,$B654,AB$5)=1,1,IF(INDEX([1]Pivot!$B$1:$AB$65000,$B654,AB$5)="",2,0)),0)</f>
        <v>0</v>
      </c>
      <c r="AC654" s="194">
        <f>IFERROR(IF(INDEX([1]Pivot!$AD$1:$BE$65000,$B654,AC$5)=1,1,IF(INDEX([1]Pivot!$B$1:$AB$65000,$B654,AC$5)="",2,0)),0)</f>
        <v>0</v>
      </c>
      <c r="AD654" s="313">
        <f>IFERROR(IF(INDEX([1]Pivot!$BF$1:$CG$65000,$B654,AD$5)=1,1,IF(INDEX([1]Pivot!$B$1:$AB$65000,$B654,AD$5)="",2,0)),0)</f>
        <v>0</v>
      </c>
      <c r="AE654" s="313">
        <f>IFERROR(IF(INDEX([1]Pivot!$BF$1:$CG$65000,$B654,AE$5)=1,1,IF(INDEX([1]Pivot!$B$1:$AB$65000,$B654,AE$5)="",2,0)),0)</f>
        <v>0</v>
      </c>
      <c r="AF654" s="313">
        <f>IFERROR(IF(INDEX([1]Pivot!$BF$1:$CG$65000,$B654,AF$5)=1,1,IF(INDEX([1]Pivot!$B$1:$AB$65000,$B654,AF$5)="",2,0)),0)</f>
        <v>0</v>
      </c>
      <c r="AG654" s="313">
        <f>IFERROR(IF(INDEX([1]Pivot!$BF$1:$CG$65000,$B654,AG$5)=1,1,IF(INDEX([1]Pivot!$B$1:$AB$65000,$B654,AG$5)="",2,0)),0)</f>
        <v>0</v>
      </c>
      <c r="AH654" s="313">
        <f>IFERROR(IF(INDEX([1]Pivot!$BF$1:$CG$65000,$B654,AH$5)=1,1,IF(INDEX([1]Pivot!$B$1:$AB$65000,$B654,AH$5)="",2,0)),0)</f>
        <v>0</v>
      </c>
      <c r="AI654" s="313">
        <f>IFERROR(IF(INDEX([1]Pivot!$BF$1:$CG$65000,$B654,AI$5)=1,1,IF(INDEX([1]Pivot!$B$1:$AB$65000,$B654,AI$5)="",2,0)),0)</f>
        <v>0</v>
      </c>
      <c r="AJ654" s="313">
        <f>IFERROR(IF(INDEX([1]Pivot!$BF$1:$CG$65000,$B654,AJ$5)=1,1,IF(INDEX([1]Pivot!$B$1:$AB$65000,$B654,AJ$5)="",2,0)),0)</f>
        <v>0</v>
      </c>
      <c r="AK654" s="313">
        <f>IFERROR(IF(INDEX([1]Pivot!$BF$1:$CG$65000,$B654,AK$5)=1,1,IF(INDEX([1]Pivot!$B$1:$AB$65000,$B654,AK$5)="",2,0)),0)</f>
        <v>0</v>
      </c>
      <c r="AL654" s="313">
        <f>IFERROR(IF(INDEX([1]Pivot!$BF$1:$CG$65000,$B654,AL$5)=1,1,IF(INDEX([1]Pivot!$B$1:$AB$65000,$B654,AL$5)="",2,0)),0)</f>
        <v>0</v>
      </c>
      <c r="AM654" s="313">
        <f>IFERROR(IF(INDEX([1]Pivot!$BF$1:$CG$65000,$B654,AM$5)=1,1,IF(INDEX([1]Pivot!$B$1:$AB$65000,$B654,AM$5)="",2,0)),0)</f>
        <v>0</v>
      </c>
      <c r="AN654" s="313">
        <f>IFERROR(IF(INDEX([1]Pivot!$BF$1:$CG$65000,$B654,AN$5)=1,1,IF(INDEX([1]Pivot!$B$1:$AB$65000,$B654,AN$5)="",2,0)),0)</f>
        <v>0</v>
      </c>
      <c r="AO654" s="313">
        <f>IFERROR(IF(INDEX([1]Pivot!$BF$1:$CG$65000,$B654,AO$5)=1,1,IF(INDEX([1]Pivot!$B$1:$AB$65000,$B654,AO$5)="",2,0)),0)</f>
        <v>0</v>
      </c>
      <c r="AP654" s="313">
        <f>IFERROR(IF(INDEX([1]Pivot!$BF$1:$CG$65000,$B654,AP$5)=1,1,IF(INDEX([1]Pivot!$B$1:$AB$65000,$B654,AP$5)="",2,0)),0)</f>
        <v>0</v>
      </c>
      <c r="AQ654" s="313">
        <f>IFERROR(IF(INDEX([1]Pivot!$BF$1:$CG$65000,$B654,AQ$5)=1,1,IF(INDEX([1]Pivot!$B$1:$AB$65000,$B654,AQ$5)="",2,0)),0)</f>
        <v>0</v>
      </c>
      <c r="AR654" s="313">
        <f>IFERROR(IF(INDEX([1]Pivot!$BF$1:$CG$65000,$B654,AR$5)=1,1,IF(INDEX([1]Pivot!$B$1:$AB$65000,$B654,AR$5)="",2,0)),0)</f>
        <v>0</v>
      </c>
      <c r="AS654" s="312"/>
      <c r="AT654" s="313">
        <f>IFERROR(IF(INDEX([1]Pivot!$BF$1:$CG$65000,$B654,AT$5)=1,1,IF(INDEX([1]Pivot!$B$1:$AB$65000,$B654,AT$5)="",2,0)),0)</f>
        <v>0</v>
      </c>
      <c r="AU654" s="313">
        <f>IFERROR(IF(INDEX([1]Pivot!$BF$1:$CG$65000,$B654,AU$5)=1,1,IF(INDEX([1]Pivot!$B$1:$AB$65000,$B654,AU$5)="",2,0)),0)</f>
        <v>0</v>
      </c>
      <c r="AV654" s="313">
        <f>IFERROR(IF(INDEX([1]Pivot!$BF$1:$CG$65000,$B654,AV$5)=1,1,IF(INDEX([1]Pivot!$B$1:$AB$65000,$B654,AV$5)="",2,0)),0)</f>
        <v>0</v>
      </c>
      <c r="AW654" s="313">
        <f>IFERROR(IF(INDEX([1]Pivot!$BF$1:$CG$65000,$B654,AW$5)=1,1,IF(INDEX([1]Pivot!$B$1:$AB$65000,$B654,AW$5)="",2,0)),0)</f>
        <v>0</v>
      </c>
      <c r="AX654" s="313">
        <f>IFERROR(IF(INDEX([1]Pivot!$BF$1:$CG$65000,$B654,AX$5)=1,1,IF(INDEX([1]Pivot!$B$1:$AB$65000,$B654,AX$5)="",2,0)),0)</f>
        <v>0</v>
      </c>
      <c r="AY654" s="313">
        <f>IFERROR(IF(INDEX([1]Pivot!$BF$1:$CG$65000,$B654,AY$5)=1,1,IF(INDEX([1]Pivot!$B$1:$AB$65000,$B654,AY$5)="",2,0)),0)</f>
        <v>0</v>
      </c>
      <c r="AZ654" s="313">
        <f>IFERROR(IF(INDEX([1]Pivot!$BF$1:$CG$65000,$B654,AZ$5)=1,1,IF(INDEX([1]Pivot!$B$1:$AB$65000,$B654,AZ$5)="",2,0)),0)</f>
        <v>0</v>
      </c>
      <c r="BA654" s="313">
        <f>IFERROR(IF(INDEX([1]Pivot!$BF$1:$CG$65000,$B654,BA$5)=1,1,IF(INDEX([1]Pivot!$B$1:$AB$65000,$B654,BA$5)="",2,0)),0)</f>
        <v>0</v>
      </c>
      <c r="BB654" s="313">
        <f>IFERROR(IF(INDEX([1]Pivot!$BF$1:$CG$65000,$B654,BB$5)=1,1,IF(INDEX([1]Pivot!$B$1:$AB$65000,$B654,BB$5)="",2,0)),0)</f>
        <v>0</v>
      </c>
      <c r="BC654" s="313">
        <f>IFERROR(IF(INDEX([1]Pivot!$BF$1:$CG$65000,$B654,BC$5)=1,1,IF(INDEX([1]Pivot!$B$1:$AB$65000,$B654,BC$5)="",2,0)),0)</f>
        <v>0</v>
      </c>
      <c r="BD654" s="313">
        <f>IFERROR(IF(INDEX([1]Pivot!$BF$1:$CG$65000,$B654,BD$5)=1,1,IF(INDEX([1]Pivot!$B$1:$AB$65000,$B654,BD$5)="",2,0)),0)</f>
        <v>0</v>
      </c>
    </row>
    <row r="655" spans="1:56" x14ac:dyDescent="0.25">
      <c r="A655" s="288">
        <f>'[2]Raw Milk Prices'!A655</f>
        <v>0</v>
      </c>
      <c r="B655" s="296" t="e">
        <f>MATCH(DATE(LEFT('[2]Raw Milk Prices'!$A655,4),RIGHT('[2]Raw Milk Prices'!$A655,2),1),[1]Pivot!$A$1:$A$65000,0)</f>
        <v>#VALUE!</v>
      </c>
      <c r="C655" s="194">
        <f>IFERROR(IF(INDEX([1]Pivot!$AD$1:$BE$65000,$B655,C$5)=1,1,IF(INDEX([1]Pivot!$B$1:$AB$65000,$B655,C$5)="",2,0)),0)</f>
        <v>0</v>
      </c>
      <c r="D655" s="194">
        <f>IFERROR(IF(INDEX([1]Pivot!$AD$1:$BE$65000,$B655,D$5)=1,1,IF(INDEX([1]Pivot!$B$1:$AB$65000,$B655,D$5)="",2,0)),0)</f>
        <v>0</v>
      </c>
      <c r="E655" s="194">
        <f>IFERROR(IF(INDEX([1]Pivot!$AD$1:$BE$65000,$B655,E$5)=1,1,IF(INDEX([1]Pivot!$B$1:$AB$65000,$B655,E$5)="",2,0)),0)</f>
        <v>0</v>
      </c>
      <c r="F655" s="194">
        <f>IFERROR(IF(INDEX([1]Pivot!$AD$1:$BE$65000,$B655,F$5)=1,1,IF(INDEX([1]Pivot!$B$1:$AB$65000,$B655,F$5)="",2,0)),0)</f>
        <v>0</v>
      </c>
      <c r="G655" s="194">
        <f>IFERROR(IF(INDEX([1]Pivot!$AD$1:$BE$65000,$B655,G$5)=1,1,IF(INDEX([1]Pivot!$B$1:$AB$65000,$B655,G$5)="",2,0)),0)</f>
        <v>0</v>
      </c>
      <c r="H655" s="194">
        <f>IFERROR(IF(INDEX([1]Pivot!$AD$1:$BE$65000,$B655,H$5)=1,1,IF(INDEX([1]Pivot!$B$1:$AB$65000,$B655,H$5)="",2,0)),0)</f>
        <v>0</v>
      </c>
      <c r="I655" s="194">
        <f>IFERROR(IF(INDEX([1]Pivot!$AD$1:$BE$65000,$B655,I$5)=1,1,IF(INDEX([1]Pivot!$B$1:$AB$65000,$B655,I$5)="",2,0)),0)</f>
        <v>0</v>
      </c>
      <c r="J655" s="194">
        <f>IFERROR(IF(INDEX([1]Pivot!$AD$1:$BE$65000,$B655,J$5)=1,1,IF(INDEX([1]Pivot!$B$1:$AB$65000,$B655,J$5)="",2,0)),0)</f>
        <v>0</v>
      </c>
      <c r="K655" s="194">
        <f>IFERROR(IF(INDEX([1]Pivot!$AD$1:$BE$65000,$B655,K$5)=1,1,IF(INDEX([1]Pivot!$B$1:$AB$65000,$B655,K$5)="",2,0)),0)</f>
        <v>0</v>
      </c>
      <c r="L655" s="194">
        <f>IFERROR(IF(INDEX([1]Pivot!$AD$1:$BE$65000,$B655,L$5)=1,1,IF(INDEX([1]Pivot!$B$1:$AB$65000,$B655,L$5)="",2,0)),0)</f>
        <v>0</v>
      </c>
      <c r="M655" s="194">
        <f>IFERROR(IF(INDEX([1]Pivot!$AD$1:$BE$65000,$B655,M$5)=1,1,IF(INDEX([1]Pivot!$B$1:$AB$65000,$B655,M$5)="",2,0)),0)</f>
        <v>0</v>
      </c>
      <c r="N655" s="194">
        <f>IFERROR(IF(INDEX([1]Pivot!$AD$1:$BE$65000,$B655,N$5)=1,1,IF(INDEX([1]Pivot!$B$1:$AB$65000,$B655,N$5)="",2,0)),0)</f>
        <v>0</v>
      </c>
      <c r="O655" s="194">
        <f>IFERROR(IF(INDEX([1]Pivot!$AD$1:$BE$65000,$B655,O$5)=1,1,IF(INDEX([1]Pivot!$B$1:$AB$65000,$B655,O$5)="",2,0)),0)</f>
        <v>0</v>
      </c>
      <c r="P655" s="194">
        <f>IFERROR(IF(INDEX([1]Pivot!$AD$1:$BE$65000,$B655,P$5)=1,1,IF(INDEX([1]Pivot!$B$1:$AB$65000,$B655,P$5)="",2,0)),0)</f>
        <v>0</v>
      </c>
      <c r="Q655" s="194">
        <f>IFERROR(IF(INDEX([1]Pivot!$AD$1:$BE$65000,$B655,Q$5)=1,1,IF(INDEX([1]Pivot!$B$1:$AB$65000,$B655,Q$5)="",2,0)),0)</f>
        <v>0</v>
      </c>
      <c r="R655" s="312"/>
      <c r="S655" s="194">
        <f>IFERROR(IF(INDEX([1]Pivot!$AD$1:$BE$65000,$B655,S$5)=1,1,IF(INDEX([1]Pivot!$B$1:$AB$65000,$B655,S$5)="",2,0)),0)</f>
        <v>0</v>
      </c>
      <c r="T655" s="194">
        <f>IFERROR(IF(INDEX([1]Pivot!$AD$1:$BE$65000,$B655,T$5)=1,1,IF(INDEX([1]Pivot!$B$1:$AB$65000,$B655,T$5)="",2,0)),0)</f>
        <v>0</v>
      </c>
      <c r="U655" s="194">
        <f>IFERROR(IF(INDEX([1]Pivot!$AD$1:$BE$65000,$B655,U$5)=1,1,IF(INDEX([1]Pivot!$B$1:$AB$65000,$B655,U$5)="",2,0)),0)</f>
        <v>0</v>
      </c>
      <c r="V655" s="194">
        <f>IFERROR(IF(INDEX([1]Pivot!$AD$1:$BE$65000,$B655,V$5)=1,1,IF(INDEX([1]Pivot!$B$1:$AB$65000,$B655,V$5)="",2,0)),0)</f>
        <v>0</v>
      </c>
      <c r="W655" s="194">
        <f>IFERROR(IF(INDEX([1]Pivot!$AD$1:$BE$65000,$B655,W$5)=1,1,IF(INDEX([1]Pivot!$B$1:$AB$65000,$B655,W$5)="",2,0)),0)</f>
        <v>0</v>
      </c>
      <c r="X655" s="194">
        <f>IFERROR(IF(INDEX([1]Pivot!$AD$1:$BE$65000,$B655,X$5)=1,1,IF(INDEX([1]Pivot!$B$1:$AB$65000,$B655,X$5)="",2,0)),0)</f>
        <v>0</v>
      </c>
      <c r="Y655" s="194">
        <f>IFERROR(IF(INDEX([1]Pivot!$AD$1:$BE$65000,$B655,Y$5)=1,1,IF(INDEX([1]Pivot!$B$1:$AB$65000,$B655,Y$5)="",2,0)),0)</f>
        <v>0</v>
      </c>
      <c r="Z655" s="194">
        <f>IFERROR(IF(INDEX([1]Pivot!$AD$1:$BE$65000,$B655,Z$5)=1,1,IF(INDEX([1]Pivot!$B$1:$AB$65000,$B655,Z$5)="",2,0)),0)</f>
        <v>0</v>
      </c>
      <c r="AA655" s="194">
        <f>IFERROR(IF(INDEX([1]Pivot!$AD$1:$BE$65000,$B655,AA$5)=1,1,IF(INDEX([1]Pivot!$B$1:$AB$65000,$B655,AA$5)="",2,0)),0)</f>
        <v>0</v>
      </c>
      <c r="AB655" s="194">
        <f>IFERROR(IF(INDEX([1]Pivot!$AD$1:$BE$65000,$B655,AB$5)=1,1,IF(INDEX([1]Pivot!$B$1:$AB$65000,$B655,AB$5)="",2,0)),0)</f>
        <v>0</v>
      </c>
      <c r="AC655" s="194">
        <f>IFERROR(IF(INDEX([1]Pivot!$AD$1:$BE$65000,$B655,AC$5)=1,1,IF(INDEX([1]Pivot!$B$1:$AB$65000,$B655,AC$5)="",2,0)),0)</f>
        <v>0</v>
      </c>
      <c r="AD655" s="313">
        <f>IFERROR(IF(INDEX([1]Pivot!$BF$1:$CG$65000,$B655,AD$5)=1,1,IF(INDEX([1]Pivot!$B$1:$AB$65000,$B655,AD$5)="",2,0)),0)</f>
        <v>0</v>
      </c>
      <c r="AE655" s="313">
        <f>IFERROR(IF(INDEX([1]Pivot!$BF$1:$CG$65000,$B655,AE$5)=1,1,IF(INDEX([1]Pivot!$B$1:$AB$65000,$B655,AE$5)="",2,0)),0)</f>
        <v>0</v>
      </c>
      <c r="AF655" s="313">
        <f>IFERROR(IF(INDEX([1]Pivot!$BF$1:$CG$65000,$B655,AF$5)=1,1,IF(INDEX([1]Pivot!$B$1:$AB$65000,$B655,AF$5)="",2,0)),0)</f>
        <v>0</v>
      </c>
      <c r="AG655" s="313">
        <f>IFERROR(IF(INDEX([1]Pivot!$BF$1:$CG$65000,$B655,AG$5)=1,1,IF(INDEX([1]Pivot!$B$1:$AB$65000,$B655,AG$5)="",2,0)),0)</f>
        <v>0</v>
      </c>
      <c r="AH655" s="313">
        <f>IFERROR(IF(INDEX([1]Pivot!$BF$1:$CG$65000,$B655,AH$5)=1,1,IF(INDEX([1]Pivot!$B$1:$AB$65000,$B655,AH$5)="",2,0)),0)</f>
        <v>0</v>
      </c>
      <c r="AI655" s="313">
        <f>IFERROR(IF(INDEX([1]Pivot!$BF$1:$CG$65000,$B655,AI$5)=1,1,IF(INDEX([1]Pivot!$B$1:$AB$65000,$B655,AI$5)="",2,0)),0)</f>
        <v>0</v>
      </c>
      <c r="AJ655" s="313">
        <f>IFERROR(IF(INDEX([1]Pivot!$BF$1:$CG$65000,$B655,AJ$5)=1,1,IF(INDEX([1]Pivot!$B$1:$AB$65000,$B655,AJ$5)="",2,0)),0)</f>
        <v>0</v>
      </c>
      <c r="AK655" s="313">
        <f>IFERROR(IF(INDEX([1]Pivot!$BF$1:$CG$65000,$B655,AK$5)=1,1,IF(INDEX([1]Pivot!$B$1:$AB$65000,$B655,AK$5)="",2,0)),0)</f>
        <v>0</v>
      </c>
      <c r="AL655" s="313">
        <f>IFERROR(IF(INDEX([1]Pivot!$BF$1:$CG$65000,$B655,AL$5)=1,1,IF(INDEX([1]Pivot!$B$1:$AB$65000,$B655,AL$5)="",2,0)),0)</f>
        <v>0</v>
      </c>
      <c r="AM655" s="313">
        <f>IFERROR(IF(INDEX([1]Pivot!$BF$1:$CG$65000,$B655,AM$5)=1,1,IF(INDEX([1]Pivot!$B$1:$AB$65000,$B655,AM$5)="",2,0)),0)</f>
        <v>0</v>
      </c>
      <c r="AN655" s="313">
        <f>IFERROR(IF(INDEX([1]Pivot!$BF$1:$CG$65000,$B655,AN$5)=1,1,IF(INDEX([1]Pivot!$B$1:$AB$65000,$B655,AN$5)="",2,0)),0)</f>
        <v>0</v>
      </c>
      <c r="AO655" s="313">
        <f>IFERROR(IF(INDEX([1]Pivot!$BF$1:$CG$65000,$B655,AO$5)=1,1,IF(INDEX([1]Pivot!$B$1:$AB$65000,$B655,AO$5)="",2,0)),0)</f>
        <v>0</v>
      </c>
      <c r="AP655" s="313">
        <f>IFERROR(IF(INDEX([1]Pivot!$BF$1:$CG$65000,$B655,AP$5)=1,1,IF(INDEX([1]Pivot!$B$1:$AB$65000,$B655,AP$5)="",2,0)),0)</f>
        <v>0</v>
      </c>
      <c r="AQ655" s="313">
        <f>IFERROR(IF(INDEX([1]Pivot!$BF$1:$CG$65000,$B655,AQ$5)=1,1,IF(INDEX([1]Pivot!$B$1:$AB$65000,$B655,AQ$5)="",2,0)),0)</f>
        <v>0</v>
      </c>
      <c r="AR655" s="313">
        <f>IFERROR(IF(INDEX([1]Pivot!$BF$1:$CG$65000,$B655,AR$5)=1,1,IF(INDEX([1]Pivot!$B$1:$AB$65000,$B655,AR$5)="",2,0)),0)</f>
        <v>0</v>
      </c>
      <c r="AS655" s="312"/>
      <c r="AT655" s="313">
        <f>IFERROR(IF(INDEX([1]Pivot!$BF$1:$CG$65000,$B655,AT$5)=1,1,IF(INDEX([1]Pivot!$B$1:$AB$65000,$B655,AT$5)="",2,0)),0)</f>
        <v>0</v>
      </c>
      <c r="AU655" s="313">
        <f>IFERROR(IF(INDEX([1]Pivot!$BF$1:$CG$65000,$B655,AU$5)=1,1,IF(INDEX([1]Pivot!$B$1:$AB$65000,$B655,AU$5)="",2,0)),0)</f>
        <v>0</v>
      </c>
      <c r="AV655" s="313">
        <f>IFERROR(IF(INDEX([1]Pivot!$BF$1:$CG$65000,$B655,AV$5)=1,1,IF(INDEX([1]Pivot!$B$1:$AB$65000,$B655,AV$5)="",2,0)),0)</f>
        <v>0</v>
      </c>
      <c r="AW655" s="313">
        <f>IFERROR(IF(INDEX([1]Pivot!$BF$1:$CG$65000,$B655,AW$5)=1,1,IF(INDEX([1]Pivot!$B$1:$AB$65000,$B655,AW$5)="",2,0)),0)</f>
        <v>0</v>
      </c>
      <c r="AX655" s="313">
        <f>IFERROR(IF(INDEX([1]Pivot!$BF$1:$CG$65000,$B655,AX$5)=1,1,IF(INDEX([1]Pivot!$B$1:$AB$65000,$B655,AX$5)="",2,0)),0)</f>
        <v>0</v>
      </c>
      <c r="AY655" s="313">
        <f>IFERROR(IF(INDEX([1]Pivot!$BF$1:$CG$65000,$B655,AY$5)=1,1,IF(INDEX([1]Pivot!$B$1:$AB$65000,$B655,AY$5)="",2,0)),0)</f>
        <v>0</v>
      </c>
      <c r="AZ655" s="313">
        <f>IFERROR(IF(INDEX([1]Pivot!$BF$1:$CG$65000,$B655,AZ$5)=1,1,IF(INDEX([1]Pivot!$B$1:$AB$65000,$B655,AZ$5)="",2,0)),0)</f>
        <v>0</v>
      </c>
      <c r="BA655" s="313">
        <f>IFERROR(IF(INDEX([1]Pivot!$BF$1:$CG$65000,$B655,BA$5)=1,1,IF(INDEX([1]Pivot!$B$1:$AB$65000,$B655,BA$5)="",2,0)),0)</f>
        <v>0</v>
      </c>
      <c r="BB655" s="313">
        <f>IFERROR(IF(INDEX([1]Pivot!$BF$1:$CG$65000,$B655,BB$5)=1,1,IF(INDEX([1]Pivot!$B$1:$AB$65000,$B655,BB$5)="",2,0)),0)</f>
        <v>0</v>
      </c>
      <c r="BC655" s="313">
        <f>IFERROR(IF(INDEX([1]Pivot!$BF$1:$CG$65000,$B655,BC$5)=1,1,IF(INDEX([1]Pivot!$B$1:$AB$65000,$B655,BC$5)="",2,0)),0)</f>
        <v>0</v>
      </c>
      <c r="BD655" s="313">
        <f>IFERROR(IF(INDEX([1]Pivot!$BF$1:$CG$65000,$B655,BD$5)=1,1,IF(INDEX([1]Pivot!$B$1:$AB$65000,$B655,BD$5)="",2,0)),0)</f>
        <v>0</v>
      </c>
    </row>
    <row r="656" spans="1:56" x14ac:dyDescent="0.25">
      <c r="A656" s="288">
        <f>'[2]Raw Milk Prices'!A656</f>
        <v>0</v>
      </c>
      <c r="B656" s="296" t="e">
        <f>MATCH(DATE(LEFT('[2]Raw Milk Prices'!$A656,4),RIGHT('[2]Raw Milk Prices'!$A656,2),1),[1]Pivot!$A$1:$A$65000,0)</f>
        <v>#VALUE!</v>
      </c>
      <c r="C656" s="194">
        <f>IFERROR(IF(INDEX([1]Pivot!$AD$1:$BE$65000,$B656,C$5)=1,1,IF(INDEX([1]Pivot!$B$1:$AB$65000,$B656,C$5)="",2,0)),0)</f>
        <v>0</v>
      </c>
      <c r="D656" s="194">
        <f>IFERROR(IF(INDEX([1]Pivot!$AD$1:$BE$65000,$B656,D$5)=1,1,IF(INDEX([1]Pivot!$B$1:$AB$65000,$B656,D$5)="",2,0)),0)</f>
        <v>0</v>
      </c>
      <c r="E656" s="194">
        <f>IFERROR(IF(INDEX([1]Pivot!$AD$1:$BE$65000,$B656,E$5)=1,1,IF(INDEX([1]Pivot!$B$1:$AB$65000,$B656,E$5)="",2,0)),0)</f>
        <v>0</v>
      </c>
      <c r="F656" s="194">
        <f>IFERROR(IF(INDEX([1]Pivot!$AD$1:$BE$65000,$B656,F$5)=1,1,IF(INDEX([1]Pivot!$B$1:$AB$65000,$B656,F$5)="",2,0)),0)</f>
        <v>0</v>
      </c>
      <c r="G656" s="194">
        <f>IFERROR(IF(INDEX([1]Pivot!$AD$1:$BE$65000,$B656,G$5)=1,1,IF(INDEX([1]Pivot!$B$1:$AB$65000,$B656,G$5)="",2,0)),0)</f>
        <v>0</v>
      </c>
      <c r="H656" s="194">
        <f>IFERROR(IF(INDEX([1]Pivot!$AD$1:$BE$65000,$B656,H$5)=1,1,IF(INDEX([1]Pivot!$B$1:$AB$65000,$B656,H$5)="",2,0)),0)</f>
        <v>0</v>
      </c>
      <c r="I656" s="194">
        <f>IFERROR(IF(INDEX([1]Pivot!$AD$1:$BE$65000,$B656,I$5)=1,1,IF(INDEX([1]Pivot!$B$1:$AB$65000,$B656,I$5)="",2,0)),0)</f>
        <v>0</v>
      </c>
      <c r="J656" s="194">
        <f>IFERROR(IF(INDEX([1]Pivot!$AD$1:$BE$65000,$B656,J$5)=1,1,IF(INDEX([1]Pivot!$B$1:$AB$65000,$B656,J$5)="",2,0)),0)</f>
        <v>0</v>
      </c>
      <c r="K656" s="194">
        <f>IFERROR(IF(INDEX([1]Pivot!$AD$1:$BE$65000,$B656,K$5)=1,1,IF(INDEX([1]Pivot!$B$1:$AB$65000,$B656,K$5)="",2,0)),0)</f>
        <v>0</v>
      </c>
      <c r="L656" s="194">
        <f>IFERROR(IF(INDEX([1]Pivot!$AD$1:$BE$65000,$B656,L$5)=1,1,IF(INDEX([1]Pivot!$B$1:$AB$65000,$B656,L$5)="",2,0)),0)</f>
        <v>0</v>
      </c>
      <c r="M656" s="194">
        <f>IFERROR(IF(INDEX([1]Pivot!$AD$1:$BE$65000,$B656,M$5)=1,1,IF(INDEX([1]Pivot!$B$1:$AB$65000,$B656,M$5)="",2,0)),0)</f>
        <v>0</v>
      </c>
      <c r="N656" s="194">
        <f>IFERROR(IF(INDEX([1]Pivot!$AD$1:$BE$65000,$B656,N$5)=1,1,IF(INDEX([1]Pivot!$B$1:$AB$65000,$B656,N$5)="",2,0)),0)</f>
        <v>0</v>
      </c>
      <c r="O656" s="194">
        <f>IFERROR(IF(INDEX([1]Pivot!$AD$1:$BE$65000,$B656,O$5)=1,1,IF(INDEX([1]Pivot!$B$1:$AB$65000,$B656,O$5)="",2,0)),0)</f>
        <v>0</v>
      </c>
      <c r="P656" s="194">
        <f>IFERROR(IF(INDEX([1]Pivot!$AD$1:$BE$65000,$B656,P$5)=1,1,IF(INDEX([1]Pivot!$B$1:$AB$65000,$B656,P$5)="",2,0)),0)</f>
        <v>0</v>
      </c>
      <c r="Q656" s="194">
        <f>IFERROR(IF(INDEX([1]Pivot!$AD$1:$BE$65000,$B656,Q$5)=1,1,IF(INDEX([1]Pivot!$B$1:$AB$65000,$B656,Q$5)="",2,0)),0)</f>
        <v>0</v>
      </c>
      <c r="R656" s="312"/>
      <c r="S656" s="194">
        <f>IFERROR(IF(INDEX([1]Pivot!$AD$1:$BE$65000,$B656,S$5)=1,1,IF(INDEX([1]Pivot!$B$1:$AB$65000,$B656,S$5)="",2,0)),0)</f>
        <v>0</v>
      </c>
      <c r="T656" s="194">
        <f>IFERROR(IF(INDEX([1]Pivot!$AD$1:$BE$65000,$B656,T$5)=1,1,IF(INDEX([1]Pivot!$B$1:$AB$65000,$B656,T$5)="",2,0)),0)</f>
        <v>0</v>
      </c>
      <c r="U656" s="194">
        <f>IFERROR(IF(INDEX([1]Pivot!$AD$1:$BE$65000,$B656,U$5)=1,1,IF(INDEX([1]Pivot!$B$1:$AB$65000,$B656,U$5)="",2,0)),0)</f>
        <v>0</v>
      </c>
      <c r="V656" s="194">
        <f>IFERROR(IF(INDEX([1]Pivot!$AD$1:$BE$65000,$B656,V$5)=1,1,IF(INDEX([1]Pivot!$B$1:$AB$65000,$B656,V$5)="",2,0)),0)</f>
        <v>0</v>
      </c>
      <c r="W656" s="194">
        <f>IFERROR(IF(INDEX([1]Pivot!$AD$1:$BE$65000,$B656,W$5)=1,1,IF(INDEX([1]Pivot!$B$1:$AB$65000,$B656,W$5)="",2,0)),0)</f>
        <v>0</v>
      </c>
      <c r="X656" s="194">
        <f>IFERROR(IF(INDEX([1]Pivot!$AD$1:$BE$65000,$B656,X$5)=1,1,IF(INDEX([1]Pivot!$B$1:$AB$65000,$B656,X$5)="",2,0)),0)</f>
        <v>0</v>
      </c>
      <c r="Y656" s="194">
        <f>IFERROR(IF(INDEX([1]Pivot!$AD$1:$BE$65000,$B656,Y$5)=1,1,IF(INDEX([1]Pivot!$B$1:$AB$65000,$B656,Y$5)="",2,0)),0)</f>
        <v>0</v>
      </c>
      <c r="Z656" s="194">
        <f>IFERROR(IF(INDEX([1]Pivot!$AD$1:$BE$65000,$B656,Z$5)=1,1,IF(INDEX([1]Pivot!$B$1:$AB$65000,$B656,Z$5)="",2,0)),0)</f>
        <v>0</v>
      </c>
      <c r="AA656" s="194">
        <f>IFERROR(IF(INDEX([1]Pivot!$AD$1:$BE$65000,$B656,AA$5)=1,1,IF(INDEX([1]Pivot!$B$1:$AB$65000,$B656,AA$5)="",2,0)),0)</f>
        <v>0</v>
      </c>
      <c r="AB656" s="194">
        <f>IFERROR(IF(INDEX([1]Pivot!$AD$1:$BE$65000,$B656,AB$5)=1,1,IF(INDEX([1]Pivot!$B$1:$AB$65000,$B656,AB$5)="",2,0)),0)</f>
        <v>0</v>
      </c>
      <c r="AC656" s="194">
        <f>IFERROR(IF(INDEX([1]Pivot!$AD$1:$BE$65000,$B656,AC$5)=1,1,IF(INDEX([1]Pivot!$B$1:$AB$65000,$B656,AC$5)="",2,0)),0)</f>
        <v>0</v>
      </c>
      <c r="AD656" s="313">
        <f>IFERROR(IF(INDEX([1]Pivot!$BF$1:$CG$65000,$B656,AD$5)=1,1,IF(INDEX([1]Pivot!$B$1:$AB$65000,$B656,AD$5)="",2,0)),0)</f>
        <v>0</v>
      </c>
      <c r="AE656" s="313">
        <f>IFERROR(IF(INDEX([1]Pivot!$BF$1:$CG$65000,$B656,AE$5)=1,1,IF(INDEX([1]Pivot!$B$1:$AB$65000,$B656,AE$5)="",2,0)),0)</f>
        <v>0</v>
      </c>
      <c r="AF656" s="313">
        <f>IFERROR(IF(INDEX([1]Pivot!$BF$1:$CG$65000,$B656,AF$5)=1,1,IF(INDEX([1]Pivot!$B$1:$AB$65000,$B656,AF$5)="",2,0)),0)</f>
        <v>0</v>
      </c>
      <c r="AG656" s="313">
        <f>IFERROR(IF(INDEX([1]Pivot!$BF$1:$CG$65000,$B656,AG$5)=1,1,IF(INDEX([1]Pivot!$B$1:$AB$65000,$B656,AG$5)="",2,0)),0)</f>
        <v>0</v>
      </c>
      <c r="AH656" s="313">
        <f>IFERROR(IF(INDEX([1]Pivot!$BF$1:$CG$65000,$B656,AH$5)=1,1,IF(INDEX([1]Pivot!$B$1:$AB$65000,$B656,AH$5)="",2,0)),0)</f>
        <v>0</v>
      </c>
      <c r="AI656" s="313">
        <f>IFERROR(IF(INDEX([1]Pivot!$BF$1:$CG$65000,$B656,AI$5)=1,1,IF(INDEX([1]Pivot!$B$1:$AB$65000,$B656,AI$5)="",2,0)),0)</f>
        <v>0</v>
      </c>
      <c r="AJ656" s="313">
        <f>IFERROR(IF(INDEX([1]Pivot!$BF$1:$CG$65000,$B656,AJ$5)=1,1,IF(INDEX([1]Pivot!$B$1:$AB$65000,$B656,AJ$5)="",2,0)),0)</f>
        <v>0</v>
      </c>
      <c r="AK656" s="313">
        <f>IFERROR(IF(INDEX([1]Pivot!$BF$1:$CG$65000,$B656,AK$5)=1,1,IF(INDEX([1]Pivot!$B$1:$AB$65000,$B656,AK$5)="",2,0)),0)</f>
        <v>0</v>
      </c>
      <c r="AL656" s="313">
        <f>IFERROR(IF(INDEX([1]Pivot!$BF$1:$CG$65000,$B656,AL$5)=1,1,IF(INDEX([1]Pivot!$B$1:$AB$65000,$B656,AL$5)="",2,0)),0)</f>
        <v>0</v>
      </c>
      <c r="AM656" s="313">
        <f>IFERROR(IF(INDEX([1]Pivot!$BF$1:$CG$65000,$B656,AM$5)=1,1,IF(INDEX([1]Pivot!$B$1:$AB$65000,$B656,AM$5)="",2,0)),0)</f>
        <v>0</v>
      </c>
      <c r="AN656" s="313">
        <f>IFERROR(IF(INDEX([1]Pivot!$BF$1:$CG$65000,$B656,AN$5)=1,1,IF(INDEX([1]Pivot!$B$1:$AB$65000,$B656,AN$5)="",2,0)),0)</f>
        <v>0</v>
      </c>
      <c r="AO656" s="313">
        <f>IFERROR(IF(INDEX([1]Pivot!$BF$1:$CG$65000,$B656,AO$5)=1,1,IF(INDEX([1]Pivot!$B$1:$AB$65000,$B656,AO$5)="",2,0)),0)</f>
        <v>0</v>
      </c>
      <c r="AP656" s="313">
        <f>IFERROR(IF(INDEX([1]Pivot!$BF$1:$CG$65000,$B656,AP$5)=1,1,IF(INDEX([1]Pivot!$B$1:$AB$65000,$B656,AP$5)="",2,0)),0)</f>
        <v>0</v>
      </c>
      <c r="AQ656" s="313">
        <f>IFERROR(IF(INDEX([1]Pivot!$BF$1:$CG$65000,$B656,AQ$5)=1,1,IF(INDEX([1]Pivot!$B$1:$AB$65000,$B656,AQ$5)="",2,0)),0)</f>
        <v>0</v>
      </c>
      <c r="AR656" s="313">
        <f>IFERROR(IF(INDEX([1]Pivot!$BF$1:$CG$65000,$B656,AR$5)=1,1,IF(INDEX([1]Pivot!$B$1:$AB$65000,$B656,AR$5)="",2,0)),0)</f>
        <v>0</v>
      </c>
      <c r="AS656" s="312"/>
      <c r="AT656" s="313">
        <f>IFERROR(IF(INDEX([1]Pivot!$BF$1:$CG$65000,$B656,AT$5)=1,1,IF(INDEX([1]Pivot!$B$1:$AB$65000,$B656,AT$5)="",2,0)),0)</f>
        <v>0</v>
      </c>
      <c r="AU656" s="313">
        <f>IFERROR(IF(INDEX([1]Pivot!$BF$1:$CG$65000,$B656,AU$5)=1,1,IF(INDEX([1]Pivot!$B$1:$AB$65000,$B656,AU$5)="",2,0)),0)</f>
        <v>0</v>
      </c>
      <c r="AV656" s="313">
        <f>IFERROR(IF(INDEX([1]Pivot!$BF$1:$CG$65000,$B656,AV$5)=1,1,IF(INDEX([1]Pivot!$B$1:$AB$65000,$B656,AV$5)="",2,0)),0)</f>
        <v>0</v>
      </c>
      <c r="AW656" s="313">
        <f>IFERROR(IF(INDEX([1]Pivot!$BF$1:$CG$65000,$B656,AW$5)=1,1,IF(INDEX([1]Pivot!$B$1:$AB$65000,$B656,AW$5)="",2,0)),0)</f>
        <v>0</v>
      </c>
      <c r="AX656" s="313">
        <f>IFERROR(IF(INDEX([1]Pivot!$BF$1:$CG$65000,$B656,AX$5)=1,1,IF(INDEX([1]Pivot!$B$1:$AB$65000,$B656,AX$5)="",2,0)),0)</f>
        <v>0</v>
      </c>
      <c r="AY656" s="313">
        <f>IFERROR(IF(INDEX([1]Pivot!$BF$1:$CG$65000,$B656,AY$5)=1,1,IF(INDEX([1]Pivot!$B$1:$AB$65000,$B656,AY$5)="",2,0)),0)</f>
        <v>0</v>
      </c>
      <c r="AZ656" s="313">
        <f>IFERROR(IF(INDEX([1]Pivot!$BF$1:$CG$65000,$B656,AZ$5)=1,1,IF(INDEX([1]Pivot!$B$1:$AB$65000,$B656,AZ$5)="",2,0)),0)</f>
        <v>0</v>
      </c>
      <c r="BA656" s="313">
        <f>IFERROR(IF(INDEX([1]Pivot!$BF$1:$CG$65000,$B656,BA$5)=1,1,IF(INDEX([1]Pivot!$B$1:$AB$65000,$B656,BA$5)="",2,0)),0)</f>
        <v>0</v>
      </c>
      <c r="BB656" s="313">
        <f>IFERROR(IF(INDEX([1]Pivot!$BF$1:$CG$65000,$B656,BB$5)=1,1,IF(INDEX([1]Pivot!$B$1:$AB$65000,$B656,BB$5)="",2,0)),0)</f>
        <v>0</v>
      </c>
      <c r="BC656" s="313">
        <f>IFERROR(IF(INDEX([1]Pivot!$BF$1:$CG$65000,$B656,BC$5)=1,1,IF(INDEX([1]Pivot!$B$1:$AB$65000,$B656,BC$5)="",2,0)),0)</f>
        <v>0</v>
      </c>
      <c r="BD656" s="313">
        <f>IFERROR(IF(INDEX([1]Pivot!$BF$1:$CG$65000,$B656,BD$5)=1,1,IF(INDEX([1]Pivot!$B$1:$AB$65000,$B656,BD$5)="",2,0)),0)</f>
        <v>0</v>
      </c>
    </row>
    <row r="657" spans="1:56" x14ac:dyDescent="0.25">
      <c r="A657" s="288">
        <f>'[2]Raw Milk Prices'!A657</f>
        <v>0</v>
      </c>
      <c r="B657" s="296" t="e">
        <f>MATCH(DATE(LEFT('[2]Raw Milk Prices'!$A657,4),RIGHT('[2]Raw Milk Prices'!$A657,2),1),[1]Pivot!$A$1:$A$65000,0)</f>
        <v>#VALUE!</v>
      </c>
      <c r="C657" s="194">
        <f>IFERROR(IF(INDEX([1]Pivot!$AD$1:$BE$65000,$B657,C$5)=1,1,IF(INDEX([1]Pivot!$B$1:$AB$65000,$B657,C$5)="",2,0)),0)</f>
        <v>0</v>
      </c>
      <c r="D657" s="194">
        <f>IFERROR(IF(INDEX([1]Pivot!$AD$1:$BE$65000,$B657,D$5)=1,1,IF(INDEX([1]Pivot!$B$1:$AB$65000,$B657,D$5)="",2,0)),0)</f>
        <v>0</v>
      </c>
      <c r="E657" s="194">
        <f>IFERROR(IF(INDEX([1]Pivot!$AD$1:$BE$65000,$B657,E$5)=1,1,IF(INDEX([1]Pivot!$B$1:$AB$65000,$B657,E$5)="",2,0)),0)</f>
        <v>0</v>
      </c>
      <c r="F657" s="194">
        <f>IFERROR(IF(INDEX([1]Pivot!$AD$1:$BE$65000,$B657,F$5)=1,1,IF(INDEX([1]Pivot!$B$1:$AB$65000,$B657,F$5)="",2,0)),0)</f>
        <v>0</v>
      </c>
      <c r="G657" s="194">
        <f>IFERROR(IF(INDEX([1]Pivot!$AD$1:$BE$65000,$B657,G$5)=1,1,IF(INDEX([1]Pivot!$B$1:$AB$65000,$B657,G$5)="",2,0)),0)</f>
        <v>0</v>
      </c>
      <c r="H657" s="194">
        <f>IFERROR(IF(INDEX([1]Pivot!$AD$1:$BE$65000,$B657,H$5)=1,1,IF(INDEX([1]Pivot!$B$1:$AB$65000,$B657,H$5)="",2,0)),0)</f>
        <v>0</v>
      </c>
      <c r="I657" s="194">
        <f>IFERROR(IF(INDEX([1]Pivot!$AD$1:$BE$65000,$B657,I$5)=1,1,IF(INDEX([1]Pivot!$B$1:$AB$65000,$B657,I$5)="",2,0)),0)</f>
        <v>0</v>
      </c>
      <c r="J657" s="194">
        <f>IFERROR(IF(INDEX([1]Pivot!$AD$1:$BE$65000,$B657,J$5)=1,1,IF(INDEX([1]Pivot!$B$1:$AB$65000,$B657,J$5)="",2,0)),0)</f>
        <v>0</v>
      </c>
      <c r="K657" s="194">
        <f>IFERROR(IF(INDEX([1]Pivot!$AD$1:$BE$65000,$B657,K$5)=1,1,IF(INDEX([1]Pivot!$B$1:$AB$65000,$B657,K$5)="",2,0)),0)</f>
        <v>0</v>
      </c>
      <c r="L657" s="194">
        <f>IFERROR(IF(INDEX([1]Pivot!$AD$1:$BE$65000,$B657,L$5)=1,1,IF(INDEX([1]Pivot!$B$1:$AB$65000,$B657,L$5)="",2,0)),0)</f>
        <v>0</v>
      </c>
      <c r="M657" s="194">
        <f>IFERROR(IF(INDEX([1]Pivot!$AD$1:$BE$65000,$B657,M$5)=1,1,IF(INDEX([1]Pivot!$B$1:$AB$65000,$B657,M$5)="",2,0)),0)</f>
        <v>0</v>
      </c>
      <c r="N657" s="194">
        <f>IFERROR(IF(INDEX([1]Pivot!$AD$1:$BE$65000,$B657,N$5)=1,1,IF(INDEX([1]Pivot!$B$1:$AB$65000,$B657,N$5)="",2,0)),0)</f>
        <v>0</v>
      </c>
      <c r="O657" s="194">
        <f>IFERROR(IF(INDEX([1]Pivot!$AD$1:$BE$65000,$B657,O$5)=1,1,IF(INDEX([1]Pivot!$B$1:$AB$65000,$B657,O$5)="",2,0)),0)</f>
        <v>0</v>
      </c>
      <c r="P657" s="194">
        <f>IFERROR(IF(INDEX([1]Pivot!$AD$1:$BE$65000,$B657,P$5)=1,1,IF(INDEX([1]Pivot!$B$1:$AB$65000,$B657,P$5)="",2,0)),0)</f>
        <v>0</v>
      </c>
      <c r="Q657" s="194">
        <f>IFERROR(IF(INDEX([1]Pivot!$AD$1:$BE$65000,$B657,Q$5)=1,1,IF(INDEX([1]Pivot!$B$1:$AB$65000,$B657,Q$5)="",2,0)),0)</f>
        <v>0</v>
      </c>
      <c r="R657" s="312"/>
      <c r="S657" s="194">
        <f>IFERROR(IF(INDEX([1]Pivot!$AD$1:$BE$65000,$B657,S$5)=1,1,IF(INDEX([1]Pivot!$B$1:$AB$65000,$B657,S$5)="",2,0)),0)</f>
        <v>0</v>
      </c>
      <c r="T657" s="194">
        <f>IFERROR(IF(INDEX([1]Pivot!$AD$1:$BE$65000,$B657,T$5)=1,1,IF(INDEX([1]Pivot!$B$1:$AB$65000,$B657,T$5)="",2,0)),0)</f>
        <v>0</v>
      </c>
      <c r="U657" s="194">
        <f>IFERROR(IF(INDEX([1]Pivot!$AD$1:$BE$65000,$B657,U$5)=1,1,IF(INDEX([1]Pivot!$B$1:$AB$65000,$B657,U$5)="",2,0)),0)</f>
        <v>0</v>
      </c>
      <c r="V657" s="194">
        <f>IFERROR(IF(INDEX([1]Pivot!$AD$1:$BE$65000,$B657,V$5)=1,1,IF(INDEX([1]Pivot!$B$1:$AB$65000,$B657,V$5)="",2,0)),0)</f>
        <v>0</v>
      </c>
      <c r="W657" s="194">
        <f>IFERROR(IF(INDEX([1]Pivot!$AD$1:$BE$65000,$B657,W$5)=1,1,IF(INDEX([1]Pivot!$B$1:$AB$65000,$B657,W$5)="",2,0)),0)</f>
        <v>0</v>
      </c>
      <c r="X657" s="194">
        <f>IFERROR(IF(INDEX([1]Pivot!$AD$1:$BE$65000,$B657,X$5)=1,1,IF(INDEX([1]Pivot!$B$1:$AB$65000,$B657,X$5)="",2,0)),0)</f>
        <v>0</v>
      </c>
      <c r="Y657" s="194">
        <f>IFERROR(IF(INDEX([1]Pivot!$AD$1:$BE$65000,$B657,Y$5)=1,1,IF(INDEX([1]Pivot!$B$1:$AB$65000,$B657,Y$5)="",2,0)),0)</f>
        <v>0</v>
      </c>
      <c r="Z657" s="194">
        <f>IFERROR(IF(INDEX([1]Pivot!$AD$1:$BE$65000,$B657,Z$5)=1,1,IF(INDEX([1]Pivot!$B$1:$AB$65000,$B657,Z$5)="",2,0)),0)</f>
        <v>0</v>
      </c>
      <c r="AA657" s="194">
        <f>IFERROR(IF(INDEX([1]Pivot!$AD$1:$BE$65000,$B657,AA$5)=1,1,IF(INDEX([1]Pivot!$B$1:$AB$65000,$B657,AA$5)="",2,0)),0)</f>
        <v>0</v>
      </c>
      <c r="AB657" s="194">
        <f>IFERROR(IF(INDEX([1]Pivot!$AD$1:$BE$65000,$B657,AB$5)=1,1,IF(INDEX([1]Pivot!$B$1:$AB$65000,$B657,AB$5)="",2,0)),0)</f>
        <v>0</v>
      </c>
      <c r="AC657" s="194">
        <f>IFERROR(IF(INDEX([1]Pivot!$AD$1:$BE$65000,$B657,AC$5)=1,1,IF(INDEX([1]Pivot!$B$1:$AB$65000,$B657,AC$5)="",2,0)),0)</f>
        <v>0</v>
      </c>
      <c r="AD657" s="313">
        <f>IFERROR(IF(INDEX([1]Pivot!$BF$1:$CG$65000,$B657,AD$5)=1,1,IF(INDEX([1]Pivot!$B$1:$AB$65000,$B657,AD$5)="",2,0)),0)</f>
        <v>0</v>
      </c>
      <c r="AE657" s="313">
        <f>IFERROR(IF(INDEX([1]Pivot!$BF$1:$CG$65000,$B657,AE$5)=1,1,IF(INDEX([1]Pivot!$B$1:$AB$65000,$B657,AE$5)="",2,0)),0)</f>
        <v>0</v>
      </c>
      <c r="AF657" s="313">
        <f>IFERROR(IF(INDEX([1]Pivot!$BF$1:$CG$65000,$B657,AF$5)=1,1,IF(INDEX([1]Pivot!$B$1:$AB$65000,$B657,AF$5)="",2,0)),0)</f>
        <v>0</v>
      </c>
      <c r="AG657" s="313">
        <f>IFERROR(IF(INDEX([1]Pivot!$BF$1:$CG$65000,$B657,AG$5)=1,1,IF(INDEX([1]Pivot!$B$1:$AB$65000,$B657,AG$5)="",2,0)),0)</f>
        <v>0</v>
      </c>
      <c r="AH657" s="313">
        <f>IFERROR(IF(INDEX([1]Pivot!$BF$1:$CG$65000,$B657,AH$5)=1,1,IF(INDEX([1]Pivot!$B$1:$AB$65000,$B657,AH$5)="",2,0)),0)</f>
        <v>0</v>
      </c>
      <c r="AI657" s="313">
        <f>IFERROR(IF(INDEX([1]Pivot!$BF$1:$CG$65000,$B657,AI$5)=1,1,IF(INDEX([1]Pivot!$B$1:$AB$65000,$B657,AI$5)="",2,0)),0)</f>
        <v>0</v>
      </c>
      <c r="AJ657" s="313">
        <f>IFERROR(IF(INDEX([1]Pivot!$BF$1:$CG$65000,$B657,AJ$5)=1,1,IF(INDEX([1]Pivot!$B$1:$AB$65000,$B657,AJ$5)="",2,0)),0)</f>
        <v>0</v>
      </c>
      <c r="AK657" s="313">
        <f>IFERROR(IF(INDEX([1]Pivot!$BF$1:$CG$65000,$B657,AK$5)=1,1,IF(INDEX([1]Pivot!$B$1:$AB$65000,$B657,AK$5)="",2,0)),0)</f>
        <v>0</v>
      </c>
      <c r="AL657" s="313">
        <f>IFERROR(IF(INDEX([1]Pivot!$BF$1:$CG$65000,$B657,AL$5)=1,1,IF(INDEX([1]Pivot!$B$1:$AB$65000,$B657,AL$5)="",2,0)),0)</f>
        <v>0</v>
      </c>
      <c r="AM657" s="313">
        <f>IFERROR(IF(INDEX([1]Pivot!$BF$1:$CG$65000,$B657,AM$5)=1,1,IF(INDEX([1]Pivot!$B$1:$AB$65000,$B657,AM$5)="",2,0)),0)</f>
        <v>0</v>
      </c>
      <c r="AN657" s="313">
        <f>IFERROR(IF(INDEX([1]Pivot!$BF$1:$CG$65000,$B657,AN$5)=1,1,IF(INDEX([1]Pivot!$B$1:$AB$65000,$B657,AN$5)="",2,0)),0)</f>
        <v>0</v>
      </c>
      <c r="AO657" s="313">
        <f>IFERROR(IF(INDEX([1]Pivot!$BF$1:$CG$65000,$B657,AO$5)=1,1,IF(INDEX([1]Pivot!$B$1:$AB$65000,$B657,AO$5)="",2,0)),0)</f>
        <v>0</v>
      </c>
      <c r="AP657" s="313">
        <f>IFERROR(IF(INDEX([1]Pivot!$BF$1:$CG$65000,$B657,AP$5)=1,1,IF(INDEX([1]Pivot!$B$1:$AB$65000,$B657,AP$5)="",2,0)),0)</f>
        <v>0</v>
      </c>
      <c r="AQ657" s="313">
        <f>IFERROR(IF(INDEX([1]Pivot!$BF$1:$CG$65000,$B657,AQ$5)=1,1,IF(INDEX([1]Pivot!$B$1:$AB$65000,$B657,AQ$5)="",2,0)),0)</f>
        <v>0</v>
      </c>
      <c r="AR657" s="313">
        <f>IFERROR(IF(INDEX([1]Pivot!$BF$1:$CG$65000,$B657,AR$5)=1,1,IF(INDEX([1]Pivot!$B$1:$AB$65000,$B657,AR$5)="",2,0)),0)</f>
        <v>0</v>
      </c>
      <c r="AS657" s="312"/>
      <c r="AT657" s="313">
        <f>IFERROR(IF(INDEX([1]Pivot!$BF$1:$CG$65000,$B657,AT$5)=1,1,IF(INDEX([1]Pivot!$B$1:$AB$65000,$B657,AT$5)="",2,0)),0)</f>
        <v>0</v>
      </c>
      <c r="AU657" s="313">
        <f>IFERROR(IF(INDEX([1]Pivot!$BF$1:$CG$65000,$B657,AU$5)=1,1,IF(INDEX([1]Pivot!$B$1:$AB$65000,$B657,AU$5)="",2,0)),0)</f>
        <v>0</v>
      </c>
      <c r="AV657" s="313">
        <f>IFERROR(IF(INDEX([1]Pivot!$BF$1:$CG$65000,$B657,AV$5)=1,1,IF(INDEX([1]Pivot!$B$1:$AB$65000,$B657,AV$5)="",2,0)),0)</f>
        <v>0</v>
      </c>
      <c r="AW657" s="313">
        <f>IFERROR(IF(INDEX([1]Pivot!$BF$1:$CG$65000,$B657,AW$5)=1,1,IF(INDEX([1]Pivot!$B$1:$AB$65000,$B657,AW$5)="",2,0)),0)</f>
        <v>0</v>
      </c>
      <c r="AX657" s="313">
        <f>IFERROR(IF(INDEX([1]Pivot!$BF$1:$CG$65000,$B657,AX$5)=1,1,IF(INDEX([1]Pivot!$B$1:$AB$65000,$B657,AX$5)="",2,0)),0)</f>
        <v>0</v>
      </c>
      <c r="AY657" s="313">
        <f>IFERROR(IF(INDEX([1]Pivot!$BF$1:$CG$65000,$B657,AY$5)=1,1,IF(INDEX([1]Pivot!$B$1:$AB$65000,$B657,AY$5)="",2,0)),0)</f>
        <v>0</v>
      </c>
      <c r="AZ657" s="313">
        <f>IFERROR(IF(INDEX([1]Pivot!$BF$1:$CG$65000,$B657,AZ$5)=1,1,IF(INDEX([1]Pivot!$B$1:$AB$65000,$B657,AZ$5)="",2,0)),0)</f>
        <v>0</v>
      </c>
      <c r="BA657" s="313">
        <f>IFERROR(IF(INDEX([1]Pivot!$BF$1:$CG$65000,$B657,BA$5)=1,1,IF(INDEX([1]Pivot!$B$1:$AB$65000,$B657,BA$5)="",2,0)),0)</f>
        <v>0</v>
      </c>
      <c r="BB657" s="313">
        <f>IFERROR(IF(INDEX([1]Pivot!$BF$1:$CG$65000,$B657,BB$5)=1,1,IF(INDEX([1]Pivot!$B$1:$AB$65000,$B657,BB$5)="",2,0)),0)</f>
        <v>0</v>
      </c>
      <c r="BC657" s="313">
        <f>IFERROR(IF(INDEX([1]Pivot!$BF$1:$CG$65000,$B657,BC$5)=1,1,IF(INDEX([1]Pivot!$B$1:$AB$65000,$B657,BC$5)="",2,0)),0)</f>
        <v>0</v>
      </c>
      <c r="BD657" s="313">
        <f>IFERROR(IF(INDEX([1]Pivot!$BF$1:$CG$65000,$B657,BD$5)=1,1,IF(INDEX([1]Pivot!$B$1:$AB$65000,$B657,BD$5)="",2,0)),0)</f>
        <v>0</v>
      </c>
    </row>
    <row r="658" spans="1:56" x14ac:dyDescent="0.25">
      <c r="A658" s="288">
        <f>'[2]Raw Milk Prices'!A658</f>
        <v>0</v>
      </c>
      <c r="B658" s="296" t="e">
        <f>MATCH(DATE(LEFT('[2]Raw Milk Prices'!$A658,4),RIGHT('[2]Raw Milk Prices'!$A658,2),1),[1]Pivot!$A$1:$A$65000,0)</f>
        <v>#VALUE!</v>
      </c>
      <c r="C658" s="194">
        <f>IFERROR(IF(INDEX([1]Pivot!$AD$1:$BE$65000,$B658,C$5)=1,1,IF(INDEX([1]Pivot!$B$1:$AB$65000,$B658,C$5)="",2,0)),0)</f>
        <v>0</v>
      </c>
      <c r="D658" s="194">
        <f>IFERROR(IF(INDEX([1]Pivot!$AD$1:$BE$65000,$B658,D$5)=1,1,IF(INDEX([1]Pivot!$B$1:$AB$65000,$B658,D$5)="",2,0)),0)</f>
        <v>0</v>
      </c>
      <c r="E658" s="194">
        <f>IFERROR(IF(INDEX([1]Pivot!$AD$1:$BE$65000,$B658,E$5)=1,1,IF(INDEX([1]Pivot!$B$1:$AB$65000,$B658,E$5)="",2,0)),0)</f>
        <v>0</v>
      </c>
      <c r="F658" s="194">
        <f>IFERROR(IF(INDEX([1]Pivot!$AD$1:$BE$65000,$B658,F$5)=1,1,IF(INDEX([1]Pivot!$B$1:$AB$65000,$B658,F$5)="",2,0)),0)</f>
        <v>0</v>
      </c>
      <c r="G658" s="194">
        <f>IFERROR(IF(INDEX([1]Pivot!$AD$1:$BE$65000,$B658,G$5)=1,1,IF(INDEX([1]Pivot!$B$1:$AB$65000,$B658,G$5)="",2,0)),0)</f>
        <v>0</v>
      </c>
      <c r="H658" s="194">
        <f>IFERROR(IF(INDEX([1]Pivot!$AD$1:$BE$65000,$B658,H$5)=1,1,IF(INDEX([1]Pivot!$B$1:$AB$65000,$B658,H$5)="",2,0)),0)</f>
        <v>0</v>
      </c>
      <c r="I658" s="194">
        <f>IFERROR(IF(INDEX([1]Pivot!$AD$1:$BE$65000,$B658,I$5)=1,1,IF(INDEX([1]Pivot!$B$1:$AB$65000,$B658,I$5)="",2,0)),0)</f>
        <v>0</v>
      </c>
      <c r="J658" s="194">
        <f>IFERROR(IF(INDEX([1]Pivot!$AD$1:$BE$65000,$B658,J$5)=1,1,IF(INDEX([1]Pivot!$B$1:$AB$65000,$B658,J$5)="",2,0)),0)</f>
        <v>0</v>
      </c>
      <c r="K658" s="194">
        <f>IFERROR(IF(INDEX([1]Pivot!$AD$1:$BE$65000,$B658,K$5)=1,1,IF(INDEX([1]Pivot!$B$1:$AB$65000,$B658,K$5)="",2,0)),0)</f>
        <v>0</v>
      </c>
      <c r="L658" s="194">
        <f>IFERROR(IF(INDEX([1]Pivot!$AD$1:$BE$65000,$B658,L$5)=1,1,IF(INDEX([1]Pivot!$B$1:$AB$65000,$B658,L$5)="",2,0)),0)</f>
        <v>0</v>
      </c>
      <c r="M658" s="194">
        <f>IFERROR(IF(INDEX([1]Pivot!$AD$1:$BE$65000,$B658,M$5)=1,1,IF(INDEX([1]Pivot!$B$1:$AB$65000,$B658,M$5)="",2,0)),0)</f>
        <v>0</v>
      </c>
      <c r="N658" s="194">
        <f>IFERROR(IF(INDEX([1]Pivot!$AD$1:$BE$65000,$B658,N$5)=1,1,IF(INDEX([1]Pivot!$B$1:$AB$65000,$B658,N$5)="",2,0)),0)</f>
        <v>0</v>
      </c>
      <c r="O658" s="194">
        <f>IFERROR(IF(INDEX([1]Pivot!$AD$1:$BE$65000,$B658,O$5)=1,1,IF(INDEX([1]Pivot!$B$1:$AB$65000,$B658,O$5)="",2,0)),0)</f>
        <v>0</v>
      </c>
      <c r="P658" s="194">
        <f>IFERROR(IF(INDEX([1]Pivot!$AD$1:$BE$65000,$B658,P$5)=1,1,IF(INDEX([1]Pivot!$B$1:$AB$65000,$B658,P$5)="",2,0)),0)</f>
        <v>0</v>
      </c>
      <c r="Q658" s="194">
        <f>IFERROR(IF(INDEX([1]Pivot!$AD$1:$BE$65000,$B658,Q$5)=1,1,IF(INDEX([1]Pivot!$B$1:$AB$65000,$B658,Q$5)="",2,0)),0)</f>
        <v>0</v>
      </c>
      <c r="R658" s="312"/>
      <c r="S658" s="194">
        <f>IFERROR(IF(INDEX([1]Pivot!$AD$1:$BE$65000,$B658,S$5)=1,1,IF(INDEX([1]Pivot!$B$1:$AB$65000,$B658,S$5)="",2,0)),0)</f>
        <v>0</v>
      </c>
      <c r="T658" s="194">
        <f>IFERROR(IF(INDEX([1]Pivot!$AD$1:$BE$65000,$B658,T$5)=1,1,IF(INDEX([1]Pivot!$B$1:$AB$65000,$B658,T$5)="",2,0)),0)</f>
        <v>0</v>
      </c>
      <c r="U658" s="194">
        <f>IFERROR(IF(INDEX([1]Pivot!$AD$1:$BE$65000,$B658,U$5)=1,1,IF(INDEX([1]Pivot!$B$1:$AB$65000,$B658,U$5)="",2,0)),0)</f>
        <v>0</v>
      </c>
      <c r="V658" s="194">
        <f>IFERROR(IF(INDEX([1]Pivot!$AD$1:$BE$65000,$B658,V$5)=1,1,IF(INDEX([1]Pivot!$B$1:$AB$65000,$B658,V$5)="",2,0)),0)</f>
        <v>0</v>
      </c>
      <c r="W658" s="194">
        <f>IFERROR(IF(INDEX([1]Pivot!$AD$1:$BE$65000,$B658,W$5)=1,1,IF(INDEX([1]Pivot!$B$1:$AB$65000,$B658,W$5)="",2,0)),0)</f>
        <v>0</v>
      </c>
      <c r="X658" s="194">
        <f>IFERROR(IF(INDEX([1]Pivot!$AD$1:$BE$65000,$B658,X$5)=1,1,IF(INDEX([1]Pivot!$B$1:$AB$65000,$B658,X$5)="",2,0)),0)</f>
        <v>0</v>
      </c>
      <c r="Y658" s="194">
        <f>IFERROR(IF(INDEX([1]Pivot!$AD$1:$BE$65000,$B658,Y$5)=1,1,IF(INDEX([1]Pivot!$B$1:$AB$65000,$B658,Y$5)="",2,0)),0)</f>
        <v>0</v>
      </c>
      <c r="Z658" s="194">
        <f>IFERROR(IF(INDEX([1]Pivot!$AD$1:$BE$65000,$B658,Z$5)=1,1,IF(INDEX([1]Pivot!$B$1:$AB$65000,$B658,Z$5)="",2,0)),0)</f>
        <v>0</v>
      </c>
      <c r="AA658" s="194">
        <f>IFERROR(IF(INDEX([1]Pivot!$AD$1:$BE$65000,$B658,AA$5)=1,1,IF(INDEX([1]Pivot!$B$1:$AB$65000,$B658,AA$5)="",2,0)),0)</f>
        <v>0</v>
      </c>
      <c r="AB658" s="194">
        <f>IFERROR(IF(INDEX([1]Pivot!$AD$1:$BE$65000,$B658,AB$5)=1,1,IF(INDEX([1]Pivot!$B$1:$AB$65000,$B658,AB$5)="",2,0)),0)</f>
        <v>0</v>
      </c>
      <c r="AC658" s="194">
        <f>IFERROR(IF(INDEX([1]Pivot!$AD$1:$BE$65000,$B658,AC$5)=1,1,IF(INDEX([1]Pivot!$B$1:$AB$65000,$B658,AC$5)="",2,0)),0)</f>
        <v>0</v>
      </c>
      <c r="AD658" s="313">
        <f>IFERROR(IF(INDEX([1]Pivot!$BF$1:$CG$65000,$B658,AD$5)=1,1,IF(INDEX([1]Pivot!$B$1:$AB$65000,$B658,AD$5)="",2,0)),0)</f>
        <v>0</v>
      </c>
      <c r="AE658" s="313">
        <f>IFERROR(IF(INDEX([1]Pivot!$BF$1:$CG$65000,$B658,AE$5)=1,1,IF(INDEX([1]Pivot!$B$1:$AB$65000,$B658,AE$5)="",2,0)),0)</f>
        <v>0</v>
      </c>
      <c r="AF658" s="313">
        <f>IFERROR(IF(INDEX([1]Pivot!$BF$1:$CG$65000,$B658,AF$5)=1,1,IF(INDEX([1]Pivot!$B$1:$AB$65000,$B658,AF$5)="",2,0)),0)</f>
        <v>0</v>
      </c>
      <c r="AG658" s="313">
        <f>IFERROR(IF(INDEX([1]Pivot!$BF$1:$CG$65000,$B658,AG$5)=1,1,IF(INDEX([1]Pivot!$B$1:$AB$65000,$B658,AG$5)="",2,0)),0)</f>
        <v>0</v>
      </c>
      <c r="AH658" s="313">
        <f>IFERROR(IF(INDEX([1]Pivot!$BF$1:$CG$65000,$B658,AH$5)=1,1,IF(INDEX([1]Pivot!$B$1:$AB$65000,$B658,AH$5)="",2,0)),0)</f>
        <v>0</v>
      </c>
      <c r="AI658" s="313">
        <f>IFERROR(IF(INDEX([1]Pivot!$BF$1:$CG$65000,$B658,AI$5)=1,1,IF(INDEX([1]Pivot!$B$1:$AB$65000,$B658,AI$5)="",2,0)),0)</f>
        <v>0</v>
      </c>
      <c r="AJ658" s="313">
        <f>IFERROR(IF(INDEX([1]Pivot!$BF$1:$CG$65000,$B658,AJ$5)=1,1,IF(INDEX([1]Pivot!$B$1:$AB$65000,$B658,AJ$5)="",2,0)),0)</f>
        <v>0</v>
      </c>
      <c r="AK658" s="313">
        <f>IFERROR(IF(INDEX([1]Pivot!$BF$1:$CG$65000,$B658,AK$5)=1,1,IF(INDEX([1]Pivot!$B$1:$AB$65000,$B658,AK$5)="",2,0)),0)</f>
        <v>0</v>
      </c>
      <c r="AL658" s="313">
        <f>IFERROR(IF(INDEX([1]Pivot!$BF$1:$CG$65000,$B658,AL$5)=1,1,IF(INDEX([1]Pivot!$B$1:$AB$65000,$B658,AL$5)="",2,0)),0)</f>
        <v>0</v>
      </c>
      <c r="AM658" s="313">
        <f>IFERROR(IF(INDEX([1]Pivot!$BF$1:$CG$65000,$B658,AM$5)=1,1,IF(INDEX([1]Pivot!$B$1:$AB$65000,$B658,AM$5)="",2,0)),0)</f>
        <v>0</v>
      </c>
      <c r="AN658" s="313">
        <f>IFERROR(IF(INDEX([1]Pivot!$BF$1:$CG$65000,$B658,AN$5)=1,1,IF(INDEX([1]Pivot!$B$1:$AB$65000,$B658,AN$5)="",2,0)),0)</f>
        <v>0</v>
      </c>
      <c r="AO658" s="313">
        <f>IFERROR(IF(INDEX([1]Pivot!$BF$1:$CG$65000,$B658,AO$5)=1,1,IF(INDEX([1]Pivot!$B$1:$AB$65000,$B658,AO$5)="",2,0)),0)</f>
        <v>0</v>
      </c>
      <c r="AP658" s="313">
        <f>IFERROR(IF(INDEX([1]Pivot!$BF$1:$CG$65000,$B658,AP$5)=1,1,IF(INDEX([1]Pivot!$B$1:$AB$65000,$B658,AP$5)="",2,0)),0)</f>
        <v>0</v>
      </c>
      <c r="AQ658" s="313">
        <f>IFERROR(IF(INDEX([1]Pivot!$BF$1:$CG$65000,$B658,AQ$5)=1,1,IF(INDEX([1]Pivot!$B$1:$AB$65000,$B658,AQ$5)="",2,0)),0)</f>
        <v>0</v>
      </c>
      <c r="AR658" s="313">
        <f>IFERROR(IF(INDEX([1]Pivot!$BF$1:$CG$65000,$B658,AR$5)=1,1,IF(INDEX([1]Pivot!$B$1:$AB$65000,$B658,AR$5)="",2,0)),0)</f>
        <v>0</v>
      </c>
      <c r="AS658" s="312"/>
      <c r="AT658" s="313">
        <f>IFERROR(IF(INDEX([1]Pivot!$BF$1:$CG$65000,$B658,AT$5)=1,1,IF(INDEX([1]Pivot!$B$1:$AB$65000,$B658,AT$5)="",2,0)),0)</f>
        <v>0</v>
      </c>
      <c r="AU658" s="313">
        <f>IFERROR(IF(INDEX([1]Pivot!$BF$1:$CG$65000,$B658,AU$5)=1,1,IF(INDEX([1]Pivot!$B$1:$AB$65000,$B658,AU$5)="",2,0)),0)</f>
        <v>0</v>
      </c>
      <c r="AV658" s="313">
        <f>IFERROR(IF(INDEX([1]Pivot!$BF$1:$CG$65000,$B658,AV$5)=1,1,IF(INDEX([1]Pivot!$B$1:$AB$65000,$B658,AV$5)="",2,0)),0)</f>
        <v>0</v>
      </c>
      <c r="AW658" s="313">
        <f>IFERROR(IF(INDEX([1]Pivot!$BF$1:$CG$65000,$B658,AW$5)=1,1,IF(INDEX([1]Pivot!$B$1:$AB$65000,$B658,AW$5)="",2,0)),0)</f>
        <v>0</v>
      </c>
      <c r="AX658" s="313">
        <f>IFERROR(IF(INDEX([1]Pivot!$BF$1:$CG$65000,$B658,AX$5)=1,1,IF(INDEX([1]Pivot!$B$1:$AB$65000,$B658,AX$5)="",2,0)),0)</f>
        <v>0</v>
      </c>
      <c r="AY658" s="313">
        <f>IFERROR(IF(INDEX([1]Pivot!$BF$1:$CG$65000,$B658,AY$5)=1,1,IF(INDEX([1]Pivot!$B$1:$AB$65000,$B658,AY$5)="",2,0)),0)</f>
        <v>0</v>
      </c>
      <c r="AZ658" s="313">
        <f>IFERROR(IF(INDEX([1]Pivot!$BF$1:$CG$65000,$B658,AZ$5)=1,1,IF(INDEX([1]Pivot!$B$1:$AB$65000,$B658,AZ$5)="",2,0)),0)</f>
        <v>0</v>
      </c>
      <c r="BA658" s="313">
        <f>IFERROR(IF(INDEX([1]Pivot!$BF$1:$CG$65000,$B658,BA$5)=1,1,IF(INDEX([1]Pivot!$B$1:$AB$65000,$B658,BA$5)="",2,0)),0)</f>
        <v>0</v>
      </c>
      <c r="BB658" s="313">
        <f>IFERROR(IF(INDEX([1]Pivot!$BF$1:$CG$65000,$B658,BB$5)=1,1,IF(INDEX([1]Pivot!$B$1:$AB$65000,$B658,BB$5)="",2,0)),0)</f>
        <v>0</v>
      </c>
      <c r="BC658" s="313">
        <f>IFERROR(IF(INDEX([1]Pivot!$BF$1:$CG$65000,$B658,BC$5)=1,1,IF(INDEX([1]Pivot!$B$1:$AB$65000,$B658,BC$5)="",2,0)),0)</f>
        <v>0</v>
      </c>
      <c r="BD658" s="313">
        <f>IFERROR(IF(INDEX([1]Pivot!$BF$1:$CG$65000,$B658,BD$5)=1,1,IF(INDEX([1]Pivot!$B$1:$AB$65000,$B658,BD$5)="",2,0)),0)</f>
        <v>0</v>
      </c>
    </row>
    <row r="659" spans="1:56" x14ac:dyDescent="0.25">
      <c r="A659" s="288">
        <f>'[2]Raw Milk Prices'!A659</f>
        <v>0</v>
      </c>
      <c r="B659" s="296" t="e">
        <f>MATCH(DATE(LEFT('[2]Raw Milk Prices'!$A659,4),RIGHT('[2]Raw Milk Prices'!$A659,2),1),[1]Pivot!$A$1:$A$65000,0)</f>
        <v>#VALUE!</v>
      </c>
      <c r="C659" s="194">
        <f>IFERROR(IF(INDEX([1]Pivot!$AD$1:$BE$65000,$B659,C$5)=1,1,IF(INDEX([1]Pivot!$B$1:$AB$65000,$B659,C$5)="",2,0)),0)</f>
        <v>0</v>
      </c>
      <c r="D659" s="194">
        <f>IFERROR(IF(INDEX([1]Pivot!$AD$1:$BE$65000,$B659,D$5)=1,1,IF(INDEX([1]Pivot!$B$1:$AB$65000,$B659,D$5)="",2,0)),0)</f>
        <v>0</v>
      </c>
      <c r="E659" s="194">
        <f>IFERROR(IF(INDEX([1]Pivot!$AD$1:$BE$65000,$B659,E$5)=1,1,IF(INDEX([1]Pivot!$B$1:$AB$65000,$B659,E$5)="",2,0)),0)</f>
        <v>0</v>
      </c>
      <c r="F659" s="194">
        <f>IFERROR(IF(INDEX([1]Pivot!$AD$1:$BE$65000,$B659,F$5)=1,1,IF(INDEX([1]Pivot!$B$1:$AB$65000,$B659,F$5)="",2,0)),0)</f>
        <v>0</v>
      </c>
      <c r="G659" s="194">
        <f>IFERROR(IF(INDEX([1]Pivot!$AD$1:$BE$65000,$B659,G$5)=1,1,IF(INDEX([1]Pivot!$B$1:$AB$65000,$B659,G$5)="",2,0)),0)</f>
        <v>0</v>
      </c>
      <c r="H659" s="194">
        <f>IFERROR(IF(INDEX([1]Pivot!$AD$1:$BE$65000,$B659,H$5)=1,1,IF(INDEX([1]Pivot!$B$1:$AB$65000,$B659,H$5)="",2,0)),0)</f>
        <v>0</v>
      </c>
      <c r="I659" s="194">
        <f>IFERROR(IF(INDEX([1]Pivot!$AD$1:$BE$65000,$B659,I$5)=1,1,IF(INDEX([1]Pivot!$B$1:$AB$65000,$B659,I$5)="",2,0)),0)</f>
        <v>0</v>
      </c>
      <c r="J659" s="194">
        <f>IFERROR(IF(INDEX([1]Pivot!$AD$1:$BE$65000,$B659,J$5)=1,1,IF(INDEX([1]Pivot!$B$1:$AB$65000,$B659,J$5)="",2,0)),0)</f>
        <v>0</v>
      </c>
      <c r="K659" s="194">
        <f>IFERROR(IF(INDEX([1]Pivot!$AD$1:$BE$65000,$B659,K$5)=1,1,IF(INDEX([1]Pivot!$B$1:$AB$65000,$B659,K$5)="",2,0)),0)</f>
        <v>0</v>
      </c>
      <c r="L659" s="194">
        <f>IFERROR(IF(INDEX([1]Pivot!$AD$1:$BE$65000,$B659,L$5)=1,1,IF(INDEX([1]Pivot!$B$1:$AB$65000,$B659,L$5)="",2,0)),0)</f>
        <v>0</v>
      </c>
      <c r="M659" s="194">
        <f>IFERROR(IF(INDEX([1]Pivot!$AD$1:$BE$65000,$B659,M$5)=1,1,IF(INDEX([1]Pivot!$B$1:$AB$65000,$B659,M$5)="",2,0)),0)</f>
        <v>0</v>
      </c>
      <c r="N659" s="194">
        <f>IFERROR(IF(INDEX([1]Pivot!$AD$1:$BE$65000,$B659,N$5)=1,1,IF(INDEX([1]Pivot!$B$1:$AB$65000,$B659,N$5)="",2,0)),0)</f>
        <v>0</v>
      </c>
      <c r="O659" s="194">
        <f>IFERROR(IF(INDEX([1]Pivot!$AD$1:$BE$65000,$B659,O$5)=1,1,IF(INDEX([1]Pivot!$B$1:$AB$65000,$B659,O$5)="",2,0)),0)</f>
        <v>0</v>
      </c>
      <c r="P659" s="194">
        <f>IFERROR(IF(INDEX([1]Pivot!$AD$1:$BE$65000,$B659,P$5)=1,1,IF(INDEX([1]Pivot!$B$1:$AB$65000,$B659,P$5)="",2,0)),0)</f>
        <v>0</v>
      </c>
      <c r="Q659" s="194">
        <f>IFERROR(IF(INDEX([1]Pivot!$AD$1:$BE$65000,$B659,Q$5)=1,1,IF(INDEX([1]Pivot!$B$1:$AB$65000,$B659,Q$5)="",2,0)),0)</f>
        <v>0</v>
      </c>
      <c r="R659" s="312"/>
      <c r="S659" s="194">
        <f>IFERROR(IF(INDEX([1]Pivot!$AD$1:$BE$65000,$B659,S$5)=1,1,IF(INDEX([1]Pivot!$B$1:$AB$65000,$B659,S$5)="",2,0)),0)</f>
        <v>0</v>
      </c>
      <c r="T659" s="194">
        <f>IFERROR(IF(INDEX([1]Pivot!$AD$1:$BE$65000,$B659,T$5)=1,1,IF(INDEX([1]Pivot!$B$1:$AB$65000,$B659,T$5)="",2,0)),0)</f>
        <v>0</v>
      </c>
      <c r="U659" s="194">
        <f>IFERROR(IF(INDEX([1]Pivot!$AD$1:$BE$65000,$B659,U$5)=1,1,IF(INDEX([1]Pivot!$B$1:$AB$65000,$B659,U$5)="",2,0)),0)</f>
        <v>0</v>
      </c>
      <c r="V659" s="194">
        <f>IFERROR(IF(INDEX([1]Pivot!$AD$1:$BE$65000,$B659,V$5)=1,1,IF(INDEX([1]Pivot!$B$1:$AB$65000,$B659,V$5)="",2,0)),0)</f>
        <v>0</v>
      </c>
      <c r="W659" s="194">
        <f>IFERROR(IF(INDEX([1]Pivot!$AD$1:$BE$65000,$B659,W$5)=1,1,IF(INDEX([1]Pivot!$B$1:$AB$65000,$B659,W$5)="",2,0)),0)</f>
        <v>0</v>
      </c>
      <c r="X659" s="194">
        <f>IFERROR(IF(INDEX([1]Pivot!$AD$1:$BE$65000,$B659,X$5)=1,1,IF(INDEX([1]Pivot!$B$1:$AB$65000,$B659,X$5)="",2,0)),0)</f>
        <v>0</v>
      </c>
      <c r="Y659" s="194">
        <f>IFERROR(IF(INDEX([1]Pivot!$AD$1:$BE$65000,$B659,Y$5)=1,1,IF(INDEX([1]Pivot!$B$1:$AB$65000,$B659,Y$5)="",2,0)),0)</f>
        <v>0</v>
      </c>
      <c r="Z659" s="194">
        <f>IFERROR(IF(INDEX([1]Pivot!$AD$1:$BE$65000,$B659,Z$5)=1,1,IF(INDEX([1]Pivot!$B$1:$AB$65000,$B659,Z$5)="",2,0)),0)</f>
        <v>0</v>
      </c>
      <c r="AA659" s="194">
        <f>IFERROR(IF(INDEX([1]Pivot!$AD$1:$BE$65000,$B659,AA$5)=1,1,IF(INDEX([1]Pivot!$B$1:$AB$65000,$B659,AA$5)="",2,0)),0)</f>
        <v>0</v>
      </c>
      <c r="AB659" s="194">
        <f>IFERROR(IF(INDEX([1]Pivot!$AD$1:$BE$65000,$B659,AB$5)=1,1,IF(INDEX([1]Pivot!$B$1:$AB$65000,$B659,AB$5)="",2,0)),0)</f>
        <v>0</v>
      </c>
      <c r="AC659" s="194">
        <f>IFERROR(IF(INDEX([1]Pivot!$AD$1:$BE$65000,$B659,AC$5)=1,1,IF(INDEX([1]Pivot!$B$1:$AB$65000,$B659,AC$5)="",2,0)),0)</f>
        <v>0</v>
      </c>
      <c r="AD659" s="313">
        <f>IFERROR(IF(INDEX([1]Pivot!$BF$1:$CG$65000,$B659,AD$5)=1,1,IF(INDEX([1]Pivot!$B$1:$AB$65000,$B659,AD$5)="",2,0)),0)</f>
        <v>0</v>
      </c>
      <c r="AE659" s="313">
        <f>IFERROR(IF(INDEX([1]Pivot!$BF$1:$CG$65000,$B659,AE$5)=1,1,IF(INDEX([1]Pivot!$B$1:$AB$65000,$B659,AE$5)="",2,0)),0)</f>
        <v>0</v>
      </c>
      <c r="AF659" s="313">
        <f>IFERROR(IF(INDEX([1]Pivot!$BF$1:$CG$65000,$B659,AF$5)=1,1,IF(INDEX([1]Pivot!$B$1:$AB$65000,$B659,AF$5)="",2,0)),0)</f>
        <v>0</v>
      </c>
      <c r="AG659" s="313">
        <f>IFERROR(IF(INDEX([1]Pivot!$BF$1:$CG$65000,$B659,AG$5)=1,1,IF(INDEX([1]Pivot!$B$1:$AB$65000,$B659,AG$5)="",2,0)),0)</f>
        <v>0</v>
      </c>
      <c r="AH659" s="313">
        <f>IFERROR(IF(INDEX([1]Pivot!$BF$1:$CG$65000,$B659,AH$5)=1,1,IF(INDEX([1]Pivot!$B$1:$AB$65000,$B659,AH$5)="",2,0)),0)</f>
        <v>0</v>
      </c>
      <c r="AI659" s="313">
        <f>IFERROR(IF(INDEX([1]Pivot!$BF$1:$CG$65000,$B659,AI$5)=1,1,IF(INDEX([1]Pivot!$B$1:$AB$65000,$B659,AI$5)="",2,0)),0)</f>
        <v>0</v>
      </c>
      <c r="AJ659" s="313">
        <f>IFERROR(IF(INDEX([1]Pivot!$BF$1:$CG$65000,$B659,AJ$5)=1,1,IF(INDEX([1]Pivot!$B$1:$AB$65000,$B659,AJ$5)="",2,0)),0)</f>
        <v>0</v>
      </c>
      <c r="AK659" s="313">
        <f>IFERROR(IF(INDEX([1]Pivot!$BF$1:$CG$65000,$B659,AK$5)=1,1,IF(INDEX([1]Pivot!$B$1:$AB$65000,$B659,AK$5)="",2,0)),0)</f>
        <v>0</v>
      </c>
      <c r="AL659" s="313">
        <f>IFERROR(IF(INDEX([1]Pivot!$BF$1:$CG$65000,$B659,AL$5)=1,1,IF(INDEX([1]Pivot!$B$1:$AB$65000,$B659,AL$5)="",2,0)),0)</f>
        <v>0</v>
      </c>
      <c r="AM659" s="313">
        <f>IFERROR(IF(INDEX([1]Pivot!$BF$1:$CG$65000,$B659,AM$5)=1,1,IF(INDEX([1]Pivot!$B$1:$AB$65000,$B659,AM$5)="",2,0)),0)</f>
        <v>0</v>
      </c>
      <c r="AN659" s="313">
        <f>IFERROR(IF(INDEX([1]Pivot!$BF$1:$CG$65000,$B659,AN$5)=1,1,IF(INDEX([1]Pivot!$B$1:$AB$65000,$B659,AN$5)="",2,0)),0)</f>
        <v>0</v>
      </c>
      <c r="AO659" s="313">
        <f>IFERROR(IF(INDEX([1]Pivot!$BF$1:$CG$65000,$B659,AO$5)=1,1,IF(INDEX([1]Pivot!$B$1:$AB$65000,$B659,AO$5)="",2,0)),0)</f>
        <v>0</v>
      </c>
      <c r="AP659" s="313">
        <f>IFERROR(IF(INDEX([1]Pivot!$BF$1:$CG$65000,$B659,AP$5)=1,1,IF(INDEX([1]Pivot!$B$1:$AB$65000,$B659,AP$5)="",2,0)),0)</f>
        <v>0</v>
      </c>
      <c r="AQ659" s="313">
        <f>IFERROR(IF(INDEX([1]Pivot!$BF$1:$CG$65000,$B659,AQ$5)=1,1,IF(INDEX([1]Pivot!$B$1:$AB$65000,$B659,AQ$5)="",2,0)),0)</f>
        <v>0</v>
      </c>
      <c r="AR659" s="313">
        <f>IFERROR(IF(INDEX([1]Pivot!$BF$1:$CG$65000,$B659,AR$5)=1,1,IF(INDEX([1]Pivot!$B$1:$AB$65000,$B659,AR$5)="",2,0)),0)</f>
        <v>0</v>
      </c>
      <c r="AS659" s="312"/>
      <c r="AT659" s="313">
        <f>IFERROR(IF(INDEX([1]Pivot!$BF$1:$CG$65000,$B659,AT$5)=1,1,IF(INDEX([1]Pivot!$B$1:$AB$65000,$B659,AT$5)="",2,0)),0)</f>
        <v>0</v>
      </c>
      <c r="AU659" s="313">
        <f>IFERROR(IF(INDEX([1]Pivot!$BF$1:$CG$65000,$B659,AU$5)=1,1,IF(INDEX([1]Pivot!$B$1:$AB$65000,$B659,AU$5)="",2,0)),0)</f>
        <v>0</v>
      </c>
      <c r="AV659" s="313">
        <f>IFERROR(IF(INDEX([1]Pivot!$BF$1:$CG$65000,$B659,AV$5)=1,1,IF(INDEX([1]Pivot!$B$1:$AB$65000,$B659,AV$5)="",2,0)),0)</f>
        <v>0</v>
      </c>
      <c r="AW659" s="313">
        <f>IFERROR(IF(INDEX([1]Pivot!$BF$1:$CG$65000,$B659,AW$5)=1,1,IF(INDEX([1]Pivot!$B$1:$AB$65000,$B659,AW$5)="",2,0)),0)</f>
        <v>0</v>
      </c>
      <c r="AX659" s="313">
        <f>IFERROR(IF(INDEX([1]Pivot!$BF$1:$CG$65000,$B659,AX$5)=1,1,IF(INDEX([1]Pivot!$B$1:$AB$65000,$B659,AX$5)="",2,0)),0)</f>
        <v>0</v>
      </c>
      <c r="AY659" s="313">
        <f>IFERROR(IF(INDEX([1]Pivot!$BF$1:$CG$65000,$B659,AY$5)=1,1,IF(INDEX([1]Pivot!$B$1:$AB$65000,$B659,AY$5)="",2,0)),0)</f>
        <v>0</v>
      </c>
      <c r="AZ659" s="313">
        <f>IFERROR(IF(INDEX([1]Pivot!$BF$1:$CG$65000,$B659,AZ$5)=1,1,IF(INDEX([1]Pivot!$B$1:$AB$65000,$B659,AZ$5)="",2,0)),0)</f>
        <v>0</v>
      </c>
      <c r="BA659" s="313">
        <f>IFERROR(IF(INDEX([1]Pivot!$BF$1:$CG$65000,$B659,BA$5)=1,1,IF(INDEX([1]Pivot!$B$1:$AB$65000,$B659,BA$5)="",2,0)),0)</f>
        <v>0</v>
      </c>
      <c r="BB659" s="313">
        <f>IFERROR(IF(INDEX([1]Pivot!$BF$1:$CG$65000,$B659,BB$5)=1,1,IF(INDEX([1]Pivot!$B$1:$AB$65000,$B659,BB$5)="",2,0)),0)</f>
        <v>0</v>
      </c>
      <c r="BC659" s="313">
        <f>IFERROR(IF(INDEX([1]Pivot!$BF$1:$CG$65000,$B659,BC$5)=1,1,IF(INDEX([1]Pivot!$B$1:$AB$65000,$B659,BC$5)="",2,0)),0)</f>
        <v>0</v>
      </c>
      <c r="BD659" s="313">
        <f>IFERROR(IF(INDEX([1]Pivot!$BF$1:$CG$65000,$B659,BD$5)=1,1,IF(INDEX([1]Pivot!$B$1:$AB$65000,$B659,BD$5)="",2,0)),0)</f>
        <v>0</v>
      </c>
    </row>
    <row r="660" spans="1:56" x14ac:dyDescent="0.25">
      <c r="A660" s="288">
        <f>'[2]Raw Milk Prices'!A660</f>
        <v>0</v>
      </c>
      <c r="B660" s="296" t="e">
        <f>MATCH(DATE(LEFT('[2]Raw Milk Prices'!$A660,4),RIGHT('[2]Raw Milk Prices'!$A660,2),1),[1]Pivot!$A$1:$A$65000,0)</f>
        <v>#VALUE!</v>
      </c>
      <c r="C660" s="194">
        <f>IFERROR(IF(INDEX([1]Pivot!$AD$1:$BE$65000,$B660,C$5)=1,1,IF(INDEX([1]Pivot!$B$1:$AB$65000,$B660,C$5)="",2,0)),0)</f>
        <v>0</v>
      </c>
      <c r="D660" s="194">
        <f>IFERROR(IF(INDEX([1]Pivot!$AD$1:$BE$65000,$B660,D$5)=1,1,IF(INDEX([1]Pivot!$B$1:$AB$65000,$B660,D$5)="",2,0)),0)</f>
        <v>0</v>
      </c>
      <c r="E660" s="194">
        <f>IFERROR(IF(INDEX([1]Pivot!$AD$1:$BE$65000,$B660,E$5)=1,1,IF(INDEX([1]Pivot!$B$1:$AB$65000,$B660,E$5)="",2,0)),0)</f>
        <v>0</v>
      </c>
      <c r="F660" s="194">
        <f>IFERROR(IF(INDEX([1]Pivot!$AD$1:$BE$65000,$B660,F$5)=1,1,IF(INDEX([1]Pivot!$B$1:$AB$65000,$B660,F$5)="",2,0)),0)</f>
        <v>0</v>
      </c>
      <c r="G660" s="194">
        <f>IFERROR(IF(INDEX([1]Pivot!$AD$1:$BE$65000,$B660,G$5)=1,1,IF(INDEX([1]Pivot!$B$1:$AB$65000,$B660,G$5)="",2,0)),0)</f>
        <v>0</v>
      </c>
      <c r="H660" s="194">
        <f>IFERROR(IF(INDEX([1]Pivot!$AD$1:$BE$65000,$B660,H$5)=1,1,IF(INDEX([1]Pivot!$B$1:$AB$65000,$B660,H$5)="",2,0)),0)</f>
        <v>0</v>
      </c>
      <c r="I660" s="194">
        <f>IFERROR(IF(INDEX([1]Pivot!$AD$1:$BE$65000,$B660,I$5)=1,1,IF(INDEX([1]Pivot!$B$1:$AB$65000,$B660,I$5)="",2,0)),0)</f>
        <v>0</v>
      </c>
      <c r="J660" s="194">
        <f>IFERROR(IF(INDEX([1]Pivot!$AD$1:$BE$65000,$B660,J$5)=1,1,IF(INDEX([1]Pivot!$B$1:$AB$65000,$B660,J$5)="",2,0)),0)</f>
        <v>0</v>
      </c>
      <c r="K660" s="194">
        <f>IFERROR(IF(INDEX([1]Pivot!$AD$1:$BE$65000,$B660,K$5)=1,1,IF(INDEX([1]Pivot!$B$1:$AB$65000,$B660,K$5)="",2,0)),0)</f>
        <v>0</v>
      </c>
      <c r="L660" s="194">
        <f>IFERROR(IF(INDEX([1]Pivot!$AD$1:$BE$65000,$B660,L$5)=1,1,IF(INDEX([1]Pivot!$B$1:$AB$65000,$B660,L$5)="",2,0)),0)</f>
        <v>0</v>
      </c>
      <c r="M660" s="194">
        <f>IFERROR(IF(INDEX([1]Pivot!$AD$1:$BE$65000,$B660,M$5)=1,1,IF(INDEX([1]Pivot!$B$1:$AB$65000,$B660,M$5)="",2,0)),0)</f>
        <v>0</v>
      </c>
      <c r="N660" s="194">
        <f>IFERROR(IF(INDEX([1]Pivot!$AD$1:$BE$65000,$B660,N$5)=1,1,IF(INDEX([1]Pivot!$B$1:$AB$65000,$B660,N$5)="",2,0)),0)</f>
        <v>0</v>
      </c>
      <c r="O660" s="194">
        <f>IFERROR(IF(INDEX([1]Pivot!$AD$1:$BE$65000,$B660,O$5)=1,1,IF(INDEX([1]Pivot!$B$1:$AB$65000,$B660,O$5)="",2,0)),0)</f>
        <v>0</v>
      </c>
      <c r="P660" s="194">
        <f>IFERROR(IF(INDEX([1]Pivot!$AD$1:$BE$65000,$B660,P$5)=1,1,IF(INDEX([1]Pivot!$B$1:$AB$65000,$B660,P$5)="",2,0)),0)</f>
        <v>0</v>
      </c>
      <c r="Q660" s="194">
        <f>IFERROR(IF(INDEX([1]Pivot!$AD$1:$BE$65000,$B660,Q$5)=1,1,IF(INDEX([1]Pivot!$B$1:$AB$65000,$B660,Q$5)="",2,0)),0)</f>
        <v>0</v>
      </c>
      <c r="R660" s="312"/>
      <c r="S660" s="194">
        <f>IFERROR(IF(INDEX([1]Pivot!$AD$1:$BE$65000,$B660,S$5)=1,1,IF(INDEX([1]Pivot!$B$1:$AB$65000,$B660,S$5)="",2,0)),0)</f>
        <v>0</v>
      </c>
      <c r="T660" s="194">
        <f>IFERROR(IF(INDEX([1]Pivot!$AD$1:$BE$65000,$B660,T$5)=1,1,IF(INDEX([1]Pivot!$B$1:$AB$65000,$B660,T$5)="",2,0)),0)</f>
        <v>0</v>
      </c>
      <c r="U660" s="194">
        <f>IFERROR(IF(INDEX([1]Pivot!$AD$1:$BE$65000,$B660,U$5)=1,1,IF(INDEX([1]Pivot!$B$1:$AB$65000,$B660,U$5)="",2,0)),0)</f>
        <v>0</v>
      </c>
      <c r="V660" s="194">
        <f>IFERROR(IF(INDEX([1]Pivot!$AD$1:$BE$65000,$B660,V$5)=1,1,IF(INDEX([1]Pivot!$B$1:$AB$65000,$B660,V$5)="",2,0)),0)</f>
        <v>0</v>
      </c>
      <c r="W660" s="194">
        <f>IFERROR(IF(INDEX([1]Pivot!$AD$1:$BE$65000,$B660,W$5)=1,1,IF(INDEX([1]Pivot!$B$1:$AB$65000,$B660,W$5)="",2,0)),0)</f>
        <v>0</v>
      </c>
      <c r="X660" s="194">
        <f>IFERROR(IF(INDEX([1]Pivot!$AD$1:$BE$65000,$B660,X$5)=1,1,IF(INDEX([1]Pivot!$B$1:$AB$65000,$B660,X$5)="",2,0)),0)</f>
        <v>0</v>
      </c>
      <c r="Y660" s="194">
        <f>IFERROR(IF(INDEX([1]Pivot!$AD$1:$BE$65000,$B660,Y$5)=1,1,IF(INDEX([1]Pivot!$B$1:$AB$65000,$B660,Y$5)="",2,0)),0)</f>
        <v>0</v>
      </c>
      <c r="Z660" s="194">
        <f>IFERROR(IF(INDEX([1]Pivot!$AD$1:$BE$65000,$B660,Z$5)=1,1,IF(INDEX([1]Pivot!$B$1:$AB$65000,$B660,Z$5)="",2,0)),0)</f>
        <v>0</v>
      </c>
      <c r="AA660" s="194">
        <f>IFERROR(IF(INDEX([1]Pivot!$AD$1:$BE$65000,$B660,AA$5)=1,1,IF(INDEX([1]Pivot!$B$1:$AB$65000,$B660,AA$5)="",2,0)),0)</f>
        <v>0</v>
      </c>
      <c r="AB660" s="194">
        <f>IFERROR(IF(INDEX([1]Pivot!$AD$1:$BE$65000,$B660,AB$5)=1,1,IF(INDEX([1]Pivot!$B$1:$AB$65000,$B660,AB$5)="",2,0)),0)</f>
        <v>0</v>
      </c>
      <c r="AC660" s="194">
        <f>IFERROR(IF(INDEX([1]Pivot!$AD$1:$BE$65000,$B660,AC$5)=1,1,IF(INDEX([1]Pivot!$B$1:$AB$65000,$B660,AC$5)="",2,0)),0)</f>
        <v>0</v>
      </c>
      <c r="AD660" s="313">
        <f>IFERROR(IF(INDEX([1]Pivot!$BF$1:$CG$65000,$B660,AD$5)=1,1,IF(INDEX([1]Pivot!$B$1:$AB$65000,$B660,AD$5)="",2,0)),0)</f>
        <v>0</v>
      </c>
      <c r="AE660" s="313">
        <f>IFERROR(IF(INDEX([1]Pivot!$BF$1:$CG$65000,$B660,AE$5)=1,1,IF(INDEX([1]Pivot!$B$1:$AB$65000,$B660,AE$5)="",2,0)),0)</f>
        <v>0</v>
      </c>
      <c r="AF660" s="313">
        <f>IFERROR(IF(INDEX([1]Pivot!$BF$1:$CG$65000,$B660,AF$5)=1,1,IF(INDEX([1]Pivot!$B$1:$AB$65000,$B660,AF$5)="",2,0)),0)</f>
        <v>0</v>
      </c>
      <c r="AG660" s="313">
        <f>IFERROR(IF(INDEX([1]Pivot!$BF$1:$CG$65000,$B660,AG$5)=1,1,IF(INDEX([1]Pivot!$B$1:$AB$65000,$B660,AG$5)="",2,0)),0)</f>
        <v>0</v>
      </c>
      <c r="AH660" s="313">
        <f>IFERROR(IF(INDEX([1]Pivot!$BF$1:$CG$65000,$B660,AH$5)=1,1,IF(INDEX([1]Pivot!$B$1:$AB$65000,$B660,AH$5)="",2,0)),0)</f>
        <v>0</v>
      </c>
      <c r="AI660" s="313">
        <f>IFERROR(IF(INDEX([1]Pivot!$BF$1:$CG$65000,$B660,AI$5)=1,1,IF(INDEX([1]Pivot!$B$1:$AB$65000,$B660,AI$5)="",2,0)),0)</f>
        <v>0</v>
      </c>
      <c r="AJ660" s="313">
        <f>IFERROR(IF(INDEX([1]Pivot!$BF$1:$CG$65000,$B660,AJ$5)=1,1,IF(INDEX([1]Pivot!$B$1:$AB$65000,$B660,AJ$5)="",2,0)),0)</f>
        <v>0</v>
      </c>
      <c r="AK660" s="313">
        <f>IFERROR(IF(INDEX([1]Pivot!$BF$1:$CG$65000,$B660,AK$5)=1,1,IF(INDEX([1]Pivot!$B$1:$AB$65000,$B660,AK$5)="",2,0)),0)</f>
        <v>0</v>
      </c>
      <c r="AL660" s="313">
        <f>IFERROR(IF(INDEX([1]Pivot!$BF$1:$CG$65000,$B660,AL$5)=1,1,IF(INDEX([1]Pivot!$B$1:$AB$65000,$B660,AL$5)="",2,0)),0)</f>
        <v>0</v>
      </c>
      <c r="AM660" s="313">
        <f>IFERROR(IF(INDEX([1]Pivot!$BF$1:$CG$65000,$B660,AM$5)=1,1,IF(INDEX([1]Pivot!$B$1:$AB$65000,$B660,AM$5)="",2,0)),0)</f>
        <v>0</v>
      </c>
      <c r="AN660" s="313">
        <f>IFERROR(IF(INDEX([1]Pivot!$BF$1:$CG$65000,$B660,AN$5)=1,1,IF(INDEX([1]Pivot!$B$1:$AB$65000,$B660,AN$5)="",2,0)),0)</f>
        <v>0</v>
      </c>
      <c r="AO660" s="313">
        <f>IFERROR(IF(INDEX([1]Pivot!$BF$1:$CG$65000,$B660,AO$5)=1,1,IF(INDEX([1]Pivot!$B$1:$AB$65000,$B660,AO$5)="",2,0)),0)</f>
        <v>0</v>
      </c>
      <c r="AP660" s="313">
        <f>IFERROR(IF(INDEX([1]Pivot!$BF$1:$CG$65000,$B660,AP$5)=1,1,IF(INDEX([1]Pivot!$B$1:$AB$65000,$B660,AP$5)="",2,0)),0)</f>
        <v>0</v>
      </c>
      <c r="AQ660" s="313">
        <f>IFERROR(IF(INDEX([1]Pivot!$BF$1:$CG$65000,$B660,AQ$5)=1,1,IF(INDEX([1]Pivot!$B$1:$AB$65000,$B660,AQ$5)="",2,0)),0)</f>
        <v>0</v>
      </c>
      <c r="AR660" s="313">
        <f>IFERROR(IF(INDEX([1]Pivot!$BF$1:$CG$65000,$B660,AR$5)=1,1,IF(INDEX([1]Pivot!$B$1:$AB$65000,$B660,AR$5)="",2,0)),0)</f>
        <v>0</v>
      </c>
      <c r="AS660" s="312"/>
      <c r="AT660" s="313">
        <f>IFERROR(IF(INDEX([1]Pivot!$BF$1:$CG$65000,$B660,AT$5)=1,1,IF(INDEX([1]Pivot!$B$1:$AB$65000,$B660,AT$5)="",2,0)),0)</f>
        <v>0</v>
      </c>
      <c r="AU660" s="313">
        <f>IFERROR(IF(INDEX([1]Pivot!$BF$1:$CG$65000,$B660,AU$5)=1,1,IF(INDEX([1]Pivot!$B$1:$AB$65000,$B660,AU$5)="",2,0)),0)</f>
        <v>0</v>
      </c>
      <c r="AV660" s="313">
        <f>IFERROR(IF(INDEX([1]Pivot!$BF$1:$CG$65000,$B660,AV$5)=1,1,IF(INDEX([1]Pivot!$B$1:$AB$65000,$B660,AV$5)="",2,0)),0)</f>
        <v>0</v>
      </c>
      <c r="AW660" s="313">
        <f>IFERROR(IF(INDEX([1]Pivot!$BF$1:$CG$65000,$B660,AW$5)=1,1,IF(INDEX([1]Pivot!$B$1:$AB$65000,$B660,AW$5)="",2,0)),0)</f>
        <v>0</v>
      </c>
      <c r="AX660" s="313">
        <f>IFERROR(IF(INDEX([1]Pivot!$BF$1:$CG$65000,$B660,AX$5)=1,1,IF(INDEX([1]Pivot!$B$1:$AB$65000,$B660,AX$5)="",2,0)),0)</f>
        <v>0</v>
      </c>
      <c r="AY660" s="313">
        <f>IFERROR(IF(INDEX([1]Pivot!$BF$1:$CG$65000,$B660,AY$5)=1,1,IF(INDEX([1]Pivot!$B$1:$AB$65000,$B660,AY$5)="",2,0)),0)</f>
        <v>0</v>
      </c>
      <c r="AZ660" s="313">
        <f>IFERROR(IF(INDEX([1]Pivot!$BF$1:$CG$65000,$B660,AZ$5)=1,1,IF(INDEX([1]Pivot!$B$1:$AB$65000,$B660,AZ$5)="",2,0)),0)</f>
        <v>0</v>
      </c>
      <c r="BA660" s="313">
        <f>IFERROR(IF(INDEX([1]Pivot!$BF$1:$CG$65000,$B660,BA$5)=1,1,IF(INDEX([1]Pivot!$B$1:$AB$65000,$B660,BA$5)="",2,0)),0)</f>
        <v>0</v>
      </c>
      <c r="BB660" s="313">
        <f>IFERROR(IF(INDEX([1]Pivot!$BF$1:$CG$65000,$B660,BB$5)=1,1,IF(INDEX([1]Pivot!$B$1:$AB$65000,$B660,BB$5)="",2,0)),0)</f>
        <v>0</v>
      </c>
      <c r="BC660" s="313">
        <f>IFERROR(IF(INDEX([1]Pivot!$BF$1:$CG$65000,$B660,BC$5)=1,1,IF(INDEX([1]Pivot!$B$1:$AB$65000,$B660,BC$5)="",2,0)),0)</f>
        <v>0</v>
      </c>
      <c r="BD660" s="313">
        <f>IFERROR(IF(INDEX([1]Pivot!$BF$1:$CG$65000,$B660,BD$5)=1,1,IF(INDEX([1]Pivot!$B$1:$AB$65000,$B660,BD$5)="",2,0)),0)</f>
        <v>0</v>
      </c>
    </row>
    <row r="661" spans="1:56" x14ac:dyDescent="0.25">
      <c r="A661" s="288">
        <f>'[2]Raw Milk Prices'!A661</f>
        <v>0</v>
      </c>
      <c r="B661" s="296" t="e">
        <f>MATCH(DATE(LEFT('[2]Raw Milk Prices'!$A661,4),RIGHT('[2]Raw Milk Prices'!$A661,2),1),[1]Pivot!$A$1:$A$65000,0)</f>
        <v>#VALUE!</v>
      </c>
      <c r="C661" s="194">
        <f>IFERROR(IF(INDEX([1]Pivot!$AD$1:$BE$65000,$B661,C$5)=1,1,IF(INDEX([1]Pivot!$B$1:$AB$65000,$B661,C$5)="",2,0)),0)</f>
        <v>0</v>
      </c>
      <c r="D661" s="194">
        <f>IFERROR(IF(INDEX([1]Pivot!$AD$1:$BE$65000,$B661,D$5)=1,1,IF(INDEX([1]Pivot!$B$1:$AB$65000,$B661,D$5)="",2,0)),0)</f>
        <v>0</v>
      </c>
      <c r="E661" s="194">
        <f>IFERROR(IF(INDEX([1]Pivot!$AD$1:$BE$65000,$B661,E$5)=1,1,IF(INDEX([1]Pivot!$B$1:$AB$65000,$B661,E$5)="",2,0)),0)</f>
        <v>0</v>
      </c>
      <c r="F661" s="194">
        <f>IFERROR(IF(INDEX([1]Pivot!$AD$1:$BE$65000,$B661,F$5)=1,1,IF(INDEX([1]Pivot!$B$1:$AB$65000,$B661,F$5)="",2,0)),0)</f>
        <v>0</v>
      </c>
      <c r="G661" s="194">
        <f>IFERROR(IF(INDEX([1]Pivot!$AD$1:$BE$65000,$B661,G$5)=1,1,IF(INDEX([1]Pivot!$B$1:$AB$65000,$B661,G$5)="",2,0)),0)</f>
        <v>0</v>
      </c>
      <c r="H661" s="194">
        <f>IFERROR(IF(INDEX([1]Pivot!$AD$1:$BE$65000,$B661,H$5)=1,1,IF(INDEX([1]Pivot!$B$1:$AB$65000,$B661,H$5)="",2,0)),0)</f>
        <v>0</v>
      </c>
      <c r="I661" s="194">
        <f>IFERROR(IF(INDEX([1]Pivot!$AD$1:$BE$65000,$B661,I$5)=1,1,IF(INDEX([1]Pivot!$B$1:$AB$65000,$B661,I$5)="",2,0)),0)</f>
        <v>0</v>
      </c>
      <c r="J661" s="194">
        <f>IFERROR(IF(INDEX([1]Pivot!$AD$1:$BE$65000,$B661,J$5)=1,1,IF(INDEX([1]Pivot!$B$1:$AB$65000,$B661,J$5)="",2,0)),0)</f>
        <v>0</v>
      </c>
      <c r="K661" s="194">
        <f>IFERROR(IF(INDEX([1]Pivot!$AD$1:$BE$65000,$B661,K$5)=1,1,IF(INDEX([1]Pivot!$B$1:$AB$65000,$B661,K$5)="",2,0)),0)</f>
        <v>0</v>
      </c>
      <c r="L661" s="194">
        <f>IFERROR(IF(INDEX([1]Pivot!$AD$1:$BE$65000,$B661,L$5)=1,1,IF(INDEX([1]Pivot!$B$1:$AB$65000,$B661,L$5)="",2,0)),0)</f>
        <v>0</v>
      </c>
      <c r="M661" s="194">
        <f>IFERROR(IF(INDEX([1]Pivot!$AD$1:$BE$65000,$B661,M$5)=1,1,IF(INDEX([1]Pivot!$B$1:$AB$65000,$B661,M$5)="",2,0)),0)</f>
        <v>0</v>
      </c>
      <c r="N661" s="194">
        <f>IFERROR(IF(INDEX([1]Pivot!$AD$1:$BE$65000,$B661,N$5)=1,1,IF(INDEX([1]Pivot!$B$1:$AB$65000,$B661,N$5)="",2,0)),0)</f>
        <v>0</v>
      </c>
      <c r="O661" s="194">
        <f>IFERROR(IF(INDEX([1]Pivot!$AD$1:$BE$65000,$B661,O$5)=1,1,IF(INDEX([1]Pivot!$B$1:$AB$65000,$B661,O$5)="",2,0)),0)</f>
        <v>0</v>
      </c>
      <c r="P661" s="194">
        <f>IFERROR(IF(INDEX([1]Pivot!$AD$1:$BE$65000,$B661,P$5)=1,1,IF(INDEX([1]Pivot!$B$1:$AB$65000,$B661,P$5)="",2,0)),0)</f>
        <v>0</v>
      </c>
      <c r="Q661" s="194">
        <f>IFERROR(IF(INDEX([1]Pivot!$AD$1:$BE$65000,$B661,Q$5)=1,1,IF(INDEX([1]Pivot!$B$1:$AB$65000,$B661,Q$5)="",2,0)),0)</f>
        <v>0</v>
      </c>
      <c r="R661" s="312"/>
      <c r="S661" s="194">
        <f>IFERROR(IF(INDEX([1]Pivot!$AD$1:$BE$65000,$B661,S$5)=1,1,IF(INDEX([1]Pivot!$B$1:$AB$65000,$B661,S$5)="",2,0)),0)</f>
        <v>0</v>
      </c>
      <c r="T661" s="194">
        <f>IFERROR(IF(INDEX([1]Pivot!$AD$1:$BE$65000,$B661,T$5)=1,1,IF(INDEX([1]Pivot!$B$1:$AB$65000,$B661,T$5)="",2,0)),0)</f>
        <v>0</v>
      </c>
      <c r="U661" s="194">
        <f>IFERROR(IF(INDEX([1]Pivot!$AD$1:$BE$65000,$B661,U$5)=1,1,IF(INDEX([1]Pivot!$B$1:$AB$65000,$B661,U$5)="",2,0)),0)</f>
        <v>0</v>
      </c>
      <c r="V661" s="194">
        <f>IFERROR(IF(INDEX([1]Pivot!$AD$1:$BE$65000,$B661,V$5)=1,1,IF(INDEX([1]Pivot!$B$1:$AB$65000,$B661,V$5)="",2,0)),0)</f>
        <v>0</v>
      </c>
      <c r="W661" s="194">
        <f>IFERROR(IF(INDEX([1]Pivot!$AD$1:$BE$65000,$B661,W$5)=1,1,IF(INDEX([1]Pivot!$B$1:$AB$65000,$B661,W$5)="",2,0)),0)</f>
        <v>0</v>
      </c>
      <c r="X661" s="194">
        <f>IFERROR(IF(INDEX([1]Pivot!$AD$1:$BE$65000,$B661,X$5)=1,1,IF(INDEX([1]Pivot!$B$1:$AB$65000,$B661,X$5)="",2,0)),0)</f>
        <v>0</v>
      </c>
      <c r="Y661" s="194">
        <f>IFERROR(IF(INDEX([1]Pivot!$AD$1:$BE$65000,$B661,Y$5)=1,1,IF(INDEX([1]Pivot!$B$1:$AB$65000,$B661,Y$5)="",2,0)),0)</f>
        <v>0</v>
      </c>
      <c r="Z661" s="194">
        <f>IFERROR(IF(INDEX([1]Pivot!$AD$1:$BE$65000,$B661,Z$5)=1,1,IF(INDEX([1]Pivot!$B$1:$AB$65000,$B661,Z$5)="",2,0)),0)</f>
        <v>0</v>
      </c>
      <c r="AA661" s="194">
        <f>IFERROR(IF(INDEX([1]Pivot!$AD$1:$BE$65000,$B661,AA$5)=1,1,IF(INDEX([1]Pivot!$B$1:$AB$65000,$B661,AA$5)="",2,0)),0)</f>
        <v>0</v>
      </c>
      <c r="AB661" s="194">
        <f>IFERROR(IF(INDEX([1]Pivot!$AD$1:$BE$65000,$B661,AB$5)=1,1,IF(INDEX([1]Pivot!$B$1:$AB$65000,$B661,AB$5)="",2,0)),0)</f>
        <v>0</v>
      </c>
      <c r="AC661" s="194">
        <f>IFERROR(IF(INDEX([1]Pivot!$AD$1:$BE$65000,$B661,AC$5)=1,1,IF(INDEX([1]Pivot!$B$1:$AB$65000,$B661,AC$5)="",2,0)),0)</f>
        <v>0</v>
      </c>
      <c r="AD661" s="313">
        <f>IFERROR(IF(INDEX([1]Pivot!$BF$1:$CG$65000,$B661,AD$5)=1,1,IF(INDEX([1]Pivot!$B$1:$AB$65000,$B661,AD$5)="",2,0)),0)</f>
        <v>0</v>
      </c>
      <c r="AE661" s="313">
        <f>IFERROR(IF(INDEX([1]Pivot!$BF$1:$CG$65000,$B661,AE$5)=1,1,IF(INDEX([1]Pivot!$B$1:$AB$65000,$B661,AE$5)="",2,0)),0)</f>
        <v>0</v>
      </c>
      <c r="AF661" s="313">
        <f>IFERROR(IF(INDEX([1]Pivot!$BF$1:$CG$65000,$B661,AF$5)=1,1,IF(INDEX([1]Pivot!$B$1:$AB$65000,$B661,AF$5)="",2,0)),0)</f>
        <v>0</v>
      </c>
      <c r="AG661" s="313">
        <f>IFERROR(IF(INDEX([1]Pivot!$BF$1:$CG$65000,$B661,AG$5)=1,1,IF(INDEX([1]Pivot!$B$1:$AB$65000,$B661,AG$5)="",2,0)),0)</f>
        <v>0</v>
      </c>
      <c r="AH661" s="313">
        <f>IFERROR(IF(INDEX([1]Pivot!$BF$1:$CG$65000,$B661,AH$5)=1,1,IF(INDEX([1]Pivot!$B$1:$AB$65000,$B661,AH$5)="",2,0)),0)</f>
        <v>0</v>
      </c>
      <c r="AI661" s="313">
        <f>IFERROR(IF(INDEX([1]Pivot!$BF$1:$CG$65000,$B661,AI$5)=1,1,IF(INDEX([1]Pivot!$B$1:$AB$65000,$B661,AI$5)="",2,0)),0)</f>
        <v>0</v>
      </c>
      <c r="AJ661" s="313">
        <f>IFERROR(IF(INDEX([1]Pivot!$BF$1:$CG$65000,$B661,AJ$5)=1,1,IF(INDEX([1]Pivot!$B$1:$AB$65000,$B661,AJ$5)="",2,0)),0)</f>
        <v>0</v>
      </c>
      <c r="AK661" s="313">
        <f>IFERROR(IF(INDEX([1]Pivot!$BF$1:$CG$65000,$B661,AK$5)=1,1,IF(INDEX([1]Pivot!$B$1:$AB$65000,$B661,AK$5)="",2,0)),0)</f>
        <v>0</v>
      </c>
      <c r="AL661" s="313">
        <f>IFERROR(IF(INDEX([1]Pivot!$BF$1:$CG$65000,$B661,AL$5)=1,1,IF(INDEX([1]Pivot!$B$1:$AB$65000,$B661,AL$5)="",2,0)),0)</f>
        <v>0</v>
      </c>
      <c r="AM661" s="313">
        <f>IFERROR(IF(INDEX([1]Pivot!$BF$1:$CG$65000,$B661,AM$5)=1,1,IF(INDEX([1]Pivot!$B$1:$AB$65000,$B661,AM$5)="",2,0)),0)</f>
        <v>0</v>
      </c>
      <c r="AN661" s="313">
        <f>IFERROR(IF(INDEX([1]Pivot!$BF$1:$CG$65000,$B661,AN$5)=1,1,IF(INDEX([1]Pivot!$B$1:$AB$65000,$B661,AN$5)="",2,0)),0)</f>
        <v>0</v>
      </c>
      <c r="AO661" s="313">
        <f>IFERROR(IF(INDEX([1]Pivot!$BF$1:$CG$65000,$B661,AO$5)=1,1,IF(INDEX([1]Pivot!$B$1:$AB$65000,$B661,AO$5)="",2,0)),0)</f>
        <v>0</v>
      </c>
      <c r="AP661" s="313">
        <f>IFERROR(IF(INDEX([1]Pivot!$BF$1:$CG$65000,$B661,AP$5)=1,1,IF(INDEX([1]Pivot!$B$1:$AB$65000,$B661,AP$5)="",2,0)),0)</f>
        <v>0</v>
      </c>
      <c r="AQ661" s="313">
        <f>IFERROR(IF(INDEX([1]Pivot!$BF$1:$CG$65000,$B661,AQ$5)=1,1,IF(INDEX([1]Pivot!$B$1:$AB$65000,$B661,AQ$5)="",2,0)),0)</f>
        <v>0</v>
      </c>
      <c r="AR661" s="313">
        <f>IFERROR(IF(INDEX([1]Pivot!$BF$1:$CG$65000,$B661,AR$5)=1,1,IF(INDEX([1]Pivot!$B$1:$AB$65000,$B661,AR$5)="",2,0)),0)</f>
        <v>0</v>
      </c>
      <c r="AS661" s="312"/>
      <c r="AT661" s="313">
        <f>IFERROR(IF(INDEX([1]Pivot!$BF$1:$CG$65000,$B661,AT$5)=1,1,IF(INDEX([1]Pivot!$B$1:$AB$65000,$B661,AT$5)="",2,0)),0)</f>
        <v>0</v>
      </c>
      <c r="AU661" s="313">
        <f>IFERROR(IF(INDEX([1]Pivot!$BF$1:$CG$65000,$B661,AU$5)=1,1,IF(INDEX([1]Pivot!$B$1:$AB$65000,$B661,AU$5)="",2,0)),0)</f>
        <v>0</v>
      </c>
      <c r="AV661" s="313">
        <f>IFERROR(IF(INDEX([1]Pivot!$BF$1:$CG$65000,$B661,AV$5)=1,1,IF(INDEX([1]Pivot!$B$1:$AB$65000,$B661,AV$5)="",2,0)),0)</f>
        <v>0</v>
      </c>
      <c r="AW661" s="313">
        <f>IFERROR(IF(INDEX([1]Pivot!$BF$1:$CG$65000,$B661,AW$5)=1,1,IF(INDEX([1]Pivot!$B$1:$AB$65000,$B661,AW$5)="",2,0)),0)</f>
        <v>0</v>
      </c>
      <c r="AX661" s="313">
        <f>IFERROR(IF(INDEX([1]Pivot!$BF$1:$CG$65000,$B661,AX$5)=1,1,IF(INDEX([1]Pivot!$B$1:$AB$65000,$B661,AX$5)="",2,0)),0)</f>
        <v>0</v>
      </c>
      <c r="AY661" s="313">
        <f>IFERROR(IF(INDEX([1]Pivot!$BF$1:$CG$65000,$B661,AY$5)=1,1,IF(INDEX([1]Pivot!$B$1:$AB$65000,$B661,AY$5)="",2,0)),0)</f>
        <v>0</v>
      </c>
      <c r="AZ661" s="313">
        <f>IFERROR(IF(INDEX([1]Pivot!$BF$1:$CG$65000,$B661,AZ$5)=1,1,IF(INDEX([1]Pivot!$B$1:$AB$65000,$B661,AZ$5)="",2,0)),0)</f>
        <v>0</v>
      </c>
      <c r="BA661" s="313">
        <f>IFERROR(IF(INDEX([1]Pivot!$BF$1:$CG$65000,$B661,BA$5)=1,1,IF(INDEX([1]Pivot!$B$1:$AB$65000,$B661,BA$5)="",2,0)),0)</f>
        <v>0</v>
      </c>
      <c r="BB661" s="313">
        <f>IFERROR(IF(INDEX([1]Pivot!$BF$1:$CG$65000,$B661,BB$5)=1,1,IF(INDEX([1]Pivot!$B$1:$AB$65000,$B661,BB$5)="",2,0)),0)</f>
        <v>0</v>
      </c>
      <c r="BC661" s="313">
        <f>IFERROR(IF(INDEX([1]Pivot!$BF$1:$CG$65000,$B661,BC$5)=1,1,IF(INDEX([1]Pivot!$B$1:$AB$65000,$B661,BC$5)="",2,0)),0)</f>
        <v>0</v>
      </c>
      <c r="BD661" s="313">
        <f>IFERROR(IF(INDEX([1]Pivot!$BF$1:$CG$65000,$B661,BD$5)=1,1,IF(INDEX([1]Pivot!$B$1:$AB$65000,$B661,BD$5)="",2,0)),0)</f>
        <v>0</v>
      </c>
    </row>
    <row r="662" spans="1:56" x14ac:dyDescent="0.25">
      <c r="A662" s="288">
        <f>'[2]Raw Milk Prices'!A662</f>
        <v>0</v>
      </c>
      <c r="B662" s="296" t="e">
        <f>MATCH(DATE(LEFT('[2]Raw Milk Prices'!$A662,4),RIGHT('[2]Raw Milk Prices'!$A662,2),1),[1]Pivot!$A$1:$A$65000,0)</f>
        <v>#VALUE!</v>
      </c>
      <c r="C662" s="194">
        <f>IFERROR(IF(INDEX([1]Pivot!$AD$1:$BE$65000,$B662,C$5)=1,1,IF(INDEX([1]Pivot!$B$1:$AB$65000,$B662,C$5)="",2,0)),0)</f>
        <v>0</v>
      </c>
      <c r="D662" s="194">
        <f>IFERROR(IF(INDEX([1]Pivot!$AD$1:$BE$65000,$B662,D$5)=1,1,IF(INDEX([1]Pivot!$B$1:$AB$65000,$B662,D$5)="",2,0)),0)</f>
        <v>0</v>
      </c>
      <c r="E662" s="194">
        <f>IFERROR(IF(INDEX([1]Pivot!$AD$1:$BE$65000,$B662,E$5)=1,1,IF(INDEX([1]Pivot!$B$1:$AB$65000,$B662,E$5)="",2,0)),0)</f>
        <v>0</v>
      </c>
      <c r="F662" s="194">
        <f>IFERROR(IF(INDEX([1]Pivot!$AD$1:$BE$65000,$B662,F$5)=1,1,IF(INDEX([1]Pivot!$B$1:$AB$65000,$B662,F$5)="",2,0)),0)</f>
        <v>0</v>
      </c>
      <c r="G662" s="194">
        <f>IFERROR(IF(INDEX([1]Pivot!$AD$1:$BE$65000,$B662,G$5)=1,1,IF(INDEX([1]Pivot!$B$1:$AB$65000,$B662,G$5)="",2,0)),0)</f>
        <v>0</v>
      </c>
      <c r="H662" s="194">
        <f>IFERROR(IF(INDEX([1]Pivot!$AD$1:$BE$65000,$B662,H$5)=1,1,IF(INDEX([1]Pivot!$B$1:$AB$65000,$B662,H$5)="",2,0)),0)</f>
        <v>0</v>
      </c>
      <c r="I662" s="194">
        <f>IFERROR(IF(INDEX([1]Pivot!$AD$1:$BE$65000,$B662,I$5)=1,1,IF(INDEX([1]Pivot!$B$1:$AB$65000,$B662,I$5)="",2,0)),0)</f>
        <v>0</v>
      </c>
      <c r="J662" s="194">
        <f>IFERROR(IF(INDEX([1]Pivot!$AD$1:$BE$65000,$B662,J$5)=1,1,IF(INDEX([1]Pivot!$B$1:$AB$65000,$B662,J$5)="",2,0)),0)</f>
        <v>0</v>
      </c>
      <c r="K662" s="194">
        <f>IFERROR(IF(INDEX([1]Pivot!$AD$1:$BE$65000,$B662,K$5)=1,1,IF(INDEX([1]Pivot!$B$1:$AB$65000,$B662,K$5)="",2,0)),0)</f>
        <v>0</v>
      </c>
      <c r="L662" s="194">
        <f>IFERROR(IF(INDEX([1]Pivot!$AD$1:$BE$65000,$B662,L$5)=1,1,IF(INDEX([1]Pivot!$B$1:$AB$65000,$B662,L$5)="",2,0)),0)</f>
        <v>0</v>
      </c>
      <c r="M662" s="194">
        <f>IFERROR(IF(INDEX([1]Pivot!$AD$1:$BE$65000,$B662,M$5)=1,1,IF(INDEX([1]Pivot!$B$1:$AB$65000,$B662,M$5)="",2,0)),0)</f>
        <v>0</v>
      </c>
      <c r="N662" s="194">
        <f>IFERROR(IF(INDEX([1]Pivot!$AD$1:$BE$65000,$B662,N$5)=1,1,IF(INDEX([1]Pivot!$B$1:$AB$65000,$B662,N$5)="",2,0)),0)</f>
        <v>0</v>
      </c>
      <c r="O662" s="194">
        <f>IFERROR(IF(INDEX([1]Pivot!$AD$1:$BE$65000,$B662,O$5)=1,1,IF(INDEX([1]Pivot!$B$1:$AB$65000,$B662,O$5)="",2,0)),0)</f>
        <v>0</v>
      </c>
      <c r="P662" s="194">
        <f>IFERROR(IF(INDEX([1]Pivot!$AD$1:$BE$65000,$B662,P$5)=1,1,IF(INDEX([1]Pivot!$B$1:$AB$65000,$B662,P$5)="",2,0)),0)</f>
        <v>0</v>
      </c>
      <c r="Q662" s="194">
        <f>IFERROR(IF(INDEX([1]Pivot!$AD$1:$BE$65000,$B662,Q$5)=1,1,IF(INDEX([1]Pivot!$B$1:$AB$65000,$B662,Q$5)="",2,0)),0)</f>
        <v>0</v>
      </c>
      <c r="R662" s="312"/>
      <c r="S662" s="194">
        <f>IFERROR(IF(INDEX([1]Pivot!$AD$1:$BE$65000,$B662,S$5)=1,1,IF(INDEX([1]Pivot!$B$1:$AB$65000,$B662,S$5)="",2,0)),0)</f>
        <v>0</v>
      </c>
      <c r="T662" s="194">
        <f>IFERROR(IF(INDEX([1]Pivot!$AD$1:$BE$65000,$B662,T$5)=1,1,IF(INDEX([1]Pivot!$B$1:$AB$65000,$B662,T$5)="",2,0)),0)</f>
        <v>0</v>
      </c>
      <c r="U662" s="194">
        <f>IFERROR(IF(INDEX([1]Pivot!$AD$1:$BE$65000,$B662,U$5)=1,1,IF(INDEX([1]Pivot!$B$1:$AB$65000,$B662,U$5)="",2,0)),0)</f>
        <v>0</v>
      </c>
      <c r="V662" s="194">
        <f>IFERROR(IF(INDEX([1]Pivot!$AD$1:$BE$65000,$B662,V$5)=1,1,IF(INDEX([1]Pivot!$B$1:$AB$65000,$B662,V$5)="",2,0)),0)</f>
        <v>0</v>
      </c>
      <c r="W662" s="194">
        <f>IFERROR(IF(INDEX([1]Pivot!$AD$1:$BE$65000,$B662,W$5)=1,1,IF(INDEX([1]Pivot!$B$1:$AB$65000,$B662,W$5)="",2,0)),0)</f>
        <v>0</v>
      </c>
      <c r="X662" s="194">
        <f>IFERROR(IF(INDEX([1]Pivot!$AD$1:$BE$65000,$B662,X$5)=1,1,IF(INDEX([1]Pivot!$B$1:$AB$65000,$B662,X$5)="",2,0)),0)</f>
        <v>0</v>
      </c>
      <c r="Y662" s="194">
        <f>IFERROR(IF(INDEX([1]Pivot!$AD$1:$BE$65000,$B662,Y$5)=1,1,IF(INDEX([1]Pivot!$B$1:$AB$65000,$B662,Y$5)="",2,0)),0)</f>
        <v>0</v>
      </c>
      <c r="Z662" s="194">
        <f>IFERROR(IF(INDEX([1]Pivot!$AD$1:$BE$65000,$B662,Z$5)=1,1,IF(INDEX([1]Pivot!$B$1:$AB$65000,$B662,Z$5)="",2,0)),0)</f>
        <v>0</v>
      </c>
      <c r="AA662" s="194">
        <f>IFERROR(IF(INDEX([1]Pivot!$AD$1:$BE$65000,$B662,AA$5)=1,1,IF(INDEX([1]Pivot!$B$1:$AB$65000,$B662,AA$5)="",2,0)),0)</f>
        <v>0</v>
      </c>
      <c r="AB662" s="194">
        <f>IFERROR(IF(INDEX([1]Pivot!$AD$1:$BE$65000,$B662,AB$5)=1,1,IF(INDEX([1]Pivot!$B$1:$AB$65000,$B662,AB$5)="",2,0)),0)</f>
        <v>0</v>
      </c>
      <c r="AC662" s="194">
        <f>IFERROR(IF(INDEX([1]Pivot!$AD$1:$BE$65000,$B662,AC$5)=1,1,IF(INDEX([1]Pivot!$B$1:$AB$65000,$B662,AC$5)="",2,0)),0)</f>
        <v>0</v>
      </c>
      <c r="AD662" s="313">
        <f>IFERROR(IF(INDEX([1]Pivot!$BF$1:$CG$65000,$B662,AD$5)=1,1,IF(INDEX([1]Pivot!$B$1:$AB$65000,$B662,AD$5)="",2,0)),0)</f>
        <v>0</v>
      </c>
      <c r="AE662" s="313">
        <f>IFERROR(IF(INDEX([1]Pivot!$BF$1:$CG$65000,$B662,AE$5)=1,1,IF(INDEX([1]Pivot!$B$1:$AB$65000,$B662,AE$5)="",2,0)),0)</f>
        <v>0</v>
      </c>
      <c r="AF662" s="313">
        <f>IFERROR(IF(INDEX([1]Pivot!$BF$1:$CG$65000,$B662,AF$5)=1,1,IF(INDEX([1]Pivot!$B$1:$AB$65000,$B662,AF$5)="",2,0)),0)</f>
        <v>0</v>
      </c>
      <c r="AG662" s="313">
        <f>IFERROR(IF(INDEX([1]Pivot!$BF$1:$CG$65000,$B662,AG$5)=1,1,IF(INDEX([1]Pivot!$B$1:$AB$65000,$B662,AG$5)="",2,0)),0)</f>
        <v>0</v>
      </c>
      <c r="AH662" s="313">
        <f>IFERROR(IF(INDEX([1]Pivot!$BF$1:$CG$65000,$B662,AH$5)=1,1,IF(INDEX([1]Pivot!$B$1:$AB$65000,$B662,AH$5)="",2,0)),0)</f>
        <v>0</v>
      </c>
      <c r="AI662" s="313">
        <f>IFERROR(IF(INDEX([1]Pivot!$BF$1:$CG$65000,$B662,AI$5)=1,1,IF(INDEX([1]Pivot!$B$1:$AB$65000,$B662,AI$5)="",2,0)),0)</f>
        <v>0</v>
      </c>
      <c r="AJ662" s="313">
        <f>IFERROR(IF(INDEX([1]Pivot!$BF$1:$CG$65000,$B662,AJ$5)=1,1,IF(INDEX([1]Pivot!$B$1:$AB$65000,$B662,AJ$5)="",2,0)),0)</f>
        <v>0</v>
      </c>
      <c r="AK662" s="313">
        <f>IFERROR(IF(INDEX([1]Pivot!$BF$1:$CG$65000,$B662,AK$5)=1,1,IF(INDEX([1]Pivot!$B$1:$AB$65000,$B662,AK$5)="",2,0)),0)</f>
        <v>0</v>
      </c>
      <c r="AL662" s="313">
        <f>IFERROR(IF(INDEX([1]Pivot!$BF$1:$CG$65000,$B662,AL$5)=1,1,IF(INDEX([1]Pivot!$B$1:$AB$65000,$B662,AL$5)="",2,0)),0)</f>
        <v>0</v>
      </c>
      <c r="AM662" s="313">
        <f>IFERROR(IF(INDEX([1]Pivot!$BF$1:$CG$65000,$B662,AM$5)=1,1,IF(INDEX([1]Pivot!$B$1:$AB$65000,$B662,AM$5)="",2,0)),0)</f>
        <v>0</v>
      </c>
      <c r="AN662" s="313">
        <f>IFERROR(IF(INDEX([1]Pivot!$BF$1:$CG$65000,$B662,AN$5)=1,1,IF(INDEX([1]Pivot!$B$1:$AB$65000,$B662,AN$5)="",2,0)),0)</f>
        <v>0</v>
      </c>
      <c r="AO662" s="313">
        <f>IFERROR(IF(INDEX([1]Pivot!$BF$1:$CG$65000,$B662,AO$5)=1,1,IF(INDEX([1]Pivot!$B$1:$AB$65000,$B662,AO$5)="",2,0)),0)</f>
        <v>0</v>
      </c>
      <c r="AP662" s="313">
        <f>IFERROR(IF(INDEX([1]Pivot!$BF$1:$CG$65000,$B662,AP$5)=1,1,IF(INDEX([1]Pivot!$B$1:$AB$65000,$B662,AP$5)="",2,0)),0)</f>
        <v>0</v>
      </c>
      <c r="AQ662" s="313">
        <f>IFERROR(IF(INDEX([1]Pivot!$BF$1:$CG$65000,$B662,AQ$5)=1,1,IF(INDEX([1]Pivot!$B$1:$AB$65000,$B662,AQ$5)="",2,0)),0)</f>
        <v>0</v>
      </c>
      <c r="AR662" s="313">
        <f>IFERROR(IF(INDEX([1]Pivot!$BF$1:$CG$65000,$B662,AR$5)=1,1,IF(INDEX([1]Pivot!$B$1:$AB$65000,$B662,AR$5)="",2,0)),0)</f>
        <v>0</v>
      </c>
      <c r="AS662" s="312"/>
      <c r="AT662" s="313">
        <f>IFERROR(IF(INDEX([1]Pivot!$BF$1:$CG$65000,$B662,AT$5)=1,1,IF(INDEX([1]Pivot!$B$1:$AB$65000,$B662,AT$5)="",2,0)),0)</f>
        <v>0</v>
      </c>
      <c r="AU662" s="313">
        <f>IFERROR(IF(INDEX([1]Pivot!$BF$1:$CG$65000,$B662,AU$5)=1,1,IF(INDEX([1]Pivot!$B$1:$AB$65000,$B662,AU$5)="",2,0)),0)</f>
        <v>0</v>
      </c>
      <c r="AV662" s="313">
        <f>IFERROR(IF(INDEX([1]Pivot!$BF$1:$CG$65000,$B662,AV$5)=1,1,IF(INDEX([1]Pivot!$B$1:$AB$65000,$B662,AV$5)="",2,0)),0)</f>
        <v>0</v>
      </c>
      <c r="AW662" s="313">
        <f>IFERROR(IF(INDEX([1]Pivot!$BF$1:$CG$65000,$B662,AW$5)=1,1,IF(INDEX([1]Pivot!$B$1:$AB$65000,$B662,AW$5)="",2,0)),0)</f>
        <v>0</v>
      </c>
      <c r="AX662" s="313">
        <f>IFERROR(IF(INDEX([1]Pivot!$BF$1:$CG$65000,$B662,AX$5)=1,1,IF(INDEX([1]Pivot!$B$1:$AB$65000,$B662,AX$5)="",2,0)),0)</f>
        <v>0</v>
      </c>
      <c r="AY662" s="313">
        <f>IFERROR(IF(INDEX([1]Pivot!$BF$1:$CG$65000,$B662,AY$5)=1,1,IF(INDEX([1]Pivot!$B$1:$AB$65000,$B662,AY$5)="",2,0)),0)</f>
        <v>0</v>
      </c>
      <c r="AZ662" s="313">
        <f>IFERROR(IF(INDEX([1]Pivot!$BF$1:$CG$65000,$B662,AZ$5)=1,1,IF(INDEX([1]Pivot!$B$1:$AB$65000,$B662,AZ$5)="",2,0)),0)</f>
        <v>0</v>
      </c>
      <c r="BA662" s="313">
        <f>IFERROR(IF(INDEX([1]Pivot!$BF$1:$CG$65000,$B662,BA$5)=1,1,IF(INDEX([1]Pivot!$B$1:$AB$65000,$B662,BA$5)="",2,0)),0)</f>
        <v>0</v>
      </c>
      <c r="BB662" s="313">
        <f>IFERROR(IF(INDEX([1]Pivot!$BF$1:$CG$65000,$B662,BB$5)=1,1,IF(INDEX([1]Pivot!$B$1:$AB$65000,$B662,BB$5)="",2,0)),0)</f>
        <v>0</v>
      </c>
      <c r="BC662" s="313">
        <f>IFERROR(IF(INDEX([1]Pivot!$BF$1:$CG$65000,$B662,BC$5)=1,1,IF(INDEX([1]Pivot!$B$1:$AB$65000,$B662,BC$5)="",2,0)),0)</f>
        <v>0</v>
      </c>
      <c r="BD662" s="313">
        <f>IFERROR(IF(INDEX([1]Pivot!$BF$1:$CG$65000,$B662,BD$5)=1,1,IF(INDEX([1]Pivot!$B$1:$AB$65000,$B662,BD$5)="",2,0)),0)</f>
        <v>0</v>
      </c>
    </row>
    <row r="663" spans="1:56" x14ac:dyDescent="0.25">
      <c r="A663" s="288">
        <f>'[2]Raw Milk Prices'!A663</f>
        <v>0</v>
      </c>
      <c r="B663" s="296" t="e">
        <f>MATCH(DATE(LEFT('[2]Raw Milk Prices'!$A663,4),RIGHT('[2]Raw Milk Prices'!$A663,2),1),[1]Pivot!$A$1:$A$65000,0)</f>
        <v>#VALUE!</v>
      </c>
      <c r="C663" s="194">
        <f>IFERROR(IF(INDEX([1]Pivot!$AD$1:$BE$65000,$B663,C$5)=1,1,IF(INDEX([1]Pivot!$B$1:$AB$65000,$B663,C$5)="",2,0)),0)</f>
        <v>0</v>
      </c>
      <c r="D663" s="194">
        <f>IFERROR(IF(INDEX([1]Pivot!$AD$1:$BE$65000,$B663,D$5)=1,1,IF(INDEX([1]Pivot!$B$1:$AB$65000,$B663,D$5)="",2,0)),0)</f>
        <v>0</v>
      </c>
      <c r="E663" s="194">
        <f>IFERROR(IF(INDEX([1]Pivot!$AD$1:$BE$65000,$B663,E$5)=1,1,IF(INDEX([1]Pivot!$B$1:$AB$65000,$B663,E$5)="",2,0)),0)</f>
        <v>0</v>
      </c>
      <c r="F663" s="194">
        <f>IFERROR(IF(INDEX([1]Pivot!$AD$1:$BE$65000,$B663,F$5)=1,1,IF(INDEX([1]Pivot!$B$1:$AB$65000,$B663,F$5)="",2,0)),0)</f>
        <v>0</v>
      </c>
      <c r="G663" s="194">
        <f>IFERROR(IF(INDEX([1]Pivot!$AD$1:$BE$65000,$B663,G$5)=1,1,IF(INDEX([1]Pivot!$B$1:$AB$65000,$B663,G$5)="",2,0)),0)</f>
        <v>0</v>
      </c>
      <c r="H663" s="194">
        <f>IFERROR(IF(INDEX([1]Pivot!$AD$1:$BE$65000,$B663,H$5)=1,1,IF(INDEX([1]Pivot!$B$1:$AB$65000,$B663,H$5)="",2,0)),0)</f>
        <v>0</v>
      </c>
      <c r="I663" s="194">
        <f>IFERROR(IF(INDEX([1]Pivot!$AD$1:$BE$65000,$B663,I$5)=1,1,IF(INDEX([1]Pivot!$B$1:$AB$65000,$B663,I$5)="",2,0)),0)</f>
        <v>0</v>
      </c>
      <c r="J663" s="194">
        <f>IFERROR(IF(INDEX([1]Pivot!$AD$1:$BE$65000,$B663,J$5)=1,1,IF(INDEX([1]Pivot!$B$1:$AB$65000,$B663,J$5)="",2,0)),0)</f>
        <v>0</v>
      </c>
      <c r="K663" s="194">
        <f>IFERROR(IF(INDEX([1]Pivot!$AD$1:$BE$65000,$B663,K$5)=1,1,IF(INDEX([1]Pivot!$B$1:$AB$65000,$B663,K$5)="",2,0)),0)</f>
        <v>0</v>
      </c>
      <c r="L663" s="194">
        <f>IFERROR(IF(INDEX([1]Pivot!$AD$1:$BE$65000,$B663,L$5)=1,1,IF(INDEX([1]Pivot!$B$1:$AB$65000,$B663,L$5)="",2,0)),0)</f>
        <v>0</v>
      </c>
      <c r="M663" s="194">
        <f>IFERROR(IF(INDEX([1]Pivot!$AD$1:$BE$65000,$B663,M$5)=1,1,IF(INDEX([1]Pivot!$B$1:$AB$65000,$B663,M$5)="",2,0)),0)</f>
        <v>0</v>
      </c>
      <c r="N663" s="194">
        <f>IFERROR(IF(INDEX([1]Pivot!$AD$1:$BE$65000,$B663,N$5)=1,1,IF(INDEX([1]Pivot!$B$1:$AB$65000,$B663,N$5)="",2,0)),0)</f>
        <v>0</v>
      </c>
      <c r="O663" s="194">
        <f>IFERROR(IF(INDEX([1]Pivot!$AD$1:$BE$65000,$B663,O$5)=1,1,IF(INDEX([1]Pivot!$B$1:$AB$65000,$B663,O$5)="",2,0)),0)</f>
        <v>0</v>
      </c>
      <c r="P663" s="194">
        <f>IFERROR(IF(INDEX([1]Pivot!$AD$1:$BE$65000,$B663,P$5)=1,1,IF(INDEX([1]Pivot!$B$1:$AB$65000,$B663,P$5)="",2,0)),0)</f>
        <v>0</v>
      </c>
      <c r="Q663" s="194">
        <f>IFERROR(IF(INDEX([1]Pivot!$AD$1:$BE$65000,$B663,Q$5)=1,1,IF(INDEX([1]Pivot!$B$1:$AB$65000,$B663,Q$5)="",2,0)),0)</f>
        <v>0</v>
      </c>
      <c r="R663" s="312"/>
      <c r="S663" s="194">
        <f>IFERROR(IF(INDEX([1]Pivot!$AD$1:$BE$65000,$B663,S$5)=1,1,IF(INDEX([1]Pivot!$B$1:$AB$65000,$B663,S$5)="",2,0)),0)</f>
        <v>0</v>
      </c>
      <c r="T663" s="194">
        <f>IFERROR(IF(INDEX([1]Pivot!$AD$1:$BE$65000,$B663,T$5)=1,1,IF(INDEX([1]Pivot!$B$1:$AB$65000,$B663,T$5)="",2,0)),0)</f>
        <v>0</v>
      </c>
      <c r="U663" s="194">
        <f>IFERROR(IF(INDEX([1]Pivot!$AD$1:$BE$65000,$B663,U$5)=1,1,IF(INDEX([1]Pivot!$B$1:$AB$65000,$B663,U$5)="",2,0)),0)</f>
        <v>0</v>
      </c>
      <c r="V663" s="194">
        <f>IFERROR(IF(INDEX([1]Pivot!$AD$1:$BE$65000,$B663,V$5)=1,1,IF(INDEX([1]Pivot!$B$1:$AB$65000,$B663,V$5)="",2,0)),0)</f>
        <v>0</v>
      </c>
      <c r="W663" s="194">
        <f>IFERROR(IF(INDEX([1]Pivot!$AD$1:$BE$65000,$B663,W$5)=1,1,IF(INDEX([1]Pivot!$B$1:$AB$65000,$B663,W$5)="",2,0)),0)</f>
        <v>0</v>
      </c>
      <c r="X663" s="194">
        <f>IFERROR(IF(INDEX([1]Pivot!$AD$1:$BE$65000,$B663,X$5)=1,1,IF(INDEX([1]Pivot!$B$1:$AB$65000,$B663,X$5)="",2,0)),0)</f>
        <v>0</v>
      </c>
      <c r="Y663" s="194">
        <f>IFERROR(IF(INDEX([1]Pivot!$AD$1:$BE$65000,$B663,Y$5)=1,1,IF(INDEX([1]Pivot!$B$1:$AB$65000,$B663,Y$5)="",2,0)),0)</f>
        <v>0</v>
      </c>
      <c r="Z663" s="194">
        <f>IFERROR(IF(INDEX([1]Pivot!$AD$1:$BE$65000,$B663,Z$5)=1,1,IF(INDEX([1]Pivot!$B$1:$AB$65000,$B663,Z$5)="",2,0)),0)</f>
        <v>0</v>
      </c>
      <c r="AA663" s="194">
        <f>IFERROR(IF(INDEX([1]Pivot!$AD$1:$BE$65000,$B663,AA$5)=1,1,IF(INDEX([1]Pivot!$B$1:$AB$65000,$B663,AA$5)="",2,0)),0)</f>
        <v>0</v>
      </c>
      <c r="AB663" s="194">
        <f>IFERROR(IF(INDEX([1]Pivot!$AD$1:$BE$65000,$B663,AB$5)=1,1,IF(INDEX([1]Pivot!$B$1:$AB$65000,$B663,AB$5)="",2,0)),0)</f>
        <v>0</v>
      </c>
      <c r="AC663" s="194">
        <f>IFERROR(IF(INDEX([1]Pivot!$AD$1:$BE$65000,$B663,AC$5)=1,1,IF(INDEX([1]Pivot!$B$1:$AB$65000,$B663,AC$5)="",2,0)),0)</f>
        <v>0</v>
      </c>
      <c r="AD663" s="313">
        <f>IFERROR(IF(INDEX([1]Pivot!$BF$1:$CG$65000,$B663,AD$5)=1,1,IF(INDEX([1]Pivot!$B$1:$AB$65000,$B663,AD$5)="",2,0)),0)</f>
        <v>0</v>
      </c>
      <c r="AE663" s="313">
        <f>IFERROR(IF(INDEX([1]Pivot!$BF$1:$CG$65000,$B663,AE$5)=1,1,IF(INDEX([1]Pivot!$B$1:$AB$65000,$B663,AE$5)="",2,0)),0)</f>
        <v>0</v>
      </c>
      <c r="AF663" s="313">
        <f>IFERROR(IF(INDEX([1]Pivot!$BF$1:$CG$65000,$B663,AF$5)=1,1,IF(INDEX([1]Pivot!$B$1:$AB$65000,$B663,AF$5)="",2,0)),0)</f>
        <v>0</v>
      </c>
      <c r="AG663" s="313">
        <f>IFERROR(IF(INDEX([1]Pivot!$BF$1:$CG$65000,$B663,AG$5)=1,1,IF(INDEX([1]Pivot!$B$1:$AB$65000,$B663,AG$5)="",2,0)),0)</f>
        <v>0</v>
      </c>
      <c r="AH663" s="313">
        <f>IFERROR(IF(INDEX([1]Pivot!$BF$1:$CG$65000,$B663,AH$5)=1,1,IF(INDEX([1]Pivot!$B$1:$AB$65000,$B663,AH$5)="",2,0)),0)</f>
        <v>0</v>
      </c>
      <c r="AI663" s="313">
        <f>IFERROR(IF(INDEX([1]Pivot!$BF$1:$CG$65000,$B663,AI$5)=1,1,IF(INDEX([1]Pivot!$B$1:$AB$65000,$B663,AI$5)="",2,0)),0)</f>
        <v>0</v>
      </c>
      <c r="AJ663" s="313">
        <f>IFERROR(IF(INDEX([1]Pivot!$BF$1:$CG$65000,$B663,AJ$5)=1,1,IF(INDEX([1]Pivot!$B$1:$AB$65000,$B663,AJ$5)="",2,0)),0)</f>
        <v>0</v>
      </c>
      <c r="AK663" s="313">
        <f>IFERROR(IF(INDEX([1]Pivot!$BF$1:$CG$65000,$B663,AK$5)=1,1,IF(INDEX([1]Pivot!$B$1:$AB$65000,$B663,AK$5)="",2,0)),0)</f>
        <v>0</v>
      </c>
      <c r="AL663" s="313">
        <f>IFERROR(IF(INDEX([1]Pivot!$BF$1:$CG$65000,$B663,AL$5)=1,1,IF(INDEX([1]Pivot!$B$1:$AB$65000,$B663,AL$5)="",2,0)),0)</f>
        <v>0</v>
      </c>
      <c r="AM663" s="313">
        <f>IFERROR(IF(INDEX([1]Pivot!$BF$1:$CG$65000,$B663,AM$5)=1,1,IF(INDEX([1]Pivot!$B$1:$AB$65000,$B663,AM$5)="",2,0)),0)</f>
        <v>0</v>
      </c>
      <c r="AN663" s="313">
        <f>IFERROR(IF(INDEX([1]Pivot!$BF$1:$CG$65000,$B663,AN$5)=1,1,IF(INDEX([1]Pivot!$B$1:$AB$65000,$B663,AN$5)="",2,0)),0)</f>
        <v>0</v>
      </c>
      <c r="AO663" s="313">
        <f>IFERROR(IF(INDEX([1]Pivot!$BF$1:$CG$65000,$B663,AO$5)=1,1,IF(INDEX([1]Pivot!$B$1:$AB$65000,$B663,AO$5)="",2,0)),0)</f>
        <v>0</v>
      </c>
      <c r="AP663" s="313">
        <f>IFERROR(IF(INDEX([1]Pivot!$BF$1:$CG$65000,$B663,AP$5)=1,1,IF(INDEX([1]Pivot!$B$1:$AB$65000,$B663,AP$5)="",2,0)),0)</f>
        <v>0</v>
      </c>
      <c r="AQ663" s="313">
        <f>IFERROR(IF(INDEX([1]Pivot!$BF$1:$CG$65000,$B663,AQ$5)=1,1,IF(INDEX([1]Pivot!$B$1:$AB$65000,$B663,AQ$5)="",2,0)),0)</f>
        <v>0</v>
      </c>
      <c r="AR663" s="313">
        <f>IFERROR(IF(INDEX([1]Pivot!$BF$1:$CG$65000,$B663,AR$5)=1,1,IF(INDEX([1]Pivot!$B$1:$AB$65000,$B663,AR$5)="",2,0)),0)</f>
        <v>0</v>
      </c>
      <c r="AS663" s="312"/>
      <c r="AT663" s="313">
        <f>IFERROR(IF(INDEX([1]Pivot!$BF$1:$CG$65000,$B663,AT$5)=1,1,IF(INDEX([1]Pivot!$B$1:$AB$65000,$B663,AT$5)="",2,0)),0)</f>
        <v>0</v>
      </c>
      <c r="AU663" s="313">
        <f>IFERROR(IF(INDEX([1]Pivot!$BF$1:$CG$65000,$B663,AU$5)=1,1,IF(INDEX([1]Pivot!$B$1:$AB$65000,$B663,AU$5)="",2,0)),0)</f>
        <v>0</v>
      </c>
      <c r="AV663" s="313">
        <f>IFERROR(IF(INDEX([1]Pivot!$BF$1:$CG$65000,$B663,AV$5)=1,1,IF(INDEX([1]Pivot!$B$1:$AB$65000,$B663,AV$5)="",2,0)),0)</f>
        <v>0</v>
      </c>
      <c r="AW663" s="313">
        <f>IFERROR(IF(INDEX([1]Pivot!$BF$1:$CG$65000,$B663,AW$5)=1,1,IF(INDEX([1]Pivot!$B$1:$AB$65000,$B663,AW$5)="",2,0)),0)</f>
        <v>0</v>
      </c>
      <c r="AX663" s="313">
        <f>IFERROR(IF(INDEX([1]Pivot!$BF$1:$CG$65000,$B663,AX$5)=1,1,IF(INDEX([1]Pivot!$B$1:$AB$65000,$B663,AX$5)="",2,0)),0)</f>
        <v>0</v>
      </c>
      <c r="AY663" s="313">
        <f>IFERROR(IF(INDEX([1]Pivot!$BF$1:$CG$65000,$B663,AY$5)=1,1,IF(INDEX([1]Pivot!$B$1:$AB$65000,$B663,AY$5)="",2,0)),0)</f>
        <v>0</v>
      </c>
      <c r="AZ663" s="313">
        <f>IFERROR(IF(INDEX([1]Pivot!$BF$1:$CG$65000,$B663,AZ$5)=1,1,IF(INDEX([1]Pivot!$B$1:$AB$65000,$B663,AZ$5)="",2,0)),0)</f>
        <v>0</v>
      </c>
      <c r="BA663" s="313">
        <f>IFERROR(IF(INDEX([1]Pivot!$BF$1:$CG$65000,$B663,BA$5)=1,1,IF(INDEX([1]Pivot!$B$1:$AB$65000,$B663,BA$5)="",2,0)),0)</f>
        <v>0</v>
      </c>
      <c r="BB663" s="313">
        <f>IFERROR(IF(INDEX([1]Pivot!$BF$1:$CG$65000,$B663,BB$5)=1,1,IF(INDEX([1]Pivot!$B$1:$AB$65000,$B663,BB$5)="",2,0)),0)</f>
        <v>0</v>
      </c>
      <c r="BC663" s="313">
        <f>IFERROR(IF(INDEX([1]Pivot!$BF$1:$CG$65000,$B663,BC$5)=1,1,IF(INDEX([1]Pivot!$B$1:$AB$65000,$B663,BC$5)="",2,0)),0)</f>
        <v>0</v>
      </c>
      <c r="BD663" s="313">
        <f>IFERROR(IF(INDEX([1]Pivot!$BF$1:$CG$65000,$B663,BD$5)=1,1,IF(INDEX([1]Pivot!$B$1:$AB$65000,$B663,BD$5)="",2,0)),0)</f>
        <v>0</v>
      </c>
    </row>
    <row r="664" spans="1:56" x14ac:dyDescent="0.25">
      <c r="A664" s="288">
        <f>'[2]Raw Milk Prices'!A664</f>
        <v>0</v>
      </c>
      <c r="B664" s="296" t="e">
        <f>MATCH(DATE(LEFT('[2]Raw Milk Prices'!$A664,4),RIGHT('[2]Raw Milk Prices'!$A664,2),1),[1]Pivot!$A$1:$A$65000,0)</f>
        <v>#VALUE!</v>
      </c>
      <c r="C664" s="194">
        <f>IFERROR(IF(INDEX([1]Pivot!$AD$1:$BE$65000,$B664,C$5)=1,1,IF(INDEX([1]Pivot!$B$1:$AB$65000,$B664,C$5)="",2,0)),0)</f>
        <v>0</v>
      </c>
      <c r="D664" s="194">
        <f>IFERROR(IF(INDEX([1]Pivot!$AD$1:$BE$65000,$B664,D$5)=1,1,IF(INDEX([1]Pivot!$B$1:$AB$65000,$B664,D$5)="",2,0)),0)</f>
        <v>0</v>
      </c>
      <c r="E664" s="194">
        <f>IFERROR(IF(INDEX([1]Pivot!$AD$1:$BE$65000,$B664,E$5)=1,1,IF(INDEX([1]Pivot!$B$1:$AB$65000,$B664,E$5)="",2,0)),0)</f>
        <v>0</v>
      </c>
      <c r="F664" s="194">
        <f>IFERROR(IF(INDEX([1]Pivot!$AD$1:$BE$65000,$B664,F$5)=1,1,IF(INDEX([1]Pivot!$B$1:$AB$65000,$B664,F$5)="",2,0)),0)</f>
        <v>0</v>
      </c>
      <c r="G664" s="194">
        <f>IFERROR(IF(INDEX([1]Pivot!$AD$1:$BE$65000,$B664,G$5)=1,1,IF(INDEX([1]Pivot!$B$1:$AB$65000,$B664,G$5)="",2,0)),0)</f>
        <v>0</v>
      </c>
      <c r="H664" s="194">
        <f>IFERROR(IF(INDEX([1]Pivot!$AD$1:$BE$65000,$B664,H$5)=1,1,IF(INDEX([1]Pivot!$B$1:$AB$65000,$B664,H$5)="",2,0)),0)</f>
        <v>0</v>
      </c>
      <c r="I664" s="194">
        <f>IFERROR(IF(INDEX([1]Pivot!$AD$1:$BE$65000,$B664,I$5)=1,1,IF(INDEX([1]Pivot!$B$1:$AB$65000,$B664,I$5)="",2,0)),0)</f>
        <v>0</v>
      </c>
      <c r="J664" s="194">
        <f>IFERROR(IF(INDEX([1]Pivot!$AD$1:$BE$65000,$B664,J$5)=1,1,IF(INDEX([1]Pivot!$B$1:$AB$65000,$B664,J$5)="",2,0)),0)</f>
        <v>0</v>
      </c>
      <c r="K664" s="194">
        <f>IFERROR(IF(INDEX([1]Pivot!$AD$1:$BE$65000,$B664,K$5)=1,1,IF(INDEX([1]Pivot!$B$1:$AB$65000,$B664,K$5)="",2,0)),0)</f>
        <v>0</v>
      </c>
      <c r="L664" s="194">
        <f>IFERROR(IF(INDEX([1]Pivot!$AD$1:$BE$65000,$B664,L$5)=1,1,IF(INDEX([1]Pivot!$B$1:$AB$65000,$B664,L$5)="",2,0)),0)</f>
        <v>0</v>
      </c>
      <c r="M664" s="194">
        <f>IFERROR(IF(INDEX([1]Pivot!$AD$1:$BE$65000,$B664,M$5)=1,1,IF(INDEX([1]Pivot!$B$1:$AB$65000,$B664,M$5)="",2,0)),0)</f>
        <v>0</v>
      </c>
      <c r="N664" s="194">
        <f>IFERROR(IF(INDEX([1]Pivot!$AD$1:$BE$65000,$B664,N$5)=1,1,IF(INDEX([1]Pivot!$B$1:$AB$65000,$B664,N$5)="",2,0)),0)</f>
        <v>0</v>
      </c>
      <c r="O664" s="194">
        <f>IFERROR(IF(INDEX([1]Pivot!$AD$1:$BE$65000,$B664,O$5)=1,1,IF(INDEX([1]Pivot!$B$1:$AB$65000,$B664,O$5)="",2,0)),0)</f>
        <v>0</v>
      </c>
      <c r="P664" s="194">
        <f>IFERROR(IF(INDEX([1]Pivot!$AD$1:$BE$65000,$B664,P$5)=1,1,IF(INDEX([1]Pivot!$B$1:$AB$65000,$B664,P$5)="",2,0)),0)</f>
        <v>0</v>
      </c>
      <c r="Q664" s="194">
        <f>IFERROR(IF(INDEX([1]Pivot!$AD$1:$BE$65000,$B664,Q$5)=1,1,IF(INDEX([1]Pivot!$B$1:$AB$65000,$B664,Q$5)="",2,0)),0)</f>
        <v>0</v>
      </c>
      <c r="R664" s="312"/>
      <c r="S664" s="194">
        <f>IFERROR(IF(INDEX([1]Pivot!$AD$1:$BE$65000,$B664,S$5)=1,1,IF(INDEX([1]Pivot!$B$1:$AB$65000,$B664,S$5)="",2,0)),0)</f>
        <v>0</v>
      </c>
      <c r="T664" s="194">
        <f>IFERROR(IF(INDEX([1]Pivot!$AD$1:$BE$65000,$B664,T$5)=1,1,IF(INDEX([1]Pivot!$B$1:$AB$65000,$B664,T$5)="",2,0)),0)</f>
        <v>0</v>
      </c>
      <c r="U664" s="194">
        <f>IFERROR(IF(INDEX([1]Pivot!$AD$1:$BE$65000,$B664,U$5)=1,1,IF(INDEX([1]Pivot!$B$1:$AB$65000,$B664,U$5)="",2,0)),0)</f>
        <v>0</v>
      </c>
      <c r="V664" s="194">
        <f>IFERROR(IF(INDEX([1]Pivot!$AD$1:$BE$65000,$B664,V$5)=1,1,IF(INDEX([1]Pivot!$B$1:$AB$65000,$B664,V$5)="",2,0)),0)</f>
        <v>0</v>
      </c>
      <c r="W664" s="194">
        <f>IFERROR(IF(INDEX([1]Pivot!$AD$1:$BE$65000,$B664,W$5)=1,1,IF(INDEX([1]Pivot!$B$1:$AB$65000,$B664,W$5)="",2,0)),0)</f>
        <v>0</v>
      </c>
      <c r="X664" s="194">
        <f>IFERROR(IF(INDEX([1]Pivot!$AD$1:$BE$65000,$B664,X$5)=1,1,IF(INDEX([1]Pivot!$B$1:$AB$65000,$B664,X$5)="",2,0)),0)</f>
        <v>0</v>
      </c>
      <c r="Y664" s="194">
        <f>IFERROR(IF(INDEX([1]Pivot!$AD$1:$BE$65000,$B664,Y$5)=1,1,IF(INDEX([1]Pivot!$B$1:$AB$65000,$B664,Y$5)="",2,0)),0)</f>
        <v>0</v>
      </c>
      <c r="Z664" s="194">
        <f>IFERROR(IF(INDEX([1]Pivot!$AD$1:$BE$65000,$B664,Z$5)=1,1,IF(INDEX([1]Pivot!$B$1:$AB$65000,$B664,Z$5)="",2,0)),0)</f>
        <v>0</v>
      </c>
      <c r="AA664" s="194">
        <f>IFERROR(IF(INDEX([1]Pivot!$AD$1:$BE$65000,$B664,AA$5)=1,1,IF(INDEX([1]Pivot!$B$1:$AB$65000,$B664,AA$5)="",2,0)),0)</f>
        <v>0</v>
      </c>
      <c r="AB664" s="194">
        <f>IFERROR(IF(INDEX([1]Pivot!$AD$1:$BE$65000,$B664,AB$5)=1,1,IF(INDEX([1]Pivot!$B$1:$AB$65000,$B664,AB$5)="",2,0)),0)</f>
        <v>0</v>
      </c>
      <c r="AC664" s="194">
        <f>IFERROR(IF(INDEX([1]Pivot!$AD$1:$BE$65000,$B664,AC$5)=1,1,IF(INDEX([1]Pivot!$B$1:$AB$65000,$B664,AC$5)="",2,0)),0)</f>
        <v>0</v>
      </c>
      <c r="AD664" s="313">
        <f>IFERROR(IF(INDEX([1]Pivot!$BF$1:$CG$65000,$B664,AD$5)=1,1,IF(INDEX([1]Pivot!$B$1:$AB$65000,$B664,AD$5)="",2,0)),0)</f>
        <v>0</v>
      </c>
      <c r="AE664" s="313">
        <f>IFERROR(IF(INDEX([1]Pivot!$BF$1:$CG$65000,$B664,AE$5)=1,1,IF(INDEX([1]Pivot!$B$1:$AB$65000,$B664,AE$5)="",2,0)),0)</f>
        <v>0</v>
      </c>
      <c r="AF664" s="313">
        <f>IFERROR(IF(INDEX([1]Pivot!$BF$1:$CG$65000,$B664,AF$5)=1,1,IF(INDEX([1]Pivot!$B$1:$AB$65000,$B664,AF$5)="",2,0)),0)</f>
        <v>0</v>
      </c>
      <c r="AG664" s="313">
        <f>IFERROR(IF(INDEX([1]Pivot!$BF$1:$CG$65000,$B664,AG$5)=1,1,IF(INDEX([1]Pivot!$B$1:$AB$65000,$B664,AG$5)="",2,0)),0)</f>
        <v>0</v>
      </c>
      <c r="AH664" s="313">
        <f>IFERROR(IF(INDEX([1]Pivot!$BF$1:$CG$65000,$B664,AH$5)=1,1,IF(INDEX([1]Pivot!$B$1:$AB$65000,$B664,AH$5)="",2,0)),0)</f>
        <v>0</v>
      </c>
      <c r="AI664" s="313">
        <f>IFERROR(IF(INDEX([1]Pivot!$BF$1:$CG$65000,$B664,AI$5)=1,1,IF(INDEX([1]Pivot!$B$1:$AB$65000,$B664,AI$5)="",2,0)),0)</f>
        <v>0</v>
      </c>
      <c r="AJ664" s="313">
        <f>IFERROR(IF(INDEX([1]Pivot!$BF$1:$CG$65000,$B664,AJ$5)=1,1,IF(INDEX([1]Pivot!$B$1:$AB$65000,$B664,AJ$5)="",2,0)),0)</f>
        <v>0</v>
      </c>
      <c r="AK664" s="313">
        <f>IFERROR(IF(INDEX([1]Pivot!$BF$1:$CG$65000,$B664,AK$5)=1,1,IF(INDEX([1]Pivot!$B$1:$AB$65000,$B664,AK$5)="",2,0)),0)</f>
        <v>0</v>
      </c>
      <c r="AL664" s="313">
        <f>IFERROR(IF(INDEX([1]Pivot!$BF$1:$CG$65000,$B664,AL$5)=1,1,IF(INDEX([1]Pivot!$B$1:$AB$65000,$B664,AL$5)="",2,0)),0)</f>
        <v>0</v>
      </c>
      <c r="AM664" s="313">
        <f>IFERROR(IF(INDEX([1]Pivot!$BF$1:$CG$65000,$B664,AM$5)=1,1,IF(INDEX([1]Pivot!$B$1:$AB$65000,$B664,AM$5)="",2,0)),0)</f>
        <v>0</v>
      </c>
      <c r="AN664" s="313">
        <f>IFERROR(IF(INDEX([1]Pivot!$BF$1:$CG$65000,$B664,AN$5)=1,1,IF(INDEX([1]Pivot!$B$1:$AB$65000,$B664,AN$5)="",2,0)),0)</f>
        <v>0</v>
      </c>
      <c r="AO664" s="313">
        <f>IFERROR(IF(INDEX([1]Pivot!$BF$1:$CG$65000,$B664,AO$5)=1,1,IF(INDEX([1]Pivot!$B$1:$AB$65000,$B664,AO$5)="",2,0)),0)</f>
        <v>0</v>
      </c>
      <c r="AP664" s="313">
        <f>IFERROR(IF(INDEX([1]Pivot!$BF$1:$CG$65000,$B664,AP$5)=1,1,IF(INDEX([1]Pivot!$B$1:$AB$65000,$B664,AP$5)="",2,0)),0)</f>
        <v>0</v>
      </c>
      <c r="AQ664" s="313">
        <f>IFERROR(IF(INDEX([1]Pivot!$BF$1:$CG$65000,$B664,AQ$5)=1,1,IF(INDEX([1]Pivot!$B$1:$AB$65000,$B664,AQ$5)="",2,0)),0)</f>
        <v>0</v>
      </c>
      <c r="AR664" s="313">
        <f>IFERROR(IF(INDEX([1]Pivot!$BF$1:$CG$65000,$B664,AR$5)=1,1,IF(INDEX([1]Pivot!$B$1:$AB$65000,$B664,AR$5)="",2,0)),0)</f>
        <v>0</v>
      </c>
      <c r="AS664" s="312"/>
      <c r="AT664" s="313">
        <f>IFERROR(IF(INDEX([1]Pivot!$BF$1:$CG$65000,$B664,AT$5)=1,1,IF(INDEX([1]Pivot!$B$1:$AB$65000,$B664,AT$5)="",2,0)),0)</f>
        <v>0</v>
      </c>
      <c r="AU664" s="313">
        <f>IFERROR(IF(INDEX([1]Pivot!$BF$1:$CG$65000,$B664,AU$5)=1,1,IF(INDEX([1]Pivot!$B$1:$AB$65000,$B664,AU$5)="",2,0)),0)</f>
        <v>0</v>
      </c>
      <c r="AV664" s="313">
        <f>IFERROR(IF(INDEX([1]Pivot!$BF$1:$CG$65000,$B664,AV$5)=1,1,IF(INDEX([1]Pivot!$B$1:$AB$65000,$B664,AV$5)="",2,0)),0)</f>
        <v>0</v>
      </c>
      <c r="AW664" s="313">
        <f>IFERROR(IF(INDEX([1]Pivot!$BF$1:$CG$65000,$B664,AW$5)=1,1,IF(INDEX([1]Pivot!$B$1:$AB$65000,$B664,AW$5)="",2,0)),0)</f>
        <v>0</v>
      </c>
      <c r="AX664" s="313">
        <f>IFERROR(IF(INDEX([1]Pivot!$BF$1:$CG$65000,$B664,AX$5)=1,1,IF(INDEX([1]Pivot!$B$1:$AB$65000,$B664,AX$5)="",2,0)),0)</f>
        <v>0</v>
      </c>
      <c r="AY664" s="313">
        <f>IFERROR(IF(INDEX([1]Pivot!$BF$1:$CG$65000,$B664,AY$5)=1,1,IF(INDEX([1]Pivot!$B$1:$AB$65000,$B664,AY$5)="",2,0)),0)</f>
        <v>0</v>
      </c>
      <c r="AZ664" s="313">
        <f>IFERROR(IF(INDEX([1]Pivot!$BF$1:$CG$65000,$B664,AZ$5)=1,1,IF(INDEX([1]Pivot!$B$1:$AB$65000,$B664,AZ$5)="",2,0)),0)</f>
        <v>0</v>
      </c>
      <c r="BA664" s="313">
        <f>IFERROR(IF(INDEX([1]Pivot!$BF$1:$CG$65000,$B664,BA$5)=1,1,IF(INDEX([1]Pivot!$B$1:$AB$65000,$B664,BA$5)="",2,0)),0)</f>
        <v>0</v>
      </c>
      <c r="BB664" s="313">
        <f>IFERROR(IF(INDEX([1]Pivot!$BF$1:$CG$65000,$B664,BB$5)=1,1,IF(INDEX([1]Pivot!$B$1:$AB$65000,$B664,BB$5)="",2,0)),0)</f>
        <v>0</v>
      </c>
      <c r="BC664" s="313">
        <f>IFERROR(IF(INDEX([1]Pivot!$BF$1:$CG$65000,$B664,BC$5)=1,1,IF(INDEX([1]Pivot!$B$1:$AB$65000,$B664,BC$5)="",2,0)),0)</f>
        <v>0</v>
      </c>
      <c r="BD664" s="313">
        <f>IFERROR(IF(INDEX([1]Pivot!$BF$1:$CG$65000,$B664,BD$5)=1,1,IF(INDEX([1]Pivot!$B$1:$AB$65000,$B664,BD$5)="",2,0)),0)</f>
        <v>0</v>
      </c>
    </row>
    <row r="665" spans="1:56" x14ac:dyDescent="0.25">
      <c r="A665" s="288">
        <f>'[2]Raw Milk Prices'!A665</f>
        <v>0</v>
      </c>
      <c r="B665" s="296" t="e">
        <f>MATCH(DATE(LEFT('[2]Raw Milk Prices'!$A665,4),RIGHT('[2]Raw Milk Prices'!$A665,2),1),[1]Pivot!$A$1:$A$65000,0)</f>
        <v>#VALUE!</v>
      </c>
      <c r="C665" s="194">
        <f>IFERROR(IF(INDEX([1]Pivot!$AD$1:$BE$65000,$B665,C$5)=1,1,IF(INDEX([1]Pivot!$B$1:$AB$65000,$B665,C$5)="",2,0)),0)</f>
        <v>0</v>
      </c>
      <c r="D665" s="194">
        <f>IFERROR(IF(INDEX([1]Pivot!$AD$1:$BE$65000,$B665,D$5)=1,1,IF(INDEX([1]Pivot!$B$1:$AB$65000,$B665,D$5)="",2,0)),0)</f>
        <v>0</v>
      </c>
      <c r="E665" s="194">
        <f>IFERROR(IF(INDEX([1]Pivot!$AD$1:$BE$65000,$B665,E$5)=1,1,IF(INDEX([1]Pivot!$B$1:$AB$65000,$B665,E$5)="",2,0)),0)</f>
        <v>0</v>
      </c>
      <c r="F665" s="194">
        <f>IFERROR(IF(INDEX([1]Pivot!$AD$1:$BE$65000,$B665,F$5)=1,1,IF(INDEX([1]Pivot!$B$1:$AB$65000,$B665,F$5)="",2,0)),0)</f>
        <v>0</v>
      </c>
      <c r="G665" s="194">
        <f>IFERROR(IF(INDEX([1]Pivot!$AD$1:$BE$65000,$B665,G$5)=1,1,IF(INDEX([1]Pivot!$B$1:$AB$65000,$B665,G$5)="",2,0)),0)</f>
        <v>0</v>
      </c>
      <c r="H665" s="194">
        <f>IFERROR(IF(INDEX([1]Pivot!$AD$1:$BE$65000,$B665,H$5)=1,1,IF(INDEX([1]Pivot!$B$1:$AB$65000,$B665,H$5)="",2,0)),0)</f>
        <v>0</v>
      </c>
      <c r="I665" s="194">
        <f>IFERROR(IF(INDEX([1]Pivot!$AD$1:$BE$65000,$B665,I$5)=1,1,IF(INDEX([1]Pivot!$B$1:$AB$65000,$B665,I$5)="",2,0)),0)</f>
        <v>0</v>
      </c>
      <c r="J665" s="194">
        <f>IFERROR(IF(INDEX([1]Pivot!$AD$1:$BE$65000,$B665,J$5)=1,1,IF(INDEX([1]Pivot!$B$1:$AB$65000,$B665,J$5)="",2,0)),0)</f>
        <v>0</v>
      </c>
      <c r="K665" s="194">
        <f>IFERROR(IF(INDEX([1]Pivot!$AD$1:$BE$65000,$B665,K$5)=1,1,IF(INDEX([1]Pivot!$B$1:$AB$65000,$B665,K$5)="",2,0)),0)</f>
        <v>0</v>
      </c>
      <c r="L665" s="194">
        <f>IFERROR(IF(INDEX([1]Pivot!$AD$1:$BE$65000,$B665,L$5)=1,1,IF(INDEX([1]Pivot!$B$1:$AB$65000,$B665,L$5)="",2,0)),0)</f>
        <v>0</v>
      </c>
      <c r="M665" s="194">
        <f>IFERROR(IF(INDEX([1]Pivot!$AD$1:$BE$65000,$B665,M$5)=1,1,IF(INDEX([1]Pivot!$B$1:$AB$65000,$B665,M$5)="",2,0)),0)</f>
        <v>0</v>
      </c>
      <c r="N665" s="194">
        <f>IFERROR(IF(INDEX([1]Pivot!$AD$1:$BE$65000,$B665,N$5)=1,1,IF(INDEX([1]Pivot!$B$1:$AB$65000,$B665,N$5)="",2,0)),0)</f>
        <v>0</v>
      </c>
      <c r="O665" s="194">
        <f>IFERROR(IF(INDEX([1]Pivot!$AD$1:$BE$65000,$B665,O$5)=1,1,IF(INDEX([1]Pivot!$B$1:$AB$65000,$B665,O$5)="",2,0)),0)</f>
        <v>0</v>
      </c>
      <c r="P665" s="194">
        <f>IFERROR(IF(INDEX([1]Pivot!$AD$1:$BE$65000,$B665,P$5)=1,1,IF(INDEX([1]Pivot!$B$1:$AB$65000,$B665,P$5)="",2,0)),0)</f>
        <v>0</v>
      </c>
      <c r="Q665" s="194">
        <f>IFERROR(IF(INDEX([1]Pivot!$AD$1:$BE$65000,$B665,Q$5)=1,1,IF(INDEX([1]Pivot!$B$1:$AB$65000,$B665,Q$5)="",2,0)),0)</f>
        <v>0</v>
      </c>
      <c r="R665" s="312"/>
      <c r="S665" s="194">
        <f>IFERROR(IF(INDEX([1]Pivot!$AD$1:$BE$65000,$B665,S$5)=1,1,IF(INDEX([1]Pivot!$B$1:$AB$65000,$B665,S$5)="",2,0)),0)</f>
        <v>0</v>
      </c>
      <c r="T665" s="194">
        <f>IFERROR(IF(INDEX([1]Pivot!$AD$1:$BE$65000,$B665,T$5)=1,1,IF(INDEX([1]Pivot!$B$1:$AB$65000,$B665,T$5)="",2,0)),0)</f>
        <v>0</v>
      </c>
      <c r="U665" s="194">
        <f>IFERROR(IF(INDEX([1]Pivot!$AD$1:$BE$65000,$B665,U$5)=1,1,IF(INDEX([1]Pivot!$B$1:$AB$65000,$B665,U$5)="",2,0)),0)</f>
        <v>0</v>
      </c>
      <c r="V665" s="194">
        <f>IFERROR(IF(INDEX([1]Pivot!$AD$1:$BE$65000,$B665,V$5)=1,1,IF(INDEX([1]Pivot!$B$1:$AB$65000,$B665,V$5)="",2,0)),0)</f>
        <v>0</v>
      </c>
      <c r="W665" s="194">
        <f>IFERROR(IF(INDEX([1]Pivot!$AD$1:$BE$65000,$B665,W$5)=1,1,IF(INDEX([1]Pivot!$B$1:$AB$65000,$B665,W$5)="",2,0)),0)</f>
        <v>0</v>
      </c>
      <c r="X665" s="194">
        <f>IFERROR(IF(INDEX([1]Pivot!$AD$1:$BE$65000,$B665,X$5)=1,1,IF(INDEX([1]Pivot!$B$1:$AB$65000,$B665,X$5)="",2,0)),0)</f>
        <v>0</v>
      </c>
      <c r="Y665" s="194">
        <f>IFERROR(IF(INDEX([1]Pivot!$AD$1:$BE$65000,$B665,Y$5)=1,1,IF(INDEX([1]Pivot!$B$1:$AB$65000,$B665,Y$5)="",2,0)),0)</f>
        <v>0</v>
      </c>
      <c r="Z665" s="194">
        <f>IFERROR(IF(INDEX([1]Pivot!$AD$1:$BE$65000,$B665,Z$5)=1,1,IF(INDEX([1]Pivot!$B$1:$AB$65000,$B665,Z$5)="",2,0)),0)</f>
        <v>0</v>
      </c>
      <c r="AA665" s="194">
        <f>IFERROR(IF(INDEX([1]Pivot!$AD$1:$BE$65000,$B665,AA$5)=1,1,IF(INDEX([1]Pivot!$B$1:$AB$65000,$B665,AA$5)="",2,0)),0)</f>
        <v>0</v>
      </c>
      <c r="AB665" s="194">
        <f>IFERROR(IF(INDEX([1]Pivot!$AD$1:$BE$65000,$B665,AB$5)=1,1,IF(INDEX([1]Pivot!$B$1:$AB$65000,$B665,AB$5)="",2,0)),0)</f>
        <v>0</v>
      </c>
      <c r="AC665" s="194">
        <f>IFERROR(IF(INDEX([1]Pivot!$AD$1:$BE$65000,$B665,AC$5)=1,1,IF(INDEX([1]Pivot!$B$1:$AB$65000,$B665,AC$5)="",2,0)),0)</f>
        <v>0</v>
      </c>
      <c r="AD665" s="313">
        <f>IFERROR(IF(INDEX([1]Pivot!$BF$1:$CG$65000,$B665,AD$5)=1,1,IF(INDEX([1]Pivot!$B$1:$AB$65000,$B665,AD$5)="",2,0)),0)</f>
        <v>0</v>
      </c>
      <c r="AE665" s="313">
        <f>IFERROR(IF(INDEX([1]Pivot!$BF$1:$CG$65000,$B665,AE$5)=1,1,IF(INDEX([1]Pivot!$B$1:$AB$65000,$B665,AE$5)="",2,0)),0)</f>
        <v>0</v>
      </c>
      <c r="AF665" s="313">
        <f>IFERROR(IF(INDEX([1]Pivot!$BF$1:$CG$65000,$B665,AF$5)=1,1,IF(INDEX([1]Pivot!$B$1:$AB$65000,$B665,AF$5)="",2,0)),0)</f>
        <v>0</v>
      </c>
      <c r="AG665" s="313">
        <f>IFERROR(IF(INDEX([1]Pivot!$BF$1:$CG$65000,$B665,AG$5)=1,1,IF(INDEX([1]Pivot!$B$1:$AB$65000,$B665,AG$5)="",2,0)),0)</f>
        <v>0</v>
      </c>
      <c r="AH665" s="313">
        <f>IFERROR(IF(INDEX([1]Pivot!$BF$1:$CG$65000,$B665,AH$5)=1,1,IF(INDEX([1]Pivot!$B$1:$AB$65000,$B665,AH$5)="",2,0)),0)</f>
        <v>0</v>
      </c>
      <c r="AI665" s="313">
        <f>IFERROR(IF(INDEX([1]Pivot!$BF$1:$CG$65000,$B665,AI$5)=1,1,IF(INDEX([1]Pivot!$B$1:$AB$65000,$B665,AI$5)="",2,0)),0)</f>
        <v>0</v>
      </c>
      <c r="AJ665" s="313">
        <f>IFERROR(IF(INDEX([1]Pivot!$BF$1:$CG$65000,$B665,AJ$5)=1,1,IF(INDEX([1]Pivot!$B$1:$AB$65000,$B665,AJ$5)="",2,0)),0)</f>
        <v>0</v>
      </c>
      <c r="AK665" s="313">
        <f>IFERROR(IF(INDEX([1]Pivot!$BF$1:$CG$65000,$B665,AK$5)=1,1,IF(INDEX([1]Pivot!$B$1:$AB$65000,$B665,AK$5)="",2,0)),0)</f>
        <v>0</v>
      </c>
      <c r="AL665" s="313">
        <f>IFERROR(IF(INDEX([1]Pivot!$BF$1:$CG$65000,$B665,AL$5)=1,1,IF(INDEX([1]Pivot!$B$1:$AB$65000,$B665,AL$5)="",2,0)),0)</f>
        <v>0</v>
      </c>
      <c r="AM665" s="313">
        <f>IFERROR(IF(INDEX([1]Pivot!$BF$1:$CG$65000,$B665,AM$5)=1,1,IF(INDEX([1]Pivot!$B$1:$AB$65000,$B665,AM$5)="",2,0)),0)</f>
        <v>0</v>
      </c>
      <c r="AN665" s="313">
        <f>IFERROR(IF(INDEX([1]Pivot!$BF$1:$CG$65000,$B665,AN$5)=1,1,IF(INDEX([1]Pivot!$B$1:$AB$65000,$B665,AN$5)="",2,0)),0)</f>
        <v>0</v>
      </c>
      <c r="AO665" s="313">
        <f>IFERROR(IF(INDEX([1]Pivot!$BF$1:$CG$65000,$B665,AO$5)=1,1,IF(INDEX([1]Pivot!$B$1:$AB$65000,$B665,AO$5)="",2,0)),0)</f>
        <v>0</v>
      </c>
      <c r="AP665" s="313">
        <f>IFERROR(IF(INDEX([1]Pivot!$BF$1:$CG$65000,$B665,AP$5)=1,1,IF(INDEX([1]Pivot!$B$1:$AB$65000,$B665,AP$5)="",2,0)),0)</f>
        <v>0</v>
      </c>
      <c r="AQ665" s="313">
        <f>IFERROR(IF(INDEX([1]Pivot!$BF$1:$CG$65000,$B665,AQ$5)=1,1,IF(INDEX([1]Pivot!$B$1:$AB$65000,$B665,AQ$5)="",2,0)),0)</f>
        <v>0</v>
      </c>
      <c r="AR665" s="313">
        <f>IFERROR(IF(INDEX([1]Pivot!$BF$1:$CG$65000,$B665,AR$5)=1,1,IF(INDEX([1]Pivot!$B$1:$AB$65000,$B665,AR$5)="",2,0)),0)</f>
        <v>0</v>
      </c>
      <c r="AS665" s="312"/>
      <c r="AT665" s="313">
        <f>IFERROR(IF(INDEX([1]Pivot!$BF$1:$CG$65000,$B665,AT$5)=1,1,IF(INDEX([1]Pivot!$B$1:$AB$65000,$B665,AT$5)="",2,0)),0)</f>
        <v>0</v>
      </c>
      <c r="AU665" s="313">
        <f>IFERROR(IF(INDEX([1]Pivot!$BF$1:$CG$65000,$B665,AU$5)=1,1,IF(INDEX([1]Pivot!$B$1:$AB$65000,$B665,AU$5)="",2,0)),0)</f>
        <v>0</v>
      </c>
      <c r="AV665" s="313">
        <f>IFERROR(IF(INDEX([1]Pivot!$BF$1:$CG$65000,$B665,AV$5)=1,1,IF(INDEX([1]Pivot!$B$1:$AB$65000,$B665,AV$5)="",2,0)),0)</f>
        <v>0</v>
      </c>
      <c r="AW665" s="313">
        <f>IFERROR(IF(INDEX([1]Pivot!$BF$1:$CG$65000,$B665,AW$5)=1,1,IF(INDEX([1]Pivot!$B$1:$AB$65000,$B665,AW$5)="",2,0)),0)</f>
        <v>0</v>
      </c>
      <c r="AX665" s="313">
        <f>IFERROR(IF(INDEX([1]Pivot!$BF$1:$CG$65000,$B665,AX$5)=1,1,IF(INDEX([1]Pivot!$B$1:$AB$65000,$B665,AX$5)="",2,0)),0)</f>
        <v>0</v>
      </c>
      <c r="AY665" s="313">
        <f>IFERROR(IF(INDEX([1]Pivot!$BF$1:$CG$65000,$B665,AY$5)=1,1,IF(INDEX([1]Pivot!$B$1:$AB$65000,$B665,AY$5)="",2,0)),0)</f>
        <v>0</v>
      </c>
      <c r="AZ665" s="313">
        <f>IFERROR(IF(INDEX([1]Pivot!$BF$1:$CG$65000,$B665,AZ$5)=1,1,IF(INDEX([1]Pivot!$B$1:$AB$65000,$B665,AZ$5)="",2,0)),0)</f>
        <v>0</v>
      </c>
      <c r="BA665" s="313">
        <f>IFERROR(IF(INDEX([1]Pivot!$BF$1:$CG$65000,$B665,BA$5)=1,1,IF(INDEX([1]Pivot!$B$1:$AB$65000,$B665,BA$5)="",2,0)),0)</f>
        <v>0</v>
      </c>
      <c r="BB665" s="313">
        <f>IFERROR(IF(INDEX([1]Pivot!$BF$1:$CG$65000,$B665,BB$5)=1,1,IF(INDEX([1]Pivot!$B$1:$AB$65000,$B665,BB$5)="",2,0)),0)</f>
        <v>0</v>
      </c>
      <c r="BC665" s="313">
        <f>IFERROR(IF(INDEX([1]Pivot!$BF$1:$CG$65000,$B665,BC$5)=1,1,IF(INDEX([1]Pivot!$B$1:$AB$65000,$B665,BC$5)="",2,0)),0)</f>
        <v>0</v>
      </c>
      <c r="BD665" s="313">
        <f>IFERROR(IF(INDEX([1]Pivot!$BF$1:$CG$65000,$B665,BD$5)=1,1,IF(INDEX([1]Pivot!$B$1:$AB$65000,$B665,BD$5)="",2,0)),0)</f>
        <v>0</v>
      </c>
    </row>
    <row r="666" spans="1:56" x14ac:dyDescent="0.25">
      <c r="A666" s="288">
        <f>'[2]Raw Milk Prices'!A666</f>
        <v>0</v>
      </c>
      <c r="B666" s="296" t="e">
        <f>MATCH(DATE(LEFT('[2]Raw Milk Prices'!$A666,4),RIGHT('[2]Raw Milk Prices'!$A666,2),1),[1]Pivot!$A$1:$A$65000,0)</f>
        <v>#VALUE!</v>
      </c>
      <c r="C666" s="194">
        <f>IFERROR(IF(INDEX([1]Pivot!$AD$1:$BE$65000,$B666,C$5)=1,1,IF(INDEX([1]Pivot!$B$1:$AB$65000,$B666,C$5)="",2,0)),0)</f>
        <v>0</v>
      </c>
      <c r="D666" s="194">
        <f>IFERROR(IF(INDEX([1]Pivot!$AD$1:$BE$65000,$B666,D$5)=1,1,IF(INDEX([1]Pivot!$B$1:$AB$65000,$B666,D$5)="",2,0)),0)</f>
        <v>0</v>
      </c>
      <c r="E666" s="194">
        <f>IFERROR(IF(INDEX([1]Pivot!$AD$1:$BE$65000,$B666,E$5)=1,1,IF(INDEX([1]Pivot!$B$1:$AB$65000,$B666,E$5)="",2,0)),0)</f>
        <v>0</v>
      </c>
      <c r="F666" s="194">
        <f>IFERROR(IF(INDEX([1]Pivot!$AD$1:$BE$65000,$B666,F$5)=1,1,IF(INDEX([1]Pivot!$B$1:$AB$65000,$B666,F$5)="",2,0)),0)</f>
        <v>0</v>
      </c>
      <c r="G666" s="194">
        <f>IFERROR(IF(INDEX([1]Pivot!$AD$1:$BE$65000,$B666,G$5)=1,1,IF(INDEX([1]Pivot!$B$1:$AB$65000,$B666,G$5)="",2,0)),0)</f>
        <v>0</v>
      </c>
      <c r="H666" s="194">
        <f>IFERROR(IF(INDEX([1]Pivot!$AD$1:$BE$65000,$B666,H$5)=1,1,IF(INDEX([1]Pivot!$B$1:$AB$65000,$B666,H$5)="",2,0)),0)</f>
        <v>0</v>
      </c>
      <c r="I666" s="194">
        <f>IFERROR(IF(INDEX([1]Pivot!$AD$1:$BE$65000,$B666,I$5)=1,1,IF(INDEX([1]Pivot!$B$1:$AB$65000,$B666,I$5)="",2,0)),0)</f>
        <v>0</v>
      </c>
      <c r="J666" s="194">
        <f>IFERROR(IF(INDEX([1]Pivot!$AD$1:$BE$65000,$B666,J$5)=1,1,IF(INDEX([1]Pivot!$B$1:$AB$65000,$B666,J$5)="",2,0)),0)</f>
        <v>0</v>
      </c>
      <c r="K666" s="194">
        <f>IFERROR(IF(INDEX([1]Pivot!$AD$1:$BE$65000,$B666,K$5)=1,1,IF(INDEX([1]Pivot!$B$1:$AB$65000,$B666,K$5)="",2,0)),0)</f>
        <v>0</v>
      </c>
      <c r="L666" s="194">
        <f>IFERROR(IF(INDEX([1]Pivot!$AD$1:$BE$65000,$B666,L$5)=1,1,IF(INDEX([1]Pivot!$B$1:$AB$65000,$B666,L$5)="",2,0)),0)</f>
        <v>0</v>
      </c>
      <c r="M666" s="194">
        <f>IFERROR(IF(INDEX([1]Pivot!$AD$1:$BE$65000,$B666,M$5)=1,1,IF(INDEX([1]Pivot!$B$1:$AB$65000,$B666,M$5)="",2,0)),0)</f>
        <v>0</v>
      </c>
      <c r="N666" s="194">
        <f>IFERROR(IF(INDEX([1]Pivot!$AD$1:$BE$65000,$B666,N$5)=1,1,IF(INDEX([1]Pivot!$B$1:$AB$65000,$B666,N$5)="",2,0)),0)</f>
        <v>0</v>
      </c>
      <c r="O666" s="194">
        <f>IFERROR(IF(INDEX([1]Pivot!$AD$1:$BE$65000,$B666,O$5)=1,1,IF(INDEX([1]Pivot!$B$1:$AB$65000,$B666,O$5)="",2,0)),0)</f>
        <v>0</v>
      </c>
      <c r="P666" s="194">
        <f>IFERROR(IF(INDEX([1]Pivot!$AD$1:$BE$65000,$B666,P$5)=1,1,IF(INDEX([1]Pivot!$B$1:$AB$65000,$B666,P$5)="",2,0)),0)</f>
        <v>0</v>
      </c>
      <c r="Q666" s="194">
        <f>IFERROR(IF(INDEX([1]Pivot!$AD$1:$BE$65000,$B666,Q$5)=1,1,IF(INDEX([1]Pivot!$B$1:$AB$65000,$B666,Q$5)="",2,0)),0)</f>
        <v>0</v>
      </c>
      <c r="R666" s="312"/>
      <c r="S666" s="194">
        <f>IFERROR(IF(INDEX([1]Pivot!$AD$1:$BE$65000,$B666,S$5)=1,1,IF(INDEX([1]Pivot!$B$1:$AB$65000,$B666,S$5)="",2,0)),0)</f>
        <v>0</v>
      </c>
      <c r="T666" s="194">
        <f>IFERROR(IF(INDEX([1]Pivot!$AD$1:$BE$65000,$B666,T$5)=1,1,IF(INDEX([1]Pivot!$B$1:$AB$65000,$B666,T$5)="",2,0)),0)</f>
        <v>0</v>
      </c>
      <c r="U666" s="194">
        <f>IFERROR(IF(INDEX([1]Pivot!$AD$1:$BE$65000,$B666,U$5)=1,1,IF(INDEX([1]Pivot!$B$1:$AB$65000,$B666,U$5)="",2,0)),0)</f>
        <v>0</v>
      </c>
      <c r="V666" s="194">
        <f>IFERROR(IF(INDEX([1]Pivot!$AD$1:$BE$65000,$B666,V$5)=1,1,IF(INDEX([1]Pivot!$B$1:$AB$65000,$B666,V$5)="",2,0)),0)</f>
        <v>0</v>
      </c>
      <c r="W666" s="194">
        <f>IFERROR(IF(INDEX([1]Pivot!$AD$1:$BE$65000,$B666,W$5)=1,1,IF(INDEX([1]Pivot!$B$1:$AB$65000,$B666,W$5)="",2,0)),0)</f>
        <v>0</v>
      </c>
      <c r="X666" s="194">
        <f>IFERROR(IF(INDEX([1]Pivot!$AD$1:$BE$65000,$B666,X$5)=1,1,IF(INDEX([1]Pivot!$B$1:$AB$65000,$B666,X$5)="",2,0)),0)</f>
        <v>0</v>
      </c>
      <c r="Y666" s="194">
        <f>IFERROR(IF(INDEX([1]Pivot!$AD$1:$BE$65000,$B666,Y$5)=1,1,IF(INDEX([1]Pivot!$B$1:$AB$65000,$B666,Y$5)="",2,0)),0)</f>
        <v>0</v>
      </c>
      <c r="Z666" s="194">
        <f>IFERROR(IF(INDEX([1]Pivot!$AD$1:$BE$65000,$B666,Z$5)=1,1,IF(INDEX([1]Pivot!$B$1:$AB$65000,$B666,Z$5)="",2,0)),0)</f>
        <v>0</v>
      </c>
      <c r="AA666" s="194">
        <f>IFERROR(IF(INDEX([1]Pivot!$AD$1:$BE$65000,$B666,AA$5)=1,1,IF(INDEX([1]Pivot!$B$1:$AB$65000,$B666,AA$5)="",2,0)),0)</f>
        <v>0</v>
      </c>
      <c r="AB666" s="194">
        <f>IFERROR(IF(INDEX([1]Pivot!$AD$1:$BE$65000,$B666,AB$5)=1,1,IF(INDEX([1]Pivot!$B$1:$AB$65000,$B666,AB$5)="",2,0)),0)</f>
        <v>0</v>
      </c>
      <c r="AC666" s="194">
        <f>IFERROR(IF(INDEX([1]Pivot!$AD$1:$BE$65000,$B666,AC$5)=1,1,IF(INDEX([1]Pivot!$B$1:$AB$65000,$B666,AC$5)="",2,0)),0)</f>
        <v>0</v>
      </c>
      <c r="AD666" s="313">
        <f>IFERROR(IF(INDEX([1]Pivot!$BF$1:$CG$65000,$B666,AD$5)=1,1,IF(INDEX([1]Pivot!$B$1:$AB$65000,$B666,AD$5)="",2,0)),0)</f>
        <v>0</v>
      </c>
      <c r="AE666" s="313">
        <f>IFERROR(IF(INDEX([1]Pivot!$BF$1:$CG$65000,$B666,AE$5)=1,1,IF(INDEX([1]Pivot!$B$1:$AB$65000,$B666,AE$5)="",2,0)),0)</f>
        <v>0</v>
      </c>
      <c r="AF666" s="313">
        <f>IFERROR(IF(INDEX([1]Pivot!$BF$1:$CG$65000,$B666,AF$5)=1,1,IF(INDEX([1]Pivot!$B$1:$AB$65000,$B666,AF$5)="",2,0)),0)</f>
        <v>0</v>
      </c>
      <c r="AG666" s="313">
        <f>IFERROR(IF(INDEX([1]Pivot!$BF$1:$CG$65000,$B666,AG$5)=1,1,IF(INDEX([1]Pivot!$B$1:$AB$65000,$B666,AG$5)="",2,0)),0)</f>
        <v>0</v>
      </c>
      <c r="AH666" s="313">
        <f>IFERROR(IF(INDEX([1]Pivot!$BF$1:$CG$65000,$B666,AH$5)=1,1,IF(INDEX([1]Pivot!$B$1:$AB$65000,$B666,AH$5)="",2,0)),0)</f>
        <v>0</v>
      </c>
      <c r="AI666" s="313">
        <f>IFERROR(IF(INDEX([1]Pivot!$BF$1:$CG$65000,$B666,AI$5)=1,1,IF(INDEX([1]Pivot!$B$1:$AB$65000,$B666,AI$5)="",2,0)),0)</f>
        <v>0</v>
      </c>
      <c r="AJ666" s="313">
        <f>IFERROR(IF(INDEX([1]Pivot!$BF$1:$CG$65000,$B666,AJ$5)=1,1,IF(INDEX([1]Pivot!$B$1:$AB$65000,$B666,AJ$5)="",2,0)),0)</f>
        <v>0</v>
      </c>
      <c r="AK666" s="313">
        <f>IFERROR(IF(INDEX([1]Pivot!$BF$1:$CG$65000,$B666,AK$5)=1,1,IF(INDEX([1]Pivot!$B$1:$AB$65000,$B666,AK$5)="",2,0)),0)</f>
        <v>0</v>
      </c>
      <c r="AL666" s="313">
        <f>IFERROR(IF(INDEX([1]Pivot!$BF$1:$CG$65000,$B666,AL$5)=1,1,IF(INDEX([1]Pivot!$B$1:$AB$65000,$B666,AL$5)="",2,0)),0)</f>
        <v>0</v>
      </c>
      <c r="AM666" s="313">
        <f>IFERROR(IF(INDEX([1]Pivot!$BF$1:$CG$65000,$B666,AM$5)=1,1,IF(INDEX([1]Pivot!$B$1:$AB$65000,$B666,AM$5)="",2,0)),0)</f>
        <v>0</v>
      </c>
      <c r="AN666" s="313">
        <f>IFERROR(IF(INDEX([1]Pivot!$BF$1:$CG$65000,$B666,AN$5)=1,1,IF(INDEX([1]Pivot!$B$1:$AB$65000,$B666,AN$5)="",2,0)),0)</f>
        <v>0</v>
      </c>
      <c r="AO666" s="313">
        <f>IFERROR(IF(INDEX([1]Pivot!$BF$1:$CG$65000,$B666,AO$5)=1,1,IF(INDEX([1]Pivot!$B$1:$AB$65000,$B666,AO$5)="",2,0)),0)</f>
        <v>0</v>
      </c>
      <c r="AP666" s="313">
        <f>IFERROR(IF(INDEX([1]Pivot!$BF$1:$CG$65000,$B666,AP$5)=1,1,IF(INDEX([1]Pivot!$B$1:$AB$65000,$B666,AP$5)="",2,0)),0)</f>
        <v>0</v>
      </c>
      <c r="AQ666" s="313">
        <f>IFERROR(IF(INDEX([1]Pivot!$BF$1:$CG$65000,$B666,AQ$5)=1,1,IF(INDEX([1]Pivot!$B$1:$AB$65000,$B666,AQ$5)="",2,0)),0)</f>
        <v>0</v>
      </c>
      <c r="AR666" s="313">
        <f>IFERROR(IF(INDEX([1]Pivot!$BF$1:$CG$65000,$B666,AR$5)=1,1,IF(INDEX([1]Pivot!$B$1:$AB$65000,$B666,AR$5)="",2,0)),0)</f>
        <v>0</v>
      </c>
      <c r="AS666" s="312"/>
      <c r="AT666" s="313">
        <f>IFERROR(IF(INDEX([1]Pivot!$BF$1:$CG$65000,$B666,AT$5)=1,1,IF(INDEX([1]Pivot!$B$1:$AB$65000,$B666,AT$5)="",2,0)),0)</f>
        <v>0</v>
      </c>
      <c r="AU666" s="313">
        <f>IFERROR(IF(INDEX([1]Pivot!$BF$1:$CG$65000,$B666,AU$5)=1,1,IF(INDEX([1]Pivot!$B$1:$AB$65000,$B666,AU$5)="",2,0)),0)</f>
        <v>0</v>
      </c>
      <c r="AV666" s="313">
        <f>IFERROR(IF(INDEX([1]Pivot!$BF$1:$CG$65000,$B666,AV$5)=1,1,IF(INDEX([1]Pivot!$B$1:$AB$65000,$B666,AV$5)="",2,0)),0)</f>
        <v>0</v>
      </c>
      <c r="AW666" s="313">
        <f>IFERROR(IF(INDEX([1]Pivot!$BF$1:$CG$65000,$B666,AW$5)=1,1,IF(INDEX([1]Pivot!$B$1:$AB$65000,$B666,AW$5)="",2,0)),0)</f>
        <v>0</v>
      </c>
      <c r="AX666" s="313">
        <f>IFERROR(IF(INDEX([1]Pivot!$BF$1:$CG$65000,$B666,AX$5)=1,1,IF(INDEX([1]Pivot!$B$1:$AB$65000,$B666,AX$5)="",2,0)),0)</f>
        <v>0</v>
      </c>
      <c r="AY666" s="313">
        <f>IFERROR(IF(INDEX([1]Pivot!$BF$1:$CG$65000,$B666,AY$5)=1,1,IF(INDEX([1]Pivot!$B$1:$AB$65000,$B666,AY$5)="",2,0)),0)</f>
        <v>0</v>
      </c>
      <c r="AZ666" s="313">
        <f>IFERROR(IF(INDEX([1]Pivot!$BF$1:$CG$65000,$B666,AZ$5)=1,1,IF(INDEX([1]Pivot!$B$1:$AB$65000,$B666,AZ$5)="",2,0)),0)</f>
        <v>0</v>
      </c>
      <c r="BA666" s="313">
        <f>IFERROR(IF(INDEX([1]Pivot!$BF$1:$CG$65000,$B666,BA$5)=1,1,IF(INDEX([1]Pivot!$B$1:$AB$65000,$B666,BA$5)="",2,0)),0)</f>
        <v>0</v>
      </c>
      <c r="BB666" s="313">
        <f>IFERROR(IF(INDEX([1]Pivot!$BF$1:$CG$65000,$B666,BB$5)=1,1,IF(INDEX([1]Pivot!$B$1:$AB$65000,$B666,BB$5)="",2,0)),0)</f>
        <v>0</v>
      </c>
      <c r="BC666" s="313">
        <f>IFERROR(IF(INDEX([1]Pivot!$BF$1:$CG$65000,$B666,BC$5)=1,1,IF(INDEX([1]Pivot!$B$1:$AB$65000,$B666,BC$5)="",2,0)),0)</f>
        <v>0</v>
      </c>
      <c r="BD666" s="313">
        <f>IFERROR(IF(INDEX([1]Pivot!$BF$1:$CG$65000,$B666,BD$5)=1,1,IF(INDEX([1]Pivot!$B$1:$AB$65000,$B666,BD$5)="",2,0)),0)</f>
        <v>0</v>
      </c>
    </row>
    <row r="667" spans="1:56" x14ac:dyDescent="0.25">
      <c r="A667" s="288">
        <f>'[2]Raw Milk Prices'!A667</f>
        <v>0</v>
      </c>
      <c r="B667" s="296" t="e">
        <f>MATCH(DATE(LEFT('[2]Raw Milk Prices'!$A667,4),RIGHT('[2]Raw Milk Prices'!$A667,2),1),[1]Pivot!$A$1:$A$65000,0)</f>
        <v>#VALUE!</v>
      </c>
      <c r="C667" s="194">
        <f>IFERROR(IF(INDEX([1]Pivot!$AD$1:$BE$65000,$B667,C$5)=1,1,IF(INDEX([1]Pivot!$B$1:$AB$65000,$B667,C$5)="",2,0)),0)</f>
        <v>0</v>
      </c>
      <c r="D667" s="194">
        <f>IFERROR(IF(INDEX([1]Pivot!$AD$1:$BE$65000,$B667,D$5)=1,1,IF(INDEX([1]Pivot!$B$1:$AB$65000,$B667,D$5)="",2,0)),0)</f>
        <v>0</v>
      </c>
      <c r="E667" s="194">
        <f>IFERROR(IF(INDEX([1]Pivot!$AD$1:$BE$65000,$B667,E$5)=1,1,IF(INDEX([1]Pivot!$B$1:$AB$65000,$B667,E$5)="",2,0)),0)</f>
        <v>0</v>
      </c>
      <c r="F667" s="194">
        <f>IFERROR(IF(INDEX([1]Pivot!$AD$1:$BE$65000,$B667,F$5)=1,1,IF(INDEX([1]Pivot!$B$1:$AB$65000,$B667,F$5)="",2,0)),0)</f>
        <v>0</v>
      </c>
      <c r="G667" s="194">
        <f>IFERROR(IF(INDEX([1]Pivot!$AD$1:$BE$65000,$B667,G$5)=1,1,IF(INDEX([1]Pivot!$B$1:$AB$65000,$B667,G$5)="",2,0)),0)</f>
        <v>0</v>
      </c>
      <c r="H667" s="194">
        <f>IFERROR(IF(INDEX([1]Pivot!$AD$1:$BE$65000,$B667,H$5)=1,1,IF(INDEX([1]Pivot!$B$1:$AB$65000,$B667,H$5)="",2,0)),0)</f>
        <v>0</v>
      </c>
      <c r="I667" s="194">
        <f>IFERROR(IF(INDEX([1]Pivot!$AD$1:$BE$65000,$B667,I$5)=1,1,IF(INDEX([1]Pivot!$B$1:$AB$65000,$B667,I$5)="",2,0)),0)</f>
        <v>0</v>
      </c>
      <c r="J667" s="194">
        <f>IFERROR(IF(INDEX([1]Pivot!$AD$1:$BE$65000,$B667,J$5)=1,1,IF(INDEX([1]Pivot!$B$1:$AB$65000,$B667,J$5)="",2,0)),0)</f>
        <v>0</v>
      </c>
      <c r="K667" s="194">
        <f>IFERROR(IF(INDEX([1]Pivot!$AD$1:$BE$65000,$B667,K$5)=1,1,IF(INDEX([1]Pivot!$B$1:$AB$65000,$B667,K$5)="",2,0)),0)</f>
        <v>0</v>
      </c>
      <c r="L667" s="194">
        <f>IFERROR(IF(INDEX([1]Pivot!$AD$1:$BE$65000,$B667,L$5)=1,1,IF(INDEX([1]Pivot!$B$1:$AB$65000,$B667,L$5)="",2,0)),0)</f>
        <v>0</v>
      </c>
      <c r="M667" s="194">
        <f>IFERROR(IF(INDEX([1]Pivot!$AD$1:$BE$65000,$B667,M$5)=1,1,IF(INDEX([1]Pivot!$B$1:$AB$65000,$B667,M$5)="",2,0)),0)</f>
        <v>0</v>
      </c>
      <c r="N667" s="194">
        <f>IFERROR(IF(INDEX([1]Pivot!$AD$1:$BE$65000,$B667,N$5)=1,1,IF(INDEX([1]Pivot!$B$1:$AB$65000,$B667,N$5)="",2,0)),0)</f>
        <v>0</v>
      </c>
      <c r="O667" s="194">
        <f>IFERROR(IF(INDEX([1]Pivot!$AD$1:$BE$65000,$B667,O$5)=1,1,IF(INDEX([1]Pivot!$B$1:$AB$65000,$B667,O$5)="",2,0)),0)</f>
        <v>0</v>
      </c>
      <c r="P667" s="194">
        <f>IFERROR(IF(INDEX([1]Pivot!$AD$1:$BE$65000,$B667,P$5)=1,1,IF(INDEX([1]Pivot!$B$1:$AB$65000,$B667,P$5)="",2,0)),0)</f>
        <v>0</v>
      </c>
      <c r="Q667" s="194">
        <f>IFERROR(IF(INDEX([1]Pivot!$AD$1:$BE$65000,$B667,Q$5)=1,1,IF(INDEX([1]Pivot!$B$1:$AB$65000,$B667,Q$5)="",2,0)),0)</f>
        <v>0</v>
      </c>
      <c r="R667" s="312"/>
      <c r="S667" s="194">
        <f>IFERROR(IF(INDEX([1]Pivot!$AD$1:$BE$65000,$B667,S$5)=1,1,IF(INDEX([1]Pivot!$B$1:$AB$65000,$B667,S$5)="",2,0)),0)</f>
        <v>0</v>
      </c>
      <c r="T667" s="194">
        <f>IFERROR(IF(INDEX([1]Pivot!$AD$1:$BE$65000,$B667,T$5)=1,1,IF(INDEX([1]Pivot!$B$1:$AB$65000,$B667,T$5)="",2,0)),0)</f>
        <v>0</v>
      </c>
      <c r="U667" s="194">
        <f>IFERROR(IF(INDEX([1]Pivot!$AD$1:$BE$65000,$B667,U$5)=1,1,IF(INDEX([1]Pivot!$B$1:$AB$65000,$B667,U$5)="",2,0)),0)</f>
        <v>0</v>
      </c>
      <c r="V667" s="194">
        <f>IFERROR(IF(INDEX([1]Pivot!$AD$1:$BE$65000,$B667,V$5)=1,1,IF(INDEX([1]Pivot!$B$1:$AB$65000,$B667,V$5)="",2,0)),0)</f>
        <v>0</v>
      </c>
      <c r="W667" s="194">
        <f>IFERROR(IF(INDEX([1]Pivot!$AD$1:$BE$65000,$B667,W$5)=1,1,IF(INDEX([1]Pivot!$B$1:$AB$65000,$B667,W$5)="",2,0)),0)</f>
        <v>0</v>
      </c>
      <c r="X667" s="194">
        <f>IFERROR(IF(INDEX([1]Pivot!$AD$1:$BE$65000,$B667,X$5)=1,1,IF(INDEX([1]Pivot!$B$1:$AB$65000,$B667,X$5)="",2,0)),0)</f>
        <v>0</v>
      </c>
      <c r="Y667" s="194">
        <f>IFERROR(IF(INDEX([1]Pivot!$AD$1:$BE$65000,$B667,Y$5)=1,1,IF(INDEX([1]Pivot!$B$1:$AB$65000,$B667,Y$5)="",2,0)),0)</f>
        <v>0</v>
      </c>
      <c r="Z667" s="194">
        <f>IFERROR(IF(INDEX([1]Pivot!$AD$1:$BE$65000,$B667,Z$5)=1,1,IF(INDEX([1]Pivot!$B$1:$AB$65000,$B667,Z$5)="",2,0)),0)</f>
        <v>0</v>
      </c>
      <c r="AA667" s="194">
        <f>IFERROR(IF(INDEX([1]Pivot!$AD$1:$BE$65000,$B667,AA$5)=1,1,IF(INDEX([1]Pivot!$B$1:$AB$65000,$B667,AA$5)="",2,0)),0)</f>
        <v>0</v>
      </c>
      <c r="AB667" s="194">
        <f>IFERROR(IF(INDEX([1]Pivot!$AD$1:$BE$65000,$B667,AB$5)=1,1,IF(INDEX([1]Pivot!$B$1:$AB$65000,$B667,AB$5)="",2,0)),0)</f>
        <v>0</v>
      </c>
      <c r="AC667" s="194">
        <f>IFERROR(IF(INDEX([1]Pivot!$AD$1:$BE$65000,$B667,AC$5)=1,1,IF(INDEX([1]Pivot!$B$1:$AB$65000,$B667,AC$5)="",2,0)),0)</f>
        <v>0</v>
      </c>
      <c r="AD667" s="313">
        <f>IFERROR(IF(INDEX([1]Pivot!$BF$1:$CG$65000,$B667,AD$5)=1,1,IF(INDEX([1]Pivot!$B$1:$AB$65000,$B667,AD$5)="",2,0)),0)</f>
        <v>0</v>
      </c>
      <c r="AE667" s="313">
        <f>IFERROR(IF(INDEX([1]Pivot!$BF$1:$CG$65000,$B667,AE$5)=1,1,IF(INDEX([1]Pivot!$B$1:$AB$65000,$B667,AE$5)="",2,0)),0)</f>
        <v>0</v>
      </c>
      <c r="AF667" s="313">
        <f>IFERROR(IF(INDEX([1]Pivot!$BF$1:$CG$65000,$B667,AF$5)=1,1,IF(INDEX([1]Pivot!$B$1:$AB$65000,$B667,AF$5)="",2,0)),0)</f>
        <v>0</v>
      </c>
      <c r="AG667" s="313">
        <f>IFERROR(IF(INDEX([1]Pivot!$BF$1:$CG$65000,$B667,AG$5)=1,1,IF(INDEX([1]Pivot!$B$1:$AB$65000,$B667,AG$5)="",2,0)),0)</f>
        <v>0</v>
      </c>
      <c r="AH667" s="313">
        <f>IFERROR(IF(INDEX([1]Pivot!$BF$1:$CG$65000,$B667,AH$5)=1,1,IF(INDEX([1]Pivot!$B$1:$AB$65000,$B667,AH$5)="",2,0)),0)</f>
        <v>0</v>
      </c>
      <c r="AI667" s="313">
        <f>IFERROR(IF(INDEX([1]Pivot!$BF$1:$CG$65000,$B667,AI$5)=1,1,IF(INDEX([1]Pivot!$B$1:$AB$65000,$B667,AI$5)="",2,0)),0)</f>
        <v>0</v>
      </c>
      <c r="AJ667" s="313">
        <f>IFERROR(IF(INDEX([1]Pivot!$BF$1:$CG$65000,$B667,AJ$5)=1,1,IF(INDEX([1]Pivot!$B$1:$AB$65000,$B667,AJ$5)="",2,0)),0)</f>
        <v>0</v>
      </c>
      <c r="AK667" s="313">
        <f>IFERROR(IF(INDEX([1]Pivot!$BF$1:$CG$65000,$B667,AK$5)=1,1,IF(INDEX([1]Pivot!$B$1:$AB$65000,$B667,AK$5)="",2,0)),0)</f>
        <v>0</v>
      </c>
      <c r="AL667" s="313">
        <f>IFERROR(IF(INDEX([1]Pivot!$BF$1:$CG$65000,$B667,AL$5)=1,1,IF(INDEX([1]Pivot!$B$1:$AB$65000,$B667,AL$5)="",2,0)),0)</f>
        <v>0</v>
      </c>
      <c r="AM667" s="313">
        <f>IFERROR(IF(INDEX([1]Pivot!$BF$1:$CG$65000,$B667,AM$5)=1,1,IF(INDEX([1]Pivot!$B$1:$AB$65000,$B667,AM$5)="",2,0)),0)</f>
        <v>0</v>
      </c>
      <c r="AN667" s="313">
        <f>IFERROR(IF(INDEX([1]Pivot!$BF$1:$CG$65000,$B667,AN$5)=1,1,IF(INDEX([1]Pivot!$B$1:$AB$65000,$B667,AN$5)="",2,0)),0)</f>
        <v>0</v>
      </c>
      <c r="AO667" s="313">
        <f>IFERROR(IF(INDEX([1]Pivot!$BF$1:$CG$65000,$B667,AO$5)=1,1,IF(INDEX([1]Pivot!$B$1:$AB$65000,$B667,AO$5)="",2,0)),0)</f>
        <v>0</v>
      </c>
      <c r="AP667" s="313">
        <f>IFERROR(IF(INDEX([1]Pivot!$BF$1:$CG$65000,$B667,AP$5)=1,1,IF(INDEX([1]Pivot!$B$1:$AB$65000,$B667,AP$5)="",2,0)),0)</f>
        <v>0</v>
      </c>
      <c r="AQ667" s="313">
        <f>IFERROR(IF(INDEX([1]Pivot!$BF$1:$CG$65000,$B667,AQ$5)=1,1,IF(INDEX([1]Pivot!$B$1:$AB$65000,$B667,AQ$5)="",2,0)),0)</f>
        <v>0</v>
      </c>
      <c r="AR667" s="313">
        <f>IFERROR(IF(INDEX([1]Pivot!$BF$1:$CG$65000,$B667,AR$5)=1,1,IF(INDEX([1]Pivot!$B$1:$AB$65000,$B667,AR$5)="",2,0)),0)</f>
        <v>0</v>
      </c>
      <c r="AS667" s="312"/>
      <c r="AT667" s="313">
        <f>IFERROR(IF(INDEX([1]Pivot!$BF$1:$CG$65000,$B667,AT$5)=1,1,IF(INDEX([1]Pivot!$B$1:$AB$65000,$B667,AT$5)="",2,0)),0)</f>
        <v>0</v>
      </c>
      <c r="AU667" s="313">
        <f>IFERROR(IF(INDEX([1]Pivot!$BF$1:$CG$65000,$B667,AU$5)=1,1,IF(INDEX([1]Pivot!$B$1:$AB$65000,$B667,AU$5)="",2,0)),0)</f>
        <v>0</v>
      </c>
      <c r="AV667" s="313">
        <f>IFERROR(IF(INDEX([1]Pivot!$BF$1:$CG$65000,$B667,AV$5)=1,1,IF(INDEX([1]Pivot!$B$1:$AB$65000,$B667,AV$5)="",2,0)),0)</f>
        <v>0</v>
      </c>
      <c r="AW667" s="313">
        <f>IFERROR(IF(INDEX([1]Pivot!$BF$1:$CG$65000,$B667,AW$5)=1,1,IF(INDEX([1]Pivot!$B$1:$AB$65000,$B667,AW$5)="",2,0)),0)</f>
        <v>0</v>
      </c>
      <c r="AX667" s="313">
        <f>IFERROR(IF(INDEX([1]Pivot!$BF$1:$CG$65000,$B667,AX$5)=1,1,IF(INDEX([1]Pivot!$B$1:$AB$65000,$B667,AX$5)="",2,0)),0)</f>
        <v>0</v>
      </c>
      <c r="AY667" s="313">
        <f>IFERROR(IF(INDEX([1]Pivot!$BF$1:$CG$65000,$B667,AY$5)=1,1,IF(INDEX([1]Pivot!$B$1:$AB$65000,$B667,AY$5)="",2,0)),0)</f>
        <v>0</v>
      </c>
      <c r="AZ667" s="313">
        <f>IFERROR(IF(INDEX([1]Pivot!$BF$1:$CG$65000,$B667,AZ$5)=1,1,IF(INDEX([1]Pivot!$B$1:$AB$65000,$B667,AZ$5)="",2,0)),0)</f>
        <v>0</v>
      </c>
      <c r="BA667" s="313">
        <f>IFERROR(IF(INDEX([1]Pivot!$BF$1:$CG$65000,$B667,BA$5)=1,1,IF(INDEX([1]Pivot!$B$1:$AB$65000,$B667,BA$5)="",2,0)),0)</f>
        <v>0</v>
      </c>
      <c r="BB667" s="313">
        <f>IFERROR(IF(INDEX([1]Pivot!$BF$1:$CG$65000,$B667,BB$5)=1,1,IF(INDEX([1]Pivot!$B$1:$AB$65000,$B667,BB$5)="",2,0)),0)</f>
        <v>0</v>
      </c>
      <c r="BC667" s="313">
        <f>IFERROR(IF(INDEX([1]Pivot!$BF$1:$CG$65000,$B667,BC$5)=1,1,IF(INDEX([1]Pivot!$B$1:$AB$65000,$B667,BC$5)="",2,0)),0)</f>
        <v>0</v>
      </c>
      <c r="BD667" s="313">
        <f>IFERROR(IF(INDEX([1]Pivot!$BF$1:$CG$65000,$B667,BD$5)=1,1,IF(INDEX([1]Pivot!$B$1:$AB$65000,$B667,BD$5)="",2,0)),0)</f>
        <v>0</v>
      </c>
    </row>
    <row r="668" spans="1:56" x14ac:dyDescent="0.25">
      <c r="A668" s="288">
        <f>'[2]Raw Milk Prices'!A668</f>
        <v>0</v>
      </c>
      <c r="B668" s="296" t="e">
        <f>MATCH(DATE(LEFT('[2]Raw Milk Prices'!$A668,4),RIGHT('[2]Raw Milk Prices'!$A668,2),1),[1]Pivot!$A$1:$A$65000,0)</f>
        <v>#VALUE!</v>
      </c>
      <c r="C668" s="194">
        <f>IFERROR(IF(INDEX([1]Pivot!$AD$1:$BE$65000,$B668,C$5)=1,1,IF(INDEX([1]Pivot!$B$1:$AB$65000,$B668,C$5)="",2,0)),0)</f>
        <v>0</v>
      </c>
      <c r="D668" s="194">
        <f>IFERROR(IF(INDEX([1]Pivot!$AD$1:$BE$65000,$B668,D$5)=1,1,IF(INDEX([1]Pivot!$B$1:$AB$65000,$B668,D$5)="",2,0)),0)</f>
        <v>0</v>
      </c>
      <c r="E668" s="194">
        <f>IFERROR(IF(INDEX([1]Pivot!$AD$1:$BE$65000,$B668,E$5)=1,1,IF(INDEX([1]Pivot!$B$1:$AB$65000,$B668,E$5)="",2,0)),0)</f>
        <v>0</v>
      </c>
      <c r="F668" s="194">
        <f>IFERROR(IF(INDEX([1]Pivot!$AD$1:$BE$65000,$B668,F$5)=1,1,IF(INDEX([1]Pivot!$B$1:$AB$65000,$B668,F$5)="",2,0)),0)</f>
        <v>0</v>
      </c>
      <c r="G668" s="194">
        <f>IFERROR(IF(INDEX([1]Pivot!$AD$1:$BE$65000,$B668,G$5)=1,1,IF(INDEX([1]Pivot!$B$1:$AB$65000,$B668,G$5)="",2,0)),0)</f>
        <v>0</v>
      </c>
      <c r="H668" s="194">
        <f>IFERROR(IF(INDEX([1]Pivot!$AD$1:$BE$65000,$B668,H$5)=1,1,IF(INDEX([1]Pivot!$B$1:$AB$65000,$B668,H$5)="",2,0)),0)</f>
        <v>0</v>
      </c>
      <c r="I668" s="194">
        <f>IFERROR(IF(INDEX([1]Pivot!$AD$1:$BE$65000,$B668,I$5)=1,1,IF(INDEX([1]Pivot!$B$1:$AB$65000,$B668,I$5)="",2,0)),0)</f>
        <v>0</v>
      </c>
      <c r="J668" s="194">
        <f>IFERROR(IF(INDEX([1]Pivot!$AD$1:$BE$65000,$B668,J$5)=1,1,IF(INDEX([1]Pivot!$B$1:$AB$65000,$B668,J$5)="",2,0)),0)</f>
        <v>0</v>
      </c>
      <c r="K668" s="194">
        <f>IFERROR(IF(INDEX([1]Pivot!$AD$1:$BE$65000,$B668,K$5)=1,1,IF(INDEX([1]Pivot!$B$1:$AB$65000,$B668,K$5)="",2,0)),0)</f>
        <v>0</v>
      </c>
      <c r="L668" s="194">
        <f>IFERROR(IF(INDEX([1]Pivot!$AD$1:$BE$65000,$B668,L$5)=1,1,IF(INDEX([1]Pivot!$B$1:$AB$65000,$B668,L$5)="",2,0)),0)</f>
        <v>0</v>
      </c>
      <c r="M668" s="194">
        <f>IFERROR(IF(INDEX([1]Pivot!$AD$1:$BE$65000,$B668,M$5)=1,1,IF(INDEX([1]Pivot!$B$1:$AB$65000,$B668,M$5)="",2,0)),0)</f>
        <v>0</v>
      </c>
      <c r="N668" s="194">
        <f>IFERROR(IF(INDEX([1]Pivot!$AD$1:$BE$65000,$B668,N$5)=1,1,IF(INDEX([1]Pivot!$B$1:$AB$65000,$B668,N$5)="",2,0)),0)</f>
        <v>0</v>
      </c>
      <c r="O668" s="194">
        <f>IFERROR(IF(INDEX([1]Pivot!$AD$1:$BE$65000,$B668,O$5)=1,1,IF(INDEX([1]Pivot!$B$1:$AB$65000,$B668,O$5)="",2,0)),0)</f>
        <v>0</v>
      </c>
      <c r="P668" s="194">
        <f>IFERROR(IF(INDEX([1]Pivot!$AD$1:$BE$65000,$B668,P$5)=1,1,IF(INDEX([1]Pivot!$B$1:$AB$65000,$B668,P$5)="",2,0)),0)</f>
        <v>0</v>
      </c>
      <c r="Q668" s="194">
        <f>IFERROR(IF(INDEX([1]Pivot!$AD$1:$BE$65000,$B668,Q$5)=1,1,IF(INDEX([1]Pivot!$B$1:$AB$65000,$B668,Q$5)="",2,0)),0)</f>
        <v>0</v>
      </c>
      <c r="R668" s="312"/>
      <c r="S668" s="194">
        <f>IFERROR(IF(INDEX([1]Pivot!$AD$1:$BE$65000,$B668,S$5)=1,1,IF(INDEX([1]Pivot!$B$1:$AB$65000,$B668,S$5)="",2,0)),0)</f>
        <v>0</v>
      </c>
      <c r="T668" s="194">
        <f>IFERROR(IF(INDEX([1]Pivot!$AD$1:$BE$65000,$B668,T$5)=1,1,IF(INDEX([1]Pivot!$B$1:$AB$65000,$B668,T$5)="",2,0)),0)</f>
        <v>0</v>
      </c>
      <c r="U668" s="194">
        <f>IFERROR(IF(INDEX([1]Pivot!$AD$1:$BE$65000,$B668,U$5)=1,1,IF(INDEX([1]Pivot!$B$1:$AB$65000,$B668,U$5)="",2,0)),0)</f>
        <v>0</v>
      </c>
      <c r="V668" s="194">
        <f>IFERROR(IF(INDEX([1]Pivot!$AD$1:$BE$65000,$B668,V$5)=1,1,IF(INDEX([1]Pivot!$B$1:$AB$65000,$B668,V$5)="",2,0)),0)</f>
        <v>0</v>
      </c>
      <c r="W668" s="194">
        <f>IFERROR(IF(INDEX([1]Pivot!$AD$1:$BE$65000,$B668,W$5)=1,1,IF(INDEX([1]Pivot!$B$1:$AB$65000,$B668,W$5)="",2,0)),0)</f>
        <v>0</v>
      </c>
      <c r="X668" s="194">
        <f>IFERROR(IF(INDEX([1]Pivot!$AD$1:$BE$65000,$B668,X$5)=1,1,IF(INDEX([1]Pivot!$B$1:$AB$65000,$B668,X$5)="",2,0)),0)</f>
        <v>0</v>
      </c>
      <c r="Y668" s="194">
        <f>IFERROR(IF(INDEX([1]Pivot!$AD$1:$BE$65000,$B668,Y$5)=1,1,IF(INDEX([1]Pivot!$B$1:$AB$65000,$B668,Y$5)="",2,0)),0)</f>
        <v>0</v>
      </c>
      <c r="Z668" s="194">
        <f>IFERROR(IF(INDEX([1]Pivot!$AD$1:$BE$65000,$B668,Z$5)=1,1,IF(INDEX([1]Pivot!$B$1:$AB$65000,$B668,Z$5)="",2,0)),0)</f>
        <v>0</v>
      </c>
      <c r="AA668" s="194">
        <f>IFERROR(IF(INDEX([1]Pivot!$AD$1:$BE$65000,$B668,AA$5)=1,1,IF(INDEX([1]Pivot!$B$1:$AB$65000,$B668,AA$5)="",2,0)),0)</f>
        <v>0</v>
      </c>
      <c r="AB668" s="194">
        <f>IFERROR(IF(INDEX([1]Pivot!$AD$1:$BE$65000,$B668,AB$5)=1,1,IF(INDEX([1]Pivot!$B$1:$AB$65000,$B668,AB$5)="",2,0)),0)</f>
        <v>0</v>
      </c>
      <c r="AC668" s="194">
        <f>IFERROR(IF(INDEX([1]Pivot!$AD$1:$BE$65000,$B668,AC$5)=1,1,IF(INDEX([1]Pivot!$B$1:$AB$65000,$B668,AC$5)="",2,0)),0)</f>
        <v>0</v>
      </c>
      <c r="AD668" s="313">
        <f>IFERROR(IF(INDEX([1]Pivot!$BF$1:$CG$65000,$B668,AD$5)=1,1,IF(INDEX([1]Pivot!$B$1:$AB$65000,$B668,AD$5)="",2,0)),0)</f>
        <v>0</v>
      </c>
      <c r="AE668" s="313">
        <f>IFERROR(IF(INDEX([1]Pivot!$BF$1:$CG$65000,$B668,AE$5)=1,1,IF(INDEX([1]Pivot!$B$1:$AB$65000,$B668,AE$5)="",2,0)),0)</f>
        <v>0</v>
      </c>
      <c r="AF668" s="313">
        <f>IFERROR(IF(INDEX([1]Pivot!$BF$1:$CG$65000,$B668,AF$5)=1,1,IF(INDEX([1]Pivot!$B$1:$AB$65000,$B668,AF$5)="",2,0)),0)</f>
        <v>0</v>
      </c>
      <c r="AG668" s="313">
        <f>IFERROR(IF(INDEX([1]Pivot!$BF$1:$CG$65000,$B668,AG$5)=1,1,IF(INDEX([1]Pivot!$B$1:$AB$65000,$B668,AG$5)="",2,0)),0)</f>
        <v>0</v>
      </c>
      <c r="AH668" s="313">
        <f>IFERROR(IF(INDEX([1]Pivot!$BF$1:$CG$65000,$B668,AH$5)=1,1,IF(INDEX([1]Pivot!$B$1:$AB$65000,$B668,AH$5)="",2,0)),0)</f>
        <v>0</v>
      </c>
      <c r="AI668" s="313">
        <f>IFERROR(IF(INDEX([1]Pivot!$BF$1:$CG$65000,$B668,AI$5)=1,1,IF(INDEX([1]Pivot!$B$1:$AB$65000,$B668,AI$5)="",2,0)),0)</f>
        <v>0</v>
      </c>
      <c r="AJ668" s="313">
        <f>IFERROR(IF(INDEX([1]Pivot!$BF$1:$CG$65000,$B668,AJ$5)=1,1,IF(INDEX([1]Pivot!$B$1:$AB$65000,$B668,AJ$5)="",2,0)),0)</f>
        <v>0</v>
      </c>
      <c r="AK668" s="313">
        <f>IFERROR(IF(INDEX([1]Pivot!$BF$1:$CG$65000,$B668,AK$5)=1,1,IF(INDEX([1]Pivot!$B$1:$AB$65000,$B668,AK$5)="",2,0)),0)</f>
        <v>0</v>
      </c>
      <c r="AL668" s="313">
        <f>IFERROR(IF(INDEX([1]Pivot!$BF$1:$CG$65000,$B668,AL$5)=1,1,IF(INDEX([1]Pivot!$B$1:$AB$65000,$B668,AL$5)="",2,0)),0)</f>
        <v>0</v>
      </c>
      <c r="AM668" s="313">
        <f>IFERROR(IF(INDEX([1]Pivot!$BF$1:$CG$65000,$B668,AM$5)=1,1,IF(INDEX([1]Pivot!$B$1:$AB$65000,$B668,AM$5)="",2,0)),0)</f>
        <v>0</v>
      </c>
      <c r="AN668" s="313">
        <f>IFERROR(IF(INDEX([1]Pivot!$BF$1:$CG$65000,$B668,AN$5)=1,1,IF(INDEX([1]Pivot!$B$1:$AB$65000,$B668,AN$5)="",2,0)),0)</f>
        <v>0</v>
      </c>
      <c r="AO668" s="313">
        <f>IFERROR(IF(INDEX([1]Pivot!$BF$1:$CG$65000,$B668,AO$5)=1,1,IF(INDEX([1]Pivot!$B$1:$AB$65000,$B668,AO$5)="",2,0)),0)</f>
        <v>0</v>
      </c>
      <c r="AP668" s="313">
        <f>IFERROR(IF(INDEX([1]Pivot!$BF$1:$CG$65000,$B668,AP$5)=1,1,IF(INDEX([1]Pivot!$B$1:$AB$65000,$B668,AP$5)="",2,0)),0)</f>
        <v>0</v>
      </c>
      <c r="AQ668" s="313">
        <f>IFERROR(IF(INDEX([1]Pivot!$BF$1:$CG$65000,$B668,AQ$5)=1,1,IF(INDEX([1]Pivot!$B$1:$AB$65000,$B668,AQ$5)="",2,0)),0)</f>
        <v>0</v>
      </c>
      <c r="AR668" s="313">
        <f>IFERROR(IF(INDEX([1]Pivot!$BF$1:$CG$65000,$B668,AR$5)=1,1,IF(INDEX([1]Pivot!$B$1:$AB$65000,$B668,AR$5)="",2,0)),0)</f>
        <v>0</v>
      </c>
      <c r="AS668" s="312"/>
      <c r="AT668" s="313">
        <f>IFERROR(IF(INDEX([1]Pivot!$BF$1:$CG$65000,$B668,AT$5)=1,1,IF(INDEX([1]Pivot!$B$1:$AB$65000,$B668,AT$5)="",2,0)),0)</f>
        <v>0</v>
      </c>
      <c r="AU668" s="313">
        <f>IFERROR(IF(INDEX([1]Pivot!$BF$1:$CG$65000,$B668,AU$5)=1,1,IF(INDEX([1]Pivot!$B$1:$AB$65000,$B668,AU$5)="",2,0)),0)</f>
        <v>0</v>
      </c>
      <c r="AV668" s="313">
        <f>IFERROR(IF(INDEX([1]Pivot!$BF$1:$CG$65000,$B668,AV$5)=1,1,IF(INDEX([1]Pivot!$B$1:$AB$65000,$B668,AV$5)="",2,0)),0)</f>
        <v>0</v>
      </c>
      <c r="AW668" s="313">
        <f>IFERROR(IF(INDEX([1]Pivot!$BF$1:$CG$65000,$B668,AW$5)=1,1,IF(INDEX([1]Pivot!$B$1:$AB$65000,$B668,AW$5)="",2,0)),0)</f>
        <v>0</v>
      </c>
      <c r="AX668" s="313">
        <f>IFERROR(IF(INDEX([1]Pivot!$BF$1:$CG$65000,$B668,AX$5)=1,1,IF(INDEX([1]Pivot!$B$1:$AB$65000,$B668,AX$5)="",2,0)),0)</f>
        <v>0</v>
      </c>
      <c r="AY668" s="313">
        <f>IFERROR(IF(INDEX([1]Pivot!$BF$1:$CG$65000,$B668,AY$5)=1,1,IF(INDEX([1]Pivot!$B$1:$AB$65000,$B668,AY$5)="",2,0)),0)</f>
        <v>0</v>
      </c>
      <c r="AZ668" s="313">
        <f>IFERROR(IF(INDEX([1]Pivot!$BF$1:$CG$65000,$B668,AZ$5)=1,1,IF(INDEX([1]Pivot!$B$1:$AB$65000,$B668,AZ$5)="",2,0)),0)</f>
        <v>0</v>
      </c>
      <c r="BA668" s="313">
        <f>IFERROR(IF(INDEX([1]Pivot!$BF$1:$CG$65000,$B668,BA$5)=1,1,IF(INDEX([1]Pivot!$B$1:$AB$65000,$B668,BA$5)="",2,0)),0)</f>
        <v>0</v>
      </c>
      <c r="BB668" s="313">
        <f>IFERROR(IF(INDEX([1]Pivot!$BF$1:$CG$65000,$B668,BB$5)=1,1,IF(INDEX([1]Pivot!$B$1:$AB$65000,$B668,BB$5)="",2,0)),0)</f>
        <v>0</v>
      </c>
      <c r="BC668" s="313">
        <f>IFERROR(IF(INDEX([1]Pivot!$BF$1:$CG$65000,$B668,BC$5)=1,1,IF(INDEX([1]Pivot!$B$1:$AB$65000,$B668,BC$5)="",2,0)),0)</f>
        <v>0</v>
      </c>
      <c r="BD668" s="313">
        <f>IFERROR(IF(INDEX([1]Pivot!$BF$1:$CG$65000,$B668,BD$5)=1,1,IF(INDEX([1]Pivot!$B$1:$AB$65000,$B668,BD$5)="",2,0)),0)</f>
        <v>0</v>
      </c>
    </row>
    <row r="669" spans="1:56" x14ac:dyDescent="0.25">
      <c r="A669" s="288">
        <f>'[2]Raw Milk Prices'!A669</f>
        <v>0</v>
      </c>
      <c r="B669" s="296" t="e">
        <f>MATCH(DATE(LEFT('[2]Raw Milk Prices'!$A669,4),RIGHT('[2]Raw Milk Prices'!$A669,2),1),[1]Pivot!$A$1:$A$65000,0)</f>
        <v>#VALUE!</v>
      </c>
      <c r="C669" s="194">
        <f>IFERROR(IF(INDEX([1]Pivot!$AD$1:$BE$65000,$B669,C$5)=1,1,IF(INDEX([1]Pivot!$B$1:$AB$65000,$B669,C$5)="",2,0)),0)</f>
        <v>0</v>
      </c>
      <c r="D669" s="194">
        <f>IFERROR(IF(INDEX([1]Pivot!$AD$1:$BE$65000,$B669,D$5)=1,1,IF(INDEX([1]Pivot!$B$1:$AB$65000,$B669,D$5)="",2,0)),0)</f>
        <v>0</v>
      </c>
      <c r="E669" s="194">
        <f>IFERROR(IF(INDEX([1]Pivot!$AD$1:$BE$65000,$B669,E$5)=1,1,IF(INDEX([1]Pivot!$B$1:$AB$65000,$B669,E$5)="",2,0)),0)</f>
        <v>0</v>
      </c>
      <c r="F669" s="194">
        <f>IFERROR(IF(INDEX([1]Pivot!$AD$1:$BE$65000,$B669,F$5)=1,1,IF(INDEX([1]Pivot!$B$1:$AB$65000,$B669,F$5)="",2,0)),0)</f>
        <v>0</v>
      </c>
      <c r="G669" s="194">
        <f>IFERROR(IF(INDEX([1]Pivot!$AD$1:$BE$65000,$B669,G$5)=1,1,IF(INDEX([1]Pivot!$B$1:$AB$65000,$B669,G$5)="",2,0)),0)</f>
        <v>0</v>
      </c>
      <c r="H669" s="194">
        <f>IFERROR(IF(INDEX([1]Pivot!$AD$1:$BE$65000,$B669,H$5)=1,1,IF(INDEX([1]Pivot!$B$1:$AB$65000,$B669,H$5)="",2,0)),0)</f>
        <v>0</v>
      </c>
      <c r="I669" s="194">
        <f>IFERROR(IF(INDEX([1]Pivot!$AD$1:$BE$65000,$B669,I$5)=1,1,IF(INDEX([1]Pivot!$B$1:$AB$65000,$B669,I$5)="",2,0)),0)</f>
        <v>0</v>
      </c>
      <c r="J669" s="194">
        <f>IFERROR(IF(INDEX([1]Pivot!$AD$1:$BE$65000,$B669,J$5)=1,1,IF(INDEX([1]Pivot!$B$1:$AB$65000,$B669,J$5)="",2,0)),0)</f>
        <v>0</v>
      </c>
      <c r="K669" s="194">
        <f>IFERROR(IF(INDEX([1]Pivot!$AD$1:$BE$65000,$B669,K$5)=1,1,IF(INDEX([1]Pivot!$B$1:$AB$65000,$B669,K$5)="",2,0)),0)</f>
        <v>0</v>
      </c>
      <c r="L669" s="194">
        <f>IFERROR(IF(INDEX([1]Pivot!$AD$1:$BE$65000,$B669,L$5)=1,1,IF(INDEX([1]Pivot!$B$1:$AB$65000,$B669,L$5)="",2,0)),0)</f>
        <v>0</v>
      </c>
      <c r="M669" s="194">
        <f>IFERROR(IF(INDEX([1]Pivot!$AD$1:$BE$65000,$B669,M$5)=1,1,IF(INDEX([1]Pivot!$B$1:$AB$65000,$B669,M$5)="",2,0)),0)</f>
        <v>0</v>
      </c>
      <c r="N669" s="194">
        <f>IFERROR(IF(INDEX([1]Pivot!$AD$1:$BE$65000,$B669,N$5)=1,1,IF(INDEX([1]Pivot!$B$1:$AB$65000,$B669,N$5)="",2,0)),0)</f>
        <v>0</v>
      </c>
      <c r="O669" s="194">
        <f>IFERROR(IF(INDEX([1]Pivot!$AD$1:$BE$65000,$B669,O$5)=1,1,IF(INDEX([1]Pivot!$B$1:$AB$65000,$B669,O$5)="",2,0)),0)</f>
        <v>0</v>
      </c>
      <c r="P669" s="194">
        <f>IFERROR(IF(INDEX([1]Pivot!$AD$1:$BE$65000,$B669,P$5)=1,1,IF(INDEX([1]Pivot!$B$1:$AB$65000,$B669,P$5)="",2,0)),0)</f>
        <v>0</v>
      </c>
      <c r="Q669" s="194">
        <f>IFERROR(IF(INDEX([1]Pivot!$AD$1:$BE$65000,$B669,Q$5)=1,1,IF(INDEX([1]Pivot!$B$1:$AB$65000,$B669,Q$5)="",2,0)),0)</f>
        <v>0</v>
      </c>
      <c r="R669" s="312"/>
      <c r="S669" s="194">
        <f>IFERROR(IF(INDEX([1]Pivot!$AD$1:$BE$65000,$B669,S$5)=1,1,IF(INDEX([1]Pivot!$B$1:$AB$65000,$B669,S$5)="",2,0)),0)</f>
        <v>0</v>
      </c>
      <c r="T669" s="194">
        <f>IFERROR(IF(INDEX([1]Pivot!$AD$1:$BE$65000,$B669,T$5)=1,1,IF(INDEX([1]Pivot!$B$1:$AB$65000,$B669,T$5)="",2,0)),0)</f>
        <v>0</v>
      </c>
      <c r="U669" s="194">
        <f>IFERROR(IF(INDEX([1]Pivot!$AD$1:$BE$65000,$B669,U$5)=1,1,IF(INDEX([1]Pivot!$B$1:$AB$65000,$B669,U$5)="",2,0)),0)</f>
        <v>0</v>
      </c>
      <c r="V669" s="194">
        <f>IFERROR(IF(INDEX([1]Pivot!$AD$1:$BE$65000,$B669,V$5)=1,1,IF(INDEX([1]Pivot!$B$1:$AB$65000,$B669,V$5)="",2,0)),0)</f>
        <v>0</v>
      </c>
      <c r="W669" s="194">
        <f>IFERROR(IF(INDEX([1]Pivot!$AD$1:$BE$65000,$B669,W$5)=1,1,IF(INDEX([1]Pivot!$B$1:$AB$65000,$B669,W$5)="",2,0)),0)</f>
        <v>0</v>
      </c>
      <c r="X669" s="194">
        <f>IFERROR(IF(INDEX([1]Pivot!$AD$1:$BE$65000,$B669,X$5)=1,1,IF(INDEX([1]Pivot!$B$1:$AB$65000,$B669,X$5)="",2,0)),0)</f>
        <v>0</v>
      </c>
      <c r="Y669" s="194">
        <f>IFERROR(IF(INDEX([1]Pivot!$AD$1:$BE$65000,$B669,Y$5)=1,1,IF(INDEX([1]Pivot!$B$1:$AB$65000,$B669,Y$5)="",2,0)),0)</f>
        <v>0</v>
      </c>
      <c r="Z669" s="194">
        <f>IFERROR(IF(INDEX([1]Pivot!$AD$1:$BE$65000,$B669,Z$5)=1,1,IF(INDEX([1]Pivot!$B$1:$AB$65000,$B669,Z$5)="",2,0)),0)</f>
        <v>0</v>
      </c>
      <c r="AA669" s="194">
        <f>IFERROR(IF(INDEX([1]Pivot!$AD$1:$BE$65000,$B669,AA$5)=1,1,IF(INDEX([1]Pivot!$B$1:$AB$65000,$B669,AA$5)="",2,0)),0)</f>
        <v>0</v>
      </c>
      <c r="AB669" s="194">
        <f>IFERROR(IF(INDEX([1]Pivot!$AD$1:$BE$65000,$B669,AB$5)=1,1,IF(INDEX([1]Pivot!$B$1:$AB$65000,$B669,AB$5)="",2,0)),0)</f>
        <v>0</v>
      </c>
      <c r="AC669" s="194">
        <f>IFERROR(IF(INDEX([1]Pivot!$AD$1:$BE$65000,$B669,AC$5)=1,1,IF(INDEX([1]Pivot!$B$1:$AB$65000,$B669,AC$5)="",2,0)),0)</f>
        <v>0</v>
      </c>
      <c r="AD669" s="313">
        <f>IFERROR(IF(INDEX([1]Pivot!$BF$1:$CG$65000,$B669,AD$5)=1,1,IF(INDEX([1]Pivot!$B$1:$AB$65000,$B669,AD$5)="",2,0)),0)</f>
        <v>0</v>
      </c>
      <c r="AE669" s="313">
        <f>IFERROR(IF(INDEX([1]Pivot!$BF$1:$CG$65000,$B669,AE$5)=1,1,IF(INDEX([1]Pivot!$B$1:$AB$65000,$B669,AE$5)="",2,0)),0)</f>
        <v>0</v>
      </c>
      <c r="AF669" s="313">
        <f>IFERROR(IF(INDEX([1]Pivot!$BF$1:$CG$65000,$B669,AF$5)=1,1,IF(INDEX([1]Pivot!$B$1:$AB$65000,$B669,AF$5)="",2,0)),0)</f>
        <v>0</v>
      </c>
      <c r="AG669" s="313">
        <f>IFERROR(IF(INDEX([1]Pivot!$BF$1:$CG$65000,$B669,AG$5)=1,1,IF(INDEX([1]Pivot!$B$1:$AB$65000,$B669,AG$5)="",2,0)),0)</f>
        <v>0</v>
      </c>
      <c r="AH669" s="313">
        <f>IFERROR(IF(INDEX([1]Pivot!$BF$1:$CG$65000,$B669,AH$5)=1,1,IF(INDEX([1]Pivot!$B$1:$AB$65000,$B669,AH$5)="",2,0)),0)</f>
        <v>0</v>
      </c>
      <c r="AI669" s="313">
        <f>IFERROR(IF(INDEX([1]Pivot!$BF$1:$CG$65000,$B669,AI$5)=1,1,IF(INDEX([1]Pivot!$B$1:$AB$65000,$B669,AI$5)="",2,0)),0)</f>
        <v>0</v>
      </c>
      <c r="AJ669" s="313">
        <f>IFERROR(IF(INDEX([1]Pivot!$BF$1:$CG$65000,$B669,AJ$5)=1,1,IF(INDEX([1]Pivot!$B$1:$AB$65000,$B669,AJ$5)="",2,0)),0)</f>
        <v>0</v>
      </c>
      <c r="AK669" s="313">
        <f>IFERROR(IF(INDEX([1]Pivot!$BF$1:$CG$65000,$B669,AK$5)=1,1,IF(INDEX([1]Pivot!$B$1:$AB$65000,$B669,AK$5)="",2,0)),0)</f>
        <v>0</v>
      </c>
      <c r="AL669" s="313">
        <f>IFERROR(IF(INDEX([1]Pivot!$BF$1:$CG$65000,$B669,AL$5)=1,1,IF(INDEX([1]Pivot!$B$1:$AB$65000,$B669,AL$5)="",2,0)),0)</f>
        <v>0</v>
      </c>
      <c r="AM669" s="313">
        <f>IFERROR(IF(INDEX([1]Pivot!$BF$1:$CG$65000,$B669,AM$5)=1,1,IF(INDEX([1]Pivot!$B$1:$AB$65000,$B669,AM$5)="",2,0)),0)</f>
        <v>0</v>
      </c>
      <c r="AN669" s="313">
        <f>IFERROR(IF(INDEX([1]Pivot!$BF$1:$CG$65000,$B669,AN$5)=1,1,IF(INDEX([1]Pivot!$B$1:$AB$65000,$B669,AN$5)="",2,0)),0)</f>
        <v>0</v>
      </c>
      <c r="AO669" s="313">
        <f>IFERROR(IF(INDEX([1]Pivot!$BF$1:$CG$65000,$B669,AO$5)=1,1,IF(INDEX([1]Pivot!$B$1:$AB$65000,$B669,AO$5)="",2,0)),0)</f>
        <v>0</v>
      </c>
      <c r="AP669" s="313">
        <f>IFERROR(IF(INDEX([1]Pivot!$BF$1:$CG$65000,$B669,AP$5)=1,1,IF(INDEX([1]Pivot!$B$1:$AB$65000,$B669,AP$5)="",2,0)),0)</f>
        <v>0</v>
      </c>
      <c r="AQ669" s="313">
        <f>IFERROR(IF(INDEX([1]Pivot!$BF$1:$CG$65000,$B669,AQ$5)=1,1,IF(INDEX([1]Pivot!$B$1:$AB$65000,$B669,AQ$5)="",2,0)),0)</f>
        <v>0</v>
      </c>
      <c r="AR669" s="313">
        <f>IFERROR(IF(INDEX([1]Pivot!$BF$1:$CG$65000,$B669,AR$5)=1,1,IF(INDEX([1]Pivot!$B$1:$AB$65000,$B669,AR$5)="",2,0)),0)</f>
        <v>0</v>
      </c>
      <c r="AS669" s="312"/>
      <c r="AT669" s="313">
        <f>IFERROR(IF(INDEX([1]Pivot!$BF$1:$CG$65000,$B669,AT$5)=1,1,IF(INDEX([1]Pivot!$B$1:$AB$65000,$B669,AT$5)="",2,0)),0)</f>
        <v>0</v>
      </c>
      <c r="AU669" s="313">
        <f>IFERROR(IF(INDEX([1]Pivot!$BF$1:$CG$65000,$B669,AU$5)=1,1,IF(INDEX([1]Pivot!$B$1:$AB$65000,$B669,AU$5)="",2,0)),0)</f>
        <v>0</v>
      </c>
      <c r="AV669" s="313">
        <f>IFERROR(IF(INDEX([1]Pivot!$BF$1:$CG$65000,$B669,AV$5)=1,1,IF(INDEX([1]Pivot!$B$1:$AB$65000,$B669,AV$5)="",2,0)),0)</f>
        <v>0</v>
      </c>
      <c r="AW669" s="313">
        <f>IFERROR(IF(INDEX([1]Pivot!$BF$1:$CG$65000,$B669,AW$5)=1,1,IF(INDEX([1]Pivot!$B$1:$AB$65000,$B669,AW$5)="",2,0)),0)</f>
        <v>0</v>
      </c>
      <c r="AX669" s="313">
        <f>IFERROR(IF(INDEX([1]Pivot!$BF$1:$CG$65000,$B669,AX$5)=1,1,IF(INDEX([1]Pivot!$B$1:$AB$65000,$B669,AX$5)="",2,0)),0)</f>
        <v>0</v>
      </c>
      <c r="AY669" s="313">
        <f>IFERROR(IF(INDEX([1]Pivot!$BF$1:$CG$65000,$B669,AY$5)=1,1,IF(INDEX([1]Pivot!$B$1:$AB$65000,$B669,AY$5)="",2,0)),0)</f>
        <v>0</v>
      </c>
      <c r="AZ669" s="313">
        <f>IFERROR(IF(INDEX([1]Pivot!$BF$1:$CG$65000,$B669,AZ$5)=1,1,IF(INDEX([1]Pivot!$B$1:$AB$65000,$B669,AZ$5)="",2,0)),0)</f>
        <v>0</v>
      </c>
      <c r="BA669" s="313">
        <f>IFERROR(IF(INDEX([1]Pivot!$BF$1:$CG$65000,$B669,BA$5)=1,1,IF(INDEX([1]Pivot!$B$1:$AB$65000,$B669,BA$5)="",2,0)),0)</f>
        <v>0</v>
      </c>
      <c r="BB669" s="313">
        <f>IFERROR(IF(INDEX([1]Pivot!$BF$1:$CG$65000,$B669,BB$5)=1,1,IF(INDEX([1]Pivot!$B$1:$AB$65000,$B669,BB$5)="",2,0)),0)</f>
        <v>0</v>
      </c>
      <c r="BC669" s="313">
        <f>IFERROR(IF(INDEX([1]Pivot!$BF$1:$CG$65000,$B669,BC$5)=1,1,IF(INDEX([1]Pivot!$B$1:$AB$65000,$B669,BC$5)="",2,0)),0)</f>
        <v>0</v>
      </c>
      <c r="BD669" s="313">
        <f>IFERROR(IF(INDEX([1]Pivot!$BF$1:$CG$65000,$B669,BD$5)=1,1,IF(INDEX([1]Pivot!$B$1:$AB$65000,$B669,BD$5)="",2,0)),0)</f>
        <v>0</v>
      </c>
    </row>
    <row r="670" spans="1:56" x14ac:dyDescent="0.25">
      <c r="A670" s="288">
        <f>'[2]Raw Milk Prices'!A670</f>
        <v>0</v>
      </c>
      <c r="B670" s="296" t="e">
        <f>MATCH(DATE(LEFT('[2]Raw Milk Prices'!$A670,4),RIGHT('[2]Raw Milk Prices'!$A670,2),1),[1]Pivot!$A$1:$A$65000,0)</f>
        <v>#VALUE!</v>
      </c>
      <c r="C670" s="194">
        <f>IFERROR(IF(INDEX([1]Pivot!$AD$1:$BE$65000,$B670,C$5)=1,1,IF(INDEX([1]Pivot!$B$1:$AB$65000,$B670,C$5)="",2,0)),0)</f>
        <v>0</v>
      </c>
      <c r="D670" s="194">
        <f>IFERROR(IF(INDEX([1]Pivot!$AD$1:$BE$65000,$B670,D$5)=1,1,IF(INDEX([1]Pivot!$B$1:$AB$65000,$B670,D$5)="",2,0)),0)</f>
        <v>0</v>
      </c>
      <c r="E670" s="194">
        <f>IFERROR(IF(INDEX([1]Pivot!$AD$1:$BE$65000,$B670,E$5)=1,1,IF(INDEX([1]Pivot!$B$1:$AB$65000,$B670,E$5)="",2,0)),0)</f>
        <v>0</v>
      </c>
      <c r="F670" s="194">
        <f>IFERROR(IF(INDEX([1]Pivot!$AD$1:$BE$65000,$B670,F$5)=1,1,IF(INDEX([1]Pivot!$B$1:$AB$65000,$B670,F$5)="",2,0)),0)</f>
        <v>0</v>
      </c>
      <c r="G670" s="194">
        <f>IFERROR(IF(INDEX([1]Pivot!$AD$1:$BE$65000,$B670,G$5)=1,1,IF(INDEX([1]Pivot!$B$1:$AB$65000,$B670,G$5)="",2,0)),0)</f>
        <v>0</v>
      </c>
      <c r="H670" s="194">
        <f>IFERROR(IF(INDEX([1]Pivot!$AD$1:$BE$65000,$B670,H$5)=1,1,IF(INDEX([1]Pivot!$B$1:$AB$65000,$B670,H$5)="",2,0)),0)</f>
        <v>0</v>
      </c>
      <c r="I670" s="194">
        <f>IFERROR(IF(INDEX([1]Pivot!$AD$1:$BE$65000,$B670,I$5)=1,1,IF(INDEX([1]Pivot!$B$1:$AB$65000,$B670,I$5)="",2,0)),0)</f>
        <v>0</v>
      </c>
      <c r="J670" s="194">
        <f>IFERROR(IF(INDEX([1]Pivot!$AD$1:$BE$65000,$B670,J$5)=1,1,IF(INDEX([1]Pivot!$B$1:$AB$65000,$B670,J$5)="",2,0)),0)</f>
        <v>0</v>
      </c>
      <c r="K670" s="194">
        <f>IFERROR(IF(INDEX([1]Pivot!$AD$1:$BE$65000,$B670,K$5)=1,1,IF(INDEX([1]Pivot!$B$1:$AB$65000,$B670,K$5)="",2,0)),0)</f>
        <v>0</v>
      </c>
      <c r="L670" s="194">
        <f>IFERROR(IF(INDEX([1]Pivot!$AD$1:$BE$65000,$B670,L$5)=1,1,IF(INDEX([1]Pivot!$B$1:$AB$65000,$B670,L$5)="",2,0)),0)</f>
        <v>0</v>
      </c>
      <c r="M670" s="194">
        <f>IFERROR(IF(INDEX([1]Pivot!$AD$1:$BE$65000,$B670,M$5)=1,1,IF(INDEX([1]Pivot!$B$1:$AB$65000,$B670,M$5)="",2,0)),0)</f>
        <v>0</v>
      </c>
      <c r="N670" s="194">
        <f>IFERROR(IF(INDEX([1]Pivot!$AD$1:$BE$65000,$B670,N$5)=1,1,IF(INDEX([1]Pivot!$B$1:$AB$65000,$B670,N$5)="",2,0)),0)</f>
        <v>0</v>
      </c>
      <c r="O670" s="194">
        <f>IFERROR(IF(INDEX([1]Pivot!$AD$1:$BE$65000,$B670,O$5)=1,1,IF(INDEX([1]Pivot!$B$1:$AB$65000,$B670,O$5)="",2,0)),0)</f>
        <v>0</v>
      </c>
      <c r="P670" s="194">
        <f>IFERROR(IF(INDEX([1]Pivot!$AD$1:$BE$65000,$B670,P$5)=1,1,IF(INDEX([1]Pivot!$B$1:$AB$65000,$B670,P$5)="",2,0)),0)</f>
        <v>0</v>
      </c>
      <c r="Q670" s="194">
        <f>IFERROR(IF(INDEX([1]Pivot!$AD$1:$BE$65000,$B670,Q$5)=1,1,IF(INDEX([1]Pivot!$B$1:$AB$65000,$B670,Q$5)="",2,0)),0)</f>
        <v>0</v>
      </c>
      <c r="R670" s="312"/>
      <c r="S670" s="194">
        <f>IFERROR(IF(INDEX([1]Pivot!$AD$1:$BE$65000,$B670,S$5)=1,1,IF(INDEX([1]Pivot!$B$1:$AB$65000,$B670,S$5)="",2,0)),0)</f>
        <v>0</v>
      </c>
      <c r="T670" s="194">
        <f>IFERROR(IF(INDEX([1]Pivot!$AD$1:$BE$65000,$B670,T$5)=1,1,IF(INDEX([1]Pivot!$B$1:$AB$65000,$B670,T$5)="",2,0)),0)</f>
        <v>0</v>
      </c>
      <c r="U670" s="194">
        <f>IFERROR(IF(INDEX([1]Pivot!$AD$1:$BE$65000,$B670,U$5)=1,1,IF(INDEX([1]Pivot!$B$1:$AB$65000,$B670,U$5)="",2,0)),0)</f>
        <v>0</v>
      </c>
      <c r="V670" s="194">
        <f>IFERROR(IF(INDEX([1]Pivot!$AD$1:$BE$65000,$B670,V$5)=1,1,IF(INDEX([1]Pivot!$B$1:$AB$65000,$B670,V$5)="",2,0)),0)</f>
        <v>0</v>
      </c>
      <c r="W670" s="194">
        <f>IFERROR(IF(INDEX([1]Pivot!$AD$1:$BE$65000,$B670,W$5)=1,1,IF(INDEX([1]Pivot!$B$1:$AB$65000,$B670,W$5)="",2,0)),0)</f>
        <v>0</v>
      </c>
      <c r="X670" s="194">
        <f>IFERROR(IF(INDEX([1]Pivot!$AD$1:$BE$65000,$B670,X$5)=1,1,IF(INDEX([1]Pivot!$B$1:$AB$65000,$B670,X$5)="",2,0)),0)</f>
        <v>0</v>
      </c>
      <c r="Y670" s="194">
        <f>IFERROR(IF(INDEX([1]Pivot!$AD$1:$BE$65000,$B670,Y$5)=1,1,IF(INDEX([1]Pivot!$B$1:$AB$65000,$B670,Y$5)="",2,0)),0)</f>
        <v>0</v>
      </c>
      <c r="Z670" s="194">
        <f>IFERROR(IF(INDEX([1]Pivot!$AD$1:$BE$65000,$B670,Z$5)=1,1,IF(INDEX([1]Pivot!$B$1:$AB$65000,$B670,Z$5)="",2,0)),0)</f>
        <v>0</v>
      </c>
      <c r="AA670" s="194">
        <f>IFERROR(IF(INDEX([1]Pivot!$AD$1:$BE$65000,$B670,AA$5)=1,1,IF(INDEX([1]Pivot!$B$1:$AB$65000,$B670,AA$5)="",2,0)),0)</f>
        <v>0</v>
      </c>
      <c r="AB670" s="194">
        <f>IFERROR(IF(INDEX([1]Pivot!$AD$1:$BE$65000,$B670,AB$5)=1,1,IF(INDEX([1]Pivot!$B$1:$AB$65000,$B670,AB$5)="",2,0)),0)</f>
        <v>0</v>
      </c>
      <c r="AC670" s="194">
        <f>IFERROR(IF(INDEX([1]Pivot!$AD$1:$BE$65000,$B670,AC$5)=1,1,IF(INDEX([1]Pivot!$B$1:$AB$65000,$B670,AC$5)="",2,0)),0)</f>
        <v>0</v>
      </c>
      <c r="AD670" s="313">
        <f>IFERROR(IF(INDEX([1]Pivot!$BF$1:$CG$65000,$B670,AD$5)=1,1,IF(INDEX([1]Pivot!$B$1:$AB$65000,$B670,AD$5)="",2,0)),0)</f>
        <v>0</v>
      </c>
      <c r="AE670" s="313">
        <f>IFERROR(IF(INDEX([1]Pivot!$BF$1:$CG$65000,$B670,AE$5)=1,1,IF(INDEX([1]Pivot!$B$1:$AB$65000,$B670,AE$5)="",2,0)),0)</f>
        <v>0</v>
      </c>
      <c r="AF670" s="313">
        <f>IFERROR(IF(INDEX([1]Pivot!$BF$1:$CG$65000,$B670,AF$5)=1,1,IF(INDEX([1]Pivot!$B$1:$AB$65000,$B670,AF$5)="",2,0)),0)</f>
        <v>0</v>
      </c>
      <c r="AG670" s="313">
        <f>IFERROR(IF(INDEX([1]Pivot!$BF$1:$CG$65000,$B670,AG$5)=1,1,IF(INDEX([1]Pivot!$B$1:$AB$65000,$B670,AG$5)="",2,0)),0)</f>
        <v>0</v>
      </c>
      <c r="AH670" s="313">
        <f>IFERROR(IF(INDEX([1]Pivot!$BF$1:$CG$65000,$B670,AH$5)=1,1,IF(INDEX([1]Pivot!$B$1:$AB$65000,$B670,AH$5)="",2,0)),0)</f>
        <v>0</v>
      </c>
      <c r="AI670" s="313">
        <f>IFERROR(IF(INDEX([1]Pivot!$BF$1:$CG$65000,$B670,AI$5)=1,1,IF(INDEX([1]Pivot!$B$1:$AB$65000,$B670,AI$5)="",2,0)),0)</f>
        <v>0</v>
      </c>
      <c r="AJ670" s="313">
        <f>IFERROR(IF(INDEX([1]Pivot!$BF$1:$CG$65000,$B670,AJ$5)=1,1,IF(INDEX([1]Pivot!$B$1:$AB$65000,$B670,AJ$5)="",2,0)),0)</f>
        <v>0</v>
      </c>
      <c r="AK670" s="313">
        <f>IFERROR(IF(INDEX([1]Pivot!$BF$1:$CG$65000,$B670,AK$5)=1,1,IF(INDEX([1]Pivot!$B$1:$AB$65000,$B670,AK$5)="",2,0)),0)</f>
        <v>0</v>
      </c>
      <c r="AL670" s="313">
        <f>IFERROR(IF(INDEX([1]Pivot!$BF$1:$CG$65000,$B670,AL$5)=1,1,IF(INDEX([1]Pivot!$B$1:$AB$65000,$B670,AL$5)="",2,0)),0)</f>
        <v>0</v>
      </c>
      <c r="AM670" s="313">
        <f>IFERROR(IF(INDEX([1]Pivot!$BF$1:$CG$65000,$B670,AM$5)=1,1,IF(INDEX([1]Pivot!$B$1:$AB$65000,$B670,AM$5)="",2,0)),0)</f>
        <v>0</v>
      </c>
      <c r="AN670" s="313">
        <f>IFERROR(IF(INDEX([1]Pivot!$BF$1:$CG$65000,$B670,AN$5)=1,1,IF(INDEX([1]Pivot!$B$1:$AB$65000,$B670,AN$5)="",2,0)),0)</f>
        <v>0</v>
      </c>
      <c r="AO670" s="313">
        <f>IFERROR(IF(INDEX([1]Pivot!$BF$1:$CG$65000,$B670,AO$5)=1,1,IF(INDEX([1]Pivot!$B$1:$AB$65000,$B670,AO$5)="",2,0)),0)</f>
        <v>0</v>
      </c>
      <c r="AP670" s="313">
        <f>IFERROR(IF(INDEX([1]Pivot!$BF$1:$CG$65000,$B670,AP$5)=1,1,IF(INDEX([1]Pivot!$B$1:$AB$65000,$B670,AP$5)="",2,0)),0)</f>
        <v>0</v>
      </c>
      <c r="AQ670" s="313">
        <f>IFERROR(IF(INDEX([1]Pivot!$BF$1:$CG$65000,$B670,AQ$5)=1,1,IF(INDEX([1]Pivot!$B$1:$AB$65000,$B670,AQ$5)="",2,0)),0)</f>
        <v>0</v>
      </c>
      <c r="AR670" s="313">
        <f>IFERROR(IF(INDEX([1]Pivot!$BF$1:$CG$65000,$B670,AR$5)=1,1,IF(INDEX([1]Pivot!$B$1:$AB$65000,$B670,AR$5)="",2,0)),0)</f>
        <v>0</v>
      </c>
      <c r="AS670" s="312"/>
      <c r="AT670" s="313">
        <f>IFERROR(IF(INDEX([1]Pivot!$BF$1:$CG$65000,$B670,AT$5)=1,1,IF(INDEX([1]Pivot!$B$1:$AB$65000,$B670,AT$5)="",2,0)),0)</f>
        <v>0</v>
      </c>
      <c r="AU670" s="313">
        <f>IFERROR(IF(INDEX([1]Pivot!$BF$1:$CG$65000,$B670,AU$5)=1,1,IF(INDEX([1]Pivot!$B$1:$AB$65000,$B670,AU$5)="",2,0)),0)</f>
        <v>0</v>
      </c>
      <c r="AV670" s="313">
        <f>IFERROR(IF(INDEX([1]Pivot!$BF$1:$CG$65000,$B670,AV$5)=1,1,IF(INDEX([1]Pivot!$B$1:$AB$65000,$B670,AV$5)="",2,0)),0)</f>
        <v>0</v>
      </c>
      <c r="AW670" s="313">
        <f>IFERROR(IF(INDEX([1]Pivot!$BF$1:$CG$65000,$B670,AW$5)=1,1,IF(INDEX([1]Pivot!$B$1:$AB$65000,$B670,AW$5)="",2,0)),0)</f>
        <v>0</v>
      </c>
      <c r="AX670" s="313">
        <f>IFERROR(IF(INDEX([1]Pivot!$BF$1:$CG$65000,$B670,AX$5)=1,1,IF(INDEX([1]Pivot!$B$1:$AB$65000,$B670,AX$5)="",2,0)),0)</f>
        <v>0</v>
      </c>
      <c r="AY670" s="313">
        <f>IFERROR(IF(INDEX([1]Pivot!$BF$1:$CG$65000,$B670,AY$5)=1,1,IF(INDEX([1]Pivot!$B$1:$AB$65000,$B670,AY$5)="",2,0)),0)</f>
        <v>0</v>
      </c>
      <c r="AZ670" s="313">
        <f>IFERROR(IF(INDEX([1]Pivot!$BF$1:$CG$65000,$B670,AZ$5)=1,1,IF(INDEX([1]Pivot!$B$1:$AB$65000,$B670,AZ$5)="",2,0)),0)</f>
        <v>0</v>
      </c>
      <c r="BA670" s="313">
        <f>IFERROR(IF(INDEX([1]Pivot!$BF$1:$CG$65000,$B670,BA$5)=1,1,IF(INDEX([1]Pivot!$B$1:$AB$65000,$B670,BA$5)="",2,0)),0)</f>
        <v>0</v>
      </c>
      <c r="BB670" s="313">
        <f>IFERROR(IF(INDEX([1]Pivot!$BF$1:$CG$65000,$B670,BB$5)=1,1,IF(INDEX([1]Pivot!$B$1:$AB$65000,$B670,BB$5)="",2,0)),0)</f>
        <v>0</v>
      </c>
      <c r="BC670" s="313">
        <f>IFERROR(IF(INDEX([1]Pivot!$BF$1:$CG$65000,$B670,BC$5)=1,1,IF(INDEX([1]Pivot!$B$1:$AB$65000,$B670,BC$5)="",2,0)),0)</f>
        <v>0</v>
      </c>
      <c r="BD670" s="313">
        <f>IFERROR(IF(INDEX([1]Pivot!$BF$1:$CG$65000,$B670,BD$5)=1,1,IF(INDEX([1]Pivot!$B$1:$AB$65000,$B670,BD$5)="",2,0)),0)</f>
        <v>0</v>
      </c>
    </row>
    <row r="671" spans="1:56" x14ac:dyDescent="0.25">
      <c r="A671" s="288">
        <f>'[2]Raw Milk Prices'!A671</f>
        <v>0</v>
      </c>
      <c r="B671" s="296" t="e">
        <f>MATCH(DATE(LEFT('[2]Raw Milk Prices'!$A671,4),RIGHT('[2]Raw Milk Prices'!$A671,2),1),[1]Pivot!$A$1:$A$65000,0)</f>
        <v>#VALUE!</v>
      </c>
      <c r="C671" s="194">
        <f>IFERROR(IF(INDEX([1]Pivot!$AD$1:$BE$65000,$B671,C$5)=1,1,IF(INDEX([1]Pivot!$B$1:$AB$65000,$B671,C$5)="",2,0)),0)</f>
        <v>0</v>
      </c>
      <c r="D671" s="194">
        <f>IFERROR(IF(INDEX([1]Pivot!$AD$1:$BE$65000,$B671,D$5)=1,1,IF(INDEX([1]Pivot!$B$1:$AB$65000,$B671,D$5)="",2,0)),0)</f>
        <v>0</v>
      </c>
      <c r="E671" s="194">
        <f>IFERROR(IF(INDEX([1]Pivot!$AD$1:$BE$65000,$B671,E$5)=1,1,IF(INDEX([1]Pivot!$B$1:$AB$65000,$B671,E$5)="",2,0)),0)</f>
        <v>0</v>
      </c>
      <c r="F671" s="194">
        <f>IFERROR(IF(INDEX([1]Pivot!$AD$1:$BE$65000,$B671,F$5)=1,1,IF(INDEX([1]Pivot!$B$1:$AB$65000,$B671,F$5)="",2,0)),0)</f>
        <v>0</v>
      </c>
      <c r="G671" s="194">
        <f>IFERROR(IF(INDEX([1]Pivot!$AD$1:$BE$65000,$B671,G$5)=1,1,IF(INDEX([1]Pivot!$B$1:$AB$65000,$B671,G$5)="",2,0)),0)</f>
        <v>0</v>
      </c>
      <c r="H671" s="194">
        <f>IFERROR(IF(INDEX([1]Pivot!$AD$1:$BE$65000,$B671,H$5)=1,1,IF(INDEX([1]Pivot!$B$1:$AB$65000,$B671,H$5)="",2,0)),0)</f>
        <v>0</v>
      </c>
      <c r="I671" s="194">
        <f>IFERROR(IF(INDEX([1]Pivot!$AD$1:$BE$65000,$B671,I$5)=1,1,IF(INDEX([1]Pivot!$B$1:$AB$65000,$B671,I$5)="",2,0)),0)</f>
        <v>0</v>
      </c>
      <c r="J671" s="194">
        <f>IFERROR(IF(INDEX([1]Pivot!$AD$1:$BE$65000,$B671,J$5)=1,1,IF(INDEX([1]Pivot!$B$1:$AB$65000,$B671,J$5)="",2,0)),0)</f>
        <v>0</v>
      </c>
      <c r="K671" s="194">
        <f>IFERROR(IF(INDEX([1]Pivot!$AD$1:$BE$65000,$B671,K$5)=1,1,IF(INDEX([1]Pivot!$B$1:$AB$65000,$B671,K$5)="",2,0)),0)</f>
        <v>0</v>
      </c>
      <c r="L671" s="194">
        <f>IFERROR(IF(INDEX([1]Pivot!$AD$1:$BE$65000,$B671,L$5)=1,1,IF(INDEX([1]Pivot!$B$1:$AB$65000,$B671,L$5)="",2,0)),0)</f>
        <v>0</v>
      </c>
      <c r="M671" s="194">
        <f>IFERROR(IF(INDEX([1]Pivot!$AD$1:$BE$65000,$B671,M$5)=1,1,IF(INDEX([1]Pivot!$B$1:$AB$65000,$B671,M$5)="",2,0)),0)</f>
        <v>0</v>
      </c>
      <c r="N671" s="194">
        <f>IFERROR(IF(INDEX([1]Pivot!$AD$1:$BE$65000,$B671,N$5)=1,1,IF(INDEX([1]Pivot!$B$1:$AB$65000,$B671,N$5)="",2,0)),0)</f>
        <v>0</v>
      </c>
      <c r="O671" s="194">
        <f>IFERROR(IF(INDEX([1]Pivot!$AD$1:$BE$65000,$B671,O$5)=1,1,IF(INDEX([1]Pivot!$B$1:$AB$65000,$B671,O$5)="",2,0)),0)</f>
        <v>0</v>
      </c>
      <c r="P671" s="194">
        <f>IFERROR(IF(INDEX([1]Pivot!$AD$1:$BE$65000,$B671,P$5)=1,1,IF(INDEX([1]Pivot!$B$1:$AB$65000,$B671,P$5)="",2,0)),0)</f>
        <v>0</v>
      </c>
      <c r="Q671" s="194">
        <f>IFERROR(IF(INDEX([1]Pivot!$AD$1:$BE$65000,$B671,Q$5)=1,1,IF(INDEX([1]Pivot!$B$1:$AB$65000,$B671,Q$5)="",2,0)),0)</f>
        <v>0</v>
      </c>
      <c r="R671" s="312"/>
      <c r="S671" s="194">
        <f>IFERROR(IF(INDEX([1]Pivot!$AD$1:$BE$65000,$B671,S$5)=1,1,IF(INDEX([1]Pivot!$B$1:$AB$65000,$B671,S$5)="",2,0)),0)</f>
        <v>0</v>
      </c>
      <c r="T671" s="194">
        <f>IFERROR(IF(INDEX([1]Pivot!$AD$1:$BE$65000,$B671,T$5)=1,1,IF(INDEX([1]Pivot!$B$1:$AB$65000,$B671,T$5)="",2,0)),0)</f>
        <v>0</v>
      </c>
      <c r="U671" s="194">
        <f>IFERROR(IF(INDEX([1]Pivot!$AD$1:$BE$65000,$B671,U$5)=1,1,IF(INDEX([1]Pivot!$B$1:$AB$65000,$B671,U$5)="",2,0)),0)</f>
        <v>0</v>
      </c>
      <c r="V671" s="194">
        <f>IFERROR(IF(INDEX([1]Pivot!$AD$1:$BE$65000,$B671,V$5)=1,1,IF(INDEX([1]Pivot!$B$1:$AB$65000,$B671,V$5)="",2,0)),0)</f>
        <v>0</v>
      </c>
      <c r="W671" s="194">
        <f>IFERROR(IF(INDEX([1]Pivot!$AD$1:$BE$65000,$B671,W$5)=1,1,IF(INDEX([1]Pivot!$B$1:$AB$65000,$B671,W$5)="",2,0)),0)</f>
        <v>0</v>
      </c>
      <c r="X671" s="194">
        <f>IFERROR(IF(INDEX([1]Pivot!$AD$1:$BE$65000,$B671,X$5)=1,1,IF(INDEX([1]Pivot!$B$1:$AB$65000,$B671,X$5)="",2,0)),0)</f>
        <v>0</v>
      </c>
      <c r="Y671" s="194">
        <f>IFERROR(IF(INDEX([1]Pivot!$AD$1:$BE$65000,$B671,Y$5)=1,1,IF(INDEX([1]Pivot!$B$1:$AB$65000,$B671,Y$5)="",2,0)),0)</f>
        <v>0</v>
      </c>
      <c r="Z671" s="194">
        <f>IFERROR(IF(INDEX([1]Pivot!$AD$1:$BE$65000,$B671,Z$5)=1,1,IF(INDEX([1]Pivot!$B$1:$AB$65000,$B671,Z$5)="",2,0)),0)</f>
        <v>0</v>
      </c>
      <c r="AA671" s="194">
        <f>IFERROR(IF(INDEX([1]Pivot!$AD$1:$BE$65000,$B671,AA$5)=1,1,IF(INDEX([1]Pivot!$B$1:$AB$65000,$B671,AA$5)="",2,0)),0)</f>
        <v>0</v>
      </c>
      <c r="AB671" s="194">
        <f>IFERROR(IF(INDEX([1]Pivot!$AD$1:$BE$65000,$B671,AB$5)=1,1,IF(INDEX([1]Pivot!$B$1:$AB$65000,$B671,AB$5)="",2,0)),0)</f>
        <v>0</v>
      </c>
      <c r="AC671" s="194">
        <f>IFERROR(IF(INDEX([1]Pivot!$AD$1:$BE$65000,$B671,AC$5)=1,1,IF(INDEX([1]Pivot!$B$1:$AB$65000,$B671,AC$5)="",2,0)),0)</f>
        <v>0</v>
      </c>
      <c r="AD671" s="313">
        <f>IFERROR(IF(INDEX([1]Pivot!$BF$1:$CG$65000,$B671,AD$5)=1,1,IF(INDEX([1]Pivot!$B$1:$AB$65000,$B671,AD$5)="",2,0)),0)</f>
        <v>0</v>
      </c>
      <c r="AE671" s="313">
        <f>IFERROR(IF(INDEX([1]Pivot!$BF$1:$CG$65000,$B671,AE$5)=1,1,IF(INDEX([1]Pivot!$B$1:$AB$65000,$B671,AE$5)="",2,0)),0)</f>
        <v>0</v>
      </c>
      <c r="AF671" s="313">
        <f>IFERROR(IF(INDEX([1]Pivot!$BF$1:$CG$65000,$B671,AF$5)=1,1,IF(INDEX([1]Pivot!$B$1:$AB$65000,$B671,AF$5)="",2,0)),0)</f>
        <v>0</v>
      </c>
      <c r="AG671" s="313">
        <f>IFERROR(IF(INDEX([1]Pivot!$BF$1:$CG$65000,$B671,AG$5)=1,1,IF(INDEX([1]Pivot!$B$1:$AB$65000,$B671,AG$5)="",2,0)),0)</f>
        <v>0</v>
      </c>
      <c r="AH671" s="313">
        <f>IFERROR(IF(INDEX([1]Pivot!$BF$1:$CG$65000,$B671,AH$5)=1,1,IF(INDEX([1]Pivot!$B$1:$AB$65000,$B671,AH$5)="",2,0)),0)</f>
        <v>0</v>
      </c>
      <c r="AI671" s="313">
        <f>IFERROR(IF(INDEX([1]Pivot!$BF$1:$CG$65000,$B671,AI$5)=1,1,IF(INDEX([1]Pivot!$B$1:$AB$65000,$B671,AI$5)="",2,0)),0)</f>
        <v>0</v>
      </c>
      <c r="AJ671" s="313">
        <f>IFERROR(IF(INDEX([1]Pivot!$BF$1:$CG$65000,$B671,AJ$5)=1,1,IF(INDEX([1]Pivot!$B$1:$AB$65000,$B671,AJ$5)="",2,0)),0)</f>
        <v>0</v>
      </c>
      <c r="AK671" s="313">
        <f>IFERROR(IF(INDEX([1]Pivot!$BF$1:$CG$65000,$B671,AK$5)=1,1,IF(INDEX([1]Pivot!$B$1:$AB$65000,$B671,AK$5)="",2,0)),0)</f>
        <v>0</v>
      </c>
      <c r="AL671" s="313">
        <f>IFERROR(IF(INDEX([1]Pivot!$BF$1:$CG$65000,$B671,AL$5)=1,1,IF(INDEX([1]Pivot!$B$1:$AB$65000,$B671,AL$5)="",2,0)),0)</f>
        <v>0</v>
      </c>
      <c r="AM671" s="313">
        <f>IFERROR(IF(INDEX([1]Pivot!$BF$1:$CG$65000,$B671,AM$5)=1,1,IF(INDEX([1]Pivot!$B$1:$AB$65000,$B671,AM$5)="",2,0)),0)</f>
        <v>0</v>
      </c>
      <c r="AN671" s="313">
        <f>IFERROR(IF(INDEX([1]Pivot!$BF$1:$CG$65000,$B671,AN$5)=1,1,IF(INDEX([1]Pivot!$B$1:$AB$65000,$B671,AN$5)="",2,0)),0)</f>
        <v>0</v>
      </c>
      <c r="AO671" s="313">
        <f>IFERROR(IF(INDEX([1]Pivot!$BF$1:$CG$65000,$B671,AO$5)=1,1,IF(INDEX([1]Pivot!$B$1:$AB$65000,$B671,AO$5)="",2,0)),0)</f>
        <v>0</v>
      </c>
      <c r="AP671" s="313">
        <f>IFERROR(IF(INDEX([1]Pivot!$BF$1:$CG$65000,$B671,AP$5)=1,1,IF(INDEX([1]Pivot!$B$1:$AB$65000,$B671,AP$5)="",2,0)),0)</f>
        <v>0</v>
      </c>
      <c r="AQ671" s="313">
        <f>IFERROR(IF(INDEX([1]Pivot!$BF$1:$CG$65000,$B671,AQ$5)=1,1,IF(INDEX([1]Pivot!$B$1:$AB$65000,$B671,AQ$5)="",2,0)),0)</f>
        <v>0</v>
      </c>
      <c r="AR671" s="313">
        <f>IFERROR(IF(INDEX([1]Pivot!$BF$1:$CG$65000,$B671,AR$5)=1,1,IF(INDEX([1]Pivot!$B$1:$AB$65000,$B671,AR$5)="",2,0)),0)</f>
        <v>0</v>
      </c>
      <c r="AS671" s="312"/>
      <c r="AT671" s="313">
        <f>IFERROR(IF(INDEX([1]Pivot!$BF$1:$CG$65000,$B671,AT$5)=1,1,IF(INDEX([1]Pivot!$B$1:$AB$65000,$B671,AT$5)="",2,0)),0)</f>
        <v>0</v>
      </c>
      <c r="AU671" s="313">
        <f>IFERROR(IF(INDEX([1]Pivot!$BF$1:$CG$65000,$B671,AU$5)=1,1,IF(INDEX([1]Pivot!$B$1:$AB$65000,$B671,AU$5)="",2,0)),0)</f>
        <v>0</v>
      </c>
      <c r="AV671" s="313">
        <f>IFERROR(IF(INDEX([1]Pivot!$BF$1:$CG$65000,$B671,AV$5)=1,1,IF(INDEX([1]Pivot!$B$1:$AB$65000,$B671,AV$5)="",2,0)),0)</f>
        <v>0</v>
      </c>
      <c r="AW671" s="313">
        <f>IFERROR(IF(INDEX([1]Pivot!$BF$1:$CG$65000,$B671,AW$5)=1,1,IF(INDEX([1]Pivot!$B$1:$AB$65000,$B671,AW$5)="",2,0)),0)</f>
        <v>0</v>
      </c>
      <c r="AX671" s="313">
        <f>IFERROR(IF(INDEX([1]Pivot!$BF$1:$CG$65000,$B671,AX$5)=1,1,IF(INDEX([1]Pivot!$B$1:$AB$65000,$B671,AX$5)="",2,0)),0)</f>
        <v>0</v>
      </c>
      <c r="AY671" s="313">
        <f>IFERROR(IF(INDEX([1]Pivot!$BF$1:$CG$65000,$B671,AY$5)=1,1,IF(INDEX([1]Pivot!$B$1:$AB$65000,$B671,AY$5)="",2,0)),0)</f>
        <v>0</v>
      </c>
      <c r="AZ671" s="313">
        <f>IFERROR(IF(INDEX([1]Pivot!$BF$1:$CG$65000,$B671,AZ$5)=1,1,IF(INDEX([1]Pivot!$B$1:$AB$65000,$B671,AZ$5)="",2,0)),0)</f>
        <v>0</v>
      </c>
      <c r="BA671" s="313">
        <f>IFERROR(IF(INDEX([1]Pivot!$BF$1:$CG$65000,$B671,BA$5)=1,1,IF(INDEX([1]Pivot!$B$1:$AB$65000,$B671,BA$5)="",2,0)),0)</f>
        <v>0</v>
      </c>
      <c r="BB671" s="313">
        <f>IFERROR(IF(INDEX([1]Pivot!$BF$1:$CG$65000,$B671,BB$5)=1,1,IF(INDEX([1]Pivot!$B$1:$AB$65000,$B671,BB$5)="",2,0)),0)</f>
        <v>0</v>
      </c>
      <c r="BC671" s="313">
        <f>IFERROR(IF(INDEX([1]Pivot!$BF$1:$CG$65000,$B671,BC$5)=1,1,IF(INDEX([1]Pivot!$B$1:$AB$65000,$B671,BC$5)="",2,0)),0)</f>
        <v>0</v>
      </c>
      <c r="BD671" s="313">
        <f>IFERROR(IF(INDEX([1]Pivot!$BF$1:$CG$65000,$B671,BD$5)=1,1,IF(INDEX([1]Pivot!$B$1:$AB$65000,$B671,BD$5)="",2,0)),0)</f>
        <v>0</v>
      </c>
    </row>
    <row r="672" spans="1:56" x14ac:dyDescent="0.25">
      <c r="A672" s="288">
        <f>'[2]Raw Milk Prices'!A672</f>
        <v>0</v>
      </c>
      <c r="B672" s="296" t="e">
        <f>MATCH(DATE(LEFT('[2]Raw Milk Prices'!$A672,4),RIGHT('[2]Raw Milk Prices'!$A672,2),1),[1]Pivot!$A$1:$A$65000,0)</f>
        <v>#VALUE!</v>
      </c>
      <c r="C672" s="194">
        <f>IFERROR(IF(INDEX([1]Pivot!$AD$1:$BE$65000,$B672,C$5)=1,1,IF(INDEX([1]Pivot!$B$1:$AB$65000,$B672,C$5)="",2,0)),0)</f>
        <v>0</v>
      </c>
      <c r="D672" s="194">
        <f>IFERROR(IF(INDEX([1]Pivot!$AD$1:$BE$65000,$B672,D$5)=1,1,IF(INDEX([1]Pivot!$B$1:$AB$65000,$B672,D$5)="",2,0)),0)</f>
        <v>0</v>
      </c>
      <c r="E672" s="194">
        <f>IFERROR(IF(INDEX([1]Pivot!$AD$1:$BE$65000,$B672,E$5)=1,1,IF(INDEX([1]Pivot!$B$1:$AB$65000,$B672,E$5)="",2,0)),0)</f>
        <v>0</v>
      </c>
      <c r="F672" s="194">
        <f>IFERROR(IF(INDEX([1]Pivot!$AD$1:$BE$65000,$B672,F$5)=1,1,IF(INDEX([1]Pivot!$B$1:$AB$65000,$B672,F$5)="",2,0)),0)</f>
        <v>0</v>
      </c>
      <c r="G672" s="194">
        <f>IFERROR(IF(INDEX([1]Pivot!$AD$1:$BE$65000,$B672,G$5)=1,1,IF(INDEX([1]Pivot!$B$1:$AB$65000,$B672,G$5)="",2,0)),0)</f>
        <v>0</v>
      </c>
      <c r="H672" s="194">
        <f>IFERROR(IF(INDEX([1]Pivot!$AD$1:$BE$65000,$B672,H$5)=1,1,IF(INDEX([1]Pivot!$B$1:$AB$65000,$B672,H$5)="",2,0)),0)</f>
        <v>0</v>
      </c>
      <c r="I672" s="194">
        <f>IFERROR(IF(INDEX([1]Pivot!$AD$1:$BE$65000,$B672,I$5)=1,1,IF(INDEX([1]Pivot!$B$1:$AB$65000,$B672,I$5)="",2,0)),0)</f>
        <v>0</v>
      </c>
      <c r="J672" s="194">
        <f>IFERROR(IF(INDEX([1]Pivot!$AD$1:$BE$65000,$B672,J$5)=1,1,IF(INDEX([1]Pivot!$B$1:$AB$65000,$B672,J$5)="",2,0)),0)</f>
        <v>0</v>
      </c>
      <c r="K672" s="194">
        <f>IFERROR(IF(INDEX([1]Pivot!$AD$1:$BE$65000,$B672,K$5)=1,1,IF(INDEX([1]Pivot!$B$1:$AB$65000,$B672,K$5)="",2,0)),0)</f>
        <v>0</v>
      </c>
      <c r="L672" s="194">
        <f>IFERROR(IF(INDEX([1]Pivot!$AD$1:$BE$65000,$B672,L$5)=1,1,IF(INDEX([1]Pivot!$B$1:$AB$65000,$B672,L$5)="",2,0)),0)</f>
        <v>0</v>
      </c>
      <c r="M672" s="194">
        <f>IFERROR(IF(INDEX([1]Pivot!$AD$1:$BE$65000,$B672,M$5)=1,1,IF(INDEX([1]Pivot!$B$1:$AB$65000,$B672,M$5)="",2,0)),0)</f>
        <v>0</v>
      </c>
      <c r="N672" s="194">
        <f>IFERROR(IF(INDEX([1]Pivot!$AD$1:$BE$65000,$B672,N$5)=1,1,IF(INDEX([1]Pivot!$B$1:$AB$65000,$B672,N$5)="",2,0)),0)</f>
        <v>0</v>
      </c>
      <c r="O672" s="194">
        <f>IFERROR(IF(INDEX([1]Pivot!$AD$1:$BE$65000,$B672,O$5)=1,1,IF(INDEX([1]Pivot!$B$1:$AB$65000,$B672,O$5)="",2,0)),0)</f>
        <v>0</v>
      </c>
      <c r="P672" s="194">
        <f>IFERROR(IF(INDEX([1]Pivot!$AD$1:$BE$65000,$B672,P$5)=1,1,IF(INDEX([1]Pivot!$B$1:$AB$65000,$B672,P$5)="",2,0)),0)</f>
        <v>0</v>
      </c>
      <c r="Q672" s="194">
        <f>IFERROR(IF(INDEX([1]Pivot!$AD$1:$BE$65000,$B672,Q$5)=1,1,IF(INDEX([1]Pivot!$B$1:$AB$65000,$B672,Q$5)="",2,0)),0)</f>
        <v>0</v>
      </c>
      <c r="R672" s="312"/>
      <c r="S672" s="194">
        <f>IFERROR(IF(INDEX([1]Pivot!$AD$1:$BE$65000,$B672,S$5)=1,1,IF(INDEX([1]Pivot!$B$1:$AB$65000,$B672,S$5)="",2,0)),0)</f>
        <v>0</v>
      </c>
      <c r="T672" s="194">
        <f>IFERROR(IF(INDEX([1]Pivot!$AD$1:$BE$65000,$B672,T$5)=1,1,IF(INDEX([1]Pivot!$B$1:$AB$65000,$B672,T$5)="",2,0)),0)</f>
        <v>0</v>
      </c>
      <c r="U672" s="194">
        <f>IFERROR(IF(INDEX([1]Pivot!$AD$1:$BE$65000,$B672,U$5)=1,1,IF(INDEX([1]Pivot!$B$1:$AB$65000,$B672,U$5)="",2,0)),0)</f>
        <v>0</v>
      </c>
      <c r="V672" s="194">
        <f>IFERROR(IF(INDEX([1]Pivot!$AD$1:$BE$65000,$B672,V$5)=1,1,IF(INDEX([1]Pivot!$B$1:$AB$65000,$B672,V$5)="",2,0)),0)</f>
        <v>0</v>
      </c>
      <c r="W672" s="194">
        <f>IFERROR(IF(INDEX([1]Pivot!$AD$1:$BE$65000,$B672,W$5)=1,1,IF(INDEX([1]Pivot!$B$1:$AB$65000,$B672,W$5)="",2,0)),0)</f>
        <v>0</v>
      </c>
      <c r="X672" s="194">
        <f>IFERROR(IF(INDEX([1]Pivot!$AD$1:$BE$65000,$B672,X$5)=1,1,IF(INDEX([1]Pivot!$B$1:$AB$65000,$B672,X$5)="",2,0)),0)</f>
        <v>0</v>
      </c>
      <c r="Y672" s="194">
        <f>IFERROR(IF(INDEX([1]Pivot!$AD$1:$BE$65000,$B672,Y$5)=1,1,IF(INDEX([1]Pivot!$B$1:$AB$65000,$B672,Y$5)="",2,0)),0)</f>
        <v>0</v>
      </c>
      <c r="Z672" s="194">
        <f>IFERROR(IF(INDEX([1]Pivot!$AD$1:$BE$65000,$B672,Z$5)=1,1,IF(INDEX([1]Pivot!$B$1:$AB$65000,$B672,Z$5)="",2,0)),0)</f>
        <v>0</v>
      </c>
      <c r="AA672" s="194">
        <f>IFERROR(IF(INDEX([1]Pivot!$AD$1:$BE$65000,$B672,AA$5)=1,1,IF(INDEX([1]Pivot!$B$1:$AB$65000,$B672,AA$5)="",2,0)),0)</f>
        <v>0</v>
      </c>
      <c r="AB672" s="194">
        <f>IFERROR(IF(INDEX([1]Pivot!$AD$1:$BE$65000,$B672,AB$5)=1,1,IF(INDEX([1]Pivot!$B$1:$AB$65000,$B672,AB$5)="",2,0)),0)</f>
        <v>0</v>
      </c>
      <c r="AC672" s="194">
        <f>IFERROR(IF(INDEX([1]Pivot!$AD$1:$BE$65000,$B672,AC$5)=1,1,IF(INDEX([1]Pivot!$B$1:$AB$65000,$B672,AC$5)="",2,0)),0)</f>
        <v>0</v>
      </c>
      <c r="AD672" s="313">
        <f>IFERROR(IF(INDEX([1]Pivot!$BF$1:$CG$65000,$B672,AD$5)=1,1,IF(INDEX([1]Pivot!$B$1:$AB$65000,$B672,AD$5)="",2,0)),0)</f>
        <v>0</v>
      </c>
      <c r="AE672" s="313">
        <f>IFERROR(IF(INDEX([1]Pivot!$BF$1:$CG$65000,$B672,AE$5)=1,1,IF(INDEX([1]Pivot!$B$1:$AB$65000,$B672,AE$5)="",2,0)),0)</f>
        <v>0</v>
      </c>
      <c r="AF672" s="313">
        <f>IFERROR(IF(INDEX([1]Pivot!$BF$1:$CG$65000,$B672,AF$5)=1,1,IF(INDEX([1]Pivot!$B$1:$AB$65000,$B672,AF$5)="",2,0)),0)</f>
        <v>0</v>
      </c>
      <c r="AG672" s="313">
        <f>IFERROR(IF(INDEX([1]Pivot!$BF$1:$CG$65000,$B672,AG$5)=1,1,IF(INDEX([1]Pivot!$B$1:$AB$65000,$B672,AG$5)="",2,0)),0)</f>
        <v>0</v>
      </c>
      <c r="AH672" s="313">
        <f>IFERROR(IF(INDEX([1]Pivot!$BF$1:$CG$65000,$B672,AH$5)=1,1,IF(INDEX([1]Pivot!$B$1:$AB$65000,$B672,AH$5)="",2,0)),0)</f>
        <v>0</v>
      </c>
      <c r="AI672" s="313">
        <f>IFERROR(IF(INDEX([1]Pivot!$BF$1:$CG$65000,$B672,AI$5)=1,1,IF(INDEX([1]Pivot!$B$1:$AB$65000,$B672,AI$5)="",2,0)),0)</f>
        <v>0</v>
      </c>
      <c r="AJ672" s="313">
        <f>IFERROR(IF(INDEX([1]Pivot!$BF$1:$CG$65000,$B672,AJ$5)=1,1,IF(INDEX([1]Pivot!$B$1:$AB$65000,$B672,AJ$5)="",2,0)),0)</f>
        <v>0</v>
      </c>
      <c r="AK672" s="313">
        <f>IFERROR(IF(INDEX([1]Pivot!$BF$1:$CG$65000,$B672,AK$5)=1,1,IF(INDEX([1]Pivot!$B$1:$AB$65000,$B672,AK$5)="",2,0)),0)</f>
        <v>0</v>
      </c>
      <c r="AL672" s="313">
        <f>IFERROR(IF(INDEX([1]Pivot!$BF$1:$CG$65000,$B672,AL$5)=1,1,IF(INDEX([1]Pivot!$B$1:$AB$65000,$B672,AL$5)="",2,0)),0)</f>
        <v>0</v>
      </c>
      <c r="AM672" s="313">
        <f>IFERROR(IF(INDEX([1]Pivot!$BF$1:$CG$65000,$B672,AM$5)=1,1,IF(INDEX([1]Pivot!$B$1:$AB$65000,$B672,AM$5)="",2,0)),0)</f>
        <v>0</v>
      </c>
      <c r="AN672" s="313">
        <f>IFERROR(IF(INDEX([1]Pivot!$BF$1:$CG$65000,$B672,AN$5)=1,1,IF(INDEX([1]Pivot!$B$1:$AB$65000,$B672,AN$5)="",2,0)),0)</f>
        <v>0</v>
      </c>
      <c r="AO672" s="313">
        <f>IFERROR(IF(INDEX([1]Pivot!$BF$1:$CG$65000,$B672,AO$5)=1,1,IF(INDEX([1]Pivot!$B$1:$AB$65000,$B672,AO$5)="",2,0)),0)</f>
        <v>0</v>
      </c>
      <c r="AP672" s="313">
        <f>IFERROR(IF(INDEX([1]Pivot!$BF$1:$CG$65000,$B672,AP$5)=1,1,IF(INDEX([1]Pivot!$B$1:$AB$65000,$B672,AP$5)="",2,0)),0)</f>
        <v>0</v>
      </c>
      <c r="AQ672" s="313">
        <f>IFERROR(IF(INDEX([1]Pivot!$BF$1:$CG$65000,$B672,AQ$5)=1,1,IF(INDEX([1]Pivot!$B$1:$AB$65000,$B672,AQ$5)="",2,0)),0)</f>
        <v>0</v>
      </c>
      <c r="AR672" s="313">
        <f>IFERROR(IF(INDEX([1]Pivot!$BF$1:$CG$65000,$B672,AR$5)=1,1,IF(INDEX([1]Pivot!$B$1:$AB$65000,$B672,AR$5)="",2,0)),0)</f>
        <v>0</v>
      </c>
      <c r="AS672" s="312"/>
      <c r="AT672" s="313">
        <f>IFERROR(IF(INDEX([1]Pivot!$BF$1:$CG$65000,$B672,AT$5)=1,1,IF(INDEX([1]Pivot!$B$1:$AB$65000,$B672,AT$5)="",2,0)),0)</f>
        <v>0</v>
      </c>
      <c r="AU672" s="313">
        <f>IFERROR(IF(INDEX([1]Pivot!$BF$1:$CG$65000,$B672,AU$5)=1,1,IF(INDEX([1]Pivot!$B$1:$AB$65000,$B672,AU$5)="",2,0)),0)</f>
        <v>0</v>
      </c>
      <c r="AV672" s="313">
        <f>IFERROR(IF(INDEX([1]Pivot!$BF$1:$CG$65000,$B672,AV$5)=1,1,IF(INDEX([1]Pivot!$B$1:$AB$65000,$B672,AV$5)="",2,0)),0)</f>
        <v>0</v>
      </c>
      <c r="AW672" s="313">
        <f>IFERROR(IF(INDEX([1]Pivot!$BF$1:$CG$65000,$B672,AW$5)=1,1,IF(INDEX([1]Pivot!$B$1:$AB$65000,$B672,AW$5)="",2,0)),0)</f>
        <v>0</v>
      </c>
      <c r="AX672" s="313">
        <f>IFERROR(IF(INDEX([1]Pivot!$BF$1:$CG$65000,$B672,AX$5)=1,1,IF(INDEX([1]Pivot!$B$1:$AB$65000,$B672,AX$5)="",2,0)),0)</f>
        <v>0</v>
      </c>
      <c r="AY672" s="313">
        <f>IFERROR(IF(INDEX([1]Pivot!$BF$1:$CG$65000,$B672,AY$5)=1,1,IF(INDEX([1]Pivot!$B$1:$AB$65000,$B672,AY$5)="",2,0)),0)</f>
        <v>0</v>
      </c>
      <c r="AZ672" s="313">
        <f>IFERROR(IF(INDEX([1]Pivot!$BF$1:$CG$65000,$B672,AZ$5)=1,1,IF(INDEX([1]Pivot!$B$1:$AB$65000,$B672,AZ$5)="",2,0)),0)</f>
        <v>0</v>
      </c>
      <c r="BA672" s="313">
        <f>IFERROR(IF(INDEX([1]Pivot!$BF$1:$CG$65000,$B672,BA$5)=1,1,IF(INDEX([1]Pivot!$B$1:$AB$65000,$B672,BA$5)="",2,0)),0)</f>
        <v>0</v>
      </c>
      <c r="BB672" s="313">
        <f>IFERROR(IF(INDEX([1]Pivot!$BF$1:$CG$65000,$B672,BB$5)=1,1,IF(INDEX([1]Pivot!$B$1:$AB$65000,$B672,BB$5)="",2,0)),0)</f>
        <v>0</v>
      </c>
      <c r="BC672" s="313">
        <f>IFERROR(IF(INDEX([1]Pivot!$BF$1:$CG$65000,$B672,BC$5)=1,1,IF(INDEX([1]Pivot!$B$1:$AB$65000,$B672,BC$5)="",2,0)),0)</f>
        <v>0</v>
      </c>
      <c r="BD672" s="313">
        <f>IFERROR(IF(INDEX([1]Pivot!$BF$1:$CG$65000,$B672,BD$5)=1,1,IF(INDEX([1]Pivot!$B$1:$AB$65000,$B672,BD$5)="",2,0)),0)</f>
        <v>0</v>
      </c>
    </row>
    <row r="673" spans="1:56" x14ac:dyDescent="0.25">
      <c r="A673" s="288">
        <f>'[2]Raw Milk Prices'!A673</f>
        <v>0</v>
      </c>
      <c r="B673" s="296" t="e">
        <f>MATCH(DATE(LEFT('[2]Raw Milk Prices'!$A673,4),RIGHT('[2]Raw Milk Prices'!$A673,2),1),[1]Pivot!$A$1:$A$65000,0)</f>
        <v>#VALUE!</v>
      </c>
      <c r="C673" s="194">
        <f>IFERROR(IF(INDEX([1]Pivot!$AD$1:$BE$65000,$B673,C$5)=1,1,IF(INDEX([1]Pivot!$B$1:$AB$65000,$B673,C$5)="",2,0)),0)</f>
        <v>0</v>
      </c>
      <c r="D673" s="194">
        <f>IFERROR(IF(INDEX([1]Pivot!$AD$1:$BE$65000,$B673,D$5)=1,1,IF(INDEX([1]Pivot!$B$1:$AB$65000,$B673,D$5)="",2,0)),0)</f>
        <v>0</v>
      </c>
      <c r="E673" s="194">
        <f>IFERROR(IF(INDEX([1]Pivot!$AD$1:$BE$65000,$B673,E$5)=1,1,IF(INDEX([1]Pivot!$B$1:$AB$65000,$B673,E$5)="",2,0)),0)</f>
        <v>0</v>
      </c>
      <c r="F673" s="194">
        <f>IFERROR(IF(INDEX([1]Pivot!$AD$1:$BE$65000,$B673,F$5)=1,1,IF(INDEX([1]Pivot!$B$1:$AB$65000,$B673,F$5)="",2,0)),0)</f>
        <v>0</v>
      </c>
      <c r="G673" s="194">
        <f>IFERROR(IF(INDEX([1]Pivot!$AD$1:$BE$65000,$B673,G$5)=1,1,IF(INDEX([1]Pivot!$B$1:$AB$65000,$B673,G$5)="",2,0)),0)</f>
        <v>0</v>
      </c>
      <c r="H673" s="194">
        <f>IFERROR(IF(INDEX([1]Pivot!$AD$1:$BE$65000,$B673,H$5)=1,1,IF(INDEX([1]Pivot!$B$1:$AB$65000,$B673,H$5)="",2,0)),0)</f>
        <v>0</v>
      </c>
      <c r="I673" s="194">
        <f>IFERROR(IF(INDEX([1]Pivot!$AD$1:$BE$65000,$B673,I$5)=1,1,IF(INDEX([1]Pivot!$B$1:$AB$65000,$B673,I$5)="",2,0)),0)</f>
        <v>0</v>
      </c>
      <c r="J673" s="194">
        <f>IFERROR(IF(INDEX([1]Pivot!$AD$1:$BE$65000,$B673,J$5)=1,1,IF(INDEX([1]Pivot!$B$1:$AB$65000,$B673,J$5)="",2,0)),0)</f>
        <v>0</v>
      </c>
      <c r="K673" s="194">
        <f>IFERROR(IF(INDEX([1]Pivot!$AD$1:$BE$65000,$B673,K$5)=1,1,IF(INDEX([1]Pivot!$B$1:$AB$65000,$B673,K$5)="",2,0)),0)</f>
        <v>0</v>
      </c>
      <c r="L673" s="194">
        <f>IFERROR(IF(INDEX([1]Pivot!$AD$1:$BE$65000,$B673,L$5)=1,1,IF(INDEX([1]Pivot!$B$1:$AB$65000,$B673,L$5)="",2,0)),0)</f>
        <v>0</v>
      </c>
      <c r="M673" s="194">
        <f>IFERROR(IF(INDEX([1]Pivot!$AD$1:$BE$65000,$B673,M$5)=1,1,IF(INDEX([1]Pivot!$B$1:$AB$65000,$B673,M$5)="",2,0)),0)</f>
        <v>0</v>
      </c>
      <c r="N673" s="194">
        <f>IFERROR(IF(INDEX([1]Pivot!$AD$1:$BE$65000,$B673,N$5)=1,1,IF(INDEX([1]Pivot!$B$1:$AB$65000,$B673,N$5)="",2,0)),0)</f>
        <v>0</v>
      </c>
      <c r="O673" s="194">
        <f>IFERROR(IF(INDEX([1]Pivot!$AD$1:$BE$65000,$B673,O$5)=1,1,IF(INDEX([1]Pivot!$B$1:$AB$65000,$B673,O$5)="",2,0)),0)</f>
        <v>0</v>
      </c>
      <c r="P673" s="194">
        <f>IFERROR(IF(INDEX([1]Pivot!$AD$1:$BE$65000,$B673,P$5)=1,1,IF(INDEX([1]Pivot!$B$1:$AB$65000,$B673,P$5)="",2,0)),0)</f>
        <v>0</v>
      </c>
      <c r="Q673" s="194">
        <f>IFERROR(IF(INDEX([1]Pivot!$AD$1:$BE$65000,$B673,Q$5)=1,1,IF(INDEX([1]Pivot!$B$1:$AB$65000,$B673,Q$5)="",2,0)),0)</f>
        <v>0</v>
      </c>
      <c r="R673" s="312"/>
      <c r="S673" s="194">
        <f>IFERROR(IF(INDEX([1]Pivot!$AD$1:$BE$65000,$B673,S$5)=1,1,IF(INDEX([1]Pivot!$B$1:$AB$65000,$B673,S$5)="",2,0)),0)</f>
        <v>0</v>
      </c>
      <c r="T673" s="194">
        <f>IFERROR(IF(INDEX([1]Pivot!$AD$1:$BE$65000,$B673,T$5)=1,1,IF(INDEX([1]Pivot!$B$1:$AB$65000,$B673,T$5)="",2,0)),0)</f>
        <v>0</v>
      </c>
      <c r="U673" s="194">
        <f>IFERROR(IF(INDEX([1]Pivot!$AD$1:$BE$65000,$B673,U$5)=1,1,IF(INDEX([1]Pivot!$B$1:$AB$65000,$B673,U$5)="",2,0)),0)</f>
        <v>0</v>
      </c>
      <c r="V673" s="194">
        <f>IFERROR(IF(INDEX([1]Pivot!$AD$1:$BE$65000,$B673,V$5)=1,1,IF(INDEX([1]Pivot!$B$1:$AB$65000,$B673,V$5)="",2,0)),0)</f>
        <v>0</v>
      </c>
      <c r="W673" s="194">
        <f>IFERROR(IF(INDEX([1]Pivot!$AD$1:$BE$65000,$B673,W$5)=1,1,IF(INDEX([1]Pivot!$B$1:$AB$65000,$B673,W$5)="",2,0)),0)</f>
        <v>0</v>
      </c>
      <c r="X673" s="194">
        <f>IFERROR(IF(INDEX([1]Pivot!$AD$1:$BE$65000,$B673,X$5)=1,1,IF(INDEX([1]Pivot!$B$1:$AB$65000,$B673,X$5)="",2,0)),0)</f>
        <v>0</v>
      </c>
      <c r="Y673" s="194">
        <f>IFERROR(IF(INDEX([1]Pivot!$AD$1:$BE$65000,$B673,Y$5)=1,1,IF(INDEX([1]Pivot!$B$1:$AB$65000,$B673,Y$5)="",2,0)),0)</f>
        <v>0</v>
      </c>
      <c r="Z673" s="194">
        <f>IFERROR(IF(INDEX([1]Pivot!$AD$1:$BE$65000,$B673,Z$5)=1,1,IF(INDEX([1]Pivot!$B$1:$AB$65000,$B673,Z$5)="",2,0)),0)</f>
        <v>0</v>
      </c>
      <c r="AA673" s="194">
        <f>IFERROR(IF(INDEX([1]Pivot!$AD$1:$BE$65000,$B673,AA$5)=1,1,IF(INDEX([1]Pivot!$B$1:$AB$65000,$B673,AA$5)="",2,0)),0)</f>
        <v>0</v>
      </c>
      <c r="AB673" s="194">
        <f>IFERROR(IF(INDEX([1]Pivot!$AD$1:$BE$65000,$B673,AB$5)=1,1,IF(INDEX([1]Pivot!$B$1:$AB$65000,$B673,AB$5)="",2,0)),0)</f>
        <v>0</v>
      </c>
      <c r="AC673" s="194">
        <f>IFERROR(IF(INDEX([1]Pivot!$AD$1:$BE$65000,$B673,AC$5)=1,1,IF(INDEX([1]Pivot!$B$1:$AB$65000,$B673,AC$5)="",2,0)),0)</f>
        <v>0</v>
      </c>
      <c r="AD673" s="313">
        <f>IFERROR(IF(INDEX([1]Pivot!$BF$1:$CG$65000,$B673,AD$5)=1,1,IF(INDEX([1]Pivot!$B$1:$AB$65000,$B673,AD$5)="",2,0)),0)</f>
        <v>0</v>
      </c>
      <c r="AE673" s="313">
        <f>IFERROR(IF(INDEX([1]Pivot!$BF$1:$CG$65000,$B673,AE$5)=1,1,IF(INDEX([1]Pivot!$B$1:$AB$65000,$B673,AE$5)="",2,0)),0)</f>
        <v>0</v>
      </c>
      <c r="AF673" s="313">
        <f>IFERROR(IF(INDEX([1]Pivot!$BF$1:$CG$65000,$B673,AF$5)=1,1,IF(INDEX([1]Pivot!$B$1:$AB$65000,$B673,AF$5)="",2,0)),0)</f>
        <v>0</v>
      </c>
      <c r="AG673" s="313">
        <f>IFERROR(IF(INDEX([1]Pivot!$BF$1:$CG$65000,$B673,AG$5)=1,1,IF(INDEX([1]Pivot!$B$1:$AB$65000,$B673,AG$5)="",2,0)),0)</f>
        <v>0</v>
      </c>
      <c r="AH673" s="313">
        <f>IFERROR(IF(INDEX([1]Pivot!$BF$1:$CG$65000,$B673,AH$5)=1,1,IF(INDEX([1]Pivot!$B$1:$AB$65000,$B673,AH$5)="",2,0)),0)</f>
        <v>0</v>
      </c>
      <c r="AI673" s="313">
        <f>IFERROR(IF(INDEX([1]Pivot!$BF$1:$CG$65000,$B673,AI$5)=1,1,IF(INDEX([1]Pivot!$B$1:$AB$65000,$B673,AI$5)="",2,0)),0)</f>
        <v>0</v>
      </c>
      <c r="AJ673" s="313">
        <f>IFERROR(IF(INDEX([1]Pivot!$BF$1:$CG$65000,$B673,AJ$5)=1,1,IF(INDEX([1]Pivot!$B$1:$AB$65000,$B673,AJ$5)="",2,0)),0)</f>
        <v>0</v>
      </c>
      <c r="AK673" s="313">
        <f>IFERROR(IF(INDEX([1]Pivot!$BF$1:$CG$65000,$B673,AK$5)=1,1,IF(INDEX([1]Pivot!$B$1:$AB$65000,$B673,AK$5)="",2,0)),0)</f>
        <v>0</v>
      </c>
      <c r="AL673" s="313">
        <f>IFERROR(IF(INDEX([1]Pivot!$BF$1:$CG$65000,$B673,AL$5)=1,1,IF(INDEX([1]Pivot!$B$1:$AB$65000,$B673,AL$5)="",2,0)),0)</f>
        <v>0</v>
      </c>
      <c r="AM673" s="313">
        <f>IFERROR(IF(INDEX([1]Pivot!$BF$1:$CG$65000,$B673,AM$5)=1,1,IF(INDEX([1]Pivot!$B$1:$AB$65000,$B673,AM$5)="",2,0)),0)</f>
        <v>0</v>
      </c>
      <c r="AN673" s="313">
        <f>IFERROR(IF(INDEX([1]Pivot!$BF$1:$CG$65000,$B673,AN$5)=1,1,IF(INDEX([1]Pivot!$B$1:$AB$65000,$B673,AN$5)="",2,0)),0)</f>
        <v>0</v>
      </c>
      <c r="AO673" s="313">
        <f>IFERROR(IF(INDEX([1]Pivot!$BF$1:$CG$65000,$B673,AO$5)=1,1,IF(INDEX([1]Pivot!$B$1:$AB$65000,$B673,AO$5)="",2,0)),0)</f>
        <v>0</v>
      </c>
      <c r="AP673" s="313">
        <f>IFERROR(IF(INDEX([1]Pivot!$BF$1:$CG$65000,$B673,AP$5)=1,1,IF(INDEX([1]Pivot!$B$1:$AB$65000,$B673,AP$5)="",2,0)),0)</f>
        <v>0</v>
      </c>
      <c r="AQ673" s="313">
        <f>IFERROR(IF(INDEX([1]Pivot!$BF$1:$CG$65000,$B673,AQ$5)=1,1,IF(INDEX([1]Pivot!$B$1:$AB$65000,$B673,AQ$5)="",2,0)),0)</f>
        <v>0</v>
      </c>
      <c r="AR673" s="313">
        <f>IFERROR(IF(INDEX([1]Pivot!$BF$1:$CG$65000,$B673,AR$5)=1,1,IF(INDEX([1]Pivot!$B$1:$AB$65000,$B673,AR$5)="",2,0)),0)</f>
        <v>0</v>
      </c>
      <c r="AS673" s="312"/>
      <c r="AT673" s="313">
        <f>IFERROR(IF(INDEX([1]Pivot!$BF$1:$CG$65000,$B673,AT$5)=1,1,IF(INDEX([1]Pivot!$B$1:$AB$65000,$B673,AT$5)="",2,0)),0)</f>
        <v>0</v>
      </c>
      <c r="AU673" s="313">
        <f>IFERROR(IF(INDEX([1]Pivot!$BF$1:$CG$65000,$B673,AU$5)=1,1,IF(INDEX([1]Pivot!$B$1:$AB$65000,$B673,AU$5)="",2,0)),0)</f>
        <v>0</v>
      </c>
      <c r="AV673" s="313">
        <f>IFERROR(IF(INDEX([1]Pivot!$BF$1:$CG$65000,$B673,AV$5)=1,1,IF(INDEX([1]Pivot!$B$1:$AB$65000,$B673,AV$5)="",2,0)),0)</f>
        <v>0</v>
      </c>
      <c r="AW673" s="313">
        <f>IFERROR(IF(INDEX([1]Pivot!$BF$1:$CG$65000,$B673,AW$5)=1,1,IF(INDEX([1]Pivot!$B$1:$AB$65000,$B673,AW$5)="",2,0)),0)</f>
        <v>0</v>
      </c>
      <c r="AX673" s="313">
        <f>IFERROR(IF(INDEX([1]Pivot!$BF$1:$CG$65000,$B673,AX$5)=1,1,IF(INDEX([1]Pivot!$B$1:$AB$65000,$B673,AX$5)="",2,0)),0)</f>
        <v>0</v>
      </c>
      <c r="AY673" s="313">
        <f>IFERROR(IF(INDEX([1]Pivot!$BF$1:$CG$65000,$B673,AY$5)=1,1,IF(INDEX([1]Pivot!$B$1:$AB$65000,$B673,AY$5)="",2,0)),0)</f>
        <v>0</v>
      </c>
      <c r="AZ673" s="313">
        <f>IFERROR(IF(INDEX([1]Pivot!$BF$1:$CG$65000,$B673,AZ$5)=1,1,IF(INDEX([1]Pivot!$B$1:$AB$65000,$B673,AZ$5)="",2,0)),0)</f>
        <v>0</v>
      </c>
      <c r="BA673" s="313">
        <f>IFERROR(IF(INDEX([1]Pivot!$BF$1:$CG$65000,$B673,BA$5)=1,1,IF(INDEX([1]Pivot!$B$1:$AB$65000,$B673,BA$5)="",2,0)),0)</f>
        <v>0</v>
      </c>
      <c r="BB673" s="313">
        <f>IFERROR(IF(INDEX([1]Pivot!$BF$1:$CG$65000,$B673,BB$5)=1,1,IF(INDEX([1]Pivot!$B$1:$AB$65000,$B673,BB$5)="",2,0)),0)</f>
        <v>0</v>
      </c>
      <c r="BC673" s="313">
        <f>IFERROR(IF(INDEX([1]Pivot!$BF$1:$CG$65000,$B673,BC$5)=1,1,IF(INDEX([1]Pivot!$B$1:$AB$65000,$B673,BC$5)="",2,0)),0)</f>
        <v>0</v>
      </c>
      <c r="BD673" s="313">
        <f>IFERROR(IF(INDEX([1]Pivot!$BF$1:$CG$65000,$B673,BD$5)=1,1,IF(INDEX([1]Pivot!$B$1:$AB$65000,$B673,BD$5)="",2,0)),0)</f>
        <v>0</v>
      </c>
    </row>
    <row r="674" spans="1:56" x14ac:dyDescent="0.25">
      <c r="A674" s="288">
        <f>'[2]Raw Milk Prices'!A674</f>
        <v>0</v>
      </c>
      <c r="B674" s="296" t="e">
        <f>MATCH(DATE(LEFT('[2]Raw Milk Prices'!$A674,4),RIGHT('[2]Raw Milk Prices'!$A674,2),1),[1]Pivot!$A$1:$A$65000,0)</f>
        <v>#VALUE!</v>
      </c>
      <c r="C674" s="194">
        <f>IFERROR(IF(INDEX([1]Pivot!$AD$1:$BE$65000,$B674,C$5)=1,1,IF(INDEX([1]Pivot!$B$1:$AB$65000,$B674,C$5)="",2,0)),0)</f>
        <v>0</v>
      </c>
      <c r="D674" s="194">
        <f>IFERROR(IF(INDEX([1]Pivot!$AD$1:$BE$65000,$B674,D$5)=1,1,IF(INDEX([1]Pivot!$B$1:$AB$65000,$B674,D$5)="",2,0)),0)</f>
        <v>0</v>
      </c>
      <c r="E674" s="194">
        <f>IFERROR(IF(INDEX([1]Pivot!$AD$1:$BE$65000,$B674,E$5)=1,1,IF(INDEX([1]Pivot!$B$1:$AB$65000,$B674,E$5)="",2,0)),0)</f>
        <v>0</v>
      </c>
      <c r="F674" s="194">
        <f>IFERROR(IF(INDEX([1]Pivot!$AD$1:$BE$65000,$B674,F$5)=1,1,IF(INDEX([1]Pivot!$B$1:$AB$65000,$B674,F$5)="",2,0)),0)</f>
        <v>0</v>
      </c>
      <c r="G674" s="194">
        <f>IFERROR(IF(INDEX([1]Pivot!$AD$1:$BE$65000,$B674,G$5)=1,1,IF(INDEX([1]Pivot!$B$1:$AB$65000,$B674,G$5)="",2,0)),0)</f>
        <v>0</v>
      </c>
      <c r="H674" s="194">
        <f>IFERROR(IF(INDEX([1]Pivot!$AD$1:$BE$65000,$B674,H$5)=1,1,IF(INDEX([1]Pivot!$B$1:$AB$65000,$B674,H$5)="",2,0)),0)</f>
        <v>0</v>
      </c>
      <c r="I674" s="194">
        <f>IFERROR(IF(INDEX([1]Pivot!$AD$1:$BE$65000,$B674,I$5)=1,1,IF(INDEX([1]Pivot!$B$1:$AB$65000,$B674,I$5)="",2,0)),0)</f>
        <v>0</v>
      </c>
      <c r="J674" s="194">
        <f>IFERROR(IF(INDEX([1]Pivot!$AD$1:$BE$65000,$B674,J$5)=1,1,IF(INDEX([1]Pivot!$B$1:$AB$65000,$B674,J$5)="",2,0)),0)</f>
        <v>0</v>
      </c>
      <c r="K674" s="194">
        <f>IFERROR(IF(INDEX([1]Pivot!$AD$1:$BE$65000,$B674,K$5)=1,1,IF(INDEX([1]Pivot!$B$1:$AB$65000,$B674,K$5)="",2,0)),0)</f>
        <v>0</v>
      </c>
      <c r="L674" s="194">
        <f>IFERROR(IF(INDEX([1]Pivot!$AD$1:$BE$65000,$B674,L$5)=1,1,IF(INDEX([1]Pivot!$B$1:$AB$65000,$B674,L$5)="",2,0)),0)</f>
        <v>0</v>
      </c>
      <c r="M674" s="194">
        <f>IFERROR(IF(INDEX([1]Pivot!$AD$1:$BE$65000,$B674,M$5)=1,1,IF(INDEX([1]Pivot!$B$1:$AB$65000,$B674,M$5)="",2,0)),0)</f>
        <v>0</v>
      </c>
      <c r="N674" s="194">
        <f>IFERROR(IF(INDEX([1]Pivot!$AD$1:$BE$65000,$B674,N$5)=1,1,IF(INDEX([1]Pivot!$B$1:$AB$65000,$B674,N$5)="",2,0)),0)</f>
        <v>0</v>
      </c>
      <c r="O674" s="194">
        <f>IFERROR(IF(INDEX([1]Pivot!$AD$1:$BE$65000,$B674,O$5)=1,1,IF(INDEX([1]Pivot!$B$1:$AB$65000,$B674,O$5)="",2,0)),0)</f>
        <v>0</v>
      </c>
      <c r="P674" s="194">
        <f>IFERROR(IF(INDEX([1]Pivot!$AD$1:$BE$65000,$B674,P$5)=1,1,IF(INDEX([1]Pivot!$B$1:$AB$65000,$B674,P$5)="",2,0)),0)</f>
        <v>0</v>
      </c>
      <c r="Q674" s="194">
        <f>IFERROR(IF(INDEX([1]Pivot!$AD$1:$BE$65000,$B674,Q$5)=1,1,IF(INDEX([1]Pivot!$B$1:$AB$65000,$B674,Q$5)="",2,0)),0)</f>
        <v>0</v>
      </c>
      <c r="R674" s="312"/>
      <c r="S674" s="194">
        <f>IFERROR(IF(INDEX([1]Pivot!$AD$1:$BE$65000,$B674,S$5)=1,1,IF(INDEX([1]Pivot!$B$1:$AB$65000,$B674,S$5)="",2,0)),0)</f>
        <v>0</v>
      </c>
      <c r="T674" s="194">
        <f>IFERROR(IF(INDEX([1]Pivot!$AD$1:$BE$65000,$B674,T$5)=1,1,IF(INDEX([1]Pivot!$B$1:$AB$65000,$B674,T$5)="",2,0)),0)</f>
        <v>0</v>
      </c>
      <c r="U674" s="194">
        <f>IFERROR(IF(INDEX([1]Pivot!$AD$1:$BE$65000,$B674,U$5)=1,1,IF(INDEX([1]Pivot!$B$1:$AB$65000,$B674,U$5)="",2,0)),0)</f>
        <v>0</v>
      </c>
      <c r="V674" s="194">
        <f>IFERROR(IF(INDEX([1]Pivot!$AD$1:$BE$65000,$B674,V$5)=1,1,IF(INDEX([1]Pivot!$B$1:$AB$65000,$B674,V$5)="",2,0)),0)</f>
        <v>0</v>
      </c>
      <c r="W674" s="194">
        <f>IFERROR(IF(INDEX([1]Pivot!$AD$1:$BE$65000,$B674,W$5)=1,1,IF(INDEX([1]Pivot!$B$1:$AB$65000,$B674,W$5)="",2,0)),0)</f>
        <v>0</v>
      </c>
      <c r="X674" s="194">
        <f>IFERROR(IF(INDEX([1]Pivot!$AD$1:$BE$65000,$B674,X$5)=1,1,IF(INDEX([1]Pivot!$B$1:$AB$65000,$B674,X$5)="",2,0)),0)</f>
        <v>0</v>
      </c>
      <c r="Y674" s="194">
        <f>IFERROR(IF(INDEX([1]Pivot!$AD$1:$BE$65000,$B674,Y$5)=1,1,IF(INDEX([1]Pivot!$B$1:$AB$65000,$B674,Y$5)="",2,0)),0)</f>
        <v>0</v>
      </c>
      <c r="Z674" s="194">
        <f>IFERROR(IF(INDEX([1]Pivot!$AD$1:$BE$65000,$B674,Z$5)=1,1,IF(INDEX([1]Pivot!$B$1:$AB$65000,$B674,Z$5)="",2,0)),0)</f>
        <v>0</v>
      </c>
      <c r="AA674" s="194">
        <f>IFERROR(IF(INDEX([1]Pivot!$AD$1:$BE$65000,$B674,AA$5)=1,1,IF(INDEX([1]Pivot!$B$1:$AB$65000,$B674,AA$5)="",2,0)),0)</f>
        <v>0</v>
      </c>
      <c r="AB674" s="194">
        <f>IFERROR(IF(INDEX([1]Pivot!$AD$1:$BE$65000,$B674,AB$5)=1,1,IF(INDEX([1]Pivot!$B$1:$AB$65000,$B674,AB$5)="",2,0)),0)</f>
        <v>0</v>
      </c>
      <c r="AC674" s="194">
        <f>IFERROR(IF(INDEX([1]Pivot!$AD$1:$BE$65000,$B674,AC$5)=1,1,IF(INDEX([1]Pivot!$B$1:$AB$65000,$B674,AC$5)="",2,0)),0)</f>
        <v>0</v>
      </c>
      <c r="AD674" s="313">
        <f>IFERROR(IF(INDEX([1]Pivot!$BF$1:$CG$65000,$B674,AD$5)=1,1,IF(INDEX([1]Pivot!$B$1:$AB$65000,$B674,AD$5)="",2,0)),0)</f>
        <v>0</v>
      </c>
      <c r="AE674" s="313">
        <f>IFERROR(IF(INDEX([1]Pivot!$BF$1:$CG$65000,$B674,AE$5)=1,1,IF(INDEX([1]Pivot!$B$1:$AB$65000,$B674,AE$5)="",2,0)),0)</f>
        <v>0</v>
      </c>
      <c r="AF674" s="313">
        <f>IFERROR(IF(INDEX([1]Pivot!$BF$1:$CG$65000,$B674,AF$5)=1,1,IF(INDEX([1]Pivot!$B$1:$AB$65000,$B674,AF$5)="",2,0)),0)</f>
        <v>0</v>
      </c>
      <c r="AG674" s="313">
        <f>IFERROR(IF(INDEX([1]Pivot!$BF$1:$CG$65000,$B674,AG$5)=1,1,IF(INDEX([1]Pivot!$B$1:$AB$65000,$B674,AG$5)="",2,0)),0)</f>
        <v>0</v>
      </c>
      <c r="AH674" s="313">
        <f>IFERROR(IF(INDEX([1]Pivot!$BF$1:$CG$65000,$B674,AH$5)=1,1,IF(INDEX([1]Pivot!$B$1:$AB$65000,$B674,AH$5)="",2,0)),0)</f>
        <v>0</v>
      </c>
      <c r="AI674" s="313">
        <f>IFERROR(IF(INDEX([1]Pivot!$BF$1:$CG$65000,$B674,AI$5)=1,1,IF(INDEX([1]Pivot!$B$1:$AB$65000,$B674,AI$5)="",2,0)),0)</f>
        <v>0</v>
      </c>
      <c r="AJ674" s="313">
        <f>IFERROR(IF(INDEX([1]Pivot!$BF$1:$CG$65000,$B674,AJ$5)=1,1,IF(INDEX([1]Pivot!$B$1:$AB$65000,$B674,AJ$5)="",2,0)),0)</f>
        <v>0</v>
      </c>
      <c r="AK674" s="313">
        <f>IFERROR(IF(INDEX([1]Pivot!$BF$1:$CG$65000,$B674,AK$5)=1,1,IF(INDEX([1]Pivot!$B$1:$AB$65000,$B674,AK$5)="",2,0)),0)</f>
        <v>0</v>
      </c>
      <c r="AL674" s="313">
        <f>IFERROR(IF(INDEX([1]Pivot!$BF$1:$CG$65000,$B674,AL$5)=1,1,IF(INDEX([1]Pivot!$B$1:$AB$65000,$B674,AL$5)="",2,0)),0)</f>
        <v>0</v>
      </c>
      <c r="AM674" s="313">
        <f>IFERROR(IF(INDEX([1]Pivot!$BF$1:$CG$65000,$B674,AM$5)=1,1,IF(INDEX([1]Pivot!$B$1:$AB$65000,$B674,AM$5)="",2,0)),0)</f>
        <v>0</v>
      </c>
      <c r="AN674" s="313">
        <f>IFERROR(IF(INDEX([1]Pivot!$BF$1:$CG$65000,$B674,AN$5)=1,1,IF(INDEX([1]Pivot!$B$1:$AB$65000,$B674,AN$5)="",2,0)),0)</f>
        <v>0</v>
      </c>
      <c r="AO674" s="313">
        <f>IFERROR(IF(INDEX([1]Pivot!$BF$1:$CG$65000,$B674,AO$5)=1,1,IF(INDEX([1]Pivot!$B$1:$AB$65000,$B674,AO$5)="",2,0)),0)</f>
        <v>0</v>
      </c>
      <c r="AP674" s="313">
        <f>IFERROR(IF(INDEX([1]Pivot!$BF$1:$CG$65000,$B674,AP$5)=1,1,IF(INDEX([1]Pivot!$B$1:$AB$65000,$B674,AP$5)="",2,0)),0)</f>
        <v>0</v>
      </c>
      <c r="AQ674" s="313">
        <f>IFERROR(IF(INDEX([1]Pivot!$BF$1:$CG$65000,$B674,AQ$5)=1,1,IF(INDEX([1]Pivot!$B$1:$AB$65000,$B674,AQ$5)="",2,0)),0)</f>
        <v>0</v>
      </c>
      <c r="AR674" s="313">
        <f>IFERROR(IF(INDEX([1]Pivot!$BF$1:$CG$65000,$B674,AR$5)=1,1,IF(INDEX([1]Pivot!$B$1:$AB$65000,$B674,AR$5)="",2,0)),0)</f>
        <v>0</v>
      </c>
      <c r="AS674" s="312"/>
      <c r="AT674" s="313">
        <f>IFERROR(IF(INDEX([1]Pivot!$BF$1:$CG$65000,$B674,AT$5)=1,1,IF(INDEX([1]Pivot!$B$1:$AB$65000,$B674,AT$5)="",2,0)),0)</f>
        <v>0</v>
      </c>
      <c r="AU674" s="313">
        <f>IFERROR(IF(INDEX([1]Pivot!$BF$1:$CG$65000,$B674,AU$5)=1,1,IF(INDEX([1]Pivot!$B$1:$AB$65000,$B674,AU$5)="",2,0)),0)</f>
        <v>0</v>
      </c>
      <c r="AV674" s="313">
        <f>IFERROR(IF(INDEX([1]Pivot!$BF$1:$CG$65000,$B674,AV$5)=1,1,IF(INDEX([1]Pivot!$B$1:$AB$65000,$B674,AV$5)="",2,0)),0)</f>
        <v>0</v>
      </c>
      <c r="AW674" s="313">
        <f>IFERROR(IF(INDEX([1]Pivot!$BF$1:$CG$65000,$B674,AW$5)=1,1,IF(INDEX([1]Pivot!$B$1:$AB$65000,$B674,AW$5)="",2,0)),0)</f>
        <v>0</v>
      </c>
      <c r="AX674" s="313">
        <f>IFERROR(IF(INDEX([1]Pivot!$BF$1:$CG$65000,$B674,AX$5)=1,1,IF(INDEX([1]Pivot!$B$1:$AB$65000,$B674,AX$5)="",2,0)),0)</f>
        <v>0</v>
      </c>
      <c r="AY674" s="313">
        <f>IFERROR(IF(INDEX([1]Pivot!$BF$1:$CG$65000,$B674,AY$5)=1,1,IF(INDEX([1]Pivot!$B$1:$AB$65000,$B674,AY$5)="",2,0)),0)</f>
        <v>0</v>
      </c>
      <c r="AZ674" s="313">
        <f>IFERROR(IF(INDEX([1]Pivot!$BF$1:$CG$65000,$B674,AZ$5)=1,1,IF(INDEX([1]Pivot!$B$1:$AB$65000,$B674,AZ$5)="",2,0)),0)</f>
        <v>0</v>
      </c>
      <c r="BA674" s="313">
        <f>IFERROR(IF(INDEX([1]Pivot!$BF$1:$CG$65000,$B674,BA$5)=1,1,IF(INDEX([1]Pivot!$B$1:$AB$65000,$B674,BA$5)="",2,0)),0)</f>
        <v>0</v>
      </c>
      <c r="BB674" s="313">
        <f>IFERROR(IF(INDEX([1]Pivot!$BF$1:$CG$65000,$B674,BB$5)=1,1,IF(INDEX([1]Pivot!$B$1:$AB$65000,$B674,BB$5)="",2,0)),0)</f>
        <v>0</v>
      </c>
      <c r="BC674" s="313">
        <f>IFERROR(IF(INDEX([1]Pivot!$BF$1:$CG$65000,$B674,BC$5)=1,1,IF(INDEX([1]Pivot!$B$1:$AB$65000,$B674,BC$5)="",2,0)),0)</f>
        <v>0</v>
      </c>
      <c r="BD674" s="313">
        <f>IFERROR(IF(INDEX([1]Pivot!$BF$1:$CG$65000,$B674,BD$5)=1,1,IF(INDEX([1]Pivot!$B$1:$AB$65000,$B674,BD$5)="",2,0)),0)</f>
        <v>0</v>
      </c>
    </row>
    <row r="675" spans="1:56" x14ac:dyDescent="0.25">
      <c r="A675" s="288">
        <f>'[2]Raw Milk Prices'!A675</f>
        <v>0</v>
      </c>
      <c r="B675" s="296" t="e">
        <f>MATCH(DATE(LEFT('[2]Raw Milk Prices'!$A675,4),RIGHT('[2]Raw Milk Prices'!$A675,2),1),[1]Pivot!$A$1:$A$65000,0)</f>
        <v>#VALUE!</v>
      </c>
      <c r="C675" s="194">
        <f>IFERROR(IF(INDEX([1]Pivot!$AD$1:$BE$65000,$B675,C$5)=1,1,IF(INDEX([1]Pivot!$B$1:$AB$65000,$B675,C$5)="",2,0)),0)</f>
        <v>0</v>
      </c>
      <c r="D675" s="194">
        <f>IFERROR(IF(INDEX([1]Pivot!$AD$1:$BE$65000,$B675,D$5)=1,1,IF(INDEX([1]Pivot!$B$1:$AB$65000,$B675,D$5)="",2,0)),0)</f>
        <v>0</v>
      </c>
      <c r="E675" s="194">
        <f>IFERROR(IF(INDEX([1]Pivot!$AD$1:$BE$65000,$B675,E$5)=1,1,IF(INDEX([1]Pivot!$B$1:$AB$65000,$B675,E$5)="",2,0)),0)</f>
        <v>0</v>
      </c>
      <c r="F675" s="194">
        <f>IFERROR(IF(INDEX([1]Pivot!$AD$1:$BE$65000,$B675,F$5)=1,1,IF(INDEX([1]Pivot!$B$1:$AB$65000,$B675,F$5)="",2,0)),0)</f>
        <v>0</v>
      </c>
      <c r="G675" s="194">
        <f>IFERROR(IF(INDEX([1]Pivot!$AD$1:$BE$65000,$B675,G$5)=1,1,IF(INDEX([1]Pivot!$B$1:$AB$65000,$B675,G$5)="",2,0)),0)</f>
        <v>0</v>
      </c>
      <c r="H675" s="194">
        <f>IFERROR(IF(INDEX([1]Pivot!$AD$1:$BE$65000,$B675,H$5)=1,1,IF(INDEX([1]Pivot!$B$1:$AB$65000,$B675,H$5)="",2,0)),0)</f>
        <v>0</v>
      </c>
      <c r="I675" s="194">
        <f>IFERROR(IF(INDEX([1]Pivot!$AD$1:$BE$65000,$B675,I$5)=1,1,IF(INDEX([1]Pivot!$B$1:$AB$65000,$B675,I$5)="",2,0)),0)</f>
        <v>0</v>
      </c>
      <c r="J675" s="194">
        <f>IFERROR(IF(INDEX([1]Pivot!$AD$1:$BE$65000,$B675,J$5)=1,1,IF(INDEX([1]Pivot!$B$1:$AB$65000,$B675,J$5)="",2,0)),0)</f>
        <v>0</v>
      </c>
      <c r="K675" s="194">
        <f>IFERROR(IF(INDEX([1]Pivot!$AD$1:$BE$65000,$B675,K$5)=1,1,IF(INDEX([1]Pivot!$B$1:$AB$65000,$B675,K$5)="",2,0)),0)</f>
        <v>0</v>
      </c>
      <c r="L675" s="194">
        <f>IFERROR(IF(INDEX([1]Pivot!$AD$1:$BE$65000,$B675,L$5)=1,1,IF(INDEX([1]Pivot!$B$1:$AB$65000,$B675,L$5)="",2,0)),0)</f>
        <v>0</v>
      </c>
      <c r="M675" s="194">
        <f>IFERROR(IF(INDEX([1]Pivot!$AD$1:$BE$65000,$B675,M$5)=1,1,IF(INDEX([1]Pivot!$B$1:$AB$65000,$B675,M$5)="",2,0)),0)</f>
        <v>0</v>
      </c>
      <c r="N675" s="194">
        <f>IFERROR(IF(INDEX([1]Pivot!$AD$1:$BE$65000,$B675,N$5)=1,1,IF(INDEX([1]Pivot!$B$1:$AB$65000,$B675,N$5)="",2,0)),0)</f>
        <v>0</v>
      </c>
      <c r="O675" s="194">
        <f>IFERROR(IF(INDEX([1]Pivot!$AD$1:$BE$65000,$B675,O$5)=1,1,IF(INDEX([1]Pivot!$B$1:$AB$65000,$B675,O$5)="",2,0)),0)</f>
        <v>0</v>
      </c>
      <c r="P675" s="194">
        <f>IFERROR(IF(INDEX([1]Pivot!$AD$1:$BE$65000,$B675,P$5)=1,1,IF(INDEX([1]Pivot!$B$1:$AB$65000,$B675,P$5)="",2,0)),0)</f>
        <v>0</v>
      </c>
      <c r="Q675" s="194">
        <f>IFERROR(IF(INDEX([1]Pivot!$AD$1:$BE$65000,$B675,Q$5)=1,1,IF(INDEX([1]Pivot!$B$1:$AB$65000,$B675,Q$5)="",2,0)),0)</f>
        <v>0</v>
      </c>
      <c r="R675" s="312"/>
      <c r="S675" s="194">
        <f>IFERROR(IF(INDEX([1]Pivot!$AD$1:$BE$65000,$B675,S$5)=1,1,IF(INDEX([1]Pivot!$B$1:$AB$65000,$B675,S$5)="",2,0)),0)</f>
        <v>0</v>
      </c>
      <c r="T675" s="194">
        <f>IFERROR(IF(INDEX([1]Pivot!$AD$1:$BE$65000,$B675,T$5)=1,1,IF(INDEX([1]Pivot!$B$1:$AB$65000,$B675,T$5)="",2,0)),0)</f>
        <v>0</v>
      </c>
      <c r="U675" s="194">
        <f>IFERROR(IF(INDEX([1]Pivot!$AD$1:$BE$65000,$B675,U$5)=1,1,IF(INDEX([1]Pivot!$B$1:$AB$65000,$B675,U$5)="",2,0)),0)</f>
        <v>0</v>
      </c>
      <c r="V675" s="194">
        <f>IFERROR(IF(INDEX([1]Pivot!$AD$1:$BE$65000,$B675,V$5)=1,1,IF(INDEX([1]Pivot!$B$1:$AB$65000,$B675,V$5)="",2,0)),0)</f>
        <v>0</v>
      </c>
      <c r="W675" s="194">
        <f>IFERROR(IF(INDEX([1]Pivot!$AD$1:$BE$65000,$B675,W$5)=1,1,IF(INDEX([1]Pivot!$B$1:$AB$65000,$B675,W$5)="",2,0)),0)</f>
        <v>0</v>
      </c>
      <c r="X675" s="194">
        <f>IFERROR(IF(INDEX([1]Pivot!$AD$1:$BE$65000,$B675,X$5)=1,1,IF(INDEX([1]Pivot!$B$1:$AB$65000,$B675,X$5)="",2,0)),0)</f>
        <v>0</v>
      </c>
      <c r="Y675" s="194">
        <f>IFERROR(IF(INDEX([1]Pivot!$AD$1:$BE$65000,$B675,Y$5)=1,1,IF(INDEX([1]Pivot!$B$1:$AB$65000,$B675,Y$5)="",2,0)),0)</f>
        <v>0</v>
      </c>
      <c r="Z675" s="194">
        <f>IFERROR(IF(INDEX([1]Pivot!$AD$1:$BE$65000,$B675,Z$5)=1,1,IF(INDEX([1]Pivot!$B$1:$AB$65000,$B675,Z$5)="",2,0)),0)</f>
        <v>0</v>
      </c>
      <c r="AA675" s="194">
        <f>IFERROR(IF(INDEX([1]Pivot!$AD$1:$BE$65000,$B675,AA$5)=1,1,IF(INDEX([1]Pivot!$B$1:$AB$65000,$B675,AA$5)="",2,0)),0)</f>
        <v>0</v>
      </c>
      <c r="AB675" s="194">
        <f>IFERROR(IF(INDEX([1]Pivot!$AD$1:$BE$65000,$B675,AB$5)=1,1,IF(INDEX([1]Pivot!$B$1:$AB$65000,$B675,AB$5)="",2,0)),0)</f>
        <v>0</v>
      </c>
      <c r="AC675" s="194">
        <f>IFERROR(IF(INDEX([1]Pivot!$AD$1:$BE$65000,$B675,AC$5)=1,1,IF(INDEX([1]Pivot!$B$1:$AB$65000,$B675,AC$5)="",2,0)),0)</f>
        <v>0</v>
      </c>
      <c r="AD675" s="313">
        <f>IFERROR(IF(INDEX([1]Pivot!$BF$1:$CG$65000,$B675,AD$5)=1,1,IF(INDEX([1]Pivot!$B$1:$AB$65000,$B675,AD$5)="",2,0)),0)</f>
        <v>0</v>
      </c>
      <c r="AE675" s="313">
        <f>IFERROR(IF(INDEX([1]Pivot!$BF$1:$CG$65000,$B675,AE$5)=1,1,IF(INDEX([1]Pivot!$B$1:$AB$65000,$B675,AE$5)="",2,0)),0)</f>
        <v>0</v>
      </c>
      <c r="AF675" s="313">
        <f>IFERROR(IF(INDEX([1]Pivot!$BF$1:$CG$65000,$B675,AF$5)=1,1,IF(INDEX([1]Pivot!$B$1:$AB$65000,$B675,AF$5)="",2,0)),0)</f>
        <v>0</v>
      </c>
      <c r="AG675" s="313">
        <f>IFERROR(IF(INDEX([1]Pivot!$BF$1:$CG$65000,$B675,AG$5)=1,1,IF(INDEX([1]Pivot!$B$1:$AB$65000,$B675,AG$5)="",2,0)),0)</f>
        <v>0</v>
      </c>
      <c r="AH675" s="313">
        <f>IFERROR(IF(INDEX([1]Pivot!$BF$1:$CG$65000,$B675,AH$5)=1,1,IF(INDEX([1]Pivot!$B$1:$AB$65000,$B675,AH$5)="",2,0)),0)</f>
        <v>0</v>
      </c>
      <c r="AI675" s="313">
        <f>IFERROR(IF(INDEX([1]Pivot!$BF$1:$CG$65000,$B675,AI$5)=1,1,IF(INDEX([1]Pivot!$B$1:$AB$65000,$B675,AI$5)="",2,0)),0)</f>
        <v>0</v>
      </c>
      <c r="AJ675" s="313">
        <f>IFERROR(IF(INDEX([1]Pivot!$BF$1:$CG$65000,$B675,AJ$5)=1,1,IF(INDEX([1]Pivot!$B$1:$AB$65000,$B675,AJ$5)="",2,0)),0)</f>
        <v>0</v>
      </c>
      <c r="AK675" s="313">
        <f>IFERROR(IF(INDEX([1]Pivot!$BF$1:$CG$65000,$B675,AK$5)=1,1,IF(INDEX([1]Pivot!$B$1:$AB$65000,$B675,AK$5)="",2,0)),0)</f>
        <v>0</v>
      </c>
      <c r="AL675" s="313">
        <f>IFERROR(IF(INDEX([1]Pivot!$BF$1:$CG$65000,$B675,AL$5)=1,1,IF(INDEX([1]Pivot!$B$1:$AB$65000,$B675,AL$5)="",2,0)),0)</f>
        <v>0</v>
      </c>
      <c r="AM675" s="313">
        <f>IFERROR(IF(INDEX([1]Pivot!$BF$1:$CG$65000,$B675,AM$5)=1,1,IF(INDEX([1]Pivot!$B$1:$AB$65000,$B675,AM$5)="",2,0)),0)</f>
        <v>0</v>
      </c>
      <c r="AN675" s="313">
        <f>IFERROR(IF(INDEX([1]Pivot!$BF$1:$CG$65000,$B675,AN$5)=1,1,IF(INDEX([1]Pivot!$B$1:$AB$65000,$B675,AN$5)="",2,0)),0)</f>
        <v>0</v>
      </c>
      <c r="AO675" s="313">
        <f>IFERROR(IF(INDEX([1]Pivot!$BF$1:$CG$65000,$B675,AO$5)=1,1,IF(INDEX([1]Pivot!$B$1:$AB$65000,$B675,AO$5)="",2,0)),0)</f>
        <v>0</v>
      </c>
      <c r="AP675" s="313">
        <f>IFERROR(IF(INDEX([1]Pivot!$BF$1:$CG$65000,$B675,AP$5)=1,1,IF(INDEX([1]Pivot!$B$1:$AB$65000,$B675,AP$5)="",2,0)),0)</f>
        <v>0</v>
      </c>
      <c r="AQ675" s="313">
        <f>IFERROR(IF(INDEX([1]Pivot!$BF$1:$CG$65000,$B675,AQ$5)=1,1,IF(INDEX([1]Pivot!$B$1:$AB$65000,$B675,AQ$5)="",2,0)),0)</f>
        <v>0</v>
      </c>
      <c r="AR675" s="313">
        <f>IFERROR(IF(INDEX([1]Pivot!$BF$1:$CG$65000,$B675,AR$5)=1,1,IF(INDEX([1]Pivot!$B$1:$AB$65000,$B675,AR$5)="",2,0)),0)</f>
        <v>0</v>
      </c>
      <c r="AS675" s="312"/>
      <c r="AT675" s="313">
        <f>IFERROR(IF(INDEX([1]Pivot!$BF$1:$CG$65000,$B675,AT$5)=1,1,IF(INDEX([1]Pivot!$B$1:$AB$65000,$B675,AT$5)="",2,0)),0)</f>
        <v>0</v>
      </c>
      <c r="AU675" s="313">
        <f>IFERROR(IF(INDEX([1]Pivot!$BF$1:$CG$65000,$B675,AU$5)=1,1,IF(INDEX([1]Pivot!$B$1:$AB$65000,$B675,AU$5)="",2,0)),0)</f>
        <v>0</v>
      </c>
      <c r="AV675" s="313">
        <f>IFERROR(IF(INDEX([1]Pivot!$BF$1:$CG$65000,$B675,AV$5)=1,1,IF(INDEX([1]Pivot!$B$1:$AB$65000,$B675,AV$5)="",2,0)),0)</f>
        <v>0</v>
      </c>
      <c r="AW675" s="313">
        <f>IFERROR(IF(INDEX([1]Pivot!$BF$1:$CG$65000,$B675,AW$5)=1,1,IF(INDEX([1]Pivot!$B$1:$AB$65000,$B675,AW$5)="",2,0)),0)</f>
        <v>0</v>
      </c>
      <c r="AX675" s="313">
        <f>IFERROR(IF(INDEX([1]Pivot!$BF$1:$CG$65000,$B675,AX$5)=1,1,IF(INDEX([1]Pivot!$B$1:$AB$65000,$B675,AX$5)="",2,0)),0)</f>
        <v>0</v>
      </c>
      <c r="AY675" s="313">
        <f>IFERROR(IF(INDEX([1]Pivot!$BF$1:$CG$65000,$B675,AY$5)=1,1,IF(INDEX([1]Pivot!$B$1:$AB$65000,$B675,AY$5)="",2,0)),0)</f>
        <v>0</v>
      </c>
      <c r="AZ675" s="313">
        <f>IFERROR(IF(INDEX([1]Pivot!$BF$1:$CG$65000,$B675,AZ$5)=1,1,IF(INDEX([1]Pivot!$B$1:$AB$65000,$B675,AZ$5)="",2,0)),0)</f>
        <v>0</v>
      </c>
      <c r="BA675" s="313">
        <f>IFERROR(IF(INDEX([1]Pivot!$BF$1:$CG$65000,$B675,BA$5)=1,1,IF(INDEX([1]Pivot!$B$1:$AB$65000,$B675,BA$5)="",2,0)),0)</f>
        <v>0</v>
      </c>
      <c r="BB675" s="313">
        <f>IFERROR(IF(INDEX([1]Pivot!$BF$1:$CG$65000,$B675,BB$5)=1,1,IF(INDEX([1]Pivot!$B$1:$AB$65000,$B675,BB$5)="",2,0)),0)</f>
        <v>0</v>
      </c>
      <c r="BC675" s="313">
        <f>IFERROR(IF(INDEX([1]Pivot!$BF$1:$CG$65000,$B675,BC$5)=1,1,IF(INDEX([1]Pivot!$B$1:$AB$65000,$B675,BC$5)="",2,0)),0)</f>
        <v>0</v>
      </c>
      <c r="BD675" s="313">
        <f>IFERROR(IF(INDEX([1]Pivot!$BF$1:$CG$65000,$B675,BD$5)=1,1,IF(INDEX([1]Pivot!$B$1:$AB$65000,$B675,BD$5)="",2,0)),0)</f>
        <v>0</v>
      </c>
    </row>
    <row r="676" spans="1:56" x14ac:dyDescent="0.25">
      <c r="A676" s="288">
        <f>'[2]Raw Milk Prices'!A676</f>
        <v>0</v>
      </c>
      <c r="B676" s="296" t="e">
        <f>MATCH(DATE(LEFT('[2]Raw Milk Prices'!$A676,4),RIGHT('[2]Raw Milk Prices'!$A676,2),1),[1]Pivot!$A$1:$A$65000,0)</f>
        <v>#VALUE!</v>
      </c>
      <c r="C676" s="194">
        <f>IFERROR(IF(INDEX([1]Pivot!$AD$1:$BE$65000,$B676,C$5)=1,1,IF(INDEX([1]Pivot!$B$1:$AB$65000,$B676,C$5)="",2,0)),0)</f>
        <v>0</v>
      </c>
      <c r="D676" s="194">
        <f>IFERROR(IF(INDEX([1]Pivot!$AD$1:$BE$65000,$B676,D$5)=1,1,IF(INDEX([1]Pivot!$B$1:$AB$65000,$B676,D$5)="",2,0)),0)</f>
        <v>0</v>
      </c>
      <c r="E676" s="194">
        <f>IFERROR(IF(INDEX([1]Pivot!$AD$1:$BE$65000,$B676,E$5)=1,1,IF(INDEX([1]Pivot!$B$1:$AB$65000,$B676,E$5)="",2,0)),0)</f>
        <v>0</v>
      </c>
      <c r="F676" s="194">
        <f>IFERROR(IF(INDEX([1]Pivot!$AD$1:$BE$65000,$B676,F$5)=1,1,IF(INDEX([1]Pivot!$B$1:$AB$65000,$B676,F$5)="",2,0)),0)</f>
        <v>0</v>
      </c>
      <c r="G676" s="194">
        <f>IFERROR(IF(INDEX([1]Pivot!$AD$1:$BE$65000,$B676,G$5)=1,1,IF(INDEX([1]Pivot!$B$1:$AB$65000,$B676,G$5)="",2,0)),0)</f>
        <v>0</v>
      </c>
      <c r="H676" s="194">
        <f>IFERROR(IF(INDEX([1]Pivot!$AD$1:$BE$65000,$B676,H$5)=1,1,IF(INDEX([1]Pivot!$B$1:$AB$65000,$B676,H$5)="",2,0)),0)</f>
        <v>0</v>
      </c>
      <c r="I676" s="194">
        <f>IFERROR(IF(INDEX([1]Pivot!$AD$1:$BE$65000,$B676,I$5)=1,1,IF(INDEX([1]Pivot!$B$1:$AB$65000,$B676,I$5)="",2,0)),0)</f>
        <v>0</v>
      </c>
      <c r="J676" s="194">
        <f>IFERROR(IF(INDEX([1]Pivot!$AD$1:$BE$65000,$B676,J$5)=1,1,IF(INDEX([1]Pivot!$B$1:$AB$65000,$B676,J$5)="",2,0)),0)</f>
        <v>0</v>
      </c>
      <c r="K676" s="194">
        <f>IFERROR(IF(INDEX([1]Pivot!$AD$1:$BE$65000,$B676,K$5)=1,1,IF(INDEX([1]Pivot!$B$1:$AB$65000,$B676,K$5)="",2,0)),0)</f>
        <v>0</v>
      </c>
      <c r="L676" s="194">
        <f>IFERROR(IF(INDEX([1]Pivot!$AD$1:$BE$65000,$B676,L$5)=1,1,IF(INDEX([1]Pivot!$B$1:$AB$65000,$B676,L$5)="",2,0)),0)</f>
        <v>0</v>
      </c>
      <c r="M676" s="194">
        <f>IFERROR(IF(INDEX([1]Pivot!$AD$1:$BE$65000,$B676,M$5)=1,1,IF(INDEX([1]Pivot!$B$1:$AB$65000,$B676,M$5)="",2,0)),0)</f>
        <v>0</v>
      </c>
      <c r="N676" s="194">
        <f>IFERROR(IF(INDEX([1]Pivot!$AD$1:$BE$65000,$B676,N$5)=1,1,IF(INDEX([1]Pivot!$B$1:$AB$65000,$B676,N$5)="",2,0)),0)</f>
        <v>0</v>
      </c>
      <c r="O676" s="194">
        <f>IFERROR(IF(INDEX([1]Pivot!$AD$1:$BE$65000,$B676,O$5)=1,1,IF(INDEX([1]Pivot!$B$1:$AB$65000,$B676,O$5)="",2,0)),0)</f>
        <v>0</v>
      </c>
      <c r="P676" s="194">
        <f>IFERROR(IF(INDEX([1]Pivot!$AD$1:$BE$65000,$B676,P$5)=1,1,IF(INDEX([1]Pivot!$B$1:$AB$65000,$B676,P$5)="",2,0)),0)</f>
        <v>0</v>
      </c>
      <c r="Q676" s="194">
        <f>IFERROR(IF(INDEX([1]Pivot!$AD$1:$BE$65000,$B676,Q$5)=1,1,IF(INDEX([1]Pivot!$B$1:$AB$65000,$B676,Q$5)="",2,0)),0)</f>
        <v>0</v>
      </c>
      <c r="R676" s="312"/>
      <c r="S676" s="194">
        <f>IFERROR(IF(INDEX([1]Pivot!$AD$1:$BE$65000,$B676,S$5)=1,1,IF(INDEX([1]Pivot!$B$1:$AB$65000,$B676,S$5)="",2,0)),0)</f>
        <v>0</v>
      </c>
      <c r="T676" s="194">
        <f>IFERROR(IF(INDEX([1]Pivot!$AD$1:$BE$65000,$B676,T$5)=1,1,IF(INDEX([1]Pivot!$B$1:$AB$65000,$B676,T$5)="",2,0)),0)</f>
        <v>0</v>
      </c>
      <c r="U676" s="194">
        <f>IFERROR(IF(INDEX([1]Pivot!$AD$1:$BE$65000,$B676,U$5)=1,1,IF(INDEX([1]Pivot!$B$1:$AB$65000,$B676,U$5)="",2,0)),0)</f>
        <v>0</v>
      </c>
      <c r="V676" s="194">
        <f>IFERROR(IF(INDEX([1]Pivot!$AD$1:$BE$65000,$B676,V$5)=1,1,IF(INDEX([1]Pivot!$B$1:$AB$65000,$B676,V$5)="",2,0)),0)</f>
        <v>0</v>
      </c>
      <c r="W676" s="194">
        <f>IFERROR(IF(INDEX([1]Pivot!$AD$1:$BE$65000,$B676,W$5)=1,1,IF(INDEX([1]Pivot!$B$1:$AB$65000,$B676,W$5)="",2,0)),0)</f>
        <v>0</v>
      </c>
      <c r="X676" s="194">
        <f>IFERROR(IF(INDEX([1]Pivot!$AD$1:$BE$65000,$B676,X$5)=1,1,IF(INDEX([1]Pivot!$B$1:$AB$65000,$B676,X$5)="",2,0)),0)</f>
        <v>0</v>
      </c>
      <c r="Y676" s="194">
        <f>IFERROR(IF(INDEX([1]Pivot!$AD$1:$BE$65000,$B676,Y$5)=1,1,IF(INDEX([1]Pivot!$B$1:$AB$65000,$B676,Y$5)="",2,0)),0)</f>
        <v>0</v>
      </c>
      <c r="Z676" s="194">
        <f>IFERROR(IF(INDEX([1]Pivot!$AD$1:$BE$65000,$B676,Z$5)=1,1,IF(INDEX([1]Pivot!$B$1:$AB$65000,$B676,Z$5)="",2,0)),0)</f>
        <v>0</v>
      </c>
      <c r="AA676" s="194">
        <f>IFERROR(IF(INDEX([1]Pivot!$AD$1:$BE$65000,$B676,AA$5)=1,1,IF(INDEX([1]Pivot!$B$1:$AB$65000,$B676,AA$5)="",2,0)),0)</f>
        <v>0</v>
      </c>
      <c r="AB676" s="194">
        <f>IFERROR(IF(INDEX([1]Pivot!$AD$1:$BE$65000,$B676,AB$5)=1,1,IF(INDEX([1]Pivot!$B$1:$AB$65000,$B676,AB$5)="",2,0)),0)</f>
        <v>0</v>
      </c>
      <c r="AC676" s="194">
        <f>IFERROR(IF(INDEX([1]Pivot!$AD$1:$BE$65000,$B676,AC$5)=1,1,IF(INDEX([1]Pivot!$B$1:$AB$65000,$B676,AC$5)="",2,0)),0)</f>
        <v>0</v>
      </c>
      <c r="AD676" s="313">
        <f>IFERROR(IF(INDEX([1]Pivot!$BF$1:$CG$65000,$B676,AD$5)=1,1,IF(INDEX([1]Pivot!$B$1:$AB$65000,$B676,AD$5)="",2,0)),0)</f>
        <v>0</v>
      </c>
      <c r="AE676" s="313">
        <f>IFERROR(IF(INDEX([1]Pivot!$BF$1:$CG$65000,$B676,AE$5)=1,1,IF(INDEX([1]Pivot!$B$1:$AB$65000,$B676,AE$5)="",2,0)),0)</f>
        <v>0</v>
      </c>
      <c r="AF676" s="313">
        <f>IFERROR(IF(INDEX([1]Pivot!$BF$1:$CG$65000,$B676,AF$5)=1,1,IF(INDEX([1]Pivot!$B$1:$AB$65000,$B676,AF$5)="",2,0)),0)</f>
        <v>0</v>
      </c>
      <c r="AG676" s="313">
        <f>IFERROR(IF(INDEX([1]Pivot!$BF$1:$CG$65000,$B676,AG$5)=1,1,IF(INDEX([1]Pivot!$B$1:$AB$65000,$B676,AG$5)="",2,0)),0)</f>
        <v>0</v>
      </c>
      <c r="AH676" s="313">
        <f>IFERROR(IF(INDEX([1]Pivot!$BF$1:$CG$65000,$B676,AH$5)=1,1,IF(INDEX([1]Pivot!$B$1:$AB$65000,$B676,AH$5)="",2,0)),0)</f>
        <v>0</v>
      </c>
      <c r="AI676" s="313">
        <f>IFERROR(IF(INDEX([1]Pivot!$BF$1:$CG$65000,$B676,AI$5)=1,1,IF(INDEX([1]Pivot!$B$1:$AB$65000,$B676,AI$5)="",2,0)),0)</f>
        <v>0</v>
      </c>
      <c r="AJ676" s="313">
        <f>IFERROR(IF(INDEX([1]Pivot!$BF$1:$CG$65000,$B676,AJ$5)=1,1,IF(INDEX([1]Pivot!$B$1:$AB$65000,$B676,AJ$5)="",2,0)),0)</f>
        <v>0</v>
      </c>
      <c r="AK676" s="313">
        <f>IFERROR(IF(INDEX([1]Pivot!$BF$1:$CG$65000,$B676,AK$5)=1,1,IF(INDEX([1]Pivot!$B$1:$AB$65000,$B676,AK$5)="",2,0)),0)</f>
        <v>0</v>
      </c>
      <c r="AL676" s="313">
        <f>IFERROR(IF(INDEX([1]Pivot!$BF$1:$CG$65000,$B676,AL$5)=1,1,IF(INDEX([1]Pivot!$B$1:$AB$65000,$B676,AL$5)="",2,0)),0)</f>
        <v>0</v>
      </c>
      <c r="AM676" s="313">
        <f>IFERROR(IF(INDEX([1]Pivot!$BF$1:$CG$65000,$B676,AM$5)=1,1,IF(INDEX([1]Pivot!$B$1:$AB$65000,$B676,AM$5)="",2,0)),0)</f>
        <v>0</v>
      </c>
      <c r="AN676" s="313">
        <f>IFERROR(IF(INDEX([1]Pivot!$BF$1:$CG$65000,$B676,AN$5)=1,1,IF(INDEX([1]Pivot!$B$1:$AB$65000,$B676,AN$5)="",2,0)),0)</f>
        <v>0</v>
      </c>
      <c r="AO676" s="313">
        <f>IFERROR(IF(INDEX([1]Pivot!$BF$1:$CG$65000,$B676,AO$5)=1,1,IF(INDEX([1]Pivot!$B$1:$AB$65000,$B676,AO$5)="",2,0)),0)</f>
        <v>0</v>
      </c>
      <c r="AP676" s="313">
        <f>IFERROR(IF(INDEX([1]Pivot!$BF$1:$CG$65000,$B676,AP$5)=1,1,IF(INDEX([1]Pivot!$B$1:$AB$65000,$B676,AP$5)="",2,0)),0)</f>
        <v>0</v>
      </c>
      <c r="AQ676" s="313">
        <f>IFERROR(IF(INDEX([1]Pivot!$BF$1:$CG$65000,$B676,AQ$5)=1,1,IF(INDEX([1]Pivot!$B$1:$AB$65000,$B676,AQ$5)="",2,0)),0)</f>
        <v>0</v>
      </c>
      <c r="AR676" s="313">
        <f>IFERROR(IF(INDEX([1]Pivot!$BF$1:$CG$65000,$B676,AR$5)=1,1,IF(INDEX([1]Pivot!$B$1:$AB$65000,$B676,AR$5)="",2,0)),0)</f>
        <v>0</v>
      </c>
      <c r="AS676" s="312"/>
      <c r="AT676" s="313">
        <f>IFERROR(IF(INDEX([1]Pivot!$BF$1:$CG$65000,$B676,AT$5)=1,1,IF(INDEX([1]Pivot!$B$1:$AB$65000,$B676,AT$5)="",2,0)),0)</f>
        <v>0</v>
      </c>
      <c r="AU676" s="313">
        <f>IFERROR(IF(INDEX([1]Pivot!$BF$1:$CG$65000,$B676,AU$5)=1,1,IF(INDEX([1]Pivot!$B$1:$AB$65000,$B676,AU$5)="",2,0)),0)</f>
        <v>0</v>
      </c>
      <c r="AV676" s="313">
        <f>IFERROR(IF(INDEX([1]Pivot!$BF$1:$CG$65000,$B676,AV$5)=1,1,IF(INDEX([1]Pivot!$B$1:$AB$65000,$B676,AV$5)="",2,0)),0)</f>
        <v>0</v>
      </c>
      <c r="AW676" s="313">
        <f>IFERROR(IF(INDEX([1]Pivot!$BF$1:$CG$65000,$B676,AW$5)=1,1,IF(INDEX([1]Pivot!$B$1:$AB$65000,$B676,AW$5)="",2,0)),0)</f>
        <v>0</v>
      </c>
      <c r="AX676" s="313">
        <f>IFERROR(IF(INDEX([1]Pivot!$BF$1:$CG$65000,$B676,AX$5)=1,1,IF(INDEX([1]Pivot!$B$1:$AB$65000,$B676,AX$5)="",2,0)),0)</f>
        <v>0</v>
      </c>
      <c r="AY676" s="313">
        <f>IFERROR(IF(INDEX([1]Pivot!$BF$1:$CG$65000,$B676,AY$5)=1,1,IF(INDEX([1]Pivot!$B$1:$AB$65000,$B676,AY$5)="",2,0)),0)</f>
        <v>0</v>
      </c>
      <c r="AZ676" s="313">
        <f>IFERROR(IF(INDEX([1]Pivot!$BF$1:$CG$65000,$B676,AZ$5)=1,1,IF(INDEX([1]Pivot!$B$1:$AB$65000,$B676,AZ$5)="",2,0)),0)</f>
        <v>0</v>
      </c>
      <c r="BA676" s="313">
        <f>IFERROR(IF(INDEX([1]Pivot!$BF$1:$CG$65000,$B676,BA$5)=1,1,IF(INDEX([1]Pivot!$B$1:$AB$65000,$B676,BA$5)="",2,0)),0)</f>
        <v>0</v>
      </c>
      <c r="BB676" s="313">
        <f>IFERROR(IF(INDEX([1]Pivot!$BF$1:$CG$65000,$B676,BB$5)=1,1,IF(INDEX([1]Pivot!$B$1:$AB$65000,$B676,BB$5)="",2,0)),0)</f>
        <v>0</v>
      </c>
      <c r="BC676" s="313">
        <f>IFERROR(IF(INDEX([1]Pivot!$BF$1:$CG$65000,$B676,BC$5)=1,1,IF(INDEX([1]Pivot!$B$1:$AB$65000,$B676,BC$5)="",2,0)),0)</f>
        <v>0</v>
      </c>
      <c r="BD676" s="313">
        <f>IFERROR(IF(INDEX([1]Pivot!$BF$1:$CG$65000,$B676,BD$5)=1,1,IF(INDEX([1]Pivot!$B$1:$AB$65000,$B676,BD$5)="",2,0)),0)</f>
        <v>0</v>
      </c>
    </row>
    <row r="677" spans="1:56" x14ac:dyDescent="0.25">
      <c r="A677" s="288">
        <f>'[2]Raw Milk Prices'!A677</f>
        <v>0</v>
      </c>
      <c r="B677" s="296" t="e">
        <f>MATCH(DATE(LEFT('[2]Raw Milk Prices'!$A677,4),RIGHT('[2]Raw Milk Prices'!$A677,2),1),[1]Pivot!$A$1:$A$65000,0)</f>
        <v>#VALUE!</v>
      </c>
      <c r="C677" s="194">
        <f>IFERROR(IF(INDEX([1]Pivot!$AD$1:$BE$65000,$B677,C$5)=1,1,IF(INDEX([1]Pivot!$B$1:$AB$65000,$B677,C$5)="",2,0)),0)</f>
        <v>0</v>
      </c>
      <c r="D677" s="194">
        <f>IFERROR(IF(INDEX([1]Pivot!$AD$1:$BE$65000,$B677,D$5)=1,1,IF(INDEX([1]Pivot!$B$1:$AB$65000,$B677,D$5)="",2,0)),0)</f>
        <v>0</v>
      </c>
      <c r="E677" s="194">
        <f>IFERROR(IF(INDEX([1]Pivot!$AD$1:$BE$65000,$B677,E$5)=1,1,IF(INDEX([1]Pivot!$B$1:$AB$65000,$B677,E$5)="",2,0)),0)</f>
        <v>0</v>
      </c>
      <c r="F677" s="194">
        <f>IFERROR(IF(INDEX([1]Pivot!$AD$1:$BE$65000,$B677,F$5)=1,1,IF(INDEX([1]Pivot!$B$1:$AB$65000,$B677,F$5)="",2,0)),0)</f>
        <v>0</v>
      </c>
      <c r="G677" s="194">
        <f>IFERROR(IF(INDEX([1]Pivot!$AD$1:$BE$65000,$B677,G$5)=1,1,IF(INDEX([1]Pivot!$B$1:$AB$65000,$B677,G$5)="",2,0)),0)</f>
        <v>0</v>
      </c>
      <c r="H677" s="194">
        <f>IFERROR(IF(INDEX([1]Pivot!$AD$1:$BE$65000,$B677,H$5)=1,1,IF(INDEX([1]Pivot!$B$1:$AB$65000,$B677,H$5)="",2,0)),0)</f>
        <v>0</v>
      </c>
      <c r="I677" s="194">
        <f>IFERROR(IF(INDEX([1]Pivot!$AD$1:$BE$65000,$B677,I$5)=1,1,IF(INDEX([1]Pivot!$B$1:$AB$65000,$B677,I$5)="",2,0)),0)</f>
        <v>0</v>
      </c>
      <c r="J677" s="194">
        <f>IFERROR(IF(INDEX([1]Pivot!$AD$1:$BE$65000,$B677,J$5)=1,1,IF(INDEX([1]Pivot!$B$1:$AB$65000,$B677,J$5)="",2,0)),0)</f>
        <v>0</v>
      </c>
      <c r="K677" s="194">
        <f>IFERROR(IF(INDEX([1]Pivot!$AD$1:$BE$65000,$B677,K$5)=1,1,IF(INDEX([1]Pivot!$B$1:$AB$65000,$B677,K$5)="",2,0)),0)</f>
        <v>0</v>
      </c>
      <c r="L677" s="194">
        <f>IFERROR(IF(INDEX([1]Pivot!$AD$1:$BE$65000,$B677,L$5)=1,1,IF(INDEX([1]Pivot!$B$1:$AB$65000,$B677,L$5)="",2,0)),0)</f>
        <v>0</v>
      </c>
      <c r="M677" s="194">
        <f>IFERROR(IF(INDEX([1]Pivot!$AD$1:$BE$65000,$B677,M$5)=1,1,IF(INDEX([1]Pivot!$B$1:$AB$65000,$B677,M$5)="",2,0)),0)</f>
        <v>0</v>
      </c>
      <c r="N677" s="194">
        <f>IFERROR(IF(INDEX([1]Pivot!$AD$1:$BE$65000,$B677,N$5)=1,1,IF(INDEX([1]Pivot!$B$1:$AB$65000,$B677,N$5)="",2,0)),0)</f>
        <v>0</v>
      </c>
      <c r="O677" s="194">
        <f>IFERROR(IF(INDEX([1]Pivot!$AD$1:$BE$65000,$B677,O$5)=1,1,IF(INDEX([1]Pivot!$B$1:$AB$65000,$B677,O$5)="",2,0)),0)</f>
        <v>0</v>
      </c>
      <c r="P677" s="194">
        <f>IFERROR(IF(INDEX([1]Pivot!$AD$1:$BE$65000,$B677,P$5)=1,1,IF(INDEX([1]Pivot!$B$1:$AB$65000,$B677,P$5)="",2,0)),0)</f>
        <v>0</v>
      </c>
      <c r="Q677" s="194">
        <f>IFERROR(IF(INDEX([1]Pivot!$AD$1:$BE$65000,$B677,Q$5)=1,1,IF(INDEX([1]Pivot!$B$1:$AB$65000,$B677,Q$5)="",2,0)),0)</f>
        <v>0</v>
      </c>
      <c r="R677" s="312"/>
      <c r="S677" s="194">
        <f>IFERROR(IF(INDEX([1]Pivot!$AD$1:$BE$65000,$B677,S$5)=1,1,IF(INDEX([1]Pivot!$B$1:$AB$65000,$B677,S$5)="",2,0)),0)</f>
        <v>0</v>
      </c>
      <c r="T677" s="194">
        <f>IFERROR(IF(INDEX([1]Pivot!$AD$1:$BE$65000,$B677,T$5)=1,1,IF(INDEX([1]Pivot!$B$1:$AB$65000,$B677,T$5)="",2,0)),0)</f>
        <v>0</v>
      </c>
      <c r="U677" s="194">
        <f>IFERROR(IF(INDEX([1]Pivot!$AD$1:$BE$65000,$B677,U$5)=1,1,IF(INDEX([1]Pivot!$B$1:$AB$65000,$B677,U$5)="",2,0)),0)</f>
        <v>0</v>
      </c>
      <c r="V677" s="194">
        <f>IFERROR(IF(INDEX([1]Pivot!$AD$1:$BE$65000,$B677,V$5)=1,1,IF(INDEX([1]Pivot!$B$1:$AB$65000,$B677,V$5)="",2,0)),0)</f>
        <v>0</v>
      </c>
      <c r="W677" s="194">
        <f>IFERROR(IF(INDEX([1]Pivot!$AD$1:$BE$65000,$B677,W$5)=1,1,IF(INDEX([1]Pivot!$B$1:$AB$65000,$B677,W$5)="",2,0)),0)</f>
        <v>0</v>
      </c>
      <c r="X677" s="194">
        <f>IFERROR(IF(INDEX([1]Pivot!$AD$1:$BE$65000,$B677,X$5)=1,1,IF(INDEX([1]Pivot!$B$1:$AB$65000,$B677,X$5)="",2,0)),0)</f>
        <v>0</v>
      </c>
      <c r="Y677" s="194">
        <f>IFERROR(IF(INDEX([1]Pivot!$AD$1:$BE$65000,$B677,Y$5)=1,1,IF(INDEX([1]Pivot!$B$1:$AB$65000,$B677,Y$5)="",2,0)),0)</f>
        <v>0</v>
      </c>
      <c r="Z677" s="194">
        <f>IFERROR(IF(INDEX([1]Pivot!$AD$1:$BE$65000,$B677,Z$5)=1,1,IF(INDEX([1]Pivot!$B$1:$AB$65000,$B677,Z$5)="",2,0)),0)</f>
        <v>0</v>
      </c>
      <c r="AA677" s="194">
        <f>IFERROR(IF(INDEX([1]Pivot!$AD$1:$BE$65000,$B677,AA$5)=1,1,IF(INDEX([1]Pivot!$B$1:$AB$65000,$B677,AA$5)="",2,0)),0)</f>
        <v>0</v>
      </c>
      <c r="AB677" s="194">
        <f>IFERROR(IF(INDEX([1]Pivot!$AD$1:$BE$65000,$B677,AB$5)=1,1,IF(INDEX([1]Pivot!$B$1:$AB$65000,$B677,AB$5)="",2,0)),0)</f>
        <v>0</v>
      </c>
      <c r="AC677" s="194">
        <f>IFERROR(IF(INDEX([1]Pivot!$AD$1:$BE$65000,$B677,AC$5)=1,1,IF(INDEX([1]Pivot!$B$1:$AB$65000,$B677,AC$5)="",2,0)),0)</f>
        <v>0</v>
      </c>
      <c r="AD677" s="313">
        <f>IFERROR(IF(INDEX([1]Pivot!$BF$1:$CG$65000,$B677,AD$5)=1,1,IF(INDEX([1]Pivot!$B$1:$AB$65000,$B677,AD$5)="",2,0)),0)</f>
        <v>0</v>
      </c>
      <c r="AE677" s="313">
        <f>IFERROR(IF(INDEX([1]Pivot!$BF$1:$CG$65000,$B677,AE$5)=1,1,IF(INDEX([1]Pivot!$B$1:$AB$65000,$B677,AE$5)="",2,0)),0)</f>
        <v>0</v>
      </c>
      <c r="AF677" s="313">
        <f>IFERROR(IF(INDEX([1]Pivot!$BF$1:$CG$65000,$B677,AF$5)=1,1,IF(INDEX([1]Pivot!$B$1:$AB$65000,$B677,AF$5)="",2,0)),0)</f>
        <v>0</v>
      </c>
      <c r="AG677" s="313">
        <f>IFERROR(IF(INDEX([1]Pivot!$BF$1:$CG$65000,$B677,AG$5)=1,1,IF(INDEX([1]Pivot!$B$1:$AB$65000,$B677,AG$5)="",2,0)),0)</f>
        <v>0</v>
      </c>
      <c r="AH677" s="313">
        <f>IFERROR(IF(INDEX([1]Pivot!$BF$1:$CG$65000,$B677,AH$5)=1,1,IF(INDEX([1]Pivot!$B$1:$AB$65000,$B677,AH$5)="",2,0)),0)</f>
        <v>0</v>
      </c>
      <c r="AI677" s="313">
        <f>IFERROR(IF(INDEX([1]Pivot!$BF$1:$CG$65000,$B677,AI$5)=1,1,IF(INDEX([1]Pivot!$B$1:$AB$65000,$B677,AI$5)="",2,0)),0)</f>
        <v>0</v>
      </c>
      <c r="AJ677" s="313">
        <f>IFERROR(IF(INDEX([1]Pivot!$BF$1:$CG$65000,$B677,AJ$5)=1,1,IF(INDEX([1]Pivot!$B$1:$AB$65000,$B677,AJ$5)="",2,0)),0)</f>
        <v>0</v>
      </c>
      <c r="AK677" s="313">
        <f>IFERROR(IF(INDEX([1]Pivot!$BF$1:$CG$65000,$B677,AK$5)=1,1,IF(INDEX([1]Pivot!$B$1:$AB$65000,$B677,AK$5)="",2,0)),0)</f>
        <v>0</v>
      </c>
      <c r="AL677" s="313">
        <f>IFERROR(IF(INDEX([1]Pivot!$BF$1:$CG$65000,$B677,AL$5)=1,1,IF(INDEX([1]Pivot!$B$1:$AB$65000,$B677,AL$5)="",2,0)),0)</f>
        <v>0</v>
      </c>
      <c r="AM677" s="313">
        <f>IFERROR(IF(INDEX([1]Pivot!$BF$1:$CG$65000,$B677,AM$5)=1,1,IF(INDEX([1]Pivot!$B$1:$AB$65000,$B677,AM$5)="",2,0)),0)</f>
        <v>0</v>
      </c>
      <c r="AN677" s="313">
        <f>IFERROR(IF(INDEX([1]Pivot!$BF$1:$CG$65000,$B677,AN$5)=1,1,IF(INDEX([1]Pivot!$B$1:$AB$65000,$B677,AN$5)="",2,0)),0)</f>
        <v>0</v>
      </c>
      <c r="AO677" s="313">
        <f>IFERROR(IF(INDEX([1]Pivot!$BF$1:$CG$65000,$B677,AO$5)=1,1,IF(INDEX([1]Pivot!$B$1:$AB$65000,$B677,AO$5)="",2,0)),0)</f>
        <v>0</v>
      </c>
      <c r="AP677" s="313">
        <f>IFERROR(IF(INDEX([1]Pivot!$BF$1:$CG$65000,$B677,AP$5)=1,1,IF(INDEX([1]Pivot!$B$1:$AB$65000,$B677,AP$5)="",2,0)),0)</f>
        <v>0</v>
      </c>
      <c r="AQ677" s="313">
        <f>IFERROR(IF(INDEX([1]Pivot!$BF$1:$CG$65000,$B677,AQ$5)=1,1,IF(INDEX([1]Pivot!$B$1:$AB$65000,$B677,AQ$5)="",2,0)),0)</f>
        <v>0</v>
      </c>
      <c r="AR677" s="313">
        <f>IFERROR(IF(INDEX([1]Pivot!$BF$1:$CG$65000,$B677,AR$5)=1,1,IF(INDEX([1]Pivot!$B$1:$AB$65000,$B677,AR$5)="",2,0)),0)</f>
        <v>0</v>
      </c>
      <c r="AS677" s="312"/>
      <c r="AT677" s="313">
        <f>IFERROR(IF(INDEX([1]Pivot!$BF$1:$CG$65000,$B677,AT$5)=1,1,IF(INDEX([1]Pivot!$B$1:$AB$65000,$B677,AT$5)="",2,0)),0)</f>
        <v>0</v>
      </c>
      <c r="AU677" s="313">
        <f>IFERROR(IF(INDEX([1]Pivot!$BF$1:$CG$65000,$B677,AU$5)=1,1,IF(INDEX([1]Pivot!$B$1:$AB$65000,$B677,AU$5)="",2,0)),0)</f>
        <v>0</v>
      </c>
      <c r="AV677" s="313">
        <f>IFERROR(IF(INDEX([1]Pivot!$BF$1:$CG$65000,$B677,AV$5)=1,1,IF(INDEX([1]Pivot!$B$1:$AB$65000,$B677,AV$5)="",2,0)),0)</f>
        <v>0</v>
      </c>
      <c r="AW677" s="313">
        <f>IFERROR(IF(INDEX([1]Pivot!$BF$1:$CG$65000,$B677,AW$5)=1,1,IF(INDEX([1]Pivot!$B$1:$AB$65000,$B677,AW$5)="",2,0)),0)</f>
        <v>0</v>
      </c>
      <c r="AX677" s="313">
        <f>IFERROR(IF(INDEX([1]Pivot!$BF$1:$CG$65000,$B677,AX$5)=1,1,IF(INDEX([1]Pivot!$B$1:$AB$65000,$B677,AX$5)="",2,0)),0)</f>
        <v>0</v>
      </c>
      <c r="AY677" s="313">
        <f>IFERROR(IF(INDEX([1]Pivot!$BF$1:$CG$65000,$B677,AY$5)=1,1,IF(INDEX([1]Pivot!$B$1:$AB$65000,$B677,AY$5)="",2,0)),0)</f>
        <v>0</v>
      </c>
      <c r="AZ677" s="313">
        <f>IFERROR(IF(INDEX([1]Pivot!$BF$1:$CG$65000,$B677,AZ$5)=1,1,IF(INDEX([1]Pivot!$B$1:$AB$65000,$B677,AZ$5)="",2,0)),0)</f>
        <v>0</v>
      </c>
      <c r="BA677" s="313">
        <f>IFERROR(IF(INDEX([1]Pivot!$BF$1:$CG$65000,$B677,BA$5)=1,1,IF(INDEX([1]Pivot!$B$1:$AB$65000,$B677,BA$5)="",2,0)),0)</f>
        <v>0</v>
      </c>
      <c r="BB677" s="313">
        <f>IFERROR(IF(INDEX([1]Pivot!$BF$1:$CG$65000,$B677,BB$5)=1,1,IF(INDEX([1]Pivot!$B$1:$AB$65000,$B677,BB$5)="",2,0)),0)</f>
        <v>0</v>
      </c>
      <c r="BC677" s="313">
        <f>IFERROR(IF(INDEX([1]Pivot!$BF$1:$CG$65000,$B677,BC$5)=1,1,IF(INDEX([1]Pivot!$B$1:$AB$65000,$B677,BC$5)="",2,0)),0)</f>
        <v>0</v>
      </c>
      <c r="BD677" s="313">
        <f>IFERROR(IF(INDEX([1]Pivot!$BF$1:$CG$65000,$B677,BD$5)=1,1,IF(INDEX([1]Pivot!$B$1:$AB$65000,$B677,BD$5)="",2,0)),0)</f>
        <v>0</v>
      </c>
    </row>
    <row r="678" spans="1:56" x14ac:dyDescent="0.25">
      <c r="A678" s="288">
        <f>'[2]Raw Milk Prices'!A678</f>
        <v>0</v>
      </c>
      <c r="B678" s="296" t="e">
        <f>MATCH(DATE(LEFT('[2]Raw Milk Prices'!$A678,4),RIGHT('[2]Raw Milk Prices'!$A678,2),1),[1]Pivot!$A$1:$A$65000,0)</f>
        <v>#VALUE!</v>
      </c>
      <c r="C678" s="194">
        <f>IFERROR(IF(INDEX([1]Pivot!$AD$1:$BE$65000,$B678,C$5)=1,1,IF(INDEX([1]Pivot!$B$1:$AB$65000,$B678,C$5)="",2,0)),0)</f>
        <v>0</v>
      </c>
      <c r="D678" s="194">
        <f>IFERROR(IF(INDEX([1]Pivot!$AD$1:$BE$65000,$B678,D$5)=1,1,IF(INDEX([1]Pivot!$B$1:$AB$65000,$B678,D$5)="",2,0)),0)</f>
        <v>0</v>
      </c>
      <c r="E678" s="194">
        <f>IFERROR(IF(INDEX([1]Pivot!$AD$1:$BE$65000,$B678,E$5)=1,1,IF(INDEX([1]Pivot!$B$1:$AB$65000,$B678,E$5)="",2,0)),0)</f>
        <v>0</v>
      </c>
      <c r="F678" s="194">
        <f>IFERROR(IF(INDEX([1]Pivot!$AD$1:$BE$65000,$B678,F$5)=1,1,IF(INDEX([1]Pivot!$B$1:$AB$65000,$B678,F$5)="",2,0)),0)</f>
        <v>0</v>
      </c>
      <c r="G678" s="194">
        <f>IFERROR(IF(INDEX([1]Pivot!$AD$1:$BE$65000,$B678,G$5)=1,1,IF(INDEX([1]Pivot!$B$1:$AB$65000,$B678,G$5)="",2,0)),0)</f>
        <v>0</v>
      </c>
      <c r="H678" s="194">
        <f>IFERROR(IF(INDEX([1]Pivot!$AD$1:$BE$65000,$B678,H$5)=1,1,IF(INDEX([1]Pivot!$B$1:$AB$65000,$B678,H$5)="",2,0)),0)</f>
        <v>0</v>
      </c>
      <c r="I678" s="194">
        <f>IFERROR(IF(INDEX([1]Pivot!$AD$1:$BE$65000,$B678,I$5)=1,1,IF(INDEX([1]Pivot!$B$1:$AB$65000,$B678,I$5)="",2,0)),0)</f>
        <v>0</v>
      </c>
      <c r="J678" s="194">
        <f>IFERROR(IF(INDEX([1]Pivot!$AD$1:$BE$65000,$B678,J$5)=1,1,IF(INDEX([1]Pivot!$B$1:$AB$65000,$B678,J$5)="",2,0)),0)</f>
        <v>0</v>
      </c>
      <c r="K678" s="194">
        <f>IFERROR(IF(INDEX([1]Pivot!$AD$1:$BE$65000,$B678,K$5)=1,1,IF(INDEX([1]Pivot!$B$1:$AB$65000,$B678,K$5)="",2,0)),0)</f>
        <v>0</v>
      </c>
      <c r="L678" s="194">
        <f>IFERROR(IF(INDEX([1]Pivot!$AD$1:$BE$65000,$B678,L$5)=1,1,IF(INDEX([1]Pivot!$B$1:$AB$65000,$B678,L$5)="",2,0)),0)</f>
        <v>0</v>
      </c>
      <c r="M678" s="194">
        <f>IFERROR(IF(INDEX([1]Pivot!$AD$1:$BE$65000,$B678,M$5)=1,1,IF(INDEX([1]Pivot!$B$1:$AB$65000,$B678,M$5)="",2,0)),0)</f>
        <v>0</v>
      </c>
      <c r="N678" s="194">
        <f>IFERROR(IF(INDEX([1]Pivot!$AD$1:$BE$65000,$B678,N$5)=1,1,IF(INDEX([1]Pivot!$B$1:$AB$65000,$B678,N$5)="",2,0)),0)</f>
        <v>0</v>
      </c>
      <c r="O678" s="194">
        <f>IFERROR(IF(INDEX([1]Pivot!$AD$1:$BE$65000,$B678,O$5)=1,1,IF(INDEX([1]Pivot!$B$1:$AB$65000,$B678,O$5)="",2,0)),0)</f>
        <v>0</v>
      </c>
      <c r="P678" s="194">
        <f>IFERROR(IF(INDEX([1]Pivot!$AD$1:$BE$65000,$B678,P$5)=1,1,IF(INDEX([1]Pivot!$B$1:$AB$65000,$B678,P$5)="",2,0)),0)</f>
        <v>0</v>
      </c>
      <c r="Q678" s="194">
        <f>IFERROR(IF(INDEX([1]Pivot!$AD$1:$BE$65000,$B678,Q$5)=1,1,IF(INDEX([1]Pivot!$B$1:$AB$65000,$B678,Q$5)="",2,0)),0)</f>
        <v>0</v>
      </c>
      <c r="R678" s="312"/>
      <c r="S678" s="194">
        <f>IFERROR(IF(INDEX([1]Pivot!$AD$1:$BE$65000,$B678,S$5)=1,1,IF(INDEX([1]Pivot!$B$1:$AB$65000,$B678,S$5)="",2,0)),0)</f>
        <v>0</v>
      </c>
      <c r="T678" s="194">
        <f>IFERROR(IF(INDEX([1]Pivot!$AD$1:$BE$65000,$B678,T$5)=1,1,IF(INDEX([1]Pivot!$B$1:$AB$65000,$B678,T$5)="",2,0)),0)</f>
        <v>0</v>
      </c>
      <c r="U678" s="194">
        <f>IFERROR(IF(INDEX([1]Pivot!$AD$1:$BE$65000,$B678,U$5)=1,1,IF(INDEX([1]Pivot!$B$1:$AB$65000,$B678,U$5)="",2,0)),0)</f>
        <v>0</v>
      </c>
      <c r="V678" s="194">
        <f>IFERROR(IF(INDEX([1]Pivot!$AD$1:$BE$65000,$B678,V$5)=1,1,IF(INDEX([1]Pivot!$B$1:$AB$65000,$B678,V$5)="",2,0)),0)</f>
        <v>0</v>
      </c>
      <c r="W678" s="194">
        <f>IFERROR(IF(INDEX([1]Pivot!$AD$1:$BE$65000,$B678,W$5)=1,1,IF(INDEX([1]Pivot!$B$1:$AB$65000,$B678,W$5)="",2,0)),0)</f>
        <v>0</v>
      </c>
      <c r="X678" s="194">
        <f>IFERROR(IF(INDEX([1]Pivot!$AD$1:$BE$65000,$B678,X$5)=1,1,IF(INDEX([1]Pivot!$B$1:$AB$65000,$B678,X$5)="",2,0)),0)</f>
        <v>0</v>
      </c>
      <c r="Y678" s="194">
        <f>IFERROR(IF(INDEX([1]Pivot!$AD$1:$BE$65000,$B678,Y$5)=1,1,IF(INDEX([1]Pivot!$B$1:$AB$65000,$B678,Y$5)="",2,0)),0)</f>
        <v>0</v>
      </c>
      <c r="Z678" s="194">
        <f>IFERROR(IF(INDEX([1]Pivot!$AD$1:$BE$65000,$B678,Z$5)=1,1,IF(INDEX([1]Pivot!$B$1:$AB$65000,$B678,Z$5)="",2,0)),0)</f>
        <v>0</v>
      </c>
      <c r="AA678" s="194">
        <f>IFERROR(IF(INDEX([1]Pivot!$AD$1:$BE$65000,$B678,AA$5)=1,1,IF(INDEX([1]Pivot!$B$1:$AB$65000,$B678,AA$5)="",2,0)),0)</f>
        <v>0</v>
      </c>
      <c r="AB678" s="194">
        <f>IFERROR(IF(INDEX([1]Pivot!$AD$1:$BE$65000,$B678,AB$5)=1,1,IF(INDEX([1]Pivot!$B$1:$AB$65000,$B678,AB$5)="",2,0)),0)</f>
        <v>0</v>
      </c>
      <c r="AC678" s="194">
        <f>IFERROR(IF(INDEX([1]Pivot!$AD$1:$BE$65000,$B678,AC$5)=1,1,IF(INDEX([1]Pivot!$B$1:$AB$65000,$B678,AC$5)="",2,0)),0)</f>
        <v>0</v>
      </c>
      <c r="AD678" s="313">
        <f>IFERROR(IF(INDEX([1]Pivot!$BF$1:$CG$65000,$B678,AD$5)=1,1,IF(INDEX([1]Pivot!$B$1:$AB$65000,$B678,AD$5)="",2,0)),0)</f>
        <v>0</v>
      </c>
      <c r="AE678" s="313">
        <f>IFERROR(IF(INDEX([1]Pivot!$BF$1:$CG$65000,$B678,AE$5)=1,1,IF(INDEX([1]Pivot!$B$1:$AB$65000,$B678,AE$5)="",2,0)),0)</f>
        <v>0</v>
      </c>
      <c r="AF678" s="313">
        <f>IFERROR(IF(INDEX([1]Pivot!$BF$1:$CG$65000,$B678,AF$5)=1,1,IF(INDEX([1]Pivot!$B$1:$AB$65000,$B678,AF$5)="",2,0)),0)</f>
        <v>0</v>
      </c>
      <c r="AG678" s="313">
        <f>IFERROR(IF(INDEX([1]Pivot!$BF$1:$CG$65000,$B678,AG$5)=1,1,IF(INDEX([1]Pivot!$B$1:$AB$65000,$B678,AG$5)="",2,0)),0)</f>
        <v>0</v>
      </c>
      <c r="AH678" s="313">
        <f>IFERROR(IF(INDEX([1]Pivot!$BF$1:$CG$65000,$B678,AH$5)=1,1,IF(INDEX([1]Pivot!$B$1:$AB$65000,$B678,AH$5)="",2,0)),0)</f>
        <v>0</v>
      </c>
      <c r="AI678" s="313">
        <f>IFERROR(IF(INDEX([1]Pivot!$BF$1:$CG$65000,$B678,AI$5)=1,1,IF(INDEX([1]Pivot!$B$1:$AB$65000,$B678,AI$5)="",2,0)),0)</f>
        <v>0</v>
      </c>
      <c r="AJ678" s="313">
        <f>IFERROR(IF(INDEX([1]Pivot!$BF$1:$CG$65000,$B678,AJ$5)=1,1,IF(INDEX([1]Pivot!$B$1:$AB$65000,$B678,AJ$5)="",2,0)),0)</f>
        <v>0</v>
      </c>
      <c r="AK678" s="313">
        <f>IFERROR(IF(INDEX([1]Pivot!$BF$1:$CG$65000,$B678,AK$5)=1,1,IF(INDEX([1]Pivot!$B$1:$AB$65000,$B678,AK$5)="",2,0)),0)</f>
        <v>0</v>
      </c>
      <c r="AL678" s="313">
        <f>IFERROR(IF(INDEX([1]Pivot!$BF$1:$CG$65000,$B678,AL$5)=1,1,IF(INDEX([1]Pivot!$B$1:$AB$65000,$B678,AL$5)="",2,0)),0)</f>
        <v>0</v>
      </c>
      <c r="AM678" s="313">
        <f>IFERROR(IF(INDEX([1]Pivot!$BF$1:$CG$65000,$B678,AM$5)=1,1,IF(INDEX([1]Pivot!$B$1:$AB$65000,$B678,AM$5)="",2,0)),0)</f>
        <v>0</v>
      </c>
      <c r="AN678" s="313">
        <f>IFERROR(IF(INDEX([1]Pivot!$BF$1:$CG$65000,$B678,AN$5)=1,1,IF(INDEX([1]Pivot!$B$1:$AB$65000,$B678,AN$5)="",2,0)),0)</f>
        <v>0</v>
      </c>
      <c r="AO678" s="313">
        <f>IFERROR(IF(INDEX([1]Pivot!$BF$1:$CG$65000,$B678,AO$5)=1,1,IF(INDEX([1]Pivot!$B$1:$AB$65000,$B678,AO$5)="",2,0)),0)</f>
        <v>0</v>
      </c>
      <c r="AP678" s="313">
        <f>IFERROR(IF(INDEX([1]Pivot!$BF$1:$CG$65000,$B678,AP$5)=1,1,IF(INDEX([1]Pivot!$B$1:$AB$65000,$B678,AP$5)="",2,0)),0)</f>
        <v>0</v>
      </c>
      <c r="AQ678" s="313">
        <f>IFERROR(IF(INDEX([1]Pivot!$BF$1:$CG$65000,$B678,AQ$5)=1,1,IF(INDEX([1]Pivot!$B$1:$AB$65000,$B678,AQ$5)="",2,0)),0)</f>
        <v>0</v>
      </c>
      <c r="AR678" s="313">
        <f>IFERROR(IF(INDEX([1]Pivot!$BF$1:$CG$65000,$B678,AR$5)=1,1,IF(INDEX([1]Pivot!$B$1:$AB$65000,$B678,AR$5)="",2,0)),0)</f>
        <v>0</v>
      </c>
      <c r="AS678" s="312"/>
      <c r="AT678" s="313">
        <f>IFERROR(IF(INDEX([1]Pivot!$BF$1:$CG$65000,$B678,AT$5)=1,1,IF(INDEX([1]Pivot!$B$1:$AB$65000,$B678,AT$5)="",2,0)),0)</f>
        <v>0</v>
      </c>
      <c r="AU678" s="313">
        <f>IFERROR(IF(INDEX([1]Pivot!$BF$1:$CG$65000,$B678,AU$5)=1,1,IF(INDEX([1]Pivot!$B$1:$AB$65000,$B678,AU$5)="",2,0)),0)</f>
        <v>0</v>
      </c>
      <c r="AV678" s="313">
        <f>IFERROR(IF(INDEX([1]Pivot!$BF$1:$CG$65000,$B678,AV$5)=1,1,IF(INDEX([1]Pivot!$B$1:$AB$65000,$B678,AV$5)="",2,0)),0)</f>
        <v>0</v>
      </c>
      <c r="AW678" s="313">
        <f>IFERROR(IF(INDEX([1]Pivot!$BF$1:$CG$65000,$B678,AW$5)=1,1,IF(INDEX([1]Pivot!$B$1:$AB$65000,$B678,AW$5)="",2,0)),0)</f>
        <v>0</v>
      </c>
      <c r="AX678" s="313">
        <f>IFERROR(IF(INDEX([1]Pivot!$BF$1:$CG$65000,$B678,AX$5)=1,1,IF(INDEX([1]Pivot!$B$1:$AB$65000,$B678,AX$5)="",2,0)),0)</f>
        <v>0</v>
      </c>
      <c r="AY678" s="313">
        <f>IFERROR(IF(INDEX([1]Pivot!$BF$1:$CG$65000,$B678,AY$5)=1,1,IF(INDEX([1]Pivot!$B$1:$AB$65000,$B678,AY$5)="",2,0)),0)</f>
        <v>0</v>
      </c>
      <c r="AZ678" s="313">
        <f>IFERROR(IF(INDEX([1]Pivot!$BF$1:$CG$65000,$B678,AZ$5)=1,1,IF(INDEX([1]Pivot!$B$1:$AB$65000,$B678,AZ$5)="",2,0)),0)</f>
        <v>0</v>
      </c>
      <c r="BA678" s="313">
        <f>IFERROR(IF(INDEX([1]Pivot!$BF$1:$CG$65000,$B678,BA$5)=1,1,IF(INDEX([1]Pivot!$B$1:$AB$65000,$B678,BA$5)="",2,0)),0)</f>
        <v>0</v>
      </c>
      <c r="BB678" s="313">
        <f>IFERROR(IF(INDEX([1]Pivot!$BF$1:$CG$65000,$B678,BB$5)=1,1,IF(INDEX([1]Pivot!$B$1:$AB$65000,$B678,BB$5)="",2,0)),0)</f>
        <v>0</v>
      </c>
      <c r="BC678" s="313">
        <f>IFERROR(IF(INDEX([1]Pivot!$BF$1:$CG$65000,$B678,BC$5)=1,1,IF(INDEX([1]Pivot!$B$1:$AB$65000,$B678,BC$5)="",2,0)),0)</f>
        <v>0</v>
      </c>
      <c r="BD678" s="313">
        <f>IFERROR(IF(INDEX([1]Pivot!$BF$1:$CG$65000,$B678,BD$5)=1,1,IF(INDEX([1]Pivot!$B$1:$AB$65000,$B678,BD$5)="",2,0)),0)</f>
        <v>0</v>
      </c>
    </row>
    <row r="679" spans="1:56" x14ac:dyDescent="0.25">
      <c r="A679" s="288">
        <f>'[2]Raw Milk Prices'!A679</f>
        <v>0</v>
      </c>
      <c r="B679" s="296" t="e">
        <f>MATCH(DATE(LEFT('[2]Raw Milk Prices'!$A679,4),RIGHT('[2]Raw Milk Prices'!$A679,2),1),[1]Pivot!$A$1:$A$65000,0)</f>
        <v>#VALUE!</v>
      </c>
      <c r="C679" s="194">
        <f>IFERROR(IF(INDEX([1]Pivot!$AD$1:$BE$65000,$B679,C$5)=1,1,IF(INDEX([1]Pivot!$B$1:$AB$65000,$B679,C$5)="",2,0)),0)</f>
        <v>0</v>
      </c>
      <c r="D679" s="194">
        <f>IFERROR(IF(INDEX([1]Pivot!$AD$1:$BE$65000,$B679,D$5)=1,1,IF(INDEX([1]Pivot!$B$1:$AB$65000,$B679,D$5)="",2,0)),0)</f>
        <v>0</v>
      </c>
      <c r="E679" s="194">
        <f>IFERROR(IF(INDEX([1]Pivot!$AD$1:$BE$65000,$B679,E$5)=1,1,IF(INDEX([1]Pivot!$B$1:$AB$65000,$B679,E$5)="",2,0)),0)</f>
        <v>0</v>
      </c>
      <c r="F679" s="194">
        <f>IFERROR(IF(INDEX([1]Pivot!$AD$1:$BE$65000,$B679,F$5)=1,1,IF(INDEX([1]Pivot!$B$1:$AB$65000,$B679,F$5)="",2,0)),0)</f>
        <v>0</v>
      </c>
      <c r="G679" s="194">
        <f>IFERROR(IF(INDEX([1]Pivot!$AD$1:$BE$65000,$B679,G$5)=1,1,IF(INDEX([1]Pivot!$B$1:$AB$65000,$B679,G$5)="",2,0)),0)</f>
        <v>0</v>
      </c>
      <c r="H679" s="194">
        <f>IFERROR(IF(INDEX([1]Pivot!$AD$1:$BE$65000,$B679,H$5)=1,1,IF(INDEX([1]Pivot!$B$1:$AB$65000,$B679,H$5)="",2,0)),0)</f>
        <v>0</v>
      </c>
      <c r="I679" s="194">
        <f>IFERROR(IF(INDEX([1]Pivot!$AD$1:$BE$65000,$B679,I$5)=1,1,IF(INDEX([1]Pivot!$B$1:$AB$65000,$B679,I$5)="",2,0)),0)</f>
        <v>0</v>
      </c>
      <c r="J679" s="194">
        <f>IFERROR(IF(INDEX([1]Pivot!$AD$1:$BE$65000,$B679,J$5)=1,1,IF(INDEX([1]Pivot!$B$1:$AB$65000,$B679,J$5)="",2,0)),0)</f>
        <v>0</v>
      </c>
      <c r="K679" s="194">
        <f>IFERROR(IF(INDEX([1]Pivot!$AD$1:$BE$65000,$B679,K$5)=1,1,IF(INDEX([1]Pivot!$B$1:$AB$65000,$B679,K$5)="",2,0)),0)</f>
        <v>0</v>
      </c>
      <c r="L679" s="194">
        <f>IFERROR(IF(INDEX([1]Pivot!$AD$1:$BE$65000,$B679,L$5)=1,1,IF(INDEX([1]Pivot!$B$1:$AB$65000,$B679,L$5)="",2,0)),0)</f>
        <v>0</v>
      </c>
      <c r="M679" s="194">
        <f>IFERROR(IF(INDEX([1]Pivot!$AD$1:$BE$65000,$B679,M$5)=1,1,IF(INDEX([1]Pivot!$B$1:$AB$65000,$B679,M$5)="",2,0)),0)</f>
        <v>0</v>
      </c>
      <c r="N679" s="194">
        <f>IFERROR(IF(INDEX([1]Pivot!$AD$1:$BE$65000,$B679,N$5)=1,1,IF(INDEX([1]Pivot!$B$1:$AB$65000,$B679,N$5)="",2,0)),0)</f>
        <v>0</v>
      </c>
      <c r="O679" s="194">
        <f>IFERROR(IF(INDEX([1]Pivot!$AD$1:$BE$65000,$B679,O$5)=1,1,IF(INDEX([1]Pivot!$B$1:$AB$65000,$B679,O$5)="",2,0)),0)</f>
        <v>0</v>
      </c>
      <c r="P679" s="194">
        <f>IFERROR(IF(INDEX([1]Pivot!$AD$1:$BE$65000,$B679,P$5)=1,1,IF(INDEX([1]Pivot!$B$1:$AB$65000,$B679,P$5)="",2,0)),0)</f>
        <v>0</v>
      </c>
      <c r="Q679" s="194">
        <f>IFERROR(IF(INDEX([1]Pivot!$AD$1:$BE$65000,$B679,Q$5)=1,1,IF(INDEX([1]Pivot!$B$1:$AB$65000,$B679,Q$5)="",2,0)),0)</f>
        <v>0</v>
      </c>
      <c r="R679" s="312"/>
      <c r="S679" s="194">
        <f>IFERROR(IF(INDEX([1]Pivot!$AD$1:$BE$65000,$B679,S$5)=1,1,IF(INDEX([1]Pivot!$B$1:$AB$65000,$B679,S$5)="",2,0)),0)</f>
        <v>0</v>
      </c>
      <c r="T679" s="194">
        <f>IFERROR(IF(INDEX([1]Pivot!$AD$1:$BE$65000,$B679,T$5)=1,1,IF(INDEX([1]Pivot!$B$1:$AB$65000,$B679,T$5)="",2,0)),0)</f>
        <v>0</v>
      </c>
      <c r="U679" s="194">
        <f>IFERROR(IF(INDEX([1]Pivot!$AD$1:$BE$65000,$B679,U$5)=1,1,IF(INDEX([1]Pivot!$B$1:$AB$65000,$B679,U$5)="",2,0)),0)</f>
        <v>0</v>
      </c>
      <c r="V679" s="194">
        <f>IFERROR(IF(INDEX([1]Pivot!$AD$1:$BE$65000,$B679,V$5)=1,1,IF(INDEX([1]Pivot!$B$1:$AB$65000,$B679,V$5)="",2,0)),0)</f>
        <v>0</v>
      </c>
      <c r="W679" s="194">
        <f>IFERROR(IF(INDEX([1]Pivot!$AD$1:$BE$65000,$B679,W$5)=1,1,IF(INDEX([1]Pivot!$B$1:$AB$65000,$B679,W$5)="",2,0)),0)</f>
        <v>0</v>
      </c>
      <c r="X679" s="194">
        <f>IFERROR(IF(INDEX([1]Pivot!$AD$1:$BE$65000,$B679,X$5)=1,1,IF(INDEX([1]Pivot!$B$1:$AB$65000,$B679,X$5)="",2,0)),0)</f>
        <v>0</v>
      </c>
      <c r="Y679" s="194">
        <f>IFERROR(IF(INDEX([1]Pivot!$AD$1:$BE$65000,$B679,Y$5)=1,1,IF(INDEX([1]Pivot!$B$1:$AB$65000,$B679,Y$5)="",2,0)),0)</f>
        <v>0</v>
      </c>
      <c r="Z679" s="194">
        <f>IFERROR(IF(INDEX([1]Pivot!$AD$1:$BE$65000,$B679,Z$5)=1,1,IF(INDEX([1]Pivot!$B$1:$AB$65000,$B679,Z$5)="",2,0)),0)</f>
        <v>0</v>
      </c>
      <c r="AA679" s="194">
        <f>IFERROR(IF(INDEX([1]Pivot!$AD$1:$BE$65000,$B679,AA$5)=1,1,IF(INDEX([1]Pivot!$B$1:$AB$65000,$B679,AA$5)="",2,0)),0)</f>
        <v>0</v>
      </c>
      <c r="AB679" s="194">
        <f>IFERROR(IF(INDEX([1]Pivot!$AD$1:$BE$65000,$B679,AB$5)=1,1,IF(INDEX([1]Pivot!$B$1:$AB$65000,$B679,AB$5)="",2,0)),0)</f>
        <v>0</v>
      </c>
      <c r="AC679" s="194">
        <f>IFERROR(IF(INDEX([1]Pivot!$AD$1:$BE$65000,$B679,AC$5)=1,1,IF(INDEX([1]Pivot!$B$1:$AB$65000,$B679,AC$5)="",2,0)),0)</f>
        <v>0</v>
      </c>
      <c r="AD679" s="313">
        <f>IFERROR(IF(INDEX([1]Pivot!$BF$1:$CG$65000,$B679,AD$5)=1,1,IF(INDEX([1]Pivot!$B$1:$AB$65000,$B679,AD$5)="",2,0)),0)</f>
        <v>0</v>
      </c>
      <c r="AE679" s="313">
        <f>IFERROR(IF(INDEX([1]Pivot!$BF$1:$CG$65000,$B679,AE$5)=1,1,IF(INDEX([1]Pivot!$B$1:$AB$65000,$B679,AE$5)="",2,0)),0)</f>
        <v>0</v>
      </c>
      <c r="AF679" s="313">
        <f>IFERROR(IF(INDEX([1]Pivot!$BF$1:$CG$65000,$B679,AF$5)=1,1,IF(INDEX([1]Pivot!$B$1:$AB$65000,$B679,AF$5)="",2,0)),0)</f>
        <v>0</v>
      </c>
      <c r="AG679" s="313">
        <f>IFERROR(IF(INDEX([1]Pivot!$BF$1:$CG$65000,$B679,AG$5)=1,1,IF(INDEX([1]Pivot!$B$1:$AB$65000,$B679,AG$5)="",2,0)),0)</f>
        <v>0</v>
      </c>
      <c r="AH679" s="313">
        <f>IFERROR(IF(INDEX([1]Pivot!$BF$1:$CG$65000,$B679,AH$5)=1,1,IF(INDEX([1]Pivot!$B$1:$AB$65000,$B679,AH$5)="",2,0)),0)</f>
        <v>0</v>
      </c>
      <c r="AI679" s="313">
        <f>IFERROR(IF(INDEX([1]Pivot!$BF$1:$CG$65000,$B679,AI$5)=1,1,IF(INDEX([1]Pivot!$B$1:$AB$65000,$B679,AI$5)="",2,0)),0)</f>
        <v>0</v>
      </c>
      <c r="AJ679" s="313">
        <f>IFERROR(IF(INDEX([1]Pivot!$BF$1:$CG$65000,$B679,AJ$5)=1,1,IF(INDEX([1]Pivot!$B$1:$AB$65000,$B679,AJ$5)="",2,0)),0)</f>
        <v>0</v>
      </c>
      <c r="AK679" s="313">
        <f>IFERROR(IF(INDEX([1]Pivot!$BF$1:$CG$65000,$B679,AK$5)=1,1,IF(INDEX([1]Pivot!$B$1:$AB$65000,$B679,AK$5)="",2,0)),0)</f>
        <v>0</v>
      </c>
      <c r="AL679" s="313">
        <f>IFERROR(IF(INDEX([1]Pivot!$BF$1:$CG$65000,$B679,AL$5)=1,1,IF(INDEX([1]Pivot!$B$1:$AB$65000,$B679,AL$5)="",2,0)),0)</f>
        <v>0</v>
      </c>
      <c r="AM679" s="313">
        <f>IFERROR(IF(INDEX([1]Pivot!$BF$1:$CG$65000,$B679,AM$5)=1,1,IF(INDEX([1]Pivot!$B$1:$AB$65000,$B679,AM$5)="",2,0)),0)</f>
        <v>0</v>
      </c>
      <c r="AN679" s="313">
        <f>IFERROR(IF(INDEX([1]Pivot!$BF$1:$CG$65000,$B679,AN$5)=1,1,IF(INDEX([1]Pivot!$B$1:$AB$65000,$B679,AN$5)="",2,0)),0)</f>
        <v>0</v>
      </c>
      <c r="AO679" s="313">
        <f>IFERROR(IF(INDEX([1]Pivot!$BF$1:$CG$65000,$B679,AO$5)=1,1,IF(INDEX([1]Pivot!$B$1:$AB$65000,$B679,AO$5)="",2,0)),0)</f>
        <v>0</v>
      </c>
      <c r="AP679" s="313">
        <f>IFERROR(IF(INDEX([1]Pivot!$BF$1:$CG$65000,$B679,AP$5)=1,1,IF(INDEX([1]Pivot!$B$1:$AB$65000,$B679,AP$5)="",2,0)),0)</f>
        <v>0</v>
      </c>
      <c r="AQ679" s="313">
        <f>IFERROR(IF(INDEX([1]Pivot!$BF$1:$CG$65000,$B679,AQ$5)=1,1,IF(INDEX([1]Pivot!$B$1:$AB$65000,$B679,AQ$5)="",2,0)),0)</f>
        <v>0</v>
      </c>
      <c r="AR679" s="313">
        <f>IFERROR(IF(INDEX([1]Pivot!$BF$1:$CG$65000,$B679,AR$5)=1,1,IF(INDEX([1]Pivot!$B$1:$AB$65000,$B679,AR$5)="",2,0)),0)</f>
        <v>0</v>
      </c>
      <c r="AS679" s="312"/>
      <c r="AT679" s="313">
        <f>IFERROR(IF(INDEX([1]Pivot!$BF$1:$CG$65000,$B679,AT$5)=1,1,IF(INDEX([1]Pivot!$B$1:$AB$65000,$B679,AT$5)="",2,0)),0)</f>
        <v>0</v>
      </c>
      <c r="AU679" s="313">
        <f>IFERROR(IF(INDEX([1]Pivot!$BF$1:$CG$65000,$B679,AU$5)=1,1,IF(INDEX([1]Pivot!$B$1:$AB$65000,$B679,AU$5)="",2,0)),0)</f>
        <v>0</v>
      </c>
      <c r="AV679" s="313">
        <f>IFERROR(IF(INDEX([1]Pivot!$BF$1:$CG$65000,$B679,AV$5)=1,1,IF(INDEX([1]Pivot!$B$1:$AB$65000,$B679,AV$5)="",2,0)),0)</f>
        <v>0</v>
      </c>
      <c r="AW679" s="313">
        <f>IFERROR(IF(INDEX([1]Pivot!$BF$1:$CG$65000,$B679,AW$5)=1,1,IF(INDEX([1]Pivot!$B$1:$AB$65000,$B679,AW$5)="",2,0)),0)</f>
        <v>0</v>
      </c>
      <c r="AX679" s="313">
        <f>IFERROR(IF(INDEX([1]Pivot!$BF$1:$CG$65000,$B679,AX$5)=1,1,IF(INDEX([1]Pivot!$B$1:$AB$65000,$B679,AX$5)="",2,0)),0)</f>
        <v>0</v>
      </c>
      <c r="AY679" s="313">
        <f>IFERROR(IF(INDEX([1]Pivot!$BF$1:$CG$65000,$B679,AY$5)=1,1,IF(INDEX([1]Pivot!$B$1:$AB$65000,$B679,AY$5)="",2,0)),0)</f>
        <v>0</v>
      </c>
      <c r="AZ679" s="313">
        <f>IFERROR(IF(INDEX([1]Pivot!$BF$1:$CG$65000,$B679,AZ$5)=1,1,IF(INDEX([1]Pivot!$B$1:$AB$65000,$B679,AZ$5)="",2,0)),0)</f>
        <v>0</v>
      </c>
      <c r="BA679" s="313">
        <f>IFERROR(IF(INDEX([1]Pivot!$BF$1:$CG$65000,$B679,BA$5)=1,1,IF(INDEX([1]Pivot!$B$1:$AB$65000,$B679,BA$5)="",2,0)),0)</f>
        <v>0</v>
      </c>
      <c r="BB679" s="313">
        <f>IFERROR(IF(INDEX([1]Pivot!$BF$1:$CG$65000,$B679,BB$5)=1,1,IF(INDEX([1]Pivot!$B$1:$AB$65000,$B679,BB$5)="",2,0)),0)</f>
        <v>0</v>
      </c>
      <c r="BC679" s="313">
        <f>IFERROR(IF(INDEX([1]Pivot!$BF$1:$CG$65000,$B679,BC$5)=1,1,IF(INDEX([1]Pivot!$B$1:$AB$65000,$B679,BC$5)="",2,0)),0)</f>
        <v>0</v>
      </c>
      <c r="BD679" s="313">
        <f>IFERROR(IF(INDEX([1]Pivot!$BF$1:$CG$65000,$B679,BD$5)=1,1,IF(INDEX([1]Pivot!$B$1:$AB$65000,$B679,BD$5)="",2,0)),0)</f>
        <v>0</v>
      </c>
    </row>
    <row r="680" spans="1:56" x14ac:dyDescent="0.25">
      <c r="A680" s="288">
        <f>'[2]Raw Milk Prices'!A680</f>
        <v>0</v>
      </c>
      <c r="B680" s="296" t="e">
        <f>MATCH(DATE(LEFT('[2]Raw Milk Prices'!$A680,4),RIGHT('[2]Raw Milk Prices'!$A680,2),1),[1]Pivot!$A$1:$A$65000,0)</f>
        <v>#VALUE!</v>
      </c>
      <c r="C680" s="194">
        <f>IFERROR(IF(INDEX([1]Pivot!$AD$1:$BE$65000,$B680,C$5)=1,1,IF(INDEX([1]Pivot!$B$1:$AB$65000,$B680,C$5)="",2,0)),0)</f>
        <v>0</v>
      </c>
      <c r="D680" s="194">
        <f>IFERROR(IF(INDEX([1]Pivot!$AD$1:$BE$65000,$B680,D$5)=1,1,IF(INDEX([1]Pivot!$B$1:$AB$65000,$B680,D$5)="",2,0)),0)</f>
        <v>0</v>
      </c>
      <c r="E680" s="194">
        <f>IFERROR(IF(INDEX([1]Pivot!$AD$1:$BE$65000,$B680,E$5)=1,1,IF(INDEX([1]Pivot!$B$1:$AB$65000,$B680,E$5)="",2,0)),0)</f>
        <v>0</v>
      </c>
      <c r="F680" s="194">
        <f>IFERROR(IF(INDEX([1]Pivot!$AD$1:$BE$65000,$B680,F$5)=1,1,IF(INDEX([1]Pivot!$B$1:$AB$65000,$B680,F$5)="",2,0)),0)</f>
        <v>0</v>
      </c>
      <c r="G680" s="194">
        <f>IFERROR(IF(INDEX([1]Pivot!$AD$1:$BE$65000,$B680,G$5)=1,1,IF(INDEX([1]Pivot!$B$1:$AB$65000,$B680,G$5)="",2,0)),0)</f>
        <v>0</v>
      </c>
      <c r="H680" s="194">
        <f>IFERROR(IF(INDEX([1]Pivot!$AD$1:$BE$65000,$B680,H$5)=1,1,IF(INDEX([1]Pivot!$B$1:$AB$65000,$B680,H$5)="",2,0)),0)</f>
        <v>0</v>
      </c>
      <c r="I680" s="194">
        <f>IFERROR(IF(INDEX([1]Pivot!$AD$1:$BE$65000,$B680,I$5)=1,1,IF(INDEX([1]Pivot!$B$1:$AB$65000,$B680,I$5)="",2,0)),0)</f>
        <v>0</v>
      </c>
      <c r="J680" s="194">
        <f>IFERROR(IF(INDEX([1]Pivot!$AD$1:$BE$65000,$B680,J$5)=1,1,IF(INDEX([1]Pivot!$B$1:$AB$65000,$B680,J$5)="",2,0)),0)</f>
        <v>0</v>
      </c>
      <c r="K680" s="194">
        <f>IFERROR(IF(INDEX([1]Pivot!$AD$1:$BE$65000,$B680,K$5)=1,1,IF(INDEX([1]Pivot!$B$1:$AB$65000,$B680,K$5)="",2,0)),0)</f>
        <v>0</v>
      </c>
      <c r="L680" s="194">
        <f>IFERROR(IF(INDEX([1]Pivot!$AD$1:$BE$65000,$B680,L$5)=1,1,IF(INDEX([1]Pivot!$B$1:$AB$65000,$B680,L$5)="",2,0)),0)</f>
        <v>0</v>
      </c>
      <c r="M680" s="194">
        <f>IFERROR(IF(INDEX([1]Pivot!$AD$1:$BE$65000,$B680,M$5)=1,1,IF(INDEX([1]Pivot!$B$1:$AB$65000,$B680,M$5)="",2,0)),0)</f>
        <v>0</v>
      </c>
      <c r="N680" s="194">
        <f>IFERROR(IF(INDEX([1]Pivot!$AD$1:$BE$65000,$B680,N$5)=1,1,IF(INDEX([1]Pivot!$B$1:$AB$65000,$B680,N$5)="",2,0)),0)</f>
        <v>0</v>
      </c>
      <c r="O680" s="194">
        <f>IFERROR(IF(INDEX([1]Pivot!$AD$1:$BE$65000,$B680,O$5)=1,1,IF(INDEX([1]Pivot!$B$1:$AB$65000,$B680,O$5)="",2,0)),0)</f>
        <v>0</v>
      </c>
      <c r="P680" s="194">
        <f>IFERROR(IF(INDEX([1]Pivot!$AD$1:$BE$65000,$B680,P$5)=1,1,IF(INDEX([1]Pivot!$B$1:$AB$65000,$B680,P$5)="",2,0)),0)</f>
        <v>0</v>
      </c>
      <c r="Q680" s="194">
        <f>IFERROR(IF(INDEX([1]Pivot!$AD$1:$BE$65000,$B680,Q$5)=1,1,IF(INDEX([1]Pivot!$B$1:$AB$65000,$B680,Q$5)="",2,0)),0)</f>
        <v>0</v>
      </c>
      <c r="R680" s="312"/>
      <c r="S680" s="194">
        <f>IFERROR(IF(INDEX([1]Pivot!$AD$1:$BE$65000,$B680,S$5)=1,1,IF(INDEX([1]Pivot!$B$1:$AB$65000,$B680,S$5)="",2,0)),0)</f>
        <v>0</v>
      </c>
      <c r="T680" s="194">
        <f>IFERROR(IF(INDEX([1]Pivot!$AD$1:$BE$65000,$B680,T$5)=1,1,IF(INDEX([1]Pivot!$B$1:$AB$65000,$B680,T$5)="",2,0)),0)</f>
        <v>0</v>
      </c>
      <c r="U680" s="194">
        <f>IFERROR(IF(INDEX([1]Pivot!$AD$1:$BE$65000,$B680,U$5)=1,1,IF(INDEX([1]Pivot!$B$1:$AB$65000,$B680,U$5)="",2,0)),0)</f>
        <v>0</v>
      </c>
      <c r="V680" s="194">
        <f>IFERROR(IF(INDEX([1]Pivot!$AD$1:$BE$65000,$B680,V$5)=1,1,IF(INDEX([1]Pivot!$B$1:$AB$65000,$B680,V$5)="",2,0)),0)</f>
        <v>0</v>
      </c>
      <c r="W680" s="194">
        <f>IFERROR(IF(INDEX([1]Pivot!$AD$1:$BE$65000,$B680,W$5)=1,1,IF(INDEX([1]Pivot!$B$1:$AB$65000,$B680,W$5)="",2,0)),0)</f>
        <v>0</v>
      </c>
      <c r="X680" s="194">
        <f>IFERROR(IF(INDEX([1]Pivot!$AD$1:$BE$65000,$B680,X$5)=1,1,IF(INDEX([1]Pivot!$B$1:$AB$65000,$B680,X$5)="",2,0)),0)</f>
        <v>0</v>
      </c>
      <c r="Y680" s="194">
        <f>IFERROR(IF(INDEX([1]Pivot!$AD$1:$BE$65000,$B680,Y$5)=1,1,IF(INDEX([1]Pivot!$B$1:$AB$65000,$B680,Y$5)="",2,0)),0)</f>
        <v>0</v>
      </c>
      <c r="Z680" s="194">
        <f>IFERROR(IF(INDEX([1]Pivot!$AD$1:$BE$65000,$B680,Z$5)=1,1,IF(INDEX([1]Pivot!$B$1:$AB$65000,$B680,Z$5)="",2,0)),0)</f>
        <v>0</v>
      </c>
      <c r="AA680" s="194">
        <f>IFERROR(IF(INDEX([1]Pivot!$AD$1:$BE$65000,$B680,AA$5)=1,1,IF(INDEX([1]Pivot!$B$1:$AB$65000,$B680,AA$5)="",2,0)),0)</f>
        <v>0</v>
      </c>
      <c r="AB680" s="194">
        <f>IFERROR(IF(INDEX([1]Pivot!$AD$1:$BE$65000,$B680,AB$5)=1,1,IF(INDEX([1]Pivot!$B$1:$AB$65000,$B680,AB$5)="",2,0)),0)</f>
        <v>0</v>
      </c>
      <c r="AC680" s="194">
        <f>IFERROR(IF(INDEX([1]Pivot!$AD$1:$BE$65000,$B680,AC$5)=1,1,IF(INDEX([1]Pivot!$B$1:$AB$65000,$B680,AC$5)="",2,0)),0)</f>
        <v>0</v>
      </c>
      <c r="AD680" s="313">
        <f>IFERROR(IF(INDEX([1]Pivot!$BF$1:$CG$65000,$B680,AD$5)=1,1,IF(INDEX([1]Pivot!$B$1:$AB$65000,$B680,AD$5)="",2,0)),0)</f>
        <v>0</v>
      </c>
      <c r="AE680" s="313">
        <f>IFERROR(IF(INDEX([1]Pivot!$BF$1:$CG$65000,$B680,AE$5)=1,1,IF(INDEX([1]Pivot!$B$1:$AB$65000,$B680,AE$5)="",2,0)),0)</f>
        <v>0</v>
      </c>
      <c r="AF680" s="313">
        <f>IFERROR(IF(INDEX([1]Pivot!$BF$1:$CG$65000,$B680,AF$5)=1,1,IF(INDEX([1]Pivot!$B$1:$AB$65000,$B680,AF$5)="",2,0)),0)</f>
        <v>0</v>
      </c>
      <c r="AG680" s="313">
        <f>IFERROR(IF(INDEX([1]Pivot!$BF$1:$CG$65000,$B680,AG$5)=1,1,IF(INDEX([1]Pivot!$B$1:$AB$65000,$B680,AG$5)="",2,0)),0)</f>
        <v>0</v>
      </c>
      <c r="AH680" s="313">
        <f>IFERROR(IF(INDEX([1]Pivot!$BF$1:$CG$65000,$B680,AH$5)=1,1,IF(INDEX([1]Pivot!$B$1:$AB$65000,$B680,AH$5)="",2,0)),0)</f>
        <v>0</v>
      </c>
      <c r="AI680" s="313">
        <f>IFERROR(IF(INDEX([1]Pivot!$BF$1:$CG$65000,$B680,AI$5)=1,1,IF(INDEX([1]Pivot!$B$1:$AB$65000,$B680,AI$5)="",2,0)),0)</f>
        <v>0</v>
      </c>
      <c r="AJ680" s="313">
        <f>IFERROR(IF(INDEX([1]Pivot!$BF$1:$CG$65000,$B680,AJ$5)=1,1,IF(INDEX([1]Pivot!$B$1:$AB$65000,$B680,AJ$5)="",2,0)),0)</f>
        <v>0</v>
      </c>
      <c r="AK680" s="313">
        <f>IFERROR(IF(INDEX([1]Pivot!$BF$1:$CG$65000,$B680,AK$5)=1,1,IF(INDEX([1]Pivot!$B$1:$AB$65000,$B680,AK$5)="",2,0)),0)</f>
        <v>0</v>
      </c>
      <c r="AL680" s="313">
        <f>IFERROR(IF(INDEX([1]Pivot!$BF$1:$CG$65000,$B680,AL$5)=1,1,IF(INDEX([1]Pivot!$B$1:$AB$65000,$B680,AL$5)="",2,0)),0)</f>
        <v>0</v>
      </c>
      <c r="AM680" s="313">
        <f>IFERROR(IF(INDEX([1]Pivot!$BF$1:$CG$65000,$B680,AM$5)=1,1,IF(INDEX([1]Pivot!$B$1:$AB$65000,$B680,AM$5)="",2,0)),0)</f>
        <v>0</v>
      </c>
      <c r="AN680" s="313">
        <f>IFERROR(IF(INDEX([1]Pivot!$BF$1:$CG$65000,$B680,AN$5)=1,1,IF(INDEX([1]Pivot!$B$1:$AB$65000,$B680,AN$5)="",2,0)),0)</f>
        <v>0</v>
      </c>
      <c r="AO680" s="313">
        <f>IFERROR(IF(INDEX([1]Pivot!$BF$1:$CG$65000,$B680,AO$5)=1,1,IF(INDEX([1]Pivot!$B$1:$AB$65000,$B680,AO$5)="",2,0)),0)</f>
        <v>0</v>
      </c>
      <c r="AP680" s="313">
        <f>IFERROR(IF(INDEX([1]Pivot!$BF$1:$CG$65000,$B680,AP$5)=1,1,IF(INDEX([1]Pivot!$B$1:$AB$65000,$B680,AP$5)="",2,0)),0)</f>
        <v>0</v>
      </c>
      <c r="AQ680" s="313">
        <f>IFERROR(IF(INDEX([1]Pivot!$BF$1:$CG$65000,$B680,AQ$5)=1,1,IF(INDEX([1]Pivot!$B$1:$AB$65000,$B680,AQ$5)="",2,0)),0)</f>
        <v>0</v>
      </c>
      <c r="AR680" s="313">
        <f>IFERROR(IF(INDEX([1]Pivot!$BF$1:$CG$65000,$B680,AR$5)=1,1,IF(INDEX([1]Pivot!$B$1:$AB$65000,$B680,AR$5)="",2,0)),0)</f>
        <v>0</v>
      </c>
      <c r="AS680" s="312"/>
      <c r="AT680" s="313">
        <f>IFERROR(IF(INDEX([1]Pivot!$BF$1:$CG$65000,$B680,AT$5)=1,1,IF(INDEX([1]Pivot!$B$1:$AB$65000,$B680,AT$5)="",2,0)),0)</f>
        <v>0</v>
      </c>
      <c r="AU680" s="313">
        <f>IFERROR(IF(INDEX([1]Pivot!$BF$1:$CG$65000,$B680,AU$5)=1,1,IF(INDEX([1]Pivot!$B$1:$AB$65000,$B680,AU$5)="",2,0)),0)</f>
        <v>0</v>
      </c>
      <c r="AV680" s="313">
        <f>IFERROR(IF(INDEX([1]Pivot!$BF$1:$CG$65000,$B680,AV$5)=1,1,IF(INDEX([1]Pivot!$B$1:$AB$65000,$B680,AV$5)="",2,0)),0)</f>
        <v>0</v>
      </c>
      <c r="AW680" s="313">
        <f>IFERROR(IF(INDEX([1]Pivot!$BF$1:$CG$65000,$B680,AW$5)=1,1,IF(INDEX([1]Pivot!$B$1:$AB$65000,$B680,AW$5)="",2,0)),0)</f>
        <v>0</v>
      </c>
      <c r="AX680" s="313">
        <f>IFERROR(IF(INDEX([1]Pivot!$BF$1:$CG$65000,$B680,AX$5)=1,1,IF(INDEX([1]Pivot!$B$1:$AB$65000,$B680,AX$5)="",2,0)),0)</f>
        <v>0</v>
      </c>
      <c r="AY680" s="313">
        <f>IFERROR(IF(INDEX([1]Pivot!$BF$1:$CG$65000,$B680,AY$5)=1,1,IF(INDEX([1]Pivot!$B$1:$AB$65000,$B680,AY$5)="",2,0)),0)</f>
        <v>0</v>
      </c>
      <c r="AZ680" s="313">
        <f>IFERROR(IF(INDEX([1]Pivot!$BF$1:$CG$65000,$B680,AZ$5)=1,1,IF(INDEX([1]Pivot!$B$1:$AB$65000,$B680,AZ$5)="",2,0)),0)</f>
        <v>0</v>
      </c>
      <c r="BA680" s="313">
        <f>IFERROR(IF(INDEX([1]Pivot!$BF$1:$CG$65000,$B680,BA$5)=1,1,IF(INDEX([1]Pivot!$B$1:$AB$65000,$B680,BA$5)="",2,0)),0)</f>
        <v>0</v>
      </c>
      <c r="BB680" s="313">
        <f>IFERROR(IF(INDEX([1]Pivot!$BF$1:$CG$65000,$B680,BB$5)=1,1,IF(INDEX([1]Pivot!$B$1:$AB$65000,$B680,BB$5)="",2,0)),0)</f>
        <v>0</v>
      </c>
      <c r="BC680" s="313">
        <f>IFERROR(IF(INDEX([1]Pivot!$BF$1:$CG$65000,$B680,BC$5)=1,1,IF(INDEX([1]Pivot!$B$1:$AB$65000,$B680,BC$5)="",2,0)),0)</f>
        <v>0</v>
      </c>
      <c r="BD680" s="313">
        <f>IFERROR(IF(INDEX([1]Pivot!$BF$1:$CG$65000,$B680,BD$5)=1,1,IF(INDEX([1]Pivot!$B$1:$AB$65000,$B680,BD$5)="",2,0)),0)</f>
        <v>0</v>
      </c>
    </row>
    <row r="681" spans="1:56" x14ac:dyDescent="0.25">
      <c r="A681" s="288">
        <f>'[2]Raw Milk Prices'!A681</f>
        <v>0</v>
      </c>
      <c r="B681" s="296" t="e">
        <f>MATCH(DATE(LEFT('[2]Raw Milk Prices'!$A681,4),RIGHT('[2]Raw Milk Prices'!$A681,2),1),[1]Pivot!$A$1:$A$65000,0)</f>
        <v>#VALUE!</v>
      </c>
      <c r="C681" s="194">
        <f>IFERROR(IF(INDEX([1]Pivot!$AD$1:$BE$65000,$B681,C$5)=1,1,IF(INDEX([1]Pivot!$B$1:$AB$65000,$B681,C$5)="",2,0)),0)</f>
        <v>0</v>
      </c>
      <c r="D681" s="194">
        <f>IFERROR(IF(INDEX([1]Pivot!$AD$1:$BE$65000,$B681,D$5)=1,1,IF(INDEX([1]Pivot!$B$1:$AB$65000,$B681,D$5)="",2,0)),0)</f>
        <v>0</v>
      </c>
      <c r="E681" s="194">
        <f>IFERROR(IF(INDEX([1]Pivot!$AD$1:$BE$65000,$B681,E$5)=1,1,IF(INDEX([1]Pivot!$B$1:$AB$65000,$B681,E$5)="",2,0)),0)</f>
        <v>0</v>
      </c>
      <c r="F681" s="194">
        <f>IFERROR(IF(INDEX([1]Pivot!$AD$1:$BE$65000,$B681,F$5)=1,1,IF(INDEX([1]Pivot!$B$1:$AB$65000,$B681,F$5)="",2,0)),0)</f>
        <v>0</v>
      </c>
      <c r="G681" s="194">
        <f>IFERROR(IF(INDEX([1]Pivot!$AD$1:$BE$65000,$B681,G$5)=1,1,IF(INDEX([1]Pivot!$B$1:$AB$65000,$B681,G$5)="",2,0)),0)</f>
        <v>0</v>
      </c>
      <c r="H681" s="194">
        <f>IFERROR(IF(INDEX([1]Pivot!$AD$1:$BE$65000,$B681,H$5)=1,1,IF(INDEX([1]Pivot!$B$1:$AB$65000,$B681,H$5)="",2,0)),0)</f>
        <v>0</v>
      </c>
      <c r="I681" s="194">
        <f>IFERROR(IF(INDEX([1]Pivot!$AD$1:$BE$65000,$B681,I$5)=1,1,IF(INDEX([1]Pivot!$B$1:$AB$65000,$B681,I$5)="",2,0)),0)</f>
        <v>0</v>
      </c>
      <c r="J681" s="194">
        <f>IFERROR(IF(INDEX([1]Pivot!$AD$1:$BE$65000,$B681,J$5)=1,1,IF(INDEX([1]Pivot!$B$1:$AB$65000,$B681,J$5)="",2,0)),0)</f>
        <v>0</v>
      </c>
      <c r="K681" s="194">
        <f>IFERROR(IF(INDEX([1]Pivot!$AD$1:$BE$65000,$B681,K$5)=1,1,IF(INDEX([1]Pivot!$B$1:$AB$65000,$B681,K$5)="",2,0)),0)</f>
        <v>0</v>
      </c>
      <c r="L681" s="194">
        <f>IFERROR(IF(INDEX([1]Pivot!$AD$1:$BE$65000,$B681,L$5)=1,1,IF(INDEX([1]Pivot!$B$1:$AB$65000,$B681,L$5)="",2,0)),0)</f>
        <v>0</v>
      </c>
      <c r="M681" s="194">
        <f>IFERROR(IF(INDEX([1]Pivot!$AD$1:$BE$65000,$B681,M$5)=1,1,IF(INDEX([1]Pivot!$B$1:$AB$65000,$B681,M$5)="",2,0)),0)</f>
        <v>0</v>
      </c>
      <c r="N681" s="194">
        <f>IFERROR(IF(INDEX([1]Pivot!$AD$1:$BE$65000,$B681,N$5)=1,1,IF(INDEX([1]Pivot!$B$1:$AB$65000,$B681,N$5)="",2,0)),0)</f>
        <v>0</v>
      </c>
      <c r="O681" s="194">
        <f>IFERROR(IF(INDEX([1]Pivot!$AD$1:$BE$65000,$B681,O$5)=1,1,IF(INDEX([1]Pivot!$B$1:$AB$65000,$B681,O$5)="",2,0)),0)</f>
        <v>0</v>
      </c>
      <c r="P681" s="194">
        <f>IFERROR(IF(INDEX([1]Pivot!$AD$1:$BE$65000,$B681,P$5)=1,1,IF(INDEX([1]Pivot!$B$1:$AB$65000,$B681,P$5)="",2,0)),0)</f>
        <v>0</v>
      </c>
      <c r="Q681" s="194">
        <f>IFERROR(IF(INDEX([1]Pivot!$AD$1:$BE$65000,$B681,Q$5)=1,1,IF(INDEX([1]Pivot!$B$1:$AB$65000,$B681,Q$5)="",2,0)),0)</f>
        <v>0</v>
      </c>
      <c r="R681" s="312"/>
      <c r="S681" s="194">
        <f>IFERROR(IF(INDEX([1]Pivot!$AD$1:$BE$65000,$B681,S$5)=1,1,IF(INDEX([1]Pivot!$B$1:$AB$65000,$B681,S$5)="",2,0)),0)</f>
        <v>0</v>
      </c>
      <c r="T681" s="194">
        <f>IFERROR(IF(INDEX([1]Pivot!$AD$1:$BE$65000,$B681,T$5)=1,1,IF(INDEX([1]Pivot!$B$1:$AB$65000,$B681,T$5)="",2,0)),0)</f>
        <v>0</v>
      </c>
      <c r="U681" s="194">
        <f>IFERROR(IF(INDEX([1]Pivot!$AD$1:$BE$65000,$B681,U$5)=1,1,IF(INDEX([1]Pivot!$B$1:$AB$65000,$B681,U$5)="",2,0)),0)</f>
        <v>0</v>
      </c>
      <c r="V681" s="194">
        <f>IFERROR(IF(INDEX([1]Pivot!$AD$1:$BE$65000,$B681,V$5)=1,1,IF(INDEX([1]Pivot!$B$1:$AB$65000,$B681,V$5)="",2,0)),0)</f>
        <v>0</v>
      </c>
      <c r="W681" s="194">
        <f>IFERROR(IF(INDEX([1]Pivot!$AD$1:$BE$65000,$B681,W$5)=1,1,IF(INDEX([1]Pivot!$B$1:$AB$65000,$B681,W$5)="",2,0)),0)</f>
        <v>0</v>
      </c>
      <c r="X681" s="194">
        <f>IFERROR(IF(INDEX([1]Pivot!$AD$1:$BE$65000,$B681,X$5)=1,1,IF(INDEX([1]Pivot!$B$1:$AB$65000,$B681,X$5)="",2,0)),0)</f>
        <v>0</v>
      </c>
      <c r="Y681" s="194">
        <f>IFERROR(IF(INDEX([1]Pivot!$AD$1:$BE$65000,$B681,Y$5)=1,1,IF(INDEX([1]Pivot!$B$1:$AB$65000,$B681,Y$5)="",2,0)),0)</f>
        <v>0</v>
      </c>
      <c r="Z681" s="194">
        <f>IFERROR(IF(INDEX([1]Pivot!$AD$1:$BE$65000,$B681,Z$5)=1,1,IF(INDEX([1]Pivot!$B$1:$AB$65000,$B681,Z$5)="",2,0)),0)</f>
        <v>0</v>
      </c>
      <c r="AA681" s="194">
        <f>IFERROR(IF(INDEX([1]Pivot!$AD$1:$BE$65000,$B681,AA$5)=1,1,IF(INDEX([1]Pivot!$B$1:$AB$65000,$B681,AA$5)="",2,0)),0)</f>
        <v>0</v>
      </c>
      <c r="AB681" s="194">
        <f>IFERROR(IF(INDEX([1]Pivot!$AD$1:$BE$65000,$B681,AB$5)=1,1,IF(INDEX([1]Pivot!$B$1:$AB$65000,$B681,AB$5)="",2,0)),0)</f>
        <v>0</v>
      </c>
      <c r="AC681" s="194">
        <f>IFERROR(IF(INDEX([1]Pivot!$AD$1:$BE$65000,$B681,AC$5)=1,1,IF(INDEX([1]Pivot!$B$1:$AB$65000,$B681,AC$5)="",2,0)),0)</f>
        <v>0</v>
      </c>
      <c r="AD681" s="313">
        <f>IFERROR(IF(INDEX([1]Pivot!$BF$1:$CG$65000,$B681,AD$5)=1,1,IF(INDEX([1]Pivot!$B$1:$AB$65000,$B681,AD$5)="",2,0)),0)</f>
        <v>0</v>
      </c>
      <c r="AE681" s="313">
        <f>IFERROR(IF(INDEX([1]Pivot!$BF$1:$CG$65000,$B681,AE$5)=1,1,IF(INDEX([1]Pivot!$B$1:$AB$65000,$B681,AE$5)="",2,0)),0)</f>
        <v>0</v>
      </c>
      <c r="AF681" s="313">
        <f>IFERROR(IF(INDEX([1]Pivot!$BF$1:$CG$65000,$B681,AF$5)=1,1,IF(INDEX([1]Pivot!$B$1:$AB$65000,$B681,AF$5)="",2,0)),0)</f>
        <v>0</v>
      </c>
      <c r="AG681" s="313">
        <f>IFERROR(IF(INDEX([1]Pivot!$BF$1:$CG$65000,$B681,AG$5)=1,1,IF(INDEX([1]Pivot!$B$1:$AB$65000,$B681,AG$5)="",2,0)),0)</f>
        <v>0</v>
      </c>
      <c r="AH681" s="313">
        <f>IFERROR(IF(INDEX([1]Pivot!$BF$1:$CG$65000,$B681,AH$5)=1,1,IF(INDEX([1]Pivot!$B$1:$AB$65000,$B681,AH$5)="",2,0)),0)</f>
        <v>0</v>
      </c>
      <c r="AI681" s="313">
        <f>IFERROR(IF(INDEX([1]Pivot!$BF$1:$CG$65000,$B681,AI$5)=1,1,IF(INDEX([1]Pivot!$B$1:$AB$65000,$B681,AI$5)="",2,0)),0)</f>
        <v>0</v>
      </c>
      <c r="AJ681" s="313">
        <f>IFERROR(IF(INDEX([1]Pivot!$BF$1:$CG$65000,$B681,AJ$5)=1,1,IF(INDEX([1]Pivot!$B$1:$AB$65000,$B681,AJ$5)="",2,0)),0)</f>
        <v>0</v>
      </c>
      <c r="AK681" s="313">
        <f>IFERROR(IF(INDEX([1]Pivot!$BF$1:$CG$65000,$B681,AK$5)=1,1,IF(INDEX([1]Pivot!$B$1:$AB$65000,$B681,AK$5)="",2,0)),0)</f>
        <v>0</v>
      </c>
      <c r="AL681" s="313">
        <f>IFERROR(IF(INDEX([1]Pivot!$BF$1:$CG$65000,$B681,AL$5)=1,1,IF(INDEX([1]Pivot!$B$1:$AB$65000,$B681,AL$5)="",2,0)),0)</f>
        <v>0</v>
      </c>
      <c r="AM681" s="313">
        <f>IFERROR(IF(INDEX([1]Pivot!$BF$1:$CG$65000,$B681,AM$5)=1,1,IF(INDEX([1]Pivot!$B$1:$AB$65000,$B681,AM$5)="",2,0)),0)</f>
        <v>0</v>
      </c>
      <c r="AN681" s="313">
        <f>IFERROR(IF(INDEX([1]Pivot!$BF$1:$CG$65000,$B681,AN$5)=1,1,IF(INDEX([1]Pivot!$B$1:$AB$65000,$B681,AN$5)="",2,0)),0)</f>
        <v>0</v>
      </c>
      <c r="AO681" s="313">
        <f>IFERROR(IF(INDEX([1]Pivot!$BF$1:$CG$65000,$B681,AO$5)=1,1,IF(INDEX([1]Pivot!$B$1:$AB$65000,$B681,AO$5)="",2,0)),0)</f>
        <v>0</v>
      </c>
      <c r="AP681" s="313">
        <f>IFERROR(IF(INDEX([1]Pivot!$BF$1:$CG$65000,$B681,AP$5)=1,1,IF(INDEX([1]Pivot!$B$1:$AB$65000,$B681,AP$5)="",2,0)),0)</f>
        <v>0</v>
      </c>
      <c r="AQ681" s="313">
        <f>IFERROR(IF(INDEX([1]Pivot!$BF$1:$CG$65000,$B681,AQ$5)=1,1,IF(INDEX([1]Pivot!$B$1:$AB$65000,$B681,AQ$5)="",2,0)),0)</f>
        <v>0</v>
      </c>
      <c r="AR681" s="313">
        <f>IFERROR(IF(INDEX([1]Pivot!$BF$1:$CG$65000,$B681,AR$5)=1,1,IF(INDEX([1]Pivot!$B$1:$AB$65000,$B681,AR$5)="",2,0)),0)</f>
        <v>0</v>
      </c>
      <c r="AS681" s="312"/>
      <c r="AT681" s="313">
        <f>IFERROR(IF(INDEX([1]Pivot!$BF$1:$CG$65000,$B681,AT$5)=1,1,IF(INDEX([1]Pivot!$B$1:$AB$65000,$B681,AT$5)="",2,0)),0)</f>
        <v>0</v>
      </c>
      <c r="AU681" s="313">
        <f>IFERROR(IF(INDEX([1]Pivot!$BF$1:$CG$65000,$B681,AU$5)=1,1,IF(INDEX([1]Pivot!$B$1:$AB$65000,$B681,AU$5)="",2,0)),0)</f>
        <v>0</v>
      </c>
      <c r="AV681" s="313">
        <f>IFERROR(IF(INDEX([1]Pivot!$BF$1:$CG$65000,$B681,AV$5)=1,1,IF(INDEX([1]Pivot!$B$1:$AB$65000,$B681,AV$5)="",2,0)),0)</f>
        <v>0</v>
      </c>
      <c r="AW681" s="313">
        <f>IFERROR(IF(INDEX([1]Pivot!$BF$1:$CG$65000,$B681,AW$5)=1,1,IF(INDEX([1]Pivot!$B$1:$AB$65000,$B681,AW$5)="",2,0)),0)</f>
        <v>0</v>
      </c>
      <c r="AX681" s="313">
        <f>IFERROR(IF(INDEX([1]Pivot!$BF$1:$CG$65000,$B681,AX$5)=1,1,IF(INDEX([1]Pivot!$B$1:$AB$65000,$B681,AX$5)="",2,0)),0)</f>
        <v>0</v>
      </c>
      <c r="AY681" s="313">
        <f>IFERROR(IF(INDEX([1]Pivot!$BF$1:$CG$65000,$B681,AY$5)=1,1,IF(INDEX([1]Pivot!$B$1:$AB$65000,$B681,AY$5)="",2,0)),0)</f>
        <v>0</v>
      </c>
      <c r="AZ681" s="313">
        <f>IFERROR(IF(INDEX([1]Pivot!$BF$1:$CG$65000,$B681,AZ$5)=1,1,IF(INDEX([1]Pivot!$B$1:$AB$65000,$B681,AZ$5)="",2,0)),0)</f>
        <v>0</v>
      </c>
      <c r="BA681" s="313">
        <f>IFERROR(IF(INDEX([1]Pivot!$BF$1:$CG$65000,$B681,BA$5)=1,1,IF(INDEX([1]Pivot!$B$1:$AB$65000,$B681,BA$5)="",2,0)),0)</f>
        <v>0</v>
      </c>
      <c r="BB681" s="313">
        <f>IFERROR(IF(INDEX([1]Pivot!$BF$1:$CG$65000,$B681,BB$5)=1,1,IF(INDEX([1]Pivot!$B$1:$AB$65000,$B681,BB$5)="",2,0)),0)</f>
        <v>0</v>
      </c>
      <c r="BC681" s="313">
        <f>IFERROR(IF(INDEX([1]Pivot!$BF$1:$CG$65000,$B681,BC$5)=1,1,IF(INDEX([1]Pivot!$B$1:$AB$65000,$B681,BC$5)="",2,0)),0)</f>
        <v>0</v>
      </c>
      <c r="BD681" s="313">
        <f>IFERROR(IF(INDEX([1]Pivot!$BF$1:$CG$65000,$B681,BD$5)=1,1,IF(INDEX([1]Pivot!$B$1:$AB$65000,$B681,BD$5)="",2,0)),0)</f>
        <v>0</v>
      </c>
    </row>
    <row r="682" spans="1:56" x14ac:dyDescent="0.25">
      <c r="A682" s="288">
        <f>'[2]Raw Milk Prices'!A682</f>
        <v>0</v>
      </c>
      <c r="B682" s="296" t="e">
        <f>MATCH(DATE(LEFT('[2]Raw Milk Prices'!$A682,4),RIGHT('[2]Raw Milk Prices'!$A682,2),1),[1]Pivot!$A$1:$A$65000,0)</f>
        <v>#VALUE!</v>
      </c>
      <c r="C682" s="194">
        <f>IFERROR(IF(INDEX([1]Pivot!$AD$1:$BE$65000,$B682,C$5)=1,1,IF(INDEX([1]Pivot!$B$1:$AB$65000,$B682,C$5)="",2,0)),0)</f>
        <v>0</v>
      </c>
      <c r="D682" s="194">
        <f>IFERROR(IF(INDEX([1]Pivot!$AD$1:$BE$65000,$B682,D$5)=1,1,IF(INDEX([1]Pivot!$B$1:$AB$65000,$B682,D$5)="",2,0)),0)</f>
        <v>0</v>
      </c>
      <c r="E682" s="194">
        <f>IFERROR(IF(INDEX([1]Pivot!$AD$1:$BE$65000,$B682,E$5)=1,1,IF(INDEX([1]Pivot!$B$1:$AB$65000,$B682,E$5)="",2,0)),0)</f>
        <v>0</v>
      </c>
      <c r="F682" s="194">
        <f>IFERROR(IF(INDEX([1]Pivot!$AD$1:$BE$65000,$B682,F$5)=1,1,IF(INDEX([1]Pivot!$B$1:$AB$65000,$B682,F$5)="",2,0)),0)</f>
        <v>0</v>
      </c>
      <c r="G682" s="194">
        <f>IFERROR(IF(INDEX([1]Pivot!$AD$1:$BE$65000,$B682,G$5)=1,1,IF(INDEX([1]Pivot!$B$1:$AB$65000,$B682,G$5)="",2,0)),0)</f>
        <v>0</v>
      </c>
      <c r="H682" s="194">
        <f>IFERROR(IF(INDEX([1]Pivot!$AD$1:$BE$65000,$B682,H$5)=1,1,IF(INDEX([1]Pivot!$B$1:$AB$65000,$B682,H$5)="",2,0)),0)</f>
        <v>0</v>
      </c>
      <c r="I682" s="194">
        <f>IFERROR(IF(INDEX([1]Pivot!$AD$1:$BE$65000,$B682,I$5)=1,1,IF(INDEX([1]Pivot!$B$1:$AB$65000,$B682,I$5)="",2,0)),0)</f>
        <v>0</v>
      </c>
      <c r="J682" s="194">
        <f>IFERROR(IF(INDEX([1]Pivot!$AD$1:$BE$65000,$B682,J$5)=1,1,IF(INDEX([1]Pivot!$B$1:$AB$65000,$B682,J$5)="",2,0)),0)</f>
        <v>0</v>
      </c>
      <c r="K682" s="194">
        <f>IFERROR(IF(INDEX([1]Pivot!$AD$1:$BE$65000,$B682,K$5)=1,1,IF(INDEX([1]Pivot!$B$1:$AB$65000,$B682,K$5)="",2,0)),0)</f>
        <v>0</v>
      </c>
      <c r="L682" s="194">
        <f>IFERROR(IF(INDEX([1]Pivot!$AD$1:$BE$65000,$B682,L$5)=1,1,IF(INDEX([1]Pivot!$B$1:$AB$65000,$B682,L$5)="",2,0)),0)</f>
        <v>0</v>
      </c>
      <c r="M682" s="194">
        <f>IFERROR(IF(INDEX([1]Pivot!$AD$1:$BE$65000,$B682,M$5)=1,1,IF(INDEX([1]Pivot!$B$1:$AB$65000,$B682,M$5)="",2,0)),0)</f>
        <v>0</v>
      </c>
      <c r="N682" s="194">
        <f>IFERROR(IF(INDEX([1]Pivot!$AD$1:$BE$65000,$B682,N$5)=1,1,IF(INDEX([1]Pivot!$B$1:$AB$65000,$B682,N$5)="",2,0)),0)</f>
        <v>0</v>
      </c>
      <c r="O682" s="194">
        <f>IFERROR(IF(INDEX([1]Pivot!$AD$1:$BE$65000,$B682,O$5)=1,1,IF(INDEX([1]Pivot!$B$1:$AB$65000,$B682,O$5)="",2,0)),0)</f>
        <v>0</v>
      </c>
      <c r="P682" s="194">
        <f>IFERROR(IF(INDEX([1]Pivot!$AD$1:$BE$65000,$B682,P$5)=1,1,IF(INDEX([1]Pivot!$B$1:$AB$65000,$B682,P$5)="",2,0)),0)</f>
        <v>0</v>
      </c>
      <c r="Q682" s="194">
        <f>IFERROR(IF(INDEX([1]Pivot!$AD$1:$BE$65000,$B682,Q$5)=1,1,IF(INDEX([1]Pivot!$B$1:$AB$65000,$B682,Q$5)="",2,0)),0)</f>
        <v>0</v>
      </c>
      <c r="R682" s="312"/>
      <c r="S682" s="194">
        <f>IFERROR(IF(INDEX([1]Pivot!$AD$1:$BE$65000,$B682,S$5)=1,1,IF(INDEX([1]Pivot!$B$1:$AB$65000,$B682,S$5)="",2,0)),0)</f>
        <v>0</v>
      </c>
      <c r="T682" s="194">
        <f>IFERROR(IF(INDEX([1]Pivot!$AD$1:$BE$65000,$B682,T$5)=1,1,IF(INDEX([1]Pivot!$B$1:$AB$65000,$B682,T$5)="",2,0)),0)</f>
        <v>0</v>
      </c>
      <c r="U682" s="194">
        <f>IFERROR(IF(INDEX([1]Pivot!$AD$1:$BE$65000,$B682,U$5)=1,1,IF(INDEX([1]Pivot!$B$1:$AB$65000,$B682,U$5)="",2,0)),0)</f>
        <v>0</v>
      </c>
      <c r="V682" s="194">
        <f>IFERROR(IF(INDEX([1]Pivot!$AD$1:$BE$65000,$B682,V$5)=1,1,IF(INDEX([1]Pivot!$B$1:$AB$65000,$B682,V$5)="",2,0)),0)</f>
        <v>0</v>
      </c>
      <c r="W682" s="194">
        <f>IFERROR(IF(INDEX([1]Pivot!$AD$1:$BE$65000,$B682,W$5)=1,1,IF(INDEX([1]Pivot!$B$1:$AB$65000,$B682,W$5)="",2,0)),0)</f>
        <v>0</v>
      </c>
      <c r="X682" s="194">
        <f>IFERROR(IF(INDEX([1]Pivot!$AD$1:$BE$65000,$B682,X$5)=1,1,IF(INDEX([1]Pivot!$B$1:$AB$65000,$B682,X$5)="",2,0)),0)</f>
        <v>0</v>
      </c>
      <c r="Y682" s="194">
        <f>IFERROR(IF(INDEX([1]Pivot!$AD$1:$BE$65000,$B682,Y$5)=1,1,IF(INDEX([1]Pivot!$B$1:$AB$65000,$B682,Y$5)="",2,0)),0)</f>
        <v>0</v>
      </c>
      <c r="Z682" s="194">
        <f>IFERROR(IF(INDEX([1]Pivot!$AD$1:$BE$65000,$B682,Z$5)=1,1,IF(INDEX([1]Pivot!$B$1:$AB$65000,$B682,Z$5)="",2,0)),0)</f>
        <v>0</v>
      </c>
      <c r="AA682" s="194">
        <f>IFERROR(IF(INDEX([1]Pivot!$AD$1:$BE$65000,$B682,AA$5)=1,1,IF(INDEX([1]Pivot!$B$1:$AB$65000,$B682,AA$5)="",2,0)),0)</f>
        <v>0</v>
      </c>
      <c r="AB682" s="194">
        <f>IFERROR(IF(INDEX([1]Pivot!$AD$1:$BE$65000,$B682,AB$5)=1,1,IF(INDEX([1]Pivot!$B$1:$AB$65000,$B682,AB$5)="",2,0)),0)</f>
        <v>0</v>
      </c>
      <c r="AC682" s="194">
        <f>IFERROR(IF(INDEX([1]Pivot!$AD$1:$BE$65000,$B682,AC$5)=1,1,IF(INDEX([1]Pivot!$B$1:$AB$65000,$B682,AC$5)="",2,0)),0)</f>
        <v>0</v>
      </c>
      <c r="AD682" s="313">
        <f>IFERROR(IF(INDEX([1]Pivot!$BF$1:$CG$65000,$B682,AD$5)=1,1,IF(INDEX([1]Pivot!$B$1:$AB$65000,$B682,AD$5)="",2,0)),0)</f>
        <v>0</v>
      </c>
      <c r="AE682" s="313">
        <f>IFERROR(IF(INDEX([1]Pivot!$BF$1:$CG$65000,$B682,AE$5)=1,1,IF(INDEX([1]Pivot!$B$1:$AB$65000,$B682,AE$5)="",2,0)),0)</f>
        <v>0</v>
      </c>
      <c r="AF682" s="313">
        <f>IFERROR(IF(INDEX([1]Pivot!$BF$1:$CG$65000,$B682,AF$5)=1,1,IF(INDEX([1]Pivot!$B$1:$AB$65000,$B682,AF$5)="",2,0)),0)</f>
        <v>0</v>
      </c>
      <c r="AG682" s="313">
        <f>IFERROR(IF(INDEX([1]Pivot!$BF$1:$CG$65000,$B682,AG$5)=1,1,IF(INDEX([1]Pivot!$B$1:$AB$65000,$B682,AG$5)="",2,0)),0)</f>
        <v>0</v>
      </c>
      <c r="AH682" s="313">
        <f>IFERROR(IF(INDEX([1]Pivot!$BF$1:$CG$65000,$B682,AH$5)=1,1,IF(INDEX([1]Pivot!$B$1:$AB$65000,$B682,AH$5)="",2,0)),0)</f>
        <v>0</v>
      </c>
      <c r="AI682" s="313">
        <f>IFERROR(IF(INDEX([1]Pivot!$BF$1:$CG$65000,$B682,AI$5)=1,1,IF(INDEX([1]Pivot!$B$1:$AB$65000,$B682,AI$5)="",2,0)),0)</f>
        <v>0</v>
      </c>
      <c r="AJ682" s="313">
        <f>IFERROR(IF(INDEX([1]Pivot!$BF$1:$CG$65000,$B682,AJ$5)=1,1,IF(INDEX([1]Pivot!$B$1:$AB$65000,$B682,AJ$5)="",2,0)),0)</f>
        <v>0</v>
      </c>
      <c r="AK682" s="313">
        <f>IFERROR(IF(INDEX([1]Pivot!$BF$1:$CG$65000,$B682,AK$5)=1,1,IF(INDEX([1]Pivot!$B$1:$AB$65000,$B682,AK$5)="",2,0)),0)</f>
        <v>0</v>
      </c>
      <c r="AL682" s="313">
        <f>IFERROR(IF(INDEX([1]Pivot!$BF$1:$CG$65000,$B682,AL$5)=1,1,IF(INDEX([1]Pivot!$B$1:$AB$65000,$B682,AL$5)="",2,0)),0)</f>
        <v>0</v>
      </c>
      <c r="AM682" s="313">
        <f>IFERROR(IF(INDEX([1]Pivot!$BF$1:$CG$65000,$B682,AM$5)=1,1,IF(INDEX([1]Pivot!$B$1:$AB$65000,$B682,AM$5)="",2,0)),0)</f>
        <v>0</v>
      </c>
      <c r="AN682" s="313">
        <f>IFERROR(IF(INDEX([1]Pivot!$BF$1:$CG$65000,$B682,AN$5)=1,1,IF(INDEX([1]Pivot!$B$1:$AB$65000,$B682,AN$5)="",2,0)),0)</f>
        <v>0</v>
      </c>
      <c r="AO682" s="313">
        <f>IFERROR(IF(INDEX([1]Pivot!$BF$1:$CG$65000,$B682,AO$5)=1,1,IF(INDEX([1]Pivot!$B$1:$AB$65000,$B682,AO$5)="",2,0)),0)</f>
        <v>0</v>
      </c>
      <c r="AP682" s="313">
        <f>IFERROR(IF(INDEX([1]Pivot!$BF$1:$CG$65000,$B682,AP$5)=1,1,IF(INDEX([1]Pivot!$B$1:$AB$65000,$B682,AP$5)="",2,0)),0)</f>
        <v>0</v>
      </c>
      <c r="AQ682" s="313">
        <f>IFERROR(IF(INDEX([1]Pivot!$BF$1:$CG$65000,$B682,AQ$5)=1,1,IF(INDEX([1]Pivot!$B$1:$AB$65000,$B682,AQ$5)="",2,0)),0)</f>
        <v>0</v>
      </c>
      <c r="AR682" s="313">
        <f>IFERROR(IF(INDEX([1]Pivot!$BF$1:$CG$65000,$B682,AR$5)=1,1,IF(INDEX([1]Pivot!$B$1:$AB$65000,$B682,AR$5)="",2,0)),0)</f>
        <v>0</v>
      </c>
      <c r="AS682" s="312"/>
      <c r="AT682" s="313">
        <f>IFERROR(IF(INDEX([1]Pivot!$BF$1:$CG$65000,$B682,AT$5)=1,1,IF(INDEX([1]Pivot!$B$1:$AB$65000,$B682,AT$5)="",2,0)),0)</f>
        <v>0</v>
      </c>
      <c r="AU682" s="313">
        <f>IFERROR(IF(INDEX([1]Pivot!$BF$1:$CG$65000,$B682,AU$5)=1,1,IF(INDEX([1]Pivot!$B$1:$AB$65000,$B682,AU$5)="",2,0)),0)</f>
        <v>0</v>
      </c>
      <c r="AV682" s="313">
        <f>IFERROR(IF(INDEX([1]Pivot!$BF$1:$CG$65000,$B682,AV$5)=1,1,IF(INDEX([1]Pivot!$B$1:$AB$65000,$B682,AV$5)="",2,0)),0)</f>
        <v>0</v>
      </c>
      <c r="AW682" s="313">
        <f>IFERROR(IF(INDEX([1]Pivot!$BF$1:$CG$65000,$B682,AW$5)=1,1,IF(INDEX([1]Pivot!$B$1:$AB$65000,$B682,AW$5)="",2,0)),0)</f>
        <v>0</v>
      </c>
      <c r="AX682" s="313">
        <f>IFERROR(IF(INDEX([1]Pivot!$BF$1:$CG$65000,$B682,AX$5)=1,1,IF(INDEX([1]Pivot!$B$1:$AB$65000,$B682,AX$5)="",2,0)),0)</f>
        <v>0</v>
      </c>
      <c r="AY682" s="313">
        <f>IFERROR(IF(INDEX([1]Pivot!$BF$1:$CG$65000,$B682,AY$5)=1,1,IF(INDEX([1]Pivot!$B$1:$AB$65000,$B682,AY$5)="",2,0)),0)</f>
        <v>0</v>
      </c>
      <c r="AZ682" s="313">
        <f>IFERROR(IF(INDEX([1]Pivot!$BF$1:$CG$65000,$B682,AZ$5)=1,1,IF(INDEX([1]Pivot!$B$1:$AB$65000,$B682,AZ$5)="",2,0)),0)</f>
        <v>0</v>
      </c>
      <c r="BA682" s="313">
        <f>IFERROR(IF(INDEX([1]Pivot!$BF$1:$CG$65000,$B682,BA$5)=1,1,IF(INDEX([1]Pivot!$B$1:$AB$65000,$B682,BA$5)="",2,0)),0)</f>
        <v>0</v>
      </c>
      <c r="BB682" s="313">
        <f>IFERROR(IF(INDEX([1]Pivot!$BF$1:$CG$65000,$B682,BB$5)=1,1,IF(INDEX([1]Pivot!$B$1:$AB$65000,$B682,BB$5)="",2,0)),0)</f>
        <v>0</v>
      </c>
      <c r="BC682" s="313">
        <f>IFERROR(IF(INDEX([1]Pivot!$BF$1:$CG$65000,$B682,BC$5)=1,1,IF(INDEX([1]Pivot!$B$1:$AB$65000,$B682,BC$5)="",2,0)),0)</f>
        <v>0</v>
      </c>
      <c r="BD682" s="313">
        <f>IFERROR(IF(INDEX([1]Pivot!$BF$1:$CG$65000,$B682,BD$5)=1,1,IF(INDEX([1]Pivot!$B$1:$AB$65000,$B682,BD$5)="",2,0)),0)</f>
        <v>0</v>
      </c>
    </row>
    <row r="683" spans="1:56" x14ac:dyDescent="0.25">
      <c r="A683" s="288">
        <f>'[2]Raw Milk Prices'!A683</f>
        <v>0</v>
      </c>
      <c r="B683" s="296" t="e">
        <f>MATCH(DATE(LEFT('[2]Raw Milk Prices'!$A683,4),RIGHT('[2]Raw Milk Prices'!$A683,2),1),[1]Pivot!$A$1:$A$65000,0)</f>
        <v>#VALUE!</v>
      </c>
      <c r="C683" s="194">
        <f>IFERROR(IF(INDEX([1]Pivot!$AD$1:$BE$65000,$B683,C$5)=1,1,IF(INDEX([1]Pivot!$B$1:$AB$65000,$B683,C$5)="",2,0)),0)</f>
        <v>0</v>
      </c>
      <c r="D683" s="194">
        <f>IFERROR(IF(INDEX([1]Pivot!$AD$1:$BE$65000,$B683,D$5)=1,1,IF(INDEX([1]Pivot!$B$1:$AB$65000,$B683,D$5)="",2,0)),0)</f>
        <v>0</v>
      </c>
      <c r="E683" s="194">
        <f>IFERROR(IF(INDEX([1]Pivot!$AD$1:$BE$65000,$B683,E$5)=1,1,IF(INDEX([1]Pivot!$B$1:$AB$65000,$B683,E$5)="",2,0)),0)</f>
        <v>0</v>
      </c>
      <c r="F683" s="194">
        <f>IFERROR(IF(INDEX([1]Pivot!$AD$1:$BE$65000,$B683,F$5)=1,1,IF(INDEX([1]Pivot!$B$1:$AB$65000,$B683,F$5)="",2,0)),0)</f>
        <v>0</v>
      </c>
      <c r="G683" s="194">
        <f>IFERROR(IF(INDEX([1]Pivot!$AD$1:$BE$65000,$B683,G$5)=1,1,IF(INDEX([1]Pivot!$B$1:$AB$65000,$B683,G$5)="",2,0)),0)</f>
        <v>0</v>
      </c>
      <c r="H683" s="194">
        <f>IFERROR(IF(INDEX([1]Pivot!$AD$1:$BE$65000,$B683,H$5)=1,1,IF(INDEX([1]Pivot!$B$1:$AB$65000,$B683,H$5)="",2,0)),0)</f>
        <v>0</v>
      </c>
      <c r="I683" s="194">
        <f>IFERROR(IF(INDEX([1]Pivot!$AD$1:$BE$65000,$B683,I$5)=1,1,IF(INDEX([1]Pivot!$B$1:$AB$65000,$B683,I$5)="",2,0)),0)</f>
        <v>0</v>
      </c>
      <c r="J683" s="194">
        <f>IFERROR(IF(INDEX([1]Pivot!$AD$1:$BE$65000,$B683,J$5)=1,1,IF(INDEX([1]Pivot!$B$1:$AB$65000,$B683,J$5)="",2,0)),0)</f>
        <v>0</v>
      </c>
      <c r="K683" s="194">
        <f>IFERROR(IF(INDEX([1]Pivot!$AD$1:$BE$65000,$B683,K$5)=1,1,IF(INDEX([1]Pivot!$B$1:$AB$65000,$B683,K$5)="",2,0)),0)</f>
        <v>0</v>
      </c>
      <c r="L683" s="194">
        <f>IFERROR(IF(INDEX([1]Pivot!$AD$1:$BE$65000,$B683,L$5)=1,1,IF(INDEX([1]Pivot!$B$1:$AB$65000,$B683,L$5)="",2,0)),0)</f>
        <v>0</v>
      </c>
      <c r="M683" s="194">
        <f>IFERROR(IF(INDEX([1]Pivot!$AD$1:$BE$65000,$B683,M$5)=1,1,IF(INDEX([1]Pivot!$B$1:$AB$65000,$B683,M$5)="",2,0)),0)</f>
        <v>0</v>
      </c>
      <c r="N683" s="194">
        <f>IFERROR(IF(INDEX([1]Pivot!$AD$1:$BE$65000,$B683,N$5)=1,1,IF(INDEX([1]Pivot!$B$1:$AB$65000,$B683,N$5)="",2,0)),0)</f>
        <v>0</v>
      </c>
      <c r="O683" s="194">
        <f>IFERROR(IF(INDEX([1]Pivot!$AD$1:$BE$65000,$B683,O$5)=1,1,IF(INDEX([1]Pivot!$B$1:$AB$65000,$B683,O$5)="",2,0)),0)</f>
        <v>0</v>
      </c>
      <c r="P683" s="194">
        <f>IFERROR(IF(INDEX([1]Pivot!$AD$1:$BE$65000,$B683,P$5)=1,1,IF(INDEX([1]Pivot!$B$1:$AB$65000,$B683,P$5)="",2,0)),0)</f>
        <v>0</v>
      </c>
      <c r="Q683" s="194">
        <f>IFERROR(IF(INDEX([1]Pivot!$AD$1:$BE$65000,$B683,Q$5)=1,1,IF(INDEX([1]Pivot!$B$1:$AB$65000,$B683,Q$5)="",2,0)),0)</f>
        <v>0</v>
      </c>
      <c r="R683" s="312"/>
      <c r="S683" s="194">
        <f>IFERROR(IF(INDEX([1]Pivot!$AD$1:$BE$65000,$B683,S$5)=1,1,IF(INDEX([1]Pivot!$B$1:$AB$65000,$B683,S$5)="",2,0)),0)</f>
        <v>0</v>
      </c>
      <c r="T683" s="194">
        <f>IFERROR(IF(INDEX([1]Pivot!$AD$1:$BE$65000,$B683,T$5)=1,1,IF(INDEX([1]Pivot!$B$1:$AB$65000,$B683,T$5)="",2,0)),0)</f>
        <v>0</v>
      </c>
      <c r="U683" s="194">
        <f>IFERROR(IF(INDEX([1]Pivot!$AD$1:$BE$65000,$B683,U$5)=1,1,IF(INDEX([1]Pivot!$B$1:$AB$65000,$B683,U$5)="",2,0)),0)</f>
        <v>0</v>
      </c>
      <c r="V683" s="194">
        <f>IFERROR(IF(INDEX([1]Pivot!$AD$1:$BE$65000,$B683,V$5)=1,1,IF(INDEX([1]Pivot!$B$1:$AB$65000,$B683,V$5)="",2,0)),0)</f>
        <v>0</v>
      </c>
      <c r="W683" s="194">
        <f>IFERROR(IF(INDEX([1]Pivot!$AD$1:$BE$65000,$B683,W$5)=1,1,IF(INDEX([1]Pivot!$B$1:$AB$65000,$B683,W$5)="",2,0)),0)</f>
        <v>0</v>
      </c>
      <c r="X683" s="194">
        <f>IFERROR(IF(INDEX([1]Pivot!$AD$1:$BE$65000,$B683,X$5)=1,1,IF(INDEX([1]Pivot!$B$1:$AB$65000,$B683,X$5)="",2,0)),0)</f>
        <v>0</v>
      </c>
      <c r="Y683" s="194">
        <f>IFERROR(IF(INDEX([1]Pivot!$AD$1:$BE$65000,$B683,Y$5)=1,1,IF(INDEX([1]Pivot!$B$1:$AB$65000,$B683,Y$5)="",2,0)),0)</f>
        <v>0</v>
      </c>
      <c r="Z683" s="194">
        <f>IFERROR(IF(INDEX([1]Pivot!$AD$1:$BE$65000,$B683,Z$5)=1,1,IF(INDEX([1]Pivot!$B$1:$AB$65000,$B683,Z$5)="",2,0)),0)</f>
        <v>0</v>
      </c>
      <c r="AA683" s="194">
        <f>IFERROR(IF(INDEX([1]Pivot!$AD$1:$BE$65000,$B683,AA$5)=1,1,IF(INDEX([1]Pivot!$B$1:$AB$65000,$B683,AA$5)="",2,0)),0)</f>
        <v>0</v>
      </c>
      <c r="AB683" s="194">
        <f>IFERROR(IF(INDEX([1]Pivot!$AD$1:$BE$65000,$B683,AB$5)=1,1,IF(INDEX([1]Pivot!$B$1:$AB$65000,$B683,AB$5)="",2,0)),0)</f>
        <v>0</v>
      </c>
      <c r="AC683" s="194">
        <f>IFERROR(IF(INDEX([1]Pivot!$AD$1:$BE$65000,$B683,AC$5)=1,1,IF(INDEX([1]Pivot!$B$1:$AB$65000,$B683,AC$5)="",2,0)),0)</f>
        <v>0</v>
      </c>
      <c r="AD683" s="313">
        <f>IFERROR(IF(INDEX([1]Pivot!$BF$1:$CG$65000,$B683,AD$5)=1,1,IF(INDEX([1]Pivot!$B$1:$AB$65000,$B683,AD$5)="",2,0)),0)</f>
        <v>0</v>
      </c>
      <c r="AE683" s="313">
        <f>IFERROR(IF(INDEX([1]Pivot!$BF$1:$CG$65000,$B683,AE$5)=1,1,IF(INDEX([1]Pivot!$B$1:$AB$65000,$B683,AE$5)="",2,0)),0)</f>
        <v>0</v>
      </c>
      <c r="AF683" s="313">
        <f>IFERROR(IF(INDEX([1]Pivot!$BF$1:$CG$65000,$B683,AF$5)=1,1,IF(INDEX([1]Pivot!$B$1:$AB$65000,$B683,AF$5)="",2,0)),0)</f>
        <v>0</v>
      </c>
      <c r="AG683" s="313">
        <f>IFERROR(IF(INDEX([1]Pivot!$BF$1:$CG$65000,$B683,AG$5)=1,1,IF(INDEX([1]Pivot!$B$1:$AB$65000,$B683,AG$5)="",2,0)),0)</f>
        <v>0</v>
      </c>
      <c r="AH683" s="313">
        <f>IFERROR(IF(INDEX([1]Pivot!$BF$1:$CG$65000,$B683,AH$5)=1,1,IF(INDEX([1]Pivot!$B$1:$AB$65000,$B683,AH$5)="",2,0)),0)</f>
        <v>0</v>
      </c>
      <c r="AI683" s="313">
        <f>IFERROR(IF(INDEX([1]Pivot!$BF$1:$CG$65000,$B683,AI$5)=1,1,IF(INDEX([1]Pivot!$B$1:$AB$65000,$B683,AI$5)="",2,0)),0)</f>
        <v>0</v>
      </c>
      <c r="AJ683" s="313">
        <f>IFERROR(IF(INDEX([1]Pivot!$BF$1:$CG$65000,$B683,AJ$5)=1,1,IF(INDEX([1]Pivot!$B$1:$AB$65000,$B683,AJ$5)="",2,0)),0)</f>
        <v>0</v>
      </c>
      <c r="AK683" s="313">
        <f>IFERROR(IF(INDEX([1]Pivot!$BF$1:$CG$65000,$B683,AK$5)=1,1,IF(INDEX([1]Pivot!$B$1:$AB$65000,$B683,AK$5)="",2,0)),0)</f>
        <v>0</v>
      </c>
      <c r="AL683" s="313">
        <f>IFERROR(IF(INDEX([1]Pivot!$BF$1:$CG$65000,$B683,AL$5)=1,1,IF(INDEX([1]Pivot!$B$1:$AB$65000,$B683,AL$5)="",2,0)),0)</f>
        <v>0</v>
      </c>
      <c r="AM683" s="313">
        <f>IFERROR(IF(INDEX([1]Pivot!$BF$1:$CG$65000,$B683,AM$5)=1,1,IF(INDEX([1]Pivot!$B$1:$AB$65000,$B683,AM$5)="",2,0)),0)</f>
        <v>0</v>
      </c>
      <c r="AN683" s="313">
        <f>IFERROR(IF(INDEX([1]Pivot!$BF$1:$CG$65000,$B683,AN$5)=1,1,IF(INDEX([1]Pivot!$B$1:$AB$65000,$B683,AN$5)="",2,0)),0)</f>
        <v>0</v>
      </c>
      <c r="AO683" s="313">
        <f>IFERROR(IF(INDEX([1]Pivot!$BF$1:$CG$65000,$B683,AO$5)=1,1,IF(INDEX([1]Pivot!$B$1:$AB$65000,$B683,AO$5)="",2,0)),0)</f>
        <v>0</v>
      </c>
      <c r="AP683" s="313">
        <f>IFERROR(IF(INDEX([1]Pivot!$BF$1:$CG$65000,$B683,AP$5)=1,1,IF(INDEX([1]Pivot!$B$1:$AB$65000,$B683,AP$5)="",2,0)),0)</f>
        <v>0</v>
      </c>
      <c r="AQ683" s="313">
        <f>IFERROR(IF(INDEX([1]Pivot!$BF$1:$CG$65000,$B683,AQ$5)=1,1,IF(INDEX([1]Pivot!$B$1:$AB$65000,$B683,AQ$5)="",2,0)),0)</f>
        <v>0</v>
      </c>
      <c r="AR683" s="313">
        <f>IFERROR(IF(INDEX([1]Pivot!$BF$1:$CG$65000,$B683,AR$5)=1,1,IF(INDEX([1]Pivot!$B$1:$AB$65000,$B683,AR$5)="",2,0)),0)</f>
        <v>0</v>
      </c>
      <c r="AS683" s="312"/>
      <c r="AT683" s="313">
        <f>IFERROR(IF(INDEX([1]Pivot!$BF$1:$CG$65000,$B683,AT$5)=1,1,IF(INDEX([1]Pivot!$B$1:$AB$65000,$B683,AT$5)="",2,0)),0)</f>
        <v>0</v>
      </c>
      <c r="AU683" s="313">
        <f>IFERROR(IF(INDEX([1]Pivot!$BF$1:$CG$65000,$B683,AU$5)=1,1,IF(INDEX([1]Pivot!$B$1:$AB$65000,$B683,AU$5)="",2,0)),0)</f>
        <v>0</v>
      </c>
      <c r="AV683" s="313">
        <f>IFERROR(IF(INDEX([1]Pivot!$BF$1:$CG$65000,$B683,AV$5)=1,1,IF(INDEX([1]Pivot!$B$1:$AB$65000,$B683,AV$5)="",2,0)),0)</f>
        <v>0</v>
      </c>
      <c r="AW683" s="313">
        <f>IFERROR(IF(INDEX([1]Pivot!$BF$1:$CG$65000,$B683,AW$5)=1,1,IF(INDEX([1]Pivot!$B$1:$AB$65000,$B683,AW$5)="",2,0)),0)</f>
        <v>0</v>
      </c>
      <c r="AX683" s="313">
        <f>IFERROR(IF(INDEX([1]Pivot!$BF$1:$CG$65000,$B683,AX$5)=1,1,IF(INDEX([1]Pivot!$B$1:$AB$65000,$B683,AX$5)="",2,0)),0)</f>
        <v>0</v>
      </c>
      <c r="AY683" s="313">
        <f>IFERROR(IF(INDEX([1]Pivot!$BF$1:$CG$65000,$B683,AY$5)=1,1,IF(INDEX([1]Pivot!$B$1:$AB$65000,$B683,AY$5)="",2,0)),0)</f>
        <v>0</v>
      </c>
      <c r="AZ683" s="313">
        <f>IFERROR(IF(INDEX([1]Pivot!$BF$1:$CG$65000,$B683,AZ$5)=1,1,IF(INDEX([1]Pivot!$B$1:$AB$65000,$B683,AZ$5)="",2,0)),0)</f>
        <v>0</v>
      </c>
      <c r="BA683" s="313">
        <f>IFERROR(IF(INDEX([1]Pivot!$BF$1:$CG$65000,$B683,BA$5)=1,1,IF(INDEX([1]Pivot!$B$1:$AB$65000,$B683,BA$5)="",2,0)),0)</f>
        <v>0</v>
      </c>
      <c r="BB683" s="313">
        <f>IFERROR(IF(INDEX([1]Pivot!$BF$1:$CG$65000,$B683,BB$5)=1,1,IF(INDEX([1]Pivot!$B$1:$AB$65000,$B683,BB$5)="",2,0)),0)</f>
        <v>0</v>
      </c>
      <c r="BC683" s="313">
        <f>IFERROR(IF(INDEX([1]Pivot!$BF$1:$CG$65000,$B683,BC$5)=1,1,IF(INDEX([1]Pivot!$B$1:$AB$65000,$B683,BC$5)="",2,0)),0)</f>
        <v>0</v>
      </c>
      <c r="BD683" s="313">
        <f>IFERROR(IF(INDEX([1]Pivot!$BF$1:$CG$65000,$B683,BD$5)=1,1,IF(INDEX([1]Pivot!$B$1:$AB$65000,$B683,BD$5)="",2,0)),0)</f>
        <v>0</v>
      </c>
    </row>
    <row r="684" spans="1:56" x14ac:dyDescent="0.25">
      <c r="A684" s="288">
        <f>'[2]Raw Milk Prices'!A684</f>
        <v>0</v>
      </c>
      <c r="B684" s="296" t="e">
        <f>MATCH(DATE(LEFT('[2]Raw Milk Prices'!$A684,4),RIGHT('[2]Raw Milk Prices'!$A684,2),1),[1]Pivot!$A$1:$A$65000,0)</f>
        <v>#VALUE!</v>
      </c>
      <c r="C684" s="194">
        <f>IFERROR(IF(INDEX([1]Pivot!$AD$1:$BE$65000,$B684,C$5)=1,1,IF(INDEX([1]Pivot!$B$1:$AB$65000,$B684,C$5)="",2,0)),0)</f>
        <v>0</v>
      </c>
      <c r="D684" s="194">
        <f>IFERROR(IF(INDEX([1]Pivot!$AD$1:$BE$65000,$B684,D$5)=1,1,IF(INDEX([1]Pivot!$B$1:$AB$65000,$B684,D$5)="",2,0)),0)</f>
        <v>0</v>
      </c>
      <c r="E684" s="194">
        <f>IFERROR(IF(INDEX([1]Pivot!$AD$1:$BE$65000,$B684,E$5)=1,1,IF(INDEX([1]Pivot!$B$1:$AB$65000,$B684,E$5)="",2,0)),0)</f>
        <v>0</v>
      </c>
      <c r="F684" s="194">
        <f>IFERROR(IF(INDEX([1]Pivot!$AD$1:$BE$65000,$B684,F$5)=1,1,IF(INDEX([1]Pivot!$B$1:$AB$65000,$B684,F$5)="",2,0)),0)</f>
        <v>0</v>
      </c>
      <c r="G684" s="194">
        <f>IFERROR(IF(INDEX([1]Pivot!$AD$1:$BE$65000,$B684,G$5)=1,1,IF(INDEX([1]Pivot!$B$1:$AB$65000,$B684,G$5)="",2,0)),0)</f>
        <v>0</v>
      </c>
      <c r="H684" s="194">
        <f>IFERROR(IF(INDEX([1]Pivot!$AD$1:$BE$65000,$B684,H$5)=1,1,IF(INDEX([1]Pivot!$B$1:$AB$65000,$B684,H$5)="",2,0)),0)</f>
        <v>0</v>
      </c>
      <c r="I684" s="194">
        <f>IFERROR(IF(INDEX([1]Pivot!$AD$1:$BE$65000,$B684,I$5)=1,1,IF(INDEX([1]Pivot!$B$1:$AB$65000,$B684,I$5)="",2,0)),0)</f>
        <v>0</v>
      </c>
      <c r="J684" s="194">
        <f>IFERROR(IF(INDEX([1]Pivot!$AD$1:$BE$65000,$B684,J$5)=1,1,IF(INDEX([1]Pivot!$B$1:$AB$65000,$B684,J$5)="",2,0)),0)</f>
        <v>0</v>
      </c>
      <c r="K684" s="194">
        <f>IFERROR(IF(INDEX([1]Pivot!$AD$1:$BE$65000,$B684,K$5)=1,1,IF(INDEX([1]Pivot!$B$1:$AB$65000,$B684,K$5)="",2,0)),0)</f>
        <v>0</v>
      </c>
      <c r="L684" s="194">
        <f>IFERROR(IF(INDEX([1]Pivot!$AD$1:$BE$65000,$B684,L$5)=1,1,IF(INDEX([1]Pivot!$B$1:$AB$65000,$B684,L$5)="",2,0)),0)</f>
        <v>0</v>
      </c>
      <c r="M684" s="194">
        <f>IFERROR(IF(INDEX([1]Pivot!$AD$1:$BE$65000,$B684,M$5)=1,1,IF(INDEX([1]Pivot!$B$1:$AB$65000,$B684,M$5)="",2,0)),0)</f>
        <v>0</v>
      </c>
      <c r="N684" s="194">
        <f>IFERROR(IF(INDEX([1]Pivot!$AD$1:$BE$65000,$B684,N$5)=1,1,IF(INDEX([1]Pivot!$B$1:$AB$65000,$B684,N$5)="",2,0)),0)</f>
        <v>0</v>
      </c>
      <c r="O684" s="194">
        <f>IFERROR(IF(INDEX([1]Pivot!$AD$1:$BE$65000,$B684,O$5)=1,1,IF(INDEX([1]Pivot!$B$1:$AB$65000,$B684,O$5)="",2,0)),0)</f>
        <v>0</v>
      </c>
      <c r="P684" s="194">
        <f>IFERROR(IF(INDEX([1]Pivot!$AD$1:$BE$65000,$B684,P$5)=1,1,IF(INDEX([1]Pivot!$B$1:$AB$65000,$B684,P$5)="",2,0)),0)</f>
        <v>0</v>
      </c>
      <c r="Q684" s="194">
        <f>IFERROR(IF(INDEX([1]Pivot!$AD$1:$BE$65000,$B684,Q$5)=1,1,IF(INDEX([1]Pivot!$B$1:$AB$65000,$B684,Q$5)="",2,0)),0)</f>
        <v>0</v>
      </c>
      <c r="R684" s="312"/>
      <c r="S684" s="194">
        <f>IFERROR(IF(INDEX([1]Pivot!$AD$1:$BE$65000,$B684,S$5)=1,1,IF(INDEX([1]Pivot!$B$1:$AB$65000,$B684,S$5)="",2,0)),0)</f>
        <v>0</v>
      </c>
      <c r="T684" s="194">
        <f>IFERROR(IF(INDEX([1]Pivot!$AD$1:$BE$65000,$B684,T$5)=1,1,IF(INDEX([1]Pivot!$B$1:$AB$65000,$B684,T$5)="",2,0)),0)</f>
        <v>0</v>
      </c>
      <c r="U684" s="194">
        <f>IFERROR(IF(INDEX([1]Pivot!$AD$1:$BE$65000,$B684,U$5)=1,1,IF(INDEX([1]Pivot!$B$1:$AB$65000,$B684,U$5)="",2,0)),0)</f>
        <v>0</v>
      </c>
      <c r="V684" s="194">
        <f>IFERROR(IF(INDEX([1]Pivot!$AD$1:$BE$65000,$B684,V$5)=1,1,IF(INDEX([1]Pivot!$B$1:$AB$65000,$B684,V$5)="",2,0)),0)</f>
        <v>0</v>
      </c>
      <c r="W684" s="194">
        <f>IFERROR(IF(INDEX([1]Pivot!$AD$1:$BE$65000,$B684,W$5)=1,1,IF(INDEX([1]Pivot!$B$1:$AB$65000,$B684,W$5)="",2,0)),0)</f>
        <v>0</v>
      </c>
      <c r="X684" s="194">
        <f>IFERROR(IF(INDEX([1]Pivot!$AD$1:$BE$65000,$B684,X$5)=1,1,IF(INDEX([1]Pivot!$B$1:$AB$65000,$B684,X$5)="",2,0)),0)</f>
        <v>0</v>
      </c>
      <c r="Y684" s="194">
        <f>IFERROR(IF(INDEX([1]Pivot!$AD$1:$BE$65000,$B684,Y$5)=1,1,IF(INDEX([1]Pivot!$B$1:$AB$65000,$B684,Y$5)="",2,0)),0)</f>
        <v>0</v>
      </c>
      <c r="Z684" s="194">
        <f>IFERROR(IF(INDEX([1]Pivot!$AD$1:$BE$65000,$B684,Z$5)=1,1,IF(INDEX([1]Pivot!$B$1:$AB$65000,$B684,Z$5)="",2,0)),0)</f>
        <v>0</v>
      </c>
      <c r="AA684" s="194">
        <f>IFERROR(IF(INDEX([1]Pivot!$AD$1:$BE$65000,$B684,AA$5)=1,1,IF(INDEX([1]Pivot!$B$1:$AB$65000,$B684,AA$5)="",2,0)),0)</f>
        <v>0</v>
      </c>
      <c r="AB684" s="194">
        <f>IFERROR(IF(INDEX([1]Pivot!$AD$1:$BE$65000,$B684,AB$5)=1,1,IF(INDEX([1]Pivot!$B$1:$AB$65000,$B684,AB$5)="",2,0)),0)</f>
        <v>0</v>
      </c>
      <c r="AC684" s="194">
        <f>IFERROR(IF(INDEX([1]Pivot!$AD$1:$BE$65000,$B684,AC$5)=1,1,IF(INDEX([1]Pivot!$B$1:$AB$65000,$B684,AC$5)="",2,0)),0)</f>
        <v>0</v>
      </c>
      <c r="AD684" s="313">
        <f>IFERROR(IF(INDEX([1]Pivot!$BF$1:$CG$65000,$B684,AD$5)=1,1,IF(INDEX([1]Pivot!$B$1:$AB$65000,$B684,AD$5)="",2,0)),0)</f>
        <v>0</v>
      </c>
      <c r="AE684" s="313">
        <f>IFERROR(IF(INDEX([1]Pivot!$BF$1:$CG$65000,$B684,AE$5)=1,1,IF(INDEX([1]Pivot!$B$1:$AB$65000,$B684,AE$5)="",2,0)),0)</f>
        <v>0</v>
      </c>
      <c r="AF684" s="313">
        <f>IFERROR(IF(INDEX([1]Pivot!$BF$1:$CG$65000,$B684,AF$5)=1,1,IF(INDEX([1]Pivot!$B$1:$AB$65000,$B684,AF$5)="",2,0)),0)</f>
        <v>0</v>
      </c>
      <c r="AG684" s="313">
        <f>IFERROR(IF(INDEX([1]Pivot!$BF$1:$CG$65000,$B684,AG$5)=1,1,IF(INDEX([1]Pivot!$B$1:$AB$65000,$B684,AG$5)="",2,0)),0)</f>
        <v>0</v>
      </c>
      <c r="AH684" s="313">
        <f>IFERROR(IF(INDEX([1]Pivot!$BF$1:$CG$65000,$B684,AH$5)=1,1,IF(INDEX([1]Pivot!$B$1:$AB$65000,$B684,AH$5)="",2,0)),0)</f>
        <v>0</v>
      </c>
      <c r="AI684" s="313">
        <f>IFERROR(IF(INDEX([1]Pivot!$BF$1:$CG$65000,$B684,AI$5)=1,1,IF(INDEX([1]Pivot!$B$1:$AB$65000,$B684,AI$5)="",2,0)),0)</f>
        <v>0</v>
      </c>
      <c r="AJ684" s="313">
        <f>IFERROR(IF(INDEX([1]Pivot!$BF$1:$CG$65000,$B684,AJ$5)=1,1,IF(INDEX([1]Pivot!$B$1:$AB$65000,$B684,AJ$5)="",2,0)),0)</f>
        <v>0</v>
      </c>
      <c r="AK684" s="313">
        <f>IFERROR(IF(INDEX([1]Pivot!$BF$1:$CG$65000,$B684,AK$5)=1,1,IF(INDEX([1]Pivot!$B$1:$AB$65000,$B684,AK$5)="",2,0)),0)</f>
        <v>0</v>
      </c>
      <c r="AL684" s="313">
        <f>IFERROR(IF(INDEX([1]Pivot!$BF$1:$CG$65000,$B684,AL$5)=1,1,IF(INDEX([1]Pivot!$B$1:$AB$65000,$B684,AL$5)="",2,0)),0)</f>
        <v>0</v>
      </c>
      <c r="AM684" s="313">
        <f>IFERROR(IF(INDEX([1]Pivot!$BF$1:$CG$65000,$B684,AM$5)=1,1,IF(INDEX([1]Pivot!$B$1:$AB$65000,$B684,AM$5)="",2,0)),0)</f>
        <v>0</v>
      </c>
      <c r="AN684" s="313">
        <f>IFERROR(IF(INDEX([1]Pivot!$BF$1:$CG$65000,$B684,AN$5)=1,1,IF(INDEX([1]Pivot!$B$1:$AB$65000,$B684,AN$5)="",2,0)),0)</f>
        <v>0</v>
      </c>
      <c r="AO684" s="313">
        <f>IFERROR(IF(INDEX([1]Pivot!$BF$1:$CG$65000,$B684,AO$5)=1,1,IF(INDEX([1]Pivot!$B$1:$AB$65000,$B684,AO$5)="",2,0)),0)</f>
        <v>0</v>
      </c>
      <c r="AP684" s="313">
        <f>IFERROR(IF(INDEX([1]Pivot!$BF$1:$CG$65000,$B684,AP$5)=1,1,IF(INDEX([1]Pivot!$B$1:$AB$65000,$B684,AP$5)="",2,0)),0)</f>
        <v>0</v>
      </c>
      <c r="AQ684" s="313">
        <f>IFERROR(IF(INDEX([1]Pivot!$BF$1:$CG$65000,$B684,AQ$5)=1,1,IF(INDEX([1]Pivot!$B$1:$AB$65000,$B684,AQ$5)="",2,0)),0)</f>
        <v>0</v>
      </c>
      <c r="AR684" s="313">
        <f>IFERROR(IF(INDEX([1]Pivot!$BF$1:$CG$65000,$B684,AR$5)=1,1,IF(INDEX([1]Pivot!$B$1:$AB$65000,$B684,AR$5)="",2,0)),0)</f>
        <v>0</v>
      </c>
      <c r="AS684" s="312"/>
      <c r="AT684" s="313">
        <f>IFERROR(IF(INDEX([1]Pivot!$BF$1:$CG$65000,$B684,AT$5)=1,1,IF(INDEX([1]Pivot!$B$1:$AB$65000,$B684,AT$5)="",2,0)),0)</f>
        <v>0</v>
      </c>
      <c r="AU684" s="313">
        <f>IFERROR(IF(INDEX([1]Pivot!$BF$1:$CG$65000,$B684,AU$5)=1,1,IF(INDEX([1]Pivot!$B$1:$AB$65000,$B684,AU$5)="",2,0)),0)</f>
        <v>0</v>
      </c>
      <c r="AV684" s="313">
        <f>IFERROR(IF(INDEX([1]Pivot!$BF$1:$CG$65000,$B684,AV$5)=1,1,IF(INDEX([1]Pivot!$B$1:$AB$65000,$B684,AV$5)="",2,0)),0)</f>
        <v>0</v>
      </c>
      <c r="AW684" s="313">
        <f>IFERROR(IF(INDEX([1]Pivot!$BF$1:$CG$65000,$B684,AW$5)=1,1,IF(INDEX([1]Pivot!$B$1:$AB$65000,$B684,AW$5)="",2,0)),0)</f>
        <v>0</v>
      </c>
      <c r="AX684" s="313">
        <f>IFERROR(IF(INDEX([1]Pivot!$BF$1:$CG$65000,$B684,AX$5)=1,1,IF(INDEX([1]Pivot!$B$1:$AB$65000,$B684,AX$5)="",2,0)),0)</f>
        <v>0</v>
      </c>
      <c r="AY684" s="313">
        <f>IFERROR(IF(INDEX([1]Pivot!$BF$1:$CG$65000,$B684,AY$5)=1,1,IF(INDEX([1]Pivot!$B$1:$AB$65000,$B684,AY$5)="",2,0)),0)</f>
        <v>0</v>
      </c>
      <c r="AZ684" s="313">
        <f>IFERROR(IF(INDEX([1]Pivot!$BF$1:$CG$65000,$B684,AZ$5)=1,1,IF(INDEX([1]Pivot!$B$1:$AB$65000,$B684,AZ$5)="",2,0)),0)</f>
        <v>0</v>
      </c>
      <c r="BA684" s="313">
        <f>IFERROR(IF(INDEX([1]Pivot!$BF$1:$CG$65000,$B684,BA$5)=1,1,IF(INDEX([1]Pivot!$B$1:$AB$65000,$B684,BA$5)="",2,0)),0)</f>
        <v>0</v>
      </c>
      <c r="BB684" s="313">
        <f>IFERROR(IF(INDEX([1]Pivot!$BF$1:$CG$65000,$B684,BB$5)=1,1,IF(INDEX([1]Pivot!$B$1:$AB$65000,$B684,BB$5)="",2,0)),0)</f>
        <v>0</v>
      </c>
      <c r="BC684" s="313">
        <f>IFERROR(IF(INDEX([1]Pivot!$BF$1:$CG$65000,$B684,BC$5)=1,1,IF(INDEX([1]Pivot!$B$1:$AB$65000,$B684,BC$5)="",2,0)),0)</f>
        <v>0</v>
      </c>
      <c r="BD684" s="313">
        <f>IFERROR(IF(INDEX([1]Pivot!$BF$1:$CG$65000,$B684,BD$5)=1,1,IF(INDEX([1]Pivot!$B$1:$AB$65000,$B684,BD$5)="",2,0)),0)</f>
        <v>0</v>
      </c>
    </row>
    <row r="685" spans="1:56" x14ac:dyDescent="0.25">
      <c r="A685" s="288">
        <f>'[2]Raw Milk Prices'!A685</f>
        <v>0</v>
      </c>
      <c r="B685" s="296" t="e">
        <f>MATCH(DATE(LEFT('[2]Raw Milk Prices'!$A685,4),RIGHT('[2]Raw Milk Prices'!$A685,2),1),[1]Pivot!$A$1:$A$65000,0)</f>
        <v>#VALUE!</v>
      </c>
      <c r="C685" s="194">
        <f>IFERROR(IF(INDEX([1]Pivot!$AD$1:$BE$65000,$B685,C$5)=1,1,IF(INDEX([1]Pivot!$B$1:$AB$65000,$B685,C$5)="",2,0)),0)</f>
        <v>0</v>
      </c>
      <c r="D685" s="194">
        <f>IFERROR(IF(INDEX([1]Pivot!$AD$1:$BE$65000,$B685,D$5)=1,1,IF(INDEX([1]Pivot!$B$1:$AB$65000,$B685,D$5)="",2,0)),0)</f>
        <v>0</v>
      </c>
      <c r="E685" s="194">
        <f>IFERROR(IF(INDEX([1]Pivot!$AD$1:$BE$65000,$B685,E$5)=1,1,IF(INDEX([1]Pivot!$B$1:$AB$65000,$B685,E$5)="",2,0)),0)</f>
        <v>0</v>
      </c>
      <c r="F685" s="194">
        <f>IFERROR(IF(INDEX([1]Pivot!$AD$1:$BE$65000,$B685,F$5)=1,1,IF(INDEX([1]Pivot!$B$1:$AB$65000,$B685,F$5)="",2,0)),0)</f>
        <v>0</v>
      </c>
      <c r="G685" s="194">
        <f>IFERROR(IF(INDEX([1]Pivot!$AD$1:$BE$65000,$B685,G$5)=1,1,IF(INDEX([1]Pivot!$B$1:$AB$65000,$B685,G$5)="",2,0)),0)</f>
        <v>0</v>
      </c>
      <c r="H685" s="194">
        <f>IFERROR(IF(INDEX([1]Pivot!$AD$1:$BE$65000,$B685,H$5)=1,1,IF(INDEX([1]Pivot!$B$1:$AB$65000,$B685,H$5)="",2,0)),0)</f>
        <v>0</v>
      </c>
      <c r="I685" s="194">
        <f>IFERROR(IF(INDEX([1]Pivot!$AD$1:$BE$65000,$B685,I$5)=1,1,IF(INDEX([1]Pivot!$B$1:$AB$65000,$B685,I$5)="",2,0)),0)</f>
        <v>0</v>
      </c>
      <c r="J685" s="194">
        <f>IFERROR(IF(INDEX([1]Pivot!$AD$1:$BE$65000,$B685,J$5)=1,1,IF(INDEX([1]Pivot!$B$1:$AB$65000,$B685,J$5)="",2,0)),0)</f>
        <v>0</v>
      </c>
      <c r="K685" s="194">
        <f>IFERROR(IF(INDEX([1]Pivot!$AD$1:$BE$65000,$B685,K$5)=1,1,IF(INDEX([1]Pivot!$B$1:$AB$65000,$B685,K$5)="",2,0)),0)</f>
        <v>0</v>
      </c>
      <c r="L685" s="194">
        <f>IFERROR(IF(INDEX([1]Pivot!$AD$1:$BE$65000,$B685,L$5)=1,1,IF(INDEX([1]Pivot!$B$1:$AB$65000,$B685,L$5)="",2,0)),0)</f>
        <v>0</v>
      </c>
      <c r="M685" s="194">
        <f>IFERROR(IF(INDEX([1]Pivot!$AD$1:$BE$65000,$B685,M$5)=1,1,IF(INDEX([1]Pivot!$B$1:$AB$65000,$B685,M$5)="",2,0)),0)</f>
        <v>0</v>
      </c>
      <c r="N685" s="194">
        <f>IFERROR(IF(INDEX([1]Pivot!$AD$1:$BE$65000,$B685,N$5)=1,1,IF(INDEX([1]Pivot!$B$1:$AB$65000,$B685,N$5)="",2,0)),0)</f>
        <v>0</v>
      </c>
      <c r="O685" s="194">
        <f>IFERROR(IF(INDEX([1]Pivot!$AD$1:$BE$65000,$B685,O$5)=1,1,IF(INDEX([1]Pivot!$B$1:$AB$65000,$B685,O$5)="",2,0)),0)</f>
        <v>0</v>
      </c>
      <c r="P685" s="194">
        <f>IFERROR(IF(INDEX([1]Pivot!$AD$1:$BE$65000,$B685,P$5)=1,1,IF(INDEX([1]Pivot!$B$1:$AB$65000,$B685,P$5)="",2,0)),0)</f>
        <v>0</v>
      </c>
      <c r="Q685" s="194">
        <f>IFERROR(IF(INDEX([1]Pivot!$AD$1:$BE$65000,$B685,Q$5)=1,1,IF(INDEX([1]Pivot!$B$1:$AB$65000,$B685,Q$5)="",2,0)),0)</f>
        <v>0</v>
      </c>
      <c r="R685" s="312"/>
      <c r="S685" s="194">
        <f>IFERROR(IF(INDEX([1]Pivot!$AD$1:$BE$65000,$B685,S$5)=1,1,IF(INDEX([1]Pivot!$B$1:$AB$65000,$B685,S$5)="",2,0)),0)</f>
        <v>0</v>
      </c>
      <c r="T685" s="194">
        <f>IFERROR(IF(INDEX([1]Pivot!$AD$1:$BE$65000,$B685,T$5)=1,1,IF(INDEX([1]Pivot!$B$1:$AB$65000,$B685,T$5)="",2,0)),0)</f>
        <v>0</v>
      </c>
      <c r="U685" s="194">
        <f>IFERROR(IF(INDEX([1]Pivot!$AD$1:$BE$65000,$B685,U$5)=1,1,IF(INDEX([1]Pivot!$B$1:$AB$65000,$B685,U$5)="",2,0)),0)</f>
        <v>0</v>
      </c>
      <c r="V685" s="194">
        <f>IFERROR(IF(INDEX([1]Pivot!$AD$1:$BE$65000,$B685,V$5)=1,1,IF(INDEX([1]Pivot!$B$1:$AB$65000,$B685,V$5)="",2,0)),0)</f>
        <v>0</v>
      </c>
      <c r="W685" s="194">
        <f>IFERROR(IF(INDEX([1]Pivot!$AD$1:$BE$65000,$B685,W$5)=1,1,IF(INDEX([1]Pivot!$B$1:$AB$65000,$B685,W$5)="",2,0)),0)</f>
        <v>0</v>
      </c>
      <c r="X685" s="194">
        <f>IFERROR(IF(INDEX([1]Pivot!$AD$1:$BE$65000,$B685,X$5)=1,1,IF(INDEX([1]Pivot!$B$1:$AB$65000,$B685,X$5)="",2,0)),0)</f>
        <v>0</v>
      </c>
      <c r="Y685" s="194">
        <f>IFERROR(IF(INDEX([1]Pivot!$AD$1:$BE$65000,$B685,Y$5)=1,1,IF(INDEX([1]Pivot!$B$1:$AB$65000,$B685,Y$5)="",2,0)),0)</f>
        <v>0</v>
      </c>
      <c r="Z685" s="194">
        <f>IFERROR(IF(INDEX([1]Pivot!$AD$1:$BE$65000,$B685,Z$5)=1,1,IF(INDEX([1]Pivot!$B$1:$AB$65000,$B685,Z$5)="",2,0)),0)</f>
        <v>0</v>
      </c>
      <c r="AA685" s="194">
        <f>IFERROR(IF(INDEX([1]Pivot!$AD$1:$BE$65000,$B685,AA$5)=1,1,IF(INDEX([1]Pivot!$B$1:$AB$65000,$B685,AA$5)="",2,0)),0)</f>
        <v>0</v>
      </c>
      <c r="AB685" s="194">
        <f>IFERROR(IF(INDEX([1]Pivot!$AD$1:$BE$65000,$B685,AB$5)=1,1,IF(INDEX([1]Pivot!$B$1:$AB$65000,$B685,AB$5)="",2,0)),0)</f>
        <v>0</v>
      </c>
      <c r="AC685" s="194">
        <f>IFERROR(IF(INDEX([1]Pivot!$AD$1:$BE$65000,$B685,AC$5)=1,1,IF(INDEX([1]Pivot!$B$1:$AB$65000,$B685,AC$5)="",2,0)),0)</f>
        <v>0</v>
      </c>
      <c r="AD685" s="313">
        <f>IFERROR(IF(INDEX([1]Pivot!$BF$1:$CG$65000,$B685,AD$5)=1,1,IF(INDEX([1]Pivot!$B$1:$AB$65000,$B685,AD$5)="",2,0)),0)</f>
        <v>0</v>
      </c>
      <c r="AE685" s="313">
        <f>IFERROR(IF(INDEX([1]Pivot!$BF$1:$CG$65000,$B685,AE$5)=1,1,IF(INDEX([1]Pivot!$B$1:$AB$65000,$B685,AE$5)="",2,0)),0)</f>
        <v>0</v>
      </c>
      <c r="AF685" s="313">
        <f>IFERROR(IF(INDEX([1]Pivot!$BF$1:$CG$65000,$B685,AF$5)=1,1,IF(INDEX([1]Pivot!$B$1:$AB$65000,$B685,AF$5)="",2,0)),0)</f>
        <v>0</v>
      </c>
      <c r="AG685" s="313">
        <f>IFERROR(IF(INDEX([1]Pivot!$BF$1:$CG$65000,$B685,AG$5)=1,1,IF(INDEX([1]Pivot!$B$1:$AB$65000,$B685,AG$5)="",2,0)),0)</f>
        <v>0</v>
      </c>
      <c r="AH685" s="313">
        <f>IFERROR(IF(INDEX([1]Pivot!$BF$1:$CG$65000,$B685,AH$5)=1,1,IF(INDEX([1]Pivot!$B$1:$AB$65000,$B685,AH$5)="",2,0)),0)</f>
        <v>0</v>
      </c>
      <c r="AI685" s="313">
        <f>IFERROR(IF(INDEX([1]Pivot!$BF$1:$CG$65000,$B685,AI$5)=1,1,IF(INDEX([1]Pivot!$B$1:$AB$65000,$B685,AI$5)="",2,0)),0)</f>
        <v>0</v>
      </c>
      <c r="AJ685" s="313">
        <f>IFERROR(IF(INDEX([1]Pivot!$BF$1:$CG$65000,$B685,AJ$5)=1,1,IF(INDEX([1]Pivot!$B$1:$AB$65000,$B685,AJ$5)="",2,0)),0)</f>
        <v>0</v>
      </c>
      <c r="AK685" s="313">
        <f>IFERROR(IF(INDEX([1]Pivot!$BF$1:$CG$65000,$B685,AK$5)=1,1,IF(INDEX([1]Pivot!$B$1:$AB$65000,$B685,AK$5)="",2,0)),0)</f>
        <v>0</v>
      </c>
      <c r="AL685" s="313">
        <f>IFERROR(IF(INDEX([1]Pivot!$BF$1:$CG$65000,$B685,AL$5)=1,1,IF(INDEX([1]Pivot!$B$1:$AB$65000,$B685,AL$5)="",2,0)),0)</f>
        <v>0</v>
      </c>
      <c r="AM685" s="313">
        <f>IFERROR(IF(INDEX([1]Pivot!$BF$1:$CG$65000,$B685,AM$5)=1,1,IF(INDEX([1]Pivot!$B$1:$AB$65000,$B685,AM$5)="",2,0)),0)</f>
        <v>0</v>
      </c>
      <c r="AN685" s="313">
        <f>IFERROR(IF(INDEX([1]Pivot!$BF$1:$CG$65000,$B685,AN$5)=1,1,IF(INDEX([1]Pivot!$B$1:$AB$65000,$B685,AN$5)="",2,0)),0)</f>
        <v>0</v>
      </c>
      <c r="AO685" s="313">
        <f>IFERROR(IF(INDEX([1]Pivot!$BF$1:$CG$65000,$B685,AO$5)=1,1,IF(INDEX([1]Pivot!$B$1:$AB$65000,$B685,AO$5)="",2,0)),0)</f>
        <v>0</v>
      </c>
      <c r="AP685" s="313">
        <f>IFERROR(IF(INDEX([1]Pivot!$BF$1:$CG$65000,$B685,AP$5)=1,1,IF(INDEX([1]Pivot!$B$1:$AB$65000,$B685,AP$5)="",2,0)),0)</f>
        <v>0</v>
      </c>
      <c r="AQ685" s="313">
        <f>IFERROR(IF(INDEX([1]Pivot!$BF$1:$CG$65000,$B685,AQ$5)=1,1,IF(INDEX([1]Pivot!$B$1:$AB$65000,$B685,AQ$5)="",2,0)),0)</f>
        <v>0</v>
      </c>
      <c r="AR685" s="313">
        <f>IFERROR(IF(INDEX([1]Pivot!$BF$1:$CG$65000,$B685,AR$5)=1,1,IF(INDEX([1]Pivot!$B$1:$AB$65000,$B685,AR$5)="",2,0)),0)</f>
        <v>0</v>
      </c>
      <c r="AS685" s="312"/>
      <c r="AT685" s="313">
        <f>IFERROR(IF(INDEX([1]Pivot!$BF$1:$CG$65000,$B685,AT$5)=1,1,IF(INDEX([1]Pivot!$B$1:$AB$65000,$B685,AT$5)="",2,0)),0)</f>
        <v>0</v>
      </c>
      <c r="AU685" s="313">
        <f>IFERROR(IF(INDEX([1]Pivot!$BF$1:$CG$65000,$B685,AU$5)=1,1,IF(INDEX([1]Pivot!$B$1:$AB$65000,$B685,AU$5)="",2,0)),0)</f>
        <v>0</v>
      </c>
      <c r="AV685" s="313">
        <f>IFERROR(IF(INDEX([1]Pivot!$BF$1:$CG$65000,$B685,AV$5)=1,1,IF(INDEX([1]Pivot!$B$1:$AB$65000,$B685,AV$5)="",2,0)),0)</f>
        <v>0</v>
      </c>
      <c r="AW685" s="313">
        <f>IFERROR(IF(INDEX([1]Pivot!$BF$1:$CG$65000,$B685,AW$5)=1,1,IF(INDEX([1]Pivot!$B$1:$AB$65000,$B685,AW$5)="",2,0)),0)</f>
        <v>0</v>
      </c>
      <c r="AX685" s="313">
        <f>IFERROR(IF(INDEX([1]Pivot!$BF$1:$CG$65000,$B685,AX$5)=1,1,IF(INDEX([1]Pivot!$B$1:$AB$65000,$B685,AX$5)="",2,0)),0)</f>
        <v>0</v>
      </c>
      <c r="AY685" s="313">
        <f>IFERROR(IF(INDEX([1]Pivot!$BF$1:$CG$65000,$B685,AY$5)=1,1,IF(INDEX([1]Pivot!$B$1:$AB$65000,$B685,AY$5)="",2,0)),0)</f>
        <v>0</v>
      </c>
      <c r="AZ685" s="313">
        <f>IFERROR(IF(INDEX([1]Pivot!$BF$1:$CG$65000,$B685,AZ$5)=1,1,IF(INDEX([1]Pivot!$B$1:$AB$65000,$B685,AZ$5)="",2,0)),0)</f>
        <v>0</v>
      </c>
      <c r="BA685" s="313">
        <f>IFERROR(IF(INDEX([1]Pivot!$BF$1:$CG$65000,$B685,BA$5)=1,1,IF(INDEX([1]Pivot!$B$1:$AB$65000,$B685,BA$5)="",2,0)),0)</f>
        <v>0</v>
      </c>
      <c r="BB685" s="313">
        <f>IFERROR(IF(INDEX([1]Pivot!$BF$1:$CG$65000,$B685,BB$5)=1,1,IF(INDEX([1]Pivot!$B$1:$AB$65000,$B685,BB$5)="",2,0)),0)</f>
        <v>0</v>
      </c>
      <c r="BC685" s="313">
        <f>IFERROR(IF(INDEX([1]Pivot!$BF$1:$CG$65000,$B685,BC$5)=1,1,IF(INDEX([1]Pivot!$B$1:$AB$65000,$B685,BC$5)="",2,0)),0)</f>
        <v>0</v>
      </c>
      <c r="BD685" s="313">
        <f>IFERROR(IF(INDEX([1]Pivot!$BF$1:$CG$65000,$B685,BD$5)=1,1,IF(INDEX([1]Pivot!$B$1:$AB$65000,$B685,BD$5)="",2,0)),0)</f>
        <v>0</v>
      </c>
    </row>
    <row r="686" spans="1:56" x14ac:dyDescent="0.25">
      <c r="A686" s="288">
        <f>'[2]Raw Milk Prices'!A686</f>
        <v>0</v>
      </c>
      <c r="B686" s="296" t="e">
        <f>MATCH(DATE(LEFT('[2]Raw Milk Prices'!$A686,4),RIGHT('[2]Raw Milk Prices'!$A686,2),1),[1]Pivot!$A$1:$A$65000,0)</f>
        <v>#VALUE!</v>
      </c>
      <c r="C686" s="194">
        <f>IFERROR(IF(INDEX([1]Pivot!$AD$1:$BE$65000,$B686,C$5)=1,1,IF(INDEX([1]Pivot!$B$1:$AB$65000,$B686,C$5)="",2,0)),0)</f>
        <v>0</v>
      </c>
      <c r="D686" s="194">
        <f>IFERROR(IF(INDEX([1]Pivot!$AD$1:$BE$65000,$B686,D$5)=1,1,IF(INDEX([1]Pivot!$B$1:$AB$65000,$B686,D$5)="",2,0)),0)</f>
        <v>0</v>
      </c>
      <c r="E686" s="194">
        <f>IFERROR(IF(INDEX([1]Pivot!$AD$1:$BE$65000,$B686,E$5)=1,1,IF(INDEX([1]Pivot!$B$1:$AB$65000,$B686,E$5)="",2,0)),0)</f>
        <v>0</v>
      </c>
      <c r="F686" s="194">
        <f>IFERROR(IF(INDEX([1]Pivot!$AD$1:$BE$65000,$B686,F$5)=1,1,IF(INDEX([1]Pivot!$B$1:$AB$65000,$B686,F$5)="",2,0)),0)</f>
        <v>0</v>
      </c>
      <c r="G686" s="194">
        <f>IFERROR(IF(INDEX([1]Pivot!$AD$1:$BE$65000,$B686,G$5)=1,1,IF(INDEX([1]Pivot!$B$1:$AB$65000,$B686,G$5)="",2,0)),0)</f>
        <v>0</v>
      </c>
      <c r="H686" s="194">
        <f>IFERROR(IF(INDEX([1]Pivot!$AD$1:$BE$65000,$B686,H$5)=1,1,IF(INDEX([1]Pivot!$B$1:$AB$65000,$B686,H$5)="",2,0)),0)</f>
        <v>0</v>
      </c>
      <c r="I686" s="194">
        <f>IFERROR(IF(INDEX([1]Pivot!$AD$1:$BE$65000,$B686,I$5)=1,1,IF(INDEX([1]Pivot!$B$1:$AB$65000,$B686,I$5)="",2,0)),0)</f>
        <v>0</v>
      </c>
      <c r="J686" s="194">
        <f>IFERROR(IF(INDEX([1]Pivot!$AD$1:$BE$65000,$B686,J$5)=1,1,IF(INDEX([1]Pivot!$B$1:$AB$65000,$B686,J$5)="",2,0)),0)</f>
        <v>0</v>
      </c>
      <c r="K686" s="194">
        <f>IFERROR(IF(INDEX([1]Pivot!$AD$1:$BE$65000,$B686,K$5)=1,1,IF(INDEX([1]Pivot!$B$1:$AB$65000,$B686,K$5)="",2,0)),0)</f>
        <v>0</v>
      </c>
      <c r="L686" s="194">
        <f>IFERROR(IF(INDEX([1]Pivot!$AD$1:$BE$65000,$B686,L$5)=1,1,IF(INDEX([1]Pivot!$B$1:$AB$65000,$B686,L$5)="",2,0)),0)</f>
        <v>0</v>
      </c>
      <c r="M686" s="194">
        <f>IFERROR(IF(INDEX([1]Pivot!$AD$1:$BE$65000,$B686,M$5)=1,1,IF(INDEX([1]Pivot!$B$1:$AB$65000,$B686,M$5)="",2,0)),0)</f>
        <v>0</v>
      </c>
      <c r="N686" s="194">
        <f>IFERROR(IF(INDEX([1]Pivot!$AD$1:$BE$65000,$B686,N$5)=1,1,IF(INDEX([1]Pivot!$B$1:$AB$65000,$B686,N$5)="",2,0)),0)</f>
        <v>0</v>
      </c>
      <c r="O686" s="194">
        <f>IFERROR(IF(INDEX([1]Pivot!$AD$1:$BE$65000,$B686,O$5)=1,1,IF(INDEX([1]Pivot!$B$1:$AB$65000,$B686,O$5)="",2,0)),0)</f>
        <v>0</v>
      </c>
      <c r="P686" s="194">
        <f>IFERROR(IF(INDEX([1]Pivot!$AD$1:$BE$65000,$B686,P$5)=1,1,IF(INDEX([1]Pivot!$B$1:$AB$65000,$B686,P$5)="",2,0)),0)</f>
        <v>0</v>
      </c>
      <c r="Q686" s="194">
        <f>IFERROR(IF(INDEX([1]Pivot!$AD$1:$BE$65000,$B686,Q$5)=1,1,IF(INDEX([1]Pivot!$B$1:$AB$65000,$B686,Q$5)="",2,0)),0)</f>
        <v>0</v>
      </c>
      <c r="R686" s="312"/>
      <c r="S686" s="194">
        <f>IFERROR(IF(INDEX([1]Pivot!$AD$1:$BE$65000,$B686,S$5)=1,1,IF(INDEX([1]Pivot!$B$1:$AB$65000,$B686,S$5)="",2,0)),0)</f>
        <v>0</v>
      </c>
      <c r="T686" s="194">
        <f>IFERROR(IF(INDEX([1]Pivot!$AD$1:$BE$65000,$B686,T$5)=1,1,IF(INDEX([1]Pivot!$B$1:$AB$65000,$B686,T$5)="",2,0)),0)</f>
        <v>0</v>
      </c>
      <c r="U686" s="194">
        <f>IFERROR(IF(INDEX([1]Pivot!$AD$1:$BE$65000,$B686,U$5)=1,1,IF(INDEX([1]Pivot!$B$1:$AB$65000,$B686,U$5)="",2,0)),0)</f>
        <v>0</v>
      </c>
      <c r="V686" s="194">
        <f>IFERROR(IF(INDEX([1]Pivot!$AD$1:$BE$65000,$B686,V$5)=1,1,IF(INDEX([1]Pivot!$B$1:$AB$65000,$B686,V$5)="",2,0)),0)</f>
        <v>0</v>
      </c>
      <c r="W686" s="194">
        <f>IFERROR(IF(INDEX([1]Pivot!$AD$1:$BE$65000,$B686,W$5)=1,1,IF(INDEX([1]Pivot!$B$1:$AB$65000,$B686,W$5)="",2,0)),0)</f>
        <v>0</v>
      </c>
      <c r="X686" s="194">
        <f>IFERROR(IF(INDEX([1]Pivot!$AD$1:$BE$65000,$B686,X$5)=1,1,IF(INDEX([1]Pivot!$B$1:$AB$65000,$B686,X$5)="",2,0)),0)</f>
        <v>0</v>
      </c>
      <c r="Y686" s="194">
        <f>IFERROR(IF(INDEX([1]Pivot!$AD$1:$BE$65000,$B686,Y$5)=1,1,IF(INDEX([1]Pivot!$B$1:$AB$65000,$B686,Y$5)="",2,0)),0)</f>
        <v>0</v>
      </c>
      <c r="Z686" s="194">
        <f>IFERROR(IF(INDEX([1]Pivot!$AD$1:$BE$65000,$B686,Z$5)=1,1,IF(INDEX([1]Pivot!$B$1:$AB$65000,$B686,Z$5)="",2,0)),0)</f>
        <v>0</v>
      </c>
      <c r="AA686" s="194">
        <f>IFERROR(IF(INDEX([1]Pivot!$AD$1:$BE$65000,$B686,AA$5)=1,1,IF(INDEX([1]Pivot!$B$1:$AB$65000,$B686,AA$5)="",2,0)),0)</f>
        <v>0</v>
      </c>
      <c r="AB686" s="194">
        <f>IFERROR(IF(INDEX([1]Pivot!$AD$1:$BE$65000,$B686,AB$5)=1,1,IF(INDEX([1]Pivot!$B$1:$AB$65000,$B686,AB$5)="",2,0)),0)</f>
        <v>0</v>
      </c>
      <c r="AC686" s="194">
        <f>IFERROR(IF(INDEX([1]Pivot!$AD$1:$BE$65000,$B686,AC$5)=1,1,IF(INDEX([1]Pivot!$B$1:$AB$65000,$B686,AC$5)="",2,0)),0)</f>
        <v>0</v>
      </c>
      <c r="AD686" s="313">
        <f>IFERROR(IF(INDEX([1]Pivot!$BF$1:$CG$65000,$B686,AD$5)=1,1,IF(INDEX([1]Pivot!$B$1:$AB$65000,$B686,AD$5)="",2,0)),0)</f>
        <v>0</v>
      </c>
      <c r="AE686" s="313">
        <f>IFERROR(IF(INDEX([1]Pivot!$BF$1:$CG$65000,$B686,AE$5)=1,1,IF(INDEX([1]Pivot!$B$1:$AB$65000,$B686,AE$5)="",2,0)),0)</f>
        <v>0</v>
      </c>
      <c r="AF686" s="313">
        <f>IFERROR(IF(INDEX([1]Pivot!$BF$1:$CG$65000,$B686,AF$5)=1,1,IF(INDEX([1]Pivot!$B$1:$AB$65000,$B686,AF$5)="",2,0)),0)</f>
        <v>0</v>
      </c>
      <c r="AG686" s="313">
        <f>IFERROR(IF(INDEX([1]Pivot!$BF$1:$CG$65000,$B686,AG$5)=1,1,IF(INDEX([1]Pivot!$B$1:$AB$65000,$B686,AG$5)="",2,0)),0)</f>
        <v>0</v>
      </c>
      <c r="AH686" s="313">
        <f>IFERROR(IF(INDEX([1]Pivot!$BF$1:$CG$65000,$B686,AH$5)=1,1,IF(INDEX([1]Pivot!$B$1:$AB$65000,$B686,AH$5)="",2,0)),0)</f>
        <v>0</v>
      </c>
      <c r="AI686" s="313">
        <f>IFERROR(IF(INDEX([1]Pivot!$BF$1:$CG$65000,$B686,AI$5)=1,1,IF(INDEX([1]Pivot!$B$1:$AB$65000,$B686,AI$5)="",2,0)),0)</f>
        <v>0</v>
      </c>
      <c r="AJ686" s="313">
        <f>IFERROR(IF(INDEX([1]Pivot!$BF$1:$CG$65000,$B686,AJ$5)=1,1,IF(INDEX([1]Pivot!$B$1:$AB$65000,$B686,AJ$5)="",2,0)),0)</f>
        <v>0</v>
      </c>
      <c r="AK686" s="313">
        <f>IFERROR(IF(INDEX([1]Pivot!$BF$1:$CG$65000,$B686,AK$5)=1,1,IF(INDEX([1]Pivot!$B$1:$AB$65000,$B686,AK$5)="",2,0)),0)</f>
        <v>0</v>
      </c>
      <c r="AL686" s="313">
        <f>IFERROR(IF(INDEX([1]Pivot!$BF$1:$CG$65000,$B686,AL$5)=1,1,IF(INDEX([1]Pivot!$B$1:$AB$65000,$B686,AL$5)="",2,0)),0)</f>
        <v>0</v>
      </c>
      <c r="AM686" s="313">
        <f>IFERROR(IF(INDEX([1]Pivot!$BF$1:$CG$65000,$B686,AM$5)=1,1,IF(INDEX([1]Pivot!$B$1:$AB$65000,$B686,AM$5)="",2,0)),0)</f>
        <v>0</v>
      </c>
      <c r="AN686" s="313">
        <f>IFERROR(IF(INDEX([1]Pivot!$BF$1:$CG$65000,$B686,AN$5)=1,1,IF(INDEX([1]Pivot!$B$1:$AB$65000,$B686,AN$5)="",2,0)),0)</f>
        <v>0</v>
      </c>
      <c r="AO686" s="313">
        <f>IFERROR(IF(INDEX([1]Pivot!$BF$1:$CG$65000,$B686,AO$5)=1,1,IF(INDEX([1]Pivot!$B$1:$AB$65000,$B686,AO$5)="",2,0)),0)</f>
        <v>0</v>
      </c>
      <c r="AP686" s="313">
        <f>IFERROR(IF(INDEX([1]Pivot!$BF$1:$CG$65000,$B686,AP$5)=1,1,IF(INDEX([1]Pivot!$B$1:$AB$65000,$B686,AP$5)="",2,0)),0)</f>
        <v>0</v>
      </c>
      <c r="AQ686" s="313">
        <f>IFERROR(IF(INDEX([1]Pivot!$BF$1:$CG$65000,$B686,AQ$5)=1,1,IF(INDEX([1]Pivot!$B$1:$AB$65000,$B686,AQ$5)="",2,0)),0)</f>
        <v>0</v>
      </c>
      <c r="AR686" s="313">
        <f>IFERROR(IF(INDEX([1]Pivot!$BF$1:$CG$65000,$B686,AR$5)=1,1,IF(INDEX([1]Pivot!$B$1:$AB$65000,$B686,AR$5)="",2,0)),0)</f>
        <v>0</v>
      </c>
      <c r="AS686" s="312"/>
      <c r="AT686" s="313">
        <f>IFERROR(IF(INDEX([1]Pivot!$BF$1:$CG$65000,$B686,AT$5)=1,1,IF(INDEX([1]Pivot!$B$1:$AB$65000,$B686,AT$5)="",2,0)),0)</f>
        <v>0</v>
      </c>
      <c r="AU686" s="313">
        <f>IFERROR(IF(INDEX([1]Pivot!$BF$1:$CG$65000,$B686,AU$5)=1,1,IF(INDEX([1]Pivot!$B$1:$AB$65000,$B686,AU$5)="",2,0)),0)</f>
        <v>0</v>
      </c>
      <c r="AV686" s="313">
        <f>IFERROR(IF(INDEX([1]Pivot!$BF$1:$CG$65000,$B686,AV$5)=1,1,IF(INDEX([1]Pivot!$B$1:$AB$65000,$B686,AV$5)="",2,0)),0)</f>
        <v>0</v>
      </c>
      <c r="AW686" s="313">
        <f>IFERROR(IF(INDEX([1]Pivot!$BF$1:$CG$65000,$B686,AW$5)=1,1,IF(INDEX([1]Pivot!$B$1:$AB$65000,$B686,AW$5)="",2,0)),0)</f>
        <v>0</v>
      </c>
      <c r="AX686" s="313">
        <f>IFERROR(IF(INDEX([1]Pivot!$BF$1:$CG$65000,$B686,AX$5)=1,1,IF(INDEX([1]Pivot!$B$1:$AB$65000,$B686,AX$5)="",2,0)),0)</f>
        <v>0</v>
      </c>
      <c r="AY686" s="313">
        <f>IFERROR(IF(INDEX([1]Pivot!$BF$1:$CG$65000,$B686,AY$5)=1,1,IF(INDEX([1]Pivot!$B$1:$AB$65000,$B686,AY$5)="",2,0)),0)</f>
        <v>0</v>
      </c>
      <c r="AZ686" s="313">
        <f>IFERROR(IF(INDEX([1]Pivot!$BF$1:$CG$65000,$B686,AZ$5)=1,1,IF(INDEX([1]Pivot!$B$1:$AB$65000,$B686,AZ$5)="",2,0)),0)</f>
        <v>0</v>
      </c>
      <c r="BA686" s="313">
        <f>IFERROR(IF(INDEX([1]Pivot!$BF$1:$CG$65000,$B686,BA$5)=1,1,IF(INDEX([1]Pivot!$B$1:$AB$65000,$B686,BA$5)="",2,0)),0)</f>
        <v>0</v>
      </c>
      <c r="BB686" s="313">
        <f>IFERROR(IF(INDEX([1]Pivot!$BF$1:$CG$65000,$B686,BB$5)=1,1,IF(INDEX([1]Pivot!$B$1:$AB$65000,$B686,BB$5)="",2,0)),0)</f>
        <v>0</v>
      </c>
      <c r="BC686" s="313">
        <f>IFERROR(IF(INDEX([1]Pivot!$BF$1:$CG$65000,$B686,BC$5)=1,1,IF(INDEX([1]Pivot!$B$1:$AB$65000,$B686,BC$5)="",2,0)),0)</f>
        <v>0</v>
      </c>
      <c r="BD686" s="313">
        <f>IFERROR(IF(INDEX([1]Pivot!$BF$1:$CG$65000,$B686,BD$5)=1,1,IF(INDEX([1]Pivot!$B$1:$AB$65000,$B686,BD$5)="",2,0)),0)</f>
        <v>0</v>
      </c>
    </row>
    <row r="687" spans="1:56" x14ac:dyDescent="0.25">
      <c r="A687" s="288">
        <f>'[2]Raw Milk Prices'!A687</f>
        <v>0</v>
      </c>
      <c r="B687" s="296" t="e">
        <f>MATCH(DATE(LEFT('[2]Raw Milk Prices'!$A687,4),RIGHT('[2]Raw Milk Prices'!$A687,2),1),[1]Pivot!$A$1:$A$65000,0)</f>
        <v>#VALUE!</v>
      </c>
      <c r="C687" s="194">
        <f>IFERROR(IF(INDEX([1]Pivot!$AD$1:$BE$65000,$B687,C$5)=1,1,IF(INDEX([1]Pivot!$B$1:$AB$65000,$B687,C$5)="",2,0)),0)</f>
        <v>0</v>
      </c>
      <c r="D687" s="194">
        <f>IFERROR(IF(INDEX([1]Pivot!$AD$1:$BE$65000,$B687,D$5)=1,1,IF(INDEX([1]Pivot!$B$1:$AB$65000,$B687,D$5)="",2,0)),0)</f>
        <v>0</v>
      </c>
      <c r="E687" s="194">
        <f>IFERROR(IF(INDEX([1]Pivot!$AD$1:$BE$65000,$B687,E$5)=1,1,IF(INDEX([1]Pivot!$B$1:$AB$65000,$B687,E$5)="",2,0)),0)</f>
        <v>0</v>
      </c>
      <c r="F687" s="194">
        <f>IFERROR(IF(INDEX([1]Pivot!$AD$1:$BE$65000,$B687,F$5)=1,1,IF(INDEX([1]Pivot!$B$1:$AB$65000,$B687,F$5)="",2,0)),0)</f>
        <v>0</v>
      </c>
      <c r="G687" s="194">
        <f>IFERROR(IF(INDEX([1]Pivot!$AD$1:$BE$65000,$B687,G$5)=1,1,IF(INDEX([1]Pivot!$B$1:$AB$65000,$B687,G$5)="",2,0)),0)</f>
        <v>0</v>
      </c>
      <c r="H687" s="194">
        <f>IFERROR(IF(INDEX([1]Pivot!$AD$1:$BE$65000,$B687,H$5)=1,1,IF(INDEX([1]Pivot!$B$1:$AB$65000,$B687,H$5)="",2,0)),0)</f>
        <v>0</v>
      </c>
      <c r="I687" s="194">
        <f>IFERROR(IF(INDEX([1]Pivot!$AD$1:$BE$65000,$B687,I$5)=1,1,IF(INDEX([1]Pivot!$B$1:$AB$65000,$B687,I$5)="",2,0)),0)</f>
        <v>0</v>
      </c>
      <c r="J687" s="194">
        <f>IFERROR(IF(INDEX([1]Pivot!$AD$1:$BE$65000,$B687,J$5)=1,1,IF(INDEX([1]Pivot!$B$1:$AB$65000,$B687,J$5)="",2,0)),0)</f>
        <v>0</v>
      </c>
      <c r="K687" s="194">
        <f>IFERROR(IF(INDEX([1]Pivot!$AD$1:$BE$65000,$B687,K$5)=1,1,IF(INDEX([1]Pivot!$B$1:$AB$65000,$B687,K$5)="",2,0)),0)</f>
        <v>0</v>
      </c>
      <c r="L687" s="194">
        <f>IFERROR(IF(INDEX([1]Pivot!$AD$1:$BE$65000,$B687,L$5)=1,1,IF(INDEX([1]Pivot!$B$1:$AB$65000,$B687,L$5)="",2,0)),0)</f>
        <v>0</v>
      </c>
      <c r="M687" s="194">
        <f>IFERROR(IF(INDEX([1]Pivot!$AD$1:$BE$65000,$B687,M$5)=1,1,IF(INDEX([1]Pivot!$B$1:$AB$65000,$B687,M$5)="",2,0)),0)</f>
        <v>0</v>
      </c>
      <c r="N687" s="194">
        <f>IFERROR(IF(INDEX([1]Pivot!$AD$1:$BE$65000,$B687,N$5)=1,1,IF(INDEX([1]Pivot!$B$1:$AB$65000,$B687,N$5)="",2,0)),0)</f>
        <v>0</v>
      </c>
      <c r="O687" s="194">
        <f>IFERROR(IF(INDEX([1]Pivot!$AD$1:$BE$65000,$B687,O$5)=1,1,IF(INDEX([1]Pivot!$B$1:$AB$65000,$B687,O$5)="",2,0)),0)</f>
        <v>0</v>
      </c>
      <c r="P687" s="194">
        <f>IFERROR(IF(INDEX([1]Pivot!$AD$1:$BE$65000,$B687,P$5)=1,1,IF(INDEX([1]Pivot!$B$1:$AB$65000,$B687,P$5)="",2,0)),0)</f>
        <v>0</v>
      </c>
      <c r="Q687" s="194">
        <f>IFERROR(IF(INDEX([1]Pivot!$AD$1:$BE$65000,$B687,Q$5)=1,1,IF(INDEX([1]Pivot!$B$1:$AB$65000,$B687,Q$5)="",2,0)),0)</f>
        <v>0</v>
      </c>
      <c r="R687" s="312"/>
      <c r="S687" s="194">
        <f>IFERROR(IF(INDEX([1]Pivot!$AD$1:$BE$65000,$B687,S$5)=1,1,IF(INDEX([1]Pivot!$B$1:$AB$65000,$B687,S$5)="",2,0)),0)</f>
        <v>0</v>
      </c>
      <c r="T687" s="194">
        <f>IFERROR(IF(INDEX([1]Pivot!$AD$1:$BE$65000,$B687,T$5)=1,1,IF(INDEX([1]Pivot!$B$1:$AB$65000,$B687,T$5)="",2,0)),0)</f>
        <v>0</v>
      </c>
      <c r="U687" s="194">
        <f>IFERROR(IF(INDEX([1]Pivot!$AD$1:$BE$65000,$B687,U$5)=1,1,IF(INDEX([1]Pivot!$B$1:$AB$65000,$B687,U$5)="",2,0)),0)</f>
        <v>0</v>
      </c>
      <c r="V687" s="194">
        <f>IFERROR(IF(INDEX([1]Pivot!$AD$1:$BE$65000,$B687,V$5)=1,1,IF(INDEX([1]Pivot!$B$1:$AB$65000,$B687,V$5)="",2,0)),0)</f>
        <v>0</v>
      </c>
      <c r="W687" s="194">
        <f>IFERROR(IF(INDEX([1]Pivot!$AD$1:$BE$65000,$B687,W$5)=1,1,IF(INDEX([1]Pivot!$B$1:$AB$65000,$B687,W$5)="",2,0)),0)</f>
        <v>0</v>
      </c>
      <c r="X687" s="194">
        <f>IFERROR(IF(INDEX([1]Pivot!$AD$1:$BE$65000,$B687,X$5)=1,1,IF(INDEX([1]Pivot!$B$1:$AB$65000,$B687,X$5)="",2,0)),0)</f>
        <v>0</v>
      </c>
      <c r="Y687" s="194">
        <f>IFERROR(IF(INDEX([1]Pivot!$AD$1:$BE$65000,$B687,Y$5)=1,1,IF(INDEX([1]Pivot!$B$1:$AB$65000,$B687,Y$5)="",2,0)),0)</f>
        <v>0</v>
      </c>
      <c r="Z687" s="194">
        <f>IFERROR(IF(INDEX([1]Pivot!$AD$1:$BE$65000,$B687,Z$5)=1,1,IF(INDEX([1]Pivot!$B$1:$AB$65000,$B687,Z$5)="",2,0)),0)</f>
        <v>0</v>
      </c>
      <c r="AA687" s="194">
        <f>IFERROR(IF(INDEX([1]Pivot!$AD$1:$BE$65000,$B687,AA$5)=1,1,IF(INDEX([1]Pivot!$B$1:$AB$65000,$B687,AA$5)="",2,0)),0)</f>
        <v>0</v>
      </c>
      <c r="AB687" s="194">
        <f>IFERROR(IF(INDEX([1]Pivot!$AD$1:$BE$65000,$B687,AB$5)=1,1,IF(INDEX([1]Pivot!$B$1:$AB$65000,$B687,AB$5)="",2,0)),0)</f>
        <v>0</v>
      </c>
      <c r="AC687" s="194">
        <f>IFERROR(IF(INDEX([1]Pivot!$AD$1:$BE$65000,$B687,AC$5)=1,1,IF(INDEX([1]Pivot!$B$1:$AB$65000,$B687,AC$5)="",2,0)),0)</f>
        <v>0</v>
      </c>
      <c r="AD687" s="313">
        <f>IFERROR(IF(INDEX([1]Pivot!$BF$1:$CG$65000,$B687,AD$5)=1,1,IF(INDEX([1]Pivot!$B$1:$AB$65000,$B687,AD$5)="",2,0)),0)</f>
        <v>0</v>
      </c>
      <c r="AE687" s="313">
        <f>IFERROR(IF(INDEX([1]Pivot!$BF$1:$CG$65000,$B687,AE$5)=1,1,IF(INDEX([1]Pivot!$B$1:$AB$65000,$B687,AE$5)="",2,0)),0)</f>
        <v>0</v>
      </c>
      <c r="AF687" s="313">
        <f>IFERROR(IF(INDEX([1]Pivot!$BF$1:$CG$65000,$B687,AF$5)=1,1,IF(INDEX([1]Pivot!$B$1:$AB$65000,$B687,AF$5)="",2,0)),0)</f>
        <v>0</v>
      </c>
      <c r="AG687" s="313">
        <f>IFERROR(IF(INDEX([1]Pivot!$BF$1:$CG$65000,$B687,AG$5)=1,1,IF(INDEX([1]Pivot!$B$1:$AB$65000,$B687,AG$5)="",2,0)),0)</f>
        <v>0</v>
      </c>
      <c r="AH687" s="313">
        <f>IFERROR(IF(INDEX([1]Pivot!$BF$1:$CG$65000,$B687,AH$5)=1,1,IF(INDEX([1]Pivot!$B$1:$AB$65000,$B687,AH$5)="",2,0)),0)</f>
        <v>0</v>
      </c>
      <c r="AI687" s="313">
        <f>IFERROR(IF(INDEX([1]Pivot!$BF$1:$CG$65000,$B687,AI$5)=1,1,IF(INDEX([1]Pivot!$B$1:$AB$65000,$B687,AI$5)="",2,0)),0)</f>
        <v>0</v>
      </c>
      <c r="AJ687" s="313">
        <f>IFERROR(IF(INDEX([1]Pivot!$BF$1:$CG$65000,$B687,AJ$5)=1,1,IF(INDEX([1]Pivot!$B$1:$AB$65000,$B687,AJ$5)="",2,0)),0)</f>
        <v>0</v>
      </c>
      <c r="AK687" s="313">
        <f>IFERROR(IF(INDEX([1]Pivot!$BF$1:$CG$65000,$B687,AK$5)=1,1,IF(INDEX([1]Pivot!$B$1:$AB$65000,$B687,AK$5)="",2,0)),0)</f>
        <v>0</v>
      </c>
      <c r="AL687" s="313">
        <f>IFERROR(IF(INDEX([1]Pivot!$BF$1:$CG$65000,$B687,AL$5)=1,1,IF(INDEX([1]Pivot!$B$1:$AB$65000,$B687,AL$5)="",2,0)),0)</f>
        <v>0</v>
      </c>
      <c r="AM687" s="313">
        <f>IFERROR(IF(INDEX([1]Pivot!$BF$1:$CG$65000,$B687,AM$5)=1,1,IF(INDEX([1]Pivot!$B$1:$AB$65000,$B687,AM$5)="",2,0)),0)</f>
        <v>0</v>
      </c>
      <c r="AN687" s="313">
        <f>IFERROR(IF(INDEX([1]Pivot!$BF$1:$CG$65000,$B687,AN$5)=1,1,IF(INDEX([1]Pivot!$B$1:$AB$65000,$B687,AN$5)="",2,0)),0)</f>
        <v>0</v>
      </c>
      <c r="AO687" s="313">
        <f>IFERROR(IF(INDEX([1]Pivot!$BF$1:$CG$65000,$B687,AO$5)=1,1,IF(INDEX([1]Pivot!$B$1:$AB$65000,$B687,AO$5)="",2,0)),0)</f>
        <v>0</v>
      </c>
      <c r="AP687" s="313">
        <f>IFERROR(IF(INDEX([1]Pivot!$BF$1:$CG$65000,$B687,AP$5)=1,1,IF(INDEX([1]Pivot!$B$1:$AB$65000,$B687,AP$5)="",2,0)),0)</f>
        <v>0</v>
      </c>
      <c r="AQ687" s="313">
        <f>IFERROR(IF(INDEX([1]Pivot!$BF$1:$CG$65000,$B687,AQ$5)=1,1,IF(INDEX([1]Pivot!$B$1:$AB$65000,$B687,AQ$5)="",2,0)),0)</f>
        <v>0</v>
      </c>
      <c r="AR687" s="313">
        <f>IFERROR(IF(INDEX([1]Pivot!$BF$1:$CG$65000,$B687,AR$5)=1,1,IF(INDEX([1]Pivot!$B$1:$AB$65000,$B687,AR$5)="",2,0)),0)</f>
        <v>0</v>
      </c>
      <c r="AS687" s="312"/>
      <c r="AT687" s="313">
        <f>IFERROR(IF(INDEX([1]Pivot!$BF$1:$CG$65000,$B687,AT$5)=1,1,IF(INDEX([1]Pivot!$B$1:$AB$65000,$B687,AT$5)="",2,0)),0)</f>
        <v>0</v>
      </c>
      <c r="AU687" s="313">
        <f>IFERROR(IF(INDEX([1]Pivot!$BF$1:$CG$65000,$B687,AU$5)=1,1,IF(INDEX([1]Pivot!$B$1:$AB$65000,$B687,AU$5)="",2,0)),0)</f>
        <v>0</v>
      </c>
      <c r="AV687" s="313">
        <f>IFERROR(IF(INDEX([1]Pivot!$BF$1:$CG$65000,$B687,AV$5)=1,1,IF(INDEX([1]Pivot!$B$1:$AB$65000,$B687,AV$5)="",2,0)),0)</f>
        <v>0</v>
      </c>
      <c r="AW687" s="313">
        <f>IFERROR(IF(INDEX([1]Pivot!$BF$1:$CG$65000,$B687,AW$5)=1,1,IF(INDEX([1]Pivot!$B$1:$AB$65000,$B687,AW$5)="",2,0)),0)</f>
        <v>0</v>
      </c>
      <c r="AX687" s="313">
        <f>IFERROR(IF(INDEX([1]Pivot!$BF$1:$CG$65000,$B687,AX$5)=1,1,IF(INDEX([1]Pivot!$B$1:$AB$65000,$B687,AX$5)="",2,0)),0)</f>
        <v>0</v>
      </c>
      <c r="AY687" s="313">
        <f>IFERROR(IF(INDEX([1]Pivot!$BF$1:$CG$65000,$B687,AY$5)=1,1,IF(INDEX([1]Pivot!$B$1:$AB$65000,$B687,AY$5)="",2,0)),0)</f>
        <v>0</v>
      </c>
      <c r="AZ687" s="313">
        <f>IFERROR(IF(INDEX([1]Pivot!$BF$1:$CG$65000,$B687,AZ$5)=1,1,IF(INDEX([1]Pivot!$B$1:$AB$65000,$B687,AZ$5)="",2,0)),0)</f>
        <v>0</v>
      </c>
      <c r="BA687" s="313">
        <f>IFERROR(IF(INDEX([1]Pivot!$BF$1:$CG$65000,$B687,BA$5)=1,1,IF(INDEX([1]Pivot!$B$1:$AB$65000,$B687,BA$5)="",2,0)),0)</f>
        <v>0</v>
      </c>
      <c r="BB687" s="313">
        <f>IFERROR(IF(INDEX([1]Pivot!$BF$1:$CG$65000,$B687,BB$5)=1,1,IF(INDEX([1]Pivot!$B$1:$AB$65000,$B687,BB$5)="",2,0)),0)</f>
        <v>0</v>
      </c>
      <c r="BC687" s="313">
        <f>IFERROR(IF(INDEX([1]Pivot!$BF$1:$CG$65000,$B687,BC$5)=1,1,IF(INDEX([1]Pivot!$B$1:$AB$65000,$B687,BC$5)="",2,0)),0)</f>
        <v>0</v>
      </c>
      <c r="BD687" s="313">
        <f>IFERROR(IF(INDEX([1]Pivot!$BF$1:$CG$65000,$B687,BD$5)=1,1,IF(INDEX([1]Pivot!$B$1:$AB$65000,$B687,BD$5)="",2,0)),0)</f>
        <v>0</v>
      </c>
    </row>
    <row r="688" spans="1:56" x14ac:dyDescent="0.25">
      <c r="A688" s="288">
        <f>'[2]Raw Milk Prices'!A688</f>
        <v>0</v>
      </c>
      <c r="B688" s="296" t="e">
        <f>MATCH(DATE(LEFT('[2]Raw Milk Prices'!$A688,4),RIGHT('[2]Raw Milk Prices'!$A688,2),1),[1]Pivot!$A$1:$A$65000,0)</f>
        <v>#VALUE!</v>
      </c>
      <c r="C688" s="194">
        <f>IFERROR(IF(INDEX([1]Pivot!$AD$1:$BE$65000,$B688,C$5)=1,1,IF(INDEX([1]Pivot!$B$1:$AB$65000,$B688,C$5)="",2,0)),0)</f>
        <v>0</v>
      </c>
      <c r="D688" s="194">
        <f>IFERROR(IF(INDEX([1]Pivot!$AD$1:$BE$65000,$B688,D$5)=1,1,IF(INDEX([1]Pivot!$B$1:$AB$65000,$B688,D$5)="",2,0)),0)</f>
        <v>0</v>
      </c>
      <c r="E688" s="194">
        <f>IFERROR(IF(INDEX([1]Pivot!$AD$1:$BE$65000,$B688,E$5)=1,1,IF(INDEX([1]Pivot!$B$1:$AB$65000,$B688,E$5)="",2,0)),0)</f>
        <v>0</v>
      </c>
      <c r="F688" s="194">
        <f>IFERROR(IF(INDEX([1]Pivot!$AD$1:$BE$65000,$B688,F$5)=1,1,IF(INDEX([1]Pivot!$B$1:$AB$65000,$B688,F$5)="",2,0)),0)</f>
        <v>0</v>
      </c>
      <c r="G688" s="194">
        <f>IFERROR(IF(INDEX([1]Pivot!$AD$1:$BE$65000,$B688,G$5)=1,1,IF(INDEX([1]Pivot!$B$1:$AB$65000,$B688,G$5)="",2,0)),0)</f>
        <v>0</v>
      </c>
      <c r="H688" s="194">
        <f>IFERROR(IF(INDEX([1]Pivot!$AD$1:$BE$65000,$B688,H$5)=1,1,IF(INDEX([1]Pivot!$B$1:$AB$65000,$B688,H$5)="",2,0)),0)</f>
        <v>0</v>
      </c>
      <c r="I688" s="194">
        <f>IFERROR(IF(INDEX([1]Pivot!$AD$1:$BE$65000,$B688,I$5)=1,1,IF(INDEX([1]Pivot!$B$1:$AB$65000,$B688,I$5)="",2,0)),0)</f>
        <v>0</v>
      </c>
      <c r="J688" s="194">
        <f>IFERROR(IF(INDEX([1]Pivot!$AD$1:$BE$65000,$B688,J$5)=1,1,IF(INDEX([1]Pivot!$B$1:$AB$65000,$B688,J$5)="",2,0)),0)</f>
        <v>0</v>
      </c>
      <c r="K688" s="194">
        <f>IFERROR(IF(INDEX([1]Pivot!$AD$1:$BE$65000,$B688,K$5)=1,1,IF(INDEX([1]Pivot!$B$1:$AB$65000,$B688,K$5)="",2,0)),0)</f>
        <v>0</v>
      </c>
      <c r="L688" s="194">
        <f>IFERROR(IF(INDEX([1]Pivot!$AD$1:$BE$65000,$B688,L$5)=1,1,IF(INDEX([1]Pivot!$B$1:$AB$65000,$B688,L$5)="",2,0)),0)</f>
        <v>0</v>
      </c>
      <c r="M688" s="194">
        <f>IFERROR(IF(INDEX([1]Pivot!$AD$1:$BE$65000,$B688,M$5)=1,1,IF(INDEX([1]Pivot!$B$1:$AB$65000,$B688,M$5)="",2,0)),0)</f>
        <v>0</v>
      </c>
      <c r="N688" s="194">
        <f>IFERROR(IF(INDEX([1]Pivot!$AD$1:$BE$65000,$B688,N$5)=1,1,IF(INDEX([1]Pivot!$B$1:$AB$65000,$B688,N$5)="",2,0)),0)</f>
        <v>0</v>
      </c>
      <c r="O688" s="194">
        <f>IFERROR(IF(INDEX([1]Pivot!$AD$1:$BE$65000,$B688,O$5)=1,1,IF(INDEX([1]Pivot!$B$1:$AB$65000,$B688,O$5)="",2,0)),0)</f>
        <v>0</v>
      </c>
      <c r="P688" s="194">
        <f>IFERROR(IF(INDEX([1]Pivot!$AD$1:$BE$65000,$B688,P$5)=1,1,IF(INDEX([1]Pivot!$B$1:$AB$65000,$B688,P$5)="",2,0)),0)</f>
        <v>0</v>
      </c>
      <c r="Q688" s="194">
        <f>IFERROR(IF(INDEX([1]Pivot!$AD$1:$BE$65000,$B688,Q$5)=1,1,IF(INDEX([1]Pivot!$B$1:$AB$65000,$B688,Q$5)="",2,0)),0)</f>
        <v>0</v>
      </c>
      <c r="R688" s="312"/>
      <c r="S688" s="194">
        <f>IFERROR(IF(INDEX([1]Pivot!$AD$1:$BE$65000,$B688,S$5)=1,1,IF(INDEX([1]Pivot!$B$1:$AB$65000,$B688,S$5)="",2,0)),0)</f>
        <v>0</v>
      </c>
      <c r="T688" s="194">
        <f>IFERROR(IF(INDEX([1]Pivot!$AD$1:$BE$65000,$B688,T$5)=1,1,IF(INDEX([1]Pivot!$B$1:$AB$65000,$B688,T$5)="",2,0)),0)</f>
        <v>0</v>
      </c>
      <c r="U688" s="194">
        <f>IFERROR(IF(INDEX([1]Pivot!$AD$1:$BE$65000,$B688,U$5)=1,1,IF(INDEX([1]Pivot!$B$1:$AB$65000,$B688,U$5)="",2,0)),0)</f>
        <v>0</v>
      </c>
      <c r="V688" s="194">
        <f>IFERROR(IF(INDEX([1]Pivot!$AD$1:$BE$65000,$B688,V$5)=1,1,IF(INDEX([1]Pivot!$B$1:$AB$65000,$B688,V$5)="",2,0)),0)</f>
        <v>0</v>
      </c>
      <c r="W688" s="194">
        <f>IFERROR(IF(INDEX([1]Pivot!$AD$1:$BE$65000,$B688,W$5)=1,1,IF(INDEX([1]Pivot!$B$1:$AB$65000,$B688,W$5)="",2,0)),0)</f>
        <v>0</v>
      </c>
      <c r="X688" s="194">
        <f>IFERROR(IF(INDEX([1]Pivot!$AD$1:$BE$65000,$B688,X$5)=1,1,IF(INDEX([1]Pivot!$B$1:$AB$65000,$B688,X$5)="",2,0)),0)</f>
        <v>0</v>
      </c>
      <c r="Y688" s="194">
        <f>IFERROR(IF(INDEX([1]Pivot!$AD$1:$BE$65000,$B688,Y$5)=1,1,IF(INDEX([1]Pivot!$B$1:$AB$65000,$B688,Y$5)="",2,0)),0)</f>
        <v>0</v>
      </c>
      <c r="Z688" s="194">
        <f>IFERROR(IF(INDEX([1]Pivot!$AD$1:$BE$65000,$B688,Z$5)=1,1,IF(INDEX([1]Pivot!$B$1:$AB$65000,$B688,Z$5)="",2,0)),0)</f>
        <v>0</v>
      </c>
      <c r="AA688" s="194">
        <f>IFERROR(IF(INDEX([1]Pivot!$AD$1:$BE$65000,$B688,AA$5)=1,1,IF(INDEX([1]Pivot!$B$1:$AB$65000,$B688,AA$5)="",2,0)),0)</f>
        <v>0</v>
      </c>
      <c r="AB688" s="194">
        <f>IFERROR(IF(INDEX([1]Pivot!$AD$1:$BE$65000,$B688,AB$5)=1,1,IF(INDEX([1]Pivot!$B$1:$AB$65000,$B688,AB$5)="",2,0)),0)</f>
        <v>0</v>
      </c>
      <c r="AC688" s="194">
        <f>IFERROR(IF(INDEX([1]Pivot!$AD$1:$BE$65000,$B688,AC$5)=1,1,IF(INDEX([1]Pivot!$B$1:$AB$65000,$B688,AC$5)="",2,0)),0)</f>
        <v>0</v>
      </c>
      <c r="AD688" s="313">
        <f>IFERROR(IF(INDEX([1]Pivot!$BF$1:$CG$65000,$B688,AD$5)=1,1,IF(INDEX([1]Pivot!$B$1:$AB$65000,$B688,AD$5)="",2,0)),0)</f>
        <v>0</v>
      </c>
      <c r="AE688" s="313">
        <f>IFERROR(IF(INDEX([1]Pivot!$BF$1:$CG$65000,$B688,AE$5)=1,1,IF(INDEX([1]Pivot!$B$1:$AB$65000,$B688,AE$5)="",2,0)),0)</f>
        <v>0</v>
      </c>
      <c r="AF688" s="313">
        <f>IFERROR(IF(INDEX([1]Pivot!$BF$1:$CG$65000,$B688,AF$5)=1,1,IF(INDEX([1]Pivot!$B$1:$AB$65000,$B688,AF$5)="",2,0)),0)</f>
        <v>0</v>
      </c>
      <c r="AG688" s="313">
        <f>IFERROR(IF(INDEX([1]Pivot!$BF$1:$CG$65000,$B688,AG$5)=1,1,IF(INDEX([1]Pivot!$B$1:$AB$65000,$B688,AG$5)="",2,0)),0)</f>
        <v>0</v>
      </c>
      <c r="AH688" s="313">
        <f>IFERROR(IF(INDEX([1]Pivot!$BF$1:$CG$65000,$B688,AH$5)=1,1,IF(INDEX([1]Pivot!$B$1:$AB$65000,$B688,AH$5)="",2,0)),0)</f>
        <v>0</v>
      </c>
      <c r="AI688" s="313">
        <f>IFERROR(IF(INDEX([1]Pivot!$BF$1:$CG$65000,$B688,AI$5)=1,1,IF(INDEX([1]Pivot!$B$1:$AB$65000,$B688,AI$5)="",2,0)),0)</f>
        <v>0</v>
      </c>
      <c r="AJ688" s="313">
        <f>IFERROR(IF(INDEX([1]Pivot!$BF$1:$CG$65000,$B688,AJ$5)=1,1,IF(INDEX([1]Pivot!$B$1:$AB$65000,$B688,AJ$5)="",2,0)),0)</f>
        <v>0</v>
      </c>
      <c r="AK688" s="313">
        <f>IFERROR(IF(INDEX([1]Pivot!$BF$1:$CG$65000,$B688,AK$5)=1,1,IF(INDEX([1]Pivot!$B$1:$AB$65000,$B688,AK$5)="",2,0)),0)</f>
        <v>0</v>
      </c>
      <c r="AL688" s="313">
        <f>IFERROR(IF(INDEX([1]Pivot!$BF$1:$CG$65000,$B688,AL$5)=1,1,IF(INDEX([1]Pivot!$B$1:$AB$65000,$B688,AL$5)="",2,0)),0)</f>
        <v>0</v>
      </c>
      <c r="AM688" s="313">
        <f>IFERROR(IF(INDEX([1]Pivot!$BF$1:$CG$65000,$B688,AM$5)=1,1,IF(INDEX([1]Pivot!$B$1:$AB$65000,$B688,AM$5)="",2,0)),0)</f>
        <v>0</v>
      </c>
      <c r="AN688" s="313">
        <f>IFERROR(IF(INDEX([1]Pivot!$BF$1:$CG$65000,$B688,AN$5)=1,1,IF(INDEX([1]Pivot!$B$1:$AB$65000,$B688,AN$5)="",2,0)),0)</f>
        <v>0</v>
      </c>
      <c r="AO688" s="313">
        <f>IFERROR(IF(INDEX([1]Pivot!$BF$1:$CG$65000,$B688,AO$5)=1,1,IF(INDEX([1]Pivot!$B$1:$AB$65000,$B688,AO$5)="",2,0)),0)</f>
        <v>0</v>
      </c>
      <c r="AP688" s="313">
        <f>IFERROR(IF(INDEX([1]Pivot!$BF$1:$CG$65000,$B688,AP$5)=1,1,IF(INDEX([1]Pivot!$B$1:$AB$65000,$B688,AP$5)="",2,0)),0)</f>
        <v>0</v>
      </c>
      <c r="AQ688" s="313">
        <f>IFERROR(IF(INDEX([1]Pivot!$BF$1:$CG$65000,$B688,AQ$5)=1,1,IF(INDEX([1]Pivot!$B$1:$AB$65000,$B688,AQ$5)="",2,0)),0)</f>
        <v>0</v>
      </c>
      <c r="AR688" s="313">
        <f>IFERROR(IF(INDEX([1]Pivot!$BF$1:$CG$65000,$B688,AR$5)=1,1,IF(INDEX([1]Pivot!$B$1:$AB$65000,$B688,AR$5)="",2,0)),0)</f>
        <v>0</v>
      </c>
      <c r="AS688" s="312"/>
      <c r="AT688" s="313">
        <f>IFERROR(IF(INDEX([1]Pivot!$BF$1:$CG$65000,$B688,AT$5)=1,1,IF(INDEX([1]Pivot!$B$1:$AB$65000,$B688,AT$5)="",2,0)),0)</f>
        <v>0</v>
      </c>
      <c r="AU688" s="313">
        <f>IFERROR(IF(INDEX([1]Pivot!$BF$1:$CG$65000,$B688,AU$5)=1,1,IF(INDEX([1]Pivot!$B$1:$AB$65000,$B688,AU$5)="",2,0)),0)</f>
        <v>0</v>
      </c>
      <c r="AV688" s="313">
        <f>IFERROR(IF(INDEX([1]Pivot!$BF$1:$CG$65000,$B688,AV$5)=1,1,IF(INDEX([1]Pivot!$B$1:$AB$65000,$B688,AV$5)="",2,0)),0)</f>
        <v>0</v>
      </c>
      <c r="AW688" s="313">
        <f>IFERROR(IF(INDEX([1]Pivot!$BF$1:$CG$65000,$B688,AW$5)=1,1,IF(INDEX([1]Pivot!$B$1:$AB$65000,$B688,AW$5)="",2,0)),0)</f>
        <v>0</v>
      </c>
      <c r="AX688" s="313">
        <f>IFERROR(IF(INDEX([1]Pivot!$BF$1:$CG$65000,$B688,AX$5)=1,1,IF(INDEX([1]Pivot!$B$1:$AB$65000,$B688,AX$5)="",2,0)),0)</f>
        <v>0</v>
      </c>
      <c r="AY688" s="313">
        <f>IFERROR(IF(INDEX([1]Pivot!$BF$1:$CG$65000,$B688,AY$5)=1,1,IF(INDEX([1]Pivot!$B$1:$AB$65000,$B688,AY$5)="",2,0)),0)</f>
        <v>0</v>
      </c>
      <c r="AZ688" s="313">
        <f>IFERROR(IF(INDEX([1]Pivot!$BF$1:$CG$65000,$B688,AZ$5)=1,1,IF(INDEX([1]Pivot!$B$1:$AB$65000,$B688,AZ$5)="",2,0)),0)</f>
        <v>0</v>
      </c>
      <c r="BA688" s="313">
        <f>IFERROR(IF(INDEX([1]Pivot!$BF$1:$CG$65000,$B688,BA$5)=1,1,IF(INDEX([1]Pivot!$B$1:$AB$65000,$B688,BA$5)="",2,0)),0)</f>
        <v>0</v>
      </c>
      <c r="BB688" s="313">
        <f>IFERROR(IF(INDEX([1]Pivot!$BF$1:$CG$65000,$B688,BB$5)=1,1,IF(INDEX([1]Pivot!$B$1:$AB$65000,$B688,BB$5)="",2,0)),0)</f>
        <v>0</v>
      </c>
      <c r="BC688" s="313">
        <f>IFERROR(IF(INDEX([1]Pivot!$BF$1:$CG$65000,$B688,BC$5)=1,1,IF(INDEX([1]Pivot!$B$1:$AB$65000,$B688,BC$5)="",2,0)),0)</f>
        <v>0</v>
      </c>
      <c r="BD688" s="313">
        <f>IFERROR(IF(INDEX([1]Pivot!$BF$1:$CG$65000,$B688,BD$5)=1,1,IF(INDEX([1]Pivot!$B$1:$AB$65000,$B688,BD$5)="",2,0)),0)</f>
        <v>0</v>
      </c>
    </row>
    <row r="689" spans="1:56" x14ac:dyDescent="0.25">
      <c r="A689" s="288">
        <f>'[2]Raw Milk Prices'!A689</f>
        <v>0</v>
      </c>
      <c r="B689" s="296" t="e">
        <f>MATCH(DATE(LEFT('[2]Raw Milk Prices'!$A689,4),RIGHT('[2]Raw Milk Prices'!$A689,2),1),[1]Pivot!$A$1:$A$65000,0)</f>
        <v>#VALUE!</v>
      </c>
      <c r="C689" s="194">
        <f>IFERROR(IF(INDEX([1]Pivot!$AD$1:$BE$65000,$B689,C$5)=1,1,IF(INDEX([1]Pivot!$B$1:$AB$65000,$B689,C$5)="",2,0)),0)</f>
        <v>0</v>
      </c>
      <c r="D689" s="194">
        <f>IFERROR(IF(INDEX([1]Pivot!$AD$1:$BE$65000,$B689,D$5)=1,1,IF(INDEX([1]Pivot!$B$1:$AB$65000,$B689,D$5)="",2,0)),0)</f>
        <v>0</v>
      </c>
      <c r="E689" s="194">
        <f>IFERROR(IF(INDEX([1]Pivot!$AD$1:$BE$65000,$B689,E$5)=1,1,IF(INDEX([1]Pivot!$B$1:$AB$65000,$B689,E$5)="",2,0)),0)</f>
        <v>0</v>
      </c>
      <c r="F689" s="194">
        <f>IFERROR(IF(INDEX([1]Pivot!$AD$1:$BE$65000,$B689,F$5)=1,1,IF(INDEX([1]Pivot!$B$1:$AB$65000,$B689,F$5)="",2,0)),0)</f>
        <v>0</v>
      </c>
      <c r="G689" s="194">
        <f>IFERROR(IF(INDEX([1]Pivot!$AD$1:$BE$65000,$B689,G$5)=1,1,IF(INDEX([1]Pivot!$B$1:$AB$65000,$B689,G$5)="",2,0)),0)</f>
        <v>0</v>
      </c>
      <c r="H689" s="194">
        <f>IFERROR(IF(INDEX([1]Pivot!$AD$1:$BE$65000,$B689,H$5)=1,1,IF(INDEX([1]Pivot!$B$1:$AB$65000,$B689,H$5)="",2,0)),0)</f>
        <v>0</v>
      </c>
      <c r="I689" s="194">
        <f>IFERROR(IF(INDEX([1]Pivot!$AD$1:$BE$65000,$B689,I$5)=1,1,IF(INDEX([1]Pivot!$B$1:$AB$65000,$B689,I$5)="",2,0)),0)</f>
        <v>0</v>
      </c>
      <c r="J689" s="194">
        <f>IFERROR(IF(INDEX([1]Pivot!$AD$1:$BE$65000,$B689,J$5)=1,1,IF(INDEX([1]Pivot!$B$1:$AB$65000,$B689,J$5)="",2,0)),0)</f>
        <v>0</v>
      </c>
      <c r="K689" s="194">
        <f>IFERROR(IF(INDEX([1]Pivot!$AD$1:$BE$65000,$B689,K$5)=1,1,IF(INDEX([1]Pivot!$B$1:$AB$65000,$B689,K$5)="",2,0)),0)</f>
        <v>0</v>
      </c>
      <c r="L689" s="194">
        <f>IFERROR(IF(INDEX([1]Pivot!$AD$1:$BE$65000,$B689,L$5)=1,1,IF(INDEX([1]Pivot!$B$1:$AB$65000,$B689,L$5)="",2,0)),0)</f>
        <v>0</v>
      </c>
      <c r="M689" s="194">
        <f>IFERROR(IF(INDEX([1]Pivot!$AD$1:$BE$65000,$B689,M$5)=1,1,IF(INDEX([1]Pivot!$B$1:$AB$65000,$B689,M$5)="",2,0)),0)</f>
        <v>0</v>
      </c>
      <c r="N689" s="194">
        <f>IFERROR(IF(INDEX([1]Pivot!$AD$1:$BE$65000,$B689,N$5)=1,1,IF(INDEX([1]Pivot!$B$1:$AB$65000,$B689,N$5)="",2,0)),0)</f>
        <v>0</v>
      </c>
      <c r="O689" s="194">
        <f>IFERROR(IF(INDEX([1]Pivot!$AD$1:$BE$65000,$B689,O$5)=1,1,IF(INDEX([1]Pivot!$B$1:$AB$65000,$B689,O$5)="",2,0)),0)</f>
        <v>0</v>
      </c>
      <c r="P689" s="194">
        <f>IFERROR(IF(INDEX([1]Pivot!$AD$1:$BE$65000,$B689,P$5)=1,1,IF(INDEX([1]Pivot!$B$1:$AB$65000,$B689,P$5)="",2,0)),0)</f>
        <v>0</v>
      </c>
      <c r="Q689" s="194">
        <f>IFERROR(IF(INDEX([1]Pivot!$AD$1:$BE$65000,$B689,Q$5)=1,1,IF(INDEX([1]Pivot!$B$1:$AB$65000,$B689,Q$5)="",2,0)),0)</f>
        <v>0</v>
      </c>
      <c r="R689" s="312"/>
      <c r="S689" s="194">
        <f>IFERROR(IF(INDEX([1]Pivot!$AD$1:$BE$65000,$B689,S$5)=1,1,IF(INDEX([1]Pivot!$B$1:$AB$65000,$B689,S$5)="",2,0)),0)</f>
        <v>0</v>
      </c>
      <c r="T689" s="194">
        <f>IFERROR(IF(INDEX([1]Pivot!$AD$1:$BE$65000,$B689,T$5)=1,1,IF(INDEX([1]Pivot!$B$1:$AB$65000,$B689,T$5)="",2,0)),0)</f>
        <v>0</v>
      </c>
      <c r="U689" s="194">
        <f>IFERROR(IF(INDEX([1]Pivot!$AD$1:$BE$65000,$B689,U$5)=1,1,IF(INDEX([1]Pivot!$B$1:$AB$65000,$B689,U$5)="",2,0)),0)</f>
        <v>0</v>
      </c>
      <c r="V689" s="194">
        <f>IFERROR(IF(INDEX([1]Pivot!$AD$1:$BE$65000,$B689,V$5)=1,1,IF(INDEX([1]Pivot!$B$1:$AB$65000,$B689,V$5)="",2,0)),0)</f>
        <v>0</v>
      </c>
      <c r="W689" s="194">
        <f>IFERROR(IF(INDEX([1]Pivot!$AD$1:$BE$65000,$B689,W$5)=1,1,IF(INDEX([1]Pivot!$B$1:$AB$65000,$B689,W$5)="",2,0)),0)</f>
        <v>0</v>
      </c>
      <c r="X689" s="194">
        <f>IFERROR(IF(INDEX([1]Pivot!$AD$1:$BE$65000,$B689,X$5)=1,1,IF(INDEX([1]Pivot!$B$1:$AB$65000,$B689,X$5)="",2,0)),0)</f>
        <v>0</v>
      </c>
      <c r="Y689" s="194">
        <f>IFERROR(IF(INDEX([1]Pivot!$AD$1:$BE$65000,$B689,Y$5)=1,1,IF(INDEX([1]Pivot!$B$1:$AB$65000,$B689,Y$5)="",2,0)),0)</f>
        <v>0</v>
      </c>
      <c r="Z689" s="194">
        <f>IFERROR(IF(INDEX([1]Pivot!$AD$1:$BE$65000,$B689,Z$5)=1,1,IF(INDEX([1]Pivot!$B$1:$AB$65000,$B689,Z$5)="",2,0)),0)</f>
        <v>0</v>
      </c>
      <c r="AA689" s="194">
        <f>IFERROR(IF(INDEX([1]Pivot!$AD$1:$BE$65000,$B689,AA$5)=1,1,IF(INDEX([1]Pivot!$B$1:$AB$65000,$B689,AA$5)="",2,0)),0)</f>
        <v>0</v>
      </c>
      <c r="AB689" s="194">
        <f>IFERROR(IF(INDEX([1]Pivot!$AD$1:$BE$65000,$B689,AB$5)=1,1,IF(INDEX([1]Pivot!$B$1:$AB$65000,$B689,AB$5)="",2,0)),0)</f>
        <v>0</v>
      </c>
      <c r="AC689" s="194">
        <f>IFERROR(IF(INDEX([1]Pivot!$AD$1:$BE$65000,$B689,AC$5)=1,1,IF(INDEX([1]Pivot!$B$1:$AB$65000,$B689,AC$5)="",2,0)),0)</f>
        <v>0</v>
      </c>
      <c r="AD689" s="313">
        <f>IFERROR(IF(INDEX([1]Pivot!$BF$1:$CG$65000,$B689,AD$5)=1,1,IF(INDEX([1]Pivot!$B$1:$AB$65000,$B689,AD$5)="",2,0)),0)</f>
        <v>0</v>
      </c>
      <c r="AE689" s="313">
        <f>IFERROR(IF(INDEX([1]Pivot!$BF$1:$CG$65000,$B689,AE$5)=1,1,IF(INDEX([1]Pivot!$B$1:$AB$65000,$B689,AE$5)="",2,0)),0)</f>
        <v>0</v>
      </c>
      <c r="AF689" s="313">
        <f>IFERROR(IF(INDEX([1]Pivot!$BF$1:$CG$65000,$B689,AF$5)=1,1,IF(INDEX([1]Pivot!$B$1:$AB$65000,$B689,AF$5)="",2,0)),0)</f>
        <v>0</v>
      </c>
      <c r="AG689" s="313">
        <f>IFERROR(IF(INDEX([1]Pivot!$BF$1:$CG$65000,$B689,AG$5)=1,1,IF(INDEX([1]Pivot!$B$1:$AB$65000,$B689,AG$5)="",2,0)),0)</f>
        <v>0</v>
      </c>
      <c r="AH689" s="313">
        <f>IFERROR(IF(INDEX([1]Pivot!$BF$1:$CG$65000,$B689,AH$5)=1,1,IF(INDEX([1]Pivot!$B$1:$AB$65000,$B689,AH$5)="",2,0)),0)</f>
        <v>0</v>
      </c>
      <c r="AI689" s="313">
        <f>IFERROR(IF(INDEX([1]Pivot!$BF$1:$CG$65000,$B689,AI$5)=1,1,IF(INDEX([1]Pivot!$B$1:$AB$65000,$B689,AI$5)="",2,0)),0)</f>
        <v>0</v>
      </c>
      <c r="AJ689" s="313">
        <f>IFERROR(IF(INDEX([1]Pivot!$BF$1:$CG$65000,$B689,AJ$5)=1,1,IF(INDEX([1]Pivot!$B$1:$AB$65000,$B689,AJ$5)="",2,0)),0)</f>
        <v>0</v>
      </c>
      <c r="AK689" s="313">
        <f>IFERROR(IF(INDEX([1]Pivot!$BF$1:$CG$65000,$B689,AK$5)=1,1,IF(INDEX([1]Pivot!$B$1:$AB$65000,$B689,AK$5)="",2,0)),0)</f>
        <v>0</v>
      </c>
      <c r="AL689" s="313">
        <f>IFERROR(IF(INDEX([1]Pivot!$BF$1:$CG$65000,$B689,AL$5)=1,1,IF(INDEX([1]Pivot!$B$1:$AB$65000,$B689,AL$5)="",2,0)),0)</f>
        <v>0</v>
      </c>
      <c r="AM689" s="313">
        <f>IFERROR(IF(INDEX([1]Pivot!$BF$1:$CG$65000,$B689,AM$5)=1,1,IF(INDEX([1]Pivot!$B$1:$AB$65000,$B689,AM$5)="",2,0)),0)</f>
        <v>0</v>
      </c>
      <c r="AN689" s="313">
        <f>IFERROR(IF(INDEX([1]Pivot!$BF$1:$CG$65000,$B689,AN$5)=1,1,IF(INDEX([1]Pivot!$B$1:$AB$65000,$B689,AN$5)="",2,0)),0)</f>
        <v>0</v>
      </c>
      <c r="AO689" s="313">
        <f>IFERROR(IF(INDEX([1]Pivot!$BF$1:$CG$65000,$B689,AO$5)=1,1,IF(INDEX([1]Pivot!$B$1:$AB$65000,$B689,AO$5)="",2,0)),0)</f>
        <v>0</v>
      </c>
      <c r="AP689" s="313">
        <f>IFERROR(IF(INDEX([1]Pivot!$BF$1:$CG$65000,$B689,AP$5)=1,1,IF(INDEX([1]Pivot!$B$1:$AB$65000,$B689,AP$5)="",2,0)),0)</f>
        <v>0</v>
      </c>
      <c r="AQ689" s="313">
        <f>IFERROR(IF(INDEX([1]Pivot!$BF$1:$CG$65000,$B689,AQ$5)=1,1,IF(INDEX([1]Pivot!$B$1:$AB$65000,$B689,AQ$5)="",2,0)),0)</f>
        <v>0</v>
      </c>
      <c r="AR689" s="313">
        <f>IFERROR(IF(INDEX([1]Pivot!$BF$1:$CG$65000,$B689,AR$5)=1,1,IF(INDEX([1]Pivot!$B$1:$AB$65000,$B689,AR$5)="",2,0)),0)</f>
        <v>0</v>
      </c>
      <c r="AS689" s="312"/>
      <c r="AT689" s="313">
        <f>IFERROR(IF(INDEX([1]Pivot!$BF$1:$CG$65000,$B689,AT$5)=1,1,IF(INDEX([1]Pivot!$B$1:$AB$65000,$B689,AT$5)="",2,0)),0)</f>
        <v>0</v>
      </c>
      <c r="AU689" s="313">
        <f>IFERROR(IF(INDEX([1]Pivot!$BF$1:$CG$65000,$B689,AU$5)=1,1,IF(INDEX([1]Pivot!$B$1:$AB$65000,$B689,AU$5)="",2,0)),0)</f>
        <v>0</v>
      </c>
      <c r="AV689" s="313">
        <f>IFERROR(IF(INDEX([1]Pivot!$BF$1:$CG$65000,$B689,AV$5)=1,1,IF(INDEX([1]Pivot!$B$1:$AB$65000,$B689,AV$5)="",2,0)),0)</f>
        <v>0</v>
      </c>
      <c r="AW689" s="313">
        <f>IFERROR(IF(INDEX([1]Pivot!$BF$1:$CG$65000,$B689,AW$5)=1,1,IF(INDEX([1]Pivot!$B$1:$AB$65000,$B689,AW$5)="",2,0)),0)</f>
        <v>0</v>
      </c>
      <c r="AX689" s="313">
        <f>IFERROR(IF(INDEX([1]Pivot!$BF$1:$CG$65000,$B689,AX$5)=1,1,IF(INDEX([1]Pivot!$B$1:$AB$65000,$B689,AX$5)="",2,0)),0)</f>
        <v>0</v>
      </c>
      <c r="AY689" s="313">
        <f>IFERROR(IF(INDEX([1]Pivot!$BF$1:$CG$65000,$B689,AY$5)=1,1,IF(INDEX([1]Pivot!$B$1:$AB$65000,$B689,AY$5)="",2,0)),0)</f>
        <v>0</v>
      </c>
      <c r="AZ689" s="313">
        <f>IFERROR(IF(INDEX([1]Pivot!$BF$1:$CG$65000,$B689,AZ$5)=1,1,IF(INDEX([1]Pivot!$B$1:$AB$65000,$B689,AZ$5)="",2,0)),0)</f>
        <v>0</v>
      </c>
      <c r="BA689" s="313">
        <f>IFERROR(IF(INDEX([1]Pivot!$BF$1:$CG$65000,$B689,BA$5)=1,1,IF(INDEX([1]Pivot!$B$1:$AB$65000,$B689,BA$5)="",2,0)),0)</f>
        <v>0</v>
      </c>
      <c r="BB689" s="313">
        <f>IFERROR(IF(INDEX([1]Pivot!$BF$1:$CG$65000,$B689,BB$5)=1,1,IF(INDEX([1]Pivot!$B$1:$AB$65000,$B689,BB$5)="",2,0)),0)</f>
        <v>0</v>
      </c>
      <c r="BC689" s="313">
        <f>IFERROR(IF(INDEX([1]Pivot!$BF$1:$CG$65000,$B689,BC$5)=1,1,IF(INDEX([1]Pivot!$B$1:$AB$65000,$B689,BC$5)="",2,0)),0)</f>
        <v>0</v>
      </c>
      <c r="BD689" s="313">
        <f>IFERROR(IF(INDEX([1]Pivot!$BF$1:$CG$65000,$B689,BD$5)=1,1,IF(INDEX([1]Pivot!$B$1:$AB$65000,$B689,BD$5)="",2,0)),0)</f>
        <v>0</v>
      </c>
    </row>
    <row r="690" spans="1:56" x14ac:dyDescent="0.25">
      <c r="A690" s="288">
        <f>'[2]Raw Milk Prices'!A690</f>
        <v>0</v>
      </c>
      <c r="B690" s="296" t="e">
        <f>MATCH(DATE(LEFT('[2]Raw Milk Prices'!$A690,4),RIGHT('[2]Raw Milk Prices'!$A690,2),1),[1]Pivot!$A$1:$A$65000,0)</f>
        <v>#VALUE!</v>
      </c>
      <c r="C690" s="194">
        <f>IFERROR(IF(INDEX([1]Pivot!$AD$1:$BE$65000,$B690,C$5)=1,1,IF(INDEX([1]Pivot!$B$1:$AB$65000,$B690,C$5)="",2,0)),0)</f>
        <v>0</v>
      </c>
      <c r="D690" s="194">
        <f>IFERROR(IF(INDEX([1]Pivot!$AD$1:$BE$65000,$B690,D$5)=1,1,IF(INDEX([1]Pivot!$B$1:$AB$65000,$B690,D$5)="",2,0)),0)</f>
        <v>0</v>
      </c>
      <c r="E690" s="194">
        <f>IFERROR(IF(INDEX([1]Pivot!$AD$1:$BE$65000,$B690,E$5)=1,1,IF(INDEX([1]Pivot!$B$1:$AB$65000,$B690,E$5)="",2,0)),0)</f>
        <v>0</v>
      </c>
      <c r="F690" s="194">
        <f>IFERROR(IF(INDEX([1]Pivot!$AD$1:$BE$65000,$B690,F$5)=1,1,IF(INDEX([1]Pivot!$B$1:$AB$65000,$B690,F$5)="",2,0)),0)</f>
        <v>0</v>
      </c>
      <c r="G690" s="194">
        <f>IFERROR(IF(INDEX([1]Pivot!$AD$1:$BE$65000,$B690,G$5)=1,1,IF(INDEX([1]Pivot!$B$1:$AB$65000,$B690,G$5)="",2,0)),0)</f>
        <v>0</v>
      </c>
      <c r="H690" s="194">
        <f>IFERROR(IF(INDEX([1]Pivot!$AD$1:$BE$65000,$B690,H$5)=1,1,IF(INDEX([1]Pivot!$B$1:$AB$65000,$B690,H$5)="",2,0)),0)</f>
        <v>0</v>
      </c>
      <c r="I690" s="194">
        <f>IFERROR(IF(INDEX([1]Pivot!$AD$1:$BE$65000,$B690,I$5)=1,1,IF(INDEX([1]Pivot!$B$1:$AB$65000,$B690,I$5)="",2,0)),0)</f>
        <v>0</v>
      </c>
      <c r="J690" s="194">
        <f>IFERROR(IF(INDEX([1]Pivot!$AD$1:$BE$65000,$B690,J$5)=1,1,IF(INDEX([1]Pivot!$B$1:$AB$65000,$B690,J$5)="",2,0)),0)</f>
        <v>0</v>
      </c>
      <c r="K690" s="194">
        <f>IFERROR(IF(INDEX([1]Pivot!$AD$1:$BE$65000,$B690,K$5)=1,1,IF(INDEX([1]Pivot!$B$1:$AB$65000,$B690,K$5)="",2,0)),0)</f>
        <v>0</v>
      </c>
      <c r="L690" s="194">
        <f>IFERROR(IF(INDEX([1]Pivot!$AD$1:$BE$65000,$B690,L$5)=1,1,IF(INDEX([1]Pivot!$B$1:$AB$65000,$B690,L$5)="",2,0)),0)</f>
        <v>0</v>
      </c>
      <c r="M690" s="194">
        <f>IFERROR(IF(INDEX([1]Pivot!$AD$1:$BE$65000,$B690,M$5)=1,1,IF(INDEX([1]Pivot!$B$1:$AB$65000,$B690,M$5)="",2,0)),0)</f>
        <v>0</v>
      </c>
      <c r="N690" s="194">
        <f>IFERROR(IF(INDEX([1]Pivot!$AD$1:$BE$65000,$B690,N$5)=1,1,IF(INDEX([1]Pivot!$B$1:$AB$65000,$B690,N$5)="",2,0)),0)</f>
        <v>0</v>
      </c>
      <c r="O690" s="194">
        <f>IFERROR(IF(INDEX([1]Pivot!$AD$1:$BE$65000,$B690,O$5)=1,1,IF(INDEX([1]Pivot!$B$1:$AB$65000,$B690,O$5)="",2,0)),0)</f>
        <v>0</v>
      </c>
      <c r="P690" s="194">
        <f>IFERROR(IF(INDEX([1]Pivot!$AD$1:$BE$65000,$B690,P$5)=1,1,IF(INDEX([1]Pivot!$B$1:$AB$65000,$B690,P$5)="",2,0)),0)</f>
        <v>0</v>
      </c>
      <c r="Q690" s="194">
        <f>IFERROR(IF(INDEX([1]Pivot!$AD$1:$BE$65000,$B690,Q$5)=1,1,IF(INDEX([1]Pivot!$B$1:$AB$65000,$B690,Q$5)="",2,0)),0)</f>
        <v>0</v>
      </c>
      <c r="R690" s="312"/>
      <c r="S690" s="194">
        <f>IFERROR(IF(INDEX([1]Pivot!$AD$1:$BE$65000,$B690,S$5)=1,1,IF(INDEX([1]Pivot!$B$1:$AB$65000,$B690,S$5)="",2,0)),0)</f>
        <v>0</v>
      </c>
      <c r="T690" s="194">
        <f>IFERROR(IF(INDEX([1]Pivot!$AD$1:$BE$65000,$B690,T$5)=1,1,IF(INDEX([1]Pivot!$B$1:$AB$65000,$B690,T$5)="",2,0)),0)</f>
        <v>0</v>
      </c>
      <c r="U690" s="194">
        <f>IFERROR(IF(INDEX([1]Pivot!$AD$1:$BE$65000,$B690,U$5)=1,1,IF(INDEX([1]Pivot!$B$1:$AB$65000,$B690,U$5)="",2,0)),0)</f>
        <v>0</v>
      </c>
      <c r="V690" s="194">
        <f>IFERROR(IF(INDEX([1]Pivot!$AD$1:$BE$65000,$B690,V$5)=1,1,IF(INDEX([1]Pivot!$B$1:$AB$65000,$B690,V$5)="",2,0)),0)</f>
        <v>0</v>
      </c>
      <c r="W690" s="194">
        <f>IFERROR(IF(INDEX([1]Pivot!$AD$1:$BE$65000,$B690,W$5)=1,1,IF(INDEX([1]Pivot!$B$1:$AB$65000,$B690,W$5)="",2,0)),0)</f>
        <v>0</v>
      </c>
      <c r="X690" s="194">
        <f>IFERROR(IF(INDEX([1]Pivot!$AD$1:$BE$65000,$B690,X$5)=1,1,IF(INDEX([1]Pivot!$B$1:$AB$65000,$B690,X$5)="",2,0)),0)</f>
        <v>0</v>
      </c>
      <c r="Y690" s="194">
        <f>IFERROR(IF(INDEX([1]Pivot!$AD$1:$BE$65000,$B690,Y$5)=1,1,IF(INDEX([1]Pivot!$B$1:$AB$65000,$B690,Y$5)="",2,0)),0)</f>
        <v>0</v>
      </c>
      <c r="Z690" s="194">
        <f>IFERROR(IF(INDEX([1]Pivot!$AD$1:$BE$65000,$B690,Z$5)=1,1,IF(INDEX([1]Pivot!$B$1:$AB$65000,$B690,Z$5)="",2,0)),0)</f>
        <v>0</v>
      </c>
      <c r="AA690" s="194">
        <f>IFERROR(IF(INDEX([1]Pivot!$AD$1:$BE$65000,$B690,AA$5)=1,1,IF(INDEX([1]Pivot!$B$1:$AB$65000,$B690,AA$5)="",2,0)),0)</f>
        <v>0</v>
      </c>
      <c r="AB690" s="194">
        <f>IFERROR(IF(INDEX([1]Pivot!$AD$1:$BE$65000,$B690,AB$5)=1,1,IF(INDEX([1]Pivot!$B$1:$AB$65000,$B690,AB$5)="",2,0)),0)</f>
        <v>0</v>
      </c>
      <c r="AC690" s="194">
        <f>IFERROR(IF(INDEX([1]Pivot!$AD$1:$BE$65000,$B690,AC$5)=1,1,IF(INDEX([1]Pivot!$B$1:$AB$65000,$B690,AC$5)="",2,0)),0)</f>
        <v>0</v>
      </c>
      <c r="AD690" s="313">
        <f>IFERROR(IF(INDEX([1]Pivot!$BF$1:$CG$65000,$B690,AD$5)=1,1,IF(INDEX([1]Pivot!$B$1:$AB$65000,$B690,AD$5)="",2,0)),0)</f>
        <v>0</v>
      </c>
      <c r="AE690" s="313">
        <f>IFERROR(IF(INDEX([1]Pivot!$BF$1:$CG$65000,$B690,AE$5)=1,1,IF(INDEX([1]Pivot!$B$1:$AB$65000,$B690,AE$5)="",2,0)),0)</f>
        <v>0</v>
      </c>
      <c r="AF690" s="313">
        <f>IFERROR(IF(INDEX([1]Pivot!$BF$1:$CG$65000,$B690,AF$5)=1,1,IF(INDEX([1]Pivot!$B$1:$AB$65000,$B690,AF$5)="",2,0)),0)</f>
        <v>0</v>
      </c>
      <c r="AG690" s="313">
        <f>IFERROR(IF(INDEX([1]Pivot!$BF$1:$CG$65000,$B690,AG$5)=1,1,IF(INDEX([1]Pivot!$B$1:$AB$65000,$B690,AG$5)="",2,0)),0)</f>
        <v>0</v>
      </c>
      <c r="AH690" s="313">
        <f>IFERROR(IF(INDEX([1]Pivot!$BF$1:$CG$65000,$B690,AH$5)=1,1,IF(INDEX([1]Pivot!$B$1:$AB$65000,$B690,AH$5)="",2,0)),0)</f>
        <v>0</v>
      </c>
      <c r="AI690" s="313">
        <f>IFERROR(IF(INDEX([1]Pivot!$BF$1:$CG$65000,$B690,AI$5)=1,1,IF(INDEX([1]Pivot!$B$1:$AB$65000,$B690,AI$5)="",2,0)),0)</f>
        <v>0</v>
      </c>
      <c r="AJ690" s="313">
        <f>IFERROR(IF(INDEX([1]Pivot!$BF$1:$CG$65000,$B690,AJ$5)=1,1,IF(INDEX([1]Pivot!$B$1:$AB$65000,$B690,AJ$5)="",2,0)),0)</f>
        <v>0</v>
      </c>
      <c r="AK690" s="313">
        <f>IFERROR(IF(INDEX([1]Pivot!$BF$1:$CG$65000,$B690,AK$5)=1,1,IF(INDEX([1]Pivot!$B$1:$AB$65000,$B690,AK$5)="",2,0)),0)</f>
        <v>0</v>
      </c>
      <c r="AL690" s="313">
        <f>IFERROR(IF(INDEX([1]Pivot!$BF$1:$CG$65000,$B690,AL$5)=1,1,IF(INDEX([1]Pivot!$B$1:$AB$65000,$B690,AL$5)="",2,0)),0)</f>
        <v>0</v>
      </c>
      <c r="AM690" s="313">
        <f>IFERROR(IF(INDEX([1]Pivot!$BF$1:$CG$65000,$B690,AM$5)=1,1,IF(INDEX([1]Pivot!$B$1:$AB$65000,$B690,AM$5)="",2,0)),0)</f>
        <v>0</v>
      </c>
      <c r="AN690" s="313">
        <f>IFERROR(IF(INDEX([1]Pivot!$BF$1:$CG$65000,$B690,AN$5)=1,1,IF(INDEX([1]Pivot!$B$1:$AB$65000,$B690,AN$5)="",2,0)),0)</f>
        <v>0</v>
      </c>
      <c r="AO690" s="313">
        <f>IFERROR(IF(INDEX([1]Pivot!$BF$1:$CG$65000,$B690,AO$5)=1,1,IF(INDEX([1]Pivot!$B$1:$AB$65000,$B690,AO$5)="",2,0)),0)</f>
        <v>0</v>
      </c>
      <c r="AP690" s="313">
        <f>IFERROR(IF(INDEX([1]Pivot!$BF$1:$CG$65000,$B690,AP$5)=1,1,IF(INDEX([1]Pivot!$B$1:$AB$65000,$B690,AP$5)="",2,0)),0)</f>
        <v>0</v>
      </c>
      <c r="AQ690" s="313">
        <f>IFERROR(IF(INDEX([1]Pivot!$BF$1:$CG$65000,$B690,AQ$5)=1,1,IF(INDEX([1]Pivot!$B$1:$AB$65000,$B690,AQ$5)="",2,0)),0)</f>
        <v>0</v>
      </c>
      <c r="AR690" s="313">
        <f>IFERROR(IF(INDEX([1]Pivot!$BF$1:$CG$65000,$B690,AR$5)=1,1,IF(INDEX([1]Pivot!$B$1:$AB$65000,$B690,AR$5)="",2,0)),0)</f>
        <v>0</v>
      </c>
      <c r="AS690" s="312"/>
      <c r="AT690" s="313">
        <f>IFERROR(IF(INDEX([1]Pivot!$BF$1:$CG$65000,$B690,AT$5)=1,1,IF(INDEX([1]Pivot!$B$1:$AB$65000,$B690,AT$5)="",2,0)),0)</f>
        <v>0</v>
      </c>
      <c r="AU690" s="313">
        <f>IFERROR(IF(INDEX([1]Pivot!$BF$1:$CG$65000,$B690,AU$5)=1,1,IF(INDEX([1]Pivot!$B$1:$AB$65000,$B690,AU$5)="",2,0)),0)</f>
        <v>0</v>
      </c>
      <c r="AV690" s="313">
        <f>IFERROR(IF(INDEX([1]Pivot!$BF$1:$CG$65000,$B690,AV$5)=1,1,IF(INDEX([1]Pivot!$B$1:$AB$65000,$B690,AV$5)="",2,0)),0)</f>
        <v>0</v>
      </c>
      <c r="AW690" s="313">
        <f>IFERROR(IF(INDEX([1]Pivot!$BF$1:$CG$65000,$B690,AW$5)=1,1,IF(INDEX([1]Pivot!$B$1:$AB$65000,$B690,AW$5)="",2,0)),0)</f>
        <v>0</v>
      </c>
      <c r="AX690" s="313">
        <f>IFERROR(IF(INDEX([1]Pivot!$BF$1:$CG$65000,$B690,AX$5)=1,1,IF(INDEX([1]Pivot!$B$1:$AB$65000,$B690,AX$5)="",2,0)),0)</f>
        <v>0</v>
      </c>
      <c r="AY690" s="313">
        <f>IFERROR(IF(INDEX([1]Pivot!$BF$1:$CG$65000,$B690,AY$5)=1,1,IF(INDEX([1]Pivot!$B$1:$AB$65000,$B690,AY$5)="",2,0)),0)</f>
        <v>0</v>
      </c>
      <c r="AZ690" s="313">
        <f>IFERROR(IF(INDEX([1]Pivot!$BF$1:$CG$65000,$B690,AZ$5)=1,1,IF(INDEX([1]Pivot!$B$1:$AB$65000,$B690,AZ$5)="",2,0)),0)</f>
        <v>0</v>
      </c>
      <c r="BA690" s="313">
        <f>IFERROR(IF(INDEX([1]Pivot!$BF$1:$CG$65000,$B690,BA$5)=1,1,IF(INDEX([1]Pivot!$B$1:$AB$65000,$B690,BA$5)="",2,0)),0)</f>
        <v>0</v>
      </c>
      <c r="BB690" s="313">
        <f>IFERROR(IF(INDEX([1]Pivot!$BF$1:$CG$65000,$B690,BB$5)=1,1,IF(INDEX([1]Pivot!$B$1:$AB$65000,$B690,BB$5)="",2,0)),0)</f>
        <v>0</v>
      </c>
      <c r="BC690" s="313">
        <f>IFERROR(IF(INDEX([1]Pivot!$BF$1:$CG$65000,$B690,BC$5)=1,1,IF(INDEX([1]Pivot!$B$1:$AB$65000,$B690,BC$5)="",2,0)),0)</f>
        <v>0</v>
      </c>
      <c r="BD690" s="313">
        <f>IFERROR(IF(INDEX([1]Pivot!$BF$1:$CG$65000,$B690,BD$5)=1,1,IF(INDEX([1]Pivot!$B$1:$AB$65000,$B690,BD$5)="",2,0)),0)</f>
        <v>0</v>
      </c>
    </row>
    <row r="691" spans="1:56" x14ac:dyDescent="0.25">
      <c r="A691" s="288">
        <f>'[2]Raw Milk Prices'!A691</f>
        <v>0</v>
      </c>
      <c r="B691" s="296" t="e">
        <f>MATCH(DATE(LEFT('[2]Raw Milk Prices'!$A691,4),RIGHT('[2]Raw Milk Prices'!$A691,2),1),[1]Pivot!$A$1:$A$65000,0)</f>
        <v>#VALUE!</v>
      </c>
      <c r="C691" s="194">
        <f>IFERROR(IF(INDEX([1]Pivot!$AD$1:$BE$65000,$B691,C$5)=1,1,IF(INDEX([1]Pivot!$B$1:$AB$65000,$B691,C$5)="",2,0)),0)</f>
        <v>0</v>
      </c>
      <c r="D691" s="194">
        <f>IFERROR(IF(INDEX([1]Pivot!$AD$1:$BE$65000,$B691,D$5)=1,1,IF(INDEX([1]Pivot!$B$1:$AB$65000,$B691,D$5)="",2,0)),0)</f>
        <v>0</v>
      </c>
      <c r="E691" s="194">
        <f>IFERROR(IF(INDEX([1]Pivot!$AD$1:$BE$65000,$B691,E$5)=1,1,IF(INDEX([1]Pivot!$B$1:$AB$65000,$B691,E$5)="",2,0)),0)</f>
        <v>0</v>
      </c>
      <c r="F691" s="194">
        <f>IFERROR(IF(INDEX([1]Pivot!$AD$1:$BE$65000,$B691,F$5)=1,1,IF(INDEX([1]Pivot!$B$1:$AB$65000,$B691,F$5)="",2,0)),0)</f>
        <v>0</v>
      </c>
      <c r="G691" s="194">
        <f>IFERROR(IF(INDEX([1]Pivot!$AD$1:$BE$65000,$B691,G$5)=1,1,IF(INDEX([1]Pivot!$B$1:$AB$65000,$B691,G$5)="",2,0)),0)</f>
        <v>0</v>
      </c>
      <c r="H691" s="194">
        <f>IFERROR(IF(INDEX([1]Pivot!$AD$1:$BE$65000,$B691,H$5)=1,1,IF(INDEX([1]Pivot!$B$1:$AB$65000,$B691,H$5)="",2,0)),0)</f>
        <v>0</v>
      </c>
      <c r="I691" s="194">
        <f>IFERROR(IF(INDEX([1]Pivot!$AD$1:$BE$65000,$B691,I$5)=1,1,IF(INDEX([1]Pivot!$B$1:$AB$65000,$B691,I$5)="",2,0)),0)</f>
        <v>0</v>
      </c>
      <c r="J691" s="194">
        <f>IFERROR(IF(INDEX([1]Pivot!$AD$1:$BE$65000,$B691,J$5)=1,1,IF(INDEX([1]Pivot!$B$1:$AB$65000,$B691,J$5)="",2,0)),0)</f>
        <v>0</v>
      </c>
      <c r="K691" s="194">
        <f>IFERROR(IF(INDEX([1]Pivot!$AD$1:$BE$65000,$B691,K$5)=1,1,IF(INDEX([1]Pivot!$B$1:$AB$65000,$B691,K$5)="",2,0)),0)</f>
        <v>0</v>
      </c>
      <c r="L691" s="194">
        <f>IFERROR(IF(INDEX([1]Pivot!$AD$1:$BE$65000,$B691,L$5)=1,1,IF(INDEX([1]Pivot!$B$1:$AB$65000,$B691,L$5)="",2,0)),0)</f>
        <v>0</v>
      </c>
      <c r="M691" s="194">
        <f>IFERROR(IF(INDEX([1]Pivot!$AD$1:$BE$65000,$B691,M$5)=1,1,IF(INDEX([1]Pivot!$B$1:$AB$65000,$B691,M$5)="",2,0)),0)</f>
        <v>0</v>
      </c>
      <c r="N691" s="194">
        <f>IFERROR(IF(INDEX([1]Pivot!$AD$1:$BE$65000,$B691,N$5)=1,1,IF(INDEX([1]Pivot!$B$1:$AB$65000,$B691,N$5)="",2,0)),0)</f>
        <v>0</v>
      </c>
      <c r="O691" s="194">
        <f>IFERROR(IF(INDEX([1]Pivot!$AD$1:$BE$65000,$B691,O$5)=1,1,IF(INDEX([1]Pivot!$B$1:$AB$65000,$B691,O$5)="",2,0)),0)</f>
        <v>0</v>
      </c>
      <c r="P691" s="194">
        <f>IFERROR(IF(INDEX([1]Pivot!$AD$1:$BE$65000,$B691,P$5)=1,1,IF(INDEX([1]Pivot!$B$1:$AB$65000,$B691,P$5)="",2,0)),0)</f>
        <v>0</v>
      </c>
      <c r="Q691" s="194">
        <f>IFERROR(IF(INDEX([1]Pivot!$AD$1:$BE$65000,$B691,Q$5)=1,1,IF(INDEX([1]Pivot!$B$1:$AB$65000,$B691,Q$5)="",2,0)),0)</f>
        <v>0</v>
      </c>
      <c r="R691" s="312"/>
      <c r="S691" s="194">
        <f>IFERROR(IF(INDEX([1]Pivot!$AD$1:$BE$65000,$B691,S$5)=1,1,IF(INDEX([1]Pivot!$B$1:$AB$65000,$B691,S$5)="",2,0)),0)</f>
        <v>0</v>
      </c>
      <c r="T691" s="194">
        <f>IFERROR(IF(INDEX([1]Pivot!$AD$1:$BE$65000,$B691,T$5)=1,1,IF(INDEX([1]Pivot!$B$1:$AB$65000,$B691,T$5)="",2,0)),0)</f>
        <v>0</v>
      </c>
      <c r="U691" s="194">
        <f>IFERROR(IF(INDEX([1]Pivot!$AD$1:$BE$65000,$B691,U$5)=1,1,IF(INDEX([1]Pivot!$B$1:$AB$65000,$B691,U$5)="",2,0)),0)</f>
        <v>0</v>
      </c>
      <c r="V691" s="194">
        <f>IFERROR(IF(INDEX([1]Pivot!$AD$1:$BE$65000,$B691,V$5)=1,1,IF(INDEX([1]Pivot!$B$1:$AB$65000,$B691,V$5)="",2,0)),0)</f>
        <v>0</v>
      </c>
      <c r="W691" s="194">
        <f>IFERROR(IF(INDEX([1]Pivot!$AD$1:$BE$65000,$B691,W$5)=1,1,IF(INDEX([1]Pivot!$B$1:$AB$65000,$B691,W$5)="",2,0)),0)</f>
        <v>0</v>
      </c>
      <c r="X691" s="194">
        <f>IFERROR(IF(INDEX([1]Pivot!$AD$1:$BE$65000,$B691,X$5)=1,1,IF(INDEX([1]Pivot!$B$1:$AB$65000,$B691,X$5)="",2,0)),0)</f>
        <v>0</v>
      </c>
      <c r="Y691" s="194">
        <f>IFERROR(IF(INDEX([1]Pivot!$AD$1:$BE$65000,$B691,Y$5)=1,1,IF(INDEX([1]Pivot!$B$1:$AB$65000,$B691,Y$5)="",2,0)),0)</f>
        <v>0</v>
      </c>
      <c r="Z691" s="194">
        <f>IFERROR(IF(INDEX([1]Pivot!$AD$1:$BE$65000,$B691,Z$5)=1,1,IF(INDEX([1]Pivot!$B$1:$AB$65000,$B691,Z$5)="",2,0)),0)</f>
        <v>0</v>
      </c>
      <c r="AA691" s="194">
        <f>IFERROR(IF(INDEX([1]Pivot!$AD$1:$BE$65000,$B691,AA$5)=1,1,IF(INDEX([1]Pivot!$B$1:$AB$65000,$B691,AA$5)="",2,0)),0)</f>
        <v>0</v>
      </c>
      <c r="AB691" s="194">
        <f>IFERROR(IF(INDEX([1]Pivot!$AD$1:$BE$65000,$B691,AB$5)=1,1,IF(INDEX([1]Pivot!$B$1:$AB$65000,$B691,AB$5)="",2,0)),0)</f>
        <v>0</v>
      </c>
      <c r="AC691" s="194">
        <f>IFERROR(IF(INDEX([1]Pivot!$AD$1:$BE$65000,$B691,AC$5)=1,1,IF(INDEX([1]Pivot!$B$1:$AB$65000,$B691,AC$5)="",2,0)),0)</f>
        <v>0</v>
      </c>
      <c r="AD691" s="313">
        <f>IFERROR(IF(INDEX([1]Pivot!$BF$1:$CG$65000,$B691,AD$5)=1,1,IF(INDEX([1]Pivot!$B$1:$AB$65000,$B691,AD$5)="",2,0)),0)</f>
        <v>0</v>
      </c>
      <c r="AE691" s="313">
        <f>IFERROR(IF(INDEX([1]Pivot!$BF$1:$CG$65000,$B691,AE$5)=1,1,IF(INDEX([1]Pivot!$B$1:$AB$65000,$B691,AE$5)="",2,0)),0)</f>
        <v>0</v>
      </c>
      <c r="AF691" s="313">
        <f>IFERROR(IF(INDEX([1]Pivot!$BF$1:$CG$65000,$B691,AF$5)=1,1,IF(INDEX([1]Pivot!$B$1:$AB$65000,$B691,AF$5)="",2,0)),0)</f>
        <v>0</v>
      </c>
      <c r="AG691" s="313">
        <f>IFERROR(IF(INDEX([1]Pivot!$BF$1:$CG$65000,$B691,AG$5)=1,1,IF(INDEX([1]Pivot!$B$1:$AB$65000,$B691,AG$5)="",2,0)),0)</f>
        <v>0</v>
      </c>
      <c r="AH691" s="313">
        <f>IFERROR(IF(INDEX([1]Pivot!$BF$1:$CG$65000,$B691,AH$5)=1,1,IF(INDEX([1]Pivot!$B$1:$AB$65000,$B691,AH$5)="",2,0)),0)</f>
        <v>0</v>
      </c>
      <c r="AI691" s="313">
        <f>IFERROR(IF(INDEX([1]Pivot!$BF$1:$CG$65000,$B691,AI$5)=1,1,IF(INDEX([1]Pivot!$B$1:$AB$65000,$B691,AI$5)="",2,0)),0)</f>
        <v>0</v>
      </c>
      <c r="AJ691" s="313">
        <f>IFERROR(IF(INDEX([1]Pivot!$BF$1:$CG$65000,$B691,AJ$5)=1,1,IF(INDEX([1]Pivot!$B$1:$AB$65000,$B691,AJ$5)="",2,0)),0)</f>
        <v>0</v>
      </c>
      <c r="AK691" s="313">
        <f>IFERROR(IF(INDEX([1]Pivot!$BF$1:$CG$65000,$B691,AK$5)=1,1,IF(INDEX([1]Pivot!$B$1:$AB$65000,$B691,AK$5)="",2,0)),0)</f>
        <v>0</v>
      </c>
      <c r="AL691" s="313">
        <f>IFERROR(IF(INDEX([1]Pivot!$BF$1:$CG$65000,$B691,AL$5)=1,1,IF(INDEX([1]Pivot!$B$1:$AB$65000,$B691,AL$5)="",2,0)),0)</f>
        <v>0</v>
      </c>
      <c r="AM691" s="313">
        <f>IFERROR(IF(INDEX([1]Pivot!$BF$1:$CG$65000,$B691,AM$5)=1,1,IF(INDEX([1]Pivot!$B$1:$AB$65000,$B691,AM$5)="",2,0)),0)</f>
        <v>0</v>
      </c>
      <c r="AN691" s="313">
        <f>IFERROR(IF(INDEX([1]Pivot!$BF$1:$CG$65000,$B691,AN$5)=1,1,IF(INDEX([1]Pivot!$B$1:$AB$65000,$B691,AN$5)="",2,0)),0)</f>
        <v>0</v>
      </c>
      <c r="AO691" s="313">
        <f>IFERROR(IF(INDEX([1]Pivot!$BF$1:$CG$65000,$B691,AO$5)=1,1,IF(INDEX([1]Pivot!$B$1:$AB$65000,$B691,AO$5)="",2,0)),0)</f>
        <v>0</v>
      </c>
      <c r="AP691" s="313">
        <f>IFERROR(IF(INDEX([1]Pivot!$BF$1:$CG$65000,$B691,AP$5)=1,1,IF(INDEX([1]Pivot!$B$1:$AB$65000,$B691,AP$5)="",2,0)),0)</f>
        <v>0</v>
      </c>
      <c r="AQ691" s="313">
        <f>IFERROR(IF(INDEX([1]Pivot!$BF$1:$CG$65000,$B691,AQ$5)=1,1,IF(INDEX([1]Pivot!$B$1:$AB$65000,$B691,AQ$5)="",2,0)),0)</f>
        <v>0</v>
      </c>
      <c r="AR691" s="313">
        <f>IFERROR(IF(INDEX([1]Pivot!$BF$1:$CG$65000,$B691,AR$5)=1,1,IF(INDEX([1]Pivot!$B$1:$AB$65000,$B691,AR$5)="",2,0)),0)</f>
        <v>0</v>
      </c>
      <c r="AS691" s="312"/>
      <c r="AT691" s="313">
        <f>IFERROR(IF(INDEX([1]Pivot!$BF$1:$CG$65000,$B691,AT$5)=1,1,IF(INDEX([1]Pivot!$B$1:$AB$65000,$B691,AT$5)="",2,0)),0)</f>
        <v>0</v>
      </c>
      <c r="AU691" s="313">
        <f>IFERROR(IF(INDEX([1]Pivot!$BF$1:$CG$65000,$B691,AU$5)=1,1,IF(INDEX([1]Pivot!$B$1:$AB$65000,$B691,AU$5)="",2,0)),0)</f>
        <v>0</v>
      </c>
      <c r="AV691" s="313">
        <f>IFERROR(IF(INDEX([1]Pivot!$BF$1:$CG$65000,$B691,AV$5)=1,1,IF(INDEX([1]Pivot!$B$1:$AB$65000,$B691,AV$5)="",2,0)),0)</f>
        <v>0</v>
      </c>
      <c r="AW691" s="313">
        <f>IFERROR(IF(INDEX([1]Pivot!$BF$1:$CG$65000,$B691,AW$5)=1,1,IF(INDEX([1]Pivot!$B$1:$AB$65000,$B691,AW$5)="",2,0)),0)</f>
        <v>0</v>
      </c>
      <c r="AX691" s="313">
        <f>IFERROR(IF(INDEX([1]Pivot!$BF$1:$CG$65000,$B691,AX$5)=1,1,IF(INDEX([1]Pivot!$B$1:$AB$65000,$B691,AX$5)="",2,0)),0)</f>
        <v>0</v>
      </c>
      <c r="AY691" s="313">
        <f>IFERROR(IF(INDEX([1]Pivot!$BF$1:$CG$65000,$B691,AY$5)=1,1,IF(INDEX([1]Pivot!$B$1:$AB$65000,$B691,AY$5)="",2,0)),0)</f>
        <v>0</v>
      </c>
      <c r="AZ691" s="313">
        <f>IFERROR(IF(INDEX([1]Pivot!$BF$1:$CG$65000,$B691,AZ$5)=1,1,IF(INDEX([1]Pivot!$B$1:$AB$65000,$B691,AZ$5)="",2,0)),0)</f>
        <v>0</v>
      </c>
      <c r="BA691" s="313">
        <f>IFERROR(IF(INDEX([1]Pivot!$BF$1:$CG$65000,$B691,BA$5)=1,1,IF(INDEX([1]Pivot!$B$1:$AB$65000,$B691,BA$5)="",2,0)),0)</f>
        <v>0</v>
      </c>
      <c r="BB691" s="313">
        <f>IFERROR(IF(INDEX([1]Pivot!$BF$1:$CG$65000,$B691,BB$5)=1,1,IF(INDEX([1]Pivot!$B$1:$AB$65000,$B691,BB$5)="",2,0)),0)</f>
        <v>0</v>
      </c>
      <c r="BC691" s="313">
        <f>IFERROR(IF(INDEX([1]Pivot!$BF$1:$CG$65000,$B691,BC$5)=1,1,IF(INDEX([1]Pivot!$B$1:$AB$65000,$B691,BC$5)="",2,0)),0)</f>
        <v>0</v>
      </c>
      <c r="BD691" s="313">
        <f>IFERROR(IF(INDEX([1]Pivot!$BF$1:$CG$65000,$B691,BD$5)=1,1,IF(INDEX([1]Pivot!$B$1:$AB$65000,$B691,BD$5)="",2,0)),0)</f>
        <v>0</v>
      </c>
    </row>
    <row r="692" spans="1:56" x14ac:dyDescent="0.25">
      <c r="A692" s="288">
        <f>'[2]Raw Milk Prices'!A692</f>
        <v>0</v>
      </c>
      <c r="B692" s="296" t="e">
        <f>MATCH(DATE(LEFT('[2]Raw Milk Prices'!$A692,4),RIGHT('[2]Raw Milk Prices'!$A692,2),1),[1]Pivot!$A$1:$A$65000,0)</f>
        <v>#VALUE!</v>
      </c>
      <c r="C692" s="194">
        <f>IFERROR(IF(INDEX([1]Pivot!$AD$1:$BE$65000,$B692,C$5)=1,1,IF(INDEX([1]Pivot!$B$1:$AB$65000,$B692,C$5)="",2,0)),0)</f>
        <v>0</v>
      </c>
      <c r="D692" s="194">
        <f>IFERROR(IF(INDEX([1]Pivot!$AD$1:$BE$65000,$B692,D$5)=1,1,IF(INDEX([1]Pivot!$B$1:$AB$65000,$B692,D$5)="",2,0)),0)</f>
        <v>0</v>
      </c>
      <c r="E692" s="194">
        <f>IFERROR(IF(INDEX([1]Pivot!$AD$1:$BE$65000,$B692,E$5)=1,1,IF(INDEX([1]Pivot!$B$1:$AB$65000,$B692,E$5)="",2,0)),0)</f>
        <v>0</v>
      </c>
      <c r="F692" s="194">
        <f>IFERROR(IF(INDEX([1]Pivot!$AD$1:$BE$65000,$B692,F$5)=1,1,IF(INDEX([1]Pivot!$B$1:$AB$65000,$B692,F$5)="",2,0)),0)</f>
        <v>0</v>
      </c>
      <c r="G692" s="194">
        <f>IFERROR(IF(INDEX([1]Pivot!$AD$1:$BE$65000,$B692,G$5)=1,1,IF(INDEX([1]Pivot!$B$1:$AB$65000,$B692,G$5)="",2,0)),0)</f>
        <v>0</v>
      </c>
      <c r="H692" s="194">
        <f>IFERROR(IF(INDEX([1]Pivot!$AD$1:$BE$65000,$B692,H$5)=1,1,IF(INDEX([1]Pivot!$B$1:$AB$65000,$B692,H$5)="",2,0)),0)</f>
        <v>0</v>
      </c>
      <c r="I692" s="194">
        <f>IFERROR(IF(INDEX([1]Pivot!$AD$1:$BE$65000,$B692,I$5)=1,1,IF(INDEX([1]Pivot!$B$1:$AB$65000,$B692,I$5)="",2,0)),0)</f>
        <v>0</v>
      </c>
      <c r="J692" s="194">
        <f>IFERROR(IF(INDEX([1]Pivot!$AD$1:$BE$65000,$B692,J$5)=1,1,IF(INDEX([1]Pivot!$B$1:$AB$65000,$B692,J$5)="",2,0)),0)</f>
        <v>0</v>
      </c>
      <c r="K692" s="194">
        <f>IFERROR(IF(INDEX([1]Pivot!$AD$1:$BE$65000,$B692,K$5)=1,1,IF(INDEX([1]Pivot!$B$1:$AB$65000,$B692,K$5)="",2,0)),0)</f>
        <v>0</v>
      </c>
      <c r="L692" s="194">
        <f>IFERROR(IF(INDEX([1]Pivot!$AD$1:$BE$65000,$B692,L$5)=1,1,IF(INDEX([1]Pivot!$B$1:$AB$65000,$B692,L$5)="",2,0)),0)</f>
        <v>0</v>
      </c>
      <c r="M692" s="194">
        <f>IFERROR(IF(INDEX([1]Pivot!$AD$1:$BE$65000,$B692,M$5)=1,1,IF(INDEX([1]Pivot!$B$1:$AB$65000,$B692,M$5)="",2,0)),0)</f>
        <v>0</v>
      </c>
      <c r="N692" s="194">
        <f>IFERROR(IF(INDEX([1]Pivot!$AD$1:$BE$65000,$B692,N$5)=1,1,IF(INDEX([1]Pivot!$B$1:$AB$65000,$B692,N$5)="",2,0)),0)</f>
        <v>0</v>
      </c>
      <c r="O692" s="194">
        <f>IFERROR(IF(INDEX([1]Pivot!$AD$1:$BE$65000,$B692,O$5)=1,1,IF(INDEX([1]Pivot!$B$1:$AB$65000,$B692,O$5)="",2,0)),0)</f>
        <v>0</v>
      </c>
      <c r="P692" s="194">
        <f>IFERROR(IF(INDEX([1]Pivot!$AD$1:$BE$65000,$B692,P$5)=1,1,IF(INDEX([1]Pivot!$B$1:$AB$65000,$B692,P$5)="",2,0)),0)</f>
        <v>0</v>
      </c>
      <c r="Q692" s="194">
        <f>IFERROR(IF(INDEX([1]Pivot!$AD$1:$BE$65000,$B692,Q$5)=1,1,IF(INDEX([1]Pivot!$B$1:$AB$65000,$B692,Q$5)="",2,0)),0)</f>
        <v>0</v>
      </c>
      <c r="R692" s="312"/>
      <c r="S692" s="194">
        <f>IFERROR(IF(INDEX([1]Pivot!$AD$1:$BE$65000,$B692,S$5)=1,1,IF(INDEX([1]Pivot!$B$1:$AB$65000,$B692,S$5)="",2,0)),0)</f>
        <v>0</v>
      </c>
      <c r="T692" s="194">
        <f>IFERROR(IF(INDEX([1]Pivot!$AD$1:$BE$65000,$B692,T$5)=1,1,IF(INDEX([1]Pivot!$B$1:$AB$65000,$B692,T$5)="",2,0)),0)</f>
        <v>0</v>
      </c>
      <c r="U692" s="194">
        <f>IFERROR(IF(INDEX([1]Pivot!$AD$1:$BE$65000,$B692,U$5)=1,1,IF(INDEX([1]Pivot!$B$1:$AB$65000,$B692,U$5)="",2,0)),0)</f>
        <v>0</v>
      </c>
      <c r="V692" s="194">
        <f>IFERROR(IF(INDEX([1]Pivot!$AD$1:$BE$65000,$B692,V$5)=1,1,IF(INDEX([1]Pivot!$B$1:$AB$65000,$B692,V$5)="",2,0)),0)</f>
        <v>0</v>
      </c>
      <c r="W692" s="194">
        <f>IFERROR(IF(INDEX([1]Pivot!$AD$1:$BE$65000,$B692,W$5)=1,1,IF(INDEX([1]Pivot!$B$1:$AB$65000,$B692,W$5)="",2,0)),0)</f>
        <v>0</v>
      </c>
      <c r="X692" s="194">
        <f>IFERROR(IF(INDEX([1]Pivot!$AD$1:$BE$65000,$B692,X$5)=1,1,IF(INDEX([1]Pivot!$B$1:$AB$65000,$B692,X$5)="",2,0)),0)</f>
        <v>0</v>
      </c>
      <c r="Y692" s="194">
        <f>IFERROR(IF(INDEX([1]Pivot!$AD$1:$BE$65000,$B692,Y$5)=1,1,IF(INDEX([1]Pivot!$B$1:$AB$65000,$B692,Y$5)="",2,0)),0)</f>
        <v>0</v>
      </c>
      <c r="Z692" s="194">
        <f>IFERROR(IF(INDEX([1]Pivot!$AD$1:$BE$65000,$B692,Z$5)=1,1,IF(INDEX([1]Pivot!$B$1:$AB$65000,$B692,Z$5)="",2,0)),0)</f>
        <v>0</v>
      </c>
      <c r="AA692" s="194">
        <f>IFERROR(IF(INDEX([1]Pivot!$AD$1:$BE$65000,$B692,AA$5)=1,1,IF(INDEX([1]Pivot!$B$1:$AB$65000,$B692,AA$5)="",2,0)),0)</f>
        <v>0</v>
      </c>
      <c r="AB692" s="194">
        <f>IFERROR(IF(INDEX([1]Pivot!$AD$1:$BE$65000,$B692,AB$5)=1,1,IF(INDEX([1]Pivot!$B$1:$AB$65000,$B692,AB$5)="",2,0)),0)</f>
        <v>0</v>
      </c>
      <c r="AC692" s="194">
        <f>IFERROR(IF(INDEX([1]Pivot!$AD$1:$BE$65000,$B692,AC$5)=1,1,IF(INDEX([1]Pivot!$B$1:$AB$65000,$B692,AC$5)="",2,0)),0)</f>
        <v>0</v>
      </c>
      <c r="AD692" s="313">
        <f>IFERROR(IF(INDEX([1]Pivot!$BF$1:$CG$65000,$B692,AD$5)=1,1,IF(INDEX([1]Pivot!$B$1:$AB$65000,$B692,AD$5)="",2,0)),0)</f>
        <v>0</v>
      </c>
      <c r="AE692" s="313">
        <f>IFERROR(IF(INDEX([1]Pivot!$BF$1:$CG$65000,$B692,AE$5)=1,1,IF(INDEX([1]Pivot!$B$1:$AB$65000,$B692,AE$5)="",2,0)),0)</f>
        <v>0</v>
      </c>
      <c r="AF692" s="313">
        <f>IFERROR(IF(INDEX([1]Pivot!$BF$1:$CG$65000,$B692,AF$5)=1,1,IF(INDEX([1]Pivot!$B$1:$AB$65000,$B692,AF$5)="",2,0)),0)</f>
        <v>0</v>
      </c>
      <c r="AG692" s="313">
        <f>IFERROR(IF(INDEX([1]Pivot!$BF$1:$CG$65000,$B692,AG$5)=1,1,IF(INDEX([1]Pivot!$B$1:$AB$65000,$B692,AG$5)="",2,0)),0)</f>
        <v>0</v>
      </c>
      <c r="AH692" s="313">
        <f>IFERROR(IF(INDEX([1]Pivot!$BF$1:$CG$65000,$B692,AH$5)=1,1,IF(INDEX([1]Pivot!$B$1:$AB$65000,$B692,AH$5)="",2,0)),0)</f>
        <v>0</v>
      </c>
      <c r="AI692" s="313">
        <f>IFERROR(IF(INDEX([1]Pivot!$BF$1:$CG$65000,$B692,AI$5)=1,1,IF(INDEX([1]Pivot!$B$1:$AB$65000,$B692,AI$5)="",2,0)),0)</f>
        <v>0</v>
      </c>
      <c r="AJ692" s="313">
        <f>IFERROR(IF(INDEX([1]Pivot!$BF$1:$CG$65000,$B692,AJ$5)=1,1,IF(INDEX([1]Pivot!$B$1:$AB$65000,$B692,AJ$5)="",2,0)),0)</f>
        <v>0</v>
      </c>
      <c r="AK692" s="313">
        <f>IFERROR(IF(INDEX([1]Pivot!$BF$1:$CG$65000,$B692,AK$5)=1,1,IF(INDEX([1]Pivot!$B$1:$AB$65000,$B692,AK$5)="",2,0)),0)</f>
        <v>0</v>
      </c>
      <c r="AL692" s="313">
        <f>IFERROR(IF(INDEX([1]Pivot!$BF$1:$CG$65000,$B692,AL$5)=1,1,IF(INDEX([1]Pivot!$B$1:$AB$65000,$B692,AL$5)="",2,0)),0)</f>
        <v>0</v>
      </c>
      <c r="AM692" s="313">
        <f>IFERROR(IF(INDEX([1]Pivot!$BF$1:$CG$65000,$B692,AM$5)=1,1,IF(INDEX([1]Pivot!$B$1:$AB$65000,$B692,AM$5)="",2,0)),0)</f>
        <v>0</v>
      </c>
      <c r="AN692" s="313">
        <f>IFERROR(IF(INDEX([1]Pivot!$BF$1:$CG$65000,$B692,AN$5)=1,1,IF(INDEX([1]Pivot!$B$1:$AB$65000,$B692,AN$5)="",2,0)),0)</f>
        <v>0</v>
      </c>
      <c r="AO692" s="313">
        <f>IFERROR(IF(INDEX([1]Pivot!$BF$1:$CG$65000,$B692,AO$5)=1,1,IF(INDEX([1]Pivot!$B$1:$AB$65000,$B692,AO$5)="",2,0)),0)</f>
        <v>0</v>
      </c>
      <c r="AP692" s="313">
        <f>IFERROR(IF(INDEX([1]Pivot!$BF$1:$CG$65000,$B692,AP$5)=1,1,IF(INDEX([1]Pivot!$B$1:$AB$65000,$B692,AP$5)="",2,0)),0)</f>
        <v>0</v>
      </c>
      <c r="AQ692" s="313">
        <f>IFERROR(IF(INDEX([1]Pivot!$BF$1:$CG$65000,$B692,AQ$5)=1,1,IF(INDEX([1]Pivot!$B$1:$AB$65000,$B692,AQ$5)="",2,0)),0)</f>
        <v>0</v>
      </c>
      <c r="AR692" s="313">
        <f>IFERROR(IF(INDEX([1]Pivot!$BF$1:$CG$65000,$B692,AR$5)=1,1,IF(INDEX([1]Pivot!$B$1:$AB$65000,$B692,AR$5)="",2,0)),0)</f>
        <v>0</v>
      </c>
      <c r="AS692" s="312"/>
      <c r="AT692" s="313">
        <f>IFERROR(IF(INDEX([1]Pivot!$BF$1:$CG$65000,$B692,AT$5)=1,1,IF(INDEX([1]Pivot!$B$1:$AB$65000,$B692,AT$5)="",2,0)),0)</f>
        <v>0</v>
      </c>
      <c r="AU692" s="313">
        <f>IFERROR(IF(INDEX([1]Pivot!$BF$1:$CG$65000,$B692,AU$5)=1,1,IF(INDEX([1]Pivot!$B$1:$AB$65000,$B692,AU$5)="",2,0)),0)</f>
        <v>0</v>
      </c>
      <c r="AV692" s="313">
        <f>IFERROR(IF(INDEX([1]Pivot!$BF$1:$CG$65000,$B692,AV$5)=1,1,IF(INDEX([1]Pivot!$B$1:$AB$65000,$B692,AV$5)="",2,0)),0)</f>
        <v>0</v>
      </c>
      <c r="AW692" s="313">
        <f>IFERROR(IF(INDEX([1]Pivot!$BF$1:$CG$65000,$B692,AW$5)=1,1,IF(INDEX([1]Pivot!$B$1:$AB$65000,$B692,AW$5)="",2,0)),0)</f>
        <v>0</v>
      </c>
      <c r="AX692" s="313">
        <f>IFERROR(IF(INDEX([1]Pivot!$BF$1:$CG$65000,$B692,AX$5)=1,1,IF(INDEX([1]Pivot!$B$1:$AB$65000,$B692,AX$5)="",2,0)),0)</f>
        <v>0</v>
      </c>
      <c r="AY692" s="313">
        <f>IFERROR(IF(INDEX([1]Pivot!$BF$1:$CG$65000,$B692,AY$5)=1,1,IF(INDEX([1]Pivot!$B$1:$AB$65000,$B692,AY$5)="",2,0)),0)</f>
        <v>0</v>
      </c>
      <c r="AZ692" s="313">
        <f>IFERROR(IF(INDEX([1]Pivot!$BF$1:$CG$65000,$B692,AZ$5)=1,1,IF(INDEX([1]Pivot!$B$1:$AB$65000,$B692,AZ$5)="",2,0)),0)</f>
        <v>0</v>
      </c>
      <c r="BA692" s="313">
        <f>IFERROR(IF(INDEX([1]Pivot!$BF$1:$CG$65000,$B692,BA$5)=1,1,IF(INDEX([1]Pivot!$B$1:$AB$65000,$B692,BA$5)="",2,0)),0)</f>
        <v>0</v>
      </c>
      <c r="BB692" s="313">
        <f>IFERROR(IF(INDEX([1]Pivot!$BF$1:$CG$65000,$B692,BB$5)=1,1,IF(INDEX([1]Pivot!$B$1:$AB$65000,$B692,BB$5)="",2,0)),0)</f>
        <v>0</v>
      </c>
      <c r="BC692" s="313">
        <f>IFERROR(IF(INDEX([1]Pivot!$BF$1:$CG$65000,$B692,BC$5)=1,1,IF(INDEX([1]Pivot!$B$1:$AB$65000,$B692,BC$5)="",2,0)),0)</f>
        <v>0</v>
      </c>
      <c r="BD692" s="313">
        <f>IFERROR(IF(INDEX([1]Pivot!$BF$1:$CG$65000,$B692,BD$5)=1,1,IF(INDEX([1]Pivot!$B$1:$AB$65000,$B692,BD$5)="",2,0)),0)</f>
        <v>0</v>
      </c>
    </row>
    <row r="693" spans="1:56" x14ac:dyDescent="0.25">
      <c r="A693" s="288">
        <f>'[2]Raw Milk Prices'!A693</f>
        <v>0</v>
      </c>
      <c r="B693" s="296" t="e">
        <f>MATCH(DATE(LEFT('[2]Raw Milk Prices'!$A693,4),RIGHT('[2]Raw Milk Prices'!$A693,2),1),[1]Pivot!$A$1:$A$65000,0)</f>
        <v>#VALUE!</v>
      </c>
      <c r="C693" s="194">
        <f>IFERROR(IF(INDEX([1]Pivot!$AD$1:$BE$65000,$B693,C$5)=1,1,IF(INDEX([1]Pivot!$B$1:$AB$65000,$B693,C$5)="",2,0)),0)</f>
        <v>0</v>
      </c>
      <c r="D693" s="194">
        <f>IFERROR(IF(INDEX([1]Pivot!$AD$1:$BE$65000,$B693,D$5)=1,1,IF(INDEX([1]Pivot!$B$1:$AB$65000,$B693,D$5)="",2,0)),0)</f>
        <v>0</v>
      </c>
      <c r="E693" s="194">
        <f>IFERROR(IF(INDEX([1]Pivot!$AD$1:$BE$65000,$B693,E$5)=1,1,IF(INDEX([1]Pivot!$B$1:$AB$65000,$B693,E$5)="",2,0)),0)</f>
        <v>0</v>
      </c>
      <c r="F693" s="194">
        <f>IFERROR(IF(INDEX([1]Pivot!$AD$1:$BE$65000,$B693,F$5)=1,1,IF(INDEX([1]Pivot!$B$1:$AB$65000,$B693,F$5)="",2,0)),0)</f>
        <v>0</v>
      </c>
      <c r="G693" s="194">
        <f>IFERROR(IF(INDEX([1]Pivot!$AD$1:$BE$65000,$B693,G$5)=1,1,IF(INDEX([1]Pivot!$B$1:$AB$65000,$B693,G$5)="",2,0)),0)</f>
        <v>0</v>
      </c>
      <c r="H693" s="194">
        <f>IFERROR(IF(INDEX([1]Pivot!$AD$1:$BE$65000,$B693,H$5)=1,1,IF(INDEX([1]Pivot!$B$1:$AB$65000,$B693,H$5)="",2,0)),0)</f>
        <v>0</v>
      </c>
      <c r="I693" s="194">
        <f>IFERROR(IF(INDEX([1]Pivot!$AD$1:$BE$65000,$B693,I$5)=1,1,IF(INDEX([1]Pivot!$B$1:$AB$65000,$B693,I$5)="",2,0)),0)</f>
        <v>0</v>
      </c>
      <c r="J693" s="194">
        <f>IFERROR(IF(INDEX([1]Pivot!$AD$1:$BE$65000,$B693,J$5)=1,1,IF(INDEX([1]Pivot!$B$1:$AB$65000,$B693,J$5)="",2,0)),0)</f>
        <v>0</v>
      </c>
      <c r="K693" s="194">
        <f>IFERROR(IF(INDEX([1]Pivot!$AD$1:$BE$65000,$B693,K$5)=1,1,IF(INDEX([1]Pivot!$B$1:$AB$65000,$B693,K$5)="",2,0)),0)</f>
        <v>0</v>
      </c>
      <c r="L693" s="194">
        <f>IFERROR(IF(INDEX([1]Pivot!$AD$1:$BE$65000,$B693,L$5)=1,1,IF(INDEX([1]Pivot!$B$1:$AB$65000,$B693,L$5)="",2,0)),0)</f>
        <v>0</v>
      </c>
      <c r="M693" s="194">
        <f>IFERROR(IF(INDEX([1]Pivot!$AD$1:$BE$65000,$B693,M$5)=1,1,IF(INDEX([1]Pivot!$B$1:$AB$65000,$B693,M$5)="",2,0)),0)</f>
        <v>0</v>
      </c>
      <c r="N693" s="194">
        <f>IFERROR(IF(INDEX([1]Pivot!$AD$1:$BE$65000,$B693,N$5)=1,1,IF(INDEX([1]Pivot!$B$1:$AB$65000,$B693,N$5)="",2,0)),0)</f>
        <v>0</v>
      </c>
      <c r="O693" s="194">
        <f>IFERROR(IF(INDEX([1]Pivot!$AD$1:$BE$65000,$B693,O$5)=1,1,IF(INDEX([1]Pivot!$B$1:$AB$65000,$B693,O$5)="",2,0)),0)</f>
        <v>0</v>
      </c>
      <c r="P693" s="194">
        <f>IFERROR(IF(INDEX([1]Pivot!$AD$1:$BE$65000,$B693,P$5)=1,1,IF(INDEX([1]Pivot!$B$1:$AB$65000,$B693,P$5)="",2,0)),0)</f>
        <v>0</v>
      </c>
      <c r="Q693" s="194">
        <f>IFERROR(IF(INDEX([1]Pivot!$AD$1:$BE$65000,$B693,Q$5)=1,1,IF(INDEX([1]Pivot!$B$1:$AB$65000,$B693,Q$5)="",2,0)),0)</f>
        <v>0</v>
      </c>
      <c r="R693" s="312"/>
      <c r="S693" s="194">
        <f>IFERROR(IF(INDEX([1]Pivot!$AD$1:$BE$65000,$B693,S$5)=1,1,IF(INDEX([1]Pivot!$B$1:$AB$65000,$B693,S$5)="",2,0)),0)</f>
        <v>0</v>
      </c>
      <c r="T693" s="194">
        <f>IFERROR(IF(INDEX([1]Pivot!$AD$1:$BE$65000,$B693,T$5)=1,1,IF(INDEX([1]Pivot!$B$1:$AB$65000,$B693,T$5)="",2,0)),0)</f>
        <v>0</v>
      </c>
      <c r="U693" s="194">
        <f>IFERROR(IF(INDEX([1]Pivot!$AD$1:$BE$65000,$B693,U$5)=1,1,IF(INDEX([1]Pivot!$B$1:$AB$65000,$B693,U$5)="",2,0)),0)</f>
        <v>0</v>
      </c>
      <c r="V693" s="194">
        <f>IFERROR(IF(INDEX([1]Pivot!$AD$1:$BE$65000,$B693,V$5)=1,1,IF(INDEX([1]Pivot!$B$1:$AB$65000,$B693,V$5)="",2,0)),0)</f>
        <v>0</v>
      </c>
      <c r="W693" s="194">
        <f>IFERROR(IF(INDEX([1]Pivot!$AD$1:$BE$65000,$B693,W$5)=1,1,IF(INDEX([1]Pivot!$B$1:$AB$65000,$B693,W$5)="",2,0)),0)</f>
        <v>0</v>
      </c>
      <c r="X693" s="194">
        <f>IFERROR(IF(INDEX([1]Pivot!$AD$1:$BE$65000,$B693,X$5)=1,1,IF(INDEX([1]Pivot!$B$1:$AB$65000,$B693,X$5)="",2,0)),0)</f>
        <v>0</v>
      </c>
      <c r="Y693" s="194">
        <f>IFERROR(IF(INDEX([1]Pivot!$AD$1:$BE$65000,$B693,Y$5)=1,1,IF(INDEX([1]Pivot!$B$1:$AB$65000,$B693,Y$5)="",2,0)),0)</f>
        <v>0</v>
      </c>
      <c r="Z693" s="194">
        <f>IFERROR(IF(INDEX([1]Pivot!$AD$1:$BE$65000,$B693,Z$5)=1,1,IF(INDEX([1]Pivot!$B$1:$AB$65000,$B693,Z$5)="",2,0)),0)</f>
        <v>0</v>
      </c>
      <c r="AA693" s="194">
        <f>IFERROR(IF(INDEX([1]Pivot!$AD$1:$BE$65000,$B693,AA$5)=1,1,IF(INDEX([1]Pivot!$B$1:$AB$65000,$B693,AA$5)="",2,0)),0)</f>
        <v>0</v>
      </c>
      <c r="AB693" s="194">
        <f>IFERROR(IF(INDEX([1]Pivot!$AD$1:$BE$65000,$B693,AB$5)=1,1,IF(INDEX([1]Pivot!$B$1:$AB$65000,$B693,AB$5)="",2,0)),0)</f>
        <v>0</v>
      </c>
      <c r="AC693" s="194">
        <f>IFERROR(IF(INDEX([1]Pivot!$AD$1:$BE$65000,$B693,AC$5)=1,1,IF(INDEX([1]Pivot!$B$1:$AB$65000,$B693,AC$5)="",2,0)),0)</f>
        <v>0</v>
      </c>
      <c r="AD693" s="313">
        <f>IFERROR(IF(INDEX([1]Pivot!$BF$1:$CG$65000,$B693,AD$5)=1,1,IF(INDEX([1]Pivot!$B$1:$AB$65000,$B693,AD$5)="",2,0)),0)</f>
        <v>0</v>
      </c>
      <c r="AE693" s="313">
        <f>IFERROR(IF(INDEX([1]Pivot!$BF$1:$CG$65000,$B693,AE$5)=1,1,IF(INDEX([1]Pivot!$B$1:$AB$65000,$B693,AE$5)="",2,0)),0)</f>
        <v>0</v>
      </c>
      <c r="AF693" s="313">
        <f>IFERROR(IF(INDEX([1]Pivot!$BF$1:$CG$65000,$B693,AF$5)=1,1,IF(INDEX([1]Pivot!$B$1:$AB$65000,$B693,AF$5)="",2,0)),0)</f>
        <v>0</v>
      </c>
      <c r="AG693" s="313">
        <f>IFERROR(IF(INDEX([1]Pivot!$BF$1:$CG$65000,$B693,AG$5)=1,1,IF(INDEX([1]Pivot!$B$1:$AB$65000,$B693,AG$5)="",2,0)),0)</f>
        <v>0</v>
      </c>
      <c r="AH693" s="313">
        <f>IFERROR(IF(INDEX([1]Pivot!$BF$1:$CG$65000,$B693,AH$5)=1,1,IF(INDEX([1]Pivot!$B$1:$AB$65000,$B693,AH$5)="",2,0)),0)</f>
        <v>0</v>
      </c>
      <c r="AI693" s="313">
        <f>IFERROR(IF(INDEX([1]Pivot!$BF$1:$CG$65000,$B693,AI$5)=1,1,IF(INDEX([1]Pivot!$B$1:$AB$65000,$B693,AI$5)="",2,0)),0)</f>
        <v>0</v>
      </c>
      <c r="AJ693" s="313">
        <f>IFERROR(IF(INDEX([1]Pivot!$BF$1:$CG$65000,$B693,AJ$5)=1,1,IF(INDEX([1]Pivot!$B$1:$AB$65000,$B693,AJ$5)="",2,0)),0)</f>
        <v>0</v>
      </c>
      <c r="AK693" s="313">
        <f>IFERROR(IF(INDEX([1]Pivot!$BF$1:$CG$65000,$B693,AK$5)=1,1,IF(INDEX([1]Pivot!$B$1:$AB$65000,$B693,AK$5)="",2,0)),0)</f>
        <v>0</v>
      </c>
      <c r="AL693" s="313">
        <f>IFERROR(IF(INDEX([1]Pivot!$BF$1:$CG$65000,$B693,AL$5)=1,1,IF(INDEX([1]Pivot!$B$1:$AB$65000,$B693,AL$5)="",2,0)),0)</f>
        <v>0</v>
      </c>
      <c r="AM693" s="313">
        <f>IFERROR(IF(INDEX([1]Pivot!$BF$1:$CG$65000,$B693,AM$5)=1,1,IF(INDEX([1]Pivot!$B$1:$AB$65000,$B693,AM$5)="",2,0)),0)</f>
        <v>0</v>
      </c>
      <c r="AN693" s="313">
        <f>IFERROR(IF(INDEX([1]Pivot!$BF$1:$CG$65000,$B693,AN$5)=1,1,IF(INDEX([1]Pivot!$B$1:$AB$65000,$B693,AN$5)="",2,0)),0)</f>
        <v>0</v>
      </c>
      <c r="AO693" s="313">
        <f>IFERROR(IF(INDEX([1]Pivot!$BF$1:$CG$65000,$B693,AO$5)=1,1,IF(INDEX([1]Pivot!$B$1:$AB$65000,$B693,AO$5)="",2,0)),0)</f>
        <v>0</v>
      </c>
      <c r="AP693" s="313">
        <f>IFERROR(IF(INDEX([1]Pivot!$BF$1:$CG$65000,$B693,AP$5)=1,1,IF(INDEX([1]Pivot!$B$1:$AB$65000,$B693,AP$5)="",2,0)),0)</f>
        <v>0</v>
      </c>
      <c r="AQ693" s="313">
        <f>IFERROR(IF(INDEX([1]Pivot!$BF$1:$CG$65000,$B693,AQ$5)=1,1,IF(INDEX([1]Pivot!$B$1:$AB$65000,$B693,AQ$5)="",2,0)),0)</f>
        <v>0</v>
      </c>
      <c r="AR693" s="313">
        <f>IFERROR(IF(INDEX([1]Pivot!$BF$1:$CG$65000,$B693,AR$5)=1,1,IF(INDEX([1]Pivot!$B$1:$AB$65000,$B693,AR$5)="",2,0)),0)</f>
        <v>0</v>
      </c>
      <c r="AS693" s="312"/>
      <c r="AT693" s="313">
        <f>IFERROR(IF(INDEX([1]Pivot!$BF$1:$CG$65000,$B693,AT$5)=1,1,IF(INDEX([1]Pivot!$B$1:$AB$65000,$B693,AT$5)="",2,0)),0)</f>
        <v>0</v>
      </c>
      <c r="AU693" s="313">
        <f>IFERROR(IF(INDEX([1]Pivot!$BF$1:$CG$65000,$B693,AU$5)=1,1,IF(INDEX([1]Pivot!$B$1:$AB$65000,$B693,AU$5)="",2,0)),0)</f>
        <v>0</v>
      </c>
      <c r="AV693" s="313">
        <f>IFERROR(IF(INDEX([1]Pivot!$BF$1:$CG$65000,$B693,AV$5)=1,1,IF(INDEX([1]Pivot!$B$1:$AB$65000,$B693,AV$5)="",2,0)),0)</f>
        <v>0</v>
      </c>
      <c r="AW693" s="313">
        <f>IFERROR(IF(INDEX([1]Pivot!$BF$1:$CG$65000,$B693,AW$5)=1,1,IF(INDEX([1]Pivot!$B$1:$AB$65000,$B693,AW$5)="",2,0)),0)</f>
        <v>0</v>
      </c>
      <c r="AX693" s="313">
        <f>IFERROR(IF(INDEX([1]Pivot!$BF$1:$CG$65000,$B693,AX$5)=1,1,IF(INDEX([1]Pivot!$B$1:$AB$65000,$B693,AX$5)="",2,0)),0)</f>
        <v>0</v>
      </c>
      <c r="AY693" s="313">
        <f>IFERROR(IF(INDEX([1]Pivot!$BF$1:$CG$65000,$B693,AY$5)=1,1,IF(INDEX([1]Pivot!$B$1:$AB$65000,$B693,AY$5)="",2,0)),0)</f>
        <v>0</v>
      </c>
      <c r="AZ693" s="313">
        <f>IFERROR(IF(INDEX([1]Pivot!$BF$1:$CG$65000,$B693,AZ$5)=1,1,IF(INDEX([1]Pivot!$B$1:$AB$65000,$B693,AZ$5)="",2,0)),0)</f>
        <v>0</v>
      </c>
      <c r="BA693" s="313">
        <f>IFERROR(IF(INDEX([1]Pivot!$BF$1:$CG$65000,$B693,BA$5)=1,1,IF(INDEX([1]Pivot!$B$1:$AB$65000,$B693,BA$5)="",2,0)),0)</f>
        <v>0</v>
      </c>
      <c r="BB693" s="313">
        <f>IFERROR(IF(INDEX([1]Pivot!$BF$1:$CG$65000,$B693,BB$5)=1,1,IF(INDEX([1]Pivot!$B$1:$AB$65000,$B693,BB$5)="",2,0)),0)</f>
        <v>0</v>
      </c>
      <c r="BC693" s="313">
        <f>IFERROR(IF(INDEX([1]Pivot!$BF$1:$CG$65000,$B693,BC$5)=1,1,IF(INDEX([1]Pivot!$B$1:$AB$65000,$B693,BC$5)="",2,0)),0)</f>
        <v>0</v>
      </c>
      <c r="BD693" s="313">
        <f>IFERROR(IF(INDEX([1]Pivot!$BF$1:$CG$65000,$B693,BD$5)=1,1,IF(INDEX([1]Pivot!$B$1:$AB$65000,$B693,BD$5)="",2,0)),0)</f>
        <v>0</v>
      </c>
    </row>
    <row r="694" spans="1:56" x14ac:dyDescent="0.25">
      <c r="A694" s="288">
        <f>'[2]Raw Milk Prices'!A694</f>
        <v>0</v>
      </c>
      <c r="B694" s="296" t="e">
        <f>MATCH(DATE(LEFT('[2]Raw Milk Prices'!$A694,4),RIGHT('[2]Raw Milk Prices'!$A694,2),1),[1]Pivot!$A$1:$A$65000,0)</f>
        <v>#VALUE!</v>
      </c>
      <c r="C694" s="194">
        <f>IFERROR(IF(INDEX([1]Pivot!$AD$1:$BE$65000,$B694,C$5)=1,1,IF(INDEX([1]Pivot!$B$1:$AB$65000,$B694,C$5)="",2,0)),0)</f>
        <v>0</v>
      </c>
      <c r="D694" s="194">
        <f>IFERROR(IF(INDEX([1]Pivot!$AD$1:$BE$65000,$B694,D$5)=1,1,IF(INDEX([1]Pivot!$B$1:$AB$65000,$B694,D$5)="",2,0)),0)</f>
        <v>0</v>
      </c>
      <c r="E694" s="194">
        <f>IFERROR(IF(INDEX([1]Pivot!$AD$1:$BE$65000,$B694,E$5)=1,1,IF(INDEX([1]Pivot!$B$1:$AB$65000,$B694,E$5)="",2,0)),0)</f>
        <v>0</v>
      </c>
      <c r="F694" s="194">
        <f>IFERROR(IF(INDEX([1]Pivot!$AD$1:$BE$65000,$B694,F$5)=1,1,IF(INDEX([1]Pivot!$B$1:$AB$65000,$B694,F$5)="",2,0)),0)</f>
        <v>0</v>
      </c>
      <c r="G694" s="194">
        <f>IFERROR(IF(INDEX([1]Pivot!$AD$1:$BE$65000,$B694,G$5)=1,1,IF(INDEX([1]Pivot!$B$1:$AB$65000,$B694,G$5)="",2,0)),0)</f>
        <v>0</v>
      </c>
      <c r="H694" s="194">
        <f>IFERROR(IF(INDEX([1]Pivot!$AD$1:$BE$65000,$B694,H$5)=1,1,IF(INDEX([1]Pivot!$B$1:$AB$65000,$B694,H$5)="",2,0)),0)</f>
        <v>0</v>
      </c>
      <c r="I694" s="194">
        <f>IFERROR(IF(INDEX([1]Pivot!$AD$1:$BE$65000,$B694,I$5)=1,1,IF(INDEX([1]Pivot!$B$1:$AB$65000,$B694,I$5)="",2,0)),0)</f>
        <v>0</v>
      </c>
      <c r="J694" s="194">
        <f>IFERROR(IF(INDEX([1]Pivot!$AD$1:$BE$65000,$B694,J$5)=1,1,IF(INDEX([1]Pivot!$B$1:$AB$65000,$B694,J$5)="",2,0)),0)</f>
        <v>0</v>
      </c>
      <c r="K694" s="194">
        <f>IFERROR(IF(INDEX([1]Pivot!$AD$1:$BE$65000,$B694,K$5)=1,1,IF(INDEX([1]Pivot!$B$1:$AB$65000,$B694,K$5)="",2,0)),0)</f>
        <v>0</v>
      </c>
      <c r="L694" s="194">
        <f>IFERROR(IF(INDEX([1]Pivot!$AD$1:$BE$65000,$B694,L$5)=1,1,IF(INDEX([1]Pivot!$B$1:$AB$65000,$B694,L$5)="",2,0)),0)</f>
        <v>0</v>
      </c>
      <c r="M694" s="194">
        <f>IFERROR(IF(INDEX([1]Pivot!$AD$1:$BE$65000,$B694,M$5)=1,1,IF(INDEX([1]Pivot!$B$1:$AB$65000,$B694,M$5)="",2,0)),0)</f>
        <v>0</v>
      </c>
      <c r="N694" s="194">
        <f>IFERROR(IF(INDEX([1]Pivot!$AD$1:$BE$65000,$B694,N$5)=1,1,IF(INDEX([1]Pivot!$B$1:$AB$65000,$B694,N$5)="",2,0)),0)</f>
        <v>0</v>
      </c>
      <c r="O694" s="194">
        <f>IFERROR(IF(INDEX([1]Pivot!$AD$1:$BE$65000,$B694,O$5)=1,1,IF(INDEX([1]Pivot!$B$1:$AB$65000,$B694,O$5)="",2,0)),0)</f>
        <v>0</v>
      </c>
      <c r="P694" s="194">
        <f>IFERROR(IF(INDEX([1]Pivot!$AD$1:$BE$65000,$B694,P$5)=1,1,IF(INDEX([1]Pivot!$B$1:$AB$65000,$B694,P$5)="",2,0)),0)</f>
        <v>0</v>
      </c>
      <c r="Q694" s="194">
        <f>IFERROR(IF(INDEX([1]Pivot!$AD$1:$BE$65000,$B694,Q$5)=1,1,IF(INDEX([1]Pivot!$B$1:$AB$65000,$B694,Q$5)="",2,0)),0)</f>
        <v>0</v>
      </c>
      <c r="R694" s="312"/>
      <c r="S694" s="194">
        <f>IFERROR(IF(INDEX([1]Pivot!$AD$1:$BE$65000,$B694,S$5)=1,1,IF(INDEX([1]Pivot!$B$1:$AB$65000,$B694,S$5)="",2,0)),0)</f>
        <v>0</v>
      </c>
      <c r="T694" s="194">
        <f>IFERROR(IF(INDEX([1]Pivot!$AD$1:$BE$65000,$B694,T$5)=1,1,IF(INDEX([1]Pivot!$B$1:$AB$65000,$B694,T$5)="",2,0)),0)</f>
        <v>0</v>
      </c>
      <c r="U694" s="194">
        <f>IFERROR(IF(INDEX([1]Pivot!$AD$1:$BE$65000,$B694,U$5)=1,1,IF(INDEX([1]Pivot!$B$1:$AB$65000,$B694,U$5)="",2,0)),0)</f>
        <v>0</v>
      </c>
      <c r="V694" s="194">
        <f>IFERROR(IF(INDEX([1]Pivot!$AD$1:$BE$65000,$B694,V$5)=1,1,IF(INDEX([1]Pivot!$B$1:$AB$65000,$B694,V$5)="",2,0)),0)</f>
        <v>0</v>
      </c>
      <c r="W694" s="194">
        <f>IFERROR(IF(INDEX([1]Pivot!$AD$1:$BE$65000,$B694,W$5)=1,1,IF(INDEX([1]Pivot!$B$1:$AB$65000,$B694,W$5)="",2,0)),0)</f>
        <v>0</v>
      </c>
      <c r="X694" s="194">
        <f>IFERROR(IF(INDEX([1]Pivot!$AD$1:$BE$65000,$B694,X$5)=1,1,IF(INDEX([1]Pivot!$B$1:$AB$65000,$B694,X$5)="",2,0)),0)</f>
        <v>0</v>
      </c>
      <c r="Y694" s="194">
        <f>IFERROR(IF(INDEX([1]Pivot!$AD$1:$BE$65000,$B694,Y$5)=1,1,IF(INDEX([1]Pivot!$B$1:$AB$65000,$B694,Y$5)="",2,0)),0)</f>
        <v>0</v>
      </c>
      <c r="Z694" s="194">
        <f>IFERROR(IF(INDEX([1]Pivot!$AD$1:$BE$65000,$B694,Z$5)=1,1,IF(INDEX([1]Pivot!$B$1:$AB$65000,$B694,Z$5)="",2,0)),0)</f>
        <v>0</v>
      </c>
      <c r="AA694" s="194">
        <f>IFERROR(IF(INDEX([1]Pivot!$AD$1:$BE$65000,$B694,AA$5)=1,1,IF(INDEX([1]Pivot!$B$1:$AB$65000,$B694,AA$5)="",2,0)),0)</f>
        <v>0</v>
      </c>
      <c r="AB694" s="194">
        <f>IFERROR(IF(INDEX([1]Pivot!$AD$1:$BE$65000,$B694,AB$5)=1,1,IF(INDEX([1]Pivot!$B$1:$AB$65000,$B694,AB$5)="",2,0)),0)</f>
        <v>0</v>
      </c>
      <c r="AC694" s="194">
        <f>IFERROR(IF(INDEX([1]Pivot!$AD$1:$BE$65000,$B694,AC$5)=1,1,IF(INDEX([1]Pivot!$B$1:$AB$65000,$B694,AC$5)="",2,0)),0)</f>
        <v>0</v>
      </c>
      <c r="AD694" s="313">
        <f>IFERROR(IF(INDEX([1]Pivot!$BF$1:$CG$65000,$B694,AD$5)=1,1,IF(INDEX([1]Pivot!$B$1:$AB$65000,$B694,AD$5)="",2,0)),0)</f>
        <v>0</v>
      </c>
      <c r="AE694" s="313">
        <f>IFERROR(IF(INDEX([1]Pivot!$BF$1:$CG$65000,$B694,AE$5)=1,1,IF(INDEX([1]Pivot!$B$1:$AB$65000,$B694,AE$5)="",2,0)),0)</f>
        <v>0</v>
      </c>
      <c r="AF694" s="313">
        <f>IFERROR(IF(INDEX([1]Pivot!$BF$1:$CG$65000,$B694,AF$5)=1,1,IF(INDEX([1]Pivot!$B$1:$AB$65000,$B694,AF$5)="",2,0)),0)</f>
        <v>0</v>
      </c>
      <c r="AG694" s="313">
        <f>IFERROR(IF(INDEX([1]Pivot!$BF$1:$CG$65000,$B694,AG$5)=1,1,IF(INDEX([1]Pivot!$B$1:$AB$65000,$B694,AG$5)="",2,0)),0)</f>
        <v>0</v>
      </c>
      <c r="AH694" s="313">
        <f>IFERROR(IF(INDEX([1]Pivot!$BF$1:$CG$65000,$B694,AH$5)=1,1,IF(INDEX([1]Pivot!$B$1:$AB$65000,$B694,AH$5)="",2,0)),0)</f>
        <v>0</v>
      </c>
      <c r="AI694" s="313">
        <f>IFERROR(IF(INDEX([1]Pivot!$BF$1:$CG$65000,$B694,AI$5)=1,1,IF(INDEX([1]Pivot!$B$1:$AB$65000,$B694,AI$5)="",2,0)),0)</f>
        <v>0</v>
      </c>
      <c r="AJ694" s="313">
        <f>IFERROR(IF(INDEX([1]Pivot!$BF$1:$CG$65000,$B694,AJ$5)=1,1,IF(INDEX([1]Pivot!$B$1:$AB$65000,$B694,AJ$5)="",2,0)),0)</f>
        <v>0</v>
      </c>
      <c r="AK694" s="313">
        <f>IFERROR(IF(INDEX([1]Pivot!$BF$1:$CG$65000,$B694,AK$5)=1,1,IF(INDEX([1]Pivot!$B$1:$AB$65000,$B694,AK$5)="",2,0)),0)</f>
        <v>0</v>
      </c>
      <c r="AL694" s="313">
        <f>IFERROR(IF(INDEX([1]Pivot!$BF$1:$CG$65000,$B694,AL$5)=1,1,IF(INDEX([1]Pivot!$B$1:$AB$65000,$B694,AL$5)="",2,0)),0)</f>
        <v>0</v>
      </c>
      <c r="AM694" s="313">
        <f>IFERROR(IF(INDEX([1]Pivot!$BF$1:$CG$65000,$B694,AM$5)=1,1,IF(INDEX([1]Pivot!$B$1:$AB$65000,$B694,AM$5)="",2,0)),0)</f>
        <v>0</v>
      </c>
      <c r="AN694" s="313">
        <f>IFERROR(IF(INDEX([1]Pivot!$BF$1:$CG$65000,$B694,AN$5)=1,1,IF(INDEX([1]Pivot!$B$1:$AB$65000,$B694,AN$5)="",2,0)),0)</f>
        <v>0</v>
      </c>
      <c r="AO694" s="313">
        <f>IFERROR(IF(INDEX([1]Pivot!$BF$1:$CG$65000,$B694,AO$5)=1,1,IF(INDEX([1]Pivot!$B$1:$AB$65000,$B694,AO$5)="",2,0)),0)</f>
        <v>0</v>
      </c>
      <c r="AP694" s="313">
        <f>IFERROR(IF(INDEX([1]Pivot!$BF$1:$CG$65000,$B694,AP$5)=1,1,IF(INDEX([1]Pivot!$B$1:$AB$65000,$B694,AP$5)="",2,0)),0)</f>
        <v>0</v>
      </c>
      <c r="AQ694" s="313">
        <f>IFERROR(IF(INDEX([1]Pivot!$BF$1:$CG$65000,$B694,AQ$5)=1,1,IF(INDEX([1]Pivot!$B$1:$AB$65000,$B694,AQ$5)="",2,0)),0)</f>
        <v>0</v>
      </c>
      <c r="AR694" s="313">
        <f>IFERROR(IF(INDEX([1]Pivot!$BF$1:$CG$65000,$B694,AR$5)=1,1,IF(INDEX([1]Pivot!$B$1:$AB$65000,$B694,AR$5)="",2,0)),0)</f>
        <v>0</v>
      </c>
      <c r="AS694" s="312"/>
      <c r="AT694" s="313">
        <f>IFERROR(IF(INDEX([1]Pivot!$BF$1:$CG$65000,$B694,AT$5)=1,1,IF(INDEX([1]Pivot!$B$1:$AB$65000,$B694,AT$5)="",2,0)),0)</f>
        <v>0</v>
      </c>
      <c r="AU694" s="313">
        <f>IFERROR(IF(INDEX([1]Pivot!$BF$1:$CG$65000,$B694,AU$5)=1,1,IF(INDEX([1]Pivot!$B$1:$AB$65000,$B694,AU$5)="",2,0)),0)</f>
        <v>0</v>
      </c>
      <c r="AV694" s="313">
        <f>IFERROR(IF(INDEX([1]Pivot!$BF$1:$CG$65000,$B694,AV$5)=1,1,IF(INDEX([1]Pivot!$B$1:$AB$65000,$B694,AV$5)="",2,0)),0)</f>
        <v>0</v>
      </c>
      <c r="AW694" s="313">
        <f>IFERROR(IF(INDEX([1]Pivot!$BF$1:$CG$65000,$B694,AW$5)=1,1,IF(INDEX([1]Pivot!$B$1:$AB$65000,$B694,AW$5)="",2,0)),0)</f>
        <v>0</v>
      </c>
      <c r="AX694" s="313">
        <f>IFERROR(IF(INDEX([1]Pivot!$BF$1:$CG$65000,$B694,AX$5)=1,1,IF(INDEX([1]Pivot!$B$1:$AB$65000,$B694,AX$5)="",2,0)),0)</f>
        <v>0</v>
      </c>
      <c r="AY694" s="313">
        <f>IFERROR(IF(INDEX([1]Pivot!$BF$1:$CG$65000,$B694,AY$5)=1,1,IF(INDEX([1]Pivot!$B$1:$AB$65000,$B694,AY$5)="",2,0)),0)</f>
        <v>0</v>
      </c>
      <c r="AZ694" s="313">
        <f>IFERROR(IF(INDEX([1]Pivot!$BF$1:$CG$65000,$B694,AZ$5)=1,1,IF(INDEX([1]Pivot!$B$1:$AB$65000,$B694,AZ$5)="",2,0)),0)</f>
        <v>0</v>
      </c>
      <c r="BA694" s="313">
        <f>IFERROR(IF(INDEX([1]Pivot!$BF$1:$CG$65000,$B694,BA$5)=1,1,IF(INDEX([1]Pivot!$B$1:$AB$65000,$B694,BA$5)="",2,0)),0)</f>
        <v>0</v>
      </c>
      <c r="BB694" s="313">
        <f>IFERROR(IF(INDEX([1]Pivot!$BF$1:$CG$65000,$B694,BB$5)=1,1,IF(INDEX([1]Pivot!$B$1:$AB$65000,$B694,BB$5)="",2,0)),0)</f>
        <v>0</v>
      </c>
      <c r="BC694" s="313">
        <f>IFERROR(IF(INDEX([1]Pivot!$BF$1:$CG$65000,$B694,BC$5)=1,1,IF(INDEX([1]Pivot!$B$1:$AB$65000,$B694,BC$5)="",2,0)),0)</f>
        <v>0</v>
      </c>
      <c r="BD694" s="313">
        <f>IFERROR(IF(INDEX([1]Pivot!$BF$1:$CG$65000,$B694,BD$5)=1,1,IF(INDEX([1]Pivot!$B$1:$AB$65000,$B694,BD$5)="",2,0)),0)</f>
        <v>0</v>
      </c>
    </row>
    <row r="695" spans="1:56" x14ac:dyDescent="0.25">
      <c r="A695" s="288">
        <f>'[2]Raw Milk Prices'!A695</f>
        <v>0</v>
      </c>
      <c r="B695" s="296" t="e">
        <f>MATCH(DATE(LEFT('[2]Raw Milk Prices'!$A695,4),RIGHT('[2]Raw Milk Prices'!$A695,2),1),[1]Pivot!$A$1:$A$65000,0)</f>
        <v>#VALUE!</v>
      </c>
      <c r="C695" s="194">
        <f>IFERROR(IF(INDEX([1]Pivot!$AD$1:$BE$65000,$B695,C$5)=1,1,IF(INDEX([1]Pivot!$B$1:$AB$65000,$B695,C$5)="",2,0)),0)</f>
        <v>0</v>
      </c>
      <c r="D695" s="194">
        <f>IFERROR(IF(INDEX([1]Pivot!$AD$1:$BE$65000,$B695,D$5)=1,1,IF(INDEX([1]Pivot!$B$1:$AB$65000,$B695,D$5)="",2,0)),0)</f>
        <v>0</v>
      </c>
      <c r="E695" s="194">
        <f>IFERROR(IF(INDEX([1]Pivot!$AD$1:$BE$65000,$B695,E$5)=1,1,IF(INDEX([1]Pivot!$B$1:$AB$65000,$B695,E$5)="",2,0)),0)</f>
        <v>0</v>
      </c>
      <c r="F695" s="194">
        <f>IFERROR(IF(INDEX([1]Pivot!$AD$1:$BE$65000,$B695,F$5)=1,1,IF(INDEX([1]Pivot!$B$1:$AB$65000,$B695,F$5)="",2,0)),0)</f>
        <v>0</v>
      </c>
      <c r="G695" s="194">
        <f>IFERROR(IF(INDEX([1]Pivot!$AD$1:$BE$65000,$B695,G$5)=1,1,IF(INDEX([1]Pivot!$B$1:$AB$65000,$B695,G$5)="",2,0)),0)</f>
        <v>0</v>
      </c>
      <c r="H695" s="194">
        <f>IFERROR(IF(INDEX([1]Pivot!$AD$1:$BE$65000,$B695,H$5)=1,1,IF(INDEX([1]Pivot!$B$1:$AB$65000,$B695,H$5)="",2,0)),0)</f>
        <v>0</v>
      </c>
      <c r="I695" s="194">
        <f>IFERROR(IF(INDEX([1]Pivot!$AD$1:$BE$65000,$B695,I$5)=1,1,IF(INDEX([1]Pivot!$B$1:$AB$65000,$B695,I$5)="",2,0)),0)</f>
        <v>0</v>
      </c>
      <c r="J695" s="194">
        <f>IFERROR(IF(INDEX([1]Pivot!$AD$1:$BE$65000,$B695,J$5)=1,1,IF(INDEX([1]Pivot!$B$1:$AB$65000,$B695,J$5)="",2,0)),0)</f>
        <v>0</v>
      </c>
      <c r="K695" s="194">
        <f>IFERROR(IF(INDEX([1]Pivot!$AD$1:$BE$65000,$B695,K$5)=1,1,IF(INDEX([1]Pivot!$B$1:$AB$65000,$B695,K$5)="",2,0)),0)</f>
        <v>0</v>
      </c>
      <c r="L695" s="194">
        <f>IFERROR(IF(INDEX([1]Pivot!$AD$1:$BE$65000,$B695,L$5)=1,1,IF(INDEX([1]Pivot!$B$1:$AB$65000,$B695,L$5)="",2,0)),0)</f>
        <v>0</v>
      </c>
      <c r="M695" s="194">
        <f>IFERROR(IF(INDEX([1]Pivot!$AD$1:$BE$65000,$B695,M$5)=1,1,IF(INDEX([1]Pivot!$B$1:$AB$65000,$B695,M$5)="",2,0)),0)</f>
        <v>0</v>
      </c>
      <c r="N695" s="194">
        <f>IFERROR(IF(INDEX([1]Pivot!$AD$1:$BE$65000,$B695,N$5)=1,1,IF(INDEX([1]Pivot!$B$1:$AB$65000,$B695,N$5)="",2,0)),0)</f>
        <v>0</v>
      </c>
      <c r="O695" s="194">
        <f>IFERROR(IF(INDEX([1]Pivot!$AD$1:$BE$65000,$B695,O$5)=1,1,IF(INDEX([1]Pivot!$B$1:$AB$65000,$B695,O$5)="",2,0)),0)</f>
        <v>0</v>
      </c>
      <c r="P695" s="194">
        <f>IFERROR(IF(INDEX([1]Pivot!$AD$1:$BE$65000,$B695,P$5)=1,1,IF(INDEX([1]Pivot!$B$1:$AB$65000,$B695,P$5)="",2,0)),0)</f>
        <v>0</v>
      </c>
      <c r="Q695" s="194">
        <f>IFERROR(IF(INDEX([1]Pivot!$AD$1:$BE$65000,$B695,Q$5)=1,1,IF(INDEX([1]Pivot!$B$1:$AB$65000,$B695,Q$5)="",2,0)),0)</f>
        <v>0</v>
      </c>
      <c r="R695" s="312"/>
      <c r="S695" s="194">
        <f>IFERROR(IF(INDEX([1]Pivot!$AD$1:$BE$65000,$B695,S$5)=1,1,IF(INDEX([1]Pivot!$B$1:$AB$65000,$B695,S$5)="",2,0)),0)</f>
        <v>0</v>
      </c>
      <c r="T695" s="194">
        <f>IFERROR(IF(INDEX([1]Pivot!$AD$1:$BE$65000,$B695,T$5)=1,1,IF(INDEX([1]Pivot!$B$1:$AB$65000,$B695,T$5)="",2,0)),0)</f>
        <v>0</v>
      </c>
      <c r="U695" s="194">
        <f>IFERROR(IF(INDEX([1]Pivot!$AD$1:$BE$65000,$B695,U$5)=1,1,IF(INDEX([1]Pivot!$B$1:$AB$65000,$B695,U$5)="",2,0)),0)</f>
        <v>0</v>
      </c>
      <c r="V695" s="194">
        <f>IFERROR(IF(INDEX([1]Pivot!$AD$1:$BE$65000,$B695,V$5)=1,1,IF(INDEX([1]Pivot!$B$1:$AB$65000,$B695,V$5)="",2,0)),0)</f>
        <v>0</v>
      </c>
      <c r="W695" s="194">
        <f>IFERROR(IF(INDEX([1]Pivot!$AD$1:$BE$65000,$B695,W$5)=1,1,IF(INDEX([1]Pivot!$B$1:$AB$65000,$B695,W$5)="",2,0)),0)</f>
        <v>0</v>
      </c>
      <c r="X695" s="194">
        <f>IFERROR(IF(INDEX([1]Pivot!$AD$1:$BE$65000,$B695,X$5)=1,1,IF(INDEX([1]Pivot!$B$1:$AB$65000,$B695,X$5)="",2,0)),0)</f>
        <v>0</v>
      </c>
      <c r="Y695" s="194">
        <f>IFERROR(IF(INDEX([1]Pivot!$AD$1:$BE$65000,$B695,Y$5)=1,1,IF(INDEX([1]Pivot!$B$1:$AB$65000,$B695,Y$5)="",2,0)),0)</f>
        <v>0</v>
      </c>
      <c r="Z695" s="194">
        <f>IFERROR(IF(INDEX([1]Pivot!$AD$1:$BE$65000,$B695,Z$5)=1,1,IF(INDEX([1]Pivot!$B$1:$AB$65000,$B695,Z$5)="",2,0)),0)</f>
        <v>0</v>
      </c>
      <c r="AA695" s="194">
        <f>IFERROR(IF(INDEX([1]Pivot!$AD$1:$BE$65000,$B695,AA$5)=1,1,IF(INDEX([1]Pivot!$B$1:$AB$65000,$B695,AA$5)="",2,0)),0)</f>
        <v>0</v>
      </c>
      <c r="AB695" s="194">
        <f>IFERROR(IF(INDEX([1]Pivot!$AD$1:$BE$65000,$B695,AB$5)=1,1,IF(INDEX([1]Pivot!$B$1:$AB$65000,$B695,AB$5)="",2,0)),0)</f>
        <v>0</v>
      </c>
      <c r="AC695" s="194">
        <f>IFERROR(IF(INDEX([1]Pivot!$AD$1:$BE$65000,$B695,AC$5)=1,1,IF(INDEX([1]Pivot!$B$1:$AB$65000,$B695,AC$5)="",2,0)),0)</f>
        <v>0</v>
      </c>
      <c r="AD695" s="313">
        <f>IFERROR(IF(INDEX([1]Pivot!$BF$1:$CG$65000,$B695,AD$5)=1,1,IF(INDEX([1]Pivot!$B$1:$AB$65000,$B695,AD$5)="",2,0)),0)</f>
        <v>0</v>
      </c>
      <c r="AE695" s="313">
        <f>IFERROR(IF(INDEX([1]Pivot!$BF$1:$CG$65000,$B695,AE$5)=1,1,IF(INDEX([1]Pivot!$B$1:$AB$65000,$B695,AE$5)="",2,0)),0)</f>
        <v>0</v>
      </c>
      <c r="AF695" s="313">
        <f>IFERROR(IF(INDEX([1]Pivot!$BF$1:$CG$65000,$B695,AF$5)=1,1,IF(INDEX([1]Pivot!$B$1:$AB$65000,$B695,AF$5)="",2,0)),0)</f>
        <v>0</v>
      </c>
      <c r="AG695" s="313">
        <f>IFERROR(IF(INDEX([1]Pivot!$BF$1:$CG$65000,$B695,AG$5)=1,1,IF(INDEX([1]Pivot!$B$1:$AB$65000,$B695,AG$5)="",2,0)),0)</f>
        <v>0</v>
      </c>
      <c r="AH695" s="313">
        <f>IFERROR(IF(INDEX([1]Pivot!$BF$1:$CG$65000,$B695,AH$5)=1,1,IF(INDEX([1]Pivot!$B$1:$AB$65000,$B695,AH$5)="",2,0)),0)</f>
        <v>0</v>
      </c>
      <c r="AI695" s="313">
        <f>IFERROR(IF(INDEX([1]Pivot!$BF$1:$CG$65000,$B695,AI$5)=1,1,IF(INDEX([1]Pivot!$B$1:$AB$65000,$B695,AI$5)="",2,0)),0)</f>
        <v>0</v>
      </c>
      <c r="AJ695" s="313">
        <f>IFERROR(IF(INDEX([1]Pivot!$BF$1:$CG$65000,$B695,AJ$5)=1,1,IF(INDEX([1]Pivot!$B$1:$AB$65000,$B695,AJ$5)="",2,0)),0)</f>
        <v>0</v>
      </c>
      <c r="AK695" s="313">
        <f>IFERROR(IF(INDEX([1]Pivot!$BF$1:$CG$65000,$B695,AK$5)=1,1,IF(INDEX([1]Pivot!$B$1:$AB$65000,$B695,AK$5)="",2,0)),0)</f>
        <v>0</v>
      </c>
      <c r="AL695" s="313">
        <f>IFERROR(IF(INDEX([1]Pivot!$BF$1:$CG$65000,$B695,AL$5)=1,1,IF(INDEX([1]Pivot!$B$1:$AB$65000,$B695,AL$5)="",2,0)),0)</f>
        <v>0</v>
      </c>
      <c r="AM695" s="313">
        <f>IFERROR(IF(INDEX([1]Pivot!$BF$1:$CG$65000,$B695,AM$5)=1,1,IF(INDEX([1]Pivot!$B$1:$AB$65000,$B695,AM$5)="",2,0)),0)</f>
        <v>0</v>
      </c>
      <c r="AN695" s="313">
        <f>IFERROR(IF(INDEX([1]Pivot!$BF$1:$CG$65000,$B695,AN$5)=1,1,IF(INDEX([1]Pivot!$B$1:$AB$65000,$B695,AN$5)="",2,0)),0)</f>
        <v>0</v>
      </c>
      <c r="AO695" s="313">
        <f>IFERROR(IF(INDEX([1]Pivot!$BF$1:$CG$65000,$B695,AO$5)=1,1,IF(INDEX([1]Pivot!$B$1:$AB$65000,$B695,AO$5)="",2,0)),0)</f>
        <v>0</v>
      </c>
      <c r="AP695" s="313">
        <f>IFERROR(IF(INDEX([1]Pivot!$BF$1:$CG$65000,$B695,AP$5)=1,1,IF(INDEX([1]Pivot!$B$1:$AB$65000,$B695,AP$5)="",2,0)),0)</f>
        <v>0</v>
      </c>
      <c r="AQ695" s="313">
        <f>IFERROR(IF(INDEX([1]Pivot!$BF$1:$CG$65000,$B695,AQ$5)=1,1,IF(INDEX([1]Pivot!$B$1:$AB$65000,$B695,AQ$5)="",2,0)),0)</f>
        <v>0</v>
      </c>
      <c r="AR695" s="313">
        <f>IFERROR(IF(INDEX([1]Pivot!$BF$1:$CG$65000,$B695,AR$5)=1,1,IF(INDEX([1]Pivot!$B$1:$AB$65000,$B695,AR$5)="",2,0)),0)</f>
        <v>0</v>
      </c>
      <c r="AS695" s="312"/>
      <c r="AT695" s="313">
        <f>IFERROR(IF(INDEX([1]Pivot!$BF$1:$CG$65000,$B695,AT$5)=1,1,IF(INDEX([1]Pivot!$B$1:$AB$65000,$B695,AT$5)="",2,0)),0)</f>
        <v>0</v>
      </c>
      <c r="AU695" s="313">
        <f>IFERROR(IF(INDEX([1]Pivot!$BF$1:$CG$65000,$B695,AU$5)=1,1,IF(INDEX([1]Pivot!$B$1:$AB$65000,$B695,AU$5)="",2,0)),0)</f>
        <v>0</v>
      </c>
      <c r="AV695" s="313">
        <f>IFERROR(IF(INDEX([1]Pivot!$BF$1:$CG$65000,$B695,AV$5)=1,1,IF(INDEX([1]Pivot!$B$1:$AB$65000,$B695,AV$5)="",2,0)),0)</f>
        <v>0</v>
      </c>
      <c r="AW695" s="313">
        <f>IFERROR(IF(INDEX([1]Pivot!$BF$1:$CG$65000,$B695,AW$5)=1,1,IF(INDEX([1]Pivot!$B$1:$AB$65000,$B695,AW$5)="",2,0)),0)</f>
        <v>0</v>
      </c>
      <c r="AX695" s="313">
        <f>IFERROR(IF(INDEX([1]Pivot!$BF$1:$CG$65000,$B695,AX$5)=1,1,IF(INDEX([1]Pivot!$B$1:$AB$65000,$B695,AX$5)="",2,0)),0)</f>
        <v>0</v>
      </c>
      <c r="AY695" s="313">
        <f>IFERROR(IF(INDEX([1]Pivot!$BF$1:$CG$65000,$B695,AY$5)=1,1,IF(INDEX([1]Pivot!$B$1:$AB$65000,$B695,AY$5)="",2,0)),0)</f>
        <v>0</v>
      </c>
      <c r="AZ695" s="313">
        <f>IFERROR(IF(INDEX([1]Pivot!$BF$1:$CG$65000,$B695,AZ$5)=1,1,IF(INDEX([1]Pivot!$B$1:$AB$65000,$B695,AZ$5)="",2,0)),0)</f>
        <v>0</v>
      </c>
      <c r="BA695" s="313">
        <f>IFERROR(IF(INDEX([1]Pivot!$BF$1:$CG$65000,$B695,BA$5)=1,1,IF(INDEX([1]Pivot!$B$1:$AB$65000,$B695,BA$5)="",2,0)),0)</f>
        <v>0</v>
      </c>
      <c r="BB695" s="313">
        <f>IFERROR(IF(INDEX([1]Pivot!$BF$1:$CG$65000,$B695,BB$5)=1,1,IF(INDEX([1]Pivot!$B$1:$AB$65000,$B695,BB$5)="",2,0)),0)</f>
        <v>0</v>
      </c>
      <c r="BC695" s="313">
        <f>IFERROR(IF(INDEX([1]Pivot!$BF$1:$CG$65000,$B695,BC$5)=1,1,IF(INDEX([1]Pivot!$B$1:$AB$65000,$B695,BC$5)="",2,0)),0)</f>
        <v>0</v>
      </c>
      <c r="BD695" s="313">
        <f>IFERROR(IF(INDEX([1]Pivot!$BF$1:$CG$65000,$B695,BD$5)=1,1,IF(INDEX([1]Pivot!$B$1:$AB$65000,$B695,BD$5)="",2,0)),0)</f>
        <v>0</v>
      </c>
    </row>
    <row r="696" spans="1:56" x14ac:dyDescent="0.25">
      <c r="A696" s="288">
        <f>'[2]Raw Milk Prices'!A696</f>
        <v>0</v>
      </c>
      <c r="B696" s="296" t="e">
        <f>MATCH(DATE(LEFT('[2]Raw Milk Prices'!$A696,4),RIGHT('[2]Raw Milk Prices'!$A696,2),1),[1]Pivot!$A$1:$A$65000,0)</f>
        <v>#VALUE!</v>
      </c>
      <c r="C696" s="194">
        <f>IFERROR(IF(INDEX([1]Pivot!$AD$1:$BE$65000,$B696,C$5)=1,1,IF(INDEX([1]Pivot!$B$1:$AB$65000,$B696,C$5)="",2,0)),0)</f>
        <v>0</v>
      </c>
      <c r="D696" s="194">
        <f>IFERROR(IF(INDEX([1]Pivot!$AD$1:$BE$65000,$B696,D$5)=1,1,IF(INDEX([1]Pivot!$B$1:$AB$65000,$B696,D$5)="",2,0)),0)</f>
        <v>0</v>
      </c>
      <c r="E696" s="194">
        <f>IFERROR(IF(INDEX([1]Pivot!$AD$1:$BE$65000,$B696,E$5)=1,1,IF(INDEX([1]Pivot!$B$1:$AB$65000,$B696,E$5)="",2,0)),0)</f>
        <v>0</v>
      </c>
      <c r="F696" s="194">
        <f>IFERROR(IF(INDEX([1]Pivot!$AD$1:$BE$65000,$B696,F$5)=1,1,IF(INDEX([1]Pivot!$B$1:$AB$65000,$B696,F$5)="",2,0)),0)</f>
        <v>0</v>
      </c>
      <c r="G696" s="194">
        <f>IFERROR(IF(INDEX([1]Pivot!$AD$1:$BE$65000,$B696,G$5)=1,1,IF(INDEX([1]Pivot!$B$1:$AB$65000,$B696,G$5)="",2,0)),0)</f>
        <v>0</v>
      </c>
      <c r="H696" s="194">
        <f>IFERROR(IF(INDEX([1]Pivot!$AD$1:$BE$65000,$B696,H$5)=1,1,IF(INDEX([1]Pivot!$B$1:$AB$65000,$B696,H$5)="",2,0)),0)</f>
        <v>0</v>
      </c>
      <c r="I696" s="194">
        <f>IFERROR(IF(INDEX([1]Pivot!$AD$1:$BE$65000,$B696,I$5)=1,1,IF(INDEX([1]Pivot!$B$1:$AB$65000,$B696,I$5)="",2,0)),0)</f>
        <v>0</v>
      </c>
      <c r="J696" s="194">
        <f>IFERROR(IF(INDEX([1]Pivot!$AD$1:$BE$65000,$B696,J$5)=1,1,IF(INDEX([1]Pivot!$B$1:$AB$65000,$B696,J$5)="",2,0)),0)</f>
        <v>0</v>
      </c>
      <c r="K696" s="194">
        <f>IFERROR(IF(INDEX([1]Pivot!$AD$1:$BE$65000,$B696,K$5)=1,1,IF(INDEX([1]Pivot!$B$1:$AB$65000,$B696,K$5)="",2,0)),0)</f>
        <v>0</v>
      </c>
      <c r="L696" s="194">
        <f>IFERROR(IF(INDEX([1]Pivot!$AD$1:$BE$65000,$B696,L$5)=1,1,IF(INDEX([1]Pivot!$B$1:$AB$65000,$B696,L$5)="",2,0)),0)</f>
        <v>0</v>
      </c>
      <c r="M696" s="194">
        <f>IFERROR(IF(INDEX([1]Pivot!$AD$1:$BE$65000,$B696,M$5)=1,1,IF(INDEX([1]Pivot!$B$1:$AB$65000,$B696,M$5)="",2,0)),0)</f>
        <v>0</v>
      </c>
      <c r="N696" s="194">
        <f>IFERROR(IF(INDEX([1]Pivot!$AD$1:$BE$65000,$B696,N$5)=1,1,IF(INDEX([1]Pivot!$B$1:$AB$65000,$B696,N$5)="",2,0)),0)</f>
        <v>0</v>
      </c>
      <c r="O696" s="194">
        <f>IFERROR(IF(INDEX([1]Pivot!$AD$1:$BE$65000,$B696,O$5)=1,1,IF(INDEX([1]Pivot!$B$1:$AB$65000,$B696,O$5)="",2,0)),0)</f>
        <v>0</v>
      </c>
      <c r="P696" s="194">
        <f>IFERROR(IF(INDEX([1]Pivot!$AD$1:$BE$65000,$B696,P$5)=1,1,IF(INDEX([1]Pivot!$B$1:$AB$65000,$B696,P$5)="",2,0)),0)</f>
        <v>0</v>
      </c>
      <c r="Q696" s="194">
        <f>IFERROR(IF(INDEX([1]Pivot!$AD$1:$BE$65000,$B696,Q$5)=1,1,IF(INDEX([1]Pivot!$B$1:$AB$65000,$B696,Q$5)="",2,0)),0)</f>
        <v>0</v>
      </c>
      <c r="R696" s="312"/>
      <c r="S696" s="194">
        <f>IFERROR(IF(INDEX([1]Pivot!$AD$1:$BE$65000,$B696,S$5)=1,1,IF(INDEX([1]Pivot!$B$1:$AB$65000,$B696,S$5)="",2,0)),0)</f>
        <v>0</v>
      </c>
      <c r="T696" s="194">
        <f>IFERROR(IF(INDEX([1]Pivot!$AD$1:$BE$65000,$B696,T$5)=1,1,IF(INDEX([1]Pivot!$B$1:$AB$65000,$B696,T$5)="",2,0)),0)</f>
        <v>0</v>
      </c>
      <c r="U696" s="194">
        <f>IFERROR(IF(INDEX([1]Pivot!$AD$1:$BE$65000,$B696,U$5)=1,1,IF(INDEX([1]Pivot!$B$1:$AB$65000,$B696,U$5)="",2,0)),0)</f>
        <v>0</v>
      </c>
      <c r="V696" s="194">
        <f>IFERROR(IF(INDEX([1]Pivot!$AD$1:$BE$65000,$B696,V$5)=1,1,IF(INDEX([1]Pivot!$B$1:$AB$65000,$B696,V$5)="",2,0)),0)</f>
        <v>0</v>
      </c>
      <c r="W696" s="194">
        <f>IFERROR(IF(INDEX([1]Pivot!$AD$1:$BE$65000,$B696,W$5)=1,1,IF(INDEX([1]Pivot!$B$1:$AB$65000,$B696,W$5)="",2,0)),0)</f>
        <v>0</v>
      </c>
      <c r="X696" s="194">
        <f>IFERROR(IF(INDEX([1]Pivot!$AD$1:$BE$65000,$B696,X$5)=1,1,IF(INDEX([1]Pivot!$B$1:$AB$65000,$B696,X$5)="",2,0)),0)</f>
        <v>0</v>
      </c>
      <c r="Y696" s="194">
        <f>IFERROR(IF(INDEX([1]Pivot!$AD$1:$BE$65000,$B696,Y$5)=1,1,IF(INDEX([1]Pivot!$B$1:$AB$65000,$B696,Y$5)="",2,0)),0)</f>
        <v>0</v>
      </c>
      <c r="Z696" s="194">
        <f>IFERROR(IF(INDEX([1]Pivot!$AD$1:$BE$65000,$B696,Z$5)=1,1,IF(INDEX([1]Pivot!$B$1:$AB$65000,$B696,Z$5)="",2,0)),0)</f>
        <v>0</v>
      </c>
      <c r="AA696" s="194">
        <f>IFERROR(IF(INDEX([1]Pivot!$AD$1:$BE$65000,$B696,AA$5)=1,1,IF(INDEX([1]Pivot!$B$1:$AB$65000,$B696,AA$5)="",2,0)),0)</f>
        <v>0</v>
      </c>
      <c r="AB696" s="194">
        <f>IFERROR(IF(INDEX([1]Pivot!$AD$1:$BE$65000,$B696,AB$5)=1,1,IF(INDEX([1]Pivot!$B$1:$AB$65000,$B696,AB$5)="",2,0)),0)</f>
        <v>0</v>
      </c>
      <c r="AC696" s="194">
        <f>IFERROR(IF(INDEX([1]Pivot!$AD$1:$BE$65000,$B696,AC$5)=1,1,IF(INDEX([1]Pivot!$B$1:$AB$65000,$B696,AC$5)="",2,0)),0)</f>
        <v>0</v>
      </c>
      <c r="AD696" s="313">
        <f>IFERROR(IF(INDEX([1]Pivot!$BF$1:$CG$65000,$B696,AD$5)=1,1,IF(INDEX([1]Pivot!$B$1:$AB$65000,$B696,AD$5)="",2,0)),0)</f>
        <v>0</v>
      </c>
      <c r="AE696" s="313">
        <f>IFERROR(IF(INDEX([1]Pivot!$BF$1:$CG$65000,$B696,AE$5)=1,1,IF(INDEX([1]Pivot!$B$1:$AB$65000,$B696,AE$5)="",2,0)),0)</f>
        <v>0</v>
      </c>
      <c r="AF696" s="313">
        <f>IFERROR(IF(INDEX([1]Pivot!$BF$1:$CG$65000,$B696,AF$5)=1,1,IF(INDEX([1]Pivot!$B$1:$AB$65000,$B696,AF$5)="",2,0)),0)</f>
        <v>0</v>
      </c>
      <c r="AG696" s="313">
        <f>IFERROR(IF(INDEX([1]Pivot!$BF$1:$CG$65000,$B696,AG$5)=1,1,IF(INDEX([1]Pivot!$B$1:$AB$65000,$B696,AG$5)="",2,0)),0)</f>
        <v>0</v>
      </c>
      <c r="AH696" s="313">
        <f>IFERROR(IF(INDEX([1]Pivot!$BF$1:$CG$65000,$B696,AH$5)=1,1,IF(INDEX([1]Pivot!$B$1:$AB$65000,$B696,AH$5)="",2,0)),0)</f>
        <v>0</v>
      </c>
      <c r="AI696" s="313">
        <f>IFERROR(IF(INDEX([1]Pivot!$BF$1:$CG$65000,$B696,AI$5)=1,1,IF(INDEX([1]Pivot!$B$1:$AB$65000,$B696,AI$5)="",2,0)),0)</f>
        <v>0</v>
      </c>
      <c r="AJ696" s="313">
        <f>IFERROR(IF(INDEX([1]Pivot!$BF$1:$CG$65000,$B696,AJ$5)=1,1,IF(INDEX([1]Pivot!$B$1:$AB$65000,$B696,AJ$5)="",2,0)),0)</f>
        <v>0</v>
      </c>
      <c r="AK696" s="313">
        <f>IFERROR(IF(INDEX([1]Pivot!$BF$1:$CG$65000,$B696,AK$5)=1,1,IF(INDEX([1]Pivot!$B$1:$AB$65000,$B696,AK$5)="",2,0)),0)</f>
        <v>0</v>
      </c>
      <c r="AL696" s="313">
        <f>IFERROR(IF(INDEX([1]Pivot!$BF$1:$CG$65000,$B696,AL$5)=1,1,IF(INDEX([1]Pivot!$B$1:$AB$65000,$B696,AL$5)="",2,0)),0)</f>
        <v>0</v>
      </c>
      <c r="AM696" s="313">
        <f>IFERROR(IF(INDEX([1]Pivot!$BF$1:$CG$65000,$B696,AM$5)=1,1,IF(INDEX([1]Pivot!$B$1:$AB$65000,$B696,AM$5)="",2,0)),0)</f>
        <v>0</v>
      </c>
      <c r="AN696" s="313">
        <f>IFERROR(IF(INDEX([1]Pivot!$BF$1:$CG$65000,$B696,AN$5)=1,1,IF(INDEX([1]Pivot!$B$1:$AB$65000,$B696,AN$5)="",2,0)),0)</f>
        <v>0</v>
      </c>
      <c r="AO696" s="313">
        <f>IFERROR(IF(INDEX([1]Pivot!$BF$1:$CG$65000,$B696,AO$5)=1,1,IF(INDEX([1]Pivot!$B$1:$AB$65000,$B696,AO$5)="",2,0)),0)</f>
        <v>0</v>
      </c>
      <c r="AP696" s="313">
        <f>IFERROR(IF(INDEX([1]Pivot!$BF$1:$CG$65000,$B696,AP$5)=1,1,IF(INDEX([1]Pivot!$B$1:$AB$65000,$B696,AP$5)="",2,0)),0)</f>
        <v>0</v>
      </c>
      <c r="AQ696" s="313">
        <f>IFERROR(IF(INDEX([1]Pivot!$BF$1:$CG$65000,$B696,AQ$5)=1,1,IF(INDEX([1]Pivot!$B$1:$AB$65000,$B696,AQ$5)="",2,0)),0)</f>
        <v>0</v>
      </c>
      <c r="AR696" s="313">
        <f>IFERROR(IF(INDEX([1]Pivot!$BF$1:$CG$65000,$B696,AR$5)=1,1,IF(INDEX([1]Pivot!$B$1:$AB$65000,$B696,AR$5)="",2,0)),0)</f>
        <v>0</v>
      </c>
      <c r="AS696" s="312"/>
      <c r="AT696" s="313">
        <f>IFERROR(IF(INDEX([1]Pivot!$BF$1:$CG$65000,$B696,AT$5)=1,1,IF(INDEX([1]Pivot!$B$1:$AB$65000,$B696,AT$5)="",2,0)),0)</f>
        <v>0</v>
      </c>
      <c r="AU696" s="313">
        <f>IFERROR(IF(INDEX([1]Pivot!$BF$1:$CG$65000,$B696,AU$5)=1,1,IF(INDEX([1]Pivot!$B$1:$AB$65000,$B696,AU$5)="",2,0)),0)</f>
        <v>0</v>
      </c>
      <c r="AV696" s="313">
        <f>IFERROR(IF(INDEX([1]Pivot!$BF$1:$CG$65000,$B696,AV$5)=1,1,IF(INDEX([1]Pivot!$B$1:$AB$65000,$B696,AV$5)="",2,0)),0)</f>
        <v>0</v>
      </c>
      <c r="AW696" s="313">
        <f>IFERROR(IF(INDEX([1]Pivot!$BF$1:$CG$65000,$B696,AW$5)=1,1,IF(INDEX([1]Pivot!$B$1:$AB$65000,$B696,AW$5)="",2,0)),0)</f>
        <v>0</v>
      </c>
      <c r="AX696" s="313">
        <f>IFERROR(IF(INDEX([1]Pivot!$BF$1:$CG$65000,$B696,AX$5)=1,1,IF(INDEX([1]Pivot!$B$1:$AB$65000,$B696,AX$5)="",2,0)),0)</f>
        <v>0</v>
      </c>
      <c r="AY696" s="313">
        <f>IFERROR(IF(INDEX([1]Pivot!$BF$1:$CG$65000,$B696,AY$5)=1,1,IF(INDEX([1]Pivot!$B$1:$AB$65000,$B696,AY$5)="",2,0)),0)</f>
        <v>0</v>
      </c>
      <c r="AZ696" s="313">
        <f>IFERROR(IF(INDEX([1]Pivot!$BF$1:$CG$65000,$B696,AZ$5)=1,1,IF(INDEX([1]Pivot!$B$1:$AB$65000,$B696,AZ$5)="",2,0)),0)</f>
        <v>0</v>
      </c>
      <c r="BA696" s="313">
        <f>IFERROR(IF(INDEX([1]Pivot!$BF$1:$CG$65000,$B696,BA$5)=1,1,IF(INDEX([1]Pivot!$B$1:$AB$65000,$B696,BA$5)="",2,0)),0)</f>
        <v>0</v>
      </c>
      <c r="BB696" s="313">
        <f>IFERROR(IF(INDEX([1]Pivot!$BF$1:$CG$65000,$B696,BB$5)=1,1,IF(INDEX([1]Pivot!$B$1:$AB$65000,$B696,BB$5)="",2,0)),0)</f>
        <v>0</v>
      </c>
      <c r="BC696" s="313">
        <f>IFERROR(IF(INDEX([1]Pivot!$BF$1:$CG$65000,$B696,BC$5)=1,1,IF(INDEX([1]Pivot!$B$1:$AB$65000,$B696,BC$5)="",2,0)),0)</f>
        <v>0</v>
      </c>
      <c r="BD696" s="313">
        <f>IFERROR(IF(INDEX([1]Pivot!$BF$1:$CG$65000,$B696,BD$5)=1,1,IF(INDEX([1]Pivot!$B$1:$AB$65000,$B696,BD$5)="",2,0)),0)</f>
        <v>0</v>
      </c>
    </row>
    <row r="697" spans="1:56" x14ac:dyDescent="0.25">
      <c r="A697" s="288">
        <f>'[2]Raw Milk Prices'!A697</f>
        <v>0</v>
      </c>
      <c r="B697" s="296" t="e">
        <f>MATCH(DATE(LEFT('[2]Raw Milk Prices'!$A697,4),RIGHT('[2]Raw Milk Prices'!$A697,2),1),[1]Pivot!$A$1:$A$65000,0)</f>
        <v>#VALUE!</v>
      </c>
      <c r="C697" s="194">
        <f>IFERROR(IF(INDEX([1]Pivot!$AD$1:$BE$65000,$B697,C$5)=1,1,IF(INDEX([1]Pivot!$B$1:$AB$65000,$B697,C$5)="",2,0)),0)</f>
        <v>0</v>
      </c>
      <c r="D697" s="194">
        <f>IFERROR(IF(INDEX([1]Pivot!$AD$1:$BE$65000,$B697,D$5)=1,1,IF(INDEX([1]Pivot!$B$1:$AB$65000,$B697,D$5)="",2,0)),0)</f>
        <v>0</v>
      </c>
      <c r="E697" s="194">
        <f>IFERROR(IF(INDEX([1]Pivot!$AD$1:$BE$65000,$B697,E$5)=1,1,IF(INDEX([1]Pivot!$B$1:$AB$65000,$B697,E$5)="",2,0)),0)</f>
        <v>0</v>
      </c>
      <c r="F697" s="194">
        <f>IFERROR(IF(INDEX([1]Pivot!$AD$1:$BE$65000,$B697,F$5)=1,1,IF(INDEX([1]Pivot!$B$1:$AB$65000,$B697,F$5)="",2,0)),0)</f>
        <v>0</v>
      </c>
      <c r="G697" s="194">
        <f>IFERROR(IF(INDEX([1]Pivot!$AD$1:$BE$65000,$B697,G$5)=1,1,IF(INDEX([1]Pivot!$B$1:$AB$65000,$B697,G$5)="",2,0)),0)</f>
        <v>0</v>
      </c>
      <c r="H697" s="194">
        <f>IFERROR(IF(INDEX([1]Pivot!$AD$1:$BE$65000,$B697,H$5)=1,1,IF(INDEX([1]Pivot!$B$1:$AB$65000,$B697,H$5)="",2,0)),0)</f>
        <v>0</v>
      </c>
      <c r="I697" s="194">
        <f>IFERROR(IF(INDEX([1]Pivot!$AD$1:$BE$65000,$B697,I$5)=1,1,IF(INDEX([1]Pivot!$B$1:$AB$65000,$B697,I$5)="",2,0)),0)</f>
        <v>0</v>
      </c>
      <c r="J697" s="194">
        <f>IFERROR(IF(INDEX([1]Pivot!$AD$1:$BE$65000,$B697,J$5)=1,1,IF(INDEX([1]Pivot!$B$1:$AB$65000,$B697,J$5)="",2,0)),0)</f>
        <v>0</v>
      </c>
      <c r="K697" s="194">
        <f>IFERROR(IF(INDEX([1]Pivot!$AD$1:$BE$65000,$B697,K$5)=1,1,IF(INDEX([1]Pivot!$B$1:$AB$65000,$B697,K$5)="",2,0)),0)</f>
        <v>0</v>
      </c>
      <c r="L697" s="194">
        <f>IFERROR(IF(INDEX([1]Pivot!$AD$1:$BE$65000,$B697,L$5)=1,1,IF(INDEX([1]Pivot!$B$1:$AB$65000,$B697,L$5)="",2,0)),0)</f>
        <v>0</v>
      </c>
      <c r="M697" s="194">
        <f>IFERROR(IF(INDEX([1]Pivot!$AD$1:$BE$65000,$B697,M$5)=1,1,IF(INDEX([1]Pivot!$B$1:$AB$65000,$B697,M$5)="",2,0)),0)</f>
        <v>0</v>
      </c>
      <c r="N697" s="194">
        <f>IFERROR(IF(INDEX([1]Pivot!$AD$1:$BE$65000,$B697,N$5)=1,1,IF(INDEX([1]Pivot!$B$1:$AB$65000,$B697,N$5)="",2,0)),0)</f>
        <v>0</v>
      </c>
      <c r="O697" s="194">
        <f>IFERROR(IF(INDEX([1]Pivot!$AD$1:$BE$65000,$B697,O$5)=1,1,IF(INDEX([1]Pivot!$B$1:$AB$65000,$B697,O$5)="",2,0)),0)</f>
        <v>0</v>
      </c>
      <c r="P697" s="194">
        <f>IFERROR(IF(INDEX([1]Pivot!$AD$1:$BE$65000,$B697,P$5)=1,1,IF(INDEX([1]Pivot!$B$1:$AB$65000,$B697,P$5)="",2,0)),0)</f>
        <v>0</v>
      </c>
      <c r="Q697" s="194">
        <f>IFERROR(IF(INDEX([1]Pivot!$AD$1:$BE$65000,$B697,Q$5)=1,1,IF(INDEX([1]Pivot!$B$1:$AB$65000,$B697,Q$5)="",2,0)),0)</f>
        <v>0</v>
      </c>
      <c r="R697" s="312"/>
      <c r="S697" s="194">
        <f>IFERROR(IF(INDEX([1]Pivot!$AD$1:$BE$65000,$B697,S$5)=1,1,IF(INDEX([1]Pivot!$B$1:$AB$65000,$B697,S$5)="",2,0)),0)</f>
        <v>0</v>
      </c>
      <c r="T697" s="194">
        <f>IFERROR(IF(INDEX([1]Pivot!$AD$1:$BE$65000,$B697,T$5)=1,1,IF(INDEX([1]Pivot!$B$1:$AB$65000,$B697,T$5)="",2,0)),0)</f>
        <v>0</v>
      </c>
      <c r="U697" s="194">
        <f>IFERROR(IF(INDEX([1]Pivot!$AD$1:$BE$65000,$B697,U$5)=1,1,IF(INDEX([1]Pivot!$B$1:$AB$65000,$B697,U$5)="",2,0)),0)</f>
        <v>0</v>
      </c>
      <c r="V697" s="194">
        <f>IFERROR(IF(INDEX([1]Pivot!$AD$1:$BE$65000,$B697,V$5)=1,1,IF(INDEX([1]Pivot!$B$1:$AB$65000,$B697,V$5)="",2,0)),0)</f>
        <v>0</v>
      </c>
      <c r="W697" s="194">
        <f>IFERROR(IF(INDEX([1]Pivot!$AD$1:$BE$65000,$B697,W$5)=1,1,IF(INDEX([1]Pivot!$B$1:$AB$65000,$B697,W$5)="",2,0)),0)</f>
        <v>0</v>
      </c>
      <c r="X697" s="194">
        <f>IFERROR(IF(INDEX([1]Pivot!$AD$1:$BE$65000,$B697,X$5)=1,1,IF(INDEX([1]Pivot!$B$1:$AB$65000,$B697,X$5)="",2,0)),0)</f>
        <v>0</v>
      </c>
      <c r="Y697" s="194">
        <f>IFERROR(IF(INDEX([1]Pivot!$AD$1:$BE$65000,$B697,Y$5)=1,1,IF(INDEX([1]Pivot!$B$1:$AB$65000,$B697,Y$5)="",2,0)),0)</f>
        <v>0</v>
      </c>
      <c r="Z697" s="194">
        <f>IFERROR(IF(INDEX([1]Pivot!$AD$1:$BE$65000,$B697,Z$5)=1,1,IF(INDEX([1]Pivot!$B$1:$AB$65000,$B697,Z$5)="",2,0)),0)</f>
        <v>0</v>
      </c>
      <c r="AA697" s="194">
        <f>IFERROR(IF(INDEX([1]Pivot!$AD$1:$BE$65000,$B697,AA$5)=1,1,IF(INDEX([1]Pivot!$B$1:$AB$65000,$B697,AA$5)="",2,0)),0)</f>
        <v>0</v>
      </c>
      <c r="AB697" s="194">
        <f>IFERROR(IF(INDEX([1]Pivot!$AD$1:$BE$65000,$B697,AB$5)=1,1,IF(INDEX([1]Pivot!$B$1:$AB$65000,$B697,AB$5)="",2,0)),0)</f>
        <v>0</v>
      </c>
      <c r="AC697" s="194">
        <f>IFERROR(IF(INDEX([1]Pivot!$AD$1:$BE$65000,$B697,AC$5)=1,1,IF(INDEX([1]Pivot!$B$1:$AB$65000,$B697,AC$5)="",2,0)),0)</f>
        <v>0</v>
      </c>
      <c r="AD697" s="313">
        <f>IFERROR(IF(INDEX([1]Pivot!$BF$1:$CG$65000,$B697,AD$5)=1,1,IF(INDEX([1]Pivot!$B$1:$AB$65000,$B697,AD$5)="",2,0)),0)</f>
        <v>0</v>
      </c>
      <c r="AE697" s="313">
        <f>IFERROR(IF(INDEX([1]Pivot!$BF$1:$CG$65000,$B697,AE$5)=1,1,IF(INDEX([1]Pivot!$B$1:$AB$65000,$B697,AE$5)="",2,0)),0)</f>
        <v>0</v>
      </c>
      <c r="AF697" s="313">
        <f>IFERROR(IF(INDEX([1]Pivot!$BF$1:$CG$65000,$B697,AF$5)=1,1,IF(INDEX([1]Pivot!$B$1:$AB$65000,$B697,AF$5)="",2,0)),0)</f>
        <v>0</v>
      </c>
      <c r="AG697" s="313">
        <f>IFERROR(IF(INDEX([1]Pivot!$BF$1:$CG$65000,$B697,AG$5)=1,1,IF(INDEX([1]Pivot!$B$1:$AB$65000,$B697,AG$5)="",2,0)),0)</f>
        <v>0</v>
      </c>
      <c r="AH697" s="313">
        <f>IFERROR(IF(INDEX([1]Pivot!$BF$1:$CG$65000,$B697,AH$5)=1,1,IF(INDEX([1]Pivot!$B$1:$AB$65000,$B697,AH$5)="",2,0)),0)</f>
        <v>0</v>
      </c>
      <c r="AI697" s="313">
        <f>IFERROR(IF(INDEX([1]Pivot!$BF$1:$CG$65000,$B697,AI$5)=1,1,IF(INDEX([1]Pivot!$B$1:$AB$65000,$B697,AI$5)="",2,0)),0)</f>
        <v>0</v>
      </c>
      <c r="AJ697" s="313">
        <f>IFERROR(IF(INDEX([1]Pivot!$BF$1:$CG$65000,$B697,AJ$5)=1,1,IF(INDEX([1]Pivot!$B$1:$AB$65000,$B697,AJ$5)="",2,0)),0)</f>
        <v>0</v>
      </c>
      <c r="AK697" s="313">
        <f>IFERROR(IF(INDEX([1]Pivot!$BF$1:$CG$65000,$B697,AK$5)=1,1,IF(INDEX([1]Pivot!$B$1:$AB$65000,$B697,AK$5)="",2,0)),0)</f>
        <v>0</v>
      </c>
      <c r="AL697" s="313">
        <f>IFERROR(IF(INDEX([1]Pivot!$BF$1:$CG$65000,$B697,AL$5)=1,1,IF(INDEX([1]Pivot!$B$1:$AB$65000,$B697,AL$5)="",2,0)),0)</f>
        <v>0</v>
      </c>
      <c r="AM697" s="313">
        <f>IFERROR(IF(INDEX([1]Pivot!$BF$1:$CG$65000,$B697,AM$5)=1,1,IF(INDEX([1]Pivot!$B$1:$AB$65000,$B697,AM$5)="",2,0)),0)</f>
        <v>0</v>
      </c>
      <c r="AN697" s="313">
        <f>IFERROR(IF(INDEX([1]Pivot!$BF$1:$CG$65000,$B697,AN$5)=1,1,IF(INDEX([1]Pivot!$B$1:$AB$65000,$B697,AN$5)="",2,0)),0)</f>
        <v>0</v>
      </c>
      <c r="AO697" s="313">
        <f>IFERROR(IF(INDEX([1]Pivot!$BF$1:$CG$65000,$B697,AO$5)=1,1,IF(INDEX([1]Pivot!$B$1:$AB$65000,$B697,AO$5)="",2,0)),0)</f>
        <v>0</v>
      </c>
      <c r="AP697" s="313">
        <f>IFERROR(IF(INDEX([1]Pivot!$BF$1:$CG$65000,$B697,AP$5)=1,1,IF(INDEX([1]Pivot!$B$1:$AB$65000,$B697,AP$5)="",2,0)),0)</f>
        <v>0</v>
      </c>
      <c r="AQ697" s="313">
        <f>IFERROR(IF(INDEX([1]Pivot!$BF$1:$CG$65000,$B697,AQ$5)=1,1,IF(INDEX([1]Pivot!$B$1:$AB$65000,$B697,AQ$5)="",2,0)),0)</f>
        <v>0</v>
      </c>
      <c r="AR697" s="313">
        <f>IFERROR(IF(INDEX([1]Pivot!$BF$1:$CG$65000,$B697,AR$5)=1,1,IF(INDEX([1]Pivot!$B$1:$AB$65000,$B697,AR$5)="",2,0)),0)</f>
        <v>0</v>
      </c>
      <c r="AS697" s="312"/>
      <c r="AT697" s="313">
        <f>IFERROR(IF(INDEX([1]Pivot!$BF$1:$CG$65000,$B697,AT$5)=1,1,IF(INDEX([1]Pivot!$B$1:$AB$65000,$B697,AT$5)="",2,0)),0)</f>
        <v>0</v>
      </c>
      <c r="AU697" s="313">
        <f>IFERROR(IF(INDEX([1]Pivot!$BF$1:$CG$65000,$B697,AU$5)=1,1,IF(INDEX([1]Pivot!$B$1:$AB$65000,$B697,AU$5)="",2,0)),0)</f>
        <v>0</v>
      </c>
      <c r="AV697" s="313">
        <f>IFERROR(IF(INDEX([1]Pivot!$BF$1:$CG$65000,$B697,AV$5)=1,1,IF(INDEX([1]Pivot!$B$1:$AB$65000,$B697,AV$5)="",2,0)),0)</f>
        <v>0</v>
      </c>
      <c r="AW697" s="313">
        <f>IFERROR(IF(INDEX([1]Pivot!$BF$1:$CG$65000,$B697,AW$5)=1,1,IF(INDEX([1]Pivot!$B$1:$AB$65000,$B697,AW$5)="",2,0)),0)</f>
        <v>0</v>
      </c>
      <c r="AX697" s="313">
        <f>IFERROR(IF(INDEX([1]Pivot!$BF$1:$CG$65000,$B697,AX$5)=1,1,IF(INDEX([1]Pivot!$B$1:$AB$65000,$B697,AX$5)="",2,0)),0)</f>
        <v>0</v>
      </c>
      <c r="AY697" s="313">
        <f>IFERROR(IF(INDEX([1]Pivot!$BF$1:$CG$65000,$B697,AY$5)=1,1,IF(INDEX([1]Pivot!$B$1:$AB$65000,$B697,AY$5)="",2,0)),0)</f>
        <v>0</v>
      </c>
      <c r="AZ697" s="313">
        <f>IFERROR(IF(INDEX([1]Pivot!$BF$1:$CG$65000,$B697,AZ$5)=1,1,IF(INDEX([1]Pivot!$B$1:$AB$65000,$B697,AZ$5)="",2,0)),0)</f>
        <v>0</v>
      </c>
      <c r="BA697" s="313">
        <f>IFERROR(IF(INDEX([1]Pivot!$BF$1:$CG$65000,$B697,BA$5)=1,1,IF(INDEX([1]Pivot!$B$1:$AB$65000,$B697,BA$5)="",2,0)),0)</f>
        <v>0</v>
      </c>
      <c r="BB697" s="313">
        <f>IFERROR(IF(INDEX([1]Pivot!$BF$1:$CG$65000,$B697,BB$5)=1,1,IF(INDEX([1]Pivot!$B$1:$AB$65000,$B697,BB$5)="",2,0)),0)</f>
        <v>0</v>
      </c>
      <c r="BC697" s="313">
        <f>IFERROR(IF(INDEX([1]Pivot!$BF$1:$CG$65000,$B697,BC$5)=1,1,IF(INDEX([1]Pivot!$B$1:$AB$65000,$B697,BC$5)="",2,0)),0)</f>
        <v>0</v>
      </c>
      <c r="BD697" s="313">
        <f>IFERROR(IF(INDEX([1]Pivot!$BF$1:$CG$65000,$B697,BD$5)=1,1,IF(INDEX([1]Pivot!$B$1:$AB$65000,$B697,BD$5)="",2,0)),0)</f>
        <v>0</v>
      </c>
    </row>
    <row r="698" spans="1:56" x14ac:dyDescent="0.25">
      <c r="A698" s="288">
        <f>'[2]Raw Milk Prices'!A698</f>
        <v>0</v>
      </c>
      <c r="B698" s="296" t="e">
        <f>MATCH(DATE(LEFT('[2]Raw Milk Prices'!$A698,4),RIGHT('[2]Raw Milk Prices'!$A698,2),1),[1]Pivot!$A$1:$A$65000,0)</f>
        <v>#VALUE!</v>
      </c>
      <c r="C698" s="194">
        <f>IFERROR(IF(INDEX([1]Pivot!$AD$1:$BE$65000,$B698,C$5)=1,1,IF(INDEX([1]Pivot!$B$1:$AB$65000,$B698,C$5)="",2,0)),0)</f>
        <v>0</v>
      </c>
      <c r="D698" s="194">
        <f>IFERROR(IF(INDEX([1]Pivot!$AD$1:$BE$65000,$B698,D$5)=1,1,IF(INDEX([1]Pivot!$B$1:$AB$65000,$B698,D$5)="",2,0)),0)</f>
        <v>0</v>
      </c>
      <c r="E698" s="194">
        <f>IFERROR(IF(INDEX([1]Pivot!$AD$1:$BE$65000,$B698,E$5)=1,1,IF(INDEX([1]Pivot!$B$1:$AB$65000,$B698,E$5)="",2,0)),0)</f>
        <v>0</v>
      </c>
      <c r="F698" s="194">
        <f>IFERROR(IF(INDEX([1]Pivot!$AD$1:$BE$65000,$B698,F$5)=1,1,IF(INDEX([1]Pivot!$B$1:$AB$65000,$B698,F$5)="",2,0)),0)</f>
        <v>0</v>
      </c>
      <c r="G698" s="194">
        <f>IFERROR(IF(INDEX([1]Pivot!$AD$1:$BE$65000,$B698,G$5)=1,1,IF(INDEX([1]Pivot!$B$1:$AB$65000,$B698,G$5)="",2,0)),0)</f>
        <v>0</v>
      </c>
      <c r="H698" s="194">
        <f>IFERROR(IF(INDEX([1]Pivot!$AD$1:$BE$65000,$B698,H$5)=1,1,IF(INDEX([1]Pivot!$B$1:$AB$65000,$B698,H$5)="",2,0)),0)</f>
        <v>0</v>
      </c>
      <c r="I698" s="194">
        <f>IFERROR(IF(INDEX([1]Pivot!$AD$1:$BE$65000,$B698,I$5)=1,1,IF(INDEX([1]Pivot!$B$1:$AB$65000,$B698,I$5)="",2,0)),0)</f>
        <v>0</v>
      </c>
      <c r="J698" s="194">
        <f>IFERROR(IF(INDEX([1]Pivot!$AD$1:$BE$65000,$B698,J$5)=1,1,IF(INDEX([1]Pivot!$B$1:$AB$65000,$B698,J$5)="",2,0)),0)</f>
        <v>0</v>
      </c>
      <c r="K698" s="194">
        <f>IFERROR(IF(INDEX([1]Pivot!$AD$1:$BE$65000,$B698,K$5)=1,1,IF(INDEX([1]Pivot!$B$1:$AB$65000,$B698,K$5)="",2,0)),0)</f>
        <v>0</v>
      </c>
      <c r="L698" s="194">
        <f>IFERROR(IF(INDEX([1]Pivot!$AD$1:$BE$65000,$B698,L$5)=1,1,IF(INDEX([1]Pivot!$B$1:$AB$65000,$B698,L$5)="",2,0)),0)</f>
        <v>0</v>
      </c>
      <c r="M698" s="194">
        <f>IFERROR(IF(INDEX([1]Pivot!$AD$1:$BE$65000,$B698,M$5)=1,1,IF(INDEX([1]Pivot!$B$1:$AB$65000,$B698,M$5)="",2,0)),0)</f>
        <v>0</v>
      </c>
      <c r="N698" s="194">
        <f>IFERROR(IF(INDEX([1]Pivot!$AD$1:$BE$65000,$B698,N$5)=1,1,IF(INDEX([1]Pivot!$B$1:$AB$65000,$B698,N$5)="",2,0)),0)</f>
        <v>0</v>
      </c>
      <c r="O698" s="194">
        <f>IFERROR(IF(INDEX([1]Pivot!$AD$1:$BE$65000,$B698,O$5)=1,1,IF(INDEX([1]Pivot!$B$1:$AB$65000,$B698,O$5)="",2,0)),0)</f>
        <v>0</v>
      </c>
      <c r="P698" s="194">
        <f>IFERROR(IF(INDEX([1]Pivot!$AD$1:$BE$65000,$B698,P$5)=1,1,IF(INDEX([1]Pivot!$B$1:$AB$65000,$B698,P$5)="",2,0)),0)</f>
        <v>0</v>
      </c>
      <c r="Q698" s="194">
        <f>IFERROR(IF(INDEX([1]Pivot!$AD$1:$BE$65000,$B698,Q$5)=1,1,IF(INDEX([1]Pivot!$B$1:$AB$65000,$B698,Q$5)="",2,0)),0)</f>
        <v>0</v>
      </c>
      <c r="R698" s="312"/>
      <c r="S698" s="194">
        <f>IFERROR(IF(INDEX([1]Pivot!$AD$1:$BE$65000,$B698,S$5)=1,1,IF(INDEX([1]Pivot!$B$1:$AB$65000,$B698,S$5)="",2,0)),0)</f>
        <v>0</v>
      </c>
      <c r="T698" s="194">
        <f>IFERROR(IF(INDEX([1]Pivot!$AD$1:$BE$65000,$B698,T$5)=1,1,IF(INDEX([1]Pivot!$B$1:$AB$65000,$B698,T$5)="",2,0)),0)</f>
        <v>0</v>
      </c>
      <c r="U698" s="194">
        <f>IFERROR(IF(INDEX([1]Pivot!$AD$1:$BE$65000,$B698,U$5)=1,1,IF(INDEX([1]Pivot!$B$1:$AB$65000,$B698,U$5)="",2,0)),0)</f>
        <v>0</v>
      </c>
      <c r="V698" s="194">
        <f>IFERROR(IF(INDEX([1]Pivot!$AD$1:$BE$65000,$B698,V$5)=1,1,IF(INDEX([1]Pivot!$B$1:$AB$65000,$B698,V$5)="",2,0)),0)</f>
        <v>0</v>
      </c>
      <c r="W698" s="194">
        <f>IFERROR(IF(INDEX([1]Pivot!$AD$1:$BE$65000,$B698,W$5)=1,1,IF(INDEX([1]Pivot!$B$1:$AB$65000,$B698,W$5)="",2,0)),0)</f>
        <v>0</v>
      </c>
      <c r="X698" s="194">
        <f>IFERROR(IF(INDEX([1]Pivot!$AD$1:$BE$65000,$B698,X$5)=1,1,IF(INDEX([1]Pivot!$B$1:$AB$65000,$B698,X$5)="",2,0)),0)</f>
        <v>0</v>
      </c>
      <c r="Y698" s="194">
        <f>IFERROR(IF(INDEX([1]Pivot!$AD$1:$BE$65000,$B698,Y$5)=1,1,IF(INDEX([1]Pivot!$B$1:$AB$65000,$B698,Y$5)="",2,0)),0)</f>
        <v>0</v>
      </c>
      <c r="Z698" s="194">
        <f>IFERROR(IF(INDEX([1]Pivot!$AD$1:$BE$65000,$B698,Z$5)=1,1,IF(INDEX([1]Pivot!$B$1:$AB$65000,$B698,Z$5)="",2,0)),0)</f>
        <v>0</v>
      </c>
      <c r="AA698" s="194">
        <f>IFERROR(IF(INDEX([1]Pivot!$AD$1:$BE$65000,$B698,AA$5)=1,1,IF(INDEX([1]Pivot!$B$1:$AB$65000,$B698,AA$5)="",2,0)),0)</f>
        <v>0</v>
      </c>
      <c r="AB698" s="194">
        <f>IFERROR(IF(INDEX([1]Pivot!$AD$1:$BE$65000,$B698,AB$5)=1,1,IF(INDEX([1]Pivot!$B$1:$AB$65000,$B698,AB$5)="",2,0)),0)</f>
        <v>0</v>
      </c>
      <c r="AC698" s="194">
        <f>IFERROR(IF(INDEX([1]Pivot!$AD$1:$BE$65000,$B698,AC$5)=1,1,IF(INDEX([1]Pivot!$B$1:$AB$65000,$B698,AC$5)="",2,0)),0)</f>
        <v>0</v>
      </c>
      <c r="AD698" s="313">
        <f>IFERROR(IF(INDEX([1]Pivot!$BF$1:$CG$65000,$B698,AD$5)=1,1,IF(INDEX([1]Pivot!$B$1:$AB$65000,$B698,AD$5)="",2,0)),0)</f>
        <v>0</v>
      </c>
      <c r="AE698" s="313">
        <f>IFERROR(IF(INDEX([1]Pivot!$BF$1:$CG$65000,$B698,AE$5)=1,1,IF(INDEX([1]Pivot!$B$1:$AB$65000,$B698,AE$5)="",2,0)),0)</f>
        <v>0</v>
      </c>
      <c r="AF698" s="313">
        <f>IFERROR(IF(INDEX([1]Pivot!$BF$1:$CG$65000,$B698,AF$5)=1,1,IF(INDEX([1]Pivot!$B$1:$AB$65000,$B698,AF$5)="",2,0)),0)</f>
        <v>0</v>
      </c>
      <c r="AG698" s="313">
        <f>IFERROR(IF(INDEX([1]Pivot!$BF$1:$CG$65000,$B698,AG$5)=1,1,IF(INDEX([1]Pivot!$B$1:$AB$65000,$B698,AG$5)="",2,0)),0)</f>
        <v>0</v>
      </c>
      <c r="AH698" s="313">
        <f>IFERROR(IF(INDEX([1]Pivot!$BF$1:$CG$65000,$B698,AH$5)=1,1,IF(INDEX([1]Pivot!$B$1:$AB$65000,$B698,AH$5)="",2,0)),0)</f>
        <v>0</v>
      </c>
      <c r="AI698" s="313">
        <f>IFERROR(IF(INDEX([1]Pivot!$BF$1:$CG$65000,$B698,AI$5)=1,1,IF(INDEX([1]Pivot!$B$1:$AB$65000,$B698,AI$5)="",2,0)),0)</f>
        <v>0</v>
      </c>
      <c r="AJ698" s="313">
        <f>IFERROR(IF(INDEX([1]Pivot!$BF$1:$CG$65000,$B698,AJ$5)=1,1,IF(INDEX([1]Pivot!$B$1:$AB$65000,$B698,AJ$5)="",2,0)),0)</f>
        <v>0</v>
      </c>
      <c r="AK698" s="313">
        <f>IFERROR(IF(INDEX([1]Pivot!$BF$1:$CG$65000,$B698,AK$5)=1,1,IF(INDEX([1]Pivot!$B$1:$AB$65000,$B698,AK$5)="",2,0)),0)</f>
        <v>0</v>
      </c>
      <c r="AL698" s="313">
        <f>IFERROR(IF(INDEX([1]Pivot!$BF$1:$CG$65000,$B698,AL$5)=1,1,IF(INDEX([1]Pivot!$B$1:$AB$65000,$B698,AL$5)="",2,0)),0)</f>
        <v>0</v>
      </c>
      <c r="AM698" s="313">
        <f>IFERROR(IF(INDEX([1]Pivot!$BF$1:$CG$65000,$B698,AM$5)=1,1,IF(INDEX([1]Pivot!$B$1:$AB$65000,$B698,AM$5)="",2,0)),0)</f>
        <v>0</v>
      </c>
      <c r="AN698" s="313">
        <f>IFERROR(IF(INDEX([1]Pivot!$BF$1:$CG$65000,$B698,AN$5)=1,1,IF(INDEX([1]Pivot!$B$1:$AB$65000,$B698,AN$5)="",2,0)),0)</f>
        <v>0</v>
      </c>
      <c r="AO698" s="313">
        <f>IFERROR(IF(INDEX([1]Pivot!$BF$1:$CG$65000,$B698,AO$5)=1,1,IF(INDEX([1]Pivot!$B$1:$AB$65000,$B698,AO$5)="",2,0)),0)</f>
        <v>0</v>
      </c>
      <c r="AP698" s="313">
        <f>IFERROR(IF(INDEX([1]Pivot!$BF$1:$CG$65000,$B698,AP$5)=1,1,IF(INDEX([1]Pivot!$B$1:$AB$65000,$B698,AP$5)="",2,0)),0)</f>
        <v>0</v>
      </c>
      <c r="AQ698" s="313">
        <f>IFERROR(IF(INDEX([1]Pivot!$BF$1:$CG$65000,$B698,AQ$5)=1,1,IF(INDEX([1]Pivot!$B$1:$AB$65000,$B698,AQ$5)="",2,0)),0)</f>
        <v>0</v>
      </c>
      <c r="AR698" s="313">
        <f>IFERROR(IF(INDEX([1]Pivot!$BF$1:$CG$65000,$B698,AR$5)=1,1,IF(INDEX([1]Pivot!$B$1:$AB$65000,$B698,AR$5)="",2,0)),0)</f>
        <v>0</v>
      </c>
      <c r="AS698" s="312"/>
      <c r="AT698" s="313">
        <f>IFERROR(IF(INDEX([1]Pivot!$BF$1:$CG$65000,$B698,AT$5)=1,1,IF(INDEX([1]Pivot!$B$1:$AB$65000,$B698,AT$5)="",2,0)),0)</f>
        <v>0</v>
      </c>
      <c r="AU698" s="313">
        <f>IFERROR(IF(INDEX([1]Pivot!$BF$1:$CG$65000,$B698,AU$5)=1,1,IF(INDEX([1]Pivot!$B$1:$AB$65000,$B698,AU$5)="",2,0)),0)</f>
        <v>0</v>
      </c>
      <c r="AV698" s="313">
        <f>IFERROR(IF(INDEX([1]Pivot!$BF$1:$CG$65000,$B698,AV$5)=1,1,IF(INDEX([1]Pivot!$B$1:$AB$65000,$B698,AV$5)="",2,0)),0)</f>
        <v>0</v>
      </c>
      <c r="AW698" s="313">
        <f>IFERROR(IF(INDEX([1]Pivot!$BF$1:$CG$65000,$B698,AW$5)=1,1,IF(INDEX([1]Pivot!$B$1:$AB$65000,$B698,AW$5)="",2,0)),0)</f>
        <v>0</v>
      </c>
      <c r="AX698" s="313">
        <f>IFERROR(IF(INDEX([1]Pivot!$BF$1:$CG$65000,$B698,AX$5)=1,1,IF(INDEX([1]Pivot!$B$1:$AB$65000,$B698,AX$5)="",2,0)),0)</f>
        <v>0</v>
      </c>
      <c r="AY698" s="313">
        <f>IFERROR(IF(INDEX([1]Pivot!$BF$1:$CG$65000,$B698,AY$5)=1,1,IF(INDEX([1]Pivot!$B$1:$AB$65000,$B698,AY$5)="",2,0)),0)</f>
        <v>0</v>
      </c>
      <c r="AZ698" s="313">
        <f>IFERROR(IF(INDEX([1]Pivot!$BF$1:$CG$65000,$B698,AZ$5)=1,1,IF(INDEX([1]Pivot!$B$1:$AB$65000,$B698,AZ$5)="",2,0)),0)</f>
        <v>0</v>
      </c>
      <c r="BA698" s="313">
        <f>IFERROR(IF(INDEX([1]Pivot!$BF$1:$CG$65000,$B698,BA$5)=1,1,IF(INDEX([1]Pivot!$B$1:$AB$65000,$B698,BA$5)="",2,0)),0)</f>
        <v>0</v>
      </c>
      <c r="BB698" s="313">
        <f>IFERROR(IF(INDEX([1]Pivot!$BF$1:$CG$65000,$B698,BB$5)=1,1,IF(INDEX([1]Pivot!$B$1:$AB$65000,$B698,BB$5)="",2,0)),0)</f>
        <v>0</v>
      </c>
      <c r="BC698" s="313">
        <f>IFERROR(IF(INDEX([1]Pivot!$BF$1:$CG$65000,$B698,BC$5)=1,1,IF(INDEX([1]Pivot!$B$1:$AB$65000,$B698,BC$5)="",2,0)),0)</f>
        <v>0</v>
      </c>
      <c r="BD698" s="313">
        <f>IFERROR(IF(INDEX([1]Pivot!$BF$1:$CG$65000,$B698,BD$5)=1,1,IF(INDEX([1]Pivot!$B$1:$AB$65000,$B698,BD$5)="",2,0)),0)</f>
        <v>0</v>
      </c>
    </row>
    <row r="699" spans="1:56" x14ac:dyDescent="0.25">
      <c r="A699" s="288">
        <f>'[2]Raw Milk Prices'!A699</f>
        <v>0</v>
      </c>
      <c r="B699" s="296" t="e">
        <f>MATCH(DATE(LEFT('[2]Raw Milk Prices'!$A699,4),RIGHT('[2]Raw Milk Prices'!$A699,2),1),[1]Pivot!$A$1:$A$65000,0)</f>
        <v>#VALUE!</v>
      </c>
      <c r="C699" s="194">
        <f>IFERROR(IF(INDEX([1]Pivot!$AD$1:$BE$65000,$B699,C$5)=1,1,IF(INDEX([1]Pivot!$B$1:$AB$65000,$B699,C$5)="",2,0)),0)</f>
        <v>0</v>
      </c>
      <c r="D699" s="194">
        <f>IFERROR(IF(INDEX([1]Pivot!$AD$1:$BE$65000,$B699,D$5)=1,1,IF(INDEX([1]Pivot!$B$1:$AB$65000,$B699,D$5)="",2,0)),0)</f>
        <v>0</v>
      </c>
      <c r="E699" s="194">
        <f>IFERROR(IF(INDEX([1]Pivot!$AD$1:$BE$65000,$B699,E$5)=1,1,IF(INDEX([1]Pivot!$B$1:$AB$65000,$B699,E$5)="",2,0)),0)</f>
        <v>0</v>
      </c>
      <c r="F699" s="194">
        <f>IFERROR(IF(INDEX([1]Pivot!$AD$1:$BE$65000,$B699,F$5)=1,1,IF(INDEX([1]Pivot!$B$1:$AB$65000,$B699,F$5)="",2,0)),0)</f>
        <v>0</v>
      </c>
      <c r="G699" s="194">
        <f>IFERROR(IF(INDEX([1]Pivot!$AD$1:$BE$65000,$B699,G$5)=1,1,IF(INDEX([1]Pivot!$B$1:$AB$65000,$B699,G$5)="",2,0)),0)</f>
        <v>0</v>
      </c>
      <c r="H699" s="194">
        <f>IFERROR(IF(INDEX([1]Pivot!$AD$1:$BE$65000,$B699,H$5)=1,1,IF(INDEX([1]Pivot!$B$1:$AB$65000,$B699,H$5)="",2,0)),0)</f>
        <v>0</v>
      </c>
      <c r="I699" s="194">
        <f>IFERROR(IF(INDEX([1]Pivot!$AD$1:$BE$65000,$B699,I$5)=1,1,IF(INDEX([1]Pivot!$B$1:$AB$65000,$B699,I$5)="",2,0)),0)</f>
        <v>0</v>
      </c>
      <c r="J699" s="194">
        <f>IFERROR(IF(INDEX([1]Pivot!$AD$1:$BE$65000,$B699,J$5)=1,1,IF(INDEX([1]Pivot!$B$1:$AB$65000,$B699,J$5)="",2,0)),0)</f>
        <v>0</v>
      </c>
      <c r="K699" s="194">
        <f>IFERROR(IF(INDEX([1]Pivot!$AD$1:$BE$65000,$B699,K$5)=1,1,IF(INDEX([1]Pivot!$B$1:$AB$65000,$B699,K$5)="",2,0)),0)</f>
        <v>0</v>
      </c>
      <c r="L699" s="194">
        <f>IFERROR(IF(INDEX([1]Pivot!$AD$1:$BE$65000,$B699,L$5)=1,1,IF(INDEX([1]Pivot!$B$1:$AB$65000,$B699,L$5)="",2,0)),0)</f>
        <v>0</v>
      </c>
      <c r="M699" s="194">
        <f>IFERROR(IF(INDEX([1]Pivot!$AD$1:$BE$65000,$B699,M$5)=1,1,IF(INDEX([1]Pivot!$B$1:$AB$65000,$B699,M$5)="",2,0)),0)</f>
        <v>0</v>
      </c>
      <c r="N699" s="194">
        <f>IFERROR(IF(INDEX([1]Pivot!$AD$1:$BE$65000,$B699,N$5)=1,1,IF(INDEX([1]Pivot!$B$1:$AB$65000,$B699,N$5)="",2,0)),0)</f>
        <v>0</v>
      </c>
      <c r="O699" s="194">
        <f>IFERROR(IF(INDEX([1]Pivot!$AD$1:$BE$65000,$B699,O$5)=1,1,IF(INDEX([1]Pivot!$B$1:$AB$65000,$B699,O$5)="",2,0)),0)</f>
        <v>0</v>
      </c>
      <c r="P699" s="194">
        <f>IFERROR(IF(INDEX([1]Pivot!$AD$1:$BE$65000,$B699,P$5)=1,1,IF(INDEX([1]Pivot!$B$1:$AB$65000,$B699,P$5)="",2,0)),0)</f>
        <v>0</v>
      </c>
      <c r="Q699" s="194">
        <f>IFERROR(IF(INDEX([1]Pivot!$AD$1:$BE$65000,$B699,Q$5)=1,1,IF(INDEX([1]Pivot!$B$1:$AB$65000,$B699,Q$5)="",2,0)),0)</f>
        <v>0</v>
      </c>
      <c r="R699" s="312"/>
      <c r="S699" s="194">
        <f>IFERROR(IF(INDEX([1]Pivot!$AD$1:$BE$65000,$B699,S$5)=1,1,IF(INDEX([1]Pivot!$B$1:$AB$65000,$B699,S$5)="",2,0)),0)</f>
        <v>0</v>
      </c>
      <c r="T699" s="194">
        <f>IFERROR(IF(INDEX([1]Pivot!$AD$1:$BE$65000,$B699,T$5)=1,1,IF(INDEX([1]Pivot!$B$1:$AB$65000,$B699,T$5)="",2,0)),0)</f>
        <v>0</v>
      </c>
      <c r="U699" s="194">
        <f>IFERROR(IF(INDEX([1]Pivot!$AD$1:$BE$65000,$B699,U$5)=1,1,IF(INDEX([1]Pivot!$B$1:$AB$65000,$B699,U$5)="",2,0)),0)</f>
        <v>0</v>
      </c>
      <c r="V699" s="194">
        <f>IFERROR(IF(INDEX([1]Pivot!$AD$1:$BE$65000,$B699,V$5)=1,1,IF(INDEX([1]Pivot!$B$1:$AB$65000,$B699,V$5)="",2,0)),0)</f>
        <v>0</v>
      </c>
      <c r="W699" s="194">
        <f>IFERROR(IF(INDEX([1]Pivot!$AD$1:$BE$65000,$B699,W$5)=1,1,IF(INDEX([1]Pivot!$B$1:$AB$65000,$B699,W$5)="",2,0)),0)</f>
        <v>0</v>
      </c>
      <c r="X699" s="194">
        <f>IFERROR(IF(INDEX([1]Pivot!$AD$1:$BE$65000,$B699,X$5)=1,1,IF(INDEX([1]Pivot!$B$1:$AB$65000,$B699,X$5)="",2,0)),0)</f>
        <v>0</v>
      </c>
      <c r="Y699" s="194">
        <f>IFERROR(IF(INDEX([1]Pivot!$AD$1:$BE$65000,$B699,Y$5)=1,1,IF(INDEX([1]Pivot!$B$1:$AB$65000,$B699,Y$5)="",2,0)),0)</f>
        <v>0</v>
      </c>
      <c r="Z699" s="194">
        <f>IFERROR(IF(INDEX([1]Pivot!$AD$1:$BE$65000,$B699,Z$5)=1,1,IF(INDEX([1]Pivot!$B$1:$AB$65000,$B699,Z$5)="",2,0)),0)</f>
        <v>0</v>
      </c>
      <c r="AA699" s="194">
        <f>IFERROR(IF(INDEX([1]Pivot!$AD$1:$BE$65000,$B699,AA$5)=1,1,IF(INDEX([1]Pivot!$B$1:$AB$65000,$B699,AA$5)="",2,0)),0)</f>
        <v>0</v>
      </c>
      <c r="AB699" s="194">
        <f>IFERROR(IF(INDEX([1]Pivot!$AD$1:$BE$65000,$B699,AB$5)=1,1,IF(INDEX([1]Pivot!$B$1:$AB$65000,$B699,AB$5)="",2,0)),0)</f>
        <v>0</v>
      </c>
      <c r="AC699" s="194">
        <f>IFERROR(IF(INDEX([1]Pivot!$AD$1:$BE$65000,$B699,AC$5)=1,1,IF(INDEX([1]Pivot!$B$1:$AB$65000,$B699,AC$5)="",2,0)),0)</f>
        <v>0</v>
      </c>
      <c r="AD699" s="313">
        <f>IFERROR(IF(INDEX([1]Pivot!$BF$1:$CG$65000,$B699,AD$5)=1,1,IF(INDEX([1]Pivot!$B$1:$AB$65000,$B699,AD$5)="",2,0)),0)</f>
        <v>0</v>
      </c>
      <c r="AE699" s="313">
        <f>IFERROR(IF(INDEX([1]Pivot!$BF$1:$CG$65000,$B699,AE$5)=1,1,IF(INDEX([1]Pivot!$B$1:$AB$65000,$B699,AE$5)="",2,0)),0)</f>
        <v>0</v>
      </c>
      <c r="AF699" s="313">
        <f>IFERROR(IF(INDEX([1]Pivot!$BF$1:$CG$65000,$B699,AF$5)=1,1,IF(INDEX([1]Pivot!$B$1:$AB$65000,$B699,AF$5)="",2,0)),0)</f>
        <v>0</v>
      </c>
      <c r="AG699" s="313">
        <f>IFERROR(IF(INDEX([1]Pivot!$BF$1:$CG$65000,$B699,AG$5)=1,1,IF(INDEX([1]Pivot!$B$1:$AB$65000,$B699,AG$5)="",2,0)),0)</f>
        <v>0</v>
      </c>
      <c r="AH699" s="313">
        <f>IFERROR(IF(INDEX([1]Pivot!$BF$1:$CG$65000,$B699,AH$5)=1,1,IF(INDEX([1]Pivot!$B$1:$AB$65000,$B699,AH$5)="",2,0)),0)</f>
        <v>0</v>
      </c>
      <c r="AI699" s="313">
        <f>IFERROR(IF(INDEX([1]Pivot!$BF$1:$CG$65000,$B699,AI$5)=1,1,IF(INDEX([1]Pivot!$B$1:$AB$65000,$B699,AI$5)="",2,0)),0)</f>
        <v>0</v>
      </c>
      <c r="AJ699" s="313">
        <f>IFERROR(IF(INDEX([1]Pivot!$BF$1:$CG$65000,$B699,AJ$5)=1,1,IF(INDEX([1]Pivot!$B$1:$AB$65000,$B699,AJ$5)="",2,0)),0)</f>
        <v>0</v>
      </c>
      <c r="AK699" s="313">
        <f>IFERROR(IF(INDEX([1]Pivot!$BF$1:$CG$65000,$B699,AK$5)=1,1,IF(INDEX([1]Pivot!$B$1:$AB$65000,$B699,AK$5)="",2,0)),0)</f>
        <v>0</v>
      </c>
      <c r="AL699" s="313">
        <f>IFERROR(IF(INDEX([1]Pivot!$BF$1:$CG$65000,$B699,AL$5)=1,1,IF(INDEX([1]Pivot!$B$1:$AB$65000,$B699,AL$5)="",2,0)),0)</f>
        <v>0</v>
      </c>
      <c r="AM699" s="313">
        <f>IFERROR(IF(INDEX([1]Pivot!$BF$1:$CG$65000,$B699,AM$5)=1,1,IF(INDEX([1]Pivot!$B$1:$AB$65000,$B699,AM$5)="",2,0)),0)</f>
        <v>0</v>
      </c>
      <c r="AN699" s="313">
        <f>IFERROR(IF(INDEX([1]Pivot!$BF$1:$CG$65000,$B699,AN$5)=1,1,IF(INDEX([1]Pivot!$B$1:$AB$65000,$B699,AN$5)="",2,0)),0)</f>
        <v>0</v>
      </c>
      <c r="AO699" s="313">
        <f>IFERROR(IF(INDEX([1]Pivot!$BF$1:$CG$65000,$B699,AO$5)=1,1,IF(INDEX([1]Pivot!$B$1:$AB$65000,$B699,AO$5)="",2,0)),0)</f>
        <v>0</v>
      </c>
      <c r="AP699" s="313">
        <f>IFERROR(IF(INDEX([1]Pivot!$BF$1:$CG$65000,$B699,AP$5)=1,1,IF(INDEX([1]Pivot!$B$1:$AB$65000,$B699,AP$5)="",2,0)),0)</f>
        <v>0</v>
      </c>
      <c r="AQ699" s="313">
        <f>IFERROR(IF(INDEX([1]Pivot!$BF$1:$CG$65000,$B699,AQ$5)=1,1,IF(INDEX([1]Pivot!$B$1:$AB$65000,$B699,AQ$5)="",2,0)),0)</f>
        <v>0</v>
      </c>
      <c r="AR699" s="313">
        <f>IFERROR(IF(INDEX([1]Pivot!$BF$1:$CG$65000,$B699,AR$5)=1,1,IF(INDEX([1]Pivot!$B$1:$AB$65000,$B699,AR$5)="",2,0)),0)</f>
        <v>0</v>
      </c>
      <c r="AS699" s="312"/>
      <c r="AT699" s="313">
        <f>IFERROR(IF(INDEX([1]Pivot!$BF$1:$CG$65000,$B699,AT$5)=1,1,IF(INDEX([1]Pivot!$B$1:$AB$65000,$B699,AT$5)="",2,0)),0)</f>
        <v>0</v>
      </c>
      <c r="AU699" s="313">
        <f>IFERROR(IF(INDEX([1]Pivot!$BF$1:$CG$65000,$B699,AU$5)=1,1,IF(INDEX([1]Pivot!$B$1:$AB$65000,$B699,AU$5)="",2,0)),0)</f>
        <v>0</v>
      </c>
      <c r="AV699" s="313">
        <f>IFERROR(IF(INDEX([1]Pivot!$BF$1:$CG$65000,$B699,AV$5)=1,1,IF(INDEX([1]Pivot!$B$1:$AB$65000,$B699,AV$5)="",2,0)),0)</f>
        <v>0</v>
      </c>
      <c r="AW699" s="313">
        <f>IFERROR(IF(INDEX([1]Pivot!$BF$1:$CG$65000,$B699,AW$5)=1,1,IF(INDEX([1]Pivot!$B$1:$AB$65000,$B699,AW$5)="",2,0)),0)</f>
        <v>0</v>
      </c>
      <c r="AX699" s="313">
        <f>IFERROR(IF(INDEX([1]Pivot!$BF$1:$CG$65000,$B699,AX$5)=1,1,IF(INDEX([1]Pivot!$B$1:$AB$65000,$B699,AX$5)="",2,0)),0)</f>
        <v>0</v>
      </c>
      <c r="AY699" s="313">
        <f>IFERROR(IF(INDEX([1]Pivot!$BF$1:$CG$65000,$B699,AY$5)=1,1,IF(INDEX([1]Pivot!$B$1:$AB$65000,$B699,AY$5)="",2,0)),0)</f>
        <v>0</v>
      </c>
      <c r="AZ699" s="313">
        <f>IFERROR(IF(INDEX([1]Pivot!$BF$1:$CG$65000,$B699,AZ$5)=1,1,IF(INDEX([1]Pivot!$B$1:$AB$65000,$B699,AZ$5)="",2,0)),0)</f>
        <v>0</v>
      </c>
      <c r="BA699" s="313">
        <f>IFERROR(IF(INDEX([1]Pivot!$BF$1:$CG$65000,$B699,BA$5)=1,1,IF(INDEX([1]Pivot!$B$1:$AB$65000,$B699,BA$5)="",2,0)),0)</f>
        <v>0</v>
      </c>
      <c r="BB699" s="313">
        <f>IFERROR(IF(INDEX([1]Pivot!$BF$1:$CG$65000,$B699,BB$5)=1,1,IF(INDEX([1]Pivot!$B$1:$AB$65000,$B699,BB$5)="",2,0)),0)</f>
        <v>0</v>
      </c>
      <c r="BC699" s="313">
        <f>IFERROR(IF(INDEX([1]Pivot!$BF$1:$CG$65000,$B699,BC$5)=1,1,IF(INDEX([1]Pivot!$B$1:$AB$65000,$B699,BC$5)="",2,0)),0)</f>
        <v>0</v>
      </c>
      <c r="BD699" s="313">
        <f>IFERROR(IF(INDEX([1]Pivot!$BF$1:$CG$65000,$B699,BD$5)=1,1,IF(INDEX([1]Pivot!$B$1:$AB$65000,$B699,BD$5)="",2,0)),0)</f>
        <v>0</v>
      </c>
    </row>
    <row r="700" spans="1:56" x14ac:dyDescent="0.25">
      <c r="A700" s="288">
        <f>'[2]Raw Milk Prices'!A700</f>
        <v>0</v>
      </c>
      <c r="B700" s="296" t="e">
        <f>MATCH(DATE(LEFT('[2]Raw Milk Prices'!$A700,4),RIGHT('[2]Raw Milk Prices'!$A700,2),1),[1]Pivot!$A$1:$A$65000,0)</f>
        <v>#VALUE!</v>
      </c>
      <c r="C700" s="194">
        <f>IFERROR(IF(INDEX([1]Pivot!$AD$1:$BE$65000,$B700,C$5)=1,1,IF(INDEX([1]Pivot!$B$1:$AB$65000,$B700,C$5)="",2,0)),0)</f>
        <v>0</v>
      </c>
      <c r="D700" s="194">
        <f>IFERROR(IF(INDEX([1]Pivot!$AD$1:$BE$65000,$B700,D$5)=1,1,IF(INDEX([1]Pivot!$B$1:$AB$65000,$B700,D$5)="",2,0)),0)</f>
        <v>0</v>
      </c>
      <c r="E700" s="194">
        <f>IFERROR(IF(INDEX([1]Pivot!$AD$1:$BE$65000,$B700,E$5)=1,1,IF(INDEX([1]Pivot!$B$1:$AB$65000,$B700,E$5)="",2,0)),0)</f>
        <v>0</v>
      </c>
      <c r="F700" s="194">
        <f>IFERROR(IF(INDEX([1]Pivot!$AD$1:$BE$65000,$B700,F$5)=1,1,IF(INDEX([1]Pivot!$B$1:$AB$65000,$B700,F$5)="",2,0)),0)</f>
        <v>0</v>
      </c>
      <c r="G700" s="194">
        <f>IFERROR(IF(INDEX([1]Pivot!$AD$1:$BE$65000,$B700,G$5)=1,1,IF(INDEX([1]Pivot!$B$1:$AB$65000,$B700,G$5)="",2,0)),0)</f>
        <v>0</v>
      </c>
      <c r="H700" s="194">
        <f>IFERROR(IF(INDEX([1]Pivot!$AD$1:$BE$65000,$B700,H$5)=1,1,IF(INDEX([1]Pivot!$B$1:$AB$65000,$B700,H$5)="",2,0)),0)</f>
        <v>0</v>
      </c>
      <c r="I700" s="194">
        <f>IFERROR(IF(INDEX([1]Pivot!$AD$1:$BE$65000,$B700,I$5)=1,1,IF(INDEX([1]Pivot!$B$1:$AB$65000,$B700,I$5)="",2,0)),0)</f>
        <v>0</v>
      </c>
      <c r="J700" s="194">
        <f>IFERROR(IF(INDEX([1]Pivot!$AD$1:$BE$65000,$B700,J$5)=1,1,IF(INDEX([1]Pivot!$B$1:$AB$65000,$B700,J$5)="",2,0)),0)</f>
        <v>0</v>
      </c>
      <c r="K700" s="194">
        <f>IFERROR(IF(INDEX([1]Pivot!$AD$1:$BE$65000,$B700,K$5)=1,1,IF(INDEX([1]Pivot!$B$1:$AB$65000,$B700,K$5)="",2,0)),0)</f>
        <v>0</v>
      </c>
      <c r="L700" s="194">
        <f>IFERROR(IF(INDEX([1]Pivot!$AD$1:$BE$65000,$B700,L$5)=1,1,IF(INDEX([1]Pivot!$B$1:$AB$65000,$B700,L$5)="",2,0)),0)</f>
        <v>0</v>
      </c>
      <c r="M700" s="194">
        <f>IFERROR(IF(INDEX([1]Pivot!$AD$1:$BE$65000,$B700,M$5)=1,1,IF(INDEX([1]Pivot!$B$1:$AB$65000,$B700,M$5)="",2,0)),0)</f>
        <v>0</v>
      </c>
      <c r="N700" s="194">
        <f>IFERROR(IF(INDEX([1]Pivot!$AD$1:$BE$65000,$B700,N$5)=1,1,IF(INDEX([1]Pivot!$B$1:$AB$65000,$B700,N$5)="",2,0)),0)</f>
        <v>0</v>
      </c>
      <c r="O700" s="194">
        <f>IFERROR(IF(INDEX([1]Pivot!$AD$1:$BE$65000,$B700,O$5)=1,1,IF(INDEX([1]Pivot!$B$1:$AB$65000,$B700,O$5)="",2,0)),0)</f>
        <v>0</v>
      </c>
      <c r="P700" s="194">
        <f>IFERROR(IF(INDEX([1]Pivot!$AD$1:$BE$65000,$B700,P$5)=1,1,IF(INDEX([1]Pivot!$B$1:$AB$65000,$B700,P$5)="",2,0)),0)</f>
        <v>0</v>
      </c>
      <c r="Q700" s="194">
        <f>IFERROR(IF(INDEX([1]Pivot!$AD$1:$BE$65000,$B700,Q$5)=1,1,IF(INDEX([1]Pivot!$B$1:$AB$65000,$B700,Q$5)="",2,0)),0)</f>
        <v>0</v>
      </c>
      <c r="R700" s="312"/>
      <c r="S700" s="194">
        <f>IFERROR(IF(INDEX([1]Pivot!$AD$1:$BE$65000,$B700,S$5)=1,1,IF(INDEX([1]Pivot!$B$1:$AB$65000,$B700,S$5)="",2,0)),0)</f>
        <v>0</v>
      </c>
      <c r="T700" s="194">
        <f>IFERROR(IF(INDEX([1]Pivot!$AD$1:$BE$65000,$B700,T$5)=1,1,IF(INDEX([1]Pivot!$B$1:$AB$65000,$B700,T$5)="",2,0)),0)</f>
        <v>0</v>
      </c>
      <c r="U700" s="194">
        <f>IFERROR(IF(INDEX([1]Pivot!$AD$1:$BE$65000,$B700,U$5)=1,1,IF(INDEX([1]Pivot!$B$1:$AB$65000,$B700,U$5)="",2,0)),0)</f>
        <v>0</v>
      </c>
      <c r="V700" s="194">
        <f>IFERROR(IF(INDEX([1]Pivot!$AD$1:$BE$65000,$B700,V$5)=1,1,IF(INDEX([1]Pivot!$B$1:$AB$65000,$B700,V$5)="",2,0)),0)</f>
        <v>0</v>
      </c>
      <c r="W700" s="194">
        <f>IFERROR(IF(INDEX([1]Pivot!$AD$1:$BE$65000,$B700,W$5)=1,1,IF(INDEX([1]Pivot!$B$1:$AB$65000,$B700,W$5)="",2,0)),0)</f>
        <v>0</v>
      </c>
      <c r="X700" s="194">
        <f>IFERROR(IF(INDEX([1]Pivot!$AD$1:$BE$65000,$B700,X$5)=1,1,IF(INDEX([1]Pivot!$B$1:$AB$65000,$B700,X$5)="",2,0)),0)</f>
        <v>0</v>
      </c>
      <c r="Y700" s="194">
        <f>IFERROR(IF(INDEX([1]Pivot!$AD$1:$BE$65000,$B700,Y$5)=1,1,IF(INDEX([1]Pivot!$B$1:$AB$65000,$B700,Y$5)="",2,0)),0)</f>
        <v>0</v>
      </c>
      <c r="Z700" s="194">
        <f>IFERROR(IF(INDEX([1]Pivot!$AD$1:$BE$65000,$B700,Z$5)=1,1,IF(INDEX([1]Pivot!$B$1:$AB$65000,$B700,Z$5)="",2,0)),0)</f>
        <v>0</v>
      </c>
      <c r="AA700" s="194">
        <f>IFERROR(IF(INDEX([1]Pivot!$AD$1:$BE$65000,$B700,AA$5)=1,1,IF(INDEX([1]Pivot!$B$1:$AB$65000,$B700,AA$5)="",2,0)),0)</f>
        <v>0</v>
      </c>
      <c r="AB700" s="194">
        <f>IFERROR(IF(INDEX([1]Pivot!$AD$1:$BE$65000,$B700,AB$5)=1,1,IF(INDEX([1]Pivot!$B$1:$AB$65000,$B700,AB$5)="",2,0)),0)</f>
        <v>0</v>
      </c>
      <c r="AC700" s="194">
        <f>IFERROR(IF(INDEX([1]Pivot!$AD$1:$BE$65000,$B700,AC$5)=1,1,IF(INDEX([1]Pivot!$B$1:$AB$65000,$B700,AC$5)="",2,0)),0)</f>
        <v>0</v>
      </c>
      <c r="AD700" s="313">
        <f>IFERROR(IF(INDEX([1]Pivot!$BF$1:$CG$65000,$B700,AD$5)=1,1,IF(INDEX([1]Pivot!$B$1:$AB$65000,$B700,AD$5)="",2,0)),0)</f>
        <v>0</v>
      </c>
      <c r="AE700" s="313">
        <f>IFERROR(IF(INDEX([1]Pivot!$BF$1:$CG$65000,$B700,AE$5)=1,1,IF(INDEX([1]Pivot!$B$1:$AB$65000,$B700,AE$5)="",2,0)),0)</f>
        <v>0</v>
      </c>
      <c r="AF700" s="313">
        <f>IFERROR(IF(INDEX([1]Pivot!$BF$1:$CG$65000,$B700,AF$5)=1,1,IF(INDEX([1]Pivot!$B$1:$AB$65000,$B700,AF$5)="",2,0)),0)</f>
        <v>0</v>
      </c>
      <c r="AG700" s="313">
        <f>IFERROR(IF(INDEX([1]Pivot!$BF$1:$CG$65000,$B700,AG$5)=1,1,IF(INDEX([1]Pivot!$B$1:$AB$65000,$B700,AG$5)="",2,0)),0)</f>
        <v>0</v>
      </c>
      <c r="AH700" s="313">
        <f>IFERROR(IF(INDEX([1]Pivot!$BF$1:$CG$65000,$B700,AH$5)=1,1,IF(INDEX([1]Pivot!$B$1:$AB$65000,$B700,AH$5)="",2,0)),0)</f>
        <v>0</v>
      </c>
      <c r="AI700" s="313">
        <f>IFERROR(IF(INDEX([1]Pivot!$BF$1:$CG$65000,$B700,AI$5)=1,1,IF(INDEX([1]Pivot!$B$1:$AB$65000,$B700,AI$5)="",2,0)),0)</f>
        <v>0</v>
      </c>
      <c r="AJ700" s="313">
        <f>IFERROR(IF(INDEX([1]Pivot!$BF$1:$CG$65000,$B700,AJ$5)=1,1,IF(INDEX([1]Pivot!$B$1:$AB$65000,$B700,AJ$5)="",2,0)),0)</f>
        <v>0</v>
      </c>
      <c r="AK700" s="313">
        <f>IFERROR(IF(INDEX([1]Pivot!$BF$1:$CG$65000,$B700,AK$5)=1,1,IF(INDEX([1]Pivot!$B$1:$AB$65000,$B700,AK$5)="",2,0)),0)</f>
        <v>0</v>
      </c>
      <c r="AL700" s="313">
        <f>IFERROR(IF(INDEX([1]Pivot!$BF$1:$CG$65000,$B700,AL$5)=1,1,IF(INDEX([1]Pivot!$B$1:$AB$65000,$B700,AL$5)="",2,0)),0)</f>
        <v>0</v>
      </c>
      <c r="AM700" s="313">
        <f>IFERROR(IF(INDEX([1]Pivot!$BF$1:$CG$65000,$B700,AM$5)=1,1,IF(INDEX([1]Pivot!$B$1:$AB$65000,$B700,AM$5)="",2,0)),0)</f>
        <v>0</v>
      </c>
      <c r="AN700" s="313">
        <f>IFERROR(IF(INDEX([1]Pivot!$BF$1:$CG$65000,$B700,AN$5)=1,1,IF(INDEX([1]Pivot!$B$1:$AB$65000,$B700,AN$5)="",2,0)),0)</f>
        <v>0</v>
      </c>
      <c r="AO700" s="313">
        <f>IFERROR(IF(INDEX([1]Pivot!$BF$1:$CG$65000,$B700,AO$5)=1,1,IF(INDEX([1]Pivot!$B$1:$AB$65000,$B700,AO$5)="",2,0)),0)</f>
        <v>0</v>
      </c>
      <c r="AP700" s="313">
        <f>IFERROR(IF(INDEX([1]Pivot!$BF$1:$CG$65000,$B700,AP$5)=1,1,IF(INDEX([1]Pivot!$B$1:$AB$65000,$B700,AP$5)="",2,0)),0)</f>
        <v>0</v>
      </c>
      <c r="AQ700" s="313">
        <f>IFERROR(IF(INDEX([1]Pivot!$BF$1:$CG$65000,$B700,AQ$5)=1,1,IF(INDEX([1]Pivot!$B$1:$AB$65000,$B700,AQ$5)="",2,0)),0)</f>
        <v>0</v>
      </c>
      <c r="AR700" s="313">
        <f>IFERROR(IF(INDEX([1]Pivot!$BF$1:$CG$65000,$B700,AR$5)=1,1,IF(INDEX([1]Pivot!$B$1:$AB$65000,$B700,AR$5)="",2,0)),0)</f>
        <v>0</v>
      </c>
      <c r="AS700" s="312"/>
      <c r="AT700" s="313">
        <f>IFERROR(IF(INDEX([1]Pivot!$BF$1:$CG$65000,$B700,AT$5)=1,1,IF(INDEX([1]Pivot!$B$1:$AB$65000,$B700,AT$5)="",2,0)),0)</f>
        <v>0</v>
      </c>
      <c r="AU700" s="313">
        <f>IFERROR(IF(INDEX([1]Pivot!$BF$1:$CG$65000,$B700,AU$5)=1,1,IF(INDEX([1]Pivot!$B$1:$AB$65000,$B700,AU$5)="",2,0)),0)</f>
        <v>0</v>
      </c>
      <c r="AV700" s="313">
        <f>IFERROR(IF(INDEX([1]Pivot!$BF$1:$CG$65000,$B700,AV$5)=1,1,IF(INDEX([1]Pivot!$B$1:$AB$65000,$B700,AV$5)="",2,0)),0)</f>
        <v>0</v>
      </c>
      <c r="AW700" s="313">
        <f>IFERROR(IF(INDEX([1]Pivot!$BF$1:$CG$65000,$B700,AW$5)=1,1,IF(INDEX([1]Pivot!$B$1:$AB$65000,$B700,AW$5)="",2,0)),0)</f>
        <v>0</v>
      </c>
      <c r="AX700" s="313">
        <f>IFERROR(IF(INDEX([1]Pivot!$BF$1:$CG$65000,$B700,AX$5)=1,1,IF(INDEX([1]Pivot!$B$1:$AB$65000,$B700,AX$5)="",2,0)),0)</f>
        <v>0</v>
      </c>
      <c r="AY700" s="313">
        <f>IFERROR(IF(INDEX([1]Pivot!$BF$1:$CG$65000,$B700,AY$5)=1,1,IF(INDEX([1]Pivot!$B$1:$AB$65000,$B700,AY$5)="",2,0)),0)</f>
        <v>0</v>
      </c>
      <c r="AZ700" s="313">
        <f>IFERROR(IF(INDEX([1]Pivot!$BF$1:$CG$65000,$B700,AZ$5)=1,1,IF(INDEX([1]Pivot!$B$1:$AB$65000,$B700,AZ$5)="",2,0)),0)</f>
        <v>0</v>
      </c>
      <c r="BA700" s="313">
        <f>IFERROR(IF(INDEX([1]Pivot!$BF$1:$CG$65000,$B700,BA$5)=1,1,IF(INDEX([1]Pivot!$B$1:$AB$65000,$B700,BA$5)="",2,0)),0)</f>
        <v>0</v>
      </c>
      <c r="BB700" s="313">
        <f>IFERROR(IF(INDEX([1]Pivot!$BF$1:$CG$65000,$B700,BB$5)=1,1,IF(INDEX([1]Pivot!$B$1:$AB$65000,$B700,BB$5)="",2,0)),0)</f>
        <v>0</v>
      </c>
      <c r="BC700" s="313">
        <f>IFERROR(IF(INDEX([1]Pivot!$BF$1:$CG$65000,$B700,BC$5)=1,1,IF(INDEX([1]Pivot!$B$1:$AB$65000,$B700,BC$5)="",2,0)),0)</f>
        <v>0</v>
      </c>
      <c r="BD700" s="313">
        <f>IFERROR(IF(INDEX([1]Pivot!$BF$1:$CG$65000,$B700,BD$5)=1,1,IF(INDEX([1]Pivot!$B$1:$AB$65000,$B700,BD$5)="",2,0)),0)</f>
        <v>0</v>
      </c>
    </row>
    <row r="701" spans="1:56" x14ac:dyDescent="0.25">
      <c r="A701" s="288">
        <f>'[2]Raw Milk Prices'!A701</f>
        <v>0</v>
      </c>
      <c r="B701" s="296" t="e">
        <f>MATCH(DATE(LEFT('[2]Raw Milk Prices'!$A701,4),RIGHT('[2]Raw Milk Prices'!$A701,2),1),[1]Pivot!$A$1:$A$65000,0)</f>
        <v>#VALUE!</v>
      </c>
      <c r="C701" s="194">
        <f>IFERROR(IF(INDEX([1]Pivot!$AD$1:$BE$65000,$B701,C$5)=1,1,IF(INDEX([1]Pivot!$B$1:$AB$65000,$B701,C$5)="",2,0)),0)</f>
        <v>0</v>
      </c>
      <c r="D701" s="194">
        <f>IFERROR(IF(INDEX([1]Pivot!$AD$1:$BE$65000,$B701,D$5)=1,1,IF(INDEX([1]Pivot!$B$1:$AB$65000,$B701,D$5)="",2,0)),0)</f>
        <v>0</v>
      </c>
      <c r="E701" s="194">
        <f>IFERROR(IF(INDEX([1]Pivot!$AD$1:$BE$65000,$B701,E$5)=1,1,IF(INDEX([1]Pivot!$B$1:$AB$65000,$B701,E$5)="",2,0)),0)</f>
        <v>0</v>
      </c>
      <c r="F701" s="194">
        <f>IFERROR(IF(INDEX([1]Pivot!$AD$1:$BE$65000,$B701,F$5)=1,1,IF(INDEX([1]Pivot!$B$1:$AB$65000,$B701,F$5)="",2,0)),0)</f>
        <v>0</v>
      </c>
      <c r="G701" s="194">
        <f>IFERROR(IF(INDEX([1]Pivot!$AD$1:$BE$65000,$B701,G$5)=1,1,IF(INDEX([1]Pivot!$B$1:$AB$65000,$B701,G$5)="",2,0)),0)</f>
        <v>0</v>
      </c>
      <c r="H701" s="194">
        <f>IFERROR(IF(INDEX([1]Pivot!$AD$1:$BE$65000,$B701,H$5)=1,1,IF(INDEX([1]Pivot!$B$1:$AB$65000,$B701,H$5)="",2,0)),0)</f>
        <v>0</v>
      </c>
      <c r="I701" s="194">
        <f>IFERROR(IF(INDEX([1]Pivot!$AD$1:$BE$65000,$B701,I$5)=1,1,IF(INDEX([1]Pivot!$B$1:$AB$65000,$B701,I$5)="",2,0)),0)</f>
        <v>0</v>
      </c>
      <c r="J701" s="194">
        <f>IFERROR(IF(INDEX([1]Pivot!$AD$1:$BE$65000,$B701,J$5)=1,1,IF(INDEX([1]Pivot!$B$1:$AB$65000,$B701,J$5)="",2,0)),0)</f>
        <v>0</v>
      </c>
      <c r="K701" s="194">
        <f>IFERROR(IF(INDEX([1]Pivot!$AD$1:$BE$65000,$B701,K$5)=1,1,IF(INDEX([1]Pivot!$B$1:$AB$65000,$B701,K$5)="",2,0)),0)</f>
        <v>0</v>
      </c>
      <c r="L701" s="194">
        <f>IFERROR(IF(INDEX([1]Pivot!$AD$1:$BE$65000,$B701,L$5)=1,1,IF(INDEX([1]Pivot!$B$1:$AB$65000,$B701,L$5)="",2,0)),0)</f>
        <v>0</v>
      </c>
      <c r="M701" s="194">
        <f>IFERROR(IF(INDEX([1]Pivot!$AD$1:$BE$65000,$B701,M$5)=1,1,IF(INDEX([1]Pivot!$B$1:$AB$65000,$B701,M$5)="",2,0)),0)</f>
        <v>0</v>
      </c>
      <c r="N701" s="194">
        <f>IFERROR(IF(INDEX([1]Pivot!$AD$1:$BE$65000,$B701,N$5)=1,1,IF(INDEX([1]Pivot!$B$1:$AB$65000,$B701,N$5)="",2,0)),0)</f>
        <v>0</v>
      </c>
      <c r="O701" s="194">
        <f>IFERROR(IF(INDEX([1]Pivot!$AD$1:$BE$65000,$B701,O$5)=1,1,IF(INDEX([1]Pivot!$B$1:$AB$65000,$B701,O$5)="",2,0)),0)</f>
        <v>0</v>
      </c>
      <c r="P701" s="194">
        <f>IFERROR(IF(INDEX([1]Pivot!$AD$1:$BE$65000,$B701,P$5)=1,1,IF(INDEX([1]Pivot!$B$1:$AB$65000,$B701,P$5)="",2,0)),0)</f>
        <v>0</v>
      </c>
      <c r="Q701" s="194">
        <f>IFERROR(IF(INDEX([1]Pivot!$AD$1:$BE$65000,$B701,Q$5)=1,1,IF(INDEX([1]Pivot!$B$1:$AB$65000,$B701,Q$5)="",2,0)),0)</f>
        <v>0</v>
      </c>
      <c r="R701" s="312"/>
      <c r="S701" s="194">
        <f>IFERROR(IF(INDEX([1]Pivot!$AD$1:$BE$65000,$B701,S$5)=1,1,IF(INDEX([1]Pivot!$B$1:$AB$65000,$B701,S$5)="",2,0)),0)</f>
        <v>0</v>
      </c>
      <c r="T701" s="194">
        <f>IFERROR(IF(INDEX([1]Pivot!$AD$1:$BE$65000,$B701,T$5)=1,1,IF(INDEX([1]Pivot!$B$1:$AB$65000,$B701,T$5)="",2,0)),0)</f>
        <v>0</v>
      </c>
      <c r="U701" s="194">
        <f>IFERROR(IF(INDEX([1]Pivot!$AD$1:$BE$65000,$B701,U$5)=1,1,IF(INDEX([1]Pivot!$B$1:$AB$65000,$B701,U$5)="",2,0)),0)</f>
        <v>0</v>
      </c>
      <c r="V701" s="194">
        <f>IFERROR(IF(INDEX([1]Pivot!$AD$1:$BE$65000,$B701,V$5)=1,1,IF(INDEX([1]Pivot!$B$1:$AB$65000,$B701,V$5)="",2,0)),0)</f>
        <v>0</v>
      </c>
      <c r="W701" s="194">
        <f>IFERROR(IF(INDEX([1]Pivot!$AD$1:$BE$65000,$B701,W$5)=1,1,IF(INDEX([1]Pivot!$B$1:$AB$65000,$B701,W$5)="",2,0)),0)</f>
        <v>0</v>
      </c>
      <c r="X701" s="194">
        <f>IFERROR(IF(INDEX([1]Pivot!$AD$1:$BE$65000,$B701,X$5)=1,1,IF(INDEX([1]Pivot!$B$1:$AB$65000,$B701,X$5)="",2,0)),0)</f>
        <v>0</v>
      </c>
      <c r="Y701" s="194">
        <f>IFERROR(IF(INDEX([1]Pivot!$AD$1:$BE$65000,$B701,Y$5)=1,1,IF(INDEX([1]Pivot!$B$1:$AB$65000,$B701,Y$5)="",2,0)),0)</f>
        <v>0</v>
      </c>
      <c r="Z701" s="194">
        <f>IFERROR(IF(INDEX([1]Pivot!$AD$1:$BE$65000,$B701,Z$5)=1,1,IF(INDEX([1]Pivot!$B$1:$AB$65000,$B701,Z$5)="",2,0)),0)</f>
        <v>0</v>
      </c>
      <c r="AA701" s="194">
        <f>IFERROR(IF(INDEX([1]Pivot!$AD$1:$BE$65000,$B701,AA$5)=1,1,IF(INDEX([1]Pivot!$B$1:$AB$65000,$B701,AA$5)="",2,0)),0)</f>
        <v>0</v>
      </c>
      <c r="AB701" s="194">
        <f>IFERROR(IF(INDEX([1]Pivot!$AD$1:$BE$65000,$B701,AB$5)=1,1,IF(INDEX([1]Pivot!$B$1:$AB$65000,$B701,AB$5)="",2,0)),0)</f>
        <v>0</v>
      </c>
      <c r="AC701" s="194">
        <f>IFERROR(IF(INDEX([1]Pivot!$AD$1:$BE$65000,$B701,AC$5)=1,1,IF(INDEX([1]Pivot!$B$1:$AB$65000,$B701,AC$5)="",2,0)),0)</f>
        <v>0</v>
      </c>
      <c r="AD701" s="313">
        <f>IFERROR(IF(INDEX([1]Pivot!$BF$1:$CG$65000,$B701,AD$5)=1,1,IF(INDEX([1]Pivot!$B$1:$AB$65000,$B701,AD$5)="",2,0)),0)</f>
        <v>0</v>
      </c>
      <c r="AE701" s="313">
        <f>IFERROR(IF(INDEX([1]Pivot!$BF$1:$CG$65000,$B701,AE$5)=1,1,IF(INDEX([1]Pivot!$B$1:$AB$65000,$B701,AE$5)="",2,0)),0)</f>
        <v>0</v>
      </c>
      <c r="AF701" s="313">
        <f>IFERROR(IF(INDEX([1]Pivot!$BF$1:$CG$65000,$B701,AF$5)=1,1,IF(INDEX([1]Pivot!$B$1:$AB$65000,$B701,AF$5)="",2,0)),0)</f>
        <v>0</v>
      </c>
      <c r="AG701" s="313">
        <f>IFERROR(IF(INDEX([1]Pivot!$BF$1:$CG$65000,$B701,AG$5)=1,1,IF(INDEX([1]Pivot!$B$1:$AB$65000,$B701,AG$5)="",2,0)),0)</f>
        <v>0</v>
      </c>
      <c r="AH701" s="313">
        <f>IFERROR(IF(INDEX([1]Pivot!$BF$1:$CG$65000,$B701,AH$5)=1,1,IF(INDEX([1]Pivot!$B$1:$AB$65000,$B701,AH$5)="",2,0)),0)</f>
        <v>0</v>
      </c>
      <c r="AI701" s="313">
        <f>IFERROR(IF(INDEX([1]Pivot!$BF$1:$CG$65000,$B701,AI$5)=1,1,IF(INDEX([1]Pivot!$B$1:$AB$65000,$B701,AI$5)="",2,0)),0)</f>
        <v>0</v>
      </c>
      <c r="AJ701" s="313">
        <f>IFERROR(IF(INDEX([1]Pivot!$BF$1:$CG$65000,$B701,AJ$5)=1,1,IF(INDEX([1]Pivot!$B$1:$AB$65000,$B701,AJ$5)="",2,0)),0)</f>
        <v>0</v>
      </c>
      <c r="AK701" s="313">
        <f>IFERROR(IF(INDEX([1]Pivot!$BF$1:$CG$65000,$B701,AK$5)=1,1,IF(INDEX([1]Pivot!$B$1:$AB$65000,$B701,AK$5)="",2,0)),0)</f>
        <v>0</v>
      </c>
      <c r="AL701" s="313">
        <f>IFERROR(IF(INDEX([1]Pivot!$BF$1:$CG$65000,$B701,AL$5)=1,1,IF(INDEX([1]Pivot!$B$1:$AB$65000,$B701,AL$5)="",2,0)),0)</f>
        <v>0</v>
      </c>
      <c r="AM701" s="313">
        <f>IFERROR(IF(INDEX([1]Pivot!$BF$1:$CG$65000,$B701,AM$5)=1,1,IF(INDEX([1]Pivot!$B$1:$AB$65000,$B701,AM$5)="",2,0)),0)</f>
        <v>0</v>
      </c>
      <c r="AN701" s="313">
        <f>IFERROR(IF(INDEX([1]Pivot!$BF$1:$CG$65000,$B701,AN$5)=1,1,IF(INDEX([1]Pivot!$B$1:$AB$65000,$B701,AN$5)="",2,0)),0)</f>
        <v>0</v>
      </c>
      <c r="AO701" s="313">
        <f>IFERROR(IF(INDEX([1]Pivot!$BF$1:$CG$65000,$B701,AO$5)=1,1,IF(INDEX([1]Pivot!$B$1:$AB$65000,$B701,AO$5)="",2,0)),0)</f>
        <v>0</v>
      </c>
      <c r="AP701" s="313">
        <f>IFERROR(IF(INDEX([1]Pivot!$BF$1:$CG$65000,$B701,AP$5)=1,1,IF(INDEX([1]Pivot!$B$1:$AB$65000,$B701,AP$5)="",2,0)),0)</f>
        <v>0</v>
      </c>
      <c r="AQ701" s="313">
        <f>IFERROR(IF(INDEX([1]Pivot!$BF$1:$CG$65000,$B701,AQ$5)=1,1,IF(INDEX([1]Pivot!$B$1:$AB$65000,$B701,AQ$5)="",2,0)),0)</f>
        <v>0</v>
      </c>
      <c r="AR701" s="313">
        <f>IFERROR(IF(INDEX([1]Pivot!$BF$1:$CG$65000,$B701,AR$5)=1,1,IF(INDEX([1]Pivot!$B$1:$AB$65000,$B701,AR$5)="",2,0)),0)</f>
        <v>0</v>
      </c>
      <c r="AS701" s="312"/>
      <c r="AT701" s="313">
        <f>IFERROR(IF(INDEX([1]Pivot!$BF$1:$CG$65000,$B701,AT$5)=1,1,IF(INDEX([1]Pivot!$B$1:$AB$65000,$B701,AT$5)="",2,0)),0)</f>
        <v>0</v>
      </c>
      <c r="AU701" s="313">
        <f>IFERROR(IF(INDEX([1]Pivot!$BF$1:$CG$65000,$B701,AU$5)=1,1,IF(INDEX([1]Pivot!$B$1:$AB$65000,$B701,AU$5)="",2,0)),0)</f>
        <v>0</v>
      </c>
      <c r="AV701" s="313">
        <f>IFERROR(IF(INDEX([1]Pivot!$BF$1:$CG$65000,$B701,AV$5)=1,1,IF(INDEX([1]Pivot!$B$1:$AB$65000,$B701,AV$5)="",2,0)),0)</f>
        <v>0</v>
      </c>
      <c r="AW701" s="313">
        <f>IFERROR(IF(INDEX([1]Pivot!$BF$1:$CG$65000,$B701,AW$5)=1,1,IF(INDEX([1]Pivot!$B$1:$AB$65000,$B701,AW$5)="",2,0)),0)</f>
        <v>0</v>
      </c>
      <c r="AX701" s="313">
        <f>IFERROR(IF(INDEX([1]Pivot!$BF$1:$CG$65000,$B701,AX$5)=1,1,IF(INDEX([1]Pivot!$B$1:$AB$65000,$B701,AX$5)="",2,0)),0)</f>
        <v>0</v>
      </c>
      <c r="AY701" s="313">
        <f>IFERROR(IF(INDEX([1]Pivot!$BF$1:$CG$65000,$B701,AY$5)=1,1,IF(INDEX([1]Pivot!$B$1:$AB$65000,$B701,AY$5)="",2,0)),0)</f>
        <v>0</v>
      </c>
      <c r="AZ701" s="313">
        <f>IFERROR(IF(INDEX([1]Pivot!$BF$1:$CG$65000,$B701,AZ$5)=1,1,IF(INDEX([1]Pivot!$B$1:$AB$65000,$B701,AZ$5)="",2,0)),0)</f>
        <v>0</v>
      </c>
      <c r="BA701" s="313">
        <f>IFERROR(IF(INDEX([1]Pivot!$BF$1:$CG$65000,$B701,BA$5)=1,1,IF(INDEX([1]Pivot!$B$1:$AB$65000,$B701,BA$5)="",2,0)),0)</f>
        <v>0</v>
      </c>
      <c r="BB701" s="313">
        <f>IFERROR(IF(INDEX([1]Pivot!$BF$1:$CG$65000,$B701,BB$5)=1,1,IF(INDEX([1]Pivot!$B$1:$AB$65000,$B701,BB$5)="",2,0)),0)</f>
        <v>0</v>
      </c>
      <c r="BC701" s="313">
        <f>IFERROR(IF(INDEX([1]Pivot!$BF$1:$CG$65000,$B701,BC$5)=1,1,IF(INDEX([1]Pivot!$B$1:$AB$65000,$B701,BC$5)="",2,0)),0)</f>
        <v>0</v>
      </c>
      <c r="BD701" s="313">
        <f>IFERROR(IF(INDEX([1]Pivot!$BF$1:$CG$65000,$B701,BD$5)=1,1,IF(INDEX([1]Pivot!$B$1:$AB$65000,$B701,BD$5)="",2,0)),0)</f>
        <v>0</v>
      </c>
    </row>
    <row r="702" spans="1:56" x14ac:dyDescent="0.25">
      <c r="A702" s="288">
        <f>'[2]Raw Milk Prices'!A702</f>
        <v>0</v>
      </c>
      <c r="B702" s="296" t="e">
        <f>MATCH(DATE(LEFT('[2]Raw Milk Prices'!$A702,4),RIGHT('[2]Raw Milk Prices'!$A702,2),1),[1]Pivot!$A$1:$A$65000,0)</f>
        <v>#VALUE!</v>
      </c>
      <c r="C702" s="194">
        <f>IFERROR(IF(INDEX([1]Pivot!$AD$1:$BE$65000,$B702,C$5)=1,1,IF(INDEX([1]Pivot!$B$1:$AB$65000,$B702,C$5)="",2,0)),0)</f>
        <v>0</v>
      </c>
      <c r="D702" s="194">
        <f>IFERROR(IF(INDEX([1]Pivot!$AD$1:$BE$65000,$B702,D$5)=1,1,IF(INDEX([1]Pivot!$B$1:$AB$65000,$B702,D$5)="",2,0)),0)</f>
        <v>0</v>
      </c>
      <c r="E702" s="194">
        <f>IFERROR(IF(INDEX([1]Pivot!$AD$1:$BE$65000,$B702,E$5)=1,1,IF(INDEX([1]Pivot!$B$1:$AB$65000,$B702,E$5)="",2,0)),0)</f>
        <v>0</v>
      </c>
      <c r="F702" s="194">
        <f>IFERROR(IF(INDEX([1]Pivot!$AD$1:$BE$65000,$B702,F$5)=1,1,IF(INDEX([1]Pivot!$B$1:$AB$65000,$B702,F$5)="",2,0)),0)</f>
        <v>0</v>
      </c>
      <c r="G702" s="194">
        <f>IFERROR(IF(INDEX([1]Pivot!$AD$1:$BE$65000,$B702,G$5)=1,1,IF(INDEX([1]Pivot!$B$1:$AB$65000,$B702,G$5)="",2,0)),0)</f>
        <v>0</v>
      </c>
      <c r="H702" s="194">
        <f>IFERROR(IF(INDEX([1]Pivot!$AD$1:$BE$65000,$B702,H$5)=1,1,IF(INDEX([1]Pivot!$B$1:$AB$65000,$B702,H$5)="",2,0)),0)</f>
        <v>0</v>
      </c>
      <c r="I702" s="194">
        <f>IFERROR(IF(INDEX([1]Pivot!$AD$1:$BE$65000,$B702,I$5)=1,1,IF(INDEX([1]Pivot!$B$1:$AB$65000,$B702,I$5)="",2,0)),0)</f>
        <v>0</v>
      </c>
      <c r="J702" s="194">
        <f>IFERROR(IF(INDEX([1]Pivot!$AD$1:$BE$65000,$B702,J$5)=1,1,IF(INDEX([1]Pivot!$B$1:$AB$65000,$B702,J$5)="",2,0)),0)</f>
        <v>0</v>
      </c>
      <c r="K702" s="194">
        <f>IFERROR(IF(INDEX([1]Pivot!$AD$1:$BE$65000,$B702,K$5)=1,1,IF(INDEX([1]Pivot!$B$1:$AB$65000,$B702,K$5)="",2,0)),0)</f>
        <v>0</v>
      </c>
      <c r="L702" s="194">
        <f>IFERROR(IF(INDEX([1]Pivot!$AD$1:$BE$65000,$B702,L$5)=1,1,IF(INDEX([1]Pivot!$B$1:$AB$65000,$B702,L$5)="",2,0)),0)</f>
        <v>0</v>
      </c>
      <c r="M702" s="194">
        <f>IFERROR(IF(INDEX([1]Pivot!$AD$1:$BE$65000,$B702,M$5)=1,1,IF(INDEX([1]Pivot!$B$1:$AB$65000,$B702,M$5)="",2,0)),0)</f>
        <v>0</v>
      </c>
      <c r="N702" s="194">
        <f>IFERROR(IF(INDEX([1]Pivot!$AD$1:$BE$65000,$B702,N$5)=1,1,IF(INDEX([1]Pivot!$B$1:$AB$65000,$B702,N$5)="",2,0)),0)</f>
        <v>0</v>
      </c>
      <c r="O702" s="194">
        <f>IFERROR(IF(INDEX([1]Pivot!$AD$1:$BE$65000,$B702,O$5)=1,1,IF(INDEX([1]Pivot!$B$1:$AB$65000,$B702,O$5)="",2,0)),0)</f>
        <v>0</v>
      </c>
      <c r="P702" s="194">
        <f>IFERROR(IF(INDEX([1]Pivot!$AD$1:$BE$65000,$B702,P$5)=1,1,IF(INDEX([1]Pivot!$B$1:$AB$65000,$B702,P$5)="",2,0)),0)</f>
        <v>0</v>
      </c>
      <c r="Q702" s="194">
        <f>IFERROR(IF(INDEX([1]Pivot!$AD$1:$BE$65000,$B702,Q$5)=1,1,IF(INDEX([1]Pivot!$B$1:$AB$65000,$B702,Q$5)="",2,0)),0)</f>
        <v>0</v>
      </c>
      <c r="R702" s="312"/>
      <c r="S702" s="194">
        <f>IFERROR(IF(INDEX([1]Pivot!$AD$1:$BE$65000,$B702,S$5)=1,1,IF(INDEX([1]Pivot!$B$1:$AB$65000,$B702,S$5)="",2,0)),0)</f>
        <v>0</v>
      </c>
      <c r="T702" s="194">
        <f>IFERROR(IF(INDEX([1]Pivot!$AD$1:$BE$65000,$B702,T$5)=1,1,IF(INDEX([1]Pivot!$B$1:$AB$65000,$B702,T$5)="",2,0)),0)</f>
        <v>0</v>
      </c>
      <c r="U702" s="194">
        <f>IFERROR(IF(INDEX([1]Pivot!$AD$1:$BE$65000,$B702,U$5)=1,1,IF(INDEX([1]Pivot!$B$1:$AB$65000,$B702,U$5)="",2,0)),0)</f>
        <v>0</v>
      </c>
      <c r="V702" s="194">
        <f>IFERROR(IF(INDEX([1]Pivot!$AD$1:$BE$65000,$B702,V$5)=1,1,IF(INDEX([1]Pivot!$B$1:$AB$65000,$B702,V$5)="",2,0)),0)</f>
        <v>0</v>
      </c>
      <c r="W702" s="194">
        <f>IFERROR(IF(INDEX([1]Pivot!$AD$1:$BE$65000,$B702,W$5)=1,1,IF(INDEX([1]Pivot!$B$1:$AB$65000,$B702,W$5)="",2,0)),0)</f>
        <v>0</v>
      </c>
      <c r="X702" s="194">
        <f>IFERROR(IF(INDEX([1]Pivot!$AD$1:$BE$65000,$B702,X$5)=1,1,IF(INDEX([1]Pivot!$B$1:$AB$65000,$B702,X$5)="",2,0)),0)</f>
        <v>0</v>
      </c>
      <c r="Y702" s="194">
        <f>IFERROR(IF(INDEX([1]Pivot!$AD$1:$BE$65000,$B702,Y$5)=1,1,IF(INDEX([1]Pivot!$B$1:$AB$65000,$B702,Y$5)="",2,0)),0)</f>
        <v>0</v>
      </c>
      <c r="Z702" s="194">
        <f>IFERROR(IF(INDEX([1]Pivot!$AD$1:$BE$65000,$B702,Z$5)=1,1,IF(INDEX([1]Pivot!$B$1:$AB$65000,$B702,Z$5)="",2,0)),0)</f>
        <v>0</v>
      </c>
      <c r="AA702" s="194">
        <f>IFERROR(IF(INDEX([1]Pivot!$AD$1:$BE$65000,$B702,AA$5)=1,1,IF(INDEX([1]Pivot!$B$1:$AB$65000,$B702,AA$5)="",2,0)),0)</f>
        <v>0</v>
      </c>
      <c r="AB702" s="194">
        <f>IFERROR(IF(INDEX([1]Pivot!$AD$1:$BE$65000,$B702,AB$5)=1,1,IF(INDEX([1]Pivot!$B$1:$AB$65000,$B702,AB$5)="",2,0)),0)</f>
        <v>0</v>
      </c>
      <c r="AC702" s="194">
        <f>IFERROR(IF(INDEX([1]Pivot!$AD$1:$BE$65000,$B702,AC$5)=1,1,IF(INDEX([1]Pivot!$B$1:$AB$65000,$B702,AC$5)="",2,0)),0)</f>
        <v>0</v>
      </c>
      <c r="AD702" s="313">
        <f>IFERROR(IF(INDEX([1]Pivot!$BF$1:$CG$65000,$B702,AD$5)=1,1,IF(INDEX([1]Pivot!$B$1:$AB$65000,$B702,AD$5)="",2,0)),0)</f>
        <v>0</v>
      </c>
      <c r="AE702" s="313">
        <f>IFERROR(IF(INDEX([1]Pivot!$BF$1:$CG$65000,$B702,AE$5)=1,1,IF(INDEX([1]Pivot!$B$1:$AB$65000,$B702,AE$5)="",2,0)),0)</f>
        <v>0</v>
      </c>
      <c r="AF702" s="313">
        <f>IFERROR(IF(INDEX([1]Pivot!$BF$1:$CG$65000,$B702,AF$5)=1,1,IF(INDEX([1]Pivot!$B$1:$AB$65000,$B702,AF$5)="",2,0)),0)</f>
        <v>0</v>
      </c>
      <c r="AG702" s="313">
        <f>IFERROR(IF(INDEX([1]Pivot!$BF$1:$CG$65000,$B702,AG$5)=1,1,IF(INDEX([1]Pivot!$B$1:$AB$65000,$B702,AG$5)="",2,0)),0)</f>
        <v>0</v>
      </c>
      <c r="AH702" s="313">
        <f>IFERROR(IF(INDEX([1]Pivot!$BF$1:$CG$65000,$B702,AH$5)=1,1,IF(INDEX([1]Pivot!$B$1:$AB$65000,$B702,AH$5)="",2,0)),0)</f>
        <v>0</v>
      </c>
      <c r="AI702" s="313">
        <f>IFERROR(IF(INDEX([1]Pivot!$BF$1:$CG$65000,$B702,AI$5)=1,1,IF(INDEX([1]Pivot!$B$1:$AB$65000,$B702,AI$5)="",2,0)),0)</f>
        <v>0</v>
      </c>
      <c r="AJ702" s="313">
        <f>IFERROR(IF(INDEX([1]Pivot!$BF$1:$CG$65000,$B702,AJ$5)=1,1,IF(INDEX([1]Pivot!$B$1:$AB$65000,$B702,AJ$5)="",2,0)),0)</f>
        <v>0</v>
      </c>
      <c r="AK702" s="313">
        <f>IFERROR(IF(INDEX([1]Pivot!$BF$1:$CG$65000,$B702,AK$5)=1,1,IF(INDEX([1]Pivot!$B$1:$AB$65000,$B702,AK$5)="",2,0)),0)</f>
        <v>0</v>
      </c>
      <c r="AL702" s="313">
        <f>IFERROR(IF(INDEX([1]Pivot!$BF$1:$CG$65000,$B702,AL$5)=1,1,IF(INDEX([1]Pivot!$B$1:$AB$65000,$B702,AL$5)="",2,0)),0)</f>
        <v>0</v>
      </c>
      <c r="AM702" s="313">
        <f>IFERROR(IF(INDEX([1]Pivot!$BF$1:$CG$65000,$B702,AM$5)=1,1,IF(INDEX([1]Pivot!$B$1:$AB$65000,$B702,AM$5)="",2,0)),0)</f>
        <v>0</v>
      </c>
      <c r="AN702" s="313">
        <f>IFERROR(IF(INDEX([1]Pivot!$BF$1:$CG$65000,$B702,AN$5)=1,1,IF(INDEX([1]Pivot!$B$1:$AB$65000,$B702,AN$5)="",2,0)),0)</f>
        <v>0</v>
      </c>
      <c r="AO702" s="313">
        <f>IFERROR(IF(INDEX([1]Pivot!$BF$1:$CG$65000,$B702,AO$5)=1,1,IF(INDEX([1]Pivot!$B$1:$AB$65000,$B702,AO$5)="",2,0)),0)</f>
        <v>0</v>
      </c>
      <c r="AP702" s="313">
        <f>IFERROR(IF(INDEX([1]Pivot!$BF$1:$CG$65000,$B702,AP$5)=1,1,IF(INDEX([1]Pivot!$B$1:$AB$65000,$B702,AP$5)="",2,0)),0)</f>
        <v>0</v>
      </c>
      <c r="AQ702" s="313">
        <f>IFERROR(IF(INDEX([1]Pivot!$BF$1:$CG$65000,$B702,AQ$5)=1,1,IF(INDEX([1]Pivot!$B$1:$AB$65000,$B702,AQ$5)="",2,0)),0)</f>
        <v>0</v>
      </c>
      <c r="AR702" s="313">
        <f>IFERROR(IF(INDEX([1]Pivot!$BF$1:$CG$65000,$B702,AR$5)=1,1,IF(INDEX([1]Pivot!$B$1:$AB$65000,$B702,AR$5)="",2,0)),0)</f>
        <v>0</v>
      </c>
      <c r="AS702" s="312"/>
      <c r="AT702" s="313">
        <f>IFERROR(IF(INDEX([1]Pivot!$BF$1:$CG$65000,$B702,AT$5)=1,1,IF(INDEX([1]Pivot!$B$1:$AB$65000,$B702,AT$5)="",2,0)),0)</f>
        <v>0</v>
      </c>
      <c r="AU702" s="313">
        <f>IFERROR(IF(INDEX([1]Pivot!$BF$1:$CG$65000,$B702,AU$5)=1,1,IF(INDEX([1]Pivot!$B$1:$AB$65000,$B702,AU$5)="",2,0)),0)</f>
        <v>0</v>
      </c>
      <c r="AV702" s="313">
        <f>IFERROR(IF(INDEX([1]Pivot!$BF$1:$CG$65000,$B702,AV$5)=1,1,IF(INDEX([1]Pivot!$B$1:$AB$65000,$B702,AV$5)="",2,0)),0)</f>
        <v>0</v>
      </c>
      <c r="AW702" s="313">
        <f>IFERROR(IF(INDEX([1]Pivot!$BF$1:$CG$65000,$B702,AW$5)=1,1,IF(INDEX([1]Pivot!$B$1:$AB$65000,$B702,AW$5)="",2,0)),0)</f>
        <v>0</v>
      </c>
      <c r="AX702" s="313">
        <f>IFERROR(IF(INDEX([1]Pivot!$BF$1:$CG$65000,$B702,AX$5)=1,1,IF(INDEX([1]Pivot!$B$1:$AB$65000,$B702,AX$5)="",2,0)),0)</f>
        <v>0</v>
      </c>
      <c r="AY702" s="313">
        <f>IFERROR(IF(INDEX([1]Pivot!$BF$1:$CG$65000,$B702,AY$5)=1,1,IF(INDEX([1]Pivot!$B$1:$AB$65000,$B702,AY$5)="",2,0)),0)</f>
        <v>0</v>
      </c>
      <c r="AZ702" s="313">
        <f>IFERROR(IF(INDEX([1]Pivot!$BF$1:$CG$65000,$B702,AZ$5)=1,1,IF(INDEX([1]Pivot!$B$1:$AB$65000,$B702,AZ$5)="",2,0)),0)</f>
        <v>0</v>
      </c>
      <c r="BA702" s="313">
        <f>IFERROR(IF(INDEX([1]Pivot!$BF$1:$CG$65000,$B702,BA$5)=1,1,IF(INDEX([1]Pivot!$B$1:$AB$65000,$B702,BA$5)="",2,0)),0)</f>
        <v>0</v>
      </c>
      <c r="BB702" s="313">
        <f>IFERROR(IF(INDEX([1]Pivot!$BF$1:$CG$65000,$B702,BB$5)=1,1,IF(INDEX([1]Pivot!$B$1:$AB$65000,$B702,BB$5)="",2,0)),0)</f>
        <v>0</v>
      </c>
      <c r="BC702" s="313">
        <f>IFERROR(IF(INDEX([1]Pivot!$BF$1:$CG$65000,$B702,BC$5)=1,1,IF(INDEX([1]Pivot!$B$1:$AB$65000,$B702,BC$5)="",2,0)),0)</f>
        <v>0</v>
      </c>
      <c r="BD702" s="313">
        <f>IFERROR(IF(INDEX([1]Pivot!$BF$1:$CG$65000,$B702,BD$5)=1,1,IF(INDEX([1]Pivot!$B$1:$AB$65000,$B702,BD$5)="",2,0)),0)</f>
        <v>0</v>
      </c>
    </row>
    <row r="703" spans="1:56" x14ac:dyDescent="0.25">
      <c r="A703" s="288">
        <f>'[2]Raw Milk Prices'!A703</f>
        <v>0</v>
      </c>
      <c r="B703" s="296" t="e">
        <f>MATCH(DATE(LEFT('[2]Raw Milk Prices'!$A703,4),RIGHT('[2]Raw Milk Prices'!$A703,2),1),[1]Pivot!$A$1:$A$65000,0)</f>
        <v>#VALUE!</v>
      </c>
      <c r="C703" s="194">
        <f>IFERROR(IF(INDEX([1]Pivot!$AD$1:$BE$65000,$B703,C$5)=1,1,IF(INDEX([1]Pivot!$B$1:$AB$65000,$B703,C$5)="",2,0)),0)</f>
        <v>0</v>
      </c>
      <c r="D703" s="194">
        <f>IFERROR(IF(INDEX([1]Pivot!$AD$1:$BE$65000,$B703,D$5)=1,1,IF(INDEX([1]Pivot!$B$1:$AB$65000,$B703,D$5)="",2,0)),0)</f>
        <v>0</v>
      </c>
      <c r="E703" s="194">
        <f>IFERROR(IF(INDEX([1]Pivot!$AD$1:$BE$65000,$B703,E$5)=1,1,IF(INDEX([1]Pivot!$B$1:$AB$65000,$B703,E$5)="",2,0)),0)</f>
        <v>0</v>
      </c>
      <c r="F703" s="194">
        <f>IFERROR(IF(INDEX([1]Pivot!$AD$1:$BE$65000,$B703,F$5)=1,1,IF(INDEX([1]Pivot!$B$1:$AB$65000,$B703,F$5)="",2,0)),0)</f>
        <v>0</v>
      </c>
      <c r="G703" s="194">
        <f>IFERROR(IF(INDEX([1]Pivot!$AD$1:$BE$65000,$B703,G$5)=1,1,IF(INDEX([1]Pivot!$B$1:$AB$65000,$B703,G$5)="",2,0)),0)</f>
        <v>0</v>
      </c>
      <c r="H703" s="194">
        <f>IFERROR(IF(INDEX([1]Pivot!$AD$1:$BE$65000,$B703,H$5)=1,1,IF(INDEX([1]Pivot!$B$1:$AB$65000,$B703,H$5)="",2,0)),0)</f>
        <v>0</v>
      </c>
      <c r="I703" s="194">
        <f>IFERROR(IF(INDEX([1]Pivot!$AD$1:$BE$65000,$B703,I$5)=1,1,IF(INDEX([1]Pivot!$B$1:$AB$65000,$B703,I$5)="",2,0)),0)</f>
        <v>0</v>
      </c>
      <c r="J703" s="194">
        <f>IFERROR(IF(INDEX([1]Pivot!$AD$1:$BE$65000,$B703,J$5)=1,1,IF(INDEX([1]Pivot!$B$1:$AB$65000,$B703,J$5)="",2,0)),0)</f>
        <v>0</v>
      </c>
      <c r="K703" s="194">
        <f>IFERROR(IF(INDEX([1]Pivot!$AD$1:$BE$65000,$B703,K$5)=1,1,IF(INDEX([1]Pivot!$B$1:$AB$65000,$B703,K$5)="",2,0)),0)</f>
        <v>0</v>
      </c>
      <c r="L703" s="194">
        <f>IFERROR(IF(INDEX([1]Pivot!$AD$1:$BE$65000,$B703,L$5)=1,1,IF(INDEX([1]Pivot!$B$1:$AB$65000,$B703,L$5)="",2,0)),0)</f>
        <v>0</v>
      </c>
      <c r="M703" s="194">
        <f>IFERROR(IF(INDEX([1]Pivot!$AD$1:$BE$65000,$B703,M$5)=1,1,IF(INDEX([1]Pivot!$B$1:$AB$65000,$B703,M$5)="",2,0)),0)</f>
        <v>0</v>
      </c>
      <c r="N703" s="194">
        <f>IFERROR(IF(INDEX([1]Pivot!$AD$1:$BE$65000,$B703,N$5)=1,1,IF(INDEX([1]Pivot!$B$1:$AB$65000,$B703,N$5)="",2,0)),0)</f>
        <v>0</v>
      </c>
      <c r="O703" s="194">
        <f>IFERROR(IF(INDEX([1]Pivot!$AD$1:$BE$65000,$B703,O$5)=1,1,IF(INDEX([1]Pivot!$B$1:$AB$65000,$B703,O$5)="",2,0)),0)</f>
        <v>0</v>
      </c>
      <c r="P703" s="194">
        <f>IFERROR(IF(INDEX([1]Pivot!$AD$1:$BE$65000,$B703,P$5)=1,1,IF(INDEX([1]Pivot!$B$1:$AB$65000,$B703,P$5)="",2,0)),0)</f>
        <v>0</v>
      </c>
      <c r="Q703" s="194">
        <f>IFERROR(IF(INDEX([1]Pivot!$AD$1:$BE$65000,$B703,Q$5)=1,1,IF(INDEX([1]Pivot!$B$1:$AB$65000,$B703,Q$5)="",2,0)),0)</f>
        <v>0</v>
      </c>
      <c r="R703" s="312"/>
      <c r="S703" s="194">
        <f>IFERROR(IF(INDEX([1]Pivot!$AD$1:$BE$65000,$B703,S$5)=1,1,IF(INDEX([1]Pivot!$B$1:$AB$65000,$B703,S$5)="",2,0)),0)</f>
        <v>0</v>
      </c>
      <c r="T703" s="194">
        <f>IFERROR(IF(INDEX([1]Pivot!$AD$1:$BE$65000,$B703,T$5)=1,1,IF(INDEX([1]Pivot!$B$1:$AB$65000,$B703,T$5)="",2,0)),0)</f>
        <v>0</v>
      </c>
      <c r="U703" s="194">
        <f>IFERROR(IF(INDEX([1]Pivot!$AD$1:$BE$65000,$B703,U$5)=1,1,IF(INDEX([1]Pivot!$B$1:$AB$65000,$B703,U$5)="",2,0)),0)</f>
        <v>0</v>
      </c>
      <c r="V703" s="194">
        <f>IFERROR(IF(INDEX([1]Pivot!$AD$1:$BE$65000,$B703,V$5)=1,1,IF(INDEX([1]Pivot!$B$1:$AB$65000,$B703,V$5)="",2,0)),0)</f>
        <v>0</v>
      </c>
      <c r="W703" s="194">
        <f>IFERROR(IF(INDEX([1]Pivot!$AD$1:$BE$65000,$B703,W$5)=1,1,IF(INDEX([1]Pivot!$B$1:$AB$65000,$B703,W$5)="",2,0)),0)</f>
        <v>0</v>
      </c>
      <c r="X703" s="194">
        <f>IFERROR(IF(INDEX([1]Pivot!$AD$1:$BE$65000,$B703,X$5)=1,1,IF(INDEX([1]Pivot!$B$1:$AB$65000,$B703,X$5)="",2,0)),0)</f>
        <v>0</v>
      </c>
      <c r="Y703" s="194">
        <f>IFERROR(IF(INDEX([1]Pivot!$AD$1:$BE$65000,$B703,Y$5)=1,1,IF(INDEX([1]Pivot!$B$1:$AB$65000,$B703,Y$5)="",2,0)),0)</f>
        <v>0</v>
      </c>
      <c r="Z703" s="194">
        <f>IFERROR(IF(INDEX([1]Pivot!$AD$1:$BE$65000,$B703,Z$5)=1,1,IF(INDEX([1]Pivot!$B$1:$AB$65000,$B703,Z$5)="",2,0)),0)</f>
        <v>0</v>
      </c>
      <c r="AA703" s="194">
        <f>IFERROR(IF(INDEX([1]Pivot!$AD$1:$BE$65000,$B703,AA$5)=1,1,IF(INDEX([1]Pivot!$B$1:$AB$65000,$B703,AA$5)="",2,0)),0)</f>
        <v>0</v>
      </c>
      <c r="AB703" s="194">
        <f>IFERROR(IF(INDEX([1]Pivot!$AD$1:$BE$65000,$B703,AB$5)=1,1,IF(INDEX([1]Pivot!$B$1:$AB$65000,$B703,AB$5)="",2,0)),0)</f>
        <v>0</v>
      </c>
      <c r="AC703" s="194">
        <f>IFERROR(IF(INDEX([1]Pivot!$AD$1:$BE$65000,$B703,AC$5)=1,1,IF(INDEX([1]Pivot!$B$1:$AB$65000,$B703,AC$5)="",2,0)),0)</f>
        <v>0</v>
      </c>
      <c r="AD703" s="313">
        <f>IFERROR(IF(INDEX([1]Pivot!$BF$1:$CG$65000,$B703,AD$5)=1,1,IF(INDEX([1]Pivot!$B$1:$AB$65000,$B703,AD$5)="",2,0)),0)</f>
        <v>0</v>
      </c>
      <c r="AE703" s="313">
        <f>IFERROR(IF(INDEX([1]Pivot!$BF$1:$CG$65000,$B703,AE$5)=1,1,IF(INDEX([1]Pivot!$B$1:$AB$65000,$B703,AE$5)="",2,0)),0)</f>
        <v>0</v>
      </c>
      <c r="AF703" s="313">
        <f>IFERROR(IF(INDEX([1]Pivot!$BF$1:$CG$65000,$B703,AF$5)=1,1,IF(INDEX([1]Pivot!$B$1:$AB$65000,$B703,AF$5)="",2,0)),0)</f>
        <v>0</v>
      </c>
      <c r="AG703" s="313">
        <f>IFERROR(IF(INDEX([1]Pivot!$BF$1:$CG$65000,$B703,AG$5)=1,1,IF(INDEX([1]Pivot!$B$1:$AB$65000,$B703,AG$5)="",2,0)),0)</f>
        <v>0</v>
      </c>
      <c r="AH703" s="313">
        <f>IFERROR(IF(INDEX([1]Pivot!$BF$1:$CG$65000,$B703,AH$5)=1,1,IF(INDEX([1]Pivot!$B$1:$AB$65000,$B703,AH$5)="",2,0)),0)</f>
        <v>0</v>
      </c>
      <c r="AI703" s="313">
        <f>IFERROR(IF(INDEX([1]Pivot!$BF$1:$CG$65000,$B703,AI$5)=1,1,IF(INDEX([1]Pivot!$B$1:$AB$65000,$B703,AI$5)="",2,0)),0)</f>
        <v>0</v>
      </c>
      <c r="AJ703" s="313">
        <f>IFERROR(IF(INDEX([1]Pivot!$BF$1:$CG$65000,$B703,AJ$5)=1,1,IF(INDEX([1]Pivot!$B$1:$AB$65000,$B703,AJ$5)="",2,0)),0)</f>
        <v>0</v>
      </c>
      <c r="AK703" s="313">
        <f>IFERROR(IF(INDEX([1]Pivot!$BF$1:$CG$65000,$B703,AK$5)=1,1,IF(INDEX([1]Pivot!$B$1:$AB$65000,$B703,AK$5)="",2,0)),0)</f>
        <v>0</v>
      </c>
      <c r="AL703" s="313">
        <f>IFERROR(IF(INDEX([1]Pivot!$BF$1:$CG$65000,$B703,AL$5)=1,1,IF(INDEX([1]Pivot!$B$1:$AB$65000,$B703,AL$5)="",2,0)),0)</f>
        <v>0</v>
      </c>
      <c r="AM703" s="313">
        <f>IFERROR(IF(INDEX([1]Pivot!$BF$1:$CG$65000,$B703,AM$5)=1,1,IF(INDEX([1]Pivot!$B$1:$AB$65000,$B703,AM$5)="",2,0)),0)</f>
        <v>0</v>
      </c>
      <c r="AN703" s="313">
        <f>IFERROR(IF(INDEX([1]Pivot!$BF$1:$CG$65000,$B703,AN$5)=1,1,IF(INDEX([1]Pivot!$B$1:$AB$65000,$B703,AN$5)="",2,0)),0)</f>
        <v>0</v>
      </c>
      <c r="AO703" s="313">
        <f>IFERROR(IF(INDEX([1]Pivot!$BF$1:$CG$65000,$B703,AO$5)=1,1,IF(INDEX([1]Pivot!$B$1:$AB$65000,$B703,AO$5)="",2,0)),0)</f>
        <v>0</v>
      </c>
      <c r="AP703" s="313">
        <f>IFERROR(IF(INDEX([1]Pivot!$BF$1:$CG$65000,$B703,AP$5)=1,1,IF(INDEX([1]Pivot!$B$1:$AB$65000,$B703,AP$5)="",2,0)),0)</f>
        <v>0</v>
      </c>
      <c r="AQ703" s="313">
        <f>IFERROR(IF(INDEX([1]Pivot!$BF$1:$CG$65000,$B703,AQ$5)=1,1,IF(INDEX([1]Pivot!$B$1:$AB$65000,$B703,AQ$5)="",2,0)),0)</f>
        <v>0</v>
      </c>
      <c r="AR703" s="313">
        <f>IFERROR(IF(INDEX([1]Pivot!$BF$1:$CG$65000,$B703,AR$5)=1,1,IF(INDEX([1]Pivot!$B$1:$AB$65000,$B703,AR$5)="",2,0)),0)</f>
        <v>0</v>
      </c>
      <c r="AS703" s="312"/>
      <c r="AT703" s="313">
        <f>IFERROR(IF(INDEX([1]Pivot!$BF$1:$CG$65000,$B703,AT$5)=1,1,IF(INDEX([1]Pivot!$B$1:$AB$65000,$B703,AT$5)="",2,0)),0)</f>
        <v>0</v>
      </c>
      <c r="AU703" s="313">
        <f>IFERROR(IF(INDEX([1]Pivot!$BF$1:$CG$65000,$B703,AU$5)=1,1,IF(INDEX([1]Pivot!$B$1:$AB$65000,$B703,AU$5)="",2,0)),0)</f>
        <v>0</v>
      </c>
      <c r="AV703" s="313">
        <f>IFERROR(IF(INDEX([1]Pivot!$BF$1:$CG$65000,$B703,AV$5)=1,1,IF(INDEX([1]Pivot!$B$1:$AB$65000,$B703,AV$5)="",2,0)),0)</f>
        <v>0</v>
      </c>
      <c r="AW703" s="313">
        <f>IFERROR(IF(INDEX([1]Pivot!$BF$1:$CG$65000,$B703,AW$5)=1,1,IF(INDEX([1]Pivot!$B$1:$AB$65000,$B703,AW$5)="",2,0)),0)</f>
        <v>0</v>
      </c>
      <c r="AX703" s="313">
        <f>IFERROR(IF(INDEX([1]Pivot!$BF$1:$CG$65000,$B703,AX$5)=1,1,IF(INDEX([1]Pivot!$B$1:$AB$65000,$B703,AX$5)="",2,0)),0)</f>
        <v>0</v>
      </c>
      <c r="AY703" s="313">
        <f>IFERROR(IF(INDEX([1]Pivot!$BF$1:$CG$65000,$B703,AY$5)=1,1,IF(INDEX([1]Pivot!$B$1:$AB$65000,$B703,AY$5)="",2,0)),0)</f>
        <v>0</v>
      </c>
      <c r="AZ703" s="313">
        <f>IFERROR(IF(INDEX([1]Pivot!$BF$1:$CG$65000,$B703,AZ$5)=1,1,IF(INDEX([1]Pivot!$B$1:$AB$65000,$B703,AZ$5)="",2,0)),0)</f>
        <v>0</v>
      </c>
      <c r="BA703" s="313">
        <f>IFERROR(IF(INDEX([1]Pivot!$BF$1:$CG$65000,$B703,BA$5)=1,1,IF(INDEX([1]Pivot!$B$1:$AB$65000,$B703,BA$5)="",2,0)),0)</f>
        <v>0</v>
      </c>
      <c r="BB703" s="313">
        <f>IFERROR(IF(INDEX([1]Pivot!$BF$1:$CG$65000,$B703,BB$5)=1,1,IF(INDEX([1]Pivot!$B$1:$AB$65000,$B703,BB$5)="",2,0)),0)</f>
        <v>0</v>
      </c>
      <c r="BC703" s="313">
        <f>IFERROR(IF(INDEX([1]Pivot!$BF$1:$CG$65000,$B703,BC$5)=1,1,IF(INDEX([1]Pivot!$B$1:$AB$65000,$B703,BC$5)="",2,0)),0)</f>
        <v>0</v>
      </c>
      <c r="BD703" s="313">
        <f>IFERROR(IF(INDEX([1]Pivot!$BF$1:$CG$65000,$B703,BD$5)=1,1,IF(INDEX([1]Pivot!$B$1:$AB$65000,$B703,BD$5)="",2,0)),0)</f>
        <v>0</v>
      </c>
    </row>
    <row r="704" spans="1:56" x14ac:dyDescent="0.25">
      <c r="A704" s="288">
        <f>'[2]Raw Milk Prices'!A704</f>
        <v>0</v>
      </c>
      <c r="B704" s="296" t="e">
        <f>MATCH(DATE(LEFT('[2]Raw Milk Prices'!$A704,4),RIGHT('[2]Raw Milk Prices'!$A704,2),1),[1]Pivot!$A$1:$A$65000,0)</f>
        <v>#VALUE!</v>
      </c>
      <c r="C704" s="194">
        <f>IFERROR(IF(INDEX([1]Pivot!$AD$1:$BE$65000,$B704,C$5)=1,1,IF(INDEX([1]Pivot!$B$1:$AB$65000,$B704,C$5)="",2,0)),0)</f>
        <v>0</v>
      </c>
      <c r="D704" s="194">
        <f>IFERROR(IF(INDEX([1]Pivot!$AD$1:$BE$65000,$B704,D$5)=1,1,IF(INDEX([1]Pivot!$B$1:$AB$65000,$B704,D$5)="",2,0)),0)</f>
        <v>0</v>
      </c>
      <c r="E704" s="194">
        <f>IFERROR(IF(INDEX([1]Pivot!$AD$1:$BE$65000,$B704,E$5)=1,1,IF(INDEX([1]Pivot!$B$1:$AB$65000,$B704,E$5)="",2,0)),0)</f>
        <v>0</v>
      </c>
      <c r="F704" s="194">
        <f>IFERROR(IF(INDEX([1]Pivot!$AD$1:$BE$65000,$B704,F$5)=1,1,IF(INDEX([1]Pivot!$B$1:$AB$65000,$B704,F$5)="",2,0)),0)</f>
        <v>0</v>
      </c>
      <c r="G704" s="194">
        <f>IFERROR(IF(INDEX([1]Pivot!$AD$1:$BE$65000,$B704,G$5)=1,1,IF(INDEX([1]Pivot!$B$1:$AB$65000,$B704,G$5)="",2,0)),0)</f>
        <v>0</v>
      </c>
      <c r="H704" s="194">
        <f>IFERROR(IF(INDEX([1]Pivot!$AD$1:$BE$65000,$B704,H$5)=1,1,IF(INDEX([1]Pivot!$B$1:$AB$65000,$B704,H$5)="",2,0)),0)</f>
        <v>0</v>
      </c>
      <c r="I704" s="194">
        <f>IFERROR(IF(INDEX([1]Pivot!$AD$1:$BE$65000,$B704,I$5)=1,1,IF(INDEX([1]Pivot!$B$1:$AB$65000,$B704,I$5)="",2,0)),0)</f>
        <v>0</v>
      </c>
      <c r="J704" s="194">
        <f>IFERROR(IF(INDEX([1]Pivot!$AD$1:$BE$65000,$B704,J$5)=1,1,IF(INDEX([1]Pivot!$B$1:$AB$65000,$B704,J$5)="",2,0)),0)</f>
        <v>0</v>
      </c>
      <c r="K704" s="194">
        <f>IFERROR(IF(INDEX([1]Pivot!$AD$1:$BE$65000,$B704,K$5)=1,1,IF(INDEX([1]Pivot!$B$1:$AB$65000,$B704,K$5)="",2,0)),0)</f>
        <v>0</v>
      </c>
      <c r="L704" s="194">
        <f>IFERROR(IF(INDEX([1]Pivot!$AD$1:$BE$65000,$B704,L$5)=1,1,IF(INDEX([1]Pivot!$B$1:$AB$65000,$B704,L$5)="",2,0)),0)</f>
        <v>0</v>
      </c>
      <c r="M704" s="194">
        <f>IFERROR(IF(INDEX([1]Pivot!$AD$1:$BE$65000,$B704,M$5)=1,1,IF(INDEX([1]Pivot!$B$1:$AB$65000,$B704,M$5)="",2,0)),0)</f>
        <v>0</v>
      </c>
      <c r="N704" s="194">
        <f>IFERROR(IF(INDEX([1]Pivot!$AD$1:$BE$65000,$B704,N$5)=1,1,IF(INDEX([1]Pivot!$B$1:$AB$65000,$B704,N$5)="",2,0)),0)</f>
        <v>0</v>
      </c>
      <c r="O704" s="194">
        <f>IFERROR(IF(INDEX([1]Pivot!$AD$1:$BE$65000,$B704,O$5)=1,1,IF(INDEX([1]Pivot!$B$1:$AB$65000,$B704,O$5)="",2,0)),0)</f>
        <v>0</v>
      </c>
      <c r="P704" s="194">
        <f>IFERROR(IF(INDEX([1]Pivot!$AD$1:$BE$65000,$B704,P$5)=1,1,IF(INDEX([1]Pivot!$B$1:$AB$65000,$B704,P$5)="",2,0)),0)</f>
        <v>0</v>
      </c>
      <c r="Q704" s="194">
        <f>IFERROR(IF(INDEX([1]Pivot!$AD$1:$BE$65000,$B704,Q$5)=1,1,IF(INDEX([1]Pivot!$B$1:$AB$65000,$B704,Q$5)="",2,0)),0)</f>
        <v>0</v>
      </c>
      <c r="R704" s="312"/>
      <c r="S704" s="194">
        <f>IFERROR(IF(INDEX([1]Pivot!$AD$1:$BE$65000,$B704,S$5)=1,1,IF(INDEX([1]Pivot!$B$1:$AB$65000,$B704,S$5)="",2,0)),0)</f>
        <v>0</v>
      </c>
      <c r="T704" s="194">
        <f>IFERROR(IF(INDEX([1]Pivot!$AD$1:$BE$65000,$B704,T$5)=1,1,IF(INDEX([1]Pivot!$B$1:$AB$65000,$B704,T$5)="",2,0)),0)</f>
        <v>0</v>
      </c>
      <c r="U704" s="194">
        <f>IFERROR(IF(INDEX([1]Pivot!$AD$1:$BE$65000,$B704,U$5)=1,1,IF(INDEX([1]Pivot!$B$1:$AB$65000,$B704,U$5)="",2,0)),0)</f>
        <v>0</v>
      </c>
      <c r="V704" s="194">
        <f>IFERROR(IF(INDEX([1]Pivot!$AD$1:$BE$65000,$B704,V$5)=1,1,IF(INDEX([1]Pivot!$B$1:$AB$65000,$B704,V$5)="",2,0)),0)</f>
        <v>0</v>
      </c>
      <c r="W704" s="194">
        <f>IFERROR(IF(INDEX([1]Pivot!$AD$1:$BE$65000,$B704,W$5)=1,1,IF(INDEX([1]Pivot!$B$1:$AB$65000,$B704,W$5)="",2,0)),0)</f>
        <v>0</v>
      </c>
      <c r="X704" s="194">
        <f>IFERROR(IF(INDEX([1]Pivot!$AD$1:$BE$65000,$B704,X$5)=1,1,IF(INDEX([1]Pivot!$B$1:$AB$65000,$B704,X$5)="",2,0)),0)</f>
        <v>0</v>
      </c>
      <c r="Y704" s="194">
        <f>IFERROR(IF(INDEX([1]Pivot!$AD$1:$BE$65000,$B704,Y$5)=1,1,IF(INDEX([1]Pivot!$B$1:$AB$65000,$B704,Y$5)="",2,0)),0)</f>
        <v>0</v>
      </c>
      <c r="Z704" s="194">
        <f>IFERROR(IF(INDEX([1]Pivot!$AD$1:$BE$65000,$B704,Z$5)=1,1,IF(INDEX([1]Pivot!$B$1:$AB$65000,$B704,Z$5)="",2,0)),0)</f>
        <v>0</v>
      </c>
      <c r="AA704" s="194">
        <f>IFERROR(IF(INDEX([1]Pivot!$AD$1:$BE$65000,$B704,AA$5)=1,1,IF(INDEX([1]Pivot!$B$1:$AB$65000,$B704,AA$5)="",2,0)),0)</f>
        <v>0</v>
      </c>
      <c r="AB704" s="194">
        <f>IFERROR(IF(INDEX([1]Pivot!$AD$1:$BE$65000,$B704,AB$5)=1,1,IF(INDEX([1]Pivot!$B$1:$AB$65000,$B704,AB$5)="",2,0)),0)</f>
        <v>0</v>
      </c>
      <c r="AC704" s="194">
        <f>IFERROR(IF(INDEX([1]Pivot!$AD$1:$BE$65000,$B704,AC$5)=1,1,IF(INDEX([1]Pivot!$B$1:$AB$65000,$B704,AC$5)="",2,0)),0)</f>
        <v>0</v>
      </c>
      <c r="AD704" s="313">
        <f>IFERROR(IF(INDEX([1]Pivot!$BF$1:$CG$65000,$B704,AD$5)=1,1,IF(INDEX([1]Pivot!$B$1:$AB$65000,$B704,AD$5)="",2,0)),0)</f>
        <v>0</v>
      </c>
      <c r="AE704" s="313">
        <f>IFERROR(IF(INDEX([1]Pivot!$BF$1:$CG$65000,$B704,AE$5)=1,1,IF(INDEX([1]Pivot!$B$1:$AB$65000,$B704,AE$5)="",2,0)),0)</f>
        <v>0</v>
      </c>
      <c r="AF704" s="313">
        <f>IFERROR(IF(INDEX([1]Pivot!$BF$1:$CG$65000,$B704,AF$5)=1,1,IF(INDEX([1]Pivot!$B$1:$AB$65000,$B704,AF$5)="",2,0)),0)</f>
        <v>0</v>
      </c>
      <c r="AG704" s="313">
        <f>IFERROR(IF(INDEX([1]Pivot!$BF$1:$CG$65000,$B704,AG$5)=1,1,IF(INDEX([1]Pivot!$B$1:$AB$65000,$B704,AG$5)="",2,0)),0)</f>
        <v>0</v>
      </c>
      <c r="AH704" s="313">
        <f>IFERROR(IF(INDEX([1]Pivot!$BF$1:$CG$65000,$B704,AH$5)=1,1,IF(INDEX([1]Pivot!$B$1:$AB$65000,$B704,AH$5)="",2,0)),0)</f>
        <v>0</v>
      </c>
      <c r="AI704" s="313">
        <f>IFERROR(IF(INDEX([1]Pivot!$BF$1:$CG$65000,$B704,AI$5)=1,1,IF(INDEX([1]Pivot!$B$1:$AB$65000,$B704,AI$5)="",2,0)),0)</f>
        <v>0</v>
      </c>
      <c r="AJ704" s="313">
        <f>IFERROR(IF(INDEX([1]Pivot!$BF$1:$CG$65000,$B704,AJ$5)=1,1,IF(INDEX([1]Pivot!$B$1:$AB$65000,$B704,AJ$5)="",2,0)),0)</f>
        <v>0</v>
      </c>
      <c r="AK704" s="313">
        <f>IFERROR(IF(INDEX([1]Pivot!$BF$1:$CG$65000,$B704,AK$5)=1,1,IF(INDEX([1]Pivot!$B$1:$AB$65000,$B704,AK$5)="",2,0)),0)</f>
        <v>0</v>
      </c>
      <c r="AL704" s="313">
        <f>IFERROR(IF(INDEX([1]Pivot!$BF$1:$CG$65000,$B704,AL$5)=1,1,IF(INDEX([1]Pivot!$B$1:$AB$65000,$B704,AL$5)="",2,0)),0)</f>
        <v>0</v>
      </c>
      <c r="AM704" s="313">
        <f>IFERROR(IF(INDEX([1]Pivot!$BF$1:$CG$65000,$B704,AM$5)=1,1,IF(INDEX([1]Pivot!$B$1:$AB$65000,$B704,AM$5)="",2,0)),0)</f>
        <v>0</v>
      </c>
      <c r="AN704" s="313">
        <f>IFERROR(IF(INDEX([1]Pivot!$BF$1:$CG$65000,$B704,AN$5)=1,1,IF(INDEX([1]Pivot!$B$1:$AB$65000,$B704,AN$5)="",2,0)),0)</f>
        <v>0</v>
      </c>
      <c r="AO704" s="313">
        <f>IFERROR(IF(INDEX([1]Pivot!$BF$1:$CG$65000,$B704,AO$5)=1,1,IF(INDEX([1]Pivot!$B$1:$AB$65000,$B704,AO$5)="",2,0)),0)</f>
        <v>0</v>
      </c>
      <c r="AP704" s="313">
        <f>IFERROR(IF(INDEX([1]Pivot!$BF$1:$CG$65000,$B704,AP$5)=1,1,IF(INDEX([1]Pivot!$B$1:$AB$65000,$B704,AP$5)="",2,0)),0)</f>
        <v>0</v>
      </c>
      <c r="AQ704" s="313">
        <f>IFERROR(IF(INDEX([1]Pivot!$BF$1:$CG$65000,$B704,AQ$5)=1,1,IF(INDEX([1]Pivot!$B$1:$AB$65000,$B704,AQ$5)="",2,0)),0)</f>
        <v>0</v>
      </c>
      <c r="AR704" s="313">
        <f>IFERROR(IF(INDEX([1]Pivot!$BF$1:$CG$65000,$B704,AR$5)=1,1,IF(INDEX([1]Pivot!$B$1:$AB$65000,$B704,AR$5)="",2,0)),0)</f>
        <v>0</v>
      </c>
      <c r="AS704" s="312"/>
      <c r="AT704" s="313">
        <f>IFERROR(IF(INDEX([1]Pivot!$BF$1:$CG$65000,$B704,AT$5)=1,1,IF(INDEX([1]Pivot!$B$1:$AB$65000,$B704,AT$5)="",2,0)),0)</f>
        <v>0</v>
      </c>
      <c r="AU704" s="313">
        <f>IFERROR(IF(INDEX([1]Pivot!$BF$1:$CG$65000,$B704,AU$5)=1,1,IF(INDEX([1]Pivot!$B$1:$AB$65000,$B704,AU$5)="",2,0)),0)</f>
        <v>0</v>
      </c>
      <c r="AV704" s="313">
        <f>IFERROR(IF(INDEX([1]Pivot!$BF$1:$CG$65000,$B704,AV$5)=1,1,IF(INDEX([1]Pivot!$B$1:$AB$65000,$B704,AV$5)="",2,0)),0)</f>
        <v>0</v>
      </c>
      <c r="AW704" s="313">
        <f>IFERROR(IF(INDEX([1]Pivot!$BF$1:$CG$65000,$B704,AW$5)=1,1,IF(INDEX([1]Pivot!$B$1:$AB$65000,$B704,AW$5)="",2,0)),0)</f>
        <v>0</v>
      </c>
      <c r="AX704" s="313">
        <f>IFERROR(IF(INDEX([1]Pivot!$BF$1:$CG$65000,$B704,AX$5)=1,1,IF(INDEX([1]Pivot!$B$1:$AB$65000,$B704,AX$5)="",2,0)),0)</f>
        <v>0</v>
      </c>
      <c r="AY704" s="313">
        <f>IFERROR(IF(INDEX([1]Pivot!$BF$1:$CG$65000,$B704,AY$5)=1,1,IF(INDEX([1]Pivot!$B$1:$AB$65000,$B704,AY$5)="",2,0)),0)</f>
        <v>0</v>
      </c>
      <c r="AZ704" s="313">
        <f>IFERROR(IF(INDEX([1]Pivot!$BF$1:$CG$65000,$B704,AZ$5)=1,1,IF(INDEX([1]Pivot!$B$1:$AB$65000,$B704,AZ$5)="",2,0)),0)</f>
        <v>0</v>
      </c>
      <c r="BA704" s="313">
        <f>IFERROR(IF(INDEX([1]Pivot!$BF$1:$CG$65000,$B704,BA$5)=1,1,IF(INDEX([1]Pivot!$B$1:$AB$65000,$B704,BA$5)="",2,0)),0)</f>
        <v>0</v>
      </c>
      <c r="BB704" s="313">
        <f>IFERROR(IF(INDEX([1]Pivot!$BF$1:$CG$65000,$B704,BB$5)=1,1,IF(INDEX([1]Pivot!$B$1:$AB$65000,$B704,BB$5)="",2,0)),0)</f>
        <v>0</v>
      </c>
      <c r="BC704" s="313">
        <f>IFERROR(IF(INDEX([1]Pivot!$BF$1:$CG$65000,$B704,BC$5)=1,1,IF(INDEX([1]Pivot!$B$1:$AB$65000,$B704,BC$5)="",2,0)),0)</f>
        <v>0</v>
      </c>
      <c r="BD704" s="313">
        <f>IFERROR(IF(INDEX([1]Pivot!$BF$1:$CG$65000,$B704,BD$5)=1,1,IF(INDEX([1]Pivot!$B$1:$AB$65000,$B704,BD$5)="",2,0)),0)</f>
        <v>0</v>
      </c>
    </row>
    <row r="705" spans="1:56" x14ac:dyDescent="0.25">
      <c r="A705" s="288">
        <f>'[2]Raw Milk Prices'!A705</f>
        <v>0</v>
      </c>
      <c r="B705" s="296" t="e">
        <f>MATCH(DATE(LEFT('[2]Raw Milk Prices'!$A705,4),RIGHT('[2]Raw Milk Prices'!$A705,2),1),[1]Pivot!$A$1:$A$65000,0)</f>
        <v>#VALUE!</v>
      </c>
      <c r="C705" s="194">
        <f>IFERROR(IF(INDEX([1]Pivot!$AD$1:$BE$65000,$B705,C$5)=1,1,IF(INDEX([1]Pivot!$B$1:$AB$65000,$B705,C$5)="",2,0)),0)</f>
        <v>0</v>
      </c>
      <c r="D705" s="194">
        <f>IFERROR(IF(INDEX([1]Pivot!$AD$1:$BE$65000,$B705,D$5)=1,1,IF(INDEX([1]Pivot!$B$1:$AB$65000,$B705,D$5)="",2,0)),0)</f>
        <v>0</v>
      </c>
      <c r="E705" s="194">
        <f>IFERROR(IF(INDEX([1]Pivot!$AD$1:$BE$65000,$B705,E$5)=1,1,IF(INDEX([1]Pivot!$B$1:$AB$65000,$B705,E$5)="",2,0)),0)</f>
        <v>0</v>
      </c>
      <c r="F705" s="194">
        <f>IFERROR(IF(INDEX([1]Pivot!$AD$1:$BE$65000,$B705,F$5)=1,1,IF(INDEX([1]Pivot!$B$1:$AB$65000,$B705,F$5)="",2,0)),0)</f>
        <v>0</v>
      </c>
      <c r="G705" s="194">
        <f>IFERROR(IF(INDEX([1]Pivot!$AD$1:$BE$65000,$B705,G$5)=1,1,IF(INDEX([1]Pivot!$B$1:$AB$65000,$B705,G$5)="",2,0)),0)</f>
        <v>0</v>
      </c>
      <c r="H705" s="194">
        <f>IFERROR(IF(INDEX([1]Pivot!$AD$1:$BE$65000,$B705,H$5)=1,1,IF(INDEX([1]Pivot!$B$1:$AB$65000,$B705,H$5)="",2,0)),0)</f>
        <v>0</v>
      </c>
      <c r="I705" s="194">
        <f>IFERROR(IF(INDEX([1]Pivot!$AD$1:$BE$65000,$B705,I$5)=1,1,IF(INDEX([1]Pivot!$B$1:$AB$65000,$B705,I$5)="",2,0)),0)</f>
        <v>0</v>
      </c>
      <c r="J705" s="194">
        <f>IFERROR(IF(INDEX([1]Pivot!$AD$1:$BE$65000,$B705,J$5)=1,1,IF(INDEX([1]Pivot!$B$1:$AB$65000,$B705,J$5)="",2,0)),0)</f>
        <v>0</v>
      </c>
      <c r="K705" s="194">
        <f>IFERROR(IF(INDEX([1]Pivot!$AD$1:$BE$65000,$B705,K$5)=1,1,IF(INDEX([1]Pivot!$B$1:$AB$65000,$B705,K$5)="",2,0)),0)</f>
        <v>0</v>
      </c>
      <c r="L705" s="194">
        <f>IFERROR(IF(INDEX([1]Pivot!$AD$1:$BE$65000,$B705,L$5)=1,1,IF(INDEX([1]Pivot!$B$1:$AB$65000,$B705,L$5)="",2,0)),0)</f>
        <v>0</v>
      </c>
      <c r="M705" s="194">
        <f>IFERROR(IF(INDEX([1]Pivot!$AD$1:$BE$65000,$B705,M$5)=1,1,IF(INDEX([1]Pivot!$B$1:$AB$65000,$B705,M$5)="",2,0)),0)</f>
        <v>0</v>
      </c>
      <c r="N705" s="194">
        <f>IFERROR(IF(INDEX([1]Pivot!$AD$1:$BE$65000,$B705,N$5)=1,1,IF(INDEX([1]Pivot!$B$1:$AB$65000,$B705,N$5)="",2,0)),0)</f>
        <v>0</v>
      </c>
      <c r="O705" s="194">
        <f>IFERROR(IF(INDEX([1]Pivot!$AD$1:$BE$65000,$B705,O$5)=1,1,IF(INDEX([1]Pivot!$B$1:$AB$65000,$B705,O$5)="",2,0)),0)</f>
        <v>0</v>
      </c>
      <c r="P705" s="194">
        <f>IFERROR(IF(INDEX([1]Pivot!$AD$1:$BE$65000,$B705,P$5)=1,1,IF(INDEX([1]Pivot!$B$1:$AB$65000,$B705,P$5)="",2,0)),0)</f>
        <v>0</v>
      </c>
      <c r="Q705" s="194">
        <f>IFERROR(IF(INDEX([1]Pivot!$AD$1:$BE$65000,$B705,Q$5)=1,1,IF(INDEX([1]Pivot!$B$1:$AB$65000,$B705,Q$5)="",2,0)),0)</f>
        <v>0</v>
      </c>
      <c r="R705" s="312"/>
      <c r="S705" s="194">
        <f>IFERROR(IF(INDEX([1]Pivot!$AD$1:$BE$65000,$B705,S$5)=1,1,IF(INDEX([1]Pivot!$B$1:$AB$65000,$B705,S$5)="",2,0)),0)</f>
        <v>0</v>
      </c>
      <c r="T705" s="194">
        <f>IFERROR(IF(INDEX([1]Pivot!$AD$1:$BE$65000,$B705,T$5)=1,1,IF(INDEX([1]Pivot!$B$1:$AB$65000,$B705,T$5)="",2,0)),0)</f>
        <v>0</v>
      </c>
      <c r="U705" s="194">
        <f>IFERROR(IF(INDEX([1]Pivot!$AD$1:$BE$65000,$B705,U$5)=1,1,IF(INDEX([1]Pivot!$B$1:$AB$65000,$B705,U$5)="",2,0)),0)</f>
        <v>0</v>
      </c>
      <c r="V705" s="194">
        <f>IFERROR(IF(INDEX([1]Pivot!$AD$1:$BE$65000,$B705,V$5)=1,1,IF(INDEX([1]Pivot!$B$1:$AB$65000,$B705,V$5)="",2,0)),0)</f>
        <v>0</v>
      </c>
      <c r="W705" s="194">
        <f>IFERROR(IF(INDEX([1]Pivot!$AD$1:$BE$65000,$B705,W$5)=1,1,IF(INDEX([1]Pivot!$B$1:$AB$65000,$B705,W$5)="",2,0)),0)</f>
        <v>0</v>
      </c>
      <c r="X705" s="194">
        <f>IFERROR(IF(INDEX([1]Pivot!$AD$1:$BE$65000,$B705,X$5)=1,1,IF(INDEX([1]Pivot!$B$1:$AB$65000,$B705,X$5)="",2,0)),0)</f>
        <v>0</v>
      </c>
      <c r="Y705" s="194">
        <f>IFERROR(IF(INDEX([1]Pivot!$AD$1:$BE$65000,$B705,Y$5)=1,1,IF(INDEX([1]Pivot!$B$1:$AB$65000,$B705,Y$5)="",2,0)),0)</f>
        <v>0</v>
      </c>
      <c r="Z705" s="194">
        <f>IFERROR(IF(INDEX([1]Pivot!$AD$1:$BE$65000,$B705,Z$5)=1,1,IF(INDEX([1]Pivot!$B$1:$AB$65000,$B705,Z$5)="",2,0)),0)</f>
        <v>0</v>
      </c>
      <c r="AA705" s="194">
        <f>IFERROR(IF(INDEX([1]Pivot!$AD$1:$BE$65000,$B705,AA$5)=1,1,IF(INDEX([1]Pivot!$B$1:$AB$65000,$B705,AA$5)="",2,0)),0)</f>
        <v>0</v>
      </c>
      <c r="AB705" s="194">
        <f>IFERROR(IF(INDEX([1]Pivot!$AD$1:$BE$65000,$B705,AB$5)=1,1,IF(INDEX([1]Pivot!$B$1:$AB$65000,$B705,AB$5)="",2,0)),0)</f>
        <v>0</v>
      </c>
      <c r="AC705" s="194">
        <f>IFERROR(IF(INDEX([1]Pivot!$AD$1:$BE$65000,$B705,AC$5)=1,1,IF(INDEX([1]Pivot!$B$1:$AB$65000,$B705,AC$5)="",2,0)),0)</f>
        <v>0</v>
      </c>
      <c r="AD705" s="313">
        <f>IFERROR(IF(INDEX([1]Pivot!$BF$1:$CG$65000,$B705,AD$5)=1,1,IF(INDEX([1]Pivot!$B$1:$AB$65000,$B705,AD$5)="",2,0)),0)</f>
        <v>0</v>
      </c>
      <c r="AE705" s="313">
        <f>IFERROR(IF(INDEX([1]Pivot!$BF$1:$CG$65000,$B705,AE$5)=1,1,IF(INDEX([1]Pivot!$B$1:$AB$65000,$B705,AE$5)="",2,0)),0)</f>
        <v>0</v>
      </c>
      <c r="AF705" s="313">
        <f>IFERROR(IF(INDEX([1]Pivot!$BF$1:$CG$65000,$B705,AF$5)=1,1,IF(INDEX([1]Pivot!$B$1:$AB$65000,$B705,AF$5)="",2,0)),0)</f>
        <v>0</v>
      </c>
      <c r="AG705" s="313">
        <f>IFERROR(IF(INDEX([1]Pivot!$BF$1:$CG$65000,$B705,AG$5)=1,1,IF(INDEX([1]Pivot!$B$1:$AB$65000,$B705,AG$5)="",2,0)),0)</f>
        <v>0</v>
      </c>
      <c r="AH705" s="313">
        <f>IFERROR(IF(INDEX([1]Pivot!$BF$1:$CG$65000,$B705,AH$5)=1,1,IF(INDEX([1]Pivot!$B$1:$AB$65000,$B705,AH$5)="",2,0)),0)</f>
        <v>0</v>
      </c>
      <c r="AI705" s="313">
        <f>IFERROR(IF(INDEX([1]Pivot!$BF$1:$CG$65000,$B705,AI$5)=1,1,IF(INDEX([1]Pivot!$B$1:$AB$65000,$B705,AI$5)="",2,0)),0)</f>
        <v>0</v>
      </c>
      <c r="AJ705" s="313">
        <f>IFERROR(IF(INDEX([1]Pivot!$BF$1:$CG$65000,$B705,AJ$5)=1,1,IF(INDEX([1]Pivot!$B$1:$AB$65000,$B705,AJ$5)="",2,0)),0)</f>
        <v>0</v>
      </c>
      <c r="AK705" s="313">
        <f>IFERROR(IF(INDEX([1]Pivot!$BF$1:$CG$65000,$B705,AK$5)=1,1,IF(INDEX([1]Pivot!$B$1:$AB$65000,$B705,AK$5)="",2,0)),0)</f>
        <v>0</v>
      </c>
      <c r="AL705" s="313">
        <f>IFERROR(IF(INDEX([1]Pivot!$BF$1:$CG$65000,$B705,AL$5)=1,1,IF(INDEX([1]Pivot!$B$1:$AB$65000,$B705,AL$5)="",2,0)),0)</f>
        <v>0</v>
      </c>
      <c r="AM705" s="313">
        <f>IFERROR(IF(INDEX([1]Pivot!$BF$1:$CG$65000,$B705,AM$5)=1,1,IF(INDEX([1]Pivot!$B$1:$AB$65000,$B705,AM$5)="",2,0)),0)</f>
        <v>0</v>
      </c>
      <c r="AN705" s="313">
        <f>IFERROR(IF(INDEX([1]Pivot!$BF$1:$CG$65000,$B705,AN$5)=1,1,IF(INDEX([1]Pivot!$B$1:$AB$65000,$B705,AN$5)="",2,0)),0)</f>
        <v>0</v>
      </c>
      <c r="AO705" s="313">
        <f>IFERROR(IF(INDEX([1]Pivot!$BF$1:$CG$65000,$B705,AO$5)=1,1,IF(INDEX([1]Pivot!$B$1:$AB$65000,$B705,AO$5)="",2,0)),0)</f>
        <v>0</v>
      </c>
      <c r="AP705" s="313">
        <f>IFERROR(IF(INDEX([1]Pivot!$BF$1:$CG$65000,$B705,AP$5)=1,1,IF(INDEX([1]Pivot!$B$1:$AB$65000,$B705,AP$5)="",2,0)),0)</f>
        <v>0</v>
      </c>
      <c r="AQ705" s="313">
        <f>IFERROR(IF(INDEX([1]Pivot!$BF$1:$CG$65000,$B705,AQ$5)=1,1,IF(INDEX([1]Pivot!$B$1:$AB$65000,$B705,AQ$5)="",2,0)),0)</f>
        <v>0</v>
      </c>
      <c r="AR705" s="313">
        <f>IFERROR(IF(INDEX([1]Pivot!$BF$1:$CG$65000,$B705,AR$5)=1,1,IF(INDEX([1]Pivot!$B$1:$AB$65000,$B705,AR$5)="",2,0)),0)</f>
        <v>0</v>
      </c>
      <c r="AS705" s="312"/>
      <c r="AT705" s="313">
        <f>IFERROR(IF(INDEX([1]Pivot!$BF$1:$CG$65000,$B705,AT$5)=1,1,IF(INDEX([1]Pivot!$B$1:$AB$65000,$B705,AT$5)="",2,0)),0)</f>
        <v>0</v>
      </c>
      <c r="AU705" s="313">
        <f>IFERROR(IF(INDEX([1]Pivot!$BF$1:$CG$65000,$B705,AU$5)=1,1,IF(INDEX([1]Pivot!$B$1:$AB$65000,$B705,AU$5)="",2,0)),0)</f>
        <v>0</v>
      </c>
      <c r="AV705" s="313">
        <f>IFERROR(IF(INDEX([1]Pivot!$BF$1:$CG$65000,$B705,AV$5)=1,1,IF(INDEX([1]Pivot!$B$1:$AB$65000,$B705,AV$5)="",2,0)),0)</f>
        <v>0</v>
      </c>
      <c r="AW705" s="313">
        <f>IFERROR(IF(INDEX([1]Pivot!$BF$1:$CG$65000,$B705,AW$5)=1,1,IF(INDEX([1]Pivot!$B$1:$AB$65000,$B705,AW$5)="",2,0)),0)</f>
        <v>0</v>
      </c>
      <c r="AX705" s="313">
        <f>IFERROR(IF(INDEX([1]Pivot!$BF$1:$CG$65000,$B705,AX$5)=1,1,IF(INDEX([1]Pivot!$B$1:$AB$65000,$B705,AX$5)="",2,0)),0)</f>
        <v>0</v>
      </c>
      <c r="AY705" s="313">
        <f>IFERROR(IF(INDEX([1]Pivot!$BF$1:$CG$65000,$B705,AY$5)=1,1,IF(INDEX([1]Pivot!$B$1:$AB$65000,$B705,AY$5)="",2,0)),0)</f>
        <v>0</v>
      </c>
      <c r="AZ705" s="313">
        <f>IFERROR(IF(INDEX([1]Pivot!$BF$1:$CG$65000,$B705,AZ$5)=1,1,IF(INDEX([1]Pivot!$B$1:$AB$65000,$B705,AZ$5)="",2,0)),0)</f>
        <v>0</v>
      </c>
      <c r="BA705" s="313">
        <f>IFERROR(IF(INDEX([1]Pivot!$BF$1:$CG$65000,$B705,BA$5)=1,1,IF(INDEX([1]Pivot!$B$1:$AB$65000,$B705,BA$5)="",2,0)),0)</f>
        <v>0</v>
      </c>
      <c r="BB705" s="313">
        <f>IFERROR(IF(INDEX([1]Pivot!$BF$1:$CG$65000,$B705,BB$5)=1,1,IF(INDEX([1]Pivot!$B$1:$AB$65000,$B705,BB$5)="",2,0)),0)</f>
        <v>0</v>
      </c>
      <c r="BC705" s="313">
        <f>IFERROR(IF(INDEX([1]Pivot!$BF$1:$CG$65000,$B705,BC$5)=1,1,IF(INDEX([1]Pivot!$B$1:$AB$65000,$B705,BC$5)="",2,0)),0)</f>
        <v>0</v>
      </c>
      <c r="BD705" s="313">
        <f>IFERROR(IF(INDEX([1]Pivot!$BF$1:$CG$65000,$B705,BD$5)=1,1,IF(INDEX([1]Pivot!$B$1:$AB$65000,$B705,BD$5)="",2,0)),0)</f>
        <v>0</v>
      </c>
    </row>
    <row r="706" spans="1:56" x14ac:dyDescent="0.25">
      <c r="A706" s="288">
        <f>'[2]Raw Milk Prices'!A706</f>
        <v>0</v>
      </c>
      <c r="B706" s="296" t="e">
        <f>MATCH(DATE(LEFT('[2]Raw Milk Prices'!$A706,4),RIGHT('[2]Raw Milk Prices'!$A706,2),1),[1]Pivot!$A$1:$A$65000,0)</f>
        <v>#VALUE!</v>
      </c>
      <c r="C706" s="194">
        <f>IFERROR(IF(INDEX([1]Pivot!$AD$1:$BE$65000,$B706,C$5)=1,1,IF(INDEX([1]Pivot!$B$1:$AB$65000,$B706,C$5)="",2,0)),0)</f>
        <v>0</v>
      </c>
      <c r="D706" s="194">
        <f>IFERROR(IF(INDEX([1]Pivot!$AD$1:$BE$65000,$B706,D$5)=1,1,IF(INDEX([1]Pivot!$B$1:$AB$65000,$B706,D$5)="",2,0)),0)</f>
        <v>0</v>
      </c>
      <c r="E706" s="194">
        <f>IFERROR(IF(INDEX([1]Pivot!$AD$1:$BE$65000,$B706,E$5)=1,1,IF(INDEX([1]Pivot!$B$1:$AB$65000,$B706,E$5)="",2,0)),0)</f>
        <v>0</v>
      </c>
      <c r="F706" s="194">
        <f>IFERROR(IF(INDEX([1]Pivot!$AD$1:$BE$65000,$B706,F$5)=1,1,IF(INDEX([1]Pivot!$B$1:$AB$65000,$B706,F$5)="",2,0)),0)</f>
        <v>0</v>
      </c>
      <c r="G706" s="194">
        <f>IFERROR(IF(INDEX([1]Pivot!$AD$1:$BE$65000,$B706,G$5)=1,1,IF(INDEX([1]Pivot!$B$1:$AB$65000,$B706,G$5)="",2,0)),0)</f>
        <v>0</v>
      </c>
      <c r="H706" s="194">
        <f>IFERROR(IF(INDEX([1]Pivot!$AD$1:$BE$65000,$B706,H$5)=1,1,IF(INDEX([1]Pivot!$B$1:$AB$65000,$B706,H$5)="",2,0)),0)</f>
        <v>0</v>
      </c>
      <c r="I706" s="194">
        <f>IFERROR(IF(INDEX([1]Pivot!$AD$1:$BE$65000,$B706,I$5)=1,1,IF(INDEX([1]Pivot!$B$1:$AB$65000,$B706,I$5)="",2,0)),0)</f>
        <v>0</v>
      </c>
      <c r="J706" s="194">
        <f>IFERROR(IF(INDEX([1]Pivot!$AD$1:$BE$65000,$B706,J$5)=1,1,IF(INDEX([1]Pivot!$B$1:$AB$65000,$B706,J$5)="",2,0)),0)</f>
        <v>0</v>
      </c>
      <c r="K706" s="194">
        <f>IFERROR(IF(INDEX([1]Pivot!$AD$1:$BE$65000,$B706,K$5)=1,1,IF(INDEX([1]Pivot!$B$1:$AB$65000,$B706,K$5)="",2,0)),0)</f>
        <v>0</v>
      </c>
      <c r="L706" s="194">
        <f>IFERROR(IF(INDEX([1]Pivot!$AD$1:$BE$65000,$B706,L$5)=1,1,IF(INDEX([1]Pivot!$B$1:$AB$65000,$B706,L$5)="",2,0)),0)</f>
        <v>0</v>
      </c>
      <c r="M706" s="194">
        <f>IFERROR(IF(INDEX([1]Pivot!$AD$1:$BE$65000,$B706,M$5)=1,1,IF(INDEX([1]Pivot!$B$1:$AB$65000,$B706,M$5)="",2,0)),0)</f>
        <v>0</v>
      </c>
      <c r="N706" s="194">
        <f>IFERROR(IF(INDEX([1]Pivot!$AD$1:$BE$65000,$B706,N$5)=1,1,IF(INDEX([1]Pivot!$B$1:$AB$65000,$B706,N$5)="",2,0)),0)</f>
        <v>0</v>
      </c>
      <c r="O706" s="194">
        <f>IFERROR(IF(INDEX([1]Pivot!$AD$1:$BE$65000,$B706,O$5)=1,1,IF(INDEX([1]Pivot!$B$1:$AB$65000,$B706,O$5)="",2,0)),0)</f>
        <v>0</v>
      </c>
      <c r="P706" s="194">
        <f>IFERROR(IF(INDEX([1]Pivot!$AD$1:$BE$65000,$B706,P$5)=1,1,IF(INDEX([1]Pivot!$B$1:$AB$65000,$B706,P$5)="",2,0)),0)</f>
        <v>0</v>
      </c>
      <c r="Q706" s="194">
        <f>IFERROR(IF(INDEX([1]Pivot!$AD$1:$BE$65000,$B706,Q$5)=1,1,IF(INDEX([1]Pivot!$B$1:$AB$65000,$B706,Q$5)="",2,0)),0)</f>
        <v>0</v>
      </c>
      <c r="R706" s="312"/>
      <c r="S706" s="194">
        <f>IFERROR(IF(INDEX([1]Pivot!$AD$1:$BE$65000,$B706,S$5)=1,1,IF(INDEX([1]Pivot!$B$1:$AB$65000,$B706,S$5)="",2,0)),0)</f>
        <v>0</v>
      </c>
      <c r="T706" s="194">
        <f>IFERROR(IF(INDEX([1]Pivot!$AD$1:$BE$65000,$B706,T$5)=1,1,IF(INDEX([1]Pivot!$B$1:$AB$65000,$B706,T$5)="",2,0)),0)</f>
        <v>0</v>
      </c>
      <c r="U706" s="194">
        <f>IFERROR(IF(INDEX([1]Pivot!$AD$1:$BE$65000,$B706,U$5)=1,1,IF(INDEX([1]Pivot!$B$1:$AB$65000,$B706,U$5)="",2,0)),0)</f>
        <v>0</v>
      </c>
      <c r="V706" s="194">
        <f>IFERROR(IF(INDEX([1]Pivot!$AD$1:$BE$65000,$B706,V$5)=1,1,IF(INDEX([1]Pivot!$B$1:$AB$65000,$B706,V$5)="",2,0)),0)</f>
        <v>0</v>
      </c>
      <c r="W706" s="194">
        <f>IFERROR(IF(INDEX([1]Pivot!$AD$1:$BE$65000,$B706,W$5)=1,1,IF(INDEX([1]Pivot!$B$1:$AB$65000,$B706,W$5)="",2,0)),0)</f>
        <v>0</v>
      </c>
      <c r="X706" s="194">
        <f>IFERROR(IF(INDEX([1]Pivot!$AD$1:$BE$65000,$B706,X$5)=1,1,IF(INDEX([1]Pivot!$B$1:$AB$65000,$B706,X$5)="",2,0)),0)</f>
        <v>0</v>
      </c>
      <c r="Y706" s="194">
        <f>IFERROR(IF(INDEX([1]Pivot!$AD$1:$BE$65000,$B706,Y$5)=1,1,IF(INDEX([1]Pivot!$B$1:$AB$65000,$B706,Y$5)="",2,0)),0)</f>
        <v>0</v>
      </c>
      <c r="Z706" s="194">
        <f>IFERROR(IF(INDEX([1]Pivot!$AD$1:$BE$65000,$B706,Z$5)=1,1,IF(INDEX([1]Pivot!$B$1:$AB$65000,$B706,Z$5)="",2,0)),0)</f>
        <v>0</v>
      </c>
      <c r="AA706" s="194">
        <f>IFERROR(IF(INDEX([1]Pivot!$AD$1:$BE$65000,$B706,AA$5)=1,1,IF(INDEX([1]Pivot!$B$1:$AB$65000,$B706,AA$5)="",2,0)),0)</f>
        <v>0</v>
      </c>
      <c r="AB706" s="194">
        <f>IFERROR(IF(INDEX([1]Pivot!$AD$1:$BE$65000,$B706,AB$5)=1,1,IF(INDEX([1]Pivot!$B$1:$AB$65000,$B706,AB$5)="",2,0)),0)</f>
        <v>0</v>
      </c>
      <c r="AC706" s="194">
        <f>IFERROR(IF(INDEX([1]Pivot!$AD$1:$BE$65000,$B706,AC$5)=1,1,IF(INDEX([1]Pivot!$B$1:$AB$65000,$B706,AC$5)="",2,0)),0)</f>
        <v>0</v>
      </c>
      <c r="AD706" s="313">
        <f>IFERROR(IF(INDEX([1]Pivot!$BF$1:$CG$65000,$B706,AD$5)=1,1,IF(INDEX([1]Pivot!$B$1:$AB$65000,$B706,AD$5)="",2,0)),0)</f>
        <v>0</v>
      </c>
      <c r="AE706" s="313">
        <f>IFERROR(IF(INDEX([1]Pivot!$BF$1:$CG$65000,$B706,AE$5)=1,1,IF(INDEX([1]Pivot!$B$1:$AB$65000,$B706,AE$5)="",2,0)),0)</f>
        <v>0</v>
      </c>
      <c r="AF706" s="313">
        <f>IFERROR(IF(INDEX([1]Pivot!$BF$1:$CG$65000,$B706,AF$5)=1,1,IF(INDEX([1]Pivot!$B$1:$AB$65000,$B706,AF$5)="",2,0)),0)</f>
        <v>0</v>
      </c>
      <c r="AG706" s="313">
        <f>IFERROR(IF(INDEX([1]Pivot!$BF$1:$CG$65000,$B706,AG$5)=1,1,IF(INDEX([1]Pivot!$B$1:$AB$65000,$B706,AG$5)="",2,0)),0)</f>
        <v>0</v>
      </c>
      <c r="AH706" s="313">
        <f>IFERROR(IF(INDEX([1]Pivot!$BF$1:$CG$65000,$B706,AH$5)=1,1,IF(INDEX([1]Pivot!$B$1:$AB$65000,$B706,AH$5)="",2,0)),0)</f>
        <v>0</v>
      </c>
      <c r="AI706" s="313">
        <f>IFERROR(IF(INDEX([1]Pivot!$BF$1:$CG$65000,$B706,AI$5)=1,1,IF(INDEX([1]Pivot!$B$1:$AB$65000,$B706,AI$5)="",2,0)),0)</f>
        <v>0</v>
      </c>
      <c r="AJ706" s="313">
        <f>IFERROR(IF(INDEX([1]Pivot!$BF$1:$CG$65000,$B706,AJ$5)=1,1,IF(INDEX([1]Pivot!$B$1:$AB$65000,$B706,AJ$5)="",2,0)),0)</f>
        <v>0</v>
      </c>
      <c r="AK706" s="313">
        <f>IFERROR(IF(INDEX([1]Pivot!$BF$1:$CG$65000,$B706,AK$5)=1,1,IF(INDEX([1]Pivot!$B$1:$AB$65000,$B706,AK$5)="",2,0)),0)</f>
        <v>0</v>
      </c>
      <c r="AL706" s="313">
        <f>IFERROR(IF(INDEX([1]Pivot!$BF$1:$CG$65000,$B706,AL$5)=1,1,IF(INDEX([1]Pivot!$B$1:$AB$65000,$B706,AL$5)="",2,0)),0)</f>
        <v>0</v>
      </c>
      <c r="AM706" s="313">
        <f>IFERROR(IF(INDEX([1]Pivot!$BF$1:$CG$65000,$B706,AM$5)=1,1,IF(INDEX([1]Pivot!$B$1:$AB$65000,$B706,AM$5)="",2,0)),0)</f>
        <v>0</v>
      </c>
      <c r="AN706" s="313">
        <f>IFERROR(IF(INDEX([1]Pivot!$BF$1:$CG$65000,$B706,AN$5)=1,1,IF(INDEX([1]Pivot!$B$1:$AB$65000,$B706,AN$5)="",2,0)),0)</f>
        <v>0</v>
      </c>
      <c r="AO706" s="313">
        <f>IFERROR(IF(INDEX([1]Pivot!$BF$1:$CG$65000,$B706,AO$5)=1,1,IF(INDEX([1]Pivot!$B$1:$AB$65000,$B706,AO$5)="",2,0)),0)</f>
        <v>0</v>
      </c>
      <c r="AP706" s="313">
        <f>IFERROR(IF(INDEX([1]Pivot!$BF$1:$CG$65000,$B706,AP$5)=1,1,IF(INDEX([1]Pivot!$B$1:$AB$65000,$B706,AP$5)="",2,0)),0)</f>
        <v>0</v>
      </c>
      <c r="AQ706" s="313">
        <f>IFERROR(IF(INDEX([1]Pivot!$BF$1:$CG$65000,$B706,AQ$5)=1,1,IF(INDEX([1]Pivot!$B$1:$AB$65000,$B706,AQ$5)="",2,0)),0)</f>
        <v>0</v>
      </c>
      <c r="AR706" s="313">
        <f>IFERROR(IF(INDEX([1]Pivot!$BF$1:$CG$65000,$B706,AR$5)=1,1,IF(INDEX([1]Pivot!$B$1:$AB$65000,$B706,AR$5)="",2,0)),0)</f>
        <v>0</v>
      </c>
      <c r="AS706" s="312"/>
      <c r="AT706" s="313">
        <f>IFERROR(IF(INDEX([1]Pivot!$BF$1:$CG$65000,$B706,AT$5)=1,1,IF(INDEX([1]Pivot!$B$1:$AB$65000,$B706,AT$5)="",2,0)),0)</f>
        <v>0</v>
      </c>
      <c r="AU706" s="313">
        <f>IFERROR(IF(INDEX([1]Pivot!$BF$1:$CG$65000,$B706,AU$5)=1,1,IF(INDEX([1]Pivot!$B$1:$AB$65000,$B706,AU$5)="",2,0)),0)</f>
        <v>0</v>
      </c>
      <c r="AV706" s="313">
        <f>IFERROR(IF(INDEX([1]Pivot!$BF$1:$CG$65000,$B706,AV$5)=1,1,IF(INDEX([1]Pivot!$B$1:$AB$65000,$B706,AV$5)="",2,0)),0)</f>
        <v>0</v>
      </c>
      <c r="AW706" s="313">
        <f>IFERROR(IF(INDEX([1]Pivot!$BF$1:$CG$65000,$B706,AW$5)=1,1,IF(INDEX([1]Pivot!$B$1:$AB$65000,$B706,AW$5)="",2,0)),0)</f>
        <v>0</v>
      </c>
      <c r="AX706" s="313">
        <f>IFERROR(IF(INDEX([1]Pivot!$BF$1:$CG$65000,$B706,AX$5)=1,1,IF(INDEX([1]Pivot!$B$1:$AB$65000,$B706,AX$5)="",2,0)),0)</f>
        <v>0</v>
      </c>
      <c r="AY706" s="313">
        <f>IFERROR(IF(INDEX([1]Pivot!$BF$1:$CG$65000,$B706,AY$5)=1,1,IF(INDEX([1]Pivot!$B$1:$AB$65000,$B706,AY$5)="",2,0)),0)</f>
        <v>0</v>
      </c>
      <c r="AZ706" s="313">
        <f>IFERROR(IF(INDEX([1]Pivot!$BF$1:$CG$65000,$B706,AZ$5)=1,1,IF(INDEX([1]Pivot!$B$1:$AB$65000,$B706,AZ$5)="",2,0)),0)</f>
        <v>0</v>
      </c>
      <c r="BA706" s="313">
        <f>IFERROR(IF(INDEX([1]Pivot!$BF$1:$CG$65000,$B706,BA$5)=1,1,IF(INDEX([1]Pivot!$B$1:$AB$65000,$B706,BA$5)="",2,0)),0)</f>
        <v>0</v>
      </c>
      <c r="BB706" s="313">
        <f>IFERROR(IF(INDEX([1]Pivot!$BF$1:$CG$65000,$B706,BB$5)=1,1,IF(INDEX([1]Pivot!$B$1:$AB$65000,$B706,BB$5)="",2,0)),0)</f>
        <v>0</v>
      </c>
      <c r="BC706" s="313">
        <f>IFERROR(IF(INDEX([1]Pivot!$BF$1:$CG$65000,$B706,BC$5)=1,1,IF(INDEX([1]Pivot!$B$1:$AB$65000,$B706,BC$5)="",2,0)),0)</f>
        <v>0</v>
      </c>
      <c r="BD706" s="313">
        <f>IFERROR(IF(INDEX([1]Pivot!$BF$1:$CG$65000,$B706,BD$5)=1,1,IF(INDEX([1]Pivot!$B$1:$AB$65000,$B706,BD$5)="",2,0)),0)</f>
        <v>0</v>
      </c>
    </row>
    <row r="707" spans="1:56" x14ac:dyDescent="0.25">
      <c r="A707" s="288">
        <f>'[2]Raw Milk Prices'!A707</f>
        <v>0</v>
      </c>
      <c r="B707" s="296" t="e">
        <f>MATCH(DATE(LEFT('[2]Raw Milk Prices'!$A707,4),RIGHT('[2]Raw Milk Prices'!$A707,2),1),[1]Pivot!$A$1:$A$65000,0)</f>
        <v>#VALUE!</v>
      </c>
      <c r="C707" s="194">
        <f>IFERROR(IF(INDEX([1]Pivot!$AD$1:$BE$65000,$B707,C$5)=1,1,IF(INDEX([1]Pivot!$B$1:$AB$65000,$B707,C$5)="",2,0)),0)</f>
        <v>0</v>
      </c>
      <c r="D707" s="194">
        <f>IFERROR(IF(INDEX([1]Pivot!$AD$1:$BE$65000,$B707,D$5)=1,1,IF(INDEX([1]Pivot!$B$1:$AB$65000,$B707,D$5)="",2,0)),0)</f>
        <v>0</v>
      </c>
      <c r="E707" s="194">
        <f>IFERROR(IF(INDEX([1]Pivot!$AD$1:$BE$65000,$B707,E$5)=1,1,IF(INDEX([1]Pivot!$B$1:$AB$65000,$B707,E$5)="",2,0)),0)</f>
        <v>0</v>
      </c>
      <c r="F707" s="194">
        <f>IFERROR(IF(INDEX([1]Pivot!$AD$1:$BE$65000,$B707,F$5)=1,1,IF(INDEX([1]Pivot!$B$1:$AB$65000,$B707,F$5)="",2,0)),0)</f>
        <v>0</v>
      </c>
      <c r="G707" s="194">
        <f>IFERROR(IF(INDEX([1]Pivot!$AD$1:$BE$65000,$B707,G$5)=1,1,IF(INDEX([1]Pivot!$B$1:$AB$65000,$B707,G$5)="",2,0)),0)</f>
        <v>0</v>
      </c>
      <c r="H707" s="194">
        <f>IFERROR(IF(INDEX([1]Pivot!$AD$1:$BE$65000,$B707,H$5)=1,1,IF(INDEX([1]Pivot!$B$1:$AB$65000,$B707,H$5)="",2,0)),0)</f>
        <v>0</v>
      </c>
      <c r="I707" s="194">
        <f>IFERROR(IF(INDEX([1]Pivot!$AD$1:$BE$65000,$B707,I$5)=1,1,IF(INDEX([1]Pivot!$B$1:$AB$65000,$B707,I$5)="",2,0)),0)</f>
        <v>0</v>
      </c>
      <c r="J707" s="194">
        <f>IFERROR(IF(INDEX([1]Pivot!$AD$1:$BE$65000,$B707,J$5)=1,1,IF(INDEX([1]Pivot!$B$1:$AB$65000,$B707,J$5)="",2,0)),0)</f>
        <v>0</v>
      </c>
      <c r="K707" s="194">
        <f>IFERROR(IF(INDEX([1]Pivot!$AD$1:$BE$65000,$B707,K$5)=1,1,IF(INDEX([1]Pivot!$B$1:$AB$65000,$B707,K$5)="",2,0)),0)</f>
        <v>0</v>
      </c>
      <c r="L707" s="194">
        <f>IFERROR(IF(INDEX([1]Pivot!$AD$1:$BE$65000,$B707,L$5)=1,1,IF(INDEX([1]Pivot!$B$1:$AB$65000,$B707,L$5)="",2,0)),0)</f>
        <v>0</v>
      </c>
      <c r="M707" s="194">
        <f>IFERROR(IF(INDEX([1]Pivot!$AD$1:$BE$65000,$B707,M$5)=1,1,IF(INDEX([1]Pivot!$B$1:$AB$65000,$B707,M$5)="",2,0)),0)</f>
        <v>0</v>
      </c>
      <c r="N707" s="194">
        <f>IFERROR(IF(INDEX([1]Pivot!$AD$1:$BE$65000,$B707,N$5)=1,1,IF(INDEX([1]Pivot!$B$1:$AB$65000,$B707,N$5)="",2,0)),0)</f>
        <v>0</v>
      </c>
      <c r="O707" s="194">
        <f>IFERROR(IF(INDEX([1]Pivot!$AD$1:$BE$65000,$B707,O$5)=1,1,IF(INDEX([1]Pivot!$B$1:$AB$65000,$B707,O$5)="",2,0)),0)</f>
        <v>0</v>
      </c>
      <c r="P707" s="194">
        <f>IFERROR(IF(INDEX([1]Pivot!$AD$1:$BE$65000,$B707,P$5)=1,1,IF(INDEX([1]Pivot!$B$1:$AB$65000,$B707,P$5)="",2,0)),0)</f>
        <v>0</v>
      </c>
      <c r="Q707" s="194">
        <f>IFERROR(IF(INDEX([1]Pivot!$AD$1:$BE$65000,$B707,Q$5)=1,1,IF(INDEX([1]Pivot!$B$1:$AB$65000,$B707,Q$5)="",2,0)),0)</f>
        <v>0</v>
      </c>
      <c r="R707" s="312"/>
      <c r="S707" s="194">
        <f>IFERROR(IF(INDEX([1]Pivot!$AD$1:$BE$65000,$B707,S$5)=1,1,IF(INDEX([1]Pivot!$B$1:$AB$65000,$B707,S$5)="",2,0)),0)</f>
        <v>0</v>
      </c>
      <c r="T707" s="194">
        <f>IFERROR(IF(INDEX([1]Pivot!$AD$1:$BE$65000,$B707,T$5)=1,1,IF(INDEX([1]Pivot!$B$1:$AB$65000,$B707,T$5)="",2,0)),0)</f>
        <v>0</v>
      </c>
      <c r="U707" s="194">
        <f>IFERROR(IF(INDEX([1]Pivot!$AD$1:$BE$65000,$B707,U$5)=1,1,IF(INDEX([1]Pivot!$B$1:$AB$65000,$B707,U$5)="",2,0)),0)</f>
        <v>0</v>
      </c>
      <c r="V707" s="194">
        <f>IFERROR(IF(INDEX([1]Pivot!$AD$1:$BE$65000,$B707,V$5)=1,1,IF(INDEX([1]Pivot!$B$1:$AB$65000,$B707,V$5)="",2,0)),0)</f>
        <v>0</v>
      </c>
      <c r="W707" s="194">
        <f>IFERROR(IF(INDEX([1]Pivot!$AD$1:$BE$65000,$B707,W$5)=1,1,IF(INDEX([1]Pivot!$B$1:$AB$65000,$B707,W$5)="",2,0)),0)</f>
        <v>0</v>
      </c>
      <c r="X707" s="194">
        <f>IFERROR(IF(INDEX([1]Pivot!$AD$1:$BE$65000,$B707,X$5)=1,1,IF(INDEX([1]Pivot!$B$1:$AB$65000,$B707,X$5)="",2,0)),0)</f>
        <v>0</v>
      </c>
      <c r="Y707" s="194">
        <f>IFERROR(IF(INDEX([1]Pivot!$AD$1:$BE$65000,$B707,Y$5)=1,1,IF(INDEX([1]Pivot!$B$1:$AB$65000,$B707,Y$5)="",2,0)),0)</f>
        <v>0</v>
      </c>
      <c r="Z707" s="194">
        <f>IFERROR(IF(INDEX([1]Pivot!$AD$1:$BE$65000,$B707,Z$5)=1,1,IF(INDEX([1]Pivot!$B$1:$AB$65000,$B707,Z$5)="",2,0)),0)</f>
        <v>0</v>
      </c>
      <c r="AA707" s="194">
        <f>IFERROR(IF(INDEX([1]Pivot!$AD$1:$BE$65000,$B707,AA$5)=1,1,IF(INDEX([1]Pivot!$B$1:$AB$65000,$B707,AA$5)="",2,0)),0)</f>
        <v>0</v>
      </c>
      <c r="AB707" s="194">
        <f>IFERROR(IF(INDEX([1]Pivot!$AD$1:$BE$65000,$B707,AB$5)=1,1,IF(INDEX([1]Pivot!$B$1:$AB$65000,$B707,AB$5)="",2,0)),0)</f>
        <v>0</v>
      </c>
      <c r="AC707" s="194">
        <f>IFERROR(IF(INDEX([1]Pivot!$AD$1:$BE$65000,$B707,AC$5)=1,1,IF(INDEX([1]Pivot!$B$1:$AB$65000,$B707,AC$5)="",2,0)),0)</f>
        <v>0</v>
      </c>
      <c r="AD707" s="313">
        <f>IFERROR(IF(INDEX([1]Pivot!$BF$1:$CG$65000,$B707,AD$5)=1,1,IF(INDEX([1]Pivot!$B$1:$AB$65000,$B707,AD$5)="",2,0)),0)</f>
        <v>0</v>
      </c>
      <c r="AE707" s="313">
        <f>IFERROR(IF(INDEX([1]Pivot!$BF$1:$CG$65000,$B707,AE$5)=1,1,IF(INDEX([1]Pivot!$B$1:$AB$65000,$B707,AE$5)="",2,0)),0)</f>
        <v>0</v>
      </c>
      <c r="AF707" s="313">
        <f>IFERROR(IF(INDEX([1]Pivot!$BF$1:$CG$65000,$B707,AF$5)=1,1,IF(INDEX([1]Pivot!$B$1:$AB$65000,$B707,AF$5)="",2,0)),0)</f>
        <v>0</v>
      </c>
      <c r="AG707" s="313">
        <f>IFERROR(IF(INDEX([1]Pivot!$BF$1:$CG$65000,$B707,AG$5)=1,1,IF(INDEX([1]Pivot!$B$1:$AB$65000,$B707,AG$5)="",2,0)),0)</f>
        <v>0</v>
      </c>
      <c r="AH707" s="313">
        <f>IFERROR(IF(INDEX([1]Pivot!$BF$1:$CG$65000,$B707,AH$5)=1,1,IF(INDEX([1]Pivot!$B$1:$AB$65000,$B707,AH$5)="",2,0)),0)</f>
        <v>0</v>
      </c>
      <c r="AI707" s="313">
        <f>IFERROR(IF(INDEX([1]Pivot!$BF$1:$CG$65000,$B707,AI$5)=1,1,IF(INDEX([1]Pivot!$B$1:$AB$65000,$B707,AI$5)="",2,0)),0)</f>
        <v>0</v>
      </c>
      <c r="AJ707" s="313">
        <f>IFERROR(IF(INDEX([1]Pivot!$BF$1:$CG$65000,$B707,AJ$5)=1,1,IF(INDEX([1]Pivot!$B$1:$AB$65000,$B707,AJ$5)="",2,0)),0)</f>
        <v>0</v>
      </c>
      <c r="AK707" s="313">
        <f>IFERROR(IF(INDEX([1]Pivot!$BF$1:$CG$65000,$B707,AK$5)=1,1,IF(INDEX([1]Pivot!$B$1:$AB$65000,$B707,AK$5)="",2,0)),0)</f>
        <v>0</v>
      </c>
      <c r="AL707" s="313">
        <f>IFERROR(IF(INDEX([1]Pivot!$BF$1:$CG$65000,$B707,AL$5)=1,1,IF(INDEX([1]Pivot!$B$1:$AB$65000,$B707,AL$5)="",2,0)),0)</f>
        <v>0</v>
      </c>
      <c r="AM707" s="313">
        <f>IFERROR(IF(INDEX([1]Pivot!$BF$1:$CG$65000,$B707,AM$5)=1,1,IF(INDEX([1]Pivot!$B$1:$AB$65000,$B707,AM$5)="",2,0)),0)</f>
        <v>0</v>
      </c>
      <c r="AN707" s="313">
        <f>IFERROR(IF(INDEX([1]Pivot!$BF$1:$CG$65000,$B707,AN$5)=1,1,IF(INDEX([1]Pivot!$B$1:$AB$65000,$B707,AN$5)="",2,0)),0)</f>
        <v>0</v>
      </c>
      <c r="AO707" s="313">
        <f>IFERROR(IF(INDEX([1]Pivot!$BF$1:$CG$65000,$B707,AO$5)=1,1,IF(INDEX([1]Pivot!$B$1:$AB$65000,$B707,AO$5)="",2,0)),0)</f>
        <v>0</v>
      </c>
      <c r="AP707" s="313">
        <f>IFERROR(IF(INDEX([1]Pivot!$BF$1:$CG$65000,$B707,AP$5)=1,1,IF(INDEX([1]Pivot!$B$1:$AB$65000,$B707,AP$5)="",2,0)),0)</f>
        <v>0</v>
      </c>
      <c r="AQ707" s="313">
        <f>IFERROR(IF(INDEX([1]Pivot!$BF$1:$CG$65000,$B707,AQ$5)=1,1,IF(INDEX([1]Pivot!$B$1:$AB$65000,$B707,AQ$5)="",2,0)),0)</f>
        <v>0</v>
      </c>
      <c r="AR707" s="313">
        <f>IFERROR(IF(INDEX([1]Pivot!$BF$1:$CG$65000,$B707,AR$5)=1,1,IF(INDEX([1]Pivot!$B$1:$AB$65000,$B707,AR$5)="",2,0)),0)</f>
        <v>0</v>
      </c>
      <c r="AS707" s="312"/>
      <c r="AT707" s="313">
        <f>IFERROR(IF(INDEX([1]Pivot!$BF$1:$CG$65000,$B707,AT$5)=1,1,IF(INDEX([1]Pivot!$B$1:$AB$65000,$B707,AT$5)="",2,0)),0)</f>
        <v>0</v>
      </c>
      <c r="AU707" s="313">
        <f>IFERROR(IF(INDEX([1]Pivot!$BF$1:$CG$65000,$B707,AU$5)=1,1,IF(INDEX([1]Pivot!$B$1:$AB$65000,$B707,AU$5)="",2,0)),0)</f>
        <v>0</v>
      </c>
      <c r="AV707" s="313">
        <f>IFERROR(IF(INDEX([1]Pivot!$BF$1:$CG$65000,$B707,AV$5)=1,1,IF(INDEX([1]Pivot!$B$1:$AB$65000,$B707,AV$5)="",2,0)),0)</f>
        <v>0</v>
      </c>
      <c r="AW707" s="313">
        <f>IFERROR(IF(INDEX([1]Pivot!$BF$1:$CG$65000,$B707,AW$5)=1,1,IF(INDEX([1]Pivot!$B$1:$AB$65000,$B707,AW$5)="",2,0)),0)</f>
        <v>0</v>
      </c>
      <c r="AX707" s="313">
        <f>IFERROR(IF(INDEX([1]Pivot!$BF$1:$CG$65000,$B707,AX$5)=1,1,IF(INDEX([1]Pivot!$B$1:$AB$65000,$B707,AX$5)="",2,0)),0)</f>
        <v>0</v>
      </c>
      <c r="AY707" s="313">
        <f>IFERROR(IF(INDEX([1]Pivot!$BF$1:$CG$65000,$B707,AY$5)=1,1,IF(INDEX([1]Pivot!$B$1:$AB$65000,$B707,AY$5)="",2,0)),0)</f>
        <v>0</v>
      </c>
      <c r="AZ707" s="313">
        <f>IFERROR(IF(INDEX([1]Pivot!$BF$1:$CG$65000,$B707,AZ$5)=1,1,IF(INDEX([1]Pivot!$B$1:$AB$65000,$B707,AZ$5)="",2,0)),0)</f>
        <v>0</v>
      </c>
      <c r="BA707" s="313">
        <f>IFERROR(IF(INDEX([1]Pivot!$BF$1:$CG$65000,$B707,BA$5)=1,1,IF(INDEX([1]Pivot!$B$1:$AB$65000,$B707,BA$5)="",2,0)),0)</f>
        <v>0</v>
      </c>
      <c r="BB707" s="313">
        <f>IFERROR(IF(INDEX([1]Pivot!$BF$1:$CG$65000,$B707,BB$5)=1,1,IF(INDEX([1]Pivot!$B$1:$AB$65000,$B707,BB$5)="",2,0)),0)</f>
        <v>0</v>
      </c>
      <c r="BC707" s="313">
        <f>IFERROR(IF(INDEX([1]Pivot!$BF$1:$CG$65000,$B707,BC$5)=1,1,IF(INDEX([1]Pivot!$B$1:$AB$65000,$B707,BC$5)="",2,0)),0)</f>
        <v>0</v>
      </c>
      <c r="BD707" s="313">
        <f>IFERROR(IF(INDEX([1]Pivot!$BF$1:$CG$65000,$B707,BD$5)=1,1,IF(INDEX([1]Pivot!$B$1:$AB$65000,$B707,BD$5)="",2,0)),0)</f>
        <v>0</v>
      </c>
    </row>
    <row r="708" spans="1:56" x14ac:dyDescent="0.25">
      <c r="A708" s="288">
        <f>'[2]Raw Milk Prices'!A708</f>
        <v>0</v>
      </c>
      <c r="B708" s="296" t="e">
        <f>MATCH(DATE(LEFT('[2]Raw Milk Prices'!$A708,4),RIGHT('[2]Raw Milk Prices'!$A708,2),1),[1]Pivot!$A$1:$A$65000,0)</f>
        <v>#VALUE!</v>
      </c>
      <c r="C708" s="194">
        <f>IFERROR(IF(INDEX([1]Pivot!$AD$1:$BE$65000,$B708,C$5)=1,1,IF(INDEX([1]Pivot!$B$1:$AB$65000,$B708,C$5)="",2,0)),0)</f>
        <v>0</v>
      </c>
      <c r="D708" s="194">
        <f>IFERROR(IF(INDEX([1]Pivot!$AD$1:$BE$65000,$B708,D$5)=1,1,IF(INDEX([1]Pivot!$B$1:$AB$65000,$B708,D$5)="",2,0)),0)</f>
        <v>0</v>
      </c>
      <c r="E708" s="194">
        <f>IFERROR(IF(INDEX([1]Pivot!$AD$1:$BE$65000,$B708,E$5)=1,1,IF(INDEX([1]Pivot!$B$1:$AB$65000,$B708,E$5)="",2,0)),0)</f>
        <v>0</v>
      </c>
      <c r="F708" s="194">
        <f>IFERROR(IF(INDEX([1]Pivot!$AD$1:$BE$65000,$B708,F$5)=1,1,IF(INDEX([1]Pivot!$B$1:$AB$65000,$B708,F$5)="",2,0)),0)</f>
        <v>0</v>
      </c>
      <c r="G708" s="194">
        <f>IFERROR(IF(INDEX([1]Pivot!$AD$1:$BE$65000,$B708,G$5)=1,1,IF(INDEX([1]Pivot!$B$1:$AB$65000,$B708,G$5)="",2,0)),0)</f>
        <v>0</v>
      </c>
      <c r="H708" s="194">
        <f>IFERROR(IF(INDEX([1]Pivot!$AD$1:$BE$65000,$B708,H$5)=1,1,IF(INDEX([1]Pivot!$B$1:$AB$65000,$B708,H$5)="",2,0)),0)</f>
        <v>0</v>
      </c>
      <c r="I708" s="194">
        <f>IFERROR(IF(INDEX([1]Pivot!$AD$1:$BE$65000,$B708,I$5)=1,1,IF(INDEX([1]Pivot!$B$1:$AB$65000,$B708,I$5)="",2,0)),0)</f>
        <v>0</v>
      </c>
      <c r="J708" s="194">
        <f>IFERROR(IF(INDEX([1]Pivot!$AD$1:$BE$65000,$B708,J$5)=1,1,IF(INDEX([1]Pivot!$B$1:$AB$65000,$B708,J$5)="",2,0)),0)</f>
        <v>0</v>
      </c>
      <c r="K708" s="194">
        <f>IFERROR(IF(INDEX([1]Pivot!$AD$1:$BE$65000,$B708,K$5)=1,1,IF(INDEX([1]Pivot!$B$1:$AB$65000,$B708,K$5)="",2,0)),0)</f>
        <v>0</v>
      </c>
      <c r="L708" s="194">
        <f>IFERROR(IF(INDEX([1]Pivot!$AD$1:$BE$65000,$B708,L$5)=1,1,IF(INDEX([1]Pivot!$B$1:$AB$65000,$B708,L$5)="",2,0)),0)</f>
        <v>0</v>
      </c>
      <c r="M708" s="194">
        <f>IFERROR(IF(INDEX([1]Pivot!$AD$1:$BE$65000,$B708,M$5)=1,1,IF(INDEX([1]Pivot!$B$1:$AB$65000,$B708,M$5)="",2,0)),0)</f>
        <v>0</v>
      </c>
      <c r="N708" s="194">
        <f>IFERROR(IF(INDEX([1]Pivot!$AD$1:$BE$65000,$B708,N$5)=1,1,IF(INDEX([1]Pivot!$B$1:$AB$65000,$B708,N$5)="",2,0)),0)</f>
        <v>0</v>
      </c>
      <c r="O708" s="194">
        <f>IFERROR(IF(INDEX([1]Pivot!$AD$1:$BE$65000,$B708,O$5)=1,1,IF(INDEX([1]Pivot!$B$1:$AB$65000,$B708,O$5)="",2,0)),0)</f>
        <v>0</v>
      </c>
      <c r="P708" s="194">
        <f>IFERROR(IF(INDEX([1]Pivot!$AD$1:$BE$65000,$B708,P$5)=1,1,IF(INDEX([1]Pivot!$B$1:$AB$65000,$B708,P$5)="",2,0)),0)</f>
        <v>0</v>
      </c>
      <c r="Q708" s="194">
        <f>IFERROR(IF(INDEX([1]Pivot!$AD$1:$BE$65000,$B708,Q$5)=1,1,IF(INDEX([1]Pivot!$B$1:$AB$65000,$B708,Q$5)="",2,0)),0)</f>
        <v>0</v>
      </c>
      <c r="R708" s="312"/>
      <c r="S708" s="194">
        <f>IFERROR(IF(INDEX([1]Pivot!$AD$1:$BE$65000,$B708,S$5)=1,1,IF(INDEX([1]Pivot!$B$1:$AB$65000,$B708,S$5)="",2,0)),0)</f>
        <v>0</v>
      </c>
      <c r="T708" s="194">
        <f>IFERROR(IF(INDEX([1]Pivot!$AD$1:$BE$65000,$B708,T$5)=1,1,IF(INDEX([1]Pivot!$B$1:$AB$65000,$B708,T$5)="",2,0)),0)</f>
        <v>0</v>
      </c>
      <c r="U708" s="194">
        <f>IFERROR(IF(INDEX([1]Pivot!$AD$1:$BE$65000,$B708,U$5)=1,1,IF(INDEX([1]Pivot!$B$1:$AB$65000,$B708,U$5)="",2,0)),0)</f>
        <v>0</v>
      </c>
      <c r="V708" s="194">
        <f>IFERROR(IF(INDEX([1]Pivot!$AD$1:$BE$65000,$B708,V$5)=1,1,IF(INDEX([1]Pivot!$B$1:$AB$65000,$B708,V$5)="",2,0)),0)</f>
        <v>0</v>
      </c>
      <c r="W708" s="194">
        <f>IFERROR(IF(INDEX([1]Pivot!$AD$1:$BE$65000,$B708,W$5)=1,1,IF(INDEX([1]Pivot!$B$1:$AB$65000,$B708,W$5)="",2,0)),0)</f>
        <v>0</v>
      </c>
      <c r="X708" s="194">
        <f>IFERROR(IF(INDEX([1]Pivot!$AD$1:$BE$65000,$B708,X$5)=1,1,IF(INDEX([1]Pivot!$B$1:$AB$65000,$B708,X$5)="",2,0)),0)</f>
        <v>0</v>
      </c>
      <c r="Y708" s="194">
        <f>IFERROR(IF(INDEX([1]Pivot!$AD$1:$BE$65000,$B708,Y$5)=1,1,IF(INDEX([1]Pivot!$B$1:$AB$65000,$B708,Y$5)="",2,0)),0)</f>
        <v>0</v>
      </c>
      <c r="Z708" s="194">
        <f>IFERROR(IF(INDEX([1]Pivot!$AD$1:$BE$65000,$B708,Z$5)=1,1,IF(INDEX([1]Pivot!$B$1:$AB$65000,$B708,Z$5)="",2,0)),0)</f>
        <v>0</v>
      </c>
      <c r="AA708" s="194">
        <f>IFERROR(IF(INDEX([1]Pivot!$AD$1:$BE$65000,$B708,AA$5)=1,1,IF(INDEX([1]Pivot!$B$1:$AB$65000,$B708,AA$5)="",2,0)),0)</f>
        <v>0</v>
      </c>
      <c r="AB708" s="194">
        <f>IFERROR(IF(INDEX([1]Pivot!$AD$1:$BE$65000,$B708,AB$5)=1,1,IF(INDEX([1]Pivot!$B$1:$AB$65000,$B708,AB$5)="",2,0)),0)</f>
        <v>0</v>
      </c>
      <c r="AC708" s="194">
        <f>IFERROR(IF(INDEX([1]Pivot!$AD$1:$BE$65000,$B708,AC$5)=1,1,IF(INDEX([1]Pivot!$B$1:$AB$65000,$B708,AC$5)="",2,0)),0)</f>
        <v>0</v>
      </c>
      <c r="AD708" s="313">
        <f>IFERROR(IF(INDEX([1]Pivot!$BF$1:$CG$65000,$B708,AD$5)=1,1,IF(INDEX([1]Pivot!$B$1:$AB$65000,$B708,AD$5)="",2,0)),0)</f>
        <v>0</v>
      </c>
      <c r="AE708" s="313">
        <f>IFERROR(IF(INDEX([1]Pivot!$BF$1:$CG$65000,$B708,AE$5)=1,1,IF(INDEX([1]Pivot!$B$1:$AB$65000,$B708,AE$5)="",2,0)),0)</f>
        <v>0</v>
      </c>
      <c r="AF708" s="313">
        <f>IFERROR(IF(INDEX([1]Pivot!$BF$1:$CG$65000,$B708,AF$5)=1,1,IF(INDEX([1]Pivot!$B$1:$AB$65000,$B708,AF$5)="",2,0)),0)</f>
        <v>0</v>
      </c>
      <c r="AG708" s="313">
        <f>IFERROR(IF(INDEX([1]Pivot!$BF$1:$CG$65000,$B708,AG$5)=1,1,IF(INDEX([1]Pivot!$B$1:$AB$65000,$B708,AG$5)="",2,0)),0)</f>
        <v>0</v>
      </c>
      <c r="AH708" s="313">
        <f>IFERROR(IF(INDEX([1]Pivot!$BF$1:$CG$65000,$B708,AH$5)=1,1,IF(INDEX([1]Pivot!$B$1:$AB$65000,$B708,AH$5)="",2,0)),0)</f>
        <v>0</v>
      </c>
      <c r="AI708" s="313">
        <f>IFERROR(IF(INDEX([1]Pivot!$BF$1:$CG$65000,$B708,AI$5)=1,1,IF(INDEX([1]Pivot!$B$1:$AB$65000,$B708,AI$5)="",2,0)),0)</f>
        <v>0</v>
      </c>
      <c r="AJ708" s="313">
        <f>IFERROR(IF(INDEX([1]Pivot!$BF$1:$CG$65000,$B708,AJ$5)=1,1,IF(INDEX([1]Pivot!$B$1:$AB$65000,$B708,AJ$5)="",2,0)),0)</f>
        <v>0</v>
      </c>
      <c r="AK708" s="313">
        <f>IFERROR(IF(INDEX([1]Pivot!$BF$1:$CG$65000,$B708,AK$5)=1,1,IF(INDEX([1]Pivot!$B$1:$AB$65000,$B708,AK$5)="",2,0)),0)</f>
        <v>0</v>
      </c>
      <c r="AL708" s="313">
        <f>IFERROR(IF(INDEX([1]Pivot!$BF$1:$CG$65000,$B708,AL$5)=1,1,IF(INDEX([1]Pivot!$B$1:$AB$65000,$B708,AL$5)="",2,0)),0)</f>
        <v>0</v>
      </c>
      <c r="AM708" s="313">
        <f>IFERROR(IF(INDEX([1]Pivot!$BF$1:$CG$65000,$B708,AM$5)=1,1,IF(INDEX([1]Pivot!$B$1:$AB$65000,$B708,AM$5)="",2,0)),0)</f>
        <v>0</v>
      </c>
      <c r="AN708" s="313">
        <f>IFERROR(IF(INDEX([1]Pivot!$BF$1:$CG$65000,$B708,AN$5)=1,1,IF(INDEX([1]Pivot!$B$1:$AB$65000,$B708,AN$5)="",2,0)),0)</f>
        <v>0</v>
      </c>
      <c r="AO708" s="313">
        <f>IFERROR(IF(INDEX([1]Pivot!$BF$1:$CG$65000,$B708,AO$5)=1,1,IF(INDEX([1]Pivot!$B$1:$AB$65000,$B708,AO$5)="",2,0)),0)</f>
        <v>0</v>
      </c>
      <c r="AP708" s="313">
        <f>IFERROR(IF(INDEX([1]Pivot!$BF$1:$CG$65000,$B708,AP$5)=1,1,IF(INDEX([1]Pivot!$B$1:$AB$65000,$B708,AP$5)="",2,0)),0)</f>
        <v>0</v>
      </c>
      <c r="AQ708" s="313">
        <f>IFERROR(IF(INDEX([1]Pivot!$BF$1:$CG$65000,$B708,AQ$5)=1,1,IF(INDEX([1]Pivot!$B$1:$AB$65000,$B708,AQ$5)="",2,0)),0)</f>
        <v>0</v>
      </c>
      <c r="AR708" s="313">
        <f>IFERROR(IF(INDEX([1]Pivot!$BF$1:$CG$65000,$B708,AR$5)=1,1,IF(INDEX([1]Pivot!$B$1:$AB$65000,$B708,AR$5)="",2,0)),0)</f>
        <v>0</v>
      </c>
      <c r="AS708" s="312"/>
      <c r="AT708" s="313">
        <f>IFERROR(IF(INDEX([1]Pivot!$BF$1:$CG$65000,$B708,AT$5)=1,1,IF(INDEX([1]Pivot!$B$1:$AB$65000,$B708,AT$5)="",2,0)),0)</f>
        <v>0</v>
      </c>
      <c r="AU708" s="313">
        <f>IFERROR(IF(INDEX([1]Pivot!$BF$1:$CG$65000,$B708,AU$5)=1,1,IF(INDEX([1]Pivot!$B$1:$AB$65000,$B708,AU$5)="",2,0)),0)</f>
        <v>0</v>
      </c>
      <c r="AV708" s="313">
        <f>IFERROR(IF(INDEX([1]Pivot!$BF$1:$CG$65000,$B708,AV$5)=1,1,IF(INDEX([1]Pivot!$B$1:$AB$65000,$B708,AV$5)="",2,0)),0)</f>
        <v>0</v>
      </c>
      <c r="AW708" s="313">
        <f>IFERROR(IF(INDEX([1]Pivot!$BF$1:$CG$65000,$B708,AW$5)=1,1,IF(INDEX([1]Pivot!$B$1:$AB$65000,$B708,AW$5)="",2,0)),0)</f>
        <v>0</v>
      </c>
      <c r="AX708" s="313">
        <f>IFERROR(IF(INDEX([1]Pivot!$BF$1:$CG$65000,$B708,AX$5)=1,1,IF(INDEX([1]Pivot!$B$1:$AB$65000,$B708,AX$5)="",2,0)),0)</f>
        <v>0</v>
      </c>
      <c r="AY708" s="313">
        <f>IFERROR(IF(INDEX([1]Pivot!$BF$1:$CG$65000,$B708,AY$5)=1,1,IF(INDEX([1]Pivot!$B$1:$AB$65000,$B708,AY$5)="",2,0)),0)</f>
        <v>0</v>
      </c>
      <c r="AZ708" s="313">
        <f>IFERROR(IF(INDEX([1]Pivot!$BF$1:$CG$65000,$B708,AZ$5)=1,1,IF(INDEX([1]Pivot!$B$1:$AB$65000,$B708,AZ$5)="",2,0)),0)</f>
        <v>0</v>
      </c>
      <c r="BA708" s="313">
        <f>IFERROR(IF(INDEX([1]Pivot!$BF$1:$CG$65000,$B708,BA$5)=1,1,IF(INDEX([1]Pivot!$B$1:$AB$65000,$B708,BA$5)="",2,0)),0)</f>
        <v>0</v>
      </c>
      <c r="BB708" s="313">
        <f>IFERROR(IF(INDEX([1]Pivot!$BF$1:$CG$65000,$B708,BB$5)=1,1,IF(INDEX([1]Pivot!$B$1:$AB$65000,$B708,BB$5)="",2,0)),0)</f>
        <v>0</v>
      </c>
      <c r="BC708" s="313">
        <f>IFERROR(IF(INDEX([1]Pivot!$BF$1:$CG$65000,$B708,BC$5)=1,1,IF(INDEX([1]Pivot!$B$1:$AB$65000,$B708,BC$5)="",2,0)),0)</f>
        <v>0</v>
      </c>
      <c r="BD708" s="313">
        <f>IFERROR(IF(INDEX([1]Pivot!$BF$1:$CG$65000,$B708,BD$5)=1,1,IF(INDEX([1]Pivot!$B$1:$AB$65000,$B708,BD$5)="",2,0)),0)</f>
        <v>0</v>
      </c>
    </row>
    <row r="709" spans="1:56" x14ac:dyDescent="0.25">
      <c r="A709" s="288">
        <f>'[2]Raw Milk Prices'!A709</f>
        <v>0</v>
      </c>
      <c r="B709" s="296" t="e">
        <f>MATCH(DATE(LEFT('[2]Raw Milk Prices'!$A709,4),RIGHT('[2]Raw Milk Prices'!$A709,2),1),[1]Pivot!$A$1:$A$65000,0)</f>
        <v>#VALUE!</v>
      </c>
      <c r="C709" s="194">
        <f>IFERROR(IF(INDEX([1]Pivot!$AD$1:$BE$65000,$B709,C$5)=1,1,IF(INDEX([1]Pivot!$B$1:$AB$65000,$B709,C$5)="",2,0)),0)</f>
        <v>0</v>
      </c>
      <c r="D709" s="194">
        <f>IFERROR(IF(INDEX([1]Pivot!$AD$1:$BE$65000,$B709,D$5)=1,1,IF(INDEX([1]Pivot!$B$1:$AB$65000,$B709,D$5)="",2,0)),0)</f>
        <v>0</v>
      </c>
      <c r="E709" s="194">
        <f>IFERROR(IF(INDEX([1]Pivot!$AD$1:$BE$65000,$B709,E$5)=1,1,IF(INDEX([1]Pivot!$B$1:$AB$65000,$B709,E$5)="",2,0)),0)</f>
        <v>0</v>
      </c>
      <c r="F709" s="194">
        <f>IFERROR(IF(INDEX([1]Pivot!$AD$1:$BE$65000,$B709,F$5)=1,1,IF(INDEX([1]Pivot!$B$1:$AB$65000,$B709,F$5)="",2,0)),0)</f>
        <v>0</v>
      </c>
      <c r="G709" s="194">
        <f>IFERROR(IF(INDEX([1]Pivot!$AD$1:$BE$65000,$B709,G$5)=1,1,IF(INDEX([1]Pivot!$B$1:$AB$65000,$B709,G$5)="",2,0)),0)</f>
        <v>0</v>
      </c>
      <c r="H709" s="194">
        <f>IFERROR(IF(INDEX([1]Pivot!$AD$1:$BE$65000,$B709,H$5)=1,1,IF(INDEX([1]Pivot!$B$1:$AB$65000,$B709,H$5)="",2,0)),0)</f>
        <v>0</v>
      </c>
      <c r="I709" s="194">
        <f>IFERROR(IF(INDEX([1]Pivot!$AD$1:$BE$65000,$B709,I$5)=1,1,IF(INDEX([1]Pivot!$B$1:$AB$65000,$B709,I$5)="",2,0)),0)</f>
        <v>0</v>
      </c>
      <c r="J709" s="194">
        <f>IFERROR(IF(INDEX([1]Pivot!$AD$1:$BE$65000,$B709,J$5)=1,1,IF(INDEX([1]Pivot!$B$1:$AB$65000,$B709,J$5)="",2,0)),0)</f>
        <v>0</v>
      </c>
      <c r="K709" s="194">
        <f>IFERROR(IF(INDEX([1]Pivot!$AD$1:$BE$65000,$B709,K$5)=1,1,IF(INDEX([1]Pivot!$B$1:$AB$65000,$B709,K$5)="",2,0)),0)</f>
        <v>0</v>
      </c>
      <c r="L709" s="194">
        <f>IFERROR(IF(INDEX([1]Pivot!$AD$1:$BE$65000,$B709,L$5)=1,1,IF(INDEX([1]Pivot!$B$1:$AB$65000,$B709,L$5)="",2,0)),0)</f>
        <v>0</v>
      </c>
      <c r="M709" s="194">
        <f>IFERROR(IF(INDEX([1]Pivot!$AD$1:$BE$65000,$B709,M$5)=1,1,IF(INDEX([1]Pivot!$B$1:$AB$65000,$B709,M$5)="",2,0)),0)</f>
        <v>0</v>
      </c>
      <c r="N709" s="194">
        <f>IFERROR(IF(INDEX([1]Pivot!$AD$1:$BE$65000,$B709,N$5)=1,1,IF(INDEX([1]Pivot!$B$1:$AB$65000,$B709,N$5)="",2,0)),0)</f>
        <v>0</v>
      </c>
      <c r="O709" s="194">
        <f>IFERROR(IF(INDEX([1]Pivot!$AD$1:$BE$65000,$B709,O$5)=1,1,IF(INDEX([1]Pivot!$B$1:$AB$65000,$B709,O$5)="",2,0)),0)</f>
        <v>0</v>
      </c>
      <c r="P709" s="194">
        <f>IFERROR(IF(INDEX([1]Pivot!$AD$1:$BE$65000,$B709,P$5)=1,1,IF(INDEX([1]Pivot!$B$1:$AB$65000,$B709,P$5)="",2,0)),0)</f>
        <v>0</v>
      </c>
      <c r="Q709" s="194">
        <f>IFERROR(IF(INDEX([1]Pivot!$AD$1:$BE$65000,$B709,Q$5)=1,1,IF(INDEX([1]Pivot!$B$1:$AB$65000,$B709,Q$5)="",2,0)),0)</f>
        <v>0</v>
      </c>
      <c r="R709" s="312"/>
      <c r="S709" s="194">
        <f>IFERROR(IF(INDEX([1]Pivot!$AD$1:$BE$65000,$B709,S$5)=1,1,IF(INDEX([1]Pivot!$B$1:$AB$65000,$B709,S$5)="",2,0)),0)</f>
        <v>0</v>
      </c>
      <c r="T709" s="194">
        <f>IFERROR(IF(INDEX([1]Pivot!$AD$1:$BE$65000,$B709,T$5)=1,1,IF(INDEX([1]Pivot!$B$1:$AB$65000,$B709,T$5)="",2,0)),0)</f>
        <v>0</v>
      </c>
      <c r="U709" s="194">
        <f>IFERROR(IF(INDEX([1]Pivot!$AD$1:$BE$65000,$B709,U$5)=1,1,IF(INDEX([1]Pivot!$B$1:$AB$65000,$B709,U$5)="",2,0)),0)</f>
        <v>0</v>
      </c>
      <c r="V709" s="194">
        <f>IFERROR(IF(INDEX([1]Pivot!$AD$1:$BE$65000,$B709,V$5)=1,1,IF(INDEX([1]Pivot!$B$1:$AB$65000,$B709,V$5)="",2,0)),0)</f>
        <v>0</v>
      </c>
      <c r="W709" s="194">
        <f>IFERROR(IF(INDEX([1]Pivot!$AD$1:$BE$65000,$B709,W$5)=1,1,IF(INDEX([1]Pivot!$B$1:$AB$65000,$B709,W$5)="",2,0)),0)</f>
        <v>0</v>
      </c>
      <c r="X709" s="194">
        <f>IFERROR(IF(INDEX([1]Pivot!$AD$1:$BE$65000,$B709,X$5)=1,1,IF(INDEX([1]Pivot!$B$1:$AB$65000,$B709,X$5)="",2,0)),0)</f>
        <v>0</v>
      </c>
      <c r="Y709" s="194">
        <f>IFERROR(IF(INDEX([1]Pivot!$AD$1:$BE$65000,$B709,Y$5)=1,1,IF(INDEX([1]Pivot!$B$1:$AB$65000,$B709,Y$5)="",2,0)),0)</f>
        <v>0</v>
      </c>
      <c r="Z709" s="194">
        <f>IFERROR(IF(INDEX([1]Pivot!$AD$1:$BE$65000,$B709,Z$5)=1,1,IF(INDEX([1]Pivot!$B$1:$AB$65000,$B709,Z$5)="",2,0)),0)</f>
        <v>0</v>
      </c>
      <c r="AA709" s="194">
        <f>IFERROR(IF(INDEX([1]Pivot!$AD$1:$BE$65000,$B709,AA$5)=1,1,IF(INDEX([1]Pivot!$B$1:$AB$65000,$B709,AA$5)="",2,0)),0)</f>
        <v>0</v>
      </c>
      <c r="AB709" s="194">
        <f>IFERROR(IF(INDEX([1]Pivot!$AD$1:$BE$65000,$B709,AB$5)=1,1,IF(INDEX([1]Pivot!$B$1:$AB$65000,$B709,AB$5)="",2,0)),0)</f>
        <v>0</v>
      </c>
      <c r="AC709" s="194">
        <f>IFERROR(IF(INDEX([1]Pivot!$AD$1:$BE$65000,$B709,AC$5)=1,1,IF(INDEX([1]Pivot!$B$1:$AB$65000,$B709,AC$5)="",2,0)),0)</f>
        <v>0</v>
      </c>
      <c r="AD709" s="313">
        <f>IFERROR(IF(INDEX([1]Pivot!$BF$1:$CG$65000,$B709,AD$5)=1,1,IF(INDEX([1]Pivot!$B$1:$AB$65000,$B709,AD$5)="",2,0)),0)</f>
        <v>0</v>
      </c>
      <c r="AE709" s="313">
        <f>IFERROR(IF(INDEX([1]Pivot!$BF$1:$CG$65000,$B709,AE$5)=1,1,IF(INDEX([1]Pivot!$B$1:$AB$65000,$B709,AE$5)="",2,0)),0)</f>
        <v>0</v>
      </c>
      <c r="AF709" s="313">
        <f>IFERROR(IF(INDEX([1]Pivot!$BF$1:$CG$65000,$B709,AF$5)=1,1,IF(INDEX([1]Pivot!$B$1:$AB$65000,$B709,AF$5)="",2,0)),0)</f>
        <v>0</v>
      </c>
      <c r="AG709" s="313">
        <f>IFERROR(IF(INDEX([1]Pivot!$BF$1:$CG$65000,$B709,AG$5)=1,1,IF(INDEX([1]Pivot!$B$1:$AB$65000,$B709,AG$5)="",2,0)),0)</f>
        <v>0</v>
      </c>
      <c r="AH709" s="313">
        <f>IFERROR(IF(INDEX([1]Pivot!$BF$1:$CG$65000,$B709,AH$5)=1,1,IF(INDEX([1]Pivot!$B$1:$AB$65000,$B709,AH$5)="",2,0)),0)</f>
        <v>0</v>
      </c>
      <c r="AI709" s="313">
        <f>IFERROR(IF(INDEX([1]Pivot!$BF$1:$CG$65000,$B709,AI$5)=1,1,IF(INDEX([1]Pivot!$B$1:$AB$65000,$B709,AI$5)="",2,0)),0)</f>
        <v>0</v>
      </c>
      <c r="AJ709" s="313">
        <f>IFERROR(IF(INDEX([1]Pivot!$BF$1:$CG$65000,$B709,AJ$5)=1,1,IF(INDEX([1]Pivot!$B$1:$AB$65000,$B709,AJ$5)="",2,0)),0)</f>
        <v>0</v>
      </c>
      <c r="AK709" s="313">
        <f>IFERROR(IF(INDEX([1]Pivot!$BF$1:$CG$65000,$B709,AK$5)=1,1,IF(INDEX([1]Pivot!$B$1:$AB$65000,$B709,AK$5)="",2,0)),0)</f>
        <v>0</v>
      </c>
      <c r="AL709" s="313">
        <f>IFERROR(IF(INDEX([1]Pivot!$BF$1:$CG$65000,$B709,AL$5)=1,1,IF(INDEX([1]Pivot!$B$1:$AB$65000,$B709,AL$5)="",2,0)),0)</f>
        <v>0</v>
      </c>
      <c r="AM709" s="313">
        <f>IFERROR(IF(INDEX([1]Pivot!$BF$1:$CG$65000,$B709,AM$5)=1,1,IF(INDEX([1]Pivot!$B$1:$AB$65000,$B709,AM$5)="",2,0)),0)</f>
        <v>0</v>
      </c>
      <c r="AN709" s="313">
        <f>IFERROR(IF(INDEX([1]Pivot!$BF$1:$CG$65000,$B709,AN$5)=1,1,IF(INDEX([1]Pivot!$B$1:$AB$65000,$B709,AN$5)="",2,0)),0)</f>
        <v>0</v>
      </c>
      <c r="AO709" s="313">
        <f>IFERROR(IF(INDEX([1]Pivot!$BF$1:$CG$65000,$B709,AO$5)=1,1,IF(INDEX([1]Pivot!$B$1:$AB$65000,$B709,AO$5)="",2,0)),0)</f>
        <v>0</v>
      </c>
      <c r="AP709" s="313">
        <f>IFERROR(IF(INDEX([1]Pivot!$BF$1:$CG$65000,$B709,AP$5)=1,1,IF(INDEX([1]Pivot!$B$1:$AB$65000,$B709,AP$5)="",2,0)),0)</f>
        <v>0</v>
      </c>
      <c r="AQ709" s="313">
        <f>IFERROR(IF(INDEX([1]Pivot!$BF$1:$CG$65000,$B709,AQ$5)=1,1,IF(INDEX([1]Pivot!$B$1:$AB$65000,$B709,AQ$5)="",2,0)),0)</f>
        <v>0</v>
      </c>
      <c r="AR709" s="313">
        <f>IFERROR(IF(INDEX([1]Pivot!$BF$1:$CG$65000,$B709,AR$5)=1,1,IF(INDEX([1]Pivot!$B$1:$AB$65000,$B709,AR$5)="",2,0)),0)</f>
        <v>0</v>
      </c>
      <c r="AS709" s="312"/>
      <c r="AT709" s="313">
        <f>IFERROR(IF(INDEX([1]Pivot!$BF$1:$CG$65000,$B709,AT$5)=1,1,IF(INDEX([1]Pivot!$B$1:$AB$65000,$B709,AT$5)="",2,0)),0)</f>
        <v>0</v>
      </c>
      <c r="AU709" s="313">
        <f>IFERROR(IF(INDEX([1]Pivot!$BF$1:$CG$65000,$B709,AU$5)=1,1,IF(INDEX([1]Pivot!$B$1:$AB$65000,$B709,AU$5)="",2,0)),0)</f>
        <v>0</v>
      </c>
      <c r="AV709" s="313">
        <f>IFERROR(IF(INDEX([1]Pivot!$BF$1:$CG$65000,$B709,AV$5)=1,1,IF(INDEX([1]Pivot!$B$1:$AB$65000,$B709,AV$5)="",2,0)),0)</f>
        <v>0</v>
      </c>
      <c r="AW709" s="313">
        <f>IFERROR(IF(INDEX([1]Pivot!$BF$1:$CG$65000,$B709,AW$5)=1,1,IF(INDEX([1]Pivot!$B$1:$AB$65000,$B709,AW$5)="",2,0)),0)</f>
        <v>0</v>
      </c>
      <c r="AX709" s="313">
        <f>IFERROR(IF(INDEX([1]Pivot!$BF$1:$CG$65000,$B709,AX$5)=1,1,IF(INDEX([1]Pivot!$B$1:$AB$65000,$B709,AX$5)="",2,0)),0)</f>
        <v>0</v>
      </c>
      <c r="AY709" s="313">
        <f>IFERROR(IF(INDEX([1]Pivot!$BF$1:$CG$65000,$B709,AY$5)=1,1,IF(INDEX([1]Pivot!$B$1:$AB$65000,$B709,AY$5)="",2,0)),0)</f>
        <v>0</v>
      </c>
      <c r="AZ709" s="313">
        <f>IFERROR(IF(INDEX([1]Pivot!$BF$1:$CG$65000,$B709,AZ$5)=1,1,IF(INDEX([1]Pivot!$B$1:$AB$65000,$B709,AZ$5)="",2,0)),0)</f>
        <v>0</v>
      </c>
      <c r="BA709" s="313">
        <f>IFERROR(IF(INDEX([1]Pivot!$BF$1:$CG$65000,$B709,BA$5)=1,1,IF(INDEX([1]Pivot!$B$1:$AB$65000,$B709,BA$5)="",2,0)),0)</f>
        <v>0</v>
      </c>
      <c r="BB709" s="313">
        <f>IFERROR(IF(INDEX([1]Pivot!$BF$1:$CG$65000,$B709,BB$5)=1,1,IF(INDEX([1]Pivot!$B$1:$AB$65000,$B709,BB$5)="",2,0)),0)</f>
        <v>0</v>
      </c>
      <c r="BC709" s="313">
        <f>IFERROR(IF(INDEX([1]Pivot!$BF$1:$CG$65000,$B709,BC$5)=1,1,IF(INDEX([1]Pivot!$B$1:$AB$65000,$B709,BC$5)="",2,0)),0)</f>
        <v>0</v>
      </c>
      <c r="BD709" s="313">
        <f>IFERROR(IF(INDEX([1]Pivot!$BF$1:$CG$65000,$B709,BD$5)=1,1,IF(INDEX([1]Pivot!$B$1:$AB$65000,$B709,BD$5)="",2,0)),0)</f>
        <v>0</v>
      </c>
    </row>
    <row r="710" spans="1:56" x14ac:dyDescent="0.25">
      <c r="A710" s="288">
        <f>'[2]Raw Milk Prices'!A710</f>
        <v>0</v>
      </c>
      <c r="B710" s="296" t="e">
        <f>MATCH(DATE(LEFT('[2]Raw Milk Prices'!$A710,4),RIGHT('[2]Raw Milk Prices'!$A710,2),1),[1]Pivot!$A$1:$A$65000,0)</f>
        <v>#VALUE!</v>
      </c>
      <c r="C710" s="194">
        <f>IFERROR(IF(INDEX([1]Pivot!$AD$1:$BE$65000,$B710,C$5)=1,1,IF(INDEX([1]Pivot!$B$1:$AB$65000,$B710,C$5)="",2,0)),0)</f>
        <v>0</v>
      </c>
      <c r="D710" s="194">
        <f>IFERROR(IF(INDEX([1]Pivot!$AD$1:$BE$65000,$B710,D$5)=1,1,IF(INDEX([1]Pivot!$B$1:$AB$65000,$B710,D$5)="",2,0)),0)</f>
        <v>0</v>
      </c>
      <c r="E710" s="194">
        <f>IFERROR(IF(INDEX([1]Pivot!$AD$1:$BE$65000,$B710,E$5)=1,1,IF(INDEX([1]Pivot!$B$1:$AB$65000,$B710,E$5)="",2,0)),0)</f>
        <v>0</v>
      </c>
      <c r="F710" s="194">
        <f>IFERROR(IF(INDEX([1]Pivot!$AD$1:$BE$65000,$B710,F$5)=1,1,IF(INDEX([1]Pivot!$B$1:$AB$65000,$B710,F$5)="",2,0)),0)</f>
        <v>0</v>
      </c>
      <c r="G710" s="194">
        <f>IFERROR(IF(INDEX([1]Pivot!$AD$1:$BE$65000,$B710,G$5)=1,1,IF(INDEX([1]Pivot!$B$1:$AB$65000,$B710,G$5)="",2,0)),0)</f>
        <v>0</v>
      </c>
      <c r="H710" s="194">
        <f>IFERROR(IF(INDEX([1]Pivot!$AD$1:$BE$65000,$B710,H$5)=1,1,IF(INDEX([1]Pivot!$B$1:$AB$65000,$B710,H$5)="",2,0)),0)</f>
        <v>0</v>
      </c>
      <c r="I710" s="194">
        <f>IFERROR(IF(INDEX([1]Pivot!$AD$1:$BE$65000,$B710,I$5)=1,1,IF(INDEX([1]Pivot!$B$1:$AB$65000,$B710,I$5)="",2,0)),0)</f>
        <v>0</v>
      </c>
      <c r="J710" s="194">
        <f>IFERROR(IF(INDEX([1]Pivot!$AD$1:$BE$65000,$B710,J$5)=1,1,IF(INDEX([1]Pivot!$B$1:$AB$65000,$B710,J$5)="",2,0)),0)</f>
        <v>0</v>
      </c>
      <c r="K710" s="194">
        <f>IFERROR(IF(INDEX([1]Pivot!$AD$1:$BE$65000,$B710,K$5)=1,1,IF(INDEX([1]Pivot!$B$1:$AB$65000,$B710,K$5)="",2,0)),0)</f>
        <v>0</v>
      </c>
      <c r="L710" s="194">
        <f>IFERROR(IF(INDEX([1]Pivot!$AD$1:$BE$65000,$B710,L$5)=1,1,IF(INDEX([1]Pivot!$B$1:$AB$65000,$B710,L$5)="",2,0)),0)</f>
        <v>0</v>
      </c>
      <c r="M710" s="194">
        <f>IFERROR(IF(INDEX([1]Pivot!$AD$1:$BE$65000,$B710,M$5)=1,1,IF(INDEX([1]Pivot!$B$1:$AB$65000,$B710,M$5)="",2,0)),0)</f>
        <v>0</v>
      </c>
      <c r="N710" s="194">
        <f>IFERROR(IF(INDEX([1]Pivot!$AD$1:$BE$65000,$B710,N$5)=1,1,IF(INDEX([1]Pivot!$B$1:$AB$65000,$B710,N$5)="",2,0)),0)</f>
        <v>0</v>
      </c>
      <c r="O710" s="194">
        <f>IFERROR(IF(INDEX([1]Pivot!$AD$1:$BE$65000,$B710,O$5)=1,1,IF(INDEX([1]Pivot!$B$1:$AB$65000,$B710,O$5)="",2,0)),0)</f>
        <v>0</v>
      </c>
      <c r="P710" s="194">
        <f>IFERROR(IF(INDEX([1]Pivot!$AD$1:$BE$65000,$B710,P$5)=1,1,IF(INDEX([1]Pivot!$B$1:$AB$65000,$B710,P$5)="",2,0)),0)</f>
        <v>0</v>
      </c>
      <c r="Q710" s="194">
        <f>IFERROR(IF(INDEX([1]Pivot!$AD$1:$BE$65000,$B710,Q$5)=1,1,IF(INDEX([1]Pivot!$B$1:$AB$65000,$B710,Q$5)="",2,0)),0)</f>
        <v>0</v>
      </c>
      <c r="R710" s="312"/>
      <c r="S710" s="194">
        <f>IFERROR(IF(INDEX([1]Pivot!$AD$1:$BE$65000,$B710,S$5)=1,1,IF(INDEX([1]Pivot!$B$1:$AB$65000,$B710,S$5)="",2,0)),0)</f>
        <v>0</v>
      </c>
      <c r="T710" s="194">
        <f>IFERROR(IF(INDEX([1]Pivot!$AD$1:$BE$65000,$B710,T$5)=1,1,IF(INDEX([1]Pivot!$B$1:$AB$65000,$B710,T$5)="",2,0)),0)</f>
        <v>0</v>
      </c>
      <c r="U710" s="194">
        <f>IFERROR(IF(INDEX([1]Pivot!$AD$1:$BE$65000,$B710,U$5)=1,1,IF(INDEX([1]Pivot!$B$1:$AB$65000,$B710,U$5)="",2,0)),0)</f>
        <v>0</v>
      </c>
      <c r="V710" s="194">
        <f>IFERROR(IF(INDEX([1]Pivot!$AD$1:$BE$65000,$B710,V$5)=1,1,IF(INDEX([1]Pivot!$B$1:$AB$65000,$B710,V$5)="",2,0)),0)</f>
        <v>0</v>
      </c>
      <c r="W710" s="194">
        <f>IFERROR(IF(INDEX([1]Pivot!$AD$1:$BE$65000,$B710,W$5)=1,1,IF(INDEX([1]Pivot!$B$1:$AB$65000,$B710,W$5)="",2,0)),0)</f>
        <v>0</v>
      </c>
      <c r="X710" s="194">
        <f>IFERROR(IF(INDEX([1]Pivot!$AD$1:$BE$65000,$B710,X$5)=1,1,IF(INDEX([1]Pivot!$B$1:$AB$65000,$B710,X$5)="",2,0)),0)</f>
        <v>0</v>
      </c>
      <c r="Y710" s="194">
        <f>IFERROR(IF(INDEX([1]Pivot!$AD$1:$BE$65000,$B710,Y$5)=1,1,IF(INDEX([1]Pivot!$B$1:$AB$65000,$B710,Y$5)="",2,0)),0)</f>
        <v>0</v>
      </c>
      <c r="Z710" s="194">
        <f>IFERROR(IF(INDEX([1]Pivot!$AD$1:$BE$65000,$B710,Z$5)=1,1,IF(INDEX([1]Pivot!$B$1:$AB$65000,$B710,Z$5)="",2,0)),0)</f>
        <v>0</v>
      </c>
      <c r="AA710" s="194">
        <f>IFERROR(IF(INDEX([1]Pivot!$AD$1:$BE$65000,$B710,AA$5)=1,1,IF(INDEX([1]Pivot!$B$1:$AB$65000,$B710,AA$5)="",2,0)),0)</f>
        <v>0</v>
      </c>
      <c r="AB710" s="194">
        <f>IFERROR(IF(INDEX([1]Pivot!$AD$1:$BE$65000,$B710,AB$5)=1,1,IF(INDEX([1]Pivot!$B$1:$AB$65000,$B710,AB$5)="",2,0)),0)</f>
        <v>0</v>
      </c>
      <c r="AC710" s="194">
        <f>IFERROR(IF(INDEX([1]Pivot!$AD$1:$BE$65000,$B710,AC$5)=1,1,IF(INDEX([1]Pivot!$B$1:$AB$65000,$B710,AC$5)="",2,0)),0)</f>
        <v>0</v>
      </c>
      <c r="AD710" s="313">
        <f>IFERROR(IF(INDEX([1]Pivot!$BF$1:$CG$65000,$B710,AD$5)=1,1,IF(INDEX([1]Pivot!$B$1:$AB$65000,$B710,AD$5)="",2,0)),0)</f>
        <v>0</v>
      </c>
      <c r="AE710" s="313">
        <f>IFERROR(IF(INDEX([1]Pivot!$BF$1:$CG$65000,$B710,AE$5)=1,1,IF(INDEX([1]Pivot!$B$1:$AB$65000,$B710,AE$5)="",2,0)),0)</f>
        <v>0</v>
      </c>
      <c r="AF710" s="313">
        <f>IFERROR(IF(INDEX([1]Pivot!$BF$1:$CG$65000,$B710,AF$5)=1,1,IF(INDEX([1]Pivot!$B$1:$AB$65000,$B710,AF$5)="",2,0)),0)</f>
        <v>0</v>
      </c>
      <c r="AG710" s="313">
        <f>IFERROR(IF(INDEX([1]Pivot!$BF$1:$CG$65000,$B710,AG$5)=1,1,IF(INDEX([1]Pivot!$B$1:$AB$65000,$B710,AG$5)="",2,0)),0)</f>
        <v>0</v>
      </c>
      <c r="AH710" s="313">
        <f>IFERROR(IF(INDEX([1]Pivot!$BF$1:$CG$65000,$B710,AH$5)=1,1,IF(INDEX([1]Pivot!$B$1:$AB$65000,$B710,AH$5)="",2,0)),0)</f>
        <v>0</v>
      </c>
      <c r="AI710" s="313">
        <f>IFERROR(IF(INDEX([1]Pivot!$BF$1:$CG$65000,$B710,AI$5)=1,1,IF(INDEX([1]Pivot!$B$1:$AB$65000,$B710,AI$5)="",2,0)),0)</f>
        <v>0</v>
      </c>
      <c r="AJ710" s="313">
        <f>IFERROR(IF(INDEX([1]Pivot!$BF$1:$CG$65000,$B710,AJ$5)=1,1,IF(INDEX([1]Pivot!$B$1:$AB$65000,$B710,AJ$5)="",2,0)),0)</f>
        <v>0</v>
      </c>
      <c r="AK710" s="313">
        <f>IFERROR(IF(INDEX([1]Pivot!$BF$1:$CG$65000,$B710,AK$5)=1,1,IF(INDEX([1]Pivot!$B$1:$AB$65000,$B710,AK$5)="",2,0)),0)</f>
        <v>0</v>
      </c>
      <c r="AL710" s="313">
        <f>IFERROR(IF(INDEX([1]Pivot!$BF$1:$CG$65000,$B710,AL$5)=1,1,IF(INDEX([1]Pivot!$B$1:$AB$65000,$B710,AL$5)="",2,0)),0)</f>
        <v>0</v>
      </c>
      <c r="AM710" s="313">
        <f>IFERROR(IF(INDEX([1]Pivot!$BF$1:$CG$65000,$B710,AM$5)=1,1,IF(INDEX([1]Pivot!$B$1:$AB$65000,$B710,AM$5)="",2,0)),0)</f>
        <v>0</v>
      </c>
      <c r="AN710" s="313">
        <f>IFERROR(IF(INDEX([1]Pivot!$BF$1:$CG$65000,$B710,AN$5)=1,1,IF(INDEX([1]Pivot!$B$1:$AB$65000,$B710,AN$5)="",2,0)),0)</f>
        <v>0</v>
      </c>
      <c r="AO710" s="313">
        <f>IFERROR(IF(INDEX([1]Pivot!$BF$1:$CG$65000,$B710,AO$5)=1,1,IF(INDEX([1]Pivot!$B$1:$AB$65000,$B710,AO$5)="",2,0)),0)</f>
        <v>0</v>
      </c>
      <c r="AP710" s="313">
        <f>IFERROR(IF(INDEX([1]Pivot!$BF$1:$CG$65000,$B710,AP$5)=1,1,IF(INDEX([1]Pivot!$B$1:$AB$65000,$B710,AP$5)="",2,0)),0)</f>
        <v>0</v>
      </c>
      <c r="AQ710" s="313">
        <f>IFERROR(IF(INDEX([1]Pivot!$BF$1:$CG$65000,$B710,AQ$5)=1,1,IF(INDEX([1]Pivot!$B$1:$AB$65000,$B710,AQ$5)="",2,0)),0)</f>
        <v>0</v>
      </c>
      <c r="AR710" s="313">
        <f>IFERROR(IF(INDEX([1]Pivot!$BF$1:$CG$65000,$B710,AR$5)=1,1,IF(INDEX([1]Pivot!$B$1:$AB$65000,$B710,AR$5)="",2,0)),0)</f>
        <v>0</v>
      </c>
      <c r="AS710" s="312"/>
      <c r="AT710" s="313">
        <f>IFERROR(IF(INDEX([1]Pivot!$BF$1:$CG$65000,$B710,AT$5)=1,1,IF(INDEX([1]Pivot!$B$1:$AB$65000,$B710,AT$5)="",2,0)),0)</f>
        <v>0</v>
      </c>
      <c r="AU710" s="313">
        <f>IFERROR(IF(INDEX([1]Pivot!$BF$1:$CG$65000,$B710,AU$5)=1,1,IF(INDEX([1]Pivot!$B$1:$AB$65000,$B710,AU$5)="",2,0)),0)</f>
        <v>0</v>
      </c>
      <c r="AV710" s="313">
        <f>IFERROR(IF(INDEX([1]Pivot!$BF$1:$CG$65000,$B710,AV$5)=1,1,IF(INDEX([1]Pivot!$B$1:$AB$65000,$B710,AV$5)="",2,0)),0)</f>
        <v>0</v>
      </c>
      <c r="AW710" s="313">
        <f>IFERROR(IF(INDEX([1]Pivot!$BF$1:$CG$65000,$B710,AW$5)=1,1,IF(INDEX([1]Pivot!$B$1:$AB$65000,$B710,AW$5)="",2,0)),0)</f>
        <v>0</v>
      </c>
      <c r="AX710" s="313">
        <f>IFERROR(IF(INDEX([1]Pivot!$BF$1:$CG$65000,$B710,AX$5)=1,1,IF(INDEX([1]Pivot!$B$1:$AB$65000,$B710,AX$5)="",2,0)),0)</f>
        <v>0</v>
      </c>
      <c r="AY710" s="313">
        <f>IFERROR(IF(INDEX([1]Pivot!$BF$1:$CG$65000,$B710,AY$5)=1,1,IF(INDEX([1]Pivot!$B$1:$AB$65000,$B710,AY$5)="",2,0)),0)</f>
        <v>0</v>
      </c>
      <c r="AZ710" s="313">
        <f>IFERROR(IF(INDEX([1]Pivot!$BF$1:$CG$65000,$B710,AZ$5)=1,1,IF(INDEX([1]Pivot!$B$1:$AB$65000,$B710,AZ$5)="",2,0)),0)</f>
        <v>0</v>
      </c>
      <c r="BA710" s="313">
        <f>IFERROR(IF(INDEX([1]Pivot!$BF$1:$CG$65000,$B710,BA$5)=1,1,IF(INDEX([1]Pivot!$B$1:$AB$65000,$B710,BA$5)="",2,0)),0)</f>
        <v>0</v>
      </c>
      <c r="BB710" s="313">
        <f>IFERROR(IF(INDEX([1]Pivot!$BF$1:$CG$65000,$B710,BB$5)=1,1,IF(INDEX([1]Pivot!$B$1:$AB$65000,$B710,BB$5)="",2,0)),0)</f>
        <v>0</v>
      </c>
      <c r="BC710" s="313">
        <f>IFERROR(IF(INDEX([1]Pivot!$BF$1:$CG$65000,$B710,BC$5)=1,1,IF(INDEX([1]Pivot!$B$1:$AB$65000,$B710,BC$5)="",2,0)),0)</f>
        <v>0</v>
      </c>
      <c r="BD710" s="313">
        <f>IFERROR(IF(INDEX([1]Pivot!$BF$1:$CG$65000,$B710,BD$5)=1,1,IF(INDEX([1]Pivot!$B$1:$AB$65000,$B710,BD$5)="",2,0)),0)</f>
        <v>0</v>
      </c>
    </row>
    <row r="711" spans="1:56" x14ac:dyDescent="0.25">
      <c r="A711" s="288">
        <f>'[2]Raw Milk Prices'!A711</f>
        <v>0</v>
      </c>
      <c r="B711" s="296" t="e">
        <f>MATCH(DATE(LEFT('[2]Raw Milk Prices'!$A711,4),RIGHT('[2]Raw Milk Prices'!$A711,2),1),[1]Pivot!$A$1:$A$65000,0)</f>
        <v>#VALUE!</v>
      </c>
      <c r="C711" s="194">
        <f>IFERROR(IF(INDEX([1]Pivot!$AD$1:$BE$65000,$B711,C$5)=1,1,IF(INDEX([1]Pivot!$B$1:$AB$65000,$B711,C$5)="",2,0)),0)</f>
        <v>0</v>
      </c>
      <c r="D711" s="194">
        <f>IFERROR(IF(INDEX([1]Pivot!$AD$1:$BE$65000,$B711,D$5)=1,1,IF(INDEX([1]Pivot!$B$1:$AB$65000,$B711,D$5)="",2,0)),0)</f>
        <v>0</v>
      </c>
      <c r="E711" s="194">
        <f>IFERROR(IF(INDEX([1]Pivot!$AD$1:$BE$65000,$B711,E$5)=1,1,IF(INDEX([1]Pivot!$B$1:$AB$65000,$B711,E$5)="",2,0)),0)</f>
        <v>0</v>
      </c>
      <c r="F711" s="194">
        <f>IFERROR(IF(INDEX([1]Pivot!$AD$1:$BE$65000,$B711,F$5)=1,1,IF(INDEX([1]Pivot!$B$1:$AB$65000,$B711,F$5)="",2,0)),0)</f>
        <v>0</v>
      </c>
      <c r="G711" s="194">
        <f>IFERROR(IF(INDEX([1]Pivot!$AD$1:$BE$65000,$B711,G$5)=1,1,IF(INDEX([1]Pivot!$B$1:$AB$65000,$B711,G$5)="",2,0)),0)</f>
        <v>0</v>
      </c>
      <c r="H711" s="194">
        <f>IFERROR(IF(INDEX([1]Pivot!$AD$1:$BE$65000,$B711,H$5)=1,1,IF(INDEX([1]Pivot!$B$1:$AB$65000,$B711,H$5)="",2,0)),0)</f>
        <v>0</v>
      </c>
      <c r="I711" s="194">
        <f>IFERROR(IF(INDEX([1]Pivot!$AD$1:$BE$65000,$B711,I$5)=1,1,IF(INDEX([1]Pivot!$B$1:$AB$65000,$B711,I$5)="",2,0)),0)</f>
        <v>0</v>
      </c>
      <c r="J711" s="194">
        <f>IFERROR(IF(INDEX([1]Pivot!$AD$1:$BE$65000,$B711,J$5)=1,1,IF(INDEX([1]Pivot!$B$1:$AB$65000,$B711,J$5)="",2,0)),0)</f>
        <v>0</v>
      </c>
      <c r="K711" s="194">
        <f>IFERROR(IF(INDEX([1]Pivot!$AD$1:$BE$65000,$B711,K$5)=1,1,IF(INDEX([1]Pivot!$B$1:$AB$65000,$B711,K$5)="",2,0)),0)</f>
        <v>0</v>
      </c>
      <c r="L711" s="194">
        <f>IFERROR(IF(INDEX([1]Pivot!$AD$1:$BE$65000,$B711,L$5)=1,1,IF(INDEX([1]Pivot!$B$1:$AB$65000,$B711,L$5)="",2,0)),0)</f>
        <v>0</v>
      </c>
      <c r="M711" s="194">
        <f>IFERROR(IF(INDEX([1]Pivot!$AD$1:$BE$65000,$B711,M$5)=1,1,IF(INDEX([1]Pivot!$B$1:$AB$65000,$B711,M$5)="",2,0)),0)</f>
        <v>0</v>
      </c>
      <c r="N711" s="194">
        <f>IFERROR(IF(INDEX([1]Pivot!$AD$1:$BE$65000,$B711,N$5)=1,1,IF(INDEX([1]Pivot!$B$1:$AB$65000,$B711,N$5)="",2,0)),0)</f>
        <v>0</v>
      </c>
      <c r="O711" s="194">
        <f>IFERROR(IF(INDEX([1]Pivot!$AD$1:$BE$65000,$B711,O$5)=1,1,IF(INDEX([1]Pivot!$B$1:$AB$65000,$B711,O$5)="",2,0)),0)</f>
        <v>0</v>
      </c>
      <c r="P711" s="194">
        <f>IFERROR(IF(INDEX([1]Pivot!$AD$1:$BE$65000,$B711,P$5)=1,1,IF(INDEX([1]Pivot!$B$1:$AB$65000,$B711,P$5)="",2,0)),0)</f>
        <v>0</v>
      </c>
      <c r="Q711" s="194">
        <f>IFERROR(IF(INDEX([1]Pivot!$AD$1:$BE$65000,$B711,Q$5)=1,1,IF(INDEX([1]Pivot!$B$1:$AB$65000,$B711,Q$5)="",2,0)),0)</f>
        <v>0</v>
      </c>
      <c r="R711" s="312"/>
      <c r="S711" s="194">
        <f>IFERROR(IF(INDEX([1]Pivot!$AD$1:$BE$65000,$B711,S$5)=1,1,IF(INDEX([1]Pivot!$B$1:$AB$65000,$B711,S$5)="",2,0)),0)</f>
        <v>0</v>
      </c>
      <c r="T711" s="194">
        <f>IFERROR(IF(INDEX([1]Pivot!$AD$1:$BE$65000,$B711,T$5)=1,1,IF(INDEX([1]Pivot!$B$1:$AB$65000,$B711,T$5)="",2,0)),0)</f>
        <v>0</v>
      </c>
      <c r="U711" s="194">
        <f>IFERROR(IF(INDEX([1]Pivot!$AD$1:$BE$65000,$B711,U$5)=1,1,IF(INDEX([1]Pivot!$B$1:$AB$65000,$B711,U$5)="",2,0)),0)</f>
        <v>0</v>
      </c>
      <c r="V711" s="194">
        <f>IFERROR(IF(INDEX([1]Pivot!$AD$1:$BE$65000,$B711,V$5)=1,1,IF(INDEX([1]Pivot!$B$1:$AB$65000,$B711,V$5)="",2,0)),0)</f>
        <v>0</v>
      </c>
      <c r="W711" s="194">
        <f>IFERROR(IF(INDEX([1]Pivot!$AD$1:$BE$65000,$B711,W$5)=1,1,IF(INDEX([1]Pivot!$B$1:$AB$65000,$B711,W$5)="",2,0)),0)</f>
        <v>0</v>
      </c>
      <c r="X711" s="194">
        <f>IFERROR(IF(INDEX([1]Pivot!$AD$1:$BE$65000,$B711,X$5)=1,1,IF(INDEX([1]Pivot!$B$1:$AB$65000,$B711,X$5)="",2,0)),0)</f>
        <v>0</v>
      </c>
      <c r="Y711" s="194">
        <f>IFERROR(IF(INDEX([1]Pivot!$AD$1:$BE$65000,$B711,Y$5)=1,1,IF(INDEX([1]Pivot!$B$1:$AB$65000,$B711,Y$5)="",2,0)),0)</f>
        <v>0</v>
      </c>
      <c r="Z711" s="194">
        <f>IFERROR(IF(INDEX([1]Pivot!$AD$1:$BE$65000,$B711,Z$5)=1,1,IF(INDEX([1]Pivot!$B$1:$AB$65000,$B711,Z$5)="",2,0)),0)</f>
        <v>0</v>
      </c>
      <c r="AA711" s="194">
        <f>IFERROR(IF(INDEX([1]Pivot!$AD$1:$BE$65000,$B711,AA$5)=1,1,IF(INDEX([1]Pivot!$B$1:$AB$65000,$B711,AA$5)="",2,0)),0)</f>
        <v>0</v>
      </c>
      <c r="AB711" s="194">
        <f>IFERROR(IF(INDEX([1]Pivot!$AD$1:$BE$65000,$B711,AB$5)=1,1,IF(INDEX([1]Pivot!$B$1:$AB$65000,$B711,AB$5)="",2,0)),0)</f>
        <v>0</v>
      </c>
      <c r="AC711" s="194">
        <f>IFERROR(IF(INDEX([1]Pivot!$AD$1:$BE$65000,$B711,AC$5)=1,1,IF(INDEX([1]Pivot!$B$1:$AB$65000,$B711,AC$5)="",2,0)),0)</f>
        <v>0</v>
      </c>
      <c r="AD711" s="313">
        <f>IFERROR(IF(INDEX([1]Pivot!$BF$1:$CG$65000,$B711,AD$5)=1,1,IF(INDEX([1]Pivot!$B$1:$AB$65000,$B711,AD$5)="",2,0)),0)</f>
        <v>0</v>
      </c>
      <c r="AE711" s="313">
        <f>IFERROR(IF(INDEX([1]Pivot!$BF$1:$CG$65000,$B711,AE$5)=1,1,IF(INDEX([1]Pivot!$B$1:$AB$65000,$B711,AE$5)="",2,0)),0)</f>
        <v>0</v>
      </c>
      <c r="AF711" s="313">
        <f>IFERROR(IF(INDEX([1]Pivot!$BF$1:$CG$65000,$B711,AF$5)=1,1,IF(INDEX([1]Pivot!$B$1:$AB$65000,$B711,AF$5)="",2,0)),0)</f>
        <v>0</v>
      </c>
      <c r="AG711" s="313">
        <f>IFERROR(IF(INDEX([1]Pivot!$BF$1:$CG$65000,$B711,AG$5)=1,1,IF(INDEX([1]Pivot!$B$1:$AB$65000,$B711,AG$5)="",2,0)),0)</f>
        <v>0</v>
      </c>
      <c r="AH711" s="313">
        <f>IFERROR(IF(INDEX([1]Pivot!$BF$1:$CG$65000,$B711,AH$5)=1,1,IF(INDEX([1]Pivot!$B$1:$AB$65000,$B711,AH$5)="",2,0)),0)</f>
        <v>0</v>
      </c>
      <c r="AI711" s="313">
        <f>IFERROR(IF(INDEX([1]Pivot!$BF$1:$CG$65000,$B711,AI$5)=1,1,IF(INDEX([1]Pivot!$B$1:$AB$65000,$B711,AI$5)="",2,0)),0)</f>
        <v>0</v>
      </c>
      <c r="AJ711" s="313">
        <f>IFERROR(IF(INDEX([1]Pivot!$BF$1:$CG$65000,$B711,AJ$5)=1,1,IF(INDEX([1]Pivot!$B$1:$AB$65000,$B711,AJ$5)="",2,0)),0)</f>
        <v>0</v>
      </c>
      <c r="AK711" s="313">
        <f>IFERROR(IF(INDEX([1]Pivot!$BF$1:$CG$65000,$B711,AK$5)=1,1,IF(INDEX([1]Pivot!$B$1:$AB$65000,$B711,AK$5)="",2,0)),0)</f>
        <v>0</v>
      </c>
      <c r="AL711" s="313">
        <f>IFERROR(IF(INDEX([1]Pivot!$BF$1:$CG$65000,$B711,AL$5)=1,1,IF(INDEX([1]Pivot!$B$1:$AB$65000,$B711,AL$5)="",2,0)),0)</f>
        <v>0</v>
      </c>
      <c r="AM711" s="313">
        <f>IFERROR(IF(INDEX([1]Pivot!$BF$1:$CG$65000,$B711,AM$5)=1,1,IF(INDEX([1]Pivot!$B$1:$AB$65000,$B711,AM$5)="",2,0)),0)</f>
        <v>0</v>
      </c>
      <c r="AN711" s="313">
        <f>IFERROR(IF(INDEX([1]Pivot!$BF$1:$CG$65000,$B711,AN$5)=1,1,IF(INDEX([1]Pivot!$B$1:$AB$65000,$B711,AN$5)="",2,0)),0)</f>
        <v>0</v>
      </c>
      <c r="AO711" s="313">
        <f>IFERROR(IF(INDEX([1]Pivot!$BF$1:$CG$65000,$B711,AO$5)=1,1,IF(INDEX([1]Pivot!$B$1:$AB$65000,$B711,AO$5)="",2,0)),0)</f>
        <v>0</v>
      </c>
      <c r="AP711" s="313">
        <f>IFERROR(IF(INDEX([1]Pivot!$BF$1:$CG$65000,$B711,AP$5)=1,1,IF(INDEX([1]Pivot!$B$1:$AB$65000,$B711,AP$5)="",2,0)),0)</f>
        <v>0</v>
      </c>
      <c r="AQ711" s="313">
        <f>IFERROR(IF(INDEX([1]Pivot!$BF$1:$CG$65000,$B711,AQ$5)=1,1,IF(INDEX([1]Pivot!$B$1:$AB$65000,$B711,AQ$5)="",2,0)),0)</f>
        <v>0</v>
      </c>
      <c r="AR711" s="313">
        <f>IFERROR(IF(INDEX([1]Pivot!$BF$1:$CG$65000,$B711,AR$5)=1,1,IF(INDEX([1]Pivot!$B$1:$AB$65000,$B711,AR$5)="",2,0)),0)</f>
        <v>0</v>
      </c>
      <c r="AS711" s="312"/>
      <c r="AT711" s="313">
        <f>IFERROR(IF(INDEX([1]Pivot!$BF$1:$CG$65000,$B711,AT$5)=1,1,IF(INDEX([1]Pivot!$B$1:$AB$65000,$B711,AT$5)="",2,0)),0)</f>
        <v>0</v>
      </c>
      <c r="AU711" s="313">
        <f>IFERROR(IF(INDEX([1]Pivot!$BF$1:$CG$65000,$B711,AU$5)=1,1,IF(INDEX([1]Pivot!$B$1:$AB$65000,$B711,AU$5)="",2,0)),0)</f>
        <v>0</v>
      </c>
      <c r="AV711" s="313">
        <f>IFERROR(IF(INDEX([1]Pivot!$BF$1:$CG$65000,$B711,AV$5)=1,1,IF(INDEX([1]Pivot!$B$1:$AB$65000,$B711,AV$5)="",2,0)),0)</f>
        <v>0</v>
      </c>
      <c r="AW711" s="313">
        <f>IFERROR(IF(INDEX([1]Pivot!$BF$1:$CG$65000,$B711,AW$5)=1,1,IF(INDEX([1]Pivot!$B$1:$AB$65000,$B711,AW$5)="",2,0)),0)</f>
        <v>0</v>
      </c>
      <c r="AX711" s="313">
        <f>IFERROR(IF(INDEX([1]Pivot!$BF$1:$CG$65000,$B711,AX$5)=1,1,IF(INDEX([1]Pivot!$B$1:$AB$65000,$B711,AX$5)="",2,0)),0)</f>
        <v>0</v>
      </c>
      <c r="AY711" s="313">
        <f>IFERROR(IF(INDEX([1]Pivot!$BF$1:$CG$65000,$B711,AY$5)=1,1,IF(INDEX([1]Pivot!$B$1:$AB$65000,$B711,AY$5)="",2,0)),0)</f>
        <v>0</v>
      </c>
      <c r="AZ711" s="313">
        <f>IFERROR(IF(INDEX([1]Pivot!$BF$1:$CG$65000,$B711,AZ$5)=1,1,IF(INDEX([1]Pivot!$B$1:$AB$65000,$B711,AZ$5)="",2,0)),0)</f>
        <v>0</v>
      </c>
      <c r="BA711" s="313">
        <f>IFERROR(IF(INDEX([1]Pivot!$BF$1:$CG$65000,$B711,BA$5)=1,1,IF(INDEX([1]Pivot!$B$1:$AB$65000,$B711,BA$5)="",2,0)),0)</f>
        <v>0</v>
      </c>
      <c r="BB711" s="313">
        <f>IFERROR(IF(INDEX([1]Pivot!$BF$1:$CG$65000,$B711,BB$5)=1,1,IF(INDEX([1]Pivot!$B$1:$AB$65000,$B711,BB$5)="",2,0)),0)</f>
        <v>0</v>
      </c>
      <c r="BC711" s="313">
        <f>IFERROR(IF(INDEX([1]Pivot!$BF$1:$CG$65000,$B711,BC$5)=1,1,IF(INDEX([1]Pivot!$B$1:$AB$65000,$B711,BC$5)="",2,0)),0)</f>
        <v>0</v>
      </c>
      <c r="BD711" s="313">
        <f>IFERROR(IF(INDEX([1]Pivot!$BF$1:$CG$65000,$B711,BD$5)=1,1,IF(INDEX([1]Pivot!$B$1:$AB$65000,$B711,BD$5)="",2,0)),0)</f>
        <v>0</v>
      </c>
    </row>
    <row r="712" spans="1:56" x14ac:dyDescent="0.25">
      <c r="A712" s="288">
        <f>'[2]Raw Milk Prices'!A712</f>
        <v>0</v>
      </c>
      <c r="B712" s="296" t="e">
        <f>MATCH(DATE(LEFT('[2]Raw Milk Prices'!$A712,4),RIGHT('[2]Raw Milk Prices'!$A712,2),1),[1]Pivot!$A$1:$A$65000,0)</f>
        <v>#VALUE!</v>
      </c>
      <c r="C712" s="194">
        <f>IFERROR(IF(INDEX([1]Pivot!$AD$1:$BE$65000,$B712,C$5)=1,1,IF(INDEX([1]Pivot!$B$1:$AB$65000,$B712,C$5)="",2,0)),0)</f>
        <v>0</v>
      </c>
      <c r="D712" s="194">
        <f>IFERROR(IF(INDEX([1]Pivot!$AD$1:$BE$65000,$B712,D$5)=1,1,IF(INDEX([1]Pivot!$B$1:$AB$65000,$B712,D$5)="",2,0)),0)</f>
        <v>0</v>
      </c>
      <c r="E712" s="194">
        <f>IFERROR(IF(INDEX([1]Pivot!$AD$1:$BE$65000,$B712,E$5)=1,1,IF(INDEX([1]Pivot!$B$1:$AB$65000,$B712,E$5)="",2,0)),0)</f>
        <v>0</v>
      </c>
      <c r="F712" s="194">
        <f>IFERROR(IF(INDEX([1]Pivot!$AD$1:$BE$65000,$B712,F$5)=1,1,IF(INDEX([1]Pivot!$B$1:$AB$65000,$B712,F$5)="",2,0)),0)</f>
        <v>0</v>
      </c>
      <c r="G712" s="194">
        <f>IFERROR(IF(INDEX([1]Pivot!$AD$1:$BE$65000,$B712,G$5)=1,1,IF(INDEX([1]Pivot!$B$1:$AB$65000,$B712,G$5)="",2,0)),0)</f>
        <v>0</v>
      </c>
      <c r="H712" s="194">
        <f>IFERROR(IF(INDEX([1]Pivot!$AD$1:$BE$65000,$B712,H$5)=1,1,IF(INDEX([1]Pivot!$B$1:$AB$65000,$B712,H$5)="",2,0)),0)</f>
        <v>0</v>
      </c>
      <c r="I712" s="194">
        <f>IFERROR(IF(INDEX([1]Pivot!$AD$1:$BE$65000,$B712,I$5)=1,1,IF(INDEX([1]Pivot!$B$1:$AB$65000,$B712,I$5)="",2,0)),0)</f>
        <v>0</v>
      </c>
      <c r="J712" s="194">
        <f>IFERROR(IF(INDEX([1]Pivot!$AD$1:$BE$65000,$B712,J$5)=1,1,IF(INDEX([1]Pivot!$B$1:$AB$65000,$B712,J$5)="",2,0)),0)</f>
        <v>0</v>
      </c>
      <c r="K712" s="194">
        <f>IFERROR(IF(INDEX([1]Pivot!$AD$1:$BE$65000,$B712,K$5)=1,1,IF(INDEX([1]Pivot!$B$1:$AB$65000,$B712,K$5)="",2,0)),0)</f>
        <v>0</v>
      </c>
      <c r="L712" s="194">
        <f>IFERROR(IF(INDEX([1]Pivot!$AD$1:$BE$65000,$B712,L$5)=1,1,IF(INDEX([1]Pivot!$B$1:$AB$65000,$B712,L$5)="",2,0)),0)</f>
        <v>0</v>
      </c>
      <c r="M712" s="194">
        <f>IFERROR(IF(INDEX([1]Pivot!$AD$1:$BE$65000,$B712,M$5)=1,1,IF(INDEX([1]Pivot!$B$1:$AB$65000,$B712,M$5)="",2,0)),0)</f>
        <v>0</v>
      </c>
      <c r="N712" s="194">
        <f>IFERROR(IF(INDEX([1]Pivot!$AD$1:$BE$65000,$B712,N$5)=1,1,IF(INDEX([1]Pivot!$B$1:$AB$65000,$B712,N$5)="",2,0)),0)</f>
        <v>0</v>
      </c>
      <c r="O712" s="194">
        <f>IFERROR(IF(INDEX([1]Pivot!$AD$1:$BE$65000,$B712,O$5)=1,1,IF(INDEX([1]Pivot!$B$1:$AB$65000,$B712,O$5)="",2,0)),0)</f>
        <v>0</v>
      </c>
      <c r="P712" s="194">
        <f>IFERROR(IF(INDEX([1]Pivot!$AD$1:$BE$65000,$B712,P$5)=1,1,IF(INDEX([1]Pivot!$B$1:$AB$65000,$B712,P$5)="",2,0)),0)</f>
        <v>0</v>
      </c>
      <c r="Q712" s="194">
        <f>IFERROR(IF(INDEX([1]Pivot!$AD$1:$BE$65000,$B712,Q$5)=1,1,IF(INDEX([1]Pivot!$B$1:$AB$65000,$B712,Q$5)="",2,0)),0)</f>
        <v>0</v>
      </c>
      <c r="R712" s="312"/>
      <c r="S712" s="194">
        <f>IFERROR(IF(INDEX([1]Pivot!$AD$1:$BE$65000,$B712,S$5)=1,1,IF(INDEX([1]Pivot!$B$1:$AB$65000,$B712,S$5)="",2,0)),0)</f>
        <v>0</v>
      </c>
      <c r="T712" s="194">
        <f>IFERROR(IF(INDEX([1]Pivot!$AD$1:$BE$65000,$B712,T$5)=1,1,IF(INDEX([1]Pivot!$B$1:$AB$65000,$B712,T$5)="",2,0)),0)</f>
        <v>0</v>
      </c>
      <c r="U712" s="194">
        <f>IFERROR(IF(INDEX([1]Pivot!$AD$1:$BE$65000,$B712,U$5)=1,1,IF(INDEX([1]Pivot!$B$1:$AB$65000,$B712,U$5)="",2,0)),0)</f>
        <v>0</v>
      </c>
      <c r="V712" s="194">
        <f>IFERROR(IF(INDEX([1]Pivot!$AD$1:$BE$65000,$B712,V$5)=1,1,IF(INDEX([1]Pivot!$B$1:$AB$65000,$B712,V$5)="",2,0)),0)</f>
        <v>0</v>
      </c>
      <c r="W712" s="194">
        <f>IFERROR(IF(INDEX([1]Pivot!$AD$1:$BE$65000,$B712,W$5)=1,1,IF(INDEX([1]Pivot!$B$1:$AB$65000,$B712,W$5)="",2,0)),0)</f>
        <v>0</v>
      </c>
      <c r="X712" s="194">
        <f>IFERROR(IF(INDEX([1]Pivot!$AD$1:$BE$65000,$B712,X$5)=1,1,IF(INDEX([1]Pivot!$B$1:$AB$65000,$B712,X$5)="",2,0)),0)</f>
        <v>0</v>
      </c>
      <c r="Y712" s="194">
        <f>IFERROR(IF(INDEX([1]Pivot!$AD$1:$BE$65000,$B712,Y$5)=1,1,IF(INDEX([1]Pivot!$B$1:$AB$65000,$B712,Y$5)="",2,0)),0)</f>
        <v>0</v>
      </c>
      <c r="Z712" s="194">
        <f>IFERROR(IF(INDEX([1]Pivot!$AD$1:$BE$65000,$B712,Z$5)=1,1,IF(INDEX([1]Pivot!$B$1:$AB$65000,$B712,Z$5)="",2,0)),0)</f>
        <v>0</v>
      </c>
      <c r="AA712" s="194">
        <f>IFERROR(IF(INDEX([1]Pivot!$AD$1:$BE$65000,$B712,AA$5)=1,1,IF(INDEX([1]Pivot!$B$1:$AB$65000,$B712,AA$5)="",2,0)),0)</f>
        <v>0</v>
      </c>
      <c r="AB712" s="194">
        <f>IFERROR(IF(INDEX([1]Pivot!$AD$1:$BE$65000,$B712,AB$5)=1,1,IF(INDEX([1]Pivot!$B$1:$AB$65000,$B712,AB$5)="",2,0)),0)</f>
        <v>0</v>
      </c>
      <c r="AC712" s="194">
        <f>IFERROR(IF(INDEX([1]Pivot!$AD$1:$BE$65000,$B712,AC$5)=1,1,IF(INDEX([1]Pivot!$B$1:$AB$65000,$B712,AC$5)="",2,0)),0)</f>
        <v>0</v>
      </c>
      <c r="AD712" s="313">
        <f>IFERROR(IF(INDEX([1]Pivot!$BF$1:$CG$65000,$B712,AD$5)=1,1,IF(INDEX([1]Pivot!$B$1:$AB$65000,$B712,AD$5)="",2,0)),0)</f>
        <v>0</v>
      </c>
      <c r="AE712" s="313">
        <f>IFERROR(IF(INDEX([1]Pivot!$BF$1:$CG$65000,$B712,AE$5)=1,1,IF(INDEX([1]Pivot!$B$1:$AB$65000,$B712,AE$5)="",2,0)),0)</f>
        <v>0</v>
      </c>
      <c r="AF712" s="313">
        <f>IFERROR(IF(INDEX([1]Pivot!$BF$1:$CG$65000,$B712,AF$5)=1,1,IF(INDEX([1]Pivot!$B$1:$AB$65000,$B712,AF$5)="",2,0)),0)</f>
        <v>0</v>
      </c>
      <c r="AG712" s="313">
        <f>IFERROR(IF(INDEX([1]Pivot!$BF$1:$CG$65000,$B712,AG$5)=1,1,IF(INDEX([1]Pivot!$B$1:$AB$65000,$B712,AG$5)="",2,0)),0)</f>
        <v>0</v>
      </c>
      <c r="AH712" s="313">
        <f>IFERROR(IF(INDEX([1]Pivot!$BF$1:$CG$65000,$B712,AH$5)=1,1,IF(INDEX([1]Pivot!$B$1:$AB$65000,$B712,AH$5)="",2,0)),0)</f>
        <v>0</v>
      </c>
      <c r="AI712" s="313">
        <f>IFERROR(IF(INDEX([1]Pivot!$BF$1:$CG$65000,$B712,AI$5)=1,1,IF(INDEX([1]Pivot!$B$1:$AB$65000,$B712,AI$5)="",2,0)),0)</f>
        <v>0</v>
      </c>
      <c r="AJ712" s="313">
        <f>IFERROR(IF(INDEX([1]Pivot!$BF$1:$CG$65000,$B712,AJ$5)=1,1,IF(INDEX([1]Pivot!$B$1:$AB$65000,$B712,AJ$5)="",2,0)),0)</f>
        <v>0</v>
      </c>
      <c r="AK712" s="313">
        <f>IFERROR(IF(INDEX([1]Pivot!$BF$1:$CG$65000,$B712,AK$5)=1,1,IF(INDEX([1]Pivot!$B$1:$AB$65000,$B712,AK$5)="",2,0)),0)</f>
        <v>0</v>
      </c>
      <c r="AL712" s="313">
        <f>IFERROR(IF(INDEX([1]Pivot!$BF$1:$CG$65000,$B712,AL$5)=1,1,IF(INDEX([1]Pivot!$B$1:$AB$65000,$B712,AL$5)="",2,0)),0)</f>
        <v>0</v>
      </c>
      <c r="AM712" s="313">
        <f>IFERROR(IF(INDEX([1]Pivot!$BF$1:$CG$65000,$B712,AM$5)=1,1,IF(INDEX([1]Pivot!$B$1:$AB$65000,$B712,AM$5)="",2,0)),0)</f>
        <v>0</v>
      </c>
      <c r="AN712" s="313">
        <f>IFERROR(IF(INDEX([1]Pivot!$BF$1:$CG$65000,$B712,AN$5)=1,1,IF(INDEX([1]Pivot!$B$1:$AB$65000,$B712,AN$5)="",2,0)),0)</f>
        <v>0</v>
      </c>
      <c r="AO712" s="313">
        <f>IFERROR(IF(INDEX([1]Pivot!$BF$1:$CG$65000,$B712,AO$5)=1,1,IF(INDEX([1]Pivot!$B$1:$AB$65000,$B712,AO$5)="",2,0)),0)</f>
        <v>0</v>
      </c>
      <c r="AP712" s="313">
        <f>IFERROR(IF(INDEX([1]Pivot!$BF$1:$CG$65000,$B712,AP$5)=1,1,IF(INDEX([1]Pivot!$B$1:$AB$65000,$B712,AP$5)="",2,0)),0)</f>
        <v>0</v>
      </c>
      <c r="AQ712" s="313">
        <f>IFERROR(IF(INDEX([1]Pivot!$BF$1:$CG$65000,$B712,AQ$5)=1,1,IF(INDEX([1]Pivot!$B$1:$AB$65000,$B712,AQ$5)="",2,0)),0)</f>
        <v>0</v>
      </c>
      <c r="AR712" s="313">
        <f>IFERROR(IF(INDEX([1]Pivot!$BF$1:$CG$65000,$B712,AR$5)=1,1,IF(INDEX([1]Pivot!$B$1:$AB$65000,$B712,AR$5)="",2,0)),0)</f>
        <v>0</v>
      </c>
      <c r="AS712" s="312"/>
      <c r="AT712" s="313">
        <f>IFERROR(IF(INDEX([1]Pivot!$BF$1:$CG$65000,$B712,AT$5)=1,1,IF(INDEX([1]Pivot!$B$1:$AB$65000,$B712,AT$5)="",2,0)),0)</f>
        <v>0</v>
      </c>
      <c r="AU712" s="313">
        <f>IFERROR(IF(INDEX([1]Pivot!$BF$1:$CG$65000,$B712,AU$5)=1,1,IF(INDEX([1]Pivot!$B$1:$AB$65000,$B712,AU$5)="",2,0)),0)</f>
        <v>0</v>
      </c>
      <c r="AV712" s="313">
        <f>IFERROR(IF(INDEX([1]Pivot!$BF$1:$CG$65000,$B712,AV$5)=1,1,IF(INDEX([1]Pivot!$B$1:$AB$65000,$B712,AV$5)="",2,0)),0)</f>
        <v>0</v>
      </c>
      <c r="AW712" s="313">
        <f>IFERROR(IF(INDEX([1]Pivot!$BF$1:$CG$65000,$B712,AW$5)=1,1,IF(INDEX([1]Pivot!$B$1:$AB$65000,$B712,AW$5)="",2,0)),0)</f>
        <v>0</v>
      </c>
      <c r="AX712" s="313">
        <f>IFERROR(IF(INDEX([1]Pivot!$BF$1:$CG$65000,$B712,AX$5)=1,1,IF(INDEX([1]Pivot!$B$1:$AB$65000,$B712,AX$5)="",2,0)),0)</f>
        <v>0</v>
      </c>
      <c r="AY712" s="313">
        <f>IFERROR(IF(INDEX([1]Pivot!$BF$1:$CG$65000,$B712,AY$5)=1,1,IF(INDEX([1]Pivot!$B$1:$AB$65000,$B712,AY$5)="",2,0)),0)</f>
        <v>0</v>
      </c>
      <c r="AZ712" s="313">
        <f>IFERROR(IF(INDEX([1]Pivot!$BF$1:$CG$65000,$B712,AZ$5)=1,1,IF(INDEX([1]Pivot!$B$1:$AB$65000,$B712,AZ$5)="",2,0)),0)</f>
        <v>0</v>
      </c>
      <c r="BA712" s="313">
        <f>IFERROR(IF(INDEX([1]Pivot!$BF$1:$CG$65000,$B712,BA$5)=1,1,IF(INDEX([1]Pivot!$B$1:$AB$65000,$B712,BA$5)="",2,0)),0)</f>
        <v>0</v>
      </c>
      <c r="BB712" s="313">
        <f>IFERROR(IF(INDEX([1]Pivot!$BF$1:$CG$65000,$B712,BB$5)=1,1,IF(INDEX([1]Pivot!$B$1:$AB$65000,$B712,BB$5)="",2,0)),0)</f>
        <v>0</v>
      </c>
      <c r="BC712" s="313">
        <f>IFERROR(IF(INDEX([1]Pivot!$BF$1:$CG$65000,$B712,BC$5)=1,1,IF(INDEX([1]Pivot!$B$1:$AB$65000,$B712,BC$5)="",2,0)),0)</f>
        <v>0</v>
      </c>
      <c r="BD712" s="313">
        <f>IFERROR(IF(INDEX([1]Pivot!$BF$1:$CG$65000,$B712,BD$5)=1,1,IF(INDEX([1]Pivot!$B$1:$AB$65000,$B712,BD$5)="",2,0)),0)</f>
        <v>0</v>
      </c>
    </row>
    <row r="713" spans="1:56" x14ac:dyDescent="0.25">
      <c r="A713" s="288">
        <f>'[2]Raw Milk Prices'!A713</f>
        <v>0</v>
      </c>
      <c r="B713" s="296" t="e">
        <f>MATCH(DATE(LEFT('[2]Raw Milk Prices'!$A713,4),RIGHT('[2]Raw Milk Prices'!$A713,2),1),[1]Pivot!$A$1:$A$65000,0)</f>
        <v>#VALUE!</v>
      </c>
      <c r="C713" s="194">
        <f>IFERROR(IF(INDEX([1]Pivot!$AD$1:$BE$65000,$B713,C$5)=1,1,IF(INDEX([1]Pivot!$B$1:$AB$65000,$B713,C$5)="",2,0)),0)</f>
        <v>0</v>
      </c>
      <c r="D713" s="194">
        <f>IFERROR(IF(INDEX([1]Pivot!$AD$1:$BE$65000,$B713,D$5)=1,1,IF(INDEX([1]Pivot!$B$1:$AB$65000,$B713,D$5)="",2,0)),0)</f>
        <v>0</v>
      </c>
      <c r="E713" s="194">
        <f>IFERROR(IF(INDEX([1]Pivot!$AD$1:$BE$65000,$B713,E$5)=1,1,IF(INDEX([1]Pivot!$B$1:$AB$65000,$B713,E$5)="",2,0)),0)</f>
        <v>0</v>
      </c>
      <c r="F713" s="194">
        <f>IFERROR(IF(INDEX([1]Pivot!$AD$1:$BE$65000,$B713,F$5)=1,1,IF(INDEX([1]Pivot!$B$1:$AB$65000,$B713,F$5)="",2,0)),0)</f>
        <v>0</v>
      </c>
      <c r="G713" s="194">
        <f>IFERROR(IF(INDEX([1]Pivot!$AD$1:$BE$65000,$B713,G$5)=1,1,IF(INDEX([1]Pivot!$B$1:$AB$65000,$B713,G$5)="",2,0)),0)</f>
        <v>0</v>
      </c>
      <c r="H713" s="194">
        <f>IFERROR(IF(INDEX([1]Pivot!$AD$1:$BE$65000,$B713,H$5)=1,1,IF(INDEX([1]Pivot!$B$1:$AB$65000,$B713,H$5)="",2,0)),0)</f>
        <v>0</v>
      </c>
      <c r="I713" s="194">
        <f>IFERROR(IF(INDEX([1]Pivot!$AD$1:$BE$65000,$B713,I$5)=1,1,IF(INDEX([1]Pivot!$B$1:$AB$65000,$B713,I$5)="",2,0)),0)</f>
        <v>0</v>
      </c>
      <c r="J713" s="194">
        <f>IFERROR(IF(INDEX([1]Pivot!$AD$1:$BE$65000,$B713,J$5)=1,1,IF(INDEX([1]Pivot!$B$1:$AB$65000,$B713,J$5)="",2,0)),0)</f>
        <v>0</v>
      </c>
      <c r="K713" s="194">
        <f>IFERROR(IF(INDEX([1]Pivot!$AD$1:$BE$65000,$B713,K$5)=1,1,IF(INDEX([1]Pivot!$B$1:$AB$65000,$B713,K$5)="",2,0)),0)</f>
        <v>0</v>
      </c>
      <c r="L713" s="194">
        <f>IFERROR(IF(INDEX([1]Pivot!$AD$1:$BE$65000,$B713,L$5)=1,1,IF(INDEX([1]Pivot!$B$1:$AB$65000,$B713,L$5)="",2,0)),0)</f>
        <v>0</v>
      </c>
      <c r="M713" s="194">
        <f>IFERROR(IF(INDEX([1]Pivot!$AD$1:$BE$65000,$B713,M$5)=1,1,IF(INDEX([1]Pivot!$B$1:$AB$65000,$B713,M$5)="",2,0)),0)</f>
        <v>0</v>
      </c>
      <c r="N713" s="194">
        <f>IFERROR(IF(INDEX([1]Pivot!$AD$1:$BE$65000,$B713,N$5)=1,1,IF(INDEX([1]Pivot!$B$1:$AB$65000,$B713,N$5)="",2,0)),0)</f>
        <v>0</v>
      </c>
      <c r="O713" s="194">
        <f>IFERROR(IF(INDEX([1]Pivot!$AD$1:$BE$65000,$B713,O$5)=1,1,IF(INDEX([1]Pivot!$B$1:$AB$65000,$B713,O$5)="",2,0)),0)</f>
        <v>0</v>
      </c>
      <c r="P713" s="194">
        <f>IFERROR(IF(INDEX([1]Pivot!$AD$1:$BE$65000,$B713,P$5)=1,1,IF(INDEX([1]Pivot!$B$1:$AB$65000,$B713,P$5)="",2,0)),0)</f>
        <v>0</v>
      </c>
      <c r="Q713" s="194">
        <f>IFERROR(IF(INDEX([1]Pivot!$AD$1:$BE$65000,$B713,Q$5)=1,1,IF(INDEX([1]Pivot!$B$1:$AB$65000,$B713,Q$5)="",2,0)),0)</f>
        <v>0</v>
      </c>
      <c r="R713" s="312"/>
      <c r="S713" s="194">
        <f>IFERROR(IF(INDEX([1]Pivot!$AD$1:$BE$65000,$B713,S$5)=1,1,IF(INDEX([1]Pivot!$B$1:$AB$65000,$B713,S$5)="",2,0)),0)</f>
        <v>0</v>
      </c>
      <c r="T713" s="194">
        <f>IFERROR(IF(INDEX([1]Pivot!$AD$1:$BE$65000,$B713,T$5)=1,1,IF(INDEX([1]Pivot!$B$1:$AB$65000,$B713,T$5)="",2,0)),0)</f>
        <v>0</v>
      </c>
      <c r="U713" s="194">
        <f>IFERROR(IF(INDEX([1]Pivot!$AD$1:$BE$65000,$B713,U$5)=1,1,IF(INDEX([1]Pivot!$B$1:$AB$65000,$B713,U$5)="",2,0)),0)</f>
        <v>0</v>
      </c>
      <c r="V713" s="194">
        <f>IFERROR(IF(INDEX([1]Pivot!$AD$1:$BE$65000,$B713,V$5)=1,1,IF(INDEX([1]Pivot!$B$1:$AB$65000,$B713,V$5)="",2,0)),0)</f>
        <v>0</v>
      </c>
      <c r="W713" s="194">
        <f>IFERROR(IF(INDEX([1]Pivot!$AD$1:$BE$65000,$B713,W$5)=1,1,IF(INDEX([1]Pivot!$B$1:$AB$65000,$B713,W$5)="",2,0)),0)</f>
        <v>0</v>
      </c>
      <c r="X713" s="194">
        <f>IFERROR(IF(INDEX([1]Pivot!$AD$1:$BE$65000,$B713,X$5)=1,1,IF(INDEX([1]Pivot!$B$1:$AB$65000,$B713,X$5)="",2,0)),0)</f>
        <v>0</v>
      </c>
      <c r="Y713" s="194">
        <f>IFERROR(IF(INDEX([1]Pivot!$AD$1:$BE$65000,$B713,Y$5)=1,1,IF(INDEX([1]Pivot!$B$1:$AB$65000,$B713,Y$5)="",2,0)),0)</f>
        <v>0</v>
      </c>
      <c r="Z713" s="194">
        <f>IFERROR(IF(INDEX([1]Pivot!$AD$1:$BE$65000,$B713,Z$5)=1,1,IF(INDEX([1]Pivot!$B$1:$AB$65000,$B713,Z$5)="",2,0)),0)</f>
        <v>0</v>
      </c>
      <c r="AA713" s="194">
        <f>IFERROR(IF(INDEX([1]Pivot!$AD$1:$BE$65000,$B713,AA$5)=1,1,IF(INDEX([1]Pivot!$B$1:$AB$65000,$B713,AA$5)="",2,0)),0)</f>
        <v>0</v>
      </c>
      <c r="AB713" s="194">
        <f>IFERROR(IF(INDEX([1]Pivot!$AD$1:$BE$65000,$B713,AB$5)=1,1,IF(INDEX([1]Pivot!$B$1:$AB$65000,$B713,AB$5)="",2,0)),0)</f>
        <v>0</v>
      </c>
      <c r="AC713" s="194">
        <f>IFERROR(IF(INDEX([1]Pivot!$AD$1:$BE$65000,$B713,AC$5)=1,1,IF(INDEX([1]Pivot!$B$1:$AB$65000,$B713,AC$5)="",2,0)),0)</f>
        <v>0</v>
      </c>
      <c r="AD713" s="313">
        <f>IFERROR(IF(INDEX([1]Pivot!$BF$1:$CG$65000,$B713,AD$5)=1,1,IF(INDEX([1]Pivot!$B$1:$AB$65000,$B713,AD$5)="",2,0)),0)</f>
        <v>0</v>
      </c>
      <c r="AE713" s="313">
        <f>IFERROR(IF(INDEX([1]Pivot!$BF$1:$CG$65000,$B713,AE$5)=1,1,IF(INDEX([1]Pivot!$B$1:$AB$65000,$B713,AE$5)="",2,0)),0)</f>
        <v>0</v>
      </c>
      <c r="AF713" s="313">
        <f>IFERROR(IF(INDEX([1]Pivot!$BF$1:$CG$65000,$B713,AF$5)=1,1,IF(INDEX([1]Pivot!$B$1:$AB$65000,$B713,AF$5)="",2,0)),0)</f>
        <v>0</v>
      </c>
      <c r="AG713" s="313">
        <f>IFERROR(IF(INDEX([1]Pivot!$BF$1:$CG$65000,$B713,AG$5)=1,1,IF(INDEX([1]Pivot!$B$1:$AB$65000,$B713,AG$5)="",2,0)),0)</f>
        <v>0</v>
      </c>
      <c r="AH713" s="313">
        <f>IFERROR(IF(INDEX([1]Pivot!$BF$1:$CG$65000,$B713,AH$5)=1,1,IF(INDEX([1]Pivot!$B$1:$AB$65000,$B713,AH$5)="",2,0)),0)</f>
        <v>0</v>
      </c>
      <c r="AI713" s="313">
        <f>IFERROR(IF(INDEX([1]Pivot!$BF$1:$CG$65000,$B713,AI$5)=1,1,IF(INDEX([1]Pivot!$B$1:$AB$65000,$B713,AI$5)="",2,0)),0)</f>
        <v>0</v>
      </c>
      <c r="AJ713" s="313">
        <f>IFERROR(IF(INDEX([1]Pivot!$BF$1:$CG$65000,$B713,AJ$5)=1,1,IF(INDEX([1]Pivot!$B$1:$AB$65000,$B713,AJ$5)="",2,0)),0)</f>
        <v>0</v>
      </c>
      <c r="AK713" s="313">
        <f>IFERROR(IF(INDEX([1]Pivot!$BF$1:$CG$65000,$B713,AK$5)=1,1,IF(INDEX([1]Pivot!$B$1:$AB$65000,$B713,AK$5)="",2,0)),0)</f>
        <v>0</v>
      </c>
      <c r="AL713" s="313">
        <f>IFERROR(IF(INDEX([1]Pivot!$BF$1:$CG$65000,$B713,AL$5)=1,1,IF(INDEX([1]Pivot!$B$1:$AB$65000,$B713,AL$5)="",2,0)),0)</f>
        <v>0</v>
      </c>
      <c r="AM713" s="313">
        <f>IFERROR(IF(INDEX([1]Pivot!$BF$1:$CG$65000,$B713,AM$5)=1,1,IF(INDEX([1]Pivot!$B$1:$AB$65000,$B713,AM$5)="",2,0)),0)</f>
        <v>0</v>
      </c>
      <c r="AN713" s="313">
        <f>IFERROR(IF(INDEX([1]Pivot!$BF$1:$CG$65000,$B713,AN$5)=1,1,IF(INDEX([1]Pivot!$B$1:$AB$65000,$B713,AN$5)="",2,0)),0)</f>
        <v>0</v>
      </c>
      <c r="AO713" s="313">
        <f>IFERROR(IF(INDEX([1]Pivot!$BF$1:$CG$65000,$B713,AO$5)=1,1,IF(INDEX([1]Pivot!$B$1:$AB$65000,$B713,AO$5)="",2,0)),0)</f>
        <v>0</v>
      </c>
      <c r="AP713" s="313">
        <f>IFERROR(IF(INDEX([1]Pivot!$BF$1:$CG$65000,$B713,AP$5)=1,1,IF(INDEX([1]Pivot!$B$1:$AB$65000,$B713,AP$5)="",2,0)),0)</f>
        <v>0</v>
      </c>
      <c r="AQ713" s="313">
        <f>IFERROR(IF(INDEX([1]Pivot!$BF$1:$CG$65000,$B713,AQ$5)=1,1,IF(INDEX([1]Pivot!$B$1:$AB$65000,$B713,AQ$5)="",2,0)),0)</f>
        <v>0</v>
      </c>
      <c r="AR713" s="313">
        <f>IFERROR(IF(INDEX([1]Pivot!$BF$1:$CG$65000,$B713,AR$5)=1,1,IF(INDEX([1]Pivot!$B$1:$AB$65000,$B713,AR$5)="",2,0)),0)</f>
        <v>0</v>
      </c>
      <c r="AS713" s="312"/>
      <c r="AT713" s="313">
        <f>IFERROR(IF(INDEX([1]Pivot!$BF$1:$CG$65000,$B713,AT$5)=1,1,IF(INDEX([1]Pivot!$B$1:$AB$65000,$B713,AT$5)="",2,0)),0)</f>
        <v>0</v>
      </c>
      <c r="AU713" s="313">
        <f>IFERROR(IF(INDEX([1]Pivot!$BF$1:$CG$65000,$B713,AU$5)=1,1,IF(INDEX([1]Pivot!$B$1:$AB$65000,$B713,AU$5)="",2,0)),0)</f>
        <v>0</v>
      </c>
      <c r="AV713" s="313">
        <f>IFERROR(IF(INDEX([1]Pivot!$BF$1:$CG$65000,$B713,AV$5)=1,1,IF(INDEX([1]Pivot!$B$1:$AB$65000,$B713,AV$5)="",2,0)),0)</f>
        <v>0</v>
      </c>
      <c r="AW713" s="313">
        <f>IFERROR(IF(INDEX([1]Pivot!$BF$1:$CG$65000,$B713,AW$5)=1,1,IF(INDEX([1]Pivot!$B$1:$AB$65000,$B713,AW$5)="",2,0)),0)</f>
        <v>0</v>
      </c>
      <c r="AX713" s="313">
        <f>IFERROR(IF(INDEX([1]Pivot!$BF$1:$CG$65000,$B713,AX$5)=1,1,IF(INDEX([1]Pivot!$B$1:$AB$65000,$B713,AX$5)="",2,0)),0)</f>
        <v>0</v>
      </c>
      <c r="AY713" s="313">
        <f>IFERROR(IF(INDEX([1]Pivot!$BF$1:$CG$65000,$B713,AY$5)=1,1,IF(INDEX([1]Pivot!$B$1:$AB$65000,$B713,AY$5)="",2,0)),0)</f>
        <v>0</v>
      </c>
      <c r="AZ713" s="313">
        <f>IFERROR(IF(INDEX([1]Pivot!$BF$1:$CG$65000,$B713,AZ$5)=1,1,IF(INDEX([1]Pivot!$B$1:$AB$65000,$B713,AZ$5)="",2,0)),0)</f>
        <v>0</v>
      </c>
      <c r="BA713" s="313">
        <f>IFERROR(IF(INDEX([1]Pivot!$BF$1:$CG$65000,$B713,BA$5)=1,1,IF(INDEX([1]Pivot!$B$1:$AB$65000,$B713,BA$5)="",2,0)),0)</f>
        <v>0</v>
      </c>
      <c r="BB713" s="313">
        <f>IFERROR(IF(INDEX([1]Pivot!$BF$1:$CG$65000,$B713,BB$5)=1,1,IF(INDEX([1]Pivot!$B$1:$AB$65000,$B713,BB$5)="",2,0)),0)</f>
        <v>0</v>
      </c>
      <c r="BC713" s="313">
        <f>IFERROR(IF(INDEX([1]Pivot!$BF$1:$CG$65000,$B713,BC$5)=1,1,IF(INDEX([1]Pivot!$B$1:$AB$65000,$B713,BC$5)="",2,0)),0)</f>
        <v>0</v>
      </c>
      <c r="BD713" s="313">
        <f>IFERROR(IF(INDEX([1]Pivot!$BF$1:$CG$65000,$B713,BD$5)=1,1,IF(INDEX([1]Pivot!$B$1:$AB$65000,$B713,BD$5)="",2,0)),0)</f>
        <v>0</v>
      </c>
    </row>
    <row r="714" spans="1:56" x14ac:dyDescent="0.25">
      <c r="A714" s="288">
        <f>'[2]Raw Milk Prices'!A714</f>
        <v>0</v>
      </c>
      <c r="B714" s="296" t="e">
        <f>MATCH(DATE(LEFT('[2]Raw Milk Prices'!$A714,4),RIGHT('[2]Raw Milk Prices'!$A714,2),1),[1]Pivot!$A$1:$A$65000,0)</f>
        <v>#VALUE!</v>
      </c>
      <c r="C714" s="194">
        <f>IFERROR(IF(INDEX([1]Pivot!$AD$1:$BE$65000,$B714,C$5)=1,1,IF(INDEX([1]Pivot!$B$1:$AB$65000,$B714,C$5)="",2,0)),0)</f>
        <v>0</v>
      </c>
      <c r="D714" s="194">
        <f>IFERROR(IF(INDEX([1]Pivot!$AD$1:$BE$65000,$B714,D$5)=1,1,IF(INDEX([1]Pivot!$B$1:$AB$65000,$B714,D$5)="",2,0)),0)</f>
        <v>0</v>
      </c>
      <c r="E714" s="194">
        <f>IFERROR(IF(INDEX([1]Pivot!$AD$1:$BE$65000,$B714,E$5)=1,1,IF(INDEX([1]Pivot!$B$1:$AB$65000,$B714,E$5)="",2,0)),0)</f>
        <v>0</v>
      </c>
      <c r="F714" s="194">
        <f>IFERROR(IF(INDEX([1]Pivot!$AD$1:$BE$65000,$B714,F$5)=1,1,IF(INDEX([1]Pivot!$B$1:$AB$65000,$B714,F$5)="",2,0)),0)</f>
        <v>0</v>
      </c>
      <c r="G714" s="194">
        <f>IFERROR(IF(INDEX([1]Pivot!$AD$1:$BE$65000,$B714,G$5)=1,1,IF(INDEX([1]Pivot!$B$1:$AB$65000,$B714,G$5)="",2,0)),0)</f>
        <v>0</v>
      </c>
      <c r="H714" s="194">
        <f>IFERROR(IF(INDEX([1]Pivot!$AD$1:$BE$65000,$B714,H$5)=1,1,IF(INDEX([1]Pivot!$B$1:$AB$65000,$B714,H$5)="",2,0)),0)</f>
        <v>0</v>
      </c>
      <c r="I714" s="194">
        <f>IFERROR(IF(INDEX([1]Pivot!$AD$1:$BE$65000,$B714,I$5)=1,1,IF(INDEX([1]Pivot!$B$1:$AB$65000,$B714,I$5)="",2,0)),0)</f>
        <v>0</v>
      </c>
      <c r="J714" s="194">
        <f>IFERROR(IF(INDEX([1]Pivot!$AD$1:$BE$65000,$B714,J$5)=1,1,IF(INDEX([1]Pivot!$B$1:$AB$65000,$B714,J$5)="",2,0)),0)</f>
        <v>0</v>
      </c>
      <c r="K714" s="194">
        <f>IFERROR(IF(INDEX([1]Pivot!$AD$1:$BE$65000,$B714,K$5)=1,1,IF(INDEX([1]Pivot!$B$1:$AB$65000,$B714,K$5)="",2,0)),0)</f>
        <v>0</v>
      </c>
      <c r="L714" s="194">
        <f>IFERROR(IF(INDEX([1]Pivot!$AD$1:$BE$65000,$B714,L$5)=1,1,IF(INDEX([1]Pivot!$B$1:$AB$65000,$B714,L$5)="",2,0)),0)</f>
        <v>0</v>
      </c>
      <c r="M714" s="194">
        <f>IFERROR(IF(INDEX([1]Pivot!$AD$1:$BE$65000,$B714,M$5)=1,1,IF(INDEX([1]Pivot!$B$1:$AB$65000,$B714,M$5)="",2,0)),0)</f>
        <v>0</v>
      </c>
      <c r="N714" s="194">
        <f>IFERROR(IF(INDEX([1]Pivot!$AD$1:$BE$65000,$B714,N$5)=1,1,IF(INDEX([1]Pivot!$B$1:$AB$65000,$B714,N$5)="",2,0)),0)</f>
        <v>0</v>
      </c>
      <c r="O714" s="194">
        <f>IFERROR(IF(INDEX([1]Pivot!$AD$1:$BE$65000,$B714,O$5)=1,1,IF(INDEX([1]Pivot!$B$1:$AB$65000,$B714,O$5)="",2,0)),0)</f>
        <v>0</v>
      </c>
      <c r="P714" s="194">
        <f>IFERROR(IF(INDEX([1]Pivot!$AD$1:$BE$65000,$B714,P$5)=1,1,IF(INDEX([1]Pivot!$B$1:$AB$65000,$B714,P$5)="",2,0)),0)</f>
        <v>0</v>
      </c>
      <c r="Q714" s="194">
        <f>IFERROR(IF(INDEX([1]Pivot!$AD$1:$BE$65000,$B714,Q$5)=1,1,IF(INDEX([1]Pivot!$B$1:$AB$65000,$B714,Q$5)="",2,0)),0)</f>
        <v>0</v>
      </c>
      <c r="R714" s="312"/>
      <c r="S714" s="194">
        <f>IFERROR(IF(INDEX([1]Pivot!$AD$1:$BE$65000,$B714,S$5)=1,1,IF(INDEX([1]Pivot!$B$1:$AB$65000,$B714,S$5)="",2,0)),0)</f>
        <v>0</v>
      </c>
      <c r="T714" s="194">
        <f>IFERROR(IF(INDEX([1]Pivot!$AD$1:$BE$65000,$B714,T$5)=1,1,IF(INDEX([1]Pivot!$B$1:$AB$65000,$B714,T$5)="",2,0)),0)</f>
        <v>0</v>
      </c>
      <c r="U714" s="194">
        <f>IFERROR(IF(INDEX([1]Pivot!$AD$1:$BE$65000,$B714,U$5)=1,1,IF(INDEX([1]Pivot!$B$1:$AB$65000,$B714,U$5)="",2,0)),0)</f>
        <v>0</v>
      </c>
      <c r="V714" s="194">
        <f>IFERROR(IF(INDEX([1]Pivot!$AD$1:$BE$65000,$B714,V$5)=1,1,IF(INDEX([1]Pivot!$B$1:$AB$65000,$B714,V$5)="",2,0)),0)</f>
        <v>0</v>
      </c>
      <c r="W714" s="194">
        <f>IFERROR(IF(INDEX([1]Pivot!$AD$1:$BE$65000,$B714,W$5)=1,1,IF(INDEX([1]Pivot!$B$1:$AB$65000,$B714,W$5)="",2,0)),0)</f>
        <v>0</v>
      </c>
      <c r="X714" s="194">
        <f>IFERROR(IF(INDEX([1]Pivot!$AD$1:$BE$65000,$B714,X$5)=1,1,IF(INDEX([1]Pivot!$B$1:$AB$65000,$B714,X$5)="",2,0)),0)</f>
        <v>0</v>
      </c>
      <c r="Y714" s="194">
        <f>IFERROR(IF(INDEX([1]Pivot!$AD$1:$BE$65000,$B714,Y$5)=1,1,IF(INDEX([1]Pivot!$B$1:$AB$65000,$B714,Y$5)="",2,0)),0)</f>
        <v>0</v>
      </c>
      <c r="Z714" s="194">
        <f>IFERROR(IF(INDEX([1]Pivot!$AD$1:$BE$65000,$B714,Z$5)=1,1,IF(INDEX([1]Pivot!$B$1:$AB$65000,$B714,Z$5)="",2,0)),0)</f>
        <v>0</v>
      </c>
      <c r="AA714" s="194">
        <f>IFERROR(IF(INDEX([1]Pivot!$AD$1:$BE$65000,$B714,AA$5)=1,1,IF(INDEX([1]Pivot!$B$1:$AB$65000,$B714,AA$5)="",2,0)),0)</f>
        <v>0</v>
      </c>
      <c r="AB714" s="194">
        <f>IFERROR(IF(INDEX([1]Pivot!$AD$1:$BE$65000,$B714,AB$5)=1,1,IF(INDEX([1]Pivot!$B$1:$AB$65000,$B714,AB$5)="",2,0)),0)</f>
        <v>0</v>
      </c>
      <c r="AC714" s="194">
        <f>IFERROR(IF(INDEX([1]Pivot!$AD$1:$BE$65000,$B714,AC$5)=1,1,IF(INDEX([1]Pivot!$B$1:$AB$65000,$B714,AC$5)="",2,0)),0)</f>
        <v>0</v>
      </c>
      <c r="AD714" s="313">
        <f>IFERROR(IF(INDEX([1]Pivot!$BF$1:$CG$65000,$B714,AD$5)=1,1,IF(INDEX([1]Pivot!$B$1:$AB$65000,$B714,AD$5)="",2,0)),0)</f>
        <v>0</v>
      </c>
      <c r="AE714" s="313">
        <f>IFERROR(IF(INDEX([1]Pivot!$BF$1:$CG$65000,$B714,AE$5)=1,1,IF(INDEX([1]Pivot!$B$1:$AB$65000,$B714,AE$5)="",2,0)),0)</f>
        <v>0</v>
      </c>
      <c r="AF714" s="313">
        <f>IFERROR(IF(INDEX([1]Pivot!$BF$1:$CG$65000,$B714,AF$5)=1,1,IF(INDEX([1]Pivot!$B$1:$AB$65000,$B714,AF$5)="",2,0)),0)</f>
        <v>0</v>
      </c>
      <c r="AG714" s="313">
        <f>IFERROR(IF(INDEX([1]Pivot!$BF$1:$CG$65000,$B714,AG$5)=1,1,IF(INDEX([1]Pivot!$B$1:$AB$65000,$B714,AG$5)="",2,0)),0)</f>
        <v>0</v>
      </c>
      <c r="AH714" s="313">
        <f>IFERROR(IF(INDEX([1]Pivot!$BF$1:$CG$65000,$B714,AH$5)=1,1,IF(INDEX([1]Pivot!$B$1:$AB$65000,$B714,AH$5)="",2,0)),0)</f>
        <v>0</v>
      </c>
      <c r="AI714" s="313">
        <f>IFERROR(IF(INDEX([1]Pivot!$BF$1:$CG$65000,$B714,AI$5)=1,1,IF(INDEX([1]Pivot!$B$1:$AB$65000,$B714,AI$5)="",2,0)),0)</f>
        <v>0</v>
      </c>
      <c r="AJ714" s="313">
        <f>IFERROR(IF(INDEX([1]Pivot!$BF$1:$CG$65000,$B714,AJ$5)=1,1,IF(INDEX([1]Pivot!$B$1:$AB$65000,$B714,AJ$5)="",2,0)),0)</f>
        <v>0</v>
      </c>
      <c r="AK714" s="313">
        <f>IFERROR(IF(INDEX([1]Pivot!$BF$1:$CG$65000,$B714,AK$5)=1,1,IF(INDEX([1]Pivot!$B$1:$AB$65000,$B714,AK$5)="",2,0)),0)</f>
        <v>0</v>
      </c>
      <c r="AL714" s="313">
        <f>IFERROR(IF(INDEX([1]Pivot!$BF$1:$CG$65000,$B714,AL$5)=1,1,IF(INDEX([1]Pivot!$B$1:$AB$65000,$B714,AL$5)="",2,0)),0)</f>
        <v>0</v>
      </c>
      <c r="AM714" s="313">
        <f>IFERROR(IF(INDEX([1]Pivot!$BF$1:$CG$65000,$B714,AM$5)=1,1,IF(INDEX([1]Pivot!$B$1:$AB$65000,$B714,AM$5)="",2,0)),0)</f>
        <v>0</v>
      </c>
      <c r="AN714" s="313">
        <f>IFERROR(IF(INDEX([1]Pivot!$BF$1:$CG$65000,$B714,AN$5)=1,1,IF(INDEX([1]Pivot!$B$1:$AB$65000,$B714,AN$5)="",2,0)),0)</f>
        <v>0</v>
      </c>
      <c r="AO714" s="313">
        <f>IFERROR(IF(INDEX([1]Pivot!$BF$1:$CG$65000,$B714,AO$5)=1,1,IF(INDEX([1]Pivot!$B$1:$AB$65000,$B714,AO$5)="",2,0)),0)</f>
        <v>0</v>
      </c>
      <c r="AP714" s="313">
        <f>IFERROR(IF(INDEX([1]Pivot!$BF$1:$CG$65000,$B714,AP$5)=1,1,IF(INDEX([1]Pivot!$B$1:$AB$65000,$B714,AP$5)="",2,0)),0)</f>
        <v>0</v>
      </c>
      <c r="AQ714" s="313">
        <f>IFERROR(IF(INDEX([1]Pivot!$BF$1:$CG$65000,$B714,AQ$5)=1,1,IF(INDEX([1]Pivot!$B$1:$AB$65000,$B714,AQ$5)="",2,0)),0)</f>
        <v>0</v>
      </c>
      <c r="AR714" s="313">
        <f>IFERROR(IF(INDEX([1]Pivot!$BF$1:$CG$65000,$B714,AR$5)=1,1,IF(INDEX([1]Pivot!$B$1:$AB$65000,$B714,AR$5)="",2,0)),0)</f>
        <v>0</v>
      </c>
      <c r="AS714" s="312"/>
      <c r="AT714" s="313">
        <f>IFERROR(IF(INDEX([1]Pivot!$BF$1:$CG$65000,$B714,AT$5)=1,1,IF(INDEX([1]Pivot!$B$1:$AB$65000,$B714,AT$5)="",2,0)),0)</f>
        <v>0</v>
      </c>
      <c r="AU714" s="313">
        <f>IFERROR(IF(INDEX([1]Pivot!$BF$1:$CG$65000,$B714,AU$5)=1,1,IF(INDEX([1]Pivot!$B$1:$AB$65000,$B714,AU$5)="",2,0)),0)</f>
        <v>0</v>
      </c>
      <c r="AV714" s="313">
        <f>IFERROR(IF(INDEX([1]Pivot!$BF$1:$CG$65000,$B714,AV$5)=1,1,IF(INDEX([1]Pivot!$B$1:$AB$65000,$B714,AV$5)="",2,0)),0)</f>
        <v>0</v>
      </c>
      <c r="AW714" s="313">
        <f>IFERROR(IF(INDEX([1]Pivot!$BF$1:$CG$65000,$B714,AW$5)=1,1,IF(INDEX([1]Pivot!$B$1:$AB$65000,$B714,AW$5)="",2,0)),0)</f>
        <v>0</v>
      </c>
      <c r="AX714" s="313">
        <f>IFERROR(IF(INDEX([1]Pivot!$BF$1:$CG$65000,$B714,AX$5)=1,1,IF(INDEX([1]Pivot!$B$1:$AB$65000,$B714,AX$5)="",2,0)),0)</f>
        <v>0</v>
      </c>
      <c r="AY714" s="313">
        <f>IFERROR(IF(INDEX([1]Pivot!$BF$1:$CG$65000,$B714,AY$5)=1,1,IF(INDEX([1]Pivot!$B$1:$AB$65000,$B714,AY$5)="",2,0)),0)</f>
        <v>0</v>
      </c>
      <c r="AZ714" s="313">
        <f>IFERROR(IF(INDEX([1]Pivot!$BF$1:$CG$65000,$B714,AZ$5)=1,1,IF(INDEX([1]Pivot!$B$1:$AB$65000,$B714,AZ$5)="",2,0)),0)</f>
        <v>0</v>
      </c>
      <c r="BA714" s="313">
        <f>IFERROR(IF(INDEX([1]Pivot!$BF$1:$CG$65000,$B714,BA$5)=1,1,IF(INDEX([1]Pivot!$B$1:$AB$65000,$B714,BA$5)="",2,0)),0)</f>
        <v>0</v>
      </c>
      <c r="BB714" s="313">
        <f>IFERROR(IF(INDEX([1]Pivot!$BF$1:$CG$65000,$B714,BB$5)=1,1,IF(INDEX([1]Pivot!$B$1:$AB$65000,$B714,BB$5)="",2,0)),0)</f>
        <v>0</v>
      </c>
      <c r="BC714" s="313">
        <f>IFERROR(IF(INDEX([1]Pivot!$BF$1:$CG$65000,$B714,BC$5)=1,1,IF(INDEX([1]Pivot!$B$1:$AB$65000,$B714,BC$5)="",2,0)),0)</f>
        <v>0</v>
      </c>
      <c r="BD714" s="313">
        <f>IFERROR(IF(INDEX([1]Pivot!$BF$1:$CG$65000,$B714,BD$5)=1,1,IF(INDEX([1]Pivot!$B$1:$AB$65000,$B714,BD$5)="",2,0)),0)</f>
        <v>0</v>
      </c>
    </row>
    <row r="715" spans="1:56" x14ac:dyDescent="0.25">
      <c r="A715" s="288">
        <f>'[2]Raw Milk Prices'!A715</f>
        <v>0</v>
      </c>
      <c r="B715" s="296" t="e">
        <f>MATCH(DATE(LEFT('[2]Raw Milk Prices'!$A715,4),RIGHT('[2]Raw Milk Prices'!$A715,2),1),[1]Pivot!$A$1:$A$65000,0)</f>
        <v>#VALUE!</v>
      </c>
      <c r="C715" s="194">
        <f>IFERROR(IF(INDEX([1]Pivot!$AD$1:$BE$65000,$B715,C$5)=1,1,IF(INDEX([1]Pivot!$B$1:$AB$65000,$B715,C$5)="",2,0)),0)</f>
        <v>0</v>
      </c>
      <c r="D715" s="194">
        <f>IFERROR(IF(INDEX([1]Pivot!$AD$1:$BE$65000,$B715,D$5)=1,1,IF(INDEX([1]Pivot!$B$1:$AB$65000,$B715,D$5)="",2,0)),0)</f>
        <v>0</v>
      </c>
      <c r="E715" s="194">
        <f>IFERROR(IF(INDEX([1]Pivot!$AD$1:$BE$65000,$B715,E$5)=1,1,IF(INDEX([1]Pivot!$B$1:$AB$65000,$B715,E$5)="",2,0)),0)</f>
        <v>0</v>
      </c>
      <c r="F715" s="194">
        <f>IFERROR(IF(INDEX([1]Pivot!$AD$1:$BE$65000,$B715,F$5)=1,1,IF(INDEX([1]Pivot!$B$1:$AB$65000,$B715,F$5)="",2,0)),0)</f>
        <v>0</v>
      </c>
      <c r="G715" s="194">
        <f>IFERROR(IF(INDEX([1]Pivot!$AD$1:$BE$65000,$B715,G$5)=1,1,IF(INDEX([1]Pivot!$B$1:$AB$65000,$B715,G$5)="",2,0)),0)</f>
        <v>0</v>
      </c>
      <c r="H715" s="194">
        <f>IFERROR(IF(INDEX([1]Pivot!$AD$1:$BE$65000,$B715,H$5)=1,1,IF(INDEX([1]Pivot!$B$1:$AB$65000,$B715,H$5)="",2,0)),0)</f>
        <v>0</v>
      </c>
      <c r="I715" s="194">
        <f>IFERROR(IF(INDEX([1]Pivot!$AD$1:$BE$65000,$B715,I$5)=1,1,IF(INDEX([1]Pivot!$B$1:$AB$65000,$B715,I$5)="",2,0)),0)</f>
        <v>0</v>
      </c>
      <c r="J715" s="194">
        <f>IFERROR(IF(INDEX([1]Pivot!$AD$1:$BE$65000,$B715,J$5)=1,1,IF(INDEX([1]Pivot!$B$1:$AB$65000,$B715,J$5)="",2,0)),0)</f>
        <v>0</v>
      </c>
      <c r="K715" s="194">
        <f>IFERROR(IF(INDEX([1]Pivot!$AD$1:$BE$65000,$B715,K$5)=1,1,IF(INDEX([1]Pivot!$B$1:$AB$65000,$B715,K$5)="",2,0)),0)</f>
        <v>0</v>
      </c>
      <c r="L715" s="194">
        <f>IFERROR(IF(INDEX([1]Pivot!$AD$1:$BE$65000,$B715,L$5)=1,1,IF(INDEX([1]Pivot!$B$1:$AB$65000,$B715,L$5)="",2,0)),0)</f>
        <v>0</v>
      </c>
      <c r="M715" s="194">
        <f>IFERROR(IF(INDEX([1]Pivot!$AD$1:$BE$65000,$B715,M$5)=1,1,IF(INDEX([1]Pivot!$B$1:$AB$65000,$B715,M$5)="",2,0)),0)</f>
        <v>0</v>
      </c>
      <c r="N715" s="194">
        <f>IFERROR(IF(INDEX([1]Pivot!$AD$1:$BE$65000,$B715,N$5)=1,1,IF(INDEX([1]Pivot!$B$1:$AB$65000,$B715,N$5)="",2,0)),0)</f>
        <v>0</v>
      </c>
      <c r="O715" s="194">
        <f>IFERROR(IF(INDEX([1]Pivot!$AD$1:$BE$65000,$B715,O$5)=1,1,IF(INDEX([1]Pivot!$B$1:$AB$65000,$B715,O$5)="",2,0)),0)</f>
        <v>0</v>
      </c>
      <c r="P715" s="194">
        <f>IFERROR(IF(INDEX([1]Pivot!$AD$1:$BE$65000,$B715,P$5)=1,1,IF(INDEX([1]Pivot!$B$1:$AB$65000,$B715,P$5)="",2,0)),0)</f>
        <v>0</v>
      </c>
      <c r="Q715" s="194">
        <f>IFERROR(IF(INDEX([1]Pivot!$AD$1:$BE$65000,$B715,Q$5)=1,1,IF(INDEX([1]Pivot!$B$1:$AB$65000,$B715,Q$5)="",2,0)),0)</f>
        <v>0</v>
      </c>
      <c r="R715" s="312"/>
      <c r="S715" s="194">
        <f>IFERROR(IF(INDEX([1]Pivot!$AD$1:$BE$65000,$B715,S$5)=1,1,IF(INDEX([1]Pivot!$B$1:$AB$65000,$B715,S$5)="",2,0)),0)</f>
        <v>0</v>
      </c>
      <c r="T715" s="194">
        <f>IFERROR(IF(INDEX([1]Pivot!$AD$1:$BE$65000,$B715,T$5)=1,1,IF(INDEX([1]Pivot!$B$1:$AB$65000,$B715,T$5)="",2,0)),0)</f>
        <v>0</v>
      </c>
      <c r="U715" s="194">
        <f>IFERROR(IF(INDEX([1]Pivot!$AD$1:$BE$65000,$B715,U$5)=1,1,IF(INDEX([1]Pivot!$B$1:$AB$65000,$B715,U$5)="",2,0)),0)</f>
        <v>0</v>
      </c>
      <c r="V715" s="194">
        <f>IFERROR(IF(INDEX([1]Pivot!$AD$1:$BE$65000,$B715,V$5)=1,1,IF(INDEX([1]Pivot!$B$1:$AB$65000,$B715,V$5)="",2,0)),0)</f>
        <v>0</v>
      </c>
      <c r="W715" s="194">
        <f>IFERROR(IF(INDEX([1]Pivot!$AD$1:$BE$65000,$B715,W$5)=1,1,IF(INDEX([1]Pivot!$B$1:$AB$65000,$B715,W$5)="",2,0)),0)</f>
        <v>0</v>
      </c>
      <c r="X715" s="194">
        <f>IFERROR(IF(INDEX([1]Pivot!$AD$1:$BE$65000,$B715,X$5)=1,1,IF(INDEX([1]Pivot!$B$1:$AB$65000,$B715,X$5)="",2,0)),0)</f>
        <v>0</v>
      </c>
      <c r="Y715" s="194">
        <f>IFERROR(IF(INDEX([1]Pivot!$AD$1:$BE$65000,$B715,Y$5)=1,1,IF(INDEX([1]Pivot!$B$1:$AB$65000,$B715,Y$5)="",2,0)),0)</f>
        <v>0</v>
      </c>
      <c r="Z715" s="194">
        <f>IFERROR(IF(INDEX([1]Pivot!$AD$1:$BE$65000,$B715,Z$5)=1,1,IF(INDEX([1]Pivot!$B$1:$AB$65000,$B715,Z$5)="",2,0)),0)</f>
        <v>0</v>
      </c>
      <c r="AA715" s="194">
        <f>IFERROR(IF(INDEX([1]Pivot!$AD$1:$BE$65000,$B715,AA$5)=1,1,IF(INDEX([1]Pivot!$B$1:$AB$65000,$B715,AA$5)="",2,0)),0)</f>
        <v>0</v>
      </c>
      <c r="AB715" s="194">
        <f>IFERROR(IF(INDEX([1]Pivot!$AD$1:$BE$65000,$B715,AB$5)=1,1,IF(INDEX([1]Pivot!$B$1:$AB$65000,$B715,AB$5)="",2,0)),0)</f>
        <v>0</v>
      </c>
      <c r="AC715" s="194">
        <f>IFERROR(IF(INDEX([1]Pivot!$AD$1:$BE$65000,$B715,AC$5)=1,1,IF(INDEX([1]Pivot!$B$1:$AB$65000,$B715,AC$5)="",2,0)),0)</f>
        <v>0</v>
      </c>
      <c r="AD715" s="313">
        <f>IFERROR(IF(INDEX([1]Pivot!$BF$1:$CG$65000,$B715,AD$5)=1,1,IF(INDEX([1]Pivot!$B$1:$AB$65000,$B715,AD$5)="",2,0)),0)</f>
        <v>0</v>
      </c>
      <c r="AE715" s="313">
        <f>IFERROR(IF(INDEX([1]Pivot!$BF$1:$CG$65000,$B715,AE$5)=1,1,IF(INDEX([1]Pivot!$B$1:$AB$65000,$B715,AE$5)="",2,0)),0)</f>
        <v>0</v>
      </c>
      <c r="AF715" s="313">
        <f>IFERROR(IF(INDEX([1]Pivot!$BF$1:$CG$65000,$B715,AF$5)=1,1,IF(INDEX([1]Pivot!$B$1:$AB$65000,$B715,AF$5)="",2,0)),0)</f>
        <v>0</v>
      </c>
      <c r="AG715" s="313">
        <f>IFERROR(IF(INDEX([1]Pivot!$BF$1:$CG$65000,$B715,AG$5)=1,1,IF(INDEX([1]Pivot!$B$1:$AB$65000,$B715,AG$5)="",2,0)),0)</f>
        <v>0</v>
      </c>
      <c r="AH715" s="313">
        <f>IFERROR(IF(INDEX([1]Pivot!$BF$1:$CG$65000,$B715,AH$5)=1,1,IF(INDEX([1]Pivot!$B$1:$AB$65000,$B715,AH$5)="",2,0)),0)</f>
        <v>0</v>
      </c>
      <c r="AI715" s="313">
        <f>IFERROR(IF(INDEX([1]Pivot!$BF$1:$CG$65000,$B715,AI$5)=1,1,IF(INDEX([1]Pivot!$B$1:$AB$65000,$B715,AI$5)="",2,0)),0)</f>
        <v>0</v>
      </c>
      <c r="AJ715" s="313">
        <f>IFERROR(IF(INDEX([1]Pivot!$BF$1:$CG$65000,$B715,AJ$5)=1,1,IF(INDEX([1]Pivot!$B$1:$AB$65000,$B715,AJ$5)="",2,0)),0)</f>
        <v>0</v>
      </c>
      <c r="AK715" s="313">
        <f>IFERROR(IF(INDEX([1]Pivot!$BF$1:$CG$65000,$B715,AK$5)=1,1,IF(INDEX([1]Pivot!$B$1:$AB$65000,$B715,AK$5)="",2,0)),0)</f>
        <v>0</v>
      </c>
      <c r="AL715" s="313">
        <f>IFERROR(IF(INDEX([1]Pivot!$BF$1:$CG$65000,$B715,AL$5)=1,1,IF(INDEX([1]Pivot!$B$1:$AB$65000,$B715,AL$5)="",2,0)),0)</f>
        <v>0</v>
      </c>
      <c r="AM715" s="313">
        <f>IFERROR(IF(INDEX([1]Pivot!$BF$1:$CG$65000,$B715,AM$5)=1,1,IF(INDEX([1]Pivot!$B$1:$AB$65000,$B715,AM$5)="",2,0)),0)</f>
        <v>0</v>
      </c>
      <c r="AN715" s="313">
        <f>IFERROR(IF(INDEX([1]Pivot!$BF$1:$CG$65000,$B715,AN$5)=1,1,IF(INDEX([1]Pivot!$B$1:$AB$65000,$B715,AN$5)="",2,0)),0)</f>
        <v>0</v>
      </c>
      <c r="AO715" s="313">
        <f>IFERROR(IF(INDEX([1]Pivot!$BF$1:$CG$65000,$B715,AO$5)=1,1,IF(INDEX([1]Pivot!$B$1:$AB$65000,$B715,AO$5)="",2,0)),0)</f>
        <v>0</v>
      </c>
      <c r="AP715" s="313">
        <f>IFERROR(IF(INDEX([1]Pivot!$BF$1:$CG$65000,$B715,AP$5)=1,1,IF(INDEX([1]Pivot!$B$1:$AB$65000,$B715,AP$5)="",2,0)),0)</f>
        <v>0</v>
      </c>
      <c r="AQ715" s="313">
        <f>IFERROR(IF(INDEX([1]Pivot!$BF$1:$CG$65000,$B715,AQ$5)=1,1,IF(INDEX([1]Pivot!$B$1:$AB$65000,$B715,AQ$5)="",2,0)),0)</f>
        <v>0</v>
      </c>
      <c r="AR715" s="313">
        <f>IFERROR(IF(INDEX([1]Pivot!$BF$1:$CG$65000,$B715,AR$5)=1,1,IF(INDEX([1]Pivot!$B$1:$AB$65000,$B715,AR$5)="",2,0)),0)</f>
        <v>0</v>
      </c>
      <c r="AS715" s="312"/>
      <c r="AT715" s="313">
        <f>IFERROR(IF(INDEX([1]Pivot!$BF$1:$CG$65000,$B715,AT$5)=1,1,IF(INDEX([1]Pivot!$B$1:$AB$65000,$B715,AT$5)="",2,0)),0)</f>
        <v>0</v>
      </c>
      <c r="AU715" s="313">
        <f>IFERROR(IF(INDEX([1]Pivot!$BF$1:$CG$65000,$B715,AU$5)=1,1,IF(INDEX([1]Pivot!$B$1:$AB$65000,$B715,AU$5)="",2,0)),0)</f>
        <v>0</v>
      </c>
      <c r="AV715" s="313">
        <f>IFERROR(IF(INDEX([1]Pivot!$BF$1:$CG$65000,$B715,AV$5)=1,1,IF(INDEX([1]Pivot!$B$1:$AB$65000,$B715,AV$5)="",2,0)),0)</f>
        <v>0</v>
      </c>
      <c r="AW715" s="313">
        <f>IFERROR(IF(INDEX([1]Pivot!$BF$1:$CG$65000,$B715,AW$5)=1,1,IF(INDEX([1]Pivot!$B$1:$AB$65000,$B715,AW$5)="",2,0)),0)</f>
        <v>0</v>
      </c>
      <c r="AX715" s="313">
        <f>IFERROR(IF(INDEX([1]Pivot!$BF$1:$CG$65000,$B715,AX$5)=1,1,IF(INDEX([1]Pivot!$B$1:$AB$65000,$B715,AX$5)="",2,0)),0)</f>
        <v>0</v>
      </c>
      <c r="AY715" s="313">
        <f>IFERROR(IF(INDEX([1]Pivot!$BF$1:$CG$65000,$B715,AY$5)=1,1,IF(INDEX([1]Pivot!$B$1:$AB$65000,$B715,AY$5)="",2,0)),0)</f>
        <v>0</v>
      </c>
      <c r="AZ715" s="313">
        <f>IFERROR(IF(INDEX([1]Pivot!$BF$1:$CG$65000,$B715,AZ$5)=1,1,IF(INDEX([1]Pivot!$B$1:$AB$65000,$B715,AZ$5)="",2,0)),0)</f>
        <v>0</v>
      </c>
      <c r="BA715" s="313">
        <f>IFERROR(IF(INDEX([1]Pivot!$BF$1:$CG$65000,$B715,BA$5)=1,1,IF(INDEX([1]Pivot!$B$1:$AB$65000,$B715,BA$5)="",2,0)),0)</f>
        <v>0</v>
      </c>
      <c r="BB715" s="313">
        <f>IFERROR(IF(INDEX([1]Pivot!$BF$1:$CG$65000,$B715,BB$5)=1,1,IF(INDEX([1]Pivot!$B$1:$AB$65000,$B715,BB$5)="",2,0)),0)</f>
        <v>0</v>
      </c>
      <c r="BC715" s="313">
        <f>IFERROR(IF(INDEX([1]Pivot!$BF$1:$CG$65000,$B715,BC$5)=1,1,IF(INDEX([1]Pivot!$B$1:$AB$65000,$B715,BC$5)="",2,0)),0)</f>
        <v>0</v>
      </c>
      <c r="BD715" s="313">
        <f>IFERROR(IF(INDEX([1]Pivot!$BF$1:$CG$65000,$B715,BD$5)=1,1,IF(INDEX([1]Pivot!$B$1:$AB$65000,$B715,BD$5)="",2,0)),0)</f>
        <v>0</v>
      </c>
    </row>
    <row r="716" spans="1:56" x14ac:dyDescent="0.25">
      <c r="A716" s="288">
        <f>'[2]Raw Milk Prices'!A716</f>
        <v>0</v>
      </c>
      <c r="B716" s="296" t="e">
        <f>MATCH(DATE(LEFT('[2]Raw Milk Prices'!$A716,4),RIGHT('[2]Raw Milk Prices'!$A716,2),1),[1]Pivot!$A$1:$A$65000,0)</f>
        <v>#VALUE!</v>
      </c>
      <c r="C716" s="194">
        <f>IFERROR(IF(INDEX([1]Pivot!$AD$1:$BE$65000,$B716,C$5)=1,1,IF(INDEX([1]Pivot!$B$1:$AB$65000,$B716,C$5)="",2,0)),0)</f>
        <v>0</v>
      </c>
      <c r="D716" s="194">
        <f>IFERROR(IF(INDEX([1]Pivot!$AD$1:$BE$65000,$B716,D$5)=1,1,IF(INDEX([1]Pivot!$B$1:$AB$65000,$B716,D$5)="",2,0)),0)</f>
        <v>0</v>
      </c>
      <c r="E716" s="194">
        <f>IFERROR(IF(INDEX([1]Pivot!$AD$1:$BE$65000,$B716,E$5)=1,1,IF(INDEX([1]Pivot!$B$1:$AB$65000,$B716,E$5)="",2,0)),0)</f>
        <v>0</v>
      </c>
      <c r="F716" s="194">
        <f>IFERROR(IF(INDEX([1]Pivot!$AD$1:$BE$65000,$B716,F$5)=1,1,IF(INDEX([1]Pivot!$B$1:$AB$65000,$B716,F$5)="",2,0)),0)</f>
        <v>0</v>
      </c>
      <c r="G716" s="194">
        <f>IFERROR(IF(INDEX([1]Pivot!$AD$1:$BE$65000,$B716,G$5)=1,1,IF(INDEX([1]Pivot!$B$1:$AB$65000,$B716,G$5)="",2,0)),0)</f>
        <v>0</v>
      </c>
      <c r="H716" s="194">
        <f>IFERROR(IF(INDEX([1]Pivot!$AD$1:$BE$65000,$B716,H$5)=1,1,IF(INDEX([1]Pivot!$B$1:$AB$65000,$B716,H$5)="",2,0)),0)</f>
        <v>0</v>
      </c>
      <c r="I716" s="194">
        <f>IFERROR(IF(INDEX([1]Pivot!$AD$1:$BE$65000,$B716,I$5)=1,1,IF(INDEX([1]Pivot!$B$1:$AB$65000,$B716,I$5)="",2,0)),0)</f>
        <v>0</v>
      </c>
      <c r="J716" s="194">
        <f>IFERROR(IF(INDEX([1]Pivot!$AD$1:$BE$65000,$B716,J$5)=1,1,IF(INDEX([1]Pivot!$B$1:$AB$65000,$B716,J$5)="",2,0)),0)</f>
        <v>0</v>
      </c>
      <c r="K716" s="194">
        <f>IFERROR(IF(INDEX([1]Pivot!$AD$1:$BE$65000,$B716,K$5)=1,1,IF(INDEX([1]Pivot!$B$1:$AB$65000,$B716,K$5)="",2,0)),0)</f>
        <v>0</v>
      </c>
      <c r="L716" s="194">
        <f>IFERROR(IF(INDEX([1]Pivot!$AD$1:$BE$65000,$B716,L$5)=1,1,IF(INDEX([1]Pivot!$B$1:$AB$65000,$B716,L$5)="",2,0)),0)</f>
        <v>0</v>
      </c>
      <c r="M716" s="194">
        <f>IFERROR(IF(INDEX([1]Pivot!$AD$1:$BE$65000,$B716,M$5)=1,1,IF(INDEX([1]Pivot!$B$1:$AB$65000,$B716,M$5)="",2,0)),0)</f>
        <v>0</v>
      </c>
      <c r="N716" s="194">
        <f>IFERROR(IF(INDEX([1]Pivot!$AD$1:$BE$65000,$B716,N$5)=1,1,IF(INDEX([1]Pivot!$B$1:$AB$65000,$B716,N$5)="",2,0)),0)</f>
        <v>0</v>
      </c>
      <c r="O716" s="194">
        <f>IFERROR(IF(INDEX([1]Pivot!$AD$1:$BE$65000,$B716,O$5)=1,1,IF(INDEX([1]Pivot!$B$1:$AB$65000,$B716,O$5)="",2,0)),0)</f>
        <v>0</v>
      </c>
      <c r="P716" s="194">
        <f>IFERROR(IF(INDEX([1]Pivot!$AD$1:$BE$65000,$B716,P$5)=1,1,IF(INDEX([1]Pivot!$B$1:$AB$65000,$B716,P$5)="",2,0)),0)</f>
        <v>0</v>
      </c>
      <c r="Q716" s="194">
        <f>IFERROR(IF(INDEX([1]Pivot!$AD$1:$BE$65000,$B716,Q$5)=1,1,IF(INDEX([1]Pivot!$B$1:$AB$65000,$B716,Q$5)="",2,0)),0)</f>
        <v>0</v>
      </c>
      <c r="R716" s="312"/>
      <c r="S716" s="194">
        <f>IFERROR(IF(INDEX([1]Pivot!$AD$1:$BE$65000,$B716,S$5)=1,1,IF(INDEX([1]Pivot!$B$1:$AB$65000,$B716,S$5)="",2,0)),0)</f>
        <v>0</v>
      </c>
      <c r="T716" s="194">
        <f>IFERROR(IF(INDEX([1]Pivot!$AD$1:$BE$65000,$B716,T$5)=1,1,IF(INDEX([1]Pivot!$B$1:$AB$65000,$B716,T$5)="",2,0)),0)</f>
        <v>0</v>
      </c>
      <c r="U716" s="194">
        <f>IFERROR(IF(INDEX([1]Pivot!$AD$1:$BE$65000,$B716,U$5)=1,1,IF(INDEX([1]Pivot!$B$1:$AB$65000,$B716,U$5)="",2,0)),0)</f>
        <v>0</v>
      </c>
      <c r="V716" s="194">
        <f>IFERROR(IF(INDEX([1]Pivot!$AD$1:$BE$65000,$B716,V$5)=1,1,IF(INDEX([1]Pivot!$B$1:$AB$65000,$B716,V$5)="",2,0)),0)</f>
        <v>0</v>
      </c>
      <c r="W716" s="194">
        <f>IFERROR(IF(INDEX([1]Pivot!$AD$1:$BE$65000,$B716,W$5)=1,1,IF(INDEX([1]Pivot!$B$1:$AB$65000,$B716,W$5)="",2,0)),0)</f>
        <v>0</v>
      </c>
      <c r="X716" s="194">
        <f>IFERROR(IF(INDEX([1]Pivot!$AD$1:$BE$65000,$B716,X$5)=1,1,IF(INDEX([1]Pivot!$B$1:$AB$65000,$B716,X$5)="",2,0)),0)</f>
        <v>0</v>
      </c>
      <c r="Y716" s="194">
        <f>IFERROR(IF(INDEX([1]Pivot!$AD$1:$BE$65000,$B716,Y$5)=1,1,IF(INDEX([1]Pivot!$B$1:$AB$65000,$B716,Y$5)="",2,0)),0)</f>
        <v>0</v>
      </c>
      <c r="Z716" s="194">
        <f>IFERROR(IF(INDEX([1]Pivot!$AD$1:$BE$65000,$B716,Z$5)=1,1,IF(INDEX([1]Pivot!$B$1:$AB$65000,$B716,Z$5)="",2,0)),0)</f>
        <v>0</v>
      </c>
      <c r="AA716" s="194">
        <f>IFERROR(IF(INDEX([1]Pivot!$AD$1:$BE$65000,$B716,AA$5)=1,1,IF(INDEX([1]Pivot!$B$1:$AB$65000,$B716,AA$5)="",2,0)),0)</f>
        <v>0</v>
      </c>
      <c r="AB716" s="194">
        <f>IFERROR(IF(INDEX([1]Pivot!$AD$1:$BE$65000,$B716,AB$5)=1,1,IF(INDEX([1]Pivot!$B$1:$AB$65000,$B716,AB$5)="",2,0)),0)</f>
        <v>0</v>
      </c>
      <c r="AC716" s="194">
        <f>IFERROR(IF(INDEX([1]Pivot!$AD$1:$BE$65000,$B716,AC$5)=1,1,IF(INDEX([1]Pivot!$B$1:$AB$65000,$B716,AC$5)="",2,0)),0)</f>
        <v>0</v>
      </c>
      <c r="AD716" s="313">
        <f>IFERROR(IF(INDEX([1]Pivot!$BF$1:$CG$65000,$B716,AD$5)=1,1,IF(INDEX([1]Pivot!$B$1:$AB$65000,$B716,AD$5)="",2,0)),0)</f>
        <v>0</v>
      </c>
      <c r="AE716" s="313">
        <f>IFERROR(IF(INDEX([1]Pivot!$BF$1:$CG$65000,$B716,AE$5)=1,1,IF(INDEX([1]Pivot!$B$1:$AB$65000,$B716,AE$5)="",2,0)),0)</f>
        <v>0</v>
      </c>
      <c r="AF716" s="313">
        <f>IFERROR(IF(INDEX([1]Pivot!$BF$1:$CG$65000,$B716,AF$5)=1,1,IF(INDEX([1]Pivot!$B$1:$AB$65000,$B716,AF$5)="",2,0)),0)</f>
        <v>0</v>
      </c>
      <c r="AG716" s="313">
        <f>IFERROR(IF(INDEX([1]Pivot!$BF$1:$CG$65000,$B716,AG$5)=1,1,IF(INDEX([1]Pivot!$B$1:$AB$65000,$B716,AG$5)="",2,0)),0)</f>
        <v>0</v>
      </c>
      <c r="AH716" s="313">
        <f>IFERROR(IF(INDEX([1]Pivot!$BF$1:$CG$65000,$B716,AH$5)=1,1,IF(INDEX([1]Pivot!$B$1:$AB$65000,$B716,AH$5)="",2,0)),0)</f>
        <v>0</v>
      </c>
      <c r="AI716" s="313">
        <f>IFERROR(IF(INDEX([1]Pivot!$BF$1:$CG$65000,$B716,AI$5)=1,1,IF(INDEX([1]Pivot!$B$1:$AB$65000,$B716,AI$5)="",2,0)),0)</f>
        <v>0</v>
      </c>
      <c r="AJ716" s="313">
        <f>IFERROR(IF(INDEX([1]Pivot!$BF$1:$CG$65000,$B716,AJ$5)=1,1,IF(INDEX([1]Pivot!$B$1:$AB$65000,$B716,AJ$5)="",2,0)),0)</f>
        <v>0</v>
      </c>
      <c r="AK716" s="313">
        <f>IFERROR(IF(INDEX([1]Pivot!$BF$1:$CG$65000,$B716,AK$5)=1,1,IF(INDEX([1]Pivot!$B$1:$AB$65000,$B716,AK$5)="",2,0)),0)</f>
        <v>0</v>
      </c>
      <c r="AL716" s="313">
        <f>IFERROR(IF(INDEX([1]Pivot!$BF$1:$CG$65000,$B716,AL$5)=1,1,IF(INDEX([1]Pivot!$B$1:$AB$65000,$B716,AL$5)="",2,0)),0)</f>
        <v>0</v>
      </c>
      <c r="AM716" s="313">
        <f>IFERROR(IF(INDEX([1]Pivot!$BF$1:$CG$65000,$B716,AM$5)=1,1,IF(INDEX([1]Pivot!$B$1:$AB$65000,$B716,AM$5)="",2,0)),0)</f>
        <v>0</v>
      </c>
      <c r="AN716" s="313">
        <f>IFERROR(IF(INDEX([1]Pivot!$BF$1:$CG$65000,$B716,AN$5)=1,1,IF(INDEX([1]Pivot!$B$1:$AB$65000,$B716,AN$5)="",2,0)),0)</f>
        <v>0</v>
      </c>
      <c r="AO716" s="313">
        <f>IFERROR(IF(INDEX([1]Pivot!$BF$1:$CG$65000,$B716,AO$5)=1,1,IF(INDEX([1]Pivot!$B$1:$AB$65000,$B716,AO$5)="",2,0)),0)</f>
        <v>0</v>
      </c>
      <c r="AP716" s="313">
        <f>IFERROR(IF(INDEX([1]Pivot!$BF$1:$CG$65000,$B716,AP$5)=1,1,IF(INDEX([1]Pivot!$B$1:$AB$65000,$B716,AP$5)="",2,0)),0)</f>
        <v>0</v>
      </c>
      <c r="AQ716" s="313">
        <f>IFERROR(IF(INDEX([1]Pivot!$BF$1:$CG$65000,$B716,AQ$5)=1,1,IF(INDEX([1]Pivot!$B$1:$AB$65000,$B716,AQ$5)="",2,0)),0)</f>
        <v>0</v>
      </c>
      <c r="AR716" s="313">
        <f>IFERROR(IF(INDEX([1]Pivot!$BF$1:$CG$65000,$B716,AR$5)=1,1,IF(INDEX([1]Pivot!$B$1:$AB$65000,$B716,AR$5)="",2,0)),0)</f>
        <v>0</v>
      </c>
      <c r="AS716" s="312"/>
      <c r="AT716" s="313">
        <f>IFERROR(IF(INDEX([1]Pivot!$BF$1:$CG$65000,$B716,AT$5)=1,1,IF(INDEX([1]Pivot!$B$1:$AB$65000,$B716,AT$5)="",2,0)),0)</f>
        <v>0</v>
      </c>
      <c r="AU716" s="313">
        <f>IFERROR(IF(INDEX([1]Pivot!$BF$1:$CG$65000,$B716,AU$5)=1,1,IF(INDEX([1]Pivot!$B$1:$AB$65000,$B716,AU$5)="",2,0)),0)</f>
        <v>0</v>
      </c>
      <c r="AV716" s="313">
        <f>IFERROR(IF(INDEX([1]Pivot!$BF$1:$CG$65000,$B716,AV$5)=1,1,IF(INDEX([1]Pivot!$B$1:$AB$65000,$B716,AV$5)="",2,0)),0)</f>
        <v>0</v>
      </c>
      <c r="AW716" s="313">
        <f>IFERROR(IF(INDEX([1]Pivot!$BF$1:$CG$65000,$B716,AW$5)=1,1,IF(INDEX([1]Pivot!$B$1:$AB$65000,$B716,AW$5)="",2,0)),0)</f>
        <v>0</v>
      </c>
      <c r="AX716" s="313">
        <f>IFERROR(IF(INDEX([1]Pivot!$BF$1:$CG$65000,$B716,AX$5)=1,1,IF(INDEX([1]Pivot!$B$1:$AB$65000,$B716,AX$5)="",2,0)),0)</f>
        <v>0</v>
      </c>
      <c r="AY716" s="313">
        <f>IFERROR(IF(INDEX([1]Pivot!$BF$1:$CG$65000,$B716,AY$5)=1,1,IF(INDEX([1]Pivot!$B$1:$AB$65000,$B716,AY$5)="",2,0)),0)</f>
        <v>0</v>
      </c>
      <c r="AZ716" s="313">
        <f>IFERROR(IF(INDEX([1]Pivot!$BF$1:$CG$65000,$B716,AZ$5)=1,1,IF(INDEX([1]Pivot!$B$1:$AB$65000,$B716,AZ$5)="",2,0)),0)</f>
        <v>0</v>
      </c>
      <c r="BA716" s="313">
        <f>IFERROR(IF(INDEX([1]Pivot!$BF$1:$CG$65000,$B716,BA$5)=1,1,IF(INDEX([1]Pivot!$B$1:$AB$65000,$B716,BA$5)="",2,0)),0)</f>
        <v>0</v>
      </c>
      <c r="BB716" s="313">
        <f>IFERROR(IF(INDEX([1]Pivot!$BF$1:$CG$65000,$B716,BB$5)=1,1,IF(INDEX([1]Pivot!$B$1:$AB$65000,$B716,BB$5)="",2,0)),0)</f>
        <v>0</v>
      </c>
      <c r="BC716" s="313">
        <f>IFERROR(IF(INDEX([1]Pivot!$BF$1:$CG$65000,$B716,BC$5)=1,1,IF(INDEX([1]Pivot!$B$1:$AB$65000,$B716,BC$5)="",2,0)),0)</f>
        <v>0</v>
      </c>
      <c r="BD716" s="313">
        <f>IFERROR(IF(INDEX([1]Pivot!$BF$1:$CG$65000,$B716,BD$5)=1,1,IF(INDEX([1]Pivot!$B$1:$AB$65000,$B716,BD$5)="",2,0)),0)</f>
        <v>0</v>
      </c>
    </row>
    <row r="717" spans="1:56" x14ac:dyDescent="0.25">
      <c r="A717" s="288">
        <f>'[2]Raw Milk Prices'!A717</f>
        <v>0</v>
      </c>
      <c r="B717" s="296" t="e">
        <f>MATCH(DATE(LEFT('[2]Raw Milk Prices'!$A717,4),RIGHT('[2]Raw Milk Prices'!$A717,2),1),[1]Pivot!$A$1:$A$65000,0)</f>
        <v>#VALUE!</v>
      </c>
      <c r="C717" s="194">
        <f>IFERROR(IF(INDEX([1]Pivot!$AD$1:$BE$65000,$B717,C$5)=1,1,IF(INDEX([1]Pivot!$B$1:$AB$65000,$B717,C$5)="",2,0)),0)</f>
        <v>0</v>
      </c>
      <c r="D717" s="194">
        <f>IFERROR(IF(INDEX([1]Pivot!$AD$1:$BE$65000,$B717,D$5)=1,1,IF(INDEX([1]Pivot!$B$1:$AB$65000,$B717,D$5)="",2,0)),0)</f>
        <v>0</v>
      </c>
      <c r="E717" s="194">
        <f>IFERROR(IF(INDEX([1]Pivot!$AD$1:$BE$65000,$B717,E$5)=1,1,IF(INDEX([1]Pivot!$B$1:$AB$65000,$B717,E$5)="",2,0)),0)</f>
        <v>0</v>
      </c>
      <c r="F717" s="194">
        <f>IFERROR(IF(INDEX([1]Pivot!$AD$1:$BE$65000,$B717,F$5)=1,1,IF(INDEX([1]Pivot!$B$1:$AB$65000,$B717,F$5)="",2,0)),0)</f>
        <v>0</v>
      </c>
      <c r="G717" s="194">
        <f>IFERROR(IF(INDEX([1]Pivot!$AD$1:$BE$65000,$B717,G$5)=1,1,IF(INDEX([1]Pivot!$B$1:$AB$65000,$B717,G$5)="",2,0)),0)</f>
        <v>0</v>
      </c>
      <c r="H717" s="194">
        <f>IFERROR(IF(INDEX([1]Pivot!$AD$1:$BE$65000,$B717,H$5)=1,1,IF(INDEX([1]Pivot!$B$1:$AB$65000,$B717,H$5)="",2,0)),0)</f>
        <v>0</v>
      </c>
      <c r="I717" s="194">
        <f>IFERROR(IF(INDEX([1]Pivot!$AD$1:$BE$65000,$B717,I$5)=1,1,IF(INDEX([1]Pivot!$B$1:$AB$65000,$B717,I$5)="",2,0)),0)</f>
        <v>0</v>
      </c>
      <c r="J717" s="194">
        <f>IFERROR(IF(INDEX([1]Pivot!$AD$1:$BE$65000,$B717,J$5)=1,1,IF(INDEX([1]Pivot!$B$1:$AB$65000,$B717,J$5)="",2,0)),0)</f>
        <v>0</v>
      </c>
      <c r="K717" s="194">
        <f>IFERROR(IF(INDEX([1]Pivot!$AD$1:$BE$65000,$B717,K$5)=1,1,IF(INDEX([1]Pivot!$B$1:$AB$65000,$B717,K$5)="",2,0)),0)</f>
        <v>0</v>
      </c>
      <c r="L717" s="194">
        <f>IFERROR(IF(INDEX([1]Pivot!$AD$1:$BE$65000,$B717,L$5)=1,1,IF(INDEX([1]Pivot!$B$1:$AB$65000,$B717,L$5)="",2,0)),0)</f>
        <v>0</v>
      </c>
      <c r="M717" s="194">
        <f>IFERROR(IF(INDEX([1]Pivot!$AD$1:$BE$65000,$B717,M$5)=1,1,IF(INDEX([1]Pivot!$B$1:$AB$65000,$B717,M$5)="",2,0)),0)</f>
        <v>0</v>
      </c>
      <c r="N717" s="194">
        <f>IFERROR(IF(INDEX([1]Pivot!$AD$1:$BE$65000,$B717,N$5)=1,1,IF(INDEX([1]Pivot!$B$1:$AB$65000,$B717,N$5)="",2,0)),0)</f>
        <v>0</v>
      </c>
      <c r="O717" s="194">
        <f>IFERROR(IF(INDEX([1]Pivot!$AD$1:$BE$65000,$B717,O$5)=1,1,IF(INDEX([1]Pivot!$B$1:$AB$65000,$B717,O$5)="",2,0)),0)</f>
        <v>0</v>
      </c>
      <c r="P717" s="194">
        <f>IFERROR(IF(INDEX([1]Pivot!$AD$1:$BE$65000,$B717,P$5)=1,1,IF(INDEX([1]Pivot!$B$1:$AB$65000,$B717,P$5)="",2,0)),0)</f>
        <v>0</v>
      </c>
      <c r="Q717" s="194">
        <f>IFERROR(IF(INDEX([1]Pivot!$AD$1:$BE$65000,$B717,Q$5)=1,1,IF(INDEX([1]Pivot!$B$1:$AB$65000,$B717,Q$5)="",2,0)),0)</f>
        <v>0</v>
      </c>
      <c r="R717" s="312"/>
      <c r="S717" s="194">
        <f>IFERROR(IF(INDEX([1]Pivot!$AD$1:$BE$65000,$B717,S$5)=1,1,IF(INDEX([1]Pivot!$B$1:$AB$65000,$B717,S$5)="",2,0)),0)</f>
        <v>0</v>
      </c>
      <c r="T717" s="194">
        <f>IFERROR(IF(INDEX([1]Pivot!$AD$1:$BE$65000,$B717,T$5)=1,1,IF(INDEX([1]Pivot!$B$1:$AB$65000,$B717,T$5)="",2,0)),0)</f>
        <v>0</v>
      </c>
      <c r="U717" s="194">
        <f>IFERROR(IF(INDEX([1]Pivot!$AD$1:$BE$65000,$B717,U$5)=1,1,IF(INDEX([1]Pivot!$B$1:$AB$65000,$B717,U$5)="",2,0)),0)</f>
        <v>0</v>
      </c>
      <c r="V717" s="194">
        <f>IFERROR(IF(INDEX([1]Pivot!$AD$1:$BE$65000,$B717,V$5)=1,1,IF(INDEX([1]Pivot!$B$1:$AB$65000,$B717,V$5)="",2,0)),0)</f>
        <v>0</v>
      </c>
      <c r="W717" s="194">
        <f>IFERROR(IF(INDEX([1]Pivot!$AD$1:$BE$65000,$B717,W$5)=1,1,IF(INDEX([1]Pivot!$B$1:$AB$65000,$B717,W$5)="",2,0)),0)</f>
        <v>0</v>
      </c>
      <c r="X717" s="194">
        <f>IFERROR(IF(INDEX([1]Pivot!$AD$1:$BE$65000,$B717,X$5)=1,1,IF(INDEX([1]Pivot!$B$1:$AB$65000,$B717,X$5)="",2,0)),0)</f>
        <v>0</v>
      </c>
      <c r="Y717" s="194">
        <f>IFERROR(IF(INDEX([1]Pivot!$AD$1:$BE$65000,$B717,Y$5)=1,1,IF(INDEX([1]Pivot!$B$1:$AB$65000,$B717,Y$5)="",2,0)),0)</f>
        <v>0</v>
      </c>
      <c r="Z717" s="194">
        <f>IFERROR(IF(INDEX([1]Pivot!$AD$1:$BE$65000,$B717,Z$5)=1,1,IF(INDEX([1]Pivot!$B$1:$AB$65000,$B717,Z$5)="",2,0)),0)</f>
        <v>0</v>
      </c>
      <c r="AA717" s="194">
        <f>IFERROR(IF(INDEX([1]Pivot!$AD$1:$BE$65000,$B717,AA$5)=1,1,IF(INDEX([1]Pivot!$B$1:$AB$65000,$B717,AA$5)="",2,0)),0)</f>
        <v>0</v>
      </c>
      <c r="AB717" s="194">
        <f>IFERROR(IF(INDEX([1]Pivot!$AD$1:$BE$65000,$B717,AB$5)=1,1,IF(INDEX([1]Pivot!$B$1:$AB$65000,$B717,AB$5)="",2,0)),0)</f>
        <v>0</v>
      </c>
      <c r="AC717" s="194">
        <f>IFERROR(IF(INDEX([1]Pivot!$AD$1:$BE$65000,$B717,AC$5)=1,1,IF(INDEX([1]Pivot!$B$1:$AB$65000,$B717,AC$5)="",2,0)),0)</f>
        <v>0</v>
      </c>
      <c r="AD717" s="313">
        <f>IFERROR(IF(INDEX([1]Pivot!$BF$1:$CG$65000,$B717,AD$5)=1,1,IF(INDEX([1]Pivot!$B$1:$AB$65000,$B717,AD$5)="",2,0)),0)</f>
        <v>0</v>
      </c>
      <c r="AE717" s="313">
        <f>IFERROR(IF(INDEX([1]Pivot!$BF$1:$CG$65000,$B717,AE$5)=1,1,IF(INDEX([1]Pivot!$B$1:$AB$65000,$B717,AE$5)="",2,0)),0)</f>
        <v>0</v>
      </c>
      <c r="AF717" s="313">
        <f>IFERROR(IF(INDEX([1]Pivot!$BF$1:$CG$65000,$B717,AF$5)=1,1,IF(INDEX([1]Pivot!$B$1:$AB$65000,$B717,AF$5)="",2,0)),0)</f>
        <v>0</v>
      </c>
      <c r="AG717" s="313">
        <f>IFERROR(IF(INDEX([1]Pivot!$BF$1:$CG$65000,$B717,AG$5)=1,1,IF(INDEX([1]Pivot!$B$1:$AB$65000,$B717,AG$5)="",2,0)),0)</f>
        <v>0</v>
      </c>
      <c r="AH717" s="313">
        <f>IFERROR(IF(INDEX([1]Pivot!$BF$1:$CG$65000,$B717,AH$5)=1,1,IF(INDEX([1]Pivot!$B$1:$AB$65000,$B717,AH$5)="",2,0)),0)</f>
        <v>0</v>
      </c>
      <c r="AI717" s="313">
        <f>IFERROR(IF(INDEX([1]Pivot!$BF$1:$CG$65000,$B717,AI$5)=1,1,IF(INDEX([1]Pivot!$B$1:$AB$65000,$B717,AI$5)="",2,0)),0)</f>
        <v>0</v>
      </c>
      <c r="AJ717" s="313">
        <f>IFERROR(IF(INDEX([1]Pivot!$BF$1:$CG$65000,$B717,AJ$5)=1,1,IF(INDEX([1]Pivot!$B$1:$AB$65000,$B717,AJ$5)="",2,0)),0)</f>
        <v>0</v>
      </c>
      <c r="AK717" s="313">
        <f>IFERROR(IF(INDEX([1]Pivot!$BF$1:$CG$65000,$B717,AK$5)=1,1,IF(INDEX([1]Pivot!$B$1:$AB$65000,$B717,AK$5)="",2,0)),0)</f>
        <v>0</v>
      </c>
      <c r="AL717" s="313">
        <f>IFERROR(IF(INDEX([1]Pivot!$BF$1:$CG$65000,$B717,AL$5)=1,1,IF(INDEX([1]Pivot!$B$1:$AB$65000,$B717,AL$5)="",2,0)),0)</f>
        <v>0</v>
      </c>
      <c r="AM717" s="313">
        <f>IFERROR(IF(INDEX([1]Pivot!$BF$1:$CG$65000,$B717,AM$5)=1,1,IF(INDEX([1]Pivot!$B$1:$AB$65000,$B717,AM$5)="",2,0)),0)</f>
        <v>0</v>
      </c>
      <c r="AN717" s="313">
        <f>IFERROR(IF(INDEX([1]Pivot!$BF$1:$CG$65000,$B717,AN$5)=1,1,IF(INDEX([1]Pivot!$B$1:$AB$65000,$B717,AN$5)="",2,0)),0)</f>
        <v>0</v>
      </c>
      <c r="AO717" s="313">
        <f>IFERROR(IF(INDEX([1]Pivot!$BF$1:$CG$65000,$B717,AO$5)=1,1,IF(INDEX([1]Pivot!$B$1:$AB$65000,$B717,AO$5)="",2,0)),0)</f>
        <v>0</v>
      </c>
      <c r="AP717" s="313">
        <f>IFERROR(IF(INDEX([1]Pivot!$BF$1:$CG$65000,$B717,AP$5)=1,1,IF(INDEX([1]Pivot!$B$1:$AB$65000,$B717,AP$5)="",2,0)),0)</f>
        <v>0</v>
      </c>
      <c r="AQ717" s="313">
        <f>IFERROR(IF(INDEX([1]Pivot!$BF$1:$CG$65000,$B717,AQ$5)=1,1,IF(INDEX([1]Pivot!$B$1:$AB$65000,$B717,AQ$5)="",2,0)),0)</f>
        <v>0</v>
      </c>
      <c r="AR717" s="313">
        <f>IFERROR(IF(INDEX([1]Pivot!$BF$1:$CG$65000,$B717,AR$5)=1,1,IF(INDEX([1]Pivot!$B$1:$AB$65000,$B717,AR$5)="",2,0)),0)</f>
        <v>0</v>
      </c>
      <c r="AS717" s="312"/>
      <c r="AT717" s="313">
        <f>IFERROR(IF(INDEX([1]Pivot!$BF$1:$CG$65000,$B717,AT$5)=1,1,IF(INDEX([1]Pivot!$B$1:$AB$65000,$B717,AT$5)="",2,0)),0)</f>
        <v>0</v>
      </c>
      <c r="AU717" s="313">
        <f>IFERROR(IF(INDEX([1]Pivot!$BF$1:$CG$65000,$B717,AU$5)=1,1,IF(INDEX([1]Pivot!$B$1:$AB$65000,$B717,AU$5)="",2,0)),0)</f>
        <v>0</v>
      </c>
      <c r="AV717" s="313">
        <f>IFERROR(IF(INDEX([1]Pivot!$BF$1:$CG$65000,$B717,AV$5)=1,1,IF(INDEX([1]Pivot!$B$1:$AB$65000,$B717,AV$5)="",2,0)),0)</f>
        <v>0</v>
      </c>
      <c r="AW717" s="313">
        <f>IFERROR(IF(INDEX([1]Pivot!$BF$1:$CG$65000,$B717,AW$5)=1,1,IF(INDEX([1]Pivot!$B$1:$AB$65000,$B717,AW$5)="",2,0)),0)</f>
        <v>0</v>
      </c>
      <c r="AX717" s="313">
        <f>IFERROR(IF(INDEX([1]Pivot!$BF$1:$CG$65000,$B717,AX$5)=1,1,IF(INDEX([1]Pivot!$B$1:$AB$65000,$B717,AX$5)="",2,0)),0)</f>
        <v>0</v>
      </c>
      <c r="AY717" s="313">
        <f>IFERROR(IF(INDEX([1]Pivot!$BF$1:$CG$65000,$B717,AY$5)=1,1,IF(INDEX([1]Pivot!$B$1:$AB$65000,$B717,AY$5)="",2,0)),0)</f>
        <v>0</v>
      </c>
      <c r="AZ717" s="313">
        <f>IFERROR(IF(INDEX([1]Pivot!$BF$1:$CG$65000,$B717,AZ$5)=1,1,IF(INDEX([1]Pivot!$B$1:$AB$65000,$B717,AZ$5)="",2,0)),0)</f>
        <v>0</v>
      </c>
      <c r="BA717" s="313">
        <f>IFERROR(IF(INDEX([1]Pivot!$BF$1:$CG$65000,$B717,BA$5)=1,1,IF(INDEX([1]Pivot!$B$1:$AB$65000,$B717,BA$5)="",2,0)),0)</f>
        <v>0</v>
      </c>
      <c r="BB717" s="313">
        <f>IFERROR(IF(INDEX([1]Pivot!$BF$1:$CG$65000,$B717,BB$5)=1,1,IF(INDEX([1]Pivot!$B$1:$AB$65000,$B717,BB$5)="",2,0)),0)</f>
        <v>0</v>
      </c>
      <c r="BC717" s="313">
        <f>IFERROR(IF(INDEX([1]Pivot!$BF$1:$CG$65000,$B717,BC$5)=1,1,IF(INDEX([1]Pivot!$B$1:$AB$65000,$B717,BC$5)="",2,0)),0)</f>
        <v>0</v>
      </c>
      <c r="BD717" s="313">
        <f>IFERROR(IF(INDEX([1]Pivot!$BF$1:$CG$65000,$B717,BD$5)=1,1,IF(INDEX([1]Pivot!$B$1:$AB$65000,$B717,BD$5)="",2,0)),0)</f>
        <v>0</v>
      </c>
    </row>
    <row r="718" spans="1:56" x14ac:dyDescent="0.25">
      <c r="A718" s="288">
        <f>'[2]Raw Milk Prices'!A718</f>
        <v>0</v>
      </c>
      <c r="B718" s="296" t="e">
        <f>MATCH(DATE(LEFT('[2]Raw Milk Prices'!$A718,4),RIGHT('[2]Raw Milk Prices'!$A718,2),1),[1]Pivot!$A$1:$A$65000,0)</f>
        <v>#VALUE!</v>
      </c>
      <c r="C718" s="194">
        <f>IFERROR(IF(INDEX([1]Pivot!$AD$1:$BE$65000,$B718,C$5)=1,1,IF(INDEX([1]Pivot!$B$1:$AB$65000,$B718,C$5)="",2,0)),0)</f>
        <v>0</v>
      </c>
      <c r="D718" s="194">
        <f>IFERROR(IF(INDEX([1]Pivot!$AD$1:$BE$65000,$B718,D$5)=1,1,IF(INDEX([1]Pivot!$B$1:$AB$65000,$B718,D$5)="",2,0)),0)</f>
        <v>0</v>
      </c>
      <c r="E718" s="194">
        <f>IFERROR(IF(INDEX([1]Pivot!$AD$1:$BE$65000,$B718,E$5)=1,1,IF(INDEX([1]Pivot!$B$1:$AB$65000,$B718,E$5)="",2,0)),0)</f>
        <v>0</v>
      </c>
      <c r="F718" s="194">
        <f>IFERROR(IF(INDEX([1]Pivot!$AD$1:$BE$65000,$B718,F$5)=1,1,IF(INDEX([1]Pivot!$B$1:$AB$65000,$B718,F$5)="",2,0)),0)</f>
        <v>0</v>
      </c>
      <c r="G718" s="194">
        <f>IFERROR(IF(INDEX([1]Pivot!$AD$1:$BE$65000,$B718,G$5)=1,1,IF(INDEX([1]Pivot!$B$1:$AB$65000,$B718,G$5)="",2,0)),0)</f>
        <v>0</v>
      </c>
      <c r="H718" s="194">
        <f>IFERROR(IF(INDEX([1]Pivot!$AD$1:$BE$65000,$B718,H$5)=1,1,IF(INDEX([1]Pivot!$B$1:$AB$65000,$B718,H$5)="",2,0)),0)</f>
        <v>0</v>
      </c>
      <c r="I718" s="194">
        <f>IFERROR(IF(INDEX([1]Pivot!$AD$1:$BE$65000,$B718,I$5)=1,1,IF(INDEX([1]Pivot!$B$1:$AB$65000,$B718,I$5)="",2,0)),0)</f>
        <v>0</v>
      </c>
      <c r="J718" s="194">
        <f>IFERROR(IF(INDEX([1]Pivot!$AD$1:$BE$65000,$B718,J$5)=1,1,IF(INDEX([1]Pivot!$B$1:$AB$65000,$B718,J$5)="",2,0)),0)</f>
        <v>0</v>
      </c>
      <c r="K718" s="194">
        <f>IFERROR(IF(INDEX([1]Pivot!$AD$1:$BE$65000,$B718,K$5)=1,1,IF(INDEX([1]Pivot!$B$1:$AB$65000,$B718,K$5)="",2,0)),0)</f>
        <v>0</v>
      </c>
      <c r="L718" s="194">
        <f>IFERROR(IF(INDEX([1]Pivot!$AD$1:$BE$65000,$B718,L$5)=1,1,IF(INDEX([1]Pivot!$B$1:$AB$65000,$B718,L$5)="",2,0)),0)</f>
        <v>0</v>
      </c>
      <c r="M718" s="194">
        <f>IFERROR(IF(INDEX([1]Pivot!$AD$1:$BE$65000,$B718,M$5)=1,1,IF(INDEX([1]Pivot!$B$1:$AB$65000,$B718,M$5)="",2,0)),0)</f>
        <v>0</v>
      </c>
      <c r="N718" s="194">
        <f>IFERROR(IF(INDEX([1]Pivot!$AD$1:$BE$65000,$B718,N$5)=1,1,IF(INDEX([1]Pivot!$B$1:$AB$65000,$B718,N$5)="",2,0)),0)</f>
        <v>0</v>
      </c>
      <c r="O718" s="194">
        <f>IFERROR(IF(INDEX([1]Pivot!$AD$1:$BE$65000,$B718,O$5)=1,1,IF(INDEX([1]Pivot!$B$1:$AB$65000,$B718,O$5)="",2,0)),0)</f>
        <v>0</v>
      </c>
      <c r="P718" s="194">
        <f>IFERROR(IF(INDEX([1]Pivot!$AD$1:$BE$65000,$B718,P$5)=1,1,IF(INDEX([1]Pivot!$B$1:$AB$65000,$B718,P$5)="",2,0)),0)</f>
        <v>0</v>
      </c>
      <c r="Q718" s="194">
        <f>IFERROR(IF(INDEX([1]Pivot!$AD$1:$BE$65000,$B718,Q$5)=1,1,IF(INDEX([1]Pivot!$B$1:$AB$65000,$B718,Q$5)="",2,0)),0)</f>
        <v>0</v>
      </c>
      <c r="R718" s="312"/>
      <c r="S718" s="194">
        <f>IFERROR(IF(INDEX([1]Pivot!$AD$1:$BE$65000,$B718,S$5)=1,1,IF(INDEX([1]Pivot!$B$1:$AB$65000,$B718,S$5)="",2,0)),0)</f>
        <v>0</v>
      </c>
      <c r="T718" s="194">
        <f>IFERROR(IF(INDEX([1]Pivot!$AD$1:$BE$65000,$B718,T$5)=1,1,IF(INDEX([1]Pivot!$B$1:$AB$65000,$B718,T$5)="",2,0)),0)</f>
        <v>0</v>
      </c>
      <c r="U718" s="194">
        <f>IFERROR(IF(INDEX([1]Pivot!$AD$1:$BE$65000,$B718,U$5)=1,1,IF(INDEX([1]Pivot!$B$1:$AB$65000,$B718,U$5)="",2,0)),0)</f>
        <v>0</v>
      </c>
      <c r="V718" s="194">
        <f>IFERROR(IF(INDEX([1]Pivot!$AD$1:$BE$65000,$B718,V$5)=1,1,IF(INDEX([1]Pivot!$B$1:$AB$65000,$B718,V$5)="",2,0)),0)</f>
        <v>0</v>
      </c>
      <c r="W718" s="194">
        <f>IFERROR(IF(INDEX([1]Pivot!$AD$1:$BE$65000,$B718,W$5)=1,1,IF(INDEX([1]Pivot!$B$1:$AB$65000,$B718,W$5)="",2,0)),0)</f>
        <v>0</v>
      </c>
      <c r="X718" s="194">
        <f>IFERROR(IF(INDEX([1]Pivot!$AD$1:$BE$65000,$B718,X$5)=1,1,IF(INDEX([1]Pivot!$B$1:$AB$65000,$B718,X$5)="",2,0)),0)</f>
        <v>0</v>
      </c>
      <c r="Y718" s="194">
        <f>IFERROR(IF(INDEX([1]Pivot!$AD$1:$BE$65000,$B718,Y$5)=1,1,IF(INDEX([1]Pivot!$B$1:$AB$65000,$B718,Y$5)="",2,0)),0)</f>
        <v>0</v>
      </c>
      <c r="Z718" s="194">
        <f>IFERROR(IF(INDEX([1]Pivot!$AD$1:$BE$65000,$B718,Z$5)=1,1,IF(INDEX([1]Pivot!$B$1:$AB$65000,$B718,Z$5)="",2,0)),0)</f>
        <v>0</v>
      </c>
      <c r="AA718" s="194">
        <f>IFERROR(IF(INDEX([1]Pivot!$AD$1:$BE$65000,$B718,AA$5)=1,1,IF(INDEX([1]Pivot!$B$1:$AB$65000,$B718,AA$5)="",2,0)),0)</f>
        <v>0</v>
      </c>
      <c r="AB718" s="194">
        <f>IFERROR(IF(INDEX([1]Pivot!$AD$1:$BE$65000,$B718,AB$5)=1,1,IF(INDEX([1]Pivot!$B$1:$AB$65000,$B718,AB$5)="",2,0)),0)</f>
        <v>0</v>
      </c>
      <c r="AC718" s="194">
        <f>IFERROR(IF(INDEX([1]Pivot!$AD$1:$BE$65000,$B718,AC$5)=1,1,IF(INDEX([1]Pivot!$B$1:$AB$65000,$B718,AC$5)="",2,0)),0)</f>
        <v>0</v>
      </c>
      <c r="AD718" s="313">
        <f>IFERROR(IF(INDEX([1]Pivot!$BF$1:$CG$65000,$B718,AD$5)=1,1,IF(INDEX([1]Pivot!$B$1:$AB$65000,$B718,AD$5)="",2,0)),0)</f>
        <v>0</v>
      </c>
      <c r="AE718" s="313">
        <f>IFERROR(IF(INDEX([1]Pivot!$BF$1:$CG$65000,$B718,AE$5)=1,1,IF(INDEX([1]Pivot!$B$1:$AB$65000,$B718,AE$5)="",2,0)),0)</f>
        <v>0</v>
      </c>
      <c r="AF718" s="313">
        <f>IFERROR(IF(INDEX([1]Pivot!$BF$1:$CG$65000,$B718,AF$5)=1,1,IF(INDEX([1]Pivot!$B$1:$AB$65000,$B718,AF$5)="",2,0)),0)</f>
        <v>0</v>
      </c>
      <c r="AG718" s="313">
        <f>IFERROR(IF(INDEX([1]Pivot!$BF$1:$CG$65000,$B718,AG$5)=1,1,IF(INDEX([1]Pivot!$B$1:$AB$65000,$B718,AG$5)="",2,0)),0)</f>
        <v>0</v>
      </c>
      <c r="AH718" s="313">
        <f>IFERROR(IF(INDEX([1]Pivot!$BF$1:$CG$65000,$B718,AH$5)=1,1,IF(INDEX([1]Pivot!$B$1:$AB$65000,$B718,AH$5)="",2,0)),0)</f>
        <v>0</v>
      </c>
      <c r="AI718" s="313">
        <f>IFERROR(IF(INDEX([1]Pivot!$BF$1:$CG$65000,$B718,AI$5)=1,1,IF(INDEX([1]Pivot!$B$1:$AB$65000,$B718,AI$5)="",2,0)),0)</f>
        <v>0</v>
      </c>
      <c r="AJ718" s="313">
        <f>IFERROR(IF(INDEX([1]Pivot!$BF$1:$CG$65000,$B718,AJ$5)=1,1,IF(INDEX([1]Pivot!$B$1:$AB$65000,$B718,AJ$5)="",2,0)),0)</f>
        <v>0</v>
      </c>
      <c r="AK718" s="313">
        <f>IFERROR(IF(INDEX([1]Pivot!$BF$1:$CG$65000,$B718,AK$5)=1,1,IF(INDEX([1]Pivot!$B$1:$AB$65000,$B718,AK$5)="",2,0)),0)</f>
        <v>0</v>
      </c>
      <c r="AL718" s="313">
        <f>IFERROR(IF(INDEX([1]Pivot!$BF$1:$CG$65000,$B718,AL$5)=1,1,IF(INDEX([1]Pivot!$B$1:$AB$65000,$B718,AL$5)="",2,0)),0)</f>
        <v>0</v>
      </c>
      <c r="AM718" s="313">
        <f>IFERROR(IF(INDEX([1]Pivot!$BF$1:$CG$65000,$B718,AM$5)=1,1,IF(INDEX([1]Pivot!$B$1:$AB$65000,$B718,AM$5)="",2,0)),0)</f>
        <v>0</v>
      </c>
      <c r="AN718" s="313">
        <f>IFERROR(IF(INDEX([1]Pivot!$BF$1:$CG$65000,$B718,AN$5)=1,1,IF(INDEX([1]Pivot!$B$1:$AB$65000,$B718,AN$5)="",2,0)),0)</f>
        <v>0</v>
      </c>
      <c r="AO718" s="313">
        <f>IFERROR(IF(INDEX([1]Pivot!$BF$1:$CG$65000,$B718,AO$5)=1,1,IF(INDEX([1]Pivot!$B$1:$AB$65000,$B718,AO$5)="",2,0)),0)</f>
        <v>0</v>
      </c>
      <c r="AP718" s="313">
        <f>IFERROR(IF(INDEX([1]Pivot!$BF$1:$CG$65000,$B718,AP$5)=1,1,IF(INDEX([1]Pivot!$B$1:$AB$65000,$B718,AP$5)="",2,0)),0)</f>
        <v>0</v>
      </c>
      <c r="AQ718" s="313">
        <f>IFERROR(IF(INDEX([1]Pivot!$BF$1:$CG$65000,$B718,AQ$5)=1,1,IF(INDEX([1]Pivot!$B$1:$AB$65000,$B718,AQ$5)="",2,0)),0)</f>
        <v>0</v>
      </c>
      <c r="AR718" s="313">
        <f>IFERROR(IF(INDEX([1]Pivot!$BF$1:$CG$65000,$B718,AR$5)=1,1,IF(INDEX([1]Pivot!$B$1:$AB$65000,$B718,AR$5)="",2,0)),0)</f>
        <v>0</v>
      </c>
      <c r="AS718" s="312"/>
      <c r="AT718" s="313">
        <f>IFERROR(IF(INDEX([1]Pivot!$BF$1:$CG$65000,$B718,AT$5)=1,1,IF(INDEX([1]Pivot!$B$1:$AB$65000,$B718,AT$5)="",2,0)),0)</f>
        <v>0</v>
      </c>
      <c r="AU718" s="313">
        <f>IFERROR(IF(INDEX([1]Pivot!$BF$1:$CG$65000,$B718,AU$5)=1,1,IF(INDEX([1]Pivot!$B$1:$AB$65000,$B718,AU$5)="",2,0)),0)</f>
        <v>0</v>
      </c>
      <c r="AV718" s="313">
        <f>IFERROR(IF(INDEX([1]Pivot!$BF$1:$CG$65000,$B718,AV$5)=1,1,IF(INDEX([1]Pivot!$B$1:$AB$65000,$B718,AV$5)="",2,0)),0)</f>
        <v>0</v>
      </c>
      <c r="AW718" s="313">
        <f>IFERROR(IF(INDEX([1]Pivot!$BF$1:$CG$65000,$B718,AW$5)=1,1,IF(INDEX([1]Pivot!$B$1:$AB$65000,$B718,AW$5)="",2,0)),0)</f>
        <v>0</v>
      </c>
      <c r="AX718" s="313">
        <f>IFERROR(IF(INDEX([1]Pivot!$BF$1:$CG$65000,$B718,AX$5)=1,1,IF(INDEX([1]Pivot!$B$1:$AB$65000,$B718,AX$5)="",2,0)),0)</f>
        <v>0</v>
      </c>
      <c r="AY718" s="313">
        <f>IFERROR(IF(INDEX([1]Pivot!$BF$1:$CG$65000,$B718,AY$5)=1,1,IF(INDEX([1]Pivot!$B$1:$AB$65000,$B718,AY$5)="",2,0)),0)</f>
        <v>0</v>
      </c>
      <c r="AZ718" s="313">
        <f>IFERROR(IF(INDEX([1]Pivot!$BF$1:$CG$65000,$B718,AZ$5)=1,1,IF(INDEX([1]Pivot!$B$1:$AB$65000,$B718,AZ$5)="",2,0)),0)</f>
        <v>0</v>
      </c>
      <c r="BA718" s="313">
        <f>IFERROR(IF(INDEX([1]Pivot!$BF$1:$CG$65000,$B718,BA$5)=1,1,IF(INDEX([1]Pivot!$B$1:$AB$65000,$B718,BA$5)="",2,0)),0)</f>
        <v>0</v>
      </c>
      <c r="BB718" s="313">
        <f>IFERROR(IF(INDEX([1]Pivot!$BF$1:$CG$65000,$B718,BB$5)=1,1,IF(INDEX([1]Pivot!$B$1:$AB$65000,$B718,BB$5)="",2,0)),0)</f>
        <v>0</v>
      </c>
      <c r="BC718" s="313">
        <f>IFERROR(IF(INDEX([1]Pivot!$BF$1:$CG$65000,$B718,BC$5)=1,1,IF(INDEX([1]Pivot!$B$1:$AB$65000,$B718,BC$5)="",2,0)),0)</f>
        <v>0</v>
      </c>
      <c r="BD718" s="313">
        <f>IFERROR(IF(INDEX([1]Pivot!$BF$1:$CG$65000,$B718,BD$5)=1,1,IF(INDEX([1]Pivot!$B$1:$AB$65000,$B718,BD$5)="",2,0)),0)</f>
        <v>0</v>
      </c>
    </row>
    <row r="719" spans="1:56" x14ac:dyDescent="0.25">
      <c r="A719" s="288">
        <f>'[2]Raw Milk Prices'!A719</f>
        <v>0</v>
      </c>
      <c r="B719" s="296" t="e">
        <f>MATCH(DATE(LEFT('[2]Raw Milk Prices'!$A719,4),RIGHT('[2]Raw Milk Prices'!$A719,2),1),[1]Pivot!$A$1:$A$65000,0)</f>
        <v>#VALUE!</v>
      </c>
      <c r="C719" s="194">
        <f>IFERROR(IF(INDEX([1]Pivot!$AD$1:$BE$65000,$B719,C$5)=1,1,IF(INDEX([1]Pivot!$B$1:$AB$65000,$B719,C$5)="",2,0)),0)</f>
        <v>0</v>
      </c>
      <c r="D719" s="194">
        <f>IFERROR(IF(INDEX([1]Pivot!$AD$1:$BE$65000,$B719,D$5)=1,1,IF(INDEX([1]Pivot!$B$1:$AB$65000,$B719,D$5)="",2,0)),0)</f>
        <v>0</v>
      </c>
      <c r="E719" s="194">
        <f>IFERROR(IF(INDEX([1]Pivot!$AD$1:$BE$65000,$B719,E$5)=1,1,IF(INDEX([1]Pivot!$B$1:$AB$65000,$B719,E$5)="",2,0)),0)</f>
        <v>0</v>
      </c>
      <c r="F719" s="194">
        <f>IFERROR(IF(INDEX([1]Pivot!$AD$1:$BE$65000,$B719,F$5)=1,1,IF(INDEX([1]Pivot!$B$1:$AB$65000,$B719,F$5)="",2,0)),0)</f>
        <v>0</v>
      </c>
      <c r="G719" s="194">
        <f>IFERROR(IF(INDEX([1]Pivot!$AD$1:$BE$65000,$B719,G$5)=1,1,IF(INDEX([1]Pivot!$B$1:$AB$65000,$B719,G$5)="",2,0)),0)</f>
        <v>0</v>
      </c>
      <c r="H719" s="194">
        <f>IFERROR(IF(INDEX([1]Pivot!$AD$1:$BE$65000,$B719,H$5)=1,1,IF(INDEX([1]Pivot!$B$1:$AB$65000,$B719,H$5)="",2,0)),0)</f>
        <v>0</v>
      </c>
      <c r="I719" s="194">
        <f>IFERROR(IF(INDEX([1]Pivot!$AD$1:$BE$65000,$B719,I$5)=1,1,IF(INDEX([1]Pivot!$B$1:$AB$65000,$B719,I$5)="",2,0)),0)</f>
        <v>0</v>
      </c>
      <c r="J719" s="194">
        <f>IFERROR(IF(INDEX([1]Pivot!$AD$1:$BE$65000,$B719,J$5)=1,1,IF(INDEX([1]Pivot!$B$1:$AB$65000,$B719,J$5)="",2,0)),0)</f>
        <v>0</v>
      </c>
      <c r="K719" s="194">
        <f>IFERROR(IF(INDEX([1]Pivot!$AD$1:$BE$65000,$B719,K$5)=1,1,IF(INDEX([1]Pivot!$B$1:$AB$65000,$B719,K$5)="",2,0)),0)</f>
        <v>0</v>
      </c>
      <c r="L719" s="194">
        <f>IFERROR(IF(INDEX([1]Pivot!$AD$1:$BE$65000,$B719,L$5)=1,1,IF(INDEX([1]Pivot!$B$1:$AB$65000,$B719,L$5)="",2,0)),0)</f>
        <v>0</v>
      </c>
      <c r="M719" s="194">
        <f>IFERROR(IF(INDEX([1]Pivot!$AD$1:$BE$65000,$B719,M$5)=1,1,IF(INDEX([1]Pivot!$B$1:$AB$65000,$B719,M$5)="",2,0)),0)</f>
        <v>0</v>
      </c>
      <c r="N719" s="194">
        <f>IFERROR(IF(INDEX([1]Pivot!$AD$1:$BE$65000,$B719,N$5)=1,1,IF(INDEX([1]Pivot!$B$1:$AB$65000,$B719,N$5)="",2,0)),0)</f>
        <v>0</v>
      </c>
      <c r="O719" s="194">
        <f>IFERROR(IF(INDEX([1]Pivot!$AD$1:$BE$65000,$B719,O$5)=1,1,IF(INDEX([1]Pivot!$B$1:$AB$65000,$B719,O$5)="",2,0)),0)</f>
        <v>0</v>
      </c>
      <c r="P719" s="194">
        <f>IFERROR(IF(INDEX([1]Pivot!$AD$1:$BE$65000,$B719,P$5)=1,1,IF(INDEX([1]Pivot!$B$1:$AB$65000,$B719,P$5)="",2,0)),0)</f>
        <v>0</v>
      </c>
      <c r="Q719" s="194">
        <f>IFERROR(IF(INDEX([1]Pivot!$AD$1:$BE$65000,$B719,Q$5)=1,1,IF(INDEX([1]Pivot!$B$1:$AB$65000,$B719,Q$5)="",2,0)),0)</f>
        <v>0</v>
      </c>
      <c r="R719" s="312"/>
      <c r="S719" s="194">
        <f>IFERROR(IF(INDEX([1]Pivot!$AD$1:$BE$65000,$B719,S$5)=1,1,IF(INDEX([1]Pivot!$B$1:$AB$65000,$B719,S$5)="",2,0)),0)</f>
        <v>0</v>
      </c>
      <c r="T719" s="194">
        <f>IFERROR(IF(INDEX([1]Pivot!$AD$1:$BE$65000,$B719,T$5)=1,1,IF(INDEX([1]Pivot!$B$1:$AB$65000,$B719,T$5)="",2,0)),0)</f>
        <v>0</v>
      </c>
      <c r="U719" s="194">
        <f>IFERROR(IF(INDEX([1]Pivot!$AD$1:$BE$65000,$B719,U$5)=1,1,IF(INDEX([1]Pivot!$B$1:$AB$65000,$B719,U$5)="",2,0)),0)</f>
        <v>0</v>
      </c>
      <c r="V719" s="194">
        <f>IFERROR(IF(INDEX([1]Pivot!$AD$1:$BE$65000,$B719,V$5)=1,1,IF(INDEX([1]Pivot!$B$1:$AB$65000,$B719,V$5)="",2,0)),0)</f>
        <v>0</v>
      </c>
      <c r="W719" s="194">
        <f>IFERROR(IF(INDEX([1]Pivot!$AD$1:$BE$65000,$B719,W$5)=1,1,IF(INDEX([1]Pivot!$B$1:$AB$65000,$B719,W$5)="",2,0)),0)</f>
        <v>0</v>
      </c>
      <c r="X719" s="194">
        <f>IFERROR(IF(INDEX([1]Pivot!$AD$1:$BE$65000,$B719,X$5)=1,1,IF(INDEX([1]Pivot!$B$1:$AB$65000,$B719,X$5)="",2,0)),0)</f>
        <v>0</v>
      </c>
      <c r="Y719" s="194">
        <f>IFERROR(IF(INDEX([1]Pivot!$AD$1:$BE$65000,$B719,Y$5)=1,1,IF(INDEX([1]Pivot!$B$1:$AB$65000,$B719,Y$5)="",2,0)),0)</f>
        <v>0</v>
      </c>
      <c r="Z719" s="194">
        <f>IFERROR(IF(INDEX([1]Pivot!$AD$1:$BE$65000,$B719,Z$5)=1,1,IF(INDEX([1]Pivot!$B$1:$AB$65000,$B719,Z$5)="",2,0)),0)</f>
        <v>0</v>
      </c>
      <c r="AA719" s="194">
        <f>IFERROR(IF(INDEX([1]Pivot!$AD$1:$BE$65000,$B719,AA$5)=1,1,IF(INDEX([1]Pivot!$B$1:$AB$65000,$B719,AA$5)="",2,0)),0)</f>
        <v>0</v>
      </c>
      <c r="AB719" s="194">
        <f>IFERROR(IF(INDEX([1]Pivot!$AD$1:$BE$65000,$B719,AB$5)=1,1,IF(INDEX([1]Pivot!$B$1:$AB$65000,$B719,AB$5)="",2,0)),0)</f>
        <v>0</v>
      </c>
      <c r="AC719" s="194">
        <f>IFERROR(IF(INDEX([1]Pivot!$AD$1:$BE$65000,$B719,AC$5)=1,1,IF(INDEX([1]Pivot!$B$1:$AB$65000,$B719,AC$5)="",2,0)),0)</f>
        <v>0</v>
      </c>
      <c r="AD719" s="313">
        <f>IFERROR(IF(INDEX([1]Pivot!$BF$1:$CG$65000,$B719,AD$5)=1,1,IF(INDEX([1]Pivot!$B$1:$AB$65000,$B719,AD$5)="",2,0)),0)</f>
        <v>0</v>
      </c>
      <c r="AE719" s="313">
        <f>IFERROR(IF(INDEX([1]Pivot!$BF$1:$CG$65000,$B719,AE$5)=1,1,IF(INDEX([1]Pivot!$B$1:$AB$65000,$B719,AE$5)="",2,0)),0)</f>
        <v>0</v>
      </c>
      <c r="AF719" s="313">
        <f>IFERROR(IF(INDEX([1]Pivot!$BF$1:$CG$65000,$B719,AF$5)=1,1,IF(INDEX([1]Pivot!$B$1:$AB$65000,$B719,AF$5)="",2,0)),0)</f>
        <v>0</v>
      </c>
      <c r="AG719" s="313">
        <f>IFERROR(IF(INDEX([1]Pivot!$BF$1:$CG$65000,$B719,AG$5)=1,1,IF(INDEX([1]Pivot!$B$1:$AB$65000,$B719,AG$5)="",2,0)),0)</f>
        <v>0</v>
      </c>
      <c r="AH719" s="313">
        <f>IFERROR(IF(INDEX([1]Pivot!$BF$1:$CG$65000,$B719,AH$5)=1,1,IF(INDEX([1]Pivot!$B$1:$AB$65000,$B719,AH$5)="",2,0)),0)</f>
        <v>0</v>
      </c>
      <c r="AI719" s="313">
        <f>IFERROR(IF(INDEX([1]Pivot!$BF$1:$CG$65000,$B719,AI$5)=1,1,IF(INDEX([1]Pivot!$B$1:$AB$65000,$B719,AI$5)="",2,0)),0)</f>
        <v>0</v>
      </c>
      <c r="AJ719" s="313">
        <f>IFERROR(IF(INDEX([1]Pivot!$BF$1:$CG$65000,$B719,AJ$5)=1,1,IF(INDEX([1]Pivot!$B$1:$AB$65000,$B719,AJ$5)="",2,0)),0)</f>
        <v>0</v>
      </c>
      <c r="AK719" s="313">
        <f>IFERROR(IF(INDEX([1]Pivot!$BF$1:$CG$65000,$B719,AK$5)=1,1,IF(INDEX([1]Pivot!$B$1:$AB$65000,$B719,AK$5)="",2,0)),0)</f>
        <v>0</v>
      </c>
      <c r="AL719" s="313">
        <f>IFERROR(IF(INDEX([1]Pivot!$BF$1:$CG$65000,$B719,AL$5)=1,1,IF(INDEX([1]Pivot!$B$1:$AB$65000,$B719,AL$5)="",2,0)),0)</f>
        <v>0</v>
      </c>
      <c r="AM719" s="313">
        <f>IFERROR(IF(INDEX([1]Pivot!$BF$1:$CG$65000,$B719,AM$5)=1,1,IF(INDEX([1]Pivot!$B$1:$AB$65000,$B719,AM$5)="",2,0)),0)</f>
        <v>0</v>
      </c>
      <c r="AN719" s="313">
        <f>IFERROR(IF(INDEX([1]Pivot!$BF$1:$CG$65000,$B719,AN$5)=1,1,IF(INDEX([1]Pivot!$B$1:$AB$65000,$B719,AN$5)="",2,0)),0)</f>
        <v>0</v>
      </c>
      <c r="AO719" s="313">
        <f>IFERROR(IF(INDEX([1]Pivot!$BF$1:$CG$65000,$B719,AO$5)=1,1,IF(INDEX([1]Pivot!$B$1:$AB$65000,$B719,AO$5)="",2,0)),0)</f>
        <v>0</v>
      </c>
      <c r="AP719" s="313">
        <f>IFERROR(IF(INDEX([1]Pivot!$BF$1:$CG$65000,$B719,AP$5)=1,1,IF(INDEX([1]Pivot!$B$1:$AB$65000,$B719,AP$5)="",2,0)),0)</f>
        <v>0</v>
      </c>
      <c r="AQ719" s="313">
        <f>IFERROR(IF(INDEX([1]Pivot!$BF$1:$CG$65000,$B719,AQ$5)=1,1,IF(INDEX([1]Pivot!$B$1:$AB$65000,$B719,AQ$5)="",2,0)),0)</f>
        <v>0</v>
      </c>
      <c r="AR719" s="313">
        <f>IFERROR(IF(INDEX([1]Pivot!$BF$1:$CG$65000,$B719,AR$5)=1,1,IF(INDEX([1]Pivot!$B$1:$AB$65000,$B719,AR$5)="",2,0)),0)</f>
        <v>0</v>
      </c>
      <c r="AS719" s="312"/>
      <c r="AT719" s="313">
        <f>IFERROR(IF(INDEX([1]Pivot!$BF$1:$CG$65000,$B719,AT$5)=1,1,IF(INDEX([1]Pivot!$B$1:$AB$65000,$B719,AT$5)="",2,0)),0)</f>
        <v>0</v>
      </c>
      <c r="AU719" s="313">
        <f>IFERROR(IF(INDEX([1]Pivot!$BF$1:$CG$65000,$B719,AU$5)=1,1,IF(INDEX([1]Pivot!$B$1:$AB$65000,$B719,AU$5)="",2,0)),0)</f>
        <v>0</v>
      </c>
      <c r="AV719" s="313">
        <f>IFERROR(IF(INDEX([1]Pivot!$BF$1:$CG$65000,$B719,AV$5)=1,1,IF(INDEX([1]Pivot!$B$1:$AB$65000,$B719,AV$5)="",2,0)),0)</f>
        <v>0</v>
      </c>
      <c r="AW719" s="313">
        <f>IFERROR(IF(INDEX([1]Pivot!$BF$1:$CG$65000,$B719,AW$5)=1,1,IF(INDEX([1]Pivot!$B$1:$AB$65000,$B719,AW$5)="",2,0)),0)</f>
        <v>0</v>
      </c>
      <c r="AX719" s="313">
        <f>IFERROR(IF(INDEX([1]Pivot!$BF$1:$CG$65000,$B719,AX$5)=1,1,IF(INDEX([1]Pivot!$B$1:$AB$65000,$B719,AX$5)="",2,0)),0)</f>
        <v>0</v>
      </c>
      <c r="AY719" s="313">
        <f>IFERROR(IF(INDEX([1]Pivot!$BF$1:$CG$65000,$B719,AY$5)=1,1,IF(INDEX([1]Pivot!$B$1:$AB$65000,$B719,AY$5)="",2,0)),0)</f>
        <v>0</v>
      </c>
      <c r="AZ719" s="313">
        <f>IFERROR(IF(INDEX([1]Pivot!$BF$1:$CG$65000,$B719,AZ$5)=1,1,IF(INDEX([1]Pivot!$B$1:$AB$65000,$B719,AZ$5)="",2,0)),0)</f>
        <v>0</v>
      </c>
      <c r="BA719" s="313">
        <f>IFERROR(IF(INDEX([1]Pivot!$BF$1:$CG$65000,$B719,BA$5)=1,1,IF(INDEX([1]Pivot!$B$1:$AB$65000,$B719,BA$5)="",2,0)),0)</f>
        <v>0</v>
      </c>
      <c r="BB719" s="313">
        <f>IFERROR(IF(INDEX([1]Pivot!$BF$1:$CG$65000,$B719,BB$5)=1,1,IF(INDEX([1]Pivot!$B$1:$AB$65000,$B719,BB$5)="",2,0)),0)</f>
        <v>0</v>
      </c>
      <c r="BC719" s="313">
        <f>IFERROR(IF(INDEX([1]Pivot!$BF$1:$CG$65000,$B719,BC$5)=1,1,IF(INDEX([1]Pivot!$B$1:$AB$65000,$B719,BC$5)="",2,0)),0)</f>
        <v>0</v>
      </c>
      <c r="BD719" s="313">
        <f>IFERROR(IF(INDEX([1]Pivot!$BF$1:$CG$65000,$B719,BD$5)=1,1,IF(INDEX([1]Pivot!$B$1:$AB$65000,$B719,BD$5)="",2,0)),0)</f>
        <v>0</v>
      </c>
    </row>
    <row r="720" spans="1:56" x14ac:dyDescent="0.25">
      <c r="A720" s="288">
        <f>'[2]Raw Milk Prices'!A720</f>
        <v>0</v>
      </c>
      <c r="B720" s="296" t="e">
        <f>MATCH(DATE(LEFT('[2]Raw Milk Prices'!$A720,4),RIGHT('[2]Raw Milk Prices'!$A720,2),1),[1]Pivot!$A$1:$A$65000,0)</f>
        <v>#VALUE!</v>
      </c>
      <c r="C720" s="194">
        <f>IFERROR(IF(INDEX([1]Pivot!$AD$1:$BE$65000,$B720,C$5)=1,1,IF(INDEX([1]Pivot!$B$1:$AB$65000,$B720,C$5)="",2,0)),0)</f>
        <v>0</v>
      </c>
      <c r="D720" s="194">
        <f>IFERROR(IF(INDEX([1]Pivot!$AD$1:$BE$65000,$B720,D$5)=1,1,IF(INDEX([1]Pivot!$B$1:$AB$65000,$B720,D$5)="",2,0)),0)</f>
        <v>0</v>
      </c>
      <c r="E720" s="194">
        <f>IFERROR(IF(INDEX([1]Pivot!$AD$1:$BE$65000,$B720,E$5)=1,1,IF(INDEX([1]Pivot!$B$1:$AB$65000,$B720,E$5)="",2,0)),0)</f>
        <v>0</v>
      </c>
      <c r="F720" s="194">
        <f>IFERROR(IF(INDEX([1]Pivot!$AD$1:$BE$65000,$B720,F$5)=1,1,IF(INDEX([1]Pivot!$B$1:$AB$65000,$B720,F$5)="",2,0)),0)</f>
        <v>0</v>
      </c>
      <c r="G720" s="194">
        <f>IFERROR(IF(INDEX([1]Pivot!$AD$1:$BE$65000,$B720,G$5)=1,1,IF(INDEX([1]Pivot!$B$1:$AB$65000,$B720,G$5)="",2,0)),0)</f>
        <v>0</v>
      </c>
      <c r="H720" s="194">
        <f>IFERROR(IF(INDEX([1]Pivot!$AD$1:$BE$65000,$B720,H$5)=1,1,IF(INDEX([1]Pivot!$B$1:$AB$65000,$B720,H$5)="",2,0)),0)</f>
        <v>0</v>
      </c>
      <c r="I720" s="194">
        <f>IFERROR(IF(INDEX([1]Pivot!$AD$1:$BE$65000,$B720,I$5)=1,1,IF(INDEX([1]Pivot!$B$1:$AB$65000,$B720,I$5)="",2,0)),0)</f>
        <v>0</v>
      </c>
      <c r="J720" s="194">
        <f>IFERROR(IF(INDEX([1]Pivot!$AD$1:$BE$65000,$B720,J$5)=1,1,IF(INDEX([1]Pivot!$B$1:$AB$65000,$B720,J$5)="",2,0)),0)</f>
        <v>0</v>
      </c>
      <c r="K720" s="194">
        <f>IFERROR(IF(INDEX([1]Pivot!$AD$1:$BE$65000,$B720,K$5)=1,1,IF(INDEX([1]Pivot!$B$1:$AB$65000,$B720,K$5)="",2,0)),0)</f>
        <v>0</v>
      </c>
      <c r="L720" s="194">
        <f>IFERROR(IF(INDEX([1]Pivot!$AD$1:$BE$65000,$B720,L$5)=1,1,IF(INDEX([1]Pivot!$B$1:$AB$65000,$B720,L$5)="",2,0)),0)</f>
        <v>0</v>
      </c>
      <c r="M720" s="194">
        <f>IFERROR(IF(INDEX([1]Pivot!$AD$1:$BE$65000,$B720,M$5)=1,1,IF(INDEX([1]Pivot!$B$1:$AB$65000,$B720,M$5)="",2,0)),0)</f>
        <v>0</v>
      </c>
      <c r="N720" s="194">
        <f>IFERROR(IF(INDEX([1]Pivot!$AD$1:$BE$65000,$B720,N$5)=1,1,IF(INDEX([1]Pivot!$B$1:$AB$65000,$B720,N$5)="",2,0)),0)</f>
        <v>0</v>
      </c>
      <c r="O720" s="194">
        <f>IFERROR(IF(INDEX([1]Pivot!$AD$1:$BE$65000,$B720,O$5)=1,1,IF(INDEX([1]Pivot!$B$1:$AB$65000,$B720,O$5)="",2,0)),0)</f>
        <v>0</v>
      </c>
      <c r="P720" s="194">
        <f>IFERROR(IF(INDEX([1]Pivot!$AD$1:$BE$65000,$B720,P$5)=1,1,IF(INDEX([1]Pivot!$B$1:$AB$65000,$B720,P$5)="",2,0)),0)</f>
        <v>0</v>
      </c>
      <c r="Q720" s="194">
        <f>IFERROR(IF(INDEX([1]Pivot!$AD$1:$BE$65000,$B720,Q$5)=1,1,IF(INDEX([1]Pivot!$B$1:$AB$65000,$B720,Q$5)="",2,0)),0)</f>
        <v>0</v>
      </c>
      <c r="R720" s="312"/>
      <c r="S720" s="194">
        <f>IFERROR(IF(INDEX([1]Pivot!$AD$1:$BE$65000,$B720,S$5)=1,1,IF(INDEX([1]Pivot!$B$1:$AB$65000,$B720,S$5)="",2,0)),0)</f>
        <v>0</v>
      </c>
      <c r="T720" s="194">
        <f>IFERROR(IF(INDEX([1]Pivot!$AD$1:$BE$65000,$B720,T$5)=1,1,IF(INDEX([1]Pivot!$B$1:$AB$65000,$B720,T$5)="",2,0)),0)</f>
        <v>0</v>
      </c>
      <c r="U720" s="194">
        <f>IFERROR(IF(INDEX([1]Pivot!$AD$1:$BE$65000,$B720,U$5)=1,1,IF(INDEX([1]Pivot!$B$1:$AB$65000,$B720,U$5)="",2,0)),0)</f>
        <v>0</v>
      </c>
      <c r="V720" s="194">
        <f>IFERROR(IF(INDEX([1]Pivot!$AD$1:$BE$65000,$B720,V$5)=1,1,IF(INDEX([1]Pivot!$B$1:$AB$65000,$B720,V$5)="",2,0)),0)</f>
        <v>0</v>
      </c>
      <c r="W720" s="194">
        <f>IFERROR(IF(INDEX([1]Pivot!$AD$1:$BE$65000,$B720,W$5)=1,1,IF(INDEX([1]Pivot!$B$1:$AB$65000,$B720,W$5)="",2,0)),0)</f>
        <v>0</v>
      </c>
      <c r="X720" s="194">
        <f>IFERROR(IF(INDEX([1]Pivot!$AD$1:$BE$65000,$B720,X$5)=1,1,IF(INDEX([1]Pivot!$B$1:$AB$65000,$B720,X$5)="",2,0)),0)</f>
        <v>0</v>
      </c>
      <c r="Y720" s="194">
        <f>IFERROR(IF(INDEX([1]Pivot!$AD$1:$BE$65000,$B720,Y$5)=1,1,IF(INDEX([1]Pivot!$B$1:$AB$65000,$B720,Y$5)="",2,0)),0)</f>
        <v>0</v>
      </c>
      <c r="Z720" s="194">
        <f>IFERROR(IF(INDEX([1]Pivot!$AD$1:$BE$65000,$B720,Z$5)=1,1,IF(INDEX([1]Pivot!$B$1:$AB$65000,$B720,Z$5)="",2,0)),0)</f>
        <v>0</v>
      </c>
      <c r="AA720" s="194">
        <f>IFERROR(IF(INDEX([1]Pivot!$AD$1:$BE$65000,$B720,AA$5)=1,1,IF(INDEX([1]Pivot!$B$1:$AB$65000,$B720,AA$5)="",2,0)),0)</f>
        <v>0</v>
      </c>
      <c r="AB720" s="194">
        <f>IFERROR(IF(INDEX([1]Pivot!$AD$1:$BE$65000,$B720,AB$5)=1,1,IF(INDEX([1]Pivot!$B$1:$AB$65000,$B720,AB$5)="",2,0)),0)</f>
        <v>0</v>
      </c>
      <c r="AC720" s="194">
        <f>IFERROR(IF(INDEX([1]Pivot!$AD$1:$BE$65000,$B720,AC$5)=1,1,IF(INDEX([1]Pivot!$B$1:$AB$65000,$B720,AC$5)="",2,0)),0)</f>
        <v>0</v>
      </c>
      <c r="AD720" s="313">
        <f>IFERROR(IF(INDEX([1]Pivot!$BF$1:$CG$65000,$B720,AD$5)=1,1,IF(INDEX([1]Pivot!$B$1:$AB$65000,$B720,AD$5)="",2,0)),0)</f>
        <v>0</v>
      </c>
      <c r="AE720" s="313">
        <f>IFERROR(IF(INDEX([1]Pivot!$BF$1:$CG$65000,$B720,AE$5)=1,1,IF(INDEX([1]Pivot!$B$1:$AB$65000,$B720,AE$5)="",2,0)),0)</f>
        <v>0</v>
      </c>
      <c r="AF720" s="313">
        <f>IFERROR(IF(INDEX([1]Pivot!$BF$1:$CG$65000,$B720,AF$5)=1,1,IF(INDEX([1]Pivot!$B$1:$AB$65000,$B720,AF$5)="",2,0)),0)</f>
        <v>0</v>
      </c>
      <c r="AG720" s="313">
        <f>IFERROR(IF(INDEX([1]Pivot!$BF$1:$CG$65000,$B720,AG$5)=1,1,IF(INDEX([1]Pivot!$B$1:$AB$65000,$B720,AG$5)="",2,0)),0)</f>
        <v>0</v>
      </c>
      <c r="AH720" s="313">
        <f>IFERROR(IF(INDEX([1]Pivot!$BF$1:$CG$65000,$B720,AH$5)=1,1,IF(INDEX([1]Pivot!$B$1:$AB$65000,$B720,AH$5)="",2,0)),0)</f>
        <v>0</v>
      </c>
      <c r="AI720" s="313">
        <f>IFERROR(IF(INDEX([1]Pivot!$BF$1:$CG$65000,$B720,AI$5)=1,1,IF(INDEX([1]Pivot!$B$1:$AB$65000,$B720,AI$5)="",2,0)),0)</f>
        <v>0</v>
      </c>
      <c r="AJ720" s="313">
        <f>IFERROR(IF(INDEX([1]Pivot!$BF$1:$CG$65000,$B720,AJ$5)=1,1,IF(INDEX([1]Pivot!$B$1:$AB$65000,$B720,AJ$5)="",2,0)),0)</f>
        <v>0</v>
      </c>
      <c r="AK720" s="313">
        <f>IFERROR(IF(INDEX([1]Pivot!$BF$1:$CG$65000,$B720,AK$5)=1,1,IF(INDEX([1]Pivot!$B$1:$AB$65000,$B720,AK$5)="",2,0)),0)</f>
        <v>0</v>
      </c>
      <c r="AL720" s="313">
        <f>IFERROR(IF(INDEX([1]Pivot!$BF$1:$CG$65000,$B720,AL$5)=1,1,IF(INDEX([1]Pivot!$B$1:$AB$65000,$B720,AL$5)="",2,0)),0)</f>
        <v>0</v>
      </c>
      <c r="AM720" s="313">
        <f>IFERROR(IF(INDEX([1]Pivot!$BF$1:$CG$65000,$B720,AM$5)=1,1,IF(INDEX([1]Pivot!$B$1:$AB$65000,$B720,AM$5)="",2,0)),0)</f>
        <v>0</v>
      </c>
      <c r="AN720" s="313">
        <f>IFERROR(IF(INDEX([1]Pivot!$BF$1:$CG$65000,$B720,AN$5)=1,1,IF(INDEX([1]Pivot!$B$1:$AB$65000,$B720,AN$5)="",2,0)),0)</f>
        <v>0</v>
      </c>
      <c r="AO720" s="313">
        <f>IFERROR(IF(INDEX([1]Pivot!$BF$1:$CG$65000,$B720,AO$5)=1,1,IF(INDEX([1]Pivot!$B$1:$AB$65000,$B720,AO$5)="",2,0)),0)</f>
        <v>0</v>
      </c>
      <c r="AP720" s="313">
        <f>IFERROR(IF(INDEX([1]Pivot!$BF$1:$CG$65000,$B720,AP$5)=1,1,IF(INDEX([1]Pivot!$B$1:$AB$65000,$B720,AP$5)="",2,0)),0)</f>
        <v>0</v>
      </c>
      <c r="AQ720" s="313">
        <f>IFERROR(IF(INDEX([1]Pivot!$BF$1:$CG$65000,$B720,AQ$5)=1,1,IF(INDEX([1]Pivot!$B$1:$AB$65000,$B720,AQ$5)="",2,0)),0)</f>
        <v>0</v>
      </c>
      <c r="AR720" s="313">
        <f>IFERROR(IF(INDEX([1]Pivot!$BF$1:$CG$65000,$B720,AR$5)=1,1,IF(INDEX([1]Pivot!$B$1:$AB$65000,$B720,AR$5)="",2,0)),0)</f>
        <v>0</v>
      </c>
      <c r="AS720" s="312"/>
      <c r="AT720" s="313">
        <f>IFERROR(IF(INDEX([1]Pivot!$BF$1:$CG$65000,$B720,AT$5)=1,1,IF(INDEX([1]Pivot!$B$1:$AB$65000,$B720,AT$5)="",2,0)),0)</f>
        <v>0</v>
      </c>
      <c r="AU720" s="313">
        <f>IFERROR(IF(INDEX([1]Pivot!$BF$1:$CG$65000,$B720,AU$5)=1,1,IF(INDEX([1]Pivot!$B$1:$AB$65000,$B720,AU$5)="",2,0)),0)</f>
        <v>0</v>
      </c>
      <c r="AV720" s="313">
        <f>IFERROR(IF(INDEX([1]Pivot!$BF$1:$CG$65000,$B720,AV$5)=1,1,IF(INDEX([1]Pivot!$B$1:$AB$65000,$B720,AV$5)="",2,0)),0)</f>
        <v>0</v>
      </c>
      <c r="AW720" s="313">
        <f>IFERROR(IF(INDEX([1]Pivot!$BF$1:$CG$65000,$B720,AW$5)=1,1,IF(INDEX([1]Pivot!$B$1:$AB$65000,$B720,AW$5)="",2,0)),0)</f>
        <v>0</v>
      </c>
      <c r="AX720" s="313">
        <f>IFERROR(IF(INDEX([1]Pivot!$BF$1:$CG$65000,$B720,AX$5)=1,1,IF(INDEX([1]Pivot!$B$1:$AB$65000,$B720,AX$5)="",2,0)),0)</f>
        <v>0</v>
      </c>
      <c r="AY720" s="313">
        <f>IFERROR(IF(INDEX([1]Pivot!$BF$1:$CG$65000,$B720,AY$5)=1,1,IF(INDEX([1]Pivot!$B$1:$AB$65000,$B720,AY$5)="",2,0)),0)</f>
        <v>0</v>
      </c>
      <c r="AZ720" s="313">
        <f>IFERROR(IF(INDEX([1]Pivot!$BF$1:$CG$65000,$B720,AZ$5)=1,1,IF(INDEX([1]Pivot!$B$1:$AB$65000,$B720,AZ$5)="",2,0)),0)</f>
        <v>0</v>
      </c>
      <c r="BA720" s="313">
        <f>IFERROR(IF(INDEX([1]Pivot!$BF$1:$CG$65000,$B720,BA$5)=1,1,IF(INDEX([1]Pivot!$B$1:$AB$65000,$B720,BA$5)="",2,0)),0)</f>
        <v>0</v>
      </c>
      <c r="BB720" s="313">
        <f>IFERROR(IF(INDEX([1]Pivot!$BF$1:$CG$65000,$B720,BB$5)=1,1,IF(INDEX([1]Pivot!$B$1:$AB$65000,$B720,BB$5)="",2,0)),0)</f>
        <v>0</v>
      </c>
      <c r="BC720" s="313">
        <f>IFERROR(IF(INDEX([1]Pivot!$BF$1:$CG$65000,$B720,BC$5)=1,1,IF(INDEX([1]Pivot!$B$1:$AB$65000,$B720,BC$5)="",2,0)),0)</f>
        <v>0</v>
      </c>
      <c r="BD720" s="313">
        <f>IFERROR(IF(INDEX([1]Pivot!$BF$1:$CG$65000,$B720,BD$5)=1,1,IF(INDEX([1]Pivot!$B$1:$AB$65000,$B720,BD$5)="",2,0)),0)</f>
        <v>0</v>
      </c>
    </row>
    <row r="721" spans="1:56" x14ac:dyDescent="0.25">
      <c r="A721" s="288">
        <f>'[2]Raw Milk Prices'!A721</f>
        <v>0</v>
      </c>
      <c r="B721" s="296" t="e">
        <f>MATCH(DATE(LEFT('[2]Raw Milk Prices'!$A721,4),RIGHT('[2]Raw Milk Prices'!$A721,2),1),[1]Pivot!$A$1:$A$65000,0)</f>
        <v>#VALUE!</v>
      </c>
      <c r="C721" s="194">
        <f>IFERROR(IF(INDEX([1]Pivot!$AD$1:$BE$65000,$B721,C$5)=1,1,IF(INDEX([1]Pivot!$B$1:$AB$65000,$B721,C$5)="",2,0)),0)</f>
        <v>0</v>
      </c>
      <c r="D721" s="194">
        <f>IFERROR(IF(INDEX([1]Pivot!$AD$1:$BE$65000,$B721,D$5)=1,1,IF(INDEX([1]Pivot!$B$1:$AB$65000,$B721,D$5)="",2,0)),0)</f>
        <v>0</v>
      </c>
      <c r="E721" s="194">
        <f>IFERROR(IF(INDEX([1]Pivot!$AD$1:$BE$65000,$B721,E$5)=1,1,IF(INDEX([1]Pivot!$B$1:$AB$65000,$B721,E$5)="",2,0)),0)</f>
        <v>0</v>
      </c>
      <c r="F721" s="194">
        <f>IFERROR(IF(INDEX([1]Pivot!$AD$1:$BE$65000,$B721,F$5)=1,1,IF(INDEX([1]Pivot!$B$1:$AB$65000,$B721,F$5)="",2,0)),0)</f>
        <v>0</v>
      </c>
      <c r="G721" s="194">
        <f>IFERROR(IF(INDEX([1]Pivot!$AD$1:$BE$65000,$B721,G$5)=1,1,IF(INDEX([1]Pivot!$B$1:$AB$65000,$B721,G$5)="",2,0)),0)</f>
        <v>0</v>
      </c>
      <c r="H721" s="194">
        <f>IFERROR(IF(INDEX([1]Pivot!$AD$1:$BE$65000,$B721,H$5)=1,1,IF(INDEX([1]Pivot!$B$1:$AB$65000,$B721,H$5)="",2,0)),0)</f>
        <v>0</v>
      </c>
      <c r="I721" s="194">
        <f>IFERROR(IF(INDEX([1]Pivot!$AD$1:$BE$65000,$B721,I$5)=1,1,IF(INDEX([1]Pivot!$B$1:$AB$65000,$B721,I$5)="",2,0)),0)</f>
        <v>0</v>
      </c>
      <c r="J721" s="194">
        <f>IFERROR(IF(INDEX([1]Pivot!$AD$1:$BE$65000,$B721,J$5)=1,1,IF(INDEX([1]Pivot!$B$1:$AB$65000,$B721,J$5)="",2,0)),0)</f>
        <v>0</v>
      </c>
      <c r="K721" s="194">
        <f>IFERROR(IF(INDEX([1]Pivot!$AD$1:$BE$65000,$B721,K$5)=1,1,IF(INDEX([1]Pivot!$B$1:$AB$65000,$B721,K$5)="",2,0)),0)</f>
        <v>0</v>
      </c>
      <c r="L721" s="194">
        <f>IFERROR(IF(INDEX([1]Pivot!$AD$1:$BE$65000,$B721,L$5)=1,1,IF(INDEX([1]Pivot!$B$1:$AB$65000,$B721,L$5)="",2,0)),0)</f>
        <v>0</v>
      </c>
      <c r="M721" s="194">
        <f>IFERROR(IF(INDEX([1]Pivot!$AD$1:$BE$65000,$B721,M$5)=1,1,IF(INDEX([1]Pivot!$B$1:$AB$65000,$B721,M$5)="",2,0)),0)</f>
        <v>0</v>
      </c>
      <c r="N721" s="194">
        <f>IFERROR(IF(INDEX([1]Pivot!$AD$1:$BE$65000,$B721,N$5)=1,1,IF(INDEX([1]Pivot!$B$1:$AB$65000,$B721,N$5)="",2,0)),0)</f>
        <v>0</v>
      </c>
      <c r="O721" s="194">
        <f>IFERROR(IF(INDEX([1]Pivot!$AD$1:$BE$65000,$B721,O$5)=1,1,IF(INDEX([1]Pivot!$B$1:$AB$65000,$B721,O$5)="",2,0)),0)</f>
        <v>0</v>
      </c>
      <c r="P721" s="194">
        <f>IFERROR(IF(INDEX([1]Pivot!$AD$1:$BE$65000,$B721,P$5)=1,1,IF(INDEX([1]Pivot!$B$1:$AB$65000,$B721,P$5)="",2,0)),0)</f>
        <v>0</v>
      </c>
      <c r="Q721" s="194">
        <f>IFERROR(IF(INDEX([1]Pivot!$AD$1:$BE$65000,$B721,Q$5)=1,1,IF(INDEX([1]Pivot!$B$1:$AB$65000,$B721,Q$5)="",2,0)),0)</f>
        <v>0</v>
      </c>
      <c r="R721" s="312"/>
      <c r="S721" s="194">
        <f>IFERROR(IF(INDEX([1]Pivot!$AD$1:$BE$65000,$B721,S$5)=1,1,IF(INDEX([1]Pivot!$B$1:$AB$65000,$B721,S$5)="",2,0)),0)</f>
        <v>0</v>
      </c>
      <c r="T721" s="194">
        <f>IFERROR(IF(INDEX([1]Pivot!$AD$1:$BE$65000,$B721,T$5)=1,1,IF(INDEX([1]Pivot!$B$1:$AB$65000,$B721,T$5)="",2,0)),0)</f>
        <v>0</v>
      </c>
      <c r="U721" s="194">
        <f>IFERROR(IF(INDEX([1]Pivot!$AD$1:$BE$65000,$B721,U$5)=1,1,IF(INDEX([1]Pivot!$B$1:$AB$65000,$B721,U$5)="",2,0)),0)</f>
        <v>0</v>
      </c>
      <c r="V721" s="194">
        <f>IFERROR(IF(INDEX([1]Pivot!$AD$1:$BE$65000,$B721,V$5)=1,1,IF(INDEX([1]Pivot!$B$1:$AB$65000,$B721,V$5)="",2,0)),0)</f>
        <v>0</v>
      </c>
      <c r="W721" s="194">
        <f>IFERROR(IF(INDEX([1]Pivot!$AD$1:$BE$65000,$B721,W$5)=1,1,IF(INDEX([1]Pivot!$B$1:$AB$65000,$B721,W$5)="",2,0)),0)</f>
        <v>0</v>
      </c>
      <c r="X721" s="194">
        <f>IFERROR(IF(INDEX([1]Pivot!$AD$1:$BE$65000,$B721,X$5)=1,1,IF(INDEX([1]Pivot!$B$1:$AB$65000,$B721,X$5)="",2,0)),0)</f>
        <v>0</v>
      </c>
      <c r="Y721" s="194">
        <f>IFERROR(IF(INDEX([1]Pivot!$AD$1:$BE$65000,$B721,Y$5)=1,1,IF(INDEX([1]Pivot!$B$1:$AB$65000,$B721,Y$5)="",2,0)),0)</f>
        <v>0</v>
      </c>
      <c r="Z721" s="194">
        <f>IFERROR(IF(INDEX([1]Pivot!$AD$1:$BE$65000,$B721,Z$5)=1,1,IF(INDEX([1]Pivot!$B$1:$AB$65000,$B721,Z$5)="",2,0)),0)</f>
        <v>0</v>
      </c>
      <c r="AA721" s="194">
        <f>IFERROR(IF(INDEX([1]Pivot!$AD$1:$BE$65000,$B721,AA$5)=1,1,IF(INDEX([1]Pivot!$B$1:$AB$65000,$B721,AA$5)="",2,0)),0)</f>
        <v>0</v>
      </c>
      <c r="AB721" s="194">
        <f>IFERROR(IF(INDEX([1]Pivot!$AD$1:$BE$65000,$B721,AB$5)=1,1,IF(INDEX([1]Pivot!$B$1:$AB$65000,$B721,AB$5)="",2,0)),0)</f>
        <v>0</v>
      </c>
      <c r="AC721" s="194">
        <f>IFERROR(IF(INDEX([1]Pivot!$AD$1:$BE$65000,$B721,AC$5)=1,1,IF(INDEX([1]Pivot!$B$1:$AB$65000,$B721,AC$5)="",2,0)),0)</f>
        <v>0</v>
      </c>
      <c r="AD721" s="313">
        <f>IFERROR(IF(INDEX([1]Pivot!$BF$1:$CG$65000,$B721,AD$5)=1,1,IF(INDEX([1]Pivot!$B$1:$AB$65000,$B721,AD$5)="",2,0)),0)</f>
        <v>0</v>
      </c>
      <c r="AE721" s="313">
        <f>IFERROR(IF(INDEX([1]Pivot!$BF$1:$CG$65000,$B721,AE$5)=1,1,IF(INDEX([1]Pivot!$B$1:$AB$65000,$B721,AE$5)="",2,0)),0)</f>
        <v>0</v>
      </c>
      <c r="AF721" s="313">
        <f>IFERROR(IF(INDEX([1]Pivot!$BF$1:$CG$65000,$B721,AF$5)=1,1,IF(INDEX([1]Pivot!$B$1:$AB$65000,$B721,AF$5)="",2,0)),0)</f>
        <v>0</v>
      </c>
      <c r="AG721" s="313">
        <f>IFERROR(IF(INDEX([1]Pivot!$BF$1:$CG$65000,$B721,AG$5)=1,1,IF(INDEX([1]Pivot!$B$1:$AB$65000,$B721,AG$5)="",2,0)),0)</f>
        <v>0</v>
      </c>
      <c r="AH721" s="313">
        <f>IFERROR(IF(INDEX([1]Pivot!$BF$1:$CG$65000,$B721,AH$5)=1,1,IF(INDEX([1]Pivot!$B$1:$AB$65000,$B721,AH$5)="",2,0)),0)</f>
        <v>0</v>
      </c>
      <c r="AI721" s="313">
        <f>IFERROR(IF(INDEX([1]Pivot!$BF$1:$CG$65000,$B721,AI$5)=1,1,IF(INDEX([1]Pivot!$B$1:$AB$65000,$B721,AI$5)="",2,0)),0)</f>
        <v>0</v>
      </c>
      <c r="AJ721" s="313">
        <f>IFERROR(IF(INDEX([1]Pivot!$BF$1:$CG$65000,$B721,AJ$5)=1,1,IF(INDEX([1]Pivot!$B$1:$AB$65000,$B721,AJ$5)="",2,0)),0)</f>
        <v>0</v>
      </c>
      <c r="AK721" s="313">
        <f>IFERROR(IF(INDEX([1]Pivot!$BF$1:$CG$65000,$B721,AK$5)=1,1,IF(INDEX([1]Pivot!$B$1:$AB$65000,$B721,AK$5)="",2,0)),0)</f>
        <v>0</v>
      </c>
      <c r="AL721" s="313">
        <f>IFERROR(IF(INDEX([1]Pivot!$BF$1:$CG$65000,$B721,AL$5)=1,1,IF(INDEX([1]Pivot!$B$1:$AB$65000,$B721,AL$5)="",2,0)),0)</f>
        <v>0</v>
      </c>
      <c r="AM721" s="313">
        <f>IFERROR(IF(INDEX([1]Pivot!$BF$1:$CG$65000,$B721,AM$5)=1,1,IF(INDEX([1]Pivot!$B$1:$AB$65000,$B721,AM$5)="",2,0)),0)</f>
        <v>0</v>
      </c>
      <c r="AN721" s="313">
        <f>IFERROR(IF(INDEX([1]Pivot!$BF$1:$CG$65000,$B721,AN$5)=1,1,IF(INDEX([1]Pivot!$B$1:$AB$65000,$B721,AN$5)="",2,0)),0)</f>
        <v>0</v>
      </c>
      <c r="AO721" s="313">
        <f>IFERROR(IF(INDEX([1]Pivot!$BF$1:$CG$65000,$B721,AO$5)=1,1,IF(INDEX([1]Pivot!$B$1:$AB$65000,$B721,AO$5)="",2,0)),0)</f>
        <v>0</v>
      </c>
      <c r="AP721" s="313">
        <f>IFERROR(IF(INDEX([1]Pivot!$BF$1:$CG$65000,$B721,AP$5)=1,1,IF(INDEX([1]Pivot!$B$1:$AB$65000,$B721,AP$5)="",2,0)),0)</f>
        <v>0</v>
      </c>
      <c r="AQ721" s="313">
        <f>IFERROR(IF(INDEX([1]Pivot!$BF$1:$CG$65000,$B721,AQ$5)=1,1,IF(INDEX([1]Pivot!$B$1:$AB$65000,$B721,AQ$5)="",2,0)),0)</f>
        <v>0</v>
      </c>
      <c r="AR721" s="313">
        <f>IFERROR(IF(INDEX([1]Pivot!$BF$1:$CG$65000,$B721,AR$5)=1,1,IF(INDEX([1]Pivot!$B$1:$AB$65000,$B721,AR$5)="",2,0)),0)</f>
        <v>0</v>
      </c>
      <c r="AS721" s="312"/>
      <c r="AT721" s="313">
        <f>IFERROR(IF(INDEX([1]Pivot!$BF$1:$CG$65000,$B721,AT$5)=1,1,IF(INDEX([1]Pivot!$B$1:$AB$65000,$B721,AT$5)="",2,0)),0)</f>
        <v>0</v>
      </c>
      <c r="AU721" s="313">
        <f>IFERROR(IF(INDEX([1]Pivot!$BF$1:$CG$65000,$B721,AU$5)=1,1,IF(INDEX([1]Pivot!$B$1:$AB$65000,$B721,AU$5)="",2,0)),0)</f>
        <v>0</v>
      </c>
      <c r="AV721" s="313">
        <f>IFERROR(IF(INDEX([1]Pivot!$BF$1:$CG$65000,$B721,AV$5)=1,1,IF(INDEX([1]Pivot!$B$1:$AB$65000,$B721,AV$5)="",2,0)),0)</f>
        <v>0</v>
      </c>
      <c r="AW721" s="313">
        <f>IFERROR(IF(INDEX([1]Pivot!$BF$1:$CG$65000,$B721,AW$5)=1,1,IF(INDEX([1]Pivot!$B$1:$AB$65000,$B721,AW$5)="",2,0)),0)</f>
        <v>0</v>
      </c>
      <c r="AX721" s="313">
        <f>IFERROR(IF(INDEX([1]Pivot!$BF$1:$CG$65000,$B721,AX$5)=1,1,IF(INDEX([1]Pivot!$B$1:$AB$65000,$B721,AX$5)="",2,0)),0)</f>
        <v>0</v>
      </c>
      <c r="AY721" s="313">
        <f>IFERROR(IF(INDEX([1]Pivot!$BF$1:$CG$65000,$B721,AY$5)=1,1,IF(INDEX([1]Pivot!$B$1:$AB$65000,$B721,AY$5)="",2,0)),0)</f>
        <v>0</v>
      </c>
      <c r="AZ721" s="313">
        <f>IFERROR(IF(INDEX([1]Pivot!$BF$1:$CG$65000,$B721,AZ$5)=1,1,IF(INDEX([1]Pivot!$B$1:$AB$65000,$B721,AZ$5)="",2,0)),0)</f>
        <v>0</v>
      </c>
      <c r="BA721" s="313">
        <f>IFERROR(IF(INDEX([1]Pivot!$BF$1:$CG$65000,$B721,BA$5)=1,1,IF(INDEX([1]Pivot!$B$1:$AB$65000,$B721,BA$5)="",2,0)),0)</f>
        <v>0</v>
      </c>
      <c r="BB721" s="313">
        <f>IFERROR(IF(INDEX([1]Pivot!$BF$1:$CG$65000,$B721,BB$5)=1,1,IF(INDEX([1]Pivot!$B$1:$AB$65000,$B721,BB$5)="",2,0)),0)</f>
        <v>0</v>
      </c>
      <c r="BC721" s="313">
        <f>IFERROR(IF(INDEX([1]Pivot!$BF$1:$CG$65000,$B721,BC$5)=1,1,IF(INDEX([1]Pivot!$B$1:$AB$65000,$B721,BC$5)="",2,0)),0)</f>
        <v>0</v>
      </c>
      <c r="BD721" s="313">
        <f>IFERROR(IF(INDEX([1]Pivot!$BF$1:$CG$65000,$B721,BD$5)=1,1,IF(INDEX([1]Pivot!$B$1:$AB$65000,$B721,BD$5)="",2,0)),0)</f>
        <v>0</v>
      </c>
    </row>
    <row r="722" spans="1:56" x14ac:dyDescent="0.25">
      <c r="A722" s="288">
        <f>'[2]Raw Milk Prices'!A722</f>
        <v>0</v>
      </c>
      <c r="B722" s="296" t="e">
        <f>MATCH(DATE(LEFT('[2]Raw Milk Prices'!$A722,4),RIGHT('[2]Raw Milk Prices'!$A722,2),1),[1]Pivot!$A$1:$A$65000,0)</f>
        <v>#VALUE!</v>
      </c>
      <c r="C722" s="194">
        <f>IFERROR(IF(INDEX([1]Pivot!$AD$1:$BE$65000,$B722,C$5)=1,1,IF(INDEX([1]Pivot!$B$1:$AB$65000,$B722,C$5)="",2,0)),0)</f>
        <v>0</v>
      </c>
      <c r="D722" s="194">
        <f>IFERROR(IF(INDEX([1]Pivot!$AD$1:$BE$65000,$B722,D$5)=1,1,IF(INDEX([1]Pivot!$B$1:$AB$65000,$B722,D$5)="",2,0)),0)</f>
        <v>0</v>
      </c>
      <c r="E722" s="194">
        <f>IFERROR(IF(INDEX([1]Pivot!$AD$1:$BE$65000,$B722,E$5)=1,1,IF(INDEX([1]Pivot!$B$1:$AB$65000,$B722,E$5)="",2,0)),0)</f>
        <v>0</v>
      </c>
      <c r="F722" s="194">
        <f>IFERROR(IF(INDEX([1]Pivot!$AD$1:$BE$65000,$B722,F$5)=1,1,IF(INDEX([1]Pivot!$B$1:$AB$65000,$B722,F$5)="",2,0)),0)</f>
        <v>0</v>
      </c>
      <c r="G722" s="194">
        <f>IFERROR(IF(INDEX([1]Pivot!$AD$1:$BE$65000,$B722,G$5)=1,1,IF(INDEX([1]Pivot!$B$1:$AB$65000,$B722,G$5)="",2,0)),0)</f>
        <v>0</v>
      </c>
      <c r="H722" s="194">
        <f>IFERROR(IF(INDEX([1]Pivot!$AD$1:$BE$65000,$B722,H$5)=1,1,IF(INDEX([1]Pivot!$B$1:$AB$65000,$B722,H$5)="",2,0)),0)</f>
        <v>0</v>
      </c>
      <c r="I722" s="194">
        <f>IFERROR(IF(INDEX([1]Pivot!$AD$1:$BE$65000,$B722,I$5)=1,1,IF(INDEX([1]Pivot!$B$1:$AB$65000,$B722,I$5)="",2,0)),0)</f>
        <v>0</v>
      </c>
      <c r="J722" s="194">
        <f>IFERROR(IF(INDEX([1]Pivot!$AD$1:$BE$65000,$B722,J$5)=1,1,IF(INDEX([1]Pivot!$B$1:$AB$65000,$B722,J$5)="",2,0)),0)</f>
        <v>0</v>
      </c>
      <c r="K722" s="194">
        <f>IFERROR(IF(INDEX([1]Pivot!$AD$1:$BE$65000,$B722,K$5)=1,1,IF(INDEX([1]Pivot!$B$1:$AB$65000,$B722,K$5)="",2,0)),0)</f>
        <v>0</v>
      </c>
      <c r="L722" s="194">
        <f>IFERROR(IF(INDEX([1]Pivot!$AD$1:$BE$65000,$B722,L$5)=1,1,IF(INDEX([1]Pivot!$B$1:$AB$65000,$B722,L$5)="",2,0)),0)</f>
        <v>0</v>
      </c>
      <c r="M722" s="194">
        <f>IFERROR(IF(INDEX([1]Pivot!$AD$1:$BE$65000,$B722,M$5)=1,1,IF(INDEX([1]Pivot!$B$1:$AB$65000,$B722,M$5)="",2,0)),0)</f>
        <v>0</v>
      </c>
      <c r="N722" s="194">
        <f>IFERROR(IF(INDEX([1]Pivot!$AD$1:$BE$65000,$B722,N$5)=1,1,IF(INDEX([1]Pivot!$B$1:$AB$65000,$B722,N$5)="",2,0)),0)</f>
        <v>0</v>
      </c>
      <c r="O722" s="194">
        <f>IFERROR(IF(INDEX([1]Pivot!$AD$1:$BE$65000,$B722,O$5)=1,1,IF(INDEX([1]Pivot!$B$1:$AB$65000,$B722,O$5)="",2,0)),0)</f>
        <v>0</v>
      </c>
      <c r="P722" s="194">
        <f>IFERROR(IF(INDEX([1]Pivot!$AD$1:$BE$65000,$B722,P$5)=1,1,IF(INDEX([1]Pivot!$B$1:$AB$65000,$B722,P$5)="",2,0)),0)</f>
        <v>0</v>
      </c>
      <c r="Q722" s="194">
        <f>IFERROR(IF(INDEX([1]Pivot!$AD$1:$BE$65000,$B722,Q$5)=1,1,IF(INDEX([1]Pivot!$B$1:$AB$65000,$B722,Q$5)="",2,0)),0)</f>
        <v>0</v>
      </c>
      <c r="R722" s="312"/>
      <c r="S722" s="194">
        <f>IFERROR(IF(INDEX([1]Pivot!$AD$1:$BE$65000,$B722,S$5)=1,1,IF(INDEX([1]Pivot!$B$1:$AB$65000,$B722,S$5)="",2,0)),0)</f>
        <v>0</v>
      </c>
      <c r="T722" s="194">
        <f>IFERROR(IF(INDEX([1]Pivot!$AD$1:$BE$65000,$B722,T$5)=1,1,IF(INDEX([1]Pivot!$B$1:$AB$65000,$B722,T$5)="",2,0)),0)</f>
        <v>0</v>
      </c>
      <c r="U722" s="194">
        <f>IFERROR(IF(INDEX([1]Pivot!$AD$1:$BE$65000,$B722,U$5)=1,1,IF(INDEX([1]Pivot!$B$1:$AB$65000,$B722,U$5)="",2,0)),0)</f>
        <v>0</v>
      </c>
      <c r="V722" s="194">
        <f>IFERROR(IF(INDEX([1]Pivot!$AD$1:$BE$65000,$B722,V$5)=1,1,IF(INDEX([1]Pivot!$B$1:$AB$65000,$B722,V$5)="",2,0)),0)</f>
        <v>0</v>
      </c>
      <c r="W722" s="194">
        <f>IFERROR(IF(INDEX([1]Pivot!$AD$1:$BE$65000,$B722,W$5)=1,1,IF(INDEX([1]Pivot!$B$1:$AB$65000,$B722,W$5)="",2,0)),0)</f>
        <v>0</v>
      </c>
      <c r="X722" s="194">
        <f>IFERROR(IF(INDEX([1]Pivot!$AD$1:$BE$65000,$B722,X$5)=1,1,IF(INDEX([1]Pivot!$B$1:$AB$65000,$B722,X$5)="",2,0)),0)</f>
        <v>0</v>
      </c>
      <c r="Y722" s="194">
        <f>IFERROR(IF(INDEX([1]Pivot!$AD$1:$BE$65000,$B722,Y$5)=1,1,IF(INDEX([1]Pivot!$B$1:$AB$65000,$B722,Y$5)="",2,0)),0)</f>
        <v>0</v>
      </c>
      <c r="Z722" s="194">
        <f>IFERROR(IF(INDEX([1]Pivot!$AD$1:$BE$65000,$B722,Z$5)=1,1,IF(INDEX([1]Pivot!$B$1:$AB$65000,$B722,Z$5)="",2,0)),0)</f>
        <v>0</v>
      </c>
      <c r="AA722" s="194">
        <f>IFERROR(IF(INDEX([1]Pivot!$AD$1:$BE$65000,$B722,AA$5)=1,1,IF(INDEX([1]Pivot!$B$1:$AB$65000,$B722,AA$5)="",2,0)),0)</f>
        <v>0</v>
      </c>
      <c r="AB722" s="194">
        <f>IFERROR(IF(INDEX([1]Pivot!$AD$1:$BE$65000,$B722,AB$5)=1,1,IF(INDEX([1]Pivot!$B$1:$AB$65000,$B722,AB$5)="",2,0)),0)</f>
        <v>0</v>
      </c>
      <c r="AC722" s="194">
        <f>IFERROR(IF(INDEX([1]Pivot!$AD$1:$BE$65000,$B722,AC$5)=1,1,IF(INDEX([1]Pivot!$B$1:$AB$65000,$B722,AC$5)="",2,0)),0)</f>
        <v>0</v>
      </c>
      <c r="AD722" s="313">
        <f>IFERROR(IF(INDEX([1]Pivot!$BF$1:$CG$65000,$B722,AD$5)=1,1,IF(INDEX([1]Pivot!$B$1:$AB$65000,$B722,AD$5)="",2,0)),0)</f>
        <v>0</v>
      </c>
      <c r="AE722" s="313">
        <f>IFERROR(IF(INDEX([1]Pivot!$BF$1:$CG$65000,$B722,AE$5)=1,1,IF(INDEX([1]Pivot!$B$1:$AB$65000,$B722,AE$5)="",2,0)),0)</f>
        <v>0</v>
      </c>
      <c r="AF722" s="313">
        <f>IFERROR(IF(INDEX([1]Pivot!$BF$1:$CG$65000,$B722,AF$5)=1,1,IF(INDEX([1]Pivot!$B$1:$AB$65000,$B722,AF$5)="",2,0)),0)</f>
        <v>0</v>
      </c>
      <c r="AG722" s="313">
        <f>IFERROR(IF(INDEX([1]Pivot!$BF$1:$CG$65000,$B722,AG$5)=1,1,IF(INDEX([1]Pivot!$B$1:$AB$65000,$B722,AG$5)="",2,0)),0)</f>
        <v>0</v>
      </c>
      <c r="AH722" s="313">
        <f>IFERROR(IF(INDEX([1]Pivot!$BF$1:$CG$65000,$B722,AH$5)=1,1,IF(INDEX([1]Pivot!$B$1:$AB$65000,$B722,AH$5)="",2,0)),0)</f>
        <v>0</v>
      </c>
      <c r="AI722" s="313">
        <f>IFERROR(IF(INDEX([1]Pivot!$BF$1:$CG$65000,$B722,AI$5)=1,1,IF(INDEX([1]Pivot!$B$1:$AB$65000,$B722,AI$5)="",2,0)),0)</f>
        <v>0</v>
      </c>
      <c r="AJ722" s="313">
        <f>IFERROR(IF(INDEX([1]Pivot!$BF$1:$CG$65000,$B722,AJ$5)=1,1,IF(INDEX([1]Pivot!$B$1:$AB$65000,$B722,AJ$5)="",2,0)),0)</f>
        <v>0</v>
      </c>
      <c r="AK722" s="313">
        <f>IFERROR(IF(INDEX([1]Pivot!$BF$1:$CG$65000,$B722,AK$5)=1,1,IF(INDEX([1]Pivot!$B$1:$AB$65000,$B722,AK$5)="",2,0)),0)</f>
        <v>0</v>
      </c>
      <c r="AL722" s="313">
        <f>IFERROR(IF(INDEX([1]Pivot!$BF$1:$CG$65000,$B722,AL$5)=1,1,IF(INDEX([1]Pivot!$B$1:$AB$65000,$B722,AL$5)="",2,0)),0)</f>
        <v>0</v>
      </c>
      <c r="AM722" s="313">
        <f>IFERROR(IF(INDEX([1]Pivot!$BF$1:$CG$65000,$B722,AM$5)=1,1,IF(INDEX([1]Pivot!$B$1:$AB$65000,$B722,AM$5)="",2,0)),0)</f>
        <v>0</v>
      </c>
      <c r="AN722" s="313">
        <f>IFERROR(IF(INDEX([1]Pivot!$BF$1:$CG$65000,$B722,AN$5)=1,1,IF(INDEX([1]Pivot!$B$1:$AB$65000,$B722,AN$5)="",2,0)),0)</f>
        <v>0</v>
      </c>
      <c r="AO722" s="313">
        <f>IFERROR(IF(INDEX([1]Pivot!$BF$1:$CG$65000,$B722,AO$5)=1,1,IF(INDEX([1]Pivot!$B$1:$AB$65000,$B722,AO$5)="",2,0)),0)</f>
        <v>0</v>
      </c>
      <c r="AP722" s="313">
        <f>IFERROR(IF(INDEX([1]Pivot!$BF$1:$CG$65000,$B722,AP$5)=1,1,IF(INDEX([1]Pivot!$B$1:$AB$65000,$B722,AP$5)="",2,0)),0)</f>
        <v>0</v>
      </c>
      <c r="AQ722" s="313">
        <f>IFERROR(IF(INDEX([1]Pivot!$BF$1:$CG$65000,$B722,AQ$5)=1,1,IF(INDEX([1]Pivot!$B$1:$AB$65000,$B722,AQ$5)="",2,0)),0)</f>
        <v>0</v>
      </c>
      <c r="AR722" s="313">
        <f>IFERROR(IF(INDEX([1]Pivot!$BF$1:$CG$65000,$B722,AR$5)=1,1,IF(INDEX([1]Pivot!$B$1:$AB$65000,$B722,AR$5)="",2,0)),0)</f>
        <v>0</v>
      </c>
      <c r="AS722" s="312"/>
      <c r="AT722" s="313">
        <f>IFERROR(IF(INDEX([1]Pivot!$BF$1:$CG$65000,$B722,AT$5)=1,1,IF(INDEX([1]Pivot!$B$1:$AB$65000,$B722,AT$5)="",2,0)),0)</f>
        <v>0</v>
      </c>
      <c r="AU722" s="313">
        <f>IFERROR(IF(INDEX([1]Pivot!$BF$1:$CG$65000,$B722,AU$5)=1,1,IF(INDEX([1]Pivot!$B$1:$AB$65000,$B722,AU$5)="",2,0)),0)</f>
        <v>0</v>
      </c>
      <c r="AV722" s="313">
        <f>IFERROR(IF(INDEX([1]Pivot!$BF$1:$CG$65000,$B722,AV$5)=1,1,IF(INDEX([1]Pivot!$B$1:$AB$65000,$B722,AV$5)="",2,0)),0)</f>
        <v>0</v>
      </c>
      <c r="AW722" s="313">
        <f>IFERROR(IF(INDEX([1]Pivot!$BF$1:$CG$65000,$B722,AW$5)=1,1,IF(INDEX([1]Pivot!$B$1:$AB$65000,$B722,AW$5)="",2,0)),0)</f>
        <v>0</v>
      </c>
      <c r="AX722" s="313">
        <f>IFERROR(IF(INDEX([1]Pivot!$BF$1:$CG$65000,$B722,AX$5)=1,1,IF(INDEX([1]Pivot!$B$1:$AB$65000,$B722,AX$5)="",2,0)),0)</f>
        <v>0</v>
      </c>
      <c r="AY722" s="313">
        <f>IFERROR(IF(INDEX([1]Pivot!$BF$1:$CG$65000,$B722,AY$5)=1,1,IF(INDEX([1]Pivot!$B$1:$AB$65000,$B722,AY$5)="",2,0)),0)</f>
        <v>0</v>
      </c>
      <c r="AZ722" s="313">
        <f>IFERROR(IF(INDEX([1]Pivot!$BF$1:$CG$65000,$B722,AZ$5)=1,1,IF(INDEX([1]Pivot!$B$1:$AB$65000,$B722,AZ$5)="",2,0)),0)</f>
        <v>0</v>
      </c>
      <c r="BA722" s="313">
        <f>IFERROR(IF(INDEX([1]Pivot!$BF$1:$CG$65000,$B722,BA$5)=1,1,IF(INDEX([1]Pivot!$B$1:$AB$65000,$B722,BA$5)="",2,0)),0)</f>
        <v>0</v>
      </c>
      <c r="BB722" s="313">
        <f>IFERROR(IF(INDEX([1]Pivot!$BF$1:$CG$65000,$B722,BB$5)=1,1,IF(INDEX([1]Pivot!$B$1:$AB$65000,$B722,BB$5)="",2,0)),0)</f>
        <v>0</v>
      </c>
      <c r="BC722" s="313">
        <f>IFERROR(IF(INDEX([1]Pivot!$BF$1:$CG$65000,$B722,BC$5)=1,1,IF(INDEX([1]Pivot!$B$1:$AB$65000,$B722,BC$5)="",2,0)),0)</f>
        <v>0</v>
      </c>
      <c r="BD722" s="313">
        <f>IFERROR(IF(INDEX([1]Pivot!$BF$1:$CG$65000,$B722,BD$5)=1,1,IF(INDEX([1]Pivot!$B$1:$AB$65000,$B722,BD$5)="",2,0)),0)</f>
        <v>0</v>
      </c>
    </row>
    <row r="723" spans="1:56" x14ac:dyDescent="0.25">
      <c r="A723" s="288">
        <f>'[2]Raw Milk Prices'!A723</f>
        <v>0</v>
      </c>
      <c r="B723" s="296" t="e">
        <f>MATCH(DATE(LEFT('[2]Raw Milk Prices'!$A723,4),RIGHT('[2]Raw Milk Prices'!$A723,2),1),[1]Pivot!$A$1:$A$65000,0)</f>
        <v>#VALUE!</v>
      </c>
      <c r="C723" s="194">
        <f>IFERROR(IF(INDEX([1]Pivot!$AD$1:$BE$65000,$B723,C$5)=1,1,IF(INDEX([1]Pivot!$B$1:$AB$65000,$B723,C$5)="",2,0)),0)</f>
        <v>0</v>
      </c>
      <c r="D723" s="194">
        <f>IFERROR(IF(INDEX([1]Pivot!$AD$1:$BE$65000,$B723,D$5)=1,1,IF(INDEX([1]Pivot!$B$1:$AB$65000,$B723,D$5)="",2,0)),0)</f>
        <v>0</v>
      </c>
      <c r="E723" s="194">
        <f>IFERROR(IF(INDEX([1]Pivot!$AD$1:$BE$65000,$B723,E$5)=1,1,IF(INDEX([1]Pivot!$B$1:$AB$65000,$B723,E$5)="",2,0)),0)</f>
        <v>0</v>
      </c>
      <c r="F723" s="194">
        <f>IFERROR(IF(INDEX([1]Pivot!$AD$1:$BE$65000,$B723,F$5)=1,1,IF(INDEX([1]Pivot!$B$1:$AB$65000,$B723,F$5)="",2,0)),0)</f>
        <v>0</v>
      </c>
      <c r="G723" s="194">
        <f>IFERROR(IF(INDEX([1]Pivot!$AD$1:$BE$65000,$B723,G$5)=1,1,IF(INDEX([1]Pivot!$B$1:$AB$65000,$B723,G$5)="",2,0)),0)</f>
        <v>0</v>
      </c>
      <c r="H723" s="194">
        <f>IFERROR(IF(INDEX([1]Pivot!$AD$1:$BE$65000,$B723,H$5)=1,1,IF(INDEX([1]Pivot!$B$1:$AB$65000,$B723,H$5)="",2,0)),0)</f>
        <v>0</v>
      </c>
      <c r="I723" s="194">
        <f>IFERROR(IF(INDEX([1]Pivot!$AD$1:$BE$65000,$B723,I$5)=1,1,IF(INDEX([1]Pivot!$B$1:$AB$65000,$B723,I$5)="",2,0)),0)</f>
        <v>0</v>
      </c>
      <c r="J723" s="194">
        <f>IFERROR(IF(INDEX([1]Pivot!$AD$1:$BE$65000,$B723,J$5)=1,1,IF(INDEX([1]Pivot!$B$1:$AB$65000,$B723,J$5)="",2,0)),0)</f>
        <v>0</v>
      </c>
      <c r="K723" s="194">
        <f>IFERROR(IF(INDEX([1]Pivot!$AD$1:$BE$65000,$B723,K$5)=1,1,IF(INDEX([1]Pivot!$B$1:$AB$65000,$B723,K$5)="",2,0)),0)</f>
        <v>0</v>
      </c>
      <c r="L723" s="194">
        <f>IFERROR(IF(INDEX([1]Pivot!$AD$1:$BE$65000,$B723,L$5)=1,1,IF(INDEX([1]Pivot!$B$1:$AB$65000,$B723,L$5)="",2,0)),0)</f>
        <v>0</v>
      </c>
      <c r="M723" s="194">
        <f>IFERROR(IF(INDEX([1]Pivot!$AD$1:$BE$65000,$B723,M$5)=1,1,IF(INDEX([1]Pivot!$B$1:$AB$65000,$B723,M$5)="",2,0)),0)</f>
        <v>0</v>
      </c>
      <c r="N723" s="194">
        <f>IFERROR(IF(INDEX([1]Pivot!$AD$1:$BE$65000,$B723,N$5)=1,1,IF(INDEX([1]Pivot!$B$1:$AB$65000,$B723,N$5)="",2,0)),0)</f>
        <v>0</v>
      </c>
      <c r="O723" s="194">
        <f>IFERROR(IF(INDEX([1]Pivot!$AD$1:$BE$65000,$B723,O$5)=1,1,IF(INDEX([1]Pivot!$B$1:$AB$65000,$B723,O$5)="",2,0)),0)</f>
        <v>0</v>
      </c>
      <c r="P723" s="194">
        <f>IFERROR(IF(INDEX([1]Pivot!$AD$1:$BE$65000,$B723,P$5)=1,1,IF(INDEX([1]Pivot!$B$1:$AB$65000,$B723,P$5)="",2,0)),0)</f>
        <v>0</v>
      </c>
      <c r="Q723" s="194">
        <f>IFERROR(IF(INDEX([1]Pivot!$AD$1:$BE$65000,$B723,Q$5)=1,1,IF(INDEX([1]Pivot!$B$1:$AB$65000,$B723,Q$5)="",2,0)),0)</f>
        <v>0</v>
      </c>
      <c r="R723" s="312"/>
      <c r="S723" s="194">
        <f>IFERROR(IF(INDEX([1]Pivot!$AD$1:$BE$65000,$B723,S$5)=1,1,IF(INDEX([1]Pivot!$B$1:$AB$65000,$B723,S$5)="",2,0)),0)</f>
        <v>0</v>
      </c>
      <c r="T723" s="194">
        <f>IFERROR(IF(INDEX([1]Pivot!$AD$1:$BE$65000,$B723,T$5)=1,1,IF(INDEX([1]Pivot!$B$1:$AB$65000,$B723,T$5)="",2,0)),0)</f>
        <v>0</v>
      </c>
      <c r="U723" s="194">
        <f>IFERROR(IF(INDEX([1]Pivot!$AD$1:$BE$65000,$B723,U$5)=1,1,IF(INDEX([1]Pivot!$B$1:$AB$65000,$B723,U$5)="",2,0)),0)</f>
        <v>0</v>
      </c>
      <c r="V723" s="194">
        <f>IFERROR(IF(INDEX([1]Pivot!$AD$1:$BE$65000,$B723,V$5)=1,1,IF(INDEX([1]Pivot!$B$1:$AB$65000,$B723,V$5)="",2,0)),0)</f>
        <v>0</v>
      </c>
      <c r="W723" s="194">
        <f>IFERROR(IF(INDEX([1]Pivot!$AD$1:$BE$65000,$B723,W$5)=1,1,IF(INDEX([1]Pivot!$B$1:$AB$65000,$B723,W$5)="",2,0)),0)</f>
        <v>0</v>
      </c>
      <c r="X723" s="194">
        <f>IFERROR(IF(INDEX([1]Pivot!$AD$1:$BE$65000,$B723,X$5)=1,1,IF(INDEX([1]Pivot!$B$1:$AB$65000,$B723,X$5)="",2,0)),0)</f>
        <v>0</v>
      </c>
      <c r="Y723" s="194">
        <f>IFERROR(IF(INDEX([1]Pivot!$AD$1:$BE$65000,$B723,Y$5)=1,1,IF(INDEX([1]Pivot!$B$1:$AB$65000,$B723,Y$5)="",2,0)),0)</f>
        <v>0</v>
      </c>
      <c r="Z723" s="194">
        <f>IFERROR(IF(INDEX([1]Pivot!$AD$1:$BE$65000,$B723,Z$5)=1,1,IF(INDEX([1]Pivot!$B$1:$AB$65000,$B723,Z$5)="",2,0)),0)</f>
        <v>0</v>
      </c>
      <c r="AA723" s="194">
        <f>IFERROR(IF(INDEX([1]Pivot!$AD$1:$BE$65000,$B723,AA$5)=1,1,IF(INDEX([1]Pivot!$B$1:$AB$65000,$B723,AA$5)="",2,0)),0)</f>
        <v>0</v>
      </c>
      <c r="AB723" s="194">
        <f>IFERROR(IF(INDEX([1]Pivot!$AD$1:$BE$65000,$B723,AB$5)=1,1,IF(INDEX([1]Pivot!$B$1:$AB$65000,$B723,AB$5)="",2,0)),0)</f>
        <v>0</v>
      </c>
      <c r="AC723" s="194">
        <f>IFERROR(IF(INDEX([1]Pivot!$AD$1:$BE$65000,$B723,AC$5)=1,1,IF(INDEX([1]Pivot!$B$1:$AB$65000,$B723,AC$5)="",2,0)),0)</f>
        <v>0</v>
      </c>
      <c r="AD723" s="313">
        <f>IFERROR(IF(INDEX([1]Pivot!$BF$1:$CG$65000,$B723,AD$5)=1,1,IF(INDEX([1]Pivot!$B$1:$AB$65000,$B723,AD$5)="",2,0)),0)</f>
        <v>0</v>
      </c>
      <c r="AE723" s="313">
        <f>IFERROR(IF(INDEX([1]Pivot!$BF$1:$CG$65000,$B723,AE$5)=1,1,IF(INDEX([1]Pivot!$B$1:$AB$65000,$B723,AE$5)="",2,0)),0)</f>
        <v>0</v>
      </c>
      <c r="AF723" s="313">
        <f>IFERROR(IF(INDEX([1]Pivot!$BF$1:$CG$65000,$B723,AF$5)=1,1,IF(INDEX([1]Pivot!$B$1:$AB$65000,$B723,AF$5)="",2,0)),0)</f>
        <v>0</v>
      </c>
      <c r="AG723" s="313">
        <f>IFERROR(IF(INDEX([1]Pivot!$BF$1:$CG$65000,$B723,AG$5)=1,1,IF(INDEX([1]Pivot!$B$1:$AB$65000,$B723,AG$5)="",2,0)),0)</f>
        <v>0</v>
      </c>
      <c r="AH723" s="313">
        <f>IFERROR(IF(INDEX([1]Pivot!$BF$1:$CG$65000,$B723,AH$5)=1,1,IF(INDEX([1]Pivot!$B$1:$AB$65000,$B723,AH$5)="",2,0)),0)</f>
        <v>0</v>
      </c>
      <c r="AI723" s="313">
        <f>IFERROR(IF(INDEX([1]Pivot!$BF$1:$CG$65000,$B723,AI$5)=1,1,IF(INDEX([1]Pivot!$B$1:$AB$65000,$B723,AI$5)="",2,0)),0)</f>
        <v>0</v>
      </c>
      <c r="AJ723" s="313">
        <f>IFERROR(IF(INDEX([1]Pivot!$BF$1:$CG$65000,$B723,AJ$5)=1,1,IF(INDEX([1]Pivot!$B$1:$AB$65000,$B723,AJ$5)="",2,0)),0)</f>
        <v>0</v>
      </c>
      <c r="AK723" s="313">
        <f>IFERROR(IF(INDEX([1]Pivot!$BF$1:$CG$65000,$B723,AK$5)=1,1,IF(INDEX([1]Pivot!$B$1:$AB$65000,$B723,AK$5)="",2,0)),0)</f>
        <v>0</v>
      </c>
      <c r="AL723" s="313">
        <f>IFERROR(IF(INDEX([1]Pivot!$BF$1:$CG$65000,$B723,AL$5)=1,1,IF(INDEX([1]Pivot!$B$1:$AB$65000,$B723,AL$5)="",2,0)),0)</f>
        <v>0</v>
      </c>
      <c r="AM723" s="313">
        <f>IFERROR(IF(INDEX([1]Pivot!$BF$1:$CG$65000,$B723,AM$5)=1,1,IF(INDEX([1]Pivot!$B$1:$AB$65000,$B723,AM$5)="",2,0)),0)</f>
        <v>0</v>
      </c>
      <c r="AN723" s="313">
        <f>IFERROR(IF(INDEX([1]Pivot!$BF$1:$CG$65000,$B723,AN$5)=1,1,IF(INDEX([1]Pivot!$B$1:$AB$65000,$B723,AN$5)="",2,0)),0)</f>
        <v>0</v>
      </c>
      <c r="AO723" s="313">
        <f>IFERROR(IF(INDEX([1]Pivot!$BF$1:$CG$65000,$B723,AO$5)=1,1,IF(INDEX([1]Pivot!$B$1:$AB$65000,$B723,AO$5)="",2,0)),0)</f>
        <v>0</v>
      </c>
      <c r="AP723" s="313">
        <f>IFERROR(IF(INDEX([1]Pivot!$BF$1:$CG$65000,$B723,AP$5)=1,1,IF(INDEX([1]Pivot!$B$1:$AB$65000,$B723,AP$5)="",2,0)),0)</f>
        <v>0</v>
      </c>
      <c r="AQ723" s="313">
        <f>IFERROR(IF(INDEX([1]Pivot!$BF$1:$CG$65000,$B723,AQ$5)=1,1,IF(INDEX([1]Pivot!$B$1:$AB$65000,$B723,AQ$5)="",2,0)),0)</f>
        <v>0</v>
      </c>
      <c r="AR723" s="313">
        <f>IFERROR(IF(INDEX([1]Pivot!$BF$1:$CG$65000,$B723,AR$5)=1,1,IF(INDEX([1]Pivot!$B$1:$AB$65000,$B723,AR$5)="",2,0)),0)</f>
        <v>0</v>
      </c>
      <c r="AS723" s="312"/>
      <c r="AT723" s="313">
        <f>IFERROR(IF(INDEX([1]Pivot!$BF$1:$CG$65000,$B723,AT$5)=1,1,IF(INDEX([1]Pivot!$B$1:$AB$65000,$B723,AT$5)="",2,0)),0)</f>
        <v>0</v>
      </c>
      <c r="AU723" s="313">
        <f>IFERROR(IF(INDEX([1]Pivot!$BF$1:$CG$65000,$B723,AU$5)=1,1,IF(INDEX([1]Pivot!$B$1:$AB$65000,$B723,AU$5)="",2,0)),0)</f>
        <v>0</v>
      </c>
      <c r="AV723" s="313">
        <f>IFERROR(IF(INDEX([1]Pivot!$BF$1:$CG$65000,$B723,AV$5)=1,1,IF(INDEX([1]Pivot!$B$1:$AB$65000,$B723,AV$5)="",2,0)),0)</f>
        <v>0</v>
      </c>
      <c r="AW723" s="313">
        <f>IFERROR(IF(INDEX([1]Pivot!$BF$1:$CG$65000,$B723,AW$5)=1,1,IF(INDEX([1]Pivot!$B$1:$AB$65000,$B723,AW$5)="",2,0)),0)</f>
        <v>0</v>
      </c>
      <c r="AX723" s="313">
        <f>IFERROR(IF(INDEX([1]Pivot!$BF$1:$CG$65000,$B723,AX$5)=1,1,IF(INDEX([1]Pivot!$B$1:$AB$65000,$B723,AX$5)="",2,0)),0)</f>
        <v>0</v>
      </c>
      <c r="AY723" s="313">
        <f>IFERROR(IF(INDEX([1]Pivot!$BF$1:$CG$65000,$B723,AY$5)=1,1,IF(INDEX([1]Pivot!$B$1:$AB$65000,$B723,AY$5)="",2,0)),0)</f>
        <v>0</v>
      </c>
      <c r="AZ723" s="313">
        <f>IFERROR(IF(INDEX([1]Pivot!$BF$1:$CG$65000,$B723,AZ$5)=1,1,IF(INDEX([1]Pivot!$B$1:$AB$65000,$B723,AZ$5)="",2,0)),0)</f>
        <v>0</v>
      </c>
      <c r="BA723" s="313">
        <f>IFERROR(IF(INDEX([1]Pivot!$BF$1:$CG$65000,$B723,BA$5)=1,1,IF(INDEX([1]Pivot!$B$1:$AB$65000,$B723,BA$5)="",2,0)),0)</f>
        <v>0</v>
      </c>
      <c r="BB723" s="313">
        <f>IFERROR(IF(INDEX([1]Pivot!$BF$1:$CG$65000,$B723,BB$5)=1,1,IF(INDEX([1]Pivot!$B$1:$AB$65000,$B723,BB$5)="",2,0)),0)</f>
        <v>0</v>
      </c>
      <c r="BC723" s="313">
        <f>IFERROR(IF(INDEX([1]Pivot!$BF$1:$CG$65000,$B723,BC$5)=1,1,IF(INDEX([1]Pivot!$B$1:$AB$65000,$B723,BC$5)="",2,0)),0)</f>
        <v>0</v>
      </c>
      <c r="BD723" s="313">
        <f>IFERROR(IF(INDEX([1]Pivot!$BF$1:$CG$65000,$B723,BD$5)=1,1,IF(INDEX([1]Pivot!$B$1:$AB$65000,$B723,BD$5)="",2,0)),0)</f>
        <v>0</v>
      </c>
    </row>
    <row r="724" spans="1:56" x14ac:dyDescent="0.25">
      <c r="A724" s="288">
        <f>'[2]Raw Milk Prices'!A724</f>
        <v>0</v>
      </c>
      <c r="B724" s="296" t="e">
        <f>MATCH(DATE(LEFT('[2]Raw Milk Prices'!$A724,4),RIGHT('[2]Raw Milk Prices'!$A724,2),1),[1]Pivot!$A$1:$A$65000,0)</f>
        <v>#VALUE!</v>
      </c>
      <c r="C724" s="194">
        <f>IFERROR(IF(INDEX([1]Pivot!$AD$1:$BE$65000,$B724,C$5)=1,1,IF(INDEX([1]Pivot!$B$1:$AB$65000,$B724,C$5)="",2,0)),0)</f>
        <v>0</v>
      </c>
      <c r="D724" s="194">
        <f>IFERROR(IF(INDEX([1]Pivot!$AD$1:$BE$65000,$B724,D$5)=1,1,IF(INDEX([1]Pivot!$B$1:$AB$65000,$B724,D$5)="",2,0)),0)</f>
        <v>0</v>
      </c>
      <c r="E724" s="194">
        <f>IFERROR(IF(INDEX([1]Pivot!$AD$1:$BE$65000,$B724,E$5)=1,1,IF(INDEX([1]Pivot!$B$1:$AB$65000,$B724,E$5)="",2,0)),0)</f>
        <v>0</v>
      </c>
      <c r="F724" s="194">
        <f>IFERROR(IF(INDEX([1]Pivot!$AD$1:$BE$65000,$B724,F$5)=1,1,IF(INDEX([1]Pivot!$B$1:$AB$65000,$B724,F$5)="",2,0)),0)</f>
        <v>0</v>
      </c>
      <c r="G724" s="194">
        <f>IFERROR(IF(INDEX([1]Pivot!$AD$1:$BE$65000,$B724,G$5)=1,1,IF(INDEX([1]Pivot!$B$1:$AB$65000,$B724,G$5)="",2,0)),0)</f>
        <v>0</v>
      </c>
      <c r="H724" s="194">
        <f>IFERROR(IF(INDEX([1]Pivot!$AD$1:$BE$65000,$B724,H$5)=1,1,IF(INDEX([1]Pivot!$B$1:$AB$65000,$B724,H$5)="",2,0)),0)</f>
        <v>0</v>
      </c>
      <c r="I724" s="194">
        <f>IFERROR(IF(INDEX([1]Pivot!$AD$1:$BE$65000,$B724,I$5)=1,1,IF(INDEX([1]Pivot!$B$1:$AB$65000,$B724,I$5)="",2,0)),0)</f>
        <v>0</v>
      </c>
      <c r="J724" s="194">
        <f>IFERROR(IF(INDEX([1]Pivot!$AD$1:$BE$65000,$B724,J$5)=1,1,IF(INDEX([1]Pivot!$B$1:$AB$65000,$B724,J$5)="",2,0)),0)</f>
        <v>0</v>
      </c>
      <c r="K724" s="194">
        <f>IFERROR(IF(INDEX([1]Pivot!$AD$1:$BE$65000,$B724,K$5)=1,1,IF(INDEX([1]Pivot!$B$1:$AB$65000,$B724,K$5)="",2,0)),0)</f>
        <v>0</v>
      </c>
      <c r="L724" s="194">
        <f>IFERROR(IF(INDEX([1]Pivot!$AD$1:$BE$65000,$B724,L$5)=1,1,IF(INDEX([1]Pivot!$B$1:$AB$65000,$B724,L$5)="",2,0)),0)</f>
        <v>0</v>
      </c>
      <c r="M724" s="194">
        <f>IFERROR(IF(INDEX([1]Pivot!$AD$1:$BE$65000,$B724,M$5)=1,1,IF(INDEX([1]Pivot!$B$1:$AB$65000,$B724,M$5)="",2,0)),0)</f>
        <v>0</v>
      </c>
      <c r="N724" s="194">
        <f>IFERROR(IF(INDEX([1]Pivot!$AD$1:$BE$65000,$B724,N$5)=1,1,IF(INDEX([1]Pivot!$B$1:$AB$65000,$B724,N$5)="",2,0)),0)</f>
        <v>0</v>
      </c>
      <c r="O724" s="194">
        <f>IFERROR(IF(INDEX([1]Pivot!$AD$1:$BE$65000,$B724,O$5)=1,1,IF(INDEX([1]Pivot!$B$1:$AB$65000,$B724,O$5)="",2,0)),0)</f>
        <v>0</v>
      </c>
      <c r="P724" s="194">
        <f>IFERROR(IF(INDEX([1]Pivot!$AD$1:$BE$65000,$B724,P$5)=1,1,IF(INDEX([1]Pivot!$B$1:$AB$65000,$B724,P$5)="",2,0)),0)</f>
        <v>0</v>
      </c>
      <c r="Q724" s="194">
        <f>IFERROR(IF(INDEX([1]Pivot!$AD$1:$BE$65000,$B724,Q$5)=1,1,IF(INDEX([1]Pivot!$B$1:$AB$65000,$B724,Q$5)="",2,0)),0)</f>
        <v>0</v>
      </c>
      <c r="R724" s="312"/>
      <c r="S724" s="194">
        <f>IFERROR(IF(INDEX([1]Pivot!$AD$1:$BE$65000,$B724,S$5)=1,1,IF(INDEX([1]Pivot!$B$1:$AB$65000,$B724,S$5)="",2,0)),0)</f>
        <v>0</v>
      </c>
      <c r="T724" s="194">
        <f>IFERROR(IF(INDEX([1]Pivot!$AD$1:$BE$65000,$B724,T$5)=1,1,IF(INDEX([1]Pivot!$B$1:$AB$65000,$B724,T$5)="",2,0)),0)</f>
        <v>0</v>
      </c>
      <c r="U724" s="194">
        <f>IFERROR(IF(INDEX([1]Pivot!$AD$1:$BE$65000,$B724,U$5)=1,1,IF(INDEX([1]Pivot!$B$1:$AB$65000,$B724,U$5)="",2,0)),0)</f>
        <v>0</v>
      </c>
      <c r="V724" s="194">
        <f>IFERROR(IF(INDEX([1]Pivot!$AD$1:$BE$65000,$B724,V$5)=1,1,IF(INDEX([1]Pivot!$B$1:$AB$65000,$B724,V$5)="",2,0)),0)</f>
        <v>0</v>
      </c>
      <c r="W724" s="194">
        <f>IFERROR(IF(INDEX([1]Pivot!$AD$1:$BE$65000,$B724,W$5)=1,1,IF(INDEX([1]Pivot!$B$1:$AB$65000,$B724,W$5)="",2,0)),0)</f>
        <v>0</v>
      </c>
      <c r="X724" s="194">
        <f>IFERROR(IF(INDEX([1]Pivot!$AD$1:$BE$65000,$B724,X$5)=1,1,IF(INDEX([1]Pivot!$B$1:$AB$65000,$B724,X$5)="",2,0)),0)</f>
        <v>0</v>
      </c>
      <c r="Y724" s="194">
        <f>IFERROR(IF(INDEX([1]Pivot!$AD$1:$BE$65000,$B724,Y$5)=1,1,IF(INDEX([1]Pivot!$B$1:$AB$65000,$B724,Y$5)="",2,0)),0)</f>
        <v>0</v>
      </c>
      <c r="Z724" s="194">
        <f>IFERROR(IF(INDEX([1]Pivot!$AD$1:$BE$65000,$B724,Z$5)=1,1,IF(INDEX([1]Pivot!$B$1:$AB$65000,$B724,Z$5)="",2,0)),0)</f>
        <v>0</v>
      </c>
      <c r="AA724" s="194">
        <f>IFERROR(IF(INDEX([1]Pivot!$AD$1:$BE$65000,$B724,AA$5)=1,1,IF(INDEX([1]Pivot!$B$1:$AB$65000,$B724,AA$5)="",2,0)),0)</f>
        <v>0</v>
      </c>
      <c r="AB724" s="194">
        <f>IFERROR(IF(INDEX([1]Pivot!$AD$1:$BE$65000,$B724,AB$5)=1,1,IF(INDEX([1]Pivot!$B$1:$AB$65000,$B724,AB$5)="",2,0)),0)</f>
        <v>0</v>
      </c>
      <c r="AC724" s="194">
        <f>IFERROR(IF(INDEX([1]Pivot!$AD$1:$BE$65000,$B724,AC$5)=1,1,IF(INDEX([1]Pivot!$B$1:$AB$65000,$B724,AC$5)="",2,0)),0)</f>
        <v>0</v>
      </c>
      <c r="AD724" s="313">
        <f>IFERROR(IF(INDEX([1]Pivot!$BF$1:$CG$65000,$B724,AD$5)=1,1,IF(INDEX([1]Pivot!$B$1:$AB$65000,$B724,AD$5)="",2,0)),0)</f>
        <v>0</v>
      </c>
      <c r="AE724" s="313">
        <f>IFERROR(IF(INDEX([1]Pivot!$BF$1:$CG$65000,$B724,AE$5)=1,1,IF(INDEX([1]Pivot!$B$1:$AB$65000,$B724,AE$5)="",2,0)),0)</f>
        <v>0</v>
      </c>
      <c r="AF724" s="313">
        <f>IFERROR(IF(INDEX([1]Pivot!$BF$1:$CG$65000,$B724,AF$5)=1,1,IF(INDEX([1]Pivot!$B$1:$AB$65000,$B724,AF$5)="",2,0)),0)</f>
        <v>0</v>
      </c>
      <c r="AG724" s="313">
        <f>IFERROR(IF(INDEX([1]Pivot!$BF$1:$CG$65000,$B724,AG$5)=1,1,IF(INDEX([1]Pivot!$B$1:$AB$65000,$B724,AG$5)="",2,0)),0)</f>
        <v>0</v>
      </c>
      <c r="AH724" s="313">
        <f>IFERROR(IF(INDEX([1]Pivot!$BF$1:$CG$65000,$B724,AH$5)=1,1,IF(INDEX([1]Pivot!$B$1:$AB$65000,$B724,AH$5)="",2,0)),0)</f>
        <v>0</v>
      </c>
      <c r="AI724" s="313">
        <f>IFERROR(IF(INDEX([1]Pivot!$BF$1:$CG$65000,$B724,AI$5)=1,1,IF(INDEX([1]Pivot!$B$1:$AB$65000,$B724,AI$5)="",2,0)),0)</f>
        <v>0</v>
      </c>
      <c r="AJ724" s="313">
        <f>IFERROR(IF(INDEX([1]Pivot!$BF$1:$CG$65000,$B724,AJ$5)=1,1,IF(INDEX([1]Pivot!$B$1:$AB$65000,$B724,AJ$5)="",2,0)),0)</f>
        <v>0</v>
      </c>
      <c r="AK724" s="313">
        <f>IFERROR(IF(INDEX([1]Pivot!$BF$1:$CG$65000,$B724,AK$5)=1,1,IF(INDEX([1]Pivot!$B$1:$AB$65000,$B724,AK$5)="",2,0)),0)</f>
        <v>0</v>
      </c>
      <c r="AL724" s="313">
        <f>IFERROR(IF(INDEX([1]Pivot!$BF$1:$CG$65000,$B724,AL$5)=1,1,IF(INDEX([1]Pivot!$B$1:$AB$65000,$B724,AL$5)="",2,0)),0)</f>
        <v>0</v>
      </c>
      <c r="AM724" s="313">
        <f>IFERROR(IF(INDEX([1]Pivot!$BF$1:$CG$65000,$B724,AM$5)=1,1,IF(INDEX([1]Pivot!$B$1:$AB$65000,$B724,AM$5)="",2,0)),0)</f>
        <v>0</v>
      </c>
      <c r="AN724" s="313">
        <f>IFERROR(IF(INDEX([1]Pivot!$BF$1:$CG$65000,$B724,AN$5)=1,1,IF(INDEX([1]Pivot!$B$1:$AB$65000,$B724,AN$5)="",2,0)),0)</f>
        <v>0</v>
      </c>
      <c r="AO724" s="313">
        <f>IFERROR(IF(INDEX([1]Pivot!$BF$1:$CG$65000,$B724,AO$5)=1,1,IF(INDEX([1]Pivot!$B$1:$AB$65000,$B724,AO$5)="",2,0)),0)</f>
        <v>0</v>
      </c>
      <c r="AP724" s="313">
        <f>IFERROR(IF(INDEX([1]Pivot!$BF$1:$CG$65000,$B724,AP$5)=1,1,IF(INDEX([1]Pivot!$B$1:$AB$65000,$B724,AP$5)="",2,0)),0)</f>
        <v>0</v>
      </c>
      <c r="AQ724" s="313">
        <f>IFERROR(IF(INDEX([1]Pivot!$BF$1:$CG$65000,$B724,AQ$5)=1,1,IF(INDEX([1]Pivot!$B$1:$AB$65000,$B724,AQ$5)="",2,0)),0)</f>
        <v>0</v>
      </c>
      <c r="AR724" s="313">
        <f>IFERROR(IF(INDEX([1]Pivot!$BF$1:$CG$65000,$B724,AR$5)=1,1,IF(INDEX([1]Pivot!$B$1:$AB$65000,$B724,AR$5)="",2,0)),0)</f>
        <v>0</v>
      </c>
      <c r="AS724" s="312"/>
      <c r="AT724" s="313">
        <f>IFERROR(IF(INDEX([1]Pivot!$BF$1:$CG$65000,$B724,AT$5)=1,1,IF(INDEX([1]Pivot!$B$1:$AB$65000,$B724,AT$5)="",2,0)),0)</f>
        <v>0</v>
      </c>
      <c r="AU724" s="313">
        <f>IFERROR(IF(INDEX([1]Pivot!$BF$1:$CG$65000,$B724,AU$5)=1,1,IF(INDEX([1]Pivot!$B$1:$AB$65000,$B724,AU$5)="",2,0)),0)</f>
        <v>0</v>
      </c>
      <c r="AV724" s="313">
        <f>IFERROR(IF(INDEX([1]Pivot!$BF$1:$CG$65000,$B724,AV$5)=1,1,IF(INDEX([1]Pivot!$B$1:$AB$65000,$B724,AV$5)="",2,0)),0)</f>
        <v>0</v>
      </c>
      <c r="AW724" s="313">
        <f>IFERROR(IF(INDEX([1]Pivot!$BF$1:$CG$65000,$B724,AW$5)=1,1,IF(INDEX([1]Pivot!$B$1:$AB$65000,$B724,AW$5)="",2,0)),0)</f>
        <v>0</v>
      </c>
      <c r="AX724" s="313">
        <f>IFERROR(IF(INDEX([1]Pivot!$BF$1:$CG$65000,$B724,AX$5)=1,1,IF(INDEX([1]Pivot!$B$1:$AB$65000,$B724,AX$5)="",2,0)),0)</f>
        <v>0</v>
      </c>
      <c r="AY724" s="313">
        <f>IFERROR(IF(INDEX([1]Pivot!$BF$1:$CG$65000,$B724,AY$5)=1,1,IF(INDEX([1]Pivot!$B$1:$AB$65000,$B724,AY$5)="",2,0)),0)</f>
        <v>0</v>
      </c>
      <c r="AZ724" s="313">
        <f>IFERROR(IF(INDEX([1]Pivot!$BF$1:$CG$65000,$B724,AZ$5)=1,1,IF(INDEX([1]Pivot!$B$1:$AB$65000,$B724,AZ$5)="",2,0)),0)</f>
        <v>0</v>
      </c>
      <c r="BA724" s="313">
        <f>IFERROR(IF(INDEX([1]Pivot!$BF$1:$CG$65000,$B724,BA$5)=1,1,IF(INDEX([1]Pivot!$B$1:$AB$65000,$B724,BA$5)="",2,0)),0)</f>
        <v>0</v>
      </c>
      <c r="BB724" s="313">
        <f>IFERROR(IF(INDEX([1]Pivot!$BF$1:$CG$65000,$B724,BB$5)=1,1,IF(INDEX([1]Pivot!$B$1:$AB$65000,$B724,BB$5)="",2,0)),0)</f>
        <v>0</v>
      </c>
      <c r="BC724" s="313">
        <f>IFERROR(IF(INDEX([1]Pivot!$BF$1:$CG$65000,$B724,BC$5)=1,1,IF(INDEX([1]Pivot!$B$1:$AB$65000,$B724,BC$5)="",2,0)),0)</f>
        <v>0</v>
      </c>
      <c r="BD724" s="313">
        <f>IFERROR(IF(INDEX([1]Pivot!$BF$1:$CG$65000,$B724,BD$5)=1,1,IF(INDEX([1]Pivot!$B$1:$AB$65000,$B724,BD$5)="",2,0)),0)</f>
        <v>0</v>
      </c>
    </row>
    <row r="725" spans="1:56" x14ac:dyDescent="0.25">
      <c r="A725" s="288">
        <f>'[2]Raw Milk Prices'!A725</f>
        <v>0</v>
      </c>
      <c r="B725" s="296" t="e">
        <f>MATCH(DATE(LEFT('[2]Raw Milk Prices'!$A725,4),RIGHT('[2]Raw Milk Prices'!$A725,2),1),[1]Pivot!$A$1:$A$65000,0)</f>
        <v>#VALUE!</v>
      </c>
      <c r="C725" s="194">
        <f>IFERROR(IF(INDEX([1]Pivot!$AD$1:$BE$65000,$B725,C$5)=1,1,IF(INDEX([1]Pivot!$B$1:$AB$65000,$B725,C$5)="",2,0)),0)</f>
        <v>0</v>
      </c>
      <c r="D725" s="194">
        <f>IFERROR(IF(INDEX([1]Pivot!$AD$1:$BE$65000,$B725,D$5)=1,1,IF(INDEX([1]Pivot!$B$1:$AB$65000,$B725,D$5)="",2,0)),0)</f>
        <v>0</v>
      </c>
      <c r="E725" s="194">
        <f>IFERROR(IF(INDEX([1]Pivot!$AD$1:$BE$65000,$B725,E$5)=1,1,IF(INDEX([1]Pivot!$B$1:$AB$65000,$B725,E$5)="",2,0)),0)</f>
        <v>0</v>
      </c>
      <c r="F725" s="194">
        <f>IFERROR(IF(INDEX([1]Pivot!$AD$1:$BE$65000,$B725,F$5)=1,1,IF(INDEX([1]Pivot!$B$1:$AB$65000,$B725,F$5)="",2,0)),0)</f>
        <v>0</v>
      </c>
      <c r="G725" s="194">
        <f>IFERROR(IF(INDEX([1]Pivot!$AD$1:$BE$65000,$B725,G$5)=1,1,IF(INDEX([1]Pivot!$B$1:$AB$65000,$B725,G$5)="",2,0)),0)</f>
        <v>0</v>
      </c>
      <c r="H725" s="194">
        <f>IFERROR(IF(INDEX([1]Pivot!$AD$1:$BE$65000,$B725,H$5)=1,1,IF(INDEX([1]Pivot!$B$1:$AB$65000,$B725,H$5)="",2,0)),0)</f>
        <v>0</v>
      </c>
      <c r="I725" s="194">
        <f>IFERROR(IF(INDEX([1]Pivot!$AD$1:$BE$65000,$B725,I$5)=1,1,IF(INDEX([1]Pivot!$B$1:$AB$65000,$B725,I$5)="",2,0)),0)</f>
        <v>0</v>
      </c>
      <c r="J725" s="194">
        <f>IFERROR(IF(INDEX([1]Pivot!$AD$1:$BE$65000,$B725,J$5)=1,1,IF(INDEX([1]Pivot!$B$1:$AB$65000,$B725,J$5)="",2,0)),0)</f>
        <v>0</v>
      </c>
      <c r="K725" s="194">
        <f>IFERROR(IF(INDEX([1]Pivot!$AD$1:$BE$65000,$B725,K$5)=1,1,IF(INDEX([1]Pivot!$B$1:$AB$65000,$B725,K$5)="",2,0)),0)</f>
        <v>0</v>
      </c>
      <c r="L725" s="194">
        <f>IFERROR(IF(INDEX([1]Pivot!$AD$1:$BE$65000,$B725,L$5)=1,1,IF(INDEX([1]Pivot!$B$1:$AB$65000,$B725,L$5)="",2,0)),0)</f>
        <v>0</v>
      </c>
      <c r="M725" s="194">
        <f>IFERROR(IF(INDEX([1]Pivot!$AD$1:$BE$65000,$B725,M$5)=1,1,IF(INDEX([1]Pivot!$B$1:$AB$65000,$B725,M$5)="",2,0)),0)</f>
        <v>0</v>
      </c>
      <c r="N725" s="194">
        <f>IFERROR(IF(INDEX([1]Pivot!$AD$1:$BE$65000,$B725,N$5)=1,1,IF(INDEX([1]Pivot!$B$1:$AB$65000,$B725,N$5)="",2,0)),0)</f>
        <v>0</v>
      </c>
      <c r="O725" s="194">
        <f>IFERROR(IF(INDEX([1]Pivot!$AD$1:$BE$65000,$B725,O$5)=1,1,IF(INDEX([1]Pivot!$B$1:$AB$65000,$B725,O$5)="",2,0)),0)</f>
        <v>0</v>
      </c>
      <c r="P725" s="194">
        <f>IFERROR(IF(INDEX([1]Pivot!$AD$1:$BE$65000,$B725,P$5)=1,1,IF(INDEX([1]Pivot!$B$1:$AB$65000,$B725,P$5)="",2,0)),0)</f>
        <v>0</v>
      </c>
      <c r="Q725" s="194">
        <f>IFERROR(IF(INDEX([1]Pivot!$AD$1:$BE$65000,$B725,Q$5)=1,1,IF(INDEX([1]Pivot!$B$1:$AB$65000,$B725,Q$5)="",2,0)),0)</f>
        <v>0</v>
      </c>
      <c r="R725" s="312"/>
      <c r="S725" s="194">
        <f>IFERROR(IF(INDEX([1]Pivot!$AD$1:$BE$65000,$B725,S$5)=1,1,IF(INDEX([1]Pivot!$B$1:$AB$65000,$B725,S$5)="",2,0)),0)</f>
        <v>0</v>
      </c>
      <c r="T725" s="194">
        <f>IFERROR(IF(INDEX([1]Pivot!$AD$1:$BE$65000,$B725,T$5)=1,1,IF(INDEX([1]Pivot!$B$1:$AB$65000,$B725,T$5)="",2,0)),0)</f>
        <v>0</v>
      </c>
      <c r="U725" s="194">
        <f>IFERROR(IF(INDEX([1]Pivot!$AD$1:$BE$65000,$B725,U$5)=1,1,IF(INDEX([1]Pivot!$B$1:$AB$65000,$B725,U$5)="",2,0)),0)</f>
        <v>0</v>
      </c>
      <c r="V725" s="194">
        <f>IFERROR(IF(INDEX([1]Pivot!$AD$1:$BE$65000,$B725,V$5)=1,1,IF(INDEX([1]Pivot!$B$1:$AB$65000,$B725,V$5)="",2,0)),0)</f>
        <v>0</v>
      </c>
      <c r="W725" s="194">
        <f>IFERROR(IF(INDEX([1]Pivot!$AD$1:$BE$65000,$B725,W$5)=1,1,IF(INDEX([1]Pivot!$B$1:$AB$65000,$B725,W$5)="",2,0)),0)</f>
        <v>0</v>
      </c>
      <c r="X725" s="194">
        <f>IFERROR(IF(INDEX([1]Pivot!$AD$1:$BE$65000,$B725,X$5)=1,1,IF(INDEX([1]Pivot!$B$1:$AB$65000,$B725,X$5)="",2,0)),0)</f>
        <v>0</v>
      </c>
      <c r="Y725" s="194">
        <f>IFERROR(IF(INDEX([1]Pivot!$AD$1:$BE$65000,$B725,Y$5)=1,1,IF(INDEX([1]Pivot!$B$1:$AB$65000,$B725,Y$5)="",2,0)),0)</f>
        <v>0</v>
      </c>
      <c r="Z725" s="194">
        <f>IFERROR(IF(INDEX([1]Pivot!$AD$1:$BE$65000,$B725,Z$5)=1,1,IF(INDEX([1]Pivot!$B$1:$AB$65000,$B725,Z$5)="",2,0)),0)</f>
        <v>0</v>
      </c>
      <c r="AA725" s="194">
        <f>IFERROR(IF(INDEX([1]Pivot!$AD$1:$BE$65000,$B725,AA$5)=1,1,IF(INDEX([1]Pivot!$B$1:$AB$65000,$B725,AA$5)="",2,0)),0)</f>
        <v>0</v>
      </c>
      <c r="AB725" s="194">
        <f>IFERROR(IF(INDEX([1]Pivot!$AD$1:$BE$65000,$B725,AB$5)=1,1,IF(INDEX([1]Pivot!$B$1:$AB$65000,$B725,AB$5)="",2,0)),0)</f>
        <v>0</v>
      </c>
      <c r="AC725" s="194">
        <f>IFERROR(IF(INDEX([1]Pivot!$AD$1:$BE$65000,$B725,AC$5)=1,1,IF(INDEX([1]Pivot!$B$1:$AB$65000,$B725,AC$5)="",2,0)),0)</f>
        <v>0</v>
      </c>
      <c r="AD725" s="313">
        <f>IFERROR(IF(INDEX([1]Pivot!$BF$1:$CG$65000,$B725,AD$5)=1,1,IF(INDEX([1]Pivot!$B$1:$AB$65000,$B725,AD$5)="",2,0)),0)</f>
        <v>0</v>
      </c>
      <c r="AE725" s="313">
        <f>IFERROR(IF(INDEX([1]Pivot!$BF$1:$CG$65000,$B725,AE$5)=1,1,IF(INDEX([1]Pivot!$B$1:$AB$65000,$B725,AE$5)="",2,0)),0)</f>
        <v>0</v>
      </c>
      <c r="AF725" s="313">
        <f>IFERROR(IF(INDEX([1]Pivot!$BF$1:$CG$65000,$B725,AF$5)=1,1,IF(INDEX([1]Pivot!$B$1:$AB$65000,$B725,AF$5)="",2,0)),0)</f>
        <v>0</v>
      </c>
      <c r="AG725" s="313">
        <f>IFERROR(IF(INDEX([1]Pivot!$BF$1:$CG$65000,$B725,AG$5)=1,1,IF(INDEX([1]Pivot!$B$1:$AB$65000,$B725,AG$5)="",2,0)),0)</f>
        <v>0</v>
      </c>
      <c r="AH725" s="313">
        <f>IFERROR(IF(INDEX([1]Pivot!$BF$1:$CG$65000,$B725,AH$5)=1,1,IF(INDEX([1]Pivot!$B$1:$AB$65000,$B725,AH$5)="",2,0)),0)</f>
        <v>0</v>
      </c>
      <c r="AI725" s="313">
        <f>IFERROR(IF(INDEX([1]Pivot!$BF$1:$CG$65000,$B725,AI$5)=1,1,IF(INDEX([1]Pivot!$B$1:$AB$65000,$B725,AI$5)="",2,0)),0)</f>
        <v>0</v>
      </c>
      <c r="AJ725" s="313">
        <f>IFERROR(IF(INDEX([1]Pivot!$BF$1:$CG$65000,$B725,AJ$5)=1,1,IF(INDEX([1]Pivot!$B$1:$AB$65000,$B725,AJ$5)="",2,0)),0)</f>
        <v>0</v>
      </c>
      <c r="AK725" s="313">
        <f>IFERROR(IF(INDEX([1]Pivot!$BF$1:$CG$65000,$B725,AK$5)=1,1,IF(INDEX([1]Pivot!$B$1:$AB$65000,$B725,AK$5)="",2,0)),0)</f>
        <v>0</v>
      </c>
      <c r="AL725" s="313">
        <f>IFERROR(IF(INDEX([1]Pivot!$BF$1:$CG$65000,$B725,AL$5)=1,1,IF(INDEX([1]Pivot!$B$1:$AB$65000,$B725,AL$5)="",2,0)),0)</f>
        <v>0</v>
      </c>
      <c r="AM725" s="313">
        <f>IFERROR(IF(INDEX([1]Pivot!$BF$1:$CG$65000,$B725,AM$5)=1,1,IF(INDEX([1]Pivot!$B$1:$AB$65000,$B725,AM$5)="",2,0)),0)</f>
        <v>0</v>
      </c>
      <c r="AN725" s="313">
        <f>IFERROR(IF(INDEX([1]Pivot!$BF$1:$CG$65000,$B725,AN$5)=1,1,IF(INDEX([1]Pivot!$B$1:$AB$65000,$B725,AN$5)="",2,0)),0)</f>
        <v>0</v>
      </c>
      <c r="AO725" s="313">
        <f>IFERROR(IF(INDEX([1]Pivot!$BF$1:$CG$65000,$B725,AO$5)=1,1,IF(INDEX([1]Pivot!$B$1:$AB$65000,$B725,AO$5)="",2,0)),0)</f>
        <v>0</v>
      </c>
      <c r="AP725" s="313">
        <f>IFERROR(IF(INDEX([1]Pivot!$BF$1:$CG$65000,$B725,AP$5)=1,1,IF(INDEX([1]Pivot!$B$1:$AB$65000,$B725,AP$5)="",2,0)),0)</f>
        <v>0</v>
      </c>
      <c r="AQ725" s="313">
        <f>IFERROR(IF(INDEX([1]Pivot!$BF$1:$CG$65000,$B725,AQ$5)=1,1,IF(INDEX([1]Pivot!$B$1:$AB$65000,$B725,AQ$5)="",2,0)),0)</f>
        <v>0</v>
      </c>
      <c r="AR725" s="313">
        <f>IFERROR(IF(INDEX([1]Pivot!$BF$1:$CG$65000,$B725,AR$5)=1,1,IF(INDEX([1]Pivot!$B$1:$AB$65000,$B725,AR$5)="",2,0)),0)</f>
        <v>0</v>
      </c>
      <c r="AS725" s="312"/>
      <c r="AT725" s="313">
        <f>IFERROR(IF(INDEX([1]Pivot!$BF$1:$CG$65000,$B725,AT$5)=1,1,IF(INDEX([1]Pivot!$B$1:$AB$65000,$B725,AT$5)="",2,0)),0)</f>
        <v>0</v>
      </c>
      <c r="AU725" s="313">
        <f>IFERROR(IF(INDEX([1]Pivot!$BF$1:$CG$65000,$B725,AU$5)=1,1,IF(INDEX([1]Pivot!$B$1:$AB$65000,$B725,AU$5)="",2,0)),0)</f>
        <v>0</v>
      </c>
      <c r="AV725" s="313">
        <f>IFERROR(IF(INDEX([1]Pivot!$BF$1:$CG$65000,$B725,AV$5)=1,1,IF(INDEX([1]Pivot!$B$1:$AB$65000,$B725,AV$5)="",2,0)),0)</f>
        <v>0</v>
      </c>
      <c r="AW725" s="313">
        <f>IFERROR(IF(INDEX([1]Pivot!$BF$1:$CG$65000,$B725,AW$5)=1,1,IF(INDEX([1]Pivot!$B$1:$AB$65000,$B725,AW$5)="",2,0)),0)</f>
        <v>0</v>
      </c>
      <c r="AX725" s="313">
        <f>IFERROR(IF(INDEX([1]Pivot!$BF$1:$CG$65000,$B725,AX$5)=1,1,IF(INDEX([1]Pivot!$B$1:$AB$65000,$B725,AX$5)="",2,0)),0)</f>
        <v>0</v>
      </c>
      <c r="AY725" s="313">
        <f>IFERROR(IF(INDEX([1]Pivot!$BF$1:$CG$65000,$B725,AY$5)=1,1,IF(INDEX([1]Pivot!$B$1:$AB$65000,$B725,AY$5)="",2,0)),0)</f>
        <v>0</v>
      </c>
      <c r="AZ725" s="313">
        <f>IFERROR(IF(INDEX([1]Pivot!$BF$1:$CG$65000,$B725,AZ$5)=1,1,IF(INDEX([1]Pivot!$B$1:$AB$65000,$B725,AZ$5)="",2,0)),0)</f>
        <v>0</v>
      </c>
      <c r="BA725" s="313">
        <f>IFERROR(IF(INDEX([1]Pivot!$BF$1:$CG$65000,$B725,BA$5)=1,1,IF(INDEX([1]Pivot!$B$1:$AB$65000,$B725,BA$5)="",2,0)),0)</f>
        <v>0</v>
      </c>
      <c r="BB725" s="313">
        <f>IFERROR(IF(INDEX([1]Pivot!$BF$1:$CG$65000,$B725,BB$5)=1,1,IF(INDEX([1]Pivot!$B$1:$AB$65000,$B725,BB$5)="",2,0)),0)</f>
        <v>0</v>
      </c>
      <c r="BC725" s="313">
        <f>IFERROR(IF(INDEX([1]Pivot!$BF$1:$CG$65000,$B725,BC$5)=1,1,IF(INDEX([1]Pivot!$B$1:$AB$65000,$B725,BC$5)="",2,0)),0)</f>
        <v>0</v>
      </c>
      <c r="BD725" s="313">
        <f>IFERROR(IF(INDEX([1]Pivot!$BF$1:$CG$65000,$B725,BD$5)=1,1,IF(INDEX([1]Pivot!$B$1:$AB$65000,$B725,BD$5)="",2,0)),0)</f>
        <v>0</v>
      </c>
    </row>
    <row r="726" spans="1:56" x14ac:dyDescent="0.25">
      <c r="A726" s="288">
        <f>'[2]Raw Milk Prices'!A726</f>
        <v>0</v>
      </c>
      <c r="B726" s="296" t="e">
        <f>MATCH(DATE(LEFT('[2]Raw Milk Prices'!$A726,4),RIGHT('[2]Raw Milk Prices'!$A726,2),1),[1]Pivot!$A$1:$A$65000,0)</f>
        <v>#VALUE!</v>
      </c>
      <c r="C726" s="194">
        <f>IFERROR(IF(INDEX([1]Pivot!$AD$1:$BE$65000,$B726,C$5)=1,1,IF(INDEX([1]Pivot!$B$1:$AB$65000,$B726,C$5)="",2,0)),0)</f>
        <v>0</v>
      </c>
      <c r="D726" s="194">
        <f>IFERROR(IF(INDEX([1]Pivot!$AD$1:$BE$65000,$B726,D$5)=1,1,IF(INDEX([1]Pivot!$B$1:$AB$65000,$B726,D$5)="",2,0)),0)</f>
        <v>0</v>
      </c>
      <c r="E726" s="194">
        <f>IFERROR(IF(INDEX([1]Pivot!$AD$1:$BE$65000,$B726,E$5)=1,1,IF(INDEX([1]Pivot!$B$1:$AB$65000,$B726,E$5)="",2,0)),0)</f>
        <v>0</v>
      </c>
      <c r="F726" s="194">
        <f>IFERROR(IF(INDEX([1]Pivot!$AD$1:$BE$65000,$B726,F$5)=1,1,IF(INDEX([1]Pivot!$B$1:$AB$65000,$B726,F$5)="",2,0)),0)</f>
        <v>0</v>
      </c>
      <c r="G726" s="194">
        <f>IFERROR(IF(INDEX([1]Pivot!$AD$1:$BE$65000,$B726,G$5)=1,1,IF(INDEX([1]Pivot!$B$1:$AB$65000,$B726,G$5)="",2,0)),0)</f>
        <v>0</v>
      </c>
      <c r="H726" s="194">
        <f>IFERROR(IF(INDEX([1]Pivot!$AD$1:$BE$65000,$B726,H$5)=1,1,IF(INDEX([1]Pivot!$B$1:$AB$65000,$B726,H$5)="",2,0)),0)</f>
        <v>0</v>
      </c>
      <c r="I726" s="194">
        <f>IFERROR(IF(INDEX([1]Pivot!$AD$1:$BE$65000,$B726,I$5)=1,1,IF(INDEX([1]Pivot!$B$1:$AB$65000,$B726,I$5)="",2,0)),0)</f>
        <v>0</v>
      </c>
      <c r="J726" s="194">
        <f>IFERROR(IF(INDEX([1]Pivot!$AD$1:$BE$65000,$B726,J$5)=1,1,IF(INDEX([1]Pivot!$B$1:$AB$65000,$B726,J$5)="",2,0)),0)</f>
        <v>0</v>
      </c>
      <c r="K726" s="194">
        <f>IFERROR(IF(INDEX([1]Pivot!$AD$1:$BE$65000,$B726,K$5)=1,1,IF(INDEX([1]Pivot!$B$1:$AB$65000,$B726,K$5)="",2,0)),0)</f>
        <v>0</v>
      </c>
      <c r="L726" s="194">
        <f>IFERROR(IF(INDEX([1]Pivot!$AD$1:$BE$65000,$B726,L$5)=1,1,IF(INDEX([1]Pivot!$B$1:$AB$65000,$B726,L$5)="",2,0)),0)</f>
        <v>0</v>
      </c>
      <c r="M726" s="194">
        <f>IFERROR(IF(INDEX([1]Pivot!$AD$1:$BE$65000,$B726,M$5)=1,1,IF(INDEX([1]Pivot!$B$1:$AB$65000,$B726,M$5)="",2,0)),0)</f>
        <v>0</v>
      </c>
      <c r="N726" s="194">
        <f>IFERROR(IF(INDEX([1]Pivot!$AD$1:$BE$65000,$B726,N$5)=1,1,IF(INDEX([1]Pivot!$B$1:$AB$65000,$B726,N$5)="",2,0)),0)</f>
        <v>0</v>
      </c>
      <c r="O726" s="194">
        <f>IFERROR(IF(INDEX([1]Pivot!$AD$1:$BE$65000,$B726,O$5)=1,1,IF(INDEX([1]Pivot!$B$1:$AB$65000,$B726,O$5)="",2,0)),0)</f>
        <v>0</v>
      </c>
      <c r="P726" s="194">
        <f>IFERROR(IF(INDEX([1]Pivot!$AD$1:$BE$65000,$B726,P$5)=1,1,IF(INDEX([1]Pivot!$B$1:$AB$65000,$B726,P$5)="",2,0)),0)</f>
        <v>0</v>
      </c>
      <c r="Q726" s="194">
        <f>IFERROR(IF(INDEX([1]Pivot!$AD$1:$BE$65000,$B726,Q$5)=1,1,IF(INDEX([1]Pivot!$B$1:$AB$65000,$B726,Q$5)="",2,0)),0)</f>
        <v>0</v>
      </c>
      <c r="R726" s="312"/>
      <c r="S726" s="194">
        <f>IFERROR(IF(INDEX([1]Pivot!$AD$1:$BE$65000,$B726,S$5)=1,1,IF(INDEX([1]Pivot!$B$1:$AB$65000,$B726,S$5)="",2,0)),0)</f>
        <v>0</v>
      </c>
      <c r="T726" s="194">
        <f>IFERROR(IF(INDEX([1]Pivot!$AD$1:$BE$65000,$B726,T$5)=1,1,IF(INDEX([1]Pivot!$B$1:$AB$65000,$B726,T$5)="",2,0)),0)</f>
        <v>0</v>
      </c>
      <c r="U726" s="194">
        <f>IFERROR(IF(INDEX([1]Pivot!$AD$1:$BE$65000,$B726,U$5)=1,1,IF(INDEX([1]Pivot!$B$1:$AB$65000,$B726,U$5)="",2,0)),0)</f>
        <v>0</v>
      </c>
      <c r="V726" s="194">
        <f>IFERROR(IF(INDEX([1]Pivot!$AD$1:$BE$65000,$B726,V$5)=1,1,IF(INDEX([1]Pivot!$B$1:$AB$65000,$B726,V$5)="",2,0)),0)</f>
        <v>0</v>
      </c>
      <c r="W726" s="194">
        <f>IFERROR(IF(INDEX([1]Pivot!$AD$1:$BE$65000,$B726,W$5)=1,1,IF(INDEX([1]Pivot!$B$1:$AB$65000,$B726,W$5)="",2,0)),0)</f>
        <v>0</v>
      </c>
      <c r="X726" s="194">
        <f>IFERROR(IF(INDEX([1]Pivot!$AD$1:$BE$65000,$B726,X$5)=1,1,IF(INDEX([1]Pivot!$B$1:$AB$65000,$B726,X$5)="",2,0)),0)</f>
        <v>0</v>
      </c>
      <c r="Y726" s="194">
        <f>IFERROR(IF(INDEX([1]Pivot!$AD$1:$BE$65000,$B726,Y$5)=1,1,IF(INDEX([1]Pivot!$B$1:$AB$65000,$B726,Y$5)="",2,0)),0)</f>
        <v>0</v>
      </c>
      <c r="Z726" s="194">
        <f>IFERROR(IF(INDEX([1]Pivot!$AD$1:$BE$65000,$B726,Z$5)=1,1,IF(INDEX([1]Pivot!$B$1:$AB$65000,$B726,Z$5)="",2,0)),0)</f>
        <v>0</v>
      </c>
      <c r="AA726" s="194">
        <f>IFERROR(IF(INDEX([1]Pivot!$AD$1:$BE$65000,$B726,AA$5)=1,1,IF(INDEX([1]Pivot!$B$1:$AB$65000,$B726,AA$5)="",2,0)),0)</f>
        <v>0</v>
      </c>
      <c r="AB726" s="194">
        <f>IFERROR(IF(INDEX([1]Pivot!$AD$1:$BE$65000,$B726,AB$5)=1,1,IF(INDEX([1]Pivot!$B$1:$AB$65000,$B726,AB$5)="",2,0)),0)</f>
        <v>0</v>
      </c>
      <c r="AC726" s="194">
        <f>IFERROR(IF(INDEX([1]Pivot!$AD$1:$BE$65000,$B726,AC$5)=1,1,IF(INDEX([1]Pivot!$B$1:$AB$65000,$B726,AC$5)="",2,0)),0)</f>
        <v>0</v>
      </c>
      <c r="AD726" s="313">
        <f>IFERROR(IF(INDEX([1]Pivot!$BF$1:$CG$65000,$B726,AD$5)=1,1,IF(INDEX([1]Pivot!$B$1:$AB$65000,$B726,AD$5)="",2,0)),0)</f>
        <v>0</v>
      </c>
      <c r="AE726" s="313">
        <f>IFERROR(IF(INDEX([1]Pivot!$BF$1:$CG$65000,$B726,AE$5)=1,1,IF(INDEX([1]Pivot!$B$1:$AB$65000,$B726,AE$5)="",2,0)),0)</f>
        <v>0</v>
      </c>
      <c r="AF726" s="313">
        <f>IFERROR(IF(INDEX([1]Pivot!$BF$1:$CG$65000,$B726,AF$5)=1,1,IF(INDEX([1]Pivot!$B$1:$AB$65000,$B726,AF$5)="",2,0)),0)</f>
        <v>0</v>
      </c>
      <c r="AG726" s="313">
        <f>IFERROR(IF(INDEX([1]Pivot!$BF$1:$CG$65000,$B726,AG$5)=1,1,IF(INDEX([1]Pivot!$B$1:$AB$65000,$B726,AG$5)="",2,0)),0)</f>
        <v>0</v>
      </c>
      <c r="AH726" s="313">
        <f>IFERROR(IF(INDEX([1]Pivot!$BF$1:$CG$65000,$B726,AH$5)=1,1,IF(INDEX([1]Pivot!$B$1:$AB$65000,$B726,AH$5)="",2,0)),0)</f>
        <v>0</v>
      </c>
      <c r="AI726" s="313">
        <f>IFERROR(IF(INDEX([1]Pivot!$BF$1:$CG$65000,$B726,AI$5)=1,1,IF(INDEX([1]Pivot!$B$1:$AB$65000,$B726,AI$5)="",2,0)),0)</f>
        <v>0</v>
      </c>
      <c r="AJ726" s="313">
        <f>IFERROR(IF(INDEX([1]Pivot!$BF$1:$CG$65000,$B726,AJ$5)=1,1,IF(INDEX([1]Pivot!$B$1:$AB$65000,$B726,AJ$5)="",2,0)),0)</f>
        <v>0</v>
      </c>
      <c r="AK726" s="313">
        <f>IFERROR(IF(INDEX([1]Pivot!$BF$1:$CG$65000,$B726,AK$5)=1,1,IF(INDEX([1]Pivot!$B$1:$AB$65000,$B726,AK$5)="",2,0)),0)</f>
        <v>0</v>
      </c>
      <c r="AL726" s="313">
        <f>IFERROR(IF(INDEX([1]Pivot!$BF$1:$CG$65000,$B726,AL$5)=1,1,IF(INDEX([1]Pivot!$B$1:$AB$65000,$B726,AL$5)="",2,0)),0)</f>
        <v>0</v>
      </c>
      <c r="AM726" s="313">
        <f>IFERROR(IF(INDEX([1]Pivot!$BF$1:$CG$65000,$B726,AM$5)=1,1,IF(INDEX([1]Pivot!$B$1:$AB$65000,$B726,AM$5)="",2,0)),0)</f>
        <v>0</v>
      </c>
      <c r="AN726" s="313">
        <f>IFERROR(IF(INDEX([1]Pivot!$BF$1:$CG$65000,$B726,AN$5)=1,1,IF(INDEX([1]Pivot!$B$1:$AB$65000,$B726,AN$5)="",2,0)),0)</f>
        <v>0</v>
      </c>
      <c r="AO726" s="313">
        <f>IFERROR(IF(INDEX([1]Pivot!$BF$1:$CG$65000,$B726,AO$5)=1,1,IF(INDEX([1]Pivot!$B$1:$AB$65000,$B726,AO$5)="",2,0)),0)</f>
        <v>0</v>
      </c>
      <c r="AP726" s="313">
        <f>IFERROR(IF(INDEX([1]Pivot!$BF$1:$CG$65000,$B726,AP$5)=1,1,IF(INDEX([1]Pivot!$B$1:$AB$65000,$B726,AP$5)="",2,0)),0)</f>
        <v>0</v>
      </c>
      <c r="AQ726" s="313">
        <f>IFERROR(IF(INDEX([1]Pivot!$BF$1:$CG$65000,$B726,AQ$5)=1,1,IF(INDEX([1]Pivot!$B$1:$AB$65000,$B726,AQ$5)="",2,0)),0)</f>
        <v>0</v>
      </c>
      <c r="AR726" s="313">
        <f>IFERROR(IF(INDEX([1]Pivot!$BF$1:$CG$65000,$B726,AR$5)=1,1,IF(INDEX([1]Pivot!$B$1:$AB$65000,$B726,AR$5)="",2,0)),0)</f>
        <v>0</v>
      </c>
      <c r="AS726" s="312"/>
      <c r="AT726" s="313">
        <f>IFERROR(IF(INDEX([1]Pivot!$BF$1:$CG$65000,$B726,AT$5)=1,1,IF(INDEX([1]Pivot!$B$1:$AB$65000,$B726,AT$5)="",2,0)),0)</f>
        <v>0</v>
      </c>
      <c r="AU726" s="313">
        <f>IFERROR(IF(INDEX([1]Pivot!$BF$1:$CG$65000,$B726,AU$5)=1,1,IF(INDEX([1]Pivot!$B$1:$AB$65000,$B726,AU$5)="",2,0)),0)</f>
        <v>0</v>
      </c>
      <c r="AV726" s="313">
        <f>IFERROR(IF(INDEX([1]Pivot!$BF$1:$CG$65000,$B726,AV$5)=1,1,IF(INDEX([1]Pivot!$B$1:$AB$65000,$B726,AV$5)="",2,0)),0)</f>
        <v>0</v>
      </c>
      <c r="AW726" s="313">
        <f>IFERROR(IF(INDEX([1]Pivot!$BF$1:$CG$65000,$B726,AW$5)=1,1,IF(INDEX([1]Pivot!$B$1:$AB$65000,$B726,AW$5)="",2,0)),0)</f>
        <v>0</v>
      </c>
      <c r="AX726" s="313">
        <f>IFERROR(IF(INDEX([1]Pivot!$BF$1:$CG$65000,$B726,AX$5)=1,1,IF(INDEX([1]Pivot!$B$1:$AB$65000,$B726,AX$5)="",2,0)),0)</f>
        <v>0</v>
      </c>
      <c r="AY726" s="313">
        <f>IFERROR(IF(INDEX([1]Pivot!$BF$1:$CG$65000,$B726,AY$5)=1,1,IF(INDEX([1]Pivot!$B$1:$AB$65000,$B726,AY$5)="",2,0)),0)</f>
        <v>0</v>
      </c>
      <c r="AZ726" s="313">
        <f>IFERROR(IF(INDEX([1]Pivot!$BF$1:$CG$65000,$B726,AZ$5)=1,1,IF(INDEX([1]Pivot!$B$1:$AB$65000,$B726,AZ$5)="",2,0)),0)</f>
        <v>0</v>
      </c>
      <c r="BA726" s="313">
        <f>IFERROR(IF(INDEX([1]Pivot!$BF$1:$CG$65000,$B726,BA$5)=1,1,IF(INDEX([1]Pivot!$B$1:$AB$65000,$B726,BA$5)="",2,0)),0)</f>
        <v>0</v>
      </c>
      <c r="BB726" s="313">
        <f>IFERROR(IF(INDEX([1]Pivot!$BF$1:$CG$65000,$B726,BB$5)=1,1,IF(INDEX([1]Pivot!$B$1:$AB$65000,$B726,BB$5)="",2,0)),0)</f>
        <v>0</v>
      </c>
      <c r="BC726" s="313">
        <f>IFERROR(IF(INDEX([1]Pivot!$BF$1:$CG$65000,$B726,BC$5)=1,1,IF(INDEX([1]Pivot!$B$1:$AB$65000,$B726,BC$5)="",2,0)),0)</f>
        <v>0</v>
      </c>
      <c r="BD726" s="313">
        <f>IFERROR(IF(INDEX([1]Pivot!$BF$1:$CG$65000,$B726,BD$5)=1,1,IF(INDEX([1]Pivot!$B$1:$AB$65000,$B726,BD$5)="",2,0)),0)</f>
        <v>0</v>
      </c>
    </row>
    <row r="727" spans="1:56" x14ac:dyDescent="0.25">
      <c r="A727" s="288">
        <f>'[2]Raw Milk Prices'!A727</f>
        <v>0</v>
      </c>
      <c r="B727" s="296" t="e">
        <f>MATCH(DATE(LEFT('[2]Raw Milk Prices'!$A727,4),RIGHT('[2]Raw Milk Prices'!$A727,2),1),[1]Pivot!$A$1:$A$65000,0)</f>
        <v>#VALUE!</v>
      </c>
      <c r="C727" s="194">
        <f>IFERROR(IF(INDEX([1]Pivot!$AD$1:$BE$65000,$B727,C$5)=1,1,IF(INDEX([1]Pivot!$B$1:$AB$65000,$B727,C$5)="",2,0)),0)</f>
        <v>0</v>
      </c>
      <c r="D727" s="194">
        <f>IFERROR(IF(INDEX([1]Pivot!$AD$1:$BE$65000,$B727,D$5)=1,1,IF(INDEX([1]Pivot!$B$1:$AB$65000,$B727,D$5)="",2,0)),0)</f>
        <v>0</v>
      </c>
      <c r="E727" s="194">
        <f>IFERROR(IF(INDEX([1]Pivot!$AD$1:$BE$65000,$B727,E$5)=1,1,IF(INDEX([1]Pivot!$B$1:$AB$65000,$B727,E$5)="",2,0)),0)</f>
        <v>0</v>
      </c>
      <c r="F727" s="194">
        <f>IFERROR(IF(INDEX([1]Pivot!$AD$1:$BE$65000,$B727,F$5)=1,1,IF(INDEX([1]Pivot!$B$1:$AB$65000,$B727,F$5)="",2,0)),0)</f>
        <v>0</v>
      </c>
      <c r="G727" s="194">
        <f>IFERROR(IF(INDEX([1]Pivot!$AD$1:$BE$65000,$B727,G$5)=1,1,IF(INDEX([1]Pivot!$B$1:$AB$65000,$B727,G$5)="",2,0)),0)</f>
        <v>0</v>
      </c>
      <c r="H727" s="194">
        <f>IFERROR(IF(INDEX([1]Pivot!$AD$1:$BE$65000,$B727,H$5)=1,1,IF(INDEX([1]Pivot!$B$1:$AB$65000,$B727,H$5)="",2,0)),0)</f>
        <v>0</v>
      </c>
      <c r="I727" s="194">
        <f>IFERROR(IF(INDEX([1]Pivot!$AD$1:$BE$65000,$B727,I$5)=1,1,IF(INDEX([1]Pivot!$B$1:$AB$65000,$B727,I$5)="",2,0)),0)</f>
        <v>0</v>
      </c>
      <c r="J727" s="194">
        <f>IFERROR(IF(INDEX([1]Pivot!$AD$1:$BE$65000,$B727,J$5)=1,1,IF(INDEX([1]Pivot!$B$1:$AB$65000,$B727,J$5)="",2,0)),0)</f>
        <v>0</v>
      </c>
      <c r="K727" s="194">
        <f>IFERROR(IF(INDEX([1]Pivot!$AD$1:$BE$65000,$B727,K$5)=1,1,IF(INDEX([1]Pivot!$B$1:$AB$65000,$B727,K$5)="",2,0)),0)</f>
        <v>0</v>
      </c>
      <c r="L727" s="194">
        <f>IFERROR(IF(INDEX([1]Pivot!$AD$1:$BE$65000,$B727,L$5)=1,1,IF(INDEX([1]Pivot!$B$1:$AB$65000,$B727,L$5)="",2,0)),0)</f>
        <v>0</v>
      </c>
      <c r="M727" s="194">
        <f>IFERROR(IF(INDEX([1]Pivot!$AD$1:$BE$65000,$B727,M$5)=1,1,IF(INDEX([1]Pivot!$B$1:$AB$65000,$B727,M$5)="",2,0)),0)</f>
        <v>0</v>
      </c>
      <c r="N727" s="194">
        <f>IFERROR(IF(INDEX([1]Pivot!$AD$1:$BE$65000,$B727,N$5)=1,1,IF(INDEX([1]Pivot!$B$1:$AB$65000,$B727,N$5)="",2,0)),0)</f>
        <v>0</v>
      </c>
      <c r="O727" s="194">
        <f>IFERROR(IF(INDEX([1]Pivot!$AD$1:$BE$65000,$B727,O$5)=1,1,IF(INDEX([1]Pivot!$B$1:$AB$65000,$B727,O$5)="",2,0)),0)</f>
        <v>0</v>
      </c>
      <c r="P727" s="194">
        <f>IFERROR(IF(INDEX([1]Pivot!$AD$1:$BE$65000,$B727,P$5)=1,1,IF(INDEX([1]Pivot!$B$1:$AB$65000,$B727,P$5)="",2,0)),0)</f>
        <v>0</v>
      </c>
      <c r="Q727" s="194">
        <f>IFERROR(IF(INDEX([1]Pivot!$AD$1:$BE$65000,$B727,Q$5)=1,1,IF(INDEX([1]Pivot!$B$1:$AB$65000,$B727,Q$5)="",2,0)),0)</f>
        <v>0</v>
      </c>
      <c r="R727" s="312"/>
      <c r="S727" s="194">
        <f>IFERROR(IF(INDEX([1]Pivot!$AD$1:$BE$65000,$B727,S$5)=1,1,IF(INDEX([1]Pivot!$B$1:$AB$65000,$B727,S$5)="",2,0)),0)</f>
        <v>0</v>
      </c>
      <c r="T727" s="194">
        <f>IFERROR(IF(INDEX([1]Pivot!$AD$1:$BE$65000,$B727,T$5)=1,1,IF(INDEX([1]Pivot!$B$1:$AB$65000,$B727,T$5)="",2,0)),0)</f>
        <v>0</v>
      </c>
      <c r="U727" s="194">
        <f>IFERROR(IF(INDEX([1]Pivot!$AD$1:$BE$65000,$B727,U$5)=1,1,IF(INDEX([1]Pivot!$B$1:$AB$65000,$B727,U$5)="",2,0)),0)</f>
        <v>0</v>
      </c>
      <c r="V727" s="194">
        <f>IFERROR(IF(INDEX([1]Pivot!$AD$1:$BE$65000,$B727,V$5)=1,1,IF(INDEX([1]Pivot!$B$1:$AB$65000,$B727,V$5)="",2,0)),0)</f>
        <v>0</v>
      </c>
      <c r="W727" s="194">
        <f>IFERROR(IF(INDEX([1]Pivot!$AD$1:$BE$65000,$B727,W$5)=1,1,IF(INDEX([1]Pivot!$B$1:$AB$65000,$B727,W$5)="",2,0)),0)</f>
        <v>0</v>
      </c>
      <c r="X727" s="194">
        <f>IFERROR(IF(INDEX([1]Pivot!$AD$1:$BE$65000,$B727,X$5)=1,1,IF(INDEX([1]Pivot!$B$1:$AB$65000,$B727,X$5)="",2,0)),0)</f>
        <v>0</v>
      </c>
      <c r="Y727" s="194">
        <f>IFERROR(IF(INDEX([1]Pivot!$AD$1:$BE$65000,$B727,Y$5)=1,1,IF(INDEX([1]Pivot!$B$1:$AB$65000,$B727,Y$5)="",2,0)),0)</f>
        <v>0</v>
      </c>
      <c r="Z727" s="194">
        <f>IFERROR(IF(INDEX([1]Pivot!$AD$1:$BE$65000,$B727,Z$5)=1,1,IF(INDEX([1]Pivot!$B$1:$AB$65000,$B727,Z$5)="",2,0)),0)</f>
        <v>0</v>
      </c>
      <c r="AA727" s="194">
        <f>IFERROR(IF(INDEX([1]Pivot!$AD$1:$BE$65000,$B727,AA$5)=1,1,IF(INDEX([1]Pivot!$B$1:$AB$65000,$B727,AA$5)="",2,0)),0)</f>
        <v>0</v>
      </c>
      <c r="AB727" s="194">
        <f>IFERROR(IF(INDEX([1]Pivot!$AD$1:$BE$65000,$B727,AB$5)=1,1,IF(INDEX([1]Pivot!$B$1:$AB$65000,$B727,AB$5)="",2,0)),0)</f>
        <v>0</v>
      </c>
      <c r="AC727" s="194">
        <f>IFERROR(IF(INDEX([1]Pivot!$AD$1:$BE$65000,$B727,AC$5)=1,1,IF(INDEX([1]Pivot!$B$1:$AB$65000,$B727,AC$5)="",2,0)),0)</f>
        <v>0</v>
      </c>
      <c r="AD727" s="313">
        <f>IFERROR(IF(INDEX([1]Pivot!$BF$1:$CG$65000,$B727,AD$5)=1,1,IF(INDEX([1]Pivot!$B$1:$AB$65000,$B727,AD$5)="",2,0)),0)</f>
        <v>0</v>
      </c>
      <c r="AE727" s="313">
        <f>IFERROR(IF(INDEX([1]Pivot!$BF$1:$CG$65000,$B727,AE$5)=1,1,IF(INDEX([1]Pivot!$B$1:$AB$65000,$B727,AE$5)="",2,0)),0)</f>
        <v>0</v>
      </c>
      <c r="AF727" s="313">
        <f>IFERROR(IF(INDEX([1]Pivot!$BF$1:$CG$65000,$B727,AF$5)=1,1,IF(INDEX([1]Pivot!$B$1:$AB$65000,$B727,AF$5)="",2,0)),0)</f>
        <v>0</v>
      </c>
      <c r="AG727" s="313">
        <f>IFERROR(IF(INDEX([1]Pivot!$BF$1:$CG$65000,$B727,AG$5)=1,1,IF(INDEX([1]Pivot!$B$1:$AB$65000,$B727,AG$5)="",2,0)),0)</f>
        <v>0</v>
      </c>
      <c r="AH727" s="313">
        <f>IFERROR(IF(INDEX([1]Pivot!$BF$1:$CG$65000,$B727,AH$5)=1,1,IF(INDEX([1]Pivot!$B$1:$AB$65000,$B727,AH$5)="",2,0)),0)</f>
        <v>0</v>
      </c>
      <c r="AI727" s="313">
        <f>IFERROR(IF(INDEX([1]Pivot!$BF$1:$CG$65000,$B727,AI$5)=1,1,IF(INDEX([1]Pivot!$B$1:$AB$65000,$B727,AI$5)="",2,0)),0)</f>
        <v>0</v>
      </c>
      <c r="AJ727" s="313">
        <f>IFERROR(IF(INDEX([1]Pivot!$BF$1:$CG$65000,$B727,AJ$5)=1,1,IF(INDEX([1]Pivot!$B$1:$AB$65000,$B727,AJ$5)="",2,0)),0)</f>
        <v>0</v>
      </c>
      <c r="AK727" s="313">
        <f>IFERROR(IF(INDEX([1]Pivot!$BF$1:$CG$65000,$B727,AK$5)=1,1,IF(INDEX([1]Pivot!$B$1:$AB$65000,$B727,AK$5)="",2,0)),0)</f>
        <v>0</v>
      </c>
      <c r="AL727" s="313">
        <f>IFERROR(IF(INDEX([1]Pivot!$BF$1:$CG$65000,$B727,AL$5)=1,1,IF(INDEX([1]Pivot!$B$1:$AB$65000,$B727,AL$5)="",2,0)),0)</f>
        <v>0</v>
      </c>
      <c r="AM727" s="313">
        <f>IFERROR(IF(INDEX([1]Pivot!$BF$1:$CG$65000,$B727,AM$5)=1,1,IF(INDEX([1]Pivot!$B$1:$AB$65000,$B727,AM$5)="",2,0)),0)</f>
        <v>0</v>
      </c>
      <c r="AN727" s="313">
        <f>IFERROR(IF(INDEX([1]Pivot!$BF$1:$CG$65000,$B727,AN$5)=1,1,IF(INDEX([1]Pivot!$B$1:$AB$65000,$B727,AN$5)="",2,0)),0)</f>
        <v>0</v>
      </c>
      <c r="AO727" s="313">
        <f>IFERROR(IF(INDEX([1]Pivot!$BF$1:$CG$65000,$B727,AO$5)=1,1,IF(INDEX([1]Pivot!$B$1:$AB$65000,$B727,AO$5)="",2,0)),0)</f>
        <v>0</v>
      </c>
      <c r="AP727" s="313">
        <f>IFERROR(IF(INDEX([1]Pivot!$BF$1:$CG$65000,$B727,AP$5)=1,1,IF(INDEX([1]Pivot!$B$1:$AB$65000,$B727,AP$5)="",2,0)),0)</f>
        <v>0</v>
      </c>
      <c r="AQ727" s="313">
        <f>IFERROR(IF(INDEX([1]Pivot!$BF$1:$CG$65000,$B727,AQ$5)=1,1,IF(INDEX([1]Pivot!$B$1:$AB$65000,$B727,AQ$5)="",2,0)),0)</f>
        <v>0</v>
      </c>
      <c r="AR727" s="313">
        <f>IFERROR(IF(INDEX([1]Pivot!$BF$1:$CG$65000,$B727,AR$5)=1,1,IF(INDEX([1]Pivot!$B$1:$AB$65000,$B727,AR$5)="",2,0)),0)</f>
        <v>0</v>
      </c>
      <c r="AS727" s="312"/>
      <c r="AT727" s="313">
        <f>IFERROR(IF(INDEX([1]Pivot!$BF$1:$CG$65000,$B727,AT$5)=1,1,IF(INDEX([1]Pivot!$B$1:$AB$65000,$B727,AT$5)="",2,0)),0)</f>
        <v>0</v>
      </c>
      <c r="AU727" s="313">
        <f>IFERROR(IF(INDEX([1]Pivot!$BF$1:$CG$65000,$B727,AU$5)=1,1,IF(INDEX([1]Pivot!$B$1:$AB$65000,$B727,AU$5)="",2,0)),0)</f>
        <v>0</v>
      </c>
      <c r="AV727" s="313">
        <f>IFERROR(IF(INDEX([1]Pivot!$BF$1:$CG$65000,$B727,AV$5)=1,1,IF(INDEX([1]Pivot!$B$1:$AB$65000,$B727,AV$5)="",2,0)),0)</f>
        <v>0</v>
      </c>
      <c r="AW727" s="313">
        <f>IFERROR(IF(INDEX([1]Pivot!$BF$1:$CG$65000,$B727,AW$5)=1,1,IF(INDEX([1]Pivot!$B$1:$AB$65000,$B727,AW$5)="",2,0)),0)</f>
        <v>0</v>
      </c>
      <c r="AX727" s="313">
        <f>IFERROR(IF(INDEX([1]Pivot!$BF$1:$CG$65000,$B727,AX$5)=1,1,IF(INDEX([1]Pivot!$B$1:$AB$65000,$B727,AX$5)="",2,0)),0)</f>
        <v>0</v>
      </c>
      <c r="AY727" s="313">
        <f>IFERROR(IF(INDEX([1]Pivot!$BF$1:$CG$65000,$B727,AY$5)=1,1,IF(INDEX([1]Pivot!$B$1:$AB$65000,$B727,AY$5)="",2,0)),0)</f>
        <v>0</v>
      </c>
      <c r="AZ727" s="313">
        <f>IFERROR(IF(INDEX([1]Pivot!$BF$1:$CG$65000,$B727,AZ$5)=1,1,IF(INDEX([1]Pivot!$B$1:$AB$65000,$B727,AZ$5)="",2,0)),0)</f>
        <v>0</v>
      </c>
      <c r="BA727" s="313">
        <f>IFERROR(IF(INDEX([1]Pivot!$BF$1:$CG$65000,$B727,BA$5)=1,1,IF(INDEX([1]Pivot!$B$1:$AB$65000,$B727,BA$5)="",2,0)),0)</f>
        <v>0</v>
      </c>
      <c r="BB727" s="313">
        <f>IFERROR(IF(INDEX([1]Pivot!$BF$1:$CG$65000,$B727,BB$5)=1,1,IF(INDEX([1]Pivot!$B$1:$AB$65000,$B727,BB$5)="",2,0)),0)</f>
        <v>0</v>
      </c>
      <c r="BC727" s="313">
        <f>IFERROR(IF(INDEX([1]Pivot!$BF$1:$CG$65000,$B727,BC$5)=1,1,IF(INDEX([1]Pivot!$B$1:$AB$65000,$B727,BC$5)="",2,0)),0)</f>
        <v>0</v>
      </c>
      <c r="BD727" s="313">
        <f>IFERROR(IF(INDEX([1]Pivot!$BF$1:$CG$65000,$B727,BD$5)=1,1,IF(INDEX([1]Pivot!$B$1:$AB$65000,$B727,BD$5)="",2,0)),0)</f>
        <v>0</v>
      </c>
    </row>
    <row r="728" spans="1:56" x14ac:dyDescent="0.25">
      <c r="A728" s="288">
        <f>'[2]Raw Milk Prices'!A728</f>
        <v>0</v>
      </c>
      <c r="B728" s="296" t="e">
        <f>MATCH(DATE(LEFT('[2]Raw Milk Prices'!$A728,4),RIGHT('[2]Raw Milk Prices'!$A728,2),1),[1]Pivot!$A$1:$A$65000,0)</f>
        <v>#VALUE!</v>
      </c>
      <c r="C728" s="194">
        <f>IFERROR(IF(INDEX([1]Pivot!$AD$1:$BE$65000,$B728,C$5)=1,1,IF(INDEX([1]Pivot!$B$1:$AB$65000,$B728,C$5)="",2,0)),0)</f>
        <v>0</v>
      </c>
      <c r="D728" s="194">
        <f>IFERROR(IF(INDEX([1]Pivot!$AD$1:$BE$65000,$B728,D$5)=1,1,IF(INDEX([1]Pivot!$B$1:$AB$65000,$B728,D$5)="",2,0)),0)</f>
        <v>0</v>
      </c>
      <c r="E728" s="194">
        <f>IFERROR(IF(INDEX([1]Pivot!$AD$1:$BE$65000,$B728,E$5)=1,1,IF(INDEX([1]Pivot!$B$1:$AB$65000,$B728,E$5)="",2,0)),0)</f>
        <v>0</v>
      </c>
      <c r="F728" s="194">
        <f>IFERROR(IF(INDEX([1]Pivot!$AD$1:$BE$65000,$B728,F$5)=1,1,IF(INDEX([1]Pivot!$B$1:$AB$65000,$B728,F$5)="",2,0)),0)</f>
        <v>0</v>
      </c>
      <c r="G728" s="194">
        <f>IFERROR(IF(INDEX([1]Pivot!$AD$1:$BE$65000,$B728,G$5)=1,1,IF(INDEX([1]Pivot!$B$1:$AB$65000,$B728,G$5)="",2,0)),0)</f>
        <v>0</v>
      </c>
      <c r="H728" s="194">
        <f>IFERROR(IF(INDEX([1]Pivot!$AD$1:$BE$65000,$B728,H$5)=1,1,IF(INDEX([1]Pivot!$B$1:$AB$65000,$B728,H$5)="",2,0)),0)</f>
        <v>0</v>
      </c>
      <c r="I728" s="194">
        <f>IFERROR(IF(INDEX([1]Pivot!$AD$1:$BE$65000,$B728,I$5)=1,1,IF(INDEX([1]Pivot!$B$1:$AB$65000,$B728,I$5)="",2,0)),0)</f>
        <v>0</v>
      </c>
      <c r="J728" s="194">
        <f>IFERROR(IF(INDEX([1]Pivot!$AD$1:$BE$65000,$B728,J$5)=1,1,IF(INDEX([1]Pivot!$B$1:$AB$65000,$B728,J$5)="",2,0)),0)</f>
        <v>0</v>
      </c>
      <c r="K728" s="194">
        <f>IFERROR(IF(INDEX([1]Pivot!$AD$1:$BE$65000,$B728,K$5)=1,1,IF(INDEX([1]Pivot!$B$1:$AB$65000,$B728,K$5)="",2,0)),0)</f>
        <v>0</v>
      </c>
      <c r="L728" s="194">
        <f>IFERROR(IF(INDEX([1]Pivot!$AD$1:$BE$65000,$B728,L$5)=1,1,IF(INDEX([1]Pivot!$B$1:$AB$65000,$B728,L$5)="",2,0)),0)</f>
        <v>0</v>
      </c>
      <c r="M728" s="194">
        <f>IFERROR(IF(INDEX([1]Pivot!$AD$1:$BE$65000,$B728,M$5)=1,1,IF(INDEX([1]Pivot!$B$1:$AB$65000,$B728,M$5)="",2,0)),0)</f>
        <v>0</v>
      </c>
      <c r="N728" s="194">
        <f>IFERROR(IF(INDEX([1]Pivot!$AD$1:$BE$65000,$B728,N$5)=1,1,IF(INDEX([1]Pivot!$B$1:$AB$65000,$B728,N$5)="",2,0)),0)</f>
        <v>0</v>
      </c>
      <c r="O728" s="194">
        <f>IFERROR(IF(INDEX([1]Pivot!$AD$1:$BE$65000,$B728,O$5)=1,1,IF(INDEX([1]Pivot!$B$1:$AB$65000,$B728,O$5)="",2,0)),0)</f>
        <v>0</v>
      </c>
      <c r="P728" s="194">
        <f>IFERROR(IF(INDEX([1]Pivot!$AD$1:$BE$65000,$B728,P$5)=1,1,IF(INDEX([1]Pivot!$B$1:$AB$65000,$B728,P$5)="",2,0)),0)</f>
        <v>0</v>
      </c>
      <c r="Q728" s="194">
        <f>IFERROR(IF(INDEX([1]Pivot!$AD$1:$BE$65000,$B728,Q$5)=1,1,IF(INDEX([1]Pivot!$B$1:$AB$65000,$B728,Q$5)="",2,0)),0)</f>
        <v>0</v>
      </c>
      <c r="R728" s="312"/>
      <c r="S728" s="194">
        <f>IFERROR(IF(INDEX([1]Pivot!$AD$1:$BE$65000,$B728,S$5)=1,1,IF(INDEX([1]Pivot!$B$1:$AB$65000,$B728,S$5)="",2,0)),0)</f>
        <v>0</v>
      </c>
      <c r="T728" s="194">
        <f>IFERROR(IF(INDEX([1]Pivot!$AD$1:$BE$65000,$B728,T$5)=1,1,IF(INDEX([1]Pivot!$B$1:$AB$65000,$B728,T$5)="",2,0)),0)</f>
        <v>0</v>
      </c>
      <c r="U728" s="194">
        <f>IFERROR(IF(INDEX([1]Pivot!$AD$1:$BE$65000,$B728,U$5)=1,1,IF(INDEX([1]Pivot!$B$1:$AB$65000,$B728,U$5)="",2,0)),0)</f>
        <v>0</v>
      </c>
      <c r="V728" s="194">
        <f>IFERROR(IF(INDEX([1]Pivot!$AD$1:$BE$65000,$B728,V$5)=1,1,IF(INDEX([1]Pivot!$B$1:$AB$65000,$B728,V$5)="",2,0)),0)</f>
        <v>0</v>
      </c>
      <c r="W728" s="194">
        <f>IFERROR(IF(INDEX([1]Pivot!$AD$1:$BE$65000,$B728,W$5)=1,1,IF(INDEX([1]Pivot!$B$1:$AB$65000,$B728,W$5)="",2,0)),0)</f>
        <v>0</v>
      </c>
      <c r="X728" s="194">
        <f>IFERROR(IF(INDEX([1]Pivot!$AD$1:$BE$65000,$B728,X$5)=1,1,IF(INDEX([1]Pivot!$B$1:$AB$65000,$B728,X$5)="",2,0)),0)</f>
        <v>0</v>
      </c>
      <c r="Y728" s="194">
        <f>IFERROR(IF(INDEX([1]Pivot!$AD$1:$BE$65000,$B728,Y$5)=1,1,IF(INDEX([1]Pivot!$B$1:$AB$65000,$B728,Y$5)="",2,0)),0)</f>
        <v>0</v>
      </c>
      <c r="Z728" s="194">
        <f>IFERROR(IF(INDEX([1]Pivot!$AD$1:$BE$65000,$B728,Z$5)=1,1,IF(INDEX([1]Pivot!$B$1:$AB$65000,$B728,Z$5)="",2,0)),0)</f>
        <v>0</v>
      </c>
      <c r="AA728" s="194">
        <f>IFERROR(IF(INDEX([1]Pivot!$AD$1:$BE$65000,$B728,AA$5)=1,1,IF(INDEX([1]Pivot!$B$1:$AB$65000,$B728,AA$5)="",2,0)),0)</f>
        <v>0</v>
      </c>
      <c r="AB728" s="194">
        <f>IFERROR(IF(INDEX([1]Pivot!$AD$1:$BE$65000,$B728,AB$5)=1,1,IF(INDEX([1]Pivot!$B$1:$AB$65000,$B728,AB$5)="",2,0)),0)</f>
        <v>0</v>
      </c>
      <c r="AC728" s="194">
        <f>IFERROR(IF(INDEX([1]Pivot!$AD$1:$BE$65000,$B728,AC$5)=1,1,IF(INDEX([1]Pivot!$B$1:$AB$65000,$B728,AC$5)="",2,0)),0)</f>
        <v>0</v>
      </c>
      <c r="AD728" s="313">
        <f>IFERROR(IF(INDEX([1]Pivot!$BF$1:$CG$65000,$B728,AD$5)=1,1,IF(INDEX([1]Pivot!$B$1:$AB$65000,$B728,AD$5)="",2,0)),0)</f>
        <v>0</v>
      </c>
      <c r="AE728" s="313">
        <f>IFERROR(IF(INDEX([1]Pivot!$BF$1:$CG$65000,$B728,AE$5)=1,1,IF(INDEX([1]Pivot!$B$1:$AB$65000,$B728,AE$5)="",2,0)),0)</f>
        <v>0</v>
      </c>
      <c r="AF728" s="313">
        <f>IFERROR(IF(INDEX([1]Pivot!$BF$1:$CG$65000,$B728,AF$5)=1,1,IF(INDEX([1]Pivot!$B$1:$AB$65000,$B728,AF$5)="",2,0)),0)</f>
        <v>0</v>
      </c>
      <c r="AG728" s="313">
        <f>IFERROR(IF(INDEX([1]Pivot!$BF$1:$CG$65000,$B728,AG$5)=1,1,IF(INDEX([1]Pivot!$B$1:$AB$65000,$B728,AG$5)="",2,0)),0)</f>
        <v>0</v>
      </c>
      <c r="AH728" s="313">
        <f>IFERROR(IF(INDEX([1]Pivot!$BF$1:$CG$65000,$B728,AH$5)=1,1,IF(INDEX([1]Pivot!$B$1:$AB$65000,$B728,AH$5)="",2,0)),0)</f>
        <v>0</v>
      </c>
      <c r="AI728" s="313">
        <f>IFERROR(IF(INDEX([1]Pivot!$BF$1:$CG$65000,$B728,AI$5)=1,1,IF(INDEX([1]Pivot!$B$1:$AB$65000,$B728,AI$5)="",2,0)),0)</f>
        <v>0</v>
      </c>
      <c r="AJ728" s="313">
        <f>IFERROR(IF(INDEX([1]Pivot!$BF$1:$CG$65000,$B728,AJ$5)=1,1,IF(INDEX([1]Pivot!$B$1:$AB$65000,$B728,AJ$5)="",2,0)),0)</f>
        <v>0</v>
      </c>
      <c r="AK728" s="313">
        <f>IFERROR(IF(INDEX([1]Pivot!$BF$1:$CG$65000,$B728,AK$5)=1,1,IF(INDEX([1]Pivot!$B$1:$AB$65000,$B728,AK$5)="",2,0)),0)</f>
        <v>0</v>
      </c>
      <c r="AL728" s="313">
        <f>IFERROR(IF(INDEX([1]Pivot!$BF$1:$CG$65000,$B728,AL$5)=1,1,IF(INDEX([1]Pivot!$B$1:$AB$65000,$B728,AL$5)="",2,0)),0)</f>
        <v>0</v>
      </c>
      <c r="AM728" s="313">
        <f>IFERROR(IF(INDEX([1]Pivot!$BF$1:$CG$65000,$B728,AM$5)=1,1,IF(INDEX([1]Pivot!$B$1:$AB$65000,$B728,AM$5)="",2,0)),0)</f>
        <v>0</v>
      </c>
      <c r="AN728" s="313">
        <f>IFERROR(IF(INDEX([1]Pivot!$BF$1:$CG$65000,$B728,AN$5)=1,1,IF(INDEX([1]Pivot!$B$1:$AB$65000,$B728,AN$5)="",2,0)),0)</f>
        <v>0</v>
      </c>
      <c r="AO728" s="313">
        <f>IFERROR(IF(INDEX([1]Pivot!$BF$1:$CG$65000,$B728,AO$5)=1,1,IF(INDEX([1]Pivot!$B$1:$AB$65000,$B728,AO$5)="",2,0)),0)</f>
        <v>0</v>
      </c>
      <c r="AP728" s="313">
        <f>IFERROR(IF(INDEX([1]Pivot!$BF$1:$CG$65000,$B728,AP$5)=1,1,IF(INDEX([1]Pivot!$B$1:$AB$65000,$B728,AP$5)="",2,0)),0)</f>
        <v>0</v>
      </c>
      <c r="AQ728" s="313">
        <f>IFERROR(IF(INDEX([1]Pivot!$BF$1:$CG$65000,$B728,AQ$5)=1,1,IF(INDEX([1]Pivot!$B$1:$AB$65000,$B728,AQ$5)="",2,0)),0)</f>
        <v>0</v>
      </c>
      <c r="AR728" s="313">
        <f>IFERROR(IF(INDEX([1]Pivot!$BF$1:$CG$65000,$B728,AR$5)=1,1,IF(INDEX([1]Pivot!$B$1:$AB$65000,$B728,AR$5)="",2,0)),0)</f>
        <v>0</v>
      </c>
      <c r="AS728" s="312"/>
      <c r="AT728" s="313">
        <f>IFERROR(IF(INDEX([1]Pivot!$BF$1:$CG$65000,$B728,AT$5)=1,1,IF(INDEX([1]Pivot!$B$1:$AB$65000,$B728,AT$5)="",2,0)),0)</f>
        <v>0</v>
      </c>
      <c r="AU728" s="313">
        <f>IFERROR(IF(INDEX([1]Pivot!$BF$1:$CG$65000,$B728,AU$5)=1,1,IF(INDEX([1]Pivot!$B$1:$AB$65000,$B728,AU$5)="",2,0)),0)</f>
        <v>0</v>
      </c>
      <c r="AV728" s="313">
        <f>IFERROR(IF(INDEX([1]Pivot!$BF$1:$CG$65000,$B728,AV$5)=1,1,IF(INDEX([1]Pivot!$B$1:$AB$65000,$B728,AV$5)="",2,0)),0)</f>
        <v>0</v>
      </c>
      <c r="AW728" s="313">
        <f>IFERROR(IF(INDEX([1]Pivot!$BF$1:$CG$65000,$B728,AW$5)=1,1,IF(INDEX([1]Pivot!$B$1:$AB$65000,$B728,AW$5)="",2,0)),0)</f>
        <v>0</v>
      </c>
      <c r="AX728" s="313">
        <f>IFERROR(IF(INDEX([1]Pivot!$BF$1:$CG$65000,$B728,AX$5)=1,1,IF(INDEX([1]Pivot!$B$1:$AB$65000,$B728,AX$5)="",2,0)),0)</f>
        <v>0</v>
      </c>
      <c r="AY728" s="313">
        <f>IFERROR(IF(INDEX([1]Pivot!$BF$1:$CG$65000,$B728,AY$5)=1,1,IF(INDEX([1]Pivot!$B$1:$AB$65000,$B728,AY$5)="",2,0)),0)</f>
        <v>0</v>
      </c>
      <c r="AZ728" s="313">
        <f>IFERROR(IF(INDEX([1]Pivot!$BF$1:$CG$65000,$B728,AZ$5)=1,1,IF(INDEX([1]Pivot!$B$1:$AB$65000,$B728,AZ$5)="",2,0)),0)</f>
        <v>0</v>
      </c>
      <c r="BA728" s="313">
        <f>IFERROR(IF(INDEX([1]Pivot!$BF$1:$CG$65000,$B728,BA$5)=1,1,IF(INDEX([1]Pivot!$B$1:$AB$65000,$B728,BA$5)="",2,0)),0)</f>
        <v>0</v>
      </c>
      <c r="BB728" s="313">
        <f>IFERROR(IF(INDEX([1]Pivot!$BF$1:$CG$65000,$B728,BB$5)=1,1,IF(INDEX([1]Pivot!$B$1:$AB$65000,$B728,BB$5)="",2,0)),0)</f>
        <v>0</v>
      </c>
      <c r="BC728" s="313">
        <f>IFERROR(IF(INDEX([1]Pivot!$BF$1:$CG$65000,$B728,BC$5)=1,1,IF(INDEX([1]Pivot!$B$1:$AB$65000,$B728,BC$5)="",2,0)),0)</f>
        <v>0</v>
      </c>
      <c r="BD728" s="313">
        <f>IFERROR(IF(INDEX([1]Pivot!$BF$1:$CG$65000,$B728,BD$5)=1,1,IF(INDEX([1]Pivot!$B$1:$AB$65000,$B728,BD$5)="",2,0)),0)</f>
        <v>0</v>
      </c>
    </row>
    <row r="729" spans="1:56" x14ac:dyDescent="0.25">
      <c r="A729" s="288">
        <f>'[2]Raw Milk Prices'!A729</f>
        <v>0</v>
      </c>
      <c r="B729" s="296" t="e">
        <f>MATCH(DATE(LEFT('[2]Raw Milk Prices'!$A729,4),RIGHT('[2]Raw Milk Prices'!$A729,2),1),[1]Pivot!$A$1:$A$65000,0)</f>
        <v>#VALUE!</v>
      </c>
      <c r="C729" s="194">
        <f>IFERROR(IF(INDEX([1]Pivot!$AD$1:$BE$65000,$B729,C$5)=1,1,IF(INDEX([1]Pivot!$B$1:$AB$65000,$B729,C$5)="",2,0)),0)</f>
        <v>0</v>
      </c>
      <c r="D729" s="194">
        <f>IFERROR(IF(INDEX([1]Pivot!$AD$1:$BE$65000,$B729,D$5)=1,1,IF(INDEX([1]Pivot!$B$1:$AB$65000,$B729,D$5)="",2,0)),0)</f>
        <v>0</v>
      </c>
      <c r="E729" s="194">
        <f>IFERROR(IF(INDEX([1]Pivot!$AD$1:$BE$65000,$B729,E$5)=1,1,IF(INDEX([1]Pivot!$B$1:$AB$65000,$B729,E$5)="",2,0)),0)</f>
        <v>0</v>
      </c>
      <c r="F729" s="194">
        <f>IFERROR(IF(INDEX([1]Pivot!$AD$1:$BE$65000,$B729,F$5)=1,1,IF(INDEX([1]Pivot!$B$1:$AB$65000,$B729,F$5)="",2,0)),0)</f>
        <v>0</v>
      </c>
      <c r="G729" s="194">
        <f>IFERROR(IF(INDEX([1]Pivot!$AD$1:$BE$65000,$B729,G$5)=1,1,IF(INDEX([1]Pivot!$B$1:$AB$65000,$B729,G$5)="",2,0)),0)</f>
        <v>0</v>
      </c>
      <c r="H729" s="194">
        <f>IFERROR(IF(INDEX([1]Pivot!$AD$1:$BE$65000,$B729,H$5)=1,1,IF(INDEX([1]Pivot!$B$1:$AB$65000,$B729,H$5)="",2,0)),0)</f>
        <v>0</v>
      </c>
      <c r="I729" s="194">
        <f>IFERROR(IF(INDEX([1]Pivot!$AD$1:$BE$65000,$B729,I$5)=1,1,IF(INDEX([1]Pivot!$B$1:$AB$65000,$B729,I$5)="",2,0)),0)</f>
        <v>0</v>
      </c>
      <c r="J729" s="194">
        <f>IFERROR(IF(INDEX([1]Pivot!$AD$1:$BE$65000,$B729,J$5)=1,1,IF(INDEX([1]Pivot!$B$1:$AB$65000,$B729,J$5)="",2,0)),0)</f>
        <v>0</v>
      </c>
      <c r="K729" s="194">
        <f>IFERROR(IF(INDEX([1]Pivot!$AD$1:$BE$65000,$B729,K$5)=1,1,IF(INDEX([1]Pivot!$B$1:$AB$65000,$B729,K$5)="",2,0)),0)</f>
        <v>0</v>
      </c>
      <c r="L729" s="194">
        <f>IFERROR(IF(INDEX([1]Pivot!$AD$1:$BE$65000,$B729,L$5)=1,1,IF(INDEX([1]Pivot!$B$1:$AB$65000,$B729,L$5)="",2,0)),0)</f>
        <v>0</v>
      </c>
      <c r="M729" s="194">
        <f>IFERROR(IF(INDEX([1]Pivot!$AD$1:$BE$65000,$B729,M$5)=1,1,IF(INDEX([1]Pivot!$B$1:$AB$65000,$B729,M$5)="",2,0)),0)</f>
        <v>0</v>
      </c>
      <c r="N729" s="194">
        <f>IFERROR(IF(INDEX([1]Pivot!$AD$1:$BE$65000,$B729,N$5)=1,1,IF(INDEX([1]Pivot!$B$1:$AB$65000,$B729,N$5)="",2,0)),0)</f>
        <v>0</v>
      </c>
      <c r="O729" s="194">
        <f>IFERROR(IF(INDEX([1]Pivot!$AD$1:$BE$65000,$B729,O$5)=1,1,IF(INDEX([1]Pivot!$B$1:$AB$65000,$B729,O$5)="",2,0)),0)</f>
        <v>0</v>
      </c>
      <c r="P729" s="194">
        <f>IFERROR(IF(INDEX([1]Pivot!$AD$1:$BE$65000,$B729,P$5)=1,1,IF(INDEX([1]Pivot!$B$1:$AB$65000,$B729,P$5)="",2,0)),0)</f>
        <v>0</v>
      </c>
      <c r="Q729" s="194">
        <f>IFERROR(IF(INDEX([1]Pivot!$AD$1:$BE$65000,$B729,Q$5)=1,1,IF(INDEX([1]Pivot!$B$1:$AB$65000,$B729,Q$5)="",2,0)),0)</f>
        <v>0</v>
      </c>
      <c r="R729" s="312"/>
      <c r="S729" s="194">
        <f>IFERROR(IF(INDEX([1]Pivot!$AD$1:$BE$65000,$B729,S$5)=1,1,IF(INDEX([1]Pivot!$B$1:$AB$65000,$B729,S$5)="",2,0)),0)</f>
        <v>0</v>
      </c>
      <c r="T729" s="194">
        <f>IFERROR(IF(INDEX([1]Pivot!$AD$1:$BE$65000,$B729,T$5)=1,1,IF(INDEX([1]Pivot!$B$1:$AB$65000,$B729,T$5)="",2,0)),0)</f>
        <v>0</v>
      </c>
      <c r="U729" s="194">
        <f>IFERROR(IF(INDEX([1]Pivot!$AD$1:$BE$65000,$B729,U$5)=1,1,IF(INDEX([1]Pivot!$B$1:$AB$65000,$B729,U$5)="",2,0)),0)</f>
        <v>0</v>
      </c>
      <c r="V729" s="194">
        <f>IFERROR(IF(INDEX([1]Pivot!$AD$1:$BE$65000,$B729,V$5)=1,1,IF(INDEX([1]Pivot!$B$1:$AB$65000,$B729,V$5)="",2,0)),0)</f>
        <v>0</v>
      </c>
      <c r="W729" s="194">
        <f>IFERROR(IF(INDEX([1]Pivot!$AD$1:$BE$65000,$B729,W$5)=1,1,IF(INDEX([1]Pivot!$B$1:$AB$65000,$B729,W$5)="",2,0)),0)</f>
        <v>0</v>
      </c>
      <c r="X729" s="194">
        <f>IFERROR(IF(INDEX([1]Pivot!$AD$1:$BE$65000,$B729,X$5)=1,1,IF(INDEX([1]Pivot!$B$1:$AB$65000,$B729,X$5)="",2,0)),0)</f>
        <v>0</v>
      </c>
      <c r="Y729" s="194">
        <f>IFERROR(IF(INDEX([1]Pivot!$AD$1:$BE$65000,$B729,Y$5)=1,1,IF(INDEX([1]Pivot!$B$1:$AB$65000,$B729,Y$5)="",2,0)),0)</f>
        <v>0</v>
      </c>
      <c r="Z729" s="194">
        <f>IFERROR(IF(INDEX([1]Pivot!$AD$1:$BE$65000,$B729,Z$5)=1,1,IF(INDEX([1]Pivot!$B$1:$AB$65000,$B729,Z$5)="",2,0)),0)</f>
        <v>0</v>
      </c>
      <c r="AA729" s="194">
        <f>IFERROR(IF(INDEX([1]Pivot!$AD$1:$BE$65000,$B729,AA$5)=1,1,IF(INDEX([1]Pivot!$B$1:$AB$65000,$B729,AA$5)="",2,0)),0)</f>
        <v>0</v>
      </c>
      <c r="AB729" s="194">
        <f>IFERROR(IF(INDEX([1]Pivot!$AD$1:$BE$65000,$B729,AB$5)=1,1,IF(INDEX([1]Pivot!$B$1:$AB$65000,$B729,AB$5)="",2,0)),0)</f>
        <v>0</v>
      </c>
      <c r="AC729" s="194">
        <f>IFERROR(IF(INDEX([1]Pivot!$AD$1:$BE$65000,$B729,AC$5)=1,1,IF(INDEX([1]Pivot!$B$1:$AB$65000,$B729,AC$5)="",2,0)),0)</f>
        <v>0</v>
      </c>
      <c r="AD729" s="313">
        <f>IFERROR(IF(INDEX([1]Pivot!$BF$1:$CG$65000,$B729,AD$5)=1,1,IF(INDEX([1]Pivot!$B$1:$AB$65000,$B729,AD$5)="",2,0)),0)</f>
        <v>0</v>
      </c>
      <c r="AE729" s="313">
        <f>IFERROR(IF(INDEX([1]Pivot!$BF$1:$CG$65000,$B729,AE$5)=1,1,IF(INDEX([1]Pivot!$B$1:$AB$65000,$B729,AE$5)="",2,0)),0)</f>
        <v>0</v>
      </c>
      <c r="AF729" s="313">
        <f>IFERROR(IF(INDEX([1]Pivot!$BF$1:$CG$65000,$B729,AF$5)=1,1,IF(INDEX([1]Pivot!$B$1:$AB$65000,$B729,AF$5)="",2,0)),0)</f>
        <v>0</v>
      </c>
      <c r="AG729" s="313">
        <f>IFERROR(IF(INDEX([1]Pivot!$BF$1:$CG$65000,$B729,AG$5)=1,1,IF(INDEX([1]Pivot!$B$1:$AB$65000,$B729,AG$5)="",2,0)),0)</f>
        <v>0</v>
      </c>
      <c r="AH729" s="313">
        <f>IFERROR(IF(INDEX([1]Pivot!$BF$1:$CG$65000,$B729,AH$5)=1,1,IF(INDEX([1]Pivot!$B$1:$AB$65000,$B729,AH$5)="",2,0)),0)</f>
        <v>0</v>
      </c>
      <c r="AI729" s="313">
        <f>IFERROR(IF(INDEX([1]Pivot!$BF$1:$CG$65000,$B729,AI$5)=1,1,IF(INDEX([1]Pivot!$B$1:$AB$65000,$B729,AI$5)="",2,0)),0)</f>
        <v>0</v>
      </c>
      <c r="AJ729" s="313">
        <f>IFERROR(IF(INDEX([1]Pivot!$BF$1:$CG$65000,$B729,AJ$5)=1,1,IF(INDEX([1]Pivot!$B$1:$AB$65000,$B729,AJ$5)="",2,0)),0)</f>
        <v>0</v>
      </c>
      <c r="AK729" s="313">
        <f>IFERROR(IF(INDEX([1]Pivot!$BF$1:$CG$65000,$B729,AK$5)=1,1,IF(INDEX([1]Pivot!$B$1:$AB$65000,$B729,AK$5)="",2,0)),0)</f>
        <v>0</v>
      </c>
      <c r="AL729" s="313">
        <f>IFERROR(IF(INDEX([1]Pivot!$BF$1:$CG$65000,$B729,AL$5)=1,1,IF(INDEX([1]Pivot!$B$1:$AB$65000,$B729,AL$5)="",2,0)),0)</f>
        <v>0</v>
      </c>
      <c r="AM729" s="313">
        <f>IFERROR(IF(INDEX([1]Pivot!$BF$1:$CG$65000,$B729,AM$5)=1,1,IF(INDEX([1]Pivot!$B$1:$AB$65000,$B729,AM$5)="",2,0)),0)</f>
        <v>0</v>
      </c>
      <c r="AN729" s="313">
        <f>IFERROR(IF(INDEX([1]Pivot!$BF$1:$CG$65000,$B729,AN$5)=1,1,IF(INDEX([1]Pivot!$B$1:$AB$65000,$B729,AN$5)="",2,0)),0)</f>
        <v>0</v>
      </c>
      <c r="AO729" s="313">
        <f>IFERROR(IF(INDEX([1]Pivot!$BF$1:$CG$65000,$B729,AO$5)=1,1,IF(INDEX([1]Pivot!$B$1:$AB$65000,$B729,AO$5)="",2,0)),0)</f>
        <v>0</v>
      </c>
      <c r="AP729" s="313">
        <f>IFERROR(IF(INDEX([1]Pivot!$BF$1:$CG$65000,$B729,AP$5)=1,1,IF(INDEX([1]Pivot!$B$1:$AB$65000,$B729,AP$5)="",2,0)),0)</f>
        <v>0</v>
      </c>
      <c r="AQ729" s="313">
        <f>IFERROR(IF(INDEX([1]Pivot!$BF$1:$CG$65000,$B729,AQ$5)=1,1,IF(INDEX([1]Pivot!$B$1:$AB$65000,$B729,AQ$5)="",2,0)),0)</f>
        <v>0</v>
      </c>
      <c r="AR729" s="313">
        <f>IFERROR(IF(INDEX([1]Pivot!$BF$1:$CG$65000,$B729,AR$5)=1,1,IF(INDEX([1]Pivot!$B$1:$AB$65000,$B729,AR$5)="",2,0)),0)</f>
        <v>0</v>
      </c>
      <c r="AS729" s="312"/>
      <c r="AT729" s="313">
        <f>IFERROR(IF(INDEX([1]Pivot!$BF$1:$CG$65000,$B729,AT$5)=1,1,IF(INDEX([1]Pivot!$B$1:$AB$65000,$B729,AT$5)="",2,0)),0)</f>
        <v>0</v>
      </c>
      <c r="AU729" s="313">
        <f>IFERROR(IF(INDEX([1]Pivot!$BF$1:$CG$65000,$B729,AU$5)=1,1,IF(INDEX([1]Pivot!$B$1:$AB$65000,$B729,AU$5)="",2,0)),0)</f>
        <v>0</v>
      </c>
      <c r="AV729" s="313">
        <f>IFERROR(IF(INDEX([1]Pivot!$BF$1:$CG$65000,$B729,AV$5)=1,1,IF(INDEX([1]Pivot!$B$1:$AB$65000,$B729,AV$5)="",2,0)),0)</f>
        <v>0</v>
      </c>
      <c r="AW729" s="313">
        <f>IFERROR(IF(INDEX([1]Pivot!$BF$1:$CG$65000,$B729,AW$5)=1,1,IF(INDEX([1]Pivot!$B$1:$AB$65000,$B729,AW$5)="",2,0)),0)</f>
        <v>0</v>
      </c>
      <c r="AX729" s="313">
        <f>IFERROR(IF(INDEX([1]Pivot!$BF$1:$CG$65000,$B729,AX$5)=1,1,IF(INDEX([1]Pivot!$B$1:$AB$65000,$B729,AX$5)="",2,0)),0)</f>
        <v>0</v>
      </c>
      <c r="AY729" s="313">
        <f>IFERROR(IF(INDEX([1]Pivot!$BF$1:$CG$65000,$B729,AY$5)=1,1,IF(INDEX([1]Pivot!$B$1:$AB$65000,$B729,AY$5)="",2,0)),0)</f>
        <v>0</v>
      </c>
      <c r="AZ729" s="313">
        <f>IFERROR(IF(INDEX([1]Pivot!$BF$1:$CG$65000,$B729,AZ$5)=1,1,IF(INDEX([1]Pivot!$B$1:$AB$65000,$B729,AZ$5)="",2,0)),0)</f>
        <v>0</v>
      </c>
      <c r="BA729" s="313">
        <f>IFERROR(IF(INDEX([1]Pivot!$BF$1:$CG$65000,$B729,BA$5)=1,1,IF(INDEX([1]Pivot!$B$1:$AB$65000,$B729,BA$5)="",2,0)),0)</f>
        <v>0</v>
      </c>
      <c r="BB729" s="313">
        <f>IFERROR(IF(INDEX([1]Pivot!$BF$1:$CG$65000,$B729,BB$5)=1,1,IF(INDEX([1]Pivot!$B$1:$AB$65000,$B729,BB$5)="",2,0)),0)</f>
        <v>0</v>
      </c>
      <c r="BC729" s="313">
        <f>IFERROR(IF(INDEX([1]Pivot!$BF$1:$CG$65000,$B729,BC$5)=1,1,IF(INDEX([1]Pivot!$B$1:$AB$65000,$B729,BC$5)="",2,0)),0)</f>
        <v>0</v>
      </c>
      <c r="BD729" s="313">
        <f>IFERROR(IF(INDEX([1]Pivot!$BF$1:$CG$65000,$B729,BD$5)=1,1,IF(INDEX([1]Pivot!$B$1:$AB$65000,$B729,BD$5)="",2,0)),0)</f>
        <v>0</v>
      </c>
    </row>
    <row r="730" spans="1:56" x14ac:dyDescent="0.25">
      <c r="A730" s="288">
        <f>'[2]Raw Milk Prices'!A730</f>
        <v>0</v>
      </c>
      <c r="B730" s="296" t="e">
        <f>MATCH(DATE(LEFT('[2]Raw Milk Prices'!$A730,4),RIGHT('[2]Raw Milk Prices'!$A730,2),1),[1]Pivot!$A$1:$A$65000,0)</f>
        <v>#VALUE!</v>
      </c>
      <c r="C730" s="194">
        <f>IFERROR(IF(INDEX([1]Pivot!$AD$1:$BE$65000,$B730,C$5)=1,1,IF(INDEX([1]Pivot!$B$1:$AB$65000,$B730,C$5)="",2,0)),0)</f>
        <v>0</v>
      </c>
      <c r="D730" s="194">
        <f>IFERROR(IF(INDEX([1]Pivot!$AD$1:$BE$65000,$B730,D$5)=1,1,IF(INDEX([1]Pivot!$B$1:$AB$65000,$B730,D$5)="",2,0)),0)</f>
        <v>0</v>
      </c>
      <c r="E730" s="194">
        <f>IFERROR(IF(INDEX([1]Pivot!$AD$1:$BE$65000,$B730,E$5)=1,1,IF(INDEX([1]Pivot!$B$1:$AB$65000,$B730,E$5)="",2,0)),0)</f>
        <v>0</v>
      </c>
      <c r="F730" s="194">
        <f>IFERROR(IF(INDEX([1]Pivot!$AD$1:$BE$65000,$B730,F$5)=1,1,IF(INDEX([1]Pivot!$B$1:$AB$65000,$B730,F$5)="",2,0)),0)</f>
        <v>0</v>
      </c>
      <c r="G730" s="194">
        <f>IFERROR(IF(INDEX([1]Pivot!$AD$1:$BE$65000,$B730,G$5)=1,1,IF(INDEX([1]Pivot!$B$1:$AB$65000,$B730,G$5)="",2,0)),0)</f>
        <v>0</v>
      </c>
      <c r="H730" s="194">
        <f>IFERROR(IF(INDEX([1]Pivot!$AD$1:$BE$65000,$B730,H$5)=1,1,IF(INDEX([1]Pivot!$B$1:$AB$65000,$B730,H$5)="",2,0)),0)</f>
        <v>0</v>
      </c>
      <c r="I730" s="194">
        <f>IFERROR(IF(INDEX([1]Pivot!$AD$1:$BE$65000,$B730,I$5)=1,1,IF(INDEX([1]Pivot!$B$1:$AB$65000,$B730,I$5)="",2,0)),0)</f>
        <v>0</v>
      </c>
      <c r="J730" s="194">
        <f>IFERROR(IF(INDEX([1]Pivot!$AD$1:$BE$65000,$B730,J$5)=1,1,IF(INDEX([1]Pivot!$B$1:$AB$65000,$B730,J$5)="",2,0)),0)</f>
        <v>0</v>
      </c>
      <c r="K730" s="194">
        <f>IFERROR(IF(INDEX([1]Pivot!$AD$1:$BE$65000,$B730,K$5)=1,1,IF(INDEX([1]Pivot!$B$1:$AB$65000,$B730,K$5)="",2,0)),0)</f>
        <v>0</v>
      </c>
      <c r="L730" s="194">
        <f>IFERROR(IF(INDEX([1]Pivot!$AD$1:$BE$65000,$B730,L$5)=1,1,IF(INDEX([1]Pivot!$B$1:$AB$65000,$B730,L$5)="",2,0)),0)</f>
        <v>0</v>
      </c>
      <c r="M730" s="194">
        <f>IFERROR(IF(INDEX([1]Pivot!$AD$1:$BE$65000,$B730,M$5)=1,1,IF(INDEX([1]Pivot!$B$1:$AB$65000,$B730,M$5)="",2,0)),0)</f>
        <v>0</v>
      </c>
      <c r="N730" s="194">
        <f>IFERROR(IF(INDEX([1]Pivot!$AD$1:$BE$65000,$B730,N$5)=1,1,IF(INDEX([1]Pivot!$B$1:$AB$65000,$B730,N$5)="",2,0)),0)</f>
        <v>0</v>
      </c>
      <c r="O730" s="194">
        <f>IFERROR(IF(INDEX([1]Pivot!$AD$1:$BE$65000,$B730,O$5)=1,1,IF(INDEX([1]Pivot!$B$1:$AB$65000,$B730,O$5)="",2,0)),0)</f>
        <v>0</v>
      </c>
      <c r="P730" s="194">
        <f>IFERROR(IF(INDEX([1]Pivot!$AD$1:$BE$65000,$B730,P$5)=1,1,IF(INDEX([1]Pivot!$B$1:$AB$65000,$B730,P$5)="",2,0)),0)</f>
        <v>0</v>
      </c>
      <c r="Q730" s="194">
        <f>IFERROR(IF(INDEX([1]Pivot!$AD$1:$BE$65000,$B730,Q$5)=1,1,IF(INDEX([1]Pivot!$B$1:$AB$65000,$B730,Q$5)="",2,0)),0)</f>
        <v>0</v>
      </c>
      <c r="R730" s="312"/>
      <c r="S730" s="194">
        <f>IFERROR(IF(INDEX([1]Pivot!$AD$1:$BE$65000,$B730,S$5)=1,1,IF(INDEX([1]Pivot!$B$1:$AB$65000,$B730,S$5)="",2,0)),0)</f>
        <v>0</v>
      </c>
      <c r="T730" s="194">
        <f>IFERROR(IF(INDEX([1]Pivot!$AD$1:$BE$65000,$B730,T$5)=1,1,IF(INDEX([1]Pivot!$B$1:$AB$65000,$B730,T$5)="",2,0)),0)</f>
        <v>0</v>
      </c>
      <c r="U730" s="194">
        <f>IFERROR(IF(INDEX([1]Pivot!$AD$1:$BE$65000,$B730,U$5)=1,1,IF(INDEX([1]Pivot!$B$1:$AB$65000,$B730,U$5)="",2,0)),0)</f>
        <v>0</v>
      </c>
      <c r="V730" s="194">
        <f>IFERROR(IF(INDEX([1]Pivot!$AD$1:$BE$65000,$B730,V$5)=1,1,IF(INDEX([1]Pivot!$B$1:$AB$65000,$B730,V$5)="",2,0)),0)</f>
        <v>0</v>
      </c>
      <c r="W730" s="194">
        <f>IFERROR(IF(INDEX([1]Pivot!$AD$1:$BE$65000,$B730,W$5)=1,1,IF(INDEX([1]Pivot!$B$1:$AB$65000,$B730,W$5)="",2,0)),0)</f>
        <v>0</v>
      </c>
      <c r="X730" s="194">
        <f>IFERROR(IF(INDEX([1]Pivot!$AD$1:$BE$65000,$B730,X$5)=1,1,IF(INDEX([1]Pivot!$B$1:$AB$65000,$B730,X$5)="",2,0)),0)</f>
        <v>0</v>
      </c>
      <c r="Y730" s="194">
        <f>IFERROR(IF(INDEX([1]Pivot!$AD$1:$BE$65000,$B730,Y$5)=1,1,IF(INDEX([1]Pivot!$B$1:$AB$65000,$B730,Y$5)="",2,0)),0)</f>
        <v>0</v>
      </c>
      <c r="Z730" s="194">
        <f>IFERROR(IF(INDEX([1]Pivot!$AD$1:$BE$65000,$B730,Z$5)=1,1,IF(INDEX([1]Pivot!$B$1:$AB$65000,$B730,Z$5)="",2,0)),0)</f>
        <v>0</v>
      </c>
      <c r="AA730" s="194">
        <f>IFERROR(IF(INDEX([1]Pivot!$AD$1:$BE$65000,$B730,AA$5)=1,1,IF(INDEX([1]Pivot!$B$1:$AB$65000,$B730,AA$5)="",2,0)),0)</f>
        <v>0</v>
      </c>
      <c r="AB730" s="194">
        <f>IFERROR(IF(INDEX([1]Pivot!$AD$1:$BE$65000,$B730,AB$5)=1,1,IF(INDEX([1]Pivot!$B$1:$AB$65000,$B730,AB$5)="",2,0)),0)</f>
        <v>0</v>
      </c>
      <c r="AC730" s="194">
        <f>IFERROR(IF(INDEX([1]Pivot!$AD$1:$BE$65000,$B730,AC$5)=1,1,IF(INDEX([1]Pivot!$B$1:$AB$65000,$B730,AC$5)="",2,0)),0)</f>
        <v>0</v>
      </c>
      <c r="AD730" s="313">
        <f>IFERROR(IF(INDEX([1]Pivot!$BF$1:$CG$65000,$B730,AD$5)=1,1,IF(INDEX([1]Pivot!$B$1:$AB$65000,$B730,AD$5)="",2,0)),0)</f>
        <v>0</v>
      </c>
      <c r="AE730" s="313">
        <f>IFERROR(IF(INDEX([1]Pivot!$BF$1:$CG$65000,$B730,AE$5)=1,1,IF(INDEX([1]Pivot!$B$1:$AB$65000,$B730,AE$5)="",2,0)),0)</f>
        <v>0</v>
      </c>
      <c r="AF730" s="313">
        <f>IFERROR(IF(INDEX([1]Pivot!$BF$1:$CG$65000,$B730,AF$5)=1,1,IF(INDEX([1]Pivot!$B$1:$AB$65000,$B730,AF$5)="",2,0)),0)</f>
        <v>0</v>
      </c>
      <c r="AG730" s="313">
        <f>IFERROR(IF(INDEX([1]Pivot!$BF$1:$CG$65000,$B730,AG$5)=1,1,IF(INDEX([1]Pivot!$B$1:$AB$65000,$B730,AG$5)="",2,0)),0)</f>
        <v>0</v>
      </c>
      <c r="AH730" s="313">
        <f>IFERROR(IF(INDEX([1]Pivot!$BF$1:$CG$65000,$B730,AH$5)=1,1,IF(INDEX([1]Pivot!$B$1:$AB$65000,$B730,AH$5)="",2,0)),0)</f>
        <v>0</v>
      </c>
      <c r="AI730" s="313">
        <f>IFERROR(IF(INDEX([1]Pivot!$BF$1:$CG$65000,$B730,AI$5)=1,1,IF(INDEX([1]Pivot!$B$1:$AB$65000,$B730,AI$5)="",2,0)),0)</f>
        <v>0</v>
      </c>
      <c r="AJ730" s="313">
        <f>IFERROR(IF(INDEX([1]Pivot!$BF$1:$CG$65000,$B730,AJ$5)=1,1,IF(INDEX([1]Pivot!$B$1:$AB$65000,$B730,AJ$5)="",2,0)),0)</f>
        <v>0</v>
      </c>
      <c r="AK730" s="313">
        <f>IFERROR(IF(INDEX([1]Pivot!$BF$1:$CG$65000,$B730,AK$5)=1,1,IF(INDEX([1]Pivot!$B$1:$AB$65000,$B730,AK$5)="",2,0)),0)</f>
        <v>0</v>
      </c>
      <c r="AL730" s="313">
        <f>IFERROR(IF(INDEX([1]Pivot!$BF$1:$CG$65000,$B730,AL$5)=1,1,IF(INDEX([1]Pivot!$B$1:$AB$65000,$B730,AL$5)="",2,0)),0)</f>
        <v>0</v>
      </c>
      <c r="AM730" s="313">
        <f>IFERROR(IF(INDEX([1]Pivot!$BF$1:$CG$65000,$B730,AM$5)=1,1,IF(INDEX([1]Pivot!$B$1:$AB$65000,$B730,AM$5)="",2,0)),0)</f>
        <v>0</v>
      </c>
      <c r="AN730" s="313">
        <f>IFERROR(IF(INDEX([1]Pivot!$BF$1:$CG$65000,$B730,AN$5)=1,1,IF(INDEX([1]Pivot!$B$1:$AB$65000,$B730,AN$5)="",2,0)),0)</f>
        <v>0</v>
      </c>
      <c r="AO730" s="313">
        <f>IFERROR(IF(INDEX([1]Pivot!$BF$1:$CG$65000,$B730,AO$5)=1,1,IF(INDEX([1]Pivot!$B$1:$AB$65000,$B730,AO$5)="",2,0)),0)</f>
        <v>0</v>
      </c>
      <c r="AP730" s="313">
        <f>IFERROR(IF(INDEX([1]Pivot!$BF$1:$CG$65000,$B730,AP$5)=1,1,IF(INDEX([1]Pivot!$B$1:$AB$65000,$B730,AP$5)="",2,0)),0)</f>
        <v>0</v>
      </c>
      <c r="AQ730" s="313">
        <f>IFERROR(IF(INDEX([1]Pivot!$BF$1:$CG$65000,$B730,AQ$5)=1,1,IF(INDEX([1]Pivot!$B$1:$AB$65000,$B730,AQ$5)="",2,0)),0)</f>
        <v>0</v>
      </c>
      <c r="AR730" s="313">
        <f>IFERROR(IF(INDEX([1]Pivot!$BF$1:$CG$65000,$B730,AR$5)=1,1,IF(INDEX([1]Pivot!$B$1:$AB$65000,$B730,AR$5)="",2,0)),0)</f>
        <v>0</v>
      </c>
      <c r="AS730" s="312"/>
      <c r="AT730" s="313">
        <f>IFERROR(IF(INDEX([1]Pivot!$BF$1:$CG$65000,$B730,AT$5)=1,1,IF(INDEX([1]Pivot!$B$1:$AB$65000,$B730,AT$5)="",2,0)),0)</f>
        <v>0</v>
      </c>
      <c r="AU730" s="313">
        <f>IFERROR(IF(INDEX([1]Pivot!$BF$1:$CG$65000,$B730,AU$5)=1,1,IF(INDEX([1]Pivot!$B$1:$AB$65000,$B730,AU$5)="",2,0)),0)</f>
        <v>0</v>
      </c>
      <c r="AV730" s="313">
        <f>IFERROR(IF(INDEX([1]Pivot!$BF$1:$CG$65000,$B730,AV$5)=1,1,IF(INDEX([1]Pivot!$B$1:$AB$65000,$B730,AV$5)="",2,0)),0)</f>
        <v>0</v>
      </c>
      <c r="AW730" s="313">
        <f>IFERROR(IF(INDEX([1]Pivot!$BF$1:$CG$65000,$B730,AW$5)=1,1,IF(INDEX([1]Pivot!$B$1:$AB$65000,$B730,AW$5)="",2,0)),0)</f>
        <v>0</v>
      </c>
      <c r="AX730" s="313">
        <f>IFERROR(IF(INDEX([1]Pivot!$BF$1:$CG$65000,$B730,AX$5)=1,1,IF(INDEX([1]Pivot!$B$1:$AB$65000,$B730,AX$5)="",2,0)),0)</f>
        <v>0</v>
      </c>
      <c r="AY730" s="313">
        <f>IFERROR(IF(INDEX([1]Pivot!$BF$1:$CG$65000,$B730,AY$5)=1,1,IF(INDEX([1]Pivot!$B$1:$AB$65000,$B730,AY$5)="",2,0)),0)</f>
        <v>0</v>
      </c>
      <c r="AZ730" s="313">
        <f>IFERROR(IF(INDEX([1]Pivot!$BF$1:$CG$65000,$B730,AZ$5)=1,1,IF(INDEX([1]Pivot!$B$1:$AB$65000,$B730,AZ$5)="",2,0)),0)</f>
        <v>0</v>
      </c>
      <c r="BA730" s="313">
        <f>IFERROR(IF(INDEX([1]Pivot!$BF$1:$CG$65000,$B730,BA$5)=1,1,IF(INDEX([1]Pivot!$B$1:$AB$65000,$B730,BA$5)="",2,0)),0)</f>
        <v>0</v>
      </c>
      <c r="BB730" s="313">
        <f>IFERROR(IF(INDEX([1]Pivot!$BF$1:$CG$65000,$B730,BB$5)=1,1,IF(INDEX([1]Pivot!$B$1:$AB$65000,$B730,BB$5)="",2,0)),0)</f>
        <v>0</v>
      </c>
      <c r="BC730" s="313">
        <f>IFERROR(IF(INDEX([1]Pivot!$BF$1:$CG$65000,$B730,BC$5)=1,1,IF(INDEX([1]Pivot!$B$1:$AB$65000,$B730,BC$5)="",2,0)),0)</f>
        <v>0</v>
      </c>
      <c r="BD730" s="313">
        <f>IFERROR(IF(INDEX([1]Pivot!$BF$1:$CG$65000,$B730,BD$5)=1,1,IF(INDEX([1]Pivot!$B$1:$AB$65000,$B730,BD$5)="",2,0)),0)</f>
        <v>0</v>
      </c>
    </row>
    <row r="731" spans="1:56" x14ac:dyDescent="0.25">
      <c r="A731" s="288">
        <f>'[2]Raw Milk Prices'!A731</f>
        <v>0</v>
      </c>
      <c r="B731" s="296" t="e">
        <f>MATCH(DATE(LEFT('[2]Raw Milk Prices'!$A731,4),RIGHT('[2]Raw Milk Prices'!$A731,2),1),[1]Pivot!$A$1:$A$65000,0)</f>
        <v>#VALUE!</v>
      </c>
      <c r="C731" s="194">
        <f>IFERROR(IF(INDEX([1]Pivot!$AD$1:$BE$65000,$B731,C$5)=1,1,IF(INDEX([1]Pivot!$B$1:$AB$65000,$B731,C$5)="",2,0)),0)</f>
        <v>0</v>
      </c>
      <c r="D731" s="194">
        <f>IFERROR(IF(INDEX([1]Pivot!$AD$1:$BE$65000,$B731,D$5)=1,1,IF(INDEX([1]Pivot!$B$1:$AB$65000,$B731,D$5)="",2,0)),0)</f>
        <v>0</v>
      </c>
      <c r="E731" s="194">
        <f>IFERROR(IF(INDEX([1]Pivot!$AD$1:$BE$65000,$B731,E$5)=1,1,IF(INDEX([1]Pivot!$B$1:$AB$65000,$B731,E$5)="",2,0)),0)</f>
        <v>0</v>
      </c>
      <c r="F731" s="194">
        <f>IFERROR(IF(INDEX([1]Pivot!$AD$1:$BE$65000,$B731,F$5)=1,1,IF(INDEX([1]Pivot!$B$1:$AB$65000,$B731,F$5)="",2,0)),0)</f>
        <v>0</v>
      </c>
      <c r="G731" s="194">
        <f>IFERROR(IF(INDEX([1]Pivot!$AD$1:$BE$65000,$B731,G$5)=1,1,IF(INDEX([1]Pivot!$B$1:$AB$65000,$B731,G$5)="",2,0)),0)</f>
        <v>0</v>
      </c>
      <c r="H731" s="194">
        <f>IFERROR(IF(INDEX([1]Pivot!$AD$1:$BE$65000,$B731,H$5)=1,1,IF(INDEX([1]Pivot!$B$1:$AB$65000,$B731,H$5)="",2,0)),0)</f>
        <v>0</v>
      </c>
      <c r="I731" s="194">
        <f>IFERROR(IF(INDEX([1]Pivot!$AD$1:$BE$65000,$B731,I$5)=1,1,IF(INDEX([1]Pivot!$B$1:$AB$65000,$B731,I$5)="",2,0)),0)</f>
        <v>0</v>
      </c>
      <c r="J731" s="194">
        <f>IFERROR(IF(INDEX([1]Pivot!$AD$1:$BE$65000,$B731,J$5)=1,1,IF(INDEX([1]Pivot!$B$1:$AB$65000,$B731,J$5)="",2,0)),0)</f>
        <v>0</v>
      </c>
      <c r="K731" s="194">
        <f>IFERROR(IF(INDEX([1]Pivot!$AD$1:$BE$65000,$B731,K$5)=1,1,IF(INDEX([1]Pivot!$B$1:$AB$65000,$B731,K$5)="",2,0)),0)</f>
        <v>0</v>
      </c>
      <c r="L731" s="194">
        <f>IFERROR(IF(INDEX([1]Pivot!$AD$1:$BE$65000,$B731,L$5)=1,1,IF(INDEX([1]Pivot!$B$1:$AB$65000,$B731,L$5)="",2,0)),0)</f>
        <v>0</v>
      </c>
      <c r="M731" s="194">
        <f>IFERROR(IF(INDEX([1]Pivot!$AD$1:$BE$65000,$B731,M$5)=1,1,IF(INDEX([1]Pivot!$B$1:$AB$65000,$B731,M$5)="",2,0)),0)</f>
        <v>0</v>
      </c>
      <c r="N731" s="194">
        <f>IFERROR(IF(INDEX([1]Pivot!$AD$1:$BE$65000,$B731,N$5)=1,1,IF(INDEX([1]Pivot!$B$1:$AB$65000,$B731,N$5)="",2,0)),0)</f>
        <v>0</v>
      </c>
      <c r="O731" s="194">
        <f>IFERROR(IF(INDEX([1]Pivot!$AD$1:$BE$65000,$B731,O$5)=1,1,IF(INDEX([1]Pivot!$B$1:$AB$65000,$B731,O$5)="",2,0)),0)</f>
        <v>0</v>
      </c>
      <c r="P731" s="194">
        <f>IFERROR(IF(INDEX([1]Pivot!$AD$1:$BE$65000,$B731,P$5)=1,1,IF(INDEX([1]Pivot!$B$1:$AB$65000,$B731,P$5)="",2,0)),0)</f>
        <v>0</v>
      </c>
      <c r="Q731" s="194">
        <f>IFERROR(IF(INDEX([1]Pivot!$AD$1:$BE$65000,$B731,Q$5)=1,1,IF(INDEX([1]Pivot!$B$1:$AB$65000,$B731,Q$5)="",2,0)),0)</f>
        <v>0</v>
      </c>
      <c r="R731" s="312"/>
      <c r="S731" s="194">
        <f>IFERROR(IF(INDEX([1]Pivot!$AD$1:$BE$65000,$B731,S$5)=1,1,IF(INDEX([1]Pivot!$B$1:$AB$65000,$B731,S$5)="",2,0)),0)</f>
        <v>0</v>
      </c>
      <c r="T731" s="194">
        <f>IFERROR(IF(INDEX([1]Pivot!$AD$1:$BE$65000,$B731,T$5)=1,1,IF(INDEX([1]Pivot!$B$1:$AB$65000,$B731,T$5)="",2,0)),0)</f>
        <v>0</v>
      </c>
      <c r="U731" s="194">
        <f>IFERROR(IF(INDEX([1]Pivot!$AD$1:$BE$65000,$B731,U$5)=1,1,IF(INDEX([1]Pivot!$B$1:$AB$65000,$B731,U$5)="",2,0)),0)</f>
        <v>0</v>
      </c>
      <c r="V731" s="194">
        <f>IFERROR(IF(INDEX([1]Pivot!$AD$1:$BE$65000,$B731,V$5)=1,1,IF(INDEX([1]Pivot!$B$1:$AB$65000,$B731,V$5)="",2,0)),0)</f>
        <v>0</v>
      </c>
      <c r="W731" s="194">
        <f>IFERROR(IF(INDEX([1]Pivot!$AD$1:$BE$65000,$B731,W$5)=1,1,IF(INDEX([1]Pivot!$B$1:$AB$65000,$B731,W$5)="",2,0)),0)</f>
        <v>0</v>
      </c>
      <c r="X731" s="194">
        <f>IFERROR(IF(INDEX([1]Pivot!$AD$1:$BE$65000,$B731,X$5)=1,1,IF(INDEX([1]Pivot!$B$1:$AB$65000,$B731,X$5)="",2,0)),0)</f>
        <v>0</v>
      </c>
      <c r="Y731" s="194">
        <f>IFERROR(IF(INDEX([1]Pivot!$AD$1:$BE$65000,$B731,Y$5)=1,1,IF(INDEX([1]Pivot!$B$1:$AB$65000,$B731,Y$5)="",2,0)),0)</f>
        <v>0</v>
      </c>
      <c r="Z731" s="194">
        <f>IFERROR(IF(INDEX([1]Pivot!$AD$1:$BE$65000,$B731,Z$5)=1,1,IF(INDEX([1]Pivot!$B$1:$AB$65000,$B731,Z$5)="",2,0)),0)</f>
        <v>0</v>
      </c>
      <c r="AA731" s="194">
        <f>IFERROR(IF(INDEX([1]Pivot!$AD$1:$BE$65000,$B731,AA$5)=1,1,IF(INDEX([1]Pivot!$B$1:$AB$65000,$B731,AA$5)="",2,0)),0)</f>
        <v>0</v>
      </c>
      <c r="AB731" s="194">
        <f>IFERROR(IF(INDEX([1]Pivot!$AD$1:$BE$65000,$B731,AB$5)=1,1,IF(INDEX([1]Pivot!$B$1:$AB$65000,$B731,AB$5)="",2,0)),0)</f>
        <v>0</v>
      </c>
      <c r="AC731" s="194">
        <f>IFERROR(IF(INDEX([1]Pivot!$AD$1:$BE$65000,$B731,AC$5)=1,1,IF(INDEX([1]Pivot!$B$1:$AB$65000,$B731,AC$5)="",2,0)),0)</f>
        <v>0</v>
      </c>
      <c r="AD731" s="313">
        <f>IFERROR(IF(INDEX([1]Pivot!$BF$1:$CG$65000,$B731,AD$5)=1,1,IF(INDEX([1]Pivot!$B$1:$AB$65000,$B731,AD$5)="",2,0)),0)</f>
        <v>0</v>
      </c>
      <c r="AE731" s="313">
        <f>IFERROR(IF(INDEX([1]Pivot!$BF$1:$CG$65000,$B731,AE$5)=1,1,IF(INDEX([1]Pivot!$B$1:$AB$65000,$B731,AE$5)="",2,0)),0)</f>
        <v>0</v>
      </c>
      <c r="AF731" s="313">
        <f>IFERROR(IF(INDEX([1]Pivot!$BF$1:$CG$65000,$B731,AF$5)=1,1,IF(INDEX([1]Pivot!$B$1:$AB$65000,$B731,AF$5)="",2,0)),0)</f>
        <v>0</v>
      </c>
      <c r="AG731" s="313">
        <f>IFERROR(IF(INDEX([1]Pivot!$BF$1:$CG$65000,$B731,AG$5)=1,1,IF(INDEX([1]Pivot!$B$1:$AB$65000,$B731,AG$5)="",2,0)),0)</f>
        <v>0</v>
      </c>
      <c r="AH731" s="313">
        <f>IFERROR(IF(INDEX([1]Pivot!$BF$1:$CG$65000,$B731,AH$5)=1,1,IF(INDEX([1]Pivot!$B$1:$AB$65000,$B731,AH$5)="",2,0)),0)</f>
        <v>0</v>
      </c>
      <c r="AI731" s="313">
        <f>IFERROR(IF(INDEX([1]Pivot!$BF$1:$CG$65000,$B731,AI$5)=1,1,IF(INDEX([1]Pivot!$B$1:$AB$65000,$B731,AI$5)="",2,0)),0)</f>
        <v>0</v>
      </c>
      <c r="AJ731" s="313">
        <f>IFERROR(IF(INDEX([1]Pivot!$BF$1:$CG$65000,$B731,AJ$5)=1,1,IF(INDEX([1]Pivot!$B$1:$AB$65000,$B731,AJ$5)="",2,0)),0)</f>
        <v>0</v>
      </c>
      <c r="AK731" s="313">
        <f>IFERROR(IF(INDEX([1]Pivot!$BF$1:$CG$65000,$B731,AK$5)=1,1,IF(INDEX([1]Pivot!$B$1:$AB$65000,$B731,AK$5)="",2,0)),0)</f>
        <v>0</v>
      </c>
      <c r="AL731" s="313">
        <f>IFERROR(IF(INDEX([1]Pivot!$BF$1:$CG$65000,$B731,AL$5)=1,1,IF(INDEX([1]Pivot!$B$1:$AB$65000,$B731,AL$5)="",2,0)),0)</f>
        <v>0</v>
      </c>
      <c r="AM731" s="313">
        <f>IFERROR(IF(INDEX([1]Pivot!$BF$1:$CG$65000,$B731,AM$5)=1,1,IF(INDEX([1]Pivot!$B$1:$AB$65000,$B731,AM$5)="",2,0)),0)</f>
        <v>0</v>
      </c>
      <c r="AN731" s="313">
        <f>IFERROR(IF(INDEX([1]Pivot!$BF$1:$CG$65000,$B731,AN$5)=1,1,IF(INDEX([1]Pivot!$B$1:$AB$65000,$B731,AN$5)="",2,0)),0)</f>
        <v>0</v>
      </c>
      <c r="AO731" s="313">
        <f>IFERROR(IF(INDEX([1]Pivot!$BF$1:$CG$65000,$B731,AO$5)=1,1,IF(INDEX([1]Pivot!$B$1:$AB$65000,$B731,AO$5)="",2,0)),0)</f>
        <v>0</v>
      </c>
      <c r="AP731" s="313">
        <f>IFERROR(IF(INDEX([1]Pivot!$BF$1:$CG$65000,$B731,AP$5)=1,1,IF(INDEX([1]Pivot!$B$1:$AB$65000,$B731,AP$5)="",2,0)),0)</f>
        <v>0</v>
      </c>
      <c r="AQ731" s="313">
        <f>IFERROR(IF(INDEX([1]Pivot!$BF$1:$CG$65000,$B731,AQ$5)=1,1,IF(INDEX([1]Pivot!$B$1:$AB$65000,$B731,AQ$5)="",2,0)),0)</f>
        <v>0</v>
      </c>
      <c r="AR731" s="313">
        <f>IFERROR(IF(INDEX([1]Pivot!$BF$1:$CG$65000,$B731,AR$5)=1,1,IF(INDEX([1]Pivot!$B$1:$AB$65000,$B731,AR$5)="",2,0)),0)</f>
        <v>0</v>
      </c>
      <c r="AS731" s="312"/>
      <c r="AT731" s="313">
        <f>IFERROR(IF(INDEX([1]Pivot!$BF$1:$CG$65000,$B731,AT$5)=1,1,IF(INDEX([1]Pivot!$B$1:$AB$65000,$B731,AT$5)="",2,0)),0)</f>
        <v>0</v>
      </c>
      <c r="AU731" s="313">
        <f>IFERROR(IF(INDEX([1]Pivot!$BF$1:$CG$65000,$B731,AU$5)=1,1,IF(INDEX([1]Pivot!$B$1:$AB$65000,$B731,AU$5)="",2,0)),0)</f>
        <v>0</v>
      </c>
      <c r="AV731" s="313">
        <f>IFERROR(IF(INDEX([1]Pivot!$BF$1:$CG$65000,$B731,AV$5)=1,1,IF(INDEX([1]Pivot!$B$1:$AB$65000,$B731,AV$5)="",2,0)),0)</f>
        <v>0</v>
      </c>
      <c r="AW731" s="313">
        <f>IFERROR(IF(INDEX([1]Pivot!$BF$1:$CG$65000,$B731,AW$5)=1,1,IF(INDEX([1]Pivot!$B$1:$AB$65000,$B731,AW$5)="",2,0)),0)</f>
        <v>0</v>
      </c>
      <c r="AX731" s="313">
        <f>IFERROR(IF(INDEX([1]Pivot!$BF$1:$CG$65000,$B731,AX$5)=1,1,IF(INDEX([1]Pivot!$B$1:$AB$65000,$B731,AX$5)="",2,0)),0)</f>
        <v>0</v>
      </c>
      <c r="AY731" s="313">
        <f>IFERROR(IF(INDEX([1]Pivot!$BF$1:$CG$65000,$B731,AY$5)=1,1,IF(INDEX([1]Pivot!$B$1:$AB$65000,$B731,AY$5)="",2,0)),0)</f>
        <v>0</v>
      </c>
      <c r="AZ731" s="313">
        <f>IFERROR(IF(INDEX([1]Pivot!$BF$1:$CG$65000,$B731,AZ$5)=1,1,IF(INDEX([1]Pivot!$B$1:$AB$65000,$B731,AZ$5)="",2,0)),0)</f>
        <v>0</v>
      </c>
      <c r="BA731" s="313">
        <f>IFERROR(IF(INDEX([1]Pivot!$BF$1:$CG$65000,$B731,BA$5)=1,1,IF(INDEX([1]Pivot!$B$1:$AB$65000,$B731,BA$5)="",2,0)),0)</f>
        <v>0</v>
      </c>
      <c r="BB731" s="313">
        <f>IFERROR(IF(INDEX([1]Pivot!$BF$1:$CG$65000,$B731,BB$5)=1,1,IF(INDEX([1]Pivot!$B$1:$AB$65000,$B731,BB$5)="",2,0)),0)</f>
        <v>0</v>
      </c>
      <c r="BC731" s="313">
        <f>IFERROR(IF(INDEX([1]Pivot!$BF$1:$CG$65000,$B731,BC$5)=1,1,IF(INDEX([1]Pivot!$B$1:$AB$65000,$B731,BC$5)="",2,0)),0)</f>
        <v>0</v>
      </c>
      <c r="BD731" s="313">
        <f>IFERROR(IF(INDEX([1]Pivot!$BF$1:$CG$65000,$B731,BD$5)=1,1,IF(INDEX([1]Pivot!$B$1:$AB$65000,$B731,BD$5)="",2,0)),0)</f>
        <v>0</v>
      </c>
    </row>
    <row r="732" spans="1:56" x14ac:dyDescent="0.25">
      <c r="A732" s="288">
        <f>'[2]Raw Milk Prices'!A732</f>
        <v>0</v>
      </c>
      <c r="B732" s="296" t="e">
        <f>MATCH(DATE(LEFT('[2]Raw Milk Prices'!$A732,4),RIGHT('[2]Raw Milk Prices'!$A732,2),1),[1]Pivot!$A$1:$A$65000,0)</f>
        <v>#VALUE!</v>
      </c>
      <c r="C732" s="194">
        <f>IFERROR(IF(INDEX([1]Pivot!$AD$1:$BE$65000,$B732,C$5)=1,1,IF(INDEX([1]Pivot!$B$1:$AB$65000,$B732,C$5)="",2,0)),0)</f>
        <v>0</v>
      </c>
      <c r="D732" s="194">
        <f>IFERROR(IF(INDEX([1]Pivot!$AD$1:$BE$65000,$B732,D$5)=1,1,IF(INDEX([1]Pivot!$B$1:$AB$65000,$B732,D$5)="",2,0)),0)</f>
        <v>0</v>
      </c>
      <c r="E732" s="194">
        <f>IFERROR(IF(INDEX([1]Pivot!$AD$1:$BE$65000,$B732,E$5)=1,1,IF(INDEX([1]Pivot!$B$1:$AB$65000,$B732,E$5)="",2,0)),0)</f>
        <v>0</v>
      </c>
      <c r="F732" s="194">
        <f>IFERROR(IF(INDEX([1]Pivot!$AD$1:$BE$65000,$B732,F$5)=1,1,IF(INDEX([1]Pivot!$B$1:$AB$65000,$B732,F$5)="",2,0)),0)</f>
        <v>0</v>
      </c>
      <c r="G732" s="194">
        <f>IFERROR(IF(INDEX([1]Pivot!$AD$1:$BE$65000,$B732,G$5)=1,1,IF(INDEX([1]Pivot!$B$1:$AB$65000,$B732,G$5)="",2,0)),0)</f>
        <v>0</v>
      </c>
      <c r="H732" s="194">
        <f>IFERROR(IF(INDEX([1]Pivot!$AD$1:$BE$65000,$B732,H$5)=1,1,IF(INDEX([1]Pivot!$B$1:$AB$65000,$B732,H$5)="",2,0)),0)</f>
        <v>0</v>
      </c>
      <c r="I732" s="194">
        <f>IFERROR(IF(INDEX([1]Pivot!$AD$1:$BE$65000,$B732,I$5)=1,1,IF(INDEX([1]Pivot!$B$1:$AB$65000,$B732,I$5)="",2,0)),0)</f>
        <v>0</v>
      </c>
      <c r="J732" s="194">
        <f>IFERROR(IF(INDEX([1]Pivot!$AD$1:$BE$65000,$B732,J$5)=1,1,IF(INDEX([1]Pivot!$B$1:$AB$65000,$B732,J$5)="",2,0)),0)</f>
        <v>0</v>
      </c>
      <c r="K732" s="194">
        <f>IFERROR(IF(INDEX([1]Pivot!$AD$1:$BE$65000,$B732,K$5)=1,1,IF(INDEX([1]Pivot!$B$1:$AB$65000,$B732,K$5)="",2,0)),0)</f>
        <v>0</v>
      </c>
      <c r="L732" s="194">
        <f>IFERROR(IF(INDEX([1]Pivot!$AD$1:$BE$65000,$B732,L$5)=1,1,IF(INDEX([1]Pivot!$B$1:$AB$65000,$B732,L$5)="",2,0)),0)</f>
        <v>0</v>
      </c>
      <c r="M732" s="194">
        <f>IFERROR(IF(INDEX([1]Pivot!$AD$1:$BE$65000,$B732,M$5)=1,1,IF(INDEX([1]Pivot!$B$1:$AB$65000,$B732,M$5)="",2,0)),0)</f>
        <v>0</v>
      </c>
      <c r="N732" s="194">
        <f>IFERROR(IF(INDEX([1]Pivot!$AD$1:$BE$65000,$B732,N$5)=1,1,IF(INDEX([1]Pivot!$B$1:$AB$65000,$B732,N$5)="",2,0)),0)</f>
        <v>0</v>
      </c>
      <c r="O732" s="194">
        <f>IFERROR(IF(INDEX([1]Pivot!$AD$1:$BE$65000,$B732,O$5)=1,1,IF(INDEX([1]Pivot!$B$1:$AB$65000,$B732,O$5)="",2,0)),0)</f>
        <v>0</v>
      </c>
      <c r="P732" s="194">
        <f>IFERROR(IF(INDEX([1]Pivot!$AD$1:$BE$65000,$B732,P$5)=1,1,IF(INDEX([1]Pivot!$B$1:$AB$65000,$B732,P$5)="",2,0)),0)</f>
        <v>0</v>
      </c>
      <c r="Q732" s="194">
        <f>IFERROR(IF(INDEX([1]Pivot!$AD$1:$BE$65000,$B732,Q$5)=1,1,IF(INDEX([1]Pivot!$B$1:$AB$65000,$B732,Q$5)="",2,0)),0)</f>
        <v>0</v>
      </c>
      <c r="R732" s="312"/>
      <c r="S732" s="194">
        <f>IFERROR(IF(INDEX([1]Pivot!$AD$1:$BE$65000,$B732,S$5)=1,1,IF(INDEX([1]Pivot!$B$1:$AB$65000,$B732,S$5)="",2,0)),0)</f>
        <v>0</v>
      </c>
      <c r="T732" s="194">
        <f>IFERROR(IF(INDEX([1]Pivot!$AD$1:$BE$65000,$B732,T$5)=1,1,IF(INDEX([1]Pivot!$B$1:$AB$65000,$B732,T$5)="",2,0)),0)</f>
        <v>0</v>
      </c>
      <c r="U732" s="194">
        <f>IFERROR(IF(INDEX([1]Pivot!$AD$1:$BE$65000,$B732,U$5)=1,1,IF(INDEX([1]Pivot!$B$1:$AB$65000,$B732,U$5)="",2,0)),0)</f>
        <v>0</v>
      </c>
      <c r="V732" s="194">
        <f>IFERROR(IF(INDEX([1]Pivot!$AD$1:$BE$65000,$B732,V$5)=1,1,IF(INDEX([1]Pivot!$B$1:$AB$65000,$B732,V$5)="",2,0)),0)</f>
        <v>0</v>
      </c>
      <c r="W732" s="194">
        <f>IFERROR(IF(INDEX([1]Pivot!$AD$1:$BE$65000,$B732,W$5)=1,1,IF(INDEX([1]Pivot!$B$1:$AB$65000,$B732,W$5)="",2,0)),0)</f>
        <v>0</v>
      </c>
      <c r="X732" s="194">
        <f>IFERROR(IF(INDEX([1]Pivot!$AD$1:$BE$65000,$B732,X$5)=1,1,IF(INDEX([1]Pivot!$B$1:$AB$65000,$B732,X$5)="",2,0)),0)</f>
        <v>0</v>
      </c>
      <c r="Y732" s="194">
        <f>IFERROR(IF(INDEX([1]Pivot!$AD$1:$BE$65000,$B732,Y$5)=1,1,IF(INDEX([1]Pivot!$B$1:$AB$65000,$B732,Y$5)="",2,0)),0)</f>
        <v>0</v>
      </c>
      <c r="Z732" s="194">
        <f>IFERROR(IF(INDEX([1]Pivot!$AD$1:$BE$65000,$B732,Z$5)=1,1,IF(INDEX([1]Pivot!$B$1:$AB$65000,$B732,Z$5)="",2,0)),0)</f>
        <v>0</v>
      </c>
      <c r="AA732" s="194">
        <f>IFERROR(IF(INDEX([1]Pivot!$AD$1:$BE$65000,$B732,AA$5)=1,1,IF(INDEX([1]Pivot!$B$1:$AB$65000,$B732,AA$5)="",2,0)),0)</f>
        <v>0</v>
      </c>
      <c r="AB732" s="194">
        <f>IFERROR(IF(INDEX([1]Pivot!$AD$1:$BE$65000,$B732,AB$5)=1,1,IF(INDEX([1]Pivot!$B$1:$AB$65000,$B732,AB$5)="",2,0)),0)</f>
        <v>0</v>
      </c>
      <c r="AC732" s="194">
        <f>IFERROR(IF(INDEX([1]Pivot!$AD$1:$BE$65000,$B732,AC$5)=1,1,IF(INDEX([1]Pivot!$B$1:$AB$65000,$B732,AC$5)="",2,0)),0)</f>
        <v>0</v>
      </c>
      <c r="AD732" s="313">
        <f>IFERROR(IF(INDEX([1]Pivot!$BF$1:$CG$65000,$B732,AD$5)=1,1,IF(INDEX([1]Pivot!$B$1:$AB$65000,$B732,AD$5)="",2,0)),0)</f>
        <v>0</v>
      </c>
      <c r="AE732" s="313">
        <f>IFERROR(IF(INDEX([1]Pivot!$BF$1:$CG$65000,$B732,AE$5)=1,1,IF(INDEX([1]Pivot!$B$1:$AB$65000,$B732,AE$5)="",2,0)),0)</f>
        <v>0</v>
      </c>
      <c r="AF732" s="313">
        <f>IFERROR(IF(INDEX([1]Pivot!$BF$1:$CG$65000,$B732,AF$5)=1,1,IF(INDEX([1]Pivot!$B$1:$AB$65000,$B732,AF$5)="",2,0)),0)</f>
        <v>0</v>
      </c>
      <c r="AG732" s="313">
        <f>IFERROR(IF(INDEX([1]Pivot!$BF$1:$CG$65000,$B732,AG$5)=1,1,IF(INDEX([1]Pivot!$B$1:$AB$65000,$B732,AG$5)="",2,0)),0)</f>
        <v>0</v>
      </c>
      <c r="AH732" s="313">
        <f>IFERROR(IF(INDEX([1]Pivot!$BF$1:$CG$65000,$B732,AH$5)=1,1,IF(INDEX([1]Pivot!$B$1:$AB$65000,$B732,AH$5)="",2,0)),0)</f>
        <v>0</v>
      </c>
      <c r="AI732" s="313">
        <f>IFERROR(IF(INDEX([1]Pivot!$BF$1:$CG$65000,$B732,AI$5)=1,1,IF(INDEX([1]Pivot!$B$1:$AB$65000,$B732,AI$5)="",2,0)),0)</f>
        <v>0</v>
      </c>
      <c r="AJ732" s="313">
        <f>IFERROR(IF(INDEX([1]Pivot!$BF$1:$CG$65000,$B732,AJ$5)=1,1,IF(INDEX([1]Pivot!$B$1:$AB$65000,$B732,AJ$5)="",2,0)),0)</f>
        <v>0</v>
      </c>
      <c r="AK732" s="313">
        <f>IFERROR(IF(INDEX([1]Pivot!$BF$1:$CG$65000,$B732,AK$5)=1,1,IF(INDEX([1]Pivot!$B$1:$AB$65000,$B732,AK$5)="",2,0)),0)</f>
        <v>0</v>
      </c>
      <c r="AL732" s="313">
        <f>IFERROR(IF(INDEX([1]Pivot!$BF$1:$CG$65000,$B732,AL$5)=1,1,IF(INDEX([1]Pivot!$B$1:$AB$65000,$B732,AL$5)="",2,0)),0)</f>
        <v>0</v>
      </c>
      <c r="AM732" s="313">
        <f>IFERROR(IF(INDEX([1]Pivot!$BF$1:$CG$65000,$B732,AM$5)=1,1,IF(INDEX([1]Pivot!$B$1:$AB$65000,$B732,AM$5)="",2,0)),0)</f>
        <v>0</v>
      </c>
      <c r="AN732" s="313">
        <f>IFERROR(IF(INDEX([1]Pivot!$BF$1:$CG$65000,$B732,AN$5)=1,1,IF(INDEX([1]Pivot!$B$1:$AB$65000,$B732,AN$5)="",2,0)),0)</f>
        <v>0</v>
      </c>
      <c r="AO732" s="313">
        <f>IFERROR(IF(INDEX([1]Pivot!$BF$1:$CG$65000,$B732,AO$5)=1,1,IF(INDEX([1]Pivot!$B$1:$AB$65000,$B732,AO$5)="",2,0)),0)</f>
        <v>0</v>
      </c>
      <c r="AP732" s="313">
        <f>IFERROR(IF(INDEX([1]Pivot!$BF$1:$CG$65000,$B732,AP$5)=1,1,IF(INDEX([1]Pivot!$B$1:$AB$65000,$B732,AP$5)="",2,0)),0)</f>
        <v>0</v>
      </c>
      <c r="AQ732" s="313">
        <f>IFERROR(IF(INDEX([1]Pivot!$BF$1:$CG$65000,$B732,AQ$5)=1,1,IF(INDEX([1]Pivot!$B$1:$AB$65000,$B732,AQ$5)="",2,0)),0)</f>
        <v>0</v>
      </c>
      <c r="AR732" s="313">
        <f>IFERROR(IF(INDEX([1]Pivot!$BF$1:$CG$65000,$B732,AR$5)=1,1,IF(INDEX([1]Pivot!$B$1:$AB$65000,$B732,AR$5)="",2,0)),0)</f>
        <v>0</v>
      </c>
      <c r="AS732" s="312"/>
      <c r="AT732" s="313">
        <f>IFERROR(IF(INDEX([1]Pivot!$BF$1:$CG$65000,$B732,AT$5)=1,1,IF(INDEX([1]Pivot!$B$1:$AB$65000,$B732,AT$5)="",2,0)),0)</f>
        <v>0</v>
      </c>
      <c r="AU732" s="313">
        <f>IFERROR(IF(INDEX([1]Pivot!$BF$1:$CG$65000,$B732,AU$5)=1,1,IF(INDEX([1]Pivot!$B$1:$AB$65000,$B732,AU$5)="",2,0)),0)</f>
        <v>0</v>
      </c>
      <c r="AV732" s="313">
        <f>IFERROR(IF(INDEX([1]Pivot!$BF$1:$CG$65000,$B732,AV$5)=1,1,IF(INDEX([1]Pivot!$B$1:$AB$65000,$B732,AV$5)="",2,0)),0)</f>
        <v>0</v>
      </c>
      <c r="AW732" s="313">
        <f>IFERROR(IF(INDEX([1]Pivot!$BF$1:$CG$65000,$B732,AW$5)=1,1,IF(INDEX([1]Pivot!$B$1:$AB$65000,$B732,AW$5)="",2,0)),0)</f>
        <v>0</v>
      </c>
      <c r="AX732" s="313">
        <f>IFERROR(IF(INDEX([1]Pivot!$BF$1:$CG$65000,$B732,AX$5)=1,1,IF(INDEX([1]Pivot!$B$1:$AB$65000,$B732,AX$5)="",2,0)),0)</f>
        <v>0</v>
      </c>
      <c r="AY732" s="313">
        <f>IFERROR(IF(INDEX([1]Pivot!$BF$1:$CG$65000,$B732,AY$5)=1,1,IF(INDEX([1]Pivot!$B$1:$AB$65000,$B732,AY$5)="",2,0)),0)</f>
        <v>0</v>
      </c>
      <c r="AZ732" s="313">
        <f>IFERROR(IF(INDEX([1]Pivot!$BF$1:$CG$65000,$B732,AZ$5)=1,1,IF(INDEX([1]Pivot!$B$1:$AB$65000,$B732,AZ$5)="",2,0)),0)</f>
        <v>0</v>
      </c>
      <c r="BA732" s="313">
        <f>IFERROR(IF(INDEX([1]Pivot!$BF$1:$CG$65000,$B732,BA$5)=1,1,IF(INDEX([1]Pivot!$B$1:$AB$65000,$B732,BA$5)="",2,0)),0)</f>
        <v>0</v>
      </c>
      <c r="BB732" s="313">
        <f>IFERROR(IF(INDEX([1]Pivot!$BF$1:$CG$65000,$B732,BB$5)=1,1,IF(INDEX([1]Pivot!$B$1:$AB$65000,$B732,BB$5)="",2,0)),0)</f>
        <v>0</v>
      </c>
      <c r="BC732" s="313">
        <f>IFERROR(IF(INDEX([1]Pivot!$BF$1:$CG$65000,$B732,BC$5)=1,1,IF(INDEX([1]Pivot!$B$1:$AB$65000,$B732,BC$5)="",2,0)),0)</f>
        <v>0</v>
      </c>
      <c r="BD732" s="313">
        <f>IFERROR(IF(INDEX([1]Pivot!$BF$1:$CG$65000,$B732,BD$5)=1,1,IF(INDEX([1]Pivot!$B$1:$AB$65000,$B732,BD$5)="",2,0)),0)</f>
        <v>0</v>
      </c>
    </row>
    <row r="733" spans="1:56" x14ac:dyDescent="0.25">
      <c r="A733" s="288">
        <f>'[2]Raw Milk Prices'!A733</f>
        <v>0</v>
      </c>
      <c r="B733" s="296" t="e">
        <f>MATCH(DATE(LEFT('[2]Raw Milk Prices'!$A733,4),RIGHT('[2]Raw Milk Prices'!$A733,2),1),[1]Pivot!$A$1:$A$65000,0)</f>
        <v>#VALUE!</v>
      </c>
      <c r="C733" s="194">
        <f>IFERROR(IF(INDEX([1]Pivot!$AD$1:$BE$65000,$B733,C$5)=1,1,IF(INDEX([1]Pivot!$B$1:$AB$65000,$B733,C$5)="",2,0)),0)</f>
        <v>0</v>
      </c>
      <c r="D733" s="194">
        <f>IFERROR(IF(INDEX([1]Pivot!$AD$1:$BE$65000,$B733,D$5)=1,1,IF(INDEX([1]Pivot!$B$1:$AB$65000,$B733,D$5)="",2,0)),0)</f>
        <v>0</v>
      </c>
      <c r="E733" s="194">
        <f>IFERROR(IF(INDEX([1]Pivot!$AD$1:$BE$65000,$B733,E$5)=1,1,IF(INDEX([1]Pivot!$B$1:$AB$65000,$B733,E$5)="",2,0)),0)</f>
        <v>0</v>
      </c>
      <c r="F733" s="194">
        <f>IFERROR(IF(INDEX([1]Pivot!$AD$1:$BE$65000,$B733,F$5)=1,1,IF(INDEX([1]Pivot!$B$1:$AB$65000,$B733,F$5)="",2,0)),0)</f>
        <v>0</v>
      </c>
      <c r="G733" s="194">
        <f>IFERROR(IF(INDEX([1]Pivot!$AD$1:$BE$65000,$B733,G$5)=1,1,IF(INDEX([1]Pivot!$B$1:$AB$65000,$B733,G$5)="",2,0)),0)</f>
        <v>0</v>
      </c>
      <c r="H733" s="194">
        <f>IFERROR(IF(INDEX([1]Pivot!$AD$1:$BE$65000,$B733,H$5)=1,1,IF(INDEX([1]Pivot!$B$1:$AB$65000,$B733,H$5)="",2,0)),0)</f>
        <v>0</v>
      </c>
      <c r="I733" s="194">
        <f>IFERROR(IF(INDEX([1]Pivot!$AD$1:$BE$65000,$B733,I$5)=1,1,IF(INDEX([1]Pivot!$B$1:$AB$65000,$B733,I$5)="",2,0)),0)</f>
        <v>0</v>
      </c>
      <c r="J733" s="194">
        <f>IFERROR(IF(INDEX([1]Pivot!$AD$1:$BE$65000,$B733,J$5)=1,1,IF(INDEX([1]Pivot!$B$1:$AB$65000,$B733,J$5)="",2,0)),0)</f>
        <v>0</v>
      </c>
      <c r="K733" s="194">
        <f>IFERROR(IF(INDEX([1]Pivot!$AD$1:$BE$65000,$B733,K$5)=1,1,IF(INDEX([1]Pivot!$B$1:$AB$65000,$B733,K$5)="",2,0)),0)</f>
        <v>0</v>
      </c>
      <c r="L733" s="194">
        <f>IFERROR(IF(INDEX([1]Pivot!$AD$1:$BE$65000,$B733,L$5)=1,1,IF(INDEX([1]Pivot!$B$1:$AB$65000,$B733,L$5)="",2,0)),0)</f>
        <v>0</v>
      </c>
      <c r="M733" s="194">
        <f>IFERROR(IF(INDEX([1]Pivot!$AD$1:$BE$65000,$B733,M$5)=1,1,IF(INDEX([1]Pivot!$B$1:$AB$65000,$B733,M$5)="",2,0)),0)</f>
        <v>0</v>
      </c>
      <c r="N733" s="194">
        <f>IFERROR(IF(INDEX([1]Pivot!$AD$1:$BE$65000,$B733,N$5)=1,1,IF(INDEX([1]Pivot!$B$1:$AB$65000,$B733,N$5)="",2,0)),0)</f>
        <v>0</v>
      </c>
      <c r="O733" s="194">
        <f>IFERROR(IF(INDEX([1]Pivot!$AD$1:$BE$65000,$B733,O$5)=1,1,IF(INDEX([1]Pivot!$B$1:$AB$65000,$B733,O$5)="",2,0)),0)</f>
        <v>0</v>
      </c>
      <c r="P733" s="194">
        <f>IFERROR(IF(INDEX([1]Pivot!$AD$1:$BE$65000,$B733,P$5)=1,1,IF(INDEX([1]Pivot!$B$1:$AB$65000,$B733,P$5)="",2,0)),0)</f>
        <v>0</v>
      </c>
      <c r="Q733" s="194">
        <f>IFERROR(IF(INDEX([1]Pivot!$AD$1:$BE$65000,$B733,Q$5)=1,1,IF(INDEX([1]Pivot!$B$1:$AB$65000,$B733,Q$5)="",2,0)),0)</f>
        <v>0</v>
      </c>
      <c r="R733" s="312"/>
      <c r="S733" s="194">
        <f>IFERROR(IF(INDEX([1]Pivot!$AD$1:$BE$65000,$B733,S$5)=1,1,IF(INDEX([1]Pivot!$B$1:$AB$65000,$B733,S$5)="",2,0)),0)</f>
        <v>0</v>
      </c>
      <c r="T733" s="194">
        <f>IFERROR(IF(INDEX([1]Pivot!$AD$1:$BE$65000,$B733,T$5)=1,1,IF(INDEX([1]Pivot!$B$1:$AB$65000,$B733,T$5)="",2,0)),0)</f>
        <v>0</v>
      </c>
      <c r="U733" s="194">
        <f>IFERROR(IF(INDEX([1]Pivot!$AD$1:$BE$65000,$B733,U$5)=1,1,IF(INDEX([1]Pivot!$B$1:$AB$65000,$B733,U$5)="",2,0)),0)</f>
        <v>0</v>
      </c>
      <c r="V733" s="194">
        <f>IFERROR(IF(INDEX([1]Pivot!$AD$1:$BE$65000,$B733,V$5)=1,1,IF(INDEX([1]Pivot!$B$1:$AB$65000,$B733,V$5)="",2,0)),0)</f>
        <v>0</v>
      </c>
      <c r="W733" s="194">
        <f>IFERROR(IF(INDEX([1]Pivot!$AD$1:$BE$65000,$B733,W$5)=1,1,IF(INDEX([1]Pivot!$B$1:$AB$65000,$B733,W$5)="",2,0)),0)</f>
        <v>0</v>
      </c>
      <c r="X733" s="194">
        <f>IFERROR(IF(INDEX([1]Pivot!$AD$1:$BE$65000,$B733,X$5)=1,1,IF(INDEX([1]Pivot!$B$1:$AB$65000,$B733,X$5)="",2,0)),0)</f>
        <v>0</v>
      </c>
      <c r="Y733" s="194">
        <f>IFERROR(IF(INDEX([1]Pivot!$AD$1:$BE$65000,$B733,Y$5)=1,1,IF(INDEX([1]Pivot!$B$1:$AB$65000,$B733,Y$5)="",2,0)),0)</f>
        <v>0</v>
      </c>
      <c r="Z733" s="194">
        <f>IFERROR(IF(INDEX([1]Pivot!$AD$1:$BE$65000,$B733,Z$5)=1,1,IF(INDEX([1]Pivot!$B$1:$AB$65000,$B733,Z$5)="",2,0)),0)</f>
        <v>0</v>
      </c>
      <c r="AA733" s="194">
        <f>IFERROR(IF(INDEX([1]Pivot!$AD$1:$BE$65000,$B733,AA$5)=1,1,IF(INDEX([1]Pivot!$B$1:$AB$65000,$B733,AA$5)="",2,0)),0)</f>
        <v>0</v>
      </c>
      <c r="AB733" s="194">
        <f>IFERROR(IF(INDEX([1]Pivot!$AD$1:$BE$65000,$B733,AB$5)=1,1,IF(INDEX([1]Pivot!$B$1:$AB$65000,$B733,AB$5)="",2,0)),0)</f>
        <v>0</v>
      </c>
      <c r="AC733" s="194">
        <f>IFERROR(IF(INDEX([1]Pivot!$AD$1:$BE$65000,$B733,AC$5)=1,1,IF(INDEX([1]Pivot!$B$1:$AB$65000,$B733,AC$5)="",2,0)),0)</f>
        <v>0</v>
      </c>
      <c r="AD733" s="313">
        <f>IFERROR(IF(INDEX([1]Pivot!$BF$1:$CG$65000,$B733,AD$5)=1,1,IF(INDEX([1]Pivot!$B$1:$AB$65000,$B733,AD$5)="",2,0)),0)</f>
        <v>0</v>
      </c>
      <c r="AE733" s="313">
        <f>IFERROR(IF(INDEX([1]Pivot!$BF$1:$CG$65000,$B733,AE$5)=1,1,IF(INDEX([1]Pivot!$B$1:$AB$65000,$B733,AE$5)="",2,0)),0)</f>
        <v>0</v>
      </c>
      <c r="AF733" s="313">
        <f>IFERROR(IF(INDEX([1]Pivot!$BF$1:$CG$65000,$B733,AF$5)=1,1,IF(INDEX([1]Pivot!$B$1:$AB$65000,$B733,AF$5)="",2,0)),0)</f>
        <v>0</v>
      </c>
      <c r="AG733" s="313">
        <f>IFERROR(IF(INDEX([1]Pivot!$BF$1:$CG$65000,$B733,AG$5)=1,1,IF(INDEX([1]Pivot!$B$1:$AB$65000,$B733,AG$5)="",2,0)),0)</f>
        <v>0</v>
      </c>
      <c r="AH733" s="313">
        <f>IFERROR(IF(INDEX([1]Pivot!$BF$1:$CG$65000,$B733,AH$5)=1,1,IF(INDEX([1]Pivot!$B$1:$AB$65000,$B733,AH$5)="",2,0)),0)</f>
        <v>0</v>
      </c>
      <c r="AI733" s="313">
        <f>IFERROR(IF(INDEX([1]Pivot!$BF$1:$CG$65000,$B733,AI$5)=1,1,IF(INDEX([1]Pivot!$B$1:$AB$65000,$B733,AI$5)="",2,0)),0)</f>
        <v>0</v>
      </c>
      <c r="AJ733" s="313">
        <f>IFERROR(IF(INDEX([1]Pivot!$BF$1:$CG$65000,$B733,AJ$5)=1,1,IF(INDEX([1]Pivot!$B$1:$AB$65000,$B733,AJ$5)="",2,0)),0)</f>
        <v>0</v>
      </c>
      <c r="AK733" s="313">
        <f>IFERROR(IF(INDEX([1]Pivot!$BF$1:$CG$65000,$B733,AK$5)=1,1,IF(INDEX([1]Pivot!$B$1:$AB$65000,$B733,AK$5)="",2,0)),0)</f>
        <v>0</v>
      </c>
      <c r="AL733" s="313">
        <f>IFERROR(IF(INDEX([1]Pivot!$BF$1:$CG$65000,$B733,AL$5)=1,1,IF(INDEX([1]Pivot!$B$1:$AB$65000,$B733,AL$5)="",2,0)),0)</f>
        <v>0</v>
      </c>
      <c r="AM733" s="313">
        <f>IFERROR(IF(INDEX([1]Pivot!$BF$1:$CG$65000,$B733,AM$5)=1,1,IF(INDEX([1]Pivot!$B$1:$AB$65000,$B733,AM$5)="",2,0)),0)</f>
        <v>0</v>
      </c>
      <c r="AN733" s="313">
        <f>IFERROR(IF(INDEX([1]Pivot!$BF$1:$CG$65000,$B733,AN$5)=1,1,IF(INDEX([1]Pivot!$B$1:$AB$65000,$B733,AN$5)="",2,0)),0)</f>
        <v>0</v>
      </c>
      <c r="AO733" s="313">
        <f>IFERROR(IF(INDEX([1]Pivot!$BF$1:$CG$65000,$B733,AO$5)=1,1,IF(INDEX([1]Pivot!$B$1:$AB$65000,$B733,AO$5)="",2,0)),0)</f>
        <v>0</v>
      </c>
      <c r="AP733" s="313">
        <f>IFERROR(IF(INDEX([1]Pivot!$BF$1:$CG$65000,$B733,AP$5)=1,1,IF(INDEX([1]Pivot!$B$1:$AB$65000,$B733,AP$5)="",2,0)),0)</f>
        <v>0</v>
      </c>
      <c r="AQ733" s="313">
        <f>IFERROR(IF(INDEX([1]Pivot!$BF$1:$CG$65000,$B733,AQ$5)=1,1,IF(INDEX([1]Pivot!$B$1:$AB$65000,$B733,AQ$5)="",2,0)),0)</f>
        <v>0</v>
      </c>
      <c r="AR733" s="313">
        <f>IFERROR(IF(INDEX([1]Pivot!$BF$1:$CG$65000,$B733,AR$5)=1,1,IF(INDEX([1]Pivot!$B$1:$AB$65000,$B733,AR$5)="",2,0)),0)</f>
        <v>0</v>
      </c>
      <c r="AS733" s="312"/>
      <c r="AT733" s="313">
        <f>IFERROR(IF(INDEX([1]Pivot!$BF$1:$CG$65000,$B733,AT$5)=1,1,IF(INDEX([1]Pivot!$B$1:$AB$65000,$B733,AT$5)="",2,0)),0)</f>
        <v>0</v>
      </c>
      <c r="AU733" s="313">
        <f>IFERROR(IF(INDEX([1]Pivot!$BF$1:$CG$65000,$B733,AU$5)=1,1,IF(INDEX([1]Pivot!$B$1:$AB$65000,$B733,AU$5)="",2,0)),0)</f>
        <v>0</v>
      </c>
      <c r="AV733" s="313">
        <f>IFERROR(IF(INDEX([1]Pivot!$BF$1:$CG$65000,$B733,AV$5)=1,1,IF(INDEX([1]Pivot!$B$1:$AB$65000,$B733,AV$5)="",2,0)),0)</f>
        <v>0</v>
      </c>
      <c r="AW733" s="313">
        <f>IFERROR(IF(INDEX([1]Pivot!$BF$1:$CG$65000,$B733,AW$5)=1,1,IF(INDEX([1]Pivot!$B$1:$AB$65000,$B733,AW$5)="",2,0)),0)</f>
        <v>0</v>
      </c>
      <c r="AX733" s="313">
        <f>IFERROR(IF(INDEX([1]Pivot!$BF$1:$CG$65000,$B733,AX$5)=1,1,IF(INDEX([1]Pivot!$B$1:$AB$65000,$B733,AX$5)="",2,0)),0)</f>
        <v>0</v>
      </c>
      <c r="AY733" s="313">
        <f>IFERROR(IF(INDEX([1]Pivot!$BF$1:$CG$65000,$B733,AY$5)=1,1,IF(INDEX([1]Pivot!$B$1:$AB$65000,$B733,AY$5)="",2,0)),0)</f>
        <v>0</v>
      </c>
      <c r="AZ733" s="313">
        <f>IFERROR(IF(INDEX([1]Pivot!$BF$1:$CG$65000,$B733,AZ$5)=1,1,IF(INDEX([1]Pivot!$B$1:$AB$65000,$B733,AZ$5)="",2,0)),0)</f>
        <v>0</v>
      </c>
      <c r="BA733" s="313">
        <f>IFERROR(IF(INDEX([1]Pivot!$BF$1:$CG$65000,$B733,BA$5)=1,1,IF(INDEX([1]Pivot!$B$1:$AB$65000,$B733,BA$5)="",2,0)),0)</f>
        <v>0</v>
      </c>
      <c r="BB733" s="313">
        <f>IFERROR(IF(INDEX([1]Pivot!$BF$1:$CG$65000,$B733,BB$5)=1,1,IF(INDEX([1]Pivot!$B$1:$AB$65000,$B733,BB$5)="",2,0)),0)</f>
        <v>0</v>
      </c>
      <c r="BC733" s="313">
        <f>IFERROR(IF(INDEX([1]Pivot!$BF$1:$CG$65000,$B733,BC$5)=1,1,IF(INDEX([1]Pivot!$B$1:$AB$65000,$B733,BC$5)="",2,0)),0)</f>
        <v>0</v>
      </c>
      <c r="BD733" s="313">
        <f>IFERROR(IF(INDEX([1]Pivot!$BF$1:$CG$65000,$B733,BD$5)=1,1,IF(INDEX([1]Pivot!$B$1:$AB$65000,$B733,BD$5)="",2,0)),0)</f>
        <v>0</v>
      </c>
    </row>
    <row r="734" spans="1:56" x14ac:dyDescent="0.25">
      <c r="A734" s="288">
        <f>'[2]Raw Milk Prices'!A734</f>
        <v>0</v>
      </c>
      <c r="B734" s="296" t="e">
        <f>MATCH(DATE(LEFT('[2]Raw Milk Prices'!$A734,4),RIGHT('[2]Raw Milk Prices'!$A734,2),1),[1]Pivot!$A$1:$A$65000,0)</f>
        <v>#VALUE!</v>
      </c>
      <c r="C734" s="194">
        <f>IFERROR(IF(INDEX([1]Pivot!$AD$1:$BE$65000,$B734,C$5)=1,1,IF(INDEX([1]Pivot!$B$1:$AB$65000,$B734,C$5)="",2,0)),0)</f>
        <v>0</v>
      </c>
      <c r="D734" s="194">
        <f>IFERROR(IF(INDEX([1]Pivot!$AD$1:$BE$65000,$B734,D$5)=1,1,IF(INDEX([1]Pivot!$B$1:$AB$65000,$B734,D$5)="",2,0)),0)</f>
        <v>0</v>
      </c>
      <c r="E734" s="194">
        <f>IFERROR(IF(INDEX([1]Pivot!$AD$1:$BE$65000,$B734,E$5)=1,1,IF(INDEX([1]Pivot!$B$1:$AB$65000,$B734,E$5)="",2,0)),0)</f>
        <v>0</v>
      </c>
      <c r="F734" s="194">
        <f>IFERROR(IF(INDEX([1]Pivot!$AD$1:$BE$65000,$B734,F$5)=1,1,IF(INDEX([1]Pivot!$B$1:$AB$65000,$B734,F$5)="",2,0)),0)</f>
        <v>0</v>
      </c>
      <c r="G734" s="194">
        <f>IFERROR(IF(INDEX([1]Pivot!$AD$1:$BE$65000,$B734,G$5)=1,1,IF(INDEX([1]Pivot!$B$1:$AB$65000,$B734,G$5)="",2,0)),0)</f>
        <v>0</v>
      </c>
      <c r="H734" s="194">
        <f>IFERROR(IF(INDEX([1]Pivot!$AD$1:$BE$65000,$B734,H$5)=1,1,IF(INDEX([1]Pivot!$B$1:$AB$65000,$B734,H$5)="",2,0)),0)</f>
        <v>0</v>
      </c>
      <c r="I734" s="194">
        <f>IFERROR(IF(INDEX([1]Pivot!$AD$1:$BE$65000,$B734,I$5)=1,1,IF(INDEX([1]Pivot!$B$1:$AB$65000,$B734,I$5)="",2,0)),0)</f>
        <v>0</v>
      </c>
      <c r="J734" s="194">
        <f>IFERROR(IF(INDEX([1]Pivot!$AD$1:$BE$65000,$B734,J$5)=1,1,IF(INDEX([1]Pivot!$B$1:$AB$65000,$B734,J$5)="",2,0)),0)</f>
        <v>0</v>
      </c>
      <c r="K734" s="194">
        <f>IFERROR(IF(INDEX([1]Pivot!$AD$1:$BE$65000,$B734,K$5)=1,1,IF(INDEX([1]Pivot!$B$1:$AB$65000,$B734,K$5)="",2,0)),0)</f>
        <v>0</v>
      </c>
      <c r="L734" s="194">
        <f>IFERROR(IF(INDEX([1]Pivot!$AD$1:$BE$65000,$B734,L$5)=1,1,IF(INDEX([1]Pivot!$B$1:$AB$65000,$B734,L$5)="",2,0)),0)</f>
        <v>0</v>
      </c>
      <c r="M734" s="194">
        <f>IFERROR(IF(INDEX([1]Pivot!$AD$1:$BE$65000,$B734,M$5)=1,1,IF(INDEX([1]Pivot!$B$1:$AB$65000,$B734,M$5)="",2,0)),0)</f>
        <v>0</v>
      </c>
      <c r="N734" s="194">
        <f>IFERROR(IF(INDEX([1]Pivot!$AD$1:$BE$65000,$B734,N$5)=1,1,IF(INDEX([1]Pivot!$B$1:$AB$65000,$B734,N$5)="",2,0)),0)</f>
        <v>0</v>
      </c>
      <c r="O734" s="194">
        <f>IFERROR(IF(INDEX([1]Pivot!$AD$1:$BE$65000,$B734,O$5)=1,1,IF(INDEX([1]Pivot!$B$1:$AB$65000,$B734,O$5)="",2,0)),0)</f>
        <v>0</v>
      </c>
      <c r="P734" s="194">
        <f>IFERROR(IF(INDEX([1]Pivot!$AD$1:$BE$65000,$B734,P$5)=1,1,IF(INDEX([1]Pivot!$B$1:$AB$65000,$B734,P$5)="",2,0)),0)</f>
        <v>0</v>
      </c>
      <c r="Q734" s="194">
        <f>IFERROR(IF(INDEX([1]Pivot!$AD$1:$BE$65000,$B734,Q$5)=1,1,IF(INDEX([1]Pivot!$B$1:$AB$65000,$B734,Q$5)="",2,0)),0)</f>
        <v>0</v>
      </c>
      <c r="R734" s="312"/>
      <c r="S734" s="194">
        <f>IFERROR(IF(INDEX([1]Pivot!$AD$1:$BE$65000,$B734,S$5)=1,1,IF(INDEX([1]Pivot!$B$1:$AB$65000,$B734,S$5)="",2,0)),0)</f>
        <v>0</v>
      </c>
      <c r="T734" s="194">
        <f>IFERROR(IF(INDEX([1]Pivot!$AD$1:$BE$65000,$B734,T$5)=1,1,IF(INDEX([1]Pivot!$B$1:$AB$65000,$B734,T$5)="",2,0)),0)</f>
        <v>0</v>
      </c>
      <c r="U734" s="194">
        <f>IFERROR(IF(INDEX([1]Pivot!$AD$1:$BE$65000,$B734,U$5)=1,1,IF(INDEX([1]Pivot!$B$1:$AB$65000,$B734,U$5)="",2,0)),0)</f>
        <v>0</v>
      </c>
      <c r="V734" s="194">
        <f>IFERROR(IF(INDEX([1]Pivot!$AD$1:$BE$65000,$B734,V$5)=1,1,IF(INDEX([1]Pivot!$B$1:$AB$65000,$B734,V$5)="",2,0)),0)</f>
        <v>0</v>
      </c>
      <c r="W734" s="194">
        <f>IFERROR(IF(INDEX([1]Pivot!$AD$1:$BE$65000,$B734,W$5)=1,1,IF(INDEX([1]Pivot!$B$1:$AB$65000,$B734,W$5)="",2,0)),0)</f>
        <v>0</v>
      </c>
      <c r="X734" s="194">
        <f>IFERROR(IF(INDEX([1]Pivot!$AD$1:$BE$65000,$B734,X$5)=1,1,IF(INDEX([1]Pivot!$B$1:$AB$65000,$B734,X$5)="",2,0)),0)</f>
        <v>0</v>
      </c>
      <c r="Y734" s="194">
        <f>IFERROR(IF(INDEX([1]Pivot!$AD$1:$BE$65000,$B734,Y$5)=1,1,IF(INDEX([1]Pivot!$B$1:$AB$65000,$B734,Y$5)="",2,0)),0)</f>
        <v>0</v>
      </c>
      <c r="Z734" s="194">
        <f>IFERROR(IF(INDEX([1]Pivot!$AD$1:$BE$65000,$B734,Z$5)=1,1,IF(INDEX([1]Pivot!$B$1:$AB$65000,$B734,Z$5)="",2,0)),0)</f>
        <v>0</v>
      </c>
      <c r="AA734" s="194">
        <f>IFERROR(IF(INDEX([1]Pivot!$AD$1:$BE$65000,$B734,AA$5)=1,1,IF(INDEX([1]Pivot!$B$1:$AB$65000,$B734,AA$5)="",2,0)),0)</f>
        <v>0</v>
      </c>
      <c r="AB734" s="194">
        <f>IFERROR(IF(INDEX([1]Pivot!$AD$1:$BE$65000,$B734,AB$5)=1,1,IF(INDEX([1]Pivot!$B$1:$AB$65000,$B734,AB$5)="",2,0)),0)</f>
        <v>0</v>
      </c>
      <c r="AC734" s="194">
        <f>IFERROR(IF(INDEX([1]Pivot!$AD$1:$BE$65000,$B734,AC$5)=1,1,IF(INDEX([1]Pivot!$B$1:$AB$65000,$B734,AC$5)="",2,0)),0)</f>
        <v>0</v>
      </c>
      <c r="AD734" s="313">
        <f>IFERROR(IF(INDEX([1]Pivot!$BF$1:$CG$65000,$B734,AD$5)=1,1,IF(INDEX([1]Pivot!$B$1:$AB$65000,$B734,AD$5)="",2,0)),0)</f>
        <v>0</v>
      </c>
      <c r="AE734" s="313">
        <f>IFERROR(IF(INDEX([1]Pivot!$BF$1:$CG$65000,$B734,AE$5)=1,1,IF(INDEX([1]Pivot!$B$1:$AB$65000,$B734,AE$5)="",2,0)),0)</f>
        <v>0</v>
      </c>
      <c r="AF734" s="313">
        <f>IFERROR(IF(INDEX([1]Pivot!$BF$1:$CG$65000,$B734,AF$5)=1,1,IF(INDEX([1]Pivot!$B$1:$AB$65000,$B734,AF$5)="",2,0)),0)</f>
        <v>0</v>
      </c>
      <c r="AG734" s="313">
        <f>IFERROR(IF(INDEX([1]Pivot!$BF$1:$CG$65000,$B734,AG$5)=1,1,IF(INDEX([1]Pivot!$B$1:$AB$65000,$B734,AG$5)="",2,0)),0)</f>
        <v>0</v>
      </c>
      <c r="AH734" s="313">
        <f>IFERROR(IF(INDEX([1]Pivot!$BF$1:$CG$65000,$B734,AH$5)=1,1,IF(INDEX([1]Pivot!$B$1:$AB$65000,$B734,AH$5)="",2,0)),0)</f>
        <v>0</v>
      </c>
      <c r="AI734" s="313">
        <f>IFERROR(IF(INDEX([1]Pivot!$BF$1:$CG$65000,$B734,AI$5)=1,1,IF(INDEX([1]Pivot!$B$1:$AB$65000,$B734,AI$5)="",2,0)),0)</f>
        <v>0</v>
      </c>
      <c r="AJ734" s="313">
        <f>IFERROR(IF(INDEX([1]Pivot!$BF$1:$CG$65000,$B734,AJ$5)=1,1,IF(INDEX([1]Pivot!$B$1:$AB$65000,$B734,AJ$5)="",2,0)),0)</f>
        <v>0</v>
      </c>
      <c r="AK734" s="313">
        <f>IFERROR(IF(INDEX([1]Pivot!$BF$1:$CG$65000,$B734,AK$5)=1,1,IF(INDEX([1]Pivot!$B$1:$AB$65000,$B734,AK$5)="",2,0)),0)</f>
        <v>0</v>
      </c>
      <c r="AL734" s="313">
        <f>IFERROR(IF(INDEX([1]Pivot!$BF$1:$CG$65000,$B734,AL$5)=1,1,IF(INDEX([1]Pivot!$B$1:$AB$65000,$B734,AL$5)="",2,0)),0)</f>
        <v>0</v>
      </c>
      <c r="AM734" s="313">
        <f>IFERROR(IF(INDEX([1]Pivot!$BF$1:$CG$65000,$B734,AM$5)=1,1,IF(INDEX([1]Pivot!$B$1:$AB$65000,$B734,AM$5)="",2,0)),0)</f>
        <v>0</v>
      </c>
      <c r="AN734" s="313">
        <f>IFERROR(IF(INDEX([1]Pivot!$BF$1:$CG$65000,$B734,AN$5)=1,1,IF(INDEX([1]Pivot!$B$1:$AB$65000,$B734,AN$5)="",2,0)),0)</f>
        <v>0</v>
      </c>
      <c r="AO734" s="313">
        <f>IFERROR(IF(INDEX([1]Pivot!$BF$1:$CG$65000,$B734,AO$5)=1,1,IF(INDEX([1]Pivot!$B$1:$AB$65000,$B734,AO$5)="",2,0)),0)</f>
        <v>0</v>
      </c>
      <c r="AP734" s="313">
        <f>IFERROR(IF(INDEX([1]Pivot!$BF$1:$CG$65000,$B734,AP$5)=1,1,IF(INDEX([1]Pivot!$B$1:$AB$65000,$B734,AP$5)="",2,0)),0)</f>
        <v>0</v>
      </c>
      <c r="AQ734" s="313">
        <f>IFERROR(IF(INDEX([1]Pivot!$BF$1:$CG$65000,$B734,AQ$5)=1,1,IF(INDEX([1]Pivot!$B$1:$AB$65000,$B734,AQ$5)="",2,0)),0)</f>
        <v>0</v>
      </c>
      <c r="AR734" s="313">
        <f>IFERROR(IF(INDEX([1]Pivot!$BF$1:$CG$65000,$B734,AR$5)=1,1,IF(INDEX([1]Pivot!$B$1:$AB$65000,$B734,AR$5)="",2,0)),0)</f>
        <v>0</v>
      </c>
      <c r="AS734" s="312"/>
      <c r="AT734" s="313">
        <f>IFERROR(IF(INDEX([1]Pivot!$BF$1:$CG$65000,$B734,AT$5)=1,1,IF(INDEX([1]Pivot!$B$1:$AB$65000,$B734,AT$5)="",2,0)),0)</f>
        <v>0</v>
      </c>
      <c r="AU734" s="313">
        <f>IFERROR(IF(INDEX([1]Pivot!$BF$1:$CG$65000,$B734,AU$5)=1,1,IF(INDEX([1]Pivot!$B$1:$AB$65000,$B734,AU$5)="",2,0)),0)</f>
        <v>0</v>
      </c>
      <c r="AV734" s="313">
        <f>IFERROR(IF(INDEX([1]Pivot!$BF$1:$CG$65000,$B734,AV$5)=1,1,IF(INDEX([1]Pivot!$B$1:$AB$65000,$B734,AV$5)="",2,0)),0)</f>
        <v>0</v>
      </c>
      <c r="AW734" s="313">
        <f>IFERROR(IF(INDEX([1]Pivot!$BF$1:$CG$65000,$B734,AW$5)=1,1,IF(INDEX([1]Pivot!$B$1:$AB$65000,$B734,AW$5)="",2,0)),0)</f>
        <v>0</v>
      </c>
      <c r="AX734" s="313">
        <f>IFERROR(IF(INDEX([1]Pivot!$BF$1:$CG$65000,$B734,AX$5)=1,1,IF(INDEX([1]Pivot!$B$1:$AB$65000,$B734,AX$5)="",2,0)),0)</f>
        <v>0</v>
      </c>
      <c r="AY734" s="313">
        <f>IFERROR(IF(INDEX([1]Pivot!$BF$1:$CG$65000,$B734,AY$5)=1,1,IF(INDEX([1]Pivot!$B$1:$AB$65000,$B734,AY$5)="",2,0)),0)</f>
        <v>0</v>
      </c>
      <c r="AZ734" s="313">
        <f>IFERROR(IF(INDEX([1]Pivot!$BF$1:$CG$65000,$B734,AZ$5)=1,1,IF(INDEX([1]Pivot!$B$1:$AB$65000,$B734,AZ$5)="",2,0)),0)</f>
        <v>0</v>
      </c>
      <c r="BA734" s="313">
        <f>IFERROR(IF(INDEX([1]Pivot!$BF$1:$CG$65000,$B734,BA$5)=1,1,IF(INDEX([1]Pivot!$B$1:$AB$65000,$B734,BA$5)="",2,0)),0)</f>
        <v>0</v>
      </c>
      <c r="BB734" s="313">
        <f>IFERROR(IF(INDEX([1]Pivot!$BF$1:$CG$65000,$B734,BB$5)=1,1,IF(INDEX([1]Pivot!$B$1:$AB$65000,$B734,BB$5)="",2,0)),0)</f>
        <v>0</v>
      </c>
      <c r="BC734" s="313">
        <f>IFERROR(IF(INDEX([1]Pivot!$BF$1:$CG$65000,$B734,BC$5)=1,1,IF(INDEX([1]Pivot!$B$1:$AB$65000,$B734,BC$5)="",2,0)),0)</f>
        <v>0</v>
      </c>
      <c r="BD734" s="313">
        <f>IFERROR(IF(INDEX([1]Pivot!$BF$1:$CG$65000,$B734,BD$5)=1,1,IF(INDEX([1]Pivot!$B$1:$AB$65000,$B734,BD$5)="",2,0)),0)</f>
        <v>0</v>
      </c>
    </row>
    <row r="735" spans="1:56" x14ac:dyDescent="0.25">
      <c r="A735" s="288">
        <f>'[2]Raw Milk Prices'!A735</f>
        <v>0</v>
      </c>
      <c r="B735" s="296" t="e">
        <f>MATCH(DATE(LEFT('[2]Raw Milk Prices'!$A735,4),RIGHT('[2]Raw Milk Prices'!$A735,2),1),[1]Pivot!$A$1:$A$65000,0)</f>
        <v>#VALUE!</v>
      </c>
      <c r="C735" s="194">
        <f>IFERROR(IF(INDEX([1]Pivot!$AD$1:$BE$65000,$B735,C$5)=1,1,IF(INDEX([1]Pivot!$B$1:$AB$65000,$B735,C$5)="",2,0)),0)</f>
        <v>0</v>
      </c>
      <c r="D735" s="194">
        <f>IFERROR(IF(INDEX([1]Pivot!$AD$1:$BE$65000,$B735,D$5)=1,1,IF(INDEX([1]Pivot!$B$1:$AB$65000,$B735,D$5)="",2,0)),0)</f>
        <v>0</v>
      </c>
      <c r="E735" s="194">
        <f>IFERROR(IF(INDEX([1]Pivot!$AD$1:$BE$65000,$B735,E$5)=1,1,IF(INDEX([1]Pivot!$B$1:$AB$65000,$B735,E$5)="",2,0)),0)</f>
        <v>0</v>
      </c>
      <c r="F735" s="194">
        <f>IFERROR(IF(INDEX([1]Pivot!$AD$1:$BE$65000,$B735,F$5)=1,1,IF(INDEX([1]Pivot!$B$1:$AB$65000,$B735,F$5)="",2,0)),0)</f>
        <v>0</v>
      </c>
      <c r="G735" s="194">
        <f>IFERROR(IF(INDEX([1]Pivot!$AD$1:$BE$65000,$B735,G$5)=1,1,IF(INDEX([1]Pivot!$B$1:$AB$65000,$B735,G$5)="",2,0)),0)</f>
        <v>0</v>
      </c>
      <c r="H735" s="194">
        <f>IFERROR(IF(INDEX([1]Pivot!$AD$1:$BE$65000,$B735,H$5)=1,1,IF(INDEX([1]Pivot!$B$1:$AB$65000,$B735,H$5)="",2,0)),0)</f>
        <v>0</v>
      </c>
      <c r="I735" s="194">
        <f>IFERROR(IF(INDEX([1]Pivot!$AD$1:$BE$65000,$B735,I$5)=1,1,IF(INDEX([1]Pivot!$B$1:$AB$65000,$B735,I$5)="",2,0)),0)</f>
        <v>0</v>
      </c>
      <c r="J735" s="194">
        <f>IFERROR(IF(INDEX([1]Pivot!$AD$1:$BE$65000,$B735,J$5)=1,1,IF(INDEX([1]Pivot!$B$1:$AB$65000,$B735,J$5)="",2,0)),0)</f>
        <v>0</v>
      </c>
      <c r="K735" s="194">
        <f>IFERROR(IF(INDEX([1]Pivot!$AD$1:$BE$65000,$B735,K$5)=1,1,IF(INDEX([1]Pivot!$B$1:$AB$65000,$B735,K$5)="",2,0)),0)</f>
        <v>0</v>
      </c>
      <c r="L735" s="194">
        <f>IFERROR(IF(INDEX([1]Pivot!$AD$1:$BE$65000,$B735,L$5)=1,1,IF(INDEX([1]Pivot!$B$1:$AB$65000,$B735,L$5)="",2,0)),0)</f>
        <v>0</v>
      </c>
      <c r="M735" s="194">
        <f>IFERROR(IF(INDEX([1]Pivot!$AD$1:$BE$65000,$B735,M$5)=1,1,IF(INDEX([1]Pivot!$B$1:$AB$65000,$B735,M$5)="",2,0)),0)</f>
        <v>0</v>
      </c>
      <c r="N735" s="194">
        <f>IFERROR(IF(INDEX([1]Pivot!$AD$1:$BE$65000,$B735,N$5)=1,1,IF(INDEX([1]Pivot!$B$1:$AB$65000,$B735,N$5)="",2,0)),0)</f>
        <v>0</v>
      </c>
      <c r="O735" s="194">
        <f>IFERROR(IF(INDEX([1]Pivot!$AD$1:$BE$65000,$B735,O$5)=1,1,IF(INDEX([1]Pivot!$B$1:$AB$65000,$B735,O$5)="",2,0)),0)</f>
        <v>0</v>
      </c>
      <c r="P735" s="194">
        <f>IFERROR(IF(INDEX([1]Pivot!$AD$1:$BE$65000,$B735,P$5)=1,1,IF(INDEX([1]Pivot!$B$1:$AB$65000,$B735,P$5)="",2,0)),0)</f>
        <v>0</v>
      </c>
      <c r="Q735" s="194">
        <f>IFERROR(IF(INDEX([1]Pivot!$AD$1:$BE$65000,$B735,Q$5)=1,1,IF(INDEX([1]Pivot!$B$1:$AB$65000,$B735,Q$5)="",2,0)),0)</f>
        <v>0</v>
      </c>
      <c r="R735" s="312"/>
      <c r="S735" s="194">
        <f>IFERROR(IF(INDEX([1]Pivot!$AD$1:$BE$65000,$B735,S$5)=1,1,IF(INDEX([1]Pivot!$B$1:$AB$65000,$B735,S$5)="",2,0)),0)</f>
        <v>0</v>
      </c>
      <c r="T735" s="194">
        <f>IFERROR(IF(INDEX([1]Pivot!$AD$1:$BE$65000,$B735,T$5)=1,1,IF(INDEX([1]Pivot!$B$1:$AB$65000,$B735,T$5)="",2,0)),0)</f>
        <v>0</v>
      </c>
      <c r="U735" s="194">
        <f>IFERROR(IF(INDEX([1]Pivot!$AD$1:$BE$65000,$B735,U$5)=1,1,IF(INDEX([1]Pivot!$B$1:$AB$65000,$B735,U$5)="",2,0)),0)</f>
        <v>0</v>
      </c>
      <c r="V735" s="194">
        <f>IFERROR(IF(INDEX([1]Pivot!$AD$1:$BE$65000,$B735,V$5)=1,1,IF(INDEX([1]Pivot!$B$1:$AB$65000,$B735,V$5)="",2,0)),0)</f>
        <v>0</v>
      </c>
      <c r="W735" s="194">
        <f>IFERROR(IF(INDEX([1]Pivot!$AD$1:$BE$65000,$B735,W$5)=1,1,IF(INDEX([1]Pivot!$B$1:$AB$65000,$B735,W$5)="",2,0)),0)</f>
        <v>0</v>
      </c>
      <c r="X735" s="194">
        <f>IFERROR(IF(INDEX([1]Pivot!$AD$1:$BE$65000,$B735,X$5)=1,1,IF(INDEX([1]Pivot!$B$1:$AB$65000,$B735,X$5)="",2,0)),0)</f>
        <v>0</v>
      </c>
      <c r="Y735" s="194">
        <f>IFERROR(IF(INDEX([1]Pivot!$AD$1:$BE$65000,$B735,Y$5)=1,1,IF(INDEX([1]Pivot!$B$1:$AB$65000,$B735,Y$5)="",2,0)),0)</f>
        <v>0</v>
      </c>
      <c r="Z735" s="194">
        <f>IFERROR(IF(INDEX([1]Pivot!$AD$1:$BE$65000,$B735,Z$5)=1,1,IF(INDEX([1]Pivot!$B$1:$AB$65000,$B735,Z$5)="",2,0)),0)</f>
        <v>0</v>
      </c>
      <c r="AA735" s="194">
        <f>IFERROR(IF(INDEX([1]Pivot!$AD$1:$BE$65000,$B735,AA$5)=1,1,IF(INDEX([1]Pivot!$B$1:$AB$65000,$B735,AA$5)="",2,0)),0)</f>
        <v>0</v>
      </c>
      <c r="AB735" s="194">
        <f>IFERROR(IF(INDEX([1]Pivot!$AD$1:$BE$65000,$B735,AB$5)=1,1,IF(INDEX([1]Pivot!$B$1:$AB$65000,$B735,AB$5)="",2,0)),0)</f>
        <v>0</v>
      </c>
      <c r="AC735" s="194">
        <f>IFERROR(IF(INDEX([1]Pivot!$AD$1:$BE$65000,$B735,AC$5)=1,1,IF(INDEX([1]Pivot!$B$1:$AB$65000,$B735,AC$5)="",2,0)),0)</f>
        <v>0</v>
      </c>
      <c r="AD735" s="313">
        <f>IFERROR(IF(INDEX([1]Pivot!$BF$1:$CG$65000,$B735,AD$5)=1,1,IF(INDEX([1]Pivot!$B$1:$AB$65000,$B735,AD$5)="",2,0)),0)</f>
        <v>0</v>
      </c>
      <c r="AE735" s="313">
        <f>IFERROR(IF(INDEX([1]Pivot!$BF$1:$CG$65000,$B735,AE$5)=1,1,IF(INDEX([1]Pivot!$B$1:$AB$65000,$B735,AE$5)="",2,0)),0)</f>
        <v>0</v>
      </c>
      <c r="AF735" s="313">
        <f>IFERROR(IF(INDEX([1]Pivot!$BF$1:$CG$65000,$B735,AF$5)=1,1,IF(INDEX([1]Pivot!$B$1:$AB$65000,$B735,AF$5)="",2,0)),0)</f>
        <v>0</v>
      </c>
      <c r="AG735" s="313">
        <f>IFERROR(IF(INDEX([1]Pivot!$BF$1:$CG$65000,$B735,AG$5)=1,1,IF(INDEX([1]Pivot!$B$1:$AB$65000,$B735,AG$5)="",2,0)),0)</f>
        <v>0</v>
      </c>
      <c r="AH735" s="313">
        <f>IFERROR(IF(INDEX([1]Pivot!$BF$1:$CG$65000,$B735,AH$5)=1,1,IF(INDEX([1]Pivot!$B$1:$AB$65000,$B735,AH$5)="",2,0)),0)</f>
        <v>0</v>
      </c>
      <c r="AI735" s="313">
        <f>IFERROR(IF(INDEX([1]Pivot!$BF$1:$CG$65000,$B735,AI$5)=1,1,IF(INDEX([1]Pivot!$B$1:$AB$65000,$B735,AI$5)="",2,0)),0)</f>
        <v>0</v>
      </c>
      <c r="AJ735" s="313">
        <f>IFERROR(IF(INDEX([1]Pivot!$BF$1:$CG$65000,$B735,AJ$5)=1,1,IF(INDEX([1]Pivot!$B$1:$AB$65000,$B735,AJ$5)="",2,0)),0)</f>
        <v>0</v>
      </c>
      <c r="AK735" s="313">
        <f>IFERROR(IF(INDEX([1]Pivot!$BF$1:$CG$65000,$B735,AK$5)=1,1,IF(INDEX([1]Pivot!$B$1:$AB$65000,$B735,AK$5)="",2,0)),0)</f>
        <v>0</v>
      </c>
      <c r="AL735" s="313">
        <f>IFERROR(IF(INDEX([1]Pivot!$BF$1:$CG$65000,$B735,AL$5)=1,1,IF(INDEX([1]Pivot!$B$1:$AB$65000,$B735,AL$5)="",2,0)),0)</f>
        <v>0</v>
      </c>
      <c r="AM735" s="313">
        <f>IFERROR(IF(INDEX([1]Pivot!$BF$1:$CG$65000,$B735,AM$5)=1,1,IF(INDEX([1]Pivot!$B$1:$AB$65000,$B735,AM$5)="",2,0)),0)</f>
        <v>0</v>
      </c>
      <c r="AN735" s="313">
        <f>IFERROR(IF(INDEX([1]Pivot!$BF$1:$CG$65000,$B735,AN$5)=1,1,IF(INDEX([1]Pivot!$B$1:$AB$65000,$B735,AN$5)="",2,0)),0)</f>
        <v>0</v>
      </c>
      <c r="AO735" s="313">
        <f>IFERROR(IF(INDEX([1]Pivot!$BF$1:$CG$65000,$B735,AO$5)=1,1,IF(INDEX([1]Pivot!$B$1:$AB$65000,$B735,AO$5)="",2,0)),0)</f>
        <v>0</v>
      </c>
      <c r="AP735" s="313">
        <f>IFERROR(IF(INDEX([1]Pivot!$BF$1:$CG$65000,$B735,AP$5)=1,1,IF(INDEX([1]Pivot!$B$1:$AB$65000,$B735,AP$5)="",2,0)),0)</f>
        <v>0</v>
      </c>
      <c r="AQ735" s="313">
        <f>IFERROR(IF(INDEX([1]Pivot!$BF$1:$CG$65000,$B735,AQ$5)=1,1,IF(INDEX([1]Pivot!$B$1:$AB$65000,$B735,AQ$5)="",2,0)),0)</f>
        <v>0</v>
      </c>
      <c r="AR735" s="313">
        <f>IFERROR(IF(INDEX([1]Pivot!$BF$1:$CG$65000,$B735,AR$5)=1,1,IF(INDEX([1]Pivot!$B$1:$AB$65000,$B735,AR$5)="",2,0)),0)</f>
        <v>0</v>
      </c>
      <c r="AS735" s="312"/>
      <c r="AT735" s="313">
        <f>IFERROR(IF(INDEX([1]Pivot!$BF$1:$CG$65000,$B735,AT$5)=1,1,IF(INDEX([1]Pivot!$B$1:$AB$65000,$B735,AT$5)="",2,0)),0)</f>
        <v>0</v>
      </c>
      <c r="AU735" s="313">
        <f>IFERROR(IF(INDEX([1]Pivot!$BF$1:$CG$65000,$B735,AU$5)=1,1,IF(INDEX([1]Pivot!$B$1:$AB$65000,$B735,AU$5)="",2,0)),0)</f>
        <v>0</v>
      </c>
      <c r="AV735" s="313">
        <f>IFERROR(IF(INDEX([1]Pivot!$BF$1:$CG$65000,$B735,AV$5)=1,1,IF(INDEX([1]Pivot!$B$1:$AB$65000,$B735,AV$5)="",2,0)),0)</f>
        <v>0</v>
      </c>
      <c r="AW735" s="313">
        <f>IFERROR(IF(INDEX([1]Pivot!$BF$1:$CG$65000,$B735,AW$5)=1,1,IF(INDEX([1]Pivot!$B$1:$AB$65000,$B735,AW$5)="",2,0)),0)</f>
        <v>0</v>
      </c>
      <c r="AX735" s="313">
        <f>IFERROR(IF(INDEX([1]Pivot!$BF$1:$CG$65000,$B735,AX$5)=1,1,IF(INDEX([1]Pivot!$B$1:$AB$65000,$B735,AX$5)="",2,0)),0)</f>
        <v>0</v>
      </c>
      <c r="AY735" s="313">
        <f>IFERROR(IF(INDEX([1]Pivot!$BF$1:$CG$65000,$B735,AY$5)=1,1,IF(INDEX([1]Pivot!$B$1:$AB$65000,$B735,AY$5)="",2,0)),0)</f>
        <v>0</v>
      </c>
      <c r="AZ735" s="313">
        <f>IFERROR(IF(INDEX([1]Pivot!$BF$1:$CG$65000,$B735,AZ$5)=1,1,IF(INDEX([1]Pivot!$B$1:$AB$65000,$B735,AZ$5)="",2,0)),0)</f>
        <v>0</v>
      </c>
      <c r="BA735" s="313">
        <f>IFERROR(IF(INDEX([1]Pivot!$BF$1:$CG$65000,$B735,BA$5)=1,1,IF(INDEX([1]Pivot!$B$1:$AB$65000,$B735,BA$5)="",2,0)),0)</f>
        <v>0</v>
      </c>
      <c r="BB735" s="313">
        <f>IFERROR(IF(INDEX([1]Pivot!$BF$1:$CG$65000,$B735,BB$5)=1,1,IF(INDEX([1]Pivot!$B$1:$AB$65000,$B735,BB$5)="",2,0)),0)</f>
        <v>0</v>
      </c>
      <c r="BC735" s="313">
        <f>IFERROR(IF(INDEX([1]Pivot!$BF$1:$CG$65000,$B735,BC$5)=1,1,IF(INDEX([1]Pivot!$B$1:$AB$65000,$B735,BC$5)="",2,0)),0)</f>
        <v>0</v>
      </c>
      <c r="BD735" s="313">
        <f>IFERROR(IF(INDEX([1]Pivot!$BF$1:$CG$65000,$B735,BD$5)=1,1,IF(INDEX([1]Pivot!$B$1:$AB$65000,$B735,BD$5)="",2,0)),0)</f>
        <v>0</v>
      </c>
    </row>
    <row r="736" spans="1:56" x14ac:dyDescent="0.25">
      <c r="A736" s="288">
        <f>'[2]Raw Milk Prices'!A736</f>
        <v>0</v>
      </c>
      <c r="B736" s="296" t="e">
        <f>MATCH(DATE(LEFT('[2]Raw Milk Prices'!$A736,4),RIGHT('[2]Raw Milk Prices'!$A736,2),1),[1]Pivot!$A$1:$A$65000,0)</f>
        <v>#VALUE!</v>
      </c>
      <c r="C736" s="194">
        <f>IFERROR(IF(INDEX([1]Pivot!$AD$1:$BE$65000,$B736,C$5)=1,1,IF(INDEX([1]Pivot!$B$1:$AB$65000,$B736,C$5)="",2,0)),0)</f>
        <v>0</v>
      </c>
      <c r="D736" s="194">
        <f>IFERROR(IF(INDEX([1]Pivot!$AD$1:$BE$65000,$B736,D$5)=1,1,IF(INDEX([1]Pivot!$B$1:$AB$65000,$B736,D$5)="",2,0)),0)</f>
        <v>0</v>
      </c>
      <c r="E736" s="194">
        <f>IFERROR(IF(INDEX([1]Pivot!$AD$1:$BE$65000,$B736,E$5)=1,1,IF(INDEX([1]Pivot!$B$1:$AB$65000,$B736,E$5)="",2,0)),0)</f>
        <v>0</v>
      </c>
      <c r="F736" s="194">
        <f>IFERROR(IF(INDEX([1]Pivot!$AD$1:$BE$65000,$B736,F$5)=1,1,IF(INDEX([1]Pivot!$B$1:$AB$65000,$B736,F$5)="",2,0)),0)</f>
        <v>0</v>
      </c>
      <c r="G736" s="194">
        <f>IFERROR(IF(INDEX([1]Pivot!$AD$1:$BE$65000,$B736,G$5)=1,1,IF(INDEX([1]Pivot!$B$1:$AB$65000,$B736,G$5)="",2,0)),0)</f>
        <v>0</v>
      </c>
      <c r="H736" s="194">
        <f>IFERROR(IF(INDEX([1]Pivot!$AD$1:$BE$65000,$B736,H$5)=1,1,IF(INDEX([1]Pivot!$B$1:$AB$65000,$B736,H$5)="",2,0)),0)</f>
        <v>0</v>
      </c>
      <c r="I736" s="194">
        <f>IFERROR(IF(INDEX([1]Pivot!$AD$1:$BE$65000,$B736,I$5)=1,1,IF(INDEX([1]Pivot!$B$1:$AB$65000,$B736,I$5)="",2,0)),0)</f>
        <v>0</v>
      </c>
      <c r="J736" s="194">
        <f>IFERROR(IF(INDEX([1]Pivot!$AD$1:$BE$65000,$B736,J$5)=1,1,IF(INDEX([1]Pivot!$B$1:$AB$65000,$B736,J$5)="",2,0)),0)</f>
        <v>0</v>
      </c>
      <c r="K736" s="194">
        <f>IFERROR(IF(INDEX([1]Pivot!$AD$1:$BE$65000,$B736,K$5)=1,1,IF(INDEX([1]Pivot!$B$1:$AB$65000,$B736,K$5)="",2,0)),0)</f>
        <v>0</v>
      </c>
      <c r="L736" s="194">
        <f>IFERROR(IF(INDEX([1]Pivot!$AD$1:$BE$65000,$B736,L$5)=1,1,IF(INDEX([1]Pivot!$B$1:$AB$65000,$B736,L$5)="",2,0)),0)</f>
        <v>0</v>
      </c>
      <c r="M736" s="194">
        <f>IFERROR(IF(INDEX([1]Pivot!$AD$1:$BE$65000,$B736,M$5)=1,1,IF(INDEX([1]Pivot!$B$1:$AB$65000,$B736,M$5)="",2,0)),0)</f>
        <v>0</v>
      </c>
      <c r="N736" s="194">
        <f>IFERROR(IF(INDEX([1]Pivot!$AD$1:$BE$65000,$B736,N$5)=1,1,IF(INDEX([1]Pivot!$B$1:$AB$65000,$B736,N$5)="",2,0)),0)</f>
        <v>0</v>
      </c>
      <c r="O736" s="194">
        <f>IFERROR(IF(INDEX([1]Pivot!$AD$1:$BE$65000,$B736,O$5)=1,1,IF(INDEX([1]Pivot!$B$1:$AB$65000,$B736,O$5)="",2,0)),0)</f>
        <v>0</v>
      </c>
      <c r="P736" s="194">
        <f>IFERROR(IF(INDEX([1]Pivot!$AD$1:$BE$65000,$B736,P$5)=1,1,IF(INDEX([1]Pivot!$B$1:$AB$65000,$B736,P$5)="",2,0)),0)</f>
        <v>0</v>
      </c>
      <c r="Q736" s="194">
        <f>IFERROR(IF(INDEX([1]Pivot!$AD$1:$BE$65000,$B736,Q$5)=1,1,IF(INDEX([1]Pivot!$B$1:$AB$65000,$B736,Q$5)="",2,0)),0)</f>
        <v>0</v>
      </c>
      <c r="R736" s="312"/>
      <c r="S736" s="194">
        <f>IFERROR(IF(INDEX([1]Pivot!$AD$1:$BE$65000,$B736,S$5)=1,1,IF(INDEX([1]Pivot!$B$1:$AB$65000,$B736,S$5)="",2,0)),0)</f>
        <v>0</v>
      </c>
      <c r="T736" s="194">
        <f>IFERROR(IF(INDEX([1]Pivot!$AD$1:$BE$65000,$B736,T$5)=1,1,IF(INDEX([1]Pivot!$B$1:$AB$65000,$B736,T$5)="",2,0)),0)</f>
        <v>0</v>
      </c>
      <c r="U736" s="194">
        <f>IFERROR(IF(INDEX([1]Pivot!$AD$1:$BE$65000,$B736,U$5)=1,1,IF(INDEX([1]Pivot!$B$1:$AB$65000,$B736,U$5)="",2,0)),0)</f>
        <v>0</v>
      </c>
      <c r="V736" s="194">
        <f>IFERROR(IF(INDEX([1]Pivot!$AD$1:$BE$65000,$B736,V$5)=1,1,IF(INDEX([1]Pivot!$B$1:$AB$65000,$B736,V$5)="",2,0)),0)</f>
        <v>0</v>
      </c>
      <c r="W736" s="194">
        <f>IFERROR(IF(INDEX([1]Pivot!$AD$1:$BE$65000,$B736,W$5)=1,1,IF(INDEX([1]Pivot!$B$1:$AB$65000,$B736,W$5)="",2,0)),0)</f>
        <v>0</v>
      </c>
      <c r="X736" s="194">
        <f>IFERROR(IF(INDEX([1]Pivot!$AD$1:$BE$65000,$B736,X$5)=1,1,IF(INDEX([1]Pivot!$B$1:$AB$65000,$B736,X$5)="",2,0)),0)</f>
        <v>0</v>
      </c>
      <c r="Y736" s="194">
        <f>IFERROR(IF(INDEX([1]Pivot!$AD$1:$BE$65000,$B736,Y$5)=1,1,IF(INDEX([1]Pivot!$B$1:$AB$65000,$B736,Y$5)="",2,0)),0)</f>
        <v>0</v>
      </c>
      <c r="Z736" s="194">
        <f>IFERROR(IF(INDEX([1]Pivot!$AD$1:$BE$65000,$B736,Z$5)=1,1,IF(INDEX([1]Pivot!$B$1:$AB$65000,$B736,Z$5)="",2,0)),0)</f>
        <v>0</v>
      </c>
      <c r="AA736" s="194">
        <f>IFERROR(IF(INDEX([1]Pivot!$AD$1:$BE$65000,$B736,AA$5)=1,1,IF(INDEX([1]Pivot!$B$1:$AB$65000,$B736,AA$5)="",2,0)),0)</f>
        <v>0</v>
      </c>
      <c r="AB736" s="194">
        <f>IFERROR(IF(INDEX([1]Pivot!$AD$1:$BE$65000,$B736,AB$5)=1,1,IF(INDEX([1]Pivot!$B$1:$AB$65000,$B736,AB$5)="",2,0)),0)</f>
        <v>0</v>
      </c>
      <c r="AC736" s="194">
        <f>IFERROR(IF(INDEX([1]Pivot!$AD$1:$BE$65000,$B736,AC$5)=1,1,IF(INDEX([1]Pivot!$B$1:$AB$65000,$B736,AC$5)="",2,0)),0)</f>
        <v>0</v>
      </c>
      <c r="AD736" s="313">
        <f>IFERROR(IF(INDEX([1]Pivot!$BF$1:$CG$65000,$B736,AD$5)=1,1,IF(INDEX([1]Pivot!$B$1:$AB$65000,$B736,AD$5)="",2,0)),0)</f>
        <v>0</v>
      </c>
      <c r="AE736" s="313">
        <f>IFERROR(IF(INDEX([1]Pivot!$BF$1:$CG$65000,$B736,AE$5)=1,1,IF(INDEX([1]Pivot!$B$1:$AB$65000,$B736,AE$5)="",2,0)),0)</f>
        <v>0</v>
      </c>
      <c r="AF736" s="313">
        <f>IFERROR(IF(INDEX([1]Pivot!$BF$1:$CG$65000,$B736,AF$5)=1,1,IF(INDEX([1]Pivot!$B$1:$AB$65000,$B736,AF$5)="",2,0)),0)</f>
        <v>0</v>
      </c>
      <c r="AG736" s="313">
        <f>IFERROR(IF(INDEX([1]Pivot!$BF$1:$CG$65000,$B736,AG$5)=1,1,IF(INDEX([1]Pivot!$B$1:$AB$65000,$B736,AG$5)="",2,0)),0)</f>
        <v>0</v>
      </c>
      <c r="AH736" s="313">
        <f>IFERROR(IF(INDEX([1]Pivot!$BF$1:$CG$65000,$B736,AH$5)=1,1,IF(INDEX([1]Pivot!$B$1:$AB$65000,$B736,AH$5)="",2,0)),0)</f>
        <v>0</v>
      </c>
      <c r="AI736" s="313">
        <f>IFERROR(IF(INDEX([1]Pivot!$BF$1:$CG$65000,$B736,AI$5)=1,1,IF(INDEX([1]Pivot!$B$1:$AB$65000,$B736,AI$5)="",2,0)),0)</f>
        <v>0</v>
      </c>
      <c r="AJ736" s="313">
        <f>IFERROR(IF(INDEX([1]Pivot!$BF$1:$CG$65000,$B736,AJ$5)=1,1,IF(INDEX([1]Pivot!$B$1:$AB$65000,$B736,AJ$5)="",2,0)),0)</f>
        <v>0</v>
      </c>
      <c r="AK736" s="313">
        <f>IFERROR(IF(INDEX([1]Pivot!$BF$1:$CG$65000,$B736,AK$5)=1,1,IF(INDEX([1]Pivot!$B$1:$AB$65000,$B736,AK$5)="",2,0)),0)</f>
        <v>0</v>
      </c>
      <c r="AL736" s="313">
        <f>IFERROR(IF(INDEX([1]Pivot!$BF$1:$CG$65000,$B736,AL$5)=1,1,IF(INDEX([1]Pivot!$B$1:$AB$65000,$B736,AL$5)="",2,0)),0)</f>
        <v>0</v>
      </c>
      <c r="AM736" s="313">
        <f>IFERROR(IF(INDEX([1]Pivot!$BF$1:$CG$65000,$B736,AM$5)=1,1,IF(INDEX([1]Pivot!$B$1:$AB$65000,$B736,AM$5)="",2,0)),0)</f>
        <v>0</v>
      </c>
      <c r="AN736" s="313">
        <f>IFERROR(IF(INDEX([1]Pivot!$BF$1:$CG$65000,$B736,AN$5)=1,1,IF(INDEX([1]Pivot!$B$1:$AB$65000,$B736,AN$5)="",2,0)),0)</f>
        <v>0</v>
      </c>
      <c r="AO736" s="313">
        <f>IFERROR(IF(INDEX([1]Pivot!$BF$1:$CG$65000,$B736,AO$5)=1,1,IF(INDEX([1]Pivot!$B$1:$AB$65000,$B736,AO$5)="",2,0)),0)</f>
        <v>0</v>
      </c>
      <c r="AP736" s="313">
        <f>IFERROR(IF(INDEX([1]Pivot!$BF$1:$CG$65000,$B736,AP$5)=1,1,IF(INDEX([1]Pivot!$B$1:$AB$65000,$B736,AP$5)="",2,0)),0)</f>
        <v>0</v>
      </c>
      <c r="AQ736" s="313">
        <f>IFERROR(IF(INDEX([1]Pivot!$BF$1:$CG$65000,$B736,AQ$5)=1,1,IF(INDEX([1]Pivot!$B$1:$AB$65000,$B736,AQ$5)="",2,0)),0)</f>
        <v>0</v>
      </c>
      <c r="AR736" s="313">
        <f>IFERROR(IF(INDEX([1]Pivot!$BF$1:$CG$65000,$B736,AR$5)=1,1,IF(INDEX([1]Pivot!$B$1:$AB$65000,$B736,AR$5)="",2,0)),0)</f>
        <v>0</v>
      </c>
      <c r="AS736" s="312"/>
      <c r="AT736" s="313">
        <f>IFERROR(IF(INDEX([1]Pivot!$BF$1:$CG$65000,$B736,AT$5)=1,1,IF(INDEX([1]Pivot!$B$1:$AB$65000,$B736,AT$5)="",2,0)),0)</f>
        <v>0</v>
      </c>
      <c r="AU736" s="313">
        <f>IFERROR(IF(INDEX([1]Pivot!$BF$1:$CG$65000,$B736,AU$5)=1,1,IF(INDEX([1]Pivot!$B$1:$AB$65000,$B736,AU$5)="",2,0)),0)</f>
        <v>0</v>
      </c>
      <c r="AV736" s="313">
        <f>IFERROR(IF(INDEX([1]Pivot!$BF$1:$CG$65000,$B736,AV$5)=1,1,IF(INDEX([1]Pivot!$B$1:$AB$65000,$B736,AV$5)="",2,0)),0)</f>
        <v>0</v>
      </c>
      <c r="AW736" s="313">
        <f>IFERROR(IF(INDEX([1]Pivot!$BF$1:$CG$65000,$B736,AW$5)=1,1,IF(INDEX([1]Pivot!$B$1:$AB$65000,$B736,AW$5)="",2,0)),0)</f>
        <v>0</v>
      </c>
      <c r="AX736" s="313">
        <f>IFERROR(IF(INDEX([1]Pivot!$BF$1:$CG$65000,$B736,AX$5)=1,1,IF(INDEX([1]Pivot!$B$1:$AB$65000,$B736,AX$5)="",2,0)),0)</f>
        <v>0</v>
      </c>
      <c r="AY736" s="313">
        <f>IFERROR(IF(INDEX([1]Pivot!$BF$1:$CG$65000,$B736,AY$5)=1,1,IF(INDEX([1]Pivot!$B$1:$AB$65000,$B736,AY$5)="",2,0)),0)</f>
        <v>0</v>
      </c>
      <c r="AZ736" s="313">
        <f>IFERROR(IF(INDEX([1]Pivot!$BF$1:$CG$65000,$B736,AZ$5)=1,1,IF(INDEX([1]Pivot!$B$1:$AB$65000,$B736,AZ$5)="",2,0)),0)</f>
        <v>0</v>
      </c>
      <c r="BA736" s="313">
        <f>IFERROR(IF(INDEX([1]Pivot!$BF$1:$CG$65000,$B736,BA$5)=1,1,IF(INDEX([1]Pivot!$B$1:$AB$65000,$B736,BA$5)="",2,0)),0)</f>
        <v>0</v>
      </c>
      <c r="BB736" s="313">
        <f>IFERROR(IF(INDEX([1]Pivot!$BF$1:$CG$65000,$B736,BB$5)=1,1,IF(INDEX([1]Pivot!$B$1:$AB$65000,$B736,BB$5)="",2,0)),0)</f>
        <v>0</v>
      </c>
      <c r="BC736" s="313">
        <f>IFERROR(IF(INDEX([1]Pivot!$BF$1:$CG$65000,$B736,BC$5)=1,1,IF(INDEX([1]Pivot!$B$1:$AB$65000,$B736,BC$5)="",2,0)),0)</f>
        <v>0</v>
      </c>
      <c r="BD736" s="313">
        <f>IFERROR(IF(INDEX([1]Pivot!$BF$1:$CG$65000,$B736,BD$5)=1,1,IF(INDEX([1]Pivot!$B$1:$AB$65000,$B736,BD$5)="",2,0)),0)</f>
        <v>0</v>
      </c>
    </row>
    <row r="737" spans="1:56" x14ac:dyDescent="0.25">
      <c r="A737" s="288">
        <f>'[2]Raw Milk Prices'!A737</f>
        <v>0</v>
      </c>
      <c r="B737" s="296" t="e">
        <f>MATCH(DATE(LEFT('[2]Raw Milk Prices'!$A737,4),RIGHT('[2]Raw Milk Prices'!$A737,2),1),[1]Pivot!$A$1:$A$65000,0)</f>
        <v>#VALUE!</v>
      </c>
      <c r="C737" s="194">
        <f>IFERROR(IF(INDEX([1]Pivot!$AD$1:$BE$65000,$B737,C$5)=1,1,IF(INDEX([1]Pivot!$B$1:$AB$65000,$B737,C$5)="",2,0)),0)</f>
        <v>0</v>
      </c>
      <c r="D737" s="194">
        <f>IFERROR(IF(INDEX([1]Pivot!$AD$1:$BE$65000,$B737,D$5)=1,1,IF(INDEX([1]Pivot!$B$1:$AB$65000,$B737,D$5)="",2,0)),0)</f>
        <v>0</v>
      </c>
      <c r="E737" s="194">
        <f>IFERROR(IF(INDEX([1]Pivot!$AD$1:$BE$65000,$B737,E$5)=1,1,IF(INDEX([1]Pivot!$B$1:$AB$65000,$B737,E$5)="",2,0)),0)</f>
        <v>0</v>
      </c>
      <c r="F737" s="194">
        <f>IFERROR(IF(INDEX([1]Pivot!$AD$1:$BE$65000,$B737,F$5)=1,1,IF(INDEX([1]Pivot!$B$1:$AB$65000,$B737,F$5)="",2,0)),0)</f>
        <v>0</v>
      </c>
      <c r="G737" s="194">
        <f>IFERROR(IF(INDEX([1]Pivot!$AD$1:$BE$65000,$B737,G$5)=1,1,IF(INDEX([1]Pivot!$B$1:$AB$65000,$B737,G$5)="",2,0)),0)</f>
        <v>0</v>
      </c>
      <c r="H737" s="194">
        <f>IFERROR(IF(INDEX([1]Pivot!$AD$1:$BE$65000,$B737,H$5)=1,1,IF(INDEX([1]Pivot!$B$1:$AB$65000,$B737,H$5)="",2,0)),0)</f>
        <v>0</v>
      </c>
      <c r="I737" s="194">
        <f>IFERROR(IF(INDEX([1]Pivot!$AD$1:$BE$65000,$B737,I$5)=1,1,IF(INDEX([1]Pivot!$B$1:$AB$65000,$B737,I$5)="",2,0)),0)</f>
        <v>0</v>
      </c>
      <c r="J737" s="194">
        <f>IFERROR(IF(INDEX([1]Pivot!$AD$1:$BE$65000,$B737,J$5)=1,1,IF(INDEX([1]Pivot!$B$1:$AB$65000,$B737,J$5)="",2,0)),0)</f>
        <v>0</v>
      </c>
      <c r="K737" s="194">
        <f>IFERROR(IF(INDEX([1]Pivot!$AD$1:$BE$65000,$B737,K$5)=1,1,IF(INDEX([1]Pivot!$B$1:$AB$65000,$B737,K$5)="",2,0)),0)</f>
        <v>0</v>
      </c>
      <c r="L737" s="194">
        <f>IFERROR(IF(INDEX([1]Pivot!$AD$1:$BE$65000,$B737,L$5)=1,1,IF(INDEX([1]Pivot!$B$1:$AB$65000,$B737,L$5)="",2,0)),0)</f>
        <v>0</v>
      </c>
      <c r="M737" s="194">
        <f>IFERROR(IF(INDEX([1]Pivot!$AD$1:$BE$65000,$B737,M$5)=1,1,IF(INDEX([1]Pivot!$B$1:$AB$65000,$B737,M$5)="",2,0)),0)</f>
        <v>0</v>
      </c>
      <c r="N737" s="194">
        <f>IFERROR(IF(INDEX([1]Pivot!$AD$1:$BE$65000,$B737,N$5)=1,1,IF(INDEX([1]Pivot!$B$1:$AB$65000,$B737,N$5)="",2,0)),0)</f>
        <v>0</v>
      </c>
      <c r="O737" s="194">
        <f>IFERROR(IF(INDEX([1]Pivot!$AD$1:$BE$65000,$B737,O$5)=1,1,IF(INDEX([1]Pivot!$B$1:$AB$65000,$B737,O$5)="",2,0)),0)</f>
        <v>0</v>
      </c>
      <c r="P737" s="194">
        <f>IFERROR(IF(INDEX([1]Pivot!$AD$1:$BE$65000,$B737,P$5)=1,1,IF(INDEX([1]Pivot!$B$1:$AB$65000,$B737,P$5)="",2,0)),0)</f>
        <v>0</v>
      </c>
      <c r="Q737" s="194">
        <f>IFERROR(IF(INDEX([1]Pivot!$AD$1:$BE$65000,$B737,Q$5)=1,1,IF(INDEX([1]Pivot!$B$1:$AB$65000,$B737,Q$5)="",2,0)),0)</f>
        <v>0</v>
      </c>
      <c r="R737" s="312"/>
      <c r="S737" s="194">
        <f>IFERROR(IF(INDEX([1]Pivot!$AD$1:$BE$65000,$B737,S$5)=1,1,IF(INDEX([1]Pivot!$B$1:$AB$65000,$B737,S$5)="",2,0)),0)</f>
        <v>0</v>
      </c>
      <c r="T737" s="194">
        <f>IFERROR(IF(INDEX([1]Pivot!$AD$1:$BE$65000,$B737,T$5)=1,1,IF(INDEX([1]Pivot!$B$1:$AB$65000,$B737,T$5)="",2,0)),0)</f>
        <v>0</v>
      </c>
      <c r="U737" s="194">
        <f>IFERROR(IF(INDEX([1]Pivot!$AD$1:$BE$65000,$B737,U$5)=1,1,IF(INDEX([1]Pivot!$B$1:$AB$65000,$B737,U$5)="",2,0)),0)</f>
        <v>0</v>
      </c>
      <c r="V737" s="194">
        <f>IFERROR(IF(INDEX([1]Pivot!$AD$1:$BE$65000,$B737,V$5)=1,1,IF(INDEX([1]Pivot!$B$1:$AB$65000,$B737,V$5)="",2,0)),0)</f>
        <v>0</v>
      </c>
      <c r="W737" s="194">
        <f>IFERROR(IF(INDEX([1]Pivot!$AD$1:$BE$65000,$B737,W$5)=1,1,IF(INDEX([1]Pivot!$B$1:$AB$65000,$B737,W$5)="",2,0)),0)</f>
        <v>0</v>
      </c>
      <c r="X737" s="194">
        <f>IFERROR(IF(INDEX([1]Pivot!$AD$1:$BE$65000,$B737,X$5)=1,1,IF(INDEX([1]Pivot!$B$1:$AB$65000,$B737,X$5)="",2,0)),0)</f>
        <v>0</v>
      </c>
      <c r="Y737" s="194">
        <f>IFERROR(IF(INDEX([1]Pivot!$AD$1:$BE$65000,$B737,Y$5)=1,1,IF(INDEX([1]Pivot!$B$1:$AB$65000,$B737,Y$5)="",2,0)),0)</f>
        <v>0</v>
      </c>
      <c r="Z737" s="194">
        <f>IFERROR(IF(INDEX([1]Pivot!$AD$1:$BE$65000,$B737,Z$5)=1,1,IF(INDEX([1]Pivot!$B$1:$AB$65000,$B737,Z$5)="",2,0)),0)</f>
        <v>0</v>
      </c>
      <c r="AA737" s="194">
        <f>IFERROR(IF(INDEX([1]Pivot!$AD$1:$BE$65000,$B737,AA$5)=1,1,IF(INDEX([1]Pivot!$B$1:$AB$65000,$B737,AA$5)="",2,0)),0)</f>
        <v>0</v>
      </c>
      <c r="AB737" s="194">
        <f>IFERROR(IF(INDEX([1]Pivot!$AD$1:$BE$65000,$B737,AB$5)=1,1,IF(INDEX([1]Pivot!$B$1:$AB$65000,$B737,AB$5)="",2,0)),0)</f>
        <v>0</v>
      </c>
      <c r="AC737" s="194">
        <f>IFERROR(IF(INDEX([1]Pivot!$AD$1:$BE$65000,$B737,AC$5)=1,1,IF(INDEX([1]Pivot!$B$1:$AB$65000,$B737,AC$5)="",2,0)),0)</f>
        <v>0</v>
      </c>
      <c r="AD737" s="313">
        <f>IFERROR(IF(INDEX([1]Pivot!$BF$1:$CG$65000,$B737,AD$5)=1,1,IF(INDEX([1]Pivot!$B$1:$AB$65000,$B737,AD$5)="",2,0)),0)</f>
        <v>0</v>
      </c>
      <c r="AE737" s="313">
        <f>IFERROR(IF(INDEX([1]Pivot!$BF$1:$CG$65000,$B737,AE$5)=1,1,IF(INDEX([1]Pivot!$B$1:$AB$65000,$B737,AE$5)="",2,0)),0)</f>
        <v>0</v>
      </c>
      <c r="AF737" s="313">
        <f>IFERROR(IF(INDEX([1]Pivot!$BF$1:$CG$65000,$B737,AF$5)=1,1,IF(INDEX([1]Pivot!$B$1:$AB$65000,$B737,AF$5)="",2,0)),0)</f>
        <v>0</v>
      </c>
      <c r="AG737" s="313">
        <f>IFERROR(IF(INDEX([1]Pivot!$BF$1:$CG$65000,$B737,AG$5)=1,1,IF(INDEX([1]Pivot!$B$1:$AB$65000,$B737,AG$5)="",2,0)),0)</f>
        <v>0</v>
      </c>
      <c r="AH737" s="313">
        <f>IFERROR(IF(INDEX([1]Pivot!$BF$1:$CG$65000,$B737,AH$5)=1,1,IF(INDEX([1]Pivot!$B$1:$AB$65000,$B737,AH$5)="",2,0)),0)</f>
        <v>0</v>
      </c>
      <c r="AI737" s="313">
        <f>IFERROR(IF(INDEX([1]Pivot!$BF$1:$CG$65000,$B737,AI$5)=1,1,IF(INDEX([1]Pivot!$B$1:$AB$65000,$B737,AI$5)="",2,0)),0)</f>
        <v>0</v>
      </c>
      <c r="AJ737" s="313">
        <f>IFERROR(IF(INDEX([1]Pivot!$BF$1:$CG$65000,$B737,AJ$5)=1,1,IF(INDEX([1]Pivot!$B$1:$AB$65000,$B737,AJ$5)="",2,0)),0)</f>
        <v>0</v>
      </c>
      <c r="AK737" s="313">
        <f>IFERROR(IF(INDEX([1]Pivot!$BF$1:$CG$65000,$B737,AK$5)=1,1,IF(INDEX([1]Pivot!$B$1:$AB$65000,$B737,AK$5)="",2,0)),0)</f>
        <v>0</v>
      </c>
      <c r="AL737" s="313">
        <f>IFERROR(IF(INDEX([1]Pivot!$BF$1:$CG$65000,$B737,AL$5)=1,1,IF(INDEX([1]Pivot!$B$1:$AB$65000,$B737,AL$5)="",2,0)),0)</f>
        <v>0</v>
      </c>
      <c r="AM737" s="313">
        <f>IFERROR(IF(INDEX([1]Pivot!$BF$1:$CG$65000,$B737,AM$5)=1,1,IF(INDEX([1]Pivot!$B$1:$AB$65000,$B737,AM$5)="",2,0)),0)</f>
        <v>0</v>
      </c>
      <c r="AN737" s="313">
        <f>IFERROR(IF(INDEX([1]Pivot!$BF$1:$CG$65000,$B737,AN$5)=1,1,IF(INDEX([1]Pivot!$B$1:$AB$65000,$B737,AN$5)="",2,0)),0)</f>
        <v>0</v>
      </c>
      <c r="AO737" s="313">
        <f>IFERROR(IF(INDEX([1]Pivot!$BF$1:$CG$65000,$B737,AO$5)=1,1,IF(INDEX([1]Pivot!$B$1:$AB$65000,$B737,AO$5)="",2,0)),0)</f>
        <v>0</v>
      </c>
      <c r="AP737" s="313">
        <f>IFERROR(IF(INDEX([1]Pivot!$BF$1:$CG$65000,$B737,AP$5)=1,1,IF(INDEX([1]Pivot!$B$1:$AB$65000,$B737,AP$5)="",2,0)),0)</f>
        <v>0</v>
      </c>
      <c r="AQ737" s="313">
        <f>IFERROR(IF(INDEX([1]Pivot!$BF$1:$CG$65000,$B737,AQ$5)=1,1,IF(INDEX([1]Pivot!$B$1:$AB$65000,$B737,AQ$5)="",2,0)),0)</f>
        <v>0</v>
      </c>
      <c r="AR737" s="313">
        <f>IFERROR(IF(INDEX([1]Pivot!$BF$1:$CG$65000,$B737,AR$5)=1,1,IF(INDEX([1]Pivot!$B$1:$AB$65000,$B737,AR$5)="",2,0)),0)</f>
        <v>0</v>
      </c>
      <c r="AS737" s="312"/>
      <c r="AT737" s="313">
        <f>IFERROR(IF(INDEX([1]Pivot!$BF$1:$CG$65000,$B737,AT$5)=1,1,IF(INDEX([1]Pivot!$B$1:$AB$65000,$B737,AT$5)="",2,0)),0)</f>
        <v>0</v>
      </c>
      <c r="AU737" s="313">
        <f>IFERROR(IF(INDEX([1]Pivot!$BF$1:$CG$65000,$B737,AU$5)=1,1,IF(INDEX([1]Pivot!$B$1:$AB$65000,$B737,AU$5)="",2,0)),0)</f>
        <v>0</v>
      </c>
      <c r="AV737" s="313">
        <f>IFERROR(IF(INDEX([1]Pivot!$BF$1:$CG$65000,$B737,AV$5)=1,1,IF(INDEX([1]Pivot!$B$1:$AB$65000,$B737,AV$5)="",2,0)),0)</f>
        <v>0</v>
      </c>
      <c r="AW737" s="313">
        <f>IFERROR(IF(INDEX([1]Pivot!$BF$1:$CG$65000,$B737,AW$5)=1,1,IF(INDEX([1]Pivot!$B$1:$AB$65000,$B737,AW$5)="",2,0)),0)</f>
        <v>0</v>
      </c>
      <c r="AX737" s="313">
        <f>IFERROR(IF(INDEX([1]Pivot!$BF$1:$CG$65000,$B737,AX$5)=1,1,IF(INDEX([1]Pivot!$B$1:$AB$65000,$B737,AX$5)="",2,0)),0)</f>
        <v>0</v>
      </c>
      <c r="AY737" s="313">
        <f>IFERROR(IF(INDEX([1]Pivot!$BF$1:$CG$65000,$B737,AY$5)=1,1,IF(INDEX([1]Pivot!$B$1:$AB$65000,$B737,AY$5)="",2,0)),0)</f>
        <v>0</v>
      </c>
      <c r="AZ737" s="313">
        <f>IFERROR(IF(INDEX([1]Pivot!$BF$1:$CG$65000,$B737,AZ$5)=1,1,IF(INDEX([1]Pivot!$B$1:$AB$65000,$B737,AZ$5)="",2,0)),0)</f>
        <v>0</v>
      </c>
      <c r="BA737" s="313">
        <f>IFERROR(IF(INDEX([1]Pivot!$BF$1:$CG$65000,$B737,BA$5)=1,1,IF(INDEX([1]Pivot!$B$1:$AB$65000,$B737,BA$5)="",2,0)),0)</f>
        <v>0</v>
      </c>
      <c r="BB737" s="313">
        <f>IFERROR(IF(INDEX([1]Pivot!$BF$1:$CG$65000,$B737,BB$5)=1,1,IF(INDEX([1]Pivot!$B$1:$AB$65000,$B737,BB$5)="",2,0)),0)</f>
        <v>0</v>
      </c>
      <c r="BC737" s="313">
        <f>IFERROR(IF(INDEX([1]Pivot!$BF$1:$CG$65000,$B737,BC$5)=1,1,IF(INDEX([1]Pivot!$B$1:$AB$65000,$B737,BC$5)="",2,0)),0)</f>
        <v>0</v>
      </c>
      <c r="BD737" s="313">
        <f>IFERROR(IF(INDEX([1]Pivot!$BF$1:$CG$65000,$B737,BD$5)=1,1,IF(INDEX([1]Pivot!$B$1:$AB$65000,$B737,BD$5)="",2,0)),0)</f>
        <v>0</v>
      </c>
    </row>
    <row r="738" spans="1:56" x14ac:dyDescent="0.25">
      <c r="A738" s="288">
        <f>'[2]Raw Milk Prices'!A738</f>
        <v>0</v>
      </c>
      <c r="B738" s="296" t="e">
        <f>MATCH(DATE(LEFT('[2]Raw Milk Prices'!$A738,4),RIGHT('[2]Raw Milk Prices'!$A738,2),1),[1]Pivot!$A$1:$A$65000,0)</f>
        <v>#VALUE!</v>
      </c>
      <c r="C738" s="194">
        <f>IFERROR(IF(INDEX([1]Pivot!$AD$1:$BE$65000,$B738,C$5)=1,1,IF(INDEX([1]Pivot!$B$1:$AB$65000,$B738,C$5)="",2,0)),0)</f>
        <v>0</v>
      </c>
      <c r="D738" s="194">
        <f>IFERROR(IF(INDEX([1]Pivot!$AD$1:$BE$65000,$B738,D$5)=1,1,IF(INDEX([1]Pivot!$B$1:$AB$65000,$B738,D$5)="",2,0)),0)</f>
        <v>0</v>
      </c>
      <c r="E738" s="194">
        <f>IFERROR(IF(INDEX([1]Pivot!$AD$1:$BE$65000,$B738,E$5)=1,1,IF(INDEX([1]Pivot!$B$1:$AB$65000,$B738,E$5)="",2,0)),0)</f>
        <v>0</v>
      </c>
      <c r="F738" s="194">
        <f>IFERROR(IF(INDEX([1]Pivot!$AD$1:$BE$65000,$B738,F$5)=1,1,IF(INDEX([1]Pivot!$B$1:$AB$65000,$B738,F$5)="",2,0)),0)</f>
        <v>0</v>
      </c>
      <c r="G738" s="194">
        <f>IFERROR(IF(INDEX([1]Pivot!$AD$1:$BE$65000,$B738,G$5)=1,1,IF(INDEX([1]Pivot!$B$1:$AB$65000,$B738,G$5)="",2,0)),0)</f>
        <v>0</v>
      </c>
      <c r="H738" s="194">
        <f>IFERROR(IF(INDEX([1]Pivot!$AD$1:$BE$65000,$B738,H$5)=1,1,IF(INDEX([1]Pivot!$B$1:$AB$65000,$B738,H$5)="",2,0)),0)</f>
        <v>0</v>
      </c>
      <c r="I738" s="194">
        <f>IFERROR(IF(INDEX([1]Pivot!$AD$1:$BE$65000,$B738,I$5)=1,1,IF(INDEX([1]Pivot!$B$1:$AB$65000,$B738,I$5)="",2,0)),0)</f>
        <v>0</v>
      </c>
      <c r="J738" s="194">
        <f>IFERROR(IF(INDEX([1]Pivot!$AD$1:$BE$65000,$B738,J$5)=1,1,IF(INDEX([1]Pivot!$B$1:$AB$65000,$B738,J$5)="",2,0)),0)</f>
        <v>0</v>
      </c>
      <c r="K738" s="194">
        <f>IFERROR(IF(INDEX([1]Pivot!$AD$1:$BE$65000,$B738,K$5)=1,1,IF(INDEX([1]Pivot!$B$1:$AB$65000,$B738,K$5)="",2,0)),0)</f>
        <v>0</v>
      </c>
      <c r="L738" s="194">
        <f>IFERROR(IF(INDEX([1]Pivot!$AD$1:$BE$65000,$B738,L$5)=1,1,IF(INDEX([1]Pivot!$B$1:$AB$65000,$B738,L$5)="",2,0)),0)</f>
        <v>0</v>
      </c>
      <c r="M738" s="194">
        <f>IFERROR(IF(INDEX([1]Pivot!$AD$1:$BE$65000,$B738,M$5)=1,1,IF(INDEX([1]Pivot!$B$1:$AB$65000,$B738,M$5)="",2,0)),0)</f>
        <v>0</v>
      </c>
      <c r="N738" s="194">
        <f>IFERROR(IF(INDEX([1]Pivot!$AD$1:$BE$65000,$B738,N$5)=1,1,IF(INDEX([1]Pivot!$B$1:$AB$65000,$B738,N$5)="",2,0)),0)</f>
        <v>0</v>
      </c>
      <c r="O738" s="194">
        <f>IFERROR(IF(INDEX([1]Pivot!$AD$1:$BE$65000,$B738,O$5)=1,1,IF(INDEX([1]Pivot!$B$1:$AB$65000,$B738,O$5)="",2,0)),0)</f>
        <v>0</v>
      </c>
      <c r="P738" s="194">
        <f>IFERROR(IF(INDEX([1]Pivot!$AD$1:$BE$65000,$B738,P$5)=1,1,IF(INDEX([1]Pivot!$B$1:$AB$65000,$B738,P$5)="",2,0)),0)</f>
        <v>0</v>
      </c>
      <c r="Q738" s="194">
        <f>IFERROR(IF(INDEX([1]Pivot!$AD$1:$BE$65000,$B738,Q$5)=1,1,IF(INDEX([1]Pivot!$B$1:$AB$65000,$B738,Q$5)="",2,0)),0)</f>
        <v>0</v>
      </c>
      <c r="R738" s="312"/>
      <c r="S738" s="194">
        <f>IFERROR(IF(INDEX([1]Pivot!$AD$1:$BE$65000,$B738,S$5)=1,1,IF(INDEX([1]Pivot!$B$1:$AB$65000,$B738,S$5)="",2,0)),0)</f>
        <v>0</v>
      </c>
      <c r="T738" s="194">
        <f>IFERROR(IF(INDEX([1]Pivot!$AD$1:$BE$65000,$B738,T$5)=1,1,IF(INDEX([1]Pivot!$B$1:$AB$65000,$B738,T$5)="",2,0)),0)</f>
        <v>0</v>
      </c>
      <c r="U738" s="194">
        <f>IFERROR(IF(INDEX([1]Pivot!$AD$1:$BE$65000,$B738,U$5)=1,1,IF(INDEX([1]Pivot!$B$1:$AB$65000,$B738,U$5)="",2,0)),0)</f>
        <v>0</v>
      </c>
      <c r="V738" s="194">
        <f>IFERROR(IF(INDEX([1]Pivot!$AD$1:$BE$65000,$B738,V$5)=1,1,IF(INDEX([1]Pivot!$B$1:$AB$65000,$B738,V$5)="",2,0)),0)</f>
        <v>0</v>
      </c>
      <c r="W738" s="194">
        <f>IFERROR(IF(INDEX([1]Pivot!$AD$1:$BE$65000,$B738,W$5)=1,1,IF(INDEX([1]Pivot!$B$1:$AB$65000,$B738,W$5)="",2,0)),0)</f>
        <v>0</v>
      </c>
      <c r="X738" s="194">
        <f>IFERROR(IF(INDEX([1]Pivot!$AD$1:$BE$65000,$B738,X$5)=1,1,IF(INDEX([1]Pivot!$B$1:$AB$65000,$B738,X$5)="",2,0)),0)</f>
        <v>0</v>
      </c>
      <c r="Y738" s="194">
        <f>IFERROR(IF(INDEX([1]Pivot!$AD$1:$BE$65000,$B738,Y$5)=1,1,IF(INDEX([1]Pivot!$B$1:$AB$65000,$B738,Y$5)="",2,0)),0)</f>
        <v>0</v>
      </c>
      <c r="Z738" s="194">
        <f>IFERROR(IF(INDEX([1]Pivot!$AD$1:$BE$65000,$B738,Z$5)=1,1,IF(INDEX([1]Pivot!$B$1:$AB$65000,$B738,Z$5)="",2,0)),0)</f>
        <v>0</v>
      </c>
      <c r="AA738" s="194">
        <f>IFERROR(IF(INDEX([1]Pivot!$AD$1:$BE$65000,$B738,AA$5)=1,1,IF(INDEX([1]Pivot!$B$1:$AB$65000,$B738,AA$5)="",2,0)),0)</f>
        <v>0</v>
      </c>
      <c r="AB738" s="194">
        <f>IFERROR(IF(INDEX([1]Pivot!$AD$1:$BE$65000,$B738,AB$5)=1,1,IF(INDEX([1]Pivot!$B$1:$AB$65000,$B738,AB$5)="",2,0)),0)</f>
        <v>0</v>
      </c>
      <c r="AC738" s="194">
        <f>IFERROR(IF(INDEX([1]Pivot!$AD$1:$BE$65000,$B738,AC$5)=1,1,IF(INDEX([1]Pivot!$B$1:$AB$65000,$B738,AC$5)="",2,0)),0)</f>
        <v>0</v>
      </c>
      <c r="AD738" s="313">
        <f>IFERROR(IF(INDEX([1]Pivot!$BF$1:$CG$65000,$B738,AD$5)=1,1,IF(INDEX([1]Pivot!$B$1:$AB$65000,$B738,AD$5)="",2,0)),0)</f>
        <v>0</v>
      </c>
      <c r="AE738" s="313">
        <f>IFERROR(IF(INDEX([1]Pivot!$BF$1:$CG$65000,$B738,AE$5)=1,1,IF(INDEX([1]Pivot!$B$1:$AB$65000,$B738,AE$5)="",2,0)),0)</f>
        <v>0</v>
      </c>
      <c r="AF738" s="313">
        <f>IFERROR(IF(INDEX([1]Pivot!$BF$1:$CG$65000,$B738,AF$5)=1,1,IF(INDEX([1]Pivot!$B$1:$AB$65000,$B738,AF$5)="",2,0)),0)</f>
        <v>0</v>
      </c>
      <c r="AG738" s="313">
        <f>IFERROR(IF(INDEX([1]Pivot!$BF$1:$CG$65000,$B738,AG$5)=1,1,IF(INDEX([1]Pivot!$B$1:$AB$65000,$B738,AG$5)="",2,0)),0)</f>
        <v>0</v>
      </c>
      <c r="AH738" s="313">
        <f>IFERROR(IF(INDEX([1]Pivot!$BF$1:$CG$65000,$B738,AH$5)=1,1,IF(INDEX([1]Pivot!$B$1:$AB$65000,$B738,AH$5)="",2,0)),0)</f>
        <v>0</v>
      </c>
      <c r="AI738" s="313">
        <f>IFERROR(IF(INDEX([1]Pivot!$BF$1:$CG$65000,$B738,AI$5)=1,1,IF(INDEX([1]Pivot!$B$1:$AB$65000,$B738,AI$5)="",2,0)),0)</f>
        <v>0</v>
      </c>
      <c r="AJ738" s="313">
        <f>IFERROR(IF(INDEX([1]Pivot!$BF$1:$CG$65000,$B738,AJ$5)=1,1,IF(INDEX([1]Pivot!$B$1:$AB$65000,$B738,AJ$5)="",2,0)),0)</f>
        <v>0</v>
      </c>
      <c r="AK738" s="313">
        <f>IFERROR(IF(INDEX([1]Pivot!$BF$1:$CG$65000,$B738,AK$5)=1,1,IF(INDEX([1]Pivot!$B$1:$AB$65000,$B738,AK$5)="",2,0)),0)</f>
        <v>0</v>
      </c>
      <c r="AL738" s="313">
        <f>IFERROR(IF(INDEX([1]Pivot!$BF$1:$CG$65000,$B738,AL$5)=1,1,IF(INDEX([1]Pivot!$B$1:$AB$65000,$B738,AL$5)="",2,0)),0)</f>
        <v>0</v>
      </c>
      <c r="AM738" s="313">
        <f>IFERROR(IF(INDEX([1]Pivot!$BF$1:$CG$65000,$B738,AM$5)=1,1,IF(INDEX([1]Pivot!$B$1:$AB$65000,$B738,AM$5)="",2,0)),0)</f>
        <v>0</v>
      </c>
      <c r="AN738" s="313">
        <f>IFERROR(IF(INDEX([1]Pivot!$BF$1:$CG$65000,$B738,AN$5)=1,1,IF(INDEX([1]Pivot!$B$1:$AB$65000,$B738,AN$5)="",2,0)),0)</f>
        <v>0</v>
      </c>
      <c r="AO738" s="313">
        <f>IFERROR(IF(INDEX([1]Pivot!$BF$1:$CG$65000,$B738,AO$5)=1,1,IF(INDEX([1]Pivot!$B$1:$AB$65000,$B738,AO$5)="",2,0)),0)</f>
        <v>0</v>
      </c>
      <c r="AP738" s="313">
        <f>IFERROR(IF(INDEX([1]Pivot!$BF$1:$CG$65000,$B738,AP$5)=1,1,IF(INDEX([1]Pivot!$B$1:$AB$65000,$B738,AP$5)="",2,0)),0)</f>
        <v>0</v>
      </c>
      <c r="AQ738" s="313">
        <f>IFERROR(IF(INDEX([1]Pivot!$BF$1:$CG$65000,$B738,AQ$5)=1,1,IF(INDEX([1]Pivot!$B$1:$AB$65000,$B738,AQ$5)="",2,0)),0)</f>
        <v>0</v>
      </c>
      <c r="AR738" s="313">
        <f>IFERROR(IF(INDEX([1]Pivot!$BF$1:$CG$65000,$B738,AR$5)=1,1,IF(INDEX([1]Pivot!$B$1:$AB$65000,$B738,AR$5)="",2,0)),0)</f>
        <v>0</v>
      </c>
      <c r="AS738" s="312"/>
      <c r="AT738" s="313">
        <f>IFERROR(IF(INDEX([1]Pivot!$BF$1:$CG$65000,$B738,AT$5)=1,1,IF(INDEX([1]Pivot!$B$1:$AB$65000,$B738,AT$5)="",2,0)),0)</f>
        <v>0</v>
      </c>
      <c r="AU738" s="313">
        <f>IFERROR(IF(INDEX([1]Pivot!$BF$1:$CG$65000,$B738,AU$5)=1,1,IF(INDEX([1]Pivot!$B$1:$AB$65000,$B738,AU$5)="",2,0)),0)</f>
        <v>0</v>
      </c>
      <c r="AV738" s="313">
        <f>IFERROR(IF(INDEX([1]Pivot!$BF$1:$CG$65000,$B738,AV$5)=1,1,IF(INDEX([1]Pivot!$B$1:$AB$65000,$B738,AV$5)="",2,0)),0)</f>
        <v>0</v>
      </c>
      <c r="AW738" s="313">
        <f>IFERROR(IF(INDEX([1]Pivot!$BF$1:$CG$65000,$B738,AW$5)=1,1,IF(INDEX([1]Pivot!$B$1:$AB$65000,$B738,AW$5)="",2,0)),0)</f>
        <v>0</v>
      </c>
      <c r="AX738" s="313">
        <f>IFERROR(IF(INDEX([1]Pivot!$BF$1:$CG$65000,$B738,AX$5)=1,1,IF(INDEX([1]Pivot!$B$1:$AB$65000,$B738,AX$5)="",2,0)),0)</f>
        <v>0</v>
      </c>
      <c r="AY738" s="313">
        <f>IFERROR(IF(INDEX([1]Pivot!$BF$1:$CG$65000,$B738,AY$5)=1,1,IF(INDEX([1]Pivot!$B$1:$AB$65000,$B738,AY$5)="",2,0)),0)</f>
        <v>0</v>
      </c>
      <c r="AZ738" s="313">
        <f>IFERROR(IF(INDEX([1]Pivot!$BF$1:$CG$65000,$B738,AZ$5)=1,1,IF(INDEX([1]Pivot!$B$1:$AB$65000,$B738,AZ$5)="",2,0)),0)</f>
        <v>0</v>
      </c>
      <c r="BA738" s="313">
        <f>IFERROR(IF(INDEX([1]Pivot!$BF$1:$CG$65000,$B738,BA$5)=1,1,IF(INDEX([1]Pivot!$B$1:$AB$65000,$B738,BA$5)="",2,0)),0)</f>
        <v>0</v>
      </c>
      <c r="BB738" s="313">
        <f>IFERROR(IF(INDEX([1]Pivot!$BF$1:$CG$65000,$B738,BB$5)=1,1,IF(INDEX([1]Pivot!$B$1:$AB$65000,$B738,BB$5)="",2,0)),0)</f>
        <v>0</v>
      </c>
      <c r="BC738" s="313">
        <f>IFERROR(IF(INDEX([1]Pivot!$BF$1:$CG$65000,$B738,BC$5)=1,1,IF(INDEX([1]Pivot!$B$1:$AB$65000,$B738,BC$5)="",2,0)),0)</f>
        <v>0</v>
      </c>
      <c r="BD738" s="313">
        <f>IFERROR(IF(INDEX([1]Pivot!$BF$1:$CG$65000,$B738,BD$5)=1,1,IF(INDEX([1]Pivot!$B$1:$AB$65000,$B738,BD$5)="",2,0)),0)</f>
        <v>0</v>
      </c>
    </row>
    <row r="739" spans="1:56" x14ac:dyDescent="0.25">
      <c r="A739" s="288">
        <f>'[2]Raw Milk Prices'!A739</f>
        <v>0</v>
      </c>
      <c r="B739" s="296" t="e">
        <f>MATCH(DATE(LEFT('[2]Raw Milk Prices'!$A739,4),RIGHT('[2]Raw Milk Prices'!$A739,2),1),[1]Pivot!$A$1:$A$65000,0)</f>
        <v>#VALUE!</v>
      </c>
      <c r="C739" s="194">
        <f>IFERROR(IF(INDEX([1]Pivot!$AD$1:$BE$65000,$B739,C$5)=1,1,IF(INDEX([1]Pivot!$B$1:$AB$65000,$B739,C$5)="",2,0)),0)</f>
        <v>0</v>
      </c>
      <c r="D739" s="194">
        <f>IFERROR(IF(INDEX([1]Pivot!$AD$1:$BE$65000,$B739,D$5)=1,1,IF(INDEX([1]Pivot!$B$1:$AB$65000,$B739,D$5)="",2,0)),0)</f>
        <v>0</v>
      </c>
      <c r="E739" s="194">
        <f>IFERROR(IF(INDEX([1]Pivot!$AD$1:$BE$65000,$B739,E$5)=1,1,IF(INDEX([1]Pivot!$B$1:$AB$65000,$B739,E$5)="",2,0)),0)</f>
        <v>0</v>
      </c>
      <c r="F739" s="194">
        <f>IFERROR(IF(INDEX([1]Pivot!$AD$1:$BE$65000,$B739,F$5)=1,1,IF(INDEX([1]Pivot!$B$1:$AB$65000,$B739,F$5)="",2,0)),0)</f>
        <v>0</v>
      </c>
      <c r="G739" s="194">
        <f>IFERROR(IF(INDEX([1]Pivot!$AD$1:$BE$65000,$B739,G$5)=1,1,IF(INDEX([1]Pivot!$B$1:$AB$65000,$B739,G$5)="",2,0)),0)</f>
        <v>0</v>
      </c>
      <c r="H739" s="194">
        <f>IFERROR(IF(INDEX([1]Pivot!$AD$1:$BE$65000,$B739,H$5)=1,1,IF(INDEX([1]Pivot!$B$1:$AB$65000,$B739,H$5)="",2,0)),0)</f>
        <v>0</v>
      </c>
      <c r="I739" s="194">
        <f>IFERROR(IF(INDEX([1]Pivot!$AD$1:$BE$65000,$B739,I$5)=1,1,IF(INDEX([1]Pivot!$B$1:$AB$65000,$B739,I$5)="",2,0)),0)</f>
        <v>0</v>
      </c>
      <c r="J739" s="194">
        <f>IFERROR(IF(INDEX([1]Pivot!$AD$1:$BE$65000,$B739,J$5)=1,1,IF(INDEX([1]Pivot!$B$1:$AB$65000,$B739,J$5)="",2,0)),0)</f>
        <v>0</v>
      </c>
      <c r="K739" s="194">
        <f>IFERROR(IF(INDEX([1]Pivot!$AD$1:$BE$65000,$B739,K$5)=1,1,IF(INDEX([1]Pivot!$B$1:$AB$65000,$B739,K$5)="",2,0)),0)</f>
        <v>0</v>
      </c>
      <c r="L739" s="194">
        <f>IFERROR(IF(INDEX([1]Pivot!$AD$1:$BE$65000,$B739,L$5)=1,1,IF(INDEX([1]Pivot!$B$1:$AB$65000,$B739,L$5)="",2,0)),0)</f>
        <v>0</v>
      </c>
      <c r="M739" s="194">
        <f>IFERROR(IF(INDEX([1]Pivot!$AD$1:$BE$65000,$B739,M$5)=1,1,IF(INDEX([1]Pivot!$B$1:$AB$65000,$B739,M$5)="",2,0)),0)</f>
        <v>0</v>
      </c>
      <c r="N739" s="194">
        <f>IFERROR(IF(INDEX([1]Pivot!$AD$1:$BE$65000,$B739,N$5)=1,1,IF(INDEX([1]Pivot!$B$1:$AB$65000,$B739,N$5)="",2,0)),0)</f>
        <v>0</v>
      </c>
      <c r="O739" s="194">
        <f>IFERROR(IF(INDEX([1]Pivot!$AD$1:$BE$65000,$B739,O$5)=1,1,IF(INDEX([1]Pivot!$B$1:$AB$65000,$B739,O$5)="",2,0)),0)</f>
        <v>0</v>
      </c>
      <c r="P739" s="194">
        <f>IFERROR(IF(INDEX([1]Pivot!$AD$1:$BE$65000,$B739,P$5)=1,1,IF(INDEX([1]Pivot!$B$1:$AB$65000,$B739,P$5)="",2,0)),0)</f>
        <v>0</v>
      </c>
      <c r="Q739" s="194">
        <f>IFERROR(IF(INDEX([1]Pivot!$AD$1:$BE$65000,$B739,Q$5)=1,1,IF(INDEX([1]Pivot!$B$1:$AB$65000,$B739,Q$5)="",2,0)),0)</f>
        <v>0</v>
      </c>
      <c r="R739" s="312"/>
      <c r="S739" s="194">
        <f>IFERROR(IF(INDEX([1]Pivot!$AD$1:$BE$65000,$B739,S$5)=1,1,IF(INDEX([1]Pivot!$B$1:$AB$65000,$B739,S$5)="",2,0)),0)</f>
        <v>0</v>
      </c>
      <c r="T739" s="194">
        <f>IFERROR(IF(INDEX([1]Pivot!$AD$1:$BE$65000,$B739,T$5)=1,1,IF(INDEX([1]Pivot!$B$1:$AB$65000,$B739,T$5)="",2,0)),0)</f>
        <v>0</v>
      </c>
      <c r="U739" s="194">
        <f>IFERROR(IF(INDEX([1]Pivot!$AD$1:$BE$65000,$B739,U$5)=1,1,IF(INDEX([1]Pivot!$B$1:$AB$65000,$B739,U$5)="",2,0)),0)</f>
        <v>0</v>
      </c>
      <c r="V739" s="194">
        <f>IFERROR(IF(INDEX([1]Pivot!$AD$1:$BE$65000,$B739,V$5)=1,1,IF(INDEX([1]Pivot!$B$1:$AB$65000,$B739,V$5)="",2,0)),0)</f>
        <v>0</v>
      </c>
      <c r="W739" s="194">
        <f>IFERROR(IF(INDEX([1]Pivot!$AD$1:$BE$65000,$B739,W$5)=1,1,IF(INDEX([1]Pivot!$B$1:$AB$65000,$B739,W$5)="",2,0)),0)</f>
        <v>0</v>
      </c>
      <c r="X739" s="194">
        <f>IFERROR(IF(INDEX([1]Pivot!$AD$1:$BE$65000,$B739,X$5)=1,1,IF(INDEX([1]Pivot!$B$1:$AB$65000,$B739,X$5)="",2,0)),0)</f>
        <v>0</v>
      </c>
      <c r="Y739" s="194">
        <f>IFERROR(IF(INDEX([1]Pivot!$AD$1:$BE$65000,$B739,Y$5)=1,1,IF(INDEX([1]Pivot!$B$1:$AB$65000,$B739,Y$5)="",2,0)),0)</f>
        <v>0</v>
      </c>
      <c r="Z739" s="194">
        <f>IFERROR(IF(INDEX([1]Pivot!$AD$1:$BE$65000,$B739,Z$5)=1,1,IF(INDEX([1]Pivot!$B$1:$AB$65000,$B739,Z$5)="",2,0)),0)</f>
        <v>0</v>
      </c>
      <c r="AA739" s="194">
        <f>IFERROR(IF(INDEX([1]Pivot!$AD$1:$BE$65000,$B739,AA$5)=1,1,IF(INDEX([1]Pivot!$B$1:$AB$65000,$B739,AA$5)="",2,0)),0)</f>
        <v>0</v>
      </c>
      <c r="AB739" s="194">
        <f>IFERROR(IF(INDEX([1]Pivot!$AD$1:$BE$65000,$B739,AB$5)=1,1,IF(INDEX([1]Pivot!$B$1:$AB$65000,$B739,AB$5)="",2,0)),0)</f>
        <v>0</v>
      </c>
      <c r="AC739" s="194">
        <f>IFERROR(IF(INDEX([1]Pivot!$AD$1:$BE$65000,$B739,AC$5)=1,1,IF(INDEX([1]Pivot!$B$1:$AB$65000,$B739,AC$5)="",2,0)),0)</f>
        <v>0</v>
      </c>
      <c r="AD739" s="313">
        <f>IFERROR(IF(INDEX([1]Pivot!$BF$1:$CG$65000,$B739,AD$5)=1,1,IF(INDEX([1]Pivot!$B$1:$AB$65000,$B739,AD$5)="",2,0)),0)</f>
        <v>0</v>
      </c>
      <c r="AE739" s="313">
        <f>IFERROR(IF(INDEX([1]Pivot!$BF$1:$CG$65000,$B739,AE$5)=1,1,IF(INDEX([1]Pivot!$B$1:$AB$65000,$B739,AE$5)="",2,0)),0)</f>
        <v>0</v>
      </c>
      <c r="AF739" s="313">
        <f>IFERROR(IF(INDEX([1]Pivot!$BF$1:$CG$65000,$B739,AF$5)=1,1,IF(INDEX([1]Pivot!$B$1:$AB$65000,$B739,AF$5)="",2,0)),0)</f>
        <v>0</v>
      </c>
      <c r="AG739" s="313">
        <f>IFERROR(IF(INDEX([1]Pivot!$BF$1:$CG$65000,$B739,AG$5)=1,1,IF(INDEX([1]Pivot!$B$1:$AB$65000,$B739,AG$5)="",2,0)),0)</f>
        <v>0</v>
      </c>
      <c r="AH739" s="313">
        <f>IFERROR(IF(INDEX([1]Pivot!$BF$1:$CG$65000,$B739,AH$5)=1,1,IF(INDEX([1]Pivot!$B$1:$AB$65000,$B739,AH$5)="",2,0)),0)</f>
        <v>0</v>
      </c>
      <c r="AI739" s="313">
        <f>IFERROR(IF(INDEX([1]Pivot!$BF$1:$CG$65000,$B739,AI$5)=1,1,IF(INDEX([1]Pivot!$B$1:$AB$65000,$B739,AI$5)="",2,0)),0)</f>
        <v>0</v>
      </c>
      <c r="AJ739" s="313">
        <f>IFERROR(IF(INDEX([1]Pivot!$BF$1:$CG$65000,$B739,AJ$5)=1,1,IF(INDEX([1]Pivot!$B$1:$AB$65000,$B739,AJ$5)="",2,0)),0)</f>
        <v>0</v>
      </c>
      <c r="AK739" s="313">
        <f>IFERROR(IF(INDEX([1]Pivot!$BF$1:$CG$65000,$B739,AK$5)=1,1,IF(INDEX([1]Pivot!$B$1:$AB$65000,$B739,AK$5)="",2,0)),0)</f>
        <v>0</v>
      </c>
      <c r="AL739" s="313">
        <f>IFERROR(IF(INDEX([1]Pivot!$BF$1:$CG$65000,$B739,AL$5)=1,1,IF(INDEX([1]Pivot!$B$1:$AB$65000,$B739,AL$5)="",2,0)),0)</f>
        <v>0</v>
      </c>
      <c r="AM739" s="313">
        <f>IFERROR(IF(INDEX([1]Pivot!$BF$1:$CG$65000,$B739,AM$5)=1,1,IF(INDEX([1]Pivot!$B$1:$AB$65000,$B739,AM$5)="",2,0)),0)</f>
        <v>0</v>
      </c>
      <c r="AN739" s="313">
        <f>IFERROR(IF(INDEX([1]Pivot!$BF$1:$CG$65000,$B739,AN$5)=1,1,IF(INDEX([1]Pivot!$B$1:$AB$65000,$B739,AN$5)="",2,0)),0)</f>
        <v>0</v>
      </c>
      <c r="AO739" s="313">
        <f>IFERROR(IF(INDEX([1]Pivot!$BF$1:$CG$65000,$B739,AO$5)=1,1,IF(INDEX([1]Pivot!$B$1:$AB$65000,$B739,AO$5)="",2,0)),0)</f>
        <v>0</v>
      </c>
      <c r="AP739" s="313">
        <f>IFERROR(IF(INDEX([1]Pivot!$BF$1:$CG$65000,$B739,AP$5)=1,1,IF(INDEX([1]Pivot!$B$1:$AB$65000,$B739,AP$5)="",2,0)),0)</f>
        <v>0</v>
      </c>
      <c r="AQ739" s="313">
        <f>IFERROR(IF(INDEX([1]Pivot!$BF$1:$CG$65000,$B739,AQ$5)=1,1,IF(INDEX([1]Pivot!$B$1:$AB$65000,$B739,AQ$5)="",2,0)),0)</f>
        <v>0</v>
      </c>
      <c r="AR739" s="313">
        <f>IFERROR(IF(INDEX([1]Pivot!$BF$1:$CG$65000,$B739,AR$5)=1,1,IF(INDEX([1]Pivot!$B$1:$AB$65000,$B739,AR$5)="",2,0)),0)</f>
        <v>0</v>
      </c>
      <c r="AS739" s="312"/>
      <c r="AT739" s="313">
        <f>IFERROR(IF(INDEX([1]Pivot!$BF$1:$CG$65000,$B739,AT$5)=1,1,IF(INDEX([1]Pivot!$B$1:$AB$65000,$B739,AT$5)="",2,0)),0)</f>
        <v>0</v>
      </c>
      <c r="AU739" s="313">
        <f>IFERROR(IF(INDEX([1]Pivot!$BF$1:$CG$65000,$B739,AU$5)=1,1,IF(INDEX([1]Pivot!$B$1:$AB$65000,$B739,AU$5)="",2,0)),0)</f>
        <v>0</v>
      </c>
      <c r="AV739" s="313">
        <f>IFERROR(IF(INDEX([1]Pivot!$BF$1:$CG$65000,$B739,AV$5)=1,1,IF(INDEX([1]Pivot!$B$1:$AB$65000,$B739,AV$5)="",2,0)),0)</f>
        <v>0</v>
      </c>
      <c r="AW739" s="313">
        <f>IFERROR(IF(INDEX([1]Pivot!$BF$1:$CG$65000,$B739,AW$5)=1,1,IF(INDEX([1]Pivot!$B$1:$AB$65000,$B739,AW$5)="",2,0)),0)</f>
        <v>0</v>
      </c>
      <c r="AX739" s="313">
        <f>IFERROR(IF(INDEX([1]Pivot!$BF$1:$CG$65000,$B739,AX$5)=1,1,IF(INDEX([1]Pivot!$B$1:$AB$65000,$B739,AX$5)="",2,0)),0)</f>
        <v>0</v>
      </c>
      <c r="AY739" s="313">
        <f>IFERROR(IF(INDEX([1]Pivot!$BF$1:$CG$65000,$B739,AY$5)=1,1,IF(INDEX([1]Pivot!$B$1:$AB$65000,$B739,AY$5)="",2,0)),0)</f>
        <v>0</v>
      </c>
      <c r="AZ739" s="313">
        <f>IFERROR(IF(INDEX([1]Pivot!$BF$1:$CG$65000,$B739,AZ$5)=1,1,IF(INDEX([1]Pivot!$B$1:$AB$65000,$B739,AZ$5)="",2,0)),0)</f>
        <v>0</v>
      </c>
      <c r="BA739" s="313">
        <f>IFERROR(IF(INDEX([1]Pivot!$BF$1:$CG$65000,$B739,BA$5)=1,1,IF(INDEX([1]Pivot!$B$1:$AB$65000,$B739,BA$5)="",2,0)),0)</f>
        <v>0</v>
      </c>
      <c r="BB739" s="313">
        <f>IFERROR(IF(INDEX([1]Pivot!$BF$1:$CG$65000,$B739,BB$5)=1,1,IF(INDEX([1]Pivot!$B$1:$AB$65000,$B739,BB$5)="",2,0)),0)</f>
        <v>0</v>
      </c>
      <c r="BC739" s="313">
        <f>IFERROR(IF(INDEX([1]Pivot!$BF$1:$CG$65000,$B739,BC$5)=1,1,IF(INDEX([1]Pivot!$B$1:$AB$65000,$B739,BC$5)="",2,0)),0)</f>
        <v>0</v>
      </c>
      <c r="BD739" s="313">
        <f>IFERROR(IF(INDEX([1]Pivot!$BF$1:$CG$65000,$B739,BD$5)=1,1,IF(INDEX([1]Pivot!$B$1:$AB$65000,$B739,BD$5)="",2,0)),0)</f>
        <v>0</v>
      </c>
    </row>
    <row r="740" spans="1:56" x14ac:dyDescent="0.25">
      <c r="A740" s="288">
        <f>'[2]Raw Milk Prices'!A740</f>
        <v>0</v>
      </c>
      <c r="B740" s="296" t="e">
        <f>MATCH(DATE(LEFT('[2]Raw Milk Prices'!$A740,4),RIGHT('[2]Raw Milk Prices'!$A740,2),1),[1]Pivot!$A$1:$A$65000,0)</f>
        <v>#VALUE!</v>
      </c>
      <c r="C740" s="194">
        <f>IFERROR(IF(INDEX([1]Pivot!$AD$1:$BE$65000,$B740,C$5)=1,1,IF(INDEX([1]Pivot!$B$1:$AB$65000,$B740,C$5)="",2,0)),0)</f>
        <v>0</v>
      </c>
      <c r="D740" s="194">
        <f>IFERROR(IF(INDEX([1]Pivot!$AD$1:$BE$65000,$B740,D$5)=1,1,IF(INDEX([1]Pivot!$B$1:$AB$65000,$B740,D$5)="",2,0)),0)</f>
        <v>0</v>
      </c>
      <c r="E740" s="194">
        <f>IFERROR(IF(INDEX([1]Pivot!$AD$1:$BE$65000,$B740,E$5)=1,1,IF(INDEX([1]Pivot!$B$1:$AB$65000,$B740,E$5)="",2,0)),0)</f>
        <v>0</v>
      </c>
      <c r="F740" s="194">
        <f>IFERROR(IF(INDEX([1]Pivot!$AD$1:$BE$65000,$B740,F$5)=1,1,IF(INDEX([1]Pivot!$B$1:$AB$65000,$B740,F$5)="",2,0)),0)</f>
        <v>0</v>
      </c>
      <c r="G740" s="194">
        <f>IFERROR(IF(INDEX([1]Pivot!$AD$1:$BE$65000,$B740,G$5)=1,1,IF(INDEX([1]Pivot!$B$1:$AB$65000,$B740,G$5)="",2,0)),0)</f>
        <v>0</v>
      </c>
      <c r="H740" s="194">
        <f>IFERROR(IF(INDEX([1]Pivot!$AD$1:$BE$65000,$B740,H$5)=1,1,IF(INDEX([1]Pivot!$B$1:$AB$65000,$B740,H$5)="",2,0)),0)</f>
        <v>0</v>
      </c>
      <c r="I740" s="194">
        <f>IFERROR(IF(INDEX([1]Pivot!$AD$1:$BE$65000,$B740,I$5)=1,1,IF(INDEX([1]Pivot!$B$1:$AB$65000,$B740,I$5)="",2,0)),0)</f>
        <v>0</v>
      </c>
      <c r="J740" s="194">
        <f>IFERROR(IF(INDEX([1]Pivot!$AD$1:$BE$65000,$B740,J$5)=1,1,IF(INDEX([1]Pivot!$B$1:$AB$65000,$B740,J$5)="",2,0)),0)</f>
        <v>0</v>
      </c>
      <c r="K740" s="194">
        <f>IFERROR(IF(INDEX([1]Pivot!$AD$1:$BE$65000,$B740,K$5)=1,1,IF(INDEX([1]Pivot!$B$1:$AB$65000,$B740,K$5)="",2,0)),0)</f>
        <v>0</v>
      </c>
      <c r="L740" s="194">
        <f>IFERROR(IF(INDEX([1]Pivot!$AD$1:$BE$65000,$B740,L$5)=1,1,IF(INDEX([1]Pivot!$B$1:$AB$65000,$B740,L$5)="",2,0)),0)</f>
        <v>0</v>
      </c>
      <c r="M740" s="194">
        <f>IFERROR(IF(INDEX([1]Pivot!$AD$1:$BE$65000,$B740,M$5)=1,1,IF(INDEX([1]Pivot!$B$1:$AB$65000,$B740,M$5)="",2,0)),0)</f>
        <v>0</v>
      </c>
      <c r="N740" s="194">
        <f>IFERROR(IF(INDEX([1]Pivot!$AD$1:$BE$65000,$B740,N$5)=1,1,IF(INDEX([1]Pivot!$B$1:$AB$65000,$B740,N$5)="",2,0)),0)</f>
        <v>0</v>
      </c>
      <c r="O740" s="194">
        <f>IFERROR(IF(INDEX([1]Pivot!$AD$1:$BE$65000,$B740,O$5)=1,1,IF(INDEX([1]Pivot!$B$1:$AB$65000,$B740,O$5)="",2,0)),0)</f>
        <v>0</v>
      </c>
      <c r="P740" s="194">
        <f>IFERROR(IF(INDEX([1]Pivot!$AD$1:$BE$65000,$B740,P$5)=1,1,IF(INDEX([1]Pivot!$B$1:$AB$65000,$B740,P$5)="",2,0)),0)</f>
        <v>0</v>
      </c>
      <c r="Q740" s="194">
        <f>IFERROR(IF(INDEX([1]Pivot!$AD$1:$BE$65000,$B740,Q$5)=1,1,IF(INDEX([1]Pivot!$B$1:$AB$65000,$B740,Q$5)="",2,0)),0)</f>
        <v>0</v>
      </c>
      <c r="R740" s="312"/>
      <c r="S740" s="194">
        <f>IFERROR(IF(INDEX([1]Pivot!$AD$1:$BE$65000,$B740,S$5)=1,1,IF(INDEX([1]Pivot!$B$1:$AB$65000,$B740,S$5)="",2,0)),0)</f>
        <v>0</v>
      </c>
      <c r="T740" s="194">
        <f>IFERROR(IF(INDEX([1]Pivot!$AD$1:$BE$65000,$B740,T$5)=1,1,IF(INDEX([1]Pivot!$B$1:$AB$65000,$B740,T$5)="",2,0)),0)</f>
        <v>0</v>
      </c>
      <c r="U740" s="194">
        <f>IFERROR(IF(INDEX([1]Pivot!$AD$1:$BE$65000,$B740,U$5)=1,1,IF(INDEX([1]Pivot!$B$1:$AB$65000,$B740,U$5)="",2,0)),0)</f>
        <v>0</v>
      </c>
      <c r="V740" s="194">
        <f>IFERROR(IF(INDEX([1]Pivot!$AD$1:$BE$65000,$B740,V$5)=1,1,IF(INDEX([1]Pivot!$B$1:$AB$65000,$B740,V$5)="",2,0)),0)</f>
        <v>0</v>
      </c>
      <c r="W740" s="194">
        <f>IFERROR(IF(INDEX([1]Pivot!$AD$1:$BE$65000,$B740,W$5)=1,1,IF(INDEX([1]Pivot!$B$1:$AB$65000,$B740,W$5)="",2,0)),0)</f>
        <v>0</v>
      </c>
      <c r="X740" s="194">
        <f>IFERROR(IF(INDEX([1]Pivot!$AD$1:$BE$65000,$B740,X$5)=1,1,IF(INDEX([1]Pivot!$B$1:$AB$65000,$B740,X$5)="",2,0)),0)</f>
        <v>0</v>
      </c>
      <c r="Y740" s="194">
        <f>IFERROR(IF(INDEX([1]Pivot!$AD$1:$BE$65000,$B740,Y$5)=1,1,IF(INDEX([1]Pivot!$B$1:$AB$65000,$B740,Y$5)="",2,0)),0)</f>
        <v>0</v>
      </c>
      <c r="Z740" s="194">
        <f>IFERROR(IF(INDEX([1]Pivot!$AD$1:$BE$65000,$B740,Z$5)=1,1,IF(INDEX([1]Pivot!$B$1:$AB$65000,$B740,Z$5)="",2,0)),0)</f>
        <v>0</v>
      </c>
      <c r="AA740" s="194">
        <f>IFERROR(IF(INDEX([1]Pivot!$AD$1:$BE$65000,$B740,AA$5)=1,1,IF(INDEX([1]Pivot!$B$1:$AB$65000,$B740,AA$5)="",2,0)),0)</f>
        <v>0</v>
      </c>
      <c r="AB740" s="194">
        <f>IFERROR(IF(INDEX([1]Pivot!$AD$1:$BE$65000,$B740,AB$5)=1,1,IF(INDEX([1]Pivot!$B$1:$AB$65000,$B740,AB$5)="",2,0)),0)</f>
        <v>0</v>
      </c>
      <c r="AC740" s="194">
        <f>IFERROR(IF(INDEX([1]Pivot!$AD$1:$BE$65000,$B740,AC$5)=1,1,IF(INDEX([1]Pivot!$B$1:$AB$65000,$B740,AC$5)="",2,0)),0)</f>
        <v>0</v>
      </c>
      <c r="AD740" s="313">
        <f>IFERROR(IF(INDEX([1]Pivot!$BF$1:$CG$65000,$B740,AD$5)=1,1,IF(INDEX([1]Pivot!$B$1:$AB$65000,$B740,AD$5)="",2,0)),0)</f>
        <v>0</v>
      </c>
      <c r="AE740" s="313">
        <f>IFERROR(IF(INDEX([1]Pivot!$BF$1:$CG$65000,$B740,AE$5)=1,1,IF(INDEX([1]Pivot!$B$1:$AB$65000,$B740,AE$5)="",2,0)),0)</f>
        <v>0</v>
      </c>
      <c r="AF740" s="313">
        <f>IFERROR(IF(INDEX([1]Pivot!$BF$1:$CG$65000,$B740,AF$5)=1,1,IF(INDEX([1]Pivot!$B$1:$AB$65000,$B740,AF$5)="",2,0)),0)</f>
        <v>0</v>
      </c>
      <c r="AG740" s="313">
        <f>IFERROR(IF(INDEX([1]Pivot!$BF$1:$CG$65000,$B740,AG$5)=1,1,IF(INDEX([1]Pivot!$B$1:$AB$65000,$B740,AG$5)="",2,0)),0)</f>
        <v>0</v>
      </c>
      <c r="AH740" s="313">
        <f>IFERROR(IF(INDEX([1]Pivot!$BF$1:$CG$65000,$B740,AH$5)=1,1,IF(INDEX([1]Pivot!$B$1:$AB$65000,$B740,AH$5)="",2,0)),0)</f>
        <v>0</v>
      </c>
      <c r="AI740" s="313">
        <f>IFERROR(IF(INDEX([1]Pivot!$BF$1:$CG$65000,$B740,AI$5)=1,1,IF(INDEX([1]Pivot!$B$1:$AB$65000,$B740,AI$5)="",2,0)),0)</f>
        <v>0</v>
      </c>
      <c r="AJ740" s="313">
        <f>IFERROR(IF(INDEX([1]Pivot!$BF$1:$CG$65000,$B740,AJ$5)=1,1,IF(INDEX([1]Pivot!$B$1:$AB$65000,$B740,AJ$5)="",2,0)),0)</f>
        <v>0</v>
      </c>
      <c r="AK740" s="313">
        <f>IFERROR(IF(INDEX([1]Pivot!$BF$1:$CG$65000,$B740,AK$5)=1,1,IF(INDEX([1]Pivot!$B$1:$AB$65000,$B740,AK$5)="",2,0)),0)</f>
        <v>0</v>
      </c>
      <c r="AL740" s="313">
        <f>IFERROR(IF(INDEX([1]Pivot!$BF$1:$CG$65000,$B740,AL$5)=1,1,IF(INDEX([1]Pivot!$B$1:$AB$65000,$B740,AL$5)="",2,0)),0)</f>
        <v>0</v>
      </c>
      <c r="AM740" s="313">
        <f>IFERROR(IF(INDEX([1]Pivot!$BF$1:$CG$65000,$B740,AM$5)=1,1,IF(INDEX([1]Pivot!$B$1:$AB$65000,$B740,AM$5)="",2,0)),0)</f>
        <v>0</v>
      </c>
      <c r="AN740" s="313">
        <f>IFERROR(IF(INDEX([1]Pivot!$BF$1:$CG$65000,$B740,AN$5)=1,1,IF(INDEX([1]Pivot!$B$1:$AB$65000,$B740,AN$5)="",2,0)),0)</f>
        <v>0</v>
      </c>
      <c r="AO740" s="313">
        <f>IFERROR(IF(INDEX([1]Pivot!$BF$1:$CG$65000,$B740,AO$5)=1,1,IF(INDEX([1]Pivot!$B$1:$AB$65000,$B740,AO$5)="",2,0)),0)</f>
        <v>0</v>
      </c>
      <c r="AP740" s="313">
        <f>IFERROR(IF(INDEX([1]Pivot!$BF$1:$CG$65000,$B740,AP$5)=1,1,IF(INDEX([1]Pivot!$B$1:$AB$65000,$B740,AP$5)="",2,0)),0)</f>
        <v>0</v>
      </c>
      <c r="AQ740" s="313">
        <f>IFERROR(IF(INDEX([1]Pivot!$BF$1:$CG$65000,$B740,AQ$5)=1,1,IF(INDEX([1]Pivot!$B$1:$AB$65000,$B740,AQ$5)="",2,0)),0)</f>
        <v>0</v>
      </c>
      <c r="AR740" s="313">
        <f>IFERROR(IF(INDEX([1]Pivot!$BF$1:$CG$65000,$B740,AR$5)=1,1,IF(INDEX([1]Pivot!$B$1:$AB$65000,$B740,AR$5)="",2,0)),0)</f>
        <v>0</v>
      </c>
      <c r="AS740" s="312"/>
      <c r="AT740" s="313">
        <f>IFERROR(IF(INDEX([1]Pivot!$BF$1:$CG$65000,$B740,AT$5)=1,1,IF(INDEX([1]Pivot!$B$1:$AB$65000,$B740,AT$5)="",2,0)),0)</f>
        <v>0</v>
      </c>
      <c r="AU740" s="313">
        <f>IFERROR(IF(INDEX([1]Pivot!$BF$1:$CG$65000,$B740,AU$5)=1,1,IF(INDEX([1]Pivot!$B$1:$AB$65000,$B740,AU$5)="",2,0)),0)</f>
        <v>0</v>
      </c>
      <c r="AV740" s="313">
        <f>IFERROR(IF(INDEX([1]Pivot!$BF$1:$CG$65000,$B740,AV$5)=1,1,IF(INDEX([1]Pivot!$B$1:$AB$65000,$B740,AV$5)="",2,0)),0)</f>
        <v>0</v>
      </c>
      <c r="AW740" s="313">
        <f>IFERROR(IF(INDEX([1]Pivot!$BF$1:$CG$65000,$B740,AW$5)=1,1,IF(INDEX([1]Pivot!$B$1:$AB$65000,$B740,AW$5)="",2,0)),0)</f>
        <v>0</v>
      </c>
      <c r="AX740" s="313">
        <f>IFERROR(IF(INDEX([1]Pivot!$BF$1:$CG$65000,$B740,AX$5)=1,1,IF(INDEX([1]Pivot!$B$1:$AB$65000,$B740,AX$5)="",2,0)),0)</f>
        <v>0</v>
      </c>
      <c r="AY740" s="313">
        <f>IFERROR(IF(INDEX([1]Pivot!$BF$1:$CG$65000,$B740,AY$5)=1,1,IF(INDEX([1]Pivot!$B$1:$AB$65000,$B740,AY$5)="",2,0)),0)</f>
        <v>0</v>
      </c>
      <c r="AZ740" s="313">
        <f>IFERROR(IF(INDEX([1]Pivot!$BF$1:$CG$65000,$B740,AZ$5)=1,1,IF(INDEX([1]Pivot!$B$1:$AB$65000,$B740,AZ$5)="",2,0)),0)</f>
        <v>0</v>
      </c>
      <c r="BA740" s="313">
        <f>IFERROR(IF(INDEX([1]Pivot!$BF$1:$CG$65000,$B740,BA$5)=1,1,IF(INDEX([1]Pivot!$B$1:$AB$65000,$B740,BA$5)="",2,0)),0)</f>
        <v>0</v>
      </c>
      <c r="BB740" s="313">
        <f>IFERROR(IF(INDEX([1]Pivot!$BF$1:$CG$65000,$B740,BB$5)=1,1,IF(INDEX([1]Pivot!$B$1:$AB$65000,$B740,BB$5)="",2,0)),0)</f>
        <v>0</v>
      </c>
      <c r="BC740" s="313">
        <f>IFERROR(IF(INDEX([1]Pivot!$BF$1:$CG$65000,$B740,BC$5)=1,1,IF(INDEX([1]Pivot!$B$1:$AB$65000,$B740,BC$5)="",2,0)),0)</f>
        <v>0</v>
      </c>
      <c r="BD740" s="313">
        <f>IFERROR(IF(INDEX([1]Pivot!$BF$1:$CG$65000,$B740,BD$5)=1,1,IF(INDEX([1]Pivot!$B$1:$AB$65000,$B740,BD$5)="",2,0)),0)</f>
        <v>0</v>
      </c>
    </row>
    <row r="741" spans="1:56" x14ac:dyDescent="0.25">
      <c r="A741" s="288">
        <f>'[2]Raw Milk Prices'!A741</f>
        <v>0</v>
      </c>
      <c r="B741" s="296" t="e">
        <f>MATCH(DATE(LEFT('[2]Raw Milk Prices'!$A741,4),RIGHT('[2]Raw Milk Prices'!$A741,2),1),[1]Pivot!$A$1:$A$65000,0)</f>
        <v>#VALUE!</v>
      </c>
      <c r="C741" s="194">
        <f>IFERROR(IF(INDEX([1]Pivot!$AD$1:$BE$65000,$B741,C$5)=1,1,IF(INDEX([1]Pivot!$B$1:$AB$65000,$B741,C$5)="",2,0)),0)</f>
        <v>0</v>
      </c>
      <c r="D741" s="194">
        <f>IFERROR(IF(INDEX([1]Pivot!$AD$1:$BE$65000,$B741,D$5)=1,1,IF(INDEX([1]Pivot!$B$1:$AB$65000,$B741,D$5)="",2,0)),0)</f>
        <v>0</v>
      </c>
      <c r="E741" s="194">
        <f>IFERROR(IF(INDEX([1]Pivot!$AD$1:$BE$65000,$B741,E$5)=1,1,IF(INDEX([1]Pivot!$B$1:$AB$65000,$B741,E$5)="",2,0)),0)</f>
        <v>0</v>
      </c>
      <c r="F741" s="194">
        <f>IFERROR(IF(INDEX([1]Pivot!$AD$1:$BE$65000,$B741,F$5)=1,1,IF(INDEX([1]Pivot!$B$1:$AB$65000,$B741,F$5)="",2,0)),0)</f>
        <v>0</v>
      </c>
      <c r="G741" s="194">
        <f>IFERROR(IF(INDEX([1]Pivot!$AD$1:$BE$65000,$B741,G$5)=1,1,IF(INDEX([1]Pivot!$B$1:$AB$65000,$B741,G$5)="",2,0)),0)</f>
        <v>0</v>
      </c>
      <c r="H741" s="194">
        <f>IFERROR(IF(INDEX([1]Pivot!$AD$1:$BE$65000,$B741,H$5)=1,1,IF(INDEX([1]Pivot!$B$1:$AB$65000,$B741,H$5)="",2,0)),0)</f>
        <v>0</v>
      </c>
      <c r="I741" s="194">
        <f>IFERROR(IF(INDEX([1]Pivot!$AD$1:$BE$65000,$B741,I$5)=1,1,IF(INDEX([1]Pivot!$B$1:$AB$65000,$B741,I$5)="",2,0)),0)</f>
        <v>0</v>
      </c>
      <c r="J741" s="194">
        <f>IFERROR(IF(INDEX([1]Pivot!$AD$1:$BE$65000,$B741,J$5)=1,1,IF(INDEX([1]Pivot!$B$1:$AB$65000,$B741,J$5)="",2,0)),0)</f>
        <v>0</v>
      </c>
      <c r="K741" s="194">
        <f>IFERROR(IF(INDEX([1]Pivot!$AD$1:$BE$65000,$B741,K$5)=1,1,IF(INDEX([1]Pivot!$B$1:$AB$65000,$B741,K$5)="",2,0)),0)</f>
        <v>0</v>
      </c>
      <c r="L741" s="194">
        <f>IFERROR(IF(INDEX([1]Pivot!$AD$1:$BE$65000,$B741,L$5)=1,1,IF(INDEX([1]Pivot!$B$1:$AB$65000,$B741,L$5)="",2,0)),0)</f>
        <v>0</v>
      </c>
      <c r="M741" s="194">
        <f>IFERROR(IF(INDEX([1]Pivot!$AD$1:$BE$65000,$B741,M$5)=1,1,IF(INDEX([1]Pivot!$B$1:$AB$65000,$B741,M$5)="",2,0)),0)</f>
        <v>0</v>
      </c>
      <c r="N741" s="194">
        <f>IFERROR(IF(INDEX([1]Pivot!$AD$1:$BE$65000,$B741,N$5)=1,1,IF(INDEX([1]Pivot!$B$1:$AB$65000,$B741,N$5)="",2,0)),0)</f>
        <v>0</v>
      </c>
      <c r="O741" s="194">
        <f>IFERROR(IF(INDEX([1]Pivot!$AD$1:$BE$65000,$B741,O$5)=1,1,IF(INDEX([1]Pivot!$B$1:$AB$65000,$B741,O$5)="",2,0)),0)</f>
        <v>0</v>
      </c>
      <c r="P741" s="194">
        <f>IFERROR(IF(INDEX([1]Pivot!$AD$1:$BE$65000,$B741,P$5)=1,1,IF(INDEX([1]Pivot!$B$1:$AB$65000,$B741,P$5)="",2,0)),0)</f>
        <v>0</v>
      </c>
      <c r="Q741" s="194">
        <f>IFERROR(IF(INDEX([1]Pivot!$AD$1:$BE$65000,$B741,Q$5)=1,1,IF(INDEX([1]Pivot!$B$1:$AB$65000,$B741,Q$5)="",2,0)),0)</f>
        <v>0</v>
      </c>
      <c r="R741" s="312"/>
      <c r="S741" s="194">
        <f>IFERROR(IF(INDEX([1]Pivot!$AD$1:$BE$65000,$B741,S$5)=1,1,IF(INDEX([1]Pivot!$B$1:$AB$65000,$B741,S$5)="",2,0)),0)</f>
        <v>0</v>
      </c>
      <c r="T741" s="194">
        <f>IFERROR(IF(INDEX([1]Pivot!$AD$1:$BE$65000,$B741,T$5)=1,1,IF(INDEX([1]Pivot!$B$1:$AB$65000,$B741,T$5)="",2,0)),0)</f>
        <v>0</v>
      </c>
      <c r="U741" s="194">
        <f>IFERROR(IF(INDEX([1]Pivot!$AD$1:$BE$65000,$B741,U$5)=1,1,IF(INDEX([1]Pivot!$B$1:$AB$65000,$B741,U$5)="",2,0)),0)</f>
        <v>0</v>
      </c>
      <c r="V741" s="194">
        <f>IFERROR(IF(INDEX([1]Pivot!$AD$1:$BE$65000,$B741,V$5)=1,1,IF(INDEX([1]Pivot!$B$1:$AB$65000,$B741,V$5)="",2,0)),0)</f>
        <v>0</v>
      </c>
      <c r="W741" s="194">
        <f>IFERROR(IF(INDEX([1]Pivot!$AD$1:$BE$65000,$B741,W$5)=1,1,IF(INDEX([1]Pivot!$B$1:$AB$65000,$B741,W$5)="",2,0)),0)</f>
        <v>0</v>
      </c>
      <c r="X741" s="194">
        <f>IFERROR(IF(INDEX([1]Pivot!$AD$1:$BE$65000,$B741,X$5)=1,1,IF(INDEX([1]Pivot!$B$1:$AB$65000,$B741,X$5)="",2,0)),0)</f>
        <v>0</v>
      </c>
      <c r="Y741" s="194">
        <f>IFERROR(IF(INDEX([1]Pivot!$AD$1:$BE$65000,$B741,Y$5)=1,1,IF(INDEX([1]Pivot!$B$1:$AB$65000,$B741,Y$5)="",2,0)),0)</f>
        <v>0</v>
      </c>
      <c r="Z741" s="194">
        <f>IFERROR(IF(INDEX([1]Pivot!$AD$1:$BE$65000,$B741,Z$5)=1,1,IF(INDEX([1]Pivot!$B$1:$AB$65000,$B741,Z$5)="",2,0)),0)</f>
        <v>0</v>
      </c>
      <c r="AA741" s="194">
        <f>IFERROR(IF(INDEX([1]Pivot!$AD$1:$BE$65000,$B741,AA$5)=1,1,IF(INDEX([1]Pivot!$B$1:$AB$65000,$B741,AA$5)="",2,0)),0)</f>
        <v>0</v>
      </c>
      <c r="AB741" s="194">
        <f>IFERROR(IF(INDEX([1]Pivot!$AD$1:$BE$65000,$B741,AB$5)=1,1,IF(INDEX([1]Pivot!$B$1:$AB$65000,$B741,AB$5)="",2,0)),0)</f>
        <v>0</v>
      </c>
      <c r="AC741" s="194">
        <f>IFERROR(IF(INDEX([1]Pivot!$AD$1:$BE$65000,$B741,AC$5)=1,1,IF(INDEX([1]Pivot!$B$1:$AB$65000,$B741,AC$5)="",2,0)),0)</f>
        <v>0</v>
      </c>
      <c r="AD741" s="313">
        <f>IFERROR(IF(INDEX([1]Pivot!$BF$1:$CG$65000,$B741,AD$5)=1,1,IF(INDEX([1]Pivot!$B$1:$AB$65000,$B741,AD$5)="",2,0)),0)</f>
        <v>0</v>
      </c>
      <c r="AE741" s="313">
        <f>IFERROR(IF(INDEX([1]Pivot!$BF$1:$CG$65000,$B741,AE$5)=1,1,IF(INDEX([1]Pivot!$B$1:$AB$65000,$B741,AE$5)="",2,0)),0)</f>
        <v>0</v>
      </c>
      <c r="AF741" s="313">
        <f>IFERROR(IF(INDEX([1]Pivot!$BF$1:$CG$65000,$B741,AF$5)=1,1,IF(INDEX([1]Pivot!$B$1:$AB$65000,$B741,AF$5)="",2,0)),0)</f>
        <v>0</v>
      </c>
      <c r="AG741" s="313">
        <f>IFERROR(IF(INDEX([1]Pivot!$BF$1:$CG$65000,$B741,AG$5)=1,1,IF(INDEX([1]Pivot!$B$1:$AB$65000,$B741,AG$5)="",2,0)),0)</f>
        <v>0</v>
      </c>
      <c r="AH741" s="313">
        <f>IFERROR(IF(INDEX([1]Pivot!$BF$1:$CG$65000,$B741,AH$5)=1,1,IF(INDEX([1]Pivot!$B$1:$AB$65000,$B741,AH$5)="",2,0)),0)</f>
        <v>0</v>
      </c>
      <c r="AI741" s="313">
        <f>IFERROR(IF(INDEX([1]Pivot!$BF$1:$CG$65000,$B741,AI$5)=1,1,IF(INDEX([1]Pivot!$B$1:$AB$65000,$B741,AI$5)="",2,0)),0)</f>
        <v>0</v>
      </c>
      <c r="AJ741" s="313">
        <f>IFERROR(IF(INDEX([1]Pivot!$BF$1:$CG$65000,$B741,AJ$5)=1,1,IF(INDEX([1]Pivot!$B$1:$AB$65000,$B741,AJ$5)="",2,0)),0)</f>
        <v>0</v>
      </c>
      <c r="AK741" s="313">
        <f>IFERROR(IF(INDEX([1]Pivot!$BF$1:$CG$65000,$B741,AK$5)=1,1,IF(INDEX([1]Pivot!$B$1:$AB$65000,$B741,AK$5)="",2,0)),0)</f>
        <v>0</v>
      </c>
      <c r="AL741" s="313">
        <f>IFERROR(IF(INDEX([1]Pivot!$BF$1:$CG$65000,$B741,AL$5)=1,1,IF(INDEX([1]Pivot!$B$1:$AB$65000,$B741,AL$5)="",2,0)),0)</f>
        <v>0</v>
      </c>
      <c r="AM741" s="313">
        <f>IFERROR(IF(INDEX([1]Pivot!$BF$1:$CG$65000,$B741,AM$5)=1,1,IF(INDEX([1]Pivot!$B$1:$AB$65000,$B741,AM$5)="",2,0)),0)</f>
        <v>0</v>
      </c>
      <c r="AN741" s="313">
        <f>IFERROR(IF(INDEX([1]Pivot!$BF$1:$CG$65000,$B741,AN$5)=1,1,IF(INDEX([1]Pivot!$B$1:$AB$65000,$B741,AN$5)="",2,0)),0)</f>
        <v>0</v>
      </c>
      <c r="AO741" s="313">
        <f>IFERROR(IF(INDEX([1]Pivot!$BF$1:$CG$65000,$B741,AO$5)=1,1,IF(INDEX([1]Pivot!$B$1:$AB$65000,$B741,AO$5)="",2,0)),0)</f>
        <v>0</v>
      </c>
      <c r="AP741" s="313">
        <f>IFERROR(IF(INDEX([1]Pivot!$BF$1:$CG$65000,$B741,AP$5)=1,1,IF(INDEX([1]Pivot!$B$1:$AB$65000,$B741,AP$5)="",2,0)),0)</f>
        <v>0</v>
      </c>
      <c r="AQ741" s="313">
        <f>IFERROR(IF(INDEX([1]Pivot!$BF$1:$CG$65000,$B741,AQ$5)=1,1,IF(INDEX([1]Pivot!$B$1:$AB$65000,$B741,AQ$5)="",2,0)),0)</f>
        <v>0</v>
      </c>
      <c r="AR741" s="313">
        <f>IFERROR(IF(INDEX([1]Pivot!$BF$1:$CG$65000,$B741,AR$5)=1,1,IF(INDEX([1]Pivot!$B$1:$AB$65000,$B741,AR$5)="",2,0)),0)</f>
        <v>0</v>
      </c>
      <c r="AS741" s="312"/>
      <c r="AT741" s="313">
        <f>IFERROR(IF(INDEX([1]Pivot!$BF$1:$CG$65000,$B741,AT$5)=1,1,IF(INDEX([1]Pivot!$B$1:$AB$65000,$B741,AT$5)="",2,0)),0)</f>
        <v>0</v>
      </c>
      <c r="AU741" s="313">
        <f>IFERROR(IF(INDEX([1]Pivot!$BF$1:$CG$65000,$B741,AU$5)=1,1,IF(INDEX([1]Pivot!$B$1:$AB$65000,$B741,AU$5)="",2,0)),0)</f>
        <v>0</v>
      </c>
      <c r="AV741" s="313">
        <f>IFERROR(IF(INDEX([1]Pivot!$BF$1:$CG$65000,$B741,AV$5)=1,1,IF(INDEX([1]Pivot!$B$1:$AB$65000,$B741,AV$5)="",2,0)),0)</f>
        <v>0</v>
      </c>
      <c r="AW741" s="313">
        <f>IFERROR(IF(INDEX([1]Pivot!$BF$1:$CG$65000,$B741,AW$5)=1,1,IF(INDEX([1]Pivot!$B$1:$AB$65000,$B741,AW$5)="",2,0)),0)</f>
        <v>0</v>
      </c>
      <c r="AX741" s="313">
        <f>IFERROR(IF(INDEX([1]Pivot!$BF$1:$CG$65000,$B741,AX$5)=1,1,IF(INDEX([1]Pivot!$B$1:$AB$65000,$B741,AX$5)="",2,0)),0)</f>
        <v>0</v>
      </c>
      <c r="AY741" s="313">
        <f>IFERROR(IF(INDEX([1]Pivot!$BF$1:$CG$65000,$B741,AY$5)=1,1,IF(INDEX([1]Pivot!$B$1:$AB$65000,$B741,AY$5)="",2,0)),0)</f>
        <v>0</v>
      </c>
      <c r="AZ741" s="313">
        <f>IFERROR(IF(INDEX([1]Pivot!$BF$1:$CG$65000,$B741,AZ$5)=1,1,IF(INDEX([1]Pivot!$B$1:$AB$65000,$B741,AZ$5)="",2,0)),0)</f>
        <v>0</v>
      </c>
      <c r="BA741" s="313">
        <f>IFERROR(IF(INDEX([1]Pivot!$BF$1:$CG$65000,$B741,BA$5)=1,1,IF(INDEX([1]Pivot!$B$1:$AB$65000,$B741,BA$5)="",2,0)),0)</f>
        <v>0</v>
      </c>
      <c r="BB741" s="313">
        <f>IFERROR(IF(INDEX([1]Pivot!$BF$1:$CG$65000,$B741,BB$5)=1,1,IF(INDEX([1]Pivot!$B$1:$AB$65000,$B741,BB$5)="",2,0)),0)</f>
        <v>0</v>
      </c>
      <c r="BC741" s="313">
        <f>IFERROR(IF(INDEX([1]Pivot!$BF$1:$CG$65000,$B741,BC$5)=1,1,IF(INDEX([1]Pivot!$B$1:$AB$65000,$B741,BC$5)="",2,0)),0)</f>
        <v>0</v>
      </c>
      <c r="BD741" s="313">
        <f>IFERROR(IF(INDEX([1]Pivot!$BF$1:$CG$65000,$B741,BD$5)=1,1,IF(INDEX([1]Pivot!$B$1:$AB$65000,$B741,BD$5)="",2,0)),0)</f>
        <v>0</v>
      </c>
    </row>
    <row r="742" spans="1:56" x14ac:dyDescent="0.25">
      <c r="A742" s="288">
        <f>'[2]Raw Milk Prices'!A742</f>
        <v>0</v>
      </c>
      <c r="B742" s="296" t="e">
        <f>MATCH(DATE(LEFT('[2]Raw Milk Prices'!$A742,4),RIGHT('[2]Raw Milk Prices'!$A742,2),1),[1]Pivot!$A$1:$A$65000,0)</f>
        <v>#VALUE!</v>
      </c>
      <c r="C742" s="194">
        <f>IFERROR(IF(INDEX([1]Pivot!$AD$1:$BE$65000,$B742,C$5)=1,1,IF(INDEX([1]Pivot!$B$1:$AB$65000,$B742,C$5)="",2,0)),0)</f>
        <v>0</v>
      </c>
      <c r="D742" s="194">
        <f>IFERROR(IF(INDEX([1]Pivot!$AD$1:$BE$65000,$B742,D$5)=1,1,IF(INDEX([1]Pivot!$B$1:$AB$65000,$B742,D$5)="",2,0)),0)</f>
        <v>0</v>
      </c>
      <c r="E742" s="194">
        <f>IFERROR(IF(INDEX([1]Pivot!$AD$1:$BE$65000,$B742,E$5)=1,1,IF(INDEX([1]Pivot!$B$1:$AB$65000,$B742,E$5)="",2,0)),0)</f>
        <v>0</v>
      </c>
      <c r="F742" s="194">
        <f>IFERROR(IF(INDEX([1]Pivot!$AD$1:$BE$65000,$B742,F$5)=1,1,IF(INDEX([1]Pivot!$B$1:$AB$65000,$B742,F$5)="",2,0)),0)</f>
        <v>0</v>
      </c>
      <c r="G742" s="194">
        <f>IFERROR(IF(INDEX([1]Pivot!$AD$1:$BE$65000,$B742,G$5)=1,1,IF(INDEX([1]Pivot!$B$1:$AB$65000,$B742,G$5)="",2,0)),0)</f>
        <v>0</v>
      </c>
      <c r="H742" s="194">
        <f>IFERROR(IF(INDEX([1]Pivot!$AD$1:$BE$65000,$B742,H$5)=1,1,IF(INDEX([1]Pivot!$B$1:$AB$65000,$B742,H$5)="",2,0)),0)</f>
        <v>0</v>
      </c>
      <c r="I742" s="194">
        <f>IFERROR(IF(INDEX([1]Pivot!$AD$1:$BE$65000,$B742,I$5)=1,1,IF(INDEX([1]Pivot!$B$1:$AB$65000,$B742,I$5)="",2,0)),0)</f>
        <v>0</v>
      </c>
      <c r="J742" s="194">
        <f>IFERROR(IF(INDEX([1]Pivot!$AD$1:$BE$65000,$B742,J$5)=1,1,IF(INDEX([1]Pivot!$B$1:$AB$65000,$B742,J$5)="",2,0)),0)</f>
        <v>0</v>
      </c>
      <c r="K742" s="194">
        <f>IFERROR(IF(INDEX([1]Pivot!$AD$1:$BE$65000,$B742,K$5)=1,1,IF(INDEX([1]Pivot!$B$1:$AB$65000,$B742,K$5)="",2,0)),0)</f>
        <v>0</v>
      </c>
      <c r="L742" s="194">
        <f>IFERROR(IF(INDEX([1]Pivot!$AD$1:$BE$65000,$B742,L$5)=1,1,IF(INDEX([1]Pivot!$B$1:$AB$65000,$B742,L$5)="",2,0)),0)</f>
        <v>0</v>
      </c>
      <c r="M742" s="194">
        <f>IFERROR(IF(INDEX([1]Pivot!$AD$1:$BE$65000,$B742,M$5)=1,1,IF(INDEX([1]Pivot!$B$1:$AB$65000,$B742,M$5)="",2,0)),0)</f>
        <v>0</v>
      </c>
      <c r="N742" s="194">
        <f>IFERROR(IF(INDEX([1]Pivot!$AD$1:$BE$65000,$B742,N$5)=1,1,IF(INDEX([1]Pivot!$B$1:$AB$65000,$B742,N$5)="",2,0)),0)</f>
        <v>0</v>
      </c>
      <c r="O742" s="194">
        <f>IFERROR(IF(INDEX([1]Pivot!$AD$1:$BE$65000,$B742,O$5)=1,1,IF(INDEX([1]Pivot!$B$1:$AB$65000,$B742,O$5)="",2,0)),0)</f>
        <v>0</v>
      </c>
      <c r="P742" s="194">
        <f>IFERROR(IF(INDEX([1]Pivot!$AD$1:$BE$65000,$B742,P$5)=1,1,IF(INDEX([1]Pivot!$B$1:$AB$65000,$B742,P$5)="",2,0)),0)</f>
        <v>0</v>
      </c>
      <c r="Q742" s="194">
        <f>IFERROR(IF(INDEX([1]Pivot!$AD$1:$BE$65000,$B742,Q$5)=1,1,IF(INDEX([1]Pivot!$B$1:$AB$65000,$B742,Q$5)="",2,0)),0)</f>
        <v>0</v>
      </c>
      <c r="R742" s="312"/>
      <c r="S742" s="194">
        <f>IFERROR(IF(INDEX([1]Pivot!$AD$1:$BE$65000,$B742,S$5)=1,1,IF(INDEX([1]Pivot!$B$1:$AB$65000,$B742,S$5)="",2,0)),0)</f>
        <v>0</v>
      </c>
      <c r="T742" s="194">
        <f>IFERROR(IF(INDEX([1]Pivot!$AD$1:$BE$65000,$B742,T$5)=1,1,IF(INDEX([1]Pivot!$B$1:$AB$65000,$B742,T$5)="",2,0)),0)</f>
        <v>0</v>
      </c>
      <c r="U742" s="194">
        <f>IFERROR(IF(INDEX([1]Pivot!$AD$1:$BE$65000,$B742,U$5)=1,1,IF(INDEX([1]Pivot!$B$1:$AB$65000,$B742,U$5)="",2,0)),0)</f>
        <v>0</v>
      </c>
      <c r="V742" s="194">
        <f>IFERROR(IF(INDEX([1]Pivot!$AD$1:$BE$65000,$B742,V$5)=1,1,IF(INDEX([1]Pivot!$B$1:$AB$65000,$B742,V$5)="",2,0)),0)</f>
        <v>0</v>
      </c>
      <c r="W742" s="194">
        <f>IFERROR(IF(INDEX([1]Pivot!$AD$1:$BE$65000,$B742,W$5)=1,1,IF(INDEX([1]Pivot!$B$1:$AB$65000,$B742,W$5)="",2,0)),0)</f>
        <v>0</v>
      </c>
      <c r="X742" s="194">
        <f>IFERROR(IF(INDEX([1]Pivot!$AD$1:$BE$65000,$B742,X$5)=1,1,IF(INDEX([1]Pivot!$B$1:$AB$65000,$B742,X$5)="",2,0)),0)</f>
        <v>0</v>
      </c>
      <c r="Y742" s="194">
        <f>IFERROR(IF(INDEX([1]Pivot!$AD$1:$BE$65000,$B742,Y$5)=1,1,IF(INDEX([1]Pivot!$B$1:$AB$65000,$B742,Y$5)="",2,0)),0)</f>
        <v>0</v>
      </c>
      <c r="Z742" s="194">
        <f>IFERROR(IF(INDEX([1]Pivot!$AD$1:$BE$65000,$B742,Z$5)=1,1,IF(INDEX([1]Pivot!$B$1:$AB$65000,$B742,Z$5)="",2,0)),0)</f>
        <v>0</v>
      </c>
      <c r="AA742" s="194">
        <f>IFERROR(IF(INDEX([1]Pivot!$AD$1:$BE$65000,$B742,AA$5)=1,1,IF(INDEX([1]Pivot!$B$1:$AB$65000,$B742,AA$5)="",2,0)),0)</f>
        <v>0</v>
      </c>
      <c r="AB742" s="194">
        <f>IFERROR(IF(INDEX([1]Pivot!$AD$1:$BE$65000,$B742,AB$5)=1,1,IF(INDEX([1]Pivot!$B$1:$AB$65000,$B742,AB$5)="",2,0)),0)</f>
        <v>0</v>
      </c>
      <c r="AC742" s="194">
        <f>IFERROR(IF(INDEX([1]Pivot!$AD$1:$BE$65000,$B742,AC$5)=1,1,IF(INDEX([1]Pivot!$B$1:$AB$65000,$B742,AC$5)="",2,0)),0)</f>
        <v>0</v>
      </c>
      <c r="AD742" s="313">
        <f>IFERROR(IF(INDEX([1]Pivot!$BF$1:$CG$65000,$B742,AD$5)=1,1,IF(INDEX([1]Pivot!$B$1:$AB$65000,$B742,AD$5)="",2,0)),0)</f>
        <v>0</v>
      </c>
      <c r="AE742" s="313">
        <f>IFERROR(IF(INDEX([1]Pivot!$BF$1:$CG$65000,$B742,AE$5)=1,1,IF(INDEX([1]Pivot!$B$1:$AB$65000,$B742,AE$5)="",2,0)),0)</f>
        <v>0</v>
      </c>
      <c r="AF742" s="313">
        <f>IFERROR(IF(INDEX([1]Pivot!$BF$1:$CG$65000,$B742,AF$5)=1,1,IF(INDEX([1]Pivot!$B$1:$AB$65000,$B742,AF$5)="",2,0)),0)</f>
        <v>0</v>
      </c>
      <c r="AG742" s="313">
        <f>IFERROR(IF(INDEX([1]Pivot!$BF$1:$CG$65000,$B742,AG$5)=1,1,IF(INDEX([1]Pivot!$B$1:$AB$65000,$B742,AG$5)="",2,0)),0)</f>
        <v>0</v>
      </c>
      <c r="AH742" s="313">
        <f>IFERROR(IF(INDEX([1]Pivot!$BF$1:$CG$65000,$B742,AH$5)=1,1,IF(INDEX([1]Pivot!$B$1:$AB$65000,$B742,AH$5)="",2,0)),0)</f>
        <v>0</v>
      </c>
      <c r="AI742" s="313">
        <f>IFERROR(IF(INDEX([1]Pivot!$BF$1:$CG$65000,$B742,AI$5)=1,1,IF(INDEX([1]Pivot!$B$1:$AB$65000,$B742,AI$5)="",2,0)),0)</f>
        <v>0</v>
      </c>
      <c r="AJ742" s="313">
        <f>IFERROR(IF(INDEX([1]Pivot!$BF$1:$CG$65000,$B742,AJ$5)=1,1,IF(INDEX([1]Pivot!$B$1:$AB$65000,$B742,AJ$5)="",2,0)),0)</f>
        <v>0</v>
      </c>
      <c r="AK742" s="313">
        <f>IFERROR(IF(INDEX([1]Pivot!$BF$1:$CG$65000,$B742,AK$5)=1,1,IF(INDEX([1]Pivot!$B$1:$AB$65000,$B742,AK$5)="",2,0)),0)</f>
        <v>0</v>
      </c>
      <c r="AL742" s="313">
        <f>IFERROR(IF(INDEX([1]Pivot!$BF$1:$CG$65000,$B742,AL$5)=1,1,IF(INDEX([1]Pivot!$B$1:$AB$65000,$B742,AL$5)="",2,0)),0)</f>
        <v>0</v>
      </c>
      <c r="AM742" s="313">
        <f>IFERROR(IF(INDEX([1]Pivot!$BF$1:$CG$65000,$B742,AM$5)=1,1,IF(INDEX([1]Pivot!$B$1:$AB$65000,$B742,AM$5)="",2,0)),0)</f>
        <v>0</v>
      </c>
      <c r="AN742" s="313">
        <f>IFERROR(IF(INDEX([1]Pivot!$BF$1:$CG$65000,$B742,AN$5)=1,1,IF(INDEX([1]Pivot!$B$1:$AB$65000,$B742,AN$5)="",2,0)),0)</f>
        <v>0</v>
      </c>
      <c r="AO742" s="313">
        <f>IFERROR(IF(INDEX([1]Pivot!$BF$1:$CG$65000,$B742,AO$5)=1,1,IF(INDEX([1]Pivot!$B$1:$AB$65000,$B742,AO$5)="",2,0)),0)</f>
        <v>0</v>
      </c>
      <c r="AP742" s="313">
        <f>IFERROR(IF(INDEX([1]Pivot!$BF$1:$CG$65000,$B742,AP$5)=1,1,IF(INDEX([1]Pivot!$B$1:$AB$65000,$B742,AP$5)="",2,0)),0)</f>
        <v>0</v>
      </c>
      <c r="AQ742" s="313">
        <f>IFERROR(IF(INDEX([1]Pivot!$BF$1:$CG$65000,$B742,AQ$5)=1,1,IF(INDEX([1]Pivot!$B$1:$AB$65000,$B742,AQ$5)="",2,0)),0)</f>
        <v>0</v>
      </c>
      <c r="AR742" s="313">
        <f>IFERROR(IF(INDEX([1]Pivot!$BF$1:$CG$65000,$B742,AR$5)=1,1,IF(INDEX([1]Pivot!$B$1:$AB$65000,$B742,AR$5)="",2,0)),0)</f>
        <v>0</v>
      </c>
      <c r="AS742" s="312"/>
      <c r="AT742" s="313">
        <f>IFERROR(IF(INDEX([1]Pivot!$BF$1:$CG$65000,$B742,AT$5)=1,1,IF(INDEX([1]Pivot!$B$1:$AB$65000,$B742,AT$5)="",2,0)),0)</f>
        <v>0</v>
      </c>
      <c r="AU742" s="313">
        <f>IFERROR(IF(INDEX([1]Pivot!$BF$1:$CG$65000,$B742,AU$5)=1,1,IF(INDEX([1]Pivot!$B$1:$AB$65000,$B742,AU$5)="",2,0)),0)</f>
        <v>0</v>
      </c>
      <c r="AV742" s="313">
        <f>IFERROR(IF(INDEX([1]Pivot!$BF$1:$CG$65000,$B742,AV$5)=1,1,IF(INDEX([1]Pivot!$B$1:$AB$65000,$B742,AV$5)="",2,0)),0)</f>
        <v>0</v>
      </c>
      <c r="AW742" s="313">
        <f>IFERROR(IF(INDEX([1]Pivot!$BF$1:$CG$65000,$B742,AW$5)=1,1,IF(INDEX([1]Pivot!$B$1:$AB$65000,$B742,AW$5)="",2,0)),0)</f>
        <v>0</v>
      </c>
      <c r="AX742" s="313">
        <f>IFERROR(IF(INDEX([1]Pivot!$BF$1:$CG$65000,$B742,AX$5)=1,1,IF(INDEX([1]Pivot!$B$1:$AB$65000,$B742,AX$5)="",2,0)),0)</f>
        <v>0</v>
      </c>
      <c r="AY742" s="313">
        <f>IFERROR(IF(INDEX([1]Pivot!$BF$1:$CG$65000,$B742,AY$5)=1,1,IF(INDEX([1]Pivot!$B$1:$AB$65000,$B742,AY$5)="",2,0)),0)</f>
        <v>0</v>
      </c>
      <c r="AZ742" s="313">
        <f>IFERROR(IF(INDEX([1]Pivot!$BF$1:$CG$65000,$B742,AZ$5)=1,1,IF(INDEX([1]Pivot!$B$1:$AB$65000,$B742,AZ$5)="",2,0)),0)</f>
        <v>0</v>
      </c>
      <c r="BA742" s="313">
        <f>IFERROR(IF(INDEX([1]Pivot!$BF$1:$CG$65000,$B742,BA$5)=1,1,IF(INDEX([1]Pivot!$B$1:$AB$65000,$B742,BA$5)="",2,0)),0)</f>
        <v>0</v>
      </c>
      <c r="BB742" s="313">
        <f>IFERROR(IF(INDEX([1]Pivot!$BF$1:$CG$65000,$B742,BB$5)=1,1,IF(INDEX([1]Pivot!$B$1:$AB$65000,$B742,BB$5)="",2,0)),0)</f>
        <v>0</v>
      </c>
      <c r="BC742" s="313">
        <f>IFERROR(IF(INDEX([1]Pivot!$BF$1:$CG$65000,$B742,BC$5)=1,1,IF(INDEX([1]Pivot!$B$1:$AB$65000,$B742,BC$5)="",2,0)),0)</f>
        <v>0</v>
      </c>
      <c r="BD742" s="313">
        <f>IFERROR(IF(INDEX([1]Pivot!$BF$1:$CG$65000,$B742,BD$5)=1,1,IF(INDEX([1]Pivot!$B$1:$AB$65000,$B742,BD$5)="",2,0)),0)</f>
        <v>0</v>
      </c>
    </row>
    <row r="743" spans="1:56" x14ac:dyDescent="0.25">
      <c r="A743" s="288">
        <f>'[2]Raw Milk Prices'!A743</f>
        <v>0</v>
      </c>
      <c r="B743" s="296" t="e">
        <f>MATCH(DATE(LEFT('[2]Raw Milk Prices'!$A743,4),RIGHT('[2]Raw Milk Prices'!$A743,2),1),[1]Pivot!$A$1:$A$65000,0)</f>
        <v>#VALUE!</v>
      </c>
      <c r="C743" s="194">
        <f>IFERROR(IF(INDEX([1]Pivot!$AD$1:$BE$65000,$B743,C$5)=1,1,IF(INDEX([1]Pivot!$B$1:$AB$65000,$B743,C$5)="",2,0)),0)</f>
        <v>0</v>
      </c>
      <c r="D743" s="194">
        <f>IFERROR(IF(INDEX([1]Pivot!$AD$1:$BE$65000,$B743,D$5)=1,1,IF(INDEX([1]Pivot!$B$1:$AB$65000,$B743,D$5)="",2,0)),0)</f>
        <v>0</v>
      </c>
      <c r="E743" s="194">
        <f>IFERROR(IF(INDEX([1]Pivot!$AD$1:$BE$65000,$B743,E$5)=1,1,IF(INDEX([1]Pivot!$B$1:$AB$65000,$B743,E$5)="",2,0)),0)</f>
        <v>0</v>
      </c>
      <c r="F743" s="194">
        <f>IFERROR(IF(INDEX([1]Pivot!$AD$1:$BE$65000,$B743,F$5)=1,1,IF(INDEX([1]Pivot!$B$1:$AB$65000,$B743,F$5)="",2,0)),0)</f>
        <v>0</v>
      </c>
      <c r="G743" s="194">
        <f>IFERROR(IF(INDEX([1]Pivot!$AD$1:$BE$65000,$B743,G$5)=1,1,IF(INDEX([1]Pivot!$B$1:$AB$65000,$B743,G$5)="",2,0)),0)</f>
        <v>0</v>
      </c>
      <c r="H743" s="194">
        <f>IFERROR(IF(INDEX([1]Pivot!$AD$1:$BE$65000,$B743,H$5)=1,1,IF(INDEX([1]Pivot!$B$1:$AB$65000,$B743,H$5)="",2,0)),0)</f>
        <v>0</v>
      </c>
      <c r="I743" s="194">
        <f>IFERROR(IF(INDEX([1]Pivot!$AD$1:$BE$65000,$B743,I$5)=1,1,IF(INDEX([1]Pivot!$B$1:$AB$65000,$B743,I$5)="",2,0)),0)</f>
        <v>0</v>
      </c>
      <c r="J743" s="194">
        <f>IFERROR(IF(INDEX([1]Pivot!$AD$1:$BE$65000,$B743,J$5)=1,1,IF(INDEX([1]Pivot!$B$1:$AB$65000,$B743,J$5)="",2,0)),0)</f>
        <v>0</v>
      </c>
      <c r="K743" s="194">
        <f>IFERROR(IF(INDEX([1]Pivot!$AD$1:$BE$65000,$B743,K$5)=1,1,IF(INDEX([1]Pivot!$B$1:$AB$65000,$B743,K$5)="",2,0)),0)</f>
        <v>0</v>
      </c>
      <c r="L743" s="194">
        <f>IFERROR(IF(INDEX([1]Pivot!$AD$1:$BE$65000,$B743,L$5)=1,1,IF(INDEX([1]Pivot!$B$1:$AB$65000,$B743,L$5)="",2,0)),0)</f>
        <v>0</v>
      </c>
      <c r="M743" s="194">
        <f>IFERROR(IF(INDEX([1]Pivot!$AD$1:$BE$65000,$B743,M$5)=1,1,IF(INDEX([1]Pivot!$B$1:$AB$65000,$B743,M$5)="",2,0)),0)</f>
        <v>0</v>
      </c>
      <c r="N743" s="194">
        <f>IFERROR(IF(INDEX([1]Pivot!$AD$1:$BE$65000,$B743,N$5)=1,1,IF(INDEX([1]Pivot!$B$1:$AB$65000,$B743,N$5)="",2,0)),0)</f>
        <v>0</v>
      </c>
      <c r="O743" s="194">
        <f>IFERROR(IF(INDEX([1]Pivot!$AD$1:$BE$65000,$B743,O$5)=1,1,IF(INDEX([1]Pivot!$B$1:$AB$65000,$B743,O$5)="",2,0)),0)</f>
        <v>0</v>
      </c>
      <c r="P743" s="194">
        <f>IFERROR(IF(INDEX([1]Pivot!$AD$1:$BE$65000,$B743,P$5)=1,1,IF(INDEX([1]Pivot!$B$1:$AB$65000,$B743,P$5)="",2,0)),0)</f>
        <v>0</v>
      </c>
      <c r="Q743" s="194">
        <f>IFERROR(IF(INDEX([1]Pivot!$AD$1:$BE$65000,$B743,Q$5)=1,1,IF(INDEX([1]Pivot!$B$1:$AB$65000,$B743,Q$5)="",2,0)),0)</f>
        <v>0</v>
      </c>
      <c r="R743" s="312"/>
      <c r="S743" s="194">
        <f>IFERROR(IF(INDEX([1]Pivot!$AD$1:$BE$65000,$B743,S$5)=1,1,IF(INDEX([1]Pivot!$B$1:$AB$65000,$B743,S$5)="",2,0)),0)</f>
        <v>0</v>
      </c>
      <c r="T743" s="194">
        <f>IFERROR(IF(INDEX([1]Pivot!$AD$1:$BE$65000,$B743,T$5)=1,1,IF(INDEX([1]Pivot!$B$1:$AB$65000,$B743,T$5)="",2,0)),0)</f>
        <v>0</v>
      </c>
      <c r="U743" s="194">
        <f>IFERROR(IF(INDEX([1]Pivot!$AD$1:$BE$65000,$B743,U$5)=1,1,IF(INDEX([1]Pivot!$B$1:$AB$65000,$B743,U$5)="",2,0)),0)</f>
        <v>0</v>
      </c>
      <c r="V743" s="194">
        <f>IFERROR(IF(INDEX([1]Pivot!$AD$1:$BE$65000,$B743,V$5)=1,1,IF(INDEX([1]Pivot!$B$1:$AB$65000,$B743,V$5)="",2,0)),0)</f>
        <v>0</v>
      </c>
      <c r="W743" s="194">
        <f>IFERROR(IF(INDEX([1]Pivot!$AD$1:$BE$65000,$B743,W$5)=1,1,IF(INDEX([1]Pivot!$B$1:$AB$65000,$B743,W$5)="",2,0)),0)</f>
        <v>0</v>
      </c>
      <c r="X743" s="194">
        <f>IFERROR(IF(INDEX([1]Pivot!$AD$1:$BE$65000,$B743,X$5)=1,1,IF(INDEX([1]Pivot!$B$1:$AB$65000,$B743,X$5)="",2,0)),0)</f>
        <v>0</v>
      </c>
      <c r="Y743" s="194">
        <f>IFERROR(IF(INDEX([1]Pivot!$AD$1:$BE$65000,$B743,Y$5)=1,1,IF(INDEX([1]Pivot!$B$1:$AB$65000,$B743,Y$5)="",2,0)),0)</f>
        <v>0</v>
      </c>
      <c r="Z743" s="194">
        <f>IFERROR(IF(INDEX([1]Pivot!$AD$1:$BE$65000,$B743,Z$5)=1,1,IF(INDEX([1]Pivot!$B$1:$AB$65000,$B743,Z$5)="",2,0)),0)</f>
        <v>0</v>
      </c>
      <c r="AA743" s="194">
        <f>IFERROR(IF(INDEX([1]Pivot!$AD$1:$BE$65000,$B743,AA$5)=1,1,IF(INDEX([1]Pivot!$B$1:$AB$65000,$B743,AA$5)="",2,0)),0)</f>
        <v>0</v>
      </c>
      <c r="AB743" s="194">
        <f>IFERROR(IF(INDEX([1]Pivot!$AD$1:$BE$65000,$B743,AB$5)=1,1,IF(INDEX([1]Pivot!$B$1:$AB$65000,$B743,AB$5)="",2,0)),0)</f>
        <v>0</v>
      </c>
      <c r="AC743" s="194">
        <f>IFERROR(IF(INDEX([1]Pivot!$AD$1:$BE$65000,$B743,AC$5)=1,1,IF(INDEX([1]Pivot!$B$1:$AB$65000,$B743,AC$5)="",2,0)),0)</f>
        <v>0</v>
      </c>
      <c r="AD743" s="313">
        <f>IFERROR(IF(INDEX([1]Pivot!$BF$1:$CG$65000,$B743,AD$5)=1,1,IF(INDEX([1]Pivot!$B$1:$AB$65000,$B743,AD$5)="",2,0)),0)</f>
        <v>0</v>
      </c>
      <c r="AE743" s="313">
        <f>IFERROR(IF(INDEX([1]Pivot!$BF$1:$CG$65000,$B743,AE$5)=1,1,IF(INDEX([1]Pivot!$B$1:$AB$65000,$B743,AE$5)="",2,0)),0)</f>
        <v>0</v>
      </c>
      <c r="AF743" s="313">
        <f>IFERROR(IF(INDEX([1]Pivot!$BF$1:$CG$65000,$B743,AF$5)=1,1,IF(INDEX([1]Pivot!$B$1:$AB$65000,$B743,AF$5)="",2,0)),0)</f>
        <v>0</v>
      </c>
      <c r="AG743" s="313">
        <f>IFERROR(IF(INDEX([1]Pivot!$BF$1:$CG$65000,$B743,AG$5)=1,1,IF(INDEX([1]Pivot!$B$1:$AB$65000,$B743,AG$5)="",2,0)),0)</f>
        <v>0</v>
      </c>
      <c r="AH743" s="313">
        <f>IFERROR(IF(INDEX([1]Pivot!$BF$1:$CG$65000,$B743,AH$5)=1,1,IF(INDEX([1]Pivot!$B$1:$AB$65000,$B743,AH$5)="",2,0)),0)</f>
        <v>0</v>
      </c>
      <c r="AI743" s="313">
        <f>IFERROR(IF(INDEX([1]Pivot!$BF$1:$CG$65000,$B743,AI$5)=1,1,IF(INDEX([1]Pivot!$B$1:$AB$65000,$B743,AI$5)="",2,0)),0)</f>
        <v>0</v>
      </c>
      <c r="AJ743" s="313">
        <f>IFERROR(IF(INDEX([1]Pivot!$BF$1:$CG$65000,$B743,AJ$5)=1,1,IF(INDEX([1]Pivot!$B$1:$AB$65000,$B743,AJ$5)="",2,0)),0)</f>
        <v>0</v>
      </c>
      <c r="AK743" s="313">
        <f>IFERROR(IF(INDEX([1]Pivot!$BF$1:$CG$65000,$B743,AK$5)=1,1,IF(INDEX([1]Pivot!$B$1:$AB$65000,$B743,AK$5)="",2,0)),0)</f>
        <v>0</v>
      </c>
      <c r="AL743" s="313">
        <f>IFERROR(IF(INDEX([1]Pivot!$BF$1:$CG$65000,$B743,AL$5)=1,1,IF(INDEX([1]Pivot!$B$1:$AB$65000,$B743,AL$5)="",2,0)),0)</f>
        <v>0</v>
      </c>
      <c r="AM743" s="313">
        <f>IFERROR(IF(INDEX([1]Pivot!$BF$1:$CG$65000,$B743,AM$5)=1,1,IF(INDEX([1]Pivot!$B$1:$AB$65000,$B743,AM$5)="",2,0)),0)</f>
        <v>0</v>
      </c>
      <c r="AN743" s="313">
        <f>IFERROR(IF(INDEX([1]Pivot!$BF$1:$CG$65000,$B743,AN$5)=1,1,IF(INDEX([1]Pivot!$B$1:$AB$65000,$B743,AN$5)="",2,0)),0)</f>
        <v>0</v>
      </c>
      <c r="AO743" s="313">
        <f>IFERROR(IF(INDEX([1]Pivot!$BF$1:$CG$65000,$B743,AO$5)=1,1,IF(INDEX([1]Pivot!$B$1:$AB$65000,$B743,AO$5)="",2,0)),0)</f>
        <v>0</v>
      </c>
      <c r="AP743" s="313">
        <f>IFERROR(IF(INDEX([1]Pivot!$BF$1:$CG$65000,$B743,AP$5)=1,1,IF(INDEX([1]Pivot!$B$1:$AB$65000,$B743,AP$5)="",2,0)),0)</f>
        <v>0</v>
      </c>
      <c r="AQ743" s="313">
        <f>IFERROR(IF(INDEX([1]Pivot!$BF$1:$CG$65000,$B743,AQ$5)=1,1,IF(INDEX([1]Pivot!$B$1:$AB$65000,$B743,AQ$5)="",2,0)),0)</f>
        <v>0</v>
      </c>
      <c r="AR743" s="313">
        <f>IFERROR(IF(INDEX([1]Pivot!$BF$1:$CG$65000,$B743,AR$5)=1,1,IF(INDEX([1]Pivot!$B$1:$AB$65000,$B743,AR$5)="",2,0)),0)</f>
        <v>0</v>
      </c>
      <c r="AS743" s="312"/>
      <c r="AT743" s="313">
        <f>IFERROR(IF(INDEX([1]Pivot!$BF$1:$CG$65000,$B743,AT$5)=1,1,IF(INDEX([1]Pivot!$B$1:$AB$65000,$B743,AT$5)="",2,0)),0)</f>
        <v>0</v>
      </c>
      <c r="AU743" s="313">
        <f>IFERROR(IF(INDEX([1]Pivot!$BF$1:$CG$65000,$B743,AU$5)=1,1,IF(INDEX([1]Pivot!$B$1:$AB$65000,$B743,AU$5)="",2,0)),0)</f>
        <v>0</v>
      </c>
      <c r="AV743" s="313">
        <f>IFERROR(IF(INDEX([1]Pivot!$BF$1:$CG$65000,$B743,AV$5)=1,1,IF(INDEX([1]Pivot!$B$1:$AB$65000,$B743,AV$5)="",2,0)),0)</f>
        <v>0</v>
      </c>
      <c r="AW743" s="313">
        <f>IFERROR(IF(INDEX([1]Pivot!$BF$1:$CG$65000,$B743,AW$5)=1,1,IF(INDEX([1]Pivot!$B$1:$AB$65000,$B743,AW$5)="",2,0)),0)</f>
        <v>0</v>
      </c>
      <c r="AX743" s="313">
        <f>IFERROR(IF(INDEX([1]Pivot!$BF$1:$CG$65000,$B743,AX$5)=1,1,IF(INDEX([1]Pivot!$B$1:$AB$65000,$B743,AX$5)="",2,0)),0)</f>
        <v>0</v>
      </c>
      <c r="AY743" s="313">
        <f>IFERROR(IF(INDEX([1]Pivot!$BF$1:$CG$65000,$B743,AY$5)=1,1,IF(INDEX([1]Pivot!$B$1:$AB$65000,$B743,AY$5)="",2,0)),0)</f>
        <v>0</v>
      </c>
      <c r="AZ743" s="313">
        <f>IFERROR(IF(INDEX([1]Pivot!$BF$1:$CG$65000,$B743,AZ$5)=1,1,IF(INDEX([1]Pivot!$B$1:$AB$65000,$B743,AZ$5)="",2,0)),0)</f>
        <v>0</v>
      </c>
      <c r="BA743" s="313">
        <f>IFERROR(IF(INDEX([1]Pivot!$BF$1:$CG$65000,$B743,BA$5)=1,1,IF(INDEX([1]Pivot!$B$1:$AB$65000,$B743,BA$5)="",2,0)),0)</f>
        <v>0</v>
      </c>
      <c r="BB743" s="313">
        <f>IFERROR(IF(INDEX([1]Pivot!$BF$1:$CG$65000,$B743,BB$5)=1,1,IF(INDEX([1]Pivot!$B$1:$AB$65000,$B743,BB$5)="",2,0)),0)</f>
        <v>0</v>
      </c>
      <c r="BC743" s="313">
        <f>IFERROR(IF(INDEX([1]Pivot!$BF$1:$CG$65000,$B743,BC$5)=1,1,IF(INDEX([1]Pivot!$B$1:$AB$65000,$B743,BC$5)="",2,0)),0)</f>
        <v>0</v>
      </c>
      <c r="BD743" s="313">
        <f>IFERROR(IF(INDEX([1]Pivot!$BF$1:$CG$65000,$B743,BD$5)=1,1,IF(INDEX([1]Pivot!$B$1:$AB$65000,$B743,BD$5)="",2,0)),0)</f>
        <v>0</v>
      </c>
    </row>
    <row r="744" spans="1:56" x14ac:dyDescent="0.25">
      <c r="A744" s="288">
        <f>'[2]Raw Milk Prices'!A744</f>
        <v>0</v>
      </c>
      <c r="B744" s="296" t="e">
        <f>MATCH(DATE(LEFT('[2]Raw Milk Prices'!$A744,4),RIGHT('[2]Raw Milk Prices'!$A744,2),1),[1]Pivot!$A$1:$A$65000,0)</f>
        <v>#VALUE!</v>
      </c>
      <c r="C744" s="194">
        <f>IFERROR(IF(INDEX([1]Pivot!$AD$1:$BE$65000,$B744,C$5)=1,1,IF(INDEX([1]Pivot!$B$1:$AB$65000,$B744,C$5)="",2,0)),0)</f>
        <v>0</v>
      </c>
      <c r="D744" s="194">
        <f>IFERROR(IF(INDEX([1]Pivot!$AD$1:$BE$65000,$B744,D$5)=1,1,IF(INDEX([1]Pivot!$B$1:$AB$65000,$B744,D$5)="",2,0)),0)</f>
        <v>0</v>
      </c>
      <c r="E744" s="194">
        <f>IFERROR(IF(INDEX([1]Pivot!$AD$1:$BE$65000,$B744,E$5)=1,1,IF(INDEX([1]Pivot!$B$1:$AB$65000,$B744,E$5)="",2,0)),0)</f>
        <v>0</v>
      </c>
      <c r="F744" s="194">
        <f>IFERROR(IF(INDEX([1]Pivot!$AD$1:$BE$65000,$B744,F$5)=1,1,IF(INDEX([1]Pivot!$B$1:$AB$65000,$B744,F$5)="",2,0)),0)</f>
        <v>0</v>
      </c>
      <c r="G744" s="194">
        <f>IFERROR(IF(INDEX([1]Pivot!$AD$1:$BE$65000,$B744,G$5)=1,1,IF(INDEX([1]Pivot!$B$1:$AB$65000,$B744,G$5)="",2,0)),0)</f>
        <v>0</v>
      </c>
      <c r="H744" s="194">
        <f>IFERROR(IF(INDEX([1]Pivot!$AD$1:$BE$65000,$B744,H$5)=1,1,IF(INDEX([1]Pivot!$B$1:$AB$65000,$B744,H$5)="",2,0)),0)</f>
        <v>0</v>
      </c>
      <c r="I744" s="194">
        <f>IFERROR(IF(INDEX([1]Pivot!$AD$1:$BE$65000,$B744,I$5)=1,1,IF(INDEX([1]Pivot!$B$1:$AB$65000,$B744,I$5)="",2,0)),0)</f>
        <v>0</v>
      </c>
      <c r="J744" s="194">
        <f>IFERROR(IF(INDEX([1]Pivot!$AD$1:$BE$65000,$B744,J$5)=1,1,IF(INDEX([1]Pivot!$B$1:$AB$65000,$B744,J$5)="",2,0)),0)</f>
        <v>0</v>
      </c>
      <c r="K744" s="194">
        <f>IFERROR(IF(INDEX([1]Pivot!$AD$1:$BE$65000,$B744,K$5)=1,1,IF(INDEX([1]Pivot!$B$1:$AB$65000,$B744,K$5)="",2,0)),0)</f>
        <v>0</v>
      </c>
      <c r="L744" s="194">
        <f>IFERROR(IF(INDEX([1]Pivot!$AD$1:$BE$65000,$B744,L$5)=1,1,IF(INDEX([1]Pivot!$B$1:$AB$65000,$B744,L$5)="",2,0)),0)</f>
        <v>0</v>
      </c>
      <c r="M744" s="194">
        <f>IFERROR(IF(INDEX([1]Pivot!$AD$1:$BE$65000,$B744,M$5)=1,1,IF(INDEX([1]Pivot!$B$1:$AB$65000,$B744,M$5)="",2,0)),0)</f>
        <v>0</v>
      </c>
      <c r="N744" s="194">
        <f>IFERROR(IF(INDEX([1]Pivot!$AD$1:$BE$65000,$B744,N$5)=1,1,IF(INDEX([1]Pivot!$B$1:$AB$65000,$B744,N$5)="",2,0)),0)</f>
        <v>0</v>
      </c>
      <c r="O744" s="194">
        <f>IFERROR(IF(INDEX([1]Pivot!$AD$1:$BE$65000,$B744,O$5)=1,1,IF(INDEX([1]Pivot!$B$1:$AB$65000,$B744,O$5)="",2,0)),0)</f>
        <v>0</v>
      </c>
      <c r="P744" s="194">
        <f>IFERROR(IF(INDEX([1]Pivot!$AD$1:$BE$65000,$B744,P$5)=1,1,IF(INDEX([1]Pivot!$B$1:$AB$65000,$B744,P$5)="",2,0)),0)</f>
        <v>0</v>
      </c>
      <c r="Q744" s="194">
        <f>IFERROR(IF(INDEX([1]Pivot!$AD$1:$BE$65000,$B744,Q$5)=1,1,IF(INDEX([1]Pivot!$B$1:$AB$65000,$B744,Q$5)="",2,0)),0)</f>
        <v>0</v>
      </c>
      <c r="R744" s="312"/>
      <c r="S744" s="194">
        <f>IFERROR(IF(INDEX([1]Pivot!$AD$1:$BE$65000,$B744,S$5)=1,1,IF(INDEX([1]Pivot!$B$1:$AB$65000,$B744,S$5)="",2,0)),0)</f>
        <v>0</v>
      </c>
      <c r="T744" s="194">
        <f>IFERROR(IF(INDEX([1]Pivot!$AD$1:$BE$65000,$B744,T$5)=1,1,IF(INDEX([1]Pivot!$B$1:$AB$65000,$B744,T$5)="",2,0)),0)</f>
        <v>0</v>
      </c>
      <c r="U744" s="194">
        <f>IFERROR(IF(INDEX([1]Pivot!$AD$1:$BE$65000,$B744,U$5)=1,1,IF(INDEX([1]Pivot!$B$1:$AB$65000,$B744,U$5)="",2,0)),0)</f>
        <v>0</v>
      </c>
      <c r="V744" s="194">
        <f>IFERROR(IF(INDEX([1]Pivot!$AD$1:$BE$65000,$B744,V$5)=1,1,IF(INDEX([1]Pivot!$B$1:$AB$65000,$B744,V$5)="",2,0)),0)</f>
        <v>0</v>
      </c>
      <c r="W744" s="194">
        <f>IFERROR(IF(INDEX([1]Pivot!$AD$1:$BE$65000,$B744,W$5)=1,1,IF(INDEX([1]Pivot!$B$1:$AB$65000,$B744,W$5)="",2,0)),0)</f>
        <v>0</v>
      </c>
      <c r="X744" s="194">
        <f>IFERROR(IF(INDEX([1]Pivot!$AD$1:$BE$65000,$B744,X$5)=1,1,IF(INDEX([1]Pivot!$B$1:$AB$65000,$B744,X$5)="",2,0)),0)</f>
        <v>0</v>
      </c>
      <c r="Y744" s="194">
        <f>IFERROR(IF(INDEX([1]Pivot!$AD$1:$BE$65000,$B744,Y$5)=1,1,IF(INDEX([1]Pivot!$B$1:$AB$65000,$B744,Y$5)="",2,0)),0)</f>
        <v>0</v>
      </c>
      <c r="Z744" s="194">
        <f>IFERROR(IF(INDEX([1]Pivot!$AD$1:$BE$65000,$B744,Z$5)=1,1,IF(INDEX([1]Pivot!$B$1:$AB$65000,$B744,Z$5)="",2,0)),0)</f>
        <v>0</v>
      </c>
      <c r="AA744" s="194">
        <f>IFERROR(IF(INDEX([1]Pivot!$AD$1:$BE$65000,$B744,AA$5)=1,1,IF(INDEX([1]Pivot!$B$1:$AB$65000,$B744,AA$5)="",2,0)),0)</f>
        <v>0</v>
      </c>
      <c r="AB744" s="194">
        <f>IFERROR(IF(INDEX([1]Pivot!$AD$1:$BE$65000,$B744,AB$5)=1,1,IF(INDEX([1]Pivot!$B$1:$AB$65000,$B744,AB$5)="",2,0)),0)</f>
        <v>0</v>
      </c>
      <c r="AC744" s="194">
        <f>IFERROR(IF(INDEX([1]Pivot!$AD$1:$BE$65000,$B744,AC$5)=1,1,IF(INDEX([1]Pivot!$B$1:$AB$65000,$B744,AC$5)="",2,0)),0)</f>
        <v>0</v>
      </c>
      <c r="AD744" s="313">
        <f>IFERROR(IF(INDEX([1]Pivot!$BF$1:$CG$65000,$B744,AD$5)=1,1,IF(INDEX([1]Pivot!$B$1:$AB$65000,$B744,AD$5)="",2,0)),0)</f>
        <v>0</v>
      </c>
      <c r="AE744" s="313">
        <f>IFERROR(IF(INDEX([1]Pivot!$BF$1:$CG$65000,$B744,AE$5)=1,1,IF(INDEX([1]Pivot!$B$1:$AB$65000,$B744,AE$5)="",2,0)),0)</f>
        <v>0</v>
      </c>
      <c r="AF744" s="313">
        <f>IFERROR(IF(INDEX([1]Pivot!$BF$1:$CG$65000,$B744,AF$5)=1,1,IF(INDEX([1]Pivot!$B$1:$AB$65000,$B744,AF$5)="",2,0)),0)</f>
        <v>0</v>
      </c>
      <c r="AG744" s="313">
        <f>IFERROR(IF(INDEX([1]Pivot!$BF$1:$CG$65000,$B744,AG$5)=1,1,IF(INDEX([1]Pivot!$B$1:$AB$65000,$B744,AG$5)="",2,0)),0)</f>
        <v>0</v>
      </c>
      <c r="AH744" s="313">
        <f>IFERROR(IF(INDEX([1]Pivot!$BF$1:$CG$65000,$B744,AH$5)=1,1,IF(INDEX([1]Pivot!$B$1:$AB$65000,$B744,AH$5)="",2,0)),0)</f>
        <v>0</v>
      </c>
      <c r="AI744" s="313">
        <f>IFERROR(IF(INDEX([1]Pivot!$BF$1:$CG$65000,$B744,AI$5)=1,1,IF(INDEX([1]Pivot!$B$1:$AB$65000,$B744,AI$5)="",2,0)),0)</f>
        <v>0</v>
      </c>
      <c r="AJ744" s="313">
        <f>IFERROR(IF(INDEX([1]Pivot!$BF$1:$CG$65000,$B744,AJ$5)=1,1,IF(INDEX([1]Pivot!$B$1:$AB$65000,$B744,AJ$5)="",2,0)),0)</f>
        <v>0</v>
      </c>
      <c r="AK744" s="313">
        <f>IFERROR(IF(INDEX([1]Pivot!$BF$1:$CG$65000,$B744,AK$5)=1,1,IF(INDEX([1]Pivot!$B$1:$AB$65000,$B744,AK$5)="",2,0)),0)</f>
        <v>0</v>
      </c>
      <c r="AL744" s="313">
        <f>IFERROR(IF(INDEX([1]Pivot!$BF$1:$CG$65000,$B744,AL$5)=1,1,IF(INDEX([1]Pivot!$B$1:$AB$65000,$B744,AL$5)="",2,0)),0)</f>
        <v>0</v>
      </c>
      <c r="AM744" s="313">
        <f>IFERROR(IF(INDEX([1]Pivot!$BF$1:$CG$65000,$B744,AM$5)=1,1,IF(INDEX([1]Pivot!$B$1:$AB$65000,$B744,AM$5)="",2,0)),0)</f>
        <v>0</v>
      </c>
      <c r="AN744" s="313">
        <f>IFERROR(IF(INDEX([1]Pivot!$BF$1:$CG$65000,$B744,AN$5)=1,1,IF(INDEX([1]Pivot!$B$1:$AB$65000,$B744,AN$5)="",2,0)),0)</f>
        <v>0</v>
      </c>
      <c r="AO744" s="313">
        <f>IFERROR(IF(INDEX([1]Pivot!$BF$1:$CG$65000,$B744,AO$5)=1,1,IF(INDEX([1]Pivot!$B$1:$AB$65000,$B744,AO$5)="",2,0)),0)</f>
        <v>0</v>
      </c>
      <c r="AP744" s="313">
        <f>IFERROR(IF(INDEX([1]Pivot!$BF$1:$CG$65000,$B744,AP$5)=1,1,IF(INDEX([1]Pivot!$B$1:$AB$65000,$B744,AP$5)="",2,0)),0)</f>
        <v>0</v>
      </c>
      <c r="AQ744" s="313">
        <f>IFERROR(IF(INDEX([1]Pivot!$BF$1:$CG$65000,$B744,AQ$5)=1,1,IF(INDEX([1]Pivot!$B$1:$AB$65000,$B744,AQ$5)="",2,0)),0)</f>
        <v>0</v>
      </c>
      <c r="AR744" s="313">
        <f>IFERROR(IF(INDEX([1]Pivot!$BF$1:$CG$65000,$B744,AR$5)=1,1,IF(INDEX([1]Pivot!$B$1:$AB$65000,$B744,AR$5)="",2,0)),0)</f>
        <v>0</v>
      </c>
      <c r="AS744" s="312"/>
      <c r="AT744" s="313">
        <f>IFERROR(IF(INDEX([1]Pivot!$BF$1:$CG$65000,$B744,AT$5)=1,1,IF(INDEX([1]Pivot!$B$1:$AB$65000,$B744,AT$5)="",2,0)),0)</f>
        <v>0</v>
      </c>
      <c r="AU744" s="313">
        <f>IFERROR(IF(INDEX([1]Pivot!$BF$1:$CG$65000,$B744,AU$5)=1,1,IF(INDEX([1]Pivot!$B$1:$AB$65000,$B744,AU$5)="",2,0)),0)</f>
        <v>0</v>
      </c>
      <c r="AV744" s="313">
        <f>IFERROR(IF(INDEX([1]Pivot!$BF$1:$CG$65000,$B744,AV$5)=1,1,IF(INDEX([1]Pivot!$B$1:$AB$65000,$B744,AV$5)="",2,0)),0)</f>
        <v>0</v>
      </c>
      <c r="AW744" s="313">
        <f>IFERROR(IF(INDEX([1]Pivot!$BF$1:$CG$65000,$B744,AW$5)=1,1,IF(INDEX([1]Pivot!$B$1:$AB$65000,$B744,AW$5)="",2,0)),0)</f>
        <v>0</v>
      </c>
      <c r="AX744" s="313">
        <f>IFERROR(IF(INDEX([1]Pivot!$BF$1:$CG$65000,$B744,AX$5)=1,1,IF(INDEX([1]Pivot!$B$1:$AB$65000,$B744,AX$5)="",2,0)),0)</f>
        <v>0</v>
      </c>
      <c r="AY744" s="313">
        <f>IFERROR(IF(INDEX([1]Pivot!$BF$1:$CG$65000,$B744,AY$5)=1,1,IF(INDEX([1]Pivot!$B$1:$AB$65000,$B744,AY$5)="",2,0)),0)</f>
        <v>0</v>
      </c>
      <c r="AZ744" s="313">
        <f>IFERROR(IF(INDEX([1]Pivot!$BF$1:$CG$65000,$B744,AZ$5)=1,1,IF(INDEX([1]Pivot!$B$1:$AB$65000,$B744,AZ$5)="",2,0)),0)</f>
        <v>0</v>
      </c>
      <c r="BA744" s="313">
        <f>IFERROR(IF(INDEX([1]Pivot!$BF$1:$CG$65000,$B744,BA$5)=1,1,IF(INDEX([1]Pivot!$B$1:$AB$65000,$B744,BA$5)="",2,0)),0)</f>
        <v>0</v>
      </c>
      <c r="BB744" s="313">
        <f>IFERROR(IF(INDEX([1]Pivot!$BF$1:$CG$65000,$B744,BB$5)=1,1,IF(INDEX([1]Pivot!$B$1:$AB$65000,$B744,BB$5)="",2,0)),0)</f>
        <v>0</v>
      </c>
      <c r="BC744" s="313">
        <f>IFERROR(IF(INDEX([1]Pivot!$BF$1:$CG$65000,$B744,BC$5)=1,1,IF(INDEX([1]Pivot!$B$1:$AB$65000,$B744,BC$5)="",2,0)),0)</f>
        <v>0</v>
      </c>
      <c r="BD744" s="313">
        <f>IFERROR(IF(INDEX([1]Pivot!$BF$1:$CG$65000,$B744,BD$5)=1,1,IF(INDEX([1]Pivot!$B$1:$AB$65000,$B744,BD$5)="",2,0)),0)</f>
        <v>0</v>
      </c>
    </row>
    <row r="745" spans="1:56" x14ac:dyDescent="0.25">
      <c r="A745" s="288">
        <f>'[2]Raw Milk Prices'!A745</f>
        <v>0</v>
      </c>
      <c r="B745" s="296" t="e">
        <f>MATCH(DATE(LEFT('[2]Raw Milk Prices'!$A745,4),RIGHT('[2]Raw Milk Prices'!$A745,2),1),[1]Pivot!$A$1:$A$65000,0)</f>
        <v>#VALUE!</v>
      </c>
      <c r="C745" s="194">
        <f>IFERROR(IF(INDEX([1]Pivot!$AD$1:$BE$65000,$B745,C$5)=1,1,IF(INDEX([1]Pivot!$B$1:$AB$65000,$B745,C$5)="",2,0)),0)</f>
        <v>0</v>
      </c>
      <c r="D745" s="194">
        <f>IFERROR(IF(INDEX([1]Pivot!$AD$1:$BE$65000,$B745,D$5)=1,1,IF(INDEX([1]Pivot!$B$1:$AB$65000,$B745,D$5)="",2,0)),0)</f>
        <v>0</v>
      </c>
      <c r="E745" s="194">
        <f>IFERROR(IF(INDEX([1]Pivot!$AD$1:$BE$65000,$B745,E$5)=1,1,IF(INDEX([1]Pivot!$B$1:$AB$65000,$B745,E$5)="",2,0)),0)</f>
        <v>0</v>
      </c>
      <c r="F745" s="194">
        <f>IFERROR(IF(INDEX([1]Pivot!$AD$1:$BE$65000,$B745,F$5)=1,1,IF(INDEX([1]Pivot!$B$1:$AB$65000,$B745,F$5)="",2,0)),0)</f>
        <v>0</v>
      </c>
      <c r="G745" s="194">
        <f>IFERROR(IF(INDEX([1]Pivot!$AD$1:$BE$65000,$B745,G$5)=1,1,IF(INDEX([1]Pivot!$B$1:$AB$65000,$B745,G$5)="",2,0)),0)</f>
        <v>0</v>
      </c>
      <c r="H745" s="194">
        <f>IFERROR(IF(INDEX([1]Pivot!$AD$1:$BE$65000,$B745,H$5)=1,1,IF(INDEX([1]Pivot!$B$1:$AB$65000,$B745,H$5)="",2,0)),0)</f>
        <v>0</v>
      </c>
      <c r="I745" s="194">
        <f>IFERROR(IF(INDEX([1]Pivot!$AD$1:$BE$65000,$B745,I$5)=1,1,IF(INDEX([1]Pivot!$B$1:$AB$65000,$B745,I$5)="",2,0)),0)</f>
        <v>0</v>
      </c>
      <c r="J745" s="194">
        <f>IFERROR(IF(INDEX([1]Pivot!$AD$1:$BE$65000,$B745,J$5)=1,1,IF(INDEX([1]Pivot!$B$1:$AB$65000,$B745,J$5)="",2,0)),0)</f>
        <v>0</v>
      </c>
      <c r="K745" s="194">
        <f>IFERROR(IF(INDEX([1]Pivot!$AD$1:$BE$65000,$B745,K$5)=1,1,IF(INDEX([1]Pivot!$B$1:$AB$65000,$B745,K$5)="",2,0)),0)</f>
        <v>0</v>
      </c>
      <c r="L745" s="194">
        <f>IFERROR(IF(INDEX([1]Pivot!$AD$1:$BE$65000,$B745,L$5)=1,1,IF(INDEX([1]Pivot!$B$1:$AB$65000,$B745,L$5)="",2,0)),0)</f>
        <v>0</v>
      </c>
      <c r="M745" s="194">
        <f>IFERROR(IF(INDEX([1]Pivot!$AD$1:$BE$65000,$B745,M$5)=1,1,IF(INDEX([1]Pivot!$B$1:$AB$65000,$B745,M$5)="",2,0)),0)</f>
        <v>0</v>
      </c>
      <c r="N745" s="194">
        <f>IFERROR(IF(INDEX([1]Pivot!$AD$1:$BE$65000,$B745,N$5)=1,1,IF(INDEX([1]Pivot!$B$1:$AB$65000,$B745,N$5)="",2,0)),0)</f>
        <v>0</v>
      </c>
      <c r="O745" s="194">
        <f>IFERROR(IF(INDEX([1]Pivot!$AD$1:$BE$65000,$B745,O$5)=1,1,IF(INDEX([1]Pivot!$B$1:$AB$65000,$B745,O$5)="",2,0)),0)</f>
        <v>0</v>
      </c>
      <c r="P745" s="194">
        <f>IFERROR(IF(INDEX([1]Pivot!$AD$1:$BE$65000,$B745,P$5)=1,1,IF(INDEX([1]Pivot!$B$1:$AB$65000,$B745,P$5)="",2,0)),0)</f>
        <v>0</v>
      </c>
      <c r="Q745" s="194">
        <f>IFERROR(IF(INDEX([1]Pivot!$AD$1:$BE$65000,$B745,Q$5)=1,1,IF(INDEX([1]Pivot!$B$1:$AB$65000,$B745,Q$5)="",2,0)),0)</f>
        <v>0</v>
      </c>
      <c r="R745" s="312"/>
      <c r="S745" s="194">
        <f>IFERROR(IF(INDEX([1]Pivot!$AD$1:$BE$65000,$B745,S$5)=1,1,IF(INDEX([1]Pivot!$B$1:$AB$65000,$B745,S$5)="",2,0)),0)</f>
        <v>0</v>
      </c>
      <c r="T745" s="194">
        <f>IFERROR(IF(INDEX([1]Pivot!$AD$1:$BE$65000,$B745,T$5)=1,1,IF(INDEX([1]Pivot!$B$1:$AB$65000,$B745,T$5)="",2,0)),0)</f>
        <v>0</v>
      </c>
      <c r="U745" s="194">
        <f>IFERROR(IF(INDEX([1]Pivot!$AD$1:$BE$65000,$B745,U$5)=1,1,IF(INDEX([1]Pivot!$B$1:$AB$65000,$B745,U$5)="",2,0)),0)</f>
        <v>0</v>
      </c>
      <c r="V745" s="194">
        <f>IFERROR(IF(INDEX([1]Pivot!$AD$1:$BE$65000,$B745,V$5)=1,1,IF(INDEX([1]Pivot!$B$1:$AB$65000,$B745,V$5)="",2,0)),0)</f>
        <v>0</v>
      </c>
      <c r="W745" s="194">
        <f>IFERROR(IF(INDEX([1]Pivot!$AD$1:$BE$65000,$B745,W$5)=1,1,IF(INDEX([1]Pivot!$B$1:$AB$65000,$B745,W$5)="",2,0)),0)</f>
        <v>0</v>
      </c>
      <c r="X745" s="194">
        <f>IFERROR(IF(INDEX([1]Pivot!$AD$1:$BE$65000,$B745,X$5)=1,1,IF(INDEX([1]Pivot!$B$1:$AB$65000,$B745,X$5)="",2,0)),0)</f>
        <v>0</v>
      </c>
      <c r="Y745" s="194">
        <f>IFERROR(IF(INDEX([1]Pivot!$AD$1:$BE$65000,$B745,Y$5)=1,1,IF(INDEX([1]Pivot!$B$1:$AB$65000,$B745,Y$5)="",2,0)),0)</f>
        <v>0</v>
      </c>
      <c r="Z745" s="194">
        <f>IFERROR(IF(INDEX([1]Pivot!$AD$1:$BE$65000,$B745,Z$5)=1,1,IF(INDEX([1]Pivot!$B$1:$AB$65000,$B745,Z$5)="",2,0)),0)</f>
        <v>0</v>
      </c>
      <c r="AA745" s="194">
        <f>IFERROR(IF(INDEX([1]Pivot!$AD$1:$BE$65000,$B745,AA$5)=1,1,IF(INDEX([1]Pivot!$B$1:$AB$65000,$B745,AA$5)="",2,0)),0)</f>
        <v>0</v>
      </c>
      <c r="AB745" s="194">
        <f>IFERROR(IF(INDEX([1]Pivot!$AD$1:$BE$65000,$B745,AB$5)=1,1,IF(INDEX([1]Pivot!$B$1:$AB$65000,$B745,AB$5)="",2,0)),0)</f>
        <v>0</v>
      </c>
      <c r="AC745" s="194">
        <f>IFERROR(IF(INDEX([1]Pivot!$AD$1:$BE$65000,$B745,AC$5)=1,1,IF(INDEX([1]Pivot!$B$1:$AB$65000,$B745,AC$5)="",2,0)),0)</f>
        <v>0</v>
      </c>
      <c r="AD745" s="313">
        <f>IFERROR(IF(INDEX([1]Pivot!$BF$1:$CG$65000,$B745,AD$5)=1,1,IF(INDEX([1]Pivot!$B$1:$AB$65000,$B745,AD$5)="",2,0)),0)</f>
        <v>0</v>
      </c>
      <c r="AE745" s="313">
        <f>IFERROR(IF(INDEX([1]Pivot!$BF$1:$CG$65000,$B745,AE$5)=1,1,IF(INDEX([1]Pivot!$B$1:$AB$65000,$B745,AE$5)="",2,0)),0)</f>
        <v>0</v>
      </c>
      <c r="AF745" s="313">
        <f>IFERROR(IF(INDEX([1]Pivot!$BF$1:$CG$65000,$B745,AF$5)=1,1,IF(INDEX([1]Pivot!$B$1:$AB$65000,$B745,AF$5)="",2,0)),0)</f>
        <v>0</v>
      </c>
      <c r="AG745" s="313">
        <f>IFERROR(IF(INDEX([1]Pivot!$BF$1:$CG$65000,$B745,AG$5)=1,1,IF(INDEX([1]Pivot!$B$1:$AB$65000,$B745,AG$5)="",2,0)),0)</f>
        <v>0</v>
      </c>
      <c r="AH745" s="313">
        <f>IFERROR(IF(INDEX([1]Pivot!$BF$1:$CG$65000,$B745,AH$5)=1,1,IF(INDEX([1]Pivot!$B$1:$AB$65000,$B745,AH$5)="",2,0)),0)</f>
        <v>0</v>
      </c>
      <c r="AI745" s="313">
        <f>IFERROR(IF(INDEX([1]Pivot!$BF$1:$CG$65000,$B745,AI$5)=1,1,IF(INDEX([1]Pivot!$B$1:$AB$65000,$B745,AI$5)="",2,0)),0)</f>
        <v>0</v>
      </c>
      <c r="AJ745" s="313">
        <f>IFERROR(IF(INDEX([1]Pivot!$BF$1:$CG$65000,$B745,AJ$5)=1,1,IF(INDEX([1]Pivot!$B$1:$AB$65000,$B745,AJ$5)="",2,0)),0)</f>
        <v>0</v>
      </c>
      <c r="AK745" s="313">
        <f>IFERROR(IF(INDEX([1]Pivot!$BF$1:$CG$65000,$B745,AK$5)=1,1,IF(INDEX([1]Pivot!$B$1:$AB$65000,$B745,AK$5)="",2,0)),0)</f>
        <v>0</v>
      </c>
      <c r="AL745" s="313">
        <f>IFERROR(IF(INDEX([1]Pivot!$BF$1:$CG$65000,$B745,AL$5)=1,1,IF(INDEX([1]Pivot!$B$1:$AB$65000,$B745,AL$5)="",2,0)),0)</f>
        <v>0</v>
      </c>
      <c r="AM745" s="313">
        <f>IFERROR(IF(INDEX([1]Pivot!$BF$1:$CG$65000,$B745,AM$5)=1,1,IF(INDEX([1]Pivot!$B$1:$AB$65000,$B745,AM$5)="",2,0)),0)</f>
        <v>0</v>
      </c>
      <c r="AN745" s="313">
        <f>IFERROR(IF(INDEX([1]Pivot!$BF$1:$CG$65000,$B745,AN$5)=1,1,IF(INDEX([1]Pivot!$B$1:$AB$65000,$B745,AN$5)="",2,0)),0)</f>
        <v>0</v>
      </c>
      <c r="AO745" s="313">
        <f>IFERROR(IF(INDEX([1]Pivot!$BF$1:$CG$65000,$B745,AO$5)=1,1,IF(INDEX([1]Pivot!$B$1:$AB$65000,$B745,AO$5)="",2,0)),0)</f>
        <v>0</v>
      </c>
      <c r="AP745" s="313">
        <f>IFERROR(IF(INDEX([1]Pivot!$BF$1:$CG$65000,$B745,AP$5)=1,1,IF(INDEX([1]Pivot!$B$1:$AB$65000,$B745,AP$5)="",2,0)),0)</f>
        <v>0</v>
      </c>
      <c r="AQ745" s="313">
        <f>IFERROR(IF(INDEX([1]Pivot!$BF$1:$CG$65000,$B745,AQ$5)=1,1,IF(INDEX([1]Pivot!$B$1:$AB$65000,$B745,AQ$5)="",2,0)),0)</f>
        <v>0</v>
      </c>
      <c r="AR745" s="313">
        <f>IFERROR(IF(INDEX([1]Pivot!$BF$1:$CG$65000,$B745,AR$5)=1,1,IF(INDEX([1]Pivot!$B$1:$AB$65000,$B745,AR$5)="",2,0)),0)</f>
        <v>0</v>
      </c>
      <c r="AS745" s="312"/>
      <c r="AT745" s="313">
        <f>IFERROR(IF(INDEX([1]Pivot!$BF$1:$CG$65000,$B745,AT$5)=1,1,IF(INDEX([1]Pivot!$B$1:$AB$65000,$B745,AT$5)="",2,0)),0)</f>
        <v>0</v>
      </c>
      <c r="AU745" s="313">
        <f>IFERROR(IF(INDEX([1]Pivot!$BF$1:$CG$65000,$B745,AU$5)=1,1,IF(INDEX([1]Pivot!$B$1:$AB$65000,$B745,AU$5)="",2,0)),0)</f>
        <v>0</v>
      </c>
      <c r="AV745" s="313">
        <f>IFERROR(IF(INDEX([1]Pivot!$BF$1:$CG$65000,$B745,AV$5)=1,1,IF(INDEX([1]Pivot!$B$1:$AB$65000,$B745,AV$5)="",2,0)),0)</f>
        <v>0</v>
      </c>
      <c r="AW745" s="313">
        <f>IFERROR(IF(INDEX([1]Pivot!$BF$1:$CG$65000,$B745,AW$5)=1,1,IF(INDEX([1]Pivot!$B$1:$AB$65000,$B745,AW$5)="",2,0)),0)</f>
        <v>0</v>
      </c>
      <c r="AX745" s="313">
        <f>IFERROR(IF(INDEX([1]Pivot!$BF$1:$CG$65000,$B745,AX$5)=1,1,IF(INDEX([1]Pivot!$B$1:$AB$65000,$B745,AX$5)="",2,0)),0)</f>
        <v>0</v>
      </c>
      <c r="AY745" s="313">
        <f>IFERROR(IF(INDEX([1]Pivot!$BF$1:$CG$65000,$B745,AY$5)=1,1,IF(INDEX([1]Pivot!$B$1:$AB$65000,$B745,AY$5)="",2,0)),0)</f>
        <v>0</v>
      </c>
      <c r="AZ745" s="313">
        <f>IFERROR(IF(INDEX([1]Pivot!$BF$1:$CG$65000,$B745,AZ$5)=1,1,IF(INDEX([1]Pivot!$B$1:$AB$65000,$B745,AZ$5)="",2,0)),0)</f>
        <v>0</v>
      </c>
      <c r="BA745" s="313">
        <f>IFERROR(IF(INDEX([1]Pivot!$BF$1:$CG$65000,$B745,BA$5)=1,1,IF(INDEX([1]Pivot!$B$1:$AB$65000,$B745,BA$5)="",2,0)),0)</f>
        <v>0</v>
      </c>
      <c r="BB745" s="313">
        <f>IFERROR(IF(INDEX([1]Pivot!$BF$1:$CG$65000,$B745,BB$5)=1,1,IF(INDEX([1]Pivot!$B$1:$AB$65000,$B745,BB$5)="",2,0)),0)</f>
        <v>0</v>
      </c>
      <c r="BC745" s="313">
        <f>IFERROR(IF(INDEX([1]Pivot!$BF$1:$CG$65000,$B745,BC$5)=1,1,IF(INDEX([1]Pivot!$B$1:$AB$65000,$B745,BC$5)="",2,0)),0)</f>
        <v>0</v>
      </c>
      <c r="BD745" s="313">
        <f>IFERROR(IF(INDEX([1]Pivot!$BF$1:$CG$65000,$B745,BD$5)=1,1,IF(INDEX([1]Pivot!$B$1:$AB$65000,$B745,BD$5)="",2,0)),0)</f>
        <v>0</v>
      </c>
    </row>
    <row r="746" spans="1:56" x14ac:dyDescent="0.25">
      <c r="A746" s="288">
        <f>'[2]Raw Milk Prices'!A746</f>
        <v>0</v>
      </c>
      <c r="B746" s="296" t="e">
        <f>MATCH(DATE(LEFT('[2]Raw Milk Prices'!$A746,4),RIGHT('[2]Raw Milk Prices'!$A746,2),1),[1]Pivot!$A$1:$A$65000,0)</f>
        <v>#VALUE!</v>
      </c>
      <c r="C746" s="194">
        <f>IFERROR(IF(INDEX([1]Pivot!$AD$1:$BE$65000,$B746,C$5)=1,1,IF(INDEX([1]Pivot!$B$1:$AB$65000,$B746,C$5)="",2,0)),0)</f>
        <v>0</v>
      </c>
      <c r="D746" s="194">
        <f>IFERROR(IF(INDEX([1]Pivot!$AD$1:$BE$65000,$B746,D$5)=1,1,IF(INDEX([1]Pivot!$B$1:$AB$65000,$B746,D$5)="",2,0)),0)</f>
        <v>0</v>
      </c>
      <c r="E746" s="194">
        <f>IFERROR(IF(INDEX([1]Pivot!$AD$1:$BE$65000,$B746,E$5)=1,1,IF(INDEX([1]Pivot!$B$1:$AB$65000,$B746,E$5)="",2,0)),0)</f>
        <v>0</v>
      </c>
      <c r="F746" s="194">
        <f>IFERROR(IF(INDEX([1]Pivot!$AD$1:$BE$65000,$B746,F$5)=1,1,IF(INDEX([1]Pivot!$B$1:$AB$65000,$B746,F$5)="",2,0)),0)</f>
        <v>0</v>
      </c>
      <c r="G746" s="194">
        <f>IFERROR(IF(INDEX([1]Pivot!$AD$1:$BE$65000,$B746,G$5)=1,1,IF(INDEX([1]Pivot!$B$1:$AB$65000,$B746,G$5)="",2,0)),0)</f>
        <v>0</v>
      </c>
      <c r="H746" s="194">
        <f>IFERROR(IF(INDEX([1]Pivot!$AD$1:$BE$65000,$B746,H$5)=1,1,IF(INDEX([1]Pivot!$B$1:$AB$65000,$B746,H$5)="",2,0)),0)</f>
        <v>0</v>
      </c>
      <c r="I746" s="194">
        <f>IFERROR(IF(INDEX([1]Pivot!$AD$1:$BE$65000,$B746,I$5)=1,1,IF(INDEX([1]Pivot!$B$1:$AB$65000,$B746,I$5)="",2,0)),0)</f>
        <v>0</v>
      </c>
      <c r="J746" s="194">
        <f>IFERROR(IF(INDEX([1]Pivot!$AD$1:$BE$65000,$B746,J$5)=1,1,IF(INDEX([1]Pivot!$B$1:$AB$65000,$B746,J$5)="",2,0)),0)</f>
        <v>0</v>
      </c>
      <c r="K746" s="194">
        <f>IFERROR(IF(INDEX([1]Pivot!$AD$1:$BE$65000,$B746,K$5)=1,1,IF(INDEX([1]Pivot!$B$1:$AB$65000,$B746,K$5)="",2,0)),0)</f>
        <v>0</v>
      </c>
      <c r="L746" s="194">
        <f>IFERROR(IF(INDEX([1]Pivot!$AD$1:$BE$65000,$B746,L$5)=1,1,IF(INDEX([1]Pivot!$B$1:$AB$65000,$B746,L$5)="",2,0)),0)</f>
        <v>0</v>
      </c>
      <c r="M746" s="194">
        <f>IFERROR(IF(INDEX([1]Pivot!$AD$1:$BE$65000,$B746,M$5)=1,1,IF(INDEX([1]Pivot!$B$1:$AB$65000,$B746,M$5)="",2,0)),0)</f>
        <v>0</v>
      </c>
      <c r="N746" s="194">
        <f>IFERROR(IF(INDEX([1]Pivot!$AD$1:$BE$65000,$B746,N$5)=1,1,IF(INDEX([1]Pivot!$B$1:$AB$65000,$B746,N$5)="",2,0)),0)</f>
        <v>0</v>
      </c>
      <c r="O746" s="194">
        <f>IFERROR(IF(INDEX([1]Pivot!$AD$1:$BE$65000,$B746,O$5)=1,1,IF(INDEX([1]Pivot!$B$1:$AB$65000,$B746,O$5)="",2,0)),0)</f>
        <v>0</v>
      </c>
      <c r="P746" s="194">
        <f>IFERROR(IF(INDEX([1]Pivot!$AD$1:$BE$65000,$B746,P$5)=1,1,IF(INDEX([1]Pivot!$B$1:$AB$65000,$B746,P$5)="",2,0)),0)</f>
        <v>0</v>
      </c>
      <c r="Q746" s="194">
        <f>IFERROR(IF(INDEX([1]Pivot!$AD$1:$BE$65000,$B746,Q$5)=1,1,IF(INDEX([1]Pivot!$B$1:$AB$65000,$B746,Q$5)="",2,0)),0)</f>
        <v>0</v>
      </c>
      <c r="R746" s="312"/>
      <c r="S746" s="194">
        <f>IFERROR(IF(INDEX([1]Pivot!$AD$1:$BE$65000,$B746,S$5)=1,1,IF(INDEX([1]Pivot!$B$1:$AB$65000,$B746,S$5)="",2,0)),0)</f>
        <v>0</v>
      </c>
      <c r="T746" s="194">
        <f>IFERROR(IF(INDEX([1]Pivot!$AD$1:$BE$65000,$B746,T$5)=1,1,IF(INDEX([1]Pivot!$B$1:$AB$65000,$B746,T$5)="",2,0)),0)</f>
        <v>0</v>
      </c>
      <c r="U746" s="194">
        <f>IFERROR(IF(INDEX([1]Pivot!$AD$1:$BE$65000,$B746,U$5)=1,1,IF(INDEX([1]Pivot!$B$1:$AB$65000,$B746,U$5)="",2,0)),0)</f>
        <v>0</v>
      </c>
      <c r="V746" s="194">
        <f>IFERROR(IF(INDEX([1]Pivot!$AD$1:$BE$65000,$B746,V$5)=1,1,IF(INDEX([1]Pivot!$B$1:$AB$65000,$B746,V$5)="",2,0)),0)</f>
        <v>0</v>
      </c>
      <c r="W746" s="194">
        <f>IFERROR(IF(INDEX([1]Pivot!$AD$1:$BE$65000,$B746,W$5)=1,1,IF(INDEX([1]Pivot!$B$1:$AB$65000,$B746,W$5)="",2,0)),0)</f>
        <v>0</v>
      </c>
      <c r="X746" s="194">
        <f>IFERROR(IF(INDEX([1]Pivot!$AD$1:$BE$65000,$B746,X$5)=1,1,IF(INDEX([1]Pivot!$B$1:$AB$65000,$B746,X$5)="",2,0)),0)</f>
        <v>0</v>
      </c>
      <c r="Y746" s="194">
        <f>IFERROR(IF(INDEX([1]Pivot!$AD$1:$BE$65000,$B746,Y$5)=1,1,IF(INDEX([1]Pivot!$B$1:$AB$65000,$B746,Y$5)="",2,0)),0)</f>
        <v>0</v>
      </c>
      <c r="Z746" s="194">
        <f>IFERROR(IF(INDEX([1]Pivot!$AD$1:$BE$65000,$B746,Z$5)=1,1,IF(INDEX([1]Pivot!$B$1:$AB$65000,$B746,Z$5)="",2,0)),0)</f>
        <v>0</v>
      </c>
      <c r="AA746" s="194">
        <f>IFERROR(IF(INDEX([1]Pivot!$AD$1:$BE$65000,$B746,AA$5)=1,1,IF(INDEX([1]Pivot!$B$1:$AB$65000,$B746,AA$5)="",2,0)),0)</f>
        <v>0</v>
      </c>
      <c r="AB746" s="194">
        <f>IFERROR(IF(INDEX([1]Pivot!$AD$1:$BE$65000,$B746,AB$5)=1,1,IF(INDEX([1]Pivot!$B$1:$AB$65000,$B746,AB$5)="",2,0)),0)</f>
        <v>0</v>
      </c>
      <c r="AC746" s="194">
        <f>IFERROR(IF(INDEX([1]Pivot!$AD$1:$BE$65000,$B746,AC$5)=1,1,IF(INDEX([1]Pivot!$B$1:$AB$65000,$B746,AC$5)="",2,0)),0)</f>
        <v>0</v>
      </c>
      <c r="AD746" s="313">
        <f>IFERROR(IF(INDEX([1]Pivot!$BF$1:$CG$65000,$B746,AD$5)=1,1,IF(INDEX([1]Pivot!$B$1:$AB$65000,$B746,AD$5)="",2,0)),0)</f>
        <v>0</v>
      </c>
      <c r="AE746" s="313">
        <f>IFERROR(IF(INDEX([1]Pivot!$BF$1:$CG$65000,$B746,AE$5)=1,1,IF(INDEX([1]Pivot!$B$1:$AB$65000,$B746,AE$5)="",2,0)),0)</f>
        <v>0</v>
      </c>
      <c r="AF746" s="313">
        <f>IFERROR(IF(INDEX([1]Pivot!$BF$1:$CG$65000,$B746,AF$5)=1,1,IF(INDEX([1]Pivot!$B$1:$AB$65000,$B746,AF$5)="",2,0)),0)</f>
        <v>0</v>
      </c>
      <c r="AG746" s="313">
        <f>IFERROR(IF(INDEX([1]Pivot!$BF$1:$CG$65000,$B746,AG$5)=1,1,IF(INDEX([1]Pivot!$B$1:$AB$65000,$B746,AG$5)="",2,0)),0)</f>
        <v>0</v>
      </c>
      <c r="AH746" s="313">
        <f>IFERROR(IF(INDEX([1]Pivot!$BF$1:$CG$65000,$B746,AH$5)=1,1,IF(INDEX([1]Pivot!$B$1:$AB$65000,$B746,AH$5)="",2,0)),0)</f>
        <v>0</v>
      </c>
      <c r="AI746" s="313">
        <f>IFERROR(IF(INDEX([1]Pivot!$BF$1:$CG$65000,$B746,AI$5)=1,1,IF(INDEX([1]Pivot!$B$1:$AB$65000,$B746,AI$5)="",2,0)),0)</f>
        <v>0</v>
      </c>
      <c r="AJ746" s="313">
        <f>IFERROR(IF(INDEX([1]Pivot!$BF$1:$CG$65000,$B746,AJ$5)=1,1,IF(INDEX([1]Pivot!$B$1:$AB$65000,$B746,AJ$5)="",2,0)),0)</f>
        <v>0</v>
      </c>
      <c r="AK746" s="313">
        <f>IFERROR(IF(INDEX([1]Pivot!$BF$1:$CG$65000,$B746,AK$5)=1,1,IF(INDEX([1]Pivot!$B$1:$AB$65000,$B746,AK$5)="",2,0)),0)</f>
        <v>0</v>
      </c>
      <c r="AL746" s="313">
        <f>IFERROR(IF(INDEX([1]Pivot!$BF$1:$CG$65000,$B746,AL$5)=1,1,IF(INDEX([1]Pivot!$B$1:$AB$65000,$B746,AL$5)="",2,0)),0)</f>
        <v>0</v>
      </c>
      <c r="AM746" s="313">
        <f>IFERROR(IF(INDEX([1]Pivot!$BF$1:$CG$65000,$B746,AM$5)=1,1,IF(INDEX([1]Pivot!$B$1:$AB$65000,$B746,AM$5)="",2,0)),0)</f>
        <v>0</v>
      </c>
      <c r="AN746" s="313">
        <f>IFERROR(IF(INDEX([1]Pivot!$BF$1:$CG$65000,$B746,AN$5)=1,1,IF(INDEX([1]Pivot!$B$1:$AB$65000,$B746,AN$5)="",2,0)),0)</f>
        <v>0</v>
      </c>
      <c r="AO746" s="313">
        <f>IFERROR(IF(INDEX([1]Pivot!$BF$1:$CG$65000,$B746,AO$5)=1,1,IF(INDEX([1]Pivot!$B$1:$AB$65000,$B746,AO$5)="",2,0)),0)</f>
        <v>0</v>
      </c>
      <c r="AP746" s="313">
        <f>IFERROR(IF(INDEX([1]Pivot!$BF$1:$CG$65000,$B746,AP$5)=1,1,IF(INDEX([1]Pivot!$B$1:$AB$65000,$B746,AP$5)="",2,0)),0)</f>
        <v>0</v>
      </c>
      <c r="AQ746" s="313">
        <f>IFERROR(IF(INDEX([1]Pivot!$BF$1:$CG$65000,$B746,AQ$5)=1,1,IF(INDEX([1]Pivot!$B$1:$AB$65000,$B746,AQ$5)="",2,0)),0)</f>
        <v>0</v>
      </c>
      <c r="AR746" s="313">
        <f>IFERROR(IF(INDEX([1]Pivot!$BF$1:$CG$65000,$B746,AR$5)=1,1,IF(INDEX([1]Pivot!$B$1:$AB$65000,$B746,AR$5)="",2,0)),0)</f>
        <v>0</v>
      </c>
      <c r="AS746" s="312"/>
      <c r="AT746" s="313">
        <f>IFERROR(IF(INDEX([1]Pivot!$BF$1:$CG$65000,$B746,AT$5)=1,1,IF(INDEX([1]Pivot!$B$1:$AB$65000,$B746,AT$5)="",2,0)),0)</f>
        <v>0</v>
      </c>
      <c r="AU746" s="313">
        <f>IFERROR(IF(INDEX([1]Pivot!$BF$1:$CG$65000,$B746,AU$5)=1,1,IF(INDEX([1]Pivot!$B$1:$AB$65000,$B746,AU$5)="",2,0)),0)</f>
        <v>0</v>
      </c>
      <c r="AV746" s="313">
        <f>IFERROR(IF(INDEX([1]Pivot!$BF$1:$CG$65000,$B746,AV$5)=1,1,IF(INDEX([1]Pivot!$B$1:$AB$65000,$B746,AV$5)="",2,0)),0)</f>
        <v>0</v>
      </c>
      <c r="AW746" s="313">
        <f>IFERROR(IF(INDEX([1]Pivot!$BF$1:$CG$65000,$B746,AW$5)=1,1,IF(INDEX([1]Pivot!$B$1:$AB$65000,$B746,AW$5)="",2,0)),0)</f>
        <v>0</v>
      </c>
      <c r="AX746" s="313">
        <f>IFERROR(IF(INDEX([1]Pivot!$BF$1:$CG$65000,$B746,AX$5)=1,1,IF(INDEX([1]Pivot!$B$1:$AB$65000,$B746,AX$5)="",2,0)),0)</f>
        <v>0</v>
      </c>
      <c r="AY746" s="313">
        <f>IFERROR(IF(INDEX([1]Pivot!$BF$1:$CG$65000,$B746,AY$5)=1,1,IF(INDEX([1]Pivot!$B$1:$AB$65000,$B746,AY$5)="",2,0)),0)</f>
        <v>0</v>
      </c>
      <c r="AZ746" s="313">
        <f>IFERROR(IF(INDEX([1]Pivot!$BF$1:$CG$65000,$B746,AZ$5)=1,1,IF(INDEX([1]Pivot!$B$1:$AB$65000,$B746,AZ$5)="",2,0)),0)</f>
        <v>0</v>
      </c>
      <c r="BA746" s="313">
        <f>IFERROR(IF(INDEX([1]Pivot!$BF$1:$CG$65000,$B746,BA$5)=1,1,IF(INDEX([1]Pivot!$B$1:$AB$65000,$B746,BA$5)="",2,0)),0)</f>
        <v>0</v>
      </c>
      <c r="BB746" s="313">
        <f>IFERROR(IF(INDEX([1]Pivot!$BF$1:$CG$65000,$B746,BB$5)=1,1,IF(INDEX([1]Pivot!$B$1:$AB$65000,$B746,BB$5)="",2,0)),0)</f>
        <v>0</v>
      </c>
      <c r="BC746" s="313">
        <f>IFERROR(IF(INDEX([1]Pivot!$BF$1:$CG$65000,$B746,BC$5)=1,1,IF(INDEX([1]Pivot!$B$1:$AB$65000,$B746,BC$5)="",2,0)),0)</f>
        <v>0</v>
      </c>
      <c r="BD746" s="313">
        <f>IFERROR(IF(INDEX([1]Pivot!$BF$1:$CG$65000,$B746,BD$5)=1,1,IF(INDEX([1]Pivot!$B$1:$AB$65000,$B746,BD$5)="",2,0)),0)</f>
        <v>0</v>
      </c>
    </row>
    <row r="747" spans="1:56" x14ac:dyDescent="0.25">
      <c r="A747" s="288">
        <f>'[2]Raw Milk Prices'!A747</f>
        <v>0</v>
      </c>
      <c r="B747" s="296" t="e">
        <f>MATCH(DATE(LEFT('[2]Raw Milk Prices'!$A747,4),RIGHT('[2]Raw Milk Prices'!$A747,2),1),[1]Pivot!$A$1:$A$65000,0)</f>
        <v>#VALUE!</v>
      </c>
      <c r="C747" s="194">
        <f>IFERROR(IF(INDEX([1]Pivot!$AD$1:$BE$65000,$B747,C$5)=1,1,IF(INDEX([1]Pivot!$B$1:$AB$65000,$B747,C$5)="",2,0)),0)</f>
        <v>0</v>
      </c>
      <c r="D747" s="194">
        <f>IFERROR(IF(INDEX([1]Pivot!$AD$1:$BE$65000,$B747,D$5)=1,1,IF(INDEX([1]Pivot!$B$1:$AB$65000,$B747,D$5)="",2,0)),0)</f>
        <v>0</v>
      </c>
      <c r="E747" s="194">
        <f>IFERROR(IF(INDEX([1]Pivot!$AD$1:$BE$65000,$B747,E$5)=1,1,IF(INDEX([1]Pivot!$B$1:$AB$65000,$B747,E$5)="",2,0)),0)</f>
        <v>0</v>
      </c>
      <c r="F747" s="194">
        <f>IFERROR(IF(INDEX([1]Pivot!$AD$1:$BE$65000,$B747,F$5)=1,1,IF(INDEX([1]Pivot!$B$1:$AB$65000,$B747,F$5)="",2,0)),0)</f>
        <v>0</v>
      </c>
      <c r="G747" s="194">
        <f>IFERROR(IF(INDEX([1]Pivot!$AD$1:$BE$65000,$B747,G$5)=1,1,IF(INDEX([1]Pivot!$B$1:$AB$65000,$B747,G$5)="",2,0)),0)</f>
        <v>0</v>
      </c>
      <c r="H747" s="194">
        <f>IFERROR(IF(INDEX([1]Pivot!$AD$1:$BE$65000,$B747,H$5)=1,1,IF(INDEX([1]Pivot!$B$1:$AB$65000,$B747,H$5)="",2,0)),0)</f>
        <v>0</v>
      </c>
      <c r="I747" s="194">
        <f>IFERROR(IF(INDEX([1]Pivot!$AD$1:$BE$65000,$B747,I$5)=1,1,IF(INDEX([1]Pivot!$B$1:$AB$65000,$B747,I$5)="",2,0)),0)</f>
        <v>0</v>
      </c>
      <c r="J747" s="194">
        <f>IFERROR(IF(INDEX([1]Pivot!$AD$1:$BE$65000,$B747,J$5)=1,1,IF(INDEX([1]Pivot!$B$1:$AB$65000,$B747,J$5)="",2,0)),0)</f>
        <v>0</v>
      </c>
      <c r="K747" s="194">
        <f>IFERROR(IF(INDEX([1]Pivot!$AD$1:$BE$65000,$B747,K$5)=1,1,IF(INDEX([1]Pivot!$B$1:$AB$65000,$B747,K$5)="",2,0)),0)</f>
        <v>0</v>
      </c>
      <c r="L747" s="194">
        <f>IFERROR(IF(INDEX([1]Pivot!$AD$1:$BE$65000,$B747,L$5)=1,1,IF(INDEX([1]Pivot!$B$1:$AB$65000,$B747,L$5)="",2,0)),0)</f>
        <v>0</v>
      </c>
      <c r="M747" s="194">
        <f>IFERROR(IF(INDEX([1]Pivot!$AD$1:$BE$65000,$B747,M$5)=1,1,IF(INDEX([1]Pivot!$B$1:$AB$65000,$B747,M$5)="",2,0)),0)</f>
        <v>0</v>
      </c>
      <c r="N747" s="194">
        <f>IFERROR(IF(INDEX([1]Pivot!$AD$1:$BE$65000,$B747,N$5)=1,1,IF(INDEX([1]Pivot!$B$1:$AB$65000,$B747,N$5)="",2,0)),0)</f>
        <v>0</v>
      </c>
      <c r="O747" s="194">
        <f>IFERROR(IF(INDEX([1]Pivot!$AD$1:$BE$65000,$B747,O$5)=1,1,IF(INDEX([1]Pivot!$B$1:$AB$65000,$B747,O$5)="",2,0)),0)</f>
        <v>0</v>
      </c>
      <c r="P747" s="194">
        <f>IFERROR(IF(INDEX([1]Pivot!$AD$1:$BE$65000,$B747,P$5)=1,1,IF(INDEX([1]Pivot!$B$1:$AB$65000,$B747,P$5)="",2,0)),0)</f>
        <v>0</v>
      </c>
      <c r="Q747" s="194">
        <f>IFERROR(IF(INDEX([1]Pivot!$AD$1:$BE$65000,$B747,Q$5)=1,1,IF(INDEX([1]Pivot!$B$1:$AB$65000,$B747,Q$5)="",2,0)),0)</f>
        <v>0</v>
      </c>
      <c r="R747" s="312"/>
      <c r="S747" s="194">
        <f>IFERROR(IF(INDEX([1]Pivot!$AD$1:$BE$65000,$B747,S$5)=1,1,IF(INDEX([1]Pivot!$B$1:$AB$65000,$B747,S$5)="",2,0)),0)</f>
        <v>0</v>
      </c>
      <c r="T747" s="194">
        <f>IFERROR(IF(INDEX([1]Pivot!$AD$1:$BE$65000,$B747,T$5)=1,1,IF(INDEX([1]Pivot!$B$1:$AB$65000,$B747,T$5)="",2,0)),0)</f>
        <v>0</v>
      </c>
      <c r="U747" s="194">
        <f>IFERROR(IF(INDEX([1]Pivot!$AD$1:$BE$65000,$B747,U$5)=1,1,IF(INDEX([1]Pivot!$B$1:$AB$65000,$B747,U$5)="",2,0)),0)</f>
        <v>0</v>
      </c>
      <c r="V747" s="194">
        <f>IFERROR(IF(INDEX([1]Pivot!$AD$1:$BE$65000,$B747,V$5)=1,1,IF(INDEX([1]Pivot!$B$1:$AB$65000,$B747,V$5)="",2,0)),0)</f>
        <v>0</v>
      </c>
      <c r="W747" s="194">
        <f>IFERROR(IF(INDEX([1]Pivot!$AD$1:$BE$65000,$B747,W$5)=1,1,IF(INDEX([1]Pivot!$B$1:$AB$65000,$B747,W$5)="",2,0)),0)</f>
        <v>0</v>
      </c>
      <c r="X747" s="194">
        <f>IFERROR(IF(INDEX([1]Pivot!$AD$1:$BE$65000,$B747,X$5)=1,1,IF(INDEX([1]Pivot!$B$1:$AB$65000,$B747,X$5)="",2,0)),0)</f>
        <v>0</v>
      </c>
      <c r="Y747" s="194">
        <f>IFERROR(IF(INDEX([1]Pivot!$AD$1:$BE$65000,$B747,Y$5)=1,1,IF(INDEX([1]Pivot!$B$1:$AB$65000,$B747,Y$5)="",2,0)),0)</f>
        <v>0</v>
      </c>
      <c r="Z747" s="194">
        <f>IFERROR(IF(INDEX([1]Pivot!$AD$1:$BE$65000,$B747,Z$5)=1,1,IF(INDEX([1]Pivot!$B$1:$AB$65000,$B747,Z$5)="",2,0)),0)</f>
        <v>0</v>
      </c>
      <c r="AA747" s="194">
        <f>IFERROR(IF(INDEX([1]Pivot!$AD$1:$BE$65000,$B747,AA$5)=1,1,IF(INDEX([1]Pivot!$B$1:$AB$65000,$B747,AA$5)="",2,0)),0)</f>
        <v>0</v>
      </c>
      <c r="AB747" s="194">
        <f>IFERROR(IF(INDEX([1]Pivot!$AD$1:$BE$65000,$B747,AB$5)=1,1,IF(INDEX([1]Pivot!$B$1:$AB$65000,$B747,AB$5)="",2,0)),0)</f>
        <v>0</v>
      </c>
      <c r="AC747" s="194">
        <f>IFERROR(IF(INDEX([1]Pivot!$AD$1:$BE$65000,$B747,AC$5)=1,1,IF(INDEX([1]Pivot!$B$1:$AB$65000,$B747,AC$5)="",2,0)),0)</f>
        <v>0</v>
      </c>
      <c r="AD747" s="313">
        <f>IFERROR(IF(INDEX([1]Pivot!$BF$1:$CG$65000,$B747,AD$5)=1,1,IF(INDEX([1]Pivot!$B$1:$AB$65000,$B747,AD$5)="",2,0)),0)</f>
        <v>0</v>
      </c>
      <c r="AE747" s="313">
        <f>IFERROR(IF(INDEX([1]Pivot!$BF$1:$CG$65000,$B747,AE$5)=1,1,IF(INDEX([1]Pivot!$B$1:$AB$65000,$B747,AE$5)="",2,0)),0)</f>
        <v>0</v>
      </c>
      <c r="AF747" s="313">
        <f>IFERROR(IF(INDEX([1]Pivot!$BF$1:$CG$65000,$B747,AF$5)=1,1,IF(INDEX([1]Pivot!$B$1:$AB$65000,$B747,AF$5)="",2,0)),0)</f>
        <v>0</v>
      </c>
      <c r="AG747" s="313">
        <f>IFERROR(IF(INDEX([1]Pivot!$BF$1:$CG$65000,$B747,AG$5)=1,1,IF(INDEX([1]Pivot!$B$1:$AB$65000,$B747,AG$5)="",2,0)),0)</f>
        <v>0</v>
      </c>
      <c r="AH747" s="313">
        <f>IFERROR(IF(INDEX([1]Pivot!$BF$1:$CG$65000,$B747,AH$5)=1,1,IF(INDEX([1]Pivot!$B$1:$AB$65000,$B747,AH$5)="",2,0)),0)</f>
        <v>0</v>
      </c>
      <c r="AI747" s="313">
        <f>IFERROR(IF(INDEX([1]Pivot!$BF$1:$CG$65000,$B747,AI$5)=1,1,IF(INDEX([1]Pivot!$B$1:$AB$65000,$B747,AI$5)="",2,0)),0)</f>
        <v>0</v>
      </c>
      <c r="AJ747" s="313">
        <f>IFERROR(IF(INDEX([1]Pivot!$BF$1:$CG$65000,$B747,AJ$5)=1,1,IF(INDEX([1]Pivot!$B$1:$AB$65000,$B747,AJ$5)="",2,0)),0)</f>
        <v>0</v>
      </c>
      <c r="AK747" s="313">
        <f>IFERROR(IF(INDEX([1]Pivot!$BF$1:$CG$65000,$B747,AK$5)=1,1,IF(INDEX([1]Pivot!$B$1:$AB$65000,$B747,AK$5)="",2,0)),0)</f>
        <v>0</v>
      </c>
      <c r="AL747" s="313">
        <f>IFERROR(IF(INDEX([1]Pivot!$BF$1:$CG$65000,$B747,AL$5)=1,1,IF(INDEX([1]Pivot!$B$1:$AB$65000,$B747,AL$5)="",2,0)),0)</f>
        <v>0</v>
      </c>
      <c r="AM747" s="313">
        <f>IFERROR(IF(INDEX([1]Pivot!$BF$1:$CG$65000,$B747,AM$5)=1,1,IF(INDEX([1]Pivot!$B$1:$AB$65000,$B747,AM$5)="",2,0)),0)</f>
        <v>0</v>
      </c>
      <c r="AN747" s="313">
        <f>IFERROR(IF(INDEX([1]Pivot!$BF$1:$CG$65000,$B747,AN$5)=1,1,IF(INDEX([1]Pivot!$B$1:$AB$65000,$B747,AN$5)="",2,0)),0)</f>
        <v>0</v>
      </c>
      <c r="AO747" s="313">
        <f>IFERROR(IF(INDEX([1]Pivot!$BF$1:$CG$65000,$B747,AO$5)=1,1,IF(INDEX([1]Pivot!$B$1:$AB$65000,$B747,AO$5)="",2,0)),0)</f>
        <v>0</v>
      </c>
      <c r="AP747" s="313">
        <f>IFERROR(IF(INDEX([1]Pivot!$BF$1:$CG$65000,$B747,AP$5)=1,1,IF(INDEX([1]Pivot!$B$1:$AB$65000,$B747,AP$5)="",2,0)),0)</f>
        <v>0</v>
      </c>
      <c r="AQ747" s="313">
        <f>IFERROR(IF(INDEX([1]Pivot!$BF$1:$CG$65000,$B747,AQ$5)=1,1,IF(INDEX([1]Pivot!$B$1:$AB$65000,$B747,AQ$5)="",2,0)),0)</f>
        <v>0</v>
      </c>
      <c r="AR747" s="313">
        <f>IFERROR(IF(INDEX([1]Pivot!$BF$1:$CG$65000,$B747,AR$5)=1,1,IF(INDEX([1]Pivot!$B$1:$AB$65000,$B747,AR$5)="",2,0)),0)</f>
        <v>0</v>
      </c>
      <c r="AS747" s="312"/>
      <c r="AT747" s="313">
        <f>IFERROR(IF(INDEX([1]Pivot!$BF$1:$CG$65000,$B747,AT$5)=1,1,IF(INDEX([1]Pivot!$B$1:$AB$65000,$B747,AT$5)="",2,0)),0)</f>
        <v>0</v>
      </c>
      <c r="AU747" s="313">
        <f>IFERROR(IF(INDEX([1]Pivot!$BF$1:$CG$65000,$B747,AU$5)=1,1,IF(INDEX([1]Pivot!$B$1:$AB$65000,$B747,AU$5)="",2,0)),0)</f>
        <v>0</v>
      </c>
      <c r="AV747" s="313">
        <f>IFERROR(IF(INDEX([1]Pivot!$BF$1:$CG$65000,$B747,AV$5)=1,1,IF(INDEX([1]Pivot!$B$1:$AB$65000,$B747,AV$5)="",2,0)),0)</f>
        <v>0</v>
      </c>
      <c r="AW747" s="313">
        <f>IFERROR(IF(INDEX([1]Pivot!$BF$1:$CG$65000,$B747,AW$5)=1,1,IF(INDEX([1]Pivot!$B$1:$AB$65000,$B747,AW$5)="",2,0)),0)</f>
        <v>0</v>
      </c>
      <c r="AX747" s="313">
        <f>IFERROR(IF(INDEX([1]Pivot!$BF$1:$CG$65000,$B747,AX$5)=1,1,IF(INDEX([1]Pivot!$B$1:$AB$65000,$B747,AX$5)="",2,0)),0)</f>
        <v>0</v>
      </c>
      <c r="AY747" s="313">
        <f>IFERROR(IF(INDEX([1]Pivot!$BF$1:$CG$65000,$B747,AY$5)=1,1,IF(INDEX([1]Pivot!$B$1:$AB$65000,$B747,AY$5)="",2,0)),0)</f>
        <v>0</v>
      </c>
      <c r="AZ747" s="313">
        <f>IFERROR(IF(INDEX([1]Pivot!$BF$1:$CG$65000,$B747,AZ$5)=1,1,IF(INDEX([1]Pivot!$B$1:$AB$65000,$B747,AZ$5)="",2,0)),0)</f>
        <v>0</v>
      </c>
      <c r="BA747" s="313">
        <f>IFERROR(IF(INDEX([1]Pivot!$BF$1:$CG$65000,$B747,BA$5)=1,1,IF(INDEX([1]Pivot!$B$1:$AB$65000,$B747,BA$5)="",2,0)),0)</f>
        <v>0</v>
      </c>
      <c r="BB747" s="313">
        <f>IFERROR(IF(INDEX([1]Pivot!$BF$1:$CG$65000,$B747,BB$5)=1,1,IF(INDEX([1]Pivot!$B$1:$AB$65000,$B747,BB$5)="",2,0)),0)</f>
        <v>0</v>
      </c>
      <c r="BC747" s="313">
        <f>IFERROR(IF(INDEX([1]Pivot!$BF$1:$CG$65000,$B747,BC$5)=1,1,IF(INDEX([1]Pivot!$B$1:$AB$65000,$B747,BC$5)="",2,0)),0)</f>
        <v>0</v>
      </c>
      <c r="BD747" s="313">
        <f>IFERROR(IF(INDEX([1]Pivot!$BF$1:$CG$65000,$B747,BD$5)=1,1,IF(INDEX([1]Pivot!$B$1:$AB$65000,$B747,BD$5)="",2,0)),0)</f>
        <v>0</v>
      </c>
    </row>
    <row r="748" spans="1:56" x14ac:dyDescent="0.25">
      <c r="A748" s="288">
        <f>'[2]Raw Milk Prices'!A748</f>
        <v>0</v>
      </c>
      <c r="B748" s="296" t="e">
        <f>MATCH(DATE(LEFT('[2]Raw Milk Prices'!$A748,4),RIGHT('[2]Raw Milk Prices'!$A748,2),1),[1]Pivot!$A$1:$A$65000,0)</f>
        <v>#VALUE!</v>
      </c>
      <c r="C748" s="194">
        <f>IFERROR(IF(INDEX([1]Pivot!$AD$1:$BE$65000,$B748,C$5)=1,1,IF(INDEX([1]Pivot!$B$1:$AB$65000,$B748,C$5)="",2,0)),0)</f>
        <v>0</v>
      </c>
      <c r="D748" s="194">
        <f>IFERROR(IF(INDEX([1]Pivot!$AD$1:$BE$65000,$B748,D$5)=1,1,IF(INDEX([1]Pivot!$B$1:$AB$65000,$B748,D$5)="",2,0)),0)</f>
        <v>0</v>
      </c>
      <c r="E748" s="194">
        <f>IFERROR(IF(INDEX([1]Pivot!$AD$1:$BE$65000,$B748,E$5)=1,1,IF(INDEX([1]Pivot!$B$1:$AB$65000,$B748,E$5)="",2,0)),0)</f>
        <v>0</v>
      </c>
      <c r="F748" s="194">
        <f>IFERROR(IF(INDEX([1]Pivot!$AD$1:$BE$65000,$B748,F$5)=1,1,IF(INDEX([1]Pivot!$B$1:$AB$65000,$B748,F$5)="",2,0)),0)</f>
        <v>0</v>
      </c>
      <c r="G748" s="194">
        <f>IFERROR(IF(INDEX([1]Pivot!$AD$1:$BE$65000,$B748,G$5)=1,1,IF(INDEX([1]Pivot!$B$1:$AB$65000,$B748,G$5)="",2,0)),0)</f>
        <v>0</v>
      </c>
      <c r="H748" s="194">
        <f>IFERROR(IF(INDEX([1]Pivot!$AD$1:$BE$65000,$B748,H$5)=1,1,IF(INDEX([1]Pivot!$B$1:$AB$65000,$B748,H$5)="",2,0)),0)</f>
        <v>0</v>
      </c>
      <c r="I748" s="194">
        <f>IFERROR(IF(INDEX([1]Pivot!$AD$1:$BE$65000,$B748,I$5)=1,1,IF(INDEX([1]Pivot!$B$1:$AB$65000,$B748,I$5)="",2,0)),0)</f>
        <v>0</v>
      </c>
      <c r="J748" s="194">
        <f>IFERROR(IF(INDEX([1]Pivot!$AD$1:$BE$65000,$B748,J$5)=1,1,IF(INDEX([1]Pivot!$B$1:$AB$65000,$B748,J$5)="",2,0)),0)</f>
        <v>0</v>
      </c>
      <c r="K748" s="194">
        <f>IFERROR(IF(INDEX([1]Pivot!$AD$1:$BE$65000,$B748,K$5)=1,1,IF(INDEX([1]Pivot!$B$1:$AB$65000,$B748,K$5)="",2,0)),0)</f>
        <v>0</v>
      </c>
      <c r="L748" s="194">
        <f>IFERROR(IF(INDEX([1]Pivot!$AD$1:$BE$65000,$B748,L$5)=1,1,IF(INDEX([1]Pivot!$B$1:$AB$65000,$B748,L$5)="",2,0)),0)</f>
        <v>0</v>
      </c>
      <c r="M748" s="194">
        <f>IFERROR(IF(INDEX([1]Pivot!$AD$1:$BE$65000,$B748,M$5)=1,1,IF(INDEX([1]Pivot!$B$1:$AB$65000,$B748,M$5)="",2,0)),0)</f>
        <v>0</v>
      </c>
      <c r="N748" s="194">
        <f>IFERROR(IF(INDEX([1]Pivot!$AD$1:$BE$65000,$B748,N$5)=1,1,IF(INDEX([1]Pivot!$B$1:$AB$65000,$B748,N$5)="",2,0)),0)</f>
        <v>0</v>
      </c>
      <c r="O748" s="194">
        <f>IFERROR(IF(INDEX([1]Pivot!$AD$1:$BE$65000,$B748,O$5)=1,1,IF(INDEX([1]Pivot!$B$1:$AB$65000,$B748,O$5)="",2,0)),0)</f>
        <v>0</v>
      </c>
      <c r="P748" s="194">
        <f>IFERROR(IF(INDEX([1]Pivot!$AD$1:$BE$65000,$B748,P$5)=1,1,IF(INDEX([1]Pivot!$B$1:$AB$65000,$B748,P$5)="",2,0)),0)</f>
        <v>0</v>
      </c>
      <c r="Q748" s="194">
        <f>IFERROR(IF(INDEX([1]Pivot!$AD$1:$BE$65000,$B748,Q$5)=1,1,IF(INDEX([1]Pivot!$B$1:$AB$65000,$B748,Q$5)="",2,0)),0)</f>
        <v>0</v>
      </c>
      <c r="R748" s="312"/>
      <c r="S748" s="194">
        <f>IFERROR(IF(INDEX([1]Pivot!$AD$1:$BE$65000,$B748,S$5)=1,1,IF(INDEX([1]Pivot!$B$1:$AB$65000,$B748,S$5)="",2,0)),0)</f>
        <v>0</v>
      </c>
      <c r="T748" s="194">
        <f>IFERROR(IF(INDEX([1]Pivot!$AD$1:$BE$65000,$B748,T$5)=1,1,IF(INDEX([1]Pivot!$B$1:$AB$65000,$B748,T$5)="",2,0)),0)</f>
        <v>0</v>
      </c>
      <c r="U748" s="194">
        <f>IFERROR(IF(INDEX([1]Pivot!$AD$1:$BE$65000,$B748,U$5)=1,1,IF(INDEX([1]Pivot!$B$1:$AB$65000,$B748,U$5)="",2,0)),0)</f>
        <v>0</v>
      </c>
      <c r="V748" s="194">
        <f>IFERROR(IF(INDEX([1]Pivot!$AD$1:$BE$65000,$B748,V$5)=1,1,IF(INDEX([1]Pivot!$B$1:$AB$65000,$B748,V$5)="",2,0)),0)</f>
        <v>0</v>
      </c>
      <c r="W748" s="194">
        <f>IFERROR(IF(INDEX([1]Pivot!$AD$1:$BE$65000,$B748,W$5)=1,1,IF(INDEX([1]Pivot!$B$1:$AB$65000,$B748,W$5)="",2,0)),0)</f>
        <v>0</v>
      </c>
      <c r="X748" s="194">
        <f>IFERROR(IF(INDEX([1]Pivot!$AD$1:$BE$65000,$B748,X$5)=1,1,IF(INDEX([1]Pivot!$B$1:$AB$65000,$B748,X$5)="",2,0)),0)</f>
        <v>0</v>
      </c>
      <c r="Y748" s="194">
        <f>IFERROR(IF(INDEX([1]Pivot!$AD$1:$BE$65000,$B748,Y$5)=1,1,IF(INDEX([1]Pivot!$B$1:$AB$65000,$B748,Y$5)="",2,0)),0)</f>
        <v>0</v>
      </c>
      <c r="Z748" s="194">
        <f>IFERROR(IF(INDEX([1]Pivot!$AD$1:$BE$65000,$B748,Z$5)=1,1,IF(INDEX([1]Pivot!$B$1:$AB$65000,$B748,Z$5)="",2,0)),0)</f>
        <v>0</v>
      </c>
      <c r="AA748" s="194">
        <f>IFERROR(IF(INDEX([1]Pivot!$AD$1:$BE$65000,$B748,AA$5)=1,1,IF(INDEX([1]Pivot!$B$1:$AB$65000,$B748,AA$5)="",2,0)),0)</f>
        <v>0</v>
      </c>
      <c r="AB748" s="194">
        <f>IFERROR(IF(INDEX([1]Pivot!$AD$1:$BE$65000,$B748,AB$5)=1,1,IF(INDEX([1]Pivot!$B$1:$AB$65000,$B748,AB$5)="",2,0)),0)</f>
        <v>0</v>
      </c>
      <c r="AC748" s="194">
        <f>IFERROR(IF(INDEX([1]Pivot!$AD$1:$BE$65000,$B748,AC$5)=1,1,IF(INDEX([1]Pivot!$B$1:$AB$65000,$B748,AC$5)="",2,0)),0)</f>
        <v>0</v>
      </c>
      <c r="AD748" s="313">
        <f>IFERROR(IF(INDEX([1]Pivot!$BF$1:$CG$65000,$B748,AD$5)=1,1,IF(INDEX([1]Pivot!$B$1:$AB$65000,$B748,AD$5)="",2,0)),0)</f>
        <v>0</v>
      </c>
      <c r="AE748" s="313">
        <f>IFERROR(IF(INDEX([1]Pivot!$BF$1:$CG$65000,$B748,AE$5)=1,1,IF(INDEX([1]Pivot!$B$1:$AB$65000,$B748,AE$5)="",2,0)),0)</f>
        <v>0</v>
      </c>
      <c r="AF748" s="313">
        <f>IFERROR(IF(INDEX([1]Pivot!$BF$1:$CG$65000,$B748,AF$5)=1,1,IF(INDEX([1]Pivot!$B$1:$AB$65000,$B748,AF$5)="",2,0)),0)</f>
        <v>0</v>
      </c>
      <c r="AG748" s="313">
        <f>IFERROR(IF(INDEX([1]Pivot!$BF$1:$CG$65000,$B748,AG$5)=1,1,IF(INDEX([1]Pivot!$B$1:$AB$65000,$B748,AG$5)="",2,0)),0)</f>
        <v>0</v>
      </c>
      <c r="AH748" s="313">
        <f>IFERROR(IF(INDEX([1]Pivot!$BF$1:$CG$65000,$B748,AH$5)=1,1,IF(INDEX([1]Pivot!$B$1:$AB$65000,$B748,AH$5)="",2,0)),0)</f>
        <v>0</v>
      </c>
      <c r="AI748" s="313">
        <f>IFERROR(IF(INDEX([1]Pivot!$BF$1:$CG$65000,$B748,AI$5)=1,1,IF(INDEX([1]Pivot!$B$1:$AB$65000,$B748,AI$5)="",2,0)),0)</f>
        <v>0</v>
      </c>
      <c r="AJ748" s="313">
        <f>IFERROR(IF(INDEX([1]Pivot!$BF$1:$CG$65000,$B748,AJ$5)=1,1,IF(INDEX([1]Pivot!$B$1:$AB$65000,$B748,AJ$5)="",2,0)),0)</f>
        <v>0</v>
      </c>
      <c r="AK748" s="313">
        <f>IFERROR(IF(INDEX([1]Pivot!$BF$1:$CG$65000,$B748,AK$5)=1,1,IF(INDEX([1]Pivot!$B$1:$AB$65000,$B748,AK$5)="",2,0)),0)</f>
        <v>0</v>
      </c>
      <c r="AL748" s="313">
        <f>IFERROR(IF(INDEX([1]Pivot!$BF$1:$CG$65000,$B748,AL$5)=1,1,IF(INDEX([1]Pivot!$B$1:$AB$65000,$B748,AL$5)="",2,0)),0)</f>
        <v>0</v>
      </c>
      <c r="AM748" s="313">
        <f>IFERROR(IF(INDEX([1]Pivot!$BF$1:$CG$65000,$B748,AM$5)=1,1,IF(INDEX([1]Pivot!$B$1:$AB$65000,$B748,AM$5)="",2,0)),0)</f>
        <v>0</v>
      </c>
      <c r="AN748" s="313">
        <f>IFERROR(IF(INDEX([1]Pivot!$BF$1:$CG$65000,$B748,AN$5)=1,1,IF(INDEX([1]Pivot!$B$1:$AB$65000,$B748,AN$5)="",2,0)),0)</f>
        <v>0</v>
      </c>
      <c r="AO748" s="313">
        <f>IFERROR(IF(INDEX([1]Pivot!$BF$1:$CG$65000,$B748,AO$5)=1,1,IF(INDEX([1]Pivot!$B$1:$AB$65000,$B748,AO$5)="",2,0)),0)</f>
        <v>0</v>
      </c>
      <c r="AP748" s="313">
        <f>IFERROR(IF(INDEX([1]Pivot!$BF$1:$CG$65000,$B748,AP$5)=1,1,IF(INDEX([1]Pivot!$B$1:$AB$65000,$B748,AP$5)="",2,0)),0)</f>
        <v>0</v>
      </c>
      <c r="AQ748" s="313">
        <f>IFERROR(IF(INDEX([1]Pivot!$BF$1:$CG$65000,$B748,AQ$5)=1,1,IF(INDEX([1]Pivot!$B$1:$AB$65000,$B748,AQ$5)="",2,0)),0)</f>
        <v>0</v>
      </c>
      <c r="AR748" s="313">
        <f>IFERROR(IF(INDEX([1]Pivot!$BF$1:$CG$65000,$B748,AR$5)=1,1,IF(INDEX([1]Pivot!$B$1:$AB$65000,$B748,AR$5)="",2,0)),0)</f>
        <v>0</v>
      </c>
      <c r="AS748" s="312"/>
      <c r="AT748" s="313">
        <f>IFERROR(IF(INDEX([1]Pivot!$BF$1:$CG$65000,$B748,AT$5)=1,1,IF(INDEX([1]Pivot!$B$1:$AB$65000,$B748,AT$5)="",2,0)),0)</f>
        <v>0</v>
      </c>
      <c r="AU748" s="313">
        <f>IFERROR(IF(INDEX([1]Pivot!$BF$1:$CG$65000,$B748,AU$5)=1,1,IF(INDEX([1]Pivot!$B$1:$AB$65000,$B748,AU$5)="",2,0)),0)</f>
        <v>0</v>
      </c>
      <c r="AV748" s="313">
        <f>IFERROR(IF(INDEX([1]Pivot!$BF$1:$CG$65000,$B748,AV$5)=1,1,IF(INDEX([1]Pivot!$B$1:$AB$65000,$B748,AV$5)="",2,0)),0)</f>
        <v>0</v>
      </c>
      <c r="AW748" s="313">
        <f>IFERROR(IF(INDEX([1]Pivot!$BF$1:$CG$65000,$B748,AW$5)=1,1,IF(INDEX([1]Pivot!$B$1:$AB$65000,$B748,AW$5)="",2,0)),0)</f>
        <v>0</v>
      </c>
      <c r="AX748" s="313">
        <f>IFERROR(IF(INDEX([1]Pivot!$BF$1:$CG$65000,$B748,AX$5)=1,1,IF(INDEX([1]Pivot!$B$1:$AB$65000,$B748,AX$5)="",2,0)),0)</f>
        <v>0</v>
      </c>
      <c r="AY748" s="313">
        <f>IFERROR(IF(INDEX([1]Pivot!$BF$1:$CG$65000,$B748,AY$5)=1,1,IF(INDEX([1]Pivot!$B$1:$AB$65000,$B748,AY$5)="",2,0)),0)</f>
        <v>0</v>
      </c>
      <c r="AZ748" s="313">
        <f>IFERROR(IF(INDEX([1]Pivot!$BF$1:$CG$65000,$B748,AZ$5)=1,1,IF(INDEX([1]Pivot!$B$1:$AB$65000,$B748,AZ$5)="",2,0)),0)</f>
        <v>0</v>
      </c>
      <c r="BA748" s="313">
        <f>IFERROR(IF(INDEX([1]Pivot!$BF$1:$CG$65000,$B748,BA$5)=1,1,IF(INDEX([1]Pivot!$B$1:$AB$65000,$B748,BA$5)="",2,0)),0)</f>
        <v>0</v>
      </c>
      <c r="BB748" s="313">
        <f>IFERROR(IF(INDEX([1]Pivot!$BF$1:$CG$65000,$B748,BB$5)=1,1,IF(INDEX([1]Pivot!$B$1:$AB$65000,$B748,BB$5)="",2,0)),0)</f>
        <v>0</v>
      </c>
      <c r="BC748" s="313">
        <f>IFERROR(IF(INDEX([1]Pivot!$BF$1:$CG$65000,$B748,BC$5)=1,1,IF(INDEX([1]Pivot!$B$1:$AB$65000,$B748,BC$5)="",2,0)),0)</f>
        <v>0</v>
      </c>
      <c r="BD748" s="313">
        <f>IFERROR(IF(INDEX([1]Pivot!$BF$1:$CG$65000,$B748,BD$5)=1,1,IF(INDEX([1]Pivot!$B$1:$AB$65000,$B748,BD$5)="",2,0)),0)</f>
        <v>0</v>
      </c>
    </row>
    <row r="749" spans="1:56" x14ac:dyDescent="0.25">
      <c r="A749" s="288">
        <f>'[2]Raw Milk Prices'!A749</f>
        <v>0</v>
      </c>
      <c r="B749" s="296" t="e">
        <f>MATCH(DATE(LEFT('[2]Raw Milk Prices'!$A749,4),RIGHT('[2]Raw Milk Prices'!$A749,2),1),[1]Pivot!$A$1:$A$65000,0)</f>
        <v>#VALUE!</v>
      </c>
      <c r="C749" s="194">
        <f>IFERROR(IF(INDEX([1]Pivot!$AD$1:$BE$65000,$B749,C$5)=1,1,IF(INDEX([1]Pivot!$B$1:$AB$65000,$B749,C$5)="",2,0)),0)</f>
        <v>0</v>
      </c>
      <c r="D749" s="194">
        <f>IFERROR(IF(INDEX([1]Pivot!$AD$1:$BE$65000,$B749,D$5)=1,1,IF(INDEX([1]Pivot!$B$1:$AB$65000,$B749,D$5)="",2,0)),0)</f>
        <v>0</v>
      </c>
      <c r="E749" s="194">
        <f>IFERROR(IF(INDEX([1]Pivot!$AD$1:$BE$65000,$B749,E$5)=1,1,IF(INDEX([1]Pivot!$B$1:$AB$65000,$B749,E$5)="",2,0)),0)</f>
        <v>0</v>
      </c>
      <c r="F749" s="194">
        <f>IFERROR(IF(INDEX([1]Pivot!$AD$1:$BE$65000,$B749,F$5)=1,1,IF(INDEX([1]Pivot!$B$1:$AB$65000,$B749,F$5)="",2,0)),0)</f>
        <v>0</v>
      </c>
      <c r="G749" s="194">
        <f>IFERROR(IF(INDEX([1]Pivot!$AD$1:$BE$65000,$B749,G$5)=1,1,IF(INDEX([1]Pivot!$B$1:$AB$65000,$B749,G$5)="",2,0)),0)</f>
        <v>0</v>
      </c>
      <c r="H749" s="194">
        <f>IFERROR(IF(INDEX([1]Pivot!$AD$1:$BE$65000,$B749,H$5)=1,1,IF(INDEX([1]Pivot!$B$1:$AB$65000,$B749,H$5)="",2,0)),0)</f>
        <v>0</v>
      </c>
      <c r="I749" s="194">
        <f>IFERROR(IF(INDEX([1]Pivot!$AD$1:$BE$65000,$B749,I$5)=1,1,IF(INDEX([1]Pivot!$B$1:$AB$65000,$B749,I$5)="",2,0)),0)</f>
        <v>0</v>
      </c>
      <c r="J749" s="194">
        <f>IFERROR(IF(INDEX([1]Pivot!$AD$1:$BE$65000,$B749,J$5)=1,1,IF(INDEX([1]Pivot!$B$1:$AB$65000,$B749,J$5)="",2,0)),0)</f>
        <v>0</v>
      </c>
      <c r="K749" s="194">
        <f>IFERROR(IF(INDEX([1]Pivot!$AD$1:$BE$65000,$B749,K$5)=1,1,IF(INDEX([1]Pivot!$B$1:$AB$65000,$B749,K$5)="",2,0)),0)</f>
        <v>0</v>
      </c>
      <c r="L749" s="194">
        <f>IFERROR(IF(INDEX([1]Pivot!$AD$1:$BE$65000,$B749,L$5)=1,1,IF(INDEX([1]Pivot!$B$1:$AB$65000,$B749,L$5)="",2,0)),0)</f>
        <v>0</v>
      </c>
      <c r="M749" s="194">
        <f>IFERROR(IF(INDEX([1]Pivot!$AD$1:$BE$65000,$B749,M$5)=1,1,IF(INDEX([1]Pivot!$B$1:$AB$65000,$B749,M$5)="",2,0)),0)</f>
        <v>0</v>
      </c>
      <c r="N749" s="194">
        <f>IFERROR(IF(INDEX([1]Pivot!$AD$1:$BE$65000,$B749,N$5)=1,1,IF(INDEX([1]Pivot!$B$1:$AB$65000,$B749,N$5)="",2,0)),0)</f>
        <v>0</v>
      </c>
      <c r="O749" s="194">
        <f>IFERROR(IF(INDEX([1]Pivot!$AD$1:$BE$65000,$B749,O$5)=1,1,IF(INDEX([1]Pivot!$B$1:$AB$65000,$B749,O$5)="",2,0)),0)</f>
        <v>0</v>
      </c>
      <c r="P749" s="194">
        <f>IFERROR(IF(INDEX([1]Pivot!$AD$1:$BE$65000,$B749,P$5)=1,1,IF(INDEX([1]Pivot!$B$1:$AB$65000,$B749,P$5)="",2,0)),0)</f>
        <v>0</v>
      </c>
      <c r="Q749" s="194">
        <f>IFERROR(IF(INDEX([1]Pivot!$AD$1:$BE$65000,$B749,Q$5)=1,1,IF(INDEX([1]Pivot!$B$1:$AB$65000,$B749,Q$5)="",2,0)),0)</f>
        <v>0</v>
      </c>
      <c r="R749" s="312"/>
      <c r="S749" s="194">
        <f>IFERROR(IF(INDEX([1]Pivot!$AD$1:$BE$65000,$B749,S$5)=1,1,IF(INDEX([1]Pivot!$B$1:$AB$65000,$B749,S$5)="",2,0)),0)</f>
        <v>0</v>
      </c>
      <c r="T749" s="194">
        <f>IFERROR(IF(INDEX([1]Pivot!$AD$1:$BE$65000,$B749,T$5)=1,1,IF(INDEX([1]Pivot!$B$1:$AB$65000,$B749,T$5)="",2,0)),0)</f>
        <v>0</v>
      </c>
      <c r="U749" s="194">
        <f>IFERROR(IF(INDEX([1]Pivot!$AD$1:$BE$65000,$B749,U$5)=1,1,IF(INDEX([1]Pivot!$B$1:$AB$65000,$B749,U$5)="",2,0)),0)</f>
        <v>0</v>
      </c>
      <c r="V749" s="194">
        <f>IFERROR(IF(INDEX([1]Pivot!$AD$1:$BE$65000,$B749,V$5)=1,1,IF(INDEX([1]Pivot!$B$1:$AB$65000,$B749,V$5)="",2,0)),0)</f>
        <v>0</v>
      </c>
      <c r="W749" s="194">
        <f>IFERROR(IF(INDEX([1]Pivot!$AD$1:$BE$65000,$B749,W$5)=1,1,IF(INDEX([1]Pivot!$B$1:$AB$65000,$B749,W$5)="",2,0)),0)</f>
        <v>0</v>
      </c>
      <c r="X749" s="194">
        <f>IFERROR(IF(INDEX([1]Pivot!$AD$1:$BE$65000,$B749,X$5)=1,1,IF(INDEX([1]Pivot!$B$1:$AB$65000,$B749,X$5)="",2,0)),0)</f>
        <v>0</v>
      </c>
      <c r="Y749" s="194">
        <f>IFERROR(IF(INDEX([1]Pivot!$AD$1:$BE$65000,$B749,Y$5)=1,1,IF(INDEX([1]Pivot!$B$1:$AB$65000,$B749,Y$5)="",2,0)),0)</f>
        <v>0</v>
      </c>
      <c r="Z749" s="194">
        <f>IFERROR(IF(INDEX([1]Pivot!$AD$1:$BE$65000,$B749,Z$5)=1,1,IF(INDEX([1]Pivot!$B$1:$AB$65000,$B749,Z$5)="",2,0)),0)</f>
        <v>0</v>
      </c>
      <c r="AA749" s="194">
        <f>IFERROR(IF(INDEX([1]Pivot!$AD$1:$BE$65000,$B749,AA$5)=1,1,IF(INDEX([1]Pivot!$B$1:$AB$65000,$B749,AA$5)="",2,0)),0)</f>
        <v>0</v>
      </c>
      <c r="AB749" s="194">
        <f>IFERROR(IF(INDEX([1]Pivot!$AD$1:$BE$65000,$B749,AB$5)=1,1,IF(INDEX([1]Pivot!$B$1:$AB$65000,$B749,AB$5)="",2,0)),0)</f>
        <v>0</v>
      </c>
      <c r="AC749" s="194">
        <f>IFERROR(IF(INDEX([1]Pivot!$AD$1:$BE$65000,$B749,AC$5)=1,1,IF(INDEX([1]Pivot!$B$1:$AB$65000,$B749,AC$5)="",2,0)),0)</f>
        <v>0</v>
      </c>
      <c r="AD749" s="313">
        <f>IFERROR(IF(INDEX([1]Pivot!$BF$1:$CG$65000,$B749,AD$5)=1,1,IF(INDEX([1]Pivot!$B$1:$AB$65000,$B749,AD$5)="",2,0)),0)</f>
        <v>0</v>
      </c>
      <c r="AE749" s="313">
        <f>IFERROR(IF(INDEX([1]Pivot!$BF$1:$CG$65000,$B749,AE$5)=1,1,IF(INDEX([1]Pivot!$B$1:$AB$65000,$B749,AE$5)="",2,0)),0)</f>
        <v>0</v>
      </c>
      <c r="AF749" s="313">
        <f>IFERROR(IF(INDEX([1]Pivot!$BF$1:$CG$65000,$B749,AF$5)=1,1,IF(INDEX([1]Pivot!$B$1:$AB$65000,$B749,AF$5)="",2,0)),0)</f>
        <v>0</v>
      </c>
      <c r="AG749" s="313">
        <f>IFERROR(IF(INDEX([1]Pivot!$BF$1:$CG$65000,$B749,AG$5)=1,1,IF(INDEX([1]Pivot!$B$1:$AB$65000,$B749,AG$5)="",2,0)),0)</f>
        <v>0</v>
      </c>
      <c r="AH749" s="313">
        <f>IFERROR(IF(INDEX([1]Pivot!$BF$1:$CG$65000,$B749,AH$5)=1,1,IF(INDEX([1]Pivot!$B$1:$AB$65000,$B749,AH$5)="",2,0)),0)</f>
        <v>0</v>
      </c>
      <c r="AI749" s="313">
        <f>IFERROR(IF(INDEX([1]Pivot!$BF$1:$CG$65000,$B749,AI$5)=1,1,IF(INDEX([1]Pivot!$B$1:$AB$65000,$B749,AI$5)="",2,0)),0)</f>
        <v>0</v>
      </c>
      <c r="AJ749" s="313">
        <f>IFERROR(IF(INDEX([1]Pivot!$BF$1:$CG$65000,$B749,AJ$5)=1,1,IF(INDEX([1]Pivot!$B$1:$AB$65000,$B749,AJ$5)="",2,0)),0)</f>
        <v>0</v>
      </c>
      <c r="AK749" s="313">
        <f>IFERROR(IF(INDEX([1]Pivot!$BF$1:$CG$65000,$B749,AK$5)=1,1,IF(INDEX([1]Pivot!$B$1:$AB$65000,$B749,AK$5)="",2,0)),0)</f>
        <v>0</v>
      </c>
      <c r="AL749" s="313">
        <f>IFERROR(IF(INDEX([1]Pivot!$BF$1:$CG$65000,$B749,AL$5)=1,1,IF(INDEX([1]Pivot!$B$1:$AB$65000,$B749,AL$5)="",2,0)),0)</f>
        <v>0</v>
      </c>
      <c r="AM749" s="313">
        <f>IFERROR(IF(INDEX([1]Pivot!$BF$1:$CG$65000,$B749,AM$5)=1,1,IF(INDEX([1]Pivot!$B$1:$AB$65000,$B749,AM$5)="",2,0)),0)</f>
        <v>0</v>
      </c>
      <c r="AN749" s="313">
        <f>IFERROR(IF(INDEX([1]Pivot!$BF$1:$CG$65000,$B749,AN$5)=1,1,IF(INDEX([1]Pivot!$B$1:$AB$65000,$B749,AN$5)="",2,0)),0)</f>
        <v>0</v>
      </c>
      <c r="AO749" s="313">
        <f>IFERROR(IF(INDEX([1]Pivot!$BF$1:$CG$65000,$B749,AO$5)=1,1,IF(INDEX([1]Pivot!$B$1:$AB$65000,$B749,AO$5)="",2,0)),0)</f>
        <v>0</v>
      </c>
      <c r="AP749" s="313">
        <f>IFERROR(IF(INDEX([1]Pivot!$BF$1:$CG$65000,$B749,AP$5)=1,1,IF(INDEX([1]Pivot!$B$1:$AB$65000,$B749,AP$5)="",2,0)),0)</f>
        <v>0</v>
      </c>
      <c r="AQ749" s="313">
        <f>IFERROR(IF(INDEX([1]Pivot!$BF$1:$CG$65000,$B749,AQ$5)=1,1,IF(INDEX([1]Pivot!$B$1:$AB$65000,$B749,AQ$5)="",2,0)),0)</f>
        <v>0</v>
      </c>
      <c r="AR749" s="313">
        <f>IFERROR(IF(INDEX([1]Pivot!$BF$1:$CG$65000,$B749,AR$5)=1,1,IF(INDEX([1]Pivot!$B$1:$AB$65000,$B749,AR$5)="",2,0)),0)</f>
        <v>0</v>
      </c>
      <c r="AS749" s="312"/>
      <c r="AT749" s="313">
        <f>IFERROR(IF(INDEX([1]Pivot!$BF$1:$CG$65000,$B749,AT$5)=1,1,IF(INDEX([1]Pivot!$B$1:$AB$65000,$B749,AT$5)="",2,0)),0)</f>
        <v>0</v>
      </c>
      <c r="AU749" s="313">
        <f>IFERROR(IF(INDEX([1]Pivot!$BF$1:$CG$65000,$B749,AU$5)=1,1,IF(INDEX([1]Pivot!$B$1:$AB$65000,$B749,AU$5)="",2,0)),0)</f>
        <v>0</v>
      </c>
      <c r="AV749" s="313">
        <f>IFERROR(IF(INDEX([1]Pivot!$BF$1:$CG$65000,$B749,AV$5)=1,1,IF(INDEX([1]Pivot!$B$1:$AB$65000,$B749,AV$5)="",2,0)),0)</f>
        <v>0</v>
      </c>
      <c r="AW749" s="313">
        <f>IFERROR(IF(INDEX([1]Pivot!$BF$1:$CG$65000,$B749,AW$5)=1,1,IF(INDEX([1]Pivot!$B$1:$AB$65000,$B749,AW$5)="",2,0)),0)</f>
        <v>0</v>
      </c>
      <c r="AX749" s="313">
        <f>IFERROR(IF(INDEX([1]Pivot!$BF$1:$CG$65000,$B749,AX$5)=1,1,IF(INDEX([1]Pivot!$B$1:$AB$65000,$B749,AX$5)="",2,0)),0)</f>
        <v>0</v>
      </c>
      <c r="AY749" s="313">
        <f>IFERROR(IF(INDEX([1]Pivot!$BF$1:$CG$65000,$B749,AY$5)=1,1,IF(INDEX([1]Pivot!$B$1:$AB$65000,$B749,AY$5)="",2,0)),0)</f>
        <v>0</v>
      </c>
      <c r="AZ749" s="313">
        <f>IFERROR(IF(INDEX([1]Pivot!$BF$1:$CG$65000,$B749,AZ$5)=1,1,IF(INDEX([1]Pivot!$B$1:$AB$65000,$B749,AZ$5)="",2,0)),0)</f>
        <v>0</v>
      </c>
      <c r="BA749" s="313">
        <f>IFERROR(IF(INDEX([1]Pivot!$BF$1:$CG$65000,$B749,BA$5)=1,1,IF(INDEX([1]Pivot!$B$1:$AB$65000,$B749,BA$5)="",2,0)),0)</f>
        <v>0</v>
      </c>
      <c r="BB749" s="313">
        <f>IFERROR(IF(INDEX([1]Pivot!$BF$1:$CG$65000,$B749,BB$5)=1,1,IF(INDEX([1]Pivot!$B$1:$AB$65000,$B749,BB$5)="",2,0)),0)</f>
        <v>0</v>
      </c>
      <c r="BC749" s="313">
        <f>IFERROR(IF(INDEX([1]Pivot!$BF$1:$CG$65000,$B749,BC$5)=1,1,IF(INDEX([1]Pivot!$B$1:$AB$65000,$B749,BC$5)="",2,0)),0)</f>
        <v>0</v>
      </c>
      <c r="BD749" s="313">
        <f>IFERROR(IF(INDEX([1]Pivot!$BF$1:$CG$65000,$B749,BD$5)=1,1,IF(INDEX([1]Pivot!$B$1:$AB$65000,$B749,BD$5)="",2,0)),0)</f>
        <v>0</v>
      </c>
    </row>
    <row r="750" spans="1:56" x14ac:dyDescent="0.25">
      <c r="A750" s="288">
        <f>'[2]Raw Milk Prices'!A750</f>
        <v>0</v>
      </c>
      <c r="B750" s="296" t="e">
        <f>MATCH(DATE(LEFT('[2]Raw Milk Prices'!$A750,4),RIGHT('[2]Raw Milk Prices'!$A750,2),1),[1]Pivot!$A$1:$A$65000,0)</f>
        <v>#VALUE!</v>
      </c>
      <c r="C750" s="194">
        <f>IFERROR(IF(INDEX([1]Pivot!$AD$1:$BE$65000,$B750,C$5)=1,1,IF(INDEX([1]Pivot!$B$1:$AB$65000,$B750,C$5)="",2,0)),0)</f>
        <v>0</v>
      </c>
      <c r="D750" s="194">
        <f>IFERROR(IF(INDEX([1]Pivot!$AD$1:$BE$65000,$B750,D$5)=1,1,IF(INDEX([1]Pivot!$B$1:$AB$65000,$B750,D$5)="",2,0)),0)</f>
        <v>0</v>
      </c>
      <c r="E750" s="194">
        <f>IFERROR(IF(INDEX([1]Pivot!$AD$1:$BE$65000,$B750,E$5)=1,1,IF(INDEX([1]Pivot!$B$1:$AB$65000,$B750,E$5)="",2,0)),0)</f>
        <v>0</v>
      </c>
      <c r="F750" s="194">
        <f>IFERROR(IF(INDEX([1]Pivot!$AD$1:$BE$65000,$B750,F$5)=1,1,IF(INDEX([1]Pivot!$B$1:$AB$65000,$B750,F$5)="",2,0)),0)</f>
        <v>0</v>
      </c>
      <c r="G750" s="194">
        <f>IFERROR(IF(INDEX([1]Pivot!$AD$1:$BE$65000,$B750,G$5)=1,1,IF(INDEX([1]Pivot!$B$1:$AB$65000,$B750,G$5)="",2,0)),0)</f>
        <v>0</v>
      </c>
      <c r="H750" s="194">
        <f>IFERROR(IF(INDEX([1]Pivot!$AD$1:$BE$65000,$B750,H$5)=1,1,IF(INDEX([1]Pivot!$B$1:$AB$65000,$B750,H$5)="",2,0)),0)</f>
        <v>0</v>
      </c>
      <c r="I750" s="194">
        <f>IFERROR(IF(INDEX([1]Pivot!$AD$1:$BE$65000,$B750,I$5)=1,1,IF(INDEX([1]Pivot!$B$1:$AB$65000,$B750,I$5)="",2,0)),0)</f>
        <v>0</v>
      </c>
      <c r="J750" s="194">
        <f>IFERROR(IF(INDEX([1]Pivot!$AD$1:$BE$65000,$B750,J$5)=1,1,IF(INDEX([1]Pivot!$B$1:$AB$65000,$B750,J$5)="",2,0)),0)</f>
        <v>0</v>
      </c>
      <c r="K750" s="194">
        <f>IFERROR(IF(INDEX([1]Pivot!$AD$1:$BE$65000,$B750,K$5)=1,1,IF(INDEX([1]Pivot!$B$1:$AB$65000,$B750,K$5)="",2,0)),0)</f>
        <v>0</v>
      </c>
      <c r="L750" s="194">
        <f>IFERROR(IF(INDEX([1]Pivot!$AD$1:$BE$65000,$B750,L$5)=1,1,IF(INDEX([1]Pivot!$B$1:$AB$65000,$B750,L$5)="",2,0)),0)</f>
        <v>0</v>
      </c>
      <c r="M750" s="194">
        <f>IFERROR(IF(INDEX([1]Pivot!$AD$1:$BE$65000,$B750,M$5)=1,1,IF(INDEX([1]Pivot!$B$1:$AB$65000,$B750,M$5)="",2,0)),0)</f>
        <v>0</v>
      </c>
      <c r="N750" s="194">
        <f>IFERROR(IF(INDEX([1]Pivot!$AD$1:$BE$65000,$B750,N$5)=1,1,IF(INDEX([1]Pivot!$B$1:$AB$65000,$B750,N$5)="",2,0)),0)</f>
        <v>0</v>
      </c>
      <c r="O750" s="194">
        <f>IFERROR(IF(INDEX([1]Pivot!$AD$1:$BE$65000,$B750,O$5)=1,1,IF(INDEX([1]Pivot!$B$1:$AB$65000,$B750,O$5)="",2,0)),0)</f>
        <v>0</v>
      </c>
      <c r="P750" s="194">
        <f>IFERROR(IF(INDEX([1]Pivot!$AD$1:$BE$65000,$B750,P$5)=1,1,IF(INDEX([1]Pivot!$B$1:$AB$65000,$B750,P$5)="",2,0)),0)</f>
        <v>0</v>
      </c>
      <c r="Q750" s="194">
        <f>IFERROR(IF(INDEX([1]Pivot!$AD$1:$BE$65000,$B750,Q$5)=1,1,IF(INDEX([1]Pivot!$B$1:$AB$65000,$B750,Q$5)="",2,0)),0)</f>
        <v>0</v>
      </c>
      <c r="R750" s="312"/>
      <c r="S750" s="194">
        <f>IFERROR(IF(INDEX([1]Pivot!$AD$1:$BE$65000,$B750,S$5)=1,1,IF(INDEX([1]Pivot!$B$1:$AB$65000,$B750,S$5)="",2,0)),0)</f>
        <v>0</v>
      </c>
      <c r="T750" s="194">
        <f>IFERROR(IF(INDEX([1]Pivot!$AD$1:$BE$65000,$B750,T$5)=1,1,IF(INDEX([1]Pivot!$B$1:$AB$65000,$B750,T$5)="",2,0)),0)</f>
        <v>0</v>
      </c>
      <c r="U750" s="194">
        <f>IFERROR(IF(INDEX([1]Pivot!$AD$1:$BE$65000,$B750,U$5)=1,1,IF(INDEX([1]Pivot!$B$1:$AB$65000,$B750,U$5)="",2,0)),0)</f>
        <v>0</v>
      </c>
      <c r="V750" s="194">
        <f>IFERROR(IF(INDEX([1]Pivot!$AD$1:$BE$65000,$B750,V$5)=1,1,IF(INDEX([1]Pivot!$B$1:$AB$65000,$B750,V$5)="",2,0)),0)</f>
        <v>0</v>
      </c>
      <c r="W750" s="194">
        <f>IFERROR(IF(INDEX([1]Pivot!$AD$1:$BE$65000,$B750,W$5)=1,1,IF(INDEX([1]Pivot!$B$1:$AB$65000,$B750,W$5)="",2,0)),0)</f>
        <v>0</v>
      </c>
      <c r="X750" s="194">
        <f>IFERROR(IF(INDEX([1]Pivot!$AD$1:$BE$65000,$B750,X$5)=1,1,IF(INDEX([1]Pivot!$B$1:$AB$65000,$B750,X$5)="",2,0)),0)</f>
        <v>0</v>
      </c>
      <c r="Y750" s="194">
        <f>IFERROR(IF(INDEX([1]Pivot!$AD$1:$BE$65000,$B750,Y$5)=1,1,IF(INDEX([1]Pivot!$B$1:$AB$65000,$B750,Y$5)="",2,0)),0)</f>
        <v>0</v>
      </c>
      <c r="Z750" s="194">
        <f>IFERROR(IF(INDEX([1]Pivot!$AD$1:$BE$65000,$B750,Z$5)=1,1,IF(INDEX([1]Pivot!$B$1:$AB$65000,$B750,Z$5)="",2,0)),0)</f>
        <v>0</v>
      </c>
      <c r="AA750" s="194">
        <f>IFERROR(IF(INDEX([1]Pivot!$AD$1:$BE$65000,$B750,AA$5)=1,1,IF(INDEX([1]Pivot!$B$1:$AB$65000,$B750,AA$5)="",2,0)),0)</f>
        <v>0</v>
      </c>
      <c r="AB750" s="194">
        <f>IFERROR(IF(INDEX([1]Pivot!$AD$1:$BE$65000,$B750,AB$5)=1,1,IF(INDEX([1]Pivot!$B$1:$AB$65000,$B750,AB$5)="",2,0)),0)</f>
        <v>0</v>
      </c>
      <c r="AC750" s="194">
        <f>IFERROR(IF(INDEX([1]Pivot!$AD$1:$BE$65000,$B750,AC$5)=1,1,IF(INDEX([1]Pivot!$B$1:$AB$65000,$B750,AC$5)="",2,0)),0)</f>
        <v>0</v>
      </c>
      <c r="AD750" s="313">
        <f>IFERROR(IF(INDEX([1]Pivot!$BF$1:$CG$65000,$B750,AD$5)=1,1,IF(INDEX([1]Pivot!$B$1:$AB$65000,$B750,AD$5)="",2,0)),0)</f>
        <v>0</v>
      </c>
      <c r="AE750" s="313">
        <f>IFERROR(IF(INDEX([1]Pivot!$BF$1:$CG$65000,$B750,AE$5)=1,1,IF(INDEX([1]Pivot!$B$1:$AB$65000,$B750,AE$5)="",2,0)),0)</f>
        <v>0</v>
      </c>
      <c r="AF750" s="313">
        <f>IFERROR(IF(INDEX([1]Pivot!$BF$1:$CG$65000,$B750,AF$5)=1,1,IF(INDEX([1]Pivot!$B$1:$AB$65000,$B750,AF$5)="",2,0)),0)</f>
        <v>0</v>
      </c>
      <c r="AG750" s="313">
        <f>IFERROR(IF(INDEX([1]Pivot!$BF$1:$CG$65000,$B750,AG$5)=1,1,IF(INDEX([1]Pivot!$B$1:$AB$65000,$B750,AG$5)="",2,0)),0)</f>
        <v>0</v>
      </c>
      <c r="AH750" s="313">
        <f>IFERROR(IF(INDEX([1]Pivot!$BF$1:$CG$65000,$B750,AH$5)=1,1,IF(INDEX([1]Pivot!$B$1:$AB$65000,$B750,AH$5)="",2,0)),0)</f>
        <v>0</v>
      </c>
      <c r="AI750" s="313">
        <f>IFERROR(IF(INDEX([1]Pivot!$BF$1:$CG$65000,$B750,AI$5)=1,1,IF(INDEX([1]Pivot!$B$1:$AB$65000,$B750,AI$5)="",2,0)),0)</f>
        <v>0</v>
      </c>
      <c r="AJ750" s="313">
        <f>IFERROR(IF(INDEX([1]Pivot!$BF$1:$CG$65000,$B750,AJ$5)=1,1,IF(INDEX([1]Pivot!$B$1:$AB$65000,$B750,AJ$5)="",2,0)),0)</f>
        <v>0</v>
      </c>
      <c r="AK750" s="313">
        <f>IFERROR(IF(INDEX([1]Pivot!$BF$1:$CG$65000,$B750,AK$5)=1,1,IF(INDEX([1]Pivot!$B$1:$AB$65000,$B750,AK$5)="",2,0)),0)</f>
        <v>0</v>
      </c>
      <c r="AL750" s="313">
        <f>IFERROR(IF(INDEX([1]Pivot!$BF$1:$CG$65000,$B750,AL$5)=1,1,IF(INDEX([1]Pivot!$B$1:$AB$65000,$B750,AL$5)="",2,0)),0)</f>
        <v>0</v>
      </c>
      <c r="AM750" s="313">
        <f>IFERROR(IF(INDEX([1]Pivot!$BF$1:$CG$65000,$B750,AM$5)=1,1,IF(INDEX([1]Pivot!$B$1:$AB$65000,$B750,AM$5)="",2,0)),0)</f>
        <v>0</v>
      </c>
      <c r="AN750" s="313">
        <f>IFERROR(IF(INDEX([1]Pivot!$BF$1:$CG$65000,$B750,AN$5)=1,1,IF(INDEX([1]Pivot!$B$1:$AB$65000,$B750,AN$5)="",2,0)),0)</f>
        <v>0</v>
      </c>
      <c r="AO750" s="313">
        <f>IFERROR(IF(INDEX([1]Pivot!$BF$1:$CG$65000,$B750,AO$5)=1,1,IF(INDEX([1]Pivot!$B$1:$AB$65000,$B750,AO$5)="",2,0)),0)</f>
        <v>0</v>
      </c>
      <c r="AP750" s="313">
        <f>IFERROR(IF(INDEX([1]Pivot!$BF$1:$CG$65000,$B750,AP$5)=1,1,IF(INDEX([1]Pivot!$B$1:$AB$65000,$B750,AP$5)="",2,0)),0)</f>
        <v>0</v>
      </c>
      <c r="AQ750" s="313">
        <f>IFERROR(IF(INDEX([1]Pivot!$BF$1:$CG$65000,$B750,AQ$5)=1,1,IF(INDEX([1]Pivot!$B$1:$AB$65000,$B750,AQ$5)="",2,0)),0)</f>
        <v>0</v>
      </c>
      <c r="AR750" s="313">
        <f>IFERROR(IF(INDEX([1]Pivot!$BF$1:$CG$65000,$B750,AR$5)=1,1,IF(INDEX([1]Pivot!$B$1:$AB$65000,$B750,AR$5)="",2,0)),0)</f>
        <v>0</v>
      </c>
      <c r="AS750" s="312"/>
      <c r="AT750" s="313">
        <f>IFERROR(IF(INDEX([1]Pivot!$BF$1:$CG$65000,$B750,AT$5)=1,1,IF(INDEX([1]Pivot!$B$1:$AB$65000,$B750,AT$5)="",2,0)),0)</f>
        <v>0</v>
      </c>
      <c r="AU750" s="313">
        <f>IFERROR(IF(INDEX([1]Pivot!$BF$1:$CG$65000,$B750,AU$5)=1,1,IF(INDEX([1]Pivot!$B$1:$AB$65000,$B750,AU$5)="",2,0)),0)</f>
        <v>0</v>
      </c>
      <c r="AV750" s="313">
        <f>IFERROR(IF(INDEX([1]Pivot!$BF$1:$CG$65000,$B750,AV$5)=1,1,IF(INDEX([1]Pivot!$B$1:$AB$65000,$B750,AV$5)="",2,0)),0)</f>
        <v>0</v>
      </c>
      <c r="AW750" s="313">
        <f>IFERROR(IF(INDEX([1]Pivot!$BF$1:$CG$65000,$B750,AW$5)=1,1,IF(INDEX([1]Pivot!$B$1:$AB$65000,$B750,AW$5)="",2,0)),0)</f>
        <v>0</v>
      </c>
      <c r="AX750" s="313">
        <f>IFERROR(IF(INDEX([1]Pivot!$BF$1:$CG$65000,$B750,AX$5)=1,1,IF(INDEX([1]Pivot!$B$1:$AB$65000,$B750,AX$5)="",2,0)),0)</f>
        <v>0</v>
      </c>
      <c r="AY750" s="313">
        <f>IFERROR(IF(INDEX([1]Pivot!$BF$1:$CG$65000,$B750,AY$5)=1,1,IF(INDEX([1]Pivot!$B$1:$AB$65000,$B750,AY$5)="",2,0)),0)</f>
        <v>0</v>
      </c>
      <c r="AZ750" s="313">
        <f>IFERROR(IF(INDEX([1]Pivot!$BF$1:$CG$65000,$B750,AZ$5)=1,1,IF(INDEX([1]Pivot!$B$1:$AB$65000,$B750,AZ$5)="",2,0)),0)</f>
        <v>0</v>
      </c>
      <c r="BA750" s="313">
        <f>IFERROR(IF(INDEX([1]Pivot!$BF$1:$CG$65000,$B750,BA$5)=1,1,IF(INDEX([1]Pivot!$B$1:$AB$65000,$B750,BA$5)="",2,0)),0)</f>
        <v>0</v>
      </c>
      <c r="BB750" s="313">
        <f>IFERROR(IF(INDEX([1]Pivot!$BF$1:$CG$65000,$B750,BB$5)=1,1,IF(INDEX([1]Pivot!$B$1:$AB$65000,$B750,BB$5)="",2,0)),0)</f>
        <v>0</v>
      </c>
      <c r="BC750" s="313">
        <f>IFERROR(IF(INDEX([1]Pivot!$BF$1:$CG$65000,$B750,BC$5)=1,1,IF(INDEX([1]Pivot!$B$1:$AB$65000,$B750,BC$5)="",2,0)),0)</f>
        <v>0</v>
      </c>
      <c r="BD750" s="313">
        <f>IFERROR(IF(INDEX([1]Pivot!$BF$1:$CG$65000,$B750,BD$5)=1,1,IF(INDEX([1]Pivot!$B$1:$AB$65000,$B750,BD$5)="",2,0)),0)</f>
        <v>0</v>
      </c>
    </row>
    <row r="751" spans="1:56" x14ac:dyDescent="0.25">
      <c r="A751" s="288">
        <f>'[2]Raw Milk Prices'!A751</f>
        <v>0</v>
      </c>
      <c r="B751" s="296" t="e">
        <f>MATCH(DATE(LEFT('[2]Raw Milk Prices'!$A751,4),RIGHT('[2]Raw Milk Prices'!$A751,2),1),[1]Pivot!$A$1:$A$65000,0)</f>
        <v>#VALUE!</v>
      </c>
      <c r="C751" s="194">
        <f>IFERROR(IF(INDEX([1]Pivot!$AD$1:$BE$65000,$B751,C$5)=1,1,IF(INDEX([1]Pivot!$B$1:$AB$65000,$B751,C$5)="",2,0)),0)</f>
        <v>0</v>
      </c>
      <c r="D751" s="194">
        <f>IFERROR(IF(INDEX([1]Pivot!$AD$1:$BE$65000,$B751,D$5)=1,1,IF(INDEX([1]Pivot!$B$1:$AB$65000,$B751,D$5)="",2,0)),0)</f>
        <v>0</v>
      </c>
      <c r="E751" s="194">
        <f>IFERROR(IF(INDEX([1]Pivot!$AD$1:$BE$65000,$B751,E$5)=1,1,IF(INDEX([1]Pivot!$B$1:$AB$65000,$B751,E$5)="",2,0)),0)</f>
        <v>0</v>
      </c>
      <c r="F751" s="194">
        <f>IFERROR(IF(INDEX([1]Pivot!$AD$1:$BE$65000,$B751,F$5)=1,1,IF(INDEX([1]Pivot!$B$1:$AB$65000,$B751,F$5)="",2,0)),0)</f>
        <v>0</v>
      </c>
      <c r="G751" s="194">
        <f>IFERROR(IF(INDEX([1]Pivot!$AD$1:$BE$65000,$B751,G$5)=1,1,IF(INDEX([1]Pivot!$B$1:$AB$65000,$B751,G$5)="",2,0)),0)</f>
        <v>0</v>
      </c>
      <c r="H751" s="194">
        <f>IFERROR(IF(INDEX([1]Pivot!$AD$1:$BE$65000,$B751,H$5)=1,1,IF(INDEX([1]Pivot!$B$1:$AB$65000,$B751,H$5)="",2,0)),0)</f>
        <v>0</v>
      </c>
      <c r="I751" s="194">
        <f>IFERROR(IF(INDEX([1]Pivot!$AD$1:$BE$65000,$B751,I$5)=1,1,IF(INDEX([1]Pivot!$B$1:$AB$65000,$B751,I$5)="",2,0)),0)</f>
        <v>0</v>
      </c>
      <c r="J751" s="194">
        <f>IFERROR(IF(INDEX([1]Pivot!$AD$1:$BE$65000,$B751,J$5)=1,1,IF(INDEX([1]Pivot!$B$1:$AB$65000,$B751,J$5)="",2,0)),0)</f>
        <v>0</v>
      </c>
      <c r="K751" s="194">
        <f>IFERROR(IF(INDEX([1]Pivot!$AD$1:$BE$65000,$B751,K$5)=1,1,IF(INDEX([1]Pivot!$B$1:$AB$65000,$B751,K$5)="",2,0)),0)</f>
        <v>0</v>
      </c>
      <c r="L751" s="194">
        <f>IFERROR(IF(INDEX([1]Pivot!$AD$1:$BE$65000,$B751,L$5)=1,1,IF(INDEX([1]Pivot!$B$1:$AB$65000,$B751,L$5)="",2,0)),0)</f>
        <v>0</v>
      </c>
      <c r="M751" s="194">
        <f>IFERROR(IF(INDEX([1]Pivot!$AD$1:$BE$65000,$B751,M$5)=1,1,IF(INDEX([1]Pivot!$B$1:$AB$65000,$B751,M$5)="",2,0)),0)</f>
        <v>0</v>
      </c>
      <c r="N751" s="194">
        <f>IFERROR(IF(INDEX([1]Pivot!$AD$1:$BE$65000,$B751,N$5)=1,1,IF(INDEX([1]Pivot!$B$1:$AB$65000,$B751,N$5)="",2,0)),0)</f>
        <v>0</v>
      </c>
      <c r="O751" s="194">
        <f>IFERROR(IF(INDEX([1]Pivot!$AD$1:$BE$65000,$B751,O$5)=1,1,IF(INDEX([1]Pivot!$B$1:$AB$65000,$B751,O$5)="",2,0)),0)</f>
        <v>0</v>
      </c>
      <c r="P751" s="194">
        <f>IFERROR(IF(INDEX([1]Pivot!$AD$1:$BE$65000,$B751,P$5)=1,1,IF(INDEX([1]Pivot!$B$1:$AB$65000,$B751,P$5)="",2,0)),0)</f>
        <v>0</v>
      </c>
      <c r="Q751" s="194">
        <f>IFERROR(IF(INDEX([1]Pivot!$AD$1:$BE$65000,$B751,Q$5)=1,1,IF(INDEX([1]Pivot!$B$1:$AB$65000,$B751,Q$5)="",2,0)),0)</f>
        <v>0</v>
      </c>
      <c r="R751" s="312"/>
      <c r="S751" s="194">
        <f>IFERROR(IF(INDEX([1]Pivot!$AD$1:$BE$65000,$B751,S$5)=1,1,IF(INDEX([1]Pivot!$B$1:$AB$65000,$B751,S$5)="",2,0)),0)</f>
        <v>0</v>
      </c>
      <c r="T751" s="194">
        <f>IFERROR(IF(INDEX([1]Pivot!$AD$1:$BE$65000,$B751,T$5)=1,1,IF(INDEX([1]Pivot!$B$1:$AB$65000,$B751,T$5)="",2,0)),0)</f>
        <v>0</v>
      </c>
      <c r="U751" s="194">
        <f>IFERROR(IF(INDEX([1]Pivot!$AD$1:$BE$65000,$B751,U$5)=1,1,IF(INDEX([1]Pivot!$B$1:$AB$65000,$B751,U$5)="",2,0)),0)</f>
        <v>0</v>
      </c>
      <c r="V751" s="194">
        <f>IFERROR(IF(INDEX([1]Pivot!$AD$1:$BE$65000,$B751,V$5)=1,1,IF(INDEX([1]Pivot!$B$1:$AB$65000,$B751,V$5)="",2,0)),0)</f>
        <v>0</v>
      </c>
      <c r="W751" s="194">
        <f>IFERROR(IF(INDEX([1]Pivot!$AD$1:$BE$65000,$B751,W$5)=1,1,IF(INDEX([1]Pivot!$B$1:$AB$65000,$B751,W$5)="",2,0)),0)</f>
        <v>0</v>
      </c>
      <c r="X751" s="194">
        <f>IFERROR(IF(INDEX([1]Pivot!$AD$1:$BE$65000,$B751,X$5)=1,1,IF(INDEX([1]Pivot!$B$1:$AB$65000,$B751,X$5)="",2,0)),0)</f>
        <v>0</v>
      </c>
      <c r="Y751" s="194">
        <f>IFERROR(IF(INDEX([1]Pivot!$AD$1:$BE$65000,$B751,Y$5)=1,1,IF(INDEX([1]Pivot!$B$1:$AB$65000,$B751,Y$5)="",2,0)),0)</f>
        <v>0</v>
      </c>
      <c r="Z751" s="194">
        <f>IFERROR(IF(INDEX([1]Pivot!$AD$1:$BE$65000,$B751,Z$5)=1,1,IF(INDEX([1]Pivot!$B$1:$AB$65000,$B751,Z$5)="",2,0)),0)</f>
        <v>0</v>
      </c>
      <c r="AA751" s="194">
        <f>IFERROR(IF(INDEX([1]Pivot!$AD$1:$BE$65000,$B751,AA$5)=1,1,IF(INDEX([1]Pivot!$B$1:$AB$65000,$B751,AA$5)="",2,0)),0)</f>
        <v>0</v>
      </c>
      <c r="AB751" s="194">
        <f>IFERROR(IF(INDEX([1]Pivot!$AD$1:$BE$65000,$B751,AB$5)=1,1,IF(INDEX([1]Pivot!$B$1:$AB$65000,$B751,AB$5)="",2,0)),0)</f>
        <v>0</v>
      </c>
      <c r="AC751" s="194">
        <f>IFERROR(IF(INDEX([1]Pivot!$AD$1:$BE$65000,$B751,AC$5)=1,1,IF(INDEX([1]Pivot!$B$1:$AB$65000,$B751,AC$5)="",2,0)),0)</f>
        <v>0</v>
      </c>
      <c r="AD751" s="313">
        <f>IFERROR(IF(INDEX([1]Pivot!$BF$1:$CG$65000,$B751,AD$5)=1,1,IF(INDEX([1]Pivot!$B$1:$AB$65000,$B751,AD$5)="",2,0)),0)</f>
        <v>0</v>
      </c>
      <c r="AE751" s="313">
        <f>IFERROR(IF(INDEX([1]Pivot!$BF$1:$CG$65000,$B751,AE$5)=1,1,IF(INDEX([1]Pivot!$B$1:$AB$65000,$B751,AE$5)="",2,0)),0)</f>
        <v>0</v>
      </c>
      <c r="AF751" s="313">
        <f>IFERROR(IF(INDEX([1]Pivot!$BF$1:$CG$65000,$B751,AF$5)=1,1,IF(INDEX([1]Pivot!$B$1:$AB$65000,$B751,AF$5)="",2,0)),0)</f>
        <v>0</v>
      </c>
      <c r="AG751" s="313">
        <f>IFERROR(IF(INDEX([1]Pivot!$BF$1:$CG$65000,$B751,AG$5)=1,1,IF(INDEX([1]Pivot!$B$1:$AB$65000,$B751,AG$5)="",2,0)),0)</f>
        <v>0</v>
      </c>
      <c r="AH751" s="313">
        <f>IFERROR(IF(INDEX([1]Pivot!$BF$1:$CG$65000,$B751,AH$5)=1,1,IF(INDEX([1]Pivot!$B$1:$AB$65000,$B751,AH$5)="",2,0)),0)</f>
        <v>0</v>
      </c>
      <c r="AI751" s="313">
        <f>IFERROR(IF(INDEX([1]Pivot!$BF$1:$CG$65000,$B751,AI$5)=1,1,IF(INDEX([1]Pivot!$B$1:$AB$65000,$B751,AI$5)="",2,0)),0)</f>
        <v>0</v>
      </c>
      <c r="AJ751" s="313">
        <f>IFERROR(IF(INDEX([1]Pivot!$BF$1:$CG$65000,$B751,AJ$5)=1,1,IF(INDEX([1]Pivot!$B$1:$AB$65000,$B751,AJ$5)="",2,0)),0)</f>
        <v>0</v>
      </c>
      <c r="AK751" s="313">
        <f>IFERROR(IF(INDEX([1]Pivot!$BF$1:$CG$65000,$B751,AK$5)=1,1,IF(INDEX([1]Pivot!$B$1:$AB$65000,$B751,AK$5)="",2,0)),0)</f>
        <v>0</v>
      </c>
      <c r="AL751" s="313">
        <f>IFERROR(IF(INDEX([1]Pivot!$BF$1:$CG$65000,$B751,AL$5)=1,1,IF(INDEX([1]Pivot!$B$1:$AB$65000,$B751,AL$5)="",2,0)),0)</f>
        <v>0</v>
      </c>
      <c r="AM751" s="313">
        <f>IFERROR(IF(INDEX([1]Pivot!$BF$1:$CG$65000,$B751,AM$5)=1,1,IF(INDEX([1]Pivot!$B$1:$AB$65000,$B751,AM$5)="",2,0)),0)</f>
        <v>0</v>
      </c>
      <c r="AN751" s="313">
        <f>IFERROR(IF(INDEX([1]Pivot!$BF$1:$CG$65000,$B751,AN$5)=1,1,IF(INDEX([1]Pivot!$B$1:$AB$65000,$B751,AN$5)="",2,0)),0)</f>
        <v>0</v>
      </c>
      <c r="AO751" s="313">
        <f>IFERROR(IF(INDEX([1]Pivot!$BF$1:$CG$65000,$B751,AO$5)=1,1,IF(INDEX([1]Pivot!$B$1:$AB$65000,$B751,AO$5)="",2,0)),0)</f>
        <v>0</v>
      </c>
      <c r="AP751" s="313">
        <f>IFERROR(IF(INDEX([1]Pivot!$BF$1:$CG$65000,$B751,AP$5)=1,1,IF(INDEX([1]Pivot!$B$1:$AB$65000,$B751,AP$5)="",2,0)),0)</f>
        <v>0</v>
      </c>
      <c r="AQ751" s="313">
        <f>IFERROR(IF(INDEX([1]Pivot!$BF$1:$CG$65000,$B751,AQ$5)=1,1,IF(INDEX([1]Pivot!$B$1:$AB$65000,$B751,AQ$5)="",2,0)),0)</f>
        <v>0</v>
      </c>
      <c r="AR751" s="313">
        <f>IFERROR(IF(INDEX([1]Pivot!$BF$1:$CG$65000,$B751,AR$5)=1,1,IF(INDEX([1]Pivot!$B$1:$AB$65000,$B751,AR$5)="",2,0)),0)</f>
        <v>0</v>
      </c>
      <c r="AS751" s="312"/>
      <c r="AT751" s="313">
        <f>IFERROR(IF(INDEX([1]Pivot!$BF$1:$CG$65000,$B751,AT$5)=1,1,IF(INDEX([1]Pivot!$B$1:$AB$65000,$B751,AT$5)="",2,0)),0)</f>
        <v>0</v>
      </c>
      <c r="AU751" s="313">
        <f>IFERROR(IF(INDEX([1]Pivot!$BF$1:$CG$65000,$B751,AU$5)=1,1,IF(INDEX([1]Pivot!$B$1:$AB$65000,$B751,AU$5)="",2,0)),0)</f>
        <v>0</v>
      </c>
      <c r="AV751" s="313">
        <f>IFERROR(IF(INDEX([1]Pivot!$BF$1:$CG$65000,$B751,AV$5)=1,1,IF(INDEX([1]Pivot!$B$1:$AB$65000,$B751,AV$5)="",2,0)),0)</f>
        <v>0</v>
      </c>
      <c r="AW751" s="313">
        <f>IFERROR(IF(INDEX([1]Pivot!$BF$1:$CG$65000,$B751,AW$5)=1,1,IF(INDEX([1]Pivot!$B$1:$AB$65000,$B751,AW$5)="",2,0)),0)</f>
        <v>0</v>
      </c>
      <c r="AX751" s="313">
        <f>IFERROR(IF(INDEX([1]Pivot!$BF$1:$CG$65000,$B751,AX$5)=1,1,IF(INDEX([1]Pivot!$B$1:$AB$65000,$B751,AX$5)="",2,0)),0)</f>
        <v>0</v>
      </c>
      <c r="AY751" s="313">
        <f>IFERROR(IF(INDEX([1]Pivot!$BF$1:$CG$65000,$B751,AY$5)=1,1,IF(INDEX([1]Pivot!$B$1:$AB$65000,$B751,AY$5)="",2,0)),0)</f>
        <v>0</v>
      </c>
      <c r="AZ751" s="313">
        <f>IFERROR(IF(INDEX([1]Pivot!$BF$1:$CG$65000,$B751,AZ$5)=1,1,IF(INDEX([1]Pivot!$B$1:$AB$65000,$B751,AZ$5)="",2,0)),0)</f>
        <v>0</v>
      </c>
      <c r="BA751" s="313">
        <f>IFERROR(IF(INDEX([1]Pivot!$BF$1:$CG$65000,$B751,BA$5)=1,1,IF(INDEX([1]Pivot!$B$1:$AB$65000,$B751,BA$5)="",2,0)),0)</f>
        <v>0</v>
      </c>
      <c r="BB751" s="313">
        <f>IFERROR(IF(INDEX([1]Pivot!$BF$1:$CG$65000,$B751,BB$5)=1,1,IF(INDEX([1]Pivot!$B$1:$AB$65000,$B751,BB$5)="",2,0)),0)</f>
        <v>0</v>
      </c>
      <c r="BC751" s="313">
        <f>IFERROR(IF(INDEX([1]Pivot!$BF$1:$CG$65000,$B751,BC$5)=1,1,IF(INDEX([1]Pivot!$B$1:$AB$65000,$B751,BC$5)="",2,0)),0)</f>
        <v>0</v>
      </c>
      <c r="BD751" s="313">
        <f>IFERROR(IF(INDEX([1]Pivot!$BF$1:$CG$65000,$B751,BD$5)=1,1,IF(INDEX([1]Pivot!$B$1:$AB$65000,$B751,BD$5)="",2,0)),0)</f>
        <v>0</v>
      </c>
    </row>
    <row r="752" spans="1:56" x14ac:dyDescent="0.25">
      <c r="A752" s="288">
        <f>'[2]Raw Milk Prices'!A752</f>
        <v>0</v>
      </c>
      <c r="B752" s="296" t="e">
        <f>MATCH(DATE(LEFT('[2]Raw Milk Prices'!$A752,4),RIGHT('[2]Raw Milk Prices'!$A752,2),1),[1]Pivot!$A$1:$A$65000,0)</f>
        <v>#VALUE!</v>
      </c>
      <c r="C752" s="194">
        <f>IFERROR(IF(INDEX([1]Pivot!$AD$1:$BE$65000,$B752,C$5)=1,1,IF(INDEX([1]Pivot!$B$1:$AB$65000,$B752,C$5)="",2,0)),0)</f>
        <v>0</v>
      </c>
      <c r="D752" s="194">
        <f>IFERROR(IF(INDEX([1]Pivot!$AD$1:$BE$65000,$B752,D$5)=1,1,IF(INDEX([1]Pivot!$B$1:$AB$65000,$B752,D$5)="",2,0)),0)</f>
        <v>0</v>
      </c>
      <c r="E752" s="194">
        <f>IFERROR(IF(INDEX([1]Pivot!$AD$1:$BE$65000,$B752,E$5)=1,1,IF(INDEX([1]Pivot!$B$1:$AB$65000,$B752,E$5)="",2,0)),0)</f>
        <v>0</v>
      </c>
      <c r="F752" s="194">
        <f>IFERROR(IF(INDEX([1]Pivot!$AD$1:$BE$65000,$B752,F$5)=1,1,IF(INDEX([1]Pivot!$B$1:$AB$65000,$B752,F$5)="",2,0)),0)</f>
        <v>0</v>
      </c>
      <c r="G752" s="194">
        <f>IFERROR(IF(INDEX([1]Pivot!$AD$1:$BE$65000,$B752,G$5)=1,1,IF(INDEX([1]Pivot!$B$1:$AB$65000,$B752,G$5)="",2,0)),0)</f>
        <v>0</v>
      </c>
      <c r="H752" s="194">
        <f>IFERROR(IF(INDEX([1]Pivot!$AD$1:$BE$65000,$B752,H$5)=1,1,IF(INDEX([1]Pivot!$B$1:$AB$65000,$B752,H$5)="",2,0)),0)</f>
        <v>0</v>
      </c>
      <c r="I752" s="194">
        <f>IFERROR(IF(INDEX([1]Pivot!$AD$1:$BE$65000,$B752,I$5)=1,1,IF(INDEX([1]Pivot!$B$1:$AB$65000,$B752,I$5)="",2,0)),0)</f>
        <v>0</v>
      </c>
      <c r="J752" s="194">
        <f>IFERROR(IF(INDEX([1]Pivot!$AD$1:$BE$65000,$B752,J$5)=1,1,IF(INDEX([1]Pivot!$B$1:$AB$65000,$B752,J$5)="",2,0)),0)</f>
        <v>0</v>
      </c>
      <c r="K752" s="194">
        <f>IFERROR(IF(INDEX([1]Pivot!$AD$1:$BE$65000,$B752,K$5)=1,1,IF(INDEX([1]Pivot!$B$1:$AB$65000,$B752,K$5)="",2,0)),0)</f>
        <v>0</v>
      </c>
      <c r="L752" s="194">
        <f>IFERROR(IF(INDEX([1]Pivot!$AD$1:$BE$65000,$B752,L$5)=1,1,IF(INDEX([1]Pivot!$B$1:$AB$65000,$B752,L$5)="",2,0)),0)</f>
        <v>0</v>
      </c>
      <c r="M752" s="194">
        <f>IFERROR(IF(INDEX([1]Pivot!$AD$1:$BE$65000,$B752,M$5)=1,1,IF(INDEX([1]Pivot!$B$1:$AB$65000,$B752,M$5)="",2,0)),0)</f>
        <v>0</v>
      </c>
      <c r="N752" s="194">
        <f>IFERROR(IF(INDEX([1]Pivot!$AD$1:$BE$65000,$B752,N$5)=1,1,IF(INDEX([1]Pivot!$B$1:$AB$65000,$B752,N$5)="",2,0)),0)</f>
        <v>0</v>
      </c>
      <c r="O752" s="194">
        <f>IFERROR(IF(INDEX([1]Pivot!$AD$1:$BE$65000,$B752,O$5)=1,1,IF(INDEX([1]Pivot!$B$1:$AB$65000,$B752,O$5)="",2,0)),0)</f>
        <v>0</v>
      </c>
      <c r="P752" s="194">
        <f>IFERROR(IF(INDEX([1]Pivot!$AD$1:$BE$65000,$B752,P$5)=1,1,IF(INDEX([1]Pivot!$B$1:$AB$65000,$B752,P$5)="",2,0)),0)</f>
        <v>0</v>
      </c>
      <c r="Q752" s="194">
        <f>IFERROR(IF(INDEX([1]Pivot!$AD$1:$BE$65000,$B752,Q$5)=1,1,IF(INDEX([1]Pivot!$B$1:$AB$65000,$B752,Q$5)="",2,0)),0)</f>
        <v>0</v>
      </c>
      <c r="R752" s="312"/>
      <c r="S752" s="194">
        <f>IFERROR(IF(INDEX([1]Pivot!$AD$1:$BE$65000,$B752,S$5)=1,1,IF(INDEX([1]Pivot!$B$1:$AB$65000,$B752,S$5)="",2,0)),0)</f>
        <v>0</v>
      </c>
      <c r="T752" s="194">
        <f>IFERROR(IF(INDEX([1]Pivot!$AD$1:$BE$65000,$B752,T$5)=1,1,IF(INDEX([1]Pivot!$B$1:$AB$65000,$B752,T$5)="",2,0)),0)</f>
        <v>0</v>
      </c>
      <c r="U752" s="194">
        <f>IFERROR(IF(INDEX([1]Pivot!$AD$1:$BE$65000,$B752,U$5)=1,1,IF(INDEX([1]Pivot!$B$1:$AB$65000,$B752,U$5)="",2,0)),0)</f>
        <v>0</v>
      </c>
      <c r="V752" s="194">
        <f>IFERROR(IF(INDEX([1]Pivot!$AD$1:$BE$65000,$B752,V$5)=1,1,IF(INDEX([1]Pivot!$B$1:$AB$65000,$B752,V$5)="",2,0)),0)</f>
        <v>0</v>
      </c>
      <c r="W752" s="194">
        <f>IFERROR(IF(INDEX([1]Pivot!$AD$1:$BE$65000,$B752,W$5)=1,1,IF(INDEX([1]Pivot!$B$1:$AB$65000,$B752,W$5)="",2,0)),0)</f>
        <v>0</v>
      </c>
      <c r="X752" s="194">
        <f>IFERROR(IF(INDEX([1]Pivot!$AD$1:$BE$65000,$B752,X$5)=1,1,IF(INDEX([1]Pivot!$B$1:$AB$65000,$B752,X$5)="",2,0)),0)</f>
        <v>0</v>
      </c>
      <c r="Y752" s="194">
        <f>IFERROR(IF(INDEX([1]Pivot!$AD$1:$BE$65000,$B752,Y$5)=1,1,IF(INDEX([1]Pivot!$B$1:$AB$65000,$B752,Y$5)="",2,0)),0)</f>
        <v>0</v>
      </c>
      <c r="Z752" s="194">
        <f>IFERROR(IF(INDEX([1]Pivot!$AD$1:$BE$65000,$B752,Z$5)=1,1,IF(INDEX([1]Pivot!$B$1:$AB$65000,$B752,Z$5)="",2,0)),0)</f>
        <v>0</v>
      </c>
      <c r="AA752" s="194">
        <f>IFERROR(IF(INDEX([1]Pivot!$AD$1:$BE$65000,$B752,AA$5)=1,1,IF(INDEX([1]Pivot!$B$1:$AB$65000,$B752,AA$5)="",2,0)),0)</f>
        <v>0</v>
      </c>
      <c r="AB752" s="194">
        <f>IFERROR(IF(INDEX([1]Pivot!$AD$1:$BE$65000,$B752,AB$5)=1,1,IF(INDEX([1]Pivot!$B$1:$AB$65000,$B752,AB$5)="",2,0)),0)</f>
        <v>0</v>
      </c>
      <c r="AC752" s="194">
        <f>IFERROR(IF(INDEX([1]Pivot!$AD$1:$BE$65000,$B752,AC$5)=1,1,IF(INDEX([1]Pivot!$B$1:$AB$65000,$B752,AC$5)="",2,0)),0)</f>
        <v>0</v>
      </c>
      <c r="AD752" s="313">
        <f>IFERROR(IF(INDEX([1]Pivot!$BF$1:$CG$65000,$B752,AD$5)=1,1,IF(INDEX([1]Pivot!$B$1:$AB$65000,$B752,AD$5)="",2,0)),0)</f>
        <v>0</v>
      </c>
      <c r="AE752" s="313">
        <f>IFERROR(IF(INDEX([1]Pivot!$BF$1:$CG$65000,$B752,AE$5)=1,1,IF(INDEX([1]Pivot!$B$1:$AB$65000,$B752,AE$5)="",2,0)),0)</f>
        <v>0</v>
      </c>
      <c r="AF752" s="313">
        <f>IFERROR(IF(INDEX([1]Pivot!$BF$1:$CG$65000,$B752,AF$5)=1,1,IF(INDEX([1]Pivot!$B$1:$AB$65000,$B752,AF$5)="",2,0)),0)</f>
        <v>0</v>
      </c>
      <c r="AG752" s="313">
        <f>IFERROR(IF(INDEX([1]Pivot!$BF$1:$CG$65000,$B752,AG$5)=1,1,IF(INDEX([1]Pivot!$B$1:$AB$65000,$B752,AG$5)="",2,0)),0)</f>
        <v>0</v>
      </c>
      <c r="AH752" s="313">
        <f>IFERROR(IF(INDEX([1]Pivot!$BF$1:$CG$65000,$B752,AH$5)=1,1,IF(INDEX([1]Pivot!$B$1:$AB$65000,$B752,AH$5)="",2,0)),0)</f>
        <v>0</v>
      </c>
      <c r="AI752" s="313">
        <f>IFERROR(IF(INDEX([1]Pivot!$BF$1:$CG$65000,$B752,AI$5)=1,1,IF(INDEX([1]Pivot!$B$1:$AB$65000,$B752,AI$5)="",2,0)),0)</f>
        <v>0</v>
      </c>
      <c r="AJ752" s="313">
        <f>IFERROR(IF(INDEX([1]Pivot!$BF$1:$CG$65000,$B752,AJ$5)=1,1,IF(INDEX([1]Pivot!$B$1:$AB$65000,$B752,AJ$5)="",2,0)),0)</f>
        <v>0</v>
      </c>
      <c r="AK752" s="313">
        <f>IFERROR(IF(INDEX([1]Pivot!$BF$1:$CG$65000,$B752,AK$5)=1,1,IF(INDEX([1]Pivot!$B$1:$AB$65000,$B752,AK$5)="",2,0)),0)</f>
        <v>0</v>
      </c>
      <c r="AL752" s="313">
        <f>IFERROR(IF(INDEX([1]Pivot!$BF$1:$CG$65000,$B752,AL$5)=1,1,IF(INDEX([1]Pivot!$B$1:$AB$65000,$B752,AL$5)="",2,0)),0)</f>
        <v>0</v>
      </c>
      <c r="AM752" s="313">
        <f>IFERROR(IF(INDEX([1]Pivot!$BF$1:$CG$65000,$B752,AM$5)=1,1,IF(INDEX([1]Pivot!$B$1:$AB$65000,$B752,AM$5)="",2,0)),0)</f>
        <v>0</v>
      </c>
      <c r="AN752" s="313">
        <f>IFERROR(IF(INDEX([1]Pivot!$BF$1:$CG$65000,$B752,AN$5)=1,1,IF(INDEX([1]Pivot!$B$1:$AB$65000,$B752,AN$5)="",2,0)),0)</f>
        <v>0</v>
      </c>
      <c r="AO752" s="313">
        <f>IFERROR(IF(INDEX([1]Pivot!$BF$1:$CG$65000,$B752,AO$5)=1,1,IF(INDEX([1]Pivot!$B$1:$AB$65000,$B752,AO$5)="",2,0)),0)</f>
        <v>0</v>
      </c>
      <c r="AP752" s="313">
        <f>IFERROR(IF(INDEX([1]Pivot!$BF$1:$CG$65000,$B752,AP$5)=1,1,IF(INDEX([1]Pivot!$B$1:$AB$65000,$B752,AP$5)="",2,0)),0)</f>
        <v>0</v>
      </c>
      <c r="AQ752" s="313">
        <f>IFERROR(IF(INDEX([1]Pivot!$BF$1:$CG$65000,$B752,AQ$5)=1,1,IF(INDEX([1]Pivot!$B$1:$AB$65000,$B752,AQ$5)="",2,0)),0)</f>
        <v>0</v>
      </c>
      <c r="AR752" s="313">
        <f>IFERROR(IF(INDEX([1]Pivot!$BF$1:$CG$65000,$B752,AR$5)=1,1,IF(INDEX([1]Pivot!$B$1:$AB$65000,$B752,AR$5)="",2,0)),0)</f>
        <v>0</v>
      </c>
      <c r="AS752" s="312"/>
      <c r="AT752" s="313">
        <f>IFERROR(IF(INDEX([1]Pivot!$BF$1:$CG$65000,$B752,AT$5)=1,1,IF(INDEX([1]Pivot!$B$1:$AB$65000,$B752,AT$5)="",2,0)),0)</f>
        <v>0</v>
      </c>
      <c r="AU752" s="313">
        <f>IFERROR(IF(INDEX([1]Pivot!$BF$1:$CG$65000,$B752,AU$5)=1,1,IF(INDEX([1]Pivot!$B$1:$AB$65000,$B752,AU$5)="",2,0)),0)</f>
        <v>0</v>
      </c>
      <c r="AV752" s="313">
        <f>IFERROR(IF(INDEX([1]Pivot!$BF$1:$CG$65000,$B752,AV$5)=1,1,IF(INDEX([1]Pivot!$B$1:$AB$65000,$B752,AV$5)="",2,0)),0)</f>
        <v>0</v>
      </c>
      <c r="AW752" s="313">
        <f>IFERROR(IF(INDEX([1]Pivot!$BF$1:$CG$65000,$B752,AW$5)=1,1,IF(INDEX([1]Pivot!$B$1:$AB$65000,$B752,AW$5)="",2,0)),0)</f>
        <v>0</v>
      </c>
      <c r="AX752" s="313">
        <f>IFERROR(IF(INDEX([1]Pivot!$BF$1:$CG$65000,$B752,AX$5)=1,1,IF(INDEX([1]Pivot!$B$1:$AB$65000,$B752,AX$5)="",2,0)),0)</f>
        <v>0</v>
      </c>
      <c r="AY752" s="313">
        <f>IFERROR(IF(INDEX([1]Pivot!$BF$1:$CG$65000,$B752,AY$5)=1,1,IF(INDEX([1]Pivot!$B$1:$AB$65000,$B752,AY$5)="",2,0)),0)</f>
        <v>0</v>
      </c>
      <c r="AZ752" s="313">
        <f>IFERROR(IF(INDEX([1]Pivot!$BF$1:$CG$65000,$B752,AZ$5)=1,1,IF(INDEX([1]Pivot!$B$1:$AB$65000,$B752,AZ$5)="",2,0)),0)</f>
        <v>0</v>
      </c>
      <c r="BA752" s="313">
        <f>IFERROR(IF(INDEX([1]Pivot!$BF$1:$CG$65000,$B752,BA$5)=1,1,IF(INDEX([1]Pivot!$B$1:$AB$65000,$B752,BA$5)="",2,0)),0)</f>
        <v>0</v>
      </c>
      <c r="BB752" s="313">
        <f>IFERROR(IF(INDEX([1]Pivot!$BF$1:$CG$65000,$B752,BB$5)=1,1,IF(INDEX([1]Pivot!$B$1:$AB$65000,$B752,BB$5)="",2,0)),0)</f>
        <v>0</v>
      </c>
      <c r="BC752" s="313">
        <f>IFERROR(IF(INDEX([1]Pivot!$BF$1:$CG$65000,$B752,BC$5)=1,1,IF(INDEX([1]Pivot!$B$1:$AB$65000,$B752,BC$5)="",2,0)),0)</f>
        <v>0</v>
      </c>
      <c r="BD752" s="313">
        <f>IFERROR(IF(INDEX([1]Pivot!$BF$1:$CG$65000,$B752,BD$5)=1,1,IF(INDEX([1]Pivot!$B$1:$AB$65000,$B752,BD$5)="",2,0)),0)</f>
        <v>0</v>
      </c>
    </row>
    <row r="753" spans="1:56" x14ac:dyDescent="0.25">
      <c r="A753" s="288">
        <f>'[2]Raw Milk Prices'!A753</f>
        <v>0</v>
      </c>
      <c r="B753" s="296" t="e">
        <f>MATCH(DATE(LEFT('[2]Raw Milk Prices'!$A753,4),RIGHT('[2]Raw Milk Prices'!$A753,2),1),[1]Pivot!$A$1:$A$65000,0)</f>
        <v>#VALUE!</v>
      </c>
      <c r="C753" s="194">
        <f>IFERROR(IF(INDEX([1]Pivot!$AD$1:$BE$65000,$B753,C$5)=1,1,IF(INDEX([1]Pivot!$B$1:$AB$65000,$B753,C$5)="",2,0)),0)</f>
        <v>0</v>
      </c>
      <c r="D753" s="194">
        <f>IFERROR(IF(INDEX([1]Pivot!$AD$1:$BE$65000,$B753,D$5)=1,1,IF(INDEX([1]Pivot!$B$1:$AB$65000,$B753,D$5)="",2,0)),0)</f>
        <v>0</v>
      </c>
      <c r="E753" s="194">
        <f>IFERROR(IF(INDEX([1]Pivot!$AD$1:$BE$65000,$B753,E$5)=1,1,IF(INDEX([1]Pivot!$B$1:$AB$65000,$B753,E$5)="",2,0)),0)</f>
        <v>0</v>
      </c>
      <c r="F753" s="194">
        <f>IFERROR(IF(INDEX([1]Pivot!$AD$1:$BE$65000,$B753,F$5)=1,1,IF(INDEX([1]Pivot!$B$1:$AB$65000,$B753,F$5)="",2,0)),0)</f>
        <v>0</v>
      </c>
      <c r="G753" s="194">
        <f>IFERROR(IF(INDEX([1]Pivot!$AD$1:$BE$65000,$B753,G$5)=1,1,IF(INDEX([1]Pivot!$B$1:$AB$65000,$B753,G$5)="",2,0)),0)</f>
        <v>0</v>
      </c>
      <c r="H753" s="194">
        <f>IFERROR(IF(INDEX([1]Pivot!$AD$1:$BE$65000,$B753,H$5)=1,1,IF(INDEX([1]Pivot!$B$1:$AB$65000,$B753,H$5)="",2,0)),0)</f>
        <v>0</v>
      </c>
      <c r="I753" s="194">
        <f>IFERROR(IF(INDEX([1]Pivot!$AD$1:$BE$65000,$B753,I$5)=1,1,IF(INDEX([1]Pivot!$B$1:$AB$65000,$B753,I$5)="",2,0)),0)</f>
        <v>0</v>
      </c>
      <c r="J753" s="194">
        <f>IFERROR(IF(INDEX([1]Pivot!$AD$1:$BE$65000,$B753,J$5)=1,1,IF(INDEX([1]Pivot!$B$1:$AB$65000,$B753,J$5)="",2,0)),0)</f>
        <v>0</v>
      </c>
      <c r="K753" s="194">
        <f>IFERROR(IF(INDEX([1]Pivot!$AD$1:$BE$65000,$B753,K$5)=1,1,IF(INDEX([1]Pivot!$B$1:$AB$65000,$B753,K$5)="",2,0)),0)</f>
        <v>0</v>
      </c>
      <c r="L753" s="194">
        <f>IFERROR(IF(INDEX([1]Pivot!$AD$1:$BE$65000,$B753,L$5)=1,1,IF(INDEX([1]Pivot!$B$1:$AB$65000,$B753,L$5)="",2,0)),0)</f>
        <v>0</v>
      </c>
      <c r="M753" s="194">
        <f>IFERROR(IF(INDEX([1]Pivot!$AD$1:$BE$65000,$B753,M$5)=1,1,IF(INDEX([1]Pivot!$B$1:$AB$65000,$B753,M$5)="",2,0)),0)</f>
        <v>0</v>
      </c>
      <c r="N753" s="194">
        <f>IFERROR(IF(INDEX([1]Pivot!$AD$1:$BE$65000,$B753,N$5)=1,1,IF(INDEX([1]Pivot!$B$1:$AB$65000,$B753,N$5)="",2,0)),0)</f>
        <v>0</v>
      </c>
      <c r="O753" s="194">
        <f>IFERROR(IF(INDEX([1]Pivot!$AD$1:$BE$65000,$B753,O$5)=1,1,IF(INDEX([1]Pivot!$B$1:$AB$65000,$B753,O$5)="",2,0)),0)</f>
        <v>0</v>
      </c>
      <c r="P753" s="194">
        <f>IFERROR(IF(INDEX([1]Pivot!$AD$1:$BE$65000,$B753,P$5)=1,1,IF(INDEX([1]Pivot!$B$1:$AB$65000,$B753,P$5)="",2,0)),0)</f>
        <v>0</v>
      </c>
      <c r="Q753" s="194">
        <f>IFERROR(IF(INDEX([1]Pivot!$AD$1:$BE$65000,$B753,Q$5)=1,1,IF(INDEX([1]Pivot!$B$1:$AB$65000,$B753,Q$5)="",2,0)),0)</f>
        <v>0</v>
      </c>
      <c r="R753" s="312"/>
      <c r="S753" s="194">
        <f>IFERROR(IF(INDEX([1]Pivot!$AD$1:$BE$65000,$B753,S$5)=1,1,IF(INDEX([1]Pivot!$B$1:$AB$65000,$B753,S$5)="",2,0)),0)</f>
        <v>0</v>
      </c>
      <c r="T753" s="194">
        <f>IFERROR(IF(INDEX([1]Pivot!$AD$1:$BE$65000,$B753,T$5)=1,1,IF(INDEX([1]Pivot!$B$1:$AB$65000,$B753,T$5)="",2,0)),0)</f>
        <v>0</v>
      </c>
      <c r="U753" s="194">
        <f>IFERROR(IF(INDEX([1]Pivot!$AD$1:$BE$65000,$B753,U$5)=1,1,IF(INDEX([1]Pivot!$B$1:$AB$65000,$B753,U$5)="",2,0)),0)</f>
        <v>0</v>
      </c>
      <c r="V753" s="194">
        <f>IFERROR(IF(INDEX([1]Pivot!$AD$1:$BE$65000,$B753,V$5)=1,1,IF(INDEX([1]Pivot!$B$1:$AB$65000,$B753,V$5)="",2,0)),0)</f>
        <v>0</v>
      </c>
      <c r="W753" s="194">
        <f>IFERROR(IF(INDEX([1]Pivot!$AD$1:$BE$65000,$B753,W$5)=1,1,IF(INDEX([1]Pivot!$B$1:$AB$65000,$B753,W$5)="",2,0)),0)</f>
        <v>0</v>
      </c>
      <c r="X753" s="194">
        <f>IFERROR(IF(INDEX([1]Pivot!$AD$1:$BE$65000,$B753,X$5)=1,1,IF(INDEX([1]Pivot!$B$1:$AB$65000,$B753,X$5)="",2,0)),0)</f>
        <v>0</v>
      </c>
      <c r="Y753" s="194">
        <f>IFERROR(IF(INDEX([1]Pivot!$AD$1:$BE$65000,$B753,Y$5)=1,1,IF(INDEX([1]Pivot!$B$1:$AB$65000,$B753,Y$5)="",2,0)),0)</f>
        <v>0</v>
      </c>
      <c r="Z753" s="194">
        <f>IFERROR(IF(INDEX([1]Pivot!$AD$1:$BE$65000,$B753,Z$5)=1,1,IF(INDEX([1]Pivot!$B$1:$AB$65000,$B753,Z$5)="",2,0)),0)</f>
        <v>0</v>
      </c>
      <c r="AA753" s="194">
        <f>IFERROR(IF(INDEX([1]Pivot!$AD$1:$BE$65000,$B753,AA$5)=1,1,IF(INDEX([1]Pivot!$B$1:$AB$65000,$B753,AA$5)="",2,0)),0)</f>
        <v>0</v>
      </c>
      <c r="AB753" s="194">
        <f>IFERROR(IF(INDEX([1]Pivot!$AD$1:$BE$65000,$B753,AB$5)=1,1,IF(INDEX([1]Pivot!$B$1:$AB$65000,$B753,AB$5)="",2,0)),0)</f>
        <v>0</v>
      </c>
      <c r="AC753" s="194">
        <f>IFERROR(IF(INDEX([1]Pivot!$AD$1:$BE$65000,$B753,AC$5)=1,1,IF(INDEX([1]Pivot!$B$1:$AB$65000,$B753,AC$5)="",2,0)),0)</f>
        <v>0</v>
      </c>
      <c r="AD753" s="313">
        <f>IFERROR(IF(INDEX([1]Pivot!$BF$1:$CG$65000,$B753,AD$5)=1,1,IF(INDEX([1]Pivot!$B$1:$AB$65000,$B753,AD$5)="",2,0)),0)</f>
        <v>0</v>
      </c>
      <c r="AE753" s="313">
        <f>IFERROR(IF(INDEX([1]Pivot!$BF$1:$CG$65000,$B753,AE$5)=1,1,IF(INDEX([1]Pivot!$B$1:$AB$65000,$B753,AE$5)="",2,0)),0)</f>
        <v>0</v>
      </c>
      <c r="AF753" s="313">
        <f>IFERROR(IF(INDEX([1]Pivot!$BF$1:$CG$65000,$B753,AF$5)=1,1,IF(INDEX([1]Pivot!$B$1:$AB$65000,$B753,AF$5)="",2,0)),0)</f>
        <v>0</v>
      </c>
      <c r="AG753" s="313">
        <f>IFERROR(IF(INDEX([1]Pivot!$BF$1:$CG$65000,$B753,AG$5)=1,1,IF(INDEX([1]Pivot!$B$1:$AB$65000,$B753,AG$5)="",2,0)),0)</f>
        <v>0</v>
      </c>
      <c r="AH753" s="313">
        <f>IFERROR(IF(INDEX([1]Pivot!$BF$1:$CG$65000,$B753,AH$5)=1,1,IF(INDEX([1]Pivot!$B$1:$AB$65000,$B753,AH$5)="",2,0)),0)</f>
        <v>0</v>
      </c>
      <c r="AI753" s="313">
        <f>IFERROR(IF(INDEX([1]Pivot!$BF$1:$CG$65000,$B753,AI$5)=1,1,IF(INDEX([1]Pivot!$B$1:$AB$65000,$B753,AI$5)="",2,0)),0)</f>
        <v>0</v>
      </c>
      <c r="AJ753" s="313">
        <f>IFERROR(IF(INDEX([1]Pivot!$BF$1:$CG$65000,$B753,AJ$5)=1,1,IF(INDEX([1]Pivot!$B$1:$AB$65000,$B753,AJ$5)="",2,0)),0)</f>
        <v>0</v>
      </c>
      <c r="AK753" s="313">
        <f>IFERROR(IF(INDEX([1]Pivot!$BF$1:$CG$65000,$B753,AK$5)=1,1,IF(INDEX([1]Pivot!$B$1:$AB$65000,$B753,AK$5)="",2,0)),0)</f>
        <v>0</v>
      </c>
      <c r="AL753" s="313">
        <f>IFERROR(IF(INDEX([1]Pivot!$BF$1:$CG$65000,$B753,AL$5)=1,1,IF(INDEX([1]Pivot!$B$1:$AB$65000,$B753,AL$5)="",2,0)),0)</f>
        <v>0</v>
      </c>
      <c r="AM753" s="313">
        <f>IFERROR(IF(INDEX([1]Pivot!$BF$1:$CG$65000,$B753,AM$5)=1,1,IF(INDEX([1]Pivot!$B$1:$AB$65000,$B753,AM$5)="",2,0)),0)</f>
        <v>0</v>
      </c>
      <c r="AN753" s="313">
        <f>IFERROR(IF(INDEX([1]Pivot!$BF$1:$CG$65000,$B753,AN$5)=1,1,IF(INDEX([1]Pivot!$B$1:$AB$65000,$B753,AN$5)="",2,0)),0)</f>
        <v>0</v>
      </c>
      <c r="AO753" s="313">
        <f>IFERROR(IF(INDEX([1]Pivot!$BF$1:$CG$65000,$B753,AO$5)=1,1,IF(INDEX([1]Pivot!$B$1:$AB$65000,$B753,AO$5)="",2,0)),0)</f>
        <v>0</v>
      </c>
      <c r="AP753" s="313">
        <f>IFERROR(IF(INDEX([1]Pivot!$BF$1:$CG$65000,$B753,AP$5)=1,1,IF(INDEX([1]Pivot!$B$1:$AB$65000,$B753,AP$5)="",2,0)),0)</f>
        <v>0</v>
      </c>
      <c r="AQ753" s="313">
        <f>IFERROR(IF(INDEX([1]Pivot!$BF$1:$CG$65000,$B753,AQ$5)=1,1,IF(INDEX([1]Pivot!$B$1:$AB$65000,$B753,AQ$5)="",2,0)),0)</f>
        <v>0</v>
      </c>
      <c r="AR753" s="313">
        <f>IFERROR(IF(INDEX([1]Pivot!$BF$1:$CG$65000,$B753,AR$5)=1,1,IF(INDEX([1]Pivot!$B$1:$AB$65000,$B753,AR$5)="",2,0)),0)</f>
        <v>0</v>
      </c>
      <c r="AS753" s="312"/>
      <c r="AT753" s="313">
        <f>IFERROR(IF(INDEX([1]Pivot!$BF$1:$CG$65000,$B753,AT$5)=1,1,IF(INDEX([1]Pivot!$B$1:$AB$65000,$B753,AT$5)="",2,0)),0)</f>
        <v>0</v>
      </c>
      <c r="AU753" s="313">
        <f>IFERROR(IF(INDEX([1]Pivot!$BF$1:$CG$65000,$B753,AU$5)=1,1,IF(INDEX([1]Pivot!$B$1:$AB$65000,$B753,AU$5)="",2,0)),0)</f>
        <v>0</v>
      </c>
      <c r="AV753" s="313">
        <f>IFERROR(IF(INDEX([1]Pivot!$BF$1:$CG$65000,$B753,AV$5)=1,1,IF(INDEX([1]Pivot!$B$1:$AB$65000,$B753,AV$5)="",2,0)),0)</f>
        <v>0</v>
      </c>
      <c r="AW753" s="313">
        <f>IFERROR(IF(INDEX([1]Pivot!$BF$1:$CG$65000,$B753,AW$5)=1,1,IF(INDEX([1]Pivot!$B$1:$AB$65000,$B753,AW$5)="",2,0)),0)</f>
        <v>0</v>
      </c>
      <c r="AX753" s="313">
        <f>IFERROR(IF(INDEX([1]Pivot!$BF$1:$CG$65000,$B753,AX$5)=1,1,IF(INDEX([1]Pivot!$B$1:$AB$65000,$B753,AX$5)="",2,0)),0)</f>
        <v>0</v>
      </c>
      <c r="AY753" s="313">
        <f>IFERROR(IF(INDEX([1]Pivot!$BF$1:$CG$65000,$B753,AY$5)=1,1,IF(INDEX([1]Pivot!$B$1:$AB$65000,$B753,AY$5)="",2,0)),0)</f>
        <v>0</v>
      </c>
      <c r="AZ753" s="313">
        <f>IFERROR(IF(INDEX([1]Pivot!$BF$1:$CG$65000,$B753,AZ$5)=1,1,IF(INDEX([1]Pivot!$B$1:$AB$65000,$B753,AZ$5)="",2,0)),0)</f>
        <v>0</v>
      </c>
      <c r="BA753" s="313">
        <f>IFERROR(IF(INDEX([1]Pivot!$BF$1:$CG$65000,$B753,BA$5)=1,1,IF(INDEX([1]Pivot!$B$1:$AB$65000,$B753,BA$5)="",2,0)),0)</f>
        <v>0</v>
      </c>
      <c r="BB753" s="313">
        <f>IFERROR(IF(INDEX([1]Pivot!$BF$1:$CG$65000,$B753,BB$5)=1,1,IF(INDEX([1]Pivot!$B$1:$AB$65000,$B753,BB$5)="",2,0)),0)</f>
        <v>0</v>
      </c>
      <c r="BC753" s="313">
        <f>IFERROR(IF(INDEX([1]Pivot!$BF$1:$CG$65000,$B753,BC$5)=1,1,IF(INDEX([1]Pivot!$B$1:$AB$65000,$B753,BC$5)="",2,0)),0)</f>
        <v>0</v>
      </c>
      <c r="BD753" s="313">
        <f>IFERROR(IF(INDEX([1]Pivot!$BF$1:$CG$65000,$B753,BD$5)=1,1,IF(INDEX([1]Pivot!$B$1:$AB$65000,$B753,BD$5)="",2,0)),0)</f>
        <v>0</v>
      </c>
    </row>
    <row r="754" spans="1:56" x14ac:dyDescent="0.25">
      <c r="A754" s="288">
        <f>'[2]Raw Milk Prices'!A754</f>
        <v>0</v>
      </c>
      <c r="B754" s="296" t="e">
        <f>MATCH(DATE(LEFT('[2]Raw Milk Prices'!$A754,4),RIGHT('[2]Raw Milk Prices'!$A754,2),1),[1]Pivot!$A$1:$A$65000,0)</f>
        <v>#VALUE!</v>
      </c>
      <c r="C754" s="194">
        <f>IFERROR(IF(INDEX([1]Pivot!$AD$1:$BE$65000,$B754,C$5)=1,1,IF(INDEX([1]Pivot!$B$1:$AB$65000,$B754,C$5)="",2,0)),0)</f>
        <v>0</v>
      </c>
      <c r="D754" s="194">
        <f>IFERROR(IF(INDEX([1]Pivot!$AD$1:$BE$65000,$B754,D$5)=1,1,IF(INDEX([1]Pivot!$B$1:$AB$65000,$B754,D$5)="",2,0)),0)</f>
        <v>0</v>
      </c>
      <c r="E754" s="194">
        <f>IFERROR(IF(INDEX([1]Pivot!$AD$1:$BE$65000,$B754,E$5)=1,1,IF(INDEX([1]Pivot!$B$1:$AB$65000,$B754,E$5)="",2,0)),0)</f>
        <v>0</v>
      </c>
      <c r="F754" s="194">
        <f>IFERROR(IF(INDEX([1]Pivot!$AD$1:$BE$65000,$B754,F$5)=1,1,IF(INDEX([1]Pivot!$B$1:$AB$65000,$B754,F$5)="",2,0)),0)</f>
        <v>0</v>
      </c>
      <c r="G754" s="194">
        <f>IFERROR(IF(INDEX([1]Pivot!$AD$1:$BE$65000,$B754,G$5)=1,1,IF(INDEX([1]Pivot!$B$1:$AB$65000,$B754,G$5)="",2,0)),0)</f>
        <v>0</v>
      </c>
      <c r="H754" s="194">
        <f>IFERROR(IF(INDEX([1]Pivot!$AD$1:$BE$65000,$B754,H$5)=1,1,IF(INDEX([1]Pivot!$B$1:$AB$65000,$B754,H$5)="",2,0)),0)</f>
        <v>0</v>
      </c>
      <c r="I754" s="194">
        <f>IFERROR(IF(INDEX([1]Pivot!$AD$1:$BE$65000,$B754,I$5)=1,1,IF(INDEX([1]Pivot!$B$1:$AB$65000,$B754,I$5)="",2,0)),0)</f>
        <v>0</v>
      </c>
      <c r="J754" s="194">
        <f>IFERROR(IF(INDEX([1]Pivot!$AD$1:$BE$65000,$B754,J$5)=1,1,IF(INDEX([1]Pivot!$B$1:$AB$65000,$B754,J$5)="",2,0)),0)</f>
        <v>0</v>
      </c>
      <c r="K754" s="194">
        <f>IFERROR(IF(INDEX([1]Pivot!$AD$1:$BE$65000,$B754,K$5)=1,1,IF(INDEX([1]Pivot!$B$1:$AB$65000,$B754,K$5)="",2,0)),0)</f>
        <v>0</v>
      </c>
      <c r="L754" s="194">
        <f>IFERROR(IF(INDEX([1]Pivot!$AD$1:$BE$65000,$B754,L$5)=1,1,IF(INDEX([1]Pivot!$B$1:$AB$65000,$B754,L$5)="",2,0)),0)</f>
        <v>0</v>
      </c>
      <c r="M754" s="194">
        <f>IFERROR(IF(INDEX([1]Pivot!$AD$1:$BE$65000,$B754,M$5)=1,1,IF(INDEX([1]Pivot!$B$1:$AB$65000,$B754,M$5)="",2,0)),0)</f>
        <v>0</v>
      </c>
      <c r="N754" s="194">
        <f>IFERROR(IF(INDEX([1]Pivot!$AD$1:$BE$65000,$B754,N$5)=1,1,IF(INDEX([1]Pivot!$B$1:$AB$65000,$B754,N$5)="",2,0)),0)</f>
        <v>0</v>
      </c>
      <c r="O754" s="194">
        <f>IFERROR(IF(INDEX([1]Pivot!$AD$1:$BE$65000,$B754,O$5)=1,1,IF(INDEX([1]Pivot!$B$1:$AB$65000,$B754,O$5)="",2,0)),0)</f>
        <v>0</v>
      </c>
      <c r="P754" s="194">
        <f>IFERROR(IF(INDEX([1]Pivot!$AD$1:$BE$65000,$B754,P$5)=1,1,IF(INDEX([1]Pivot!$B$1:$AB$65000,$B754,P$5)="",2,0)),0)</f>
        <v>0</v>
      </c>
      <c r="Q754" s="194">
        <f>IFERROR(IF(INDEX([1]Pivot!$AD$1:$BE$65000,$B754,Q$5)=1,1,IF(INDEX([1]Pivot!$B$1:$AB$65000,$B754,Q$5)="",2,0)),0)</f>
        <v>0</v>
      </c>
      <c r="R754" s="312"/>
      <c r="S754" s="194">
        <f>IFERROR(IF(INDEX([1]Pivot!$AD$1:$BE$65000,$B754,S$5)=1,1,IF(INDEX([1]Pivot!$B$1:$AB$65000,$B754,S$5)="",2,0)),0)</f>
        <v>0</v>
      </c>
      <c r="T754" s="194">
        <f>IFERROR(IF(INDEX([1]Pivot!$AD$1:$BE$65000,$B754,T$5)=1,1,IF(INDEX([1]Pivot!$B$1:$AB$65000,$B754,T$5)="",2,0)),0)</f>
        <v>0</v>
      </c>
      <c r="U754" s="194">
        <f>IFERROR(IF(INDEX([1]Pivot!$AD$1:$BE$65000,$B754,U$5)=1,1,IF(INDEX([1]Pivot!$B$1:$AB$65000,$B754,U$5)="",2,0)),0)</f>
        <v>0</v>
      </c>
      <c r="V754" s="194">
        <f>IFERROR(IF(INDEX([1]Pivot!$AD$1:$BE$65000,$B754,V$5)=1,1,IF(INDEX([1]Pivot!$B$1:$AB$65000,$B754,V$5)="",2,0)),0)</f>
        <v>0</v>
      </c>
      <c r="W754" s="194">
        <f>IFERROR(IF(INDEX([1]Pivot!$AD$1:$BE$65000,$B754,W$5)=1,1,IF(INDEX([1]Pivot!$B$1:$AB$65000,$B754,W$5)="",2,0)),0)</f>
        <v>0</v>
      </c>
      <c r="X754" s="194">
        <f>IFERROR(IF(INDEX([1]Pivot!$AD$1:$BE$65000,$B754,X$5)=1,1,IF(INDEX([1]Pivot!$B$1:$AB$65000,$B754,X$5)="",2,0)),0)</f>
        <v>0</v>
      </c>
      <c r="Y754" s="194">
        <f>IFERROR(IF(INDEX([1]Pivot!$AD$1:$BE$65000,$B754,Y$5)=1,1,IF(INDEX([1]Pivot!$B$1:$AB$65000,$B754,Y$5)="",2,0)),0)</f>
        <v>0</v>
      </c>
      <c r="Z754" s="194">
        <f>IFERROR(IF(INDEX([1]Pivot!$AD$1:$BE$65000,$B754,Z$5)=1,1,IF(INDEX([1]Pivot!$B$1:$AB$65000,$B754,Z$5)="",2,0)),0)</f>
        <v>0</v>
      </c>
      <c r="AA754" s="194">
        <f>IFERROR(IF(INDEX([1]Pivot!$AD$1:$BE$65000,$B754,AA$5)=1,1,IF(INDEX([1]Pivot!$B$1:$AB$65000,$B754,AA$5)="",2,0)),0)</f>
        <v>0</v>
      </c>
      <c r="AB754" s="194">
        <f>IFERROR(IF(INDEX([1]Pivot!$AD$1:$BE$65000,$B754,AB$5)=1,1,IF(INDEX([1]Pivot!$B$1:$AB$65000,$B754,AB$5)="",2,0)),0)</f>
        <v>0</v>
      </c>
      <c r="AC754" s="194">
        <f>IFERROR(IF(INDEX([1]Pivot!$AD$1:$BE$65000,$B754,AC$5)=1,1,IF(INDEX([1]Pivot!$B$1:$AB$65000,$B754,AC$5)="",2,0)),0)</f>
        <v>0</v>
      </c>
      <c r="AD754" s="313">
        <f>IFERROR(IF(INDEX([1]Pivot!$BF$1:$CG$65000,$B754,AD$5)=1,1,IF(INDEX([1]Pivot!$B$1:$AB$65000,$B754,AD$5)="",2,0)),0)</f>
        <v>0</v>
      </c>
      <c r="AE754" s="313">
        <f>IFERROR(IF(INDEX([1]Pivot!$BF$1:$CG$65000,$B754,AE$5)=1,1,IF(INDEX([1]Pivot!$B$1:$AB$65000,$B754,AE$5)="",2,0)),0)</f>
        <v>0</v>
      </c>
      <c r="AF754" s="313">
        <f>IFERROR(IF(INDEX([1]Pivot!$BF$1:$CG$65000,$B754,AF$5)=1,1,IF(INDEX([1]Pivot!$B$1:$AB$65000,$B754,AF$5)="",2,0)),0)</f>
        <v>0</v>
      </c>
      <c r="AG754" s="313">
        <f>IFERROR(IF(INDEX([1]Pivot!$BF$1:$CG$65000,$B754,AG$5)=1,1,IF(INDEX([1]Pivot!$B$1:$AB$65000,$B754,AG$5)="",2,0)),0)</f>
        <v>0</v>
      </c>
      <c r="AH754" s="313">
        <f>IFERROR(IF(INDEX([1]Pivot!$BF$1:$CG$65000,$B754,AH$5)=1,1,IF(INDEX([1]Pivot!$B$1:$AB$65000,$B754,AH$5)="",2,0)),0)</f>
        <v>0</v>
      </c>
      <c r="AI754" s="313">
        <f>IFERROR(IF(INDEX([1]Pivot!$BF$1:$CG$65000,$B754,AI$5)=1,1,IF(INDEX([1]Pivot!$B$1:$AB$65000,$B754,AI$5)="",2,0)),0)</f>
        <v>0</v>
      </c>
      <c r="AJ754" s="313">
        <f>IFERROR(IF(INDEX([1]Pivot!$BF$1:$CG$65000,$B754,AJ$5)=1,1,IF(INDEX([1]Pivot!$B$1:$AB$65000,$B754,AJ$5)="",2,0)),0)</f>
        <v>0</v>
      </c>
      <c r="AK754" s="313">
        <f>IFERROR(IF(INDEX([1]Pivot!$BF$1:$CG$65000,$B754,AK$5)=1,1,IF(INDEX([1]Pivot!$B$1:$AB$65000,$B754,AK$5)="",2,0)),0)</f>
        <v>0</v>
      </c>
      <c r="AL754" s="313">
        <f>IFERROR(IF(INDEX([1]Pivot!$BF$1:$CG$65000,$B754,AL$5)=1,1,IF(INDEX([1]Pivot!$B$1:$AB$65000,$B754,AL$5)="",2,0)),0)</f>
        <v>0</v>
      </c>
      <c r="AM754" s="313">
        <f>IFERROR(IF(INDEX([1]Pivot!$BF$1:$CG$65000,$B754,AM$5)=1,1,IF(INDEX([1]Pivot!$B$1:$AB$65000,$B754,AM$5)="",2,0)),0)</f>
        <v>0</v>
      </c>
      <c r="AN754" s="313">
        <f>IFERROR(IF(INDEX([1]Pivot!$BF$1:$CG$65000,$B754,AN$5)=1,1,IF(INDEX([1]Pivot!$B$1:$AB$65000,$B754,AN$5)="",2,0)),0)</f>
        <v>0</v>
      </c>
      <c r="AO754" s="313">
        <f>IFERROR(IF(INDEX([1]Pivot!$BF$1:$CG$65000,$B754,AO$5)=1,1,IF(INDEX([1]Pivot!$B$1:$AB$65000,$B754,AO$5)="",2,0)),0)</f>
        <v>0</v>
      </c>
      <c r="AP754" s="313">
        <f>IFERROR(IF(INDEX([1]Pivot!$BF$1:$CG$65000,$B754,AP$5)=1,1,IF(INDEX([1]Pivot!$B$1:$AB$65000,$B754,AP$5)="",2,0)),0)</f>
        <v>0</v>
      </c>
      <c r="AQ754" s="313">
        <f>IFERROR(IF(INDEX([1]Pivot!$BF$1:$CG$65000,$B754,AQ$5)=1,1,IF(INDEX([1]Pivot!$B$1:$AB$65000,$B754,AQ$5)="",2,0)),0)</f>
        <v>0</v>
      </c>
      <c r="AR754" s="313">
        <f>IFERROR(IF(INDEX([1]Pivot!$BF$1:$CG$65000,$B754,AR$5)=1,1,IF(INDEX([1]Pivot!$B$1:$AB$65000,$B754,AR$5)="",2,0)),0)</f>
        <v>0</v>
      </c>
      <c r="AS754" s="312"/>
      <c r="AT754" s="313">
        <f>IFERROR(IF(INDEX([1]Pivot!$BF$1:$CG$65000,$B754,AT$5)=1,1,IF(INDEX([1]Pivot!$B$1:$AB$65000,$B754,AT$5)="",2,0)),0)</f>
        <v>0</v>
      </c>
      <c r="AU754" s="313">
        <f>IFERROR(IF(INDEX([1]Pivot!$BF$1:$CG$65000,$B754,AU$5)=1,1,IF(INDEX([1]Pivot!$B$1:$AB$65000,$B754,AU$5)="",2,0)),0)</f>
        <v>0</v>
      </c>
      <c r="AV754" s="313">
        <f>IFERROR(IF(INDEX([1]Pivot!$BF$1:$CG$65000,$B754,AV$5)=1,1,IF(INDEX([1]Pivot!$B$1:$AB$65000,$B754,AV$5)="",2,0)),0)</f>
        <v>0</v>
      </c>
      <c r="AW754" s="313">
        <f>IFERROR(IF(INDEX([1]Pivot!$BF$1:$CG$65000,$B754,AW$5)=1,1,IF(INDEX([1]Pivot!$B$1:$AB$65000,$B754,AW$5)="",2,0)),0)</f>
        <v>0</v>
      </c>
      <c r="AX754" s="313">
        <f>IFERROR(IF(INDEX([1]Pivot!$BF$1:$CG$65000,$B754,AX$5)=1,1,IF(INDEX([1]Pivot!$B$1:$AB$65000,$B754,AX$5)="",2,0)),0)</f>
        <v>0</v>
      </c>
      <c r="AY754" s="313">
        <f>IFERROR(IF(INDEX([1]Pivot!$BF$1:$CG$65000,$B754,AY$5)=1,1,IF(INDEX([1]Pivot!$B$1:$AB$65000,$B754,AY$5)="",2,0)),0)</f>
        <v>0</v>
      </c>
      <c r="AZ754" s="313">
        <f>IFERROR(IF(INDEX([1]Pivot!$BF$1:$CG$65000,$B754,AZ$5)=1,1,IF(INDEX([1]Pivot!$B$1:$AB$65000,$B754,AZ$5)="",2,0)),0)</f>
        <v>0</v>
      </c>
      <c r="BA754" s="313">
        <f>IFERROR(IF(INDEX([1]Pivot!$BF$1:$CG$65000,$B754,BA$5)=1,1,IF(INDEX([1]Pivot!$B$1:$AB$65000,$B754,BA$5)="",2,0)),0)</f>
        <v>0</v>
      </c>
      <c r="BB754" s="313">
        <f>IFERROR(IF(INDEX([1]Pivot!$BF$1:$CG$65000,$B754,BB$5)=1,1,IF(INDEX([1]Pivot!$B$1:$AB$65000,$B754,BB$5)="",2,0)),0)</f>
        <v>0</v>
      </c>
      <c r="BC754" s="313">
        <f>IFERROR(IF(INDEX([1]Pivot!$BF$1:$CG$65000,$B754,BC$5)=1,1,IF(INDEX([1]Pivot!$B$1:$AB$65000,$B754,BC$5)="",2,0)),0)</f>
        <v>0</v>
      </c>
      <c r="BD754" s="313">
        <f>IFERROR(IF(INDEX([1]Pivot!$BF$1:$CG$65000,$B754,BD$5)=1,1,IF(INDEX([1]Pivot!$B$1:$AB$65000,$B754,BD$5)="",2,0)),0)</f>
        <v>0</v>
      </c>
    </row>
    <row r="755" spans="1:56" x14ac:dyDescent="0.25">
      <c r="A755" s="288">
        <f>'[2]Raw Milk Prices'!A755</f>
        <v>0</v>
      </c>
      <c r="B755" s="296" t="e">
        <f>MATCH(DATE(LEFT('[2]Raw Milk Prices'!$A755,4),RIGHT('[2]Raw Milk Prices'!$A755,2),1),[1]Pivot!$A$1:$A$65000,0)</f>
        <v>#VALUE!</v>
      </c>
      <c r="C755" s="194">
        <f>IFERROR(IF(INDEX([1]Pivot!$AD$1:$BE$65000,$B755,C$5)=1,1,IF(INDEX([1]Pivot!$B$1:$AB$65000,$B755,C$5)="",2,0)),0)</f>
        <v>0</v>
      </c>
      <c r="D755" s="194">
        <f>IFERROR(IF(INDEX([1]Pivot!$AD$1:$BE$65000,$B755,D$5)=1,1,IF(INDEX([1]Pivot!$B$1:$AB$65000,$B755,D$5)="",2,0)),0)</f>
        <v>0</v>
      </c>
      <c r="E755" s="194">
        <f>IFERROR(IF(INDEX([1]Pivot!$AD$1:$BE$65000,$B755,E$5)=1,1,IF(INDEX([1]Pivot!$B$1:$AB$65000,$B755,E$5)="",2,0)),0)</f>
        <v>0</v>
      </c>
      <c r="F755" s="194">
        <f>IFERROR(IF(INDEX([1]Pivot!$AD$1:$BE$65000,$B755,F$5)=1,1,IF(INDEX([1]Pivot!$B$1:$AB$65000,$B755,F$5)="",2,0)),0)</f>
        <v>0</v>
      </c>
      <c r="G755" s="194">
        <f>IFERROR(IF(INDEX([1]Pivot!$AD$1:$BE$65000,$B755,G$5)=1,1,IF(INDEX([1]Pivot!$B$1:$AB$65000,$B755,G$5)="",2,0)),0)</f>
        <v>0</v>
      </c>
      <c r="H755" s="194">
        <f>IFERROR(IF(INDEX([1]Pivot!$AD$1:$BE$65000,$B755,H$5)=1,1,IF(INDEX([1]Pivot!$B$1:$AB$65000,$B755,H$5)="",2,0)),0)</f>
        <v>0</v>
      </c>
      <c r="I755" s="194">
        <f>IFERROR(IF(INDEX([1]Pivot!$AD$1:$BE$65000,$B755,I$5)=1,1,IF(INDEX([1]Pivot!$B$1:$AB$65000,$B755,I$5)="",2,0)),0)</f>
        <v>0</v>
      </c>
      <c r="J755" s="194">
        <f>IFERROR(IF(INDEX([1]Pivot!$AD$1:$BE$65000,$B755,J$5)=1,1,IF(INDEX([1]Pivot!$B$1:$AB$65000,$B755,J$5)="",2,0)),0)</f>
        <v>0</v>
      </c>
      <c r="K755" s="194">
        <f>IFERROR(IF(INDEX([1]Pivot!$AD$1:$BE$65000,$B755,K$5)=1,1,IF(INDEX([1]Pivot!$B$1:$AB$65000,$B755,K$5)="",2,0)),0)</f>
        <v>0</v>
      </c>
      <c r="L755" s="194">
        <f>IFERROR(IF(INDEX([1]Pivot!$AD$1:$BE$65000,$B755,L$5)=1,1,IF(INDEX([1]Pivot!$B$1:$AB$65000,$B755,L$5)="",2,0)),0)</f>
        <v>0</v>
      </c>
      <c r="M755" s="194">
        <f>IFERROR(IF(INDEX([1]Pivot!$AD$1:$BE$65000,$B755,M$5)=1,1,IF(INDEX([1]Pivot!$B$1:$AB$65000,$B755,M$5)="",2,0)),0)</f>
        <v>0</v>
      </c>
      <c r="N755" s="194">
        <f>IFERROR(IF(INDEX([1]Pivot!$AD$1:$BE$65000,$B755,N$5)=1,1,IF(INDEX([1]Pivot!$B$1:$AB$65000,$B755,N$5)="",2,0)),0)</f>
        <v>0</v>
      </c>
      <c r="O755" s="194">
        <f>IFERROR(IF(INDEX([1]Pivot!$AD$1:$BE$65000,$B755,O$5)=1,1,IF(INDEX([1]Pivot!$B$1:$AB$65000,$B755,O$5)="",2,0)),0)</f>
        <v>0</v>
      </c>
      <c r="P755" s="194">
        <f>IFERROR(IF(INDEX([1]Pivot!$AD$1:$BE$65000,$B755,P$5)=1,1,IF(INDEX([1]Pivot!$B$1:$AB$65000,$B755,P$5)="",2,0)),0)</f>
        <v>0</v>
      </c>
      <c r="Q755" s="194">
        <f>IFERROR(IF(INDEX([1]Pivot!$AD$1:$BE$65000,$B755,Q$5)=1,1,IF(INDEX([1]Pivot!$B$1:$AB$65000,$B755,Q$5)="",2,0)),0)</f>
        <v>0</v>
      </c>
      <c r="R755" s="312"/>
      <c r="S755" s="194">
        <f>IFERROR(IF(INDEX([1]Pivot!$AD$1:$BE$65000,$B755,S$5)=1,1,IF(INDEX([1]Pivot!$B$1:$AB$65000,$B755,S$5)="",2,0)),0)</f>
        <v>0</v>
      </c>
      <c r="T755" s="194">
        <f>IFERROR(IF(INDEX([1]Pivot!$AD$1:$BE$65000,$B755,T$5)=1,1,IF(INDEX([1]Pivot!$B$1:$AB$65000,$B755,T$5)="",2,0)),0)</f>
        <v>0</v>
      </c>
      <c r="U755" s="194">
        <f>IFERROR(IF(INDEX([1]Pivot!$AD$1:$BE$65000,$B755,U$5)=1,1,IF(INDEX([1]Pivot!$B$1:$AB$65000,$B755,U$5)="",2,0)),0)</f>
        <v>0</v>
      </c>
      <c r="V755" s="194">
        <f>IFERROR(IF(INDEX([1]Pivot!$AD$1:$BE$65000,$B755,V$5)=1,1,IF(INDEX([1]Pivot!$B$1:$AB$65000,$B755,V$5)="",2,0)),0)</f>
        <v>0</v>
      </c>
      <c r="W755" s="194">
        <f>IFERROR(IF(INDEX([1]Pivot!$AD$1:$BE$65000,$B755,W$5)=1,1,IF(INDEX([1]Pivot!$B$1:$AB$65000,$B755,W$5)="",2,0)),0)</f>
        <v>0</v>
      </c>
      <c r="X755" s="194">
        <f>IFERROR(IF(INDEX([1]Pivot!$AD$1:$BE$65000,$B755,X$5)=1,1,IF(INDEX([1]Pivot!$B$1:$AB$65000,$B755,X$5)="",2,0)),0)</f>
        <v>0</v>
      </c>
      <c r="Y755" s="194">
        <f>IFERROR(IF(INDEX([1]Pivot!$AD$1:$BE$65000,$B755,Y$5)=1,1,IF(INDEX([1]Pivot!$B$1:$AB$65000,$B755,Y$5)="",2,0)),0)</f>
        <v>0</v>
      </c>
      <c r="Z755" s="194">
        <f>IFERROR(IF(INDEX([1]Pivot!$AD$1:$BE$65000,$B755,Z$5)=1,1,IF(INDEX([1]Pivot!$B$1:$AB$65000,$B755,Z$5)="",2,0)),0)</f>
        <v>0</v>
      </c>
      <c r="AA755" s="194">
        <f>IFERROR(IF(INDEX([1]Pivot!$AD$1:$BE$65000,$B755,AA$5)=1,1,IF(INDEX([1]Pivot!$B$1:$AB$65000,$B755,AA$5)="",2,0)),0)</f>
        <v>0</v>
      </c>
      <c r="AB755" s="194">
        <f>IFERROR(IF(INDEX([1]Pivot!$AD$1:$BE$65000,$B755,AB$5)=1,1,IF(INDEX([1]Pivot!$B$1:$AB$65000,$B755,AB$5)="",2,0)),0)</f>
        <v>0</v>
      </c>
      <c r="AC755" s="194">
        <f>IFERROR(IF(INDEX([1]Pivot!$AD$1:$BE$65000,$B755,AC$5)=1,1,IF(INDEX([1]Pivot!$B$1:$AB$65000,$B755,AC$5)="",2,0)),0)</f>
        <v>0</v>
      </c>
      <c r="AD755" s="313">
        <f>IFERROR(IF(INDEX([1]Pivot!$BF$1:$CG$65000,$B755,AD$5)=1,1,IF(INDEX([1]Pivot!$B$1:$AB$65000,$B755,AD$5)="",2,0)),0)</f>
        <v>0</v>
      </c>
      <c r="AE755" s="313">
        <f>IFERROR(IF(INDEX([1]Pivot!$BF$1:$CG$65000,$B755,AE$5)=1,1,IF(INDEX([1]Pivot!$B$1:$AB$65000,$B755,AE$5)="",2,0)),0)</f>
        <v>0</v>
      </c>
      <c r="AF755" s="313">
        <f>IFERROR(IF(INDEX([1]Pivot!$BF$1:$CG$65000,$B755,AF$5)=1,1,IF(INDEX([1]Pivot!$B$1:$AB$65000,$B755,AF$5)="",2,0)),0)</f>
        <v>0</v>
      </c>
      <c r="AG755" s="313">
        <f>IFERROR(IF(INDEX([1]Pivot!$BF$1:$CG$65000,$B755,AG$5)=1,1,IF(INDEX([1]Pivot!$B$1:$AB$65000,$B755,AG$5)="",2,0)),0)</f>
        <v>0</v>
      </c>
      <c r="AH755" s="313">
        <f>IFERROR(IF(INDEX([1]Pivot!$BF$1:$CG$65000,$B755,AH$5)=1,1,IF(INDEX([1]Pivot!$B$1:$AB$65000,$B755,AH$5)="",2,0)),0)</f>
        <v>0</v>
      </c>
      <c r="AI755" s="313">
        <f>IFERROR(IF(INDEX([1]Pivot!$BF$1:$CG$65000,$B755,AI$5)=1,1,IF(INDEX([1]Pivot!$B$1:$AB$65000,$B755,AI$5)="",2,0)),0)</f>
        <v>0</v>
      </c>
      <c r="AJ755" s="313">
        <f>IFERROR(IF(INDEX([1]Pivot!$BF$1:$CG$65000,$B755,AJ$5)=1,1,IF(INDEX([1]Pivot!$B$1:$AB$65000,$B755,AJ$5)="",2,0)),0)</f>
        <v>0</v>
      </c>
      <c r="AK755" s="313">
        <f>IFERROR(IF(INDEX([1]Pivot!$BF$1:$CG$65000,$B755,AK$5)=1,1,IF(INDEX([1]Pivot!$B$1:$AB$65000,$B755,AK$5)="",2,0)),0)</f>
        <v>0</v>
      </c>
      <c r="AL755" s="313">
        <f>IFERROR(IF(INDEX([1]Pivot!$BF$1:$CG$65000,$B755,AL$5)=1,1,IF(INDEX([1]Pivot!$B$1:$AB$65000,$B755,AL$5)="",2,0)),0)</f>
        <v>0</v>
      </c>
      <c r="AM755" s="313">
        <f>IFERROR(IF(INDEX([1]Pivot!$BF$1:$CG$65000,$B755,AM$5)=1,1,IF(INDEX([1]Pivot!$B$1:$AB$65000,$B755,AM$5)="",2,0)),0)</f>
        <v>0</v>
      </c>
      <c r="AN755" s="313">
        <f>IFERROR(IF(INDEX([1]Pivot!$BF$1:$CG$65000,$B755,AN$5)=1,1,IF(INDEX([1]Pivot!$B$1:$AB$65000,$B755,AN$5)="",2,0)),0)</f>
        <v>0</v>
      </c>
      <c r="AO755" s="313">
        <f>IFERROR(IF(INDEX([1]Pivot!$BF$1:$CG$65000,$B755,AO$5)=1,1,IF(INDEX([1]Pivot!$B$1:$AB$65000,$B755,AO$5)="",2,0)),0)</f>
        <v>0</v>
      </c>
      <c r="AP755" s="313">
        <f>IFERROR(IF(INDEX([1]Pivot!$BF$1:$CG$65000,$B755,AP$5)=1,1,IF(INDEX([1]Pivot!$B$1:$AB$65000,$B755,AP$5)="",2,0)),0)</f>
        <v>0</v>
      </c>
      <c r="AQ755" s="313">
        <f>IFERROR(IF(INDEX([1]Pivot!$BF$1:$CG$65000,$B755,AQ$5)=1,1,IF(INDEX([1]Pivot!$B$1:$AB$65000,$B755,AQ$5)="",2,0)),0)</f>
        <v>0</v>
      </c>
      <c r="AR755" s="313">
        <f>IFERROR(IF(INDEX([1]Pivot!$BF$1:$CG$65000,$B755,AR$5)=1,1,IF(INDEX([1]Pivot!$B$1:$AB$65000,$B755,AR$5)="",2,0)),0)</f>
        <v>0</v>
      </c>
      <c r="AS755" s="312"/>
      <c r="AT755" s="313">
        <f>IFERROR(IF(INDEX([1]Pivot!$BF$1:$CG$65000,$B755,AT$5)=1,1,IF(INDEX([1]Pivot!$B$1:$AB$65000,$B755,AT$5)="",2,0)),0)</f>
        <v>0</v>
      </c>
      <c r="AU755" s="313">
        <f>IFERROR(IF(INDEX([1]Pivot!$BF$1:$CG$65000,$B755,AU$5)=1,1,IF(INDEX([1]Pivot!$B$1:$AB$65000,$B755,AU$5)="",2,0)),0)</f>
        <v>0</v>
      </c>
      <c r="AV755" s="313">
        <f>IFERROR(IF(INDEX([1]Pivot!$BF$1:$CG$65000,$B755,AV$5)=1,1,IF(INDEX([1]Pivot!$B$1:$AB$65000,$B755,AV$5)="",2,0)),0)</f>
        <v>0</v>
      </c>
      <c r="AW755" s="313">
        <f>IFERROR(IF(INDEX([1]Pivot!$BF$1:$CG$65000,$B755,AW$5)=1,1,IF(INDEX([1]Pivot!$B$1:$AB$65000,$B755,AW$5)="",2,0)),0)</f>
        <v>0</v>
      </c>
      <c r="AX755" s="313">
        <f>IFERROR(IF(INDEX([1]Pivot!$BF$1:$CG$65000,$B755,AX$5)=1,1,IF(INDEX([1]Pivot!$B$1:$AB$65000,$B755,AX$5)="",2,0)),0)</f>
        <v>0</v>
      </c>
      <c r="AY755" s="313">
        <f>IFERROR(IF(INDEX([1]Pivot!$BF$1:$CG$65000,$B755,AY$5)=1,1,IF(INDEX([1]Pivot!$B$1:$AB$65000,$B755,AY$5)="",2,0)),0)</f>
        <v>0</v>
      </c>
      <c r="AZ755" s="313">
        <f>IFERROR(IF(INDEX([1]Pivot!$BF$1:$CG$65000,$B755,AZ$5)=1,1,IF(INDEX([1]Pivot!$B$1:$AB$65000,$B755,AZ$5)="",2,0)),0)</f>
        <v>0</v>
      </c>
      <c r="BA755" s="313">
        <f>IFERROR(IF(INDEX([1]Pivot!$BF$1:$CG$65000,$B755,BA$5)=1,1,IF(INDEX([1]Pivot!$B$1:$AB$65000,$B755,BA$5)="",2,0)),0)</f>
        <v>0</v>
      </c>
      <c r="BB755" s="313">
        <f>IFERROR(IF(INDEX([1]Pivot!$BF$1:$CG$65000,$B755,BB$5)=1,1,IF(INDEX([1]Pivot!$B$1:$AB$65000,$B755,BB$5)="",2,0)),0)</f>
        <v>0</v>
      </c>
      <c r="BC755" s="313">
        <f>IFERROR(IF(INDEX([1]Pivot!$BF$1:$CG$65000,$B755,BC$5)=1,1,IF(INDEX([1]Pivot!$B$1:$AB$65000,$B755,BC$5)="",2,0)),0)</f>
        <v>0</v>
      </c>
      <c r="BD755" s="313">
        <f>IFERROR(IF(INDEX([1]Pivot!$BF$1:$CG$65000,$B755,BD$5)=1,1,IF(INDEX([1]Pivot!$B$1:$AB$65000,$B755,BD$5)="",2,0)),0)</f>
        <v>0</v>
      </c>
    </row>
    <row r="756" spans="1:56" x14ac:dyDescent="0.25">
      <c r="A756" s="288">
        <f>'[2]Raw Milk Prices'!A756</f>
        <v>0</v>
      </c>
      <c r="B756" s="296" t="e">
        <f>MATCH(DATE(LEFT('[2]Raw Milk Prices'!$A756,4),RIGHT('[2]Raw Milk Prices'!$A756,2),1),[1]Pivot!$A$1:$A$65000,0)</f>
        <v>#VALUE!</v>
      </c>
      <c r="C756" s="194">
        <f>IFERROR(IF(INDEX([1]Pivot!$AD$1:$BE$65000,$B756,C$5)=1,1,IF(INDEX([1]Pivot!$B$1:$AB$65000,$B756,C$5)="",2,0)),0)</f>
        <v>0</v>
      </c>
      <c r="D756" s="194">
        <f>IFERROR(IF(INDEX([1]Pivot!$AD$1:$BE$65000,$B756,D$5)=1,1,IF(INDEX([1]Pivot!$B$1:$AB$65000,$B756,D$5)="",2,0)),0)</f>
        <v>0</v>
      </c>
      <c r="E756" s="194">
        <f>IFERROR(IF(INDEX([1]Pivot!$AD$1:$BE$65000,$B756,E$5)=1,1,IF(INDEX([1]Pivot!$B$1:$AB$65000,$B756,E$5)="",2,0)),0)</f>
        <v>0</v>
      </c>
      <c r="F756" s="194">
        <f>IFERROR(IF(INDEX([1]Pivot!$AD$1:$BE$65000,$B756,F$5)=1,1,IF(INDEX([1]Pivot!$B$1:$AB$65000,$B756,F$5)="",2,0)),0)</f>
        <v>0</v>
      </c>
      <c r="G756" s="194">
        <f>IFERROR(IF(INDEX([1]Pivot!$AD$1:$BE$65000,$B756,G$5)=1,1,IF(INDEX([1]Pivot!$B$1:$AB$65000,$B756,G$5)="",2,0)),0)</f>
        <v>0</v>
      </c>
      <c r="H756" s="194">
        <f>IFERROR(IF(INDEX([1]Pivot!$AD$1:$BE$65000,$B756,H$5)=1,1,IF(INDEX([1]Pivot!$B$1:$AB$65000,$B756,H$5)="",2,0)),0)</f>
        <v>0</v>
      </c>
      <c r="I756" s="194">
        <f>IFERROR(IF(INDEX([1]Pivot!$AD$1:$BE$65000,$B756,I$5)=1,1,IF(INDEX([1]Pivot!$B$1:$AB$65000,$B756,I$5)="",2,0)),0)</f>
        <v>0</v>
      </c>
      <c r="J756" s="194">
        <f>IFERROR(IF(INDEX([1]Pivot!$AD$1:$BE$65000,$B756,J$5)=1,1,IF(INDEX([1]Pivot!$B$1:$AB$65000,$B756,J$5)="",2,0)),0)</f>
        <v>0</v>
      </c>
      <c r="K756" s="194">
        <f>IFERROR(IF(INDEX([1]Pivot!$AD$1:$BE$65000,$B756,K$5)=1,1,IF(INDEX([1]Pivot!$B$1:$AB$65000,$B756,K$5)="",2,0)),0)</f>
        <v>0</v>
      </c>
      <c r="L756" s="194">
        <f>IFERROR(IF(INDEX([1]Pivot!$AD$1:$BE$65000,$B756,L$5)=1,1,IF(INDEX([1]Pivot!$B$1:$AB$65000,$B756,L$5)="",2,0)),0)</f>
        <v>0</v>
      </c>
      <c r="M756" s="194">
        <f>IFERROR(IF(INDEX([1]Pivot!$AD$1:$BE$65000,$B756,M$5)=1,1,IF(INDEX([1]Pivot!$B$1:$AB$65000,$B756,M$5)="",2,0)),0)</f>
        <v>0</v>
      </c>
      <c r="N756" s="194">
        <f>IFERROR(IF(INDEX([1]Pivot!$AD$1:$BE$65000,$B756,N$5)=1,1,IF(INDEX([1]Pivot!$B$1:$AB$65000,$B756,N$5)="",2,0)),0)</f>
        <v>0</v>
      </c>
      <c r="O756" s="194">
        <f>IFERROR(IF(INDEX([1]Pivot!$AD$1:$BE$65000,$B756,O$5)=1,1,IF(INDEX([1]Pivot!$B$1:$AB$65000,$B756,O$5)="",2,0)),0)</f>
        <v>0</v>
      </c>
      <c r="P756" s="194">
        <f>IFERROR(IF(INDEX([1]Pivot!$AD$1:$BE$65000,$B756,P$5)=1,1,IF(INDEX([1]Pivot!$B$1:$AB$65000,$B756,P$5)="",2,0)),0)</f>
        <v>0</v>
      </c>
      <c r="Q756" s="194">
        <f>IFERROR(IF(INDEX([1]Pivot!$AD$1:$BE$65000,$B756,Q$5)=1,1,IF(INDEX([1]Pivot!$B$1:$AB$65000,$B756,Q$5)="",2,0)),0)</f>
        <v>0</v>
      </c>
      <c r="R756" s="312"/>
      <c r="S756" s="194">
        <f>IFERROR(IF(INDEX([1]Pivot!$AD$1:$BE$65000,$B756,S$5)=1,1,IF(INDEX([1]Pivot!$B$1:$AB$65000,$B756,S$5)="",2,0)),0)</f>
        <v>0</v>
      </c>
      <c r="T756" s="194">
        <f>IFERROR(IF(INDEX([1]Pivot!$AD$1:$BE$65000,$B756,T$5)=1,1,IF(INDEX([1]Pivot!$B$1:$AB$65000,$B756,T$5)="",2,0)),0)</f>
        <v>0</v>
      </c>
      <c r="U756" s="194">
        <f>IFERROR(IF(INDEX([1]Pivot!$AD$1:$BE$65000,$B756,U$5)=1,1,IF(INDEX([1]Pivot!$B$1:$AB$65000,$B756,U$5)="",2,0)),0)</f>
        <v>0</v>
      </c>
      <c r="V756" s="194">
        <f>IFERROR(IF(INDEX([1]Pivot!$AD$1:$BE$65000,$B756,V$5)=1,1,IF(INDEX([1]Pivot!$B$1:$AB$65000,$B756,V$5)="",2,0)),0)</f>
        <v>0</v>
      </c>
      <c r="W756" s="194">
        <f>IFERROR(IF(INDEX([1]Pivot!$AD$1:$BE$65000,$B756,W$5)=1,1,IF(INDEX([1]Pivot!$B$1:$AB$65000,$B756,W$5)="",2,0)),0)</f>
        <v>0</v>
      </c>
      <c r="X756" s="194">
        <f>IFERROR(IF(INDEX([1]Pivot!$AD$1:$BE$65000,$B756,X$5)=1,1,IF(INDEX([1]Pivot!$B$1:$AB$65000,$B756,X$5)="",2,0)),0)</f>
        <v>0</v>
      </c>
      <c r="Y756" s="194">
        <f>IFERROR(IF(INDEX([1]Pivot!$AD$1:$BE$65000,$B756,Y$5)=1,1,IF(INDEX([1]Pivot!$B$1:$AB$65000,$B756,Y$5)="",2,0)),0)</f>
        <v>0</v>
      </c>
      <c r="Z756" s="194">
        <f>IFERROR(IF(INDEX([1]Pivot!$AD$1:$BE$65000,$B756,Z$5)=1,1,IF(INDEX([1]Pivot!$B$1:$AB$65000,$B756,Z$5)="",2,0)),0)</f>
        <v>0</v>
      </c>
      <c r="AA756" s="194">
        <f>IFERROR(IF(INDEX([1]Pivot!$AD$1:$BE$65000,$B756,AA$5)=1,1,IF(INDEX([1]Pivot!$B$1:$AB$65000,$B756,AA$5)="",2,0)),0)</f>
        <v>0</v>
      </c>
      <c r="AB756" s="194">
        <f>IFERROR(IF(INDEX([1]Pivot!$AD$1:$BE$65000,$B756,AB$5)=1,1,IF(INDEX([1]Pivot!$B$1:$AB$65000,$B756,AB$5)="",2,0)),0)</f>
        <v>0</v>
      </c>
      <c r="AC756" s="194">
        <f>IFERROR(IF(INDEX([1]Pivot!$AD$1:$BE$65000,$B756,AC$5)=1,1,IF(INDEX([1]Pivot!$B$1:$AB$65000,$B756,AC$5)="",2,0)),0)</f>
        <v>0</v>
      </c>
      <c r="AD756" s="313">
        <f>IFERROR(IF(INDEX([1]Pivot!$BF$1:$CG$65000,$B756,AD$5)=1,1,IF(INDEX([1]Pivot!$B$1:$AB$65000,$B756,AD$5)="",2,0)),0)</f>
        <v>0</v>
      </c>
      <c r="AE756" s="313">
        <f>IFERROR(IF(INDEX([1]Pivot!$BF$1:$CG$65000,$B756,AE$5)=1,1,IF(INDEX([1]Pivot!$B$1:$AB$65000,$B756,AE$5)="",2,0)),0)</f>
        <v>0</v>
      </c>
      <c r="AF756" s="313">
        <f>IFERROR(IF(INDEX([1]Pivot!$BF$1:$CG$65000,$B756,AF$5)=1,1,IF(INDEX([1]Pivot!$B$1:$AB$65000,$B756,AF$5)="",2,0)),0)</f>
        <v>0</v>
      </c>
      <c r="AG756" s="313">
        <f>IFERROR(IF(INDEX([1]Pivot!$BF$1:$CG$65000,$B756,AG$5)=1,1,IF(INDEX([1]Pivot!$B$1:$AB$65000,$B756,AG$5)="",2,0)),0)</f>
        <v>0</v>
      </c>
      <c r="AH756" s="313">
        <f>IFERROR(IF(INDEX([1]Pivot!$BF$1:$CG$65000,$B756,AH$5)=1,1,IF(INDEX([1]Pivot!$B$1:$AB$65000,$B756,AH$5)="",2,0)),0)</f>
        <v>0</v>
      </c>
      <c r="AI756" s="313">
        <f>IFERROR(IF(INDEX([1]Pivot!$BF$1:$CG$65000,$B756,AI$5)=1,1,IF(INDEX([1]Pivot!$B$1:$AB$65000,$B756,AI$5)="",2,0)),0)</f>
        <v>0</v>
      </c>
      <c r="AJ756" s="313">
        <f>IFERROR(IF(INDEX([1]Pivot!$BF$1:$CG$65000,$B756,AJ$5)=1,1,IF(INDEX([1]Pivot!$B$1:$AB$65000,$B756,AJ$5)="",2,0)),0)</f>
        <v>0</v>
      </c>
      <c r="AK756" s="313">
        <f>IFERROR(IF(INDEX([1]Pivot!$BF$1:$CG$65000,$B756,AK$5)=1,1,IF(INDEX([1]Pivot!$B$1:$AB$65000,$B756,AK$5)="",2,0)),0)</f>
        <v>0</v>
      </c>
      <c r="AL756" s="313">
        <f>IFERROR(IF(INDEX([1]Pivot!$BF$1:$CG$65000,$B756,AL$5)=1,1,IF(INDEX([1]Pivot!$B$1:$AB$65000,$B756,AL$5)="",2,0)),0)</f>
        <v>0</v>
      </c>
      <c r="AM756" s="313">
        <f>IFERROR(IF(INDEX([1]Pivot!$BF$1:$CG$65000,$B756,AM$5)=1,1,IF(INDEX([1]Pivot!$B$1:$AB$65000,$B756,AM$5)="",2,0)),0)</f>
        <v>0</v>
      </c>
      <c r="AN756" s="313">
        <f>IFERROR(IF(INDEX([1]Pivot!$BF$1:$CG$65000,$B756,AN$5)=1,1,IF(INDEX([1]Pivot!$B$1:$AB$65000,$B756,AN$5)="",2,0)),0)</f>
        <v>0</v>
      </c>
      <c r="AO756" s="313">
        <f>IFERROR(IF(INDEX([1]Pivot!$BF$1:$CG$65000,$B756,AO$5)=1,1,IF(INDEX([1]Pivot!$B$1:$AB$65000,$B756,AO$5)="",2,0)),0)</f>
        <v>0</v>
      </c>
      <c r="AP756" s="313">
        <f>IFERROR(IF(INDEX([1]Pivot!$BF$1:$CG$65000,$B756,AP$5)=1,1,IF(INDEX([1]Pivot!$B$1:$AB$65000,$B756,AP$5)="",2,0)),0)</f>
        <v>0</v>
      </c>
      <c r="AQ756" s="313">
        <f>IFERROR(IF(INDEX([1]Pivot!$BF$1:$CG$65000,$B756,AQ$5)=1,1,IF(INDEX([1]Pivot!$B$1:$AB$65000,$B756,AQ$5)="",2,0)),0)</f>
        <v>0</v>
      </c>
      <c r="AR756" s="313">
        <f>IFERROR(IF(INDEX([1]Pivot!$BF$1:$CG$65000,$B756,AR$5)=1,1,IF(INDEX([1]Pivot!$B$1:$AB$65000,$B756,AR$5)="",2,0)),0)</f>
        <v>0</v>
      </c>
      <c r="AS756" s="312"/>
      <c r="AT756" s="313">
        <f>IFERROR(IF(INDEX([1]Pivot!$BF$1:$CG$65000,$B756,AT$5)=1,1,IF(INDEX([1]Pivot!$B$1:$AB$65000,$B756,AT$5)="",2,0)),0)</f>
        <v>0</v>
      </c>
      <c r="AU756" s="313">
        <f>IFERROR(IF(INDEX([1]Pivot!$BF$1:$CG$65000,$B756,AU$5)=1,1,IF(INDEX([1]Pivot!$B$1:$AB$65000,$B756,AU$5)="",2,0)),0)</f>
        <v>0</v>
      </c>
      <c r="AV756" s="313">
        <f>IFERROR(IF(INDEX([1]Pivot!$BF$1:$CG$65000,$B756,AV$5)=1,1,IF(INDEX([1]Pivot!$B$1:$AB$65000,$B756,AV$5)="",2,0)),0)</f>
        <v>0</v>
      </c>
      <c r="AW756" s="313">
        <f>IFERROR(IF(INDEX([1]Pivot!$BF$1:$CG$65000,$B756,AW$5)=1,1,IF(INDEX([1]Pivot!$B$1:$AB$65000,$B756,AW$5)="",2,0)),0)</f>
        <v>0</v>
      </c>
      <c r="AX756" s="313">
        <f>IFERROR(IF(INDEX([1]Pivot!$BF$1:$CG$65000,$B756,AX$5)=1,1,IF(INDEX([1]Pivot!$B$1:$AB$65000,$B756,AX$5)="",2,0)),0)</f>
        <v>0</v>
      </c>
      <c r="AY756" s="313">
        <f>IFERROR(IF(INDEX([1]Pivot!$BF$1:$CG$65000,$B756,AY$5)=1,1,IF(INDEX([1]Pivot!$B$1:$AB$65000,$B756,AY$5)="",2,0)),0)</f>
        <v>0</v>
      </c>
      <c r="AZ756" s="313">
        <f>IFERROR(IF(INDEX([1]Pivot!$BF$1:$CG$65000,$B756,AZ$5)=1,1,IF(INDEX([1]Pivot!$B$1:$AB$65000,$B756,AZ$5)="",2,0)),0)</f>
        <v>0</v>
      </c>
      <c r="BA756" s="313">
        <f>IFERROR(IF(INDEX([1]Pivot!$BF$1:$CG$65000,$B756,BA$5)=1,1,IF(INDEX([1]Pivot!$B$1:$AB$65000,$B756,BA$5)="",2,0)),0)</f>
        <v>0</v>
      </c>
      <c r="BB756" s="313">
        <f>IFERROR(IF(INDEX([1]Pivot!$BF$1:$CG$65000,$B756,BB$5)=1,1,IF(INDEX([1]Pivot!$B$1:$AB$65000,$B756,BB$5)="",2,0)),0)</f>
        <v>0</v>
      </c>
      <c r="BC756" s="313">
        <f>IFERROR(IF(INDEX([1]Pivot!$BF$1:$CG$65000,$B756,BC$5)=1,1,IF(INDEX([1]Pivot!$B$1:$AB$65000,$B756,BC$5)="",2,0)),0)</f>
        <v>0</v>
      </c>
      <c r="BD756" s="313">
        <f>IFERROR(IF(INDEX([1]Pivot!$BF$1:$CG$65000,$B756,BD$5)=1,1,IF(INDEX([1]Pivot!$B$1:$AB$65000,$B756,BD$5)="",2,0)),0)</f>
        <v>0</v>
      </c>
    </row>
    <row r="757" spans="1:56" x14ac:dyDescent="0.25">
      <c r="A757" s="288">
        <f>'[2]Raw Milk Prices'!A757</f>
        <v>0</v>
      </c>
      <c r="B757" s="296" t="e">
        <f>MATCH(DATE(LEFT('[2]Raw Milk Prices'!$A757,4),RIGHT('[2]Raw Milk Prices'!$A757,2),1),[1]Pivot!$A$1:$A$65000,0)</f>
        <v>#VALUE!</v>
      </c>
      <c r="C757" s="194">
        <f>IFERROR(IF(INDEX([1]Pivot!$AD$1:$BE$65000,$B757,C$5)=1,1,IF(INDEX([1]Pivot!$B$1:$AB$65000,$B757,C$5)="",2,0)),0)</f>
        <v>0</v>
      </c>
      <c r="D757" s="194">
        <f>IFERROR(IF(INDEX([1]Pivot!$AD$1:$BE$65000,$B757,D$5)=1,1,IF(INDEX([1]Pivot!$B$1:$AB$65000,$B757,D$5)="",2,0)),0)</f>
        <v>0</v>
      </c>
      <c r="E757" s="194">
        <f>IFERROR(IF(INDEX([1]Pivot!$AD$1:$BE$65000,$B757,E$5)=1,1,IF(INDEX([1]Pivot!$B$1:$AB$65000,$B757,E$5)="",2,0)),0)</f>
        <v>0</v>
      </c>
      <c r="F757" s="194">
        <f>IFERROR(IF(INDEX([1]Pivot!$AD$1:$BE$65000,$B757,F$5)=1,1,IF(INDEX([1]Pivot!$B$1:$AB$65000,$B757,F$5)="",2,0)),0)</f>
        <v>0</v>
      </c>
      <c r="G757" s="194">
        <f>IFERROR(IF(INDEX([1]Pivot!$AD$1:$BE$65000,$B757,G$5)=1,1,IF(INDEX([1]Pivot!$B$1:$AB$65000,$B757,G$5)="",2,0)),0)</f>
        <v>0</v>
      </c>
      <c r="H757" s="194">
        <f>IFERROR(IF(INDEX([1]Pivot!$AD$1:$BE$65000,$B757,H$5)=1,1,IF(INDEX([1]Pivot!$B$1:$AB$65000,$B757,H$5)="",2,0)),0)</f>
        <v>0</v>
      </c>
      <c r="I757" s="194">
        <f>IFERROR(IF(INDEX([1]Pivot!$AD$1:$BE$65000,$B757,I$5)=1,1,IF(INDEX([1]Pivot!$B$1:$AB$65000,$B757,I$5)="",2,0)),0)</f>
        <v>0</v>
      </c>
      <c r="J757" s="194">
        <f>IFERROR(IF(INDEX([1]Pivot!$AD$1:$BE$65000,$B757,J$5)=1,1,IF(INDEX([1]Pivot!$B$1:$AB$65000,$B757,J$5)="",2,0)),0)</f>
        <v>0</v>
      </c>
      <c r="K757" s="194">
        <f>IFERROR(IF(INDEX([1]Pivot!$AD$1:$BE$65000,$B757,K$5)=1,1,IF(INDEX([1]Pivot!$B$1:$AB$65000,$B757,K$5)="",2,0)),0)</f>
        <v>0</v>
      </c>
      <c r="L757" s="194">
        <f>IFERROR(IF(INDEX([1]Pivot!$AD$1:$BE$65000,$B757,L$5)=1,1,IF(INDEX([1]Pivot!$B$1:$AB$65000,$B757,L$5)="",2,0)),0)</f>
        <v>0</v>
      </c>
      <c r="M757" s="194">
        <f>IFERROR(IF(INDEX([1]Pivot!$AD$1:$BE$65000,$B757,M$5)=1,1,IF(INDEX([1]Pivot!$B$1:$AB$65000,$B757,M$5)="",2,0)),0)</f>
        <v>0</v>
      </c>
      <c r="N757" s="194">
        <f>IFERROR(IF(INDEX([1]Pivot!$AD$1:$BE$65000,$B757,N$5)=1,1,IF(INDEX([1]Pivot!$B$1:$AB$65000,$B757,N$5)="",2,0)),0)</f>
        <v>0</v>
      </c>
      <c r="O757" s="194">
        <f>IFERROR(IF(INDEX([1]Pivot!$AD$1:$BE$65000,$B757,O$5)=1,1,IF(INDEX([1]Pivot!$B$1:$AB$65000,$B757,O$5)="",2,0)),0)</f>
        <v>0</v>
      </c>
      <c r="P757" s="194">
        <f>IFERROR(IF(INDEX([1]Pivot!$AD$1:$BE$65000,$B757,P$5)=1,1,IF(INDEX([1]Pivot!$B$1:$AB$65000,$B757,P$5)="",2,0)),0)</f>
        <v>0</v>
      </c>
      <c r="Q757" s="194">
        <f>IFERROR(IF(INDEX([1]Pivot!$AD$1:$BE$65000,$B757,Q$5)=1,1,IF(INDEX([1]Pivot!$B$1:$AB$65000,$B757,Q$5)="",2,0)),0)</f>
        <v>0</v>
      </c>
      <c r="R757" s="312"/>
      <c r="S757" s="194">
        <f>IFERROR(IF(INDEX([1]Pivot!$AD$1:$BE$65000,$B757,S$5)=1,1,IF(INDEX([1]Pivot!$B$1:$AB$65000,$B757,S$5)="",2,0)),0)</f>
        <v>0</v>
      </c>
      <c r="T757" s="194">
        <f>IFERROR(IF(INDEX([1]Pivot!$AD$1:$BE$65000,$B757,T$5)=1,1,IF(INDEX([1]Pivot!$B$1:$AB$65000,$B757,T$5)="",2,0)),0)</f>
        <v>0</v>
      </c>
      <c r="U757" s="194">
        <f>IFERROR(IF(INDEX([1]Pivot!$AD$1:$BE$65000,$B757,U$5)=1,1,IF(INDEX([1]Pivot!$B$1:$AB$65000,$B757,U$5)="",2,0)),0)</f>
        <v>0</v>
      </c>
      <c r="V757" s="194">
        <f>IFERROR(IF(INDEX([1]Pivot!$AD$1:$BE$65000,$B757,V$5)=1,1,IF(INDEX([1]Pivot!$B$1:$AB$65000,$B757,V$5)="",2,0)),0)</f>
        <v>0</v>
      </c>
      <c r="W757" s="194">
        <f>IFERROR(IF(INDEX([1]Pivot!$AD$1:$BE$65000,$B757,W$5)=1,1,IF(INDEX([1]Pivot!$B$1:$AB$65000,$B757,W$5)="",2,0)),0)</f>
        <v>0</v>
      </c>
      <c r="X757" s="194">
        <f>IFERROR(IF(INDEX([1]Pivot!$AD$1:$BE$65000,$B757,X$5)=1,1,IF(INDEX([1]Pivot!$B$1:$AB$65000,$B757,X$5)="",2,0)),0)</f>
        <v>0</v>
      </c>
      <c r="Y757" s="194">
        <f>IFERROR(IF(INDEX([1]Pivot!$AD$1:$BE$65000,$B757,Y$5)=1,1,IF(INDEX([1]Pivot!$B$1:$AB$65000,$B757,Y$5)="",2,0)),0)</f>
        <v>0</v>
      </c>
      <c r="Z757" s="194">
        <f>IFERROR(IF(INDEX([1]Pivot!$AD$1:$BE$65000,$B757,Z$5)=1,1,IF(INDEX([1]Pivot!$B$1:$AB$65000,$B757,Z$5)="",2,0)),0)</f>
        <v>0</v>
      </c>
      <c r="AA757" s="194">
        <f>IFERROR(IF(INDEX([1]Pivot!$AD$1:$BE$65000,$B757,AA$5)=1,1,IF(INDEX([1]Pivot!$B$1:$AB$65000,$B757,AA$5)="",2,0)),0)</f>
        <v>0</v>
      </c>
      <c r="AB757" s="194">
        <f>IFERROR(IF(INDEX([1]Pivot!$AD$1:$BE$65000,$B757,AB$5)=1,1,IF(INDEX([1]Pivot!$B$1:$AB$65000,$B757,AB$5)="",2,0)),0)</f>
        <v>0</v>
      </c>
      <c r="AC757" s="194">
        <f>IFERROR(IF(INDEX([1]Pivot!$AD$1:$BE$65000,$B757,AC$5)=1,1,IF(INDEX([1]Pivot!$B$1:$AB$65000,$B757,AC$5)="",2,0)),0)</f>
        <v>0</v>
      </c>
      <c r="AD757" s="313">
        <f>IFERROR(IF(INDEX([1]Pivot!$BF$1:$CG$65000,$B757,AD$5)=1,1,IF(INDEX([1]Pivot!$B$1:$AB$65000,$B757,AD$5)="",2,0)),0)</f>
        <v>0</v>
      </c>
      <c r="AE757" s="313">
        <f>IFERROR(IF(INDEX([1]Pivot!$BF$1:$CG$65000,$B757,AE$5)=1,1,IF(INDEX([1]Pivot!$B$1:$AB$65000,$B757,AE$5)="",2,0)),0)</f>
        <v>0</v>
      </c>
      <c r="AF757" s="313">
        <f>IFERROR(IF(INDEX([1]Pivot!$BF$1:$CG$65000,$B757,AF$5)=1,1,IF(INDEX([1]Pivot!$B$1:$AB$65000,$B757,AF$5)="",2,0)),0)</f>
        <v>0</v>
      </c>
      <c r="AG757" s="313">
        <f>IFERROR(IF(INDEX([1]Pivot!$BF$1:$CG$65000,$B757,AG$5)=1,1,IF(INDEX([1]Pivot!$B$1:$AB$65000,$B757,AG$5)="",2,0)),0)</f>
        <v>0</v>
      </c>
      <c r="AH757" s="313">
        <f>IFERROR(IF(INDEX([1]Pivot!$BF$1:$CG$65000,$B757,AH$5)=1,1,IF(INDEX([1]Pivot!$B$1:$AB$65000,$B757,AH$5)="",2,0)),0)</f>
        <v>0</v>
      </c>
      <c r="AI757" s="313">
        <f>IFERROR(IF(INDEX([1]Pivot!$BF$1:$CG$65000,$B757,AI$5)=1,1,IF(INDEX([1]Pivot!$B$1:$AB$65000,$B757,AI$5)="",2,0)),0)</f>
        <v>0</v>
      </c>
      <c r="AJ757" s="313">
        <f>IFERROR(IF(INDEX([1]Pivot!$BF$1:$CG$65000,$B757,AJ$5)=1,1,IF(INDEX([1]Pivot!$B$1:$AB$65000,$B757,AJ$5)="",2,0)),0)</f>
        <v>0</v>
      </c>
      <c r="AK757" s="313">
        <f>IFERROR(IF(INDEX([1]Pivot!$BF$1:$CG$65000,$B757,AK$5)=1,1,IF(INDEX([1]Pivot!$B$1:$AB$65000,$B757,AK$5)="",2,0)),0)</f>
        <v>0</v>
      </c>
      <c r="AL757" s="313">
        <f>IFERROR(IF(INDEX([1]Pivot!$BF$1:$CG$65000,$B757,AL$5)=1,1,IF(INDEX([1]Pivot!$B$1:$AB$65000,$B757,AL$5)="",2,0)),0)</f>
        <v>0</v>
      </c>
      <c r="AM757" s="313">
        <f>IFERROR(IF(INDEX([1]Pivot!$BF$1:$CG$65000,$B757,AM$5)=1,1,IF(INDEX([1]Pivot!$B$1:$AB$65000,$B757,AM$5)="",2,0)),0)</f>
        <v>0</v>
      </c>
      <c r="AN757" s="313">
        <f>IFERROR(IF(INDEX([1]Pivot!$BF$1:$CG$65000,$B757,AN$5)=1,1,IF(INDEX([1]Pivot!$B$1:$AB$65000,$B757,AN$5)="",2,0)),0)</f>
        <v>0</v>
      </c>
      <c r="AO757" s="313">
        <f>IFERROR(IF(INDEX([1]Pivot!$BF$1:$CG$65000,$B757,AO$5)=1,1,IF(INDEX([1]Pivot!$B$1:$AB$65000,$B757,AO$5)="",2,0)),0)</f>
        <v>0</v>
      </c>
      <c r="AP757" s="313">
        <f>IFERROR(IF(INDEX([1]Pivot!$BF$1:$CG$65000,$B757,AP$5)=1,1,IF(INDEX([1]Pivot!$B$1:$AB$65000,$B757,AP$5)="",2,0)),0)</f>
        <v>0</v>
      </c>
      <c r="AQ757" s="313">
        <f>IFERROR(IF(INDEX([1]Pivot!$BF$1:$CG$65000,$B757,AQ$5)=1,1,IF(INDEX([1]Pivot!$B$1:$AB$65000,$B757,AQ$5)="",2,0)),0)</f>
        <v>0</v>
      </c>
      <c r="AR757" s="313">
        <f>IFERROR(IF(INDEX([1]Pivot!$BF$1:$CG$65000,$B757,AR$5)=1,1,IF(INDEX([1]Pivot!$B$1:$AB$65000,$B757,AR$5)="",2,0)),0)</f>
        <v>0</v>
      </c>
      <c r="AS757" s="312"/>
      <c r="AT757" s="313">
        <f>IFERROR(IF(INDEX([1]Pivot!$BF$1:$CG$65000,$B757,AT$5)=1,1,IF(INDEX([1]Pivot!$B$1:$AB$65000,$B757,AT$5)="",2,0)),0)</f>
        <v>0</v>
      </c>
      <c r="AU757" s="313">
        <f>IFERROR(IF(INDEX([1]Pivot!$BF$1:$CG$65000,$B757,AU$5)=1,1,IF(INDEX([1]Pivot!$B$1:$AB$65000,$B757,AU$5)="",2,0)),0)</f>
        <v>0</v>
      </c>
      <c r="AV757" s="313">
        <f>IFERROR(IF(INDEX([1]Pivot!$BF$1:$CG$65000,$B757,AV$5)=1,1,IF(INDEX([1]Pivot!$B$1:$AB$65000,$B757,AV$5)="",2,0)),0)</f>
        <v>0</v>
      </c>
      <c r="AW757" s="313">
        <f>IFERROR(IF(INDEX([1]Pivot!$BF$1:$CG$65000,$B757,AW$5)=1,1,IF(INDEX([1]Pivot!$B$1:$AB$65000,$B757,AW$5)="",2,0)),0)</f>
        <v>0</v>
      </c>
      <c r="AX757" s="313">
        <f>IFERROR(IF(INDEX([1]Pivot!$BF$1:$CG$65000,$B757,AX$5)=1,1,IF(INDEX([1]Pivot!$B$1:$AB$65000,$B757,AX$5)="",2,0)),0)</f>
        <v>0</v>
      </c>
      <c r="AY757" s="313">
        <f>IFERROR(IF(INDEX([1]Pivot!$BF$1:$CG$65000,$B757,AY$5)=1,1,IF(INDEX([1]Pivot!$B$1:$AB$65000,$B757,AY$5)="",2,0)),0)</f>
        <v>0</v>
      </c>
      <c r="AZ757" s="313">
        <f>IFERROR(IF(INDEX([1]Pivot!$BF$1:$CG$65000,$B757,AZ$5)=1,1,IF(INDEX([1]Pivot!$B$1:$AB$65000,$B757,AZ$5)="",2,0)),0)</f>
        <v>0</v>
      </c>
      <c r="BA757" s="313">
        <f>IFERROR(IF(INDEX([1]Pivot!$BF$1:$CG$65000,$B757,BA$5)=1,1,IF(INDEX([1]Pivot!$B$1:$AB$65000,$B757,BA$5)="",2,0)),0)</f>
        <v>0</v>
      </c>
      <c r="BB757" s="313">
        <f>IFERROR(IF(INDEX([1]Pivot!$BF$1:$CG$65000,$B757,BB$5)=1,1,IF(INDEX([1]Pivot!$B$1:$AB$65000,$B757,BB$5)="",2,0)),0)</f>
        <v>0</v>
      </c>
      <c r="BC757" s="313">
        <f>IFERROR(IF(INDEX([1]Pivot!$BF$1:$CG$65000,$B757,BC$5)=1,1,IF(INDEX([1]Pivot!$B$1:$AB$65000,$B757,BC$5)="",2,0)),0)</f>
        <v>0</v>
      </c>
      <c r="BD757" s="313">
        <f>IFERROR(IF(INDEX([1]Pivot!$BF$1:$CG$65000,$B757,BD$5)=1,1,IF(INDEX([1]Pivot!$B$1:$AB$65000,$B757,BD$5)="",2,0)),0)</f>
        <v>0</v>
      </c>
    </row>
    <row r="758" spans="1:56" x14ac:dyDescent="0.25">
      <c r="A758" s="288">
        <f>'[2]Raw Milk Prices'!A758</f>
        <v>0</v>
      </c>
      <c r="B758" s="296" t="e">
        <f>MATCH(DATE(LEFT('[2]Raw Milk Prices'!$A758,4),RIGHT('[2]Raw Milk Prices'!$A758,2),1),[1]Pivot!$A$1:$A$65000,0)</f>
        <v>#VALUE!</v>
      </c>
      <c r="C758" s="194">
        <f>IFERROR(IF(INDEX([1]Pivot!$AD$1:$BE$65000,$B758,C$5)=1,1,IF(INDEX([1]Pivot!$B$1:$AB$65000,$B758,C$5)="",2,0)),0)</f>
        <v>0</v>
      </c>
      <c r="D758" s="194">
        <f>IFERROR(IF(INDEX([1]Pivot!$AD$1:$BE$65000,$B758,D$5)=1,1,IF(INDEX([1]Pivot!$B$1:$AB$65000,$B758,D$5)="",2,0)),0)</f>
        <v>0</v>
      </c>
      <c r="E758" s="194">
        <f>IFERROR(IF(INDEX([1]Pivot!$AD$1:$BE$65000,$B758,E$5)=1,1,IF(INDEX([1]Pivot!$B$1:$AB$65000,$B758,E$5)="",2,0)),0)</f>
        <v>0</v>
      </c>
      <c r="F758" s="194">
        <f>IFERROR(IF(INDEX([1]Pivot!$AD$1:$BE$65000,$B758,F$5)=1,1,IF(INDEX([1]Pivot!$B$1:$AB$65000,$B758,F$5)="",2,0)),0)</f>
        <v>0</v>
      </c>
      <c r="G758" s="194">
        <f>IFERROR(IF(INDEX([1]Pivot!$AD$1:$BE$65000,$B758,G$5)=1,1,IF(INDEX([1]Pivot!$B$1:$AB$65000,$B758,G$5)="",2,0)),0)</f>
        <v>0</v>
      </c>
      <c r="H758" s="194">
        <f>IFERROR(IF(INDEX([1]Pivot!$AD$1:$BE$65000,$B758,H$5)=1,1,IF(INDEX([1]Pivot!$B$1:$AB$65000,$B758,H$5)="",2,0)),0)</f>
        <v>0</v>
      </c>
      <c r="I758" s="194">
        <f>IFERROR(IF(INDEX([1]Pivot!$AD$1:$BE$65000,$B758,I$5)=1,1,IF(INDEX([1]Pivot!$B$1:$AB$65000,$B758,I$5)="",2,0)),0)</f>
        <v>0</v>
      </c>
      <c r="J758" s="194">
        <f>IFERROR(IF(INDEX([1]Pivot!$AD$1:$BE$65000,$B758,J$5)=1,1,IF(INDEX([1]Pivot!$B$1:$AB$65000,$B758,J$5)="",2,0)),0)</f>
        <v>0</v>
      </c>
      <c r="K758" s="194">
        <f>IFERROR(IF(INDEX([1]Pivot!$AD$1:$BE$65000,$B758,K$5)=1,1,IF(INDEX([1]Pivot!$B$1:$AB$65000,$B758,K$5)="",2,0)),0)</f>
        <v>0</v>
      </c>
      <c r="L758" s="194">
        <f>IFERROR(IF(INDEX([1]Pivot!$AD$1:$BE$65000,$B758,L$5)=1,1,IF(INDEX([1]Pivot!$B$1:$AB$65000,$B758,L$5)="",2,0)),0)</f>
        <v>0</v>
      </c>
      <c r="M758" s="194">
        <f>IFERROR(IF(INDEX([1]Pivot!$AD$1:$BE$65000,$B758,M$5)=1,1,IF(INDEX([1]Pivot!$B$1:$AB$65000,$B758,M$5)="",2,0)),0)</f>
        <v>0</v>
      </c>
      <c r="N758" s="194">
        <f>IFERROR(IF(INDEX([1]Pivot!$AD$1:$BE$65000,$B758,N$5)=1,1,IF(INDEX([1]Pivot!$B$1:$AB$65000,$B758,N$5)="",2,0)),0)</f>
        <v>0</v>
      </c>
      <c r="O758" s="194">
        <f>IFERROR(IF(INDEX([1]Pivot!$AD$1:$BE$65000,$B758,O$5)=1,1,IF(INDEX([1]Pivot!$B$1:$AB$65000,$B758,O$5)="",2,0)),0)</f>
        <v>0</v>
      </c>
      <c r="P758" s="194">
        <f>IFERROR(IF(INDEX([1]Pivot!$AD$1:$BE$65000,$B758,P$5)=1,1,IF(INDEX([1]Pivot!$B$1:$AB$65000,$B758,P$5)="",2,0)),0)</f>
        <v>0</v>
      </c>
      <c r="Q758" s="194">
        <f>IFERROR(IF(INDEX([1]Pivot!$AD$1:$BE$65000,$B758,Q$5)=1,1,IF(INDEX([1]Pivot!$B$1:$AB$65000,$B758,Q$5)="",2,0)),0)</f>
        <v>0</v>
      </c>
      <c r="R758" s="312"/>
      <c r="S758" s="194">
        <f>IFERROR(IF(INDEX([1]Pivot!$AD$1:$BE$65000,$B758,S$5)=1,1,IF(INDEX([1]Pivot!$B$1:$AB$65000,$B758,S$5)="",2,0)),0)</f>
        <v>0</v>
      </c>
      <c r="T758" s="194">
        <f>IFERROR(IF(INDEX([1]Pivot!$AD$1:$BE$65000,$B758,T$5)=1,1,IF(INDEX([1]Pivot!$B$1:$AB$65000,$B758,T$5)="",2,0)),0)</f>
        <v>0</v>
      </c>
      <c r="U758" s="194">
        <f>IFERROR(IF(INDEX([1]Pivot!$AD$1:$BE$65000,$B758,U$5)=1,1,IF(INDEX([1]Pivot!$B$1:$AB$65000,$B758,U$5)="",2,0)),0)</f>
        <v>0</v>
      </c>
      <c r="V758" s="194">
        <f>IFERROR(IF(INDEX([1]Pivot!$AD$1:$BE$65000,$B758,V$5)=1,1,IF(INDEX([1]Pivot!$B$1:$AB$65000,$B758,V$5)="",2,0)),0)</f>
        <v>0</v>
      </c>
      <c r="W758" s="194">
        <f>IFERROR(IF(INDEX([1]Pivot!$AD$1:$BE$65000,$B758,W$5)=1,1,IF(INDEX([1]Pivot!$B$1:$AB$65000,$B758,W$5)="",2,0)),0)</f>
        <v>0</v>
      </c>
      <c r="X758" s="194">
        <f>IFERROR(IF(INDEX([1]Pivot!$AD$1:$BE$65000,$B758,X$5)=1,1,IF(INDEX([1]Pivot!$B$1:$AB$65000,$B758,X$5)="",2,0)),0)</f>
        <v>0</v>
      </c>
      <c r="Y758" s="194">
        <f>IFERROR(IF(INDEX([1]Pivot!$AD$1:$BE$65000,$B758,Y$5)=1,1,IF(INDEX([1]Pivot!$B$1:$AB$65000,$B758,Y$5)="",2,0)),0)</f>
        <v>0</v>
      </c>
      <c r="Z758" s="194">
        <f>IFERROR(IF(INDEX([1]Pivot!$AD$1:$BE$65000,$B758,Z$5)=1,1,IF(INDEX([1]Pivot!$B$1:$AB$65000,$B758,Z$5)="",2,0)),0)</f>
        <v>0</v>
      </c>
      <c r="AA758" s="194">
        <f>IFERROR(IF(INDEX([1]Pivot!$AD$1:$BE$65000,$B758,AA$5)=1,1,IF(INDEX([1]Pivot!$B$1:$AB$65000,$B758,AA$5)="",2,0)),0)</f>
        <v>0</v>
      </c>
      <c r="AB758" s="194">
        <f>IFERROR(IF(INDEX([1]Pivot!$AD$1:$BE$65000,$B758,AB$5)=1,1,IF(INDEX([1]Pivot!$B$1:$AB$65000,$B758,AB$5)="",2,0)),0)</f>
        <v>0</v>
      </c>
      <c r="AC758" s="194">
        <f>IFERROR(IF(INDEX([1]Pivot!$AD$1:$BE$65000,$B758,AC$5)=1,1,IF(INDEX([1]Pivot!$B$1:$AB$65000,$B758,AC$5)="",2,0)),0)</f>
        <v>0</v>
      </c>
      <c r="AD758" s="313">
        <f>IFERROR(IF(INDEX([1]Pivot!$BF$1:$CG$65000,$B758,AD$5)=1,1,IF(INDEX([1]Pivot!$B$1:$AB$65000,$B758,AD$5)="",2,0)),0)</f>
        <v>0</v>
      </c>
      <c r="AE758" s="313">
        <f>IFERROR(IF(INDEX([1]Pivot!$BF$1:$CG$65000,$B758,AE$5)=1,1,IF(INDEX([1]Pivot!$B$1:$AB$65000,$B758,AE$5)="",2,0)),0)</f>
        <v>0</v>
      </c>
      <c r="AF758" s="313">
        <f>IFERROR(IF(INDEX([1]Pivot!$BF$1:$CG$65000,$B758,AF$5)=1,1,IF(INDEX([1]Pivot!$B$1:$AB$65000,$B758,AF$5)="",2,0)),0)</f>
        <v>0</v>
      </c>
      <c r="AG758" s="313">
        <f>IFERROR(IF(INDEX([1]Pivot!$BF$1:$CG$65000,$B758,AG$5)=1,1,IF(INDEX([1]Pivot!$B$1:$AB$65000,$B758,AG$5)="",2,0)),0)</f>
        <v>0</v>
      </c>
      <c r="AH758" s="313">
        <f>IFERROR(IF(INDEX([1]Pivot!$BF$1:$CG$65000,$B758,AH$5)=1,1,IF(INDEX([1]Pivot!$B$1:$AB$65000,$B758,AH$5)="",2,0)),0)</f>
        <v>0</v>
      </c>
      <c r="AI758" s="313">
        <f>IFERROR(IF(INDEX([1]Pivot!$BF$1:$CG$65000,$B758,AI$5)=1,1,IF(INDEX([1]Pivot!$B$1:$AB$65000,$B758,AI$5)="",2,0)),0)</f>
        <v>0</v>
      </c>
      <c r="AJ758" s="313">
        <f>IFERROR(IF(INDEX([1]Pivot!$BF$1:$CG$65000,$B758,AJ$5)=1,1,IF(INDEX([1]Pivot!$B$1:$AB$65000,$B758,AJ$5)="",2,0)),0)</f>
        <v>0</v>
      </c>
      <c r="AK758" s="313">
        <f>IFERROR(IF(INDEX([1]Pivot!$BF$1:$CG$65000,$B758,AK$5)=1,1,IF(INDEX([1]Pivot!$B$1:$AB$65000,$B758,AK$5)="",2,0)),0)</f>
        <v>0</v>
      </c>
      <c r="AL758" s="313">
        <f>IFERROR(IF(INDEX([1]Pivot!$BF$1:$CG$65000,$B758,AL$5)=1,1,IF(INDEX([1]Pivot!$B$1:$AB$65000,$B758,AL$5)="",2,0)),0)</f>
        <v>0</v>
      </c>
      <c r="AM758" s="313">
        <f>IFERROR(IF(INDEX([1]Pivot!$BF$1:$CG$65000,$B758,AM$5)=1,1,IF(INDEX([1]Pivot!$B$1:$AB$65000,$B758,AM$5)="",2,0)),0)</f>
        <v>0</v>
      </c>
      <c r="AN758" s="313">
        <f>IFERROR(IF(INDEX([1]Pivot!$BF$1:$CG$65000,$B758,AN$5)=1,1,IF(INDEX([1]Pivot!$B$1:$AB$65000,$B758,AN$5)="",2,0)),0)</f>
        <v>0</v>
      </c>
      <c r="AO758" s="313">
        <f>IFERROR(IF(INDEX([1]Pivot!$BF$1:$CG$65000,$B758,AO$5)=1,1,IF(INDEX([1]Pivot!$B$1:$AB$65000,$B758,AO$5)="",2,0)),0)</f>
        <v>0</v>
      </c>
      <c r="AP758" s="313">
        <f>IFERROR(IF(INDEX([1]Pivot!$BF$1:$CG$65000,$B758,AP$5)=1,1,IF(INDEX([1]Pivot!$B$1:$AB$65000,$B758,AP$5)="",2,0)),0)</f>
        <v>0</v>
      </c>
      <c r="AQ758" s="313">
        <f>IFERROR(IF(INDEX([1]Pivot!$BF$1:$CG$65000,$B758,AQ$5)=1,1,IF(INDEX([1]Pivot!$B$1:$AB$65000,$B758,AQ$5)="",2,0)),0)</f>
        <v>0</v>
      </c>
      <c r="AR758" s="313">
        <f>IFERROR(IF(INDEX([1]Pivot!$BF$1:$CG$65000,$B758,AR$5)=1,1,IF(INDEX([1]Pivot!$B$1:$AB$65000,$B758,AR$5)="",2,0)),0)</f>
        <v>0</v>
      </c>
      <c r="AS758" s="312"/>
      <c r="AT758" s="313">
        <f>IFERROR(IF(INDEX([1]Pivot!$BF$1:$CG$65000,$B758,AT$5)=1,1,IF(INDEX([1]Pivot!$B$1:$AB$65000,$B758,AT$5)="",2,0)),0)</f>
        <v>0</v>
      </c>
      <c r="AU758" s="313">
        <f>IFERROR(IF(INDEX([1]Pivot!$BF$1:$CG$65000,$B758,AU$5)=1,1,IF(INDEX([1]Pivot!$B$1:$AB$65000,$B758,AU$5)="",2,0)),0)</f>
        <v>0</v>
      </c>
      <c r="AV758" s="313">
        <f>IFERROR(IF(INDEX([1]Pivot!$BF$1:$CG$65000,$B758,AV$5)=1,1,IF(INDEX([1]Pivot!$B$1:$AB$65000,$B758,AV$5)="",2,0)),0)</f>
        <v>0</v>
      </c>
      <c r="AW758" s="313">
        <f>IFERROR(IF(INDEX([1]Pivot!$BF$1:$CG$65000,$B758,AW$5)=1,1,IF(INDEX([1]Pivot!$B$1:$AB$65000,$B758,AW$5)="",2,0)),0)</f>
        <v>0</v>
      </c>
      <c r="AX758" s="313">
        <f>IFERROR(IF(INDEX([1]Pivot!$BF$1:$CG$65000,$B758,AX$5)=1,1,IF(INDEX([1]Pivot!$B$1:$AB$65000,$B758,AX$5)="",2,0)),0)</f>
        <v>0</v>
      </c>
      <c r="AY758" s="313">
        <f>IFERROR(IF(INDEX([1]Pivot!$BF$1:$CG$65000,$B758,AY$5)=1,1,IF(INDEX([1]Pivot!$B$1:$AB$65000,$B758,AY$5)="",2,0)),0)</f>
        <v>0</v>
      </c>
      <c r="AZ758" s="313">
        <f>IFERROR(IF(INDEX([1]Pivot!$BF$1:$CG$65000,$B758,AZ$5)=1,1,IF(INDEX([1]Pivot!$B$1:$AB$65000,$B758,AZ$5)="",2,0)),0)</f>
        <v>0</v>
      </c>
      <c r="BA758" s="313">
        <f>IFERROR(IF(INDEX([1]Pivot!$BF$1:$CG$65000,$B758,BA$5)=1,1,IF(INDEX([1]Pivot!$B$1:$AB$65000,$B758,BA$5)="",2,0)),0)</f>
        <v>0</v>
      </c>
      <c r="BB758" s="313">
        <f>IFERROR(IF(INDEX([1]Pivot!$BF$1:$CG$65000,$B758,BB$5)=1,1,IF(INDEX([1]Pivot!$B$1:$AB$65000,$B758,BB$5)="",2,0)),0)</f>
        <v>0</v>
      </c>
      <c r="BC758" s="313">
        <f>IFERROR(IF(INDEX([1]Pivot!$BF$1:$CG$65000,$B758,BC$5)=1,1,IF(INDEX([1]Pivot!$B$1:$AB$65000,$B758,BC$5)="",2,0)),0)</f>
        <v>0</v>
      </c>
      <c r="BD758" s="313">
        <f>IFERROR(IF(INDEX([1]Pivot!$BF$1:$CG$65000,$B758,BD$5)=1,1,IF(INDEX([1]Pivot!$B$1:$AB$65000,$B758,BD$5)="",2,0)),0)</f>
        <v>0</v>
      </c>
    </row>
    <row r="759" spans="1:56" x14ac:dyDescent="0.25">
      <c r="A759" s="288">
        <f>'[2]Raw Milk Prices'!A759</f>
        <v>0</v>
      </c>
      <c r="B759" s="296" t="e">
        <f>MATCH(DATE(LEFT('[2]Raw Milk Prices'!$A759,4),RIGHT('[2]Raw Milk Prices'!$A759,2),1),[1]Pivot!$A$1:$A$65000,0)</f>
        <v>#VALUE!</v>
      </c>
      <c r="C759" s="194">
        <f>IFERROR(IF(INDEX([1]Pivot!$AD$1:$BE$65000,$B759,C$5)=1,1,IF(INDEX([1]Pivot!$B$1:$AB$65000,$B759,C$5)="",2,0)),0)</f>
        <v>0</v>
      </c>
      <c r="D759" s="194">
        <f>IFERROR(IF(INDEX([1]Pivot!$AD$1:$BE$65000,$B759,D$5)=1,1,IF(INDEX([1]Pivot!$B$1:$AB$65000,$B759,D$5)="",2,0)),0)</f>
        <v>0</v>
      </c>
      <c r="E759" s="194">
        <f>IFERROR(IF(INDEX([1]Pivot!$AD$1:$BE$65000,$B759,E$5)=1,1,IF(INDEX([1]Pivot!$B$1:$AB$65000,$B759,E$5)="",2,0)),0)</f>
        <v>0</v>
      </c>
      <c r="F759" s="194">
        <f>IFERROR(IF(INDEX([1]Pivot!$AD$1:$BE$65000,$B759,F$5)=1,1,IF(INDEX([1]Pivot!$B$1:$AB$65000,$B759,F$5)="",2,0)),0)</f>
        <v>0</v>
      </c>
      <c r="G759" s="194">
        <f>IFERROR(IF(INDEX([1]Pivot!$AD$1:$BE$65000,$B759,G$5)=1,1,IF(INDEX([1]Pivot!$B$1:$AB$65000,$B759,G$5)="",2,0)),0)</f>
        <v>0</v>
      </c>
      <c r="H759" s="194">
        <f>IFERROR(IF(INDEX([1]Pivot!$AD$1:$BE$65000,$B759,H$5)=1,1,IF(INDEX([1]Pivot!$B$1:$AB$65000,$B759,H$5)="",2,0)),0)</f>
        <v>0</v>
      </c>
      <c r="I759" s="194">
        <f>IFERROR(IF(INDEX([1]Pivot!$AD$1:$BE$65000,$B759,I$5)=1,1,IF(INDEX([1]Pivot!$B$1:$AB$65000,$B759,I$5)="",2,0)),0)</f>
        <v>0</v>
      </c>
      <c r="J759" s="194">
        <f>IFERROR(IF(INDEX([1]Pivot!$AD$1:$BE$65000,$B759,J$5)=1,1,IF(INDEX([1]Pivot!$B$1:$AB$65000,$B759,J$5)="",2,0)),0)</f>
        <v>0</v>
      </c>
      <c r="K759" s="194">
        <f>IFERROR(IF(INDEX([1]Pivot!$AD$1:$BE$65000,$B759,K$5)=1,1,IF(INDEX([1]Pivot!$B$1:$AB$65000,$B759,K$5)="",2,0)),0)</f>
        <v>0</v>
      </c>
      <c r="L759" s="194">
        <f>IFERROR(IF(INDEX([1]Pivot!$AD$1:$BE$65000,$B759,L$5)=1,1,IF(INDEX([1]Pivot!$B$1:$AB$65000,$B759,L$5)="",2,0)),0)</f>
        <v>0</v>
      </c>
      <c r="M759" s="194">
        <f>IFERROR(IF(INDEX([1]Pivot!$AD$1:$BE$65000,$B759,M$5)=1,1,IF(INDEX([1]Pivot!$B$1:$AB$65000,$B759,M$5)="",2,0)),0)</f>
        <v>0</v>
      </c>
      <c r="N759" s="194">
        <f>IFERROR(IF(INDEX([1]Pivot!$AD$1:$BE$65000,$B759,N$5)=1,1,IF(INDEX([1]Pivot!$B$1:$AB$65000,$B759,N$5)="",2,0)),0)</f>
        <v>0</v>
      </c>
      <c r="O759" s="194">
        <f>IFERROR(IF(INDEX([1]Pivot!$AD$1:$BE$65000,$B759,O$5)=1,1,IF(INDEX([1]Pivot!$B$1:$AB$65000,$B759,O$5)="",2,0)),0)</f>
        <v>0</v>
      </c>
      <c r="P759" s="194">
        <f>IFERROR(IF(INDEX([1]Pivot!$AD$1:$BE$65000,$B759,P$5)=1,1,IF(INDEX([1]Pivot!$B$1:$AB$65000,$B759,P$5)="",2,0)),0)</f>
        <v>0</v>
      </c>
      <c r="Q759" s="194">
        <f>IFERROR(IF(INDEX([1]Pivot!$AD$1:$BE$65000,$B759,Q$5)=1,1,IF(INDEX([1]Pivot!$B$1:$AB$65000,$B759,Q$5)="",2,0)),0)</f>
        <v>0</v>
      </c>
      <c r="R759" s="312"/>
      <c r="S759" s="194">
        <f>IFERROR(IF(INDEX([1]Pivot!$AD$1:$BE$65000,$B759,S$5)=1,1,IF(INDEX([1]Pivot!$B$1:$AB$65000,$B759,S$5)="",2,0)),0)</f>
        <v>0</v>
      </c>
      <c r="T759" s="194">
        <f>IFERROR(IF(INDEX([1]Pivot!$AD$1:$BE$65000,$B759,T$5)=1,1,IF(INDEX([1]Pivot!$B$1:$AB$65000,$B759,T$5)="",2,0)),0)</f>
        <v>0</v>
      </c>
      <c r="U759" s="194">
        <f>IFERROR(IF(INDEX([1]Pivot!$AD$1:$BE$65000,$B759,U$5)=1,1,IF(INDEX([1]Pivot!$B$1:$AB$65000,$B759,U$5)="",2,0)),0)</f>
        <v>0</v>
      </c>
      <c r="V759" s="194">
        <f>IFERROR(IF(INDEX([1]Pivot!$AD$1:$BE$65000,$B759,V$5)=1,1,IF(INDEX([1]Pivot!$B$1:$AB$65000,$B759,V$5)="",2,0)),0)</f>
        <v>0</v>
      </c>
      <c r="W759" s="194">
        <f>IFERROR(IF(INDEX([1]Pivot!$AD$1:$BE$65000,$B759,W$5)=1,1,IF(INDEX([1]Pivot!$B$1:$AB$65000,$B759,W$5)="",2,0)),0)</f>
        <v>0</v>
      </c>
      <c r="X759" s="194">
        <f>IFERROR(IF(INDEX([1]Pivot!$AD$1:$BE$65000,$B759,X$5)=1,1,IF(INDEX([1]Pivot!$B$1:$AB$65000,$B759,X$5)="",2,0)),0)</f>
        <v>0</v>
      </c>
      <c r="Y759" s="194">
        <f>IFERROR(IF(INDEX([1]Pivot!$AD$1:$BE$65000,$B759,Y$5)=1,1,IF(INDEX([1]Pivot!$B$1:$AB$65000,$B759,Y$5)="",2,0)),0)</f>
        <v>0</v>
      </c>
      <c r="Z759" s="194">
        <f>IFERROR(IF(INDEX([1]Pivot!$AD$1:$BE$65000,$B759,Z$5)=1,1,IF(INDEX([1]Pivot!$B$1:$AB$65000,$B759,Z$5)="",2,0)),0)</f>
        <v>0</v>
      </c>
      <c r="AA759" s="194">
        <f>IFERROR(IF(INDEX([1]Pivot!$AD$1:$BE$65000,$B759,AA$5)=1,1,IF(INDEX([1]Pivot!$B$1:$AB$65000,$B759,AA$5)="",2,0)),0)</f>
        <v>0</v>
      </c>
      <c r="AB759" s="194">
        <f>IFERROR(IF(INDEX([1]Pivot!$AD$1:$BE$65000,$B759,AB$5)=1,1,IF(INDEX([1]Pivot!$B$1:$AB$65000,$B759,AB$5)="",2,0)),0)</f>
        <v>0</v>
      </c>
      <c r="AC759" s="194">
        <f>IFERROR(IF(INDEX([1]Pivot!$AD$1:$BE$65000,$B759,AC$5)=1,1,IF(INDEX([1]Pivot!$B$1:$AB$65000,$B759,AC$5)="",2,0)),0)</f>
        <v>0</v>
      </c>
      <c r="AD759" s="313">
        <f>IFERROR(IF(INDEX([1]Pivot!$BF$1:$CG$65000,$B759,AD$5)=1,1,IF(INDEX([1]Pivot!$B$1:$AB$65000,$B759,AD$5)="",2,0)),0)</f>
        <v>0</v>
      </c>
      <c r="AE759" s="313">
        <f>IFERROR(IF(INDEX([1]Pivot!$BF$1:$CG$65000,$B759,AE$5)=1,1,IF(INDEX([1]Pivot!$B$1:$AB$65000,$B759,AE$5)="",2,0)),0)</f>
        <v>0</v>
      </c>
      <c r="AF759" s="313">
        <f>IFERROR(IF(INDEX([1]Pivot!$BF$1:$CG$65000,$B759,AF$5)=1,1,IF(INDEX([1]Pivot!$B$1:$AB$65000,$B759,AF$5)="",2,0)),0)</f>
        <v>0</v>
      </c>
      <c r="AG759" s="313">
        <f>IFERROR(IF(INDEX([1]Pivot!$BF$1:$CG$65000,$B759,AG$5)=1,1,IF(INDEX([1]Pivot!$B$1:$AB$65000,$B759,AG$5)="",2,0)),0)</f>
        <v>0</v>
      </c>
      <c r="AH759" s="313">
        <f>IFERROR(IF(INDEX([1]Pivot!$BF$1:$CG$65000,$B759,AH$5)=1,1,IF(INDEX([1]Pivot!$B$1:$AB$65000,$B759,AH$5)="",2,0)),0)</f>
        <v>0</v>
      </c>
      <c r="AI759" s="313">
        <f>IFERROR(IF(INDEX([1]Pivot!$BF$1:$CG$65000,$B759,AI$5)=1,1,IF(INDEX([1]Pivot!$B$1:$AB$65000,$B759,AI$5)="",2,0)),0)</f>
        <v>0</v>
      </c>
      <c r="AJ759" s="313">
        <f>IFERROR(IF(INDEX([1]Pivot!$BF$1:$CG$65000,$B759,AJ$5)=1,1,IF(INDEX([1]Pivot!$B$1:$AB$65000,$B759,AJ$5)="",2,0)),0)</f>
        <v>0</v>
      </c>
      <c r="AK759" s="313">
        <f>IFERROR(IF(INDEX([1]Pivot!$BF$1:$CG$65000,$B759,AK$5)=1,1,IF(INDEX([1]Pivot!$B$1:$AB$65000,$B759,AK$5)="",2,0)),0)</f>
        <v>0</v>
      </c>
      <c r="AL759" s="313">
        <f>IFERROR(IF(INDEX([1]Pivot!$BF$1:$CG$65000,$B759,AL$5)=1,1,IF(INDEX([1]Pivot!$B$1:$AB$65000,$B759,AL$5)="",2,0)),0)</f>
        <v>0</v>
      </c>
      <c r="AM759" s="313">
        <f>IFERROR(IF(INDEX([1]Pivot!$BF$1:$CG$65000,$B759,AM$5)=1,1,IF(INDEX([1]Pivot!$B$1:$AB$65000,$B759,AM$5)="",2,0)),0)</f>
        <v>0</v>
      </c>
      <c r="AN759" s="313">
        <f>IFERROR(IF(INDEX([1]Pivot!$BF$1:$CG$65000,$B759,AN$5)=1,1,IF(INDEX([1]Pivot!$B$1:$AB$65000,$B759,AN$5)="",2,0)),0)</f>
        <v>0</v>
      </c>
      <c r="AO759" s="313">
        <f>IFERROR(IF(INDEX([1]Pivot!$BF$1:$CG$65000,$B759,AO$5)=1,1,IF(INDEX([1]Pivot!$B$1:$AB$65000,$B759,AO$5)="",2,0)),0)</f>
        <v>0</v>
      </c>
      <c r="AP759" s="313">
        <f>IFERROR(IF(INDEX([1]Pivot!$BF$1:$CG$65000,$B759,AP$5)=1,1,IF(INDEX([1]Pivot!$B$1:$AB$65000,$B759,AP$5)="",2,0)),0)</f>
        <v>0</v>
      </c>
      <c r="AQ759" s="313">
        <f>IFERROR(IF(INDEX([1]Pivot!$BF$1:$CG$65000,$B759,AQ$5)=1,1,IF(INDEX([1]Pivot!$B$1:$AB$65000,$B759,AQ$5)="",2,0)),0)</f>
        <v>0</v>
      </c>
      <c r="AR759" s="313">
        <f>IFERROR(IF(INDEX([1]Pivot!$BF$1:$CG$65000,$B759,AR$5)=1,1,IF(INDEX([1]Pivot!$B$1:$AB$65000,$B759,AR$5)="",2,0)),0)</f>
        <v>0</v>
      </c>
      <c r="AS759" s="312"/>
      <c r="AT759" s="313">
        <f>IFERROR(IF(INDEX([1]Pivot!$BF$1:$CG$65000,$B759,AT$5)=1,1,IF(INDEX([1]Pivot!$B$1:$AB$65000,$B759,AT$5)="",2,0)),0)</f>
        <v>0</v>
      </c>
      <c r="AU759" s="313">
        <f>IFERROR(IF(INDEX([1]Pivot!$BF$1:$CG$65000,$B759,AU$5)=1,1,IF(INDEX([1]Pivot!$B$1:$AB$65000,$B759,AU$5)="",2,0)),0)</f>
        <v>0</v>
      </c>
      <c r="AV759" s="313">
        <f>IFERROR(IF(INDEX([1]Pivot!$BF$1:$CG$65000,$B759,AV$5)=1,1,IF(INDEX([1]Pivot!$B$1:$AB$65000,$B759,AV$5)="",2,0)),0)</f>
        <v>0</v>
      </c>
      <c r="AW759" s="313">
        <f>IFERROR(IF(INDEX([1]Pivot!$BF$1:$CG$65000,$B759,AW$5)=1,1,IF(INDEX([1]Pivot!$B$1:$AB$65000,$B759,AW$5)="",2,0)),0)</f>
        <v>0</v>
      </c>
      <c r="AX759" s="313">
        <f>IFERROR(IF(INDEX([1]Pivot!$BF$1:$CG$65000,$B759,AX$5)=1,1,IF(INDEX([1]Pivot!$B$1:$AB$65000,$B759,AX$5)="",2,0)),0)</f>
        <v>0</v>
      </c>
      <c r="AY759" s="313">
        <f>IFERROR(IF(INDEX([1]Pivot!$BF$1:$CG$65000,$B759,AY$5)=1,1,IF(INDEX([1]Pivot!$B$1:$AB$65000,$B759,AY$5)="",2,0)),0)</f>
        <v>0</v>
      </c>
      <c r="AZ759" s="313">
        <f>IFERROR(IF(INDEX([1]Pivot!$BF$1:$CG$65000,$B759,AZ$5)=1,1,IF(INDEX([1]Pivot!$B$1:$AB$65000,$B759,AZ$5)="",2,0)),0)</f>
        <v>0</v>
      </c>
      <c r="BA759" s="313">
        <f>IFERROR(IF(INDEX([1]Pivot!$BF$1:$CG$65000,$B759,BA$5)=1,1,IF(INDEX([1]Pivot!$B$1:$AB$65000,$B759,BA$5)="",2,0)),0)</f>
        <v>0</v>
      </c>
      <c r="BB759" s="313">
        <f>IFERROR(IF(INDEX([1]Pivot!$BF$1:$CG$65000,$B759,BB$5)=1,1,IF(INDEX([1]Pivot!$B$1:$AB$65000,$B759,BB$5)="",2,0)),0)</f>
        <v>0</v>
      </c>
      <c r="BC759" s="313">
        <f>IFERROR(IF(INDEX([1]Pivot!$BF$1:$CG$65000,$B759,BC$5)=1,1,IF(INDEX([1]Pivot!$B$1:$AB$65000,$B759,BC$5)="",2,0)),0)</f>
        <v>0</v>
      </c>
      <c r="BD759" s="313">
        <f>IFERROR(IF(INDEX([1]Pivot!$BF$1:$CG$65000,$B759,BD$5)=1,1,IF(INDEX([1]Pivot!$B$1:$AB$65000,$B759,BD$5)="",2,0)),0)</f>
        <v>0</v>
      </c>
    </row>
    <row r="760" spans="1:56" x14ac:dyDescent="0.25">
      <c r="A760" s="288">
        <f>'[2]Raw Milk Prices'!A760</f>
        <v>0</v>
      </c>
      <c r="B760" s="296" t="e">
        <f>MATCH(DATE(LEFT('[2]Raw Milk Prices'!$A760,4),RIGHT('[2]Raw Milk Prices'!$A760,2),1),[1]Pivot!$A$1:$A$65000,0)</f>
        <v>#VALUE!</v>
      </c>
      <c r="C760" s="194">
        <f>IFERROR(IF(INDEX([1]Pivot!$AD$1:$BE$65000,$B760,C$5)=1,1,IF(INDEX([1]Pivot!$B$1:$AB$65000,$B760,C$5)="",2,0)),0)</f>
        <v>0</v>
      </c>
      <c r="D760" s="194">
        <f>IFERROR(IF(INDEX([1]Pivot!$AD$1:$BE$65000,$B760,D$5)=1,1,IF(INDEX([1]Pivot!$B$1:$AB$65000,$B760,D$5)="",2,0)),0)</f>
        <v>0</v>
      </c>
      <c r="E760" s="194">
        <f>IFERROR(IF(INDEX([1]Pivot!$AD$1:$BE$65000,$B760,E$5)=1,1,IF(INDEX([1]Pivot!$B$1:$AB$65000,$B760,E$5)="",2,0)),0)</f>
        <v>0</v>
      </c>
      <c r="F760" s="194">
        <f>IFERROR(IF(INDEX([1]Pivot!$AD$1:$BE$65000,$B760,F$5)=1,1,IF(INDEX([1]Pivot!$B$1:$AB$65000,$B760,F$5)="",2,0)),0)</f>
        <v>0</v>
      </c>
      <c r="G760" s="194">
        <f>IFERROR(IF(INDEX([1]Pivot!$AD$1:$BE$65000,$B760,G$5)=1,1,IF(INDEX([1]Pivot!$B$1:$AB$65000,$B760,G$5)="",2,0)),0)</f>
        <v>0</v>
      </c>
      <c r="H760" s="194">
        <f>IFERROR(IF(INDEX([1]Pivot!$AD$1:$BE$65000,$B760,H$5)=1,1,IF(INDEX([1]Pivot!$B$1:$AB$65000,$B760,H$5)="",2,0)),0)</f>
        <v>0</v>
      </c>
      <c r="I760" s="194">
        <f>IFERROR(IF(INDEX([1]Pivot!$AD$1:$BE$65000,$B760,I$5)=1,1,IF(INDEX([1]Pivot!$B$1:$AB$65000,$B760,I$5)="",2,0)),0)</f>
        <v>0</v>
      </c>
      <c r="J760" s="194">
        <f>IFERROR(IF(INDEX([1]Pivot!$AD$1:$BE$65000,$B760,J$5)=1,1,IF(INDEX([1]Pivot!$B$1:$AB$65000,$B760,J$5)="",2,0)),0)</f>
        <v>0</v>
      </c>
      <c r="K760" s="194">
        <f>IFERROR(IF(INDEX([1]Pivot!$AD$1:$BE$65000,$B760,K$5)=1,1,IF(INDEX([1]Pivot!$B$1:$AB$65000,$B760,K$5)="",2,0)),0)</f>
        <v>0</v>
      </c>
      <c r="L760" s="194">
        <f>IFERROR(IF(INDEX([1]Pivot!$AD$1:$BE$65000,$B760,L$5)=1,1,IF(INDEX([1]Pivot!$B$1:$AB$65000,$B760,L$5)="",2,0)),0)</f>
        <v>0</v>
      </c>
      <c r="M760" s="194">
        <f>IFERROR(IF(INDEX([1]Pivot!$AD$1:$BE$65000,$B760,M$5)=1,1,IF(INDEX([1]Pivot!$B$1:$AB$65000,$B760,M$5)="",2,0)),0)</f>
        <v>0</v>
      </c>
      <c r="N760" s="194">
        <f>IFERROR(IF(INDEX([1]Pivot!$AD$1:$BE$65000,$B760,N$5)=1,1,IF(INDEX([1]Pivot!$B$1:$AB$65000,$B760,N$5)="",2,0)),0)</f>
        <v>0</v>
      </c>
      <c r="O760" s="194">
        <f>IFERROR(IF(INDEX([1]Pivot!$AD$1:$BE$65000,$B760,O$5)=1,1,IF(INDEX([1]Pivot!$B$1:$AB$65000,$B760,O$5)="",2,0)),0)</f>
        <v>0</v>
      </c>
      <c r="P760" s="194">
        <f>IFERROR(IF(INDEX([1]Pivot!$AD$1:$BE$65000,$B760,P$5)=1,1,IF(INDEX([1]Pivot!$B$1:$AB$65000,$B760,P$5)="",2,0)),0)</f>
        <v>0</v>
      </c>
      <c r="Q760" s="194">
        <f>IFERROR(IF(INDEX([1]Pivot!$AD$1:$BE$65000,$B760,Q$5)=1,1,IF(INDEX([1]Pivot!$B$1:$AB$65000,$B760,Q$5)="",2,0)),0)</f>
        <v>0</v>
      </c>
      <c r="R760" s="312"/>
      <c r="S760" s="194">
        <f>IFERROR(IF(INDEX([1]Pivot!$AD$1:$BE$65000,$B760,S$5)=1,1,IF(INDEX([1]Pivot!$B$1:$AB$65000,$B760,S$5)="",2,0)),0)</f>
        <v>0</v>
      </c>
      <c r="T760" s="194">
        <f>IFERROR(IF(INDEX([1]Pivot!$AD$1:$BE$65000,$B760,T$5)=1,1,IF(INDEX([1]Pivot!$B$1:$AB$65000,$B760,T$5)="",2,0)),0)</f>
        <v>0</v>
      </c>
      <c r="U760" s="194">
        <f>IFERROR(IF(INDEX([1]Pivot!$AD$1:$BE$65000,$B760,U$5)=1,1,IF(INDEX([1]Pivot!$B$1:$AB$65000,$B760,U$5)="",2,0)),0)</f>
        <v>0</v>
      </c>
      <c r="V760" s="194">
        <f>IFERROR(IF(INDEX([1]Pivot!$AD$1:$BE$65000,$B760,V$5)=1,1,IF(INDEX([1]Pivot!$B$1:$AB$65000,$B760,V$5)="",2,0)),0)</f>
        <v>0</v>
      </c>
      <c r="W760" s="194">
        <f>IFERROR(IF(INDEX([1]Pivot!$AD$1:$BE$65000,$B760,W$5)=1,1,IF(INDEX([1]Pivot!$B$1:$AB$65000,$B760,W$5)="",2,0)),0)</f>
        <v>0</v>
      </c>
      <c r="X760" s="194">
        <f>IFERROR(IF(INDEX([1]Pivot!$AD$1:$BE$65000,$B760,X$5)=1,1,IF(INDEX([1]Pivot!$B$1:$AB$65000,$B760,X$5)="",2,0)),0)</f>
        <v>0</v>
      </c>
      <c r="Y760" s="194">
        <f>IFERROR(IF(INDEX([1]Pivot!$AD$1:$BE$65000,$B760,Y$5)=1,1,IF(INDEX([1]Pivot!$B$1:$AB$65000,$B760,Y$5)="",2,0)),0)</f>
        <v>0</v>
      </c>
      <c r="Z760" s="194">
        <f>IFERROR(IF(INDEX([1]Pivot!$AD$1:$BE$65000,$B760,Z$5)=1,1,IF(INDEX([1]Pivot!$B$1:$AB$65000,$B760,Z$5)="",2,0)),0)</f>
        <v>0</v>
      </c>
      <c r="AA760" s="194">
        <f>IFERROR(IF(INDEX([1]Pivot!$AD$1:$BE$65000,$B760,AA$5)=1,1,IF(INDEX([1]Pivot!$B$1:$AB$65000,$B760,AA$5)="",2,0)),0)</f>
        <v>0</v>
      </c>
      <c r="AB760" s="194">
        <f>IFERROR(IF(INDEX([1]Pivot!$AD$1:$BE$65000,$B760,AB$5)=1,1,IF(INDEX([1]Pivot!$B$1:$AB$65000,$B760,AB$5)="",2,0)),0)</f>
        <v>0</v>
      </c>
      <c r="AC760" s="194">
        <f>IFERROR(IF(INDEX([1]Pivot!$AD$1:$BE$65000,$B760,AC$5)=1,1,IF(INDEX([1]Pivot!$B$1:$AB$65000,$B760,AC$5)="",2,0)),0)</f>
        <v>0</v>
      </c>
      <c r="AD760" s="313">
        <f>IFERROR(IF(INDEX([1]Pivot!$BF$1:$CG$65000,$B760,AD$5)=1,1,IF(INDEX([1]Pivot!$B$1:$AB$65000,$B760,AD$5)="",2,0)),0)</f>
        <v>0</v>
      </c>
      <c r="AE760" s="313">
        <f>IFERROR(IF(INDEX([1]Pivot!$BF$1:$CG$65000,$B760,AE$5)=1,1,IF(INDEX([1]Pivot!$B$1:$AB$65000,$B760,AE$5)="",2,0)),0)</f>
        <v>0</v>
      </c>
      <c r="AF760" s="313">
        <f>IFERROR(IF(INDEX([1]Pivot!$BF$1:$CG$65000,$B760,AF$5)=1,1,IF(INDEX([1]Pivot!$B$1:$AB$65000,$B760,AF$5)="",2,0)),0)</f>
        <v>0</v>
      </c>
      <c r="AG760" s="313">
        <f>IFERROR(IF(INDEX([1]Pivot!$BF$1:$CG$65000,$B760,AG$5)=1,1,IF(INDEX([1]Pivot!$B$1:$AB$65000,$B760,AG$5)="",2,0)),0)</f>
        <v>0</v>
      </c>
      <c r="AH760" s="313">
        <f>IFERROR(IF(INDEX([1]Pivot!$BF$1:$CG$65000,$B760,AH$5)=1,1,IF(INDEX([1]Pivot!$B$1:$AB$65000,$B760,AH$5)="",2,0)),0)</f>
        <v>0</v>
      </c>
      <c r="AI760" s="313">
        <f>IFERROR(IF(INDEX([1]Pivot!$BF$1:$CG$65000,$B760,AI$5)=1,1,IF(INDEX([1]Pivot!$B$1:$AB$65000,$B760,AI$5)="",2,0)),0)</f>
        <v>0</v>
      </c>
      <c r="AJ760" s="313">
        <f>IFERROR(IF(INDEX([1]Pivot!$BF$1:$CG$65000,$B760,AJ$5)=1,1,IF(INDEX([1]Pivot!$B$1:$AB$65000,$B760,AJ$5)="",2,0)),0)</f>
        <v>0</v>
      </c>
      <c r="AK760" s="313">
        <f>IFERROR(IF(INDEX([1]Pivot!$BF$1:$CG$65000,$B760,AK$5)=1,1,IF(INDEX([1]Pivot!$B$1:$AB$65000,$B760,AK$5)="",2,0)),0)</f>
        <v>0</v>
      </c>
      <c r="AL760" s="313">
        <f>IFERROR(IF(INDEX([1]Pivot!$BF$1:$CG$65000,$B760,AL$5)=1,1,IF(INDEX([1]Pivot!$B$1:$AB$65000,$B760,AL$5)="",2,0)),0)</f>
        <v>0</v>
      </c>
      <c r="AM760" s="313">
        <f>IFERROR(IF(INDEX([1]Pivot!$BF$1:$CG$65000,$B760,AM$5)=1,1,IF(INDEX([1]Pivot!$B$1:$AB$65000,$B760,AM$5)="",2,0)),0)</f>
        <v>0</v>
      </c>
      <c r="AN760" s="313">
        <f>IFERROR(IF(INDEX([1]Pivot!$BF$1:$CG$65000,$B760,AN$5)=1,1,IF(INDEX([1]Pivot!$B$1:$AB$65000,$B760,AN$5)="",2,0)),0)</f>
        <v>0</v>
      </c>
      <c r="AO760" s="313">
        <f>IFERROR(IF(INDEX([1]Pivot!$BF$1:$CG$65000,$B760,AO$5)=1,1,IF(INDEX([1]Pivot!$B$1:$AB$65000,$B760,AO$5)="",2,0)),0)</f>
        <v>0</v>
      </c>
      <c r="AP760" s="313">
        <f>IFERROR(IF(INDEX([1]Pivot!$BF$1:$CG$65000,$B760,AP$5)=1,1,IF(INDEX([1]Pivot!$B$1:$AB$65000,$B760,AP$5)="",2,0)),0)</f>
        <v>0</v>
      </c>
      <c r="AQ760" s="313">
        <f>IFERROR(IF(INDEX([1]Pivot!$BF$1:$CG$65000,$B760,AQ$5)=1,1,IF(INDEX([1]Pivot!$B$1:$AB$65000,$B760,AQ$5)="",2,0)),0)</f>
        <v>0</v>
      </c>
      <c r="AR760" s="313">
        <f>IFERROR(IF(INDEX([1]Pivot!$BF$1:$CG$65000,$B760,AR$5)=1,1,IF(INDEX([1]Pivot!$B$1:$AB$65000,$B760,AR$5)="",2,0)),0)</f>
        <v>0</v>
      </c>
      <c r="AS760" s="312"/>
      <c r="AT760" s="313">
        <f>IFERROR(IF(INDEX([1]Pivot!$BF$1:$CG$65000,$B760,AT$5)=1,1,IF(INDEX([1]Pivot!$B$1:$AB$65000,$B760,AT$5)="",2,0)),0)</f>
        <v>0</v>
      </c>
      <c r="AU760" s="313">
        <f>IFERROR(IF(INDEX([1]Pivot!$BF$1:$CG$65000,$B760,AU$5)=1,1,IF(INDEX([1]Pivot!$B$1:$AB$65000,$B760,AU$5)="",2,0)),0)</f>
        <v>0</v>
      </c>
      <c r="AV760" s="313">
        <f>IFERROR(IF(INDEX([1]Pivot!$BF$1:$CG$65000,$B760,AV$5)=1,1,IF(INDEX([1]Pivot!$B$1:$AB$65000,$B760,AV$5)="",2,0)),0)</f>
        <v>0</v>
      </c>
      <c r="AW760" s="313">
        <f>IFERROR(IF(INDEX([1]Pivot!$BF$1:$CG$65000,$B760,AW$5)=1,1,IF(INDEX([1]Pivot!$B$1:$AB$65000,$B760,AW$5)="",2,0)),0)</f>
        <v>0</v>
      </c>
      <c r="AX760" s="313">
        <f>IFERROR(IF(INDEX([1]Pivot!$BF$1:$CG$65000,$B760,AX$5)=1,1,IF(INDEX([1]Pivot!$B$1:$AB$65000,$B760,AX$5)="",2,0)),0)</f>
        <v>0</v>
      </c>
      <c r="AY760" s="313">
        <f>IFERROR(IF(INDEX([1]Pivot!$BF$1:$CG$65000,$B760,AY$5)=1,1,IF(INDEX([1]Pivot!$B$1:$AB$65000,$B760,AY$5)="",2,0)),0)</f>
        <v>0</v>
      </c>
      <c r="AZ760" s="313">
        <f>IFERROR(IF(INDEX([1]Pivot!$BF$1:$CG$65000,$B760,AZ$5)=1,1,IF(INDEX([1]Pivot!$B$1:$AB$65000,$B760,AZ$5)="",2,0)),0)</f>
        <v>0</v>
      </c>
      <c r="BA760" s="313">
        <f>IFERROR(IF(INDEX([1]Pivot!$BF$1:$CG$65000,$B760,BA$5)=1,1,IF(INDEX([1]Pivot!$B$1:$AB$65000,$B760,BA$5)="",2,0)),0)</f>
        <v>0</v>
      </c>
      <c r="BB760" s="313">
        <f>IFERROR(IF(INDEX([1]Pivot!$BF$1:$CG$65000,$B760,BB$5)=1,1,IF(INDEX([1]Pivot!$B$1:$AB$65000,$B760,BB$5)="",2,0)),0)</f>
        <v>0</v>
      </c>
      <c r="BC760" s="313">
        <f>IFERROR(IF(INDEX([1]Pivot!$BF$1:$CG$65000,$B760,BC$5)=1,1,IF(INDEX([1]Pivot!$B$1:$AB$65000,$B760,BC$5)="",2,0)),0)</f>
        <v>0</v>
      </c>
      <c r="BD760" s="313">
        <f>IFERROR(IF(INDEX([1]Pivot!$BF$1:$CG$65000,$B760,BD$5)=1,1,IF(INDEX([1]Pivot!$B$1:$AB$65000,$B760,BD$5)="",2,0)),0)</f>
        <v>0</v>
      </c>
    </row>
    <row r="761" spans="1:56" x14ac:dyDescent="0.25">
      <c r="A761" s="288">
        <f>'[2]Raw Milk Prices'!A761</f>
        <v>0</v>
      </c>
      <c r="B761" s="296" t="e">
        <f>MATCH(DATE(LEFT('[2]Raw Milk Prices'!$A761,4),RIGHT('[2]Raw Milk Prices'!$A761,2),1),[1]Pivot!$A$1:$A$65000,0)</f>
        <v>#VALUE!</v>
      </c>
      <c r="C761" s="194">
        <f>IFERROR(IF(INDEX([1]Pivot!$AD$1:$BE$65000,$B761,C$5)=1,1,IF(INDEX([1]Pivot!$B$1:$AB$65000,$B761,C$5)="",2,0)),0)</f>
        <v>0</v>
      </c>
      <c r="D761" s="194">
        <f>IFERROR(IF(INDEX([1]Pivot!$AD$1:$BE$65000,$B761,D$5)=1,1,IF(INDEX([1]Pivot!$B$1:$AB$65000,$B761,D$5)="",2,0)),0)</f>
        <v>0</v>
      </c>
      <c r="E761" s="194">
        <f>IFERROR(IF(INDEX([1]Pivot!$AD$1:$BE$65000,$B761,E$5)=1,1,IF(INDEX([1]Pivot!$B$1:$AB$65000,$B761,E$5)="",2,0)),0)</f>
        <v>0</v>
      </c>
      <c r="F761" s="194">
        <f>IFERROR(IF(INDEX([1]Pivot!$AD$1:$BE$65000,$B761,F$5)=1,1,IF(INDEX([1]Pivot!$B$1:$AB$65000,$B761,F$5)="",2,0)),0)</f>
        <v>0</v>
      </c>
      <c r="G761" s="194">
        <f>IFERROR(IF(INDEX([1]Pivot!$AD$1:$BE$65000,$B761,G$5)=1,1,IF(INDEX([1]Pivot!$B$1:$AB$65000,$B761,G$5)="",2,0)),0)</f>
        <v>0</v>
      </c>
      <c r="H761" s="194">
        <f>IFERROR(IF(INDEX([1]Pivot!$AD$1:$BE$65000,$B761,H$5)=1,1,IF(INDEX([1]Pivot!$B$1:$AB$65000,$B761,H$5)="",2,0)),0)</f>
        <v>0</v>
      </c>
      <c r="I761" s="194">
        <f>IFERROR(IF(INDEX([1]Pivot!$AD$1:$BE$65000,$B761,I$5)=1,1,IF(INDEX([1]Pivot!$B$1:$AB$65000,$B761,I$5)="",2,0)),0)</f>
        <v>0</v>
      </c>
      <c r="J761" s="194">
        <f>IFERROR(IF(INDEX([1]Pivot!$AD$1:$BE$65000,$B761,J$5)=1,1,IF(INDEX([1]Pivot!$B$1:$AB$65000,$B761,J$5)="",2,0)),0)</f>
        <v>0</v>
      </c>
      <c r="K761" s="194">
        <f>IFERROR(IF(INDEX([1]Pivot!$AD$1:$BE$65000,$B761,K$5)=1,1,IF(INDEX([1]Pivot!$B$1:$AB$65000,$B761,K$5)="",2,0)),0)</f>
        <v>0</v>
      </c>
      <c r="L761" s="194">
        <f>IFERROR(IF(INDEX([1]Pivot!$AD$1:$BE$65000,$B761,L$5)=1,1,IF(INDEX([1]Pivot!$B$1:$AB$65000,$B761,L$5)="",2,0)),0)</f>
        <v>0</v>
      </c>
      <c r="M761" s="194">
        <f>IFERROR(IF(INDEX([1]Pivot!$AD$1:$BE$65000,$B761,M$5)=1,1,IF(INDEX([1]Pivot!$B$1:$AB$65000,$B761,M$5)="",2,0)),0)</f>
        <v>0</v>
      </c>
      <c r="N761" s="194">
        <f>IFERROR(IF(INDEX([1]Pivot!$AD$1:$BE$65000,$B761,N$5)=1,1,IF(INDEX([1]Pivot!$B$1:$AB$65000,$B761,N$5)="",2,0)),0)</f>
        <v>0</v>
      </c>
      <c r="O761" s="194">
        <f>IFERROR(IF(INDEX([1]Pivot!$AD$1:$BE$65000,$B761,O$5)=1,1,IF(INDEX([1]Pivot!$B$1:$AB$65000,$B761,O$5)="",2,0)),0)</f>
        <v>0</v>
      </c>
      <c r="P761" s="194">
        <f>IFERROR(IF(INDEX([1]Pivot!$AD$1:$BE$65000,$B761,P$5)=1,1,IF(INDEX([1]Pivot!$B$1:$AB$65000,$B761,P$5)="",2,0)),0)</f>
        <v>0</v>
      </c>
      <c r="Q761" s="194">
        <f>IFERROR(IF(INDEX([1]Pivot!$AD$1:$BE$65000,$B761,Q$5)=1,1,IF(INDEX([1]Pivot!$B$1:$AB$65000,$B761,Q$5)="",2,0)),0)</f>
        <v>0</v>
      </c>
      <c r="R761" s="312"/>
      <c r="S761" s="194">
        <f>IFERROR(IF(INDEX([1]Pivot!$AD$1:$BE$65000,$B761,S$5)=1,1,IF(INDEX([1]Pivot!$B$1:$AB$65000,$B761,S$5)="",2,0)),0)</f>
        <v>0</v>
      </c>
      <c r="T761" s="194">
        <f>IFERROR(IF(INDEX([1]Pivot!$AD$1:$BE$65000,$B761,T$5)=1,1,IF(INDEX([1]Pivot!$B$1:$AB$65000,$B761,T$5)="",2,0)),0)</f>
        <v>0</v>
      </c>
      <c r="U761" s="194">
        <f>IFERROR(IF(INDEX([1]Pivot!$AD$1:$BE$65000,$B761,U$5)=1,1,IF(INDEX([1]Pivot!$B$1:$AB$65000,$B761,U$5)="",2,0)),0)</f>
        <v>0</v>
      </c>
      <c r="V761" s="194">
        <f>IFERROR(IF(INDEX([1]Pivot!$AD$1:$BE$65000,$B761,V$5)=1,1,IF(INDEX([1]Pivot!$B$1:$AB$65000,$B761,V$5)="",2,0)),0)</f>
        <v>0</v>
      </c>
      <c r="W761" s="194">
        <f>IFERROR(IF(INDEX([1]Pivot!$AD$1:$BE$65000,$B761,W$5)=1,1,IF(INDEX([1]Pivot!$B$1:$AB$65000,$B761,W$5)="",2,0)),0)</f>
        <v>0</v>
      </c>
      <c r="X761" s="194">
        <f>IFERROR(IF(INDEX([1]Pivot!$AD$1:$BE$65000,$B761,X$5)=1,1,IF(INDEX([1]Pivot!$B$1:$AB$65000,$B761,X$5)="",2,0)),0)</f>
        <v>0</v>
      </c>
      <c r="Y761" s="194">
        <f>IFERROR(IF(INDEX([1]Pivot!$AD$1:$BE$65000,$B761,Y$5)=1,1,IF(INDEX([1]Pivot!$B$1:$AB$65000,$B761,Y$5)="",2,0)),0)</f>
        <v>0</v>
      </c>
      <c r="Z761" s="194">
        <f>IFERROR(IF(INDEX([1]Pivot!$AD$1:$BE$65000,$B761,Z$5)=1,1,IF(INDEX([1]Pivot!$B$1:$AB$65000,$B761,Z$5)="",2,0)),0)</f>
        <v>0</v>
      </c>
      <c r="AA761" s="194">
        <f>IFERROR(IF(INDEX([1]Pivot!$AD$1:$BE$65000,$B761,AA$5)=1,1,IF(INDEX([1]Pivot!$B$1:$AB$65000,$B761,AA$5)="",2,0)),0)</f>
        <v>0</v>
      </c>
      <c r="AB761" s="194">
        <f>IFERROR(IF(INDEX([1]Pivot!$AD$1:$BE$65000,$B761,AB$5)=1,1,IF(INDEX([1]Pivot!$B$1:$AB$65000,$B761,AB$5)="",2,0)),0)</f>
        <v>0</v>
      </c>
      <c r="AC761" s="194">
        <f>IFERROR(IF(INDEX([1]Pivot!$AD$1:$BE$65000,$B761,AC$5)=1,1,IF(INDEX([1]Pivot!$B$1:$AB$65000,$B761,AC$5)="",2,0)),0)</f>
        <v>0</v>
      </c>
      <c r="AD761" s="313">
        <f>IFERROR(IF(INDEX([1]Pivot!$BF$1:$CG$65000,$B761,AD$5)=1,1,IF(INDEX([1]Pivot!$B$1:$AB$65000,$B761,AD$5)="",2,0)),0)</f>
        <v>0</v>
      </c>
      <c r="AE761" s="313">
        <f>IFERROR(IF(INDEX([1]Pivot!$BF$1:$CG$65000,$B761,AE$5)=1,1,IF(INDEX([1]Pivot!$B$1:$AB$65000,$B761,AE$5)="",2,0)),0)</f>
        <v>0</v>
      </c>
      <c r="AF761" s="313">
        <f>IFERROR(IF(INDEX([1]Pivot!$BF$1:$CG$65000,$B761,AF$5)=1,1,IF(INDEX([1]Pivot!$B$1:$AB$65000,$B761,AF$5)="",2,0)),0)</f>
        <v>0</v>
      </c>
      <c r="AG761" s="313">
        <f>IFERROR(IF(INDEX([1]Pivot!$BF$1:$CG$65000,$B761,AG$5)=1,1,IF(INDEX([1]Pivot!$B$1:$AB$65000,$B761,AG$5)="",2,0)),0)</f>
        <v>0</v>
      </c>
      <c r="AH761" s="313">
        <f>IFERROR(IF(INDEX([1]Pivot!$BF$1:$CG$65000,$B761,AH$5)=1,1,IF(INDEX([1]Pivot!$B$1:$AB$65000,$B761,AH$5)="",2,0)),0)</f>
        <v>0</v>
      </c>
      <c r="AI761" s="313">
        <f>IFERROR(IF(INDEX([1]Pivot!$BF$1:$CG$65000,$B761,AI$5)=1,1,IF(INDEX([1]Pivot!$B$1:$AB$65000,$B761,AI$5)="",2,0)),0)</f>
        <v>0</v>
      </c>
      <c r="AJ761" s="313">
        <f>IFERROR(IF(INDEX([1]Pivot!$BF$1:$CG$65000,$B761,AJ$5)=1,1,IF(INDEX([1]Pivot!$B$1:$AB$65000,$B761,AJ$5)="",2,0)),0)</f>
        <v>0</v>
      </c>
      <c r="AK761" s="313">
        <f>IFERROR(IF(INDEX([1]Pivot!$BF$1:$CG$65000,$B761,AK$5)=1,1,IF(INDEX([1]Pivot!$B$1:$AB$65000,$B761,AK$5)="",2,0)),0)</f>
        <v>0</v>
      </c>
      <c r="AL761" s="313">
        <f>IFERROR(IF(INDEX([1]Pivot!$BF$1:$CG$65000,$B761,AL$5)=1,1,IF(INDEX([1]Pivot!$B$1:$AB$65000,$B761,AL$5)="",2,0)),0)</f>
        <v>0</v>
      </c>
      <c r="AM761" s="313">
        <f>IFERROR(IF(INDEX([1]Pivot!$BF$1:$CG$65000,$B761,AM$5)=1,1,IF(INDEX([1]Pivot!$B$1:$AB$65000,$B761,AM$5)="",2,0)),0)</f>
        <v>0</v>
      </c>
      <c r="AN761" s="313">
        <f>IFERROR(IF(INDEX([1]Pivot!$BF$1:$CG$65000,$B761,AN$5)=1,1,IF(INDEX([1]Pivot!$B$1:$AB$65000,$B761,AN$5)="",2,0)),0)</f>
        <v>0</v>
      </c>
      <c r="AO761" s="313">
        <f>IFERROR(IF(INDEX([1]Pivot!$BF$1:$CG$65000,$B761,AO$5)=1,1,IF(INDEX([1]Pivot!$B$1:$AB$65000,$B761,AO$5)="",2,0)),0)</f>
        <v>0</v>
      </c>
      <c r="AP761" s="313">
        <f>IFERROR(IF(INDEX([1]Pivot!$BF$1:$CG$65000,$B761,AP$5)=1,1,IF(INDEX([1]Pivot!$B$1:$AB$65000,$B761,AP$5)="",2,0)),0)</f>
        <v>0</v>
      </c>
      <c r="AQ761" s="313">
        <f>IFERROR(IF(INDEX([1]Pivot!$BF$1:$CG$65000,$B761,AQ$5)=1,1,IF(INDEX([1]Pivot!$B$1:$AB$65000,$B761,AQ$5)="",2,0)),0)</f>
        <v>0</v>
      </c>
      <c r="AR761" s="313">
        <f>IFERROR(IF(INDEX([1]Pivot!$BF$1:$CG$65000,$B761,AR$5)=1,1,IF(INDEX([1]Pivot!$B$1:$AB$65000,$B761,AR$5)="",2,0)),0)</f>
        <v>0</v>
      </c>
      <c r="AS761" s="312"/>
      <c r="AT761" s="313">
        <f>IFERROR(IF(INDEX([1]Pivot!$BF$1:$CG$65000,$B761,AT$5)=1,1,IF(INDEX([1]Pivot!$B$1:$AB$65000,$B761,AT$5)="",2,0)),0)</f>
        <v>0</v>
      </c>
      <c r="AU761" s="313">
        <f>IFERROR(IF(INDEX([1]Pivot!$BF$1:$CG$65000,$B761,AU$5)=1,1,IF(INDEX([1]Pivot!$B$1:$AB$65000,$B761,AU$5)="",2,0)),0)</f>
        <v>0</v>
      </c>
      <c r="AV761" s="313">
        <f>IFERROR(IF(INDEX([1]Pivot!$BF$1:$CG$65000,$B761,AV$5)=1,1,IF(INDEX([1]Pivot!$B$1:$AB$65000,$B761,AV$5)="",2,0)),0)</f>
        <v>0</v>
      </c>
      <c r="AW761" s="313">
        <f>IFERROR(IF(INDEX([1]Pivot!$BF$1:$CG$65000,$B761,AW$5)=1,1,IF(INDEX([1]Pivot!$B$1:$AB$65000,$B761,AW$5)="",2,0)),0)</f>
        <v>0</v>
      </c>
      <c r="AX761" s="313">
        <f>IFERROR(IF(INDEX([1]Pivot!$BF$1:$CG$65000,$B761,AX$5)=1,1,IF(INDEX([1]Pivot!$B$1:$AB$65000,$B761,AX$5)="",2,0)),0)</f>
        <v>0</v>
      </c>
      <c r="AY761" s="313">
        <f>IFERROR(IF(INDEX([1]Pivot!$BF$1:$CG$65000,$B761,AY$5)=1,1,IF(INDEX([1]Pivot!$B$1:$AB$65000,$B761,AY$5)="",2,0)),0)</f>
        <v>0</v>
      </c>
      <c r="AZ761" s="313">
        <f>IFERROR(IF(INDEX([1]Pivot!$BF$1:$CG$65000,$B761,AZ$5)=1,1,IF(INDEX([1]Pivot!$B$1:$AB$65000,$B761,AZ$5)="",2,0)),0)</f>
        <v>0</v>
      </c>
      <c r="BA761" s="313">
        <f>IFERROR(IF(INDEX([1]Pivot!$BF$1:$CG$65000,$B761,BA$5)=1,1,IF(INDEX([1]Pivot!$B$1:$AB$65000,$B761,BA$5)="",2,0)),0)</f>
        <v>0</v>
      </c>
      <c r="BB761" s="313">
        <f>IFERROR(IF(INDEX([1]Pivot!$BF$1:$CG$65000,$B761,BB$5)=1,1,IF(INDEX([1]Pivot!$B$1:$AB$65000,$B761,BB$5)="",2,0)),0)</f>
        <v>0</v>
      </c>
      <c r="BC761" s="313">
        <f>IFERROR(IF(INDEX([1]Pivot!$BF$1:$CG$65000,$B761,BC$5)=1,1,IF(INDEX([1]Pivot!$B$1:$AB$65000,$B761,BC$5)="",2,0)),0)</f>
        <v>0</v>
      </c>
      <c r="BD761" s="313">
        <f>IFERROR(IF(INDEX([1]Pivot!$BF$1:$CG$65000,$B761,BD$5)=1,1,IF(INDEX([1]Pivot!$B$1:$AB$65000,$B761,BD$5)="",2,0)),0)</f>
        <v>0</v>
      </c>
    </row>
    <row r="762" spans="1:56" x14ac:dyDescent="0.25">
      <c r="A762" s="288">
        <f>'[2]Raw Milk Prices'!A762</f>
        <v>0</v>
      </c>
      <c r="B762" s="296" t="e">
        <f>MATCH(DATE(LEFT('[2]Raw Milk Prices'!$A762,4),RIGHT('[2]Raw Milk Prices'!$A762,2),1),[1]Pivot!$A$1:$A$65000,0)</f>
        <v>#VALUE!</v>
      </c>
      <c r="C762" s="194">
        <f>IFERROR(IF(INDEX([1]Pivot!$AD$1:$BE$65000,$B762,C$5)=1,1,IF(INDEX([1]Pivot!$B$1:$AB$65000,$B762,C$5)="",2,0)),0)</f>
        <v>0</v>
      </c>
      <c r="D762" s="194">
        <f>IFERROR(IF(INDEX([1]Pivot!$AD$1:$BE$65000,$B762,D$5)=1,1,IF(INDEX([1]Pivot!$B$1:$AB$65000,$B762,D$5)="",2,0)),0)</f>
        <v>0</v>
      </c>
      <c r="E762" s="194">
        <f>IFERROR(IF(INDEX([1]Pivot!$AD$1:$BE$65000,$B762,E$5)=1,1,IF(INDEX([1]Pivot!$B$1:$AB$65000,$B762,E$5)="",2,0)),0)</f>
        <v>0</v>
      </c>
      <c r="F762" s="194">
        <f>IFERROR(IF(INDEX([1]Pivot!$AD$1:$BE$65000,$B762,F$5)=1,1,IF(INDEX([1]Pivot!$B$1:$AB$65000,$B762,F$5)="",2,0)),0)</f>
        <v>0</v>
      </c>
      <c r="G762" s="194">
        <f>IFERROR(IF(INDEX([1]Pivot!$AD$1:$BE$65000,$B762,G$5)=1,1,IF(INDEX([1]Pivot!$B$1:$AB$65000,$B762,G$5)="",2,0)),0)</f>
        <v>0</v>
      </c>
      <c r="H762" s="194">
        <f>IFERROR(IF(INDEX([1]Pivot!$AD$1:$BE$65000,$B762,H$5)=1,1,IF(INDEX([1]Pivot!$B$1:$AB$65000,$B762,H$5)="",2,0)),0)</f>
        <v>0</v>
      </c>
      <c r="I762" s="194">
        <f>IFERROR(IF(INDEX([1]Pivot!$AD$1:$BE$65000,$B762,I$5)=1,1,IF(INDEX([1]Pivot!$B$1:$AB$65000,$B762,I$5)="",2,0)),0)</f>
        <v>0</v>
      </c>
      <c r="J762" s="194">
        <f>IFERROR(IF(INDEX([1]Pivot!$AD$1:$BE$65000,$B762,J$5)=1,1,IF(INDEX([1]Pivot!$B$1:$AB$65000,$B762,J$5)="",2,0)),0)</f>
        <v>0</v>
      </c>
      <c r="K762" s="194">
        <f>IFERROR(IF(INDEX([1]Pivot!$AD$1:$BE$65000,$B762,K$5)=1,1,IF(INDEX([1]Pivot!$B$1:$AB$65000,$B762,K$5)="",2,0)),0)</f>
        <v>0</v>
      </c>
      <c r="L762" s="194">
        <f>IFERROR(IF(INDEX([1]Pivot!$AD$1:$BE$65000,$B762,L$5)=1,1,IF(INDEX([1]Pivot!$B$1:$AB$65000,$B762,L$5)="",2,0)),0)</f>
        <v>0</v>
      </c>
      <c r="M762" s="194">
        <f>IFERROR(IF(INDEX([1]Pivot!$AD$1:$BE$65000,$B762,M$5)=1,1,IF(INDEX([1]Pivot!$B$1:$AB$65000,$B762,M$5)="",2,0)),0)</f>
        <v>0</v>
      </c>
      <c r="N762" s="194">
        <f>IFERROR(IF(INDEX([1]Pivot!$AD$1:$BE$65000,$B762,N$5)=1,1,IF(INDEX([1]Pivot!$B$1:$AB$65000,$B762,N$5)="",2,0)),0)</f>
        <v>0</v>
      </c>
      <c r="O762" s="194">
        <f>IFERROR(IF(INDEX([1]Pivot!$AD$1:$BE$65000,$B762,O$5)=1,1,IF(INDEX([1]Pivot!$B$1:$AB$65000,$B762,O$5)="",2,0)),0)</f>
        <v>0</v>
      </c>
      <c r="P762" s="194">
        <f>IFERROR(IF(INDEX([1]Pivot!$AD$1:$BE$65000,$B762,P$5)=1,1,IF(INDEX([1]Pivot!$B$1:$AB$65000,$B762,P$5)="",2,0)),0)</f>
        <v>0</v>
      </c>
      <c r="Q762" s="194">
        <f>IFERROR(IF(INDEX([1]Pivot!$AD$1:$BE$65000,$B762,Q$5)=1,1,IF(INDEX([1]Pivot!$B$1:$AB$65000,$B762,Q$5)="",2,0)),0)</f>
        <v>0</v>
      </c>
      <c r="R762" s="312"/>
      <c r="S762" s="194">
        <f>IFERROR(IF(INDEX([1]Pivot!$AD$1:$BE$65000,$B762,S$5)=1,1,IF(INDEX([1]Pivot!$B$1:$AB$65000,$B762,S$5)="",2,0)),0)</f>
        <v>0</v>
      </c>
      <c r="T762" s="194">
        <f>IFERROR(IF(INDEX([1]Pivot!$AD$1:$BE$65000,$B762,T$5)=1,1,IF(INDEX([1]Pivot!$B$1:$AB$65000,$B762,T$5)="",2,0)),0)</f>
        <v>0</v>
      </c>
      <c r="U762" s="194">
        <f>IFERROR(IF(INDEX([1]Pivot!$AD$1:$BE$65000,$B762,U$5)=1,1,IF(INDEX([1]Pivot!$B$1:$AB$65000,$B762,U$5)="",2,0)),0)</f>
        <v>0</v>
      </c>
      <c r="V762" s="194">
        <f>IFERROR(IF(INDEX([1]Pivot!$AD$1:$BE$65000,$B762,V$5)=1,1,IF(INDEX([1]Pivot!$B$1:$AB$65000,$B762,V$5)="",2,0)),0)</f>
        <v>0</v>
      </c>
      <c r="W762" s="194">
        <f>IFERROR(IF(INDEX([1]Pivot!$AD$1:$BE$65000,$B762,W$5)=1,1,IF(INDEX([1]Pivot!$B$1:$AB$65000,$B762,W$5)="",2,0)),0)</f>
        <v>0</v>
      </c>
      <c r="X762" s="194">
        <f>IFERROR(IF(INDEX([1]Pivot!$AD$1:$BE$65000,$B762,X$5)=1,1,IF(INDEX([1]Pivot!$B$1:$AB$65000,$B762,X$5)="",2,0)),0)</f>
        <v>0</v>
      </c>
      <c r="Y762" s="194">
        <f>IFERROR(IF(INDEX([1]Pivot!$AD$1:$BE$65000,$B762,Y$5)=1,1,IF(INDEX([1]Pivot!$B$1:$AB$65000,$B762,Y$5)="",2,0)),0)</f>
        <v>0</v>
      </c>
      <c r="Z762" s="194">
        <f>IFERROR(IF(INDEX([1]Pivot!$AD$1:$BE$65000,$B762,Z$5)=1,1,IF(INDEX([1]Pivot!$B$1:$AB$65000,$B762,Z$5)="",2,0)),0)</f>
        <v>0</v>
      </c>
      <c r="AA762" s="194">
        <f>IFERROR(IF(INDEX([1]Pivot!$AD$1:$BE$65000,$B762,AA$5)=1,1,IF(INDEX([1]Pivot!$B$1:$AB$65000,$B762,AA$5)="",2,0)),0)</f>
        <v>0</v>
      </c>
      <c r="AB762" s="194">
        <f>IFERROR(IF(INDEX([1]Pivot!$AD$1:$BE$65000,$B762,AB$5)=1,1,IF(INDEX([1]Pivot!$B$1:$AB$65000,$B762,AB$5)="",2,0)),0)</f>
        <v>0</v>
      </c>
      <c r="AC762" s="194">
        <f>IFERROR(IF(INDEX([1]Pivot!$AD$1:$BE$65000,$B762,AC$5)=1,1,IF(INDEX([1]Pivot!$B$1:$AB$65000,$B762,AC$5)="",2,0)),0)</f>
        <v>0</v>
      </c>
      <c r="AD762" s="313">
        <f>IFERROR(IF(INDEX([1]Pivot!$BF$1:$CG$65000,$B762,AD$5)=1,1,IF(INDEX([1]Pivot!$B$1:$AB$65000,$B762,AD$5)="",2,0)),0)</f>
        <v>0</v>
      </c>
      <c r="AE762" s="313">
        <f>IFERROR(IF(INDEX([1]Pivot!$BF$1:$CG$65000,$B762,AE$5)=1,1,IF(INDEX([1]Pivot!$B$1:$AB$65000,$B762,AE$5)="",2,0)),0)</f>
        <v>0</v>
      </c>
      <c r="AF762" s="313">
        <f>IFERROR(IF(INDEX([1]Pivot!$BF$1:$CG$65000,$B762,AF$5)=1,1,IF(INDEX([1]Pivot!$B$1:$AB$65000,$B762,AF$5)="",2,0)),0)</f>
        <v>0</v>
      </c>
      <c r="AG762" s="313">
        <f>IFERROR(IF(INDEX([1]Pivot!$BF$1:$CG$65000,$B762,AG$5)=1,1,IF(INDEX([1]Pivot!$B$1:$AB$65000,$B762,AG$5)="",2,0)),0)</f>
        <v>0</v>
      </c>
      <c r="AH762" s="313">
        <f>IFERROR(IF(INDEX([1]Pivot!$BF$1:$CG$65000,$B762,AH$5)=1,1,IF(INDEX([1]Pivot!$B$1:$AB$65000,$B762,AH$5)="",2,0)),0)</f>
        <v>0</v>
      </c>
      <c r="AI762" s="313">
        <f>IFERROR(IF(INDEX([1]Pivot!$BF$1:$CG$65000,$B762,AI$5)=1,1,IF(INDEX([1]Pivot!$B$1:$AB$65000,$B762,AI$5)="",2,0)),0)</f>
        <v>0</v>
      </c>
      <c r="AJ762" s="313">
        <f>IFERROR(IF(INDEX([1]Pivot!$BF$1:$CG$65000,$B762,AJ$5)=1,1,IF(INDEX([1]Pivot!$B$1:$AB$65000,$B762,AJ$5)="",2,0)),0)</f>
        <v>0</v>
      </c>
      <c r="AK762" s="313">
        <f>IFERROR(IF(INDEX([1]Pivot!$BF$1:$CG$65000,$B762,AK$5)=1,1,IF(INDEX([1]Pivot!$B$1:$AB$65000,$B762,AK$5)="",2,0)),0)</f>
        <v>0</v>
      </c>
      <c r="AL762" s="313">
        <f>IFERROR(IF(INDEX([1]Pivot!$BF$1:$CG$65000,$B762,AL$5)=1,1,IF(INDEX([1]Pivot!$B$1:$AB$65000,$B762,AL$5)="",2,0)),0)</f>
        <v>0</v>
      </c>
      <c r="AM762" s="313">
        <f>IFERROR(IF(INDEX([1]Pivot!$BF$1:$CG$65000,$B762,AM$5)=1,1,IF(INDEX([1]Pivot!$B$1:$AB$65000,$B762,AM$5)="",2,0)),0)</f>
        <v>0</v>
      </c>
      <c r="AN762" s="313">
        <f>IFERROR(IF(INDEX([1]Pivot!$BF$1:$CG$65000,$B762,AN$5)=1,1,IF(INDEX([1]Pivot!$B$1:$AB$65000,$B762,AN$5)="",2,0)),0)</f>
        <v>0</v>
      </c>
      <c r="AO762" s="313">
        <f>IFERROR(IF(INDEX([1]Pivot!$BF$1:$CG$65000,$B762,AO$5)=1,1,IF(INDEX([1]Pivot!$B$1:$AB$65000,$B762,AO$5)="",2,0)),0)</f>
        <v>0</v>
      </c>
      <c r="AP762" s="313">
        <f>IFERROR(IF(INDEX([1]Pivot!$BF$1:$CG$65000,$B762,AP$5)=1,1,IF(INDEX([1]Pivot!$B$1:$AB$65000,$B762,AP$5)="",2,0)),0)</f>
        <v>0</v>
      </c>
      <c r="AQ762" s="313">
        <f>IFERROR(IF(INDEX([1]Pivot!$BF$1:$CG$65000,$B762,AQ$5)=1,1,IF(INDEX([1]Pivot!$B$1:$AB$65000,$B762,AQ$5)="",2,0)),0)</f>
        <v>0</v>
      </c>
      <c r="AR762" s="313">
        <f>IFERROR(IF(INDEX([1]Pivot!$BF$1:$CG$65000,$B762,AR$5)=1,1,IF(INDEX([1]Pivot!$B$1:$AB$65000,$B762,AR$5)="",2,0)),0)</f>
        <v>0</v>
      </c>
      <c r="AS762" s="312"/>
      <c r="AT762" s="313">
        <f>IFERROR(IF(INDEX([1]Pivot!$BF$1:$CG$65000,$B762,AT$5)=1,1,IF(INDEX([1]Pivot!$B$1:$AB$65000,$B762,AT$5)="",2,0)),0)</f>
        <v>0</v>
      </c>
      <c r="AU762" s="313">
        <f>IFERROR(IF(INDEX([1]Pivot!$BF$1:$CG$65000,$B762,AU$5)=1,1,IF(INDEX([1]Pivot!$B$1:$AB$65000,$B762,AU$5)="",2,0)),0)</f>
        <v>0</v>
      </c>
      <c r="AV762" s="313">
        <f>IFERROR(IF(INDEX([1]Pivot!$BF$1:$CG$65000,$B762,AV$5)=1,1,IF(INDEX([1]Pivot!$B$1:$AB$65000,$B762,AV$5)="",2,0)),0)</f>
        <v>0</v>
      </c>
      <c r="AW762" s="313">
        <f>IFERROR(IF(INDEX([1]Pivot!$BF$1:$CG$65000,$B762,AW$5)=1,1,IF(INDEX([1]Pivot!$B$1:$AB$65000,$B762,AW$5)="",2,0)),0)</f>
        <v>0</v>
      </c>
      <c r="AX762" s="313">
        <f>IFERROR(IF(INDEX([1]Pivot!$BF$1:$CG$65000,$B762,AX$5)=1,1,IF(INDEX([1]Pivot!$B$1:$AB$65000,$B762,AX$5)="",2,0)),0)</f>
        <v>0</v>
      </c>
      <c r="AY762" s="313">
        <f>IFERROR(IF(INDEX([1]Pivot!$BF$1:$CG$65000,$B762,AY$5)=1,1,IF(INDEX([1]Pivot!$B$1:$AB$65000,$B762,AY$5)="",2,0)),0)</f>
        <v>0</v>
      </c>
      <c r="AZ762" s="313">
        <f>IFERROR(IF(INDEX([1]Pivot!$BF$1:$CG$65000,$B762,AZ$5)=1,1,IF(INDEX([1]Pivot!$B$1:$AB$65000,$B762,AZ$5)="",2,0)),0)</f>
        <v>0</v>
      </c>
      <c r="BA762" s="313">
        <f>IFERROR(IF(INDEX([1]Pivot!$BF$1:$CG$65000,$B762,BA$5)=1,1,IF(INDEX([1]Pivot!$B$1:$AB$65000,$B762,BA$5)="",2,0)),0)</f>
        <v>0</v>
      </c>
      <c r="BB762" s="313">
        <f>IFERROR(IF(INDEX([1]Pivot!$BF$1:$CG$65000,$B762,BB$5)=1,1,IF(INDEX([1]Pivot!$B$1:$AB$65000,$B762,BB$5)="",2,0)),0)</f>
        <v>0</v>
      </c>
      <c r="BC762" s="313">
        <f>IFERROR(IF(INDEX([1]Pivot!$BF$1:$CG$65000,$B762,BC$5)=1,1,IF(INDEX([1]Pivot!$B$1:$AB$65000,$B762,BC$5)="",2,0)),0)</f>
        <v>0</v>
      </c>
      <c r="BD762" s="313">
        <f>IFERROR(IF(INDEX([1]Pivot!$BF$1:$CG$65000,$B762,BD$5)=1,1,IF(INDEX([1]Pivot!$B$1:$AB$65000,$B762,BD$5)="",2,0)),0)</f>
        <v>0</v>
      </c>
    </row>
    <row r="763" spans="1:56" x14ac:dyDescent="0.25">
      <c r="A763" s="288">
        <f>'[2]Raw Milk Prices'!A763</f>
        <v>0</v>
      </c>
      <c r="B763" s="296" t="e">
        <f>MATCH(DATE(LEFT('[2]Raw Milk Prices'!$A763,4),RIGHT('[2]Raw Milk Prices'!$A763,2),1),[1]Pivot!$A$1:$A$65000,0)</f>
        <v>#VALUE!</v>
      </c>
      <c r="C763" s="194">
        <f>IFERROR(IF(INDEX([1]Pivot!$AD$1:$BE$65000,$B763,C$5)=1,1,IF(INDEX([1]Pivot!$B$1:$AB$65000,$B763,C$5)="",2,0)),0)</f>
        <v>0</v>
      </c>
      <c r="D763" s="194">
        <f>IFERROR(IF(INDEX([1]Pivot!$AD$1:$BE$65000,$B763,D$5)=1,1,IF(INDEX([1]Pivot!$B$1:$AB$65000,$B763,D$5)="",2,0)),0)</f>
        <v>0</v>
      </c>
      <c r="E763" s="194">
        <f>IFERROR(IF(INDEX([1]Pivot!$AD$1:$BE$65000,$B763,E$5)=1,1,IF(INDEX([1]Pivot!$B$1:$AB$65000,$B763,E$5)="",2,0)),0)</f>
        <v>0</v>
      </c>
      <c r="F763" s="194">
        <f>IFERROR(IF(INDEX([1]Pivot!$AD$1:$BE$65000,$B763,F$5)=1,1,IF(INDEX([1]Pivot!$B$1:$AB$65000,$B763,F$5)="",2,0)),0)</f>
        <v>0</v>
      </c>
      <c r="G763" s="194">
        <f>IFERROR(IF(INDEX([1]Pivot!$AD$1:$BE$65000,$B763,G$5)=1,1,IF(INDEX([1]Pivot!$B$1:$AB$65000,$B763,G$5)="",2,0)),0)</f>
        <v>0</v>
      </c>
      <c r="H763" s="194">
        <f>IFERROR(IF(INDEX([1]Pivot!$AD$1:$BE$65000,$B763,H$5)=1,1,IF(INDEX([1]Pivot!$B$1:$AB$65000,$B763,H$5)="",2,0)),0)</f>
        <v>0</v>
      </c>
      <c r="I763" s="194">
        <f>IFERROR(IF(INDEX([1]Pivot!$AD$1:$BE$65000,$B763,I$5)=1,1,IF(INDEX([1]Pivot!$B$1:$AB$65000,$B763,I$5)="",2,0)),0)</f>
        <v>0</v>
      </c>
      <c r="J763" s="194">
        <f>IFERROR(IF(INDEX([1]Pivot!$AD$1:$BE$65000,$B763,J$5)=1,1,IF(INDEX([1]Pivot!$B$1:$AB$65000,$B763,J$5)="",2,0)),0)</f>
        <v>0</v>
      </c>
      <c r="K763" s="194">
        <f>IFERROR(IF(INDEX([1]Pivot!$AD$1:$BE$65000,$B763,K$5)=1,1,IF(INDEX([1]Pivot!$B$1:$AB$65000,$B763,K$5)="",2,0)),0)</f>
        <v>0</v>
      </c>
      <c r="L763" s="194">
        <f>IFERROR(IF(INDEX([1]Pivot!$AD$1:$BE$65000,$B763,L$5)=1,1,IF(INDEX([1]Pivot!$B$1:$AB$65000,$B763,L$5)="",2,0)),0)</f>
        <v>0</v>
      </c>
      <c r="M763" s="194">
        <f>IFERROR(IF(INDEX([1]Pivot!$AD$1:$BE$65000,$B763,M$5)=1,1,IF(INDEX([1]Pivot!$B$1:$AB$65000,$B763,M$5)="",2,0)),0)</f>
        <v>0</v>
      </c>
      <c r="N763" s="194">
        <f>IFERROR(IF(INDEX([1]Pivot!$AD$1:$BE$65000,$B763,N$5)=1,1,IF(INDEX([1]Pivot!$B$1:$AB$65000,$B763,N$5)="",2,0)),0)</f>
        <v>0</v>
      </c>
      <c r="O763" s="194">
        <f>IFERROR(IF(INDEX([1]Pivot!$AD$1:$BE$65000,$B763,O$5)=1,1,IF(INDEX([1]Pivot!$B$1:$AB$65000,$B763,O$5)="",2,0)),0)</f>
        <v>0</v>
      </c>
      <c r="P763" s="194">
        <f>IFERROR(IF(INDEX([1]Pivot!$AD$1:$BE$65000,$B763,P$5)=1,1,IF(INDEX([1]Pivot!$B$1:$AB$65000,$B763,P$5)="",2,0)),0)</f>
        <v>0</v>
      </c>
      <c r="Q763" s="194">
        <f>IFERROR(IF(INDEX([1]Pivot!$AD$1:$BE$65000,$B763,Q$5)=1,1,IF(INDEX([1]Pivot!$B$1:$AB$65000,$B763,Q$5)="",2,0)),0)</f>
        <v>0</v>
      </c>
      <c r="R763" s="312"/>
      <c r="S763" s="194">
        <f>IFERROR(IF(INDEX([1]Pivot!$AD$1:$BE$65000,$B763,S$5)=1,1,IF(INDEX([1]Pivot!$B$1:$AB$65000,$B763,S$5)="",2,0)),0)</f>
        <v>0</v>
      </c>
      <c r="T763" s="194">
        <f>IFERROR(IF(INDEX([1]Pivot!$AD$1:$BE$65000,$B763,T$5)=1,1,IF(INDEX([1]Pivot!$B$1:$AB$65000,$B763,T$5)="",2,0)),0)</f>
        <v>0</v>
      </c>
      <c r="U763" s="194">
        <f>IFERROR(IF(INDEX([1]Pivot!$AD$1:$BE$65000,$B763,U$5)=1,1,IF(INDEX([1]Pivot!$B$1:$AB$65000,$B763,U$5)="",2,0)),0)</f>
        <v>0</v>
      </c>
      <c r="V763" s="194">
        <f>IFERROR(IF(INDEX([1]Pivot!$AD$1:$BE$65000,$B763,V$5)=1,1,IF(INDEX([1]Pivot!$B$1:$AB$65000,$B763,V$5)="",2,0)),0)</f>
        <v>0</v>
      </c>
      <c r="W763" s="194">
        <f>IFERROR(IF(INDEX([1]Pivot!$AD$1:$BE$65000,$B763,W$5)=1,1,IF(INDEX([1]Pivot!$B$1:$AB$65000,$B763,W$5)="",2,0)),0)</f>
        <v>0</v>
      </c>
      <c r="X763" s="194">
        <f>IFERROR(IF(INDEX([1]Pivot!$AD$1:$BE$65000,$B763,X$5)=1,1,IF(INDEX([1]Pivot!$B$1:$AB$65000,$B763,X$5)="",2,0)),0)</f>
        <v>0</v>
      </c>
      <c r="Y763" s="194">
        <f>IFERROR(IF(INDEX([1]Pivot!$AD$1:$BE$65000,$B763,Y$5)=1,1,IF(INDEX([1]Pivot!$B$1:$AB$65000,$B763,Y$5)="",2,0)),0)</f>
        <v>0</v>
      </c>
      <c r="Z763" s="194">
        <f>IFERROR(IF(INDEX([1]Pivot!$AD$1:$BE$65000,$B763,Z$5)=1,1,IF(INDEX([1]Pivot!$B$1:$AB$65000,$B763,Z$5)="",2,0)),0)</f>
        <v>0</v>
      </c>
      <c r="AA763" s="194">
        <f>IFERROR(IF(INDEX([1]Pivot!$AD$1:$BE$65000,$B763,AA$5)=1,1,IF(INDEX([1]Pivot!$B$1:$AB$65000,$B763,AA$5)="",2,0)),0)</f>
        <v>0</v>
      </c>
      <c r="AB763" s="194">
        <f>IFERROR(IF(INDEX([1]Pivot!$AD$1:$BE$65000,$B763,AB$5)=1,1,IF(INDEX([1]Pivot!$B$1:$AB$65000,$B763,AB$5)="",2,0)),0)</f>
        <v>0</v>
      </c>
      <c r="AC763" s="194">
        <f>IFERROR(IF(INDEX([1]Pivot!$AD$1:$BE$65000,$B763,AC$5)=1,1,IF(INDEX([1]Pivot!$B$1:$AB$65000,$B763,AC$5)="",2,0)),0)</f>
        <v>0</v>
      </c>
      <c r="AD763" s="313">
        <f>IFERROR(IF(INDEX([1]Pivot!$BF$1:$CG$65000,$B763,AD$5)=1,1,IF(INDEX([1]Pivot!$B$1:$AB$65000,$B763,AD$5)="",2,0)),0)</f>
        <v>0</v>
      </c>
      <c r="AE763" s="313">
        <f>IFERROR(IF(INDEX([1]Pivot!$BF$1:$CG$65000,$B763,AE$5)=1,1,IF(INDEX([1]Pivot!$B$1:$AB$65000,$B763,AE$5)="",2,0)),0)</f>
        <v>0</v>
      </c>
      <c r="AF763" s="313">
        <f>IFERROR(IF(INDEX([1]Pivot!$BF$1:$CG$65000,$B763,AF$5)=1,1,IF(INDEX([1]Pivot!$B$1:$AB$65000,$B763,AF$5)="",2,0)),0)</f>
        <v>0</v>
      </c>
      <c r="AG763" s="313">
        <f>IFERROR(IF(INDEX([1]Pivot!$BF$1:$CG$65000,$B763,AG$5)=1,1,IF(INDEX([1]Pivot!$B$1:$AB$65000,$B763,AG$5)="",2,0)),0)</f>
        <v>0</v>
      </c>
      <c r="AH763" s="313">
        <f>IFERROR(IF(INDEX([1]Pivot!$BF$1:$CG$65000,$B763,AH$5)=1,1,IF(INDEX([1]Pivot!$B$1:$AB$65000,$B763,AH$5)="",2,0)),0)</f>
        <v>0</v>
      </c>
      <c r="AI763" s="313">
        <f>IFERROR(IF(INDEX([1]Pivot!$BF$1:$CG$65000,$B763,AI$5)=1,1,IF(INDEX([1]Pivot!$B$1:$AB$65000,$B763,AI$5)="",2,0)),0)</f>
        <v>0</v>
      </c>
      <c r="AJ763" s="313">
        <f>IFERROR(IF(INDEX([1]Pivot!$BF$1:$CG$65000,$B763,AJ$5)=1,1,IF(INDEX([1]Pivot!$B$1:$AB$65000,$B763,AJ$5)="",2,0)),0)</f>
        <v>0</v>
      </c>
      <c r="AK763" s="313">
        <f>IFERROR(IF(INDEX([1]Pivot!$BF$1:$CG$65000,$B763,AK$5)=1,1,IF(INDEX([1]Pivot!$B$1:$AB$65000,$B763,AK$5)="",2,0)),0)</f>
        <v>0</v>
      </c>
      <c r="AL763" s="313">
        <f>IFERROR(IF(INDEX([1]Pivot!$BF$1:$CG$65000,$B763,AL$5)=1,1,IF(INDEX([1]Pivot!$B$1:$AB$65000,$B763,AL$5)="",2,0)),0)</f>
        <v>0</v>
      </c>
      <c r="AM763" s="313">
        <f>IFERROR(IF(INDEX([1]Pivot!$BF$1:$CG$65000,$B763,AM$5)=1,1,IF(INDEX([1]Pivot!$B$1:$AB$65000,$B763,AM$5)="",2,0)),0)</f>
        <v>0</v>
      </c>
      <c r="AN763" s="313">
        <f>IFERROR(IF(INDEX([1]Pivot!$BF$1:$CG$65000,$B763,AN$5)=1,1,IF(INDEX([1]Pivot!$B$1:$AB$65000,$B763,AN$5)="",2,0)),0)</f>
        <v>0</v>
      </c>
      <c r="AO763" s="313">
        <f>IFERROR(IF(INDEX([1]Pivot!$BF$1:$CG$65000,$B763,AO$5)=1,1,IF(INDEX([1]Pivot!$B$1:$AB$65000,$B763,AO$5)="",2,0)),0)</f>
        <v>0</v>
      </c>
      <c r="AP763" s="313">
        <f>IFERROR(IF(INDEX([1]Pivot!$BF$1:$CG$65000,$B763,AP$5)=1,1,IF(INDEX([1]Pivot!$B$1:$AB$65000,$B763,AP$5)="",2,0)),0)</f>
        <v>0</v>
      </c>
      <c r="AQ763" s="313">
        <f>IFERROR(IF(INDEX([1]Pivot!$BF$1:$CG$65000,$B763,AQ$5)=1,1,IF(INDEX([1]Pivot!$B$1:$AB$65000,$B763,AQ$5)="",2,0)),0)</f>
        <v>0</v>
      </c>
      <c r="AR763" s="313">
        <f>IFERROR(IF(INDEX([1]Pivot!$BF$1:$CG$65000,$B763,AR$5)=1,1,IF(INDEX([1]Pivot!$B$1:$AB$65000,$B763,AR$5)="",2,0)),0)</f>
        <v>0</v>
      </c>
      <c r="AS763" s="312"/>
      <c r="AT763" s="313">
        <f>IFERROR(IF(INDEX([1]Pivot!$BF$1:$CG$65000,$B763,AT$5)=1,1,IF(INDEX([1]Pivot!$B$1:$AB$65000,$B763,AT$5)="",2,0)),0)</f>
        <v>0</v>
      </c>
      <c r="AU763" s="313">
        <f>IFERROR(IF(INDEX([1]Pivot!$BF$1:$CG$65000,$B763,AU$5)=1,1,IF(INDEX([1]Pivot!$B$1:$AB$65000,$B763,AU$5)="",2,0)),0)</f>
        <v>0</v>
      </c>
      <c r="AV763" s="313">
        <f>IFERROR(IF(INDEX([1]Pivot!$BF$1:$CG$65000,$B763,AV$5)=1,1,IF(INDEX([1]Pivot!$B$1:$AB$65000,$B763,AV$5)="",2,0)),0)</f>
        <v>0</v>
      </c>
      <c r="AW763" s="313">
        <f>IFERROR(IF(INDEX([1]Pivot!$BF$1:$CG$65000,$B763,AW$5)=1,1,IF(INDEX([1]Pivot!$B$1:$AB$65000,$B763,AW$5)="",2,0)),0)</f>
        <v>0</v>
      </c>
      <c r="AX763" s="313">
        <f>IFERROR(IF(INDEX([1]Pivot!$BF$1:$CG$65000,$B763,AX$5)=1,1,IF(INDEX([1]Pivot!$B$1:$AB$65000,$B763,AX$5)="",2,0)),0)</f>
        <v>0</v>
      </c>
      <c r="AY763" s="313">
        <f>IFERROR(IF(INDEX([1]Pivot!$BF$1:$CG$65000,$B763,AY$5)=1,1,IF(INDEX([1]Pivot!$B$1:$AB$65000,$B763,AY$5)="",2,0)),0)</f>
        <v>0</v>
      </c>
      <c r="AZ763" s="313">
        <f>IFERROR(IF(INDEX([1]Pivot!$BF$1:$CG$65000,$B763,AZ$5)=1,1,IF(INDEX([1]Pivot!$B$1:$AB$65000,$B763,AZ$5)="",2,0)),0)</f>
        <v>0</v>
      </c>
      <c r="BA763" s="313">
        <f>IFERROR(IF(INDEX([1]Pivot!$BF$1:$CG$65000,$B763,BA$5)=1,1,IF(INDEX([1]Pivot!$B$1:$AB$65000,$B763,BA$5)="",2,0)),0)</f>
        <v>0</v>
      </c>
      <c r="BB763" s="313">
        <f>IFERROR(IF(INDEX([1]Pivot!$BF$1:$CG$65000,$B763,BB$5)=1,1,IF(INDEX([1]Pivot!$B$1:$AB$65000,$B763,BB$5)="",2,0)),0)</f>
        <v>0</v>
      </c>
      <c r="BC763" s="313">
        <f>IFERROR(IF(INDEX([1]Pivot!$BF$1:$CG$65000,$B763,BC$5)=1,1,IF(INDEX([1]Pivot!$B$1:$AB$65000,$B763,BC$5)="",2,0)),0)</f>
        <v>0</v>
      </c>
      <c r="BD763" s="313">
        <f>IFERROR(IF(INDEX([1]Pivot!$BF$1:$CG$65000,$B763,BD$5)=1,1,IF(INDEX([1]Pivot!$B$1:$AB$65000,$B763,BD$5)="",2,0)),0)</f>
        <v>0</v>
      </c>
    </row>
    <row r="764" spans="1:56" x14ac:dyDescent="0.25">
      <c r="A764" s="288">
        <f>'[2]Raw Milk Prices'!A764</f>
        <v>0</v>
      </c>
      <c r="B764" s="296" t="e">
        <f>MATCH(DATE(LEFT('[2]Raw Milk Prices'!$A764,4),RIGHT('[2]Raw Milk Prices'!$A764,2),1),[1]Pivot!$A$1:$A$65000,0)</f>
        <v>#VALUE!</v>
      </c>
      <c r="C764" s="194">
        <f>IFERROR(IF(INDEX([1]Pivot!$AD$1:$BE$65000,$B764,C$5)=1,1,IF(INDEX([1]Pivot!$B$1:$AB$65000,$B764,C$5)="",2,0)),0)</f>
        <v>0</v>
      </c>
      <c r="D764" s="194">
        <f>IFERROR(IF(INDEX([1]Pivot!$AD$1:$BE$65000,$B764,D$5)=1,1,IF(INDEX([1]Pivot!$B$1:$AB$65000,$B764,D$5)="",2,0)),0)</f>
        <v>0</v>
      </c>
      <c r="E764" s="194">
        <f>IFERROR(IF(INDEX([1]Pivot!$AD$1:$BE$65000,$B764,E$5)=1,1,IF(INDEX([1]Pivot!$B$1:$AB$65000,$B764,E$5)="",2,0)),0)</f>
        <v>0</v>
      </c>
      <c r="F764" s="194">
        <f>IFERROR(IF(INDEX([1]Pivot!$AD$1:$BE$65000,$B764,F$5)=1,1,IF(INDEX([1]Pivot!$B$1:$AB$65000,$B764,F$5)="",2,0)),0)</f>
        <v>0</v>
      </c>
      <c r="G764" s="194">
        <f>IFERROR(IF(INDEX([1]Pivot!$AD$1:$BE$65000,$B764,G$5)=1,1,IF(INDEX([1]Pivot!$B$1:$AB$65000,$B764,G$5)="",2,0)),0)</f>
        <v>0</v>
      </c>
      <c r="H764" s="194">
        <f>IFERROR(IF(INDEX([1]Pivot!$AD$1:$BE$65000,$B764,H$5)=1,1,IF(INDEX([1]Pivot!$B$1:$AB$65000,$B764,H$5)="",2,0)),0)</f>
        <v>0</v>
      </c>
      <c r="I764" s="194">
        <f>IFERROR(IF(INDEX([1]Pivot!$AD$1:$BE$65000,$B764,I$5)=1,1,IF(INDEX([1]Pivot!$B$1:$AB$65000,$B764,I$5)="",2,0)),0)</f>
        <v>0</v>
      </c>
      <c r="J764" s="194">
        <f>IFERROR(IF(INDEX([1]Pivot!$AD$1:$BE$65000,$B764,J$5)=1,1,IF(INDEX([1]Pivot!$B$1:$AB$65000,$B764,J$5)="",2,0)),0)</f>
        <v>0</v>
      </c>
      <c r="K764" s="194">
        <f>IFERROR(IF(INDEX([1]Pivot!$AD$1:$BE$65000,$B764,K$5)=1,1,IF(INDEX([1]Pivot!$B$1:$AB$65000,$B764,K$5)="",2,0)),0)</f>
        <v>0</v>
      </c>
      <c r="L764" s="194">
        <f>IFERROR(IF(INDEX([1]Pivot!$AD$1:$BE$65000,$B764,L$5)=1,1,IF(INDEX([1]Pivot!$B$1:$AB$65000,$B764,L$5)="",2,0)),0)</f>
        <v>0</v>
      </c>
      <c r="M764" s="194">
        <f>IFERROR(IF(INDEX([1]Pivot!$AD$1:$BE$65000,$B764,M$5)=1,1,IF(INDEX([1]Pivot!$B$1:$AB$65000,$B764,M$5)="",2,0)),0)</f>
        <v>0</v>
      </c>
      <c r="N764" s="194">
        <f>IFERROR(IF(INDEX([1]Pivot!$AD$1:$BE$65000,$B764,N$5)=1,1,IF(INDEX([1]Pivot!$B$1:$AB$65000,$B764,N$5)="",2,0)),0)</f>
        <v>0</v>
      </c>
      <c r="O764" s="194">
        <f>IFERROR(IF(INDEX([1]Pivot!$AD$1:$BE$65000,$B764,O$5)=1,1,IF(INDEX([1]Pivot!$B$1:$AB$65000,$B764,O$5)="",2,0)),0)</f>
        <v>0</v>
      </c>
      <c r="P764" s="194">
        <f>IFERROR(IF(INDEX([1]Pivot!$AD$1:$BE$65000,$B764,P$5)=1,1,IF(INDEX([1]Pivot!$B$1:$AB$65000,$B764,P$5)="",2,0)),0)</f>
        <v>0</v>
      </c>
      <c r="Q764" s="194">
        <f>IFERROR(IF(INDEX([1]Pivot!$AD$1:$BE$65000,$B764,Q$5)=1,1,IF(INDEX([1]Pivot!$B$1:$AB$65000,$B764,Q$5)="",2,0)),0)</f>
        <v>0</v>
      </c>
      <c r="R764" s="312"/>
      <c r="S764" s="194">
        <f>IFERROR(IF(INDEX([1]Pivot!$AD$1:$BE$65000,$B764,S$5)=1,1,IF(INDEX([1]Pivot!$B$1:$AB$65000,$B764,S$5)="",2,0)),0)</f>
        <v>0</v>
      </c>
      <c r="T764" s="194">
        <f>IFERROR(IF(INDEX([1]Pivot!$AD$1:$BE$65000,$B764,T$5)=1,1,IF(INDEX([1]Pivot!$B$1:$AB$65000,$B764,T$5)="",2,0)),0)</f>
        <v>0</v>
      </c>
      <c r="U764" s="194">
        <f>IFERROR(IF(INDEX([1]Pivot!$AD$1:$BE$65000,$B764,U$5)=1,1,IF(INDEX([1]Pivot!$B$1:$AB$65000,$B764,U$5)="",2,0)),0)</f>
        <v>0</v>
      </c>
      <c r="V764" s="194">
        <f>IFERROR(IF(INDEX([1]Pivot!$AD$1:$BE$65000,$B764,V$5)=1,1,IF(INDEX([1]Pivot!$B$1:$AB$65000,$B764,V$5)="",2,0)),0)</f>
        <v>0</v>
      </c>
      <c r="W764" s="194">
        <f>IFERROR(IF(INDEX([1]Pivot!$AD$1:$BE$65000,$B764,W$5)=1,1,IF(INDEX([1]Pivot!$B$1:$AB$65000,$B764,W$5)="",2,0)),0)</f>
        <v>0</v>
      </c>
      <c r="X764" s="194">
        <f>IFERROR(IF(INDEX([1]Pivot!$AD$1:$BE$65000,$B764,X$5)=1,1,IF(INDEX([1]Pivot!$B$1:$AB$65000,$B764,X$5)="",2,0)),0)</f>
        <v>0</v>
      </c>
      <c r="Y764" s="194">
        <f>IFERROR(IF(INDEX([1]Pivot!$AD$1:$BE$65000,$B764,Y$5)=1,1,IF(INDEX([1]Pivot!$B$1:$AB$65000,$B764,Y$5)="",2,0)),0)</f>
        <v>0</v>
      </c>
      <c r="Z764" s="194">
        <f>IFERROR(IF(INDEX([1]Pivot!$AD$1:$BE$65000,$B764,Z$5)=1,1,IF(INDEX([1]Pivot!$B$1:$AB$65000,$B764,Z$5)="",2,0)),0)</f>
        <v>0</v>
      </c>
      <c r="AA764" s="194">
        <f>IFERROR(IF(INDEX([1]Pivot!$AD$1:$BE$65000,$B764,AA$5)=1,1,IF(INDEX([1]Pivot!$B$1:$AB$65000,$B764,AA$5)="",2,0)),0)</f>
        <v>0</v>
      </c>
      <c r="AB764" s="194">
        <f>IFERROR(IF(INDEX([1]Pivot!$AD$1:$BE$65000,$B764,AB$5)=1,1,IF(INDEX([1]Pivot!$B$1:$AB$65000,$B764,AB$5)="",2,0)),0)</f>
        <v>0</v>
      </c>
      <c r="AC764" s="194">
        <f>IFERROR(IF(INDEX([1]Pivot!$AD$1:$BE$65000,$B764,AC$5)=1,1,IF(INDEX([1]Pivot!$B$1:$AB$65000,$B764,AC$5)="",2,0)),0)</f>
        <v>0</v>
      </c>
      <c r="AD764" s="313">
        <f>IFERROR(IF(INDEX([1]Pivot!$BF$1:$CG$65000,$B764,AD$5)=1,1,IF(INDEX([1]Pivot!$B$1:$AB$65000,$B764,AD$5)="",2,0)),0)</f>
        <v>0</v>
      </c>
      <c r="AE764" s="313">
        <f>IFERROR(IF(INDEX([1]Pivot!$BF$1:$CG$65000,$B764,AE$5)=1,1,IF(INDEX([1]Pivot!$B$1:$AB$65000,$B764,AE$5)="",2,0)),0)</f>
        <v>0</v>
      </c>
      <c r="AF764" s="313">
        <f>IFERROR(IF(INDEX([1]Pivot!$BF$1:$CG$65000,$B764,AF$5)=1,1,IF(INDEX([1]Pivot!$B$1:$AB$65000,$B764,AF$5)="",2,0)),0)</f>
        <v>0</v>
      </c>
      <c r="AG764" s="313">
        <f>IFERROR(IF(INDEX([1]Pivot!$BF$1:$CG$65000,$B764,AG$5)=1,1,IF(INDEX([1]Pivot!$B$1:$AB$65000,$B764,AG$5)="",2,0)),0)</f>
        <v>0</v>
      </c>
      <c r="AH764" s="313">
        <f>IFERROR(IF(INDEX([1]Pivot!$BF$1:$CG$65000,$B764,AH$5)=1,1,IF(INDEX([1]Pivot!$B$1:$AB$65000,$B764,AH$5)="",2,0)),0)</f>
        <v>0</v>
      </c>
      <c r="AI764" s="313">
        <f>IFERROR(IF(INDEX([1]Pivot!$BF$1:$CG$65000,$B764,AI$5)=1,1,IF(INDEX([1]Pivot!$B$1:$AB$65000,$B764,AI$5)="",2,0)),0)</f>
        <v>0</v>
      </c>
      <c r="AJ764" s="313">
        <f>IFERROR(IF(INDEX([1]Pivot!$BF$1:$CG$65000,$B764,AJ$5)=1,1,IF(INDEX([1]Pivot!$B$1:$AB$65000,$B764,AJ$5)="",2,0)),0)</f>
        <v>0</v>
      </c>
      <c r="AK764" s="313">
        <f>IFERROR(IF(INDEX([1]Pivot!$BF$1:$CG$65000,$B764,AK$5)=1,1,IF(INDEX([1]Pivot!$B$1:$AB$65000,$B764,AK$5)="",2,0)),0)</f>
        <v>0</v>
      </c>
      <c r="AL764" s="313">
        <f>IFERROR(IF(INDEX([1]Pivot!$BF$1:$CG$65000,$B764,AL$5)=1,1,IF(INDEX([1]Pivot!$B$1:$AB$65000,$B764,AL$5)="",2,0)),0)</f>
        <v>0</v>
      </c>
      <c r="AM764" s="313">
        <f>IFERROR(IF(INDEX([1]Pivot!$BF$1:$CG$65000,$B764,AM$5)=1,1,IF(INDEX([1]Pivot!$B$1:$AB$65000,$B764,AM$5)="",2,0)),0)</f>
        <v>0</v>
      </c>
      <c r="AN764" s="313">
        <f>IFERROR(IF(INDEX([1]Pivot!$BF$1:$CG$65000,$B764,AN$5)=1,1,IF(INDEX([1]Pivot!$B$1:$AB$65000,$B764,AN$5)="",2,0)),0)</f>
        <v>0</v>
      </c>
      <c r="AO764" s="313">
        <f>IFERROR(IF(INDEX([1]Pivot!$BF$1:$CG$65000,$B764,AO$5)=1,1,IF(INDEX([1]Pivot!$B$1:$AB$65000,$B764,AO$5)="",2,0)),0)</f>
        <v>0</v>
      </c>
      <c r="AP764" s="313">
        <f>IFERROR(IF(INDEX([1]Pivot!$BF$1:$CG$65000,$B764,AP$5)=1,1,IF(INDEX([1]Pivot!$B$1:$AB$65000,$B764,AP$5)="",2,0)),0)</f>
        <v>0</v>
      </c>
      <c r="AQ764" s="313">
        <f>IFERROR(IF(INDEX([1]Pivot!$BF$1:$CG$65000,$B764,AQ$5)=1,1,IF(INDEX([1]Pivot!$B$1:$AB$65000,$B764,AQ$5)="",2,0)),0)</f>
        <v>0</v>
      </c>
      <c r="AR764" s="313">
        <f>IFERROR(IF(INDEX([1]Pivot!$BF$1:$CG$65000,$B764,AR$5)=1,1,IF(INDEX([1]Pivot!$B$1:$AB$65000,$B764,AR$5)="",2,0)),0)</f>
        <v>0</v>
      </c>
      <c r="AS764" s="312"/>
      <c r="AT764" s="313">
        <f>IFERROR(IF(INDEX([1]Pivot!$BF$1:$CG$65000,$B764,AT$5)=1,1,IF(INDEX([1]Pivot!$B$1:$AB$65000,$B764,AT$5)="",2,0)),0)</f>
        <v>0</v>
      </c>
      <c r="AU764" s="313">
        <f>IFERROR(IF(INDEX([1]Pivot!$BF$1:$CG$65000,$B764,AU$5)=1,1,IF(INDEX([1]Pivot!$B$1:$AB$65000,$B764,AU$5)="",2,0)),0)</f>
        <v>0</v>
      </c>
      <c r="AV764" s="313">
        <f>IFERROR(IF(INDEX([1]Pivot!$BF$1:$CG$65000,$B764,AV$5)=1,1,IF(INDEX([1]Pivot!$B$1:$AB$65000,$B764,AV$5)="",2,0)),0)</f>
        <v>0</v>
      </c>
      <c r="AW764" s="313">
        <f>IFERROR(IF(INDEX([1]Pivot!$BF$1:$CG$65000,$B764,AW$5)=1,1,IF(INDEX([1]Pivot!$B$1:$AB$65000,$B764,AW$5)="",2,0)),0)</f>
        <v>0</v>
      </c>
      <c r="AX764" s="313">
        <f>IFERROR(IF(INDEX([1]Pivot!$BF$1:$CG$65000,$B764,AX$5)=1,1,IF(INDEX([1]Pivot!$B$1:$AB$65000,$B764,AX$5)="",2,0)),0)</f>
        <v>0</v>
      </c>
      <c r="AY764" s="313">
        <f>IFERROR(IF(INDEX([1]Pivot!$BF$1:$CG$65000,$B764,AY$5)=1,1,IF(INDEX([1]Pivot!$B$1:$AB$65000,$B764,AY$5)="",2,0)),0)</f>
        <v>0</v>
      </c>
      <c r="AZ764" s="313">
        <f>IFERROR(IF(INDEX([1]Pivot!$BF$1:$CG$65000,$B764,AZ$5)=1,1,IF(INDEX([1]Pivot!$B$1:$AB$65000,$B764,AZ$5)="",2,0)),0)</f>
        <v>0</v>
      </c>
      <c r="BA764" s="313">
        <f>IFERROR(IF(INDEX([1]Pivot!$BF$1:$CG$65000,$B764,BA$5)=1,1,IF(INDEX([1]Pivot!$B$1:$AB$65000,$B764,BA$5)="",2,0)),0)</f>
        <v>0</v>
      </c>
      <c r="BB764" s="313">
        <f>IFERROR(IF(INDEX([1]Pivot!$BF$1:$CG$65000,$B764,BB$5)=1,1,IF(INDEX([1]Pivot!$B$1:$AB$65000,$B764,BB$5)="",2,0)),0)</f>
        <v>0</v>
      </c>
      <c r="BC764" s="313">
        <f>IFERROR(IF(INDEX([1]Pivot!$BF$1:$CG$65000,$B764,BC$5)=1,1,IF(INDEX([1]Pivot!$B$1:$AB$65000,$B764,BC$5)="",2,0)),0)</f>
        <v>0</v>
      </c>
      <c r="BD764" s="313">
        <f>IFERROR(IF(INDEX([1]Pivot!$BF$1:$CG$65000,$B764,BD$5)=1,1,IF(INDEX([1]Pivot!$B$1:$AB$65000,$B764,BD$5)="",2,0)),0)</f>
        <v>0</v>
      </c>
    </row>
    <row r="765" spans="1:56" x14ac:dyDescent="0.25">
      <c r="A765" s="288">
        <f>'[2]Raw Milk Prices'!A765</f>
        <v>0</v>
      </c>
      <c r="B765" s="296" t="e">
        <f>MATCH(DATE(LEFT('[2]Raw Milk Prices'!$A765,4),RIGHT('[2]Raw Milk Prices'!$A765,2),1),[1]Pivot!$A$1:$A$65000,0)</f>
        <v>#VALUE!</v>
      </c>
      <c r="C765" s="194">
        <f>IFERROR(IF(INDEX([1]Pivot!$AD$1:$BE$65000,$B765,C$5)=1,1,IF(INDEX([1]Pivot!$B$1:$AB$65000,$B765,C$5)="",2,0)),0)</f>
        <v>0</v>
      </c>
      <c r="D765" s="194">
        <f>IFERROR(IF(INDEX([1]Pivot!$AD$1:$BE$65000,$B765,D$5)=1,1,IF(INDEX([1]Pivot!$B$1:$AB$65000,$B765,D$5)="",2,0)),0)</f>
        <v>0</v>
      </c>
      <c r="E765" s="194">
        <f>IFERROR(IF(INDEX([1]Pivot!$AD$1:$BE$65000,$B765,E$5)=1,1,IF(INDEX([1]Pivot!$B$1:$AB$65000,$B765,E$5)="",2,0)),0)</f>
        <v>0</v>
      </c>
      <c r="F765" s="194">
        <f>IFERROR(IF(INDEX([1]Pivot!$AD$1:$BE$65000,$B765,F$5)=1,1,IF(INDEX([1]Pivot!$B$1:$AB$65000,$B765,F$5)="",2,0)),0)</f>
        <v>0</v>
      </c>
      <c r="G765" s="194">
        <f>IFERROR(IF(INDEX([1]Pivot!$AD$1:$BE$65000,$B765,G$5)=1,1,IF(INDEX([1]Pivot!$B$1:$AB$65000,$B765,G$5)="",2,0)),0)</f>
        <v>0</v>
      </c>
      <c r="H765" s="194">
        <f>IFERROR(IF(INDEX([1]Pivot!$AD$1:$BE$65000,$B765,H$5)=1,1,IF(INDEX([1]Pivot!$B$1:$AB$65000,$B765,H$5)="",2,0)),0)</f>
        <v>0</v>
      </c>
      <c r="I765" s="194">
        <f>IFERROR(IF(INDEX([1]Pivot!$AD$1:$BE$65000,$B765,I$5)=1,1,IF(INDEX([1]Pivot!$B$1:$AB$65000,$B765,I$5)="",2,0)),0)</f>
        <v>0</v>
      </c>
      <c r="J765" s="194">
        <f>IFERROR(IF(INDEX([1]Pivot!$AD$1:$BE$65000,$B765,J$5)=1,1,IF(INDEX([1]Pivot!$B$1:$AB$65000,$B765,J$5)="",2,0)),0)</f>
        <v>0</v>
      </c>
      <c r="K765" s="194">
        <f>IFERROR(IF(INDEX([1]Pivot!$AD$1:$BE$65000,$B765,K$5)=1,1,IF(INDEX([1]Pivot!$B$1:$AB$65000,$B765,K$5)="",2,0)),0)</f>
        <v>0</v>
      </c>
      <c r="L765" s="194">
        <f>IFERROR(IF(INDEX([1]Pivot!$AD$1:$BE$65000,$B765,L$5)=1,1,IF(INDEX([1]Pivot!$B$1:$AB$65000,$B765,L$5)="",2,0)),0)</f>
        <v>0</v>
      </c>
      <c r="M765" s="194">
        <f>IFERROR(IF(INDEX([1]Pivot!$AD$1:$BE$65000,$B765,M$5)=1,1,IF(INDEX([1]Pivot!$B$1:$AB$65000,$B765,M$5)="",2,0)),0)</f>
        <v>0</v>
      </c>
      <c r="N765" s="194">
        <f>IFERROR(IF(INDEX([1]Pivot!$AD$1:$BE$65000,$B765,N$5)=1,1,IF(INDEX([1]Pivot!$B$1:$AB$65000,$B765,N$5)="",2,0)),0)</f>
        <v>0</v>
      </c>
      <c r="O765" s="194">
        <f>IFERROR(IF(INDEX([1]Pivot!$AD$1:$BE$65000,$B765,O$5)=1,1,IF(INDEX([1]Pivot!$B$1:$AB$65000,$B765,O$5)="",2,0)),0)</f>
        <v>0</v>
      </c>
      <c r="P765" s="194">
        <f>IFERROR(IF(INDEX([1]Pivot!$AD$1:$BE$65000,$B765,P$5)=1,1,IF(INDEX([1]Pivot!$B$1:$AB$65000,$B765,P$5)="",2,0)),0)</f>
        <v>0</v>
      </c>
      <c r="Q765" s="194">
        <f>IFERROR(IF(INDEX([1]Pivot!$AD$1:$BE$65000,$B765,Q$5)=1,1,IF(INDEX([1]Pivot!$B$1:$AB$65000,$B765,Q$5)="",2,0)),0)</f>
        <v>0</v>
      </c>
      <c r="R765" s="312"/>
      <c r="S765" s="194">
        <f>IFERROR(IF(INDEX([1]Pivot!$AD$1:$BE$65000,$B765,S$5)=1,1,IF(INDEX([1]Pivot!$B$1:$AB$65000,$B765,S$5)="",2,0)),0)</f>
        <v>0</v>
      </c>
      <c r="T765" s="194">
        <f>IFERROR(IF(INDEX([1]Pivot!$AD$1:$BE$65000,$B765,T$5)=1,1,IF(INDEX([1]Pivot!$B$1:$AB$65000,$B765,T$5)="",2,0)),0)</f>
        <v>0</v>
      </c>
      <c r="U765" s="194">
        <f>IFERROR(IF(INDEX([1]Pivot!$AD$1:$BE$65000,$B765,U$5)=1,1,IF(INDEX([1]Pivot!$B$1:$AB$65000,$B765,U$5)="",2,0)),0)</f>
        <v>0</v>
      </c>
      <c r="V765" s="194">
        <f>IFERROR(IF(INDEX([1]Pivot!$AD$1:$BE$65000,$B765,V$5)=1,1,IF(INDEX([1]Pivot!$B$1:$AB$65000,$B765,V$5)="",2,0)),0)</f>
        <v>0</v>
      </c>
      <c r="W765" s="194">
        <f>IFERROR(IF(INDEX([1]Pivot!$AD$1:$BE$65000,$B765,W$5)=1,1,IF(INDEX([1]Pivot!$B$1:$AB$65000,$B765,W$5)="",2,0)),0)</f>
        <v>0</v>
      </c>
      <c r="X765" s="194">
        <f>IFERROR(IF(INDEX([1]Pivot!$AD$1:$BE$65000,$B765,X$5)=1,1,IF(INDEX([1]Pivot!$B$1:$AB$65000,$B765,X$5)="",2,0)),0)</f>
        <v>0</v>
      </c>
      <c r="Y765" s="194">
        <f>IFERROR(IF(INDEX([1]Pivot!$AD$1:$BE$65000,$B765,Y$5)=1,1,IF(INDEX([1]Pivot!$B$1:$AB$65000,$B765,Y$5)="",2,0)),0)</f>
        <v>0</v>
      </c>
      <c r="Z765" s="194">
        <f>IFERROR(IF(INDEX([1]Pivot!$AD$1:$BE$65000,$B765,Z$5)=1,1,IF(INDEX([1]Pivot!$B$1:$AB$65000,$B765,Z$5)="",2,0)),0)</f>
        <v>0</v>
      </c>
      <c r="AA765" s="194">
        <f>IFERROR(IF(INDEX([1]Pivot!$AD$1:$BE$65000,$B765,AA$5)=1,1,IF(INDEX([1]Pivot!$B$1:$AB$65000,$B765,AA$5)="",2,0)),0)</f>
        <v>0</v>
      </c>
      <c r="AB765" s="194">
        <f>IFERROR(IF(INDEX([1]Pivot!$AD$1:$BE$65000,$B765,AB$5)=1,1,IF(INDEX([1]Pivot!$B$1:$AB$65000,$B765,AB$5)="",2,0)),0)</f>
        <v>0</v>
      </c>
      <c r="AC765" s="194">
        <f>IFERROR(IF(INDEX([1]Pivot!$AD$1:$BE$65000,$B765,AC$5)=1,1,IF(INDEX([1]Pivot!$B$1:$AB$65000,$B765,AC$5)="",2,0)),0)</f>
        <v>0</v>
      </c>
      <c r="AD765" s="313">
        <f>IFERROR(IF(INDEX([1]Pivot!$BF$1:$CG$65000,$B765,AD$5)=1,1,IF(INDEX([1]Pivot!$B$1:$AB$65000,$B765,AD$5)="",2,0)),0)</f>
        <v>0</v>
      </c>
      <c r="AE765" s="313">
        <f>IFERROR(IF(INDEX([1]Pivot!$BF$1:$CG$65000,$B765,AE$5)=1,1,IF(INDEX([1]Pivot!$B$1:$AB$65000,$B765,AE$5)="",2,0)),0)</f>
        <v>0</v>
      </c>
      <c r="AF765" s="313">
        <f>IFERROR(IF(INDEX([1]Pivot!$BF$1:$CG$65000,$B765,AF$5)=1,1,IF(INDEX([1]Pivot!$B$1:$AB$65000,$B765,AF$5)="",2,0)),0)</f>
        <v>0</v>
      </c>
      <c r="AG765" s="313">
        <f>IFERROR(IF(INDEX([1]Pivot!$BF$1:$CG$65000,$B765,AG$5)=1,1,IF(INDEX([1]Pivot!$B$1:$AB$65000,$B765,AG$5)="",2,0)),0)</f>
        <v>0</v>
      </c>
      <c r="AH765" s="313">
        <f>IFERROR(IF(INDEX([1]Pivot!$BF$1:$CG$65000,$B765,AH$5)=1,1,IF(INDEX([1]Pivot!$B$1:$AB$65000,$B765,AH$5)="",2,0)),0)</f>
        <v>0</v>
      </c>
      <c r="AI765" s="313">
        <f>IFERROR(IF(INDEX([1]Pivot!$BF$1:$CG$65000,$B765,AI$5)=1,1,IF(INDEX([1]Pivot!$B$1:$AB$65000,$B765,AI$5)="",2,0)),0)</f>
        <v>0</v>
      </c>
      <c r="AJ765" s="313">
        <f>IFERROR(IF(INDEX([1]Pivot!$BF$1:$CG$65000,$B765,AJ$5)=1,1,IF(INDEX([1]Pivot!$B$1:$AB$65000,$B765,AJ$5)="",2,0)),0)</f>
        <v>0</v>
      </c>
      <c r="AK765" s="313">
        <f>IFERROR(IF(INDEX([1]Pivot!$BF$1:$CG$65000,$B765,AK$5)=1,1,IF(INDEX([1]Pivot!$B$1:$AB$65000,$B765,AK$5)="",2,0)),0)</f>
        <v>0</v>
      </c>
      <c r="AL765" s="313">
        <f>IFERROR(IF(INDEX([1]Pivot!$BF$1:$CG$65000,$B765,AL$5)=1,1,IF(INDEX([1]Pivot!$B$1:$AB$65000,$B765,AL$5)="",2,0)),0)</f>
        <v>0</v>
      </c>
      <c r="AM765" s="313">
        <f>IFERROR(IF(INDEX([1]Pivot!$BF$1:$CG$65000,$B765,AM$5)=1,1,IF(INDEX([1]Pivot!$B$1:$AB$65000,$B765,AM$5)="",2,0)),0)</f>
        <v>0</v>
      </c>
      <c r="AN765" s="313">
        <f>IFERROR(IF(INDEX([1]Pivot!$BF$1:$CG$65000,$B765,AN$5)=1,1,IF(INDEX([1]Pivot!$B$1:$AB$65000,$B765,AN$5)="",2,0)),0)</f>
        <v>0</v>
      </c>
      <c r="AO765" s="313">
        <f>IFERROR(IF(INDEX([1]Pivot!$BF$1:$CG$65000,$B765,AO$5)=1,1,IF(INDEX([1]Pivot!$B$1:$AB$65000,$B765,AO$5)="",2,0)),0)</f>
        <v>0</v>
      </c>
      <c r="AP765" s="313">
        <f>IFERROR(IF(INDEX([1]Pivot!$BF$1:$CG$65000,$B765,AP$5)=1,1,IF(INDEX([1]Pivot!$B$1:$AB$65000,$B765,AP$5)="",2,0)),0)</f>
        <v>0</v>
      </c>
      <c r="AQ765" s="313">
        <f>IFERROR(IF(INDEX([1]Pivot!$BF$1:$CG$65000,$B765,AQ$5)=1,1,IF(INDEX([1]Pivot!$B$1:$AB$65000,$B765,AQ$5)="",2,0)),0)</f>
        <v>0</v>
      </c>
      <c r="AR765" s="313">
        <f>IFERROR(IF(INDEX([1]Pivot!$BF$1:$CG$65000,$B765,AR$5)=1,1,IF(INDEX([1]Pivot!$B$1:$AB$65000,$B765,AR$5)="",2,0)),0)</f>
        <v>0</v>
      </c>
      <c r="AS765" s="312"/>
      <c r="AT765" s="313">
        <f>IFERROR(IF(INDEX([1]Pivot!$BF$1:$CG$65000,$B765,AT$5)=1,1,IF(INDEX([1]Pivot!$B$1:$AB$65000,$B765,AT$5)="",2,0)),0)</f>
        <v>0</v>
      </c>
      <c r="AU765" s="313">
        <f>IFERROR(IF(INDEX([1]Pivot!$BF$1:$CG$65000,$B765,AU$5)=1,1,IF(INDEX([1]Pivot!$B$1:$AB$65000,$B765,AU$5)="",2,0)),0)</f>
        <v>0</v>
      </c>
      <c r="AV765" s="313">
        <f>IFERROR(IF(INDEX([1]Pivot!$BF$1:$CG$65000,$B765,AV$5)=1,1,IF(INDEX([1]Pivot!$B$1:$AB$65000,$B765,AV$5)="",2,0)),0)</f>
        <v>0</v>
      </c>
      <c r="AW765" s="313">
        <f>IFERROR(IF(INDEX([1]Pivot!$BF$1:$CG$65000,$B765,AW$5)=1,1,IF(INDEX([1]Pivot!$B$1:$AB$65000,$B765,AW$5)="",2,0)),0)</f>
        <v>0</v>
      </c>
      <c r="AX765" s="313">
        <f>IFERROR(IF(INDEX([1]Pivot!$BF$1:$CG$65000,$B765,AX$5)=1,1,IF(INDEX([1]Pivot!$B$1:$AB$65000,$B765,AX$5)="",2,0)),0)</f>
        <v>0</v>
      </c>
      <c r="AY765" s="313">
        <f>IFERROR(IF(INDEX([1]Pivot!$BF$1:$CG$65000,$B765,AY$5)=1,1,IF(INDEX([1]Pivot!$B$1:$AB$65000,$B765,AY$5)="",2,0)),0)</f>
        <v>0</v>
      </c>
      <c r="AZ765" s="313">
        <f>IFERROR(IF(INDEX([1]Pivot!$BF$1:$CG$65000,$B765,AZ$5)=1,1,IF(INDEX([1]Pivot!$B$1:$AB$65000,$B765,AZ$5)="",2,0)),0)</f>
        <v>0</v>
      </c>
      <c r="BA765" s="313">
        <f>IFERROR(IF(INDEX([1]Pivot!$BF$1:$CG$65000,$B765,BA$5)=1,1,IF(INDEX([1]Pivot!$B$1:$AB$65000,$B765,BA$5)="",2,0)),0)</f>
        <v>0</v>
      </c>
      <c r="BB765" s="313">
        <f>IFERROR(IF(INDEX([1]Pivot!$BF$1:$CG$65000,$B765,BB$5)=1,1,IF(INDEX([1]Pivot!$B$1:$AB$65000,$B765,BB$5)="",2,0)),0)</f>
        <v>0</v>
      </c>
      <c r="BC765" s="313">
        <f>IFERROR(IF(INDEX([1]Pivot!$BF$1:$CG$65000,$B765,BC$5)=1,1,IF(INDEX([1]Pivot!$B$1:$AB$65000,$B765,BC$5)="",2,0)),0)</f>
        <v>0</v>
      </c>
      <c r="BD765" s="313">
        <f>IFERROR(IF(INDEX([1]Pivot!$BF$1:$CG$65000,$B765,BD$5)=1,1,IF(INDEX([1]Pivot!$B$1:$AB$65000,$B765,BD$5)="",2,0)),0)</f>
        <v>0</v>
      </c>
    </row>
    <row r="766" spans="1:56" x14ac:dyDescent="0.25">
      <c r="A766" s="288">
        <f>'[2]Raw Milk Prices'!A766</f>
        <v>0</v>
      </c>
      <c r="B766" s="296" t="e">
        <f>MATCH(DATE(LEFT('[2]Raw Milk Prices'!$A766,4),RIGHT('[2]Raw Milk Prices'!$A766,2),1),[1]Pivot!$A$1:$A$65000,0)</f>
        <v>#VALUE!</v>
      </c>
      <c r="C766" s="194">
        <f>IFERROR(IF(INDEX([1]Pivot!$AD$1:$BE$65000,$B766,C$5)=1,1,IF(INDEX([1]Pivot!$B$1:$AB$65000,$B766,C$5)="",2,0)),0)</f>
        <v>0</v>
      </c>
      <c r="D766" s="194">
        <f>IFERROR(IF(INDEX([1]Pivot!$AD$1:$BE$65000,$B766,D$5)=1,1,IF(INDEX([1]Pivot!$B$1:$AB$65000,$B766,D$5)="",2,0)),0)</f>
        <v>0</v>
      </c>
      <c r="E766" s="194">
        <f>IFERROR(IF(INDEX([1]Pivot!$AD$1:$BE$65000,$B766,E$5)=1,1,IF(INDEX([1]Pivot!$B$1:$AB$65000,$B766,E$5)="",2,0)),0)</f>
        <v>0</v>
      </c>
      <c r="F766" s="194">
        <f>IFERROR(IF(INDEX([1]Pivot!$AD$1:$BE$65000,$B766,F$5)=1,1,IF(INDEX([1]Pivot!$B$1:$AB$65000,$B766,F$5)="",2,0)),0)</f>
        <v>0</v>
      </c>
      <c r="G766" s="194">
        <f>IFERROR(IF(INDEX([1]Pivot!$AD$1:$BE$65000,$B766,G$5)=1,1,IF(INDEX([1]Pivot!$B$1:$AB$65000,$B766,G$5)="",2,0)),0)</f>
        <v>0</v>
      </c>
      <c r="H766" s="194">
        <f>IFERROR(IF(INDEX([1]Pivot!$AD$1:$BE$65000,$B766,H$5)=1,1,IF(INDEX([1]Pivot!$B$1:$AB$65000,$B766,H$5)="",2,0)),0)</f>
        <v>0</v>
      </c>
      <c r="I766" s="194">
        <f>IFERROR(IF(INDEX([1]Pivot!$AD$1:$BE$65000,$B766,I$5)=1,1,IF(INDEX([1]Pivot!$B$1:$AB$65000,$B766,I$5)="",2,0)),0)</f>
        <v>0</v>
      </c>
      <c r="J766" s="194">
        <f>IFERROR(IF(INDEX([1]Pivot!$AD$1:$BE$65000,$B766,J$5)=1,1,IF(INDEX([1]Pivot!$B$1:$AB$65000,$B766,J$5)="",2,0)),0)</f>
        <v>0</v>
      </c>
      <c r="K766" s="194">
        <f>IFERROR(IF(INDEX([1]Pivot!$AD$1:$BE$65000,$B766,K$5)=1,1,IF(INDEX([1]Pivot!$B$1:$AB$65000,$B766,K$5)="",2,0)),0)</f>
        <v>0</v>
      </c>
      <c r="L766" s="194">
        <f>IFERROR(IF(INDEX([1]Pivot!$AD$1:$BE$65000,$B766,L$5)=1,1,IF(INDEX([1]Pivot!$B$1:$AB$65000,$B766,L$5)="",2,0)),0)</f>
        <v>0</v>
      </c>
      <c r="M766" s="194">
        <f>IFERROR(IF(INDEX([1]Pivot!$AD$1:$BE$65000,$B766,M$5)=1,1,IF(INDEX([1]Pivot!$B$1:$AB$65000,$B766,M$5)="",2,0)),0)</f>
        <v>0</v>
      </c>
      <c r="N766" s="194">
        <f>IFERROR(IF(INDEX([1]Pivot!$AD$1:$BE$65000,$B766,N$5)=1,1,IF(INDEX([1]Pivot!$B$1:$AB$65000,$B766,N$5)="",2,0)),0)</f>
        <v>0</v>
      </c>
      <c r="O766" s="194">
        <f>IFERROR(IF(INDEX([1]Pivot!$AD$1:$BE$65000,$B766,O$5)=1,1,IF(INDEX([1]Pivot!$B$1:$AB$65000,$B766,O$5)="",2,0)),0)</f>
        <v>0</v>
      </c>
      <c r="P766" s="194">
        <f>IFERROR(IF(INDEX([1]Pivot!$AD$1:$BE$65000,$B766,P$5)=1,1,IF(INDEX([1]Pivot!$B$1:$AB$65000,$B766,P$5)="",2,0)),0)</f>
        <v>0</v>
      </c>
      <c r="Q766" s="194">
        <f>IFERROR(IF(INDEX([1]Pivot!$AD$1:$BE$65000,$B766,Q$5)=1,1,IF(INDEX([1]Pivot!$B$1:$AB$65000,$B766,Q$5)="",2,0)),0)</f>
        <v>0</v>
      </c>
      <c r="R766" s="312"/>
      <c r="S766" s="194">
        <f>IFERROR(IF(INDEX([1]Pivot!$AD$1:$BE$65000,$B766,S$5)=1,1,IF(INDEX([1]Pivot!$B$1:$AB$65000,$B766,S$5)="",2,0)),0)</f>
        <v>0</v>
      </c>
      <c r="T766" s="194">
        <f>IFERROR(IF(INDEX([1]Pivot!$AD$1:$BE$65000,$B766,T$5)=1,1,IF(INDEX([1]Pivot!$B$1:$AB$65000,$B766,T$5)="",2,0)),0)</f>
        <v>0</v>
      </c>
      <c r="U766" s="194">
        <f>IFERROR(IF(INDEX([1]Pivot!$AD$1:$BE$65000,$B766,U$5)=1,1,IF(INDEX([1]Pivot!$B$1:$AB$65000,$B766,U$5)="",2,0)),0)</f>
        <v>0</v>
      </c>
      <c r="V766" s="194">
        <f>IFERROR(IF(INDEX([1]Pivot!$AD$1:$BE$65000,$B766,V$5)=1,1,IF(INDEX([1]Pivot!$B$1:$AB$65000,$B766,V$5)="",2,0)),0)</f>
        <v>0</v>
      </c>
      <c r="W766" s="194">
        <f>IFERROR(IF(INDEX([1]Pivot!$AD$1:$BE$65000,$B766,W$5)=1,1,IF(INDEX([1]Pivot!$B$1:$AB$65000,$B766,W$5)="",2,0)),0)</f>
        <v>0</v>
      </c>
      <c r="X766" s="194">
        <f>IFERROR(IF(INDEX([1]Pivot!$AD$1:$BE$65000,$B766,X$5)=1,1,IF(INDEX([1]Pivot!$B$1:$AB$65000,$B766,X$5)="",2,0)),0)</f>
        <v>0</v>
      </c>
      <c r="Y766" s="194">
        <f>IFERROR(IF(INDEX([1]Pivot!$AD$1:$BE$65000,$B766,Y$5)=1,1,IF(INDEX([1]Pivot!$B$1:$AB$65000,$B766,Y$5)="",2,0)),0)</f>
        <v>0</v>
      </c>
      <c r="Z766" s="194">
        <f>IFERROR(IF(INDEX([1]Pivot!$AD$1:$BE$65000,$B766,Z$5)=1,1,IF(INDEX([1]Pivot!$B$1:$AB$65000,$B766,Z$5)="",2,0)),0)</f>
        <v>0</v>
      </c>
      <c r="AA766" s="194">
        <f>IFERROR(IF(INDEX([1]Pivot!$AD$1:$BE$65000,$B766,AA$5)=1,1,IF(INDEX([1]Pivot!$B$1:$AB$65000,$B766,AA$5)="",2,0)),0)</f>
        <v>0</v>
      </c>
      <c r="AB766" s="194">
        <f>IFERROR(IF(INDEX([1]Pivot!$AD$1:$BE$65000,$B766,AB$5)=1,1,IF(INDEX([1]Pivot!$B$1:$AB$65000,$B766,AB$5)="",2,0)),0)</f>
        <v>0</v>
      </c>
      <c r="AC766" s="194">
        <f>IFERROR(IF(INDEX([1]Pivot!$AD$1:$BE$65000,$B766,AC$5)=1,1,IF(INDEX([1]Pivot!$B$1:$AB$65000,$B766,AC$5)="",2,0)),0)</f>
        <v>0</v>
      </c>
      <c r="AD766" s="313">
        <f>IFERROR(IF(INDEX([1]Pivot!$BF$1:$CG$65000,$B766,AD$5)=1,1,IF(INDEX([1]Pivot!$B$1:$AB$65000,$B766,AD$5)="",2,0)),0)</f>
        <v>0</v>
      </c>
      <c r="AE766" s="313">
        <f>IFERROR(IF(INDEX([1]Pivot!$BF$1:$CG$65000,$B766,AE$5)=1,1,IF(INDEX([1]Pivot!$B$1:$AB$65000,$B766,AE$5)="",2,0)),0)</f>
        <v>0</v>
      </c>
      <c r="AF766" s="313">
        <f>IFERROR(IF(INDEX([1]Pivot!$BF$1:$CG$65000,$B766,AF$5)=1,1,IF(INDEX([1]Pivot!$B$1:$AB$65000,$B766,AF$5)="",2,0)),0)</f>
        <v>0</v>
      </c>
      <c r="AG766" s="313">
        <f>IFERROR(IF(INDEX([1]Pivot!$BF$1:$CG$65000,$B766,AG$5)=1,1,IF(INDEX([1]Pivot!$B$1:$AB$65000,$B766,AG$5)="",2,0)),0)</f>
        <v>0</v>
      </c>
      <c r="AH766" s="313">
        <f>IFERROR(IF(INDEX([1]Pivot!$BF$1:$CG$65000,$B766,AH$5)=1,1,IF(INDEX([1]Pivot!$B$1:$AB$65000,$B766,AH$5)="",2,0)),0)</f>
        <v>0</v>
      </c>
      <c r="AI766" s="313">
        <f>IFERROR(IF(INDEX([1]Pivot!$BF$1:$CG$65000,$B766,AI$5)=1,1,IF(INDEX([1]Pivot!$B$1:$AB$65000,$B766,AI$5)="",2,0)),0)</f>
        <v>0</v>
      </c>
      <c r="AJ766" s="313">
        <f>IFERROR(IF(INDEX([1]Pivot!$BF$1:$CG$65000,$B766,AJ$5)=1,1,IF(INDEX([1]Pivot!$B$1:$AB$65000,$B766,AJ$5)="",2,0)),0)</f>
        <v>0</v>
      </c>
      <c r="AK766" s="313">
        <f>IFERROR(IF(INDEX([1]Pivot!$BF$1:$CG$65000,$B766,AK$5)=1,1,IF(INDEX([1]Pivot!$B$1:$AB$65000,$B766,AK$5)="",2,0)),0)</f>
        <v>0</v>
      </c>
      <c r="AL766" s="313">
        <f>IFERROR(IF(INDEX([1]Pivot!$BF$1:$CG$65000,$B766,AL$5)=1,1,IF(INDEX([1]Pivot!$B$1:$AB$65000,$B766,AL$5)="",2,0)),0)</f>
        <v>0</v>
      </c>
      <c r="AM766" s="313">
        <f>IFERROR(IF(INDEX([1]Pivot!$BF$1:$CG$65000,$B766,AM$5)=1,1,IF(INDEX([1]Pivot!$B$1:$AB$65000,$B766,AM$5)="",2,0)),0)</f>
        <v>0</v>
      </c>
      <c r="AN766" s="313">
        <f>IFERROR(IF(INDEX([1]Pivot!$BF$1:$CG$65000,$B766,AN$5)=1,1,IF(INDEX([1]Pivot!$B$1:$AB$65000,$B766,AN$5)="",2,0)),0)</f>
        <v>0</v>
      </c>
      <c r="AO766" s="313">
        <f>IFERROR(IF(INDEX([1]Pivot!$BF$1:$CG$65000,$B766,AO$5)=1,1,IF(INDEX([1]Pivot!$B$1:$AB$65000,$B766,AO$5)="",2,0)),0)</f>
        <v>0</v>
      </c>
      <c r="AP766" s="313">
        <f>IFERROR(IF(INDEX([1]Pivot!$BF$1:$CG$65000,$B766,AP$5)=1,1,IF(INDEX([1]Pivot!$B$1:$AB$65000,$B766,AP$5)="",2,0)),0)</f>
        <v>0</v>
      </c>
      <c r="AQ766" s="313">
        <f>IFERROR(IF(INDEX([1]Pivot!$BF$1:$CG$65000,$B766,AQ$5)=1,1,IF(INDEX([1]Pivot!$B$1:$AB$65000,$B766,AQ$5)="",2,0)),0)</f>
        <v>0</v>
      </c>
      <c r="AR766" s="313">
        <f>IFERROR(IF(INDEX([1]Pivot!$BF$1:$CG$65000,$B766,AR$5)=1,1,IF(INDEX([1]Pivot!$B$1:$AB$65000,$B766,AR$5)="",2,0)),0)</f>
        <v>0</v>
      </c>
      <c r="AS766" s="312"/>
      <c r="AT766" s="313">
        <f>IFERROR(IF(INDEX([1]Pivot!$BF$1:$CG$65000,$B766,AT$5)=1,1,IF(INDEX([1]Pivot!$B$1:$AB$65000,$B766,AT$5)="",2,0)),0)</f>
        <v>0</v>
      </c>
      <c r="AU766" s="313">
        <f>IFERROR(IF(INDEX([1]Pivot!$BF$1:$CG$65000,$B766,AU$5)=1,1,IF(INDEX([1]Pivot!$B$1:$AB$65000,$B766,AU$5)="",2,0)),0)</f>
        <v>0</v>
      </c>
      <c r="AV766" s="313">
        <f>IFERROR(IF(INDEX([1]Pivot!$BF$1:$CG$65000,$B766,AV$5)=1,1,IF(INDEX([1]Pivot!$B$1:$AB$65000,$B766,AV$5)="",2,0)),0)</f>
        <v>0</v>
      </c>
      <c r="AW766" s="313">
        <f>IFERROR(IF(INDEX([1]Pivot!$BF$1:$CG$65000,$B766,AW$5)=1,1,IF(INDEX([1]Pivot!$B$1:$AB$65000,$B766,AW$5)="",2,0)),0)</f>
        <v>0</v>
      </c>
      <c r="AX766" s="313">
        <f>IFERROR(IF(INDEX([1]Pivot!$BF$1:$CG$65000,$B766,AX$5)=1,1,IF(INDEX([1]Pivot!$B$1:$AB$65000,$B766,AX$5)="",2,0)),0)</f>
        <v>0</v>
      </c>
      <c r="AY766" s="313">
        <f>IFERROR(IF(INDEX([1]Pivot!$BF$1:$CG$65000,$B766,AY$5)=1,1,IF(INDEX([1]Pivot!$B$1:$AB$65000,$B766,AY$5)="",2,0)),0)</f>
        <v>0</v>
      </c>
      <c r="AZ766" s="313">
        <f>IFERROR(IF(INDEX([1]Pivot!$BF$1:$CG$65000,$B766,AZ$5)=1,1,IF(INDEX([1]Pivot!$B$1:$AB$65000,$B766,AZ$5)="",2,0)),0)</f>
        <v>0</v>
      </c>
      <c r="BA766" s="313">
        <f>IFERROR(IF(INDEX([1]Pivot!$BF$1:$CG$65000,$B766,BA$5)=1,1,IF(INDEX([1]Pivot!$B$1:$AB$65000,$B766,BA$5)="",2,0)),0)</f>
        <v>0</v>
      </c>
      <c r="BB766" s="313">
        <f>IFERROR(IF(INDEX([1]Pivot!$BF$1:$CG$65000,$B766,BB$5)=1,1,IF(INDEX([1]Pivot!$B$1:$AB$65000,$B766,BB$5)="",2,0)),0)</f>
        <v>0</v>
      </c>
      <c r="BC766" s="313">
        <f>IFERROR(IF(INDEX([1]Pivot!$BF$1:$CG$65000,$B766,BC$5)=1,1,IF(INDEX([1]Pivot!$B$1:$AB$65000,$B766,BC$5)="",2,0)),0)</f>
        <v>0</v>
      </c>
      <c r="BD766" s="313">
        <f>IFERROR(IF(INDEX([1]Pivot!$BF$1:$CG$65000,$B766,BD$5)=1,1,IF(INDEX([1]Pivot!$B$1:$AB$65000,$B766,BD$5)="",2,0)),0)</f>
        <v>0</v>
      </c>
    </row>
    <row r="767" spans="1:56" x14ac:dyDescent="0.25">
      <c r="A767" s="288">
        <f>'[2]Raw Milk Prices'!A767</f>
        <v>0</v>
      </c>
      <c r="B767" s="296" t="e">
        <f>MATCH(DATE(LEFT('[2]Raw Milk Prices'!$A767,4),RIGHT('[2]Raw Milk Prices'!$A767,2),1),[1]Pivot!$A$1:$A$65000,0)</f>
        <v>#VALUE!</v>
      </c>
      <c r="C767" s="194">
        <f>IFERROR(IF(INDEX([1]Pivot!$AD$1:$BE$65000,$B767,C$5)=1,1,IF(INDEX([1]Pivot!$B$1:$AB$65000,$B767,C$5)="",2,0)),0)</f>
        <v>0</v>
      </c>
      <c r="D767" s="194">
        <f>IFERROR(IF(INDEX([1]Pivot!$AD$1:$BE$65000,$B767,D$5)=1,1,IF(INDEX([1]Pivot!$B$1:$AB$65000,$B767,D$5)="",2,0)),0)</f>
        <v>0</v>
      </c>
      <c r="E767" s="194">
        <f>IFERROR(IF(INDEX([1]Pivot!$AD$1:$BE$65000,$B767,E$5)=1,1,IF(INDEX([1]Pivot!$B$1:$AB$65000,$B767,E$5)="",2,0)),0)</f>
        <v>0</v>
      </c>
      <c r="F767" s="194">
        <f>IFERROR(IF(INDEX([1]Pivot!$AD$1:$BE$65000,$B767,F$5)=1,1,IF(INDEX([1]Pivot!$B$1:$AB$65000,$B767,F$5)="",2,0)),0)</f>
        <v>0</v>
      </c>
      <c r="G767" s="194">
        <f>IFERROR(IF(INDEX([1]Pivot!$AD$1:$BE$65000,$B767,G$5)=1,1,IF(INDEX([1]Pivot!$B$1:$AB$65000,$B767,G$5)="",2,0)),0)</f>
        <v>0</v>
      </c>
      <c r="H767" s="194">
        <f>IFERROR(IF(INDEX([1]Pivot!$AD$1:$BE$65000,$B767,H$5)=1,1,IF(INDEX([1]Pivot!$B$1:$AB$65000,$B767,H$5)="",2,0)),0)</f>
        <v>0</v>
      </c>
      <c r="I767" s="194">
        <f>IFERROR(IF(INDEX([1]Pivot!$AD$1:$BE$65000,$B767,I$5)=1,1,IF(INDEX([1]Pivot!$B$1:$AB$65000,$B767,I$5)="",2,0)),0)</f>
        <v>0</v>
      </c>
      <c r="J767" s="194">
        <f>IFERROR(IF(INDEX([1]Pivot!$AD$1:$BE$65000,$B767,J$5)=1,1,IF(INDEX([1]Pivot!$B$1:$AB$65000,$B767,J$5)="",2,0)),0)</f>
        <v>0</v>
      </c>
      <c r="K767" s="194">
        <f>IFERROR(IF(INDEX([1]Pivot!$AD$1:$BE$65000,$B767,K$5)=1,1,IF(INDEX([1]Pivot!$B$1:$AB$65000,$B767,K$5)="",2,0)),0)</f>
        <v>0</v>
      </c>
      <c r="L767" s="194">
        <f>IFERROR(IF(INDEX([1]Pivot!$AD$1:$BE$65000,$B767,L$5)=1,1,IF(INDEX([1]Pivot!$B$1:$AB$65000,$B767,L$5)="",2,0)),0)</f>
        <v>0</v>
      </c>
      <c r="M767" s="194">
        <f>IFERROR(IF(INDEX([1]Pivot!$AD$1:$BE$65000,$B767,M$5)=1,1,IF(INDEX([1]Pivot!$B$1:$AB$65000,$B767,M$5)="",2,0)),0)</f>
        <v>0</v>
      </c>
      <c r="N767" s="194">
        <f>IFERROR(IF(INDEX([1]Pivot!$AD$1:$BE$65000,$B767,N$5)=1,1,IF(INDEX([1]Pivot!$B$1:$AB$65000,$B767,N$5)="",2,0)),0)</f>
        <v>0</v>
      </c>
      <c r="O767" s="194">
        <f>IFERROR(IF(INDEX([1]Pivot!$AD$1:$BE$65000,$B767,O$5)=1,1,IF(INDEX([1]Pivot!$B$1:$AB$65000,$B767,O$5)="",2,0)),0)</f>
        <v>0</v>
      </c>
      <c r="P767" s="194">
        <f>IFERROR(IF(INDEX([1]Pivot!$AD$1:$BE$65000,$B767,P$5)=1,1,IF(INDEX([1]Pivot!$B$1:$AB$65000,$B767,P$5)="",2,0)),0)</f>
        <v>0</v>
      </c>
      <c r="Q767" s="194">
        <f>IFERROR(IF(INDEX([1]Pivot!$AD$1:$BE$65000,$B767,Q$5)=1,1,IF(INDEX([1]Pivot!$B$1:$AB$65000,$B767,Q$5)="",2,0)),0)</f>
        <v>0</v>
      </c>
      <c r="R767" s="312"/>
      <c r="S767" s="194">
        <f>IFERROR(IF(INDEX([1]Pivot!$AD$1:$BE$65000,$B767,S$5)=1,1,IF(INDEX([1]Pivot!$B$1:$AB$65000,$B767,S$5)="",2,0)),0)</f>
        <v>0</v>
      </c>
      <c r="T767" s="194">
        <f>IFERROR(IF(INDEX([1]Pivot!$AD$1:$BE$65000,$B767,T$5)=1,1,IF(INDEX([1]Pivot!$B$1:$AB$65000,$B767,T$5)="",2,0)),0)</f>
        <v>0</v>
      </c>
      <c r="U767" s="194">
        <f>IFERROR(IF(INDEX([1]Pivot!$AD$1:$BE$65000,$B767,U$5)=1,1,IF(INDEX([1]Pivot!$B$1:$AB$65000,$B767,U$5)="",2,0)),0)</f>
        <v>0</v>
      </c>
      <c r="V767" s="194">
        <f>IFERROR(IF(INDEX([1]Pivot!$AD$1:$BE$65000,$B767,V$5)=1,1,IF(INDEX([1]Pivot!$B$1:$AB$65000,$B767,V$5)="",2,0)),0)</f>
        <v>0</v>
      </c>
      <c r="W767" s="194">
        <f>IFERROR(IF(INDEX([1]Pivot!$AD$1:$BE$65000,$B767,W$5)=1,1,IF(INDEX([1]Pivot!$B$1:$AB$65000,$B767,W$5)="",2,0)),0)</f>
        <v>0</v>
      </c>
      <c r="X767" s="194">
        <f>IFERROR(IF(INDEX([1]Pivot!$AD$1:$BE$65000,$B767,X$5)=1,1,IF(INDEX([1]Pivot!$B$1:$AB$65000,$B767,X$5)="",2,0)),0)</f>
        <v>0</v>
      </c>
      <c r="Y767" s="194">
        <f>IFERROR(IF(INDEX([1]Pivot!$AD$1:$BE$65000,$B767,Y$5)=1,1,IF(INDEX([1]Pivot!$B$1:$AB$65000,$B767,Y$5)="",2,0)),0)</f>
        <v>0</v>
      </c>
      <c r="Z767" s="194">
        <f>IFERROR(IF(INDEX([1]Pivot!$AD$1:$BE$65000,$B767,Z$5)=1,1,IF(INDEX([1]Pivot!$B$1:$AB$65000,$B767,Z$5)="",2,0)),0)</f>
        <v>0</v>
      </c>
      <c r="AA767" s="194">
        <f>IFERROR(IF(INDEX([1]Pivot!$AD$1:$BE$65000,$B767,AA$5)=1,1,IF(INDEX([1]Pivot!$B$1:$AB$65000,$B767,AA$5)="",2,0)),0)</f>
        <v>0</v>
      </c>
      <c r="AB767" s="194">
        <f>IFERROR(IF(INDEX([1]Pivot!$AD$1:$BE$65000,$B767,AB$5)=1,1,IF(INDEX([1]Pivot!$B$1:$AB$65000,$B767,AB$5)="",2,0)),0)</f>
        <v>0</v>
      </c>
      <c r="AC767" s="194">
        <f>IFERROR(IF(INDEX([1]Pivot!$AD$1:$BE$65000,$B767,AC$5)=1,1,IF(INDEX([1]Pivot!$B$1:$AB$65000,$B767,AC$5)="",2,0)),0)</f>
        <v>0</v>
      </c>
      <c r="AD767" s="313">
        <f>IFERROR(IF(INDEX([1]Pivot!$BF$1:$CG$65000,$B767,AD$5)=1,1,IF(INDEX([1]Pivot!$B$1:$AB$65000,$B767,AD$5)="",2,0)),0)</f>
        <v>0</v>
      </c>
      <c r="AE767" s="313">
        <f>IFERROR(IF(INDEX([1]Pivot!$BF$1:$CG$65000,$B767,AE$5)=1,1,IF(INDEX([1]Pivot!$B$1:$AB$65000,$B767,AE$5)="",2,0)),0)</f>
        <v>0</v>
      </c>
      <c r="AF767" s="313">
        <f>IFERROR(IF(INDEX([1]Pivot!$BF$1:$CG$65000,$B767,AF$5)=1,1,IF(INDEX([1]Pivot!$B$1:$AB$65000,$B767,AF$5)="",2,0)),0)</f>
        <v>0</v>
      </c>
      <c r="AG767" s="313">
        <f>IFERROR(IF(INDEX([1]Pivot!$BF$1:$CG$65000,$B767,AG$5)=1,1,IF(INDEX([1]Pivot!$B$1:$AB$65000,$B767,AG$5)="",2,0)),0)</f>
        <v>0</v>
      </c>
      <c r="AH767" s="313">
        <f>IFERROR(IF(INDEX([1]Pivot!$BF$1:$CG$65000,$B767,AH$5)=1,1,IF(INDEX([1]Pivot!$B$1:$AB$65000,$B767,AH$5)="",2,0)),0)</f>
        <v>0</v>
      </c>
      <c r="AI767" s="313">
        <f>IFERROR(IF(INDEX([1]Pivot!$BF$1:$CG$65000,$B767,AI$5)=1,1,IF(INDEX([1]Pivot!$B$1:$AB$65000,$B767,AI$5)="",2,0)),0)</f>
        <v>0</v>
      </c>
      <c r="AJ767" s="313">
        <f>IFERROR(IF(INDEX([1]Pivot!$BF$1:$CG$65000,$B767,AJ$5)=1,1,IF(INDEX([1]Pivot!$B$1:$AB$65000,$B767,AJ$5)="",2,0)),0)</f>
        <v>0</v>
      </c>
      <c r="AK767" s="313">
        <f>IFERROR(IF(INDEX([1]Pivot!$BF$1:$CG$65000,$B767,AK$5)=1,1,IF(INDEX([1]Pivot!$B$1:$AB$65000,$B767,AK$5)="",2,0)),0)</f>
        <v>0</v>
      </c>
      <c r="AL767" s="313">
        <f>IFERROR(IF(INDEX([1]Pivot!$BF$1:$CG$65000,$B767,AL$5)=1,1,IF(INDEX([1]Pivot!$B$1:$AB$65000,$B767,AL$5)="",2,0)),0)</f>
        <v>0</v>
      </c>
      <c r="AM767" s="313">
        <f>IFERROR(IF(INDEX([1]Pivot!$BF$1:$CG$65000,$B767,AM$5)=1,1,IF(INDEX([1]Pivot!$B$1:$AB$65000,$B767,AM$5)="",2,0)),0)</f>
        <v>0</v>
      </c>
      <c r="AN767" s="313">
        <f>IFERROR(IF(INDEX([1]Pivot!$BF$1:$CG$65000,$B767,AN$5)=1,1,IF(INDEX([1]Pivot!$B$1:$AB$65000,$B767,AN$5)="",2,0)),0)</f>
        <v>0</v>
      </c>
      <c r="AO767" s="313">
        <f>IFERROR(IF(INDEX([1]Pivot!$BF$1:$CG$65000,$B767,AO$5)=1,1,IF(INDEX([1]Pivot!$B$1:$AB$65000,$B767,AO$5)="",2,0)),0)</f>
        <v>0</v>
      </c>
      <c r="AP767" s="313">
        <f>IFERROR(IF(INDEX([1]Pivot!$BF$1:$CG$65000,$B767,AP$5)=1,1,IF(INDEX([1]Pivot!$B$1:$AB$65000,$B767,AP$5)="",2,0)),0)</f>
        <v>0</v>
      </c>
      <c r="AQ767" s="313">
        <f>IFERROR(IF(INDEX([1]Pivot!$BF$1:$CG$65000,$B767,AQ$5)=1,1,IF(INDEX([1]Pivot!$B$1:$AB$65000,$B767,AQ$5)="",2,0)),0)</f>
        <v>0</v>
      </c>
      <c r="AR767" s="313">
        <f>IFERROR(IF(INDEX([1]Pivot!$BF$1:$CG$65000,$B767,AR$5)=1,1,IF(INDEX([1]Pivot!$B$1:$AB$65000,$B767,AR$5)="",2,0)),0)</f>
        <v>0</v>
      </c>
      <c r="AS767" s="312"/>
      <c r="AT767" s="313">
        <f>IFERROR(IF(INDEX([1]Pivot!$BF$1:$CG$65000,$B767,AT$5)=1,1,IF(INDEX([1]Pivot!$B$1:$AB$65000,$B767,AT$5)="",2,0)),0)</f>
        <v>0</v>
      </c>
      <c r="AU767" s="313">
        <f>IFERROR(IF(INDEX([1]Pivot!$BF$1:$CG$65000,$B767,AU$5)=1,1,IF(INDEX([1]Pivot!$B$1:$AB$65000,$B767,AU$5)="",2,0)),0)</f>
        <v>0</v>
      </c>
      <c r="AV767" s="313">
        <f>IFERROR(IF(INDEX([1]Pivot!$BF$1:$CG$65000,$B767,AV$5)=1,1,IF(INDEX([1]Pivot!$B$1:$AB$65000,$B767,AV$5)="",2,0)),0)</f>
        <v>0</v>
      </c>
      <c r="AW767" s="313">
        <f>IFERROR(IF(INDEX([1]Pivot!$BF$1:$CG$65000,$B767,AW$5)=1,1,IF(INDEX([1]Pivot!$B$1:$AB$65000,$B767,AW$5)="",2,0)),0)</f>
        <v>0</v>
      </c>
      <c r="AX767" s="313">
        <f>IFERROR(IF(INDEX([1]Pivot!$BF$1:$CG$65000,$B767,AX$5)=1,1,IF(INDEX([1]Pivot!$B$1:$AB$65000,$B767,AX$5)="",2,0)),0)</f>
        <v>0</v>
      </c>
      <c r="AY767" s="313">
        <f>IFERROR(IF(INDEX([1]Pivot!$BF$1:$CG$65000,$B767,AY$5)=1,1,IF(INDEX([1]Pivot!$B$1:$AB$65000,$B767,AY$5)="",2,0)),0)</f>
        <v>0</v>
      </c>
      <c r="AZ767" s="313">
        <f>IFERROR(IF(INDEX([1]Pivot!$BF$1:$CG$65000,$B767,AZ$5)=1,1,IF(INDEX([1]Pivot!$B$1:$AB$65000,$B767,AZ$5)="",2,0)),0)</f>
        <v>0</v>
      </c>
      <c r="BA767" s="313">
        <f>IFERROR(IF(INDEX([1]Pivot!$BF$1:$CG$65000,$B767,BA$5)=1,1,IF(INDEX([1]Pivot!$B$1:$AB$65000,$B767,BA$5)="",2,0)),0)</f>
        <v>0</v>
      </c>
      <c r="BB767" s="313">
        <f>IFERROR(IF(INDEX([1]Pivot!$BF$1:$CG$65000,$B767,BB$5)=1,1,IF(INDEX([1]Pivot!$B$1:$AB$65000,$B767,BB$5)="",2,0)),0)</f>
        <v>0</v>
      </c>
      <c r="BC767" s="313">
        <f>IFERROR(IF(INDEX([1]Pivot!$BF$1:$CG$65000,$B767,BC$5)=1,1,IF(INDEX([1]Pivot!$B$1:$AB$65000,$B767,BC$5)="",2,0)),0)</f>
        <v>0</v>
      </c>
      <c r="BD767" s="313">
        <f>IFERROR(IF(INDEX([1]Pivot!$BF$1:$CG$65000,$B767,BD$5)=1,1,IF(INDEX([1]Pivot!$B$1:$AB$65000,$B767,BD$5)="",2,0)),0)</f>
        <v>0</v>
      </c>
    </row>
    <row r="768" spans="1:56" x14ac:dyDescent="0.25">
      <c r="A768" s="288">
        <f>'[2]Raw Milk Prices'!A768</f>
        <v>0</v>
      </c>
      <c r="B768" s="296" t="e">
        <f>MATCH(DATE(LEFT('[2]Raw Milk Prices'!$A768,4),RIGHT('[2]Raw Milk Prices'!$A768,2),1),[1]Pivot!$A$1:$A$65000,0)</f>
        <v>#VALUE!</v>
      </c>
      <c r="C768" s="194">
        <f>IFERROR(IF(INDEX([1]Pivot!$AD$1:$BE$65000,$B768,C$5)=1,1,IF(INDEX([1]Pivot!$B$1:$AB$65000,$B768,C$5)="",2,0)),0)</f>
        <v>0</v>
      </c>
      <c r="D768" s="194">
        <f>IFERROR(IF(INDEX([1]Pivot!$AD$1:$BE$65000,$B768,D$5)=1,1,IF(INDEX([1]Pivot!$B$1:$AB$65000,$B768,D$5)="",2,0)),0)</f>
        <v>0</v>
      </c>
      <c r="E768" s="194">
        <f>IFERROR(IF(INDEX([1]Pivot!$AD$1:$BE$65000,$B768,E$5)=1,1,IF(INDEX([1]Pivot!$B$1:$AB$65000,$B768,E$5)="",2,0)),0)</f>
        <v>0</v>
      </c>
      <c r="F768" s="194">
        <f>IFERROR(IF(INDEX([1]Pivot!$AD$1:$BE$65000,$B768,F$5)=1,1,IF(INDEX([1]Pivot!$B$1:$AB$65000,$B768,F$5)="",2,0)),0)</f>
        <v>0</v>
      </c>
      <c r="G768" s="194">
        <f>IFERROR(IF(INDEX([1]Pivot!$AD$1:$BE$65000,$B768,G$5)=1,1,IF(INDEX([1]Pivot!$B$1:$AB$65000,$B768,G$5)="",2,0)),0)</f>
        <v>0</v>
      </c>
      <c r="H768" s="194">
        <f>IFERROR(IF(INDEX([1]Pivot!$AD$1:$BE$65000,$B768,H$5)=1,1,IF(INDEX([1]Pivot!$B$1:$AB$65000,$B768,H$5)="",2,0)),0)</f>
        <v>0</v>
      </c>
      <c r="I768" s="194">
        <f>IFERROR(IF(INDEX([1]Pivot!$AD$1:$BE$65000,$B768,I$5)=1,1,IF(INDEX([1]Pivot!$B$1:$AB$65000,$B768,I$5)="",2,0)),0)</f>
        <v>0</v>
      </c>
      <c r="J768" s="194">
        <f>IFERROR(IF(INDEX([1]Pivot!$AD$1:$BE$65000,$B768,J$5)=1,1,IF(INDEX([1]Pivot!$B$1:$AB$65000,$B768,J$5)="",2,0)),0)</f>
        <v>0</v>
      </c>
      <c r="K768" s="194">
        <f>IFERROR(IF(INDEX([1]Pivot!$AD$1:$BE$65000,$B768,K$5)=1,1,IF(INDEX([1]Pivot!$B$1:$AB$65000,$B768,K$5)="",2,0)),0)</f>
        <v>0</v>
      </c>
      <c r="L768" s="194">
        <f>IFERROR(IF(INDEX([1]Pivot!$AD$1:$BE$65000,$B768,L$5)=1,1,IF(INDEX([1]Pivot!$B$1:$AB$65000,$B768,L$5)="",2,0)),0)</f>
        <v>0</v>
      </c>
      <c r="M768" s="194">
        <f>IFERROR(IF(INDEX([1]Pivot!$AD$1:$BE$65000,$B768,M$5)=1,1,IF(INDEX([1]Pivot!$B$1:$AB$65000,$B768,M$5)="",2,0)),0)</f>
        <v>0</v>
      </c>
      <c r="N768" s="194">
        <f>IFERROR(IF(INDEX([1]Pivot!$AD$1:$BE$65000,$B768,N$5)=1,1,IF(INDEX([1]Pivot!$B$1:$AB$65000,$B768,N$5)="",2,0)),0)</f>
        <v>0</v>
      </c>
      <c r="O768" s="194">
        <f>IFERROR(IF(INDEX([1]Pivot!$AD$1:$BE$65000,$B768,O$5)=1,1,IF(INDEX([1]Pivot!$B$1:$AB$65000,$B768,O$5)="",2,0)),0)</f>
        <v>0</v>
      </c>
      <c r="P768" s="194">
        <f>IFERROR(IF(INDEX([1]Pivot!$AD$1:$BE$65000,$B768,P$5)=1,1,IF(INDEX([1]Pivot!$B$1:$AB$65000,$B768,P$5)="",2,0)),0)</f>
        <v>0</v>
      </c>
      <c r="Q768" s="194">
        <f>IFERROR(IF(INDEX([1]Pivot!$AD$1:$BE$65000,$B768,Q$5)=1,1,IF(INDEX([1]Pivot!$B$1:$AB$65000,$B768,Q$5)="",2,0)),0)</f>
        <v>0</v>
      </c>
      <c r="R768" s="312"/>
      <c r="S768" s="194">
        <f>IFERROR(IF(INDEX([1]Pivot!$AD$1:$BE$65000,$B768,S$5)=1,1,IF(INDEX([1]Pivot!$B$1:$AB$65000,$B768,S$5)="",2,0)),0)</f>
        <v>0</v>
      </c>
      <c r="T768" s="194">
        <f>IFERROR(IF(INDEX([1]Pivot!$AD$1:$BE$65000,$B768,T$5)=1,1,IF(INDEX([1]Pivot!$B$1:$AB$65000,$B768,T$5)="",2,0)),0)</f>
        <v>0</v>
      </c>
      <c r="U768" s="194">
        <f>IFERROR(IF(INDEX([1]Pivot!$AD$1:$BE$65000,$B768,U$5)=1,1,IF(INDEX([1]Pivot!$B$1:$AB$65000,$B768,U$5)="",2,0)),0)</f>
        <v>0</v>
      </c>
      <c r="V768" s="194">
        <f>IFERROR(IF(INDEX([1]Pivot!$AD$1:$BE$65000,$B768,V$5)=1,1,IF(INDEX([1]Pivot!$B$1:$AB$65000,$B768,V$5)="",2,0)),0)</f>
        <v>0</v>
      </c>
      <c r="W768" s="194">
        <f>IFERROR(IF(INDEX([1]Pivot!$AD$1:$BE$65000,$B768,W$5)=1,1,IF(INDEX([1]Pivot!$B$1:$AB$65000,$B768,W$5)="",2,0)),0)</f>
        <v>0</v>
      </c>
      <c r="X768" s="194">
        <f>IFERROR(IF(INDEX([1]Pivot!$AD$1:$BE$65000,$B768,X$5)=1,1,IF(INDEX([1]Pivot!$B$1:$AB$65000,$B768,X$5)="",2,0)),0)</f>
        <v>0</v>
      </c>
      <c r="Y768" s="194">
        <f>IFERROR(IF(INDEX([1]Pivot!$AD$1:$BE$65000,$B768,Y$5)=1,1,IF(INDEX([1]Pivot!$B$1:$AB$65000,$B768,Y$5)="",2,0)),0)</f>
        <v>0</v>
      </c>
      <c r="Z768" s="194">
        <f>IFERROR(IF(INDEX([1]Pivot!$AD$1:$BE$65000,$B768,Z$5)=1,1,IF(INDEX([1]Pivot!$B$1:$AB$65000,$B768,Z$5)="",2,0)),0)</f>
        <v>0</v>
      </c>
      <c r="AA768" s="194">
        <f>IFERROR(IF(INDEX([1]Pivot!$AD$1:$BE$65000,$B768,AA$5)=1,1,IF(INDEX([1]Pivot!$B$1:$AB$65000,$B768,AA$5)="",2,0)),0)</f>
        <v>0</v>
      </c>
      <c r="AB768" s="194">
        <f>IFERROR(IF(INDEX([1]Pivot!$AD$1:$BE$65000,$B768,AB$5)=1,1,IF(INDEX([1]Pivot!$B$1:$AB$65000,$B768,AB$5)="",2,0)),0)</f>
        <v>0</v>
      </c>
      <c r="AC768" s="194">
        <f>IFERROR(IF(INDEX([1]Pivot!$AD$1:$BE$65000,$B768,AC$5)=1,1,IF(INDEX([1]Pivot!$B$1:$AB$65000,$B768,AC$5)="",2,0)),0)</f>
        <v>0</v>
      </c>
      <c r="AD768" s="313">
        <f>IFERROR(IF(INDEX([1]Pivot!$BF$1:$CG$65000,$B768,AD$5)=1,1,IF(INDEX([1]Pivot!$B$1:$AB$65000,$B768,AD$5)="",2,0)),0)</f>
        <v>0</v>
      </c>
      <c r="AE768" s="313">
        <f>IFERROR(IF(INDEX([1]Pivot!$BF$1:$CG$65000,$B768,AE$5)=1,1,IF(INDEX([1]Pivot!$B$1:$AB$65000,$B768,AE$5)="",2,0)),0)</f>
        <v>0</v>
      </c>
      <c r="AF768" s="313">
        <f>IFERROR(IF(INDEX([1]Pivot!$BF$1:$CG$65000,$B768,AF$5)=1,1,IF(INDEX([1]Pivot!$B$1:$AB$65000,$B768,AF$5)="",2,0)),0)</f>
        <v>0</v>
      </c>
      <c r="AG768" s="313">
        <f>IFERROR(IF(INDEX([1]Pivot!$BF$1:$CG$65000,$B768,AG$5)=1,1,IF(INDEX([1]Pivot!$B$1:$AB$65000,$B768,AG$5)="",2,0)),0)</f>
        <v>0</v>
      </c>
      <c r="AH768" s="313">
        <f>IFERROR(IF(INDEX([1]Pivot!$BF$1:$CG$65000,$B768,AH$5)=1,1,IF(INDEX([1]Pivot!$B$1:$AB$65000,$B768,AH$5)="",2,0)),0)</f>
        <v>0</v>
      </c>
      <c r="AI768" s="313">
        <f>IFERROR(IF(INDEX([1]Pivot!$BF$1:$CG$65000,$B768,AI$5)=1,1,IF(INDEX([1]Pivot!$B$1:$AB$65000,$B768,AI$5)="",2,0)),0)</f>
        <v>0</v>
      </c>
      <c r="AJ768" s="313">
        <f>IFERROR(IF(INDEX([1]Pivot!$BF$1:$CG$65000,$B768,AJ$5)=1,1,IF(INDEX([1]Pivot!$B$1:$AB$65000,$B768,AJ$5)="",2,0)),0)</f>
        <v>0</v>
      </c>
      <c r="AK768" s="313">
        <f>IFERROR(IF(INDEX([1]Pivot!$BF$1:$CG$65000,$B768,AK$5)=1,1,IF(INDEX([1]Pivot!$B$1:$AB$65000,$B768,AK$5)="",2,0)),0)</f>
        <v>0</v>
      </c>
      <c r="AL768" s="313">
        <f>IFERROR(IF(INDEX([1]Pivot!$BF$1:$CG$65000,$B768,AL$5)=1,1,IF(INDEX([1]Pivot!$B$1:$AB$65000,$B768,AL$5)="",2,0)),0)</f>
        <v>0</v>
      </c>
      <c r="AM768" s="313">
        <f>IFERROR(IF(INDEX([1]Pivot!$BF$1:$CG$65000,$B768,AM$5)=1,1,IF(INDEX([1]Pivot!$B$1:$AB$65000,$B768,AM$5)="",2,0)),0)</f>
        <v>0</v>
      </c>
      <c r="AN768" s="313">
        <f>IFERROR(IF(INDEX([1]Pivot!$BF$1:$CG$65000,$B768,AN$5)=1,1,IF(INDEX([1]Pivot!$B$1:$AB$65000,$B768,AN$5)="",2,0)),0)</f>
        <v>0</v>
      </c>
      <c r="AO768" s="313">
        <f>IFERROR(IF(INDEX([1]Pivot!$BF$1:$CG$65000,$B768,AO$5)=1,1,IF(INDEX([1]Pivot!$B$1:$AB$65000,$B768,AO$5)="",2,0)),0)</f>
        <v>0</v>
      </c>
      <c r="AP768" s="313">
        <f>IFERROR(IF(INDEX([1]Pivot!$BF$1:$CG$65000,$B768,AP$5)=1,1,IF(INDEX([1]Pivot!$B$1:$AB$65000,$B768,AP$5)="",2,0)),0)</f>
        <v>0</v>
      </c>
      <c r="AQ768" s="313">
        <f>IFERROR(IF(INDEX([1]Pivot!$BF$1:$CG$65000,$B768,AQ$5)=1,1,IF(INDEX([1]Pivot!$B$1:$AB$65000,$B768,AQ$5)="",2,0)),0)</f>
        <v>0</v>
      </c>
      <c r="AR768" s="313">
        <f>IFERROR(IF(INDEX([1]Pivot!$BF$1:$CG$65000,$B768,AR$5)=1,1,IF(INDEX([1]Pivot!$B$1:$AB$65000,$B768,AR$5)="",2,0)),0)</f>
        <v>0</v>
      </c>
      <c r="AS768" s="312"/>
      <c r="AT768" s="313">
        <f>IFERROR(IF(INDEX([1]Pivot!$BF$1:$CG$65000,$B768,AT$5)=1,1,IF(INDEX([1]Pivot!$B$1:$AB$65000,$B768,AT$5)="",2,0)),0)</f>
        <v>0</v>
      </c>
      <c r="AU768" s="313">
        <f>IFERROR(IF(INDEX([1]Pivot!$BF$1:$CG$65000,$B768,AU$5)=1,1,IF(INDEX([1]Pivot!$B$1:$AB$65000,$B768,AU$5)="",2,0)),0)</f>
        <v>0</v>
      </c>
      <c r="AV768" s="313">
        <f>IFERROR(IF(INDEX([1]Pivot!$BF$1:$CG$65000,$B768,AV$5)=1,1,IF(INDEX([1]Pivot!$B$1:$AB$65000,$B768,AV$5)="",2,0)),0)</f>
        <v>0</v>
      </c>
      <c r="AW768" s="313">
        <f>IFERROR(IF(INDEX([1]Pivot!$BF$1:$CG$65000,$B768,AW$5)=1,1,IF(INDEX([1]Pivot!$B$1:$AB$65000,$B768,AW$5)="",2,0)),0)</f>
        <v>0</v>
      </c>
      <c r="AX768" s="313">
        <f>IFERROR(IF(INDEX([1]Pivot!$BF$1:$CG$65000,$B768,AX$5)=1,1,IF(INDEX([1]Pivot!$B$1:$AB$65000,$B768,AX$5)="",2,0)),0)</f>
        <v>0</v>
      </c>
      <c r="AY768" s="313">
        <f>IFERROR(IF(INDEX([1]Pivot!$BF$1:$CG$65000,$B768,AY$5)=1,1,IF(INDEX([1]Pivot!$B$1:$AB$65000,$B768,AY$5)="",2,0)),0)</f>
        <v>0</v>
      </c>
      <c r="AZ768" s="313">
        <f>IFERROR(IF(INDEX([1]Pivot!$BF$1:$CG$65000,$B768,AZ$5)=1,1,IF(INDEX([1]Pivot!$B$1:$AB$65000,$B768,AZ$5)="",2,0)),0)</f>
        <v>0</v>
      </c>
      <c r="BA768" s="313">
        <f>IFERROR(IF(INDEX([1]Pivot!$BF$1:$CG$65000,$B768,BA$5)=1,1,IF(INDEX([1]Pivot!$B$1:$AB$65000,$B768,BA$5)="",2,0)),0)</f>
        <v>0</v>
      </c>
      <c r="BB768" s="313">
        <f>IFERROR(IF(INDEX([1]Pivot!$BF$1:$CG$65000,$B768,BB$5)=1,1,IF(INDEX([1]Pivot!$B$1:$AB$65000,$B768,BB$5)="",2,0)),0)</f>
        <v>0</v>
      </c>
      <c r="BC768" s="313">
        <f>IFERROR(IF(INDEX([1]Pivot!$BF$1:$CG$65000,$B768,BC$5)=1,1,IF(INDEX([1]Pivot!$B$1:$AB$65000,$B768,BC$5)="",2,0)),0)</f>
        <v>0</v>
      </c>
      <c r="BD768" s="313">
        <f>IFERROR(IF(INDEX([1]Pivot!$BF$1:$CG$65000,$B768,BD$5)=1,1,IF(INDEX([1]Pivot!$B$1:$AB$65000,$B768,BD$5)="",2,0)),0)</f>
        <v>0</v>
      </c>
    </row>
    <row r="769" spans="1:56" x14ac:dyDescent="0.25">
      <c r="A769" s="288">
        <f>'[2]Raw Milk Prices'!A769</f>
        <v>0</v>
      </c>
      <c r="B769" s="296" t="e">
        <f>MATCH(DATE(LEFT('[2]Raw Milk Prices'!$A769,4),RIGHT('[2]Raw Milk Prices'!$A769,2),1),[1]Pivot!$A$1:$A$65000,0)</f>
        <v>#VALUE!</v>
      </c>
      <c r="C769" s="194">
        <f>IFERROR(IF(INDEX([1]Pivot!$AD$1:$BE$65000,$B769,C$5)=1,1,IF(INDEX([1]Pivot!$B$1:$AB$65000,$B769,C$5)="",2,0)),0)</f>
        <v>0</v>
      </c>
      <c r="D769" s="194">
        <f>IFERROR(IF(INDEX([1]Pivot!$AD$1:$BE$65000,$B769,D$5)=1,1,IF(INDEX([1]Pivot!$B$1:$AB$65000,$B769,D$5)="",2,0)),0)</f>
        <v>0</v>
      </c>
      <c r="E769" s="194">
        <f>IFERROR(IF(INDEX([1]Pivot!$AD$1:$BE$65000,$B769,E$5)=1,1,IF(INDEX([1]Pivot!$B$1:$AB$65000,$B769,E$5)="",2,0)),0)</f>
        <v>0</v>
      </c>
      <c r="F769" s="194">
        <f>IFERROR(IF(INDEX([1]Pivot!$AD$1:$BE$65000,$B769,F$5)=1,1,IF(INDEX([1]Pivot!$B$1:$AB$65000,$B769,F$5)="",2,0)),0)</f>
        <v>0</v>
      </c>
      <c r="G769" s="194">
        <f>IFERROR(IF(INDEX([1]Pivot!$AD$1:$BE$65000,$B769,G$5)=1,1,IF(INDEX([1]Pivot!$B$1:$AB$65000,$B769,G$5)="",2,0)),0)</f>
        <v>0</v>
      </c>
      <c r="H769" s="194">
        <f>IFERROR(IF(INDEX([1]Pivot!$AD$1:$BE$65000,$B769,H$5)=1,1,IF(INDEX([1]Pivot!$B$1:$AB$65000,$B769,H$5)="",2,0)),0)</f>
        <v>0</v>
      </c>
      <c r="I769" s="194">
        <f>IFERROR(IF(INDEX([1]Pivot!$AD$1:$BE$65000,$B769,I$5)=1,1,IF(INDEX([1]Pivot!$B$1:$AB$65000,$B769,I$5)="",2,0)),0)</f>
        <v>0</v>
      </c>
      <c r="J769" s="194">
        <f>IFERROR(IF(INDEX([1]Pivot!$AD$1:$BE$65000,$B769,J$5)=1,1,IF(INDEX([1]Pivot!$B$1:$AB$65000,$B769,J$5)="",2,0)),0)</f>
        <v>0</v>
      </c>
      <c r="K769" s="194">
        <f>IFERROR(IF(INDEX([1]Pivot!$AD$1:$BE$65000,$B769,K$5)=1,1,IF(INDEX([1]Pivot!$B$1:$AB$65000,$B769,K$5)="",2,0)),0)</f>
        <v>0</v>
      </c>
      <c r="L769" s="194">
        <f>IFERROR(IF(INDEX([1]Pivot!$AD$1:$BE$65000,$B769,L$5)=1,1,IF(INDEX([1]Pivot!$B$1:$AB$65000,$B769,L$5)="",2,0)),0)</f>
        <v>0</v>
      </c>
      <c r="M769" s="194">
        <f>IFERROR(IF(INDEX([1]Pivot!$AD$1:$BE$65000,$B769,M$5)=1,1,IF(INDEX([1]Pivot!$B$1:$AB$65000,$B769,M$5)="",2,0)),0)</f>
        <v>0</v>
      </c>
      <c r="N769" s="194">
        <f>IFERROR(IF(INDEX([1]Pivot!$AD$1:$BE$65000,$B769,N$5)=1,1,IF(INDEX([1]Pivot!$B$1:$AB$65000,$B769,N$5)="",2,0)),0)</f>
        <v>0</v>
      </c>
      <c r="O769" s="194">
        <f>IFERROR(IF(INDEX([1]Pivot!$AD$1:$BE$65000,$B769,O$5)=1,1,IF(INDEX([1]Pivot!$B$1:$AB$65000,$B769,O$5)="",2,0)),0)</f>
        <v>0</v>
      </c>
      <c r="P769" s="194">
        <f>IFERROR(IF(INDEX([1]Pivot!$AD$1:$BE$65000,$B769,P$5)=1,1,IF(INDEX([1]Pivot!$B$1:$AB$65000,$B769,P$5)="",2,0)),0)</f>
        <v>0</v>
      </c>
      <c r="Q769" s="194">
        <f>IFERROR(IF(INDEX([1]Pivot!$AD$1:$BE$65000,$B769,Q$5)=1,1,IF(INDEX([1]Pivot!$B$1:$AB$65000,$B769,Q$5)="",2,0)),0)</f>
        <v>0</v>
      </c>
      <c r="R769" s="312"/>
      <c r="S769" s="194">
        <f>IFERROR(IF(INDEX([1]Pivot!$AD$1:$BE$65000,$B769,S$5)=1,1,IF(INDEX([1]Pivot!$B$1:$AB$65000,$B769,S$5)="",2,0)),0)</f>
        <v>0</v>
      </c>
      <c r="T769" s="194">
        <f>IFERROR(IF(INDEX([1]Pivot!$AD$1:$BE$65000,$B769,T$5)=1,1,IF(INDEX([1]Pivot!$B$1:$AB$65000,$B769,T$5)="",2,0)),0)</f>
        <v>0</v>
      </c>
      <c r="U769" s="194">
        <f>IFERROR(IF(INDEX([1]Pivot!$AD$1:$BE$65000,$B769,U$5)=1,1,IF(INDEX([1]Pivot!$B$1:$AB$65000,$B769,U$5)="",2,0)),0)</f>
        <v>0</v>
      </c>
      <c r="V769" s="194">
        <f>IFERROR(IF(INDEX([1]Pivot!$AD$1:$BE$65000,$B769,V$5)=1,1,IF(INDEX([1]Pivot!$B$1:$AB$65000,$B769,V$5)="",2,0)),0)</f>
        <v>0</v>
      </c>
      <c r="W769" s="194">
        <f>IFERROR(IF(INDEX([1]Pivot!$AD$1:$BE$65000,$B769,W$5)=1,1,IF(INDEX([1]Pivot!$B$1:$AB$65000,$B769,W$5)="",2,0)),0)</f>
        <v>0</v>
      </c>
      <c r="X769" s="194">
        <f>IFERROR(IF(INDEX([1]Pivot!$AD$1:$BE$65000,$B769,X$5)=1,1,IF(INDEX([1]Pivot!$B$1:$AB$65000,$B769,X$5)="",2,0)),0)</f>
        <v>0</v>
      </c>
      <c r="Y769" s="194">
        <f>IFERROR(IF(INDEX([1]Pivot!$AD$1:$BE$65000,$B769,Y$5)=1,1,IF(INDEX([1]Pivot!$B$1:$AB$65000,$B769,Y$5)="",2,0)),0)</f>
        <v>0</v>
      </c>
      <c r="Z769" s="194">
        <f>IFERROR(IF(INDEX([1]Pivot!$AD$1:$BE$65000,$B769,Z$5)=1,1,IF(INDEX([1]Pivot!$B$1:$AB$65000,$B769,Z$5)="",2,0)),0)</f>
        <v>0</v>
      </c>
      <c r="AA769" s="194">
        <f>IFERROR(IF(INDEX([1]Pivot!$AD$1:$BE$65000,$B769,AA$5)=1,1,IF(INDEX([1]Pivot!$B$1:$AB$65000,$B769,AA$5)="",2,0)),0)</f>
        <v>0</v>
      </c>
      <c r="AB769" s="194">
        <f>IFERROR(IF(INDEX([1]Pivot!$AD$1:$BE$65000,$B769,AB$5)=1,1,IF(INDEX([1]Pivot!$B$1:$AB$65000,$B769,AB$5)="",2,0)),0)</f>
        <v>0</v>
      </c>
      <c r="AC769" s="194">
        <f>IFERROR(IF(INDEX([1]Pivot!$AD$1:$BE$65000,$B769,AC$5)=1,1,IF(INDEX([1]Pivot!$B$1:$AB$65000,$B769,AC$5)="",2,0)),0)</f>
        <v>0</v>
      </c>
      <c r="AD769" s="313">
        <f>IFERROR(IF(INDEX([1]Pivot!$BF$1:$CG$65000,$B769,AD$5)=1,1,IF(INDEX([1]Pivot!$B$1:$AB$65000,$B769,AD$5)="",2,0)),0)</f>
        <v>0</v>
      </c>
      <c r="AE769" s="313">
        <f>IFERROR(IF(INDEX([1]Pivot!$BF$1:$CG$65000,$B769,AE$5)=1,1,IF(INDEX([1]Pivot!$B$1:$AB$65000,$B769,AE$5)="",2,0)),0)</f>
        <v>0</v>
      </c>
      <c r="AF769" s="313">
        <f>IFERROR(IF(INDEX([1]Pivot!$BF$1:$CG$65000,$B769,AF$5)=1,1,IF(INDEX([1]Pivot!$B$1:$AB$65000,$B769,AF$5)="",2,0)),0)</f>
        <v>0</v>
      </c>
      <c r="AG769" s="313">
        <f>IFERROR(IF(INDEX([1]Pivot!$BF$1:$CG$65000,$B769,AG$5)=1,1,IF(INDEX([1]Pivot!$B$1:$AB$65000,$B769,AG$5)="",2,0)),0)</f>
        <v>0</v>
      </c>
      <c r="AH769" s="313">
        <f>IFERROR(IF(INDEX([1]Pivot!$BF$1:$CG$65000,$B769,AH$5)=1,1,IF(INDEX([1]Pivot!$B$1:$AB$65000,$B769,AH$5)="",2,0)),0)</f>
        <v>0</v>
      </c>
      <c r="AI769" s="313">
        <f>IFERROR(IF(INDEX([1]Pivot!$BF$1:$CG$65000,$B769,AI$5)=1,1,IF(INDEX([1]Pivot!$B$1:$AB$65000,$B769,AI$5)="",2,0)),0)</f>
        <v>0</v>
      </c>
      <c r="AJ769" s="313">
        <f>IFERROR(IF(INDEX([1]Pivot!$BF$1:$CG$65000,$B769,AJ$5)=1,1,IF(INDEX([1]Pivot!$B$1:$AB$65000,$B769,AJ$5)="",2,0)),0)</f>
        <v>0</v>
      </c>
      <c r="AK769" s="313">
        <f>IFERROR(IF(INDEX([1]Pivot!$BF$1:$CG$65000,$B769,AK$5)=1,1,IF(INDEX([1]Pivot!$B$1:$AB$65000,$B769,AK$5)="",2,0)),0)</f>
        <v>0</v>
      </c>
      <c r="AL769" s="313">
        <f>IFERROR(IF(INDEX([1]Pivot!$BF$1:$CG$65000,$B769,AL$5)=1,1,IF(INDEX([1]Pivot!$B$1:$AB$65000,$B769,AL$5)="",2,0)),0)</f>
        <v>0</v>
      </c>
      <c r="AM769" s="313">
        <f>IFERROR(IF(INDEX([1]Pivot!$BF$1:$CG$65000,$B769,AM$5)=1,1,IF(INDEX([1]Pivot!$B$1:$AB$65000,$B769,AM$5)="",2,0)),0)</f>
        <v>0</v>
      </c>
      <c r="AN769" s="313">
        <f>IFERROR(IF(INDEX([1]Pivot!$BF$1:$CG$65000,$B769,AN$5)=1,1,IF(INDEX([1]Pivot!$B$1:$AB$65000,$B769,AN$5)="",2,0)),0)</f>
        <v>0</v>
      </c>
      <c r="AO769" s="313">
        <f>IFERROR(IF(INDEX([1]Pivot!$BF$1:$CG$65000,$B769,AO$5)=1,1,IF(INDEX([1]Pivot!$B$1:$AB$65000,$B769,AO$5)="",2,0)),0)</f>
        <v>0</v>
      </c>
      <c r="AP769" s="313">
        <f>IFERROR(IF(INDEX([1]Pivot!$BF$1:$CG$65000,$B769,AP$5)=1,1,IF(INDEX([1]Pivot!$B$1:$AB$65000,$B769,AP$5)="",2,0)),0)</f>
        <v>0</v>
      </c>
      <c r="AQ769" s="313">
        <f>IFERROR(IF(INDEX([1]Pivot!$BF$1:$CG$65000,$B769,AQ$5)=1,1,IF(INDEX([1]Pivot!$B$1:$AB$65000,$B769,AQ$5)="",2,0)),0)</f>
        <v>0</v>
      </c>
      <c r="AR769" s="313">
        <f>IFERROR(IF(INDEX([1]Pivot!$BF$1:$CG$65000,$B769,AR$5)=1,1,IF(INDEX([1]Pivot!$B$1:$AB$65000,$B769,AR$5)="",2,0)),0)</f>
        <v>0</v>
      </c>
      <c r="AS769" s="312"/>
      <c r="AT769" s="313">
        <f>IFERROR(IF(INDEX([1]Pivot!$BF$1:$CG$65000,$B769,AT$5)=1,1,IF(INDEX([1]Pivot!$B$1:$AB$65000,$B769,AT$5)="",2,0)),0)</f>
        <v>0</v>
      </c>
      <c r="AU769" s="313">
        <f>IFERROR(IF(INDEX([1]Pivot!$BF$1:$CG$65000,$B769,AU$5)=1,1,IF(INDEX([1]Pivot!$B$1:$AB$65000,$B769,AU$5)="",2,0)),0)</f>
        <v>0</v>
      </c>
      <c r="AV769" s="313">
        <f>IFERROR(IF(INDEX([1]Pivot!$BF$1:$CG$65000,$B769,AV$5)=1,1,IF(INDEX([1]Pivot!$B$1:$AB$65000,$B769,AV$5)="",2,0)),0)</f>
        <v>0</v>
      </c>
      <c r="AW769" s="313">
        <f>IFERROR(IF(INDEX([1]Pivot!$BF$1:$CG$65000,$B769,AW$5)=1,1,IF(INDEX([1]Pivot!$B$1:$AB$65000,$B769,AW$5)="",2,0)),0)</f>
        <v>0</v>
      </c>
      <c r="AX769" s="313">
        <f>IFERROR(IF(INDEX([1]Pivot!$BF$1:$CG$65000,$B769,AX$5)=1,1,IF(INDEX([1]Pivot!$B$1:$AB$65000,$B769,AX$5)="",2,0)),0)</f>
        <v>0</v>
      </c>
      <c r="AY769" s="313">
        <f>IFERROR(IF(INDEX([1]Pivot!$BF$1:$CG$65000,$B769,AY$5)=1,1,IF(INDEX([1]Pivot!$B$1:$AB$65000,$B769,AY$5)="",2,0)),0)</f>
        <v>0</v>
      </c>
      <c r="AZ769" s="313">
        <f>IFERROR(IF(INDEX([1]Pivot!$BF$1:$CG$65000,$B769,AZ$5)=1,1,IF(INDEX([1]Pivot!$B$1:$AB$65000,$B769,AZ$5)="",2,0)),0)</f>
        <v>0</v>
      </c>
      <c r="BA769" s="313">
        <f>IFERROR(IF(INDEX([1]Pivot!$BF$1:$CG$65000,$B769,BA$5)=1,1,IF(INDEX([1]Pivot!$B$1:$AB$65000,$B769,BA$5)="",2,0)),0)</f>
        <v>0</v>
      </c>
      <c r="BB769" s="313">
        <f>IFERROR(IF(INDEX([1]Pivot!$BF$1:$CG$65000,$B769,BB$5)=1,1,IF(INDEX([1]Pivot!$B$1:$AB$65000,$B769,BB$5)="",2,0)),0)</f>
        <v>0</v>
      </c>
      <c r="BC769" s="313">
        <f>IFERROR(IF(INDEX([1]Pivot!$BF$1:$CG$65000,$B769,BC$5)=1,1,IF(INDEX([1]Pivot!$B$1:$AB$65000,$B769,BC$5)="",2,0)),0)</f>
        <v>0</v>
      </c>
      <c r="BD769" s="313">
        <f>IFERROR(IF(INDEX([1]Pivot!$BF$1:$CG$65000,$B769,BD$5)=1,1,IF(INDEX([1]Pivot!$B$1:$AB$65000,$B769,BD$5)="",2,0)),0)</f>
        <v>0</v>
      </c>
    </row>
    <row r="770" spans="1:56" x14ac:dyDescent="0.25">
      <c r="A770" s="288">
        <f>'[2]Raw Milk Prices'!A770</f>
        <v>0</v>
      </c>
      <c r="B770" s="296" t="e">
        <f>MATCH(DATE(LEFT('[2]Raw Milk Prices'!$A770,4),RIGHT('[2]Raw Milk Prices'!$A770,2),1),[1]Pivot!$A$1:$A$65000,0)</f>
        <v>#VALUE!</v>
      </c>
      <c r="C770" s="194">
        <f>IFERROR(IF(INDEX([1]Pivot!$AD$1:$BE$65000,$B770,C$5)=1,1,IF(INDEX([1]Pivot!$B$1:$AB$65000,$B770,C$5)="",2,0)),0)</f>
        <v>0</v>
      </c>
      <c r="D770" s="194">
        <f>IFERROR(IF(INDEX([1]Pivot!$AD$1:$BE$65000,$B770,D$5)=1,1,IF(INDEX([1]Pivot!$B$1:$AB$65000,$B770,D$5)="",2,0)),0)</f>
        <v>0</v>
      </c>
      <c r="E770" s="194">
        <f>IFERROR(IF(INDEX([1]Pivot!$AD$1:$BE$65000,$B770,E$5)=1,1,IF(INDEX([1]Pivot!$B$1:$AB$65000,$B770,E$5)="",2,0)),0)</f>
        <v>0</v>
      </c>
      <c r="F770" s="194">
        <f>IFERROR(IF(INDEX([1]Pivot!$AD$1:$BE$65000,$B770,F$5)=1,1,IF(INDEX([1]Pivot!$B$1:$AB$65000,$B770,F$5)="",2,0)),0)</f>
        <v>0</v>
      </c>
      <c r="G770" s="194">
        <f>IFERROR(IF(INDEX([1]Pivot!$AD$1:$BE$65000,$B770,G$5)=1,1,IF(INDEX([1]Pivot!$B$1:$AB$65000,$B770,G$5)="",2,0)),0)</f>
        <v>0</v>
      </c>
      <c r="H770" s="194">
        <f>IFERROR(IF(INDEX([1]Pivot!$AD$1:$BE$65000,$B770,H$5)=1,1,IF(INDEX([1]Pivot!$B$1:$AB$65000,$B770,H$5)="",2,0)),0)</f>
        <v>0</v>
      </c>
      <c r="I770" s="194">
        <f>IFERROR(IF(INDEX([1]Pivot!$AD$1:$BE$65000,$B770,I$5)=1,1,IF(INDEX([1]Pivot!$B$1:$AB$65000,$B770,I$5)="",2,0)),0)</f>
        <v>0</v>
      </c>
      <c r="J770" s="194">
        <f>IFERROR(IF(INDEX([1]Pivot!$AD$1:$BE$65000,$B770,J$5)=1,1,IF(INDEX([1]Pivot!$B$1:$AB$65000,$B770,J$5)="",2,0)),0)</f>
        <v>0</v>
      </c>
      <c r="K770" s="194">
        <f>IFERROR(IF(INDEX([1]Pivot!$AD$1:$BE$65000,$B770,K$5)=1,1,IF(INDEX([1]Pivot!$B$1:$AB$65000,$B770,K$5)="",2,0)),0)</f>
        <v>0</v>
      </c>
      <c r="L770" s="194">
        <f>IFERROR(IF(INDEX([1]Pivot!$AD$1:$BE$65000,$B770,L$5)=1,1,IF(INDEX([1]Pivot!$B$1:$AB$65000,$B770,L$5)="",2,0)),0)</f>
        <v>0</v>
      </c>
      <c r="M770" s="194">
        <f>IFERROR(IF(INDEX([1]Pivot!$AD$1:$BE$65000,$B770,M$5)=1,1,IF(INDEX([1]Pivot!$B$1:$AB$65000,$B770,M$5)="",2,0)),0)</f>
        <v>0</v>
      </c>
      <c r="N770" s="194">
        <f>IFERROR(IF(INDEX([1]Pivot!$AD$1:$BE$65000,$B770,N$5)=1,1,IF(INDEX([1]Pivot!$B$1:$AB$65000,$B770,N$5)="",2,0)),0)</f>
        <v>0</v>
      </c>
      <c r="O770" s="194">
        <f>IFERROR(IF(INDEX([1]Pivot!$AD$1:$BE$65000,$B770,O$5)=1,1,IF(INDEX([1]Pivot!$B$1:$AB$65000,$B770,O$5)="",2,0)),0)</f>
        <v>0</v>
      </c>
      <c r="P770" s="194">
        <f>IFERROR(IF(INDEX([1]Pivot!$AD$1:$BE$65000,$B770,P$5)=1,1,IF(INDEX([1]Pivot!$B$1:$AB$65000,$B770,P$5)="",2,0)),0)</f>
        <v>0</v>
      </c>
      <c r="Q770" s="194">
        <f>IFERROR(IF(INDEX([1]Pivot!$AD$1:$BE$65000,$B770,Q$5)=1,1,IF(INDEX([1]Pivot!$B$1:$AB$65000,$B770,Q$5)="",2,0)),0)</f>
        <v>0</v>
      </c>
      <c r="R770" s="312"/>
      <c r="S770" s="194">
        <f>IFERROR(IF(INDEX([1]Pivot!$AD$1:$BE$65000,$B770,S$5)=1,1,IF(INDEX([1]Pivot!$B$1:$AB$65000,$B770,S$5)="",2,0)),0)</f>
        <v>0</v>
      </c>
      <c r="T770" s="194">
        <f>IFERROR(IF(INDEX([1]Pivot!$AD$1:$BE$65000,$B770,T$5)=1,1,IF(INDEX([1]Pivot!$B$1:$AB$65000,$B770,T$5)="",2,0)),0)</f>
        <v>0</v>
      </c>
      <c r="U770" s="194">
        <f>IFERROR(IF(INDEX([1]Pivot!$AD$1:$BE$65000,$B770,U$5)=1,1,IF(INDEX([1]Pivot!$B$1:$AB$65000,$B770,U$5)="",2,0)),0)</f>
        <v>0</v>
      </c>
      <c r="V770" s="194">
        <f>IFERROR(IF(INDEX([1]Pivot!$AD$1:$BE$65000,$B770,V$5)=1,1,IF(INDEX([1]Pivot!$B$1:$AB$65000,$B770,V$5)="",2,0)),0)</f>
        <v>0</v>
      </c>
      <c r="W770" s="194">
        <f>IFERROR(IF(INDEX([1]Pivot!$AD$1:$BE$65000,$B770,W$5)=1,1,IF(INDEX([1]Pivot!$B$1:$AB$65000,$B770,W$5)="",2,0)),0)</f>
        <v>0</v>
      </c>
      <c r="X770" s="194">
        <f>IFERROR(IF(INDEX([1]Pivot!$AD$1:$BE$65000,$B770,X$5)=1,1,IF(INDEX([1]Pivot!$B$1:$AB$65000,$B770,X$5)="",2,0)),0)</f>
        <v>0</v>
      </c>
      <c r="Y770" s="194">
        <f>IFERROR(IF(INDEX([1]Pivot!$AD$1:$BE$65000,$B770,Y$5)=1,1,IF(INDEX([1]Pivot!$B$1:$AB$65000,$B770,Y$5)="",2,0)),0)</f>
        <v>0</v>
      </c>
      <c r="Z770" s="194">
        <f>IFERROR(IF(INDEX([1]Pivot!$AD$1:$BE$65000,$B770,Z$5)=1,1,IF(INDEX([1]Pivot!$B$1:$AB$65000,$B770,Z$5)="",2,0)),0)</f>
        <v>0</v>
      </c>
      <c r="AA770" s="194">
        <f>IFERROR(IF(INDEX([1]Pivot!$AD$1:$BE$65000,$B770,AA$5)=1,1,IF(INDEX([1]Pivot!$B$1:$AB$65000,$B770,AA$5)="",2,0)),0)</f>
        <v>0</v>
      </c>
      <c r="AB770" s="194">
        <f>IFERROR(IF(INDEX([1]Pivot!$AD$1:$BE$65000,$B770,AB$5)=1,1,IF(INDEX([1]Pivot!$B$1:$AB$65000,$B770,AB$5)="",2,0)),0)</f>
        <v>0</v>
      </c>
      <c r="AC770" s="194">
        <f>IFERROR(IF(INDEX([1]Pivot!$AD$1:$BE$65000,$B770,AC$5)=1,1,IF(INDEX([1]Pivot!$B$1:$AB$65000,$B770,AC$5)="",2,0)),0)</f>
        <v>0</v>
      </c>
      <c r="AD770" s="313">
        <f>IFERROR(IF(INDEX([1]Pivot!$BF$1:$CG$65000,$B770,AD$5)=1,1,IF(INDEX([1]Pivot!$B$1:$AB$65000,$B770,AD$5)="",2,0)),0)</f>
        <v>0</v>
      </c>
      <c r="AE770" s="313">
        <f>IFERROR(IF(INDEX([1]Pivot!$BF$1:$CG$65000,$B770,AE$5)=1,1,IF(INDEX([1]Pivot!$B$1:$AB$65000,$B770,AE$5)="",2,0)),0)</f>
        <v>0</v>
      </c>
      <c r="AF770" s="313">
        <f>IFERROR(IF(INDEX([1]Pivot!$BF$1:$CG$65000,$B770,AF$5)=1,1,IF(INDEX([1]Pivot!$B$1:$AB$65000,$B770,AF$5)="",2,0)),0)</f>
        <v>0</v>
      </c>
      <c r="AG770" s="313">
        <f>IFERROR(IF(INDEX([1]Pivot!$BF$1:$CG$65000,$B770,AG$5)=1,1,IF(INDEX([1]Pivot!$B$1:$AB$65000,$B770,AG$5)="",2,0)),0)</f>
        <v>0</v>
      </c>
      <c r="AH770" s="313">
        <f>IFERROR(IF(INDEX([1]Pivot!$BF$1:$CG$65000,$B770,AH$5)=1,1,IF(INDEX([1]Pivot!$B$1:$AB$65000,$B770,AH$5)="",2,0)),0)</f>
        <v>0</v>
      </c>
      <c r="AI770" s="313">
        <f>IFERROR(IF(INDEX([1]Pivot!$BF$1:$CG$65000,$B770,AI$5)=1,1,IF(INDEX([1]Pivot!$B$1:$AB$65000,$B770,AI$5)="",2,0)),0)</f>
        <v>0</v>
      </c>
      <c r="AJ770" s="313">
        <f>IFERROR(IF(INDEX([1]Pivot!$BF$1:$CG$65000,$B770,AJ$5)=1,1,IF(INDEX([1]Pivot!$B$1:$AB$65000,$B770,AJ$5)="",2,0)),0)</f>
        <v>0</v>
      </c>
      <c r="AK770" s="313">
        <f>IFERROR(IF(INDEX([1]Pivot!$BF$1:$CG$65000,$B770,AK$5)=1,1,IF(INDEX([1]Pivot!$B$1:$AB$65000,$B770,AK$5)="",2,0)),0)</f>
        <v>0</v>
      </c>
      <c r="AL770" s="313">
        <f>IFERROR(IF(INDEX([1]Pivot!$BF$1:$CG$65000,$B770,AL$5)=1,1,IF(INDEX([1]Pivot!$B$1:$AB$65000,$B770,AL$5)="",2,0)),0)</f>
        <v>0</v>
      </c>
      <c r="AM770" s="313">
        <f>IFERROR(IF(INDEX([1]Pivot!$BF$1:$CG$65000,$B770,AM$5)=1,1,IF(INDEX([1]Pivot!$B$1:$AB$65000,$B770,AM$5)="",2,0)),0)</f>
        <v>0</v>
      </c>
      <c r="AN770" s="313">
        <f>IFERROR(IF(INDEX([1]Pivot!$BF$1:$CG$65000,$B770,AN$5)=1,1,IF(INDEX([1]Pivot!$B$1:$AB$65000,$B770,AN$5)="",2,0)),0)</f>
        <v>0</v>
      </c>
      <c r="AO770" s="313">
        <f>IFERROR(IF(INDEX([1]Pivot!$BF$1:$CG$65000,$B770,AO$5)=1,1,IF(INDEX([1]Pivot!$B$1:$AB$65000,$B770,AO$5)="",2,0)),0)</f>
        <v>0</v>
      </c>
      <c r="AP770" s="313">
        <f>IFERROR(IF(INDEX([1]Pivot!$BF$1:$CG$65000,$B770,AP$5)=1,1,IF(INDEX([1]Pivot!$B$1:$AB$65000,$B770,AP$5)="",2,0)),0)</f>
        <v>0</v>
      </c>
      <c r="AQ770" s="313">
        <f>IFERROR(IF(INDEX([1]Pivot!$BF$1:$CG$65000,$B770,AQ$5)=1,1,IF(INDEX([1]Pivot!$B$1:$AB$65000,$B770,AQ$5)="",2,0)),0)</f>
        <v>0</v>
      </c>
      <c r="AR770" s="313">
        <f>IFERROR(IF(INDEX([1]Pivot!$BF$1:$CG$65000,$B770,AR$5)=1,1,IF(INDEX([1]Pivot!$B$1:$AB$65000,$B770,AR$5)="",2,0)),0)</f>
        <v>0</v>
      </c>
      <c r="AS770" s="312"/>
      <c r="AT770" s="313">
        <f>IFERROR(IF(INDEX([1]Pivot!$BF$1:$CG$65000,$B770,AT$5)=1,1,IF(INDEX([1]Pivot!$B$1:$AB$65000,$B770,AT$5)="",2,0)),0)</f>
        <v>0</v>
      </c>
      <c r="AU770" s="313">
        <f>IFERROR(IF(INDEX([1]Pivot!$BF$1:$CG$65000,$B770,AU$5)=1,1,IF(INDEX([1]Pivot!$B$1:$AB$65000,$B770,AU$5)="",2,0)),0)</f>
        <v>0</v>
      </c>
      <c r="AV770" s="313">
        <f>IFERROR(IF(INDEX([1]Pivot!$BF$1:$CG$65000,$B770,AV$5)=1,1,IF(INDEX([1]Pivot!$B$1:$AB$65000,$B770,AV$5)="",2,0)),0)</f>
        <v>0</v>
      </c>
      <c r="AW770" s="313">
        <f>IFERROR(IF(INDEX([1]Pivot!$BF$1:$CG$65000,$B770,AW$5)=1,1,IF(INDEX([1]Pivot!$B$1:$AB$65000,$B770,AW$5)="",2,0)),0)</f>
        <v>0</v>
      </c>
      <c r="AX770" s="313">
        <f>IFERROR(IF(INDEX([1]Pivot!$BF$1:$CG$65000,$B770,AX$5)=1,1,IF(INDEX([1]Pivot!$B$1:$AB$65000,$B770,AX$5)="",2,0)),0)</f>
        <v>0</v>
      </c>
      <c r="AY770" s="313">
        <f>IFERROR(IF(INDEX([1]Pivot!$BF$1:$CG$65000,$B770,AY$5)=1,1,IF(INDEX([1]Pivot!$B$1:$AB$65000,$B770,AY$5)="",2,0)),0)</f>
        <v>0</v>
      </c>
      <c r="AZ770" s="313">
        <f>IFERROR(IF(INDEX([1]Pivot!$BF$1:$CG$65000,$B770,AZ$5)=1,1,IF(INDEX([1]Pivot!$B$1:$AB$65000,$B770,AZ$5)="",2,0)),0)</f>
        <v>0</v>
      </c>
      <c r="BA770" s="313">
        <f>IFERROR(IF(INDEX([1]Pivot!$BF$1:$CG$65000,$B770,BA$5)=1,1,IF(INDEX([1]Pivot!$B$1:$AB$65000,$B770,BA$5)="",2,0)),0)</f>
        <v>0</v>
      </c>
      <c r="BB770" s="313">
        <f>IFERROR(IF(INDEX([1]Pivot!$BF$1:$CG$65000,$B770,BB$5)=1,1,IF(INDEX([1]Pivot!$B$1:$AB$65000,$B770,BB$5)="",2,0)),0)</f>
        <v>0</v>
      </c>
      <c r="BC770" s="313">
        <f>IFERROR(IF(INDEX([1]Pivot!$BF$1:$CG$65000,$B770,BC$5)=1,1,IF(INDEX([1]Pivot!$B$1:$AB$65000,$B770,BC$5)="",2,0)),0)</f>
        <v>0</v>
      </c>
      <c r="BD770" s="313">
        <f>IFERROR(IF(INDEX([1]Pivot!$BF$1:$CG$65000,$B770,BD$5)=1,1,IF(INDEX([1]Pivot!$B$1:$AB$65000,$B770,BD$5)="",2,0)),0)</f>
        <v>0</v>
      </c>
    </row>
    <row r="771" spans="1:56" x14ac:dyDescent="0.25">
      <c r="A771" s="288">
        <f>'[2]Raw Milk Prices'!A771</f>
        <v>0</v>
      </c>
      <c r="B771" s="296" t="e">
        <f>MATCH(DATE(LEFT('[2]Raw Milk Prices'!$A771,4),RIGHT('[2]Raw Milk Prices'!$A771,2),1),[1]Pivot!$A$1:$A$65000,0)</f>
        <v>#VALUE!</v>
      </c>
      <c r="C771" s="194">
        <f>IFERROR(IF(INDEX([1]Pivot!$AD$1:$BE$65000,$B771,C$5)=1,1,IF(INDEX([1]Pivot!$B$1:$AB$65000,$B771,C$5)="",2,0)),0)</f>
        <v>0</v>
      </c>
      <c r="D771" s="194">
        <f>IFERROR(IF(INDEX([1]Pivot!$AD$1:$BE$65000,$B771,D$5)=1,1,IF(INDEX([1]Pivot!$B$1:$AB$65000,$B771,D$5)="",2,0)),0)</f>
        <v>0</v>
      </c>
      <c r="E771" s="194">
        <f>IFERROR(IF(INDEX([1]Pivot!$AD$1:$BE$65000,$B771,E$5)=1,1,IF(INDEX([1]Pivot!$B$1:$AB$65000,$B771,E$5)="",2,0)),0)</f>
        <v>0</v>
      </c>
      <c r="F771" s="194">
        <f>IFERROR(IF(INDEX([1]Pivot!$AD$1:$BE$65000,$B771,F$5)=1,1,IF(INDEX([1]Pivot!$B$1:$AB$65000,$B771,F$5)="",2,0)),0)</f>
        <v>0</v>
      </c>
      <c r="G771" s="194">
        <f>IFERROR(IF(INDEX([1]Pivot!$AD$1:$BE$65000,$B771,G$5)=1,1,IF(INDEX([1]Pivot!$B$1:$AB$65000,$B771,G$5)="",2,0)),0)</f>
        <v>0</v>
      </c>
      <c r="H771" s="194">
        <f>IFERROR(IF(INDEX([1]Pivot!$AD$1:$BE$65000,$B771,H$5)=1,1,IF(INDEX([1]Pivot!$B$1:$AB$65000,$B771,H$5)="",2,0)),0)</f>
        <v>0</v>
      </c>
      <c r="I771" s="194">
        <f>IFERROR(IF(INDEX([1]Pivot!$AD$1:$BE$65000,$B771,I$5)=1,1,IF(INDEX([1]Pivot!$B$1:$AB$65000,$B771,I$5)="",2,0)),0)</f>
        <v>0</v>
      </c>
      <c r="J771" s="194">
        <f>IFERROR(IF(INDEX([1]Pivot!$AD$1:$BE$65000,$B771,J$5)=1,1,IF(INDEX([1]Pivot!$B$1:$AB$65000,$B771,J$5)="",2,0)),0)</f>
        <v>0</v>
      </c>
      <c r="K771" s="194">
        <f>IFERROR(IF(INDEX([1]Pivot!$AD$1:$BE$65000,$B771,K$5)=1,1,IF(INDEX([1]Pivot!$B$1:$AB$65000,$B771,K$5)="",2,0)),0)</f>
        <v>0</v>
      </c>
      <c r="L771" s="194">
        <f>IFERROR(IF(INDEX([1]Pivot!$AD$1:$BE$65000,$B771,L$5)=1,1,IF(INDEX([1]Pivot!$B$1:$AB$65000,$B771,L$5)="",2,0)),0)</f>
        <v>0</v>
      </c>
      <c r="M771" s="194">
        <f>IFERROR(IF(INDEX([1]Pivot!$AD$1:$BE$65000,$B771,M$5)=1,1,IF(INDEX([1]Pivot!$B$1:$AB$65000,$B771,M$5)="",2,0)),0)</f>
        <v>0</v>
      </c>
      <c r="N771" s="194">
        <f>IFERROR(IF(INDEX([1]Pivot!$AD$1:$BE$65000,$B771,N$5)=1,1,IF(INDEX([1]Pivot!$B$1:$AB$65000,$B771,N$5)="",2,0)),0)</f>
        <v>0</v>
      </c>
      <c r="O771" s="194">
        <f>IFERROR(IF(INDEX([1]Pivot!$AD$1:$BE$65000,$B771,O$5)=1,1,IF(INDEX([1]Pivot!$B$1:$AB$65000,$B771,O$5)="",2,0)),0)</f>
        <v>0</v>
      </c>
      <c r="P771" s="194">
        <f>IFERROR(IF(INDEX([1]Pivot!$AD$1:$BE$65000,$B771,P$5)=1,1,IF(INDEX([1]Pivot!$B$1:$AB$65000,$B771,P$5)="",2,0)),0)</f>
        <v>0</v>
      </c>
      <c r="Q771" s="194">
        <f>IFERROR(IF(INDEX([1]Pivot!$AD$1:$BE$65000,$B771,Q$5)=1,1,IF(INDEX([1]Pivot!$B$1:$AB$65000,$B771,Q$5)="",2,0)),0)</f>
        <v>0</v>
      </c>
      <c r="R771" s="312"/>
      <c r="S771" s="194">
        <f>IFERROR(IF(INDEX([1]Pivot!$AD$1:$BE$65000,$B771,S$5)=1,1,IF(INDEX([1]Pivot!$B$1:$AB$65000,$B771,S$5)="",2,0)),0)</f>
        <v>0</v>
      </c>
      <c r="T771" s="194">
        <f>IFERROR(IF(INDEX([1]Pivot!$AD$1:$BE$65000,$B771,T$5)=1,1,IF(INDEX([1]Pivot!$B$1:$AB$65000,$B771,T$5)="",2,0)),0)</f>
        <v>0</v>
      </c>
      <c r="U771" s="194">
        <f>IFERROR(IF(INDEX([1]Pivot!$AD$1:$BE$65000,$B771,U$5)=1,1,IF(INDEX([1]Pivot!$B$1:$AB$65000,$B771,U$5)="",2,0)),0)</f>
        <v>0</v>
      </c>
      <c r="V771" s="194">
        <f>IFERROR(IF(INDEX([1]Pivot!$AD$1:$BE$65000,$B771,V$5)=1,1,IF(INDEX([1]Pivot!$B$1:$AB$65000,$B771,V$5)="",2,0)),0)</f>
        <v>0</v>
      </c>
      <c r="W771" s="194">
        <f>IFERROR(IF(INDEX([1]Pivot!$AD$1:$BE$65000,$B771,W$5)=1,1,IF(INDEX([1]Pivot!$B$1:$AB$65000,$B771,W$5)="",2,0)),0)</f>
        <v>0</v>
      </c>
      <c r="X771" s="194">
        <f>IFERROR(IF(INDEX([1]Pivot!$AD$1:$BE$65000,$B771,X$5)=1,1,IF(INDEX([1]Pivot!$B$1:$AB$65000,$B771,X$5)="",2,0)),0)</f>
        <v>0</v>
      </c>
      <c r="Y771" s="194">
        <f>IFERROR(IF(INDEX([1]Pivot!$AD$1:$BE$65000,$B771,Y$5)=1,1,IF(INDEX([1]Pivot!$B$1:$AB$65000,$B771,Y$5)="",2,0)),0)</f>
        <v>0</v>
      </c>
      <c r="Z771" s="194">
        <f>IFERROR(IF(INDEX([1]Pivot!$AD$1:$BE$65000,$B771,Z$5)=1,1,IF(INDEX([1]Pivot!$B$1:$AB$65000,$B771,Z$5)="",2,0)),0)</f>
        <v>0</v>
      </c>
      <c r="AA771" s="194">
        <f>IFERROR(IF(INDEX([1]Pivot!$AD$1:$BE$65000,$B771,AA$5)=1,1,IF(INDEX([1]Pivot!$B$1:$AB$65000,$B771,AA$5)="",2,0)),0)</f>
        <v>0</v>
      </c>
      <c r="AB771" s="194">
        <f>IFERROR(IF(INDEX([1]Pivot!$AD$1:$BE$65000,$B771,AB$5)=1,1,IF(INDEX([1]Pivot!$B$1:$AB$65000,$B771,AB$5)="",2,0)),0)</f>
        <v>0</v>
      </c>
      <c r="AC771" s="194">
        <f>IFERROR(IF(INDEX([1]Pivot!$AD$1:$BE$65000,$B771,AC$5)=1,1,IF(INDEX([1]Pivot!$B$1:$AB$65000,$B771,AC$5)="",2,0)),0)</f>
        <v>0</v>
      </c>
      <c r="AD771" s="313">
        <f>IFERROR(IF(INDEX([1]Pivot!$BF$1:$CG$65000,$B771,AD$5)=1,1,IF(INDEX([1]Pivot!$B$1:$AB$65000,$B771,AD$5)="",2,0)),0)</f>
        <v>0</v>
      </c>
      <c r="AE771" s="313">
        <f>IFERROR(IF(INDEX([1]Pivot!$BF$1:$CG$65000,$B771,AE$5)=1,1,IF(INDEX([1]Pivot!$B$1:$AB$65000,$B771,AE$5)="",2,0)),0)</f>
        <v>0</v>
      </c>
      <c r="AF771" s="313">
        <f>IFERROR(IF(INDEX([1]Pivot!$BF$1:$CG$65000,$B771,AF$5)=1,1,IF(INDEX([1]Pivot!$B$1:$AB$65000,$B771,AF$5)="",2,0)),0)</f>
        <v>0</v>
      </c>
      <c r="AG771" s="313">
        <f>IFERROR(IF(INDEX([1]Pivot!$BF$1:$CG$65000,$B771,AG$5)=1,1,IF(INDEX([1]Pivot!$B$1:$AB$65000,$B771,AG$5)="",2,0)),0)</f>
        <v>0</v>
      </c>
      <c r="AH771" s="313">
        <f>IFERROR(IF(INDEX([1]Pivot!$BF$1:$CG$65000,$B771,AH$5)=1,1,IF(INDEX([1]Pivot!$B$1:$AB$65000,$B771,AH$5)="",2,0)),0)</f>
        <v>0</v>
      </c>
      <c r="AI771" s="313">
        <f>IFERROR(IF(INDEX([1]Pivot!$BF$1:$CG$65000,$B771,AI$5)=1,1,IF(INDEX([1]Pivot!$B$1:$AB$65000,$B771,AI$5)="",2,0)),0)</f>
        <v>0</v>
      </c>
      <c r="AJ771" s="313">
        <f>IFERROR(IF(INDEX([1]Pivot!$BF$1:$CG$65000,$B771,AJ$5)=1,1,IF(INDEX([1]Pivot!$B$1:$AB$65000,$B771,AJ$5)="",2,0)),0)</f>
        <v>0</v>
      </c>
      <c r="AK771" s="313">
        <f>IFERROR(IF(INDEX([1]Pivot!$BF$1:$CG$65000,$B771,AK$5)=1,1,IF(INDEX([1]Pivot!$B$1:$AB$65000,$B771,AK$5)="",2,0)),0)</f>
        <v>0</v>
      </c>
      <c r="AL771" s="313">
        <f>IFERROR(IF(INDEX([1]Pivot!$BF$1:$CG$65000,$B771,AL$5)=1,1,IF(INDEX([1]Pivot!$B$1:$AB$65000,$B771,AL$5)="",2,0)),0)</f>
        <v>0</v>
      </c>
      <c r="AM771" s="313">
        <f>IFERROR(IF(INDEX([1]Pivot!$BF$1:$CG$65000,$B771,AM$5)=1,1,IF(INDEX([1]Pivot!$B$1:$AB$65000,$B771,AM$5)="",2,0)),0)</f>
        <v>0</v>
      </c>
      <c r="AN771" s="313">
        <f>IFERROR(IF(INDEX([1]Pivot!$BF$1:$CG$65000,$B771,AN$5)=1,1,IF(INDEX([1]Pivot!$B$1:$AB$65000,$B771,AN$5)="",2,0)),0)</f>
        <v>0</v>
      </c>
      <c r="AO771" s="313">
        <f>IFERROR(IF(INDEX([1]Pivot!$BF$1:$CG$65000,$B771,AO$5)=1,1,IF(INDEX([1]Pivot!$B$1:$AB$65000,$B771,AO$5)="",2,0)),0)</f>
        <v>0</v>
      </c>
      <c r="AP771" s="313">
        <f>IFERROR(IF(INDEX([1]Pivot!$BF$1:$CG$65000,$B771,AP$5)=1,1,IF(INDEX([1]Pivot!$B$1:$AB$65000,$B771,AP$5)="",2,0)),0)</f>
        <v>0</v>
      </c>
      <c r="AQ771" s="313">
        <f>IFERROR(IF(INDEX([1]Pivot!$BF$1:$CG$65000,$B771,AQ$5)=1,1,IF(INDEX([1]Pivot!$B$1:$AB$65000,$B771,AQ$5)="",2,0)),0)</f>
        <v>0</v>
      </c>
      <c r="AR771" s="313">
        <f>IFERROR(IF(INDEX([1]Pivot!$BF$1:$CG$65000,$B771,AR$5)=1,1,IF(INDEX([1]Pivot!$B$1:$AB$65000,$B771,AR$5)="",2,0)),0)</f>
        <v>0</v>
      </c>
      <c r="AS771" s="312"/>
      <c r="AT771" s="313">
        <f>IFERROR(IF(INDEX([1]Pivot!$BF$1:$CG$65000,$B771,AT$5)=1,1,IF(INDEX([1]Pivot!$B$1:$AB$65000,$B771,AT$5)="",2,0)),0)</f>
        <v>0</v>
      </c>
      <c r="AU771" s="313">
        <f>IFERROR(IF(INDEX([1]Pivot!$BF$1:$CG$65000,$B771,AU$5)=1,1,IF(INDEX([1]Pivot!$B$1:$AB$65000,$B771,AU$5)="",2,0)),0)</f>
        <v>0</v>
      </c>
      <c r="AV771" s="313">
        <f>IFERROR(IF(INDEX([1]Pivot!$BF$1:$CG$65000,$B771,AV$5)=1,1,IF(INDEX([1]Pivot!$B$1:$AB$65000,$B771,AV$5)="",2,0)),0)</f>
        <v>0</v>
      </c>
      <c r="AW771" s="313">
        <f>IFERROR(IF(INDEX([1]Pivot!$BF$1:$CG$65000,$B771,AW$5)=1,1,IF(INDEX([1]Pivot!$B$1:$AB$65000,$B771,AW$5)="",2,0)),0)</f>
        <v>0</v>
      </c>
      <c r="AX771" s="313">
        <f>IFERROR(IF(INDEX([1]Pivot!$BF$1:$CG$65000,$B771,AX$5)=1,1,IF(INDEX([1]Pivot!$B$1:$AB$65000,$B771,AX$5)="",2,0)),0)</f>
        <v>0</v>
      </c>
      <c r="AY771" s="313">
        <f>IFERROR(IF(INDEX([1]Pivot!$BF$1:$CG$65000,$B771,AY$5)=1,1,IF(INDEX([1]Pivot!$B$1:$AB$65000,$B771,AY$5)="",2,0)),0)</f>
        <v>0</v>
      </c>
      <c r="AZ771" s="313">
        <f>IFERROR(IF(INDEX([1]Pivot!$BF$1:$CG$65000,$B771,AZ$5)=1,1,IF(INDEX([1]Pivot!$B$1:$AB$65000,$B771,AZ$5)="",2,0)),0)</f>
        <v>0</v>
      </c>
      <c r="BA771" s="313">
        <f>IFERROR(IF(INDEX([1]Pivot!$BF$1:$CG$65000,$B771,BA$5)=1,1,IF(INDEX([1]Pivot!$B$1:$AB$65000,$B771,BA$5)="",2,0)),0)</f>
        <v>0</v>
      </c>
      <c r="BB771" s="313">
        <f>IFERROR(IF(INDEX([1]Pivot!$BF$1:$CG$65000,$B771,BB$5)=1,1,IF(INDEX([1]Pivot!$B$1:$AB$65000,$B771,BB$5)="",2,0)),0)</f>
        <v>0</v>
      </c>
      <c r="BC771" s="313">
        <f>IFERROR(IF(INDEX([1]Pivot!$BF$1:$CG$65000,$B771,BC$5)=1,1,IF(INDEX([1]Pivot!$B$1:$AB$65000,$B771,BC$5)="",2,0)),0)</f>
        <v>0</v>
      </c>
      <c r="BD771" s="313">
        <f>IFERROR(IF(INDEX([1]Pivot!$BF$1:$CG$65000,$B771,BD$5)=1,1,IF(INDEX([1]Pivot!$B$1:$AB$65000,$B771,BD$5)="",2,0)),0)</f>
        <v>0</v>
      </c>
    </row>
    <row r="772" spans="1:56" x14ac:dyDescent="0.25">
      <c r="A772" s="288">
        <f>'[2]Raw Milk Prices'!A772</f>
        <v>0</v>
      </c>
      <c r="B772" s="296" t="e">
        <f>MATCH(DATE(LEFT('[2]Raw Milk Prices'!$A772,4),RIGHT('[2]Raw Milk Prices'!$A772,2),1),[1]Pivot!$A$1:$A$65000,0)</f>
        <v>#VALUE!</v>
      </c>
      <c r="C772" s="194">
        <f>IFERROR(IF(INDEX([1]Pivot!$AD$1:$BE$65000,$B772,C$5)=1,1,IF(INDEX([1]Pivot!$B$1:$AB$65000,$B772,C$5)="",2,0)),0)</f>
        <v>0</v>
      </c>
      <c r="D772" s="194">
        <f>IFERROR(IF(INDEX([1]Pivot!$AD$1:$BE$65000,$B772,D$5)=1,1,IF(INDEX([1]Pivot!$B$1:$AB$65000,$B772,D$5)="",2,0)),0)</f>
        <v>0</v>
      </c>
      <c r="E772" s="194">
        <f>IFERROR(IF(INDEX([1]Pivot!$AD$1:$BE$65000,$B772,E$5)=1,1,IF(INDEX([1]Pivot!$B$1:$AB$65000,$B772,E$5)="",2,0)),0)</f>
        <v>0</v>
      </c>
      <c r="F772" s="194">
        <f>IFERROR(IF(INDEX([1]Pivot!$AD$1:$BE$65000,$B772,F$5)=1,1,IF(INDEX([1]Pivot!$B$1:$AB$65000,$B772,F$5)="",2,0)),0)</f>
        <v>0</v>
      </c>
      <c r="G772" s="194">
        <f>IFERROR(IF(INDEX([1]Pivot!$AD$1:$BE$65000,$B772,G$5)=1,1,IF(INDEX([1]Pivot!$B$1:$AB$65000,$B772,G$5)="",2,0)),0)</f>
        <v>0</v>
      </c>
      <c r="H772" s="194">
        <f>IFERROR(IF(INDEX([1]Pivot!$AD$1:$BE$65000,$B772,H$5)=1,1,IF(INDEX([1]Pivot!$B$1:$AB$65000,$B772,H$5)="",2,0)),0)</f>
        <v>0</v>
      </c>
      <c r="I772" s="194">
        <f>IFERROR(IF(INDEX([1]Pivot!$AD$1:$BE$65000,$B772,I$5)=1,1,IF(INDEX([1]Pivot!$B$1:$AB$65000,$B772,I$5)="",2,0)),0)</f>
        <v>0</v>
      </c>
      <c r="J772" s="194">
        <f>IFERROR(IF(INDEX([1]Pivot!$AD$1:$BE$65000,$B772,J$5)=1,1,IF(INDEX([1]Pivot!$B$1:$AB$65000,$B772,J$5)="",2,0)),0)</f>
        <v>0</v>
      </c>
      <c r="K772" s="194">
        <f>IFERROR(IF(INDEX([1]Pivot!$AD$1:$BE$65000,$B772,K$5)=1,1,IF(INDEX([1]Pivot!$B$1:$AB$65000,$B772,K$5)="",2,0)),0)</f>
        <v>0</v>
      </c>
      <c r="L772" s="194">
        <f>IFERROR(IF(INDEX([1]Pivot!$AD$1:$BE$65000,$B772,L$5)=1,1,IF(INDEX([1]Pivot!$B$1:$AB$65000,$B772,L$5)="",2,0)),0)</f>
        <v>0</v>
      </c>
      <c r="M772" s="194">
        <f>IFERROR(IF(INDEX([1]Pivot!$AD$1:$BE$65000,$B772,M$5)=1,1,IF(INDEX([1]Pivot!$B$1:$AB$65000,$B772,M$5)="",2,0)),0)</f>
        <v>0</v>
      </c>
      <c r="N772" s="194">
        <f>IFERROR(IF(INDEX([1]Pivot!$AD$1:$BE$65000,$B772,N$5)=1,1,IF(INDEX([1]Pivot!$B$1:$AB$65000,$B772,N$5)="",2,0)),0)</f>
        <v>0</v>
      </c>
      <c r="O772" s="194">
        <f>IFERROR(IF(INDEX([1]Pivot!$AD$1:$BE$65000,$B772,O$5)=1,1,IF(INDEX([1]Pivot!$B$1:$AB$65000,$B772,O$5)="",2,0)),0)</f>
        <v>0</v>
      </c>
      <c r="P772" s="194">
        <f>IFERROR(IF(INDEX([1]Pivot!$AD$1:$BE$65000,$B772,P$5)=1,1,IF(INDEX([1]Pivot!$B$1:$AB$65000,$B772,P$5)="",2,0)),0)</f>
        <v>0</v>
      </c>
      <c r="Q772" s="194">
        <f>IFERROR(IF(INDEX([1]Pivot!$AD$1:$BE$65000,$B772,Q$5)=1,1,IF(INDEX([1]Pivot!$B$1:$AB$65000,$B772,Q$5)="",2,0)),0)</f>
        <v>0</v>
      </c>
      <c r="R772" s="312"/>
      <c r="S772" s="194">
        <f>IFERROR(IF(INDEX([1]Pivot!$AD$1:$BE$65000,$B772,S$5)=1,1,IF(INDEX([1]Pivot!$B$1:$AB$65000,$B772,S$5)="",2,0)),0)</f>
        <v>0</v>
      </c>
      <c r="T772" s="194">
        <f>IFERROR(IF(INDEX([1]Pivot!$AD$1:$BE$65000,$B772,T$5)=1,1,IF(INDEX([1]Pivot!$B$1:$AB$65000,$B772,T$5)="",2,0)),0)</f>
        <v>0</v>
      </c>
      <c r="U772" s="194">
        <f>IFERROR(IF(INDEX([1]Pivot!$AD$1:$BE$65000,$B772,U$5)=1,1,IF(INDEX([1]Pivot!$B$1:$AB$65000,$B772,U$5)="",2,0)),0)</f>
        <v>0</v>
      </c>
      <c r="V772" s="194">
        <f>IFERROR(IF(INDEX([1]Pivot!$AD$1:$BE$65000,$B772,V$5)=1,1,IF(INDEX([1]Pivot!$B$1:$AB$65000,$B772,V$5)="",2,0)),0)</f>
        <v>0</v>
      </c>
      <c r="W772" s="194">
        <f>IFERROR(IF(INDEX([1]Pivot!$AD$1:$BE$65000,$B772,W$5)=1,1,IF(INDEX([1]Pivot!$B$1:$AB$65000,$B772,W$5)="",2,0)),0)</f>
        <v>0</v>
      </c>
      <c r="X772" s="194">
        <f>IFERROR(IF(INDEX([1]Pivot!$AD$1:$BE$65000,$B772,X$5)=1,1,IF(INDEX([1]Pivot!$B$1:$AB$65000,$B772,X$5)="",2,0)),0)</f>
        <v>0</v>
      </c>
      <c r="Y772" s="194">
        <f>IFERROR(IF(INDEX([1]Pivot!$AD$1:$BE$65000,$B772,Y$5)=1,1,IF(INDEX([1]Pivot!$B$1:$AB$65000,$B772,Y$5)="",2,0)),0)</f>
        <v>0</v>
      </c>
      <c r="Z772" s="194">
        <f>IFERROR(IF(INDEX([1]Pivot!$AD$1:$BE$65000,$B772,Z$5)=1,1,IF(INDEX([1]Pivot!$B$1:$AB$65000,$B772,Z$5)="",2,0)),0)</f>
        <v>0</v>
      </c>
      <c r="AA772" s="194">
        <f>IFERROR(IF(INDEX([1]Pivot!$AD$1:$BE$65000,$B772,AA$5)=1,1,IF(INDEX([1]Pivot!$B$1:$AB$65000,$B772,AA$5)="",2,0)),0)</f>
        <v>0</v>
      </c>
      <c r="AB772" s="194">
        <f>IFERROR(IF(INDEX([1]Pivot!$AD$1:$BE$65000,$B772,AB$5)=1,1,IF(INDEX([1]Pivot!$B$1:$AB$65000,$B772,AB$5)="",2,0)),0)</f>
        <v>0</v>
      </c>
      <c r="AC772" s="194">
        <f>IFERROR(IF(INDEX([1]Pivot!$AD$1:$BE$65000,$B772,AC$5)=1,1,IF(INDEX([1]Pivot!$B$1:$AB$65000,$B772,AC$5)="",2,0)),0)</f>
        <v>0</v>
      </c>
      <c r="AD772" s="313">
        <f>IFERROR(IF(INDEX([1]Pivot!$BF$1:$CG$65000,$B772,AD$5)=1,1,IF(INDEX([1]Pivot!$B$1:$AB$65000,$B772,AD$5)="",2,0)),0)</f>
        <v>0</v>
      </c>
      <c r="AE772" s="313">
        <f>IFERROR(IF(INDEX([1]Pivot!$BF$1:$CG$65000,$B772,AE$5)=1,1,IF(INDEX([1]Pivot!$B$1:$AB$65000,$B772,AE$5)="",2,0)),0)</f>
        <v>0</v>
      </c>
      <c r="AF772" s="313">
        <f>IFERROR(IF(INDEX([1]Pivot!$BF$1:$CG$65000,$B772,AF$5)=1,1,IF(INDEX([1]Pivot!$B$1:$AB$65000,$B772,AF$5)="",2,0)),0)</f>
        <v>0</v>
      </c>
      <c r="AG772" s="313">
        <f>IFERROR(IF(INDEX([1]Pivot!$BF$1:$CG$65000,$B772,AG$5)=1,1,IF(INDEX([1]Pivot!$B$1:$AB$65000,$B772,AG$5)="",2,0)),0)</f>
        <v>0</v>
      </c>
      <c r="AH772" s="313">
        <f>IFERROR(IF(INDEX([1]Pivot!$BF$1:$CG$65000,$B772,AH$5)=1,1,IF(INDEX([1]Pivot!$B$1:$AB$65000,$B772,AH$5)="",2,0)),0)</f>
        <v>0</v>
      </c>
      <c r="AI772" s="313">
        <f>IFERROR(IF(INDEX([1]Pivot!$BF$1:$CG$65000,$B772,AI$5)=1,1,IF(INDEX([1]Pivot!$B$1:$AB$65000,$B772,AI$5)="",2,0)),0)</f>
        <v>0</v>
      </c>
      <c r="AJ772" s="313">
        <f>IFERROR(IF(INDEX([1]Pivot!$BF$1:$CG$65000,$B772,AJ$5)=1,1,IF(INDEX([1]Pivot!$B$1:$AB$65000,$B772,AJ$5)="",2,0)),0)</f>
        <v>0</v>
      </c>
      <c r="AK772" s="313">
        <f>IFERROR(IF(INDEX([1]Pivot!$BF$1:$CG$65000,$B772,AK$5)=1,1,IF(INDEX([1]Pivot!$B$1:$AB$65000,$B772,AK$5)="",2,0)),0)</f>
        <v>0</v>
      </c>
      <c r="AL772" s="313">
        <f>IFERROR(IF(INDEX([1]Pivot!$BF$1:$CG$65000,$B772,AL$5)=1,1,IF(INDEX([1]Pivot!$B$1:$AB$65000,$B772,AL$5)="",2,0)),0)</f>
        <v>0</v>
      </c>
      <c r="AM772" s="313">
        <f>IFERROR(IF(INDEX([1]Pivot!$BF$1:$CG$65000,$B772,AM$5)=1,1,IF(INDEX([1]Pivot!$B$1:$AB$65000,$B772,AM$5)="",2,0)),0)</f>
        <v>0</v>
      </c>
      <c r="AN772" s="313">
        <f>IFERROR(IF(INDEX([1]Pivot!$BF$1:$CG$65000,$B772,AN$5)=1,1,IF(INDEX([1]Pivot!$B$1:$AB$65000,$B772,AN$5)="",2,0)),0)</f>
        <v>0</v>
      </c>
      <c r="AO772" s="313">
        <f>IFERROR(IF(INDEX([1]Pivot!$BF$1:$CG$65000,$B772,AO$5)=1,1,IF(INDEX([1]Pivot!$B$1:$AB$65000,$B772,AO$5)="",2,0)),0)</f>
        <v>0</v>
      </c>
      <c r="AP772" s="313">
        <f>IFERROR(IF(INDEX([1]Pivot!$BF$1:$CG$65000,$B772,AP$5)=1,1,IF(INDEX([1]Pivot!$B$1:$AB$65000,$B772,AP$5)="",2,0)),0)</f>
        <v>0</v>
      </c>
      <c r="AQ772" s="313">
        <f>IFERROR(IF(INDEX([1]Pivot!$BF$1:$CG$65000,$B772,AQ$5)=1,1,IF(INDEX([1]Pivot!$B$1:$AB$65000,$B772,AQ$5)="",2,0)),0)</f>
        <v>0</v>
      </c>
      <c r="AR772" s="313">
        <f>IFERROR(IF(INDEX([1]Pivot!$BF$1:$CG$65000,$B772,AR$5)=1,1,IF(INDEX([1]Pivot!$B$1:$AB$65000,$B772,AR$5)="",2,0)),0)</f>
        <v>0</v>
      </c>
      <c r="AS772" s="312"/>
      <c r="AT772" s="313">
        <f>IFERROR(IF(INDEX([1]Pivot!$BF$1:$CG$65000,$B772,AT$5)=1,1,IF(INDEX([1]Pivot!$B$1:$AB$65000,$B772,AT$5)="",2,0)),0)</f>
        <v>0</v>
      </c>
      <c r="AU772" s="313">
        <f>IFERROR(IF(INDEX([1]Pivot!$BF$1:$CG$65000,$B772,AU$5)=1,1,IF(INDEX([1]Pivot!$B$1:$AB$65000,$B772,AU$5)="",2,0)),0)</f>
        <v>0</v>
      </c>
      <c r="AV772" s="313">
        <f>IFERROR(IF(INDEX([1]Pivot!$BF$1:$CG$65000,$B772,AV$5)=1,1,IF(INDEX([1]Pivot!$B$1:$AB$65000,$B772,AV$5)="",2,0)),0)</f>
        <v>0</v>
      </c>
      <c r="AW772" s="313">
        <f>IFERROR(IF(INDEX([1]Pivot!$BF$1:$CG$65000,$B772,AW$5)=1,1,IF(INDEX([1]Pivot!$B$1:$AB$65000,$B772,AW$5)="",2,0)),0)</f>
        <v>0</v>
      </c>
      <c r="AX772" s="313">
        <f>IFERROR(IF(INDEX([1]Pivot!$BF$1:$CG$65000,$B772,AX$5)=1,1,IF(INDEX([1]Pivot!$B$1:$AB$65000,$B772,AX$5)="",2,0)),0)</f>
        <v>0</v>
      </c>
      <c r="AY772" s="313">
        <f>IFERROR(IF(INDEX([1]Pivot!$BF$1:$CG$65000,$B772,AY$5)=1,1,IF(INDEX([1]Pivot!$B$1:$AB$65000,$B772,AY$5)="",2,0)),0)</f>
        <v>0</v>
      </c>
      <c r="AZ772" s="313">
        <f>IFERROR(IF(INDEX([1]Pivot!$BF$1:$CG$65000,$B772,AZ$5)=1,1,IF(INDEX([1]Pivot!$B$1:$AB$65000,$B772,AZ$5)="",2,0)),0)</f>
        <v>0</v>
      </c>
      <c r="BA772" s="313">
        <f>IFERROR(IF(INDEX([1]Pivot!$BF$1:$CG$65000,$B772,BA$5)=1,1,IF(INDEX([1]Pivot!$B$1:$AB$65000,$B772,BA$5)="",2,0)),0)</f>
        <v>0</v>
      </c>
      <c r="BB772" s="313">
        <f>IFERROR(IF(INDEX([1]Pivot!$BF$1:$CG$65000,$B772,BB$5)=1,1,IF(INDEX([1]Pivot!$B$1:$AB$65000,$B772,BB$5)="",2,0)),0)</f>
        <v>0</v>
      </c>
      <c r="BC772" s="313">
        <f>IFERROR(IF(INDEX([1]Pivot!$BF$1:$CG$65000,$B772,BC$5)=1,1,IF(INDEX([1]Pivot!$B$1:$AB$65000,$B772,BC$5)="",2,0)),0)</f>
        <v>0</v>
      </c>
      <c r="BD772" s="313">
        <f>IFERROR(IF(INDEX([1]Pivot!$BF$1:$CG$65000,$B772,BD$5)=1,1,IF(INDEX([1]Pivot!$B$1:$AB$65000,$B772,BD$5)="",2,0)),0)</f>
        <v>0</v>
      </c>
    </row>
    <row r="773" spans="1:56" x14ac:dyDescent="0.25">
      <c r="A773" s="288">
        <f>'[2]Raw Milk Prices'!A773</f>
        <v>0</v>
      </c>
      <c r="B773" s="296" t="e">
        <f>MATCH(DATE(LEFT('[2]Raw Milk Prices'!$A773,4),RIGHT('[2]Raw Milk Prices'!$A773,2),1),[1]Pivot!$A$1:$A$65000,0)</f>
        <v>#VALUE!</v>
      </c>
      <c r="C773" s="194">
        <f>IFERROR(IF(INDEX([1]Pivot!$AD$1:$BE$65000,$B773,C$5)=1,1,IF(INDEX([1]Pivot!$B$1:$AB$65000,$B773,C$5)="",2,0)),0)</f>
        <v>0</v>
      </c>
      <c r="D773" s="194">
        <f>IFERROR(IF(INDEX([1]Pivot!$AD$1:$BE$65000,$B773,D$5)=1,1,IF(INDEX([1]Pivot!$B$1:$AB$65000,$B773,D$5)="",2,0)),0)</f>
        <v>0</v>
      </c>
      <c r="E773" s="194">
        <f>IFERROR(IF(INDEX([1]Pivot!$AD$1:$BE$65000,$B773,E$5)=1,1,IF(INDEX([1]Pivot!$B$1:$AB$65000,$B773,E$5)="",2,0)),0)</f>
        <v>0</v>
      </c>
      <c r="F773" s="194">
        <f>IFERROR(IF(INDEX([1]Pivot!$AD$1:$BE$65000,$B773,F$5)=1,1,IF(INDEX([1]Pivot!$B$1:$AB$65000,$B773,F$5)="",2,0)),0)</f>
        <v>0</v>
      </c>
      <c r="G773" s="194">
        <f>IFERROR(IF(INDEX([1]Pivot!$AD$1:$BE$65000,$B773,G$5)=1,1,IF(INDEX([1]Pivot!$B$1:$AB$65000,$B773,G$5)="",2,0)),0)</f>
        <v>0</v>
      </c>
      <c r="H773" s="194">
        <f>IFERROR(IF(INDEX([1]Pivot!$AD$1:$BE$65000,$B773,H$5)=1,1,IF(INDEX([1]Pivot!$B$1:$AB$65000,$B773,H$5)="",2,0)),0)</f>
        <v>0</v>
      </c>
      <c r="I773" s="194">
        <f>IFERROR(IF(INDEX([1]Pivot!$AD$1:$BE$65000,$B773,I$5)=1,1,IF(INDEX([1]Pivot!$B$1:$AB$65000,$B773,I$5)="",2,0)),0)</f>
        <v>0</v>
      </c>
      <c r="J773" s="194">
        <f>IFERROR(IF(INDEX([1]Pivot!$AD$1:$BE$65000,$B773,J$5)=1,1,IF(INDEX([1]Pivot!$B$1:$AB$65000,$B773,J$5)="",2,0)),0)</f>
        <v>0</v>
      </c>
      <c r="K773" s="194">
        <f>IFERROR(IF(INDEX([1]Pivot!$AD$1:$BE$65000,$B773,K$5)=1,1,IF(INDEX([1]Pivot!$B$1:$AB$65000,$B773,K$5)="",2,0)),0)</f>
        <v>0</v>
      </c>
      <c r="L773" s="194">
        <f>IFERROR(IF(INDEX([1]Pivot!$AD$1:$BE$65000,$B773,L$5)=1,1,IF(INDEX([1]Pivot!$B$1:$AB$65000,$B773,L$5)="",2,0)),0)</f>
        <v>0</v>
      </c>
      <c r="M773" s="194">
        <f>IFERROR(IF(INDEX([1]Pivot!$AD$1:$BE$65000,$B773,M$5)=1,1,IF(INDEX([1]Pivot!$B$1:$AB$65000,$B773,M$5)="",2,0)),0)</f>
        <v>0</v>
      </c>
      <c r="N773" s="194">
        <f>IFERROR(IF(INDEX([1]Pivot!$AD$1:$BE$65000,$B773,N$5)=1,1,IF(INDEX([1]Pivot!$B$1:$AB$65000,$B773,N$5)="",2,0)),0)</f>
        <v>0</v>
      </c>
      <c r="O773" s="194">
        <f>IFERROR(IF(INDEX([1]Pivot!$AD$1:$BE$65000,$B773,O$5)=1,1,IF(INDEX([1]Pivot!$B$1:$AB$65000,$B773,O$5)="",2,0)),0)</f>
        <v>0</v>
      </c>
      <c r="P773" s="194">
        <f>IFERROR(IF(INDEX([1]Pivot!$AD$1:$BE$65000,$B773,P$5)=1,1,IF(INDEX([1]Pivot!$B$1:$AB$65000,$B773,P$5)="",2,0)),0)</f>
        <v>0</v>
      </c>
      <c r="Q773" s="194">
        <f>IFERROR(IF(INDEX([1]Pivot!$AD$1:$BE$65000,$B773,Q$5)=1,1,IF(INDEX([1]Pivot!$B$1:$AB$65000,$B773,Q$5)="",2,0)),0)</f>
        <v>0</v>
      </c>
      <c r="R773" s="312"/>
      <c r="S773" s="194">
        <f>IFERROR(IF(INDEX([1]Pivot!$AD$1:$BE$65000,$B773,S$5)=1,1,IF(INDEX([1]Pivot!$B$1:$AB$65000,$B773,S$5)="",2,0)),0)</f>
        <v>0</v>
      </c>
      <c r="T773" s="194">
        <f>IFERROR(IF(INDEX([1]Pivot!$AD$1:$BE$65000,$B773,T$5)=1,1,IF(INDEX([1]Pivot!$B$1:$AB$65000,$B773,T$5)="",2,0)),0)</f>
        <v>0</v>
      </c>
      <c r="U773" s="194">
        <f>IFERROR(IF(INDEX([1]Pivot!$AD$1:$BE$65000,$B773,U$5)=1,1,IF(INDEX([1]Pivot!$B$1:$AB$65000,$B773,U$5)="",2,0)),0)</f>
        <v>0</v>
      </c>
      <c r="V773" s="194">
        <f>IFERROR(IF(INDEX([1]Pivot!$AD$1:$BE$65000,$B773,V$5)=1,1,IF(INDEX([1]Pivot!$B$1:$AB$65000,$B773,V$5)="",2,0)),0)</f>
        <v>0</v>
      </c>
      <c r="W773" s="194">
        <f>IFERROR(IF(INDEX([1]Pivot!$AD$1:$BE$65000,$B773,W$5)=1,1,IF(INDEX([1]Pivot!$B$1:$AB$65000,$B773,W$5)="",2,0)),0)</f>
        <v>0</v>
      </c>
      <c r="X773" s="194">
        <f>IFERROR(IF(INDEX([1]Pivot!$AD$1:$BE$65000,$B773,X$5)=1,1,IF(INDEX([1]Pivot!$B$1:$AB$65000,$B773,X$5)="",2,0)),0)</f>
        <v>0</v>
      </c>
      <c r="Y773" s="194">
        <f>IFERROR(IF(INDEX([1]Pivot!$AD$1:$BE$65000,$B773,Y$5)=1,1,IF(INDEX([1]Pivot!$B$1:$AB$65000,$B773,Y$5)="",2,0)),0)</f>
        <v>0</v>
      </c>
      <c r="Z773" s="194">
        <f>IFERROR(IF(INDEX([1]Pivot!$AD$1:$BE$65000,$B773,Z$5)=1,1,IF(INDEX([1]Pivot!$B$1:$AB$65000,$B773,Z$5)="",2,0)),0)</f>
        <v>0</v>
      </c>
      <c r="AA773" s="194">
        <f>IFERROR(IF(INDEX([1]Pivot!$AD$1:$BE$65000,$B773,AA$5)=1,1,IF(INDEX([1]Pivot!$B$1:$AB$65000,$B773,AA$5)="",2,0)),0)</f>
        <v>0</v>
      </c>
      <c r="AB773" s="194">
        <f>IFERROR(IF(INDEX([1]Pivot!$AD$1:$BE$65000,$B773,AB$5)=1,1,IF(INDEX([1]Pivot!$B$1:$AB$65000,$B773,AB$5)="",2,0)),0)</f>
        <v>0</v>
      </c>
      <c r="AC773" s="194">
        <f>IFERROR(IF(INDEX([1]Pivot!$AD$1:$BE$65000,$B773,AC$5)=1,1,IF(INDEX([1]Pivot!$B$1:$AB$65000,$B773,AC$5)="",2,0)),0)</f>
        <v>0</v>
      </c>
      <c r="AD773" s="313">
        <f>IFERROR(IF(INDEX([1]Pivot!$BF$1:$CG$65000,$B773,AD$5)=1,1,IF(INDEX([1]Pivot!$B$1:$AB$65000,$B773,AD$5)="",2,0)),0)</f>
        <v>0</v>
      </c>
      <c r="AE773" s="313">
        <f>IFERROR(IF(INDEX([1]Pivot!$BF$1:$CG$65000,$B773,AE$5)=1,1,IF(INDEX([1]Pivot!$B$1:$AB$65000,$B773,AE$5)="",2,0)),0)</f>
        <v>0</v>
      </c>
      <c r="AF773" s="313">
        <f>IFERROR(IF(INDEX([1]Pivot!$BF$1:$CG$65000,$B773,AF$5)=1,1,IF(INDEX([1]Pivot!$B$1:$AB$65000,$B773,AF$5)="",2,0)),0)</f>
        <v>0</v>
      </c>
      <c r="AG773" s="313">
        <f>IFERROR(IF(INDEX([1]Pivot!$BF$1:$CG$65000,$B773,AG$5)=1,1,IF(INDEX([1]Pivot!$B$1:$AB$65000,$B773,AG$5)="",2,0)),0)</f>
        <v>0</v>
      </c>
      <c r="AH773" s="313">
        <f>IFERROR(IF(INDEX([1]Pivot!$BF$1:$CG$65000,$B773,AH$5)=1,1,IF(INDEX([1]Pivot!$B$1:$AB$65000,$B773,AH$5)="",2,0)),0)</f>
        <v>0</v>
      </c>
      <c r="AI773" s="313">
        <f>IFERROR(IF(INDEX([1]Pivot!$BF$1:$CG$65000,$B773,AI$5)=1,1,IF(INDEX([1]Pivot!$B$1:$AB$65000,$B773,AI$5)="",2,0)),0)</f>
        <v>0</v>
      </c>
      <c r="AJ773" s="313">
        <f>IFERROR(IF(INDEX([1]Pivot!$BF$1:$CG$65000,$B773,AJ$5)=1,1,IF(INDEX([1]Pivot!$B$1:$AB$65000,$B773,AJ$5)="",2,0)),0)</f>
        <v>0</v>
      </c>
      <c r="AK773" s="313">
        <f>IFERROR(IF(INDEX([1]Pivot!$BF$1:$CG$65000,$B773,AK$5)=1,1,IF(INDEX([1]Pivot!$B$1:$AB$65000,$B773,AK$5)="",2,0)),0)</f>
        <v>0</v>
      </c>
      <c r="AL773" s="313">
        <f>IFERROR(IF(INDEX([1]Pivot!$BF$1:$CG$65000,$B773,AL$5)=1,1,IF(INDEX([1]Pivot!$B$1:$AB$65000,$B773,AL$5)="",2,0)),0)</f>
        <v>0</v>
      </c>
      <c r="AM773" s="313">
        <f>IFERROR(IF(INDEX([1]Pivot!$BF$1:$CG$65000,$B773,AM$5)=1,1,IF(INDEX([1]Pivot!$B$1:$AB$65000,$B773,AM$5)="",2,0)),0)</f>
        <v>0</v>
      </c>
      <c r="AN773" s="313">
        <f>IFERROR(IF(INDEX([1]Pivot!$BF$1:$CG$65000,$B773,AN$5)=1,1,IF(INDEX([1]Pivot!$B$1:$AB$65000,$B773,AN$5)="",2,0)),0)</f>
        <v>0</v>
      </c>
      <c r="AO773" s="313">
        <f>IFERROR(IF(INDEX([1]Pivot!$BF$1:$CG$65000,$B773,AO$5)=1,1,IF(INDEX([1]Pivot!$B$1:$AB$65000,$B773,AO$5)="",2,0)),0)</f>
        <v>0</v>
      </c>
      <c r="AP773" s="313">
        <f>IFERROR(IF(INDEX([1]Pivot!$BF$1:$CG$65000,$B773,AP$5)=1,1,IF(INDEX([1]Pivot!$B$1:$AB$65000,$B773,AP$5)="",2,0)),0)</f>
        <v>0</v>
      </c>
      <c r="AQ773" s="313">
        <f>IFERROR(IF(INDEX([1]Pivot!$BF$1:$CG$65000,$B773,AQ$5)=1,1,IF(INDEX([1]Pivot!$B$1:$AB$65000,$B773,AQ$5)="",2,0)),0)</f>
        <v>0</v>
      </c>
      <c r="AR773" s="313">
        <f>IFERROR(IF(INDEX([1]Pivot!$BF$1:$CG$65000,$B773,AR$5)=1,1,IF(INDEX([1]Pivot!$B$1:$AB$65000,$B773,AR$5)="",2,0)),0)</f>
        <v>0</v>
      </c>
      <c r="AS773" s="312"/>
      <c r="AT773" s="313">
        <f>IFERROR(IF(INDEX([1]Pivot!$BF$1:$CG$65000,$B773,AT$5)=1,1,IF(INDEX([1]Pivot!$B$1:$AB$65000,$B773,AT$5)="",2,0)),0)</f>
        <v>0</v>
      </c>
      <c r="AU773" s="313">
        <f>IFERROR(IF(INDEX([1]Pivot!$BF$1:$CG$65000,$B773,AU$5)=1,1,IF(INDEX([1]Pivot!$B$1:$AB$65000,$B773,AU$5)="",2,0)),0)</f>
        <v>0</v>
      </c>
      <c r="AV773" s="313">
        <f>IFERROR(IF(INDEX([1]Pivot!$BF$1:$CG$65000,$B773,AV$5)=1,1,IF(INDEX([1]Pivot!$B$1:$AB$65000,$B773,AV$5)="",2,0)),0)</f>
        <v>0</v>
      </c>
      <c r="AW773" s="313">
        <f>IFERROR(IF(INDEX([1]Pivot!$BF$1:$CG$65000,$B773,AW$5)=1,1,IF(INDEX([1]Pivot!$B$1:$AB$65000,$B773,AW$5)="",2,0)),0)</f>
        <v>0</v>
      </c>
      <c r="AX773" s="313">
        <f>IFERROR(IF(INDEX([1]Pivot!$BF$1:$CG$65000,$B773,AX$5)=1,1,IF(INDEX([1]Pivot!$B$1:$AB$65000,$B773,AX$5)="",2,0)),0)</f>
        <v>0</v>
      </c>
      <c r="AY773" s="313">
        <f>IFERROR(IF(INDEX([1]Pivot!$BF$1:$CG$65000,$B773,AY$5)=1,1,IF(INDEX([1]Pivot!$B$1:$AB$65000,$B773,AY$5)="",2,0)),0)</f>
        <v>0</v>
      </c>
      <c r="AZ773" s="313">
        <f>IFERROR(IF(INDEX([1]Pivot!$BF$1:$CG$65000,$B773,AZ$5)=1,1,IF(INDEX([1]Pivot!$B$1:$AB$65000,$B773,AZ$5)="",2,0)),0)</f>
        <v>0</v>
      </c>
      <c r="BA773" s="313">
        <f>IFERROR(IF(INDEX([1]Pivot!$BF$1:$CG$65000,$B773,BA$5)=1,1,IF(INDEX([1]Pivot!$B$1:$AB$65000,$B773,BA$5)="",2,0)),0)</f>
        <v>0</v>
      </c>
      <c r="BB773" s="313">
        <f>IFERROR(IF(INDEX([1]Pivot!$BF$1:$CG$65000,$B773,BB$5)=1,1,IF(INDEX([1]Pivot!$B$1:$AB$65000,$B773,BB$5)="",2,0)),0)</f>
        <v>0</v>
      </c>
      <c r="BC773" s="313">
        <f>IFERROR(IF(INDEX([1]Pivot!$BF$1:$CG$65000,$B773,BC$5)=1,1,IF(INDEX([1]Pivot!$B$1:$AB$65000,$B773,BC$5)="",2,0)),0)</f>
        <v>0</v>
      </c>
      <c r="BD773" s="313">
        <f>IFERROR(IF(INDEX([1]Pivot!$BF$1:$CG$65000,$B773,BD$5)=1,1,IF(INDEX([1]Pivot!$B$1:$AB$65000,$B773,BD$5)="",2,0)),0)</f>
        <v>0</v>
      </c>
    </row>
    <row r="774" spans="1:56" x14ac:dyDescent="0.25">
      <c r="A774" s="288">
        <f>'[2]Raw Milk Prices'!A774</f>
        <v>0</v>
      </c>
      <c r="B774" s="296" t="e">
        <f>MATCH(DATE(LEFT('[2]Raw Milk Prices'!$A774,4),RIGHT('[2]Raw Milk Prices'!$A774,2),1),[1]Pivot!$A$1:$A$65000,0)</f>
        <v>#VALUE!</v>
      </c>
      <c r="C774" s="194">
        <f>IFERROR(IF(INDEX([1]Pivot!$AD$1:$BE$65000,$B774,C$5)=1,1,IF(INDEX([1]Pivot!$B$1:$AB$65000,$B774,C$5)="",2,0)),0)</f>
        <v>0</v>
      </c>
      <c r="D774" s="194">
        <f>IFERROR(IF(INDEX([1]Pivot!$AD$1:$BE$65000,$B774,D$5)=1,1,IF(INDEX([1]Pivot!$B$1:$AB$65000,$B774,D$5)="",2,0)),0)</f>
        <v>0</v>
      </c>
      <c r="E774" s="194">
        <f>IFERROR(IF(INDEX([1]Pivot!$AD$1:$BE$65000,$B774,E$5)=1,1,IF(INDEX([1]Pivot!$B$1:$AB$65000,$B774,E$5)="",2,0)),0)</f>
        <v>0</v>
      </c>
      <c r="F774" s="194">
        <f>IFERROR(IF(INDEX([1]Pivot!$AD$1:$BE$65000,$B774,F$5)=1,1,IF(INDEX([1]Pivot!$B$1:$AB$65000,$B774,F$5)="",2,0)),0)</f>
        <v>0</v>
      </c>
      <c r="G774" s="194">
        <f>IFERROR(IF(INDEX([1]Pivot!$AD$1:$BE$65000,$B774,G$5)=1,1,IF(INDEX([1]Pivot!$B$1:$AB$65000,$B774,G$5)="",2,0)),0)</f>
        <v>0</v>
      </c>
      <c r="H774" s="194">
        <f>IFERROR(IF(INDEX([1]Pivot!$AD$1:$BE$65000,$B774,H$5)=1,1,IF(INDEX([1]Pivot!$B$1:$AB$65000,$B774,H$5)="",2,0)),0)</f>
        <v>0</v>
      </c>
      <c r="I774" s="194">
        <f>IFERROR(IF(INDEX([1]Pivot!$AD$1:$BE$65000,$B774,I$5)=1,1,IF(INDEX([1]Pivot!$B$1:$AB$65000,$B774,I$5)="",2,0)),0)</f>
        <v>0</v>
      </c>
      <c r="J774" s="194">
        <f>IFERROR(IF(INDEX([1]Pivot!$AD$1:$BE$65000,$B774,J$5)=1,1,IF(INDEX([1]Pivot!$B$1:$AB$65000,$B774,J$5)="",2,0)),0)</f>
        <v>0</v>
      </c>
      <c r="K774" s="194">
        <f>IFERROR(IF(INDEX([1]Pivot!$AD$1:$BE$65000,$B774,K$5)=1,1,IF(INDEX([1]Pivot!$B$1:$AB$65000,$B774,K$5)="",2,0)),0)</f>
        <v>0</v>
      </c>
      <c r="L774" s="194">
        <f>IFERROR(IF(INDEX([1]Pivot!$AD$1:$BE$65000,$B774,L$5)=1,1,IF(INDEX([1]Pivot!$B$1:$AB$65000,$B774,L$5)="",2,0)),0)</f>
        <v>0</v>
      </c>
      <c r="M774" s="194">
        <f>IFERROR(IF(INDEX([1]Pivot!$AD$1:$BE$65000,$B774,M$5)=1,1,IF(INDEX([1]Pivot!$B$1:$AB$65000,$B774,M$5)="",2,0)),0)</f>
        <v>0</v>
      </c>
      <c r="N774" s="194">
        <f>IFERROR(IF(INDEX([1]Pivot!$AD$1:$BE$65000,$B774,N$5)=1,1,IF(INDEX([1]Pivot!$B$1:$AB$65000,$B774,N$5)="",2,0)),0)</f>
        <v>0</v>
      </c>
      <c r="O774" s="194">
        <f>IFERROR(IF(INDEX([1]Pivot!$AD$1:$BE$65000,$B774,O$5)=1,1,IF(INDEX([1]Pivot!$B$1:$AB$65000,$B774,O$5)="",2,0)),0)</f>
        <v>0</v>
      </c>
      <c r="P774" s="194">
        <f>IFERROR(IF(INDEX([1]Pivot!$AD$1:$BE$65000,$B774,P$5)=1,1,IF(INDEX([1]Pivot!$B$1:$AB$65000,$B774,P$5)="",2,0)),0)</f>
        <v>0</v>
      </c>
      <c r="Q774" s="194">
        <f>IFERROR(IF(INDEX([1]Pivot!$AD$1:$BE$65000,$B774,Q$5)=1,1,IF(INDEX([1]Pivot!$B$1:$AB$65000,$B774,Q$5)="",2,0)),0)</f>
        <v>0</v>
      </c>
      <c r="R774" s="312"/>
      <c r="S774" s="194">
        <f>IFERROR(IF(INDEX([1]Pivot!$AD$1:$BE$65000,$B774,S$5)=1,1,IF(INDEX([1]Pivot!$B$1:$AB$65000,$B774,S$5)="",2,0)),0)</f>
        <v>0</v>
      </c>
      <c r="T774" s="194">
        <f>IFERROR(IF(INDEX([1]Pivot!$AD$1:$BE$65000,$B774,T$5)=1,1,IF(INDEX([1]Pivot!$B$1:$AB$65000,$B774,T$5)="",2,0)),0)</f>
        <v>0</v>
      </c>
      <c r="U774" s="194">
        <f>IFERROR(IF(INDEX([1]Pivot!$AD$1:$BE$65000,$B774,U$5)=1,1,IF(INDEX([1]Pivot!$B$1:$AB$65000,$B774,U$5)="",2,0)),0)</f>
        <v>0</v>
      </c>
      <c r="V774" s="194">
        <f>IFERROR(IF(INDEX([1]Pivot!$AD$1:$BE$65000,$B774,V$5)=1,1,IF(INDEX([1]Pivot!$B$1:$AB$65000,$B774,V$5)="",2,0)),0)</f>
        <v>0</v>
      </c>
      <c r="W774" s="194">
        <f>IFERROR(IF(INDEX([1]Pivot!$AD$1:$BE$65000,$B774,W$5)=1,1,IF(INDEX([1]Pivot!$B$1:$AB$65000,$B774,W$5)="",2,0)),0)</f>
        <v>0</v>
      </c>
      <c r="X774" s="194">
        <f>IFERROR(IF(INDEX([1]Pivot!$AD$1:$BE$65000,$B774,X$5)=1,1,IF(INDEX([1]Pivot!$B$1:$AB$65000,$B774,X$5)="",2,0)),0)</f>
        <v>0</v>
      </c>
      <c r="Y774" s="194">
        <f>IFERROR(IF(INDEX([1]Pivot!$AD$1:$BE$65000,$B774,Y$5)=1,1,IF(INDEX([1]Pivot!$B$1:$AB$65000,$B774,Y$5)="",2,0)),0)</f>
        <v>0</v>
      </c>
      <c r="Z774" s="194">
        <f>IFERROR(IF(INDEX([1]Pivot!$AD$1:$BE$65000,$B774,Z$5)=1,1,IF(INDEX([1]Pivot!$B$1:$AB$65000,$B774,Z$5)="",2,0)),0)</f>
        <v>0</v>
      </c>
      <c r="AA774" s="194">
        <f>IFERROR(IF(INDEX([1]Pivot!$AD$1:$BE$65000,$B774,AA$5)=1,1,IF(INDEX([1]Pivot!$B$1:$AB$65000,$B774,AA$5)="",2,0)),0)</f>
        <v>0</v>
      </c>
      <c r="AB774" s="194">
        <f>IFERROR(IF(INDEX([1]Pivot!$AD$1:$BE$65000,$B774,AB$5)=1,1,IF(INDEX([1]Pivot!$B$1:$AB$65000,$B774,AB$5)="",2,0)),0)</f>
        <v>0</v>
      </c>
      <c r="AC774" s="194">
        <f>IFERROR(IF(INDEX([1]Pivot!$AD$1:$BE$65000,$B774,AC$5)=1,1,IF(INDEX([1]Pivot!$B$1:$AB$65000,$B774,AC$5)="",2,0)),0)</f>
        <v>0</v>
      </c>
      <c r="AD774" s="313">
        <f>IFERROR(IF(INDEX([1]Pivot!$BF$1:$CG$65000,$B774,AD$5)=1,1,IF(INDEX([1]Pivot!$B$1:$AB$65000,$B774,AD$5)="",2,0)),0)</f>
        <v>0</v>
      </c>
      <c r="AE774" s="313">
        <f>IFERROR(IF(INDEX([1]Pivot!$BF$1:$CG$65000,$B774,AE$5)=1,1,IF(INDEX([1]Pivot!$B$1:$AB$65000,$B774,AE$5)="",2,0)),0)</f>
        <v>0</v>
      </c>
      <c r="AF774" s="313">
        <f>IFERROR(IF(INDEX([1]Pivot!$BF$1:$CG$65000,$B774,AF$5)=1,1,IF(INDEX([1]Pivot!$B$1:$AB$65000,$B774,AF$5)="",2,0)),0)</f>
        <v>0</v>
      </c>
      <c r="AG774" s="313">
        <f>IFERROR(IF(INDEX([1]Pivot!$BF$1:$CG$65000,$B774,AG$5)=1,1,IF(INDEX([1]Pivot!$B$1:$AB$65000,$B774,AG$5)="",2,0)),0)</f>
        <v>0</v>
      </c>
      <c r="AH774" s="313">
        <f>IFERROR(IF(INDEX([1]Pivot!$BF$1:$CG$65000,$B774,AH$5)=1,1,IF(INDEX([1]Pivot!$B$1:$AB$65000,$B774,AH$5)="",2,0)),0)</f>
        <v>0</v>
      </c>
      <c r="AI774" s="313">
        <f>IFERROR(IF(INDEX([1]Pivot!$BF$1:$CG$65000,$B774,AI$5)=1,1,IF(INDEX([1]Pivot!$B$1:$AB$65000,$B774,AI$5)="",2,0)),0)</f>
        <v>0</v>
      </c>
      <c r="AJ774" s="313">
        <f>IFERROR(IF(INDEX([1]Pivot!$BF$1:$CG$65000,$B774,AJ$5)=1,1,IF(INDEX([1]Pivot!$B$1:$AB$65000,$B774,AJ$5)="",2,0)),0)</f>
        <v>0</v>
      </c>
      <c r="AK774" s="313">
        <f>IFERROR(IF(INDEX([1]Pivot!$BF$1:$CG$65000,$B774,AK$5)=1,1,IF(INDEX([1]Pivot!$B$1:$AB$65000,$B774,AK$5)="",2,0)),0)</f>
        <v>0</v>
      </c>
      <c r="AL774" s="313">
        <f>IFERROR(IF(INDEX([1]Pivot!$BF$1:$CG$65000,$B774,AL$5)=1,1,IF(INDEX([1]Pivot!$B$1:$AB$65000,$B774,AL$5)="",2,0)),0)</f>
        <v>0</v>
      </c>
      <c r="AM774" s="313">
        <f>IFERROR(IF(INDEX([1]Pivot!$BF$1:$CG$65000,$B774,AM$5)=1,1,IF(INDEX([1]Pivot!$B$1:$AB$65000,$B774,AM$5)="",2,0)),0)</f>
        <v>0</v>
      </c>
      <c r="AN774" s="313">
        <f>IFERROR(IF(INDEX([1]Pivot!$BF$1:$CG$65000,$B774,AN$5)=1,1,IF(INDEX([1]Pivot!$B$1:$AB$65000,$B774,AN$5)="",2,0)),0)</f>
        <v>0</v>
      </c>
      <c r="AO774" s="313">
        <f>IFERROR(IF(INDEX([1]Pivot!$BF$1:$CG$65000,$B774,AO$5)=1,1,IF(INDEX([1]Pivot!$B$1:$AB$65000,$B774,AO$5)="",2,0)),0)</f>
        <v>0</v>
      </c>
      <c r="AP774" s="313">
        <f>IFERROR(IF(INDEX([1]Pivot!$BF$1:$CG$65000,$B774,AP$5)=1,1,IF(INDEX([1]Pivot!$B$1:$AB$65000,$B774,AP$5)="",2,0)),0)</f>
        <v>0</v>
      </c>
      <c r="AQ774" s="313">
        <f>IFERROR(IF(INDEX([1]Pivot!$BF$1:$CG$65000,$B774,AQ$5)=1,1,IF(INDEX([1]Pivot!$B$1:$AB$65000,$B774,AQ$5)="",2,0)),0)</f>
        <v>0</v>
      </c>
      <c r="AR774" s="313">
        <f>IFERROR(IF(INDEX([1]Pivot!$BF$1:$CG$65000,$B774,AR$5)=1,1,IF(INDEX([1]Pivot!$B$1:$AB$65000,$B774,AR$5)="",2,0)),0)</f>
        <v>0</v>
      </c>
      <c r="AS774" s="312"/>
      <c r="AT774" s="313">
        <f>IFERROR(IF(INDEX([1]Pivot!$BF$1:$CG$65000,$B774,AT$5)=1,1,IF(INDEX([1]Pivot!$B$1:$AB$65000,$B774,AT$5)="",2,0)),0)</f>
        <v>0</v>
      </c>
      <c r="AU774" s="313">
        <f>IFERROR(IF(INDEX([1]Pivot!$BF$1:$CG$65000,$B774,AU$5)=1,1,IF(INDEX([1]Pivot!$B$1:$AB$65000,$B774,AU$5)="",2,0)),0)</f>
        <v>0</v>
      </c>
      <c r="AV774" s="313">
        <f>IFERROR(IF(INDEX([1]Pivot!$BF$1:$CG$65000,$B774,AV$5)=1,1,IF(INDEX([1]Pivot!$B$1:$AB$65000,$B774,AV$5)="",2,0)),0)</f>
        <v>0</v>
      </c>
      <c r="AW774" s="313">
        <f>IFERROR(IF(INDEX([1]Pivot!$BF$1:$CG$65000,$B774,AW$5)=1,1,IF(INDEX([1]Pivot!$B$1:$AB$65000,$B774,AW$5)="",2,0)),0)</f>
        <v>0</v>
      </c>
      <c r="AX774" s="313">
        <f>IFERROR(IF(INDEX([1]Pivot!$BF$1:$CG$65000,$B774,AX$5)=1,1,IF(INDEX([1]Pivot!$B$1:$AB$65000,$B774,AX$5)="",2,0)),0)</f>
        <v>0</v>
      </c>
      <c r="AY774" s="313">
        <f>IFERROR(IF(INDEX([1]Pivot!$BF$1:$CG$65000,$B774,AY$5)=1,1,IF(INDEX([1]Pivot!$B$1:$AB$65000,$B774,AY$5)="",2,0)),0)</f>
        <v>0</v>
      </c>
      <c r="AZ774" s="313">
        <f>IFERROR(IF(INDEX([1]Pivot!$BF$1:$CG$65000,$B774,AZ$5)=1,1,IF(INDEX([1]Pivot!$B$1:$AB$65000,$B774,AZ$5)="",2,0)),0)</f>
        <v>0</v>
      </c>
      <c r="BA774" s="313">
        <f>IFERROR(IF(INDEX([1]Pivot!$BF$1:$CG$65000,$B774,BA$5)=1,1,IF(INDEX([1]Pivot!$B$1:$AB$65000,$B774,BA$5)="",2,0)),0)</f>
        <v>0</v>
      </c>
      <c r="BB774" s="313">
        <f>IFERROR(IF(INDEX([1]Pivot!$BF$1:$CG$65000,$B774,BB$5)=1,1,IF(INDEX([1]Pivot!$B$1:$AB$65000,$B774,BB$5)="",2,0)),0)</f>
        <v>0</v>
      </c>
      <c r="BC774" s="313">
        <f>IFERROR(IF(INDEX([1]Pivot!$BF$1:$CG$65000,$B774,BC$5)=1,1,IF(INDEX([1]Pivot!$B$1:$AB$65000,$B774,BC$5)="",2,0)),0)</f>
        <v>0</v>
      </c>
      <c r="BD774" s="313">
        <f>IFERROR(IF(INDEX([1]Pivot!$BF$1:$CG$65000,$B774,BD$5)=1,1,IF(INDEX([1]Pivot!$B$1:$AB$65000,$B774,BD$5)="",2,0)),0)</f>
        <v>0</v>
      </c>
    </row>
    <row r="775" spans="1:56" x14ac:dyDescent="0.25">
      <c r="A775" s="288">
        <f>'[2]Raw Milk Prices'!A775</f>
        <v>0</v>
      </c>
      <c r="B775" s="296" t="e">
        <f>MATCH(DATE(LEFT('[2]Raw Milk Prices'!$A775,4),RIGHT('[2]Raw Milk Prices'!$A775,2),1),[1]Pivot!$A$1:$A$65000,0)</f>
        <v>#VALUE!</v>
      </c>
      <c r="C775" s="194">
        <f>IFERROR(IF(INDEX([1]Pivot!$AD$1:$BE$65000,$B775,C$5)=1,1,IF(INDEX([1]Pivot!$B$1:$AB$65000,$B775,C$5)="",2,0)),0)</f>
        <v>0</v>
      </c>
      <c r="D775" s="194">
        <f>IFERROR(IF(INDEX([1]Pivot!$AD$1:$BE$65000,$B775,D$5)=1,1,IF(INDEX([1]Pivot!$B$1:$AB$65000,$B775,D$5)="",2,0)),0)</f>
        <v>0</v>
      </c>
      <c r="E775" s="194">
        <f>IFERROR(IF(INDEX([1]Pivot!$AD$1:$BE$65000,$B775,E$5)=1,1,IF(INDEX([1]Pivot!$B$1:$AB$65000,$B775,E$5)="",2,0)),0)</f>
        <v>0</v>
      </c>
      <c r="F775" s="194">
        <f>IFERROR(IF(INDEX([1]Pivot!$AD$1:$BE$65000,$B775,F$5)=1,1,IF(INDEX([1]Pivot!$B$1:$AB$65000,$B775,F$5)="",2,0)),0)</f>
        <v>0</v>
      </c>
      <c r="G775" s="194">
        <f>IFERROR(IF(INDEX([1]Pivot!$AD$1:$BE$65000,$B775,G$5)=1,1,IF(INDEX([1]Pivot!$B$1:$AB$65000,$B775,G$5)="",2,0)),0)</f>
        <v>0</v>
      </c>
      <c r="H775" s="194">
        <f>IFERROR(IF(INDEX([1]Pivot!$AD$1:$BE$65000,$B775,H$5)=1,1,IF(INDEX([1]Pivot!$B$1:$AB$65000,$B775,H$5)="",2,0)),0)</f>
        <v>0</v>
      </c>
      <c r="I775" s="194">
        <f>IFERROR(IF(INDEX([1]Pivot!$AD$1:$BE$65000,$B775,I$5)=1,1,IF(INDEX([1]Pivot!$B$1:$AB$65000,$B775,I$5)="",2,0)),0)</f>
        <v>0</v>
      </c>
      <c r="J775" s="194">
        <f>IFERROR(IF(INDEX([1]Pivot!$AD$1:$BE$65000,$B775,J$5)=1,1,IF(INDEX([1]Pivot!$B$1:$AB$65000,$B775,J$5)="",2,0)),0)</f>
        <v>0</v>
      </c>
      <c r="K775" s="194">
        <f>IFERROR(IF(INDEX([1]Pivot!$AD$1:$BE$65000,$B775,K$5)=1,1,IF(INDEX([1]Pivot!$B$1:$AB$65000,$B775,K$5)="",2,0)),0)</f>
        <v>0</v>
      </c>
      <c r="L775" s="194">
        <f>IFERROR(IF(INDEX([1]Pivot!$AD$1:$BE$65000,$B775,L$5)=1,1,IF(INDEX([1]Pivot!$B$1:$AB$65000,$B775,L$5)="",2,0)),0)</f>
        <v>0</v>
      </c>
      <c r="M775" s="194">
        <f>IFERROR(IF(INDEX([1]Pivot!$AD$1:$BE$65000,$B775,M$5)=1,1,IF(INDEX([1]Pivot!$B$1:$AB$65000,$B775,M$5)="",2,0)),0)</f>
        <v>0</v>
      </c>
      <c r="N775" s="194">
        <f>IFERROR(IF(INDEX([1]Pivot!$AD$1:$BE$65000,$B775,N$5)=1,1,IF(INDEX([1]Pivot!$B$1:$AB$65000,$B775,N$5)="",2,0)),0)</f>
        <v>0</v>
      </c>
      <c r="O775" s="194">
        <f>IFERROR(IF(INDEX([1]Pivot!$AD$1:$BE$65000,$B775,O$5)=1,1,IF(INDEX([1]Pivot!$B$1:$AB$65000,$B775,O$5)="",2,0)),0)</f>
        <v>0</v>
      </c>
      <c r="P775" s="194">
        <f>IFERROR(IF(INDEX([1]Pivot!$AD$1:$BE$65000,$B775,P$5)=1,1,IF(INDEX([1]Pivot!$B$1:$AB$65000,$B775,P$5)="",2,0)),0)</f>
        <v>0</v>
      </c>
      <c r="Q775" s="194">
        <f>IFERROR(IF(INDEX([1]Pivot!$AD$1:$BE$65000,$B775,Q$5)=1,1,IF(INDEX([1]Pivot!$B$1:$AB$65000,$B775,Q$5)="",2,0)),0)</f>
        <v>0</v>
      </c>
      <c r="R775" s="312"/>
      <c r="S775" s="194">
        <f>IFERROR(IF(INDEX([1]Pivot!$AD$1:$BE$65000,$B775,S$5)=1,1,IF(INDEX([1]Pivot!$B$1:$AB$65000,$B775,S$5)="",2,0)),0)</f>
        <v>0</v>
      </c>
      <c r="T775" s="194">
        <f>IFERROR(IF(INDEX([1]Pivot!$AD$1:$BE$65000,$B775,T$5)=1,1,IF(INDEX([1]Pivot!$B$1:$AB$65000,$B775,T$5)="",2,0)),0)</f>
        <v>0</v>
      </c>
      <c r="U775" s="194">
        <f>IFERROR(IF(INDEX([1]Pivot!$AD$1:$BE$65000,$B775,U$5)=1,1,IF(INDEX([1]Pivot!$B$1:$AB$65000,$B775,U$5)="",2,0)),0)</f>
        <v>0</v>
      </c>
      <c r="V775" s="194">
        <f>IFERROR(IF(INDEX([1]Pivot!$AD$1:$BE$65000,$B775,V$5)=1,1,IF(INDEX([1]Pivot!$B$1:$AB$65000,$B775,V$5)="",2,0)),0)</f>
        <v>0</v>
      </c>
      <c r="W775" s="194">
        <f>IFERROR(IF(INDEX([1]Pivot!$AD$1:$BE$65000,$B775,W$5)=1,1,IF(INDEX([1]Pivot!$B$1:$AB$65000,$B775,W$5)="",2,0)),0)</f>
        <v>0</v>
      </c>
      <c r="X775" s="194">
        <f>IFERROR(IF(INDEX([1]Pivot!$AD$1:$BE$65000,$B775,X$5)=1,1,IF(INDEX([1]Pivot!$B$1:$AB$65000,$B775,X$5)="",2,0)),0)</f>
        <v>0</v>
      </c>
      <c r="Y775" s="194">
        <f>IFERROR(IF(INDEX([1]Pivot!$AD$1:$BE$65000,$B775,Y$5)=1,1,IF(INDEX([1]Pivot!$B$1:$AB$65000,$B775,Y$5)="",2,0)),0)</f>
        <v>0</v>
      </c>
      <c r="Z775" s="194">
        <f>IFERROR(IF(INDEX([1]Pivot!$AD$1:$BE$65000,$B775,Z$5)=1,1,IF(INDEX([1]Pivot!$B$1:$AB$65000,$B775,Z$5)="",2,0)),0)</f>
        <v>0</v>
      </c>
      <c r="AA775" s="194">
        <f>IFERROR(IF(INDEX([1]Pivot!$AD$1:$BE$65000,$B775,AA$5)=1,1,IF(INDEX([1]Pivot!$B$1:$AB$65000,$B775,AA$5)="",2,0)),0)</f>
        <v>0</v>
      </c>
      <c r="AB775" s="194">
        <f>IFERROR(IF(INDEX([1]Pivot!$AD$1:$BE$65000,$B775,AB$5)=1,1,IF(INDEX([1]Pivot!$B$1:$AB$65000,$B775,AB$5)="",2,0)),0)</f>
        <v>0</v>
      </c>
      <c r="AC775" s="194">
        <f>IFERROR(IF(INDEX([1]Pivot!$AD$1:$BE$65000,$B775,AC$5)=1,1,IF(INDEX([1]Pivot!$B$1:$AB$65000,$B775,AC$5)="",2,0)),0)</f>
        <v>0</v>
      </c>
      <c r="AD775" s="313">
        <f>IFERROR(IF(INDEX([1]Pivot!$BF$1:$CG$65000,$B775,AD$5)=1,1,IF(INDEX([1]Pivot!$B$1:$AB$65000,$B775,AD$5)="",2,0)),0)</f>
        <v>0</v>
      </c>
      <c r="AE775" s="313">
        <f>IFERROR(IF(INDEX([1]Pivot!$BF$1:$CG$65000,$B775,AE$5)=1,1,IF(INDEX([1]Pivot!$B$1:$AB$65000,$B775,AE$5)="",2,0)),0)</f>
        <v>0</v>
      </c>
      <c r="AF775" s="313">
        <f>IFERROR(IF(INDEX([1]Pivot!$BF$1:$CG$65000,$B775,AF$5)=1,1,IF(INDEX([1]Pivot!$B$1:$AB$65000,$B775,AF$5)="",2,0)),0)</f>
        <v>0</v>
      </c>
      <c r="AG775" s="313">
        <f>IFERROR(IF(INDEX([1]Pivot!$BF$1:$CG$65000,$B775,AG$5)=1,1,IF(INDEX([1]Pivot!$B$1:$AB$65000,$B775,AG$5)="",2,0)),0)</f>
        <v>0</v>
      </c>
      <c r="AH775" s="313">
        <f>IFERROR(IF(INDEX([1]Pivot!$BF$1:$CG$65000,$B775,AH$5)=1,1,IF(INDEX([1]Pivot!$B$1:$AB$65000,$B775,AH$5)="",2,0)),0)</f>
        <v>0</v>
      </c>
      <c r="AI775" s="313">
        <f>IFERROR(IF(INDEX([1]Pivot!$BF$1:$CG$65000,$B775,AI$5)=1,1,IF(INDEX([1]Pivot!$B$1:$AB$65000,$B775,AI$5)="",2,0)),0)</f>
        <v>0</v>
      </c>
      <c r="AJ775" s="313">
        <f>IFERROR(IF(INDEX([1]Pivot!$BF$1:$CG$65000,$B775,AJ$5)=1,1,IF(INDEX([1]Pivot!$B$1:$AB$65000,$B775,AJ$5)="",2,0)),0)</f>
        <v>0</v>
      </c>
      <c r="AK775" s="313">
        <f>IFERROR(IF(INDEX([1]Pivot!$BF$1:$CG$65000,$B775,AK$5)=1,1,IF(INDEX([1]Pivot!$B$1:$AB$65000,$B775,AK$5)="",2,0)),0)</f>
        <v>0</v>
      </c>
      <c r="AL775" s="313">
        <f>IFERROR(IF(INDEX([1]Pivot!$BF$1:$CG$65000,$B775,AL$5)=1,1,IF(INDEX([1]Pivot!$B$1:$AB$65000,$B775,AL$5)="",2,0)),0)</f>
        <v>0</v>
      </c>
      <c r="AM775" s="313">
        <f>IFERROR(IF(INDEX([1]Pivot!$BF$1:$CG$65000,$B775,AM$5)=1,1,IF(INDEX([1]Pivot!$B$1:$AB$65000,$B775,AM$5)="",2,0)),0)</f>
        <v>0</v>
      </c>
      <c r="AN775" s="313">
        <f>IFERROR(IF(INDEX([1]Pivot!$BF$1:$CG$65000,$B775,AN$5)=1,1,IF(INDEX([1]Pivot!$B$1:$AB$65000,$B775,AN$5)="",2,0)),0)</f>
        <v>0</v>
      </c>
      <c r="AO775" s="313">
        <f>IFERROR(IF(INDEX([1]Pivot!$BF$1:$CG$65000,$B775,AO$5)=1,1,IF(INDEX([1]Pivot!$B$1:$AB$65000,$B775,AO$5)="",2,0)),0)</f>
        <v>0</v>
      </c>
      <c r="AP775" s="313">
        <f>IFERROR(IF(INDEX([1]Pivot!$BF$1:$CG$65000,$B775,AP$5)=1,1,IF(INDEX([1]Pivot!$B$1:$AB$65000,$B775,AP$5)="",2,0)),0)</f>
        <v>0</v>
      </c>
      <c r="AQ775" s="313">
        <f>IFERROR(IF(INDEX([1]Pivot!$BF$1:$CG$65000,$B775,AQ$5)=1,1,IF(INDEX([1]Pivot!$B$1:$AB$65000,$B775,AQ$5)="",2,0)),0)</f>
        <v>0</v>
      </c>
      <c r="AR775" s="313">
        <f>IFERROR(IF(INDEX([1]Pivot!$BF$1:$CG$65000,$B775,AR$5)=1,1,IF(INDEX([1]Pivot!$B$1:$AB$65000,$B775,AR$5)="",2,0)),0)</f>
        <v>0</v>
      </c>
      <c r="AS775" s="312"/>
      <c r="AT775" s="313">
        <f>IFERROR(IF(INDEX([1]Pivot!$BF$1:$CG$65000,$B775,AT$5)=1,1,IF(INDEX([1]Pivot!$B$1:$AB$65000,$B775,AT$5)="",2,0)),0)</f>
        <v>0</v>
      </c>
      <c r="AU775" s="313">
        <f>IFERROR(IF(INDEX([1]Pivot!$BF$1:$CG$65000,$B775,AU$5)=1,1,IF(INDEX([1]Pivot!$B$1:$AB$65000,$B775,AU$5)="",2,0)),0)</f>
        <v>0</v>
      </c>
      <c r="AV775" s="313">
        <f>IFERROR(IF(INDEX([1]Pivot!$BF$1:$CG$65000,$B775,AV$5)=1,1,IF(INDEX([1]Pivot!$B$1:$AB$65000,$B775,AV$5)="",2,0)),0)</f>
        <v>0</v>
      </c>
      <c r="AW775" s="313">
        <f>IFERROR(IF(INDEX([1]Pivot!$BF$1:$CG$65000,$B775,AW$5)=1,1,IF(INDEX([1]Pivot!$B$1:$AB$65000,$B775,AW$5)="",2,0)),0)</f>
        <v>0</v>
      </c>
      <c r="AX775" s="313">
        <f>IFERROR(IF(INDEX([1]Pivot!$BF$1:$CG$65000,$B775,AX$5)=1,1,IF(INDEX([1]Pivot!$B$1:$AB$65000,$B775,AX$5)="",2,0)),0)</f>
        <v>0</v>
      </c>
      <c r="AY775" s="313">
        <f>IFERROR(IF(INDEX([1]Pivot!$BF$1:$CG$65000,$B775,AY$5)=1,1,IF(INDEX([1]Pivot!$B$1:$AB$65000,$B775,AY$5)="",2,0)),0)</f>
        <v>0</v>
      </c>
      <c r="AZ775" s="313">
        <f>IFERROR(IF(INDEX([1]Pivot!$BF$1:$CG$65000,$B775,AZ$5)=1,1,IF(INDEX([1]Pivot!$B$1:$AB$65000,$B775,AZ$5)="",2,0)),0)</f>
        <v>0</v>
      </c>
      <c r="BA775" s="313">
        <f>IFERROR(IF(INDEX([1]Pivot!$BF$1:$CG$65000,$B775,BA$5)=1,1,IF(INDEX([1]Pivot!$B$1:$AB$65000,$B775,BA$5)="",2,0)),0)</f>
        <v>0</v>
      </c>
      <c r="BB775" s="313">
        <f>IFERROR(IF(INDEX([1]Pivot!$BF$1:$CG$65000,$B775,BB$5)=1,1,IF(INDEX([1]Pivot!$B$1:$AB$65000,$B775,BB$5)="",2,0)),0)</f>
        <v>0</v>
      </c>
      <c r="BC775" s="313">
        <f>IFERROR(IF(INDEX([1]Pivot!$BF$1:$CG$65000,$B775,BC$5)=1,1,IF(INDEX([1]Pivot!$B$1:$AB$65000,$B775,BC$5)="",2,0)),0)</f>
        <v>0</v>
      </c>
      <c r="BD775" s="313">
        <f>IFERROR(IF(INDEX([1]Pivot!$BF$1:$CG$65000,$B775,BD$5)=1,1,IF(INDEX([1]Pivot!$B$1:$AB$65000,$B775,BD$5)="",2,0)),0)</f>
        <v>0</v>
      </c>
    </row>
    <row r="776" spans="1:56" x14ac:dyDescent="0.25">
      <c r="A776" s="288">
        <f>'[2]Raw Milk Prices'!A776</f>
        <v>0</v>
      </c>
      <c r="B776" s="296" t="e">
        <f>MATCH(DATE(LEFT('[2]Raw Milk Prices'!$A776,4),RIGHT('[2]Raw Milk Prices'!$A776,2),1),[1]Pivot!$A$1:$A$65000,0)</f>
        <v>#VALUE!</v>
      </c>
      <c r="C776" s="194">
        <f>IFERROR(IF(INDEX([1]Pivot!$AD$1:$BE$65000,$B776,C$5)=1,1,IF(INDEX([1]Pivot!$B$1:$AB$65000,$B776,C$5)="",2,0)),0)</f>
        <v>0</v>
      </c>
      <c r="D776" s="194">
        <f>IFERROR(IF(INDEX([1]Pivot!$AD$1:$BE$65000,$B776,D$5)=1,1,IF(INDEX([1]Pivot!$B$1:$AB$65000,$B776,D$5)="",2,0)),0)</f>
        <v>0</v>
      </c>
      <c r="E776" s="194">
        <f>IFERROR(IF(INDEX([1]Pivot!$AD$1:$BE$65000,$B776,E$5)=1,1,IF(INDEX([1]Pivot!$B$1:$AB$65000,$B776,E$5)="",2,0)),0)</f>
        <v>0</v>
      </c>
      <c r="F776" s="194">
        <f>IFERROR(IF(INDEX([1]Pivot!$AD$1:$BE$65000,$B776,F$5)=1,1,IF(INDEX([1]Pivot!$B$1:$AB$65000,$B776,F$5)="",2,0)),0)</f>
        <v>0</v>
      </c>
      <c r="G776" s="194">
        <f>IFERROR(IF(INDEX([1]Pivot!$AD$1:$BE$65000,$B776,G$5)=1,1,IF(INDEX([1]Pivot!$B$1:$AB$65000,$B776,G$5)="",2,0)),0)</f>
        <v>0</v>
      </c>
      <c r="H776" s="194">
        <f>IFERROR(IF(INDEX([1]Pivot!$AD$1:$BE$65000,$B776,H$5)=1,1,IF(INDEX([1]Pivot!$B$1:$AB$65000,$B776,H$5)="",2,0)),0)</f>
        <v>0</v>
      </c>
      <c r="I776" s="194">
        <f>IFERROR(IF(INDEX([1]Pivot!$AD$1:$BE$65000,$B776,I$5)=1,1,IF(INDEX([1]Pivot!$B$1:$AB$65000,$B776,I$5)="",2,0)),0)</f>
        <v>0</v>
      </c>
      <c r="J776" s="194">
        <f>IFERROR(IF(INDEX([1]Pivot!$AD$1:$BE$65000,$B776,J$5)=1,1,IF(INDEX([1]Pivot!$B$1:$AB$65000,$B776,J$5)="",2,0)),0)</f>
        <v>0</v>
      </c>
      <c r="K776" s="194">
        <f>IFERROR(IF(INDEX([1]Pivot!$AD$1:$BE$65000,$B776,K$5)=1,1,IF(INDEX([1]Pivot!$B$1:$AB$65000,$B776,K$5)="",2,0)),0)</f>
        <v>0</v>
      </c>
      <c r="L776" s="194">
        <f>IFERROR(IF(INDEX([1]Pivot!$AD$1:$BE$65000,$B776,L$5)=1,1,IF(INDEX([1]Pivot!$B$1:$AB$65000,$B776,L$5)="",2,0)),0)</f>
        <v>0</v>
      </c>
      <c r="M776" s="194">
        <f>IFERROR(IF(INDEX([1]Pivot!$AD$1:$BE$65000,$B776,M$5)=1,1,IF(INDEX([1]Pivot!$B$1:$AB$65000,$B776,M$5)="",2,0)),0)</f>
        <v>0</v>
      </c>
      <c r="N776" s="194">
        <f>IFERROR(IF(INDEX([1]Pivot!$AD$1:$BE$65000,$B776,N$5)=1,1,IF(INDEX([1]Pivot!$B$1:$AB$65000,$B776,N$5)="",2,0)),0)</f>
        <v>0</v>
      </c>
      <c r="O776" s="194">
        <f>IFERROR(IF(INDEX([1]Pivot!$AD$1:$BE$65000,$B776,O$5)=1,1,IF(INDEX([1]Pivot!$B$1:$AB$65000,$B776,O$5)="",2,0)),0)</f>
        <v>0</v>
      </c>
      <c r="P776" s="194">
        <f>IFERROR(IF(INDEX([1]Pivot!$AD$1:$BE$65000,$B776,P$5)=1,1,IF(INDEX([1]Pivot!$B$1:$AB$65000,$B776,P$5)="",2,0)),0)</f>
        <v>0</v>
      </c>
      <c r="Q776" s="194">
        <f>IFERROR(IF(INDEX([1]Pivot!$AD$1:$BE$65000,$B776,Q$5)=1,1,IF(INDEX([1]Pivot!$B$1:$AB$65000,$B776,Q$5)="",2,0)),0)</f>
        <v>0</v>
      </c>
      <c r="R776" s="312"/>
      <c r="S776" s="194">
        <f>IFERROR(IF(INDEX([1]Pivot!$AD$1:$BE$65000,$B776,S$5)=1,1,IF(INDEX([1]Pivot!$B$1:$AB$65000,$B776,S$5)="",2,0)),0)</f>
        <v>0</v>
      </c>
      <c r="T776" s="194">
        <f>IFERROR(IF(INDEX([1]Pivot!$AD$1:$BE$65000,$B776,T$5)=1,1,IF(INDEX([1]Pivot!$B$1:$AB$65000,$B776,T$5)="",2,0)),0)</f>
        <v>0</v>
      </c>
      <c r="U776" s="194">
        <f>IFERROR(IF(INDEX([1]Pivot!$AD$1:$BE$65000,$B776,U$5)=1,1,IF(INDEX([1]Pivot!$B$1:$AB$65000,$B776,U$5)="",2,0)),0)</f>
        <v>0</v>
      </c>
      <c r="V776" s="194">
        <f>IFERROR(IF(INDEX([1]Pivot!$AD$1:$BE$65000,$B776,V$5)=1,1,IF(INDEX([1]Pivot!$B$1:$AB$65000,$B776,V$5)="",2,0)),0)</f>
        <v>0</v>
      </c>
      <c r="W776" s="194">
        <f>IFERROR(IF(INDEX([1]Pivot!$AD$1:$BE$65000,$B776,W$5)=1,1,IF(INDEX([1]Pivot!$B$1:$AB$65000,$B776,W$5)="",2,0)),0)</f>
        <v>0</v>
      </c>
      <c r="X776" s="194">
        <f>IFERROR(IF(INDEX([1]Pivot!$AD$1:$BE$65000,$B776,X$5)=1,1,IF(INDEX([1]Pivot!$B$1:$AB$65000,$B776,X$5)="",2,0)),0)</f>
        <v>0</v>
      </c>
      <c r="Y776" s="194">
        <f>IFERROR(IF(INDEX([1]Pivot!$AD$1:$BE$65000,$B776,Y$5)=1,1,IF(INDEX([1]Pivot!$B$1:$AB$65000,$B776,Y$5)="",2,0)),0)</f>
        <v>0</v>
      </c>
      <c r="Z776" s="194">
        <f>IFERROR(IF(INDEX([1]Pivot!$AD$1:$BE$65000,$B776,Z$5)=1,1,IF(INDEX([1]Pivot!$B$1:$AB$65000,$B776,Z$5)="",2,0)),0)</f>
        <v>0</v>
      </c>
      <c r="AA776" s="194">
        <f>IFERROR(IF(INDEX([1]Pivot!$AD$1:$BE$65000,$B776,AA$5)=1,1,IF(INDEX([1]Pivot!$B$1:$AB$65000,$B776,AA$5)="",2,0)),0)</f>
        <v>0</v>
      </c>
      <c r="AB776" s="194">
        <f>IFERROR(IF(INDEX([1]Pivot!$AD$1:$BE$65000,$B776,AB$5)=1,1,IF(INDEX([1]Pivot!$B$1:$AB$65000,$B776,AB$5)="",2,0)),0)</f>
        <v>0</v>
      </c>
      <c r="AC776" s="194">
        <f>IFERROR(IF(INDEX([1]Pivot!$AD$1:$BE$65000,$B776,AC$5)=1,1,IF(INDEX([1]Pivot!$B$1:$AB$65000,$B776,AC$5)="",2,0)),0)</f>
        <v>0</v>
      </c>
      <c r="AD776" s="313">
        <f>IFERROR(IF(INDEX([1]Pivot!$BF$1:$CG$65000,$B776,AD$5)=1,1,IF(INDEX([1]Pivot!$B$1:$AB$65000,$B776,AD$5)="",2,0)),0)</f>
        <v>0</v>
      </c>
      <c r="AE776" s="313">
        <f>IFERROR(IF(INDEX([1]Pivot!$BF$1:$CG$65000,$B776,AE$5)=1,1,IF(INDEX([1]Pivot!$B$1:$AB$65000,$B776,AE$5)="",2,0)),0)</f>
        <v>0</v>
      </c>
      <c r="AF776" s="313">
        <f>IFERROR(IF(INDEX([1]Pivot!$BF$1:$CG$65000,$B776,AF$5)=1,1,IF(INDEX([1]Pivot!$B$1:$AB$65000,$B776,AF$5)="",2,0)),0)</f>
        <v>0</v>
      </c>
      <c r="AG776" s="313">
        <f>IFERROR(IF(INDEX([1]Pivot!$BF$1:$CG$65000,$B776,AG$5)=1,1,IF(INDEX([1]Pivot!$B$1:$AB$65000,$B776,AG$5)="",2,0)),0)</f>
        <v>0</v>
      </c>
      <c r="AH776" s="313">
        <f>IFERROR(IF(INDEX([1]Pivot!$BF$1:$CG$65000,$B776,AH$5)=1,1,IF(INDEX([1]Pivot!$B$1:$AB$65000,$B776,AH$5)="",2,0)),0)</f>
        <v>0</v>
      </c>
      <c r="AI776" s="313">
        <f>IFERROR(IF(INDEX([1]Pivot!$BF$1:$CG$65000,$B776,AI$5)=1,1,IF(INDEX([1]Pivot!$B$1:$AB$65000,$B776,AI$5)="",2,0)),0)</f>
        <v>0</v>
      </c>
      <c r="AJ776" s="313">
        <f>IFERROR(IF(INDEX([1]Pivot!$BF$1:$CG$65000,$B776,AJ$5)=1,1,IF(INDEX([1]Pivot!$B$1:$AB$65000,$B776,AJ$5)="",2,0)),0)</f>
        <v>0</v>
      </c>
      <c r="AK776" s="313">
        <f>IFERROR(IF(INDEX([1]Pivot!$BF$1:$CG$65000,$B776,AK$5)=1,1,IF(INDEX([1]Pivot!$B$1:$AB$65000,$B776,AK$5)="",2,0)),0)</f>
        <v>0</v>
      </c>
      <c r="AL776" s="313">
        <f>IFERROR(IF(INDEX([1]Pivot!$BF$1:$CG$65000,$B776,AL$5)=1,1,IF(INDEX([1]Pivot!$B$1:$AB$65000,$B776,AL$5)="",2,0)),0)</f>
        <v>0</v>
      </c>
      <c r="AM776" s="313">
        <f>IFERROR(IF(INDEX([1]Pivot!$BF$1:$CG$65000,$B776,AM$5)=1,1,IF(INDEX([1]Pivot!$B$1:$AB$65000,$B776,AM$5)="",2,0)),0)</f>
        <v>0</v>
      </c>
      <c r="AN776" s="313">
        <f>IFERROR(IF(INDEX([1]Pivot!$BF$1:$CG$65000,$B776,AN$5)=1,1,IF(INDEX([1]Pivot!$B$1:$AB$65000,$B776,AN$5)="",2,0)),0)</f>
        <v>0</v>
      </c>
      <c r="AO776" s="313">
        <f>IFERROR(IF(INDEX([1]Pivot!$BF$1:$CG$65000,$B776,AO$5)=1,1,IF(INDEX([1]Pivot!$B$1:$AB$65000,$B776,AO$5)="",2,0)),0)</f>
        <v>0</v>
      </c>
      <c r="AP776" s="313">
        <f>IFERROR(IF(INDEX([1]Pivot!$BF$1:$CG$65000,$B776,AP$5)=1,1,IF(INDEX([1]Pivot!$B$1:$AB$65000,$B776,AP$5)="",2,0)),0)</f>
        <v>0</v>
      </c>
      <c r="AQ776" s="313">
        <f>IFERROR(IF(INDEX([1]Pivot!$BF$1:$CG$65000,$B776,AQ$5)=1,1,IF(INDEX([1]Pivot!$B$1:$AB$65000,$B776,AQ$5)="",2,0)),0)</f>
        <v>0</v>
      </c>
      <c r="AR776" s="313">
        <f>IFERROR(IF(INDEX([1]Pivot!$BF$1:$CG$65000,$B776,AR$5)=1,1,IF(INDEX([1]Pivot!$B$1:$AB$65000,$B776,AR$5)="",2,0)),0)</f>
        <v>0</v>
      </c>
      <c r="AS776" s="312"/>
      <c r="AT776" s="313">
        <f>IFERROR(IF(INDEX([1]Pivot!$BF$1:$CG$65000,$B776,AT$5)=1,1,IF(INDEX([1]Pivot!$B$1:$AB$65000,$B776,AT$5)="",2,0)),0)</f>
        <v>0</v>
      </c>
      <c r="AU776" s="313">
        <f>IFERROR(IF(INDEX([1]Pivot!$BF$1:$CG$65000,$B776,AU$5)=1,1,IF(INDEX([1]Pivot!$B$1:$AB$65000,$B776,AU$5)="",2,0)),0)</f>
        <v>0</v>
      </c>
      <c r="AV776" s="313">
        <f>IFERROR(IF(INDEX([1]Pivot!$BF$1:$CG$65000,$B776,AV$5)=1,1,IF(INDEX([1]Pivot!$B$1:$AB$65000,$B776,AV$5)="",2,0)),0)</f>
        <v>0</v>
      </c>
      <c r="AW776" s="313">
        <f>IFERROR(IF(INDEX([1]Pivot!$BF$1:$CG$65000,$B776,AW$5)=1,1,IF(INDEX([1]Pivot!$B$1:$AB$65000,$B776,AW$5)="",2,0)),0)</f>
        <v>0</v>
      </c>
      <c r="AX776" s="313">
        <f>IFERROR(IF(INDEX([1]Pivot!$BF$1:$CG$65000,$B776,AX$5)=1,1,IF(INDEX([1]Pivot!$B$1:$AB$65000,$B776,AX$5)="",2,0)),0)</f>
        <v>0</v>
      </c>
      <c r="AY776" s="313">
        <f>IFERROR(IF(INDEX([1]Pivot!$BF$1:$CG$65000,$B776,AY$5)=1,1,IF(INDEX([1]Pivot!$B$1:$AB$65000,$B776,AY$5)="",2,0)),0)</f>
        <v>0</v>
      </c>
      <c r="AZ776" s="313">
        <f>IFERROR(IF(INDEX([1]Pivot!$BF$1:$CG$65000,$B776,AZ$5)=1,1,IF(INDEX([1]Pivot!$B$1:$AB$65000,$B776,AZ$5)="",2,0)),0)</f>
        <v>0</v>
      </c>
      <c r="BA776" s="313">
        <f>IFERROR(IF(INDEX([1]Pivot!$BF$1:$CG$65000,$B776,BA$5)=1,1,IF(INDEX([1]Pivot!$B$1:$AB$65000,$B776,BA$5)="",2,0)),0)</f>
        <v>0</v>
      </c>
      <c r="BB776" s="313">
        <f>IFERROR(IF(INDEX([1]Pivot!$BF$1:$CG$65000,$B776,BB$5)=1,1,IF(INDEX([1]Pivot!$B$1:$AB$65000,$B776,BB$5)="",2,0)),0)</f>
        <v>0</v>
      </c>
      <c r="BC776" s="313">
        <f>IFERROR(IF(INDEX([1]Pivot!$BF$1:$CG$65000,$B776,BC$5)=1,1,IF(INDEX([1]Pivot!$B$1:$AB$65000,$B776,BC$5)="",2,0)),0)</f>
        <v>0</v>
      </c>
      <c r="BD776" s="313">
        <f>IFERROR(IF(INDEX([1]Pivot!$BF$1:$CG$65000,$B776,BD$5)=1,1,IF(INDEX([1]Pivot!$B$1:$AB$65000,$B776,BD$5)="",2,0)),0)</f>
        <v>0</v>
      </c>
    </row>
    <row r="777" spans="1:56" x14ac:dyDescent="0.25">
      <c r="A777" s="288">
        <f>'[2]Raw Milk Prices'!A777</f>
        <v>0</v>
      </c>
      <c r="B777" s="296" t="e">
        <f>MATCH(DATE(LEFT('[2]Raw Milk Prices'!$A777,4),RIGHT('[2]Raw Milk Prices'!$A777,2),1),[1]Pivot!$A$1:$A$65000,0)</f>
        <v>#VALUE!</v>
      </c>
      <c r="C777" s="194">
        <f>IFERROR(IF(INDEX([1]Pivot!$AD$1:$BE$65000,$B777,C$5)=1,1,IF(INDEX([1]Pivot!$B$1:$AB$65000,$B777,C$5)="",2,0)),0)</f>
        <v>0</v>
      </c>
      <c r="D777" s="194">
        <f>IFERROR(IF(INDEX([1]Pivot!$AD$1:$BE$65000,$B777,D$5)=1,1,IF(INDEX([1]Pivot!$B$1:$AB$65000,$B777,D$5)="",2,0)),0)</f>
        <v>0</v>
      </c>
      <c r="E777" s="194">
        <f>IFERROR(IF(INDEX([1]Pivot!$AD$1:$BE$65000,$B777,E$5)=1,1,IF(INDEX([1]Pivot!$B$1:$AB$65000,$B777,E$5)="",2,0)),0)</f>
        <v>0</v>
      </c>
      <c r="F777" s="194">
        <f>IFERROR(IF(INDEX([1]Pivot!$AD$1:$BE$65000,$B777,F$5)=1,1,IF(INDEX([1]Pivot!$B$1:$AB$65000,$B777,F$5)="",2,0)),0)</f>
        <v>0</v>
      </c>
      <c r="G777" s="194">
        <f>IFERROR(IF(INDEX([1]Pivot!$AD$1:$BE$65000,$B777,G$5)=1,1,IF(INDEX([1]Pivot!$B$1:$AB$65000,$B777,G$5)="",2,0)),0)</f>
        <v>0</v>
      </c>
      <c r="H777" s="194">
        <f>IFERROR(IF(INDEX([1]Pivot!$AD$1:$BE$65000,$B777,H$5)=1,1,IF(INDEX([1]Pivot!$B$1:$AB$65000,$B777,H$5)="",2,0)),0)</f>
        <v>0</v>
      </c>
      <c r="I777" s="194">
        <f>IFERROR(IF(INDEX([1]Pivot!$AD$1:$BE$65000,$B777,I$5)=1,1,IF(INDEX([1]Pivot!$B$1:$AB$65000,$B777,I$5)="",2,0)),0)</f>
        <v>0</v>
      </c>
      <c r="J777" s="194">
        <f>IFERROR(IF(INDEX([1]Pivot!$AD$1:$BE$65000,$B777,J$5)=1,1,IF(INDEX([1]Pivot!$B$1:$AB$65000,$B777,J$5)="",2,0)),0)</f>
        <v>0</v>
      </c>
      <c r="K777" s="194">
        <f>IFERROR(IF(INDEX([1]Pivot!$AD$1:$BE$65000,$B777,K$5)=1,1,IF(INDEX([1]Pivot!$B$1:$AB$65000,$B777,K$5)="",2,0)),0)</f>
        <v>0</v>
      </c>
      <c r="L777" s="194">
        <f>IFERROR(IF(INDEX([1]Pivot!$AD$1:$BE$65000,$B777,L$5)=1,1,IF(INDEX([1]Pivot!$B$1:$AB$65000,$B777,L$5)="",2,0)),0)</f>
        <v>0</v>
      </c>
      <c r="M777" s="194">
        <f>IFERROR(IF(INDEX([1]Pivot!$AD$1:$BE$65000,$B777,M$5)=1,1,IF(INDEX([1]Pivot!$B$1:$AB$65000,$B777,M$5)="",2,0)),0)</f>
        <v>0</v>
      </c>
      <c r="N777" s="194">
        <f>IFERROR(IF(INDEX([1]Pivot!$AD$1:$BE$65000,$B777,N$5)=1,1,IF(INDEX([1]Pivot!$B$1:$AB$65000,$B777,N$5)="",2,0)),0)</f>
        <v>0</v>
      </c>
      <c r="O777" s="194">
        <f>IFERROR(IF(INDEX([1]Pivot!$AD$1:$BE$65000,$B777,O$5)=1,1,IF(INDEX([1]Pivot!$B$1:$AB$65000,$B777,O$5)="",2,0)),0)</f>
        <v>0</v>
      </c>
      <c r="P777" s="194">
        <f>IFERROR(IF(INDEX([1]Pivot!$AD$1:$BE$65000,$B777,P$5)=1,1,IF(INDEX([1]Pivot!$B$1:$AB$65000,$B777,P$5)="",2,0)),0)</f>
        <v>0</v>
      </c>
      <c r="Q777" s="194">
        <f>IFERROR(IF(INDEX([1]Pivot!$AD$1:$BE$65000,$B777,Q$5)=1,1,IF(INDEX([1]Pivot!$B$1:$AB$65000,$B777,Q$5)="",2,0)),0)</f>
        <v>0</v>
      </c>
      <c r="R777" s="312"/>
      <c r="S777" s="194">
        <f>IFERROR(IF(INDEX([1]Pivot!$AD$1:$BE$65000,$B777,S$5)=1,1,IF(INDEX([1]Pivot!$B$1:$AB$65000,$B777,S$5)="",2,0)),0)</f>
        <v>0</v>
      </c>
      <c r="T777" s="194">
        <f>IFERROR(IF(INDEX([1]Pivot!$AD$1:$BE$65000,$B777,T$5)=1,1,IF(INDEX([1]Pivot!$B$1:$AB$65000,$B777,T$5)="",2,0)),0)</f>
        <v>0</v>
      </c>
      <c r="U777" s="194">
        <f>IFERROR(IF(INDEX([1]Pivot!$AD$1:$BE$65000,$B777,U$5)=1,1,IF(INDEX([1]Pivot!$B$1:$AB$65000,$B777,U$5)="",2,0)),0)</f>
        <v>0</v>
      </c>
      <c r="V777" s="194">
        <f>IFERROR(IF(INDEX([1]Pivot!$AD$1:$BE$65000,$B777,V$5)=1,1,IF(INDEX([1]Pivot!$B$1:$AB$65000,$B777,V$5)="",2,0)),0)</f>
        <v>0</v>
      </c>
      <c r="W777" s="194">
        <f>IFERROR(IF(INDEX([1]Pivot!$AD$1:$BE$65000,$B777,W$5)=1,1,IF(INDEX([1]Pivot!$B$1:$AB$65000,$B777,W$5)="",2,0)),0)</f>
        <v>0</v>
      </c>
      <c r="X777" s="194">
        <f>IFERROR(IF(INDEX([1]Pivot!$AD$1:$BE$65000,$B777,X$5)=1,1,IF(INDEX([1]Pivot!$B$1:$AB$65000,$B777,X$5)="",2,0)),0)</f>
        <v>0</v>
      </c>
      <c r="Y777" s="194">
        <f>IFERROR(IF(INDEX([1]Pivot!$AD$1:$BE$65000,$B777,Y$5)=1,1,IF(INDEX([1]Pivot!$B$1:$AB$65000,$B777,Y$5)="",2,0)),0)</f>
        <v>0</v>
      </c>
      <c r="Z777" s="194">
        <f>IFERROR(IF(INDEX([1]Pivot!$AD$1:$BE$65000,$B777,Z$5)=1,1,IF(INDEX([1]Pivot!$B$1:$AB$65000,$B777,Z$5)="",2,0)),0)</f>
        <v>0</v>
      </c>
      <c r="AA777" s="194">
        <f>IFERROR(IF(INDEX([1]Pivot!$AD$1:$BE$65000,$B777,AA$5)=1,1,IF(INDEX([1]Pivot!$B$1:$AB$65000,$B777,AA$5)="",2,0)),0)</f>
        <v>0</v>
      </c>
      <c r="AB777" s="194">
        <f>IFERROR(IF(INDEX([1]Pivot!$AD$1:$BE$65000,$B777,AB$5)=1,1,IF(INDEX([1]Pivot!$B$1:$AB$65000,$B777,AB$5)="",2,0)),0)</f>
        <v>0</v>
      </c>
      <c r="AC777" s="194">
        <f>IFERROR(IF(INDEX([1]Pivot!$AD$1:$BE$65000,$B777,AC$5)=1,1,IF(INDEX([1]Pivot!$B$1:$AB$65000,$B777,AC$5)="",2,0)),0)</f>
        <v>0</v>
      </c>
      <c r="AD777" s="313">
        <f>IFERROR(IF(INDEX([1]Pivot!$BF$1:$CG$65000,$B777,AD$5)=1,1,IF(INDEX([1]Pivot!$B$1:$AB$65000,$B777,AD$5)="",2,0)),0)</f>
        <v>0</v>
      </c>
      <c r="AE777" s="313">
        <f>IFERROR(IF(INDEX([1]Pivot!$BF$1:$CG$65000,$B777,AE$5)=1,1,IF(INDEX([1]Pivot!$B$1:$AB$65000,$B777,AE$5)="",2,0)),0)</f>
        <v>0</v>
      </c>
      <c r="AF777" s="313">
        <f>IFERROR(IF(INDEX([1]Pivot!$BF$1:$CG$65000,$B777,AF$5)=1,1,IF(INDEX([1]Pivot!$B$1:$AB$65000,$B777,AF$5)="",2,0)),0)</f>
        <v>0</v>
      </c>
      <c r="AG777" s="313">
        <f>IFERROR(IF(INDEX([1]Pivot!$BF$1:$CG$65000,$B777,AG$5)=1,1,IF(INDEX([1]Pivot!$B$1:$AB$65000,$B777,AG$5)="",2,0)),0)</f>
        <v>0</v>
      </c>
      <c r="AH777" s="313">
        <f>IFERROR(IF(INDEX([1]Pivot!$BF$1:$CG$65000,$B777,AH$5)=1,1,IF(INDEX([1]Pivot!$B$1:$AB$65000,$B777,AH$5)="",2,0)),0)</f>
        <v>0</v>
      </c>
      <c r="AI777" s="313">
        <f>IFERROR(IF(INDEX([1]Pivot!$BF$1:$CG$65000,$B777,AI$5)=1,1,IF(INDEX([1]Pivot!$B$1:$AB$65000,$B777,AI$5)="",2,0)),0)</f>
        <v>0</v>
      </c>
      <c r="AJ777" s="313">
        <f>IFERROR(IF(INDEX([1]Pivot!$BF$1:$CG$65000,$B777,AJ$5)=1,1,IF(INDEX([1]Pivot!$B$1:$AB$65000,$B777,AJ$5)="",2,0)),0)</f>
        <v>0</v>
      </c>
      <c r="AK777" s="313">
        <f>IFERROR(IF(INDEX([1]Pivot!$BF$1:$CG$65000,$B777,AK$5)=1,1,IF(INDEX([1]Pivot!$B$1:$AB$65000,$B777,AK$5)="",2,0)),0)</f>
        <v>0</v>
      </c>
      <c r="AL777" s="313">
        <f>IFERROR(IF(INDEX([1]Pivot!$BF$1:$CG$65000,$B777,AL$5)=1,1,IF(INDEX([1]Pivot!$B$1:$AB$65000,$B777,AL$5)="",2,0)),0)</f>
        <v>0</v>
      </c>
      <c r="AM777" s="313">
        <f>IFERROR(IF(INDEX([1]Pivot!$BF$1:$CG$65000,$B777,AM$5)=1,1,IF(INDEX([1]Pivot!$B$1:$AB$65000,$B777,AM$5)="",2,0)),0)</f>
        <v>0</v>
      </c>
      <c r="AN777" s="313">
        <f>IFERROR(IF(INDEX([1]Pivot!$BF$1:$CG$65000,$B777,AN$5)=1,1,IF(INDEX([1]Pivot!$B$1:$AB$65000,$B777,AN$5)="",2,0)),0)</f>
        <v>0</v>
      </c>
      <c r="AO777" s="313">
        <f>IFERROR(IF(INDEX([1]Pivot!$BF$1:$CG$65000,$B777,AO$5)=1,1,IF(INDEX([1]Pivot!$B$1:$AB$65000,$B777,AO$5)="",2,0)),0)</f>
        <v>0</v>
      </c>
      <c r="AP777" s="313">
        <f>IFERROR(IF(INDEX([1]Pivot!$BF$1:$CG$65000,$B777,AP$5)=1,1,IF(INDEX([1]Pivot!$B$1:$AB$65000,$B777,AP$5)="",2,0)),0)</f>
        <v>0</v>
      </c>
      <c r="AQ777" s="313">
        <f>IFERROR(IF(INDEX([1]Pivot!$BF$1:$CG$65000,$B777,AQ$5)=1,1,IF(INDEX([1]Pivot!$B$1:$AB$65000,$B777,AQ$5)="",2,0)),0)</f>
        <v>0</v>
      </c>
      <c r="AR777" s="313">
        <f>IFERROR(IF(INDEX([1]Pivot!$BF$1:$CG$65000,$B777,AR$5)=1,1,IF(INDEX([1]Pivot!$B$1:$AB$65000,$B777,AR$5)="",2,0)),0)</f>
        <v>0</v>
      </c>
      <c r="AS777" s="312"/>
      <c r="AT777" s="313">
        <f>IFERROR(IF(INDEX([1]Pivot!$BF$1:$CG$65000,$B777,AT$5)=1,1,IF(INDEX([1]Pivot!$B$1:$AB$65000,$B777,AT$5)="",2,0)),0)</f>
        <v>0</v>
      </c>
      <c r="AU777" s="313">
        <f>IFERROR(IF(INDEX([1]Pivot!$BF$1:$CG$65000,$B777,AU$5)=1,1,IF(INDEX([1]Pivot!$B$1:$AB$65000,$B777,AU$5)="",2,0)),0)</f>
        <v>0</v>
      </c>
      <c r="AV777" s="313">
        <f>IFERROR(IF(INDEX([1]Pivot!$BF$1:$CG$65000,$B777,AV$5)=1,1,IF(INDEX([1]Pivot!$B$1:$AB$65000,$B777,AV$5)="",2,0)),0)</f>
        <v>0</v>
      </c>
      <c r="AW777" s="313">
        <f>IFERROR(IF(INDEX([1]Pivot!$BF$1:$CG$65000,$B777,AW$5)=1,1,IF(INDEX([1]Pivot!$B$1:$AB$65000,$B777,AW$5)="",2,0)),0)</f>
        <v>0</v>
      </c>
      <c r="AX777" s="313">
        <f>IFERROR(IF(INDEX([1]Pivot!$BF$1:$CG$65000,$B777,AX$5)=1,1,IF(INDEX([1]Pivot!$B$1:$AB$65000,$B777,AX$5)="",2,0)),0)</f>
        <v>0</v>
      </c>
      <c r="AY777" s="313">
        <f>IFERROR(IF(INDEX([1]Pivot!$BF$1:$CG$65000,$B777,AY$5)=1,1,IF(INDEX([1]Pivot!$B$1:$AB$65000,$B777,AY$5)="",2,0)),0)</f>
        <v>0</v>
      </c>
      <c r="AZ777" s="313">
        <f>IFERROR(IF(INDEX([1]Pivot!$BF$1:$CG$65000,$B777,AZ$5)=1,1,IF(INDEX([1]Pivot!$B$1:$AB$65000,$B777,AZ$5)="",2,0)),0)</f>
        <v>0</v>
      </c>
      <c r="BA777" s="313">
        <f>IFERROR(IF(INDEX([1]Pivot!$BF$1:$CG$65000,$B777,BA$5)=1,1,IF(INDEX([1]Pivot!$B$1:$AB$65000,$B777,BA$5)="",2,0)),0)</f>
        <v>0</v>
      </c>
      <c r="BB777" s="313">
        <f>IFERROR(IF(INDEX([1]Pivot!$BF$1:$CG$65000,$B777,BB$5)=1,1,IF(INDEX([1]Pivot!$B$1:$AB$65000,$B777,BB$5)="",2,0)),0)</f>
        <v>0</v>
      </c>
      <c r="BC777" s="313">
        <f>IFERROR(IF(INDEX([1]Pivot!$BF$1:$CG$65000,$B777,BC$5)=1,1,IF(INDEX([1]Pivot!$B$1:$AB$65000,$B777,BC$5)="",2,0)),0)</f>
        <v>0</v>
      </c>
      <c r="BD777" s="313">
        <f>IFERROR(IF(INDEX([1]Pivot!$BF$1:$CG$65000,$B777,BD$5)=1,1,IF(INDEX([1]Pivot!$B$1:$AB$65000,$B777,BD$5)="",2,0)),0)</f>
        <v>0</v>
      </c>
    </row>
    <row r="778" spans="1:56" x14ac:dyDescent="0.25">
      <c r="A778" s="288">
        <f>'[2]Raw Milk Prices'!A778</f>
        <v>0</v>
      </c>
      <c r="B778" s="296" t="e">
        <f>MATCH(DATE(LEFT('[2]Raw Milk Prices'!$A778,4),RIGHT('[2]Raw Milk Prices'!$A778,2),1),[1]Pivot!$A$1:$A$65000,0)</f>
        <v>#VALUE!</v>
      </c>
      <c r="C778" s="194">
        <f>IFERROR(IF(INDEX([1]Pivot!$AD$1:$BE$65000,$B778,C$5)=1,1,IF(INDEX([1]Pivot!$B$1:$AB$65000,$B778,C$5)="",2,0)),0)</f>
        <v>0</v>
      </c>
      <c r="D778" s="194">
        <f>IFERROR(IF(INDEX([1]Pivot!$AD$1:$BE$65000,$B778,D$5)=1,1,IF(INDEX([1]Pivot!$B$1:$AB$65000,$B778,D$5)="",2,0)),0)</f>
        <v>0</v>
      </c>
      <c r="E778" s="194">
        <f>IFERROR(IF(INDEX([1]Pivot!$AD$1:$BE$65000,$B778,E$5)=1,1,IF(INDEX([1]Pivot!$B$1:$AB$65000,$B778,E$5)="",2,0)),0)</f>
        <v>0</v>
      </c>
      <c r="F778" s="194">
        <f>IFERROR(IF(INDEX([1]Pivot!$AD$1:$BE$65000,$B778,F$5)=1,1,IF(INDEX([1]Pivot!$B$1:$AB$65000,$B778,F$5)="",2,0)),0)</f>
        <v>0</v>
      </c>
      <c r="G778" s="194">
        <f>IFERROR(IF(INDEX([1]Pivot!$AD$1:$BE$65000,$B778,G$5)=1,1,IF(INDEX([1]Pivot!$B$1:$AB$65000,$B778,G$5)="",2,0)),0)</f>
        <v>0</v>
      </c>
      <c r="H778" s="194">
        <f>IFERROR(IF(INDEX([1]Pivot!$AD$1:$BE$65000,$B778,H$5)=1,1,IF(INDEX([1]Pivot!$B$1:$AB$65000,$B778,H$5)="",2,0)),0)</f>
        <v>0</v>
      </c>
      <c r="I778" s="194">
        <f>IFERROR(IF(INDEX([1]Pivot!$AD$1:$BE$65000,$B778,I$5)=1,1,IF(INDEX([1]Pivot!$B$1:$AB$65000,$B778,I$5)="",2,0)),0)</f>
        <v>0</v>
      </c>
      <c r="J778" s="194">
        <f>IFERROR(IF(INDEX([1]Pivot!$AD$1:$BE$65000,$B778,J$5)=1,1,IF(INDEX([1]Pivot!$B$1:$AB$65000,$B778,J$5)="",2,0)),0)</f>
        <v>0</v>
      </c>
      <c r="K778" s="194">
        <f>IFERROR(IF(INDEX([1]Pivot!$AD$1:$BE$65000,$B778,K$5)=1,1,IF(INDEX([1]Pivot!$B$1:$AB$65000,$B778,K$5)="",2,0)),0)</f>
        <v>0</v>
      </c>
      <c r="L778" s="194">
        <f>IFERROR(IF(INDEX([1]Pivot!$AD$1:$BE$65000,$B778,L$5)=1,1,IF(INDEX([1]Pivot!$B$1:$AB$65000,$B778,L$5)="",2,0)),0)</f>
        <v>0</v>
      </c>
      <c r="M778" s="194">
        <f>IFERROR(IF(INDEX([1]Pivot!$AD$1:$BE$65000,$B778,M$5)=1,1,IF(INDEX([1]Pivot!$B$1:$AB$65000,$B778,M$5)="",2,0)),0)</f>
        <v>0</v>
      </c>
      <c r="N778" s="194">
        <f>IFERROR(IF(INDEX([1]Pivot!$AD$1:$BE$65000,$B778,N$5)=1,1,IF(INDEX([1]Pivot!$B$1:$AB$65000,$B778,N$5)="",2,0)),0)</f>
        <v>0</v>
      </c>
      <c r="O778" s="194">
        <f>IFERROR(IF(INDEX([1]Pivot!$AD$1:$BE$65000,$B778,O$5)=1,1,IF(INDEX([1]Pivot!$B$1:$AB$65000,$B778,O$5)="",2,0)),0)</f>
        <v>0</v>
      </c>
      <c r="P778" s="194">
        <f>IFERROR(IF(INDEX([1]Pivot!$AD$1:$BE$65000,$B778,P$5)=1,1,IF(INDEX([1]Pivot!$B$1:$AB$65000,$B778,P$5)="",2,0)),0)</f>
        <v>0</v>
      </c>
      <c r="Q778" s="194">
        <f>IFERROR(IF(INDEX([1]Pivot!$AD$1:$BE$65000,$B778,Q$5)=1,1,IF(INDEX([1]Pivot!$B$1:$AB$65000,$B778,Q$5)="",2,0)),0)</f>
        <v>0</v>
      </c>
      <c r="R778" s="312"/>
      <c r="S778" s="194">
        <f>IFERROR(IF(INDEX([1]Pivot!$AD$1:$BE$65000,$B778,S$5)=1,1,IF(INDEX([1]Pivot!$B$1:$AB$65000,$B778,S$5)="",2,0)),0)</f>
        <v>0</v>
      </c>
      <c r="T778" s="194">
        <f>IFERROR(IF(INDEX([1]Pivot!$AD$1:$BE$65000,$B778,T$5)=1,1,IF(INDEX([1]Pivot!$B$1:$AB$65000,$B778,T$5)="",2,0)),0)</f>
        <v>0</v>
      </c>
      <c r="U778" s="194">
        <f>IFERROR(IF(INDEX([1]Pivot!$AD$1:$BE$65000,$B778,U$5)=1,1,IF(INDEX([1]Pivot!$B$1:$AB$65000,$B778,U$5)="",2,0)),0)</f>
        <v>0</v>
      </c>
      <c r="V778" s="194">
        <f>IFERROR(IF(INDEX([1]Pivot!$AD$1:$BE$65000,$B778,V$5)=1,1,IF(INDEX([1]Pivot!$B$1:$AB$65000,$B778,V$5)="",2,0)),0)</f>
        <v>0</v>
      </c>
      <c r="W778" s="194">
        <f>IFERROR(IF(INDEX([1]Pivot!$AD$1:$BE$65000,$B778,W$5)=1,1,IF(INDEX([1]Pivot!$B$1:$AB$65000,$B778,W$5)="",2,0)),0)</f>
        <v>0</v>
      </c>
      <c r="X778" s="194">
        <f>IFERROR(IF(INDEX([1]Pivot!$AD$1:$BE$65000,$B778,X$5)=1,1,IF(INDEX([1]Pivot!$B$1:$AB$65000,$B778,X$5)="",2,0)),0)</f>
        <v>0</v>
      </c>
      <c r="Y778" s="194">
        <f>IFERROR(IF(INDEX([1]Pivot!$AD$1:$BE$65000,$B778,Y$5)=1,1,IF(INDEX([1]Pivot!$B$1:$AB$65000,$B778,Y$5)="",2,0)),0)</f>
        <v>0</v>
      </c>
      <c r="Z778" s="194">
        <f>IFERROR(IF(INDEX([1]Pivot!$AD$1:$BE$65000,$B778,Z$5)=1,1,IF(INDEX([1]Pivot!$B$1:$AB$65000,$B778,Z$5)="",2,0)),0)</f>
        <v>0</v>
      </c>
      <c r="AA778" s="194">
        <f>IFERROR(IF(INDEX([1]Pivot!$AD$1:$BE$65000,$B778,AA$5)=1,1,IF(INDEX([1]Pivot!$B$1:$AB$65000,$B778,AA$5)="",2,0)),0)</f>
        <v>0</v>
      </c>
      <c r="AB778" s="194">
        <f>IFERROR(IF(INDEX([1]Pivot!$AD$1:$BE$65000,$B778,AB$5)=1,1,IF(INDEX([1]Pivot!$B$1:$AB$65000,$B778,AB$5)="",2,0)),0)</f>
        <v>0</v>
      </c>
      <c r="AC778" s="194">
        <f>IFERROR(IF(INDEX([1]Pivot!$AD$1:$BE$65000,$B778,AC$5)=1,1,IF(INDEX([1]Pivot!$B$1:$AB$65000,$B778,AC$5)="",2,0)),0)</f>
        <v>0</v>
      </c>
      <c r="AD778" s="313">
        <f>IFERROR(IF(INDEX([1]Pivot!$BF$1:$CG$65000,$B778,AD$5)=1,1,IF(INDEX([1]Pivot!$B$1:$AB$65000,$B778,AD$5)="",2,0)),0)</f>
        <v>0</v>
      </c>
      <c r="AE778" s="313">
        <f>IFERROR(IF(INDEX([1]Pivot!$BF$1:$CG$65000,$B778,AE$5)=1,1,IF(INDEX([1]Pivot!$B$1:$AB$65000,$B778,AE$5)="",2,0)),0)</f>
        <v>0</v>
      </c>
      <c r="AF778" s="313">
        <f>IFERROR(IF(INDEX([1]Pivot!$BF$1:$CG$65000,$B778,AF$5)=1,1,IF(INDEX([1]Pivot!$B$1:$AB$65000,$B778,AF$5)="",2,0)),0)</f>
        <v>0</v>
      </c>
      <c r="AG778" s="313">
        <f>IFERROR(IF(INDEX([1]Pivot!$BF$1:$CG$65000,$B778,AG$5)=1,1,IF(INDEX([1]Pivot!$B$1:$AB$65000,$B778,AG$5)="",2,0)),0)</f>
        <v>0</v>
      </c>
      <c r="AH778" s="313">
        <f>IFERROR(IF(INDEX([1]Pivot!$BF$1:$CG$65000,$B778,AH$5)=1,1,IF(INDEX([1]Pivot!$B$1:$AB$65000,$B778,AH$5)="",2,0)),0)</f>
        <v>0</v>
      </c>
      <c r="AI778" s="313">
        <f>IFERROR(IF(INDEX([1]Pivot!$BF$1:$CG$65000,$B778,AI$5)=1,1,IF(INDEX([1]Pivot!$B$1:$AB$65000,$B778,AI$5)="",2,0)),0)</f>
        <v>0</v>
      </c>
      <c r="AJ778" s="313">
        <f>IFERROR(IF(INDEX([1]Pivot!$BF$1:$CG$65000,$B778,AJ$5)=1,1,IF(INDEX([1]Pivot!$B$1:$AB$65000,$B778,AJ$5)="",2,0)),0)</f>
        <v>0</v>
      </c>
      <c r="AK778" s="313">
        <f>IFERROR(IF(INDEX([1]Pivot!$BF$1:$CG$65000,$B778,AK$5)=1,1,IF(INDEX([1]Pivot!$B$1:$AB$65000,$B778,AK$5)="",2,0)),0)</f>
        <v>0</v>
      </c>
      <c r="AL778" s="313">
        <f>IFERROR(IF(INDEX([1]Pivot!$BF$1:$CG$65000,$B778,AL$5)=1,1,IF(INDEX([1]Pivot!$B$1:$AB$65000,$B778,AL$5)="",2,0)),0)</f>
        <v>0</v>
      </c>
      <c r="AM778" s="313">
        <f>IFERROR(IF(INDEX([1]Pivot!$BF$1:$CG$65000,$B778,AM$5)=1,1,IF(INDEX([1]Pivot!$B$1:$AB$65000,$B778,AM$5)="",2,0)),0)</f>
        <v>0</v>
      </c>
      <c r="AN778" s="313">
        <f>IFERROR(IF(INDEX([1]Pivot!$BF$1:$CG$65000,$B778,AN$5)=1,1,IF(INDEX([1]Pivot!$B$1:$AB$65000,$B778,AN$5)="",2,0)),0)</f>
        <v>0</v>
      </c>
      <c r="AO778" s="313">
        <f>IFERROR(IF(INDEX([1]Pivot!$BF$1:$CG$65000,$B778,AO$5)=1,1,IF(INDEX([1]Pivot!$B$1:$AB$65000,$B778,AO$5)="",2,0)),0)</f>
        <v>0</v>
      </c>
      <c r="AP778" s="313">
        <f>IFERROR(IF(INDEX([1]Pivot!$BF$1:$CG$65000,$B778,AP$5)=1,1,IF(INDEX([1]Pivot!$B$1:$AB$65000,$B778,AP$5)="",2,0)),0)</f>
        <v>0</v>
      </c>
      <c r="AQ778" s="313">
        <f>IFERROR(IF(INDEX([1]Pivot!$BF$1:$CG$65000,$B778,AQ$5)=1,1,IF(INDEX([1]Pivot!$B$1:$AB$65000,$B778,AQ$5)="",2,0)),0)</f>
        <v>0</v>
      </c>
      <c r="AR778" s="313">
        <f>IFERROR(IF(INDEX([1]Pivot!$BF$1:$CG$65000,$B778,AR$5)=1,1,IF(INDEX([1]Pivot!$B$1:$AB$65000,$B778,AR$5)="",2,0)),0)</f>
        <v>0</v>
      </c>
      <c r="AS778" s="312"/>
      <c r="AT778" s="313">
        <f>IFERROR(IF(INDEX([1]Pivot!$BF$1:$CG$65000,$B778,AT$5)=1,1,IF(INDEX([1]Pivot!$B$1:$AB$65000,$B778,AT$5)="",2,0)),0)</f>
        <v>0</v>
      </c>
      <c r="AU778" s="313">
        <f>IFERROR(IF(INDEX([1]Pivot!$BF$1:$CG$65000,$B778,AU$5)=1,1,IF(INDEX([1]Pivot!$B$1:$AB$65000,$B778,AU$5)="",2,0)),0)</f>
        <v>0</v>
      </c>
      <c r="AV778" s="313">
        <f>IFERROR(IF(INDEX([1]Pivot!$BF$1:$CG$65000,$B778,AV$5)=1,1,IF(INDEX([1]Pivot!$B$1:$AB$65000,$B778,AV$5)="",2,0)),0)</f>
        <v>0</v>
      </c>
      <c r="AW778" s="313">
        <f>IFERROR(IF(INDEX([1]Pivot!$BF$1:$CG$65000,$B778,AW$5)=1,1,IF(INDEX([1]Pivot!$B$1:$AB$65000,$B778,AW$5)="",2,0)),0)</f>
        <v>0</v>
      </c>
      <c r="AX778" s="313">
        <f>IFERROR(IF(INDEX([1]Pivot!$BF$1:$CG$65000,$B778,AX$5)=1,1,IF(INDEX([1]Pivot!$B$1:$AB$65000,$B778,AX$5)="",2,0)),0)</f>
        <v>0</v>
      </c>
      <c r="AY778" s="313">
        <f>IFERROR(IF(INDEX([1]Pivot!$BF$1:$CG$65000,$B778,AY$5)=1,1,IF(INDEX([1]Pivot!$B$1:$AB$65000,$B778,AY$5)="",2,0)),0)</f>
        <v>0</v>
      </c>
      <c r="AZ778" s="313">
        <f>IFERROR(IF(INDEX([1]Pivot!$BF$1:$CG$65000,$B778,AZ$5)=1,1,IF(INDEX([1]Pivot!$B$1:$AB$65000,$B778,AZ$5)="",2,0)),0)</f>
        <v>0</v>
      </c>
      <c r="BA778" s="313">
        <f>IFERROR(IF(INDEX([1]Pivot!$BF$1:$CG$65000,$B778,BA$5)=1,1,IF(INDEX([1]Pivot!$B$1:$AB$65000,$B778,BA$5)="",2,0)),0)</f>
        <v>0</v>
      </c>
      <c r="BB778" s="313">
        <f>IFERROR(IF(INDEX([1]Pivot!$BF$1:$CG$65000,$B778,BB$5)=1,1,IF(INDEX([1]Pivot!$B$1:$AB$65000,$B778,BB$5)="",2,0)),0)</f>
        <v>0</v>
      </c>
      <c r="BC778" s="313">
        <f>IFERROR(IF(INDEX([1]Pivot!$BF$1:$CG$65000,$B778,BC$5)=1,1,IF(INDEX([1]Pivot!$B$1:$AB$65000,$B778,BC$5)="",2,0)),0)</f>
        <v>0</v>
      </c>
      <c r="BD778" s="313">
        <f>IFERROR(IF(INDEX([1]Pivot!$BF$1:$CG$65000,$B778,BD$5)=1,1,IF(INDEX([1]Pivot!$B$1:$AB$65000,$B778,BD$5)="",2,0)),0)</f>
        <v>0</v>
      </c>
    </row>
    <row r="779" spans="1:56" x14ac:dyDescent="0.25">
      <c r="A779" s="288">
        <f>'[2]Raw Milk Prices'!A779</f>
        <v>0</v>
      </c>
      <c r="B779" s="296" t="e">
        <f>MATCH(DATE(LEFT('[2]Raw Milk Prices'!$A779,4),RIGHT('[2]Raw Milk Prices'!$A779,2),1),[1]Pivot!$A$1:$A$65000,0)</f>
        <v>#VALUE!</v>
      </c>
      <c r="C779" s="194">
        <f>IFERROR(IF(INDEX([1]Pivot!$AD$1:$BE$65000,$B779,C$5)=1,1,IF(INDEX([1]Pivot!$B$1:$AB$65000,$B779,C$5)="",2,0)),0)</f>
        <v>0</v>
      </c>
      <c r="D779" s="194">
        <f>IFERROR(IF(INDEX([1]Pivot!$AD$1:$BE$65000,$B779,D$5)=1,1,IF(INDEX([1]Pivot!$B$1:$AB$65000,$B779,D$5)="",2,0)),0)</f>
        <v>0</v>
      </c>
      <c r="E779" s="194">
        <f>IFERROR(IF(INDEX([1]Pivot!$AD$1:$BE$65000,$B779,E$5)=1,1,IF(INDEX([1]Pivot!$B$1:$AB$65000,$B779,E$5)="",2,0)),0)</f>
        <v>0</v>
      </c>
      <c r="F779" s="194">
        <f>IFERROR(IF(INDEX([1]Pivot!$AD$1:$BE$65000,$B779,F$5)=1,1,IF(INDEX([1]Pivot!$B$1:$AB$65000,$B779,F$5)="",2,0)),0)</f>
        <v>0</v>
      </c>
      <c r="G779" s="194">
        <f>IFERROR(IF(INDEX([1]Pivot!$AD$1:$BE$65000,$B779,G$5)=1,1,IF(INDEX([1]Pivot!$B$1:$AB$65000,$B779,G$5)="",2,0)),0)</f>
        <v>0</v>
      </c>
      <c r="H779" s="194">
        <f>IFERROR(IF(INDEX([1]Pivot!$AD$1:$BE$65000,$B779,H$5)=1,1,IF(INDEX([1]Pivot!$B$1:$AB$65000,$B779,H$5)="",2,0)),0)</f>
        <v>0</v>
      </c>
      <c r="I779" s="194">
        <f>IFERROR(IF(INDEX([1]Pivot!$AD$1:$BE$65000,$B779,I$5)=1,1,IF(INDEX([1]Pivot!$B$1:$AB$65000,$B779,I$5)="",2,0)),0)</f>
        <v>0</v>
      </c>
      <c r="J779" s="194">
        <f>IFERROR(IF(INDEX([1]Pivot!$AD$1:$BE$65000,$B779,J$5)=1,1,IF(INDEX([1]Pivot!$B$1:$AB$65000,$B779,J$5)="",2,0)),0)</f>
        <v>0</v>
      </c>
      <c r="K779" s="194">
        <f>IFERROR(IF(INDEX([1]Pivot!$AD$1:$BE$65000,$B779,K$5)=1,1,IF(INDEX([1]Pivot!$B$1:$AB$65000,$B779,K$5)="",2,0)),0)</f>
        <v>0</v>
      </c>
      <c r="L779" s="194">
        <f>IFERROR(IF(INDEX([1]Pivot!$AD$1:$BE$65000,$B779,L$5)=1,1,IF(INDEX([1]Pivot!$B$1:$AB$65000,$B779,L$5)="",2,0)),0)</f>
        <v>0</v>
      </c>
      <c r="M779" s="194">
        <f>IFERROR(IF(INDEX([1]Pivot!$AD$1:$BE$65000,$B779,M$5)=1,1,IF(INDEX([1]Pivot!$B$1:$AB$65000,$B779,M$5)="",2,0)),0)</f>
        <v>0</v>
      </c>
      <c r="N779" s="194">
        <f>IFERROR(IF(INDEX([1]Pivot!$AD$1:$BE$65000,$B779,N$5)=1,1,IF(INDEX([1]Pivot!$B$1:$AB$65000,$B779,N$5)="",2,0)),0)</f>
        <v>0</v>
      </c>
      <c r="O779" s="194">
        <f>IFERROR(IF(INDEX([1]Pivot!$AD$1:$BE$65000,$B779,O$5)=1,1,IF(INDEX([1]Pivot!$B$1:$AB$65000,$B779,O$5)="",2,0)),0)</f>
        <v>0</v>
      </c>
      <c r="P779" s="194">
        <f>IFERROR(IF(INDEX([1]Pivot!$AD$1:$BE$65000,$B779,P$5)=1,1,IF(INDEX([1]Pivot!$B$1:$AB$65000,$B779,P$5)="",2,0)),0)</f>
        <v>0</v>
      </c>
      <c r="Q779" s="194">
        <f>IFERROR(IF(INDEX([1]Pivot!$AD$1:$BE$65000,$B779,Q$5)=1,1,IF(INDEX([1]Pivot!$B$1:$AB$65000,$B779,Q$5)="",2,0)),0)</f>
        <v>0</v>
      </c>
      <c r="R779" s="312"/>
      <c r="S779" s="194">
        <f>IFERROR(IF(INDEX([1]Pivot!$AD$1:$BE$65000,$B779,S$5)=1,1,IF(INDEX([1]Pivot!$B$1:$AB$65000,$B779,S$5)="",2,0)),0)</f>
        <v>0</v>
      </c>
      <c r="T779" s="194">
        <f>IFERROR(IF(INDEX([1]Pivot!$AD$1:$BE$65000,$B779,T$5)=1,1,IF(INDEX([1]Pivot!$B$1:$AB$65000,$B779,T$5)="",2,0)),0)</f>
        <v>0</v>
      </c>
      <c r="U779" s="194">
        <f>IFERROR(IF(INDEX([1]Pivot!$AD$1:$BE$65000,$B779,U$5)=1,1,IF(INDEX([1]Pivot!$B$1:$AB$65000,$B779,U$5)="",2,0)),0)</f>
        <v>0</v>
      </c>
      <c r="V779" s="194">
        <f>IFERROR(IF(INDEX([1]Pivot!$AD$1:$BE$65000,$B779,V$5)=1,1,IF(INDEX([1]Pivot!$B$1:$AB$65000,$B779,V$5)="",2,0)),0)</f>
        <v>0</v>
      </c>
      <c r="W779" s="194">
        <f>IFERROR(IF(INDEX([1]Pivot!$AD$1:$BE$65000,$B779,W$5)=1,1,IF(INDEX([1]Pivot!$B$1:$AB$65000,$B779,W$5)="",2,0)),0)</f>
        <v>0</v>
      </c>
      <c r="X779" s="194">
        <f>IFERROR(IF(INDEX([1]Pivot!$AD$1:$BE$65000,$B779,X$5)=1,1,IF(INDEX([1]Pivot!$B$1:$AB$65000,$B779,X$5)="",2,0)),0)</f>
        <v>0</v>
      </c>
      <c r="Y779" s="194">
        <f>IFERROR(IF(INDEX([1]Pivot!$AD$1:$BE$65000,$B779,Y$5)=1,1,IF(INDEX([1]Pivot!$B$1:$AB$65000,$B779,Y$5)="",2,0)),0)</f>
        <v>0</v>
      </c>
      <c r="Z779" s="194">
        <f>IFERROR(IF(INDEX([1]Pivot!$AD$1:$BE$65000,$B779,Z$5)=1,1,IF(INDEX([1]Pivot!$B$1:$AB$65000,$B779,Z$5)="",2,0)),0)</f>
        <v>0</v>
      </c>
      <c r="AA779" s="194">
        <f>IFERROR(IF(INDEX([1]Pivot!$AD$1:$BE$65000,$B779,AA$5)=1,1,IF(INDEX([1]Pivot!$B$1:$AB$65000,$B779,AA$5)="",2,0)),0)</f>
        <v>0</v>
      </c>
      <c r="AB779" s="194">
        <f>IFERROR(IF(INDEX([1]Pivot!$AD$1:$BE$65000,$B779,AB$5)=1,1,IF(INDEX([1]Pivot!$B$1:$AB$65000,$B779,AB$5)="",2,0)),0)</f>
        <v>0</v>
      </c>
      <c r="AC779" s="194">
        <f>IFERROR(IF(INDEX([1]Pivot!$AD$1:$BE$65000,$B779,AC$5)=1,1,IF(INDEX([1]Pivot!$B$1:$AB$65000,$B779,AC$5)="",2,0)),0)</f>
        <v>0</v>
      </c>
      <c r="AD779" s="313">
        <f>IFERROR(IF(INDEX([1]Pivot!$BF$1:$CG$65000,$B779,AD$5)=1,1,IF(INDEX([1]Pivot!$B$1:$AB$65000,$B779,AD$5)="",2,0)),0)</f>
        <v>0</v>
      </c>
      <c r="AE779" s="313">
        <f>IFERROR(IF(INDEX([1]Pivot!$BF$1:$CG$65000,$B779,AE$5)=1,1,IF(INDEX([1]Pivot!$B$1:$AB$65000,$B779,AE$5)="",2,0)),0)</f>
        <v>0</v>
      </c>
      <c r="AF779" s="313">
        <f>IFERROR(IF(INDEX([1]Pivot!$BF$1:$CG$65000,$B779,AF$5)=1,1,IF(INDEX([1]Pivot!$B$1:$AB$65000,$B779,AF$5)="",2,0)),0)</f>
        <v>0</v>
      </c>
      <c r="AG779" s="313">
        <f>IFERROR(IF(INDEX([1]Pivot!$BF$1:$CG$65000,$B779,AG$5)=1,1,IF(INDEX([1]Pivot!$B$1:$AB$65000,$B779,AG$5)="",2,0)),0)</f>
        <v>0</v>
      </c>
      <c r="AH779" s="313">
        <f>IFERROR(IF(INDEX([1]Pivot!$BF$1:$CG$65000,$B779,AH$5)=1,1,IF(INDEX([1]Pivot!$B$1:$AB$65000,$B779,AH$5)="",2,0)),0)</f>
        <v>0</v>
      </c>
      <c r="AI779" s="313">
        <f>IFERROR(IF(INDEX([1]Pivot!$BF$1:$CG$65000,$B779,AI$5)=1,1,IF(INDEX([1]Pivot!$B$1:$AB$65000,$B779,AI$5)="",2,0)),0)</f>
        <v>0</v>
      </c>
      <c r="AJ779" s="313">
        <f>IFERROR(IF(INDEX([1]Pivot!$BF$1:$CG$65000,$B779,AJ$5)=1,1,IF(INDEX([1]Pivot!$B$1:$AB$65000,$B779,AJ$5)="",2,0)),0)</f>
        <v>0</v>
      </c>
      <c r="AK779" s="313">
        <f>IFERROR(IF(INDEX([1]Pivot!$BF$1:$CG$65000,$B779,AK$5)=1,1,IF(INDEX([1]Pivot!$B$1:$AB$65000,$B779,AK$5)="",2,0)),0)</f>
        <v>0</v>
      </c>
      <c r="AL779" s="313">
        <f>IFERROR(IF(INDEX([1]Pivot!$BF$1:$CG$65000,$B779,AL$5)=1,1,IF(INDEX([1]Pivot!$B$1:$AB$65000,$B779,AL$5)="",2,0)),0)</f>
        <v>0</v>
      </c>
      <c r="AM779" s="313">
        <f>IFERROR(IF(INDEX([1]Pivot!$BF$1:$CG$65000,$B779,AM$5)=1,1,IF(INDEX([1]Pivot!$B$1:$AB$65000,$B779,AM$5)="",2,0)),0)</f>
        <v>0</v>
      </c>
      <c r="AN779" s="313">
        <f>IFERROR(IF(INDEX([1]Pivot!$BF$1:$CG$65000,$B779,AN$5)=1,1,IF(INDEX([1]Pivot!$B$1:$AB$65000,$B779,AN$5)="",2,0)),0)</f>
        <v>0</v>
      </c>
      <c r="AO779" s="313">
        <f>IFERROR(IF(INDEX([1]Pivot!$BF$1:$CG$65000,$B779,AO$5)=1,1,IF(INDEX([1]Pivot!$B$1:$AB$65000,$B779,AO$5)="",2,0)),0)</f>
        <v>0</v>
      </c>
      <c r="AP779" s="313">
        <f>IFERROR(IF(INDEX([1]Pivot!$BF$1:$CG$65000,$B779,AP$5)=1,1,IF(INDEX([1]Pivot!$B$1:$AB$65000,$B779,AP$5)="",2,0)),0)</f>
        <v>0</v>
      </c>
      <c r="AQ779" s="313">
        <f>IFERROR(IF(INDEX([1]Pivot!$BF$1:$CG$65000,$B779,AQ$5)=1,1,IF(INDEX([1]Pivot!$B$1:$AB$65000,$B779,AQ$5)="",2,0)),0)</f>
        <v>0</v>
      </c>
      <c r="AR779" s="313">
        <f>IFERROR(IF(INDEX([1]Pivot!$BF$1:$CG$65000,$B779,AR$5)=1,1,IF(INDEX([1]Pivot!$B$1:$AB$65000,$B779,AR$5)="",2,0)),0)</f>
        <v>0</v>
      </c>
      <c r="AS779" s="312"/>
      <c r="AT779" s="313">
        <f>IFERROR(IF(INDEX([1]Pivot!$BF$1:$CG$65000,$B779,AT$5)=1,1,IF(INDEX([1]Pivot!$B$1:$AB$65000,$B779,AT$5)="",2,0)),0)</f>
        <v>0</v>
      </c>
      <c r="AU779" s="313">
        <f>IFERROR(IF(INDEX([1]Pivot!$BF$1:$CG$65000,$B779,AU$5)=1,1,IF(INDEX([1]Pivot!$B$1:$AB$65000,$B779,AU$5)="",2,0)),0)</f>
        <v>0</v>
      </c>
      <c r="AV779" s="313">
        <f>IFERROR(IF(INDEX([1]Pivot!$BF$1:$CG$65000,$B779,AV$5)=1,1,IF(INDEX([1]Pivot!$B$1:$AB$65000,$B779,AV$5)="",2,0)),0)</f>
        <v>0</v>
      </c>
      <c r="AW779" s="313">
        <f>IFERROR(IF(INDEX([1]Pivot!$BF$1:$CG$65000,$B779,AW$5)=1,1,IF(INDEX([1]Pivot!$B$1:$AB$65000,$B779,AW$5)="",2,0)),0)</f>
        <v>0</v>
      </c>
      <c r="AX779" s="313">
        <f>IFERROR(IF(INDEX([1]Pivot!$BF$1:$CG$65000,$B779,AX$5)=1,1,IF(INDEX([1]Pivot!$B$1:$AB$65000,$B779,AX$5)="",2,0)),0)</f>
        <v>0</v>
      </c>
      <c r="AY779" s="313">
        <f>IFERROR(IF(INDEX([1]Pivot!$BF$1:$CG$65000,$B779,AY$5)=1,1,IF(INDEX([1]Pivot!$B$1:$AB$65000,$B779,AY$5)="",2,0)),0)</f>
        <v>0</v>
      </c>
      <c r="AZ779" s="313">
        <f>IFERROR(IF(INDEX([1]Pivot!$BF$1:$CG$65000,$B779,AZ$5)=1,1,IF(INDEX([1]Pivot!$B$1:$AB$65000,$B779,AZ$5)="",2,0)),0)</f>
        <v>0</v>
      </c>
      <c r="BA779" s="313">
        <f>IFERROR(IF(INDEX([1]Pivot!$BF$1:$CG$65000,$B779,BA$5)=1,1,IF(INDEX([1]Pivot!$B$1:$AB$65000,$B779,BA$5)="",2,0)),0)</f>
        <v>0</v>
      </c>
      <c r="BB779" s="313">
        <f>IFERROR(IF(INDEX([1]Pivot!$BF$1:$CG$65000,$B779,BB$5)=1,1,IF(INDEX([1]Pivot!$B$1:$AB$65000,$B779,BB$5)="",2,0)),0)</f>
        <v>0</v>
      </c>
      <c r="BC779" s="313">
        <f>IFERROR(IF(INDEX([1]Pivot!$BF$1:$CG$65000,$B779,BC$5)=1,1,IF(INDEX([1]Pivot!$B$1:$AB$65000,$B779,BC$5)="",2,0)),0)</f>
        <v>0</v>
      </c>
      <c r="BD779" s="313">
        <f>IFERROR(IF(INDEX([1]Pivot!$BF$1:$CG$65000,$B779,BD$5)=1,1,IF(INDEX([1]Pivot!$B$1:$AB$65000,$B779,BD$5)="",2,0)),0)</f>
        <v>0</v>
      </c>
    </row>
    <row r="780" spans="1:56" x14ac:dyDescent="0.25">
      <c r="A780" s="288">
        <f>'[2]Raw Milk Prices'!A780</f>
        <v>0</v>
      </c>
      <c r="B780" s="296" t="e">
        <f>MATCH(DATE(LEFT('[2]Raw Milk Prices'!$A780,4),RIGHT('[2]Raw Milk Prices'!$A780,2),1),[1]Pivot!$A$1:$A$65000,0)</f>
        <v>#VALUE!</v>
      </c>
      <c r="C780" s="194">
        <f>IFERROR(IF(INDEX([1]Pivot!$AD$1:$BE$65000,$B780,C$5)=1,1,IF(INDEX([1]Pivot!$B$1:$AB$65000,$B780,C$5)="",2,0)),0)</f>
        <v>0</v>
      </c>
      <c r="D780" s="194">
        <f>IFERROR(IF(INDEX([1]Pivot!$AD$1:$BE$65000,$B780,D$5)=1,1,IF(INDEX([1]Pivot!$B$1:$AB$65000,$B780,D$5)="",2,0)),0)</f>
        <v>0</v>
      </c>
      <c r="E780" s="194">
        <f>IFERROR(IF(INDEX([1]Pivot!$AD$1:$BE$65000,$B780,E$5)=1,1,IF(INDEX([1]Pivot!$B$1:$AB$65000,$B780,E$5)="",2,0)),0)</f>
        <v>0</v>
      </c>
      <c r="F780" s="194">
        <f>IFERROR(IF(INDEX([1]Pivot!$AD$1:$BE$65000,$B780,F$5)=1,1,IF(INDEX([1]Pivot!$B$1:$AB$65000,$B780,F$5)="",2,0)),0)</f>
        <v>0</v>
      </c>
      <c r="G780" s="194">
        <f>IFERROR(IF(INDEX([1]Pivot!$AD$1:$BE$65000,$B780,G$5)=1,1,IF(INDEX([1]Pivot!$B$1:$AB$65000,$B780,G$5)="",2,0)),0)</f>
        <v>0</v>
      </c>
      <c r="H780" s="194">
        <f>IFERROR(IF(INDEX([1]Pivot!$AD$1:$BE$65000,$B780,H$5)=1,1,IF(INDEX([1]Pivot!$B$1:$AB$65000,$B780,H$5)="",2,0)),0)</f>
        <v>0</v>
      </c>
      <c r="I780" s="194">
        <f>IFERROR(IF(INDEX([1]Pivot!$AD$1:$BE$65000,$B780,I$5)=1,1,IF(INDEX([1]Pivot!$B$1:$AB$65000,$B780,I$5)="",2,0)),0)</f>
        <v>0</v>
      </c>
      <c r="J780" s="194">
        <f>IFERROR(IF(INDEX([1]Pivot!$AD$1:$BE$65000,$B780,J$5)=1,1,IF(INDEX([1]Pivot!$B$1:$AB$65000,$B780,J$5)="",2,0)),0)</f>
        <v>0</v>
      </c>
      <c r="K780" s="194">
        <f>IFERROR(IF(INDEX([1]Pivot!$AD$1:$BE$65000,$B780,K$5)=1,1,IF(INDEX([1]Pivot!$B$1:$AB$65000,$B780,K$5)="",2,0)),0)</f>
        <v>0</v>
      </c>
      <c r="L780" s="194">
        <f>IFERROR(IF(INDEX([1]Pivot!$AD$1:$BE$65000,$B780,L$5)=1,1,IF(INDEX([1]Pivot!$B$1:$AB$65000,$B780,L$5)="",2,0)),0)</f>
        <v>0</v>
      </c>
      <c r="M780" s="194">
        <f>IFERROR(IF(INDEX([1]Pivot!$AD$1:$BE$65000,$B780,M$5)=1,1,IF(INDEX([1]Pivot!$B$1:$AB$65000,$B780,M$5)="",2,0)),0)</f>
        <v>0</v>
      </c>
      <c r="N780" s="194">
        <f>IFERROR(IF(INDEX([1]Pivot!$AD$1:$BE$65000,$B780,N$5)=1,1,IF(INDEX([1]Pivot!$B$1:$AB$65000,$B780,N$5)="",2,0)),0)</f>
        <v>0</v>
      </c>
      <c r="O780" s="194">
        <f>IFERROR(IF(INDEX([1]Pivot!$AD$1:$BE$65000,$B780,O$5)=1,1,IF(INDEX([1]Pivot!$B$1:$AB$65000,$B780,O$5)="",2,0)),0)</f>
        <v>0</v>
      </c>
      <c r="P780" s="194">
        <f>IFERROR(IF(INDEX([1]Pivot!$AD$1:$BE$65000,$B780,P$5)=1,1,IF(INDEX([1]Pivot!$B$1:$AB$65000,$B780,P$5)="",2,0)),0)</f>
        <v>0</v>
      </c>
      <c r="Q780" s="194">
        <f>IFERROR(IF(INDEX([1]Pivot!$AD$1:$BE$65000,$B780,Q$5)=1,1,IF(INDEX([1]Pivot!$B$1:$AB$65000,$B780,Q$5)="",2,0)),0)</f>
        <v>0</v>
      </c>
      <c r="R780" s="312"/>
      <c r="S780" s="194">
        <f>IFERROR(IF(INDEX([1]Pivot!$AD$1:$BE$65000,$B780,S$5)=1,1,IF(INDEX([1]Pivot!$B$1:$AB$65000,$B780,S$5)="",2,0)),0)</f>
        <v>0</v>
      </c>
      <c r="T780" s="194">
        <f>IFERROR(IF(INDEX([1]Pivot!$AD$1:$BE$65000,$B780,T$5)=1,1,IF(INDEX([1]Pivot!$B$1:$AB$65000,$B780,T$5)="",2,0)),0)</f>
        <v>0</v>
      </c>
      <c r="U780" s="194">
        <f>IFERROR(IF(INDEX([1]Pivot!$AD$1:$BE$65000,$B780,U$5)=1,1,IF(INDEX([1]Pivot!$B$1:$AB$65000,$B780,U$5)="",2,0)),0)</f>
        <v>0</v>
      </c>
      <c r="V780" s="194">
        <f>IFERROR(IF(INDEX([1]Pivot!$AD$1:$BE$65000,$B780,V$5)=1,1,IF(INDEX([1]Pivot!$B$1:$AB$65000,$B780,V$5)="",2,0)),0)</f>
        <v>0</v>
      </c>
      <c r="W780" s="194">
        <f>IFERROR(IF(INDEX([1]Pivot!$AD$1:$BE$65000,$B780,W$5)=1,1,IF(INDEX([1]Pivot!$B$1:$AB$65000,$B780,W$5)="",2,0)),0)</f>
        <v>0</v>
      </c>
      <c r="X780" s="194">
        <f>IFERROR(IF(INDEX([1]Pivot!$AD$1:$BE$65000,$B780,X$5)=1,1,IF(INDEX([1]Pivot!$B$1:$AB$65000,$B780,X$5)="",2,0)),0)</f>
        <v>0</v>
      </c>
      <c r="Y780" s="194">
        <f>IFERROR(IF(INDEX([1]Pivot!$AD$1:$BE$65000,$B780,Y$5)=1,1,IF(INDEX([1]Pivot!$B$1:$AB$65000,$B780,Y$5)="",2,0)),0)</f>
        <v>0</v>
      </c>
      <c r="Z780" s="194">
        <f>IFERROR(IF(INDEX([1]Pivot!$AD$1:$BE$65000,$B780,Z$5)=1,1,IF(INDEX([1]Pivot!$B$1:$AB$65000,$B780,Z$5)="",2,0)),0)</f>
        <v>0</v>
      </c>
      <c r="AA780" s="194">
        <f>IFERROR(IF(INDEX([1]Pivot!$AD$1:$BE$65000,$B780,AA$5)=1,1,IF(INDEX([1]Pivot!$B$1:$AB$65000,$B780,AA$5)="",2,0)),0)</f>
        <v>0</v>
      </c>
      <c r="AB780" s="194">
        <f>IFERROR(IF(INDEX([1]Pivot!$AD$1:$BE$65000,$B780,AB$5)=1,1,IF(INDEX([1]Pivot!$B$1:$AB$65000,$B780,AB$5)="",2,0)),0)</f>
        <v>0</v>
      </c>
      <c r="AC780" s="194">
        <f>IFERROR(IF(INDEX([1]Pivot!$AD$1:$BE$65000,$B780,AC$5)=1,1,IF(INDEX([1]Pivot!$B$1:$AB$65000,$B780,AC$5)="",2,0)),0)</f>
        <v>0</v>
      </c>
      <c r="AD780" s="313">
        <f>IFERROR(IF(INDEX([1]Pivot!$BF$1:$CG$65000,$B780,AD$5)=1,1,IF(INDEX([1]Pivot!$B$1:$AB$65000,$B780,AD$5)="",2,0)),0)</f>
        <v>0</v>
      </c>
      <c r="AE780" s="313">
        <f>IFERROR(IF(INDEX([1]Pivot!$BF$1:$CG$65000,$B780,AE$5)=1,1,IF(INDEX([1]Pivot!$B$1:$AB$65000,$B780,AE$5)="",2,0)),0)</f>
        <v>0</v>
      </c>
      <c r="AF780" s="313">
        <f>IFERROR(IF(INDEX([1]Pivot!$BF$1:$CG$65000,$B780,AF$5)=1,1,IF(INDEX([1]Pivot!$B$1:$AB$65000,$B780,AF$5)="",2,0)),0)</f>
        <v>0</v>
      </c>
      <c r="AG780" s="313">
        <f>IFERROR(IF(INDEX([1]Pivot!$BF$1:$CG$65000,$B780,AG$5)=1,1,IF(INDEX([1]Pivot!$B$1:$AB$65000,$B780,AG$5)="",2,0)),0)</f>
        <v>0</v>
      </c>
      <c r="AH780" s="313">
        <f>IFERROR(IF(INDEX([1]Pivot!$BF$1:$CG$65000,$B780,AH$5)=1,1,IF(INDEX([1]Pivot!$B$1:$AB$65000,$B780,AH$5)="",2,0)),0)</f>
        <v>0</v>
      </c>
      <c r="AI780" s="313">
        <f>IFERROR(IF(INDEX([1]Pivot!$BF$1:$CG$65000,$B780,AI$5)=1,1,IF(INDEX([1]Pivot!$B$1:$AB$65000,$B780,AI$5)="",2,0)),0)</f>
        <v>0</v>
      </c>
      <c r="AJ780" s="313">
        <f>IFERROR(IF(INDEX([1]Pivot!$BF$1:$CG$65000,$B780,AJ$5)=1,1,IF(INDEX([1]Pivot!$B$1:$AB$65000,$B780,AJ$5)="",2,0)),0)</f>
        <v>0</v>
      </c>
      <c r="AK780" s="313">
        <f>IFERROR(IF(INDEX([1]Pivot!$BF$1:$CG$65000,$B780,AK$5)=1,1,IF(INDEX([1]Pivot!$B$1:$AB$65000,$B780,AK$5)="",2,0)),0)</f>
        <v>0</v>
      </c>
      <c r="AL780" s="313">
        <f>IFERROR(IF(INDEX([1]Pivot!$BF$1:$CG$65000,$B780,AL$5)=1,1,IF(INDEX([1]Pivot!$B$1:$AB$65000,$B780,AL$5)="",2,0)),0)</f>
        <v>0</v>
      </c>
      <c r="AM780" s="313">
        <f>IFERROR(IF(INDEX([1]Pivot!$BF$1:$CG$65000,$B780,AM$5)=1,1,IF(INDEX([1]Pivot!$B$1:$AB$65000,$B780,AM$5)="",2,0)),0)</f>
        <v>0</v>
      </c>
      <c r="AN780" s="313">
        <f>IFERROR(IF(INDEX([1]Pivot!$BF$1:$CG$65000,$B780,AN$5)=1,1,IF(INDEX([1]Pivot!$B$1:$AB$65000,$B780,AN$5)="",2,0)),0)</f>
        <v>0</v>
      </c>
      <c r="AO780" s="313">
        <f>IFERROR(IF(INDEX([1]Pivot!$BF$1:$CG$65000,$B780,AO$5)=1,1,IF(INDEX([1]Pivot!$B$1:$AB$65000,$B780,AO$5)="",2,0)),0)</f>
        <v>0</v>
      </c>
      <c r="AP780" s="313">
        <f>IFERROR(IF(INDEX([1]Pivot!$BF$1:$CG$65000,$B780,AP$5)=1,1,IF(INDEX([1]Pivot!$B$1:$AB$65000,$B780,AP$5)="",2,0)),0)</f>
        <v>0</v>
      </c>
      <c r="AQ780" s="313">
        <f>IFERROR(IF(INDEX([1]Pivot!$BF$1:$CG$65000,$B780,AQ$5)=1,1,IF(INDEX([1]Pivot!$B$1:$AB$65000,$B780,AQ$5)="",2,0)),0)</f>
        <v>0</v>
      </c>
      <c r="AR780" s="313">
        <f>IFERROR(IF(INDEX([1]Pivot!$BF$1:$CG$65000,$B780,AR$5)=1,1,IF(INDEX([1]Pivot!$B$1:$AB$65000,$B780,AR$5)="",2,0)),0)</f>
        <v>0</v>
      </c>
      <c r="AS780" s="312"/>
      <c r="AT780" s="313">
        <f>IFERROR(IF(INDEX([1]Pivot!$BF$1:$CG$65000,$B780,AT$5)=1,1,IF(INDEX([1]Pivot!$B$1:$AB$65000,$B780,AT$5)="",2,0)),0)</f>
        <v>0</v>
      </c>
      <c r="AU780" s="313">
        <f>IFERROR(IF(INDEX([1]Pivot!$BF$1:$CG$65000,$B780,AU$5)=1,1,IF(INDEX([1]Pivot!$B$1:$AB$65000,$B780,AU$5)="",2,0)),0)</f>
        <v>0</v>
      </c>
      <c r="AV780" s="313">
        <f>IFERROR(IF(INDEX([1]Pivot!$BF$1:$CG$65000,$B780,AV$5)=1,1,IF(INDEX([1]Pivot!$B$1:$AB$65000,$B780,AV$5)="",2,0)),0)</f>
        <v>0</v>
      </c>
      <c r="AW780" s="313">
        <f>IFERROR(IF(INDEX([1]Pivot!$BF$1:$CG$65000,$B780,AW$5)=1,1,IF(INDEX([1]Pivot!$B$1:$AB$65000,$B780,AW$5)="",2,0)),0)</f>
        <v>0</v>
      </c>
      <c r="AX780" s="313">
        <f>IFERROR(IF(INDEX([1]Pivot!$BF$1:$CG$65000,$B780,AX$5)=1,1,IF(INDEX([1]Pivot!$B$1:$AB$65000,$B780,AX$5)="",2,0)),0)</f>
        <v>0</v>
      </c>
      <c r="AY780" s="313">
        <f>IFERROR(IF(INDEX([1]Pivot!$BF$1:$CG$65000,$B780,AY$5)=1,1,IF(INDEX([1]Pivot!$B$1:$AB$65000,$B780,AY$5)="",2,0)),0)</f>
        <v>0</v>
      </c>
      <c r="AZ780" s="313">
        <f>IFERROR(IF(INDEX([1]Pivot!$BF$1:$CG$65000,$B780,AZ$5)=1,1,IF(INDEX([1]Pivot!$B$1:$AB$65000,$B780,AZ$5)="",2,0)),0)</f>
        <v>0</v>
      </c>
      <c r="BA780" s="313">
        <f>IFERROR(IF(INDEX([1]Pivot!$BF$1:$CG$65000,$B780,BA$5)=1,1,IF(INDEX([1]Pivot!$B$1:$AB$65000,$B780,BA$5)="",2,0)),0)</f>
        <v>0</v>
      </c>
      <c r="BB780" s="313">
        <f>IFERROR(IF(INDEX([1]Pivot!$BF$1:$CG$65000,$B780,BB$5)=1,1,IF(INDEX([1]Pivot!$B$1:$AB$65000,$B780,BB$5)="",2,0)),0)</f>
        <v>0</v>
      </c>
      <c r="BC780" s="313">
        <f>IFERROR(IF(INDEX([1]Pivot!$BF$1:$CG$65000,$B780,BC$5)=1,1,IF(INDEX([1]Pivot!$B$1:$AB$65000,$B780,BC$5)="",2,0)),0)</f>
        <v>0</v>
      </c>
      <c r="BD780" s="313">
        <f>IFERROR(IF(INDEX([1]Pivot!$BF$1:$CG$65000,$B780,BD$5)=1,1,IF(INDEX([1]Pivot!$B$1:$AB$65000,$B780,BD$5)="",2,0)),0)</f>
        <v>0</v>
      </c>
    </row>
    <row r="781" spans="1:56" x14ac:dyDescent="0.25">
      <c r="A781" s="288">
        <f>'[2]Raw Milk Prices'!A781</f>
        <v>0</v>
      </c>
      <c r="B781" s="296" t="e">
        <f>MATCH(DATE(LEFT('[2]Raw Milk Prices'!$A781,4),RIGHT('[2]Raw Milk Prices'!$A781,2),1),[1]Pivot!$A$1:$A$65000,0)</f>
        <v>#VALUE!</v>
      </c>
      <c r="C781" s="194">
        <f>IFERROR(IF(INDEX([1]Pivot!$AD$1:$BE$65000,$B781,C$5)=1,1,IF(INDEX([1]Pivot!$B$1:$AB$65000,$B781,C$5)="",2,0)),0)</f>
        <v>0</v>
      </c>
      <c r="D781" s="194">
        <f>IFERROR(IF(INDEX([1]Pivot!$AD$1:$BE$65000,$B781,D$5)=1,1,IF(INDEX([1]Pivot!$B$1:$AB$65000,$B781,D$5)="",2,0)),0)</f>
        <v>0</v>
      </c>
      <c r="E781" s="194">
        <f>IFERROR(IF(INDEX([1]Pivot!$AD$1:$BE$65000,$B781,E$5)=1,1,IF(INDEX([1]Pivot!$B$1:$AB$65000,$B781,E$5)="",2,0)),0)</f>
        <v>0</v>
      </c>
      <c r="F781" s="194">
        <f>IFERROR(IF(INDEX([1]Pivot!$AD$1:$BE$65000,$B781,F$5)=1,1,IF(INDEX([1]Pivot!$B$1:$AB$65000,$B781,F$5)="",2,0)),0)</f>
        <v>0</v>
      </c>
      <c r="G781" s="194">
        <f>IFERROR(IF(INDEX([1]Pivot!$AD$1:$BE$65000,$B781,G$5)=1,1,IF(INDEX([1]Pivot!$B$1:$AB$65000,$B781,G$5)="",2,0)),0)</f>
        <v>0</v>
      </c>
      <c r="H781" s="194">
        <f>IFERROR(IF(INDEX([1]Pivot!$AD$1:$BE$65000,$B781,H$5)=1,1,IF(INDEX([1]Pivot!$B$1:$AB$65000,$B781,H$5)="",2,0)),0)</f>
        <v>0</v>
      </c>
      <c r="I781" s="194">
        <f>IFERROR(IF(INDEX([1]Pivot!$AD$1:$BE$65000,$B781,I$5)=1,1,IF(INDEX([1]Pivot!$B$1:$AB$65000,$B781,I$5)="",2,0)),0)</f>
        <v>0</v>
      </c>
      <c r="J781" s="194">
        <f>IFERROR(IF(INDEX([1]Pivot!$AD$1:$BE$65000,$B781,J$5)=1,1,IF(INDEX([1]Pivot!$B$1:$AB$65000,$B781,J$5)="",2,0)),0)</f>
        <v>0</v>
      </c>
      <c r="K781" s="194">
        <f>IFERROR(IF(INDEX([1]Pivot!$AD$1:$BE$65000,$B781,K$5)=1,1,IF(INDEX([1]Pivot!$B$1:$AB$65000,$B781,K$5)="",2,0)),0)</f>
        <v>0</v>
      </c>
      <c r="L781" s="194">
        <f>IFERROR(IF(INDEX([1]Pivot!$AD$1:$BE$65000,$B781,L$5)=1,1,IF(INDEX([1]Pivot!$B$1:$AB$65000,$B781,L$5)="",2,0)),0)</f>
        <v>0</v>
      </c>
      <c r="M781" s="194">
        <f>IFERROR(IF(INDEX([1]Pivot!$AD$1:$BE$65000,$B781,M$5)=1,1,IF(INDEX([1]Pivot!$B$1:$AB$65000,$B781,M$5)="",2,0)),0)</f>
        <v>0</v>
      </c>
      <c r="N781" s="194">
        <f>IFERROR(IF(INDEX([1]Pivot!$AD$1:$BE$65000,$B781,N$5)=1,1,IF(INDEX([1]Pivot!$B$1:$AB$65000,$B781,N$5)="",2,0)),0)</f>
        <v>0</v>
      </c>
      <c r="O781" s="194">
        <f>IFERROR(IF(INDEX([1]Pivot!$AD$1:$BE$65000,$B781,O$5)=1,1,IF(INDEX([1]Pivot!$B$1:$AB$65000,$B781,O$5)="",2,0)),0)</f>
        <v>0</v>
      </c>
      <c r="P781" s="194">
        <f>IFERROR(IF(INDEX([1]Pivot!$AD$1:$BE$65000,$B781,P$5)=1,1,IF(INDEX([1]Pivot!$B$1:$AB$65000,$B781,P$5)="",2,0)),0)</f>
        <v>0</v>
      </c>
      <c r="Q781" s="194">
        <f>IFERROR(IF(INDEX([1]Pivot!$AD$1:$BE$65000,$B781,Q$5)=1,1,IF(INDEX([1]Pivot!$B$1:$AB$65000,$B781,Q$5)="",2,0)),0)</f>
        <v>0</v>
      </c>
      <c r="R781" s="312"/>
      <c r="S781" s="194">
        <f>IFERROR(IF(INDEX([1]Pivot!$AD$1:$BE$65000,$B781,S$5)=1,1,IF(INDEX([1]Pivot!$B$1:$AB$65000,$B781,S$5)="",2,0)),0)</f>
        <v>0</v>
      </c>
      <c r="T781" s="194">
        <f>IFERROR(IF(INDEX([1]Pivot!$AD$1:$BE$65000,$B781,T$5)=1,1,IF(INDEX([1]Pivot!$B$1:$AB$65000,$B781,T$5)="",2,0)),0)</f>
        <v>0</v>
      </c>
      <c r="U781" s="194">
        <f>IFERROR(IF(INDEX([1]Pivot!$AD$1:$BE$65000,$B781,U$5)=1,1,IF(INDEX([1]Pivot!$B$1:$AB$65000,$B781,U$5)="",2,0)),0)</f>
        <v>0</v>
      </c>
      <c r="V781" s="194">
        <f>IFERROR(IF(INDEX([1]Pivot!$AD$1:$BE$65000,$B781,V$5)=1,1,IF(INDEX([1]Pivot!$B$1:$AB$65000,$B781,V$5)="",2,0)),0)</f>
        <v>0</v>
      </c>
      <c r="W781" s="194">
        <f>IFERROR(IF(INDEX([1]Pivot!$AD$1:$BE$65000,$B781,W$5)=1,1,IF(INDEX([1]Pivot!$B$1:$AB$65000,$B781,W$5)="",2,0)),0)</f>
        <v>0</v>
      </c>
      <c r="X781" s="194">
        <f>IFERROR(IF(INDEX([1]Pivot!$AD$1:$BE$65000,$B781,X$5)=1,1,IF(INDEX([1]Pivot!$B$1:$AB$65000,$B781,X$5)="",2,0)),0)</f>
        <v>0</v>
      </c>
      <c r="Y781" s="194">
        <f>IFERROR(IF(INDEX([1]Pivot!$AD$1:$BE$65000,$B781,Y$5)=1,1,IF(INDEX([1]Pivot!$B$1:$AB$65000,$B781,Y$5)="",2,0)),0)</f>
        <v>0</v>
      </c>
      <c r="Z781" s="194">
        <f>IFERROR(IF(INDEX([1]Pivot!$AD$1:$BE$65000,$B781,Z$5)=1,1,IF(INDEX([1]Pivot!$B$1:$AB$65000,$B781,Z$5)="",2,0)),0)</f>
        <v>0</v>
      </c>
      <c r="AA781" s="194">
        <f>IFERROR(IF(INDEX([1]Pivot!$AD$1:$BE$65000,$B781,AA$5)=1,1,IF(INDEX([1]Pivot!$B$1:$AB$65000,$B781,AA$5)="",2,0)),0)</f>
        <v>0</v>
      </c>
      <c r="AB781" s="194">
        <f>IFERROR(IF(INDEX([1]Pivot!$AD$1:$BE$65000,$B781,AB$5)=1,1,IF(INDEX([1]Pivot!$B$1:$AB$65000,$B781,AB$5)="",2,0)),0)</f>
        <v>0</v>
      </c>
      <c r="AC781" s="194">
        <f>IFERROR(IF(INDEX([1]Pivot!$AD$1:$BE$65000,$B781,AC$5)=1,1,IF(INDEX([1]Pivot!$B$1:$AB$65000,$B781,AC$5)="",2,0)),0)</f>
        <v>0</v>
      </c>
      <c r="AD781" s="313">
        <f>IFERROR(IF(INDEX([1]Pivot!$BF$1:$CG$65000,$B781,AD$5)=1,1,IF(INDEX([1]Pivot!$B$1:$AB$65000,$B781,AD$5)="",2,0)),0)</f>
        <v>0</v>
      </c>
      <c r="AE781" s="313">
        <f>IFERROR(IF(INDEX([1]Pivot!$BF$1:$CG$65000,$B781,AE$5)=1,1,IF(INDEX([1]Pivot!$B$1:$AB$65000,$B781,AE$5)="",2,0)),0)</f>
        <v>0</v>
      </c>
      <c r="AF781" s="313">
        <f>IFERROR(IF(INDEX([1]Pivot!$BF$1:$CG$65000,$B781,AF$5)=1,1,IF(INDEX([1]Pivot!$B$1:$AB$65000,$B781,AF$5)="",2,0)),0)</f>
        <v>0</v>
      </c>
      <c r="AG781" s="313">
        <f>IFERROR(IF(INDEX([1]Pivot!$BF$1:$CG$65000,$B781,AG$5)=1,1,IF(INDEX([1]Pivot!$B$1:$AB$65000,$B781,AG$5)="",2,0)),0)</f>
        <v>0</v>
      </c>
      <c r="AH781" s="313">
        <f>IFERROR(IF(INDEX([1]Pivot!$BF$1:$CG$65000,$B781,AH$5)=1,1,IF(INDEX([1]Pivot!$B$1:$AB$65000,$B781,AH$5)="",2,0)),0)</f>
        <v>0</v>
      </c>
      <c r="AI781" s="313">
        <f>IFERROR(IF(INDEX([1]Pivot!$BF$1:$CG$65000,$B781,AI$5)=1,1,IF(INDEX([1]Pivot!$B$1:$AB$65000,$B781,AI$5)="",2,0)),0)</f>
        <v>0</v>
      </c>
      <c r="AJ781" s="313">
        <f>IFERROR(IF(INDEX([1]Pivot!$BF$1:$CG$65000,$B781,AJ$5)=1,1,IF(INDEX([1]Pivot!$B$1:$AB$65000,$B781,AJ$5)="",2,0)),0)</f>
        <v>0</v>
      </c>
      <c r="AK781" s="313">
        <f>IFERROR(IF(INDEX([1]Pivot!$BF$1:$CG$65000,$B781,AK$5)=1,1,IF(INDEX([1]Pivot!$B$1:$AB$65000,$B781,AK$5)="",2,0)),0)</f>
        <v>0</v>
      </c>
      <c r="AL781" s="313">
        <f>IFERROR(IF(INDEX([1]Pivot!$BF$1:$CG$65000,$B781,AL$5)=1,1,IF(INDEX([1]Pivot!$B$1:$AB$65000,$B781,AL$5)="",2,0)),0)</f>
        <v>0</v>
      </c>
      <c r="AM781" s="313">
        <f>IFERROR(IF(INDEX([1]Pivot!$BF$1:$CG$65000,$B781,AM$5)=1,1,IF(INDEX([1]Pivot!$B$1:$AB$65000,$B781,AM$5)="",2,0)),0)</f>
        <v>0</v>
      </c>
      <c r="AN781" s="313">
        <f>IFERROR(IF(INDEX([1]Pivot!$BF$1:$CG$65000,$B781,AN$5)=1,1,IF(INDEX([1]Pivot!$B$1:$AB$65000,$B781,AN$5)="",2,0)),0)</f>
        <v>0</v>
      </c>
      <c r="AO781" s="313">
        <f>IFERROR(IF(INDEX([1]Pivot!$BF$1:$CG$65000,$B781,AO$5)=1,1,IF(INDEX([1]Pivot!$B$1:$AB$65000,$B781,AO$5)="",2,0)),0)</f>
        <v>0</v>
      </c>
      <c r="AP781" s="313">
        <f>IFERROR(IF(INDEX([1]Pivot!$BF$1:$CG$65000,$B781,AP$5)=1,1,IF(INDEX([1]Pivot!$B$1:$AB$65000,$B781,AP$5)="",2,0)),0)</f>
        <v>0</v>
      </c>
      <c r="AQ781" s="313">
        <f>IFERROR(IF(INDEX([1]Pivot!$BF$1:$CG$65000,$B781,AQ$5)=1,1,IF(INDEX([1]Pivot!$B$1:$AB$65000,$B781,AQ$5)="",2,0)),0)</f>
        <v>0</v>
      </c>
      <c r="AR781" s="313">
        <f>IFERROR(IF(INDEX([1]Pivot!$BF$1:$CG$65000,$B781,AR$5)=1,1,IF(INDEX([1]Pivot!$B$1:$AB$65000,$B781,AR$5)="",2,0)),0)</f>
        <v>0</v>
      </c>
      <c r="AS781" s="312"/>
      <c r="AT781" s="313">
        <f>IFERROR(IF(INDEX([1]Pivot!$BF$1:$CG$65000,$B781,AT$5)=1,1,IF(INDEX([1]Pivot!$B$1:$AB$65000,$B781,AT$5)="",2,0)),0)</f>
        <v>0</v>
      </c>
      <c r="AU781" s="313">
        <f>IFERROR(IF(INDEX([1]Pivot!$BF$1:$CG$65000,$B781,AU$5)=1,1,IF(INDEX([1]Pivot!$B$1:$AB$65000,$B781,AU$5)="",2,0)),0)</f>
        <v>0</v>
      </c>
      <c r="AV781" s="313">
        <f>IFERROR(IF(INDEX([1]Pivot!$BF$1:$CG$65000,$B781,AV$5)=1,1,IF(INDEX([1]Pivot!$B$1:$AB$65000,$B781,AV$5)="",2,0)),0)</f>
        <v>0</v>
      </c>
      <c r="AW781" s="313">
        <f>IFERROR(IF(INDEX([1]Pivot!$BF$1:$CG$65000,$B781,AW$5)=1,1,IF(INDEX([1]Pivot!$B$1:$AB$65000,$B781,AW$5)="",2,0)),0)</f>
        <v>0</v>
      </c>
      <c r="AX781" s="313">
        <f>IFERROR(IF(INDEX([1]Pivot!$BF$1:$CG$65000,$B781,AX$5)=1,1,IF(INDEX([1]Pivot!$B$1:$AB$65000,$B781,AX$5)="",2,0)),0)</f>
        <v>0</v>
      </c>
      <c r="AY781" s="313">
        <f>IFERROR(IF(INDEX([1]Pivot!$BF$1:$CG$65000,$B781,AY$5)=1,1,IF(INDEX([1]Pivot!$B$1:$AB$65000,$B781,AY$5)="",2,0)),0)</f>
        <v>0</v>
      </c>
      <c r="AZ781" s="313">
        <f>IFERROR(IF(INDEX([1]Pivot!$BF$1:$CG$65000,$B781,AZ$5)=1,1,IF(INDEX([1]Pivot!$B$1:$AB$65000,$B781,AZ$5)="",2,0)),0)</f>
        <v>0</v>
      </c>
      <c r="BA781" s="313">
        <f>IFERROR(IF(INDEX([1]Pivot!$BF$1:$CG$65000,$B781,BA$5)=1,1,IF(INDEX([1]Pivot!$B$1:$AB$65000,$B781,BA$5)="",2,0)),0)</f>
        <v>0</v>
      </c>
      <c r="BB781" s="313">
        <f>IFERROR(IF(INDEX([1]Pivot!$BF$1:$CG$65000,$B781,BB$5)=1,1,IF(INDEX([1]Pivot!$B$1:$AB$65000,$B781,BB$5)="",2,0)),0)</f>
        <v>0</v>
      </c>
      <c r="BC781" s="313">
        <f>IFERROR(IF(INDEX([1]Pivot!$BF$1:$CG$65000,$B781,BC$5)=1,1,IF(INDEX([1]Pivot!$B$1:$AB$65000,$B781,BC$5)="",2,0)),0)</f>
        <v>0</v>
      </c>
      <c r="BD781" s="313">
        <f>IFERROR(IF(INDEX([1]Pivot!$BF$1:$CG$65000,$B781,BD$5)=1,1,IF(INDEX([1]Pivot!$B$1:$AB$65000,$B781,BD$5)="",2,0)),0)</f>
        <v>0</v>
      </c>
    </row>
    <row r="782" spans="1:56" x14ac:dyDescent="0.25">
      <c r="A782" s="288">
        <f>'[2]Raw Milk Prices'!A782</f>
        <v>0</v>
      </c>
      <c r="B782" s="296" t="e">
        <f>MATCH(DATE(LEFT('[2]Raw Milk Prices'!$A782,4),RIGHT('[2]Raw Milk Prices'!$A782,2),1),[1]Pivot!$A$1:$A$65000,0)</f>
        <v>#VALUE!</v>
      </c>
      <c r="C782" s="194">
        <f>IFERROR(IF(INDEX([1]Pivot!$AD$1:$BE$65000,$B782,C$5)=1,1,IF(INDEX([1]Pivot!$B$1:$AB$65000,$B782,C$5)="",2,0)),0)</f>
        <v>0</v>
      </c>
      <c r="D782" s="194">
        <f>IFERROR(IF(INDEX([1]Pivot!$AD$1:$BE$65000,$B782,D$5)=1,1,IF(INDEX([1]Pivot!$B$1:$AB$65000,$B782,D$5)="",2,0)),0)</f>
        <v>0</v>
      </c>
      <c r="E782" s="194">
        <f>IFERROR(IF(INDEX([1]Pivot!$AD$1:$BE$65000,$B782,E$5)=1,1,IF(INDEX([1]Pivot!$B$1:$AB$65000,$B782,E$5)="",2,0)),0)</f>
        <v>0</v>
      </c>
      <c r="F782" s="194">
        <f>IFERROR(IF(INDEX([1]Pivot!$AD$1:$BE$65000,$B782,F$5)=1,1,IF(INDEX([1]Pivot!$B$1:$AB$65000,$B782,F$5)="",2,0)),0)</f>
        <v>0</v>
      </c>
      <c r="G782" s="194">
        <f>IFERROR(IF(INDEX([1]Pivot!$AD$1:$BE$65000,$B782,G$5)=1,1,IF(INDEX([1]Pivot!$B$1:$AB$65000,$B782,G$5)="",2,0)),0)</f>
        <v>0</v>
      </c>
      <c r="H782" s="194">
        <f>IFERROR(IF(INDEX([1]Pivot!$AD$1:$BE$65000,$B782,H$5)=1,1,IF(INDEX([1]Pivot!$B$1:$AB$65000,$B782,H$5)="",2,0)),0)</f>
        <v>0</v>
      </c>
      <c r="I782" s="194">
        <f>IFERROR(IF(INDEX([1]Pivot!$AD$1:$BE$65000,$B782,I$5)=1,1,IF(INDEX([1]Pivot!$B$1:$AB$65000,$B782,I$5)="",2,0)),0)</f>
        <v>0</v>
      </c>
      <c r="J782" s="194">
        <f>IFERROR(IF(INDEX([1]Pivot!$AD$1:$BE$65000,$B782,J$5)=1,1,IF(INDEX([1]Pivot!$B$1:$AB$65000,$B782,J$5)="",2,0)),0)</f>
        <v>0</v>
      </c>
      <c r="K782" s="194">
        <f>IFERROR(IF(INDEX([1]Pivot!$AD$1:$BE$65000,$B782,K$5)=1,1,IF(INDEX([1]Pivot!$B$1:$AB$65000,$B782,K$5)="",2,0)),0)</f>
        <v>0</v>
      </c>
      <c r="L782" s="194">
        <f>IFERROR(IF(INDEX([1]Pivot!$AD$1:$BE$65000,$B782,L$5)=1,1,IF(INDEX([1]Pivot!$B$1:$AB$65000,$B782,L$5)="",2,0)),0)</f>
        <v>0</v>
      </c>
      <c r="M782" s="194">
        <f>IFERROR(IF(INDEX([1]Pivot!$AD$1:$BE$65000,$B782,M$5)=1,1,IF(INDEX([1]Pivot!$B$1:$AB$65000,$B782,M$5)="",2,0)),0)</f>
        <v>0</v>
      </c>
      <c r="N782" s="194">
        <f>IFERROR(IF(INDEX([1]Pivot!$AD$1:$BE$65000,$B782,N$5)=1,1,IF(INDEX([1]Pivot!$B$1:$AB$65000,$B782,N$5)="",2,0)),0)</f>
        <v>0</v>
      </c>
      <c r="O782" s="194">
        <f>IFERROR(IF(INDEX([1]Pivot!$AD$1:$BE$65000,$B782,O$5)=1,1,IF(INDEX([1]Pivot!$B$1:$AB$65000,$B782,O$5)="",2,0)),0)</f>
        <v>0</v>
      </c>
      <c r="P782" s="194">
        <f>IFERROR(IF(INDEX([1]Pivot!$AD$1:$BE$65000,$B782,P$5)=1,1,IF(INDEX([1]Pivot!$B$1:$AB$65000,$B782,P$5)="",2,0)),0)</f>
        <v>0</v>
      </c>
      <c r="Q782" s="194">
        <f>IFERROR(IF(INDEX([1]Pivot!$AD$1:$BE$65000,$B782,Q$5)=1,1,IF(INDEX([1]Pivot!$B$1:$AB$65000,$B782,Q$5)="",2,0)),0)</f>
        <v>0</v>
      </c>
      <c r="R782" s="312"/>
      <c r="S782" s="194">
        <f>IFERROR(IF(INDEX([1]Pivot!$AD$1:$BE$65000,$B782,S$5)=1,1,IF(INDEX([1]Pivot!$B$1:$AB$65000,$B782,S$5)="",2,0)),0)</f>
        <v>0</v>
      </c>
      <c r="T782" s="194">
        <f>IFERROR(IF(INDEX([1]Pivot!$AD$1:$BE$65000,$B782,T$5)=1,1,IF(INDEX([1]Pivot!$B$1:$AB$65000,$B782,T$5)="",2,0)),0)</f>
        <v>0</v>
      </c>
      <c r="U782" s="194">
        <f>IFERROR(IF(INDEX([1]Pivot!$AD$1:$BE$65000,$B782,U$5)=1,1,IF(INDEX([1]Pivot!$B$1:$AB$65000,$B782,U$5)="",2,0)),0)</f>
        <v>0</v>
      </c>
      <c r="V782" s="194">
        <f>IFERROR(IF(INDEX([1]Pivot!$AD$1:$BE$65000,$B782,V$5)=1,1,IF(INDEX([1]Pivot!$B$1:$AB$65000,$B782,V$5)="",2,0)),0)</f>
        <v>0</v>
      </c>
      <c r="W782" s="194">
        <f>IFERROR(IF(INDEX([1]Pivot!$AD$1:$BE$65000,$B782,W$5)=1,1,IF(INDEX([1]Pivot!$B$1:$AB$65000,$B782,W$5)="",2,0)),0)</f>
        <v>0</v>
      </c>
      <c r="X782" s="194">
        <f>IFERROR(IF(INDEX([1]Pivot!$AD$1:$BE$65000,$B782,X$5)=1,1,IF(INDEX([1]Pivot!$B$1:$AB$65000,$B782,X$5)="",2,0)),0)</f>
        <v>0</v>
      </c>
      <c r="Y782" s="194">
        <f>IFERROR(IF(INDEX([1]Pivot!$AD$1:$BE$65000,$B782,Y$5)=1,1,IF(INDEX([1]Pivot!$B$1:$AB$65000,$B782,Y$5)="",2,0)),0)</f>
        <v>0</v>
      </c>
      <c r="Z782" s="194">
        <f>IFERROR(IF(INDEX([1]Pivot!$AD$1:$BE$65000,$B782,Z$5)=1,1,IF(INDEX([1]Pivot!$B$1:$AB$65000,$B782,Z$5)="",2,0)),0)</f>
        <v>0</v>
      </c>
      <c r="AA782" s="194">
        <f>IFERROR(IF(INDEX([1]Pivot!$AD$1:$BE$65000,$B782,AA$5)=1,1,IF(INDEX([1]Pivot!$B$1:$AB$65000,$B782,AA$5)="",2,0)),0)</f>
        <v>0</v>
      </c>
      <c r="AB782" s="194">
        <f>IFERROR(IF(INDEX([1]Pivot!$AD$1:$BE$65000,$B782,AB$5)=1,1,IF(INDEX([1]Pivot!$B$1:$AB$65000,$B782,AB$5)="",2,0)),0)</f>
        <v>0</v>
      </c>
      <c r="AC782" s="194">
        <f>IFERROR(IF(INDEX([1]Pivot!$AD$1:$BE$65000,$B782,AC$5)=1,1,IF(INDEX([1]Pivot!$B$1:$AB$65000,$B782,AC$5)="",2,0)),0)</f>
        <v>0</v>
      </c>
      <c r="AD782" s="313">
        <f>IFERROR(IF(INDEX([1]Pivot!$BF$1:$CG$65000,$B782,AD$5)=1,1,IF(INDEX([1]Pivot!$B$1:$AB$65000,$B782,AD$5)="",2,0)),0)</f>
        <v>0</v>
      </c>
      <c r="AE782" s="313">
        <f>IFERROR(IF(INDEX([1]Pivot!$BF$1:$CG$65000,$B782,AE$5)=1,1,IF(INDEX([1]Pivot!$B$1:$AB$65000,$B782,AE$5)="",2,0)),0)</f>
        <v>0</v>
      </c>
      <c r="AF782" s="313">
        <f>IFERROR(IF(INDEX([1]Pivot!$BF$1:$CG$65000,$B782,AF$5)=1,1,IF(INDEX([1]Pivot!$B$1:$AB$65000,$B782,AF$5)="",2,0)),0)</f>
        <v>0</v>
      </c>
      <c r="AG782" s="313">
        <f>IFERROR(IF(INDEX([1]Pivot!$BF$1:$CG$65000,$B782,AG$5)=1,1,IF(INDEX([1]Pivot!$B$1:$AB$65000,$B782,AG$5)="",2,0)),0)</f>
        <v>0</v>
      </c>
      <c r="AH782" s="313">
        <f>IFERROR(IF(INDEX([1]Pivot!$BF$1:$CG$65000,$B782,AH$5)=1,1,IF(INDEX([1]Pivot!$B$1:$AB$65000,$B782,AH$5)="",2,0)),0)</f>
        <v>0</v>
      </c>
      <c r="AI782" s="313">
        <f>IFERROR(IF(INDEX([1]Pivot!$BF$1:$CG$65000,$B782,AI$5)=1,1,IF(INDEX([1]Pivot!$B$1:$AB$65000,$B782,AI$5)="",2,0)),0)</f>
        <v>0</v>
      </c>
      <c r="AJ782" s="313">
        <f>IFERROR(IF(INDEX([1]Pivot!$BF$1:$CG$65000,$B782,AJ$5)=1,1,IF(INDEX([1]Pivot!$B$1:$AB$65000,$B782,AJ$5)="",2,0)),0)</f>
        <v>0</v>
      </c>
      <c r="AK782" s="313">
        <f>IFERROR(IF(INDEX([1]Pivot!$BF$1:$CG$65000,$B782,AK$5)=1,1,IF(INDEX([1]Pivot!$B$1:$AB$65000,$B782,AK$5)="",2,0)),0)</f>
        <v>0</v>
      </c>
      <c r="AL782" s="313">
        <f>IFERROR(IF(INDEX([1]Pivot!$BF$1:$CG$65000,$B782,AL$5)=1,1,IF(INDEX([1]Pivot!$B$1:$AB$65000,$B782,AL$5)="",2,0)),0)</f>
        <v>0</v>
      </c>
      <c r="AM782" s="313">
        <f>IFERROR(IF(INDEX([1]Pivot!$BF$1:$CG$65000,$B782,AM$5)=1,1,IF(INDEX([1]Pivot!$B$1:$AB$65000,$B782,AM$5)="",2,0)),0)</f>
        <v>0</v>
      </c>
      <c r="AN782" s="313">
        <f>IFERROR(IF(INDEX([1]Pivot!$BF$1:$CG$65000,$B782,AN$5)=1,1,IF(INDEX([1]Pivot!$B$1:$AB$65000,$B782,AN$5)="",2,0)),0)</f>
        <v>0</v>
      </c>
      <c r="AO782" s="313">
        <f>IFERROR(IF(INDEX([1]Pivot!$BF$1:$CG$65000,$B782,AO$5)=1,1,IF(INDEX([1]Pivot!$B$1:$AB$65000,$B782,AO$5)="",2,0)),0)</f>
        <v>0</v>
      </c>
      <c r="AP782" s="313">
        <f>IFERROR(IF(INDEX([1]Pivot!$BF$1:$CG$65000,$B782,AP$5)=1,1,IF(INDEX([1]Pivot!$B$1:$AB$65000,$B782,AP$5)="",2,0)),0)</f>
        <v>0</v>
      </c>
      <c r="AQ782" s="313">
        <f>IFERROR(IF(INDEX([1]Pivot!$BF$1:$CG$65000,$B782,AQ$5)=1,1,IF(INDEX([1]Pivot!$B$1:$AB$65000,$B782,AQ$5)="",2,0)),0)</f>
        <v>0</v>
      </c>
      <c r="AR782" s="313">
        <f>IFERROR(IF(INDEX([1]Pivot!$BF$1:$CG$65000,$B782,AR$5)=1,1,IF(INDEX([1]Pivot!$B$1:$AB$65000,$B782,AR$5)="",2,0)),0)</f>
        <v>0</v>
      </c>
      <c r="AS782" s="312"/>
      <c r="AT782" s="313">
        <f>IFERROR(IF(INDEX([1]Pivot!$BF$1:$CG$65000,$B782,AT$5)=1,1,IF(INDEX([1]Pivot!$B$1:$AB$65000,$B782,AT$5)="",2,0)),0)</f>
        <v>0</v>
      </c>
      <c r="AU782" s="313">
        <f>IFERROR(IF(INDEX([1]Pivot!$BF$1:$CG$65000,$B782,AU$5)=1,1,IF(INDEX([1]Pivot!$B$1:$AB$65000,$B782,AU$5)="",2,0)),0)</f>
        <v>0</v>
      </c>
      <c r="AV782" s="313">
        <f>IFERROR(IF(INDEX([1]Pivot!$BF$1:$CG$65000,$B782,AV$5)=1,1,IF(INDEX([1]Pivot!$B$1:$AB$65000,$B782,AV$5)="",2,0)),0)</f>
        <v>0</v>
      </c>
      <c r="AW782" s="313">
        <f>IFERROR(IF(INDEX([1]Pivot!$BF$1:$CG$65000,$B782,AW$5)=1,1,IF(INDEX([1]Pivot!$B$1:$AB$65000,$B782,AW$5)="",2,0)),0)</f>
        <v>0</v>
      </c>
      <c r="AX782" s="313">
        <f>IFERROR(IF(INDEX([1]Pivot!$BF$1:$CG$65000,$B782,AX$5)=1,1,IF(INDEX([1]Pivot!$B$1:$AB$65000,$B782,AX$5)="",2,0)),0)</f>
        <v>0</v>
      </c>
      <c r="AY782" s="313">
        <f>IFERROR(IF(INDEX([1]Pivot!$BF$1:$CG$65000,$B782,AY$5)=1,1,IF(INDEX([1]Pivot!$B$1:$AB$65000,$B782,AY$5)="",2,0)),0)</f>
        <v>0</v>
      </c>
      <c r="AZ782" s="313">
        <f>IFERROR(IF(INDEX([1]Pivot!$BF$1:$CG$65000,$B782,AZ$5)=1,1,IF(INDEX([1]Pivot!$B$1:$AB$65000,$B782,AZ$5)="",2,0)),0)</f>
        <v>0</v>
      </c>
      <c r="BA782" s="313">
        <f>IFERROR(IF(INDEX([1]Pivot!$BF$1:$CG$65000,$B782,BA$5)=1,1,IF(INDEX([1]Pivot!$B$1:$AB$65000,$B782,BA$5)="",2,0)),0)</f>
        <v>0</v>
      </c>
      <c r="BB782" s="313">
        <f>IFERROR(IF(INDEX([1]Pivot!$BF$1:$CG$65000,$B782,BB$5)=1,1,IF(INDEX([1]Pivot!$B$1:$AB$65000,$B782,BB$5)="",2,0)),0)</f>
        <v>0</v>
      </c>
      <c r="BC782" s="313">
        <f>IFERROR(IF(INDEX([1]Pivot!$BF$1:$CG$65000,$B782,BC$5)=1,1,IF(INDEX([1]Pivot!$B$1:$AB$65000,$B782,BC$5)="",2,0)),0)</f>
        <v>0</v>
      </c>
      <c r="BD782" s="313">
        <f>IFERROR(IF(INDEX([1]Pivot!$BF$1:$CG$65000,$B782,BD$5)=1,1,IF(INDEX([1]Pivot!$B$1:$AB$65000,$B782,BD$5)="",2,0)),0)</f>
        <v>0</v>
      </c>
    </row>
    <row r="783" spans="1:56" x14ac:dyDescent="0.25">
      <c r="A783" s="288">
        <f>'[2]Raw Milk Prices'!A783</f>
        <v>0</v>
      </c>
      <c r="B783" s="296" t="e">
        <f>MATCH(DATE(LEFT('[2]Raw Milk Prices'!$A783,4),RIGHT('[2]Raw Milk Prices'!$A783,2),1),[1]Pivot!$A$1:$A$65000,0)</f>
        <v>#VALUE!</v>
      </c>
      <c r="C783" s="194">
        <f>IFERROR(IF(INDEX([1]Pivot!$AD$1:$BE$65000,$B783,C$5)=1,1,IF(INDEX([1]Pivot!$B$1:$AB$65000,$B783,C$5)="",2,0)),0)</f>
        <v>0</v>
      </c>
      <c r="D783" s="194">
        <f>IFERROR(IF(INDEX([1]Pivot!$AD$1:$BE$65000,$B783,D$5)=1,1,IF(INDEX([1]Pivot!$B$1:$AB$65000,$B783,D$5)="",2,0)),0)</f>
        <v>0</v>
      </c>
      <c r="E783" s="194">
        <f>IFERROR(IF(INDEX([1]Pivot!$AD$1:$BE$65000,$B783,E$5)=1,1,IF(INDEX([1]Pivot!$B$1:$AB$65000,$B783,E$5)="",2,0)),0)</f>
        <v>0</v>
      </c>
      <c r="F783" s="194">
        <f>IFERROR(IF(INDEX([1]Pivot!$AD$1:$BE$65000,$B783,F$5)=1,1,IF(INDEX([1]Pivot!$B$1:$AB$65000,$B783,F$5)="",2,0)),0)</f>
        <v>0</v>
      </c>
      <c r="G783" s="194">
        <f>IFERROR(IF(INDEX([1]Pivot!$AD$1:$BE$65000,$B783,G$5)=1,1,IF(INDEX([1]Pivot!$B$1:$AB$65000,$B783,G$5)="",2,0)),0)</f>
        <v>0</v>
      </c>
      <c r="H783" s="194">
        <f>IFERROR(IF(INDEX([1]Pivot!$AD$1:$BE$65000,$B783,H$5)=1,1,IF(INDEX([1]Pivot!$B$1:$AB$65000,$B783,H$5)="",2,0)),0)</f>
        <v>0</v>
      </c>
      <c r="I783" s="194">
        <f>IFERROR(IF(INDEX([1]Pivot!$AD$1:$BE$65000,$B783,I$5)=1,1,IF(INDEX([1]Pivot!$B$1:$AB$65000,$B783,I$5)="",2,0)),0)</f>
        <v>0</v>
      </c>
      <c r="J783" s="194">
        <f>IFERROR(IF(INDEX([1]Pivot!$AD$1:$BE$65000,$B783,J$5)=1,1,IF(INDEX([1]Pivot!$B$1:$AB$65000,$B783,J$5)="",2,0)),0)</f>
        <v>0</v>
      </c>
      <c r="K783" s="194">
        <f>IFERROR(IF(INDEX([1]Pivot!$AD$1:$BE$65000,$B783,K$5)=1,1,IF(INDEX([1]Pivot!$B$1:$AB$65000,$B783,K$5)="",2,0)),0)</f>
        <v>0</v>
      </c>
      <c r="L783" s="194">
        <f>IFERROR(IF(INDEX([1]Pivot!$AD$1:$BE$65000,$B783,L$5)=1,1,IF(INDEX([1]Pivot!$B$1:$AB$65000,$B783,L$5)="",2,0)),0)</f>
        <v>0</v>
      </c>
      <c r="M783" s="194">
        <f>IFERROR(IF(INDEX([1]Pivot!$AD$1:$BE$65000,$B783,M$5)=1,1,IF(INDEX([1]Pivot!$B$1:$AB$65000,$B783,M$5)="",2,0)),0)</f>
        <v>0</v>
      </c>
      <c r="N783" s="194">
        <f>IFERROR(IF(INDEX([1]Pivot!$AD$1:$BE$65000,$B783,N$5)=1,1,IF(INDEX([1]Pivot!$B$1:$AB$65000,$B783,N$5)="",2,0)),0)</f>
        <v>0</v>
      </c>
      <c r="O783" s="194">
        <f>IFERROR(IF(INDEX([1]Pivot!$AD$1:$BE$65000,$B783,O$5)=1,1,IF(INDEX([1]Pivot!$B$1:$AB$65000,$B783,O$5)="",2,0)),0)</f>
        <v>0</v>
      </c>
      <c r="P783" s="194">
        <f>IFERROR(IF(INDEX([1]Pivot!$AD$1:$BE$65000,$B783,P$5)=1,1,IF(INDEX([1]Pivot!$B$1:$AB$65000,$B783,P$5)="",2,0)),0)</f>
        <v>0</v>
      </c>
      <c r="Q783" s="194">
        <f>IFERROR(IF(INDEX([1]Pivot!$AD$1:$BE$65000,$B783,Q$5)=1,1,IF(INDEX([1]Pivot!$B$1:$AB$65000,$B783,Q$5)="",2,0)),0)</f>
        <v>0</v>
      </c>
      <c r="R783" s="312"/>
      <c r="S783" s="194">
        <f>IFERROR(IF(INDEX([1]Pivot!$AD$1:$BE$65000,$B783,S$5)=1,1,IF(INDEX([1]Pivot!$B$1:$AB$65000,$B783,S$5)="",2,0)),0)</f>
        <v>0</v>
      </c>
      <c r="T783" s="194">
        <f>IFERROR(IF(INDEX([1]Pivot!$AD$1:$BE$65000,$B783,T$5)=1,1,IF(INDEX([1]Pivot!$B$1:$AB$65000,$B783,T$5)="",2,0)),0)</f>
        <v>0</v>
      </c>
      <c r="U783" s="194">
        <f>IFERROR(IF(INDEX([1]Pivot!$AD$1:$BE$65000,$B783,U$5)=1,1,IF(INDEX([1]Pivot!$B$1:$AB$65000,$B783,U$5)="",2,0)),0)</f>
        <v>0</v>
      </c>
      <c r="V783" s="194">
        <f>IFERROR(IF(INDEX([1]Pivot!$AD$1:$BE$65000,$B783,V$5)=1,1,IF(INDEX([1]Pivot!$B$1:$AB$65000,$B783,V$5)="",2,0)),0)</f>
        <v>0</v>
      </c>
      <c r="W783" s="194">
        <f>IFERROR(IF(INDEX([1]Pivot!$AD$1:$BE$65000,$B783,W$5)=1,1,IF(INDEX([1]Pivot!$B$1:$AB$65000,$B783,W$5)="",2,0)),0)</f>
        <v>0</v>
      </c>
      <c r="X783" s="194">
        <f>IFERROR(IF(INDEX([1]Pivot!$AD$1:$BE$65000,$B783,X$5)=1,1,IF(INDEX([1]Pivot!$B$1:$AB$65000,$B783,X$5)="",2,0)),0)</f>
        <v>0</v>
      </c>
      <c r="Y783" s="194">
        <f>IFERROR(IF(INDEX([1]Pivot!$AD$1:$BE$65000,$B783,Y$5)=1,1,IF(INDEX([1]Pivot!$B$1:$AB$65000,$B783,Y$5)="",2,0)),0)</f>
        <v>0</v>
      </c>
      <c r="Z783" s="194">
        <f>IFERROR(IF(INDEX([1]Pivot!$AD$1:$BE$65000,$B783,Z$5)=1,1,IF(INDEX([1]Pivot!$B$1:$AB$65000,$B783,Z$5)="",2,0)),0)</f>
        <v>0</v>
      </c>
      <c r="AA783" s="194">
        <f>IFERROR(IF(INDEX([1]Pivot!$AD$1:$BE$65000,$B783,AA$5)=1,1,IF(INDEX([1]Pivot!$B$1:$AB$65000,$B783,AA$5)="",2,0)),0)</f>
        <v>0</v>
      </c>
      <c r="AB783" s="194">
        <f>IFERROR(IF(INDEX([1]Pivot!$AD$1:$BE$65000,$B783,AB$5)=1,1,IF(INDEX([1]Pivot!$B$1:$AB$65000,$B783,AB$5)="",2,0)),0)</f>
        <v>0</v>
      </c>
      <c r="AC783" s="194">
        <f>IFERROR(IF(INDEX([1]Pivot!$AD$1:$BE$65000,$B783,AC$5)=1,1,IF(INDEX([1]Pivot!$B$1:$AB$65000,$B783,AC$5)="",2,0)),0)</f>
        <v>0</v>
      </c>
      <c r="AD783" s="313">
        <f>IFERROR(IF(INDEX([1]Pivot!$BF$1:$CG$65000,$B783,AD$5)=1,1,IF(INDEX([1]Pivot!$B$1:$AB$65000,$B783,AD$5)="",2,0)),0)</f>
        <v>0</v>
      </c>
      <c r="AE783" s="313">
        <f>IFERROR(IF(INDEX([1]Pivot!$BF$1:$CG$65000,$B783,AE$5)=1,1,IF(INDEX([1]Pivot!$B$1:$AB$65000,$B783,AE$5)="",2,0)),0)</f>
        <v>0</v>
      </c>
      <c r="AF783" s="313">
        <f>IFERROR(IF(INDEX([1]Pivot!$BF$1:$CG$65000,$B783,AF$5)=1,1,IF(INDEX([1]Pivot!$B$1:$AB$65000,$B783,AF$5)="",2,0)),0)</f>
        <v>0</v>
      </c>
      <c r="AG783" s="313">
        <f>IFERROR(IF(INDEX([1]Pivot!$BF$1:$CG$65000,$B783,AG$5)=1,1,IF(INDEX([1]Pivot!$B$1:$AB$65000,$B783,AG$5)="",2,0)),0)</f>
        <v>0</v>
      </c>
      <c r="AH783" s="313">
        <f>IFERROR(IF(INDEX([1]Pivot!$BF$1:$CG$65000,$B783,AH$5)=1,1,IF(INDEX([1]Pivot!$B$1:$AB$65000,$B783,AH$5)="",2,0)),0)</f>
        <v>0</v>
      </c>
      <c r="AI783" s="313">
        <f>IFERROR(IF(INDEX([1]Pivot!$BF$1:$CG$65000,$B783,AI$5)=1,1,IF(INDEX([1]Pivot!$B$1:$AB$65000,$B783,AI$5)="",2,0)),0)</f>
        <v>0</v>
      </c>
      <c r="AJ783" s="313">
        <f>IFERROR(IF(INDEX([1]Pivot!$BF$1:$CG$65000,$B783,AJ$5)=1,1,IF(INDEX([1]Pivot!$B$1:$AB$65000,$B783,AJ$5)="",2,0)),0)</f>
        <v>0</v>
      </c>
      <c r="AK783" s="313">
        <f>IFERROR(IF(INDEX([1]Pivot!$BF$1:$CG$65000,$B783,AK$5)=1,1,IF(INDEX([1]Pivot!$B$1:$AB$65000,$B783,AK$5)="",2,0)),0)</f>
        <v>0</v>
      </c>
      <c r="AL783" s="313">
        <f>IFERROR(IF(INDEX([1]Pivot!$BF$1:$CG$65000,$B783,AL$5)=1,1,IF(INDEX([1]Pivot!$B$1:$AB$65000,$B783,AL$5)="",2,0)),0)</f>
        <v>0</v>
      </c>
      <c r="AM783" s="313">
        <f>IFERROR(IF(INDEX([1]Pivot!$BF$1:$CG$65000,$B783,AM$5)=1,1,IF(INDEX([1]Pivot!$B$1:$AB$65000,$B783,AM$5)="",2,0)),0)</f>
        <v>0</v>
      </c>
      <c r="AN783" s="313">
        <f>IFERROR(IF(INDEX([1]Pivot!$BF$1:$CG$65000,$B783,AN$5)=1,1,IF(INDEX([1]Pivot!$B$1:$AB$65000,$B783,AN$5)="",2,0)),0)</f>
        <v>0</v>
      </c>
      <c r="AO783" s="313">
        <f>IFERROR(IF(INDEX([1]Pivot!$BF$1:$CG$65000,$B783,AO$5)=1,1,IF(INDEX([1]Pivot!$B$1:$AB$65000,$B783,AO$5)="",2,0)),0)</f>
        <v>0</v>
      </c>
      <c r="AP783" s="313">
        <f>IFERROR(IF(INDEX([1]Pivot!$BF$1:$CG$65000,$B783,AP$5)=1,1,IF(INDEX([1]Pivot!$B$1:$AB$65000,$B783,AP$5)="",2,0)),0)</f>
        <v>0</v>
      </c>
      <c r="AQ783" s="313">
        <f>IFERROR(IF(INDEX([1]Pivot!$BF$1:$CG$65000,$B783,AQ$5)=1,1,IF(INDEX([1]Pivot!$B$1:$AB$65000,$B783,AQ$5)="",2,0)),0)</f>
        <v>0</v>
      </c>
      <c r="AR783" s="313">
        <f>IFERROR(IF(INDEX([1]Pivot!$BF$1:$CG$65000,$B783,AR$5)=1,1,IF(INDEX([1]Pivot!$B$1:$AB$65000,$B783,AR$5)="",2,0)),0)</f>
        <v>0</v>
      </c>
      <c r="AS783" s="312"/>
      <c r="AT783" s="313">
        <f>IFERROR(IF(INDEX([1]Pivot!$BF$1:$CG$65000,$B783,AT$5)=1,1,IF(INDEX([1]Pivot!$B$1:$AB$65000,$B783,AT$5)="",2,0)),0)</f>
        <v>0</v>
      </c>
      <c r="AU783" s="313">
        <f>IFERROR(IF(INDEX([1]Pivot!$BF$1:$CG$65000,$B783,AU$5)=1,1,IF(INDEX([1]Pivot!$B$1:$AB$65000,$B783,AU$5)="",2,0)),0)</f>
        <v>0</v>
      </c>
      <c r="AV783" s="313">
        <f>IFERROR(IF(INDEX([1]Pivot!$BF$1:$CG$65000,$B783,AV$5)=1,1,IF(INDEX([1]Pivot!$B$1:$AB$65000,$B783,AV$5)="",2,0)),0)</f>
        <v>0</v>
      </c>
      <c r="AW783" s="313">
        <f>IFERROR(IF(INDEX([1]Pivot!$BF$1:$CG$65000,$B783,AW$5)=1,1,IF(INDEX([1]Pivot!$B$1:$AB$65000,$B783,AW$5)="",2,0)),0)</f>
        <v>0</v>
      </c>
      <c r="AX783" s="313">
        <f>IFERROR(IF(INDEX([1]Pivot!$BF$1:$CG$65000,$B783,AX$5)=1,1,IF(INDEX([1]Pivot!$B$1:$AB$65000,$B783,AX$5)="",2,0)),0)</f>
        <v>0</v>
      </c>
      <c r="AY783" s="313">
        <f>IFERROR(IF(INDEX([1]Pivot!$BF$1:$CG$65000,$B783,AY$5)=1,1,IF(INDEX([1]Pivot!$B$1:$AB$65000,$B783,AY$5)="",2,0)),0)</f>
        <v>0</v>
      </c>
      <c r="AZ783" s="313">
        <f>IFERROR(IF(INDEX([1]Pivot!$BF$1:$CG$65000,$B783,AZ$5)=1,1,IF(INDEX([1]Pivot!$B$1:$AB$65000,$B783,AZ$5)="",2,0)),0)</f>
        <v>0</v>
      </c>
      <c r="BA783" s="313">
        <f>IFERROR(IF(INDEX([1]Pivot!$BF$1:$CG$65000,$B783,BA$5)=1,1,IF(INDEX([1]Pivot!$B$1:$AB$65000,$B783,BA$5)="",2,0)),0)</f>
        <v>0</v>
      </c>
      <c r="BB783" s="313">
        <f>IFERROR(IF(INDEX([1]Pivot!$BF$1:$CG$65000,$B783,BB$5)=1,1,IF(INDEX([1]Pivot!$B$1:$AB$65000,$B783,BB$5)="",2,0)),0)</f>
        <v>0</v>
      </c>
      <c r="BC783" s="313">
        <f>IFERROR(IF(INDEX([1]Pivot!$BF$1:$CG$65000,$B783,BC$5)=1,1,IF(INDEX([1]Pivot!$B$1:$AB$65000,$B783,BC$5)="",2,0)),0)</f>
        <v>0</v>
      </c>
      <c r="BD783" s="313">
        <f>IFERROR(IF(INDEX([1]Pivot!$BF$1:$CG$65000,$B783,BD$5)=1,1,IF(INDEX([1]Pivot!$B$1:$AB$65000,$B783,BD$5)="",2,0)),0)</f>
        <v>0</v>
      </c>
    </row>
    <row r="784" spans="1:56" x14ac:dyDescent="0.25">
      <c r="A784" s="288">
        <f>'[2]Raw Milk Prices'!A784</f>
        <v>0</v>
      </c>
      <c r="B784" s="296" t="e">
        <f>MATCH(DATE(LEFT('[2]Raw Milk Prices'!$A784,4),RIGHT('[2]Raw Milk Prices'!$A784,2),1),[1]Pivot!$A$1:$A$65000,0)</f>
        <v>#VALUE!</v>
      </c>
      <c r="C784" s="194">
        <f>IFERROR(IF(INDEX([1]Pivot!$AD$1:$BE$65000,$B784,C$5)=1,1,IF(INDEX([1]Pivot!$B$1:$AB$65000,$B784,C$5)="",2,0)),0)</f>
        <v>0</v>
      </c>
      <c r="D784" s="194">
        <f>IFERROR(IF(INDEX([1]Pivot!$AD$1:$BE$65000,$B784,D$5)=1,1,IF(INDEX([1]Pivot!$B$1:$AB$65000,$B784,D$5)="",2,0)),0)</f>
        <v>0</v>
      </c>
      <c r="E784" s="194">
        <f>IFERROR(IF(INDEX([1]Pivot!$AD$1:$BE$65000,$B784,E$5)=1,1,IF(INDEX([1]Pivot!$B$1:$AB$65000,$B784,E$5)="",2,0)),0)</f>
        <v>0</v>
      </c>
      <c r="F784" s="194">
        <f>IFERROR(IF(INDEX([1]Pivot!$AD$1:$BE$65000,$B784,F$5)=1,1,IF(INDEX([1]Pivot!$B$1:$AB$65000,$B784,F$5)="",2,0)),0)</f>
        <v>0</v>
      </c>
      <c r="G784" s="194">
        <f>IFERROR(IF(INDEX([1]Pivot!$AD$1:$BE$65000,$B784,G$5)=1,1,IF(INDEX([1]Pivot!$B$1:$AB$65000,$B784,G$5)="",2,0)),0)</f>
        <v>0</v>
      </c>
      <c r="H784" s="194">
        <f>IFERROR(IF(INDEX([1]Pivot!$AD$1:$BE$65000,$B784,H$5)=1,1,IF(INDEX([1]Pivot!$B$1:$AB$65000,$B784,H$5)="",2,0)),0)</f>
        <v>0</v>
      </c>
      <c r="I784" s="194">
        <f>IFERROR(IF(INDEX([1]Pivot!$AD$1:$BE$65000,$B784,I$5)=1,1,IF(INDEX([1]Pivot!$B$1:$AB$65000,$B784,I$5)="",2,0)),0)</f>
        <v>0</v>
      </c>
      <c r="J784" s="194">
        <f>IFERROR(IF(INDEX([1]Pivot!$AD$1:$BE$65000,$B784,J$5)=1,1,IF(INDEX([1]Pivot!$B$1:$AB$65000,$B784,J$5)="",2,0)),0)</f>
        <v>0</v>
      </c>
      <c r="K784" s="194">
        <f>IFERROR(IF(INDEX([1]Pivot!$AD$1:$BE$65000,$B784,K$5)=1,1,IF(INDEX([1]Pivot!$B$1:$AB$65000,$B784,K$5)="",2,0)),0)</f>
        <v>0</v>
      </c>
      <c r="L784" s="194">
        <f>IFERROR(IF(INDEX([1]Pivot!$AD$1:$BE$65000,$B784,L$5)=1,1,IF(INDEX([1]Pivot!$B$1:$AB$65000,$B784,L$5)="",2,0)),0)</f>
        <v>0</v>
      </c>
      <c r="M784" s="194">
        <f>IFERROR(IF(INDEX([1]Pivot!$AD$1:$BE$65000,$B784,M$5)=1,1,IF(INDEX([1]Pivot!$B$1:$AB$65000,$B784,M$5)="",2,0)),0)</f>
        <v>0</v>
      </c>
      <c r="N784" s="194">
        <f>IFERROR(IF(INDEX([1]Pivot!$AD$1:$BE$65000,$B784,N$5)=1,1,IF(INDEX([1]Pivot!$B$1:$AB$65000,$B784,N$5)="",2,0)),0)</f>
        <v>0</v>
      </c>
      <c r="O784" s="194">
        <f>IFERROR(IF(INDEX([1]Pivot!$AD$1:$BE$65000,$B784,O$5)=1,1,IF(INDEX([1]Pivot!$B$1:$AB$65000,$B784,O$5)="",2,0)),0)</f>
        <v>0</v>
      </c>
      <c r="P784" s="194">
        <f>IFERROR(IF(INDEX([1]Pivot!$AD$1:$BE$65000,$B784,P$5)=1,1,IF(INDEX([1]Pivot!$B$1:$AB$65000,$B784,P$5)="",2,0)),0)</f>
        <v>0</v>
      </c>
      <c r="Q784" s="194">
        <f>IFERROR(IF(INDEX([1]Pivot!$AD$1:$BE$65000,$B784,Q$5)=1,1,IF(INDEX([1]Pivot!$B$1:$AB$65000,$B784,Q$5)="",2,0)),0)</f>
        <v>0</v>
      </c>
      <c r="R784" s="312"/>
      <c r="S784" s="194">
        <f>IFERROR(IF(INDEX([1]Pivot!$AD$1:$BE$65000,$B784,S$5)=1,1,IF(INDEX([1]Pivot!$B$1:$AB$65000,$B784,S$5)="",2,0)),0)</f>
        <v>0</v>
      </c>
      <c r="T784" s="194">
        <f>IFERROR(IF(INDEX([1]Pivot!$AD$1:$BE$65000,$B784,T$5)=1,1,IF(INDEX([1]Pivot!$B$1:$AB$65000,$B784,T$5)="",2,0)),0)</f>
        <v>0</v>
      </c>
      <c r="U784" s="194">
        <f>IFERROR(IF(INDEX([1]Pivot!$AD$1:$BE$65000,$B784,U$5)=1,1,IF(INDEX([1]Pivot!$B$1:$AB$65000,$B784,U$5)="",2,0)),0)</f>
        <v>0</v>
      </c>
      <c r="V784" s="194">
        <f>IFERROR(IF(INDEX([1]Pivot!$AD$1:$BE$65000,$B784,V$5)=1,1,IF(INDEX([1]Pivot!$B$1:$AB$65000,$B784,V$5)="",2,0)),0)</f>
        <v>0</v>
      </c>
      <c r="W784" s="194">
        <f>IFERROR(IF(INDEX([1]Pivot!$AD$1:$BE$65000,$B784,W$5)=1,1,IF(INDEX([1]Pivot!$B$1:$AB$65000,$B784,W$5)="",2,0)),0)</f>
        <v>0</v>
      </c>
      <c r="X784" s="194">
        <f>IFERROR(IF(INDEX([1]Pivot!$AD$1:$BE$65000,$B784,X$5)=1,1,IF(INDEX([1]Pivot!$B$1:$AB$65000,$B784,X$5)="",2,0)),0)</f>
        <v>0</v>
      </c>
      <c r="Y784" s="194">
        <f>IFERROR(IF(INDEX([1]Pivot!$AD$1:$BE$65000,$B784,Y$5)=1,1,IF(INDEX([1]Pivot!$B$1:$AB$65000,$B784,Y$5)="",2,0)),0)</f>
        <v>0</v>
      </c>
      <c r="Z784" s="194">
        <f>IFERROR(IF(INDEX([1]Pivot!$AD$1:$BE$65000,$B784,Z$5)=1,1,IF(INDEX([1]Pivot!$B$1:$AB$65000,$B784,Z$5)="",2,0)),0)</f>
        <v>0</v>
      </c>
      <c r="AA784" s="194">
        <f>IFERROR(IF(INDEX([1]Pivot!$AD$1:$BE$65000,$B784,AA$5)=1,1,IF(INDEX([1]Pivot!$B$1:$AB$65000,$B784,AA$5)="",2,0)),0)</f>
        <v>0</v>
      </c>
      <c r="AB784" s="194">
        <f>IFERROR(IF(INDEX([1]Pivot!$AD$1:$BE$65000,$B784,AB$5)=1,1,IF(INDEX([1]Pivot!$B$1:$AB$65000,$B784,AB$5)="",2,0)),0)</f>
        <v>0</v>
      </c>
      <c r="AC784" s="194">
        <f>IFERROR(IF(INDEX([1]Pivot!$AD$1:$BE$65000,$B784,AC$5)=1,1,IF(INDEX([1]Pivot!$B$1:$AB$65000,$B784,AC$5)="",2,0)),0)</f>
        <v>0</v>
      </c>
      <c r="AD784" s="313">
        <f>IFERROR(IF(INDEX([1]Pivot!$BF$1:$CG$65000,$B784,AD$5)=1,1,IF(INDEX([1]Pivot!$B$1:$AB$65000,$B784,AD$5)="",2,0)),0)</f>
        <v>0</v>
      </c>
      <c r="AE784" s="313">
        <f>IFERROR(IF(INDEX([1]Pivot!$BF$1:$CG$65000,$B784,AE$5)=1,1,IF(INDEX([1]Pivot!$B$1:$AB$65000,$B784,AE$5)="",2,0)),0)</f>
        <v>0</v>
      </c>
      <c r="AF784" s="313">
        <f>IFERROR(IF(INDEX([1]Pivot!$BF$1:$CG$65000,$B784,AF$5)=1,1,IF(INDEX([1]Pivot!$B$1:$AB$65000,$B784,AF$5)="",2,0)),0)</f>
        <v>0</v>
      </c>
      <c r="AG784" s="313">
        <f>IFERROR(IF(INDEX([1]Pivot!$BF$1:$CG$65000,$B784,AG$5)=1,1,IF(INDEX([1]Pivot!$B$1:$AB$65000,$B784,AG$5)="",2,0)),0)</f>
        <v>0</v>
      </c>
      <c r="AH784" s="313">
        <f>IFERROR(IF(INDEX([1]Pivot!$BF$1:$CG$65000,$B784,AH$5)=1,1,IF(INDEX([1]Pivot!$B$1:$AB$65000,$B784,AH$5)="",2,0)),0)</f>
        <v>0</v>
      </c>
      <c r="AI784" s="313">
        <f>IFERROR(IF(INDEX([1]Pivot!$BF$1:$CG$65000,$B784,AI$5)=1,1,IF(INDEX([1]Pivot!$B$1:$AB$65000,$B784,AI$5)="",2,0)),0)</f>
        <v>0</v>
      </c>
      <c r="AJ784" s="313">
        <f>IFERROR(IF(INDEX([1]Pivot!$BF$1:$CG$65000,$B784,AJ$5)=1,1,IF(INDEX([1]Pivot!$B$1:$AB$65000,$B784,AJ$5)="",2,0)),0)</f>
        <v>0</v>
      </c>
      <c r="AK784" s="313">
        <f>IFERROR(IF(INDEX([1]Pivot!$BF$1:$CG$65000,$B784,AK$5)=1,1,IF(INDEX([1]Pivot!$B$1:$AB$65000,$B784,AK$5)="",2,0)),0)</f>
        <v>0</v>
      </c>
      <c r="AL784" s="313">
        <f>IFERROR(IF(INDEX([1]Pivot!$BF$1:$CG$65000,$B784,AL$5)=1,1,IF(INDEX([1]Pivot!$B$1:$AB$65000,$B784,AL$5)="",2,0)),0)</f>
        <v>0</v>
      </c>
      <c r="AM784" s="313">
        <f>IFERROR(IF(INDEX([1]Pivot!$BF$1:$CG$65000,$B784,AM$5)=1,1,IF(INDEX([1]Pivot!$B$1:$AB$65000,$B784,AM$5)="",2,0)),0)</f>
        <v>0</v>
      </c>
      <c r="AN784" s="313">
        <f>IFERROR(IF(INDEX([1]Pivot!$BF$1:$CG$65000,$B784,AN$5)=1,1,IF(INDEX([1]Pivot!$B$1:$AB$65000,$B784,AN$5)="",2,0)),0)</f>
        <v>0</v>
      </c>
      <c r="AO784" s="313">
        <f>IFERROR(IF(INDEX([1]Pivot!$BF$1:$CG$65000,$B784,AO$5)=1,1,IF(INDEX([1]Pivot!$B$1:$AB$65000,$B784,AO$5)="",2,0)),0)</f>
        <v>0</v>
      </c>
      <c r="AP784" s="313">
        <f>IFERROR(IF(INDEX([1]Pivot!$BF$1:$CG$65000,$B784,AP$5)=1,1,IF(INDEX([1]Pivot!$B$1:$AB$65000,$B784,AP$5)="",2,0)),0)</f>
        <v>0</v>
      </c>
      <c r="AQ784" s="313">
        <f>IFERROR(IF(INDEX([1]Pivot!$BF$1:$CG$65000,$B784,AQ$5)=1,1,IF(INDEX([1]Pivot!$B$1:$AB$65000,$B784,AQ$5)="",2,0)),0)</f>
        <v>0</v>
      </c>
      <c r="AR784" s="313">
        <f>IFERROR(IF(INDEX([1]Pivot!$BF$1:$CG$65000,$B784,AR$5)=1,1,IF(INDEX([1]Pivot!$B$1:$AB$65000,$B784,AR$5)="",2,0)),0)</f>
        <v>0</v>
      </c>
      <c r="AS784" s="312"/>
      <c r="AT784" s="313">
        <f>IFERROR(IF(INDEX([1]Pivot!$BF$1:$CG$65000,$B784,AT$5)=1,1,IF(INDEX([1]Pivot!$B$1:$AB$65000,$B784,AT$5)="",2,0)),0)</f>
        <v>0</v>
      </c>
      <c r="AU784" s="313">
        <f>IFERROR(IF(INDEX([1]Pivot!$BF$1:$CG$65000,$B784,AU$5)=1,1,IF(INDEX([1]Pivot!$B$1:$AB$65000,$B784,AU$5)="",2,0)),0)</f>
        <v>0</v>
      </c>
      <c r="AV784" s="313">
        <f>IFERROR(IF(INDEX([1]Pivot!$BF$1:$CG$65000,$B784,AV$5)=1,1,IF(INDEX([1]Pivot!$B$1:$AB$65000,$B784,AV$5)="",2,0)),0)</f>
        <v>0</v>
      </c>
      <c r="AW784" s="313">
        <f>IFERROR(IF(INDEX([1]Pivot!$BF$1:$CG$65000,$B784,AW$5)=1,1,IF(INDEX([1]Pivot!$B$1:$AB$65000,$B784,AW$5)="",2,0)),0)</f>
        <v>0</v>
      </c>
      <c r="AX784" s="313">
        <f>IFERROR(IF(INDEX([1]Pivot!$BF$1:$CG$65000,$B784,AX$5)=1,1,IF(INDEX([1]Pivot!$B$1:$AB$65000,$B784,AX$5)="",2,0)),0)</f>
        <v>0</v>
      </c>
      <c r="AY784" s="313">
        <f>IFERROR(IF(INDEX([1]Pivot!$BF$1:$CG$65000,$B784,AY$5)=1,1,IF(INDEX([1]Pivot!$B$1:$AB$65000,$B784,AY$5)="",2,0)),0)</f>
        <v>0</v>
      </c>
      <c r="AZ784" s="313">
        <f>IFERROR(IF(INDEX([1]Pivot!$BF$1:$CG$65000,$B784,AZ$5)=1,1,IF(INDEX([1]Pivot!$B$1:$AB$65000,$B784,AZ$5)="",2,0)),0)</f>
        <v>0</v>
      </c>
      <c r="BA784" s="313">
        <f>IFERROR(IF(INDEX([1]Pivot!$BF$1:$CG$65000,$B784,BA$5)=1,1,IF(INDEX([1]Pivot!$B$1:$AB$65000,$B784,BA$5)="",2,0)),0)</f>
        <v>0</v>
      </c>
      <c r="BB784" s="313">
        <f>IFERROR(IF(INDEX([1]Pivot!$BF$1:$CG$65000,$B784,BB$5)=1,1,IF(INDEX([1]Pivot!$B$1:$AB$65000,$B784,BB$5)="",2,0)),0)</f>
        <v>0</v>
      </c>
      <c r="BC784" s="313">
        <f>IFERROR(IF(INDEX([1]Pivot!$BF$1:$CG$65000,$B784,BC$5)=1,1,IF(INDEX([1]Pivot!$B$1:$AB$65000,$B784,BC$5)="",2,0)),0)</f>
        <v>0</v>
      </c>
      <c r="BD784" s="313">
        <f>IFERROR(IF(INDEX([1]Pivot!$BF$1:$CG$65000,$B784,BD$5)=1,1,IF(INDEX([1]Pivot!$B$1:$AB$65000,$B784,BD$5)="",2,0)),0)</f>
        <v>0</v>
      </c>
    </row>
    <row r="785" spans="1:56" x14ac:dyDescent="0.25">
      <c r="A785" s="288">
        <f>'[2]Raw Milk Prices'!A785</f>
        <v>0</v>
      </c>
      <c r="B785" s="296" t="e">
        <f>MATCH(DATE(LEFT('[2]Raw Milk Prices'!$A785,4),RIGHT('[2]Raw Milk Prices'!$A785,2),1),[1]Pivot!$A$1:$A$65000,0)</f>
        <v>#VALUE!</v>
      </c>
      <c r="C785" s="194">
        <f>IFERROR(IF(INDEX([1]Pivot!$AD$1:$BE$65000,$B785,C$5)=1,1,IF(INDEX([1]Pivot!$B$1:$AB$65000,$B785,C$5)="",2,0)),0)</f>
        <v>0</v>
      </c>
      <c r="D785" s="194">
        <f>IFERROR(IF(INDEX([1]Pivot!$AD$1:$BE$65000,$B785,D$5)=1,1,IF(INDEX([1]Pivot!$B$1:$AB$65000,$B785,D$5)="",2,0)),0)</f>
        <v>0</v>
      </c>
      <c r="E785" s="194">
        <f>IFERROR(IF(INDEX([1]Pivot!$AD$1:$BE$65000,$B785,E$5)=1,1,IF(INDEX([1]Pivot!$B$1:$AB$65000,$B785,E$5)="",2,0)),0)</f>
        <v>0</v>
      </c>
      <c r="F785" s="194">
        <f>IFERROR(IF(INDEX([1]Pivot!$AD$1:$BE$65000,$B785,F$5)=1,1,IF(INDEX([1]Pivot!$B$1:$AB$65000,$B785,F$5)="",2,0)),0)</f>
        <v>0</v>
      </c>
      <c r="G785" s="194">
        <f>IFERROR(IF(INDEX([1]Pivot!$AD$1:$BE$65000,$B785,G$5)=1,1,IF(INDEX([1]Pivot!$B$1:$AB$65000,$B785,G$5)="",2,0)),0)</f>
        <v>0</v>
      </c>
      <c r="H785" s="194">
        <f>IFERROR(IF(INDEX([1]Pivot!$AD$1:$BE$65000,$B785,H$5)=1,1,IF(INDEX([1]Pivot!$B$1:$AB$65000,$B785,H$5)="",2,0)),0)</f>
        <v>0</v>
      </c>
      <c r="I785" s="194">
        <f>IFERROR(IF(INDEX([1]Pivot!$AD$1:$BE$65000,$B785,I$5)=1,1,IF(INDEX([1]Pivot!$B$1:$AB$65000,$B785,I$5)="",2,0)),0)</f>
        <v>0</v>
      </c>
      <c r="J785" s="194">
        <f>IFERROR(IF(INDEX([1]Pivot!$AD$1:$BE$65000,$B785,J$5)=1,1,IF(INDEX([1]Pivot!$B$1:$AB$65000,$B785,J$5)="",2,0)),0)</f>
        <v>0</v>
      </c>
      <c r="K785" s="194">
        <f>IFERROR(IF(INDEX([1]Pivot!$AD$1:$BE$65000,$B785,K$5)=1,1,IF(INDEX([1]Pivot!$B$1:$AB$65000,$B785,K$5)="",2,0)),0)</f>
        <v>0</v>
      </c>
      <c r="L785" s="194">
        <f>IFERROR(IF(INDEX([1]Pivot!$AD$1:$BE$65000,$B785,L$5)=1,1,IF(INDEX([1]Pivot!$B$1:$AB$65000,$B785,L$5)="",2,0)),0)</f>
        <v>0</v>
      </c>
      <c r="M785" s="194">
        <f>IFERROR(IF(INDEX([1]Pivot!$AD$1:$BE$65000,$B785,M$5)=1,1,IF(INDEX([1]Pivot!$B$1:$AB$65000,$B785,M$5)="",2,0)),0)</f>
        <v>0</v>
      </c>
      <c r="N785" s="194">
        <f>IFERROR(IF(INDEX([1]Pivot!$AD$1:$BE$65000,$B785,N$5)=1,1,IF(INDEX([1]Pivot!$B$1:$AB$65000,$B785,N$5)="",2,0)),0)</f>
        <v>0</v>
      </c>
      <c r="O785" s="194">
        <f>IFERROR(IF(INDEX([1]Pivot!$AD$1:$BE$65000,$B785,O$5)=1,1,IF(INDEX([1]Pivot!$B$1:$AB$65000,$B785,O$5)="",2,0)),0)</f>
        <v>0</v>
      </c>
      <c r="P785" s="194">
        <f>IFERROR(IF(INDEX([1]Pivot!$AD$1:$BE$65000,$B785,P$5)=1,1,IF(INDEX([1]Pivot!$B$1:$AB$65000,$B785,P$5)="",2,0)),0)</f>
        <v>0</v>
      </c>
      <c r="Q785" s="194">
        <f>IFERROR(IF(INDEX([1]Pivot!$AD$1:$BE$65000,$B785,Q$5)=1,1,IF(INDEX([1]Pivot!$B$1:$AB$65000,$B785,Q$5)="",2,0)),0)</f>
        <v>0</v>
      </c>
      <c r="R785" s="312"/>
      <c r="S785" s="194">
        <f>IFERROR(IF(INDEX([1]Pivot!$AD$1:$BE$65000,$B785,S$5)=1,1,IF(INDEX([1]Pivot!$B$1:$AB$65000,$B785,S$5)="",2,0)),0)</f>
        <v>0</v>
      </c>
      <c r="T785" s="194">
        <f>IFERROR(IF(INDEX([1]Pivot!$AD$1:$BE$65000,$B785,T$5)=1,1,IF(INDEX([1]Pivot!$B$1:$AB$65000,$B785,T$5)="",2,0)),0)</f>
        <v>0</v>
      </c>
      <c r="U785" s="194">
        <f>IFERROR(IF(INDEX([1]Pivot!$AD$1:$BE$65000,$B785,U$5)=1,1,IF(INDEX([1]Pivot!$B$1:$AB$65000,$B785,U$5)="",2,0)),0)</f>
        <v>0</v>
      </c>
      <c r="V785" s="194">
        <f>IFERROR(IF(INDEX([1]Pivot!$AD$1:$BE$65000,$B785,V$5)=1,1,IF(INDEX([1]Pivot!$B$1:$AB$65000,$B785,V$5)="",2,0)),0)</f>
        <v>0</v>
      </c>
      <c r="W785" s="194">
        <f>IFERROR(IF(INDEX([1]Pivot!$AD$1:$BE$65000,$B785,W$5)=1,1,IF(INDEX([1]Pivot!$B$1:$AB$65000,$B785,W$5)="",2,0)),0)</f>
        <v>0</v>
      </c>
      <c r="X785" s="194">
        <f>IFERROR(IF(INDEX([1]Pivot!$AD$1:$BE$65000,$B785,X$5)=1,1,IF(INDEX([1]Pivot!$B$1:$AB$65000,$B785,X$5)="",2,0)),0)</f>
        <v>0</v>
      </c>
      <c r="Y785" s="194">
        <f>IFERROR(IF(INDEX([1]Pivot!$AD$1:$BE$65000,$B785,Y$5)=1,1,IF(INDEX([1]Pivot!$B$1:$AB$65000,$B785,Y$5)="",2,0)),0)</f>
        <v>0</v>
      </c>
      <c r="Z785" s="194">
        <f>IFERROR(IF(INDEX([1]Pivot!$AD$1:$BE$65000,$B785,Z$5)=1,1,IF(INDEX([1]Pivot!$B$1:$AB$65000,$B785,Z$5)="",2,0)),0)</f>
        <v>0</v>
      </c>
      <c r="AA785" s="194">
        <f>IFERROR(IF(INDEX([1]Pivot!$AD$1:$BE$65000,$B785,AA$5)=1,1,IF(INDEX([1]Pivot!$B$1:$AB$65000,$B785,AA$5)="",2,0)),0)</f>
        <v>0</v>
      </c>
      <c r="AB785" s="194">
        <f>IFERROR(IF(INDEX([1]Pivot!$AD$1:$BE$65000,$B785,AB$5)=1,1,IF(INDEX([1]Pivot!$B$1:$AB$65000,$B785,AB$5)="",2,0)),0)</f>
        <v>0</v>
      </c>
      <c r="AC785" s="194">
        <f>IFERROR(IF(INDEX([1]Pivot!$AD$1:$BE$65000,$B785,AC$5)=1,1,IF(INDEX([1]Pivot!$B$1:$AB$65000,$B785,AC$5)="",2,0)),0)</f>
        <v>0</v>
      </c>
      <c r="AD785" s="313">
        <f>IFERROR(IF(INDEX([1]Pivot!$BF$1:$CG$65000,$B785,AD$5)=1,1,IF(INDEX([1]Pivot!$B$1:$AB$65000,$B785,AD$5)="",2,0)),0)</f>
        <v>0</v>
      </c>
      <c r="AE785" s="313">
        <f>IFERROR(IF(INDEX([1]Pivot!$BF$1:$CG$65000,$B785,AE$5)=1,1,IF(INDEX([1]Pivot!$B$1:$AB$65000,$B785,AE$5)="",2,0)),0)</f>
        <v>0</v>
      </c>
      <c r="AF785" s="313">
        <f>IFERROR(IF(INDEX([1]Pivot!$BF$1:$CG$65000,$B785,AF$5)=1,1,IF(INDEX([1]Pivot!$B$1:$AB$65000,$B785,AF$5)="",2,0)),0)</f>
        <v>0</v>
      </c>
      <c r="AG785" s="313">
        <f>IFERROR(IF(INDEX([1]Pivot!$BF$1:$CG$65000,$B785,AG$5)=1,1,IF(INDEX([1]Pivot!$B$1:$AB$65000,$B785,AG$5)="",2,0)),0)</f>
        <v>0</v>
      </c>
      <c r="AH785" s="313">
        <f>IFERROR(IF(INDEX([1]Pivot!$BF$1:$CG$65000,$B785,AH$5)=1,1,IF(INDEX([1]Pivot!$B$1:$AB$65000,$B785,AH$5)="",2,0)),0)</f>
        <v>0</v>
      </c>
      <c r="AI785" s="313">
        <f>IFERROR(IF(INDEX([1]Pivot!$BF$1:$CG$65000,$B785,AI$5)=1,1,IF(INDEX([1]Pivot!$B$1:$AB$65000,$B785,AI$5)="",2,0)),0)</f>
        <v>0</v>
      </c>
      <c r="AJ785" s="313">
        <f>IFERROR(IF(INDEX([1]Pivot!$BF$1:$CG$65000,$B785,AJ$5)=1,1,IF(INDEX([1]Pivot!$B$1:$AB$65000,$B785,AJ$5)="",2,0)),0)</f>
        <v>0</v>
      </c>
      <c r="AK785" s="313">
        <f>IFERROR(IF(INDEX([1]Pivot!$BF$1:$CG$65000,$B785,AK$5)=1,1,IF(INDEX([1]Pivot!$B$1:$AB$65000,$B785,AK$5)="",2,0)),0)</f>
        <v>0</v>
      </c>
      <c r="AL785" s="313">
        <f>IFERROR(IF(INDEX([1]Pivot!$BF$1:$CG$65000,$B785,AL$5)=1,1,IF(INDEX([1]Pivot!$B$1:$AB$65000,$B785,AL$5)="",2,0)),0)</f>
        <v>0</v>
      </c>
      <c r="AM785" s="313">
        <f>IFERROR(IF(INDEX([1]Pivot!$BF$1:$CG$65000,$B785,AM$5)=1,1,IF(INDEX([1]Pivot!$B$1:$AB$65000,$B785,AM$5)="",2,0)),0)</f>
        <v>0</v>
      </c>
      <c r="AN785" s="313">
        <f>IFERROR(IF(INDEX([1]Pivot!$BF$1:$CG$65000,$B785,AN$5)=1,1,IF(INDEX([1]Pivot!$B$1:$AB$65000,$B785,AN$5)="",2,0)),0)</f>
        <v>0</v>
      </c>
      <c r="AO785" s="313">
        <f>IFERROR(IF(INDEX([1]Pivot!$BF$1:$CG$65000,$B785,AO$5)=1,1,IF(INDEX([1]Pivot!$B$1:$AB$65000,$B785,AO$5)="",2,0)),0)</f>
        <v>0</v>
      </c>
      <c r="AP785" s="313">
        <f>IFERROR(IF(INDEX([1]Pivot!$BF$1:$CG$65000,$B785,AP$5)=1,1,IF(INDEX([1]Pivot!$B$1:$AB$65000,$B785,AP$5)="",2,0)),0)</f>
        <v>0</v>
      </c>
      <c r="AQ785" s="313">
        <f>IFERROR(IF(INDEX([1]Pivot!$BF$1:$CG$65000,$B785,AQ$5)=1,1,IF(INDEX([1]Pivot!$B$1:$AB$65000,$B785,AQ$5)="",2,0)),0)</f>
        <v>0</v>
      </c>
      <c r="AR785" s="313">
        <f>IFERROR(IF(INDEX([1]Pivot!$BF$1:$CG$65000,$B785,AR$5)=1,1,IF(INDEX([1]Pivot!$B$1:$AB$65000,$B785,AR$5)="",2,0)),0)</f>
        <v>0</v>
      </c>
      <c r="AS785" s="312"/>
      <c r="AT785" s="313">
        <f>IFERROR(IF(INDEX([1]Pivot!$BF$1:$CG$65000,$B785,AT$5)=1,1,IF(INDEX([1]Pivot!$B$1:$AB$65000,$B785,AT$5)="",2,0)),0)</f>
        <v>0</v>
      </c>
      <c r="AU785" s="313">
        <f>IFERROR(IF(INDEX([1]Pivot!$BF$1:$CG$65000,$B785,AU$5)=1,1,IF(INDEX([1]Pivot!$B$1:$AB$65000,$B785,AU$5)="",2,0)),0)</f>
        <v>0</v>
      </c>
      <c r="AV785" s="313">
        <f>IFERROR(IF(INDEX([1]Pivot!$BF$1:$CG$65000,$B785,AV$5)=1,1,IF(INDEX([1]Pivot!$B$1:$AB$65000,$B785,AV$5)="",2,0)),0)</f>
        <v>0</v>
      </c>
      <c r="AW785" s="313">
        <f>IFERROR(IF(INDEX([1]Pivot!$BF$1:$CG$65000,$B785,AW$5)=1,1,IF(INDEX([1]Pivot!$B$1:$AB$65000,$B785,AW$5)="",2,0)),0)</f>
        <v>0</v>
      </c>
      <c r="AX785" s="313">
        <f>IFERROR(IF(INDEX([1]Pivot!$BF$1:$CG$65000,$B785,AX$5)=1,1,IF(INDEX([1]Pivot!$B$1:$AB$65000,$B785,AX$5)="",2,0)),0)</f>
        <v>0</v>
      </c>
      <c r="AY785" s="313">
        <f>IFERROR(IF(INDEX([1]Pivot!$BF$1:$CG$65000,$B785,AY$5)=1,1,IF(INDEX([1]Pivot!$B$1:$AB$65000,$B785,AY$5)="",2,0)),0)</f>
        <v>0</v>
      </c>
      <c r="AZ785" s="313">
        <f>IFERROR(IF(INDEX([1]Pivot!$BF$1:$CG$65000,$B785,AZ$5)=1,1,IF(INDEX([1]Pivot!$B$1:$AB$65000,$B785,AZ$5)="",2,0)),0)</f>
        <v>0</v>
      </c>
      <c r="BA785" s="313">
        <f>IFERROR(IF(INDEX([1]Pivot!$BF$1:$CG$65000,$B785,BA$5)=1,1,IF(INDEX([1]Pivot!$B$1:$AB$65000,$B785,BA$5)="",2,0)),0)</f>
        <v>0</v>
      </c>
      <c r="BB785" s="313">
        <f>IFERROR(IF(INDEX([1]Pivot!$BF$1:$CG$65000,$B785,BB$5)=1,1,IF(INDEX([1]Pivot!$B$1:$AB$65000,$B785,BB$5)="",2,0)),0)</f>
        <v>0</v>
      </c>
      <c r="BC785" s="313">
        <f>IFERROR(IF(INDEX([1]Pivot!$BF$1:$CG$65000,$B785,BC$5)=1,1,IF(INDEX([1]Pivot!$B$1:$AB$65000,$B785,BC$5)="",2,0)),0)</f>
        <v>0</v>
      </c>
      <c r="BD785" s="313">
        <f>IFERROR(IF(INDEX([1]Pivot!$BF$1:$CG$65000,$B785,BD$5)=1,1,IF(INDEX([1]Pivot!$B$1:$AB$65000,$B785,BD$5)="",2,0)),0)</f>
        <v>0</v>
      </c>
    </row>
    <row r="786" spans="1:56" x14ac:dyDescent="0.25">
      <c r="A786" s="288">
        <f>'[2]Raw Milk Prices'!A786</f>
        <v>0</v>
      </c>
      <c r="B786" s="296" t="e">
        <f>MATCH(DATE(LEFT('[2]Raw Milk Prices'!$A786,4),RIGHT('[2]Raw Milk Prices'!$A786,2),1),[1]Pivot!$A$1:$A$65000,0)</f>
        <v>#VALUE!</v>
      </c>
      <c r="C786" s="194">
        <f>IFERROR(IF(INDEX([1]Pivot!$AD$1:$BE$65000,$B786,C$5)=1,1,IF(INDEX([1]Pivot!$B$1:$AB$65000,$B786,C$5)="",2,0)),0)</f>
        <v>0</v>
      </c>
      <c r="D786" s="194">
        <f>IFERROR(IF(INDEX([1]Pivot!$AD$1:$BE$65000,$B786,D$5)=1,1,IF(INDEX([1]Pivot!$B$1:$AB$65000,$B786,D$5)="",2,0)),0)</f>
        <v>0</v>
      </c>
      <c r="E786" s="194">
        <f>IFERROR(IF(INDEX([1]Pivot!$AD$1:$BE$65000,$B786,E$5)=1,1,IF(INDEX([1]Pivot!$B$1:$AB$65000,$B786,E$5)="",2,0)),0)</f>
        <v>0</v>
      </c>
      <c r="F786" s="194">
        <f>IFERROR(IF(INDEX([1]Pivot!$AD$1:$BE$65000,$B786,F$5)=1,1,IF(INDEX([1]Pivot!$B$1:$AB$65000,$B786,F$5)="",2,0)),0)</f>
        <v>0</v>
      </c>
      <c r="G786" s="194">
        <f>IFERROR(IF(INDEX([1]Pivot!$AD$1:$BE$65000,$B786,G$5)=1,1,IF(INDEX([1]Pivot!$B$1:$AB$65000,$B786,G$5)="",2,0)),0)</f>
        <v>0</v>
      </c>
      <c r="H786" s="194">
        <f>IFERROR(IF(INDEX([1]Pivot!$AD$1:$BE$65000,$B786,H$5)=1,1,IF(INDEX([1]Pivot!$B$1:$AB$65000,$B786,H$5)="",2,0)),0)</f>
        <v>0</v>
      </c>
      <c r="I786" s="194">
        <f>IFERROR(IF(INDEX([1]Pivot!$AD$1:$BE$65000,$B786,I$5)=1,1,IF(INDEX([1]Pivot!$B$1:$AB$65000,$B786,I$5)="",2,0)),0)</f>
        <v>0</v>
      </c>
      <c r="J786" s="194">
        <f>IFERROR(IF(INDEX([1]Pivot!$AD$1:$BE$65000,$B786,J$5)=1,1,IF(INDEX([1]Pivot!$B$1:$AB$65000,$B786,J$5)="",2,0)),0)</f>
        <v>0</v>
      </c>
      <c r="K786" s="194">
        <f>IFERROR(IF(INDEX([1]Pivot!$AD$1:$BE$65000,$B786,K$5)=1,1,IF(INDEX([1]Pivot!$B$1:$AB$65000,$B786,K$5)="",2,0)),0)</f>
        <v>0</v>
      </c>
      <c r="L786" s="194">
        <f>IFERROR(IF(INDEX([1]Pivot!$AD$1:$BE$65000,$B786,L$5)=1,1,IF(INDEX([1]Pivot!$B$1:$AB$65000,$B786,L$5)="",2,0)),0)</f>
        <v>0</v>
      </c>
      <c r="M786" s="194">
        <f>IFERROR(IF(INDEX([1]Pivot!$AD$1:$BE$65000,$B786,M$5)=1,1,IF(INDEX([1]Pivot!$B$1:$AB$65000,$B786,M$5)="",2,0)),0)</f>
        <v>0</v>
      </c>
      <c r="N786" s="194">
        <f>IFERROR(IF(INDEX([1]Pivot!$AD$1:$BE$65000,$B786,N$5)=1,1,IF(INDEX([1]Pivot!$B$1:$AB$65000,$B786,N$5)="",2,0)),0)</f>
        <v>0</v>
      </c>
      <c r="O786" s="194">
        <f>IFERROR(IF(INDEX([1]Pivot!$AD$1:$BE$65000,$B786,O$5)=1,1,IF(INDEX([1]Pivot!$B$1:$AB$65000,$B786,O$5)="",2,0)),0)</f>
        <v>0</v>
      </c>
      <c r="P786" s="194">
        <f>IFERROR(IF(INDEX([1]Pivot!$AD$1:$BE$65000,$B786,P$5)=1,1,IF(INDEX([1]Pivot!$B$1:$AB$65000,$B786,P$5)="",2,0)),0)</f>
        <v>0</v>
      </c>
      <c r="Q786" s="194">
        <f>IFERROR(IF(INDEX([1]Pivot!$AD$1:$BE$65000,$B786,Q$5)=1,1,IF(INDEX([1]Pivot!$B$1:$AB$65000,$B786,Q$5)="",2,0)),0)</f>
        <v>0</v>
      </c>
      <c r="R786" s="312"/>
      <c r="S786" s="194">
        <f>IFERROR(IF(INDEX([1]Pivot!$AD$1:$BE$65000,$B786,S$5)=1,1,IF(INDEX([1]Pivot!$B$1:$AB$65000,$B786,S$5)="",2,0)),0)</f>
        <v>0</v>
      </c>
      <c r="T786" s="194">
        <f>IFERROR(IF(INDEX([1]Pivot!$AD$1:$BE$65000,$B786,T$5)=1,1,IF(INDEX([1]Pivot!$B$1:$AB$65000,$B786,T$5)="",2,0)),0)</f>
        <v>0</v>
      </c>
      <c r="U786" s="194">
        <f>IFERROR(IF(INDEX([1]Pivot!$AD$1:$BE$65000,$B786,U$5)=1,1,IF(INDEX([1]Pivot!$B$1:$AB$65000,$B786,U$5)="",2,0)),0)</f>
        <v>0</v>
      </c>
      <c r="V786" s="194">
        <f>IFERROR(IF(INDEX([1]Pivot!$AD$1:$BE$65000,$B786,V$5)=1,1,IF(INDEX([1]Pivot!$B$1:$AB$65000,$B786,V$5)="",2,0)),0)</f>
        <v>0</v>
      </c>
      <c r="W786" s="194">
        <f>IFERROR(IF(INDEX([1]Pivot!$AD$1:$BE$65000,$B786,W$5)=1,1,IF(INDEX([1]Pivot!$B$1:$AB$65000,$B786,W$5)="",2,0)),0)</f>
        <v>0</v>
      </c>
      <c r="X786" s="194">
        <f>IFERROR(IF(INDEX([1]Pivot!$AD$1:$BE$65000,$B786,X$5)=1,1,IF(INDEX([1]Pivot!$B$1:$AB$65000,$B786,X$5)="",2,0)),0)</f>
        <v>0</v>
      </c>
      <c r="Y786" s="194">
        <f>IFERROR(IF(INDEX([1]Pivot!$AD$1:$BE$65000,$B786,Y$5)=1,1,IF(INDEX([1]Pivot!$B$1:$AB$65000,$B786,Y$5)="",2,0)),0)</f>
        <v>0</v>
      </c>
      <c r="Z786" s="194">
        <f>IFERROR(IF(INDEX([1]Pivot!$AD$1:$BE$65000,$B786,Z$5)=1,1,IF(INDEX([1]Pivot!$B$1:$AB$65000,$B786,Z$5)="",2,0)),0)</f>
        <v>0</v>
      </c>
      <c r="AA786" s="194">
        <f>IFERROR(IF(INDEX([1]Pivot!$AD$1:$BE$65000,$B786,AA$5)=1,1,IF(INDEX([1]Pivot!$B$1:$AB$65000,$B786,AA$5)="",2,0)),0)</f>
        <v>0</v>
      </c>
      <c r="AB786" s="194">
        <f>IFERROR(IF(INDEX([1]Pivot!$AD$1:$BE$65000,$B786,AB$5)=1,1,IF(INDEX([1]Pivot!$B$1:$AB$65000,$B786,AB$5)="",2,0)),0)</f>
        <v>0</v>
      </c>
      <c r="AC786" s="194">
        <f>IFERROR(IF(INDEX([1]Pivot!$AD$1:$BE$65000,$B786,AC$5)=1,1,IF(INDEX([1]Pivot!$B$1:$AB$65000,$B786,AC$5)="",2,0)),0)</f>
        <v>0</v>
      </c>
      <c r="AD786" s="313">
        <f>IFERROR(IF(INDEX([1]Pivot!$BF$1:$CG$65000,$B786,AD$5)=1,1,IF(INDEX([1]Pivot!$B$1:$AB$65000,$B786,AD$5)="",2,0)),0)</f>
        <v>0</v>
      </c>
      <c r="AE786" s="313">
        <f>IFERROR(IF(INDEX([1]Pivot!$BF$1:$CG$65000,$B786,AE$5)=1,1,IF(INDEX([1]Pivot!$B$1:$AB$65000,$B786,AE$5)="",2,0)),0)</f>
        <v>0</v>
      </c>
      <c r="AF786" s="313">
        <f>IFERROR(IF(INDEX([1]Pivot!$BF$1:$CG$65000,$B786,AF$5)=1,1,IF(INDEX([1]Pivot!$B$1:$AB$65000,$B786,AF$5)="",2,0)),0)</f>
        <v>0</v>
      </c>
      <c r="AG786" s="313">
        <f>IFERROR(IF(INDEX([1]Pivot!$BF$1:$CG$65000,$B786,AG$5)=1,1,IF(INDEX([1]Pivot!$B$1:$AB$65000,$B786,AG$5)="",2,0)),0)</f>
        <v>0</v>
      </c>
      <c r="AH786" s="313">
        <f>IFERROR(IF(INDEX([1]Pivot!$BF$1:$CG$65000,$B786,AH$5)=1,1,IF(INDEX([1]Pivot!$B$1:$AB$65000,$B786,AH$5)="",2,0)),0)</f>
        <v>0</v>
      </c>
      <c r="AI786" s="313">
        <f>IFERROR(IF(INDEX([1]Pivot!$BF$1:$CG$65000,$B786,AI$5)=1,1,IF(INDEX([1]Pivot!$B$1:$AB$65000,$B786,AI$5)="",2,0)),0)</f>
        <v>0</v>
      </c>
      <c r="AJ786" s="313">
        <f>IFERROR(IF(INDEX([1]Pivot!$BF$1:$CG$65000,$B786,AJ$5)=1,1,IF(INDEX([1]Pivot!$B$1:$AB$65000,$B786,AJ$5)="",2,0)),0)</f>
        <v>0</v>
      </c>
      <c r="AK786" s="313">
        <f>IFERROR(IF(INDEX([1]Pivot!$BF$1:$CG$65000,$B786,AK$5)=1,1,IF(INDEX([1]Pivot!$B$1:$AB$65000,$B786,AK$5)="",2,0)),0)</f>
        <v>0</v>
      </c>
      <c r="AL786" s="313">
        <f>IFERROR(IF(INDEX([1]Pivot!$BF$1:$CG$65000,$B786,AL$5)=1,1,IF(INDEX([1]Pivot!$B$1:$AB$65000,$B786,AL$5)="",2,0)),0)</f>
        <v>0</v>
      </c>
      <c r="AM786" s="313">
        <f>IFERROR(IF(INDEX([1]Pivot!$BF$1:$CG$65000,$B786,AM$5)=1,1,IF(INDEX([1]Pivot!$B$1:$AB$65000,$B786,AM$5)="",2,0)),0)</f>
        <v>0</v>
      </c>
      <c r="AN786" s="313">
        <f>IFERROR(IF(INDEX([1]Pivot!$BF$1:$CG$65000,$B786,AN$5)=1,1,IF(INDEX([1]Pivot!$B$1:$AB$65000,$B786,AN$5)="",2,0)),0)</f>
        <v>0</v>
      </c>
      <c r="AO786" s="313">
        <f>IFERROR(IF(INDEX([1]Pivot!$BF$1:$CG$65000,$B786,AO$5)=1,1,IF(INDEX([1]Pivot!$B$1:$AB$65000,$B786,AO$5)="",2,0)),0)</f>
        <v>0</v>
      </c>
      <c r="AP786" s="313">
        <f>IFERROR(IF(INDEX([1]Pivot!$BF$1:$CG$65000,$B786,AP$5)=1,1,IF(INDEX([1]Pivot!$B$1:$AB$65000,$B786,AP$5)="",2,0)),0)</f>
        <v>0</v>
      </c>
      <c r="AQ786" s="313">
        <f>IFERROR(IF(INDEX([1]Pivot!$BF$1:$CG$65000,$B786,AQ$5)=1,1,IF(INDEX([1]Pivot!$B$1:$AB$65000,$B786,AQ$5)="",2,0)),0)</f>
        <v>0</v>
      </c>
      <c r="AR786" s="313">
        <f>IFERROR(IF(INDEX([1]Pivot!$BF$1:$CG$65000,$B786,AR$5)=1,1,IF(INDEX([1]Pivot!$B$1:$AB$65000,$B786,AR$5)="",2,0)),0)</f>
        <v>0</v>
      </c>
      <c r="AS786" s="312"/>
      <c r="AT786" s="313">
        <f>IFERROR(IF(INDEX([1]Pivot!$BF$1:$CG$65000,$B786,AT$5)=1,1,IF(INDEX([1]Pivot!$B$1:$AB$65000,$B786,AT$5)="",2,0)),0)</f>
        <v>0</v>
      </c>
      <c r="AU786" s="313">
        <f>IFERROR(IF(INDEX([1]Pivot!$BF$1:$CG$65000,$B786,AU$5)=1,1,IF(INDEX([1]Pivot!$B$1:$AB$65000,$B786,AU$5)="",2,0)),0)</f>
        <v>0</v>
      </c>
      <c r="AV786" s="313">
        <f>IFERROR(IF(INDEX([1]Pivot!$BF$1:$CG$65000,$B786,AV$5)=1,1,IF(INDEX([1]Pivot!$B$1:$AB$65000,$B786,AV$5)="",2,0)),0)</f>
        <v>0</v>
      </c>
      <c r="AW786" s="313">
        <f>IFERROR(IF(INDEX([1]Pivot!$BF$1:$CG$65000,$B786,AW$5)=1,1,IF(INDEX([1]Pivot!$B$1:$AB$65000,$B786,AW$5)="",2,0)),0)</f>
        <v>0</v>
      </c>
      <c r="AX786" s="313">
        <f>IFERROR(IF(INDEX([1]Pivot!$BF$1:$CG$65000,$B786,AX$5)=1,1,IF(INDEX([1]Pivot!$B$1:$AB$65000,$B786,AX$5)="",2,0)),0)</f>
        <v>0</v>
      </c>
      <c r="AY786" s="313">
        <f>IFERROR(IF(INDEX([1]Pivot!$BF$1:$CG$65000,$B786,AY$5)=1,1,IF(INDEX([1]Pivot!$B$1:$AB$65000,$B786,AY$5)="",2,0)),0)</f>
        <v>0</v>
      </c>
      <c r="AZ786" s="313">
        <f>IFERROR(IF(INDEX([1]Pivot!$BF$1:$CG$65000,$B786,AZ$5)=1,1,IF(INDEX([1]Pivot!$B$1:$AB$65000,$B786,AZ$5)="",2,0)),0)</f>
        <v>0</v>
      </c>
      <c r="BA786" s="313">
        <f>IFERROR(IF(INDEX([1]Pivot!$BF$1:$CG$65000,$B786,BA$5)=1,1,IF(INDEX([1]Pivot!$B$1:$AB$65000,$B786,BA$5)="",2,0)),0)</f>
        <v>0</v>
      </c>
      <c r="BB786" s="313">
        <f>IFERROR(IF(INDEX([1]Pivot!$BF$1:$CG$65000,$B786,BB$5)=1,1,IF(INDEX([1]Pivot!$B$1:$AB$65000,$B786,BB$5)="",2,0)),0)</f>
        <v>0</v>
      </c>
      <c r="BC786" s="313">
        <f>IFERROR(IF(INDEX([1]Pivot!$BF$1:$CG$65000,$B786,BC$5)=1,1,IF(INDEX([1]Pivot!$B$1:$AB$65000,$B786,BC$5)="",2,0)),0)</f>
        <v>0</v>
      </c>
      <c r="BD786" s="313">
        <f>IFERROR(IF(INDEX([1]Pivot!$BF$1:$CG$65000,$B786,BD$5)=1,1,IF(INDEX([1]Pivot!$B$1:$AB$65000,$B786,BD$5)="",2,0)),0)</f>
        <v>0</v>
      </c>
    </row>
    <row r="787" spans="1:56" x14ac:dyDescent="0.25">
      <c r="A787" s="288">
        <f>'[2]Raw Milk Prices'!A787</f>
        <v>0</v>
      </c>
      <c r="B787" s="296" t="e">
        <f>MATCH(DATE(LEFT('[2]Raw Milk Prices'!$A787,4),RIGHT('[2]Raw Milk Prices'!$A787,2),1),[1]Pivot!$A$1:$A$65000,0)</f>
        <v>#VALUE!</v>
      </c>
      <c r="C787" s="194">
        <f>IFERROR(IF(INDEX([1]Pivot!$AD$1:$BE$65000,$B787,C$5)=1,1,IF(INDEX([1]Pivot!$B$1:$AB$65000,$B787,C$5)="",2,0)),0)</f>
        <v>0</v>
      </c>
      <c r="D787" s="194">
        <f>IFERROR(IF(INDEX([1]Pivot!$AD$1:$BE$65000,$B787,D$5)=1,1,IF(INDEX([1]Pivot!$B$1:$AB$65000,$B787,D$5)="",2,0)),0)</f>
        <v>0</v>
      </c>
      <c r="E787" s="194">
        <f>IFERROR(IF(INDEX([1]Pivot!$AD$1:$BE$65000,$B787,E$5)=1,1,IF(INDEX([1]Pivot!$B$1:$AB$65000,$B787,E$5)="",2,0)),0)</f>
        <v>0</v>
      </c>
      <c r="F787" s="194">
        <f>IFERROR(IF(INDEX([1]Pivot!$AD$1:$BE$65000,$B787,F$5)=1,1,IF(INDEX([1]Pivot!$B$1:$AB$65000,$B787,F$5)="",2,0)),0)</f>
        <v>0</v>
      </c>
      <c r="G787" s="194">
        <f>IFERROR(IF(INDEX([1]Pivot!$AD$1:$BE$65000,$B787,G$5)=1,1,IF(INDEX([1]Pivot!$B$1:$AB$65000,$B787,G$5)="",2,0)),0)</f>
        <v>0</v>
      </c>
      <c r="H787" s="194">
        <f>IFERROR(IF(INDEX([1]Pivot!$AD$1:$BE$65000,$B787,H$5)=1,1,IF(INDEX([1]Pivot!$B$1:$AB$65000,$B787,H$5)="",2,0)),0)</f>
        <v>0</v>
      </c>
      <c r="I787" s="194">
        <f>IFERROR(IF(INDEX([1]Pivot!$AD$1:$BE$65000,$B787,I$5)=1,1,IF(INDEX([1]Pivot!$B$1:$AB$65000,$B787,I$5)="",2,0)),0)</f>
        <v>0</v>
      </c>
      <c r="J787" s="194">
        <f>IFERROR(IF(INDEX([1]Pivot!$AD$1:$BE$65000,$B787,J$5)=1,1,IF(INDEX([1]Pivot!$B$1:$AB$65000,$B787,J$5)="",2,0)),0)</f>
        <v>0</v>
      </c>
      <c r="K787" s="194">
        <f>IFERROR(IF(INDEX([1]Pivot!$AD$1:$BE$65000,$B787,K$5)=1,1,IF(INDEX([1]Pivot!$B$1:$AB$65000,$B787,K$5)="",2,0)),0)</f>
        <v>0</v>
      </c>
      <c r="L787" s="194">
        <f>IFERROR(IF(INDEX([1]Pivot!$AD$1:$BE$65000,$B787,L$5)=1,1,IF(INDEX([1]Pivot!$B$1:$AB$65000,$B787,L$5)="",2,0)),0)</f>
        <v>0</v>
      </c>
      <c r="M787" s="194">
        <f>IFERROR(IF(INDEX([1]Pivot!$AD$1:$BE$65000,$B787,M$5)=1,1,IF(INDEX([1]Pivot!$B$1:$AB$65000,$B787,M$5)="",2,0)),0)</f>
        <v>0</v>
      </c>
      <c r="N787" s="194">
        <f>IFERROR(IF(INDEX([1]Pivot!$AD$1:$BE$65000,$B787,N$5)=1,1,IF(INDEX([1]Pivot!$B$1:$AB$65000,$B787,N$5)="",2,0)),0)</f>
        <v>0</v>
      </c>
      <c r="O787" s="194">
        <f>IFERROR(IF(INDEX([1]Pivot!$AD$1:$BE$65000,$B787,O$5)=1,1,IF(INDEX([1]Pivot!$B$1:$AB$65000,$B787,O$5)="",2,0)),0)</f>
        <v>0</v>
      </c>
      <c r="P787" s="194">
        <f>IFERROR(IF(INDEX([1]Pivot!$AD$1:$BE$65000,$B787,P$5)=1,1,IF(INDEX([1]Pivot!$B$1:$AB$65000,$B787,P$5)="",2,0)),0)</f>
        <v>0</v>
      </c>
      <c r="Q787" s="194">
        <f>IFERROR(IF(INDEX([1]Pivot!$AD$1:$BE$65000,$B787,Q$5)=1,1,IF(INDEX([1]Pivot!$B$1:$AB$65000,$B787,Q$5)="",2,0)),0)</f>
        <v>0</v>
      </c>
      <c r="R787" s="312"/>
      <c r="S787" s="194">
        <f>IFERROR(IF(INDEX([1]Pivot!$AD$1:$BE$65000,$B787,S$5)=1,1,IF(INDEX([1]Pivot!$B$1:$AB$65000,$B787,S$5)="",2,0)),0)</f>
        <v>0</v>
      </c>
      <c r="T787" s="194">
        <f>IFERROR(IF(INDEX([1]Pivot!$AD$1:$BE$65000,$B787,T$5)=1,1,IF(INDEX([1]Pivot!$B$1:$AB$65000,$B787,T$5)="",2,0)),0)</f>
        <v>0</v>
      </c>
      <c r="U787" s="194">
        <f>IFERROR(IF(INDEX([1]Pivot!$AD$1:$BE$65000,$B787,U$5)=1,1,IF(INDEX([1]Pivot!$B$1:$AB$65000,$B787,U$5)="",2,0)),0)</f>
        <v>0</v>
      </c>
      <c r="V787" s="194">
        <f>IFERROR(IF(INDEX([1]Pivot!$AD$1:$BE$65000,$B787,V$5)=1,1,IF(INDEX([1]Pivot!$B$1:$AB$65000,$B787,V$5)="",2,0)),0)</f>
        <v>0</v>
      </c>
      <c r="W787" s="194">
        <f>IFERROR(IF(INDEX([1]Pivot!$AD$1:$BE$65000,$B787,W$5)=1,1,IF(INDEX([1]Pivot!$B$1:$AB$65000,$B787,W$5)="",2,0)),0)</f>
        <v>0</v>
      </c>
      <c r="X787" s="194">
        <f>IFERROR(IF(INDEX([1]Pivot!$AD$1:$BE$65000,$B787,X$5)=1,1,IF(INDEX([1]Pivot!$B$1:$AB$65000,$B787,X$5)="",2,0)),0)</f>
        <v>0</v>
      </c>
      <c r="Y787" s="194">
        <f>IFERROR(IF(INDEX([1]Pivot!$AD$1:$BE$65000,$B787,Y$5)=1,1,IF(INDEX([1]Pivot!$B$1:$AB$65000,$B787,Y$5)="",2,0)),0)</f>
        <v>0</v>
      </c>
      <c r="Z787" s="194">
        <f>IFERROR(IF(INDEX([1]Pivot!$AD$1:$BE$65000,$B787,Z$5)=1,1,IF(INDEX([1]Pivot!$B$1:$AB$65000,$B787,Z$5)="",2,0)),0)</f>
        <v>0</v>
      </c>
      <c r="AA787" s="194">
        <f>IFERROR(IF(INDEX([1]Pivot!$AD$1:$BE$65000,$B787,AA$5)=1,1,IF(INDEX([1]Pivot!$B$1:$AB$65000,$B787,AA$5)="",2,0)),0)</f>
        <v>0</v>
      </c>
      <c r="AB787" s="194">
        <f>IFERROR(IF(INDEX([1]Pivot!$AD$1:$BE$65000,$B787,AB$5)=1,1,IF(INDEX([1]Pivot!$B$1:$AB$65000,$B787,AB$5)="",2,0)),0)</f>
        <v>0</v>
      </c>
      <c r="AC787" s="194">
        <f>IFERROR(IF(INDEX([1]Pivot!$AD$1:$BE$65000,$B787,AC$5)=1,1,IF(INDEX([1]Pivot!$B$1:$AB$65000,$B787,AC$5)="",2,0)),0)</f>
        <v>0</v>
      </c>
      <c r="AD787" s="313">
        <f>IFERROR(IF(INDEX([1]Pivot!$BF$1:$CG$65000,$B787,AD$5)=1,1,IF(INDEX([1]Pivot!$B$1:$AB$65000,$B787,AD$5)="",2,0)),0)</f>
        <v>0</v>
      </c>
      <c r="AE787" s="313">
        <f>IFERROR(IF(INDEX([1]Pivot!$BF$1:$CG$65000,$B787,AE$5)=1,1,IF(INDEX([1]Pivot!$B$1:$AB$65000,$B787,AE$5)="",2,0)),0)</f>
        <v>0</v>
      </c>
      <c r="AF787" s="313">
        <f>IFERROR(IF(INDEX([1]Pivot!$BF$1:$CG$65000,$B787,AF$5)=1,1,IF(INDEX([1]Pivot!$B$1:$AB$65000,$B787,AF$5)="",2,0)),0)</f>
        <v>0</v>
      </c>
      <c r="AG787" s="313">
        <f>IFERROR(IF(INDEX([1]Pivot!$BF$1:$CG$65000,$B787,AG$5)=1,1,IF(INDEX([1]Pivot!$B$1:$AB$65000,$B787,AG$5)="",2,0)),0)</f>
        <v>0</v>
      </c>
      <c r="AH787" s="313">
        <f>IFERROR(IF(INDEX([1]Pivot!$BF$1:$CG$65000,$B787,AH$5)=1,1,IF(INDEX([1]Pivot!$B$1:$AB$65000,$B787,AH$5)="",2,0)),0)</f>
        <v>0</v>
      </c>
      <c r="AI787" s="313">
        <f>IFERROR(IF(INDEX([1]Pivot!$BF$1:$CG$65000,$B787,AI$5)=1,1,IF(INDEX([1]Pivot!$B$1:$AB$65000,$B787,AI$5)="",2,0)),0)</f>
        <v>0</v>
      </c>
      <c r="AJ787" s="313">
        <f>IFERROR(IF(INDEX([1]Pivot!$BF$1:$CG$65000,$B787,AJ$5)=1,1,IF(INDEX([1]Pivot!$B$1:$AB$65000,$B787,AJ$5)="",2,0)),0)</f>
        <v>0</v>
      </c>
      <c r="AK787" s="313">
        <f>IFERROR(IF(INDEX([1]Pivot!$BF$1:$CG$65000,$B787,AK$5)=1,1,IF(INDEX([1]Pivot!$B$1:$AB$65000,$B787,AK$5)="",2,0)),0)</f>
        <v>0</v>
      </c>
      <c r="AL787" s="313">
        <f>IFERROR(IF(INDEX([1]Pivot!$BF$1:$CG$65000,$B787,AL$5)=1,1,IF(INDEX([1]Pivot!$B$1:$AB$65000,$B787,AL$5)="",2,0)),0)</f>
        <v>0</v>
      </c>
      <c r="AM787" s="313">
        <f>IFERROR(IF(INDEX([1]Pivot!$BF$1:$CG$65000,$B787,AM$5)=1,1,IF(INDEX([1]Pivot!$B$1:$AB$65000,$B787,AM$5)="",2,0)),0)</f>
        <v>0</v>
      </c>
      <c r="AN787" s="313">
        <f>IFERROR(IF(INDEX([1]Pivot!$BF$1:$CG$65000,$B787,AN$5)=1,1,IF(INDEX([1]Pivot!$B$1:$AB$65000,$B787,AN$5)="",2,0)),0)</f>
        <v>0</v>
      </c>
      <c r="AO787" s="313">
        <f>IFERROR(IF(INDEX([1]Pivot!$BF$1:$CG$65000,$B787,AO$5)=1,1,IF(INDEX([1]Pivot!$B$1:$AB$65000,$B787,AO$5)="",2,0)),0)</f>
        <v>0</v>
      </c>
      <c r="AP787" s="313">
        <f>IFERROR(IF(INDEX([1]Pivot!$BF$1:$CG$65000,$B787,AP$5)=1,1,IF(INDEX([1]Pivot!$B$1:$AB$65000,$B787,AP$5)="",2,0)),0)</f>
        <v>0</v>
      </c>
      <c r="AQ787" s="313">
        <f>IFERROR(IF(INDEX([1]Pivot!$BF$1:$CG$65000,$B787,AQ$5)=1,1,IF(INDEX([1]Pivot!$B$1:$AB$65000,$B787,AQ$5)="",2,0)),0)</f>
        <v>0</v>
      </c>
      <c r="AR787" s="313">
        <f>IFERROR(IF(INDEX([1]Pivot!$BF$1:$CG$65000,$B787,AR$5)=1,1,IF(INDEX([1]Pivot!$B$1:$AB$65000,$B787,AR$5)="",2,0)),0)</f>
        <v>0</v>
      </c>
      <c r="AS787" s="312"/>
      <c r="AT787" s="313">
        <f>IFERROR(IF(INDEX([1]Pivot!$BF$1:$CG$65000,$B787,AT$5)=1,1,IF(INDEX([1]Pivot!$B$1:$AB$65000,$B787,AT$5)="",2,0)),0)</f>
        <v>0</v>
      </c>
      <c r="AU787" s="313">
        <f>IFERROR(IF(INDEX([1]Pivot!$BF$1:$CG$65000,$B787,AU$5)=1,1,IF(INDEX([1]Pivot!$B$1:$AB$65000,$B787,AU$5)="",2,0)),0)</f>
        <v>0</v>
      </c>
      <c r="AV787" s="313">
        <f>IFERROR(IF(INDEX([1]Pivot!$BF$1:$CG$65000,$B787,AV$5)=1,1,IF(INDEX([1]Pivot!$B$1:$AB$65000,$B787,AV$5)="",2,0)),0)</f>
        <v>0</v>
      </c>
      <c r="AW787" s="313">
        <f>IFERROR(IF(INDEX([1]Pivot!$BF$1:$CG$65000,$B787,AW$5)=1,1,IF(INDEX([1]Pivot!$B$1:$AB$65000,$B787,AW$5)="",2,0)),0)</f>
        <v>0</v>
      </c>
      <c r="AX787" s="313">
        <f>IFERROR(IF(INDEX([1]Pivot!$BF$1:$CG$65000,$B787,AX$5)=1,1,IF(INDEX([1]Pivot!$B$1:$AB$65000,$B787,AX$5)="",2,0)),0)</f>
        <v>0</v>
      </c>
      <c r="AY787" s="313">
        <f>IFERROR(IF(INDEX([1]Pivot!$BF$1:$CG$65000,$B787,AY$5)=1,1,IF(INDEX([1]Pivot!$B$1:$AB$65000,$B787,AY$5)="",2,0)),0)</f>
        <v>0</v>
      </c>
      <c r="AZ787" s="313">
        <f>IFERROR(IF(INDEX([1]Pivot!$BF$1:$CG$65000,$B787,AZ$5)=1,1,IF(INDEX([1]Pivot!$B$1:$AB$65000,$B787,AZ$5)="",2,0)),0)</f>
        <v>0</v>
      </c>
      <c r="BA787" s="313">
        <f>IFERROR(IF(INDEX([1]Pivot!$BF$1:$CG$65000,$B787,BA$5)=1,1,IF(INDEX([1]Pivot!$B$1:$AB$65000,$B787,BA$5)="",2,0)),0)</f>
        <v>0</v>
      </c>
      <c r="BB787" s="313">
        <f>IFERROR(IF(INDEX([1]Pivot!$BF$1:$CG$65000,$B787,BB$5)=1,1,IF(INDEX([1]Pivot!$B$1:$AB$65000,$B787,BB$5)="",2,0)),0)</f>
        <v>0</v>
      </c>
      <c r="BC787" s="313">
        <f>IFERROR(IF(INDEX([1]Pivot!$BF$1:$CG$65000,$B787,BC$5)=1,1,IF(INDEX([1]Pivot!$B$1:$AB$65000,$B787,BC$5)="",2,0)),0)</f>
        <v>0</v>
      </c>
      <c r="BD787" s="313">
        <f>IFERROR(IF(INDEX([1]Pivot!$BF$1:$CG$65000,$B787,BD$5)=1,1,IF(INDEX([1]Pivot!$B$1:$AB$65000,$B787,BD$5)="",2,0)),0)</f>
        <v>0</v>
      </c>
    </row>
    <row r="788" spans="1:56" x14ac:dyDescent="0.25">
      <c r="A788" s="288">
        <f>'[2]Raw Milk Prices'!A788</f>
        <v>0</v>
      </c>
      <c r="B788" s="296" t="e">
        <f>MATCH(DATE(LEFT('[2]Raw Milk Prices'!$A788,4),RIGHT('[2]Raw Milk Prices'!$A788,2),1),[1]Pivot!$A$1:$A$65000,0)</f>
        <v>#VALUE!</v>
      </c>
      <c r="C788" s="194">
        <f>IFERROR(IF(INDEX([1]Pivot!$AD$1:$BE$65000,$B788,C$5)=1,1,IF(INDEX([1]Pivot!$B$1:$AB$65000,$B788,C$5)="",2,0)),0)</f>
        <v>0</v>
      </c>
      <c r="D788" s="194">
        <f>IFERROR(IF(INDEX([1]Pivot!$AD$1:$BE$65000,$B788,D$5)=1,1,IF(INDEX([1]Pivot!$B$1:$AB$65000,$B788,D$5)="",2,0)),0)</f>
        <v>0</v>
      </c>
      <c r="E788" s="194">
        <f>IFERROR(IF(INDEX([1]Pivot!$AD$1:$BE$65000,$B788,E$5)=1,1,IF(INDEX([1]Pivot!$B$1:$AB$65000,$B788,E$5)="",2,0)),0)</f>
        <v>0</v>
      </c>
      <c r="F788" s="194">
        <f>IFERROR(IF(INDEX([1]Pivot!$AD$1:$BE$65000,$B788,F$5)=1,1,IF(INDEX([1]Pivot!$B$1:$AB$65000,$B788,F$5)="",2,0)),0)</f>
        <v>0</v>
      </c>
      <c r="G788" s="194">
        <f>IFERROR(IF(INDEX([1]Pivot!$AD$1:$BE$65000,$B788,G$5)=1,1,IF(INDEX([1]Pivot!$B$1:$AB$65000,$B788,G$5)="",2,0)),0)</f>
        <v>0</v>
      </c>
      <c r="H788" s="194">
        <f>IFERROR(IF(INDEX([1]Pivot!$AD$1:$BE$65000,$B788,H$5)=1,1,IF(INDEX([1]Pivot!$B$1:$AB$65000,$B788,H$5)="",2,0)),0)</f>
        <v>0</v>
      </c>
      <c r="I788" s="194">
        <f>IFERROR(IF(INDEX([1]Pivot!$AD$1:$BE$65000,$B788,I$5)=1,1,IF(INDEX([1]Pivot!$B$1:$AB$65000,$B788,I$5)="",2,0)),0)</f>
        <v>0</v>
      </c>
      <c r="J788" s="194">
        <f>IFERROR(IF(INDEX([1]Pivot!$AD$1:$BE$65000,$B788,J$5)=1,1,IF(INDEX([1]Pivot!$B$1:$AB$65000,$B788,J$5)="",2,0)),0)</f>
        <v>0</v>
      </c>
      <c r="K788" s="194">
        <f>IFERROR(IF(INDEX([1]Pivot!$AD$1:$BE$65000,$B788,K$5)=1,1,IF(INDEX([1]Pivot!$B$1:$AB$65000,$B788,K$5)="",2,0)),0)</f>
        <v>0</v>
      </c>
      <c r="L788" s="194">
        <f>IFERROR(IF(INDEX([1]Pivot!$AD$1:$BE$65000,$B788,L$5)=1,1,IF(INDEX([1]Pivot!$B$1:$AB$65000,$B788,L$5)="",2,0)),0)</f>
        <v>0</v>
      </c>
      <c r="M788" s="194">
        <f>IFERROR(IF(INDEX([1]Pivot!$AD$1:$BE$65000,$B788,M$5)=1,1,IF(INDEX([1]Pivot!$B$1:$AB$65000,$B788,M$5)="",2,0)),0)</f>
        <v>0</v>
      </c>
      <c r="N788" s="194">
        <f>IFERROR(IF(INDEX([1]Pivot!$AD$1:$BE$65000,$B788,N$5)=1,1,IF(INDEX([1]Pivot!$B$1:$AB$65000,$B788,N$5)="",2,0)),0)</f>
        <v>0</v>
      </c>
      <c r="O788" s="194">
        <f>IFERROR(IF(INDEX([1]Pivot!$AD$1:$BE$65000,$B788,O$5)=1,1,IF(INDEX([1]Pivot!$B$1:$AB$65000,$B788,O$5)="",2,0)),0)</f>
        <v>0</v>
      </c>
      <c r="P788" s="194">
        <f>IFERROR(IF(INDEX([1]Pivot!$AD$1:$BE$65000,$B788,P$5)=1,1,IF(INDEX([1]Pivot!$B$1:$AB$65000,$B788,P$5)="",2,0)),0)</f>
        <v>0</v>
      </c>
      <c r="Q788" s="194">
        <f>IFERROR(IF(INDEX([1]Pivot!$AD$1:$BE$65000,$B788,Q$5)=1,1,IF(INDEX([1]Pivot!$B$1:$AB$65000,$B788,Q$5)="",2,0)),0)</f>
        <v>0</v>
      </c>
      <c r="R788" s="312"/>
      <c r="S788" s="194">
        <f>IFERROR(IF(INDEX([1]Pivot!$AD$1:$BE$65000,$B788,S$5)=1,1,IF(INDEX([1]Pivot!$B$1:$AB$65000,$B788,S$5)="",2,0)),0)</f>
        <v>0</v>
      </c>
      <c r="T788" s="194">
        <f>IFERROR(IF(INDEX([1]Pivot!$AD$1:$BE$65000,$B788,T$5)=1,1,IF(INDEX([1]Pivot!$B$1:$AB$65000,$B788,T$5)="",2,0)),0)</f>
        <v>0</v>
      </c>
      <c r="U788" s="194">
        <f>IFERROR(IF(INDEX([1]Pivot!$AD$1:$BE$65000,$B788,U$5)=1,1,IF(INDEX([1]Pivot!$B$1:$AB$65000,$B788,U$5)="",2,0)),0)</f>
        <v>0</v>
      </c>
      <c r="V788" s="194">
        <f>IFERROR(IF(INDEX([1]Pivot!$AD$1:$BE$65000,$B788,V$5)=1,1,IF(INDEX([1]Pivot!$B$1:$AB$65000,$B788,V$5)="",2,0)),0)</f>
        <v>0</v>
      </c>
      <c r="W788" s="194">
        <f>IFERROR(IF(INDEX([1]Pivot!$AD$1:$BE$65000,$B788,W$5)=1,1,IF(INDEX([1]Pivot!$B$1:$AB$65000,$B788,W$5)="",2,0)),0)</f>
        <v>0</v>
      </c>
      <c r="X788" s="194">
        <f>IFERROR(IF(INDEX([1]Pivot!$AD$1:$BE$65000,$B788,X$5)=1,1,IF(INDEX([1]Pivot!$B$1:$AB$65000,$B788,X$5)="",2,0)),0)</f>
        <v>0</v>
      </c>
      <c r="Y788" s="194">
        <f>IFERROR(IF(INDEX([1]Pivot!$AD$1:$BE$65000,$B788,Y$5)=1,1,IF(INDEX([1]Pivot!$B$1:$AB$65000,$B788,Y$5)="",2,0)),0)</f>
        <v>0</v>
      </c>
      <c r="Z788" s="194">
        <f>IFERROR(IF(INDEX([1]Pivot!$AD$1:$BE$65000,$B788,Z$5)=1,1,IF(INDEX([1]Pivot!$B$1:$AB$65000,$B788,Z$5)="",2,0)),0)</f>
        <v>0</v>
      </c>
      <c r="AA788" s="194">
        <f>IFERROR(IF(INDEX([1]Pivot!$AD$1:$BE$65000,$B788,AA$5)=1,1,IF(INDEX([1]Pivot!$B$1:$AB$65000,$B788,AA$5)="",2,0)),0)</f>
        <v>0</v>
      </c>
      <c r="AB788" s="194">
        <f>IFERROR(IF(INDEX([1]Pivot!$AD$1:$BE$65000,$B788,AB$5)=1,1,IF(INDEX([1]Pivot!$B$1:$AB$65000,$B788,AB$5)="",2,0)),0)</f>
        <v>0</v>
      </c>
      <c r="AC788" s="194">
        <f>IFERROR(IF(INDEX([1]Pivot!$AD$1:$BE$65000,$B788,AC$5)=1,1,IF(INDEX([1]Pivot!$B$1:$AB$65000,$B788,AC$5)="",2,0)),0)</f>
        <v>0</v>
      </c>
      <c r="AD788" s="313">
        <f>IFERROR(IF(INDEX([1]Pivot!$BF$1:$CG$65000,$B788,AD$5)=1,1,IF(INDEX([1]Pivot!$B$1:$AB$65000,$B788,AD$5)="",2,0)),0)</f>
        <v>0</v>
      </c>
      <c r="AE788" s="313">
        <f>IFERROR(IF(INDEX([1]Pivot!$BF$1:$CG$65000,$B788,AE$5)=1,1,IF(INDEX([1]Pivot!$B$1:$AB$65000,$B788,AE$5)="",2,0)),0)</f>
        <v>0</v>
      </c>
      <c r="AF788" s="313">
        <f>IFERROR(IF(INDEX([1]Pivot!$BF$1:$CG$65000,$B788,AF$5)=1,1,IF(INDEX([1]Pivot!$B$1:$AB$65000,$B788,AF$5)="",2,0)),0)</f>
        <v>0</v>
      </c>
      <c r="AG788" s="313">
        <f>IFERROR(IF(INDEX([1]Pivot!$BF$1:$CG$65000,$B788,AG$5)=1,1,IF(INDEX([1]Pivot!$B$1:$AB$65000,$B788,AG$5)="",2,0)),0)</f>
        <v>0</v>
      </c>
      <c r="AH788" s="313">
        <f>IFERROR(IF(INDEX([1]Pivot!$BF$1:$CG$65000,$B788,AH$5)=1,1,IF(INDEX([1]Pivot!$B$1:$AB$65000,$B788,AH$5)="",2,0)),0)</f>
        <v>0</v>
      </c>
      <c r="AI788" s="313">
        <f>IFERROR(IF(INDEX([1]Pivot!$BF$1:$CG$65000,$B788,AI$5)=1,1,IF(INDEX([1]Pivot!$B$1:$AB$65000,$B788,AI$5)="",2,0)),0)</f>
        <v>0</v>
      </c>
      <c r="AJ788" s="313">
        <f>IFERROR(IF(INDEX([1]Pivot!$BF$1:$CG$65000,$B788,AJ$5)=1,1,IF(INDEX([1]Pivot!$B$1:$AB$65000,$B788,AJ$5)="",2,0)),0)</f>
        <v>0</v>
      </c>
      <c r="AK788" s="313">
        <f>IFERROR(IF(INDEX([1]Pivot!$BF$1:$CG$65000,$B788,AK$5)=1,1,IF(INDEX([1]Pivot!$B$1:$AB$65000,$B788,AK$5)="",2,0)),0)</f>
        <v>0</v>
      </c>
      <c r="AL788" s="313">
        <f>IFERROR(IF(INDEX([1]Pivot!$BF$1:$CG$65000,$B788,AL$5)=1,1,IF(INDEX([1]Pivot!$B$1:$AB$65000,$B788,AL$5)="",2,0)),0)</f>
        <v>0</v>
      </c>
      <c r="AM788" s="313">
        <f>IFERROR(IF(INDEX([1]Pivot!$BF$1:$CG$65000,$B788,AM$5)=1,1,IF(INDEX([1]Pivot!$B$1:$AB$65000,$B788,AM$5)="",2,0)),0)</f>
        <v>0</v>
      </c>
      <c r="AN788" s="313">
        <f>IFERROR(IF(INDEX([1]Pivot!$BF$1:$CG$65000,$B788,AN$5)=1,1,IF(INDEX([1]Pivot!$B$1:$AB$65000,$B788,AN$5)="",2,0)),0)</f>
        <v>0</v>
      </c>
      <c r="AO788" s="313">
        <f>IFERROR(IF(INDEX([1]Pivot!$BF$1:$CG$65000,$B788,AO$5)=1,1,IF(INDEX([1]Pivot!$B$1:$AB$65000,$B788,AO$5)="",2,0)),0)</f>
        <v>0</v>
      </c>
      <c r="AP788" s="313">
        <f>IFERROR(IF(INDEX([1]Pivot!$BF$1:$CG$65000,$B788,AP$5)=1,1,IF(INDEX([1]Pivot!$B$1:$AB$65000,$B788,AP$5)="",2,0)),0)</f>
        <v>0</v>
      </c>
      <c r="AQ788" s="313">
        <f>IFERROR(IF(INDEX([1]Pivot!$BF$1:$CG$65000,$B788,AQ$5)=1,1,IF(INDEX([1]Pivot!$B$1:$AB$65000,$B788,AQ$5)="",2,0)),0)</f>
        <v>0</v>
      </c>
      <c r="AR788" s="313">
        <f>IFERROR(IF(INDEX([1]Pivot!$BF$1:$CG$65000,$B788,AR$5)=1,1,IF(INDEX([1]Pivot!$B$1:$AB$65000,$B788,AR$5)="",2,0)),0)</f>
        <v>0</v>
      </c>
      <c r="AS788" s="312"/>
      <c r="AT788" s="313">
        <f>IFERROR(IF(INDEX([1]Pivot!$BF$1:$CG$65000,$B788,AT$5)=1,1,IF(INDEX([1]Pivot!$B$1:$AB$65000,$B788,AT$5)="",2,0)),0)</f>
        <v>0</v>
      </c>
      <c r="AU788" s="313">
        <f>IFERROR(IF(INDEX([1]Pivot!$BF$1:$CG$65000,$B788,AU$5)=1,1,IF(INDEX([1]Pivot!$B$1:$AB$65000,$B788,AU$5)="",2,0)),0)</f>
        <v>0</v>
      </c>
      <c r="AV788" s="313">
        <f>IFERROR(IF(INDEX([1]Pivot!$BF$1:$CG$65000,$B788,AV$5)=1,1,IF(INDEX([1]Pivot!$B$1:$AB$65000,$B788,AV$5)="",2,0)),0)</f>
        <v>0</v>
      </c>
      <c r="AW788" s="313">
        <f>IFERROR(IF(INDEX([1]Pivot!$BF$1:$CG$65000,$B788,AW$5)=1,1,IF(INDEX([1]Pivot!$B$1:$AB$65000,$B788,AW$5)="",2,0)),0)</f>
        <v>0</v>
      </c>
      <c r="AX788" s="313">
        <f>IFERROR(IF(INDEX([1]Pivot!$BF$1:$CG$65000,$B788,AX$5)=1,1,IF(INDEX([1]Pivot!$B$1:$AB$65000,$B788,AX$5)="",2,0)),0)</f>
        <v>0</v>
      </c>
      <c r="AY788" s="313">
        <f>IFERROR(IF(INDEX([1]Pivot!$BF$1:$CG$65000,$B788,AY$5)=1,1,IF(INDEX([1]Pivot!$B$1:$AB$65000,$B788,AY$5)="",2,0)),0)</f>
        <v>0</v>
      </c>
      <c r="AZ788" s="313">
        <f>IFERROR(IF(INDEX([1]Pivot!$BF$1:$CG$65000,$B788,AZ$5)=1,1,IF(INDEX([1]Pivot!$B$1:$AB$65000,$B788,AZ$5)="",2,0)),0)</f>
        <v>0</v>
      </c>
      <c r="BA788" s="313">
        <f>IFERROR(IF(INDEX([1]Pivot!$BF$1:$CG$65000,$B788,BA$5)=1,1,IF(INDEX([1]Pivot!$B$1:$AB$65000,$B788,BA$5)="",2,0)),0)</f>
        <v>0</v>
      </c>
      <c r="BB788" s="313">
        <f>IFERROR(IF(INDEX([1]Pivot!$BF$1:$CG$65000,$B788,BB$5)=1,1,IF(INDEX([1]Pivot!$B$1:$AB$65000,$B788,BB$5)="",2,0)),0)</f>
        <v>0</v>
      </c>
      <c r="BC788" s="313">
        <f>IFERROR(IF(INDEX([1]Pivot!$BF$1:$CG$65000,$B788,BC$5)=1,1,IF(INDEX([1]Pivot!$B$1:$AB$65000,$B788,BC$5)="",2,0)),0)</f>
        <v>0</v>
      </c>
      <c r="BD788" s="313">
        <f>IFERROR(IF(INDEX([1]Pivot!$BF$1:$CG$65000,$B788,BD$5)=1,1,IF(INDEX([1]Pivot!$B$1:$AB$65000,$B788,BD$5)="",2,0)),0)</f>
        <v>0</v>
      </c>
    </row>
    <row r="789" spans="1:56" x14ac:dyDescent="0.25">
      <c r="A789" s="288">
        <f>'[2]Raw Milk Prices'!A789</f>
        <v>0</v>
      </c>
      <c r="B789" s="296" t="e">
        <f>MATCH(DATE(LEFT('[2]Raw Milk Prices'!$A789,4),RIGHT('[2]Raw Milk Prices'!$A789,2),1),[1]Pivot!$A$1:$A$65000,0)</f>
        <v>#VALUE!</v>
      </c>
      <c r="C789" s="194">
        <f>IFERROR(IF(INDEX([1]Pivot!$AD$1:$BE$65000,$B789,C$5)=1,1,IF(INDEX([1]Pivot!$B$1:$AB$65000,$B789,C$5)="",2,0)),0)</f>
        <v>0</v>
      </c>
      <c r="D789" s="194">
        <f>IFERROR(IF(INDEX([1]Pivot!$AD$1:$BE$65000,$B789,D$5)=1,1,IF(INDEX([1]Pivot!$B$1:$AB$65000,$B789,D$5)="",2,0)),0)</f>
        <v>0</v>
      </c>
      <c r="E789" s="194">
        <f>IFERROR(IF(INDEX([1]Pivot!$AD$1:$BE$65000,$B789,E$5)=1,1,IF(INDEX([1]Pivot!$B$1:$AB$65000,$B789,E$5)="",2,0)),0)</f>
        <v>0</v>
      </c>
      <c r="F789" s="194">
        <f>IFERROR(IF(INDEX([1]Pivot!$AD$1:$BE$65000,$B789,F$5)=1,1,IF(INDEX([1]Pivot!$B$1:$AB$65000,$B789,F$5)="",2,0)),0)</f>
        <v>0</v>
      </c>
      <c r="G789" s="194">
        <f>IFERROR(IF(INDEX([1]Pivot!$AD$1:$BE$65000,$B789,G$5)=1,1,IF(INDEX([1]Pivot!$B$1:$AB$65000,$B789,G$5)="",2,0)),0)</f>
        <v>0</v>
      </c>
      <c r="H789" s="194">
        <f>IFERROR(IF(INDEX([1]Pivot!$AD$1:$BE$65000,$B789,H$5)=1,1,IF(INDEX([1]Pivot!$B$1:$AB$65000,$B789,H$5)="",2,0)),0)</f>
        <v>0</v>
      </c>
      <c r="I789" s="194">
        <f>IFERROR(IF(INDEX([1]Pivot!$AD$1:$BE$65000,$B789,I$5)=1,1,IF(INDEX([1]Pivot!$B$1:$AB$65000,$B789,I$5)="",2,0)),0)</f>
        <v>0</v>
      </c>
      <c r="J789" s="194">
        <f>IFERROR(IF(INDEX([1]Pivot!$AD$1:$BE$65000,$B789,J$5)=1,1,IF(INDEX([1]Pivot!$B$1:$AB$65000,$B789,J$5)="",2,0)),0)</f>
        <v>0</v>
      </c>
      <c r="K789" s="194">
        <f>IFERROR(IF(INDEX([1]Pivot!$AD$1:$BE$65000,$B789,K$5)=1,1,IF(INDEX([1]Pivot!$B$1:$AB$65000,$B789,K$5)="",2,0)),0)</f>
        <v>0</v>
      </c>
      <c r="L789" s="194">
        <f>IFERROR(IF(INDEX([1]Pivot!$AD$1:$BE$65000,$B789,L$5)=1,1,IF(INDEX([1]Pivot!$B$1:$AB$65000,$B789,L$5)="",2,0)),0)</f>
        <v>0</v>
      </c>
      <c r="M789" s="194">
        <f>IFERROR(IF(INDEX([1]Pivot!$AD$1:$BE$65000,$B789,M$5)=1,1,IF(INDEX([1]Pivot!$B$1:$AB$65000,$B789,M$5)="",2,0)),0)</f>
        <v>0</v>
      </c>
      <c r="N789" s="194">
        <f>IFERROR(IF(INDEX([1]Pivot!$AD$1:$BE$65000,$B789,N$5)=1,1,IF(INDEX([1]Pivot!$B$1:$AB$65000,$B789,N$5)="",2,0)),0)</f>
        <v>0</v>
      </c>
      <c r="O789" s="194">
        <f>IFERROR(IF(INDEX([1]Pivot!$AD$1:$BE$65000,$B789,O$5)=1,1,IF(INDEX([1]Pivot!$B$1:$AB$65000,$B789,O$5)="",2,0)),0)</f>
        <v>0</v>
      </c>
      <c r="P789" s="194">
        <f>IFERROR(IF(INDEX([1]Pivot!$AD$1:$BE$65000,$B789,P$5)=1,1,IF(INDEX([1]Pivot!$B$1:$AB$65000,$B789,P$5)="",2,0)),0)</f>
        <v>0</v>
      </c>
      <c r="Q789" s="194">
        <f>IFERROR(IF(INDEX([1]Pivot!$AD$1:$BE$65000,$B789,Q$5)=1,1,IF(INDEX([1]Pivot!$B$1:$AB$65000,$B789,Q$5)="",2,0)),0)</f>
        <v>0</v>
      </c>
      <c r="R789" s="312"/>
      <c r="S789" s="194">
        <f>IFERROR(IF(INDEX([1]Pivot!$AD$1:$BE$65000,$B789,S$5)=1,1,IF(INDEX([1]Pivot!$B$1:$AB$65000,$B789,S$5)="",2,0)),0)</f>
        <v>0</v>
      </c>
      <c r="T789" s="194">
        <f>IFERROR(IF(INDEX([1]Pivot!$AD$1:$BE$65000,$B789,T$5)=1,1,IF(INDEX([1]Pivot!$B$1:$AB$65000,$B789,T$5)="",2,0)),0)</f>
        <v>0</v>
      </c>
      <c r="U789" s="194">
        <f>IFERROR(IF(INDEX([1]Pivot!$AD$1:$BE$65000,$B789,U$5)=1,1,IF(INDEX([1]Pivot!$B$1:$AB$65000,$B789,U$5)="",2,0)),0)</f>
        <v>0</v>
      </c>
      <c r="V789" s="194">
        <f>IFERROR(IF(INDEX([1]Pivot!$AD$1:$BE$65000,$B789,V$5)=1,1,IF(INDEX([1]Pivot!$B$1:$AB$65000,$B789,V$5)="",2,0)),0)</f>
        <v>0</v>
      </c>
      <c r="W789" s="194">
        <f>IFERROR(IF(INDEX([1]Pivot!$AD$1:$BE$65000,$B789,W$5)=1,1,IF(INDEX([1]Pivot!$B$1:$AB$65000,$B789,W$5)="",2,0)),0)</f>
        <v>0</v>
      </c>
      <c r="X789" s="194">
        <f>IFERROR(IF(INDEX([1]Pivot!$AD$1:$BE$65000,$B789,X$5)=1,1,IF(INDEX([1]Pivot!$B$1:$AB$65000,$B789,X$5)="",2,0)),0)</f>
        <v>0</v>
      </c>
      <c r="Y789" s="194">
        <f>IFERROR(IF(INDEX([1]Pivot!$AD$1:$BE$65000,$B789,Y$5)=1,1,IF(INDEX([1]Pivot!$B$1:$AB$65000,$B789,Y$5)="",2,0)),0)</f>
        <v>0</v>
      </c>
      <c r="Z789" s="194">
        <f>IFERROR(IF(INDEX([1]Pivot!$AD$1:$BE$65000,$B789,Z$5)=1,1,IF(INDEX([1]Pivot!$B$1:$AB$65000,$B789,Z$5)="",2,0)),0)</f>
        <v>0</v>
      </c>
      <c r="AA789" s="194">
        <f>IFERROR(IF(INDEX([1]Pivot!$AD$1:$BE$65000,$B789,AA$5)=1,1,IF(INDEX([1]Pivot!$B$1:$AB$65000,$B789,AA$5)="",2,0)),0)</f>
        <v>0</v>
      </c>
      <c r="AB789" s="194">
        <f>IFERROR(IF(INDEX([1]Pivot!$AD$1:$BE$65000,$B789,AB$5)=1,1,IF(INDEX([1]Pivot!$B$1:$AB$65000,$B789,AB$5)="",2,0)),0)</f>
        <v>0</v>
      </c>
      <c r="AC789" s="194">
        <f>IFERROR(IF(INDEX([1]Pivot!$AD$1:$BE$65000,$B789,AC$5)=1,1,IF(INDEX([1]Pivot!$B$1:$AB$65000,$B789,AC$5)="",2,0)),0)</f>
        <v>0</v>
      </c>
      <c r="AD789" s="313">
        <f>IFERROR(IF(INDEX([1]Pivot!$BF$1:$CG$65000,$B789,AD$5)=1,1,IF(INDEX([1]Pivot!$B$1:$AB$65000,$B789,AD$5)="",2,0)),0)</f>
        <v>0</v>
      </c>
      <c r="AE789" s="313">
        <f>IFERROR(IF(INDEX([1]Pivot!$BF$1:$CG$65000,$B789,AE$5)=1,1,IF(INDEX([1]Pivot!$B$1:$AB$65000,$B789,AE$5)="",2,0)),0)</f>
        <v>0</v>
      </c>
      <c r="AF789" s="313">
        <f>IFERROR(IF(INDEX([1]Pivot!$BF$1:$CG$65000,$B789,AF$5)=1,1,IF(INDEX([1]Pivot!$B$1:$AB$65000,$B789,AF$5)="",2,0)),0)</f>
        <v>0</v>
      </c>
      <c r="AG789" s="313">
        <f>IFERROR(IF(INDEX([1]Pivot!$BF$1:$CG$65000,$B789,AG$5)=1,1,IF(INDEX([1]Pivot!$B$1:$AB$65000,$B789,AG$5)="",2,0)),0)</f>
        <v>0</v>
      </c>
      <c r="AH789" s="313">
        <f>IFERROR(IF(INDEX([1]Pivot!$BF$1:$CG$65000,$B789,AH$5)=1,1,IF(INDEX([1]Pivot!$B$1:$AB$65000,$B789,AH$5)="",2,0)),0)</f>
        <v>0</v>
      </c>
      <c r="AI789" s="313">
        <f>IFERROR(IF(INDEX([1]Pivot!$BF$1:$CG$65000,$B789,AI$5)=1,1,IF(INDEX([1]Pivot!$B$1:$AB$65000,$B789,AI$5)="",2,0)),0)</f>
        <v>0</v>
      </c>
      <c r="AJ789" s="313">
        <f>IFERROR(IF(INDEX([1]Pivot!$BF$1:$CG$65000,$B789,AJ$5)=1,1,IF(INDEX([1]Pivot!$B$1:$AB$65000,$B789,AJ$5)="",2,0)),0)</f>
        <v>0</v>
      </c>
      <c r="AK789" s="313">
        <f>IFERROR(IF(INDEX([1]Pivot!$BF$1:$CG$65000,$B789,AK$5)=1,1,IF(INDEX([1]Pivot!$B$1:$AB$65000,$B789,AK$5)="",2,0)),0)</f>
        <v>0</v>
      </c>
      <c r="AL789" s="313">
        <f>IFERROR(IF(INDEX([1]Pivot!$BF$1:$CG$65000,$B789,AL$5)=1,1,IF(INDEX([1]Pivot!$B$1:$AB$65000,$B789,AL$5)="",2,0)),0)</f>
        <v>0</v>
      </c>
      <c r="AM789" s="313">
        <f>IFERROR(IF(INDEX([1]Pivot!$BF$1:$CG$65000,$B789,AM$5)=1,1,IF(INDEX([1]Pivot!$B$1:$AB$65000,$B789,AM$5)="",2,0)),0)</f>
        <v>0</v>
      </c>
      <c r="AN789" s="313">
        <f>IFERROR(IF(INDEX([1]Pivot!$BF$1:$CG$65000,$B789,AN$5)=1,1,IF(INDEX([1]Pivot!$B$1:$AB$65000,$B789,AN$5)="",2,0)),0)</f>
        <v>0</v>
      </c>
      <c r="AO789" s="313">
        <f>IFERROR(IF(INDEX([1]Pivot!$BF$1:$CG$65000,$B789,AO$5)=1,1,IF(INDEX([1]Pivot!$B$1:$AB$65000,$B789,AO$5)="",2,0)),0)</f>
        <v>0</v>
      </c>
      <c r="AP789" s="313">
        <f>IFERROR(IF(INDEX([1]Pivot!$BF$1:$CG$65000,$B789,AP$5)=1,1,IF(INDEX([1]Pivot!$B$1:$AB$65000,$B789,AP$5)="",2,0)),0)</f>
        <v>0</v>
      </c>
      <c r="AQ789" s="313">
        <f>IFERROR(IF(INDEX([1]Pivot!$BF$1:$CG$65000,$B789,AQ$5)=1,1,IF(INDEX([1]Pivot!$B$1:$AB$65000,$B789,AQ$5)="",2,0)),0)</f>
        <v>0</v>
      </c>
      <c r="AR789" s="313">
        <f>IFERROR(IF(INDEX([1]Pivot!$BF$1:$CG$65000,$B789,AR$5)=1,1,IF(INDEX([1]Pivot!$B$1:$AB$65000,$B789,AR$5)="",2,0)),0)</f>
        <v>0</v>
      </c>
      <c r="AS789" s="312"/>
      <c r="AT789" s="313">
        <f>IFERROR(IF(INDEX([1]Pivot!$BF$1:$CG$65000,$B789,AT$5)=1,1,IF(INDEX([1]Pivot!$B$1:$AB$65000,$B789,AT$5)="",2,0)),0)</f>
        <v>0</v>
      </c>
      <c r="AU789" s="313">
        <f>IFERROR(IF(INDEX([1]Pivot!$BF$1:$CG$65000,$B789,AU$5)=1,1,IF(INDEX([1]Pivot!$B$1:$AB$65000,$B789,AU$5)="",2,0)),0)</f>
        <v>0</v>
      </c>
      <c r="AV789" s="313">
        <f>IFERROR(IF(INDEX([1]Pivot!$BF$1:$CG$65000,$B789,AV$5)=1,1,IF(INDEX([1]Pivot!$B$1:$AB$65000,$B789,AV$5)="",2,0)),0)</f>
        <v>0</v>
      </c>
      <c r="AW789" s="313">
        <f>IFERROR(IF(INDEX([1]Pivot!$BF$1:$CG$65000,$B789,AW$5)=1,1,IF(INDEX([1]Pivot!$B$1:$AB$65000,$B789,AW$5)="",2,0)),0)</f>
        <v>0</v>
      </c>
      <c r="AX789" s="313">
        <f>IFERROR(IF(INDEX([1]Pivot!$BF$1:$CG$65000,$B789,AX$5)=1,1,IF(INDEX([1]Pivot!$B$1:$AB$65000,$B789,AX$5)="",2,0)),0)</f>
        <v>0</v>
      </c>
      <c r="AY789" s="313">
        <f>IFERROR(IF(INDEX([1]Pivot!$BF$1:$CG$65000,$B789,AY$5)=1,1,IF(INDEX([1]Pivot!$B$1:$AB$65000,$B789,AY$5)="",2,0)),0)</f>
        <v>0</v>
      </c>
      <c r="AZ789" s="313">
        <f>IFERROR(IF(INDEX([1]Pivot!$BF$1:$CG$65000,$B789,AZ$5)=1,1,IF(INDEX([1]Pivot!$B$1:$AB$65000,$B789,AZ$5)="",2,0)),0)</f>
        <v>0</v>
      </c>
      <c r="BA789" s="313">
        <f>IFERROR(IF(INDEX([1]Pivot!$BF$1:$CG$65000,$B789,BA$5)=1,1,IF(INDEX([1]Pivot!$B$1:$AB$65000,$B789,BA$5)="",2,0)),0)</f>
        <v>0</v>
      </c>
      <c r="BB789" s="313">
        <f>IFERROR(IF(INDEX([1]Pivot!$BF$1:$CG$65000,$B789,BB$5)=1,1,IF(INDEX([1]Pivot!$B$1:$AB$65000,$B789,BB$5)="",2,0)),0)</f>
        <v>0</v>
      </c>
      <c r="BC789" s="313">
        <f>IFERROR(IF(INDEX([1]Pivot!$BF$1:$CG$65000,$B789,BC$5)=1,1,IF(INDEX([1]Pivot!$B$1:$AB$65000,$B789,BC$5)="",2,0)),0)</f>
        <v>0</v>
      </c>
      <c r="BD789" s="313">
        <f>IFERROR(IF(INDEX([1]Pivot!$BF$1:$CG$65000,$B789,BD$5)=1,1,IF(INDEX([1]Pivot!$B$1:$AB$65000,$B789,BD$5)="",2,0)),0)</f>
        <v>0</v>
      </c>
    </row>
    <row r="790" spans="1:56" x14ac:dyDescent="0.25">
      <c r="A790" s="288">
        <f>'[2]Raw Milk Prices'!A790</f>
        <v>0</v>
      </c>
      <c r="B790" s="296" t="e">
        <f>MATCH(DATE(LEFT('[2]Raw Milk Prices'!$A790,4),RIGHT('[2]Raw Milk Prices'!$A790,2),1),[1]Pivot!$A$1:$A$65000,0)</f>
        <v>#VALUE!</v>
      </c>
      <c r="C790" s="194">
        <f>IFERROR(IF(INDEX([1]Pivot!$AD$1:$BE$65000,$B790,C$5)=1,1,IF(INDEX([1]Pivot!$B$1:$AB$65000,$B790,C$5)="",2,0)),0)</f>
        <v>0</v>
      </c>
      <c r="D790" s="194">
        <f>IFERROR(IF(INDEX([1]Pivot!$AD$1:$BE$65000,$B790,D$5)=1,1,IF(INDEX([1]Pivot!$B$1:$AB$65000,$B790,D$5)="",2,0)),0)</f>
        <v>0</v>
      </c>
      <c r="E790" s="194">
        <f>IFERROR(IF(INDEX([1]Pivot!$AD$1:$BE$65000,$B790,E$5)=1,1,IF(INDEX([1]Pivot!$B$1:$AB$65000,$B790,E$5)="",2,0)),0)</f>
        <v>0</v>
      </c>
      <c r="F790" s="194">
        <f>IFERROR(IF(INDEX([1]Pivot!$AD$1:$BE$65000,$B790,F$5)=1,1,IF(INDEX([1]Pivot!$B$1:$AB$65000,$B790,F$5)="",2,0)),0)</f>
        <v>0</v>
      </c>
      <c r="G790" s="194">
        <f>IFERROR(IF(INDEX([1]Pivot!$AD$1:$BE$65000,$B790,G$5)=1,1,IF(INDEX([1]Pivot!$B$1:$AB$65000,$B790,G$5)="",2,0)),0)</f>
        <v>0</v>
      </c>
      <c r="H790" s="194">
        <f>IFERROR(IF(INDEX([1]Pivot!$AD$1:$BE$65000,$B790,H$5)=1,1,IF(INDEX([1]Pivot!$B$1:$AB$65000,$B790,H$5)="",2,0)),0)</f>
        <v>0</v>
      </c>
      <c r="I790" s="194">
        <f>IFERROR(IF(INDEX([1]Pivot!$AD$1:$BE$65000,$B790,I$5)=1,1,IF(INDEX([1]Pivot!$B$1:$AB$65000,$B790,I$5)="",2,0)),0)</f>
        <v>0</v>
      </c>
      <c r="J790" s="194">
        <f>IFERROR(IF(INDEX([1]Pivot!$AD$1:$BE$65000,$B790,J$5)=1,1,IF(INDEX([1]Pivot!$B$1:$AB$65000,$B790,J$5)="",2,0)),0)</f>
        <v>0</v>
      </c>
      <c r="K790" s="194">
        <f>IFERROR(IF(INDEX([1]Pivot!$AD$1:$BE$65000,$B790,K$5)=1,1,IF(INDEX([1]Pivot!$B$1:$AB$65000,$B790,K$5)="",2,0)),0)</f>
        <v>0</v>
      </c>
      <c r="L790" s="194">
        <f>IFERROR(IF(INDEX([1]Pivot!$AD$1:$BE$65000,$B790,L$5)=1,1,IF(INDEX([1]Pivot!$B$1:$AB$65000,$B790,L$5)="",2,0)),0)</f>
        <v>0</v>
      </c>
      <c r="M790" s="194">
        <f>IFERROR(IF(INDEX([1]Pivot!$AD$1:$BE$65000,$B790,M$5)=1,1,IF(INDEX([1]Pivot!$B$1:$AB$65000,$B790,M$5)="",2,0)),0)</f>
        <v>0</v>
      </c>
      <c r="N790" s="194">
        <f>IFERROR(IF(INDEX([1]Pivot!$AD$1:$BE$65000,$B790,N$5)=1,1,IF(INDEX([1]Pivot!$B$1:$AB$65000,$B790,N$5)="",2,0)),0)</f>
        <v>0</v>
      </c>
      <c r="O790" s="194">
        <f>IFERROR(IF(INDEX([1]Pivot!$AD$1:$BE$65000,$B790,O$5)=1,1,IF(INDEX([1]Pivot!$B$1:$AB$65000,$B790,O$5)="",2,0)),0)</f>
        <v>0</v>
      </c>
      <c r="P790" s="194">
        <f>IFERROR(IF(INDEX([1]Pivot!$AD$1:$BE$65000,$B790,P$5)=1,1,IF(INDEX([1]Pivot!$B$1:$AB$65000,$B790,P$5)="",2,0)),0)</f>
        <v>0</v>
      </c>
      <c r="Q790" s="194">
        <f>IFERROR(IF(INDEX([1]Pivot!$AD$1:$BE$65000,$B790,Q$5)=1,1,IF(INDEX([1]Pivot!$B$1:$AB$65000,$B790,Q$5)="",2,0)),0)</f>
        <v>0</v>
      </c>
      <c r="R790" s="312"/>
      <c r="S790" s="194">
        <f>IFERROR(IF(INDEX([1]Pivot!$AD$1:$BE$65000,$B790,S$5)=1,1,IF(INDEX([1]Pivot!$B$1:$AB$65000,$B790,S$5)="",2,0)),0)</f>
        <v>0</v>
      </c>
      <c r="T790" s="194">
        <f>IFERROR(IF(INDEX([1]Pivot!$AD$1:$BE$65000,$B790,T$5)=1,1,IF(INDEX([1]Pivot!$B$1:$AB$65000,$B790,T$5)="",2,0)),0)</f>
        <v>0</v>
      </c>
      <c r="U790" s="194">
        <f>IFERROR(IF(INDEX([1]Pivot!$AD$1:$BE$65000,$B790,U$5)=1,1,IF(INDEX([1]Pivot!$B$1:$AB$65000,$B790,U$5)="",2,0)),0)</f>
        <v>0</v>
      </c>
      <c r="V790" s="194">
        <f>IFERROR(IF(INDEX([1]Pivot!$AD$1:$BE$65000,$B790,V$5)=1,1,IF(INDEX([1]Pivot!$B$1:$AB$65000,$B790,V$5)="",2,0)),0)</f>
        <v>0</v>
      </c>
      <c r="W790" s="194">
        <f>IFERROR(IF(INDEX([1]Pivot!$AD$1:$BE$65000,$B790,W$5)=1,1,IF(INDEX([1]Pivot!$B$1:$AB$65000,$B790,W$5)="",2,0)),0)</f>
        <v>0</v>
      </c>
      <c r="X790" s="194">
        <f>IFERROR(IF(INDEX([1]Pivot!$AD$1:$BE$65000,$B790,X$5)=1,1,IF(INDEX([1]Pivot!$B$1:$AB$65000,$B790,X$5)="",2,0)),0)</f>
        <v>0</v>
      </c>
      <c r="Y790" s="194">
        <f>IFERROR(IF(INDEX([1]Pivot!$AD$1:$BE$65000,$B790,Y$5)=1,1,IF(INDEX([1]Pivot!$B$1:$AB$65000,$B790,Y$5)="",2,0)),0)</f>
        <v>0</v>
      </c>
      <c r="Z790" s="194">
        <f>IFERROR(IF(INDEX([1]Pivot!$AD$1:$BE$65000,$B790,Z$5)=1,1,IF(INDEX([1]Pivot!$B$1:$AB$65000,$B790,Z$5)="",2,0)),0)</f>
        <v>0</v>
      </c>
      <c r="AA790" s="194">
        <f>IFERROR(IF(INDEX([1]Pivot!$AD$1:$BE$65000,$B790,AA$5)=1,1,IF(INDEX([1]Pivot!$B$1:$AB$65000,$B790,AA$5)="",2,0)),0)</f>
        <v>0</v>
      </c>
      <c r="AB790" s="194">
        <f>IFERROR(IF(INDEX([1]Pivot!$AD$1:$BE$65000,$B790,AB$5)=1,1,IF(INDEX([1]Pivot!$B$1:$AB$65000,$B790,AB$5)="",2,0)),0)</f>
        <v>0</v>
      </c>
      <c r="AC790" s="194">
        <f>IFERROR(IF(INDEX([1]Pivot!$AD$1:$BE$65000,$B790,AC$5)=1,1,IF(INDEX([1]Pivot!$B$1:$AB$65000,$B790,AC$5)="",2,0)),0)</f>
        <v>0</v>
      </c>
      <c r="AD790" s="313">
        <f>IFERROR(IF(INDEX([1]Pivot!$BF$1:$CG$65000,$B790,AD$5)=1,1,IF(INDEX([1]Pivot!$B$1:$AB$65000,$B790,AD$5)="",2,0)),0)</f>
        <v>0</v>
      </c>
      <c r="AE790" s="313">
        <f>IFERROR(IF(INDEX([1]Pivot!$BF$1:$CG$65000,$B790,AE$5)=1,1,IF(INDEX([1]Pivot!$B$1:$AB$65000,$B790,AE$5)="",2,0)),0)</f>
        <v>0</v>
      </c>
      <c r="AF790" s="313">
        <f>IFERROR(IF(INDEX([1]Pivot!$BF$1:$CG$65000,$B790,AF$5)=1,1,IF(INDEX([1]Pivot!$B$1:$AB$65000,$B790,AF$5)="",2,0)),0)</f>
        <v>0</v>
      </c>
      <c r="AG790" s="313">
        <f>IFERROR(IF(INDEX([1]Pivot!$BF$1:$CG$65000,$B790,AG$5)=1,1,IF(INDEX([1]Pivot!$B$1:$AB$65000,$B790,AG$5)="",2,0)),0)</f>
        <v>0</v>
      </c>
      <c r="AH790" s="313">
        <f>IFERROR(IF(INDEX([1]Pivot!$BF$1:$CG$65000,$B790,AH$5)=1,1,IF(INDEX([1]Pivot!$B$1:$AB$65000,$B790,AH$5)="",2,0)),0)</f>
        <v>0</v>
      </c>
      <c r="AI790" s="313">
        <f>IFERROR(IF(INDEX([1]Pivot!$BF$1:$CG$65000,$B790,AI$5)=1,1,IF(INDEX([1]Pivot!$B$1:$AB$65000,$B790,AI$5)="",2,0)),0)</f>
        <v>0</v>
      </c>
      <c r="AJ790" s="313">
        <f>IFERROR(IF(INDEX([1]Pivot!$BF$1:$CG$65000,$B790,AJ$5)=1,1,IF(INDEX([1]Pivot!$B$1:$AB$65000,$B790,AJ$5)="",2,0)),0)</f>
        <v>0</v>
      </c>
      <c r="AK790" s="313">
        <f>IFERROR(IF(INDEX([1]Pivot!$BF$1:$CG$65000,$B790,AK$5)=1,1,IF(INDEX([1]Pivot!$B$1:$AB$65000,$B790,AK$5)="",2,0)),0)</f>
        <v>0</v>
      </c>
      <c r="AL790" s="313">
        <f>IFERROR(IF(INDEX([1]Pivot!$BF$1:$CG$65000,$B790,AL$5)=1,1,IF(INDEX([1]Pivot!$B$1:$AB$65000,$B790,AL$5)="",2,0)),0)</f>
        <v>0</v>
      </c>
      <c r="AM790" s="313">
        <f>IFERROR(IF(INDEX([1]Pivot!$BF$1:$CG$65000,$B790,AM$5)=1,1,IF(INDEX([1]Pivot!$B$1:$AB$65000,$B790,AM$5)="",2,0)),0)</f>
        <v>0</v>
      </c>
      <c r="AN790" s="313">
        <f>IFERROR(IF(INDEX([1]Pivot!$BF$1:$CG$65000,$B790,AN$5)=1,1,IF(INDEX([1]Pivot!$B$1:$AB$65000,$B790,AN$5)="",2,0)),0)</f>
        <v>0</v>
      </c>
      <c r="AO790" s="313">
        <f>IFERROR(IF(INDEX([1]Pivot!$BF$1:$CG$65000,$B790,AO$5)=1,1,IF(INDEX([1]Pivot!$B$1:$AB$65000,$B790,AO$5)="",2,0)),0)</f>
        <v>0</v>
      </c>
      <c r="AP790" s="313">
        <f>IFERROR(IF(INDEX([1]Pivot!$BF$1:$CG$65000,$B790,AP$5)=1,1,IF(INDEX([1]Pivot!$B$1:$AB$65000,$B790,AP$5)="",2,0)),0)</f>
        <v>0</v>
      </c>
      <c r="AQ790" s="313">
        <f>IFERROR(IF(INDEX([1]Pivot!$BF$1:$CG$65000,$B790,AQ$5)=1,1,IF(INDEX([1]Pivot!$B$1:$AB$65000,$B790,AQ$5)="",2,0)),0)</f>
        <v>0</v>
      </c>
      <c r="AR790" s="313">
        <f>IFERROR(IF(INDEX([1]Pivot!$BF$1:$CG$65000,$B790,AR$5)=1,1,IF(INDEX([1]Pivot!$B$1:$AB$65000,$B790,AR$5)="",2,0)),0)</f>
        <v>0</v>
      </c>
      <c r="AS790" s="312"/>
      <c r="AT790" s="313">
        <f>IFERROR(IF(INDEX([1]Pivot!$BF$1:$CG$65000,$B790,AT$5)=1,1,IF(INDEX([1]Pivot!$B$1:$AB$65000,$B790,AT$5)="",2,0)),0)</f>
        <v>0</v>
      </c>
      <c r="AU790" s="313">
        <f>IFERROR(IF(INDEX([1]Pivot!$BF$1:$CG$65000,$B790,AU$5)=1,1,IF(INDEX([1]Pivot!$B$1:$AB$65000,$B790,AU$5)="",2,0)),0)</f>
        <v>0</v>
      </c>
      <c r="AV790" s="313">
        <f>IFERROR(IF(INDEX([1]Pivot!$BF$1:$CG$65000,$B790,AV$5)=1,1,IF(INDEX([1]Pivot!$B$1:$AB$65000,$B790,AV$5)="",2,0)),0)</f>
        <v>0</v>
      </c>
      <c r="AW790" s="313">
        <f>IFERROR(IF(INDEX([1]Pivot!$BF$1:$CG$65000,$B790,AW$5)=1,1,IF(INDEX([1]Pivot!$B$1:$AB$65000,$B790,AW$5)="",2,0)),0)</f>
        <v>0</v>
      </c>
      <c r="AX790" s="313">
        <f>IFERROR(IF(INDEX([1]Pivot!$BF$1:$CG$65000,$B790,AX$5)=1,1,IF(INDEX([1]Pivot!$B$1:$AB$65000,$B790,AX$5)="",2,0)),0)</f>
        <v>0</v>
      </c>
      <c r="AY790" s="313">
        <f>IFERROR(IF(INDEX([1]Pivot!$BF$1:$CG$65000,$B790,AY$5)=1,1,IF(INDEX([1]Pivot!$B$1:$AB$65000,$B790,AY$5)="",2,0)),0)</f>
        <v>0</v>
      </c>
      <c r="AZ790" s="313">
        <f>IFERROR(IF(INDEX([1]Pivot!$BF$1:$CG$65000,$B790,AZ$5)=1,1,IF(INDEX([1]Pivot!$B$1:$AB$65000,$B790,AZ$5)="",2,0)),0)</f>
        <v>0</v>
      </c>
      <c r="BA790" s="313">
        <f>IFERROR(IF(INDEX([1]Pivot!$BF$1:$CG$65000,$B790,BA$5)=1,1,IF(INDEX([1]Pivot!$B$1:$AB$65000,$B790,BA$5)="",2,0)),0)</f>
        <v>0</v>
      </c>
      <c r="BB790" s="313">
        <f>IFERROR(IF(INDEX([1]Pivot!$BF$1:$CG$65000,$B790,BB$5)=1,1,IF(INDEX([1]Pivot!$B$1:$AB$65000,$B790,BB$5)="",2,0)),0)</f>
        <v>0</v>
      </c>
      <c r="BC790" s="313">
        <f>IFERROR(IF(INDEX([1]Pivot!$BF$1:$CG$65000,$B790,BC$5)=1,1,IF(INDEX([1]Pivot!$B$1:$AB$65000,$B790,BC$5)="",2,0)),0)</f>
        <v>0</v>
      </c>
      <c r="BD790" s="313">
        <f>IFERROR(IF(INDEX([1]Pivot!$BF$1:$CG$65000,$B790,BD$5)=1,1,IF(INDEX([1]Pivot!$B$1:$AB$65000,$B790,BD$5)="",2,0)),0)</f>
        <v>0</v>
      </c>
    </row>
    <row r="791" spans="1:56" x14ac:dyDescent="0.25">
      <c r="A791" s="288">
        <f>'[2]Raw Milk Prices'!A791</f>
        <v>0</v>
      </c>
      <c r="B791" s="296" t="e">
        <f>MATCH(DATE(LEFT('[2]Raw Milk Prices'!$A791,4),RIGHT('[2]Raw Milk Prices'!$A791,2),1),[1]Pivot!$A$1:$A$65000,0)</f>
        <v>#VALUE!</v>
      </c>
      <c r="C791" s="194">
        <f>IFERROR(IF(INDEX([1]Pivot!$AD$1:$BE$65000,$B791,C$5)=1,1,IF(INDEX([1]Pivot!$B$1:$AB$65000,$B791,C$5)="",2,0)),0)</f>
        <v>0</v>
      </c>
      <c r="D791" s="194">
        <f>IFERROR(IF(INDEX([1]Pivot!$AD$1:$BE$65000,$B791,D$5)=1,1,IF(INDEX([1]Pivot!$B$1:$AB$65000,$B791,D$5)="",2,0)),0)</f>
        <v>0</v>
      </c>
      <c r="E791" s="194">
        <f>IFERROR(IF(INDEX([1]Pivot!$AD$1:$BE$65000,$B791,E$5)=1,1,IF(INDEX([1]Pivot!$B$1:$AB$65000,$B791,E$5)="",2,0)),0)</f>
        <v>0</v>
      </c>
      <c r="F791" s="194">
        <f>IFERROR(IF(INDEX([1]Pivot!$AD$1:$BE$65000,$B791,F$5)=1,1,IF(INDEX([1]Pivot!$B$1:$AB$65000,$B791,F$5)="",2,0)),0)</f>
        <v>0</v>
      </c>
      <c r="G791" s="194">
        <f>IFERROR(IF(INDEX([1]Pivot!$AD$1:$BE$65000,$B791,G$5)=1,1,IF(INDEX([1]Pivot!$B$1:$AB$65000,$B791,G$5)="",2,0)),0)</f>
        <v>0</v>
      </c>
      <c r="H791" s="194">
        <f>IFERROR(IF(INDEX([1]Pivot!$AD$1:$BE$65000,$B791,H$5)=1,1,IF(INDEX([1]Pivot!$B$1:$AB$65000,$B791,H$5)="",2,0)),0)</f>
        <v>0</v>
      </c>
      <c r="I791" s="194">
        <f>IFERROR(IF(INDEX([1]Pivot!$AD$1:$BE$65000,$B791,I$5)=1,1,IF(INDEX([1]Pivot!$B$1:$AB$65000,$B791,I$5)="",2,0)),0)</f>
        <v>0</v>
      </c>
      <c r="J791" s="194">
        <f>IFERROR(IF(INDEX([1]Pivot!$AD$1:$BE$65000,$B791,J$5)=1,1,IF(INDEX([1]Pivot!$B$1:$AB$65000,$B791,J$5)="",2,0)),0)</f>
        <v>0</v>
      </c>
      <c r="K791" s="194">
        <f>IFERROR(IF(INDEX([1]Pivot!$AD$1:$BE$65000,$B791,K$5)=1,1,IF(INDEX([1]Pivot!$B$1:$AB$65000,$B791,K$5)="",2,0)),0)</f>
        <v>0</v>
      </c>
      <c r="L791" s="194">
        <f>IFERROR(IF(INDEX([1]Pivot!$AD$1:$BE$65000,$B791,L$5)=1,1,IF(INDEX([1]Pivot!$B$1:$AB$65000,$B791,L$5)="",2,0)),0)</f>
        <v>0</v>
      </c>
      <c r="M791" s="194">
        <f>IFERROR(IF(INDEX([1]Pivot!$AD$1:$BE$65000,$B791,M$5)=1,1,IF(INDEX([1]Pivot!$B$1:$AB$65000,$B791,M$5)="",2,0)),0)</f>
        <v>0</v>
      </c>
      <c r="N791" s="194">
        <f>IFERROR(IF(INDEX([1]Pivot!$AD$1:$BE$65000,$B791,N$5)=1,1,IF(INDEX([1]Pivot!$B$1:$AB$65000,$B791,N$5)="",2,0)),0)</f>
        <v>0</v>
      </c>
      <c r="O791" s="194">
        <f>IFERROR(IF(INDEX([1]Pivot!$AD$1:$BE$65000,$B791,O$5)=1,1,IF(INDEX([1]Pivot!$B$1:$AB$65000,$B791,O$5)="",2,0)),0)</f>
        <v>0</v>
      </c>
      <c r="P791" s="194">
        <f>IFERROR(IF(INDEX([1]Pivot!$AD$1:$BE$65000,$B791,P$5)=1,1,IF(INDEX([1]Pivot!$B$1:$AB$65000,$B791,P$5)="",2,0)),0)</f>
        <v>0</v>
      </c>
      <c r="Q791" s="194">
        <f>IFERROR(IF(INDEX([1]Pivot!$AD$1:$BE$65000,$B791,Q$5)=1,1,IF(INDEX([1]Pivot!$B$1:$AB$65000,$B791,Q$5)="",2,0)),0)</f>
        <v>0</v>
      </c>
      <c r="R791" s="312"/>
      <c r="S791" s="194">
        <f>IFERROR(IF(INDEX([1]Pivot!$AD$1:$BE$65000,$B791,S$5)=1,1,IF(INDEX([1]Pivot!$B$1:$AB$65000,$B791,S$5)="",2,0)),0)</f>
        <v>0</v>
      </c>
      <c r="T791" s="194">
        <f>IFERROR(IF(INDEX([1]Pivot!$AD$1:$BE$65000,$B791,T$5)=1,1,IF(INDEX([1]Pivot!$B$1:$AB$65000,$B791,T$5)="",2,0)),0)</f>
        <v>0</v>
      </c>
      <c r="U791" s="194">
        <f>IFERROR(IF(INDEX([1]Pivot!$AD$1:$BE$65000,$B791,U$5)=1,1,IF(INDEX([1]Pivot!$B$1:$AB$65000,$B791,U$5)="",2,0)),0)</f>
        <v>0</v>
      </c>
      <c r="V791" s="194">
        <f>IFERROR(IF(INDEX([1]Pivot!$AD$1:$BE$65000,$B791,V$5)=1,1,IF(INDEX([1]Pivot!$B$1:$AB$65000,$B791,V$5)="",2,0)),0)</f>
        <v>0</v>
      </c>
      <c r="W791" s="194">
        <f>IFERROR(IF(INDEX([1]Pivot!$AD$1:$BE$65000,$B791,W$5)=1,1,IF(INDEX([1]Pivot!$B$1:$AB$65000,$B791,W$5)="",2,0)),0)</f>
        <v>0</v>
      </c>
      <c r="X791" s="194">
        <f>IFERROR(IF(INDEX([1]Pivot!$AD$1:$BE$65000,$B791,X$5)=1,1,IF(INDEX([1]Pivot!$B$1:$AB$65000,$B791,X$5)="",2,0)),0)</f>
        <v>0</v>
      </c>
      <c r="Y791" s="194">
        <f>IFERROR(IF(INDEX([1]Pivot!$AD$1:$BE$65000,$B791,Y$5)=1,1,IF(INDEX([1]Pivot!$B$1:$AB$65000,$B791,Y$5)="",2,0)),0)</f>
        <v>0</v>
      </c>
      <c r="Z791" s="194">
        <f>IFERROR(IF(INDEX([1]Pivot!$AD$1:$BE$65000,$B791,Z$5)=1,1,IF(INDEX([1]Pivot!$B$1:$AB$65000,$B791,Z$5)="",2,0)),0)</f>
        <v>0</v>
      </c>
      <c r="AA791" s="194">
        <f>IFERROR(IF(INDEX([1]Pivot!$AD$1:$BE$65000,$B791,AA$5)=1,1,IF(INDEX([1]Pivot!$B$1:$AB$65000,$B791,AA$5)="",2,0)),0)</f>
        <v>0</v>
      </c>
      <c r="AB791" s="194">
        <f>IFERROR(IF(INDEX([1]Pivot!$AD$1:$BE$65000,$B791,AB$5)=1,1,IF(INDEX([1]Pivot!$B$1:$AB$65000,$B791,AB$5)="",2,0)),0)</f>
        <v>0</v>
      </c>
      <c r="AC791" s="194">
        <f>IFERROR(IF(INDEX([1]Pivot!$AD$1:$BE$65000,$B791,AC$5)=1,1,IF(INDEX([1]Pivot!$B$1:$AB$65000,$B791,AC$5)="",2,0)),0)</f>
        <v>0</v>
      </c>
      <c r="AD791" s="313">
        <f>IFERROR(IF(INDEX([1]Pivot!$BF$1:$CG$65000,$B791,AD$5)=1,1,IF(INDEX([1]Pivot!$B$1:$AB$65000,$B791,AD$5)="",2,0)),0)</f>
        <v>0</v>
      </c>
      <c r="AE791" s="313">
        <f>IFERROR(IF(INDEX([1]Pivot!$BF$1:$CG$65000,$B791,AE$5)=1,1,IF(INDEX([1]Pivot!$B$1:$AB$65000,$B791,AE$5)="",2,0)),0)</f>
        <v>0</v>
      </c>
      <c r="AF791" s="313">
        <f>IFERROR(IF(INDEX([1]Pivot!$BF$1:$CG$65000,$B791,AF$5)=1,1,IF(INDEX([1]Pivot!$B$1:$AB$65000,$B791,AF$5)="",2,0)),0)</f>
        <v>0</v>
      </c>
      <c r="AG791" s="313">
        <f>IFERROR(IF(INDEX([1]Pivot!$BF$1:$CG$65000,$B791,AG$5)=1,1,IF(INDEX([1]Pivot!$B$1:$AB$65000,$B791,AG$5)="",2,0)),0)</f>
        <v>0</v>
      </c>
      <c r="AH791" s="313">
        <f>IFERROR(IF(INDEX([1]Pivot!$BF$1:$CG$65000,$B791,AH$5)=1,1,IF(INDEX([1]Pivot!$B$1:$AB$65000,$B791,AH$5)="",2,0)),0)</f>
        <v>0</v>
      </c>
      <c r="AI791" s="313">
        <f>IFERROR(IF(INDEX([1]Pivot!$BF$1:$CG$65000,$B791,AI$5)=1,1,IF(INDEX([1]Pivot!$B$1:$AB$65000,$B791,AI$5)="",2,0)),0)</f>
        <v>0</v>
      </c>
      <c r="AJ791" s="313">
        <f>IFERROR(IF(INDEX([1]Pivot!$BF$1:$CG$65000,$B791,AJ$5)=1,1,IF(INDEX([1]Pivot!$B$1:$AB$65000,$B791,AJ$5)="",2,0)),0)</f>
        <v>0</v>
      </c>
      <c r="AK791" s="313">
        <f>IFERROR(IF(INDEX([1]Pivot!$BF$1:$CG$65000,$B791,AK$5)=1,1,IF(INDEX([1]Pivot!$B$1:$AB$65000,$B791,AK$5)="",2,0)),0)</f>
        <v>0</v>
      </c>
      <c r="AL791" s="313">
        <f>IFERROR(IF(INDEX([1]Pivot!$BF$1:$CG$65000,$B791,AL$5)=1,1,IF(INDEX([1]Pivot!$B$1:$AB$65000,$B791,AL$5)="",2,0)),0)</f>
        <v>0</v>
      </c>
      <c r="AM791" s="313">
        <f>IFERROR(IF(INDEX([1]Pivot!$BF$1:$CG$65000,$B791,AM$5)=1,1,IF(INDEX([1]Pivot!$B$1:$AB$65000,$B791,AM$5)="",2,0)),0)</f>
        <v>0</v>
      </c>
      <c r="AN791" s="313">
        <f>IFERROR(IF(INDEX([1]Pivot!$BF$1:$CG$65000,$B791,AN$5)=1,1,IF(INDEX([1]Pivot!$B$1:$AB$65000,$B791,AN$5)="",2,0)),0)</f>
        <v>0</v>
      </c>
      <c r="AO791" s="313">
        <f>IFERROR(IF(INDEX([1]Pivot!$BF$1:$CG$65000,$B791,AO$5)=1,1,IF(INDEX([1]Pivot!$B$1:$AB$65000,$B791,AO$5)="",2,0)),0)</f>
        <v>0</v>
      </c>
      <c r="AP791" s="313">
        <f>IFERROR(IF(INDEX([1]Pivot!$BF$1:$CG$65000,$B791,AP$5)=1,1,IF(INDEX([1]Pivot!$B$1:$AB$65000,$B791,AP$5)="",2,0)),0)</f>
        <v>0</v>
      </c>
      <c r="AQ791" s="313">
        <f>IFERROR(IF(INDEX([1]Pivot!$BF$1:$CG$65000,$B791,AQ$5)=1,1,IF(INDEX([1]Pivot!$B$1:$AB$65000,$B791,AQ$5)="",2,0)),0)</f>
        <v>0</v>
      </c>
      <c r="AR791" s="313">
        <f>IFERROR(IF(INDEX([1]Pivot!$BF$1:$CG$65000,$B791,AR$5)=1,1,IF(INDEX([1]Pivot!$B$1:$AB$65000,$B791,AR$5)="",2,0)),0)</f>
        <v>0</v>
      </c>
      <c r="AS791" s="312"/>
      <c r="AT791" s="313">
        <f>IFERROR(IF(INDEX([1]Pivot!$BF$1:$CG$65000,$B791,AT$5)=1,1,IF(INDEX([1]Pivot!$B$1:$AB$65000,$B791,AT$5)="",2,0)),0)</f>
        <v>0</v>
      </c>
      <c r="AU791" s="313">
        <f>IFERROR(IF(INDEX([1]Pivot!$BF$1:$CG$65000,$B791,AU$5)=1,1,IF(INDEX([1]Pivot!$B$1:$AB$65000,$B791,AU$5)="",2,0)),0)</f>
        <v>0</v>
      </c>
      <c r="AV791" s="313">
        <f>IFERROR(IF(INDEX([1]Pivot!$BF$1:$CG$65000,$B791,AV$5)=1,1,IF(INDEX([1]Pivot!$B$1:$AB$65000,$B791,AV$5)="",2,0)),0)</f>
        <v>0</v>
      </c>
      <c r="AW791" s="313">
        <f>IFERROR(IF(INDEX([1]Pivot!$BF$1:$CG$65000,$B791,AW$5)=1,1,IF(INDEX([1]Pivot!$B$1:$AB$65000,$B791,AW$5)="",2,0)),0)</f>
        <v>0</v>
      </c>
      <c r="AX791" s="313">
        <f>IFERROR(IF(INDEX([1]Pivot!$BF$1:$CG$65000,$B791,AX$5)=1,1,IF(INDEX([1]Pivot!$B$1:$AB$65000,$B791,AX$5)="",2,0)),0)</f>
        <v>0</v>
      </c>
      <c r="AY791" s="313">
        <f>IFERROR(IF(INDEX([1]Pivot!$BF$1:$CG$65000,$B791,AY$5)=1,1,IF(INDEX([1]Pivot!$B$1:$AB$65000,$B791,AY$5)="",2,0)),0)</f>
        <v>0</v>
      </c>
      <c r="AZ791" s="313">
        <f>IFERROR(IF(INDEX([1]Pivot!$BF$1:$CG$65000,$B791,AZ$5)=1,1,IF(INDEX([1]Pivot!$B$1:$AB$65000,$B791,AZ$5)="",2,0)),0)</f>
        <v>0</v>
      </c>
      <c r="BA791" s="313">
        <f>IFERROR(IF(INDEX([1]Pivot!$BF$1:$CG$65000,$B791,BA$5)=1,1,IF(INDEX([1]Pivot!$B$1:$AB$65000,$B791,BA$5)="",2,0)),0)</f>
        <v>0</v>
      </c>
      <c r="BB791" s="313">
        <f>IFERROR(IF(INDEX([1]Pivot!$BF$1:$CG$65000,$B791,BB$5)=1,1,IF(INDEX([1]Pivot!$B$1:$AB$65000,$B791,BB$5)="",2,0)),0)</f>
        <v>0</v>
      </c>
      <c r="BC791" s="313">
        <f>IFERROR(IF(INDEX([1]Pivot!$BF$1:$CG$65000,$B791,BC$5)=1,1,IF(INDEX([1]Pivot!$B$1:$AB$65000,$B791,BC$5)="",2,0)),0)</f>
        <v>0</v>
      </c>
      <c r="BD791" s="313">
        <f>IFERROR(IF(INDEX([1]Pivot!$BF$1:$CG$65000,$B791,BD$5)=1,1,IF(INDEX([1]Pivot!$B$1:$AB$65000,$B791,BD$5)="",2,0)),0)</f>
        <v>0</v>
      </c>
    </row>
    <row r="792" spans="1:56" x14ac:dyDescent="0.25">
      <c r="A792" s="288">
        <f>'[2]Raw Milk Prices'!A792</f>
        <v>0</v>
      </c>
      <c r="B792" s="296" t="e">
        <f>MATCH(DATE(LEFT('[2]Raw Milk Prices'!$A792,4),RIGHT('[2]Raw Milk Prices'!$A792,2),1),[1]Pivot!$A$1:$A$65000,0)</f>
        <v>#VALUE!</v>
      </c>
      <c r="C792" s="194">
        <f>IFERROR(IF(INDEX([1]Pivot!$AD$1:$BE$65000,$B792,C$5)=1,1,IF(INDEX([1]Pivot!$B$1:$AB$65000,$B792,C$5)="",2,0)),0)</f>
        <v>0</v>
      </c>
      <c r="D792" s="194">
        <f>IFERROR(IF(INDEX([1]Pivot!$AD$1:$BE$65000,$B792,D$5)=1,1,IF(INDEX([1]Pivot!$B$1:$AB$65000,$B792,D$5)="",2,0)),0)</f>
        <v>0</v>
      </c>
      <c r="E792" s="194">
        <f>IFERROR(IF(INDEX([1]Pivot!$AD$1:$BE$65000,$B792,E$5)=1,1,IF(INDEX([1]Pivot!$B$1:$AB$65000,$B792,E$5)="",2,0)),0)</f>
        <v>0</v>
      </c>
      <c r="F792" s="194">
        <f>IFERROR(IF(INDEX([1]Pivot!$AD$1:$BE$65000,$B792,F$5)=1,1,IF(INDEX([1]Pivot!$B$1:$AB$65000,$B792,F$5)="",2,0)),0)</f>
        <v>0</v>
      </c>
      <c r="G792" s="194">
        <f>IFERROR(IF(INDEX([1]Pivot!$AD$1:$BE$65000,$B792,G$5)=1,1,IF(INDEX([1]Pivot!$B$1:$AB$65000,$B792,G$5)="",2,0)),0)</f>
        <v>0</v>
      </c>
      <c r="H792" s="194">
        <f>IFERROR(IF(INDEX([1]Pivot!$AD$1:$BE$65000,$B792,H$5)=1,1,IF(INDEX([1]Pivot!$B$1:$AB$65000,$B792,H$5)="",2,0)),0)</f>
        <v>0</v>
      </c>
      <c r="I792" s="194">
        <f>IFERROR(IF(INDEX([1]Pivot!$AD$1:$BE$65000,$B792,I$5)=1,1,IF(INDEX([1]Pivot!$B$1:$AB$65000,$B792,I$5)="",2,0)),0)</f>
        <v>0</v>
      </c>
      <c r="J792" s="194">
        <f>IFERROR(IF(INDEX([1]Pivot!$AD$1:$BE$65000,$B792,J$5)=1,1,IF(INDEX([1]Pivot!$B$1:$AB$65000,$B792,J$5)="",2,0)),0)</f>
        <v>0</v>
      </c>
      <c r="K792" s="194">
        <f>IFERROR(IF(INDEX([1]Pivot!$AD$1:$BE$65000,$B792,K$5)=1,1,IF(INDEX([1]Pivot!$B$1:$AB$65000,$B792,K$5)="",2,0)),0)</f>
        <v>0</v>
      </c>
      <c r="L792" s="194">
        <f>IFERROR(IF(INDEX([1]Pivot!$AD$1:$BE$65000,$B792,L$5)=1,1,IF(INDEX([1]Pivot!$B$1:$AB$65000,$B792,L$5)="",2,0)),0)</f>
        <v>0</v>
      </c>
      <c r="M792" s="194">
        <f>IFERROR(IF(INDEX([1]Pivot!$AD$1:$BE$65000,$B792,M$5)=1,1,IF(INDEX([1]Pivot!$B$1:$AB$65000,$B792,M$5)="",2,0)),0)</f>
        <v>0</v>
      </c>
      <c r="N792" s="194">
        <f>IFERROR(IF(INDEX([1]Pivot!$AD$1:$BE$65000,$B792,N$5)=1,1,IF(INDEX([1]Pivot!$B$1:$AB$65000,$B792,N$5)="",2,0)),0)</f>
        <v>0</v>
      </c>
      <c r="O792" s="194">
        <f>IFERROR(IF(INDEX([1]Pivot!$AD$1:$BE$65000,$B792,O$5)=1,1,IF(INDEX([1]Pivot!$B$1:$AB$65000,$B792,O$5)="",2,0)),0)</f>
        <v>0</v>
      </c>
      <c r="P792" s="194">
        <f>IFERROR(IF(INDEX([1]Pivot!$AD$1:$BE$65000,$B792,P$5)=1,1,IF(INDEX([1]Pivot!$B$1:$AB$65000,$B792,P$5)="",2,0)),0)</f>
        <v>0</v>
      </c>
      <c r="Q792" s="194">
        <f>IFERROR(IF(INDEX([1]Pivot!$AD$1:$BE$65000,$B792,Q$5)=1,1,IF(INDEX([1]Pivot!$B$1:$AB$65000,$B792,Q$5)="",2,0)),0)</f>
        <v>0</v>
      </c>
      <c r="R792" s="312"/>
      <c r="S792" s="194">
        <f>IFERROR(IF(INDEX([1]Pivot!$AD$1:$BE$65000,$B792,S$5)=1,1,IF(INDEX([1]Pivot!$B$1:$AB$65000,$B792,S$5)="",2,0)),0)</f>
        <v>0</v>
      </c>
      <c r="T792" s="194">
        <f>IFERROR(IF(INDEX([1]Pivot!$AD$1:$BE$65000,$B792,T$5)=1,1,IF(INDEX([1]Pivot!$B$1:$AB$65000,$B792,T$5)="",2,0)),0)</f>
        <v>0</v>
      </c>
      <c r="U792" s="194">
        <f>IFERROR(IF(INDEX([1]Pivot!$AD$1:$BE$65000,$B792,U$5)=1,1,IF(INDEX([1]Pivot!$B$1:$AB$65000,$B792,U$5)="",2,0)),0)</f>
        <v>0</v>
      </c>
      <c r="V792" s="194">
        <f>IFERROR(IF(INDEX([1]Pivot!$AD$1:$BE$65000,$B792,V$5)=1,1,IF(INDEX([1]Pivot!$B$1:$AB$65000,$B792,V$5)="",2,0)),0)</f>
        <v>0</v>
      </c>
      <c r="W792" s="194">
        <f>IFERROR(IF(INDEX([1]Pivot!$AD$1:$BE$65000,$B792,W$5)=1,1,IF(INDEX([1]Pivot!$B$1:$AB$65000,$B792,W$5)="",2,0)),0)</f>
        <v>0</v>
      </c>
      <c r="X792" s="194">
        <f>IFERROR(IF(INDEX([1]Pivot!$AD$1:$BE$65000,$B792,X$5)=1,1,IF(INDEX([1]Pivot!$B$1:$AB$65000,$B792,X$5)="",2,0)),0)</f>
        <v>0</v>
      </c>
      <c r="Y792" s="194">
        <f>IFERROR(IF(INDEX([1]Pivot!$AD$1:$BE$65000,$B792,Y$5)=1,1,IF(INDEX([1]Pivot!$B$1:$AB$65000,$B792,Y$5)="",2,0)),0)</f>
        <v>0</v>
      </c>
      <c r="Z792" s="194">
        <f>IFERROR(IF(INDEX([1]Pivot!$AD$1:$BE$65000,$B792,Z$5)=1,1,IF(INDEX([1]Pivot!$B$1:$AB$65000,$B792,Z$5)="",2,0)),0)</f>
        <v>0</v>
      </c>
      <c r="AA792" s="194">
        <f>IFERROR(IF(INDEX([1]Pivot!$AD$1:$BE$65000,$B792,AA$5)=1,1,IF(INDEX([1]Pivot!$B$1:$AB$65000,$B792,AA$5)="",2,0)),0)</f>
        <v>0</v>
      </c>
      <c r="AB792" s="194">
        <f>IFERROR(IF(INDEX([1]Pivot!$AD$1:$BE$65000,$B792,AB$5)=1,1,IF(INDEX([1]Pivot!$B$1:$AB$65000,$B792,AB$5)="",2,0)),0)</f>
        <v>0</v>
      </c>
      <c r="AC792" s="194">
        <f>IFERROR(IF(INDEX([1]Pivot!$AD$1:$BE$65000,$B792,AC$5)=1,1,IF(INDEX([1]Pivot!$B$1:$AB$65000,$B792,AC$5)="",2,0)),0)</f>
        <v>0</v>
      </c>
      <c r="AD792" s="313">
        <f>IFERROR(IF(INDEX([1]Pivot!$BF$1:$CG$65000,$B792,AD$5)=1,1,IF(INDEX([1]Pivot!$B$1:$AB$65000,$B792,AD$5)="",2,0)),0)</f>
        <v>0</v>
      </c>
      <c r="AE792" s="313">
        <f>IFERROR(IF(INDEX([1]Pivot!$BF$1:$CG$65000,$B792,AE$5)=1,1,IF(INDEX([1]Pivot!$B$1:$AB$65000,$B792,AE$5)="",2,0)),0)</f>
        <v>0</v>
      </c>
      <c r="AF792" s="313">
        <f>IFERROR(IF(INDEX([1]Pivot!$BF$1:$CG$65000,$B792,AF$5)=1,1,IF(INDEX([1]Pivot!$B$1:$AB$65000,$B792,AF$5)="",2,0)),0)</f>
        <v>0</v>
      </c>
      <c r="AG792" s="313">
        <f>IFERROR(IF(INDEX([1]Pivot!$BF$1:$CG$65000,$B792,AG$5)=1,1,IF(INDEX([1]Pivot!$B$1:$AB$65000,$B792,AG$5)="",2,0)),0)</f>
        <v>0</v>
      </c>
      <c r="AH792" s="313">
        <f>IFERROR(IF(INDEX([1]Pivot!$BF$1:$CG$65000,$B792,AH$5)=1,1,IF(INDEX([1]Pivot!$B$1:$AB$65000,$B792,AH$5)="",2,0)),0)</f>
        <v>0</v>
      </c>
      <c r="AI792" s="313">
        <f>IFERROR(IF(INDEX([1]Pivot!$BF$1:$CG$65000,$B792,AI$5)=1,1,IF(INDEX([1]Pivot!$B$1:$AB$65000,$B792,AI$5)="",2,0)),0)</f>
        <v>0</v>
      </c>
      <c r="AJ792" s="313">
        <f>IFERROR(IF(INDEX([1]Pivot!$BF$1:$CG$65000,$B792,AJ$5)=1,1,IF(INDEX([1]Pivot!$B$1:$AB$65000,$B792,AJ$5)="",2,0)),0)</f>
        <v>0</v>
      </c>
      <c r="AK792" s="313">
        <f>IFERROR(IF(INDEX([1]Pivot!$BF$1:$CG$65000,$B792,AK$5)=1,1,IF(INDEX([1]Pivot!$B$1:$AB$65000,$B792,AK$5)="",2,0)),0)</f>
        <v>0</v>
      </c>
      <c r="AL792" s="313">
        <f>IFERROR(IF(INDEX([1]Pivot!$BF$1:$CG$65000,$B792,AL$5)=1,1,IF(INDEX([1]Pivot!$B$1:$AB$65000,$B792,AL$5)="",2,0)),0)</f>
        <v>0</v>
      </c>
      <c r="AM792" s="313">
        <f>IFERROR(IF(INDEX([1]Pivot!$BF$1:$CG$65000,$B792,AM$5)=1,1,IF(INDEX([1]Pivot!$B$1:$AB$65000,$B792,AM$5)="",2,0)),0)</f>
        <v>0</v>
      </c>
      <c r="AN792" s="313">
        <f>IFERROR(IF(INDEX([1]Pivot!$BF$1:$CG$65000,$B792,AN$5)=1,1,IF(INDEX([1]Pivot!$B$1:$AB$65000,$B792,AN$5)="",2,0)),0)</f>
        <v>0</v>
      </c>
      <c r="AO792" s="313">
        <f>IFERROR(IF(INDEX([1]Pivot!$BF$1:$CG$65000,$B792,AO$5)=1,1,IF(INDEX([1]Pivot!$B$1:$AB$65000,$B792,AO$5)="",2,0)),0)</f>
        <v>0</v>
      </c>
      <c r="AP792" s="313">
        <f>IFERROR(IF(INDEX([1]Pivot!$BF$1:$CG$65000,$B792,AP$5)=1,1,IF(INDEX([1]Pivot!$B$1:$AB$65000,$B792,AP$5)="",2,0)),0)</f>
        <v>0</v>
      </c>
      <c r="AQ792" s="313">
        <f>IFERROR(IF(INDEX([1]Pivot!$BF$1:$CG$65000,$B792,AQ$5)=1,1,IF(INDEX([1]Pivot!$B$1:$AB$65000,$B792,AQ$5)="",2,0)),0)</f>
        <v>0</v>
      </c>
      <c r="AR792" s="313">
        <f>IFERROR(IF(INDEX([1]Pivot!$BF$1:$CG$65000,$B792,AR$5)=1,1,IF(INDEX([1]Pivot!$B$1:$AB$65000,$B792,AR$5)="",2,0)),0)</f>
        <v>0</v>
      </c>
      <c r="AS792" s="312"/>
      <c r="AT792" s="313">
        <f>IFERROR(IF(INDEX([1]Pivot!$BF$1:$CG$65000,$B792,AT$5)=1,1,IF(INDEX([1]Pivot!$B$1:$AB$65000,$B792,AT$5)="",2,0)),0)</f>
        <v>0</v>
      </c>
      <c r="AU792" s="313">
        <f>IFERROR(IF(INDEX([1]Pivot!$BF$1:$CG$65000,$B792,AU$5)=1,1,IF(INDEX([1]Pivot!$B$1:$AB$65000,$B792,AU$5)="",2,0)),0)</f>
        <v>0</v>
      </c>
      <c r="AV792" s="313">
        <f>IFERROR(IF(INDEX([1]Pivot!$BF$1:$CG$65000,$B792,AV$5)=1,1,IF(INDEX([1]Pivot!$B$1:$AB$65000,$B792,AV$5)="",2,0)),0)</f>
        <v>0</v>
      </c>
      <c r="AW792" s="313">
        <f>IFERROR(IF(INDEX([1]Pivot!$BF$1:$CG$65000,$B792,AW$5)=1,1,IF(INDEX([1]Pivot!$B$1:$AB$65000,$B792,AW$5)="",2,0)),0)</f>
        <v>0</v>
      </c>
      <c r="AX792" s="313">
        <f>IFERROR(IF(INDEX([1]Pivot!$BF$1:$CG$65000,$B792,AX$5)=1,1,IF(INDEX([1]Pivot!$B$1:$AB$65000,$B792,AX$5)="",2,0)),0)</f>
        <v>0</v>
      </c>
      <c r="AY792" s="313">
        <f>IFERROR(IF(INDEX([1]Pivot!$BF$1:$CG$65000,$B792,AY$5)=1,1,IF(INDEX([1]Pivot!$B$1:$AB$65000,$B792,AY$5)="",2,0)),0)</f>
        <v>0</v>
      </c>
      <c r="AZ792" s="313">
        <f>IFERROR(IF(INDEX([1]Pivot!$BF$1:$CG$65000,$B792,AZ$5)=1,1,IF(INDEX([1]Pivot!$B$1:$AB$65000,$B792,AZ$5)="",2,0)),0)</f>
        <v>0</v>
      </c>
      <c r="BA792" s="313">
        <f>IFERROR(IF(INDEX([1]Pivot!$BF$1:$CG$65000,$B792,BA$5)=1,1,IF(INDEX([1]Pivot!$B$1:$AB$65000,$B792,BA$5)="",2,0)),0)</f>
        <v>0</v>
      </c>
      <c r="BB792" s="313">
        <f>IFERROR(IF(INDEX([1]Pivot!$BF$1:$CG$65000,$B792,BB$5)=1,1,IF(INDEX([1]Pivot!$B$1:$AB$65000,$B792,BB$5)="",2,0)),0)</f>
        <v>0</v>
      </c>
      <c r="BC792" s="313">
        <f>IFERROR(IF(INDEX([1]Pivot!$BF$1:$CG$65000,$B792,BC$5)=1,1,IF(INDEX([1]Pivot!$B$1:$AB$65000,$B792,BC$5)="",2,0)),0)</f>
        <v>0</v>
      </c>
      <c r="BD792" s="313">
        <f>IFERROR(IF(INDEX([1]Pivot!$BF$1:$CG$65000,$B792,BD$5)=1,1,IF(INDEX([1]Pivot!$B$1:$AB$65000,$B792,BD$5)="",2,0)),0)</f>
        <v>0</v>
      </c>
    </row>
    <row r="793" spans="1:56" x14ac:dyDescent="0.25">
      <c r="A793" s="288">
        <f>'[2]Raw Milk Prices'!A793</f>
        <v>0</v>
      </c>
      <c r="B793" s="296" t="e">
        <f>MATCH(DATE(LEFT('[2]Raw Milk Prices'!$A793,4),RIGHT('[2]Raw Milk Prices'!$A793,2),1),[1]Pivot!$A$1:$A$65000,0)</f>
        <v>#VALUE!</v>
      </c>
      <c r="C793" s="194">
        <f>IFERROR(IF(INDEX([1]Pivot!$AD$1:$BE$65000,$B793,C$5)=1,1,IF(INDEX([1]Pivot!$B$1:$AB$65000,$B793,C$5)="",2,0)),0)</f>
        <v>0</v>
      </c>
      <c r="D793" s="194">
        <f>IFERROR(IF(INDEX([1]Pivot!$AD$1:$BE$65000,$B793,D$5)=1,1,IF(INDEX([1]Pivot!$B$1:$AB$65000,$B793,D$5)="",2,0)),0)</f>
        <v>0</v>
      </c>
      <c r="E793" s="194">
        <f>IFERROR(IF(INDEX([1]Pivot!$AD$1:$BE$65000,$B793,E$5)=1,1,IF(INDEX([1]Pivot!$B$1:$AB$65000,$B793,E$5)="",2,0)),0)</f>
        <v>0</v>
      </c>
      <c r="F793" s="194">
        <f>IFERROR(IF(INDEX([1]Pivot!$AD$1:$BE$65000,$B793,F$5)=1,1,IF(INDEX([1]Pivot!$B$1:$AB$65000,$B793,F$5)="",2,0)),0)</f>
        <v>0</v>
      </c>
      <c r="G793" s="194">
        <f>IFERROR(IF(INDEX([1]Pivot!$AD$1:$BE$65000,$B793,G$5)=1,1,IF(INDEX([1]Pivot!$B$1:$AB$65000,$B793,G$5)="",2,0)),0)</f>
        <v>0</v>
      </c>
      <c r="H793" s="194">
        <f>IFERROR(IF(INDEX([1]Pivot!$AD$1:$BE$65000,$B793,H$5)=1,1,IF(INDEX([1]Pivot!$B$1:$AB$65000,$B793,H$5)="",2,0)),0)</f>
        <v>0</v>
      </c>
      <c r="I793" s="194">
        <f>IFERROR(IF(INDEX([1]Pivot!$AD$1:$BE$65000,$B793,I$5)=1,1,IF(INDEX([1]Pivot!$B$1:$AB$65000,$B793,I$5)="",2,0)),0)</f>
        <v>0</v>
      </c>
      <c r="J793" s="194">
        <f>IFERROR(IF(INDEX([1]Pivot!$AD$1:$BE$65000,$B793,J$5)=1,1,IF(INDEX([1]Pivot!$B$1:$AB$65000,$B793,J$5)="",2,0)),0)</f>
        <v>0</v>
      </c>
      <c r="K793" s="194">
        <f>IFERROR(IF(INDEX([1]Pivot!$AD$1:$BE$65000,$B793,K$5)=1,1,IF(INDEX([1]Pivot!$B$1:$AB$65000,$B793,K$5)="",2,0)),0)</f>
        <v>0</v>
      </c>
      <c r="L793" s="194">
        <f>IFERROR(IF(INDEX([1]Pivot!$AD$1:$BE$65000,$B793,L$5)=1,1,IF(INDEX([1]Pivot!$B$1:$AB$65000,$B793,L$5)="",2,0)),0)</f>
        <v>0</v>
      </c>
      <c r="M793" s="194">
        <f>IFERROR(IF(INDEX([1]Pivot!$AD$1:$BE$65000,$B793,M$5)=1,1,IF(INDEX([1]Pivot!$B$1:$AB$65000,$B793,M$5)="",2,0)),0)</f>
        <v>0</v>
      </c>
      <c r="N793" s="194">
        <f>IFERROR(IF(INDEX([1]Pivot!$AD$1:$BE$65000,$B793,N$5)=1,1,IF(INDEX([1]Pivot!$B$1:$AB$65000,$B793,N$5)="",2,0)),0)</f>
        <v>0</v>
      </c>
      <c r="O793" s="194">
        <f>IFERROR(IF(INDEX([1]Pivot!$AD$1:$BE$65000,$B793,O$5)=1,1,IF(INDEX([1]Pivot!$B$1:$AB$65000,$B793,O$5)="",2,0)),0)</f>
        <v>0</v>
      </c>
      <c r="P793" s="194">
        <f>IFERROR(IF(INDEX([1]Pivot!$AD$1:$BE$65000,$B793,P$5)=1,1,IF(INDEX([1]Pivot!$B$1:$AB$65000,$B793,P$5)="",2,0)),0)</f>
        <v>0</v>
      </c>
      <c r="Q793" s="194">
        <f>IFERROR(IF(INDEX([1]Pivot!$AD$1:$BE$65000,$B793,Q$5)=1,1,IF(INDEX([1]Pivot!$B$1:$AB$65000,$B793,Q$5)="",2,0)),0)</f>
        <v>0</v>
      </c>
      <c r="R793" s="312"/>
      <c r="S793" s="194">
        <f>IFERROR(IF(INDEX([1]Pivot!$AD$1:$BE$65000,$B793,S$5)=1,1,IF(INDEX([1]Pivot!$B$1:$AB$65000,$B793,S$5)="",2,0)),0)</f>
        <v>0</v>
      </c>
      <c r="T793" s="194">
        <f>IFERROR(IF(INDEX([1]Pivot!$AD$1:$BE$65000,$B793,T$5)=1,1,IF(INDEX([1]Pivot!$B$1:$AB$65000,$B793,T$5)="",2,0)),0)</f>
        <v>0</v>
      </c>
      <c r="U793" s="194">
        <f>IFERROR(IF(INDEX([1]Pivot!$AD$1:$BE$65000,$B793,U$5)=1,1,IF(INDEX([1]Pivot!$B$1:$AB$65000,$B793,U$5)="",2,0)),0)</f>
        <v>0</v>
      </c>
      <c r="V793" s="194">
        <f>IFERROR(IF(INDEX([1]Pivot!$AD$1:$BE$65000,$B793,V$5)=1,1,IF(INDEX([1]Pivot!$B$1:$AB$65000,$B793,V$5)="",2,0)),0)</f>
        <v>0</v>
      </c>
      <c r="W793" s="194">
        <f>IFERROR(IF(INDEX([1]Pivot!$AD$1:$BE$65000,$B793,W$5)=1,1,IF(INDEX([1]Pivot!$B$1:$AB$65000,$B793,W$5)="",2,0)),0)</f>
        <v>0</v>
      </c>
      <c r="X793" s="194">
        <f>IFERROR(IF(INDEX([1]Pivot!$AD$1:$BE$65000,$B793,X$5)=1,1,IF(INDEX([1]Pivot!$B$1:$AB$65000,$B793,X$5)="",2,0)),0)</f>
        <v>0</v>
      </c>
      <c r="Y793" s="194">
        <f>IFERROR(IF(INDEX([1]Pivot!$AD$1:$BE$65000,$B793,Y$5)=1,1,IF(INDEX([1]Pivot!$B$1:$AB$65000,$B793,Y$5)="",2,0)),0)</f>
        <v>0</v>
      </c>
      <c r="Z793" s="194">
        <f>IFERROR(IF(INDEX([1]Pivot!$AD$1:$BE$65000,$B793,Z$5)=1,1,IF(INDEX([1]Pivot!$B$1:$AB$65000,$B793,Z$5)="",2,0)),0)</f>
        <v>0</v>
      </c>
      <c r="AA793" s="194">
        <f>IFERROR(IF(INDEX([1]Pivot!$AD$1:$BE$65000,$B793,AA$5)=1,1,IF(INDEX([1]Pivot!$B$1:$AB$65000,$B793,AA$5)="",2,0)),0)</f>
        <v>0</v>
      </c>
      <c r="AB793" s="194">
        <f>IFERROR(IF(INDEX([1]Pivot!$AD$1:$BE$65000,$B793,AB$5)=1,1,IF(INDEX([1]Pivot!$B$1:$AB$65000,$B793,AB$5)="",2,0)),0)</f>
        <v>0</v>
      </c>
      <c r="AC793" s="194">
        <f>IFERROR(IF(INDEX([1]Pivot!$AD$1:$BE$65000,$B793,AC$5)=1,1,IF(INDEX([1]Pivot!$B$1:$AB$65000,$B793,AC$5)="",2,0)),0)</f>
        <v>0</v>
      </c>
      <c r="AD793" s="313">
        <f>IFERROR(IF(INDEX([1]Pivot!$BF$1:$CG$65000,$B793,AD$5)=1,1,IF(INDEX([1]Pivot!$B$1:$AB$65000,$B793,AD$5)="",2,0)),0)</f>
        <v>0</v>
      </c>
      <c r="AE793" s="313">
        <f>IFERROR(IF(INDEX([1]Pivot!$BF$1:$CG$65000,$B793,AE$5)=1,1,IF(INDEX([1]Pivot!$B$1:$AB$65000,$B793,AE$5)="",2,0)),0)</f>
        <v>0</v>
      </c>
      <c r="AF793" s="313">
        <f>IFERROR(IF(INDEX([1]Pivot!$BF$1:$CG$65000,$B793,AF$5)=1,1,IF(INDEX([1]Pivot!$B$1:$AB$65000,$B793,AF$5)="",2,0)),0)</f>
        <v>0</v>
      </c>
      <c r="AG793" s="313">
        <f>IFERROR(IF(INDEX([1]Pivot!$BF$1:$CG$65000,$B793,AG$5)=1,1,IF(INDEX([1]Pivot!$B$1:$AB$65000,$B793,AG$5)="",2,0)),0)</f>
        <v>0</v>
      </c>
      <c r="AH793" s="313">
        <f>IFERROR(IF(INDEX([1]Pivot!$BF$1:$CG$65000,$B793,AH$5)=1,1,IF(INDEX([1]Pivot!$B$1:$AB$65000,$B793,AH$5)="",2,0)),0)</f>
        <v>0</v>
      </c>
      <c r="AI793" s="313">
        <f>IFERROR(IF(INDEX([1]Pivot!$BF$1:$CG$65000,$B793,AI$5)=1,1,IF(INDEX([1]Pivot!$B$1:$AB$65000,$B793,AI$5)="",2,0)),0)</f>
        <v>0</v>
      </c>
      <c r="AJ793" s="313">
        <f>IFERROR(IF(INDEX([1]Pivot!$BF$1:$CG$65000,$B793,AJ$5)=1,1,IF(INDEX([1]Pivot!$B$1:$AB$65000,$B793,AJ$5)="",2,0)),0)</f>
        <v>0</v>
      </c>
      <c r="AK793" s="313">
        <f>IFERROR(IF(INDEX([1]Pivot!$BF$1:$CG$65000,$B793,AK$5)=1,1,IF(INDEX([1]Pivot!$B$1:$AB$65000,$B793,AK$5)="",2,0)),0)</f>
        <v>0</v>
      </c>
      <c r="AL793" s="313">
        <f>IFERROR(IF(INDEX([1]Pivot!$BF$1:$CG$65000,$B793,AL$5)=1,1,IF(INDEX([1]Pivot!$B$1:$AB$65000,$B793,AL$5)="",2,0)),0)</f>
        <v>0</v>
      </c>
      <c r="AM793" s="313">
        <f>IFERROR(IF(INDEX([1]Pivot!$BF$1:$CG$65000,$B793,AM$5)=1,1,IF(INDEX([1]Pivot!$B$1:$AB$65000,$B793,AM$5)="",2,0)),0)</f>
        <v>0</v>
      </c>
      <c r="AN793" s="313">
        <f>IFERROR(IF(INDEX([1]Pivot!$BF$1:$CG$65000,$B793,AN$5)=1,1,IF(INDEX([1]Pivot!$B$1:$AB$65000,$B793,AN$5)="",2,0)),0)</f>
        <v>0</v>
      </c>
      <c r="AO793" s="313">
        <f>IFERROR(IF(INDEX([1]Pivot!$BF$1:$CG$65000,$B793,AO$5)=1,1,IF(INDEX([1]Pivot!$B$1:$AB$65000,$B793,AO$5)="",2,0)),0)</f>
        <v>0</v>
      </c>
      <c r="AP793" s="313">
        <f>IFERROR(IF(INDEX([1]Pivot!$BF$1:$CG$65000,$B793,AP$5)=1,1,IF(INDEX([1]Pivot!$B$1:$AB$65000,$B793,AP$5)="",2,0)),0)</f>
        <v>0</v>
      </c>
      <c r="AQ793" s="313">
        <f>IFERROR(IF(INDEX([1]Pivot!$BF$1:$CG$65000,$B793,AQ$5)=1,1,IF(INDEX([1]Pivot!$B$1:$AB$65000,$B793,AQ$5)="",2,0)),0)</f>
        <v>0</v>
      </c>
      <c r="AR793" s="313">
        <f>IFERROR(IF(INDEX([1]Pivot!$BF$1:$CG$65000,$B793,AR$5)=1,1,IF(INDEX([1]Pivot!$B$1:$AB$65000,$B793,AR$5)="",2,0)),0)</f>
        <v>0</v>
      </c>
      <c r="AS793" s="312"/>
      <c r="AT793" s="313">
        <f>IFERROR(IF(INDEX([1]Pivot!$BF$1:$CG$65000,$B793,AT$5)=1,1,IF(INDEX([1]Pivot!$B$1:$AB$65000,$B793,AT$5)="",2,0)),0)</f>
        <v>0</v>
      </c>
      <c r="AU793" s="313">
        <f>IFERROR(IF(INDEX([1]Pivot!$BF$1:$CG$65000,$B793,AU$5)=1,1,IF(INDEX([1]Pivot!$B$1:$AB$65000,$B793,AU$5)="",2,0)),0)</f>
        <v>0</v>
      </c>
      <c r="AV793" s="313">
        <f>IFERROR(IF(INDEX([1]Pivot!$BF$1:$CG$65000,$B793,AV$5)=1,1,IF(INDEX([1]Pivot!$B$1:$AB$65000,$B793,AV$5)="",2,0)),0)</f>
        <v>0</v>
      </c>
      <c r="AW793" s="313">
        <f>IFERROR(IF(INDEX([1]Pivot!$BF$1:$CG$65000,$B793,AW$5)=1,1,IF(INDEX([1]Pivot!$B$1:$AB$65000,$B793,AW$5)="",2,0)),0)</f>
        <v>0</v>
      </c>
      <c r="AX793" s="313">
        <f>IFERROR(IF(INDEX([1]Pivot!$BF$1:$CG$65000,$B793,AX$5)=1,1,IF(INDEX([1]Pivot!$B$1:$AB$65000,$B793,AX$5)="",2,0)),0)</f>
        <v>0</v>
      </c>
      <c r="AY793" s="313">
        <f>IFERROR(IF(INDEX([1]Pivot!$BF$1:$CG$65000,$B793,AY$5)=1,1,IF(INDEX([1]Pivot!$B$1:$AB$65000,$B793,AY$5)="",2,0)),0)</f>
        <v>0</v>
      </c>
      <c r="AZ793" s="313">
        <f>IFERROR(IF(INDEX([1]Pivot!$BF$1:$CG$65000,$B793,AZ$5)=1,1,IF(INDEX([1]Pivot!$B$1:$AB$65000,$B793,AZ$5)="",2,0)),0)</f>
        <v>0</v>
      </c>
      <c r="BA793" s="313">
        <f>IFERROR(IF(INDEX([1]Pivot!$BF$1:$CG$65000,$B793,BA$5)=1,1,IF(INDEX([1]Pivot!$B$1:$AB$65000,$B793,BA$5)="",2,0)),0)</f>
        <v>0</v>
      </c>
      <c r="BB793" s="313">
        <f>IFERROR(IF(INDEX([1]Pivot!$BF$1:$CG$65000,$B793,BB$5)=1,1,IF(INDEX([1]Pivot!$B$1:$AB$65000,$B793,BB$5)="",2,0)),0)</f>
        <v>0</v>
      </c>
      <c r="BC793" s="313">
        <f>IFERROR(IF(INDEX([1]Pivot!$BF$1:$CG$65000,$B793,BC$5)=1,1,IF(INDEX([1]Pivot!$B$1:$AB$65000,$B793,BC$5)="",2,0)),0)</f>
        <v>0</v>
      </c>
      <c r="BD793" s="313">
        <f>IFERROR(IF(INDEX([1]Pivot!$BF$1:$CG$65000,$B793,BD$5)=1,1,IF(INDEX([1]Pivot!$B$1:$AB$65000,$B793,BD$5)="",2,0)),0)</f>
        <v>0</v>
      </c>
    </row>
    <row r="794" spans="1:56" x14ac:dyDescent="0.25">
      <c r="A794" s="288">
        <f>'[2]Raw Milk Prices'!A794</f>
        <v>0</v>
      </c>
      <c r="B794" s="296" t="e">
        <f>MATCH(DATE(LEFT('[2]Raw Milk Prices'!$A794,4),RIGHT('[2]Raw Milk Prices'!$A794,2),1),[1]Pivot!$A$1:$A$65000,0)</f>
        <v>#VALUE!</v>
      </c>
      <c r="C794" s="194">
        <f>IFERROR(IF(INDEX([1]Pivot!$AD$1:$BE$65000,$B794,C$5)=1,1,IF(INDEX([1]Pivot!$B$1:$AB$65000,$B794,C$5)="",2,0)),0)</f>
        <v>0</v>
      </c>
      <c r="D794" s="194">
        <f>IFERROR(IF(INDEX([1]Pivot!$AD$1:$BE$65000,$B794,D$5)=1,1,IF(INDEX([1]Pivot!$B$1:$AB$65000,$B794,D$5)="",2,0)),0)</f>
        <v>0</v>
      </c>
      <c r="E794" s="194">
        <f>IFERROR(IF(INDEX([1]Pivot!$AD$1:$BE$65000,$B794,E$5)=1,1,IF(INDEX([1]Pivot!$B$1:$AB$65000,$B794,E$5)="",2,0)),0)</f>
        <v>0</v>
      </c>
      <c r="F794" s="194">
        <f>IFERROR(IF(INDEX([1]Pivot!$AD$1:$BE$65000,$B794,F$5)=1,1,IF(INDEX([1]Pivot!$B$1:$AB$65000,$B794,F$5)="",2,0)),0)</f>
        <v>0</v>
      </c>
      <c r="G794" s="194">
        <f>IFERROR(IF(INDEX([1]Pivot!$AD$1:$BE$65000,$B794,G$5)=1,1,IF(INDEX([1]Pivot!$B$1:$AB$65000,$B794,G$5)="",2,0)),0)</f>
        <v>0</v>
      </c>
      <c r="H794" s="194">
        <f>IFERROR(IF(INDEX([1]Pivot!$AD$1:$BE$65000,$B794,H$5)=1,1,IF(INDEX([1]Pivot!$B$1:$AB$65000,$B794,H$5)="",2,0)),0)</f>
        <v>0</v>
      </c>
      <c r="I794" s="194">
        <f>IFERROR(IF(INDEX([1]Pivot!$AD$1:$BE$65000,$B794,I$5)=1,1,IF(INDEX([1]Pivot!$B$1:$AB$65000,$B794,I$5)="",2,0)),0)</f>
        <v>0</v>
      </c>
      <c r="J794" s="194">
        <f>IFERROR(IF(INDEX([1]Pivot!$AD$1:$BE$65000,$B794,J$5)=1,1,IF(INDEX([1]Pivot!$B$1:$AB$65000,$B794,J$5)="",2,0)),0)</f>
        <v>0</v>
      </c>
      <c r="K794" s="194">
        <f>IFERROR(IF(INDEX([1]Pivot!$AD$1:$BE$65000,$B794,K$5)=1,1,IF(INDEX([1]Pivot!$B$1:$AB$65000,$B794,K$5)="",2,0)),0)</f>
        <v>0</v>
      </c>
      <c r="L794" s="194">
        <f>IFERROR(IF(INDEX([1]Pivot!$AD$1:$BE$65000,$B794,L$5)=1,1,IF(INDEX([1]Pivot!$B$1:$AB$65000,$B794,L$5)="",2,0)),0)</f>
        <v>0</v>
      </c>
      <c r="M794" s="194">
        <f>IFERROR(IF(INDEX([1]Pivot!$AD$1:$BE$65000,$B794,M$5)=1,1,IF(INDEX([1]Pivot!$B$1:$AB$65000,$B794,M$5)="",2,0)),0)</f>
        <v>0</v>
      </c>
      <c r="N794" s="194">
        <f>IFERROR(IF(INDEX([1]Pivot!$AD$1:$BE$65000,$B794,N$5)=1,1,IF(INDEX([1]Pivot!$B$1:$AB$65000,$B794,N$5)="",2,0)),0)</f>
        <v>0</v>
      </c>
      <c r="O794" s="194">
        <f>IFERROR(IF(INDEX([1]Pivot!$AD$1:$BE$65000,$B794,O$5)=1,1,IF(INDEX([1]Pivot!$B$1:$AB$65000,$B794,O$5)="",2,0)),0)</f>
        <v>0</v>
      </c>
      <c r="P794" s="194">
        <f>IFERROR(IF(INDEX([1]Pivot!$AD$1:$BE$65000,$B794,P$5)=1,1,IF(INDEX([1]Pivot!$B$1:$AB$65000,$B794,P$5)="",2,0)),0)</f>
        <v>0</v>
      </c>
      <c r="Q794" s="194">
        <f>IFERROR(IF(INDEX([1]Pivot!$AD$1:$BE$65000,$B794,Q$5)=1,1,IF(INDEX([1]Pivot!$B$1:$AB$65000,$B794,Q$5)="",2,0)),0)</f>
        <v>0</v>
      </c>
      <c r="R794" s="312"/>
      <c r="S794" s="194">
        <f>IFERROR(IF(INDEX([1]Pivot!$AD$1:$BE$65000,$B794,S$5)=1,1,IF(INDEX([1]Pivot!$B$1:$AB$65000,$B794,S$5)="",2,0)),0)</f>
        <v>0</v>
      </c>
      <c r="T794" s="194">
        <f>IFERROR(IF(INDEX([1]Pivot!$AD$1:$BE$65000,$B794,T$5)=1,1,IF(INDEX([1]Pivot!$B$1:$AB$65000,$B794,T$5)="",2,0)),0)</f>
        <v>0</v>
      </c>
      <c r="U794" s="194">
        <f>IFERROR(IF(INDEX([1]Pivot!$AD$1:$BE$65000,$B794,U$5)=1,1,IF(INDEX([1]Pivot!$B$1:$AB$65000,$B794,U$5)="",2,0)),0)</f>
        <v>0</v>
      </c>
      <c r="V794" s="194">
        <f>IFERROR(IF(INDEX([1]Pivot!$AD$1:$BE$65000,$B794,V$5)=1,1,IF(INDEX([1]Pivot!$B$1:$AB$65000,$B794,V$5)="",2,0)),0)</f>
        <v>0</v>
      </c>
      <c r="W794" s="194">
        <f>IFERROR(IF(INDEX([1]Pivot!$AD$1:$BE$65000,$B794,W$5)=1,1,IF(INDEX([1]Pivot!$B$1:$AB$65000,$B794,W$5)="",2,0)),0)</f>
        <v>0</v>
      </c>
      <c r="X794" s="194">
        <f>IFERROR(IF(INDEX([1]Pivot!$AD$1:$BE$65000,$B794,X$5)=1,1,IF(INDEX([1]Pivot!$B$1:$AB$65000,$B794,X$5)="",2,0)),0)</f>
        <v>0</v>
      </c>
      <c r="Y794" s="194">
        <f>IFERROR(IF(INDEX([1]Pivot!$AD$1:$BE$65000,$B794,Y$5)=1,1,IF(INDEX([1]Pivot!$B$1:$AB$65000,$B794,Y$5)="",2,0)),0)</f>
        <v>0</v>
      </c>
      <c r="Z794" s="194">
        <f>IFERROR(IF(INDEX([1]Pivot!$AD$1:$BE$65000,$B794,Z$5)=1,1,IF(INDEX([1]Pivot!$B$1:$AB$65000,$B794,Z$5)="",2,0)),0)</f>
        <v>0</v>
      </c>
      <c r="AA794" s="194">
        <f>IFERROR(IF(INDEX([1]Pivot!$AD$1:$BE$65000,$B794,AA$5)=1,1,IF(INDEX([1]Pivot!$B$1:$AB$65000,$B794,AA$5)="",2,0)),0)</f>
        <v>0</v>
      </c>
      <c r="AB794" s="194">
        <f>IFERROR(IF(INDEX([1]Pivot!$AD$1:$BE$65000,$B794,AB$5)=1,1,IF(INDEX([1]Pivot!$B$1:$AB$65000,$B794,AB$5)="",2,0)),0)</f>
        <v>0</v>
      </c>
      <c r="AC794" s="194">
        <f>IFERROR(IF(INDEX([1]Pivot!$AD$1:$BE$65000,$B794,AC$5)=1,1,IF(INDEX([1]Pivot!$B$1:$AB$65000,$B794,AC$5)="",2,0)),0)</f>
        <v>0</v>
      </c>
      <c r="AD794" s="313">
        <f>IFERROR(IF(INDEX([1]Pivot!$BF$1:$CG$65000,$B794,AD$5)=1,1,IF(INDEX([1]Pivot!$B$1:$AB$65000,$B794,AD$5)="",2,0)),0)</f>
        <v>0</v>
      </c>
      <c r="AE794" s="313">
        <f>IFERROR(IF(INDEX([1]Pivot!$BF$1:$CG$65000,$B794,AE$5)=1,1,IF(INDEX([1]Pivot!$B$1:$AB$65000,$B794,AE$5)="",2,0)),0)</f>
        <v>0</v>
      </c>
      <c r="AF794" s="313">
        <f>IFERROR(IF(INDEX([1]Pivot!$BF$1:$CG$65000,$B794,AF$5)=1,1,IF(INDEX([1]Pivot!$B$1:$AB$65000,$B794,AF$5)="",2,0)),0)</f>
        <v>0</v>
      </c>
      <c r="AG794" s="313">
        <f>IFERROR(IF(INDEX([1]Pivot!$BF$1:$CG$65000,$B794,AG$5)=1,1,IF(INDEX([1]Pivot!$B$1:$AB$65000,$B794,AG$5)="",2,0)),0)</f>
        <v>0</v>
      </c>
      <c r="AH794" s="313">
        <f>IFERROR(IF(INDEX([1]Pivot!$BF$1:$CG$65000,$B794,AH$5)=1,1,IF(INDEX([1]Pivot!$B$1:$AB$65000,$B794,AH$5)="",2,0)),0)</f>
        <v>0</v>
      </c>
      <c r="AI794" s="313">
        <f>IFERROR(IF(INDEX([1]Pivot!$BF$1:$CG$65000,$B794,AI$5)=1,1,IF(INDEX([1]Pivot!$B$1:$AB$65000,$B794,AI$5)="",2,0)),0)</f>
        <v>0</v>
      </c>
      <c r="AJ794" s="313">
        <f>IFERROR(IF(INDEX([1]Pivot!$BF$1:$CG$65000,$B794,AJ$5)=1,1,IF(INDEX([1]Pivot!$B$1:$AB$65000,$B794,AJ$5)="",2,0)),0)</f>
        <v>0</v>
      </c>
      <c r="AK794" s="313">
        <f>IFERROR(IF(INDEX([1]Pivot!$BF$1:$CG$65000,$B794,AK$5)=1,1,IF(INDEX([1]Pivot!$B$1:$AB$65000,$B794,AK$5)="",2,0)),0)</f>
        <v>0</v>
      </c>
      <c r="AL794" s="313">
        <f>IFERROR(IF(INDEX([1]Pivot!$BF$1:$CG$65000,$B794,AL$5)=1,1,IF(INDEX([1]Pivot!$B$1:$AB$65000,$B794,AL$5)="",2,0)),0)</f>
        <v>0</v>
      </c>
      <c r="AM794" s="313">
        <f>IFERROR(IF(INDEX([1]Pivot!$BF$1:$CG$65000,$B794,AM$5)=1,1,IF(INDEX([1]Pivot!$B$1:$AB$65000,$B794,AM$5)="",2,0)),0)</f>
        <v>0</v>
      </c>
      <c r="AN794" s="313">
        <f>IFERROR(IF(INDEX([1]Pivot!$BF$1:$CG$65000,$B794,AN$5)=1,1,IF(INDEX([1]Pivot!$B$1:$AB$65000,$B794,AN$5)="",2,0)),0)</f>
        <v>0</v>
      </c>
      <c r="AO794" s="313">
        <f>IFERROR(IF(INDEX([1]Pivot!$BF$1:$CG$65000,$B794,AO$5)=1,1,IF(INDEX([1]Pivot!$B$1:$AB$65000,$B794,AO$5)="",2,0)),0)</f>
        <v>0</v>
      </c>
      <c r="AP794" s="313">
        <f>IFERROR(IF(INDEX([1]Pivot!$BF$1:$CG$65000,$B794,AP$5)=1,1,IF(INDEX([1]Pivot!$B$1:$AB$65000,$B794,AP$5)="",2,0)),0)</f>
        <v>0</v>
      </c>
      <c r="AQ794" s="313">
        <f>IFERROR(IF(INDEX([1]Pivot!$BF$1:$CG$65000,$B794,AQ$5)=1,1,IF(INDEX([1]Pivot!$B$1:$AB$65000,$B794,AQ$5)="",2,0)),0)</f>
        <v>0</v>
      </c>
      <c r="AR794" s="313">
        <f>IFERROR(IF(INDEX([1]Pivot!$BF$1:$CG$65000,$B794,AR$5)=1,1,IF(INDEX([1]Pivot!$B$1:$AB$65000,$B794,AR$5)="",2,0)),0)</f>
        <v>0</v>
      </c>
      <c r="AS794" s="312"/>
      <c r="AT794" s="313">
        <f>IFERROR(IF(INDEX([1]Pivot!$BF$1:$CG$65000,$B794,AT$5)=1,1,IF(INDEX([1]Pivot!$B$1:$AB$65000,$B794,AT$5)="",2,0)),0)</f>
        <v>0</v>
      </c>
      <c r="AU794" s="313">
        <f>IFERROR(IF(INDEX([1]Pivot!$BF$1:$CG$65000,$B794,AU$5)=1,1,IF(INDEX([1]Pivot!$B$1:$AB$65000,$B794,AU$5)="",2,0)),0)</f>
        <v>0</v>
      </c>
      <c r="AV794" s="313">
        <f>IFERROR(IF(INDEX([1]Pivot!$BF$1:$CG$65000,$B794,AV$5)=1,1,IF(INDEX([1]Pivot!$B$1:$AB$65000,$B794,AV$5)="",2,0)),0)</f>
        <v>0</v>
      </c>
      <c r="AW794" s="313">
        <f>IFERROR(IF(INDEX([1]Pivot!$BF$1:$CG$65000,$B794,AW$5)=1,1,IF(INDEX([1]Pivot!$B$1:$AB$65000,$B794,AW$5)="",2,0)),0)</f>
        <v>0</v>
      </c>
      <c r="AX794" s="313">
        <f>IFERROR(IF(INDEX([1]Pivot!$BF$1:$CG$65000,$B794,AX$5)=1,1,IF(INDEX([1]Pivot!$B$1:$AB$65000,$B794,AX$5)="",2,0)),0)</f>
        <v>0</v>
      </c>
      <c r="AY794" s="313">
        <f>IFERROR(IF(INDEX([1]Pivot!$BF$1:$CG$65000,$B794,AY$5)=1,1,IF(INDEX([1]Pivot!$B$1:$AB$65000,$B794,AY$5)="",2,0)),0)</f>
        <v>0</v>
      </c>
      <c r="AZ794" s="313">
        <f>IFERROR(IF(INDEX([1]Pivot!$BF$1:$CG$65000,$B794,AZ$5)=1,1,IF(INDEX([1]Pivot!$B$1:$AB$65000,$B794,AZ$5)="",2,0)),0)</f>
        <v>0</v>
      </c>
      <c r="BA794" s="313">
        <f>IFERROR(IF(INDEX([1]Pivot!$BF$1:$CG$65000,$B794,BA$5)=1,1,IF(INDEX([1]Pivot!$B$1:$AB$65000,$B794,BA$5)="",2,0)),0)</f>
        <v>0</v>
      </c>
      <c r="BB794" s="313">
        <f>IFERROR(IF(INDEX([1]Pivot!$BF$1:$CG$65000,$B794,BB$5)=1,1,IF(INDEX([1]Pivot!$B$1:$AB$65000,$B794,BB$5)="",2,0)),0)</f>
        <v>0</v>
      </c>
      <c r="BC794" s="313">
        <f>IFERROR(IF(INDEX([1]Pivot!$BF$1:$CG$65000,$B794,BC$5)=1,1,IF(INDEX([1]Pivot!$B$1:$AB$65000,$B794,BC$5)="",2,0)),0)</f>
        <v>0</v>
      </c>
      <c r="BD794" s="313">
        <f>IFERROR(IF(INDEX([1]Pivot!$BF$1:$CG$65000,$B794,BD$5)=1,1,IF(INDEX([1]Pivot!$B$1:$AB$65000,$B794,BD$5)="",2,0)),0)</f>
        <v>0</v>
      </c>
    </row>
    <row r="795" spans="1:56" x14ac:dyDescent="0.25">
      <c r="A795" s="288">
        <f>'[2]Raw Milk Prices'!A795</f>
        <v>0</v>
      </c>
      <c r="B795" s="296" t="e">
        <f>MATCH(DATE(LEFT('[2]Raw Milk Prices'!$A795,4),RIGHT('[2]Raw Milk Prices'!$A795,2),1),[1]Pivot!$A$1:$A$65000,0)</f>
        <v>#VALUE!</v>
      </c>
      <c r="C795" s="194">
        <f>IFERROR(IF(INDEX([1]Pivot!$AD$1:$BE$65000,$B795,C$5)=1,1,IF(INDEX([1]Pivot!$B$1:$AB$65000,$B795,C$5)="",2,0)),0)</f>
        <v>0</v>
      </c>
      <c r="D795" s="194">
        <f>IFERROR(IF(INDEX([1]Pivot!$AD$1:$BE$65000,$B795,D$5)=1,1,IF(INDEX([1]Pivot!$B$1:$AB$65000,$B795,D$5)="",2,0)),0)</f>
        <v>0</v>
      </c>
      <c r="E795" s="194">
        <f>IFERROR(IF(INDEX([1]Pivot!$AD$1:$BE$65000,$B795,E$5)=1,1,IF(INDEX([1]Pivot!$B$1:$AB$65000,$B795,E$5)="",2,0)),0)</f>
        <v>0</v>
      </c>
      <c r="F795" s="194">
        <f>IFERROR(IF(INDEX([1]Pivot!$AD$1:$BE$65000,$B795,F$5)=1,1,IF(INDEX([1]Pivot!$B$1:$AB$65000,$B795,F$5)="",2,0)),0)</f>
        <v>0</v>
      </c>
      <c r="G795" s="194">
        <f>IFERROR(IF(INDEX([1]Pivot!$AD$1:$BE$65000,$B795,G$5)=1,1,IF(INDEX([1]Pivot!$B$1:$AB$65000,$B795,G$5)="",2,0)),0)</f>
        <v>0</v>
      </c>
      <c r="H795" s="194">
        <f>IFERROR(IF(INDEX([1]Pivot!$AD$1:$BE$65000,$B795,H$5)=1,1,IF(INDEX([1]Pivot!$B$1:$AB$65000,$B795,H$5)="",2,0)),0)</f>
        <v>0</v>
      </c>
      <c r="I795" s="194">
        <f>IFERROR(IF(INDEX([1]Pivot!$AD$1:$BE$65000,$B795,I$5)=1,1,IF(INDEX([1]Pivot!$B$1:$AB$65000,$B795,I$5)="",2,0)),0)</f>
        <v>0</v>
      </c>
      <c r="J795" s="194">
        <f>IFERROR(IF(INDEX([1]Pivot!$AD$1:$BE$65000,$B795,J$5)=1,1,IF(INDEX([1]Pivot!$B$1:$AB$65000,$B795,J$5)="",2,0)),0)</f>
        <v>0</v>
      </c>
      <c r="K795" s="194">
        <f>IFERROR(IF(INDEX([1]Pivot!$AD$1:$BE$65000,$B795,K$5)=1,1,IF(INDEX([1]Pivot!$B$1:$AB$65000,$B795,K$5)="",2,0)),0)</f>
        <v>0</v>
      </c>
      <c r="L795" s="194">
        <f>IFERROR(IF(INDEX([1]Pivot!$AD$1:$BE$65000,$B795,L$5)=1,1,IF(INDEX([1]Pivot!$B$1:$AB$65000,$B795,L$5)="",2,0)),0)</f>
        <v>0</v>
      </c>
      <c r="M795" s="194">
        <f>IFERROR(IF(INDEX([1]Pivot!$AD$1:$BE$65000,$B795,M$5)=1,1,IF(INDEX([1]Pivot!$B$1:$AB$65000,$B795,M$5)="",2,0)),0)</f>
        <v>0</v>
      </c>
      <c r="N795" s="194">
        <f>IFERROR(IF(INDEX([1]Pivot!$AD$1:$BE$65000,$B795,N$5)=1,1,IF(INDEX([1]Pivot!$B$1:$AB$65000,$B795,N$5)="",2,0)),0)</f>
        <v>0</v>
      </c>
      <c r="O795" s="194">
        <f>IFERROR(IF(INDEX([1]Pivot!$AD$1:$BE$65000,$B795,O$5)=1,1,IF(INDEX([1]Pivot!$B$1:$AB$65000,$B795,O$5)="",2,0)),0)</f>
        <v>0</v>
      </c>
      <c r="P795" s="194">
        <f>IFERROR(IF(INDEX([1]Pivot!$AD$1:$BE$65000,$B795,P$5)=1,1,IF(INDEX([1]Pivot!$B$1:$AB$65000,$B795,P$5)="",2,0)),0)</f>
        <v>0</v>
      </c>
      <c r="Q795" s="194">
        <f>IFERROR(IF(INDEX([1]Pivot!$AD$1:$BE$65000,$B795,Q$5)=1,1,IF(INDEX([1]Pivot!$B$1:$AB$65000,$B795,Q$5)="",2,0)),0)</f>
        <v>0</v>
      </c>
      <c r="R795" s="312"/>
      <c r="S795" s="194">
        <f>IFERROR(IF(INDEX([1]Pivot!$AD$1:$BE$65000,$B795,S$5)=1,1,IF(INDEX([1]Pivot!$B$1:$AB$65000,$B795,S$5)="",2,0)),0)</f>
        <v>0</v>
      </c>
      <c r="T795" s="194">
        <f>IFERROR(IF(INDEX([1]Pivot!$AD$1:$BE$65000,$B795,T$5)=1,1,IF(INDEX([1]Pivot!$B$1:$AB$65000,$B795,T$5)="",2,0)),0)</f>
        <v>0</v>
      </c>
      <c r="U795" s="194">
        <f>IFERROR(IF(INDEX([1]Pivot!$AD$1:$BE$65000,$B795,U$5)=1,1,IF(INDEX([1]Pivot!$B$1:$AB$65000,$B795,U$5)="",2,0)),0)</f>
        <v>0</v>
      </c>
      <c r="V795" s="194">
        <f>IFERROR(IF(INDEX([1]Pivot!$AD$1:$BE$65000,$B795,V$5)=1,1,IF(INDEX([1]Pivot!$B$1:$AB$65000,$B795,V$5)="",2,0)),0)</f>
        <v>0</v>
      </c>
      <c r="W795" s="194">
        <f>IFERROR(IF(INDEX([1]Pivot!$AD$1:$BE$65000,$B795,W$5)=1,1,IF(INDEX([1]Pivot!$B$1:$AB$65000,$B795,W$5)="",2,0)),0)</f>
        <v>0</v>
      </c>
      <c r="X795" s="194">
        <f>IFERROR(IF(INDEX([1]Pivot!$AD$1:$BE$65000,$B795,X$5)=1,1,IF(INDEX([1]Pivot!$B$1:$AB$65000,$B795,X$5)="",2,0)),0)</f>
        <v>0</v>
      </c>
      <c r="Y795" s="194">
        <f>IFERROR(IF(INDEX([1]Pivot!$AD$1:$BE$65000,$B795,Y$5)=1,1,IF(INDEX([1]Pivot!$B$1:$AB$65000,$B795,Y$5)="",2,0)),0)</f>
        <v>0</v>
      </c>
      <c r="Z795" s="194">
        <f>IFERROR(IF(INDEX([1]Pivot!$AD$1:$BE$65000,$B795,Z$5)=1,1,IF(INDEX([1]Pivot!$B$1:$AB$65000,$B795,Z$5)="",2,0)),0)</f>
        <v>0</v>
      </c>
      <c r="AA795" s="194">
        <f>IFERROR(IF(INDEX([1]Pivot!$AD$1:$BE$65000,$B795,AA$5)=1,1,IF(INDEX([1]Pivot!$B$1:$AB$65000,$B795,AA$5)="",2,0)),0)</f>
        <v>0</v>
      </c>
      <c r="AB795" s="194">
        <f>IFERROR(IF(INDEX([1]Pivot!$AD$1:$BE$65000,$B795,AB$5)=1,1,IF(INDEX([1]Pivot!$B$1:$AB$65000,$B795,AB$5)="",2,0)),0)</f>
        <v>0</v>
      </c>
      <c r="AC795" s="194">
        <f>IFERROR(IF(INDEX([1]Pivot!$AD$1:$BE$65000,$B795,AC$5)=1,1,IF(INDEX([1]Pivot!$B$1:$AB$65000,$B795,AC$5)="",2,0)),0)</f>
        <v>0</v>
      </c>
      <c r="AD795" s="313">
        <f>IFERROR(IF(INDEX([1]Pivot!$BF$1:$CG$65000,$B795,AD$5)=1,1,IF(INDEX([1]Pivot!$B$1:$AB$65000,$B795,AD$5)="",2,0)),0)</f>
        <v>0</v>
      </c>
      <c r="AE795" s="313">
        <f>IFERROR(IF(INDEX([1]Pivot!$BF$1:$CG$65000,$B795,AE$5)=1,1,IF(INDEX([1]Pivot!$B$1:$AB$65000,$B795,AE$5)="",2,0)),0)</f>
        <v>0</v>
      </c>
      <c r="AF795" s="313">
        <f>IFERROR(IF(INDEX([1]Pivot!$BF$1:$CG$65000,$B795,AF$5)=1,1,IF(INDEX([1]Pivot!$B$1:$AB$65000,$B795,AF$5)="",2,0)),0)</f>
        <v>0</v>
      </c>
      <c r="AG795" s="313">
        <f>IFERROR(IF(INDEX([1]Pivot!$BF$1:$CG$65000,$B795,AG$5)=1,1,IF(INDEX([1]Pivot!$B$1:$AB$65000,$B795,AG$5)="",2,0)),0)</f>
        <v>0</v>
      </c>
      <c r="AH795" s="313">
        <f>IFERROR(IF(INDEX([1]Pivot!$BF$1:$CG$65000,$B795,AH$5)=1,1,IF(INDEX([1]Pivot!$B$1:$AB$65000,$B795,AH$5)="",2,0)),0)</f>
        <v>0</v>
      </c>
      <c r="AI795" s="313">
        <f>IFERROR(IF(INDEX([1]Pivot!$BF$1:$CG$65000,$B795,AI$5)=1,1,IF(INDEX([1]Pivot!$B$1:$AB$65000,$B795,AI$5)="",2,0)),0)</f>
        <v>0</v>
      </c>
      <c r="AJ795" s="313">
        <f>IFERROR(IF(INDEX([1]Pivot!$BF$1:$CG$65000,$B795,AJ$5)=1,1,IF(INDEX([1]Pivot!$B$1:$AB$65000,$B795,AJ$5)="",2,0)),0)</f>
        <v>0</v>
      </c>
      <c r="AK795" s="313">
        <f>IFERROR(IF(INDEX([1]Pivot!$BF$1:$CG$65000,$B795,AK$5)=1,1,IF(INDEX([1]Pivot!$B$1:$AB$65000,$B795,AK$5)="",2,0)),0)</f>
        <v>0</v>
      </c>
      <c r="AL795" s="313">
        <f>IFERROR(IF(INDEX([1]Pivot!$BF$1:$CG$65000,$B795,AL$5)=1,1,IF(INDEX([1]Pivot!$B$1:$AB$65000,$B795,AL$5)="",2,0)),0)</f>
        <v>0</v>
      </c>
      <c r="AM795" s="313">
        <f>IFERROR(IF(INDEX([1]Pivot!$BF$1:$CG$65000,$B795,AM$5)=1,1,IF(INDEX([1]Pivot!$B$1:$AB$65000,$B795,AM$5)="",2,0)),0)</f>
        <v>0</v>
      </c>
      <c r="AN795" s="313">
        <f>IFERROR(IF(INDEX([1]Pivot!$BF$1:$CG$65000,$B795,AN$5)=1,1,IF(INDEX([1]Pivot!$B$1:$AB$65000,$B795,AN$5)="",2,0)),0)</f>
        <v>0</v>
      </c>
      <c r="AO795" s="313">
        <f>IFERROR(IF(INDEX([1]Pivot!$BF$1:$CG$65000,$B795,AO$5)=1,1,IF(INDEX([1]Pivot!$B$1:$AB$65000,$B795,AO$5)="",2,0)),0)</f>
        <v>0</v>
      </c>
      <c r="AP795" s="313">
        <f>IFERROR(IF(INDEX([1]Pivot!$BF$1:$CG$65000,$B795,AP$5)=1,1,IF(INDEX([1]Pivot!$B$1:$AB$65000,$B795,AP$5)="",2,0)),0)</f>
        <v>0</v>
      </c>
      <c r="AQ795" s="313">
        <f>IFERROR(IF(INDEX([1]Pivot!$BF$1:$CG$65000,$B795,AQ$5)=1,1,IF(INDEX([1]Pivot!$B$1:$AB$65000,$B795,AQ$5)="",2,0)),0)</f>
        <v>0</v>
      </c>
      <c r="AR795" s="313">
        <f>IFERROR(IF(INDEX([1]Pivot!$BF$1:$CG$65000,$B795,AR$5)=1,1,IF(INDEX([1]Pivot!$B$1:$AB$65000,$B795,AR$5)="",2,0)),0)</f>
        <v>0</v>
      </c>
      <c r="AS795" s="312"/>
      <c r="AT795" s="313">
        <f>IFERROR(IF(INDEX([1]Pivot!$BF$1:$CG$65000,$B795,AT$5)=1,1,IF(INDEX([1]Pivot!$B$1:$AB$65000,$B795,AT$5)="",2,0)),0)</f>
        <v>0</v>
      </c>
      <c r="AU795" s="313">
        <f>IFERROR(IF(INDEX([1]Pivot!$BF$1:$CG$65000,$B795,AU$5)=1,1,IF(INDEX([1]Pivot!$B$1:$AB$65000,$B795,AU$5)="",2,0)),0)</f>
        <v>0</v>
      </c>
      <c r="AV795" s="313">
        <f>IFERROR(IF(INDEX([1]Pivot!$BF$1:$CG$65000,$B795,AV$5)=1,1,IF(INDEX([1]Pivot!$B$1:$AB$65000,$B795,AV$5)="",2,0)),0)</f>
        <v>0</v>
      </c>
      <c r="AW795" s="313">
        <f>IFERROR(IF(INDEX([1]Pivot!$BF$1:$CG$65000,$B795,AW$5)=1,1,IF(INDEX([1]Pivot!$B$1:$AB$65000,$B795,AW$5)="",2,0)),0)</f>
        <v>0</v>
      </c>
      <c r="AX795" s="313">
        <f>IFERROR(IF(INDEX([1]Pivot!$BF$1:$CG$65000,$B795,AX$5)=1,1,IF(INDEX([1]Pivot!$B$1:$AB$65000,$B795,AX$5)="",2,0)),0)</f>
        <v>0</v>
      </c>
      <c r="AY795" s="313">
        <f>IFERROR(IF(INDEX([1]Pivot!$BF$1:$CG$65000,$B795,AY$5)=1,1,IF(INDEX([1]Pivot!$B$1:$AB$65000,$B795,AY$5)="",2,0)),0)</f>
        <v>0</v>
      </c>
      <c r="AZ795" s="313">
        <f>IFERROR(IF(INDEX([1]Pivot!$BF$1:$CG$65000,$B795,AZ$5)=1,1,IF(INDEX([1]Pivot!$B$1:$AB$65000,$B795,AZ$5)="",2,0)),0)</f>
        <v>0</v>
      </c>
      <c r="BA795" s="313">
        <f>IFERROR(IF(INDEX([1]Pivot!$BF$1:$CG$65000,$B795,BA$5)=1,1,IF(INDEX([1]Pivot!$B$1:$AB$65000,$B795,BA$5)="",2,0)),0)</f>
        <v>0</v>
      </c>
      <c r="BB795" s="313">
        <f>IFERROR(IF(INDEX([1]Pivot!$BF$1:$CG$65000,$B795,BB$5)=1,1,IF(INDEX([1]Pivot!$B$1:$AB$65000,$B795,BB$5)="",2,0)),0)</f>
        <v>0</v>
      </c>
      <c r="BC795" s="313">
        <f>IFERROR(IF(INDEX([1]Pivot!$BF$1:$CG$65000,$B795,BC$5)=1,1,IF(INDEX([1]Pivot!$B$1:$AB$65000,$B795,BC$5)="",2,0)),0)</f>
        <v>0</v>
      </c>
      <c r="BD795" s="313">
        <f>IFERROR(IF(INDEX([1]Pivot!$BF$1:$CG$65000,$B795,BD$5)=1,1,IF(INDEX([1]Pivot!$B$1:$AB$65000,$B795,BD$5)="",2,0)),0)</f>
        <v>0</v>
      </c>
    </row>
    <row r="796" spans="1:56" x14ac:dyDescent="0.25">
      <c r="A796" s="288">
        <f>'[2]Raw Milk Prices'!A796</f>
        <v>0</v>
      </c>
      <c r="B796" s="296" t="e">
        <f>MATCH(DATE(LEFT('[2]Raw Milk Prices'!$A796,4),RIGHT('[2]Raw Milk Prices'!$A796,2),1),[1]Pivot!$A$1:$A$65000,0)</f>
        <v>#VALUE!</v>
      </c>
      <c r="C796" s="194">
        <f>IFERROR(IF(INDEX([1]Pivot!$AD$1:$BE$65000,$B796,C$5)=1,1,IF(INDEX([1]Pivot!$B$1:$AB$65000,$B796,C$5)="",2,0)),0)</f>
        <v>0</v>
      </c>
      <c r="D796" s="194">
        <f>IFERROR(IF(INDEX([1]Pivot!$AD$1:$BE$65000,$B796,D$5)=1,1,IF(INDEX([1]Pivot!$B$1:$AB$65000,$B796,D$5)="",2,0)),0)</f>
        <v>0</v>
      </c>
      <c r="E796" s="194">
        <f>IFERROR(IF(INDEX([1]Pivot!$AD$1:$BE$65000,$B796,E$5)=1,1,IF(INDEX([1]Pivot!$B$1:$AB$65000,$B796,E$5)="",2,0)),0)</f>
        <v>0</v>
      </c>
      <c r="F796" s="194">
        <f>IFERROR(IF(INDEX([1]Pivot!$AD$1:$BE$65000,$B796,F$5)=1,1,IF(INDEX([1]Pivot!$B$1:$AB$65000,$B796,F$5)="",2,0)),0)</f>
        <v>0</v>
      </c>
      <c r="G796" s="194">
        <f>IFERROR(IF(INDEX([1]Pivot!$AD$1:$BE$65000,$B796,G$5)=1,1,IF(INDEX([1]Pivot!$B$1:$AB$65000,$B796,G$5)="",2,0)),0)</f>
        <v>0</v>
      </c>
      <c r="H796" s="194">
        <f>IFERROR(IF(INDEX([1]Pivot!$AD$1:$BE$65000,$B796,H$5)=1,1,IF(INDEX([1]Pivot!$B$1:$AB$65000,$B796,H$5)="",2,0)),0)</f>
        <v>0</v>
      </c>
      <c r="I796" s="194">
        <f>IFERROR(IF(INDEX([1]Pivot!$AD$1:$BE$65000,$B796,I$5)=1,1,IF(INDEX([1]Pivot!$B$1:$AB$65000,$B796,I$5)="",2,0)),0)</f>
        <v>0</v>
      </c>
      <c r="J796" s="194">
        <f>IFERROR(IF(INDEX([1]Pivot!$AD$1:$BE$65000,$B796,J$5)=1,1,IF(INDEX([1]Pivot!$B$1:$AB$65000,$B796,J$5)="",2,0)),0)</f>
        <v>0</v>
      </c>
      <c r="K796" s="194">
        <f>IFERROR(IF(INDEX([1]Pivot!$AD$1:$BE$65000,$B796,K$5)=1,1,IF(INDEX([1]Pivot!$B$1:$AB$65000,$B796,K$5)="",2,0)),0)</f>
        <v>0</v>
      </c>
      <c r="L796" s="194">
        <f>IFERROR(IF(INDEX([1]Pivot!$AD$1:$BE$65000,$B796,L$5)=1,1,IF(INDEX([1]Pivot!$B$1:$AB$65000,$B796,L$5)="",2,0)),0)</f>
        <v>0</v>
      </c>
      <c r="M796" s="194">
        <f>IFERROR(IF(INDEX([1]Pivot!$AD$1:$BE$65000,$B796,M$5)=1,1,IF(INDEX([1]Pivot!$B$1:$AB$65000,$B796,M$5)="",2,0)),0)</f>
        <v>0</v>
      </c>
      <c r="N796" s="194">
        <f>IFERROR(IF(INDEX([1]Pivot!$AD$1:$BE$65000,$B796,N$5)=1,1,IF(INDEX([1]Pivot!$B$1:$AB$65000,$B796,N$5)="",2,0)),0)</f>
        <v>0</v>
      </c>
      <c r="O796" s="194">
        <f>IFERROR(IF(INDEX([1]Pivot!$AD$1:$BE$65000,$B796,O$5)=1,1,IF(INDEX([1]Pivot!$B$1:$AB$65000,$B796,O$5)="",2,0)),0)</f>
        <v>0</v>
      </c>
      <c r="P796" s="194">
        <f>IFERROR(IF(INDEX([1]Pivot!$AD$1:$BE$65000,$B796,P$5)=1,1,IF(INDEX([1]Pivot!$B$1:$AB$65000,$B796,P$5)="",2,0)),0)</f>
        <v>0</v>
      </c>
      <c r="Q796" s="194">
        <f>IFERROR(IF(INDEX([1]Pivot!$AD$1:$BE$65000,$B796,Q$5)=1,1,IF(INDEX([1]Pivot!$B$1:$AB$65000,$B796,Q$5)="",2,0)),0)</f>
        <v>0</v>
      </c>
      <c r="R796" s="312"/>
      <c r="S796" s="194">
        <f>IFERROR(IF(INDEX([1]Pivot!$AD$1:$BE$65000,$B796,S$5)=1,1,IF(INDEX([1]Pivot!$B$1:$AB$65000,$B796,S$5)="",2,0)),0)</f>
        <v>0</v>
      </c>
      <c r="T796" s="194">
        <f>IFERROR(IF(INDEX([1]Pivot!$AD$1:$BE$65000,$B796,T$5)=1,1,IF(INDEX([1]Pivot!$B$1:$AB$65000,$B796,T$5)="",2,0)),0)</f>
        <v>0</v>
      </c>
      <c r="U796" s="194">
        <f>IFERROR(IF(INDEX([1]Pivot!$AD$1:$BE$65000,$B796,U$5)=1,1,IF(INDEX([1]Pivot!$B$1:$AB$65000,$B796,U$5)="",2,0)),0)</f>
        <v>0</v>
      </c>
      <c r="V796" s="194">
        <f>IFERROR(IF(INDEX([1]Pivot!$AD$1:$BE$65000,$B796,V$5)=1,1,IF(INDEX([1]Pivot!$B$1:$AB$65000,$B796,V$5)="",2,0)),0)</f>
        <v>0</v>
      </c>
      <c r="W796" s="194">
        <f>IFERROR(IF(INDEX([1]Pivot!$AD$1:$BE$65000,$B796,W$5)=1,1,IF(INDEX([1]Pivot!$B$1:$AB$65000,$B796,W$5)="",2,0)),0)</f>
        <v>0</v>
      </c>
      <c r="X796" s="194">
        <f>IFERROR(IF(INDEX([1]Pivot!$AD$1:$BE$65000,$B796,X$5)=1,1,IF(INDEX([1]Pivot!$B$1:$AB$65000,$B796,X$5)="",2,0)),0)</f>
        <v>0</v>
      </c>
      <c r="Y796" s="194">
        <f>IFERROR(IF(INDEX([1]Pivot!$AD$1:$BE$65000,$B796,Y$5)=1,1,IF(INDEX([1]Pivot!$B$1:$AB$65000,$B796,Y$5)="",2,0)),0)</f>
        <v>0</v>
      </c>
      <c r="Z796" s="194">
        <f>IFERROR(IF(INDEX([1]Pivot!$AD$1:$BE$65000,$B796,Z$5)=1,1,IF(INDEX([1]Pivot!$B$1:$AB$65000,$B796,Z$5)="",2,0)),0)</f>
        <v>0</v>
      </c>
      <c r="AA796" s="194">
        <f>IFERROR(IF(INDEX([1]Pivot!$AD$1:$BE$65000,$B796,AA$5)=1,1,IF(INDEX([1]Pivot!$B$1:$AB$65000,$B796,AA$5)="",2,0)),0)</f>
        <v>0</v>
      </c>
      <c r="AB796" s="194">
        <f>IFERROR(IF(INDEX([1]Pivot!$AD$1:$BE$65000,$B796,AB$5)=1,1,IF(INDEX([1]Pivot!$B$1:$AB$65000,$B796,AB$5)="",2,0)),0)</f>
        <v>0</v>
      </c>
      <c r="AC796" s="194">
        <f>IFERROR(IF(INDEX([1]Pivot!$AD$1:$BE$65000,$B796,AC$5)=1,1,IF(INDEX([1]Pivot!$B$1:$AB$65000,$B796,AC$5)="",2,0)),0)</f>
        <v>0</v>
      </c>
      <c r="AD796" s="313">
        <f>IFERROR(IF(INDEX([1]Pivot!$BF$1:$CG$65000,$B796,AD$5)=1,1,IF(INDEX([1]Pivot!$B$1:$AB$65000,$B796,AD$5)="",2,0)),0)</f>
        <v>0</v>
      </c>
      <c r="AE796" s="313">
        <f>IFERROR(IF(INDEX([1]Pivot!$BF$1:$CG$65000,$B796,AE$5)=1,1,IF(INDEX([1]Pivot!$B$1:$AB$65000,$B796,AE$5)="",2,0)),0)</f>
        <v>0</v>
      </c>
      <c r="AF796" s="313">
        <f>IFERROR(IF(INDEX([1]Pivot!$BF$1:$CG$65000,$B796,AF$5)=1,1,IF(INDEX([1]Pivot!$B$1:$AB$65000,$B796,AF$5)="",2,0)),0)</f>
        <v>0</v>
      </c>
      <c r="AG796" s="313">
        <f>IFERROR(IF(INDEX([1]Pivot!$BF$1:$CG$65000,$B796,AG$5)=1,1,IF(INDEX([1]Pivot!$B$1:$AB$65000,$B796,AG$5)="",2,0)),0)</f>
        <v>0</v>
      </c>
      <c r="AH796" s="313">
        <f>IFERROR(IF(INDEX([1]Pivot!$BF$1:$CG$65000,$B796,AH$5)=1,1,IF(INDEX([1]Pivot!$B$1:$AB$65000,$B796,AH$5)="",2,0)),0)</f>
        <v>0</v>
      </c>
      <c r="AI796" s="313">
        <f>IFERROR(IF(INDEX([1]Pivot!$BF$1:$CG$65000,$B796,AI$5)=1,1,IF(INDEX([1]Pivot!$B$1:$AB$65000,$B796,AI$5)="",2,0)),0)</f>
        <v>0</v>
      </c>
      <c r="AJ796" s="313">
        <f>IFERROR(IF(INDEX([1]Pivot!$BF$1:$CG$65000,$B796,AJ$5)=1,1,IF(INDEX([1]Pivot!$B$1:$AB$65000,$B796,AJ$5)="",2,0)),0)</f>
        <v>0</v>
      </c>
      <c r="AK796" s="313">
        <f>IFERROR(IF(INDEX([1]Pivot!$BF$1:$CG$65000,$B796,AK$5)=1,1,IF(INDEX([1]Pivot!$B$1:$AB$65000,$B796,AK$5)="",2,0)),0)</f>
        <v>0</v>
      </c>
      <c r="AL796" s="313">
        <f>IFERROR(IF(INDEX([1]Pivot!$BF$1:$CG$65000,$B796,AL$5)=1,1,IF(INDEX([1]Pivot!$B$1:$AB$65000,$B796,AL$5)="",2,0)),0)</f>
        <v>0</v>
      </c>
      <c r="AM796" s="313">
        <f>IFERROR(IF(INDEX([1]Pivot!$BF$1:$CG$65000,$B796,AM$5)=1,1,IF(INDEX([1]Pivot!$B$1:$AB$65000,$B796,AM$5)="",2,0)),0)</f>
        <v>0</v>
      </c>
      <c r="AN796" s="313">
        <f>IFERROR(IF(INDEX([1]Pivot!$BF$1:$CG$65000,$B796,AN$5)=1,1,IF(INDEX([1]Pivot!$B$1:$AB$65000,$B796,AN$5)="",2,0)),0)</f>
        <v>0</v>
      </c>
      <c r="AO796" s="313">
        <f>IFERROR(IF(INDEX([1]Pivot!$BF$1:$CG$65000,$B796,AO$5)=1,1,IF(INDEX([1]Pivot!$B$1:$AB$65000,$B796,AO$5)="",2,0)),0)</f>
        <v>0</v>
      </c>
      <c r="AP796" s="313">
        <f>IFERROR(IF(INDEX([1]Pivot!$BF$1:$CG$65000,$B796,AP$5)=1,1,IF(INDEX([1]Pivot!$B$1:$AB$65000,$B796,AP$5)="",2,0)),0)</f>
        <v>0</v>
      </c>
      <c r="AQ796" s="313">
        <f>IFERROR(IF(INDEX([1]Pivot!$BF$1:$CG$65000,$B796,AQ$5)=1,1,IF(INDEX([1]Pivot!$B$1:$AB$65000,$B796,AQ$5)="",2,0)),0)</f>
        <v>0</v>
      </c>
      <c r="AR796" s="313">
        <f>IFERROR(IF(INDEX([1]Pivot!$BF$1:$CG$65000,$B796,AR$5)=1,1,IF(INDEX([1]Pivot!$B$1:$AB$65000,$B796,AR$5)="",2,0)),0)</f>
        <v>0</v>
      </c>
      <c r="AS796" s="312"/>
      <c r="AT796" s="313">
        <f>IFERROR(IF(INDEX([1]Pivot!$BF$1:$CG$65000,$B796,AT$5)=1,1,IF(INDEX([1]Pivot!$B$1:$AB$65000,$B796,AT$5)="",2,0)),0)</f>
        <v>0</v>
      </c>
      <c r="AU796" s="313">
        <f>IFERROR(IF(INDEX([1]Pivot!$BF$1:$CG$65000,$B796,AU$5)=1,1,IF(INDEX([1]Pivot!$B$1:$AB$65000,$B796,AU$5)="",2,0)),0)</f>
        <v>0</v>
      </c>
      <c r="AV796" s="313">
        <f>IFERROR(IF(INDEX([1]Pivot!$BF$1:$CG$65000,$B796,AV$5)=1,1,IF(INDEX([1]Pivot!$B$1:$AB$65000,$B796,AV$5)="",2,0)),0)</f>
        <v>0</v>
      </c>
      <c r="AW796" s="313">
        <f>IFERROR(IF(INDEX([1]Pivot!$BF$1:$CG$65000,$B796,AW$5)=1,1,IF(INDEX([1]Pivot!$B$1:$AB$65000,$B796,AW$5)="",2,0)),0)</f>
        <v>0</v>
      </c>
      <c r="AX796" s="313">
        <f>IFERROR(IF(INDEX([1]Pivot!$BF$1:$CG$65000,$B796,AX$5)=1,1,IF(INDEX([1]Pivot!$B$1:$AB$65000,$B796,AX$5)="",2,0)),0)</f>
        <v>0</v>
      </c>
      <c r="AY796" s="313">
        <f>IFERROR(IF(INDEX([1]Pivot!$BF$1:$CG$65000,$B796,AY$5)=1,1,IF(INDEX([1]Pivot!$B$1:$AB$65000,$B796,AY$5)="",2,0)),0)</f>
        <v>0</v>
      </c>
      <c r="AZ796" s="313">
        <f>IFERROR(IF(INDEX([1]Pivot!$BF$1:$CG$65000,$B796,AZ$5)=1,1,IF(INDEX([1]Pivot!$B$1:$AB$65000,$B796,AZ$5)="",2,0)),0)</f>
        <v>0</v>
      </c>
      <c r="BA796" s="313">
        <f>IFERROR(IF(INDEX([1]Pivot!$BF$1:$CG$65000,$B796,BA$5)=1,1,IF(INDEX([1]Pivot!$B$1:$AB$65000,$B796,BA$5)="",2,0)),0)</f>
        <v>0</v>
      </c>
      <c r="BB796" s="313">
        <f>IFERROR(IF(INDEX([1]Pivot!$BF$1:$CG$65000,$B796,BB$5)=1,1,IF(INDEX([1]Pivot!$B$1:$AB$65000,$B796,BB$5)="",2,0)),0)</f>
        <v>0</v>
      </c>
      <c r="BC796" s="313">
        <f>IFERROR(IF(INDEX([1]Pivot!$BF$1:$CG$65000,$B796,BC$5)=1,1,IF(INDEX([1]Pivot!$B$1:$AB$65000,$B796,BC$5)="",2,0)),0)</f>
        <v>0</v>
      </c>
      <c r="BD796" s="313">
        <f>IFERROR(IF(INDEX([1]Pivot!$BF$1:$CG$65000,$B796,BD$5)=1,1,IF(INDEX([1]Pivot!$B$1:$AB$65000,$B796,BD$5)="",2,0)),0)</f>
        <v>0</v>
      </c>
    </row>
    <row r="797" spans="1:56" x14ac:dyDescent="0.25">
      <c r="A797" s="288">
        <f>'[2]Raw Milk Prices'!A797</f>
        <v>0</v>
      </c>
      <c r="B797" s="296" t="e">
        <f>MATCH(DATE(LEFT('[2]Raw Milk Prices'!$A797,4),RIGHT('[2]Raw Milk Prices'!$A797,2),1),[1]Pivot!$A$1:$A$65000,0)</f>
        <v>#VALUE!</v>
      </c>
      <c r="C797" s="194">
        <f>IFERROR(IF(INDEX([1]Pivot!$AD$1:$BE$65000,$B797,C$5)=1,1,IF(INDEX([1]Pivot!$B$1:$AB$65000,$B797,C$5)="",2,0)),0)</f>
        <v>0</v>
      </c>
      <c r="D797" s="194">
        <f>IFERROR(IF(INDEX([1]Pivot!$AD$1:$BE$65000,$B797,D$5)=1,1,IF(INDEX([1]Pivot!$B$1:$AB$65000,$B797,D$5)="",2,0)),0)</f>
        <v>0</v>
      </c>
      <c r="E797" s="194">
        <f>IFERROR(IF(INDEX([1]Pivot!$AD$1:$BE$65000,$B797,E$5)=1,1,IF(INDEX([1]Pivot!$B$1:$AB$65000,$B797,E$5)="",2,0)),0)</f>
        <v>0</v>
      </c>
      <c r="F797" s="194">
        <f>IFERROR(IF(INDEX([1]Pivot!$AD$1:$BE$65000,$B797,F$5)=1,1,IF(INDEX([1]Pivot!$B$1:$AB$65000,$B797,F$5)="",2,0)),0)</f>
        <v>0</v>
      </c>
      <c r="G797" s="194">
        <f>IFERROR(IF(INDEX([1]Pivot!$AD$1:$BE$65000,$B797,G$5)=1,1,IF(INDEX([1]Pivot!$B$1:$AB$65000,$B797,G$5)="",2,0)),0)</f>
        <v>0</v>
      </c>
      <c r="H797" s="194">
        <f>IFERROR(IF(INDEX([1]Pivot!$AD$1:$BE$65000,$B797,H$5)=1,1,IF(INDEX([1]Pivot!$B$1:$AB$65000,$B797,H$5)="",2,0)),0)</f>
        <v>0</v>
      </c>
      <c r="I797" s="194">
        <f>IFERROR(IF(INDEX([1]Pivot!$AD$1:$BE$65000,$B797,I$5)=1,1,IF(INDEX([1]Pivot!$B$1:$AB$65000,$B797,I$5)="",2,0)),0)</f>
        <v>0</v>
      </c>
      <c r="J797" s="194">
        <f>IFERROR(IF(INDEX([1]Pivot!$AD$1:$BE$65000,$B797,J$5)=1,1,IF(INDEX([1]Pivot!$B$1:$AB$65000,$B797,J$5)="",2,0)),0)</f>
        <v>0</v>
      </c>
      <c r="K797" s="194">
        <f>IFERROR(IF(INDEX([1]Pivot!$AD$1:$BE$65000,$B797,K$5)=1,1,IF(INDEX([1]Pivot!$B$1:$AB$65000,$B797,K$5)="",2,0)),0)</f>
        <v>0</v>
      </c>
      <c r="L797" s="194">
        <f>IFERROR(IF(INDEX([1]Pivot!$AD$1:$BE$65000,$B797,L$5)=1,1,IF(INDEX([1]Pivot!$B$1:$AB$65000,$B797,L$5)="",2,0)),0)</f>
        <v>0</v>
      </c>
      <c r="M797" s="194">
        <f>IFERROR(IF(INDEX([1]Pivot!$AD$1:$BE$65000,$B797,M$5)=1,1,IF(INDEX([1]Pivot!$B$1:$AB$65000,$B797,M$5)="",2,0)),0)</f>
        <v>0</v>
      </c>
      <c r="N797" s="194">
        <f>IFERROR(IF(INDEX([1]Pivot!$AD$1:$BE$65000,$B797,N$5)=1,1,IF(INDEX([1]Pivot!$B$1:$AB$65000,$B797,N$5)="",2,0)),0)</f>
        <v>0</v>
      </c>
      <c r="O797" s="194">
        <f>IFERROR(IF(INDEX([1]Pivot!$AD$1:$BE$65000,$B797,O$5)=1,1,IF(INDEX([1]Pivot!$B$1:$AB$65000,$B797,O$5)="",2,0)),0)</f>
        <v>0</v>
      </c>
      <c r="P797" s="194">
        <f>IFERROR(IF(INDEX([1]Pivot!$AD$1:$BE$65000,$B797,P$5)=1,1,IF(INDEX([1]Pivot!$B$1:$AB$65000,$B797,P$5)="",2,0)),0)</f>
        <v>0</v>
      </c>
      <c r="Q797" s="194">
        <f>IFERROR(IF(INDEX([1]Pivot!$AD$1:$BE$65000,$B797,Q$5)=1,1,IF(INDEX([1]Pivot!$B$1:$AB$65000,$B797,Q$5)="",2,0)),0)</f>
        <v>0</v>
      </c>
      <c r="R797" s="312"/>
      <c r="S797" s="194">
        <f>IFERROR(IF(INDEX([1]Pivot!$AD$1:$BE$65000,$B797,S$5)=1,1,IF(INDEX([1]Pivot!$B$1:$AB$65000,$B797,S$5)="",2,0)),0)</f>
        <v>0</v>
      </c>
      <c r="T797" s="194">
        <f>IFERROR(IF(INDEX([1]Pivot!$AD$1:$BE$65000,$B797,T$5)=1,1,IF(INDEX([1]Pivot!$B$1:$AB$65000,$B797,T$5)="",2,0)),0)</f>
        <v>0</v>
      </c>
      <c r="U797" s="194">
        <f>IFERROR(IF(INDEX([1]Pivot!$AD$1:$BE$65000,$B797,U$5)=1,1,IF(INDEX([1]Pivot!$B$1:$AB$65000,$B797,U$5)="",2,0)),0)</f>
        <v>0</v>
      </c>
      <c r="V797" s="194">
        <f>IFERROR(IF(INDEX([1]Pivot!$AD$1:$BE$65000,$B797,V$5)=1,1,IF(INDEX([1]Pivot!$B$1:$AB$65000,$B797,V$5)="",2,0)),0)</f>
        <v>0</v>
      </c>
      <c r="W797" s="194">
        <f>IFERROR(IF(INDEX([1]Pivot!$AD$1:$BE$65000,$B797,W$5)=1,1,IF(INDEX([1]Pivot!$B$1:$AB$65000,$B797,W$5)="",2,0)),0)</f>
        <v>0</v>
      </c>
      <c r="X797" s="194">
        <f>IFERROR(IF(INDEX([1]Pivot!$AD$1:$BE$65000,$B797,X$5)=1,1,IF(INDEX([1]Pivot!$B$1:$AB$65000,$B797,X$5)="",2,0)),0)</f>
        <v>0</v>
      </c>
      <c r="Y797" s="194">
        <f>IFERROR(IF(INDEX([1]Pivot!$AD$1:$BE$65000,$B797,Y$5)=1,1,IF(INDEX([1]Pivot!$B$1:$AB$65000,$B797,Y$5)="",2,0)),0)</f>
        <v>0</v>
      </c>
      <c r="Z797" s="194">
        <f>IFERROR(IF(INDEX([1]Pivot!$AD$1:$BE$65000,$B797,Z$5)=1,1,IF(INDEX([1]Pivot!$B$1:$AB$65000,$B797,Z$5)="",2,0)),0)</f>
        <v>0</v>
      </c>
      <c r="AA797" s="194">
        <f>IFERROR(IF(INDEX([1]Pivot!$AD$1:$BE$65000,$B797,AA$5)=1,1,IF(INDEX([1]Pivot!$B$1:$AB$65000,$B797,AA$5)="",2,0)),0)</f>
        <v>0</v>
      </c>
      <c r="AB797" s="194">
        <f>IFERROR(IF(INDEX([1]Pivot!$AD$1:$BE$65000,$B797,AB$5)=1,1,IF(INDEX([1]Pivot!$B$1:$AB$65000,$B797,AB$5)="",2,0)),0)</f>
        <v>0</v>
      </c>
      <c r="AC797" s="194">
        <f>IFERROR(IF(INDEX([1]Pivot!$AD$1:$BE$65000,$B797,AC$5)=1,1,IF(INDEX([1]Pivot!$B$1:$AB$65000,$B797,AC$5)="",2,0)),0)</f>
        <v>0</v>
      </c>
      <c r="AD797" s="313">
        <f>IFERROR(IF(INDEX([1]Pivot!$BF$1:$CG$65000,$B797,AD$5)=1,1,IF(INDEX([1]Pivot!$B$1:$AB$65000,$B797,AD$5)="",2,0)),0)</f>
        <v>0</v>
      </c>
      <c r="AE797" s="313">
        <f>IFERROR(IF(INDEX([1]Pivot!$BF$1:$CG$65000,$B797,AE$5)=1,1,IF(INDEX([1]Pivot!$B$1:$AB$65000,$B797,AE$5)="",2,0)),0)</f>
        <v>0</v>
      </c>
      <c r="AF797" s="313">
        <f>IFERROR(IF(INDEX([1]Pivot!$BF$1:$CG$65000,$B797,AF$5)=1,1,IF(INDEX([1]Pivot!$B$1:$AB$65000,$B797,AF$5)="",2,0)),0)</f>
        <v>0</v>
      </c>
      <c r="AG797" s="313">
        <f>IFERROR(IF(INDEX([1]Pivot!$BF$1:$CG$65000,$B797,AG$5)=1,1,IF(INDEX([1]Pivot!$B$1:$AB$65000,$B797,AG$5)="",2,0)),0)</f>
        <v>0</v>
      </c>
      <c r="AH797" s="313">
        <f>IFERROR(IF(INDEX([1]Pivot!$BF$1:$CG$65000,$B797,AH$5)=1,1,IF(INDEX([1]Pivot!$B$1:$AB$65000,$B797,AH$5)="",2,0)),0)</f>
        <v>0</v>
      </c>
      <c r="AI797" s="313">
        <f>IFERROR(IF(INDEX([1]Pivot!$BF$1:$CG$65000,$B797,AI$5)=1,1,IF(INDEX([1]Pivot!$B$1:$AB$65000,$B797,AI$5)="",2,0)),0)</f>
        <v>0</v>
      </c>
      <c r="AJ797" s="313">
        <f>IFERROR(IF(INDEX([1]Pivot!$BF$1:$CG$65000,$B797,AJ$5)=1,1,IF(INDEX([1]Pivot!$B$1:$AB$65000,$B797,AJ$5)="",2,0)),0)</f>
        <v>0</v>
      </c>
      <c r="AK797" s="313">
        <f>IFERROR(IF(INDEX([1]Pivot!$BF$1:$CG$65000,$B797,AK$5)=1,1,IF(INDEX([1]Pivot!$B$1:$AB$65000,$B797,AK$5)="",2,0)),0)</f>
        <v>0</v>
      </c>
      <c r="AL797" s="313">
        <f>IFERROR(IF(INDEX([1]Pivot!$BF$1:$CG$65000,$B797,AL$5)=1,1,IF(INDEX([1]Pivot!$B$1:$AB$65000,$B797,AL$5)="",2,0)),0)</f>
        <v>0</v>
      </c>
      <c r="AM797" s="313">
        <f>IFERROR(IF(INDEX([1]Pivot!$BF$1:$CG$65000,$B797,AM$5)=1,1,IF(INDEX([1]Pivot!$B$1:$AB$65000,$B797,AM$5)="",2,0)),0)</f>
        <v>0</v>
      </c>
      <c r="AN797" s="313">
        <f>IFERROR(IF(INDEX([1]Pivot!$BF$1:$CG$65000,$B797,AN$5)=1,1,IF(INDEX([1]Pivot!$B$1:$AB$65000,$B797,AN$5)="",2,0)),0)</f>
        <v>0</v>
      </c>
      <c r="AO797" s="313">
        <f>IFERROR(IF(INDEX([1]Pivot!$BF$1:$CG$65000,$B797,AO$5)=1,1,IF(INDEX([1]Pivot!$B$1:$AB$65000,$B797,AO$5)="",2,0)),0)</f>
        <v>0</v>
      </c>
      <c r="AP797" s="313">
        <f>IFERROR(IF(INDEX([1]Pivot!$BF$1:$CG$65000,$B797,AP$5)=1,1,IF(INDEX([1]Pivot!$B$1:$AB$65000,$B797,AP$5)="",2,0)),0)</f>
        <v>0</v>
      </c>
      <c r="AQ797" s="313">
        <f>IFERROR(IF(INDEX([1]Pivot!$BF$1:$CG$65000,$B797,AQ$5)=1,1,IF(INDEX([1]Pivot!$B$1:$AB$65000,$B797,AQ$5)="",2,0)),0)</f>
        <v>0</v>
      </c>
      <c r="AR797" s="313">
        <f>IFERROR(IF(INDEX([1]Pivot!$BF$1:$CG$65000,$B797,AR$5)=1,1,IF(INDEX([1]Pivot!$B$1:$AB$65000,$B797,AR$5)="",2,0)),0)</f>
        <v>0</v>
      </c>
      <c r="AS797" s="312"/>
      <c r="AT797" s="313">
        <f>IFERROR(IF(INDEX([1]Pivot!$BF$1:$CG$65000,$B797,AT$5)=1,1,IF(INDEX([1]Pivot!$B$1:$AB$65000,$B797,AT$5)="",2,0)),0)</f>
        <v>0</v>
      </c>
      <c r="AU797" s="313">
        <f>IFERROR(IF(INDEX([1]Pivot!$BF$1:$CG$65000,$B797,AU$5)=1,1,IF(INDEX([1]Pivot!$B$1:$AB$65000,$B797,AU$5)="",2,0)),0)</f>
        <v>0</v>
      </c>
      <c r="AV797" s="313">
        <f>IFERROR(IF(INDEX([1]Pivot!$BF$1:$CG$65000,$B797,AV$5)=1,1,IF(INDEX([1]Pivot!$B$1:$AB$65000,$B797,AV$5)="",2,0)),0)</f>
        <v>0</v>
      </c>
      <c r="AW797" s="313">
        <f>IFERROR(IF(INDEX([1]Pivot!$BF$1:$CG$65000,$B797,AW$5)=1,1,IF(INDEX([1]Pivot!$B$1:$AB$65000,$B797,AW$5)="",2,0)),0)</f>
        <v>0</v>
      </c>
      <c r="AX797" s="313">
        <f>IFERROR(IF(INDEX([1]Pivot!$BF$1:$CG$65000,$B797,AX$5)=1,1,IF(INDEX([1]Pivot!$B$1:$AB$65000,$B797,AX$5)="",2,0)),0)</f>
        <v>0</v>
      </c>
      <c r="AY797" s="313">
        <f>IFERROR(IF(INDEX([1]Pivot!$BF$1:$CG$65000,$B797,AY$5)=1,1,IF(INDEX([1]Pivot!$B$1:$AB$65000,$B797,AY$5)="",2,0)),0)</f>
        <v>0</v>
      </c>
      <c r="AZ797" s="313">
        <f>IFERROR(IF(INDEX([1]Pivot!$BF$1:$CG$65000,$B797,AZ$5)=1,1,IF(INDEX([1]Pivot!$B$1:$AB$65000,$B797,AZ$5)="",2,0)),0)</f>
        <v>0</v>
      </c>
      <c r="BA797" s="313">
        <f>IFERROR(IF(INDEX([1]Pivot!$BF$1:$CG$65000,$B797,BA$5)=1,1,IF(INDEX([1]Pivot!$B$1:$AB$65000,$B797,BA$5)="",2,0)),0)</f>
        <v>0</v>
      </c>
      <c r="BB797" s="313">
        <f>IFERROR(IF(INDEX([1]Pivot!$BF$1:$CG$65000,$B797,BB$5)=1,1,IF(INDEX([1]Pivot!$B$1:$AB$65000,$B797,BB$5)="",2,0)),0)</f>
        <v>0</v>
      </c>
      <c r="BC797" s="313">
        <f>IFERROR(IF(INDEX([1]Pivot!$BF$1:$CG$65000,$B797,BC$5)=1,1,IF(INDEX([1]Pivot!$B$1:$AB$65000,$B797,BC$5)="",2,0)),0)</f>
        <v>0</v>
      </c>
      <c r="BD797" s="313">
        <f>IFERROR(IF(INDEX([1]Pivot!$BF$1:$CG$65000,$B797,BD$5)=1,1,IF(INDEX([1]Pivot!$B$1:$AB$65000,$B797,BD$5)="",2,0)),0)</f>
        <v>0</v>
      </c>
    </row>
    <row r="798" spans="1:56" x14ac:dyDescent="0.25">
      <c r="A798" s="288">
        <f>'[2]Raw Milk Prices'!A798</f>
        <v>0</v>
      </c>
      <c r="B798" s="296" t="e">
        <f>MATCH(DATE(LEFT('[2]Raw Milk Prices'!$A798,4),RIGHT('[2]Raw Milk Prices'!$A798,2),1),[1]Pivot!$A$1:$A$65000,0)</f>
        <v>#VALUE!</v>
      </c>
      <c r="C798" s="194">
        <f>IFERROR(IF(INDEX([1]Pivot!$AD$1:$BE$65000,$B798,C$5)=1,1,IF(INDEX([1]Pivot!$B$1:$AB$65000,$B798,C$5)="",2,0)),0)</f>
        <v>0</v>
      </c>
      <c r="D798" s="194">
        <f>IFERROR(IF(INDEX([1]Pivot!$AD$1:$BE$65000,$B798,D$5)=1,1,IF(INDEX([1]Pivot!$B$1:$AB$65000,$B798,D$5)="",2,0)),0)</f>
        <v>0</v>
      </c>
      <c r="E798" s="194">
        <f>IFERROR(IF(INDEX([1]Pivot!$AD$1:$BE$65000,$B798,E$5)=1,1,IF(INDEX([1]Pivot!$B$1:$AB$65000,$B798,E$5)="",2,0)),0)</f>
        <v>0</v>
      </c>
      <c r="F798" s="194">
        <f>IFERROR(IF(INDEX([1]Pivot!$AD$1:$BE$65000,$B798,F$5)=1,1,IF(INDEX([1]Pivot!$B$1:$AB$65000,$B798,F$5)="",2,0)),0)</f>
        <v>0</v>
      </c>
      <c r="G798" s="194">
        <f>IFERROR(IF(INDEX([1]Pivot!$AD$1:$BE$65000,$B798,G$5)=1,1,IF(INDEX([1]Pivot!$B$1:$AB$65000,$B798,G$5)="",2,0)),0)</f>
        <v>0</v>
      </c>
      <c r="H798" s="194">
        <f>IFERROR(IF(INDEX([1]Pivot!$AD$1:$BE$65000,$B798,H$5)=1,1,IF(INDEX([1]Pivot!$B$1:$AB$65000,$B798,H$5)="",2,0)),0)</f>
        <v>0</v>
      </c>
      <c r="I798" s="194">
        <f>IFERROR(IF(INDEX([1]Pivot!$AD$1:$BE$65000,$B798,I$5)=1,1,IF(INDEX([1]Pivot!$B$1:$AB$65000,$B798,I$5)="",2,0)),0)</f>
        <v>0</v>
      </c>
      <c r="J798" s="194">
        <f>IFERROR(IF(INDEX([1]Pivot!$AD$1:$BE$65000,$B798,J$5)=1,1,IF(INDEX([1]Pivot!$B$1:$AB$65000,$B798,J$5)="",2,0)),0)</f>
        <v>0</v>
      </c>
      <c r="K798" s="194">
        <f>IFERROR(IF(INDEX([1]Pivot!$AD$1:$BE$65000,$B798,K$5)=1,1,IF(INDEX([1]Pivot!$B$1:$AB$65000,$B798,K$5)="",2,0)),0)</f>
        <v>0</v>
      </c>
      <c r="L798" s="194">
        <f>IFERROR(IF(INDEX([1]Pivot!$AD$1:$BE$65000,$B798,L$5)=1,1,IF(INDEX([1]Pivot!$B$1:$AB$65000,$B798,L$5)="",2,0)),0)</f>
        <v>0</v>
      </c>
      <c r="M798" s="194">
        <f>IFERROR(IF(INDEX([1]Pivot!$AD$1:$BE$65000,$B798,M$5)=1,1,IF(INDEX([1]Pivot!$B$1:$AB$65000,$B798,M$5)="",2,0)),0)</f>
        <v>0</v>
      </c>
      <c r="N798" s="194">
        <f>IFERROR(IF(INDEX([1]Pivot!$AD$1:$BE$65000,$B798,N$5)=1,1,IF(INDEX([1]Pivot!$B$1:$AB$65000,$B798,N$5)="",2,0)),0)</f>
        <v>0</v>
      </c>
      <c r="O798" s="194">
        <f>IFERROR(IF(INDEX([1]Pivot!$AD$1:$BE$65000,$B798,O$5)=1,1,IF(INDEX([1]Pivot!$B$1:$AB$65000,$B798,O$5)="",2,0)),0)</f>
        <v>0</v>
      </c>
      <c r="P798" s="194">
        <f>IFERROR(IF(INDEX([1]Pivot!$AD$1:$BE$65000,$B798,P$5)=1,1,IF(INDEX([1]Pivot!$B$1:$AB$65000,$B798,P$5)="",2,0)),0)</f>
        <v>0</v>
      </c>
      <c r="Q798" s="194">
        <f>IFERROR(IF(INDEX([1]Pivot!$AD$1:$BE$65000,$B798,Q$5)=1,1,IF(INDEX([1]Pivot!$B$1:$AB$65000,$B798,Q$5)="",2,0)),0)</f>
        <v>0</v>
      </c>
      <c r="R798" s="312"/>
      <c r="S798" s="194">
        <f>IFERROR(IF(INDEX([1]Pivot!$AD$1:$BE$65000,$B798,S$5)=1,1,IF(INDEX([1]Pivot!$B$1:$AB$65000,$B798,S$5)="",2,0)),0)</f>
        <v>0</v>
      </c>
      <c r="T798" s="194">
        <f>IFERROR(IF(INDEX([1]Pivot!$AD$1:$BE$65000,$B798,T$5)=1,1,IF(INDEX([1]Pivot!$B$1:$AB$65000,$B798,T$5)="",2,0)),0)</f>
        <v>0</v>
      </c>
      <c r="U798" s="194">
        <f>IFERROR(IF(INDEX([1]Pivot!$AD$1:$BE$65000,$B798,U$5)=1,1,IF(INDEX([1]Pivot!$B$1:$AB$65000,$B798,U$5)="",2,0)),0)</f>
        <v>0</v>
      </c>
      <c r="V798" s="194">
        <f>IFERROR(IF(INDEX([1]Pivot!$AD$1:$BE$65000,$B798,V$5)=1,1,IF(INDEX([1]Pivot!$B$1:$AB$65000,$B798,V$5)="",2,0)),0)</f>
        <v>0</v>
      </c>
      <c r="W798" s="194">
        <f>IFERROR(IF(INDEX([1]Pivot!$AD$1:$BE$65000,$B798,W$5)=1,1,IF(INDEX([1]Pivot!$B$1:$AB$65000,$B798,W$5)="",2,0)),0)</f>
        <v>0</v>
      </c>
      <c r="X798" s="194">
        <f>IFERROR(IF(INDEX([1]Pivot!$AD$1:$BE$65000,$B798,X$5)=1,1,IF(INDEX([1]Pivot!$B$1:$AB$65000,$B798,X$5)="",2,0)),0)</f>
        <v>0</v>
      </c>
      <c r="Y798" s="194">
        <f>IFERROR(IF(INDEX([1]Pivot!$AD$1:$BE$65000,$B798,Y$5)=1,1,IF(INDEX([1]Pivot!$B$1:$AB$65000,$B798,Y$5)="",2,0)),0)</f>
        <v>0</v>
      </c>
      <c r="Z798" s="194">
        <f>IFERROR(IF(INDEX([1]Pivot!$AD$1:$BE$65000,$B798,Z$5)=1,1,IF(INDEX([1]Pivot!$B$1:$AB$65000,$B798,Z$5)="",2,0)),0)</f>
        <v>0</v>
      </c>
      <c r="AA798" s="194">
        <f>IFERROR(IF(INDEX([1]Pivot!$AD$1:$BE$65000,$B798,AA$5)=1,1,IF(INDEX([1]Pivot!$B$1:$AB$65000,$B798,AA$5)="",2,0)),0)</f>
        <v>0</v>
      </c>
      <c r="AB798" s="194">
        <f>IFERROR(IF(INDEX([1]Pivot!$AD$1:$BE$65000,$B798,AB$5)=1,1,IF(INDEX([1]Pivot!$B$1:$AB$65000,$B798,AB$5)="",2,0)),0)</f>
        <v>0</v>
      </c>
      <c r="AC798" s="194">
        <f>IFERROR(IF(INDEX([1]Pivot!$AD$1:$BE$65000,$B798,AC$5)=1,1,IF(INDEX([1]Pivot!$B$1:$AB$65000,$B798,AC$5)="",2,0)),0)</f>
        <v>0</v>
      </c>
      <c r="AD798" s="313">
        <f>IFERROR(IF(INDEX([1]Pivot!$BF$1:$CG$65000,$B798,AD$5)=1,1,IF(INDEX([1]Pivot!$B$1:$AB$65000,$B798,AD$5)="",2,0)),0)</f>
        <v>0</v>
      </c>
      <c r="AE798" s="313">
        <f>IFERROR(IF(INDEX([1]Pivot!$BF$1:$CG$65000,$B798,AE$5)=1,1,IF(INDEX([1]Pivot!$B$1:$AB$65000,$B798,AE$5)="",2,0)),0)</f>
        <v>0</v>
      </c>
      <c r="AF798" s="313">
        <f>IFERROR(IF(INDEX([1]Pivot!$BF$1:$CG$65000,$B798,AF$5)=1,1,IF(INDEX([1]Pivot!$B$1:$AB$65000,$B798,AF$5)="",2,0)),0)</f>
        <v>0</v>
      </c>
      <c r="AG798" s="313">
        <f>IFERROR(IF(INDEX([1]Pivot!$BF$1:$CG$65000,$B798,AG$5)=1,1,IF(INDEX([1]Pivot!$B$1:$AB$65000,$B798,AG$5)="",2,0)),0)</f>
        <v>0</v>
      </c>
      <c r="AH798" s="313">
        <f>IFERROR(IF(INDEX([1]Pivot!$BF$1:$CG$65000,$B798,AH$5)=1,1,IF(INDEX([1]Pivot!$B$1:$AB$65000,$B798,AH$5)="",2,0)),0)</f>
        <v>0</v>
      </c>
      <c r="AI798" s="313">
        <f>IFERROR(IF(INDEX([1]Pivot!$BF$1:$CG$65000,$B798,AI$5)=1,1,IF(INDEX([1]Pivot!$B$1:$AB$65000,$B798,AI$5)="",2,0)),0)</f>
        <v>0</v>
      </c>
      <c r="AJ798" s="313">
        <f>IFERROR(IF(INDEX([1]Pivot!$BF$1:$CG$65000,$B798,AJ$5)=1,1,IF(INDEX([1]Pivot!$B$1:$AB$65000,$B798,AJ$5)="",2,0)),0)</f>
        <v>0</v>
      </c>
      <c r="AK798" s="313">
        <f>IFERROR(IF(INDEX([1]Pivot!$BF$1:$CG$65000,$B798,AK$5)=1,1,IF(INDEX([1]Pivot!$B$1:$AB$65000,$B798,AK$5)="",2,0)),0)</f>
        <v>0</v>
      </c>
      <c r="AL798" s="313">
        <f>IFERROR(IF(INDEX([1]Pivot!$BF$1:$CG$65000,$B798,AL$5)=1,1,IF(INDEX([1]Pivot!$B$1:$AB$65000,$B798,AL$5)="",2,0)),0)</f>
        <v>0</v>
      </c>
      <c r="AM798" s="313">
        <f>IFERROR(IF(INDEX([1]Pivot!$BF$1:$CG$65000,$B798,AM$5)=1,1,IF(INDEX([1]Pivot!$B$1:$AB$65000,$B798,AM$5)="",2,0)),0)</f>
        <v>0</v>
      </c>
      <c r="AN798" s="313">
        <f>IFERROR(IF(INDEX([1]Pivot!$BF$1:$CG$65000,$B798,AN$5)=1,1,IF(INDEX([1]Pivot!$B$1:$AB$65000,$B798,AN$5)="",2,0)),0)</f>
        <v>0</v>
      </c>
      <c r="AO798" s="313">
        <f>IFERROR(IF(INDEX([1]Pivot!$BF$1:$CG$65000,$B798,AO$5)=1,1,IF(INDEX([1]Pivot!$B$1:$AB$65000,$B798,AO$5)="",2,0)),0)</f>
        <v>0</v>
      </c>
      <c r="AP798" s="313">
        <f>IFERROR(IF(INDEX([1]Pivot!$BF$1:$CG$65000,$B798,AP$5)=1,1,IF(INDEX([1]Pivot!$B$1:$AB$65000,$B798,AP$5)="",2,0)),0)</f>
        <v>0</v>
      </c>
      <c r="AQ798" s="313">
        <f>IFERROR(IF(INDEX([1]Pivot!$BF$1:$CG$65000,$B798,AQ$5)=1,1,IF(INDEX([1]Pivot!$B$1:$AB$65000,$B798,AQ$5)="",2,0)),0)</f>
        <v>0</v>
      </c>
      <c r="AR798" s="313">
        <f>IFERROR(IF(INDEX([1]Pivot!$BF$1:$CG$65000,$B798,AR$5)=1,1,IF(INDEX([1]Pivot!$B$1:$AB$65000,$B798,AR$5)="",2,0)),0)</f>
        <v>0</v>
      </c>
      <c r="AS798" s="312"/>
      <c r="AT798" s="313">
        <f>IFERROR(IF(INDEX([1]Pivot!$BF$1:$CG$65000,$B798,AT$5)=1,1,IF(INDEX([1]Pivot!$B$1:$AB$65000,$B798,AT$5)="",2,0)),0)</f>
        <v>0</v>
      </c>
      <c r="AU798" s="313">
        <f>IFERROR(IF(INDEX([1]Pivot!$BF$1:$CG$65000,$B798,AU$5)=1,1,IF(INDEX([1]Pivot!$B$1:$AB$65000,$B798,AU$5)="",2,0)),0)</f>
        <v>0</v>
      </c>
      <c r="AV798" s="313">
        <f>IFERROR(IF(INDEX([1]Pivot!$BF$1:$CG$65000,$B798,AV$5)=1,1,IF(INDEX([1]Pivot!$B$1:$AB$65000,$B798,AV$5)="",2,0)),0)</f>
        <v>0</v>
      </c>
      <c r="AW798" s="313">
        <f>IFERROR(IF(INDEX([1]Pivot!$BF$1:$CG$65000,$B798,AW$5)=1,1,IF(INDEX([1]Pivot!$B$1:$AB$65000,$B798,AW$5)="",2,0)),0)</f>
        <v>0</v>
      </c>
      <c r="AX798" s="313">
        <f>IFERROR(IF(INDEX([1]Pivot!$BF$1:$CG$65000,$B798,AX$5)=1,1,IF(INDEX([1]Pivot!$B$1:$AB$65000,$B798,AX$5)="",2,0)),0)</f>
        <v>0</v>
      </c>
      <c r="AY798" s="313">
        <f>IFERROR(IF(INDEX([1]Pivot!$BF$1:$CG$65000,$B798,AY$5)=1,1,IF(INDEX([1]Pivot!$B$1:$AB$65000,$B798,AY$5)="",2,0)),0)</f>
        <v>0</v>
      </c>
      <c r="AZ798" s="313">
        <f>IFERROR(IF(INDEX([1]Pivot!$BF$1:$CG$65000,$B798,AZ$5)=1,1,IF(INDEX([1]Pivot!$B$1:$AB$65000,$B798,AZ$5)="",2,0)),0)</f>
        <v>0</v>
      </c>
      <c r="BA798" s="313">
        <f>IFERROR(IF(INDEX([1]Pivot!$BF$1:$CG$65000,$B798,BA$5)=1,1,IF(INDEX([1]Pivot!$B$1:$AB$65000,$B798,BA$5)="",2,0)),0)</f>
        <v>0</v>
      </c>
      <c r="BB798" s="313">
        <f>IFERROR(IF(INDEX([1]Pivot!$BF$1:$CG$65000,$B798,BB$5)=1,1,IF(INDEX([1]Pivot!$B$1:$AB$65000,$B798,BB$5)="",2,0)),0)</f>
        <v>0</v>
      </c>
      <c r="BC798" s="313">
        <f>IFERROR(IF(INDEX([1]Pivot!$BF$1:$CG$65000,$B798,BC$5)=1,1,IF(INDEX([1]Pivot!$B$1:$AB$65000,$B798,BC$5)="",2,0)),0)</f>
        <v>0</v>
      </c>
      <c r="BD798" s="313">
        <f>IFERROR(IF(INDEX([1]Pivot!$BF$1:$CG$65000,$B798,BD$5)=1,1,IF(INDEX([1]Pivot!$B$1:$AB$65000,$B798,BD$5)="",2,0)),0)</f>
        <v>0</v>
      </c>
    </row>
    <row r="799" spans="1:56" x14ac:dyDescent="0.25">
      <c r="A799" s="288">
        <f>'[2]Raw Milk Prices'!A799</f>
        <v>0</v>
      </c>
      <c r="B799" s="296" t="e">
        <f>MATCH(DATE(LEFT('[2]Raw Milk Prices'!$A799,4),RIGHT('[2]Raw Milk Prices'!$A799,2),1),[1]Pivot!$A$1:$A$65000,0)</f>
        <v>#VALUE!</v>
      </c>
      <c r="C799" s="194">
        <f>IFERROR(IF(INDEX([1]Pivot!$AD$1:$BE$65000,$B799,C$5)=1,1,IF(INDEX([1]Pivot!$B$1:$AB$65000,$B799,C$5)="",2,0)),0)</f>
        <v>0</v>
      </c>
      <c r="D799" s="194">
        <f>IFERROR(IF(INDEX([1]Pivot!$AD$1:$BE$65000,$B799,D$5)=1,1,IF(INDEX([1]Pivot!$B$1:$AB$65000,$B799,D$5)="",2,0)),0)</f>
        <v>0</v>
      </c>
      <c r="E799" s="194">
        <f>IFERROR(IF(INDEX([1]Pivot!$AD$1:$BE$65000,$B799,E$5)=1,1,IF(INDEX([1]Pivot!$B$1:$AB$65000,$B799,E$5)="",2,0)),0)</f>
        <v>0</v>
      </c>
      <c r="F799" s="194">
        <f>IFERROR(IF(INDEX([1]Pivot!$AD$1:$BE$65000,$B799,F$5)=1,1,IF(INDEX([1]Pivot!$B$1:$AB$65000,$B799,F$5)="",2,0)),0)</f>
        <v>0</v>
      </c>
      <c r="G799" s="194">
        <f>IFERROR(IF(INDEX([1]Pivot!$AD$1:$BE$65000,$B799,G$5)=1,1,IF(INDEX([1]Pivot!$B$1:$AB$65000,$B799,G$5)="",2,0)),0)</f>
        <v>0</v>
      </c>
      <c r="H799" s="194">
        <f>IFERROR(IF(INDEX([1]Pivot!$AD$1:$BE$65000,$B799,H$5)=1,1,IF(INDEX([1]Pivot!$B$1:$AB$65000,$B799,H$5)="",2,0)),0)</f>
        <v>0</v>
      </c>
      <c r="I799" s="194">
        <f>IFERROR(IF(INDEX([1]Pivot!$AD$1:$BE$65000,$B799,I$5)=1,1,IF(INDEX([1]Pivot!$B$1:$AB$65000,$B799,I$5)="",2,0)),0)</f>
        <v>0</v>
      </c>
      <c r="J799" s="194">
        <f>IFERROR(IF(INDEX([1]Pivot!$AD$1:$BE$65000,$B799,J$5)=1,1,IF(INDEX([1]Pivot!$B$1:$AB$65000,$B799,J$5)="",2,0)),0)</f>
        <v>0</v>
      </c>
      <c r="K799" s="194">
        <f>IFERROR(IF(INDEX([1]Pivot!$AD$1:$BE$65000,$B799,K$5)=1,1,IF(INDEX([1]Pivot!$B$1:$AB$65000,$B799,K$5)="",2,0)),0)</f>
        <v>0</v>
      </c>
      <c r="L799" s="194">
        <f>IFERROR(IF(INDEX([1]Pivot!$AD$1:$BE$65000,$B799,L$5)=1,1,IF(INDEX([1]Pivot!$B$1:$AB$65000,$B799,L$5)="",2,0)),0)</f>
        <v>0</v>
      </c>
      <c r="M799" s="194">
        <f>IFERROR(IF(INDEX([1]Pivot!$AD$1:$BE$65000,$B799,M$5)=1,1,IF(INDEX([1]Pivot!$B$1:$AB$65000,$B799,M$5)="",2,0)),0)</f>
        <v>0</v>
      </c>
      <c r="N799" s="194">
        <f>IFERROR(IF(INDEX([1]Pivot!$AD$1:$BE$65000,$B799,N$5)=1,1,IF(INDEX([1]Pivot!$B$1:$AB$65000,$B799,N$5)="",2,0)),0)</f>
        <v>0</v>
      </c>
      <c r="O799" s="194">
        <f>IFERROR(IF(INDEX([1]Pivot!$AD$1:$BE$65000,$B799,O$5)=1,1,IF(INDEX([1]Pivot!$B$1:$AB$65000,$B799,O$5)="",2,0)),0)</f>
        <v>0</v>
      </c>
      <c r="P799" s="194">
        <f>IFERROR(IF(INDEX([1]Pivot!$AD$1:$BE$65000,$B799,P$5)=1,1,IF(INDEX([1]Pivot!$B$1:$AB$65000,$B799,P$5)="",2,0)),0)</f>
        <v>0</v>
      </c>
      <c r="Q799" s="194">
        <f>IFERROR(IF(INDEX([1]Pivot!$AD$1:$BE$65000,$B799,Q$5)=1,1,IF(INDEX([1]Pivot!$B$1:$AB$65000,$B799,Q$5)="",2,0)),0)</f>
        <v>0</v>
      </c>
      <c r="R799" s="312"/>
      <c r="S799" s="194">
        <f>IFERROR(IF(INDEX([1]Pivot!$AD$1:$BE$65000,$B799,S$5)=1,1,IF(INDEX([1]Pivot!$B$1:$AB$65000,$B799,S$5)="",2,0)),0)</f>
        <v>0</v>
      </c>
      <c r="T799" s="194">
        <f>IFERROR(IF(INDEX([1]Pivot!$AD$1:$BE$65000,$B799,T$5)=1,1,IF(INDEX([1]Pivot!$B$1:$AB$65000,$B799,T$5)="",2,0)),0)</f>
        <v>0</v>
      </c>
      <c r="U799" s="194">
        <f>IFERROR(IF(INDEX([1]Pivot!$AD$1:$BE$65000,$B799,U$5)=1,1,IF(INDEX([1]Pivot!$B$1:$AB$65000,$B799,U$5)="",2,0)),0)</f>
        <v>0</v>
      </c>
      <c r="V799" s="194">
        <f>IFERROR(IF(INDEX([1]Pivot!$AD$1:$BE$65000,$B799,V$5)=1,1,IF(INDEX([1]Pivot!$B$1:$AB$65000,$B799,V$5)="",2,0)),0)</f>
        <v>0</v>
      </c>
      <c r="W799" s="194">
        <f>IFERROR(IF(INDEX([1]Pivot!$AD$1:$BE$65000,$B799,W$5)=1,1,IF(INDEX([1]Pivot!$B$1:$AB$65000,$B799,W$5)="",2,0)),0)</f>
        <v>0</v>
      </c>
      <c r="X799" s="194">
        <f>IFERROR(IF(INDEX([1]Pivot!$AD$1:$BE$65000,$B799,X$5)=1,1,IF(INDEX([1]Pivot!$B$1:$AB$65000,$B799,X$5)="",2,0)),0)</f>
        <v>0</v>
      </c>
      <c r="Y799" s="194">
        <f>IFERROR(IF(INDEX([1]Pivot!$AD$1:$BE$65000,$B799,Y$5)=1,1,IF(INDEX([1]Pivot!$B$1:$AB$65000,$B799,Y$5)="",2,0)),0)</f>
        <v>0</v>
      </c>
      <c r="Z799" s="194">
        <f>IFERROR(IF(INDEX([1]Pivot!$AD$1:$BE$65000,$B799,Z$5)=1,1,IF(INDEX([1]Pivot!$B$1:$AB$65000,$B799,Z$5)="",2,0)),0)</f>
        <v>0</v>
      </c>
      <c r="AA799" s="194">
        <f>IFERROR(IF(INDEX([1]Pivot!$AD$1:$BE$65000,$B799,AA$5)=1,1,IF(INDEX([1]Pivot!$B$1:$AB$65000,$B799,AA$5)="",2,0)),0)</f>
        <v>0</v>
      </c>
      <c r="AB799" s="194">
        <f>IFERROR(IF(INDEX([1]Pivot!$AD$1:$BE$65000,$B799,AB$5)=1,1,IF(INDEX([1]Pivot!$B$1:$AB$65000,$B799,AB$5)="",2,0)),0)</f>
        <v>0</v>
      </c>
      <c r="AC799" s="194">
        <f>IFERROR(IF(INDEX([1]Pivot!$AD$1:$BE$65000,$B799,AC$5)=1,1,IF(INDEX([1]Pivot!$B$1:$AB$65000,$B799,AC$5)="",2,0)),0)</f>
        <v>0</v>
      </c>
      <c r="AD799" s="313">
        <f>IFERROR(IF(INDEX([1]Pivot!$BF$1:$CG$65000,$B799,AD$5)=1,1,IF(INDEX([1]Pivot!$B$1:$AB$65000,$B799,AD$5)="",2,0)),0)</f>
        <v>0</v>
      </c>
      <c r="AE799" s="313">
        <f>IFERROR(IF(INDEX([1]Pivot!$BF$1:$CG$65000,$B799,AE$5)=1,1,IF(INDEX([1]Pivot!$B$1:$AB$65000,$B799,AE$5)="",2,0)),0)</f>
        <v>0</v>
      </c>
      <c r="AF799" s="313">
        <f>IFERROR(IF(INDEX([1]Pivot!$BF$1:$CG$65000,$B799,AF$5)=1,1,IF(INDEX([1]Pivot!$B$1:$AB$65000,$B799,AF$5)="",2,0)),0)</f>
        <v>0</v>
      </c>
      <c r="AG799" s="313">
        <f>IFERROR(IF(INDEX([1]Pivot!$BF$1:$CG$65000,$B799,AG$5)=1,1,IF(INDEX([1]Pivot!$B$1:$AB$65000,$B799,AG$5)="",2,0)),0)</f>
        <v>0</v>
      </c>
      <c r="AH799" s="313">
        <f>IFERROR(IF(INDEX([1]Pivot!$BF$1:$CG$65000,$B799,AH$5)=1,1,IF(INDEX([1]Pivot!$B$1:$AB$65000,$B799,AH$5)="",2,0)),0)</f>
        <v>0</v>
      </c>
      <c r="AI799" s="313">
        <f>IFERROR(IF(INDEX([1]Pivot!$BF$1:$CG$65000,$B799,AI$5)=1,1,IF(INDEX([1]Pivot!$B$1:$AB$65000,$B799,AI$5)="",2,0)),0)</f>
        <v>0</v>
      </c>
      <c r="AJ799" s="313">
        <f>IFERROR(IF(INDEX([1]Pivot!$BF$1:$CG$65000,$B799,AJ$5)=1,1,IF(INDEX([1]Pivot!$B$1:$AB$65000,$B799,AJ$5)="",2,0)),0)</f>
        <v>0</v>
      </c>
      <c r="AK799" s="313">
        <f>IFERROR(IF(INDEX([1]Pivot!$BF$1:$CG$65000,$B799,AK$5)=1,1,IF(INDEX([1]Pivot!$B$1:$AB$65000,$B799,AK$5)="",2,0)),0)</f>
        <v>0</v>
      </c>
      <c r="AL799" s="313">
        <f>IFERROR(IF(INDEX([1]Pivot!$BF$1:$CG$65000,$B799,AL$5)=1,1,IF(INDEX([1]Pivot!$B$1:$AB$65000,$B799,AL$5)="",2,0)),0)</f>
        <v>0</v>
      </c>
      <c r="AM799" s="313">
        <f>IFERROR(IF(INDEX([1]Pivot!$BF$1:$CG$65000,$B799,AM$5)=1,1,IF(INDEX([1]Pivot!$B$1:$AB$65000,$B799,AM$5)="",2,0)),0)</f>
        <v>0</v>
      </c>
      <c r="AN799" s="313">
        <f>IFERROR(IF(INDEX([1]Pivot!$BF$1:$CG$65000,$B799,AN$5)=1,1,IF(INDEX([1]Pivot!$B$1:$AB$65000,$B799,AN$5)="",2,0)),0)</f>
        <v>0</v>
      </c>
      <c r="AO799" s="313">
        <f>IFERROR(IF(INDEX([1]Pivot!$BF$1:$CG$65000,$B799,AO$5)=1,1,IF(INDEX([1]Pivot!$B$1:$AB$65000,$B799,AO$5)="",2,0)),0)</f>
        <v>0</v>
      </c>
      <c r="AP799" s="313">
        <f>IFERROR(IF(INDEX([1]Pivot!$BF$1:$CG$65000,$B799,AP$5)=1,1,IF(INDEX([1]Pivot!$B$1:$AB$65000,$B799,AP$5)="",2,0)),0)</f>
        <v>0</v>
      </c>
      <c r="AQ799" s="313">
        <f>IFERROR(IF(INDEX([1]Pivot!$BF$1:$CG$65000,$B799,AQ$5)=1,1,IF(INDEX([1]Pivot!$B$1:$AB$65000,$B799,AQ$5)="",2,0)),0)</f>
        <v>0</v>
      </c>
      <c r="AR799" s="313">
        <f>IFERROR(IF(INDEX([1]Pivot!$BF$1:$CG$65000,$B799,AR$5)=1,1,IF(INDEX([1]Pivot!$B$1:$AB$65000,$B799,AR$5)="",2,0)),0)</f>
        <v>0</v>
      </c>
      <c r="AS799" s="312"/>
      <c r="AT799" s="313">
        <f>IFERROR(IF(INDEX([1]Pivot!$BF$1:$CG$65000,$B799,AT$5)=1,1,IF(INDEX([1]Pivot!$B$1:$AB$65000,$B799,AT$5)="",2,0)),0)</f>
        <v>0</v>
      </c>
      <c r="AU799" s="313">
        <f>IFERROR(IF(INDEX([1]Pivot!$BF$1:$CG$65000,$B799,AU$5)=1,1,IF(INDEX([1]Pivot!$B$1:$AB$65000,$B799,AU$5)="",2,0)),0)</f>
        <v>0</v>
      </c>
      <c r="AV799" s="313">
        <f>IFERROR(IF(INDEX([1]Pivot!$BF$1:$CG$65000,$B799,AV$5)=1,1,IF(INDEX([1]Pivot!$B$1:$AB$65000,$B799,AV$5)="",2,0)),0)</f>
        <v>0</v>
      </c>
      <c r="AW799" s="313">
        <f>IFERROR(IF(INDEX([1]Pivot!$BF$1:$CG$65000,$B799,AW$5)=1,1,IF(INDEX([1]Pivot!$B$1:$AB$65000,$B799,AW$5)="",2,0)),0)</f>
        <v>0</v>
      </c>
      <c r="AX799" s="313">
        <f>IFERROR(IF(INDEX([1]Pivot!$BF$1:$CG$65000,$B799,AX$5)=1,1,IF(INDEX([1]Pivot!$B$1:$AB$65000,$B799,AX$5)="",2,0)),0)</f>
        <v>0</v>
      </c>
      <c r="AY799" s="313">
        <f>IFERROR(IF(INDEX([1]Pivot!$BF$1:$CG$65000,$B799,AY$5)=1,1,IF(INDEX([1]Pivot!$B$1:$AB$65000,$B799,AY$5)="",2,0)),0)</f>
        <v>0</v>
      </c>
      <c r="AZ799" s="313">
        <f>IFERROR(IF(INDEX([1]Pivot!$BF$1:$CG$65000,$B799,AZ$5)=1,1,IF(INDEX([1]Pivot!$B$1:$AB$65000,$B799,AZ$5)="",2,0)),0)</f>
        <v>0</v>
      </c>
      <c r="BA799" s="313">
        <f>IFERROR(IF(INDEX([1]Pivot!$BF$1:$CG$65000,$B799,BA$5)=1,1,IF(INDEX([1]Pivot!$B$1:$AB$65000,$B799,BA$5)="",2,0)),0)</f>
        <v>0</v>
      </c>
      <c r="BB799" s="313">
        <f>IFERROR(IF(INDEX([1]Pivot!$BF$1:$CG$65000,$B799,BB$5)=1,1,IF(INDEX([1]Pivot!$B$1:$AB$65000,$B799,BB$5)="",2,0)),0)</f>
        <v>0</v>
      </c>
      <c r="BC799" s="313">
        <f>IFERROR(IF(INDEX([1]Pivot!$BF$1:$CG$65000,$B799,BC$5)=1,1,IF(INDEX([1]Pivot!$B$1:$AB$65000,$B799,BC$5)="",2,0)),0)</f>
        <v>0</v>
      </c>
      <c r="BD799" s="313">
        <f>IFERROR(IF(INDEX([1]Pivot!$BF$1:$CG$65000,$B799,BD$5)=1,1,IF(INDEX([1]Pivot!$B$1:$AB$65000,$B799,BD$5)="",2,0)),0)</f>
        <v>0</v>
      </c>
    </row>
    <row r="800" spans="1:56" x14ac:dyDescent="0.25">
      <c r="A800" s="288">
        <f>'[2]Raw Milk Prices'!A800</f>
        <v>0</v>
      </c>
      <c r="B800" s="296" t="e">
        <f>MATCH(DATE(LEFT('[2]Raw Milk Prices'!$A800,4),RIGHT('[2]Raw Milk Prices'!$A800,2),1),[1]Pivot!$A$1:$A$65000,0)</f>
        <v>#VALUE!</v>
      </c>
      <c r="C800" s="194">
        <f>IFERROR(IF(INDEX([1]Pivot!$AD$1:$BE$65000,$B800,C$5)=1,1,IF(INDEX([1]Pivot!$B$1:$AB$65000,$B800,C$5)="",2,0)),0)</f>
        <v>0</v>
      </c>
      <c r="D800" s="194">
        <f>IFERROR(IF(INDEX([1]Pivot!$AD$1:$BE$65000,$B800,D$5)=1,1,IF(INDEX([1]Pivot!$B$1:$AB$65000,$B800,D$5)="",2,0)),0)</f>
        <v>0</v>
      </c>
      <c r="E800" s="194">
        <f>IFERROR(IF(INDEX([1]Pivot!$AD$1:$BE$65000,$B800,E$5)=1,1,IF(INDEX([1]Pivot!$B$1:$AB$65000,$B800,E$5)="",2,0)),0)</f>
        <v>0</v>
      </c>
      <c r="F800" s="194">
        <f>IFERROR(IF(INDEX([1]Pivot!$AD$1:$BE$65000,$B800,F$5)=1,1,IF(INDEX([1]Pivot!$B$1:$AB$65000,$B800,F$5)="",2,0)),0)</f>
        <v>0</v>
      </c>
      <c r="G800" s="194">
        <f>IFERROR(IF(INDEX([1]Pivot!$AD$1:$BE$65000,$B800,G$5)=1,1,IF(INDEX([1]Pivot!$B$1:$AB$65000,$B800,G$5)="",2,0)),0)</f>
        <v>0</v>
      </c>
      <c r="H800" s="194">
        <f>IFERROR(IF(INDEX([1]Pivot!$AD$1:$BE$65000,$B800,H$5)=1,1,IF(INDEX([1]Pivot!$B$1:$AB$65000,$B800,H$5)="",2,0)),0)</f>
        <v>0</v>
      </c>
      <c r="I800" s="194">
        <f>IFERROR(IF(INDEX([1]Pivot!$AD$1:$BE$65000,$B800,I$5)=1,1,IF(INDEX([1]Pivot!$B$1:$AB$65000,$B800,I$5)="",2,0)),0)</f>
        <v>0</v>
      </c>
      <c r="J800" s="194">
        <f>IFERROR(IF(INDEX([1]Pivot!$AD$1:$BE$65000,$B800,J$5)=1,1,IF(INDEX([1]Pivot!$B$1:$AB$65000,$B800,J$5)="",2,0)),0)</f>
        <v>0</v>
      </c>
      <c r="K800" s="194">
        <f>IFERROR(IF(INDEX([1]Pivot!$AD$1:$BE$65000,$B800,K$5)=1,1,IF(INDEX([1]Pivot!$B$1:$AB$65000,$B800,K$5)="",2,0)),0)</f>
        <v>0</v>
      </c>
      <c r="L800" s="194">
        <f>IFERROR(IF(INDEX([1]Pivot!$AD$1:$BE$65000,$B800,L$5)=1,1,IF(INDEX([1]Pivot!$B$1:$AB$65000,$B800,L$5)="",2,0)),0)</f>
        <v>0</v>
      </c>
      <c r="M800" s="194">
        <f>IFERROR(IF(INDEX([1]Pivot!$AD$1:$BE$65000,$B800,M$5)=1,1,IF(INDEX([1]Pivot!$B$1:$AB$65000,$B800,M$5)="",2,0)),0)</f>
        <v>0</v>
      </c>
      <c r="N800" s="194">
        <f>IFERROR(IF(INDEX([1]Pivot!$AD$1:$BE$65000,$B800,N$5)=1,1,IF(INDEX([1]Pivot!$B$1:$AB$65000,$B800,N$5)="",2,0)),0)</f>
        <v>0</v>
      </c>
      <c r="O800" s="194">
        <f>IFERROR(IF(INDEX([1]Pivot!$AD$1:$BE$65000,$B800,O$5)=1,1,IF(INDEX([1]Pivot!$B$1:$AB$65000,$B800,O$5)="",2,0)),0)</f>
        <v>0</v>
      </c>
      <c r="P800" s="194">
        <f>IFERROR(IF(INDEX([1]Pivot!$AD$1:$BE$65000,$B800,P$5)=1,1,IF(INDEX([1]Pivot!$B$1:$AB$65000,$B800,P$5)="",2,0)),0)</f>
        <v>0</v>
      </c>
      <c r="Q800" s="194">
        <f>IFERROR(IF(INDEX([1]Pivot!$AD$1:$BE$65000,$B800,Q$5)=1,1,IF(INDEX([1]Pivot!$B$1:$AB$65000,$B800,Q$5)="",2,0)),0)</f>
        <v>0</v>
      </c>
      <c r="R800" s="312"/>
      <c r="S800" s="194">
        <f>IFERROR(IF(INDEX([1]Pivot!$AD$1:$BE$65000,$B800,S$5)=1,1,IF(INDEX([1]Pivot!$B$1:$AB$65000,$B800,S$5)="",2,0)),0)</f>
        <v>0</v>
      </c>
      <c r="T800" s="194">
        <f>IFERROR(IF(INDEX([1]Pivot!$AD$1:$BE$65000,$B800,T$5)=1,1,IF(INDEX([1]Pivot!$B$1:$AB$65000,$B800,T$5)="",2,0)),0)</f>
        <v>0</v>
      </c>
      <c r="U800" s="194">
        <f>IFERROR(IF(INDEX([1]Pivot!$AD$1:$BE$65000,$B800,U$5)=1,1,IF(INDEX([1]Pivot!$B$1:$AB$65000,$B800,U$5)="",2,0)),0)</f>
        <v>0</v>
      </c>
      <c r="V800" s="194">
        <f>IFERROR(IF(INDEX([1]Pivot!$AD$1:$BE$65000,$B800,V$5)=1,1,IF(INDEX([1]Pivot!$B$1:$AB$65000,$B800,V$5)="",2,0)),0)</f>
        <v>0</v>
      </c>
      <c r="W800" s="194">
        <f>IFERROR(IF(INDEX([1]Pivot!$AD$1:$BE$65000,$B800,W$5)=1,1,IF(INDEX([1]Pivot!$B$1:$AB$65000,$B800,W$5)="",2,0)),0)</f>
        <v>0</v>
      </c>
      <c r="X800" s="194">
        <f>IFERROR(IF(INDEX([1]Pivot!$AD$1:$BE$65000,$B800,X$5)=1,1,IF(INDEX([1]Pivot!$B$1:$AB$65000,$B800,X$5)="",2,0)),0)</f>
        <v>0</v>
      </c>
      <c r="Y800" s="194">
        <f>IFERROR(IF(INDEX([1]Pivot!$AD$1:$BE$65000,$B800,Y$5)=1,1,IF(INDEX([1]Pivot!$B$1:$AB$65000,$B800,Y$5)="",2,0)),0)</f>
        <v>0</v>
      </c>
      <c r="Z800" s="194">
        <f>IFERROR(IF(INDEX([1]Pivot!$AD$1:$BE$65000,$B800,Z$5)=1,1,IF(INDEX([1]Pivot!$B$1:$AB$65000,$B800,Z$5)="",2,0)),0)</f>
        <v>0</v>
      </c>
      <c r="AA800" s="194">
        <f>IFERROR(IF(INDEX([1]Pivot!$AD$1:$BE$65000,$B800,AA$5)=1,1,IF(INDEX([1]Pivot!$B$1:$AB$65000,$B800,AA$5)="",2,0)),0)</f>
        <v>0</v>
      </c>
      <c r="AB800" s="194">
        <f>IFERROR(IF(INDEX([1]Pivot!$AD$1:$BE$65000,$B800,AB$5)=1,1,IF(INDEX([1]Pivot!$B$1:$AB$65000,$B800,AB$5)="",2,0)),0)</f>
        <v>0</v>
      </c>
      <c r="AC800" s="194">
        <f>IFERROR(IF(INDEX([1]Pivot!$AD$1:$BE$65000,$B800,AC$5)=1,1,IF(INDEX([1]Pivot!$B$1:$AB$65000,$B800,AC$5)="",2,0)),0)</f>
        <v>0</v>
      </c>
      <c r="AD800" s="313">
        <f>IFERROR(IF(INDEX([1]Pivot!$BF$1:$CG$65000,$B800,AD$5)=1,1,IF(INDEX([1]Pivot!$B$1:$AB$65000,$B800,AD$5)="",2,0)),0)</f>
        <v>0</v>
      </c>
      <c r="AE800" s="313">
        <f>IFERROR(IF(INDEX([1]Pivot!$BF$1:$CG$65000,$B800,AE$5)=1,1,IF(INDEX([1]Pivot!$B$1:$AB$65000,$B800,AE$5)="",2,0)),0)</f>
        <v>0</v>
      </c>
      <c r="AF800" s="313">
        <f>IFERROR(IF(INDEX([1]Pivot!$BF$1:$CG$65000,$B800,AF$5)=1,1,IF(INDEX([1]Pivot!$B$1:$AB$65000,$B800,AF$5)="",2,0)),0)</f>
        <v>0</v>
      </c>
      <c r="AG800" s="313">
        <f>IFERROR(IF(INDEX([1]Pivot!$BF$1:$CG$65000,$B800,AG$5)=1,1,IF(INDEX([1]Pivot!$B$1:$AB$65000,$B800,AG$5)="",2,0)),0)</f>
        <v>0</v>
      </c>
      <c r="AH800" s="313">
        <f>IFERROR(IF(INDEX([1]Pivot!$BF$1:$CG$65000,$B800,AH$5)=1,1,IF(INDEX([1]Pivot!$B$1:$AB$65000,$B800,AH$5)="",2,0)),0)</f>
        <v>0</v>
      </c>
      <c r="AI800" s="313">
        <f>IFERROR(IF(INDEX([1]Pivot!$BF$1:$CG$65000,$B800,AI$5)=1,1,IF(INDEX([1]Pivot!$B$1:$AB$65000,$B800,AI$5)="",2,0)),0)</f>
        <v>0</v>
      </c>
      <c r="AJ800" s="313">
        <f>IFERROR(IF(INDEX([1]Pivot!$BF$1:$CG$65000,$B800,AJ$5)=1,1,IF(INDEX([1]Pivot!$B$1:$AB$65000,$B800,AJ$5)="",2,0)),0)</f>
        <v>0</v>
      </c>
      <c r="AK800" s="313">
        <f>IFERROR(IF(INDEX([1]Pivot!$BF$1:$CG$65000,$B800,AK$5)=1,1,IF(INDEX([1]Pivot!$B$1:$AB$65000,$B800,AK$5)="",2,0)),0)</f>
        <v>0</v>
      </c>
      <c r="AL800" s="313">
        <f>IFERROR(IF(INDEX([1]Pivot!$BF$1:$CG$65000,$B800,AL$5)=1,1,IF(INDEX([1]Pivot!$B$1:$AB$65000,$B800,AL$5)="",2,0)),0)</f>
        <v>0</v>
      </c>
      <c r="AM800" s="313">
        <f>IFERROR(IF(INDEX([1]Pivot!$BF$1:$CG$65000,$B800,AM$5)=1,1,IF(INDEX([1]Pivot!$B$1:$AB$65000,$B800,AM$5)="",2,0)),0)</f>
        <v>0</v>
      </c>
      <c r="AN800" s="313">
        <f>IFERROR(IF(INDEX([1]Pivot!$BF$1:$CG$65000,$B800,AN$5)=1,1,IF(INDEX([1]Pivot!$B$1:$AB$65000,$B800,AN$5)="",2,0)),0)</f>
        <v>0</v>
      </c>
      <c r="AO800" s="313">
        <f>IFERROR(IF(INDEX([1]Pivot!$BF$1:$CG$65000,$B800,AO$5)=1,1,IF(INDEX([1]Pivot!$B$1:$AB$65000,$B800,AO$5)="",2,0)),0)</f>
        <v>0</v>
      </c>
      <c r="AP800" s="313">
        <f>IFERROR(IF(INDEX([1]Pivot!$BF$1:$CG$65000,$B800,AP$5)=1,1,IF(INDEX([1]Pivot!$B$1:$AB$65000,$B800,AP$5)="",2,0)),0)</f>
        <v>0</v>
      </c>
      <c r="AQ800" s="313">
        <f>IFERROR(IF(INDEX([1]Pivot!$BF$1:$CG$65000,$B800,AQ$5)=1,1,IF(INDEX([1]Pivot!$B$1:$AB$65000,$B800,AQ$5)="",2,0)),0)</f>
        <v>0</v>
      </c>
      <c r="AR800" s="313">
        <f>IFERROR(IF(INDEX([1]Pivot!$BF$1:$CG$65000,$B800,AR$5)=1,1,IF(INDEX([1]Pivot!$B$1:$AB$65000,$B800,AR$5)="",2,0)),0)</f>
        <v>0</v>
      </c>
      <c r="AS800" s="312"/>
      <c r="AT800" s="313">
        <f>IFERROR(IF(INDEX([1]Pivot!$BF$1:$CG$65000,$B800,AT$5)=1,1,IF(INDEX([1]Pivot!$B$1:$AB$65000,$B800,AT$5)="",2,0)),0)</f>
        <v>0</v>
      </c>
      <c r="AU800" s="313">
        <f>IFERROR(IF(INDEX([1]Pivot!$BF$1:$CG$65000,$B800,AU$5)=1,1,IF(INDEX([1]Pivot!$B$1:$AB$65000,$B800,AU$5)="",2,0)),0)</f>
        <v>0</v>
      </c>
      <c r="AV800" s="313">
        <f>IFERROR(IF(INDEX([1]Pivot!$BF$1:$CG$65000,$B800,AV$5)=1,1,IF(INDEX([1]Pivot!$B$1:$AB$65000,$B800,AV$5)="",2,0)),0)</f>
        <v>0</v>
      </c>
      <c r="AW800" s="313">
        <f>IFERROR(IF(INDEX([1]Pivot!$BF$1:$CG$65000,$B800,AW$5)=1,1,IF(INDEX([1]Pivot!$B$1:$AB$65000,$B800,AW$5)="",2,0)),0)</f>
        <v>0</v>
      </c>
      <c r="AX800" s="313">
        <f>IFERROR(IF(INDEX([1]Pivot!$BF$1:$CG$65000,$B800,AX$5)=1,1,IF(INDEX([1]Pivot!$B$1:$AB$65000,$B800,AX$5)="",2,0)),0)</f>
        <v>0</v>
      </c>
      <c r="AY800" s="313">
        <f>IFERROR(IF(INDEX([1]Pivot!$BF$1:$CG$65000,$B800,AY$5)=1,1,IF(INDEX([1]Pivot!$B$1:$AB$65000,$B800,AY$5)="",2,0)),0)</f>
        <v>0</v>
      </c>
      <c r="AZ800" s="313">
        <f>IFERROR(IF(INDEX([1]Pivot!$BF$1:$CG$65000,$B800,AZ$5)=1,1,IF(INDEX([1]Pivot!$B$1:$AB$65000,$B800,AZ$5)="",2,0)),0)</f>
        <v>0</v>
      </c>
      <c r="BA800" s="313">
        <f>IFERROR(IF(INDEX([1]Pivot!$BF$1:$CG$65000,$B800,BA$5)=1,1,IF(INDEX([1]Pivot!$B$1:$AB$65000,$B800,BA$5)="",2,0)),0)</f>
        <v>0</v>
      </c>
      <c r="BB800" s="313">
        <f>IFERROR(IF(INDEX([1]Pivot!$BF$1:$CG$65000,$B800,BB$5)=1,1,IF(INDEX([1]Pivot!$B$1:$AB$65000,$B800,BB$5)="",2,0)),0)</f>
        <v>0</v>
      </c>
      <c r="BC800" s="313">
        <f>IFERROR(IF(INDEX([1]Pivot!$BF$1:$CG$65000,$B800,BC$5)=1,1,IF(INDEX([1]Pivot!$B$1:$AB$65000,$B800,BC$5)="",2,0)),0)</f>
        <v>0</v>
      </c>
      <c r="BD800" s="313">
        <f>IFERROR(IF(INDEX([1]Pivot!$BF$1:$CG$65000,$B800,BD$5)=1,1,IF(INDEX([1]Pivot!$B$1:$AB$65000,$B800,BD$5)="",2,0)),0)</f>
        <v>0</v>
      </c>
    </row>
    <row r="801" spans="1:56" x14ac:dyDescent="0.25">
      <c r="A801" s="288">
        <f>'[2]Raw Milk Prices'!A801</f>
        <v>0</v>
      </c>
      <c r="B801" s="296" t="e">
        <f>MATCH(DATE(LEFT('[2]Raw Milk Prices'!$A801,4),RIGHT('[2]Raw Milk Prices'!$A801,2),1),[1]Pivot!$A$1:$A$65000,0)</f>
        <v>#VALUE!</v>
      </c>
      <c r="C801" s="194">
        <f>IFERROR(IF(INDEX([1]Pivot!$AD$1:$BE$65000,$B801,C$5)=1,1,IF(INDEX([1]Pivot!$B$1:$AB$65000,$B801,C$5)="",2,0)),0)</f>
        <v>0</v>
      </c>
      <c r="D801" s="194">
        <f>IFERROR(IF(INDEX([1]Pivot!$AD$1:$BE$65000,$B801,D$5)=1,1,IF(INDEX([1]Pivot!$B$1:$AB$65000,$B801,D$5)="",2,0)),0)</f>
        <v>0</v>
      </c>
      <c r="E801" s="194">
        <f>IFERROR(IF(INDEX([1]Pivot!$AD$1:$BE$65000,$B801,E$5)=1,1,IF(INDEX([1]Pivot!$B$1:$AB$65000,$B801,E$5)="",2,0)),0)</f>
        <v>0</v>
      </c>
      <c r="F801" s="194">
        <f>IFERROR(IF(INDEX([1]Pivot!$AD$1:$BE$65000,$B801,F$5)=1,1,IF(INDEX([1]Pivot!$B$1:$AB$65000,$B801,F$5)="",2,0)),0)</f>
        <v>0</v>
      </c>
      <c r="G801" s="194">
        <f>IFERROR(IF(INDEX([1]Pivot!$AD$1:$BE$65000,$B801,G$5)=1,1,IF(INDEX([1]Pivot!$B$1:$AB$65000,$B801,G$5)="",2,0)),0)</f>
        <v>0</v>
      </c>
      <c r="H801" s="194">
        <f>IFERROR(IF(INDEX([1]Pivot!$AD$1:$BE$65000,$B801,H$5)=1,1,IF(INDEX([1]Pivot!$B$1:$AB$65000,$B801,H$5)="",2,0)),0)</f>
        <v>0</v>
      </c>
      <c r="I801" s="194">
        <f>IFERROR(IF(INDEX([1]Pivot!$AD$1:$BE$65000,$B801,I$5)=1,1,IF(INDEX([1]Pivot!$B$1:$AB$65000,$B801,I$5)="",2,0)),0)</f>
        <v>0</v>
      </c>
      <c r="J801" s="194">
        <f>IFERROR(IF(INDEX([1]Pivot!$AD$1:$BE$65000,$B801,J$5)=1,1,IF(INDEX([1]Pivot!$B$1:$AB$65000,$B801,J$5)="",2,0)),0)</f>
        <v>0</v>
      </c>
      <c r="K801" s="194">
        <f>IFERROR(IF(INDEX([1]Pivot!$AD$1:$BE$65000,$B801,K$5)=1,1,IF(INDEX([1]Pivot!$B$1:$AB$65000,$B801,K$5)="",2,0)),0)</f>
        <v>0</v>
      </c>
      <c r="L801" s="194">
        <f>IFERROR(IF(INDEX([1]Pivot!$AD$1:$BE$65000,$B801,L$5)=1,1,IF(INDEX([1]Pivot!$B$1:$AB$65000,$B801,L$5)="",2,0)),0)</f>
        <v>0</v>
      </c>
      <c r="M801" s="194">
        <f>IFERROR(IF(INDEX([1]Pivot!$AD$1:$BE$65000,$B801,M$5)=1,1,IF(INDEX([1]Pivot!$B$1:$AB$65000,$B801,M$5)="",2,0)),0)</f>
        <v>0</v>
      </c>
      <c r="N801" s="194">
        <f>IFERROR(IF(INDEX([1]Pivot!$AD$1:$BE$65000,$B801,N$5)=1,1,IF(INDEX([1]Pivot!$B$1:$AB$65000,$B801,N$5)="",2,0)),0)</f>
        <v>0</v>
      </c>
      <c r="O801" s="194">
        <f>IFERROR(IF(INDEX([1]Pivot!$AD$1:$BE$65000,$B801,O$5)=1,1,IF(INDEX([1]Pivot!$B$1:$AB$65000,$B801,O$5)="",2,0)),0)</f>
        <v>0</v>
      </c>
      <c r="P801" s="194">
        <f>IFERROR(IF(INDEX([1]Pivot!$AD$1:$BE$65000,$B801,P$5)=1,1,IF(INDEX([1]Pivot!$B$1:$AB$65000,$B801,P$5)="",2,0)),0)</f>
        <v>0</v>
      </c>
      <c r="Q801" s="194">
        <f>IFERROR(IF(INDEX([1]Pivot!$AD$1:$BE$65000,$B801,Q$5)=1,1,IF(INDEX([1]Pivot!$B$1:$AB$65000,$B801,Q$5)="",2,0)),0)</f>
        <v>0</v>
      </c>
      <c r="R801" s="312"/>
      <c r="S801" s="194">
        <f>IFERROR(IF(INDEX([1]Pivot!$AD$1:$BE$65000,$B801,S$5)=1,1,IF(INDEX([1]Pivot!$B$1:$AB$65000,$B801,S$5)="",2,0)),0)</f>
        <v>0</v>
      </c>
      <c r="T801" s="194">
        <f>IFERROR(IF(INDEX([1]Pivot!$AD$1:$BE$65000,$B801,T$5)=1,1,IF(INDEX([1]Pivot!$B$1:$AB$65000,$B801,T$5)="",2,0)),0)</f>
        <v>0</v>
      </c>
      <c r="U801" s="194">
        <f>IFERROR(IF(INDEX([1]Pivot!$AD$1:$BE$65000,$B801,U$5)=1,1,IF(INDEX([1]Pivot!$B$1:$AB$65000,$B801,U$5)="",2,0)),0)</f>
        <v>0</v>
      </c>
      <c r="V801" s="194">
        <f>IFERROR(IF(INDEX([1]Pivot!$AD$1:$BE$65000,$B801,V$5)=1,1,IF(INDEX([1]Pivot!$B$1:$AB$65000,$B801,V$5)="",2,0)),0)</f>
        <v>0</v>
      </c>
      <c r="W801" s="194">
        <f>IFERROR(IF(INDEX([1]Pivot!$AD$1:$BE$65000,$B801,W$5)=1,1,IF(INDEX([1]Pivot!$B$1:$AB$65000,$B801,W$5)="",2,0)),0)</f>
        <v>0</v>
      </c>
      <c r="X801" s="194">
        <f>IFERROR(IF(INDEX([1]Pivot!$AD$1:$BE$65000,$B801,X$5)=1,1,IF(INDEX([1]Pivot!$B$1:$AB$65000,$B801,X$5)="",2,0)),0)</f>
        <v>0</v>
      </c>
      <c r="Y801" s="194">
        <f>IFERROR(IF(INDEX([1]Pivot!$AD$1:$BE$65000,$B801,Y$5)=1,1,IF(INDEX([1]Pivot!$B$1:$AB$65000,$B801,Y$5)="",2,0)),0)</f>
        <v>0</v>
      </c>
      <c r="Z801" s="194">
        <f>IFERROR(IF(INDEX([1]Pivot!$AD$1:$BE$65000,$B801,Z$5)=1,1,IF(INDEX([1]Pivot!$B$1:$AB$65000,$B801,Z$5)="",2,0)),0)</f>
        <v>0</v>
      </c>
      <c r="AA801" s="194">
        <f>IFERROR(IF(INDEX([1]Pivot!$AD$1:$BE$65000,$B801,AA$5)=1,1,IF(INDEX([1]Pivot!$B$1:$AB$65000,$B801,AA$5)="",2,0)),0)</f>
        <v>0</v>
      </c>
      <c r="AB801" s="194">
        <f>IFERROR(IF(INDEX([1]Pivot!$AD$1:$BE$65000,$B801,AB$5)=1,1,IF(INDEX([1]Pivot!$B$1:$AB$65000,$B801,AB$5)="",2,0)),0)</f>
        <v>0</v>
      </c>
      <c r="AC801" s="194">
        <f>IFERROR(IF(INDEX([1]Pivot!$AD$1:$BE$65000,$B801,AC$5)=1,1,IF(INDEX([1]Pivot!$B$1:$AB$65000,$B801,AC$5)="",2,0)),0)</f>
        <v>0</v>
      </c>
      <c r="AD801" s="313">
        <f>IFERROR(IF(INDEX([1]Pivot!$BF$1:$CG$65000,$B801,AD$5)=1,1,IF(INDEX([1]Pivot!$B$1:$AB$65000,$B801,AD$5)="",2,0)),0)</f>
        <v>0</v>
      </c>
      <c r="AE801" s="313">
        <f>IFERROR(IF(INDEX([1]Pivot!$BF$1:$CG$65000,$B801,AE$5)=1,1,IF(INDEX([1]Pivot!$B$1:$AB$65000,$B801,AE$5)="",2,0)),0)</f>
        <v>0</v>
      </c>
      <c r="AF801" s="313">
        <f>IFERROR(IF(INDEX([1]Pivot!$BF$1:$CG$65000,$B801,AF$5)=1,1,IF(INDEX([1]Pivot!$B$1:$AB$65000,$B801,AF$5)="",2,0)),0)</f>
        <v>0</v>
      </c>
      <c r="AG801" s="313">
        <f>IFERROR(IF(INDEX([1]Pivot!$BF$1:$CG$65000,$B801,AG$5)=1,1,IF(INDEX([1]Pivot!$B$1:$AB$65000,$B801,AG$5)="",2,0)),0)</f>
        <v>0</v>
      </c>
      <c r="AH801" s="313">
        <f>IFERROR(IF(INDEX([1]Pivot!$BF$1:$CG$65000,$B801,AH$5)=1,1,IF(INDEX([1]Pivot!$B$1:$AB$65000,$B801,AH$5)="",2,0)),0)</f>
        <v>0</v>
      </c>
      <c r="AI801" s="313">
        <f>IFERROR(IF(INDEX([1]Pivot!$BF$1:$CG$65000,$B801,AI$5)=1,1,IF(INDEX([1]Pivot!$B$1:$AB$65000,$B801,AI$5)="",2,0)),0)</f>
        <v>0</v>
      </c>
      <c r="AJ801" s="313">
        <f>IFERROR(IF(INDEX([1]Pivot!$BF$1:$CG$65000,$B801,AJ$5)=1,1,IF(INDEX([1]Pivot!$B$1:$AB$65000,$B801,AJ$5)="",2,0)),0)</f>
        <v>0</v>
      </c>
      <c r="AK801" s="313">
        <f>IFERROR(IF(INDEX([1]Pivot!$BF$1:$CG$65000,$B801,AK$5)=1,1,IF(INDEX([1]Pivot!$B$1:$AB$65000,$B801,AK$5)="",2,0)),0)</f>
        <v>0</v>
      </c>
      <c r="AL801" s="313">
        <f>IFERROR(IF(INDEX([1]Pivot!$BF$1:$CG$65000,$B801,AL$5)=1,1,IF(INDEX([1]Pivot!$B$1:$AB$65000,$B801,AL$5)="",2,0)),0)</f>
        <v>0</v>
      </c>
      <c r="AM801" s="313">
        <f>IFERROR(IF(INDEX([1]Pivot!$BF$1:$CG$65000,$B801,AM$5)=1,1,IF(INDEX([1]Pivot!$B$1:$AB$65000,$B801,AM$5)="",2,0)),0)</f>
        <v>0</v>
      </c>
      <c r="AN801" s="313">
        <f>IFERROR(IF(INDEX([1]Pivot!$BF$1:$CG$65000,$B801,AN$5)=1,1,IF(INDEX([1]Pivot!$B$1:$AB$65000,$B801,AN$5)="",2,0)),0)</f>
        <v>0</v>
      </c>
      <c r="AO801" s="313">
        <f>IFERROR(IF(INDEX([1]Pivot!$BF$1:$CG$65000,$B801,AO$5)=1,1,IF(INDEX([1]Pivot!$B$1:$AB$65000,$B801,AO$5)="",2,0)),0)</f>
        <v>0</v>
      </c>
      <c r="AP801" s="313">
        <f>IFERROR(IF(INDEX([1]Pivot!$BF$1:$CG$65000,$B801,AP$5)=1,1,IF(INDEX([1]Pivot!$B$1:$AB$65000,$B801,AP$5)="",2,0)),0)</f>
        <v>0</v>
      </c>
      <c r="AQ801" s="313">
        <f>IFERROR(IF(INDEX([1]Pivot!$BF$1:$CG$65000,$B801,AQ$5)=1,1,IF(INDEX([1]Pivot!$B$1:$AB$65000,$B801,AQ$5)="",2,0)),0)</f>
        <v>0</v>
      </c>
      <c r="AR801" s="313">
        <f>IFERROR(IF(INDEX([1]Pivot!$BF$1:$CG$65000,$B801,AR$5)=1,1,IF(INDEX([1]Pivot!$B$1:$AB$65000,$B801,AR$5)="",2,0)),0)</f>
        <v>0</v>
      </c>
      <c r="AS801" s="312"/>
      <c r="AT801" s="313">
        <f>IFERROR(IF(INDEX([1]Pivot!$BF$1:$CG$65000,$B801,AT$5)=1,1,IF(INDEX([1]Pivot!$B$1:$AB$65000,$B801,AT$5)="",2,0)),0)</f>
        <v>0</v>
      </c>
      <c r="AU801" s="313">
        <f>IFERROR(IF(INDEX([1]Pivot!$BF$1:$CG$65000,$B801,AU$5)=1,1,IF(INDEX([1]Pivot!$B$1:$AB$65000,$B801,AU$5)="",2,0)),0)</f>
        <v>0</v>
      </c>
      <c r="AV801" s="313">
        <f>IFERROR(IF(INDEX([1]Pivot!$BF$1:$CG$65000,$B801,AV$5)=1,1,IF(INDEX([1]Pivot!$B$1:$AB$65000,$B801,AV$5)="",2,0)),0)</f>
        <v>0</v>
      </c>
      <c r="AW801" s="313">
        <f>IFERROR(IF(INDEX([1]Pivot!$BF$1:$CG$65000,$B801,AW$5)=1,1,IF(INDEX([1]Pivot!$B$1:$AB$65000,$B801,AW$5)="",2,0)),0)</f>
        <v>0</v>
      </c>
      <c r="AX801" s="313">
        <f>IFERROR(IF(INDEX([1]Pivot!$BF$1:$CG$65000,$B801,AX$5)=1,1,IF(INDEX([1]Pivot!$B$1:$AB$65000,$B801,AX$5)="",2,0)),0)</f>
        <v>0</v>
      </c>
      <c r="AY801" s="313">
        <f>IFERROR(IF(INDEX([1]Pivot!$BF$1:$CG$65000,$B801,AY$5)=1,1,IF(INDEX([1]Pivot!$B$1:$AB$65000,$B801,AY$5)="",2,0)),0)</f>
        <v>0</v>
      </c>
      <c r="AZ801" s="313">
        <f>IFERROR(IF(INDEX([1]Pivot!$BF$1:$CG$65000,$B801,AZ$5)=1,1,IF(INDEX([1]Pivot!$B$1:$AB$65000,$B801,AZ$5)="",2,0)),0)</f>
        <v>0</v>
      </c>
      <c r="BA801" s="313">
        <f>IFERROR(IF(INDEX([1]Pivot!$BF$1:$CG$65000,$B801,BA$5)=1,1,IF(INDEX([1]Pivot!$B$1:$AB$65000,$B801,BA$5)="",2,0)),0)</f>
        <v>0</v>
      </c>
      <c r="BB801" s="313">
        <f>IFERROR(IF(INDEX([1]Pivot!$BF$1:$CG$65000,$B801,BB$5)=1,1,IF(INDEX([1]Pivot!$B$1:$AB$65000,$B801,BB$5)="",2,0)),0)</f>
        <v>0</v>
      </c>
      <c r="BC801" s="313">
        <f>IFERROR(IF(INDEX([1]Pivot!$BF$1:$CG$65000,$B801,BC$5)=1,1,IF(INDEX([1]Pivot!$B$1:$AB$65000,$B801,BC$5)="",2,0)),0)</f>
        <v>0</v>
      </c>
      <c r="BD801" s="313">
        <f>IFERROR(IF(INDEX([1]Pivot!$BF$1:$CG$65000,$B801,BD$5)=1,1,IF(INDEX([1]Pivot!$B$1:$AB$65000,$B801,BD$5)="",2,0)),0)</f>
        <v>0</v>
      </c>
    </row>
    <row r="802" spans="1:56" x14ac:dyDescent="0.25">
      <c r="A802" s="288">
        <f>'[2]Raw Milk Prices'!A802</f>
        <v>0</v>
      </c>
      <c r="B802" s="296" t="e">
        <f>MATCH(DATE(LEFT('[2]Raw Milk Prices'!$A802,4),RIGHT('[2]Raw Milk Prices'!$A802,2),1),[1]Pivot!$A$1:$A$65000,0)</f>
        <v>#VALUE!</v>
      </c>
      <c r="C802" s="194">
        <f>IFERROR(IF(INDEX([1]Pivot!$AD$1:$BE$65000,$B802,C$5)=1,1,IF(INDEX([1]Pivot!$B$1:$AB$65000,$B802,C$5)="",2,0)),0)</f>
        <v>0</v>
      </c>
      <c r="D802" s="194">
        <f>IFERROR(IF(INDEX([1]Pivot!$AD$1:$BE$65000,$B802,D$5)=1,1,IF(INDEX([1]Pivot!$B$1:$AB$65000,$B802,D$5)="",2,0)),0)</f>
        <v>0</v>
      </c>
      <c r="E802" s="194">
        <f>IFERROR(IF(INDEX([1]Pivot!$AD$1:$BE$65000,$B802,E$5)=1,1,IF(INDEX([1]Pivot!$B$1:$AB$65000,$B802,E$5)="",2,0)),0)</f>
        <v>0</v>
      </c>
      <c r="F802" s="194">
        <f>IFERROR(IF(INDEX([1]Pivot!$AD$1:$BE$65000,$B802,F$5)=1,1,IF(INDEX([1]Pivot!$B$1:$AB$65000,$B802,F$5)="",2,0)),0)</f>
        <v>0</v>
      </c>
      <c r="G802" s="194">
        <f>IFERROR(IF(INDEX([1]Pivot!$AD$1:$BE$65000,$B802,G$5)=1,1,IF(INDEX([1]Pivot!$B$1:$AB$65000,$B802,G$5)="",2,0)),0)</f>
        <v>0</v>
      </c>
      <c r="H802" s="194">
        <f>IFERROR(IF(INDEX([1]Pivot!$AD$1:$BE$65000,$B802,H$5)=1,1,IF(INDEX([1]Pivot!$B$1:$AB$65000,$B802,H$5)="",2,0)),0)</f>
        <v>0</v>
      </c>
      <c r="I802" s="194">
        <f>IFERROR(IF(INDEX([1]Pivot!$AD$1:$BE$65000,$B802,I$5)=1,1,IF(INDEX([1]Pivot!$B$1:$AB$65000,$B802,I$5)="",2,0)),0)</f>
        <v>0</v>
      </c>
      <c r="J802" s="194">
        <f>IFERROR(IF(INDEX([1]Pivot!$AD$1:$BE$65000,$B802,J$5)=1,1,IF(INDEX([1]Pivot!$B$1:$AB$65000,$B802,J$5)="",2,0)),0)</f>
        <v>0</v>
      </c>
      <c r="K802" s="194">
        <f>IFERROR(IF(INDEX([1]Pivot!$AD$1:$BE$65000,$B802,K$5)=1,1,IF(INDEX([1]Pivot!$B$1:$AB$65000,$B802,K$5)="",2,0)),0)</f>
        <v>0</v>
      </c>
      <c r="L802" s="194">
        <f>IFERROR(IF(INDEX([1]Pivot!$AD$1:$BE$65000,$B802,L$5)=1,1,IF(INDEX([1]Pivot!$B$1:$AB$65000,$B802,L$5)="",2,0)),0)</f>
        <v>0</v>
      </c>
      <c r="M802" s="194">
        <f>IFERROR(IF(INDEX([1]Pivot!$AD$1:$BE$65000,$B802,M$5)=1,1,IF(INDEX([1]Pivot!$B$1:$AB$65000,$B802,M$5)="",2,0)),0)</f>
        <v>0</v>
      </c>
      <c r="N802" s="194">
        <f>IFERROR(IF(INDEX([1]Pivot!$AD$1:$BE$65000,$B802,N$5)=1,1,IF(INDEX([1]Pivot!$B$1:$AB$65000,$B802,N$5)="",2,0)),0)</f>
        <v>0</v>
      </c>
      <c r="O802" s="194">
        <f>IFERROR(IF(INDEX([1]Pivot!$AD$1:$BE$65000,$B802,O$5)=1,1,IF(INDEX([1]Pivot!$B$1:$AB$65000,$B802,O$5)="",2,0)),0)</f>
        <v>0</v>
      </c>
      <c r="P802" s="194">
        <f>IFERROR(IF(INDEX([1]Pivot!$AD$1:$BE$65000,$B802,P$5)=1,1,IF(INDEX([1]Pivot!$B$1:$AB$65000,$B802,P$5)="",2,0)),0)</f>
        <v>0</v>
      </c>
      <c r="Q802" s="194">
        <f>IFERROR(IF(INDEX([1]Pivot!$AD$1:$BE$65000,$B802,Q$5)=1,1,IF(INDEX([1]Pivot!$B$1:$AB$65000,$B802,Q$5)="",2,0)),0)</f>
        <v>0</v>
      </c>
      <c r="R802" s="312"/>
      <c r="S802" s="194">
        <f>IFERROR(IF(INDEX([1]Pivot!$AD$1:$BE$65000,$B802,S$5)=1,1,IF(INDEX([1]Pivot!$B$1:$AB$65000,$B802,S$5)="",2,0)),0)</f>
        <v>0</v>
      </c>
      <c r="T802" s="194">
        <f>IFERROR(IF(INDEX([1]Pivot!$AD$1:$BE$65000,$B802,T$5)=1,1,IF(INDEX([1]Pivot!$B$1:$AB$65000,$B802,T$5)="",2,0)),0)</f>
        <v>0</v>
      </c>
      <c r="U802" s="194">
        <f>IFERROR(IF(INDEX([1]Pivot!$AD$1:$BE$65000,$B802,U$5)=1,1,IF(INDEX([1]Pivot!$B$1:$AB$65000,$B802,U$5)="",2,0)),0)</f>
        <v>0</v>
      </c>
      <c r="V802" s="194">
        <f>IFERROR(IF(INDEX([1]Pivot!$AD$1:$BE$65000,$B802,V$5)=1,1,IF(INDEX([1]Pivot!$B$1:$AB$65000,$B802,V$5)="",2,0)),0)</f>
        <v>0</v>
      </c>
      <c r="W802" s="194">
        <f>IFERROR(IF(INDEX([1]Pivot!$AD$1:$BE$65000,$B802,W$5)=1,1,IF(INDEX([1]Pivot!$B$1:$AB$65000,$B802,W$5)="",2,0)),0)</f>
        <v>0</v>
      </c>
      <c r="X802" s="194">
        <f>IFERROR(IF(INDEX([1]Pivot!$AD$1:$BE$65000,$B802,X$5)=1,1,IF(INDEX([1]Pivot!$B$1:$AB$65000,$B802,X$5)="",2,0)),0)</f>
        <v>0</v>
      </c>
      <c r="Y802" s="194">
        <f>IFERROR(IF(INDEX([1]Pivot!$AD$1:$BE$65000,$B802,Y$5)=1,1,IF(INDEX([1]Pivot!$B$1:$AB$65000,$B802,Y$5)="",2,0)),0)</f>
        <v>0</v>
      </c>
      <c r="Z802" s="194">
        <f>IFERROR(IF(INDEX([1]Pivot!$AD$1:$BE$65000,$B802,Z$5)=1,1,IF(INDEX([1]Pivot!$B$1:$AB$65000,$B802,Z$5)="",2,0)),0)</f>
        <v>0</v>
      </c>
      <c r="AA802" s="194">
        <f>IFERROR(IF(INDEX([1]Pivot!$AD$1:$BE$65000,$B802,AA$5)=1,1,IF(INDEX([1]Pivot!$B$1:$AB$65000,$B802,AA$5)="",2,0)),0)</f>
        <v>0</v>
      </c>
      <c r="AB802" s="194">
        <f>IFERROR(IF(INDEX([1]Pivot!$AD$1:$BE$65000,$B802,AB$5)=1,1,IF(INDEX([1]Pivot!$B$1:$AB$65000,$B802,AB$5)="",2,0)),0)</f>
        <v>0</v>
      </c>
      <c r="AC802" s="194">
        <f>IFERROR(IF(INDEX([1]Pivot!$AD$1:$BE$65000,$B802,AC$5)=1,1,IF(INDEX([1]Pivot!$B$1:$AB$65000,$B802,AC$5)="",2,0)),0)</f>
        <v>0</v>
      </c>
      <c r="AD802" s="313">
        <f>IFERROR(IF(INDEX([1]Pivot!$BF$1:$CG$65000,$B802,AD$5)=1,1,IF(INDEX([1]Pivot!$B$1:$AB$65000,$B802,AD$5)="",2,0)),0)</f>
        <v>0</v>
      </c>
      <c r="AE802" s="313">
        <f>IFERROR(IF(INDEX([1]Pivot!$BF$1:$CG$65000,$B802,AE$5)=1,1,IF(INDEX([1]Pivot!$B$1:$AB$65000,$B802,AE$5)="",2,0)),0)</f>
        <v>0</v>
      </c>
      <c r="AF802" s="313">
        <f>IFERROR(IF(INDEX([1]Pivot!$BF$1:$CG$65000,$B802,AF$5)=1,1,IF(INDEX([1]Pivot!$B$1:$AB$65000,$B802,AF$5)="",2,0)),0)</f>
        <v>0</v>
      </c>
      <c r="AG802" s="313">
        <f>IFERROR(IF(INDEX([1]Pivot!$BF$1:$CG$65000,$B802,AG$5)=1,1,IF(INDEX([1]Pivot!$B$1:$AB$65000,$B802,AG$5)="",2,0)),0)</f>
        <v>0</v>
      </c>
      <c r="AH802" s="313">
        <f>IFERROR(IF(INDEX([1]Pivot!$BF$1:$CG$65000,$B802,AH$5)=1,1,IF(INDEX([1]Pivot!$B$1:$AB$65000,$B802,AH$5)="",2,0)),0)</f>
        <v>0</v>
      </c>
      <c r="AI802" s="313">
        <f>IFERROR(IF(INDEX([1]Pivot!$BF$1:$CG$65000,$B802,AI$5)=1,1,IF(INDEX([1]Pivot!$B$1:$AB$65000,$B802,AI$5)="",2,0)),0)</f>
        <v>0</v>
      </c>
      <c r="AJ802" s="313">
        <f>IFERROR(IF(INDEX([1]Pivot!$BF$1:$CG$65000,$B802,AJ$5)=1,1,IF(INDEX([1]Pivot!$B$1:$AB$65000,$B802,AJ$5)="",2,0)),0)</f>
        <v>0</v>
      </c>
      <c r="AK802" s="313">
        <f>IFERROR(IF(INDEX([1]Pivot!$BF$1:$CG$65000,$B802,AK$5)=1,1,IF(INDEX([1]Pivot!$B$1:$AB$65000,$B802,AK$5)="",2,0)),0)</f>
        <v>0</v>
      </c>
      <c r="AL802" s="313">
        <f>IFERROR(IF(INDEX([1]Pivot!$BF$1:$CG$65000,$B802,AL$5)=1,1,IF(INDEX([1]Pivot!$B$1:$AB$65000,$B802,AL$5)="",2,0)),0)</f>
        <v>0</v>
      </c>
      <c r="AM802" s="313">
        <f>IFERROR(IF(INDEX([1]Pivot!$BF$1:$CG$65000,$B802,AM$5)=1,1,IF(INDEX([1]Pivot!$B$1:$AB$65000,$B802,AM$5)="",2,0)),0)</f>
        <v>0</v>
      </c>
      <c r="AN802" s="313">
        <f>IFERROR(IF(INDEX([1]Pivot!$BF$1:$CG$65000,$B802,AN$5)=1,1,IF(INDEX([1]Pivot!$B$1:$AB$65000,$B802,AN$5)="",2,0)),0)</f>
        <v>0</v>
      </c>
      <c r="AO802" s="313">
        <f>IFERROR(IF(INDEX([1]Pivot!$BF$1:$CG$65000,$B802,AO$5)=1,1,IF(INDEX([1]Pivot!$B$1:$AB$65000,$B802,AO$5)="",2,0)),0)</f>
        <v>0</v>
      </c>
      <c r="AP802" s="313">
        <f>IFERROR(IF(INDEX([1]Pivot!$BF$1:$CG$65000,$B802,AP$5)=1,1,IF(INDEX([1]Pivot!$B$1:$AB$65000,$B802,AP$5)="",2,0)),0)</f>
        <v>0</v>
      </c>
      <c r="AQ802" s="313">
        <f>IFERROR(IF(INDEX([1]Pivot!$BF$1:$CG$65000,$B802,AQ$5)=1,1,IF(INDEX([1]Pivot!$B$1:$AB$65000,$B802,AQ$5)="",2,0)),0)</f>
        <v>0</v>
      </c>
      <c r="AR802" s="313">
        <f>IFERROR(IF(INDEX([1]Pivot!$BF$1:$CG$65000,$B802,AR$5)=1,1,IF(INDEX([1]Pivot!$B$1:$AB$65000,$B802,AR$5)="",2,0)),0)</f>
        <v>0</v>
      </c>
      <c r="AS802" s="312"/>
      <c r="AT802" s="313">
        <f>IFERROR(IF(INDEX([1]Pivot!$BF$1:$CG$65000,$B802,AT$5)=1,1,IF(INDEX([1]Pivot!$B$1:$AB$65000,$B802,AT$5)="",2,0)),0)</f>
        <v>0</v>
      </c>
      <c r="AU802" s="313">
        <f>IFERROR(IF(INDEX([1]Pivot!$BF$1:$CG$65000,$B802,AU$5)=1,1,IF(INDEX([1]Pivot!$B$1:$AB$65000,$B802,AU$5)="",2,0)),0)</f>
        <v>0</v>
      </c>
      <c r="AV802" s="313">
        <f>IFERROR(IF(INDEX([1]Pivot!$BF$1:$CG$65000,$B802,AV$5)=1,1,IF(INDEX([1]Pivot!$B$1:$AB$65000,$B802,AV$5)="",2,0)),0)</f>
        <v>0</v>
      </c>
      <c r="AW802" s="313">
        <f>IFERROR(IF(INDEX([1]Pivot!$BF$1:$CG$65000,$B802,AW$5)=1,1,IF(INDEX([1]Pivot!$B$1:$AB$65000,$B802,AW$5)="",2,0)),0)</f>
        <v>0</v>
      </c>
      <c r="AX802" s="313">
        <f>IFERROR(IF(INDEX([1]Pivot!$BF$1:$CG$65000,$B802,AX$5)=1,1,IF(INDEX([1]Pivot!$B$1:$AB$65000,$B802,AX$5)="",2,0)),0)</f>
        <v>0</v>
      </c>
      <c r="AY802" s="313">
        <f>IFERROR(IF(INDEX([1]Pivot!$BF$1:$CG$65000,$B802,AY$5)=1,1,IF(INDEX([1]Pivot!$B$1:$AB$65000,$B802,AY$5)="",2,0)),0)</f>
        <v>0</v>
      </c>
      <c r="AZ802" s="313">
        <f>IFERROR(IF(INDEX([1]Pivot!$BF$1:$CG$65000,$B802,AZ$5)=1,1,IF(INDEX([1]Pivot!$B$1:$AB$65000,$B802,AZ$5)="",2,0)),0)</f>
        <v>0</v>
      </c>
      <c r="BA802" s="313">
        <f>IFERROR(IF(INDEX([1]Pivot!$BF$1:$CG$65000,$B802,BA$5)=1,1,IF(INDEX([1]Pivot!$B$1:$AB$65000,$B802,BA$5)="",2,0)),0)</f>
        <v>0</v>
      </c>
      <c r="BB802" s="313">
        <f>IFERROR(IF(INDEX([1]Pivot!$BF$1:$CG$65000,$B802,BB$5)=1,1,IF(INDEX([1]Pivot!$B$1:$AB$65000,$B802,BB$5)="",2,0)),0)</f>
        <v>0</v>
      </c>
      <c r="BC802" s="313">
        <f>IFERROR(IF(INDEX([1]Pivot!$BF$1:$CG$65000,$B802,BC$5)=1,1,IF(INDEX([1]Pivot!$B$1:$AB$65000,$B802,BC$5)="",2,0)),0)</f>
        <v>0</v>
      </c>
      <c r="BD802" s="313">
        <f>IFERROR(IF(INDEX([1]Pivot!$BF$1:$CG$65000,$B802,BD$5)=1,1,IF(INDEX([1]Pivot!$B$1:$AB$65000,$B802,BD$5)="",2,0)),0)</f>
        <v>0</v>
      </c>
    </row>
    <row r="803" spans="1:56" x14ac:dyDescent="0.25">
      <c r="A803" s="288">
        <f>'[2]Raw Milk Prices'!A803</f>
        <v>0</v>
      </c>
      <c r="B803" s="296" t="e">
        <f>MATCH(DATE(LEFT('[2]Raw Milk Prices'!$A803,4),RIGHT('[2]Raw Milk Prices'!$A803,2),1),[1]Pivot!$A$1:$A$65000,0)</f>
        <v>#VALUE!</v>
      </c>
      <c r="C803" s="194">
        <f>IFERROR(IF(INDEX([1]Pivot!$AD$1:$BE$65000,$B803,C$5)=1,1,IF(INDEX([1]Pivot!$B$1:$AB$65000,$B803,C$5)="",2,0)),0)</f>
        <v>0</v>
      </c>
      <c r="D803" s="194">
        <f>IFERROR(IF(INDEX([1]Pivot!$AD$1:$BE$65000,$B803,D$5)=1,1,IF(INDEX([1]Pivot!$B$1:$AB$65000,$B803,D$5)="",2,0)),0)</f>
        <v>0</v>
      </c>
      <c r="E803" s="194">
        <f>IFERROR(IF(INDEX([1]Pivot!$AD$1:$BE$65000,$B803,E$5)=1,1,IF(INDEX([1]Pivot!$B$1:$AB$65000,$B803,E$5)="",2,0)),0)</f>
        <v>0</v>
      </c>
      <c r="F803" s="194">
        <f>IFERROR(IF(INDEX([1]Pivot!$AD$1:$BE$65000,$B803,F$5)=1,1,IF(INDEX([1]Pivot!$B$1:$AB$65000,$B803,F$5)="",2,0)),0)</f>
        <v>0</v>
      </c>
      <c r="G803" s="194">
        <f>IFERROR(IF(INDEX([1]Pivot!$AD$1:$BE$65000,$B803,G$5)=1,1,IF(INDEX([1]Pivot!$B$1:$AB$65000,$B803,G$5)="",2,0)),0)</f>
        <v>0</v>
      </c>
      <c r="H803" s="194">
        <f>IFERROR(IF(INDEX([1]Pivot!$AD$1:$BE$65000,$B803,H$5)=1,1,IF(INDEX([1]Pivot!$B$1:$AB$65000,$B803,H$5)="",2,0)),0)</f>
        <v>0</v>
      </c>
      <c r="I803" s="194">
        <f>IFERROR(IF(INDEX([1]Pivot!$AD$1:$BE$65000,$B803,I$5)=1,1,IF(INDEX([1]Pivot!$B$1:$AB$65000,$B803,I$5)="",2,0)),0)</f>
        <v>0</v>
      </c>
      <c r="J803" s="194">
        <f>IFERROR(IF(INDEX([1]Pivot!$AD$1:$BE$65000,$B803,J$5)=1,1,IF(INDEX([1]Pivot!$B$1:$AB$65000,$B803,J$5)="",2,0)),0)</f>
        <v>0</v>
      </c>
      <c r="K803" s="194">
        <f>IFERROR(IF(INDEX([1]Pivot!$AD$1:$BE$65000,$B803,K$5)=1,1,IF(INDEX([1]Pivot!$B$1:$AB$65000,$B803,K$5)="",2,0)),0)</f>
        <v>0</v>
      </c>
      <c r="L803" s="194">
        <f>IFERROR(IF(INDEX([1]Pivot!$AD$1:$BE$65000,$B803,L$5)=1,1,IF(INDEX([1]Pivot!$B$1:$AB$65000,$B803,L$5)="",2,0)),0)</f>
        <v>0</v>
      </c>
      <c r="M803" s="194">
        <f>IFERROR(IF(INDEX([1]Pivot!$AD$1:$BE$65000,$B803,M$5)=1,1,IF(INDEX([1]Pivot!$B$1:$AB$65000,$B803,M$5)="",2,0)),0)</f>
        <v>0</v>
      </c>
      <c r="N803" s="194">
        <f>IFERROR(IF(INDEX([1]Pivot!$AD$1:$BE$65000,$B803,N$5)=1,1,IF(INDEX([1]Pivot!$B$1:$AB$65000,$B803,N$5)="",2,0)),0)</f>
        <v>0</v>
      </c>
      <c r="O803" s="194">
        <f>IFERROR(IF(INDEX([1]Pivot!$AD$1:$BE$65000,$B803,O$5)=1,1,IF(INDEX([1]Pivot!$B$1:$AB$65000,$B803,O$5)="",2,0)),0)</f>
        <v>0</v>
      </c>
      <c r="P803" s="194">
        <f>IFERROR(IF(INDEX([1]Pivot!$AD$1:$BE$65000,$B803,P$5)=1,1,IF(INDEX([1]Pivot!$B$1:$AB$65000,$B803,P$5)="",2,0)),0)</f>
        <v>0</v>
      </c>
      <c r="Q803" s="194">
        <f>IFERROR(IF(INDEX([1]Pivot!$AD$1:$BE$65000,$B803,Q$5)=1,1,IF(INDEX([1]Pivot!$B$1:$AB$65000,$B803,Q$5)="",2,0)),0)</f>
        <v>0</v>
      </c>
      <c r="R803" s="312"/>
      <c r="S803" s="194">
        <f>IFERROR(IF(INDEX([1]Pivot!$AD$1:$BE$65000,$B803,S$5)=1,1,IF(INDEX([1]Pivot!$B$1:$AB$65000,$B803,S$5)="",2,0)),0)</f>
        <v>0</v>
      </c>
      <c r="T803" s="194">
        <f>IFERROR(IF(INDEX([1]Pivot!$AD$1:$BE$65000,$B803,T$5)=1,1,IF(INDEX([1]Pivot!$B$1:$AB$65000,$B803,T$5)="",2,0)),0)</f>
        <v>0</v>
      </c>
      <c r="U803" s="194">
        <f>IFERROR(IF(INDEX([1]Pivot!$AD$1:$BE$65000,$B803,U$5)=1,1,IF(INDEX([1]Pivot!$B$1:$AB$65000,$B803,U$5)="",2,0)),0)</f>
        <v>0</v>
      </c>
      <c r="V803" s="194">
        <f>IFERROR(IF(INDEX([1]Pivot!$AD$1:$BE$65000,$B803,V$5)=1,1,IF(INDEX([1]Pivot!$B$1:$AB$65000,$B803,V$5)="",2,0)),0)</f>
        <v>0</v>
      </c>
      <c r="W803" s="194">
        <f>IFERROR(IF(INDEX([1]Pivot!$AD$1:$BE$65000,$B803,W$5)=1,1,IF(INDEX([1]Pivot!$B$1:$AB$65000,$B803,W$5)="",2,0)),0)</f>
        <v>0</v>
      </c>
      <c r="X803" s="194">
        <f>IFERROR(IF(INDEX([1]Pivot!$AD$1:$BE$65000,$B803,X$5)=1,1,IF(INDEX([1]Pivot!$B$1:$AB$65000,$B803,X$5)="",2,0)),0)</f>
        <v>0</v>
      </c>
      <c r="Y803" s="194">
        <f>IFERROR(IF(INDEX([1]Pivot!$AD$1:$BE$65000,$B803,Y$5)=1,1,IF(INDEX([1]Pivot!$B$1:$AB$65000,$B803,Y$5)="",2,0)),0)</f>
        <v>0</v>
      </c>
      <c r="Z803" s="194">
        <f>IFERROR(IF(INDEX([1]Pivot!$AD$1:$BE$65000,$B803,Z$5)=1,1,IF(INDEX([1]Pivot!$B$1:$AB$65000,$B803,Z$5)="",2,0)),0)</f>
        <v>0</v>
      </c>
      <c r="AA803" s="194">
        <f>IFERROR(IF(INDEX([1]Pivot!$AD$1:$BE$65000,$B803,AA$5)=1,1,IF(INDEX([1]Pivot!$B$1:$AB$65000,$B803,AA$5)="",2,0)),0)</f>
        <v>0</v>
      </c>
      <c r="AB803" s="194">
        <f>IFERROR(IF(INDEX([1]Pivot!$AD$1:$BE$65000,$B803,AB$5)=1,1,IF(INDEX([1]Pivot!$B$1:$AB$65000,$B803,AB$5)="",2,0)),0)</f>
        <v>0</v>
      </c>
      <c r="AC803" s="194">
        <f>IFERROR(IF(INDEX([1]Pivot!$AD$1:$BE$65000,$B803,AC$5)=1,1,IF(INDEX([1]Pivot!$B$1:$AB$65000,$B803,AC$5)="",2,0)),0)</f>
        <v>0</v>
      </c>
      <c r="AD803" s="313">
        <f>IFERROR(IF(INDEX([1]Pivot!$BF$1:$CG$65000,$B803,AD$5)=1,1,IF(INDEX([1]Pivot!$B$1:$AB$65000,$B803,AD$5)="",2,0)),0)</f>
        <v>0</v>
      </c>
      <c r="AE803" s="313">
        <f>IFERROR(IF(INDEX([1]Pivot!$BF$1:$CG$65000,$B803,AE$5)=1,1,IF(INDEX([1]Pivot!$B$1:$AB$65000,$B803,AE$5)="",2,0)),0)</f>
        <v>0</v>
      </c>
      <c r="AF803" s="313">
        <f>IFERROR(IF(INDEX([1]Pivot!$BF$1:$CG$65000,$B803,AF$5)=1,1,IF(INDEX([1]Pivot!$B$1:$AB$65000,$B803,AF$5)="",2,0)),0)</f>
        <v>0</v>
      </c>
      <c r="AG803" s="313">
        <f>IFERROR(IF(INDEX([1]Pivot!$BF$1:$CG$65000,$B803,AG$5)=1,1,IF(INDEX([1]Pivot!$B$1:$AB$65000,$B803,AG$5)="",2,0)),0)</f>
        <v>0</v>
      </c>
      <c r="AH803" s="313">
        <f>IFERROR(IF(INDEX([1]Pivot!$BF$1:$CG$65000,$B803,AH$5)=1,1,IF(INDEX([1]Pivot!$B$1:$AB$65000,$B803,AH$5)="",2,0)),0)</f>
        <v>0</v>
      </c>
      <c r="AI803" s="313">
        <f>IFERROR(IF(INDEX([1]Pivot!$BF$1:$CG$65000,$B803,AI$5)=1,1,IF(INDEX([1]Pivot!$B$1:$AB$65000,$B803,AI$5)="",2,0)),0)</f>
        <v>0</v>
      </c>
      <c r="AJ803" s="313">
        <f>IFERROR(IF(INDEX([1]Pivot!$BF$1:$CG$65000,$B803,AJ$5)=1,1,IF(INDEX([1]Pivot!$B$1:$AB$65000,$B803,AJ$5)="",2,0)),0)</f>
        <v>0</v>
      </c>
      <c r="AK803" s="313">
        <f>IFERROR(IF(INDEX([1]Pivot!$BF$1:$CG$65000,$B803,AK$5)=1,1,IF(INDEX([1]Pivot!$B$1:$AB$65000,$B803,AK$5)="",2,0)),0)</f>
        <v>0</v>
      </c>
      <c r="AL803" s="313">
        <f>IFERROR(IF(INDEX([1]Pivot!$BF$1:$CG$65000,$B803,AL$5)=1,1,IF(INDEX([1]Pivot!$B$1:$AB$65000,$B803,AL$5)="",2,0)),0)</f>
        <v>0</v>
      </c>
      <c r="AM803" s="313">
        <f>IFERROR(IF(INDEX([1]Pivot!$BF$1:$CG$65000,$B803,AM$5)=1,1,IF(INDEX([1]Pivot!$B$1:$AB$65000,$B803,AM$5)="",2,0)),0)</f>
        <v>0</v>
      </c>
      <c r="AN803" s="313">
        <f>IFERROR(IF(INDEX([1]Pivot!$BF$1:$CG$65000,$B803,AN$5)=1,1,IF(INDEX([1]Pivot!$B$1:$AB$65000,$B803,AN$5)="",2,0)),0)</f>
        <v>0</v>
      </c>
      <c r="AO803" s="313">
        <f>IFERROR(IF(INDEX([1]Pivot!$BF$1:$CG$65000,$B803,AO$5)=1,1,IF(INDEX([1]Pivot!$B$1:$AB$65000,$B803,AO$5)="",2,0)),0)</f>
        <v>0</v>
      </c>
      <c r="AP803" s="313">
        <f>IFERROR(IF(INDEX([1]Pivot!$BF$1:$CG$65000,$B803,AP$5)=1,1,IF(INDEX([1]Pivot!$B$1:$AB$65000,$B803,AP$5)="",2,0)),0)</f>
        <v>0</v>
      </c>
      <c r="AQ803" s="313">
        <f>IFERROR(IF(INDEX([1]Pivot!$BF$1:$CG$65000,$B803,AQ$5)=1,1,IF(INDEX([1]Pivot!$B$1:$AB$65000,$B803,AQ$5)="",2,0)),0)</f>
        <v>0</v>
      </c>
      <c r="AR803" s="313">
        <f>IFERROR(IF(INDEX([1]Pivot!$BF$1:$CG$65000,$B803,AR$5)=1,1,IF(INDEX([1]Pivot!$B$1:$AB$65000,$B803,AR$5)="",2,0)),0)</f>
        <v>0</v>
      </c>
      <c r="AS803" s="312"/>
      <c r="AT803" s="313">
        <f>IFERROR(IF(INDEX([1]Pivot!$BF$1:$CG$65000,$B803,AT$5)=1,1,IF(INDEX([1]Pivot!$B$1:$AB$65000,$B803,AT$5)="",2,0)),0)</f>
        <v>0</v>
      </c>
      <c r="AU803" s="313">
        <f>IFERROR(IF(INDEX([1]Pivot!$BF$1:$CG$65000,$B803,AU$5)=1,1,IF(INDEX([1]Pivot!$B$1:$AB$65000,$B803,AU$5)="",2,0)),0)</f>
        <v>0</v>
      </c>
      <c r="AV803" s="313">
        <f>IFERROR(IF(INDEX([1]Pivot!$BF$1:$CG$65000,$B803,AV$5)=1,1,IF(INDEX([1]Pivot!$B$1:$AB$65000,$B803,AV$5)="",2,0)),0)</f>
        <v>0</v>
      </c>
      <c r="AW803" s="313">
        <f>IFERROR(IF(INDEX([1]Pivot!$BF$1:$CG$65000,$B803,AW$5)=1,1,IF(INDEX([1]Pivot!$B$1:$AB$65000,$B803,AW$5)="",2,0)),0)</f>
        <v>0</v>
      </c>
      <c r="AX803" s="313">
        <f>IFERROR(IF(INDEX([1]Pivot!$BF$1:$CG$65000,$B803,AX$5)=1,1,IF(INDEX([1]Pivot!$B$1:$AB$65000,$B803,AX$5)="",2,0)),0)</f>
        <v>0</v>
      </c>
      <c r="AY803" s="313">
        <f>IFERROR(IF(INDEX([1]Pivot!$BF$1:$CG$65000,$B803,AY$5)=1,1,IF(INDEX([1]Pivot!$B$1:$AB$65000,$B803,AY$5)="",2,0)),0)</f>
        <v>0</v>
      </c>
      <c r="AZ803" s="313">
        <f>IFERROR(IF(INDEX([1]Pivot!$BF$1:$CG$65000,$B803,AZ$5)=1,1,IF(INDEX([1]Pivot!$B$1:$AB$65000,$B803,AZ$5)="",2,0)),0)</f>
        <v>0</v>
      </c>
      <c r="BA803" s="313">
        <f>IFERROR(IF(INDEX([1]Pivot!$BF$1:$CG$65000,$B803,BA$5)=1,1,IF(INDEX([1]Pivot!$B$1:$AB$65000,$B803,BA$5)="",2,0)),0)</f>
        <v>0</v>
      </c>
      <c r="BB803" s="313">
        <f>IFERROR(IF(INDEX([1]Pivot!$BF$1:$CG$65000,$B803,BB$5)=1,1,IF(INDEX([1]Pivot!$B$1:$AB$65000,$B803,BB$5)="",2,0)),0)</f>
        <v>0</v>
      </c>
      <c r="BC803" s="313">
        <f>IFERROR(IF(INDEX([1]Pivot!$BF$1:$CG$65000,$B803,BC$5)=1,1,IF(INDEX([1]Pivot!$B$1:$AB$65000,$B803,BC$5)="",2,0)),0)</f>
        <v>0</v>
      </c>
      <c r="BD803" s="313">
        <f>IFERROR(IF(INDEX([1]Pivot!$BF$1:$CG$65000,$B803,BD$5)=1,1,IF(INDEX([1]Pivot!$B$1:$AB$65000,$B803,BD$5)="",2,0)),0)</f>
        <v>0</v>
      </c>
    </row>
    <row r="804" spans="1:56" x14ac:dyDescent="0.25">
      <c r="A804" s="288">
        <f>'[2]Raw Milk Prices'!A804</f>
        <v>0</v>
      </c>
      <c r="B804" s="296" t="e">
        <f>MATCH(DATE(LEFT('[2]Raw Milk Prices'!$A804,4),RIGHT('[2]Raw Milk Prices'!$A804,2),1),[1]Pivot!$A$1:$A$65000,0)</f>
        <v>#VALUE!</v>
      </c>
      <c r="C804" s="194">
        <f>IFERROR(IF(INDEX([1]Pivot!$AD$1:$BE$65000,$B804,C$5)=1,1,IF(INDEX([1]Pivot!$B$1:$AB$65000,$B804,C$5)="",2,0)),0)</f>
        <v>0</v>
      </c>
      <c r="D804" s="194">
        <f>IFERROR(IF(INDEX([1]Pivot!$AD$1:$BE$65000,$B804,D$5)=1,1,IF(INDEX([1]Pivot!$B$1:$AB$65000,$B804,D$5)="",2,0)),0)</f>
        <v>0</v>
      </c>
      <c r="E804" s="194">
        <f>IFERROR(IF(INDEX([1]Pivot!$AD$1:$BE$65000,$B804,E$5)=1,1,IF(INDEX([1]Pivot!$B$1:$AB$65000,$B804,E$5)="",2,0)),0)</f>
        <v>0</v>
      </c>
      <c r="F804" s="194">
        <f>IFERROR(IF(INDEX([1]Pivot!$AD$1:$BE$65000,$B804,F$5)=1,1,IF(INDEX([1]Pivot!$B$1:$AB$65000,$B804,F$5)="",2,0)),0)</f>
        <v>0</v>
      </c>
      <c r="G804" s="194">
        <f>IFERROR(IF(INDEX([1]Pivot!$AD$1:$BE$65000,$B804,G$5)=1,1,IF(INDEX([1]Pivot!$B$1:$AB$65000,$B804,G$5)="",2,0)),0)</f>
        <v>0</v>
      </c>
      <c r="H804" s="194">
        <f>IFERROR(IF(INDEX([1]Pivot!$AD$1:$BE$65000,$B804,H$5)=1,1,IF(INDEX([1]Pivot!$B$1:$AB$65000,$B804,H$5)="",2,0)),0)</f>
        <v>0</v>
      </c>
      <c r="I804" s="194">
        <f>IFERROR(IF(INDEX([1]Pivot!$AD$1:$BE$65000,$B804,I$5)=1,1,IF(INDEX([1]Pivot!$B$1:$AB$65000,$B804,I$5)="",2,0)),0)</f>
        <v>0</v>
      </c>
      <c r="J804" s="194">
        <f>IFERROR(IF(INDEX([1]Pivot!$AD$1:$BE$65000,$B804,J$5)=1,1,IF(INDEX([1]Pivot!$B$1:$AB$65000,$B804,J$5)="",2,0)),0)</f>
        <v>0</v>
      </c>
      <c r="K804" s="194">
        <f>IFERROR(IF(INDEX([1]Pivot!$AD$1:$BE$65000,$B804,K$5)=1,1,IF(INDEX([1]Pivot!$B$1:$AB$65000,$B804,K$5)="",2,0)),0)</f>
        <v>0</v>
      </c>
      <c r="L804" s="194">
        <f>IFERROR(IF(INDEX([1]Pivot!$AD$1:$BE$65000,$B804,L$5)=1,1,IF(INDEX([1]Pivot!$B$1:$AB$65000,$B804,L$5)="",2,0)),0)</f>
        <v>0</v>
      </c>
      <c r="M804" s="194">
        <f>IFERROR(IF(INDEX([1]Pivot!$AD$1:$BE$65000,$B804,M$5)=1,1,IF(INDEX([1]Pivot!$B$1:$AB$65000,$B804,M$5)="",2,0)),0)</f>
        <v>0</v>
      </c>
      <c r="N804" s="194">
        <f>IFERROR(IF(INDEX([1]Pivot!$AD$1:$BE$65000,$B804,N$5)=1,1,IF(INDEX([1]Pivot!$B$1:$AB$65000,$B804,N$5)="",2,0)),0)</f>
        <v>0</v>
      </c>
      <c r="O804" s="194">
        <f>IFERROR(IF(INDEX([1]Pivot!$AD$1:$BE$65000,$B804,O$5)=1,1,IF(INDEX([1]Pivot!$B$1:$AB$65000,$B804,O$5)="",2,0)),0)</f>
        <v>0</v>
      </c>
      <c r="P804" s="194">
        <f>IFERROR(IF(INDEX([1]Pivot!$AD$1:$BE$65000,$B804,P$5)=1,1,IF(INDEX([1]Pivot!$B$1:$AB$65000,$B804,P$5)="",2,0)),0)</f>
        <v>0</v>
      </c>
      <c r="Q804" s="194">
        <f>IFERROR(IF(INDEX([1]Pivot!$AD$1:$BE$65000,$B804,Q$5)=1,1,IF(INDEX([1]Pivot!$B$1:$AB$65000,$B804,Q$5)="",2,0)),0)</f>
        <v>0</v>
      </c>
      <c r="R804" s="312"/>
      <c r="S804" s="194">
        <f>IFERROR(IF(INDEX([1]Pivot!$AD$1:$BE$65000,$B804,S$5)=1,1,IF(INDEX([1]Pivot!$B$1:$AB$65000,$B804,S$5)="",2,0)),0)</f>
        <v>0</v>
      </c>
      <c r="T804" s="194">
        <f>IFERROR(IF(INDEX([1]Pivot!$AD$1:$BE$65000,$B804,T$5)=1,1,IF(INDEX([1]Pivot!$B$1:$AB$65000,$B804,T$5)="",2,0)),0)</f>
        <v>0</v>
      </c>
      <c r="U804" s="194">
        <f>IFERROR(IF(INDEX([1]Pivot!$AD$1:$BE$65000,$B804,U$5)=1,1,IF(INDEX([1]Pivot!$B$1:$AB$65000,$B804,U$5)="",2,0)),0)</f>
        <v>0</v>
      </c>
      <c r="V804" s="194">
        <f>IFERROR(IF(INDEX([1]Pivot!$AD$1:$BE$65000,$B804,V$5)=1,1,IF(INDEX([1]Pivot!$B$1:$AB$65000,$B804,V$5)="",2,0)),0)</f>
        <v>0</v>
      </c>
      <c r="W804" s="194">
        <f>IFERROR(IF(INDEX([1]Pivot!$AD$1:$BE$65000,$B804,W$5)=1,1,IF(INDEX([1]Pivot!$B$1:$AB$65000,$B804,W$5)="",2,0)),0)</f>
        <v>0</v>
      </c>
      <c r="X804" s="194">
        <f>IFERROR(IF(INDEX([1]Pivot!$AD$1:$BE$65000,$B804,X$5)=1,1,IF(INDEX([1]Pivot!$B$1:$AB$65000,$B804,X$5)="",2,0)),0)</f>
        <v>0</v>
      </c>
      <c r="Y804" s="194">
        <f>IFERROR(IF(INDEX([1]Pivot!$AD$1:$BE$65000,$B804,Y$5)=1,1,IF(INDEX([1]Pivot!$B$1:$AB$65000,$B804,Y$5)="",2,0)),0)</f>
        <v>0</v>
      </c>
      <c r="Z804" s="194">
        <f>IFERROR(IF(INDEX([1]Pivot!$AD$1:$BE$65000,$B804,Z$5)=1,1,IF(INDEX([1]Pivot!$B$1:$AB$65000,$B804,Z$5)="",2,0)),0)</f>
        <v>0</v>
      </c>
      <c r="AA804" s="194">
        <f>IFERROR(IF(INDEX([1]Pivot!$AD$1:$BE$65000,$B804,AA$5)=1,1,IF(INDEX([1]Pivot!$B$1:$AB$65000,$B804,AA$5)="",2,0)),0)</f>
        <v>0</v>
      </c>
      <c r="AB804" s="194">
        <f>IFERROR(IF(INDEX([1]Pivot!$AD$1:$BE$65000,$B804,AB$5)=1,1,IF(INDEX([1]Pivot!$B$1:$AB$65000,$B804,AB$5)="",2,0)),0)</f>
        <v>0</v>
      </c>
      <c r="AC804" s="194">
        <f>IFERROR(IF(INDEX([1]Pivot!$AD$1:$BE$65000,$B804,AC$5)=1,1,IF(INDEX([1]Pivot!$B$1:$AB$65000,$B804,AC$5)="",2,0)),0)</f>
        <v>0</v>
      </c>
      <c r="AD804" s="313">
        <f>IFERROR(IF(INDEX([1]Pivot!$BF$1:$CG$65000,$B804,AD$5)=1,1,IF(INDEX([1]Pivot!$B$1:$AB$65000,$B804,AD$5)="",2,0)),0)</f>
        <v>0</v>
      </c>
      <c r="AE804" s="313">
        <f>IFERROR(IF(INDEX([1]Pivot!$BF$1:$CG$65000,$B804,AE$5)=1,1,IF(INDEX([1]Pivot!$B$1:$AB$65000,$B804,AE$5)="",2,0)),0)</f>
        <v>0</v>
      </c>
      <c r="AF804" s="313">
        <f>IFERROR(IF(INDEX([1]Pivot!$BF$1:$CG$65000,$B804,AF$5)=1,1,IF(INDEX([1]Pivot!$B$1:$AB$65000,$B804,AF$5)="",2,0)),0)</f>
        <v>0</v>
      </c>
      <c r="AG804" s="313">
        <f>IFERROR(IF(INDEX([1]Pivot!$BF$1:$CG$65000,$B804,AG$5)=1,1,IF(INDEX([1]Pivot!$B$1:$AB$65000,$B804,AG$5)="",2,0)),0)</f>
        <v>0</v>
      </c>
      <c r="AH804" s="313">
        <f>IFERROR(IF(INDEX([1]Pivot!$BF$1:$CG$65000,$B804,AH$5)=1,1,IF(INDEX([1]Pivot!$B$1:$AB$65000,$B804,AH$5)="",2,0)),0)</f>
        <v>0</v>
      </c>
      <c r="AI804" s="313">
        <f>IFERROR(IF(INDEX([1]Pivot!$BF$1:$CG$65000,$B804,AI$5)=1,1,IF(INDEX([1]Pivot!$B$1:$AB$65000,$B804,AI$5)="",2,0)),0)</f>
        <v>0</v>
      </c>
      <c r="AJ804" s="313">
        <f>IFERROR(IF(INDEX([1]Pivot!$BF$1:$CG$65000,$B804,AJ$5)=1,1,IF(INDEX([1]Pivot!$B$1:$AB$65000,$B804,AJ$5)="",2,0)),0)</f>
        <v>0</v>
      </c>
      <c r="AK804" s="313">
        <f>IFERROR(IF(INDEX([1]Pivot!$BF$1:$CG$65000,$B804,AK$5)=1,1,IF(INDEX([1]Pivot!$B$1:$AB$65000,$B804,AK$5)="",2,0)),0)</f>
        <v>0</v>
      </c>
      <c r="AL804" s="313">
        <f>IFERROR(IF(INDEX([1]Pivot!$BF$1:$CG$65000,$B804,AL$5)=1,1,IF(INDEX([1]Pivot!$B$1:$AB$65000,$B804,AL$5)="",2,0)),0)</f>
        <v>0</v>
      </c>
      <c r="AM804" s="313">
        <f>IFERROR(IF(INDEX([1]Pivot!$BF$1:$CG$65000,$B804,AM$5)=1,1,IF(INDEX([1]Pivot!$B$1:$AB$65000,$B804,AM$5)="",2,0)),0)</f>
        <v>0</v>
      </c>
      <c r="AN804" s="313">
        <f>IFERROR(IF(INDEX([1]Pivot!$BF$1:$CG$65000,$B804,AN$5)=1,1,IF(INDEX([1]Pivot!$B$1:$AB$65000,$B804,AN$5)="",2,0)),0)</f>
        <v>0</v>
      </c>
      <c r="AO804" s="313">
        <f>IFERROR(IF(INDEX([1]Pivot!$BF$1:$CG$65000,$B804,AO$5)=1,1,IF(INDEX([1]Pivot!$B$1:$AB$65000,$B804,AO$5)="",2,0)),0)</f>
        <v>0</v>
      </c>
      <c r="AP804" s="313">
        <f>IFERROR(IF(INDEX([1]Pivot!$BF$1:$CG$65000,$B804,AP$5)=1,1,IF(INDEX([1]Pivot!$B$1:$AB$65000,$B804,AP$5)="",2,0)),0)</f>
        <v>0</v>
      </c>
      <c r="AQ804" s="313">
        <f>IFERROR(IF(INDEX([1]Pivot!$BF$1:$CG$65000,$B804,AQ$5)=1,1,IF(INDEX([1]Pivot!$B$1:$AB$65000,$B804,AQ$5)="",2,0)),0)</f>
        <v>0</v>
      </c>
      <c r="AR804" s="313">
        <f>IFERROR(IF(INDEX([1]Pivot!$BF$1:$CG$65000,$B804,AR$5)=1,1,IF(INDEX([1]Pivot!$B$1:$AB$65000,$B804,AR$5)="",2,0)),0)</f>
        <v>0</v>
      </c>
      <c r="AS804" s="312"/>
      <c r="AT804" s="313">
        <f>IFERROR(IF(INDEX([1]Pivot!$BF$1:$CG$65000,$B804,AT$5)=1,1,IF(INDEX([1]Pivot!$B$1:$AB$65000,$B804,AT$5)="",2,0)),0)</f>
        <v>0</v>
      </c>
      <c r="AU804" s="313">
        <f>IFERROR(IF(INDEX([1]Pivot!$BF$1:$CG$65000,$B804,AU$5)=1,1,IF(INDEX([1]Pivot!$B$1:$AB$65000,$B804,AU$5)="",2,0)),0)</f>
        <v>0</v>
      </c>
      <c r="AV804" s="313">
        <f>IFERROR(IF(INDEX([1]Pivot!$BF$1:$CG$65000,$B804,AV$5)=1,1,IF(INDEX([1]Pivot!$B$1:$AB$65000,$B804,AV$5)="",2,0)),0)</f>
        <v>0</v>
      </c>
      <c r="AW804" s="313">
        <f>IFERROR(IF(INDEX([1]Pivot!$BF$1:$CG$65000,$B804,AW$5)=1,1,IF(INDEX([1]Pivot!$B$1:$AB$65000,$B804,AW$5)="",2,0)),0)</f>
        <v>0</v>
      </c>
      <c r="AX804" s="313">
        <f>IFERROR(IF(INDEX([1]Pivot!$BF$1:$CG$65000,$B804,AX$5)=1,1,IF(INDEX([1]Pivot!$B$1:$AB$65000,$B804,AX$5)="",2,0)),0)</f>
        <v>0</v>
      </c>
      <c r="AY804" s="313">
        <f>IFERROR(IF(INDEX([1]Pivot!$BF$1:$CG$65000,$B804,AY$5)=1,1,IF(INDEX([1]Pivot!$B$1:$AB$65000,$B804,AY$5)="",2,0)),0)</f>
        <v>0</v>
      </c>
      <c r="AZ804" s="313">
        <f>IFERROR(IF(INDEX([1]Pivot!$BF$1:$CG$65000,$B804,AZ$5)=1,1,IF(INDEX([1]Pivot!$B$1:$AB$65000,$B804,AZ$5)="",2,0)),0)</f>
        <v>0</v>
      </c>
      <c r="BA804" s="313">
        <f>IFERROR(IF(INDEX([1]Pivot!$BF$1:$CG$65000,$B804,BA$5)=1,1,IF(INDEX([1]Pivot!$B$1:$AB$65000,$B804,BA$5)="",2,0)),0)</f>
        <v>0</v>
      </c>
      <c r="BB804" s="313">
        <f>IFERROR(IF(INDEX([1]Pivot!$BF$1:$CG$65000,$B804,BB$5)=1,1,IF(INDEX([1]Pivot!$B$1:$AB$65000,$B804,BB$5)="",2,0)),0)</f>
        <v>0</v>
      </c>
      <c r="BC804" s="313">
        <f>IFERROR(IF(INDEX([1]Pivot!$BF$1:$CG$65000,$B804,BC$5)=1,1,IF(INDEX([1]Pivot!$B$1:$AB$65000,$B804,BC$5)="",2,0)),0)</f>
        <v>0</v>
      </c>
      <c r="BD804" s="313">
        <f>IFERROR(IF(INDEX([1]Pivot!$BF$1:$CG$65000,$B804,BD$5)=1,1,IF(INDEX([1]Pivot!$B$1:$AB$65000,$B804,BD$5)="",2,0)),0)</f>
        <v>0</v>
      </c>
    </row>
    <row r="805" spans="1:56" x14ac:dyDescent="0.25">
      <c r="A805" s="288">
        <f>'[2]Raw Milk Prices'!A805</f>
        <v>0</v>
      </c>
      <c r="B805" s="296" t="e">
        <f>MATCH(DATE(LEFT('[2]Raw Milk Prices'!$A805,4),RIGHT('[2]Raw Milk Prices'!$A805,2),1),[1]Pivot!$A$1:$A$65000,0)</f>
        <v>#VALUE!</v>
      </c>
      <c r="C805" s="194">
        <f>IFERROR(IF(INDEX([1]Pivot!$AD$1:$BE$65000,$B805,C$5)=1,1,IF(INDEX([1]Pivot!$B$1:$AB$65000,$B805,C$5)="",2,0)),0)</f>
        <v>0</v>
      </c>
      <c r="D805" s="194">
        <f>IFERROR(IF(INDEX([1]Pivot!$AD$1:$BE$65000,$B805,D$5)=1,1,IF(INDEX([1]Pivot!$B$1:$AB$65000,$B805,D$5)="",2,0)),0)</f>
        <v>0</v>
      </c>
      <c r="E805" s="194">
        <f>IFERROR(IF(INDEX([1]Pivot!$AD$1:$BE$65000,$B805,E$5)=1,1,IF(INDEX([1]Pivot!$B$1:$AB$65000,$B805,E$5)="",2,0)),0)</f>
        <v>0</v>
      </c>
      <c r="F805" s="194">
        <f>IFERROR(IF(INDEX([1]Pivot!$AD$1:$BE$65000,$B805,F$5)=1,1,IF(INDEX([1]Pivot!$B$1:$AB$65000,$B805,F$5)="",2,0)),0)</f>
        <v>0</v>
      </c>
      <c r="G805" s="194">
        <f>IFERROR(IF(INDEX([1]Pivot!$AD$1:$BE$65000,$B805,G$5)=1,1,IF(INDEX([1]Pivot!$B$1:$AB$65000,$B805,G$5)="",2,0)),0)</f>
        <v>0</v>
      </c>
      <c r="H805" s="194">
        <f>IFERROR(IF(INDEX([1]Pivot!$AD$1:$BE$65000,$B805,H$5)=1,1,IF(INDEX([1]Pivot!$B$1:$AB$65000,$B805,H$5)="",2,0)),0)</f>
        <v>0</v>
      </c>
      <c r="I805" s="194">
        <f>IFERROR(IF(INDEX([1]Pivot!$AD$1:$BE$65000,$B805,I$5)=1,1,IF(INDEX([1]Pivot!$B$1:$AB$65000,$B805,I$5)="",2,0)),0)</f>
        <v>0</v>
      </c>
      <c r="J805" s="194">
        <f>IFERROR(IF(INDEX([1]Pivot!$AD$1:$BE$65000,$B805,J$5)=1,1,IF(INDEX([1]Pivot!$B$1:$AB$65000,$B805,J$5)="",2,0)),0)</f>
        <v>0</v>
      </c>
      <c r="K805" s="194">
        <f>IFERROR(IF(INDEX([1]Pivot!$AD$1:$BE$65000,$B805,K$5)=1,1,IF(INDEX([1]Pivot!$B$1:$AB$65000,$B805,K$5)="",2,0)),0)</f>
        <v>0</v>
      </c>
      <c r="L805" s="194">
        <f>IFERROR(IF(INDEX([1]Pivot!$AD$1:$BE$65000,$B805,L$5)=1,1,IF(INDEX([1]Pivot!$B$1:$AB$65000,$B805,L$5)="",2,0)),0)</f>
        <v>0</v>
      </c>
      <c r="M805" s="194">
        <f>IFERROR(IF(INDEX([1]Pivot!$AD$1:$BE$65000,$B805,M$5)=1,1,IF(INDEX([1]Pivot!$B$1:$AB$65000,$B805,M$5)="",2,0)),0)</f>
        <v>0</v>
      </c>
      <c r="N805" s="194">
        <f>IFERROR(IF(INDEX([1]Pivot!$AD$1:$BE$65000,$B805,N$5)=1,1,IF(INDEX([1]Pivot!$B$1:$AB$65000,$B805,N$5)="",2,0)),0)</f>
        <v>0</v>
      </c>
      <c r="O805" s="194">
        <f>IFERROR(IF(INDEX([1]Pivot!$AD$1:$BE$65000,$B805,O$5)=1,1,IF(INDEX([1]Pivot!$B$1:$AB$65000,$B805,O$5)="",2,0)),0)</f>
        <v>0</v>
      </c>
      <c r="P805" s="194">
        <f>IFERROR(IF(INDEX([1]Pivot!$AD$1:$BE$65000,$B805,P$5)=1,1,IF(INDEX([1]Pivot!$B$1:$AB$65000,$B805,P$5)="",2,0)),0)</f>
        <v>0</v>
      </c>
      <c r="Q805" s="194">
        <f>IFERROR(IF(INDEX([1]Pivot!$AD$1:$BE$65000,$B805,Q$5)=1,1,IF(INDEX([1]Pivot!$B$1:$AB$65000,$B805,Q$5)="",2,0)),0)</f>
        <v>0</v>
      </c>
      <c r="R805" s="312"/>
      <c r="S805" s="194">
        <f>IFERROR(IF(INDEX([1]Pivot!$AD$1:$BE$65000,$B805,S$5)=1,1,IF(INDEX([1]Pivot!$B$1:$AB$65000,$B805,S$5)="",2,0)),0)</f>
        <v>0</v>
      </c>
      <c r="T805" s="194">
        <f>IFERROR(IF(INDEX([1]Pivot!$AD$1:$BE$65000,$B805,T$5)=1,1,IF(INDEX([1]Pivot!$B$1:$AB$65000,$B805,T$5)="",2,0)),0)</f>
        <v>0</v>
      </c>
      <c r="U805" s="194">
        <f>IFERROR(IF(INDEX([1]Pivot!$AD$1:$BE$65000,$B805,U$5)=1,1,IF(INDEX([1]Pivot!$B$1:$AB$65000,$B805,U$5)="",2,0)),0)</f>
        <v>0</v>
      </c>
      <c r="V805" s="194">
        <f>IFERROR(IF(INDEX([1]Pivot!$AD$1:$BE$65000,$B805,V$5)=1,1,IF(INDEX([1]Pivot!$B$1:$AB$65000,$B805,V$5)="",2,0)),0)</f>
        <v>0</v>
      </c>
      <c r="W805" s="194">
        <f>IFERROR(IF(INDEX([1]Pivot!$AD$1:$BE$65000,$B805,W$5)=1,1,IF(INDEX([1]Pivot!$B$1:$AB$65000,$B805,W$5)="",2,0)),0)</f>
        <v>0</v>
      </c>
      <c r="X805" s="194">
        <f>IFERROR(IF(INDEX([1]Pivot!$AD$1:$BE$65000,$B805,X$5)=1,1,IF(INDEX([1]Pivot!$B$1:$AB$65000,$B805,X$5)="",2,0)),0)</f>
        <v>0</v>
      </c>
      <c r="Y805" s="194">
        <f>IFERROR(IF(INDEX([1]Pivot!$AD$1:$BE$65000,$B805,Y$5)=1,1,IF(INDEX([1]Pivot!$B$1:$AB$65000,$B805,Y$5)="",2,0)),0)</f>
        <v>0</v>
      </c>
      <c r="Z805" s="194">
        <f>IFERROR(IF(INDEX([1]Pivot!$AD$1:$BE$65000,$B805,Z$5)=1,1,IF(INDEX([1]Pivot!$B$1:$AB$65000,$B805,Z$5)="",2,0)),0)</f>
        <v>0</v>
      </c>
      <c r="AA805" s="194">
        <f>IFERROR(IF(INDEX([1]Pivot!$AD$1:$BE$65000,$B805,AA$5)=1,1,IF(INDEX([1]Pivot!$B$1:$AB$65000,$B805,AA$5)="",2,0)),0)</f>
        <v>0</v>
      </c>
      <c r="AB805" s="194">
        <f>IFERROR(IF(INDEX([1]Pivot!$AD$1:$BE$65000,$B805,AB$5)=1,1,IF(INDEX([1]Pivot!$B$1:$AB$65000,$B805,AB$5)="",2,0)),0)</f>
        <v>0</v>
      </c>
      <c r="AC805" s="194">
        <f>IFERROR(IF(INDEX([1]Pivot!$AD$1:$BE$65000,$B805,AC$5)=1,1,IF(INDEX([1]Pivot!$B$1:$AB$65000,$B805,AC$5)="",2,0)),0)</f>
        <v>0</v>
      </c>
      <c r="AD805" s="313">
        <f>IFERROR(IF(INDEX([1]Pivot!$BF$1:$CG$65000,$B805,AD$5)=1,1,IF(INDEX([1]Pivot!$B$1:$AB$65000,$B805,AD$5)="",2,0)),0)</f>
        <v>0</v>
      </c>
      <c r="AE805" s="313">
        <f>IFERROR(IF(INDEX([1]Pivot!$BF$1:$CG$65000,$B805,AE$5)=1,1,IF(INDEX([1]Pivot!$B$1:$AB$65000,$B805,AE$5)="",2,0)),0)</f>
        <v>0</v>
      </c>
      <c r="AF805" s="313">
        <f>IFERROR(IF(INDEX([1]Pivot!$BF$1:$CG$65000,$B805,AF$5)=1,1,IF(INDEX([1]Pivot!$B$1:$AB$65000,$B805,AF$5)="",2,0)),0)</f>
        <v>0</v>
      </c>
      <c r="AG805" s="313">
        <f>IFERROR(IF(INDEX([1]Pivot!$BF$1:$CG$65000,$B805,AG$5)=1,1,IF(INDEX([1]Pivot!$B$1:$AB$65000,$B805,AG$5)="",2,0)),0)</f>
        <v>0</v>
      </c>
      <c r="AH805" s="313">
        <f>IFERROR(IF(INDEX([1]Pivot!$BF$1:$CG$65000,$B805,AH$5)=1,1,IF(INDEX([1]Pivot!$B$1:$AB$65000,$B805,AH$5)="",2,0)),0)</f>
        <v>0</v>
      </c>
      <c r="AI805" s="313">
        <f>IFERROR(IF(INDEX([1]Pivot!$BF$1:$CG$65000,$B805,AI$5)=1,1,IF(INDEX([1]Pivot!$B$1:$AB$65000,$B805,AI$5)="",2,0)),0)</f>
        <v>0</v>
      </c>
      <c r="AJ805" s="313">
        <f>IFERROR(IF(INDEX([1]Pivot!$BF$1:$CG$65000,$B805,AJ$5)=1,1,IF(INDEX([1]Pivot!$B$1:$AB$65000,$B805,AJ$5)="",2,0)),0)</f>
        <v>0</v>
      </c>
      <c r="AK805" s="313">
        <f>IFERROR(IF(INDEX([1]Pivot!$BF$1:$CG$65000,$B805,AK$5)=1,1,IF(INDEX([1]Pivot!$B$1:$AB$65000,$B805,AK$5)="",2,0)),0)</f>
        <v>0</v>
      </c>
      <c r="AL805" s="313">
        <f>IFERROR(IF(INDEX([1]Pivot!$BF$1:$CG$65000,$B805,AL$5)=1,1,IF(INDEX([1]Pivot!$B$1:$AB$65000,$B805,AL$5)="",2,0)),0)</f>
        <v>0</v>
      </c>
      <c r="AM805" s="313">
        <f>IFERROR(IF(INDEX([1]Pivot!$BF$1:$CG$65000,$B805,AM$5)=1,1,IF(INDEX([1]Pivot!$B$1:$AB$65000,$B805,AM$5)="",2,0)),0)</f>
        <v>0</v>
      </c>
      <c r="AN805" s="313">
        <f>IFERROR(IF(INDEX([1]Pivot!$BF$1:$CG$65000,$B805,AN$5)=1,1,IF(INDEX([1]Pivot!$B$1:$AB$65000,$B805,AN$5)="",2,0)),0)</f>
        <v>0</v>
      </c>
      <c r="AO805" s="313">
        <f>IFERROR(IF(INDEX([1]Pivot!$BF$1:$CG$65000,$B805,AO$5)=1,1,IF(INDEX([1]Pivot!$B$1:$AB$65000,$B805,AO$5)="",2,0)),0)</f>
        <v>0</v>
      </c>
      <c r="AP805" s="313">
        <f>IFERROR(IF(INDEX([1]Pivot!$BF$1:$CG$65000,$B805,AP$5)=1,1,IF(INDEX([1]Pivot!$B$1:$AB$65000,$B805,AP$5)="",2,0)),0)</f>
        <v>0</v>
      </c>
      <c r="AQ805" s="313">
        <f>IFERROR(IF(INDEX([1]Pivot!$BF$1:$CG$65000,$B805,AQ$5)=1,1,IF(INDEX([1]Pivot!$B$1:$AB$65000,$B805,AQ$5)="",2,0)),0)</f>
        <v>0</v>
      </c>
      <c r="AR805" s="313">
        <f>IFERROR(IF(INDEX([1]Pivot!$BF$1:$CG$65000,$B805,AR$5)=1,1,IF(INDEX([1]Pivot!$B$1:$AB$65000,$B805,AR$5)="",2,0)),0)</f>
        <v>0</v>
      </c>
      <c r="AS805" s="312"/>
      <c r="AT805" s="313">
        <f>IFERROR(IF(INDEX([1]Pivot!$BF$1:$CG$65000,$B805,AT$5)=1,1,IF(INDEX([1]Pivot!$B$1:$AB$65000,$B805,AT$5)="",2,0)),0)</f>
        <v>0</v>
      </c>
      <c r="AU805" s="313">
        <f>IFERROR(IF(INDEX([1]Pivot!$BF$1:$CG$65000,$B805,AU$5)=1,1,IF(INDEX([1]Pivot!$B$1:$AB$65000,$B805,AU$5)="",2,0)),0)</f>
        <v>0</v>
      </c>
      <c r="AV805" s="313">
        <f>IFERROR(IF(INDEX([1]Pivot!$BF$1:$CG$65000,$B805,AV$5)=1,1,IF(INDEX([1]Pivot!$B$1:$AB$65000,$B805,AV$5)="",2,0)),0)</f>
        <v>0</v>
      </c>
      <c r="AW805" s="313">
        <f>IFERROR(IF(INDEX([1]Pivot!$BF$1:$CG$65000,$B805,AW$5)=1,1,IF(INDEX([1]Pivot!$B$1:$AB$65000,$B805,AW$5)="",2,0)),0)</f>
        <v>0</v>
      </c>
      <c r="AX805" s="313">
        <f>IFERROR(IF(INDEX([1]Pivot!$BF$1:$CG$65000,$B805,AX$5)=1,1,IF(INDEX([1]Pivot!$B$1:$AB$65000,$B805,AX$5)="",2,0)),0)</f>
        <v>0</v>
      </c>
      <c r="AY805" s="313">
        <f>IFERROR(IF(INDEX([1]Pivot!$BF$1:$CG$65000,$B805,AY$5)=1,1,IF(INDEX([1]Pivot!$B$1:$AB$65000,$B805,AY$5)="",2,0)),0)</f>
        <v>0</v>
      </c>
      <c r="AZ805" s="313">
        <f>IFERROR(IF(INDEX([1]Pivot!$BF$1:$CG$65000,$B805,AZ$5)=1,1,IF(INDEX([1]Pivot!$B$1:$AB$65000,$B805,AZ$5)="",2,0)),0)</f>
        <v>0</v>
      </c>
      <c r="BA805" s="313">
        <f>IFERROR(IF(INDEX([1]Pivot!$BF$1:$CG$65000,$B805,BA$5)=1,1,IF(INDEX([1]Pivot!$B$1:$AB$65000,$B805,BA$5)="",2,0)),0)</f>
        <v>0</v>
      </c>
      <c r="BB805" s="313">
        <f>IFERROR(IF(INDEX([1]Pivot!$BF$1:$CG$65000,$B805,BB$5)=1,1,IF(INDEX([1]Pivot!$B$1:$AB$65000,$B805,BB$5)="",2,0)),0)</f>
        <v>0</v>
      </c>
      <c r="BC805" s="313">
        <f>IFERROR(IF(INDEX([1]Pivot!$BF$1:$CG$65000,$B805,BC$5)=1,1,IF(INDEX([1]Pivot!$B$1:$AB$65000,$B805,BC$5)="",2,0)),0)</f>
        <v>0</v>
      </c>
      <c r="BD805" s="313">
        <f>IFERROR(IF(INDEX([1]Pivot!$BF$1:$CG$65000,$B805,BD$5)=1,1,IF(INDEX([1]Pivot!$B$1:$AB$65000,$B805,BD$5)="",2,0)),0)</f>
        <v>0</v>
      </c>
    </row>
    <row r="806" spans="1:56" x14ac:dyDescent="0.25">
      <c r="A806" s="288">
        <f>'[2]Raw Milk Prices'!A806</f>
        <v>0</v>
      </c>
      <c r="B806" s="296" t="e">
        <f>MATCH(DATE(LEFT('[2]Raw Milk Prices'!$A806,4),RIGHT('[2]Raw Milk Prices'!$A806,2),1),[1]Pivot!$A$1:$A$65000,0)</f>
        <v>#VALUE!</v>
      </c>
      <c r="C806" s="194">
        <f>IFERROR(IF(INDEX([1]Pivot!$AD$1:$BE$65000,$B806,C$5)=1,1,IF(INDEX([1]Pivot!$B$1:$AB$65000,$B806,C$5)="",2,0)),0)</f>
        <v>0</v>
      </c>
      <c r="D806" s="194">
        <f>IFERROR(IF(INDEX([1]Pivot!$AD$1:$BE$65000,$B806,D$5)=1,1,IF(INDEX([1]Pivot!$B$1:$AB$65000,$B806,D$5)="",2,0)),0)</f>
        <v>0</v>
      </c>
      <c r="E806" s="194">
        <f>IFERROR(IF(INDEX([1]Pivot!$AD$1:$BE$65000,$B806,E$5)=1,1,IF(INDEX([1]Pivot!$B$1:$AB$65000,$B806,E$5)="",2,0)),0)</f>
        <v>0</v>
      </c>
      <c r="F806" s="194">
        <f>IFERROR(IF(INDEX([1]Pivot!$AD$1:$BE$65000,$B806,F$5)=1,1,IF(INDEX([1]Pivot!$B$1:$AB$65000,$B806,F$5)="",2,0)),0)</f>
        <v>0</v>
      </c>
      <c r="G806" s="194">
        <f>IFERROR(IF(INDEX([1]Pivot!$AD$1:$BE$65000,$B806,G$5)=1,1,IF(INDEX([1]Pivot!$B$1:$AB$65000,$B806,G$5)="",2,0)),0)</f>
        <v>0</v>
      </c>
      <c r="H806" s="194">
        <f>IFERROR(IF(INDEX([1]Pivot!$AD$1:$BE$65000,$B806,H$5)=1,1,IF(INDEX([1]Pivot!$B$1:$AB$65000,$B806,H$5)="",2,0)),0)</f>
        <v>0</v>
      </c>
      <c r="I806" s="194">
        <f>IFERROR(IF(INDEX([1]Pivot!$AD$1:$BE$65000,$B806,I$5)=1,1,IF(INDEX([1]Pivot!$B$1:$AB$65000,$B806,I$5)="",2,0)),0)</f>
        <v>0</v>
      </c>
      <c r="J806" s="194">
        <f>IFERROR(IF(INDEX([1]Pivot!$AD$1:$BE$65000,$B806,J$5)=1,1,IF(INDEX([1]Pivot!$B$1:$AB$65000,$B806,J$5)="",2,0)),0)</f>
        <v>0</v>
      </c>
      <c r="K806" s="194">
        <f>IFERROR(IF(INDEX([1]Pivot!$AD$1:$BE$65000,$B806,K$5)=1,1,IF(INDEX([1]Pivot!$B$1:$AB$65000,$B806,K$5)="",2,0)),0)</f>
        <v>0</v>
      </c>
      <c r="L806" s="194">
        <f>IFERROR(IF(INDEX([1]Pivot!$AD$1:$BE$65000,$B806,L$5)=1,1,IF(INDEX([1]Pivot!$B$1:$AB$65000,$B806,L$5)="",2,0)),0)</f>
        <v>0</v>
      </c>
      <c r="M806" s="194">
        <f>IFERROR(IF(INDEX([1]Pivot!$AD$1:$BE$65000,$B806,M$5)=1,1,IF(INDEX([1]Pivot!$B$1:$AB$65000,$B806,M$5)="",2,0)),0)</f>
        <v>0</v>
      </c>
      <c r="N806" s="194">
        <f>IFERROR(IF(INDEX([1]Pivot!$AD$1:$BE$65000,$B806,N$5)=1,1,IF(INDEX([1]Pivot!$B$1:$AB$65000,$B806,N$5)="",2,0)),0)</f>
        <v>0</v>
      </c>
      <c r="O806" s="194">
        <f>IFERROR(IF(INDEX([1]Pivot!$AD$1:$BE$65000,$B806,O$5)=1,1,IF(INDEX([1]Pivot!$B$1:$AB$65000,$B806,O$5)="",2,0)),0)</f>
        <v>0</v>
      </c>
      <c r="P806" s="194">
        <f>IFERROR(IF(INDEX([1]Pivot!$AD$1:$BE$65000,$B806,P$5)=1,1,IF(INDEX([1]Pivot!$B$1:$AB$65000,$B806,P$5)="",2,0)),0)</f>
        <v>0</v>
      </c>
      <c r="Q806" s="194">
        <f>IFERROR(IF(INDEX([1]Pivot!$AD$1:$BE$65000,$B806,Q$5)=1,1,IF(INDEX([1]Pivot!$B$1:$AB$65000,$B806,Q$5)="",2,0)),0)</f>
        <v>0</v>
      </c>
      <c r="R806" s="312"/>
      <c r="S806" s="194">
        <f>IFERROR(IF(INDEX([1]Pivot!$AD$1:$BE$65000,$B806,S$5)=1,1,IF(INDEX([1]Pivot!$B$1:$AB$65000,$B806,S$5)="",2,0)),0)</f>
        <v>0</v>
      </c>
      <c r="T806" s="194">
        <f>IFERROR(IF(INDEX([1]Pivot!$AD$1:$BE$65000,$B806,T$5)=1,1,IF(INDEX([1]Pivot!$B$1:$AB$65000,$B806,T$5)="",2,0)),0)</f>
        <v>0</v>
      </c>
      <c r="U806" s="194">
        <f>IFERROR(IF(INDEX([1]Pivot!$AD$1:$BE$65000,$B806,U$5)=1,1,IF(INDEX([1]Pivot!$B$1:$AB$65000,$B806,U$5)="",2,0)),0)</f>
        <v>0</v>
      </c>
      <c r="V806" s="194">
        <f>IFERROR(IF(INDEX([1]Pivot!$AD$1:$BE$65000,$B806,V$5)=1,1,IF(INDEX([1]Pivot!$B$1:$AB$65000,$B806,V$5)="",2,0)),0)</f>
        <v>0</v>
      </c>
      <c r="W806" s="194">
        <f>IFERROR(IF(INDEX([1]Pivot!$AD$1:$BE$65000,$B806,W$5)=1,1,IF(INDEX([1]Pivot!$B$1:$AB$65000,$B806,W$5)="",2,0)),0)</f>
        <v>0</v>
      </c>
      <c r="X806" s="194">
        <f>IFERROR(IF(INDEX([1]Pivot!$AD$1:$BE$65000,$B806,X$5)=1,1,IF(INDEX([1]Pivot!$B$1:$AB$65000,$B806,X$5)="",2,0)),0)</f>
        <v>0</v>
      </c>
      <c r="Y806" s="194">
        <f>IFERROR(IF(INDEX([1]Pivot!$AD$1:$BE$65000,$B806,Y$5)=1,1,IF(INDEX([1]Pivot!$B$1:$AB$65000,$B806,Y$5)="",2,0)),0)</f>
        <v>0</v>
      </c>
      <c r="Z806" s="194">
        <f>IFERROR(IF(INDEX([1]Pivot!$AD$1:$BE$65000,$B806,Z$5)=1,1,IF(INDEX([1]Pivot!$B$1:$AB$65000,$B806,Z$5)="",2,0)),0)</f>
        <v>0</v>
      </c>
      <c r="AA806" s="194">
        <f>IFERROR(IF(INDEX([1]Pivot!$AD$1:$BE$65000,$B806,AA$5)=1,1,IF(INDEX([1]Pivot!$B$1:$AB$65000,$B806,AA$5)="",2,0)),0)</f>
        <v>0</v>
      </c>
      <c r="AB806" s="194">
        <f>IFERROR(IF(INDEX([1]Pivot!$AD$1:$BE$65000,$B806,AB$5)=1,1,IF(INDEX([1]Pivot!$B$1:$AB$65000,$B806,AB$5)="",2,0)),0)</f>
        <v>0</v>
      </c>
      <c r="AC806" s="194">
        <f>IFERROR(IF(INDEX([1]Pivot!$AD$1:$BE$65000,$B806,AC$5)=1,1,IF(INDEX([1]Pivot!$B$1:$AB$65000,$B806,AC$5)="",2,0)),0)</f>
        <v>0</v>
      </c>
      <c r="AD806" s="313">
        <f>IFERROR(IF(INDEX([1]Pivot!$BF$1:$CG$65000,$B806,AD$5)=1,1,IF(INDEX([1]Pivot!$B$1:$AB$65000,$B806,AD$5)="",2,0)),0)</f>
        <v>0</v>
      </c>
      <c r="AE806" s="313">
        <f>IFERROR(IF(INDEX([1]Pivot!$BF$1:$CG$65000,$B806,AE$5)=1,1,IF(INDEX([1]Pivot!$B$1:$AB$65000,$B806,AE$5)="",2,0)),0)</f>
        <v>0</v>
      </c>
      <c r="AF806" s="313">
        <f>IFERROR(IF(INDEX([1]Pivot!$BF$1:$CG$65000,$B806,AF$5)=1,1,IF(INDEX([1]Pivot!$B$1:$AB$65000,$B806,AF$5)="",2,0)),0)</f>
        <v>0</v>
      </c>
      <c r="AG806" s="313">
        <f>IFERROR(IF(INDEX([1]Pivot!$BF$1:$CG$65000,$B806,AG$5)=1,1,IF(INDEX([1]Pivot!$B$1:$AB$65000,$B806,AG$5)="",2,0)),0)</f>
        <v>0</v>
      </c>
      <c r="AH806" s="313">
        <f>IFERROR(IF(INDEX([1]Pivot!$BF$1:$CG$65000,$B806,AH$5)=1,1,IF(INDEX([1]Pivot!$B$1:$AB$65000,$B806,AH$5)="",2,0)),0)</f>
        <v>0</v>
      </c>
      <c r="AI806" s="313">
        <f>IFERROR(IF(INDEX([1]Pivot!$BF$1:$CG$65000,$B806,AI$5)=1,1,IF(INDEX([1]Pivot!$B$1:$AB$65000,$B806,AI$5)="",2,0)),0)</f>
        <v>0</v>
      </c>
      <c r="AJ806" s="313">
        <f>IFERROR(IF(INDEX([1]Pivot!$BF$1:$CG$65000,$B806,AJ$5)=1,1,IF(INDEX([1]Pivot!$B$1:$AB$65000,$B806,AJ$5)="",2,0)),0)</f>
        <v>0</v>
      </c>
      <c r="AK806" s="313">
        <f>IFERROR(IF(INDEX([1]Pivot!$BF$1:$CG$65000,$B806,AK$5)=1,1,IF(INDEX([1]Pivot!$B$1:$AB$65000,$B806,AK$5)="",2,0)),0)</f>
        <v>0</v>
      </c>
      <c r="AL806" s="313">
        <f>IFERROR(IF(INDEX([1]Pivot!$BF$1:$CG$65000,$B806,AL$5)=1,1,IF(INDEX([1]Pivot!$B$1:$AB$65000,$B806,AL$5)="",2,0)),0)</f>
        <v>0</v>
      </c>
      <c r="AM806" s="313">
        <f>IFERROR(IF(INDEX([1]Pivot!$BF$1:$CG$65000,$B806,AM$5)=1,1,IF(INDEX([1]Pivot!$B$1:$AB$65000,$B806,AM$5)="",2,0)),0)</f>
        <v>0</v>
      </c>
      <c r="AN806" s="313">
        <f>IFERROR(IF(INDEX([1]Pivot!$BF$1:$CG$65000,$B806,AN$5)=1,1,IF(INDEX([1]Pivot!$B$1:$AB$65000,$B806,AN$5)="",2,0)),0)</f>
        <v>0</v>
      </c>
      <c r="AO806" s="313">
        <f>IFERROR(IF(INDEX([1]Pivot!$BF$1:$CG$65000,$B806,AO$5)=1,1,IF(INDEX([1]Pivot!$B$1:$AB$65000,$B806,AO$5)="",2,0)),0)</f>
        <v>0</v>
      </c>
      <c r="AP806" s="313">
        <f>IFERROR(IF(INDEX([1]Pivot!$BF$1:$CG$65000,$B806,AP$5)=1,1,IF(INDEX([1]Pivot!$B$1:$AB$65000,$B806,AP$5)="",2,0)),0)</f>
        <v>0</v>
      </c>
      <c r="AQ806" s="313">
        <f>IFERROR(IF(INDEX([1]Pivot!$BF$1:$CG$65000,$B806,AQ$5)=1,1,IF(INDEX([1]Pivot!$B$1:$AB$65000,$B806,AQ$5)="",2,0)),0)</f>
        <v>0</v>
      </c>
      <c r="AR806" s="313">
        <f>IFERROR(IF(INDEX([1]Pivot!$BF$1:$CG$65000,$B806,AR$5)=1,1,IF(INDEX([1]Pivot!$B$1:$AB$65000,$B806,AR$5)="",2,0)),0)</f>
        <v>0</v>
      </c>
      <c r="AS806" s="312"/>
      <c r="AT806" s="313">
        <f>IFERROR(IF(INDEX([1]Pivot!$BF$1:$CG$65000,$B806,AT$5)=1,1,IF(INDEX([1]Pivot!$B$1:$AB$65000,$B806,AT$5)="",2,0)),0)</f>
        <v>0</v>
      </c>
      <c r="AU806" s="313">
        <f>IFERROR(IF(INDEX([1]Pivot!$BF$1:$CG$65000,$B806,AU$5)=1,1,IF(INDEX([1]Pivot!$B$1:$AB$65000,$B806,AU$5)="",2,0)),0)</f>
        <v>0</v>
      </c>
      <c r="AV806" s="313">
        <f>IFERROR(IF(INDEX([1]Pivot!$BF$1:$CG$65000,$B806,AV$5)=1,1,IF(INDEX([1]Pivot!$B$1:$AB$65000,$B806,AV$5)="",2,0)),0)</f>
        <v>0</v>
      </c>
      <c r="AW806" s="313">
        <f>IFERROR(IF(INDEX([1]Pivot!$BF$1:$CG$65000,$B806,AW$5)=1,1,IF(INDEX([1]Pivot!$B$1:$AB$65000,$B806,AW$5)="",2,0)),0)</f>
        <v>0</v>
      </c>
      <c r="AX806" s="313">
        <f>IFERROR(IF(INDEX([1]Pivot!$BF$1:$CG$65000,$B806,AX$5)=1,1,IF(INDEX([1]Pivot!$B$1:$AB$65000,$B806,AX$5)="",2,0)),0)</f>
        <v>0</v>
      </c>
      <c r="AY806" s="313">
        <f>IFERROR(IF(INDEX([1]Pivot!$BF$1:$CG$65000,$B806,AY$5)=1,1,IF(INDEX([1]Pivot!$B$1:$AB$65000,$B806,AY$5)="",2,0)),0)</f>
        <v>0</v>
      </c>
      <c r="AZ806" s="313">
        <f>IFERROR(IF(INDEX([1]Pivot!$BF$1:$CG$65000,$B806,AZ$5)=1,1,IF(INDEX([1]Pivot!$B$1:$AB$65000,$B806,AZ$5)="",2,0)),0)</f>
        <v>0</v>
      </c>
      <c r="BA806" s="313">
        <f>IFERROR(IF(INDEX([1]Pivot!$BF$1:$CG$65000,$B806,BA$5)=1,1,IF(INDEX([1]Pivot!$B$1:$AB$65000,$B806,BA$5)="",2,0)),0)</f>
        <v>0</v>
      </c>
      <c r="BB806" s="313">
        <f>IFERROR(IF(INDEX([1]Pivot!$BF$1:$CG$65000,$B806,BB$5)=1,1,IF(INDEX([1]Pivot!$B$1:$AB$65000,$B806,BB$5)="",2,0)),0)</f>
        <v>0</v>
      </c>
      <c r="BC806" s="313">
        <f>IFERROR(IF(INDEX([1]Pivot!$BF$1:$CG$65000,$B806,BC$5)=1,1,IF(INDEX([1]Pivot!$B$1:$AB$65000,$B806,BC$5)="",2,0)),0)</f>
        <v>0</v>
      </c>
      <c r="BD806" s="313">
        <f>IFERROR(IF(INDEX([1]Pivot!$BF$1:$CG$65000,$B806,BD$5)=1,1,IF(INDEX([1]Pivot!$B$1:$AB$65000,$B806,BD$5)="",2,0)),0)</f>
        <v>0</v>
      </c>
    </row>
    <row r="807" spans="1:56" x14ac:dyDescent="0.25">
      <c r="A807" s="288">
        <f>'[2]Raw Milk Prices'!A807</f>
        <v>0</v>
      </c>
      <c r="B807" s="296" t="e">
        <f>MATCH(DATE(LEFT('[2]Raw Milk Prices'!$A807,4),RIGHT('[2]Raw Milk Prices'!$A807,2),1),[1]Pivot!$A$1:$A$65000,0)</f>
        <v>#VALUE!</v>
      </c>
      <c r="C807" s="194">
        <f>IFERROR(IF(INDEX([1]Pivot!$AD$1:$BE$65000,$B807,C$5)=1,1,IF(INDEX([1]Pivot!$B$1:$AB$65000,$B807,C$5)="",2,0)),0)</f>
        <v>0</v>
      </c>
      <c r="D807" s="194">
        <f>IFERROR(IF(INDEX([1]Pivot!$AD$1:$BE$65000,$B807,D$5)=1,1,IF(INDEX([1]Pivot!$B$1:$AB$65000,$B807,D$5)="",2,0)),0)</f>
        <v>0</v>
      </c>
      <c r="E807" s="194">
        <f>IFERROR(IF(INDEX([1]Pivot!$AD$1:$BE$65000,$B807,E$5)=1,1,IF(INDEX([1]Pivot!$B$1:$AB$65000,$B807,E$5)="",2,0)),0)</f>
        <v>0</v>
      </c>
      <c r="F807" s="194">
        <f>IFERROR(IF(INDEX([1]Pivot!$AD$1:$BE$65000,$B807,F$5)=1,1,IF(INDEX([1]Pivot!$B$1:$AB$65000,$B807,F$5)="",2,0)),0)</f>
        <v>0</v>
      </c>
      <c r="G807" s="194">
        <f>IFERROR(IF(INDEX([1]Pivot!$AD$1:$BE$65000,$B807,G$5)=1,1,IF(INDEX([1]Pivot!$B$1:$AB$65000,$B807,G$5)="",2,0)),0)</f>
        <v>0</v>
      </c>
      <c r="H807" s="194">
        <f>IFERROR(IF(INDEX([1]Pivot!$AD$1:$BE$65000,$B807,H$5)=1,1,IF(INDEX([1]Pivot!$B$1:$AB$65000,$B807,H$5)="",2,0)),0)</f>
        <v>0</v>
      </c>
      <c r="I807" s="194">
        <f>IFERROR(IF(INDEX([1]Pivot!$AD$1:$BE$65000,$B807,I$5)=1,1,IF(INDEX([1]Pivot!$B$1:$AB$65000,$B807,I$5)="",2,0)),0)</f>
        <v>0</v>
      </c>
      <c r="J807" s="194">
        <f>IFERROR(IF(INDEX([1]Pivot!$AD$1:$BE$65000,$B807,J$5)=1,1,IF(INDEX([1]Pivot!$B$1:$AB$65000,$B807,J$5)="",2,0)),0)</f>
        <v>0</v>
      </c>
      <c r="K807" s="194">
        <f>IFERROR(IF(INDEX([1]Pivot!$AD$1:$BE$65000,$B807,K$5)=1,1,IF(INDEX([1]Pivot!$B$1:$AB$65000,$B807,K$5)="",2,0)),0)</f>
        <v>0</v>
      </c>
      <c r="L807" s="194">
        <f>IFERROR(IF(INDEX([1]Pivot!$AD$1:$BE$65000,$B807,L$5)=1,1,IF(INDEX([1]Pivot!$B$1:$AB$65000,$B807,L$5)="",2,0)),0)</f>
        <v>0</v>
      </c>
      <c r="M807" s="194">
        <f>IFERROR(IF(INDEX([1]Pivot!$AD$1:$BE$65000,$B807,M$5)=1,1,IF(INDEX([1]Pivot!$B$1:$AB$65000,$B807,M$5)="",2,0)),0)</f>
        <v>0</v>
      </c>
      <c r="N807" s="194">
        <f>IFERROR(IF(INDEX([1]Pivot!$AD$1:$BE$65000,$B807,N$5)=1,1,IF(INDEX([1]Pivot!$B$1:$AB$65000,$B807,N$5)="",2,0)),0)</f>
        <v>0</v>
      </c>
      <c r="O807" s="194">
        <f>IFERROR(IF(INDEX([1]Pivot!$AD$1:$BE$65000,$B807,O$5)=1,1,IF(INDEX([1]Pivot!$B$1:$AB$65000,$B807,O$5)="",2,0)),0)</f>
        <v>0</v>
      </c>
      <c r="P807" s="194">
        <f>IFERROR(IF(INDEX([1]Pivot!$AD$1:$BE$65000,$B807,P$5)=1,1,IF(INDEX([1]Pivot!$B$1:$AB$65000,$B807,P$5)="",2,0)),0)</f>
        <v>0</v>
      </c>
      <c r="Q807" s="194">
        <f>IFERROR(IF(INDEX([1]Pivot!$AD$1:$BE$65000,$B807,Q$5)=1,1,IF(INDEX([1]Pivot!$B$1:$AB$65000,$B807,Q$5)="",2,0)),0)</f>
        <v>0</v>
      </c>
      <c r="R807" s="312"/>
      <c r="S807" s="194">
        <f>IFERROR(IF(INDEX([1]Pivot!$AD$1:$BE$65000,$B807,S$5)=1,1,IF(INDEX([1]Pivot!$B$1:$AB$65000,$B807,S$5)="",2,0)),0)</f>
        <v>0</v>
      </c>
      <c r="T807" s="194">
        <f>IFERROR(IF(INDEX([1]Pivot!$AD$1:$BE$65000,$B807,T$5)=1,1,IF(INDEX([1]Pivot!$B$1:$AB$65000,$B807,T$5)="",2,0)),0)</f>
        <v>0</v>
      </c>
      <c r="U807" s="194">
        <f>IFERROR(IF(INDEX([1]Pivot!$AD$1:$BE$65000,$B807,U$5)=1,1,IF(INDEX([1]Pivot!$B$1:$AB$65000,$B807,U$5)="",2,0)),0)</f>
        <v>0</v>
      </c>
      <c r="V807" s="194">
        <f>IFERROR(IF(INDEX([1]Pivot!$AD$1:$BE$65000,$B807,V$5)=1,1,IF(INDEX([1]Pivot!$B$1:$AB$65000,$B807,V$5)="",2,0)),0)</f>
        <v>0</v>
      </c>
      <c r="W807" s="194">
        <f>IFERROR(IF(INDEX([1]Pivot!$AD$1:$BE$65000,$B807,W$5)=1,1,IF(INDEX([1]Pivot!$B$1:$AB$65000,$B807,W$5)="",2,0)),0)</f>
        <v>0</v>
      </c>
      <c r="X807" s="194">
        <f>IFERROR(IF(INDEX([1]Pivot!$AD$1:$BE$65000,$B807,X$5)=1,1,IF(INDEX([1]Pivot!$B$1:$AB$65000,$B807,X$5)="",2,0)),0)</f>
        <v>0</v>
      </c>
      <c r="Y807" s="194">
        <f>IFERROR(IF(INDEX([1]Pivot!$AD$1:$BE$65000,$B807,Y$5)=1,1,IF(INDEX([1]Pivot!$B$1:$AB$65000,$B807,Y$5)="",2,0)),0)</f>
        <v>0</v>
      </c>
      <c r="Z807" s="194">
        <f>IFERROR(IF(INDEX([1]Pivot!$AD$1:$BE$65000,$B807,Z$5)=1,1,IF(INDEX([1]Pivot!$B$1:$AB$65000,$B807,Z$5)="",2,0)),0)</f>
        <v>0</v>
      </c>
      <c r="AA807" s="194">
        <f>IFERROR(IF(INDEX([1]Pivot!$AD$1:$BE$65000,$B807,AA$5)=1,1,IF(INDEX([1]Pivot!$B$1:$AB$65000,$B807,AA$5)="",2,0)),0)</f>
        <v>0</v>
      </c>
      <c r="AB807" s="194">
        <f>IFERROR(IF(INDEX([1]Pivot!$AD$1:$BE$65000,$B807,AB$5)=1,1,IF(INDEX([1]Pivot!$B$1:$AB$65000,$B807,AB$5)="",2,0)),0)</f>
        <v>0</v>
      </c>
      <c r="AC807" s="194">
        <f>IFERROR(IF(INDEX([1]Pivot!$AD$1:$BE$65000,$B807,AC$5)=1,1,IF(INDEX([1]Pivot!$B$1:$AB$65000,$B807,AC$5)="",2,0)),0)</f>
        <v>0</v>
      </c>
      <c r="AD807" s="313">
        <f>IFERROR(IF(INDEX([1]Pivot!$BF$1:$CG$65000,$B807,AD$5)=1,1,IF(INDEX([1]Pivot!$B$1:$AB$65000,$B807,AD$5)="",2,0)),0)</f>
        <v>0</v>
      </c>
      <c r="AE807" s="313">
        <f>IFERROR(IF(INDEX([1]Pivot!$BF$1:$CG$65000,$B807,AE$5)=1,1,IF(INDEX([1]Pivot!$B$1:$AB$65000,$B807,AE$5)="",2,0)),0)</f>
        <v>0</v>
      </c>
      <c r="AF807" s="313">
        <f>IFERROR(IF(INDEX([1]Pivot!$BF$1:$CG$65000,$B807,AF$5)=1,1,IF(INDEX([1]Pivot!$B$1:$AB$65000,$B807,AF$5)="",2,0)),0)</f>
        <v>0</v>
      </c>
      <c r="AG807" s="313">
        <f>IFERROR(IF(INDEX([1]Pivot!$BF$1:$CG$65000,$B807,AG$5)=1,1,IF(INDEX([1]Pivot!$B$1:$AB$65000,$B807,AG$5)="",2,0)),0)</f>
        <v>0</v>
      </c>
      <c r="AH807" s="313">
        <f>IFERROR(IF(INDEX([1]Pivot!$BF$1:$CG$65000,$B807,AH$5)=1,1,IF(INDEX([1]Pivot!$B$1:$AB$65000,$B807,AH$5)="",2,0)),0)</f>
        <v>0</v>
      </c>
      <c r="AI807" s="313">
        <f>IFERROR(IF(INDEX([1]Pivot!$BF$1:$CG$65000,$B807,AI$5)=1,1,IF(INDEX([1]Pivot!$B$1:$AB$65000,$B807,AI$5)="",2,0)),0)</f>
        <v>0</v>
      </c>
      <c r="AJ807" s="313">
        <f>IFERROR(IF(INDEX([1]Pivot!$BF$1:$CG$65000,$B807,AJ$5)=1,1,IF(INDEX([1]Pivot!$B$1:$AB$65000,$B807,AJ$5)="",2,0)),0)</f>
        <v>0</v>
      </c>
      <c r="AK807" s="313">
        <f>IFERROR(IF(INDEX([1]Pivot!$BF$1:$CG$65000,$B807,AK$5)=1,1,IF(INDEX([1]Pivot!$B$1:$AB$65000,$B807,AK$5)="",2,0)),0)</f>
        <v>0</v>
      </c>
      <c r="AL807" s="313">
        <f>IFERROR(IF(INDEX([1]Pivot!$BF$1:$CG$65000,$B807,AL$5)=1,1,IF(INDEX([1]Pivot!$B$1:$AB$65000,$B807,AL$5)="",2,0)),0)</f>
        <v>0</v>
      </c>
      <c r="AM807" s="313">
        <f>IFERROR(IF(INDEX([1]Pivot!$BF$1:$CG$65000,$B807,AM$5)=1,1,IF(INDEX([1]Pivot!$B$1:$AB$65000,$B807,AM$5)="",2,0)),0)</f>
        <v>0</v>
      </c>
      <c r="AN807" s="313">
        <f>IFERROR(IF(INDEX([1]Pivot!$BF$1:$CG$65000,$B807,AN$5)=1,1,IF(INDEX([1]Pivot!$B$1:$AB$65000,$B807,AN$5)="",2,0)),0)</f>
        <v>0</v>
      </c>
      <c r="AO807" s="313">
        <f>IFERROR(IF(INDEX([1]Pivot!$BF$1:$CG$65000,$B807,AO$5)=1,1,IF(INDEX([1]Pivot!$B$1:$AB$65000,$B807,AO$5)="",2,0)),0)</f>
        <v>0</v>
      </c>
      <c r="AP807" s="313">
        <f>IFERROR(IF(INDEX([1]Pivot!$BF$1:$CG$65000,$B807,AP$5)=1,1,IF(INDEX([1]Pivot!$B$1:$AB$65000,$B807,AP$5)="",2,0)),0)</f>
        <v>0</v>
      </c>
      <c r="AQ807" s="313">
        <f>IFERROR(IF(INDEX([1]Pivot!$BF$1:$CG$65000,$B807,AQ$5)=1,1,IF(INDEX([1]Pivot!$B$1:$AB$65000,$B807,AQ$5)="",2,0)),0)</f>
        <v>0</v>
      </c>
      <c r="AR807" s="313">
        <f>IFERROR(IF(INDEX([1]Pivot!$BF$1:$CG$65000,$B807,AR$5)=1,1,IF(INDEX([1]Pivot!$B$1:$AB$65000,$B807,AR$5)="",2,0)),0)</f>
        <v>0</v>
      </c>
      <c r="AS807" s="312"/>
      <c r="AT807" s="313">
        <f>IFERROR(IF(INDEX([1]Pivot!$BF$1:$CG$65000,$B807,AT$5)=1,1,IF(INDEX([1]Pivot!$B$1:$AB$65000,$B807,AT$5)="",2,0)),0)</f>
        <v>0</v>
      </c>
      <c r="AU807" s="313">
        <f>IFERROR(IF(INDEX([1]Pivot!$BF$1:$CG$65000,$B807,AU$5)=1,1,IF(INDEX([1]Pivot!$B$1:$AB$65000,$B807,AU$5)="",2,0)),0)</f>
        <v>0</v>
      </c>
      <c r="AV807" s="313">
        <f>IFERROR(IF(INDEX([1]Pivot!$BF$1:$CG$65000,$B807,AV$5)=1,1,IF(INDEX([1]Pivot!$B$1:$AB$65000,$B807,AV$5)="",2,0)),0)</f>
        <v>0</v>
      </c>
      <c r="AW807" s="313">
        <f>IFERROR(IF(INDEX([1]Pivot!$BF$1:$CG$65000,$B807,AW$5)=1,1,IF(INDEX([1]Pivot!$B$1:$AB$65000,$B807,AW$5)="",2,0)),0)</f>
        <v>0</v>
      </c>
      <c r="AX807" s="313">
        <f>IFERROR(IF(INDEX([1]Pivot!$BF$1:$CG$65000,$B807,AX$5)=1,1,IF(INDEX([1]Pivot!$B$1:$AB$65000,$B807,AX$5)="",2,0)),0)</f>
        <v>0</v>
      </c>
      <c r="AY807" s="313">
        <f>IFERROR(IF(INDEX([1]Pivot!$BF$1:$CG$65000,$B807,AY$5)=1,1,IF(INDEX([1]Pivot!$B$1:$AB$65000,$B807,AY$5)="",2,0)),0)</f>
        <v>0</v>
      </c>
      <c r="AZ807" s="313">
        <f>IFERROR(IF(INDEX([1]Pivot!$BF$1:$CG$65000,$B807,AZ$5)=1,1,IF(INDEX([1]Pivot!$B$1:$AB$65000,$B807,AZ$5)="",2,0)),0)</f>
        <v>0</v>
      </c>
      <c r="BA807" s="313">
        <f>IFERROR(IF(INDEX([1]Pivot!$BF$1:$CG$65000,$B807,BA$5)=1,1,IF(INDEX([1]Pivot!$B$1:$AB$65000,$B807,BA$5)="",2,0)),0)</f>
        <v>0</v>
      </c>
      <c r="BB807" s="313">
        <f>IFERROR(IF(INDEX([1]Pivot!$BF$1:$CG$65000,$B807,BB$5)=1,1,IF(INDEX([1]Pivot!$B$1:$AB$65000,$B807,BB$5)="",2,0)),0)</f>
        <v>0</v>
      </c>
      <c r="BC807" s="313">
        <f>IFERROR(IF(INDEX([1]Pivot!$BF$1:$CG$65000,$B807,BC$5)=1,1,IF(INDEX([1]Pivot!$B$1:$AB$65000,$B807,BC$5)="",2,0)),0)</f>
        <v>0</v>
      </c>
      <c r="BD807" s="313">
        <f>IFERROR(IF(INDEX([1]Pivot!$BF$1:$CG$65000,$B807,BD$5)=1,1,IF(INDEX([1]Pivot!$B$1:$AB$65000,$B807,BD$5)="",2,0)),0)</f>
        <v>0</v>
      </c>
    </row>
    <row r="808" spans="1:56" x14ac:dyDescent="0.25">
      <c r="A808" s="288">
        <f>'[2]Raw Milk Prices'!A808</f>
        <v>0</v>
      </c>
      <c r="B808" s="296" t="e">
        <f>MATCH(DATE(LEFT('[2]Raw Milk Prices'!$A808,4),RIGHT('[2]Raw Milk Prices'!$A808,2),1),[1]Pivot!$A$1:$A$65000,0)</f>
        <v>#VALUE!</v>
      </c>
      <c r="C808" s="194">
        <f>IFERROR(IF(INDEX([1]Pivot!$AD$1:$BE$65000,$B808,C$5)=1,1,IF(INDEX([1]Pivot!$B$1:$AB$65000,$B808,C$5)="",2,0)),0)</f>
        <v>0</v>
      </c>
      <c r="D808" s="194">
        <f>IFERROR(IF(INDEX([1]Pivot!$AD$1:$BE$65000,$B808,D$5)=1,1,IF(INDEX([1]Pivot!$B$1:$AB$65000,$B808,D$5)="",2,0)),0)</f>
        <v>0</v>
      </c>
      <c r="E808" s="194">
        <f>IFERROR(IF(INDEX([1]Pivot!$AD$1:$BE$65000,$B808,E$5)=1,1,IF(INDEX([1]Pivot!$B$1:$AB$65000,$B808,E$5)="",2,0)),0)</f>
        <v>0</v>
      </c>
      <c r="F808" s="194">
        <f>IFERROR(IF(INDEX([1]Pivot!$AD$1:$BE$65000,$B808,F$5)=1,1,IF(INDEX([1]Pivot!$B$1:$AB$65000,$B808,F$5)="",2,0)),0)</f>
        <v>0</v>
      </c>
      <c r="G808" s="194">
        <f>IFERROR(IF(INDEX([1]Pivot!$AD$1:$BE$65000,$B808,G$5)=1,1,IF(INDEX([1]Pivot!$B$1:$AB$65000,$B808,G$5)="",2,0)),0)</f>
        <v>0</v>
      </c>
      <c r="H808" s="194">
        <f>IFERROR(IF(INDEX([1]Pivot!$AD$1:$BE$65000,$B808,H$5)=1,1,IF(INDEX([1]Pivot!$B$1:$AB$65000,$B808,H$5)="",2,0)),0)</f>
        <v>0</v>
      </c>
      <c r="I808" s="194">
        <f>IFERROR(IF(INDEX([1]Pivot!$AD$1:$BE$65000,$B808,I$5)=1,1,IF(INDEX([1]Pivot!$B$1:$AB$65000,$B808,I$5)="",2,0)),0)</f>
        <v>0</v>
      </c>
      <c r="J808" s="194">
        <f>IFERROR(IF(INDEX([1]Pivot!$AD$1:$BE$65000,$B808,J$5)=1,1,IF(INDEX([1]Pivot!$B$1:$AB$65000,$B808,J$5)="",2,0)),0)</f>
        <v>0</v>
      </c>
      <c r="K808" s="194">
        <f>IFERROR(IF(INDEX([1]Pivot!$AD$1:$BE$65000,$B808,K$5)=1,1,IF(INDEX([1]Pivot!$B$1:$AB$65000,$B808,K$5)="",2,0)),0)</f>
        <v>0</v>
      </c>
      <c r="L808" s="194">
        <f>IFERROR(IF(INDEX([1]Pivot!$AD$1:$BE$65000,$B808,L$5)=1,1,IF(INDEX([1]Pivot!$B$1:$AB$65000,$B808,L$5)="",2,0)),0)</f>
        <v>0</v>
      </c>
      <c r="M808" s="194">
        <f>IFERROR(IF(INDEX([1]Pivot!$AD$1:$BE$65000,$B808,M$5)=1,1,IF(INDEX([1]Pivot!$B$1:$AB$65000,$B808,M$5)="",2,0)),0)</f>
        <v>0</v>
      </c>
      <c r="N808" s="194">
        <f>IFERROR(IF(INDEX([1]Pivot!$AD$1:$BE$65000,$B808,N$5)=1,1,IF(INDEX([1]Pivot!$B$1:$AB$65000,$B808,N$5)="",2,0)),0)</f>
        <v>0</v>
      </c>
      <c r="O808" s="194">
        <f>IFERROR(IF(INDEX([1]Pivot!$AD$1:$BE$65000,$B808,O$5)=1,1,IF(INDEX([1]Pivot!$B$1:$AB$65000,$B808,O$5)="",2,0)),0)</f>
        <v>0</v>
      </c>
      <c r="P808" s="194">
        <f>IFERROR(IF(INDEX([1]Pivot!$AD$1:$BE$65000,$B808,P$5)=1,1,IF(INDEX([1]Pivot!$B$1:$AB$65000,$B808,P$5)="",2,0)),0)</f>
        <v>0</v>
      </c>
      <c r="Q808" s="194">
        <f>IFERROR(IF(INDEX([1]Pivot!$AD$1:$BE$65000,$B808,Q$5)=1,1,IF(INDEX([1]Pivot!$B$1:$AB$65000,$B808,Q$5)="",2,0)),0)</f>
        <v>0</v>
      </c>
      <c r="R808" s="312"/>
      <c r="S808" s="194">
        <f>IFERROR(IF(INDEX([1]Pivot!$AD$1:$BE$65000,$B808,S$5)=1,1,IF(INDEX([1]Pivot!$B$1:$AB$65000,$B808,S$5)="",2,0)),0)</f>
        <v>0</v>
      </c>
      <c r="T808" s="194">
        <f>IFERROR(IF(INDEX([1]Pivot!$AD$1:$BE$65000,$B808,T$5)=1,1,IF(INDEX([1]Pivot!$B$1:$AB$65000,$B808,T$5)="",2,0)),0)</f>
        <v>0</v>
      </c>
      <c r="U808" s="194">
        <f>IFERROR(IF(INDEX([1]Pivot!$AD$1:$BE$65000,$B808,U$5)=1,1,IF(INDEX([1]Pivot!$B$1:$AB$65000,$B808,U$5)="",2,0)),0)</f>
        <v>0</v>
      </c>
      <c r="V808" s="194">
        <f>IFERROR(IF(INDEX([1]Pivot!$AD$1:$BE$65000,$B808,V$5)=1,1,IF(INDEX([1]Pivot!$B$1:$AB$65000,$B808,V$5)="",2,0)),0)</f>
        <v>0</v>
      </c>
      <c r="W808" s="194">
        <f>IFERROR(IF(INDEX([1]Pivot!$AD$1:$BE$65000,$B808,W$5)=1,1,IF(INDEX([1]Pivot!$B$1:$AB$65000,$B808,W$5)="",2,0)),0)</f>
        <v>0</v>
      </c>
      <c r="X808" s="194">
        <f>IFERROR(IF(INDEX([1]Pivot!$AD$1:$BE$65000,$B808,X$5)=1,1,IF(INDEX([1]Pivot!$B$1:$AB$65000,$B808,X$5)="",2,0)),0)</f>
        <v>0</v>
      </c>
      <c r="Y808" s="194">
        <f>IFERROR(IF(INDEX([1]Pivot!$AD$1:$BE$65000,$B808,Y$5)=1,1,IF(INDEX([1]Pivot!$B$1:$AB$65000,$B808,Y$5)="",2,0)),0)</f>
        <v>0</v>
      </c>
      <c r="Z808" s="194">
        <f>IFERROR(IF(INDEX([1]Pivot!$AD$1:$BE$65000,$B808,Z$5)=1,1,IF(INDEX([1]Pivot!$B$1:$AB$65000,$B808,Z$5)="",2,0)),0)</f>
        <v>0</v>
      </c>
      <c r="AA808" s="194">
        <f>IFERROR(IF(INDEX([1]Pivot!$AD$1:$BE$65000,$B808,AA$5)=1,1,IF(INDEX([1]Pivot!$B$1:$AB$65000,$B808,AA$5)="",2,0)),0)</f>
        <v>0</v>
      </c>
      <c r="AB808" s="194">
        <f>IFERROR(IF(INDEX([1]Pivot!$AD$1:$BE$65000,$B808,AB$5)=1,1,IF(INDEX([1]Pivot!$B$1:$AB$65000,$B808,AB$5)="",2,0)),0)</f>
        <v>0</v>
      </c>
      <c r="AC808" s="194">
        <f>IFERROR(IF(INDEX([1]Pivot!$AD$1:$BE$65000,$B808,AC$5)=1,1,IF(INDEX([1]Pivot!$B$1:$AB$65000,$B808,AC$5)="",2,0)),0)</f>
        <v>0</v>
      </c>
      <c r="AD808" s="313">
        <f>IFERROR(IF(INDEX([1]Pivot!$BF$1:$CG$65000,$B808,AD$5)=1,1,IF(INDEX([1]Pivot!$B$1:$AB$65000,$B808,AD$5)="",2,0)),0)</f>
        <v>0</v>
      </c>
      <c r="AE808" s="313">
        <f>IFERROR(IF(INDEX([1]Pivot!$BF$1:$CG$65000,$B808,AE$5)=1,1,IF(INDEX([1]Pivot!$B$1:$AB$65000,$B808,AE$5)="",2,0)),0)</f>
        <v>0</v>
      </c>
      <c r="AF808" s="313">
        <f>IFERROR(IF(INDEX([1]Pivot!$BF$1:$CG$65000,$B808,AF$5)=1,1,IF(INDEX([1]Pivot!$B$1:$AB$65000,$B808,AF$5)="",2,0)),0)</f>
        <v>0</v>
      </c>
      <c r="AG808" s="313">
        <f>IFERROR(IF(INDEX([1]Pivot!$BF$1:$CG$65000,$B808,AG$5)=1,1,IF(INDEX([1]Pivot!$B$1:$AB$65000,$B808,AG$5)="",2,0)),0)</f>
        <v>0</v>
      </c>
      <c r="AH808" s="313">
        <f>IFERROR(IF(INDEX([1]Pivot!$BF$1:$CG$65000,$B808,AH$5)=1,1,IF(INDEX([1]Pivot!$B$1:$AB$65000,$B808,AH$5)="",2,0)),0)</f>
        <v>0</v>
      </c>
      <c r="AI808" s="313">
        <f>IFERROR(IF(INDEX([1]Pivot!$BF$1:$CG$65000,$B808,AI$5)=1,1,IF(INDEX([1]Pivot!$B$1:$AB$65000,$B808,AI$5)="",2,0)),0)</f>
        <v>0</v>
      </c>
      <c r="AJ808" s="313">
        <f>IFERROR(IF(INDEX([1]Pivot!$BF$1:$CG$65000,$B808,AJ$5)=1,1,IF(INDEX([1]Pivot!$B$1:$AB$65000,$B808,AJ$5)="",2,0)),0)</f>
        <v>0</v>
      </c>
      <c r="AK808" s="313">
        <f>IFERROR(IF(INDEX([1]Pivot!$BF$1:$CG$65000,$B808,AK$5)=1,1,IF(INDEX([1]Pivot!$B$1:$AB$65000,$B808,AK$5)="",2,0)),0)</f>
        <v>0</v>
      </c>
      <c r="AL808" s="313">
        <f>IFERROR(IF(INDEX([1]Pivot!$BF$1:$CG$65000,$B808,AL$5)=1,1,IF(INDEX([1]Pivot!$B$1:$AB$65000,$B808,AL$5)="",2,0)),0)</f>
        <v>0</v>
      </c>
      <c r="AM808" s="313">
        <f>IFERROR(IF(INDEX([1]Pivot!$BF$1:$CG$65000,$B808,AM$5)=1,1,IF(INDEX([1]Pivot!$B$1:$AB$65000,$B808,AM$5)="",2,0)),0)</f>
        <v>0</v>
      </c>
      <c r="AN808" s="313">
        <f>IFERROR(IF(INDEX([1]Pivot!$BF$1:$CG$65000,$B808,AN$5)=1,1,IF(INDEX([1]Pivot!$B$1:$AB$65000,$B808,AN$5)="",2,0)),0)</f>
        <v>0</v>
      </c>
      <c r="AO808" s="313">
        <f>IFERROR(IF(INDEX([1]Pivot!$BF$1:$CG$65000,$B808,AO$5)=1,1,IF(INDEX([1]Pivot!$B$1:$AB$65000,$B808,AO$5)="",2,0)),0)</f>
        <v>0</v>
      </c>
      <c r="AP808" s="313">
        <f>IFERROR(IF(INDEX([1]Pivot!$BF$1:$CG$65000,$B808,AP$5)=1,1,IF(INDEX([1]Pivot!$B$1:$AB$65000,$B808,AP$5)="",2,0)),0)</f>
        <v>0</v>
      </c>
      <c r="AQ808" s="313">
        <f>IFERROR(IF(INDEX([1]Pivot!$BF$1:$CG$65000,$B808,AQ$5)=1,1,IF(INDEX([1]Pivot!$B$1:$AB$65000,$B808,AQ$5)="",2,0)),0)</f>
        <v>0</v>
      </c>
      <c r="AR808" s="313">
        <f>IFERROR(IF(INDEX([1]Pivot!$BF$1:$CG$65000,$B808,AR$5)=1,1,IF(INDEX([1]Pivot!$B$1:$AB$65000,$B808,AR$5)="",2,0)),0)</f>
        <v>0</v>
      </c>
      <c r="AS808" s="312"/>
      <c r="AT808" s="313">
        <f>IFERROR(IF(INDEX([1]Pivot!$BF$1:$CG$65000,$B808,AT$5)=1,1,IF(INDEX([1]Pivot!$B$1:$AB$65000,$B808,AT$5)="",2,0)),0)</f>
        <v>0</v>
      </c>
      <c r="AU808" s="313">
        <f>IFERROR(IF(INDEX([1]Pivot!$BF$1:$CG$65000,$B808,AU$5)=1,1,IF(INDEX([1]Pivot!$B$1:$AB$65000,$B808,AU$5)="",2,0)),0)</f>
        <v>0</v>
      </c>
      <c r="AV808" s="313">
        <f>IFERROR(IF(INDEX([1]Pivot!$BF$1:$CG$65000,$B808,AV$5)=1,1,IF(INDEX([1]Pivot!$B$1:$AB$65000,$B808,AV$5)="",2,0)),0)</f>
        <v>0</v>
      </c>
      <c r="AW808" s="313">
        <f>IFERROR(IF(INDEX([1]Pivot!$BF$1:$CG$65000,$B808,AW$5)=1,1,IF(INDEX([1]Pivot!$B$1:$AB$65000,$B808,AW$5)="",2,0)),0)</f>
        <v>0</v>
      </c>
      <c r="AX808" s="313">
        <f>IFERROR(IF(INDEX([1]Pivot!$BF$1:$CG$65000,$B808,AX$5)=1,1,IF(INDEX([1]Pivot!$B$1:$AB$65000,$B808,AX$5)="",2,0)),0)</f>
        <v>0</v>
      </c>
      <c r="AY808" s="313">
        <f>IFERROR(IF(INDEX([1]Pivot!$BF$1:$CG$65000,$B808,AY$5)=1,1,IF(INDEX([1]Pivot!$B$1:$AB$65000,$B808,AY$5)="",2,0)),0)</f>
        <v>0</v>
      </c>
      <c r="AZ808" s="313">
        <f>IFERROR(IF(INDEX([1]Pivot!$BF$1:$CG$65000,$B808,AZ$5)=1,1,IF(INDEX([1]Pivot!$B$1:$AB$65000,$B808,AZ$5)="",2,0)),0)</f>
        <v>0</v>
      </c>
      <c r="BA808" s="313">
        <f>IFERROR(IF(INDEX([1]Pivot!$BF$1:$CG$65000,$B808,BA$5)=1,1,IF(INDEX([1]Pivot!$B$1:$AB$65000,$B808,BA$5)="",2,0)),0)</f>
        <v>0</v>
      </c>
      <c r="BB808" s="313">
        <f>IFERROR(IF(INDEX([1]Pivot!$BF$1:$CG$65000,$B808,BB$5)=1,1,IF(INDEX([1]Pivot!$B$1:$AB$65000,$B808,BB$5)="",2,0)),0)</f>
        <v>0</v>
      </c>
      <c r="BC808" s="313">
        <f>IFERROR(IF(INDEX([1]Pivot!$BF$1:$CG$65000,$B808,BC$5)=1,1,IF(INDEX([1]Pivot!$B$1:$AB$65000,$B808,BC$5)="",2,0)),0)</f>
        <v>0</v>
      </c>
      <c r="BD808" s="313">
        <f>IFERROR(IF(INDEX([1]Pivot!$BF$1:$CG$65000,$B808,BD$5)=1,1,IF(INDEX([1]Pivot!$B$1:$AB$65000,$B808,BD$5)="",2,0)),0)</f>
        <v>0</v>
      </c>
    </row>
    <row r="809" spans="1:56" x14ac:dyDescent="0.25">
      <c r="A809" s="288">
        <f>'[2]Raw Milk Prices'!A809</f>
        <v>0</v>
      </c>
      <c r="B809" s="296" t="e">
        <f>MATCH(DATE(LEFT('[2]Raw Milk Prices'!$A809,4),RIGHT('[2]Raw Milk Prices'!$A809,2),1),[1]Pivot!$A$1:$A$65000,0)</f>
        <v>#VALUE!</v>
      </c>
      <c r="C809" s="194">
        <f>IFERROR(IF(INDEX([1]Pivot!$AD$1:$BE$65000,$B809,C$5)=1,1,IF(INDEX([1]Pivot!$B$1:$AB$65000,$B809,C$5)="",2,0)),0)</f>
        <v>0</v>
      </c>
      <c r="D809" s="194">
        <f>IFERROR(IF(INDEX([1]Pivot!$AD$1:$BE$65000,$B809,D$5)=1,1,IF(INDEX([1]Pivot!$B$1:$AB$65000,$B809,D$5)="",2,0)),0)</f>
        <v>0</v>
      </c>
      <c r="E809" s="194">
        <f>IFERROR(IF(INDEX([1]Pivot!$AD$1:$BE$65000,$B809,E$5)=1,1,IF(INDEX([1]Pivot!$B$1:$AB$65000,$B809,E$5)="",2,0)),0)</f>
        <v>0</v>
      </c>
      <c r="F809" s="194">
        <f>IFERROR(IF(INDEX([1]Pivot!$AD$1:$BE$65000,$B809,F$5)=1,1,IF(INDEX([1]Pivot!$B$1:$AB$65000,$B809,F$5)="",2,0)),0)</f>
        <v>0</v>
      </c>
      <c r="G809" s="194">
        <f>IFERROR(IF(INDEX([1]Pivot!$AD$1:$BE$65000,$B809,G$5)=1,1,IF(INDEX([1]Pivot!$B$1:$AB$65000,$B809,G$5)="",2,0)),0)</f>
        <v>0</v>
      </c>
      <c r="H809" s="194">
        <f>IFERROR(IF(INDEX([1]Pivot!$AD$1:$BE$65000,$B809,H$5)=1,1,IF(INDEX([1]Pivot!$B$1:$AB$65000,$B809,H$5)="",2,0)),0)</f>
        <v>0</v>
      </c>
      <c r="I809" s="194">
        <f>IFERROR(IF(INDEX([1]Pivot!$AD$1:$BE$65000,$B809,I$5)=1,1,IF(INDEX([1]Pivot!$B$1:$AB$65000,$B809,I$5)="",2,0)),0)</f>
        <v>0</v>
      </c>
      <c r="J809" s="194">
        <f>IFERROR(IF(INDEX([1]Pivot!$AD$1:$BE$65000,$B809,J$5)=1,1,IF(INDEX([1]Pivot!$B$1:$AB$65000,$B809,J$5)="",2,0)),0)</f>
        <v>0</v>
      </c>
      <c r="K809" s="194">
        <f>IFERROR(IF(INDEX([1]Pivot!$AD$1:$BE$65000,$B809,K$5)=1,1,IF(INDEX([1]Pivot!$B$1:$AB$65000,$B809,K$5)="",2,0)),0)</f>
        <v>0</v>
      </c>
      <c r="L809" s="194">
        <f>IFERROR(IF(INDEX([1]Pivot!$AD$1:$BE$65000,$B809,L$5)=1,1,IF(INDEX([1]Pivot!$B$1:$AB$65000,$B809,L$5)="",2,0)),0)</f>
        <v>0</v>
      </c>
      <c r="M809" s="194">
        <f>IFERROR(IF(INDEX([1]Pivot!$AD$1:$BE$65000,$B809,M$5)=1,1,IF(INDEX([1]Pivot!$B$1:$AB$65000,$B809,M$5)="",2,0)),0)</f>
        <v>0</v>
      </c>
      <c r="N809" s="194">
        <f>IFERROR(IF(INDEX([1]Pivot!$AD$1:$BE$65000,$B809,N$5)=1,1,IF(INDEX([1]Pivot!$B$1:$AB$65000,$B809,N$5)="",2,0)),0)</f>
        <v>0</v>
      </c>
      <c r="O809" s="194">
        <f>IFERROR(IF(INDEX([1]Pivot!$AD$1:$BE$65000,$B809,O$5)=1,1,IF(INDEX([1]Pivot!$B$1:$AB$65000,$B809,O$5)="",2,0)),0)</f>
        <v>0</v>
      </c>
      <c r="P809" s="194">
        <f>IFERROR(IF(INDEX([1]Pivot!$AD$1:$BE$65000,$B809,P$5)=1,1,IF(INDEX([1]Pivot!$B$1:$AB$65000,$B809,P$5)="",2,0)),0)</f>
        <v>0</v>
      </c>
      <c r="Q809" s="194">
        <f>IFERROR(IF(INDEX([1]Pivot!$AD$1:$BE$65000,$B809,Q$5)=1,1,IF(INDEX([1]Pivot!$B$1:$AB$65000,$B809,Q$5)="",2,0)),0)</f>
        <v>0</v>
      </c>
      <c r="R809" s="312"/>
      <c r="S809" s="194">
        <f>IFERROR(IF(INDEX([1]Pivot!$AD$1:$BE$65000,$B809,S$5)=1,1,IF(INDEX([1]Pivot!$B$1:$AB$65000,$B809,S$5)="",2,0)),0)</f>
        <v>0</v>
      </c>
      <c r="T809" s="194">
        <f>IFERROR(IF(INDEX([1]Pivot!$AD$1:$BE$65000,$B809,T$5)=1,1,IF(INDEX([1]Pivot!$B$1:$AB$65000,$B809,T$5)="",2,0)),0)</f>
        <v>0</v>
      </c>
      <c r="U809" s="194">
        <f>IFERROR(IF(INDEX([1]Pivot!$AD$1:$BE$65000,$B809,U$5)=1,1,IF(INDEX([1]Pivot!$B$1:$AB$65000,$B809,U$5)="",2,0)),0)</f>
        <v>0</v>
      </c>
      <c r="V809" s="194">
        <f>IFERROR(IF(INDEX([1]Pivot!$AD$1:$BE$65000,$B809,V$5)=1,1,IF(INDEX([1]Pivot!$B$1:$AB$65000,$B809,V$5)="",2,0)),0)</f>
        <v>0</v>
      </c>
      <c r="W809" s="194">
        <f>IFERROR(IF(INDEX([1]Pivot!$AD$1:$BE$65000,$B809,W$5)=1,1,IF(INDEX([1]Pivot!$B$1:$AB$65000,$B809,W$5)="",2,0)),0)</f>
        <v>0</v>
      </c>
      <c r="X809" s="194">
        <f>IFERROR(IF(INDEX([1]Pivot!$AD$1:$BE$65000,$B809,X$5)=1,1,IF(INDEX([1]Pivot!$B$1:$AB$65000,$B809,X$5)="",2,0)),0)</f>
        <v>0</v>
      </c>
      <c r="Y809" s="194">
        <f>IFERROR(IF(INDEX([1]Pivot!$AD$1:$BE$65000,$B809,Y$5)=1,1,IF(INDEX([1]Pivot!$B$1:$AB$65000,$B809,Y$5)="",2,0)),0)</f>
        <v>0</v>
      </c>
      <c r="Z809" s="194">
        <f>IFERROR(IF(INDEX([1]Pivot!$AD$1:$BE$65000,$B809,Z$5)=1,1,IF(INDEX([1]Pivot!$B$1:$AB$65000,$B809,Z$5)="",2,0)),0)</f>
        <v>0</v>
      </c>
      <c r="AA809" s="194">
        <f>IFERROR(IF(INDEX([1]Pivot!$AD$1:$BE$65000,$B809,AA$5)=1,1,IF(INDEX([1]Pivot!$B$1:$AB$65000,$B809,AA$5)="",2,0)),0)</f>
        <v>0</v>
      </c>
      <c r="AB809" s="194">
        <f>IFERROR(IF(INDEX([1]Pivot!$AD$1:$BE$65000,$B809,AB$5)=1,1,IF(INDEX([1]Pivot!$B$1:$AB$65000,$B809,AB$5)="",2,0)),0)</f>
        <v>0</v>
      </c>
      <c r="AC809" s="194">
        <f>IFERROR(IF(INDEX([1]Pivot!$AD$1:$BE$65000,$B809,AC$5)=1,1,IF(INDEX([1]Pivot!$B$1:$AB$65000,$B809,AC$5)="",2,0)),0)</f>
        <v>0</v>
      </c>
      <c r="AD809" s="313">
        <f>IFERROR(IF(INDEX([1]Pivot!$BF$1:$CG$65000,$B809,AD$5)=1,1,IF(INDEX([1]Pivot!$B$1:$AB$65000,$B809,AD$5)="",2,0)),0)</f>
        <v>0</v>
      </c>
      <c r="AE809" s="313">
        <f>IFERROR(IF(INDEX([1]Pivot!$BF$1:$CG$65000,$B809,AE$5)=1,1,IF(INDEX([1]Pivot!$B$1:$AB$65000,$B809,AE$5)="",2,0)),0)</f>
        <v>0</v>
      </c>
      <c r="AF809" s="313">
        <f>IFERROR(IF(INDEX([1]Pivot!$BF$1:$CG$65000,$B809,AF$5)=1,1,IF(INDEX([1]Pivot!$B$1:$AB$65000,$B809,AF$5)="",2,0)),0)</f>
        <v>0</v>
      </c>
      <c r="AG809" s="313">
        <f>IFERROR(IF(INDEX([1]Pivot!$BF$1:$CG$65000,$B809,AG$5)=1,1,IF(INDEX([1]Pivot!$B$1:$AB$65000,$B809,AG$5)="",2,0)),0)</f>
        <v>0</v>
      </c>
      <c r="AH809" s="313">
        <f>IFERROR(IF(INDEX([1]Pivot!$BF$1:$CG$65000,$B809,AH$5)=1,1,IF(INDEX([1]Pivot!$B$1:$AB$65000,$B809,AH$5)="",2,0)),0)</f>
        <v>0</v>
      </c>
      <c r="AI809" s="313">
        <f>IFERROR(IF(INDEX([1]Pivot!$BF$1:$CG$65000,$B809,AI$5)=1,1,IF(INDEX([1]Pivot!$B$1:$AB$65000,$B809,AI$5)="",2,0)),0)</f>
        <v>0</v>
      </c>
      <c r="AJ809" s="313">
        <f>IFERROR(IF(INDEX([1]Pivot!$BF$1:$CG$65000,$B809,AJ$5)=1,1,IF(INDEX([1]Pivot!$B$1:$AB$65000,$B809,AJ$5)="",2,0)),0)</f>
        <v>0</v>
      </c>
      <c r="AK809" s="313">
        <f>IFERROR(IF(INDEX([1]Pivot!$BF$1:$CG$65000,$B809,AK$5)=1,1,IF(INDEX([1]Pivot!$B$1:$AB$65000,$B809,AK$5)="",2,0)),0)</f>
        <v>0</v>
      </c>
      <c r="AL809" s="313">
        <f>IFERROR(IF(INDEX([1]Pivot!$BF$1:$CG$65000,$B809,AL$5)=1,1,IF(INDEX([1]Pivot!$B$1:$AB$65000,$B809,AL$5)="",2,0)),0)</f>
        <v>0</v>
      </c>
      <c r="AM809" s="313">
        <f>IFERROR(IF(INDEX([1]Pivot!$BF$1:$CG$65000,$B809,AM$5)=1,1,IF(INDEX([1]Pivot!$B$1:$AB$65000,$B809,AM$5)="",2,0)),0)</f>
        <v>0</v>
      </c>
      <c r="AN809" s="313">
        <f>IFERROR(IF(INDEX([1]Pivot!$BF$1:$CG$65000,$B809,AN$5)=1,1,IF(INDEX([1]Pivot!$B$1:$AB$65000,$B809,AN$5)="",2,0)),0)</f>
        <v>0</v>
      </c>
      <c r="AO809" s="313">
        <f>IFERROR(IF(INDEX([1]Pivot!$BF$1:$CG$65000,$B809,AO$5)=1,1,IF(INDEX([1]Pivot!$B$1:$AB$65000,$B809,AO$5)="",2,0)),0)</f>
        <v>0</v>
      </c>
      <c r="AP809" s="313">
        <f>IFERROR(IF(INDEX([1]Pivot!$BF$1:$CG$65000,$B809,AP$5)=1,1,IF(INDEX([1]Pivot!$B$1:$AB$65000,$B809,AP$5)="",2,0)),0)</f>
        <v>0</v>
      </c>
      <c r="AQ809" s="313">
        <f>IFERROR(IF(INDEX([1]Pivot!$BF$1:$CG$65000,$B809,AQ$5)=1,1,IF(INDEX([1]Pivot!$B$1:$AB$65000,$B809,AQ$5)="",2,0)),0)</f>
        <v>0</v>
      </c>
      <c r="AR809" s="313">
        <f>IFERROR(IF(INDEX([1]Pivot!$BF$1:$CG$65000,$B809,AR$5)=1,1,IF(INDEX([1]Pivot!$B$1:$AB$65000,$B809,AR$5)="",2,0)),0)</f>
        <v>0</v>
      </c>
      <c r="AS809" s="312"/>
      <c r="AT809" s="313">
        <f>IFERROR(IF(INDEX([1]Pivot!$BF$1:$CG$65000,$B809,AT$5)=1,1,IF(INDEX([1]Pivot!$B$1:$AB$65000,$B809,AT$5)="",2,0)),0)</f>
        <v>0</v>
      </c>
      <c r="AU809" s="313">
        <f>IFERROR(IF(INDEX([1]Pivot!$BF$1:$CG$65000,$B809,AU$5)=1,1,IF(INDEX([1]Pivot!$B$1:$AB$65000,$B809,AU$5)="",2,0)),0)</f>
        <v>0</v>
      </c>
      <c r="AV809" s="313">
        <f>IFERROR(IF(INDEX([1]Pivot!$BF$1:$CG$65000,$B809,AV$5)=1,1,IF(INDEX([1]Pivot!$B$1:$AB$65000,$B809,AV$5)="",2,0)),0)</f>
        <v>0</v>
      </c>
      <c r="AW809" s="313">
        <f>IFERROR(IF(INDEX([1]Pivot!$BF$1:$CG$65000,$B809,AW$5)=1,1,IF(INDEX([1]Pivot!$B$1:$AB$65000,$B809,AW$5)="",2,0)),0)</f>
        <v>0</v>
      </c>
      <c r="AX809" s="313">
        <f>IFERROR(IF(INDEX([1]Pivot!$BF$1:$CG$65000,$B809,AX$5)=1,1,IF(INDEX([1]Pivot!$B$1:$AB$65000,$B809,AX$5)="",2,0)),0)</f>
        <v>0</v>
      </c>
      <c r="AY809" s="313">
        <f>IFERROR(IF(INDEX([1]Pivot!$BF$1:$CG$65000,$B809,AY$5)=1,1,IF(INDEX([1]Pivot!$B$1:$AB$65000,$B809,AY$5)="",2,0)),0)</f>
        <v>0</v>
      </c>
      <c r="AZ809" s="313">
        <f>IFERROR(IF(INDEX([1]Pivot!$BF$1:$CG$65000,$B809,AZ$5)=1,1,IF(INDEX([1]Pivot!$B$1:$AB$65000,$B809,AZ$5)="",2,0)),0)</f>
        <v>0</v>
      </c>
      <c r="BA809" s="313">
        <f>IFERROR(IF(INDEX([1]Pivot!$BF$1:$CG$65000,$B809,BA$5)=1,1,IF(INDEX([1]Pivot!$B$1:$AB$65000,$B809,BA$5)="",2,0)),0)</f>
        <v>0</v>
      </c>
      <c r="BB809" s="313">
        <f>IFERROR(IF(INDEX([1]Pivot!$BF$1:$CG$65000,$B809,BB$5)=1,1,IF(INDEX([1]Pivot!$B$1:$AB$65000,$B809,BB$5)="",2,0)),0)</f>
        <v>0</v>
      </c>
      <c r="BC809" s="313">
        <f>IFERROR(IF(INDEX([1]Pivot!$BF$1:$CG$65000,$B809,BC$5)=1,1,IF(INDEX([1]Pivot!$B$1:$AB$65000,$B809,BC$5)="",2,0)),0)</f>
        <v>0</v>
      </c>
      <c r="BD809" s="313">
        <f>IFERROR(IF(INDEX([1]Pivot!$BF$1:$CG$65000,$B809,BD$5)=1,1,IF(INDEX([1]Pivot!$B$1:$AB$65000,$B809,BD$5)="",2,0)),0)</f>
        <v>0</v>
      </c>
    </row>
    <row r="810" spans="1:56" x14ac:dyDescent="0.25">
      <c r="A810" s="288">
        <f>'[2]Raw Milk Prices'!A810</f>
        <v>0</v>
      </c>
      <c r="B810" s="296" t="e">
        <f>MATCH(DATE(LEFT('[2]Raw Milk Prices'!$A810,4),RIGHT('[2]Raw Milk Prices'!$A810,2),1),[1]Pivot!$A$1:$A$65000,0)</f>
        <v>#VALUE!</v>
      </c>
      <c r="C810" s="194">
        <f>IFERROR(IF(INDEX([1]Pivot!$AD$1:$BE$65000,$B810,C$5)=1,1,IF(INDEX([1]Pivot!$B$1:$AB$65000,$B810,C$5)="",2,0)),0)</f>
        <v>0</v>
      </c>
      <c r="D810" s="194">
        <f>IFERROR(IF(INDEX([1]Pivot!$AD$1:$BE$65000,$B810,D$5)=1,1,IF(INDEX([1]Pivot!$B$1:$AB$65000,$B810,D$5)="",2,0)),0)</f>
        <v>0</v>
      </c>
      <c r="E810" s="194">
        <f>IFERROR(IF(INDEX([1]Pivot!$AD$1:$BE$65000,$B810,E$5)=1,1,IF(INDEX([1]Pivot!$B$1:$AB$65000,$B810,E$5)="",2,0)),0)</f>
        <v>0</v>
      </c>
      <c r="F810" s="194">
        <f>IFERROR(IF(INDEX([1]Pivot!$AD$1:$BE$65000,$B810,F$5)=1,1,IF(INDEX([1]Pivot!$B$1:$AB$65000,$B810,F$5)="",2,0)),0)</f>
        <v>0</v>
      </c>
      <c r="G810" s="194">
        <f>IFERROR(IF(INDEX([1]Pivot!$AD$1:$BE$65000,$B810,G$5)=1,1,IF(INDEX([1]Pivot!$B$1:$AB$65000,$B810,G$5)="",2,0)),0)</f>
        <v>0</v>
      </c>
      <c r="H810" s="194">
        <f>IFERROR(IF(INDEX([1]Pivot!$AD$1:$BE$65000,$B810,H$5)=1,1,IF(INDEX([1]Pivot!$B$1:$AB$65000,$B810,H$5)="",2,0)),0)</f>
        <v>0</v>
      </c>
      <c r="I810" s="194">
        <f>IFERROR(IF(INDEX([1]Pivot!$AD$1:$BE$65000,$B810,I$5)=1,1,IF(INDEX([1]Pivot!$B$1:$AB$65000,$B810,I$5)="",2,0)),0)</f>
        <v>0</v>
      </c>
      <c r="J810" s="194">
        <f>IFERROR(IF(INDEX([1]Pivot!$AD$1:$BE$65000,$B810,J$5)=1,1,IF(INDEX([1]Pivot!$B$1:$AB$65000,$B810,J$5)="",2,0)),0)</f>
        <v>0</v>
      </c>
      <c r="K810" s="194">
        <f>IFERROR(IF(INDEX([1]Pivot!$AD$1:$BE$65000,$B810,K$5)=1,1,IF(INDEX([1]Pivot!$B$1:$AB$65000,$B810,K$5)="",2,0)),0)</f>
        <v>0</v>
      </c>
      <c r="L810" s="194">
        <f>IFERROR(IF(INDEX([1]Pivot!$AD$1:$BE$65000,$B810,L$5)=1,1,IF(INDEX([1]Pivot!$B$1:$AB$65000,$B810,L$5)="",2,0)),0)</f>
        <v>0</v>
      </c>
      <c r="M810" s="194">
        <f>IFERROR(IF(INDEX([1]Pivot!$AD$1:$BE$65000,$B810,M$5)=1,1,IF(INDEX([1]Pivot!$B$1:$AB$65000,$B810,M$5)="",2,0)),0)</f>
        <v>0</v>
      </c>
      <c r="N810" s="194">
        <f>IFERROR(IF(INDEX([1]Pivot!$AD$1:$BE$65000,$B810,N$5)=1,1,IF(INDEX([1]Pivot!$B$1:$AB$65000,$B810,N$5)="",2,0)),0)</f>
        <v>0</v>
      </c>
      <c r="O810" s="194">
        <f>IFERROR(IF(INDEX([1]Pivot!$AD$1:$BE$65000,$B810,O$5)=1,1,IF(INDEX([1]Pivot!$B$1:$AB$65000,$B810,O$5)="",2,0)),0)</f>
        <v>0</v>
      </c>
      <c r="P810" s="194">
        <f>IFERROR(IF(INDEX([1]Pivot!$AD$1:$BE$65000,$B810,P$5)=1,1,IF(INDEX([1]Pivot!$B$1:$AB$65000,$B810,P$5)="",2,0)),0)</f>
        <v>0</v>
      </c>
      <c r="Q810" s="194">
        <f>IFERROR(IF(INDEX([1]Pivot!$AD$1:$BE$65000,$B810,Q$5)=1,1,IF(INDEX([1]Pivot!$B$1:$AB$65000,$B810,Q$5)="",2,0)),0)</f>
        <v>0</v>
      </c>
      <c r="R810" s="312"/>
      <c r="S810" s="194">
        <f>IFERROR(IF(INDEX([1]Pivot!$AD$1:$BE$65000,$B810,S$5)=1,1,IF(INDEX([1]Pivot!$B$1:$AB$65000,$B810,S$5)="",2,0)),0)</f>
        <v>0</v>
      </c>
      <c r="T810" s="194">
        <f>IFERROR(IF(INDEX([1]Pivot!$AD$1:$BE$65000,$B810,T$5)=1,1,IF(INDEX([1]Pivot!$B$1:$AB$65000,$B810,T$5)="",2,0)),0)</f>
        <v>0</v>
      </c>
      <c r="U810" s="194">
        <f>IFERROR(IF(INDEX([1]Pivot!$AD$1:$BE$65000,$B810,U$5)=1,1,IF(INDEX([1]Pivot!$B$1:$AB$65000,$B810,U$5)="",2,0)),0)</f>
        <v>0</v>
      </c>
      <c r="V810" s="194">
        <f>IFERROR(IF(INDEX([1]Pivot!$AD$1:$BE$65000,$B810,V$5)=1,1,IF(INDEX([1]Pivot!$B$1:$AB$65000,$B810,V$5)="",2,0)),0)</f>
        <v>0</v>
      </c>
      <c r="W810" s="194">
        <f>IFERROR(IF(INDEX([1]Pivot!$AD$1:$BE$65000,$B810,W$5)=1,1,IF(INDEX([1]Pivot!$B$1:$AB$65000,$B810,W$5)="",2,0)),0)</f>
        <v>0</v>
      </c>
      <c r="X810" s="194">
        <f>IFERROR(IF(INDEX([1]Pivot!$AD$1:$BE$65000,$B810,X$5)=1,1,IF(INDEX([1]Pivot!$B$1:$AB$65000,$B810,X$5)="",2,0)),0)</f>
        <v>0</v>
      </c>
      <c r="Y810" s="194">
        <f>IFERROR(IF(INDEX([1]Pivot!$AD$1:$BE$65000,$B810,Y$5)=1,1,IF(INDEX([1]Pivot!$B$1:$AB$65000,$B810,Y$5)="",2,0)),0)</f>
        <v>0</v>
      </c>
      <c r="Z810" s="194">
        <f>IFERROR(IF(INDEX([1]Pivot!$AD$1:$BE$65000,$B810,Z$5)=1,1,IF(INDEX([1]Pivot!$B$1:$AB$65000,$B810,Z$5)="",2,0)),0)</f>
        <v>0</v>
      </c>
      <c r="AA810" s="194">
        <f>IFERROR(IF(INDEX([1]Pivot!$AD$1:$BE$65000,$B810,AA$5)=1,1,IF(INDEX([1]Pivot!$B$1:$AB$65000,$B810,AA$5)="",2,0)),0)</f>
        <v>0</v>
      </c>
      <c r="AB810" s="194">
        <f>IFERROR(IF(INDEX([1]Pivot!$AD$1:$BE$65000,$B810,AB$5)=1,1,IF(INDEX([1]Pivot!$B$1:$AB$65000,$B810,AB$5)="",2,0)),0)</f>
        <v>0</v>
      </c>
      <c r="AC810" s="194">
        <f>IFERROR(IF(INDEX([1]Pivot!$AD$1:$BE$65000,$B810,AC$5)=1,1,IF(INDEX([1]Pivot!$B$1:$AB$65000,$B810,AC$5)="",2,0)),0)</f>
        <v>0</v>
      </c>
      <c r="AD810" s="313">
        <f>IFERROR(IF(INDEX([1]Pivot!$BF$1:$CG$65000,$B810,AD$5)=1,1,IF(INDEX([1]Pivot!$B$1:$AB$65000,$B810,AD$5)="",2,0)),0)</f>
        <v>0</v>
      </c>
      <c r="AE810" s="313">
        <f>IFERROR(IF(INDEX([1]Pivot!$BF$1:$CG$65000,$B810,AE$5)=1,1,IF(INDEX([1]Pivot!$B$1:$AB$65000,$B810,AE$5)="",2,0)),0)</f>
        <v>0</v>
      </c>
      <c r="AF810" s="313">
        <f>IFERROR(IF(INDEX([1]Pivot!$BF$1:$CG$65000,$B810,AF$5)=1,1,IF(INDEX([1]Pivot!$B$1:$AB$65000,$B810,AF$5)="",2,0)),0)</f>
        <v>0</v>
      </c>
      <c r="AG810" s="313">
        <f>IFERROR(IF(INDEX([1]Pivot!$BF$1:$CG$65000,$B810,AG$5)=1,1,IF(INDEX([1]Pivot!$B$1:$AB$65000,$B810,AG$5)="",2,0)),0)</f>
        <v>0</v>
      </c>
      <c r="AH810" s="313">
        <f>IFERROR(IF(INDEX([1]Pivot!$BF$1:$CG$65000,$B810,AH$5)=1,1,IF(INDEX([1]Pivot!$B$1:$AB$65000,$B810,AH$5)="",2,0)),0)</f>
        <v>0</v>
      </c>
      <c r="AI810" s="313">
        <f>IFERROR(IF(INDEX([1]Pivot!$BF$1:$CG$65000,$B810,AI$5)=1,1,IF(INDEX([1]Pivot!$B$1:$AB$65000,$B810,AI$5)="",2,0)),0)</f>
        <v>0</v>
      </c>
      <c r="AJ810" s="313">
        <f>IFERROR(IF(INDEX([1]Pivot!$BF$1:$CG$65000,$B810,AJ$5)=1,1,IF(INDEX([1]Pivot!$B$1:$AB$65000,$B810,AJ$5)="",2,0)),0)</f>
        <v>0</v>
      </c>
      <c r="AK810" s="313">
        <f>IFERROR(IF(INDEX([1]Pivot!$BF$1:$CG$65000,$B810,AK$5)=1,1,IF(INDEX([1]Pivot!$B$1:$AB$65000,$B810,AK$5)="",2,0)),0)</f>
        <v>0</v>
      </c>
      <c r="AL810" s="313">
        <f>IFERROR(IF(INDEX([1]Pivot!$BF$1:$CG$65000,$B810,AL$5)=1,1,IF(INDEX([1]Pivot!$B$1:$AB$65000,$B810,AL$5)="",2,0)),0)</f>
        <v>0</v>
      </c>
      <c r="AM810" s="313">
        <f>IFERROR(IF(INDEX([1]Pivot!$BF$1:$CG$65000,$B810,AM$5)=1,1,IF(INDEX([1]Pivot!$B$1:$AB$65000,$B810,AM$5)="",2,0)),0)</f>
        <v>0</v>
      </c>
      <c r="AN810" s="313">
        <f>IFERROR(IF(INDEX([1]Pivot!$BF$1:$CG$65000,$B810,AN$5)=1,1,IF(INDEX([1]Pivot!$B$1:$AB$65000,$B810,AN$5)="",2,0)),0)</f>
        <v>0</v>
      </c>
      <c r="AO810" s="313">
        <f>IFERROR(IF(INDEX([1]Pivot!$BF$1:$CG$65000,$B810,AO$5)=1,1,IF(INDEX([1]Pivot!$B$1:$AB$65000,$B810,AO$5)="",2,0)),0)</f>
        <v>0</v>
      </c>
      <c r="AP810" s="313">
        <f>IFERROR(IF(INDEX([1]Pivot!$BF$1:$CG$65000,$B810,AP$5)=1,1,IF(INDEX([1]Pivot!$B$1:$AB$65000,$B810,AP$5)="",2,0)),0)</f>
        <v>0</v>
      </c>
      <c r="AQ810" s="313">
        <f>IFERROR(IF(INDEX([1]Pivot!$BF$1:$CG$65000,$B810,AQ$5)=1,1,IF(INDEX([1]Pivot!$B$1:$AB$65000,$B810,AQ$5)="",2,0)),0)</f>
        <v>0</v>
      </c>
      <c r="AR810" s="313">
        <f>IFERROR(IF(INDEX([1]Pivot!$BF$1:$CG$65000,$B810,AR$5)=1,1,IF(INDEX([1]Pivot!$B$1:$AB$65000,$B810,AR$5)="",2,0)),0)</f>
        <v>0</v>
      </c>
      <c r="AS810" s="312"/>
      <c r="AT810" s="313">
        <f>IFERROR(IF(INDEX([1]Pivot!$BF$1:$CG$65000,$B810,AT$5)=1,1,IF(INDEX([1]Pivot!$B$1:$AB$65000,$B810,AT$5)="",2,0)),0)</f>
        <v>0</v>
      </c>
      <c r="AU810" s="313">
        <f>IFERROR(IF(INDEX([1]Pivot!$BF$1:$CG$65000,$B810,AU$5)=1,1,IF(INDEX([1]Pivot!$B$1:$AB$65000,$B810,AU$5)="",2,0)),0)</f>
        <v>0</v>
      </c>
      <c r="AV810" s="313">
        <f>IFERROR(IF(INDEX([1]Pivot!$BF$1:$CG$65000,$B810,AV$5)=1,1,IF(INDEX([1]Pivot!$B$1:$AB$65000,$B810,AV$5)="",2,0)),0)</f>
        <v>0</v>
      </c>
      <c r="AW810" s="313">
        <f>IFERROR(IF(INDEX([1]Pivot!$BF$1:$CG$65000,$B810,AW$5)=1,1,IF(INDEX([1]Pivot!$B$1:$AB$65000,$B810,AW$5)="",2,0)),0)</f>
        <v>0</v>
      </c>
      <c r="AX810" s="313">
        <f>IFERROR(IF(INDEX([1]Pivot!$BF$1:$CG$65000,$B810,AX$5)=1,1,IF(INDEX([1]Pivot!$B$1:$AB$65000,$B810,AX$5)="",2,0)),0)</f>
        <v>0</v>
      </c>
      <c r="AY810" s="313">
        <f>IFERROR(IF(INDEX([1]Pivot!$BF$1:$CG$65000,$B810,AY$5)=1,1,IF(INDEX([1]Pivot!$B$1:$AB$65000,$B810,AY$5)="",2,0)),0)</f>
        <v>0</v>
      </c>
      <c r="AZ810" s="313">
        <f>IFERROR(IF(INDEX([1]Pivot!$BF$1:$CG$65000,$B810,AZ$5)=1,1,IF(INDEX([1]Pivot!$B$1:$AB$65000,$B810,AZ$5)="",2,0)),0)</f>
        <v>0</v>
      </c>
      <c r="BA810" s="313">
        <f>IFERROR(IF(INDEX([1]Pivot!$BF$1:$CG$65000,$B810,BA$5)=1,1,IF(INDEX([1]Pivot!$B$1:$AB$65000,$B810,BA$5)="",2,0)),0)</f>
        <v>0</v>
      </c>
      <c r="BB810" s="313">
        <f>IFERROR(IF(INDEX([1]Pivot!$BF$1:$CG$65000,$B810,BB$5)=1,1,IF(INDEX([1]Pivot!$B$1:$AB$65000,$B810,BB$5)="",2,0)),0)</f>
        <v>0</v>
      </c>
      <c r="BC810" s="313">
        <f>IFERROR(IF(INDEX([1]Pivot!$BF$1:$CG$65000,$B810,BC$5)=1,1,IF(INDEX([1]Pivot!$B$1:$AB$65000,$B810,BC$5)="",2,0)),0)</f>
        <v>0</v>
      </c>
      <c r="BD810" s="313">
        <f>IFERROR(IF(INDEX([1]Pivot!$BF$1:$CG$65000,$B810,BD$5)=1,1,IF(INDEX([1]Pivot!$B$1:$AB$65000,$B810,BD$5)="",2,0)),0)</f>
        <v>0</v>
      </c>
    </row>
    <row r="811" spans="1:56" x14ac:dyDescent="0.25">
      <c r="A811" s="288">
        <f>'[2]Raw Milk Prices'!A811</f>
        <v>0</v>
      </c>
      <c r="B811" s="296" t="e">
        <f>MATCH(DATE(LEFT('[2]Raw Milk Prices'!$A811,4),RIGHT('[2]Raw Milk Prices'!$A811,2),1),[1]Pivot!$A$1:$A$65000,0)</f>
        <v>#VALUE!</v>
      </c>
      <c r="C811" s="194">
        <f>IFERROR(IF(INDEX([1]Pivot!$AD$1:$BE$65000,$B811,C$5)=1,1,IF(INDEX([1]Pivot!$B$1:$AB$65000,$B811,C$5)="",2,0)),0)</f>
        <v>0</v>
      </c>
      <c r="D811" s="194">
        <f>IFERROR(IF(INDEX([1]Pivot!$AD$1:$BE$65000,$B811,D$5)=1,1,IF(INDEX([1]Pivot!$B$1:$AB$65000,$B811,D$5)="",2,0)),0)</f>
        <v>0</v>
      </c>
      <c r="E811" s="194">
        <f>IFERROR(IF(INDEX([1]Pivot!$AD$1:$BE$65000,$B811,E$5)=1,1,IF(INDEX([1]Pivot!$B$1:$AB$65000,$B811,E$5)="",2,0)),0)</f>
        <v>0</v>
      </c>
      <c r="F811" s="194">
        <f>IFERROR(IF(INDEX([1]Pivot!$AD$1:$BE$65000,$B811,F$5)=1,1,IF(INDEX([1]Pivot!$B$1:$AB$65000,$B811,F$5)="",2,0)),0)</f>
        <v>0</v>
      </c>
      <c r="G811" s="194">
        <f>IFERROR(IF(INDEX([1]Pivot!$AD$1:$BE$65000,$B811,G$5)=1,1,IF(INDEX([1]Pivot!$B$1:$AB$65000,$B811,G$5)="",2,0)),0)</f>
        <v>0</v>
      </c>
      <c r="H811" s="194">
        <f>IFERROR(IF(INDEX([1]Pivot!$AD$1:$BE$65000,$B811,H$5)=1,1,IF(INDEX([1]Pivot!$B$1:$AB$65000,$B811,H$5)="",2,0)),0)</f>
        <v>0</v>
      </c>
      <c r="I811" s="194">
        <f>IFERROR(IF(INDEX([1]Pivot!$AD$1:$BE$65000,$B811,I$5)=1,1,IF(INDEX([1]Pivot!$B$1:$AB$65000,$B811,I$5)="",2,0)),0)</f>
        <v>0</v>
      </c>
      <c r="J811" s="194">
        <f>IFERROR(IF(INDEX([1]Pivot!$AD$1:$BE$65000,$B811,J$5)=1,1,IF(INDEX([1]Pivot!$B$1:$AB$65000,$B811,J$5)="",2,0)),0)</f>
        <v>0</v>
      </c>
      <c r="K811" s="194">
        <f>IFERROR(IF(INDEX([1]Pivot!$AD$1:$BE$65000,$B811,K$5)=1,1,IF(INDEX([1]Pivot!$B$1:$AB$65000,$B811,K$5)="",2,0)),0)</f>
        <v>0</v>
      </c>
      <c r="L811" s="194">
        <f>IFERROR(IF(INDEX([1]Pivot!$AD$1:$BE$65000,$B811,L$5)=1,1,IF(INDEX([1]Pivot!$B$1:$AB$65000,$B811,L$5)="",2,0)),0)</f>
        <v>0</v>
      </c>
      <c r="M811" s="194">
        <f>IFERROR(IF(INDEX([1]Pivot!$AD$1:$BE$65000,$B811,M$5)=1,1,IF(INDEX([1]Pivot!$B$1:$AB$65000,$B811,M$5)="",2,0)),0)</f>
        <v>0</v>
      </c>
      <c r="N811" s="194">
        <f>IFERROR(IF(INDEX([1]Pivot!$AD$1:$BE$65000,$B811,N$5)=1,1,IF(INDEX([1]Pivot!$B$1:$AB$65000,$B811,N$5)="",2,0)),0)</f>
        <v>0</v>
      </c>
      <c r="O811" s="194">
        <f>IFERROR(IF(INDEX([1]Pivot!$AD$1:$BE$65000,$B811,O$5)=1,1,IF(INDEX([1]Pivot!$B$1:$AB$65000,$B811,O$5)="",2,0)),0)</f>
        <v>0</v>
      </c>
      <c r="P811" s="194">
        <f>IFERROR(IF(INDEX([1]Pivot!$AD$1:$BE$65000,$B811,P$5)=1,1,IF(INDEX([1]Pivot!$B$1:$AB$65000,$B811,P$5)="",2,0)),0)</f>
        <v>0</v>
      </c>
      <c r="Q811" s="194">
        <f>IFERROR(IF(INDEX([1]Pivot!$AD$1:$BE$65000,$B811,Q$5)=1,1,IF(INDEX([1]Pivot!$B$1:$AB$65000,$B811,Q$5)="",2,0)),0)</f>
        <v>0</v>
      </c>
      <c r="R811" s="312"/>
      <c r="S811" s="194">
        <f>IFERROR(IF(INDEX([1]Pivot!$AD$1:$BE$65000,$B811,S$5)=1,1,IF(INDEX([1]Pivot!$B$1:$AB$65000,$B811,S$5)="",2,0)),0)</f>
        <v>0</v>
      </c>
      <c r="T811" s="194">
        <f>IFERROR(IF(INDEX([1]Pivot!$AD$1:$BE$65000,$B811,T$5)=1,1,IF(INDEX([1]Pivot!$B$1:$AB$65000,$B811,T$5)="",2,0)),0)</f>
        <v>0</v>
      </c>
      <c r="U811" s="194">
        <f>IFERROR(IF(INDEX([1]Pivot!$AD$1:$BE$65000,$B811,U$5)=1,1,IF(INDEX([1]Pivot!$B$1:$AB$65000,$B811,U$5)="",2,0)),0)</f>
        <v>0</v>
      </c>
      <c r="V811" s="194">
        <f>IFERROR(IF(INDEX([1]Pivot!$AD$1:$BE$65000,$B811,V$5)=1,1,IF(INDEX([1]Pivot!$B$1:$AB$65000,$B811,V$5)="",2,0)),0)</f>
        <v>0</v>
      </c>
      <c r="W811" s="194">
        <f>IFERROR(IF(INDEX([1]Pivot!$AD$1:$BE$65000,$B811,W$5)=1,1,IF(INDEX([1]Pivot!$B$1:$AB$65000,$B811,W$5)="",2,0)),0)</f>
        <v>0</v>
      </c>
      <c r="X811" s="194">
        <f>IFERROR(IF(INDEX([1]Pivot!$AD$1:$BE$65000,$B811,X$5)=1,1,IF(INDEX([1]Pivot!$B$1:$AB$65000,$B811,X$5)="",2,0)),0)</f>
        <v>0</v>
      </c>
      <c r="Y811" s="194">
        <f>IFERROR(IF(INDEX([1]Pivot!$AD$1:$BE$65000,$B811,Y$5)=1,1,IF(INDEX([1]Pivot!$B$1:$AB$65000,$B811,Y$5)="",2,0)),0)</f>
        <v>0</v>
      </c>
      <c r="Z811" s="194">
        <f>IFERROR(IF(INDEX([1]Pivot!$AD$1:$BE$65000,$B811,Z$5)=1,1,IF(INDEX([1]Pivot!$B$1:$AB$65000,$B811,Z$5)="",2,0)),0)</f>
        <v>0</v>
      </c>
      <c r="AA811" s="194">
        <f>IFERROR(IF(INDEX([1]Pivot!$AD$1:$BE$65000,$B811,AA$5)=1,1,IF(INDEX([1]Pivot!$B$1:$AB$65000,$B811,AA$5)="",2,0)),0)</f>
        <v>0</v>
      </c>
      <c r="AB811" s="194">
        <f>IFERROR(IF(INDEX([1]Pivot!$AD$1:$BE$65000,$B811,AB$5)=1,1,IF(INDEX([1]Pivot!$B$1:$AB$65000,$B811,AB$5)="",2,0)),0)</f>
        <v>0</v>
      </c>
      <c r="AC811" s="194">
        <f>IFERROR(IF(INDEX([1]Pivot!$AD$1:$BE$65000,$B811,AC$5)=1,1,IF(INDEX([1]Pivot!$B$1:$AB$65000,$B811,AC$5)="",2,0)),0)</f>
        <v>0</v>
      </c>
      <c r="AD811" s="313">
        <f>IFERROR(IF(INDEX([1]Pivot!$BF$1:$CG$65000,$B811,AD$5)=1,1,IF(INDEX([1]Pivot!$B$1:$AB$65000,$B811,AD$5)="",2,0)),0)</f>
        <v>0</v>
      </c>
      <c r="AE811" s="313">
        <f>IFERROR(IF(INDEX([1]Pivot!$BF$1:$CG$65000,$B811,AE$5)=1,1,IF(INDEX([1]Pivot!$B$1:$AB$65000,$B811,AE$5)="",2,0)),0)</f>
        <v>0</v>
      </c>
      <c r="AF811" s="313">
        <f>IFERROR(IF(INDEX([1]Pivot!$BF$1:$CG$65000,$B811,AF$5)=1,1,IF(INDEX([1]Pivot!$B$1:$AB$65000,$B811,AF$5)="",2,0)),0)</f>
        <v>0</v>
      </c>
      <c r="AG811" s="313">
        <f>IFERROR(IF(INDEX([1]Pivot!$BF$1:$CG$65000,$B811,AG$5)=1,1,IF(INDEX([1]Pivot!$B$1:$AB$65000,$B811,AG$5)="",2,0)),0)</f>
        <v>0</v>
      </c>
      <c r="AH811" s="313">
        <f>IFERROR(IF(INDEX([1]Pivot!$BF$1:$CG$65000,$B811,AH$5)=1,1,IF(INDEX([1]Pivot!$B$1:$AB$65000,$B811,AH$5)="",2,0)),0)</f>
        <v>0</v>
      </c>
      <c r="AI811" s="313">
        <f>IFERROR(IF(INDEX([1]Pivot!$BF$1:$CG$65000,$B811,AI$5)=1,1,IF(INDEX([1]Pivot!$B$1:$AB$65000,$B811,AI$5)="",2,0)),0)</f>
        <v>0</v>
      </c>
      <c r="AJ811" s="313">
        <f>IFERROR(IF(INDEX([1]Pivot!$BF$1:$CG$65000,$B811,AJ$5)=1,1,IF(INDEX([1]Pivot!$B$1:$AB$65000,$B811,AJ$5)="",2,0)),0)</f>
        <v>0</v>
      </c>
      <c r="AK811" s="313">
        <f>IFERROR(IF(INDEX([1]Pivot!$BF$1:$CG$65000,$B811,AK$5)=1,1,IF(INDEX([1]Pivot!$B$1:$AB$65000,$B811,AK$5)="",2,0)),0)</f>
        <v>0</v>
      </c>
      <c r="AL811" s="313">
        <f>IFERROR(IF(INDEX([1]Pivot!$BF$1:$CG$65000,$B811,AL$5)=1,1,IF(INDEX([1]Pivot!$B$1:$AB$65000,$B811,AL$5)="",2,0)),0)</f>
        <v>0</v>
      </c>
      <c r="AM811" s="313">
        <f>IFERROR(IF(INDEX([1]Pivot!$BF$1:$CG$65000,$B811,AM$5)=1,1,IF(INDEX([1]Pivot!$B$1:$AB$65000,$B811,AM$5)="",2,0)),0)</f>
        <v>0</v>
      </c>
      <c r="AN811" s="313">
        <f>IFERROR(IF(INDEX([1]Pivot!$BF$1:$CG$65000,$B811,AN$5)=1,1,IF(INDEX([1]Pivot!$B$1:$AB$65000,$B811,AN$5)="",2,0)),0)</f>
        <v>0</v>
      </c>
      <c r="AO811" s="313">
        <f>IFERROR(IF(INDEX([1]Pivot!$BF$1:$CG$65000,$B811,AO$5)=1,1,IF(INDEX([1]Pivot!$B$1:$AB$65000,$B811,AO$5)="",2,0)),0)</f>
        <v>0</v>
      </c>
      <c r="AP811" s="313">
        <f>IFERROR(IF(INDEX([1]Pivot!$BF$1:$CG$65000,$B811,AP$5)=1,1,IF(INDEX([1]Pivot!$B$1:$AB$65000,$B811,AP$5)="",2,0)),0)</f>
        <v>0</v>
      </c>
      <c r="AQ811" s="313">
        <f>IFERROR(IF(INDEX([1]Pivot!$BF$1:$CG$65000,$B811,AQ$5)=1,1,IF(INDEX([1]Pivot!$B$1:$AB$65000,$B811,AQ$5)="",2,0)),0)</f>
        <v>0</v>
      </c>
      <c r="AR811" s="313">
        <f>IFERROR(IF(INDEX([1]Pivot!$BF$1:$CG$65000,$B811,AR$5)=1,1,IF(INDEX([1]Pivot!$B$1:$AB$65000,$B811,AR$5)="",2,0)),0)</f>
        <v>0</v>
      </c>
      <c r="AS811" s="312"/>
      <c r="AT811" s="313">
        <f>IFERROR(IF(INDEX([1]Pivot!$BF$1:$CG$65000,$B811,AT$5)=1,1,IF(INDEX([1]Pivot!$B$1:$AB$65000,$B811,AT$5)="",2,0)),0)</f>
        <v>0</v>
      </c>
      <c r="AU811" s="313">
        <f>IFERROR(IF(INDEX([1]Pivot!$BF$1:$CG$65000,$B811,AU$5)=1,1,IF(INDEX([1]Pivot!$B$1:$AB$65000,$B811,AU$5)="",2,0)),0)</f>
        <v>0</v>
      </c>
      <c r="AV811" s="313">
        <f>IFERROR(IF(INDEX([1]Pivot!$BF$1:$CG$65000,$B811,AV$5)=1,1,IF(INDEX([1]Pivot!$B$1:$AB$65000,$B811,AV$5)="",2,0)),0)</f>
        <v>0</v>
      </c>
      <c r="AW811" s="313">
        <f>IFERROR(IF(INDEX([1]Pivot!$BF$1:$CG$65000,$B811,AW$5)=1,1,IF(INDEX([1]Pivot!$B$1:$AB$65000,$B811,AW$5)="",2,0)),0)</f>
        <v>0</v>
      </c>
      <c r="AX811" s="313">
        <f>IFERROR(IF(INDEX([1]Pivot!$BF$1:$CG$65000,$B811,AX$5)=1,1,IF(INDEX([1]Pivot!$B$1:$AB$65000,$B811,AX$5)="",2,0)),0)</f>
        <v>0</v>
      </c>
      <c r="AY811" s="313">
        <f>IFERROR(IF(INDEX([1]Pivot!$BF$1:$CG$65000,$B811,AY$5)=1,1,IF(INDEX([1]Pivot!$B$1:$AB$65000,$B811,AY$5)="",2,0)),0)</f>
        <v>0</v>
      </c>
      <c r="AZ811" s="313">
        <f>IFERROR(IF(INDEX([1]Pivot!$BF$1:$CG$65000,$B811,AZ$5)=1,1,IF(INDEX([1]Pivot!$B$1:$AB$65000,$B811,AZ$5)="",2,0)),0)</f>
        <v>0</v>
      </c>
      <c r="BA811" s="313">
        <f>IFERROR(IF(INDEX([1]Pivot!$BF$1:$CG$65000,$B811,BA$5)=1,1,IF(INDEX([1]Pivot!$B$1:$AB$65000,$B811,BA$5)="",2,0)),0)</f>
        <v>0</v>
      </c>
      <c r="BB811" s="313">
        <f>IFERROR(IF(INDEX([1]Pivot!$BF$1:$CG$65000,$B811,BB$5)=1,1,IF(INDEX([1]Pivot!$B$1:$AB$65000,$B811,BB$5)="",2,0)),0)</f>
        <v>0</v>
      </c>
      <c r="BC811" s="313">
        <f>IFERROR(IF(INDEX([1]Pivot!$BF$1:$CG$65000,$B811,BC$5)=1,1,IF(INDEX([1]Pivot!$B$1:$AB$65000,$B811,BC$5)="",2,0)),0)</f>
        <v>0</v>
      </c>
      <c r="BD811" s="313">
        <f>IFERROR(IF(INDEX([1]Pivot!$BF$1:$CG$65000,$B811,BD$5)=1,1,IF(INDEX([1]Pivot!$B$1:$AB$65000,$B811,BD$5)="",2,0)),0)</f>
        <v>0</v>
      </c>
    </row>
    <row r="812" spans="1:56" x14ac:dyDescent="0.25">
      <c r="A812" s="288">
        <f>'[2]Raw Milk Prices'!A812</f>
        <v>0</v>
      </c>
      <c r="B812" s="296" t="e">
        <f>MATCH(DATE(LEFT('[2]Raw Milk Prices'!$A812,4),RIGHT('[2]Raw Milk Prices'!$A812,2),1),[1]Pivot!$A$1:$A$65000,0)</f>
        <v>#VALUE!</v>
      </c>
      <c r="C812" s="194">
        <f>IFERROR(IF(INDEX([1]Pivot!$AD$1:$BE$65000,$B812,C$5)=1,1,IF(INDEX([1]Pivot!$B$1:$AB$65000,$B812,C$5)="",2,0)),0)</f>
        <v>0</v>
      </c>
      <c r="D812" s="194">
        <f>IFERROR(IF(INDEX([1]Pivot!$AD$1:$BE$65000,$B812,D$5)=1,1,IF(INDEX([1]Pivot!$B$1:$AB$65000,$B812,D$5)="",2,0)),0)</f>
        <v>0</v>
      </c>
      <c r="E812" s="194">
        <f>IFERROR(IF(INDEX([1]Pivot!$AD$1:$BE$65000,$B812,E$5)=1,1,IF(INDEX([1]Pivot!$B$1:$AB$65000,$B812,E$5)="",2,0)),0)</f>
        <v>0</v>
      </c>
      <c r="F812" s="194">
        <f>IFERROR(IF(INDEX([1]Pivot!$AD$1:$BE$65000,$B812,F$5)=1,1,IF(INDEX([1]Pivot!$B$1:$AB$65000,$B812,F$5)="",2,0)),0)</f>
        <v>0</v>
      </c>
      <c r="G812" s="194">
        <f>IFERROR(IF(INDEX([1]Pivot!$AD$1:$BE$65000,$B812,G$5)=1,1,IF(INDEX([1]Pivot!$B$1:$AB$65000,$B812,G$5)="",2,0)),0)</f>
        <v>0</v>
      </c>
      <c r="H812" s="194">
        <f>IFERROR(IF(INDEX([1]Pivot!$AD$1:$BE$65000,$B812,H$5)=1,1,IF(INDEX([1]Pivot!$B$1:$AB$65000,$B812,H$5)="",2,0)),0)</f>
        <v>0</v>
      </c>
      <c r="I812" s="194">
        <f>IFERROR(IF(INDEX([1]Pivot!$AD$1:$BE$65000,$B812,I$5)=1,1,IF(INDEX([1]Pivot!$B$1:$AB$65000,$B812,I$5)="",2,0)),0)</f>
        <v>0</v>
      </c>
      <c r="J812" s="194">
        <f>IFERROR(IF(INDEX([1]Pivot!$AD$1:$BE$65000,$B812,J$5)=1,1,IF(INDEX([1]Pivot!$B$1:$AB$65000,$B812,J$5)="",2,0)),0)</f>
        <v>0</v>
      </c>
      <c r="K812" s="194">
        <f>IFERROR(IF(INDEX([1]Pivot!$AD$1:$BE$65000,$B812,K$5)=1,1,IF(INDEX([1]Pivot!$B$1:$AB$65000,$B812,K$5)="",2,0)),0)</f>
        <v>0</v>
      </c>
      <c r="L812" s="194">
        <f>IFERROR(IF(INDEX([1]Pivot!$AD$1:$BE$65000,$B812,L$5)=1,1,IF(INDEX([1]Pivot!$B$1:$AB$65000,$B812,L$5)="",2,0)),0)</f>
        <v>0</v>
      </c>
      <c r="M812" s="194">
        <f>IFERROR(IF(INDEX([1]Pivot!$AD$1:$BE$65000,$B812,M$5)=1,1,IF(INDEX([1]Pivot!$B$1:$AB$65000,$B812,M$5)="",2,0)),0)</f>
        <v>0</v>
      </c>
      <c r="N812" s="194">
        <f>IFERROR(IF(INDEX([1]Pivot!$AD$1:$BE$65000,$B812,N$5)=1,1,IF(INDEX([1]Pivot!$B$1:$AB$65000,$B812,N$5)="",2,0)),0)</f>
        <v>0</v>
      </c>
      <c r="O812" s="194">
        <f>IFERROR(IF(INDEX([1]Pivot!$AD$1:$BE$65000,$B812,O$5)=1,1,IF(INDEX([1]Pivot!$B$1:$AB$65000,$B812,O$5)="",2,0)),0)</f>
        <v>0</v>
      </c>
      <c r="P812" s="194">
        <f>IFERROR(IF(INDEX([1]Pivot!$AD$1:$BE$65000,$B812,P$5)=1,1,IF(INDEX([1]Pivot!$B$1:$AB$65000,$B812,P$5)="",2,0)),0)</f>
        <v>0</v>
      </c>
      <c r="Q812" s="194">
        <f>IFERROR(IF(INDEX([1]Pivot!$AD$1:$BE$65000,$B812,Q$5)=1,1,IF(INDEX([1]Pivot!$B$1:$AB$65000,$B812,Q$5)="",2,0)),0)</f>
        <v>0</v>
      </c>
      <c r="R812" s="312"/>
      <c r="S812" s="194">
        <f>IFERROR(IF(INDEX([1]Pivot!$AD$1:$BE$65000,$B812,S$5)=1,1,IF(INDEX([1]Pivot!$B$1:$AB$65000,$B812,S$5)="",2,0)),0)</f>
        <v>0</v>
      </c>
      <c r="T812" s="194">
        <f>IFERROR(IF(INDEX([1]Pivot!$AD$1:$BE$65000,$B812,T$5)=1,1,IF(INDEX([1]Pivot!$B$1:$AB$65000,$B812,T$5)="",2,0)),0)</f>
        <v>0</v>
      </c>
      <c r="U812" s="194">
        <f>IFERROR(IF(INDEX([1]Pivot!$AD$1:$BE$65000,$B812,U$5)=1,1,IF(INDEX([1]Pivot!$B$1:$AB$65000,$B812,U$5)="",2,0)),0)</f>
        <v>0</v>
      </c>
      <c r="V812" s="194">
        <f>IFERROR(IF(INDEX([1]Pivot!$AD$1:$BE$65000,$B812,V$5)=1,1,IF(INDEX([1]Pivot!$B$1:$AB$65000,$B812,V$5)="",2,0)),0)</f>
        <v>0</v>
      </c>
      <c r="W812" s="194">
        <f>IFERROR(IF(INDEX([1]Pivot!$AD$1:$BE$65000,$B812,W$5)=1,1,IF(INDEX([1]Pivot!$B$1:$AB$65000,$B812,W$5)="",2,0)),0)</f>
        <v>0</v>
      </c>
      <c r="X812" s="194">
        <f>IFERROR(IF(INDEX([1]Pivot!$AD$1:$BE$65000,$B812,X$5)=1,1,IF(INDEX([1]Pivot!$B$1:$AB$65000,$B812,X$5)="",2,0)),0)</f>
        <v>0</v>
      </c>
      <c r="Y812" s="194">
        <f>IFERROR(IF(INDEX([1]Pivot!$AD$1:$BE$65000,$B812,Y$5)=1,1,IF(INDEX([1]Pivot!$B$1:$AB$65000,$B812,Y$5)="",2,0)),0)</f>
        <v>0</v>
      </c>
      <c r="Z812" s="194">
        <f>IFERROR(IF(INDEX([1]Pivot!$AD$1:$BE$65000,$B812,Z$5)=1,1,IF(INDEX([1]Pivot!$B$1:$AB$65000,$B812,Z$5)="",2,0)),0)</f>
        <v>0</v>
      </c>
      <c r="AA812" s="194">
        <f>IFERROR(IF(INDEX([1]Pivot!$AD$1:$BE$65000,$B812,AA$5)=1,1,IF(INDEX([1]Pivot!$B$1:$AB$65000,$B812,AA$5)="",2,0)),0)</f>
        <v>0</v>
      </c>
      <c r="AB812" s="194">
        <f>IFERROR(IF(INDEX([1]Pivot!$AD$1:$BE$65000,$B812,AB$5)=1,1,IF(INDEX([1]Pivot!$B$1:$AB$65000,$B812,AB$5)="",2,0)),0)</f>
        <v>0</v>
      </c>
      <c r="AC812" s="194">
        <f>IFERROR(IF(INDEX([1]Pivot!$AD$1:$BE$65000,$B812,AC$5)=1,1,IF(INDEX([1]Pivot!$B$1:$AB$65000,$B812,AC$5)="",2,0)),0)</f>
        <v>0</v>
      </c>
      <c r="AD812" s="313">
        <f>IFERROR(IF(INDEX([1]Pivot!$BF$1:$CG$65000,$B812,AD$5)=1,1,IF(INDEX([1]Pivot!$B$1:$AB$65000,$B812,AD$5)="",2,0)),0)</f>
        <v>0</v>
      </c>
      <c r="AE812" s="313">
        <f>IFERROR(IF(INDEX([1]Pivot!$BF$1:$CG$65000,$B812,AE$5)=1,1,IF(INDEX([1]Pivot!$B$1:$AB$65000,$B812,AE$5)="",2,0)),0)</f>
        <v>0</v>
      </c>
      <c r="AF812" s="313">
        <f>IFERROR(IF(INDEX([1]Pivot!$BF$1:$CG$65000,$B812,AF$5)=1,1,IF(INDEX([1]Pivot!$B$1:$AB$65000,$B812,AF$5)="",2,0)),0)</f>
        <v>0</v>
      </c>
      <c r="AG812" s="313">
        <f>IFERROR(IF(INDEX([1]Pivot!$BF$1:$CG$65000,$B812,AG$5)=1,1,IF(INDEX([1]Pivot!$B$1:$AB$65000,$B812,AG$5)="",2,0)),0)</f>
        <v>0</v>
      </c>
      <c r="AH812" s="313">
        <f>IFERROR(IF(INDEX([1]Pivot!$BF$1:$CG$65000,$B812,AH$5)=1,1,IF(INDEX([1]Pivot!$B$1:$AB$65000,$B812,AH$5)="",2,0)),0)</f>
        <v>0</v>
      </c>
      <c r="AI812" s="313">
        <f>IFERROR(IF(INDEX([1]Pivot!$BF$1:$CG$65000,$B812,AI$5)=1,1,IF(INDEX([1]Pivot!$B$1:$AB$65000,$B812,AI$5)="",2,0)),0)</f>
        <v>0</v>
      </c>
      <c r="AJ812" s="313">
        <f>IFERROR(IF(INDEX([1]Pivot!$BF$1:$CG$65000,$B812,AJ$5)=1,1,IF(INDEX([1]Pivot!$B$1:$AB$65000,$B812,AJ$5)="",2,0)),0)</f>
        <v>0</v>
      </c>
      <c r="AK812" s="313">
        <f>IFERROR(IF(INDEX([1]Pivot!$BF$1:$CG$65000,$B812,AK$5)=1,1,IF(INDEX([1]Pivot!$B$1:$AB$65000,$B812,AK$5)="",2,0)),0)</f>
        <v>0</v>
      </c>
      <c r="AL812" s="313">
        <f>IFERROR(IF(INDEX([1]Pivot!$BF$1:$CG$65000,$B812,AL$5)=1,1,IF(INDEX([1]Pivot!$B$1:$AB$65000,$B812,AL$5)="",2,0)),0)</f>
        <v>0</v>
      </c>
      <c r="AM812" s="313">
        <f>IFERROR(IF(INDEX([1]Pivot!$BF$1:$CG$65000,$B812,AM$5)=1,1,IF(INDEX([1]Pivot!$B$1:$AB$65000,$B812,AM$5)="",2,0)),0)</f>
        <v>0</v>
      </c>
      <c r="AN812" s="313">
        <f>IFERROR(IF(INDEX([1]Pivot!$BF$1:$CG$65000,$B812,AN$5)=1,1,IF(INDEX([1]Pivot!$B$1:$AB$65000,$B812,AN$5)="",2,0)),0)</f>
        <v>0</v>
      </c>
      <c r="AO812" s="313">
        <f>IFERROR(IF(INDEX([1]Pivot!$BF$1:$CG$65000,$B812,AO$5)=1,1,IF(INDEX([1]Pivot!$B$1:$AB$65000,$B812,AO$5)="",2,0)),0)</f>
        <v>0</v>
      </c>
      <c r="AP812" s="313">
        <f>IFERROR(IF(INDEX([1]Pivot!$BF$1:$CG$65000,$B812,AP$5)=1,1,IF(INDEX([1]Pivot!$B$1:$AB$65000,$B812,AP$5)="",2,0)),0)</f>
        <v>0</v>
      </c>
      <c r="AQ812" s="313">
        <f>IFERROR(IF(INDEX([1]Pivot!$BF$1:$CG$65000,$B812,AQ$5)=1,1,IF(INDEX([1]Pivot!$B$1:$AB$65000,$B812,AQ$5)="",2,0)),0)</f>
        <v>0</v>
      </c>
      <c r="AR812" s="313">
        <f>IFERROR(IF(INDEX([1]Pivot!$BF$1:$CG$65000,$B812,AR$5)=1,1,IF(INDEX([1]Pivot!$B$1:$AB$65000,$B812,AR$5)="",2,0)),0)</f>
        <v>0</v>
      </c>
      <c r="AS812" s="312"/>
      <c r="AT812" s="313">
        <f>IFERROR(IF(INDEX([1]Pivot!$BF$1:$CG$65000,$B812,AT$5)=1,1,IF(INDEX([1]Pivot!$B$1:$AB$65000,$B812,AT$5)="",2,0)),0)</f>
        <v>0</v>
      </c>
      <c r="AU812" s="313">
        <f>IFERROR(IF(INDEX([1]Pivot!$BF$1:$CG$65000,$B812,AU$5)=1,1,IF(INDEX([1]Pivot!$B$1:$AB$65000,$B812,AU$5)="",2,0)),0)</f>
        <v>0</v>
      </c>
      <c r="AV812" s="313">
        <f>IFERROR(IF(INDEX([1]Pivot!$BF$1:$CG$65000,$B812,AV$5)=1,1,IF(INDEX([1]Pivot!$B$1:$AB$65000,$B812,AV$5)="",2,0)),0)</f>
        <v>0</v>
      </c>
      <c r="AW812" s="313">
        <f>IFERROR(IF(INDEX([1]Pivot!$BF$1:$CG$65000,$B812,AW$5)=1,1,IF(INDEX([1]Pivot!$B$1:$AB$65000,$B812,AW$5)="",2,0)),0)</f>
        <v>0</v>
      </c>
      <c r="AX812" s="313">
        <f>IFERROR(IF(INDEX([1]Pivot!$BF$1:$CG$65000,$B812,AX$5)=1,1,IF(INDEX([1]Pivot!$B$1:$AB$65000,$B812,AX$5)="",2,0)),0)</f>
        <v>0</v>
      </c>
      <c r="AY812" s="313">
        <f>IFERROR(IF(INDEX([1]Pivot!$BF$1:$CG$65000,$B812,AY$5)=1,1,IF(INDEX([1]Pivot!$B$1:$AB$65000,$B812,AY$5)="",2,0)),0)</f>
        <v>0</v>
      </c>
      <c r="AZ812" s="313">
        <f>IFERROR(IF(INDEX([1]Pivot!$BF$1:$CG$65000,$B812,AZ$5)=1,1,IF(INDEX([1]Pivot!$B$1:$AB$65000,$B812,AZ$5)="",2,0)),0)</f>
        <v>0</v>
      </c>
      <c r="BA812" s="313">
        <f>IFERROR(IF(INDEX([1]Pivot!$BF$1:$CG$65000,$B812,BA$5)=1,1,IF(INDEX([1]Pivot!$B$1:$AB$65000,$B812,BA$5)="",2,0)),0)</f>
        <v>0</v>
      </c>
      <c r="BB812" s="313">
        <f>IFERROR(IF(INDEX([1]Pivot!$BF$1:$CG$65000,$B812,BB$5)=1,1,IF(INDEX([1]Pivot!$B$1:$AB$65000,$B812,BB$5)="",2,0)),0)</f>
        <v>0</v>
      </c>
      <c r="BC812" s="313">
        <f>IFERROR(IF(INDEX([1]Pivot!$BF$1:$CG$65000,$B812,BC$5)=1,1,IF(INDEX([1]Pivot!$B$1:$AB$65000,$B812,BC$5)="",2,0)),0)</f>
        <v>0</v>
      </c>
      <c r="BD812" s="313">
        <f>IFERROR(IF(INDEX([1]Pivot!$BF$1:$CG$65000,$B812,BD$5)=1,1,IF(INDEX([1]Pivot!$B$1:$AB$65000,$B812,BD$5)="",2,0)),0)</f>
        <v>0</v>
      </c>
    </row>
    <row r="813" spans="1:56" x14ac:dyDescent="0.25">
      <c r="A813" s="288">
        <f>'[2]Raw Milk Prices'!A813</f>
        <v>0</v>
      </c>
      <c r="B813" s="296" t="e">
        <f>MATCH(DATE(LEFT('[2]Raw Milk Prices'!$A813,4),RIGHT('[2]Raw Milk Prices'!$A813,2),1),[1]Pivot!$A$1:$A$65000,0)</f>
        <v>#VALUE!</v>
      </c>
      <c r="C813" s="194">
        <f>IFERROR(IF(INDEX([1]Pivot!$AD$1:$BE$65000,$B813,C$5)=1,1,IF(INDEX([1]Pivot!$B$1:$AB$65000,$B813,C$5)="",2,0)),0)</f>
        <v>0</v>
      </c>
      <c r="D813" s="194">
        <f>IFERROR(IF(INDEX([1]Pivot!$AD$1:$BE$65000,$B813,D$5)=1,1,IF(INDEX([1]Pivot!$B$1:$AB$65000,$B813,D$5)="",2,0)),0)</f>
        <v>0</v>
      </c>
      <c r="E813" s="194">
        <f>IFERROR(IF(INDEX([1]Pivot!$AD$1:$BE$65000,$B813,E$5)=1,1,IF(INDEX([1]Pivot!$B$1:$AB$65000,$B813,E$5)="",2,0)),0)</f>
        <v>0</v>
      </c>
      <c r="F813" s="194">
        <f>IFERROR(IF(INDEX([1]Pivot!$AD$1:$BE$65000,$B813,F$5)=1,1,IF(INDEX([1]Pivot!$B$1:$AB$65000,$B813,F$5)="",2,0)),0)</f>
        <v>0</v>
      </c>
      <c r="G813" s="194">
        <f>IFERROR(IF(INDEX([1]Pivot!$AD$1:$BE$65000,$B813,G$5)=1,1,IF(INDEX([1]Pivot!$B$1:$AB$65000,$B813,G$5)="",2,0)),0)</f>
        <v>0</v>
      </c>
      <c r="H813" s="194">
        <f>IFERROR(IF(INDEX([1]Pivot!$AD$1:$BE$65000,$B813,H$5)=1,1,IF(INDEX([1]Pivot!$B$1:$AB$65000,$B813,H$5)="",2,0)),0)</f>
        <v>0</v>
      </c>
      <c r="I813" s="194">
        <f>IFERROR(IF(INDEX([1]Pivot!$AD$1:$BE$65000,$B813,I$5)=1,1,IF(INDEX([1]Pivot!$B$1:$AB$65000,$B813,I$5)="",2,0)),0)</f>
        <v>0</v>
      </c>
      <c r="J813" s="194">
        <f>IFERROR(IF(INDEX([1]Pivot!$AD$1:$BE$65000,$B813,J$5)=1,1,IF(INDEX([1]Pivot!$B$1:$AB$65000,$B813,J$5)="",2,0)),0)</f>
        <v>0</v>
      </c>
      <c r="K813" s="194">
        <f>IFERROR(IF(INDEX([1]Pivot!$AD$1:$BE$65000,$B813,K$5)=1,1,IF(INDEX([1]Pivot!$B$1:$AB$65000,$B813,K$5)="",2,0)),0)</f>
        <v>0</v>
      </c>
      <c r="L813" s="194">
        <f>IFERROR(IF(INDEX([1]Pivot!$AD$1:$BE$65000,$B813,L$5)=1,1,IF(INDEX([1]Pivot!$B$1:$AB$65000,$B813,L$5)="",2,0)),0)</f>
        <v>0</v>
      </c>
      <c r="M813" s="194">
        <f>IFERROR(IF(INDEX([1]Pivot!$AD$1:$BE$65000,$B813,M$5)=1,1,IF(INDEX([1]Pivot!$B$1:$AB$65000,$B813,M$5)="",2,0)),0)</f>
        <v>0</v>
      </c>
      <c r="N813" s="194">
        <f>IFERROR(IF(INDEX([1]Pivot!$AD$1:$BE$65000,$B813,N$5)=1,1,IF(INDEX([1]Pivot!$B$1:$AB$65000,$B813,N$5)="",2,0)),0)</f>
        <v>0</v>
      </c>
      <c r="O813" s="194">
        <f>IFERROR(IF(INDEX([1]Pivot!$AD$1:$BE$65000,$B813,O$5)=1,1,IF(INDEX([1]Pivot!$B$1:$AB$65000,$B813,O$5)="",2,0)),0)</f>
        <v>0</v>
      </c>
      <c r="P813" s="194">
        <f>IFERROR(IF(INDEX([1]Pivot!$AD$1:$BE$65000,$B813,P$5)=1,1,IF(INDEX([1]Pivot!$B$1:$AB$65000,$B813,P$5)="",2,0)),0)</f>
        <v>0</v>
      </c>
      <c r="Q813" s="194">
        <f>IFERROR(IF(INDEX([1]Pivot!$AD$1:$BE$65000,$B813,Q$5)=1,1,IF(INDEX([1]Pivot!$B$1:$AB$65000,$B813,Q$5)="",2,0)),0)</f>
        <v>0</v>
      </c>
      <c r="R813" s="312"/>
      <c r="S813" s="194">
        <f>IFERROR(IF(INDEX([1]Pivot!$AD$1:$BE$65000,$B813,S$5)=1,1,IF(INDEX([1]Pivot!$B$1:$AB$65000,$B813,S$5)="",2,0)),0)</f>
        <v>0</v>
      </c>
      <c r="T813" s="194">
        <f>IFERROR(IF(INDEX([1]Pivot!$AD$1:$BE$65000,$B813,T$5)=1,1,IF(INDEX([1]Pivot!$B$1:$AB$65000,$B813,T$5)="",2,0)),0)</f>
        <v>0</v>
      </c>
      <c r="U813" s="194">
        <f>IFERROR(IF(INDEX([1]Pivot!$AD$1:$BE$65000,$B813,U$5)=1,1,IF(INDEX([1]Pivot!$B$1:$AB$65000,$B813,U$5)="",2,0)),0)</f>
        <v>0</v>
      </c>
      <c r="V813" s="194">
        <f>IFERROR(IF(INDEX([1]Pivot!$AD$1:$BE$65000,$B813,V$5)=1,1,IF(INDEX([1]Pivot!$B$1:$AB$65000,$B813,V$5)="",2,0)),0)</f>
        <v>0</v>
      </c>
      <c r="W813" s="194">
        <f>IFERROR(IF(INDEX([1]Pivot!$AD$1:$BE$65000,$B813,W$5)=1,1,IF(INDEX([1]Pivot!$B$1:$AB$65000,$B813,W$5)="",2,0)),0)</f>
        <v>0</v>
      </c>
      <c r="X813" s="194">
        <f>IFERROR(IF(INDEX([1]Pivot!$AD$1:$BE$65000,$B813,X$5)=1,1,IF(INDEX([1]Pivot!$B$1:$AB$65000,$B813,X$5)="",2,0)),0)</f>
        <v>0</v>
      </c>
      <c r="Y813" s="194">
        <f>IFERROR(IF(INDEX([1]Pivot!$AD$1:$BE$65000,$B813,Y$5)=1,1,IF(INDEX([1]Pivot!$B$1:$AB$65000,$B813,Y$5)="",2,0)),0)</f>
        <v>0</v>
      </c>
      <c r="Z813" s="194">
        <f>IFERROR(IF(INDEX([1]Pivot!$AD$1:$BE$65000,$B813,Z$5)=1,1,IF(INDEX([1]Pivot!$B$1:$AB$65000,$B813,Z$5)="",2,0)),0)</f>
        <v>0</v>
      </c>
      <c r="AA813" s="194">
        <f>IFERROR(IF(INDEX([1]Pivot!$AD$1:$BE$65000,$B813,AA$5)=1,1,IF(INDEX([1]Pivot!$B$1:$AB$65000,$B813,AA$5)="",2,0)),0)</f>
        <v>0</v>
      </c>
      <c r="AB813" s="194">
        <f>IFERROR(IF(INDEX([1]Pivot!$AD$1:$BE$65000,$B813,AB$5)=1,1,IF(INDEX([1]Pivot!$B$1:$AB$65000,$B813,AB$5)="",2,0)),0)</f>
        <v>0</v>
      </c>
      <c r="AC813" s="194">
        <f>IFERROR(IF(INDEX([1]Pivot!$AD$1:$BE$65000,$B813,AC$5)=1,1,IF(INDEX([1]Pivot!$B$1:$AB$65000,$B813,AC$5)="",2,0)),0)</f>
        <v>0</v>
      </c>
      <c r="AD813" s="313">
        <f>IFERROR(IF(INDEX([1]Pivot!$BF$1:$CG$65000,$B813,AD$5)=1,1,IF(INDEX([1]Pivot!$B$1:$AB$65000,$B813,AD$5)="",2,0)),0)</f>
        <v>0</v>
      </c>
      <c r="AE813" s="313">
        <f>IFERROR(IF(INDEX([1]Pivot!$BF$1:$CG$65000,$B813,AE$5)=1,1,IF(INDEX([1]Pivot!$B$1:$AB$65000,$B813,AE$5)="",2,0)),0)</f>
        <v>0</v>
      </c>
      <c r="AF813" s="313">
        <f>IFERROR(IF(INDEX([1]Pivot!$BF$1:$CG$65000,$B813,AF$5)=1,1,IF(INDEX([1]Pivot!$B$1:$AB$65000,$B813,AF$5)="",2,0)),0)</f>
        <v>0</v>
      </c>
      <c r="AG813" s="313">
        <f>IFERROR(IF(INDEX([1]Pivot!$BF$1:$CG$65000,$B813,AG$5)=1,1,IF(INDEX([1]Pivot!$B$1:$AB$65000,$B813,AG$5)="",2,0)),0)</f>
        <v>0</v>
      </c>
      <c r="AH813" s="313">
        <f>IFERROR(IF(INDEX([1]Pivot!$BF$1:$CG$65000,$B813,AH$5)=1,1,IF(INDEX([1]Pivot!$B$1:$AB$65000,$B813,AH$5)="",2,0)),0)</f>
        <v>0</v>
      </c>
      <c r="AI813" s="313">
        <f>IFERROR(IF(INDEX([1]Pivot!$BF$1:$CG$65000,$B813,AI$5)=1,1,IF(INDEX([1]Pivot!$B$1:$AB$65000,$B813,AI$5)="",2,0)),0)</f>
        <v>0</v>
      </c>
      <c r="AJ813" s="313">
        <f>IFERROR(IF(INDEX([1]Pivot!$BF$1:$CG$65000,$B813,AJ$5)=1,1,IF(INDEX([1]Pivot!$B$1:$AB$65000,$B813,AJ$5)="",2,0)),0)</f>
        <v>0</v>
      </c>
      <c r="AK813" s="313">
        <f>IFERROR(IF(INDEX([1]Pivot!$BF$1:$CG$65000,$B813,AK$5)=1,1,IF(INDEX([1]Pivot!$B$1:$AB$65000,$B813,AK$5)="",2,0)),0)</f>
        <v>0</v>
      </c>
      <c r="AL813" s="313">
        <f>IFERROR(IF(INDEX([1]Pivot!$BF$1:$CG$65000,$B813,AL$5)=1,1,IF(INDEX([1]Pivot!$B$1:$AB$65000,$B813,AL$5)="",2,0)),0)</f>
        <v>0</v>
      </c>
      <c r="AM813" s="313">
        <f>IFERROR(IF(INDEX([1]Pivot!$BF$1:$CG$65000,$B813,AM$5)=1,1,IF(INDEX([1]Pivot!$B$1:$AB$65000,$B813,AM$5)="",2,0)),0)</f>
        <v>0</v>
      </c>
      <c r="AN813" s="313">
        <f>IFERROR(IF(INDEX([1]Pivot!$BF$1:$CG$65000,$B813,AN$5)=1,1,IF(INDEX([1]Pivot!$B$1:$AB$65000,$B813,AN$5)="",2,0)),0)</f>
        <v>0</v>
      </c>
      <c r="AO813" s="313">
        <f>IFERROR(IF(INDEX([1]Pivot!$BF$1:$CG$65000,$B813,AO$5)=1,1,IF(INDEX([1]Pivot!$B$1:$AB$65000,$B813,AO$5)="",2,0)),0)</f>
        <v>0</v>
      </c>
      <c r="AP813" s="313">
        <f>IFERROR(IF(INDEX([1]Pivot!$BF$1:$CG$65000,$B813,AP$5)=1,1,IF(INDEX([1]Pivot!$B$1:$AB$65000,$B813,AP$5)="",2,0)),0)</f>
        <v>0</v>
      </c>
      <c r="AQ813" s="313">
        <f>IFERROR(IF(INDEX([1]Pivot!$BF$1:$CG$65000,$B813,AQ$5)=1,1,IF(INDEX([1]Pivot!$B$1:$AB$65000,$B813,AQ$5)="",2,0)),0)</f>
        <v>0</v>
      </c>
      <c r="AR813" s="313">
        <f>IFERROR(IF(INDEX([1]Pivot!$BF$1:$CG$65000,$B813,AR$5)=1,1,IF(INDEX([1]Pivot!$B$1:$AB$65000,$B813,AR$5)="",2,0)),0)</f>
        <v>0</v>
      </c>
      <c r="AS813" s="312"/>
      <c r="AT813" s="313">
        <f>IFERROR(IF(INDEX([1]Pivot!$BF$1:$CG$65000,$B813,AT$5)=1,1,IF(INDEX([1]Pivot!$B$1:$AB$65000,$B813,AT$5)="",2,0)),0)</f>
        <v>0</v>
      </c>
      <c r="AU813" s="313">
        <f>IFERROR(IF(INDEX([1]Pivot!$BF$1:$CG$65000,$B813,AU$5)=1,1,IF(INDEX([1]Pivot!$B$1:$AB$65000,$B813,AU$5)="",2,0)),0)</f>
        <v>0</v>
      </c>
      <c r="AV813" s="313">
        <f>IFERROR(IF(INDEX([1]Pivot!$BF$1:$CG$65000,$B813,AV$5)=1,1,IF(INDEX([1]Pivot!$B$1:$AB$65000,$B813,AV$5)="",2,0)),0)</f>
        <v>0</v>
      </c>
      <c r="AW813" s="313">
        <f>IFERROR(IF(INDEX([1]Pivot!$BF$1:$CG$65000,$B813,AW$5)=1,1,IF(INDEX([1]Pivot!$B$1:$AB$65000,$B813,AW$5)="",2,0)),0)</f>
        <v>0</v>
      </c>
      <c r="AX813" s="313">
        <f>IFERROR(IF(INDEX([1]Pivot!$BF$1:$CG$65000,$B813,AX$5)=1,1,IF(INDEX([1]Pivot!$B$1:$AB$65000,$B813,AX$5)="",2,0)),0)</f>
        <v>0</v>
      </c>
      <c r="AY813" s="313">
        <f>IFERROR(IF(INDEX([1]Pivot!$BF$1:$CG$65000,$B813,AY$5)=1,1,IF(INDEX([1]Pivot!$B$1:$AB$65000,$B813,AY$5)="",2,0)),0)</f>
        <v>0</v>
      </c>
      <c r="AZ813" s="313">
        <f>IFERROR(IF(INDEX([1]Pivot!$BF$1:$CG$65000,$B813,AZ$5)=1,1,IF(INDEX([1]Pivot!$B$1:$AB$65000,$B813,AZ$5)="",2,0)),0)</f>
        <v>0</v>
      </c>
      <c r="BA813" s="313">
        <f>IFERROR(IF(INDEX([1]Pivot!$BF$1:$CG$65000,$B813,BA$5)=1,1,IF(INDEX([1]Pivot!$B$1:$AB$65000,$B813,BA$5)="",2,0)),0)</f>
        <v>0</v>
      </c>
      <c r="BB813" s="313">
        <f>IFERROR(IF(INDEX([1]Pivot!$BF$1:$CG$65000,$B813,BB$5)=1,1,IF(INDEX([1]Pivot!$B$1:$AB$65000,$B813,BB$5)="",2,0)),0)</f>
        <v>0</v>
      </c>
      <c r="BC813" s="313">
        <f>IFERROR(IF(INDEX([1]Pivot!$BF$1:$CG$65000,$B813,BC$5)=1,1,IF(INDEX([1]Pivot!$B$1:$AB$65000,$B813,BC$5)="",2,0)),0)</f>
        <v>0</v>
      </c>
      <c r="BD813" s="313">
        <f>IFERROR(IF(INDEX([1]Pivot!$BF$1:$CG$65000,$B813,BD$5)=1,1,IF(INDEX([1]Pivot!$B$1:$AB$65000,$B813,BD$5)="",2,0)),0)</f>
        <v>0</v>
      </c>
    </row>
    <row r="814" spans="1:56" x14ac:dyDescent="0.25">
      <c r="A814" s="288">
        <f>'[2]Raw Milk Prices'!A814</f>
        <v>0</v>
      </c>
      <c r="B814" s="296" t="e">
        <f>MATCH(DATE(LEFT('[2]Raw Milk Prices'!$A814,4),RIGHT('[2]Raw Milk Prices'!$A814,2),1),[1]Pivot!$A$1:$A$65000,0)</f>
        <v>#VALUE!</v>
      </c>
      <c r="C814" s="194">
        <f>IFERROR(IF(INDEX([1]Pivot!$AD$1:$BE$65000,$B814,C$5)=1,1,IF(INDEX([1]Pivot!$B$1:$AB$65000,$B814,C$5)="",2,0)),0)</f>
        <v>0</v>
      </c>
      <c r="D814" s="194">
        <f>IFERROR(IF(INDEX([1]Pivot!$AD$1:$BE$65000,$B814,D$5)=1,1,IF(INDEX([1]Pivot!$B$1:$AB$65000,$B814,D$5)="",2,0)),0)</f>
        <v>0</v>
      </c>
      <c r="E814" s="194">
        <f>IFERROR(IF(INDEX([1]Pivot!$AD$1:$BE$65000,$B814,E$5)=1,1,IF(INDEX([1]Pivot!$B$1:$AB$65000,$B814,E$5)="",2,0)),0)</f>
        <v>0</v>
      </c>
      <c r="F814" s="194">
        <f>IFERROR(IF(INDEX([1]Pivot!$AD$1:$BE$65000,$B814,F$5)=1,1,IF(INDEX([1]Pivot!$B$1:$AB$65000,$B814,F$5)="",2,0)),0)</f>
        <v>0</v>
      </c>
      <c r="G814" s="194">
        <f>IFERROR(IF(INDEX([1]Pivot!$AD$1:$BE$65000,$B814,G$5)=1,1,IF(INDEX([1]Pivot!$B$1:$AB$65000,$B814,G$5)="",2,0)),0)</f>
        <v>0</v>
      </c>
      <c r="H814" s="194">
        <f>IFERROR(IF(INDEX([1]Pivot!$AD$1:$BE$65000,$B814,H$5)=1,1,IF(INDEX([1]Pivot!$B$1:$AB$65000,$B814,H$5)="",2,0)),0)</f>
        <v>0</v>
      </c>
      <c r="I814" s="194">
        <f>IFERROR(IF(INDEX([1]Pivot!$AD$1:$BE$65000,$B814,I$5)=1,1,IF(INDEX([1]Pivot!$B$1:$AB$65000,$B814,I$5)="",2,0)),0)</f>
        <v>0</v>
      </c>
      <c r="J814" s="194">
        <f>IFERROR(IF(INDEX([1]Pivot!$AD$1:$BE$65000,$B814,J$5)=1,1,IF(INDEX([1]Pivot!$B$1:$AB$65000,$B814,J$5)="",2,0)),0)</f>
        <v>0</v>
      </c>
      <c r="K814" s="194">
        <f>IFERROR(IF(INDEX([1]Pivot!$AD$1:$BE$65000,$B814,K$5)=1,1,IF(INDEX([1]Pivot!$B$1:$AB$65000,$B814,K$5)="",2,0)),0)</f>
        <v>0</v>
      </c>
      <c r="L814" s="194">
        <f>IFERROR(IF(INDEX([1]Pivot!$AD$1:$BE$65000,$B814,L$5)=1,1,IF(INDEX([1]Pivot!$B$1:$AB$65000,$B814,L$5)="",2,0)),0)</f>
        <v>0</v>
      </c>
      <c r="M814" s="194">
        <f>IFERROR(IF(INDEX([1]Pivot!$AD$1:$BE$65000,$B814,M$5)=1,1,IF(INDEX([1]Pivot!$B$1:$AB$65000,$B814,M$5)="",2,0)),0)</f>
        <v>0</v>
      </c>
      <c r="N814" s="194">
        <f>IFERROR(IF(INDEX([1]Pivot!$AD$1:$BE$65000,$B814,N$5)=1,1,IF(INDEX([1]Pivot!$B$1:$AB$65000,$B814,N$5)="",2,0)),0)</f>
        <v>0</v>
      </c>
      <c r="O814" s="194">
        <f>IFERROR(IF(INDEX([1]Pivot!$AD$1:$BE$65000,$B814,O$5)=1,1,IF(INDEX([1]Pivot!$B$1:$AB$65000,$B814,O$5)="",2,0)),0)</f>
        <v>0</v>
      </c>
      <c r="P814" s="194">
        <f>IFERROR(IF(INDEX([1]Pivot!$AD$1:$BE$65000,$B814,P$5)=1,1,IF(INDEX([1]Pivot!$B$1:$AB$65000,$B814,P$5)="",2,0)),0)</f>
        <v>0</v>
      </c>
      <c r="Q814" s="194">
        <f>IFERROR(IF(INDEX([1]Pivot!$AD$1:$BE$65000,$B814,Q$5)=1,1,IF(INDEX([1]Pivot!$B$1:$AB$65000,$B814,Q$5)="",2,0)),0)</f>
        <v>0</v>
      </c>
      <c r="R814" s="312"/>
      <c r="S814" s="194">
        <f>IFERROR(IF(INDEX([1]Pivot!$AD$1:$BE$65000,$B814,S$5)=1,1,IF(INDEX([1]Pivot!$B$1:$AB$65000,$B814,S$5)="",2,0)),0)</f>
        <v>0</v>
      </c>
      <c r="T814" s="194">
        <f>IFERROR(IF(INDEX([1]Pivot!$AD$1:$BE$65000,$B814,T$5)=1,1,IF(INDEX([1]Pivot!$B$1:$AB$65000,$B814,T$5)="",2,0)),0)</f>
        <v>0</v>
      </c>
      <c r="U814" s="194">
        <f>IFERROR(IF(INDEX([1]Pivot!$AD$1:$BE$65000,$B814,U$5)=1,1,IF(INDEX([1]Pivot!$B$1:$AB$65000,$B814,U$5)="",2,0)),0)</f>
        <v>0</v>
      </c>
      <c r="V814" s="194">
        <f>IFERROR(IF(INDEX([1]Pivot!$AD$1:$BE$65000,$B814,V$5)=1,1,IF(INDEX([1]Pivot!$B$1:$AB$65000,$B814,V$5)="",2,0)),0)</f>
        <v>0</v>
      </c>
      <c r="W814" s="194">
        <f>IFERROR(IF(INDEX([1]Pivot!$AD$1:$BE$65000,$B814,W$5)=1,1,IF(INDEX([1]Pivot!$B$1:$AB$65000,$B814,W$5)="",2,0)),0)</f>
        <v>0</v>
      </c>
      <c r="X814" s="194">
        <f>IFERROR(IF(INDEX([1]Pivot!$AD$1:$BE$65000,$B814,X$5)=1,1,IF(INDEX([1]Pivot!$B$1:$AB$65000,$B814,X$5)="",2,0)),0)</f>
        <v>0</v>
      </c>
      <c r="Y814" s="194">
        <f>IFERROR(IF(INDEX([1]Pivot!$AD$1:$BE$65000,$B814,Y$5)=1,1,IF(INDEX([1]Pivot!$B$1:$AB$65000,$B814,Y$5)="",2,0)),0)</f>
        <v>0</v>
      </c>
      <c r="Z814" s="194">
        <f>IFERROR(IF(INDEX([1]Pivot!$AD$1:$BE$65000,$B814,Z$5)=1,1,IF(INDEX([1]Pivot!$B$1:$AB$65000,$B814,Z$5)="",2,0)),0)</f>
        <v>0</v>
      </c>
      <c r="AA814" s="194">
        <f>IFERROR(IF(INDEX([1]Pivot!$AD$1:$BE$65000,$B814,AA$5)=1,1,IF(INDEX([1]Pivot!$B$1:$AB$65000,$B814,AA$5)="",2,0)),0)</f>
        <v>0</v>
      </c>
      <c r="AB814" s="194">
        <f>IFERROR(IF(INDEX([1]Pivot!$AD$1:$BE$65000,$B814,AB$5)=1,1,IF(INDEX([1]Pivot!$B$1:$AB$65000,$B814,AB$5)="",2,0)),0)</f>
        <v>0</v>
      </c>
      <c r="AC814" s="194">
        <f>IFERROR(IF(INDEX([1]Pivot!$AD$1:$BE$65000,$B814,AC$5)=1,1,IF(INDEX([1]Pivot!$B$1:$AB$65000,$B814,AC$5)="",2,0)),0)</f>
        <v>0</v>
      </c>
      <c r="AD814" s="313">
        <f>IFERROR(IF(INDEX([1]Pivot!$BF$1:$CG$65000,$B814,AD$5)=1,1,IF(INDEX([1]Pivot!$B$1:$AB$65000,$B814,AD$5)="",2,0)),0)</f>
        <v>0</v>
      </c>
      <c r="AE814" s="313">
        <f>IFERROR(IF(INDEX([1]Pivot!$BF$1:$CG$65000,$B814,AE$5)=1,1,IF(INDEX([1]Pivot!$B$1:$AB$65000,$B814,AE$5)="",2,0)),0)</f>
        <v>0</v>
      </c>
      <c r="AF814" s="313">
        <f>IFERROR(IF(INDEX([1]Pivot!$BF$1:$CG$65000,$B814,AF$5)=1,1,IF(INDEX([1]Pivot!$B$1:$AB$65000,$B814,AF$5)="",2,0)),0)</f>
        <v>0</v>
      </c>
      <c r="AG814" s="313">
        <f>IFERROR(IF(INDEX([1]Pivot!$BF$1:$CG$65000,$B814,AG$5)=1,1,IF(INDEX([1]Pivot!$B$1:$AB$65000,$B814,AG$5)="",2,0)),0)</f>
        <v>0</v>
      </c>
      <c r="AH814" s="313">
        <f>IFERROR(IF(INDEX([1]Pivot!$BF$1:$CG$65000,$B814,AH$5)=1,1,IF(INDEX([1]Pivot!$B$1:$AB$65000,$B814,AH$5)="",2,0)),0)</f>
        <v>0</v>
      </c>
      <c r="AI814" s="313">
        <f>IFERROR(IF(INDEX([1]Pivot!$BF$1:$CG$65000,$B814,AI$5)=1,1,IF(INDEX([1]Pivot!$B$1:$AB$65000,$B814,AI$5)="",2,0)),0)</f>
        <v>0</v>
      </c>
      <c r="AJ814" s="313">
        <f>IFERROR(IF(INDEX([1]Pivot!$BF$1:$CG$65000,$B814,AJ$5)=1,1,IF(INDEX([1]Pivot!$B$1:$AB$65000,$B814,AJ$5)="",2,0)),0)</f>
        <v>0</v>
      </c>
      <c r="AK814" s="313">
        <f>IFERROR(IF(INDEX([1]Pivot!$BF$1:$CG$65000,$B814,AK$5)=1,1,IF(INDEX([1]Pivot!$B$1:$AB$65000,$B814,AK$5)="",2,0)),0)</f>
        <v>0</v>
      </c>
      <c r="AL814" s="313">
        <f>IFERROR(IF(INDEX([1]Pivot!$BF$1:$CG$65000,$B814,AL$5)=1,1,IF(INDEX([1]Pivot!$B$1:$AB$65000,$B814,AL$5)="",2,0)),0)</f>
        <v>0</v>
      </c>
      <c r="AM814" s="313">
        <f>IFERROR(IF(INDEX([1]Pivot!$BF$1:$CG$65000,$B814,AM$5)=1,1,IF(INDEX([1]Pivot!$B$1:$AB$65000,$B814,AM$5)="",2,0)),0)</f>
        <v>0</v>
      </c>
      <c r="AN814" s="313">
        <f>IFERROR(IF(INDEX([1]Pivot!$BF$1:$CG$65000,$B814,AN$5)=1,1,IF(INDEX([1]Pivot!$B$1:$AB$65000,$B814,AN$5)="",2,0)),0)</f>
        <v>0</v>
      </c>
      <c r="AO814" s="313">
        <f>IFERROR(IF(INDEX([1]Pivot!$BF$1:$CG$65000,$B814,AO$5)=1,1,IF(INDEX([1]Pivot!$B$1:$AB$65000,$B814,AO$5)="",2,0)),0)</f>
        <v>0</v>
      </c>
      <c r="AP814" s="313">
        <f>IFERROR(IF(INDEX([1]Pivot!$BF$1:$CG$65000,$B814,AP$5)=1,1,IF(INDEX([1]Pivot!$B$1:$AB$65000,$B814,AP$5)="",2,0)),0)</f>
        <v>0</v>
      </c>
      <c r="AQ814" s="313">
        <f>IFERROR(IF(INDEX([1]Pivot!$BF$1:$CG$65000,$B814,AQ$5)=1,1,IF(INDEX([1]Pivot!$B$1:$AB$65000,$B814,AQ$5)="",2,0)),0)</f>
        <v>0</v>
      </c>
      <c r="AR814" s="313">
        <f>IFERROR(IF(INDEX([1]Pivot!$BF$1:$CG$65000,$B814,AR$5)=1,1,IF(INDEX([1]Pivot!$B$1:$AB$65000,$B814,AR$5)="",2,0)),0)</f>
        <v>0</v>
      </c>
      <c r="AS814" s="312"/>
      <c r="AT814" s="313">
        <f>IFERROR(IF(INDEX([1]Pivot!$BF$1:$CG$65000,$B814,AT$5)=1,1,IF(INDEX([1]Pivot!$B$1:$AB$65000,$B814,AT$5)="",2,0)),0)</f>
        <v>0</v>
      </c>
      <c r="AU814" s="313">
        <f>IFERROR(IF(INDEX([1]Pivot!$BF$1:$CG$65000,$B814,AU$5)=1,1,IF(INDEX([1]Pivot!$B$1:$AB$65000,$B814,AU$5)="",2,0)),0)</f>
        <v>0</v>
      </c>
      <c r="AV814" s="313">
        <f>IFERROR(IF(INDEX([1]Pivot!$BF$1:$CG$65000,$B814,AV$5)=1,1,IF(INDEX([1]Pivot!$B$1:$AB$65000,$B814,AV$5)="",2,0)),0)</f>
        <v>0</v>
      </c>
      <c r="AW814" s="313">
        <f>IFERROR(IF(INDEX([1]Pivot!$BF$1:$CG$65000,$B814,AW$5)=1,1,IF(INDEX([1]Pivot!$B$1:$AB$65000,$B814,AW$5)="",2,0)),0)</f>
        <v>0</v>
      </c>
      <c r="AX814" s="313">
        <f>IFERROR(IF(INDEX([1]Pivot!$BF$1:$CG$65000,$B814,AX$5)=1,1,IF(INDEX([1]Pivot!$B$1:$AB$65000,$B814,AX$5)="",2,0)),0)</f>
        <v>0</v>
      </c>
      <c r="AY814" s="313">
        <f>IFERROR(IF(INDEX([1]Pivot!$BF$1:$CG$65000,$B814,AY$5)=1,1,IF(INDEX([1]Pivot!$B$1:$AB$65000,$B814,AY$5)="",2,0)),0)</f>
        <v>0</v>
      </c>
      <c r="AZ814" s="313">
        <f>IFERROR(IF(INDEX([1]Pivot!$BF$1:$CG$65000,$B814,AZ$5)=1,1,IF(INDEX([1]Pivot!$B$1:$AB$65000,$B814,AZ$5)="",2,0)),0)</f>
        <v>0</v>
      </c>
      <c r="BA814" s="313">
        <f>IFERROR(IF(INDEX([1]Pivot!$BF$1:$CG$65000,$B814,BA$5)=1,1,IF(INDEX([1]Pivot!$B$1:$AB$65000,$B814,BA$5)="",2,0)),0)</f>
        <v>0</v>
      </c>
      <c r="BB814" s="313">
        <f>IFERROR(IF(INDEX([1]Pivot!$BF$1:$CG$65000,$B814,BB$5)=1,1,IF(INDEX([1]Pivot!$B$1:$AB$65000,$B814,BB$5)="",2,0)),0)</f>
        <v>0</v>
      </c>
      <c r="BC814" s="313">
        <f>IFERROR(IF(INDEX([1]Pivot!$BF$1:$CG$65000,$B814,BC$5)=1,1,IF(INDEX([1]Pivot!$B$1:$AB$65000,$B814,BC$5)="",2,0)),0)</f>
        <v>0</v>
      </c>
      <c r="BD814" s="313">
        <f>IFERROR(IF(INDEX([1]Pivot!$BF$1:$CG$65000,$B814,BD$5)=1,1,IF(INDEX([1]Pivot!$B$1:$AB$65000,$B814,BD$5)="",2,0)),0)</f>
        <v>0</v>
      </c>
    </row>
    <row r="815" spans="1:56" x14ac:dyDescent="0.25">
      <c r="A815" s="288">
        <f>'[2]Raw Milk Prices'!A815</f>
        <v>0</v>
      </c>
      <c r="B815" s="296" t="e">
        <f>MATCH(DATE(LEFT('[2]Raw Milk Prices'!$A815,4),RIGHT('[2]Raw Milk Prices'!$A815,2),1),[1]Pivot!$A$1:$A$65000,0)</f>
        <v>#VALUE!</v>
      </c>
      <c r="C815" s="194">
        <f>IFERROR(IF(INDEX([1]Pivot!$AD$1:$BE$65000,$B815,C$5)=1,1,IF(INDEX([1]Pivot!$B$1:$AB$65000,$B815,C$5)="",2,0)),0)</f>
        <v>0</v>
      </c>
      <c r="D815" s="194">
        <f>IFERROR(IF(INDEX([1]Pivot!$AD$1:$BE$65000,$B815,D$5)=1,1,IF(INDEX([1]Pivot!$B$1:$AB$65000,$B815,D$5)="",2,0)),0)</f>
        <v>0</v>
      </c>
      <c r="E815" s="194">
        <f>IFERROR(IF(INDEX([1]Pivot!$AD$1:$BE$65000,$B815,E$5)=1,1,IF(INDEX([1]Pivot!$B$1:$AB$65000,$B815,E$5)="",2,0)),0)</f>
        <v>0</v>
      </c>
      <c r="F815" s="194">
        <f>IFERROR(IF(INDEX([1]Pivot!$AD$1:$BE$65000,$B815,F$5)=1,1,IF(INDEX([1]Pivot!$B$1:$AB$65000,$B815,F$5)="",2,0)),0)</f>
        <v>0</v>
      </c>
      <c r="G815" s="194">
        <f>IFERROR(IF(INDEX([1]Pivot!$AD$1:$BE$65000,$B815,G$5)=1,1,IF(INDEX([1]Pivot!$B$1:$AB$65000,$B815,G$5)="",2,0)),0)</f>
        <v>0</v>
      </c>
      <c r="H815" s="194">
        <f>IFERROR(IF(INDEX([1]Pivot!$AD$1:$BE$65000,$B815,H$5)=1,1,IF(INDEX([1]Pivot!$B$1:$AB$65000,$B815,H$5)="",2,0)),0)</f>
        <v>0</v>
      </c>
      <c r="I815" s="194">
        <f>IFERROR(IF(INDEX([1]Pivot!$AD$1:$BE$65000,$B815,I$5)=1,1,IF(INDEX([1]Pivot!$B$1:$AB$65000,$B815,I$5)="",2,0)),0)</f>
        <v>0</v>
      </c>
      <c r="J815" s="194">
        <f>IFERROR(IF(INDEX([1]Pivot!$AD$1:$BE$65000,$B815,J$5)=1,1,IF(INDEX([1]Pivot!$B$1:$AB$65000,$B815,J$5)="",2,0)),0)</f>
        <v>0</v>
      </c>
      <c r="K815" s="194">
        <f>IFERROR(IF(INDEX([1]Pivot!$AD$1:$BE$65000,$B815,K$5)=1,1,IF(INDEX([1]Pivot!$B$1:$AB$65000,$B815,K$5)="",2,0)),0)</f>
        <v>0</v>
      </c>
      <c r="L815" s="194">
        <f>IFERROR(IF(INDEX([1]Pivot!$AD$1:$BE$65000,$B815,L$5)=1,1,IF(INDEX([1]Pivot!$B$1:$AB$65000,$B815,L$5)="",2,0)),0)</f>
        <v>0</v>
      </c>
      <c r="M815" s="194">
        <f>IFERROR(IF(INDEX([1]Pivot!$AD$1:$BE$65000,$B815,M$5)=1,1,IF(INDEX([1]Pivot!$B$1:$AB$65000,$B815,M$5)="",2,0)),0)</f>
        <v>0</v>
      </c>
      <c r="N815" s="194">
        <f>IFERROR(IF(INDEX([1]Pivot!$AD$1:$BE$65000,$B815,N$5)=1,1,IF(INDEX([1]Pivot!$B$1:$AB$65000,$B815,N$5)="",2,0)),0)</f>
        <v>0</v>
      </c>
      <c r="O815" s="194">
        <f>IFERROR(IF(INDEX([1]Pivot!$AD$1:$BE$65000,$B815,O$5)=1,1,IF(INDEX([1]Pivot!$B$1:$AB$65000,$B815,O$5)="",2,0)),0)</f>
        <v>0</v>
      </c>
      <c r="P815" s="194">
        <f>IFERROR(IF(INDEX([1]Pivot!$AD$1:$BE$65000,$B815,P$5)=1,1,IF(INDEX([1]Pivot!$B$1:$AB$65000,$B815,P$5)="",2,0)),0)</f>
        <v>0</v>
      </c>
      <c r="Q815" s="194">
        <f>IFERROR(IF(INDEX([1]Pivot!$AD$1:$BE$65000,$B815,Q$5)=1,1,IF(INDEX([1]Pivot!$B$1:$AB$65000,$B815,Q$5)="",2,0)),0)</f>
        <v>0</v>
      </c>
      <c r="R815" s="312"/>
      <c r="S815" s="194">
        <f>IFERROR(IF(INDEX([1]Pivot!$AD$1:$BE$65000,$B815,S$5)=1,1,IF(INDEX([1]Pivot!$B$1:$AB$65000,$B815,S$5)="",2,0)),0)</f>
        <v>0</v>
      </c>
      <c r="T815" s="194">
        <f>IFERROR(IF(INDEX([1]Pivot!$AD$1:$BE$65000,$B815,T$5)=1,1,IF(INDEX([1]Pivot!$B$1:$AB$65000,$B815,T$5)="",2,0)),0)</f>
        <v>0</v>
      </c>
      <c r="U815" s="194">
        <f>IFERROR(IF(INDEX([1]Pivot!$AD$1:$BE$65000,$B815,U$5)=1,1,IF(INDEX([1]Pivot!$B$1:$AB$65000,$B815,U$5)="",2,0)),0)</f>
        <v>0</v>
      </c>
      <c r="V815" s="194">
        <f>IFERROR(IF(INDEX([1]Pivot!$AD$1:$BE$65000,$B815,V$5)=1,1,IF(INDEX([1]Pivot!$B$1:$AB$65000,$B815,V$5)="",2,0)),0)</f>
        <v>0</v>
      </c>
      <c r="W815" s="194">
        <f>IFERROR(IF(INDEX([1]Pivot!$AD$1:$BE$65000,$B815,W$5)=1,1,IF(INDEX([1]Pivot!$B$1:$AB$65000,$B815,W$5)="",2,0)),0)</f>
        <v>0</v>
      </c>
      <c r="X815" s="194">
        <f>IFERROR(IF(INDEX([1]Pivot!$AD$1:$BE$65000,$B815,X$5)=1,1,IF(INDEX([1]Pivot!$B$1:$AB$65000,$B815,X$5)="",2,0)),0)</f>
        <v>0</v>
      </c>
      <c r="Y815" s="194">
        <f>IFERROR(IF(INDEX([1]Pivot!$AD$1:$BE$65000,$B815,Y$5)=1,1,IF(INDEX([1]Pivot!$B$1:$AB$65000,$B815,Y$5)="",2,0)),0)</f>
        <v>0</v>
      </c>
      <c r="Z815" s="194">
        <f>IFERROR(IF(INDEX([1]Pivot!$AD$1:$BE$65000,$B815,Z$5)=1,1,IF(INDEX([1]Pivot!$B$1:$AB$65000,$B815,Z$5)="",2,0)),0)</f>
        <v>0</v>
      </c>
      <c r="AA815" s="194">
        <f>IFERROR(IF(INDEX([1]Pivot!$AD$1:$BE$65000,$B815,AA$5)=1,1,IF(INDEX([1]Pivot!$B$1:$AB$65000,$B815,AA$5)="",2,0)),0)</f>
        <v>0</v>
      </c>
      <c r="AB815" s="194">
        <f>IFERROR(IF(INDEX([1]Pivot!$AD$1:$BE$65000,$B815,AB$5)=1,1,IF(INDEX([1]Pivot!$B$1:$AB$65000,$B815,AB$5)="",2,0)),0)</f>
        <v>0</v>
      </c>
      <c r="AC815" s="194">
        <f>IFERROR(IF(INDEX([1]Pivot!$AD$1:$BE$65000,$B815,AC$5)=1,1,IF(INDEX([1]Pivot!$B$1:$AB$65000,$B815,AC$5)="",2,0)),0)</f>
        <v>0</v>
      </c>
      <c r="AD815" s="313">
        <f>IFERROR(IF(INDEX([1]Pivot!$BF$1:$CG$65000,$B815,AD$5)=1,1,IF(INDEX([1]Pivot!$B$1:$AB$65000,$B815,AD$5)="",2,0)),0)</f>
        <v>0</v>
      </c>
      <c r="AE815" s="313">
        <f>IFERROR(IF(INDEX([1]Pivot!$BF$1:$CG$65000,$B815,AE$5)=1,1,IF(INDEX([1]Pivot!$B$1:$AB$65000,$B815,AE$5)="",2,0)),0)</f>
        <v>0</v>
      </c>
      <c r="AF815" s="313">
        <f>IFERROR(IF(INDEX([1]Pivot!$BF$1:$CG$65000,$B815,AF$5)=1,1,IF(INDEX([1]Pivot!$B$1:$AB$65000,$B815,AF$5)="",2,0)),0)</f>
        <v>0</v>
      </c>
      <c r="AG815" s="313">
        <f>IFERROR(IF(INDEX([1]Pivot!$BF$1:$CG$65000,$B815,AG$5)=1,1,IF(INDEX([1]Pivot!$B$1:$AB$65000,$B815,AG$5)="",2,0)),0)</f>
        <v>0</v>
      </c>
      <c r="AH815" s="313">
        <f>IFERROR(IF(INDEX([1]Pivot!$BF$1:$CG$65000,$B815,AH$5)=1,1,IF(INDEX([1]Pivot!$B$1:$AB$65000,$B815,AH$5)="",2,0)),0)</f>
        <v>0</v>
      </c>
      <c r="AI815" s="313">
        <f>IFERROR(IF(INDEX([1]Pivot!$BF$1:$CG$65000,$B815,AI$5)=1,1,IF(INDEX([1]Pivot!$B$1:$AB$65000,$B815,AI$5)="",2,0)),0)</f>
        <v>0</v>
      </c>
      <c r="AJ815" s="313">
        <f>IFERROR(IF(INDEX([1]Pivot!$BF$1:$CG$65000,$B815,AJ$5)=1,1,IF(INDEX([1]Pivot!$B$1:$AB$65000,$B815,AJ$5)="",2,0)),0)</f>
        <v>0</v>
      </c>
      <c r="AK815" s="313">
        <f>IFERROR(IF(INDEX([1]Pivot!$BF$1:$CG$65000,$B815,AK$5)=1,1,IF(INDEX([1]Pivot!$B$1:$AB$65000,$B815,AK$5)="",2,0)),0)</f>
        <v>0</v>
      </c>
      <c r="AL815" s="313">
        <f>IFERROR(IF(INDEX([1]Pivot!$BF$1:$CG$65000,$B815,AL$5)=1,1,IF(INDEX([1]Pivot!$B$1:$AB$65000,$B815,AL$5)="",2,0)),0)</f>
        <v>0</v>
      </c>
      <c r="AM815" s="313">
        <f>IFERROR(IF(INDEX([1]Pivot!$BF$1:$CG$65000,$B815,AM$5)=1,1,IF(INDEX([1]Pivot!$B$1:$AB$65000,$B815,AM$5)="",2,0)),0)</f>
        <v>0</v>
      </c>
      <c r="AN815" s="313">
        <f>IFERROR(IF(INDEX([1]Pivot!$BF$1:$CG$65000,$B815,AN$5)=1,1,IF(INDEX([1]Pivot!$B$1:$AB$65000,$B815,AN$5)="",2,0)),0)</f>
        <v>0</v>
      </c>
      <c r="AO815" s="313">
        <f>IFERROR(IF(INDEX([1]Pivot!$BF$1:$CG$65000,$B815,AO$5)=1,1,IF(INDEX([1]Pivot!$B$1:$AB$65000,$B815,AO$5)="",2,0)),0)</f>
        <v>0</v>
      </c>
      <c r="AP815" s="313">
        <f>IFERROR(IF(INDEX([1]Pivot!$BF$1:$CG$65000,$B815,AP$5)=1,1,IF(INDEX([1]Pivot!$B$1:$AB$65000,$B815,AP$5)="",2,0)),0)</f>
        <v>0</v>
      </c>
      <c r="AQ815" s="313">
        <f>IFERROR(IF(INDEX([1]Pivot!$BF$1:$CG$65000,$B815,AQ$5)=1,1,IF(INDEX([1]Pivot!$B$1:$AB$65000,$B815,AQ$5)="",2,0)),0)</f>
        <v>0</v>
      </c>
      <c r="AR815" s="313">
        <f>IFERROR(IF(INDEX([1]Pivot!$BF$1:$CG$65000,$B815,AR$5)=1,1,IF(INDEX([1]Pivot!$B$1:$AB$65000,$B815,AR$5)="",2,0)),0)</f>
        <v>0</v>
      </c>
      <c r="AS815" s="312"/>
      <c r="AT815" s="313">
        <f>IFERROR(IF(INDEX([1]Pivot!$BF$1:$CG$65000,$B815,AT$5)=1,1,IF(INDEX([1]Pivot!$B$1:$AB$65000,$B815,AT$5)="",2,0)),0)</f>
        <v>0</v>
      </c>
      <c r="AU815" s="313">
        <f>IFERROR(IF(INDEX([1]Pivot!$BF$1:$CG$65000,$B815,AU$5)=1,1,IF(INDEX([1]Pivot!$B$1:$AB$65000,$B815,AU$5)="",2,0)),0)</f>
        <v>0</v>
      </c>
      <c r="AV815" s="313">
        <f>IFERROR(IF(INDEX([1]Pivot!$BF$1:$CG$65000,$B815,AV$5)=1,1,IF(INDEX([1]Pivot!$B$1:$AB$65000,$B815,AV$5)="",2,0)),0)</f>
        <v>0</v>
      </c>
      <c r="AW815" s="313">
        <f>IFERROR(IF(INDEX([1]Pivot!$BF$1:$CG$65000,$B815,AW$5)=1,1,IF(INDEX([1]Pivot!$B$1:$AB$65000,$B815,AW$5)="",2,0)),0)</f>
        <v>0</v>
      </c>
      <c r="AX815" s="313">
        <f>IFERROR(IF(INDEX([1]Pivot!$BF$1:$CG$65000,$B815,AX$5)=1,1,IF(INDEX([1]Pivot!$B$1:$AB$65000,$B815,AX$5)="",2,0)),0)</f>
        <v>0</v>
      </c>
      <c r="AY815" s="313">
        <f>IFERROR(IF(INDEX([1]Pivot!$BF$1:$CG$65000,$B815,AY$5)=1,1,IF(INDEX([1]Pivot!$B$1:$AB$65000,$B815,AY$5)="",2,0)),0)</f>
        <v>0</v>
      </c>
      <c r="AZ815" s="313">
        <f>IFERROR(IF(INDEX([1]Pivot!$BF$1:$CG$65000,$B815,AZ$5)=1,1,IF(INDEX([1]Pivot!$B$1:$AB$65000,$B815,AZ$5)="",2,0)),0)</f>
        <v>0</v>
      </c>
      <c r="BA815" s="313">
        <f>IFERROR(IF(INDEX([1]Pivot!$BF$1:$CG$65000,$B815,BA$5)=1,1,IF(INDEX([1]Pivot!$B$1:$AB$65000,$B815,BA$5)="",2,0)),0)</f>
        <v>0</v>
      </c>
      <c r="BB815" s="313">
        <f>IFERROR(IF(INDEX([1]Pivot!$BF$1:$CG$65000,$B815,BB$5)=1,1,IF(INDEX([1]Pivot!$B$1:$AB$65000,$B815,BB$5)="",2,0)),0)</f>
        <v>0</v>
      </c>
      <c r="BC815" s="313">
        <f>IFERROR(IF(INDEX([1]Pivot!$BF$1:$CG$65000,$B815,BC$5)=1,1,IF(INDEX([1]Pivot!$B$1:$AB$65000,$B815,BC$5)="",2,0)),0)</f>
        <v>0</v>
      </c>
      <c r="BD815" s="313">
        <f>IFERROR(IF(INDEX([1]Pivot!$BF$1:$CG$65000,$B815,BD$5)=1,1,IF(INDEX([1]Pivot!$B$1:$AB$65000,$B815,BD$5)="",2,0)),0)</f>
        <v>0</v>
      </c>
    </row>
    <row r="816" spans="1:56" x14ac:dyDescent="0.25">
      <c r="A816" s="288">
        <f>'[2]Raw Milk Prices'!A816</f>
        <v>0</v>
      </c>
      <c r="B816" s="296" t="e">
        <f>MATCH(DATE(LEFT('[2]Raw Milk Prices'!$A816,4),RIGHT('[2]Raw Milk Prices'!$A816,2),1),[1]Pivot!$A$1:$A$65000,0)</f>
        <v>#VALUE!</v>
      </c>
      <c r="C816" s="194">
        <f>IFERROR(IF(INDEX([1]Pivot!$AD$1:$BE$65000,$B816,C$5)=1,1,IF(INDEX([1]Pivot!$B$1:$AB$65000,$B816,C$5)="",2,0)),0)</f>
        <v>0</v>
      </c>
      <c r="D816" s="194">
        <f>IFERROR(IF(INDEX([1]Pivot!$AD$1:$BE$65000,$B816,D$5)=1,1,IF(INDEX([1]Pivot!$B$1:$AB$65000,$B816,D$5)="",2,0)),0)</f>
        <v>0</v>
      </c>
      <c r="E816" s="194">
        <f>IFERROR(IF(INDEX([1]Pivot!$AD$1:$BE$65000,$B816,E$5)=1,1,IF(INDEX([1]Pivot!$B$1:$AB$65000,$B816,E$5)="",2,0)),0)</f>
        <v>0</v>
      </c>
      <c r="F816" s="194">
        <f>IFERROR(IF(INDEX([1]Pivot!$AD$1:$BE$65000,$B816,F$5)=1,1,IF(INDEX([1]Pivot!$B$1:$AB$65000,$B816,F$5)="",2,0)),0)</f>
        <v>0</v>
      </c>
      <c r="G816" s="194">
        <f>IFERROR(IF(INDEX([1]Pivot!$AD$1:$BE$65000,$B816,G$5)=1,1,IF(INDEX([1]Pivot!$B$1:$AB$65000,$B816,G$5)="",2,0)),0)</f>
        <v>0</v>
      </c>
      <c r="H816" s="194">
        <f>IFERROR(IF(INDEX([1]Pivot!$AD$1:$BE$65000,$B816,H$5)=1,1,IF(INDEX([1]Pivot!$B$1:$AB$65000,$B816,H$5)="",2,0)),0)</f>
        <v>0</v>
      </c>
      <c r="I816" s="194">
        <f>IFERROR(IF(INDEX([1]Pivot!$AD$1:$BE$65000,$B816,I$5)=1,1,IF(INDEX([1]Pivot!$B$1:$AB$65000,$B816,I$5)="",2,0)),0)</f>
        <v>0</v>
      </c>
      <c r="J816" s="194">
        <f>IFERROR(IF(INDEX([1]Pivot!$AD$1:$BE$65000,$B816,J$5)=1,1,IF(INDEX([1]Pivot!$B$1:$AB$65000,$B816,J$5)="",2,0)),0)</f>
        <v>0</v>
      </c>
      <c r="K816" s="194">
        <f>IFERROR(IF(INDEX([1]Pivot!$AD$1:$BE$65000,$B816,K$5)=1,1,IF(INDEX([1]Pivot!$B$1:$AB$65000,$B816,K$5)="",2,0)),0)</f>
        <v>0</v>
      </c>
      <c r="L816" s="194">
        <f>IFERROR(IF(INDEX([1]Pivot!$AD$1:$BE$65000,$B816,L$5)=1,1,IF(INDEX([1]Pivot!$B$1:$AB$65000,$B816,L$5)="",2,0)),0)</f>
        <v>0</v>
      </c>
      <c r="M816" s="194">
        <f>IFERROR(IF(INDEX([1]Pivot!$AD$1:$BE$65000,$B816,M$5)=1,1,IF(INDEX([1]Pivot!$B$1:$AB$65000,$B816,M$5)="",2,0)),0)</f>
        <v>0</v>
      </c>
      <c r="N816" s="194">
        <f>IFERROR(IF(INDEX([1]Pivot!$AD$1:$BE$65000,$B816,N$5)=1,1,IF(INDEX([1]Pivot!$B$1:$AB$65000,$B816,N$5)="",2,0)),0)</f>
        <v>0</v>
      </c>
      <c r="O816" s="194">
        <f>IFERROR(IF(INDEX([1]Pivot!$AD$1:$BE$65000,$B816,O$5)=1,1,IF(INDEX([1]Pivot!$B$1:$AB$65000,$B816,O$5)="",2,0)),0)</f>
        <v>0</v>
      </c>
      <c r="P816" s="194">
        <f>IFERROR(IF(INDEX([1]Pivot!$AD$1:$BE$65000,$B816,P$5)=1,1,IF(INDEX([1]Pivot!$B$1:$AB$65000,$B816,P$5)="",2,0)),0)</f>
        <v>0</v>
      </c>
      <c r="Q816" s="194">
        <f>IFERROR(IF(INDEX([1]Pivot!$AD$1:$BE$65000,$B816,Q$5)=1,1,IF(INDEX([1]Pivot!$B$1:$AB$65000,$B816,Q$5)="",2,0)),0)</f>
        <v>0</v>
      </c>
      <c r="R816" s="312"/>
      <c r="S816" s="194">
        <f>IFERROR(IF(INDEX([1]Pivot!$AD$1:$BE$65000,$B816,S$5)=1,1,IF(INDEX([1]Pivot!$B$1:$AB$65000,$B816,S$5)="",2,0)),0)</f>
        <v>0</v>
      </c>
      <c r="T816" s="194">
        <f>IFERROR(IF(INDEX([1]Pivot!$AD$1:$BE$65000,$B816,T$5)=1,1,IF(INDEX([1]Pivot!$B$1:$AB$65000,$B816,T$5)="",2,0)),0)</f>
        <v>0</v>
      </c>
      <c r="U816" s="194">
        <f>IFERROR(IF(INDEX([1]Pivot!$AD$1:$BE$65000,$B816,U$5)=1,1,IF(INDEX([1]Pivot!$B$1:$AB$65000,$B816,U$5)="",2,0)),0)</f>
        <v>0</v>
      </c>
      <c r="V816" s="194">
        <f>IFERROR(IF(INDEX([1]Pivot!$AD$1:$BE$65000,$B816,V$5)=1,1,IF(INDEX([1]Pivot!$B$1:$AB$65000,$B816,V$5)="",2,0)),0)</f>
        <v>0</v>
      </c>
      <c r="W816" s="194">
        <f>IFERROR(IF(INDEX([1]Pivot!$AD$1:$BE$65000,$B816,W$5)=1,1,IF(INDEX([1]Pivot!$B$1:$AB$65000,$B816,W$5)="",2,0)),0)</f>
        <v>0</v>
      </c>
      <c r="X816" s="194">
        <f>IFERROR(IF(INDEX([1]Pivot!$AD$1:$BE$65000,$B816,X$5)=1,1,IF(INDEX([1]Pivot!$B$1:$AB$65000,$B816,X$5)="",2,0)),0)</f>
        <v>0</v>
      </c>
      <c r="Y816" s="194">
        <f>IFERROR(IF(INDEX([1]Pivot!$AD$1:$BE$65000,$B816,Y$5)=1,1,IF(INDEX([1]Pivot!$B$1:$AB$65000,$B816,Y$5)="",2,0)),0)</f>
        <v>0</v>
      </c>
      <c r="Z816" s="194">
        <f>IFERROR(IF(INDEX([1]Pivot!$AD$1:$BE$65000,$B816,Z$5)=1,1,IF(INDEX([1]Pivot!$B$1:$AB$65000,$B816,Z$5)="",2,0)),0)</f>
        <v>0</v>
      </c>
      <c r="AA816" s="194">
        <f>IFERROR(IF(INDEX([1]Pivot!$AD$1:$BE$65000,$B816,AA$5)=1,1,IF(INDEX([1]Pivot!$B$1:$AB$65000,$B816,AA$5)="",2,0)),0)</f>
        <v>0</v>
      </c>
      <c r="AB816" s="194">
        <f>IFERROR(IF(INDEX([1]Pivot!$AD$1:$BE$65000,$B816,AB$5)=1,1,IF(INDEX([1]Pivot!$B$1:$AB$65000,$B816,AB$5)="",2,0)),0)</f>
        <v>0</v>
      </c>
      <c r="AC816" s="194">
        <f>IFERROR(IF(INDEX([1]Pivot!$AD$1:$BE$65000,$B816,AC$5)=1,1,IF(INDEX([1]Pivot!$B$1:$AB$65000,$B816,AC$5)="",2,0)),0)</f>
        <v>0</v>
      </c>
      <c r="AD816" s="313">
        <f>IFERROR(IF(INDEX([1]Pivot!$BF$1:$CG$65000,$B816,AD$5)=1,1,IF(INDEX([1]Pivot!$B$1:$AB$65000,$B816,AD$5)="",2,0)),0)</f>
        <v>0</v>
      </c>
      <c r="AE816" s="313">
        <f>IFERROR(IF(INDEX([1]Pivot!$BF$1:$CG$65000,$B816,AE$5)=1,1,IF(INDEX([1]Pivot!$B$1:$AB$65000,$B816,AE$5)="",2,0)),0)</f>
        <v>0</v>
      </c>
      <c r="AF816" s="313">
        <f>IFERROR(IF(INDEX([1]Pivot!$BF$1:$CG$65000,$B816,AF$5)=1,1,IF(INDEX([1]Pivot!$B$1:$AB$65000,$B816,AF$5)="",2,0)),0)</f>
        <v>0</v>
      </c>
      <c r="AG816" s="313">
        <f>IFERROR(IF(INDEX([1]Pivot!$BF$1:$CG$65000,$B816,AG$5)=1,1,IF(INDEX([1]Pivot!$B$1:$AB$65000,$B816,AG$5)="",2,0)),0)</f>
        <v>0</v>
      </c>
      <c r="AH816" s="313">
        <f>IFERROR(IF(INDEX([1]Pivot!$BF$1:$CG$65000,$B816,AH$5)=1,1,IF(INDEX([1]Pivot!$B$1:$AB$65000,$B816,AH$5)="",2,0)),0)</f>
        <v>0</v>
      </c>
      <c r="AI816" s="313">
        <f>IFERROR(IF(INDEX([1]Pivot!$BF$1:$CG$65000,$B816,AI$5)=1,1,IF(INDEX([1]Pivot!$B$1:$AB$65000,$B816,AI$5)="",2,0)),0)</f>
        <v>0</v>
      </c>
      <c r="AJ816" s="313">
        <f>IFERROR(IF(INDEX([1]Pivot!$BF$1:$CG$65000,$B816,AJ$5)=1,1,IF(INDEX([1]Pivot!$B$1:$AB$65000,$B816,AJ$5)="",2,0)),0)</f>
        <v>0</v>
      </c>
      <c r="AK816" s="313">
        <f>IFERROR(IF(INDEX([1]Pivot!$BF$1:$CG$65000,$B816,AK$5)=1,1,IF(INDEX([1]Pivot!$B$1:$AB$65000,$B816,AK$5)="",2,0)),0)</f>
        <v>0</v>
      </c>
      <c r="AL816" s="313">
        <f>IFERROR(IF(INDEX([1]Pivot!$BF$1:$CG$65000,$B816,AL$5)=1,1,IF(INDEX([1]Pivot!$B$1:$AB$65000,$B816,AL$5)="",2,0)),0)</f>
        <v>0</v>
      </c>
      <c r="AM816" s="313">
        <f>IFERROR(IF(INDEX([1]Pivot!$BF$1:$CG$65000,$B816,AM$5)=1,1,IF(INDEX([1]Pivot!$B$1:$AB$65000,$B816,AM$5)="",2,0)),0)</f>
        <v>0</v>
      </c>
      <c r="AN816" s="313">
        <f>IFERROR(IF(INDEX([1]Pivot!$BF$1:$CG$65000,$B816,AN$5)=1,1,IF(INDEX([1]Pivot!$B$1:$AB$65000,$B816,AN$5)="",2,0)),0)</f>
        <v>0</v>
      </c>
      <c r="AO816" s="313">
        <f>IFERROR(IF(INDEX([1]Pivot!$BF$1:$CG$65000,$B816,AO$5)=1,1,IF(INDEX([1]Pivot!$B$1:$AB$65000,$B816,AO$5)="",2,0)),0)</f>
        <v>0</v>
      </c>
      <c r="AP816" s="313">
        <f>IFERROR(IF(INDEX([1]Pivot!$BF$1:$CG$65000,$B816,AP$5)=1,1,IF(INDEX([1]Pivot!$B$1:$AB$65000,$B816,AP$5)="",2,0)),0)</f>
        <v>0</v>
      </c>
      <c r="AQ816" s="313">
        <f>IFERROR(IF(INDEX([1]Pivot!$BF$1:$CG$65000,$B816,AQ$5)=1,1,IF(INDEX([1]Pivot!$B$1:$AB$65000,$B816,AQ$5)="",2,0)),0)</f>
        <v>0</v>
      </c>
      <c r="AR816" s="313">
        <f>IFERROR(IF(INDEX([1]Pivot!$BF$1:$CG$65000,$B816,AR$5)=1,1,IF(INDEX([1]Pivot!$B$1:$AB$65000,$B816,AR$5)="",2,0)),0)</f>
        <v>0</v>
      </c>
      <c r="AS816" s="312"/>
      <c r="AT816" s="313">
        <f>IFERROR(IF(INDEX([1]Pivot!$BF$1:$CG$65000,$B816,AT$5)=1,1,IF(INDEX([1]Pivot!$B$1:$AB$65000,$B816,AT$5)="",2,0)),0)</f>
        <v>0</v>
      </c>
      <c r="AU816" s="313">
        <f>IFERROR(IF(INDEX([1]Pivot!$BF$1:$CG$65000,$B816,AU$5)=1,1,IF(INDEX([1]Pivot!$B$1:$AB$65000,$B816,AU$5)="",2,0)),0)</f>
        <v>0</v>
      </c>
      <c r="AV816" s="313">
        <f>IFERROR(IF(INDEX([1]Pivot!$BF$1:$CG$65000,$B816,AV$5)=1,1,IF(INDEX([1]Pivot!$B$1:$AB$65000,$B816,AV$5)="",2,0)),0)</f>
        <v>0</v>
      </c>
      <c r="AW816" s="313">
        <f>IFERROR(IF(INDEX([1]Pivot!$BF$1:$CG$65000,$B816,AW$5)=1,1,IF(INDEX([1]Pivot!$B$1:$AB$65000,$B816,AW$5)="",2,0)),0)</f>
        <v>0</v>
      </c>
      <c r="AX816" s="313">
        <f>IFERROR(IF(INDEX([1]Pivot!$BF$1:$CG$65000,$B816,AX$5)=1,1,IF(INDEX([1]Pivot!$B$1:$AB$65000,$B816,AX$5)="",2,0)),0)</f>
        <v>0</v>
      </c>
      <c r="AY816" s="313">
        <f>IFERROR(IF(INDEX([1]Pivot!$BF$1:$CG$65000,$B816,AY$5)=1,1,IF(INDEX([1]Pivot!$B$1:$AB$65000,$B816,AY$5)="",2,0)),0)</f>
        <v>0</v>
      </c>
      <c r="AZ816" s="313">
        <f>IFERROR(IF(INDEX([1]Pivot!$BF$1:$CG$65000,$B816,AZ$5)=1,1,IF(INDEX([1]Pivot!$B$1:$AB$65000,$B816,AZ$5)="",2,0)),0)</f>
        <v>0</v>
      </c>
      <c r="BA816" s="313">
        <f>IFERROR(IF(INDEX([1]Pivot!$BF$1:$CG$65000,$B816,BA$5)=1,1,IF(INDEX([1]Pivot!$B$1:$AB$65000,$B816,BA$5)="",2,0)),0)</f>
        <v>0</v>
      </c>
      <c r="BB816" s="313">
        <f>IFERROR(IF(INDEX([1]Pivot!$BF$1:$CG$65000,$B816,BB$5)=1,1,IF(INDEX([1]Pivot!$B$1:$AB$65000,$B816,BB$5)="",2,0)),0)</f>
        <v>0</v>
      </c>
      <c r="BC816" s="313">
        <f>IFERROR(IF(INDEX([1]Pivot!$BF$1:$CG$65000,$B816,BC$5)=1,1,IF(INDEX([1]Pivot!$B$1:$AB$65000,$B816,BC$5)="",2,0)),0)</f>
        <v>0</v>
      </c>
      <c r="BD816" s="313">
        <f>IFERROR(IF(INDEX([1]Pivot!$BF$1:$CG$65000,$B816,BD$5)=1,1,IF(INDEX([1]Pivot!$B$1:$AB$65000,$B816,BD$5)="",2,0)),0)</f>
        <v>0</v>
      </c>
    </row>
    <row r="817" spans="1:56" x14ac:dyDescent="0.25">
      <c r="A817" s="288">
        <f>'[2]Raw Milk Prices'!A817</f>
        <v>0</v>
      </c>
      <c r="B817" s="296" t="e">
        <f>MATCH(DATE(LEFT('[2]Raw Milk Prices'!$A817,4),RIGHT('[2]Raw Milk Prices'!$A817,2),1),[1]Pivot!$A$1:$A$65000,0)</f>
        <v>#VALUE!</v>
      </c>
      <c r="C817" s="194">
        <f>IFERROR(IF(INDEX([1]Pivot!$AD$1:$BE$65000,$B817,C$5)=1,1,IF(INDEX([1]Pivot!$B$1:$AB$65000,$B817,C$5)="",2,0)),0)</f>
        <v>0</v>
      </c>
      <c r="D817" s="194">
        <f>IFERROR(IF(INDEX([1]Pivot!$AD$1:$BE$65000,$B817,D$5)=1,1,IF(INDEX([1]Pivot!$B$1:$AB$65000,$B817,D$5)="",2,0)),0)</f>
        <v>0</v>
      </c>
      <c r="E817" s="194">
        <f>IFERROR(IF(INDEX([1]Pivot!$AD$1:$BE$65000,$B817,E$5)=1,1,IF(INDEX([1]Pivot!$B$1:$AB$65000,$B817,E$5)="",2,0)),0)</f>
        <v>0</v>
      </c>
      <c r="F817" s="194">
        <f>IFERROR(IF(INDEX([1]Pivot!$AD$1:$BE$65000,$B817,F$5)=1,1,IF(INDEX([1]Pivot!$B$1:$AB$65000,$B817,F$5)="",2,0)),0)</f>
        <v>0</v>
      </c>
      <c r="G817" s="194">
        <f>IFERROR(IF(INDEX([1]Pivot!$AD$1:$BE$65000,$B817,G$5)=1,1,IF(INDEX([1]Pivot!$B$1:$AB$65000,$B817,G$5)="",2,0)),0)</f>
        <v>0</v>
      </c>
      <c r="H817" s="194">
        <f>IFERROR(IF(INDEX([1]Pivot!$AD$1:$BE$65000,$B817,H$5)=1,1,IF(INDEX([1]Pivot!$B$1:$AB$65000,$B817,H$5)="",2,0)),0)</f>
        <v>0</v>
      </c>
      <c r="I817" s="194">
        <f>IFERROR(IF(INDEX([1]Pivot!$AD$1:$BE$65000,$B817,I$5)=1,1,IF(INDEX([1]Pivot!$B$1:$AB$65000,$B817,I$5)="",2,0)),0)</f>
        <v>0</v>
      </c>
      <c r="J817" s="194">
        <f>IFERROR(IF(INDEX([1]Pivot!$AD$1:$BE$65000,$B817,J$5)=1,1,IF(INDEX([1]Pivot!$B$1:$AB$65000,$B817,J$5)="",2,0)),0)</f>
        <v>0</v>
      </c>
      <c r="K817" s="194">
        <f>IFERROR(IF(INDEX([1]Pivot!$AD$1:$BE$65000,$B817,K$5)=1,1,IF(INDEX([1]Pivot!$B$1:$AB$65000,$B817,K$5)="",2,0)),0)</f>
        <v>0</v>
      </c>
      <c r="L817" s="194">
        <f>IFERROR(IF(INDEX([1]Pivot!$AD$1:$BE$65000,$B817,L$5)=1,1,IF(INDEX([1]Pivot!$B$1:$AB$65000,$B817,L$5)="",2,0)),0)</f>
        <v>0</v>
      </c>
      <c r="M817" s="194">
        <f>IFERROR(IF(INDEX([1]Pivot!$AD$1:$BE$65000,$B817,M$5)=1,1,IF(INDEX([1]Pivot!$B$1:$AB$65000,$B817,M$5)="",2,0)),0)</f>
        <v>0</v>
      </c>
      <c r="N817" s="194">
        <f>IFERROR(IF(INDEX([1]Pivot!$AD$1:$BE$65000,$B817,N$5)=1,1,IF(INDEX([1]Pivot!$B$1:$AB$65000,$B817,N$5)="",2,0)),0)</f>
        <v>0</v>
      </c>
      <c r="O817" s="194">
        <f>IFERROR(IF(INDEX([1]Pivot!$AD$1:$BE$65000,$B817,O$5)=1,1,IF(INDEX([1]Pivot!$B$1:$AB$65000,$B817,O$5)="",2,0)),0)</f>
        <v>0</v>
      </c>
      <c r="P817" s="194">
        <f>IFERROR(IF(INDEX([1]Pivot!$AD$1:$BE$65000,$B817,P$5)=1,1,IF(INDEX([1]Pivot!$B$1:$AB$65000,$B817,P$5)="",2,0)),0)</f>
        <v>0</v>
      </c>
      <c r="Q817" s="194">
        <f>IFERROR(IF(INDEX([1]Pivot!$AD$1:$BE$65000,$B817,Q$5)=1,1,IF(INDEX([1]Pivot!$B$1:$AB$65000,$B817,Q$5)="",2,0)),0)</f>
        <v>0</v>
      </c>
      <c r="R817" s="312"/>
      <c r="S817" s="194">
        <f>IFERROR(IF(INDEX([1]Pivot!$AD$1:$BE$65000,$B817,S$5)=1,1,IF(INDEX([1]Pivot!$B$1:$AB$65000,$B817,S$5)="",2,0)),0)</f>
        <v>0</v>
      </c>
      <c r="T817" s="194">
        <f>IFERROR(IF(INDEX([1]Pivot!$AD$1:$BE$65000,$B817,T$5)=1,1,IF(INDEX([1]Pivot!$B$1:$AB$65000,$B817,T$5)="",2,0)),0)</f>
        <v>0</v>
      </c>
      <c r="U817" s="194">
        <f>IFERROR(IF(INDEX([1]Pivot!$AD$1:$BE$65000,$B817,U$5)=1,1,IF(INDEX([1]Pivot!$B$1:$AB$65000,$B817,U$5)="",2,0)),0)</f>
        <v>0</v>
      </c>
      <c r="V817" s="194">
        <f>IFERROR(IF(INDEX([1]Pivot!$AD$1:$BE$65000,$B817,V$5)=1,1,IF(INDEX([1]Pivot!$B$1:$AB$65000,$B817,V$5)="",2,0)),0)</f>
        <v>0</v>
      </c>
      <c r="W817" s="194">
        <f>IFERROR(IF(INDEX([1]Pivot!$AD$1:$BE$65000,$B817,W$5)=1,1,IF(INDEX([1]Pivot!$B$1:$AB$65000,$B817,W$5)="",2,0)),0)</f>
        <v>0</v>
      </c>
      <c r="X817" s="194">
        <f>IFERROR(IF(INDEX([1]Pivot!$AD$1:$BE$65000,$B817,X$5)=1,1,IF(INDEX([1]Pivot!$B$1:$AB$65000,$B817,X$5)="",2,0)),0)</f>
        <v>0</v>
      </c>
      <c r="Y817" s="194">
        <f>IFERROR(IF(INDEX([1]Pivot!$AD$1:$BE$65000,$B817,Y$5)=1,1,IF(INDEX([1]Pivot!$B$1:$AB$65000,$B817,Y$5)="",2,0)),0)</f>
        <v>0</v>
      </c>
      <c r="Z817" s="194">
        <f>IFERROR(IF(INDEX([1]Pivot!$AD$1:$BE$65000,$B817,Z$5)=1,1,IF(INDEX([1]Pivot!$B$1:$AB$65000,$B817,Z$5)="",2,0)),0)</f>
        <v>0</v>
      </c>
      <c r="AA817" s="194">
        <f>IFERROR(IF(INDEX([1]Pivot!$AD$1:$BE$65000,$B817,AA$5)=1,1,IF(INDEX([1]Pivot!$B$1:$AB$65000,$B817,AA$5)="",2,0)),0)</f>
        <v>0</v>
      </c>
      <c r="AB817" s="194">
        <f>IFERROR(IF(INDEX([1]Pivot!$AD$1:$BE$65000,$B817,AB$5)=1,1,IF(INDEX([1]Pivot!$B$1:$AB$65000,$B817,AB$5)="",2,0)),0)</f>
        <v>0</v>
      </c>
      <c r="AC817" s="194">
        <f>IFERROR(IF(INDEX([1]Pivot!$AD$1:$BE$65000,$B817,AC$5)=1,1,IF(INDEX([1]Pivot!$B$1:$AB$65000,$B817,AC$5)="",2,0)),0)</f>
        <v>0</v>
      </c>
      <c r="AD817" s="313">
        <f>IFERROR(IF(INDEX([1]Pivot!$BF$1:$CG$65000,$B817,AD$5)=1,1,IF(INDEX([1]Pivot!$B$1:$AB$65000,$B817,AD$5)="",2,0)),0)</f>
        <v>0</v>
      </c>
      <c r="AE817" s="313">
        <f>IFERROR(IF(INDEX([1]Pivot!$BF$1:$CG$65000,$B817,AE$5)=1,1,IF(INDEX([1]Pivot!$B$1:$AB$65000,$B817,AE$5)="",2,0)),0)</f>
        <v>0</v>
      </c>
      <c r="AF817" s="313">
        <f>IFERROR(IF(INDEX([1]Pivot!$BF$1:$CG$65000,$B817,AF$5)=1,1,IF(INDEX([1]Pivot!$B$1:$AB$65000,$B817,AF$5)="",2,0)),0)</f>
        <v>0</v>
      </c>
      <c r="AG817" s="313">
        <f>IFERROR(IF(INDEX([1]Pivot!$BF$1:$CG$65000,$B817,AG$5)=1,1,IF(INDEX([1]Pivot!$B$1:$AB$65000,$B817,AG$5)="",2,0)),0)</f>
        <v>0</v>
      </c>
      <c r="AH817" s="313">
        <f>IFERROR(IF(INDEX([1]Pivot!$BF$1:$CG$65000,$B817,AH$5)=1,1,IF(INDEX([1]Pivot!$B$1:$AB$65000,$B817,AH$5)="",2,0)),0)</f>
        <v>0</v>
      </c>
      <c r="AI817" s="313">
        <f>IFERROR(IF(INDEX([1]Pivot!$BF$1:$CG$65000,$B817,AI$5)=1,1,IF(INDEX([1]Pivot!$B$1:$AB$65000,$B817,AI$5)="",2,0)),0)</f>
        <v>0</v>
      </c>
      <c r="AJ817" s="313">
        <f>IFERROR(IF(INDEX([1]Pivot!$BF$1:$CG$65000,$B817,AJ$5)=1,1,IF(INDEX([1]Pivot!$B$1:$AB$65000,$B817,AJ$5)="",2,0)),0)</f>
        <v>0</v>
      </c>
      <c r="AK817" s="313">
        <f>IFERROR(IF(INDEX([1]Pivot!$BF$1:$CG$65000,$B817,AK$5)=1,1,IF(INDEX([1]Pivot!$B$1:$AB$65000,$B817,AK$5)="",2,0)),0)</f>
        <v>0</v>
      </c>
      <c r="AL817" s="313">
        <f>IFERROR(IF(INDEX([1]Pivot!$BF$1:$CG$65000,$B817,AL$5)=1,1,IF(INDEX([1]Pivot!$B$1:$AB$65000,$B817,AL$5)="",2,0)),0)</f>
        <v>0</v>
      </c>
      <c r="AM817" s="313">
        <f>IFERROR(IF(INDEX([1]Pivot!$BF$1:$CG$65000,$B817,AM$5)=1,1,IF(INDEX([1]Pivot!$B$1:$AB$65000,$B817,AM$5)="",2,0)),0)</f>
        <v>0</v>
      </c>
      <c r="AN817" s="313">
        <f>IFERROR(IF(INDEX([1]Pivot!$BF$1:$CG$65000,$B817,AN$5)=1,1,IF(INDEX([1]Pivot!$B$1:$AB$65000,$B817,AN$5)="",2,0)),0)</f>
        <v>0</v>
      </c>
      <c r="AO817" s="313">
        <f>IFERROR(IF(INDEX([1]Pivot!$BF$1:$CG$65000,$B817,AO$5)=1,1,IF(INDEX([1]Pivot!$B$1:$AB$65000,$B817,AO$5)="",2,0)),0)</f>
        <v>0</v>
      </c>
      <c r="AP817" s="313">
        <f>IFERROR(IF(INDEX([1]Pivot!$BF$1:$CG$65000,$B817,AP$5)=1,1,IF(INDEX([1]Pivot!$B$1:$AB$65000,$B817,AP$5)="",2,0)),0)</f>
        <v>0</v>
      </c>
      <c r="AQ817" s="313">
        <f>IFERROR(IF(INDEX([1]Pivot!$BF$1:$CG$65000,$B817,AQ$5)=1,1,IF(INDEX([1]Pivot!$B$1:$AB$65000,$B817,AQ$5)="",2,0)),0)</f>
        <v>0</v>
      </c>
      <c r="AR817" s="313">
        <f>IFERROR(IF(INDEX([1]Pivot!$BF$1:$CG$65000,$B817,AR$5)=1,1,IF(INDEX([1]Pivot!$B$1:$AB$65000,$B817,AR$5)="",2,0)),0)</f>
        <v>0</v>
      </c>
      <c r="AS817" s="312"/>
      <c r="AT817" s="313">
        <f>IFERROR(IF(INDEX([1]Pivot!$BF$1:$CG$65000,$B817,AT$5)=1,1,IF(INDEX([1]Pivot!$B$1:$AB$65000,$B817,AT$5)="",2,0)),0)</f>
        <v>0</v>
      </c>
      <c r="AU817" s="313">
        <f>IFERROR(IF(INDEX([1]Pivot!$BF$1:$CG$65000,$B817,AU$5)=1,1,IF(INDEX([1]Pivot!$B$1:$AB$65000,$B817,AU$5)="",2,0)),0)</f>
        <v>0</v>
      </c>
      <c r="AV817" s="313">
        <f>IFERROR(IF(INDEX([1]Pivot!$BF$1:$CG$65000,$B817,AV$5)=1,1,IF(INDEX([1]Pivot!$B$1:$AB$65000,$B817,AV$5)="",2,0)),0)</f>
        <v>0</v>
      </c>
      <c r="AW817" s="313">
        <f>IFERROR(IF(INDEX([1]Pivot!$BF$1:$CG$65000,$B817,AW$5)=1,1,IF(INDEX([1]Pivot!$B$1:$AB$65000,$B817,AW$5)="",2,0)),0)</f>
        <v>0</v>
      </c>
      <c r="AX817" s="313">
        <f>IFERROR(IF(INDEX([1]Pivot!$BF$1:$CG$65000,$B817,AX$5)=1,1,IF(INDEX([1]Pivot!$B$1:$AB$65000,$B817,AX$5)="",2,0)),0)</f>
        <v>0</v>
      </c>
      <c r="AY817" s="313">
        <f>IFERROR(IF(INDEX([1]Pivot!$BF$1:$CG$65000,$B817,AY$5)=1,1,IF(INDEX([1]Pivot!$B$1:$AB$65000,$B817,AY$5)="",2,0)),0)</f>
        <v>0</v>
      </c>
      <c r="AZ817" s="313">
        <f>IFERROR(IF(INDEX([1]Pivot!$BF$1:$CG$65000,$B817,AZ$5)=1,1,IF(INDEX([1]Pivot!$B$1:$AB$65000,$B817,AZ$5)="",2,0)),0)</f>
        <v>0</v>
      </c>
      <c r="BA817" s="313">
        <f>IFERROR(IF(INDEX([1]Pivot!$BF$1:$CG$65000,$B817,BA$5)=1,1,IF(INDEX([1]Pivot!$B$1:$AB$65000,$B817,BA$5)="",2,0)),0)</f>
        <v>0</v>
      </c>
      <c r="BB817" s="313">
        <f>IFERROR(IF(INDEX([1]Pivot!$BF$1:$CG$65000,$B817,BB$5)=1,1,IF(INDEX([1]Pivot!$B$1:$AB$65000,$B817,BB$5)="",2,0)),0)</f>
        <v>0</v>
      </c>
      <c r="BC817" s="313">
        <f>IFERROR(IF(INDEX([1]Pivot!$BF$1:$CG$65000,$B817,BC$5)=1,1,IF(INDEX([1]Pivot!$B$1:$AB$65000,$B817,BC$5)="",2,0)),0)</f>
        <v>0</v>
      </c>
      <c r="BD817" s="313">
        <f>IFERROR(IF(INDEX([1]Pivot!$BF$1:$CG$65000,$B817,BD$5)=1,1,IF(INDEX([1]Pivot!$B$1:$AB$65000,$B817,BD$5)="",2,0)),0)</f>
        <v>0</v>
      </c>
    </row>
    <row r="818" spans="1:56" x14ac:dyDescent="0.25">
      <c r="A818" s="288">
        <f>'[2]Raw Milk Prices'!A818</f>
        <v>0</v>
      </c>
      <c r="B818" s="296" t="e">
        <f>MATCH(DATE(LEFT('[2]Raw Milk Prices'!$A818,4),RIGHT('[2]Raw Milk Prices'!$A818,2),1),[1]Pivot!$A$1:$A$65000,0)</f>
        <v>#VALUE!</v>
      </c>
      <c r="C818" s="194">
        <f>IFERROR(IF(INDEX([1]Pivot!$AD$1:$BE$65000,$B818,C$5)=1,1,IF(INDEX([1]Pivot!$B$1:$AB$65000,$B818,C$5)="",2,0)),0)</f>
        <v>0</v>
      </c>
      <c r="D818" s="194">
        <f>IFERROR(IF(INDEX([1]Pivot!$AD$1:$BE$65000,$B818,D$5)=1,1,IF(INDEX([1]Pivot!$B$1:$AB$65000,$B818,D$5)="",2,0)),0)</f>
        <v>0</v>
      </c>
      <c r="E818" s="194">
        <f>IFERROR(IF(INDEX([1]Pivot!$AD$1:$BE$65000,$B818,E$5)=1,1,IF(INDEX([1]Pivot!$B$1:$AB$65000,$B818,E$5)="",2,0)),0)</f>
        <v>0</v>
      </c>
      <c r="F818" s="194">
        <f>IFERROR(IF(INDEX([1]Pivot!$AD$1:$BE$65000,$B818,F$5)=1,1,IF(INDEX([1]Pivot!$B$1:$AB$65000,$B818,F$5)="",2,0)),0)</f>
        <v>0</v>
      </c>
      <c r="G818" s="194">
        <f>IFERROR(IF(INDEX([1]Pivot!$AD$1:$BE$65000,$B818,G$5)=1,1,IF(INDEX([1]Pivot!$B$1:$AB$65000,$B818,G$5)="",2,0)),0)</f>
        <v>0</v>
      </c>
      <c r="H818" s="194">
        <f>IFERROR(IF(INDEX([1]Pivot!$AD$1:$BE$65000,$B818,H$5)=1,1,IF(INDEX([1]Pivot!$B$1:$AB$65000,$B818,H$5)="",2,0)),0)</f>
        <v>0</v>
      </c>
      <c r="I818" s="194">
        <f>IFERROR(IF(INDEX([1]Pivot!$AD$1:$BE$65000,$B818,I$5)=1,1,IF(INDEX([1]Pivot!$B$1:$AB$65000,$B818,I$5)="",2,0)),0)</f>
        <v>0</v>
      </c>
      <c r="J818" s="194">
        <f>IFERROR(IF(INDEX([1]Pivot!$AD$1:$BE$65000,$B818,J$5)=1,1,IF(INDEX([1]Pivot!$B$1:$AB$65000,$B818,J$5)="",2,0)),0)</f>
        <v>0</v>
      </c>
      <c r="K818" s="194">
        <f>IFERROR(IF(INDEX([1]Pivot!$AD$1:$BE$65000,$B818,K$5)=1,1,IF(INDEX([1]Pivot!$B$1:$AB$65000,$B818,K$5)="",2,0)),0)</f>
        <v>0</v>
      </c>
      <c r="L818" s="194">
        <f>IFERROR(IF(INDEX([1]Pivot!$AD$1:$BE$65000,$B818,L$5)=1,1,IF(INDEX([1]Pivot!$B$1:$AB$65000,$B818,L$5)="",2,0)),0)</f>
        <v>0</v>
      </c>
      <c r="M818" s="194">
        <f>IFERROR(IF(INDEX([1]Pivot!$AD$1:$BE$65000,$B818,M$5)=1,1,IF(INDEX([1]Pivot!$B$1:$AB$65000,$B818,M$5)="",2,0)),0)</f>
        <v>0</v>
      </c>
      <c r="N818" s="194">
        <f>IFERROR(IF(INDEX([1]Pivot!$AD$1:$BE$65000,$B818,N$5)=1,1,IF(INDEX([1]Pivot!$B$1:$AB$65000,$B818,N$5)="",2,0)),0)</f>
        <v>0</v>
      </c>
      <c r="O818" s="194">
        <f>IFERROR(IF(INDEX([1]Pivot!$AD$1:$BE$65000,$B818,O$5)=1,1,IF(INDEX([1]Pivot!$B$1:$AB$65000,$B818,O$5)="",2,0)),0)</f>
        <v>0</v>
      </c>
      <c r="P818" s="194">
        <f>IFERROR(IF(INDEX([1]Pivot!$AD$1:$BE$65000,$B818,P$5)=1,1,IF(INDEX([1]Pivot!$B$1:$AB$65000,$B818,P$5)="",2,0)),0)</f>
        <v>0</v>
      </c>
      <c r="Q818" s="194">
        <f>IFERROR(IF(INDEX([1]Pivot!$AD$1:$BE$65000,$B818,Q$5)=1,1,IF(INDEX([1]Pivot!$B$1:$AB$65000,$B818,Q$5)="",2,0)),0)</f>
        <v>0</v>
      </c>
      <c r="R818" s="312"/>
      <c r="S818" s="194">
        <f>IFERROR(IF(INDEX([1]Pivot!$AD$1:$BE$65000,$B818,S$5)=1,1,IF(INDEX([1]Pivot!$B$1:$AB$65000,$B818,S$5)="",2,0)),0)</f>
        <v>0</v>
      </c>
      <c r="T818" s="194">
        <f>IFERROR(IF(INDEX([1]Pivot!$AD$1:$BE$65000,$B818,T$5)=1,1,IF(INDEX([1]Pivot!$B$1:$AB$65000,$B818,T$5)="",2,0)),0)</f>
        <v>0</v>
      </c>
      <c r="U818" s="194">
        <f>IFERROR(IF(INDEX([1]Pivot!$AD$1:$BE$65000,$B818,U$5)=1,1,IF(INDEX([1]Pivot!$B$1:$AB$65000,$B818,U$5)="",2,0)),0)</f>
        <v>0</v>
      </c>
      <c r="V818" s="194">
        <f>IFERROR(IF(INDEX([1]Pivot!$AD$1:$BE$65000,$B818,V$5)=1,1,IF(INDEX([1]Pivot!$B$1:$AB$65000,$B818,V$5)="",2,0)),0)</f>
        <v>0</v>
      </c>
      <c r="W818" s="194">
        <f>IFERROR(IF(INDEX([1]Pivot!$AD$1:$BE$65000,$B818,W$5)=1,1,IF(INDEX([1]Pivot!$B$1:$AB$65000,$B818,W$5)="",2,0)),0)</f>
        <v>0</v>
      </c>
      <c r="X818" s="194">
        <f>IFERROR(IF(INDEX([1]Pivot!$AD$1:$BE$65000,$B818,X$5)=1,1,IF(INDEX([1]Pivot!$B$1:$AB$65000,$B818,X$5)="",2,0)),0)</f>
        <v>0</v>
      </c>
      <c r="Y818" s="194">
        <f>IFERROR(IF(INDEX([1]Pivot!$AD$1:$BE$65000,$B818,Y$5)=1,1,IF(INDEX([1]Pivot!$B$1:$AB$65000,$B818,Y$5)="",2,0)),0)</f>
        <v>0</v>
      </c>
      <c r="Z818" s="194">
        <f>IFERROR(IF(INDEX([1]Pivot!$AD$1:$BE$65000,$B818,Z$5)=1,1,IF(INDEX([1]Pivot!$B$1:$AB$65000,$B818,Z$5)="",2,0)),0)</f>
        <v>0</v>
      </c>
      <c r="AA818" s="194">
        <f>IFERROR(IF(INDEX([1]Pivot!$AD$1:$BE$65000,$B818,AA$5)=1,1,IF(INDEX([1]Pivot!$B$1:$AB$65000,$B818,AA$5)="",2,0)),0)</f>
        <v>0</v>
      </c>
      <c r="AB818" s="194">
        <f>IFERROR(IF(INDEX([1]Pivot!$AD$1:$BE$65000,$B818,AB$5)=1,1,IF(INDEX([1]Pivot!$B$1:$AB$65000,$B818,AB$5)="",2,0)),0)</f>
        <v>0</v>
      </c>
      <c r="AC818" s="194">
        <f>IFERROR(IF(INDEX([1]Pivot!$AD$1:$BE$65000,$B818,AC$5)=1,1,IF(INDEX([1]Pivot!$B$1:$AB$65000,$B818,AC$5)="",2,0)),0)</f>
        <v>0</v>
      </c>
      <c r="AD818" s="313">
        <f>IFERROR(IF(INDEX([1]Pivot!$BF$1:$CG$65000,$B818,AD$5)=1,1,IF(INDEX([1]Pivot!$B$1:$AB$65000,$B818,AD$5)="",2,0)),0)</f>
        <v>0</v>
      </c>
      <c r="AE818" s="313">
        <f>IFERROR(IF(INDEX([1]Pivot!$BF$1:$CG$65000,$B818,AE$5)=1,1,IF(INDEX([1]Pivot!$B$1:$AB$65000,$B818,AE$5)="",2,0)),0)</f>
        <v>0</v>
      </c>
      <c r="AF818" s="313">
        <f>IFERROR(IF(INDEX([1]Pivot!$BF$1:$CG$65000,$B818,AF$5)=1,1,IF(INDEX([1]Pivot!$B$1:$AB$65000,$B818,AF$5)="",2,0)),0)</f>
        <v>0</v>
      </c>
      <c r="AG818" s="313">
        <f>IFERROR(IF(INDEX([1]Pivot!$BF$1:$CG$65000,$B818,AG$5)=1,1,IF(INDEX([1]Pivot!$B$1:$AB$65000,$B818,AG$5)="",2,0)),0)</f>
        <v>0</v>
      </c>
      <c r="AH818" s="313">
        <f>IFERROR(IF(INDEX([1]Pivot!$BF$1:$CG$65000,$B818,AH$5)=1,1,IF(INDEX([1]Pivot!$B$1:$AB$65000,$B818,AH$5)="",2,0)),0)</f>
        <v>0</v>
      </c>
      <c r="AI818" s="313">
        <f>IFERROR(IF(INDEX([1]Pivot!$BF$1:$CG$65000,$B818,AI$5)=1,1,IF(INDEX([1]Pivot!$B$1:$AB$65000,$B818,AI$5)="",2,0)),0)</f>
        <v>0</v>
      </c>
      <c r="AJ818" s="313">
        <f>IFERROR(IF(INDEX([1]Pivot!$BF$1:$CG$65000,$B818,AJ$5)=1,1,IF(INDEX([1]Pivot!$B$1:$AB$65000,$B818,AJ$5)="",2,0)),0)</f>
        <v>0</v>
      </c>
      <c r="AK818" s="313">
        <f>IFERROR(IF(INDEX([1]Pivot!$BF$1:$CG$65000,$B818,AK$5)=1,1,IF(INDEX([1]Pivot!$B$1:$AB$65000,$B818,AK$5)="",2,0)),0)</f>
        <v>0</v>
      </c>
      <c r="AL818" s="313">
        <f>IFERROR(IF(INDEX([1]Pivot!$BF$1:$CG$65000,$B818,AL$5)=1,1,IF(INDEX([1]Pivot!$B$1:$AB$65000,$B818,AL$5)="",2,0)),0)</f>
        <v>0</v>
      </c>
      <c r="AM818" s="313">
        <f>IFERROR(IF(INDEX([1]Pivot!$BF$1:$CG$65000,$B818,AM$5)=1,1,IF(INDEX([1]Pivot!$B$1:$AB$65000,$B818,AM$5)="",2,0)),0)</f>
        <v>0</v>
      </c>
      <c r="AN818" s="313">
        <f>IFERROR(IF(INDEX([1]Pivot!$BF$1:$CG$65000,$B818,AN$5)=1,1,IF(INDEX([1]Pivot!$B$1:$AB$65000,$B818,AN$5)="",2,0)),0)</f>
        <v>0</v>
      </c>
      <c r="AO818" s="313">
        <f>IFERROR(IF(INDEX([1]Pivot!$BF$1:$CG$65000,$B818,AO$5)=1,1,IF(INDEX([1]Pivot!$B$1:$AB$65000,$B818,AO$5)="",2,0)),0)</f>
        <v>0</v>
      </c>
      <c r="AP818" s="313">
        <f>IFERROR(IF(INDEX([1]Pivot!$BF$1:$CG$65000,$B818,AP$5)=1,1,IF(INDEX([1]Pivot!$B$1:$AB$65000,$B818,AP$5)="",2,0)),0)</f>
        <v>0</v>
      </c>
      <c r="AQ818" s="313">
        <f>IFERROR(IF(INDEX([1]Pivot!$BF$1:$CG$65000,$B818,AQ$5)=1,1,IF(INDEX([1]Pivot!$B$1:$AB$65000,$B818,AQ$5)="",2,0)),0)</f>
        <v>0</v>
      </c>
      <c r="AR818" s="313">
        <f>IFERROR(IF(INDEX([1]Pivot!$BF$1:$CG$65000,$B818,AR$5)=1,1,IF(INDEX([1]Pivot!$B$1:$AB$65000,$B818,AR$5)="",2,0)),0)</f>
        <v>0</v>
      </c>
      <c r="AS818" s="312"/>
      <c r="AT818" s="313">
        <f>IFERROR(IF(INDEX([1]Pivot!$BF$1:$CG$65000,$B818,AT$5)=1,1,IF(INDEX([1]Pivot!$B$1:$AB$65000,$B818,AT$5)="",2,0)),0)</f>
        <v>0</v>
      </c>
      <c r="AU818" s="313">
        <f>IFERROR(IF(INDEX([1]Pivot!$BF$1:$CG$65000,$B818,AU$5)=1,1,IF(INDEX([1]Pivot!$B$1:$AB$65000,$B818,AU$5)="",2,0)),0)</f>
        <v>0</v>
      </c>
      <c r="AV818" s="313">
        <f>IFERROR(IF(INDEX([1]Pivot!$BF$1:$CG$65000,$B818,AV$5)=1,1,IF(INDEX([1]Pivot!$B$1:$AB$65000,$B818,AV$5)="",2,0)),0)</f>
        <v>0</v>
      </c>
      <c r="AW818" s="313">
        <f>IFERROR(IF(INDEX([1]Pivot!$BF$1:$CG$65000,$B818,AW$5)=1,1,IF(INDEX([1]Pivot!$B$1:$AB$65000,$B818,AW$5)="",2,0)),0)</f>
        <v>0</v>
      </c>
      <c r="AX818" s="313">
        <f>IFERROR(IF(INDEX([1]Pivot!$BF$1:$CG$65000,$B818,AX$5)=1,1,IF(INDEX([1]Pivot!$B$1:$AB$65000,$B818,AX$5)="",2,0)),0)</f>
        <v>0</v>
      </c>
      <c r="AY818" s="313">
        <f>IFERROR(IF(INDEX([1]Pivot!$BF$1:$CG$65000,$B818,AY$5)=1,1,IF(INDEX([1]Pivot!$B$1:$AB$65000,$B818,AY$5)="",2,0)),0)</f>
        <v>0</v>
      </c>
      <c r="AZ818" s="313">
        <f>IFERROR(IF(INDEX([1]Pivot!$BF$1:$CG$65000,$B818,AZ$5)=1,1,IF(INDEX([1]Pivot!$B$1:$AB$65000,$B818,AZ$5)="",2,0)),0)</f>
        <v>0</v>
      </c>
      <c r="BA818" s="313">
        <f>IFERROR(IF(INDEX([1]Pivot!$BF$1:$CG$65000,$B818,BA$5)=1,1,IF(INDEX([1]Pivot!$B$1:$AB$65000,$B818,BA$5)="",2,0)),0)</f>
        <v>0</v>
      </c>
      <c r="BB818" s="313">
        <f>IFERROR(IF(INDEX([1]Pivot!$BF$1:$CG$65000,$B818,BB$5)=1,1,IF(INDEX([1]Pivot!$B$1:$AB$65000,$B818,BB$5)="",2,0)),0)</f>
        <v>0</v>
      </c>
      <c r="BC818" s="313">
        <f>IFERROR(IF(INDEX([1]Pivot!$BF$1:$CG$65000,$B818,BC$5)=1,1,IF(INDEX([1]Pivot!$B$1:$AB$65000,$B818,BC$5)="",2,0)),0)</f>
        <v>0</v>
      </c>
      <c r="BD818" s="313">
        <f>IFERROR(IF(INDEX([1]Pivot!$BF$1:$CG$65000,$B818,BD$5)=1,1,IF(INDEX([1]Pivot!$B$1:$AB$65000,$B818,BD$5)="",2,0)),0)</f>
        <v>0</v>
      </c>
    </row>
    <row r="819" spans="1:56" x14ac:dyDescent="0.25">
      <c r="A819" s="288">
        <f>'[2]Raw Milk Prices'!A819</f>
        <v>0</v>
      </c>
      <c r="B819" s="296" t="e">
        <f>MATCH(DATE(LEFT('[2]Raw Milk Prices'!$A819,4),RIGHT('[2]Raw Milk Prices'!$A819,2),1),[1]Pivot!$A$1:$A$65000,0)</f>
        <v>#VALUE!</v>
      </c>
      <c r="C819" s="194">
        <f>IFERROR(IF(INDEX([1]Pivot!$AD$1:$BE$65000,$B819,C$5)=1,1,IF(INDEX([1]Pivot!$B$1:$AB$65000,$B819,C$5)="",2,0)),0)</f>
        <v>0</v>
      </c>
      <c r="D819" s="194">
        <f>IFERROR(IF(INDEX([1]Pivot!$AD$1:$BE$65000,$B819,D$5)=1,1,IF(INDEX([1]Pivot!$B$1:$AB$65000,$B819,D$5)="",2,0)),0)</f>
        <v>0</v>
      </c>
      <c r="E819" s="194">
        <f>IFERROR(IF(INDEX([1]Pivot!$AD$1:$BE$65000,$B819,E$5)=1,1,IF(INDEX([1]Pivot!$B$1:$AB$65000,$B819,E$5)="",2,0)),0)</f>
        <v>0</v>
      </c>
      <c r="F819" s="194">
        <f>IFERROR(IF(INDEX([1]Pivot!$AD$1:$BE$65000,$B819,F$5)=1,1,IF(INDEX([1]Pivot!$B$1:$AB$65000,$B819,F$5)="",2,0)),0)</f>
        <v>0</v>
      </c>
      <c r="G819" s="194">
        <f>IFERROR(IF(INDEX([1]Pivot!$AD$1:$BE$65000,$B819,G$5)=1,1,IF(INDEX([1]Pivot!$B$1:$AB$65000,$B819,G$5)="",2,0)),0)</f>
        <v>0</v>
      </c>
      <c r="H819" s="194">
        <f>IFERROR(IF(INDEX([1]Pivot!$AD$1:$BE$65000,$B819,H$5)=1,1,IF(INDEX([1]Pivot!$B$1:$AB$65000,$B819,H$5)="",2,0)),0)</f>
        <v>0</v>
      </c>
      <c r="I819" s="194">
        <f>IFERROR(IF(INDEX([1]Pivot!$AD$1:$BE$65000,$B819,I$5)=1,1,IF(INDEX([1]Pivot!$B$1:$AB$65000,$B819,I$5)="",2,0)),0)</f>
        <v>0</v>
      </c>
      <c r="J819" s="194">
        <f>IFERROR(IF(INDEX([1]Pivot!$AD$1:$BE$65000,$B819,J$5)=1,1,IF(INDEX([1]Pivot!$B$1:$AB$65000,$B819,J$5)="",2,0)),0)</f>
        <v>0</v>
      </c>
      <c r="K819" s="194">
        <f>IFERROR(IF(INDEX([1]Pivot!$AD$1:$BE$65000,$B819,K$5)=1,1,IF(INDEX([1]Pivot!$B$1:$AB$65000,$B819,K$5)="",2,0)),0)</f>
        <v>0</v>
      </c>
      <c r="L819" s="194">
        <f>IFERROR(IF(INDEX([1]Pivot!$AD$1:$BE$65000,$B819,L$5)=1,1,IF(INDEX([1]Pivot!$B$1:$AB$65000,$B819,L$5)="",2,0)),0)</f>
        <v>0</v>
      </c>
      <c r="M819" s="194">
        <f>IFERROR(IF(INDEX([1]Pivot!$AD$1:$BE$65000,$B819,M$5)=1,1,IF(INDEX([1]Pivot!$B$1:$AB$65000,$B819,M$5)="",2,0)),0)</f>
        <v>0</v>
      </c>
      <c r="N819" s="194">
        <f>IFERROR(IF(INDEX([1]Pivot!$AD$1:$BE$65000,$B819,N$5)=1,1,IF(INDEX([1]Pivot!$B$1:$AB$65000,$B819,N$5)="",2,0)),0)</f>
        <v>0</v>
      </c>
      <c r="O819" s="194">
        <f>IFERROR(IF(INDEX([1]Pivot!$AD$1:$BE$65000,$B819,O$5)=1,1,IF(INDEX([1]Pivot!$B$1:$AB$65000,$B819,O$5)="",2,0)),0)</f>
        <v>0</v>
      </c>
      <c r="P819" s="194">
        <f>IFERROR(IF(INDEX([1]Pivot!$AD$1:$BE$65000,$B819,P$5)=1,1,IF(INDEX([1]Pivot!$B$1:$AB$65000,$B819,P$5)="",2,0)),0)</f>
        <v>0</v>
      </c>
      <c r="Q819" s="194">
        <f>IFERROR(IF(INDEX([1]Pivot!$AD$1:$BE$65000,$B819,Q$5)=1,1,IF(INDEX([1]Pivot!$B$1:$AB$65000,$B819,Q$5)="",2,0)),0)</f>
        <v>0</v>
      </c>
      <c r="R819" s="312"/>
      <c r="S819" s="194">
        <f>IFERROR(IF(INDEX([1]Pivot!$AD$1:$BE$65000,$B819,S$5)=1,1,IF(INDEX([1]Pivot!$B$1:$AB$65000,$B819,S$5)="",2,0)),0)</f>
        <v>0</v>
      </c>
      <c r="T819" s="194">
        <f>IFERROR(IF(INDEX([1]Pivot!$AD$1:$BE$65000,$B819,T$5)=1,1,IF(INDEX([1]Pivot!$B$1:$AB$65000,$B819,T$5)="",2,0)),0)</f>
        <v>0</v>
      </c>
      <c r="U819" s="194">
        <f>IFERROR(IF(INDEX([1]Pivot!$AD$1:$BE$65000,$B819,U$5)=1,1,IF(INDEX([1]Pivot!$B$1:$AB$65000,$B819,U$5)="",2,0)),0)</f>
        <v>0</v>
      </c>
      <c r="V819" s="194">
        <f>IFERROR(IF(INDEX([1]Pivot!$AD$1:$BE$65000,$B819,V$5)=1,1,IF(INDEX([1]Pivot!$B$1:$AB$65000,$B819,V$5)="",2,0)),0)</f>
        <v>0</v>
      </c>
      <c r="W819" s="194">
        <f>IFERROR(IF(INDEX([1]Pivot!$AD$1:$BE$65000,$B819,W$5)=1,1,IF(INDEX([1]Pivot!$B$1:$AB$65000,$B819,W$5)="",2,0)),0)</f>
        <v>0</v>
      </c>
      <c r="X819" s="194">
        <f>IFERROR(IF(INDEX([1]Pivot!$AD$1:$BE$65000,$B819,X$5)=1,1,IF(INDEX([1]Pivot!$B$1:$AB$65000,$B819,X$5)="",2,0)),0)</f>
        <v>0</v>
      </c>
      <c r="Y819" s="194">
        <f>IFERROR(IF(INDEX([1]Pivot!$AD$1:$BE$65000,$B819,Y$5)=1,1,IF(INDEX([1]Pivot!$B$1:$AB$65000,$B819,Y$5)="",2,0)),0)</f>
        <v>0</v>
      </c>
      <c r="Z819" s="194">
        <f>IFERROR(IF(INDEX([1]Pivot!$AD$1:$BE$65000,$B819,Z$5)=1,1,IF(INDEX([1]Pivot!$B$1:$AB$65000,$B819,Z$5)="",2,0)),0)</f>
        <v>0</v>
      </c>
      <c r="AA819" s="194">
        <f>IFERROR(IF(INDEX([1]Pivot!$AD$1:$BE$65000,$B819,AA$5)=1,1,IF(INDEX([1]Pivot!$B$1:$AB$65000,$B819,AA$5)="",2,0)),0)</f>
        <v>0</v>
      </c>
      <c r="AB819" s="194">
        <f>IFERROR(IF(INDEX([1]Pivot!$AD$1:$BE$65000,$B819,AB$5)=1,1,IF(INDEX([1]Pivot!$B$1:$AB$65000,$B819,AB$5)="",2,0)),0)</f>
        <v>0</v>
      </c>
      <c r="AC819" s="194">
        <f>IFERROR(IF(INDEX([1]Pivot!$AD$1:$BE$65000,$B819,AC$5)=1,1,IF(INDEX([1]Pivot!$B$1:$AB$65000,$B819,AC$5)="",2,0)),0)</f>
        <v>0</v>
      </c>
      <c r="AD819" s="313">
        <f>IFERROR(IF(INDEX([1]Pivot!$BF$1:$CG$65000,$B819,AD$5)=1,1,IF(INDEX([1]Pivot!$B$1:$AB$65000,$B819,AD$5)="",2,0)),0)</f>
        <v>0</v>
      </c>
      <c r="AE819" s="313">
        <f>IFERROR(IF(INDEX([1]Pivot!$BF$1:$CG$65000,$B819,AE$5)=1,1,IF(INDEX([1]Pivot!$B$1:$AB$65000,$B819,AE$5)="",2,0)),0)</f>
        <v>0</v>
      </c>
      <c r="AF819" s="313">
        <f>IFERROR(IF(INDEX([1]Pivot!$BF$1:$CG$65000,$B819,AF$5)=1,1,IF(INDEX([1]Pivot!$B$1:$AB$65000,$B819,AF$5)="",2,0)),0)</f>
        <v>0</v>
      </c>
      <c r="AG819" s="313">
        <f>IFERROR(IF(INDEX([1]Pivot!$BF$1:$CG$65000,$B819,AG$5)=1,1,IF(INDEX([1]Pivot!$B$1:$AB$65000,$B819,AG$5)="",2,0)),0)</f>
        <v>0</v>
      </c>
      <c r="AH819" s="313">
        <f>IFERROR(IF(INDEX([1]Pivot!$BF$1:$CG$65000,$B819,AH$5)=1,1,IF(INDEX([1]Pivot!$B$1:$AB$65000,$B819,AH$5)="",2,0)),0)</f>
        <v>0</v>
      </c>
      <c r="AI819" s="313">
        <f>IFERROR(IF(INDEX([1]Pivot!$BF$1:$CG$65000,$B819,AI$5)=1,1,IF(INDEX([1]Pivot!$B$1:$AB$65000,$B819,AI$5)="",2,0)),0)</f>
        <v>0</v>
      </c>
      <c r="AJ819" s="313">
        <f>IFERROR(IF(INDEX([1]Pivot!$BF$1:$CG$65000,$B819,AJ$5)=1,1,IF(INDEX([1]Pivot!$B$1:$AB$65000,$B819,AJ$5)="",2,0)),0)</f>
        <v>0</v>
      </c>
      <c r="AK819" s="313">
        <f>IFERROR(IF(INDEX([1]Pivot!$BF$1:$CG$65000,$B819,AK$5)=1,1,IF(INDEX([1]Pivot!$B$1:$AB$65000,$B819,AK$5)="",2,0)),0)</f>
        <v>0</v>
      </c>
      <c r="AL819" s="313">
        <f>IFERROR(IF(INDEX([1]Pivot!$BF$1:$CG$65000,$B819,AL$5)=1,1,IF(INDEX([1]Pivot!$B$1:$AB$65000,$B819,AL$5)="",2,0)),0)</f>
        <v>0</v>
      </c>
      <c r="AM819" s="313">
        <f>IFERROR(IF(INDEX([1]Pivot!$BF$1:$CG$65000,$B819,AM$5)=1,1,IF(INDEX([1]Pivot!$B$1:$AB$65000,$B819,AM$5)="",2,0)),0)</f>
        <v>0</v>
      </c>
      <c r="AN819" s="313">
        <f>IFERROR(IF(INDEX([1]Pivot!$BF$1:$CG$65000,$B819,AN$5)=1,1,IF(INDEX([1]Pivot!$B$1:$AB$65000,$B819,AN$5)="",2,0)),0)</f>
        <v>0</v>
      </c>
      <c r="AO819" s="313">
        <f>IFERROR(IF(INDEX([1]Pivot!$BF$1:$CG$65000,$B819,AO$5)=1,1,IF(INDEX([1]Pivot!$B$1:$AB$65000,$B819,AO$5)="",2,0)),0)</f>
        <v>0</v>
      </c>
      <c r="AP819" s="313">
        <f>IFERROR(IF(INDEX([1]Pivot!$BF$1:$CG$65000,$B819,AP$5)=1,1,IF(INDEX([1]Pivot!$B$1:$AB$65000,$B819,AP$5)="",2,0)),0)</f>
        <v>0</v>
      </c>
      <c r="AQ819" s="313">
        <f>IFERROR(IF(INDEX([1]Pivot!$BF$1:$CG$65000,$B819,AQ$5)=1,1,IF(INDEX([1]Pivot!$B$1:$AB$65000,$B819,AQ$5)="",2,0)),0)</f>
        <v>0</v>
      </c>
      <c r="AR819" s="313">
        <f>IFERROR(IF(INDEX([1]Pivot!$BF$1:$CG$65000,$B819,AR$5)=1,1,IF(INDEX([1]Pivot!$B$1:$AB$65000,$B819,AR$5)="",2,0)),0)</f>
        <v>0</v>
      </c>
      <c r="AS819" s="312"/>
      <c r="AT819" s="313">
        <f>IFERROR(IF(INDEX([1]Pivot!$BF$1:$CG$65000,$B819,AT$5)=1,1,IF(INDEX([1]Pivot!$B$1:$AB$65000,$B819,AT$5)="",2,0)),0)</f>
        <v>0</v>
      </c>
      <c r="AU819" s="313">
        <f>IFERROR(IF(INDEX([1]Pivot!$BF$1:$CG$65000,$B819,AU$5)=1,1,IF(INDEX([1]Pivot!$B$1:$AB$65000,$B819,AU$5)="",2,0)),0)</f>
        <v>0</v>
      </c>
      <c r="AV819" s="313">
        <f>IFERROR(IF(INDEX([1]Pivot!$BF$1:$CG$65000,$B819,AV$5)=1,1,IF(INDEX([1]Pivot!$B$1:$AB$65000,$B819,AV$5)="",2,0)),0)</f>
        <v>0</v>
      </c>
      <c r="AW819" s="313">
        <f>IFERROR(IF(INDEX([1]Pivot!$BF$1:$CG$65000,$B819,AW$5)=1,1,IF(INDEX([1]Pivot!$B$1:$AB$65000,$B819,AW$5)="",2,0)),0)</f>
        <v>0</v>
      </c>
      <c r="AX819" s="313">
        <f>IFERROR(IF(INDEX([1]Pivot!$BF$1:$CG$65000,$B819,AX$5)=1,1,IF(INDEX([1]Pivot!$B$1:$AB$65000,$B819,AX$5)="",2,0)),0)</f>
        <v>0</v>
      </c>
      <c r="AY819" s="313">
        <f>IFERROR(IF(INDEX([1]Pivot!$BF$1:$CG$65000,$B819,AY$5)=1,1,IF(INDEX([1]Pivot!$B$1:$AB$65000,$B819,AY$5)="",2,0)),0)</f>
        <v>0</v>
      </c>
      <c r="AZ819" s="313">
        <f>IFERROR(IF(INDEX([1]Pivot!$BF$1:$CG$65000,$B819,AZ$5)=1,1,IF(INDEX([1]Pivot!$B$1:$AB$65000,$B819,AZ$5)="",2,0)),0)</f>
        <v>0</v>
      </c>
      <c r="BA819" s="313">
        <f>IFERROR(IF(INDEX([1]Pivot!$BF$1:$CG$65000,$B819,BA$5)=1,1,IF(INDEX([1]Pivot!$B$1:$AB$65000,$B819,BA$5)="",2,0)),0)</f>
        <v>0</v>
      </c>
      <c r="BB819" s="313">
        <f>IFERROR(IF(INDEX([1]Pivot!$BF$1:$CG$65000,$B819,BB$5)=1,1,IF(INDEX([1]Pivot!$B$1:$AB$65000,$B819,BB$5)="",2,0)),0)</f>
        <v>0</v>
      </c>
      <c r="BC819" s="313">
        <f>IFERROR(IF(INDEX([1]Pivot!$BF$1:$CG$65000,$B819,BC$5)=1,1,IF(INDEX([1]Pivot!$B$1:$AB$65000,$B819,BC$5)="",2,0)),0)</f>
        <v>0</v>
      </c>
      <c r="BD819" s="313">
        <f>IFERROR(IF(INDEX([1]Pivot!$BF$1:$CG$65000,$B819,BD$5)=1,1,IF(INDEX([1]Pivot!$B$1:$AB$65000,$B819,BD$5)="",2,0)),0)</f>
        <v>0</v>
      </c>
    </row>
    <row r="820" spans="1:56" x14ac:dyDescent="0.25">
      <c r="A820" s="288">
        <f>'[2]Raw Milk Prices'!A820</f>
        <v>0</v>
      </c>
      <c r="B820" s="296" t="e">
        <f>MATCH(DATE(LEFT('[2]Raw Milk Prices'!$A820,4),RIGHT('[2]Raw Milk Prices'!$A820,2),1),[1]Pivot!$A$1:$A$65000,0)</f>
        <v>#VALUE!</v>
      </c>
      <c r="C820" s="194">
        <f>IFERROR(IF(INDEX([1]Pivot!$AD$1:$BE$65000,$B820,C$5)=1,1,IF(INDEX([1]Pivot!$B$1:$AB$65000,$B820,C$5)="",2,0)),0)</f>
        <v>0</v>
      </c>
      <c r="D820" s="194">
        <f>IFERROR(IF(INDEX([1]Pivot!$AD$1:$BE$65000,$B820,D$5)=1,1,IF(INDEX([1]Pivot!$B$1:$AB$65000,$B820,D$5)="",2,0)),0)</f>
        <v>0</v>
      </c>
      <c r="E820" s="194">
        <f>IFERROR(IF(INDEX([1]Pivot!$AD$1:$BE$65000,$B820,E$5)=1,1,IF(INDEX([1]Pivot!$B$1:$AB$65000,$B820,E$5)="",2,0)),0)</f>
        <v>0</v>
      </c>
      <c r="F820" s="194">
        <f>IFERROR(IF(INDEX([1]Pivot!$AD$1:$BE$65000,$B820,F$5)=1,1,IF(INDEX([1]Pivot!$B$1:$AB$65000,$B820,F$5)="",2,0)),0)</f>
        <v>0</v>
      </c>
      <c r="G820" s="194">
        <f>IFERROR(IF(INDEX([1]Pivot!$AD$1:$BE$65000,$B820,G$5)=1,1,IF(INDEX([1]Pivot!$B$1:$AB$65000,$B820,G$5)="",2,0)),0)</f>
        <v>0</v>
      </c>
      <c r="H820" s="194">
        <f>IFERROR(IF(INDEX([1]Pivot!$AD$1:$BE$65000,$B820,H$5)=1,1,IF(INDEX([1]Pivot!$B$1:$AB$65000,$B820,H$5)="",2,0)),0)</f>
        <v>0</v>
      </c>
      <c r="I820" s="194">
        <f>IFERROR(IF(INDEX([1]Pivot!$AD$1:$BE$65000,$B820,I$5)=1,1,IF(INDEX([1]Pivot!$B$1:$AB$65000,$B820,I$5)="",2,0)),0)</f>
        <v>0</v>
      </c>
      <c r="J820" s="194">
        <f>IFERROR(IF(INDEX([1]Pivot!$AD$1:$BE$65000,$B820,J$5)=1,1,IF(INDEX([1]Pivot!$B$1:$AB$65000,$B820,J$5)="",2,0)),0)</f>
        <v>0</v>
      </c>
      <c r="K820" s="194">
        <f>IFERROR(IF(INDEX([1]Pivot!$AD$1:$BE$65000,$B820,K$5)=1,1,IF(INDEX([1]Pivot!$B$1:$AB$65000,$B820,K$5)="",2,0)),0)</f>
        <v>0</v>
      </c>
      <c r="L820" s="194">
        <f>IFERROR(IF(INDEX([1]Pivot!$AD$1:$BE$65000,$B820,L$5)=1,1,IF(INDEX([1]Pivot!$B$1:$AB$65000,$B820,L$5)="",2,0)),0)</f>
        <v>0</v>
      </c>
      <c r="M820" s="194">
        <f>IFERROR(IF(INDEX([1]Pivot!$AD$1:$BE$65000,$B820,M$5)=1,1,IF(INDEX([1]Pivot!$B$1:$AB$65000,$B820,M$5)="",2,0)),0)</f>
        <v>0</v>
      </c>
      <c r="N820" s="194">
        <f>IFERROR(IF(INDEX([1]Pivot!$AD$1:$BE$65000,$B820,N$5)=1,1,IF(INDEX([1]Pivot!$B$1:$AB$65000,$B820,N$5)="",2,0)),0)</f>
        <v>0</v>
      </c>
      <c r="O820" s="194">
        <f>IFERROR(IF(INDEX([1]Pivot!$AD$1:$BE$65000,$B820,O$5)=1,1,IF(INDEX([1]Pivot!$B$1:$AB$65000,$B820,O$5)="",2,0)),0)</f>
        <v>0</v>
      </c>
      <c r="P820" s="194">
        <f>IFERROR(IF(INDEX([1]Pivot!$AD$1:$BE$65000,$B820,P$5)=1,1,IF(INDEX([1]Pivot!$B$1:$AB$65000,$B820,P$5)="",2,0)),0)</f>
        <v>0</v>
      </c>
      <c r="Q820" s="194">
        <f>IFERROR(IF(INDEX([1]Pivot!$AD$1:$BE$65000,$B820,Q$5)=1,1,IF(INDEX([1]Pivot!$B$1:$AB$65000,$B820,Q$5)="",2,0)),0)</f>
        <v>0</v>
      </c>
      <c r="R820" s="312"/>
      <c r="S820" s="194">
        <f>IFERROR(IF(INDEX([1]Pivot!$AD$1:$BE$65000,$B820,S$5)=1,1,IF(INDEX([1]Pivot!$B$1:$AB$65000,$B820,S$5)="",2,0)),0)</f>
        <v>0</v>
      </c>
      <c r="T820" s="194">
        <f>IFERROR(IF(INDEX([1]Pivot!$AD$1:$BE$65000,$B820,T$5)=1,1,IF(INDEX([1]Pivot!$B$1:$AB$65000,$B820,T$5)="",2,0)),0)</f>
        <v>0</v>
      </c>
      <c r="U820" s="194">
        <f>IFERROR(IF(INDEX([1]Pivot!$AD$1:$BE$65000,$B820,U$5)=1,1,IF(INDEX([1]Pivot!$B$1:$AB$65000,$B820,U$5)="",2,0)),0)</f>
        <v>0</v>
      </c>
      <c r="V820" s="194">
        <f>IFERROR(IF(INDEX([1]Pivot!$AD$1:$BE$65000,$B820,V$5)=1,1,IF(INDEX([1]Pivot!$B$1:$AB$65000,$B820,V$5)="",2,0)),0)</f>
        <v>0</v>
      </c>
      <c r="W820" s="194">
        <f>IFERROR(IF(INDEX([1]Pivot!$AD$1:$BE$65000,$B820,W$5)=1,1,IF(INDEX([1]Pivot!$B$1:$AB$65000,$B820,W$5)="",2,0)),0)</f>
        <v>0</v>
      </c>
      <c r="X820" s="194">
        <f>IFERROR(IF(INDEX([1]Pivot!$AD$1:$BE$65000,$B820,X$5)=1,1,IF(INDEX([1]Pivot!$B$1:$AB$65000,$B820,X$5)="",2,0)),0)</f>
        <v>0</v>
      </c>
      <c r="Y820" s="194">
        <f>IFERROR(IF(INDEX([1]Pivot!$AD$1:$BE$65000,$B820,Y$5)=1,1,IF(INDEX([1]Pivot!$B$1:$AB$65000,$B820,Y$5)="",2,0)),0)</f>
        <v>0</v>
      </c>
      <c r="Z820" s="194">
        <f>IFERROR(IF(INDEX([1]Pivot!$AD$1:$BE$65000,$B820,Z$5)=1,1,IF(INDEX([1]Pivot!$B$1:$AB$65000,$B820,Z$5)="",2,0)),0)</f>
        <v>0</v>
      </c>
      <c r="AA820" s="194">
        <f>IFERROR(IF(INDEX([1]Pivot!$AD$1:$BE$65000,$B820,AA$5)=1,1,IF(INDEX([1]Pivot!$B$1:$AB$65000,$B820,AA$5)="",2,0)),0)</f>
        <v>0</v>
      </c>
      <c r="AB820" s="194">
        <f>IFERROR(IF(INDEX([1]Pivot!$AD$1:$BE$65000,$B820,AB$5)=1,1,IF(INDEX([1]Pivot!$B$1:$AB$65000,$B820,AB$5)="",2,0)),0)</f>
        <v>0</v>
      </c>
      <c r="AC820" s="194">
        <f>IFERROR(IF(INDEX([1]Pivot!$AD$1:$BE$65000,$B820,AC$5)=1,1,IF(INDEX([1]Pivot!$B$1:$AB$65000,$B820,AC$5)="",2,0)),0)</f>
        <v>0</v>
      </c>
      <c r="AD820" s="313">
        <f>IFERROR(IF(INDEX([1]Pivot!$BF$1:$CG$65000,$B820,AD$5)=1,1,IF(INDEX([1]Pivot!$B$1:$AB$65000,$B820,AD$5)="",2,0)),0)</f>
        <v>0</v>
      </c>
      <c r="AE820" s="313">
        <f>IFERROR(IF(INDEX([1]Pivot!$BF$1:$CG$65000,$B820,AE$5)=1,1,IF(INDEX([1]Pivot!$B$1:$AB$65000,$B820,AE$5)="",2,0)),0)</f>
        <v>0</v>
      </c>
      <c r="AF820" s="313">
        <f>IFERROR(IF(INDEX([1]Pivot!$BF$1:$CG$65000,$B820,AF$5)=1,1,IF(INDEX([1]Pivot!$B$1:$AB$65000,$B820,AF$5)="",2,0)),0)</f>
        <v>0</v>
      </c>
      <c r="AG820" s="313">
        <f>IFERROR(IF(INDEX([1]Pivot!$BF$1:$CG$65000,$B820,AG$5)=1,1,IF(INDEX([1]Pivot!$B$1:$AB$65000,$B820,AG$5)="",2,0)),0)</f>
        <v>0</v>
      </c>
      <c r="AH820" s="313">
        <f>IFERROR(IF(INDEX([1]Pivot!$BF$1:$CG$65000,$B820,AH$5)=1,1,IF(INDEX([1]Pivot!$B$1:$AB$65000,$B820,AH$5)="",2,0)),0)</f>
        <v>0</v>
      </c>
      <c r="AI820" s="313">
        <f>IFERROR(IF(INDEX([1]Pivot!$BF$1:$CG$65000,$B820,AI$5)=1,1,IF(INDEX([1]Pivot!$B$1:$AB$65000,$B820,AI$5)="",2,0)),0)</f>
        <v>0</v>
      </c>
      <c r="AJ820" s="313">
        <f>IFERROR(IF(INDEX([1]Pivot!$BF$1:$CG$65000,$B820,AJ$5)=1,1,IF(INDEX([1]Pivot!$B$1:$AB$65000,$B820,AJ$5)="",2,0)),0)</f>
        <v>0</v>
      </c>
      <c r="AK820" s="313">
        <f>IFERROR(IF(INDEX([1]Pivot!$BF$1:$CG$65000,$B820,AK$5)=1,1,IF(INDEX([1]Pivot!$B$1:$AB$65000,$B820,AK$5)="",2,0)),0)</f>
        <v>0</v>
      </c>
      <c r="AL820" s="313">
        <f>IFERROR(IF(INDEX([1]Pivot!$BF$1:$CG$65000,$B820,AL$5)=1,1,IF(INDEX([1]Pivot!$B$1:$AB$65000,$B820,AL$5)="",2,0)),0)</f>
        <v>0</v>
      </c>
      <c r="AM820" s="313">
        <f>IFERROR(IF(INDEX([1]Pivot!$BF$1:$CG$65000,$B820,AM$5)=1,1,IF(INDEX([1]Pivot!$B$1:$AB$65000,$B820,AM$5)="",2,0)),0)</f>
        <v>0</v>
      </c>
      <c r="AN820" s="313">
        <f>IFERROR(IF(INDEX([1]Pivot!$BF$1:$CG$65000,$B820,AN$5)=1,1,IF(INDEX([1]Pivot!$B$1:$AB$65000,$B820,AN$5)="",2,0)),0)</f>
        <v>0</v>
      </c>
      <c r="AO820" s="313">
        <f>IFERROR(IF(INDEX([1]Pivot!$BF$1:$CG$65000,$B820,AO$5)=1,1,IF(INDEX([1]Pivot!$B$1:$AB$65000,$B820,AO$5)="",2,0)),0)</f>
        <v>0</v>
      </c>
      <c r="AP820" s="313">
        <f>IFERROR(IF(INDEX([1]Pivot!$BF$1:$CG$65000,$B820,AP$5)=1,1,IF(INDEX([1]Pivot!$B$1:$AB$65000,$B820,AP$5)="",2,0)),0)</f>
        <v>0</v>
      </c>
      <c r="AQ820" s="313">
        <f>IFERROR(IF(INDEX([1]Pivot!$BF$1:$CG$65000,$B820,AQ$5)=1,1,IF(INDEX([1]Pivot!$B$1:$AB$65000,$B820,AQ$5)="",2,0)),0)</f>
        <v>0</v>
      </c>
      <c r="AR820" s="313">
        <f>IFERROR(IF(INDEX([1]Pivot!$BF$1:$CG$65000,$B820,AR$5)=1,1,IF(INDEX([1]Pivot!$B$1:$AB$65000,$B820,AR$5)="",2,0)),0)</f>
        <v>0</v>
      </c>
      <c r="AS820" s="312"/>
      <c r="AT820" s="313">
        <f>IFERROR(IF(INDEX([1]Pivot!$BF$1:$CG$65000,$B820,AT$5)=1,1,IF(INDEX([1]Pivot!$B$1:$AB$65000,$B820,AT$5)="",2,0)),0)</f>
        <v>0</v>
      </c>
      <c r="AU820" s="313">
        <f>IFERROR(IF(INDEX([1]Pivot!$BF$1:$CG$65000,$B820,AU$5)=1,1,IF(INDEX([1]Pivot!$B$1:$AB$65000,$B820,AU$5)="",2,0)),0)</f>
        <v>0</v>
      </c>
      <c r="AV820" s="313">
        <f>IFERROR(IF(INDEX([1]Pivot!$BF$1:$CG$65000,$B820,AV$5)=1,1,IF(INDEX([1]Pivot!$B$1:$AB$65000,$B820,AV$5)="",2,0)),0)</f>
        <v>0</v>
      </c>
      <c r="AW820" s="313">
        <f>IFERROR(IF(INDEX([1]Pivot!$BF$1:$CG$65000,$B820,AW$5)=1,1,IF(INDEX([1]Pivot!$B$1:$AB$65000,$B820,AW$5)="",2,0)),0)</f>
        <v>0</v>
      </c>
      <c r="AX820" s="313">
        <f>IFERROR(IF(INDEX([1]Pivot!$BF$1:$CG$65000,$B820,AX$5)=1,1,IF(INDEX([1]Pivot!$B$1:$AB$65000,$B820,AX$5)="",2,0)),0)</f>
        <v>0</v>
      </c>
      <c r="AY820" s="313">
        <f>IFERROR(IF(INDEX([1]Pivot!$BF$1:$CG$65000,$B820,AY$5)=1,1,IF(INDEX([1]Pivot!$B$1:$AB$65000,$B820,AY$5)="",2,0)),0)</f>
        <v>0</v>
      </c>
      <c r="AZ820" s="313">
        <f>IFERROR(IF(INDEX([1]Pivot!$BF$1:$CG$65000,$B820,AZ$5)=1,1,IF(INDEX([1]Pivot!$B$1:$AB$65000,$B820,AZ$5)="",2,0)),0)</f>
        <v>0</v>
      </c>
      <c r="BA820" s="313">
        <f>IFERROR(IF(INDEX([1]Pivot!$BF$1:$CG$65000,$B820,BA$5)=1,1,IF(INDEX([1]Pivot!$B$1:$AB$65000,$B820,BA$5)="",2,0)),0)</f>
        <v>0</v>
      </c>
      <c r="BB820" s="313">
        <f>IFERROR(IF(INDEX([1]Pivot!$BF$1:$CG$65000,$B820,BB$5)=1,1,IF(INDEX([1]Pivot!$B$1:$AB$65000,$B820,BB$5)="",2,0)),0)</f>
        <v>0</v>
      </c>
      <c r="BC820" s="313">
        <f>IFERROR(IF(INDEX([1]Pivot!$BF$1:$CG$65000,$B820,BC$5)=1,1,IF(INDEX([1]Pivot!$B$1:$AB$65000,$B820,BC$5)="",2,0)),0)</f>
        <v>0</v>
      </c>
      <c r="BD820" s="313">
        <f>IFERROR(IF(INDEX([1]Pivot!$BF$1:$CG$65000,$B820,BD$5)=1,1,IF(INDEX([1]Pivot!$B$1:$AB$65000,$B820,BD$5)="",2,0)),0)</f>
        <v>0</v>
      </c>
    </row>
    <row r="821" spans="1:56" x14ac:dyDescent="0.25">
      <c r="A821" s="288">
        <f>'[2]Raw Milk Prices'!A821</f>
        <v>0</v>
      </c>
      <c r="B821" s="296" t="e">
        <f>MATCH(DATE(LEFT('[2]Raw Milk Prices'!$A821,4),RIGHT('[2]Raw Milk Prices'!$A821,2),1),[1]Pivot!$A$1:$A$65000,0)</f>
        <v>#VALUE!</v>
      </c>
      <c r="C821" s="194">
        <f>IFERROR(IF(INDEX([1]Pivot!$AD$1:$BE$65000,$B821,C$5)=1,1,IF(INDEX([1]Pivot!$B$1:$AB$65000,$B821,C$5)="",2,0)),0)</f>
        <v>0</v>
      </c>
      <c r="D821" s="194">
        <f>IFERROR(IF(INDEX([1]Pivot!$AD$1:$BE$65000,$B821,D$5)=1,1,IF(INDEX([1]Pivot!$B$1:$AB$65000,$B821,D$5)="",2,0)),0)</f>
        <v>0</v>
      </c>
      <c r="E821" s="194">
        <f>IFERROR(IF(INDEX([1]Pivot!$AD$1:$BE$65000,$B821,E$5)=1,1,IF(INDEX([1]Pivot!$B$1:$AB$65000,$B821,E$5)="",2,0)),0)</f>
        <v>0</v>
      </c>
      <c r="F821" s="194">
        <f>IFERROR(IF(INDEX([1]Pivot!$AD$1:$BE$65000,$B821,F$5)=1,1,IF(INDEX([1]Pivot!$B$1:$AB$65000,$B821,F$5)="",2,0)),0)</f>
        <v>0</v>
      </c>
      <c r="G821" s="194">
        <f>IFERROR(IF(INDEX([1]Pivot!$AD$1:$BE$65000,$B821,G$5)=1,1,IF(INDEX([1]Pivot!$B$1:$AB$65000,$B821,G$5)="",2,0)),0)</f>
        <v>0</v>
      </c>
      <c r="H821" s="194">
        <f>IFERROR(IF(INDEX([1]Pivot!$AD$1:$BE$65000,$B821,H$5)=1,1,IF(INDEX([1]Pivot!$B$1:$AB$65000,$B821,H$5)="",2,0)),0)</f>
        <v>0</v>
      </c>
      <c r="I821" s="194">
        <f>IFERROR(IF(INDEX([1]Pivot!$AD$1:$BE$65000,$B821,I$5)=1,1,IF(INDEX([1]Pivot!$B$1:$AB$65000,$B821,I$5)="",2,0)),0)</f>
        <v>0</v>
      </c>
      <c r="J821" s="194">
        <f>IFERROR(IF(INDEX([1]Pivot!$AD$1:$BE$65000,$B821,J$5)=1,1,IF(INDEX([1]Pivot!$B$1:$AB$65000,$B821,J$5)="",2,0)),0)</f>
        <v>0</v>
      </c>
      <c r="K821" s="194">
        <f>IFERROR(IF(INDEX([1]Pivot!$AD$1:$BE$65000,$B821,K$5)=1,1,IF(INDEX([1]Pivot!$B$1:$AB$65000,$B821,K$5)="",2,0)),0)</f>
        <v>0</v>
      </c>
      <c r="L821" s="194">
        <f>IFERROR(IF(INDEX([1]Pivot!$AD$1:$BE$65000,$B821,L$5)=1,1,IF(INDEX([1]Pivot!$B$1:$AB$65000,$B821,L$5)="",2,0)),0)</f>
        <v>0</v>
      </c>
      <c r="M821" s="194">
        <f>IFERROR(IF(INDEX([1]Pivot!$AD$1:$BE$65000,$B821,M$5)=1,1,IF(INDEX([1]Pivot!$B$1:$AB$65000,$B821,M$5)="",2,0)),0)</f>
        <v>0</v>
      </c>
      <c r="N821" s="194">
        <f>IFERROR(IF(INDEX([1]Pivot!$AD$1:$BE$65000,$B821,N$5)=1,1,IF(INDEX([1]Pivot!$B$1:$AB$65000,$B821,N$5)="",2,0)),0)</f>
        <v>0</v>
      </c>
      <c r="O821" s="194">
        <f>IFERROR(IF(INDEX([1]Pivot!$AD$1:$BE$65000,$B821,O$5)=1,1,IF(INDEX([1]Pivot!$B$1:$AB$65000,$B821,O$5)="",2,0)),0)</f>
        <v>0</v>
      </c>
      <c r="P821" s="194">
        <f>IFERROR(IF(INDEX([1]Pivot!$AD$1:$BE$65000,$B821,P$5)=1,1,IF(INDEX([1]Pivot!$B$1:$AB$65000,$B821,P$5)="",2,0)),0)</f>
        <v>0</v>
      </c>
      <c r="Q821" s="194">
        <f>IFERROR(IF(INDEX([1]Pivot!$AD$1:$BE$65000,$B821,Q$5)=1,1,IF(INDEX([1]Pivot!$B$1:$AB$65000,$B821,Q$5)="",2,0)),0)</f>
        <v>0</v>
      </c>
      <c r="R821" s="312"/>
      <c r="S821" s="194">
        <f>IFERROR(IF(INDEX([1]Pivot!$AD$1:$BE$65000,$B821,S$5)=1,1,IF(INDEX([1]Pivot!$B$1:$AB$65000,$B821,S$5)="",2,0)),0)</f>
        <v>0</v>
      </c>
      <c r="T821" s="194">
        <f>IFERROR(IF(INDEX([1]Pivot!$AD$1:$BE$65000,$B821,T$5)=1,1,IF(INDEX([1]Pivot!$B$1:$AB$65000,$B821,T$5)="",2,0)),0)</f>
        <v>0</v>
      </c>
      <c r="U821" s="194">
        <f>IFERROR(IF(INDEX([1]Pivot!$AD$1:$BE$65000,$B821,U$5)=1,1,IF(INDEX([1]Pivot!$B$1:$AB$65000,$B821,U$5)="",2,0)),0)</f>
        <v>0</v>
      </c>
      <c r="V821" s="194">
        <f>IFERROR(IF(INDEX([1]Pivot!$AD$1:$BE$65000,$B821,V$5)=1,1,IF(INDEX([1]Pivot!$B$1:$AB$65000,$B821,V$5)="",2,0)),0)</f>
        <v>0</v>
      </c>
      <c r="W821" s="194">
        <f>IFERROR(IF(INDEX([1]Pivot!$AD$1:$BE$65000,$B821,W$5)=1,1,IF(INDEX([1]Pivot!$B$1:$AB$65000,$B821,W$5)="",2,0)),0)</f>
        <v>0</v>
      </c>
      <c r="X821" s="194">
        <f>IFERROR(IF(INDEX([1]Pivot!$AD$1:$BE$65000,$B821,X$5)=1,1,IF(INDEX([1]Pivot!$B$1:$AB$65000,$B821,X$5)="",2,0)),0)</f>
        <v>0</v>
      </c>
      <c r="Y821" s="194">
        <f>IFERROR(IF(INDEX([1]Pivot!$AD$1:$BE$65000,$B821,Y$5)=1,1,IF(INDEX([1]Pivot!$B$1:$AB$65000,$B821,Y$5)="",2,0)),0)</f>
        <v>0</v>
      </c>
      <c r="Z821" s="194">
        <f>IFERROR(IF(INDEX([1]Pivot!$AD$1:$BE$65000,$B821,Z$5)=1,1,IF(INDEX([1]Pivot!$B$1:$AB$65000,$B821,Z$5)="",2,0)),0)</f>
        <v>0</v>
      </c>
      <c r="AA821" s="194">
        <f>IFERROR(IF(INDEX([1]Pivot!$AD$1:$BE$65000,$B821,AA$5)=1,1,IF(INDEX([1]Pivot!$B$1:$AB$65000,$B821,AA$5)="",2,0)),0)</f>
        <v>0</v>
      </c>
      <c r="AB821" s="194">
        <f>IFERROR(IF(INDEX([1]Pivot!$AD$1:$BE$65000,$B821,AB$5)=1,1,IF(INDEX([1]Pivot!$B$1:$AB$65000,$B821,AB$5)="",2,0)),0)</f>
        <v>0</v>
      </c>
      <c r="AC821" s="194">
        <f>IFERROR(IF(INDEX([1]Pivot!$AD$1:$BE$65000,$B821,AC$5)=1,1,IF(INDEX([1]Pivot!$B$1:$AB$65000,$B821,AC$5)="",2,0)),0)</f>
        <v>0</v>
      </c>
      <c r="AD821" s="313">
        <f>IFERROR(IF(INDEX([1]Pivot!$BF$1:$CG$65000,$B821,AD$5)=1,1,IF(INDEX([1]Pivot!$B$1:$AB$65000,$B821,AD$5)="",2,0)),0)</f>
        <v>0</v>
      </c>
      <c r="AE821" s="313">
        <f>IFERROR(IF(INDEX([1]Pivot!$BF$1:$CG$65000,$B821,AE$5)=1,1,IF(INDEX([1]Pivot!$B$1:$AB$65000,$B821,AE$5)="",2,0)),0)</f>
        <v>0</v>
      </c>
      <c r="AF821" s="313">
        <f>IFERROR(IF(INDEX([1]Pivot!$BF$1:$CG$65000,$B821,AF$5)=1,1,IF(INDEX([1]Pivot!$B$1:$AB$65000,$B821,AF$5)="",2,0)),0)</f>
        <v>0</v>
      </c>
      <c r="AG821" s="313">
        <f>IFERROR(IF(INDEX([1]Pivot!$BF$1:$CG$65000,$B821,AG$5)=1,1,IF(INDEX([1]Pivot!$B$1:$AB$65000,$B821,AG$5)="",2,0)),0)</f>
        <v>0</v>
      </c>
      <c r="AH821" s="313">
        <f>IFERROR(IF(INDEX([1]Pivot!$BF$1:$CG$65000,$B821,AH$5)=1,1,IF(INDEX([1]Pivot!$B$1:$AB$65000,$B821,AH$5)="",2,0)),0)</f>
        <v>0</v>
      </c>
      <c r="AI821" s="313">
        <f>IFERROR(IF(INDEX([1]Pivot!$BF$1:$CG$65000,$B821,AI$5)=1,1,IF(INDEX([1]Pivot!$B$1:$AB$65000,$B821,AI$5)="",2,0)),0)</f>
        <v>0</v>
      </c>
      <c r="AJ821" s="313">
        <f>IFERROR(IF(INDEX([1]Pivot!$BF$1:$CG$65000,$B821,AJ$5)=1,1,IF(INDEX([1]Pivot!$B$1:$AB$65000,$B821,AJ$5)="",2,0)),0)</f>
        <v>0</v>
      </c>
      <c r="AK821" s="313">
        <f>IFERROR(IF(INDEX([1]Pivot!$BF$1:$CG$65000,$B821,AK$5)=1,1,IF(INDEX([1]Pivot!$B$1:$AB$65000,$B821,AK$5)="",2,0)),0)</f>
        <v>0</v>
      </c>
      <c r="AL821" s="313">
        <f>IFERROR(IF(INDEX([1]Pivot!$BF$1:$CG$65000,$B821,AL$5)=1,1,IF(INDEX([1]Pivot!$B$1:$AB$65000,$B821,AL$5)="",2,0)),0)</f>
        <v>0</v>
      </c>
      <c r="AM821" s="313">
        <f>IFERROR(IF(INDEX([1]Pivot!$BF$1:$CG$65000,$B821,AM$5)=1,1,IF(INDEX([1]Pivot!$B$1:$AB$65000,$B821,AM$5)="",2,0)),0)</f>
        <v>0</v>
      </c>
      <c r="AN821" s="313">
        <f>IFERROR(IF(INDEX([1]Pivot!$BF$1:$CG$65000,$B821,AN$5)=1,1,IF(INDEX([1]Pivot!$B$1:$AB$65000,$B821,AN$5)="",2,0)),0)</f>
        <v>0</v>
      </c>
      <c r="AO821" s="313">
        <f>IFERROR(IF(INDEX([1]Pivot!$BF$1:$CG$65000,$B821,AO$5)=1,1,IF(INDEX([1]Pivot!$B$1:$AB$65000,$B821,AO$5)="",2,0)),0)</f>
        <v>0</v>
      </c>
      <c r="AP821" s="313">
        <f>IFERROR(IF(INDEX([1]Pivot!$BF$1:$CG$65000,$B821,AP$5)=1,1,IF(INDEX([1]Pivot!$B$1:$AB$65000,$B821,AP$5)="",2,0)),0)</f>
        <v>0</v>
      </c>
      <c r="AQ821" s="313">
        <f>IFERROR(IF(INDEX([1]Pivot!$BF$1:$CG$65000,$B821,AQ$5)=1,1,IF(INDEX([1]Pivot!$B$1:$AB$65000,$B821,AQ$5)="",2,0)),0)</f>
        <v>0</v>
      </c>
      <c r="AR821" s="313">
        <f>IFERROR(IF(INDEX([1]Pivot!$BF$1:$CG$65000,$B821,AR$5)=1,1,IF(INDEX([1]Pivot!$B$1:$AB$65000,$B821,AR$5)="",2,0)),0)</f>
        <v>0</v>
      </c>
      <c r="AS821" s="312"/>
      <c r="AT821" s="313">
        <f>IFERROR(IF(INDEX([1]Pivot!$BF$1:$CG$65000,$B821,AT$5)=1,1,IF(INDEX([1]Pivot!$B$1:$AB$65000,$B821,AT$5)="",2,0)),0)</f>
        <v>0</v>
      </c>
      <c r="AU821" s="313">
        <f>IFERROR(IF(INDEX([1]Pivot!$BF$1:$CG$65000,$B821,AU$5)=1,1,IF(INDEX([1]Pivot!$B$1:$AB$65000,$B821,AU$5)="",2,0)),0)</f>
        <v>0</v>
      </c>
      <c r="AV821" s="313">
        <f>IFERROR(IF(INDEX([1]Pivot!$BF$1:$CG$65000,$B821,AV$5)=1,1,IF(INDEX([1]Pivot!$B$1:$AB$65000,$B821,AV$5)="",2,0)),0)</f>
        <v>0</v>
      </c>
      <c r="AW821" s="313">
        <f>IFERROR(IF(INDEX([1]Pivot!$BF$1:$CG$65000,$B821,AW$5)=1,1,IF(INDEX([1]Pivot!$B$1:$AB$65000,$B821,AW$5)="",2,0)),0)</f>
        <v>0</v>
      </c>
      <c r="AX821" s="313">
        <f>IFERROR(IF(INDEX([1]Pivot!$BF$1:$CG$65000,$B821,AX$5)=1,1,IF(INDEX([1]Pivot!$B$1:$AB$65000,$B821,AX$5)="",2,0)),0)</f>
        <v>0</v>
      </c>
      <c r="AY821" s="313">
        <f>IFERROR(IF(INDEX([1]Pivot!$BF$1:$CG$65000,$B821,AY$5)=1,1,IF(INDEX([1]Pivot!$B$1:$AB$65000,$B821,AY$5)="",2,0)),0)</f>
        <v>0</v>
      </c>
      <c r="AZ821" s="313">
        <f>IFERROR(IF(INDEX([1]Pivot!$BF$1:$CG$65000,$B821,AZ$5)=1,1,IF(INDEX([1]Pivot!$B$1:$AB$65000,$B821,AZ$5)="",2,0)),0)</f>
        <v>0</v>
      </c>
      <c r="BA821" s="313">
        <f>IFERROR(IF(INDEX([1]Pivot!$BF$1:$CG$65000,$B821,BA$5)=1,1,IF(INDEX([1]Pivot!$B$1:$AB$65000,$B821,BA$5)="",2,0)),0)</f>
        <v>0</v>
      </c>
      <c r="BB821" s="313">
        <f>IFERROR(IF(INDEX([1]Pivot!$BF$1:$CG$65000,$B821,BB$5)=1,1,IF(INDEX([1]Pivot!$B$1:$AB$65000,$B821,BB$5)="",2,0)),0)</f>
        <v>0</v>
      </c>
      <c r="BC821" s="313">
        <f>IFERROR(IF(INDEX([1]Pivot!$BF$1:$CG$65000,$B821,BC$5)=1,1,IF(INDEX([1]Pivot!$B$1:$AB$65000,$B821,BC$5)="",2,0)),0)</f>
        <v>0</v>
      </c>
      <c r="BD821" s="313">
        <f>IFERROR(IF(INDEX([1]Pivot!$BF$1:$CG$65000,$B821,BD$5)=1,1,IF(INDEX([1]Pivot!$B$1:$AB$65000,$B821,BD$5)="",2,0)),0)</f>
        <v>0</v>
      </c>
    </row>
    <row r="822" spans="1:56" x14ac:dyDescent="0.25">
      <c r="A822" s="288">
        <f>'[2]Raw Milk Prices'!A822</f>
        <v>0</v>
      </c>
      <c r="B822" s="296" t="e">
        <f>MATCH(DATE(LEFT('[2]Raw Milk Prices'!$A822,4),RIGHT('[2]Raw Milk Prices'!$A822,2),1),[1]Pivot!$A$1:$A$65000,0)</f>
        <v>#VALUE!</v>
      </c>
      <c r="C822" s="194">
        <f>IFERROR(IF(INDEX([1]Pivot!$AD$1:$BE$65000,$B822,C$5)=1,1,IF(INDEX([1]Pivot!$B$1:$AB$65000,$B822,C$5)="",2,0)),0)</f>
        <v>0</v>
      </c>
      <c r="D822" s="194">
        <f>IFERROR(IF(INDEX([1]Pivot!$AD$1:$BE$65000,$B822,D$5)=1,1,IF(INDEX([1]Pivot!$B$1:$AB$65000,$B822,D$5)="",2,0)),0)</f>
        <v>0</v>
      </c>
      <c r="E822" s="194">
        <f>IFERROR(IF(INDEX([1]Pivot!$AD$1:$BE$65000,$B822,E$5)=1,1,IF(INDEX([1]Pivot!$B$1:$AB$65000,$B822,E$5)="",2,0)),0)</f>
        <v>0</v>
      </c>
      <c r="F822" s="194">
        <f>IFERROR(IF(INDEX([1]Pivot!$AD$1:$BE$65000,$B822,F$5)=1,1,IF(INDEX([1]Pivot!$B$1:$AB$65000,$B822,F$5)="",2,0)),0)</f>
        <v>0</v>
      </c>
      <c r="G822" s="194">
        <f>IFERROR(IF(INDEX([1]Pivot!$AD$1:$BE$65000,$B822,G$5)=1,1,IF(INDEX([1]Pivot!$B$1:$AB$65000,$B822,G$5)="",2,0)),0)</f>
        <v>0</v>
      </c>
      <c r="H822" s="194">
        <f>IFERROR(IF(INDEX([1]Pivot!$AD$1:$BE$65000,$B822,H$5)=1,1,IF(INDEX([1]Pivot!$B$1:$AB$65000,$B822,H$5)="",2,0)),0)</f>
        <v>0</v>
      </c>
      <c r="I822" s="194">
        <f>IFERROR(IF(INDEX([1]Pivot!$AD$1:$BE$65000,$B822,I$5)=1,1,IF(INDEX([1]Pivot!$B$1:$AB$65000,$B822,I$5)="",2,0)),0)</f>
        <v>0</v>
      </c>
      <c r="J822" s="194">
        <f>IFERROR(IF(INDEX([1]Pivot!$AD$1:$BE$65000,$B822,J$5)=1,1,IF(INDEX([1]Pivot!$B$1:$AB$65000,$B822,J$5)="",2,0)),0)</f>
        <v>0</v>
      </c>
      <c r="K822" s="194">
        <f>IFERROR(IF(INDEX([1]Pivot!$AD$1:$BE$65000,$B822,K$5)=1,1,IF(INDEX([1]Pivot!$B$1:$AB$65000,$B822,K$5)="",2,0)),0)</f>
        <v>0</v>
      </c>
      <c r="L822" s="194">
        <f>IFERROR(IF(INDEX([1]Pivot!$AD$1:$BE$65000,$B822,L$5)=1,1,IF(INDEX([1]Pivot!$B$1:$AB$65000,$B822,L$5)="",2,0)),0)</f>
        <v>0</v>
      </c>
      <c r="M822" s="194">
        <f>IFERROR(IF(INDEX([1]Pivot!$AD$1:$BE$65000,$B822,M$5)=1,1,IF(INDEX([1]Pivot!$B$1:$AB$65000,$B822,M$5)="",2,0)),0)</f>
        <v>0</v>
      </c>
      <c r="N822" s="194">
        <f>IFERROR(IF(INDEX([1]Pivot!$AD$1:$BE$65000,$B822,N$5)=1,1,IF(INDEX([1]Pivot!$B$1:$AB$65000,$B822,N$5)="",2,0)),0)</f>
        <v>0</v>
      </c>
      <c r="O822" s="194">
        <f>IFERROR(IF(INDEX([1]Pivot!$AD$1:$BE$65000,$B822,O$5)=1,1,IF(INDEX([1]Pivot!$B$1:$AB$65000,$B822,O$5)="",2,0)),0)</f>
        <v>0</v>
      </c>
      <c r="P822" s="194">
        <f>IFERROR(IF(INDEX([1]Pivot!$AD$1:$BE$65000,$B822,P$5)=1,1,IF(INDEX([1]Pivot!$B$1:$AB$65000,$B822,P$5)="",2,0)),0)</f>
        <v>0</v>
      </c>
      <c r="Q822" s="194">
        <f>IFERROR(IF(INDEX([1]Pivot!$AD$1:$BE$65000,$B822,Q$5)=1,1,IF(INDEX([1]Pivot!$B$1:$AB$65000,$B822,Q$5)="",2,0)),0)</f>
        <v>0</v>
      </c>
      <c r="R822" s="312"/>
      <c r="S822" s="194">
        <f>IFERROR(IF(INDEX([1]Pivot!$AD$1:$BE$65000,$B822,S$5)=1,1,IF(INDEX([1]Pivot!$B$1:$AB$65000,$B822,S$5)="",2,0)),0)</f>
        <v>0</v>
      </c>
      <c r="T822" s="194">
        <f>IFERROR(IF(INDEX([1]Pivot!$AD$1:$BE$65000,$B822,T$5)=1,1,IF(INDEX([1]Pivot!$B$1:$AB$65000,$B822,T$5)="",2,0)),0)</f>
        <v>0</v>
      </c>
      <c r="U822" s="194">
        <f>IFERROR(IF(INDEX([1]Pivot!$AD$1:$BE$65000,$B822,U$5)=1,1,IF(INDEX([1]Pivot!$B$1:$AB$65000,$B822,U$5)="",2,0)),0)</f>
        <v>0</v>
      </c>
      <c r="V822" s="194">
        <f>IFERROR(IF(INDEX([1]Pivot!$AD$1:$BE$65000,$B822,V$5)=1,1,IF(INDEX([1]Pivot!$B$1:$AB$65000,$B822,V$5)="",2,0)),0)</f>
        <v>0</v>
      </c>
      <c r="W822" s="194">
        <f>IFERROR(IF(INDEX([1]Pivot!$AD$1:$BE$65000,$B822,W$5)=1,1,IF(INDEX([1]Pivot!$B$1:$AB$65000,$B822,W$5)="",2,0)),0)</f>
        <v>0</v>
      </c>
      <c r="X822" s="194">
        <f>IFERROR(IF(INDEX([1]Pivot!$AD$1:$BE$65000,$B822,X$5)=1,1,IF(INDEX([1]Pivot!$B$1:$AB$65000,$B822,X$5)="",2,0)),0)</f>
        <v>0</v>
      </c>
      <c r="Y822" s="194">
        <f>IFERROR(IF(INDEX([1]Pivot!$AD$1:$BE$65000,$B822,Y$5)=1,1,IF(INDEX([1]Pivot!$B$1:$AB$65000,$B822,Y$5)="",2,0)),0)</f>
        <v>0</v>
      </c>
      <c r="Z822" s="194">
        <f>IFERROR(IF(INDEX([1]Pivot!$AD$1:$BE$65000,$B822,Z$5)=1,1,IF(INDEX([1]Pivot!$B$1:$AB$65000,$B822,Z$5)="",2,0)),0)</f>
        <v>0</v>
      </c>
      <c r="AA822" s="194">
        <f>IFERROR(IF(INDEX([1]Pivot!$AD$1:$BE$65000,$B822,AA$5)=1,1,IF(INDEX([1]Pivot!$B$1:$AB$65000,$B822,AA$5)="",2,0)),0)</f>
        <v>0</v>
      </c>
      <c r="AB822" s="194">
        <f>IFERROR(IF(INDEX([1]Pivot!$AD$1:$BE$65000,$B822,AB$5)=1,1,IF(INDEX([1]Pivot!$B$1:$AB$65000,$B822,AB$5)="",2,0)),0)</f>
        <v>0</v>
      </c>
      <c r="AC822" s="194">
        <f>IFERROR(IF(INDEX([1]Pivot!$AD$1:$BE$65000,$B822,AC$5)=1,1,IF(INDEX([1]Pivot!$B$1:$AB$65000,$B822,AC$5)="",2,0)),0)</f>
        <v>0</v>
      </c>
      <c r="AD822" s="313">
        <f>IFERROR(IF(INDEX([1]Pivot!$BF$1:$CG$65000,$B822,AD$5)=1,1,IF(INDEX([1]Pivot!$B$1:$AB$65000,$B822,AD$5)="",2,0)),0)</f>
        <v>0</v>
      </c>
      <c r="AE822" s="313">
        <f>IFERROR(IF(INDEX([1]Pivot!$BF$1:$CG$65000,$B822,AE$5)=1,1,IF(INDEX([1]Pivot!$B$1:$AB$65000,$B822,AE$5)="",2,0)),0)</f>
        <v>0</v>
      </c>
      <c r="AF822" s="313">
        <f>IFERROR(IF(INDEX([1]Pivot!$BF$1:$CG$65000,$B822,AF$5)=1,1,IF(INDEX([1]Pivot!$B$1:$AB$65000,$B822,AF$5)="",2,0)),0)</f>
        <v>0</v>
      </c>
      <c r="AG822" s="313">
        <f>IFERROR(IF(INDEX([1]Pivot!$BF$1:$CG$65000,$B822,AG$5)=1,1,IF(INDEX([1]Pivot!$B$1:$AB$65000,$B822,AG$5)="",2,0)),0)</f>
        <v>0</v>
      </c>
      <c r="AH822" s="313">
        <f>IFERROR(IF(INDEX([1]Pivot!$BF$1:$CG$65000,$B822,AH$5)=1,1,IF(INDEX([1]Pivot!$B$1:$AB$65000,$B822,AH$5)="",2,0)),0)</f>
        <v>0</v>
      </c>
      <c r="AI822" s="313">
        <f>IFERROR(IF(INDEX([1]Pivot!$BF$1:$CG$65000,$B822,AI$5)=1,1,IF(INDEX([1]Pivot!$B$1:$AB$65000,$B822,AI$5)="",2,0)),0)</f>
        <v>0</v>
      </c>
      <c r="AJ822" s="313">
        <f>IFERROR(IF(INDEX([1]Pivot!$BF$1:$CG$65000,$B822,AJ$5)=1,1,IF(INDEX([1]Pivot!$B$1:$AB$65000,$B822,AJ$5)="",2,0)),0)</f>
        <v>0</v>
      </c>
      <c r="AK822" s="313">
        <f>IFERROR(IF(INDEX([1]Pivot!$BF$1:$CG$65000,$B822,AK$5)=1,1,IF(INDEX([1]Pivot!$B$1:$AB$65000,$B822,AK$5)="",2,0)),0)</f>
        <v>0</v>
      </c>
      <c r="AL822" s="313">
        <f>IFERROR(IF(INDEX([1]Pivot!$BF$1:$CG$65000,$B822,AL$5)=1,1,IF(INDEX([1]Pivot!$B$1:$AB$65000,$B822,AL$5)="",2,0)),0)</f>
        <v>0</v>
      </c>
      <c r="AM822" s="313">
        <f>IFERROR(IF(INDEX([1]Pivot!$BF$1:$CG$65000,$B822,AM$5)=1,1,IF(INDEX([1]Pivot!$B$1:$AB$65000,$B822,AM$5)="",2,0)),0)</f>
        <v>0</v>
      </c>
      <c r="AN822" s="313">
        <f>IFERROR(IF(INDEX([1]Pivot!$BF$1:$CG$65000,$B822,AN$5)=1,1,IF(INDEX([1]Pivot!$B$1:$AB$65000,$B822,AN$5)="",2,0)),0)</f>
        <v>0</v>
      </c>
      <c r="AO822" s="313">
        <f>IFERROR(IF(INDEX([1]Pivot!$BF$1:$CG$65000,$B822,AO$5)=1,1,IF(INDEX([1]Pivot!$B$1:$AB$65000,$B822,AO$5)="",2,0)),0)</f>
        <v>0</v>
      </c>
      <c r="AP822" s="313">
        <f>IFERROR(IF(INDEX([1]Pivot!$BF$1:$CG$65000,$B822,AP$5)=1,1,IF(INDEX([1]Pivot!$B$1:$AB$65000,$B822,AP$5)="",2,0)),0)</f>
        <v>0</v>
      </c>
      <c r="AQ822" s="313">
        <f>IFERROR(IF(INDEX([1]Pivot!$BF$1:$CG$65000,$B822,AQ$5)=1,1,IF(INDEX([1]Pivot!$B$1:$AB$65000,$B822,AQ$5)="",2,0)),0)</f>
        <v>0</v>
      </c>
      <c r="AR822" s="313">
        <f>IFERROR(IF(INDEX([1]Pivot!$BF$1:$CG$65000,$B822,AR$5)=1,1,IF(INDEX([1]Pivot!$B$1:$AB$65000,$B822,AR$5)="",2,0)),0)</f>
        <v>0</v>
      </c>
      <c r="AS822" s="312"/>
      <c r="AT822" s="313">
        <f>IFERROR(IF(INDEX([1]Pivot!$BF$1:$CG$65000,$B822,AT$5)=1,1,IF(INDEX([1]Pivot!$B$1:$AB$65000,$B822,AT$5)="",2,0)),0)</f>
        <v>0</v>
      </c>
      <c r="AU822" s="313">
        <f>IFERROR(IF(INDEX([1]Pivot!$BF$1:$CG$65000,$B822,AU$5)=1,1,IF(INDEX([1]Pivot!$B$1:$AB$65000,$B822,AU$5)="",2,0)),0)</f>
        <v>0</v>
      </c>
      <c r="AV822" s="313">
        <f>IFERROR(IF(INDEX([1]Pivot!$BF$1:$CG$65000,$B822,AV$5)=1,1,IF(INDEX([1]Pivot!$B$1:$AB$65000,$B822,AV$5)="",2,0)),0)</f>
        <v>0</v>
      </c>
      <c r="AW822" s="313">
        <f>IFERROR(IF(INDEX([1]Pivot!$BF$1:$CG$65000,$B822,AW$5)=1,1,IF(INDEX([1]Pivot!$B$1:$AB$65000,$B822,AW$5)="",2,0)),0)</f>
        <v>0</v>
      </c>
      <c r="AX822" s="313">
        <f>IFERROR(IF(INDEX([1]Pivot!$BF$1:$CG$65000,$B822,AX$5)=1,1,IF(INDEX([1]Pivot!$B$1:$AB$65000,$B822,AX$5)="",2,0)),0)</f>
        <v>0</v>
      </c>
      <c r="AY822" s="313">
        <f>IFERROR(IF(INDEX([1]Pivot!$BF$1:$CG$65000,$B822,AY$5)=1,1,IF(INDEX([1]Pivot!$B$1:$AB$65000,$B822,AY$5)="",2,0)),0)</f>
        <v>0</v>
      </c>
      <c r="AZ822" s="313">
        <f>IFERROR(IF(INDEX([1]Pivot!$BF$1:$CG$65000,$B822,AZ$5)=1,1,IF(INDEX([1]Pivot!$B$1:$AB$65000,$B822,AZ$5)="",2,0)),0)</f>
        <v>0</v>
      </c>
      <c r="BA822" s="313">
        <f>IFERROR(IF(INDEX([1]Pivot!$BF$1:$CG$65000,$B822,BA$5)=1,1,IF(INDEX([1]Pivot!$B$1:$AB$65000,$B822,BA$5)="",2,0)),0)</f>
        <v>0</v>
      </c>
      <c r="BB822" s="313">
        <f>IFERROR(IF(INDEX([1]Pivot!$BF$1:$CG$65000,$B822,BB$5)=1,1,IF(INDEX([1]Pivot!$B$1:$AB$65000,$B822,BB$5)="",2,0)),0)</f>
        <v>0</v>
      </c>
      <c r="BC822" s="313">
        <f>IFERROR(IF(INDEX([1]Pivot!$BF$1:$CG$65000,$B822,BC$5)=1,1,IF(INDEX([1]Pivot!$B$1:$AB$65000,$B822,BC$5)="",2,0)),0)</f>
        <v>0</v>
      </c>
      <c r="BD822" s="313">
        <f>IFERROR(IF(INDEX([1]Pivot!$BF$1:$CG$65000,$B822,BD$5)=1,1,IF(INDEX([1]Pivot!$B$1:$AB$65000,$B822,BD$5)="",2,0)),0)</f>
        <v>0</v>
      </c>
    </row>
    <row r="823" spans="1:56" x14ac:dyDescent="0.25">
      <c r="A823" s="288">
        <f>'[2]Raw Milk Prices'!A823</f>
        <v>0</v>
      </c>
      <c r="B823" s="296" t="e">
        <f>MATCH(DATE(LEFT('[2]Raw Milk Prices'!$A823,4),RIGHT('[2]Raw Milk Prices'!$A823,2),1),[1]Pivot!$A$1:$A$65000,0)</f>
        <v>#VALUE!</v>
      </c>
      <c r="C823" s="194">
        <f>IFERROR(IF(INDEX([1]Pivot!$AD$1:$BE$65000,$B823,C$5)=1,1,IF(INDEX([1]Pivot!$B$1:$AB$65000,$B823,C$5)="",2,0)),0)</f>
        <v>0</v>
      </c>
      <c r="D823" s="194">
        <f>IFERROR(IF(INDEX([1]Pivot!$AD$1:$BE$65000,$B823,D$5)=1,1,IF(INDEX([1]Pivot!$B$1:$AB$65000,$B823,D$5)="",2,0)),0)</f>
        <v>0</v>
      </c>
      <c r="E823" s="194">
        <f>IFERROR(IF(INDEX([1]Pivot!$AD$1:$BE$65000,$B823,E$5)=1,1,IF(INDEX([1]Pivot!$B$1:$AB$65000,$B823,E$5)="",2,0)),0)</f>
        <v>0</v>
      </c>
      <c r="F823" s="194">
        <f>IFERROR(IF(INDEX([1]Pivot!$AD$1:$BE$65000,$B823,F$5)=1,1,IF(INDEX([1]Pivot!$B$1:$AB$65000,$B823,F$5)="",2,0)),0)</f>
        <v>0</v>
      </c>
      <c r="G823" s="194">
        <f>IFERROR(IF(INDEX([1]Pivot!$AD$1:$BE$65000,$B823,G$5)=1,1,IF(INDEX([1]Pivot!$B$1:$AB$65000,$B823,G$5)="",2,0)),0)</f>
        <v>0</v>
      </c>
      <c r="H823" s="194">
        <f>IFERROR(IF(INDEX([1]Pivot!$AD$1:$BE$65000,$B823,H$5)=1,1,IF(INDEX([1]Pivot!$B$1:$AB$65000,$B823,H$5)="",2,0)),0)</f>
        <v>0</v>
      </c>
      <c r="I823" s="194">
        <f>IFERROR(IF(INDEX([1]Pivot!$AD$1:$BE$65000,$B823,I$5)=1,1,IF(INDEX([1]Pivot!$B$1:$AB$65000,$B823,I$5)="",2,0)),0)</f>
        <v>0</v>
      </c>
      <c r="J823" s="194">
        <f>IFERROR(IF(INDEX([1]Pivot!$AD$1:$BE$65000,$B823,J$5)=1,1,IF(INDEX([1]Pivot!$B$1:$AB$65000,$B823,J$5)="",2,0)),0)</f>
        <v>0</v>
      </c>
      <c r="K823" s="194">
        <f>IFERROR(IF(INDEX([1]Pivot!$AD$1:$BE$65000,$B823,K$5)=1,1,IF(INDEX([1]Pivot!$B$1:$AB$65000,$B823,K$5)="",2,0)),0)</f>
        <v>0</v>
      </c>
      <c r="L823" s="194">
        <f>IFERROR(IF(INDEX([1]Pivot!$AD$1:$BE$65000,$B823,L$5)=1,1,IF(INDEX([1]Pivot!$B$1:$AB$65000,$B823,L$5)="",2,0)),0)</f>
        <v>0</v>
      </c>
      <c r="M823" s="194">
        <f>IFERROR(IF(INDEX([1]Pivot!$AD$1:$BE$65000,$B823,M$5)=1,1,IF(INDEX([1]Pivot!$B$1:$AB$65000,$B823,M$5)="",2,0)),0)</f>
        <v>0</v>
      </c>
      <c r="N823" s="194">
        <f>IFERROR(IF(INDEX([1]Pivot!$AD$1:$BE$65000,$B823,N$5)=1,1,IF(INDEX([1]Pivot!$B$1:$AB$65000,$B823,N$5)="",2,0)),0)</f>
        <v>0</v>
      </c>
      <c r="O823" s="194">
        <f>IFERROR(IF(INDEX([1]Pivot!$AD$1:$BE$65000,$B823,O$5)=1,1,IF(INDEX([1]Pivot!$B$1:$AB$65000,$B823,O$5)="",2,0)),0)</f>
        <v>0</v>
      </c>
      <c r="P823" s="194">
        <f>IFERROR(IF(INDEX([1]Pivot!$AD$1:$BE$65000,$B823,P$5)=1,1,IF(INDEX([1]Pivot!$B$1:$AB$65000,$B823,P$5)="",2,0)),0)</f>
        <v>0</v>
      </c>
      <c r="Q823" s="194">
        <f>IFERROR(IF(INDEX([1]Pivot!$AD$1:$BE$65000,$B823,Q$5)=1,1,IF(INDEX([1]Pivot!$B$1:$AB$65000,$B823,Q$5)="",2,0)),0)</f>
        <v>0</v>
      </c>
      <c r="R823" s="312"/>
      <c r="S823" s="194">
        <f>IFERROR(IF(INDEX([1]Pivot!$AD$1:$BE$65000,$B823,S$5)=1,1,IF(INDEX([1]Pivot!$B$1:$AB$65000,$B823,S$5)="",2,0)),0)</f>
        <v>0</v>
      </c>
      <c r="T823" s="194">
        <f>IFERROR(IF(INDEX([1]Pivot!$AD$1:$BE$65000,$B823,T$5)=1,1,IF(INDEX([1]Pivot!$B$1:$AB$65000,$B823,T$5)="",2,0)),0)</f>
        <v>0</v>
      </c>
      <c r="U823" s="194">
        <f>IFERROR(IF(INDEX([1]Pivot!$AD$1:$BE$65000,$B823,U$5)=1,1,IF(INDEX([1]Pivot!$B$1:$AB$65000,$B823,U$5)="",2,0)),0)</f>
        <v>0</v>
      </c>
      <c r="V823" s="194">
        <f>IFERROR(IF(INDEX([1]Pivot!$AD$1:$BE$65000,$B823,V$5)=1,1,IF(INDEX([1]Pivot!$B$1:$AB$65000,$B823,V$5)="",2,0)),0)</f>
        <v>0</v>
      </c>
      <c r="W823" s="194">
        <f>IFERROR(IF(INDEX([1]Pivot!$AD$1:$BE$65000,$B823,W$5)=1,1,IF(INDEX([1]Pivot!$B$1:$AB$65000,$B823,W$5)="",2,0)),0)</f>
        <v>0</v>
      </c>
      <c r="X823" s="194">
        <f>IFERROR(IF(INDEX([1]Pivot!$AD$1:$BE$65000,$B823,X$5)=1,1,IF(INDEX([1]Pivot!$B$1:$AB$65000,$B823,X$5)="",2,0)),0)</f>
        <v>0</v>
      </c>
      <c r="Y823" s="194">
        <f>IFERROR(IF(INDEX([1]Pivot!$AD$1:$BE$65000,$B823,Y$5)=1,1,IF(INDEX([1]Pivot!$B$1:$AB$65000,$B823,Y$5)="",2,0)),0)</f>
        <v>0</v>
      </c>
      <c r="Z823" s="194">
        <f>IFERROR(IF(INDEX([1]Pivot!$AD$1:$BE$65000,$B823,Z$5)=1,1,IF(INDEX([1]Pivot!$B$1:$AB$65000,$B823,Z$5)="",2,0)),0)</f>
        <v>0</v>
      </c>
      <c r="AA823" s="194">
        <f>IFERROR(IF(INDEX([1]Pivot!$AD$1:$BE$65000,$B823,AA$5)=1,1,IF(INDEX([1]Pivot!$B$1:$AB$65000,$B823,AA$5)="",2,0)),0)</f>
        <v>0</v>
      </c>
      <c r="AB823" s="194">
        <f>IFERROR(IF(INDEX([1]Pivot!$AD$1:$BE$65000,$B823,AB$5)=1,1,IF(INDEX([1]Pivot!$B$1:$AB$65000,$B823,AB$5)="",2,0)),0)</f>
        <v>0</v>
      </c>
      <c r="AC823" s="194">
        <f>IFERROR(IF(INDEX([1]Pivot!$AD$1:$BE$65000,$B823,AC$5)=1,1,IF(INDEX([1]Pivot!$B$1:$AB$65000,$B823,AC$5)="",2,0)),0)</f>
        <v>0</v>
      </c>
      <c r="AD823" s="313">
        <f>IFERROR(IF(INDEX([1]Pivot!$BF$1:$CG$65000,$B823,AD$5)=1,1,IF(INDEX([1]Pivot!$B$1:$AB$65000,$B823,AD$5)="",2,0)),0)</f>
        <v>0</v>
      </c>
      <c r="AE823" s="313">
        <f>IFERROR(IF(INDEX([1]Pivot!$BF$1:$CG$65000,$B823,AE$5)=1,1,IF(INDEX([1]Pivot!$B$1:$AB$65000,$B823,AE$5)="",2,0)),0)</f>
        <v>0</v>
      </c>
      <c r="AF823" s="313">
        <f>IFERROR(IF(INDEX([1]Pivot!$BF$1:$CG$65000,$B823,AF$5)=1,1,IF(INDEX([1]Pivot!$B$1:$AB$65000,$B823,AF$5)="",2,0)),0)</f>
        <v>0</v>
      </c>
      <c r="AG823" s="313">
        <f>IFERROR(IF(INDEX([1]Pivot!$BF$1:$CG$65000,$B823,AG$5)=1,1,IF(INDEX([1]Pivot!$B$1:$AB$65000,$B823,AG$5)="",2,0)),0)</f>
        <v>0</v>
      </c>
      <c r="AH823" s="313">
        <f>IFERROR(IF(INDEX([1]Pivot!$BF$1:$CG$65000,$B823,AH$5)=1,1,IF(INDEX([1]Pivot!$B$1:$AB$65000,$B823,AH$5)="",2,0)),0)</f>
        <v>0</v>
      </c>
      <c r="AI823" s="313">
        <f>IFERROR(IF(INDEX([1]Pivot!$BF$1:$CG$65000,$B823,AI$5)=1,1,IF(INDEX([1]Pivot!$B$1:$AB$65000,$B823,AI$5)="",2,0)),0)</f>
        <v>0</v>
      </c>
      <c r="AJ823" s="313">
        <f>IFERROR(IF(INDEX([1]Pivot!$BF$1:$CG$65000,$B823,AJ$5)=1,1,IF(INDEX([1]Pivot!$B$1:$AB$65000,$B823,AJ$5)="",2,0)),0)</f>
        <v>0</v>
      </c>
      <c r="AK823" s="313">
        <f>IFERROR(IF(INDEX([1]Pivot!$BF$1:$CG$65000,$B823,AK$5)=1,1,IF(INDEX([1]Pivot!$B$1:$AB$65000,$B823,AK$5)="",2,0)),0)</f>
        <v>0</v>
      </c>
      <c r="AL823" s="313">
        <f>IFERROR(IF(INDEX([1]Pivot!$BF$1:$CG$65000,$B823,AL$5)=1,1,IF(INDEX([1]Pivot!$B$1:$AB$65000,$B823,AL$5)="",2,0)),0)</f>
        <v>0</v>
      </c>
      <c r="AM823" s="313">
        <f>IFERROR(IF(INDEX([1]Pivot!$BF$1:$CG$65000,$B823,AM$5)=1,1,IF(INDEX([1]Pivot!$B$1:$AB$65000,$B823,AM$5)="",2,0)),0)</f>
        <v>0</v>
      </c>
      <c r="AN823" s="313">
        <f>IFERROR(IF(INDEX([1]Pivot!$BF$1:$CG$65000,$B823,AN$5)=1,1,IF(INDEX([1]Pivot!$B$1:$AB$65000,$B823,AN$5)="",2,0)),0)</f>
        <v>0</v>
      </c>
      <c r="AO823" s="313">
        <f>IFERROR(IF(INDEX([1]Pivot!$BF$1:$CG$65000,$B823,AO$5)=1,1,IF(INDEX([1]Pivot!$B$1:$AB$65000,$B823,AO$5)="",2,0)),0)</f>
        <v>0</v>
      </c>
      <c r="AP823" s="313">
        <f>IFERROR(IF(INDEX([1]Pivot!$BF$1:$CG$65000,$B823,AP$5)=1,1,IF(INDEX([1]Pivot!$B$1:$AB$65000,$B823,AP$5)="",2,0)),0)</f>
        <v>0</v>
      </c>
      <c r="AQ823" s="313">
        <f>IFERROR(IF(INDEX([1]Pivot!$BF$1:$CG$65000,$B823,AQ$5)=1,1,IF(INDEX([1]Pivot!$B$1:$AB$65000,$B823,AQ$5)="",2,0)),0)</f>
        <v>0</v>
      </c>
      <c r="AR823" s="313">
        <f>IFERROR(IF(INDEX([1]Pivot!$BF$1:$CG$65000,$B823,AR$5)=1,1,IF(INDEX([1]Pivot!$B$1:$AB$65000,$B823,AR$5)="",2,0)),0)</f>
        <v>0</v>
      </c>
      <c r="AS823" s="312"/>
      <c r="AT823" s="313">
        <f>IFERROR(IF(INDEX([1]Pivot!$BF$1:$CG$65000,$B823,AT$5)=1,1,IF(INDEX([1]Pivot!$B$1:$AB$65000,$B823,AT$5)="",2,0)),0)</f>
        <v>0</v>
      </c>
      <c r="AU823" s="313">
        <f>IFERROR(IF(INDEX([1]Pivot!$BF$1:$CG$65000,$B823,AU$5)=1,1,IF(INDEX([1]Pivot!$B$1:$AB$65000,$B823,AU$5)="",2,0)),0)</f>
        <v>0</v>
      </c>
      <c r="AV823" s="313">
        <f>IFERROR(IF(INDEX([1]Pivot!$BF$1:$CG$65000,$B823,AV$5)=1,1,IF(INDEX([1]Pivot!$B$1:$AB$65000,$B823,AV$5)="",2,0)),0)</f>
        <v>0</v>
      </c>
      <c r="AW823" s="313">
        <f>IFERROR(IF(INDEX([1]Pivot!$BF$1:$CG$65000,$B823,AW$5)=1,1,IF(INDEX([1]Pivot!$B$1:$AB$65000,$B823,AW$5)="",2,0)),0)</f>
        <v>0</v>
      </c>
      <c r="AX823" s="313">
        <f>IFERROR(IF(INDEX([1]Pivot!$BF$1:$CG$65000,$B823,AX$5)=1,1,IF(INDEX([1]Pivot!$B$1:$AB$65000,$B823,AX$5)="",2,0)),0)</f>
        <v>0</v>
      </c>
      <c r="AY823" s="313">
        <f>IFERROR(IF(INDEX([1]Pivot!$BF$1:$CG$65000,$B823,AY$5)=1,1,IF(INDEX([1]Pivot!$B$1:$AB$65000,$B823,AY$5)="",2,0)),0)</f>
        <v>0</v>
      </c>
      <c r="AZ823" s="313">
        <f>IFERROR(IF(INDEX([1]Pivot!$BF$1:$CG$65000,$B823,AZ$5)=1,1,IF(INDEX([1]Pivot!$B$1:$AB$65000,$B823,AZ$5)="",2,0)),0)</f>
        <v>0</v>
      </c>
      <c r="BA823" s="313">
        <f>IFERROR(IF(INDEX([1]Pivot!$BF$1:$CG$65000,$B823,BA$5)=1,1,IF(INDEX([1]Pivot!$B$1:$AB$65000,$B823,BA$5)="",2,0)),0)</f>
        <v>0</v>
      </c>
      <c r="BB823" s="313">
        <f>IFERROR(IF(INDEX([1]Pivot!$BF$1:$CG$65000,$B823,BB$5)=1,1,IF(INDEX([1]Pivot!$B$1:$AB$65000,$B823,BB$5)="",2,0)),0)</f>
        <v>0</v>
      </c>
      <c r="BC823" s="313">
        <f>IFERROR(IF(INDEX([1]Pivot!$BF$1:$CG$65000,$B823,BC$5)=1,1,IF(INDEX([1]Pivot!$B$1:$AB$65000,$B823,BC$5)="",2,0)),0)</f>
        <v>0</v>
      </c>
      <c r="BD823" s="313">
        <f>IFERROR(IF(INDEX([1]Pivot!$BF$1:$CG$65000,$B823,BD$5)=1,1,IF(INDEX([1]Pivot!$B$1:$AB$65000,$B823,BD$5)="",2,0)),0)</f>
        <v>0</v>
      </c>
    </row>
    <row r="824" spans="1:56" x14ac:dyDescent="0.25">
      <c r="A824" s="288">
        <f>'[2]Raw Milk Prices'!A824</f>
        <v>0</v>
      </c>
      <c r="B824" s="296" t="e">
        <f>MATCH(DATE(LEFT('[2]Raw Milk Prices'!$A824,4),RIGHT('[2]Raw Milk Prices'!$A824,2),1),[1]Pivot!$A$1:$A$65000,0)</f>
        <v>#VALUE!</v>
      </c>
      <c r="C824" s="194">
        <f>IFERROR(IF(INDEX([1]Pivot!$AD$1:$BE$65000,$B824,C$5)=1,1,IF(INDEX([1]Pivot!$B$1:$AB$65000,$B824,C$5)="",2,0)),0)</f>
        <v>0</v>
      </c>
      <c r="D824" s="194">
        <f>IFERROR(IF(INDEX([1]Pivot!$AD$1:$BE$65000,$B824,D$5)=1,1,IF(INDEX([1]Pivot!$B$1:$AB$65000,$B824,D$5)="",2,0)),0)</f>
        <v>0</v>
      </c>
      <c r="E824" s="194">
        <f>IFERROR(IF(INDEX([1]Pivot!$AD$1:$BE$65000,$B824,E$5)=1,1,IF(INDEX([1]Pivot!$B$1:$AB$65000,$B824,E$5)="",2,0)),0)</f>
        <v>0</v>
      </c>
      <c r="F824" s="194">
        <f>IFERROR(IF(INDEX([1]Pivot!$AD$1:$BE$65000,$B824,F$5)=1,1,IF(INDEX([1]Pivot!$B$1:$AB$65000,$B824,F$5)="",2,0)),0)</f>
        <v>0</v>
      </c>
      <c r="G824" s="194">
        <f>IFERROR(IF(INDEX([1]Pivot!$AD$1:$BE$65000,$B824,G$5)=1,1,IF(INDEX([1]Pivot!$B$1:$AB$65000,$B824,G$5)="",2,0)),0)</f>
        <v>0</v>
      </c>
      <c r="H824" s="194">
        <f>IFERROR(IF(INDEX([1]Pivot!$AD$1:$BE$65000,$B824,H$5)=1,1,IF(INDEX([1]Pivot!$B$1:$AB$65000,$B824,H$5)="",2,0)),0)</f>
        <v>0</v>
      </c>
      <c r="I824" s="194">
        <f>IFERROR(IF(INDEX([1]Pivot!$AD$1:$BE$65000,$B824,I$5)=1,1,IF(INDEX([1]Pivot!$B$1:$AB$65000,$B824,I$5)="",2,0)),0)</f>
        <v>0</v>
      </c>
      <c r="J824" s="194">
        <f>IFERROR(IF(INDEX([1]Pivot!$AD$1:$BE$65000,$B824,J$5)=1,1,IF(INDEX([1]Pivot!$B$1:$AB$65000,$B824,J$5)="",2,0)),0)</f>
        <v>0</v>
      </c>
      <c r="K824" s="194">
        <f>IFERROR(IF(INDEX([1]Pivot!$AD$1:$BE$65000,$B824,K$5)=1,1,IF(INDEX([1]Pivot!$B$1:$AB$65000,$B824,K$5)="",2,0)),0)</f>
        <v>0</v>
      </c>
      <c r="L824" s="194">
        <f>IFERROR(IF(INDEX([1]Pivot!$AD$1:$BE$65000,$B824,L$5)=1,1,IF(INDEX([1]Pivot!$B$1:$AB$65000,$B824,L$5)="",2,0)),0)</f>
        <v>0</v>
      </c>
      <c r="M824" s="194">
        <f>IFERROR(IF(INDEX([1]Pivot!$AD$1:$BE$65000,$B824,M$5)=1,1,IF(INDEX([1]Pivot!$B$1:$AB$65000,$B824,M$5)="",2,0)),0)</f>
        <v>0</v>
      </c>
      <c r="N824" s="194">
        <f>IFERROR(IF(INDEX([1]Pivot!$AD$1:$BE$65000,$B824,N$5)=1,1,IF(INDEX([1]Pivot!$B$1:$AB$65000,$B824,N$5)="",2,0)),0)</f>
        <v>0</v>
      </c>
      <c r="O824" s="194">
        <f>IFERROR(IF(INDEX([1]Pivot!$AD$1:$BE$65000,$B824,O$5)=1,1,IF(INDEX([1]Pivot!$B$1:$AB$65000,$B824,O$5)="",2,0)),0)</f>
        <v>0</v>
      </c>
      <c r="P824" s="194">
        <f>IFERROR(IF(INDEX([1]Pivot!$AD$1:$BE$65000,$B824,P$5)=1,1,IF(INDEX([1]Pivot!$B$1:$AB$65000,$B824,P$5)="",2,0)),0)</f>
        <v>0</v>
      </c>
      <c r="Q824" s="194">
        <f>IFERROR(IF(INDEX([1]Pivot!$AD$1:$BE$65000,$B824,Q$5)=1,1,IF(INDEX([1]Pivot!$B$1:$AB$65000,$B824,Q$5)="",2,0)),0)</f>
        <v>0</v>
      </c>
      <c r="R824" s="312"/>
      <c r="S824" s="194">
        <f>IFERROR(IF(INDEX([1]Pivot!$AD$1:$BE$65000,$B824,S$5)=1,1,IF(INDEX([1]Pivot!$B$1:$AB$65000,$B824,S$5)="",2,0)),0)</f>
        <v>0</v>
      </c>
      <c r="T824" s="194">
        <f>IFERROR(IF(INDEX([1]Pivot!$AD$1:$BE$65000,$B824,T$5)=1,1,IF(INDEX([1]Pivot!$B$1:$AB$65000,$B824,T$5)="",2,0)),0)</f>
        <v>0</v>
      </c>
      <c r="U824" s="194">
        <f>IFERROR(IF(INDEX([1]Pivot!$AD$1:$BE$65000,$B824,U$5)=1,1,IF(INDEX([1]Pivot!$B$1:$AB$65000,$B824,U$5)="",2,0)),0)</f>
        <v>0</v>
      </c>
      <c r="V824" s="194">
        <f>IFERROR(IF(INDEX([1]Pivot!$AD$1:$BE$65000,$B824,V$5)=1,1,IF(INDEX([1]Pivot!$B$1:$AB$65000,$B824,V$5)="",2,0)),0)</f>
        <v>0</v>
      </c>
      <c r="W824" s="194">
        <f>IFERROR(IF(INDEX([1]Pivot!$AD$1:$BE$65000,$B824,W$5)=1,1,IF(INDEX([1]Pivot!$B$1:$AB$65000,$B824,W$5)="",2,0)),0)</f>
        <v>0</v>
      </c>
      <c r="X824" s="194">
        <f>IFERROR(IF(INDEX([1]Pivot!$AD$1:$BE$65000,$B824,X$5)=1,1,IF(INDEX([1]Pivot!$B$1:$AB$65000,$B824,X$5)="",2,0)),0)</f>
        <v>0</v>
      </c>
      <c r="Y824" s="194">
        <f>IFERROR(IF(INDEX([1]Pivot!$AD$1:$BE$65000,$B824,Y$5)=1,1,IF(INDEX([1]Pivot!$B$1:$AB$65000,$B824,Y$5)="",2,0)),0)</f>
        <v>0</v>
      </c>
      <c r="Z824" s="194">
        <f>IFERROR(IF(INDEX([1]Pivot!$AD$1:$BE$65000,$B824,Z$5)=1,1,IF(INDEX([1]Pivot!$B$1:$AB$65000,$B824,Z$5)="",2,0)),0)</f>
        <v>0</v>
      </c>
      <c r="AA824" s="194">
        <f>IFERROR(IF(INDEX([1]Pivot!$AD$1:$BE$65000,$B824,AA$5)=1,1,IF(INDEX([1]Pivot!$B$1:$AB$65000,$B824,AA$5)="",2,0)),0)</f>
        <v>0</v>
      </c>
      <c r="AB824" s="194">
        <f>IFERROR(IF(INDEX([1]Pivot!$AD$1:$BE$65000,$B824,AB$5)=1,1,IF(INDEX([1]Pivot!$B$1:$AB$65000,$B824,AB$5)="",2,0)),0)</f>
        <v>0</v>
      </c>
      <c r="AC824" s="194">
        <f>IFERROR(IF(INDEX([1]Pivot!$AD$1:$BE$65000,$B824,AC$5)=1,1,IF(INDEX([1]Pivot!$B$1:$AB$65000,$B824,AC$5)="",2,0)),0)</f>
        <v>0</v>
      </c>
      <c r="AD824" s="313">
        <f>IFERROR(IF(INDEX([1]Pivot!$BF$1:$CG$65000,$B824,AD$5)=1,1,IF(INDEX([1]Pivot!$B$1:$AB$65000,$B824,AD$5)="",2,0)),0)</f>
        <v>0</v>
      </c>
      <c r="AE824" s="313">
        <f>IFERROR(IF(INDEX([1]Pivot!$BF$1:$CG$65000,$B824,AE$5)=1,1,IF(INDEX([1]Pivot!$B$1:$AB$65000,$B824,AE$5)="",2,0)),0)</f>
        <v>0</v>
      </c>
      <c r="AF824" s="313">
        <f>IFERROR(IF(INDEX([1]Pivot!$BF$1:$CG$65000,$B824,AF$5)=1,1,IF(INDEX([1]Pivot!$B$1:$AB$65000,$B824,AF$5)="",2,0)),0)</f>
        <v>0</v>
      </c>
      <c r="AG824" s="313">
        <f>IFERROR(IF(INDEX([1]Pivot!$BF$1:$CG$65000,$B824,AG$5)=1,1,IF(INDEX([1]Pivot!$B$1:$AB$65000,$B824,AG$5)="",2,0)),0)</f>
        <v>0</v>
      </c>
      <c r="AH824" s="313">
        <f>IFERROR(IF(INDEX([1]Pivot!$BF$1:$CG$65000,$B824,AH$5)=1,1,IF(INDEX([1]Pivot!$B$1:$AB$65000,$B824,AH$5)="",2,0)),0)</f>
        <v>0</v>
      </c>
      <c r="AI824" s="313">
        <f>IFERROR(IF(INDEX([1]Pivot!$BF$1:$CG$65000,$B824,AI$5)=1,1,IF(INDEX([1]Pivot!$B$1:$AB$65000,$B824,AI$5)="",2,0)),0)</f>
        <v>0</v>
      </c>
      <c r="AJ824" s="313">
        <f>IFERROR(IF(INDEX([1]Pivot!$BF$1:$CG$65000,$B824,AJ$5)=1,1,IF(INDEX([1]Pivot!$B$1:$AB$65000,$B824,AJ$5)="",2,0)),0)</f>
        <v>0</v>
      </c>
      <c r="AK824" s="313">
        <f>IFERROR(IF(INDEX([1]Pivot!$BF$1:$CG$65000,$B824,AK$5)=1,1,IF(INDEX([1]Pivot!$B$1:$AB$65000,$B824,AK$5)="",2,0)),0)</f>
        <v>0</v>
      </c>
      <c r="AL824" s="313">
        <f>IFERROR(IF(INDEX([1]Pivot!$BF$1:$CG$65000,$B824,AL$5)=1,1,IF(INDEX([1]Pivot!$B$1:$AB$65000,$B824,AL$5)="",2,0)),0)</f>
        <v>0</v>
      </c>
      <c r="AM824" s="313">
        <f>IFERROR(IF(INDEX([1]Pivot!$BF$1:$CG$65000,$B824,AM$5)=1,1,IF(INDEX([1]Pivot!$B$1:$AB$65000,$B824,AM$5)="",2,0)),0)</f>
        <v>0</v>
      </c>
      <c r="AN824" s="313">
        <f>IFERROR(IF(INDEX([1]Pivot!$BF$1:$CG$65000,$B824,AN$5)=1,1,IF(INDEX([1]Pivot!$B$1:$AB$65000,$B824,AN$5)="",2,0)),0)</f>
        <v>0</v>
      </c>
      <c r="AO824" s="313">
        <f>IFERROR(IF(INDEX([1]Pivot!$BF$1:$CG$65000,$B824,AO$5)=1,1,IF(INDEX([1]Pivot!$B$1:$AB$65000,$B824,AO$5)="",2,0)),0)</f>
        <v>0</v>
      </c>
      <c r="AP824" s="313">
        <f>IFERROR(IF(INDEX([1]Pivot!$BF$1:$CG$65000,$B824,AP$5)=1,1,IF(INDEX([1]Pivot!$B$1:$AB$65000,$B824,AP$5)="",2,0)),0)</f>
        <v>0</v>
      </c>
      <c r="AQ824" s="313">
        <f>IFERROR(IF(INDEX([1]Pivot!$BF$1:$CG$65000,$B824,AQ$5)=1,1,IF(INDEX([1]Pivot!$B$1:$AB$65000,$B824,AQ$5)="",2,0)),0)</f>
        <v>0</v>
      </c>
      <c r="AR824" s="313">
        <f>IFERROR(IF(INDEX([1]Pivot!$BF$1:$CG$65000,$B824,AR$5)=1,1,IF(INDEX([1]Pivot!$B$1:$AB$65000,$B824,AR$5)="",2,0)),0)</f>
        <v>0</v>
      </c>
      <c r="AS824" s="312"/>
      <c r="AT824" s="313">
        <f>IFERROR(IF(INDEX([1]Pivot!$BF$1:$CG$65000,$B824,AT$5)=1,1,IF(INDEX([1]Pivot!$B$1:$AB$65000,$B824,AT$5)="",2,0)),0)</f>
        <v>0</v>
      </c>
      <c r="AU824" s="313">
        <f>IFERROR(IF(INDEX([1]Pivot!$BF$1:$CG$65000,$B824,AU$5)=1,1,IF(INDEX([1]Pivot!$B$1:$AB$65000,$B824,AU$5)="",2,0)),0)</f>
        <v>0</v>
      </c>
      <c r="AV824" s="313">
        <f>IFERROR(IF(INDEX([1]Pivot!$BF$1:$CG$65000,$B824,AV$5)=1,1,IF(INDEX([1]Pivot!$B$1:$AB$65000,$B824,AV$5)="",2,0)),0)</f>
        <v>0</v>
      </c>
      <c r="AW824" s="313">
        <f>IFERROR(IF(INDEX([1]Pivot!$BF$1:$CG$65000,$B824,AW$5)=1,1,IF(INDEX([1]Pivot!$B$1:$AB$65000,$B824,AW$5)="",2,0)),0)</f>
        <v>0</v>
      </c>
      <c r="AX824" s="313">
        <f>IFERROR(IF(INDEX([1]Pivot!$BF$1:$CG$65000,$B824,AX$5)=1,1,IF(INDEX([1]Pivot!$B$1:$AB$65000,$B824,AX$5)="",2,0)),0)</f>
        <v>0</v>
      </c>
      <c r="AY824" s="313">
        <f>IFERROR(IF(INDEX([1]Pivot!$BF$1:$CG$65000,$B824,AY$5)=1,1,IF(INDEX([1]Pivot!$B$1:$AB$65000,$B824,AY$5)="",2,0)),0)</f>
        <v>0</v>
      </c>
      <c r="AZ824" s="313">
        <f>IFERROR(IF(INDEX([1]Pivot!$BF$1:$CG$65000,$B824,AZ$5)=1,1,IF(INDEX([1]Pivot!$B$1:$AB$65000,$B824,AZ$5)="",2,0)),0)</f>
        <v>0</v>
      </c>
      <c r="BA824" s="313">
        <f>IFERROR(IF(INDEX([1]Pivot!$BF$1:$CG$65000,$B824,BA$5)=1,1,IF(INDEX([1]Pivot!$B$1:$AB$65000,$B824,BA$5)="",2,0)),0)</f>
        <v>0</v>
      </c>
      <c r="BB824" s="313">
        <f>IFERROR(IF(INDEX([1]Pivot!$BF$1:$CG$65000,$B824,BB$5)=1,1,IF(INDEX([1]Pivot!$B$1:$AB$65000,$B824,BB$5)="",2,0)),0)</f>
        <v>0</v>
      </c>
      <c r="BC824" s="313">
        <f>IFERROR(IF(INDEX([1]Pivot!$BF$1:$CG$65000,$B824,BC$5)=1,1,IF(INDEX([1]Pivot!$B$1:$AB$65000,$B824,BC$5)="",2,0)),0)</f>
        <v>0</v>
      </c>
      <c r="BD824" s="313">
        <f>IFERROR(IF(INDEX([1]Pivot!$BF$1:$CG$65000,$B824,BD$5)=1,1,IF(INDEX([1]Pivot!$B$1:$AB$65000,$B824,BD$5)="",2,0)),0)</f>
        <v>0</v>
      </c>
    </row>
    <row r="825" spans="1:56" x14ac:dyDescent="0.25">
      <c r="A825" s="288">
        <f>'[2]Raw Milk Prices'!A825</f>
        <v>0</v>
      </c>
      <c r="B825" s="296" t="e">
        <f>MATCH(DATE(LEFT('[2]Raw Milk Prices'!$A825,4),RIGHT('[2]Raw Milk Prices'!$A825,2),1),[1]Pivot!$A$1:$A$65000,0)</f>
        <v>#VALUE!</v>
      </c>
      <c r="C825" s="194">
        <f>IFERROR(IF(INDEX([1]Pivot!$AD$1:$BE$65000,$B825,C$5)=1,1,IF(INDEX([1]Pivot!$B$1:$AB$65000,$B825,C$5)="",2,0)),0)</f>
        <v>0</v>
      </c>
      <c r="D825" s="194">
        <f>IFERROR(IF(INDEX([1]Pivot!$AD$1:$BE$65000,$B825,D$5)=1,1,IF(INDEX([1]Pivot!$B$1:$AB$65000,$B825,D$5)="",2,0)),0)</f>
        <v>0</v>
      </c>
      <c r="E825" s="194">
        <f>IFERROR(IF(INDEX([1]Pivot!$AD$1:$BE$65000,$B825,E$5)=1,1,IF(INDEX([1]Pivot!$B$1:$AB$65000,$B825,E$5)="",2,0)),0)</f>
        <v>0</v>
      </c>
      <c r="F825" s="194">
        <f>IFERROR(IF(INDEX([1]Pivot!$AD$1:$BE$65000,$B825,F$5)=1,1,IF(INDEX([1]Pivot!$B$1:$AB$65000,$B825,F$5)="",2,0)),0)</f>
        <v>0</v>
      </c>
      <c r="G825" s="194">
        <f>IFERROR(IF(INDEX([1]Pivot!$AD$1:$BE$65000,$B825,G$5)=1,1,IF(INDEX([1]Pivot!$B$1:$AB$65000,$B825,G$5)="",2,0)),0)</f>
        <v>0</v>
      </c>
      <c r="H825" s="194">
        <f>IFERROR(IF(INDEX([1]Pivot!$AD$1:$BE$65000,$B825,H$5)=1,1,IF(INDEX([1]Pivot!$B$1:$AB$65000,$B825,H$5)="",2,0)),0)</f>
        <v>0</v>
      </c>
      <c r="I825" s="194">
        <f>IFERROR(IF(INDEX([1]Pivot!$AD$1:$BE$65000,$B825,I$5)=1,1,IF(INDEX([1]Pivot!$B$1:$AB$65000,$B825,I$5)="",2,0)),0)</f>
        <v>0</v>
      </c>
      <c r="J825" s="194">
        <f>IFERROR(IF(INDEX([1]Pivot!$AD$1:$BE$65000,$B825,J$5)=1,1,IF(INDEX([1]Pivot!$B$1:$AB$65000,$B825,J$5)="",2,0)),0)</f>
        <v>0</v>
      </c>
      <c r="K825" s="194">
        <f>IFERROR(IF(INDEX([1]Pivot!$AD$1:$BE$65000,$B825,K$5)=1,1,IF(INDEX([1]Pivot!$B$1:$AB$65000,$B825,K$5)="",2,0)),0)</f>
        <v>0</v>
      </c>
      <c r="L825" s="194">
        <f>IFERROR(IF(INDEX([1]Pivot!$AD$1:$BE$65000,$B825,L$5)=1,1,IF(INDEX([1]Pivot!$B$1:$AB$65000,$B825,L$5)="",2,0)),0)</f>
        <v>0</v>
      </c>
      <c r="M825" s="194">
        <f>IFERROR(IF(INDEX([1]Pivot!$AD$1:$BE$65000,$B825,M$5)=1,1,IF(INDEX([1]Pivot!$B$1:$AB$65000,$B825,M$5)="",2,0)),0)</f>
        <v>0</v>
      </c>
      <c r="N825" s="194">
        <f>IFERROR(IF(INDEX([1]Pivot!$AD$1:$BE$65000,$B825,N$5)=1,1,IF(INDEX([1]Pivot!$B$1:$AB$65000,$B825,N$5)="",2,0)),0)</f>
        <v>0</v>
      </c>
      <c r="O825" s="194">
        <f>IFERROR(IF(INDEX([1]Pivot!$AD$1:$BE$65000,$B825,O$5)=1,1,IF(INDEX([1]Pivot!$B$1:$AB$65000,$B825,O$5)="",2,0)),0)</f>
        <v>0</v>
      </c>
      <c r="P825" s="194">
        <f>IFERROR(IF(INDEX([1]Pivot!$AD$1:$BE$65000,$B825,P$5)=1,1,IF(INDEX([1]Pivot!$B$1:$AB$65000,$B825,P$5)="",2,0)),0)</f>
        <v>0</v>
      </c>
      <c r="Q825" s="194">
        <f>IFERROR(IF(INDEX([1]Pivot!$AD$1:$BE$65000,$B825,Q$5)=1,1,IF(INDEX([1]Pivot!$B$1:$AB$65000,$B825,Q$5)="",2,0)),0)</f>
        <v>0</v>
      </c>
      <c r="R825" s="312"/>
      <c r="S825" s="194">
        <f>IFERROR(IF(INDEX([1]Pivot!$AD$1:$BE$65000,$B825,S$5)=1,1,IF(INDEX([1]Pivot!$B$1:$AB$65000,$B825,S$5)="",2,0)),0)</f>
        <v>0</v>
      </c>
      <c r="T825" s="194">
        <f>IFERROR(IF(INDEX([1]Pivot!$AD$1:$BE$65000,$B825,T$5)=1,1,IF(INDEX([1]Pivot!$B$1:$AB$65000,$B825,T$5)="",2,0)),0)</f>
        <v>0</v>
      </c>
      <c r="U825" s="194">
        <f>IFERROR(IF(INDEX([1]Pivot!$AD$1:$BE$65000,$B825,U$5)=1,1,IF(INDEX([1]Pivot!$B$1:$AB$65000,$B825,U$5)="",2,0)),0)</f>
        <v>0</v>
      </c>
      <c r="V825" s="194">
        <f>IFERROR(IF(INDEX([1]Pivot!$AD$1:$BE$65000,$B825,V$5)=1,1,IF(INDEX([1]Pivot!$B$1:$AB$65000,$B825,V$5)="",2,0)),0)</f>
        <v>0</v>
      </c>
      <c r="W825" s="194">
        <f>IFERROR(IF(INDEX([1]Pivot!$AD$1:$BE$65000,$B825,W$5)=1,1,IF(INDEX([1]Pivot!$B$1:$AB$65000,$B825,W$5)="",2,0)),0)</f>
        <v>0</v>
      </c>
      <c r="X825" s="194">
        <f>IFERROR(IF(INDEX([1]Pivot!$AD$1:$BE$65000,$B825,X$5)=1,1,IF(INDEX([1]Pivot!$B$1:$AB$65000,$B825,X$5)="",2,0)),0)</f>
        <v>0</v>
      </c>
      <c r="Y825" s="194">
        <f>IFERROR(IF(INDEX([1]Pivot!$AD$1:$BE$65000,$B825,Y$5)=1,1,IF(INDEX([1]Pivot!$B$1:$AB$65000,$B825,Y$5)="",2,0)),0)</f>
        <v>0</v>
      </c>
      <c r="Z825" s="194">
        <f>IFERROR(IF(INDEX([1]Pivot!$AD$1:$BE$65000,$B825,Z$5)=1,1,IF(INDEX([1]Pivot!$B$1:$AB$65000,$B825,Z$5)="",2,0)),0)</f>
        <v>0</v>
      </c>
      <c r="AA825" s="194">
        <f>IFERROR(IF(INDEX([1]Pivot!$AD$1:$BE$65000,$B825,AA$5)=1,1,IF(INDEX([1]Pivot!$B$1:$AB$65000,$B825,AA$5)="",2,0)),0)</f>
        <v>0</v>
      </c>
      <c r="AB825" s="194">
        <f>IFERROR(IF(INDEX([1]Pivot!$AD$1:$BE$65000,$B825,AB$5)=1,1,IF(INDEX([1]Pivot!$B$1:$AB$65000,$B825,AB$5)="",2,0)),0)</f>
        <v>0</v>
      </c>
      <c r="AC825" s="194">
        <f>IFERROR(IF(INDEX([1]Pivot!$AD$1:$BE$65000,$B825,AC$5)=1,1,IF(INDEX([1]Pivot!$B$1:$AB$65000,$B825,AC$5)="",2,0)),0)</f>
        <v>0</v>
      </c>
      <c r="AD825" s="313">
        <f>IFERROR(IF(INDEX([1]Pivot!$BF$1:$CG$65000,$B825,AD$5)=1,1,IF(INDEX([1]Pivot!$B$1:$AB$65000,$B825,AD$5)="",2,0)),0)</f>
        <v>0</v>
      </c>
      <c r="AE825" s="313">
        <f>IFERROR(IF(INDEX([1]Pivot!$BF$1:$CG$65000,$B825,AE$5)=1,1,IF(INDEX([1]Pivot!$B$1:$AB$65000,$B825,AE$5)="",2,0)),0)</f>
        <v>0</v>
      </c>
      <c r="AF825" s="313">
        <f>IFERROR(IF(INDEX([1]Pivot!$BF$1:$CG$65000,$B825,AF$5)=1,1,IF(INDEX([1]Pivot!$B$1:$AB$65000,$B825,AF$5)="",2,0)),0)</f>
        <v>0</v>
      </c>
      <c r="AG825" s="313">
        <f>IFERROR(IF(INDEX([1]Pivot!$BF$1:$CG$65000,$B825,AG$5)=1,1,IF(INDEX([1]Pivot!$B$1:$AB$65000,$B825,AG$5)="",2,0)),0)</f>
        <v>0</v>
      </c>
      <c r="AH825" s="313">
        <f>IFERROR(IF(INDEX([1]Pivot!$BF$1:$CG$65000,$B825,AH$5)=1,1,IF(INDEX([1]Pivot!$B$1:$AB$65000,$B825,AH$5)="",2,0)),0)</f>
        <v>0</v>
      </c>
      <c r="AI825" s="313">
        <f>IFERROR(IF(INDEX([1]Pivot!$BF$1:$CG$65000,$B825,AI$5)=1,1,IF(INDEX([1]Pivot!$B$1:$AB$65000,$B825,AI$5)="",2,0)),0)</f>
        <v>0</v>
      </c>
      <c r="AJ825" s="313">
        <f>IFERROR(IF(INDEX([1]Pivot!$BF$1:$CG$65000,$B825,AJ$5)=1,1,IF(INDEX([1]Pivot!$B$1:$AB$65000,$B825,AJ$5)="",2,0)),0)</f>
        <v>0</v>
      </c>
      <c r="AK825" s="313">
        <f>IFERROR(IF(INDEX([1]Pivot!$BF$1:$CG$65000,$B825,AK$5)=1,1,IF(INDEX([1]Pivot!$B$1:$AB$65000,$B825,AK$5)="",2,0)),0)</f>
        <v>0</v>
      </c>
      <c r="AL825" s="313">
        <f>IFERROR(IF(INDEX([1]Pivot!$BF$1:$CG$65000,$B825,AL$5)=1,1,IF(INDEX([1]Pivot!$B$1:$AB$65000,$B825,AL$5)="",2,0)),0)</f>
        <v>0</v>
      </c>
      <c r="AM825" s="313">
        <f>IFERROR(IF(INDEX([1]Pivot!$BF$1:$CG$65000,$B825,AM$5)=1,1,IF(INDEX([1]Pivot!$B$1:$AB$65000,$B825,AM$5)="",2,0)),0)</f>
        <v>0</v>
      </c>
      <c r="AN825" s="313">
        <f>IFERROR(IF(INDEX([1]Pivot!$BF$1:$CG$65000,$B825,AN$5)=1,1,IF(INDEX([1]Pivot!$B$1:$AB$65000,$B825,AN$5)="",2,0)),0)</f>
        <v>0</v>
      </c>
      <c r="AO825" s="313">
        <f>IFERROR(IF(INDEX([1]Pivot!$BF$1:$CG$65000,$B825,AO$5)=1,1,IF(INDEX([1]Pivot!$B$1:$AB$65000,$B825,AO$5)="",2,0)),0)</f>
        <v>0</v>
      </c>
      <c r="AP825" s="313">
        <f>IFERROR(IF(INDEX([1]Pivot!$BF$1:$CG$65000,$B825,AP$5)=1,1,IF(INDEX([1]Pivot!$B$1:$AB$65000,$B825,AP$5)="",2,0)),0)</f>
        <v>0</v>
      </c>
      <c r="AQ825" s="313">
        <f>IFERROR(IF(INDEX([1]Pivot!$BF$1:$CG$65000,$B825,AQ$5)=1,1,IF(INDEX([1]Pivot!$B$1:$AB$65000,$B825,AQ$5)="",2,0)),0)</f>
        <v>0</v>
      </c>
      <c r="AR825" s="313">
        <f>IFERROR(IF(INDEX([1]Pivot!$BF$1:$CG$65000,$B825,AR$5)=1,1,IF(INDEX([1]Pivot!$B$1:$AB$65000,$B825,AR$5)="",2,0)),0)</f>
        <v>0</v>
      </c>
      <c r="AS825" s="312"/>
      <c r="AT825" s="313">
        <f>IFERROR(IF(INDEX([1]Pivot!$BF$1:$CG$65000,$B825,AT$5)=1,1,IF(INDEX([1]Pivot!$B$1:$AB$65000,$B825,AT$5)="",2,0)),0)</f>
        <v>0</v>
      </c>
      <c r="AU825" s="313">
        <f>IFERROR(IF(INDEX([1]Pivot!$BF$1:$CG$65000,$B825,AU$5)=1,1,IF(INDEX([1]Pivot!$B$1:$AB$65000,$B825,AU$5)="",2,0)),0)</f>
        <v>0</v>
      </c>
      <c r="AV825" s="313">
        <f>IFERROR(IF(INDEX([1]Pivot!$BF$1:$CG$65000,$B825,AV$5)=1,1,IF(INDEX([1]Pivot!$B$1:$AB$65000,$B825,AV$5)="",2,0)),0)</f>
        <v>0</v>
      </c>
      <c r="AW825" s="313">
        <f>IFERROR(IF(INDEX([1]Pivot!$BF$1:$CG$65000,$B825,AW$5)=1,1,IF(INDEX([1]Pivot!$B$1:$AB$65000,$B825,AW$5)="",2,0)),0)</f>
        <v>0</v>
      </c>
      <c r="AX825" s="313">
        <f>IFERROR(IF(INDEX([1]Pivot!$BF$1:$CG$65000,$B825,AX$5)=1,1,IF(INDEX([1]Pivot!$B$1:$AB$65000,$B825,AX$5)="",2,0)),0)</f>
        <v>0</v>
      </c>
      <c r="AY825" s="313">
        <f>IFERROR(IF(INDEX([1]Pivot!$BF$1:$CG$65000,$B825,AY$5)=1,1,IF(INDEX([1]Pivot!$B$1:$AB$65000,$B825,AY$5)="",2,0)),0)</f>
        <v>0</v>
      </c>
      <c r="AZ825" s="313">
        <f>IFERROR(IF(INDEX([1]Pivot!$BF$1:$CG$65000,$B825,AZ$5)=1,1,IF(INDEX([1]Pivot!$B$1:$AB$65000,$B825,AZ$5)="",2,0)),0)</f>
        <v>0</v>
      </c>
      <c r="BA825" s="313">
        <f>IFERROR(IF(INDEX([1]Pivot!$BF$1:$CG$65000,$B825,BA$5)=1,1,IF(INDEX([1]Pivot!$B$1:$AB$65000,$B825,BA$5)="",2,0)),0)</f>
        <v>0</v>
      </c>
      <c r="BB825" s="313">
        <f>IFERROR(IF(INDEX([1]Pivot!$BF$1:$CG$65000,$B825,BB$5)=1,1,IF(INDEX([1]Pivot!$B$1:$AB$65000,$B825,BB$5)="",2,0)),0)</f>
        <v>0</v>
      </c>
      <c r="BC825" s="313">
        <f>IFERROR(IF(INDEX([1]Pivot!$BF$1:$CG$65000,$B825,BC$5)=1,1,IF(INDEX([1]Pivot!$B$1:$AB$65000,$B825,BC$5)="",2,0)),0)</f>
        <v>0</v>
      </c>
      <c r="BD825" s="313">
        <f>IFERROR(IF(INDEX([1]Pivot!$BF$1:$CG$65000,$B825,BD$5)=1,1,IF(INDEX([1]Pivot!$B$1:$AB$65000,$B825,BD$5)="",2,0)),0)</f>
        <v>0</v>
      </c>
    </row>
    <row r="826" spans="1:56" x14ac:dyDescent="0.25">
      <c r="A826" s="288">
        <f>'[2]Raw Milk Prices'!A826</f>
        <v>0</v>
      </c>
      <c r="B826" s="296" t="e">
        <f>MATCH(DATE(LEFT('[2]Raw Milk Prices'!$A826,4),RIGHT('[2]Raw Milk Prices'!$A826,2),1),[1]Pivot!$A$1:$A$65000,0)</f>
        <v>#VALUE!</v>
      </c>
      <c r="C826" s="194">
        <f>IFERROR(IF(INDEX([1]Pivot!$AD$1:$BE$65000,$B826,C$5)=1,1,IF(INDEX([1]Pivot!$B$1:$AB$65000,$B826,C$5)="",2,0)),0)</f>
        <v>0</v>
      </c>
      <c r="D826" s="194">
        <f>IFERROR(IF(INDEX([1]Pivot!$AD$1:$BE$65000,$B826,D$5)=1,1,IF(INDEX([1]Pivot!$B$1:$AB$65000,$B826,D$5)="",2,0)),0)</f>
        <v>0</v>
      </c>
      <c r="E826" s="194">
        <f>IFERROR(IF(INDEX([1]Pivot!$AD$1:$BE$65000,$B826,E$5)=1,1,IF(INDEX([1]Pivot!$B$1:$AB$65000,$B826,E$5)="",2,0)),0)</f>
        <v>0</v>
      </c>
      <c r="F826" s="194">
        <f>IFERROR(IF(INDEX([1]Pivot!$AD$1:$BE$65000,$B826,F$5)=1,1,IF(INDEX([1]Pivot!$B$1:$AB$65000,$B826,F$5)="",2,0)),0)</f>
        <v>0</v>
      </c>
      <c r="G826" s="194">
        <f>IFERROR(IF(INDEX([1]Pivot!$AD$1:$BE$65000,$B826,G$5)=1,1,IF(INDEX([1]Pivot!$B$1:$AB$65000,$B826,G$5)="",2,0)),0)</f>
        <v>0</v>
      </c>
      <c r="H826" s="194">
        <f>IFERROR(IF(INDEX([1]Pivot!$AD$1:$BE$65000,$B826,H$5)=1,1,IF(INDEX([1]Pivot!$B$1:$AB$65000,$B826,H$5)="",2,0)),0)</f>
        <v>0</v>
      </c>
      <c r="I826" s="194">
        <f>IFERROR(IF(INDEX([1]Pivot!$AD$1:$BE$65000,$B826,I$5)=1,1,IF(INDEX([1]Pivot!$B$1:$AB$65000,$B826,I$5)="",2,0)),0)</f>
        <v>0</v>
      </c>
      <c r="J826" s="194">
        <f>IFERROR(IF(INDEX([1]Pivot!$AD$1:$BE$65000,$B826,J$5)=1,1,IF(INDEX([1]Pivot!$B$1:$AB$65000,$B826,J$5)="",2,0)),0)</f>
        <v>0</v>
      </c>
      <c r="K826" s="194">
        <f>IFERROR(IF(INDEX([1]Pivot!$AD$1:$BE$65000,$B826,K$5)=1,1,IF(INDEX([1]Pivot!$B$1:$AB$65000,$B826,K$5)="",2,0)),0)</f>
        <v>0</v>
      </c>
      <c r="L826" s="194">
        <f>IFERROR(IF(INDEX([1]Pivot!$AD$1:$BE$65000,$B826,L$5)=1,1,IF(INDEX([1]Pivot!$B$1:$AB$65000,$B826,L$5)="",2,0)),0)</f>
        <v>0</v>
      </c>
      <c r="M826" s="194">
        <f>IFERROR(IF(INDEX([1]Pivot!$AD$1:$BE$65000,$B826,M$5)=1,1,IF(INDEX([1]Pivot!$B$1:$AB$65000,$B826,M$5)="",2,0)),0)</f>
        <v>0</v>
      </c>
      <c r="N826" s="194">
        <f>IFERROR(IF(INDEX([1]Pivot!$AD$1:$BE$65000,$B826,N$5)=1,1,IF(INDEX([1]Pivot!$B$1:$AB$65000,$B826,N$5)="",2,0)),0)</f>
        <v>0</v>
      </c>
      <c r="O826" s="194">
        <f>IFERROR(IF(INDEX([1]Pivot!$AD$1:$BE$65000,$B826,O$5)=1,1,IF(INDEX([1]Pivot!$B$1:$AB$65000,$B826,O$5)="",2,0)),0)</f>
        <v>0</v>
      </c>
      <c r="P826" s="194">
        <f>IFERROR(IF(INDEX([1]Pivot!$AD$1:$BE$65000,$B826,P$5)=1,1,IF(INDEX([1]Pivot!$B$1:$AB$65000,$B826,P$5)="",2,0)),0)</f>
        <v>0</v>
      </c>
      <c r="Q826" s="194">
        <f>IFERROR(IF(INDEX([1]Pivot!$AD$1:$BE$65000,$B826,Q$5)=1,1,IF(INDEX([1]Pivot!$B$1:$AB$65000,$B826,Q$5)="",2,0)),0)</f>
        <v>0</v>
      </c>
      <c r="R826" s="312"/>
      <c r="S826" s="194">
        <f>IFERROR(IF(INDEX([1]Pivot!$AD$1:$BE$65000,$B826,S$5)=1,1,IF(INDEX([1]Pivot!$B$1:$AB$65000,$B826,S$5)="",2,0)),0)</f>
        <v>0</v>
      </c>
      <c r="T826" s="194">
        <f>IFERROR(IF(INDEX([1]Pivot!$AD$1:$BE$65000,$B826,T$5)=1,1,IF(INDEX([1]Pivot!$B$1:$AB$65000,$B826,T$5)="",2,0)),0)</f>
        <v>0</v>
      </c>
      <c r="U826" s="194">
        <f>IFERROR(IF(INDEX([1]Pivot!$AD$1:$BE$65000,$B826,U$5)=1,1,IF(INDEX([1]Pivot!$B$1:$AB$65000,$B826,U$5)="",2,0)),0)</f>
        <v>0</v>
      </c>
      <c r="V826" s="194">
        <f>IFERROR(IF(INDEX([1]Pivot!$AD$1:$BE$65000,$B826,V$5)=1,1,IF(INDEX([1]Pivot!$B$1:$AB$65000,$B826,V$5)="",2,0)),0)</f>
        <v>0</v>
      </c>
      <c r="W826" s="194">
        <f>IFERROR(IF(INDEX([1]Pivot!$AD$1:$BE$65000,$B826,W$5)=1,1,IF(INDEX([1]Pivot!$B$1:$AB$65000,$B826,W$5)="",2,0)),0)</f>
        <v>0</v>
      </c>
      <c r="X826" s="194">
        <f>IFERROR(IF(INDEX([1]Pivot!$AD$1:$BE$65000,$B826,X$5)=1,1,IF(INDEX([1]Pivot!$B$1:$AB$65000,$B826,X$5)="",2,0)),0)</f>
        <v>0</v>
      </c>
      <c r="Y826" s="194">
        <f>IFERROR(IF(INDEX([1]Pivot!$AD$1:$BE$65000,$B826,Y$5)=1,1,IF(INDEX([1]Pivot!$B$1:$AB$65000,$B826,Y$5)="",2,0)),0)</f>
        <v>0</v>
      </c>
      <c r="Z826" s="194">
        <f>IFERROR(IF(INDEX([1]Pivot!$AD$1:$BE$65000,$B826,Z$5)=1,1,IF(INDEX([1]Pivot!$B$1:$AB$65000,$B826,Z$5)="",2,0)),0)</f>
        <v>0</v>
      </c>
      <c r="AA826" s="194">
        <f>IFERROR(IF(INDEX([1]Pivot!$AD$1:$BE$65000,$B826,AA$5)=1,1,IF(INDEX([1]Pivot!$B$1:$AB$65000,$B826,AA$5)="",2,0)),0)</f>
        <v>0</v>
      </c>
      <c r="AB826" s="194">
        <f>IFERROR(IF(INDEX([1]Pivot!$AD$1:$BE$65000,$B826,AB$5)=1,1,IF(INDEX([1]Pivot!$B$1:$AB$65000,$B826,AB$5)="",2,0)),0)</f>
        <v>0</v>
      </c>
      <c r="AC826" s="194">
        <f>IFERROR(IF(INDEX([1]Pivot!$AD$1:$BE$65000,$B826,AC$5)=1,1,IF(INDEX([1]Pivot!$B$1:$AB$65000,$B826,AC$5)="",2,0)),0)</f>
        <v>0</v>
      </c>
      <c r="AD826" s="313">
        <f>IFERROR(IF(INDEX([1]Pivot!$BF$1:$CG$65000,$B826,AD$5)=1,1,IF(INDEX([1]Pivot!$B$1:$AB$65000,$B826,AD$5)="",2,0)),0)</f>
        <v>0</v>
      </c>
      <c r="AE826" s="313">
        <f>IFERROR(IF(INDEX([1]Pivot!$BF$1:$CG$65000,$B826,AE$5)=1,1,IF(INDEX([1]Pivot!$B$1:$AB$65000,$B826,AE$5)="",2,0)),0)</f>
        <v>0</v>
      </c>
      <c r="AF826" s="313">
        <f>IFERROR(IF(INDEX([1]Pivot!$BF$1:$CG$65000,$B826,AF$5)=1,1,IF(INDEX([1]Pivot!$B$1:$AB$65000,$B826,AF$5)="",2,0)),0)</f>
        <v>0</v>
      </c>
      <c r="AG826" s="313">
        <f>IFERROR(IF(INDEX([1]Pivot!$BF$1:$CG$65000,$B826,AG$5)=1,1,IF(INDEX([1]Pivot!$B$1:$AB$65000,$B826,AG$5)="",2,0)),0)</f>
        <v>0</v>
      </c>
      <c r="AH826" s="313">
        <f>IFERROR(IF(INDEX([1]Pivot!$BF$1:$CG$65000,$B826,AH$5)=1,1,IF(INDEX([1]Pivot!$B$1:$AB$65000,$B826,AH$5)="",2,0)),0)</f>
        <v>0</v>
      </c>
      <c r="AI826" s="313">
        <f>IFERROR(IF(INDEX([1]Pivot!$BF$1:$CG$65000,$B826,AI$5)=1,1,IF(INDEX([1]Pivot!$B$1:$AB$65000,$B826,AI$5)="",2,0)),0)</f>
        <v>0</v>
      </c>
      <c r="AJ826" s="313">
        <f>IFERROR(IF(INDEX([1]Pivot!$BF$1:$CG$65000,$B826,AJ$5)=1,1,IF(INDEX([1]Pivot!$B$1:$AB$65000,$B826,AJ$5)="",2,0)),0)</f>
        <v>0</v>
      </c>
      <c r="AK826" s="313">
        <f>IFERROR(IF(INDEX([1]Pivot!$BF$1:$CG$65000,$B826,AK$5)=1,1,IF(INDEX([1]Pivot!$B$1:$AB$65000,$B826,AK$5)="",2,0)),0)</f>
        <v>0</v>
      </c>
      <c r="AL826" s="313">
        <f>IFERROR(IF(INDEX([1]Pivot!$BF$1:$CG$65000,$B826,AL$5)=1,1,IF(INDEX([1]Pivot!$B$1:$AB$65000,$B826,AL$5)="",2,0)),0)</f>
        <v>0</v>
      </c>
      <c r="AM826" s="313">
        <f>IFERROR(IF(INDEX([1]Pivot!$BF$1:$CG$65000,$B826,AM$5)=1,1,IF(INDEX([1]Pivot!$B$1:$AB$65000,$B826,AM$5)="",2,0)),0)</f>
        <v>0</v>
      </c>
      <c r="AN826" s="313">
        <f>IFERROR(IF(INDEX([1]Pivot!$BF$1:$CG$65000,$B826,AN$5)=1,1,IF(INDEX([1]Pivot!$B$1:$AB$65000,$B826,AN$5)="",2,0)),0)</f>
        <v>0</v>
      </c>
      <c r="AO826" s="313">
        <f>IFERROR(IF(INDEX([1]Pivot!$BF$1:$CG$65000,$B826,AO$5)=1,1,IF(INDEX([1]Pivot!$B$1:$AB$65000,$B826,AO$5)="",2,0)),0)</f>
        <v>0</v>
      </c>
      <c r="AP826" s="313">
        <f>IFERROR(IF(INDEX([1]Pivot!$BF$1:$CG$65000,$B826,AP$5)=1,1,IF(INDEX([1]Pivot!$B$1:$AB$65000,$B826,AP$5)="",2,0)),0)</f>
        <v>0</v>
      </c>
      <c r="AQ826" s="313">
        <f>IFERROR(IF(INDEX([1]Pivot!$BF$1:$CG$65000,$B826,AQ$5)=1,1,IF(INDEX([1]Pivot!$B$1:$AB$65000,$B826,AQ$5)="",2,0)),0)</f>
        <v>0</v>
      </c>
      <c r="AR826" s="313">
        <f>IFERROR(IF(INDEX([1]Pivot!$BF$1:$CG$65000,$B826,AR$5)=1,1,IF(INDEX([1]Pivot!$B$1:$AB$65000,$B826,AR$5)="",2,0)),0)</f>
        <v>0</v>
      </c>
      <c r="AS826" s="312"/>
      <c r="AT826" s="313">
        <f>IFERROR(IF(INDEX([1]Pivot!$BF$1:$CG$65000,$B826,AT$5)=1,1,IF(INDEX([1]Pivot!$B$1:$AB$65000,$B826,AT$5)="",2,0)),0)</f>
        <v>0</v>
      </c>
      <c r="AU826" s="313">
        <f>IFERROR(IF(INDEX([1]Pivot!$BF$1:$CG$65000,$B826,AU$5)=1,1,IF(INDEX([1]Pivot!$B$1:$AB$65000,$B826,AU$5)="",2,0)),0)</f>
        <v>0</v>
      </c>
      <c r="AV826" s="313">
        <f>IFERROR(IF(INDEX([1]Pivot!$BF$1:$CG$65000,$B826,AV$5)=1,1,IF(INDEX([1]Pivot!$B$1:$AB$65000,$B826,AV$5)="",2,0)),0)</f>
        <v>0</v>
      </c>
      <c r="AW826" s="313">
        <f>IFERROR(IF(INDEX([1]Pivot!$BF$1:$CG$65000,$B826,AW$5)=1,1,IF(INDEX([1]Pivot!$B$1:$AB$65000,$B826,AW$5)="",2,0)),0)</f>
        <v>0</v>
      </c>
      <c r="AX826" s="313">
        <f>IFERROR(IF(INDEX([1]Pivot!$BF$1:$CG$65000,$B826,AX$5)=1,1,IF(INDEX([1]Pivot!$B$1:$AB$65000,$B826,AX$5)="",2,0)),0)</f>
        <v>0</v>
      </c>
      <c r="AY826" s="313">
        <f>IFERROR(IF(INDEX([1]Pivot!$BF$1:$CG$65000,$B826,AY$5)=1,1,IF(INDEX([1]Pivot!$B$1:$AB$65000,$B826,AY$5)="",2,0)),0)</f>
        <v>0</v>
      </c>
      <c r="AZ826" s="313">
        <f>IFERROR(IF(INDEX([1]Pivot!$BF$1:$CG$65000,$B826,AZ$5)=1,1,IF(INDEX([1]Pivot!$B$1:$AB$65000,$B826,AZ$5)="",2,0)),0)</f>
        <v>0</v>
      </c>
      <c r="BA826" s="313">
        <f>IFERROR(IF(INDEX([1]Pivot!$BF$1:$CG$65000,$B826,BA$5)=1,1,IF(INDEX([1]Pivot!$B$1:$AB$65000,$B826,BA$5)="",2,0)),0)</f>
        <v>0</v>
      </c>
      <c r="BB826" s="313">
        <f>IFERROR(IF(INDEX([1]Pivot!$BF$1:$CG$65000,$B826,BB$5)=1,1,IF(INDEX([1]Pivot!$B$1:$AB$65000,$B826,BB$5)="",2,0)),0)</f>
        <v>0</v>
      </c>
      <c r="BC826" s="313">
        <f>IFERROR(IF(INDEX([1]Pivot!$BF$1:$CG$65000,$B826,BC$5)=1,1,IF(INDEX([1]Pivot!$B$1:$AB$65000,$B826,BC$5)="",2,0)),0)</f>
        <v>0</v>
      </c>
      <c r="BD826" s="313">
        <f>IFERROR(IF(INDEX([1]Pivot!$BF$1:$CG$65000,$B826,BD$5)=1,1,IF(INDEX([1]Pivot!$B$1:$AB$65000,$B826,BD$5)="",2,0)),0)</f>
        <v>0</v>
      </c>
    </row>
    <row r="827" spans="1:56" x14ac:dyDescent="0.25">
      <c r="A827" s="288">
        <f>'[2]Raw Milk Prices'!A827</f>
        <v>0</v>
      </c>
      <c r="B827" s="296" t="e">
        <f>MATCH(DATE(LEFT('[2]Raw Milk Prices'!$A827,4),RIGHT('[2]Raw Milk Prices'!$A827,2),1),[1]Pivot!$A$1:$A$65000,0)</f>
        <v>#VALUE!</v>
      </c>
      <c r="C827" s="194">
        <f>IFERROR(IF(INDEX([1]Pivot!$AD$1:$BE$65000,$B827,C$5)=1,1,IF(INDEX([1]Pivot!$B$1:$AB$65000,$B827,C$5)="",2,0)),0)</f>
        <v>0</v>
      </c>
      <c r="D827" s="194">
        <f>IFERROR(IF(INDEX([1]Pivot!$AD$1:$BE$65000,$B827,D$5)=1,1,IF(INDEX([1]Pivot!$B$1:$AB$65000,$B827,D$5)="",2,0)),0)</f>
        <v>0</v>
      </c>
      <c r="E827" s="194">
        <f>IFERROR(IF(INDEX([1]Pivot!$AD$1:$BE$65000,$B827,E$5)=1,1,IF(INDEX([1]Pivot!$B$1:$AB$65000,$B827,E$5)="",2,0)),0)</f>
        <v>0</v>
      </c>
      <c r="F827" s="194">
        <f>IFERROR(IF(INDEX([1]Pivot!$AD$1:$BE$65000,$B827,F$5)=1,1,IF(INDEX([1]Pivot!$B$1:$AB$65000,$B827,F$5)="",2,0)),0)</f>
        <v>0</v>
      </c>
      <c r="G827" s="194">
        <f>IFERROR(IF(INDEX([1]Pivot!$AD$1:$BE$65000,$B827,G$5)=1,1,IF(INDEX([1]Pivot!$B$1:$AB$65000,$B827,G$5)="",2,0)),0)</f>
        <v>0</v>
      </c>
      <c r="H827" s="194">
        <f>IFERROR(IF(INDEX([1]Pivot!$AD$1:$BE$65000,$B827,H$5)=1,1,IF(INDEX([1]Pivot!$B$1:$AB$65000,$B827,H$5)="",2,0)),0)</f>
        <v>0</v>
      </c>
      <c r="I827" s="194">
        <f>IFERROR(IF(INDEX([1]Pivot!$AD$1:$BE$65000,$B827,I$5)=1,1,IF(INDEX([1]Pivot!$B$1:$AB$65000,$B827,I$5)="",2,0)),0)</f>
        <v>0</v>
      </c>
      <c r="J827" s="194">
        <f>IFERROR(IF(INDEX([1]Pivot!$AD$1:$BE$65000,$B827,J$5)=1,1,IF(INDEX([1]Pivot!$B$1:$AB$65000,$B827,J$5)="",2,0)),0)</f>
        <v>0</v>
      </c>
      <c r="K827" s="194">
        <f>IFERROR(IF(INDEX([1]Pivot!$AD$1:$BE$65000,$B827,K$5)=1,1,IF(INDEX([1]Pivot!$B$1:$AB$65000,$B827,K$5)="",2,0)),0)</f>
        <v>0</v>
      </c>
      <c r="L827" s="194">
        <f>IFERROR(IF(INDEX([1]Pivot!$AD$1:$BE$65000,$B827,L$5)=1,1,IF(INDEX([1]Pivot!$B$1:$AB$65000,$B827,L$5)="",2,0)),0)</f>
        <v>0</v>
      </c>
      <c r="M827" s="194">
        <f>IFERROR(IF(INDEX([1]Pivot!$AD$1:$BE$65000,$B827,M$5)=1,1,IF(INDEX([1]Pivot!$B$1:$AB$65000,$B827,M$5)="",2,0)),0)</f>
        <v>0</v>
      </c>
      <c r="N827" s="194">
        <f>IFERROR(IF(INDEX([1]Pivot!$AD$1:$BE$65000,$B827,N$5)=1,1,IF(INDEX([1]Pivot!$B$1:$AB$65000,$B827,N$5)="",2,0)),0)</f>
        <v>0</v>
      </c>
      <c r="O827" s="194">
        <f>IFERROR(IF(INDEX([1]Pivot!$AD$1:$BE$65000,$B827,O$5)=1,1,IF(INDEX([1]Pivot!$B$1:$AB$65000,$B827,O$5)="",2,0)),0)</f>
        <v>0</v>
      </c>
      <c r="P827" s="194">
        <f>IFERROR(IF(INDEX([1]Pivot!$AD$1:$BE$65000,$B827,P$5)=1,1,IF(INDEX([1]Pivot!$B$1:$AB$65000,$B827,P$5)="",2,0)),0)</f>
        <v>0</v>
      </c>
      <c r="Q827" s="194">
        <f>IFERROR(IF(INDEX([1]Pivot!$AD$1:$BE$65000,$B827,Q$5)=1,1,IF(INDEX([1]Pivot!$B$1:$AB$65000,$B827,Q$5)="",2,0)),0)</f>
        <v>0</v>
      </c>
      <c r="R827" s="312"/>
      <c r="S827" s="194">
        <f>IFERROR(IF(INDEX([1]Pivot!$AD$1:$BE$65000,$B827,S$5)=1,1,IF(INDEX([1]Pivot!$B$1:$AB$65000,$B827,S$5)="",2,0)),0)</f>
        <v>0</v>
      </c>
      <c r="T827" s="194">
        <f>IFERROR(IF(INDEX([1]Pivot!$AD$1:$BE$65000,$B827,T$5)=1,1,IF(INDEX([1]Pivot!$B$1:$AB$65000,$B827,T$5)="",2,0)),0)</f>
        <v>0</v>
      </c>
      <c r="U827" s="194">
        <f>IFERROR(IF(INDEX([1]Pivot!$AD$1:$BE$65000,$B827,U$5)=1,1,IF(INDEX([1]Pivot!$B$1:$AB$65000,$B827,U$5)="",2,0)),0)</f>
        <v>0</v>
      </c>
      <c r="V827" s="194">
        <f>IFERROR(IF(INDEX([1]Pivot!$AD$1:$BE$65000,$B827,V$5)=1,1,IF(INDEX([1]Pivot!$B$1:$AB$65000,$B827,V$5)="",2,0)),0)</f>
        <v>0</v>
      </c>
      <c r="W827" s="194">
        <f>IFERROR(IF(INDEX([1]Pivot!$AD$1:$BE$65000,$B827,W$5)=1,1,IF(INDEX([1]Pivot!$B$1:$AB$65000,$B827,W$5)="",2,0)),0)</f>
        <v>0</v>
      </c>
      <c r="X827" s="194">
        <f>IFERROR(IF(INDEX([1]Pivot!$AD$1:$BE$65000,$B827,X$5)=1,1,IF(INDEX([1]Pivot!$B$1:$AB$65000,$B827,X$5)="",2,0)),0)</f>
        <v>0</v>
      </c>
      <c r="Y827" s="194">
        <f>IFERROR(IF(INDEX([1]Pivot!$AD$1:$BE$65000,$B827,Y$5)=1,1,IF(INDEX([1]Pivot!$B$1:$AB$65000,$B827,Y$5)="",2,0)),0)</f>
        <v>0</v>
      </c>
      <c r="Z827" s="194">
        <f>IFERROR(IF(INDEX([1]Pivot!$AD$1:$BE$65000,$B827,Z$5)=1,1,IF(INDEX([1]Pivot!$B$1:$AB$65000,$B827,Z$5)="",2,0)),0)</f>
        <v>0</v>
      </c>
      <c r="AA827" s="194">
        <f>IFERROR(IF(INDEX([1]Pivot!$AD$1:$BE$65000,$B827,AA$5)=1,1,IF(INDEX([1]Pivot!$B$1:$AB$65000,$B827,AA$5)="",2,0)),0)</f>
        <v>0</v>
      </c>
      <c r="AB827" s="194">
        <f>IFERROR(IF(INDEX([1]Pivot!$AD$1:$BE$65000,$B827,AB$5)=1,1,IF(INDEX([1]Pivot!$B$1:$AB$65000,$B827,AB$5)="",2,0)),0)</f>
        <v>0</v>
      </c>
      <c r="AC827" s="194">
        <f>IFERROR(IF(INDEX([1]Pivot!$AD$1:$BE$65000,$B827,AC$5)=1,1,IF(INDEX([1]Pivot!$B$1:$AB$65000,$B827,AC$5)="",2,0)),0)</f>
        <v>0</v>
      </c>
      <c r="AD827" s="313">
        <f>IFERROR(IF(INDEX([1]Pivot!$BF$1:$CG$65000,$B827,AD$5)=1,1,IF(INDEX([1]Pivot!$B$1:$AB$65000,$B827,AD$5)="",2,0)),0)</f>
        <v>0</v>
      </c>
      <c r="AE827" s="313">
        <f>IFERROR(IF(INDEX([1]Pivot!$BF$1:$CG$65000,$B827,AE$5)=1,1,IF(INDEX([1]Pivot!$B$1:$AB$65000,$B827,AE$5)="",2,0)),0)</f>
        <v>0</v>
      </c>
      <c r="AF827" s="313">
        <f>IFERROR(IF(INDEX([1]Pivot!$BF$1:$CG$65000,$B827,AF$5)=1,1,IF(INDEX([1]Pivot!$B$1:$AB$65000,$B827,AF$5)="",2,0)),0)</f>
        <v>0</v>
      </c>
      <c r="AG827" s="313">
        <f>IFERROR(IF(INDEX([1]Pivot!$BF$1:$CG$65000,$B827,AG$5)=1,1,IF(INDEX([1]Pivot!$B$1:$AB$65000,$B827,AG$5)="",2,0)),0)</f>
        <v>0</v>
      </c>
      <c r="AH827" s="313">
        <f>IFERROR(IF(INDEX([1]Pivot!$BF$1:$CG$65000,$B827,AH$5)=1,1,IF(INDEX([1]Pivot!$B$1:$AB$65000,$B827,AH$5)="",2,0)),0)</f>
        <v>0</v>
      </c>
      <c r="AI827" s="313">
        <f>IFERROR(IF(INDEX([1]Pivot!$BF$1:$CG$65000,$B827,AI$5)=1,1,IF(INDEX([1]Pivot!$B$1:$AB$65000,$B827,AI$5)="",2,0)),0)</f>
        <v>0</v>
      </c>
      <c r="AJ827" s="313">
        <f>IFERROR(IF(INDEX([1]Pivot!$BF$1:$CG$65000,$B827,AJ$5)=1,1,IF(INDEX([1]Pivot!$B$1:$AB$65000,$B827,AJ$5)="",2,0)),0)</f>
        <v>0</v>
      </c>
      <c r="AK827" s="313">
        <f>IFERROR(IF(INDEX([1]Pivot!$BF$1:$CG$65000,$B827,AK$5)=1,1,IF(INDEX([1]Pivot!$B$1:$AB$65000,$B827,AK$5)="",2,0)),0)</f>
        <v>0</v>
      </c>
      <c r="AL827" s="313">
        <f>IFERROR(IF(INDEX([1]Pivot!$BF$1:$CG$65000,$B827,AL$5)=1,1,IF(INDEX([1]Pivot!$B$1:$AB$65000,$B827,AL$5)="",2,0)),0)</f>
        <v>0</v>
      </c>
      <c r="AM827" s="313">
        <f>IFERROR(IF(INDEX([1]Pivot!$BF$1:$CG$65000,$B827,AM$5)=1,1,IF(INDEX([1]Pivot!$B$1:$AB$65000,$B827,AM$5)="",2,0)),0)</f>
        <v>0</v>
      </c>
      <c r="AN827" s="313">
        <f>IFERROR(IF(INDEX([1]Pivot!$BF$1:$CG$65000,$B827,AN$5)=1,1,IF(INDEX([1]Pivot!$B$1:$AB$65000,$B827,AN$5)="",2,0)),0)</f>
        <v>0</v>
      </c>
      <c r="AO827" s="313">
        <f>IFERROR(IF(INDEX([1]Pivot!$BF$1:$CG$65000,$B827,AO$5)=1,1,IF(INDEX([1]Pivot!$B$1:$AB$65000,$B827,AO$5)="",2,0)),0)</f>
        <v>0</v>
      </c>
      <c r="AP827" s="313">
        <f>IFERROR(IF(INDEX([1]Pivot!$BF$1:$CG$65000,$B827,AP$5)=1,1,IF(INDEX([1]Pivot!$B$1:$AB$65000,$B827,AP$5)="",2,0)),0)</f>
        <v>0</v>
      </c>
      <c r="AQ827" s="313">
        <f>IFERROR(IF(INDEX([1]Pivot!$BF$1:$CG$65000,$B827,AQ$5)=1,1,IF(INDEX([1]Pivot!$B$1:$AB$65000,$B827,AQ$5)="",2,0)),0)</f>
        <v>0</v>
      </c>
      <c r="AR827" s="313">
        <f>IFERROR(IF(INDEX([1]Pivot!$BF$1:$CG$65000,$B827,AR$5)=1,1,IF(INDEX([1]Pivot!$B$1:$AB$65000,$B827,AR$5)="",2,0)),0)</f>
        <v>0</v>
      </c>
      <c r="AS827" s="312"/>
      <c r="AT827" s="313">
        <f>IFERROR(IF(INDEX([1]Pivot!$BF$1:$CG$65000,$B827,AT$5)=1,1,IF(INDEX([1]Pivot!$B$1:$AB$65000,$B827,AT$5)="",2,0)),0)</f>
        <v>0</v>
      </c>
      <c r="AU827" s="313">
        <f>IFERROR(IF(INDEX([1]Pivot!$BF$1:$CG$65000,$B827,AU$5)=1,1,IF(INDEX([1]Pivot!$B$1:$AB$65000,$B827,AU$5)="",2,0)),0)</f>
        <v>0</v>
      </c>
      <c r="AV827" s="313">
        <f>IFERROR(IF(INDEX([1]Pivot!$BF$1:$CG$65000,$B827,AV$5)=1,1,IF(INDEX([1]Pivot!$B$1:$AB$65000,$B827,AV$5)="",2,0)),0)</f>
        <v>0</v>
      </c>
      <c r="AW827" s="313">
        <f>IFERROR(IF(INDEX([1]Pivot!$BF$1:$CG$65000,$B827,AW$5)=1,1,IF(INDEX([1]Pivot!$B$1:$AB$65000,$B827,AW$5)="",2,0)),0)</f>
        <v>0</v>
      </c>
      <c r="AX827" s="313">
        <f>IFERROR(IF(INDEX([1]Pivot!$BF$1:$CG$65000,$B827,AX$5)=1,1,IF(INDEX([1]Pivot!$B$1:$AB$65000,$B827,AX$5)="",2,0)),0)</f>
        <v>0</v>
      </c>
      <c r="AY827" s="313">
        <f>IFERROR(IF(INDEX([1]Pivot!$BF$1:$CG$65000,$B827,AY$5)=1,1,IF(INDEX([1]Pivot!$B$1:$AB$65000,$B827,AY$5)="",2,0)),0)</f>
        <v>0</v>
      </c>
      <c r="AZ827" s="313">
        <f>IFERROR(IF(INDEX([1]Pivot!$BF$1:$CG$65000,$B827,AZ$5)=1,1,IF(INDEX([1]Pivot!$B$1:$AB$65000,$B827,AZ$5)="",2,0)),0)</f>
        <v>0</v>
      </c>
      <c r="BA827" s="313">
        <f>IFERROR(IF(INDEX([1]Pivot!$BF$1:$CG$65000,$B827,BA$5)=1,1,IF(INDEX([1]Pivot!$B$1:$AB$65000,$B827,BA$5)="",2,0)),0)</f>
        <v>0</v>
      </c>
      <c r="BB827" s="313">
        <f>IFERROR(IF(INDEX([1]Pivot!$BF$1:$CG$65000,$B827,BB$5)=1,1,IF(INDEX([1]Pivot!$B$1:$AB$65000,$B827,BB$5)="",2,0)),0)</f>
        <v>0</v>
      </c>
      <c r="BC827" s="313">
        <f>IFERROR(IF(INDEX([1]Pivot!$BF$1:$CG$65000,$B827,BC$5)=1,1,IF(INDEX([1]Pivot!$B$1:$AB$65000,$B827,BC$5)="",2,0)),0)</f>
        <v>0</v>
      </c>
      <c r="BD827" s="313">
        <f>IFERROR(IF(INDEX([1]Pivot!$BF$1:$CG$65000,$B827,BD$5)=1,1,IF(INDEX([1]Pivot!$B$1:$AB$65000,$B827,BD$5)="",2,0)),0)</f>
        <v>0</v>
      </c>
    </row>
    <row r="828" spans="1:56" x14ac:dyDescent="0.25">
      <c r="A828" s="288">
        <f>'[2]Raw Milk Prices'!A828</f>
        <v>0</v>
      </c>
      <c r="B828" s="296" t="e">
        <f>MATCH(DATE(LEFT('[2]Raw Milk Prices'!$A828,4),RIGHT('[2]Raw Milk Prices'!$A828,2),1),[1]Pivot!$A$1:$A$65000,0)</f>
        <v>#VALUE!</v>
      </c>
      <c r="C828" s="194">
        <f>IFERROR(IF(INDEX([1]Pivot!$AD$1:$BE$65000,$B828,C$5)=1,1,IF(INDEX([1]Pivot!$B$1:$AB$65000,$B828,C$5)="",2,0)),0)</f>
        <v>0</v>
      </c>
      <c r="D828" s="194">
        <f>IFERROR(IF(INDEX([1]Pivot!$AD$1:$BE$65000,$B828,D$5)=1,1,IF(INDEX([1]Pivot!$B$1:$AB$65000,$B828,D$5)="",2,0)),0)</f>
        <v>0</v>
      </c>
      <c r="E828" s="194">
        <f>IFERROR(IF(INDEX([1]Pivot!$AD$1:$BE$65000,$B828,E$5)=1,1,IF(INDEX([1]Pivot!$B$1:$AB$65000,$B828,E$5)="",2,0)),0)</f>
        <v>0</v>
      </c>
      <c r="F828" s="194">
        <f>IFERROR(IF(INDEX([1]Pivot!$AD$1:$BE$65000,$B828,F$5)=1,1,IF(INDEX([1]Pivot!$B$1:$AB$65000,$B828,F$5)="",2,0)),0)</f>
        <v>0</v>
      </c>
      <c r="G828" s="194">
        <f>IFERROR(IF(INDEX([1]Pivot!$AD$1:$BE$65000,$B828,G$5)=1,1,IF(INDEX([1]Pivot!$B$1:$AB$65000,$B828,G$5)="",2,0)),0)</f>
        <v>0</v>
      </c>
      <c r="H828" s="194">
        <f>IFERROR(IF(INDEX([1]Pivot!$AD$1:$BE$65000,$B828,H$5)=1,1,IF(INDEX([1]Pivot!$B$1:$AB$65000,$B828,H$5)="",2,0)),0)</f>
        <v>0</v>
      </c>
      <c r="I828" s="194">
        <f>IFERROR(IF(INDEX([1]Pivot!$AD$1:$BE$65000,$B828,I$5)=1,1,IF(INDEX([1]Pivot!$B$1:$AB$65000,$B828,I$5)="",2,0)),0)</f>
        <v>0</v>
      </c>
      <c r="J828" s="194">
        <f>IFERROR(IF(INDEX([1]Pivot!$AD$1:$BE$65000,$B828,J$5)=1,1,IF(INDEX([1]Pivot!$B$1:$AB$65000,$B828,J$5)="",2,0)),0)</f>
        <v>0</v>
      </c>
      <c r="K828" s="194">
        <f>IFERROR(IF(INDEX([1]Pivot!$AD$1:$BE$65000,$B828,K$5)=1,1,IF(INDEX([1]Pivot!$B$1:$AB$65000,$B828,K$5)="",2,0)),0)</f>
        <v>0</v>
      </c>
      <c r="L828" s="194">
        <f>IFERROR(IF(INDEX([1]Pivot!$AD$1:$BE$65000,$B828,L$5)=1,1,IF(INDEX([1]Pivot!$B$1:$AB$65000,$B828,L$5)="",2,0)),0)</f>
        <v>0</v>
      </c>
      <c r="M828" s="194">
        <f>IFERROR(IF(INDEX([1]Pivot!$AD$1:$BE$65000,$B828,M$5)=1,1,IF(INDEX([1]Pivot!$B$1:$AB$65000,$B828,M$5)="",2,0)),0)</f>
        <v>0</v>
      </c>
      <c r="N828" s="194">
        <f>IFERROR(IF(INDEX([1]Pivot!$AD$1:$BE$65000,$B828,N$5)=1,1,IF(INDEX([1]Pivot!$B$1:$AB$65000,$B828,N$5)="",2,0)),0)</f>
        <v>0</v>
      </c>
      <c r="O828" s="194">
        <f>IFERROR(IF(INDEX([1]Pivot!$AD$1:$BE$65000,$B828,O$5)=1,1,IF(INDEX([1]Pivot!$B$1:$AB$65000,$B828,O$5)="",2,0)),0)</f>
        <v>0</v>
      </c>
      <c r="P828" s="194">
        <f>IFERROR(IF(INDEX([1]Pivot!$AD$1:$BE$65000,$B828,P$5)=1,1,IF(INDEX([1]Pivot!$B$1:$AB$65000,$B828,P$5)="",2,0)),0)</f>
        <v>0</v>
      </c>
      <c r="Q828" s="194">
        <f>IFERROR(IF(INDEX([1]Pivot!$AD$1:$BE$65000,$B828,Q$5)=1,1,IF(INDEX([1]Pivot!$B$1:$AB$65000,$B828,Q$5)="",2,0)),0)</f>
        <v>0</v>
      </c>
      <c r="R828" s="312"/>
      <c r="S828" s="194">
        <f>IFERROR(IF(INDEX([1]Pivot!$AD$1:$BE$65000,$B828,S$5)=1,1,IF(INDEX([1]Pivot!$B$1:$AB$65000,$B828,S$5)="",2,0)),0)</f>
        <v>0</v>
      </c>
      <c r="T828" s="194">
        <f>IFERROR(IF(INDEX([1]Pivot!$AD$1:$BE$65000,$B828,T$5)=1,1,IF(INDEX([1]Pivot!$B$1:$AB$65000,$B828,T$5)="",2,0)),0)</f>
        <v>0</v>
      </c>
      <c r="U828" s="194">
        <f>IFERROR(IF(INDEX([1]Pivot!$AD$1:$BE$65000,$B828,U$5)=1,1,IF(INDEX([1]Pivot!$B$1:$AB$65000,$B828,U$5)="",2,0)),0)</f>
        <v>0</v>
      </c>
      <c r="V828" s="194">
        <f>IFERROR(IF(INDEX([1]Pivot!$AD$1:$BE$65000,$B828,V$5)=1,1,IF(INDEX([1]Pivot!$B$1:$AB$65000,$B828,V$5)="",2,0)),0)</f>
        <v>0</v>
      </c>
      <c r="W828" s="194">
        <f>IFERROR(IF(INDEX([1]Pivot!$AD$1:$BE$65000,$B828,W$5)=1,1,IF(INDEX([1]Pivot!$B$1:$AB$65000,$B828,W$5)="",2,0)),0)</f>
        <v>0</v>
      </c>
      <c r="X828" s="194">
        <f>IFERROR(IF(INDEX([1]Pivot!$AD$1:$BE$65000,$B828,X$5)=1,1,IF(INDEX([1]Pivot!$B$1:$AB$65000,$B828,X$5)="",2,0)),0)</f>
        <v>0</v>
      </c>
      <c r="Y828" s="194">
        <f>IFERROR(IF(INDEX([1]Pivot!$AD$1:$BE$65000,$B828,Y$5)=1,1,IF(INDEX([1]Pivot!$B$1:$AB$65000,$B828,Y$5)="",2,0)),0)</f>
        <v>0</v>
      </c>
      <c r="Z828" s="194">
        <f>IFERROR(IF(INDEX([1]Pivot!$AD$1:$BE$65000,$B828,Z$5)=1,1,IF(INDEX([1]Pivot!$B$1:$AB$65000,$B828,Z$5)="",2,0)),0)</f>
        <v>0</v>
      </c>
      <c r="AA828" s="194">
        <f>IFERROR(IF(INDEX([1]Pivot!$AD$1:$BE$65000,$B828,AA$5)=1,1,IF(INDEX([1]Pivot!$B$1:$AB$65000,$B828,AA$5)="",2,0)),0)</f>
        <v>0</v>
      </c>
      <c r="AB828" s="194">
        <f>IFERROR(IF(INDEX([1]Pivot!$AD$1:$BE$65000,$B828,AB$5)=1,1,IF(INDEX([1]Pivot!$B$1:$AB$65000,$B828,AB$5)="",2,0)),0)</f>
        <v>0</v>
      </c>
      <c r="AC828" s="194">
        <f>IFERROR(IF(INDEX([1]Pivot!$AD$1:$BE$65000,$B828,AC$5)=1,1,IF(INDEX([1]Pivot!$B$1:$AB$65000,$B828,AC$5)="",2,0)),0)</f>
        <v>0</v>
      </c>
      <c r="AD828" s="313">
        <f>IFERROR(IF(INDEX([1]Pivot!$BF$1:$CG$65000,$B828,AD$5)=1,1,IF(INDEX([1]Pivot!$B$1:$AB$65000,$B828,AD$5)="",2,0)),0)</f>
        <v>0</v>
      </c>
      <c r="AE828" s="313">
        <f>IFERROR(IF(INDEX([1]Pivot!$BF$1:$CG$65000,$B828,AE$5)=1,1,IF(INDEX([1]Pivot!$B$1:$AB$65000,$B828,AE$5)="",2,0)),0)</f>
        <v>0</v>
      </c>
      <c r="AF828" s="313">
        <f>IFERROR(IF(INDEX([1]Pivot!$BF$1:$CG$65000,$B828,AF$5)=1,1,IF(INDEX([1]Pivot!$B$1:$AB$65000,$B828,AF$5)="",2,0)),0)</f>
        <v>0</v>
      </c>
      <c r="AG828" s="313">
        <f>IFERROR(IF(INDEX([1]Pivot!$BF$1:$CG$65000,$B828,AG$5)=1,1,IF(INDEX([1]Pivot!$B$1:$AB$65000,$B828,AG$5)="",2,0)),0)</f>
        <v>0</v>
      </c>
      <c r="AH828" s="313">
        <f>IFERROR(IF(INDEX([1]Pivot!$BF$1:$CG$65000,$B828,AH$5)=1,1,IF(INDEX([1]Pivot!$B$1:$AB$65000,$B828,AH$5)="",2,0)),0)</f>
        <v>0</v>
      </c>
      <c r="AI828" s="313">
        <f>IFERROR(IF(INDEX([1]Pivot!$BF$1:$CG$65000,$B828,AI$5)=1,1,IF(INDEX([1]Pivot!$B$1:$AB$65000,$B828,AI$5)="",2,0)),0)</f>
        <v>0</v>
      </c>
      <c r="AJ828" s="313">
        <f>IFERROR(IF(INDEX([1]Pivot!$BF$1:$CG$65000,$B828,AJ$5)=1,1,IF(INDEX([1]Pivot!$B$1:$AB$65000,$B828,AJ$5)="",2,0)),0)</f>
        <v>0</v>
      </c>
      <c r="AK828" s="313">
        <f>IFERROR(IF(INDEX([1]Pivot!$BF$1:$CG$65000,$B828,AK$5)=1,1,IF(INDEX([1]Pivot!$B$1:$AB$65000,$B828,AK$5)="",2,0)),0)</f>
        <v>0</v>
      </c>
      <c r="AL828" s="313">
        <f>IFERROR(IF(INDEX([1]Pivot!$BF$1:$CG$65000,$B828,AL$5)=1,1,IF(INDEX([1]Pivot!$B$1:$AB$65000,$B828,AL$5)="",2,0)),0)</f>
        <v>0</v>
      </c>
      <c r="AM828" s="313">
        <f>IFERROR(IF(INDEX([1]Pivot!$BF$1:$CG$65000,$B828,AM$5)=1,1,IF(INDEX([1]Pivot!$B$1:$AB$65000,$B828,AM$5)="",2,0)),0)</f>
        <v>0</v>
      </c>
      <c r="AN828" s="313">
        <f>IFERROR(IF(INDEX([1]Pivot!$BF$1:$CG$65000,$B828,AN$5)=1,1,IF(INDEX([1]Pivot!$B$1:$AB$65000,$B828,AN$5)="",2,0)),0)</f>
        <v>0</v>
      </c>
      <c r="AO828" s="313">
        <f>IFERROR(IF(INDEX([1]Pivot!$BF$1:$CG$65000,$B828,AO$5)=1,1,IF(INDEX([1]Pivot!$B$1:$AB$65000,$B828,AO$5)="",2,0)),0)</f>
        <v>0</v>
      </c>
      <c r="AP828" s="313">
        <f>IFERROR(IF(INDEX([1]Pivot!$BF$1:$CG$65000,$B828,AP$5)=1,1,IF(INDEX([1]Pivot!$B$1:$AB$65000,$B828,AP$5)="",2,0)),0)</f>
        <v>0</v>
      </c>
      <c r="AQ828" s="313">
        <f>IFERROR(IF(INDEX([1]Pivot!$BF$1:$CG$65000,$B828,AQ$5)=1,1,IF(INDEX([1]Pivot!$B$1:$AB$65000,$B828,AQ$5)="",2,0)),0)</f>
        <v>0</v>
      </c>
      <c r="AR828" s="313">
        <f>IFERROR(IF(INDEX([1]Pivot!$BF$1:$CG$65000,$B828,AR$5)=1,1,IF(INDEX([1]Pivot!$B$1:$AB$65000,$B828,AR$5)="",2,0)),0)</f>
        <v>0</v>
      </c>
      <c r="AS828" s="312"/>
      <c r="AT828" s="313">
        <f>IFERROR(IF(INDEX([1]Pivot!$BF$1:$CG$65000,$B828,AT$5)=1,1,IF(INDEX([1]Pivot!$B$1:$AB$65000,$B828,AT$5)="",2,0)),0)</f>
        <v>0</v>
      </c>
      <c r="AU828" s="313">
        <f>IFERROR(IF(INDEX([1]Pivot!$BF$1:$CG$65000,$B828,AU$5)=1,1,IF(INDEX([1]Pivot!$B$1:$AB$65000,$B828,AU$5)="",2,0)),0)</f>
        <v>0</v>
      </c>
      <c r="AV828" s="313">
        <f>IFERROR(IF(INDEX([1]Pivot!$BF$1:$CG$65000,$B828,AV$5)=1,1,IF(INDEX([1]Pivot!$B$1:$AB$65000,$B828,AV$5)="",2,0)),0)</f>
        <v>0</v>
      </c>
      <c r="AW828" s="313">
        <f>IFERROR(IF(INDEX([1]Pivot!$BF$1:$CG$65000,$B828,AW$5)=1,1,IF(INDEX([1]Pivot!$B$1:$AB$65000,$B828,AW$5)="",2,0)),0)</f>
        <v>0</v>
      </c>
      <c r="AX828" s="313">
        <f>IFERROR(IF(INDEX([1]Pivot!$BF$1:$CG$65000,$B828,AX$5)=1,1,IF(INDEX([1]Pivot!$B$1:$AB$65000,$B828,AX$5)="",2,0)),0)</f>
        <v>0</v>
      </c>
      <c r="AY828" s="313">
        <f>IFERROR(IF(INDEX([1]Pivot!$BF$1:$CG$65000,$B828,AY$5)=1,1,IF(INDEX([1]Pivot!$B$1:$AB$65000,$B828,AY$5)="",2,0)),0)</f>
        <v>0</v>
      </c>
      <c r="AZ828" s="313">
        <f>IFERROR(IF(INDEX([1]Pivot!$BF$1:$CG$65000,$B828,AZ$5)=1,1,IF(INDEX([1]Pivot!$B$1:$AB$65000,$B828,AZ$5)="",2,0)),0)</f>
        <v>0</v>
      </c>
      <c r="BA828" s="313">
        <f>IFERROR(IF(INDEX([1]Pivot!$BF$1:$CG$65000,$B828,BA$5)=1,1,IF(INDEX([1]Pivot!$B$1:$AB$65000,$B828,BA$5)="",2,0)),0)</f>
        <v>0</v>
      </c>
      <c r="BB828" s="313">
        <f>IFERROR(IF(INDEX([1]Pivot!$BF$1:$CG$65000,$B828,BB$5)=1,1,IF(INDEX([1]Pivot!$B$1:$AB$65000,$B828,BB$5)="",2,0)),0)</f>
        <v>0</v>
      </c>
      <c r="BC828" s="313">
        <f>IFERROR(IF(INDEX([1]Pivot!$BF$1:$CG$65000,$B828,BC$5)=1,1,IF(INDEX([1]Pivot!$B$1:$AB$65000,$B828,BC$5)="",2,0)),0)</f>
        <v>0</v>
      </c>
      <c r="BD828" s="313">
        <f>IFERROR(IF(INDEX([1]Pivot!$BF$1:$CG$65000,$B828,BD$5)=1,1,IF(INDEX([1]Pivot!$B$1:$AB$65000,$B828,BD$5)="",2,0)),0)</f>
        <v>0</v>
      </c>
    </row>
    <row r="829" spans="1:56" x14ac:dyDescent="0.25">
      <c r="A829" s="288">
        <f>'[2]Raw Milk Prices'!A829</f>
        <v>0</v>
      </c>
      <c r="B829" s="296" t="e">
        <f>MATCH(DATE(LEFT('[2]Raw Milk Prices'!$A829,4),RIGHT('[2]Raw Milk Prices'!$A829,2),1),[1]Pivot!$A$1:$A$65000,0)</f>
        <v>#VALUE!</v>
      </c>
      <c r="C829" s="194">
        <f>IFERROR(IF(INDEX([1]Pivot!$AD$1:$BE$65000,$B829,C$5)=1,1,IF(INDEX([1]Pivot!$B$1:$AB$65000,$B829,C$5)="",2,0)),0)</f>
        <v>0</v>
      </c>
      <c r="D829" s="194">
        <f>IFERROR(IF(INDEX([1]Pivot!$AD$1:$BE$65000,$B829,D$5)=1,1,IF(INDEX([1]Pivot!$B$1:$AB$65000,$B829,D$5)="",2,0)),0)</f>
        <v>0</v>
      </c>
      <c r="E829" s="194">
        <f>IFERROR(IF(INDEX([1]Pivot!$AD$1:$BE$65000,$B829,E$5)=1,1,IF(INDEX([1]Pivot!$B$1:$AB$65000,$B829,E$5)="",2,0)),0)</f>
        <v>0</v>
      </c>
      <c r="F829" s="194">
        <f>IFERROR(IF(INDEX([1]Pivot!$AD$1:$BE$65000,$B829,F$5)=1,1,IF(INDEX([1]Pivot!$B$1:$AB$65000,$B829,F$5)="",2,0)),0)</f>
        <v>0</v>
      </c>
      <c r="G829" s="194">
        <f>IFERROR(IF(INDEX([1]Pivot!$AD$1:$BE$65000,$B829,G$5)=1,1,IF(INDEX([1]Pivot!$B$1:$AB$65000,$B829,G$5)="",2,0)),0)</f>
        <v>0</v>
      </c>
      <c r="H829" s="194">
        <f>IFERROR(IF(INDEX([1]Pivot!$AD$1:$BE$65000,$B829,H$5)=1,1,IF(INDEX([1]Pivot!$B$1:$AB$65000,$B829,H$5)="",2,0)),0)</f>
        <v>0</v>
      </c>
      <c r="I829" s="194">
        <f>IFERROR(IF(INDEX([1]Pivot!$AD$1:$BE$65000,$B829,I$5)=1,1,IF(INDEX([1]Pivot!$B$1:$AB$65000,$B829,I$5)="",2,0)),0)</f>
        <v>0</v>
      </c>
      <c r="J829" s="194">
        <f>IFERROR(IF(INDEX([1]Pivot!$AD$1:$BE$65000,$B829,J$5)=1,1,IF(INDEX([1]Pivot!$B$1:$AB$65000,$B829,J$5)="",2,0)),0)</f>
        <v>0</v>
      </c>
      <c r="K829" s="194">
        <f>IFERROR(IF(INDEX([1]Pivot!$AD$1:$BE$65000,$B829,K$5)=1,1,IF(INDEX([1]Pivot!$B$1:$AB$65000,$B829,K$5)="",2,0)),0)</f>
        <v>0</v>
      </c>
      <c r="L829" s="194">
        <f>IFERROR(IF(INDEX([1]Pivot!$AD$1:$BE$65000,$B829,L$5)=1,1,IF(INDEX([1]Pivot!$B$1:$AB$65000,$B829,L$5)="",2,0)),0)</f>
        <v>0</v>
      </c>
      <c r="M829" s="194">
        <f>IFERROR(IF(INDEX([1]Pivot!$AD$1:$BE$65000,$B829,M$5)=1,1,IF(INDEX([1]Pivot!$B$1:$AB$65000,$B829,M$5)="",2,0)),0)</f>
        <v>0</v>
      </c>
      <c r="N829" s="194">
        <f>IFERROR(IF(INDEX([1]Pivot!$AD$1:$BE$65000,$B829,N$5)=1,1,IF(INDEX([1]Pivot!$B$1:$AB$65000,$B829,N$5)="",2,0)),0)</f>
        <v>0</v>
      </c>
      <c r="O829" s="194">
        <f>IFERROR(IF(INDEX([1]Pivot!$AD$1:$BE$65000,$B829,O$5)=1,1,IF(INDEX([1]Pivot!$B$1:$AB$65000,$B829,O$5)="",2,0)),0)</f>
        <v>0</v>
      </c>
      <c r="P829" s="194">
        <f>IFERROR(IF(INDEX([1]Pivot!$AD$1:$BE$65000,$B829,P$5)=1,1,IF(INDEX([1]Pivot!$B$1:$AB$65000,$B829,P$5)="",2,0)),0)</f>
        <v>0</v>
      </c>
      <c r="Q829" s="194">
        <f>IFERROR(IF(INDEX([1]Pivot!$AD$1:$BE$65000,$B829,Q$5)=1,1,IF(INDEX([1]Pivot!$B$1:$AB$65000,$B829,Q$5)="",2,0)),0)</f>
        <v>0</v>
      </c>
      <c r="R829" s="312"/>
      <c r="S829" s="194">
        <f>IFERROR(IF(INDEX([1]Pivot!$AD$1:$BE$65000,$B829,S$5)=1,1,IF(INDEX([1]Pivot!$B$1:$AB$65000,$B829,S$5)="",2,0)),0)</f>
        <v>0</v>
      </c>
      <c r="T829" s="194">
        <f>IFERROR(IF(INDEX([1]Pivot!$AD$1:$BE$65000,$B829,T$5)=1,1,IF(INDEX([1]Pivot!$B$1:$AB$65000,$B829,T$5)="",2,0)),0)</f>
        <v>0</v>
      </c>
      <c r="U829" s="194">
        <f>IFERROR(IF(INDEX([1]Pivot!$AD$1:$BE$65000,$B829,U$5)=1,1,IF(INDEX([1]Pivot!$B$1:$AB$65000,$B829,U$5)="",2,0)),0)</f>
        <v>0</v>
      </c>
      <c r="V829" s="194">
        <f>IFERROR(IF(INDEX([1]Pivot!$AD$1:$BE$65000,$B829,V$5)=1,1,IF(INDEX([1]Pivot!$B$1:$AB$65000,$B829,V$5)="",2,0)),0)</f>
        <v>0</v>
      </c>
      <c r="W829" s="194">
        <f>IFERROR(IF(INDEX([1]Pivot!$AD$1:$BE$65000,$B829,W$5)=1,1,IF(INDEX([1]Pivot!$B$1:$AB$65000,$B829,W$5)="",2,0)),0)</f>
        <v>0</v>
      </c>
      <c r="X829" s="194">
        <f>IFERROR(IF(INDEX([1]Pivot!$AD$1:$BE$65000,$B829,X$5)=1,1,IF(INDEX([1]Pivot!$B$1:$AB$65000,$B829,X$5)="",2,0)),0)</f>
        <v>0</v>
      </c>
      <c r="Y829" s="194">
        <f>IFERROR(IF(INDEX([1]Pivot!$AD$1:$BE$65000,$B829,Y$5)=1,1,IF(INDEX([1]Pivot!$B$1:$AB$65000,$B829,Y$5)="",2,0)),0)</f>
        <v>0</v>
      </c>
      <c r="Z829" s="194">
        <f>IFERROR(IF(INDEX([1]Pivot!$AD$1:$BE$65000,$B829,Z$5)=1,1,IF(INDEX([1]Pivot!$B$1:$AB$65000,$B829,Z$5)="",2,0)),0)</f>
        <v>0</v>
      </c>
      <c r="AA829" s="194">
        <f>IFERROR(IF(INDEX([1]Pivot!$AD$1:$BE$65000,$B829,AA$5)=1,1,IF(INDEX([1]Pivot!$B$1:$AB$65000,$B829,AA$5)="",2,0)),0)</f>
        <v>0</v>
      </c>
      <c r="AB829" s="194">
        <f>IFERROR(IF(INDEX([1]Pivot!$AD$1:$BE$65000,$B829,AB$5)=1,1,IF(INDEX([1]Pivot!$B$1:$AB$65000,$B829,AB$5)="",2,0)),0)</f>
        <v>0</v>
      </c>
      <c r="AC829" s="194">
        <f>IFERROR(IF(INDEX([1]Pivot!$AD$1:$BE$65000,$B829,AC$5)=1,1,IF(INDEX([1]Pivot!$B$1:$AB$65000,$B829,AC$5)="",2,0)),0)</f>
        <v>0</v>
      </c>
      <c r="AD829" s="313">
        <f>IFERROR(IF(INDEX([1]Pivot!$BF$1:$CG$65000,$B829,AD$5)=1,1,IF(INDEX([1]Pivot!$B$1:$AB$65000,$B829,AD$5)="",2,0)),0)</f>
        <v>0</v>
      </c>
      <c r="AE829" s="313">
        <f>IFERROR(IF(INDEX([1]Pivot!$BF$1:$CG$65000,$B829,AE$5)=1,1,IF(INDEX([1]Pivot!$B$1:$AB$65000,$B829,AE$5)="",2,0)),0)</f>
        <v>0</v>
      </c>
      <c r="AF829" s="313">
        <f>IFERROR(IF(INDEX([1]Pivot!$BF$1:$CG$65000,$B829,AF$5)=1,1,IF(INDEX([1]Pivot!$B$1:$AB$65000,$B829,AF$5)="",2,0)),0)</f>
        <v>0</v>
      </c>
      <c r="AG829" s="313">
        <f>IFERROR(IF(INDEX([1]Pivot!$BF$1:$CG$65000,$B829,AG$5)=1,1,IF(INDEX([1]Pivot!$B$1:$AB$65000,$B829,AG$5)="",2,0)),0)</f>
        <v>0</v>
      </c>
      <c r="AH829" s="313">
        <f>IFERROR(IF(INDEX([1]Pivot!$BF$1:$CG$65000,$B829,AH$5)=1,1,IF(INDEX([1]Pivot!$B$1:$AB$65000,$B829,AH$5)="",2,0)),0)</f>
        <v>0</v>
      </c>
      <c r="AI829" s="313">
        <f>IFERROR(IF(INDEX([1]Pivot!$BF$1:$CG$65000,$B829,AI$5)=1,1,IF(INDEX([1]Pivot!$B$1:$AB$65000,$B829,AI$5)="",2,0)),0)</f>
        <v>0</v>
      </c>
      <c r="AJ829" s="313">
        <f>IFERROR(IF(INDEX([1]Pivot!$BF$1:$CG$65000,$B829,AJ$5)=1,1,IF(INDEX([1]Pivot!$B$1:$AB$65000,$B829,AJ$5)="",2,0)),0)</f>
        <v>0</v>
      </c>
      <c r="AK829" s="313">
        <f>IFERROR(IF(INDEX([1]Pivot!$BF$1:$CG$65000,$B829,AK$5)=1,1,IF(INDEX([1]Pivot!$B$1:$AB$65000,$B829,AK$5)="",2,0)),0)</f>
        <v>0</v>
      </c>
      <c r="AL829" s="313">
        <f>IFERROR(IF(INDEX([1]Pivot!$BF$1:$CG$65000,$B829,AL$5)=1,1,IF(INDEX([1]Pivot!$B$1:$AB$65000,$B829,AL$5)="",2,0)),0)</f>
        <v>0</v>
      </c>
      <c r="AM829" s="313">
        <f>IFERROR(IF(INDEX([1]Pivot!$BF$1:$CG$65000,$B829,AM$5)=1,1,IF(INDEX([1]Pivot!$B$1:$AB$65000,$B829,AM$5)="",2,0)),0)</f>
        <v>0</v>
      </c>
      <c r="AN829" s="313">
        <f>IFERROR(IF(INDEX([1]Pivot!$BF$1:$CG$65000,$B829,AN$5)=1,1,IF(INDEX([1]Pivot!$B$1:$AB$65000,$B829,AN$5)="",2,0)),0)</f>
        <v>0</v>
      </c>
      <c r="AO829" s="313">
        <f>IFERROR(IF(INDEX([1]Pivot!$BF$1:$CG$65000,$B829,AO$5)=1,1,IF(INDEX([1]Pivot!$B$1:$AB$65000,$B829,AO$5)="",2,0)),0)</f>
        <v>0</v>
      </c>
      <c r="AP829" s="313">
        <f>IFERROR(IF(INDEX([1]Pivot!$BF$1:$CG$65000,$B829,AP$5)=1,1,IF(INDEX([1]Pivot!$B$1:$AB$65000,$B829,AP$5)="",2,0)),0)</f>
        <v>0</v>
      </c>
      <c r="AQ829" s="313">
        <f>IFERROR(IF(INDEX([1]Pivot!$BF$1:$CG$65000,$B829,AQ$5)=1,1,IF(INDEX([1]Pivot!$B$1:$AB$65000,$B829,AQ$5)="",2,0)),0)</f>
        <v>0</v>
      </c>
      <c r="AR829" s="313">
        <f>IFERROR(IF(INDEX([1]Pivot!$BF$1:$CG$65000,$B829,AR$5)=1,1,IF(INDEX([1]Pivot!$B$1:$AB$65000,$B829,AR$5)="",2,0)),0)</f>
        <v>0</v>
      </c>
      <c r="AS829" s="312"/>
      <c r="AT829" s="313">
        <f>IFERROR(IF(INDEX([1]Pivot!$BF$1:$CG$65000,$B829,AT$5)=1,1,IF(INDEX([1]Pivot!$B$1:$AB$65000,$B829,AT$5)="",2,0)),0)</f>
        <v>0</v>
      </c>
      <c r="AU829" s="313">
        <f>IFERROR(IF(INDEX([1]Pivot!$BF$1:$CG$65000,$B829,AU$5)=1,1,IF(INDEX([1]Pivot!$B$1:$AB$65000,$B829,AU$5)="",2,0)),0)</f>
        <v>0</v>
      </c>
      <c r="AV829" s="313">
        <f>IFERROR(IF(INDEX([1]Pivot!$BF$1:$CG$65000,$B829,AV$5)=1,1,IF(INDEX([1]Pivot!$B$1:$AB$65000,$B829,AV$5)="",2,0)),0)</f>
        <v>0</v>
      </c>
      <c r="AW829" s="313">
        <f>IFERROR(IF(INDEX([1]Pivot!$BF$1:$CG$65000,$B829,AW$5)=1,1,IF(INDEX([1]Pivot!$B$1:$AB$65000,$B829,AW$5)="",2,0)),0)</f>
        <v>0</v>
      </c>
      <c r="AX829" s="313">
        <f>IFERROR(IF(INDEX([1]Pivot!$BF$1:$CG$65000,$B829,AX$5)=1,1,IF(INDEX([1]Pivot!$B$1:$AB$65000,$B829,AX$5)="",2,0)),0)</f>
        <v>0</v>
      </c>
      <c r="AY829" s="313">
        <f>IFERROR(IF(INDEX([1]Pivot!$BF$1:$CG$65000,$B829,AY$5)=1,1,IF(INDEX([1]Pivot!$B$1:$AB$65000,$B829,AY$5)="",2,0)),0)</f>
        <v>0</v>
      </c>
      <c r="AZ829" s="313">
        <f>IFERROR(IF(INDEX([1]Pivot!$BF$1:$CG$65000,$B829,AZ$5)=1,1,IF(INDEX([1]Pivot!$B$1:$AB$65000,$B829,AZ$5)="",2,0)),0)</f>
        <v>0</v>
      </c>
      <c r="BA829" s="313">
        <f>IFERROR(IF(INDEX([1]Pivot!$BF$1:$CG$65000,$B829,BA$5)=1,1,IF(INDEX([1]Pivot!$B$1:$AB$65000,$B829,BA$5)="",2,0)),0)</f>
        <v>0</v>
      </c>
      <c r="BB829" s="313">
        <f>IFERROR(IF(INDEX([1]Pivot!$BF$1:$CG$65000,$B829,BB$5)=1,1,IF(INDEX([1]Pivot!$B$1:$AB$65000,$B829,BB$5)="",2,0)),0)</f>
        <v>0</v>
      </c>
      <c r="BC829" s="313">
        <f>IFERROR(IF(INDEX([1]Pivot!$BF$1:$CG$65000,$B829,BC$5)=1,1,IF(INDEX([1]Pivot!$B$1:$AB$65000,$B829,BC$5)="",2,0)),0)</f>
        <v>0</v>
      </c>
      <c r="BD829" s="313">
        <f>IFERROR(IF(INDEX([1]Pivot!$BF$1:$CG$65000,$B829,BD$5)=1,1,IF(INDEX([1]Pivot!$B$1:$AB$65000,$B829,BD$5)="",2,0)),0)</f>
        <v>0</v>
      </c>
    </row>
    <row r="830" spans="1:56" x14ac:dyDescent="0.25">
      <c r="A830" s="288">
        <f>'[2]Raw Milk Prices'!A830</f>
        <v>0</v>
      </c>
      <c r="B830" s="296" t="e">
        <f>MATCH(DATE(LEFT('[2]Raw Milk Prices'!$A830,4),RIGHT('[2]Raw Milk Prices'!$A830,2),1),[1]Pivot!$A$1:$A$65000,0)</f>
        <v>#VALUE!</v>
      </c>
      <c r="C830" s="194">
        <f>IFERROR(IF(INDEX([1]Pivot!$AD$1:$BE$65000,$B830,C$5)=1,1,IF(INDEX([1]Pivot!$B$1:$AB$65000,$B830,C$5)="",2,0)),0)</f>
        <v>0</v>
      </c>
      <c r="D830" s="194">
        <f>IFERROR(IF(INDEX([1]Pivot!$AD$1:$BE$65000,$B830,D$5)=1,1,IF(INDEX([1]Pivot!$B$1:$AB$65000,$B830,D$5)="",2,0)),0)</f>
        <v>0</v>
      </c>
      <c r="E830" s="194">
        <f>IFERROR(IF(INDEX([1]Pivot!$AD$1:$BE$65000,$B830,E$5)=1,1,IF(INDEX([1]Pivot!$B$1:$AB$65000,$B830,E$5)="",2,0)),0)</f>
        <v>0</v>
      </c>
      <c r="F830" s="194">
        <f>IFERROR(IF(INDEX([1]Pivot!$AD$1:$BE$65000,$B830,F$5)=1,1,IF(INDEX([1]Pivot!$B$1:$AB$65000,$B830,F$5)="",2,0)),0)</f>
        <v>0</v>
      </c>
      <c r="G830" s="194">
        <f>IFERROR(IF(INDEX([1]Pivot!$AD$1:$BE$65000,$B830,G$5)=1,1,IF(INDEX([1]Pivot!$B$1:$AB$65000,$B830,G$5)="",2,0)),0)</f>
        <v>0</v>
      </c>
      <c r="H830" s="194">
        <f>IFERROR(IF(INDEX([1]Pivot!$AD$1:$BE$65000,$B830,H$5)=1,1,IF(INDEX([1]Pivot!$B$1:$AB$65000,$B830,H$5)="",2,0)),0)</f>
        <v>0</v>
      </c>
      <c r="I830" s="194">
        <f>IFERROR(IF(INDEX([1]Pivot!$AD$1:$BE$65000,$B830,I$5)=1,1,IF(INDEX([1]Pivot!$B$1:$AB$65000,$B830,I$5)="",2,0)),0)</f>
        <v>0</v>
      </c>
      <c r="J830" s="194">
        <f>IFERROR(IF(INDEX([1]Pivot!$AD$1:$BE$65000,$B830,J$5)=1,1,IF(INDEX([1]Pivot!$B$1:$AB$65000,$B830,J$5)="",2,0)),0)</f>
        <v>0</v>
      </c>
      <c r="K830" s="194">
        <f>IFERROR(IF(INDEX([1]Pivot!$AD$1:$BE$65000,$B830,K$5)=1,1,IF(INDEX([1]Pivot!$B$1:$AB$65000,$B830,K$5)="",2,0)),0)</f>
        <v>0</v>
      </c>
      <c r="L830" s="194">
        <f>IFERROR(IF(INDEX([1]Pivot!$AD$1:$BE$65000,$B830,L$5)=1,1,IF(INDEX([1]Pivot!$B$1:$AB$65000,$B830,L$5)="",2,0)),0)</f>
        <v>0</v>
      </c>
      <c r="M830" s="194">
        <f>IFERROR(IF(INDEX([1]Pivot!$AD$1:$BE$65000,$B830,M$5)=1,1,IF(INDEX([1]Pivot!$B$1:$AB$65000,$B830,M$5)="",2,0)),0)</f>
        <v>0</v>
      </c>
      <c r="N830" s="194">
        <f>IFERROR(IF(INDEX([1]Pivot!$AD$1:$BE$65000,$B830,N$5)=1,1,IF(INDEX([1]Pivot!$B$1:$AB$65000,$B830,N$5)="",2,0)),0)</f>
        <v>0</v>
      </c>
      <c r="O830" s="194">
        <f>IFERROR(IF(INDEX([1]Pivot!$AD$1:$BE$65000,$B830,O$5)=1,1,IF(INDEX([1]Pivot!$B$1:$AB$65000,$B830,O$5)="",2,0)),0)</f>
        <v>0</v>
      </c>
      <c r="P830" s="194">
        <f>IFERROR(IF(INDEX([1]Pivot!$AD$1:$BE$65000,$B830,P$5)=1,1,IF(INDEX([1]Pivot!$B$1:$AB$65000,$B830,P$5)="",2,0)),0)</f>
        <v>0</v>
      </c>
      <c r="Q830" s="194">
        <f>IFERROR(IF(INDEX([1]Pivot!$AD$1:$BE$65000,$B830,Q$5)=1,1,IF(INDEX([1]Pivot!$B$1:$AB$65000,$B830,Q$5)="",2,0)),0)</f>
        <v>0</v>
      </c>
      <c r="R830" s="312"/>
      <c r="S830" s="194">
        <f>IFERROR(IF(INDEX([1]Pivot!$AD$1:$BE$65000,$B830,S$5)=1,1,IF(INDEX([1]Pivot!$B$1:$AB$65000,$B830,S$5)="",2,0)),0)</f>
        <v>0</v>
      </c>
      <c r="T830" s="194">
        <f>IFERROR(IF(INDEX([1]Pivot!$AD$1:$BE$65000,$B830,T$5)=1,1,IF(INDEX([1]Pivot!$B$1:$AB$65000,$B830,T$5)="",2,0)),0)</f>
        <v>0</v>
      </c>
      <c r="U830" s="194">
        <f>IFERROR(IF(INDEX([1]Pivot!$AD$1:$BE$65000,$B830,U$5)=1,1,IF(INDEX([1]Pivot!$B$1:$AB$65000,$B830,U$5)="",2,0)),0)</f>
        <v>0</v>
      </c>
      <c r="V830" s="194">
        <f>IFERROR(IF(INDEX([1]Pivot!$AD$1:$BE$65000,$B830,V$5)=1,1,IF(INDEX([1]Pivot!$B$1:$AB$65000,$B830,V$5)="",2,0)),0)</f>
        <v>0</v>
      </c>
      <c r="W830" s="194">
        <f>IFERROR(IF(INDEX([1]Pivot!$AD$1:$BE$65000,$B830,W$5)=1,1,IF(INDEX([1]Pivot!$B$1:$AB$65000,$B830,W$5)="",2,0)),0)</f>
        <v>0</v>
      </c>
      <c r="X830" s="194">
        <f>IFERROR(IF(INDEX([1]Pivot!$AD$1:$BE$65000,$B830,X$5)=1,1,IF(INDEX([1]Pivot!$B$1:$AB$65000,$B830,X$5)="",2,0)),0)</f>
        <v>0</v>
      </c>
      <c r="Y830" s="194">
        <f>IFERROR(IF(INDEX([1]Pivot!$AD$1:$BE$65000,$B830,Y$5)=1,1,IF(INDEX([1]Pivot!$B$1:$AB$65000,$B830,Y$5)="",2,0)),0)</f>
        <v>0</v>
      </c>
      <c r="Z830" s="194">
        <f>IFERROR(IF(INDEX([1]Pivot!$AD$1:$BE$65000,$B830,Z$5)=1,1,IF(INDEX([1]Pivot!$B$1:$AB$65000,$B830,Z$5)="",2,0)),0)</f>
        <v>0</v>
      </c>
      <c r="AA830" s="194">
        <f>IFERROR(IF(INDEX([1]Pivot!$AD$1:$BE$65000,$B830,AA$5)=1,1,IF(INDEX([1]Pivot!$B$1:$AB$65000,$B830,AA$5)="",2,0)),0)</f>
        <v>0</v>
      </c>
      <c r="AB830" s="194">
        <f>IFERROR(IF(INDEX([1]Pivot!$AD$1:$BE$65000,$B830,AB$5)=1,1,IF(INDEX([1]Pivot!$B$1:$AB$65000,$B830,AB$5)="",2,0)),0)</f>
        <v>0</v>
      </c>
      <c r="AC830" s="194">
        <f>IFERROR(IF(INDEX([1]Pivot!$AD$1:$BE$65000,$B830,AC$5)=1,1,IF(INDEX([1]Pivot!$B$1:$AB$65000,$B830,AC$5)="",2,0)),0)</f>
        <v>0</v>
      </c>
      <c r="AD830" s="313">
        <f>IFERROR(IF(INDEX([1]Pivot!$BF$1:$CG$65000,$B830,AD$5)=1,1,IF(INDEX([1]Pivot!$B$1:$AB$65000,$B830,AD$5)="",2,0)),0)</f>
        <v>0</v>
      </c>
      <c r="AE830" s="313">
        <f>IFERROR(IF(INDEX([1]Pivot!$BF$1:$CG$65000,$B830,AE$5)=1,1,IF(INDEX([1]Pivot!$B$1:$AB$65000,$B830,AE$5)="",2,0)),0)</f>
        <v>0</v>
      </c>
      <c r="AF830" s="313">
        <f>IFERROR(IF(INDEX([1]Pivot!$BF$1:$CG$65000,$B830,AF$5)=1,1,IF(INDEX([1]Pivot!$B$1:$AB$65000,$B830,AF$5)="",2,0)),0)</f>
        <v>0</v>
      </c>
      <c r="AG830" s="313">
        <f>IFERROR(IF(INDEX([1]Pivot!$BF$1:$CG$65000,$B830,AG$5)=1,1,IF(INDEX([1]Pivot!$B$1:$AB$65000,$B830,AG$5)="",2,0)),0)</f>
        <v>0</v>
      </c>
      <c r="AH830" s="313">
        <f>IFERROR(IF(INDEX([1]Pivot!$BF$1:$CG$65000,$B830,AH$5)=1,1,IF(INDEX([1]Pivot!$B$1:$AB$65000,$B830,AH$5)="",2,0)),0)</f>
        <v>0</v>
      </c>
      <c r="AI830" s="313">
        <f>IFERROR(IF(INDEX([1]Pivot!$BF$1:$CG$65000,$B830,AI$5)=1,1,IF(INDEX([1]Pivot!$B$1:$AB$65000,$B830,AI$5)="",2,0)),0)</f>
        <v>0</v>
      </c>
      <c r="AJ830" s="313">
        <f>IFERROR(IF(INDEX([1]Pivot!$BF$1:$CG$65000,$B830,AJ$5)=1,1,IF(INDEX([1]Pivot!$B$1:$AB$65000,$B830,AJ$5)="",2,0)),0)</f>
        <v>0</v>
      </c>
      <c r="AK830" s="313">
        <f>IFERROR(IF(INDEX([1]Pivot!$BF$1:$CG$65000,$B830,AK$5)=1,1,IF(INDEX([1]Pivot!$B$1:$AB$65000,$B830,AK$5)="",2,0)),0)</f>
        <v>0</v>
      </c>
      <c r="AL830" s="313">
        <f>IFERROR(IF(INDEX([1]Pivot!$BF$1:$CG$65000,$B830,AL$5)=1,1,IF(INDEX([1]Pivot!$B$1:$AB$65000,$B830,AL$5)="",2,0)),0)</f>
        <v>0</v>
      </c>
      <c r="AM830" s="313">
        <f>IFERROR(IF(INDEX([1]Pivot!$BF$1:$CG$65000,$B830,AM$5)=1,1,IF(INDEX([1]Pivot!$B$1:$AB$65000,$B830,AM$5)="",2,0)),0)</f>
        <v>0</v>
      </c>
      <c r="AN830" s="313">
        <f>IFERROR(IF(INDEX([1]Pivot!$BF$1:$CG$65000,$B830,AN$5)=1,1,IF(INDEX([1]Pivot!$B$1:$AB$65000,$B830,AN$5)="",2,0)),0)</f>
        <v>0</v>
      </c>
      <c r="AO830" s="313">
        <f>IFERROR(IF(INDEX([1]Pivot!$BF$1:$CG$65000,$B830,AO$5)=1,1,IF(INDEX([1]Pivot!$B$1:$AB$65000,$B830,AO$5)="",2,0)),0)</f>
        <v>0</v>
      </c>
      <c r="AP830" s="313">
        <f>IFERROR(IF(INDEX([1]Pivot!$BF$1:$CG$65000,$B830,AP$5)=1,1,IF(INDEX([1]Pivot!$B$1:$AB$65000,$B830,AP$5)="",2,0)),0)</f>
        <v>0</v>
      </c>
      <c r="AQ830" s="313">
        <f>IFERROR(IF(INDEX([1]Pivot!$BF$1:$CG$65000,$B830,AQ$5)=1,1,IF(INDEX([1]Pivot!$B$1:$AB$65000,$B830,AQ$5)="",2,0)),0)</f>
        <v>0</v>
      </c>
      <c r="AR830" s="313">
        <f>IFERROR(IF(INDEX([1]Pivot!$BF$1:$CG$65000,$B830,AR$5)=1,1,IF(INDEX([1]Pivot!$B$1:$AB$65000,$B830,AR$5)="",2,0)),0)</f>
        <v>0</v>
      </c>
      <c r="AS830" s="312"/>
      <c r="AT830" s="313">
        <f>IFERROR(IF(INDEX([1]Pivot!$BF$1:$CG$65000,$B830,AT$5)=1,1,IF(INDEX([1]Pivot!$B$1:$AB$65000,$B830,AT$5)="",2,0)),0)</f>
        <v>0</v>
      </c>
      <c r="AU830" s="313">
        <f>IFERROR(IF(INDEX([1]Pivot!$BF$1:$CG$65000,$B830,AU$5)=1,1,IF(INDEX([1]Pivot!$B$1:$AB$65000,$B830,AU$5)="",2,0)),0)</f>
        <v>0</v>
      </c>
      <c r="AV830" s="313">
        <f>IFERROR(IF(INDEX([1]Pivot!$BF$1:$CG$65000,$B830,AV$5)=1,1,IF(INDEX([1]Pivot!$B$1:$AB$65000,$B830,AV$5)="",2,0)),0)</f>
        <v>0</v>
      </c>
      <c r="AW830" s="313">
        <f>IFERROR(IF(INDEX([1]Pivot!$BF$1:$CG$65000,$B830,AW$5)=1,1,IF(INDEX([1]Pivot!$B$1:$AB$65000,$B830,AW$5)="",2,0)),0)</f>
        <v>0</v>
      </c>
      <c r="AX830" s="313">
        <f>IFERROR(IF(INDEX([1]Pivot!$BF$1:$CG$65000,$B830,AX$5)=1,1,IF(INDEX([1]Pivot!$B$1:$AB$65000,$B830,AX$5)="",2,0)),0)</f>
        <v>0</v>
      </c>
      <c r="AY830" s="313">
        <f>IFERROR(IF(INDEX([1]Pivot!$BF$1:$CG$65000,$B830,AY$5)=1,1,IF(INDEX([1]Pivot!$B$1:$AB$65000,$B830,AY$5)="",2,0)),0)</f>
        <v>0</v>
      </c>
      <c r="AZ830" s="313">
        <f>IFERROR(IF(INDEX([1]Pivot!$BF$1:$CG$65000,$B830,AZ$5)=1,1,IF(INDEX([1]Pivot!$B$1:$AB$65000,$B830,AZ$5)="",2,0)),0)</f>
        <v>0</v>
      </c>
      <c r="BA830" s="313">
        <f>IFERROR(IF(INDEX([1]Pivot!$BF$1:$CG$65000,$B830,BA$5)=1,1,IF(INDEX([1]Pivot!$B$1:$AB$65000,$B830,BA$5)="",2,0)),0)</f>
        <v>0</v>
      </c>
      <c r="BB830" s="313">
        <f>IFERROR(IF(INDEX([1]Pivot!$BF$1:$CG$65000,$B830,BB$5)=1,1,IF(INDEX([1]Pivot!$B$1:$AB$65000,$B830,BB$5)="",2,0)),0)</f>
        <v>0</v>
      </c>
      <c r="BC830" s="313">
        <f>IFERROR(IF(INDEX([1]Pivot!$BF$1:$CG$65000,$B830,BC$5)=1,1,IF(INDEX([1]Pivot!$B$1:$AB$65000,$B830,BC$5)="",2,0)),0)</f>
        <v>0</v>
      </c>
      <c r="BD830" s="313">
        <f>IFERROR(IF(INDEX([1]Pivot!$BF$1:$CG$65000,$B830,BD$5)=1,1,IF(INDEX([1]Pivot!$B$1:$AB$65000,$B830,BD$5)="",2,0)),0)</f>
        <v>0</v>
      </c>
    </row>
    <row r="831" spans="1:56" x14ac:dyDescent="0.25">
      <c r="A831" s="288">
        <f>'[2]Raw Milk Prices'!A831</f>
        <v>0</v>
      </c>
      <c r="B831" s="296" t="e">
        <f>MATCH(DATE(LEFT('[2]Raw Milk Prices'!$A831,4),RIGHT('[2]Raw Milk Prices'!$A831,2),1),[1]Pivot!$A$1:$A$65000,0)</f>
        <v>#VALUE!</v>
      </c>
      <c r="C831" s="194">
        <f>IFERROR(IF(INDEX([1]Pivot!$AD$1:$BE$65000,$B831,C$5)=1,1,IF(INDEX([1]Pivot!$B$1:$AB$65000,$B831,C$5)="",2,0)),0)</f>
        <v>0</v>
      </c>
      <c r="D831" s="194">
        <f>IFERROR(IF(INDEX([1]Pivot!$AD$1:$BE$65000,$B831,D$5)=1,1,IF(INDEX([1]Pivot!$B$1:$AB$65000,$B831,D$5)="",2,0)),0)</f>
        <v>0</v>
      </c>
      <c r="E831" s="194">
        <f>IFERROR(IF(INDEX([1]Pivot!$AD$1:$BE$65000,$B831,E$5)=1,1,IF(INDEX([1]Pivot!$B$1:$AB$65000,$B831,E$5)="",2,0)),0)</f>
        <v>0</v>
      </c>
      <c r="F831" s="194">
        <f>IFERROR(IF(INDEX([1]Pivot!$AD$1:$BE$65000,$B831,F$5)=1,1,IF(INDEX([1]Pivot!$B$1:$AB$65000,$B831,F$5)="",2,0)),0)</f>
        <v>0</v>
      </c>
      <c r="G831" s="194">
        <f>IFERROR(IF(INDEX([1]Pivot!$AD$1:$BE$65000,$B831,G$5)=1,1,IF(INDEX([1]Pivot!$B$1:$AB$65000,$B831,G$5)="",2,0)),0)</f>
        <v>0</v>
      </c>
      <c r="H831" s="194">
        <f>IFERROR(IF(INDEX([1]Pivot!$AD$1:$BE$65000,$B831,H$5)=1,1,IF(INDEX([1]Pivot!$B$1:$AB$65000,$B831,H$5)="",2,0)),0)</f>
        <v>0</v>
      </c>
      <c r="I831" s="194">
        <f>IFERROR(IF(INDEX([1]Pivot!$AD$1:$BE$65000,$B831,I$5)=1,1,IF(INDEX([1]Pivot!$B$1:$AB$65000,$B831,I$5)="",2,0)),0)</f>
        <v>0</v>
      </c>
      <c r="J831" s="194">
        <f>IFERROR(IF(INDEX([1]Pivot!$AD$1:$BE$65000,$B831,J$5)=1,1,IF(INDEX([1]Pivot!$B$1:$AB$65000,$B831,J$5)="",2,0)),0)</f>
        <v>0</v>
      </c>
      <c r="K831" s="194">
        <f>IFERROR(IF(INDEX([1]Pivot!$AD$1:$BE$65000,$B831,K$5)=1,1,IF(INDEX([1]Pivot!$B$1:$AB$65000,$B831,K$5)="",2,0)),0)</f>
        <v>0</v>
      </c>
      <c r="L831" s="194">
        <f>IFERROR(IF(INDEX([1]Pivot!$AD$1:$BE$65000,$B831,L$5)=1,1,IF(INDEX([1]Pivot!$B$1:$AB$65000,$B831,L$5)="",2,0)),0)</f>
        <v>0</v>
      </c>
      <c r="M831" s="194">
        <f>IFERROR(IF(INDEX([1]Pivot!$AD$1:$BE$65000,$B831,M$5)=1,1,IF(INDEX([1]Pivot!$B$1:$AB$65000,$B831,M$5)="",2,0)),0)</f>
        <v>0</v>
      </c>
      <c r="N831" s="194">
        <f>IFERROR(IF(INDEX([1]Pivot!$AD$1:$BE$65000,$B831,N$5)=1,1,IF(INDEX([1]Pivot!$B$1:$AB$65000,$B831,N$5)="",2,0)),0)</f>
        <v>0</v>
      </c>
      <c r="O831" s="194">
        <f>IFERROR(IF(INDEX([1]Pivot!$AD$1:$BE$65000,$B831,O$5)=1,1,IF(INDEX([1]Pivot!$B$1:$AB$65000,$B831,O$5)="",2,0)),0)</f>
        <v>0</v>
      </c>
      <c r="P831" s="194">
        <f>IFERROR(IF(INDEX([1]Pivot!$AD$1:$BE$65000,$B831,P$5)=1,1,IF(INDEX([1]Pivot!$B$1:$AB$65000,$B831,P$5)="",2,0)),0)</f>
        <v>0</v>
      </c>
      <c r="Q831" s="194">
        <f>IFERROR(IF(INDEX([1]Pivot!$AD$1:$BE$65000,$B831,Q$5)=1,1,IF(INDEX([1]Pivot!$B$1:$AB$65000,$B831,Q$5)="",2,0)),0)</f>
        <v>0</v>
      </c>
      <c r="R831" s="312"/>
      <c r="S831" s="194">
        <f>IFERROR(IF(INDEX([1]Pivot!$AD$1:$BE$65000,$B831,S$5)=1,1,IF(INDEX([1]Pivot!$B$1:$AB$65000,$B831,S$5)="",2,0)),0)</f>
        <v>0</v>
      </c>
      <c r="T831" s="194">
        <f>IFERROR(IF(INDEX([1]Pivot!$AD$1:$BE$65000,$B831,T$5)=1,1,IF(INDEX([1]Pivot!$B$1:$AB$65000,$B831,T$5)="",2,0)),0)</f>
        <v>0</v>
      </c>
      <c r="U831" s="194">
        <f>IFERROR(IF(INDEX([1]Pivot!$AD$1:$BE$65000,$B831,U$5)=1,1,IF(INDEX([1]Pivot!$B$1:$AB$65000,$B831,U$5)="",2,0)),0)</f>
        <v>0</v>
      </c>
      <c r="V831" s="194">
        <f>IFERROR(IF(INDEX([1]Pivot!$AD$1:$BE$65000,$B831,V$5)=1,1,IF(INDEX([1]Pivot!$B$1:$AB$65000,$B831,V$5)="",2,0)),0)</f>
        <v>0</v>
      </c>
      <c r="W831" s="194">
        <f>IFERROR(IF(INDEX([1]Pivot!$AD$1:$BE$65000,$B831,W$5)=1,1,IF(INDEX([1]Pivot!$B$1:$AB$65000,$B831,W$5)="",2,0)),0)</f>
        <v>0</v>
      </c>
      <c r="X831" s="194">
        <f>IFERROR(IF(INDEX([1]Pivot!$AD$1:$BE$65000,$B831,X$5)=1,1,IF(INDEX([1]Pivot!$B$1:$AB$65000,$B831,X$5)="",2,0)),0)</f>
        <v>0</v>
      </c>
      <c r="Y831" s="194">
        <f>IFERROR(IF(INDEX([1]Pivot!$AD$1:$BE$65000,$B831,Y$5)=1,1,IF(INDEX([1]Pivot!$B$1:$AB$65000,$B831,Y$5)="",2,0)),0)</f>
        <v>0</v>
      </c>
      <c r="Z831" s="194">
        <f>IFERROR(IF(INDEX([1]Pivot!$AD$1:$BE$65000,$B831,Z$5)=1,1,IF(INDEX([1]Pivot!$B$1:$AB$65000,$B831,Z$5)="",2,0)),0)</f>
        <v>0</v>
      </c>
      <c r="AA831" s="194">
        <f>IFERROR(IF(INDEX([1]Pivot!$AD$1:$BE$65000,$B831,AA$5)=1,1,IF(INDEX([1]Pivot!$B$1:$AB$65000,$B831,AA$5)="",2,0)),0)</f>
        <v>0</v>
      </c>
      <c r="AB831" s="194">
        <f>IFERROR(IF(INDEX([1]Pivot!$AD$1:$BE$65000,$B831,AB$5)=1,1,IF(INDEX([1]Pivot!$B$1:$AB$65000,$B831,AB$5)="",2,0)),0)</f>
        <v>0</v>
      </c>
      <c r="AC831" s="194">
        <f>IFERROR(IF(INDEX([1]Pivot!$AD$1:$BE$65000,$B831,AC$5)=1,1,IF(INDEX([1]Pivot!$B$1:$AB$65000,$B831,AC$5)="",2,0)),0)</f>
        <v>0</v>
      </c>
      <c r="AD831" s="313">
        <f>IFERROR(IF(INDEX([1]Pivot!$BF$1:$CG$65000,$B831,AD$5)=1,1,IF(INDEX([1]Pivot!$B$1:$AB$65000,$B831,AD$5)="",2,0)),0)</f>
        <v>0</v>
      </c>
      <c r="AE831" s="313">
        <f>IFERROR(IF(INDEX([1]Pivot!$BF$1:$CG$65000,$B831,AE$5)=1,1,IF(INDEX([1]Pivot!$B$1:$AB$65000,$B831,AE$5)="",2,0)),0)</f>
        <v>0</v>
      </c>
      <c r="AF831" s="313">
        <f>IFERROR(IF(INDEX([1]Pivot!$BF$1:$CG$65000,$B831,AF$5)=1,1,IF(INDEX([1]Pivot!$B$1:$AB$65000,$B831,AF$5)="",2,0)),0)</f>
        <v>0</v>
      </c>
      <c r="AG831" s="313">
        <f>IFERROR(IF(INDEX([1]Pivot!$BF$1:$CG$65000,$B831,AG$5)=1,1,IF(INDEX([1]Pivot!$B$1:$AB$65000,$B831,AG$5)="",2,0)),0)</f>
        <v>0</v>
      </c>
      <c r="AH831" s="313">
        <f>IFERROR(IF(INDEX([1]Pivot!$BF$1:$CG$65000,$B831,AH$5)=1,1,IF(INDEX([1]Pivot!$B$1:$AB$65000,$B831,AH$5)="",2,0)),0)</f>
        <v>0</v>
      </c>
      <c r="AI831" s="313">
        <f>IFERROR(IF(INDEX([1]Pivot!$BF$1:$CG$65000,$B831,AI$5)=1,1,IF(INDEX([1]Pivot!$B$1:$AB$65000,$B831,AI$5)="",2,0)),0)</f>
        <v>0</v>
      </c>
      <c r="AJ831" s="313">
        <f>IFERROR(IF(INDEX([1]Pivot!$BF$1:$CG$65000,$B831,AJ$5)=1,1,IF(INDEX([1]Pivot!$B$1:$AB$65000,$B831,AJ$5)="",2,0)),0)</f>
        <v>0</v>
      </c>
      <c r="AK831" s="313">
        <f>IFERROR(IF(INDEX([1]Pivot!$BF$1:$CG$65000,$B831,AK$5)=1,1,IF(INDEX([1]Pivot!$B$1:$AB$65000,$B831,AK$5)="",2,0)),0)</f>
        <v>0</v>
      </c>
      <c r="AL831" s="313">
        <f>IFERROR(IF(INDEX([1]Pivot!$BF$1:$CG$65000,$B831,AL$5)=1,1,IF(INDEX([1]Pivot!$B$1:$AB$65000,$B831,AL$5)="",2,0)),0)</f>
        <v>0</v>
      </c>
      <c r="AM831" s="313">
        <f>IFERROR(IF(INDEX([1]Pivot!$BF$1:$CG$65000,$B831,AM$5)=1,1,IF(INDEX([1]Pivot!$B$1:$AB$65000,$B831,AM$5)="",2,0)),0)</f>
        <v>0</v>
      </c>
      <c r="AN831" s="313">
        <f>IFERROR(IF(INDEX([1]Pivot!$BF$1:$CG$65000,$B831,AN$5)=1,1,IF(INDEX([1]Pivot!$B$1:$AB$65000,$B831,AN$5)="",2,0)),0)</f>
        <v>0</v>
      </c>
      <c r="AO831" s="313">
        <f>IFERROR(IF(INDEX([1]Pivot!$BF$1:$CG$65000,$B831,AO$5)=1,1,IF(INDEX([1]Pivot!$B$1:$AB$65000,$B831,AO$5)="",2,0)),0)</f>
        <v>0</v>
      </c>
      <c r="AP831" s="313">
        <f>IFERROR(IF(INDEX([1]Pivot!$BF$1:$CG$65000,$B831,AP$5)=1,1,IF(INDEX([1]Pivot!$B$1:$AB$65000,$B831,AP$5)="",2,0)),0)</f>
        <v>0</v>
      </c>
      <c r="AQ831" s="313">
        <f>IFERROR(IF(INDEX([1]Pivot!$BF$1:$CG$65000,$B831,AQ$5)=1,1,IF(INDEX([1]Pivot!$B$1:$AB$65000,$B831,AQ$5)="",2,0)),0)</f>
        <v>0</v>
      </c>
      <c r="AR831" s="313">
        <f>IFERROR(IF(INDEX([1]Pivot!$BF$1:$CG$65000,$B831,AR$5)=1,1,IF(INDEX([1]Pivot!$B$1:$AB$65000,$B831,AR$5)="",2,0)),0)</f>
        <v>0</v>
      </c>
      <c r="AS831" s="312"/>
      <c r="AT831" s="313">
        <f>IFERROR(IF(INDEX([1]Pivot!$BF$1:$CG$65000,$B831,AT$5)=1,1,IF(INDEX([1]Pivot!$B$1:$AB$65000,$B831,AT$5)="",2,0)),0)</f>
        <v>0</v>
      </c>
      <c r="AU831" s="313">
        <f>IFERROR(IF(INDEX([1]Pivot!$BF$1:$CG$65000,$B831,AU$5)=1,1,IF(INDEX([1]Pivot!$B$1:$AB$65000,$B831,AU$5)="",2,0)),0)</f>
        <v>0</v>
      </c>
      <c r="AV831" s="313">
        <f>IFERROR(IF(INDEX([1]Pivot!$BF$1:$CG$65000,$B831,AV$5)=1,1,IF(INDEX([1]Pivot!$B$1:$AB$65000,$B831,AV$5)="",2,0)),0)</f>
        <v>0</v>
      </c>
      <c r="AW831" s="313">
        <f>IFERROR(IF(INDEX([1]Pivot!$BF$1:$CG$65000,$B831,AW$5)=1,1,IF(INDEX([1]Pivot!$B$1:$AB$65000,$B831,AW$5)="",2,0)),0)</f>
        <v>0</v>
      </c>
      <c r="AX831" s="313">
        <f>IFERROR(IF(INDEX([1]Pivot!$BF$1:$CG$65000,$B831,AX$5)=1,1,IF(INDEX([1]Pivot!$B$1:$AB$65000,$B831,AX$5)="",2,0)),0)</f>
        <v>0</v>
      </c>
      <c r="AY831" s="313">
        <f>IFERROR(IF(INDEX([1]Pivot!$BF$1:$CG$65000,$B831,AY$5)=1,1,IF(INDEX([1]Pivot!$B$1:$AB$65000,$B831,AY$5)="",2,0)),0)</f>
        <v>0</v>
      </c>
      <c r="AZ831" s="313">
        <f>IFERROR(IF(INDEX([1]Pivot!$BF$1:$CG$65000,$B831,AZ$5)=1,1,IF(INDEX([1]Pivot!$B$1:$AB$65000,$B831,AZ$5)="",2,0)),0)</f>
        <v>0</v>
      </c>
      <c r="BA831" s="313">
        <f>IFERROR(IF(INDEX([1]Pivot!$BF$1:$CG$65000,$B831,BA$5)=1,1,IF(INDEX([1]Pivot!$B$1:$AB$65000,$B831,BA$5)="",2,0)),0)</f>
        <v>0</v>
      </c>
      <c r="BB831" s="313">
        <f>IFERROR(IF(INDEX([1]Pivot!$BF$1:$CG$65000,$B831,BB$5)=1,1,IF(INDEX([1]Pivot!$B$1:$AB$65000,$B831,BB$5)="",2,0)),0)</f>
        <v>0</v>
      </c>
      <c r="BC831" s="313">
        <f>IFERROR(IF(INDEX([1]Pivot!$BF$1:$CG$65000,$B831,BC$5)=1,1,IF(INDEX([1]Pivot!$B$1:$AB$65000,$B831,BC$5)="",2,0)),0)</f>
        <v>0</v>
      </c>
      <c r="BD831" s="313">
        <f>IFERROR(IF(INDEX([1]Pivot!$BF$1:$CG$65000,$B831,BD$5)=1,1,IF(INDEX([1]Pivot!$B$1:$AB$65000,$B831,BD$5)="",2,0)),0)</f>
        <v>0</v>
      </c>
    </row>
    <row r="832" spans="1:56" x14ac:dyDescent="0.25">
      <c r="A832" s="288">
        <f>'[2]Raw Milk Prices'!A832</f>
        <v>0</v>
      </c>
      <c r="B832" s="296" t="e">
        <f>MATCH(DATE(LEFT('[2]Raw Milk Prices'!$A832,4),RIGHT('[2]Raw Milk Prices'!$A832,2),1),[1]Pivot!$A$1:$A$65000,0)</f>
        <v>#VALUE!</v>
      </c>
      <c r="C832" s="194">
        <f>IFERROR(IF(INDEX([1]Pivot!$AD$1:$BE$65000,$B832,C$5)=1,1,IF(INDEX([1]Pivot!$B$1:$AB$65000,$B832,C$5)="",2,0)),0)</f>
        <v>0</v>
      </c>
      <c r="D832" s="194">
        <f>IFERROR(IF(INDEX([1]Pivot!$AD$1:$BE$65000,$B832,D$5)=1,1,IF(INDEX([1]Pivot!$B$1:$AB$65000,$B832,D$5)="",2,0)),0)</f>
        <v>0</v>
      </c>
      <c r="E832" s="194">
        <f>IFERROR(IF(INDEX([1]Pivot!$AD$1:$BE$65000,$B832,E$5)=1,1,IF(INDEX([1]Pivot!$B$1:$AB$65000,$B832,E$5)="",2,0)),0)</f>
        <v>0</v>
      </c>
      <c r="F832" s="194">
        <f>IFERROR(IF(INDEX([1]Pivot!$AD$1:$BE$65000,$B832,F$5)=1,1,IF(INDEX([1]Pivot!$B$1:$AB$65000,$B832,F$5)="",2,0)),0)</f>
        <v>0</v>
      </c>
      <c r="G832" s="194">
        <f>IFERROR(IF(INDEX([1]Pivot!$AD$1:$BE$65000,$B832,G$5)=1,1,IF(INDEX([1]Pivot!$B$1:$AB$65000,$B832,G$5)="",2,0)),0)</f>
        <v>0</v>
      </c>
      <c r="H832" s="194">
        <f>IFERROR(IF(INDEX([1]Pivot!$AD$1:$BE$65000,$B832,H$5)=1,1,IF(INDEX([1]Pivot!$B$1:$AB$65000,$B832,H$5)="",2,0)),0)</f>
        <v>0</v>
      </c>
      <c r="I832" s="194">
        <f>IFERROR(IF(INDEX([1]Pivot!$AD$1:$BE$65000,$B832,I$5)=1,1,IF(INDEX([1]Pivot!$B$1:$AB$65000,$B832,I$5)="",2,0)),0)</f>
        <v>0</v>
      </c>
      <c r="J832" s="194">
        <f>IFERROR(IF(INDEX([1]Pivot!$AD$1:$BE$65000,$B832,J$5)=1,1,IF(INDEX([1]Pivot!$B$1:$AB$65000,$B832,J$5)="",2,0)),0)</f>
        <v>0</v>
      </c>
      <c r="K832" s="194">
        <f>IFERROR(IF(INDEX([1]Pivot!$AD$1:$BE$65000,$B832,K$5)=1,1,IF(INDEX([1]Pivot!$B$1:$AB$65000,$B832,K$5)="",2,0)),0)</f>
        <v>0</v>
      </c>
      <c r="L832" s="194">
        <f>IFERROR(IF(INDEX([1]Pivot!$AD$1:$BE$65000,$B832,L$5)=1,1,IF(INDEX([1]Pivot!$B$1:$AB$65000,$B832,L$5)="",2,0)),0)</f>
        <v>0</v>
      </c>
      <c r="M832" s="194">
        <f>IFERROR(IF(INDEX([1]Pivot!$AD$1:$BE$65000,$B832,M$5)=1,1,IF(INDEX([1]Pivot!$B$1:$AB$65000,$B832,M$5)="",2,0)),0)</f>
        <v>0</v>
      </c>
      <c r="N832" s="194">
        <f>IFERROR(IF(INDEX([1]Pivot!$AD$1:$BE$65000,$B832,N$5)=1,1,IF(INDEX([1]Pivot!$B$1:$AB$65000,$B832,N$5)="",2,0)),0)</f>
        <v>0</v>
      </c>
      <c r="O832" s="194">
        <f>IFERROR(IF(INDEX([1]Pivot!$AD$1:$BE$65000,$B832,O$5)=1,1,IF(INDEX([1]Pivot!$B$1:$AB$65000,$B832,O$5)="",2,0)),0)</f>
        <v>0</v>
      </c>
      <c r="P832" s="194">
        <f>IFERROR(IF(INDEX([1]Pivot!$AD$1:$BE$65000,$B832,P$5)=1,1,IF(INDEX([1]Pivot!$B$1:$AB$65000,$B832,P$5)="",2,0)),0)</f>
        <v>0</v>
      </c>
      <c r="Q832" s="194">
        <f>IFERROR(IF(INDEX([1]Pivot!$AD$1:$BE$65000,$B832,Q$5)=1,1,IF(INDEX([1]Pivot!$B$1:$AB$65000,$B832,Q$5)="",2,0)),0)</f>
        <v>0</v>
      </c>
      <c r="R832" s="312"/>
      <c r="S832" s="194">
        <f>IFERROR(IF(INDEX([1]Pivot!$AD$1:$BE$65000,$B832,S$5)=1,1,IF(INDEX([1]Pivot!$B$1:$AB$65000,$B832,S$5)="",2,0)),0)</f>
        <v>0</v>
      </c>
      <c r="T832" s="194">
        <f>IFERROR(IF(INDEX([1]Pivot!$AD$1:$BE$65000,$B832,T$5)=1,1,IF(INDEX([1]Pivot!$B$1:$AB$65000,$B832,T$5)="",2,0)),0)</f>
        <v>0</v>
      </c>
      <c r="U832" s="194">
        <f>IFERROR(IF(INDEX([1]Pivot!$AD$1:$BE$65000,$B832,U$5)=1,1,IF(INDEX([1]Pivot!$B$1:$AB$65000,$B832,U$5)="",2,0)),0)</f>
        <v>0</v>
      </c>
      <c r="V832" s="194">
        <f>IFERROR(IF(INDEX([1]Pivot!$AD$1:$BE$65000,$B832,V$5)=1,1,IF(INDEX([1]Pivot!$B$1:$AB$65000,$B832,V$5)="",2,0)),0)</f>
        <v>0</v>
      </c>
      <c r="W832" s="194">
        <f>IFERROR(IF(INDEX([1]Pivot!$AD$1:$BE$65000,$B832,W$5)=1,1,IF(INDEX([1]Pivot!$B$1:$AB$65000,$B832,W$5)="",2,0)),0)</f>
        <v>0</v>
      </c>
      <c r="X832" s="194">
        <f>IFERROR(IF(INDEX([1]Pivot!$AD$1:$BE$65000,$B832,X$5)=1,1,IF(INDEX([1]Pivot!$B$1:$AB$65000,$B832,X$5)="",2,0)),0)</f>
        <v>0</v>
      </c>
      <c r="Y832" s="194">
        <f>IFERROR(IF(INDEX([1]Pivot!$AD$1:$BE$65000,$B832,Y$5)=1,1,IF(INDEX([1]Pivot!$B$1:$AB$65000,$B832,Y$5)="",2,0)),0)</f>
        <v>0</v>
      </c>
      <c r="Z832" s="194">
        <f>IFERROR(IF(INDEX([1]Pivot!$AD$1:$BE$65000,$B832,Z$5)=1,1,IF(INDEX([1]Pivot!$B$1:$AB$65000,$B832,Z$5)="",2,0)),0)</f>
        <v>0</v>
      </c>
      <c r="AA832" s="194">
        <f>IFERROR(IF(INDEX([1]Pivot!$AD$1:$BE$65000,$B832,AA$5)=1,1,IF(INDEX([1]Pivot!$B$1:$AB$65000,$B832,AA$5)="",2,0)),0)</f>
        <v>0</v>
      </c>
      <c r="AB832" s="194">
        <f>IFERROR(IF(INDEX([1]Pivot!$AD$1:$BE$65000,$B832,AB$5)=1,1,IF(INDEX([1]Pivot!$B$1:$AB$65000,$B832,AB$5)="",2,0)),0)</f>
        <v>0</v>
      </c>
      <c r="AC832" s="194">
        <f>IFERROR(IF(INDEX([1]Pivot!$AD$1:$BE$65000,$B832,AC$5)=1,1,IF(INDEX([1]Pivot!$B$1:$AB$65000,$B832,AC$5)="",2,0)),0)</f>
        <v>0</v>
      </c>
      <c r="AD832" s="313">
        <f>IFERROR(IF(INDEX([1]Pivot!$BF$1:$CG$65000,$B832,AD$5)=1,1,IF(INDEX([1]Pivot!$B$1:$AB$65000,$B832,AD$5)="",2,0)),0)</f>
        <v>0</v>
      </c>
      <c r="AE832" s="313">
        <f>IFERROR(IF(INDEX([1]Pivot!$BF$1:$CG$65000,$B832,AE$5)=1,1,IF(INDEX([1]Pivot!$B$1:$AB$65000,$B832,AE$5)="",2,0)),0)</f>
        <v>0</v>
      </c>
      <c r="AF832" s="313">
        <f>IFERROR(IF(INDEX([1]Pivot!$BF$1:$CG$65000,$B832,AF$5)=1,1,IF(INDEX([1]Pivot!$B$1:$AB$65000,$B832,AF$5)="",2,0)),0)</f>
        <v>0</v>
      </c>
      <c r="AG832" s="313">
        <f>IFERROR(IF(INDEX([1]Pivot!$BF$1:$CG$65000,$B832,AG$5)=1,1,IF(INDEX([1]Pivot!$B$1:$AB$65000,$B832,AG$5)="",2,0)),0)</f>
        <v>0</v>
      </c>
      <c r="AH832" s="313">
        <f>IFERROR(IF(INDEX([1]Pivot!$BF$1:$CG$65000,$B832,AH$5)=1,1,IF(INDEX([1]Pivot!$B$1:$AB$65000,$B832,AH$5)="",2,0)),0)</f>
        <v>0</v>
      </c>
      <c r="AI832" s="313">
        <f>IFERROR(IF(INDEX([1]Pivot!$BF$1:$CG$65000,$B832,AI$5)=1,1,IF(INDEX([1]Pivot!$B$1:$AB$65000,$B832,AI$5)="",2,0)),0)</f>
        <v>0</v>
      </c>
      <c r="AJ832" s="313">
        <f>IFERROR(IF(INDEX([1]Pivot!$BF$1:$CG$65000,$B832,AJ$5)=1,1,IF(INDEX([1]Pivot!$B$1:$AB$65000,$B832,AJ$5)="",2,0)),0)</f>
        <v>0</v>
      </c>
      <c r="AK832" s="313">
        <f>IFERROR(IF(INDEX([1]Pivot!$BF$1:$CG$65000,$B832,AK$5)=1,1,IF(INDEX([1]Pivot!$B$1:$AB$65000,$B832,AK$5)="",2,0)),0)</f>
        <v>0</v>
      </c>
      <c r="AL832" s="313">
        <f>IFERROR(IF(INDEX([1]Pivot!$BF$1:$CG$65000,$B832,AL$5)=1,1,IF(INDEX([1]Pivot!$B$1:$AB$65000,$B832,AL$5)="",2,0)),0)</f>
        <v>0</v>
      </c>
      <c r="AM832" s="313">
        <f>IFERROR(IF(INDEX([1]Pivot!$BF$1:$CG$65000,$B832,AM$5)=1,1,IF(INDEX([1]Pivot!$B$1:$AB$65000,$B832,AM$5)="",2,0)),0)</f>
        <v>0</v>
      </c>
      <c r="AN832" s="313">
        <f>IFERROR(IF(INDEX([1]Pivot!$BF$1:$CG$65000,$B832,AN$5)=1,1,IF(INDEX([1]Pivot!$B$1:$AB$65000,$B832,AN$5)="",2,0)),0)</f>
        <v>0</v>
      </c>
      <c r="AO832" s="313">
        <f>IFERROR(IF(INDEX([1]Pivot!$BF$1:$CG$65000,$B832,AO$5)=1,1,IF(INDEX([1]Pivot!$B$1:$AB$65000,$B832,AO$5)="",2,0)),0)</f>
        <v>0</v>
      </c>
      <c r="AP832" s="313">
        <f>IFERROR(IF(INDEX([1]Pivot!$BF$1:$CG$65000,$B832,AP$5)=1,1,IF(INDEX([1]Pivot!$B$1:$AB$65000,$B832,AP$5)="",2,0)),0)</f>
        <v>0</v>
      </c>
      <c r="AQ832" s="313">
        <f>IFERROR(IF(INDEX([1]Pivot!$BF$1:$CG$65000,$B832,AQ$5)=1,1,IF(INDEX([1]Pivot!$B$1:$AB$65000,$B832,AQ$5)="",2,0)),0)</f>
        <v>0</v>
      </c>
      <c r="AR832" s="313">
        <f>IFERROR(IF(INDEX([1]Pivot!$BF$1:$CG$65000,$B832,AR$5)=1,1,IF(INDEX([1]Pivot!$B$1:$AB$65000,$B832,AR$5)="",2,0)),0)</f>
        <v>0</v>
      </c>
      <c r="AS832" s="312"/>
      <c r="AT832" s="313">
        <f>IFERROR(IF(INDEX([1]Pivot!$BF$1:$CG$65000,$B832,AT$5)=1,1,IF(INDEX([1]Pivot!$B$1:$AB$65000,$B832,AT$5)="",2,0)),0)</f>
        <v>0</v>
      </c>
      <c r="AU832" s="313">
        <f>IFERROR(IF(INDEX([1]Pivot!$BF$1:$CG$65000,$B832,AU$5)=1,1,IF(INDEX([1]Pivot!$B$1:$AB$65000,$B832,AU$5)="",2,0)),0)</f>
        <v>0</v>
      </c>
      <c r="AV832" s="313">
        <f>IFERROR(IF(INDEX([1]Pivot!$BF$1:$CG$65000,$B832,AV$5)=1,1,IF(INDEX([1]Pivot!$B$1:$AB$65000,$B832,AV$5)="",2,0)),0)</f>
        <v>0</v>
      </c>
      <c r="AW832" s="313">
        <f>IFERROR(IF(INDEX([1]Pivot!$BF$1:$CG$65000,$B832,AW$5)=1,1,IF(INDEX([1]Pivot!$B$1:$AB$65000,$B832,AW$5)="",2,0)),0)</f>
        <v>0</v>
      </c>
      <c r="AX832" s="313">
        <f>IFERROR(IF(INDEX([1]Pivot!$BF$1:$CG$65000,$B832,AX$5)=1,1,IF(INDEX([1]Pivot!$B$1:$AB$65000,$B832,AX$5)="",2,0)),0)</f>
        <v>0</v>
      </c>
      <c r="AY832" s="313">
        <f>IFERROR(IF(INDEX([1]Pivot!$BF$1:$CG$65000,$B832,AY$5)=1,1,IF(INDEX([1]Pivot!$B$1:$AB$65000,$B832,AY$5)="",2,0)),0)</f>
        <v>0</v>
      </c>
      <c r="AZ832" s="313">
        <f>IFERROR(IF(INDEX([1]Pivot!$BF$1:$CG$65000,$B832,AZ$5)=1,1,IF(INDEX([1]Pivot!$B$1:$AB$65000,$B832,AZ$5)="",2,0)),0)</f>
        <v>0</v>
      </c>
      <c r="BA832" s="313">
        <f>IFERROR(IF(INDEX([1]Pivot!$BF$1:$CG$65000,$B832,BA$5)=1,1,IF(INDEX([1]Pivot!$B$1:$AB$65000,$B832,BA$5)="",2,0)),0)</f>
        <v>0</v>
      </c>
      <c r="BB832" s="313">
        <f>IFERROR(IF(INDEX([1]Pivot!$BF$1:$CG$65000,$B832,BB$5)=1,1,IF(INDEX([1]Pivot!$B$1:$AB$65000,$B832,BB$5)="",2,0)),0)</f>
        <v>0</v>
      </c>
      <c r="BC832" s="313">
        <f>IFERROR(IF(INDEX([1]Pivot!$BF$1:$CG$65000,$B832,BC$5)=1,1,IF(INDEX([1]Pivot!$B$1:$AB$65000,$B832,BC$5)="",2,0)),0)</f>
        <v>0</v>
      </c>
      <c r="BD832" s="313">
        <f>IFERROR(IF(INDEX([1]Pivot!$BF$1:$CG$65000,$B832,BD$5)=1,1,IF(INDEX([1]Pivot!$B$1:$AB$65000,$B832,BD$5)="",2,0)),0)</f>
        <v>0</v>
      </c>
    </row>
    <row r="833" spans="1:56" x14ac:dyDescent="0.25">
      <c r="A833" s="288">
        <f>'[2]Raw Milk Prices'!A833</f>
        <v>0</v>
      </c>
      <c r="B833" s="296" t="e">
        <f>MATCH(DATE(LEFT('[2]Raw Milk Prices'!$A833,4),RIGHT('[2]Raw Milk Prices'!$A833,2),1),[1]Pivot!$A$1:$A$65000,0)</f>
        <v>#VALUE!</v>
      </c>
      <c r="C833" s="194">
        <f>IFERROR(IF(INDEX([1]Pivot!$AD$1:$BE$65000,$B833,C$5)=1,1,IF(INDEX([1]Pivot!$B$1:$AB$65000,$B833,C$5)="",2,0)),0)</f>
        <v>0</v>
      </c>
      <c r="D833" s="194">
        <f>IFERROR(IF(INDEX([1]Pivot!$AD$1:$BE$65000,$B833,D$5)=1,1,IF(INDEX([1]Pivot!$B$1:$AB$65000,$B833,D$5)="",2,0)),0)</f>
        <v>0</v>
      </c>
      <c r="E833" s="194">
        <f>IFERROR(IF(INDEX([1]Pivot!$AD$1:$BE$65000,$B833,E$5)=1,1,IF(INDEX([1]Pivot!$B$1:$AB$65000,$B833,E$5)="",2,0)),0)</f>
        <v>0</v>
      </c>
      <c r="F833" s="194">
        <f>IFERROR(IF(INDEX([1]Pivot!$AD$1:$BE$65000,$B833,F$5)=1,1,IF(INDEX([1]Pivot!$B$1:$AB$65000,$B833,F$5)="",2,0)),0)</f>
        <v>0</v>
      </c>
      <c r="G833" s="194">
        <f>IFERROR(IF(INDEX([1]Pivot!$AD$1:$BE$65000,$B833,G$5)=1,1,IF(INDEX([1]Pivot!$B$1:$AB$65000,$B833,G$5)="",2,0)),0)</f>
        <v>0</v>
      </c>
      <c r="H833" s="194">
        <f>IFERROR(IF(INDEX([1]Pivot!$AD$1:$BE$65000,$B833,H$5)=1,1,IF(INDEX([1]Pivot!$B$1:$AB$65000,$B833,H$5)="",2,0)),0)</f>
        <v>0</v>
      </c>
      <c r="I833" s="194">
        <f>IFERROR(IF(INDEX([1]Pivot!$AD$1:$BE$65000,$B833,I$5)=1,1,IF(INDEX([1]Pivot!$B$1:$AB$65000,$B833,I$5)="",2,0)),0)</f>
        <v>0</v>
      </c>
      <c r="J833" s="194">
        <f>IFERROR(IF(INDEX([1]Pivot!$AD$1:$BE$65000,$B833,J$5)=1,1,IF(INDEX([1]Pivot!$B$1:$AB$65000,$B833,J$5)="",2,0)),0)</f>
        <v>0</v>
      </c>
      <c r="K833" s="194">
        <f>IFERROR(IF(INDEX([1]Pivot!$AD$1:$BE$65000,$B833,K$5)=1,1,IF(INDEX([1]Pivot!$B$1:$AB$65000,$B833,K$5)="",2,0)),0)</f>
        <v>0</v>
      </c>
      <c r="L833" s="194">
        <f>IFERROR(IF(INDEX([1]Pivot!$AD$1:$BE$65000,$B833,L$5)=1,1,IF(INDEX([1]Pivot!$B$1:$AB$65000,$B833,L$5)="",2,0)),0)</f>
        <v>0</v>
      </c>
      <c r="M833" s="194">
        <f>IFERROR(IF(INDEX([1]Pivot!$AD$1:$BE$65000,$B833,M$5)=1,1,IF(INDEX([1]Pivot!$B$1:$AB$65000,$B833,M$5)="",2,0)),0)</f>
        <v>0</v>
      </c>
      <c r="N833" s="194">
        <f>IFERROR(IF(INDEX([1]Pivot!$AD$1:$BE$65000,$B833,N$5)=1,1,IF(INDEX([1]Pivot!$B$1:$AB$65000,$B833,N$5)="",2,0)),0)</f>
        <v>0</v>
      </c>
      <c r="O833" s="194">
        <f>IFERROR(IF(INDEX([1]Pivot!$AD$1:$BE$65000,$B833,O$5)=1,1,IF(INDEX([1]Pivot!$B$1:$AB$65000,$B833,O$5)="",2,0)),0)</f>
        <v>0</v>
      </c>
      <c r="P833" s="194">
        <f>IFERROR(IF(INDEX([1]Pivot!$AD$1:$BE$65000,$B833,P$5)=1,1,IF(INDEX([1]Pivot!$B$1:$AB$65000,$B833,P$5)="",2,0)),0)</f>
        <v>0</v>
      </c>
      <c r="Q833" s="194">
        <f>IFERROR(IF(INDEX([1]Pivot!$AD$1:$BE$65000,$B833,Q$5)=1,1,IF(INDEX([1]Pivot!$B$1:$AB$65000,$B833,Q$5)="",2,0)),0)</f>
        <v>0</v>
      </c>
      <c r="R833" s="312"/>
      <c r="S833" s="194">
        <f>IFERROR(IF(INDEX([1]Pivot!$AD$1:$BE$65000,$B833,S$5)=1,1,IF(INDEX([1]Pivot!$B$1:$AB$65000,$B833,S$5)="",2,0)),0)</f>
        <v>0</v>
      </c>
      <c r="T833" s="194">
        <f>IFERROR(IF(INDEX([1]Pivot!$AD$1:$BE$65000,$B833,T$5)=1,1,IF(INDEX([1]Pivot!$B$1:$AB$65000,$B833,T$5)="",2,0)),0)</f>
        <v>0</v>
      </c>
      <c r="U833" s="194">
        <f>IFERROR(IF(INDEX([1]Pivot!$AD$1:$BE$65000,$B833,U$5)=1,1,IF(INDEX([1]Pivot!$B$1:$AB$65000,$B833,U$5)="",2,0)),0)</f>
        <v>0</v>
      </c>
      <c r="V833" s="194">
        <f>IFERROR(IF(INDEX([1]Pivot!$AD$1:$BE$65000,$B833,V$5)=1,1,IF(INDEX([1]Pivot!$B$1:$AB$65000,$B833,V$5)="",2,0)),0)</f>
        <v>0</v>
      </c>
      <c r="W833" s="194">
        <f>IFERROR(IF(INDEX([1]Pivot!$AD$1:$BE$65000,$B833,W$5)=1,1,IF(INDEX([1]Pivot!$B$1:$AB$65000,$B833,W$5)="",2,0)),0)</f>
        <v>0</v>
      </c>
      <c r="X833" s="194">
        <f>IFERROR(IF(INDEX([1]Pivot!$AD$1:$BE$65000,$B833,X$5)=1,1,IF(INDEX([1]Pivot!$B$1:$AB$65000,$B833,X$5)="",2,0)),0)</f>
        <v>0</v>
      </c>
      <c r="Y833" s="194">
        <f>IFERROR(IF(INDEX([1]Pivot!$AD$1:$BE$65000,$B833,Y$5)=1,1,IF(INDEX([1]Pivot!$B$1:$AB$65000,$B833,Y$5)="",2,0)),0)</f>
        <v>0</v>
      </c>
      <c r="Z833" s="194">
        <f>IFERROR(IF(INDEX([1]Pivot!$AD$1:$BE$65000,$B833,Z$5)=1,1,IF(INDEX([1]Pivot!$B$1:$AB$65000,$B833,Z$5)="",2,0)),0)</f>
        <v>0</v>
      </c>
      <c r="AA833" s="194">
        <f>IFERROR(IF(INDEX([1]Pivot!$AD$1:$BE$65000,$B833,AA$5)=1,1,IF(INDEX([1]Pivot!$B$1:$AB$65000,$B833,AA$5)="",2,0)),0)</f>
        <v>0</v>
      </c>
      <c r="AB833" s="194">
        <f>IFERROR(IF(INDEX([1]Pivot!$AD$1:$BE$65000,$B833,AB$5)=1,1,IF(INDEX([1]Pivot!$B$1:$AB$65000,$B833,AB$5)="",2,0)),0)</f>
        <v>0</v>
      </c>
      <c r="AC833" s="194">
        <f>IFERROR(IF(INDEX([1]Pivot!$AD$1:$BE$65000,$B833,AC$5)=1,1,IF(INDEX([1]Pivot!$B$1:$AB$65000,$B833,AC$5)="",2,0)),0)</f>
        <v>0</v>
      </c>
      <c r="AD833" s="313">
        <f>IFERROR(IF(INDEX([1]Pivot!$BF$1:$CG$65000,$B833,AD$5)=1,1,IF(INDEX([1]Pivot!$B$1:$AB$65000,$B833,AD$5)="",2,0)),0)</f>
        <v>0</v>
      </c>
      <c r="AE833" s="313">
        <f>IFERROR(IF(INDEX([1]Pivot!$BF$1:$CG$65000,$B833,AE$5)=1,1,IF(INDEX([1]Pivot!$B$1:$AB$65000,$B833,AE$5)="",2,0)),0)</f>
        <v>0</v>
      </c>
      <c r="AF833" s="313">
        <f>IFERROR(IF(INDEX([1]Pivot!$BF$1:$CG$65000,$B833,AF$5)=1,1,IF(INDEX([1]Pivot!$B$1:$AB$65000,$B833,AF$5)="",2,0)),0)</f>
        <v>0</v>
      </c>
      <c r="AG833" s="313">
        <f>IFERROR(IF(INDEX([1]Pivot!$BF$1:$CG$65000,$B833,AG$5)=1,1,IF(INDEX([1]Pivot!$B$1:$AB$65000,$B833,AG$5)="",2,0)),0)</f>
        <v>0</v>
      </c>
      <c r="AH833" s="313">
        <f>IFERROR(IF(INDEX([1]Pivot!$BF$1:$CG$65000,$B833,AH$5)=1,1,IF(INDEX([1]Pivot!$B$1:$AB$65000,$B833,AH$5)="",2,0)),0)</f>
        <v>0</v>
      </c>
      <c r="AI833" s="313">
        <f>IFERROR(IF(INDEX([1]Pivot!$BF$1:$CG$65000,$B833,AI$5)=1,1,IF(INDEX([1]Pivot!$B$1:$AB$65000,$B833,AI$5)="",2,0)),0)</f>
        <v>0</v>
      </c>
      <c r="AJ833" s="313">
        <f>IFERROR(IF(INDEX([1]Pivot!$BF$1:$CG$65000,$B833,AJ$5)=1,1,IF(INDEX([1]Pivot!$B$1:$AB$65000,$B833,AJ$5)="",2,0)),0)</f>
        <v>0</v>
      </c>
      <c r="AK833" s="313">
        <f>IFERROR(IF(INDEX([1]Pivot!$BF$1:$CG$65000,$B833,AK$5)=1,1,IF(INDEX([1]Pivot!$B$1:$AB$65000,$B833,AK$5)="",2,0)),0)</f>
        <v>0</v>
      </c>
      <c r="AL833" s="313">
        <f>IFERROR(IF(INDEX([1]Pivot!$BF$1:$CG$65000,$B833,AL$5)=1,1,IF(INDEX([1]Pivot!$B$1:$AB$65000,$B833,AL$5)="",2,0)),0)</f>
        <v>0</v>
      </c>
      <c r="AM833" s="313">
        <f>IFERROR(IF(INDEX([1]Pivot!$BF$1:$CG$65000,$B833,AM$5)=1,1,IF(INDEX([1]Pivot!$B$1:$AB$65000,$B833,AM$5)="",2,0)),0)</f>
        <v>0</v>
      </c>
      <c r="AN833" s="313">
        <f>IFERROR(IF(INDEX([1]Pivot!$BF$1:$CG$65000,$B833,AN$5)=1,1,IF(INDEX([1]Pivot!$B$1:$AB$65000,$B833,AN$5)="",2,0)),0)</f>
        <v>0</v>
      </c>
      <c r="AO833" s="313">
        <f>IFERROR(IF(INDEX([1]Pivot!$BF$1:$CG$65000,$B833,AO$5)=1,1,IF(INDEX([1]Pivot!$B$1:$AB$65000,$B833,AO$5)="",2,0)),0)</f>
        <v>0</v>
      </c>
      <c r="AP833" s="313">
        <f>IFERROR(IF(INDEX([1]Pivot!$BF$1:$CG$65000,$B833,AP$5)=1,1,IF(INDEX([1]Pivot!$B$1:$AB$65000,$B833,AP$5)="",2,0)),0)</f>
        <v>0</v>
      </c>
      <c r="AQ833" s="313">
        <f>IFERROR(IF(INDEX([1]Pivot!$BF$1:$CG$65000,$B833,AQ$5)=1,1,IF(INDEX([1]Pivot!$B$1:$AB$65000,$B833,AQ$5)="",2,0)),0)</f>
        <v>0</v>
      </c>
      <c r="AR833" s="313">
        <f>IFERROR(IF(INDEX([1]Pivot!$BF$1:$CG$65000,$B833,AR$5)=1,1,IF(INDEX([1]Pivot!$B$1:$AB$65000,$B833,AR$5)="",2,0)),0)</f>
        <v>0</v>
      </c>
      <c r="AS833" s="312"/>
      <c r="AT833" s="313">
        <f>IFERROR(IF(INDEX([1]Pivot!$BF$1:$CG$65000,$B833,AT$5)=1,1,IF(INDEX([1]Pivot!$B$1:$AB$65000,$B833,AT$5)="",2,0)),0)</f>
        <v>0</v>
      </c>
      <c r="AU833" s="313">
        <f>IFERROR(IF(INDEX([1]Pivot!$BF$1:$CG$65000,$B833,AU$5)=1,1,IF(INDEX([1]Pivot!$B$1:$AB$65000,$B833,AU$5)="",2,0)),0)</f>
        <v>0</v>
      </c>
      <c r="AV833" s="313">
        <f>IFERROR(IF(INDEX([1]Pivot!$BF$1:$CG$65000,$B833,AV$5)=1,1,IF(INDEX([1]Pivot!$B$1:$AB$65000,$B833,AV$5)="",2,0)),0)</f>
        <v>0</v>
      </c>
      <c r="AW833" s="313">
        <f>IFERROR(IF(INDEX([1]Pivot!$BF$1:$CG$65000,$B833,AW$5)=1,1,IF(INDEX([1]Pivot!$B$1:$AB$65000,$B833,AW$5)="",2,0)),0)</f>
        <v>0</v>
      </c>
      <c r="AX833" s="313">
        <f>IFERROR(IF(INDEX([1]Pivot!$BF$1:$CG$65000,$B833,AX$5)=1,1,IF(INDEX([1]Pivot!$B$1:$AB$65000,$B833,AX$5)="",2,0)),0)</f>
        <v>0</v>
      </c>
      <c r="AY833" s="313">
        <f>IFERROR(IF(INDEX([1]Pivot!$BF$1:$CG$65000,$B833,AY$5)=1,1,IF(INDEX([1]Pivot!$B$1:$AB$65000,$B833,AY$5)="",2,0)),0)</f>
        <v>0</v>
      </c>
      <c r="AZ833" s="313">
        <f>IFERROR(IF(INDEX([1]Pivot!$BF$1:$CG$65000,$B833,AZ$5)=1,1,IF(INDEX([1]Pivot!$B$1:$AB$65000,$B833,AZ$5)="",2,0)),0)</f>
        <v>0</v>
      </c>
      <c r="BA833" s="313">
        <f>IFERROR(IF(INDEX([1]Pivot!$BF$1:$CG$65000,$B833,BA$5)=1,1,IF(INDEX([1]Pivot!$B$1:$AB$65000,$B833,BA$5)="",2,0)),0)</f>
        <v>0</v>
      </c>
      <c r="BB833" s="313">
        <f>IFERROR(IF(INDEX([1]Pivot!$BF$1:$CG$65000,$B833,BB$5)=1,1,IF(INDEX([1]Pivot!$B$1:$AB$65000,$B833,BB$5)="",2,0)),0)</f>
        <v>0</v>
      </c>
      <c r="BC833" s="313">
        <f>IFERROR(IF(INDEX([1]Pivot!$BF$1:$CG$65000,$B833,BC$5)=1,1,IF(INDEX([1]Pivot!$B$1:$AB$65000,$B833,BC$5)="",2,0)),0)</f>
        <v>0</v>
      </c>
      <c r="BD833" s="313">
        <f>IFERROR(IF(INDEX([1]Pivot!$BF$1:$CG$65000,$B833,BD$5)=1,1,IF(INDEX([1]Pivot!$B$1:$AB$65000,$B833,BD$5)="",2,0)),0)</f>
        <v>0</v>
      </c>
    </row>
    <row r="834" spans="1:56" x14ac:dyDescent="0.25">
      <c r="A834" s="288">
        <f>'[2]Raw Milk Prices'!A834</f>
        <v>0</v>
      </c>
      <c r="B834" s="296" t="e">
        <f>MATCH(DATE(LEFT('[2]Raw Milk Prices'!$A834,4),RIGHT('[2]Raw Milk Prices'!$A834,2),1),[1]Pivot!$A$1:$A$65000,0)</f>
        <v>#VALUE!</v>
      </c>
      <c r="C834" s="194">
        <f>IFERROR(IF(INDEX([1]Pivot!$AD$1:$BE$65000,$B834,C$5)=1,1,IF(INDEX([1]Pivot!$B$1:$AB$65000,$B834,C$5)="",2,0)),0)</f>
        <v>0</v>
      </c>
      <c r="D834" s="194">
        <f>IFERROR(IF(INDEX([1]Pivot!$AD$1:$BE$65000,$B834,D$5)=1,1,IF(INDEX([1]Pivot!$B$1:$AB$65000,$B834,D$5)="",2,0)),0)</f>
        <v>0</v>
      </c>
      <c r="E834" s="194">
        <f>IFERROR(IF(INDEX([1]Pivot!$AD$1:$BE$65000,$B834,E$5)=1,1,IF(INDEX([1]Pivot!$B$1:$AB$65000,$B834,E$5)="",2,0)),0)</f>
        <v>0</v>
      </c>
      <c r="F834" s="194">
        <f>IFERROR(IF(INDEX([1]Pivot!$AD$1:$BE$65000,$B834,F$5)=1,1,IF(INDEX([1]Pivot!$B$1:$AB$65000,$B834,F$5)="",2,0)),0)</f>
        <v>0</v>
      </c>
      <c r="G834" s="194">
        <f>IFERROR(IF(INDEX([1]Pivot!$AD$1:$BE$65000,$B834,G$5)=1,1,IF(INDEX([1]Pivot!$B$1:$AB$65000,$B834,G$5)="",2,0)),0)</f>
        <v>0</v>
      </c>
      <c r="H834" s="194">
        <f>IFERROR(IF(INDEX([1]Pivot!$AD$1:$BE$65000,$B834,H$5)=1,1,IF(INDEX([1]Pivot!$B$1:$AB$65000,$B834,H$5)="",2,0)),0)</f>
        <v>0</v>
      </c>
      <c r="I834" s="194">
        <f>IFERROR(IF(INDEX([1]Pivot!$AD$1:$BE$65000,$B834,I$5)=1,1,IF(INDEX([1]Pivot!$B$1:$AB$65000,$B834,I$5)="",2,0)),0)</f>
        <v>0</v>
      </c>
      <c r="J834" s="194">
        <f>IFERROR(IF(INDEX([1]Pivot!$AD$1:$BE$65000,$B834,J$5)=1,1,IF(INDEX([1]Pivot!$B$1:$AB$65000,$B834,J$5)="",2,0)),0)</f>
        <v>0</v>
      </c>
      <c r="K834" s="194">
        <f>IFERROR(IF(INDEX([1]Pivot!$AD$1:$BE$65000,$B834,K$5)=1,1,IF(INDEX([1]Pivot!$B$1:$AB$65000,$B834,K$5)="",2,0)),0)</f>
        <v>0</v>
      </c>
      <c r="L834" s="194">
        <f>IFERROR(IF(INDEX([1]Pivot!$AD$1:$BE$65000,$B834,L$5)=1,1,IF(INDEX([1]Pivot!$B$1:$AB$65000,$B834,L$5)="",2,0)),0)</f>
        <v>0</v>
      </c>
      <c r="M834" s="194">
        <f>IFERROR(IF(INDEX([1]Pivot!$AD$1:$BE$65000,$B834,M$5)=1,1,IF(INDEX([1]Pivot!$B$1:$AB$65000,$B834,M$5)="",2,0)),0)</f>
        <v>0</v>
      </c>
      <c r="N834" s="194">
        <f>IFERROR(IF(INDEX([1]Pivot!$AD$1:$BE$65000,$B834,N$5)=1,1,IF(INDEX([1]Pivot!$B$1:$AB$65000,$B834,N$5)="",2,0)),0)</f>
        <v>0</v>
      </c>
      <c r="O834" s="194">
        <f>IFERROR(IF(INDEX([1]Pivot!$AD$1:$BE$65000,$B834,O$5)=1,1,IF(INDEX([1]Pivot!$B$1:$AB$65000,$B834,O$5)="",2,0)),0)</f>
        <v>0</v>
      </c>
      <c r="P834" s="194">
        <f>IFERROR(IF(INDEX([1]Pivot!$AD$1:$BE$65000,$B834,P$5)=1,1,IF(INDEX([1]Pivot!$B$1:$AB$65000,$B834,P$5)="",2,0)),0)</f>
        <v>0</v>
      </c>
      <c r="Q834" s="194">
        <f>IFERROR(IF(INDEX([1]Pivot!$AD$1:$BE$65000,$B834,Q$5)=1,1,IF(INDEX([1]Pivot!$B$1:$AB$65000,$B834,Q$5)="",2,0)),0)</f>
        <v>0</v>
      </c>
      <c r="R834" s="312"/>
      <c r="S834" s="194">
        <f>IFERROR(IF(INDEX([1]Pivot!$AD$1:$BE$65000,$B834,S$5)=1,1,IF(INDEX([1]Pivot!$B$1:$AB$65000,$B834,S$5)="",2,0)),0)</f>
        <v>0</v>
      </c>
      <c r="T834" s="194">
        <f>IFERROR(IF(INDEX([1]Pivot!$AD$1:$BE$65000,$B834,T$5)=1,1,IF(INDEX([1]Pivot!$B$1:$AB$65000,$B834,T$5)="",2,0)),0)</f>
        <v>0</v>
      </c>
      <c r="U834" s="194">
        <f>IFERROR(IF(INDEX([1]Pivot!$AD$1:$BE$65000,$B834,U$5)=1,1,IF(INDEX([1]Pivot!$B$1:$AB$65000,$B834,U$5)="",2,0)),0)</f>
        <v>0</v>
      </c>
      <c r="V834" s="194">
        <f>IFERROR(IF(INDEX([1]Pivot!$AD$1:$BE$65000,$B834,V$5)=1,1,IF(INDEX([1]Pivot!$B$1:$AB$65000,$B834,V$5)="",2,0)),0)</f>
        <v>0</v>
      </c>
      <c r="W834" s="194">
        <f>IFERROR(IF(INDEX([1]Pivot!$AD$1:$BE$65000,$B834,W$5)=1,1,IF(INDEX([1]Pivot!$B$1:$AB$65000,$B834,W$5)="",2,0)),0)</f>
        <v>0</v>
      </c>
      <c r="X834" s="194">
        <f>IFERROR(IF(INDEX([1]Pivot!$AD$1:$BE$65000,$B834,X$5)=1,1,IF(INDEX([1]Pivot!$B$1:$AB$65000,$B834,X$5)="",2,0)),0)</f>
        <v>0</v>
      </c>
      <c r="Y834" s="194">
        <f>IFERROR(IF(INDEX([1]Pivot!$AD$1:$BE$65000,$B834,Y$5)=1,1,IF(INDEX([1]Pivot!$B$1:$AB$65000,$B834,Y$5)="",2,0)),0)</f>
        <v>0</v>
      </c>
      <c r="Z834" s="194">
        <f>IFERROR(IF(INDEX([1]Pivot!$AD$1:$BE$65000,$B834,Z$5)=1,1,IF(INDEX([1]Pivot!$B$1:$AB$65000,$B834,Z$5)="",2,0)),0)</f>
        <v>0</v>
      </c>
      <c r="AA834" s="194">
        <f>IFERROR(IF(INDEX([1]Pivot!$AD$1:$BE$65000,$B834,AA$5)=1,1,IF(INDEX([1]Pivot!$B$1:$AB$65000,$B834,AA$5)="",2,0)),0)</f>
        <v>0</v>
      </c>
      <c r="AB834" s="194">
        <f>IFERROR(IF(INDEX([1]Pivot!$AD$1:$BE$65000,$B834,AB$5)=1,1,IF(INDEX([1]Pivot!$B$1:$AB$65000,$B834,AB$5)="",2,0)),0)</f>
        <v>0</v>
      </c>
      <c r="AC834" s="194">
        <f>IFERROR(IF(INDEX([1]Pivot!$AD$1:$BE$65000,$B834,AC$5)=1,1,IF(INDEX([1]Pivot!$B$1:$AB$65000,$B834,AC$5)="",2,0)),0)</f>
        <v>0</v>
      </c>
      <c r="AD834" s="313">
        <f>IFERROR(IF(INDEX([1]Pivot!$BF$1:$CG$65000,$B834,AD$5)=1,1,IF(INDEX([1]Pivot!$B$1:$AB$65000,$B834,AD$5)="",2,0)),0)</f>
        <v>0</v>
      </c>
      <c r="AE834" s="313">
        <f>IFERROR(IF(INDEX([1]Pivot!$BF$1:$CG$65000,$B834,AE$5)=1,1,IF(INDEX([1]Pivot!$B$1:$AB$65000,$B834,AE$5)="",2,0)),0)</f>
        <v>0</v>
      </c>
      <c r="AF834" s="313">
        <f>IFERROR(IF(INDEX([1]Pivot!$BF$1:$CG$65000,$B834,AF$5)=1,1,IF(INDEX([1]Pivot!$B$1:$AB$65000,$B834,AF$5)="",2,0)),0)</f>
        <v>0</v>
      </c>
      <c r="AG834" s="313">
        <f>IFERROR(IF(INDEX([1]Pivot!$BF$1:$CG$65000,$B834,AG$5)=1,1,IF(INDEX([1]Pivot!$B$1:$AB$65000,$B834,AG$5)="",2,0)),0)</f>
        <v>0</v>
      </c>
      <c r="AH834" s="313">
        <f>IFERROR(IF(INDEX([1]Pivot!$BF$1:$CG$65000,$B834,AH$5)=1,1,IF(INDEX([1]Pivot!$B$1:$AB$65000,$B834,AH$5)="",2,0)),0)</f>
        <v>0</v>
      </c>
      <c r="AI834" s="313">
        <f>IFERROR(IF(INDEX([1]Pivot!$BF$1:$CG$65000,$B834,AI$5)=1,1,IF(INDEX([1]Pivot!$B$1:$AB$65000,$B834,AI$5)="",2,0)),0)</f>
        <v>0</v>
      </c>
      <c r="AJ834" s="313">
        <f>IFERROR(IF(INDEX([1]Pivot!$BF$1:$CG$65000,$B834,AJ$5)=1,1,IF(INDEX([1]Pivot!$B$1:$AB$65000,$B834,AJ$5)="",2,0)),0)</f>
        <v>0</v>
      </c>
      <c r="AK834" s="313">
        <f>IFERROR(IF(INDEX([1]Pivot!$BF$1:$CG$65000,$B834,AK$5)=1,1,IF(INDEX([1]Pivot!$B$1:$AB$65000,$B834,AK$5)="",2,0)),0)</f>
        <v>0</v>
      </c>
      <c r="AL834" s="313">
        <f>IFERROR(IF(INDEX([1]Pivot!$BF$1:$CG$65000,$B834,AL$5)=1,1,IF(INDEX([1]Pivot!$B$1:$AB$65000,$B834,AL$5)="",2,0)),0)</f>
        <v>0</v>
      </c>
      <c r="AM834" s="313">
        <f>IFERROR(IF(INDEX([1]Pivot!$BF$1:$CG$65000,$B834,AM$5)=1,1,IF(INDEX([1]Pivot!$B$1:$AB$65000,$B834,AM$5)="",2,0)),0)</f>
        <v>0</v>
      </c>
      <c r="AN834" s="313">
        <f>IFERROR(IF(INDEX([1]Pivot!$BF$1:$CG$65000,$B834,AN$5)=1,1,IF(INDEX([1]Pivot!$B$1:$AB$65000,$B834,AN$5)="",2,0)),0)</f>
        <v>0</v>
      </c>
      <c r="AO834" s="313">
        <f>IFERROR(IF(INDEX([1]Pivot!$BF$1:$CG$65000,$B834,AO$5)=1,1,IF(INDEX([1]Pivot!$B$1:$AB$65000,$B834,AO$5)="",2,0)),0)</f>
        <v>0</v>
      </c>
      <c r="AP834" s="313">
        <f>IFERROR(IF(INDEX([1]Pivot!$BF$1:$CG$65000,$B834,AP$5)=1,1,IF(INDEX([1]Pivot!$B$1:$AB$65000,$B834,AP$5)="",2,0)),0)</f>
        <v>0</v>
      </c>
      <c r="AQ834" s="313">
        <f>IFERROR(IF(INDEX([1]Pivot!$BF$1:$CG$65000,$B834,AQ$5)=1,1,IF(INDEX([1]Pivot!$B$1:$AB$65000,$B834,AQ$5)="",2,0)),0)</f>
        <v>0</v>
      </c>
      <c r="AR834" s="313">
        <f>IFERROR(IF(INDEX([1]Pivot!$BF$1:$CG$65000,$B834,AR$5)=1,1,IF(INDEX([1]Pivot!$B$1:$AB$65000,$B834,AR$5)="",2,0)),0)</f>
        <v>0</v>
      </c>
      <c r="AS834" s="312"/>
      <c r="AT834" s="313">
        <f>IFERROR(IF(INDEX([1]Pivot!$BF$1:$CG$65000,$B834,AT$5)=1,1,IF(INDEX([1]Pivot!$B$1:$AB$65000,$B834,AT$5)="",2,0)),0)</f>
        <v>0</v>
      </c>
      <c r="AU834" s="313">
        <f>IFERROR(IF(INDEX([1]Pivot!$BF$1:$CG$65000,$B834,AU$5)=1,1,IF(INDEX([1]Pivot!$B$1:$AB$65000,$B834,AU$5)="",2,0)),0)</f>
        <v>0</v>
      </c>
      <c r="AV834" s="313">
        <f>IFERROR(IF(INDEX([1]Pivot!$BF$1:$CG$65000,$B834,AV$5)=1,1,IF(INDEX([1]Pivot!$B$1:$AB$65000,$B834,AV$5)="",2,0)),0)</f>
        <v>0</v>
      </c>
      <c r="AW834" s="313">
        <f>IFERROR(IF(INDEX([1]Pivot!$BF$1:$CG$65000,$B834,AW$5)=1,1,IF(INDEX([1]Pivot!$B$1:$AB$65000,$B834,AW$5)="",2,0)),0)</f>
        <v>0</v>
      </c>
      <c r="AX834" s="313">
        <f>IFERROR(IF(INDEX([1]Pivot!$BF$1:$CG$65000,$B834,AX$5)=1,1,IF(INDEX([1]Pivot!$B$1:$AB$65000,$B834,AX$5)="",2,0)),0)</f>
        <v>0</v>
      </c>
      <c r="AY834" s="313">
        <f>IFERROR(IF(INDEX([1]Pivot!$BF$1:$CG$65000,$B834,AY$5)=1,1,IF(INDEX([1]Pivot!$B$1:$AB$65000,$B834,AY$5)="",2,0)),0)</f>
        <v>0</v>
      </c>
      <c r="AZ834" s="313">
        <f>IFERROR(IF(INDEX([1]Pivot!$BF$1:$CG$65000,$B834,AZ$5)=1,1,IF(INDEX([1]Pivot!$B$1:$AB$65000,$B834,AZ$5)="",2,0)),0)</f>
        <v>0</v>
      </c>
      <c r="BA834" s="313">
        <f>IFERROR(IF(INDEX([1]Pivot!$BF$1:$CG$65000,$B834,BA$5)=1,1,IF(INDEX([1]Pivot!$B$1:$AB$65000,$B834,BA$5)="",2,0)),0)</f>
        <v>0</v>
      </c>
      <c r="BB834" s="313">
        <f>IFERROR(IF(INDEX([1]Pivot!$BF$1:$CG$65000,$B834,BB$5)=1,1,IF(INDEX([1]Pivot!$B$1:$AB$65000,$B834,BB$5)="",2,0)),0)</f>
        <v>0</v>
      </c>
      <c r="BC834" s="313">
        <f>IFERROR(IF(INDEX([1]Pivot!$BF$1:$CG$65000,$B834,BC$5)=1,1,IF(INDEX([1]Pivot!$B$1:$AB$65000,$B834,BC$5)="",2,0)),0)</f>
        <v>0</v>
      </c>
      <c r="BD834" s="313">
        <f>IFERROR(IF(INDEX([1]Pivot!$BF$1:$CG$65000,$B834,BD$5)=1,1,IF(INDEX([1]Pivot!$B$1:$AB$65000,$B834,BD$5)="",2,0)),0)</f>
        <v>0</v>
      </c>
    </row>
    <row r="835" spans="1:56" x14ac:dyDescent="0.25">
      <c r="A835" s="288">
        <f>'[2]Raw Milk Prices'!A835</f>
        <v>0</v>
      </c>
      <c r="B835" s="296" t="e">
        <f>MATCH(DATE(LEFT('[2]Raw Milk Prices'!$A835,4),RIGHT('[2]Raw Milk Prices'!$A835,2),1),[1]Pivot!$A$1:$A$65000,0)</f>
        <v>#VALUE!</v>
      </c>
      <c r="C835" s="194">
        <f>IFERROR(IF(INDEX([1]Pivot!$AD$1:$BE$65000,$B835,C$5)=1,1,IF(INDEX([1]Pivot!$B$1:$AB$65000,$B835,C$5)="",2,0)),0)</f>
        <v>0</v>
      </c>
      <c r="D835" s="194">
        <f>IFERROR(IF(INDEX([1]Pivot!$AD$1:$BE$65000,$B835,D$5)=1,1,IF(INDEX([1]Pivot!$B$1:$AB$65000,$B835,D$5)="",2,0)),0)</f>
        <v>0</v>
      </c>
      <c r="E835" s="194">
        <f>IFERROR(IF(INDEX([1]Pivot!$AD$1:$BE$65000,$B835,E$5)=1,1,IF(INDEX([1]Pivot!$B$1:$AB$65000,$B835,E$5)="",2,0)),0)</f>
        <v>0</v>
      </c>
      <c r="F835" s="194">
        <f>IFERROR(IF(INDEX([1]Pivot!$AD$1:$BE$65000,$B835,F$5)=1,1,IF(INDEX([1]Pivot!$B$1:$AB$65000,$B835,F$5)="",2,0)),0)</f>
        <v>0</v>
      </c>
      <c r="G835" s="194">
        <f>IFERROR(IF(INDEX([1]Pivot!$AD$1:$BE$65000,$B835,G$5)=1,1,IF(INDEX([1]Pivot!$B$1:$AB$65000,$B835,G$5)="",2,0)),0)</f>
        <v>0</v>
      </c>
      <c r="H835" s="194">
        <f>IFERROR(IF(INDEX([1]Pivot!$AD$1:$BE$65000,$B835,H$5)=1,1,IF(INDEX([1]Pivot!$B$1:$AB$65000,$B835,H$5)="",2,0)),0)</f>
        <v>0</v>
      </c>
      <c r="I835" s="194">
        <f>IFERROR(IF(INDEX([1]Pivot!$AD$1:$BE$65000,$B835,I$5)=1,1,IF(INDEX([1]Pivot!$B$1:$AB$65000,$B835,I$5)="",2,0)),0)</f>
        <v>0</v>
      </c>
      <c r="J835" s="194">
        <f>IFERROR(IF(INDEX([1]Pivot!$AD$1:$BE$65000,$B835,J$5)=1,1,IF(INDEX([1]Pivot!$B$1:$AB$65000,$B835,J$5)="",2,0)),0)</f>
        <v>0</v>
      </c>
      <c r="K835" s="194">
        <f>IFERROR(IF(INDEX([1]Pivot!$AD$1:$BE$65000,$B835,K$5)=1,1,IF(INDEX([1]Pivot!$B$1:$AB$65000,$B835,K$5)="",2,0)),0)</f>
        <v>0</v>
      </c>
      <c r="L835" s="194">
        <f>IFERROR(IF(INDEX([1]Pivot!$AD$1:$BE$65000,$B835,L$5)=1,1,IF(INDEX([1]Pivot!$B$1:$AB$65000,$B835,L$5)="",2,0)),0)</f>
        <v>0</v>
      </c>
      <c r="M835" s="194">
        <f>IFERROR(IF(INDEX([1]Pivot!$AD$1:$BE$65000,$B835,M$5)=1,1,IF(INDEX([1]Pivot!$B$1:$AB$65000,$B835,M$5)="",2,0)),0)</f>
        <v>0</v>
      </c>
      <c r="N835" s="194">
        <f>IFERROR(IF(INDEX([1]Pivot!$AD$1:$BE$65000,$B835,N$5)=1,1,IF(INDEX([1]Pivot!$B$1:$AB$65000,$B835,N$5)="",2,0)),0)</f>
        <v>0</v>
      </c>
      <c r="O835" s="194">
        <f>IFERROR(IF(INDEX([1]Pivot!$AD$1:$BE$65000,$B835,O$5)=1,1,IF(INDEX([1]Pivot!$B$1:$AB$65000,$B835,O$5)="",2,0)),0)</f>
        <v>0</v>
      </c>
      <c r="P835" s="194">
        <f>IFERROR(IF(INDEX([1]Pivot!$AD$1:$BE$65000,$B835,P$5)=1,1,IF(INDEX([1]Pivot!$B$1:$AB$65000,$B835,P$5)="",2,0)),0)</f>
        <v>0</v>
      </c>
      <c r="Q835" s="194">
        <f>IFERROR(IF(INDEX([1]Pivot!$AD$1:$BE$65000,$B835,Q$5)=1,1,IF(INDEX([1]Pivot!$B$1:$AB$65000,$B835,Q$5)="",2,0)),0)</f>
        <v>0</v>
      </c>
      <c r="R835" s="312"/>
      <c r="S835" s="194">
        <f>IFERROR(IF(INDEX([1]Pivot!$AD$1:$BE$65000,$B835,S$5)=1,1,IF(INDEX([1]Pivot!$B$1:$AB$65000,$B835,S$5)="",2,0)),0)</f>
        <v>0</v>
      </c>
      <c r="T835" s="194">
        <f>IFERROR(IF(INDEX([1]Pivot!$AD$1:$BE$65000,$B835,T$5)=1,1,IF(INDEX([1]Pivot!$B$1:$AB$65000,$B835,T$5)="",2,0)),0)</f>
        <v>0</v>
      </c>
      <c r="U835" s="194">
        <f>IFERROR(IF(INDEX([1]Pivot!$AD$1:$BE$65000,$B835,U$5)=1,1,IF(INDEX([1]Pivot!$B$1:$AB$65000,$B835,U$5)="",2,0)),0)</f>
        <v>0</v>
      </c>
      <c r="V835" s="194">
        <f>IFERROR(IF(INDEX([1]Pivot!$AD$1:$BE$65000,$B835,V$5)=1,1,IF(INDEX([1]Pivot!$B$1:$AB$65000,$B835,V$5)="",2,0)),0)</f>
        <v>0</v>
      </c>
      <c r="W835" s="194">
        <f>IFERROR(IF(INDEX([1]Pivot!$AD$1:$BE$65000,$B835,W$5)=1,1,IF(INDEX([1]Pivot!$B$1:$AB$65000,$B835,W$5)="",2,0)),0)</f>
        <v>0</v>
      </c>
      <c r="X835" s="194">
        <f>IFERROR(IF(INDEX([1]Pivot!$AD$1:$BE$65000,$B835,X$5)=1,1,IF(INDEX([1]Pivot!$B$1:$AB$65000,$B835,X$5)="",2,0)),0)</f>
        <v>0</v>
      </c>
      <c r="Y835" s="194">
        <f>IFERROR(IF(INDEX([1]Pivot!$AD$1:$BE$65000,$B835,Y$5)=1,1,IF(INDEX([1]Pivot!$B$1:$AB$65000,$B835,Y$5)="",2,0)),0)</f>
        <v>0</v>
      </c>
      <c r="Z835" s="194">
        <f>IFERROR(IF(INDEX([1]Pivot!$AD$1:$BE$65000,$B835,Z$5)=1,1,IF(INDEX([1]Pivot!$B$1:$AB$65000,$B835,Z$5)="",2,0)),0)</f>
        <v>0</v>
      </c>
      <c r="AA835" s="194">
        <f>IFERROR(IF(INDEX([1]Pivot!$AD$1:$BE$65000,$B835,AA$5)=1,1,IF(INDEX([1]Pivot!$B$1:$AB$65000,$B835,AA$5)="",2,0)),0)</f>
        <v>0</v>
      </c>
      <c r="AB835" s="194">
        <f>IFERROR(IF(INDEX([1]Pivot!$AD$1:$BE$65000,$B835,AB$5)=1,1,IF(INDEX([1]Pivot!$B$1:$AB$65000,$B835,AB$5)="",2,0)),0)</f>
        <v>0</v>
      </c>
      <c r="AC835" s="194">
        <f>IFERROR(IF(INDEX([1]Pivot!$AD$1:$BE$65000,$B835,AC$5)=1,1,IF(INDEX([1]Pivot!$B$1:$AB$65000,$B835,AC$5)="",2,0)),0)</f>
        <v>0</v>
      </c>
      <c r="AD835" s="313">
        <f>IFERROR(IF(INDEX([1]Pivot!$BF$1:$CG$65000,$B835,AD$5)=1,1,IF(INDEX([1]Pivot!$B$1:$AB$65000,$B835,AD$5)="",2,0)),0)</f>
        <v>0</v>
      </c>
      <c r="AE835" s="313">
        <f>IFERROR(IF(INDEX([1]Pivot!$BF$1:$CG$65000,$B835,AE$5)=1,1,IF(INDEX([1]Pivot!$B$1:$AB$65000,$B835,AE$5)="",2,0)),0)</f>
        <v>0</v>
      </c>
      <c r="AF835" s="313">
        <f>IFERROR(IF(INDEX([1]Pivot!$BF$1:$CG$65000,$B835,AF$5)=1,1,IF(INDEX([1]Pivot!$B$1:$AB$65000,$B835,AF$5)="",2,0)),0)</f>
        <v>0</v>
      </c>
      <c r="AG835" s="313">
        <f>IFERROR(IF(INDEX([1]Pivot!$BF$1:$CG$65000,$B835,AG$5)=1,1,IF(INDEX([1]Pivot!$B$1:$AB$65000,$B835,AG$5)="",2,0)),0)</f>
        <v>0</v>
      </c>
      <c r="AH835" s="313">
        <f>IFERROR(IF(INDEX([1]Pivot!$BF$1:$CG$65000,$B835,AH$5)=1,1,IF(INDEX([1]Pivot!$B$1:$AB$65000,$B835,AH$5)="",2,0)),0)</f>
        <v>0</v>
      </c>
      <c r="AI835" s="313">
        <f>IFERROR(IF(INDEX([1]Pivot!$BF$1:$CG$65000,$B835,AI$5)=1,1,IF(INDEX([1]Pivot!$B$1:$AB$65000,$B835,AI$5)="",2,0)),0)</f>
        <v>0</v>
      </c>
      <c r="AJ835" s="313">
        <f>IFERROR(IF(INDEX([1]Pivot!$BF$1:$CG$65000,$B835,AJ$5)=1,1,IF(INDEX([1]Pivot!$B$1:$AB$65000,$B835,AJ$5)="",2,0)),0)</f>
        <v>0</v>
      </c>
      <c r="AK835" s="313">
        <f>IFERROR(IF(INDEX([1]Pivot!$BF$1:$CG$65000,$B835,AK$5)=1,1,IF(INDEX([1]Pivot!$B$1:$AB$65000,$B835,AK$5)="",2,0)),0)</f>
        <v>0</v>
      </c>
      <c r="AL835" s="313">
        <f>IFERROR(IF(INDEX([1]Pivot!$BF$1:$CG$65000,$B835,AL$5)=1,1,IF(INDEX([1]Pivot!$B$1:$AB$65000,$B835,AL$5)="",2,0)),0)</f>
        <v>0</v>
      </c>
      <c r="AM835" s="313">
        <f>IFERROR(IF(INDEX([1]Pivot!$BF$1:$CG$65000,$B835,AM$5)=1,1,IF(INDEX([1]Pivot!$B$1:$AB$65000,$B835,AM$5)="",2,0)),0)</f>
        <v>0</v>
      </c>
      <c r="AN835" s="313">
        <f>IFERROR(IF(INDEX([1]Pivot!$BF$1:$CG$65000,$B835,AN$5)=1,1,IF(INDEX([1]Pivot!$B$1:$AB$65000,$B835,AN$5)="",2,0)),0)</f>
        <v>0</v>
      </c>
      <c r="AO835" s="313">
        <f>IFERROR(IF(INDEX([1]Pivot!$BF$1:$CG$65000,$B835,AO$5)=1,1,IF(INDEX([1]Pivot!$B$1:$AB$65000,$B835,AO$5)="",2,0)),0)</f>
        <v>0</v>
      </c>
      <c r="AP835" s="313">
        <f>IFERROR(IF(INDEX([1]Pivot!$BF$1:$CG$65000,$B835,AP$5)=1,1,IF(INDEX([1]Pivot!$B$1:$AB$65000,$B835,AP$5)="",2,0)),0)</f>
        <v>0</v>
      </c>
      <c r="AQ835" s="313">
        <f>IFERROR(IF(INDEX([1]Pivot!$BF$1:$CG$65000,$B835,AQ$5)=1,1,IF(INDEX([1]Pivot!$B$1:$AB$65000,$B835,AQ$5)="",2,0)),0)</f>
        <v>0</v>
      </c>
      <c r="AR835" s="313">
        <f>IFERROR(IF(INDEX([1]Pivot!$BF$1:$CG$65000,$B835,AR$5)=1,1,IF(INDEX([1]Pivot!$B$1:$AB$65000,$B835,AR$5)="",2,0)),0)</f>
        <v>0</v>
      </c>
      <c r="AS835" s="312"/>
      <c r="AT835" s="313">
        <f>IFERROR(IF(INDEX([1]Pivot!$BF$1:$CG$65000,$B835,AT$5)=1,1,IF(INDEX([1]Pivot!$B$1:$AB$65000,$B835,AT$5)="",2,0)),0)</f>
        <v>0</v>
      </c>
      <c r="AU835" s="313">
        <f>IFERROR(IF(INDEX([1]Pivot!$BF$1:$CG$65000,$B835,AU$5)=1,1,IF(INDEX([1]Pivot!$B$1:$AB$65000,$B835,AU$5)="",2,0)),0)</f>
        <v>0</v>
      </c>
      <c r="AV835" s="313">
        <f>IFERROR(IF(INDEX([1]Pivot!$BF$1:$CG$65000,$B835,AV$5)=1,1,IF(INDEX([1]Pivot!$B$1:$AB$65000,$B835,AV$5)="",2,0)),0)</f>
        <v>0</v>
      </c>
      <c r="AW835" s="313">
        <f>IFERROR(IF(INDEX([1]Pivot!$BF$1:$CG$65000,$B835,AW$5)=1,1,IF(INDEX([1]Pivot!$B$1:$AB$65000,$B835,AW$5)="",2,0)),0)</f>
        <v>0</v>
      </c>
      <c r="AX835" s="313">
        <f>IFERROR(IF(INDEX([1]Pivot!$BF$1:$CG$65000,$B835,AX$5)=1,1,IF(INDEX([1]Pivot!$B$1:$AB$65000,$B835,AX$5)="",2,0)),0)</f>
        <v>0</v>
      </c>
      <c r="AY835" s="313">
        <f>IFERROR(IF(INDEX([1]Pivot!$BF$1:$CG$65000,$B835,AY$5)=1,1,IF(INDEX([1]Pivot!$B$1:$AB$65000,$B835,AY$5)="",2,0)),0)</f>
        <v>0</v>
      </c>
      <c r="AZ835" s="313">
        <f>IFERROR(IF(INDEX([1]Pivot!$BF$1:$CG$65000,$B835,AZ$5)=1,1,IF(INDEX([1]Pivot!$B$1:$AB$65000,$B835,AZ$5)="",2,0)),0)</f>
        <v>0</v>
      </c>
      <c r="BA835" s="313">
        <f>IFERROR(IF(INDEX([1]Pivot!$BF$1:$CG$65000,$B835,BA$5)=1,1,IF(INDEX([1]Pivot!$B$1:$AB$65000,$B835,BA$5)="",2,0)),0)</f>
        <v>0</v>
      </c>
      <c r="BB835" s="313">
        <f>IFERROR(IF(INDEX([1]Pivot!$BF$1:$CG$65000,$B835,BB$5)=1,1,IF(INDEX([1]Pivot!$B$1:$AB$65000,$B835,BB$5)="",2,0)),0)</f>
        <v>0</v>
      </c>
      <c r="BC835" s="313">
        <f>IFERROR(IF(INDEX([1]Pivot!$BF$1:$CG$65000,$B835,BC$5)=1,1,IF(INDEX([1]Pivot!$B$1:$AB$65000,$B835,BC$5)="",2,0)),0)</f>
        <v>0</v>
      </c>
      <c r="BD835" s="313">
        <f>IFERROR(IF(INDEX([1]Pivot!$BF$1:$CG$65000,$B835,BD$5)=1,1,IF(INDEX([1]Pivot!$B$1:$AB$65000,$B835,BD$5)="",2,0)),0)</f>
        <v>0</v>
      </c>
    </row>
    <row r="836" spans="1:56" x14ac:dyDescent="0.25">
      <c r="A836" s="288">
        <f>'[2]Raw Milk Prices'!A836</f>
        <v>0</v>
      </c>
      <c r="B836" s="296" t="e">
        <f>MATCH(DATE(LEFT('[2]Raw Milk Prices'!$A836,4),RIGHT('[2]Raw Milk Prices'!$A836,2),1),[1]Pivot!$A$1:$A$65000,0)</f>
        <v>#VALUE!</v>
      </c>
      <c r="C836" s="194">
        <f>IFERROR(IF(INDEX([1]Pivot!$AD$1:$BE$65000,$B836,C$5)=1,1,IF(INDEX([1]Pivot!$B$1:$AB$65000,$B836,C$5)="",2,0)),0)</f>
        <v>0</v>
      </c>
      <c r="D836" s="194">
        <f>IFERROR(IF(INDEX([1]Pivot!$AD$1:$BE$65000,$B836,D$5)=1,1,IF(INDEX([1]Pivot!$B$1:$AB$65000,$B836,D$5)="",2,0)),0)</f>
        <v>0</v>
      </c>
      <c r="E836" s="194">
        <f>IFERROR(IF(INDEX([1]Pivot!$AD$1:$BE$65000,$B836,E$5)=1,1,IF(INDEX([1]Pivot!$B$1:$AB$65000,$B836,E$5)="",2,0)),0)</f>
        <v>0</v>
      </c>
      <c r="F836" s="194">
        <f>IFERROR(IF(INDEX([1]Pivot!$AD$1:$BE$65000,$B836,F$5)=1,1,IF(INDEX([1]Pivot!$B$1:$AB$65000,$B836,F$5)="",2,0)),0)</f>
        <v>0</v>
      </c>
      <c r="G836" s="194">
        <f>IFERROR(IF(INDEX([1]Pivot!$AD$1:$BE$65000,$B836,G$5)=1,1,IF(INDEX([1]Pivot!$B$1:$AB$65000,$B836,G$5)="",2,0)),0)</f>
        <v>0</v>
      </c>
      <c r="H836" s="194">
        <f>IFERROR(IF(INDEX([1]Pivot!$AD$1:$BE$65000,$B836,H$5)=1,1,IF(INDEX([1]Pivot!$B$1:$AB$65000,$B836,H$5)="",2,0)),0)</f>
        <v>0</v>
      </c>
      <c r="I836" s="194">
        <f>IFERROR(IF(INDEX([1]Pivot!$AD$1:$BE$65000,$B836,I$5)=1,1,IF(INDEX([1]Pivot!$B$1:$AB$65000,$B836,I$5)="",2,0)),0)</f>
        <v>0</v>
      </c>
      <c r="J836" s="194">
        <f>IFERROR(IF(INDEX([1]Pivot!$AD$1:$BE$65000,$B836,J$5)=1,1,IF(INDEX([1]Pivot!$B$1:$AB$65000,$B836,J$5)="",2,0)),0)</f>
        <v>0</v>
      </c>
      <c r="K836" s="194">
        <f>IFERROR(IF(INDEX([1]Pivot!$AD$1:$BE$65000,$B836,K$5)=1,1,IF(INDEX([1]Pivot!$B$1:$AB$65000,$B836,K$5)="",2,0)),0)</f>
        <v>0</v>
      </c>
      <c r="L836" s="194">
        <f>IFERROR(IF(INDEX([1]Pivot!$AD$1:$BE$65000,$B836,L$5)=1,1,IF(INDEX([1]Pivot!$B$1:$AB$65000,$B836,L$5)="",2,0)),0)</f>
        <v>0</v>
      </c>
      <c r="M836" s="194">
        <f>IFERROR(IF(INDEX([1]Pivot!$AD$1:$BE$65000,$B836,M$5)=1,1,IF(INDEX([1]Pivot!$B$1:$AB$65000,$B836,M$5)="",2,0)),0)</f>
        <v>0</v>
      </c>
      <c r="N836" s="194">
        <f>IFERROR(IF(INDEX([1]Pivot!$AD$1:$BE$65000,$B836,N$5)=1,1,IF(INDEX([1]Pivot!$B$1:$AB$65000,$B836,N$5)="",2,0)),0)</f>
        <v>0</v>
      </c>
      <c r="O836" s="194">
        <f>IFERROR(IF(INDEX([1]Pivot!$AD$1:$BE$65000,$B836,O$5)=1,1,IF(INDEX([1]Pivot!$B$1:$AB$65000,$B836,O$5)="",2,0)),0)</f>
        <v>0</v>
      </c>
      <c r="P836" s="194">
        <f>IFERROR(IF(INDEX([1]Pivot!$AD$1:$BE$65000,$B836,P$5)=1,1,IF(INDEX([1]Pivot!$B$1:$AB$65000,$B836,P$5)="",2,0)),0)</f>
        <v>0</v>
      </c>
      <c r="Q836" s="194">
        <f>IFERROR(IF(INDEX([1]Pivot!$AD$1:$BE$65000,$B836,Q$5)=1,1,IF(INDEX([1]Pivot!$B$1:$AB$65000,$B836,Q$5)="",2,0)),0)</f>
        <v>0</v>
      </c>
      <c r="R836" s="312"/>
      <c r="S836" s="194">
        <f>IFERROR(IF(INDEX([1]Pivot!$AD$1:$BE$65000,$B836,S$5)=1,1,IF(INDEX([1]Pivot!$B$1:$AB$65000,$B836,S$5)="",2,0)),0)</f>
        <v>0</v>
      </c>
      <c r="T836" s="194">
        <f>IFERROR(IF(INDEX([1]Pivot!$AD$1:$BE$65000,$B836,T$5)=1,1,IF(INDEX([1]Pivot!$B$1:$AB$65000,$B836,T$5)="",2,0)),0)</f>
        <v>0</v>
      </c>
      <c r="U836" s="194">
        <f>IFERROR(IF(INDEX([1]Pivot!$AD$1:$BE$65000,$B836,U$5)=1,1,IF(INDEX([1]Pivot!$B$1:$AB$65000,$B836,U$5)="",2,0)),0)</f>
        <v>0</v>
      </c>
      <c r="V836" s="194">
        <f>IFERROR(IF(INDEX([1]Pivot!$AD$1:$BE$65000,$B836,V$5)=1,1,IF(INDEX([1]Pivot!$B$1:$AB$65000,$B836,V$5)="",2,0)),0)</f>
        <v>0</v>
      </c>
      <c r="W836" s="194">
        <f>IFERROR(IF(INDEX([1]Pivot!$AD$1:$BE$65000,$B836,W$5)=1,1,IF(INDEX([1]Pivot!$B$1:$AB$65000,$B836,W$5)="",2,0)),0)</f>
        <v>0</v>
      </c>
      <c r="X836" s="194">
        <f>IFERROR(IF(INDEX([1]Pivot!$AD$1:$BE$65000,$B836,X$5)=1,1,IF(INDEX([1]Pivot!$B$1:$AB$65000,$B836,X$5)="",2,0)),0)</f>
        <v>0</v>
      </c>
      <c r="Y836" s="194">
        <f>IFERROR(IF(INDEX([1]Pivot!$AD$1:$BE$65000,$B836,Y$5)=1,1,IF(INDEX([1]Pivot!$B$1:$AB$65000,$B836,Y$5)="",2,0)),0)</f>
        <v>0</v>
      </c>
      <c r="Z836" s="194">
        <f>IFERROR(IF(INDEX([1]Pivot!$AD$1:$BE$65000,$B836,Z$5)=1,1,IF(INDEX([1]Pivot!$B$1:$AB$65000,$B836,Z$5)="",2,0)),0)</f>
        <v>0</v>
      </c>
      <c r="AA836" s="194">
        <f>IFERROR(IF(INDEX([1]Pivot!$AD$1:$BE$65000,$B836,AA$5)=1,1,IF(INDEX([1]Pivot!$B$1:$AB$65000,$B836,AA$5)="",2,0)),0)</f>
        <v>0</v>
      </c>
      <c r="AB836" s="194">
        <f>IFERROR(IF(INDEX([1]Pivot!$AD$1:$BE$65000,$B836,AB$5)=1,1,IF(INDEX([1]Pivot!$B$1:$AB$65000,$B836,AB$5)="",2,0)),0)</f>
        <v>0</v>
      </c>
      <c r="AC836" s="194">
        <f>IFERROR(IF(INDEX([1]Pivot!$AD$1:$BE$65000,$B836,AC$5)=1,1,IF(INDEX([1]Pivot!$B$1:$AB$65000,$B836,AC$5)="",2,0)),0)</f>
        <v>0</v>
      </c>
      <c r="AD836" s="313">
        <f>IFERROR(IF(INDEX([1]Pivot!$BF$1:$CG$65000,$B836,AD$5)=1,1,IF(INDEX([1]Pivot!$B$1:$AB$65000,$B836,AD$5)="",2,0)),0)</f>
        <v>0</v>
      </c>
      <c r="AE836" s="313">
        <f>IFERROR(IF(INDEX([1]Pivot!$BF$1:$CG$65000,$B836,AE$5)=1,1,IF(INDEX([1]Pivot!$B$1:$AB$65000,$B836,AE$5)="",2,0)),0)</f>
        <v>0</v>
      </c>
      <c r="AF836" s="313">
        <f>IFERROR(IF(INDEX([1]Pivot!$BF$1:$CG$65000,$B836,AF$5)=1,1,IF(INDEX([1]Pivot!$B$1:$AB$65000,$B836,AF$5)="",2,0)),0)</f>
        <v>0</v>
      </c>
      <c r="AG836" s="313">
        <f>IFERROR(IF(INDEX([1]Pivot!$BF$1:$CG$65000,$B836,AG$5)=1,1,IF(INDEX([1]Pivot!$B$1:$AB$65000,$B836,AG$5)="",2,0)),0)</f>
        <v>0</v>
      </c>
      <c r="AH836" s="313">
        <f>IFERROR(IF(INDEX([1]Pivot!$BF$1:$CG$65000,$B836,AH$5)=1,1,IF(INDEX([1]Pivot!$B$1:$AB$65000,$B836,AH$5)="",2,0)),0)</f>
        <v>0</v>
      </c>
      <c r="AI836" s="313">
        <f>IFERROR(IF(INDEX([1]Pivot!$BF$1:$CG$65000,$B836,AI$5)=1,1,IF(INDEX([1]Pivot!$B$1:$AB$65000,$B836,AI$5)="",2,0)),0)</f>
        <v>0</v>
      </c>
      <c r="AJ836" s="313">
        <f>IFERROR(IF(INDEX([1]Pivot!$BF$1:$CG$65000,$B836,AJ$5)=1,1,IF(INDEX([1]Pivot!$B$1:$AB$65000,$B836,AJ$5)="",2,0)),0)</f>
        <v>0</v>
      </c>
      <c r="AK836" s="313">
        <f>IFERROR(IF(INDEX([1]Pivot!$BF$1:$CG$65000,$B836,AK$5)=1,1,IF(INDEX([1]Pivot!$B$1:$AB$65000,$B836,AK$5)="",2,0)),0)</f>
        <v>0</v>
      </c>
      <c r="AL836" s="313">
        <f>IFERROR(IF(INDEX([1]Pivot!$BF$1:$CG$65000,$B836,AL$5)=1,1,IF(INDEX([1]Pivot!$B$1:$AB$65000,$B836,AL$5)="",2,0)),0)</f>
        <v>0</v>
      </c>
      <c r="AM836" s="313">
        <f>IFERROR(IF(INDEX([1]Pivot!$BF$1:$CG$65000,$B836,AM$5)=1,1,IF(INDEX([1]Pivot!$B$1:$AB$65000,$B836,AM$5)="",2,0)),0)</f>
        <v>0</v>
      </c>
      <c r="AN836" s="313">
        <f>IFERROR(IF(INDEX([1]Pivot!$BF$1:$CG$65000,$B836,AN$5)=1,1,IF(INDEX([1]Pivot!$B$1:$AB$65000,$B836,AN$5)="",2,0)),0)</f>
        <v>0</v>
      </c>
      <c r="AO836" s="313">
        <f>IFERROR(IF(INDEX([1]Pivot!$BF$1:$CG$65000,$B836,AO$5)=1,1,IF(INDEX([1]Pivot!$B$1:$AB$65000,$B836,AO$5)="",2,0)),0)</f>
        <v>0</v>
      </c>
      <c r="AP836" s="313">
        <f>IFERROR(IF(INDEX([1]Pivot!$BF$1:$CG$65000,$B836,AP$5)=1,1,IF(INDEX([1]Pivot!$B$1:$AB$65000,$B836,AP$5)="",2,0)),0)</f>
        <v>0</v>
      </c>
      <c r="AQ836" s="313">
        <f>IFERROR(IF(INDEX([1]Pivot!$BF$1:$CG$65000,$B836,AQ$5)=1,1,IF(INDEX([1]Pivot!$B$1:$AB$65000,$B836,AQ$5)="",2,0)),0)</f>
        <v>0</v>
      </c>
      <c r="AR836" s="313">
        <f>IFERROR(IF(INDEX([1]Pivot!$BF$1:$CG$65000,$B836,AR$5)=1,1,IF(INDEX([1]Pivot!$B$1:$AB$65000,$B836,AR$5)="",2,0)),0)</f>
        <v>0</v>
      </c>
      <c r="AS836" s="312"/>
      <c r="AT836" s="313">
        <f>IFERROR(IF(INDEX([1]Pivot!$BF$1:$CG$65000,$B836,AT$5)=1,1,IF(INDEX([1]Pivot!$B$1:$AB$65000,$B836,AT$5)="",2,0)),0)</f>
        <v>0</v>
      </c>
      <c r="AU836" s="313">
        <f>IFERROR(IF(INDEX([1]Pivot!$BF$1:$CG$65000,$B836,AU$5)=1,1,IF(INDEX([1]Pivot!$B$1:$AB$65000,$B836,AU$5)="",2,0)),0)</f>
        <v>0</v>
      </c>
      <c r="AV836" s="313">
        <f>IFERROR(IF(INDEX([1]Pivot!$BF$1:$CG$65000,$B836,AV$5)=1,1,IF(INDEX([1]Pivot!$B$1:$AB$65000,$B836,AV$5)="",2,0)),0)</f>
        <v>0</v>
      </c>
      <c r="AW836" s="313">
        <f>IFERROR(IF(INDEX([1]Pivot!$BF$1:$CG$65000,$B836,AW$5)=1,1,IF(INDEX([1]Pivot!$B$1:$AB$65000,$B836,AW$5)="",2,0)),0)</f>
        <v>0</v>
      </c>
      <c r="AX836" s="313">
        <f>IFERROR(IF(INDEX([1]Pivot!$BF$1:$CG$65000,$B836,AX$5)=1,1,IF(INDEX([1]Pivot!$B$1:$AB$65000,$B836,AX$5)="",2,0)),0)</f>
        <v>0</v>
      </c>
      <c r="AY836" s="313">
        <f>IFERROR(IF(INDEX([1]Pivot!$BF$1:$CG$65000,$B836,AY$5)=1,1,IF(INDEX([1]Pivot!$B$1:$AB$65000,$B836,AY$5)="",2,0)),0)</f>
        <v>0</v>
      </c>
      <c r="AZ836" s="313">
        <f>IFERROR(IF(INDEX([1]Pivot!$BF$1:$CG$65000,$B836,AZ$5)=1,1,IF(INDEX([1]Pivot!$B$1:$AB$65000,$B836,AZ$5)="",2,0)),0)</f>
        <v>0</v>
      </c>
      <c r="BA836" s="313">
        <f>IFERROR(IF(INDEX([1]Pivot!$BF$1:$CG$65000,$B836,BA$5)=1,1,IF(INDEX([1]Pivot!$B$1:$AB$65000,$B836,BA$5)="",2,0)),0)</f>
        <v>0</v>
      </c>
      <c r="BB836" s="313">
        <f>IFERROR(IF(INDEX([1]Pivot!$BF$1:$CG$65000,$B836,BB$5)=1,1,IF(INDEX([1]Pivot!$B$1:$AB$65000,$B836,BB$5)="",2,0)),0)</f>
        <v>0</v>
      </c>
      <c r="BC836" s="313">
        <f>IFERROR(IF(INDEX([1]Pivot!$BF$1:$CG$65000,$B836,BC$5)=1,1,IF(INDEX([1]Pivot!$B$1:$AB$65000,$B836,BC$5)="",2,0)),0)</f>
        <v>0</v>
      </c>
      <c r="BD836" s="313">
        <f>IFERROR(IF(INDEX([1]Pivot!$BF$1:$CG$65000,$B836,BD$5)=1,1,IF(INDEX([1]Pivot!$B$1:$AB$65000,$B836,BD$5)="",2,0)),0)</f>
        <v>0</v>
      </c>
    </row>
    <row r="837" spans="1:56" x14ac:dyDescent="0.25">
      <c r="A837" s="288">
        <f>'[2]Raw Milk Prices'!A837</f>
        <v>0</v>
      </c>
      <c r="B837" s="296" t="e">
        <f>MATCH(DATE(LEFT('[2]Raw Milk Prices'!$A837,4),RIGHT('[2]Raw Milk Prices'!$A837,2),1),[1]Pivot!$A$1:$A$65000,0)</f>
        <v>#VALUE!</v>
      </c>
      <c r="C837" s="194">
        <f>IFERROR(IF(INDEX([1]Pivot!$AD$1:$BE$65000,$B837,C$5)=1,1,IF(INDEX([1]Pivot!$B$1:$AB$65000,$B837,C$5)="",2,0)),0)</f>
        <v>0</v>
      </c>
      <c r="D837" s="194">
        <f>IFERROR(IF(INDEX([1]Pivot!$AD$1:$BE$65000,$B837,D$5)=1,1,IF(INDEX([1]Pivot!$B$1:$AB$65000,$B837,D$5)="",2,0)),0)</f>
        <v>0</v>
      </c>
      <c r="E837" s="194">
        <f>IFERROR(IF(INDEX([1]Pivot!$AD$1:$BE$65000,$B837,E$5)=1,1,IF(INDEX([1]Pivot!$B$1:$AB$65000,$B837,E$5)="",2,0)),0)</f>
        <v>0</v>
      </c>
      <c r="F837" s="194">
        <f>IFERROR(IF(INDEX([1]Pivot!$AD$1:$BE$65000,$B837,F$5)=1,1,IF(INDEX([1]Pivot!$B$1:$AB$65000,$B837,F$5)="",2,0)),0)</f>
        <v>0</v>
      </c>
      <c r="G837" s="194">
        <f>IFERROR(IF(INDEX([1]Pivot!$AD$1:$BE$65000,$B837,G$5)=1,1,IF(INDEX([1]Pivot!$B$1:$AB$65000,$B837,G$5)="",2,0)),0)</f>
        <v>0</v>
      </c>
      <c r="H837" s="194">
        <f>IFERROR(IF(INDEX([1]Pivot!$AD$1:$BE$65000,$B837,H$5)=1,1,IF(INDEX([1]Pivot!$B$1:$AB$65000,$B837,H$5)="",2,0)),0)</f>
        <v>0</v>
      </c>
      <c r="I837" s="194">
        <f>IFERROR(IF(INDEX([1]Pivot!$AD$1:$BE$65000,$B837,I$5)=1,1,IF(INDEX([1]Pivot!$B$1:$AB$65000,$B837,I$5)="",2,0)),0)</f>
        <v>0</v>
      </c>
      <c r="J837" s="194">
        <f>IFERROR(IF(INDEX([1]Pivot!$AD$1:$BE$65000,$B837,J$5)=1,1,IF(INDEX([1]Pivot!$B$1:$AB$65000,$B837,J$5)="",2,0)),0)</f>
        <v>0</v>
      </c>
      <c r="K837" s="194">
        <f>IFERROR(IF(INDEX([1]Pivot!$AD$1:$BE$65000,$B837,K$5)=1,1,IF(INDEX([1]Pivot!$B$1:$AB$65000,$B837,K$5)="",2,0)),0)</f>
        <v>0</v>
      </c>
      <c r="L837" s="194">
        <f>IFERROR(IF(INDEX([1]Pivot!$AD$1:$BE$65000,$B837,L$5)=1,1,IF(INDEX([1]Pivot!$B$1:$AB$65000,$B837,L$5)="",2,0)),0)</f>
        <v>0</v>
      </c>
      <c r="M837" s="194">
        <f>IFERROR(IF(INDEX([1]Pivot!$AD$1:$BE$65000,$B837,M$5)=1,1,IF(INDEX([1]Pivot!$B$1:$AB$65000,$B837,M$5)="",2,0)),0)</f>
        <v>0</v>
      </c>
      <c r="N837" s="194">
        <f>IFERROR(IF(INDEX([1]Pivot!$AD$1:$BE$65000,$B837,N$5)=1,1,IF(INDEX([1]Pivot!$B$1:$AB$65000,$B837,N$5)="",2,0)),0)</f>
        <v>0</v>
      </c>
      <c r="O837" s="194">
        <f>IFERROR(IF(INDEX([1]Pivot!$AD$1:$BE$65000,$B837,O$5)=1,1,IF(INDEX([1]Pivot!$B$1:$AB$65000,$B837,O$5)="",2,0)),0)</f>
        <v>0</v>
      </c>
      <c r="P837" s="194">
        <f>IFERROR(IF(INDEX([1]Pivot!$AD$1:$BE$65000,$B837,P$5)=1,1,IF(INDEX([1]Pivot!$B$1:$AB$65000,$B837,P$5)="",2,0)),0)</f>
        <v>0</v>
      </c>
      <c r="Q837" s="194">
        <f>IFERROR(IF(INDEX([1]Pivot!$AD$1:$BE$65000,$B837,Q$5)=1,1,IF(INDEX([1]Pivot!$B$1:$AB$65000,$B837,Q$5)="",2,0)),0)</f>
        <v>0</v>
      </c>
      <c r="R837" s="312"/>
      <c r="S837" s="194">
        <f>IFERROR(IF(INDEX([1]Pivot!$AD$1:$BE$65000,$B837,S$5)=1,1,IF(INDEX([1]Pivot!$B$1:$AB$65000,$B837,S$5)="",2,0)),0)</f>
        <v>0</v>
      </c>
      <c r="T837" s="194">
        <f>IFERROR(IF(INDEX([1]Pivot!$AD$1:$BE$65000,$B837,T$5)=1,1,IF(INDEX([1]Pivot!$B$1:$AB$65000,$B837,T$5)="",2,0)),0)</f>
        <v>0</v>
      </c>
      <c r="U837" s="194">
        <f>IFERROR(IF(INDEX([1]Pivot!$AD$1:$BE$65000,$B837,U$5)=1,1,IF(INDEX([1]Pivot!$B$1:$AB$65000,$B837,U$5)="",2,0)),0)</f>
        <v>0</v>
      </c>
      <c r="V837" s="194">
        <f>IFERROR(IF(INDEX([1]Pivot!$AD$1:$BE$65000,$B837,V$5)=1,1,IF(INDEX([1]Pivot!$B$1:$AB$65000,$B837,V$5)="",2,0)),0)</f>
        <v>0</v>
      </c>
      <c r="W837" s="194">
        <f>IFERROR(IF(INDEX([1]Pivot!$AD$1:$BE$65000,$B837,W$5)=1,1,IF(INDEX([1]Pivot!$B$1:$AB$65000,$B837,W$5)="",2,0)),0)</f>
        <v>0</v>
      </c>
      <c r="X837" s="194">
        <f>IFERROR(IF(INDEX([1]Pivot!$AD$1:$BE$65000,$B837,X$5)=1,1,IF(INDEX([1]Pivot!$B$1:$AB$65000,$B837,X$5)="",2,0)),0)</f>
        <v>0</v>
      </c>
      <c r="Y837" s="194">
        <f>IFERROR(IF(INDEX([1]Pivot!$AD$1:$BE$65000,$B837,Y$5)=1,1,IF(INDEX([1]Pivot!$B$1:$AB$65000,$B837,Y$5)="",2,0)),0)</f>
        <v>0</v>
      </c>
      <c r="Z837" s="194">
        <f>IFERROR(IF(INDEX([1]Pivot!$AD$1:$BE$65000,$B837,Z$5)=1,1,IF(INDEX([1]Pivot!$B$1:$AB$65000,$B837,Z$5)="",2,0)),0)</f>
        <v>0</v>
      </c>
      <c r="AA837" s="194">
        <f>IFERROR(IF(INDEX([1]Pivot!$AD$1:$BE$65000,$B837,AA$5)=1,1,IF(INDEX([1]Pivot!$B$1:$AB$65000,$B837,AA$5)="",2,0)),0)</f>
        <v>0</v>
      </c>
      <c r="AB837" s="194">
        <f>IFERROR(IF(INDEX([1]Pivot!$AD$1:$BE$65000,$B837,AB$5)=1,1,IF(INDEX([1]Pivot!$B$1:$AB$65000,$B837,AB$5)="",2,0)),0)</f>
        <v>0</v>
      </c>
      <c r="AC837" s="194">
        <f>IFERROR(IF(INDEX([1]Pivot!$AD$1:$BE$65000,$B837,AC$5)=1,1,IF(INDEX([1]Pivot!$B$1:$AB$65000,$B837,AC$5)="",2,0)),0)</f>
        <v>0</v>
      </c>
      <c r="AD837" s="313">
        <f>IFERROR(IF(INDEX([1]Pivot!$BF$1:$CG$65000,$B837,AD$5)=1,1,IF(INDEX([1]Pivot!$B$1:$AB$65000,$B837,AD$5)="",2,0)),0)</f>
        <v>0</v>
      </c>
      <c r="AE837" s="313">
        <f>IFERROR(IF(INDEX([1]Pivot!$BF$1:$CG$65000,$B837,AE$5)=1,1,IF(INDEX([1]Pivot!$B$1:$AB$65000,$B837,AE$5)="",2,0)),0)</f>
        <v>0</v>
      </c>
      <c r="AF837" s="313">
        <f>IFERROR(IF(INDEX([1]Pivot!$BF$1:$CG$65000,$B837,AF$5)=1,1,IF(INDEX([1]Pivot!$B$1:$AB$65000,$B837,AF$5)="",2,0)),0)</f>
        <v>0</v>
      </c>
      <c r="AG837" s="313">
        <f>IFERROR(IF(INDEX([1]Pivot!$BF$1:$CG$65000,$B837,AG$5)=1,1,IF(INDEX([1]Pivot!$B$1:$AB$65000,$B837,AG$5)="",2,0)),0)</f>
        <v>0</v>
      </c>
      <c r="AH837" s="313">
        <f>IFERROR(IF(INDEX([1]Pivot!$BF$1:$CG$65000,$B837,AH$5)=1,1,IF(INDEX([1]Pivot!$B$1:$AB$65000,$B837,AH$5)="",2,0)),0)</f>
        <v>0</v>
      </c>
      <c r="AI837" s="313">
        <f>IFERROR(IF(INDEX([1]Pivot!$BF$1:$CG$65000,$B837,AI$5)=1,1,IF(INDEX([1]Pivot!$B$1:$AB$65000,$B837,AI$5)="",2,0)),0)</f>
        <v>0</v>
      </c>
      <c r="AJ837" s="313">
        <f>IFERROR(IF(INDEX([1]Pivot!$BF$1:$CG$65000,$B837,AJ$5)=1,1,IF(INDEX([1]Pivot!$B$1:$AB$65000,$B837,AJ$5)="",2,0)),0)</f>
        <v>0</v>
      </c>
      <c r="AK837" s="313">
        <f>IFERROR(IF(INDEX([1]Pivot!$BF$1:$CG$65000,$B837,AK$5)=1,1,IF(INDEX([1]Pivot!$B$1:$AB$65000,$B837,AK$5)="",2,0)),0)</f>
        <v>0</v>
      </c>
      <c r="AL837" s="313">
        <f>IFERROR(IF(INDEX([1]Pivot!$BF$1:$CG$65000,$B837,AL$5)=1,1,IF(INDEX([1]Pivot!$B$1:$AB$65000,$B837,AL$5)="",2,0)),0)</f>
        <v>0</v>
      </c>
      <c r="AM837" s="313">
        <f>IFERROR(IF(INDEX([1]Pivot!$BF$1:$CG$65000,$B837,AM$5)=1,1,IF(INDEX([1]Pivot!$B$1:$AB$65000,$B837,AM$5)="",2,0)),0)</f>
        <v>0</v>
      </c>
      <c r="AN837" s="313">
        <f>IFERROR(IF(INDEX([1]Pivot!$BF$1:$CG$65000,$B837,AN$5)=1,1,IF(INDEX([1]Pivot!$B$1:$AB$65000,$B837,AN$5)="",2,0)),0)</f>
        <v>0</v>
      </c>
      <c r="AO837" s="313">
        <f>IFERROR(IF(INDEX([1]Pivot!$BF$1:$CG$65000,$B837,AO$5)=1,1,IF(INDEX([1]Pivot!$B$1:$AB$65000,$B837,AO$5)="",2,0)),0)</f>
        <v>0</v>
      </c>
      <c r="AP837" s="313">
        <f>IFERROR(IF(INDEX([1]Pivot!$BF$1:$CG$65000,$B837,AP$5)=1,1,IF(INDEX([1]Pivot!$B$1:$AB$65000,$B837,AP$5)="",2,0)),0)</f>
        <v>0</v>
      </c>
      <c r="AQ837" s="313">
        <f>IFERROR(IF(INDEX([1]Pivot!$BF$1:$CG$65000,$B837,AQ$5)=1,1,IF(INDEX([1]Pivot!$B$1:$AB$65000,$B837,AQ$5)="",2,0)),0)</f>
        <v>0</v>
      </c>
      <c r="AR837" s="313">
        <f>IFERROR(IF(INDEX([1]Pivot!$BF$1:$CG$65000,$B837,AR$5)=1,1,IF(INDEX([1]Pivot!$B$1:$AB$65000,$B837,AR$5)="",2,0)),0)</f>
        <v>0</v>
      </c>
      <c r="AS837" s="312"/>
      <c r="AT837" s="313">
        <f>IFERROR(IF(INDEX([1]Pivot!$BF$1:$CG$65000,$B837,AT$5)=1,1,IF(INDEX([1]Pivot!$B$1:$AB$65000,$B837,AT$5)="",2,0)),0)</f>
        <v>0</v>
      </c>
      <c r="AU837" s="313">
        <f>IFERROR(IF(INDEX([1]Pivot!$BF$1:$CG$65000,$B837,AU$5)=1,1,IF(INDEX([1]Pivot!$B$1:$AB$65000,$B837,AU$5)="",2,0)),0)</f>
        <v>0</v>
      </c>
      <c r="AV837" s="313">
        <f>IFERROR(IF(INDEX([1]Pivot!$BF$1:$CG$65000,$B837,AV$5)=1,1,IF(INDEX([1]Pivot!$B$1:$AB$65000,$B837,AV$5)="",2,0)),0)</f>
        <v>0</v>
      </c>
      <c r="AW837" s="313">
        <f>IFERROR(IF(INDEX([1]Pivot!$BF$1:$CG$65000,$B837,AW$5)=1,1,IF(INDEX([1]Pivot!$B$1:$AB$65000,$B837,AW$5)="",2,0)),0)</f>
        <v>0</v>
      </c>
      <c r="AX837" s="313">
        <f>IFERROR(IF(INDEX([1]Pivot!$BF$1:$CG$65000,$B837,AX$5)=1,1,IF(INDEX([1]Pivot!$B$1:$AB$65000,$B837,AX$5)="",2,0)),0)</f>
        <v>0</v>
      </c>
      <c r="AY837" s="313">
        <f>IFERROR(IF(INDEX([1]Pivot!$BF$1:$CG$65000,$B837,AY$5)=1,1,IF(INDEX([1]Pivot!$B$1:$AB$65000,$B837,AY$5)="",2,0)),0)</f>
        <v>0</v>
      </c>
      <c r="AZ837" s="313">
        <f>IFERROR(IF(INDEX([1]Pivot!$BF$1:$CG$65000,$B837,AZ$5)=1,1,IF(INDEX([1]Pivot!$B$1:$AB$65000,$B837,AZ$5)="",2,0)),0)</f>
        <v>0</v>
      </c>
      <c r="BA837" s="313">
        <f>IFERROR(IF(INDEX([1]Pivot!$BF$1:$CG$65000,$B837,BA$5)=1,1,IF(INDEX([1]Pivot!$B$1:$AB$65000,$B837,BA$5)="",2,0)),0)</f>
        <v>0</v>
      </c>
      <c r="BB837" s="313">
        <f>IFERROR(IF(INDEX([1]Pivot!$BF$1:$CG$65000,$B837,BB$5)=1,1,IF(INDEX([1]Pivot!$B$1:$AB$65000,$B837,BB$5)="",2,0)),0)</f>
        <v>0</v>
      </c>
      <c r="BC837" s="313">
        <f>IFERROR(IF(INDEX([1]Pivot!$BF$1:$CG$65000,$B837,BC$5)=1,1,IF(INDEX([1]Pivot!$B$1:$AB$65000,$B837,BC$5)="",2,0)),0)</f>
        <v>0</v>
      </c>
      <c r="BD837" s="313">
        <f>IFERROR(IF(INDEX([1]Pivot!$BF$1:$CG$65000,$B837,BD$5)=1,1,IF(INDEX([1]Pivot!$B$1:$AB$65000,$B837,BD$5)="",2,0)),0)</f>
        <v>0</v>
      </c>
    </row>
    <row r="838" spans="1:56" x14ac:dyDescent="0.25">
      <c r="A838" s="288">
        <f>'[2]Raw Milk Prices'!A838</f>
        <v>0</v>
      </c>
      <c r="B838" s="296" t="e">
        <f>MATCH(DATE(LEFT('[2]Raw Milk Prices'!$A838,4),RIGHT('[2]Raw Milk Prices'!$A838,2),1),[1]Pivot!$A$1:$A$65000,0)</f>
        <v>#VALUE!</v>
      </c>
      <c r="C838" s="194">
        <f>IFERROR(IF(INDEX([1]Pivot!$AD$1:$BE$65000,$B838,C$5)=1,1,IF(INDEX([1]Pivot!$B$1:$AB$65000,$B838,C$5)="",2,0)),0)</f>
        <v>0</v>
      </c>
      <c r="D838" s="194">
        <f>IFERROR(IF(INDEX([1]Pivot!$AD$1:$BE$65000,$B838,D$5)=1,1,IF(INDEX([1]Pivot!$B$1:$AB$65000,$B838,D$5)="",2,0)),0)</f>
        <v>0</v>
      </c>
      <c r="E838" s="194">
        <f>IFERROR(IF(INDEX([1]Pivot!$AD$1:$BE$65000,$B838,E$5)=1,1,IF(INDEX([1]Pivot!$B$1:$AB$65000,$B838,E$5)="",2,0)),0)</f>
        <v>0</v>
      </c>
      <c r="F838" s="194">
        <f>IFERROR(IF(INDEX([1]Pivot!$AD$1:$BE$65000,$B838,F$5)=1,1,IF(INDEX([1]Pivot!$B$1:$AB$65000,$B838,F$5)="",2,0)),0)</f>
        <v>0</v>
      </c>
      <c r="G838" s="194">
        <f>IFERROR(IF(INDEX([1]Pivot!$AD$1:$BE$65000,$B838,G$5)=1,1,IF(INDEX([1]Pivot!$B$1:$AB$65000,$B838,G$5)="",2,0)),0)</f>
        <v>0</v>
      </c>
      <c r="H838" s="194">
        <f>IFERROR(IF(INDEX([1]Pivot!$AD$1:$BE$65000,$B838,H$5)=1,1,IF(INDEX([1]Pivot!$B$1:$AB$65000,$B838,H$5)="",2,0)),0)</f>
        <v>0</v>
      </c>
      <c r="I838" s="194">
        <f>IFERROR(IF(INDEX([1]Pivot!$AD$1:$BE$65000,$B838,I$5)=1,1,IF(INDEX([1]Pivot!$B$1:$AB$65000,$B838,I$5)="",2,0)),0)</f>
        <v>0</v>
      </c>
      <c r="J838" s="194">
        <f>IFERROR(IF(INDEX([1]Pivot!$AD$1:$BE$65000,$B838,J$5)=1,1,IF(INDEX([1]Pivot!$B$1:$AB$65000,$B838,J$5)="",2,0)),0)</f>
        <v>0</v>
      </c>
      <c r="K838" s="194">
        <f>IFERROR(IF(INDEX([1]Pivot!$AD$1:$BE$65000,$B838,K$5)=1,1,IF(INDEX([1]Pivot!$B$1:$AB$65000,$B838,K$5)="",2,0)),0)</f>
        <v>0</v>
      </c>
      <c r="L838" s="194">
        <f>IFERROR(IF(INDEX([1]Pivot!$AD$1:$BE$65000,$B838,L$5)=1,1,IF(INDEX([1]Pivot!$B$1:$AB$65000,$B838,L$5)="",2,0)),0)</f>
        <v>0</v>
      </c>
      <c r="M838" s="194">
        <f>IFERROR(IF(INDEX([1]Pivot!$AD$1:$BE$65000,$B838,M$5)=1,1,IF(INDEX([1]Pivot!$B$1:$AB$65000,$B838,M$5)="",2,0)),0)</f>
        <v>0</v>
      </c>
      <c r="N838" s="194">
        <f>IFERROR(IF(INDEX([1]Pivot!$AD$1:$BE$65000,$B838,N$5)=1,1,IF(INDEX([1]Pivot!$B$1:$AB$65000,$B838,N$5)="",2,0)),0)</f>
        <v>0</v>
      </c>
      <c r="O838" s="194">
        <f>IFERROR(IF(INDEX([1]Pivot!$AD$1:$BE$65000,$B838,O$5)=1,1,IF(INDEX([1]Pivot!$B$1:$AB$65000,$B838,O$5)="",2,0)),0)</f>
        <v>0</v>
      </c>
      <c r="P838" s="194">
        <f>IFERROR(IF(INDEX([1]Pivot!$AD$1:$BE$65000,$B838,P$5)=1,1,IF(INDEX([1]Pivot!$B$1:$AB$65000,$B838,P$5)="",2,0)),0)</f>
        <v>0</v>
      </c>
      <c r="Q838" s="194">
        <f>IFERROR(IF(INDEX([1]Pivot!$AD$1:$BE$65000,$B838,Q$5)=1,1,IF(INDEX([1]Pivot!$B$1:$AB$65000,$B838,Q$5)="",2,0)),0)</f>
        <v>0</v>
      </c>
      <c r="R838" s="312"/>
      <c r="S838" s="194">
        <f>IFERROR(IF(INDEX([1]Pivot!$AD$1:$BE$65000,$B838,S$5)=1,1,IF(INDEX([1]Pivot!$B$1:$AB$65000,$B838,S$5)="",2,0)),0)</f>
        <v>0</v>
      </c>
      <c r="T838" s="194">
        <f>IFERROR(IF(INDEX([1]Pivot!$AD$1:$BE$65000,$B838,T$5)=1,1,IF(INDEX([1]Pivot!$B$1:$AB$65000,$B838,T$5)="",2,0)),0)</f>
        <v>0</v>
      </c>
      <c r="U838" s="194">
        <f>IFERROR(IF(INDEX([1]Pivot!$AD$1:$BE$65000,$B838,U$5)=1,1,IF(INDEX([1]Pivot!$B$1:$AB$65000,$B838,U$5)="",2,0)),0)</f>
        <v>0</v>
      </c>
      <c r="V838" s="194">
        <f>IFERROR(IF(INDEX([1]Pivot!$AD$1:$BE$65000,$B838,V$5)=1,1,IF(INDEX([1]Pivot!$B$1:$AB$65000,$B838,V$5)="",2,0)),0)</f>
        <v>0</v>
      </c>
      <c r="W838" s="194">
        <f>IFERROR(IF(INDEX([1]Pivot!$AD$1:$BE$65000,$B838,W$5)=1,1,IF(INDEX([1]Pivot!$B$1:$AB$65000,$B838,W$5)="",2,0)),0)</f>
        <v>0</v>
      </c>
      <c r="X838" s="194">
        <f>IFERROR(IF(INDEX([1]Pivot!$AD$1:$BE$65000,$B838,X$5)=1,1,IF(INDEX([1]Pivot!$B$1:$AB$65000,$B838,X$5)="",2,0)),0)</f>
        <v>0</v>
      </c>
      <c r="Y838" s="194">
        <f>IFERROR(IF(INDEX([1]Pivot!$AD$1:$BE$65000,$B838,Y$5)=1,1,IF(INDEX([1]Pivot!$B$1:$AB$65000,$B838,Y$5)="",2,0)),0)</f>
        <v>0</v>
      </c>
      <c r="Z838" s="194">
        <f>IFERROR(IF(INDEX([1]Pivot!$AD$1:$BE$65000,$B838,Z$5)=1,1,IF(INDEX([1]Pivot!$B$1:$AB$65000,$B838,Z$5)="",2,0)),0)</f>
        <v>0</v>
      </c>
      <c r="AA838" s="194">
        <f>IFERROR(IF(INDEX([1]Pivot!$AD$1:$BE$65000,$B838,AA$5)=1,1,IF(INDEX([1]Pivot!$B$1:$AB$65000,$B838,AA$5)="",2,0)),0)</f>
        <v>0</v>
      </c>
      <c r="AB838" s="194">
        <f>IFERROR(IF(INDEX([1]Pivot!$AD$1:$BE$65000,$B838,AB$5)=1,1,IF(INDEX([1]Pivot!$B$1:$AB$65000,$B838,AB$5)="",2,0)),0)</f>
        <v>0</v>
      </c>
      <c r="AC838" s="194">
        <f>IFERROR(IF(INDEX([1]Pivot!$AD$1:$BE$65000,$B838,AC$5)=1,1,IF(INDEX([1]Pivot!$B$1:$AB$65000,$B838,AC$5)="",2,0)),0)</f>
        <v>0</v>
      </c>
      <c r="AD838" s="313">
        <f>IFERROR(IF(INDEX([1]Pivot!$BF$1:$CG$65000,$B838,AD$5)=1,1,IF(INDEX([1]Pivot!$B$1:$AB$65000,$B838,AD$5)="",2,0)),0)</f>
        <v>0</v>
      </c>
      <c r="AE838" s="313">
        <f>IFERROR(IF(INDEX([1]Pivot!$BF$1:$CG$65000,$B838,AE$5)=1,1,IF(INDEX([1]Pivot!$B$1:$AB$65000,$B838,AE$5)="",2,0)),0)</f>
        <v>0</v>
      </c>
      <c r="AF838" s="313">
        <f>IFERROR(IF(INDEX([1]Pivot!$BF$1:$CG$65000,$B838,AF$5)=1,1,IF(INDEX([1]Pivot!$B$1:$AB$65000,$B838,AF$5)="",2,0)),0)</f>
        <v>0</v>
      </c>
      <c r="AG838" s="313">
        <f>IFERROR(IF(INDEX([1]Pivot!$BF$1:$CG$65000,$B838,AG$5)=1,1,IF(INDEX([1]Pivot!$B$1:$AB$65000,$B838,AG$5)="",2,0)),0)</f>
        <v>0</v>
      </c>
      <c r="AH838" s="313">
        <f>IFERROR(IF(INDEX([1]Pivot!$BF$1:$CG$65000,$B838,AH$5)=1,1,IF(INDEX([1]Pivot!$B$1:$AB$65000,$B838,AH$5)="",2,0)),0)</f>
        <v>0</v>
      </c>
      <c r="AI838" s="313">
        <f>IFERROR(IF(INDEX([1]Pivot!$BF$1:$CG$65000,$B838,AI$5)=1,1,IF(INDEX([1]Pivot!$B$1:$AB$65000,$B838,AI$5)="",2,0)),0)</f>
        <v>0</v>
      </c>
      <c r="AJ838" s="313">
        <f>IFERROR(IF(INDEX([1]Pivot!$BF$1:$CG$65000,$B838,AJ$5)=1,1,IF(INDEX([1]Pivot!$B$1:$AB$65000,$B838,AJ$5)="",2,0)),0)</f>
        <v>0</v>
      </c>
      <c r="AK838" s="313">
        <f>IFERROR(IF(INDEX([1]Pivot!$BF$1:$CG$65000,$B838,AK$5)=1,1,IF(INDEX([1]Pivot!$B$1:$AB$65000,$B838,AK$5)="",2,0)),0)</f>
        <v>0</v>
      </c>
      <c r="AL838" s="313">
        <f>IFERROR(IF(INDEX([1]Pivot!$BF$1:$CG$65000,$B838,AL$5)=1,1,IF(INDEX([1]Pivot!$B$1:$AB$65000,$B838,AL$5)="",2,0)),0)</f>
        <v>0</v>
      </c>
      <c r="AM838" s="313">
        <f>IFERROR(IF(INDEX([1]Pivot!$BF$1:$CG$65000,$B838,AM$5)=1,1,IF(INDEX([1]Pivot!$B$1:$AB$65000,$B838,AM$5)="",2,0)),0)</f>
        <v>0</v>
      </c>
      <c r="AN838" s="313">
        <f>IFERROR(IF(INDEX([1]Pivot!$BF$1:$CG$65000,$B838,AN$5)=1,1,IF(INDEX([1]Pivot!$B$1:$AB$65000,$B838,AN$5)="",2,0)),0)</f>
        <v>0</v>
      </c>
      <c r="AO838" s="313">
        <f>IFERROR(IF(INDEX([1]Pivot!$BF$1:$CG$65000,$B838,AO$5)=1,1,IF(INDEX([1]Pivot!$B$1:$AB$65000,$B838,AO$5)="",2,0)),0)</f>
        <v>0</v>
      </c>
      <c r="AP838" s="313">
        <f>IFERROR(IF(INDEX([1]Pivot!$BF$1:$CG$65000,$B838,AP$5)=1,1,IF(INDEX([1]Pivot!$B$1:$AB$65000,$B838,AP$5)="",2,0)),0)</f>
        <v>0</v>
      </c>
      <c r="AQ838" s="313">
        <f>IFERROR(IF(INDEX([1]Pivot!$BF$1:$CG$65000,$B838,AQ$5)=1,1,IF(INDEX([1]Pivot!$B$1:$AB$65000,$B838,AQ$5)="",2,0)),0)</f>
        <v>0</v>
      </c>
      <c r="AR838" s="313">
        <f>IFERROR(IF(INDEX([1]Pivot!$BF$1:$CG$65000,$B838,AR$5)=1,1,IF(INDEX([1]Pivot!$B$1:$AB$65000,$B838,AR$5)="",2,0)),0)</f>
        <v>0</v>
      </c>
      <c r="AS838" s="312"/>
      <c r="AT838" s="313">
        <f>IFERROR(IF(INDEX([1]Pivot!$BF$1:$CG$65000,$B838,AT$5)=1,1,IF(INDEX([1]Pivot!$B$1:$AB$65000,$B838,AT$5)="",2,0)),0)</f>
        <v>0</v>
      </c>
      <c r="AU838" s="313">
        <f>IFERROR(IF(INDEX([1]Pivot!$BF$1:$CG$65000,$B838,AU$5)=1,1,IF(INDEX([1]Pivot!$B$1:$AB$65000,$B838,AU$5)="",2,0)),0)</f>
        <v>0</v>
      </c>
      <c r="AV838" s="313">
        <f>IFERROR(IF(INDEX([1]Pivot!$BF$1:$CG$65000,$B838,AV$5)=1,1,IF(INDEX([1]Pivot!$B$1:$AB$65000,$B838,AV$5)="",2,0)),0)</f>
        <v>0</v>
      </c>
      <c r="AW838" s="313">
        <f>IFERROR(IF(INDEX([1]Pivot!$BF$1:$CG$65000,$B838,AW$5)=1,1,IF(INDEX([1]Pivot!$B$1:$AB$65000,$B838,AW$5)="",2,0)),0)</f>
        <v>0</v>
      </c>
      <c r="AX838" s="313">
        <f>IFERROR(IF(INDEX([1]Pivot!$BF$1:$CG$65000,$B838,AX$5)=1,1,IF(INDEX([1]Pivot!$B$1:$AB$65000,$B838,AX$5)="",2,0)),0)</f>
        <v>0</v>
      </c>
      <c r="AY838" s="313">
        <f>IFERROR(IF(INDEX([1]Pivot!$BF$1:$CG$65000,$B838,AY$5)=1,1,IF(INDEX([1]Pivot!$B$1:$AB$65000,$B838,AY$5)="",2,0)),0)</f>
        <v>0</v>
      </c>
      <c r="AZ838" s="313">
        <f>IFERROR(IF(INDEX([1]Pivot!$BF$1:$CG$65000,$B838,AZ$5)=1,1,IF(INDEX([1]Pivot!$B$1:$AB$65000,$B838,AZ$5)="",2,0)),0)</f>
        <v>0</v>
      </c>
      <c r="BA838" s="313">
        <f>IFERROR(IF(INDEX([1]Pivot!$BF$1:$CG$65000,$B838,BA$5)=1,1,IF(INDEX([1]Pivot!$B$1:$AB$65000,$B838,BA$5)="",2,0)),0)</f>
        <v>0</v>
      </c>
      <c r="BB838" s="313">
        <f>IFERROR(IF(INDEX([1]Pivot!$BF$1:$CG$65000,$B838,BB$5)=1,1,IF(INDEX([1]Pivot!$B$1:$AB$65000,$B838,BB$5)="",2,0)),0)</f>
        <v>0</v>
      </c>
      <c r="BC838" s="313">
        <f>IFERROR(IF(INDEX([1]Pivot!$BF$1:$CG$65000,$B838,BC$5)=1,1,IF(INDEX([1]Pivot!$B$1:$AB$65000,$B838,BC$5)="",2,0)),0)</f>
        <v>0</v>
      </c>
      <c r="BD838" s="313">
        <f>IFERROR(IF(INDEX([1]Pivot!$BF$1:$CG$65000,$B838,BD$5)=1,1,IF(INDEX([1]Pivot!$B$1:$AB$65000,$B838,BD$5)="",2,0)),0)</f>
        <v>0</v>
      </c>
    </row>
    <row r="839" spans="1:56" x14ac:dyDescent="0.25">
      <c r="A839" s="288">
        <f>'[2]Raw Milk Prices'!A839</f>
        <v>0</v>
      </c>
      <c r="B839" s="296" t="e">
        <f>MATCH(DATE(LEFT('[2]Raw Milk Prices'!$A839,4),RIGHT('[2]Raw Milk Prices'!$A839,2),1),[1]Pivot!$A$1:$A$65000,0)</f>
        <v>#VALUE!</v>
      </c>
      <c r="C839" s="194">
        <f>IFERROR(IF(INDEX([1]Pivot!$AD$1:$BE$65000,$B839,C$5)=1,1,IF(INDEX([1]Pivot!$B$1:$AB$65000,$B839,C$5)="",2,0)),0)</f>
        <v>0</v>
      </c>
      <c r="D839" s="194">
        <f>IFERROR(IF(INDEX([1]Pivot!$AD$1:$BE$65000,$B839,D$5)=1,1,IF(INDEX([1]Pivot!$B$1:$AB$65000,$B839,D$5)="",2,0)),0)</f>
        <v>0</v>
      </c>
      <c r="E839" s="194">
        <f>IFERROR(IF(INDEX([1]Pivot!$AD$1:$BE$65000,$B839,E$5)=1,1,IF(INDEX([1]Pivot!$B$1:$AB$65000,$B839,E$5)="",2,0)),0)</f>
        <v>0</v>
      </c>
      <c r="F839" s="194">
        <f>IFERROR(IF(INDEX([1]Pivot!$AD$1:$BE$65000,$B839,F$5)=1,1,IF(INDEX([1]Pivot!$B$1:$AB$65000,$B839,F$5)="",2,0)),0)</f>
        <v>0</v>
      </c>
      <c r="G839" s="194">
        <f>IFERROR(IF(INDEX([1]Pivot!$AD$1:$BE$65000,$B839,G$5)=1,1,IF(INDEX([1]Pivot!$B$1:$AB$65000,$B839,G$5)="",2,0)),0)</f>
        <v>0</v>
      </c>
      <c r="H839" s="194">
        <f>IFERROR(IF(INDEX([1]Pivot!$AD$1:$BE$65000,$B839,H$5)=1,1,IF(INDEX([1]Pivot!$B$1:$AB$65000,$B839,H$5)="",2,0)),0)</f>
        <v>0</v>
      </c>
      <c r="I839" s="194">
        <f>IFERROR(IF(INDEX([1]Pivot!$AD$1:$BE$65000,$B839,I$5)=1,1,IF(INDEX([1]Pivot!$B$1:$AB$65000,$B839,I$5)="",2,0)),0)</f>
        <v>0</v>
      </c>
      <c r="J839" s="194">
        <f>IFERROR(IF(INDEX([1]Pivot!$AD$1:$BE$65000,$B839,J$5)=1,1,IF(INDEX([1]Pivot!$B$1:$AB$65000,$B839,J$5)="",2,0)),0)</f>
        <v>0</v>
      </c>
      <c r="K839" s="194">
        <f>IFERROR(IF(INDEX([1]Pivot!$AD$1:$BE$65000,$B839,K$5)=1,1,IF(INDEX([1]Pivot!$B$1:$AB$65000,$B839,K$5)="",2,0)),0)</f>
        <v>0</v>
      </c>
      <c r="L839" s="194">
        <f>IFERROR(IF(INDEX([1]Pivot!$AD$1:$BE$65000,$B839,L$5)=1,1,IF(INDEX([1]Pivot!$B$1:$AB$65000,$B839,L$5)="",2,0)),0)</f>
        <v>0</v>
      </c>
      <c r="M839" s="194">
        <f>IFERROR(IF(INDEX([1]Pivot!$AD$1:$BE$65000,$B839,M$5)=1,1,IF(INDEX([1]Pivot!$B$1:$AB$65000,$B839,M$5)="",2,0)),0)</f>
        <v>0</v>
      </c>
      <c r="N839" s="194">
        <f>IFERROR(IF(INDEX([1]Pivot!$AD$1:$BE$65000,$B839,N$5)=1,1,IF(INDEX([1]Pivot!$B$1:$AB$65000,$B839,N$5)="",2,0)),0)</f>
        <v>0</v>
      </c>
      <c r="O839" s="194">
        <f>IFERROR(IF(INDEX([1]Pivot!$AD$1:$BE$65000,$B839,O$5)=1,1,IF(INDEX([1]Pivot!$B$1:$AB$65000,$B839,O$5)="",2,0)),0)</f>
        <v>0</v>
      </c>
      <c r="P839" s="194">
        <f>IFERROR(IF(INDEX([1]Pivot!$AD$1:$BE$65000,$B839,P$5)=1,1,IF(INDEX([1]Pivot!$B$1:$AB$65000,$B839,P$5)="",2,0)),0)</f>
        <v>0</v>
      </c>
      <c r="Q839" s="194">
        <f>IFERROR(IF(INDEX([1]Pivot!$AD$1:$BE$65000,$B839,Q$5)=1,1,IF(INDEX([1]Pivot!$B$1:$AB$65000,$B839,Q$5)="",2,0)),0)</f>
        <v>0</v>
      </c>
      <c r="R839" s="312"/>
      <c r="S839" s="194">
        <f>IFERROR(IF(INDEX([1]Pivot!$AD$1:$BE$65000,$B839,S$5)=1,1,IF(INDEX([1]Pivot!$B$1:$AB$65000,$B839,S$5)="",2,0)),0)</f>
        <v>0</v>
      </c>
      <c r="T839" s="194">
        <f>IFERROR(IF(INDEX([1]Pivot!$AD$1:$BE$65000,$B839,T$5)=1,1,IF(INDEX([1]Pivot!$B$1:$AB$65000,$B839,T$5)="",2,0)),0)</f>
        <v>0</v>
      </c>
      <c r="U839" s="194">
        <f>IFERROR(IF(INDEX([1]Pivot!$AD$1:$BE$65000,$B839,U$5)=1,1,IF(INDEX([1]Pivot!$B$1:$AB$65000,$B839,U$5)="",2,0)),0)</f>
        <v>0</v>
      </c>
      <c r="V839" s="194">
        <f>IFERROR(IF(INDEX([1]Pivot!$AD$1:$BE$65000,$B839,V$5)=1,1,IF(INDEX([1]Pivot!$B$1:$AB$65000,$B839,V$5)="",2,0)),0)</f>
        <v>0</v>
      </c>
      <c r="W839" s="194">
        <f>IFERROR(IF(INDEX([1]Pivot!$AD$1:$BE$65000,$B839,W$5)=1,1,IF(INDEX([1]Pivot!$B$1:$AB$65000,$B839,W$5)="",2,0)),0)</f>
        <v>0</v>
      </c>
      <c r="X839" s="194">
        <f>IFERROR(IF(INDEX([1]Pivot!$AD$1:$BE$65000,$B839,X$5)=1,1,IF(INDEX([1]Pivot!$B$1:$AB$65000,$B839,X$5)="",2,0)),0)</f>
        <v>0</v>
      </c>
      <c r="Y839" s="194">
        <f>IFERROR(IF(INDEX([1]Pivot!$AD$1:$BE$65000,$B839,Y$5)=1,1,IF(INDEX([1]Pivot!$B$1:$AB$65000,$B839,Y$5)="",2,0)),0)</f>
        <v>0</v>
      </c>
      <c r="Z839" s="194">
        <f>IFERROR(IF(INDEX([1]Pivot!$AD$1:$BE$65000,$B839,Z$5)=1,1,IF(INDEX([1]Pivot!$B$1:$AB$65000,$B839,Z$5)="",2,0)),0)</f>
        <v>0</v>
      </c>
      <c r="AA839" s="194">
        <f>IFERROR(IF(INDEX([1]Pivot!$AD$1:$BE$65000,$B839,AA$5)=1,1,IF(INDEX([1]Pivot!$B$1:$AB$65000,$B839,AA$5)="",2,0)),0)</f>
        <v>0</v>
      </c>
      <c r="AB839" s="194">
        <f>IFERROR(IF(INDEX([1]Pivot!$AD$1:$BE$65000,$B839,AB$5)=1,1,IF(INDEX([1]Pivot!$B$1:$AB$65000,$B839,AB$5)="",2,0)),0)</f>
        <v>0</v>
      </c>
      <c r="AC839" s="194">
        <f>IFERROR(IF(INDEX([1]Pivot!$AD$1:$BE$65000,$B839,AC$5)=1,1,IF(INDEX([1]Pivot!$B$1:$AB$65000,$B839,AC$5)="",2,0)),0)</f>
        <v>0</v>
      </c>
      <c r="AD839" s="313">
        <f>IFERROR(IF(INDEX([1]Pivot!$BF$1:$CG$65000,$B839,AD$5)=1,1,IF(INDEX([1]Pivot!$B$1:$AB$65000,$B839,AD$5)="",2,0)),0)</f>
        <v>0</v>
      </c>
      <c r="AE839" s="313">
        <f>IFERROR(IF(INDEX([1]Pivot!$BF$1:$CG$65000,$B839,AE$5)=1,1,IF(INDEX([1]Pivot!$B$1:$AB$65000,$B839,AE$5)="",2,0)),0)</f>
        <v>0</v>
      </c>
      <c r="AF839" s="313">
        <f>IFERROR(IF(INDEX([1]Pivot!$BF$1:$CG$65000,$B839,AF$5)=1,1,IF(INDEX([1]Pivot!$B$1:$AB$65000,$B839,AF$5)="",2,0)),0)</f>
        <v>0</v>
      </c>
      <c r="AG839" s="313">
        <f>IFERROR(IF(INDEX([1]Pivot!$BF$1:$CG$65000,$B839,AG$5)=1,1,IF(INDEX([1]Pivot!$B$1:$AB$65000,$B839,AG$5)="",2,0)),0)</f>
        <v>0</v>
      </c>
      <c r="AH839" s="313">
        <f>IFERROR(IF(INDEX([1]Pivot!$BF$1:$CG$65000,$B839,AH$5)=1,1,IF(INDEX([1]Pivot!$B$1:$AB$65000,$B839,AH$5)="",2,0)),0)</f>
        <v>0</v>
      </c>
      <c r="AI839" s="313">
        <f>IFERROR(IF(INDEX([1]Pivot!$BF$1:$CG$65000,$B839,AI$5)=1,1,IF(INDEX([1]Pivot!$B$1:$AB$65000,$B839,AI$5)="",2,0)),0)</f>
        <v>0</v>
      </c>
      <c r="AJ839" s="313">
        <f>IFERROR(IF(INDEX([1]Pivot!$BF$1:$CG$65000,$B839,AJ$5)=1,1,IF(INDEX([1]Pivot!$B$1:$AB$65000,$B839,AJ$5)="",2,0)),0)</f>
        <v>0</v>
      </c>
      <c r="AK839" s="313">
        <f>IFERROR(IF(INDEX([1]Pivot!$BF$1:$CG$65000,$B839,AK$5)=1,1,IF(INDEX([1]Pivot!$B$1:$AB$65000,$B839,AK$5)="",2,0)),0)</f>
        <v>0</v>
      </c>
      <c r="AL839" s="313">
        <f>IFERROR(IF(INDEX([1]Pivot!$BF$1:$CG$65000,$B839,AL$5)=1,1,IF(INDEX([1]Pivot!$B$1:$AB$65000,$B839,AL$5)="",2,0)),0)</f>
        <v>0</v>
      </c>
      <c r="AM839" s="313">
        <f>IFERROR(IF(INDEX([1]Pivot!$BF$1:$CG$65000,$B839,AM$5)=1,1,IF(INDEX([1]Pivot!$B$1:$AB$65000,$B839,AM$5)="",2,0)),0)</f>
        <v>0</v>
      </c>
      <c r="AN839" s="313">
        <f>IFERROR(IF(INDEX([1]Pivot!$BF$1:$CG$65000,$B839,AN$5)=1,1,IF(INDEX([1]Pivot!$B$1:$AB$65000,$B839,AN$5)="",2,0)),0)</f>
        <v>0</v>
      </c>
      <c r="AO839" s="313">
        <f>IFERROR(IF(INDEX([1]Pivot!$BF$1:$CG$65000,$B839,AO$5)=1,1,IF(INDEX([1]Pivot!$B$1:$AB$65000,$B839,AO$5)="",2,0)),0)</f>
        <v>0</v>
      </c>
      <c r="AP839" s="313">
        <f>IFERROR(IF(INDEX([1]Pivot!$BF$1:$CG$65000,$B839,AP$5)=1,1,IF(INDEX([1]Pivot!$B$1:$AB$65000,$B839,AP$5)="",2,0)),0)</f>
        <v>0</v>
      </c>
      <c r="AQ839" s="313">
        <f>IFERROR(IF(INDEX([1]Pivot!$BF$1:$CG$65000,$B839,AQ$5)=1,1,IF(INDEX([1]Pivot!$B$1:$AB$65000,$B839,AQ$5)="",2,0)),0)</f>
        <v>0</v>
      </c>
      <c r="AR839" s="313">
        <f>IFERROR(IF(INDEX([1]Pivot!$BF$1:$CG$65000,$B839,AR$5)=1,1,IF(INDEX([1]Pivot!$B$1:$AB$65000,$B839,AR$5)="",2,0)),0)</f>
        <v>0</v>
      </c>
      <c r="AS839" s="312"/>
      <c r="AT839" s="313">
        <f>IFERROR(IF(INDEX([1]Pivot!$BF$1:$CG$65000,$B839,AT$5)=1,1,IF(INDEX([1]Pivot!$B$1:$AB$65000,$B839,AT$5)="",2,0)),0)</f>
        <v>0</v>
      </c>
      <c r="AU839" s="313">
        <f>IFERROR(IF(INDEX([1]Pivot!$BF$1:$CG$65000,$B839,AU$5)=1,1,IF(INDEX([1]Pivot!$B$1:$AB$65000,$B839,AU$5)="",2,0)),0)</f>
        <v>0</v>
      </c>
      <c r="AV839" s="313">
        <f>IFERROR(IF(INDEX([1]Pivot!$BF$1:$CG$65000,$B839,AV$5)=1,1,IF(INDEX([1]Pivot!$B$1:$AB$65000,$B839,AV$5)="",2,0)),0)</f>
        <v>0</v>
      </c>
      <c r="AW839" s="313">
        <f>IFERROR(IF(INDEX([1]Pivot!$BF$1:$CG$65000,$B839,AW$5)=1,1,IF(INDEX([1]Pivot!$B$1:$AB$65000,$B839,AW$5)="",2,0)),0)</f>
        <v>0</v>
      </c>
      <c r="AX839" s="313">
        <f>IFERROR(IF(INDEX([1]Pivot!$BF$1:$CG$65000,$B839,AX$5)=1,1,IF(INDEX([1]Pivot!$B$1:$AB$65000,$B839,AX$5)="",2,0)),0)</f>
        <v>0</v>
      </c>
      <c r="AY839" s="313">
        <f>IFERROR(IF(INDEX([1]Pivot!$BF$1:$CG$65000,$B839,AY$5)=1,1,IF(INDEX([1]Pivot!$B$1:$AB$65000,$B839,AY$5)="",2,0)),0)</f>
        <v>0</v>
      </c>
      <c r="AZ839" s="313">
        <f>IFERROR(IF(INDEX([1]Pivot!$BF$1:$CG$65000,$B839,AZ$5)=1,1,IF(INDEX([1]Pivot!$B$1:$AB$65000,$B839,AZ$5)="",2,0)),0)</f>
        <v>0</v>
      </c>
      <c r="BA839" s="313">
        <f>IFERROR(IF(INDEX([1]Pivot!$BF$1:$CG$65000,$B839,BA$5)=1,1,IF(INDEX([1]Pivot!$B$1:$AB$65000,$B839,BA$5)="",2,0)),0)</f>
        <v>0</v>
      </c>
      <c r="BB839" s="313">
        <f>IFERROR(IF(INDEX([1]Pivot!$BF$1:$CG$65000,$B839,BB$5)=1,1,IF(INDEX([1]Pivot!$B$1:$AB$65000,$B839,BB$5)="",2,0)),0)</f>
        <v>0</v>
      </c>
      <c r="BC839" s="313">
        <f>IFERROR(IF(INDEX([1]Pivot!$BF$1:$CG$65000,$B839,BC$5)=1,1,IF(INDEX([1]Pivot!$B$1:$AB$65000,$B839,BC$5)="",2,0)),0)</f>
        <v>0</v>
      </c>
      <c r="BD839" s="313">
        <f>IFERROR(IF(INDEX([1]Pivot!$BF$1:$CG$65000,$B839,BD$5)=1,1,IF(INDEX([1]Pivot!$B$1:$AB$65000,$B839,BD$5)="",2,0)),0)</f>
        <v>0</v>
      </c>
    </row>
    <row r="840" spans="1:56" x14ac:dyDescent="0.25">
      <c r="A840" s="288">
        <f>'[2]Raw Milk Prices'!A840</f>
        <v>0</v>
      </c>
      <c r="B840" s="296" t="e">
        <f>MATCH(DATE(LEFT('[2]Raw Milk Prices'!$A840,4),RIGHT('[2]Raw Milk Prices'!$A840,2),1),[1]Pivot!$A$1:$A$65000,0)</f>
        <v>#VALUE!</v>
      </c>
      <c r="C840" s="194">
        <f>IFERROR(IF(INDEX([1]Pivot!$AD$1:$BE$65000,$B840,C$5)=1,1,IF(INDEX([1]Pivot!$B$1:$AB$65000,$B840,C$5)="",2,0)),0)</f>
        <v>0</v>
      </c>
      <c r="D840" s="194">
        <f>IFERROR(IF(INDEX([1]Pivot!$AD$1:$BE$65000,$B840,D$5)=1,1,IF(INDEX([1]Pivot!$B$1:$AB$65000,$B840,D$5)="",2,0)),0)</f>
        <v>0</v>
      </c>
      <c r="E840" s="194">
        <f>IFERROR(IF(INDEX([1]Pivot!$AD$1:$BE$65000,$B840,E$5)=1,1,IF(INDEX([1]Pivot!$B$1:$AB$65000,$B840,E$5)="",2,0)),0)</f>
        <v>0</v>
      </c>
      <c r="F840" s="194">
        <f>IFERROR(IF(INDEX([1]Pivot!$AD$1:$BE$65000,$B840,F$5)=1,1,IF(INDEX([1]Pivot!$B$1:$AB$65000,$B840,F$5)="",2,0)),0)</f>
        <v>0</v>
      </c>
      <c r="G840" s="194">
        <f>IFERROR(IF(INDEX([1]Pivot!$AD$1:$BE$65000,$B840,G$5)=1,1,IF(INDEX([1]Pivot!$B$1:$AB$65000,$B840,G$5)="",2,0)),0)</f>
        <v>0</v>
      </c>
      <c r="H840" s="194">
        <f>IFERROR(IF(INDEX([1]Pivot!$AD$1:$BE$65000,$B840,H$5)=1,1,IF(INDEX([1]Pivot!$B$1:$AB$65000,$B840,H$5)="",2,0)),0)</f>
        <v>0</v>
      </c>
      <c r="I840" s="194">
        <f>IFERROR(IF(INDEX([1]Pivot!$AD$1:$BE$65000,$B840,I$5)=1,1,IF(INDEX([1]Pivot!$B$1:$AB$65000,$B840,I$5)="",2,0)),0)</f>
        <v>0</v>
      </c>
      <c r="J840" s="194">
        <f>IFERROR(IF(INDEX([1]Pivot!$AD$1:$BE$65000,$B840,J$5)=1,1,IF(INDEX([1]Pivot!$B$1:$AB$65000,$B840,J$5)="",2,0)),0)</f>
        <v>0</v>
      </c>
      <c r="K840" s="194">
        <f>IFERROR(IF(INDEX([1]Pivot!$AD$1:$BE$65000,$B840,K$5)=1,1,IF(INDEX([1]Pivot!$B$1:$AB$65000,$B840,K$5)="",2,0)),0)</f>
        <v>0</v>
      </c>
      <c r="L840" s="194">
        <f>IFERROR(IF(INDEX([1]Pivot!$AD$1:$BE$65000,$B840,L$5)=1,1,IF(INDEX([1]Pivot!$B$1:$AB$65000,$B840,L$5)="",2,0)),0)</f>
        <v>0</v>
      </c>
      <c r="M840" s="194">
        <f>IFERROR(IF(INDEX([1]Pivot!$AD$1:$BE$65000,$B840,M$5)=1,1,IF(INDEX([1]Pivot!$B$1:$AB$65000,$B840,M$5)="",2,0)),0)</f>
        <v>0</v>
      </c>
      <c r="N840" s="194">
        <f>IFERROR(IF(INDEX([1]Pivot!$AD$1:$BE$65000,$B840,N$5)=1,1,IF(INDEX([1]Pivot!$B$1:$AB$65000,$B840,N$5)="",2,0)),0)</f>
        <v>0</v>
      </c>
      <c r="O840" s="194">
        <f>IFERROR(IF(INDEX([1]Pivot!$AD$1:$BE$65000,$B840,O$5)=1,1,IF(INDEX([1]Pivot!$B$1:$AB$65000,$B840,O$5)="",2,0)),0)</f>
        <v>0</v>
      </c>
      <c r="P840" s="194">
        <f>IFERROR(IF(INDEX([1]Pivot!$AD$1:$BE$65000,$B840,P$5)=1,1,IF(INDEX([1]Pivot!$B$1:$AB$65000,$B840,P$5)="",2,0)),0)</f>
        <v>0</v>
      </c>
      <c r="Q840" s="194">
        <f>IFERROR(IF(INDEX([1]Pivot!$AD$1:$BE$65000,$B840,Q$5)=1,1,IF(INDEX([1]Pivot!$B$1:$AB$65000,$B840,Q$5)="",2,0)),0)</f>
        <v>0</v>
      </c>
      <c r="R840" s="312"/>
      <c r="S840" s="194">
        <f>IFERROR(IF(INDEX([1]Pivot!$AD$1:$BE$65000,$B840,S$5)=1,1,IF(INDEX([1]Pivot!$B$1:$AB$65000,$B840,S$5)="",2,0)),0)</f>
        <v>0</v>
      </c>
      <c r="T840" s="194">
        <f>IFERROR(IF(INDEX([1]Pivot!$AD$1:$BE$65000,$B840,T$5)=1,1,IF(INDEX([1]Pivot!$B$1:$AB$65000,$B840,T$5)="",2,0)),0)</f>
        <v>0</v>
      </c>
      <c r="U840" s="194">
        <f>IFERROR(IF(INDEX([1]Pivot!$AD$1:$BE$65000,$B840,U$5)=1,1,IF(INDEX([1]Pivot!$B$1:$AB$65000,$B840,U$5)="",2,0)),0)</f>
        <v>0</v>
      </c>
      <c r="V840" s="194">
        <f>IFERROR(IF(INDEX([1]Pivot!$AD$1:$BE$65000,$B840,V$5)=1,1,IF(INDEX([1]Pivot!$B$1:$AB$65000,$B840,V$5)="",2,0)),0)</f>
        <v>0</v>
      </c>
      <c r="W840" s="194">
        <f>IFERROR(IF(INDEX([1]Pivot!$AD$1:$BE$65000,$B840,W$5)=1,1,IF(INDEX([1]Pivot!$B$1:$AB$65000,$B840,W$5)="",2,0)),0)</f>
        <v>0</v>
      </c>
      <c r="X840" s="194">
        <f>IFERROR(IF(INDEX([1]Pivot!$AD$1:$BE$65000,$B840,X$5)=1,1,IF(INDEX([1]Pivot!$B$1:$AB$65000,$B840,X$5)="",2,0)),0)</f>
        <v>0</v>
      </c>
      <c r="Y840" s="194">
        <f>IFERROR(IF(INDEX([1]Pivot!$AD$1:$BE$65000,$B840,Y$5)=1,1,IF(INDEX([1]Pivot!$B$1:$AB$65000,$B840,Y$5)="",2,0)),0)</f>
        <v>0</v>
      </c>
      <c r="Z840" s="194">
        <f>IFERROR(IF(INDEX([1]Pivot!$AD$1:$BE$65000,$B840,Z$5)=1,1,IF(INDEX([1]Pivot!$B$1:$AB$65000,$B840,Z$5)="",2,0)),0)</f>
        <v>0</v>
      </c>
      <c r="AA840" s="194">
        <f>IFERROR(IF(INDEX([1]Pivot!$AD$1:$BE$65000,$B840,AA$5)=1,1,IF(INDEX([1]Pivot!$B$1:$AB$65000,$B840,AA$5)="",2,0)),0)</f>
        <v>0</v>
      </c>
      <c r="AB840" s="194">
        <f>IFERROR(IF(INDEX([1]Pivot!$AD$1:$BE$65000,$B840,AB$5)=1,1,IF(INDEX([1]Pivot!$B$1:$AB$65000,$B840,AB$5)="",2,0)),0)</f>
        <v>0</v>
      </c>
      <c r="AC840" s="194">
        <f>IFERROR(IF(INDEX([1]Pivot!$AD$1:$BE$65000,$B840,AC$5)=1,1,IF(INDEX([1]Pivot!$B$1:$AB$65000,$B840,AC$5)="",2,0)),0)</f>
        <v>0</v>
      </c>
      <c r="AD840" s="313">
        <f>IFERROR(IF(INDEX([1]Pivot!$BF$1:$CG$65000,$B840,AD$5)=1,1,IF(INDEX([1]Pivot!$B$1:$AB$65000,$B840,AD$5)="",2,0)),0)</f>
        <v>0</v>
      </c>
      <c r="AE840" s="313">
        <f>IFERROR(IF(INDEX([1]Pivot!$BF$1:$CG$65000,$B840,AE$5)=1,1,IF(INDEX([1]Pivot!$B$1:$AB$65000,$B840,AE$5)="",2,0)),0)</f>
        <v>0</v>
      </c>
      <c r="AF840" s="313">
        <f>IFERROR(IF(INDEX([1]Pivot!$BF$1:$CG$65000,$B840,AF$5)=1,1,IF(INDEX([1]Pivot!$B$1:$AB$65000,$B840,AF$5)="",2,0)),0)</f>
        <v>0</v>
      </c>
      <c r="AG840" s="313">
        <f>IFERROR(IF(INDEX([1]Pivot!$BF$1:$CG$65000,$B840,AG$5)=1,1,IF(INDEX([1]Pivot!$B$1:$AB$65000,$B840,AG$5)="",2,0)),0)</f>
        <v>0</v>
      </c>
      <c r="AH840" s="313">
        <f>IFERROR(IF(INDEX([1]Pivot!$BF$1:$CG$65000,$B840,AH$5)=1,1,IF(INDEX([1]Pivot!$B$1:$AB$65000,$B840,AH$5)="",2,0)),0)</f>
        <v>0</v>
      </c>
      <c r="AI840" s="313">
        <f>IFERROR(IF(INDEX([1]Pivot!$BF$1:$CG$65000,$B840,AI$5)=1,1,IF(INDEX([1]Pivot!$B$1:$AB$65000,$B840,AI$5)="",2,0)),0)</f>
        <v>0</v>
      </c>
      <c r="AJ840" s="313">
        <f>IFERROR(IF(INDEX([1]Pivot!$BF$1:$CG$65000,$B840,AJ$5)=1,1,IF(INDEX([1]Pivot!$B$1:$AB$65000,$B840,AJ$5)="",2,0)),0)</f>
        <v>0</v>
      </c>
      <c r="AK840" s="313">
        <f>IFERROR(IF(INDEX([1]Pivot!$BF$1:$CG$65000,$B840,AK$5)=1,1,IF(INDEX([1]Pivot!$B$1:$AB$65000,$B840,AK$5)="",2,0)),0)</f>
        <v>0</v>
      </c>
      <c r="AL840" s="313">
        <f>IFERROR(IF(INDEX([1]Pivot!$BF$1:$CG$65000,$B840,AL$5)=1,1,IF(INDEX([1]Pivot!$B$1:$AB$65000,$B840,AL$5)="",2,0)),0)</f>
        <v>0</v>
      </c>
      <c r="AM840" s="313">
        <f>IFERROR(IF(INDEX([1]Pivot!$BF$1:$CG$65000,$B840,AM$5)=1,1,IF(INDEX([1]Pivot!$B$1:$AB$65000,$B840,AM$5)="",2,0)),0)</f>
        <v>0</v>
      </c>
      <c r="AN840" s="313">
        <f>IFERROR(IF(INDEX([1]Pivot!$BF$1:$CG$65000,$B840,AN$5)=1,1,IF(INDEX([1]Pivot!$B$1:$AB$65000,$B840,AN$5)="",2,0)),0)</f>
        <v>0</v>
      </c>
      <c r="AO840" s="313">
        <f>IFERROR(IF(INDEX([1]Pivot!$BF$1:$CG$65000,$B840,AO$5)=1,1,IF(INDEX([1]Pivot!$B$1:$AB$65000,$B840,AO$5)="",2,0)),0)</f>
        <v>0</v>
      </c>
      <c r="AP840" s="313">
        <f>IFERROR(IF(INDEX([1]Pivot!$BF$1:$CG$65000,$B840,AP$5)=1,1,IF(INDEX([1]Pivot!$B$1:$AB$65000,$B840,AP$5)="",2,0)),0)</f>
        <v>0</v>
      </c>
      <c r="AQ840" s="313">
        <f>IFERROR(IF(INDEX([1]Pivot!$BF$1:$CG$65000,$B840,AQ$5)=1,1,IF(INDEX([1]Pivot!$B$1:$AB$65000,$B840,AQ$5)="",2,0)),0)</f>
        <v>0</v>
      </c>
      <c r="AR840" s="313">
        <f>IFERROR(IF(INDEX([1]Pivot!$BF$1:$CG$65000,$B840,AR$5)=1,1,IF(INDEX([1]Pivot!$B$1:$AB$65000,$B840,AR$5)="",2,0)),0)</f>
        <v>0</v>
      </c>
      <c r="AS840" s="312"/>
      <c r="AT840" s="313">
        <f>IFERROR(IF(INDEX([1]Pivot!$BF$1:$CG$65000,$B840,AT$5)=1,1,IF(INDEX([1]Pivot!$B$1:$AB$65000,$B840,AT$5)="",2,0)),0)</f>
        <v>0</v>
      </c>
      <c r="AU840" s="313">
        <f>IFERROR(IF(INDEX([1]Pivot!$BF$1:$CG$65000,$B840,AU$5)=1,1,IF(INDEX([1]Pivot!$B$1:$AB$65000,$B840,AU$5)="",2,0)),0)</f>
        <v>0</v>
      </c>
      <c r="AV840" s="313">
        <f>IFERROR(IF(INDEX([1]Pivot!$BF$1:$CG$65000,$B840,AV$5)=1,1,IF(INDEX([1]Pivot!$B$1:$AB$65000,$B840,AV$5)="",2,0)),0)</f>
        <v>0</v>
      </c>
      <c r="AW840" s="313">
        <f>IFERROR(IF(INDEX([1]Pivot!$BF$1:$CG$65000,$B840,AW$5)=1,1,IF(INDEX([1]Pivot!$B$1:$AB$65000,$B840,AW$5)="",2,0)),0)</f>
        <v>0</v>
      </c>
      <c r="AX840" s="313">
        <f>IFERROR(IF(INDEX([1]Pivot!$BF$1:$CG$65000,$B840,AX$5)=1,1,IF(INDEX([1]Pivot!$B$1:$AB$65000,$B840,AX$5)="",2,0)),0)</f>
        <v>0</v>
      </c>
      <c r="AY840" s="313">
        <f>IFERROR(IF(INDEX([1]Pivot!$BF$1:$CG$65000,$B840,AY$5)=1,1,IF(INDEX([1]Pivot!$B$1:$AB$65000,$B840,AY$5)="",2,0)),0)</f>
        <v>0</v>
      </c>
      <c r="AZ840" s="313">
        <f>IFERROR(IF(INDEX([1]Pivot!$BF$1:$CG$65000,$B840,AZ$5)=1,1,IF(INDEX([1]Pivot!$B$1:$AB$65000,$B840,AZ$5)="",2,0)),0)</f>
        <v>0</v>
      </c>
      <c r="BA840" s="313">
        <f>IFERROR(IF(INDEX([1]Pivot!$BF$1:$CG$65000,$B840,BA$5)=1,1,IF(INDEX([1]Pivot!$B$1:$AB$65000,$B840,BA$5)="",2,0)),0)</f>
        <v>0</v>
      </c>
      <c r="BB840" s="313">
        <f>IFERROR(IF(INDEX([1]Pivot!$BF$1:$CG$65000,$B840,BB$5)=1,1,IF(INDEX([1]Pivot!$B$1:$AB$65000,$B840,BB$5)="",2,0)),0)</f>
        <v>0</v>
      </c>
      <c r="BC840" s="313">
        <f>IFERROR(IF(INDEX([1]Pivot!$BF$1:$CG$65000,$B840,BC$5)=1,1,IF(INDEX([1]Pivot!$B$1:$AB$65000,$B840,BC$5)="",2,0)),0)</f>
        <v>0</v>
      </c>
      <c r="BD840" s="313">
        <f>IFERROR(IF(INDEX([1]Pivot!$BF$1:$CG$65000,$B840,BD$5)=1,1,IF(INDEX([1]Pivot!$B$1:$AB$65000,$B840,BD$5)="",2,0)),0)</f>
        <v>0</v>
      </c>
    </row>
    <row r="841" spans="1:56" x14ac:dyDescent="0.25">
      <c r="A841" s="288">
        <f>'[2]Raw Milk Prices'!A841</f>
        <v>0</v>
      </c>
      <c r="B841" s="296" t="e">
        <f>MATCH(DATE(LEFT('[2]Raw Milk Prices'!$A841,4),RIGHT('[2]Raw Milk Prices'!$A841,2),1),[1]Pivot!$A$1:$A$65000,0)</f>
        <v>#VALUE!</v>
      </c>
      <c r="C841" s="194">
        <f>IFERROR(IF(INDEX([1]Pivot!$AD$1:$BE$65000,$B841,C$5)=1,1,IF(INDEX([1]Pivot!$B$1:$AB$65000,$B841,C$5)="",2,0)),0)</f>
        <v>0</v>
      </c>
      <c r="D841" s="194">
        <f>IFERROR(IF(INDEX([1]Pivot!$AD$1:$BE$65000,$B841,D$5)=1,1,IF(INDEX([1]Pivot!$B$1:$AB$65000,$B841,D$5)="",2,0)),0)</f>
        <v>0</v>
      </c>
      <c r="E841" s="194">
        <f>IFERROR(IF(INDEX([1]Pivot!$AD$1:$BE$65000,$B841,E$5)=1,1,IF(INDEX([1]Pivot!$B$1:$AB$65000,$B841,E$5)="",2,0)),0)</f>
        <v>0</v>
      </c>
      <c r="F841" s="194">
        <f>IFERROR(IF(INDEX([1]Pivot!$AD$1:$BE$65000,$B841,F$5)=1,1,IF(INDEX([1]Pivot!$B$1:$AB$65000,$B841,F$5)="",2,0)),0)</f>
        <v>0</v>
      </c>
      <c r="G841" s="194">
        <f>IFERROR(IF(INDEX([1]Pivot!$AD$1:$BE$65000,$B841,G$5)=1,1,IF(INDEX([1]Pivot!$B$1:$AB$65000,$B841,G$5)="",2,0)),0)</f>
        <v>0</v>
      </c>
      <c r="H841" s="194">
        <f>IFERROR(IF(INDEX([1]Pivot!$AD$1:$BE$65000,$B841,H$5)=1,1,IF(INDEX([1]Pivot!$B$1:$AB$65000,$B841,H$5)="",2,0)),0)</f>
        <v>0</v>
      </c>
      <c r="I841" s="194">
        <f>IFERROR(IF(INDEX([1]Pivot!$AD$1:$BE$65000,$B841,I$5)=1,1,IF(INDEX([1]Pivot!$B$1:$AB$65000,$B841,I$5)="",2,0)),0)</f>
        <v>0</v>
      </c>
      <c r="J841" s="194">
        <f>IFERROR(IF(INDEX([1]Pivot!$AD$1:$BE$65000,$B841,J$5)=1,1,IF(INDEX([1]Pivot!$B$1:$AB$65000,$B841,J$5)="",2,0)),0)</f>
        <v>0</v>
      </c>
      <c r="K841" s="194">
        <f>IFERROR(IF(INDEX([1]Pivot!$AD$1:$BE$65000,$B841,K$5)=1,1,IF(INDEX([1]Pivot!$B$1:$AB$65000,$B841,K$5)="",2,0)),0)</f>
        <v>0</v>
      </c>
      <c r="L841" s="194">
        <f>IFERROR(IF(INDEX([1]Pivot!$AD$1:$BE$65000,$B841,L$5)=1,1,IF(INDEX([1]Pivot!$B$1:$AB$65000,$B841,L$5)="",2,0)),0)</f>
        <v>0</v>
      </c>
      <c r="M841" s="194">
        <f>IFERROR(IF(INDEX([1]Pivot!$AD$1:$BE$65000,$B841,M$5)=1,1,IF(INDEX([1]Pivot!$B$1:$AB$65000,$B841,M$5)="",2,0)),0)</f>
        <v>0</v>
      </c>
      <c r="N841" s="194">
        <f>IFERROR(IF(INDEX([1]Pivot!$AD$1:$BE$65000,$B841,N$5)=1,1,IF(INDEX([1]Pivot!$B$1:$AB$65000,$B841,N$5)="",2,0)),0)</f>
        <v>0</v>
      </c>
      <c r="O841" s="194">
        <f>IFERROR(IF(INDEX([1]Pivot!$AD$1:$BE$65000,$B841,O$5)=1,1,IF(INDEX([1]Pivot!$B$1:$AB$65000,$B841,O$5)="",2,0)),0)</f>
        <v>0</v>
      </c>
      <c r="P841" s="194">
        <f>IFERROR(IF(INDEX([1]Pivot!$AD$1:$BE$65000,$B841,P$5)=1,1,IF(INDEX([1]Pivot!$B$1:$AB$65000,$B841,P$5)="",2,0)),0)</f>
        <v>0</v>
      </c>
      <c r="Q841" s="194">
        <f>IFERROR(IF(INDEX([1]Pivot!$AD$1:$BE$65000,$B841,Q$5)=1,1,IF(INDEX([1]Pivot!$B$1:$AB$65000,$B841,Q$5)="",2,0)),0)</f>
        <v>0</v>
      </c>
      <c r="R841" s="312"/>
      <c r="S841" s="194">
        <f>IFERROR(IF(INDEX([1]Pivot!$AD$1:$BE$65000,$B841,S$5)=1,1,IF(INDEX([1]Pivot!$B$1:$AB$65000,$B841,S$5)="",2,0)),0)</f>
        <v>0</v>
      </c>
      <c r="T841" s="194">
        <f>IFERROR(IF(INDEX([1]Pivot!$AD$1:$BE$65000,$B841,T$5)=1,1,IF(INDEX([1]Pivot!$B$1:$AB$65000,$B841,T$5)="",2,0)),0)</f>
        <v>0</v>
      </c>
      <c r="U841" s="194">
        <f>IFERROR(IF(INDEX([1]Pivot!$AD$1:$BE$65000,$B841,U$5)=1,1,IF(INDEX([1]Pivot!$B$1:$AB$65000,$B841,U$5)="",2,0)),0)</f>
        <v>0</v>
      </c>
      <c r="V841" s="194">
        <f>IFERROR(IF(INDEX([1]Pivot!$AD$1:$BE$65000,$B841,V$5)=1,1,IF(INDEX([1]Pivot!$B$1:$AB$65000,$B841,V$5)="",2,0)),0)</f>
        <v>0</v>
      </c>
      <c r="W841" s="194">
        <f>IFERROR(IF(INDEX([1]Pivot!$AD$1:$BE$65000,$B841,W$5)=1,1,IF(INDEX([1]Pivot!$B$1:$AB$65000,$B841,W$5)="",2,0)),0)</f>
        <v>0</v>
      </c>
      <c r="X841" s="194">
        <f>IFERROR(IF(INDEX([1]Pivot!$AD$1:$BE$65000,$B841,X$5)=1,1,IF(INDEX([1]Pivot!$B$1:$AB$65000,$B841,X$5)="",2,0)),0)</f>
        <v>0</v>
      </c>
      <c r="Y841" s="194">
        <f>IFERROR(IF(INDEX([1]Pivot!$AD$1:$BE$65000,$B841,Y$5)=1,1,IF(INDEX([1]Pivot!$B$1:$AB$65000,$B841,Y$5)="",2,0)),0)</f>
        <v>0</v>
      </c>
      <c r="Z841" s="194">
        <f>IFERROR(IF(INDEX([1]Pivot!$AD$1:$BE$65000,$B841,Z$5)=1,1,IF(INDEX([1]Pivot!$B$1:$AB$65000,$B841,Z$5)="",2,0)),0)</f>
        <v>0</v>
      </c>
      <c r="AA841" s="194">
        <f>IFERROR(IF(INDEX([1]Pivot!$AD$1:$BE$65000,$B841,AA$5)=1,1,IF(INDEX([1]Pivot!$B$1:$AB$65000,$B841,AA$5)="",2,0)),0)</f>
        <v>0</v>
      </c>
      <c r="AB841" s="194">
        <f>IFERROR(IF(INDEX([1]Pivot!$AD$1:$BE$65000,$B841,AB$5)=1,1,IF(INDEX([1]Pivot!$B$1:$AB$65000,$B841,AB$5)="",2,0)),0)</f>
        <v>0</v>
      </c>
      <c r="AC841" s="194">
        <f>IFERROR(IF(INDEX([1]Pivot!$AD$1:$BE$65000,$B841,AC$5)=1,1,IF(INDEX([1]Pivot!$B$1:$AB$65000,$B841,AC$5)="",2,0)),0)</f>
        <v>0</v>
      </c>
      <c r="AD841" s="313">
        <f>IFERROR(IF(INDEX([1]Pivot!$BF$1:$CG$65000,$B841,AD$5)=1,1,IF(INDEX([1]Pivot!$B$1:$AB$65000,$B841,AD$5)="",2,0)),0)</f>
        <v>0</v>
      </c>
      <c r="AE841" s="313">
        <f>IFERROR(IF(INDEX([1]Pivot!$BF$1:$CG$65000,$B841,AE$5)=1,1,IF(INDEX([1]Pivot!$B$1:$AB$65000,$B841,AE$5)="",2,0)),0)</f>
        <v>0</v>
      </c>
      <c r="AF841" s="313">
        <f>IFERROR(IF(INDEX([1]Pivot!$BF$1:$CG$65000,$B841,AF$5)=1,1,IF(INDEX([1]Pivot!$B$1:$AB$65000,$B841,AF$5)="",2,0)),0)</f>
        <v>0</v>
      </c>
      <c r="AG841" s="313">
        <f>IFERROR(IF(INDEX([1]Pivot!$BF$1:$CG$65000,$B841,AG$5)=1,1,IF(INDEX([1]Pivot!$B$1:$AB$65000,$B841,AG$5)="",2,0)),0)</f>
        <v>0</v>
      </c>
      <c r="AH841" s="313">
        <f>IFERROR(IF(INDEX([1]Pivot!$BF$1:$CG$65000,$B841,AH$5)=1,1,IF(INDEX([1]Pivot!$B$1:$AB$65000,$B841,AH$5)="",2,0)),0)</f>
        <v>0</v>
      </c>
      <c r="AI841" s="313">
        <f>IFERROR(IF(INDEX([1]Pivot!$BF$1:$CG$65000,$B841,AI$5)=1,1,IF(INDEX([1]Pivot!$B$1:$AB$65000,$B841,AI$5)="",2,0)),0)</f>
        <v>0</v>
      </c>
      <c r="AJ841" s="313">
        <f>IFERROR(IF(INDEX([1]Pivot!$BF$1:$CG$65000,$B841,AJ$5)=1,1,IF(INDEX([1]Pivot!$B$1:$AB$65000,$B841,AJ$5)="",2,0)),0)</f>
        <v>0</v>
      </c>
      <c r="AK841" s="313">
        <f>IFERROR(IF(INDEX([1]Pivot!$BF$1:$CG$65000,$B841,AK$5)=1,1,IF(INDEX([1]Pivot!$B$1:$AB$65000,$B841,AK$5)="",2,0)),0)</f>
        <v>0</v>
      </c>
      <c r="AL841" s="313">
        <f>IFERROR(IF(INDEX([1]Pivot!$BF$1:$CG$65000,$B841,AL$5)=1,1,IF(INDEX([1]Pivot!$B$1:$AB$65000,$B841,AL$5)="",2,0)),0)</f>
        <v>0</v>
      </c>
      <c r="AM841" s="313">
        <f>IFERROR(IF(INDEX([1]Pivot!$BF$1:$CG$65000,$B841,AM$5)=1,1,IF(INDEX([1]Pivot!$B$1:$AB$65000,$B841,AM$5)="",2,0)),0)</f>
        <v>0</v>
      </c>
      <c r="AN841" s="313">
        <f>IFERROR(IF(INDEX([1]Pivot!$BF$1:$CG$65000,$B841,AN$5)=1,1,IF(INDEX([1]Pivot!$B$1:$AB$65000,$B841,AN$5)="",2,0)),0)</f>
        <v>0</v>
      </c>
      <c r="AO841" s="313">
        <f>IFERROR(IF(INDEX([1]Pivot!$BF$1:$CG$65000,$B841,AO$5)=1,1,IF(INDEX([1]Pivot!$B$1:$AB$65000,$B841,AO$5)="",2,0)),0)</f>
        <v>0</v>
      </c>
      <c r="AP841" s="313">
        <f>IFERROR(IF(INDEX([1]Pivot!$BF$1:$CG$65000,$B841,AP$5)=1,1,IF(INDEX([1]Pivot!$B$1:$AB$65000,$B841,AP$5)="",2,0)),0)</f>
        <v>0</v>
      </c>
      <c r="AQ841" s="313">
        <f>IFERROR(IF(INDEX([1]Pivot!$BF$1:$CG$65000,$B841,AQ$5)=1,1,IF(INDEX([1]Pivot!$B$1:$AB$65000,$B841,AQ$5)="",2,0)),0)</f>
        <v>0</v>
      </c>
      <c r="AR841" s="313">
        <f>IFERROR(IF(INDEX([1]Pivot!$BF$1:$CG$65000,$B841,AR$5)=1,1,IF(INDEX([1]Pivot!$B$1:$AB$65000,$B841,AR$5)="",2,0)),0)</f>
        <v>0</v>
      </c>
      <c r="AS841" s="312"/>
      <c r="AT841" s="313">
        <f>IFERROR(IF(INDEX([1]Pivot!$BF$1:$CG$65000,$B841,AT$5)=1,1,IF(INDEX([1]Pivot!$B$1:$AB$65000,$B841,AT$5)="",2,0)),0)</f>
        <v>0</v>
      </c>
      <c r="AU841" s="313">
        <f>IFERROR(IF(INDEX([1]Pivot!$BF$1:$CG$65000,$B841,AU$5)=1,1,IF(INDEX([1]Pivot!$B$1:$AB$65000,$B841,AU$5)="",2,0)),0)</f>
        <v>0</v>
      </c>
      <c r="AV841" s="313">
        <f>IFERROR(IF(INDEX([1]Pivot!$BF$1:$CG$65000,$B841,AV$5)=1,1,IF(INDEX([1]Pivot!$B$1:$AB$65000,$B841,AV$5)="",2,0)),0)</f>
        <v>0</v>
      </c>
      <c r="AW841" s="313">
        <f>IFERROR(IF(INDEX([1]Pivot!$BF$1:$CG$65000,$B841,AW$5)=1,1,IF(INDEX([1]Pivot!$B$1:$AB$65000,$B841,AW$5)="",2,0)),0)</f>
        <v>0</v>
      </c>
      <c r="AX841" s="313">
        <f>IFERROR(IF(INDEX([1]Pivot!$BF$1:$CG$65000,$B841,AX$5)=1,1,IF(INDEX([1]Pivot!$B$1:$AB$65000,$B841,AX$5)="",2,0)),0)</f>
        <v>0</v>
      </c>
      <c r="AY841" s="313">
        <f>IFERROR(IF(INDEX([1]Pivot!$BF$1:$CG$65000,$B841,AY$5)=1,1,IF(INDEX([1]Pivot!$B$1:$AB$65000,$B841,AY$5)="",2,0)),0)</f>
        <v>0</v>
      </c>
      <c r="AZ841" s="313">
        <f>IFERROR(IF(INDEX([1]Pivot!$BF$1:$CG$65000,$B841,AZ$5)=1,1,IF(INDEX([1]Pivot!$B$1:$AB$65000,$B841,AZ$5)="",2,0)),0)</f>
        <v>0</v>
      </c>
      <c r="BA841" s="313">
        <f>IFERROR(IF(INDEX([1]Pivot!$BF$1:$CG$65000,$B841,BA$5)=1,1,IF(INDEX([1]Pivot!$B$1:$AB$65000,$B841,BA$5)="",2,0)),0)</f>
        <v>0</v>
      </c>
      <c r="BB841" s="313">
        <f>IFERROR(IF(INDEX([1]Pivot!$BF$1:$CG$65000,$B841,BB$5)=1,1,IF(INDEX([1]Pivot!$B$1:$AB$65000,$B841,BB$5)="",2,0)),0)</f>
        <v>0</v>
      </c>
      <c r="BC841" s="313">
        <f>IFERROR(IF(INDEX([1]Pivot!$BF$1:$CG$65000,$B841,BC$5)=1,1,IF(INDEX([1]Pivot!$B$1:$AB$65000,$B841,BC$5)="",2,0)),0)</f>
        <v>0</v>
      </c>
      <c r="BD841" s="313">
        <f>IFERROR(IF(INDEX([1]Pivot!$BF$1:$CG$65000,$B841,BD$5)=1,1,IF(INDEX([1]Pivot!$B$1:$AB$65000,$B841,BD$5)="",2,0)),0)</f>
        <v>0</v>
      </c>
    </row>
    <row r="842" spans="1:56" x14ac:dyDescent="0.25">
      <c r="A842" s="288">
        <f>'[2]Raw Milk Prices'!A842</f>
        <v>0</v>
      </c>
      <c r="B842" s="296" t="e">
        <f>MATCH(DATE(LEFT('[2]Raw Milk Prices'!$A842,4),RIGHT('[2]Raw Milk Prices'!$A842,2),1),[1]Pivot!$A$1:$A$65000,0)</f>
        <v>#VALUE!</v>
      </c>
      <c r="C842" s="194">
        <f>IFERROR(IF(INDEX([1]Pivot!$AD$1:$BE$65000,$B842,C$5)=1,1,IF(INDEX([1]Pivot!$B$1:$AB$65000,$B842,C$5)="",2,0)),0)</f>
        <v>0</v>
      </c>
      <c r="D842" s="194">
        <f>IFERROR(IF(INDEX([1]Pivot!$AD$1:$BE$65000,$B842,D$5)=1,1,IF(INDEX([1]Pivot!$B$1:$AB$65000,$B842,D$5)="",2,0)),0)</f>
        <v>0</v>
      </c>
      <c r="E842" s="194">
        <f>IFERROR(IF(INDEX([1]Pivot!$AD$1:$BE$65000,$B842,E$5)=1,1,IF(INDEX([1]Pivot!$B$1:$AB$65000,$B842,E$5)="",2,0)),0)</f>
        <v>0</v>
      </c>
      <c r="F842" s="194">
        <f>IFERROR(IF(INDEX([1]Pivot!$AD$1:$BE$65000,$B842,F$5)=1,1,IF(INDEX([1]Pivot!$B$1:$AB$65000,$B842,F$5)="",2,0)),0)</f>
        <v>0</v>
      </c>
      <c r="G842" s="194">
        <f>IFERROR(IF(INDEX([1]Pivot!$AD$1:$BE$65000,$B842,G$5)=1,1,IF(INDEX([1]Pivot!$B$1:$AB$65000,$B842,G$5)="",2,0)),0)</f>
        <v>0</v>
      </c>
      <c r="H842" s="194">
        <f>IFERROR(IF(INDEX([1]Pivot!$AD$1:$BE$65000,$B842,H$5)=1,1,IF(INDEX([1]Pivot!$B$1:$AB$65000,$B842,H$5)="",2,0)),0)</f>
        <v>0</v>
      </c>
      <c r="I842" s="194">
        <f>IFERROR(IF(INDEX([1]Pivot!$AD$1:$BE$65000,$B842,I$5)=1,1,IF(INDEX([1]Pivot!$B$1:$AB$65000,$B842,I$5)="",2,0)),0)</f>
        <v>0</v>
      </c>
      <c r="J842" s="194">
        <f>IFERROR(IF(INDEX([1]Pivot!$AD$1:$BE$65000,$B842,J$5)=1,1,IF(INDEX([1]Pivot!$B$1:$AB$65000,$B842,J$5)="",2,0)),0)</f>
        <v>0</v>
      </c>
      <c r="K842" s="194">
        <f>IFERROR(IF(INDEX([1]Pivot!$AD$1:$BE$65000,$B842,K$5)=1,1,IF(INDEX([1]Pivot!$B$1:$AB$65000,$B842,K$5)="",2,0)),0)</f>
        <v>0</v>
      </c>
      <c r="L842" s="194">
        <f>IFERROR(IF(INDEX([1]Pivot!$AD$1:$BE$65000,$B842,L$5)=1,1,IF(INDEX([1]Pivot!$B$1:$AB$65000,$B842,L$5)="",2,0)),0)</f>
        <v>0</v>
      </c>
      <c r="M842" s="194">
        <f>IFERROR(IF(INDEX([1]Pivot!$AD$1:$BE$65000,$B842,M$5)=1,1,IF(INDEX([1]Pivot!$B$1:$AB$65000,$B842,M$5)="",2,0)),0)</f>
        <v>0</v>
      </c>
      <c r="N842" s="194">
        <f>IFERROR(IF(INDEX([1]Pivot!$AD$1:$BE$65000,$B842,N$5)=1,1,IF(INDEX([1]Pivot!$B$1:$AB$65000,$B842,N$5)="",2,0)),0)</f>
        <v>0</v>
      </c>
      <c r="O842" s="194">
        <f>IFERROR(IF(INDEX([1]Pivot!$AD$1:$BE$65000,$B842,O$5)=1,1,IF(INDEX([1]Pivot!$B$1:$AB$65000,$B842,O$5)="",2,0)),0)</f>
        <v>0</v>
      </c>
      <c r="P842" s="194">
        <f>IFERROR(IF(INDEX([1]Pivot!$AD$1:$BE$65000,$B842,P$5)=1,1,IF(INDEX([1]Pivot!$B$1:$AB$65000,$B842,P$5)="",2,0)),0)</f>
        <v>0</v>
      </c>
      <c r="Q842" s="194">
        <f>IFERROR(IF(INDEX([1]Pivot!$AD$1:$BE$65000,$B842,Q$5)=1,1,IF(INDEX([1]Pivot!$B$1:$AB$65000,$B842,Q$5)="",2,0)),0)</f>
        <v>0</v>
      </c>
      <c r="R842" s="312"/>
      <c r="S842" s="194">
        <f>IFERROR(IF(INDEX([1]Pivot!$AD$1:$BE$65000,$B842,S$5)=1,1,IF(INDEX([1]Pivot!$B$1:$AB$65000,$B842,S$5)="",2,0)),0)</f>
        <v>0</v>
      </c>
      <c r="T842" s="194">
        <f>IFERROR(IF(INDEX([1]Pivot!$AD$1:$BE$65000,$B842,T$5)=1,1,IF(INDEX([1]Pivot!$B$1:$AB$65000,$B842,T$5)="",2,0)),0)</f>
        <v>0</v>
      </c>
      <c r="U842" s="194">
        <f>IFERROR(IF(INDEX([1]Pivot!$AD$1:$BE$65000,$B842,U$5)=1,1,IF(INDEX([1]Pivot!$B$1:$AB$65000,$B842,U$5)="",2,0)),0)</f>
        <v>0</v>
      </c>
      <c r="V842" s="194">
        <f>IFERROR(IF(INDEX([1]Pivot!$AD$1:$BE$65000,$B842,V$5)=1,1,IF(INDEX([1]Pivot!$B$1:$AB$65000,$B842,V$5)="",2,0)),0)</f>
        <v>0</v>
      </c>
      <c r="W842" s="194">
        <f>IFERROR(IF(INDEX([1]Pivot!$AD$1:$BE$65000,$B842,W$5)=1,1,IF(INDEX([1]Pivot!$B$1:$AB$65000,$B842,W$5)="",2,0)),0)</f>
        <v>0</v>
      </c>
      <c r="X842" s="194">
        <f>IFERROR(IF(INDEX([1]Pivot!$AD$1:$BE$65000,$B842,X$5)=1,1,IF(INDEX([1]Pivot!$B$1:$AB$65000,$B842,X$5)="",2,0)),0)</f>
        <v>0</v>
      </c>
      <c r="Y842" s="194">
        <f>IFERROR(IF(INDEX([1]Pivot!$AD$1:$BE$65000,$B842,Y$5)=1,1,IF(INDEX([1]Pivot!$B$1:$AB$65000,$B842,Y$5)="",2,0)),0)</f>
        <v>0</v>
      </c>
      <c r="Z842" s="194">
        <f>IFERROR(IF(INDEX([1]Pivot!$AD$1:$BE$65000,$B842,Z$5)=1,1,IF(INDEX([1]Pivot!$B$1:$AB$65000,$B842,Z$5)="",2,0)),0)</f>
        <v>0</v>
      </c>
      <c r="AA842" s="194">
        <f>IFERROR(IF(INDEX([1]Pivot!$AD$1:$BE$65000,$B842,AA$5)=1,1,IF(INDEX([1]Pivot!$B$1:$AB$65000,$B842,AA$5)="",2,0)),0)</f>
        <v>0</v>
      </c>
      <c r="AB842" s="194">
        <f>IFERROR(IF(INDEX([1]Pivot!$AD$1:$BE$65000,$B842,AB$5)=1,1,IF(INDEX([1]Pivot!$B$1:$AB$65000,$B842,AB$5)="",2,0)),0)</f>
        <v>0</v>
      </c>
      <c r="AC842" s="194">
        <f>IFERROR(IF(INDEX([1]Pivot!$AD$1:$BE$65000,$B842,AC$5)=1,1,IF(INDEX([1]Pivot!$B$1:$AB$65000,$B842,AC$5)="",2,0)),0)</f>
        <v>0</v>
      </c>
      <c r="AD842" s="313">
        <f>IFERROR(IF(INDEX([1]Pivot!$BF$1:$CG$65000,$B842,AD$5)=1,1,IF(INDEX([1]Pivot!$B$1:$AB$65000,$B842,AD$5)="",2,0)),0)</f>
        <v>0</v>
      </c>
      <c r="AE842" s="313">
        <f>IFERROR(IF(INDEX([1]Pivot!$BF$1:$CG$65000,$B842,AE$5)=1,1,IF(INDEX([1]Pivot!$B$1:$AB$65000,$B842,AE$5)="",2,0)),0)</f>
        <v>0</v>
      </c>
      <c r="AF842" s="313">
        <f>IFERROR(IF(INDEX([1]Pivot!$BF$1:$CG$65000,$B842,AF$5)=1,1,IF(INDEX([1]Pivot!$B$1:$AB$65000,$B842,AF$5)="",2,0)),0)</f>
        <v>0</v>
      </c>
      <c r="AG842" s="313">
        <f>IFERROR(IF(INDEX([1]Pivot!$BF$1:$CG$65000,$B842,AG$5)=1,1,IF(INDEX([1]Pivot!$B$1:$AB$65000,$B842,AG$5)="",2,0)),0)</f>
        <v>0</v>
      </c>
      <c r="AH842" s="313">
        <f>IFERROR(IF(INDEX([1]Pivot!$BF$1:$CG$65000,$B842,AH$5)=1,1,IF(INDEX([1]Pivot!$B$1:$AB$65000,$B842,AH$5)="",2,0)),0)</f>
        <v>0</v>
      </c>
      <c r="AI842" s="313">
        <f>IFERROR(IF(INDEX([1]Pivot!$BF$1:$CG$65000,$B842,AI$5)=1,1,IF(INDEX([1]Pivot!$B$1:$AB$65000,$B842,AI$5)="",2,0)),0)</f>
        <v>0</v>
      </c>
      <c r="AJ842" s="313">
        <f>IFERROR(IF(INDEX([1]Pivot!$BF$1:$CG$65000,$B842,AJ$5)=1,1,IF(INDEX([1]Pivot!$B$1:$AB$65000,$B842,AJ$5)="",2,0)),0)</f>
        <v>0</v>
      </c>
      <c r="AK842" s="313">
        <f>IFERROR(IF(INDEX([1]Pivot!$BF$1:$CG$65000,$B842,AK$5)=1,1,IF(INDEX([1]Pivot!$B$1:$AB$65000,$B842,AK$5)="",2,0)),0)</f>
        <v>0</v>
      </c>
      <c r="AL842" s="313">
        <f>IFERROR(IF(INDEX([1]Pivot!$BF$1:$CG$65000,$B842,AL$5)=1,1,IF(INDEX([1]Pivot!$B$1:$AB$65000,$B842,AL$5)="",2,0)),0)</f>
        <v>0</v>
      </c>
      <c r="AM842" s="313">
        <f>IFERROR(IF(INDEX([1]Pivot!$BF$1:$CG$65000,$B842,AM$5)=1,1,IF(INDEX([1]Pivot!$B$1:$AB$65000,$B842,AM$5)="",2,0)),0)</f>
        <v>0</v>
      </c>
      <c r="AN842" s="313">
        <f>IFERROR(IF(INDEX([1]Pivot!$BF$1:$CG$65000,$B842,AN$5)=1,1,IF(INDEX([1]Pivot!$B$1:$AB$65000,$B842,AN$5)="",2,0)),0)</f>
        <v>0</v>
      </c>
      <c r="AO842" s="313">
        <f>IFERROR(IF(INDEX([1]Pivot!$BF$1:$CG$65000,$B842,AO$5)=1,1,IF(INDEX([1]Pivot!$B$1:$AB$65000,$B842,AO$5)="",2,0)),0)</f>
        <v>0</v>
      </c>
      <c r="AP842" s="313">
        <f>IFERROR(IF(INDEX([1]Pivot!$BF$1:$CG$65000,$B842,AP$5)=1,1,IF(INDEX([1]Pivot!$B$1:$AB$65000,$B842,AP$5)="",2,0)),0)</f>
        <v>0</v>
      </c>
      <c r="AQ842" s="313">
        <f>IFERROR(IF(INDEX([1]Pivot!$BF$1:$CG$65000,$B842,AQ$5)=1,1,IF(INDEX([1]Pivot!$B$1:$AB$65000,$B842,AQ$5)="",2,0)),0)</f>
        <v>0</v>
      </c>
      <c r="AR842" s="313">
        <f>IFERROR(IF(INDEX([1]Pivot!$BF$1:$CG$65000,$B842,AR$5)=1,1,IF(INDEX([1]Pivot!$B$1:$AB$65000,$B842,AR$5)="",2,0)),0)</f>
        <v>0</v>
      </c>
      <c r="AS842" s="312"/>
      <c r="AT842" s="313">
        <f>IFERROR(IF(INDEX([1]Pivot!$BF$1:$CG$65000,$B842,AT$5)=1,1,IF(INDEX([1]Pivot!$B$1:$AB$65000,$B842,AT$5)="",2,0)),0)</f>
        <v>0</v>
      </c>
      <c r="AU842" s="313">
        <f>IFERROR(IF(INDEX([1]Pivot!$BF$1:$CG$65000,$B842,AU$5)=1,1,IF(INDEX([1]Pivot!$B$1:$AB$65000,$B842,AU$5)="",2,0)),0)</f>
        <v>0</v>
      </c>
      <c r="AV842" s="313">
        <f>IFERROR(IF(INDEX([1]Pivot!$BF$1:$CG$65000,$B842,AV$5)=1,1,IF(INDEX([1]Pivot!$B$1:$AB$65000,$B842,AV$5)="",2,0)),0)</f>
        <v>0</v>
      </c>
      <c r="AW842" s="313">
        <f>IFERROR(IF(INDEX([1]Pivot!$BF$1:$CG$65000,$B842,AW$5)=1,1,IF(INDEX([1]Pivot!$B$1:$AB$65000,$B842,AW$5)="",2,0)),0)</f>
        <v>0</v>
      </c>
      <c r="AX842" s="313">
        <f>IFERROR(IF(INDEX([1]Pivot!$BF$1:$CG$65000,$B842,AX$5)=1,1,IF(INDEX([1]Pivot!$B$1:$AB$65000,$B842,AX$5)="",2,0)),0)</f>
        <v>0</v>
      </c>
      <c r="AY842" s="313">
        <f>IFERROR(IF(INDEX([1]Pivot!$BF$1:$CG$65000,$B842,AY$5)=1,1,IF(INDEX([1]Pivot!$B$1:$AB$65000,$B842,AY$5)="",2,0)),0)</f>
        <v>0</v>
      </c>
      <c r="AZ842" s="313">
        <f>IFERROR(IF(INDEX([1]Pivot!$BF$1:$CG$65000,$B842,AZ$5)=1,1,IF(INDEX([1]Pivot!$B$1:$AB$65000,$B842,AZ$5)="",2,0)),0)</f>
        <v>0</v>
      </c>
      <c r="BA842" s="313">
        <f>IFERROR(IF(INDEX([1]Pivot!$BF$1:$CG$65000,$B842,BA$5)=1,1,IF(INDEX([1]Pivot!$B$1:$AB$65000,$B842,BA$5)="",2,0)),0)</f>
        <v>0</v>
      </c>
      <c r="BB842" s="313">
        <f>IFERROR(IF(INDEX([1]Pivot!$BF$1:$CG$65000,$B842,BB$5)=1,1,IF(INDEX([1]Pivot!$B$1:$AB$65000,$B842,BB$5)="",2,0)),0)</f>
        <v>0</v>
      </c>
      <c r="BC842" s="313">
        <f>IFERROR(IF(INDEX([1]Pivot!$BF$1:$CG$65000,$B842,BC$5)=1,1,IF(INDEX([1]Pivot!$B$1:$AB$65000,$B842,BC$5)="",2,0)),0)</f>
        <v>0</v>
      </c>
      <c r="BD842" s="313">
        <f>IFERROR(IF(INDEX([1]Pivot!$BF$1:$CG$65000,$B842,BD$5)=1,1,IF(INDEX([1]Pivot!$B$1:$AB$65000,$B842,BD$5)="",2,0)),0)</f>
        <v>0</v>
      </c>
    </row>
    <row r="843" spans="1:56" x14ac:dyDescent="0.25">
      <c r="A843" s="288">
        <f>'[2]Raw Milk Prices'!A843</f>
        <v>0</v>
      </c>
      <c r="B843" s="296" t="e">
        <f>MATCH(DATE(LEFT('[2]Raw Milk Prices'!$A843,4),RIGHT('[2]Raw Milk Prices'!$A843,2),1),[1]Pivot!$A$1:$A$65000,0)</f>
        <v>#VALUE!</v>
      </c>
      <c r="C843" s="194">
        <f>IFERROR(IF(INDEX([1]Pivot!$AD$1:$BE$65000,$B843,C$5)=1,1,IF(INDEX([1]Pivot!$B$1:$AB$65000,$B843,C$5)="",2,0)),0)</f>
        <v>0</v>
      </c>
      <c r="D843" s="194">
        <f>IFERROR(IF(INDEX([1]Pivot!$AD$1:$BE$65000,$B843,D$5)=1,1,IF(INDEX([1]Pivot!$B$1:$AB$65000,$B843,D$5)="",2,0)),0)</f>
        <v>0</v>
      </c>
      <c r="E843" s="194">
        <f>IFERROR(IF(INDEX([1]Pivot!$AD$1:$BE$65000,$B843,E$5)=1,1,IF(INDEX([1]Pivot!$B$1:$AB$65000,$B843,E$5)="",2,0)),0)</f>
        <v>0</v>
      </c>
      <c r="F843" s="194">
        <f>IFERROR(IF(INDEX([1]Pivot!$AD$1:$BE$65000,$B843,F$5)=1,1,IF(INDEX([1]Pivot!$B$1:$AB$65000,$B843,F$5)="",2,0)),0)</f>
        <v>0</v>
      </c>
      <c r="G843" s="194">
        <f>IFERROR(IF(INDEX([1]Pivot!$AD$1:$BE$65000,$B843,G$5)=1,1,IF(INDEX([1]Pivot!$B$1:$AB$65000,$B843,G$5)="",2,0)),0)</f>
        <v>0</v>
      </c>
      <c r="H843" s="194">
        <f>IFERROR(IF(INDEX([1]Pivot!$AD$1:$BE$65000,$B843,H$5)=1,1,IF(INDEX([1]Pivot!$B$1:$AB$65000,$B843,H$5)="",2,0)),0)</f>
        <v>0</v>
      </c>
      <c r="I843" s="194">
        <f>IFERROR(IF(INDEX([1]Pivot!$AD$1:$BE$65000,$B843,I$5)=1,1,IF(INDEX([1]Pivot!$B$1:$AB$65000,$B843,I$5)="",2,0)),0)</f>
        <v>0</v>
      </c>
      <c r="J843" s="194">
        <f>IFERROR(IF(INDEX([1]Pivot!$AD$1:$BE$65000,$B843,J$5)=1,1,IF(INDEX([1]Pivot!$B$1:$AB$65000,$B843,J$5)="",2,0)),0)</f>
        <v>0</v>
      </c>
      <c r="K843" s="194">
        <f>IFERROR(IF(INDEX([1]Pivot!$AD$1:$BE$65000,$B843,K$5)=1,1,IF(INDEX([1]Pivot!$B$1:$AB$65000,$B843,K$5)="",2,0)),0)</f>
        <v>0</v>
      </c>
      <c r="L843" s="194">
        <f>IFERROR(IF(INDEX([1]Pivot!$AD$1:$BE$65000,$B843,L$5)=1,1,IF(INDEX([1]Pivot!$B$1:$AB$65000,$B843,L$5)="",2,0)),0)</f>
        <v>0</v>
      </c>
      <c r="M843" s="194">
        <f>IFERROR(IF(INDEX([1]Pivot!$AD$1:$BE$65000,$B843,M$5)=1,1,IF(INDEX([1]Pivot!$B$1:$AB$65000,$B843,M$5)="",2,0)),0)</f>
        <v>0</v>
      </c>
      <c r="N843" s="194">
        <f>IFERROR(IF(INDEX([1]Pivot!$AD$1:$BE$65000,$B843,N$5)=1,1,IF(INDEX([1]Pivot!$B$1:$AB$65000,$B843,N$5)="",2,0)),0)</f>
        <v>0</v>
      </c>
      <c r="O843" s="194">
        <f>IFERROR(IF(INDEX([1]Pivot!$AD$1:$BE$65000,$B843,O$5)=1,1,IF(INDEX([1]Pivot!$B$1:$AB$65000,$B843,O$5)="",2,0)),0)</f>
        <v>0</v>
      </c>
      <c r="P843" s="194">
        <f>IFERROR(IF(INDEX([1]Pivot!$AD$1:$BE$65000,$B843,P$5)=1,1,IF(INDEX([1]Pivot!$B$1:$AB$65000,$B843,P$5)="",2,0)),0)</f>
        <v>0</v>
      </c>
      <c r="Q843" s="194">
        <f>IFERROR(IF(INDEX([1]Pivot!$AD$1:$BE$65000,$B843,Q$5)=1,1,IF(INDEX([1]Pivot!$B$1:$AB$65000,$B843,Q$5)="",2,0)),0)</f>
        <v>0</v>
      </c>
      <c r="R843" s="312"/>
      <c r="S843" s="194">
        <f>IFERROR(IF(INDEX([1]Pivot!$AD$1:$BE$65000,$B843,S$5)=1,1,IF(INDEX([1]Pivot!$B$1:$AB$65000,$B843,S$5)="",2,0)),0)</f>
        <v>0</v>
      </c>
      <c r="T843" s="194">
        <f>IFERROR(IF(INDEX([1]Pivot!$AD$1:$BE$65000,$B843,T$5)=1,1,IF(INDEX([1]Pivot!$B$1:$AB$65000,$B843,T$5)="",2,0)),0)</f>
        <v>0</v>
      </c>
      <c r="U843" s="194">
        <f>IFERROR(IF(INDEX([1]Pivot!$AD$1:$BE$65000,$B843,U$5)=1,1,IF(INDEX([1]Pivot!$B$1:$AB$65000,$B843,U$5)="",2,0)),0)</f>
        <v>0</v>
      </c>
      <c r="V843" s="194">
        <f>IFERROR(IF(INDEX([1]Pivot!$AD$1:$BE$65000,$B843,V$5)=1,1,IF(INDEX([1]Pivot!$B$1:$AB$65000,$B843,V$5)="",2,0)),0)</f>
        <v>0</v>
      </c>
      <c r="W843" s="194">
        <f>IFERROR(IF(INDEX([1]Pivot!$AD$1:$BE$65000,$B843,W$5)=1,1,IF(INDEX([1]Pivot!$B$1:$AB$65000,$B843,W$5)="",2,0)),0)</f>
        <v>0</v>
      </c>
      <c r="X843" s="194">
        <f>IFERROR(IF(INDEX([1]Pivot!$AD$1:$BE$65000,$B843,X$5)=1,1,IF(INDEX([1]Pivot!$B$1:$AB$65000,$B843,X$5)="",2,0)),0)</f>
        <v>0</v>
      </c>
      <c r="Y843" s="194">
        <f>IFERROR(IF(INDEX([1]Pivot!$AD$1:$BE$65000,$B843,Y$5)=1,1,IF(INDEX([1]Pivot!$B$1:$AB$65000,$B843,Y$5)="",2,0)),0)</f>
        <v>0</v>
      </c>
      <c r="Z843" s="194">
        <f>IFERROR(IF(INDEX([1]Pivot!$AD$1:$BE$65000,$B843,Z$5)=1,1,IF(INDEX([1]Pivot!$B$1:$AB$65000,$B843,Z$5)="",2,0)),0)</f>
        <v>0</v>
      </c>
      <c r="AA843" s="194">
        <f>IFERROR(IF(INDEX([1]Pivot!$AD$1:$BE$65000,$B843,AA$5)=1,1,IF(INDEX([1]Pivot!$B$1:$AB$65000,$B843,AA$5)="",2,0)),0)</f>
        <v>0</v>
      </c>
      <c r="AB843" s="194">
        <f>IFERROR(IF(INDEX([1]Pivot!$AD$1:$BE$65000,$B843,AB$5)=1,1,IF(INDEX([1]Pivot!$B$1:$AB$65000,$B843,AB$5)="",2,0)),0)</f>
        <v>0</v>
      </c>
      <c r="AC843" s="194">
        <f>IFERROR(IF(INDEX([1]Pivot!$AD$1:$BE$65000,$B843,AC$5)=1,1,IF(INDEX([1]Pivot!$B$1:$AB$65000,$B843,AC$5)="",2,0)),0)</f>
        <v>0</v>
      </c>
      <c r="AD843" s="313">
        <f>IFERROR(IF(INDEX([1]Pivot!$BF$1:$CG$65000,$B843,AD$5)=1,1,IF(INDEX([1]Pivot!$B$1:$AB$65000,$B843,AD$5)="",2,0)),0)</f>
        <v>0</v>
      </c>
      <c r="AE843" s="313">
        <f>IFERROR(IF(INDEX([1]Pivot!$BF$1:$CG$65000,$B843,AE$5)=1,1,IF(INDEX([1]Pivot!$B$1:$AB$65000,$B843,AE$5)="",2,0)),0)</f>
        <v>0</v>
      </c>
      <c r="AF843" s="313">
        <f>IFERROR(IF(INDEX([1]Pivot!$BF$1:$CG$65000,$B843,AF$5)=1,1,IF(INDEX([1]Pivot!$B$1:$AB$65000,$B843,AF$5)="",2,0)),0)</f>
        <v>0</v>
      </c>
      <c r="AG843" s="313">
        <f>IFERROR(IF(INDEX([1]Pivot!$BF$1:$CG$65000,$B843,AG$5)=1,1,IF(INDEX([1]Pivot!$B$1:$AB$65000,$B843,AG$5)="",2,0)),0)</f>
        <v>0</v>
      </c>
      <c r="AH843" s="313">
        <f>IFERROR(IF(INDEX([1]Pivot!$BF$1:$CG$65000,$B843,AH$5)=1,1,IF(INDEX([1]Pivot!$B$1:$AB$65000,$B843,AH$5)="",2,0)),0)</f>
        <v>0</v>
      </c>
      <c r="AI843" s="313">
        <f>IFERROR(IF(INDEX([1]Pivot!$BF$1:$CG$65000,$B843,AI$5)=1,1,IF(INDEX([1]Pivot!$B$1:$AB$65000,$B843,AI$5)="",2,0)),0)</f>
        <v>0</v>
      </c>
      <c r="AJ843" s="313">
        <f>IFERROR(IF(INDEX([1]Pivot!$BF$1:$CG$65000,$B843,AJ$5)=1,1,IF(INDEX([1]Pivot!$B$1:$AB$65000,$B843,AJ$5)="",2,0)),0)</f>
        <v>0</v>
      </c>
      <c r="AK843" s="313">
        <f>IFERROR(IF(INDEX([1]Pivot!$BF$1:$CG$65000,$B843,AK$5)=1,1,IF(INDEX([1]Pivot!$B$1:$AB$65000,$B843,AK$5)="",2,0)),0)</f>
        <v>0</v>
      </c>
      <c r="AL843" s="313">
        <f>IFERROR(IF(INDEX([1]Pivot!$BF$1:$CG$65000,$B843,AL$5)=1,1,IF(INDEX([1]Pivot!$B$1:$AB$65000,$B843,AL$5)="",2,0)),0)</f>
        <v>0</v>
      </c>
      <c r="AM843" s="313">
        <f>IFERROR(IF(INDEX([1]Pivot!$BF$1:$CG$65000,$B843,AM$5)=1,1,IF(INDEX([1]Pivot!$B$1:$AB$65000,$B843,AM$5)="",2,0)),0)</f>
        <v>0</v>
      </c>
      <c r="AN843" s="313">
        <f>IFERROR(IF(INDEX([1]Pivot!$BF$1:$CG$65000,$B843,AN$5)=1,1,IF(INDEX([1]Pivot!$B$1:$AB$65000,$B843,AN$5)="",2,0)),0)</f>
        <v>0</v>
      </c>
      <c r="AO843" s="313">
        <f>IFERROR(IF(INDEX([1]Pivot!$BF$1:$CG$65000,$B843,AO$5)=1,1,IF(INDEX([1]Pivot!$B$1:$AB$65000,$B843,AO$5)="",2,0)),0)</f>
        <v>0</v>
      </c>
      <c r="AP843" s="313">
        <f>IFERROR(IF(INDEX([1]Pivot!$BF$1:$CG$65000,$B843,AP$5)=1,1,IF(INDEX([1]Pivot!$B$1:$AB$65000,$B843,AP$5)="",2,0)),0)</f>
        <v>0</v>
      </c>
      <c r="AQ843" s="313">
        <f>IFERROR(IF(INDEX([1]Pivot!$BF$1:$CG$65000,$B843,AQ$5)=1,1,IF(INDEX([1]Pivot!$B$1:$AB$65000,$B843,AQ$5)="",2,0)),0)</f>
        <v>0</v>
      </c>
      <c r="AR843" s="313">
        <f>IFERROR(IF(INDEX([1]Pivot!$BF$1:$CG$65000,$B843,AR$5)=1,1,IF(INDEX([1]Pivot!$B$1:$AB$65000,$B843,AR$5)="",2,0)),0)</f>
        <v>0</v>
      </c>
      <c r="AS843" s="312"/>
      <c r="AT843" s="313">
        <f>IFERROR(IF(INDEX([1]Pivot!$BF$1:$CG$65000,$B843,AT$5)=1,1,IF(INDEX([1]Pivot!$B$1:$AB$65000,$B843,AT$5)="",2,0)),0)</f>
        <v>0</v>
      </c>
      <c r="AU843" s="313">
        <f>IFERROR(IF(INDEX([1]Pivot!$BF$1:$CG$65000,$B843,AU$5)=1,1,IF(INDEX([1]Pivot!$B$1:$AB$65000,$B843,AU$5)="",2,0)),0)</f>
        <v>0</v>
      </c>
      <c r="AV843" s="313">
        <f>IFERROR(IF(INDEX([1]Pivot!$BF$1:$CG$65000,$B843,AV$5)=1,1,IF(INDEX([1]Pivot!$B$1:$AB$65000,$B843,AV$5)="",2,0)),0)</f>
        <v>0</v>
      </c>
      <c r="AW843" s="313">
        <f>IFERROR(IF(INDEX([1]Pivot!$BF$1:$CG$65000,$B843,AW$5)=1,1,IF(INDEX([1]Pivot!$B$1:$AB$65000,$B843,AW$5)="",2,0)),0)</f>
        <v>0</v>
      </c>
      <c r="AX843" s="313">
        <f>IFERROR(IF(INDEX([1]Pivot!$BF$1:$CG$65000,$B843,AX$5)=1,1,IF(INDEX([1]Pivot!$B$1:$AB$65000,$B843,AX$5)="",2,0)),0)</f>
        <v>0</v>
      </c>
      <c r="AY843" s="313">
        <f>IFERROR(IF(INDEX([1]Pivot!$BF$1:$CG$65000,$B843,AY$5)=1,1,IF(INDEX([1]Pivot!$B$1:$AB$65000,$B843,AY$5)="",2,0)),0)</f>
        <v>0</v>
      </c>
      <c r="AZ843" s="313">
        <f>IFERROR(IF(INDEX([1]Pivot!$BF$1:$CG$65000,$B843,AZ$5)=1,1,IF(INDEX([1]Pivot!$B$1:$AB$65000,$B843,AZ$5)="",2,0)),0)</f>
        <v>0</v>
      </c>
      <c r="BA843" s="313">
        <f>IFERROR(IF(INDEX([1]Pivot!$BF$1:$CG$65000,$B843,BA$5)=1,1,IF(INDEX([1]Pivot!$B$1:$AB$65000,$B843,BA$5)="",2,0)),0)</f>
        <v>0</v>
      </c>
      <c r="BB843" s="313">
        <f>IFERROR(IF(INDEX([1]Pivot!$BF$1:$CG$65000,$B843,BB$5)=1,1,IF(INDEX([1]Pivot!$B$1:$AB$65000,$B843,BB$5)="",2,0)),0)</f>
        <v>0</v>
      </c>
      <c r="BC843" s="313">
        <f>IFERROR(IF(INDEX([1]Pivot!$BF$1:$CG$65000,$B843,BC$5)=1,1,IF(INDEX([1]Pivot!$B$1:$AB$65000,$B843,BC$5)="",2,0)),0)</f>
        <v>0</v>
      </c>
      <c r="BD843" s="313">
        <f>IFERROR(IF(INDEX([1]Pivot!$BF$1:$CG$65000,$B843,BD$5)=1,1,IF(INDEX([1]Pivot!$B$1:$AB$65000,$B843,BD$5)="",2,0)),0)</f>
        <v>0</v>
      </c>
    </row>
    <row r="844" spans="1:56" x14ac:dyDescent="0.25">
      <c r="A844" s="288">
        <f>'[2]Raw Milk Prices'!A844</f>
        <v>0</v>
      </c>
      <c r="B844" s="296" t="e">
        <f>MATCH(DATE(LEFT('[2]Raw Milk Prices'!$A844,4),RIGHT('[2]Raw Milk Prices'!$A844,2),1),[1]Pivot!$A$1:$A$65000,0)</f>
        <v>#VALUE!</v>
      </c>
      <c r="C844" s="194">
        <f>IFERROR(IF(INDEX([1]Pivot!$AD$1:$BE$65000,$B844,C$5)=1,1,IF(INDEX([1]Pivot!$B$1:$AB$65000,$B844,C$5)="",2,0)),0)</f>
        <v>0</v>
      </c>
      <c r="D844" s="194">
        <f>IFERROR(IF(INDEX([1]Pivot!$AD$1:$BE$65000,$B844,D$5)=1,1,IF(INDEX([1]Pivot!$B$1:$AB$65000,$B844,D$5)="",2,0)),0)</f>
        <v>0</v>
      </c>
      <c r="E844" s="194">
        <f>IFERROR(IF(INDEX([1]Pivot!$AD$1:$BE$65000,$B844,E$5)=1,1,IF(INDEX([1]Pivot!$B$1:$AB$65000,$B844,E$5)="",2,0)),0)</f>
        <v>0</v>
      </c>
      <c r="F844" s="194">
        <f>IFERROR(IF(INDEX([1]Pivot!$AD$1:$BE$65000,$B844,F$5)=1,1,IF(INDEX([1]Pivot!$B$1:$AB$65000,$B844,F$5)="",2,0)),0)</f>
        <v>0</v>
      </c>
      <c r="G844" s="194">
        <f>IFERROR(IF(INDEX([1]Pivot!$AD$1:$BE$65000,$B844,G$5)=1,1,IF(INDEX([1]Pivot!$B$1:$AB$65000,$B844,G$5)="",2,0)),0)</f>
        <v>0</v>
      </c>
      <c r="H844" s="194">
        <f>IFERROR(IF(INDEX([1]Pivot!$AD$1:$BE$65000,$B844,H$5)=1,1,IF(INDEX([1]Pivot!$B$1:$AB$65000,$B844,H$5)="",2,0)),0)</f>
        <v>0</v>
      </c>
      <c r="I844" s="194">
        <f>IFERROR(IF(INDEX([1]Pivot!$AD$1:$BE$65000,$B844,I$5)=1,1,IF(INDEX([1]Pivot!$B$1:$AB$65000,$B844,I$5)="",2,0)),0)</f>
        <v>0</v>
      </c>
      <c r="J844" s="194">
        <f>IFERROR(IF(INDEX([1]Pivot!$AD$1:$BE$65000,$B844,J$5)=1,1,IF(INDEX([1]Pivot!$B$1:$AB$65000,$B844,J$5)="",2,0)),0)</f>
        <v>0</v>
      </c>
      <c r="K844" s="194">
        <f>IFERROR(IF(INDEX([1]Pivot!$AD$1:$BE$65000,$B844,K$5)=1,1,IF(INDEX([1]Pivot!$B$1:$AB$65000,$B844,K$5)="",2,0)),0)</f>
        <v>0</v>
      </c>
      <c r="L844" s="194">
        <f>IFERROR(IF(INDEX([1]Pivot!$AD$1:$BE$65000,$B844,L$5)=1,1,IF(INDEX([1]Pivot!$B$1:$AB$65000,$B844,L$5)="",2,0)),0)</f>
        <v>0</v>
      </c>
      <c r="M844" s="194">
        <f>IFERROR(IF(INDEX([1]Pivot!$AD$1:$BE$65000,$B844,M$5)=1,1,IF(INDEX([1]Pivot!$B$1:$AB$65000,$B844,M$5)="",2,0)),0)</f>
        <v>0</v>
      </c>
      <c r="N844" s="194">
        <f>IFERROR(IF(INDEX([1]Pivot!$AD$1:$BE$65000,$B844,N$5)=1,1,IF(INDEX([1]Pivot!$B$1:$AB$65000,$B844,N$5)="",2,0)),0)</f>
        <v>0</v>
      </c>
      <c r="O844" s="194">
        <f>IFERROR(IF(INDEX([1]Pivot!$AD$1:$BE$65000,$B844,O$5)=1,1,IF(INDEX([1]Pivot!$B$1:$AB$65000,$B844,O$5)="",2,0)),0)</f>
        <v>0</v>
      </c>
      <c r="P844" s="194">
        <f>IFERROR(IF(INDEX([1]Pivot!$AD$1:$BE$65000,$B844,P$5)=1,1,IF(INDEX([1]Pivot!$B$1:$AB$65000,$B844,P$5)="",2,0)),0)</f>
        <v>0</v>
      </c>
      <c r="Q844" s="194">
        <f>IFERROR(IF(INDEX([1]Pivot!$AD$1:$BE$65000,$B844,Q$5)=1,1,IF(INDEX([1]Pivot!$B$1:$AB$65000,$B844,Q$5)="",2,0)),0)</f>
        <v>0</v>
      </c>
      <c r="R844" s="312"/>
      <c r="S844" s="194">
        <f>IFERROR(IF(INDEX([1]Pivot!$AD$1:$BE$65000,$B844,S$5)=1,1,IF(INDEX([1]Pivot!$B$1:$AB$65000,$B844,S$5)="",2,0)),0)</f>
        <v>0</v>
      </c>
      <c r="T844" s="194">
        <f>IFERROR(IF(INDEX([1]Pivot!$AD$1:$BE$65000,$B844,T$5)=1,1,IF(INDEX([1]Pivot!$B$1:$AB$65000,$B844,T$5)="",2,0)),0)</f>
        <v>0</v>
      </c>
      <c r="U844" s="194">
        <f>IFERROR(IF(INDEX([1]Pivot!$AD$1:$BE$65000,$B844,U$5)=1,1,IF(INDEX([1]Pivot!$B$1:$AB$65000,$B844,U$5)="",2,0)),0)</f>
        <v>0</v>
      </c>
      <c r="V844" s="194">
        <f>IFERROR(IF(INDEX([1]Pivot!$AD$1:$BE$65000,$B844,V$5)=1,1,IF(INDEX([1]Pivot!$B$1:$AB$65000,$B844,V$5)="",2,0)),0)</f>
        <v>0</v>
      </c>
      <c r="W844" s="194">
        <f>IFERROR(IF(INDEX([1]Pivot!$AD$1:$BE$65000,$B844,W$5)=1,1,IF(INDEX([1]Pivot!$B$1:$AB$65000,$B844,W$5)="",2,0)),0)</f>
        <v>0</v>
      </c>
      <c r="X844" s="194">
        <f>IFERROR(IF(INDEX([1]Pivot!$AD$1:$BE$65000,$B844,X$5)=1,1,IF(INDEX([1]Pivot!$B$1:$AB$65000,$B844,X$5)="",2,0)),0)</f>
        <v>0</v>
      </c>
      <c r="Y844" s="194">
        <f>IFERROR(IF(INDEX([1]Pivot!$AD$1:$BE$65000,$B844,Y$5)=1,1,IF(INDEX([1]Pivot!$B$1:$AB$65000,$B844,Y$5)="",2,0)),0)</f>
        <v>0</v>
      </c>
      <c r="Z844" s="194">
        <f>IFERROR(IF(INDEX([1]Pivot!$AD$1:$BE$65000,$B844,Z$5)=1,1,IF(INDEX([1]Pivot!$B$1:$AB$65000,$B844,Z$5)="",2,0)),0)</f>
        <v>0</v>
      </c>
      <c r="AA844" s="194">
        <f>IFERROR(IF(INDEX([1]Pivot!$AD$1:$BE$65000,$B844,AA$5)=1,1,IF(INDEX([1]Pivot!$B$1:$AB$65000,$B844,AA$5)="",2,0)),0)</f>
        <v>0</v>
      </c>
      <c r="AB844" s="194">
        <f>IFERROR(IF(INDEX([1]Pivot!$AD$1:$BE$65000,$B844,AB$5)=1,1,IF(INDEX([1]Pivot!$B$1:$AB$65000,$B844,AB$5)="",2,0)),0)</f>
        <v>0</v>
      </c>
      <c r="AC844" s="194">
        <f>IFERROR(IF(INDEX([1]Pivot!$AD$1:$BE$65000,$B844,AC$5)=1,1,IF(INDEX([1]Pivot!$B$1:$AB$65000,$B844,AC$5)="",2,0)),0)</f>
        <v>0</v>
      </c>
      <c r="AD844" s="313">
        <f>IFERROR(IF(INDEX([1]Pivot!$BF$1:$CG$65000,$B844,AD$5)=1,1,IF(INDEX([1]Pivot!$B$1:$AB$65000,$B844,AD$5)="",2,0)),0)</f>
        <v>0</v>
      </c>
      <c r="AE844" s="313">
        <f>IFERROR(IF(INDEX([1]Pivot!$BF$1:$CG$65000,$B844,AE$5)=1,1,IF(INDEX([1]Pivot!$B$1:$AB$65000,$B844,AE$5)="",2,0)),0)</f>
        <v>0</v>
      </c>
      <c r="AF844" s="313">
        <f>IFERROR(IF(INDEX([1]Pivot!$BF$1:$CG$65000,$B844,AF$5)=1,1,IF(INDEX([1]Pivot!$B$1:$AB$65000,$B844,AF$5)="",2,0)),0)</f>
        <v>0</v>
      </c>
      <c r="AG844" s="313">
        <f>IFERROR(IF(INDEX([1]Pivot!$BF$1:$CG$65000,$B844,AG$5)=1,1,IF(INDEX([1]Pivot!$B$1:$AB$65000,$B844,AG$5)="",2,0)),0)</f>
        <v>0</v>
      </c>
      <c r="AH844" s="313">
        <f>IFERROR(IF(INDEX([1]Pivot!$BF$1:$CG$65000,$B844,AH$5)=1,1,IF(INDEX([1]Pivot!$B$1:$AB$65000,$B844,AH$5)="",2,0)),0)</f>
        <v>0</v>
      </c>
      <c r="AI844" s="313">
        <f>IFERROR(IF(INDEX([1]Pivot!$BF$1:$CG$65000,$B844,AI$5)=1,1,IF(INDEX([1]Pivot!$B$1:$AB$65000,$B844,AI$5)="",2,0)),0)</f>
        <v>0</v>
      </c>
      <c r="AJ844" s="313">
        <f>IFERROR(IF(INDEX([1]Pivot!$BF$1:$CG$65000,$B844,AJ$5)=1,1,IF(INDEX([1]Pivot!$B$1:$AB$65000,$B844,AJ$5)="",2,0)),0)</f>
        <v>0</v>
      </c>
      <c r="AK844" s="313">
        <f>IFERROR(IF(INDEX([1]Pivot!$BF$1:$CG$65000,$B844,AK$5)=1,1,IF(INDEX([1]Pivot!$B$1:$AB$65000,$B844,AK$5)="",2,0)),0)</f>
        <v>0</v>
      </c>
      <c r="AL844" s="313">
        <f>IFERROR(IF(INDEX([1]Pivot!$BF$1:$CG$65000,$B844,AL$5)=1,1,IF(INDEX([1]Pivot!$B$1:$AB$65000,$B844,AL$5)="",2,0)),0)</f>
        <v>0</v>
      </c>
      <c r="AM844" s="313">
        <f>IFERROR(IF(INDEX([1]Pivot!$BF$1:$CG$65000,$B844,AM$5)=1,1,IF(INDEX([1]Pivot!$B$1:$AB$65000,$B844,AM$5)="",2,0)),0)</f>
        <v>0</v>
      </c>
      <c r="AN844" s="313">
        <f>IFERROR(IF(INDEX([1]Pivot!$BF$1:$CG$65000,$B844,AN$5)=1,1,IF(INDEX([1]Pivot!$B$1:$AB$65000,$B844,AN$5)="",2,0)),0)</f>
        <v>0</v>
      </c>
      <c r="AO844" s="313">
        <f>IFERROR(IF(INDEX([1]Pivot!$BF$1:$CG$65000,$B844,AO$5)=1,1,IF(INDEX([1]Pivot!$B$1:$AB$65000,$B844,AO$5)="",2,0)),0)</f>
        <v>0</v>
      </c>
      <c r="AP844" s="313">
        <f>IFERROR(IF(INDEX([1]Pivot!$BF$1:$CG$65000,$B844,AP$5)=1,1,IF(INDEX([1]Pivot!$B$1:$AB$65000,$B844,AP$5)="",2,0)),0)</f>
        <v>0</v>
      </c>
      <c r="AQ844" s="313">
        <f>IFERROR(IF(INDEX([1]Pivot!$BF$1:$CG$65000,$B844,AQ$5)=1,1,IF(INDEX([1]Pivot!$B$1:$AB$65000,$B844,AQ$5)="",2,0)),0)</f>
        <v>0</v>
      </c>
      <c r="AR844" s="313">
        <f>IFERROR(IF(INDEX([1]Pivot!$BF$1:$CG$65000,$B844,AR$5)=1,1,IF(INDEX([1]Pivot!$B$1:$AB$65000,$B844,AR$5)="",2,0)),0)</f>
        <v>0</v>
      </c>
      <c r="AS844" s="312"/>
      <c r="AT844" s="313">
        <f>IFERROR(IF(INDEX([1]Pivot!$BF$1:$CG$65000,$B844,AT$5)=1,1,IF(INDEX([1]Pivot!$B$1:$AB$65000,$B844,AT$5)="",2,0)),0)</f>
        <v>0</v>
      </c>
      <c r="AU844" s="313">
        <f>IFERROR(IF(INDEX([1]Pivot!$BF$1:$CG$65000,$B844,AU$5)=1,1,IF(INDEX([1]Pivot!$B$1:$AB$65000,$B844,AU$5)="",2,0)),0)</f>
        <v>0</v>
      </c>
      <c r="AV844" s="313">
        <f>IFERROR(IF(INDEX([1]Pivot!$BF$1:$CG$65000,$B844,AV$5)=1,1,IF(INDEX([1]Pivot!$B$1:$AB$65000,$B844,AV$5)="",2,0)),0)</f>
        <v>0</v>
      </c>
      <c r="AW844" s="313">
        <f>IFERROR(IF(INDEX([1]Pivot!$BF$1:$CG$65000,$B844,AW$5)=1,1,IF(INDEX([1]Pivot!$B$1:$AB$65000,$B844,AW$5)="",2,0)),0)</f>
        <v>0</v>
      </c>
      <c r="AX844" s="313">
        <f>IFERROR(IF(INDEX([1]Pivot!$BF$1:$CG$65000,$B844,AX$5)=1,1,IF(INDEX([1]Pivot!$B$1:$AB$65000,$B844,AX$5)="",2,0)),0)</f>
        <v>0</v>
      </c>
      <c r="AY844" s="313">
        <f>IFERROR(IF(INDEX([1]Pivot!$BF$1:$CG$65000,$B844,AY$5)=1,1,IF(INDEX([1]Pivot!$B$1:$AB$65000,$B844,AY$5)="",2,0)),0)</f>
        <v>0</v>
      </c>
      <c r="AZ844" s="313">
        <f>IFERROR(IF(INDEX([1]Pivot!$BF$1:$CG$65000,$B844,AZ$5)=1,1,IF(INDEX([1]Pivot!$B$1:$AB$65000,$B844,AZ$5)="",2,0)),0)</f>
        <v>0</v>
      </c>
      <c r="BA844" s="313">
        <f>IFERROR(IF(INDEX([1]Pivot!$BF$1:$CG$65000,$B844,BA$5)=1,1,IF(INDEX([1]Pivot!$B$1:$AB$65000,$B844,BA$5)="",2,0)),0)</f>
        <v>0</v>
      </c>
      <c r="BB844" s="313">
        <f>IFERROR(IF(INDEX([1]Pivot!$BF$1:$CG$65000,$B844,BB$5)=1,1,IF(INDEX([1]Pivot!$B$1:$AB$65000,$B844,BB$5)="",2,0)),0)</f>
        <v>0</v>
      </c>
      <c r="BC844" s="313">
        <f>IFERROR(IF(INDEX([1]Pivot!$BF$1:$CG$65000,$B844,BC$5)=1,1,IF(INDEX([1]Pivot!$B$1:$AB$65000,$B844,BC$5)="",2,0)),0)</f>
        <v>0</v>
      </c>
      <c r="BD844" s="313">
        <f>IFERROR(IF(INDEX([1]Pivot!$BF$1:$CG$65000,$B844,BD$5)=1,1,IF(INDEX([1]Pivot!$B$1:$AB$65000,$B844,BD$5)="",2,0)),0)</f>
        <v>0</v>
      </c>
    </row>
    <row r="845" spans="1:56" x14ac:dyDescent="0.25">
      <c r="A845" s="288">
        <f>'[2]Raw Milk Prices'!A845</f>
        <v>0</v>
      </c>
      <c r="B845" s="296" t="e">
        <f>MATCH(DATE(LEFT('[2]Raw Milk Prices'!$A845,4),RIGHT('[2]Raw Milk Prices'!$A845,2),1),[1]Pivot!$A$1:$A$65000,0)</f>
        <v>#VALUE!</v>
      </c>
      <c r="C845" s="194">
        <f>IFERROR(IF(INDEX([1]Pivot!$AD$1:$BE$65000,$B845,C$5)=1,1,IF(INDEX([1]Pivot!$B$1:$AB$65000,$B845,C$5)="",2,0)),0)</f>
        <v>0</v>
      </c>
      <c r="D845" s="194">
        <f>IFERROR(IF(INDEX([1]Pivot!$AD$1:$BE$65000,$B845,D$5)=1,1,IF(INDEX([1]Pivot!$B$1:$AB$65000,$B845,D$5)="",2,0)),0)</f>
        <v>0</v>
      </c>
      <c r="E845" s="194">
        <f>IFERROR(IF(INDEX([1]Pivot!$AD$1:$BE$65000,$B845,E$5)=1,1,IF(INDEX([1]Pivot!$B$1:$AB$65000,$B845,E$5)="",2,0)),0)</f>
        <v>0</v>
      </c>
      <c r="F845" s="194">
        <f>IFERROR(IF(INDEX([1]Pivot!$AD$1:$BE$65000,$B845,F$5)=1,1,IF(INDEX([1]Pivot!$B$1:$AB$65000,$B845,F$5)="",2,0)),0)</f>
        <v>0</v>
      </c>
      <c r="G845" s="194">
        <f>IFERROR(IF(INDEX([1]Pivot!$AD$1:$BE$65000,$B845,G$5)=1,1,IF(INDEX([1]Pivot!$B$1:$AB$65000,$B845,G$5)="",2,0)),0)</f>
        <v>0</v>
      </c>
      <c r="H845" s="194">
        <f>IFERROR(IF(INDEX([1]Pivot!$AD$1:$BE$65000,$B845,H$5)=1,1,IF(INDEX([1]Pivot!$B$1:$AB$65000,$B845,H$5)="",2,0)),0)</f>
        <v>0</v>
      </c>
      <c r="I845" s="194">
        <f>IFERROR(IF(INDEX([1]Pivot!$AD$1:$BE$65000,$B845,I$5)=1,1,IF(INDEX([1]Pivot!$B$1:$AB$65000,$B845,I$5)="",2,0)),0)</f>
        <v>0</v>
      </c>
      <c r="J845" s="194">
        <f>IFERROR(IF(INDEX([1]Pivot!$AD$1:$BE$65000,$B845,J$5)=1,1,IF(INDEX([1]Pivot!$B$1:$AB$65000,$B845,J$5)="",2,0)),0)</f>
        <v>0</v>
      </c>
      <c r="K845" s="194">
        <f>IFERROR(IF(INDEX([1]Pivot!$AD$1:$BE$65000,$B845,K$5)=1,1,IF(INDEX([1]Pivot!$B$1:$AB$65000,$B845,K$5)="",2,0)),0)</f>
        <v>0</v>
      </c>
      <c r="L845" s="194">
        <f>IFERROR(IF(INDEX([1]Pivot!$AD$1:$BE$65000,$B845,L$5)=1,1,IF(INDEX([1]Pivot!$B$1:$AB$65000,$B845,L$5)="",2,0)),0)</f>
        <v>0</v>
      </c>
      <c r="M845" s="194">
        <f>IFERROR(IF(INDEX([1]Pivot!$AD$1:$BE$65000,$B845,M$5)=1,1,IF(INDEX([1]Pivot!$B$1:$AB$65000,$B845,M$5)="",2,0)),0)</f>
        <v>0</v>
      </c>
      <c r="N845" s="194">
        <f>IFERROR(IF(INDEX([1]Pivot!$AD$1:$BE$65000,$B845,N$5)=1,1,IF(INDEX([1]Pivot!$B$1:$AB$65000,$B845,N$5)="",2,0)),0)</f>
        <v>0</v>
      </c>
      <c r="O845" s="194">
        <f>IFERROR(IF(INDEX([1]Pivot!$AD$1:$BE$65000,$B845,O$5)=1,1,IF(INDEX([1]Pivot!$B$1:$AB$65000,$B845,O$5)="",2,0)),0)</f>
        <v>0</v>
      </c>
      <c r="P845" s="194">
        <f>IFERROR(IF(INDEX([1]Pivot!$AD$1:$BE$65000,$B845,P$5)=1,1,IF(INDEX([1]Pivot!$B$1:$AB$65000,$B845,P$5)="",2,0)),0)</f>
        <v>0</v>
      </c>
      <c r="Q845" s="194">
        <f>IFERROR(IF(INDEX([1]Pivot!$AD$1:$BE$65000,$B845,Q$5)=1,1,IF(INDEX([1]Pivot!$B$1:$AB$65000,$B845,Q$5)="",2,0)),0)</f>
        <v>0</v>
      </c>
      <c r="R845" s="312"/>
      <c r="S845" s="194">
        <f>IFERROR(IF(INDEX([1]Pivot!$AD$1:$BE$65000,$B845,S$5)=1,1,IF(INDEX([1]Pivot!$B$1:$AB$65000,$B845,S$5)="",2,0)),0)</f>
        <v>0</v>
      </c>
      <c r="T845" s="194">
        <f>IFERROR(IF(INDEX([1]Pivot!$AD$1:$BE$65000,$B845,T$5)=1,1,IF(INDEX([1]Pivot!$B$1:$AB$65000,$B845,T$5)="",2,0)),0)</f>
        <v>0</v>
      </c>
      <c r="U845" s="194">
        <f>IFERROR(IF(INDEX([1]Pivot!$AD$1:$BE$65000,$B845,U$5)=1,1,IF(INDEX([1]Pivot!$B$1:$AB$65000,$B845,U$5)="",2,0)),0)</f>
        <v>0</v>
      </c>
      <c r="V845" s="194">
        <f>IFERROR(IF(INDEX([1]Pivot!$AD$1:$BE$65000,$B845,V$5)=1,1,IF(INDEX([1]Pivot!$B$1:$AB$65000,$B845,V$5)="",2,0)),0)</f>
        <v>0</v>
      </c>
      <c r="W845" s="194">
        <f>IFERROR(IF(INDEX([1]Pivot!$AD$1:$BE$65000,$B845,W$5)=1,1,IF(INDEX([1]Pivot!$B$1:$AB$65000,$B845,W$5)="",2,0)),0)</f>
        <v>0</v>
      </c>
      <c r="X845" s="194">
        <f>IFERROR(IF(INDEX([1]Pivot!$AD$1:$BE$65000,$B845,X$5)=1,1,IF(INDEX([1]Pivot!$B$1:$AB$65000,$B845,X$5)="",2,0)),0)</f>
        <v>0</v>
      </c>
      <c r="Y845" s="194">
        <f>IFERROR(IF(INDEX([1]Pivot!$AD$1:$BE$65000,$B845,Y$5)=1,1,IF(INDEX([1]Pivot!$B$1:$AB$65000,$B845,Y$5)="",2,0)),0)</f>
        <v>0</v>
      </c>
      <c r="Z845" s="194">
        <f>IFERROR(IF(INDEX([1]Pivot!$AD$1:$BE$65000,$B845,Z$5)=1,1,IF(INDEX([1]Pivot!$B$1:$AB$65000,$B845,Z$5)="",2,0)),0)</f>
        <v>0</v>
      </c>
      <c r="AA845" s="194">
        <f>IFERROR(IF(INDEX([1]Pivot!$AD$1:$BE$65000,$B845,AA$5)=1,1,IF(INDEX([1]Pivot!$B$1:$AB$65000,$B845,AA$5)="",2,0)),0)</f>
        <v>0</v>
      </c>
      <c r="AB845" s="194">
        <f>IFERROR(IF(INDEX([1]Pivot!$AD$1:$BE$65000,$B845,AB$5)=1,1,IF(INDEX([1]Pivot!$B$1:$AB$65000,$B845,AB$5)="",2,0)),0)</f>
        <v>0</v>
      </c>
      <c r="AC845" s="194">
        <f>IFERROR(IF(INDEX([1]Pivot!$AD$1:$BE$65000,$B845,AC$5)=1,1,IF(INDEX([1]Pivot!$B$1:$AB$65000,$B845,AC$5)="",2,0)),0)</f>
        <v>0</v>
      </c>
      <c r="AD845" s="313">
        <f>IFERROR(IF(INDEX([1]Pivot!$BF$1:$CG$65000,$B845,AD$5)=1,1,IF(INDEX([1]Pivot!$B$1:$AB$65000,$B845,AD$5)="",2,0)),0)</f>
        <v>0</v>
      </c>
      <c r="AE845" s="313">
        <f>IFERROR(IF(INDEX([1]Pivot!$BF$1:$CG$65000,$B845,AE$5)=1,1,IF(INDEX([1]Pivot!$B$1:$AB$65000,$B845,AE$5)="",2,0)),0)</f>
        <v>0</v>
      </c>
      <c r="AF845" s="313">
        <f>IFERROR(IF(INDEX([1]Pivot!$BF$1:$CG$65000,$B845,AF$5)=1,1,IF(INDEX([1]Pivot!$B$1:$AB$65000,$B845,AF$5)="",2,0)),0)</f>
        <v>0</v>
      </c>
      <c r="AG845" s="313">
        <f>IFERROR(IF(INDEX([1]Pivot!$BF$1:$CG$65000,$B845,AG$5)=1,1,IF(INDEX([1]Pivot!$B$1:$AB$65000,$B845,AG$5)="",2,0)),0)</f>
        <v>0</v>
      </c>
      <c r="AH845" s="313">
        <f>IFERROR(IF(INDEX([1]Pivot!$BF$1:$CG$65000,$B845,AH$5)=1,1,IF(INDEX([1]Pivot!$B$1:$AB$65000,$B845,AH$5)="",2,0)),0)</f>
        <v>0</v>
      </c>
      <c r="AI845" s="313">
        <f>IFERROR(IF(INDEX([1]Pivot!$BF$1:$CG$65000,$B845,AI$5)=1,1,IF(INDEX([1]Pivot!$B$1:$AB$65000,$B845,AI$5)="",2,0)),0)</f>
        <v>0</v>
      </c>
      <c r="AJ845" s="313">
        <f>IFERROR(IF(INDEX([1]Pivot!$BF$1:$CG$65000,$B845,AJ$5)=1,1,IF(INDEX([1]Pivot!$B$1:$AB$65000,$B845,AJ$5)="",2,0)),0)</f>
        <v>0</v>
      </c>
      <c r="AK845" s="313">
        <f>IFERROR(IF(INDEX([1]Pivot!$BF$1:$CG$65000,$B845,AK$5)=1,1,IF(INDEX([1]Pivot!$B$1:$AB$65000,$B845,AK$5)="",2,0)),0)</f>
        <v>0</v>
      </c>
      <c r="AL845" s="313">
        <f>IFERROR(IF(INDEX([1]Pivot!$BF$1:$CG$65000,$B845,AL$5)=1,1,IF(INDEX([1]Pivot!$B$1:$AB$65000,$B845,AL$5)="",2,0)),0)</f>
        <v>0</v>
      </c>
      <c r="AM845" s="313">
        <f>IFERROR(IF(INDEX([1]Pivot!$BF$1:$CG$65000,$B845,AM$5)=1,1,IF(INDEX([1]Pivot!$B$1:$AB$65000,$B845,AM$5)="",2,0)),0)</f>
        <v>0</v>
      </c>
      <c r="AN845" s="313">
        <f>IFERROR(IF(INDEX([1]Pivot!$BF$1:$CG$65000,$B845,AN$5)=1,1,IF(INDEX([1]Pivot!$B$1:$AB$65000,$B845,AN$5)="",2,0)),0)</f>
        <v>0</v>
      </c>
      <c r="AO845" s="313">
        <f>IFERROR(IF(INDEX([1]Pivot!$BF$1:$CG$65000,$B845,AO$5)=1,1,IF(INDEX([1]Pivot!$B$1:$AB$65000,$B845,AO$5)="",2,0)),0)</f>
        <v>0</v>
      </c>
      <c r="AP845" s="313">
        <f>IFERROR(IF(INDEX([1]Pivot!$BF$1:$CG$65000,$B845,AP$5)=1,1,IF(INDEX([1]Pivot!$B$1:$AB$65000,$B845,AP$5)="",2,0)),0)</f>
        <v>0</v>
      </c>
      <c r="AQ845" s="313">
        <f>IFERROR(IF(INDEX([1]Pivot!$BF$1:$CG$65000,$B845,AQ$5)=1,1,IF(INDEX([1]Pivot!$B$1:$AB$65000,$B845,AQ$5)="",2,0)),0)</f>
        <v>0</v>
      </c>
      <c r="AR845" s="313">
        <f>IFERROR(IF(INDEX([1]Pivot!$BF$1:$CG$65000,$B845,AR$5)=1,1,IF(INDEX([1]Pivot!$B$1:$AB$65000,$B845,AR$5)="",2,0)),0)</f>
        <v>0</v>
      </c>
      <c r="AS845" s="312"/>
      <c r="AT845" s="313">
        <f>IFERROR(IF(INDEX([1]Pivot!$BF$1:$CG$65000,$B845,AT$5)=1,1,IF(INDEX([1]Pivot!$B$1:$AB$65000,$B845,AT$5)="",2,0)),0)</f>
        <v>0</v>
      </c>
      <c r="AU845" s="313">
        <f>IFERROR(IF(INDEX([1]Pivot!$BF$1:$CG$65000,$B845,AU$5)=1,1,IF(INDEX([1]Pivot!$B$1:$AB$65000,$B845,AU$5)="",2,0)),0)</f>
        <v>0</v>
      </c>
      <c r="AV845" s="313">
        <f>IFERROR(IF(INDEX([1]Pivot!$BF$1:$CG$65000,$B845,AV$5)=1,1,IF(INDEX([1]Pivot!$B$1:$AB$65000,$B845,AV$5)="",2,0)),0)</f>
        <v>0</v>
      </c>
      <c r="AW845" s="313">
        <f>IFERROR(IF(INDEX([1]Pivot!$BF$1:$CG$65000,$B845,AW$5)=1,1,IF(INDEX([1]Pivot!$B$1:$AB$65000,$B845,AW$5)="",2,0)),0)</f>
        <v>0</v>
      </c>
      <c r="AX845" s="313">
        <f>IFERROR(IF(INDEX([1]Pivot!$BF$1:$CG$65000,$B845,AX$5)=1,1,IF(INDEX([1]Pivot!$B$1:$AB$65000,$B845,AX$5)="",2,0)),0)</f>
        <v>0</v>
      </c>
      <c r="AY845" s="313">
        <f>IFERROR(IF(INDEX([1]Pivot!$BF$1:$CG$65000,$B845,AY$5)=1,1,IF(INDEX([1]Pivot!$B$1:$AB$65000,$B845,AY$5)="",2,0)),0)</f>
        <v>0</v>
      </c>
      <c r="AZ845" s="313">
        <f>IFERROR(IF(INDEX([1]Pivot!$BF$1:$CG$65000,$B845,AZ$5)=1,1,IF(INDEX([1]Pivot!$B$1:$AB$65000,$B845,AZ$5)="",2,0)),0)</f>
        <v>0</v>
      </c>
      <c r="BA845" s="313">
        <f>IFERROR(IF(INDEX([1]Pivot!$BF$1:$CG$65000,$B845,BA$5)=1,1,IF(INDEX([1]Pivot!$B$1:$AB$65000,$B845,BA$5)="",2,0)),0)</f>
        <v>0</v>
      </c>
      <c r="BB845" s="313">
        <f>IFERROR(IF(INDEX([1]Pivot!$BF$1:$CG$65000,$B845,BB$5)=1,1,IF(INDEX([1]Pivot!$B$1:$AB$65000,$B845,BB$5)="",2,0)),0)</f>
        <v>0</v>
      </c>
      <c r="BC845" s="313">
        <f>IFERROR(IF(INDEX([1]Pivot!$BF$1:$CG$65000,$B845,BC$5)=1,1,IF(INDEX([1]Pivot!$B$1:$AB$65000,$B845,BC$5)="",2,0)),0)</f>
        <v>0</v>
      </c>
      <c r="BD845" s="313">
        <f>IFERROR(IF(INDEX([1]Pivot!$BF$1:$CG$65000,$B845,BD$5)=1,1,IF(INDEX([1]Pivot!$B$1:$AB$65000,$B845,BD$5)="",2,0)),0)</f>
        <v>0</v>
      </c>
    </row>
    <row r="846" spans="1:56" x14ac:dyDescent="0.25">
      <c r="A846" s="288">
        <f>'[2]Raw Milk Prices'!A846</f>
        <v>0</v>
      </c>
      <c r="B846" s="296" t="e">
        <f>MATCH(DATE(LEFT('[2]Raw Milk Prices'!$A846,4),RIGHT('[2]Raw Milk Prices'!$A846,2),1),[1]Pivot!$A$1:$A$65000,0)</f>
        <v>#VALUE!</v>
      </c>
      <c r="C846" s="194">
        <f>IFERROR(IF(INDEX([1]Pivot!$AD$1:$BE$65000,$B846,C$5)=1,1,IF(INDEX([1]Pivot!$B$1:$AB$65000,$B846,C$5)="",2,0)),0)</f>
        <v>0</v>
      </c>
      <c r="D846" s="194">
        <f>IFERROR(IF(INDEX([1]Pivot!$AD$1:$BE$65000,$B846,D$5)=1,1,IF(INDEX([1]Pivot!$B$1:$AB$65000,$B846,D$5)="",2,0)),0)</f>
        <v>0</v>
      </c>
      <c r="E846" s="194">
        <f>IFERROR(IF(INDEX([1]Pivot!$AD$1:$BE$65000,$B846,E$5)=1,1,IF(INDEX([1]Pivot!$B$1:$AB$65000,$B846,E$5)="",2,0)),0)</f>
        <v>0</v>
      </c>
      <c r="F846" s="194">
        <f>IFERROR(IF(INDEX([1]Pivot!$AD$1:$BE$65000,$B846,F$5)=1,1,IF(INDEX([1]Pivot!$B$1:$AB$65000,$B846,F$5)="",2,0)),0)</f>
        <v>0</v>
      </c>
      <c r="G846" s="194">
        <f>IFERROR(IF(INDEX([1]Pivot!$AD$1:$BE$65000,$B846,G$5)=1,1,IF(INDEX([1]Pivot!$B$1:$AB$65000,$B846,G$5)="",2,0)),0)</f>
        <v>0</v>
      </c>
      <c r="H846" s="194">
        <f>IFERROR(IF(INDEX([1]Pivot!$AD$1:$BE$65000,$B846,H$5)=1,1,IF(INDEX([1]Pivot!$B$1:$AB$65000,$B846,H$5)="",2,0)),0)</f>
        <v>0</v>
      </c>
      <c r="I846" s="194">
        <f>IFERROR(IF(INDEX([1]Pivot!$AD$1:$BE$65000,$B846,I$5)=1,1,IF(INDEX([1]Pivot!$B$1:$AB$65000,$B846,I$5)="",2,0)),0)</f>
        <v>0</v>
      </c>
      <c r="J846" s="194">
        <f>IFERROR(IF(INDEX([1]Pivot!$AD$1:$BE$65000,$B846,J$5)=1,1,IF(INDEX([1]Pivot!$B$1:$AB$65000,$B846,J$5)="",2,0)),0)</f>
        <v>0</v>
      </c>
      <c r="K846" s="194">
        <f>IFERROR(IF(INDEX([1]Pivot!$AD$1:$BE$65000,$B846,K$5)=1,1,IF(INDEX([1]Pivot!$B$1:$AB$65000,$B846,K$5)="",2,0)),0)</f>
        <v>0</v>
      </c>
      <c r="L846" s="194">
        <f>IFERROR(IF(INDEX([1]Pivot!$AD$1:$BE$65000,$B846,L$5)=1,1,IF(INDEX([1]Pivot!$B$1:$AB$65000,$B846,L$5)="",2,0)),0)</f>
        <v>0</v>
      </c>
      <c r="M846" s="194">
        <f>IFERROR(IF(INDEX([1]Pivot!$AD$1:$BE$65000,$B846,M$5)=1,1,IF(INDEX([1]Pivot!$B$1:$AB$65000,$B846,M$5)="",2,0)),0)</f>
        <v>0</v>
      </c>
      <c r="N846" s="194">
        <f>IFERROR(IF(INDEX([1]Pivot!$AD$1:$BE$65000,$B846,N$5)=1,1,IF(INDEX([1]Pivot!$B$1:$AB$65000,$B846,N$5)="",2,0)),0)</f>
        <v>0</v>
      </c>
      <c r="O846" s="194">
        <f>IFERROR(IF(INDEX([1]Pivot!$AD$1:$BE$65000,$B846,O$5)=1,1,IF(INDEX([1]Pivot!$B$1:$AB$65000,$B846,O$5)="",2,0)),0)</f>
        <v>0</v>
      </c>
      <c r="P846" s="194">
        <f>IFERROR(IF(INDEX([1]Pivot!$AD$1:$BE$65000,$B846,P$5)=1,1,IF(INDEX([1]Pivot!$B$1:$AB$65000,$B846,P$5)="",2,0)),0)</f>
        <v>0</v>
      </c>
      <c r="Q846" s="194">
        <f>IFERROR(IF(INDEX([1]Pivot!$AD$1:$BE$65000,$B846,Q$5)=1,1,IF(INDEX([1]Pivot!$B$1:$AB$65000,$B846,Q$5)="",2,0)),0)</f>
        <v>0</v>
      </c>
      <c r="R846" s="312"/>
      <c r="S846" s="194">
        <f>IFERROR(IF(INDEX([1]Pivot!$AD$1:$BE$65000,$B846,S$5)=1,1,IF(INDEX([1]Pivot!$B$1:$AB$65000,$B846,S$5)="",2,0)),0)</f>
        <v>0</v>
      </c>
      <c r="T846" s="194">
        <f>IFERROR(IF(INDEX([1]Pivot!$AD$1:$BE$65000,$B846,T$5)=1,1,IF(INDEX([1]Pivot!$B$1:$AB$65000,$B846,T$5)="",2,0)),0)</f>
        <v>0</v>
      </c>
      <c r="U846" s="194">
        <f>IFERROR(IF(INDEX([1]Pivot!$AD$1:$BE$65000,$B846,U$5)=1,1,IF(INDEX([1]Pivot!$B$1:$AB$65000,$B846,U$5)="",2,0)),0)</f>
        <v>0</v>
      </c>
      <c r="V846" s="194">
        <f>IFERROR(IF(INDEX([1]Pivot!$AD$1:$BE$65000,$B846,V$5)=1,1,IF(INDEX([1]Pivot!$B$1:$AB$65000,$B846,V$5)="",2,0)),0)</f>
        <v>0</v>
      </c>
      <c r="W846" s="194">
        <f>IFERROR(IF(INDEX([1]Pivot!$AD$1:$BE$65000,$B846,W$5)=1,1,IF(INDEX([1]Pivot!$B$1:$AB$65000,$B846,W$5)="",2,0)),0)</f>
        <v>0</v>
      </c>
      <c r="X846" s="194">
        <f>IFERROR(IF(INDEX([1]Pivot!$AD$1:$BE$65000,$B846,X$5)=1,1,IF(INDEX([1]Pivot!$B$1:$AB$65000,$B846,X$5)="",2,0)),0)</f>
        <v>0</v>
      </c>
      <c r="Y846" s="194">
        <f>IFERROR(IF(INDEX([1]Pivot!$AD$1:$BE$65000,$B846,Y$5)=1,1,IF(INDEX([1]Pivot!$B$1:$AB$65000,$B846,Y$5)="",2,0)),0)</f>
        <v>0</v>
      </c>
      <c r="Z846" s="194">
        <f>IFERROR(IF(INDEX([1]Pivot!$AD$1:$BE$65000,$B846,Z$5)=1,1,IF(INDEX([1]Pivot!$B$1:$AB$65000,$B846,Z$5)="",2,0)),0)</f>
        <v>0</v>
      </c>
      <c r="AA846" s="194">
        <f>IFERROR(IF(INDEX([1]Pivot!$AD$1:$BE$65000,$B846,AA$5)=1,1,IF(INDEX([1]Pivot!$B$1:$AB$65000,$B846,AA$5)="",2,0)),0)</f>
        <v>0</v>
      </c>
      <c r="AB846" s="194">
        <f>IFERROR(IF(INDEX([1]Pivot!$AD$1:$BE$65000,$B846,AB$5)=1,1,IF(INDEX([1]Pivot!$B$1:$AB$65000,$B846,AB$5)="",2,0)),0)</f>
        <v>0</v>
      </c>
      <c r="AC846" s="194">
        <f>IFERROR(IF(INDEX([1]Pivot!$AD$1:$BE$65000,$B846,AC$5)=1,1,IF(INDEX([1]Pivot!$B$1:$AB$65000,$B846,AC$5)="",2,0)),0)</f>
        <v>0</v>
      </c>
      <c r="AD846" s="313">
        <f>IFERROR(IF(INDEX([1]Pivot!$BF$1:$CG$65000,$B846,AD$5)=1,1,IF(INDEX([1]Pivot!$B$1:$AB$65000,$B846,AD$5)="",2,0)),0)</f>
        <v>0</v>
      </c>
      <c r="AE846" s="313">
        <f>IFERROR(IF(INDEX([1]Pivot!$BF$1:$CG$65000,$B846,AE$5)=1,1,IF(INDEX([1]Pivot!$B$1:$AB$65000,$B846,AE$5)="",2,0)),0)</f>
        <v>0</v>
      </c>
      <c r="AF846" s="313">
        <f>IFERROR(IF(INDEX([1]Pivot!$BF$1:$CG$65000,$B846,AF$5)=1,1,IF(INDEX([1]Pivot!$B$1:$AB$65000,$B846,AF$5)="",2,0)),0)</f>
        <v>0</v>
      </c>
      <c r="AG846" s="313">
        <f>IFERROR(IF(INDEX([1]Pivot!$BF$1:$CG$65000,$B846,AG$5)=1,1,IF(INDEX([1]Pivot!$B$1:$AB$65000,$B846,AG$5)="",2,0)),0)</f>
        <v>0</v>
      </c>
      <c r="AH846" s="313">
        <f>IFERROR(IF(INDEX([1]Pivot!$BF$1:$CG$65000,$B846,AH$5)=1,1,IF(INDEX([1]Pivot!$B$1:$AB$65000,$B846,AH$5)="",2,0)),0)</f>
        <v>0</v>
      </c>
      <c r="AI846" s="313">
        <f>IFERROR(IF(INDEX([1]Pivot!$BF$1:$CG$65000,$B846,AI$5)=1,1,IF(INDEX([1]Pivot!$B$1:$AB$65000,$B846,AI$5)="",2,0)),0)</f>
        <v>0</v>
      </c>
      <c r="AJ846" s="313">
        <f>IFERROR(IF(INDEX([1]Pivot!$BF$1:$CG$65000,$B846,AJ$5)=1,1,IF(INDEX([1]Pivot!$B$1:$AB$65000,$B846,AJ$5)="",2,0)),0)</f>
        <v>0</v>
      </c>
      <c r="AK846" s="313">
        <f>IFERROR(IF(INDEX([1]Pivot!$BF$1:$CG$65000,$B846,AK$5)=1,1,IF(INDEX([1]Pivot!$B$1:$AB$65000,$B846,AK$5)="",2,0)),0)</f>
        <v>0</v>
      </c>
      <c r="AL846" s="313">
        <f>IFERROR(IF(INDEX([1]Pivot!$BF$1:$CG$65000,$B846,AL$5)=1,1,IF(INDEX([1]Pivot!$B$1:$AB$65000,$B846,AL$5)="",2,0)),0)</f>
        <v>0</v>
      </c>
      <c r="AM846" s="313">
        <f>IFERROR(IF(INDEX([1]Pivot!$BF$1:$CG$65000,$B846,AM$5)=1,1,IF(INDEX([1]Pivot!$B$1:$AB$65000,$B846,AM$5)="",2,0)),0)</f>
        <v>0</v>
      </c>
      <c r="AN846" s="313">
        <f>IFERROR(IF(INDEX([1]Pivot!$BF$1:$CG$65000,$B846,AN$5)=1,1,IF(INDEX([1]Pivot!$B$1:$AB$65000,$B846,AN$5)="",2,0)),0)</f>
        <v>0</v>
      </c>
      <c r="AO846" s="313">
        <f>IFERROR(IF(INDEX([1]Pivot!$BF$1:$CG$65000,$B846,AO$5)=1,1,IF(INDEX([1]Pivot!$B$1:$AB$65000,$B846,AO$5)="",2,0)),0)</f>
        <v>0</v>
      </c>
      <c r="AP846" s="313">
        <f>IFERROR(IF(INDEX([1]Pivot!$BF$1:$CG$65000,$B846,AP$5)=1,1,IF(INDEX([1]Pivot!$B$1:$AB$65000,$B846,AP$5)="",2,0)),0)</f>
        <v>0</v>
      </c>
      <c r="AQ846" s="313">
        <f>IFERROR(IF(INDEX([1]Pivot!$BF$1:$CG$65000,$B846,AQ$5)=1,1,IF(INDEX([1]Pivot!$B$1:$AB$65000,$B846,AQ$5)="",2,0)),0)</f>
        <v>0</v>
      </c>
      <c r="AR846" s="313">
        <f>IFERROR(IF(INDEX([1]Pivot!$BF$1:$CG$65000,$B846,AR$5)=1,1,IF(INDEX([1]Pivot!$B$1:$AB$65000,$B846,AR$5)="",2,0)),0)</f>
        <v>0</v>
      </c>
      <c r="AS846" s="312"/>
      <c r="AT846" s="313">
        <f>IFERROR(IF(INDEX([1]Pivot!$BF$1:$CG$65000,$B846,AT$5)=1,1,IF(INDEX([1]Pivot!$B$1:$AB$65000,$B846,AT$5)="",2,0)),0)</f>
        <v>0</v>
      </c>
      <c r="AU846" s="313">
        <f>IFERROR(IF(INDEX([1]Pivot!$BF$1:$CG$65000,$B846,AU$5)=1,1,IF(INDEX([1]Pivot!$B$1:$AB$65000,$B846,AU$5)="",2,0)),0)</f>
        <v>0</v>
      </c>
      <c r="AV846" s="313">
        <f>IFERROR(IF(INDEX([1]Pivot!$BF$1:$CG$65000,$B846,AV$5)=1,1,IF(INDEX([1]Pivot!$B$1:$AB$65000,$B846,AV$5)="",2,0)),0)</f>
        <v>0</v>
      </c>
      <c r="AW846" s="313">
        <f>IFERROR(IF(INDEX([1]Pivot!$BF$1:$CG$65000,$B846,AW$5)=1,1,IF(INDEX([1]Pivot!$B$1:$AB$65000,$B846,AW$5)="",2,0)),0)</f>
        <v>0</v>
      </c>
      <c r="AX846" s="313">
        <f>IFERROR(IF(INDEX([1]Pivot!$BF$1:$CG$65000,$B846,AX$5)=1,1,IF(INDEX([1]Pivot!$B$1:$AB$65000,$B846,AX$5)="",2,0)),0)</f>
        <v>0</v>
      </c>
      <c r="AY846" s="313">
        <f>IFERROR(IF(INDEX([1]Pivot!$BF$1:$CG$65000,$B846,AY$5)=1,1,IF(INDEX([1]Pivot!$B$1:$AB$65000,$B846,AY$5)="",2,0)),0)</f>
        <v>0</v>
      </c>
      <c r="AZ846" s="313">
        <f>IFERROR(IF(INDEX([1]Pivot!$BF$1:$CG$65000,$B846,AZ$5)=1,1,IF(INDEX([1]Pivot!$B$1:$AB$65000,$B846,AZ$5)="",2,0)),0)</f>
        <v>0</v>
      </c>
      <c r="BA846" s="313">
        <f>IFERROR(IF(INDEX([1]Pivot!$BF$1:$CG$65000,$B846,BA$5)=1,1,IF(INDEX([1]Pivot!$B$1:$AB$65000,$B846,BA$5)="",2,0)),0)</f>
        <v>0</v>
      </c>
      <c r="BB846" s="313">
        <f>IFERROR(IF(INDEX([1]Pivot!$BF$1:$CG$65000,$B846,BB$5)=1,1,IF(INDEX([1]Pivot!$B$1:$AB$65000,$B846,BB$5)="",2,0)),0)</f>
        <v>0</v>
      </c>
      <c r="BC846" s="313">
        <f>IFERROR(IF(INDEX([1]Pivot!$BF$1:$CG$65000,$B846,BC$5)=1,1,IF(INDEX([1]Pivot!$B$1:$AB$65000,$B846,BC$5)="",2,0)),0)</f>
        <v>0</v>
      </c>
      <c r="BD846" s="313">
        <f>IFERROR(IF(INDEX([1]Pivot!$BF$1:$CG$65000,$B846,BD$5)=1,1,IF(INDEX([1]Pivot!$B$1:$AB$65000,$B846,BD$5)="",2,0)),0)</f>
        <v>0</v>
      </c>
    </row>
    <row r="847" spans="1:56" x14ac:dyDescent="0.25">
      <c r="A847" s="288">
        <f>'[2]Raw Milk Prices'!A847</f>
        <v>0</v>
      </c>
      <c r="B847" s="296" t="e">
        <f>MATCH(DATE(LEFT('[2]Raw Milk Prices'!$A847,4),RIGHT('[2]Raw Milk Prices'!$A847,2),1),[1]Pivot!$A$1:$A$65000,0)</f>
        <v>#VALUE!</v>
      </c>
      <c r="C847" s="194">
        <f>IFERROR(IF(INDEX([1]Pivot!$AD$1:$BE$65000,$B847,C$5)=1,1,IF(INDEX([1]Pivot!$B$1:$AB$65000,$B847,C$5)="",2,0)),0)</f>
        <v>0</v>
      </c>
      <c r="D847" s="194">
        <f>IFERROR(IF(INDEX([1]Pivot!$AD$1:$BE$65000,$B847,D$5)=1,1,IF(INDEX([1]Pivot!$B$1:$AB$65000,$B847,D$5)="",2,0)),0)</f>
        <v>0</v>
      </c>
      <c r="E847" s="194">
        <f>IFERROR(IF(INDEX([1]Pivot!$AD$1:$BE$65000,$B847,E$5)=1,1,IF(INDEX([1]Pivot!$B$1:$AB$65000,$B847,E$5)="",2,0)),0)</f>
        <v>0</v>
      </c>
      <c r="F847" s="194">
        <f>IFERROR(IF(INDEX([1]Pivot!$AD$1:$BE$65000,$B847,F$5)=1,1,IF(INDEX([1]Pivot!$B$1:$AB$65000,$B847,F$5)="",2,0)),0)</f>
        <v>0</v>
      </c>
      <c r="G847" s="194">
        <f>IFERROR(IF(INDEX([1]Pivot!$AD$1:$BE$65000,$B847,G$5)=1,1,IF(INDEX([1]Pivot!$B$1:$AB$65000,$B847,G$5)="",2,0)),0)</f>
        <v>0</v>
      </c>
      <c r="H847" s="194">
        <f>IFERROR(IF(INDEX([1]Pivot!$AD$1:$BE$65000,$B847,H$5)=1,1,IF(INDEX([1]Pivot!$B$1:$AB$65000,$B847,H$5)="",2,0)),0)</f>
        <v>0</v>
      </c>
      <c r="I847" s="194">
        <f>IFERROR(IF(INDEX([1]Pivot!$AD$1:$BE$65000,$B847,I$5)=1,1,IF(INDEX([1]Pivot!$B$1:$AB$65000,$B847,I$5)="",2,0)),0)</f>
        <v>0</v>
      </c>
      <c r="J847" s="194">
        <f>IFERROR(IF(INDEX([1]Pivot!$AD$1:$BE$65000,$B847,J$5)=1,1,IF(INDEX([1]Pivot!$B$1:$AB$65000,$B847,J$5)="",2,0)),0)</f>
        <v>0</v>
      </c>
      <c r="K847" s="194">
        <f>IFERROR(IF(INDEX([1]Pivot!$AD$1:$BE$65000,$B847,K$5)=1,1,IF(INDEX([1]Pivot!$B$1:$AB$65000,$B847,K$5)="",2,0)),0)</f>
        <v>0</v>
      </c>
      <c r="L847" s="194">
        <f>IFERROR(IF(INDEX([1]Pivot!$AD$1:$BE$65000,$B847,L$5)=1,1,IF(INDEX([1]Pivot!$B$1:$AB$65000,$B847,L$5)="",2,0)),0)</f>
        <v>0</v>
      </c>
      <c r="M847" s="194">
        <f>IFERROR(IF(INDEX([1]Pivot!$AD$1:$BE$65000,$B847,M$5)=1,1,IF(INDEX([1]Pivot!$B$1:$AB$65000,$B847,M$5)="",2,0)),0)</f>
        <v>0</v>
      </c>
      <c r="N847" s="194">
        <f>IFERROR(IF(INDEX([1]Pivot!$AD$1:$BE$65000,$B847,N$5)=1,1,IF(INDEX([1]Pivot!$B$1:$AB$65000,$B847,N$5)="",2,0)),0)</f>
        <v>0</v>
      </c>
      <c r="O847" s="194">
        <f>IFERROR(IF(INDEX([1]Pivot!$AD$1:$BE$65000,$B847,O$5)=1,1,IF(INDEX([1]Pivot!$B$1:$AB$65000,$B847,O$5)="",2,0)),0)</f>
        <v>0</v>
      </c>
      <c r="P847" s="194">
        <f>IFERROR(IF(INDEX([1]Pivot!$AD$1:$BE$65000,$B847,P$5)=1,1,IF(INDEX([1]Pivot!$B$1:$AB$65000,$B847,P$5)="",2,0)),0)</f>
        <v>0</v>
      </c>
      <c r="Q847" s="194">
        <f>IFERROR(IF(INDEX([1]Pivot!$AD$1:$BE$65000,$B847,Q$5)=1,1,IF(INDEX([1]Pivot!$B$1:$AB$65000,$B847,Q$5)="",2,0)),0)</f>
        <v>0</v>
      </c>
      <c r="R847" s="312"/>
      <c r="S847" s="194">
        <f>IFERROR(IF(INDEX([1]Pivot!$AD$1:$BE$65000,$B847,S$5)=1,1,IF(INDEX([1]Pivot!$B$1:$AB$65000,$B847,S$5)="",2,0)),0)</f>
        <v>0</v>
      </c>
      <c r="T847" s="194">
        <f>IFERROR(IF(INDEX([1]Pivot!$AD$1:$BE$65000,$B847,T$5)=1,1,IF(INDEX([1]Pivot!$B$1:$AB$65000,$B847,T$5)="",2,0)),0)</f>
        <v>0</v>
      </c>
      <c r="U847" s="194">
        <f>IFERROR(IF(INDEX([1]Pivot!$AD$1:$BE$65000,$B847,U$5)=1,1,IF(INDEX([1]Pivot!$B$1:$AB$65000,$B847,U$5)="",2,0)),0)</f>
        <v>0</v>
      </c>
      <c r="V847" s="194">
        <f>IFERROR(IF(INDEX([1]Pivot!$AD$1:$BE$65000,$B847,V$5)=1,1,IF(INDEX([1]Pivot!$B$1:$AB$65000,$B847,V$5)="",2,0)),0)</f>
        <v>0</v>
      </c>
      <c r="W847" s="194">
        <f>IFERROR(IF(INDEX([1]Pivot!$AD$1:$BE$65000,$B847,W$5)=1,1,IF(INDEX([1]Pivot!$B$1:$AB$65000,$B847,W$5)="",2,0)),0)</f>
        <v>0</v>
      </c>
      <c r="X847" s="194">
        <f>IFERROR(IF(INDEX([1]Pivot!$AD$1:$BE$65000,$B847,X$5)=1,1,IF(INDEX([1]Pivot!$B$1:$AB$65000,$B847,X$5)="",2,0)),0)</f>
        <v>0</v>
      </c>
      <c r="Y847" s="194">
        <f>IFERROR(IF(INDEX([1]Pivot!$AD$1:$BE$65000,$B847,Y$5)=1,1,IF(INDEX([1]Pivot!$B$1:$AB$65000,$B847,Y$5)="",2,0)),0)</f>
        <v>0</v>
      </c>
      <c r="Z847" s="194">
        <f>IFERROR(IF(INDEX([1]Pivot!$AD$1:$BE$65000,$B847,Z$5)=1,1,IF(INDEX([1]Pivot!$B$1:$AB$65000,$B847,Z$5)="",2,0)),0)</f>
        <v>0</v>
      </c>
      <c r="AA847" s="194">
        <f>IFERROR(IF(INDEX([1]Pivot!$AD$1:$BE$65000,$B847,AA$5)=1,1,IF(INDEX([1]Pivot!$B$1:$AB$65000,$B847,AA$5)="",2,0)),0)</f>
        <v>0</v>
      </c>
      <c r="AB847" s="194">
        <f>IFERROR(IF(INDEX([1]Pivot!$AD$1:$BE$65000,$B847,AB$5)=1,1,IF(INDEX([1]Pivot!$B$1:$AB$65000,$B847,AB$5)="",2,0)),0)</f>
        <v>0</v>
      </c>
      <c r="AC847" s="194">
        <f>IFERROR(IF(INDEX([1]Pivot!$AD$1:$BE$65000,$B847,AC$5)=1,1,IF(INDEX([1]Pivot!$B$1:$AB$65000,$B847,AC$5)="",2,0)),0)</f>
        <v>0</v>
      </c>
      <c r="AD847" s="313">
        <f>IFERROR(IF(INDEX([1]Pivot!$BF$1:$CG$65000,$B847,AD$5)=1,1,IF(INDEX([1]Pivot!$B$1:$AB$65000,$B847,AD$5)="",2,0)),0)</f>
        <v>0</v>
      </c>
      <c r="AE847" s="313">
        <f>IFERROR(IF(INDEX([1]Pivot!$BF$1:$CG$65000,$B847,AE$5)=1,1,IF(INDEX([1]Pivot!$B$1:$AB$65000,$B847,AE$5)="",2,0)),0)</f>
        <v>0</v>
      </c>
      <c r="AF847" s="313">
        <f>IFERROR(IF(INDEX([1]Pivot!$BF$1:$CG$65000,$B847,AF$5)=1,1,IF(INDEX([1]Pivot!$B$1:$AB$65000,$B847,AF$5)="",2,0)),0)</f>
        <v>0</v>
      </c>
      <c r="AG847" s="313">
        <f>IFERROR(IF(INDEX([1]Pivot!$BF$1:$CG$65000,$B847,AG$5)=1,1,IF(INDEX([1]Pivot!$B$1:$AB$65000,$B847,AG$5)="",2,0)),0)</f>
        <v>0</v>
      </c>
      <c r="AH847" s="313">
        <f>IFERROR(IF(INDEX([1]Pivot!$BF$1:$CG$65000,$B847,AH$5)=1,1,IF(INDEX([1]Pivot!$B$1:$AB$65000,$B847,AH$5)="",2,0)),0)</f>
        <v>0</v>
      </c>
      <c r="AI847" s="313">
        <f>IFERROR(IF(INDEX([1]Pivot!$BF$1:$CG$65000,$B847,AI$5)=1,1,IF(INDEX([1]Pivot!$B$1:$AB$65000,$B847,AI$5)="",2,0)),0)</f>
        <v>0</v>
      </c>
      <c r="AJ847" s="313">
        <f>IFERROR(IF(INDEX([1]Pivot!$BF$1:$CG$65000,$B847,AJ$5)=1,1,IF(INDEX([1]Pivot!$B$1:$AB$65000,$B847,AJ$5)="",2,0)),0)</f>
        <v>0</v>
      </c>
      <c r="AK847" s="313">
        <f>IFERROR(IF(INDEX([1]Pivot!$BF$1:$CG$65000,$B847,AK$5)=1,1,IF(INDEX([1]Pivot!$B$1:$AB$65000,$B847,AK$5)="",2,0)),0)</f>
        <v>0</v>
      </c>
      <c r="AL847" s="313">
        <f>IFERROR(IF(INDEX([1]Pivot!$BF$1:$CG$65000,$B847,AL$5)=1,1,IF(INDEX([1]Pivot!$B$1:$AB$65000,$B847,AL$5)="",2,0)),0)</f>
        <v>0</v>
      </c>
      <c r="AM847" s="313">
        <f>IFERROR(IF(INDEX([1]Pivot!$BF$1:$CG$65000,$B847,AM$5)=1,1,IF(INDEX([1]Pivot!$B$1:$AB$65000,$B847,AM$5)="",2,0)),0)</f>
        <v>0</v>
      </c>
      <c r="AN847" s="313">
        <f>IFERROR(IF(INDEX([1]Pivot!$BF$1:$CG$65000,$B847,AN$5)=1,1,IF(INDEX([1]Pivot!$B$1:$AB$65000,$B847,AN$5)="",2,0)),0)</f>
        <v>0</v>
      </c>
      <c r="AO847" s="313">
        <f>IFERROR(IF(INDEX([1]Pivot!$BF$1:$CG$65000,$B847,AO$5)=1,1,IF(INDEX([1]Pivot!$B$1:$AB$65000,$B847,AO$5)="",2,0)),0)</f>
        <v>0</v>
      </c>
      <c r="AP847" s="313">
        <f>IFERROR(IF(INDEX([1]Pivot!$BF$1:$CG$65000,$B847,AP$5)=1,1,IF(INDEX([1]Pivot!$B$1:$AB$65000,$B847,AP$5)="",2,0)),0)</f>
        <v>0</v>
      </c>
      <c r="AQ847" s="313">
        <f>IFERROR(IF(INDEX([1]Pivot!$BF$1:$CG$65000,$B847,AQ$5)=1,1,IF(INDEX([1]Pivot!$B$1:$AB$65000,$B847,AQ$5)="",2,0)),0)</f>
        <v>0</v>
      </c>
      <c r="AR847" s="313">
        <f>IFERROR(IF(INDEX([1]Pivot!$BF$1:$CG$65000,$B847,AR$5)=1,1,IF(INDEX([1]Pivot!$B$1:$AB$65000,$B847,AR$5)="",2,0)),0)</f>
        <v>0</v>
      </c>
      <c r="AS847" s="312"/>
      <c r="AT847" s="313">
        <f>IFERROR(IF(INDEX([1]Pivot!$BF$1:$CG$65000,$B847,AT$5)=1,1,IF(INDEX([1]Pivot!$B$1:$AB$65000,$B847,AT$5)="",2,0)),0)</f>
        <v>0</v>
      </c>
      <c r="AU847" s="313">
        <f>IFERROR(IF(INDEX([1]Pivot!$BF$1:$CG$65000,$B847,AU$5)=1,1,IF(INDEX([1]Pivot!$B$1:$AB$65000,$B847,AU$5)="",2,0)),0)</f>
        <v>0</v>
      </c>
      <c r="AV847" s="313">
        <f>IFERROR(IF(INDEX([1]Pivot!$BF$1:$CG$65000,$B847,AV$5)=1,1,IF(INDEX([1]Pivot!$B$1:$AB$65000,$B847,AV$5)="",2,0)),0)</f>
        <v>0</v>
      </c>
      <c r="AW847" s="313">
        <f>IFERROR(IF(INDEX([1]Pivot!$BF$1:$CG$65000,$B847,AW$5)=1,1,IF(INDEX([1]Pivot!$B$1:$AB$65000,$B847,AW$5)="",2,0)),0)</f>
        <v>0</v>
      </c>
      <c r="AX847" s="313">
        <f>IFERROR(IF(INDEX([1]Pivot!$BF$1:$CG$65000,$B847,AX$5)=1,1,IF(INDEX([1]Pivot!$B$1:$AB$65000,$B847,AX$5)="",2,0)),0)</f>
        <v>0</v>
      </c>
      <c r="AY847" s="313">
        <f>IFERROR(IF(INDEX([1]Pivot!$BF$1:$CG$65000,$B847,AY$5)=1,1,IF(INDEX([1]Pivot!$B$1:$AB$65000,$B847,AY$5)="",2,0)),0)</f>
        <v>0</v>
      </c>
      <c r="AZ847" s="313">
        <f>IFERROR(IF(INDEX([1]Pivot!$BF$1:$CG$65000,$B847,AZ$5)=1,1,IF(INDEX([1]Pivot!$B$1:$AB$65000,$B847,AZ$5)="",2,0)),0)</f>
        <v>0</v>
      </c>
      <c r="BA847" s="313">
        <f>IFERROR(IF(INDEX([1]Pivot!$BF$1:$CG$65000,$B847,BA$5)=1,1,IF(INDEX([1]Pivot!$B$1:$AB$65000,$B847,BA$5)="",2,0)),0)</f>
        <v>0</v>
      </c>
      <c r="BB847" s="313">
        <f>IFERROR(IF(INDEX([1]Pivot!$BF$1:$CG$65000,$B847,BB$5)=1,1,IF(INDEX([1]Pivot!$B$1:$AB$65000,$B847,BB$5)="",2,0)),0)</f>
        <v>0</v>
      </c>
      <c r="BC847" s="313">
        <f>IFERROR(IF(INDEX([1]Pivot!$BF$1:$CG$65000,$B847,BC$5)=1,1,IF(INDEX([1]Pivot!$B$1:$AB$65000,$B847,BC$5)="",2,0)),0)</f>
        <v>0</v>
      </c>
      <c r="BD847" s="313">
        <f>IFERROR(IF(INDEX([1]Pivot!$BF$1:$CG$65000,$B847,BD$5)=1,1,IF(INDEX([1]Pivot!$B$1:$AB$65000,$B847,BD$5)="",2,0)),0)</f>
        <v>0</v>
      </c>
    </row>
    <row r="848" spans="1:56" x14ac:dyDescent="0.25">
      <c r="A848" s="288">
        <f>'[2]Raw Milk Prices'!A848</f>
        <v>0</v>
      </c>
      <c r="B848" s="296" t="e">
        <f>MATCH(DATE(LEFT('[2]Raw Milk Prices'!$A848,4),RIGHT('[2]Raw Milk Prices'!$A848,2),1),[1]Pivot!$A$1:$A$65000,0)</f>
        <v>#VALUE!</v>
      </c>
      <c r="C848" s="194">
        <f>IFERROR(IF(INDEX([1]Pivot!$AD$1:$BE$65000,$B848,C$5)=1,1,IF(INDEX([1]Pivot!$B$1:$AB$65000,$B848,C$5)="",2,0)),0)</f>
        <v>0</v>
      </c>
      <c r="D848" s="194">
        <f>IFERROR(IF(INDEX([1]Pivot!$AD$1:$BE$65000,$B848,D$5)=1,1,IF(INDEX([1]Pivot!$B$1:$AB$65000,$B848,D$5)="",2,0)),0)</f>
        <v>0</v>
      </c>
      <c r="E848" s="194">
        <f>IFERROR(IF(INDEX([1]Pivot!$AD$1:$BE$65000,$B848,E$5)=1,1,IF(INDEX([1]Pivot!$B$1:$AB$65000,$B848,E$5)="",2,0)),0)</f>
        <v>0</v>
      </c>
      <c r="F848" s="194">
        <f>IFERROR(IF(INDEX([1]Pivot!$AD$1:$BE$65000,$B848,F$5)=1,1,IF(INDEX([1]Pivot!$B$1:$AB$65000,$B848,F$5)="",2,0)),0)</f>
        <v>0</v>
      </c>
      <c r="G848" s="194">
        <f>IFERROR(IF(INDEX([1]Pivot!$AD$1:$BE$65000,$B848,G$5)=1,1,IF(INDEX([1]Pivot!$B$1:$AB$65000,$B848,G$5)="",2,0)),0)</f>
        <v>0</v>
      </c>
      <c r="H848" s="194">
        <f>IFERROR(IF(INDEX([1]Pivot!$AD$1:$BE$65000,$B848,H$5)=1,1,IF(INDEX([1]Pivot!$B$1:$AB$65000,$B848,H$5)="",2,0)),0)</f>
        <v>0</v>
      </c>
      <c r="I848" s="194">
        <f>IFERROR(IF(INDEX([1]Pivot!$AD$1:$BE$65000,$B848,I$5)=1,1,IF(INDEX([1]Pivot!$B$1:$AB$65000,$B848,I$5)="",2,0)),0)</f>
        <v>0</v>
      </c>
      <c r="J848" s="194">
        <f>IFERROR(IF(INDEX([1]Pivot!$AD$1:$BE$65000,$B848,J$5)=1,1,IF(INDEX([1]Pivot!$B$1:$AB$65000,$B848,J$5)="",2,0)),0)</f>
        <v>0</v>
      </c>
      <c r="K848" s="194">
        <f>IFERROR(IF(INDEX([1]Pivot!$AD$1:$BE$65000,$B848,K$5)=1,1,IF(INDEX([1]Pivot!$B$1:$AB$65000,$B848,K$5)="",2,0)),0)</f>
        <v>0</v>
      </c>
      <c r="L848" s="194">
        <f>IFERROR(IF(INDEX([1]Pivot!$AD$1:$BE$65000,$B848,L$5)=1,1,IF(INDEX([1]Pivot!$B$1:$AB$65000,$B848,L$5)="",2,0)),0)</f>
        <v>0</v>
      </c>
      <c r="M848" s="194">
        <f>IFERROR(IF(INDEX([1]Pivot!$AD$1:$BE$65000,$B848,M$5)=1,1,IF(INDEX([1]Pivot!$B$1:$AB$65000,$B848,M$5)="",2,0)),0)</f>
        <v>0</v>
      </c>
      <c r="N848" s="194">
        <f>IFERROR(IF(INDEX([1]Pivot!$AD$1:$BE$65000,$B848,N$5)=1,1,IF(INDEX([1]Pivot!$B$1:$AB$65000,$B848,N$5)="",2,0)),0)</f>
        <v>0</v>
      </c>
      <c r="O848" s="194">
        <f>IFERROR(IF(INDEX([1]Pivot!$AD$1:$BE$65000,$B848,O$5)=1,1,IF(INDEX([1]Pivot!$B$1:$AB$65000,$B848,O$5)="",2,0)),0)</f>
        <v>0</v>
      </c>
      <c r="P848" s="194">
        <f>IFERROR(IF(INDEX([1]Pivot!$AD$1:$BE$65000,$B848,P$5)=1,1,IF(INDEX([1]Pivot!$B$1:$AB$65000,$B848,P$5)="",2,0)),0)</f>
        <v>0</v>
      </c>
      <c r="Q848" s="194">
        <f>IFERROR(IF(INDEX([1]Pivot!$AD$1:$BE$65000,$B848,Q$5)=1,1,IF(INDEX([1]Pivot!$B$1:$AB$65000,$B848,Q$5)="",2,0)),0)</f>
        <v>0</v>
      </c>
      <c r="R848" s="312"/>
      <c r="S848" s="194">
        <f>IFERROR(IF(INDEX([1]Pivot!$AD$1:$BE$65000,$B848,S$5)=1,1,IF(INDEX([1]Pivot!$B$1:$AB$65000,$B848,S$5)="",2,0)),0)</f>
        <v>0</v>
      </c>
      <c r="T848" s="194">
        <f>IFERROR(IF(INDEX([1]Pivot!$AD$1:$BE$65000,$B848,T$5)=1,1,IF(INDEX([1]Pivot!$B$1:$AB$65000,$B848,T$5)="",2,0)),0)</f>
        <v>0</v>
      </c>
      <c r="U848" s="194">
        <f>IFERROR(IF(INDEX([1]Pivot!$AD$1:$BE$65000,$B848,U$5)=1,1,IF(INDEX([1]Pivot!$B$1:$AB$65000,$B848,U$5)="",2,0)),0)</f>
        <v>0</v>
      </c>
      <c r="V848" s="194">
        <f>IFERROR(IF(INDEX([1]Pivot!$AD$1:$BE$65000,$B848,V$5)=1,1,IF(INDEX([1]Pivot!$B$1:$AB$65000,$B848,V$5)="",2,0)),0)</f>
        <v>0</v>
      </c>
      <c r="W848" s="194">
        <f>IFERROR(IF(INDEX([1]Pivot!$AD$1:$BE$65000,$B848,W$5)=1,1,IF(INDEX([1]Pivot!$B$1:$AB$65000,$B848,W$5)="",2,0)),0)</f>
        <v>0</v>
      </c>
      <c r="X848" s="194">
        <f>IFERROR(IF(INDEX([1]Pivot!$AD$1:$BE$65000,$B848,X$5)=1,1,IF(INDEX([1]Pivot!$B$1:$AB$65000,$B848,X$5)="",2,0)),0)</f>
        <v>0</v>
      </c>
      <c r="Y848" s="194">
        <f>IFERROR(IF(INDEX([1]Pivot!$AD$1:$BE$65000,$B848,Y$5)=1,1,IF(INDEX([1]Pivot!$B$1:$AB$65000,$B848,Y$5)="",2,0)),0)</f>
        <v>0</v>
      </c>
      <c r="Z848" s="194">
        <f>IFERROR(IF(INDEX([1]Pivot!$AD$1:$BE$65000,$B848,Z$5)=1,1,IF(INDEX([1]Pivot!$B$1:$AB$65000,$B848,Z$5)="",2,0)),0)</f>
        <v>0</v>
      </c>
      <c r="AA848" s="194">
        <f>IFERROR(IF(INDEX([1]Pivot!$AD$1:$BE$65000,$B848,AA$5)=1,1,IF(INDEX([1]Pivot!$B$1:$AB$65000,$B848,AA$5)="",2,0)),0)</f>
        <v>0</v>
      </c>
      <c r="AB848" s="194">
        <f>IFERROR(IF(INDEX([1]Pivot!$AD$1:$BE$65000,$B848,AB$5)=1,1,IF(INDEX([1]Pivot!$B$1:$AB$65000,$B848,AB$5)="",2,0)),0)</f>
        <v>0</v>
      </c>
      <c r="AC848" s="194">
        <f>IFERROR(IF(INDEX([1]Pivot!$AD$1:$BE$65000,$B848,AC$5)=1,1,IF(INDEX([1]Pivot!$B$1:$AB$65000,$B848,AC$5)="",2,0)),0)</f>
        <v>0</v>
      </c>
      <c r="AD848" s="313">
        <f>IFERROR(IF(INDEX([1]Pivot!$BF$1:$CG$65000,$B848,AD$5)=1,1,IF(INDEX([1]Pivot!$B$1:$AB$65000,$B848,AD$5)="",2,0)),0)</f>
        <v>0</v>
      </c>
      <c r="AE848" s="313">
        <f>IFERROR(IF(INDEX([1]Pivot!$BF$1:$CG$65000,$B848,AE$5)=1,1,IF(INDEX([1]Pivot!$B$1:$AB$65000,$B848,AE$5)="",2,0)),0)</f>
        <v>0</v>
      </c>
      <c r="AF848" s="313">
        <f>IFERROR(IF(INDEX([1]Pivot!$BF$1:$CG$65000,$B848,AF$5)=1,1,IF(INDEX([1]Pivot!$B$1:$AB$65000,$B848,AF$5)="",2,0)),0)</f>
        <v>0</v>
      </c>
      <c r="AG848" s="313">
        <f>IFERROR(IF(INDEX([1]Pivot!$BF$1:$CG$65000,$B848,AG$5)=1,1,IF(INDEX([1]Pivot!$B$1:$AB$65000,$B848,AG$5)="",2,0)),0)</f>
        <v>0</v>
      </c>
      <c r="AH848" s="313">
        <f>IFERROR(IF(INDEX([1]Pivot!$BF$1:$CG$65000,$B848,AH$5)=1,1,IF(INDEX([1]Pivot!$B$1:$AB$65000,$B848,AH$5)="",2,0)),0)</f>
        <v>0</v>
      </c>
      <c r="AI848" s="313">
        <f>IFERROR(IF(INDEX([1]Pivot!$BF$1:$CG$65000,$B848,AI$5)=1,1,IF(INDEX([1]Pivot!$B$1:$AB$65000,$B848,AI$5)="",2,0)),0)</f>
        <v>0</v>
      </c>
      <c r="AJ848" s="313">
        <f>IFERROR(IF(INDEX([1]Pivot!$BF$1:$CG$65000,$B848,AJ$5)=1,1,IF(INDEX([1]Pivot!$B$1:$AB$65000,$B848,AJ$5)="",2,0)),0)</f>
        <v>0</v>
      </c>
      <c r="AK848" s="313">
        <f>IFERROR(IF(INDEX([1]Pivot!$BF$1:$CG$65000,$B848,AK$5)=1,1,IF(INDEX([1]Pivot!$B$1:$AB$65000,$B848,AK$5)="",2,0)),0)</f>
        <v>0</v>
      </c>
      <c r="AL848" s="313">
        <f>IFERROR(IF(INDEX([1]Pivot!$BF$1:$CG$65000,$B848,AL$5)=1,1,IF(INDEX([1]Pivot!$B$1:$AB$65000,$B848,AL$5)="",2,0)),0)</f>
        <v>0</v>
      </c>
      <c r="AM848" s="313">
        <f>IFERROR(IF(INDEX([1]Pivot!$BF$1:$CG$65000,$B848,AM$5)=1,1,IF(INDEX([1]Pivot!$B$1:$AB$65000,$B848,AM$5)="",2,0)),0)</f>
        <v>0</v>
      </c>
      <c r="AN848" s="313">
        <f>IFERROR(IF(INDEX([1]Pivot!$BF$1:$CG$65000,$B848,AN$5)=1,1,IF(INDEX([1]Pivot!$B$1:$AB$65000,$B848,AN$5)="",2,0)),0)</f>
        <v>0</v>
      </c>
      <c r="AO848" s="313">
        <f>IFERROR(IF(INDEX([1]Pivot!$BF$1:$CG$65000,$B848,AO$5)=1,1,IF(INDEX([1]Pivot!$B$1:$AB$65000,$B848,AO$5)="",2,0)),0)</f>
        <v>0</v>
      </c>
      <c r="AP848" s="313">
        <f>IFERROR(IF(INDEX([1]Pivot!$BF$1:$CG$65000,$B848,AP$5)=1,1,IF(INDEX([1]Pivot!$B$1:$AB$65000,$B848,AP$5)="",2,0)),0)</f>
        <v>0</v>
      </c>
      <c r="AQ848" s="313">
        <f>IFERROR(IF(INDEX([1]Pivot!$BF$1:$CG$65000,$B848,AQ$5)=1,1,IF(INDEX([1]Pivot!$B$1:$AB$65000,$B848,AQ$5)="",2,0)),0)</f>
        <v>0</v>
      </c>
      <c r="AR848" s="313">
        <f>IFERROR(IF(INDEX([1]Pivot!$BF$1:$CG$65000,$B848,AR$5)=1,1,IF(INDEX([1]Pivot!$B$1:$AB$65000,$B848,AR$5)="",2,0)),0)</f>
        <v>0</v>
      </c>
      <c r="AS848" s="312"/>
      <c r="AT848" s="313">
        <f>IFERROR(IF(INDEX([1]Pivot!$BF$1:$CG$65000,$B848,AT$5)=1,1,IF(INDEX([1]Pivot!$B$1:$AB$65000,$B848,AT$5)="",2,0)),0)</f>
        <v>0</v>
      </c>
      <c r="AU848" s="313">
        <f>IFERROR(IF(INDEX([1]Pivot!$BF$1:$CG$65000,$B848,AU$5)=1,1,IF(INDEX([1]Pivot!$B$1:$AB$65000,$B848,AU$5)="",2,0)),0)</f>
        <v>0</v>
      </c>
      <c r="AV848" s="313">
        <f>IFERROR(IF(INDEX([1]Pivot!$BF$1:$CG$65000,$B848,AV$5)=1,1,IF(INDEX([1]Pivot!$B$1:$AB$65000,$B848,AV$5)="",2,0)),0)</f>
        <v>0</v>
      </c>
      <c r="AW848" s="313">
        <f>IFERROR(IF(INDEX([1]Pivot!$BF$1:$CG$65000,$B848,AW$5)=1,1,IF(INDEX([1]Pivot!$B$1:$AB$65000,$B848,AW$5)="",2,0)),0)</f>
        <v>0</v>
      </c>
      <c r="AX848" s="313">
        <f>IFERROR(IF(INDEX([1]Pivot!$BF$1:$CG$65000,$B848,AX$5)=1,1,IF(INDEX([1]Pivot!$B$1:$AB$65000,$B848,AX$5)="",2,0)),0)</f>
        <v>0</v>
      </c>
      <c r="AY848" s="313">
        <f>IFERROR(IF(INDEX([1]Pivot!$BF$1:$CG$65000,$B848,AY$5)=1,1,IF(INDEX([1]Pivot!$B$1:$AB$65000,$B848,AY$5)="",2,0)),0)</f>
        <v>0</v>
      </c>
      <c r="AZ848" s="313">
        <f>IFERROR(IF(INDEX([1]Pivot!$BF$1:$CG$65000,$B848,AZ$5)=1,1,IF(INDEX([1]Pivot!$B$1:$AB$65000,$B848,AZ$5)="",2,0)),0)</f>
        <v>0</v>
      </c>
      <c r="BA848" s="313">
        <f>IFERROR(IF(INDEX([1]Pivot!$BF$1:$CG$65000,$B848,BA$5)=1,1,IF(INDEX([1]Pivot!$B$1:$AB$65000,$B848,BA$5)="",2,0)),0)</f>
        <v>0</v>
      </c>
      <c r="BB848" s="313">
        <f>IFERROR(IF(INDEX([1]Pivot!$BF$1:$CG$65000,$B848,BB$5)=1,1,IF(INDEX([1]Pivot!$B$1:$AB$65000,$B848,BB$5)="",2,0)),0)</f>
        <v>0</v>
      </c>
      <c r="BC848" s="313">
        <f>IFERROR(IF(INDEX([1]Pivot!$BF$1:$CG$65000,$B848,BC$5)=1,1,IF(INDEX([1]Pivot!$B$1:$AB$65000,$B848,BC$5)="",2,0)),0)</f>
        <v>0</v>
      </c>
      <c r="BD848" s="313">
        <f>IFERROR(IF(INDEX([1]Pivot!$BF$1:$CG$65000,$B848,BD$5)=1,1,IF(INDEX([1]Pivot!$B$1:$AB$65000,$B848,BD$5)="",2,0)),0)</f>
        <v>0</v>
      </c>
    </row>
    <row r="849" spans="1:56" x14ac:dyDescent="0.25">
      <c r="A849" s="288">
        <f>'[2]Raw Milk Prices'!A849</f>
        <v>0</v>
      </c>
      <c r="B849" s="296" t="e">
        <f>MATCH(DATE(LEFT('[2]Raw Milk Prices'!$A849,4),RIGHT('[2]Raw Milk Prices'!$A849,2),1),[1]Pivot!$A$1:$A$65000,0)</f>
        <v>#VALUE!</v>
      </c>
      <c r="C849" s="194">
        <f>IFERROR(IF(INDEX([1]Pivot!$AD$1:$BE$65000,$B849,C$5)=1,1,IF(INDEX([1]Pivot!$B$1:$AB$65000,$B849,C$5)="",2,0)),0)</f>
        <v>0</v>
      </c>
      <c r="D849" s="194">
        <f>IFERROR(IF(INDEX([1]Pivot!$AD$1:$BE$65000,$B849,D$5)=1,1,IF(INDEX([1]Pivot!$B$1:$AB$65000,$B849,D$5)="",2,0)),0)</f>
        <v>0</v>
      </c>
      <c r="E849" s="194">
        <f>IFERROR(IF(INDEX([1]Pivot!$AD$1:$BE$65000,$B849,E$5)=1,1,IF(INDEX([1]Pivot!$B$1:$AB$65000,$B849,E$5)="",2,0)),0)</f>
        <v>0</v>
      </c>
      <c r="F849" s="194">
        <f>IFERROR(IF(INDEX([1]Pivot!$AD$1:$BE$65000,$B849,F$5)=1,1,IF(INDEX([1]Pivot!$B$1:$AB$65000,$B849,F$5)="",2,0)),0)</f>
        <v>0</v>
      </c>
      <c r="G849" s="194">
        <f>IFERROR(IF(INDEX([1]Pivot!$AD$1:$BE$65000,$B849,G$5)=1,1,IF(INDEX([1]Pivot!$B$1:$AB$65000,$B849,G$5)="",2,0)),0)</f>
        <v>0</v>
      </c>
      <c r="H849" s="194">
        <f>IFERROR(IF(INDEX([1]Pivot!$AD$1:$BE$65000,$B849,H$5)=1,1,IF(INDEX([1]Pivot!$B$1:$AB$65000,$B849,H$5)="",2,0)),0)</f>
        <v>0</v>
      </c>
      <c r="I849" s="194">
        <f>IFERROR(IF(INDEX([1]Pivot!$AD$1:$BE$65000,$B849,I$5)=1,1,IF(INDEX([1]Pivot!$B$1:$AB$65000,$B849,I$5)="",2,0)),0)</f>
        <v>0</v>
      </c>
      <c r="J849" s="194">
        <f>IFERROR(IF(INDEX([1]Pivot!$AD$1:$BE$65000,$B849,J$5)=1,1,IF(INDEX([1]Pivot!$B$1:$AB$65000,$B849,J$5)="",2,0)),0)</f>
        <v>0</v>
      </c>
      <c r="K849" s="194">
        <f>IFERROR(IF(INDEX([1]Pivot!$AD$1:$BE$65000,$B849,K$5)=1,1,IF(INDEX([1]Pivot!$B$1:$AB$65000,$B849,K$5)="",2,0)),0)</f>
        <v>0</v>
      </c>
      <c r="L849" s="194">
        <f>IFERROR(IF(INDEX([1]Pivot!$AD$1:$BE$65000,$B849,L$5)=1,1,IF(INDEX([1]Pivot!$B$1:$AB$65000,$B849,L$5)="",2,0)),0)</f>
        <v>0</v>
      </c>
      <c r="M849" s="194">
        <f>IFERROR(IF(INDEX([1]Pivot!$AD$1:$BE$65000,$B849,M$5)=1,1,IF(INDEX([1]Pivot!$B$1:$AB$65000,$B849,M$5)="",2,0)),0)</f>
        <v>0</v>
      </c>
      <c r="N849" s="194">
        <f>IFERROR(IF(INDEX([1]Pivot!$AD$1:$BE$65000,$B849,N$5)=1,1,IF(INDEX([1]Pivot!$B$1:$AB$65000,$B849,N$5)="",2,0)),0)</f>
        <v>0</v>
      </c>
      <c r="O849" s="194">
        <f>IFERROR(IF(INDEX([1]Pivot!$AD$1:$BE$65000,$B849,O$5)=1,1,IF(INDEX([1]Pivot!$B$1:$AB$65000,$B849,O$5)="",2,0)),0)</f>
        <v>0</v>
      </c>
      <c r="P849" s="194">
        <f>IFERROR(IF(INDEX([1]Pivot!$AD$1:$BE$65000,$B849,P$5)=1,1,IF(INDEX([1]Pivot!$B$1:$AB$65000,$B849,P$5)="",2,0)),0)</f>
        <v>0</v>
      </c>
      <c r="Q849" s="194">
        <f>IFERROR(IF(INDEX([1]Pivot!$AD$1:$BE$65000,$B849,Q$5)=1,1,IF(INDEX([1]Pivot!$B$1:$AB$65000,$B849,Q$5)="",2,0)),0)</f>
        <v>0</v>
      </c>
      <c r="R849" s="312"/>
      <c r="S849" s="194">
        <f>IFERROR(IF(INDEX([1]Pivot!$AD$1:$BE$65000,$B849,S$5)=1,1,IF(INDEX([1]Pivot!$B$1:$AB$65000,$B849,S$5)="",2,0)),0)</f>
        <v>0</v>
      </c>
      <c r="T849" s="194">
        <f>IFERROR(IF(INDEX([1]Pivot!$AD$1:$BE$65000,$B849,T$5)=1,1,IF(INDEX([1]Pivot!$B$1:$AB$65000,$B849,T$5)="",2,0)),0)</f>
        <v>0</v>
      </c>
      <c r="U849" s="194">
        <f>IFERROR(IF(INDEX([1]Pivot!$AD$1:$BE$65000,$B849,U$5)=1,1,IF(INDEX([1]Pivot!$B$1:$AB$65000,$B849,U$5)="",2,0)),0)</f>
        <v>0</v>
      </c>
      <c r="V849" s="194">
        <f>IFERROR(IF(INDEX([1]Pivot!$AD$1:$BE$65000,$B849,V$5)=1,1,IF(INDEX([1]Pivot!$B$1:$AB$65000,$B849,V$5)="",2,0)),0)</f>
        <v>0</v>
      </c>
      <c r="W849" s="194">
        <f>IFERROR(IF(INDEX([1]Pivot!$AD$1:$BE$65000,$B849,W$5)=1,1,IF(INDEX([1]Pivot!$B$1:$AB$65000,$B849,W$5)="",2,0)),0)</f>
        <v>0</v>
      </c>
      <c r="X849" s="194">
        <f>IFERROR(IF(INDEX([1]Pivot!$AD$1:$BE$65000,$B849,X$5)=1,1,IF(INDEX([1]Pivot!$B$1:$AB$65000,$B849,X$5)="",2,0)),0)</f>
        <v>0</v>
      </c>
      <c r="Y849" s="194">
        <f>IFERROR(IF(INDEX([1]Pivot!$AD$1:$BE$65000,$B849,Y$5)=1,1,IF(INDEX([1]Pivot!$B$1:$AB$65000,$B849,Y$5)="",2,0)),0)</f>
        <v>0</v>
      </c>
      <c r="Z849" s="194">
        <f>IFERROR(IF(INDEX([1]Pivot!$AD$1:$BE$65000,$B849,Z$5)=1,1,IF(INDEX([1]Pivot!$B$1:$AB$65000,$B849,Z$5)="",2,0)),0)</f>
        <v>0</v>
      </c>
      <c r="AA849" s="194">
        <f>IFERROR(IF(INDEX([1]Pivot!$AD$1:$BE$65000,$B849,AA$5)=1,1,IF(INDEX([1]Pivot!$B$1:$AB$65000,$B849,AA$5)="",2,0)),0)</f>
        <v>0</v>
      </c>
      <c r="AB849" s="194">
        <f>IFERROR(IF(INDEX([1]Pivot!$AD$1:$BE$65000,$B849,AB$5)=1,1,IF(INDEX([1]Pivot!$B$1:$AB$65000,$B849,AB$5)="",2,0)),0)</f>
        <v>0</v>
      </c>
      <c r="AC849" s="194">
        <f>IFERROR(IF(INDEX([1]Pivot!$AD$1:$BE$65000,$B849,AC$5)=1,1,IF(INDEX([1]Pivot!$B$1:$AB$65000,$B849,AC$5)="",2,0)),0)</f>
        <v>0</v>
      </c>
      <c r="AD849" s="313">
        <f>IFERROR(IF(INDEX([1]Pivot!$BF$1:$CG$65000,$B849,AD$5)=1,1,IF(INDEX([1]Pivot!$B$1:$AB$65000,$B849,AD$5)="",2,0)),0)</f>
        <v>0</v>
      </c>
      <c r="AE849" s="313">
        <f>IFERROR(IF(INDEX([1]Pivot!$BF$1:$CG$65000,$B849,AE$5)=1,1,IF(INDEX([1]Pivot!$B$1:$AB$65000,$B849,AE$5)="",2,0)),0)</f>
        <v>0</v>
      </c>
      <c r="AF849" s="313">
        <f>IFERROR(IF(INDEX([1]Pivot!$BF$1:$CG$65000,$B849,AF$5)=1,1,IF(INDEX([1]Pivot!$B$1:$AB$65000,$B849,AF$5)="",2,0)),0)</f>
        <v>0</v>
      </c>
      <c r="AG849" s="313">
        <f>IFERROR(IF(INDEX([1]Pivot!$BF$1:$CG$65000,$B849,AG$5)=1,1,IF(INDEX([1]Pivot!$B$1:$AB$65000,$B849,AG$5)="",2,0)),0)</f>
        <v>0</v>
      </c>
      <c r="AH849" s="313">
        <f>IFERROR(IF(INDEX([1]Pivot!$BF$1:$CG$65000,$B849,AH$5)=1,1,IF(INDEX([1]Pivot!$B$1:$AB$65000,$B849,AH$5)="",2,0)),0)</f>
        <v>0</v>
      </c>
      <c r="AI849" s="313">
        <f>IFERROR(IF(INDEX([1]Pivot!$BF$1:$CG$65000,$B849,AI$5)=1,1,IF(INDEX([1]Pivot!$B$1:$AB$65000,$B849,AI$5)="",2,0)),0)</f>
        <v>0</v>
      </c>
      <c r="AJ849" s="313">
        <f>IFERROR(IF(INDEX([1]Pivot!$BF$1:$CG$65000,$B849,AJ$5)=1,1,IF(INDEX([1]Pivot!$B$1:$AB$65000,$B849,AJ$5)="",2,0)),0)</f>
        <v>0</v>
      </c>
      <c r="AK849" s="313">
        <f>IFERROR(IF(INDEX([1]Pivot!$BF$1:$CG$65000,$B849,AK$5)=1,1,IF(INDEX([1]Pivot!$B$1:$AB$65000,$B849,AK$5)="",2,0)),0)</f>
        <v>0</v>
      </c>
      <c r="AL849" s="313">
        <f>IFERROR(IF(INDEX([1]Pivot!$BF$1:$CG$65000,$B849,AL$5)=1,1,IF(INDEX([1]Pivot!$B$1:$AB$65000,$B849,AL$5)="",2,0)),0)</f>
        <v>0</v>
      </c>
      <c r="AM849" s="313">
        <f>IFERROR(IF(INDEX([1]Pivot!$BF$1:$CG$65000,$B849,AM$5)=1,1,IF(INDEX([1]Pivot!$B$1:$AB$65000,$B849,AM$5)="",2,0)),0)</f>
        <v>0</v>
      </c>
      <c r="AN849" s="313">
        <f>IFERROR(IF(INDEX([1]Pivot!$BF$1:$CG$65000,$B849,AN$5)=1,1,IF(INDEX([1]Pivot!$B$1:$AB$65000,$B849,AN$5)="",2,0)),0)</f>
        <v>0</v>
      </c>
      <c r="AO849" s="313">
        <f>IFERROR(IF(INDEX([1]Pivot!$BF$1:$CG$65000,$B849,AO$5)=1,1,IF(INDEX([1]Pivot!$B$1:$AB$65000,$B849,AO$5)="",2,0)),0)</f>
        <v>0</v>
      </c>
      <c r="AP849" s="313">
        <f>IFERROR(IF(INDEX([1]Pivot!$BF$1:$CG$65000,$B849,AP$5)=1,1,IF(INDEX([1]Pivot!$B$1:$AB$65000,$B849,AP$5)="",2,0)),0)</f>
        <v>0</v>
      </c>
      <c r="AQ849" s="313">
        <f>IFERROR(IF(INDEX([1]Pivot!$BF$1:$CG$65000,$B849,AQ$5)=1,1,IF(INDEX([1]Pivot!$B$1:$AB$65000,$B849,AQ$5)="",2,0)),0)</f>
        <v>0</v>
      </c>
      <c r="AR849" s="313">
        <f>IFERROR(IF(INDEX([1]Pivot!$BF$1:$CG$65000,$B849,AR$5)=1,1,IF(INDEX([1]Pivot!$B$1:$AB$65000,$B849,AR$5)="",2,0)),0)</f>
        <v>0</v>
      </c>
      <c r="AS849" s="312"/>
      <c r="AT849" s="313">
        <f>IFERROR(IF(INDEX([1]Pivot!$BF$1:$CG$65000,$B849,AT$5)=1,1,IF(INDEX([1]Pivot!$B$1:$AB$65000,$B849,AT$5)="",2,0)),0)</f>
        <v>0</v>
      </c>
      <c r="AU849" s="313">
        <f>IFERROR(IF(INDEX([1]Pivot!$BF$1:$CG$65000,$B849,AU$5)=1,1,IF(INDEX([1]Pivot!$B$1:$AB$65000,$B849,AU$5)="",2,0)),0)</f>
        <v>0</v>
      </c>
      <c r="AV849" s="313">
        <f>IFERROR(IF(INDEX([1]Pivot!$BF$1:$CG$65000,$B849,AV$5)=1,1,IF(INDEX([1]Pivot!$B$1:$AB$65000,$B849,AV$5)="",2,0)),0)</f>
        <v>0</v>
      </c>
      <c r="AW849" s="313">
        <f>IFERROR(IF(INDEX([1]Pivot!$BF$1:$CG$65000,$B849,AW$5)=1,1,IF(INDEX([1]Pivot!$B$1:$AB$65000,$B849,AW$5)="",2,0)),0)</f>
        <v>0</v>
      </c>
      <c r="AX849" s="313">
        <f>IFERROR(IF(INDEX([1]Pivot!$BF$1:$CG$65000,$B849,AX$5)=1,1,IF(INDEX([1]Pivot!$B$1:$AB$65000,$B849,AX$5)="",2,0)),0)</f>
        <v>0</v>
      </c>
      <c r="AY849" s="313">
        <f>IFERROR(IF(INDEX([1]Pivot!$BF$1:$CG$65000,$B849,AY$5)=1,1,IF(INDEX([1]Pivot!$B$1:$AB$65000,$B849,AY$5)="",2,0)),0)</f>
        <v>0</v>
      </c>
      <c r="AZ849" s="313">
        <f>IFERROR(IF(INDEX([1]Pivot!$BF$1:$CG$65000,$B849,AZ$5)=1,1,IF(INDEX([1]Pivot!$B$1:$AB$65000,$B849,AZ$5)="",2,0)),0)</f>
        <v>0</v>
      </c>
      <c r="BA849" s="313">
        <f>IFERROR(IF(INDEX([1]Pivot!$BF$1:$CG$65000,$B849,BA$5)=1,1,IF(INDEX([1]Pivot!$B$1:$AB$65000,$B849,BA$5)="",2,0)),0)</f>
        <v>0</v>
      </c>
      <c r="BB849" s="313">
        <f>IFERROR(IF(INDEX([1]Pivot!$BF$1:$CG$65000,$B849,BB$5)=1,1,IF(INDEX([1]Pivot!$B$1:$AB$65000,$B849,BB$5)="",2,0)),0)</f>
        <v>0</v>
      </c>
      <c r="BC849" s="313">
        <f>IFERROR(IF(INDEX([1]Pivot!$BF$1:$CG$65000,$B849,BC$5)=1,1,IF(INDEX([1]Pivot!$B$1:$AB$65000,$B849,BC$5)="",2,0)),0)</f>
        <v>0</v>
      </c>
      <c r="BD849" s="313">
        <f>IFERROR(IF(INDEX([1]Pivot!$BF$1:$CG$65000,$B849,BD$5)=1,1,IF(INDEX([1]Pivot!$B$1:$AB$65000,$B849,BD$5)="",2,0)),0)</f>
        <v>0</v>
      </c>
    </row>
    <row r="850" spans="1:56" x14ac:dyDescent="0.25">
      <c r="A850" s="288">
        <f>'[2]Raw Milk Prices'!A850</f>
        <v>0</v>
      </c>
      <c r="B850" s="296" t="e">
        <f>MATCH(DATE(LEFT('[2]Raw Milk Prices'!$A850,4),RIGHT('[2]Raw Milk Prices'!$A850,2),1),[1]Pivot!$A$1:$A$65000,0)</f>
        <v>#VALUE!</v>
      </c>
      <c r="C850" s="194">
        <f>IFERROR(IF(INDEX([1]Pivot!$AD$1:$BE$65000,$B850,C$5)=1,1,IF(INDEX([1]Pivot!$B$1:$AB$65000,$B850,C$5)="",2,0)),0)</f>
        <v>0</v>
      </c>
      <c r="D850" s="194">
        <f>IFERROR(IF(INDEX([1]Pivot!$AD$1:$BE$65000,$B850,D$5)=1,1,IF(INDEX([1]Pivot!$B$1:$AB$65000,$B850,D$5)="",2,0)),0)</f>
        <v>0</v>
      </c>
      <c r="E850" s="194">
        <f>IFERROR(IF(INDEX([1]Pivot!$AD$1:$BE$65000,$B850,E$5)=1,1,IF(INDEX([1]Pivot!$B$1:$AB$65000,$B850,E$5)="",2,0)),0)</f>
        <v>0</v>
      </c>
      <c r="F850" s="194">
        <f>IFERROR(IF(INDEX([1]Pivot!$AD$1:$BE$65000,$B850,F$5)=1,1,IF(INDEX([1]Pivot!$B$1:$AB$65000,$B850,F$5)="",2,0)),0)</f>
        <v>0</v>
      </c>
      <c r="G850" s="194">
        <f>IFERROR(IF(INDEX([1]Pivot!$AD$1:$BE$65000,$B850,G$5)=1,1,IF(INDEX([1]Pivot!$B$1:$AB$65000,$B850,G$5)="",2,0)),0)</f>
        <v>0</v>
      </c>
      <c r="H850" s="194">
        <f>IFERROR(IF(INDEX([1]Pivot!$AD$1:$BE$65000,$B850,H$5)=1,1,IF(INDEX([1]Pivot!$B$1:$AB$65000,$B850,H$5)="",2,0)),0)</f>
        <v>0</v>
      </c>
      <c r="I850" s="194">
        <f>IFERROR(IF(INDEX([1]Pivot!$AD$1:$BE$65000,$B850,I$5)=1,1,IF(INDEX([1]Pivot!$B$1:$AB$65000,$B850,I$5)="",2,0)),0)</f>
        <v>0</v>
      </c>
      <c r="J850" s="194">
        <f>IFERROR(IF(INDEX([1]Pivot!$AD$1:$BE$65000,$B850,J$5)=1,1,IF(INDEX([1]Pivot!$B$1:$AB$65000,$B850,J$5)="",2,0)),0)</f>
        <v>0</v>
      </c>
      <c r="K850" s="194">
        <f>IFERROR(IF(INDEX([1]Pivot!$AD$1:$BE$65000,$B850,K$5)=1,1,IF(INDEX([1]Pivot!$B$1:$AB$65000,$B850,K$5)="",2,0)),0)</f>
        <v>0</v>
      </c>
      <c r="L850" s="194">
        <f>IFERROR(IF(INDEX([1]Pivot!$AD$1:$BE$65000,$B850,L$5)=1,1,IF(INDEX([1]Pivot!$B$1:$AB$65000,$B850,L$5)="",2,0)),0)</f>
        <v>0</v>
      </c>
      <c r="M850" s="194">
        <f>IFERROR(IF(INDEX([1]Pivot!$AD$1:$BE$65000,$B850,M$5)=1,1,IF(INDEX([1]Pivot!$B$1:$AB$65000,$B850,M$5)="",2,0)),0)</f>
        <v>0</v>
      </c>
      <c r="N850" s="194">
        <f>IFERROR(IF(INDEX([1]Pivot!$AD$1:$BE$65000,$B850,N$5)=1,1,IF(INDEX([1]Pivot!$B$1:$AB$65000,$B850,N$5)="",2,0)),0)</f>
        <v>0</v>
      </c>
      <c r="O850" s="194">
        <f>IFERROR(IF(INDEX([1]Pivot!$AD$1:$BE$65000,$B850,O$5)=1,1,IF(INDEX([1]Pivot!$B$1:$AB$65000,$B850,O$5)="",2,0)),0)</f>
        <v>0</v>
      </c>
      <c r="P850" s="194">
        <f>IFERROR(IF(INDEX([1]Pivot!$AD$1:$BE$65000,$B850,P$5)=1,1,IF(INDEX([1]Pivot!$B$1:$AB$65000,$B850,P$5)="",2,0)),0)</f>
        <v>0</v>
      </c>
      <c r="Q850" s="194">
        <f>IFERROR(IF(INDEX([1]Pivot!$AD$1:$BE$65000,$B850,Q$5)=1,1,IF(INDEX([1]Pivot!$B$1:$AB$65000,$B850,Q$5)="",2,0)),0)</f>
        <v>0</v>
      </c>
      <c r="R850" s="312"/>
      <c r="S850" s="194">
        <f>IFERROR(IF(INDEX([1]Pivot!$AD$1:$BE$65000,$B850,S$5)=1,1,IF(INDEX([1]Pivot!$B$1:$AB$65000,$B850,S$5)="",2,0)),0)</f>
        <v>0</v>
      </c>
      <c r="T850" s="194">
        <f>IFERROR(IF(INDEX([1]Pivot!$AD$1:$BE$65000,$B850,T$5)=1,1,IF(INDEX([1]Pivot!$B$1:$AB$65000,$B850,T$5)="",2,0)),0)</f>
        <v>0</v>
      </c>
      <c r="U850" s="194">
        <f>IFERROR(IF(INDEX([1]Pivot!$AD$1:$BE$65000,$B850,U$5)=1,1,IF(INDEX([1]Pivot!$B$1:$AB$65000,$B850,U$5)="",2,0)),0)</f>
        <v>0</v>
      </c>
      <c r="V850" s="194">
        <f>IFERROR(IF(INDEX([1]Pivot!$AD$1:$BE$65000,$B850,V$5)=1,1,IF(INDEX([1]Pivot!$B$1:$AB$65000,$B850,V$5)="",2,0)),0)</f>
        <v>0</v>
      </c>
      <c r="W850" s="194">
        <f>IFERROR(IF(INDEX([1]Pivot!$AD$1:$BE$65000,$B850,W$5)=1,1,IF(INDEX([1]Pivot!$B$1:$AB$65000,$B850,W$5)="",2,0)),0)</f>
        <v>0</v>
      </c>
      <c r="X850" s="194">
        <f>IFERROR(IF(INDEX([1]Pivot!$AD$1:$BE$65000,$B850,X$5)=1,1,IF(INDEX([1]Pivot!$B$1:$AB$65000,$B850,X$5)="",2,0)),0)</f>
        <v>0</v>
      </c>
      <c r="Y850" s="194">
        <f>IFERROR(IF(INDEX([1]Pivot!$AD$1:$BE$65000,$B850,Y$5)=1,1,IF(INDEX([1]Pivot!$B$1:$AB$65000,$B850,Y$5)="",2,0)),0)</f>
        <v>0</v>
      </c>
      <c r="Z850" s="194">
        <f>IFERROR(IF(INDEX([1]Pivot!$AD$1:$BE$65000,$B850,Z$5)=1,1,IF(INDEX([1]Pivot!$B$1:$AB$65000,$B850,Z$5)="",2,0)),0)</f>
        <v>0</v>
      </c>
      <c r="AA850" s="194">
        <f>IFERROR(IF(INDEX([1]Pivot!$AD$1:$BE$65000,$B850,AA$5)=1,1,IF(INDEX([1]Pivot!$B$1:$AB$65000,$B850,AA$5)="",2,0)),0)</f>
        <v>0</v>
      </c>
      <c r="AB850" s="194">
        <f>IFERROR(IF(INDEX([1]Pivot!$AD$1:$BE$65000,$B850,AB$5)=1,1,IF(INDEX([1]Pivot!$B$1:$AB$65000,$B850,AB$5)="",2,0)),0)</f>
        <v>0</v>
      </c>
      <c r="AC850" s="194">
        <f>IFERROR(IF(INDEX([1]Pivot!$AD$1:$BE$65000,$B850,AC$5)=1,1,IF(INDEX([1]Pivot!$B$1:$AB$65000,$B850,AC$5)="",2,0)),0)</f>
        <v>0</v>
      </c>
      <c r="AD850" s="313">
        <f>IFERROR(IF(INDEX([1]Pivot!$BF$1:$CG$65000,$B850,AD$5)=1,1,IF(INDEX([1]Pivot!$B$1:$AB$65000,$B850,AD$5)="",2,0)),0)</f>
        <v>0</v>
      </c>
      <c r="AE850" s="313">
        <f>IFERROR(IF(INDEX([1]Pivot!$BF$1:$CG$65000,$B850,AE$5)=1,1,IF(INDEX([1]Pivot!$B$1:$AB$65000,$B850,AE$5)="",2,0)),0)</f>
        <v>0</v>
      </c>
      <c r="AF850" s="313">
        <f>IFERROR(IF(INDEX([1]Pivot!$BF$1:$CG$65000,$B850,AF$5)=1,1,IF(INDEX([1]Pivot!$B$1:$AB$65000,$B850,AF$5)="",2,0)),0)</f>
        <v>0</v>
      </c>
      <c r="AG850" s="313">
        <f>IFERROR(IF(INDEX([1]Pivot!$BF$1:$CG$65000,$B850,AG$5)=1,1,IF(INDEX([1]Pivot!$B$1:$AB$65000,$B850,AG$5)="",2,0)),0)</f>
        <v>0</v>
      </c>
      <c r="AH850" s="313">
        <f>IFERROR(IF(INDEX([1]Pivot!$BF$1:$CG$65000,$B850,AH$5)=1,1,IF(INDEX([1]Pivot!$B$1:$AB$65000,$B850,AH$5)="",2,0)),0)</f>
        <v>0</v>
      </c>
      <c r="AI850" s="313">
        <f>IFERROR(IF(INDEX([1]Pivot!$BF$1:$CG$65000,$B850,AI$5)=1,1,IF(INDEX([1]Pivot!$B$1:$AB$65000,$B850,AI$5)="",2,0)),0)</f>
        <v>0</v>
      </c>
      <c r="AJ850" s="313">
        <f>IFERROR(IF(INDEX([1]Pivot!$BF$1:$CG$65000,$B850,AJ$5)=1,1,IF(INDEX([1]Pivot!$B$1:$AB$65000,$B850,AJ$5)="",2,0)),0)</f>
        <v>0</v>
      </c>
      <c r="AK850" s="313">
        <f>IFERROR(IF(INDEX([1]Pivot!$BF$1:$CG$65000,$B850,AK$5)=1,1,IF(INDEX([1]Pivot!$B$1:$AB$65000,$B850,AK$5)="",2,0)),0)</f>
        <v>0</v>
      </c>
      <c r="AL850" s="313">
        <f>IFERROR(IF(INDEX([1]Pivot!$BF$1:$CG$65000,$B850,AL$5)=1,1,IF(INDEX([1]Pivot!$B$1:$AB$65000,$B850,AL$5)="",2,0)),0)</f>
        <v>0</v>
      </c>
      <c r="AM850" s="313">
        <f>IFERROR(IF(INDEX([1]Pivot!$BF$1:$CG$65000,$B850,AM$5)=1,1,IF(INDEX([1]Pivot!$B$1:$AB$65000,$B850,AM$5)="",2,0)),0)</f>
        <v>0</v>
      </c>
      <c r="AN850" s="313">
        <f>IFERROR(IF(INDEX([1]Pivot!$BF$1:$CG$65000,$B850,AN$5)=1,1,IF(INDEX([1]Pivot!$B$1:$AB$65000,$B850,AN$5)="",2,0)),0)</f>
        <v>0</v>
      </c>
      <c r="AO850" s="313">
        <f>IFERROR(IF(INDEX([1]Pivot!$BF$1:$CG$65000,$B850,AO$5)=1,1,IF(INDEX([1]Pivot!$B$1:$AB$65000,$B850,AO$5)="",2,0)),0)</f>
        <v>0</v>
      </c>
      <c r="AP850" s="313">
        <f>IFERROR(IF(INDEX([1]Pivot!$BF$1:$CG$65000,$B850,AP$5)=1,1,IF(INDEX([1]Pivot!$B$1:$AB$65000,$B850,AP$5)="",2,0)),0)</f>
        <v>0</v>
      </c>
      <c r="AQ850" s="313">
        <f>IFERROR(IF(INDEX([1]Pivot!$BF$1:$CG$65000,$B850,AQ$5)=1,1,IF(INDEX([1]Pivot!$B$1:$AB$65000,$B850,AQ$5)="",2,0)),0)</f>
        <v>0</v>
      </c>
      <c r="AR850" s="313">
        <f>IFERROR(IF(INDEX([1]Pivot!$BF$1:$CG$65000,$B850,AR$5)=1,1,IF(INDEX([1]Pivot!$B$1:$AB$65000,$B850,AR$5)="",2,0)),0)</f>
        <v>0</v>
      </c>
      <c r="AS850" s="312"/>
      <c r="AT850" s="313">
        <f>IFERROR(IF(INDEX([1]Pivot!$BF$1:$CG$65000,$B850,AT$5)=1,1,IF(INDEX([1]Pivot!$B$1:$AB$65000,$B850,AT$5)="",2,0)),0)</f>
        <v>0</v>
      </c>
      <c r="AU850" s="313">
        <f>IFERROR(IF(INDEX([1]Pivot!$BF$1:$CG$65000,$B850,AU$5)=1,1,IF(INDEX([1]Pivot!$B$1:$AB$65000,$B850,AU$5)="",2,0)),0)</f>
        <v>0</v>
      </c>
      <c r="AV850" s="313">
        <f>IFERROR(IF(INDEX([1]Pivot!$BF$1:$CG$65000,$B850,AV$5)=1,1,IF(INDEX([1]Pivot!$B$1:$AB$65000,$B850,AV$5)="",2,0)),0)</f>
        <v>0</v>
      </c>
      <c r="AW850" s="313">
        <f>IFERROR(IF(INDEX([1]Pivot!$BF$1:$CG$65000,$B850,AW$5)=1,1,IF(INDEX([1]Pivot!$B$1:$AB$65000,$B850,AW$5)="",2,0)),0)</f>
        <v>0</v>
      </c>
      <c r="AX850" s="313">
        <f>IFERROR(IF(INDEX([1]Pivot!$BF$1:$CG$65000,$B850,AX$5)=1,1,IF(INDEX([1]Pivot!$B$1:$AB$65000,$B850,AX$5)="",2,0)),0)</f>
        <v>0</v>
      </c>
      <c r="AY850" s="313">
        <f>IFERROR(IF(INDEX([1]Pivot!$BF$1:$CG$65000,$B850,AY$5)=1,1,IF(INDEX([1]Pivot!$B$1:$AB$65000,$B850,AY$5)="",2,0)),0)</f>
        <v>0</v>
      </c>
      <c r="AZ850" s="313">
        <f>IFERROR(IF(INDEX([1]Pivot!$BF$1:$CG$65000,$B850,AZ$5)=1,1,IF(INDEX([1]Pivot!$B$1:$AB$65000,$B850,AZ$5)="",2,0)),0)</f>
        <v>0</v>
      </c>
      <c r="BA850" s="313">
        <f>IFERROR(IF(INDEX([1]Pivot!$BF$1:$CG$65000,$B850,BA$5)=1,1,IF(INDEX([1]Pivot!$B$1:$AB$65000,$B850,BA$5)="",2,0)),0)</f>
        <v>0</v>
      </c>
      <c r="BB850" s="313">
        <f>IFERROR(IF(INDEX([1]Pivot!$BF$1:$CG$65000,$B850,BB$5)=1,1,IF(INDEX([1]Pivot!$B$1:$AB$65000,$B850,BB$5)="",2,0)),0)</f>
        <v>0</v>
      </c>
      <c r="BC850" s="313">
        <f>IFERROR(IF(INDEX([1]Pivot!$BF$1:$CG$65000,$B850,BC$5)=1,1,IF(INDEX([1]Pivot!$B$1:$AB$65000,$B850,BC$5)="",2,0)),0)</f>
        <v>0</v>
      </c>
      <c r="BD850" s="313">
        <f>IFERROR(IF(INDEX([1]Pivot!$BF$1:$CG$65000,$B850,BD$5)=1,1,IF(INDEX([1]Pivot!$B$1:$AB$65000,$B850,BD$5)="",2,0)),0)</f>
        <v>0</v>
      </c>
    </row>
    <row r="851" spans="1:56" x14ac:dyDescent="0.25">
      <c r="A851" s="288">
        <f>'[2]Raw Milk Prices'!A851</f>
        <v>0</v>
      </c>
      <c r="B851" s="296" t="e">
        <f>MATCH(DATE(LEFT('[2]Raw Milk Prices'!$A851,4),RIGHT('[2]Raw Milk Prices'!$A851,2),1),[1]Pivot!$A$1:$A$65000,0)</f>
        <v>#VALUE!</v>
      </c>
      <c r="C851" s="194">
        <f>IFERROR(IF(INDEX([1]Pivot!$AD$1:$BE$65000,$B851,C$5)=1,1,IF(INDEX([1]Pivot!$B$1:$AB$65000,$B851,C$5)="",2,0)),0)</f>
        <v>0</v>
      </c>
      <c r="D851" s="194">
        <f>IFERROR(IF(INDEX([1]Pivot!$AD$1:$BE$65000,$B851,D$5)=1,1,IF(INDEX([1]Pivot!$B$1:$AB$65000,$B851,D$5)="",2,0)),0)</f>
        <v>0</v>
      </c>
      <c r="E851" s="194">
        <f>IFERROR(IF(INDEX([1]Pivot!$AD$1:$BE$65000,$B851,E$5)=1,1,IF(INDEX([1]Pivot!$B$1:$AB$65000,$B851,E$5)="",2,0)),0)</f>
        <v>0</v>
      </c>
      <c r="F851" s="194">
        <f>IFERROR(IF(INDEX([1]Pivot!$AD$1:$BE$65000,$B851,F$5)=1,1,IF(INDEX([1]Pivot!$B$1:$AB$65000,$B851,F$5)="",2,0)),0)</f>
        <v>0</v>
      </c>
      <c r="G851" s="194">
        <f>IFERROR(IF(INDEX([1]Pivot!$AD$1:$BE$65000,$B851,G$5)=1,1,IF(INDEX([1]Pivot!$B$1:$AB$65000,$B851,G$5)="",2,0)),0)</f>
        <v>0</v>
      </c>
      <c r="H851" s="194">
        <f>IFERROR(IF(INDEX([1]Pivot!$AD$1:$BE$65000,$B851,H$5)=1,1,IF(INDEX([1]Pivot!$B$1:$AB$65000,$B851,H$5)="",2,0)),0)</f>
        <v>0</v>
      </c>
      <c r="I851" s="194">
        <f>IFERROR(IF(INDEX([1]Pivot!$AD$1:$BE$65000,$B851,I$5)=1,1,IF(INDEX([1]Pivot!$B$1:$AB$65000,$B851,I$5)="",2,0)),0)</f>
        <v>0</v>
      </c>
      <c r="J851" s="194">
        <f>IFERROR(IF(INDEX([1]Pivot!$AD$1:$BE$65000,$B851,J$5)=1,1,IF(INDEX([1]Pivot!$B$1:$AB$65000,$B851,J$5)="",2,0)),0)</f>
        <v>0</v>
      </c>
      <c r="K851" s="194">
        <f>IFERROR(IF(INDEX([1]Pivot!$AD$1:$BE$65000,$B851,K$5)=1,1,IF(INDEX([1]Pivot!$B$1:$AB$65000,$B851,K$5)="",2,0)),0)</f>
        <v>0</v>
      </c>
      <c r="L851" s="194">
        <f>IFERROR(IF(INDEX([1]Pivot!$AD$1:$BE$65000,$B851,L$5)=1,1,IF(INDEX([1]Pivot!$B$1:$AB$65000,$B851,L$5)="",2,0)),0)</f>
        <v>0</v>
      </c>
      <c r="M851" s="194">
        <f>IFERROR(IF(INDEX([1]Pivot!$AD$1:$BE$65000,$B851,M$5)=1,1,IF(INDEX([1]Pivot!$B$1:$AB$65000,$B851,M$5)="",2,0)),0)</f>
        <v>0</v>
      </c>
      <c r="N851" s="194">
        <f>IFERROR(IF(INDEX([1]Pivot!$AD$1:$BE$65000,$B851,N$5)=1,1,IF(INDEX([1]Pivot!$B$1:$AB$65000,$B851,N$5)="",2,0)),0)</f>
        <v>0</v>
      </c>
      <c r="O851" s="194">
        <f>IFERROR(IF(INDEX([1]Pivot!$AD$1:$BE$65000,$B851,O$5)=1,1,IF(INDEX([1]Pivot!$B$1:$AB$65000,$B851,O$5)="",2,0)),0)</f>
        <v>0</v>
      </c>
      <c r="P851" s="194">
        <f>IFERROR(IF(INDEX([1]Pivot!$AD$1:$BE$65000,$B851,P$5)=1,1,IF(INDEX([1]Pivot!$B$1:$AB$65000,$B851,P$5)="",2,0)),0)</f>
        <v>0</v>
      </c>
      <c r="Q851" s="194">
        <f>IFERROR(IF(INDEX([1]Pivot!$AD$1:$BE$65000,$B851,Q$5)=1,1,IF(INDEX([1]Pivot!$B$1:$AB$65000,$B851,Q$5)="",2,0)),0)</f>
        <v>0</v>
      </c>
      <c r="R851" s="312"/>
      <c r="S851" s="194">
        <f>IFERROR(IF(INDEX([1]Pivot!$AD$1:$BE$65000,$B851,S$5)=1,1,IF(INDEX([1]Pivot!$B$1:$AB$65000,$B851,S$5)="",2,0)),0)</f>
        <v>0</v>
      </c>
      <c r="T851" s="194">
        <f>IFERROR(IF(INDEX([1]Pivot!$AD$1:$BE$65000,$B851,T$5)=1,1,IF(INDEX([1]Pivot!$B$1:$AB$65000,$B851,T$5)="",2,0)),0)</f>
        <v>0</v>
      </c>
      <c r="U851" s="194">
        <f>IFERROR(IF(INDEX([1]Pivot!$AD$1:$BE$65000,$B851,U$5)=1,1,IF(INDEX([1]Pivot!$B$1:$AB$65000,$B851,U$5)="",2,0)),0)</f>
        <v>0</v>
      </c>
      <c r="V851" s="194">
        <f>IFERROR(IF(INDEX([1]Pivot!$AD$1:$BE$65000,$B851,V$5)=1,1,IF(INDEX([1]Pivot!$B$1:$AB$65000,$B851,V$5)="",2,0)),0)</f>
        <v>0</v>
      </c>
      <c r="W851" s="194">
        <f>IFERROR(IF(INDEX([1]Pivot!$AD$1:$BE$65000,$B851,W$5)=1,1,IF(INDEX([1]Pivot!$B$1:$AB$65000,$B851,W$5)="",2,0)),0)</f>
        <v>0</v>
      </c>
      <c r="X851" s="194">
        <f>IFERROR(IF(INDEX([1]Pivot!$AD$1:$BE$65000,$B851,X$5)=1,1,IF(INDEX([1]Pivot!$B$1:$AB$65000,$B851,X$5)="",2,0)),0)</f>
        <v>0</v>
      </c>
      <c r="Y851" s="194">
        <f>IFERROR(IF(INDEX([1]Pivot!$AD$1:$BE$65000,$B851,Y$5)=1,1,IF(INDEX([1]Pivot!$B$1:$AB$65000,$B851,Y$5)="",2,0)),0)</f>
        <v>0</v>
      </c>
      <c r="Z851" s="194">
        <f>IFERROR(IF(INDEX([1]Pivot!$AD$1:$BE$65000,$B851,Z$5)=1,1,IF(INDEX([1]Pivot!$B$1:$AB$65000,$B851,Z$5)="",2,0)),0)</f>
        <v>0</v>
      </c>
      <c r="AA851" s="194">
        <f>IFERROR(IF(INDEX([1]Pivot!$AD$1:$BE$65000,$B851,AA$5)=1,1,IF(INDEX([1]Pivot!$B$1:$AB$65000,$B851,AA$5)="",2,0)),0)</f>
        <v>0</v>
      </c>
      <c r="AB851" s="194">
        <f>IFERROR(IF(INDEX([1]Pivot!$AD$1:$BE$65000,$B851,AB$5)=1,1,IF(INDEX([1]Pivot!$B$1:$AB$65000,$B851,AB$5)="",2,0)),0)</f>
        <v>0</v>
      </c>
      <c r="AC851" s="194">
        <f>IFERROR(IF(INDEX([1]Pivot!$AD$1:$BE$65000,$B851,AC$5)=1,1,IF(INDEX([1]Pivot!$B$1:$AB$65000,$B851,AC$5)="",2,0)),0)</f>
        <v>0</v>
      </c>
      <c r="AD851" s="313">
        <f>IFERROR(IF(INDEX([1]Pivot!$BF$1:$CG$65000,$B851,AD$5)=1,1,IF(INDEX([1]Pivot!$B$1:$AB$65000,$B851,AD$5)="",2,0)),0)</f>
        <v>0</v>
      </c>
      <c r="AE851" s="313">
        <f>IFERROR(IF(INDEX([1]Pivot!$BF$1:$CG$65000,$B851,AE$5)=1,1,IF(INDEX([1]Pivot!$B$1:$AB$65000,$B851,AE$5)="",2,0)),0)</f>
        <v>0</v>
      </c>
      <c r="AF851" s="313">
        <f>IFERROR(IF(INDEX([1]Pivot!$BF$1:$CG$65000,$B851,AF$5)=1,1,IF(INDEX([1]Pivot!$B$1:$AB$65000,$B851,AF$5)="",2,0)),0)</f>
        <v>0</v>
      </c>
      <c r="AG851" s="313">
        <f>IFERROR(IF(INDEX([1]Pivot!$BF$1:$CG$65000,$B851,AG$5)=1,1,IF(INDEX([1]Pivot!$B$1:$AB$65000,$B851,AG$5)="",2,0)),0)</f>
        <v>0</v>
      </c>
      <c r="AH851" s="313">
        <f>IFERROR(IF(INDEX([1]Pivot!$BF$1:$CG$65000,$B851,AH$5)=1,1,IF(INDEX([1]Pivot!$B$1:$AB$65000,$B851,AH$5)="",2,0)),0)</f>
        <v>0</v>
      </c>
      <c r="AI851" s="313">
        <f>IFERROR(IF(INDEX([1]Pivot!$BF$1:$CG$65000,$B851,AI$5)=1,1,IF(INDEX([1]Pivot!$B$1:$AB$65000,$B851,AI$5)="",2,0)),0)</f>
        <v>0</v>
      </c>
      <c r="AJ851" s="313">
        <f>IFERROR(IF(INDEX([1]Pivot!$BF$1:$CG$65000,$B851,AJ$5)=1,1,IF(INDEX([1]Pivot!$B$1:$AB$65000,$B851,AJ$5)="",2,0)),0)</f>
        <v>0</v>
      </c>
      <c r="AK851" s="313">
        <f>IFERROR(IF(INDEX([1]Pivot!$BF$1:$CG$65000,$B851,AK$5)=1,1,IF(INDEX([1]Pivot!$B$1:$AB$65000,$B851,AK$5)="",2,0)),0)</f>
        <v>0</v>
      </c>
      <c r="AL851" s="313">
        <f>IFERROR(IF(INDEX([1]Pivot!$BF$1:$CG$65000,$B851,AL$5)=1,1,IF(INDEX([1]Pivot!$B$1:$AB$65000,$B851,AL$5)="",2,0)),0)</f>
        <v>0</v>
      </c>
      <c r="AM851" s="313">
        <f>IFERROR(IF(INDEX([1]Pivot!$BF$1:$CG$65000,$B851,AM$5)=1,1,IF(INDEX([1]Pivot!$B$1:$AB$65000,$B851,AM$5)="",2,0)),0)</f>
        <v>0</v>
      </c>
      <c r="AN851" s="313">
        <f>IFERROR(IF(INDEX([1]Pivot!$BF$1:$CG$65000,$B851,AN$5)=1,1,IF(INDEX([1]Pivot!$B$1:$AB$65000,$B851,AN$5)="",2,0)),0)</f>
        <v>0</v>
      </c>
      <c r="AO851" s="313">
        <f>IFERROR(IF(INDEX([1]Pivot!$BF$1:$CG$65000,$B851,AO$5)=1,1,IF(INDEX([1]Pivot!$B$1:$AB$65000,$B851,AO$5)="",2,0)),0)</f>
        <v>0</v>
      </c>
      <c r="AP851" s="313">
        <f>IFERROR(IF(INDEX([1]Pivot!$BF$1:$CG$65000,$B851,AP$5)=1,1,IF(INDEX([1]Pivot!$B$1:$AB$65000,$B851,AP$5)="",2,0)),0)</f>
        <v>0</v>
      </c>
      <c r="AQ851" s="313">
        <f>IFERROR(IF(INDEX([1]Pivot!$BF$1:$CG$65000,$B851,AQ$5)=1,1,IF(INDEX([1]Pivot!$B$1:$AB$65000,$B851,AQ$5)="",2,0)),0)</f>
        <v>0</v>
      </c>
      <c r="AR851" s="313">
        <f>IFERROR(IF(INDEX([1]Pivot!$BF$1:$CG$65000,$B851,AR$5)=1,1,IF(INDEX([1]Pivot!$B$1:$AB$65000,$B851,AR$5)="",2,0)),0)</f>
        <v>0</v>
      </c>
      <c r="AS851" s="312"/>
      <c r="AT851" s="313">
        <f>IFERROR(IF(INDEX([1]Pivot!$BF$1:$CG$65000,$B851,AT$5)=1,1,IF(INDEX([1]Pivot!$B$1:$AB$65000,$B851,AT$5)="",2,0)),0)</f>
        <v>0</v>
      </c>
      <c r="AU851" s="313">
        <f>IFERROR(IF(INDEX([1]Pivot!$BF$1:$CG$65000,$B851,AU$5)=1,1,IF(INDEX([1]Pivot!$B$1:$AB$65000,$B851,AU$5)="",2,0)),0)</f>
        <v>0</v>
      </c>
      <c r="AV851" s="313">
        <f>IFERROR(IF(INDEX([1]Pivot!$BF$1:$CG$65000,$B851,AV$5)=1,1,IF(INDEX([1]Pivot!$B$1:$AB$65000,$B851,AV$5)="",2,0)),0)</f>
        <v>0</v>
      </c>
      <c r="AW851" s="313">
        <f>IFERROR(IF(INDEX([1]Pivot!$BF$1:$CG$65000,$B851,AW$5)=1,1,IF(INDEX([1]Pivot!$B$1:$AB$65000,$B851,AW$5)="",2,0)),0)</f>
        <v>0</v>
      </c>
      <c r="AX851" s="313">
        <f>IFERROR(IF(INDEX([1]Pivot!$BF$1:$CG$65000,$B851,AX$5)=1,1,IF(INDEX([1]Pivot!$B$1:$AB$65000,$B851,AX$5)="",2,0)),0)</f>
        <v>0</v>
      </c>
      <c r="AY851" s="313">
        <f>IFERROR(IF(INDEX([1]Pivot!$BF$1:$CG$65000,$B851,AY$5)=1,1,IF(INDEX([1]Pivot!$B$1:$AB$65000,$B851,AY$5)="",2,0)),0)</f>
        <v>0</v>
      </c>
      <c r="AZ851" s="313">
        <f>IFERROR(IF(INDEX([1]Pivot!$BF$1:$CG$65000,$B851,AZ$5)=1,1,IF(INDEX([1]Pivot!$B$1:$AB$65000,$B851,AZ$5)="",2,0)),0)</f>
        <v>0</v>
      </c>
      <c r="BA851" s="313">
        <f>IFERROR(IF(INDEX([1]Pivot!$BF$1:$CG$65000,$B851,BA$5)=1,1,IF(INDEX([1]Pivot!$B$1:$AB$65000,$B851,BA$5)="",2,0)),0)</f>
        <v>0</v>
      </c>
      <c r="BB851" s="313">
        <f>IFERROR(IF(INDEX([1]Pivot!$BF$1:$CG$65000,$B851,BB$5)=1,1,IF(INDEX([1]Pivot!$B$1:$AB$65000,$B851,BB$5)="",2,0)),0)</f>
        <v>0</v>
      </c>
      <c r="BC851" s="313">
        <f>IFERROR(IF(INDEX([1]Pivot!$BF$1:$CG$65000,$B851,BC$5)=1,1,IF(INDEX([1]Pivot!$B$1:$AB$65000,$B851,BC$5)="",2,0)),0)</f>
        <v>0</v>
      </c>
      <c r="BD851" s="313">
        <f>IFERROR(IF(INDEX([1]Pivot!$BF$1:$CG$65000,$B851,BD$5)=1,1,IF(INDEX([1]Pivot!$B$1:$AB$65000,$B851,BD$5)="",2,0)),0)</f>
        <v>0</v>
      </c>
    </row>
    <row r="852" spans="1:56" x14ac:dyDescent="0.25">
      <c r="A852" s="288">
        <f>'[2]Raw Milk Prices'!A852</f>
        <v>0</v>
      </c>
      <c r="B852" s="296" t="e">
        <f>MATCH(DATE(LEFT('[2]Raw Milk Prices'!$A852,4),RIGHT('[2]Raw Milk Prices'!$A852,2),1),[1]Pivot!$A$1:$A$65000,0)</f>
        <v>#VALUE!</v>
      </c>
      <c r="C852" s="194">
        <f>IFERROR(IF(INDEX([1]Pivot!$AD$1:$BE$65000,$B852,C$5)=1,1,IF(INDEX([1]Pivot!$B$1:$AB$65000,$B852,C$5)="",2,0)),0)</f>
        <v>0</v>
      </c>
      <c r="D852" s="194">
        <f>IFERROR(IF(INDEX([1]Pivot!$AD$1:$BE$65000,$B852,D$5)=1,1,IF(INDEX([1]Pivot!$B$1:$AB$65000,$B852,D$5)="",2,0)),0)</f>
        <v>0</v>
      </c>
      <c r="E852" s="194">
        <f>IFERROR(IF(INDEX([1]Pivot!$AD$1:$BE$65000,$B852,E$5)=1,1,IF(INDEX([1]Pivot!$B$1:$AB$65000,$B852,E$5)="",2,0)),0)</f>
        <v>0</v>
      </c>
      <c r="F852" s="194">
        <f>IFERROR(IF(INDEX([1]Pivot!$AD$1:$BE$65000,$B852,F$5)=1,1,IF(INDEX([1]Pivot!$B$1:$AB$65000,$B852,F$5)="",2,0)),0)</f>
        <v>0</v>
      </c>
      <c r="G852" s="194">
        <f>IFERROR(IF(INDEX([1]Pivot!$AD$1:$BE$65000,$B852,G$5)=1,1,IF(INDEX([1]Pivot!$B$1:$AB$65000,$B852,G$5)="",2,0)),0)</f>
        <v>0</v>
      </c>
      <c r="H852" s="194">
        <f>IFERROR(IF(INDEX([1]Pivot!$AD$1:$BE$65000,$B852,H$5)=1,1,IF(INDEX([1]Pivot!$B$1:$AB$65000,$B852,H$5)="",2,0)),0)</f>
        <v>0</v>
      </c>
      <c r="I852" s="194">
        <f>IFERROR(IF(INDEX([1]Pivot!$AD$1:$BE$65000,$B852,I$5)=1,1,IF(INDEX([1]Pivot!$B$1:$AB$65000,$B852,I$5)="",2,0)),0)</f>
        <v>0</v>
      </c>
      <c r="J852" s="194">
        <f>IFERROR(IF(INDEX([1]Pivot!$AD$1:$BE$65000,$B852,J$5)=1,1,IF(INDEX([1]Pivot!$B$1:$AB$65000,$B852,J$5)="",2,0)),0)</f>
        <v>0</v>
      </c>
      <c r="K852" s="194">
        <f>IFERROR(IF(INDEX([1]Pivot!$AD$1:$BE$65000,$B852,K$5)=1,1,IF(INDEX([1]Pivot!$B$1:$AB$65000,$B852,K$5)="",2,0)),0)</f>
        <v>0</v>
      </c>
      <c r="L852" s="194">
        <f>IFERROR(IF(INDEX([1]Pivot!$AD$1:$BE$65000,$B852,L$5)=1,1,IF(INDEX([1]Pivot!$B$1:$AB$65000,$B852,L$5)="",2,0)),0)</f>
        <v>0</v>
      </c>
      <c r="M852" s="194">
        <f>IFERROR(IF(INDEX([1]Pivot!$AD$1:$BE$65000,$B852,M$5)=1,1,IF(INDEX([1]Pivot!$B$1:$AB$65000,$B852,M$5)="",2,0)),0)</f>
        <v>0</v>
      </c>
      <c r="N852" s="194">
        <f>IFERROR(IF(INDEX([1]Pivot!$AD$1:$BE$65000,$B852,N$5)=1,1,IF(INDEX([1]Pivot!$B$1:$AB$65000,$B852,N$5)="",2,0)),0)</f>
        <v>0</v>
      </c>
      <c r="O852" s="194">
        <f>IFERROR(IF(INDEX([1]Pivot!$AD$1:$BE$65000,$B852,O$5)=1,1,IF(INDEX([1]Pivot!$B$1:$AB$65000,$B852,O$5)="",2,0)),0)</f>
        <v>0</v>
      </c>
      <c r="P852" s="194">
        <f>IFERROR(IF(INDEX([1]Pivot!$AD$1:$BE$65000,$B852,P$5)=1,1,IF(INDEX([1]Pivot!$B$1:$AB$65000,$B852,P$5)="",2,0)),0)</f>
        <v>0</v>
      </c>
      <c r="Q852" s="194">
        <f>IFERROR(IF(INDEX([1]Pivot!$AD$1:$BE$65000,$B852,Q$5)=1,1,IF(INDEX([1]Pivot!$B$1:$AB$65000,$B852,Q$5)="",2,0)),0)</f>
        <v>0</v>
      </c>
      <c r="R852" s="312"/>
      <c r="S852" s="194">
        <f>IFERROR(IF(INDEX([1]Pivot!$AD$1:$BE$65000,$B852,S$5)=1,1,IF(INDEX([1]Pivot!$B$1:$AB$65000,$B852,S$5)="",2,0)),0)</f>
        <v>0</v>
      </c>
      <c r="T852" s="194">
        <f>IFERROR(IF(INDEX([1]Pivot!$AD$1:$BE$65000,$B852,T$5)=1,1,IF(INDEX([1]Pivot!$B$1:$AB$65000,$B852,T$5)="",2,0)),0)</f>
        <v>0</v>
      </c>
      <c r="U852" s="194">
        <f>IFERROR(IF(INDEX([1]Pivot!$AD$1:$BE$65000,$B852,U$5)=1,1,IF(INDEX([1]Pivot!$B$1:$AB$65000,$B852,U$5)="",2,0)),0)</f>
        <v>0</v>
      </c>
      <c r="V852" s="194">
        <f>IFERROR(IF(INDEX([1]Pivot!$AD$1:$BE$65000,$B852,V$5)=1,1,IF(INDEX([1]Pivot!$B$1:$AB$65000,$B852,V$5)="",2,0)),0)</f>
        <v>0</v>
      </c>
      <c r="W852" s="194">
        <f>IFERROR(IF(INDEX([1]Pivot!$AD$1:$BE$65000,$B852,W$5)=1,1,IF(INDEX([1]Pivot!$B$1:$AB$65000,$B852,W$5)="",2,0)),0)</f>
        <v>0</v>
      </c>
      <c r="X852" s="194">
        <f>IFERROR(IF(INDEX([1]Pivot!$AD$1:$BE$65000,$B852,X$5)=1,1,IF(INDEX([1]Pivot!$B$1:$AB$65000,$B852,X$5)="",2,0)),0)</f>
        <v>0</v>
      </c>
      <c r="Y852" s="194">
        <f>IFERROR(IF(INDEX([1]Pivot!$AD$1:$BE$65000,$B852,Y$5)=1,1,IF(INDEX([1]Pivot!$B$1:$AB$65000,$B852,Y$5)="",2,0)),0)</f>
        <v>0</v>
      </c>
      <c r="Z852" s="194">
        <f>IFERROR(IF(INDEX([1]Pivot!$AD$1:$BE$65000,$B852,Z$5)=1,1,IF(INDEX([1]Pivot!$B$1:$AB$65000,$B852,Z$5)="",2,0)),0)</f>
        <v>0</v>
      </c>
      <c r="AA852" s="194">
        <f>IFERROR(IF(INDEX([1]Pivot!$AD$1:$BE$65000,$B852,AA$5)=1,1,IF(INDEX([1]Pivot!$B$1:$AB$65000,$B852,AA$5)="",2,0)),0)</f>
        <v>0</v>
      </c>
      <c r="AB852" s="194">
        <f>IFERROR(IF(INDEX([1]Pivot!$AD$1:$BE$65000,$B852,AB$5)=1,1,IF(INDEX([1]Pivot!$B$1:$AB$65000,$B852,AB$5)="",2,0)),0)</f>
        <v>0</v>
      </c>
      <c r="AC852" s="194">
        <f>IFERROR(IF(INDEX([1]Pivot!$AD$1:$BE$65000,$B852,AC$5)=1,1,IF(INDEX([1]Pivot!$B$1:$AB$65000,$B852,AC$5)="",2,0)),0)</f>
        <v>0</v>
      </c>
      <c r="AD852" s="313">
        <f>IFERROR(IF(INDEX([1]Pivot!$BF$1:$CG$65000,$B852,AD$5)=1,1,IF(INDEX([1]Pivot!$B$1:$AB$65000,$B852,AD$5)="",2,0)),0)</f>
        <v>0</v>
      </c>
      <c r="AE852" s="313">
        <f>IFERROR(IF(INDEX([1]Pivot!$BF$1:$CG$65000,$B852,AE$5)=1,1,IF(INDEX([1]Pivot!$B$1:$AB$65000,$B852,AE$5)="",2,0)),0)</f>
        <v>0</v>
      </c>
      <c r="AF852" s="313">
        <f>IFERROR(IF(INDEX([1]Pivot!$BF$1:$CG$65000,$B852,AF$5)=1,1,IF(INDEX([1]Pivot!$B$1:$AB$65000,$B852,AF$5)="",2,0)),0)</f>
        <v>0</v>
      </c>
      <c r="AG852" s="313">
        <f>IFERROR(IF(INDEX([1]Pivot!$BF$1:$CG$65000,$B852,AG$5)=1,1,IF(INDEX([1]Pivot!$B$1:$AB$65000,$B852,AG$5)="",2,0)),0)</f>
        <v>0</v>
      </c>
      <c r="AH852" s="313">
        <f>IFERROR(IF(INDEX([1]Pivot!$BF$1:$CG$65000,$B852,AH$5)=1,1,IF(INDEX([1]Pivot!$B$1:$AB$65000,$B852,AH$5)="",2,0)),0)</f>
        <v>0</v>
      </c>
      <c r="AI852" s="313">
        <f>IFERROR(IF(INDEX([1]Pivot!$BF$1:$CG$65000,$B852,AI$5)=1,1,IF(INDEX([1]Pivot!$B$1:$AB$65000,$B852,AI$5)="",2,0)),0)</f>
        <v>0</v>
      </c>
      <c r="AJ852" s="313">
        <f>IFERROR(IF(INDEX([1]Pivot!$BF$1:$CG$65000,$B852,AJ$5)=1,1,IF(INDEX([1]Pivot!$B$1:$AB$65000,$B852,AJ$5)="",2,0)),0)</f>
        <v>0</v>
      </c>
      <c r="AK852" s="313">
        <f>IFERROR(IF(INDEX([1]Pivot!$BF$1:$CG$65000,$B852,AK$5)=1,1,IF(INDEX([1]Pivot!$B$1:$AB$65000,$B852,AK$5)="",2,0)),0)</f>
        <v>0</v>
      </c>
      <c r="AL852" s="313">
        <f>IFERROR(IF(INDEX([1]Pivot!$BF$1:$CG$65000,$B852,AL$5)=1,1,IF(INDEX([1]Pivot!$B$1:$AB$65000,$B852,AL$5)="",2,0)),0)</f>
        <v>0</v>
      </c>
      <c r="AM852" s="313">
        <f>IFERROR(IF(INDEX([1]Pivot!$BF$1:$CG$65000,$B852,AM$5)=1,1,IF(INDEX([1]Pivot!$B$1:$AB$65000,$B852,AM$5)="",2,0)),0)</f>
        <v>0</v>
      </c>
      <c r="AN852" s="313">
        <f>IFERROR(IF(INDEX([1]Pivot!$BF$1:$CG$65000,$B852,AN$5)=1,1,IF(INDEX([1]Pivot!$B$1:$AB$65000,$B852,AN$5)="",2,0)),0)</f>
        <v>0</v>
      </c>
      <c r="AO852" s="313">
        <f>IFERROR(IF(INDEX([1]Pivot!$BF$1:$CG$65000,$B852,AO$5)=1,1,IF(INDEX([1]Pivot!$B$1:$AB$65000,$B852,AO$5)="",2,0)),0)</f>
        <v>0</v>
      </c>
      <c r="AP852" s="313">
        <f>IFERROR(IF(INDEX([1]Pivot!$BF$1:$CG$65000,$B852,AP$5)=1,1,IF(INDEX([1]Pivot!$B$1:$AB$65000,$B852,AP$5)="",2,0)),0)</f>
        <v>0</v>
      </c>
      <c r="AQ852" s="313">
        <f>IFERROR(IF(INDEX([1]Pivot!$BF$1:$CG$65000,$B852,AQ$5)=1,1,IF(INDEX([1]Pivot!$B$1:$AB$65000,$B852,AQ$5)="",2,0)),0)</f>
        <v>0</v>
      </c>
      <c r="AR852" s="313">
        <f>IFERROR(IF(INDEX([1]Pivot!$BF$1:$CG$65000,$B852,AR$5)=1,1,IF(INDEX([1]Pivot!$B$1:$AB$65000,$B852,AR$5)="",2,0)),0)</f>
        <v>0</v>
      </c>
      <c r="AS852" s="312"/>
      <c r="AT852" s="313">
        <f>IFERROR(IF(INDEX([1]Pivot!$BF$1:$CG$65000,$B852,AT$5)=1,1,IF(INDEX([1]Pivot!$B$1:$AB$65000,$B852,AT$5)="",2,0)),0)</f>
        <v>0</v>
      </c>
      <c r="AU852" s="313">
        <f>IFERROR(IF(INDEX([1]Pivot!$BF$1:$CG$65000,$B852,AU$5)=1,1,IF(INDEX([1]Pivot!$B$1:$AB$65000,$B852,AU$5)="",2,0)),0)</f>
        <v>0</v>
      </c>
      <c r="AV852" s="313">
        <f>IFERROR(IF(INDEX([1]Pivot!$BF$1:$CG$65000,$B852,AV$5)=1,1,IF(INDEX([1]Pivot!$B$1:$AB$65000,$B852,AV$5)="",2,0)),0)</f>
        <v>0</v>
      </c>
      <c r="AW852" s="313">
        <f>IFERROR(IF(INDEX([1]Pivot!$BF$1:$CG$65000,$B852,AW$5)=1,1,IF(INDEX([1]Pivot!$B$1:$AB$65000,$B852,AW$5)="",2,0)),0)</f>
        <v>0</v>
      </c>
      <c r="AX852" s="313">
        <f>IFERROR(IF(INDEX([1]Pivot!$BF$1:$CG$65000,$B852,AX$5)=1,1,IF(INDEX([1]Pivot!$B$1:$AB$65000,$B852,AX$5)="",2,0)),0)</f>
        <v>0</v>
      </c>
      <c r="AY852" s="313">
        <f>IFERROR(IF(INDEX([1]Pivot!$BF$1:$CG$65000,$B852,AY$5)=1,1,IF(INDEX([1]Pivot!$B$1:$AB$65000,$B852,AY$5)="",2,0)),0)</f>
        <v>0</v>
      </c>
      <c r="AZ852" s="313">
        <f>IFERROR(IF(INDEX([1]Pivot!$BF$1:$CG$65000,$B852,AZ$5)=1,1,IF(INDEX([1]Pivot!$B$1:$AB$65000,$B852,AZ$5)="",2,0)),0)</f>
        <v>0</v>
      </c>
      <c r="BA852" s="313">
        <f>IFERROR(IF(INDEX([1]Pivot!$BF$1:$CG$65000,$B852,BA$5)=1,1,IF(INDEX([1]Pivot!$B$1:$AB$65000,$B852,BA$5)="",2,0)),0)</f>
        <v>0</v>
      </c>
      <c r="BB852" s="313">
        <f>IFERROR(IF(INDEX([1]Pivot!$BF$1:$CG$65000,$B852,BB$5)=1,1,IF(INDEX([1]Pivot!$B$1:$AB$65000,$B852,BB$5)="",2,0)),0)</f>
        <v>0</v>
      </c>
      <c r="BC852" s="313">
        <f>IFERROR(IF(INDEX([1]Pivot!$BF$1:$CG$65000,$B852,BC$5)=1,1,IF(INDEX([1]Pivot!$B$1:$AB$65000,$B852,BC$5)="",2,0)),0)</f>
        <v>0</v>
      </c>
      <c r="BD852" s="313">
        <f>IFERROR(IF(INDEX([1]Pivot!$BF$1:$CG$65000,$B852,BD$5)=1,1,IF(INDEX([1]Pivot!$B$1:$AB$65000,$B852,BD$5)="",2,0)),0)</f>
        <v>0</v>
      </c>
    </row>
    <row r="853" spans="1:56" x14ac:dyDescent="0.25">
      <c r="A853" s="288">
        <f>'[2]Raw Milk Prices'!A853</f>
        <v>0</v>
      </c>
      <c r="B853" s="296" t="e">
        <f>MATCH(DATE(LEFT('[2]Raw Milk Prices'!$A853,4),RIGHT('[2]Raw Milk Prices'!$A853,2),1),[1]Pivot!$A$1:$A$65000,0)</f>
        <v>#VALUE!</v>
      </c>
      <c r="C853" s="194">
        <f>IFERROR(IF(INDEX([1]Pivot!$AD$1:$BE$65000,$B853,C$5)=1,1,IF(INDEX([1]Pivot!$B$1:$AB$65000,$B853,C$5)="",2,0)),0)</f>
        <v>0</v>
      </c>
      <c r="D853" s="194">
        <f>IFERROR(IF(INDEX([1]Pivot!$AD$1:$BE$65000,$B853,D$5)=1,1,IF(INDEX([1]Pivot!$B$1:$AB$65000,$B853,D$5)="",2,0)),0)</f>
        <v>0</v>
      </c>
      <c r="E853" s="194">
        <f>IFERROR(IF(INDEX([1]Pivot!$AD$1:$BE$65000,$B853,E$5)=1,1,IF(INDEX([1]Pivot!$B$1:$AB$65000,$B853,E$5)="",2,0)),0)</f>
        <v>0</v>
      </c>
      <c r="F853" s="194">
        <f>IFERROR(IF(INDEX([1]Pivot!$AD$1:$BE$65000,$B853,F$5)=1,1,IF(INDEX([1]Pivot!$B$1:$AB$65000,$B853,F$5)="",2,0)),0)</f>
        <v>0</v>
      </c>
      <c r="G853" s="194">
        <f>IFERROR(IF(INDEX([1]Pivot!$AD$1:$BE$65000,$B853,G$5)=1,1,IF(INDEX([1]Pivot!$B$1:$AB$65000,$B853,G$5)="",2,0)),0)</f>
        <v>0</v>
      </c>
      <c r="H853" s="194">
        <f>IFERROR(IF(INDEX([1]Pivot!$AD$1:$BE$65000,$B853,H$5)=1,1,IF(INDEX([1]Pivot!$B$1:$AB$65000,$B853,H$5)="",2,0)),0)</f>
        <v>0</v>
      </c>
      <c r="I853" s="194">
        <f>IFERROR(IF(INDEX([1]Pivot!$AD$1:$BE$65000,$B853,I$5)=1,1,IF(INDEX([1]Pivot!$B$1:$AB$65000,$B853,I$5)="",2,0)),0)</f>
        <v>0</v>
      </c>
      <c r="J853" s="194">
        <f>IFERROR(IF(INDEX([1]Pivot!$AD$1:$BE$65000,$B853,J$5)=1,1,IF(INDEX([1]Pivot!$B$1:$AB$65000,$B853,J$5)="",2,0)),0)</f>
        <v>0</v>
      </c>
      <c r="K853" s="194">
        <f>IFERROR(IF(INDEX([1]Pivot!$AD$1:$BE$65000,$B853,K$5)=1,1,IF(INDEX([1]Pivot!$B$1:$AB$65000,$B853,K$5)="",2,0)),0)</f>
        <v>0</v>
      </c>
      <c r="L853" s="194">
        <f>IFERROR(IF(INDEX([1]Pivot!$AD$1:$BE$65000,$B853,L$5)=1,1,IF(INDEX([1]Pivot!$B$1:$AB$65000,$B853,L$5)="",2,0)),0)</f>
        <v>0</v>
      </c>
      <c r="M853" s="194">
        <f>IFERROR(IF(INDEX([1]Pivot!$AD$1:$BE$65000,$B853,M$5)=1,1,IF(INDEX([1]Pivot!$B$1:$AB$65000,$B853,M$5)="",2,0)),0)</f>
        <v>0</v>
      </c>
      <c r="N853" s="194">
        <f>IFERROR(IF(INDEX([1]Pivot!$AD$1:$BE$65000,$B853,N$5)=1,1,IF(INDEX([1]Pivot!$B$1:$AB$65000,$B853,N$5)="",2,0)),0)</f>
        <v>0</v>
      </c>
      <c r="O853" s="194">
        <f>IFERROR(IF(INDEX([1]Pivot!$AD$1:$BE$65000,$B853,O$5)=1,1,IF(INDEX([1]Pivot!$B$1:$AB$65000,$B853,O$5)="",2,0)),0)</f>
        <v>0</v>
      </c>
      <c r="P853" s="194">
        <f>IFERROR(IF(INDEX([1]Pivot!$AD$1:$BE$65000,$B853,P$5)=1,1,IF(INDEX([1]Pivot!$B$1:$AB$65000,$B853,P$5)="",2,0)),0)</f>
        <v>0</v>
      </c>
      <c r="Q853" s="194">
        <f>IFERROR(IF(INDEX([1]Pivot!$AD$1:$BE$65000,$B853,Q$5)=1,1,IF(INDEX([1]Pivot!$B$1:$AB$65000,$B853,Q$5)="",2,0)),0)</f>
        <v>0</v>
      </c>
      <c r="R853" s="312"/>
      <c r="S853" s="194">
        <f>IFERROR(IF(INDEX([1]Pivot!$AD$1:$BE$65000,$B853,S$5)=1,1,IF(INDEX([1]Pivot!$B$1:$AB$65000,$B853,S$5)="",2,0)),0)</f>
        <v>0</v>
      </c>
      <c r="T853" s="194">
        <f>IFERROR(IF(INDEX([1]Pivot!$AD$1:$BE$65000,$B853,T$5)=1,1,IF(INDEX([1]Pivot!$B$1:$AB$65000,$B853,T$5)="",2,0)),0)</f>
        <v>0</v>
      </c>
      <c r="U853" s="194">
        <f>IFERROR(IF(INDEX([1]Pivot!$AD$1:$BE$65000,$B853,U$5)=1,1,IF(INDEX([1]Pivot!$B$1:$AB$65000,$B853,U$5)="",2,0)),0)</f>
        <v>0</v>
      </c>
      <c r="V853" s="194">
        <f>IFERROR(IF(INDEX([1]Pivot!$AD$1:$BE$65000,$B853,V$5)=1,1,IF(INDEX([1]Pivot!$B$1:$AB$65000,$B853,V$5)="",2,0)),0)</f>
        <v>0</v>
      </c>
      <c r="W853" s="194">
        <f>IFERROR(IF(INDEX([1]Pivot!$AD$1:$BE$65000,$B853,W$5)=1,1,IF(INDEX([1]Pivot!$B$1:$AB$65000,$B853,W$5)="",2,0)),0)</f>
        <v>0</v>
      </c>
      <c r="X853" s="194">
        <f>IFERROR(IF(INDEX([1]Pivot!$AD$1:$BE$65000,$B853,X$5)=1,1,IF(INDEX([1]Pivot!$B$1:$AB$65000,$B853,X$5)="",2,0)),0)</f>
        <v>0</v>
      </c>
      <c r="Y853" s="194">
        <f>IFERROR(IF(INDEX([1]Pivot!$AD$1:$BE$65000,$B853,Y$5)=1,1,IF(INDEX([1]Pivot!$B$1:$AB$65000,$B853,Y$5)="",2,0)),0)</f>
        <v>0</v>
      </c>
      <c r="Z853" s="194">
        <f>IFERROR(IF(INDEX([1]Pivot!$AD$1:$BE$65000,$B853,Z$5)=1,1,IF(INDEX([1]Pivot!$B$1:$AB$65000,$B853,Z$5)="",2,0)),0)</f>
        <v>0</v>
      </c>
      <c r="AA853" s="194">
        <f>IFERROR(IF(INDEX([1]Pivot!$AD$1:$BE$65000,$B853,AA$5)=1,1,IF(INDEX([1]Pivot!$B$1:$AB$65000,$B853,AA$5)="",2,0)),0)</f>
        <v>0</v>
      </c>
      <c r="AB853" s="194">
        <f>IFERROR(IF(INDEX([1]Pivot!$AD$1:$BE$65000,$B853,AB$5)=1,1,IF(INDEX([1]Pivot!$B$1:$AB$65000,$B853,AB$5)="",2,0)),0)</f>
        <v>0</v>
      </c>
      <c r="AC853" s="194">
        <f>IFERROR(IF(INDEX([1]Pivot!$AD$1:$BE$65000,$B853,AC$5)=1,1,IF(INDEX([1]Pivot!$B$1:$AB$65000,$B853,AC$5)="",2,0)),0)</f>
        <v>0</v>
      </c>
      <c r="AD853" s="313">
        <f>IFERROR(IF(INDEX([1]Pivot!$BF$1:$CG$65000,$B853,AD$5)=1,1,IF(INDEX([1]Pivot!$B$1:$AB$65000,$B853,AD$5)="",2,0)),0)</f>
        <v>0</v>
      </c>
      <c r="AE853" s="313">
        <f>IFERROR(IF(INDEX([1]Pivot!$BF$1:$CG$65000,$B853,AE$5)=1,1,IF(INDEX([1]Pivot!$B$1:$AB$65000,$B853,AE$5)="",2,0)),0)</f>
        <v>0</v>
      </c>
      <c r="AF853" s="313">
        <f>IFERROR(IF(INDEX([1]Pivot!$BF$1:$CG$65000,$B853,AF$5)=1,1,IF(INDEX([1]Pivot!$B$1:$AB$65000,$B853,AF$5)="",2,0)),0)</f>
        <v>0</v>
      </c>
      <c r="AG853" s="313">
        <f>IFERROR(IF(INDEX([1]Pivot!$BF$1:$CG$65000,$B853,AG$5)=1,1,IF(INDEX([1]Pivot!$B$1:$AB$65000,$B853,AG$5)="",2,0)),0)</f>
        <v>0</v>
      </c>
      <c r="AH853" s="313">
        <f>IFERROR(IF(INDEX([1]Pivot!$BF$1:$CG$65000,$B853,AH$5)=1,1,IF(INDEX([1]Pivot!$B$1:$AB$65000,$B853,AH$5)="",2,0)),0)</f>
        <v>0</v>
      </c>
      <c r="AI853" s="313">
        <f>IFERROR(IF(INDEX([1]Pivot!$BF$1:$CG$65000,$B853,AI$5)=1,1,IF(INDEX([1]Pivot!$B$1:$AB$65000,$B853,AI$5)="",2,0)),0)</f>
        <v>0</v>
      </c>
      <c r="AJ853" s="313">
        <f>IFERROR(IF(INDEX([1]Pivot!$BF$1:$CG$65000,$B853,AJ$5)=1,1,IF(INDEX([1]Pivot!$B$1:$AB$65000,$B853,AJ$5)="",2,0)),0)</f>
        <v>0</v>
      </c>
      <c r="AK853" s="313">
        <f>IFERROR(IF(INDEX([1]Pivot!$BF$1:$CG$65000,$B853,AK$5)=1,1,IF(INDEX([1]Pivot!$B$1:$AB$65000,$B853,AK$5)="",2,0)),0)</f>
        <v>0</v>
      </c>
      <c r="AL853" s="313">
        <f>IFERROR(IF(INDEX([1]Pivot!$BF$1:$CG$65000,$B853,AL$5)=1,1,IF(INDEX([1]Pivot!$B$1:$AB$65000,$B853,AL$5)="",2,0)),0)</f>
        <v>0</v>
      </c>
      <c r="AM853" s="313">
        <f>IFERROR(IF(INDEX([1]Pivot!$BF$1:$CG$65000,$B853,AM$5)=1,1,IF(INDEX([1]Pivot!$B$1:$AB$65000,$B853,AM$5)="",2,0)),0)</f>
        <v>0</v>
      </c>
      <c r="AN853" s="313">
        <f>IFERROR(IF(INDEX([1]Pivot!$BF$1:$CG$65000,$B853,AN$5)=1,1,IF(INDEX([1]Pivot!$B$1:$AB$65000,$B853,AN$5)="",2,0)),0)</f>
        <v>0</v>
      </c>
      <c r="AO853" s="313">
        <f>IFERROR(IF(INDEX([1]Pivot!$BF$1:$CG$65000,$B853,AO$5)=1,1,IF(INDEX([1]Pivot!$B$1:$AB$65000,$B853,AO$5)="",2,0)),0)</f>
        <v>0</v>
      </c>
      <c r="AP853" s="313">
        <f>IFERROR(IF(INDEX([1]Pivot!$BF$1:$CG$65000,$B853,AP$5)=1,1,IF(INDEX([1]Pivot!$B$1:$AB$65000,$B853,AP$5)="",2,0)),0)</f>
        <v>0</v>
      </c>
      <c r="AQ853" s="313">
        <f>IFERROR(IF(INDEX([1]Pivot!$BF$1:$CG$65000,$B853,AQ$5)=1,1,IF(INDEX([1]Pivot!$B$1:$AB$65000,$B853,AQ$5)="",2,0)),0)</f>
        <v>0</v>
      </c>
      <c r="AR853" s="313">
        <f>IFERROR(IF(INDEX([1]Pivot!$BF$1:$CG$65000,$B853,AR$5)=1,1,IF(INDEX([1]Pivot!$B$1:$AB$65000,$B853,AR$5)="",2,0)),0)</f>
        <v>0</v>
      </c>
      <c r="AS853" s="312"/>
      <c r="AT853" s="313">
        <f>IFERROR(IF(INDEX([1]Pivot!$BF$1:$CG$65000,$B853,AT$5)=1,1,IF(INDEX([1]Pivot!$B$1:$AB$65000,$B853,AT$5)="",2,0)),0)</f>
        <v>0</v>
      </c>
      <c r="AU853" s="313">
        <f>IFERROR(IF(INDEX([1]Pivot!$BF$1:$CG$65000,$B853,AU$5)=1,1,IF(INDEX([1]Pivot!$B$1:$AB$65000,$B853,AU$5)="",2,0)),0)</f>
        <v>0</v>
      </c>
      <c r="AV853" s="313">
        <f>IFERROR(IF(INDEX([1]Pivot!$BF$1:$CG$65000,$B853,AV$5)=1,1,IF(INDEX([1]Pivot!$B$1:$AB$65000,$B853,AV$5)="",2,0)),0)</f>
        <v>0</v>
      </c>
      <c r="AW853" s="313">
        <f>IFERROR(IF(INDEX([1]Pivot!$BF$1:$CG$65000,$B853,AW$5)=1,1,IF(INDEX([1]Pivot!$B$1:$AB$65000,$B853,AW$5)="",2,0)),0)</f>
        <v>0</v>
      </c>
      <c r="AX853" s="313">
        <f>IFERROR(IF(INDEX([1]Pivot!$BF$1:$CG$65000,$B853,AX$5)=1,1,IF(INDEX([1]Pivot!$B$1:$AB$65000,$B853,AX$5)="",2,0)),0)</f>
        <v>0</v>
      </c>
      <c r="AY853" s="313">
        <f>IFERROR(IF(INDEX([1]Pivot!$BF$1:$CG$65000,$B853,AY$5)=1,1,IF(INDEX([1]Pivot!$B$1:$AB$65000,$B853,AY$5)="",2,0)),0)</f>
        <v>0</v>
      </c>
      <c r="AZ853" s="313">
        <f>IFERROR(IF(INDEX([1]Pivot!$BF$1:$CG$65000,$B853,AZ$5)=1,1,IF(INDEX([1]Pivot!$B$1:$AB$65000,$B853,AZ$5)="",2,0)),0)</f>
        <v>0</v>
      </c>
      <c r="BA853" s="313">
        <f>IFERROR(IF(INDEX([1]Pivot!$BF$1:$CG$65000,$B853,BA$5)=1,1,IF(INDEX([1]Pivot!$B$1:$AB$65000,$B853,BA$5)="",2,0)),0)</f>
        <v>0</v>
      </c>
      <c r="BB853" s="313">
        <f>IFERROR(IF(INDEX([1]Pivot!$BF$1:$CG$65000,$B853,BB$5)=1,1,IF(INDEX([1]Pivot!$B$1:$AB$65000,$B853,BB$5)="",2,0)),0)</f>
        <v>0</v>
      </c>
      <c r="BC853" s="313">
        <f>IFERROR(IF(INDEX([1]Pivot!$BF$1:$CG$65000,$B853,BC$5)=1,1,IF(INDEX([1]Pivot!$B$1:$AB$65000,$B853,BC$5)="",2,0)),0)</f>
        <v>0</v>
      </c>
      <c r="BD853" s="313">
        <f>IFERROR(IF(INDEX([1]Pivot!$BF$1:$CG$65000,$B853,BD$5)=1,1,IF(INDEX([1]Pivot!$B$1:$AB$65000,$B853,BD$5)="",2,0)),0)</f>
        <v>0</v>
      </c>
    </row>
    <row r="854" spans="1:56" x14ac:dyDescent="0.25">
      <c r="A854" s="288">
        <f>'[2]Raw Milk Prices'!A854</f>
        <v>0</v>
      </c>
      <c r="B854" s="296" t="e">
        <f>MATCH(DATE(LEFT('[2]Raw Milk Prices'!$A854,4),RIGHT('[2]Raw Milk Prices'!$A854,2),1),[1]Pivot!$A$1:$A$65000,0)</f>
        <v>#VALUE!</v>
      </c>
      <c r="C854" s="194">
        <f>IFERROR(IF(INDEX([1]Pivot!$AD$1:$BE$65000,$B854,C$5)=1,1,IF(INDEX([1]Pivot!$B$1:$AB$65000,$B854,C$5)="",2,0)),0)</f>
        <v>0</v>
      </c>
      <c r="D854" s="194">
        <f>IFERROR(IF(INDEX([1]Pivot!$AD$1:$BE$65000,$B854,D$5)=1,1,IF(INDEX([1]Pivot!$B$1:$AB$65000,$B854,D$5)="",2,0)),0)</f>
        <v>0</v>
      </c>
      <c r="E854" s="194">
        <f>IFERROR(IF(INDEX([1]Pivot!$AD$1:$BE$65000,$B854,E$5)=1,1,IF(INDEX([1]Pivot!$B$1:$AB$65000,$B854,E$5)="",2,0)),0)</f>
        <v>0</v>
      </c>
      <c r="F854" s="194">
        <f>IFERROR(IF(INDEX([1]Pivot!$AD$1:$BE$65000,$B854,F$5)=1,1,IF(INDEX([1]Pivot!$B$1:$AB$65000,$B854,F$5)="",2,0)),0)</f>
        <v>0</v>
      </c>
      <c r="G854" s="194">
        <f>IFERROR(IF(INDEX([1]Pivot!$AD$1:$BE$65000,$B854,G$5)=1,1,IF(INDEX([1]Pivot!$B$1:$AB$65000,$B854,G$5)="",2,0)),0)</f>
        <v>0</v>
      </c>
      <c r="H854" s="194">
        <f>IFERROR(IF(INDEX([1]Pivot!$AD$1:$BE$65000,$B854,H$5)=1,1,IF(INDEX([1]Pivot!$B$1:$AB$65000,$B854,H$5)="",2,0)),0)</f>
        <v>0</v>
      </c>
      <c r="I854" s="194">
        <f>IFERROR(IF(INDEX([1]Pivot!$AD$1:$BE$65000,$B854,I$5)=1,1,IF(INDEX([1]Pivot!$B$1:$AB$65000,$B854,I$5)="",2,0)),0)</f>
        <v>0</v>
      </c>
      <c r="J854" s="194">
        <f>IFERROR(IF(INDEX([1]Pivot!$AD$1:$BE$65000,$B854,J$5)=1,1,IF(INDEX([1]Pivot!$B$1:$AB$65000,$B854,J$5)="",2,0)),0)</f>
        <v>0</v>
      </c>
      <c r="K854" s="194">
        <f>IFERROR(IF(INDEX([1]Pivot!$AD$1:$BE$65000,$B854,K$5)=1,1,IF(INDEX([1]Pivot!$B$1:$AB$65000,$B854,K$5)="",2,0)),0)</f>
        <v>0</v>
      </c>
      <c r="L854" s="194">
        <f>IFERROR(IF(INDEX([1]Pivot!$AD$1:$BE$65000,$B854,L$5)=1,1,IF(INDEX([1]Pivot!$B$1:$AB$65000,$B854,L$5)="",2,0)),0)</f>
        <v>0</v>
      </c>
      <c r="M854" s="194">
        <f>IFERROR(IF(INDEX([1]Pivot!$AD$1:$BE$65000,$B854,M$5)=1,1,IF(INDEX([1]Pivot!$B$1:$AB$65000,$B854,M$5)="",2,0)),0)</f>
        <v>0</v>
      </c>
      <c r="N854" s="194">
        <f>IFERROR(IF(INDEX([1]Pivot!$AD$1:$BE$65000,$B854,N$5)=1,1,IF(INDEX([1]Pivot!$B$1:$AB$65000,$B854,N$5)="",2,0)),0)</f>
        <v>0</v>
      </c>
      <c r="O854" s="194">
        <f>IFERROR(IF(INDEX([1]Pivot!$AD$1:$BE$65000,$B854,O$5)=1,1,IF(INDEX([1]Pivot!$B$1:$AB$65000,$B854,O$5)="",2,0)),0)</f>
        <v>0</v>
      </c>
      <c r="P854" s="194">
        <f>IFERROR(IF(INDEX([1]Pivot!$AD$1:$BE$65000,$B854,P$5)=1,1,IF(INDEX([1]Pivot!$B$1:$AB$65000,$B854,P$5)="",2,0)),0)</f>
        <v>0</v>
      </c>
      <c r="Q854" s="194">
        <f>IFERROR(IF(INDEX([1]Pivot!$AD$1:$BE$65000,$B854,Q$5)=1,1,IF(INDEX([1]Pivot!$B$1:$AB$65000,$B854,Q$5)="",2,0)),0)</f>
        <v>0</v>
      </c>
      <c r="R854" s="312"/>
      <c r="S854" s="194">
        <f>IFERROR(IF(INDEX([1]Pivot!$AD$1:$BE$65000,$B854,S$5)=1,1,IF(INDEX([1]Pivot!$B$1:$AB$65000,$B854,S$5)="",2,0)),0)</f>
        <v>0</v>
      </c>
      <c r="T854" s="194">
        <f>IFERROR(IF(INDEX([1]Pivot!$AD$1:$BE$65000,$B854,T$5)=1,1,IF(INDEX([1]Pivot!$B$1:$AB$65000,$B854,T$5)="",2,0)),0)</f>
        <v>0</v>
      </c>
      <c r="U854" s="194">
        <f>IFERROR(IF(INDEX([1]Pivot!$AD$1:$BE$65000,$B854,U$5)=1,1,IF(INDEX([1]Pivot!$B$1:$AB$65000,$B854,U$5)="",2,0)),0)</f>
        <v>0</v>
      </c>
      <c r="V854" s="194">
        <f>IFERROR(IF(INDEX([1]Pivot!$AD$1:$BE$65000,$B854,V$5)=1,1,IF(INDEX([1]Pivot!$B$1:$AB$65000,$B854,V$5)="",2,0)),0)</f>
        <v>0</v>
      </c>
      <c r="W854" s="194">
        <f>IFERROR(IF(INDEX([1]Pivot!$AD$1:$BE$65000,$B854,W$5)=1,1,IF(INDEX([1]Pivot!$B$1:$AB$65000,$B854,W$5)="",2,0)),0)</f>
        <v>0</v>
      </c>
      <c r="X854" s="194">
        <f>IFERROR(IF(INDEX([1]Pivot!$AD$1:$BE$65000,$B854,X$5)=1,1,IF(INDEX([1]Pivot!$B$1:$AB$65000,$B854,X$5)="",2,0)),0)</f>
        <v>0</v>
      </c>
      <c r="Y854" s="194">
        <f>IFERROR(IF(INDEX([1]Pivot!$AD$1:$BE$65000,$B854,Y$5)=1,1,IF(INDEX([1]Pivot!$B$1:$AB$65000,$B854,Y$5)="",2,0)),0)</f>
        <v>0</v>
      </c>
      <c r="Z854" s="194">
        <f>IFERROR(IF(INDEX([1]Pivot!$AD$1:$BE$65000,$B854,Z$5)=1,1,IF(INDEX([1]Pivot!$B$1:$AB$65000,$B854,Z$5)="",2,0)),0)</f>
        <v>0</v>
      </c>
      <c r="AA854" s="194">
        <f>IFERROR(IF(INDEX([1]Pivot!$AD$1:$BE$65000,$B854,AA$5)=1,1,IF(INDEX([1]Pivot!$B$1:$AB$65000,$B854,AA$5)="",2,0)),0)</f>
        <v>0</v>
      </c>
      <c r="AB854" s="194">
        <f>IFERROR(IF(INDEX([1]Pivot!$AD$1:$BE$65000,$B854,AB$5)=1,1,IF(INDEX([1]Pivot!$B$1:$AB$65000,$B854,AB$5)="",2,0)),0)</f>
        <v>0</v>
      </c>
      <c r="AC854" s="194">
        <f>IFERROR(IF(INDEX([1]Pivot!$AD$1:$BE$65000,$B854,AC$5)=1,1,IF(INDEX([1]Pivot!$B$1:$AB$65000,$B854,AC$5)="",2,0)),0)</f>
        <v>0</v>
      </c>
      <c r="AD854" s="313">
        <f>IFERROR(IF(INDEX([1]Pivot!$BF$1:$CG$65000,$B854,AD$5)=1,1,IF(INDEX([1]Pivot!$B$1:$AB$65000,$B854,AD$5)="",2,0)),0)</f>
        <v>0</v>
      </c>
      <c r="AE854" s="313">
        <f>IFERROR(IF(INDEX([1]Pivot!$BF$1:$CG$65000,$B854,AE$5)=1,1,IF(INDEX([1]Pivot!$B$1:$AB$65000,$B854,AE$5)="",2,0)),0)</f>
        <v>0</v>
      </c>
      <c r="AF854" s="313">
        <f>IFERROR(IF(INDEX([1]Pivot!$BF$1:$CG$65000,$B854,AF$5)=1,1,IF(INDEX([1]Pivot!$B$1:$AB$65000,$B854,AF$5)="",2,0)),0)</f>
        <v>0</v>
      </c>
      <c r="AG854" s="313">
        <f>IFERROR(IF(INDEX([1]Pivot!$BF$1:$CG$65000,$B854,AG$5)=1,1,IF(INDEX([1]Pivot!$B$1:$AB$65000,$B854,AG$5)="",2,0)),0)</f>
        <v>0</v>
      </c>
      <c r="AH854" s="313">
        <f>IFERROR(IF(INDEX([1]Pivot!$BF$1:$CG$65000,$B854,AH$5)=1,1,IF(INDEX([1]Pivot!$B$1:$AB$65000,$B854,AH$5)="",2,0)),0)</f>
        <v>0</v>
      </c>
      <c r="AI854" s="313">
        <f>IFERROR(IF(INDEX([1]Pivot!$BF$1:$CG$65000,$B854,AI$5)=1,1,IF(INDEX([1]Pivot!$B$1:$AB$65000,$B854,AI$5)="",2,0)),0)</f>
        <v>0</v>
      </c>
      <c r="AJ854" s="313">
        <f>IFERROR(IF(INDEX([1]Pivot!$BF$1:$CG$65000,$B854,AJ$5)=1,1,IF(INDEX([1]Pivot!$B$1:$AB$65000,$B854,AJ$5)="",2,0)),0)</f>
        <v>0</v>
      </c>
      <c r="AK854" s="313">
        <f>IFERROR(IF(INDEX([1]Pivot!$BF$1:$CG$65000,$B854,AK$5)=1,1,IF(INDEX([1]Pivot!$B$1:$AB$65000,$B854,AK$5)="",2,0)),0)</f>
        <v>0</v>
      </c>
      <c r="AL854" s="313">
        <f>IFERROR(IF(INDEX([1]Pivot!$BF$1:$CG$65000,$B854,AL$5)=1,1,IF(INDEX([1]Pivot!$B$1:$AB$65000,$B854,AL$5)="",2,0)),0)</f>
        <v>0</v>
      </c>
      <c r="AM854" s="313">
        <f>IFERROR(IF(INDEX([1]Pivot!$BF$1:$CG$65000,$B854,AM$5)=1,1,IF(INDEX([1]Pivot!$B$1:$AB$65000,$B854,AM$5)="",2,0)),0)</f>
        <v>0</v>
      </c>
      <c r="AN854" s="313">
        <f>IFERROR(IF(INDEX([1]Pivot!$BF$1:$CG$65000,$B854,AN$5)=1,1,IF(INDEX([1]Pivot!$B$1:$AB$65000,$B854,AN$5)="",2,0)),0)</f>
        <v>0</v>
      </c>
      <c r="AO854" s="313">
        <f>IFERROR(IF(INDEX([1]Pivot!$BF$1:$CG$65000,$B854,AO$5)=1,1,IF(INDEX([1]Pivot!$B$1:$AB$65000,$B854,AO$5)="",2,0)),0)</f>
        <v>0</v>
      </c>
      <c r="AP854" s="313">
        <f>IFERROR(IF(INDEX([1]Pivot!$BF$1:$CG$65000,$B854,AP$5)=1,1,IF(INDEX([1]Pivot!$B$1:$AB$65000,$B854,AP$5)="",2,0)),0)</f>
        <v>0</v>
      </c>
      <c r="AQ854" s="313">
        <f>IFERROR(IF(INDEX([1]Pivot!$BF$1:$CG$65000,$B854,AQ$5)=1,1,IF(INDEX([1]Pivot!$B$1:$AB$65000,$B854,AQ$5)="",2,0)),0)</f>
        <v>0</v>
      </c>
      <c r="AR854" s="313">
        <f>IFERROR(IF(INDEX([1]Pivot!$BF$1:$CG$65000,$B854,AR$5)=1,1,IF(INDEX([1]Pivot!$B$1:$AB$65000,$B854,AR$5)="",2,0)),0)</f>
        <v>0</v>
      </c>
      <c r="AS854" s="312"/>
      <c r="AT854" s="313">
        <f>IFERROR(IF(INDEX([1]Pivot!$BF$1:$CG$65000,$B854,AT$5)=1,1,IF(INDEX([1]Pivot!$B$1:$AB$65000,$B854,AT$5)="",2,0)),0)</f>
        <v>0</v>
      </c>
      <c r="AU854" s="313">
        <f>IFERROR(IF(INDEX([1]Pivot!$BF$1:$CG$65000,$B854,AU$5)=1,1,IF(INDEX([1]Pivot!$B$1:$AB$65000,$B854,AU$5)="",2,0)),0)</f>
        <v>0</v>
      </c>
      <c r="AV854" s="313">
        <f>IFERROR(IF(INDEX([1]Pivot!$BF$1:$CG$65000,$B854,AV$5)=1,1,IF(INDEX([1]Pivot!$B$1:$AB$65000,$B854,AV$5)="",2,0)),0)</f>
        <v>0</v>
      </c>
      <c r="AW854" s="313">
        <f>IFERROR(IF(INDEX([1]Pivot!$BF$1:$CG$65000,$B854,AW$5)=1,1,IF(INDEX([1]Pivot!$B$1:$AB$65000,$B854,AW$5)="",2,0)),0)</f>
        <v>0</v>
      </c>
      <c r="AX854" s="313">
        <f>IFERROR(IF(INDEX([1]Pivot!$BF$1:$CG$65000,$B854,AX$5)=1,1,IF(INDEX([1]Pivot!$B$1:$AB$65000,$B854,AX$5)="",2,0)),0)</f>
        <v>0</v>
      </c>
      <c r="AY854" s="313">
        <f>IFERROR(IF(INDEX([1]Pivot!$BF$1:$CG$65000,$B854,AY$5)=1,1,IF(INDEX([1]Pivot!$B$1:$AB$65000,$B854,AY$5)="",2,0)),0)</f>
        <v>0</v>
      </c>
      <c r="AZ854" s="313">
        <f>IFERROR(IF(INDEX([1]Pivot!$BF$1:$CG$65000,$B854,AZ$5)=1,1,IF(INDEX([1]Pivot!$B$1:$AB$65000,$B854,AZ$5)="",2,0)),0)</f>
        <v>0</v>
      </c>
      <c r="BA854" s="313">
        <f>IFERROR(IF(INDEX([1]Pivot!$BF$1:$CG$65000,$B854,BA$5)=1,1,IF(INDEX([1]Pivot!$B$1:$AB$65000,$B854,BA$5)="",2,0)),0)</f>
        <v>0</v>
      </c>
      <c r="BB854" s="313">
        <f>IFERROR(IF(INDEX([1]Pivot!$BF$1:$CG$65000,$B854,BB$5)=1,1,IF(INDEX([1]Pivot!$B$1:$AB$65000,$B854,BB$5)="",2,0)),0)</f>
        <v>0</v>
      </c>
      <c r="BC854" s="313">
        <f>IFERROR(IF(INDEX([1]Pivot!$BF$1:$CG$65000,$B854,BC$5)=1,1,IF(INDEX([1]Pivot!$B$1:$AB$65000,$B854,BC$5)="",2,0)),0)</f>
        <v>0</v>
      </c>
      <c r="BD854" s="313">
        <f>IFERROR(IF(INDEX([1]Pivot!$BF$1:$CG$65000,$B854,BD$5)=1,1,IF(INDEX([1]Pivot!$B$1:$AB$65000,$B854,BD$5)="",2,0)),0)</f>
        <v>0</v>
      </c>
    </row>
    <row r="855" spans="1:56" x14ac:dyDescent="0.25">
      <c r="A855" s="288">
        <f>'[2]Raw Milk Prices'!A855</f>
        <v>0</v>
      </c>
      <c r="B855" s="296" t="e">
        <f>MATCH(DATE(LEFT('[2]Raw Milk Prices'!$A855,4),RIGHT('[2]Raw Milk Prices'!$A855,2),1),[1]Pivot!$A$1:$A$65000,0)</f>
        <v>#VALUE!</v>
      </c>
      <c r="C855" s="194">
        <f>IFERROR(IF(INDEX([1]Pivot!$AD$1:$BE$65000,$B855,C$5)=1,1,IF(INDEX([1]Pivot!$B$1:$AB$65000,$B855,C$5)="",2,0)),0)</f>
        <v>0</v>
      </c>
      <c r="D855" s="194">
        <f>IFERROR(IF(INDEX([1]Pivot!$AD$1:$BE$65000,$B855,D$5)=1,1,IF(INDEX([1]Pivot!$B$1:$AB$65000,$B855,D$5)="",2,0)),0)</f>
        <v>0</v>
      </c>
      <c r="E855" s="194">
        <f>IFERROR(IF(INDEX([1]Pivot!$AD$1:$BE$65000,$B855,E$5)=1,1,IF(INDEX([1]Pivot!$B$1:$AB$65000,$B855,E$5)="",2,0)),0)</f>
        <v>0</v>
      </c>
      <c r="F855" s="194">
        <f>IFERROR(IF(INDEX([1]Pivot!$AD$1:$BE$65000,$B855,F$5)=1,1,IF(INDEX([1]Pivot!$B$1:$AB$65000,$B855,F$5)="",2,0)),0)</f>
        <v>0</v>
      </c>
      <c r="G855" s="194">
        <f>IFERROR(IF(INDEX([1]Pivot!$AD$1:$BE$65000,$B855,G$5)=1,1,IF(INDEX([1]Pivot!$B$1:$AB$65000,$B855,G$5)="",2,0)),0)</f>
        <v>0</v>
      </c>
      <c r="H855" s="194">
        <f>IFERROR(IF(INDEX([1]Pivot!$AD$1:$BE$65000,$B855,H$5)=1,1,IF(INDEX([1]Pivot!$B$1:$AB$65000,$B855,H$5)="",2,0)),0)</f>
        <v>0</v>
      </c>
      <c r="I855" s="194">
        <f>IFERROR(IF(INDEX([1]Pivot!$AD$1:$BE$65000,$B855,I$5)=1,1,IF(INDEX([1]Pivot!$B$1:$AB$65000,$B855,I$5)="",2,0)),0)</f>
        <v>0</v>
      </c>
      <c r="J855" s="194">
        <f>IFERROR(IF(INDEX([1]Pivot!$AD$1:$BE$65000,$B855,J$5)=1,1,IF(INDEX([1]Pivot!$B$1:$AB$65000,$B855,J$5)="",2,0)),0)</f>
        <v>0</v>
      </c>
      <c r="K855" s="194">
        <f>IFERROR(IF(INDEX([1]Pivot!$AD$1:$BE$65000,$B855,K$5)=1,1,IF(INDEX([1]Pivot!$B$1:$AB$65000,$B855,K$5)="",2,0)),0)</f>
        <v>0</v>
      </c>
      <c r="L855" s="194">
        <f>IFERROR(IF(INDEX([1]Pivot!$AD$1:$BE$65000,$B855,L$5)=1,1,IF(INDEX([1]Pivot!$B$1:$AB$65000,$B855,L$5)="",2,0)),0)</f>
        <v>0</v>
      </c>
      <c r="M855" s="194">
        <f>IFERROR(IF(INDEX([1]Pivot!$AD$1:$BE$65000,$B855,M$5)=1,1,IF(INDEX([1]Pivot!$B$1:$AB$65000,$B855,M$5)="",2,0)),0)</f>
        <v>0</v>
      </c>
      <c r="N855" s="194">
        <f>IFERROR(IF(INDEX([1]Pivot!$AD$1:$BE$65000,$B855,N$5)=1,1,IF(INDEX([1]Pivot!$B$1:$AB$65000,$B855,N$5)="",2,0)),0)</f>
        <v>0</v>
      </c>
      <c r="O855" s="194">
        <f>IFERROR(IF(INDEX([1]Pivot!$AD$1:$BE$65000,$B855,O$5)=1,1,IF(INDEX([1]Pivot!$B$1:$AB$65000,$B855,O$5)="",2,0)),0)</f>
        <v>0</v>
      </c>
      <c r="P855" s="194">
        <f>IFERROR(IF(INDEX([1]Pivot!$AD$1:$BE$65000,$B855,P$5)=1,1,IF(INDEX([1]Pivot!$B$1:$AB$65000,$B855,P$5)="",2,0)),0)</f>
        <v>0</v>
      </c>
      <c r="Q855" s="194">
        <f>IFERROR(IF(INDEX([1]Pivot!$AD$1:$BE$65000,$B855,Q$5)=1,1,IF(INDEX([1]Pivot!$B$1:$AB$65000,$B855,Q$5)="",2,0)),0)</f>
        <v>0</v>
      </c>
      <c r="R855" s="312"/>
      <c r="S855" s="194">
        <f>IFERROR(IF(INDEX([1]Pivot!$AD$1:$BE$65000,$B855,S$5)=1,1,IF(INDEX([1]Pivot!$B$1:$AB$65000,$B855,S$5)="",2,0)),0)</f>
        <v>0</v>
      </c>
      <c r="T855" s="194">
        <f>IFERROR(IF(INDEX([1]Pivot!$AD$1:$BE$65000,$B855,T$5)=1,1,IF(INDEX([1]Pivot!$B$1:$AB$65000,$B855,T$5)="",2,0)),0)</f>
        <v>0</v>
      </c>
      <c r="U855" s="194">
        <f>IFERROR(IF(INDEX([1]Pivot!$AD$1:$BE$65000,$B855,U$5)=1,1,IF(INDEX([1]Pivot!$B$1:$AB$65000,$B855,U$5)="",2,0)),0)</f>
        <v>0</v>
      </c>
      <c r="V855" s="194">
        <f>IFERROR(IF(INDEX([1]Pivot!$AD$1:$BE$65000,$B855,V$5)=1,1,IF(INDEX([1]Pivot!$B$1:$AB$65000,$B855,V$5)="",2,0)),0)</f>
        <v>0</v>
      </c>
      <c r="W855" s="194">
        <f>IFERROR(IF(INDEX([1]Pivot!$AD$1:$BE$65000,$B855,W$5)=1,1,IF(INDEX([1]Pivot!$B$1:$AB$65000,$B855,W$5)="",2,0)),0)</f>
        <v>0</v>
      </c>
      <c r="X855" s="194">
        <f>IFERROR(IF(INDEX([1]Pivot!$AD$1:$BE$65000,$B855,X$5)=1,1,IF(INDEX([1]Pivot!$B$1:$AB$65000,$B855,X$5)="",2,0)),0)</f>
        <v>0</v>
      </c>
      <c r="Y855" s="194">
        <f>IFERROR(IF(INDEX([1]Pivot!$AD$1:$BE$65000,$B855,Y$5)=1,1,IF(INDEX([1]Pivot!$B$1:$AB$65000,$B855,Y$5)="",2,0)),0)</f>
        <v>0</v>
      </c>
      <c r="Z855" s="194">
        <f>IFERROR(IF(INDEX([1]Pivot!$AD$1:$BE$65000,$B855,Z$5)=1,1,IF(INDEX([1]Pivot!$B$1:$AB$65000,$B855,Z$5)="",2,0)),0)</f>
        <v>0</v>
      </c>
      <c r="AA855" s="194">
        <f>IFERROR(IF(INDEX([1]Pivot!$AD$1:$BE$65000,$B855,AA$5)=1,1,IF(INDEX([1]Pivot!$B$1:$AB$65000,$B855,AA$5)="",2,0)),0)</f>
        <v>0</v>
      </c>
      <c r="AB855" s="194">
        <f>IFERROR(IF(INDEX([1]Pivot!$AD$1:$BE$65000,$B855,AB$5)=1,1,IF(INDEX([1]Pivot!$B$1:$AB$65000,$B855,AB$5)="",2,0)),0)</f>
        <v>0</v>
      </c>
      <c r="AC855" s="194">
        <f>IFERROR(IF(INDEX([1]Pivot!$AD$1:$BE$65000,$B855,AC$5)=1,1,IF(INDEX([1]Pivot!$B$1:$AB$65000,$B855,AC$5)="",2,0)),0)</f>
        <v>0</v>
      </c>
      <c r="AD855" s="313">
        <f>IFERROR(IF(INDEX([1]Pivot!$BF$1:$CG$65000,$B855,AD$5)=1,1,IF(INDEX([1]Pivot!$B$1:$AB$65000,$B855,AD$5)="",2,0)),0)</f>
        <v>0</v>
      </c>
      <c r="AE855" s="313">
        <f>IFERROR(IF(INDEX([1]Pivot!$BF$1:$CG$65000,$B855,AE$5)=1,1,IF(INDEX([1]Pivot!$B$1:$AB$65000,$B855,AE$5)="",2,0)),0)</f>
        <v>0</v>
      </c>
      <c r="AF855" s="313">
        <f>IFERROR(IF(INDEX([1]Pivot!$BF$1:$CG$65000,$B855,AF$5)=1,1,IF(INDEX([1]Pivot!$B$1:$AB$65000,$B855,AF$5)="",2,0)),0)</f>
        <v>0</v>
      </c>
      <c r="AG855" s="313">
        <f>IFERROR(IF(INDEX([1]Pivot!$BF$1:$CG$65000,$B855,AG$5)=1,1,IF(INDEX([1]Pivot!$B$1:$AB$65000,$B855,AG$5)="",2,0)),0)</f>
        <v>0</v>
      </c>
      <c r="AH855" s="313">
        <f>IFERROR(IF(INDEX([1]Pivot!$BF$1:$CG$65000,$B855,AH$5)=1,1,IF(INDEX([1]Pivot!$B$1:$AB$65000,$B855,AH$5)="",2,0)),0)</f>
        <v>0</v>
      </c>
      <c r="AI855" s="313">
        <f>IFERROR(IF(INDEX([1]Pivot!$BF$1:$CG$65000,$B855,AI$5)=1,1,IF(INDEX([1]Pivot!$B$1:$AB$65000,$B855,AI$5)="",2,0)),0)</f>
        <v>0</v>
      </c>
      <c r="AJ855" s="313">
        <f>IFERROR(IF(INDEX([1]Pivot!$BF$1:$CG$65000,$B855,AJ$5)=1,1,IF(INDEX([1]Pivot!$B$1:$AB$65000,$B855,AJ$5)="",2,0)),0)</f>
        <v>0</v>
      </c>
      <c r="AK855" s="313">
        <f>IFERROR(IF(INDEX([1]Pivot!$BF$1:$CG$65000,$B855,AK$5)=1,1,IF(INDEX([1]Pivot!$B$1:$AB$65000,$B855,AK$5)="",2,0)),0)</f>
        <v>0</v>
      </c>
      <c r="AL855" s="313">
        <f>IFERROR(IF(INDEX([1]Pivot!$BF$1:$CG$65000,$B855,AL$5)=1,1,IF(INDEX([1]Pivot!$B$1:$AB$65000,$B855,AL$5)="",2,0)),0)</f>
        <v>0</v>
      </c>
      <c r="AM855" s="313">
        <f>IFERROR(IF(INDEX([1]Pivot!$BF$1:$CG$65000,$B855,AM$5)=1,1,IF(INDEX([1]Pivot!$B$1:$AB$65000,$B855,AM$5)="",2,0)),0)</f>
        <v>0</v>
      </c>
      <c r="AN855" s="313">
        <f>IFERROR(IF(INDEX([1]Pivot!$BF$1:$CG$65000,$B855,AN$5)=1,1,IF(INDEX([1]Pivot!$B$1:$AB$65000,$B855,AN$5)="",2,0)),0)</f>
        <v>0</v>
      </c>
      <c r="AO855" s="313">
        <f>IFERROR(IF(INDEX([1]Pivot!$BF$1:$CG$65000,$B855,AO$5)=1,1,IF(INDEX([1]Pivot!$B$1:$AB$65000,$B855,AO$5)="",2,0)),0)</f>
        <v>0</v>
      </c>
      <c r="AP855" s="313">
        <f>IFERROR(IF(INDEX([1]Pivot!$BF$1:$CG$65000,$B855,AP$5)=1,1,IF(INDEX([1]Pivot!$B$1:$AB$65000,$B855,AP$5)="",2,0)),0)</f>
        <v>0</v>
      </c>
      <c r="AQ855" s="313">
        <f>IFERROR(IF(INDEX([1]Pivot!$BF$1:$CG$65000,$B855,AQ$5)=1,1,IF(INDEX([1]Pivot!$B$1:$AB$65000,$B855,AQ$5)="",2,0)),0)</f>
        <v>0</v>
      </c>
      <c r="AR855" s="313">
        <f>IFERROR(IF(INDEX([1]Pivot!$BF$1:$CG$65000,$B855,AR$5)=1,1,IF(INDEX([1]Pivot!$B$1:$AB$65000,$B855,AR$5)="",2,0)),0)</f>
        <v>0</v>
      </c>
      <c r="AS855" s="312"/>
      <c r="AT855" s="313">
        <f>IFERROR(IF(INDEX([1]Pivot!$BF$1:$CG$65000,$B855,AT$5)=1,1,IF(INDEX([1]Pivot!$B$1:$AB$65000,$B855,AT$5)="",2,0)),0)</f>
        <v>0</v>
      </c>
      <c r="AU855" s="313">
        <f>IFERROR(IF(INDEX([1]Pivot!$BF$1:$CG$65000,$B855,AU$5)=1,1,IF(INDEX([1]Pivot!$B$1:$AB$65000,$B855,AU$5)="",2,0)),0)</f>
        <v>0</v>
      </c>
      <c r="AV855" s="313">
        <f>IFERROR(IF(INDEX([1]Pivot!$BF$1:$CG$65000,$B855,AV$5)=1,1,IF(INDEX([1]Pivot!$B$1:$AB$65000,$B855,AV$5)="",2,0)),0)</f>
        <v>0</v>
      </c>
      <c r="AW855" s="313">
        <f>IFERROR(IF(INDEX([1]Pivot!$BF$1:$CG$65000,$B855,AW$5)=1,1,IF(INDEX([1]Pivot!$B$1:$AB$65000,$B855,AW$5)="",2,0)),0)</f>
        <v>0</v>
      </c>
      <c r="AX855" s="313">
        <f>IFERROR(IF(INDEX([1]Pivot!$BF$1:$CG$65000,$B855,AX$5)=1,1,IF(INDEX([1]Pivot!$B$1:$AB$65000,$B855,AX$5)="",2,0)),0)</f>
        <v>0</v>
      </c>
      <c r="AY855" s="313">
        <f>IFERROR(IF(INDEX([1]Pivot!$BF$1:$CG$65000,$B855,AY$5)=1,1,IF(INDEX([1]Pivot!$B$1:$AB$65000,$B855,AY$5)="",2,0)),0)</f>
        <v>0</v>
      </c>
      <c r="AZ855" s="313">
        <f>IFERROR(IF(INDEX([1]Pivot!$BF$1:$CG$65000,$B855,AZ$5)=1,1,IF(INDEX([1]Pivot!$B$1:$AB$65000,$B855,AZ$5)="",2,0)),0)</f>
        <v>0</v>
      </c>
      <c r="BA855" s="313">
        <f>IFERROR(IF(INDEX([1]Pivot!$BF$1:$CG$65000,$B855,BA$5)=1,1,IF(INDEX([1]Pivot!$B$1:$AB$65000,$B855,BA$5)="",2,0)),0)</f>
        <v>0</v>
      </c>
      <c r="BB855" s="313">
        <f>IFERROR(IF(INDEX([1]Pivot!$BF$1:$CG$65000,$B855,BB$5)=1,1,IF(INDEX([1]Pivot!$B$1:$AB$65000,$B855,BB$5)="",2,0)),0)</f>
        <v>0</v>
      </c>
      <c r="BC855" s="313">
        <f>IFERROR(IF(INDEX([1]Pivot!$BF$1:$CG$65000,$B855,BC$5)=1,1,IF(INDEX([1]Pivot!$B$1:$AB$65000,$B855,BC$5)="",2,0)),0)</f>
        <v>0</v>
      </c>
      <c r="BD855" s="313">
        <f>IFERROR(IF(INDEX([1]Pivot!$BF$1:$CG$65000,$B855,BD$5)=1,1,IF(INDEX([1]Pivot!$B$1:$AB$65000,$B855,BD$5)="",2,0)),0)</f>
        <v>0</v>
      </c>
    </row>
    <row r="856" spans="1:56" x14ac:dyDescent="0.25">
      <c r="A856" s="288">
        <f>'[2]Raw Milk Prices'!A856</f>
        <v>0</v>
      </c>
      <c r="B856" s="296" t="e">
        <f>MATCH(DATE(LEFT('[2]Raw Milk Prices'!$A856,4),RIGHT('[2]Raw Milk Prices'!$A856,2),1),[1]Pivot!$A$1:$A$65000,0)</f>
        <v>#VALUE!</v>
      </c>
      <c r="C856" s="194">
        <f>IFERROR(IF(INDEX([1]Pivot!$AD$1:$BE$65000,$B856,C$5)=1,1,IF(INDEX([1]Pivot!$B$1:$AB$65000,$B856,C$5)="",2,0)),0)</f>
        <v>0</v>
      </c>
      <c r="D856" s="194">
        <f>IFERROR(IF(INDEX([1]Pivot!$AD$1:$BE$65000,$B856,D$5)=1,1,IF(INDEX([1]Pivot!$B$1:$AB$65000,$B856,D$5)="",2,0)),0)</f>
        <v>0</v>
      </c>
      <c r="E856" s="194">
        <f>IFERROR(IF(INDEX([1]Pivot!$AD$1:$BE$65000,$B856,E$5)=1,1,IF(INDEX([1]Pivot!$B$1:$AB$65000,$B856,E$5)="",2,0)),0)</f>
        <v>0</v>
      </c>
      <c r="F856" s="194">
        <f>IFERROR(IF(INDEX([1]Pivot!$AD$1:$BE$65000,$B856,F$5)=1,1,IF(INDEX([1]Pivot!$B$1:$AB$65000,$B856,F$5)="",2,0)),0)</f>
        <v>0</v>
      </c>
      <c r="G856" s="194">
        <f>IFERROR(IF(INDEX([1]Pivot!$AD$1:$BE$65000,$B856,G$5)=1,1,IF(INDEX([1]Pivot!$B$1:$AB$65000,$B856,G$5)="",2,0)),0)</f>
        <v>0</v>
      </c>
      <c r="H856" s="194">
        <f>IFERROR(IF(INDEX([1]Pivot!$AD$1:$BE$65000,$B856,H$5)=1,1,IF(INDEX([1]Pivot!$B$1:$AB$65000,$B856,H$5)="",2,0)),0)</f>
        <v>0</v>
      </c>
      <c r="I856" s="194">
        <f>IFERROR(IF(INDEX([1]Pivot!$AD$1:$BE$65000,$B856,I$5)=1,1,IF(INDEX([1]Pivot!$B$1:$AB$65000,$B856,I$5)="",2,0)),0)</f>
        <v>0</v>
      </c>
      <c r="J856" s="194">
        <f>IFERROR(IF(INDEX([1]Pivot!$AD$1:$BE$65000,$B856,J$5)=1,1,IF(INDEX([1]Pivot!$B$1:$AB$65000,$B856,J$5)="",2,0)),0)</f>
        <v>0</v>
      </c>
      <c r="K856" s="194">
        <f>IFERROR(IF(INDEX([1]Pivot!$AD$1:$BE$65000,$B856,K$5)=1,1,IF(INDEX([1]Pivot!$B$1:$AB$65000,$B856,K$5)="",2,0)),0)</f>
        <v>0</v>
      </c>
      <c r="L856" s="194">
        <f>IFERROR(IF(INDEX([1]Pivot!$AD$1:$BE$65000,$B856,L$5)=1,1,IF(INDEX([1]Pivot!$B$1:$AB$65000,$B856,L$5)="",2,0)),0)</f>
        <v>0</v>
      </c>
      <c r="M856" s="194">
        <f>IFERROR(IF(INDEX([1]Pivot!$AD$1:$BE$65000,$B856,M$5)=1,1,IF(INDEX([1]Pivot!$B$1:$AB$65000,$B856,M$5)="",2,0)),0)</f>
        <v>0</v>
      </c>
      <c r="N856" s="194">
        <f>IFERROR(IF(INDEX([1]Pivot!$AD$1:$BE$65000,$B856,N$5)=1,1,IF(INDEX([1]Pivot!$B$1:$AB$65000,$B856,N$5)="",2,0)),0)</f>
        <v>0</v>
      </c>
      <c r="O856" s="194">
        <f>IFERROR(IF(INDEX([1]Pivot!$AD$1:$BE$65000,$B856,O$5)=1,1,IF(INDEX([1]Pivot!$B$1:$AB$65000,$B856,O$5)="",2,0)),0)</f>
        <v>0</v>
      </c>
      <c r="P856" s="194">
        <f>IFERROR(IF(INDEX([1]Pivot!$AD$1:$BE$65000,$B856,P$5)=1,1,IF(INDEX([1]Pivot!$B$1:$AB$65000,$B856,P$5)="",2,0)),0)</f>
        <v>0</v>
      </c>
      <c r="Q856" s="194">
        <f>IFERROR(IF(INDEX([1]Pivot!$AD$1:$BE$65000,$B856,Q$5)=1,1,IF(INDEX([1]Pivot!$B$1:$AB$65000,$B856,Q$5)="",2,0)),0)</f>
        <v>0</v>
      </c>
      <c r="R856" s="312"/>
      <c r="S856" s="194">
        <f>IFERROR(IF(INDEX([1]Pivot!$AD$1:$BE$65000,$B856,S$5)=1,1,IF(INDEX([1]Pivot!$B$1:$AB$65000,$B856,S$5)="",2,0)),0)</f>
        <v>0</v>
      </c>
      <c r="T856" s="194">
        <f>IFERROR(IF(INDEX([1]Pivot!$AD$1:$BE$65000,$B856,T$5)=1,1,IF(INDEX([1]Pivot!$B$1:$AB$65000,$B856,T$5)="",2,0)),0)</f>
        <v>0</v>
      </c>
      <c r="U856" s="194">
        <f>IFERROR(IF(INDEX([1]Pivot!$AD$1:$BE$65000,$B856,U$5)=1,1,IF(INDEX([1]Pivot!$B$1:$AB$65000,$B856,U$5)="",2,0)),0)</f>
        <v>0</v>
      </c>
      <c r="V856" s="194">
        <f>IFERROR(IF(INDEX([1]Pivot!$AD$1:$BE$65000,$B856,V$5)=1,1,IF(INDEX([1]Pivot!$B$1:$AB$65000,$B856,V$5)="",2,0)),0)</f>
        <v>0</v>
      </c>
      <c r="W856" s="194">
        <f>IFERROR(IF(INDEX([1]Pivot!$AD$1:$BE$65000,$B856,W$5)=1,1,IF(INDEX([1]Pivot!$B$1:$AB$65000,$B856,W$5)="",2,0)),0)</f>
        <v>0</v>
      </c>
      <c r="X856" s="194">
        <f>IFERROR(IF(INDEX([1]Pivot!$AD$1:$BE$65000,$B856,X$5)=1,1,IF(INDEX([1]Pivot!$B$1:$AB$65000,$B856,X$5)="",2,0)),0)</f>
        <v>0</v>
      </c>
      <c r="Y856" s="194">
        <f>IFERROR(IF(INDEX([1]Pivot!$AD$1:$BE$65000,$B856,Y$5)=1,1,IF(INDEX([1]Pivot!$B$1:$AB$65000,$B856,Y$5)="",2,0)),0)</f>
        <v>0</v>
      </c>
      <c r="Z856" s="194">
        <f>IFERROR(IF(INDEX([1]Pivot!$AD$1:$BE$65000,$B856,Z$5)=1,1,IF(INDEX([1]Pivot!$B$1:$AB$65000,$B856,Z$5)="",2,0)),0)</f>
        <v>0</v>
      </c>
      <c r="AA856" s="194">
        <f>IFERROR(IF(INDEX([1]Pivot!$AD$1:$BE$65000,$B856,AA$5)=1,1,IF(INDEX([1]Pivot!$B$1:$AB$65000,$B856,AA$5)="",2,0)),0)</f>
        <v>0</v>
      </c>
      <c r="AB856" s="194">
        <f>IFERROR(IF(INDEX([1]Pivot!$AD$1:$BE$65000,$B856,AB$5)=1,1,IF(INDEX([1]Pivot!$B$1:$AB$65000,$B856,AB$5)="",2,0)),0)</f>
        <v>0</v>
      </c>
      <c r="AC856" s="194">
        <f>IFERROR(IF(INDEX([1]Pivot!$AD$1:$BE$65000,$B856,AC$5)=1,1,IF(INDEX([1]Pivot!$B$1:$AB$65000,$B856,AC$5)="",2,0)),0)</f>
        <v>0</v>
      </c>
      <c r="AD856" s="313">
        <f>IFERROR(IF(INDEX([1]Pivot!$BF$1:$CG$65000,$B856,AD$5)=1,1,IF(INDEX([1]Pivot!$B$1:$AB$65000,$B856,AD$5)="",2,0)),0)</f>
        <v>0</v>
      </c>
      <c r="AE856" s="313">
        <f>IFERROR(IF(INDEX([1]Pivot!$BF$1:$CG$65000,$B856,AE$5)=1,1,IF(INDEX([1]Pivot!$B$1:$AB$65000,$B856,AE$5)="",2,0)),0)</f>
        <v>0</v>
      </c>
      <c r="AF856" s="313">
        <f>IFERROR(IF(INDEX([1]Pivot!$BF$1:$CG$65000,$B856,AF$5)=1,1,IF(INDEX([1]Pivot!$B$1:$AB$65000,$B856,AF$5)="",2,0)),0)</f>
        <v>0</v>
      </c>
      <c r="AG856" s="313">
        <f>IFERROR(IF(INDEX([1]Pivot!$BF$1:$CG$65000,$B856,AG$5)=1,1,IF(INDEX([1]Pivot!$B$1:$AB$65000,$B856,AG$5)="",2,0)),0)</f>
        <v>0</v>
      </c>
      <c r="AH856" s="313">
        <f>IFERROR(IF(INDEX([1]Pivot!$BF$1:$CG$65000,$B856,AH$5)=1,1,IF(INDEX([1]Pivot!$B$1:$AB$65000,$B856,AH$5)="",2,0)),0)</f>
        <v>0</v>
      </c>
      <c r="AI856" s="313">
        <f>IFERROR(IF(INDEX([1]Pivot!$BF$1:$CG$65000,$B856,AI$5)=1,1,IF(INDEX([1]Pivot!$B$1:$AB$65000,$B856,AI$5)="",2,0)),0)</f>
        <v>0</v>
      </c>
      <c r="AJ856" s="313">
        <f>IFERROR(IF(INDEX([1]Pivot!$BF$1:$CG$65000,$B856,AJ$5)=1,1,IF(INDEX([1]Pivot!$B$1:$AB$65000,$B856,AJ$5)="",2,0)),0)</f>
        <v>0</v>
      </c>
      <c r="AK856" s="313">
        <f>IFERROR(IF(INDEX([1]Pivot!$BF$1:$CG$65000,$B856,AK$5)=1,1,IF(INDEX([1]Pivot!$B$1:$AB$65000,$B856,AK$5)="",2,0)),0)</f>
        <v>0</v>
      </c>
      <c r="AL856" s="313">
        <f>IFERROR(IF(INDEX([1]Pivot!$BF$1:$CG$65000,$B856,AL$5)=1,1,IF(INDEX([1]Pivot!$B$1:$AB$65000,$B856,AL$5)="",2,0)),0)</f>
        <v>0</v>
      </c>
      <c r="AM856" s="313">
        <f>IFERROR(IF(INDEX([1]Pivot!$BF$1:$CG$65000,$B856,AM$5)=1,1,IF(INDEX([1]Pivot!$B$1:$AB$65000,$B856,AM$5)="",2,0)),0)</f>
        <v>0</v>
      </c>
      <c r="AN856" s="313">
        <f>IFERROR(IF(INDEX([1]Pivot!$BF$1:$CG$65000,$B856,AN$5)=1,1,IF(INDEX([1]Pivot!$B$1:$AB$65000,$B856,AN$5)="",2,0)),0)</f>
        <v>0</v>
      </c>
      <c r="AO856" s="313">
        <f>IFERROR(IF(INDEX([1]Pivot!$BF$1:$CG$65000,$B856,AO$5)=1,1,IF(INDEX([1]Pivot!$B$1:$AB$65000,$B856,AO$5)="",2,0)),0)</f>
        <v>0</v>
      </c>
      <c r="AP856" s="313">
        <f>IFERROR(IF(INDEX([1]Pivot!$BF$1:$CG$65000,$B856,AP$5)=1,1,IF(INDEX([1]Pivot!$B$1:$AB$65000,$B856,AP$5)="",2,0)),0)</f>
        <v>0</v>
      </c>
      <c r="AQ856" s="313">
        <f>IFERROR(IF(INDEX([1]Pivot!$BF$1:$CG$65000,$B856,AQ$5)=1,1,IF(INDEX([1]Pivot!$B$1:$AB$65000,$B856,AQ$5)="",2,0)),0)</f>
        <v>0</v>
      </c>
      <c r="AR856" s="313">
        <f>IFERROR(IF(INDEX([1]Pivot!$BF$1:$CG$65000,$B856,AR$5)=1,1,IF(INDEX([1]Pivot!$B$1:$AB$65000,$B856,AR$5)="",2,0)),0)</f>
        <v>0</v>
      </c>
      <c r="AS856" s="312"/>
      <c r="AT856" s="313">
        <f>IFERROR(IF(INDEX([1]Pivot!$BF$1:$CG$65000,$B856,AT$5)=1,1,IF(INDEX([1]Pivot!$B$1:$AB$65000,$B856,AT$5)="",2,0)),0)</f>
        <v>0</v>
      </c>
      <c r="AU856" s="313">
        <f>IFERROR(IF(INDEX([1]Pivot!$BF$1:$CG$65000,$B856,AU$5)=1,1,IF(INDEX([1]Pivot!$B$1:$AB$65000,$B856,AU$5)="",2,0)),0)</f>
        <v>0</v>
      </c>
      <c r="AV856" s="313">
        <f>IFERROR(IF(INDEX([1]Pivot!$BF$1:$CG$65000,$B856,AV$5)=1,1,IF(INDEX([1]Pivot!$B$1:$AB$65000,$B856,AV$5)="",2,0)),0)</f>
        <v>0</v>
      </c>
      <c r="AW856" s="313">
        <f>IFERROR(IF(INDEX([1]Pivot!$BF$1:$CG$65000,$B856,AW$5)=1,1,IF(INDEX([1]Pivot!$B$1:$AB$65000,$B856,AW$5)="",2,0)),0)</f>
        <v>0</v>
      </c>
      <c r="AX856" s="313">
        <f>IFERROR(IF(INDEX([1]Pivot!$BF$1:$CG$65000,$B856,AX$5)=1,1,IF(INDEX([1]Pivot!$B$1:$AB$65000,$B856,AX$5)="",2,0)),0)</f>
        <v>0</v>
      </c>
      <c r="AY856" s="313">
        <f>IFERROR(IF(INDEX([1]Pivot!$BF$1:$CG$65000,$B856,AY$5)=1,1,IF(INDEX([1]Pivot!$B$1:$AB$65000,$B856,AY$5)="",2,0)),0)</f>
        <v>0</v>
      </c>
      <c r="AZ856" s="313">
        <f>IFERROR(IF(INDEX([1]Pivot!$BF$1:$CG$65000,$B856,AZ$5)=1,1,IF(INDEX([1]Pivot!$B$1:$AB$65000,$B856,AZ$5)="",2,0)),0)</f>
        <v>0</v>
      </c>
      <c r="BA856" s="313">
        <f>IFERROR(IF(INDEX([1]Pivot!$BF$1:$CG$65000,$B856,BA$5)=1,1,IF(INDEX([1]Pivot!$B$1:$AB$65000,$B856,BA$5)="",2,0)),0)</f>
        <v>0</v>
      </c>
      <c r="BB856" s="313">
        <f>IFERROR(IF(INDEX([1]Pivot!$BF$1:$CG$65000,$B856,BB$5)=1,1,IF(INDEX([1]Pivot!$B$1:$AB$65000,$B856,BB$5)="",2,0)),0)</f>
        <v>0</v>
      </c>
      <c r="BC856" s="313">
        <f>IFERROR(IF(INDEX([1]Pivot!$BF$1:$CG$65000,$B856,BC$5)=1,1,IF(INDEX([1]Pivot!$B$1:$AB$65000,$B856,BC$5)="",2,0)),0)</f>
        <v>0</v>
      </c>
      <c r="BD856" s="313">
        <f>IFERROR(IF(INDEX([1]Pivot!$BF$1:$CG$65000,$B856,BD$5)=1,1,IF(INDEX([1]Pivot!$B$1:$AB$65000,$B856,BD$5)="",2,0)),0)</f>
        <v>0</v>
      </c>
    </row>
    <row r="857" spans="1:56" x14ac:dyDescent="0.25">
      <c r="A857" s="288">
        <f>'[2]Raw Milk Prices'!A857</f>
        <v>0</v>
      </c>
      <c r="B857" s="296" t="e">
        <f>MATCH(DATE(LEFT('[2]Raw Milk Prices'!$A857,4),RIGHT('[2]Raw Milk Prices'!$A857,2),1),[1]Pivot!$A$1:$A$65000,0)</f>
        <v>#VALUE!</v>
      </c>
      <c r="C857" s="194">
        <f>IFERROR(IF(INDEX([1]Pivot!$AD$1:$BE$65000,$B857,C$5)=1,1,IF(INDEX([1]Pivot!$B$1:$AB$65000,$B857,C$5)="",2,0)),0)</f>
        <v>0</v>
      </c>
      <c r="D857" s="194">
        <f>IFERROR(IF(INDEX([1]Pivot!$AD$1:$BE$65000,$B857,D$5)=1,1,IF(INDEX([1]Pivot!$B$1:$AB$65000,$B857,D$5)="",2,0)),0)</f>
        <v>0</v>
      </c>
      <c r="E857" s="194">
        <f>IFERROR(IF(INDEX([1]Pivot!$AD$1:$BE$65000,$B857,E$5)=1,1,IF(INDEX([1]Pivot!$B$1:$AB$65000,$B857,E$5)="",2,0)),0)</f>
        <v>0</v>
      </c>
      <c r="F857" s="194">
        <f>IFERROR(IF(INDEX([1]Pivot!$AD$1:$BE$65000,$B857,F$5)=1,1,IF(INDEX([1]Pivot!$B$1:$AB$65000,$B857,F$5)="",2,0)),0)</f>
        <v>0</v>
      </c>
      <c r="G857" s="194">
        <f>IFERROR(IF(INDEX([1]Pivot!$AD$1:$BE$65000,$B857,G$5)=1,1,IF(INDEX([1]Pivot!$B$1:$AB$65000,$B857,G$5)="",2,0)),0)</f>
        <v>0</v>
      </c>
      <c r="H857" s="194">
        <f>IFERROR(IF(INDEX([1]Pivot!$AD$1:$BE$65000,$B857,H$5)=1,1,IF(INDEX([1]Pivot!$B$1:$AB$65000,$B857,H$5)="",2,0)),0)</f>
        <v>0</v>
      </c>
      <c r="I857" s="194">
        <f>IFERROR(IF(INDEX([1]Pivot!$AD$1:$BE$65000,$B857,I$5)=1,1,IF(INDEX([1]Pivot!$B$1:$AB$65000,$B857,I$5)="",2,0)),0)</f>
        <v>0</v>
      </c>
      <c r="J857" s="194">
        <f>IFERROR(IF(INDEX([1]Pivot!$AD$1:$BE$65000,$B857,J$5)=1,1,IF(INDEX([1]Pivot!$B$1:$AB$65000,$B857,J$5)="",2,0)),0)</f>
        <v>0</v>
      </c>
      <c r="K857" s="194">
        <f>IFERROR(IF(INDEX([1]Pivot!$AD$1:$BE$65000,$B857,K$5)=1,1,IF(INDEX([1]Pivot!$B$1:$AB$65000,$B857,K$5)="",2,0)),0)</f>
        <v>0</v>
      </c>
      <c r="L857" s="194">
        <f>IFERROR(IF(INDEX([1]Pivot!$AD$1:$BE$65000,$B857,L$5)=1,1,IF(INDEX([1]Pivot!$B$1:$AB$65000,$B857,L$5)="",2,0)),0)</f>
        <v>0</v>
      </c>
      <c r="M857" s="194">
        <f>IFERROR(IF(INDEX([1]Pivot!$AD$1:$BE$65000,$B857,M$5)=1,1,IF(INDEX([1]Pivot!$B$1:$AB$65000,$B857,M$5)="",2,0)),0)</f>
        <v>0</v>
      </c>
      <c r="N857" s="194">
        <f>IFERROR(IF(INDEX([1]Pivot!$AD$1:$BE$65000,$B857,N$5)=1,1,IF(INDEX([1]Pivot!$B$1:$AB$65000,$B857,N$5)="",2,0)),0)</f>
        <v>0</v>
      </c>
      <c r="O857" s="194">
        <f>IFERROR(IF(INDEX([1]Pivot!$AD$1:$BE$65000,$B857,O$5)=1,1,IF(INDEX([1]Pivot!$B$1:$AB$65000,$B857,O$5)="",2,0)),0)</f>
        <v>0</v>
      </c>
      <c r="P857" s="194">
        <f>IFERROR(IF(INDEX([1]Pivot!$AD$1:$BE$65000,$B857,P$5)=1,1,IF(INDEX([1]Pivot!$B$1:$AB$65000,$B857,P$5)="",2,0)),0)</f>
        <v>0</v>
      </c>
      <c r="Q857" s="194">
        <f>IFERROR(IF(INDEX([1]Pivot!$AD$1:$BE$65000,$B857,Q$5)=1,1,IF(INDEX([1]Pivot!$B$1:$AB$65000,$B857,Q$5)="",2,0)),0)</f>
        <v>0</v>
      </c>
      <c r="R857" s="312"/>
      <c r="S857" s="194">
        <f>IFERROR(IF(INDEX([1]Pivot!$AD$1:$BE$65000,$B857,S$5)=1,1,IF(INDEX([1]Pivot!$B$1:$AB$65000,$B857,S$5)="",2,0)),0)</f>
        <v>0</v>
      </c>
      <c r="T857" s="194">
        <f>IFERROR(IF(INDEX([1]Pivot!$AD$1:$BE$65000,$B857,T$5)=1,1,IF(INDEX([1]Pivot!$B$1:$AB$65000,$B857,T$5)="",2,0)),0)</f>
        <v>0</v>
      </c>
      <c r="U857" s="194">
        <f>IFERROR(IF(INDEX([1]Pivot!$AD$1:$BE$65000,$B857,U$5)=1,1,IF(INDEX([1]Pivot!$B$1:$AB$65000,$B857,U$5)="",2,0)),0)</f>
        <v>0</v>
      </c>
      <c r="V857" s="194">
        <f>IFERROR(IF(INDEX([1]Pivot!$AD$1:$BE$65000,$B857,V$5)=1,1,IF(INDEX([1]Pivot!$B$1:$AB$65000,$B857,V$5)="",2,0)),0)</f>
        <v>0</v>
      </c>
      <c r="W857" s="194">
        <f>IFERROR(IF(INDEX([1]Pivot!$AD$1:$BE$65000,$B857,W$5)=1,1,IF(INDEX([1]Pivot!$B$1:$AB$65000,$B857,W$5)="",2,0)),0)</f>
        <v>0</v>
      </c>
      <c r="X857" s="194">
        <f>IFERROR(IF(INDEX([1]Pivot!$AD$1:$BE$65000,$B857,X$5)=1,1,IF(INDEX([1]Pivot!$B$1:$AB$65000,$B857,X$5)="",2,0)),0)</f>
        <v>0</v>
      </c>
      <c r="Y857" s="194">
        <f>IFERROR(IF(INDEX([1]Pivot!$AD$1:$BE$65000,$B857,Y$5)=1,1,IF(INDEX([1]Pivot!$B$1:$AB$65000,$B857,Y$5)="",2,0)),0)</f>
        <v>0</v>
      </c>
      <c r="Z857" s="194">
        <f>IFERROR(IF(INDEX([1]Pivot!$AD$1:$BE$65000,$B857,Z$5)=1,1,IF(INDEX([1]Pivot!$B$1:$AB$65000,$B857,Z$5)="",2,0)),0)</f>
        <v>0</v>
      </c>
      <c r="AA857" s="194">
        <f>IFERROR(IF(INDEX([1]Pivot!$AD$1:$BE$65000,$B857,AA$5)=1,1,IF(INDEX([1]Pivot!$B$1:$AB$65000,$B857,AA$5)="",2,0)),0)</f>
        <v>0</v>
      </c>
      <c r="AB857" s="194">
        <f>IFERROR(IF(INDEX([1]Pivot!$AD$1:$BE$65000,$B857,AB$5)=1,1,IF(INDEX([1]Pivot!$B$1:$AB$65000,$B857,AB$5)="",2,0)),0)</f>
        <v>0</v>
      </c>
      <c r="AC857" s="194">
        <f>IFERROR(IF(INDEX([1]Pivot!$AD$1:$BE$65000,$B857,AC$5)=1,1,IF(INDEX([1]Pivot!$B$1:$AB$65000,$B857,AC$5)="",2,0)),0)</f>
        <v>0</v>
      </c>
      <c r="AD857" s="313">
        <f>IFERROR(IF(INDEX([1]Pivot!$BF$1:$CG$65000,$B857,AD$5)=1,1,IF(INDEX([1]Pivot!$B$1:$AB$65000,$B857,AD$5)="",2,0)),0)</f>
        <v>0</v>
      </c>
      <c r="AE857" s="313">
        <f>IFERROR(IF(INDEX([1]Pivot!$BF$1:$CG$65000,$B857,AE$5)=1,1,IF(INDEX([1]Pivot!$B$1:$AB$65000,$B857,AE$5)="",2,0)),0)</f>
        <v>0</v>
      </c>
      <c r="AF857" s="313">
        <f>IFERROR(IF(INDEX([1]Pivot!$BF$1:$CG$65000,$B857,AF$5)=1,1,IF(INDEX([1]Pivot!$B$1:$AB$65000,$B857,AF$5)="",2,0)),0)</f>
        <v>0</v>
      </c>
      <c r="AG857" s="313">
        <f>IFERROR(IF(INDEX([1]Pivot!$BF$1:$CG$65000,$B857,AG$5)=1,1,IF(INDEX([1]Pivot!$B$1:$AB$65000,$B857,AG$5)="",2,0)),0)</f>
        <v>0</v>
      </c>
      <c r="AH857" s="313">
        <f>IFERROR(IF(INDEX([1]Pivot!$BF$1:$CG$65000,$B857,AH$5)=1,1,IF(INDEX([1]Pivot!$B$1:$AB$65000,$B857,AH$5)="",2,0)),0)</f>
        <v>0</v>
      </c>
      <c r="AI857" s="313">
        <f>IFERROR(IF(INDEX([1]Pivot!$BF$1:$CG$65000,$B857,AI$5)=1,1,IF(INDEX([1]Pivot!$B$1:$AB$65000,$B857,AI$5)="",2,0)),0)</f>
        <v>0</v>
      </c>
      <c r="AJ857" s="313">
        <f>IFERROR(IF(INDEX([1]Pivot!$BF$1:$CG$65000,$B857,AJ$5)=1,1,IF(INDEX([1]Pivot!$B$1:$AB$65000,$B857,AJ$5)="",2,0)),0)</f>
        <v>0</v>
      </c>
      <c r="AK857" s="313">
        <f>IFERROR(IF(INDEX([1]Pivot!$BF$1:$CG$65000,$B857,AK$5)=1,1,IF(INDEX([1]Pivot!$B$1:$AB$65000,$B857,AK$5)="",2,0)),0)</f>
        <v>0</v>
      </c>
      <c r="AL857" s="313">
        <f>IFERROR(IF(INDEX([1]Pivot!$BF$1:$CG$65000,$B857,AL$5)=1,1,IF(INDEX([1]Pivot!$B$1:$AB$65000,$B857,AL$5)="",2,0)),0)</f>
        <v>0</v>
      </c>
      <c r="AM857" s="313">
        <f>IFERROR(IF(INDEX([1]Pivot!$BF$1:$CG$65000,$B857,AM$5)=1,1,IF(INDEX([1]Pivot!$B$1:$AB$65000,$B857,AM$5)="",2,0)),0)</f>
        <v>0</v>
      </c>
      <c r="AN857" s="313">
        <f>IFERROR(IF(INDEX([1]Pivot!$BF$1:$CG$65000,$B857,AN$5)=1,1,IF(INDEX([1]Pivot!$B$1:$AB$65000,$B857,AN$5)="",2,0)),0)</f>
        <v>0</v>
      </c>
      <c r="AO857" s="313">
        <f>IFERROR(IF(INDEX([1]Pivot!$BF$1:$CG$65000,$B857,AO$5)=1,1,IF(INDEX([1]Pivot!$B$1:$AB$65000,$B857,AO$5)="",2,0)),0)</f>
        <v>0</v>
      </c>
      <c r="AP857" s="313">
        <f>IFERROR(IF(INDEX([1]Pivot!$BF$1:$CG$65000,$B857,AP$5)=1,1,IF(INDEX([1]Pivot!$B$1:$AB$65000,$B857,AP$5)="",2,0)),0)</f>
        <v>0</v>
      </c>
      <c r="AQ857" s="313">
        <f>IFERROR(IF(INDEX([1]Pivot!$BF$1:$CG$65000,$B857,AQ$5)=1,1,IF(INDEX([1]Pivot!$B$1:$AB$65000,$B857,AQ$5)="",2,0)),0)</f>
        <v>0</v>
      </c>
      <c r="AR857" s="313">
        <f>IFERROR(IF(INDEX([1]Pivot!$BF$1:$CG$65000,$B857,AR$5)=1,1,IF(INDEX([1]Pivot!$B$1:$AB$65000,$B857,AR$5)="",2,0)),0)</f>
        <v>0</v>
      </c>
      <c r="AS857" s="312"/>
      <c r="AT857" s="313">
        <f>IFERROR(IF(INDEX([1]Pivot!$BF$1:$CG$65000,$B857,AT$5)=1,1,IF(INDEX([1]Pivot!$B$1:$AB$65000,$B857,AT$5)="",2,0)),0)</f>
        <v>0</v>
      </c>
      <c r="AU857" s="313">
        <f>IFERROR(IF(INDEX([1]Pivot!$BF$1:$CG$65000,$B857,AU$5)=1,1,IF(INDEX([1]Pivot!$B$1:$AB$65000,$B857,AU$5)="",2,0)),0)</f>
        <v>0</v>
      </c>
      <c r="AV857" s="313">
        <f>IFERROR(IF(INDEX([1]Pivot!$BF$1:$CG$65000,$B857,AV$5)=1,1,IF(INDEX([1]Pivot!$B$1:$AB$65000,$B857,AV$5)="",2,0)),0)</f>
        <v>0</v>
      </c>
      <c r="AW857" s="313">
        <f>IFERROR(IF(INDEX([1]Pivot!$BF$1:$CG$65000,$B857,AW$5)=1,1,IF(INDEX([1]Pivot!$B$1:$AB$65000,$B857,AW$5)="",2,0)),0)</f>
        <v>0</v>
      </c>
      <c r="AX857" s="313">
        <f>IFERROR(IF(INDEX([1]Pivot!$BF$1:$CG$65000,$B857,AX$5)=1,1,IF(INDEX([1]Pivot!$B$1:$AB$65000,$B857,AX$5)="",2,0)),0)</f>
        <v>0</v>
      </c>
      <c r="AY857" s="313">
        <f>IFERROR(IF(INDEX([1]Pivot!$BF$1:$CG$65000,$B857,AY$5)=1,1,IF(INDEX([1]Pivot!$B$1:$AB$65000,$B857,AY$5)="",2,0)),0)</f>
        <v>0</v>
      </c>
      <c r="AZ857" s="313">
        <f>IFERROR(IF(INDEX([1]Pivot!$BF$1:$CG$65000,$B857,AZ$5)=1,1,IF(INDEX([1]Pivot!$B$1:$AB$65000,$B857,AZ$5)="",2,0)),0)</f>
        <v>0</v>
      </c>
      <c r="BA857" s="313">
        <f>IFERROR(IF(INDEX([1]Pivot!$BF$1:$CG$65000,$B857,BA$5)=1,1,IF(INDEX([1]Pivot!$B$1:$AB$65000,$B857,BA$5)="",2,0)),0)</f>
        <v>0</v>
      </c>
      <c r="BB857" s="313">
        <f>IFERROR(IF(INDEX([1]Pivot!$BF$1:$CG$65000,$B857,BB$5)=1,1,IF(INDEX([1]Pivot!$B$1:$AB$65000,$B857,BB$5)="",2,0)),0)</f>
        <v>0</v>
      </c>
      <c r="BC857" s="313">
        <f>IFERROR(IF(INDEX([1]Pivot!$BF$1:$CG$65000,$B857,BC$5)=1,1,IF(INDEX([1]Pivot!$B$1:$AB$65000,$B857,BC$5)="",2,0)),0)</f>
        <v>0</v>
      </c>
      <c r="BD857" s="313">
        <f>IFERROR(IF(INDEX([1]Pivot!$BF$1:$CG$65000,$B857,BD$5)=1,1,IF(INDEX([1]Pivot!$B$1:$AB$65000,$B857,BD$5)="",2,0)),0)</f>
        <v>0</v>
      </c>
    </row>
    <row r="858" spans="1:56" x14ac:dyDescent="0.25">
      <c r="A858" s="288">
        <f>'[2]Raw Milk Prices'!A858</f>
        <v>0</v>
      </c>
      <c r="B858" s="296" t="e">
        <f>MATCH(DATE(LEFT('[2]Raw Milk Prices'!$A858,4),RIGHT('[2]Raw Milk Prices'!$A858,2),1),[1]Pivot!$A$1:$A$65000,0)</f>
        <v>#VALUE!</v>
      </c>
      <c r="C858" s="194">
        <f>IFERROR(IF(INDEX([1]Pivot!$AD$1:$BE$65000,$B858,C$5)=1,1,IF(INDEX([1]Pivot!$B$1:$AB$65000,$B858,C$5)="",2,0)),0)</f>
        <v>0</v>
      </c>
      <c r="D858" s="194">
        <f>IFERROR(IF(INDEX([1]Pivot!$AD$1:$BE$65000,$B858,D$5)=1,1,IF(INDEX([1]Pivot!$B$1:$AB$65000,$B858,D$5)="",2,0)),0)</f>
        <v>0</v>
      </c>
      <c r="E858" s="194">
        <f>IFERROR(IF(INDEX([1]Pivot!$AD$1:$BE$65000,$B858,E$5)=1,1,IF(INDEX([1]Pivot!$B$1:$AB$65000,$B858,E$5)="",2,0)),0)</f>
        <v>0</v>
      </c>
      <c r="F858" s="194">
        <f>IFERROR(IF(INDEX([1]Pivot!$AD$1:$BE$65000,$B858,F$5)=1,1,IF(INDEX([1]Pivot!$B$1:$AB$65000,$B858,F$5)="",2,0)),0)</f>
        <v>0</v>
      </c>
      <c r="G858" s="194">
        <f>IFERROR(IF(INDEX([1]Pivot!$AD$1:$BE$65000,$B858,G$5)=1,1,IF(INDEX([1]Pivot!$B$1:$AB$65000,$B858,G$5)="",2,0)),0)</f>
        <v>0</v>
      </c>
      <c r="H858" s="194">
        <f>IFERROR(IF(INDEX([1]Pivot!$AD$1:$BE$65000,$B858,H$5)=1,1,IF(INDEX([1]Pivot!$B$1:$AB$65000,$B858,H$5)="",2,0)),0)</f>
        <v>0</v>
      </c>
      <c r="I858" s="194">
        <f>IFERROR(IF(INDEX([1]Pivot!$AD$1:$BE$65000,$B858,I$5)=1,1,IF(INDEX([1]Pivot!$B$1:$AB$65000,$B858,I$5)="",2,0)),0)</f>
        <v>0</v>
      </c>
      <c r="J858" s="194">
        <f>IFERROR(IF(INDEX([1]Pivot!$AD$1:$BE$65000,$B858,J$5)=1,1,IF(INDEX([1]Pivot!$B$1:$AB$65000,$B858,J$5)="",2,0)),0)</f>
        <v>0</v>
      </c>
      <c r="K858" s="194">
        <f>IFERROR(IF(INDEX([1]Pivot!$AD$1:$BE$65000,$B858,K$5)=1,1,IF(INDEX([1]Pivot!$B$1:$AB$65000,$B858,K$5)="",2,0)),0)</f>
        <v>0</v>
      </c>
      <c r="L858" s="194">
        <f>IFERROR(IF(INDEX([1]Pivot!$AD$1:$BE$65000,$B858,L$5)=1,1,IF(INDEX([1]Pivot!$B$1:$AB$65000,$B858,L$5)="",2,0)),0)</f>
        <v>0</v>
      </c>
      <c r="M858" s="194">
        <f>IFERROR(IF(INDEX([1]Pivot!$AD$1:$BE$65000,$B858,M$5)=1,1,IF(INDEX([1]Pivot!$B$1:$AB$65000,$B858,M$5)="",2,0)),0)</f>
        <v>0</v>
      </c>
      <c r="N858" s="194">
        <f>IFERROR(IF(INDEX([1]Pivot!$AD$1:$BE$65000,$B858,N$5)=1,1,IF(INDEX([1]Pivot!$B$1:$AB$65000,$B858,N$5)="",2,0)),0)</f>
        <v>0</v>
      </c>
      <c r="O858" s="194">
        <f>IFERROR(IF(INDEX([1]Pivot!$AD$1:$BE$65000,$B858,O$5)=1,1,IF(INDEX([1]Pivot!$B$1:$AB$65000,$B858,O$5)="",2,0)),0)</f>
        <v>0</v>
      </c>
      <c r="P858" s="194">
        <f>IFERROR(IF(INDEX([1]Pivot!$AD$1:$BE$65000,$B858,P$5)=1,1,IF(INDEX([1]Pivot!$B$1:$AB$65000,$B858,P$5)="",2,0)),0)</f>
        <v>0</v>
      </c>
      <c r="Q858" s="194">
        <f>IFERROR(IF(INDEX([1]Pivot!$AD$1:$BE$65000,$B858,Q$5)=1,1,IF(INDEX([1]Pivot!$B$1:$AB$65000,$B858,Q$5)="",2,0)),0)</f>
        <v>0</v>
      </c>
      <c r="R858" s="312"/>
      <c r="S858" s="194">
        <f>IFERROR(IF(INDEX([1]Pivot!$AD$1:$BE$65000,$B858,S$5)=1,1,IF(INDEX([1]Pivot!$B$1:$AB$65000,$B858,S$5)="",2,0)),0)</f>
        <v>0</v>
      </c>
      <c r="T858" s="194">
        <f>IFERROR(IF(INDEX([1]Pivot!$AD$1:$BE$65000,$B858,T$5)=1,1,IF(INDEX([1]Pivot!$B$1:$AB$65000,$B858,T$5)="",2,0)),0)</f>
        <v>0</v>
      </c>
      <c r="U858" s="194">
        <f>IFERROR(IF(INDEX([1]Pivot!$AD$1:$BE$65000,$B858,U$5)=1,1,IF(INDEX([1]Pivot!$B$1:$AB$65000,$B858,U$5)="",2,0)),0)</f>
        <v>0</v>
      </c>
      <c r="V858" s="194">
        <f>IFERROR(IF(INDEX([1]Pivot!$AD$1:$BE$65000,$B858,V$5)=1,1,IF(INDEX([1]Pivot!$B$1:$AB$65000,$B858,V$5)="",2,0)),0)</f>
        <v>0</v>
      </c>
      <c r="W858" s="194">
        <f>IFERROR(IF(INDEX([1]Pivot!$AD$1:$BE$65000,$B858,W$5)=1,1,IF(INDEX([1]Pivot!$B$1:$AB$65000,$B858,W$5)="",2,0)),0)</f>
        <v>0</v>
      </c>
      <c r="X858" s="194">
        <f>IFERROR(IF(INDEX([1]Pivot!$AD$1:$BE$65000,$B858,X$5)=1,1,IF(INDEX([1]Pivot!$B$1:$AB$65000,$B858,X$5)="",2,0)),0)</f>
        <v>0</v>
      </c>
      <c r="Y858" s="194">
        <f>IFERROR(IF(INDEX([1]Pivot!$AD$1:$BE$65000,$B858,Y$5)=1,1,IF(INDEX([1]Pivot!$B$1:$AB$65000,$B858,Y$5)="",2,0)),0)</f>
        <v>0</v>
      </c>
      <c r="Z858" s="194">
        <f>IFERROR(IF(INDEX([1]Pivot!$AD$1:$BE$65000,$B858,Z$5)=1,1,IF(INDEX([1]Pivot!$B$1:$AB$65000,$B858,Z$5)="",2,0)),0)</f>
        <v>0</v>
      </c>
      <c r="AA858" s="194">
        <f>IFERROR(IF(INDEX([1]Pivot!$AD$1:$BE$65000,$B858,AA$5)=1,1,IF(INDEX([1]Pivot!$B$1:$AB$65000,$B858,AA$5)="",2,0)),0)</f>
        <v>0</v>
      </c>
      <c r="AB858" s="194">
        <f>IFERROR(IF(INDEX([1]Pivot!$AD$1:$BE$65000,$B858,AB$5)=1,1,IF(INDEX([1]Pivot!$B$1:$AB$65000,$B858,AB$5)="",2,0)),0)</f>
        <v>0</v>
      </c>
      <c r="AC858" s="194">
        <f>IFERROR(IF(INDEX([1]Pivot!$AD$1:$BE$65000,$B858,AC$5)=1,1,IF(INDEX([1]Pivot!$B$1:$AB$65000,$B858,AC$5)="",2,0)),0)</f>
        <v>0</v>
      </c>
      <c r="AD858" s="313">
        <f>IFERROR(IF(INDEX([1]Pivot!$BF$1:$CG$65000,$B858,AD$5)=1,1,IF(INDEX([1]Pivot!$B$1:$AB$65000,$B858,AD$5)="",2,0)),0)</f>
        <v>0</v>
      </c>
      <c r="AE858" s="313">
        <f>IFERROR(IF(INDEX([1]Pivot!$BF$1:$CG$65000,$B858,AE$5)=1,1,IF(INDEX([1]Pivot!$B$1:$AB$65000,$B858,AE$5)="",2,0)),0)</f>
        <v>0</v>
      </c>
      <c r="AF858" s="313">
        <f>IFERROR(IF(INDEX([1]Pivot!$BF$1:$CG$65000,$B858,AF$5)=1,1,IF(INDEX([1]Pivot!$B$1:$AB$65000,$B858,AF$5)="",2,0)),0)</f>
        <v>0</v>
      </c>
      <c r="AG858" s="313">
        <f>IFERROR(IF(INDEX([1]Pivot!$BF$1:$CG$65000,$B858,AG$5)=1,1,IF(INDEX([1]Pivot!$B$1:$AB$65000,$B858,AG$5)="",2,0)),0)</f>
        <v>0</v>
      </c>
      <c r="AH858" s="313">
        <f>IFERROR(IF(INDEX([1]Pivot!$BF$1:$CG$65000,$B858,AH$5)=1,1,IF(INDEX([1]Pivot!$B$1:$AB$65000,$B858,AH$5)="",2,0)),0)</f>
        <v>0</v>
      </c>
      <c r="AI858" s="313">
        <f>IFERROR(IF(INDEX([1]Pivot!$BF$1:$CG$65000,$B858,AI$5)=1,1,IF(INDEX([1]Pivot!$B$1:$AB$65000,$B858,AI$5)="",2,0)),0)</f>
        <v>0</v>
      </c>
      <c r="AJ858" s="313">
        <f>IFERROR(IF(INDEX([1]Pivot!$BF$1:$CG$65000,$B858,AJ$5)=1,1,IF(INDEX([1]Pivot!$B$1:$AB$65000,$B858,AJ$5)="",2,0)),0)</f>
        <v>0</v>
      </c>
      <c r="AK858" s="313">
        <f>IFERROR(IF(INDEX([1]Pivot!$BF$1:$CG$65000,$B858,AK$5)=1,1,IF(INDEX([1]Pivot!$B$1:$AB$65000,$B858,AK$5)="",2,0)),0)</f>
        <v>0</v>
      </c>
      <c r="AL858" s="313">
        <f>IFERROR(IF(INDEX([1]Pivot!$BF$1:$CG$65000,$B858,AL$5)=1,1,IF(INDEX([1]Pivot!$B$1:$AB$65000,$B858,AL$5)="",2,0)),0)</f>
        <v>0</v>
      </c>
      <c r="AM858" s="313">
        <f>IFERROR(IF(INDEX([1]Pivot!$BF$1:$CG$65000,$B858,AM$5)=1,1,IF(INDEX([1]Pivot!$B$1:$AB$65000,$B858,AM$5)="",2,0)),0)</f>
        <v>0</v>
      </c>
      <c r="AN858" s="313">
        <f>IFERROR(IF(INDEX([1]Pivot!$BF$1:$CG$65000,$B858,AN$5)=1,1,IF(INDEX([1]Pivot!$B$1:$AB$65000,$B858,AN$5)="",2,0)),0)</f>
        <v>0</v>
      </c>
      <c r="AO858" s="313">
        <f>IFERROR(IF(INDEX([1]Pivot!$BF$1:$CG$65000,$B858,AO$5)=1,1,IF(INDEX([1]Pivot!$B$1:$AB$65000,$B858,AO$5)="",2,0)),0)</f>
        <v>0</v>
      </c>
      <c r="AP858" s="313">
        <f>IFERROR(IF(INDEX([1]Pivot!$BF$1:$CG$65000,$B858,AP$5)=1,1,IF(INDEX([1]Pivot!$B$1:$AB$65000,$B858,AP$5)="",2,0)),0)</f>
        <v>0</v>
      </c>
      <c r="AQ858" s="313">
        <f>IFERROR(IF(INDEX([1]Pivot!$BF$1:$CG$65000,$B858,AQ$5)=1,1,IF(INDEX([1]Pivot!$B$1:$AB$65000,$B858,AQ$5)="",2,0)),0)</f>
        <v>0</v>
      </c>
      <c r="AR858" s="313">
        <f>IFERROR(IF(INDEX([1]Pivot!$BF$1:$CG$65000,$B858,AR$5)=1,1,IF(INDEX([1]Pivot!$B$1:$AB$65000,$B858,AR$5)="",2,0)),0)</f>
        <v>0</v>
      </c>
      <c r="AS858" s="312"/>
      <c r="AT858" s="313">
        <f>IFERROR(IF(INDEX([1]Pivot!$BF$1:$CG$65000,$B858,AT$5)=1,1,IF(INDEX([1]Pivot!$B$1:$AB$65000,$B858,AT$5)="",2,0)),0)</f>
        <v>0</v>
      </c>
      <c r="AU858" s="313">
        <f>IFERROR(IF(INDEX([1]Pivot!$BF$1:$CG$65000,$B858,AU$5)=1,1,IF(INDEX([1]Pivot!$B$1:$AB$65000,$B858,AU$5)="",2,0)),0)</f>
        <v>0</v>
      </c>
      <c r="AV858" s="313">
        <f>IFERROR(IF(INDEX([1]Pivot!$BF$1:$CG$65000,$B858,AV$5)=1,1,IF(INDEX([1]Pivot!$B$1:$AB$65000,$B858,AV$5)="",2,0)),0)</f>
        <v>0</v>
      </c>
      <c r="AW858" s="313">
        <f>IFERROR(IF(INDEX([1]Pivot!$BF$1:$CG$65000,$B858,AW$5)=1,1,IF(INDEX([1]Pivot!$B$1:$AB$65000,$B858,AW$5)="",2,0)),0)</f>
        <v>0</v>
      </c>
      <c r="AX858" s="313">
        <f>IFERROR(IF(INDEX([1]Pivot!$BF$1:$CG$65000,$B858,AX$5)=1,1,IF(INDEX([1]Pivot!$B$1:$AB$65000,$B858,AX$5)="",2,0)),0)</f>
        <v>0</v>
      </c>
      <c r="AY858" s="313">
        <f>IFERROR(IF(INDEX([1]Pivot!$BF$1:$CG$65000,$B858,AY$5)=1,1,IF(INDEX([1]Pivot!$B$1:$AB$65000,$B858,AY$5)="",2,0)),0)</f>
        <v>0</v>
      </c>
      <c r="AZ858" s="313">
        <f>IFERROR(IF(INDEX([1]Pivot!$BF$1:$CG$65000,$B858,AZ$5)=1,1,IF(INDEX([1]Pivot!$B$1:$AB$65000,$B858,AZ$5)="",2,0)),0)</f>
        <v>0</v>
      </c>
      <c r="BA858" s="313">
        <f>IFERROR(IF(INDEX([1]Pivot!$BF$1:$CG$65000,$B858,BA$5)=1,1,IF(INDEX([1]Pivot!$B$1:$AB$65000,$B858,BA$5)="",2,0)),0)</f>
        <v>0</v>
      </c>
      <c r="BB858" s="313">
        <f>IFERROR(IF(INDEX([1]Pivot!$BF$1:$CG$65000,$B858,BB$5)=1,1,IF(INDEX([1]Pivot!$B$1:$AB$65000,$B858,BB$5)="",2,0)),0)</f>
        <v>0</v>
      </c>
      <c r="BC858" s="313">
        <f>IFERROR(IF(INDEX([1]Pivot!$BF$1:$CG$65000,$B858,BC$5)=1,1,IF(INDEX([1]Pivot!$B$1:$AB$65000,$B858,BC$5)="",2,0)),0)</f>
        <v>0</v>
      </c>
      <c r="BD858" s="313">
        <f>IFERROR(IF(INDEX([1]Pivot!$BF$1:$CG$65000,$B858,BD$5)=1,1,IF(INDEX([1]Pivot!$B$1:$AB$65000,$B858,BD$5)="",2,0)),0)</f>
        <v>0</v>
      </c>
    </row>
    <row r="859" spans="1:56" x14ac:dyDescent="0.25">
      <c r="A859" s="288">
        <f>'[2]Raw Milk Prices'!A859</f>
        <v>0</v>
      </c>
      <c r="B859" s="296" t="e">
        <f>MATCH(DATE(LEFT('[2]Raw Milk Prices'!$A859,4),RIGHT('[2]Raw Milk Prices'!$A859,2),1),[1]Pivot!$A$1:$A$65000,0)</f>
        <v>#VALUE!</v>
      </c>
      <c r="C859" s="194">
        <f>IFERROR(IF(INDEX([1]Pivot!$AD$1:$BE$65000,$B859,C$5)=1,1,IF(INDEX([1]Pivot!$B$1:$AB$65000,$B859,C$5)="",2,0)),0)</f>
        <v>0</v>
      </c>
      <c r="D859" s="194">
        <f>IFERROR(IF(INDEX([1]Pivot!$AD$1:$BE$65000,$B859,D$5)=1,1,IF(INDEX([1]Pivot!$B$1:$AB$65000,$B859,D$5)="",2,0)),0)</f>
        <v>0</v>
      </c>
      <c r="E859" s="194">
        <f>IFERROR(IF(INDEX([1]Pivot!$AD$1:$BE$65000,$B859,E$5)=1,1,IF(INDEX([1]Pivot!$B$1:$AB$65000,$B859,E$5)="",2,0)),0)</f>
        <v>0</v>
      </c>
      <c r="F859" s="194">
        <f>IFERROR(IF(INDEX([1]Pivot!$AD$1:$BE$65000,$B859,F$5)=1,1,IF(INDEX([1]Pivot!$B$1:$AB$65000,$B859,F$5)="",2,0)),0)</f>
        <v>0</v>
      </c>
      <c r="G859" s="194">
        <f>IFERROR(IF(INDEX([1]Pivot!$AD$1:$BE$65000,$B859,G$5)=1,1,IF(INDEX([1]Pivot!$B$1:$AB$65000,$B859,G$5)="",2,0)),0)</f>
        <v>0</v>
      </c>
      <c r="H859" s="194">
        <f>IFERROR(IF(INDEX([1]Pivot!$AD$1:$BE$65000,$B859,H$5)=1,1,IF(INDEX([1]Pivot!$B$1:$AB$65000,$B859,H$5)="",2,0)),0)</f>
        <v>0</v>
      </c>
      <c r="I859" s="194">
        <f>IFERROR(IF(INDEX([1]Pivot!$AD$1:$BE$65000,$B859,I$5)=1,1,IF(INDEX([1]Pivot!$B$1:$AB$65000,$B859,I$5)="",2,0)),0)</f>
        <v>0</v>
      </c>
      <c r="J859" s="194">
        <f>IFERROR(IF(INDEX([1]Pivot!$AD$1:$BE$65000,$B859,J$5)=1,1,IF(INDEX([1]Pivot!$B$1:$AB$65000,$B859,J$5)="",2,0)),0)</f>
        <v>0</v>
      </c>
      <c r="K859" s="194">
        <f>IFERROR(IF(INDEX([1]Pivot!$AD$1:$BE$65000,$B859,K$5)=1,1,IF(INDEX([1]Pivot!$B$1:$AB$65000,$B859,K$5)="",2,0)),0)</f>
        <v>0</v>
      </c>
      <c r="L859" s="194">
        <f>IFERROR(IF(INDEX([1]Pivot!$AD$1:$BE$65000,$B859,L$5)=1,1,IF(INDEX([1]Pivot!$B$1:$AB$65000,$B859,L$5)="",2,0)),0)</f>
        <v>0</v>
      </c>
      <c r="M859" s="194">
        <f>IFERROR(IF(INDEX([1]Pivot!$AD$1:$BE$65000,$B859,M$5)=1,1,IF(INDEX([1]Pivot!$B$1:$AB$65000,$B859,M$5)="",2,0)),0)</f>
        <v>0</v>
      </c>
      <c r="N859" s="194">
        <f>IFERROR(IF(INDEX([1]Pivot!$AD$1:$BE$65000,$B859,N$5)=1,1,IF(INDEX([1]Pivot!$B$1:$AB$65000,$B859,N$5)="",2,0)),0)</f>
        <v>0</v>
      </c>
      <c r="O859" s="194">
        <f>IFERROR(IF(INDEX([1]Pivot!$AD$1:$BE$65000,$B859,O$5)=1,1,IF(INDEX([1]Pivot!$B$1:$AB$65000,$B859,O$5)="",2,0)),0)</f>
        <v>0</v>
      </c>
      <c r="P859" s="194">
        <f>IFERROR(IF(INDEX([1]Pivot!$AD$1:$BE$65000,$B859,P$5)=1,1,IF(INDEX([1]Pivot!$B$1:$AB$65000,$B859,P$5)="",2,0)),0)</f>
        <v>0</v>
      </c>
      <c r="Q859" s="194">
        <f>IFERROR(IF(INDEX([1]Pivot!$AD$1:$BE$65000,$B859,Q$5)=1,1,IF(INDEX([1]Pivot!$B$1:$AB$65000,$B859,Q$5)="",2,0)),0)</f>
        <v>0</v>
      </c>
      <c r="R859" s="312"/>
      <c r="S859" s="194">
        <f>IFERROR(IF(INDEX([1]Pivot!$AD$1:$BE$65000,$B859,S$5)=1,1,IF(INDEX([1]Pivot!$B$1:$AB$65000,$B859,S$5)="",2,0)),0)</f>
        <v>0</v>
      </c>
      <c r="T859" s="194">
        <f>IFERROR(IF(INDEX([1]Pivot!$AD$1:$BE$65000,$B859,T$5)=1,1,IF(INDEX([1]Pivot!$B$1:$AB$65000,$B859,T$5)="",2,0)),0)</f>
        <v>0</v>
      </c>
      <c r="U859" s="194">
        <f>IFERROR(IF(INDEX([1]Pivot!$AD$1:$BE$65000,$B859,U$5)=1,1,IF(INDEX([1]Pivot!$B$1:$AB$65000,$B859,U$5)="",2,0)),0)</f>
        <v>0</v>
      </c>
      <c r="V859" s="194">
        <f>IFERROR(IF(INDEX([1]Pivot!$AD$1:$BE$65000,$B859,V$5)=1,1,IF(INDEX([1]Pivot!$B$1:$AB$65000,$B859,V$5)="",2,0)),0)</f>
        <v>0</v>
      </c>
      <c r="W859" s="194">
        <f>IFERROR(IF(INDEX([1]Pivot!$AD$1:$BE$65000,$B859,W$5)=1,1,IF(INDEX([1]Pivot!$B$1:$AB$65000,$B859,W$5)="",2,0)),0)</f>
        <v>0</v>
      </c>
      <c r="X859" s="194">
        <f>IFERROR(IF(INDEX([1]Pivot!$AD$1:$BE$65000,$B859,X$5)=1,1,IF(INDEX([1]Pivot!$B$1:$AB$65000,$B859,X$5)="",2,0)),0)</f>
        <v>0</v>
      </c>
      <c r="Y859" s="194">
        <f>IFERROR(IF(INDEX([1]Pivot!$AD$1:$BE$65000,$B859,Y$5)=1,1,IF(INDEX([1]Pivot!$B$1:$AB$65000,$B859,Y$5)="",2,0)),0)</f>
        <v>0</v>
      </c>
      <c r="Z859" s="194">
        <f>IFERROR(IF(INDEX([1]Pivot!$AD$1:$BE$65000,$B859,Z$5)=1,1,IF(INDEX([1]Pivot!$B$1:$AB$65000,$B859,Z$5)="",2,0)),0)</f>
        <v>0</v>
      </c>
      <c r="AA859" s="194">
        <f>IFERROR(IF(INDEX([1]Pivot!$AD$1:$BE$65000,$B859,AA$5)=1,1,IF(INDEX([1]Pivot!$B$1:$AB$65000,$B859,AA$5)="",2,0)),0)</f>
        <v>0</v>
      </c>
      <c r="AB859" s="194">
        <f>IFERROR(IF(INDEX([1]Pivot!$AD$1:$BE$65000,$B859,AB$5)=1,1,IF(INDEX([1]Pivot!$B$1:$AB$65000,$B859,AB$5)="",2,0)),0)</f>
        <v>0</v>
      </c>
      <c r="AC859" s="194">
        <f>IFERROR(IF(INDEX([1]Pivot!$AD$1:$BE$65000,$B859,AC$5)=1,1,IF(INDEX([1]Pivot!$B$1:$AB$65000,$B859,AC$5)="",2,0)),0)</f>
        <v>0</v>
      </c>
      <c r="AD859" s="313">
        <f>IFERROR(IF(INDEX([1]Pivot!$BF$1:$CG$65000,$B859,AD$5)=1,1,IF(INDEX([1]Pivot!$B$1:$AB$65000,$B859,AD$5)="",2,0)),0)</f>
        <v>0</v>
      </c>
      <c r="AE859" s="313">
        <f>IFERROR(IF(INDEX([1]Pivot!$BF$1:$CG$65000,$B859,AE$5)=1,1,IF(INDEX([1]Pivot!$B$1:$AB$65000,$B859,AE$5)="",2,0)),0)</f>
        <v>0</v>
      </c>
      <c r="AF859" s="313">
        <f>IFERROR(IF(INDEX([1]Pivot!$BF$1:$CG$65000,$B859,AF$5)=1,1,IF(INDEX([1]Pivot!$B$1:$AB$65000,$B859,AF$5)="",2,0)),0)</f>
        <v>0</v>
      </c>
      <c r="AG859" s="313">
        <f>IFERROR(IF(INDEX([1]Pivot!$BF$1:$CG$65000,$B859,AG$5)=1,1,IF(INDEX([1]Pivot!$B$1:$AB$65000,$B859,AG$5)="",2,0)),0)</f>
        <v>0</v>
      </c>
      <c r="AH859" s="313">
        <f>IFERROR(IF(INDEX([1]Pivot!$BF$1:$CG$65000,$B859,AH$5)=1,1,IF(INDEX([1]Pivot!$B$1:$AB$65000,$B859,AH$5)="",2,0)),0)</f>
        <v>0</v>
      </c>
      <c r="AI859" s="313">
        <f>IFERROR(IF(INDEX([1]Pivot!$BF$1:$CG$65000,$B859,AI$5)=1,1,IF(INDEX([1]Pivot!$B$1:$AB$65000,$B859,AI$5)="",2,0)),0)</f>
        <v>0</v>
      </c>
      <c r="AJ859" s="313">
        <f>IFERROR(IF(INDEX([1]Pivot!$BF$1:$CG$65000,$B859,AJ$5)=1,1,IF(INDEX([1]Pivot!$B$1:$AB$65000,$B859,AJ$5)="",2,0)),0)</f>
        <v>0</v>
      </c>
      <c r="AK859" s="313">
        <f>IFERROR(IF(INDEX([1]Pivot!$BF$1:$CG$65000,$B859,AK$5)=1,1,IF(INDEX([1]Pivot!$B$1:$AB$65000,$B859,AK$5)="",2,0)),0)</f>
        <v>0</v>
      </c>
      <c r="AL859" s="313">
        <f>IFERROR(IF(INDEX([1]Pivot!$BF$1:$CG$65000,$B859,AL$5)=1,1,IF(INDEX([1]Pivot!$B$1:$AB$65000,$B859,AL$5)="",2,0)),0)</f>
        <v>0</v>
      </c>
      <c r="AM859" s="313">
        <f>IFERROR(IF(INDEX([1]Pivot!$BF$1:$CG$65000,$B859,AM$5)=1,1,IF(INDEX([1]Pivot!$B$1:$AB$65000,$B859,AM$5)="",2,0)),0)</f>
        <v>0</v>
      </c>
      <c r="AN859" s="313">
        <f>IFERROR(IF(INDEX([1]Pivot!$BF$1:$CG$65000,$B859,AN$5)=1,1,IF(INDEX([1]Pivot!$B$1:$AB$65000,$B859,AN$5)="",2,0)),0)</f>
        <v>0</v>
      </c>
      <c r="AO859" s="313">
        <f>IFERROR(IF(INDEX([1]Pivot!$BF$1:$CG$65000,$B859,AO$5)=1,1,IF(INDEX([1]Pivot!$B$1:$AB$65000,$B859,AO$5)="",2,0)),0)</f>
        <v>0</v>
      </c>
      <c r="AP859" s="313">
        <f>IFERROR(IF(INDEX([1]Pivot!$BF$1:$CG$65000,$B859,AP$5)=1,1,IF(INDEX([1]Pivot!$B$1:$AB$65000,$B859,AP$5)="",2,0)),0)</f>
        <v>0</v>
      </c>
      <c r="AQ859" s="313">
        <f>IFERROR(IF(INDEX([1]Pivot!$BF$1:$CG$65000,$B859,AQ$5)=1,1,IF(INDEX([1]Pivot!$B$1:$AB$65000,$B859,AQ$5)="",2,0)),0)</f>
        <v>0</v>
      </c>
      <c r="AR859" s="313">
        <f>IFERROR(IF(INDEX([1]Pivot!$BF$1:$CG$65000,$B859,AR$5)=1,1,IF(INDEX([1]Pivot!$B$1:$AB$65000,$B859,AR$5)="",2,0)),0)</f>
        <v>0</v>
      </c>
      <c r="AS859" s="312"/>
      <c r="AT859" s="313">
        <f>IFERROR(IF(INDEX([1]Pivot!$BF$1:$CG$65000,$B859,AT$5)=1,1,IF(INDEX([1]Pivot!$B$1:$AB$65000,$B859,AT$5)="",2,0)),0)</f>
        <v>0</v>
      </c>
      <c r="AU859" s="313">
        <f>IFERROR(IF(INDEX([1]Pivot!$BF$1:$CG$65000,$B859,AU$5)=1,1,IF(INDEX([1]Pivot!$B$1:$AB$65000,$B859,AU$5)="",2,0)),0)</f>
        <v>0</v>
      </c>
      <c r="AV859" s="313">
        <f>IFERROR(IF(INDEX([1]Pivot!$BF$1:$CG$65000,$B859,AV$5)=1,1,IF(INDEX([1]Pivot!$B$1:$AB$65000,$B859,AV$5)="",2,0)),0)</f>
        <v>0</v>
      </c>
      <c r="AW859" s="313">
        <f>IFERROR(IF(INDEX([1]Pivot!$BF$1:$CG$65000,$B859,AW$5)=1,1,IF(INDEX([1]Pivot!$B$1:$AB$65000,$B859,AW$5)="",2,0)),0)</f>
        <v>0</v>
      </c>
      <c r="AX859" s="313">
        <f>IFERROR(IF(INDEX([1]Pivot!$BF$1:$CG$65000,$B859,AX$5)=1,1,IF(INDEX([1]Pivot!$B$1:$AB$65000,$B859,AX$5)="",2,0)),0)</f>
        <v>0</v>
      </c>
      <c r="AY859" s="313">
        <f>IFERROR(IF(INDEX([1]Pivot!$BF$1:$CG$65000,$B859,AY$5)=1,1,IF(INDEX([1]Pivot!$B$1:$AB$65000,$B859,AY$5)="",2,0)),0)</f>
        <v>0</v>
      </c>
      <c r="AZ859" s="313">
        <f>IFERROR(IF(INDEX([1]Pivot!$BF$1:$CG$65000,$B859,AZ$5)=1,1,IF(INDEX([1]Pivot!$B$1:$AB$65000,$B859,AZ$5)="",2,0)),0)</f>
        <v>0</v>
      </c>
      <c r="BA859" s="313">
        <f>IFERROR(IF(INDEX([1]Pivot!$BF$1:$CG$65000,$B859,BA$5)=1,1,IF(INDEX([1]Pivot!$B$1:$AB$65000,$B859,BA$5)="",2,0)),0)</f>
        <v>0</v>
      </c>
      <c r="BB859" s="313">
        <f>IFERROR(IF(INDEX([1]Pivot!$BF$1:$CG$65000,$B859,BB$5)=1,1,IF(INDEX([1]Pivot!$B$1:$AB$65000,$B859,BB$5)="",2,0)),0)</f>
        <v>0</v>
      </c>
      <c r="BC859" s="313">
        <f>IFERROR(IF(INDEX([1]Pivot!$BF$1:$CG$65000,$B859,BC$5)=1,1,IF(INDEX([1]Pivot!$B$1:$AB$65000,$B859,BC$5)="",2,0)),0)</f>
        <v>0</v>
      </c>
      <c r="BD859" s="313">
        <f>IFERROR(IF(INDEX([1]Pivot!$BF$1:$CG$65000,$B859,BD$5)=1,1,IF(INDEX([1]Pivot!$B$1:$AB$65000,$B859,BD$5)="",2,0)),0)</f>
        <v>0</v>
      </c>
    </row>
    <row r="860" spans="1:56" x14ac:dyDescent="0.25">
      <c r="A860" s="288">
        <f>'[2]Raw Milk Prices'!A860</f>
        <v>0</v>
      </c>
      <c r="B860" s="296" t="e">
        <f>MATCH(DATE(LEFT('[2]Raw Milk Prices'!$A860,4),RIGHT('[2]Raw Milk Prices'!$A860,2),1),[1]Pivot!$A$1:$A$65000,0)</f>
        <v>#VALUE!</v>
      </c>
      <c r="C860" s="194">
        <f>IFERROR(IF(INDEX([1]Pivot!$AD$1:$BE$65000,$B860,C$5)=1,1,IF(INDEX([1]Pivot!$B$1:$AB$65000,$B860,C$5)="",2,0)),0)</f>
        <v>0</v>
      </c>
      <c r="D860" s="194">
        <f>IFERROR(IF(INDEX([1]Pivot!$AD$1:$BE$65000,$B860,D$5)=1,1,IF(INDEX([1]Pivot!$B$1:$AB$65000,$B860,D$5)="",2,0)),0)</f>
        <v>0</v>
      </c>
      <c r="E860" s="194">
        <f>IFERROR(IF(INDEX([1]Pivot!$AD$1:$BE$65000,$B860,E$5)=1,1,IF(INDEX([1]Pivot!$B$1:$AB$65000,$B860,E$5)="",2,0)),0)</f>
        <v>0</v>
      </c>
      <c r="F860" s="194">
        <f>IFERROR(IF(INDEX([1]Pivot!$AD$1:$BE$65000,$B860,F$5)=1,1,IF(INDEX([1]Pivot!$B$1:$AB$65000,$B860,F$5)="",2,0)),0)</f>
        <v>0</v>
      </c>
      <c r="G860" s="194">
        <f>IFERROR(IF(INDEX([1]Pivot!$AD$1:$BE$65000,$B860,G$5)=1,1,IF(INDEX([1]Pivot!$B$1:$AB$65000,$B860,G$5)="",2,0)),0)</f>
        <v>0</v>
      </c>
      <c r="H860" s="194">
        <f>IFERROR(IF(INDEX([1]Pivot!$AD$1:$BE$65000,$B860,H$5)=1,1,IF(INDEX([1]Pivot!$B$1:$AB$65000,$B860,H$5)="",2,0)),0)</f>
        <v>0</v>
      </c>
      <c r="I860" s="194">
        <f>IFERROR(IF(INDEX([1]Pivot!$AD$1:$BE$65000,$B860,I$5)=1,1,IF(INDEX([1]Pivot!$B$1:$AB$65000,$B860,I$5)="",2,0)),0)</f>
        <v>0</v>
      </c>
      <c r="J860" s="194">
        <f>IFERROR(IF(INDEX([1]Pivot!$AD$1:$BE$65000,$B860,J$5)=1,1,IF(INDEX([1]Pivot!$B$1:$AB$65000,$B860,J$5)="",2,0)),0)</f>
        <v>0</v>
      </c>
      <c r="K860" s="194">
        <f>IFERROR(IF(INDEX([1]Pivot!$AD$1:$BE$65000,$B860,K$5)=1,1,IF(INDEX([1]Pivot!$B$1:$AB$65000,$B860,K$5)="",2,0)),0)</f>
        <v>0</v>
      </c>
      <c r="L860" s="194">
        <f>IFERROR(IF(INDEX([1]Pivot!$AD$1:$BE$65000,$B860,L$5)=1,1,IF(INDEX([1]Pivot!$B$1:$AB$65000,$B860,L$5)="",2,0)),0)</f>
        <v>0</v>
      </c>
      <c r="M860" s="194">
        <f>IFERROR(IF(INDEX([1]Pivot!$AD$1:$BE$65000,$B860,M$5)=1,1,IF(INDEX([1]Pivot!$B$1:$AB$65000,$B860,M$5)="",2,0)),0)</f>
        <v>0</v>
      </c>
      <c r="N860" s="194">
        <f>IFERROR(IF(INDEX([1]Pivot!$AD$1:$BE$65000,$B860,N$5)=1,1,IF(INDEX([1]Pivot!$B$1:$AB$65000,$B860,N$5)="",2,0)),0)</f>
        <v>0</v>
      </c>
      <c r="O860" s="194">
        <f>IFERROR(IF(INDEX([1]Pivot!$AD$1:$BE$65000,$B860,O$5)=1,1,IF(INDEX([1]Pivot!$B$1:$AB$65000,$B860,O$5)="",2,0)),0)</f>
        <v>0</v>
      </c>
      <c r="P860" s="194">
        <f>IFERROR(IF(INDEX([1]Pivot!$AD$1:$BE$65000,$B860,P$5)=1,1,IF(INDEX([1]Pivot!$B$1:$AB$65000,$B860,P$5)="",2,0)),0)</f>
        <v>0</v>
      </c>
      <c r="Q860" s="194">
        <f>IFERROR(IF(INDEX([1]Pivot!$AD$1:$BE$65000,$B860,Q$5)=1,1,IF(INDEX([1]Pivot!$B$1:$AB$65000,$B860,Q$5)="",2,0)),0)</f>
        <v>0</v>
      </c>
      <c r="R860" s="312"/>
      <c r="S860" s="194">
        <f>IFERROR(IF(INDEX([1]Pivot!$AD$1:$BE$65000,$B860,S$5)=1,1,IF(INDEX([1]Pivot!$B$1:$AB$65000,$B860,S$5)="",2,0)),0)</f>
        <v>0</v>
      </c>
      <c r="T860" s="194">
        <f>IFERROR(IF(INDEX([1]Pivot!$AD$1:$BE$65000,$B860,T$5)=1,1,IF(INDEX([1]Pivot!$B$1:$AB$65000,$B860,T$5)="",2,0)),0)</f>
        <v>0</v>
      </c>
      <c r="U860" s="194">
        <f>IFERROR(IF(INDEX([1]Pivot!$AD$1:$BE$65000,$B860,U$5)=1,1,IF(INDEX([1]Pivot!$B$1:$AB$65000,$B860,U$5)="",2,0)),0)</f>
        <v>0</v>
      </c>
      <c r="V860" s="194">
        <f>IFERROR(IF(INDEX([1]Pivot!$AD$1:$BE$65000,$B860,V$5)=1,1,IF(INDEX([1]Pivot!$B$1:$AB$65000,$B860,V$5)="",2,0)),0)</f>
        <v>0</v>
      </c>
      <c r="W860" s="194">
        <f>IFERROR(IF(INDEX([1]Pivot!$AD$1:$BE$65000,$B860,W$5)=1,1,IF(INDEX([1]Pivot!$B$1:$AB$65000,$B860,W$5)="",2,0)),0)</f>
        <v>0</v>
      </c>
      <c r="X860" s="194">
        <f>IFERROR(IF(INDEX([1]Pivot!$AD$1:$BE$65000,$B860,X$5)=1,1,IF(INDEX([1]Pivot!$B$1:$AB$65000,$B860,X$5)="",2,0)),0)</f>
        <v>0</v>
      </c>
      <c r="Y860" s="194">
        <f>IFERROR(IF(INDEX([1]Pivot!$AD$1:$BE$65000,$B860,Y$5)=1,1,IF(INDEX([1]Pivot!$B$1:$AB$65000,$B860,Y$5)="",2,0)),0)</f>
        <v>0</v>
      </c>
      <c r="Z860" s="194">
        <f>IFERROR(IF(INDEX([1]Pivot!$AD$1:$BE$65000,$B860,Z$5)=1,1,IF(INDEX([1]Pivot!$B$1:$AB$65000,$B860,Z$5)="",2,0)),0)</f>
        <v>0</v>
      </c>
      <c r="AA860" s="194">
        <f>IFERROR(IF(INDEX([1]Pivot!$AD$1:$BE$65000,$B860,AA$5)=1,1,IF(INDEX([1]Pivot!$B$1:$AB$65000,$B860,AA$5)="",2,0)),0)</f>
        <v>0</v>
      </c>
      <c r="AB860" s="194">
        <f>IFERROR(IF(INDEX([1]Pivot!$AD$1:$BE$65000,$B860,AB$5)=1,1,IF(INDEX([1]Pivot!$B$1:$AB$65000,$B860,AB$5)="",2,0)),0)</f>
        <v>0</v>
      </c>
      <c r="AC860" s="194">
        <f>IFERROR(IF(INDEX([1]Pivot!$AD$1:$BE$65000,$B860,AC$5)=1,1,IF(INDEX([1]Pivot!$B$1:$AB$65000,$B860,AC$5)="",2,0)),0)</f>
        <v>0</v>
      </c>
      <c r="AD860" s="313">
        <f>IFERROR(IF(INDEX([1]Pivot!$BF$1:$CG$65000,$B860,AD$5)=1,1,IF(INDEX([1]Pivot!$B$1:$AB$65000,$B860,AD$5)="",2,0)),0)</f>
        <v>0</v>
      </c>
      <c r="AE860" s="313">
        <f>IFERROR(IF(INDEX([1]Pivot!$BF$1:$CG$65000,$B860,AE$5)=1,1,IF(INDEX([1]Pivot!$B$1:$AB$65000,$B860,AE$5)="",2,0)),0)</f>
        <v>0</v>
      </c>
      <c r="AF860" s="313">
        <f>IFERROR(IF(INDEX([1]Pivot!$BF$1:$CG$65000,$B860,AF$5)=1,1,IF(INDEX([1]Pivot!$B$1:$AB$65000,$B860,AF$5)="",2,0)),0)</f>
        <v>0</v>
      </c>
      <c r="AG860" s="313">
        <f>IFERROR(IF(INDEX([1]Pivot!$BF$1:$CG$65000,$B860,AG$5)=1,1,IF(INDEX([1]Pivot!$B$1:$AB$65000,$B860,AG$5)="",2,0)),0)</f>
        <v>0</v>
      </c>
      <c r="AH860" s="313">
        <f>IFERROR(IF(INDEX([1]Pivot!$BF$1:$CG$65000,$B860,AH$5)=1,1,IF(INDEX([1]Pivot!$B$1:$AB$65000,$B860,AH$5)="",2,0)),0)</f>
        <v>0</v>
      </c>
      <c r="AI860" s="313">
        <f>IFERROR(IF(INDEX([1]Pivot!$BF$1:$CG$65000,$B860,AI$5)=1,1,IF(INDEX([1]Pivot!$B$1:$AB$65000,$B860,AI$5)="",2,0)),0)</f>
        <v>0</v>
      </c>
      <c r="AJ860" s="313">
        <f>IFERROR(IF(INDEX([1]Pivot!$BF$1:$CG$65000,$B860,AJ$5)=1,1,IF(INDEX([1]Pivot!$B$1:$AB$65000,$B860,AJ$5)="",2,0)),0)</f>
        <v>0</v>
      </c>
      <c r="AK860" s="313">
        <f>IFERROR(IF(INDEX([1]Pivot!$BF$1:$CG$65000,$B860,AK$5)=1,1,IF(INDEX([1]Pivot!$B$1:$AB$65000,$B860,AK$5)="",2,0)),0)</f>
        <v>0</v>
      </c>
      <c r="AL860" s="313">
        <f>IFERROR(IF(INDEX([1]Pivot!$BF$1:$CG$65000,$B860,AL$5)=1,1,IF(INDEX([1]Pivot!$B$1:$AB$65000,$B860,AL$5)="",2,0)),0)</f>
        <v>0</v>
      </c>
      <c r="AM860" s="313">
        <f>IFERROR(IF(INDEX([1]Pivot!$BF$1:$CG$65000,$B860,AM$5)=1,1,IF(INDEX([1]Pivot!$B$1:$AB$65000,$B860,AM$5)="",2,0)),0)</f>
        <v>0</v>
      </c>
      <c r="AN860" s="313">
        <f>IFERROR(IF(INDEX([1]Pivot!$BF$1:$CG$65000,$B860,AN$5)=1,1,IF(INDEX([1]Pivot!$B$1:$AB$65000,$B860,AN$5)="",2,0)),0)</f>
        <v>0</v>
      </c>
      <c r="AO860" s="313">
        <f>IFERROR(IF(INDEX([1]Pivot!$BF$1:$CG$65000,$B860,AO$5)=1,1,IF(INDEX([1]Pivot!$B$1:$AB$65000,$B860,AO$5)="",2,0)),0)</f>
        <v>0</v>
      </c>
      <c r="AP860" s="313">
        <f>IFERROR(IF(INDEX([1]Pivot!$BF$1:$CG$65000,$B860,AP$5)=1,1,IF(INDEX([1]Pivot!$B$1:$AB$65000,$B860,AP$5)="",2,0)),0)</f>
        <v>0</v>
      </c>
      <c r="AQ860" s="313">
        <f>IFERROR(IF(INDEX([1]Pivot!$BF$1:$CG$65000,$B860,AQ$5)=1,1,IF(INDEX([1]Pivot!$B$1:$AB$65000,$B860,AQ$5)="",2,0)),0)</f>
        <v>0</v>
      </c>
      <c r="AR860" s="313">
        <f>IFERROR(IF(INDEX([1]Pivot!$BF$1:$CG$65000,$B860,AR$5)=1,1,IF(INDEX([1]Pivot!$B$1:$AB$65000,$B860,AR$5)="",2,0)),0)</f>
        <v>0</v>
      </c>
      <c r="AS860" s="312"/>
      <c r="AT860" s="313">
        <f>IFERROR(IF(INDEX([1]Pivot!$BF$1:$CG$65000,$B860,AT$5)=1,1,IF(INDEX([1]Pivot!$B$1:$AB$65000,$B860,AT$5)="",2,0)),0)</f>
        <v>0</v>
      </c>
      <c r="AU860" s="313">
        <f>IFERROR(IF(INDEX([1]Pivot!$BF$1:$CG$65000,$B860,AU$5)=1,1,IF(INDEX([1]Pivot!$B$1:$AB$65000,$B860,AU$5)="",2,0)),0)</f>
        <v>0</v>
      </c>
      <c r="AV860" s="313">
        <f>IFERROR(IF(INDEX([1]Pivot!$BF$1:$CG$65000,$B860,AV$5)=1,1,IF(INDEX([1]Pivot!$B$1:$AB$65000,$B860,AV$5)="",2,0)),0)</f>
        <v>0</v>
      </c>
      <c r="AW860" s="313">
        <f>IFERROR(IF(INDEX([1]Pivot!$BF$1:$CG$65000,$B860,AW$5)=1,1,IF(INDEX([1]Pivot!$B$1:$AB$65000,$B860,AW$5)="",2,0)),0)</f>
        <v>0</v>
      </c>
      <c r="AX860" s="313">
        <f>IFERROR(IF(INDEX([1]Pivot!$BF$1:$CG$65000,$B860,AX$5)=1,1,IF(INDEX([1]Pivot!$B$1:$AB$65000,$B860,AX$5)="",2,0)),0)</f>
        <v>0</v>
      </c>
      <c r="AY860" s="313">
        <f>IFERROR(IF(INDEX([1]Pivot!$BF$1:$CG$65000,$B860,AY$5)=1,1,IF(INDEX([1]Pivot!$B$1:$AB$65000,$B860,AY$5)="",2,0)),0)</f>
        <v>0</v>
      </c>
      <c r="AZ860" s="313">
        <f>IFERROR(IF(INDEX([1]Pivot!$BF$1:$CG$65000,$B860,AZ$5)=1,1,IF(INDEX([1]Pivot!$B$1:$AB$65000,$B860,AZ$5)="",2,0)),0)</f>
        <v>0</v>
      </c>
      <c r="BA860" s="313">
        <f>IFERROR(IF(INDEX([1]Pivot!$BF$1:$CG$65000,$B860,BA$5)=1,1,IF(INDEX([1]Pivot!$B$1:$AB$65000,$B860,BA$5)="",2,0)),0)</f>
        <v>0</v>
      </c>
      <c r="BB860" s="313">
        <f>IFERROR(IF(INDEX([1]Pivot!$BF$1:$CG$65000,$B860,BB$5)=1,1,IF(INDEX([1]Pivot!$B$1:$AB$65000,$B860,BB$5)="",2,0)),0)</f>
        <v>0</v>
      </c>
      <c r="BC860" s="313">
        <f>IFERROR(IF(INDEX([1]Pivot!$BF$1:$CG$65000,$B860,BC$5)=1,1,IF(INDEX([1]Pivot!$B$1:$AB$65000,$B860,BC$5)="",2,0)),0)</f>
        <v>0</v>
      </c>
      <c r="BD860" s="313">
        <f>IFERROR(IF(INDEX([1]Pivot!$BF$1:$CG$65000,$B860,BD$5)=1,1,IF(INDEX([1]Pivot!$B$1:$AB$65000,$B860,BD$5)="",2,0)),0)</f>
        <v>0</v>
      </c>
    </row>
    <row r="861" spans="1:56" x14ac:dyDescent="0.25">
      <c r="A861" s="288">
        <f>'[2]Raw Milk Prices'!A861</f>
        <v>0</v>
      </c>
      <c r="B861" s="296" t="e">
        <f>MATCH(DATE(LEFT('[2]Raw Milk Prices'!$A861,4),RIGHT('[2]Raw Milk Prices'!$A861,2),1),[1]Pivot!$A$1:$A$65000,0)</f>
        <v>#VALUE!</v>
      </c>
      <c r="C861" s="194">
        <f>IFERROR(IF(INDEX([1]Pivot!$AD$1:$BE$65000,$B861,C$5)=1,1,IF(INDEX([1]Pivot!$B$1:$AB$65000,$B861,C$5)="",2,0)),0)</f>
        <v>0</v>
      </c>
      <c r="D861" s="194">
        <f>IFERROR(IF(INDEX([1]Pivot!$AD$1:$BE$65000,$B861,D$5)=1,1,IF(INDEX([1]Pivot!$B$1:$AB$65000,$B861,D$5)="",2,0)),0)</f>
        <v>0</v>
      </c>
      <c r="E861" s="194">
        <f>IFERROR(IF(INDEX([1]Pivot!$AD$1:$BE$65000,$B861,E$5)=1,1,IF(INDEX([1]Pivot!$B$1:$AB$65000,$B861,E$5)="",2,0)),0)</f>
        <v>0</v>
      </c>
      <c r="F861" s="194">
        <f>IFERROR(IF(INDEX([1]Pivot!$AD$1:$BE$65000,$B861,F$5)=1,1,IF(INDEX([1]Pivot!$B$1:$AB$65000,$B861,F$5)="",2,0)),0)</f>
        <v>0</v>
      </c>
      <c r="G861" s="194">
        <f>IFERROR(IF(INDEX([1]Pivot!$AD$1:$BE$65000,$B861,G$5)=1,1,IF(INDEX([1]Pivot!$B$1:$AB$65000,$B861,G$5)="",2,0)),0)</f>
        <v>0</v>
      </c>
      <c r="H861" s="194">
        <f>IFERROR(IF(INDEX([1]Pivot!$AD$1:$BE$65000,$B861,H$5)=1,1,IF(INDEX([1]Pivot!$B$1:$AB$65000,$B861,H$5)="",2,0)),0)</f>
        <v>0</v>
      </c>
      <c r="I861" s="194">
        <f>IFERROR(IF(INDEX([1]Pivot!$AD$1:$BE$65000,$B861,I$5)=1,1,IF(INDEX([1]Pivot!$B$1:$AB$65000,$B861,I$5)="",2,0)),0)</f>
        <v>0</v>
      </c>
      <c r="J861" s="194">
        <f>IFERROR(IF(INDEX([1]Pivot!$AD$1:$BE$65000,$B861,J$5)=1,1,IF(INDEX([1]Pivot!$B$1:$AB$65000,$B861,J$5)="",2,0)),0)</f>
        <v>0</v>
      </c>
      <c r="K861" s="194">
        <f>IFERROR(IF(INDEX([1]Pivot!$AD$1:$BE$65000,$B861,K$5)=1,1,IF(INDEX([1]Pivot!$B$1:$AB$65000,$B861,K$5)="",2,0)),0)</f>
        <v>0</v>
      </c>
      <c r="L861" s="194">
        <f>IFERROR(IF(INDEX([1]Pivot!$AD$1:$BE$65000,$B861,L$5)=1,1,IF(INDEX([1]Pivot!$B$1:$AB$65000,$B861,L$5)="",2,0)),0)</f>
        <v>0</v>
      </c>
      <c r="M861" s="194">
        <f>IFERROR(IF(INDEX([1]Pivot!$AD$1:$BE$65000,$B861,M$5)=1,1,IF(INDEX([1]Pivot!$B$1:$AB$65000,$B861,M$5)="",2,0)),0)</f>
        <v>0</v>
      </c>
      <c r="N861" s="194">
        <f>IFERROR(IF(INDEX([1]Pivot!$AD$1:$BE$65000,$B861,N$5)=1,1,IF(INDEX([1]Pivot!$B$1:$AB$65000,$B861,N$5)="",2,0)),0)</f>
        <v>0</v>
      </c>
      <c r="O861" s="194">
        <f>IFERROR(IF(INDEX([1]Pivot!$AD$1:$BE$65000,$B861,O$5)=1,1,IF(INDEX([1]Pivot!$B$1:$AB$65000,$B861,O$5)="",2,0)),0)</f>
        <v>0</v>
      </c>
      <c r="P861" s="194">
        <f>IFERROR(IF(INDEX([1]Pivot!$AD$1:$BE$65000,$B861,P$5)=1,1,IF(INDEX([1]Pivot!$B$1:$AB$65000,$B861,P$5)="",2,0)),0)</f>
        <v>0</v>
      </c>
      <c r="Q861" s="194">
        <f>IFERROR(IF(INDEX([1]Pivot!$AD$1:$BE$65000,$B861,Q$5)=1,1,IF(INDEX([1]Pivot!$B$1:$AB$65000,$B861,Q$5)="",2,0)),0)</f>
        <v>0</v>
      </c>
      <c r="R861" s="312"/>
      <c r="S861" s="194">
        <f>IFERROR(IF(INDEX([1]Pivot!$AD$1:$BE$65000,$B861,S$5)=1,1,IF(INDEX([1]Pivot!$B$1:$AB$65000,$B861,S$5)="",2,0)),0)</f>
        <v>0</v>
      </c>
      <c r="T861" s="194">
        <f>IFERROR(IF(INDEX([1]Pivot!$AD$1:$BE$65000,$B861,T$5)=1,1,IF(INDEX([1]Pivot!$B$1:$AB$65000,$B861,T$5)="",2,0)),0)</f>
        <v>0</v>
      </c>
      <c r="U861" s="194">
        <f>IFERROR(IF(INDEX([1]Pivot!$AD$1:$BE$65000,$B861,U$5)=1,1,IF(INDEX([1]Pivot!$B$1:$AB$65000,$B861,U$5)="",2,0)),0)</f>
        <v>0</v>
      </c>
      <c r="V861" s="194">
        <f>IFERROR(IF(INDEX([1]Pivot!$AD$1:$BE$65000,$B861,V$5)=1,1,IF(INDEX([1]Pivot!$B$1:$AB$65000,$B861,V$5)="",2,0)),0)</f>
        <v>0</v>
      </c>
      <c r="W861" s="194">
        <f>IFERROR(IF(INDEX([1]Pivot!$AD$1:$BE$65000,$B861,W$5)=1,1,IF(INDEX([1]Pivot!$B$1:$AB$65000,$B861,W$5)="",2,0)),0)</f>
        <v>0</v>
      </c>
      <c r="X861" s="194">
        <f>IFERROR(IF(INDEX([1]Pivot!$AD$1:$BE$65000,$B861,X$5)=1,1,IF(INDEX([1]Pivot!$B$1:$AB$65000,$B861,X$5)="",2,0)),0)</f>
        <v>0</v>
      </c>
      <c r="Y861" s="194">
        <f>IFERROR(IF(INDEX([1]Pivot!$AD$1:$BE$65000,$B861,Y$5)=1,1,IF(INDEX([1]Pivot!$B$1:$AB$65000,$B861,Y$5)="",2,0)),0)</f>
        <v>0</v>
      </c>
      <c r="Z861" s="194">
        <f>IFERROR(IF(INDEX([1]Pivot!$AD$1:$BE$65000,$B861,Z$5)=1,1,IF(INDEX([1]Pivot!$B$1:$AB$65000,$B861,Z$5)="",2,0)),0)</f>
        <v>0</v>
      </c>
      <c r="AA861" s="194">
        <f>IFERROR(IF(INDEX([1]Pivot!$AD$1:$BE$65000,$B861,AA$5)=1,1,IF(INDEX([1]Pivot!$B$1:$AB$65000,$B861,AA$5)="",2,0)),0)</f>
        <v>0</v>
      </c>
      <c r="AB861" s="194">
        <f>IFERROR(IF(INDEX([1]Pivot!$AD$1:$BE$65000,$B861,AB$5)=1,1,IF(INDEX([1]Pivot!$B$1:$AB$65000,$B861,AB$5)="",2,0)),0)</f>
        <v>0</v>
      </c>
      <c r="AC861" s="194">
        <f>IFERROR(IF(INDEX([1]Pivot!$AD$1:$BE$65000,$B861,AC$5)=1,1,IF(INDEX([1]Pivot!$B$1:$AB$65000,$B861,AC$5)="",2,0)),0)</f>
        <v>0</v>
      </c>
      <c r="AD861" s="313">
        <f>IFERROR(IF(INDEX([1]Pivot!$BF$1:$CG$65000,$B861,AD$5)=1,1,IF(INDEX([1]Pivot!$B$1:$AB$65000,$B861,AD$5)="",2,0)),0)</f>
        <v>0</v>
      </c>
      <c r="AE861" s="313">
        <f>IFERROR(IF(INDEX([1]Pivot!$BF$1:$CG$65000,$B861,AE$5)=1,1,IF(INDEX([1]Pivot!$B$1:$AB$65000,$B861,AE$5)="",2,0)),0)</f>
        <v>0</v>
      </c>
      <c r="AF861" s="313">
        <f>IFERROR(IF(INDEX([1]Pivot!$BF$1:$CG$65000,$B861,AF$5)=1,1,IF(INDEX([1]Pivot!$B$1:$AB$65000,$B861,AF$5)="",2,0)),0)</f>
        <v>0</v>
      </c>
      <c r="AG861" s="313">
        <f>IFERROR(IF(INDEX([1]Pivot!$BF$1:$CG$65000,$B861,AG$5)=1,1,IF(INDEX([1]Pivot!$B$1:$AB$65000,$B861,AG$5)="",2,0)),0)</f>
        <v>0</v>
      </c>
      <c r="AH861" s="313">
        <f>IFERROR(IF(INDEX([1]Pivot!$BF$1:$CG$65000,$B861,AH$5)=1,1,IF(INDEX([1]Pivot!$B$1:$AB$65000,$B861,AH$5)="",2,0)),0)</f>
        <v>0</v>
      </c>
      <c r="AI861" s="313">
        <f>IFERROR(IF(INDEX([1]Pivot!$BF$1:$CG$65000,$B861,AI$5)=1,1,IF(INDEX([1]Pivot!$B$1:$AB$65000,$B861,AI$5)="",2,0)),0)</f>
        <v>0</v>
      </c>
      <c r="AJ861" s="313">
        <f>IFERROR(IF(INDEX([1]Pivot!$BF$1:$CG$65000,$B861,AJ$5)=1,1,IF(INDEX([1]Pivot!$B$1:$AB$65000,$B861,AJ$5)="",2,0)),0)</f>
        <v>0</v>
      </c>
      <c r="AK861" s="313">
        <f>IFERROR(IF(INDEX([1]Pivot!$BF$1:$CG$65000,$B861,AK$5)=1,1,IF(INDEX([1]Pivot!$B$1:$AB$65000,$B861,AK$5)="",2,0)),0)</f>
        <v>0</v>
      </c>
      <c r="AL861" s="313">
        <f>IFERROR(IF(INDEX([1]Pivot!$BF$1:$CG$65000,$B861,AL$5)=1,1,IF(INDEX([1]Pivot!$B$1:$AB$65000,$B861,AL$5)="",2,0)),0)</f>
        <v>0</v>
      </c>
      <c r="AM861" s="313">
        <f>IFERROR(IF(INDEX([1]Pivot!$BF$1:$CG$65000,$B861,AM$5)=1,1,IF(INDEX([1]Pivot!$B$1:$AB$65000,$B861,AM$5)="",2,0)),0)</f>
        <v>0</v>
      </c>
      <c r="AN861" s="313">
        <f>IFERROR(IF(INDEX([1]Pivot!$BF$1:$CG$65000,$B861,AN$5)=1,1,IF(INDEX([1]Pivot!$B$1:$AB$65000,$B861,AN$5)="",2,0)),0)</f>
        <v>0</v>
      </c>
      <c r="AO861" s="313">
        <f>IFERROR(IF(INDEX([1]Pivot!$BF$1:$CG$65000,$B861,AO$5)=1,1,IF(INDEX([1]Pivot!$B$1:$AB$65000,$B861,AO$5)="",2,0)),0)</f>
        <v>0</v>
      </c>
      <c r="AP861" s="313">
        <f>IFERROR(IF(INDEX([1]Pivot!$BF$1:$CG$65000,$B861,AP$5)=1,1,IF(INDEX([1]Pivot!$B$1:$AB$65000,$B861,AP$5)="",2,0)),0)</f>
        <v>0</v>
      </c>
      <c r="AQ861" s="313">
        <f>IFERROR(IF(INDEX([1]Pivot!$BF$1:$CG$65000,$B861,AQ$5)=1,1,IF(INDEX([1]Pivot!$B$1:$AB$65000,$B861,AQ$5)="",2,0)),0)</f>
        <v>0</v>
      </c>
      <c r="AR861" s="313">
        <f>IFERROR(IF(INDEX([1]Pivot!$BF$1:$CG$65000,$B861,AR$5)=1,1,IF(INDEX([1]Pivot!$B$1:$AB$65000,$B861,AR$5)="",2,0)),0)</f>
        <v>0</v>
      </c>
      <c r="AS861" s="312"/>
      <c r="AT861" s="313">
        <f>IFERROR(IF(INDEX([1]Pivot!$BF$1:$CG$65000,$B861,AT$5)=1,1,IF(INDEX([1]Pivot!$B$1:$AB$65000,$B861,AT$5)="",2,0)),0)</f>
        <v>0</v>
      </c>
      <c r="AU861" s="313">
        <f>IFERROR(IF(INDEX([1]Pivot!$BF$1:$CG$65000,$B861,AU$5)=1,1,IF(INDEX([1]Pivot!$B$1:$AB$65000,$B861,AU$5)="",2,0)),0)</f>
        <v>0</v>
      </c>
      <c r="AV861" s="313">
        <f>IFERROR(IF(INDEX([1]Pivot!$BF$1:$CG$65000,$B861,AV$5)=1,1,IF(INDEX([1]Pivot!$B$1:$AB$65000,$B861,AV$5)="",2,0)),0)</f>
        <v>0</v>
      </c>
      <c r="AW861" s="313">
        <f>IFERROR(IF(INDEX([1]Pivot!$BF$1:$CG$65000,$B861,AW$5)=1,1,IF(INDEX([1]Pivot!$B$1:$AB$65000,$B861,AW$5)="",2,0)),0)</f>
        <v>0</v>
      </c>
      <c r="AX861" s="313">
        <f>IFERROR(IF(INDEX([1]Pivot!$BF$1:$CG$65000,$B861,AX$5)=1,1,IF(INDEX([1]Pivot!$B$1:$AB$65000,$B861,AX$5)="",2,0)),0)</f>
        <v>0</v>
      </c>
      <c r="AY861" s="313">
        <f>IFERROR(IF(INDEX([1]Pivot!$BF$1:$CG$65000,$B861,AY$5)=1,1,IF(INDEX([1]Pivot!$B$1:$AB$65000,$B861,AY$5)="",2,0)),0)</f>
        <v>0</v>
      </c>
      <c r="AZ861" s="313">
        <f>IFERROR(IF(INDEX([1]Pivot!$BF$1:$CG$65000,$B861,AZ$5)=1,1,IF(INDEX([1]Pivot!$B$1:$AB$65000,$B861,AZ$5)="",2,0)),0)</f>
        <v>0</v>
      </c>
      <c r="BA861" s="313">
        <f>IFERROR(IF(INDEX([1]Pivot!$BF$1:$CG$65000,$B861,BA$5)=1,1,IF(INDEX([1]Pivot!$B$1:$AB$65000,$B861,BA$5)="",2,0)),0)</f>
        <v>0</v>
      </c>
      <c r="BB861" s="313">
        <f>IFERROR(IF(INDEX([1]Pivot!$BF$1:$CG$65000,$B861,BB$5)=1,1,IF(INDEX([1]Pivot!$B$1:$AB$65000,$B861,BB$5)="",2,0)),0)</f>
        <v>0</v>
      </c>
      <c r="BC861" s="313">
        <f>IFERROR(IF(INDEX([1]Pivot!$BF$1:$CG$65000,$B861,BC$5)=1,1,IF(INDEX([1]Pivot!$B$1:$AB$65000,$B861,BC$5)="",2,0)),0)</f>
        <v>0</v>
      </c>
      <c r="BD861" s="313">
        <f>IFERROR(IF(INDEX([1]Pivot!$BF$1:$CG$65000,$B861,BD$5)=1,1,IF(INDEX([1]Pivot!$B$1:$AB$65000,$B861,BD$5)="",2,0)),0)</f>
        <v>0</v>
      </c>
    </row>
    <row r="862" spans="1:56" x14ac:dyDescent="0.25">
      <c r="A862" s="288">
        <f>'[2]Raw Milk Prices'!A862</f>
        <v>0</v>
      </c>
      <c r="B862" s="296" t="e">
        <f>MATCH(DATE(LEFT('[2]Raw Milk Prices'!$A862,4),RIGHT('[2]Raw Milk Prices'!$A862,2),1),[1]Pivot!$A$1:$A$65000,0)</f>
        <v>#VALUE!</v>
      </c>
      <c r="C862" s="194">
        <f>IFERROR(IF(INDEX([1]Pivot!$AD$1:$BE$65000,$B862,C$5)=1,1,IF(INDEX([1]Pivot!$B$1:$AB$65000,$B862,C$5)="",2,0)),0)</f>
        <v>0</v>
      </c>
      <c r="D862" s="194">
        <f>IFERROR(IF(INDEX([1]Pivot!$AD$1:$BE$65000,$B862,D$5)=1,1,IF(INDEX([1]Pivot!$B$1:$AB$65000,$B862,D$5)="",2,0)),0)</f>
        <v>0</v>
      </c>
      <c r="E862" s="194">
        <f>IFERROR(IF(INDEX([1]Pivot!$AD$1:$BE$65000,$B862,E$5)=1,1,IF(INDEX([1]Pivot!$B$1:$AB$65000,$B862,E$5)="",2,0)),0)</f>
        <v>0</v>
      </c>
      <c r="F862" s="194">
        <f>IFERROR(IF(INDEX([1]Pivot!$AD$1:$BE$65000,$B862,F$5)=1,1,IF(INDEX([1]Pivot!$B$1:$AB$65000,$B862,F$5)="",2,0)),0)</f>
        <v>0</v>
      </c>
      <c r="G862" s="194">
        <f>IFERROR(IF(INDEX([1]Pivot!$AD$1:$BE$65000,$B862,G$5)=1,1,IF(INDEX([1]Pivot!$B$1:$AB$65000,$B862,G$5)="",2,0)),0)</f>
        <v>0</v>
      </c>
      <c r="H862" s="194">
        <f>IFERROR(IF(INDEX([1]Pivot!$AD$1:$BE$65000,$B862,H$5)=1,1,IF(INDEX([1]Pivot!$B$1:$AB$65000,$B862,H$5)="",2,0)),0)</f>
        <v>0</v>
      </c>
      <c r="I862" s="194">
        <f>IFERROR(IF(INDEX([1]Pivot!$AD$1:$BE$65000,$B862,I$5)=1,1,IF(INDEX([1]Pivot!$B$1:$AB$65000,$B862,I$5)="",2,0)),0)</f>
        <v>0</v>
      </c>
      <c r="J862" s="194">
        <f>IFERROR(IF(INDEX([1]Pivot!$AD$1:$BE$65000,$B862,J$5)=1,1,IF(INDEX([1]Pivot!$B$1:$AB$65000,$B862,J$5)="",2,0)),0)</f>
        <v>0</v>
      </c>
      <c r="K862" s="194">
        <f>IFERROR(IF(INDEX([1]Pivot!$AD$1:$BE$65000,$B862,K$5)=1,1,IF(INDEX([1]Pivot!$B$1:$AB$65000,$B862,K$5)="",2,0)),0)</f>
        <v>0</v>
      </c>
      <c r="L862" s="194">
        <f>IFERROR(IF(INDEX([1]Pivot!$AD$1:$BE$65000,$B862,L$5)=1,1,IF(INDEX([1]Pivot!$B$1:$AB$65000,$B862,L$5)="",2,0)),0)</f>
        <v>0</v>
      </c>
      <c r="M862" s="194">
        <f>IFERROR(IF(INDEX([1]Pivot!$AD$1:$BE$65000,$B862,M$5)=1,1,IF(INDEX([1]Pivot!$B$1:$AB$65000,$B862,M$5)="",2,0)),0)</f>
        <v>0</v>
      </c>
      <c r="N862" s="194">
        <f>IFERROR(IF(INDEX([1]Pivot!$AD$1:$BE$65000,$B862,N$5)=1,1,IF(INDEX([1]Pivot!$B$1:$AB$65000,$B862,N$5)="",2,0)),0)</f>
        <v>0</v>
      </c>
      <c r="O862" s="194">
        <f>IFERROR(IF(INDEX([1]Pivot!$AD$1:$BE$65000,$B862,O$5)=1,1,IF(INDEX([1]Pivot!$B$1:$AB$65000,$B862,O$5)="",2,0)),0)</f>
        <v>0</v>
      </c>
      <c r="P862" s="194">
        <f>IFERROR(IF(INDEX([1]Pivot!$AD$1:$BE$65000,$B862,P$5)=1,1,IF(INDEX([1]Pivot!$B$1:$AB$65000,$B862,P$5)="",2,0)),0)</f>
        <v>0</v>
      </c>
      <c r="Q862" s="194">
        <f>IFERROR(IF(INDEX([1]Pivot!$AD$1:$BE$65000,$B862,Q$5)=1,1,IF(INDEX([1]Pivot!$B$1:$AB$65000,$B862,Q$5)="",2,0)),0)</f>
        <v>0</v>
      </c>
      <c r="R862" s="312"/>
      <c r="S862" s="194">
        <f>IFERROR(IF(INDEX([1]Pivot!$AD$1:$BE$65000,$B862,S$5)=1,1,IF(INDEX([1]Pivot!$B$1:$AB$65000,$B862,S$5)="",2,0)),0)</f>
        <v>0</v>
      </c>
      <c r="T862" s="194">
        <f>IFERROR(IF(INDEX([1]Pivot!$AD$1:$BE$65000,$B862,T$5)=1,1,IF(INDEX([1]Pivot!$B$1:$AB$65000,$B862,T$5)="",2,0)),0)</f>
        <v>0</v>
      </c>
      <c r="U862" s="194">
        <f>IFERROR(IF(INDEX([1]Pivot!$AD$1:$BE$65000,$B862,U$5)=1,1,IF(INDEX([1]Pivot!$B$1:$AB$65000,$B862,U$5)="",2,0)),0)</f>
        <v>0</v>
      </c>
      <c r="V862" s="194">
        <f>IFERROR(IF(INDEX([1]Pivot!$AD$1:$BE$65000,$B862,V$5)=1,1,IF(INDEX([1]Pivot!$B$1:$AB$65000,$B862,V$5)="",2,0)),0)</f>
        <v>0</v>
      </c>
      <c r="W862" s="194">
        <f>IFERROR(IF(INDEX([1]Pivot!$AD$1:$BE$65000,$B862,W$5)=1,1,IF(INDEX([1]Pivot!$B$1:$AB$65000,$B862,W$5)="",2,0)),0)</f>
        <v>0</v>
      </c>
      <c r="X862" s="194">
        <f>IFERROR(IF(INDEX([1]Pivot!$AD$1:$BE$65000,$B862,X$5)=1,1,IF(INDEX([1]Pivot!$B$1:$AB$65000,$B862,X$5)="",2,0)),0)</f>
        <v>0</v>
      </c>
      <c r="Y862" s="194">
        <f>IFERROR(IF(INDEX([1]Pivot!$AD$1:$BE$65000,$B862,Y$5)=1,1,IF(INDEX([1]Pivot!$B$1:$AB$65000,$B862,Y$5)="",2,0)),0)</f>
        <v>0</v>
      </c>
      <c r="Z862" s="194">
        <f>IFERROR(IF(INDEX([1]Pivot!$AD$1:$BE$65000,$B862,Z$5)=1,1,IF(INDEX([1]Pivot!$B$1:$AB$65000,$B862,Z$5)="",2,0)),0)</f>
        <v>0</v>
      </c>
      <c r="AA862" s="194">
        <f>IFERROR(IF(INDEX([1]Pivot!$AD$1:$BE$65000,$B862,AA$5)=1,1,IF(INDEX([1]Pivot!$B$1:$AB$65000,$B862,AA$5)="",2,0)),0)</f>
        <v>0</v>
      </c>
      <c r="AB862" s="194">
        <f>IFERROR(IF(INDEX([1]Pivot!$AD$1:$BE$65000,$B862,AB$5)=1,1,IF(INDEX([1]Pivot!$B$1:$AB$65000,$B862,AB$5)="",2,0)),0)</f>
        <v>0</v>
      </c>
      <c r="AC862" s="194">
        <f>IFERROR(IF(INDEX([1]Pivot!$AD$1:$BE$65000,$B862,AC$5)=1,1,IF(INDEX([1]Pivot!$B$1:$AB$65000,$B862,AC$5)="",2,0)),0)</f>
        <v>0</v>
      </c>
      <c r="AD862" s="313">
        <f>IFERROR(IF(INDEX([1]Pivot!$BF$1:$CG$65000,$B862,AD$5)=1,1,IF(INDEX([1]Pivot!$B$1:$AB$65000,$B862,AD$5)="",2,0)),0)</f>
        <v>0</v>
      </c>
      <c r="AE862" s="313">
        <f>IFERROR(IF(INDEX([1]Pivot!$BF$1:$CG$65000,$B862,AE$5)=1,1,IF(INDEX([1]Pivot!$B$1:$AB$65000,$B862,AE$5)="",2,0)),0)</f>
        <v>0</v>
      </c>
      <c r="AF862" s="313">
        <f>IFERROR(IF(INDEX([1]Pivot!$BF$1:$CG$65000,$B862,AF$5)=1,1,IF(INDEX([1]Pivot!$B$1:$AB$65000,$B862,AF$5)="",2,0)),0)</f>
        <v>0</v>
      </c>
      <c r="AG862" s="313">
        <f>IFERROR(IF(INDEX([1]Pivot!$BF$1:$CG$65000,$B862,AG$5)=1,1,IF(INDEX([1]Pivot!$B$1:$AB$65000,$B862,AG$5)="",2,0)),0)</f>
        <v>0</v>
      </c>
      <c r="AH862" s="313">
        <f>IFERROR(IF(INDEX([1]Pivot!$BF$1:$CG$65000,$B862,AH$5)=1,1,IF(INDEX([1]Pivot!$B$1:$AB$65000,$B862,AH$5)="",2,0)),0)</f>
        <v>0</v>
      </c>
      <c r="AI862" s="313">
        <f>IFERROR(IF(INDEX([1]Pivot!$BF$1:$CG$65000,$B862,AI$5)=1,1,IF(INDEX([1]Pivot!$B$1:$AB$65000,$B862,AI$5)="",2,0)),0)</f>
        <v>0</v>
      </c>
      <c r="AJ862" s="313">
        <f>IFERROR(IF(INDEX([1]Pivot!$BF$1:$CG$65000,$B862,AJ$5)=1,1,IF(INDEX([1]Pivot!$B$1:$AB$65000,$B862,AJ$5)="",2,0)),0)</f>
        <v>0</v>
      </c>
      <c r="AK862" s="313">
        <f>IFERROR(IF(INDEX([1]Pivot!$BF$1:$CG$65000,$B862,AK$5)=1,1,IF(INDEX([1]Pivot!$B$1:$AB$65000,$B862,AK$5)="",2,0)),0)</f>
        <v>0</v>
      </c>
      <c r="AL862" s="313">
        <f>IFERROR(IF(INDEX([1]Pivot!$BF$1:$CG$65000,$B862,AL$5)=1,1,IF(INDEX([1]Pivot!$B$1:$AB$65000,$B862,AL$5)="",2,0)),0)</f>
        <v>0</v>
      </c>
      <c r="AM862" s="313">
        <f>IFERROR(IF(INDEX([1]Pivot!$BF$1:$CG$65000,$B862,AM$5)=1,1,IF(INDEX([1]Pivot!$B$1:$AB$65000,$B862,AM$5)="",2,0)),0)</f>
        <v>0</v>
      </c>
      <c r="AN862" s="313">
        <f>IFERROR(IF(INDEX([1]Pivot!$BF$1:$CG$65000,$B862,AN$5)=1,1,IF(INDEX([1]Pivot!$B$1:$AB$65000,$B862,AN$5)="",2,0)),0)</f>
        <v>0</v>
      </c>
      <c r="AO862" s="313">
        <f>IFERROR(IF(INDEX([1]Pivot!$BF$1:$CG$65000,$B862,AO$5)=1,1,IF(INDEX([1]Pivot!$B$1:$AB$65000,$B862,AO$5)="",2,0)),0)</f>
        <v>0</v>
      </c>
      <c r="AP862" s="313">
        <f>IFERROR(IF(INDEX([1]Pivot!$BF$1:$CG$65000,$B862,AP$5)=1,1,IF(INDEX([1]Pivot!$B$1:$AB$65000,$B862,AP$5)="",2,0)),0)</f>
        <v>0</v>
      </c>
      <c r="AQ862" s="313">
        <f>IFERROR(IF(INDEX([1]Pivot!$BF$1:$CG$65000,$B862,AQ$5)=1,1,IF(INDEX([1]Pivot!$B$1:$AB$65000,$B862,AQ$5)="",2,0)),0)</f>
        <v>0</v>
      </c>
      <c r="AR862" s="313">
        <f>IFERROR(IF(INDEX([1]Pivot!$BF$1:$CG$65000,$B862,AR$5)=1,1,IF(INDEX([1]Pivot!$B$1:$AB$65000,$B862,AR$5)="",2,0)),0)</f>
        <v>0</v>
      </c>
      <c r="AS862" s="312"/>
      <c r="AT862" s="313">
        <f>IFERROR(IF(INDEX([1]Pivot!$BF$1:$CG$65000,$B862,AT$5)=1,1,IF(INDEX([1]Pivot!$B$1:$AB$65000,$B862,AT$5)="",2,0)),0)</f>
        <v>0</v>
      </c>
      <c r="AU862" s="313">
        <f>IFERROR(IF(INDEX([1]Pivot!$BF$1:$CG$65000,$B862,AU$5)=1,1,IF(INDEX([1]Pivot!$B$1:$AB$65000,$B862,AU$5)="",2,0)),0)</f>
        <v>0</v>
      </c>
      <c r="AV862" s="313">
        <f>IFERROR(IF(INDEX([1]Pivot!$BF$1:$CG$65000,$B862,AV$5)=1,1,IF(INDEX([1]Pivot!$B$1:$AB$65000,$B862,AV$5)="",2,0)),0)</f>
        <v>0</v>
      </c>
      <c r="AW862" s="313">
        <f>IFERROR(IF(INDEX([1]Pivot!$BF$1:$CG$65000,$B862,AW$5)=1,1,IF(INDEX([1]Pivot!$B$1:$AB$65000,$B862,AW$5)="",2,0)),0)</f>
        <v>0</v>
      </c>
      <c r="AX862" s="313">
        <f>IFERROR(IF(INDEX([1]Pivot!$BF$1:$CG$65000,$B862,AX$5)=1,1,IF(INDEX([1]Pivot!$B$1:$AB$65000,$B862,AX$5)="",2,0)),0)</f>
        <v>0</v>
      </c>
      <c r="AY862" s="313">
        <f>IFERROR(IF(INDEX([1]Pivot!$BF$1:$CG$65000,$B862,AY$5)=1,1,IF(INDEX([1]Pivot!$B$1:$AB$65000,$B862,AY$5)="",2,0)),0)</f>
        <v>0</v>
      </c>
      <c r="AZ862" s="313">
        <f>IFERROR(IF(INDEX([1]Pivot!$BF$1:$CG$65000,$B862,AZ$5)=1,1,IF(INDEX([1]Pivot!$B$1:$AB$65000,$B862,AZ$5)="",2,0)),0)</f>
        <v>0</v>
      </c>
      <c r="BA862" s="313">
        <f>IFERROR(IF(INDEX([1]Pivot!$BF$1:$CG$65000,$B862,BA$5)=1,1,IF(INDEX([1]Pivot!$B$1:$AB$65000,$B862,BA$5)="",2,0)),0)</f>
        <v>0</v>
      </c>
      <c r="BB862" s="313">
        <f>IFERROR(IF(INDEX([1]Pivot!$BF$1:$CG$65000,$B862,BB$5)=1,1,IF(INDEX([1]Pivot!$B$1:$AB$65000,$B862,BB$5)="",2,0)),0)</f>
        <v>0</v>
      </c>
      <c r="BC862" s="313">
        <f>IFERROR(IF(INDEX([1]Pivot!$BF$1:$CG$65000,$B862,BC$5)=1,1,IF(INDEX([1]Pivot!$B$1:$AB$65000,$B862,BC$5)="",2,0)),0)</f>
        <v>0</v>
      </c>
      <c r="BD862" s="313">
        <f>IFERROR(IF(INDEX([1]Pivot!$BF$1:$CG$65000,$B862,BD$5)=1,1,IF(INDEX([1]Pivot!$B$1:$AB$65000,$B862,BD$5)="",2,0)),0)</f>
        <v>0</v>
      </c>
    </row>
    <row r="863" spans="1:56" x14ac:dyDescent="0.25">
      <c r="A863" s="288">
        <f>'[2]Raw Milk Prices'!A863</f>
        <v>0</v>
      </c>
      <c r="B863" s="296" t="e">
        <f>MATCH(DATE(LEFT('[2]Raw Milk Prices'!$A863,4),RIGHT('[2]Raw Milk Prices'!$A863,2),1),[1]Pivot!$A$1:$A$65000,0)</f>
        <v>#VALUE!</v>
      </c>
      <c r="C863" s="194">
        <f>IFERROR(IF(INDEX([1]Pivot!$AD$1:$BE$65000,$B863,C$5)=1,1,IF(INDEX([1]Pivot!$B$1:$AB$65000,$B863,C$5)="",2,0)),0)</f>
        <v>0</v>
      </c>
      <c r="D863" s="194">
        <f>IFERROR(IF(INDEX([1]Pivot!$AD$1:$BE$65000,$B863,D$5)=1,1,IF(INDEX([1]Pivot!$B$1:$AB$65000,$B863,D$5)="",2,0)),0)</f>
        <v>0</v>
      </c>
      <c r="E863" s="194">
        <f>IFERROR(IF(INDEX([1]Pivot!$AD$1:$BE$65000,$B863,E$5)=1,1,IF(INDEX([1]Pivot!$B$1:$AB$65000,$B863,E$5)="",2,0)),0)</f>
        <v>0</v>
      </c>
      <c r="F863" s="194">
        <f>IFERROR(IF(INDEX([1]Pivot!$AD$1:$BE$65000,$B863,F$5)=1,1,IF(INDEX([1]Pivot!$B$1:$AB$65000,$B863,F$5)="",2,0)),0)</f>
        <v>0</v>
      </c>
      <c r="G863" s="194">
        <f>IFERROR(IF(INDEX([1]Pivot!$AD$1:$BE$65000,$B863,G$5)=1,1,IF(INDEX([1]Pivot!$B$1:$AB$65000,$B863,G$5)="",2,0)),0)</f>
        <v>0</v>
      </c>
      <c r="H863" s="194">
        <f>IFERROR(IF(INDEX([1]Pivot!$AD$1:$BE$65000,$B863,H$5)=1,1,IF(INDEX([1]Pivot!$B$1:$AB$65000,$B863,H$5)="",2,0)),0)</f>
        <v>0</v>
      </c>
      <c r="I863" s="194">
        <f>IFERROR(IF(INDEX([1]Pivot!$AD$1:$BE$65000,$B863,I$5)=1,1,IF(INDEX([1]Pivot!$B$1:$AB$65000,$B863,I$5)="",2,0)),0)</f>
        <v>0</v>
      </c>
      <c r="J863" s="194">
        <f>IFERROR(IF(INDEX([1]Pivot!$AD$1:$BE$65000,$B863,J$5)=1,1,IF(INDEX([1]Pivot!$B$1:$AB$65000,$B863,J$5)="",2,0)),0)</f>
        <v>0</v>
      </c>
      <c r="K863" s="194">
        <f>IFERROR(IF(INDEX([1]Pivot!$AD$1:$BE$65000,$B863,K$5)=1,1,IF(INDEX([1]Pivot!$B$1:$AB$65000,$B863,K$5)="",2,0)),0)</f>
        <v>0</v>
      </c>
      <c r="L863" s="194">
        <f>IFERROR(IF(INDEX([1]Pivot!$AD$1:$BE$65000,$B863,L$5)=1,1,IF(INDEX([1]Pivot!$B$1:$AB$65000,$B863,L$5)="",2,0)),0)</f>
        <v>0</v>
      </c>
      <c r="M863" s="194">
        <f>IFERROR(IF(INDEX([1]Pivot!$AD$1:$BE$65000,$B863,M$5)=1,1,IF(INDEX([1]Pivot!$B$1:$AB$65000,$B863,M$5)="",2,0)),0)</f>
        <v>0</v>
      </c>
      <c r="N863" s="194">
        <f>IFERROR(IF(INDEX([1]Pivot!$AD$1:$BE$65000,$B863,N$5)=1,1,IF(INDEX([1]Pivot!$B$1:$AB$65000,$B863,N$5)="",2,0)),0)</f>
        <v>0</v>
      </c>
      <c r="O863" s="194">
        <f>IFERROR(IF(INDEX([1]Pivot!$AD$1:$BE$65000,$B863,O$5)=1,1,IF(INDEX([1]Pivot!$B$1:$AB$65000,$B863,O$5)="",2,0)),0)</f>
        <v>0</v>
      </c>
      <c r="P863" s="194">
        <f>IFERROR(IF(INDEX([1]Pivot!$AD$1:$BE$65000,$B863,P$5)=1,1,IF(INDEX([1]Pivot!$B$1:$AB$65000,$B863,P$5)="",2,0)),0)</f>
        <v>0</v>
      </c>
      <c r="Q863" s="194">
        <f>IFERROR(IF(INDEX([1]Pivot!$AD$1:$BE$65000,$B863,Q$5)=1,1,IF(INDEX([1]Pivot!$B$1:$AB$65000,$B863,Q$5)="",2,0)),0)</f>
        <v>0</v>
      </c>
      <c r="R863" s="312"/>
      <c r="S863" s="194">
        <f>IFERROR(IF(INDEX([1]Pivot!$AD$1:$BE$65000,$B863,S$5)=1,1,IF(INDEX([1]Pivot!$B$1:$AB$65000,$B863,S$5)="",2,0)),0)</f>
        <v>0</v>
      </c>
      <c r="T863" s="194">
        <f>IFERROR(IF(INDEX([1]Pivot!$AD$1:$BE$65000,$B863,T$5)=1,1,IF(INDEX([1]Pivot!$B$1:$AB$65000,$B863,T$5)="",2,0)),0)</f>
        <v>0</v>
      </c>
      <c r="U863" s="194">
        <f>IFERROR(IF(INDEX([1]Pivot!$AD$1:$BE$65000,$B863,U$5)=1,1,IF(INDEX([1]Pivot!$B$1:$AB$65000,$B863,U$5)="",2,0)),0)</f>
        <v>0</v>
      </c>
      <c r="V863" s="194">
        <f>IFERROR(IF(INDEX([1]Pivot!$AD$1:$BE$65000,$B863,V$5)=1,1,IF(INDEX([1]Pivot!$B$1:$AB$65000,$B863,V$5)="",2,0)),0)</f>
        <v>0</v>
      </c>
      <c r="W863" s="194">
        <f>IFERROR(IF(INDEX([1]Pivot!$AD$1:$BE$65000,$B863,W$5)=1,1,IF(INDEX([1]Pivot!$B$1:$AB$65000,$B863,W$5)="",2,0)),0)</f>
        <v>0</v>
      </c>
      <c r="X863" s="194">
        <f>IFERROR(IF(INDEX([1]Pivot!$AD$1:$BE$65000,$B863,X$5)=1,1,IF(INDEX([1]Pivot!$B$1:$AB$65000,$B863,X$5)="",2,0)),0)</f>
        <v>0</v>
      </c>
      <c r="Y863" s="194">
        <f>IFERROR(IF(INDEX([1]Pivot!$AD$1:$BE$65000,$B863,Y$5)=1,1,IF(INDEX([1]Pivot!$B$1:$AB$65000,$B863,Y$5)="",2,0)),0)</f>
        <v>0</v>
      </c>
      <c r="Z863" s="194">
        <f>IFERROR(IF(INDEX([1]Pivot!$AD$1:$BE$65000,$B863,Z$5)=1,1,IF(INDEX([1]Pivot!$B$1:$AB$65000,$B863,Z$5)="",2,0)),0)</f>
        <v>0</v>
      </c>
      <c r="AA863" s="194">
        <f>IFERROR(IF(INDEX([1]Pivot!$AD$1:$BE$65000,$B863,AA$5)=1,1,IF(INDEX([1]Pivot!$B$1:$AB$65000,$B863,AA$5)="",2,0)),0)</f>
        <v>0</v>
      </c>
      <c r="AB863" s="194">
        <f>IFERROR(IF(INDEX([1]Pivot!$AD$1:$BE$65000,$B863,AB$5)=1,1,IF(INDEX([1]Pivot!$B$1:$AB$65000,$B863,AB$5)="",2,0)),0)</f>
        <v>0</v>
      </c>
      <c r="AC863" s="194">
        <f>IFERROR(IF(INDEX([1]Pivot!$AD$1:$BE$65000,$B863,AC$5)=1,1,IF(INDEX([1]Pivot!$B$1:$AB$65000,$B863,AC$5)="",2,0)),0)</f>
        <v>0</v>
      </c>
      <c r="AD863" s="313">
        <f>IFERROR(IF(INDEX([1]Pivot!$BF$1:$CG$65000,$B863,AD$5)=1,1,IF(INDEX([1]Pivot!$B$1:$AB$65000,$B863,AD$5)="",2,0)),0)</f>
        <v>0</v>
      </c>
      <c r="AE863" s="313">
        <f>IFERROR(IF(INDEX([1]Pivot!$BF$1:$CG$65000,$B863,AE$5)=1,1,IF(INDEX([1]Pivot!$B$1:$AB$65000,$B863,AE$5)="",2,0)),0)</f>
        <v>0</v>
      </c>
      <c r="AF863" s="313">
        <f>IFERROR(IF(INDEX([1]Pivot!$BF$1:$CG$65000,$B863,AF$5)=1,1,IF(INDEX([1]Pivot!$B$1:$AB$65000,$B863,AF$5)="",2,0)),0)</f>
        <v>0</v>
      </c>
      <c r="AG863" s="313">
        <f>IFERROR(IF(INDEX([1]Pivot!$BF$1:$CG$65000,$B863,AG$5)=1,1,IF(INDEX([1]Pivot!$B$1:$AB$65000,$B863,AG$5)="",2,0)),0)</f>
        <v>0</v>
      </c>
      <c r="AH863" s="313">
        <f>IFERROR(IF(INDEX([1]Pivot!$BF$1:$CG$65000,$B863,AH$5)=1,1,IF(INDEX([1]Pivot!$B$1:$AB$65000,$B863,AH$5)="",2,0)),0)</f>
        <v>0</v>
      </c>
      <c r="AI863" s="313">
        <f>IFERROR(IF(INDEX([1]Pivot!$BF$1:$CG$65000,$B863,AI$5)=1,1,IF(INDEX([1]Pivot!$B$1:$AB$65000,$B863,AI$5)="",2,0)),0)</f>
        <v>0</v>
      </c>
      <c r="AJ863" s="313">
        <f>IFERROR(IF(INDEX([1]Pivot!$BF$1:$CG$65000,$B863,AJ$5)=1,1,IF(INDEX([1]Pivot!$B$1:$AB$65000,$B863,AJ$5)="",2,0)),0)</f>
        <v>0</v>
      </c>
      <c r="AK863" s="313">
        <f>IFERROR(IF(INDEX([1]Pivot!$BF$1:$CG$65000,$B863,AK$5)=1,1,IF(INDEX([1]Pivot!$B$1:$AB$65000,$B863,AK$5)="",2,0)),0)</f>
        <v>0</v>
      </c>
      <c r="AL863" s="313">
        <f>IFERROR(IF(INDEX([1]Pivot!$BF$1:$CG$65000,$B863,AL$5)=1,1,IF(INDEX([1]Pivot!$B$1:$AB$65000,$B863,AL$5)="",2,0)),0)</f>
        <v>0</v>
      </c>
      <c r="AM863" s="313">
        <f>IFERROR(IF(INDEX([1]Pivot!$BF$1:$CG$65000,$B863,AM$5)=1,1,IF(INDEX([1]Pivot!$B$1:$AB$65000,$B863,AM$5)="",2,0)),0)</f>
        <v>0</v>
      </c>
      <c r="AN863" s="313">
        <f>IFERROR(IF(INDEX([1]Pivot!$BF$1:$CG$65000,$B863,AN$5)=1,1,IF(INDEX([1]Pivot!$B$1:$AB$65000,$B863,AN$5)="",2,0)),0)</f>
        <v>0</v>
      </c>
      <c r="AO863" s="313">
        <f>IFERROR(IF(INDEX([1]Pivot!$BF$1:$CG$65000,$B863,AO$5)=1,1,IF(INDEX([1]Pivot!$B$1:$AB$65000,$B863,AO$5)="",2,0)),0)</f>
        <v>0</v>
      </c>
      <c r="AP863" s="313">
        <f>IFERROR(IF(INDEX([1]Pivot!$BF$1:$CG$65000,$B863,AP$5)=1,1,IF(INDEX([1]Pivot!$B$1:$AB$65000,$B863,AP$5)="",2,0)),0)</f>
        <v>0</v>
      </c>
      <c r="AQ863" s="313">
        <f>IFERROR(IF(INDEX([1]Pivot!$BF$1:$CG$65000,$B863,AQ$5)=1,1,IF(INDEX([1]Pivot!$B$1:$AB$65000,$B863,AQ$5)="",2,0)),0)</f>
        <v>0</v>
      </c>
      <c r="AR863" s="313">
        <f>IFERROR(IF(INDEX([1]Pivot!$BF$1:$CG$65000,$B863,AR$5)=1,1,IF(INDEX([1]Pivot!$B$1:$AB$65000,$B863,AR$5)="",2,0)),0)</f>
        <v>0</v>
      </c>
      <c r="AS863" s="312"/>
      <c r="AT863" s="313">
        <f>IFERROR(IF(INDEX([1]Pivot!$BF$1:$CG$65000,$B863,AT$5)=1,1,IF(INDEX([1]Pivot!$B$1:$AB$65000,$B863,AT$5)="",2,0)),0)</f>
        <v>0</v>
      </c>
      <c r="AU863" s="313">
        <f>IFERROR(IF(INDEX([1]Pivot!$BF$1:$CG$65000,$B863,AU$5)=1,1,IF(INDEX([1]Pivot!$B$1:$AB$65000,$B863,AU$5)="",2,0)),0)</f>
        <v>0</v>
      </c>
      <c r="AV863" s="313">
        <f>IFERROR(IF(INDEX([1]Pivot!$BF$1:$CG$65000,$B863,AV$5)=1,1,IF(INDEX([1]Pivot!$B$1:$AB$65000,$B863,AV$5)="",2,0)),0)</f>
        <v>0</v>
      </c>
      <c r="AW863" s="313">
        <f>IFERROR(IF(INDEX([1]Pivot!$BF$1:$CG$65000,$B863,AW$5)=1,1,IF(INDEX([1]Pivot!$B$1:$AB$65000,$B863,AW$5)="",2,0)),0)</f>
        <v>0</v>
      </c>
      <c r="AX863" s="313">
        <f>IFERROR(IF(INDEX([1]Pivot!$BF$1:$CG$65000,$B863,AX$5)=1,1,IF(INDEX([1]Pivot!$B$1:$AB$65000,$B863,AX$5)="",2,0)),0)</f>
        <v>0</v>
      </c>
      <c r="AY863" s="313">
        <f>IFERROR(IF(INDEX([1]Pivot!$BF$1:$CG$65000,$B863,AY$5)=1,1,IF(INDEX([1]Pivot!$B$1:$AB$65000,$B863,AY$5)="",2,0)),0)</f>
        <v>0</v>
      </c>
      <c r="AZ863" s="313">
        <f>IFERROR(IF(INDEX([1]Pivot!$BF$1:$CG$65000,$B863,AZ$5)=1,1,IF(INDEX([1]Pivot!$B$1:$AB$65000,$B863,AZ$5)="",2,0)),0)</f>
        <v>0</v>
      </c>
      <c r="BA863" s="313">
        <f>IFERROR(IF(INDEX([1]Pivot!$BF$1:$CG$65000,$B863,BA$5)=1,1,IF(INDEX([1]Pivot!$B$1:$AB$65000,$B863,BA$5)="",2,0)),0)</f>
        <v>0</v>
      </c>
      <c r="BB863" s="313">
        <f>IFERROR(IF(INDEX([1]Pivot!$BF$1:$CG$65000,$B863,BB$5)=1,1,IF(INDEX([1]Pivot!$B$1:$AB$65000,$B863,BB$5)="",2,0)),0)</f>
        <v>0</v>
      </c>
      <c r="BC863" s="313">
        <f>IFERROR(IF(INDEX([1]Pivot!$BF$1:$CG$65000,$B863,BC$5)=1,1,IF(INDEX([1]Pivot!$B$1:$AB$65000,$B863,BC$5)="",2,0)),0)</f>
        <v>0</v>
      </c>
      <c r="BD863" s="313">
        <f>IFERROR(IF(INDEX([1]Pivot!$BF$1:$CG$65000,$B863,BD$5)=1,1,IF(INDEX([1]Pivot!$B$1:$AB$65000,$B863,BD$5)="",2,0)),0)</f>
        <v>0</v>
      </c>
    </row>
    <row r="864" spans="1:56" x14ac:dyDescent="0.25">
      <c r="A864" s="288">
        <f>'[2]Raw Milk Prices'!A864</f>
        <v>0</v>
      </c>
      <c r="B864" s="296" t="e">
        <f>MATCH(DATE(LEFT('[2]Raw Milk Prices'!$A864,4),RIGHT('[2]Raw Milk Prices'!$A864,2),1),[1]Pivot!$A$1:$A$65000,0)</f>
        <v>#VALUE!</v>
      </c>
      <c r="C864" s="194">
        <f>IFERROR(IF(INDEX([1]Pivot!$AD$1:$BE$65000,$B864,C$5)=1,1,IF(INDEX([1]Pivot!$B$1:$AB$65000,$B864,C$5)="",2,0)),0)</f>
        <v>0</v>
      </c>
      <c r="D864" s="194">
        <f>IFERROR(IF(INDEX([1]Pivot!$AD$1:$BE$65000,$B864,D$5)=1,1,IF(INDEX([1]Pivot!$B$1:$AB$65000,$B864,D$5)="",2,0)),0)</f>
        <v>0</v>
      </c>
      <c r="E864" s="194">
        <f>IFERROR(IF(INDEX([1]Pivot!$AD$1:$BE$65000,$B864,E$5)=1,1,IF(INDEX([1]Pivot!$B$1:$AB$65000,$B864,E$5)="",2,0)),0)</f>
        <v>0</v>
      </c>
      <c r="F864" s="194">
        <f>IFERROR(IF(INDEX([1]Pivot!$AD$1:$BE$65000,$B864,F$5)=1,1,IF(INDEX([1]Pivot!$B$1:$AB$65000,$B864,F$5)="",2,0)),0)</f>
        <v>0</v>
      </c>
      <c r="G864" s="194">
        <f>IFERROR(IF(INDEX([1]Pivot!$AD$1:$BE$65000,$B864,G$5)=1,1,IF(INDEX([1]Pivot!$B$1:$AB$65000,$B864,G$5)="",2,0)),0)</f>
        <v>0</v>
      </c>
      <c r="H864" s="194">
        <f>IFERROR(IF(INDEX([1]Pivot!$AD$1:$BE$65000,$B864,H$5)=1,1,IF(INDEX([1]Pivot!$B$1:$AB$65000,$B864,H$5)="",2,0)),0)</f>
        <v>0</v>
      </c>
      <c r="I864" s="194">
        <f>IFERROR(IF(INDEX([1]Pivot!$AD$1:$BE$65000,$B864,I$5)=1,1,IF(INDEX([1]Pivot!$B$1:$AB$65000,$B864,I$5)="",2,0)),0)</f>
        <v>0</v>
      </c>
      <c r="J864" s="194">
        <f>IFERROR(IF(INDEX([1]Pivot!$AD$1:$BE$65000,$B864,J$5)=1,1,IF(INDEX([1]Pivot!$B$1:$AB$65000,$B864,J$5)="",2,0)),0)</f>
        <v>0</v>
      </c>
      <c r="K864" s="194">
        <f>IFERROR(IF(INDEX([1]Pivot!$AD$1:$BE$65000,$B864,K$5)=1,1,IF(INDEX([1]Pivot!$B$1:$AB$65000,$B864,K$5)="",2,0)),0)</f>
        <v>0</v>
      </c>
      <c r="L864" s="194">
        <f>IFERROR(IF(INDEX([1]Pivot!$AD$1:$BE$65000,$B864,L$5)=1,1,IF(INDEX([1]Pivot!$B$1:$AB$65000,$B864,L$5)="",2,0)),0)</f>
        <v>0</v>
      </c>
      <c r="M864" s="194">
        <f>IFERROR(IF(INDEX([1]Pivot!$AD$1:$BE$65000,$B864,M$5)=1,1,IF(INDEX([1]Pivot!$B$1:$AB$65000,$B864,M$5)="",2,0)),0)</f>
        <v>0</v>
      </c>
      <c r="N864" s="194">
        <f>IFERROR(IF(INDEX([1]Pivot!$AD$1:$BE$65000,$B864,N$5)=1,1,IF(INDEX([1]Pivot!$B$1:$AB$65000,$B864,N$5)="",2,0)),0)</f>
        <v>0</v>
      </c>
      <c r="O864" s="194">
        <f>IFERROR(IF(INDEX([1]Pivot!$AD$1:$BE$65000,$B864,O$5)=1,1,IF(INDEX([1]Pivot!$B$1:$AB$65000,$B864,O$5)="",2,0)),0)</f>
        <v>0</v>
      </c>
      <c r="P864" s="194">
        <f>IFERROR(IF(INDEX([1]Pivot!$AD$1:$BE$65000,$B864,P$5)=1,1,IF(INDEX([1]Pivot!$B$1:$AB$65000,$B864,P$5)="",2,0)),0)</f>
        <v>0</v>
      </c>
      <c r="Q864" s="194">
        <f>IFERROR(IF(INDEX([1]Pivot!$AD$1:$BE$65000,$B864,Q$5)=1,1,IF(INDEX([1]Pivot!$B$1:$AB$65000,$B864,Q$5)="",2,0)),0)</f>
        <v>0</v>
      </c>
      <c r="R864" s="312"/>
      <c r="S864" s="194">
        <f>IFERROR(IF(INDEX([1]Pivot!$AD$1:$BE$65000,$B864,S$5)=1,1,IF(INDEX([1]Pivot!$B$1:$AB$65000,$B864,S$5)="",2,0)),0)</f>
        <v>0</v>
      </c>
      <c r="T864" s="194">
        <f>IFERROR(IF(INDEX([1]Pivot!$AD$1:$BE$65000,$B864,T$5)=1,1,IF(INDEX([1]Pivot!$B$1:$AB$65000,$B864,T$5)="",2,0)),0)</f>
        <v>0</v>
      </c>
      <c r="U864" s="194">
        <f>IFERROR(IF(INDEX([1]Pivot!$AD$1:$BE$65000,$B864,U$5)=1,1,IF(INDEX([1]Pivot!$B$1:$AB$65000,$B864,U$5)="",2,0)),0)</f>
        <v>0</v>
      </c>
      <c r="V864" s="194">
        <f>IFERROR(IF(INDEX([1]Pivot!$AD$1:$BE$65000,$B864,V$5)=1,1,IF(INDEX([1]Pivot!$B$1:$AB$65000,$B864,V$5)="",2,0)),0)</f>
        <v>0</v>
      </c>
      <c r="W864" s="194">
        <f>IFERROR(IF(INDEX([1]Pivot!$AD$1:$BE$65000,$B864,W$5)=1,1,IF(INDEX([1]Pivot!$B$1:$AB$65000,$B864,W$5)="",2,0)),0)</f>
        <v>0</v>
      </c>
      <c r="X864" s="194">
        <f>IFERROR(IF(INDEX([1]Pivot!$AD$1:$BE$65000,$B864,X$5)=1,1,IF(INDEX([1]Pivot!$B$1:$AB$65000,$B864,X$5)="",2,0)),0)</f>
        <v>0</v>
      </c>
      <c r="Y864" s="194">
        <f>IFERROR(IF(INDEX([1]Pivot!$AD$1:$BE$65000,$B864,Y$5)=1,1,IF(INDEX([1]Pivot!$B$1:$AB$65000,$B864,Y$5)="",2,0)),0)</f>
        <v>0</v>
      </c>
      <c r="Z864" s="194">
        <f>IFERROR(IF(INDEX([1]Pivot!$AD$1:$BE$65000,$B864,Z$5)=1,1,IF(INDEX([1]Pivot!$B$1:$AB$65000,$B864,Z$5)="",2,0)),0)</f>
        <v>0</v>
      </c>
      <c r="AA864" s="194">
        <f>IFERROR(IF(INDEX([1]Pivot!$AD$1:$BE$65000,$B864,AA$5)=1,1,IF(INDEX([1]Pivot!$B$1:$AB$65000,$B864,AA$5)="",2,0)),0)</f>
        <v>0</v>
      </c>
      <c r="AB864" s="194">
        <f>IFERROR(IF(INDEX([1]Pivot!$AD$1:$BE$65000,$B864,AB$5)=1,1,IF(INDEX([1]Pivot!$B$1:$AB$65000,$B864,AB$5)="",2,0)),0)</f>
        <v>0</v>
      </c>
      <c r="AC864" s="194">
        <f>IFERROR(IF(INDEX([1]Pivot!$AD$1:$BE$65000,$B864,AC$5)=1,1,IF(INDEX([1]Pivot!$B$1:$AB$65000,$B864,AC$5)="",2,0)),0)</f>
        <v>0</v>
      </c>
      <c r="AD864" s="313">
        <f>IFERROR(IF(INDEX([1]Pivot!$BF$1:$CG$65000,$B864,AD$5)=1,1,IF(INDEX([1]Pivot!$B$1:$AB$65000,$B864,AD$5)="",2,0)),0)</f>
        <v>0</v>
      </c>
      <c r="AE864" s="313">
        <f>IFERROR(IF(INDEX([1]Pivot!$BF$1:$CG$65000,$B864,AE$5)=1,1,IF(INDEX([1]Pivot!$B$1:$AB$65000,$B864,AE$5)="",2,0)),0)</f>
        <v>0</v>
      </c>
      <c r="AF864" s="313">
        <f>IFERROR(IF(INDEX([1]Pivot!$BF$1:$CG$65000,$B864,AF$5)=1,1,IF(INDEX([1]Pivot!$B$1:$AB$65000,$B864,AF$5)="",2,0)),0)</f>
        <v>0</v>
      </c>
      <c r="AG864" s="313">
        <f>IFERROR(IF(INDEX([1]Pivot!$BF$1:$CG$65000,$B864,AG$5)=1,1,IF(INDEX([1]Pivot!$B$1:$AB$65000,$B864,AG$5)="",2,0)),0)</f>
        <v>0</v>
      </c>
      <c r="AH864" s="313">
        <f>IFERROR(IF(INDEX([1]Pivot!$BF$1:$CG$65000,$B864,AH$5)=1,1,IF(INDEX([1]Pivot!$B$1:$AB$65000,$B864,AH$5)="",2,0)),0)</f>
        <v>0</v>
      </c>
      <c r="AI864" s="313">
        <f>IFERROR(IF(INDEX([1]Pivot!$BF$1:$CG$65000,$B864,AI$5)=1,1,IF(INDEX([1]Pivot!$B$1:$AB$65000,$B864,AI$5)="",2,0)),0)</f>
        <v>0</v>
      </c>
      <c r="AJ864" s="313">
        <f>IFERROR(IF(INDEX([1]Pivot!$BF$1:$CG$65000,$B864,AJ$5)=1,1,IF(INDEX([1]Pivot!$B$1:$AB$65000,$B864,AJ$5)="",2,0)),0)</f>
        <v>0</v>
      </c>
      <c r="AK864" s="313">
        <f>IFERROR(IF(INDEX([1]Pivot!$BF$1:$CG$65000,$B864,AK$5)=1,1,IF(INDEX([1]Pivot!$B$1:$AB$65000,$B864,AK$5)="",2,0)),0)</f>
        <v>0</v>
      </c>
      <c r="AL864" s="313">
        <f>IFERROR(IF(INDEX([1]Pivot!$BF$1:$CG$65000,$B864,AL$5)=1,1,IF(INDEX([1]Pivot!$B$1:$AB$65000,$B864,AL$5)="",2,0)),0)</f>
        <v>0</v>
      </c>
      <c r="AM864" s="313">
        <f>IFERROR(IF(INDEX([1]Pivot!$BF$1:$CG$65000,$B864,AM$5)=1,1,IF(INDEX([1]Pivot!$B$1:$AB$65000,$B864,AM$5)="",2,0)),0)</f>
        <v>0</v>
      </c>
      <c r="AN864" s="313">
        <f>IFERROR(IF(INDEX([1]Pivot!$BF$1:$CG$65000,$B864,AN$5)=1,1,IF(INDEX([1]Pivot!$B$1:$AB$65000,$B864,AN$5)="",2,0)),0)</f>
        <v>0</v>
      </c>
      <c r="AO864" s="313">
        <f>IFERROR(IF(INDEX([1]Pivot!$BF$1:$CG$65000,$B864,AO$5)=1,1,IF(INDEX([1]Pivot!$B$1:$AB$65000,$B864,AO$5)="",2,0)),0)</f>
        <v>0</v>
      </c>
      <c r="AP864" s="313">
        <f>IFERROR(IF(INDEX([1]Pivot!$BF$1:$CG$65000,$B864,AP$5)=1,1,IF(INDEX([1]Pivot!$B$1:$AB$65000,$B864,AP$5)="",2,0)),0)</f>
        <v>0</v>
      </c>
      <c r="AQ864" s="313">
        <f>IFERROR(IF(INDEX([1]Pivot!$BF$1:$CG$65000,$B864,AQ$5)=1,1,IF(INDEX([1]Pivot!$B$1:$AB$65000,$B864,AQ$5)="",2,0)),0)</f>
        <v>0</v>
      </c>
      <c r="AR864" s="313">
        <f>IFERROR(IF(INDEX([1]Pivot!$BF$1:$CG$65000,$B864,AR$5)=1,1,IF(INDEX([1]Pivot!$B$1:$AB$65000,$B864,AR$5)="",2,0)),0)</f>
        <v>0</v>
      </c>
      <c r="AS864" s="312"/>
      <c r="AT864" s="313">
        <f>IFERROR(IF(INDEX([1]Pivot!$BF$1:$CG$65000,$B864,AT$5)=1,1,IF(INDEX([1]Pivot!$B$1:$AB$65000,$B864,AT$5)="",2,0)),0)</f>
        <v>0</v>
      </c>
      <c r="AU864" s="313">
        <f>IFERROR(IF(INDEX([1]Pivot!$BF$1:$CG$65000,$B864,AU$5)=1,1,IF(INDEX([1]Pivot!$B$1:$AB$65000,$B864,AU$5)="",2,0)),0)</f>
        <v>0</v>
      </c>
      <c r="AV864" s="313">
        <f>IFERROR(IF(INDEX([1]Pivot!$BF$1:$CG$65000,$B864,AV$5)=1,1,IF(INDEX([1]Pivot!$B$1:$AB$65000,$B864,AV$5)="",2,0)),0)</f>
        <v>0</v>
      </c>
      <c r="AW864" s="313">
        <f>IFERROR(IF(INDEX([1]Pivot!$BF$1:$CG$65000,$B864,AW$5)=1,1,IF(INDEX([1]Pivot!$B$1:$AB$65000,$B864,AW$5)="",2,0)),0)</f>
        <v>0</v>
      </c>
      <c r="AX864" s="313">
        <f>IFERROR(IF(INDEX([1]Pivot!$BF$1:$CG$65000,$B864,AX$5)=1,1,IF(INDEX([1]Pivot!$B$1:$AB$65000,$B864,AX$5)="",2,0)),0)</f>
        <v>0</v>
      </c>
      <c r="AY864" s="313">
        <f>IFERROR(IF(INDEX([1]Pivot!$BF$1:$CG$65000,$B864,AY$5)=1,1,IF(INDEX([1]Pivot!$B$1:$AB$65000,$B864,AY$5)="",2,0)),0)</f>
        <v>0</v>
      </c>
      <c r="AZ864" s="313">
        <f>IFERROR(IF(INDEX([1]Pivot!$BF$1:$CG$65000,$B864,AZ$5)=1,1,IF(INDEX([1]Pivot!$B$1:$AB$65000,$B864,AZ$5)="",2,0)),0)</f>
        <v>0</v>
      </c>
      <c r="BA864" s="313">
        <f>IFERROR(IF(INDEX([1]Pivot!$BF$1:$CG$65000,$B864,BA$5)=1,1,IF(INDEX([1]Pivot!$B$1:$AB$65000,$B864,BA$5)="",2,0)),0)</f>
        <v>0</v>
      </c>
      <c r="BB864" s="313">
        <f>IFERROR(IF(INDEX([1]Pivot!$BF$1:$CG$65000,$B864,BB$5)=1,1,IF(INDEX([1]Pivot!$B$1:$AB$65000,$B864,BB$5)="",2,0)),0)</f>
        <v>0</v>
      </c>
      <c r="BC864" s="313">
        <f>IFERROR(IF(INDEX([1]Pivot!$BF$1:$CG$65000,$B864,BC$5)=1,1,IF(INDEX([1]Pivot!$B$1:$AB$65000,$B864,BC$5)="",2,0)),0)</f>
        <v>0</v>
      </c>
      <c r="BD864" s="313">
        <f>IFERROR(IF(INDEX([1]Pivot!$BF$1:$CG$65000,$B864,BD$5)=1,1,IF(INDEX([1]Pivot!$B$1:$AB$65000,$B864,BD$5)="",2,0)),0)</f>
        <v>0</v>
      </c>
    </row>
    <row r="865" spans="1:56" x14ac:dyDescent="0.25">
      <c r="A865" s="288">
        <f>'[2]Raw Milk Prices'!A865</f>
        <v>0</v>
      </c>
      <c r="B865" s="296" t="e">
        <f>MATCH(DATE(LEFT('[2]Raw Milk Prices'!$A865,4),RIGHT('[2]Raw Milk Prices'!$A865,2),1),[1]Pivot!$A$1:$A$65000,0)</f>
        <v>#VALUE!</v>
      </c>
      <c r="C865" s="194">
        <f>IFERROR(IF(INDEX([1]Pivot!$AD$1:$BE$65000,$B865,C$5)=1,1,IF(INDEX([1]Pivot!$B$1:$AB$65000,$B865,C$5)="",2,0)),0)</f>
        <v>0</v>
      </c>
      <c r="D865" s="194">
        <f>IFERROR(IF(INDEX([1]Pivot!$AD$1:$BE$65000,$B865,D$5)=1,1,IF(INDEX([1]Pivot!$B$1:$AB$65000,$B865,D$5)="",2,0)),0)</f>
        <v>0</v>
      </c>
      <c r="E865" s="194">
        <f>IFERROR(IF(INDEX([1]Pivot!$AD$1:$BE$65000,$B865,E$5)=1,1,IF(INDEX([1]Pivot!$B$1:$AB$65000,$B865,E$5)="",2,0)),0)</f>
        <v>0</v>
      </c>
      <c r="F865" s="194">
        <f>IFERROR(IF(INDEX([1]Pivot!$AD$1:$BE$65000,$B865,F$5)=1,1,IF(INDEX([1]Pivot!$B$1:$AB$65000,$B865,F$5)="",2,0)),0)</f>
        <v>0</v>
      </c>
      <c r="G865" s="194">
        <f>IFERROR(IF(INDEX([1]Pivot!$AD$1:$BE$65000,$B865,G$5)=1,1,IF(INDEX([1]Pivot!$B$1:$AB$65000,$B865,G$5)="",2,0)),0)</f>
        <v>0</v>
      </c>
      <c r="H865" s="194">
        <f>IFERROR(IF(INDEX([1]Pivot!$AD$1:$BE$65000,$B865,H$5)=1,1,IF(INDEX([1]Pivot!$B$1:$AB$65000,$B865,H$5)="",2,0)),0)</f>
        <v>0</v>
      </c>
      <c r="I865" s="194">
        <f>IFERROR(IF(INDEX([1]Pivot!$AD$1:$BE$65000,$B865,I$5)=1,1,IF(INDEX([1]Pivot!$B$1:$AB$65000,$B865,I$5)="",2,0)),0)</f>
        <v>0</v>
      </c>
      <c r="J865" s="194">
        <f>IFERROR(IF(INDEX([1]Pivot!$AD$1:$BE$65000,$B865,J$5)=1,1,IF(INDEX([1]Pivot!$B$1:$AB$65000,$B865,J$5)="",2,0)),0)</f>
        <v>0</v>
      </c>
      <c r="K865" s="194">
        <f>IFERROR(IF(INDEX([1]Pivot!$AD$1:$BE$65000,$B865,K$5)=1,1,IF(INDEX([1]Pivot!$B$1:$AB$65000,$B865,K$5)="",2,0)),0)</f>
        <v>0</v>
      </c>
      <c r="L865" s="194">
        <f>IFERROR(IF(INDEX([1]Pivot!$AD$1:$BE$65000,$B865,L$5)=1,1,IF(INDEX([1]Pivot!$B$1:$AB$65000,$B865,L$5)="",2,0)),0)</f>
        <v>0</v>
      </c>
      <c r="M865" s="194">
        <f>IFERROR(IF(INDEX([1]Pivot!$AD$1:$BE$65000,$B865,M$5)=1,1,IF(INDEX([1]Pivot!$B$1:$AB$65000,$B865,M$5)="",2,0)),0)</f>
        <v>0</v>
      </c>
      <c r="N865" s="194">
        <f>IFERROR(IF(INDEX([1]Pivot!$AD$1:$BE$65000,$B865,N$5)=1,1,IF(INDEX([1]Pivot!$B$1:$AB$65000,$B865,N$5)="",2,0)),0)</f>
        <v>0</v>
      </c>
      <c r="O865" s="194">
        <f>IFERROR(IF(INDEX([1]Pivot!$AD$1:$BE$65000,$B865,O$5)=1,1,IF(INDEX([1]Pivot!$B$1:$AB$65000,$B865,O$5)="",2,0)),0)</f>
        <v>0</v>
      </c>
      <c r="P865" s="194">
        <f>IFERROR(IF(INDEX([1]Pivot!$AD$1:$BE$65000,$B865,P$5)=1,1,IF(INDEX([1]Pivot!$B$1:$AB$65000,$B865,P$5)="",2,0)),0)</f>
        <v>0</v>
      </c>
      <c r="Q865" s="194">
        <f>IFERROR(IF(INDEX([1]Pivot!$AD$1:$BE$65000,$B865,Q$5)=1,1,IF(INDEX([1]Pivot!$B$1:$AB$65000,$B865,Q$5)="",2,0)),0)</f>
        <v>0</v>
      </c>
      <c r="R865" s="312"/>
      <c r="S865" s="194">
        <f>IFERROR(IF(INDEX([1]Pivot!$AD$1:$BE$65000,$B865,S$5)=1,1,IF(INDEX([1]Pivot!$B$1:$AB$65000,$B865,S$5)="",2,0)),0)</f>
        <v>0</v>
      </c>
      <c r="T865" s="194">
        <f>IFERROR(IF(INDEX([1]Pivot!$AD$1:$BE$65000,$B865,T$5)=1,1,IF(INDEX([1]Pivot!$B$1:$AB$65000,$B865,T$5)="",2,0)),0)</f>
        <v>0</v>
      </c>
      <c r="U865" s="194">
        <f>IFERROR(IF(INDEX([1]Pivot!$AD$1:$BE$65000,$B865,U$5)=1,1,IF(INDEX([1]Pivot!$B$1:$AB$65000,$B865,U$5)="",2,0)),0)</f>
        <v>0</v>
      </c>
      <c r="V865" s="194">
        <f>IFERROR(IF(INDEX([1]Pivot!$AD$1:$BE$65000,$B865,V$5)=1,1,IF(INDEX([1]Pivot!$B$1:$AB$65000,$B865,V$5)="",2,0)),0)</f>
        <v>0</v>
      </c>
      <c r="W865" s="194">
        <f>IFERROR(IF(INDEX([1]Pivot!$AD$1:$BE$65000,$B865,W$5)=1,1,IF(INDEX([1]Pivot!$B$1:$AB$65000,$B865,W$5)="",2,0)),0)</f>
        <v>0</v>
      </c>
      <c r="X865" s="194">
        <f>IFERROR(IF(INDEX([1]Pivot!$AD$1:$BE$65000,$B865,X$5)=1,1,IF(INDEX([1]Pivot!$B$1:$AB$65000,$B865,X$5)="",2,0)),0)</f>
        <v>0</v>
      </c>
      <c r="Y865" s="194">
        <f>IFERROR(IF(INDEX([1]Pivot!$AD$1:$BE$65000,$B865,Y$5)=1,1,IF(INDEX([1]Pivot!$B$1:$AB$65000,$B865,Y$5)="",2,0)),0)</f>
        <v>0</v>
      </c>
      <c r="Z865" s="194">
        <f>IFERROR(IF(INDEX([1]Pivot!$AD$1:$BE$65000,$B865,Z$5)=1,1,IF(INDEX([1]Pivot!$B$1:$AB$65000,$B865,Z$5)="",2,0)),0)</f>
        <v>0</v>
      </c>
      <c r="AA865" s="194">
        <f>IFERROR(IF(INDEX([1]Pivot!$AD$1:$BE$65000,$B865,AA$5)=1,1,IF(INDEX([1]Pivot!$B$1:$AB$65000,$B865,AA$5)="",2,0)),0)</f>
        <v>0</v>
      </c>
      <c r="AB865" s="194">
        <f>IFERROR(IF(INDEX([1]Pivot!$AD$1:$BE$65000,$B865,AB$5)=1,1,IF(INDEX([1]Pivot!$B$1:$AB$65000,$B865,AB$5)="",2,0)),0)</f>
        <v>0</v>
      </c>
      <c r="AC865" s="194">
        <f>IFERROR(IF(INDEX([1]Pivot!$AD$1:$BE$65000,$B865,AC$5)=1,1,IF(INDEX([1]Pivot!$B$1:$AB$65000,$B865,AC$5)="",2,0)),0)</f>
        <v>0</v>
      </c>
      <c r="AD865" s="313">
        <f>IFERROR(IF(INDEX([1]Pivot!$BF$1:$CG$65000,$B865,AD$5)=1,1,IF(INDEX([1]Pivot!$B$1:$AB$65000,$B865,AD$5)="",2,0)),0)</f>
        <v>0</v>
      </c>
      <c r="AE865" s="313">
        <f>IFERROR(IF(INDEX([1]Pivot!$BF$1:$CG$65000,$B865,AE$5)=1,1,IF(INDEX([1]Pivot!$B$1:$AB$65000,$B865,AE$5)="",2,0)),0)</f>
        <v>0</v>
      </c>
      <c r="AF865" s="313">
        <f>IFERROR(IF(INDEX([1]Pivot!$BF$1:$CG$65000,$B865,AF$5)=1,1,IF(INDEX([1]Pivot!$B$1:$AB$65000,$B865,AF$5)="",2,0)),0)</f>
        <v>0</v>
      </c>
      <c r="AG865" s="313">
        <f>IFERROR(IF(INDEX([1]Pivot!$BF$1:$CG$65000,$B865,AG$5)=1,1,IF(INDEX([1]Pivot!$B$1:$AB$65000,$B865,AG$5)="",2,0)),0)</f>
        <v>0</v>
      </c>
      <c r="AH865" s="313">
        <f>IFERROR(IF(INDEX([1]Pivot!$BF$1:$CG$65000,$B865,AH$5)=1,1,IF(INDEX([1]Pivot!$B$1:$AB$65000,$B865,AH$5)="",2,0)),0)</f>
        <v>0</v>
      </c>
      <c r="AI865" s="313">
        <f>IFERROR(IF(INDEX([1]Pivot!$BF$1:$CG$65000,$B865,AI$5)=1,1,IF(INDEX([1]Pivot!$B$1:$AB$65000,$B865,AI$5)="",2,0)),0)</f>
        <v>0</v>
      </c>
      <c r="AJ865" s="313">
        <f>IFERROR(IF(INDEX([1]Pivot!$BF$1:$CG$65000,$B865,AJ$5)=1,1,IF(INDEX([1]Pivot!$B$1:$AB$65000,$B865,AJ$5)="",2,0)),0)</f>
        <v>0</v>
      </c>
      <c r="AK865" s="313">
        <f>IFERROR(IF(INDEX([1]Pivot!$BF$1:$CG$65000,$B865,AK$5)=1,1,IF(INDEX([1]Pivot!$B$1:$AB$65000,$B865,AK$5)="",2,0)),0)</f>
        <v>0</v>
      </c>
      <c r="AL865" s="313">
        <f>IFERROR(IF(INDEX([1]Pivot!$BF$1:$CG$65000,$B865,AL$5)=1,1,IF(INDEX([1]Pivot!$B$1:$AB$65000,$B865,AL$5)="",2,0)),0)</f>
        <v>0</v>
      </c>
      <c r="AM865" s="313">
        <f>IFERROR(IF(INDEX([1]Pivot!$BF$1:$CG$65000,$B865,AM$5)=1,1,IF(INDEX([1]Pivot!$B$1:$AB$65000,$B865,AM$5)="",2,0)),0)</f>
        <v>0</v>
      </c>
      <c r="AN865" s="313">
        <f>IFERROR(IF(INDEX([1]Pivot!$BF$1:$CG$65000,$B865,AN$5)=1,1,IF(INDEX([1]Pivot!$B$1:$AB$65000,$B865,AN$5)="",2,0)),0)</f>
        <v>0</v>
      </c>
      <c r="AO865" s="313">
        <f>IFERROR(IF(INDEX([1]Pivot!$BF$1:$CG$65000,$B865,AO$5)=1,1,IF(INDEX([1]Pivot!$B$1:$AB$65000,$B865,AO$5)="",2,0)),0)</f>
        <v>0</v>
      </c>
      <c r="AP865" s="313">
        <f>IFERROR(IF(INDEX([1]Pivot!$BF$1:$CG$65000,$B865,AP$5)=1,1,IF(INDEX([1]Pivot!$B$1:$AB$65000,$B865,AP$5)="",2,0)),0)</f>
        <v>0</v>
      </c>
      <c r="AQ865" s="313">
        <f>IFERROR(IF(INDEX([1]Pivot!$BF$1:$CG$65000,$B865,AQ$5)=1,1,IF(INDEX([1]Pivot!$B$1:$AB$65000,$B865,AQ$5)="",2,0)),0)</f>
        <v>0</v>
      </c>
      <c r="AR865" s="313">
        <f>IFERROR(IF(INDEX([1]Pivot!$BF$1:$CG$65000,$B865,AR$5)=1,1,IF(INDEX([1]Pivot!$B$1:$AB$65000,$B865,AR$5)="",2,0)),0)</f>
        <v>0</v>
      </c>
      <c r="AS865" s="312"/>
      <c r="AT865" s="313">
        <f>IFERROR(IF(INDEX([1]Pivot!$BF$1:$CG$65000,$B865,AT$5)=1,1,IF(INDEX([1]Pivot!$B$1:$AB$65000,$B865,AT$5)="",2,0)),0)</f>
        <v>0</v>
      </c>
      <c r="AU865" s="313">
        <f>IFERROR(IF(INDEX([1]Pivot!$BF$1:$CG$65000,$B865,AU$5)=1,1,IF(INDEX([1]Pivot!$B$1:$AB$65000,$B865,AU$5)="",2,0)),0)</f>
        <v>0</v>
      </c>
      <c r="AV865" s="313">
        <f>IFERROR(IF(INDEX([1]Pivot!$BF$1:$CG$65000,$B865,AV$5)=1,1,IF(INDEX([1]Pivot!$B$1:$AB$65000,$B865,AV$5)="",2,0)),0)</f>
        <v>0</v>
      </c>
      <c r="AW865" s="313">
        <f>IFERROR(IF(INDEX([1]Pivot!$BF$1:$CG$65000,$B865,AW$5)=1,1,IF(INDEX([1]Pivot!$B$1:$AB$65000,$B865,AW$5)="",2,0)),0)</f>
        <v>0</v>
      </c>
      <c r="AX865" s="313">
        <f>IFERROR(IF(INDEX([1]Pivot!$BF$1:$CG$65000,$B865,AX$5)=1,1,IF(INDEX([1]Pivot!$B$1:$AB$65000,$B865,AX$5)="",2,0)),0)</f>
        <v>0</v>
      </c>
      <c r="AY865" s="313">
        <f>IFERROR(IF(INDEX([1]Pivot!$BF$1:$CG$65000,$B865,AY$5)=1,1,IF(INDEX([1]Pivot!$B$1:$AB$65000,$B865,AY$5)="",2,0)),0)</f>
        <v>0</v>
      </c>
      <c r="AZ865" s="313">
        <f>IFERROR(IF(INDEX([1]Pivot!$BF$1:$CG$65000,$B865,AZ$5)=1,1,IF(INDEX([1]Pivot!$B$1:$AB$65000,$B865,AZ$5)="",2,0)),0)</f>
        <v>0</v>
      </c>
      <c r="BA865" s="313">
        <f>IFERROR(IF(INDEX([1]Pivot!$BF$1:$CG$65000,$B865,BA$5)=1,1,IF(INDEX([1]Pivot!$B$1:$AB$65000,$B865,BA$5)="",2,0)),0)</f>
        <v>0</v>
      </c>
      <c r="BB865" s="313">
        <f>IFERROR(IF(INDEX([1]Pivot!$BF$1:$CG$65000,$B865,BB$5)=1,1,IF(INDEX([1]Pivot!$B$1:$AB$65000,$B865,BB$5)="",2,0)),0)</f>
        <v>0</v>
      </c>
      <c r="BC865" s="313">
        <f>IFERROR(IF(INDEX([1]Pivot!$BF$1:$CG$65000,$B865,BC$5)=1,1,IF(INDEX([1]Pivot!$B$1:$AB$65000,$B865,BC$5)="",2,0)),0)</f>
        <v>0</v>
      </c>
      <c r="BD865" s="313">
        <f>IFERROR(IF(INDEX([1]Pivot!$BF$1:$CG$65000,$B865,BD$5)=1,1,IF(INDEX([1]Pivot!$B$1:$AB$65000,$B865,BD$5)="",2,0)),0)</f>
        <v>0</v>
      </c>
    </row>
    <row r="866" spans="1:56" x14ac:dyDescent="0.25">
      <c r="A866" s="288">
        <f>'[2]Raw Milk Prices'!A866</f>
        <v>0</v>
      </c>
      <c r="B866" s="296" t="e">
        <f>MATCH(DATE(LEFT('[2]Raw Milk Prices'!$A866,4),RIGHT('[2]Raw Milk Prices'!$A866,2),1),[1]Pivot!$A$1:$A$65000,0)</f>
        <v>#VALUE!</v>
      </c>
      <c r="C866" s="194">
        <f>IFERROR(IF(INDEX([1]Pivot!$AD$1:$BE$65000,$B866,C$5)=1,1,IF(INDEX([1]Pivot!$B$1:$AB$65000,$B866,C$5)="",2,0)),0)</f>
        <v>0</v>
      </c>
      <c r="D866" s="194">
        <f>IFERROR(IF(INDEX([1]Pivot!$AD$1:$BE$65000,$B866,D$5)=1,1,IF(INDEX([1]Pivot!$B$1:$AB$65000,$B866,D$5)="",2,0)),0)</f>
        <v>0</v>
      </c>
      <c r="E866" s="194">
        <f>IFERROR(IF(INDEX([1]Pivot!$AD$1:$BE$65000,$B866,E$5)=1,1,IF(INDEX([1]Pivot!$B$1:$AB$65000,$B866,E$5)="",2,0)),0)</f>
        <v>0</v>
      </c>
      <c r="F866" s="194">
        <f>IFERROR(IF(INDEX([1]Pivot!$AD$1:$BE$65000,$B866,F$5)=1,1,IF(INDEX([1]Pivot!$B$1:$AB$65000,$B866,F$5)="",2,0)),0)</f>
        <v>0</v>
      </c>
      <c r="G866" s="194">
        <f>IFERROR(IF(INDEX([1]Pivot!$AD$1:$BE$65000,$B866,G$5)=1,1,IF(INDEX([1]Pivot!$B$1:$AB$65000,$B866,G$5)="",2,0)),0)</f>
        <v>0</v>
      </c>
      <c r="H866" s="194">
        <f>IFERROR(IF(INDEX([1]Pivot!$AD$1:$BE$65000,$B866,H$5)=1,1,IF(INDEX([1]Pivot!$B$1:$AB$65000,$B866,H$5)="",2,0)),0)</f>
        <v>0</v>
      </c>
      <c r="I866" s="194">
        <f>IFERROR(IF(INDEX([1]Pivot!$AD$1:$BE$65000,$B866,I$5)=1,1,IF(INDEX([1]Pivot!$B$1:$AB$65000,$B866,I$5)="",2,0)),0)</f>
        <v>0</v>
      </c>
      <c r="J866" s="194">
        <f>IFERROR(IF(INDEX([1]Pivot!$AD$1:$BE$65000,$B866,J$5)=1,1,IF(INDEX([1]Pivot!$B$1:$AB$65000,$B866,J$5)="",2,0)),0)</f>
        <v>0</v>
      </c>
      <c r="K866" s="194">
        <f>IFERROR(IF(INDEX([1]Pivot!$AD$1:$BE$65000,$B866,K$5)=1,1,IF(INDEX([1]Pivot!$B$1:$AB$65000,$B866,K$5)="",2,0)),0)</f>
        <v>0</v>
      </c>
      <c r="L866" s="194">
        <f>IFERROR(IF(INDEX([1]Pivot!$AD$1:$BE$65000,$B866,L$5)=1,1,IF(INDEX([1]Pivot!$B$1:$AB$65000,$B866,L$5)="",2,0)),0)</f>
        <v>0</v>
      </c>
      <c r="M866" s="194">
        <f>IFERROR(IF(INDEX([1]Pivot!$AD$1:$BE$65000,$B866,M$5)=1,1,IF(INDEX([1]Pivot!$B$1:$AB$65000,$B866,M$5)="",2,0)),0)</f>
        <v>0</v>
      </c>
      <c r="N866" s="194">
        <f>IFERROR(IF(INDEX([1]Pivot!$AD$1:$BE$65000,$B866,N$5)=1,1,IF(INDEX([1]Pivot!$B$1:$AB$65000,$B866,N$5)="",2,0)),0)</f>
        <v>0</v>
      </c>
      <c r="O866" s="194">
        <f>IFERROR(IF(INDEX([1]Pivot!$AD$1:$BE$65000,$B866,O$5)=1,1,IF(INDEX([1]Pivot!$B$1:$AB$65000,$B866,O$5)="",2,0)),0)</f>
        <v>0</v>
      </c>
      <c r="P866" s="194">
        <f>IFERROR(IF(INDEX([1]Pivot!$AD$1:$BE$65000,$B866,P$5)=1,1,IF(INDEX([1]Pivot!$B$1:$AB$65000,$B866,P$5)="",2,0)),0)</f>
        <v>0</v>
      </c>
      <c r="Q866" s="194">
        <f>IFERROR(IF(INDEX([1]Pivot!$AD$1:$BE$65000,$B866,Q$5)=1,1,IF(INDEX([1]Pivot!$B$1:$AB$65000,$B866,Q$5)="",2,0)),0)</f>
        <v>0</v>
      </c>
      <c r="R866" s="312"/>
      <c r="S866" s="194">
        <f>IFERROR(IF(INDEX([1]Pivot!$AD$1:$BE$65000,$B866,S$5)=1,1,IF(INDEX([1]Pivot!$B$1:$AB$65000,$B866,S$5)="",2,0)),0)</f>
        <v>0</v>
      </c>
      <c r="T866" s="194">
        <f>IFERROR(IF(INDEX([1]Pivot!$AD$1:$BE$65000,$B866,T$5)=1,1,IF(INDEX([1]Pivot!$B$1:$AB$65000,$B866,T$5)="",2,0)),0)</f>
        <v>0</v>
      </c>
      <c r="U866" s="194">
        <f>IFERROR(IF(INDEX([1]Pivot!$AD$1:$BE$65000,$B866,U$5)=1,1,IF(INDEX([1]Pivot!$B$1:$AB$65000,$B866,U$5)="",2,0)),0)</f>
        <v>0</v>
      </c>
      <c r="V866" s="194">
        <f>IFERROR(IF(INDEX([1]Pivot!$AD$1:$BE$65000,$B866,V$5)=1,1,IF(INDEX([1]Pivot!$B$1:$AB$65000,$B866,V$5)="",2,0)),0)</f>
        <v>0</v>
      </c>
      <c r="W866" s="194">
        <f>IFERROR(IF(INDEX([1]Pivot!$AD$1:$BE$65000,$B866,W$5)=1,1,IF(INDEX([1]Pivot!$B$1:$AB$65000,$B866,W$5)="",2,0)),0)</f>
        <v>0</v>
      </c>
      <c r="X866" s="194">
        <f>IFERROR(IF(INDEX([1]Pivot!$AD$1:$BE$65000,$B866,X$5)=1,1,IF(INDEX([1]Pivot!$B$1:$AB$65000,$B866,X$5)="",2,0)),0)</f>
        <v>0</v>
      </c>
      <c r="Y866" s="194">
        <f>IFERROR(IF(INDEX([1]Pivot!$AD$1:$BE$65000,$B866,Y$5)=1,1,IF(INDEX([1]Pivot!$B$1:$AB$65000,$B866,Y$5)="",2,0)),0)</f>
        <v>0</v>
      </c>
      <c r="Z866" s="194">
        <f>IFERROR(IF(INDEX([1]Pivot!$AD$1:$BE$65000,$B866,Z$5)=1,1,IF(INDEX([1]Pivot!$B$1:$AB$65000,$B866,Z$5)="",2,0)),0)</f>
        <v>0</v>
      </c>
      <c r="AA866" s="194">
        <f>IFERROR(IF(INDEX([1]Pivot!$AD$1:$BE$65000,$B866,AA$5)=1,1,IF(INDEX([1]Pivot!$B$1:$AB$65000,$B866,AA$5)="",2,0)),0)</f>
        <v>0</v>
      </c>
      <c r="AB866" s="194">
        <f>IFERROR(IF(INDEX([1]Pivot!$AD$1:$BE$65000,$B866,AB$5)=1,1,IF(INDEX([1]Pivot!$B$1:$AB$65000,$B866,AB$5)="",2,0)),0)</f>
        <v>0</v>
      </c>
      <c r="AC866" s="194">
        <f>IFERROR(IF(INDEX([1]Pivot!$AD$1:$BE$65000,$B866,AC$5)=1,1,IF(INDEX([1]Pivot!$B$1:$AB$65000,$B866,AC$5)="",2,0)),0)</f>
        <v>0</v>
      </c>
      <c r="AD866" s="313">
        <f>IFERROR(IF(INDEX([1]Pivot!$BF$1:$CG$65000,$B866,AD$5)=1,1,IF(INDEX([1]Pivot!$B$1:$AB$65000,$B866,AD$5)="",2,0)),0)</f>
        <v>0</v>
      </c>
      <c r="AE866" s="313">
        <f>IFERROR(IF(INDEX([1]Pivot!$BF$1:$CG$65000,$B866,AE$5)=1,1,IF(INDEX([1]Pivot!$B$1:$AB$65000,$B866,AE$5)="",2,0)),0)</f>
        <v>0</v>
      </c>
      <c r="AF866" s="313">
        <f>IFERROR(IF(INDEX([1]Pivot!$BF$1:$CG$65000,$B866,AF$5)=1,1,IF(INDEX([1]Pivot!$B$1:$AB$65000,$B866,AF$5)="",2,0)),0)</f>
        <v>0</v>
      </c>
      <c r="AG866" s="313">
        <f>IFERROR(IF(INDEX([1]Pivot!$BF$1:$CG$65000,$B866,AG$5)=1,1,IF(INDEX([1]Pivot!$B$1:$AB$65000,$B866,AG$5)="",2,0)),0)</f>
        <v>0</v>
      </c>
      <c r="AH866" s="313">
        <f>IFERROR(IF(INDEX([1]Pivot!$BF$1:$CG$65000,$B866,AH$5)=1,1,IF(INDEX([1]Pivot!$B$1:$AB$65000,$B866,AH$5)="",2,0)),0)</f>
        <v>0</v>
      </c>
      <c r="AI866" s="313">
        <f>IFERROR(IF(INDEX([1]Pivot!$BF$1:$CG$65000,$B866,AI$5)=1,1,IF(INDEX([1]Pivot!$B$1:$AB$65000,$B866,AI$5)="",2,0)),0)</f>
        <v>0</v>
      </c>
      <c r="AJ866" s="313">
        <f>IFERROR(IF(INDEX([1]Pivot!$BF$1:$CG$65000,$B866,AJ$5)=1,1,IF(INDEX([1]Pivot!$B$1:$AB$65000,$B866,AJ$5)="",2,0)),0)</f>
        <v>0</v>
      </c>
      <c r="AK866" s="313">
        <f>IFERROR(IF(INDEX([1]Pivot!$BF$1:$CG$65000,$B866,AK$5)=1,1,IF(INDEX([1]Pivot!$B$1:$AB$65000,$B866,AK$5)="",2,0)),0)</f>
        <v>0</v>
      </c>
      <c r="AL866" s="313">
        <f>IFERROR(IF(INDEX([1]Pivot!$BF$1:$CG$65000,$B866,AL$5)=1,1,IF(INDEX([1]Pivot!$B$1:$AB$65000,$B866,AL$5)="",2,0)),0)</f>
        <v>0</v>
      </c>
      <c r="AM866" s="313">
        <f>IFERROR(IF(INDEX([1]Pivot!$BF$1:$CG$65000,$B866,AM$5)=1,1,IF(INDEX([1]Pivot!$B$1:$AB$65000,$B866,AM$5)="",2,0)),0)</f>
        <v>0</v>
      </c>
      <c r="AN866" s="313">
        <f>IFERROR(IF(INDEX([1]Pivot!$BF$1:$CG$65000,$B866,AN$5)=1,1,IF(INDEX([1]Pivot!$B$1:$AB$65000,$B866,AN$5)="",2,0)),0)</f>
        <v>0</v>
      </c>
      <c r="AO866" s="313">
        <f>IFERROR(IF(INDEX([1]Pivot!$BF$1:$CG$65000,$B866,AO$5)=1,1,IF(INDEX([1]Pivot!$B$1:$AB$65000,$B866,AO$5)="",2,0)),0)</f>
        <v>0</v>
      </c>
      <c r="AP866" s="313">
        <f>IFERROR(IF(INDEX([1]Pivot!$BF$1:$CG$65000,$B866,AP$5)=1,1,IF(INDEX([1]Pivot!$B$1:$AB$65000,$B866,AP$5)="",2,0)),0)</f>
        <v>0</v>
      </c>
      <c r="AQ866" s="313">
        <f>IFERROR(IF(INDEX([1]Pivot!$BF$1:$CG$65000,$B866,AQ$5)=1,1,IF(INDEX([1]Pivot!$B$1:$AB$65000,$B866,AQ$5)="",2,0)),0)</f>
        <v>0</v>
      </c>
      <c r="AR866" s="313">
        <f>IFERROR(IF(INDEX([1]Pivot!$BF$1:$CG$65000,$B866,AR$5)=1,1,IF(INDEX([1]Pivot!$B$1:$AB$65000,$B866,AR$5)="",2,0)),0)</f>
        <v>0</v>
      </c>
      <c r="AS866" s="312"/>
      <c r="AT866" s="313">
        <f>IFERROR(IF(INDEX([1]Pivot!$BF$1:$CG$65000,$B866,AT$5)=1,1,IF(INDEX([1]Pivot!$B$1:$AB$65000,$B866,AT$5)="",2,0)),0)</f>
        <v>0</v>
      </c>
      <c r="AU866" s="313">
        <f>IFERROR(IF(INDEX([1]Pivot!$BF$1:$CG$65000,$B866,AU$5)=1,1,IF(INDEX([1]Pivot!$B$1:$AB$65000,$B866,AU$5)="",2,0)),0)</f>
        <v>0</v>
      </c>
      <c r="AV866" s="313">
        <f>IFERROR(IF(INDEX([1]Pivot!$BF$1:$CG$65000,$B866,AV$5)=1,1,IF(INDEX([1]Pivot!$B$1:$AB$65000,$B866,AV$5)="",2,0)),0)</f>
        <v>0</v>
      </c>
      <c r="AW866" s="313">
        <f>IFERROR(IF(INDEX([1]Pivot!$BF$1:$CG$65000,$B866,AW$5)=1,1,IF(INDEX([1]Pivot!$B$1:$AB$65000,$B866,AW$5)="",2,0)),0)</f>
        <v>0</v>
      </c>
      <c r="AX866" s="313">
        <f>IFERROR(IF(INDEX([1]Pivot!$BF$1:$CG$65000,$B866,AX$5)=1,1,IF(INDEX([1]Pivot!$B$1:$AB$65000,$B866,AX$5)="",2,0)),0)</f>
        <v>0</v>
      </c>
      <c r="AY866" s="313">
        <f>IFERROR(IF(INDEX([1]Pivot!$BF$1:$CG$65000,$B866,AY$5)=1,1,IF(INDEX([1]Pivot!$B$1:$AB$65000,$B866,AY$5)="",2,0)),0)</f>
        <v>0</v>
      </c>
      <c r="AZ866" s="313">
        <f>IFERROR(IF(INDEX([1]Pivot!$BF$1:$CG$65000,$B866,AZ$5)=1,1,IF(INDEX([1]Pivot!$B$1:$AB$65000,$B866,AZ$5)="",2,0)),0)</f>
        <v>0</v>
      </c>
      <c r="BA866" s="313">
        <f>IFERROR(IF(INDEX([1]Pivot!$BF$1:$CG$65000,$B866,BA$5)=1,1,IF(INDEX([1]Pivot!$B$1:$AB$65000,$B866,BA$5)="",2,0)),0)</f>
        <v>0</v>
      </c>
      <c r="BB866" s="313">
        <f>IFERROR(IF(INDEX([1]Pivot!$BF$1:$CG$65000,$B866,BB$5)=1,1,IF(INDEX([1]Pivot!$B$1:$AB$65000,$B866,BB$5)="",2,0)),0)</f>
        <v>0</v>
      </c>
      <c r="BC866" s="313">
        <f>IFERROR(IF(INDEX([1]Pivot!$BF$1:$CG$65000,$B866,BC$5)=1,1,IF(INDEX([1]Pivot!$B$1:$AB$65000,$B866,BC$5)="",2,0)),0)</f>
        <v>0</v>
      </c>
      <c r="BD866" s="313">
        <f>IFERROR(IF(INDEX([1]Pivot!$BF$1:$CG$65000,$B866,BD$5)=1,1,IF(INDEX([1]Pivot!$B$1:$AB$65000,$B866,BD$5)="",2,0)),0)</f>
        <v>0</v>
      </c>
    </row>
    <row r="867" spans="1:56" x14ac:dyDescent="0.25">
      <c r="A867" s="288">
        <f>'[2]Raw Milk Prices'!A867</f>
        <v>0</v>
      </c>
      <c r="B867" s="296" t="e">
        <f>MATCH(DATE(LEFT('[2]Raw Milk Prices'!$A867,4),RIGHT('[2]Raw Milk Prices'!$A867,2),1),[1]Pivot!$A$1:$A$65000,0)</f>
        <v>#VALUE!</v>
      </c>
      <c r="C867" s="194">
        <f>IFERROR(IF(INDEX([1]Pivot!$AD$1:$BE$65000,$B867,C$5)=1,1,IF(INDEX([1]Pivot!$B$1:$AB$65000,$B867,C$5)="",2,0)),0)</f>
        <v>0</v>
      </c>
      <c r="D867" s="194">
        <f>IFERROR(IF(INDEX([1]Pivot!$AD$1:$BE$65000,$B867,D$5)=1,1,IF(INDEX([1]Pivot!$B$1:$AB$65000,$B867,D$5)="",2,0)),0)</f>
        <v>0</v>
      </c>
      <c r="E867" s="194">
        <f>IFERROR(IF(INDEX([1]Pivot!$AD$1:$BE$65000,$B867,E$5)=1,1,IF(INDEX([1]Pivot!$B$1:$AB$65000,$B867,E$5)="",2,0)),0)</f>
        <v>0</v>
      </c>
      <c r="F867" s="194">
        <f>IFERROR(IF(INDEX([1]Pivot!$AD$1:$BE$65000,$B867,F$5)=1,1,IF(INDEX([1]Pivot!$B$1:$AB$65000,$B867,F$5)="",2,0)),0)</f>
        <v>0</v>
      </c>
      <c r="G867" s="194">
        <f>IFERROR(IF(INDEX([1]Pivot!$AD$1:$BE$65000,$B867,G$5)=1,1,IF(INDEX([1]Pivot!$B$1:$AB$65000,$B867,G$5)="",2,0)),0)</f>
        <v>0</v>
      </c>
      <c r="H867" s="194">
        <f>IFERROR(IF(INDEX([1]Pivot!$AD$1:$BE$65000,$B867,H$5)=1,1,IF(INDEX([1]Pivot!$B$1:$AB$65000,$B867,H$5)="",2,0)),0)</f>
        <v>0</v>
      </c>
      <c r="I867" s="194">
        <f>IFERROR(IF(INDEX([1]Pivot!$AD$1:$BE$65000,$B867,I$5)=1,1,IF(INDEX([1]Pivot!$B$1:$AB$65000,$B867,I$5)="",2,0)),0)</f>
        <v>0</v>
      </c>
      <c r="J867" s="194">
        <f>IFERROR(IF(INDEX([1]Pivot!$AD$1:$BE$65000,$B867,J$5)=1,1,IF(INDEX([1]Pivot!$B$1:$AB$65000,$B867,J$5)="",2,0)),0)</f>
        <v>0</v>
      </c>
      <c r="K867" s="194">
        <f>IFERROR(IF(INDEX([1]Pivot!$AD$1:$BE$65000,$B867,K$5)=1,1,IF(INDEX([1]Pivot!$B$1:$AB$65000,$B867,K$5)="",2,0)),0)</f>
        <v>0</v>
      </c>
      <c r="L867" s="194">
        <f>IFERROR(IF(INDEX([1]Pivot!$AD$1:$BE$65000,$B867,L$5)=1,1,IF(INDEX([1]Pivot!$B$1:$AB$65000,$B867,L$5)="",2,0)),0)</f>
        <v>0</v>
      </c>
      <c r="M867" s="194">
        <f>IFERROR(IF(INDEX([1]Pivot!$AD$1:$BE$65000,$B867,M$5)=1,1,IF(INDEX([1]Pivot!$B$1:$AB$65000,$B867,M$5)="",2,0)),0)</f>
        <v>0</v>
      </c>
      <c r="N867" s="194">
        <f>IFERROR(IF(INDEX([1]Pivot!$AD$1:$BE$65000,$B867,N$5)=1,1,IF(INDEX([1]Pivot!$B$1:$AB$65000,$B867,N$5)="",2,0)),0)</f>
        <v>0</v>
      </c>
      <c r="O867" s="194">
        <f>IFERROR(IF(INDEX([1]Pivot!$AD$1:$BE$65000,$B867,O$5)=1,1,IF(INDEX([1]Pivot!$B$1:$AB$65000,$B867,O$5)="",2,0)),0)</f>
        <v>0</v>
      </c>
      <c r="P867" s="194">
        <f>IFERROR(IF(INDEX([1]Pivot!$AD$1:$BE$65000,$B867,P$5)=1,1,IF(INDEX([1]Pivot!$B$1:$AB$65000,$B867,P$5)="",2,0)),0)</f>
        <v>0</v>
      </c>
      <c r="Q867" s="194">
        <f>IFERROR(IF(INDEX([1]Pivot!$AD$1:$BE$65000,$B867,Q$5)=1,1,IF(INDEX([1]Pivot!$B$1:$AB$65000,$B867,Q$5)="",2,0)),0)</f>
        <v>0</v>
      </c>
      <c r="R867" s="312"/>
      <c r="S867" s="194">
        <f>IFERROR(IF(INDEX([1]Pivot!$AD$1:$BE$65000,$B867,S$5)=1,1,IF(INDEX([1]Pivot!$B$1:$AB$65000,$B867,S$5)="",2,0)),0)</f>
        <v>0</v>
      </c>
      <c r="T867" s="194">
        <f>IFERROR(IF(INDEX([1]Pivot!$AD$1:$BE$65000,$B867,T$5)=1,1,IF(INDEX([1]Pivot!$B$1:$AB$65000,$B867,T$5)="",2,0)),0)</f>
        <v>0</v>
      </c>
      <c r="U867" s="194">
        <f>IFERROR(IF(INDEX([1]Pivot!$AD$1:$BE$65000,$B867,U$5)=1,1,IF(INDEX([1]Pivot!$B$1:$AB$65000,$B867,U$5)="",2,0)),0)</f>
        <v>0</v>
      </c>
      <c r="V867" s="194">
        <f>IFERROR(IF(INDEX([1]Pivot!$AD$1:$BE$65000,$B867,V$5)=1,1,IF(INDEX([1]Pivot!$B$1:$AB$65000,$B867,V$5)="",2,0)),0)</f>
        <v>0</v>
      </c>
      <c r="W867" s="194">
        <f>IFERROR(IF(INDEX([1]Pivot!$AD$1:$BE$65000,$B867,W$5)=1,1,IF(INDEX([1]Pivot!$B$1:$AB$65000,$B867,W$5)="",2,0)),0)</f>
        <v>0</v>
      </c>
      <c r="X867" s="194">
        <f>IFERROR(IF(INDEX([1]Pivot!$AD$1:$BE$65000,$B867,X$5)=1,1,IF(INDEX([1]Pivot!$B$1:$AB$65000,$B867,X$5)="",2,0)),0)</f>
        <v>0</v>
      </c>
      <c r="Y867" s="194">
        <f>IFERROR(IF(INDEX([1]Pivot!$AD$1:$BE$65000,$B867,Y$5)=1,1,IF(INDEX([1]Pivot!$B$1:$AB$65000,$B867,Y$5)="",2,0)),0)</f>
        <v>0</v>
      </c>
      <c r="Z867" s="194">
        <f>IFERROR(IF(INDEX([1]Pivot!$AD$1:$BE$65000,$B867,Z$5)=1,1,IF(INDEX([1]Pivot!$B$1:$AB$65000,$B867,Z$5)="",2,0)),0)</f>
        <v>0</v>
      </c>
      <c r="AA867" s="194">
        <f>IFERROR(IF(INDEX([1]Pivot!$AD$1:$BE$65000,$B867,AA$5)=1,1,IF(INDEX([1]Pivot!$B$1:$AB$65000,$B867,AA$5)="",2,0)),0)</f>
        <v>0</v>
      </c>
      <c r="AB867" s="194">
        <f>IFERROR(IF(INDEX([1]Pivot!$AD$1:$BE$65000,$B867,AB$5)=1,1,IF(INDEX([1]Pivot!$B$1:$AB$65000,$B867,AB$5)="",2,0)),0)</f>
        <v>0</v>
      </c>
      <c r="AC867" s="194">
        <f>IFERROR(IF(INDEX([1]Pivot!$AD$1:$BE$65000,$B867,AC$5)=1,1,IF(INDEX([1]Pivot!$B$1:$AB$65000,$B867,AC$5)="",2,0)),0)</f>
        <v>0</v>
      </c>
      <c r="AD867" s="313">
        <f>IFERROR(IF(INDEX([1]Pivot!$BF$1:$CG$65000,$B867,AD$5)=1,1,IF(INDEX([1]Pivot!$B$1:$AB$65000,$B867,AD$5)="",2,0)),0)</f>
        <v>0</v>
      </c>
      <c r="AE867" s="313">
        <f>IFERROR(IF(INDEX([1]Pivot!$BF$1:$CG$65000,$B867,AE$5)=1,1,IF(INDEX([1]Pivot!$B$1:$AB$65000,$B867,AE$5)="",2,0)),0)</f>
        <v>0</v>
      </c>
      <c r="AF867" s="313">
        <f>IFERROR(IF(INDEX([1]Pivot!$BF$1:$CG$65000,$B867,AF$5)=1,1,IF(INDEX([1]Pivot!$B$1:$AB$65000,$B867,AF$5)="",2,0)),0)</f>
        <v>0</v>
      </c>
      <c r="AG867" s="313">
        <f>IFERROR(IF(INDEX([1]Pivot!$BF$1:$CG$65000,$B867,AG$5)=1,1,IF(INDEX([1]Pivot!$B$1:$AB$65000,$B867,AG$5)="",2,0)),0)</f>
        <v>0</v>
      </c>
      <c r="AH867" s="313">
        <f>IFERROR(IF(INDEX([1]Pivot!$BF$1:$CG$65000,$B867,AH$5)=1,1,IF(INDEX([1]Pivot!$B$1:$AB$65000,$B867,AH$5)="",2,0)),0)</f>
        <v>0</v>
      </c>
      <c r="AI867" s="313">
        <f>IFERROR(IF(INDEX([1]Pivot!$BF$1:$CG$65000,$B867,AI$5)=1,1,IF(INDEX([1]Pivot!$B$1:$AB$65000,$B867,AI$5)="",2,0)),0)</f>
        <v>0</v>
      </c>
      <c r="AJ867" s="313">
        <f>IFERROR(IF(INDEX([1]Pivot!$BF$1:$CG$65000,$B867,AJ$5)=1,1,IF(INDEX([1]Pivot!$B$1:$AB$65000,$B867,AJ$5)="",2,0)),0)</f>
        <v>0</v>
      </c>
      <c r="AK867" s="313">
        <f>IFERROR(IF(INDEX([1]Pivot!$BF$1:$CG$65000,$B867,AK$5)=1,1,IF(INDEX([1]Pivot!$B$1:$AB$65000,$B867,AK$5)="",2,0)),0)</f>
        <v>0</v>
      </c>
      <c r="AL867" s="313">
        <f>IFERROR(IF(INDEX([1]Pivot!$BF$1:$CG$65000,$B867,AL$5)=1,1,IF(INDEX([1]Pivot!$B$1:$AB$65000,$B867,AL$5)="",2,0)),0)</f>
        <v>0</v>
      </c>
      <c r="AM867" s="313">
        <f>IFERROR(IF(INDEX([1]Pivot!$BF$1:$CG$65000,$B867,AM$5)=1,1,IF(INDEX([1]Pivot!$B$1:$AB$65000,$B867,AM$5)="",2,0)),0)</f>
        <v>0</v>
      </c>
      <c r="AN867" s="313">
        <f>IFERROR(IF(INDEX([1]Pivot!$BF$1:$CG$65000,$B867,AN$5)=1,1,IF(INDEX([1]Pivot!$B$1:$AB$65000,$B867,AN$5)="",2,0)),0)</f>
        <v>0</v>
      </c>
      <c r="AO867" s="313">
        <f>IFERROR(IF(INDEX([1]Pivot!$BF$1:$CG$65000,$B867,AO$5)=1,1,IF(INDEX([1]Pivot!$B$1:$AB$65000,$B867,AO$5)="",2,0)),0)</f>
        <v>0</v>
      </c>
      <c r="AP867" s="313">
        <f>IFERROR(IF(INDEX([1]Pivot!$BF$1:$CG$65000,$B867,AP$5)=1,1,IF(INDEX([1]Pivot!$B$1:$AB$65000,$B867,AP$5)="",2,0)),0)</f>
        <v>0</v>
      </c>
      <c r="AQ867" s="313">
        <f>IFERROR(IF(INDEX([1]Pivot!$BF$1:$CG$65000,$B867,AQ$5)=1,1,IF(INDEX([1]Pivot!$B$1:$AB$65000,$B867,AQ$5)="",2,0)),0)</f>
        <v>0</v>
      </c>
      <c r="AR867" s="313">
        <f>IFERROR(IF(INDEX([1]Pivot!$BF$1:$CG$65000,$B867,AR$5)=1,1,IF(INDEX([1]Pivot!$B$1:$AB$65000,$B867,AR$5)="",2,0)),0)</f>
        <v>0</v>
      </c>
      <c r="AS867" s="312"/>
      <c r="AT867" s="313">
        <f>IFERROR(IF(INDEX([1]Pivot!$BF$1:$CG$65000,$B867,AT$5)=1,1,IF(INDEX([1]Pivot!$B$1:$AB$65000,$B867,AT$5)="",2,0)),0)</f>
        <v>0</v>
      </c>
      <c r="AU867" s="313">
        <f>IFERROR(IF(INDEX([1]Pivot!$BF$1:$CG$65000,$B867,AU$5)=1,1,IF(INDEX([1]Pivot!$B$1:$AB$65000,$B867,AU$5)="",2,0)),0)</f>
        <v>0</v>
      </c>
      <c r="AV867" s="313">
        <f>IFERROR(IF(INDEX([1]Pivot!$BF$1:$CG$65000,$B867,AV$5)=1,1,IF(INDEX([1]Pivot!$B$1:$AB$65000,$B867,AV$5)="",2,0)),0)</f>
        <v>0</v>
      </c>
      <c r="AW867" s="313">
        <f>IFERROR(IF(INDEX([1]Pivot!$BF$1:$CG$65000,$B867,AW$5)=1,1,IF(INDEX([1]Pivot!$B$1:$AB$65000,$B867,AW$5)="",2,0)),0)</f>
        <v>0</v>
      </c>
      <c r="AX867" s="313">
        <f>IFERROR(IF(INDEX([1]Pivot!$BF$1:$CG$65000,$B867,AX$5)=1,1,IF(INDEX([1]Pivot!$B$1:$AB$65000,$B867,AX$5)="",2,0)),0)</f>
        <v>0</v>
      </c>
      <c r="AY867" s="313">
        <f>IFERROR(IF(INDEX([1]Pivot!$BF$1:$CG$65000,$B867,AY$5)=1,1,IF(INDEX([1]Pivot!$B$1:$AB$65000,$B867,AY$5)="",2,0)),0)</f>
        <v>0</v>
      </c>
      <c r="AZ867" s="313">
        <f>IFERROR(IF(INDEX([1]Pivot!$BF$1:$CG$65000,$B867,AZ$5)=1,1,IF(INDEX([1]Pivot!$B$1:$AB$65000,$B867,AZ$5)="",2,0)),0)</f>
        <v>0</v>
      </c>
      <c r="BA867" s="313">
        <f>IFERROR(IF(INDEX([1]Pivot!$BF$1:$CG$65000,$B867,BA$5)=1,1,IF(INDEX([1]Pivot!$B$1:$AB$65000,$B867,BA$5)="",2,0)),0)</f>
        <v>0</v>
      </c>
      <c r="BB867" s="313">
        <f>IFERROR(IF(INDEX([1]Pivot!$BF$1:$CG$65000,$B867,BB$5)=1,1,IF(INDEX([1]Pivot!$B$1:$AB$65000,$B867,BB$5)="",2,0)),0)</f>
        <v>0</v>
      </c>
      <c r="BC867" s="313">
        <f>IFERROR(IF(INDEX([1]Pivot!$BF$1:$CG$65000,$B867,BC$5)=1,1,IF(INDEX([1]Pivot!$B$1:$AB$65000,$B867,BC$5)="",2,0)),0)</f>
        <v>0</v>
      </c>
      <c r="BD867" s="313">
        <f>IFERROR(IF(INDEX([1]Pivot!$BF$1:$CG$65000,$B867,BD$5)=1,1,IF(INDEX([1]Pivot!$B$1:$AB$65000,$B867,BD$5)="",2,0)),0)</f>
        <v>0</v>
      </c>
    </row>
    <row r="868" spans="1:56" x14ac:dyDescent="0.25">
      <c r="A868" s="288">
        <f>'[2]Raw Milk Prices'!A868</f>
        <v>0</v>
      </c>
      <c r="B868" s="296" t="e">
        <f>MATCH(DATE(LEFT('[2]Raw Milk Prices'!$A868,4),RIGHT('[2]Raw Milk Prices'!$A868,2),1),[1]Pivot!$A$1:$A$65000,0)</f>
        <v>#VALUE!</v>
      </c>
      <c r="C868" s="194">
        <f>IFERROR(IF(INDEX([1]Pivot!$AD$1:$BE$65000,$B868,C$5)=1,1,IF(INDEX([1]Pivot!$B$1:$AB$65000,$B868,C$5)="",2,0)),0)</f>
        <v>0</v>
      </c>
      <c r="D868" s="194">
        <f>IFERROR(IF(INDEX([1]Pivot!$AD$1:$BE$65000,$B868,D$5)=1,1,IF(INDEX([1]Pivot!$B$1:$AB$65000,$B868,D$5)="",2,0)),0)</f>
        <v>0</v>
      </c>
      <c r="E868" s="194">
        <f>IFERROR(IF(INDEX([1]Pivot!$AD$1:$BE$65000,$B868,E$5)=1,1,IF(INDEX([1]Pivot!$B$1:$AB$65000,$B868,E$5)="",2,0)),0)</f>
        <v>0</v>
      </c>
      <c r="F868" s="194">
        <f>IFERROR(IF(INDEX([1]Pivot!$AD$1:$BE$65000,$B868,F$5)=1,1,IF(INDEX([1]Pivot!$B$1:$AB$65000,$B868,F$5)="",2,0)),0)</f>
        <v>0</v>
      </c>
      <c r="G868" s="194">
        <f>IFERROR(IF(INDEX([1]Pivot!$AD$1:$BE$65000,$B868,G$5)=1,1,IF(INDEX([1]Pivot!$B$1:$AB$65000,$B868,G$5)="",2,0)),0)</f>
        <v>0</v>
      </c>
      <c r="H868" s="194">
        <f>IFERROR(IF(INDEX([1]Pivot!$AD$1:$BE$65000,$B868,H$5)=1,1,IF(INDEX([1]Pivot!$B$1:$AB$65000,$B868,H$5)="",2,0)),0)</f>
        <v>0</v>
      </c>
      <c r="I868" s="194">
        <f>IFERROR(IF(INDEX([1]Pivot!$AD$1:$BE$65000,$B868,I$5)=1,1,IF(INDEX([1]Pivot!$B$1:$AB$65000,$B868,I$5)="",2,0)),0)</f>
        <v>0</v>
      </c>
      <c r="J868" s="194">
        <f>IFERROR(IF(INDEX([1]Pivot!$AD$1:$BE$65000,$B868,J$5)=1,1,IF(INDEX([1]Pivot!$B$1:$AB$65000,$B868,J$5)="",2,0)),0)</f>
        <v>0</v>
      </c>
      <c r="K868" s="194">
        <f>IFERROR(IF(INDEX([1]Pivot!$AD$1:$BE$65000,$B868,K$5)=1,1,IF(INDEX([1]Pivot!$B$1:$AB$65000,$B868,K$5)="",2,0)),0)</f>
        <v>0</v>
      </c>
      <c r="L868" s="194">
        <f>IFERROR(IF(INDEX([1]Pivot!$AD$1:$BE$65000,$B868,L$5)=1,1,IF(INDEX([1]Pivot!$B$1:$AB$65000,$B868,L$5)="",2,0)),0)</f>
        <v>0</v>
      </c>
      <c r="M868" s="194">
        <f>IFERROR(IF(INDEX([1]Pivot!$AD$1:$BE$65000,$B868,M$5)=1,1,IF(INDEX([1]Pivot!$B$1:$AB$65000,$B868,M$5)="",2,0)),0)</f>
        <v>0</v>
      </c>
      <c r="N868" s="194">
        <f>IFERROR(IF(INDEX([1]Pivot!$AD$1:$BE$65000,$B868,N$5)=1,1,IF(INDEX([1]Pivot!$B$1:$AB$65000,$B868,N$5)="",2,0)),0)</f>
        <v>0</v>
      </c>
      <c r="O868" s="194">
        <f>IFERROR(IF(INDEX([1]Pivot!$AD$1:$BE$65000,$B868,O$5)=1,1,IF(INDEX([1]Pivot!$B$1:$AB$65000,$B868,O$5)="",2,0)),0)</f>
        <v>0</v>
      </c>
      <c r="P868" s="194">
        <f>IFERROR(IF(INDEX([1]Pivot!$AD$1:$BE$65000,$B868,P$5)=1,1,IF(INDEX([1]Pivot!$B$1:$AB$65000,$B868,P$5)="",2,0)),0)</f>
        <v>0</v>
      </c>
      <c r="Q868" s="194">
        <f>IFERROR(IF(INDEX([1]Pivot!$AD$1:$BE$65000,$B868,Q$5)=1,1,IF(INDEX([1]Pivot!$B$1:$AB$65000,$B868,Q$5)="",2,0)),0)</f>
        <v>0</v>
      </c>
      <c r="R868" s="312"/>
      <c r="S868" s="194">
        <f>IFERROR(IF(INDEX([1]Pivot!$AD$1:$BE$65000,$B868,S$5)=1,1,IF(INDEX([1]Pivot!$B$1:$AB$65000,$B868,S$5)="",2,0)),0)</f>
        <v>0</v>
      </c>
      <c r="T868" s="194">
        <f>IFERROR(IF(INDEX([1]Pivot!$AD$1:$BE$65000,$B868,T$5)=1,1,IF(INDEX([1]Pivot!$B$1:$AB$65000,$B868,T$5)="",2,0)),0)</f>
        <v>0</v>
      </c>
      <c r="U868" s="194">
        <f>IFERROR(IF(INDEX([1]Pivot!$AD$1:$BE$65000,$B868,U$5)=1,1,IF(INDEX([1]Pivot!$B$1:$AB$65000,$B868,U$5)="",2,0)),0)</f>
        <v>0</v>
      </c>
      <c r="V868" s="194">
        <f>IFERROR(IF(INDEX([1]Pivot!$AD$1:$BE$65000,$B868,V$5)=1,1,IF(INDEX([1]Pivot!$B$1:$AB$65000,$B868,V$5)="",2,0)),0)</f>
        <v>0</v>
      </c>
      <c r="W868" s="194">
        <f>IFERROR(IF(INDEX([1]Pivot!$AD$1:$BE$65000,$B868,W$5)=1,1,IF(INDEX([1]Pivot!$B$1:$AB$65000,$B868,W$5)="",2,0)),0)</f>
        <v>0</v>
      </c>
      <c r="X868" s="194">
        <f>IFERROR(IF(INDEX([1]Pivot!$AD$1:$BE$65000,$B868,X$5)=1,1,IF(INDEX([1]Pivot!$B$1:$AB$65000,$B868,X$5)="",2,0)),0)</f>
        <v>0</v>
      </c>
      <c r="Y868" s="194">
        <f>IFERROR(IF(INDEX([1]Pivot!$AD$1:$BE$65000,$B868,Y$5)=1,1,IF(INDEX([1]Pivot!$B$1:$AB$65000,$B868,Y$5)="",2,0)),0)</f>
        <v>0</v>
      </c>
      <c r="Z868" s="194">
        <f>IFERROR(IF(INDEX([1]Pivot!$AD$1:$BE$65000,$B868,Z$5)=1,1,IF(INDEX([1]Pivot!$B$1:$AB$65000,$B868,Z$5)="",2,0)),0)</f>
        <v>0</v>
      </c>
      <c r="AA868" s="194">
        <f>IFERROR(IF(INDEX([1]Pivot!$AD$1:$BE$65000,$B868,AA$5)=1,1,IF(INDEX([1]Pivot!$B$1:$AB$65000,$B868,AA$5)="",2,0)),0)</f>
        <v>0</v>
      </c>
      <c r="AB868" s="194">
        <f>IFERROR(IF(INDEX([1]Pivot!$AD$1:$BE$65000,$B868,AB$5)=1,1,IF(INDEX([1]Pivot!$B$1:$AB$65000,$B868,AB$5)="",2,0)),0)</f>
        <v>0</v>
      </c>
      <c r="AC868" s="194">
        <f>IFERROR(IF(INDEX([1]Pivot!$AD$1:$BE$65000,$B868,AC$5)=1,1,IF(INDEX([1]Pivot!$B$1:$AB$65000,$B868,AC$5)="",2,0)),0)</f>
        <v>0</v>
      </c>
      <c r="AD868" s="313">
        <f>IFERROR(IF(INDEX([1]Pivot!$BF$1:$CG$65000,$B868,AD$5)=1,1,IF(INDEX([1]Pivot!$B$1:$AB$65000,$B868,AD$5)="",2,0)),0)</f>
        <v>0</v>
      </c>
      <c r="AE868" s="313">
        <f>IFERROR(IF(INDEX([1]Pivot!$BF$1:$CG$65000,$B868,AE$5)=1,1,IF(INDEX([1]Pivot!$B$1:$AB$65000,$B868,AE$5)="",2,0)),0)</f>
        <v>0</v>
      </c>
      <c r="AF868" s="313">
        <f>IFERROR(IF(INDEX([1]Pivot!$BF$1:$CG$65000,$B868,AF$5)=1,1,IF(INDEX([1]Pivot!$B$1:$AB$65000,$B868,AF$5)="",2,0)),0)</f>
        <v>0</v>
      </c>
      <c r="AG868" s="313">
        <f>IFERROR(IF(INDEX([1]Pivot!$BF$1:$CG$65000,$B868,AG$5)=1,1,IF(INDEX([1]Pivot!$B$1:$AB$65000,$B868,AG$5)="",2,0)),0)</f>
        <v>0</v>
      </c>
      <c r="AH868" s="313">
        <f>IFERROR(IF(INDEX([1]Pivot!$BF$1:$CG$65000,$B868,AH$5)=1,1,IF(INDEX([1]Pivot!$B$1:$AB$65000,$B868,AH$5)="",2,0)),0)</f>
        <v>0</v>
      </c>
      <c r="AI868" s="313">
        <f>IFERROR(IF(INDEX([1]Pivot!$BF$1:$CG$65000,$B868,AI$5)=1,1,IF(INDEX([1]Pivot!$B$1:$AB$65000,$B868,AI$5)="",2,0)),0)</f>
        <v>0</v>
      </c>
      <c r="AJ868" s="313">
        <f>IFERROR(IF(INDEX([1]Pivot!$BF$1:$CG$65000,$B868,AJ$5)=1,1,IF(INDEX([1]Pivot!$B$1:$AB$65000,$B868,AJ$5)="",2,0)),0)</f>
        <v>0</v>
      </c>
      <c r="AK868" s="313">
        <f>IFERROR(IF(INDEX([1]Pivot!$BF$1:$CG$65000,$B868,AK$5)=1,1,IF(INDEX([1]Pivot!$B$1:$AB$65000,$B868,AK$5)="",2,0)),0)</f>
        <v>0</v>
      </c>
      <c r="AL868" s="313">
        <f>IFERROR(IF(INDEX([1]Pivot!$BF$1:$CG$65000,$B868,AL$5)=1,1,IF(INDEX([1]Pivot!$B$1:$AB$65000,$B868,AL$5)="",2,0)),0)</f>
        <v>0</v>
      </c>
      <c r="AM868" s="313">
        <f>IFERROR(IF(INDEX([1]Pivot!$BF$1:$CG$65000,$B868,AM$5)=1,1,IF(INDEX([1]Pivot!$B$1:$AB$65000,$B868,AM$5)="",2,0)),0)</f>
        <v>0</v>
      </c>
      <c r="AN868" s="313">
        <f>IFERROR(IF(INDEX([1]Pivot!$BF$1:$CG$65000,$B868,AN$5)=1,1,IF(INDEX([1]Pivot!$B$1:$AB$65000,$B868,AN$5)="",2,0)),0)</f>
        <v>0</v>
      </c>
      <c r="AO868" s="313">
        <f>IFERROR(IF(INDEX([1]Pivot!$BF$1:$CG$65000,$B868,AO$5)=1,1,IF(INDEX([1]Pivot!$B$1:$AB$65000,$B868,AO$5)="",2,0)),0)</f>
        <v>0</v>
      </c>
      <c r="AP868" s="313">
        <f>IFERROR(IF(INDEX([1]Pivot!$BF$1:$CG$65000,$B868,AP$5)=1,1,IF(INDEX([1]Pivot!$B$1:$AB$65000,$B868,AP$5)="",2,0)),0)</f>
        <v>0</v>
      </c>
      <c r="AQ868" s="313">
        <f>IFERROR(IF(INDEX([1]Pivot!$BF$1:$CG$65000,$B868,AQ$5)=1,1,IF(INDEX([1]Pivot!$B$1:$AB$65000,$B868,AQ$5)="",2,0)),0)</f>
        <v>0</v>
      </c>
      <c r="AR868" s="313">
        <f>IFERROR(IF(INDEX([1]Pivot!$BF$1:$CG$65000,$B868,AR$5)=1,1,IF(INDEX([1]Pivot!$B$1:$AB$65000,$B868,AR$5)="",2,0)),0)</f>
        <v>0</v>
      </c>
      <c r="AS868" s="312"/>
      <c r="AT868" s="313">
        <f>IFERROR(IF(INDEX([1]Pivot!$BF$1:$CG$65000,$B868,AT$5)=1,1,IF(INDEX([1]Pivot!$B$1:$AB$65000,$B868,AT$5)="",2,0)),0)</f>
        <v>0</v>
      </c>
      <c r="AU868" s="313">
        <f>IFERROR(IF(INDEX([1]Pivot!$BF$1:$CG$65000,$B868,AU$5)=1,1,IF(INDEX([1]Pivot!$B$1:$AB$65000,$B868,AU$5)="",2,0)),0)</f>
        <v>0</v>
      </c>
      <c r="AV868" s="313">
        <f>IFERROR(IF(INDEX([1]Pivot!$BF$1:$CG$65000,$B868,AV$5)=1,1,IF(INDEX([1]Pivot!$B$1:$AB$65000,$B868,AV$5)="",2,0)),0)</f>
        <v>0</v>
      </c>
      <c r="AW868" s="313">
        <f>IFERROR(IF(INDEX([1]Pivot!$BF$1:$CG$65000,$B868,AW$5)=1,1,IF(INDEX([1]Pivot!$B$1:$AB$65000,$B868,AW$5)="",2,0)),0)</f>
        <v>0</v>
      </c>
      <c r="AX868" s="313">
        <f>IFERROR(IF(INDEX([1]Pivot!$BF$1:$CG$65000,$B868,AX$5)=1,1,IF(INDEX([1]Pivot!$B$1:$AB$65000,$B868,AX$5)="",2,0)),0)</f>
        <v>0</v>
      </c>
      <c r="AY868" s="313">
        <f>IFERROR(IF(INDEX([1]Pivot!$BF$1:$CG$65000,$B868,AY$5)=1,1,IF(INDEX([1]Pivot!$B$1:$AB$65000,$B868,AY$5)="",2,0)),0)</f>
        <v>0</v>
      </c>
      <c r="AZ868" s="313">
        <f>IFERROR(IF(INDEX([1]Pivot!$BF$1:$CG$65000,$B868,AZ$5)=1,1,IF(INDEX([1]Pivot!$B$1:$AB$65000,$B868,AZ$5)="",2,0)),0)</f>
        <v>0</v>
      </c>
      <c r="BA868" s="313">
        <f>IFERROR(IF(INDEX([1]Pivot!$BF$1:$CG$65000,$B868,BA$5)=1,1,IF(INDEX([1]Pivot!$B$1:$AB$65000,$B868,BA$5)="",2,0)),0)</f>
        <v>0</v>
      </c>
      <c r="BB868" s="313">
        <f>IFERROR(IF(INDEX([1]Pivot!$BF$1:$CG$65000,$B868,BB$5)=1,1,IF(INDEX([1]Pivot!$B$1:$AB$65000,$B868,BB$5)="",2,0)),0)</f>
        <v>0</v>
      </c>
      <c r="BC868" s="313">
        <f>IFERROR(IF(INDEX([1]Pivot!$BF$1:$CG$65000,$B868,BC$5)=1,1,IF(INDEX([1]Pivot!$B$1:$AB$65000,$B868,BC$5)="",2,0)),0)</f>
        <v>0</v>
      </c>
      <c r="BD868" s="313">
        <f>IFERROR(IF(INDEX([1]Pivot!$BF$1:$CG$65000,$B868,BD$5)=1,1,IF(INDEX([1]Pivot!$B$1:$AB$65000,$B868,BD$5)="",2,0)),0)</f>
        <v>0</v>
      </c>
    </row>
    <row r="869" spans="1:56" x14ac:dyDescent="0.25">
      <c r="A869" s="288">
        <f>'[2]Raw Milk Prices'!A869</f>
        <v>0</v>
      </c>
      <c r="B869" s="296" t="e">
        <f>MATCH(DATE(LEFT('[2]Raw Milk Prices'!$A869,4),RIGHT('[2]Raw Milk Prices'!$A869,2),1),[1]Pivot!$A$1:$A$65000,0)</f>
        <v>#VALUE!</v>
      </c>
      <c r="C869" s="194">
        <f>IFERROR(IF(INDEX([1]Pivot!$AD$1:$BE$65000,$B869,C$5)=1,1,IF(INDEX([1]Pivot!$B$1:$AB$65000,$B869,C$5)="",2,0)),0)</f>
        <v>0</v>
      </c>
      <c r="D869" s="194">
        <f>IFERROR(IF(INDEX([1]Pivot!$AD$1:$BE$65000,$B869,D$5)=1,1,IF(INDEX([1]Pivot!$B$1:$AB$65000,$B869,D$5)="",2,0)),0)</f>
        <v>0</v>
      </c>
      <c r="E869" s="194">
        <f>IFERROR(IF(INDEX([1]Pivot!$AD$1:$BE$65000,$B869,E$5)=1,1,IF(INDEX([1]Pivot!$B$1:$AB$65000,$B869,E$5)="",2,0)),0)</f>
        <v>0</v>
      </c>
      <c r="F869" s="194">
        <f>IFERROR(IF(INDEX([1]Pivot!$AD$1:$BE$65000,$B869,F$5)=1,1,IF(INDEX([1]Pivot!$B$1:$AB$65000,$B869,F$5)="",2,0)),0)</f>
        <v>0</v>
      </c>
      <c r="G869" s="194">
        <f>IFERROR(IF(INDEX([1]Pivot!$AD$1:$BE$65000,$B869,G$5)=1,1,IF(INDEX([1]Pivot!$B$1:$AB$65000,$B869,G$5)="",2,0)),0)</f>
        <v>0</v>
      </c>
      <c r="H869" s="194">
        <f>IFERROR(IF(INDEX([1]Pivot!$AD$1:$BE$65000,$B869,H$5)=1,1,IF(INDEX([1]Pivot!$B$1:$AB$65000,$B869,H$5)="",2,0)),0)</f>
        <v>0</v>
      </c>
      <c r="I869" s="194">
        <f>IFERROR(IF(INDEX([1]Pivot!$AD$1:$BE$65000,$B869,I$5)=1,1,IF(INDEX([1]Pivot!$B$1:$AB$65000,$B869,I$5)="",2,0)),0)</f>
        <v>0</v>
      </c>
      <c r="J869" s="194">
        <f>IFERROR(IF(INDEX([1]Pivot!$AD$1:$BE$65000,$B869,J$5)=1,1,IF(INDEX([1]Pivot!$B$1:$AB$65000,$B869,J$5)="",2,0)),0)</f>
        <v>0</v>
      </c>
      <c r="K869" s="194">
        <f>IFERROR(IF(INDEX([1]Pivot!$AD$1:$BE$65000,$B869,K$5)=1,1,IF(INDEX([1]Pivot!$B$1:$AB$65000,$B869,K$5)="",2,0)),0)</f>
        <v>0</v>
      </c>
      <c r="L869" s="194">
        <f>IFERROR(IF(INDEX([1]Pivot!$AD$1:$BE$65000,$B869,L$5)=1,1,IF(INDEX([1]Pivot!$B$1:$AB$65000,$B869,L$5)="",2,0)),0)</f>
        <v>0</v>
      </c>
      <c r="M869" s="194">
        <f>IFERROR(IF(INDEX([1]Pivot!$AD$1:$BE$65000,$B869,M$5)=1,1,IF(INDEX([1]Pivot!$B$1:$AB$65000,$B869,M$5)="",2,0)),0)</f>
        <v>0</v>
      </c>
      <c r="N869" s="194">
        <f>IFERROR(IF(INDEX([1]Pivot!$AD$1:$BE$65000,$B869,N$5)=1,1,IF(INDEX([1]Pivot!$B$1:$AB$65000,$B869,N$5)="",2,0)),0)</f>
        <v>0</v>
      </c>
      <c r="O869" s="194">
        <f>IFERROR(IF(INDEX([1]Pivot!$AD$1:$BE$65000,$B869,O$5)=1,1,IF(INDEX([1]Pivot!$B$1:$AB$65000,$B869,O$5)="",2,0)),0)</f>
        <v>0</v>
      </c>
      <c r="P869" s="194">
        <f>IFERROR(IF(INDEX([1]Pivot!$AD$1:$BE$65000,$B869,P$5)=1,1,IF(INDEX([1]Pivot!$B$1:$AB$65000,$B869,P$5)="",2,0)),0)</f>
        <v>0</v>
      </c>
      <c r="Q869" s="194">
        <f>IFERROR(IF(INDEX([1]Pivot!$AD$1:$BE$65000,$B869,Q$5)=1,1,IF(INDEX([1]Pivot!$B$1:$AB$65000,$B869,Q$5)="",2,0)),0)</f>
        <v>0</v>
      </c>
      <c r="R869" s="312"/>
      <c r="S869" s="194">
        <f>IFERROR(IF(INDEX([1]Pivot!$AD$1:$BE$65000,$B869,S$5)=1,1,IF(INDEX([1]Pivot!$B$1:$AB$65000,$B869,S$5)="",2,0)),0)</f>
        <v>0</v>
      </c>
      <c r="T869" s="194">
        <f>IFERROR(IF(INDEX([1]Pivot!$AD$1:$BE$65000,$B869,T$5)=1,1,IF(INDEX([1]Pivot!$B$1:$AB$65000,$B869,T$5)="",2,0)),0)</f>
        <v>0</v>
      </c>
      <c r="U869" s="194">
        <f>IFERROR(IF(INDEX([1]Pivot!$AD$1:$BE$65000,$B869,U$5)=1,1,IF(INDEX([1]Pivot!$B$1:$AB$65000,$B869,U$5)="",2,0)),0)</f>
        <v>0</v>
      </c>
      <c r="V869" s="194">
        <f>IFERROR(IF(INDEX([1]Pivot!$AD$1:$BE$65000,$B869,V$5)=1,1,IF(INDEX([1]Pivot!$B$1:$AB$65000,$B869,V$5)="",2,0)),0)</f>
        <v>0</v>
      </c>
      <c r="W869" s="194">
        <f>IFERROR(IF(INDEX([1]Pivot!$AD$1:$BE$65000,$B869,W$5)=1,1,IF(INDEX([1]Pivot!$B$1:$AB$65000,$B869,W$5)="",2,0)),0)</f>
        <v>0</v>
      </c>
      <c r="X869" s="194">
        <f>IFERROR(IF(INDEX([1]Pivot!$AD$1:$BE$65000,$B869,X$5)=1,1,IF(INDEX([1]Pivot!$B$1:$AB$65000,$B869,X$5)="",2,0)),0)</f>
        <v>0</v>
      </c>
      <c r="Y869" s="194">
        <f>IFERROR(IF(INDEX([1]Pivot!$AD$1:$BE$65000,$B869,Y$5)=1,1,IF(INDEX([1]Pivot!$B$1:$AB$65000,$B869,Y$5)="",2,0)),0)</f>
        <v>0</v>
      </c>
      <c r="Z869" s="194">
        <f>IFERROR(IF(INDEX([1]Pivot!$AD$1:$BE$65000,$B869,Z$5)=1,1,IF(INDEX([1]Pivot!$B$1:$AB$65000,$B869,Z$5)="",2,0)),0)</f>
        <v>0</v>
      </c>
      <c r="AA869" s="194">
        <f>IFERROR(IF(INDEX([1]Pivot!$AD$1:$BE$65000,$B869,AA$5)=1,1,IF(INDEX([1]Pivot!$B$1:$AB$65000,$B869,AA$5)="",2,0)),0)</f>
        <v>0</v>
      </c>
      <c r="AB869" s="194">
        <f>IFERROR(IF(INDEX([1]Pivot!$AD$1:$BE$65000,$B869,AB$5)=1,1,IF(INDEX([1]Pivot!$B$1:$AB$65000,$B869,AB$5)="",2,0)),0)</f>
        <v>0</v>
      </c>
      <c r="AC869" s="194">
        <f>IFERROR(IF(INDEX([1]Pivot!$AD$1:$BE$65000,$B869,AC$5)=1,1,IF(INDEX([1]Pivot!$B$1:$AB$65000,$B869,AC$5)="",2,0)),0)</f>
        <v>0</v>
      </c>
      <c r="AD869" s="313">
        <f>IFERROR(IF(INDEX([1]Pivot!$BF$1:$CG$65000,$B869,AD$5)=1,1,IF(INDEX([1]Pivot!$B$1:$AB$65000,$B869,AD$5)="",2,0)),0)</f>
        <v>0</v>
      </c>
      <c r="AE869" s="313">
        <f>IFERROR(IF(INDEX([1]Pivot!$BF$1:$CG$65000,$B869,AE$5)=1,1,IF(INDEX([1]Pivot!$B$1:$AB$65000,$B869,AE$5)="",2,0)),0)</f>
        <v>0</v>
      </c>
      <c r="AF869" s="313">
        <f>IFERROR(IF(INDEX([1]Pivot!$BF$1:$CG$65000,$B869,AF$5)=1,1,IF(INDEX([1]Pivot!$B$1:$AB$65000,$B869,AF$5)="",2,0)),0)</f>
        <v>0</v>
      </c>
      <c r="AG869" s="313">
        <f>IFERROR(IF(INDEX([1]Pivot!$BF$1:$CG$65000,$B869,AG$5)=1,1,IF(INDEX([1]Pivot!$B$1:$AB$65000,$B869,AG$5)="",2,0)),0)</f>
        <v>0</v>
      </c>
      <c r="AH869" s="313">
        <f>IFERROR(IF(INDEX([1]Pivot!$BF$1:$CG$65000,$B869,AH$5)=1,1,IF(INDEX([1]Pivot!$B$1:$AB$65000,$B869,AH$5)="",2,0)),0)</f>
        <v>0</v>
      </c>
      <c r="AI869" s="313">
        <f>IFERROR(IF(INDEX([1]Pivot!$BF$1:$CG$65000,$B869,AI$5)=1,1,IF(INDEX([1]Pivot!$B$1:$AB$65000,$B869,AI$5)="",2,0)),0)</f>
        <v>0</v>
      </c>
      <c r="AJ869" s="313">
        <f>IFERROR(IF(INDEX([1]Pivot!$BF$1:$CG$65000,$B869,AJ$5)=1,1,IF(INDEX([1]Pivot!$B$1:$AB$65000,$B869,AJ$5)="",2,0)),0)</f>
        <v>0</v>
      </c>
      <c r="AK869" s="313">
        <f>IFERROR(IF(INDEX([1]Pivot!$BF$1:$CG$65000,$B869,AK$5)=1,1,IF(INDEX([1]Pivot!$B$1:$AB$65000,$B869,AK$5)="",2,0)),0)</f>
        <v>0</v>
      </c>
      <c r="AL869" s="313">
        <f>IFERROR(IF(INDEX([1]Pivot!$BF$1:$CG$65000,$B869,AL$5)=1,1,IF(INDEX([1]Pivot!$B$1:$AB$65000,$B869,AL$5)="",2,0)),0)</f>
        <v>0</v>
      </c>
      <c r="AM869" s="313">
        <f>IFERROR(IF(INDEX([1]Pivot!$BF$1:$CG$65000,$B869,AM$5)=1,1,IF(INDEX([1]Pivot!$B$1:$AB$65000,$B869,AM$5)="",2,0)),0)</f>
        <v>0</v>
      </c>
      <c r="AN869" s="313">
        <f>IFERROR(IF(INDEX([1]Pivot!$BF$1:$CG$65000,$B869,AN$5)=1,1,IF(INDEX([1]Pivot!$B$1:$AB$65000,$B869,AN$5)="",2,0)),0)</f>
        <v>0</v>
      </c>
      <c r="AO869" s="313">
        <f>IFERROR(IF(INDEX([1]Pivot!$BF$1:$CG$65000,$B869,AO$5)=1,1,IF(INDEX([1]Pivot!$B$1:$AB$65000,$B869,AO$5)="",2,0)),0)</f>
        <v>0</v>
      </c>
      <c r="AP869" s="313">
        <f>IFERROR(IF(INDEX([1]Pivot!$BF$1:$CG$65000,$B869,AP$5)=1,1,IF(INDEX([1]Pivot!$B$1:$AB$65000,$B869,AP$5)="",2,0)),0)</f>
        <v>0</v>
      </c>
      <c r="AQ869" s="313">
        <f>IFERROR(IF(INDEX([1]Pivot!$BF$1:$CG$65000,$B869,AQ$5)=1,1,IF(INDEX([1]Pivot!$B$1:$AB$65000,$B869,AQ$5)="",2,0)),0)</f>
        <v>0</v>
      </c>
      <c r="AR869" s="313">
        <f>IFERROR(IF(INDEX([1]Pivot!$BF$1:$CG$65000,$B869,AR$5)=1,1,IF(INDEX([1]Pivot!$B$1:$AB$65000,$B869,AR$5)="",2,0)),0)</f>
        <v>0</v>
      </c>
      <c r="AS869" s="312"/>
      <c r="AT869" s="313">
        <f>IFERROR(IF(INDEX([1]Pivot!$BF$1:$CG$65000,$B869,AT$5)=1,1,IF(INDEX([1]Pivot!$B$1:$AB$65000,$B869,AT$5)="",2,0)),0)</f>
        <v>0</v>
      </c>
      <c r="AU869" s="313">
        <f>IFERROR(IF(INDEX([1]Pivot!$BF$1:$CG$65000,$B869,AU$5)=1,1,IF(INDEX([1]Pivot!$B$1:$AB$65000,$B869,AU$5)="",2,0)),0)</f>
        <v>0</v>
      </c>
      <c r="AV869" s="313">
        <f>IFERROR(IF(INDEX([1]Pivot!$BF$1:$CG$65000,$B869,AV$5)=1,1,IF(INDEX([1]Pivot!$B$1:$AB$65000,$B869,AV$5)="",2,0)),0)</f>
        <v>0</v>
      </c>
      <c r="AW869" s="313">
        <f>IFERROR(IF(INDEX([1]Pivot!$BF$1:$CG$65000,$B869,AW$5)=1,1,IF(INDEX([1]Pivot!$B$1:$AB$65000,$B869,AW$5)="",2,0)),0)</f>
        <v>0</v>
      </c>
      <c r="AX869" s="313">
        <f>IFERROR(IF(INDEX([1]Pivot!$BF$1:$CG$65000,$B869,AX$5)=1,1,IF(INDEX([1]Pivot!$B$1:$AB$65000,$B869,AX$5)="",2,0)),0)</f>
        <v>0</v>
      </c>
      <c r="AY869" s="313">
        <f>IFERROR(IF(INDEX([1]Pivot!$BF$1:$CG$65000,$B869,AY$5)=1,1,IF(INDEX([1]Pivot!$B$1:$AB$65000,$B869,AY$5)="",2,0)),0)</f>
        <v>0</v>
      </c>
      <c r="AZ869" s="313">
        <f>IFERROR(IF(INDEX([1]Pivot!$BF$1:$CG$65000,$B869,AZ$5)=1,1,IF(INDEX([1]Pivot!$B$1:$AB$65000,$B869,AZ$5)="",2,0)),0)</f>
        <v>0</v>
      </c>
      <c r="BA869" s="313">
        <f>IFERROR(IF(INDEX([1]Pivot!$BF$1:$CG$65000,$B869,BA$5)=1,1,IF(INDEX([1]Pivot!$B$1:$AB$65000,$B869,BA$5)="",2,0)),0)</f>
        <v>0</v>
      </c>
      <c r="BB869" s="313">
        <f>IFERROR(IF(INDEX([1]Pivot!$BF$1:$CG$65000,$B869,BB$5)=1,1,IF(INDEX([1]Pivot!$B$1:$AB$65000,$B869,BB$5)="",2,0)),0)</f>
        <v>0</v>
      </c>
      <c r="BC869" s="313">
        <f>IFERROR(IF(INDEX([1]Pivot!$BF$1:$CG$65000,$B869,BC$5)=1,1,IF(INDEX([1]Pivot!$B$1:$AB$65000,$B869,BC$5)="",2,0)),0)</f>
        <v>0</v>
      </c>
      <c r="BD869" s="313">
        <f>IFERROR(IF(INDEX([1]Pivot!$BF$1:$CG$65000,$B869,BD$5)=1,1,IF(INDEX([1]Pivot!$B$1:$AB$65000,$B869,BD$5)="",2,0)),0)</f>
        <v>0</v>
      </c>
    </row>
    <row r="870" spans="1:56" x14ac:dyDescent="0.25">
      <c r="A870" s="288">
        <f>'[2]Raw Milk Prices'!A870</f>
        <v>0</v>
      </c>
      <c r="B870" s="296" t="e">
        <f>MATCH(DATE(LEFT('[2]Raw Milk Prices'!$A870,4),RIGHT('[2]Raw Milk Prices'!$A870,2),1),[1]Pivot!$A$1:$A$65000,0)</f>
        <v>#VALUE!</v>
      </c>
      <c r="C870" s="194">
        <f>IFERROR(IF(INDEX([1]Pivot!$AD$1:$BE$65000,$B870,C$5)=1,1,IF(INDEX([1]Pivot!$B$1:$AB$65000,$B870,C$5)="",2,0)),0)</f>
        <v>0</v>
      </c>
      <c r="D870" s="194">
        <f>IFERROR(IF(INDEX([1]Pivot!$AD$1:$BE$65000,$B870,D$5)=1,1,IF(INDEX([1]Pivot!$B$1:$AB$65000,$B870,D$5)="",2,0)),0)</f>
        <v>0</v>
      </c>
      <c r="E870" s="194">
        <f>IFERROR(IF(INDEX([1]Pivot!$AD$1:$BE$65000,$B870,E$5)=1,1,IF(INDEX([1]Pivot!$B$1:$AB$65000,$B870,E$5)="",2,0)),0)</f>
        <v>0</v>
      </c>
      <c r="F870" s="194">
        <f>IFERROR(IF(INDEX([1]Pivot!$AD$1:$BE$65000,$B870,F$5)=1,1,IF(INDEX([1]Pivot!$B$1:$AB$65000,$B870,F$5)="",2,0)),0)</f>
        <v>0</v>
      </c>
      <c r="G870" s="194">
        <f>IFERROR(IF(INDEX([1]Pivot!$AD$1:$BE$65000,$B870,G$5)=1,1,IF(INDEX([1]Pivot!$B$1:$AB$65000,$B870,G$5)="",2,0)),0)</f>
        <v>0</v>
      </c>
      <c r="H870" s="194">
        <f>IFERROR(IF(INDEX([1]Pivot!$AD$1:$BE$65000,$B870,H$5)=1,1,IF(INDEX([1]Pivot!$B$1:$AB$65000,$B870,H$5)="",2,0)),0)</f>
        <v>0</v>
      </c>
      <c r="I870" s="194">
        <f>IFERROR(IF(INDEX([1]Pivot!$AD$1:$BE$65000,$B870,I$5)=1,1,IF(INDEX([1]Pivot!$B$1:$AB$65000,$B870,I$5)="",2,0)),0)</f>
        <v>0</v>
      </c>
      <c r="J870" s="194">
        <f>IFERROR(IF(INDEX([1]Pivot!$AD$1:$BE$65000,$B870,J$5)=1,1,IF(INDEX([1]Pivot!$B$1:$AB$65000,$B870,J$5)="",2,0)),0)</f>
        <v>0</v>
      </c>
      <c r="K870" s="194">
        <f>IFERROR(IF(INDEX([1]Pivot!$AD$1:$BE$65000,$B870,K$5)=1,1,IF(INDEX([1]Pivot!$B$1:$AB$65000,$B870,K$5)="",2,0)),0)</f>
        <v>0</v>
      </c>
      <c r="L870" s="194">
        <f>IFERROR(IF(INDEX([1]Pivot!$AD$1:$BE$65000,$B870,L$5)=1,1,IF(INDEX([1]Pivot!$B$1:$AB$65000,$B870,L$5)="",2,0)),0)</f>
        <v>0</v>
      </c>
      <c r="M870" s="194">
        <f>IFERROR(IF(INDEX([1]Pivot!$AD$1:$BE$65000,$B870,M$5)=1,1,IF(INDEX([1]Pivot!$B$1:$AB$65000,$B870,M$5)="",2,0)),0)</f>
        <v>0</v>
      </c>
      <c r="N870" s="194">
        <f>IFERROR(IF(INDEX([1]Pivot!$AD$1:$BE$65000,$B870,N$5)=1,1,IF(INDEX([1]Pivot!$B$1:$AB$65000,$B870,N$5)="",2,0)),0)</f>
        <v>0</v>
      </c>
      <c r="O870" s="194">
        <f>IFERROR(IF(INDEX([1]Pivot!$AD$1:$BE$65000,$B870,O$5)=1,1,IF(INDEX([1]Pivot!$B$1:$AB$65000,$B870,O$5)="",2,0)),0)</f>
        <v>0</v>
      </c>
      <c r="P870" s="194">
        <f>IFERROR(IF(INDEX([1]Pivot!$AD$1:$BE$65000,$B870,P$5)=1,1,IF(INDEX([1]Pivot!$B$1:$AB$65000,$B870,P$5)="",2,0)),0)</f>
        <v>0</v>
      </c>
      <c r="Q870" s="194">
        <f>IFERROR(IF(INDEX([1]Pivot!$AD$1:$BE$65000,$B870,Q$5)=1,1,IF(INDEX([1]Pivot!$B$1:$AB$65000,$B870,Q$5)="",2,0)),0)</f>
        <v>0</v>
      </c>
      <c r="R870" s="312"/>
      <c r="S870" s="194">
        <f>IFERROR(IF(INDEX([1]Pivot!$AD$1:$BE$65000,$B870,S$5)=1,1,IF(INDEX([1]Pivot!$B$1:$AB$65000,$B870,S$5)="",2,0)),0)</f>
        <v>0</v>
      </c>
      <c r="T870" s="194">
        <f>IFERROR(IF(INDEX([1]Pivot!$AD$1:$BE$65000,$B870,T$5)=1,1,IF(INDEX([1]Pivot!$B$1:$AB$65000,$B870,T$5)="",2,0)),0)</f>
        <v>0</v>
      </c>
      <c r="U870" s="194">
        <f>IFERROR(IF(INDEX([1]Pivot!$AD$1:$BE$65000,$B870,U$5)=1,1,IF(INDEX([1]Pivot!$B$1:$AB$65000,$B870,U$5)="",2,0)),0)</f>
        <v>0</v>
      </c>
      <c r="V870" s="194">
        <f>IFERROR(IF(INDEX([1]Pivot!$AD$1:$BE$65000,$B870,V$5)=1,1,IF(INDEX([1]Pivot!$B$1:$AB$65000,$B870,V$5)="",2,0)),0)</f>
        <v>0</v>
      </c>
      <c r="W870" s="194">
        <f>IFERROR(IF(INDEX([1]Pivot!$AD$1:$BE$65000,$B870,W$5)=1,1,IF(INDEX([1]Pivot!$B$1:$AB$65000,$B870,W$5)="",2,0)),0)</f>
        <v>0</v>
      </c>
      <c r="X870" s="194">
        <f>IFERROR(IF(INDEX([1]Pivot!$AD$1:$BE$65000,$B870,X$5)=1,1,IF(INDEX([1]Pivot!$B$1:$AB$65000,$B870,X$5)="",2,0)),0)</f>
        <v>0</v>
      </c>
      <c r="Y870" s="194">
        <f>IFERROR(IF(INDEX([1]Pivot!$AD$1:$BE$65000,$B870,Y$5)=1,1,IF(INDEX([1]Pivot!$B$1:$AB$65000,$B870,Y$5)="",2,0)),0)</f>
        <v>0</v>
      </c>
      <c r="Z870" s="194">
        <f>IFERROR(IF(INDEX([1]Pivot!$AD$1:$BE$65000,$B870,Z$5)=1,1,IF(INDEX([1]Pivot!$B$1:$AB$65000,$B870,Z$5)="",2,0)),0)</f>
        <v>0</v>
      </c>
      <c r="AA870" s="194">
        <f>IFERROR(IF(INDEX([1]Pivot!$AD$1:$BE$65000,$B870,AA$5)=1,1,IF(INDEX([1]Pivot!$B$1:$AB$65000,$B870,AA$5)="",2,0)),0)</f>
        <v>0</v>
      </c>
      <c r="AB870" s="194">
        <f>IFERROR(IF(INDEX([1]Pivot!$AD$1:$BE$65000,$B870,AB$5)=1,1,IF(INDEX([1]Pivot!$B$1:$AB$65000,$B870,AB$5)="",2,0)),0)</f>
        <v>0</v>
      </c>
      <c r="AC870" s="194">
        <f>IFERROR(IF(INDEX([1]Pivot!$AD$1:$BE$65000,$B870,AC$5)=1,1,IF(INDEX([1]Pivot!$B$1:$AB$65000,$B870,AC$5)="",2,0)),0)</f>
        <v>0</v>
      </c>
      <c r="AD870" s="313">
        <f>IFERROR(IF(INDEX([1]Pivot!$BF$1:$CG$65000,$B870,AD$5)=1,1,IF(INDEX([1]Pivot!$B$1:$AB$65000,$B870,AD$5)="",2,0)),0)</f>
        <v>0</v>
      </c>
      <c r="AE870" s="313">
        <f>IFERROR(IF(INDEX([1]Pivot!$BF$1:$CG$65000,$B870,AE$5)=1,1,IF(INDEX([1]Pivot!$B$1:$AB$65000,$B870,AE$5)="",2,0)),0)</f>
        <v>0</v>
      </c>
      <c r="AF870" s="313">
        <f>IFERROR(IF(INDEX([1]Pivot!$BF$1:$CG$65000,$B870,AF$5)=1,1,IF(INDEX([1]Pivot!$B$1:$AB$65000,$B870,AF$5)="",2,0)),0)</f>
        <v>0</v>
      </c>
      <c r="AG870" s="313">
        <f>IFERROR(IF(INDEX([1]Pivot!$BF$1:$CG$65000,$B870,AG$5)=1,1,IF(INDEX([1]Pivot!$B$1:$AB$65000,$B870,AG$5)="",2,0)),0)</f>
        <v>0</v>
      </c>
      <c r="AH870" s="313">
        <f>IFERROR(IF(INDEX([1]Pivot!$BF$1:$CG$65000,$B870,AH$5)=1,1,IF(INDEX([1]Pivot!$B$1:$AB$65000,$B870,AH$5)="",2,0)),0)</f>
        <v>0</v>
      </c>
      <c r="AI870" s="313">
        <f>IFERROR(IF(INDEX([1]Pivot!$BF$1:$CG$65000,$B870,AI$5)=1,1,IF(INDEX([1]Pivot!$B$1:$AB$65000,$B870,AI$5)="",2,0)),0)</f>
        <v>0</v>
      </c>
      <c r="AJ870" s="313">
        <f>IFERROR(IF(INDEX([1]Pivot!$BF$1:$CG$65000,$B870,AJ$5)=1,1,IF(INDEX([1]Pivot!$B$1:$AB$65000,$B870,AJ$5)="",2,0)),0)</f>
        <v>0</v>
      </c>
      <c r="AK870" s="313">
        <f>IFERROR(IF(INDEX([1]Pivot!$BF$1:$CG$65000,$B870,AK$5)=1,1,IF(INDEX([1]Pivot!$B$1:$AB$65000,$B870,AK$5)="",2,0)),0)</f>
        <v>0</v>
      </c>
      <c r="AL870" s="313">
        <f>IFERROR(IF(INDEX([1]Pivot!$BF$1:$CG$65000,$B870,AL$5)=1,1,IF(INDEX([1]Pivot!$B$1:$AB$65000,$B870,AL$5)="",2,0)),0)</f>
        <v>0</v>
      </c>
      <c r="AM870" s="313">
        <f>IFERROR(IF(INDEX([1]Pivot!$BF$1:$CG$65000,$B870,AM$5)=1,1,IF(INDEX([1]Pivot!$B$1:$AB$65000,$B870,AM$5)="",2,0)),0)</f>
        <v>0</v>
      </c>
      <c r="AN870" s="313">
        <f>IFERROR(IF(INDEX([1]Pivot!$BF$1:$CG$65000,$B870,AN$5)=1,1,IF(INDEX([1]Pivot!$B$1:$AB$65000,$B870,AN$5)="",2,0)),0)</f>
        <v>0</v>
      </c>
      <c r="AO870" s="313">
        <f>IFERROR(IF(INDEX([1]Pivot!$BF$1:$CG$65000,$B870,AO$5)=1,1,IF(INDEX([1]Pivot!$B$1:$AB$65000,$B870,AO$5)="",2,0)),0)</f>
        <v>0</v>
      </c>
      <c r="AP870" s="313">
        <f>IFERROR(IF(INDEX([1]Pivot!$BF$1:$CG$65000,$B870,AP$5)=1,1,IF(INDEX([1]Pivot!$B$1:$AB$65000,$B870,AP$5)="",2,0)),0)</f>
        <v>0</v>
      </c>
      <c r="AQ870" s="313">
        <f>IFERROR(IF(INDEX([1]Pivot!$BF$1:$CG$65000,$B870,AQ$5)=1,1,IF(INDEX([1]Pivot!$B$1:$AB$65000,$B870,AQ$5)="",2,0)),0)</f>
        <v>0</v>
      </c>
      <c r="AR870" s="313">
        <f>IFERROR(IF(INDEX([1]Pivot!$BF$1:$CG$65000,$B870,AR$5)=1,1,IF(INDEX([1]Pivot!$B$1:$AB$65000,$B870,AR$5)="",2,0)),0)</f>
        <v>0</v>
      </c>
      <c r="AS870" s="312"/>
      <c r="AT870" s="313">
        <f>IFERROR(IF(INDEX([1]Pivot!$BF$1:$CG$65000,$B870,AT$5)=1,1,IF(INDEX([1]Pivot!$B$1:$AB$65000,$B870,AT$5)="",2,0)),0)</f>
        <v>0</v>
      </c>
      <c r="AU870" s="313">
        <f>IFERROR(IF(INDEX([1]Pivot!$BF$1:$CG$65000,$B870,AU$5)=1,1,IF(INDEX([1]Pivot!$B$1:$AB$65000,$B870,AU$5)="",2,0)),0)</f>
        <v>0</v>
      </c>
      <c r="AV870" s="313">
        <f>IFERROR(IF(INDEX([1]Pivot!$BF$1:$CG$65000,$B870,AV$5)=1,1,IF(INDEX([1]Pivot!$B$1:$AB$65000,$B870,AV$5)="",2,0)),0)</f>
        <v>0</v>
      </c>
      <c r="AW870" s="313">
        <f>IFERROR(IF(INDEX([1]Pivot!$BF$1:$CG$65000,$B870,AW$5)=1,1,IF(INDEX([1]Pivot!$B$1:$AB$65000,$B870,AW$5)="",2,0)),0)</f>
        <v>0</v>
      </c>
      <c r="AX870" s="313">
        <f>IFERROR(IF(INDEX([1]Pivot!$BF$1:$CG$65000,$B870,AX$5)=1,1,IF(INDEX([1]Pivot!$B$1:$AB$65000,$B870,AX$5)="",2,0)),0)</f>
        <v>0</v>
      </c>
      <c r="AY870" s="313">
        <f>IFERROR(IF(INDEX([1]Pivot!$BF$1:$CG$65000,$B870,AY$5)=1,1,IF(INDEX([1]Pivot!$B$1:$AB$65000,$B870,AY$5)="",2,0)),0)</f>
        <v>0</v>
      </c>
      <c r="AZ870" s="313">
        <f>IFERROR(IF(INDEX([1]Pivot!$BF$1:$CG$65000,$B870,AZ$5)=1,1,IF(INDEX([1]Pivot!$B$1:$AB$65000,$B870,AZ$5)="",2,0)),0)</f>
        <v>0</v>
      </c>
      <c r="BA870" s="313">
        <f>IFERROR(IF(INDEX([1]Pivot!$BF$1:$CG$65000,$B870,BA$5)=1,1,IF(INDEX([1]Pivot!$B$1:$AB$65000,$B870,BA$5)="",2,0)),0)</f>
        <v>0</v>
      </c>
      <c r="BB870" s="313">
        <f>IFERROR(IF(INDEX([1]Pivot!$BF$1:$CG$65000,$B870,BB$5)=1,1,IF(INDEX([1]Pivot!$B$1:$AB$65000,$B870,BB$5)="",2,0)),0)</f>
        <v>0</v>
      </c>
      <c r="BC870" s="313">
        <f>IFERROR(IF(INDEX([1]Pivot!$BF$1:$CG$65000,$B870,BC$5)=1,1,IF(INDEX([1]Pivot!$B$1:$AB$65000,$B870,BC$5)="",2,0)),0)</f>
        <v>0</v>
      </c>
      <c r="BD870" s="313">
        <f>IFERROR(IF(INDEX([1]Pivot!$BF$1:$CG$65000,$B870,BD$5)=1,1,IF(INDEX([1]Pivot!$B$1:$AB$65000,$B870,BD$5)="",2,0)),0)</f>
        <v>0</v>
      </c>
    </row>
    <row r="871" spans="1:56" x14ac:dyDescent="0.25">
      <c r="A871" s="288">
        <f>'[2]Raw Milk Prices'!A871</f>
        <v>0</v>
      </c>
      <c r="B871" s="296" t="e">
        <f>MATCH(DATE(LEFT('[2]Raw Milk Prices'!$A871,4),RIGHT('[2]Raw Milk Prices'!$A871,2),1),[1]Pivot!$A$1:$A$65000,0)</f>
        <v>#VALUE!</v>
      </c>
      <c r="C871" s="194">
        <f>IFERROR(IF(INDEX([1]Pivot!$AD$1:$BE$65000,$B871,C$5)=1,1,IF(INDEX([1]Pivot!$B$1:$AB$65000,$B871,C$5)="",2,0)),0)</f>
        <v>0</v>
      </c>
      <c r="D871" s="194">
        <f>IFERROR(IF(INDEX([1]Pivot!$AD$1:$BE$65000,$B871,D$5)=1,1,IF(INDEX([1]Pivot!$B$1:$AB$65000,$B871,D$5)="",2,0)),0)</f>
        <v>0</v>
      </c>
      <c r="E871" s="194">
        <f>IFERROR(IF(INDEX([1]Pivot!$AD$1:$BE$65000,$B871,E$5)=1,1,IF(INDEX([1]Pivot!$B$1:$AB$65000,$B871,E$5)="",2,0)),0)</f>
        <v>0</v>
      </c>
      <c r="F871" s="194">
        <f>IFERROR(IF(INDEX([1]Pivot!$AD$1:$BE$65000,$B871,F$5)=1,1,IF(INDEX([1]Pivot!$B$1:$AB$65000,$B871,F$5)="",2,0)),0)</f>
        <v>0</v>
      </c>
      <c r="G871" s="194">
        <f>IFERROR(IF(INDEX([1]Pivot!$AD$1:$BE$65000,$B871,G$5)=1,1,IF(INDEX([1]Pivot!$B$1:$AB$65000,$B871,G$5)="",2,0)),0)</f>
        <v>0</v>
      </c>
      <c r="H871" s="194">
        <f>IFERROR(IF(INDEX([1]Pivot!$AD$1:$BE$65000,$B871,H$5)=1,1,IF(INDEX([1]Pivot!$B$1:$AB$65000,$B871,H$5)="",2,0)),0)</f>
        <v>0</v>
      </c>
      <c r="I871" s="194">
        <f>IFERROR(IF(INDEX([1]Pivot!$AD$1:$BE$65000,$B871,I$5)=1,1,IF(INDEX([1]Pivot!$B$1:$AB$65000,$B871,I$5)="",2,0)),0)</f>
        <v>0</v>
      </c>
      <c r="J871" s="194">
        <f>IFERROR(IF(INDEX([1]Pivot!$AD$1:$BE$65000,$B871,J$5)=1,1,IF(INDEX([1]Pivot!$B$1:$AB$65000,$B871,J$5)="",2,0)),0)</f>
        <v>0</v>
      </c>
      <c r="K871" s="194">
        <f>IFERROR(IF(INDEX([1]Pivot!$AD$1:$BE$65000,$B871,K$5)=1,1,IF(INDEX([1]Pivot!$B$1:$AB$65000,$B871,K$5)="",2,0)),0)</f>
        <v>0</v>
      </c>
      <c r="L871" s="194">
        <f>IFERROR(IF(INDEX([1]Pivot!$AD$1:$BE$65000,$B871,L$5)=1,1,IF(INDEX([1]Pivot!$B$1:$AB$65000,$B871,L$5)="",2,0)),0)</f>
        <v>0</v>
      </c>
      <c r="M871" s="194">
        <f>IFERROR(IF(INDEX([1]Pivot!$AD$1:$BE$65000,$B871,M$5)=1,1,IF(INDEX([1]Pivot!$B$1:$AB$65000,$B871,M$5)="",2,0)),0)</f>
        <v>0</v>
      </c>
      <c r="N871" s="194">
        <f>IFERROR(IF(INDEX([1]Pivot!$AD$1:$BE$65000,$B871,N$5)=1,1,IF(INDEX([1]Pivot!$B$1:$AB$65000,$B871,N$5)="",2,0)),0)</f>
        <v>0</v>
      </c>
      <c r="O871" s="194">
        <f>IFERROR(IF(INDEX([1]Pivot!$AD$1:$BE$65000,$B871,O$5)=1,1,IF(INDEX([1]Pivot!$B$1:$AB$65000,$B871,O$5)="",2,0)),0)</f>
        <v>0</v>
      </c>
      <c r="P871" s="194">
        <f>IFERROR(IF(INDEX([1]Pivot!$AD$1:$BE$65000,$B871,P$5)=1,1,IF(INDEX([1]Pivot!$B$1:$AB$65000,$B871,P$5)="",2,0)),0)</f>
        <v>0</v>
      </c>
      <c r="Q871" s="194">
        <f>IFERROR(IF(INDEX([1]Pivot!$AD$1:$BE$65000,$B871,Q$5)=1,1,IF(INDEX([1]Pivot!$B$1:$AB$65000,$B871,Q$5)="",2,0)),0)</f>
        <v>0</v>
      </c>
      <c r="R871" s="312"/>
      <c r="S871" s="194">
        <f>IFERROR(IF(INDEX([1]Pivot!$AD$1:$BE$65000,$B871,S$5)=1,1,IF(INDEX([1]Pivot!$B$1:$AB$65000,$B871,S$5)="",2,0)),0)</f>
        <v>0</v>
      </c>
      <c r="T871" s="194">
        <f>IFERROR(IF(INDEX([1]Pivot!$AD$1:$BE$65000,$B871,T$5)=1,1,IF(INDEX([1]Pivot!$B$1:$AB$65000,$B871,T$5)="",2,0)),0)</f>
        <v>0</v>
      </c>
      <c r="U871" s="194">
        <f>IFERROR(IF(INDEX([1]Pivot!$AD$1:$BE$65000,$B871,U$5)=1,1,IF(INDEX([1]Pivot!$B$1:$AB$65000,$B871,U$5)="",2,0)),0)</f>
        <v>0</v>
      </c>
      <c r="V871" s="194">
        <f>IFERROR(IF(INDEX([1]Pivot!$AD$1:$BE$65000,$B871,V$5)=1,1,IF(INDEX([1]Pivot!$B$1:$AB$65000,$B871,V$5)="",2,0)),0)</f>
        <v>0</v>
      </c>
      <c r="W871" s="194">
        <f>IFERROR(IF(INDEX([1]Pivot!$AD$1:$BE$65000,$B871,W$5)=1,1,IF(INDEX([1]Pivot!$B$1:$AB$65000,$B871,W$5)="",2,0)),0)</f>
        <v>0</v>
      </c>
      <c r="X871" s="194">
        <f>IFERROR(IF(INDEX([1]Pivot!$AD$1:$BE$65000,$B871,X$5)=1,1,IF(INDEX([1]Pivot!$B$1:$AB$65000,$B871,X$5)="",2,0)),0)</f>
        <v>0</v>
      </c>
      <c r="Y871" s="194">
        <f>IFERROR(IF(INDEX([1]Pivot!$AD$1:$BE$65000,$B871,Y$5)=1,1,IF(INDEX([1]Pivot!$B$1:$AB$65000,$B871,Y$5)="",2,0)),0)</f>
        <v>0</v>
      </c>
      <c r="Z871" s="194">
        <f>IFERROR(IF(INDEX([1]Pivot!$AD$1:$BE$65000,$B871,Z$5)=1,1,IF(INDEX([1]Pivot!$B$1:$AB$65000,$B871,Z$5)="",2,0)),0)</f>
        <v>0</v>
      </c>
      <c r="AA871" s="194">
        <f>IFERROR(IF(INDEX([1]Pivot!$AD$1:$BE$65000,$B871,AA$5)=1,1,IF(INDEX([1]Pivot!$B$1:$AB$65000,$B871,AA$5)="",2,0)),0)</f>
        <v>0</v>
      </c>
      <c r="AB871" s="194">
        <f>IFERROR(IF(INDEX([1]Pivot!$AD$1:$BE$65000,$B871,AB$5)=1,1,IF(INDEX([1]Pivot!$B$1:$AB$65000,$B871,AB$5)="",2,0)),0)</f>
        <v>0</v>
      </c>
      <c r="AC871" s="194">
        <f>IFERROR(IF(INDEX([1]Pivot!$AD$1:$BE$65000,$B871,AC$5)=1,1,IF(INDEX([1]Pivot!$B$1:$AB$65000,$B871,AC$5)="",2,0)),0)</f>
        <v>0</v>
      </c>
      <c r="AD871" s="313">
        <f>IFERROR(IF(INDEX([1]Pivot!$BF$1:$CG$65000,$B871,AD$5)=1,1,IF(INDEX([1]Pivot!$B$1:$AB$65000,$B871,AD$5)="",2,0)),0)</f>
        <v>0</v>
      </c>
      <c r="AE871" s="313">
        <f>IFERROR(IF(INDEX([1]Pivot!$BF$1:$CG$65000,$B871,AE$5)=1,1,IF(INDEX([1]Pivot!$B$1:$AB$65000,$B871,AE$5)="",2,0)),0)</f>
        <v>0</v>
      </c>
      <c r="AF871" s="313">
        <f>IFERROR(IF(INDEX([1]Pivot!$BF$1:$CG$65000,$B871,AF$5)=1,1,IF(INDEX([1]Pivot!$B$1:$AB$65000,$B871,AF$5)="",2,0)),0)</f>
        <v>0</v>
      </c>
      <c r="AG871" s="313">
        <f>IFERROR(IF(INDEX([1]Pivot!$BF$1:$CG$65000,$B871,AG$5)=1,1,IF(INDEX([1]Pivot!$B$1:$AB$65000,$B871,AG$5)="",2,0)),0)</f>
        <v>0</v>
      </c>
      <c r="AH871" s="313">
        <f>IFERROR(IF(INDEX([1]Pivot!$BF$1:$CG$65000,$B871,AH$5)=1,1,IF(INDEX([1]Pivot!$B$1:$AB$65000,$B871,AH$5)="",2,0)),0)</f>
        <v>0</v>
      </c>
      <c r="AI871" s="313">
        <f>IFERROR(IF(INDEX([1]Pivot!$BF$1:$CG$65000,$B871,AI$5)=1,1,IF(INDEX([1]Pivot!$B$1:$AB$65000,$B871,AI$5)="",2,0)),0)</f>
        <v>0</v>
      </c>
      <c r="AJ871" s="313">
        <f>IFERROR(IF(INDEX([1]Pivot!$BF$1:$CG$65000,$B871,AJ$5)=1,1,IF(INDEX([1]Pivot!$B$1:$AB$65000,$B871,AJ$5)="",2,0)),0)</f>
        <v>0</v>
      </c>
      <c r="AK871" s="313">
        <f>IFERROR(IF(INDEX([1]Pivot!$BF$1:$CG$65000,$B871,AK$5)=1,1,IF(INDEX([1]Pivot!$B$1:$AB$65000,$B871,AK$5)="",2,0)),0)</f>
        <v>0</v>
      </c>
      <c r="AL871" s="313">
        <f>IFERROR(IF(INDEX([1]Pivot!$BF$1:$CG$65000,$B871,AL$5)=1,1,IF(INDEX([1]Pivot!$B$1:$AB$65000,$B871,AL$5)="",2,0)),0)</f>
        <v>0</v>
      </c>
      <c r="AM871" s="313">
        <f>IFERROR(IF(INDEX([1]Pivot!$BF$1:$CG$65000,$B871,AM$5)=1,1,IF(INDEX([1]Pivot!$B$1:$AB$65000,$B871,AM$5)="",2,0)),0)</f>
        <v>0</v>
      </c>
      <c r="AN871" s="313">
        <f>IFERROR(IF(INDEX([1]Pivot!$BF$1:$CG$65000,$B871,AN$5)=1,1,IF(INDEX([1]Pivot!$B$1:$AB$65000,$B871,AN$5)="",2,0)),0)</f>
        <v>0</v>
      </c>
      <c r="AO871" s="313">
        <f>IFERROR(IF(INDEX([1]Pivot!$BF$1:$CG$65000,$B871,AO$5)=1,1,IF(INDEX([1]Pivot!$B$1:$AB$65000,$B871,AO$5)="",2,0)),0)</f>
        <v>0</v>
      </c>
      <c r="AP871" s="313">
        <f>IFERROR(IF(INDEX([1]Pivot!$BF$1:$CG$65000,$B871,AP$5)=1,1,IF(INDEX([1]Pivot!$B$1:$AB$65000,$B871,AP$5)="",2,0)),0)</f>
        <v>0</v>
      </c>
      <c r="AQ871" s="313">
        <f>IFERROR(IF(INDEX([1]Pivot!$BF$1:$CG$65000,$B871,AQ$5)=1,1,IF(INDEX([1]Pivot!$B$1:$AB$65000,$B871,AQ$5)="",2,0)),0)</f>
        <v>0</v>
      </c>
      <c r="AR871" s="313">
        <f>IFERROR(IF(INDEX([1]Pivot!$BF$1:$CG$65000,$B871,AR$5)=1,1,IF(INDEX([1]Pivot!$B$1:$AB$65000,$B871,AR$5)="",2,0)),0)</f>
        <v>0</v>
      </c>
      <c r="AS871" s="312"/>
      <c r="AT871" s="313">
        <f>IFERROR(IF(INDEX([1]Pivot!$BF$1:$CG$65000,$B871,AT$5)=1,1,IF(INDEX([1]Pivot!$B$1:$AB$65000,$B871,AT$5)="",2,0)),0)</f>
        <v>0</v>
      </c>
      <c r="AU871" s="313">
        <f>IFERROR(IF(INDEX([1]Pivot!$BF$1:$CG$65000,$B871,AU$5)=1,1,IF(INDEX([1]Pivot!$B$1:$AB$65000,$B871,AU$5)="",2,0)),0)</f>
        <v>0</v>
      </c>
      <c r="AV871" s="313">
        <f>IFERROR(IF(INDEX([1]Pivot!$BF$1:$CG$65000,$B871,AV$5)=1,1,IF(INDEX([1]Pivot!$B$1:$AB$65000,$B871,AV$5)="",2,0)),0)</f>
        <v>0</v>
      </c>
      <c r="AW871" s="313">
        <f>IFERROR(IF(INDEX([1]Pivot!$BF$1:$CG$65000,$B871,AW$5)=1,1,IF(INDEX([1]Pivot!$B$1:$AB$65000,$B871,AW$5)="",2,0)),0)</f>
        <v>0</v>
      </c>
      <c r="AX871" s="313">
        <f>IFERROR(IF(INDEX([1]Pivot!$BF$1:$CG$65000,$B871,AX$5)=1,1,IF(INDEX([1]Pivot!$B$1:$AB$65000,$B871,AX$5)="",2,0)),0)</f>
        <v>0</v>
      </c>
      <c r="AY871" s="313">
        <f>IFERROR(IF(INDEX([1]Pivot!$BF$1:$CG$65000,$B871,AY$5)=1,1,IF(INDEX([1]Pivot!$B$1:$AB$65000,$B871,AY$5)="",2,0)),0)</f>
        <v>0</v>
      </c>
      <c r="AZ871" s="313">
        <f>IFERROR(IF(INDEX([1]Pivot!$BF$1:$CG$65000,$B871,AZ$5)=1,1,IF(INDEX([1]Pivot!$B$1:$AB$65000,$B871,AZ$5)="",2,0)),0)</f>
        <v>0</v>
      </c>
      <c r="BA871" s="313">
        <f>IFERROR(IF(INDEX([1]Pivot!$BF$1:$CG$65000,$B871,BA$5)=1,1,IF(INDEX([1]Pivot!$B$1:$AB$65000,$B871,BA$5)="",2,0)),0)</f>
        <v>0</v>
      </c>
      <c r="BB871" s="313">
        <f>IFERROR(IF(INDEX([1]Pivot!$BF$1:$CG$65000,$B871,BB$5)=1,1,IF(INDEX([1]Pivot!$B$1:$AB$65000,$B871,BB$5)="",2,0)),0)</f>
        <v>0</v>
      </c>
      <c r="BC871" s="313">
        <f>IFERROR(IF(INDEX([1]Pivot!$BF$1:$CG$65000,$B871,BC$5)=1,1,IF(INDEX([1]Pivot!$B$1:$AB$65000,$B871,BC$5)="",2,0)),0)</f>
        <v>0</v>
      </c>
      <c r="BD871" s="313">
        <f>IFERROR(IF(INDEX([1]Pivot!$BF$1:$CG$65000,$B871,BD$5)=1,1,IF(INDEX([1]Pivot!$B$1:$AB$65000,$B871,BD$5)="",2,0)),0)</f>
        <v>0</v>
      </c>
    </row>
    <row r="872" spans="1:56" x14ac:dyDescent="0.25">
      <c r="A872" s="288">
        <f>'[2]Raw Milk Prices'!A872</f>
        <v>0</v>
      </c>
      <c r="B872" s="296" t="e">
        <f>MATCH(DATE(LEFT('[2]Raw Milk Prices'!$A872,4),RIGHT('[2]Raw Milk Prices'!$A872,2),1),[1]Pivot!$A$1:$A$65000,0)</f>
        <v>#VALUE!</v>
      </c>
      <c r="C872" s="194">
        <f>IFERROR(IF(INDEX([1]Pivot!$AD$1:$BE$65000,$B872,C$5)=1,1,IF(INDEX([1]Pivot!$B$1:$AB$65000,$B872,C$5)="",2,0)),0)</f>
        <v>0</v>
      </c>
      <c r="D872" s="194">
        <f>IFERROR(IF(INDEX([1]Pivot!$AD$1:$BE$65000,$B872,D$5)=1,1,IF(INDEX([1]Pivot!$B$1:$AB$65000,$B872,D$5)="",2,0)),0)</f>
        <v>0</v>
      </c>
      <c r="E872" s="194">
        <f>IFERROR(IF(INDEX([1]Pivot!$AD$1:$BE$65000,$B872,E$5)=1,1,IF(INDEX([1]Pivot!$B$1:$AB$65000,$B872,E$5)="",2,0)),0)</f>
        <v>0</v>
      </c>
      <c r="F872" s="194">
        <f>IFERROR(IF(INDEX([1]Pivot!$AD$1:$BE$65000,$B872,F$5)=1,1,IF(INDEX([1]Pivot!$B$1:$AB$65000,$B872,F$5)="",2,0)),0)</f>
        <v>0</v>
      </c>
      <c r="G872" s="194">
        <f>IFERROR(IF(INDEX([1]Pivot!$AD$1:$BE$65000,$B872,G$5)=1,1,IF(INDEX([1]Pivot!$B$1:$AB$65000,$B872,G$5)="",2,0)),0)</f>
        <v>0</v>
      </c>
      <c r="H872" s="194">
        <f>IFERROR(IF(INDEX([1]Pivot!$AD$1:$BE$65000,$B872,H$5)=1,1,IF(INDEX([1]Pivot!$B$1:$AB$65000,$B872,H$5)="",2,0)),0)</f>
        <v>0</v>
      </c>
      <c r="I872" s="194">
        <f>IFERROR(IF(INDEX([1]Pivot!$AD$1:$BE$65000,$B872,I$5)=1,1,IF(INDEX([1]Pivot!$B$1:$AB$65000,$B872,I$5)="",2,0)),0)</f>
        <v>0</v>
      </c>
      <c r="J872" s="194">
        <f>IFERROR(IF(INDEX([1]Pivot!$AD$1:$BE$65000,$B872,J$5)=1,1,IF(INDEX([1]Pivot!$B$1:$AB$65000,$B872,J$5)="",2,0)),0)</f>
        <v>0</v>
      </c>
      <c r="K872" s="194">
        <f>IFERROR(IF(INDEX([1]Pivot!$AD$1:$BE$65000,$B872,K$5)=1,1,IF(INDEX([1]Pivot!$B$1:$AB$65000,$B872,K$5)="",2,0)),0)</f>
        <v>0</v>
      </c>
      <c r="L872" s="194">
        <f>IFERROR(IF(INDEX([1]Pivot!$AD$1:$BE$65000,$B872,L$5)=1,1,IF(INDEX([1]Pivot!$B$1:$AB$65000,$B872,L$5)="",2,0)),0)</f>
        <v>0</v>
      </c>
      <c r="M872" s="194">
        <f>IFERROR(IF(INDEX([1]Pivot!$AD$1:$BE$65000,$B872,M$5)=1,1,IF(INDEX([1]Pivot!$B$1:$AB$65000,$B872,M$5)="",2,0)),0)</f>
        <v>0</v>
      </c>
      <c r="N872" s="194">
        <f>IFERROR(IF(INDEX([1]Pivot!$AD$1:$BE$65000,$B872,N$5)=1,1,IF(INDEX([1]Pivot!$B$1:$AB$65000,$B872,N$5)="",2,0)),0)</f>
        <v>0</v>
      </c>
      <c r="O872" s="194">
        <f>IFERROR(IF(INDEX([1]Pivot!$AD$1:$BE$65000,$B872,O$5)=1,1,IF(INDEX([1]Pivot!$B$1:$AB$65000,$B872,O$5)="",2,0)),0)</f>
        <v>0</v>
      </c>
      <c r="P872" s="194">
        <f>IFERROR(IF(INDEX([1]Pivot!$AD$1:$BE$65000,$B872,P$5)=1,1,IF(INDEX([1]Pivot!$B$1:$AB$65000,$B872,P$5)="",2,0)),0)</f>
        <v>0</v>
      </c>
      <c r="Q872" s="194">
        <f>IFERROR(IF(INDEX([1]Pivot!$AD$1:$BE$65000,$B872,Q$5)=1,1,IF(INDEX([1]Pivot!$B$1:$AB$65000,$B872,Q$5)="",2,0)),0)</f>
        <v>0</v>
      </c>
      <c r="R872" s="312"/>
      <c r="S872" s="194">
        <f>IFERROR(IF(INDEX([1]Pivot!$AD$1:$BE$65000,$B872,S$5)=1,1,IF(INDEX([1]Pivot!$B$1:$AB$65000,$B872,S$5)="",2,0)),0)</f>
        <v>0</v>
      </c>
      <c r="T872" s="194">
        <f>IFERROR(IF(INDEX([1]Pivot!$AD$1:$BE$65000,$B872,T$5)=1,1,IF(INDEX([1]Pivot!$B$1:$AB$65000,$B872,T$5)="",2,0)),0)</f>
        <v>0</v>
      </c>
      <c r="U872" s="194">
        <f>IFERROR(IF(INDEX([1]Pivot!$AD$1:$BE$65000,$B872,U$5)=1,1,IF(INDEX([1]Pivot!$B$1:$AB$65000,$B872,U$5)="",2,0)),0)</f>
        <v>0</v>
      </c>
      <c r="V872" s="194">
        <f>IFERROR(IF(INDEX([1]Pivot!$AD$1:$BE$65000,$B872,V$5)=1,1,IF(INDEX([1]Pivot!$B$1:$AB$65000,$B872,V$5)="",2,0)),0)</f>
        <v>0</v>
      </c>
      <c r="W872" s="194">
        <f>IFERROR(IF(INDEX([1]Pivot!$AD$1:$BE$65000,$B872,W$5)=1,1,IF(INDEX([1]Pivot!$B$1:$AB$65000,$B872,W$5)="",2,0)),0)</f>
        <v>0</v>
      </c>
      <c r="X872" s="194">
        <f>IFERROR(IF(INDEX([1]Pivot!$AD$1:$BE$65000,$B872,X$5)=1,1,IF(INDEX([1]Pivot!$B$1:$AB$65000,$B872,X$5)="",2,0)),0)</f>
        <v>0</v>
      </c>
      <c r="Y872" s="194">
        <f>IFERROR(IF(INDEX([1]Pivot!$AD$1:$BE$65000,$B872,Y$5)=1,1,IF(INDEX([1]Pivot!$B$1:$AB$65000,$B872,Y$5)="",2,0)),0)</f>
        <v>0</v>
      </c>
      <c r="Z872" s="194">
        <f>IFERROR(IF(INDEX([1]Pivot!$AD$1:$BE$65000,$B872,Z$5)=1,1,IF(INDEX([1]Pivot!$B$1:$AB$65000,$B872,Z$5)="",2,0)),0)</f>
        <v>0</v>
      </c>
      <c r="AA872" s="194">
        <f>IFERROR(IF(INDEX([1]Pivot!$AD$1:$BE$65000,$B872,AA$5)=1,1,IF(INDEX([1]Pivot!$B$1:$AB$65000,$B872,AA$5)="",2,0)),0)</f>
        <v>0</v>
      </c>
      <c r="AB872" s="194">
        <f>IFERROR(IF(INDEX([1]Pivot!$AD$1:$BE$65000,$B872,AB$5)=1,1,IF(INDEX([1]Pivot!$B$1:$AB$65000,$B872,AB$5)="",2,0)),0)</f>
        <v>0</v>
      </c>
      <c r="AC872" s="194">
        <f>IFERROR(IF(INDEX([1]Pivot!$AD$1:$BE$65000,$B872,AC$5)=1,1,IF(INDEX([1]Pivot!$B$1:$AB$65000,$B872,AC$5)="",2,0)),0)</f>
        <v>0</v>
      </c>
      <c r="AD872" s="313">
        <f>IFERROR(IF(INDEX([1]Pivot!$BF$1:$CG$65000,$B872,AD$5)=1,1,IF(INDEX([1]Pivot!$B$1:$AB$65000,$B872,AD$5)="",2,0)),0)</f>
        <v>0</v>
      </c>
      <c r="AE872" s="313">
        <f>IFERROR(IF(INDEX([1]Pivot!$BF$1:$CG$65000,$B872,AE$5)=1,1,IF(INDEX([1]Pivot!$B$1:$AB$65000,$B872,AE$5)="",2,0)),0)</f>
        <v>0</v>
      </c>
      <c r="AF872" s="313">
        <f>IFERROR(IF(INDEX([1]Pivot!$BF$1:$CG$65000,$B872,AF$5)=1,1,IF(INDEX([1]Pivot!$B$1:$AB$65000,$B872,AF$5)="",2,0)),0)</f>
        <v>0</v>
      </c>
      <c r="AG872" s="313">
        <f>IFERROR(IF(INDEX([1]Pivot!$BF$1:$CG$65000,$B872,AG$5)=1,1,IF(INDEX([1]Pivot!$B$1:$AB$65000,$B872,AG$5)="",2,0)),0)</f>
        <v>0</v>
      </c>
      <c r="AH872" s="313">
        <f>IFERROR(IF(INDEX([1]Pivot!$BF$1:$CG$65000,$B872,AH$5)=1,1,IF(INDEX([1]Pivot!$B$1:$AB$65000,$B872,AH$5)="",2,0)),0)</f>
        <v>0</v>
      </c>
      <c r="AI872" s="313">
        <f>IFERROR(IF(INDEX([1]Pivot!$BF$1:$CG$65000,$B872,AI$5)=1,1,IF(INDEX([1]Pivot!$B$1:$AB$65000,$B872,AI$5)="",2,0)),0)</f>
        <v>0</v>
      </c>
      <c r="AJ872" s="313">
        <f>IFERROR(IF(INDEX([1]Pivot!$BF$1:$CG$65000,$B872,AJ$5)=1,1,IF(INDEX([1]Pivot!$B$1:$AB$65000,$B872,AJ$5)="",2,0)),0)</f>
        <v>0</v>
      </c>
      <c r="AK872" s="313">
        <f>IFERROR(IF(INDEX([1]Pivot!$BF$1:$CG$65000,$B872,AK$5)=1,1,IF(INDEX([1]Pivot!$B$1:$AB$65000,$B872,AK$5)="",2,0)),0)</f>
        <v>0</v>
      </c>
      <c r="AL872" s="313">
        <f>IFERROR(IF(INDEX([1]Pivot!$BF$1:$CG$65000,$B872,AL$5)=1,1,IF(INDEX([1]Pivot!$B$1:$AB$65000,$B872,AL$5)="",2,0)),0)</f>
        <v>0</v>
      </c>
      <c r="AM872" s="313">
        <f>IFERROR(IF(INDEX([1]Pivot!$BF$1:$CG$65000,$B872,AM$5)=1,1,IF(INDEX([1]Pivot!$B$1:$AB$65000,$B872,AM$5)="",2,0)),0)</f>
        <v>0</v>
      </c>
      <c r="AN872" s="313">
        <f>IFERROR(IF(INDEX([1]Pivot!$BF$1:$CG$65000,$B872,AN$5)=1,1,IF(INDEX([1]Pivot!$B$1:$AB$65000,$B872,AN$5)="",2,0)),0)</f>
        <v>0</v>
      </c>
      <c r="AO872" s="313">
        <f>IFERROR(IF(INDEX([1]Pivot!$BF$1:$CG$65000,$B872,AO$5)=1,1,IF(INDEX([1]Pivot!$B$1:$AB$65000,$B872,AO$5)="",2,0)),0)</f>
        <v>0</v>
      </c>
      <c r="AP872" s="313">
        <f>IFERROR(IF(INDEX([1]Pivot!$BF$1:$CG$65000,$B872,AP$5)=1,1,IF(INDEX([1]Pivot!$B$1:$AB$65000,$B872,AP$5)="",2,0)),0)</f>
        <v>0</v>
      </c>
      <c r="AQ872" s="313">
        <f>IFERROR(IF(INDEX([1]Pivot!$BF$1:$CG$65000,$B872,AQ$5)=1,1,IF(INDEX([1]Pivot!$B$1:$AB$65000,$B872,AQ$5)="",2,0)),0)</f>
        <v>0</v>
      </c>
      <c r="AR872" s="313">
        <f>IFERROR(IF(INDEX([1]Pivot!$BF$1:$CG$65000,$B872,AR$5)=1,1,IF(INDEX([1]Pivot!$B$1:$AB$65000,$B872,AR$5)="",2,0)),0)</f>
        <v>0</v>
      </c>
      <c r="AS872" s="312"/>
      <c r="AT872" s="313">
        <f>IFERROR(IF(INDEX([1]Pivot!$BF$1:$CG$65000,$B872,AT$5)=1,1,IF(INDEX([1]Pivot!$B$1:$AB$65000,$B872,AT$5)="",2,0)),0)</f>
        <v>0</v>
      </c>
      <c r="AU872" s="313">
        <f>IFERROR(IF(INDEX([1]Pivot!$BF$1:$CG$65000,$B872,AU$5)=1,1,IF(INDEX([1]Pivot!$B$1:$AB$65000,$B872,AU$5)="",2,0)),0)</f>
        <v>0</v>
      </c>
      <c r="AV872" s="313">
        <f>IFERROR(IF(INDEX([1]Pivot!$BF$1:$CG$65000,$B872,AV$5)=1,1,IF(INDEX([1]Pivot!$B$1:$AB$65000,$B872,AV$5)="",2,0)),0)</f>
        <v>0</v>
      </c>
      <c r="AW872" s="313">
        <f>IFERROR(IF(INDEX([1]Pivot!$BF$1:$CG$65000,$B872,AW$5)=1,1,IF(INDEX([1]Pivot!$B$1:$AB$65000,$B872,AW$5)="",2,0)),0)</f>
        <v>0</v>
      </c>
      <c r="AX872" s="313">
        <f>IFERROR(IF(INDEX([1]Pivot!$BF$1:$CG$65000,$B872,AX$5)=1,1,IF(INDEX([1]Pivot!$B$1:$AB$65000,$B872,AX$5)="",2,0)),0)</f>
        <v>0</v>
      </c>
      <c r="AY872" s="313">
        <f>IFERROR(IF(INDEX([1]Pivot!$BF$1:$CG$65000,$B872,AY$5)=1,1,IF(INDEX([1]Pivot!$B$1:$AB$65000,$B872,AY$5)="",2,0)),0)</f>
        <v>0</v>
      </c>
      <c r="AZ872" s="313">
        <f>IFERROR(IF(INDEX([1]Pivot!$BF$1:$CG$65000,$B872,AZ$5)=1,1,IF(INDEX([1]Pivot!$B$1:$AB$65000,$B872,AZ$5)="",2,0)),0)</f>
        <v>0</v>
      </c>
      <c r="BA872" s="313">
        <f>IFERROR(IF(INDEX([1]Pivot!$BF$1:$CG$65000,$B872,BA$5)=1,1,IF(INDEX([1]Pivot!$B$1:$AB$65000,$B872,BA$5)="",2,0)),0)</f>
        <v>0</v>
      </c>
      <c r="BB872" s="313">
        <f>IFERROR(IF(INDEX([1]Pivot!$BF$1:$CG$65000,$B872,BB$5)=1,1,IF(INDEX([1]Pivot!$B$1:$AB$65000,$B872,BB$5)="",2,0)),0)</f>
        <v>0</v>
      </c>
      <c r="BC872" s="313">
        <f>IFERROR(IF(INDEX([1]Pivot!$BF$1:$CG$65000,$B872,BC$5)=1,1,IF(INDEX([1]Pivot!$B$1:$AB$65000,$B872,BC$5)="",2,0)),0)</f>
        <v>0</v>
      </c>
      <c r="BD872" s="313">
        <f>IFERROR(IF(INDEX([1]Pivot!$BF$1:$CG$65000,$B872,BD$5)=1,1,IF(INDEX([1]Pivot!$B$1:$AB$65000,$B872,BD$5)="",2,0)),0)</f>
        <v>0</v>
      </c>
    </row>
    <row r="873" spans="1:56" x14ac:dyDescent="0.25">
      <c r="A873" s="288">
        <f>'[2]Raw Milk Prices'!A873</f>
        <v>0</v>
      </c>
      <c r="B873" s="296" t="e">
        <f>MATCH(DATE(LEFT('[2]Raw Milk Prices'!$A873,4),RIGHT('[2]Raw Milk Prices'!$A873,2),1),[1]Pivot!$A$1:$A$65000,0)</f>
        <v>#VALUE!</v>
      </c>
      <c r="C873" s="194">
        <f>IFERROR(IF(INDEX([1]Pivot!$AD$1:$BE$65000,$B873,C$5)=1,1,IF(INDEX([1]Pivot!$B$1:$AB$65000,$B873,C$5)="",2,0)),0)</f>
        <v>0</v>
      </c>
      <c r="D873" s="194">
        <f>IFERROR(IF(INDEX([1]Pivot!$AD$1:$BE$65000,$B873,D$5)=1,1,IF(INDEX([1]Pivot!$B$1:$AB$65000,$B873,D$5)="",2,0)),0)</f>
        <v>0</v>
      </c>
      <c r="E873" s="194">
        <f>IFERROR(IF(INDEX([1]Pivot!$AD$1:$BE$65000,$B873,E$5)=1,1,IF(INDEX([1]Pivot!$B$1:$AB$65000,$B873,E$5)="",2,0)),0)</f>
        <v>0</v>
      </c>
      <c r="F873" s="194">
        <f>IFERROR(IF(INDEX([1]Pivot!$AD$1:$BE$65000,$B873,F$5)=1,1,IF(INDEX([1]Pivot!$B$1:$AB$65000,$B873,F$5)="",2,0)),0)</f>
        <v>0</v>
      </c>
      <c r="G873" s="194">
        <f>IFERROR(IF(INDEX([1]Pivot!$AD$1:$BE$65000,$B873,G$5)=1,1,IF(INDEX([1]Pivot!$B$1:$AB$65000,$B873,G$5)="",2,0)),0)</f>
        <v>0</v>
      </c>
      <c r="H873" s="194">
        <f>IFERROR(IF(INDEX([1]Pivot!$AD$1:$BE$65000,$B873,H$5)=1,1,IF(INDEX([1]Pivot!$B$1:$AB$65000,$B873,H$5)="",2,0)),0)</f>
        <v>0</v>
      </c>
      <c r="I873" s="194">
        <f>IFERROR(IF(INDEX([1]Pivot!$AD$1:$BE$65000,$B873,I$5)=1,1,IF(INDEX([1]Pivot!$B$1:$AB$65000,$B873,I$5)="",2,0)),0)</f>
        <v>0</v>
      </c>
      <c r="J873" s="194">
        <f>IFERROR(IF(INDEX([1]Pivot!$AD$1:$BE$65000,$B873,J$5)=1,1,IF(INDEX([1]Pivot!$B$1:$AB$65000,$B873,J$5)="",2,0)),0)</f>
        <v>0</v>
      </c>
      <c r="K873" s="194">
        <f>IFERROR(IF(INDEX([1]Pivot!$AD$1:$BE$65000,$B873,K$5)=1,1,IF(INDEX([1]Pivot!$B$1:$AB$65000,$B873,K$5)="",2,0)),0)</f>
        <v>0</v>
      </c>
      <c r="L873" s="194">
        <f>IFERROR(IF(INDEX([1]Pivot!$AD$1:$BE$65000,$B873,L$5)=1,1,IF(INDEX([1]Pivot!$B$1:$AB$65000,$B873,L$5)="",2,0)),0)</f>
        <v>0</v>
      </c>
      <c r="M873" s="194">
        <f>IFERROR(IF(INDEX([1]Pivot!$AD$1:$BE$65000,$B873,M$5)=1,1,IF(INDEX([1]Pivot!$B$1:$AB$65000,$B873,M$5)="",2,0)),0)</f>
        <v>0</v>
      </c>
      <c r="N873" s="194">
        <f>IFERROR(IF(INDEX([1]Pivot!$AD$1:$BE$65000,$B873,N$5)=1,1,IF(INDEX([1]Pivot!$B$1:$AB$65000,$B873,N$5)="",2,0)),0)</f>
        <v>0</v>
      </c>
      <c r="O873" s="194">
        <f>IFERROR(IF(INDEX([1]Pivot!$AD$1:$BE$65000,$B873,O$5)=1,1,IF(INDEX([1]Pivot!$B$1:$AB$65000,$B873,O$5)="",2,0)),0)</f>
        <v>0</v>
      </c>
      <c r="P873" s="194">
        <f>IFERROR(IF(INDEX([1]Pivot!$AD$1:$BE$65000,$B873,P$5)=1,1,IF(INDEX([1]Pivot!$B$1:$AB$65000,$B873,P$5)="",2,0)),0)</f>
        <v>0</v>
      </c>
      <c r="Q873" s="194">
        <f>IFERROR(IF(INDEX([1]Pivot!$AD$1:$BE$65000,$B873,Q$5)=1,1,IF(INDEX([1]Pivot!$B$1:$AB$65000,$B873,Q$5)="",2,0)),0)</f>
        <v>0</v>
      </c>
      <c r="R873" s="312"/>
      <c r="S873" s="194">
        <f>IFERROR(IF(INDEX([1]Pivot!$AD$1:$BE$65000,$B873,S$5)=1,1,IF(INDEX([1]Pivot!$B$1:$AB$65000,$B873,S$5)="",2,0)),0)</f>
        <v>0</v>
      </c>
      <c r="T873" s="194">
        <f>IFERROR(IF(INDEX([1]Pivot!$AD$1:$BE$65000,$B873,T$5)=1,1,IF(INDEX([1]Pivot!$B$1:$AB$65000,$B873,T$5)="",2,0)),0)</f>
        <v>0</v>
      </c>
      <c r="U873" s="194">
        <f>IFERROR(IF(INDEX([1]Pivot!$AD$1:$BE$65000,$B873,U$5)=1,1,IF(INDEX([1]Pivot!$B$1:$AB$65000,$B873,U$5)="",2,0)),0)</f>
        <v>0</v>
      </c>
      <c r="V873" s="194">
        <f>IFERROR(IF(INDEX([1]Pivot!$AD$1:$BE$65000,$B873,V$5)=1,1,IF(INDEX([1]Pivot!$B$1:$AB$65000,$B873,V$5)="",2,0)),0)</f>
        <v>0</v>
      </c>
      <c r="W873" s="194">
        <f>IFERROR(IF(INDEX([1]Pivot!$AD$1:$BE$65000,$B873,W$5)=1,1,IF(INDEX([1]Pivot!$B$1:$AB$65000,$B873,W$5)="",2,0)),0)</f>
        <v>0</v>
      </c>
      <c r="X873" s="194">
        <f>IFERROR(IF(INDEX([1]Pivot!$AD$1:$BE$65000,$B873,X$5)=1,1,IF(INDEX([1]Pivot!$B$1:$AB$65000,$B873,X$5)="",2,0)),0)</f>
        <v>0</v>
      </c>
      <c r="Y873" s="194">
        <f>IFERROR(IF(INDEX([1]Pivot!$AD$1:$BE$65000,$B873,Y$5)=1,1,IF(INDEX([1]Pivot!$B$1:$AB$65000,$B873,Y$5)="",2,0)),0)</f>
        <v>0</v>
      </c>
      <c r="Z873" s="194">
        <f>IFERROR(IF(INDEX([1]Pivot!$AD$1:$BE$65000,$B873,Z$5)=1,1,IF(INDEX([1]Pivot!$B$1:$AB$65000,$B873,Z$5)="",2,0)),0)</f>
        <v>0</v>
      </c>
      <c r="AA873" s="194">
        <f>IFERROR(IF(INDEX([1]Pivot!$AD$1:$BE$65000,$B873,AA$5)=1,1,IF(INDEX([1]Pivot!$B$1:$AB$65000,$B873,AA$5)="",2,0)),0)</f>
        <v>0</v>
      </c>
      <c r="AB873" s="194">
        <f>IFERROR(IF(INDEX([1]Pivot!$AD$1:$BE$65000,$B873,AB$5)=1,1,IF(INDEX([1]Pivot!$B$1:$AB$65000,$B873,AB$5)="",2,0)),0)</f>
        <v>0</v>
      </c>
      <c r="AC873" s="194">
        <f>IFERROR(IF(INDEX([1]Pivot!$AD$1:$BE$65000,$B873,AC$5)=1,1,IF(INDEX([1]Pivot!$B$1:$AB$65000,$B873,AC$5)="",2,0)),0)</f>
        <v>0</v>
      </c>
      <c r="AD873" s="313">
        <f>IFERROR(IF(INDEX([1]Pivot!$BF$1:$CG$65000,$B873,AD$5)=1,1,IF(INDEX([1]Pivot!$B$1:$AB$65000,$B873,AD$5)="",2,0)),0)</f>
        <v>0</v>
      </c>
      <c r="AE873" s="313">
        <f>IFERROR(IF(INDEX([1]Pivot!$BF$1:$CG$65000,$B873,AE$5)=1,1,IF(INDEX([1]Pivot!$B$1:$AB$65000,$B873,AE$5)="",2,0)),0)</f>
        <v>0</v>
      </c>
      <c r="AF873" s="313">
        <f>IFERROR(IF(INDEX([1]Pivot!$BF$1:$CG$65000,$B873,AF$5)=1,1,IF(INDEX([1]Pivot!$B$1:$AB$65000,$B873,AF$5)="",2,0)),0)</f>
        <v>0</v>
      </c>
      <c r="AG873" s="313">
        <f>IFERROR(IF(INDEX([1]Pivot!$BF$1:$CG$65000,$B873,AG$5)=1,1,IF(INDEX([1]Pivot!$B$1:$AB$65000,$B873,AG$5)="",2,0)),0)</f>
        <v>0</v>
      </c>
      <c r="AH873" s="313">
        <f>IFERROR(IF(INDEX([1]Pivot!$BF$1:$CG$65000,$B873,AH$5)=1,1,IF(INDEX([1]Pivot!$B$1:$AB$65000,$B873,AH$5)="",2,0)),0)</f>
        <v>0</v>
      </c>
      <c r="AI873" s="313">
        <f>IFERROR(IF(INDEX([1]Pivot!$BF$1:$CG$65000,$B873,AI$5)=1,1,IF(INDEX([1]Pivot!$B$1:$AB$65000,$B873,AI$5)="",2,0)),0)</f>
        <v>0</v>
      </c>
      <c r="AJ873" s="313">
        <f>IFERROR(IF(INDEX([1]Pivot!$BF$1:$CG$65000,$B873,AJ$5)=1,1,IF(INDEX([1]Pivot!$B$1:$AB$65000,$B873,AJ$5)="",2,0)),0)</f>
        <v>0</v>
      </c>
      <c r="AK873" s="313">
        <f>IFERROR(IF(INDEX([1]Pivot!$BF$1:$CG$65000,$B873,AK$5)=1,1,IF(INDEX([1]Pivot!$B$1:$AB$65000,$B873,AK$5)="",2,0)),0)</f>
        <v>0</v>
      </c>
      <c r="AL873" s="313">
        <f>IFERROR(IF(INDEX([1]Pivot!$BF$1:$CG$65000,$B873,AL$5)=1,1,IF(INDEX([1]Pivot!$B$1:$AB$65000,$B873,AL$5)="",2,0)),0)</f>
        <v>0</v>
      </c>
      <c r="AM873" s="313">
        <f>IFERROR(IF(INDEX([1]Pivot!$BF$1:$CG$65000,$B873,AM$5)=1,1,IF(INDEX([1]Pivot!$B$1:$AB$65000,$B873,AM$5)="",2,0)),0)</f>
        <v>0</v>
      </c>
      <c r="AN873" s="313">
        <f>IFERROR(IF(INDEX([1]Pivot!$BF$1:$CG$65000,$B873,AN$5)=1,1,IF(INDEX([1]Pivot!$B$1:$AB$65000,$B873,AN$5)="",2,0)),0)</f>
        <v>0</v>
      </c>
      <c r="AO873" s="313">
        <f>IFERROR(IF(INDEX([1]Pivot!$BF$1:$CG$65000,$B873,AO$5)=1,1,IF(INDEX([1]Pivot!$B$1:$AB$65000,$B873,AO$5)="",2,0)),0)</f>
        <v>0</v>
      </c>
      <c r="AP873" s="313">
        <f>IFERROR(IF(INDEX([1]Pivot!$BF$1:$CG$65000,$B873,AP$5)=1,1,IF(INDEX([1]Pivot!$B$1:$AB$65000,$B873,AP$5)="",2,0)),0)</f>
        <v>0</v>
      </c>
      <c r="AQ873" s="313">
        <f>IFERROR(IF(INDEX([1]Pivot!$BF$1:$CG$65000,$B873,AQ$5)=1,1,IF(INDEX([1]Pivot!$B$1:$AB$65000,$B873,AQ$5)="",2,0)),0)</f>
        <v>0</v>
      </c>
      <c r="AR873" s="313">
        <f>IFERROR(IF(INDEX([1]Pivot!$BF$1:$CG$65000,$B873,AR$5)=1,1,IF(INDEX([1]Pivot!$B$1:$AB$65000,$B873,AR$5)="",2,0)),0)</f>
        <v>0</v>
      </c>
      <c r="AS873" s="312"/>
      <c r="AT873" s="313">
        <f>IFERROR(IF(INDEX([1]Pivot!$BF$1:$CG$65000,$B873,AT$5)=1,1,IF(INDEX([1]Pivot!$B$1:$AB$65000,$B873,AT$5)="",2,0)),0)</f>
        <v>0</v>
      </c>
      <c r="AU873" s="313">
        <f>IFERROR(IF(INDEX([1]Pivot!$BF$1:$CG$65000,$B873,AU$5)=1,1,IF(INDEX([1]Pivot!$B$1:$AB$65000,$B873,AU$5)="",2,0)),0)</f>
        <v>0</v>
      </c>
      <c r="AV873" s="313">
        <f>IFERROR(IF(INDEX([1]Pivot!$BF$1:$CG$65000,$B873,AV$5)=1,1,IF(INDEX([1]Pivot!$B$1:$AB$65000,$B873,AV$5)="",2,0)),0)</f>
        <v>0</v>
      </c>
      <c r="AW873" s="313">
        <f>IFERROR(IF(INDEX([1]Pivot!$BF$1:$CG$65000,$B873,AW$5)=1,1,IF(INDEX([1]Pivot!$B$1:$AB$65000,$B873,AW$5)="",2,0)),0)</f>
        <v>0</v>
      </c>
      <c r="AX873" s="313">
        <f>IFERROR(IF(INDEX([1]Pivot!$BF$1:$CG$65000,$B873,AX$5)=1,1,IF(INDEX([1]Pivot!$B$1:$AB$65000,$B873,AX$5)="",2,0)),0)</f>
        <v>0</v>
      </c>
      <c r="AY873" s="313">
        <f>IFERROR(IF(INDEX([1]Pivot!$BF$1:$CG$65000,$B873,AY$5)=1,1,IF(INDEX([1]Pivot!$B$1:$AB$65000,$B873,AY$5)="",2,0)),0)</f>
        <v>0</v>
      </c>
      <c r="AZ873" s="313">
        <f>IFERROR(IF(INDEX([1]Pivot!$BF$1:$CG$65000,$B873,AZ$5)=1,1,IF(INDEX([1]Pivot!$B$1:$AB$65000,$B873,AZ$5)="",2,0)),0)</f>
        <v>0</v>
      </c>
      <c r="BA873" s="313">
        <f>IFERROR(IF(INDEX([1]Pivot!$BF$1:$CG$65000,$B873,BA$5)=1,1,IF(INDEX([1]Pivot!$B$1:$AB$65000,$B873,BA$5)="",2,0)),0)</f>
        <v>0</v>
      </c>
      <c r="BB873" s="313">
        <f>IFERROR(IF(INDEX([1]Pivot!$BF$1:$CG$65000,$B873,BB$5)=1,1,IF(INDEX([1]Pivot!$B$1:$AB$65000,$B873,BB$5)="",2,0)),0)</f>
        <v>0</v>
      </c>
      <c r="BC873" s="313">
        <f>IFERROR(IF(INDEX([1]Pivot!$BF$1:$CG$65000,$B873,BC$5)=1,1,IF(INDEX([1]Pivot!$B$1:$AB$65000,$B873,BC$5)="",2,0)),0)</f>
        <v>0</v>
      </c>
      <c r="BD873" s="313">
        <f>IFERROR(IF(INDEX([1]Pivot!$BF$1:$CG$65000,$B873,BD$5)=1,1,IF(INDEX([1]Pivot!$B$1:$AB$65000,$B873,BD$5)="",2,0)),0)</f>
        <v>0</v>
      </c>
    </row>
    <row r="874" spans="1:56" x14ac:dyDescent="0.25">
      <c r="A874" s="288">
        <f>'[2]Raw Milk Prices'!A874</f>
        <v>0</v>
      </c>
      <c r="B874" s="296" t="e">
        <f>MATCH(DATE(LEFT('[2]Raw Milk Prices'!$A874,4),RIGHT('[2]Raw Milk Prices'!$A874,2),1),[1]Pivot!$A$1:$A$65000,0)</f>
        <v>#VALUE!</v>
      </c>
      <c r="C874" s="194">
        <f>IFERROR(IF(INDEX([1]Pivot!$AD$1:$BE$65000,$B874,C$5)=1,1,IF(INDEX([1]Pivot!$B$1:$AB$65000,$B874,C$5)="",2,0)),0)</f>
        <v>0</v>
      </c>
      <c r="D874" s="194">
        <f>IFERROR(IF(INDEX([1]Pivot!$AD$1:$BE$65000,$B874,D$5)=1,1,IF(INDEX([1]Pivot!$B$1:$AB$65000,$B874,D$5)="",2,0)),0)</f>
        <v>0</v>
      </c>
      <c r="E874" s="194">
        <f>IFERROR(IF(INDEX([1]Pivot!$AD$1:$BE$65000,$B874,E$5)=1,1,IF(INDEX([1]Pivot!$B$1:$AB$65000,$B874,E$5)="",2,0)),0)</f>
        <v>0</v>
      </c>
      <c r="F874" s="194">
        <f>IFERROR(IF(INDEX([1]Pivot!$AD$1:$BE$65000,$B874,F$5)=1,1,IF(INDEX([1]Pivot!$B$1:$AB$65000,$B874,F$5)="",2,0)),0)</f>
        <v>0</v>
      </c>
      <c r="G874" s="194">
        <f>IFERROR(IF(INDEX([1]Pivot!$AD$1:$BE$65000,$B874,G$5)=1,1,IF(INDEX([1]Pivot!$B$1:$AB$65000,$B874,G$5)="",2,0)),0)</f>
        <v>0</v>
      </c>
      <c r="H874" s="194">
        <f>IFERROR(IF(INDEX([1]Pivot!$AD$1:$BE$65000,$B874,H$5)=1,1,IF(INDEX([1]Pivot!$B$1:$AB$65000,$B874,H$5)="",2,0)),0)</f>
        <v>0</v>
      </c>
      <c r="I874" s="194">
        <f>IFERROR(IF(INDEX([1]Pivot!$AD$1:$BE$65000,$B874,I$5)=1,1,IF(INDEX([1]Pivot!$B$1:$AB$65000,$B874,I$5)="",2,0)),0)</f>
        <v>0</v>
      </c>
      <c r="J874" s="194">
        <f>IFERROR(IF(INDEX([1]Pivot!$AD$1:$BE$65000,$B874,J$5)=1,1,IF(INDEX([1]Pivot!$B$1:$AB$65000,$B874,J$5)="",2,0)),0)</f>
        <v>0</v>
      </c>
      <c r="K874" s="194">
        <f>IFERROR(IF(INDEX([1]Pivot!$AD$1:$BE$65000,$B874,K$5)=1,1,IF(INDEX([1]Pivot!$B$1:$AB$65000,$B874,K$5)="",2,0)),0)</f>
        <v>0</v>
      </c>
      <c r="L874" s="194">
        <f>IFERROR(IF(INDEX([1]Pivot!$AD$1:$BE$65000,$B874,L$5)=1,1,IF(INDEX([1]Pivot!$B$1:$AB$65000,$B874,L$5)="",2,0)),0)</f>
        <v>0</v>
      </c>
      <c r="M874" s="194">
        <f>IFERROR(IF(INDEX([1]Pivot!$AD$1:$BE$65000,$B874,M$5)=1,1,IF(INDEX([1]Pivot!$B$1:$AB$65000,$B874,M$5)="",2,0)),0)</f>
        <v>0</v>
      </c>
      <c r="N874" s="194">
        <f>IFERROR(IF(INDEX([1]Pivot!$AD$1:$BE$65000,$B874,N$5)=1,1,IF(INDEX([1]Pivot!$B$1:$AB$65000,$B874,N$5)="",2,0)),0)</f>
        <v>0</v>
      </c>
      <c r="O874" s="194">
        <f>IFERROR(IF(INDEX([1]Pivot!$AD$1:$BE$65000,$B874,O$5)=1,1,IF(INDEX([1]Pivot!$B$1:$AB$65000,$B874,O$5)="",2,0)),0)</f>
        <v>0</v>
      </c>
      <c r="P874" s="194">
        <f>IFERROR(IF(INDEX([1]Pivot!$AD$1:$BE$65000,$B874,P$5)=1,1,IF(INDEX([1]Pivot!$B$1:$AB$65000,$B874,P$5)="",2,0)),0)</f>
        <v>0</v>
      </c>
      <c r="Q874" s="194">
        <f>IFERROR(IF(INDEX([1]Pivot!$AD$1:$BE$65000,$B874,Q$5)=1,1,IF(INDEX([1]Pivot!$B$1:$AB$65000,$B874,Q$5)="",2,0)),0)</f>
        <v>0</v>
      </c>
      <c r="R874" s="312"/>
      <c r="S874" s="194">
        <f>IFERROR(IF(INDEX([1]Pivot!$AD$1:$BE$65000,$B874,S$5)=1,1,IF(INDEX([1]Pivot!$B$1:$AB$65000,$B874,S$5)="",2,0)),0)</f>
        <v>0</v>
      </c>
      <c r="T874" s="194">
        <f>IFERROR(IF(INDEX([1]Pivot!$AD$1:$BE$65000,$B874,T$5)=1,1,IF(INDEX([1]Pivot!$B$1:$AB$65000,$B874,T$5)="",2,0)),0)</f>
        <v>0</v>
      </c>
      <c r="U874" s="194">
        <f>IFERROR(IF(INDEX([1]Pivot!$AD$1:$BE$65000,$B874,U$5)=1,1,IF(INDEX([1]Pivot!$B$1:$AB$65000,$B874,U$5)="",2,0)),0)</f>
        <v>0</v>
      </c>
      <c r="V874" s="194">
        <f>IFERROR(IF(INDEX([1]Pivot!$AD$1:$BE$65000,$B874,V$5)=1,1,IF(INDEX([1]Pivot!$B$1:$AB$65000,$B874,V$5)="",2,0)),0)</f>
        <v>0</v>
      </c>
      <c r="W874" s="194">
        <f>IFERROR(IF(INDEX([1]Pivot!$AD$1:$BE$65000,$B874,W$5)=1,1,IF(INDEX([1]Pivot!$B$1:$AB$65000,$B874,W$5)="",2,0)),0)</f>
        <v>0</v>
      </c>
      <c r="X874" s="194">
        <f>IFERROR(IF(INDEX([1]Pivot!$AD$1:$BE$65000,$B874,X$5)=1,1,IF(INDEX([1]Pivot!$B$1:$AB$65000,$B874,X$5)="",2,0)),0)</f>
        <v>0</v>
      </c>
      <c r="Y874" s="194">
        <f>IFERROR(IF(INDEX([1]Pivot!$AD$1:$BE$65000,$B874,Y$5)=1,1,IF(INDEX([1]Pivot!$B$1:$AB$65000,$B874,Y$5)="",2,0)),0)</f>
        <v>0</v>
      </c>
      <c r="Z874" s="194">
        <f>IFERROR(IF(INDEX([1]Pivot!$AD$1:$BE$65000,$B874,Z$5)=1,1,IF(INDEX([1]Pivot!$B$1:$AB$65000,$B874,Z$5)="",2,0)),0)</f>
        <v>0</v>
      </c>
      <c r="AA874" s="194">
        <f>IFERROR(IF(INDEX([1]Pivot!$AD$1:$BE$65000,$B874,AA$5)=1,1,IF(INDEX([1]Pivot!$B$1:$AB$65000,$B874,AA$5)="",2,0)),0)</f>
        <v>0</v>
      </c>
      <c r="AB874" s="194">
        <f>IFERROR(IF(INDEX([1]Pivot!$AD$1:$BE$65000,$B874,AB$5)=1,1,IF(INDEX([1]Pivot!$B$1:$AB$65000,$B874,AB$5)="",2,0)),0)</f>
        <v>0</v>
      </c>
      <c r="AC874" s="194">
        <f>IFERROR(IF(INDEX([1]Pivot!$AD$1:$BE$65000,$B874,AC$5)=1,1,IF(INDEX([1]Pivot!$B$1:$AB$65000,$B874,AC$5)="",2,0)),0)</f>
        <v>0</v>
      </c>
      <c r="AD874" s="313">
        <f>IFERROR(IF(INDEX([1]Pivot!$BF$1:$CG$65000,$B874,AD$5)=1,1,IF(INDEX([1]Pivot!$B$1:$AB$65000,$B874,AD$5)="",2,0)),0)</f>
        <v>0</v>
      </c>
      <c r="AE874" s="313">
        <f>IFERROR(IF(INDEX([1]Pivot!$BF$1:$CG$65000,$B874,AE$5)=1,1,IF(INDEX([1]Pivot!$B$1:$AB$65000,$B874,AE$5)="",2,0)),0)</f>
        <v>0</v>
      </c>
      <c r="AF874" s="313">
        <f>IFERROR(IF(INDEX([1]Pivot!$BF$1:$CG$65000,$B874,AF$5)=1,1,IF(INDEX([1]Pivot!$B$1:$AB$65000,$B874,AF$5)="",2,0)),0)</f>
        <v>0</v>
      </c>
      <c r="AG874" s="313">
        <f>IFERROR(IF(INDEX([1]Pivot!$BF$1:$CG$65000,$B874,AG$5)=1,1,IF(INDEX([1]Pivot!$B$1:$AB$65000,$B874,AG$5)="",2,0)),0)</f>
        <v>0</v>
      </c>
      <c r="AH874" s="313">
        <f>IFERROR(IF(INDEX([1]Pivot!$BF$1:$CG$65000,$B874,AH$5)=1,1,IF(INDEX([1]Pivot!$B$1:$AB$65000,$B874,AH$5)="",2,0)),0)</f>
        <v>0</v>
      </c>
      <c r="AI874" s="313">
        <f>IFERROR(IF(INDEX([1]Pivot!$BF$1:$CG$65000,$B874,AI$5)=1,1,IF(INDEX([1]Pivot!$B$1:$AB$65000,$B874,AI$5)="",2,0)),0)</f>
        <v>0</v>
      </c>
      <c r="AJ874" s="313">
        <f>IFERROR(IF(INDEX([1]Pivot!$BF$1:$CG$65000,$B874,AJ$5)=1,1,IF(INDEX([1]Pivot!$B$1:$AB$65000,$B874,AJ$5)="",2,0)),0)</f>
        <v>0</v>
      </c>
      <c r="AK874" s="313">
        <f>IFERROR(IF(INDEX([1]Pivot!$BF$1:$CG$65000,$B874,AK$5)=1,1,IF(INDEX([1]Pivot!$B$1:$AB$65000,$B874,AK$5)="",2,0)),0)</f>
        <v>0</v>
      </c>
      <c r="AL874" s="313">
        <f>IFERROR(IF(INDEX([1]Pivot!$BF$1:$CG$65000,$B874,AL$5)=1,1,IF(INDEX([1]Pivot!$B$1:$AB$65000,$B874,AL$5)="",2,0)),0)</f>
        <v>0</v>
      </c>
      <c r="AM874" s="313">
        <f>IFERROR(IF(INDEX([1]Pivot!$BF$1:$CG$65000,$B874,AM$5)=1,1,IF(INDEX([1]Pivot!$B$1:$AB$65000,$B874,AM$5)="",2,0)),0)</f>
        <v>0</v>
      </c>
      <c r="AN874" s="313">
        <f>IFERROR(IF(INDEX([1]Pivot!$BF$1:$CG$65000,$B874,AN$5)=1,1,IF(INDEX([1]Pivot!$B$1:$AB$65000,$B874,AN$5)="",2,0)),0)</f>
        <v>0</v>
      </c>
      <c r="AO874" s="313">
        <f>IFERROR(IF(INDEX([1]Pivot!$BF$1:$CG$65000,$B874,AO$5)=1,1,IF(INDEX([1]Pivot!$B$1:$AB$65000,$B874,AO$5)="",2,0)),0)</f>
        <v>0</v>
      </c>
      <c r="AP874" s="313">
        <f>IFERROR(IF(INDEX([1]Pivot!$BF$1:$CG$65000,$B874,AP$5)=1,1,IF(INDEX([1]Pivot!$B$1:$AB$65000,$B874,AP$5)="",2,0)),0)</f>
        <v>0</v>
      </c>
      <c r="AQ874" s="313">
        <f>IFERROR(IF(INDEX([1]Pivot!$BF$1:$CG$65000,$B874,AQ$5)=1,1,IF(INDEX([1]Pivot!$B$1:$AB$65000,$B874,AQ$5)="",2,0)),0)</f>
        <v>0</v>
      </c>
      <c r="AR874" s="313">
        <f>IFERROR(IF(INDEX([1]Pivot!$BF$1:$CG$65000,$B874,AR$5)=1,1,IF(INDEX([1]Pivot!$B$1:$AB$65000,$B874,AR$5)="",2,0)),0)</f>
        <v>0</v>
      </c>
      <c r="AS874" s="312"/>
      <c r="AT874" s="313">
        <f>IFERROR(IF(INDEX([1]Pivot!$BF$1:$CG$65000,$B874,AT$5)=1,1,IF(INDEX([1]Pivot!$B$1:$AB$65000,$B874,AT$5)="",2,0)),0)</f>
        <v>0</v>
      </c>
      <c r="AU874" s="313">
        <f>IFERROR(IF(INDEX([1]Pivot!$BF$1:$CG$65000,$B874,AU$5)=1,1,IF(INDEX([1]Pivot!$B$1:$AB$65000,$B874,AU$5)="",2,0)),0)</f>
        <v>0</v>
      </c>
      <c r="AV874" s="313">
        <f>IFERROR(IF(INDEX([1]Pivot!$BF$1:$CG$65000,$B874,AV$5)=1,1,IF(INDEX([1]Pivot!$B$1:$AB$65000,$B874,AV$5)="",2,0)),0)</f>
        <v>0</v>
      </c>
      <c r="AW874" s="313">
        <f>IFERROR(IF(INDEX([1]Pivot!$BF$1:$CG$65000,$B874,AW$5)=1,1,IF(INDEX([1]Pivot!$B$1:$AB$65000,$B874,AW$5)="",2,0)),0)</f>
        <v>0</v>
      </c>
      <c r="AX874" s="313">
        <f>IFERROR(IF(INDEX([1]Pivot!$BF$1:$CG$65000,$B874,AX$5)=1,1,IF(INDEX([1]Pivot!$B$1:$AB$65000,$B874,AX$5)="",2,0)),0)</f>
        <v>0</v>
      </c>
      <c r="AY874" s="313">
        <f>IFERROR(IF(INDEX([1]Pivot!$BF$1:$CG$65000,$B874,AY$5)=1,1,IF(INDEX([1]Pivot!$B$1:$AB$65000,$B874,AY$5)="",2,0)),0)</f>
        <v>0</v>
      </c>
      <c r="AZ874" s="313">
        <f>IFERROR(IF(INDEX([1]Pivot!$BF$1:$CG$65000,$B874,AZ$5)=1,1,IF(INDEX([1]Pivot!$B$1:$AB$65000,$B874,AZ$5)="",2,0)),0)</f>
        <v>0</v>
      </c>
      <c r="BA874" s="313">
        <f>IFERROR(IF(INDEX([1]Pivot!$BF$1:$CG$65000,$B874,BA$5)=1,1,IF(INDEX([1]Pivot!$B$1:$AB$65000,$B874,BA$5)="",2,0)),0)</f>
        <v>0</v>
      </c>
      <c r="BB874" s="313">
        <f>IFERROR(IF(INDEX([1]Pivot!$BF$1:$CG$65000,$B874,BB$5)=1,1,IF(INDEX([1]Pivot!$B$1:$AB$65000,$B874,BB$5)="",2,0)),0)</f>
        <v>0</v>
      </c>
      <c r="BC874" s="313">
        <f>IFERROR(IF(INDEX([1]Pivot!$BF$1:$CG$65000,$B874,BC$5)=1,1,IF(INDEX([1]Pivot!$B$1:$AB$65000,$B874,BC$5)="",2,0)),0)</f>
        <v>0</v>
      </c>
      <c r="BD874" s="313">
        <f>IFERROR(IF(INDEX([1]Pivot!$BF$1:$CG$65000,$B874,BD$5)=1,1,IF(INDEX([1]Pivot!$B$1:$AB$65000,$B874,BD$5)="",2,0)),0)</f>
        <v>0</v>
      </c>
    </row>
    <row r="875" spans="1:56" x14ac:dyDescent="0.25">
      <c r="A875" s="288">
        <f>'[2]Raw Milk Prices'!A875</f>
        <v>0</v>
      </c>
      <c r="B875" s="296" t="e">
        <f>MATCH(DATE(LEFT('[2]Raw Milk Prices'!$A875,4),RIGHT('[2]Raw Milk Prices'!$A875,2),1),[1]Pivot!$A$1:$A$65000,0)</f>
        <v>#VALUE!</v>
      </c>
      <c r="C875" s="194">
        <f>IFERROR(IF(INDEX([1]Pivot!$AD$1:$BE$65000,$B875,C$5)=1,1,IF(INDEX([1]Pivot!$B$1:$AB$65000,$B875,C$5)="",2,0)),0)</f>
        <v>0</v>
      </c>
      <c r="D875" s="194">
        <f>IFERROR(IF(INDEX([1]Pivot!$AD$1:$BE$65000,$B875,D$5)=1,1,IF(INDEX([1]Pivot!$B$1:$AB$65000,$B875,D$5)="",2,0)),0)</f>
        <v>0</v>
      </c>
      <c r="E875" s="194">
        <f>IFERROR(IF(INDEX([1]Pivot!$AD$1:$BE$65000,$B875,E$5)=1,1,IF(INDEX([1]Pivot!$B$1:$AB$65000,$B875,E$5)="",2,0)),0)</f>
        <v>0</v>
      </c>
      <c r="F875" s="194">
        <f>IFERROR(IF(INDEX([1]Pivot!$AD$1:$BE$65000,$B875,F$5)=1,1,IF(INDEX([1]Pivot!$B$1:$AB$65000,$B875,F$5)="",2,0)),0)</f>
        <v>0</v>
      </c>
      <c r="G875" s="194">
        <f>IFERROR(IF(INDEX([1]Pivot!$AD$1:$BE$65000,$B875,G$5)=1,1,IF(INDEX([1]Pivot!$B$1:$AB$65000,$B875,G$5)="",2,0)),0)</f>
        <v>0</v>
      </c>
      <c r="H875" s="194">
        <f>IFERROR(IF(INDEX([1]Pivot!$AD$1:$BE$65000,$B875,H$5)=1,1,IF(INDEX([1]Pivot!$B$1:$AB$65000,$B875,H$5)="",2,0)),0)</f>
        <v>0</v>
      </c>
      <c r="I875" s="194">
        <f>IFERROR(IF(INDEX([1]Pivot!$AD$1:$BE$65000,$B875,I$5)=1,1,IF(INDEX([1]Pivot!$B$1:$AB$65000,$B875,I$5)="",2,0)),0)</f>
        <v>0</v>
      </c>
      <c r="J875" s="194">
        <f>IFERROR(IF(INDEX([1]Pivot!$AD$1:$BE$65000,$B875,J$5)=1,1,IF(INDEX([1]Pivot!$B$1:$AB$65000,$B875,J$5)="",2,0)),0)</f>
        <v>0</v>
      </c>
      <c r="K875" s="194">
        <f>IFERROR(IF(INDEX([1]Pivot!$AD$1:$BE$65000,$B875,K$5)=1,1,IF(INDEX([1]Pivot!$B$1:$AB$65000,$B875,K$5)="",2,0)),0)</f>
        <v>0</v>
      </c>
      <c r="L875" s="194">
        <f>IFERROR(IF(INDEX([1]Pivot!$AD$1:$BE$65000,$B875,L$5)=1,1,IF(INDEX([1]Pivot!$B$1:$AB$65000,$B875,L$5)="",2,0)),0)</f>
        <v>0</v>
      </c>
      <c r="M875" s="194">
        <f>IFERROR(IF(INDEX([1]Pivot!$AD$1:$BE$65000,$B875,M$5)=1,1,IF(INDEX([1]Pivot!$B$1:$AB$65000,$B875,M$5)="",2,0)),0)</f>
        <v>0</v>
      </c>
      <c r="N875" s="194">
        <f>IFERROR(IF(INDEX([1]Pivot!$AD$1:$BE$65000,$B875,N$5)=1,1,IF(INDEX([1]Pivot!$B$1:$AB$65000,$B875,N$5)="",2,0)),0)</f>
        <v>0</v>
      </c>
      <c r="O875" s="194">
        <f>IFERROR(IF(INDEX([1]Pivot!$AD$1:$BE$65000,$B875,O$5)=1,1,IF(INDEX([1]Pivot!$B$1:$AB$65000,$B875,O$5)="",2,0)),0)</f>
        <v>0</v>
      </c>
      <c r="P875" s="194">
        <f>IFERROR(IF(INDEX([1]Pivot!$AD$1:$BE$65000,$B875,P$5)=1,1,IF(INDEX([1]Pivot!$B$1:$AB$65000,$B875,P$5)="",2,0)),0)</f>
        <v>0</v>
      </c>
      <c r="Q875" s="194">
        <f>IFERROR(IF(INDEX([1]Pivot!$AD$1:$BE$65000,$B875,Q$5)=1,1,IF(INDEX([1]Pivot!$B$1:$AB$65000,$B875,Q$5)="",2,0)),0)</f>
        <v>0</v>
      </c>
      <c r="R875" s="312"/>
      <c r="S875" s="194">
        <f>IFERROR(IF(INDEX([1]Pivot!$AD$1:$BE$65000,$B875,S$5)=1,1,IF(INDEX([1]Pivot!$B$1:$AB$65000,$B875,S$5)="",2,0)),0)</f>
        <v>0</v>
      </c>
      <c r="T875" s="194">
        <f>IFERROR(IF(INDEX([1]Pivot!$AD$1:$BE$65000,$B875,T$5)=1,1,IF(INDEX([1]Pivot!$B$1:$AB$65000,$B875,T$5)="",2,0)),0)</f>
        <v>0</v>
      </c>
      <c r="U875" s="194">
        <f>IFERROR(IF(INDEX([1]Pivot!$AD$1:$BE$65000,$B875,U$5)=1,1,IF(INDEX([1]Pivot!$B$1:$AB$65000,$B875,U$5)="",2,0)),0)</f>
        <v>0</v>
      </c>
      <c r="V875" s="194">
        <f>IFERROR(IF(INDEX([1]Pivot!$AD$1:$BE$65000,$B875,V$5)=1,1,IF(INDEX([1]Pivot!$B$1:$AB$65000,$B875,V$5)="",2,0)),0)</f>
        <v>0</v>
      </c>
      <c r="W875" s="194">
        <f>IFERROR(IF(INDEX([1]Pivot!$AD$1:$BE$65000,$B875,W$5)=1,1,IF(INDEX([1]Pivot!$B$1:$AB$65000,$B875,W$5)="",2,0)),0)</f>
        <v>0</v>
      </c>
      <c r="X875" s="194">
        <f>IFERROR(IF(INDEX([1]Pivot!$AD$1:$BE$65000,$B875,X$5)=1,1,IF(INDEX([1]Pivot!$B$1:$AB$65000,$B875,X$5)="",2,0)),0)</f>
        <v>0</v>
      </c>
      <c r="Y875" s="194">
        <f>IFERROR(IF(INDEX([1]Pivot!$AD$1:$BE$65000,$B875,Y$5)=1,1,IF(INDEX([1]Pivot!$B$1:$AB$65000,$B875,Y$5)="",2,0)),0)</f>
        <v>0</v>
      </c>
      <c r="Z875" s="194">
        <f>IFERROR(IF(INDEX([1]Pivot!$AD$1:$BE$65000,$B875,Z$5)=1,1,IF(INDEX([1]Pivot!$B$1:$AB$65000,$B875,Z$5)="",2,0)),0)</f>
        <v>0</v>
      </c>
      <c r="AA875" s="194">
        <f>IFERROR(IF(INDEX([1]Pivot!$AD$1:$BE$65000,$B875,AA$5)=1,1,IF(INDEX([1]Pivot!$B$1:$AB$65000,$B875,AA$5)="",2,0)),0)</f>
        <v>0</v>
      </c>
      <c r="AB875" s="194">
        <f>IFERROR(IF(INDEX([1]Pivot!$AD$1:$BE$65000,$B875,AB$5)=1,1,IF(INDEX([1]Pivot!$B$1:$AB$65000,$B875,AB$5)="",2,0)),0)</f>
        <v>0</v>
      </c>
      <c r="AC875" s="194">
        <f>IFERROR(IF(INDEX([1]Pivot!$AD$1:$BE$65000,$B875,AC$5)=1,1,IF(INDEX([1]Pivot!$B$1:$AB$65000,$B875,AC$5)="",2,0)),0)</f>
        <v>0</v>
      </c>
      <c r="AD875" s="313">
        <f>IFERROR(IF(INDEX([1]Pivot!$BF$1:$CG$65000,$B875,AD$5)=1,1,IF(INDEX([1]Pivot!$B$1:$AB$65000,$B875,AD$5)="",2,0)),0)</f>
        <v>0</v>
      </c>
      <c r="AE875" s="313">
        <f>IFERROR(IF(INDEX([1]Pivot!$BF$1:$CG$65000,$B875,AE$5)=1,1,IF(INDEX([1]Pivot!$B$1:$AB$65000,$B875,AE$5)="",2,0)),0)</f>
        <v>0</v>
      </c>
      <c r="AF875" s="313">
        <f>IFERROR(IF(INDEX([1]Pivot!$BF$1:$CG$65000,$B875,AF$5)=1,1,IF(INDEX([1]Pivot!$B$1:$AB$65000,$B875,AF$5)="",2,0)),0)</f>
        <v>0</v>
      </c>
      <c r="AG875" s="313">
        <f>IFERROR(IF(INDEX([1]Pivot!$BF$1:$CG$65000,$B875,AG$5)=1,1,IF(INDEX([1]Pivot!$B$1:$AB$65000,$B875,AG$5)="",2,0)),0)</f>
        <v>0</v>
      </c>
      <c r="AH875" s="313">
        <f>IFERROR(IF(INDEX([1]Pivot!$BF$1:$CG$65000,$B875,AH$5)=1,1,IF(INDEX([1]Pivot!$B$1:$AB$65000,$B875,AH$5)="",2,0)),0)</f>
        <v>0</v>
      </c>
      <c r="AI875" s="313">
        <f>IFERROR(IF(INDEX([1]Pivot!$BF$1:$CG$65000,$B875,AI$5)=1,1,IF(INDEX([1]Pivot!$B$1:$AB$65000,$B875,AI$5)="",2,0)),0)</f>
        <v>0</v>
      </c>
      <c r="AJ875" s="313">
        <f>IFERROR(IF(INDEX([1]Pivot!$BF$1:$CG$65000,$B875,AJ$5)=1,1,IF(INDEX([1]Pivot!$B$1:$AB$65000,$B875,AJ$5)="",2,0)),0)</f>
        <v>0</v>
      </c>
      <c r="AK875" s="313">
        <f>IFERROR(IF(INDEX([1]Pivot!$BF$1:$CG$65000,$B875,AK$5)=1,1,IF(INDEX([1]Pivot!$B$1:$AB$65000,$B875,AK$5)="",2,0)),0)</f>
        <v>0</v>
      </c>
      <c r="AL875" s="313">
        <f>IFERROR(IF(INDEX([1]Pivot!$BF$1:$CG$65000,$B875,AL$5)=1,1,IF(INDEX([1]Pivot!$B$1:$AB$65000,$B875,AL$5)="",2,0)),0)</f>
        <v>0</v>
      </c>
      <c r="AM875" s="313">
        <f>IFERROR(IF(INDEX([1]Pivot!$BF$1:$CG$65000,$B875,AM$5)=1,1,IF(INDEX([1]Pivot!$B$1:$AB$65000,$B875,AM$5)="",2,0)),0)</f>
        <v>0</v>
      </c>
      <c r="AN875" s="313">
        <f>IFERROR(IF(INDEX([1]Pivot!$BF$1:$CG$65000,$B875,AN$5)=1,1,IF(INDEX([1]Pivot!$B$1:$AB$65000,$B875,AN$5)="",2,0)),0)</f>
        <v>0</v>
      </c>
      <c r="AO875" s="313">
        <f>IFERROR(IF(INDEX([1]Pivot!$BF$1:$CG$65000,$B875,AO$5)=1,1,IF(INDEX([1]Pivot!$B$1:$AB$65000,$B875,AO$5)="",2,0)),0)</f>
        <v>0</v>
      </c>
      <c r="AP875" s="313">
        <f>IFERROR(IF(INDEX([1]Pivot!$BF$1:$CG$65000,$B875,AP$5)=1,1,IF(INDEX([1]Pivot!$B$1:$AB$65000,$B875,AP$5)="",2,0)),0)</f>
        <v>0</v>
      </c>
      <c r="AQ875" s="313">
        <f>IFERROR(IF(INDEX([1]Pivot!$BF$1:$CG$65000,$B875,AQ$5)=1,1,IF(INDEX([1]Pivot!$B$1:$AB$65000,$B875,AQ$5)="",2,0)),0)</f>
        <v>0</v>
      </c>
      <c r="AR875" s="313">
        <f>IFERROR(IF(INDEX([1]Pivot!$BF$1:$CG$65000,$B875,AR$5)=1,1,IF(INDEX([1]Pivot!$B$1:$AB$65000,$B875,AR$5)="",2,0)),0)</f>
        <v>0</v>
      </c>
      <c r="AS875" s="312"/>
      <c r="AT875" s="313">
        <f>IFERROR(IF(INDEX([1]Pivot!$BF$1:$CG$65000,$B875,AT$5)=1,1,IF(INDEX([1]Pivot!$B$1:$AB$65000,$B875,AT$5)="",2,0)),0)</f>
        <v>0</v>
      </c>
      <c r="AU875" s="313">
        <f>IFERROR(IF(INDEX([1]Pivot!$BF$1:$CG$65000,$B875,AU$5)=1,1,IF(INDEX([1]Pivot!$B$1:$AB$65000,$B875,AU$5)="",2,0)),0)</f>
        <v>0</v>
      </c>
      <c r="AV875" s="313">
        <f>IFERROR(IF(INDEX([1]Pivot!$BF$1:$CG$65000,$B875,AV$5)=1,1,IF(INDEX([1]Pivot!$B$1:$AB$65000,$B875,AV$5)="",2,0)),0)</f>
        <v>0</v>
      </c>
      <c r="AW875" s="313">
        <f>IFERROR(IF(INDEX([1]Pivot!$BF$1:$CG$65000,$B875,AW$5)=1,1,IF(INDEX([1]Pivot!$B$1:$AB$65000,$B875,AW$5)="",2,0)),0)</f>
        <v>0</v>
      </c>
      <c r="AX875" s="313">
        <f>IFERROR(IF(INDEX([1]Pivot!$BF$1:$CG$65000,$B875,AX$5)=1,1,IF(INDEX([1]Pivot!$B$1:$AB$65000,$B875,AX$5)="",2,0)),0)</f>
        <v>0</v>
      </c>
      <c r="AY875" s="313">
        <f>IFERROR(IF(INDEX([1]Pivot!$BF$1:$CG$65000,$B875,AY$5)=1,1,IF(INDEX([1]Pivot!$B$1:$AB$65000,$B875,AY$5)="",2,0)),0)</f>
        <v>0</v>
      </c>
      <c r="AZ875" s="313">
        <f>IFERROR(IF(INDEX([1]Pivot!$BF$1:$CG$65000,$B875,AZ$5)=1,1,IF(INDEX([1]Pivot!$B$1:$AB$65000,$B875,AZ$5)="",2,0)),0)</f>
        <v>0</v>
      </c>
      <c r="BA875" s="313">
        <f>IFERROR(IF(INDEX([1]Pivot!$BF$1:$CG$65000,$B875,BA$5)=1,1,IF(INDEX([1]Pivot!$B$1:$AB$65000,$B875,BA$5)="",2,0)),0)</f>
        <v>0</v>
      </c>
      <c r="BB875" s="313">
        <f>IFERROR(IF(INDEX([1]Pivot!$BF$1:$CG$65000,$B875,BB$5)=1,1,IF(INDEX([1]Pivot!$B$1:$AB$65000,$B875,BB$5)="",2,0)),0)</f>
        <v>0</v>
      </c>
      <c r="BC875" s="313">
        <f>IFERROR(IF(INDEX([1]Pivot!$BF$1:$CG$65000,$B875,BC$5)=1,1,IF(INDEX([1]Pivot!$B$1:$AB$65000,$B875,BC$5)="",2,0)),0)</f>
        <v>0</v>
      </c>
      <c r="BD875" s="313">
        <f>IFERROR(IF(INDEX([1]Pivot!$BF$1:$CG$65000,$B875,BD$5)=1,1,IF(INDEX([1]Pivot!$B$1:$AB$65000,$B875,BD$5)="",2,0)),0)</f>
        <v>0</v>
      </c>
    </row>
    <row r="876" spans="1:56" x14ac:dyDescent="0.25">
      <c r="A876" s="288">
        <f>'[2]Raw Milk Prices'!A876</f>
        <v>0</v>
      </c>
      <c r="B876" s="296" t="e">
        <f>MATCH(DATE(LEFT('[2]Raw Milk Prices'!$A876,4),RIGHT('[2]Raw Milk Prices'!$A876,2),1),[1]Pivot!$A$1:$A$65000,0)</f>
        <v>#VALUE!</v>
      </c>
      <c r="C876" s="194">
        <f>IFERROR(IF(INDEX([1]Pivot!$AD$1:$BE$65000,$B876,C$5)=1,1,IF(INDEX([1]Pivot!$B$1:$AB$65000,$B876,C$5)="",2,0)),0)</f>
        <v>0</v>
      </c>
      <c r="D876" s="194">
        <f>IFERROR(IF(INDEX([1]Pivot!$AD$1:$BE$65000,$B876,D$5)=1,1,IF(INDEX([1]Pivot!$B$1:$AB$65000,$B876,D$5)="",2,0)),0)</f>
        <v>0</v>
      </c>
      <c r="E876" s="194">
        <f>IFERROR(IF(INDEX([1]Pivot!$AD$1:$BE$65000,$B876,E$5)=1,1,IF(INDEX([1]Pivot!$B$1:$AB$65000,$B876,E$5)="",2,0)),0)</f>
        <v>0</v>
      </c>
      <c r="F876" s="194">
        <f>IFERROR(IF(INDEX([1]Pivot!$AD$1:$BE$65000,$B876,F$5)=1,1,IF(INDEX([1]Pivot!$B$1:$AB$65000,$B876,F$5)="",2,0)),0)</f>
        <v>0</v>
      </c>
      <c r="G876" s="194">
        <f>IFERROR(IF(INDEX([1]Pivot!$AD$1:$BE$65000,$B876,G$5)=1,1,IF(INDEX([1]Pivot!$B$1:$AB$65000,$B876,G$5)="",2,0)),0)</f>
        <v>0</v>
      </c>
      <c r="H876" s="194">
        <f>IFERROR(IF(INDEX([1]Pivot!$AD$1:$BE$65000,$B876,H$5)=1,1,IF(INDEX([1]Pivot!$B$1:$AB$65000,$B876,H$5)="",2,0)),0)</f>
        <v>0</v>
      </c>
      <c r="I876" s="194">
        <f>IFERROR(IF(INDEX([1]Pivot!$AD$1:$BE$65000,$B876,I$5)=1,1,IF(INDEX([1]Pivot!$B$1:$AB$65000,$B876,I$5)="",2,0)),0)</f>
        <v>0</v>
      </c>
      <c r="J876" s="194">
        <f>IFERROR(IF(INDEX([1]Pivot!$AD$1:$BE$65000,$B876,J$5)=1,1,IF(INDEX([1]Pivot!$B$1:$AB$65000,$B876,J$5)="",2,0)),0)</f>
        <v>0</v>
      </c>
      <c r="K876" s="194">
        <f>IFERROR(IF(INDEX([1]Pivot!$AD$1:$BE$65000,$B876,K$5)=1,1,IF(INDEX([1]Pivot!$B$1:$AB$65000,$B876,K$5)="",2,0)),0)</f>
        <v>0</v>
      </c>
      <c r="L876" s="194">
        <f>IFERROR(IF(INDEX([1]Pivot!$AD$1:$BE$65000,$B876,L$5)=1,1,IF(INDEX([1]Pivot!$B$1:$AB$65000,$B876,L$5)="",2,0)),0)</f>
        <v>0</v>
      </c>
      <c r="M876" s="194">
        <f>IFERROR(IF(INDEX([1]Pivot!$AD$1:$BE$65000,$B876,M$5)=1,1,IF(INDEX([1]Pivot!$B$1:$AB$65000,$B876,M$5)="",2,0)),0)</f>
        <v>0</v>
      </c>
      <c r="N876" s="194">
        <f>IFERROR(IF(INDEX([1]Pivot!$AD$1:$BE$65000,$B876,N$5)=1,1,IF(INDEX([1]Pivot!$B$1:$AB$65000,$B876,N$5)="",2,0)),0)</f>
        <v>0</v>
      </c>
      <c r="O876" s="194">
        <f>IFERROR(IF(INDEX([1]Pivot!$AD$1:$BE$65000,$B876,O$5)=1,1,IF(INDEX([1]Pivot!$B$1:$AB$65000,$B876,O$5)="",2,0)),0)</f>
        <v>0</v>
      </c>
      <c r="P876" s="194">
        <f>IFERROR(IF(INDEX([1]Pivot!$AD$1:$BE$65000,$B876,P$5)=1,1,IF(INDEX([1]Pivot!$B$1:$AB$65000,$B876,P$5)="",2,0)),0)</f>
        <v>0</v>
      </c>
      <c r="Q876" s="194">
        <f>IFERROR(IF(INDEX([1]Pivot!$AD$1:$BE$65000,$B876,Q$5)=1,1,IF(INDEX([1]Pivot!$B$1:$AB$65000,$B876,Q$5)="",2,0)),0)</f>
        <v>0</v>
      </c>
      <c r="R876" s="312"/>
      <c r="S876" s="194">
        <f>IFERROR(IF(INDEX([1]Pivot!$AD$1:$BE$65000,$B876,S$5)=1,1,IF(INDEX([1]Pivot!$B$1:$AB$65000,$B876,S$5)="",2,0)),0)</f>
        <v>0</v>
      </c>
      <c r="T876" s="194">
        <f>IFERROR(IF(INDEX([1]Pivot!$AD$1:$BE$65000,$B876,T$5)=1,1,IF(INDEX([1]Pivot!$B$1:$AB$65000,$B876,T$5)="",2,0)),0)</f>
        <v>0</v>
      </c>
      <c r="U876" s="194">
        <f>IFERROR(IF(INDEX([1]Pivot!$AD$1:$BE$65000,$B876,U$5)=1,1,IF(INDEX([1]Pivot!$B$1:$AB$65000,$B876,U$5)="",2,0)),0)</f>
        <v>0</v>
      </c>
      <c r="V876" s="194">
        <f>IFERROR(IF(INDEX([1]Pivot!$AD$1:$BE$65000,$B876,V$5)=1,1,IF(INDEX([1]Pivot!$B$1:$AB$65000,$B876,V$5)="",2,0)),0)</f>
        <v>0</v>
      </c>
      <c r="W876" s="194">
        <f>IFERROR(IF(INDEX([1]Pivot!$AD$1:$BE$65000,$B876,W$5)=1,1,IF(INDEX([1]Pivot!$B$1:$AB$65000,$B876,W$5)="",2,0)),0)</f>
        <v>0</v>
      </c>
      <c r="X876" s="194">
        <f>IFERROR(IF(INDEX([1]Pivot!$AD$1:$BE$65000,$B876,X$5)=1,1,IF(INDEX([1]Pivot!$B$1:$AB$65000,$B876,X$5)="",2,0)),0)</f>
        <v>0</v>
      </c>
      <c r="Y876" s="194">
        <f>IFERROR(IF(INDEX([1]Pivot!$AD$1:$BE$65000,$B876,Y$5)=1,1,IF(INDEX([1]Pivot!$B$1:$AB$65000,$B876,Y$5)="",2,0)),0)</f>
        <v>0</v>
      </c>
      <c r="Z876" s="194">
        <f>IFERROR(IF(INDEX([1]Pivot!$AD$1:$BE$65000,$B876,Z$5)=1,1,IF(INDEX([1]Pivot!$B$1:$AB$65000,$B876,Z$5)="",2,0)),0)</f>
        <v>0</v>
      </c>
      <c r="AA876" s="194">
        <f>IFERROR(IF(INDEX([1]Pivot!$AD$1:$BE$65000,$B876,AA$5)=1,1,IF(INDEX([1]Pivot!$B$1:$AB$65000,$B876,AA$5)="",2,0)),0)</f>
        <v>0</v>
      </c>
      <c r="AB876" s="194">
        <f>IFERROR(IF(INDEX([1]Pivot!$AD$1:$BE$65000,$B876,AB$5)=1,1,IF(INDEX([1]Pivot!$B$1:$AB$65000,$B876,AB$5)="",2,0)),0)</f>
        <v>0</v>
      </c>
      <c r="AC876" s="194">
        <f>IFERROR(IF(INDEX([1]Pivot!$AD$1:$BE$65000,$B876,AC$5)=1,1,IF(INDEX([1]Pivot!$B$1:$AB$65000,$B876,AC$5)="",2,0)),0)</f>
        <v>0</v>
      </c>
      <c r="AD876" s="313">
        <f>IFERROR(IF(INDEX([1]Pivot!$BF$1:$CG$65000,$B876,AD$5)=1,1,IF(INDEX([1]Pivot!$B$1:$AB$65000,$B876,AD$5)="",2,0)),0)</f>
        <v>0</v>
      </c>
      <c r="AE876" s="313">
        <f>IFERROR(IF(INDEX([1]Pivot!$BF$1:$CG$65000,$B876,AE$5)=1,1,IF(INDEX([1]Pivot!$B$1:$AB$65000,$B876,AE$5)="",2,0)),0)</f>
        <v>0</v>
      </c>
      <c r="AF876" s="313">
        <f>IFERROR(IF(INDEX([1]Pivot!$BF$1:$CG$65000,$B876,AF$5)=1,1,IF(INDEX([1]Pivot!$B$1:$AB$65000,$B876,AF$5)="",2,0)),0)</f>
        <v>0</v>
      </c>
      <c r="AG876" s="313">
        <f>IFERROR(IF(INDEX([1]Pivot!$BF$1:$CG$65000,$B876,AG$5)=1,1,IF(INDEX([1]Pivot!$B$1:$AB$65000,$B876,AG$5)="",2,0)),0)</f>
        <v>0</v>
      </c>
      <c r="AH876" s="313">
        <f>IFERROR(IF(INDEX([1]Pivot!$BF$1:$CG$65000,$B876,AH$5)=1,1,IF(INDEX([1]Pivot!$B$1:$AB$65000,$B876,AH$5)="",2,0)),0)</f>
        <v>0</v>
      </c>
      <c r="AI876" s="313">
        <f>IFERROR(IF(INDEX([1]Pivot!$BF$1:$CG$65000,$B876,AI$5)=1,1,IF(INDEX([1]Pivot!$B$1:$AB$65000,$B876,AI$5)="",2,0)),0)</f>
        <v>0</v>
      </c>
      <c r="AJ876" s="313">
        <f>IFERROR(IF(INDEX([1]Pivot!$BF$1:$CG$65000,$B876,AJ$5)=1,1,IF(INDEX([1]Pivot!$B$1:$AB$65000,$B876,AJ$5)="",2,0)),0)</f>
        <v>0</v>
      </c>
      <c r="AK876" s="313">
        <f>IFERROR(IF(INDEX([1]Pivot!$BF$1:$CG$65000,$B876,AK$5)=1,1,IF(INDEX([1]Pivot!$B$1:$AB$65000,$B876,AK$5)="",2,0)),0)</f>
        <v>0</v>
      </c>
      <c r="AL876" s="313">
        <f>IFERROR(IF(INDEX([1]Pivot!$BF$1:$CG$65000,$B876,AL$5)=1,1,IF(INDEX([1]Pivot!$B$1:$AB$65000,$B876,AL$5)="",2,0)),0)</f>
        <v>0</v>
      </c>
      <c r="AM876" s="313">
        <f>IFERROR(IF(INDEX([1]Pivot!$BF$1:$CG$65000,$B876,AM$5)=1,1,IF(INDEX([1]Pivot!$B$1:$AB$65000,$B876,AM$5)="",2,0)),0)</f>
        <v>0</v>
      </c>
      <c r="AN876" s="313">
        <f>IFERROR(IF(INDEX([1]Pivot!$BF$1:$CG$65000,$B876,AN$5)=1,1,IF(INDEX([1]Pivot!$B$1:$AB$65000,$B876,AN$5)="",2,0)),0)</f>
        <v>0</v>
      </c>
      <c r="AO876" s="313">
        <f>IFERROR(IF(INDEX([1]Pivot!$BF$1:$CG$65000,$B876,AO$5)=1,1,IF(INDEX([1]Pivot!$B$1:$AB$65000,$B876,AO$5)="",2,0)),0)</f>
        <v>0</v>
      </c>
      <c r="AP876" s="313">
        <f>IFERROR(IF(INDEX([1]Pivot!$BF$1:$CG$65000,$B876,AP$5)=1,1,IF(INDEX([1]Pivot!$B$1:$AB$65000,$B876,AP$5)="",2,0)),0)</f>
        <v>0</v>
      </c>
      <c r="AQ876" s="313">
        <f>IFERROR(IF(INDEX([1]Pivot!$BF$1:$CG$65000,$B876,AQ$5)=1,1,IF(INDEX([1]Pivot!$B$1:$AB$65000,$B876,AQ$5)="",2,0)),0)</f>
        <v>0</v>
      </c>
      <c r="AR876" s="313">
        <f>IFERROR(IF(INDEX([1]Pivot!$BF$1:$CG$65000,$B876,AR$5)=1,1,IF(INDEX([1]Pivot!$B$1:$AB$65000,$B876,AR$5)="",2,0)),0)</f>
        <v>0</v>
      </c>
      <c r="AS876" s="312"/>
      <c r="AT876" s="313">
        <f>IFERROR(IF(INDEX([1]Pivot!$BF$1:$CG$65000,$B876,AT$5)=1,1,IF(INDEX([1]Pivot!$B$1:$AB$65000,$B876,AT$5)="",2,0)),0)</f>
        <v>0</v>
      </c>
      <c r="AU876" s="313">
        <f>IFERROR(IF(INDEX([1]Pivot!$BF$1:$CG$65000,$B876,AU$5)=1,1,IF(INDEX([1]Pivot!$B$1:$AB$65000,$B876,AU$5)="",2,0)),0)</f>
        <v>0</v>
      </c>
      <c r="AV876" s="313">
        <f>IFERROR(IF(INDEX([1]Pivot!$BF$1:$CG$65000,$B876,AV$5)=1,1,IF(INDEX([1]Pivot!$B$1:$AB$65000,$B876,AV$5)="",2,0)),0)</f>
        <v>0</v>
      </c>
      <c r="AW876" s="313">
        <f>IFERROR(IF(INDEX([1]Pivot!$BF$1:$CG$65000,$B876,AW$5)=1,1,IF(INDEX([1]Pivot!$B$1:$AB$65000,$B876,AW$5)="",2,0)),0)</f>
        <v>0</v>
      </c>
      <c r="AX876" s="313">
        <f>IFERROR(IF(INDEX([1]Pivot!$BF$1:$CG$65000,$B876,AX$5)=1,1,IF(INDEX([1]Pivot!$B$1:$AB$65000,$B876,AX$5)="",2,0)),0)</f>
        <v>0</v>
      </c>
      <c r="AY876" s="313">
        <f>IFERROR(IF(INDEX([1]Pivot!$BF$1:$CG$65000,$B876,AY$5)=1,1,IF(INDEX([1]Pivot!$B$1:$AB$65000,$B876,AY$5)="",2,0)),0)</f>
        <v>0</v>
      </c>
      <c r="AZ876" s="313">
        <f>IFERROR(IF(INDEX([1]Pivot!$BF$1:$CG$65000,$B876,AZ$5)=1,1,IF(INDEX([1]Pivot!$B$1:$AB$65000,$B876,AZ$5)="",2,0)),0)</f>
        <v>0</v>
      </c>
      <c r="BA876" s="313">
        <f>IFERROR(IF(INDEX([1]Pivot!$BF$1:$CG$65000,$B876,BA$5)=1,1,IF(INDEX([1]Pivot!$B$1:$AB$65000,$B876,BA$5)="",2,0)),0)</f>
        <v>0</v>
      </c>
      <c r="BB876" s="313">
        <f>IFERROR(IF(INDEX([1]Pivot!$BF$1:$CG$65000,$B876,BB$5)=1,1,IF(INDEX([1]Pivot!$B$1:$AB$65000,$B876,BB$5)="",2,0)),0)</f>
        <v>0</v>
      </c>
      <c r="BC876" s="313">
        <f>IFERROR(IF(INDEX([1]Pivot!$BF$1:$CG$65000,$B876,BC$5)=1,1,IF(INDEX([1]Pivot!$B$1:$AB$65000,$B876,BC$5)="",2,0)),0)</f>
        <v>0</v>
      </c>
      <c r="BD876" s="313">
        <f>IFERROR(IF(INDEX([1]Pivot!$BF$1:$CG$65000,$B876,BD$5)=1,1,IF(INDEX([1]Pivot!$B$1:$AB$65000,$B876,BD$5)="",2,0)),0)</f>
        <v>0</v>
      </c>
    </row>
    <row r="877" spans="1:56" x14ac:dyDescent="0.25">
      <c r="A877" s="288">
        <f>'[2]Raw Milk Prices'!A877</f>
        <v>0</v>
      </c>
      <c r="B877" s="296" t="e">
        <f>MATCH(DATE(LEFT('[2]Raw Milk Prices'!$A877,4),RIGHT('[2]Raw Milk Prices'!$A877,2),1),[1]Pivot!$A$1:$A$65000,0)</f>
        <v>#VALUE!</v>
      </c>
      <c r="C877" s="194">
        <f>IFERROR(IF(INDEX([1]Pivot!$AD$1:$BE$65000,$B877,C$5)=1,1,IF(INDEX([1]Pivot!$B$1:$AB$65000,$B877,C$5)="",2,0)),0)</f>
        <v>0</v>
      </c>
      <c r="D877" s="194">
        <f>IFERROR(IF(INDEX([1]Pivot!$AD$1:$BE$65000,$B877,D$5)=1,1,IF(INDEX([1]Pivot!$B$1:$AB$65000,$B877,D$5)="",2,0)),0)</f>
        <v>0</v>
      </c>
      <c r="E877" s="194">
        <f>IFERROR(IF(INDEX([1]Pivot!$AD$1:$BE$65000,$B877,E$5)=1,1,IF(INDEX([1]Pivot!$B$1:$AB$65000,$B877,E$5)="",2,0)),0)</f>
        <v>0</v>
      </c>
      <c r="F877" s="194">
        <f>IFERROR(IF(INDEX([1]Pivot!$AD$1:$BE$65000,$B877,F$5)=1,1,IF(INDEX([1]Pivot!$B$1:$AB$65000,$B877,F$5)="",2,0)),0)</f>
        <v>0</v>
      </c>
      <c r="G877" s="194">
        <f>IFERROR(IF(INDEX([1]Pivot!$AD$1:$BE$65000,$B877,G$5)=1,1,IF(INDEX([1]Pivot!$B$1:$AB$65000,$B877,G$5)="",2,0)),0)</f>
        <v>0</v>
      </c>
      <c r="H877" s="194">
        <f>IFERROR(IF(INDEX([1]Pivot!$AD$1:$BE$65000,$B877,H$5)=1,1,IF(INDEX([1]Pivot!$B$1:$AB$65000,$B877,H$5)="",2,0)),0)</f>
        <v>0</v>
      </c>
      <c r="I877" s="194">
        <f>IFERROR(IF(INDEX([1]Pivot!$AD$1:$BE$65000,$B877,I$5)=1,1,IF(INDEX([1]Pivot!$B$1:$AB$65000,$B877,I$5)="",2,0)),0)</f>
        <v>0</v>
      </c>
      <c r="J877" s="194">
        <f>IFERROR(IF(INDEX([1]Pivot!$AD$1:$BE$65000,$B877,J$5)=1,1,IF(INDEX([1]Pivot!$B$1:$AB$65000,$B877,J$5)="",2,0)),0)</f>
        <v>0</v>
      </c>
      <c r="K877" s="194">
        <f>IFERROR(IF(INDEX([1]Pivot!$AD$1:$BE$65000,$B877,K$5)=1,1,IF(INDEX([1]Pivot!$B$1:$AB$65000,$B877,K$5)="",2,0)),0)</f>
        <v>0</v>
      </c>
      <c r="L877" s="194">
        <f>IFERROR(IF(INDEX([1]Pivot!$AD$1:$BE$65000,$B877,L$5)=1,1,IF(INDEX([1]Pivot!$B$1:$AB$65000,$B877,L$5)="",2,0)),0)</f>
        <v>0</v>
      </c>
      <c r="M877" s="194">
        <f>IFERROR(IF(INDEX([1]Pivot!$AD$1:$BE$65000,$B877,M$5)=1,1,IF(INDEX([1]Pivot!$B$1:$AB$65000,$B877,M$5)="",2,0)),0)</f>
        <v>0</v>
      </c>
      <c r="N877" s="194">
        <f>IFERROR(IF(INDEX([1]Pivot!$AD$1:$BE$65000,$B877,N$5)=1,1,IF(INDEX([1]Pivot!$B$1:$AB$65000,$B877,N$5)="",2,0)),0)</f>
        <v>0</v>
      </c>
      <c r="O877" s="194">
        <f>IFERROR(IF(INDEX([1]Pivot!$AD$1:$BE$65000,$B877,O$5)=1,1,IF(INDEX([1]Pivot!$B$1:$AB$65000,$B877,O$5)="",2,0)),0)</f>
        <v>0</v>
      </c>
      <c r="P877" s="194">
        <f>IFERROR(IF(INDEX([1]Pivot!$AD$1:$BE$65000,$B877,P$5)=1,1,IF(INDEX([1]Pivot!$B$1:$AB$65000,$B877,P$5)="",2,0)),0)</f>
        <v>0</v>
      </c>
      <c r="Q877" s="194">
        <f>IFERROR(IF(INDEX([1]Pivot!$AD$1:$BE$65000,$B877,Q$5)=1,1,IF(INDEX([1]Pivot!$B$1:$AB$65000,$B877,Q$5)="",2,0)),0)</f>
        <v>0</v>
      </c>
      <c r="R877" s="312"/>
      <c r="S877" s="194">
        <f>IFERROR(IF(INDEX([1]Pivot!$AD$1:$BE$65000,$B877,S$5)=1,1,IF(INDEX([1]Pivot!$B$1:$AB$65000,$B877,S$5)="",2,0)),0)</f>
        <v>0</v>
      </c>
      <c r="T877" s="194">
        <f>IFERROR(IF(INDEX([1]Pivot!$AD$1:$BE$65000,$B877,T$5)=1,1,IF(INDEX([1]Pivot!$B$1:$AB$65000,$B877,T$5)="",2,0)),0)</f>
        <v>0</v>
      </c>
      <c r="U877" s="194">
        <f>IFERROR(IF(INDEX([1]Pivot!$AD$1:$BE$65000,$B877,U$5)=1,1,IF(INDEX([1]Pivot!$B$1:$AB$65000,$B877,U$5)="",2,0)),0)</f>
        <v>0</v>
      </c>
      <c r="V877" s="194">
        <f>IFERROR(IF(INDEX([1]Pivot!$AD$1:$BE$65000,$B877,V$5)=1,1,IF(INDEX([1]Pivot!$B$1:$AB$65000,$B877,V$5)="",2,0)),0)</f>
        <v>0</v>
      </c>
      <c r="W877" s="194">
        <f>IFERROR(IF(INDEX([1]Pivot!$AD$1:$BE$65000,$B877,W$5)=1,1,IF(INDEX([1]Pivot!$B$1:$AB$65000,$B877,W$5)="",2,0)),0)</f>
        <v>0</v>
      </c>
      <c r="X877" s="194">
        <f>IFERROR(IF(INDEX([1]Pivot!$AD$1:$BE$65000,$B877,X$5)=1,1,IF(INDEX([1]Pivot!$B$1:$AB$65000,$B877,X$5)="",2,0)),0)</f>
        <v>0</v>
      </c>
      <c r="Y877" s="194">
        <f>IFERROR(IF(INDEX([1]Pivot!$AD$1:$BE$65000,$B877,Y$5)=1,1,IF(INDEX([1]Pivot!$B$1:$AB$65000,$B877,Y$5)="",2,0)),0)</f>
        <v>0</v>
      </c>
      <c r="Z877" s="194">
        <f>IFERROR(IF(INDEX([1]Pivot!$AD$1:$BE$65000,$B877,Z$5)=1,1,IF(INDEX([1]Pivot!$B$1:$AB$65000,$B877,Z$5)="",2,0)),0)</f>
        <v>0</v>
      </c>
      <c r="AA877" s="194">
        <f>IFERROR(IF(INDEX([1]Pivot!$AD$1:$BE$65000,$B877,AA$5)=1,1,IF(INDEX([1]Pivot!$B$1:$AB$65000,$B877,AA$5)="",2,0)),0)</f>
        <v>0</v>
      </c>
      <c r="AB877" s="194">
        <f>IFERROR(IF(INDEX([1]Pivot!$AD$1:$BE$65000,$B877,AB$5)=1,1,IF(INDEX([1]Pivot!$B$1:$AB$65000,$B877,AB$5)="",2,0)),0)</f>
        <v>0</v>
      </c>
      <c r="AC877" s="194">
        <f>IFERROR(IF(INDEX([1]Pivot!$AD$1:$BE$65000,$B877,AC$5)=1,1,IF(INDEX([1]Pivot!$B$1:$AB$65000,$B877,AC$5)="",2,0)),0)</f>
        <v>0</v>
      </c>
      <c r="AD877" s="313">
        <f>IFERROR(IF(INDEX([1]Pivot!$BF$1:$CG$65000,$B877,AD$5)=1,1,IF(INDEX([1]Pivot!$B$1:$AB$65000,$B877,AD$5)="",2,0)),0)</f>
        <v>0</v>
      </c>
      <c r="AE877" s="313">
        <f>IFERROR(IF(INDEX([1]Pivot!$BF$1:$CG$65000,$B877,AE$5)=1,1,IF(INDEX([1]Pivot!$B$1:$AB$65000,$B877,AE$5)="",2,0)),0)</f>
        <v>0</v>
      </c>
      <c r="AF877" s="313">
        <f>IFERROR(IF(INDEX([1]Pivot!$BF$1:$CG$65000,$B877,AF$5)=1,1,IF(INDEX([1]Pivot!$B$1:$AB$65000,$B877,AF$5)="",2,0)),0)</f>
        <v>0</v>
      </c>
      <c r="AG877" s="313">
        <f>IFERROR(IF(INDEX([1]Pivot!$BF$1:$CG$65000,$B877,AG$5)=1,1,IF(INDEX([1]Pivot!$B$1:$AB$65000,$B877,AG$5)="",2,0)),0)</f>
        <v>0</v>
      </c>
      <c r="AH877" s="313">
        <f>IFERROR(IF(INDEX([1]Pivot!$BF$1:$CG$65000,$B877,AH$5)=1,1,IF(INDEX([1]Pivot!$B$1:$AB$65000,$B877,AH$5)="",2,0)),0)</f>
        <v>0</v>
      </c>
      <c r="AI877" s="313">
        <f>IFERROR(IF(INDEX([1]Pivot!$BF$1:$CG$65000,$B877,AI$5)=1,1,IF(INDEX([1]Pivot!$B$1:$AB$65000,$B877,AI$5)="",2,0)),0)</f>
        <v>0</v>
      </c>
      <c r="AJ877" s="313">
        <f>IFERROR(IF(INDEX([1]Pivot!$BF$1:$CG$65000,$B877,AJ$5)=1,1,IF(INDEX([1]Pivot!$B$1:$AB$65000,$B877,AJ$5)="",2,0)),0)</f>
        <v>0</v>
      </c>
      <c r="AK877" s="313">
        <f>IFERROR(IF(INDEX([1]Pivot!$BF$1:$CG$65000,$B877,AK$5)=1,1,IF(INDEX([1]Pivot!$B$1:$AB$65000,$B877,AK$5)="",2,0)),0)</f>
        <v>0</v>
      </c>
      <c r="AL877" s="313">
        <f>IFERROR(IF(INDEX([1]Pivot!$BF$1:$CG$65000,$B877,AL$5)=1,1,IF(INDEX([1]Pivot!$B$1:$AB$65000,$B877,AL$5)="",2,0)),0)</f>
        <v>0</v>
      </c>
      <c r="AM877" s="313">
        <f>IFERROR(IF(INDEX([1]Pivot!$BF$1:$CG$65000,$B877,AM$5)=1,1,IF(INDEX([1]Pivot!$B$1:$AB$65000,$B877,AM$5)="",2,0)),0)</f>
        <v>0</v>
      </c>
      <c r="AN877" s="313">
        <f>IFERROR(IF(INDEX([1]Pivot!$BF$1:$CG$65000,$B877,AN$5)=1,1,IF(INDEX([1]Pivot!$B$1:$AB$65000,$B877,AN$5)="",2,0)),0)</f>
        <v>0</v>
      </c>
      <c r="AO877" s="313">
        <f>IFERROR(IF(INDEX([1]Pivot!$BF$1:$CG$65000,$B877,AO$5)=1,1,IF(INDEX([1]Pivot!$B$1:$AB$65000,$B877,AO$5)="",2,0)),0)</f>
        <v>0</v>
      </c>
      <c r="AP877" s="313">
        <f>IFERROR(IF(INDEX([1]Pivot!$BF$1:$CG$65000,$B877,AP$5)=1,1,IF(INDEX([1]Pivot!$B$1:$AB$65000,$B877,AP$5)="",2,0)),0)</f>
        <v>0</v>
      </c>
      <c r="AQ877" s="313">
        <f>IFERROR(IF(INDEX([1]Pivot!$BF$1:$CG$65000,$B877,AQ$5)=1,1,IF(INDEX([1]Pivot!$B$1:$AB$65000,$B877,AQ$5)="",2,0)),0)</f>
        <v>0</v>
      </c>
      <c r="AR877" s="313">
        <f>IFERROR(IF(INDEX([1]Pivot!$BF$1:$CG$65000,$B877,AR$5)=1,1,IF(INDEX([1]Pivot!$B$1:$AB$65000,$B877,AR$5)="",2,0)),0)</f>
        <v>0</v>
      </c>
      <c r="AS877" s="312"/>
      <c r="AT877" s="313">
        <f>IFERROR(IF(INDEX([1]Pivot!$BF$1:$CG$65000,$B877,AT$5)=1,1,IF(INDEX([1]Pivot!$B$1:$AB$65000,$B877,AT$5)="",2,0)),0)</f>
        <v>0</v>
      </c>
      <c r="AU877" s="313">
        <f>IFERROR(IF(INDEX([1]Pivot!$BF$1:$CG$65000,$B877,AU$5)=1,1,IF(INDEX([1]Pivot!$B$1:$AB$65000,$B877,AU$5)="",2,0)),0)</f>
        <v>0</v>
      </c>
      <c r="AV877" s="313">
        <f>IFERROR(IF(INDEX([1]Pivot!$BF$1:$CG$65000,$B877,AV$5)=1,1,IF(INDEX([1]Pivot!$B$1:$AB$65000,$B877,AV$5)="",2,0)),0)</f>
        <v>0</v>
      </c>
      <c r="AW877" s="313">
        <f>IFERROR(IF(INDEX([1]Pivot!$BF$1:$CG$65000,$B877,AW$5)=1,1,IF(INDEX([1]Pivot!$B$1:$AB$65000,$B877,AW$5)="",2,0)),0)</f>
        <v>0</v>
      </c>
      <c r="AX877" s="313">
        <f>IFERROR(IF(INDEX([1]Pivot!$BF$1:$CG$65000,$B877,AX$5)=1,1,IF(INDEX([1]Pivot!$B$1:$AB$65000,$B877,AX$5)="",2,0)),0)</f>
        <v>0</v>
      </c>
      <c r="AY877" s="313">
        <f>IFERROR(IF(INDEX([1]Pivot!$BF$1:$CG$65000,$B877,AY$5)=1,1,IF(INDEX([1]Pivot!$B$1:$AB$65000,$B877,AY$5)="",2,0)),0)</f>
        <v>0</v>
      </c>
      <c r="AZ877" s="313">
        <f>IFERROR(IF(INDEX([1]Pivot!$BF$1:$CG$65000,$B877,AZ$5)=1,1,IF(INDEX([1]Pivot!$B$1:$AB$65000,$B877,AZ$5)="",2,0)),0)</f>
        <v>0</v>
      </c>
      <c r="BA877" s="313">
        <f>IFERROR(IF(INDEX([1]Pivot!$BF$1:$CG$65000,$B877,BA$5)=1,1,IF(INDEX([1]Pivot!$B$1:$AB$65000,$B877,BA$5)="",2,0)),0)</f>
        <v>0</v>
      </c>
      <c r="BB877" s="313">
        <f>IFERROR(IF(INDEX([1]Pivot!$BF$1:$CG$65000,$B877,BB$5)=1,1,IF(INDEX([1]Pivot!$B$1:$AB$65000,$B877,BB$5)="",2,0)),0)</f>
        <v>0</v>
      </c>
      <c r="BC877" s="313">
        <f>IFERROR(IF(INDEX([1]Pivot!$BF$1:$CG$65000,$B877,BC$5)=1,1,IF(INDEX([1]Pivot!$B$1:$AB$65000,$B877,BC$5)="",2,0)),0)</f>
        <v>0</v>
      </c>
      <c r="BD877" s="313">
        <f>IFERROR(IF(INDEX([1]Pivot!$BF$1:$CG$65000,$B877,BD$5)=1,1,IF(INDEX([1]Pivot!$B$1:$AB$65000,$B877,BD$5)="",2,0)),0)</f>
        <v>0</v>
      </c>
    </row>
    <row r="878" spans="1:56" x14ac:dyDescent="0.25">
      <c r="A878" s="288">
        <f>'[2]Raw Milk Prices'!A878</f>
        <v>0</v>
      </c>
      <c r="B878" s="296" t="e">
        <f>MATCH(DATE(LEFT('[2]Raw Milk Prices'!$A878,4),RIGHT('[2]Raw Milk Prices'!$A878,2),1),[1]Pivot!$A$1:$A$65000,0)</f>
        <v>#VALUE!</v>
      </c>
      <c r="C878" s="194">
        <f>IFERROR(IF(INDEX([1]Pivot!$AD$1:$BE$65000,$B878,C$5)=1,1,IF(INDEX([1]Pivot!$B$1:$AB$65000,$B878,C$5)="",2,0)),0)</f>
        <v>0</v>
      </c>
      <c r="D878" s="194">
        <f>IFERROR(IF(INDEX([1]Pivot!$AD$1:$BE$65000,$B878,D$5)=1,1,IF(INDEX([1]Pivot!$B$1:$AB$65000,$B878,D$5)="",2,0)),0)</f>
        <v>0</v>
      </c>
      <c r="E878" s="194">
        <f>IFERROR(IF(INDEX([1]Pivot!$AD$1:$BE$65000,$B878,E$5)=1,1,IF(INDEX([1]Pivot!$B$1:$AB$65000,$B878,E$5)="",2,0)),0)</f>
        <v>0</v>
      </c>
      <c r="F878" s="194">
        <f>IFERROR(IF(INDEX([1]Pivot!$AD$1:$BE$65000,$B878,F$5)=1,1,IF(INDEX([1]Pivot!$B$1:$AB$65000,$B878,F$5)="",2,0)),0)</f>
        <v>0</v>
      </c>
      <c r="G878" s="194">
        <f>IFERROR(IF(INDEX([1]Pivot!$AD$1:$BE$65000,$B878,G$5)=1,1,IF(INDEX([1]Pivot!$B$1:$AB$65000,$B878,G$5)="",2,0)),0)</f>
        <v>0</v>
      </c>
      <c r="H878" s="194">
        <f>IFERROR(IF(INDEX([1]Pivot!$AD$1:$BE$65000,$B878,H$5)=1,1,IF(INDEX([1]Pivot!$B$1:$AB$65000,$B878,H$5)="",2,0)),0)</f>
        <v>0</v>
      </c>
      <c r="I878" s="194">
        <f>IFERROR(IF(INDEX([1]Pivot!$AD$1:$BE$65000,$B878,I$5)=1,1,IF(INDEX([1]Pivot!$B$1:$AB$65000,$B878,I$5)="",2,0)),0)</f>
        <v>0</v>
      </c>
      <c r="J878" s="194">
        <f>IFERROR(IF(INDEX([1]Pivot!$AD$1:$BE$65000,$B878,J$5)=1,1,IF(INDEX([1]Pivot!$B$1:$AB$65000,$B878,J$5)="",2,0)),0)</f>
        <v>0</v>
      </c>
      <c r="K878" s="194">
        <f>IFERROR(IF(INDEX([1]Pivot!$AD$1:$BE$65000,$B878,K$5)=1,1,IF(INDEX([1]Pivot!$B$1:$AB$65000,$B878,K$5)="",2,0)),0)</f>
        <v>0</v>
      </c>
      <c r="L878" s="194">
        <f>IFERROR(IF(INDEX([1]Pivot!$AD$1:$BE$65000,$B878,L$5)=1,1,IF(INDEX([1]Pivot!$B$1:$AB$65000,$B878,L$5)="",2,0)),0)</f>
        <v>0</v>
      </c>
      <c r="M878" s="194">
        <f>IFERROR(IF(INDEX([1]Pivot!$AD$1:$BE$65000,$B878,M$5)=1,1,IF(INDEX([1]Pivot!$B$1:$AB$65000,$B878,M$5)="",2,0)),0)</f>
        <v>0</v>
      </c>
      <c r="N878" s="194">
        <f>IFERROR(IF(INDEX([1]Pivot!$AD$1:$BE$65000,$B878,N$5)=1,1,IF(INDEX([1]Pivot!$B$1:$AB$65000,$B878,N$5)="",2,0)),0)</f>
        <v>0</v>
      </c>
      <c r="O878" s="194">
        <f>IFERROR(IF(INDEX([1]Pivot!$AD$1:$BE$65000,$B878,O$5)=1,1,IF(INDEX([1]Pivot!$B$1:$AB$65000,$B878,O$5)="",2,0)),0)</f>
        <v>0</v>
      </c>
      <c r="P878" s="194">
        <f>IFERROR(IF(INDEX([1]Pivot!$AD$1:$BE$65000,$B878,P$5)=1,1,IF(INDEX([1]Pivot!$B$1:$AB$65000,$B878,P$5)="",2,0)),0)</f>
        <v>0</v>
      </c>
      <c r="Q878" s="194">
        <f>IFERROR(IF(INDEX([1]Pivot!$AD$1:$BE$65000,$B878,Q$5)=1,1,IF(INDEX([1]Pivot!$B$1:$AB$65000,$B878,Q$5)="",2,0)),0)</f>
        <v>0</v>
      </c>
      <c r="R878" s="312"/>
      <c r="S878" s="194">
        <f>IFERROR(IF(INDEX([1]Pivot!$AD$1:$BE$65000,$B878,S$5)=1,1,IF(INDEX([1]Pivot!$B$1:$AB$65000,$B878,S$5)="",2,0)),0)</f>
        <v>0</v>
      </c>
      <c r="T878" s="194">
        <f>IFERROR(IF(INDEX([1]Pivot!$AD$1:$BE$65000,$B878,T$5)=1,1,IF(INDEX([1]Pivot!$B$1:$AB$65000,$B878,T$5)="",2,0)),0)</f>
        <v>0</v>
      </c>
      <c r="U878" s="194">
        <f>IFERROR(IF(INDEX([1]Pivot!$AD$1:$BE$65000,$B878,U$5)=1,1,IF(INDEX([1]Pivot!$B$1:$AB$65000,$B878,U$5)="",2,0)),0)</f>
        <v>0</v>
      </c>
      <c r="V878" s="194">
        <f>IFERROR(IF(INDEX([1]Pivot!$AD$1:$BE$65000,$B878,V$5)=1,1,IF(INDEX([1]Pivot!$B$1:$AB$65000,$B878,V$5)="",2,0)),0)</f>
        <v>0</v>
      </c>
      <c r="W878" s="194">
        <f>IFERROR(IF(INDEX([1]Pivot!$AD$1:$BE$65000,$B878,W$5)=1,1,IF(INDEX([1]Pivot!$B$1:$AB$65000,$B878,W$5)="",2,0)),0)</f>
        <v>0</v>
      </c>
      <c r="X878" s="194">
        <f>IFERROR(IF(INDEX([1]Pivot!$AD$1:$BE$65000,$B878,X$5)=1,1,IF(INDEX([1]Pivot!$B$1:$AB$65000,$B878,X$5)="",2,0)),0)</f>
        <v>0</v>
      </c>
      <c r="Y878" s="194">
        <f>IFERROR(IF(INDEX([1]Pivot!$AD$1:$BE$65000,$B878,Y$5)=1,1,IF(INDEX([1]Pivot!$B$1:$AB$65000,$B878,Y$5)="",2,0)),0)</f>
        <v>0</v>
      </c>
      <c r="Z878" s="194">
        <f>IFERROR(IF(INDEX([1]Pivot!$AD$1:$BE$65000,$B878,Z$5)=1,1,IF(INDEX([1]Pivot!$B$1:$AB$65000,$B878,Z$5)="",2,0)),0)</f>
        <v>0</v>
      </c>
      <c r="AA878" s="194">
        <f>IFERROR(IF(INDEX([1]Pivot!$AD$1:$BE$65000,$B878,AA$5)=1,1,IF(INDEX([1]Pivot!$B$1:$AB$65000,$B878,AA$5)="",2,0)),0)</f>
        <v>0</v>
      </c>
      <c r="AB878" s="194">
        <f>IFERROR(IF(INDEX([1]Pivot!$AD$1:$BE$65000,$B878,AB$5)=1,1,IF(INDEX([1]Pivot!$B$1:$AB$65000,$B878,AB$5)="",2,0)),0)</f>
        <v>0</v>
      </c>
      <c r="AC878" s="194">
        <f>IFERROR(IF(INDEX([1]Pivot!$AD$1:$BE$65000,$B878,AC$5)=1,1,IF(INDEX([1]Pivot!$B$1:$AB$65000,$B878,AC$5)="",2,0)),0)</f>
        <v>0</v>
      </c>
      <c r="AD878" s="313">
        <f>IFERROR(IF(INDEX([1]Pivot!$BF$1:$CG$65000,$B878,AD$5)=1,1,IF(INDEX([1]Pivot!$B$1:$AB$65000,$B878,AD$5)="",2,0)),0)</f>
        <v>0</v>
      </c>
      <c r="AE878" s="313">
        <f>IFERROR(IF(INDEX([1]Pivot!$BF$1:$CG$65000,$B878,AE$5)=1,1,IF(INDEX([1]Pivot!$B$1:$AB$65000,$B878,AE$5)="",2,0)),0)</f>
        <v>0</v>
      </c>
      <c r="AF878" s="313">
        <f>IFERROR(IF(INDEX([1]Pivot!$BF$1:$CG$65000,$B878,AF$5)=1,1,IF(INDEX([1]Pivot!$B$1:$AB$65000,$B878,AF$5)="",2,0)),0)</f>
        <v>0</v>
      </c>
      <c r="AG878" s="313">
        <f>IFERROR(IF(INDEX([1]Pivot!$BF$1:$CG$65000,$B878,AG$5)=1,1,IF(INDEX([1]Pivot!$B$1:$AB$65000,$B878,AG$5)="",2,0)),0)</f>
        <v>0</v>
      </c>
      <c r="AH878" s="313">
        <f>IFERROR(IF(INDEX([1]Pivot!$BF$1:$CG$65000,$B878,AH$5)=1,1,IF(INDEX([1]Pivot!$B$1:$AB$65000,$B878,AH$5)="",2,0)),0)</f>
        <v>0</v>
      </c>
      <c r="AI878" s="313">
        <f>IFERROR(IF(INDEX([1]Pivot!$BF$1:$CG$65000,$B878,AI$5)=1,1,IF(INDEX([1]Pivot!$B$1:$AB$65000,$B878,AI$5)="",2,0)),0)</f>
        <v>0</v>
      </c>
      <c r="AJ878" s="313">
        <f>IFERROR(IF(INDEX([1]Pivot!$BF$1:$CG$65000,$B878,AJ$5)=1,1,IF(INDEX([1]Pivot!$B$1:$AB$65000,$B878,AJ$5)="",2,0)),0)</f>
        <v>0</v>
      </c>
      <c r="AK878" s="313">
        <f>IFERROR(IF(INDEX([1]Pivot!$BF$1:$CG$65000,$B878,AK$5)=1,1,IF(INDEX([1]Pivot!$B$1:$AB$65000,$B878,AK$5)="",2,0)),0)</f>
        <v>0</v>
      </c>
      <c r="AL878" s="313">
        <f>IFERROR(IF(INDEX([1]Pivot!$BF$1:$CG$65000,$B878,AL$5)=1,1,IF(INDEX([1]Pivot!$B$1:$AB$65000,$B878,AL$5)="",2,0)),0)</f>
        <v>0</v>
      </c>
      <c r="AM878" s="313">
        <f>IFERROR(IF(INDEX([1]Pivot!$BF$1:$CG$65000,$B878,AM$5)=1,1,IF(INDEX([1]Pivot!$B$1:$AB$65000,$B878,AM$5)="",2,0)),0)</f>
        <v>0</v>
      </c>
      <c r="AN878" s="313">
        <f>IFERROR(IF(INDEX([1]Pivot!$BF$1:$CG$65000,$B878,AN$5)=1,1,IF(INDEX([1]Pivot!$B$1:$AB$65000,$B878,AN$5)="",2,0)),0)</f>
        <v>0</v>
      </c>
      <c r="AO878" s="313">
        <f>IFERROR(IF(INDEX([1]Pivot!$BF$1:$CG$65000,$B878,AO$5)=1,1,IF(INDEX([1]Pivot!$B$1:$AB$65000,$B878,AO$5)="",2,0)),0)</f>
        <v>0</v>
      </c>
      <c r="AP878" s="313">
        <f>IFERROR(IF(INDEX([1]Pivot!$BF$1:$CG$65000,$B878,AP$5)=1,1,IF(INDEX([1]Pivot!$B$1:$AB$65000,$B878,AP$5)="",2,0)),0)</f>
        <v>0</v>
      </c>
      <c r="AQ878" s="313">
        <f>IFERROR(IF(INDEX([1]Pivot!$BF$1:$CG$65000,$B878,AQ$5)=1,1,IF(INDEX([1]Pivot!$B$1:$AB$65000,$B878,AQ$5)="",2,0)),0)</f>
        <v>0</v>
      </c>
      <c r="AR878" s="313">
        <f>IFERROR(IF(INDEX([1]Pivot!$BF$1:$CG$65000,$B878,AR$5)=1,1,IF(INDEX([1]Pivot!$B$1:$AB$65000,$B878,AR$5)="",2,0)),0)</f>
        <v>0</v>
      </c>
      <c r="AS878" s="312"/>
      <c r="AT878" s="313">
        <f>IFERROR(IF(INDEX([1]Pivot!$BF$1:$CG$65000,$B878,AT$5)=1,1,IF(INDEX([1]Pivot!$B$1:$AB$65000,$B878,AT$5)="",2,0)),0)</f>
        <v>0</v>
      </c>
      <c r="AU878" s="313">
        <f>IFERROR(IF(INDEX([1]Pivot!$BF$1:$CG$65000,$B878,AU$5)=1,1,IF(INDEX([1]Pivot!$B$1:$AB$65000,$B878,AU$5)="",2,0)),0)</f>
        <v>0</v>
      </c>
      <c r="AV878" s="313">
        <f>IFERROR(IF(INDEX([1]Pivot!$BF$1:$CG$65000,$B878,AV$5)=1,1,IF(INDEX([1]Pivot!$B$1:$AB$65000,$B878,AV$5)="",2,0)),0)</f>
        <v>0</v>
      </c>
      <c r="AW878" s="313">
        <f>IFERROR(IF(INDEX([1]Pivot!$BF$1:$CG$65000,$B878,AW$5)=1,1,IF(INDEX([1]Pivot!$B$1:$AB$65000,$B878,AW$5)="",2,0)),0)</f>
        <v>0</v>
      </c>
      <c r="AX878" s="313">
        <f>IFERROR(IF(INDEX([1]Pivot!$BF$1:$CG$65000,$B878,AX$5)=1,1,IF(INDEX([1]Pivot!$B$1:$AB$65000,$B878,AX$5)="",2,0)),0)</f>
        <v>0</v>
      </c>
      <c r="AY878" s="313">
        <f>IFERROR(IF(INDEX([1]Pivot!$BF$1:$CG$65000,$B878,AY$5)=1,1,IF(INDEX([1]Pivot!$B$1:$AB$65000,$B878,AY$5)="",2,0)),0)</f>
        <v>0</v>
      </c>
      <c r="AZ878" s="313">
        <f>IFERROR(IF(INDEX([1]Pivot!$BF$1:$CG$65000,$B878,AZ$5)=1,1,IF(INDEX([1]Pivot!$B$1:$AB$65000,$B878,AZ$5)="",2,0)),0)</f>
        <v>0</v>
      </c>
      <c r="BA878" s="313">
        <f>IFERROR(IF(INDEX([1]Pivot!$BF$1:$CG$65000,$B878,BA$5)=1,1,IF(INDEX([1]Pivot!$B$1:$AB$65000,$B878,BA$5)="",2,0)),0)</f>
        <v>0</v>
      </c>
      <c r="BB878" s="313">
        <f>IFERROR(IF(INDEX([1]Pivot!$BF$1:$CG$65000,$B878,BB$5)=1,1,IF(INDEX([1]Pivot!$B$1:$AB$65000,$B878,BB$5)="",2,0)),0)</f>
        <v>0</v>
      </c>
      <c r="BC878" s="313">
        <f>IFERROR(IF(INDEX([1]Pivot!$BF$1:$CG$65000,$B878,BC$5)=1,1,IF(INDEX([1]Pivot!$B$1:$AB$65000,$B878,BC$5)="",2,0)),0)</f>
        <v>0</v>
      </c>
      <c r="BD878" s="313">
        <f>IFERROR(IF(INDEX([1]Pivot!$BF$1:$CG$65000,$B878,BD$5)=1,1,IF(INDEX([1]Pivot!$B$1:$AB$65000,$B878,BD$5)="",2,0)),0)</f>
        <v>0</v>
      </c>
    </row>
    <row r="879" spans="1:56" x14ac:dyDescent="0.25">
      <c r="A879" s="288">
        <f>'[2]Raw Milk Prices'!A879</f>
        <v>0</v>
      </c>
      <c r="B879" s="296" t="e">
        <f>MATCH(DATE(LEFT('[2]Raw Milk Prices'!$A879,4),RIGHT('[2]Raw Milk Prices'!$A879,2),1),[1]Pivot!$A$1:$A$65000,0)</f>
        <v>#VALUE!</v>
      </c>
      <c r="C879" s="194">
        <f>IFERROR(IF(INDEX([1]Pivot!$AD$1:$BE$65000,$B879,C$5)=1,1,IF(INDEX([1]Pivot!$B$1:$AB$65000,$B879,C$5)="",2,0)),0)</f>
        <v>0</v>
      </c>
      <c r="D879" s="194">
        <f>IFERROR(IF(INDEX([1]Pivot!$AD$1:$BE$65000,$B879,D$5)=1,1,IF(INDEX([1]Pivot!$B$1:$AB$65000,$B879,D$5)="",2,0)),0)</f>
        <v>0</v>
      </c>
      <c r="E879" s="194">
        <f>IFERROR(IF(INDEX([1]Pivot!$AD$1:$BE$65000,$B879,E$5)=1,1,IF(INDEX([1]Pivot!$B$1:$AB$65000,$B879,E$5)="",2,0)),0)</f>
        <v>0</v>
      </c>
      <c r="F879" s="194">
        <f>IFERROR(IF(INDEX([1]Pivot!$AD$1:$BE$65000,$B879,F$5)=1,1,IF(INDEX([1]Pivot!$B$1:$AB$65000,$B879,F$5)="",2,0)),0)</f>
        <v>0</v>
      </c>
      <c r="G879" s="194">
        <f>IFERROR(IF(INDEX([1]Pivot!$AD$1:$BE$65000,$B879,G$5)=1,1,IF(INDEX([1]Pivot!$B$1:$AB$65000,$B879,G$5)="",2,0)),0)</f>
        <v>0</v>
      </c>
      <c r="H879" s="194">
        <f>IFERROR(IF(INDEX([1]Pivot!$AD$1:$BE$65000,$B879,H$5)=1,1,IF(INDEX([1]Pivot!$B$1:$AB$65000,$B879,H$5)="",2,0)),0)</f>
        <v>0</v>
      </c>
      <c r="I879" s="194">
        <f>IFERROR(IF(INDEX([1]Pivot!$AD$1:$BE$65000,$B879,I$5)=1,1,IF(INDEX([1]Pivot!$B$1:$AB$65000,$B879,I$5)="",2,0)),0)</f>
        <v>0</v>
      </c>
      <c r="J879" s="194">
        <f>IFERROR(IF(INDEX([1]Pivot!$AD$1:$BE$65000,$B879,J$5)=1,1,IF(INDEX([1]Pivot!$B$1:$AB$65000,$B879,J$5)="",2,0)),0)</f>
        <v>0</v>
      </c>
      <c r="K879" s="194">
        <f>IFERROR(IF(INDEX([1]Pivot!$AD$1:$BE$65000,$B879,K$5)=1,1,IF(INDEX([1]Pivot!$B$1:$AB$65000,$B879,K$5)="",2,0)),0)</f>
        <v>0</v>
      </c>
      <c r="L879" s="194">
        <f>IFERROR(IF(INDEX([1]Pivot!$AD$1:$BE$65000,$B879,L$5)=1,1,IF(INDEX([1]Pivot!$B$1:$AB$65000,$B879,L$5)="",2,0)),0)</f>
        <v>0</v>
      </c>
      <c r="M879" s="194">
        <f>IFERROR(IF(INDEX([1]Pivot!$AD$1:$BE$65000,$B879,M$5)=1,1,IF(INDEX([1]Pivot!$B$1:$AB$65000,$B879,M$5)="",2,0)),0)</f>
        <v>0</v>
      </c>
      <c r="N879" s="194">
        <f>IFERROR(IF(INDEX([1]Pivot!$AD$1:$BE$65000,$B879,N$5)=1,1,IF(INDEX([1]Pivot!$B$1:$AB$65000,$B879,N$5)="",2,0)),0)</f>
        <v>0</v>
      </c>
      <c r="O879" s="194">
        <f>IFERROR(IF(INDEX([1]Pivot!$AD$1:$BE$65000,$B879,O$5)=1,1,IF(INDEX([1]Pivot!$B$1:$AB$65000,$B879,O$5)="",2,0)),0)</f>
        <v>0</v>
      </c>
      <c r="P879" s="194">
        <f>IFERROR(IF(INDEX([1]Pivot!$AD$1:$BE$65000,$B879,P$5)=1,1,IF(INDEX([1]Pivot!$B$1:$AB$65000,$B879,P$5)="",2,0)),0)</f>
        <v>0</v>
      </c>
      <c r="Q879" s="194">
        <f>IFERROR(IF(INDEX([1]Pivot!$AD$1:$BE$65000,$B879,Q$5)=1,1,IF(INDEX([1]Pivot!$B$1:$AB$65000,$B879,Q$5)="",2,0)),0)</f>
        <v>0</v>
      </c>
      <c r="R879" s="312"/>
      <c r="S879" s="194">
        <f>IFERROR(IF(INDEX([1]Pivot!$AD$1:$BE$65000,$B879,S$5)=1,1,IF(INDEX([1]Pivot!$B$1:$AB$65000,$B879,S$5)="",2,0)),0)</f>
        <v>0</v>
      </c>
      <c r="T879" s="194">
        <f>IFERROR(IF(INDEX([1]Pivot!$AD$1:$BE$65000,$B879,T$5)=1,1,IF(INDEX([1]Pivot!$B$1:$AB$65000,$B879,T$5)="",2,0)),0)</f>
        <v>0</v>
      </c>
      <c r="U879" s="194">
        <f>IFERROR(IF(INDEX([1]Pivot!$AD$1:$BE$65000,$B879,U$5)=1,1,IF(INDEX([1]Pivot!$B$1:$AB$65000,$B879,U$5)="",2,0)),0)</f>
        <v>0</v>
      </c>
      <c r="V879" s="194">
        <f>IFERROR(IF(INDEX([1]Pivot!$AD$1:$BE$65000,$B879,V$5)=1,1,IF(INDEX([1]Pivot!$B$1:$AB$65000,$B879,V$5)="",2,0)),0)</f>
        <v>0</v>
      </c>
      <c r="W879" s="194">
        <f>IFERROR(IF(INDEX([1]Pivot!$AD$1:$BE$65000,$B879,W$5)=1,1,IF(INDEX([1]Pivot!$B$1:$AB$65000,$B879,W$5)="",2,0)),0)</f>
        <v>0</v>
      </c>
      <c r="X879" s="194">
        <f>IFERROR(IF(INDEX([1]Pivot!$AD$1:$BE$65000,$B879,X$5)=1,1,IF(INDEX([1]Pivot!$B$1:$AB$65000,$B879,X$5)="",2,0)),0)</f>
        <v>0</v>
      </c>
      <c r="Y879" s="194">
        <f>IFERROR(IF(INDEX([1]Pivot!$AD$1:$BE$65000,$B879,Y$5)=1,1,IF(INDEX([1]Pivot!$B$1:$AB$65000,$B879,Y$5)="",2,0)),0)</f>
        <v>0</v>
      </c>
      <c r="Z879" s="194">
        <f>IFERROR(IF(INDEX([1]Pivot!$AD$1:$BE$65000,$B879,Z$5)=1,1,IF(INDEX([1]Pivot!$B$1:$AB$65000,$B879,Z$5)="",2,0)),0)</f>
        <v>0</v>
      </c>
      <c r="AA879" s="194">
        <f>IFERROR(IF(INDEX([1]Pivot!$AD$1:$BE$65000,$B879,AA$5)=1,1,IF(INDEX([1]Pivot!$B$1:$AB$65000,$B879,AA$5)="",2,0)),0)</f>
        <v>0</v>
      </c>
      <c r="AB879" s="194">
        <f>IFERROR(IF(INDEX([1]Pivot!$AD$1:$BE$65000,$B879,AB$5)=1,1,IF(INDEX([1]Pivot!$B$1:$AB$65000,$B879,AB$5)="",2,0)),0)</f>
        <v>0</v>
      </c>
      <c r="AC879" s="194">
        <f>IFERROR(IF(INDEX([1]Pivot!$AD$1:$BE$65000,$B879,AC$5)=1,1,IF(INDEX([1]Pivot!$B$1:$AB$65000,$B879,AC$5)="",2,0)),0)</f>
        <v>0</v>
      </c>
      <c r="AD879" s="313">
        <f>IFERROR(IF(INDEX([1]Pivot!$BF$1:$CG$65000,$B879,AD$5)=1,1,IF(INDEX([1]Pivot!$B$1:$AB$65000,$B879,AD$5)="",2,0)),0)</f>
        <v>0</v>
      </c>
      <c r="AE879" s="313">
        <f>IFERROR(IF(INDEX([1]Pivot!$BF$1:$CG$65000,$B879,AE$5)=1,1,IF(INDEX([1]Pivot!$B$1:$AB$65000,$B879,AE$5)="",2,0)),0)</f>
        <v>0</v>
      </c>
      <c r="AF879" s="313">
        <f>IFERROR(IF(INDEX([1]Pivot!$BF$1:$CG$65000,$B879,AF$5)=1,1,IF(INDEX([1]Pivot!$B$1:$AB$65000,$B879,AF$5)="",2,0)),0)</f>
        <v>0</v>
      </c>
      <c r="AG879" s="313">
        <f>IFERROR(IF(INDEX([1]Pivot!$BF$1:$CG$65000,$B879,AG$5)=1,1,IF(INDEX([1]Pivot!$B$1:$AB$65000,$B879,AG$5)="",2,0)),0)</f>
        <v>0</v>
      </c>
      <c r="AH879" s="313">
        <f>IFERROR(IF(INDEX([1]Pivot!$BF$1:$CG$65000,$B879,AH$5)=1,1,IF(INDEX([1]Pivot!$B$1:$AB$65000,$B879,AH$5)="",2,0)),0)</f>
        <v>0</v>
      </c>
      <c r="AI879" s="313">
        <f>IFERROR(IF(INDEX([1]Pivot!$BF$1:$CG$65000,$B879,AI$5)=1,1,IF(INDEX([1]Pivot!$B$1:$AB$65000,$B879,AI$5)="",2,0)),0)</f>
        <v>0</v>
      </c>
      <c r="AJ879" s="313">
        <f>IFERROR(IF(INDEX([1]Pivot!$BF$1:$CG$65000,$B879,AJ$5)=1,1,IF(INDEX([1]Pivot!$B$1:$AB$65000,$B879,AJ$5)="",2,0)),0)</f>
        <v>0</v>
      </c>
      <c r="AK879" s="313">
        <f>IFERROR(IF(INDEX([1]Pivot!$BF$1:$CG$65000,$B879,AK$5)=1,1,IF(INDEX([1]Pivot!$B$1:$AB$65000,$B879,AK$5)="",2,0)),0)</f>
        <v>0</v>
      </c>
      <c r="AL879" s="313">
        <f>IFERROR(IF(INDEX([1]Pivot!$BF$1:$CG$65000,$B879,AL$5)=1,1,IF(INDEX([1]Pivot!$B$1:$AB$65000,$B879,AL$5)="",2,0)),0)</f>
        <v>0</v>
      </c>
      <c r="AM879" s="313">
        <f>IFERROR(IF(INDEX([1]Pivot!$BF$1:$CG$65000,$B879,AM$5)=1,1,IF(INDEX([1]Pivot!$B$1:$AB$65000,$B879,AM$5)="",2,0)),0)</f>
        <v>0</v>
      </c>
      <c r="AN879" s="313">
        <f>IFERROR(IF(INDEX([1]Pivot!$BF$1:$CG$65000,$B879,AN$5)=1,1,IF(INDEX([1]Pivot!$B$1:$AB$65000,$B879,AN$5)="",2,0)),0)</f>
        <v>0</v>
      </c>
      <c r="AO879" s="313">
        <f>IFERROR(IF(INDEX([1]Pivot!$BF$1:$CG$65000,$B879,AO$5)=1,1,IF(INDEX([1]Pivot!$B$1:$AB$65000,$B879,AO$5)="",2,0)),0)</f>
        <v>0</v>
      </c>
      <c r="AP879" s="313">
        <f>IFERROR(IF(INDEX([1]Pivot!$BF$1:$CG$65000,$B879,AP$5)=1,1,IF(INDEX([1]Pivot!$B$1:$AB$65000,$B879,AP$5)="",2,0)),0)</f>
        <v>0</v>
      </c>
      <c r="AQ879" s="313">
        <f>IFERROR(IF(INDEX([1]Pivot!$BF$1:$CG$65000,$B879,AQ$5)=1,1,IF(INDEX([1]Pivot!$B$1:$AB$65000,$B879,AQ$5)="",2,0)),0)</f>
        <v>0</v>
      </c>
      <c r="AR879" s="313">
        <f>IFERROR(IF(INDEX([1]Pivot!$BF$1:$CG$65000,$B879,AR$5)=1,1,IF(INDEX([1]Pivot!$B$1:$AB$65000,$B879,AR$5)="",2,0)),0)</f>
        <v>0</v>
      </c>
      <c r="AS879" s="312"/>
      <c r="AT879" s="313">
        <f>IFERROR(IF(INDEX([1]Pivot!$BF$1:$CG$65000,$B879,AT$5)=1,1,IF(INDEX([1]Pivot!$B$1:$AB$65000,$B879,AT$5)="",2,0)),0)</f>
        <v>0</v>
      </c>
      <c r="AU879" s="313">
        <f>IFERROR(IF(INDEX([1]Pivot!$BF$1:$CG$65000,$B879,AU$5)=1,1,IF(INDEX([1]Pivot!$B$1:$AB$65000,$B879,AU$5)="",2,0)),0)</f>
        <v>0</v>
      </c>
      <c r="AV879" s="313">
        <f>IFERROR(IF(INDEX([1]Pivot!$BF$1:$CG$65000,$B879,AV$5)=1,1,IF(INDEX([1]Pivot!$B$1:$AB$65000,$B879,AV$5)="",2,0)),0)</f>
        <v>0</v>
      </c>
      <c r="AW879" s="313">
        <f>IFERROR(IF(INDEX([1]Pivot!$BF$1:$CG$65000,$B879,AW$5)=1,1,IF(INDEX([1]Pivot!$B$1:$AB$65000,$B879,AW$5)="",2,0)),0)</f>
        <v>0</v>
      </c>
      <c r="AX879" s="313">
        <f>IFERROR(IF(INDEX([1]Pivot!$BF$1:$CG$65000,$B879,AX$5)=1,1,IF(INDEX([1]Pivot!$B$1:$AB$65000,$B879,AX$5)="",2,0)),0)</f>
        <v>0</v>
      </c>
      <c r="AY879" s="313">
        <f>IFERROR(IF(INDEX([1]Pivot!$BF$1:$CG$65000,$B879,AY$5)=1,1,IF(INDEX([1]Pivot!$B$1:$AB$65000,$B879,AY$5)="",2,0)),0)</f>
        <v>0</v>
      </c>
      <c r="AZ879" s="313">
        <f>IFERROR(IF(INDEX([1]Pivot!$BF$1:$CG$65000,$B879,AZ$5)=1,1,IF(INDEX([1]Pivot!$B$1:$AB$65000,$B879,AZ$5)="",2,0)),0)</f>
        <v>0</v>
      </c>
      <c r="BA879" s="313">
        <f>IFERROR(IF(INDEX([1]Pivot!$BF$1:$CG$65000,$B879,BA$5)=1,1,IF(INDEX([1]Pivot!$B$1:$AB$65000,$B879,BA$5)="",2,0)),0)</f>
        <v>0</v>
      </c>
      <c r="BB879" s="313">
        <f>IFERROR(IF(INDEX([1]Pivot!$BF$1:$CG$65000,$B879,BB$5)=1,1,IF(INDEX([1]Pivot!$B$1:$AB$65000,$B879,BB$5)="",2,0)),0)</f>
        <v>0</v>
      </c>
      <c r="BC879" s="313">
        <f>IFERROR(IF(INDEX([1]Pivot!$BF$1:$CG$65000,$B879,BC$5)=1,1,IF(INDEX([1]Pivot!$B$1:$AB$65000,$B879,BC$5)="",2,0)),0)</f>
        <v>0</v>
      </c>
      <c r="BD879" s="313">
        <f>IFERROR(IF(INDEX([1]Pivot!$BF$1:$CG$65000,$B879,BD$5)=1,1,IF(INDEX([1]Pivot!$B$1:$AB$65000,$B879,BD$5)="",2,0)),0)</f>
        <v>0</v>
      </c>
    </row>
    <row r="880" spans="1:56" x14ac:dyDescent="0.25">
      <c r="A880" s="288">
        <f>'[2]Raw Milk Prices'!A880</f>
        <v>0</v>
      </c>
      <c r="B880" s="296" t="e">
        <f>MATCH(DATE(LEFT('[2]Raw Milk Prices'!$A880,4),RIGHT('[2]Raw Milk Prices'!$A880,2),1),[1]Pivot!$A$1:$A$65000,0)</f>
        <v>#VALUE!</v>
      </c>
      <c r="C880" s="194">
        <f>IFERROR(IF(INDEX([1]Pivot!$AD$1:$BE$65000,$B880,C$5)=1,1,IF(INDEX([1]Pivot!$B$1:$AB$65000,$B880,C$5)="",2,0)),0)</f>
        <v>0</v>
      </c>
      <c r="D880" s="194">
        <f>IFERROR(IF(INDEX([1]Pivot!$AD$1:$BE$65000,$B880,D$5)=1,1,IF(INDEX([1]Pivot!$B$1:$AB$65000,$B880,D$5)="",2,0)),0)</f>
        <v>0</v>
      </c>
      <c r="E880" s="194">
        <f>IFERROR(IF(INDEX([1]Pivot!$AD$1:$BE$65000,$B880,E$5)=1,1,IF(INDEX([1]Pivot!$B$1:$AB$65000,$B880,E$5)="",2,0)),0)</f>
        <v>0</v>
      </c>
      <c r="F880" s="194">
        <f>IFERROR(IF(INDEX([1]Pivot!$AD$1:$BE$65000,$B880,F$5)=1,1,IF(INDEX([1]Pivot!$B$1:$AB$65000,$B880,F$5)="",2,0)),0)</f>
        <v>0</v>
      </c>
      <c r="G880" s="194">
        <f>IFERROR(IF(INDEX([1]Pivot!$AD$1:$BE$65000,$B880,G$5)=1,1,IF(INDEX([1]Pivot!$B$1:$AB$65000,$B880,G$5)="",2,0)),0)</f>
        <v>0</v>
      </c>
      <c r="H880" s="194">
        <f>IFERROR(IF(INDEX([1]Pivot!$AD$1:$BE$65000,$B880,H$5)=1,1,IF(INDEX([1]Pivot!$B$1:$AB$65000,$B880,H$5)="",2,0)),0)</f>
        <v>0</v>
      </c>
      <c r="I880" s="194">
        <f>IFERROR(IF(INDEX([1]Pivot!$AD$1:$BE$65000,$B880,I$5)=1,1,IF(INDEX([1]Pivot!$B$1:$AB$65000,$B880,I$5)="",2,0)),0)</f>
        <v>0</v>
      </c>
      <c r="J880" s="194">
        <f>IFERROR(IF(INDEX([1]Pivot!$AD$1:$BE$65000,$B880,J$5)=1,1,IF(INDEX([1]Pivot!$B$1:$AB$65000,$B880,J$5)="",2,0)),0)</f>
        <v>0</v>
      </c>
      <c r="K880" s="194">
        <f>IFERROR(IF(INDEX([1]Pivot!$AD$1:$BE$65000,$B880,K$5)=1,1,IF(INDEX([1]Pivot!$B$1:$AB$65000,$B880,K$5)="",2,0)),0)</f>
        <v>0</v>
      </c>
      <c r="L880" s="194">
        <f>IFERROR(IF(INDEX([1]Pivot!$AD$1:$BE$65000,$B880,L$5)=1,1,IF(INDEX([1]Pivot!$B$1:$AB$65000,$B880,L$5)="",2,0)),0)</f>
        <v>0</v>
      </c>
      <c r="M880" s="194">
        <f>IFERROR(IF(INDEX([1]Pivot!$AD$1:$BE$65000,$B880,M$5)=1,1,IF(INDEX([1]Pivot!$B$1:$AB$65000,$B880,M$5)="",2,0)),0)</f>
        <v>0</v>
      </c>
      <c r="N880" s="194">
        <f>IFERROR(IF(INDEX([1]Pivot!$AD$1:$BE$65000,$B880,N$5)=1,1,IF(INDEX([1]Pivot!$B$1:$AB$65000,$B880,N$5)="",2,0)),0)</f>
        <v>0</v>
      </c>
      <c r="O880" s="194">
        <f>IFERROR(IF(INDEX([1]Pivot!$AD$1:$BE$65000,$B880,O$5)=1,1,IF(INDEX([1]Pivot!$B$1:$AB$65000,$B880,O$5)="",2,0)),0)</f>
        <v>0</v>
      </c>
      <c r="P880" s="194">
        <f>IFERROR(IF(INDEX([1]Pivot!$AD$1:$BE$65000,$B880,P$5)=1,1,IF(INDEX([1]Pivot!$B$1:$AB$65000,$B880,P$5)="",2,0)),0)</f>
        <v>0</v>
      </c>
      <c r="Q880" s="194">
        <f>IFERROR(IF(INDEX([1]Pivot!$AD$1:$BE$65000,$B880,Q$5)=1,1,IF(INDEX([1]Pivot!$B$1:$AB$65000,$B880,Q$5)="",2,0)),0)</f>
        <v>0</v>
      </c>
      <c r="R880" s="312"/>
      <c r="S880" s="194">
        <f>IFERROR(IF(INDEX([1]Pivot!$AD$1:$BE$65000,$B880,S$5)=1,1,IF(INDEX([1]Pivot!$B$1:$AB$65000,$B880,S$5)="",2,0)),0)</f>
        <v>0</v>
      </c>
      <c r="T880" s="194">
        <f>IFERROR(IF(INDEX([1]Pivot!$AD$1:$BE$65000,$B880,T$5)=1,1,IF(INDEX([1]Pivot!$B$1:$AB$65000,$B880,T$5)="",2,0)),0)</f>
        <v>0</v>
      </c>
      <c r="U880" s="194">
        <f>IFERROR(IF(INDEX([1]Pivot!$AD$1:$BE$65000,$B880,U$5)=1,1,IF(INDEX([1]Pivot!$B$1:$AB$65000,$B880,U$5)="",2,0)),0)</f>
        <v>0</v>
      </c>
      <c r="V880" s="194">
        <f>IFERROR(IF(INDEX([1]Pivot!$AD$1:$BE$65000,$B880,V$5)=1,1,IF(INDEX([1]Pivot!$B$1:$AB$65000,$B880,V$5)="",2,0)),0)</f>
        <v>0</v>
      </c>
      <c r="W880" s="194">
        <f>IFERROR(IF(INDEX([1]Pivot!$AD$1:$BE$65000,$B880,W$5)=1,1,IF(INDEX([1]Pivot!$B$1:$AB$65000,$B880,W$5)="",2,0)),0)</f>
        <v>0</v>
      </c>
      <c r="X880" s="194">
        <f>IFERROR(IF(INDEX([1]Pivot!$AD$1:$BE$65000,$B880,X$5)=1,1,IF(INDEX([1]Pivot!$B$1:$AB$65000,$B880,X$5)="",2,0)),0)</f>
        <v>0</v>
      </c>
      <c r="Y880" s="194">
        <f>IFERROR(IF(INDEX([1]Pivot!$AD$1:$BE$65000,$B880,Y$5)=1,1,IF(INDEX([1]Pivot!$B$1:$AB$65000,$B880,Y$5)="",2,0)),0)</f>
        <v>0</v>
      </c>
      <c r="Z880" s="194">
        <f>IFERROR(IF(INDEX([1]Pivot!$AD$1:$BE$65000,$B880,Z$5)=1,1,IF(INDEX([1]Pivot!$B$1:$AB$65000,$B880,Z$5)="",2,0)),0)</f>
        <v>0</v>
      </c>
      <c r="AA880" s="194">
        <f>IFERROR(IF(INDEX([1]Pivot!$AD$1:$BE$65000,$B880,AA$5)=1,1,IF(INDEX([1]Pivot!$B$1:$AB$65000,$B880,AA$5)="",2,0)),0)</f>
        <v>0</v>
      </c>
      <c r="AB880" s="194">
        <f>IFERROR(IF(INDEX([1]Pivot!$AD$1:$BE$65000,$B880,AB$5)=1,1,IF(INDEX([1]Pivot!$B$1:$AB$65000,$B880,AB$5)="",2,0)),0)</f>
        <v>0</v>
      </c>
      <c r="AC880" s="194">
        <f>IFERROR(IF(INDEX([1]Pivot!$AD$1:$BE$65000,$B880,AC$5)=1,1,IF(INDEX([1]Pivot!$B$1:$AB$65000,$B880,AC$5)="",2,0)),0)</f>
        <v>0</v>
      </c>
      <c r="AD880" s="313">
        <f>IFERROR(IF(INDEX([1]Pivot!$BF$1:$CG$65000,$B880,AD$5)=1,1,IF(INDEX([1]Pivot!$B$1:$AB$65000,$B880,AD$5)="",2,0)),0)</f>
        <v>0</v>
      </c>
      <c r="AE880" s="313">
        <f>IFERROR(IF(INDEX([1]Pivot!$BF$1:$CG$65000,$B880,AE$5)=1,1,IF(INDEX([1]Pivot!$B$1:$AB$65000,$B880,AE$5)="",2,0)),0)</f>
        <v>0</v>
      </c>
      <c r="AF880" s="313">
        <f>IFERROR(IF(INDEX([1]Pivot!$BF$1:$CG$65000,$B880,AF$5)=1,1,IF(INDEX([1]Pivot!$B$1:$AB$65000,$B880,AF$5)="",2,0)),0)</f>
        <v>0</v>
      </c>
      <c r="AG880" s="313">
        <f>IFERROR(IF(INDEX([1]Pivot!$BF$1:$CG$65000,$B880,AG$5)=1,1,IF(INDEX([1]Pivot!$B$1:$AB$65000,$B880,AG$5)="",2,0)),0)</f>
        <v>0</v>
      </c>
      <c r="AH880" s="313">
        <f>IFERROR(IF(INDEX([1]Pivot!$BF$1:$CG$65000,$B880,AH$5)=1,1,IF(INDEX([1]Pivot!$B$1:$AB$65000,$B880,AH$5)="",2,0)),0)</f>
        <v>0</v>
      </c>
      <c r="AI880" s="313">
        <f>IFERROR(IF(INDEX([1]Pivot!$BF$1:$CG$65000,$B880,AI$5)=1,1,IF(INDEX([1]Pivot!$B$1:$AB$65000,$B880,AI$5)="",2,0)),0)</f>
        <v>0</v>
      </c>
      <c r="AJ880" s="313">
        <f>IFERROR(IF(INDEX([1]Pivot!$BF$1:$CG$65000,$B880,AJ$5)=1,1,IF(INDEX([1]Pivot!$B$1:$AB$65000,$B880,AJ$5)="",2,0)),0)</f>
        <v>0</v>
      </c>
      <c r="AK880" s="313">
        <f>IFERROR(IF(INDEX([1]Pivot!$BF$1:$CG$65000,$B880,AK$5)=1,1,IF(INDEX([1]Pivot!$B$1:$AB$65000,$B880,AK$5)="",2,0)),0)</f>
        <v>0</v>
      </c>
      <c r="AL880" s="313">
        <f>IFERROR(IF(INDEX([1]Pivot!$BF$1:$CG$65000,$B880,AL$5)=1,1,IF(INDEX([1]Pivot!$B$1:$AB$65000,$B880,AL$5)="",2,0)),0)</f>
        <v>0</v>
      </c>
      <c r="AM880" s="313">
        <f>IFERROR(IF(INDEX([1]Pivot!$BF$1:$CG$65000,$B880,AM$5)=1,1,IF(INDEX([1]Pivot!$B$1:$AB$65000,$B880,AM$5)="",2,0)),0)</f>
        <v>0</v>
      </c>
      <c r="AN880" s="313">
        <f>IFERROR(IF(INDEX([1]Pivot!$BF$1:$CG$65000,$B880,AN$5)=1,1,IF(INDEX([1]Pivot!$B$1:$AB$65000,$B880,AN$5)="",2,0)),0)</f>
        <v>0</v>
      </c>
      <c r="AO880" s="313">
        <f>IFERROR(IF(INDEX([1]Pivot!$BF$1:$CG$65000,$B880,AO$5)=1,1,IF(INDEX([1]Pivot!$B$1:$AB$65000,$B880,AO$5)="",2,0)),0)</f>
        <v>0</v>
      </c>
      <c r="AP880" s="313">
        <f>IFERROR(IF(INDEX([1]Pivot!$BF$1:$CG$65000,$B880,AP$5)=1,1,IF(INDEX([1]Pivot!$B$1:$AB$65000,$B880,AP$5)="",2,0)),0)</f>
        <v>0</v>
      </c>
      <c r="AQ880" s="313">
        <f>IFERROR(IF(INDEX([1]Pivot!$BF$1:$CG$65000,$B880,AQ$5)=1,1,IF(INDEX([1]Pivot!$B$1:$AB$65000,$B880,AQ$5)="",2,0)),0)</f>
        <v>0</v>
      </c>
      <c r="AR880" s="313">
        <f>IFERROR(IF(INDEX([1]Pivot!$BF$1:$CG$65000,$B880,AR$5)=1,1,IF(INDEX([1]Pivot!$B$1:$AB$65000,$B880,AR$5)="",2,0)),0)</f>
        <v>0</v>
      </c>
      <c r="AS880" s="312"/>
      <c r="AT880" s="313">
        <f>IFERROR(IF(INDEX([1]Pivot!$BF$1:$CG$65000,$B880,AT$5)=1,1,IF(INDEX([1]Pivot!$B$1:$AB$65000,$B880,AT$5)="",2,0)),0)</f>
        <v>0</v>
      </c>
      <c r="AU880" s="313">
        <f>IFERROR(IF(INDEX([1]Pivot!$BF$1:$CG$65000,$B880,AU$5)=1,1,IF(INDEX([1]Pivot!$B$1:$AB$65000,$B880,AU$5)="",2,0)),0)</f>
        <v>0</v>
      </c>
      <c r="AV880" s="313">
        <f>IFERROR(IF(INDEX([1]Pivot!$BF$1:$CG$65000,$B880,AV$5)=1,1,IF(INDEX([1]Pivot!$B$1:$AB$65000,$B880,AV$5)="",2,0)),0)</f>
        <v>0</v>
      </c>
      <c r="AW880" s="313">
        <f>IFERROR(IF(INDEX([1]Pivot!$BF$1:$CG$65000,$B880,AW$5)=1,1,IF(INDEX([1]Pivot!$B$1:$AB$65000,$B880,AW$5)="",2,0)),0)</f>
        <v>0</v>
      </c>
      <c r="AX880" s="313">
        <f>IFERROR(IF(INDEX([1]Pivot!$BF$1:$CG$65000,$B880,AX$5)=1,1,IF(INDEX([1]Pivot!$B$1:$AB$65000,$B880,AX$5)="",2,0)),0)</f>
        <v>0</v>
      </c>
      <c r="AY880" s="313">
        <f>IFERROR(IF(INDEX([1]Pivot!$BF$1:$CG$65000,$B880,AY$5)=1,1,IF(INDEX([1]Pivot!$B$1:$AB$65000,$B880,AY$5)="",2,0)),0)</f>
        <v>0</v>
      </c>
      <c r="AZ880" s="313">
        <f>IFERROR(IF(INDEX([1]Pivot!$BF$1:$CG$65000,$B880,AZ$5)=1,1,IF(INDEX([1]Pivot!$B$1:$AB$65000,$B880,AZ$5)="",2,0)),0)</f>
        <v>0</v>
      </c>
      <c r="BA880" s="313">
        <f>IFERROR(IF(INDEX([1]Pivot!$BF$1:$CG$65000,$B880,BA$5)=1,1,IF(INDEX([1]Pivot!$B$1:$AB$65000,$B880,BA$5)="",2,0)),0)</f>
        <v>0</v>
      </c>
      <c r="BB880" s="313">
        <f>IFERROR(IF(INDEX([1]Pivot!$BF$1:$CG$65000,$B880,BB$5)=1,1,IF(INDEX([1]Pivot!$B$1:$AB$65000,$B880,BB$5)="",2,0)),0)</f>
        <v>0</v>
      </c>
      <c r="BC880" s="313">
        <f>IFERROR(IF(INDEX([1]Pivot!$BF$1:$CG$65000,$B880,BC$5)=1,1,IF(INDEX([1]Pivot!$B$1:$AB$65000,$B880,BC$5)="",2,0)),0)</f>
        <v>0</v>
      </c>
      <c r="BD880" s="313">
        <f>IFERROR(IF(INDEX([1]Pivot!$BF$1:$CG$65000,$B880,BD$5)=1,1,IF(INDEX([1]Pivot!$B$1:$AB$65000,$B880,BD$5)="",2,0)),0)</f>
        <v>0</v>
      </c>
    </row>
    <row r="881" spans="1:56" x14ac:dyDescent="0.25">
      <c r="A881" s="288">
        <f>'[2]Raw Milk Prices'!A881</f>
        <v>0</v>
      </c>
      <c r="B881" s="296" t="e">
        <f>MATCH(DATE(LEFT('[2]Raw Milk Prices'!$A881,4),RIGHT('[2]Raw Milk Prices'!$A881,2),1),[1]Pivot!$A$1:$A$65000,0)</f>
        <v>#VALUE!</v>
      </c>
      <c r="C881" s="194">
        <f>IFERROR(IF(INDEX([1]Pivot!$AD$1:$BE$65000,$B881,C$5)=1,1,IF(INDEX([1]Pivot!$B$1:$AB$65000,$B881,C$5)="",2,0)),0)</f>
        <v>0</v>
      </c>
      <c r="D881" s="194">
        <f>IFERROR(IF(INDEX([1]Pivot!$AD$1:$BE$65000,$B881,D$5)=1,1,IF(INDEX([1]Pivot!$B$1:$AB$65000,$B881,D$5)="",2,0)),0)</f>
        <v>0</v>
      </c>
      <c r="E881" s="194">
        <f>IFERROR(IF(INDEX([1]Pivot!$AD$1:$BE$65000,$B881,E$5)=1,1,IF(INDEX([1]Pivot!$B$1:$AB$65000,$B881,E$5)="",2,0)),0)</f>
        <v>0</v>
      </c>
      <c r="F881" s="194">
        <f>IFERROR(IF(INDEX([1]Pivot!$AD$1:$BE$65000,$B881,F$5)=1,1,IF(INDEX([1]Pivot!$B$1:$AB$65000,$B881,F$5)="",2,0)),0)</f>
        <v>0</v>
      </c>
      <c r="G881" s="194">
        <f>IFERROR(IF(INDEX([1]Pivot!$AD$1:$BE$65000,$B881,G$5)=1,1,IF(INDEX([1]Pivot!$B$1:$AB$65000,$B881,G$5)="",2,0)),0)</f>
        <v>0</v>
      </c>
      <c r="H881" s="194">
        <f>IFERROR(IF(INDEX([1]Pivot!$AD$1:$BE$65000,$B881,H$5)=1,1,IF(INDEX([1]Pivot!$B$1:$AB$65000,$B881,H$5)="",2,0)),0)</f>
        <v>0</v>
      </c>
      <c r="I881" s="194">
        <f>IFERROR(IF(INDEX([1]Pivot!$AD$1:$BE$65000,$B881,I$5)=1,1,IF(INDEX([1]Pivot!$B$1:$AB$65000,$B881,I$5)="",2,0)),0)</f>
        <v>0</v>
      </c>
      <c r="J881" s="194">
        <f>IFERROR(IF(INDEX([1]Pivot!$AD$1:$BE$65000,$B881,J$5)=1,1,IF(INDEX([1]Pivot!$B$1:$AB$65000,$B881,J$5)="",2,0)),0)</f>
        <v>0</v>
      </c>
      <c r="K881" s="194">
        <f>IFERROR(IF(INDEX([1]Pivot!$AD$1:$BE$65000,$B881,K$5)=1,1,IF(INDEX([1]Pivot!$B$1:$AB$65000,$B881,K$5)="",2,0)),0)</f>
        <v>0</v>
      </c>
      <c r="L881" s="194">
        <f>IFERROR(IF(INDEX([1]Pivot!$AD$1:$BE$65000,$B881,L$5)=1,1,IF(INDEX([1]Pivot!$B$1:$AB$65000,$B881,L$5)="",2,0)),0)</f>
        <v>0</v>
      </c>
      <c r="M881" s="194">
        <f>IFERROR(IF(INDEX([1]Pivot!$AD$1:$BE$65000,$B881,M$5)=1,1,IF(INDEX([1]Pivot!$B$1:$AB$65000,$B881,M$5)="",2,0)),0)</f>
        <v>0</v>
      </c>
      <c r="N881" s="194">
        <f>IFERROR(IF(INDEX([1]Pivot!$AD$1:$BE$65000,$B881,N$5)=1,1,IF(INDEX([1]Pivot!$B$1:$AB$65000,$B881,N$5)="",2,0)),0)</f>
        <v>0</v>
      </c>
      <c r="O881" s="194">
        <f>IFERROR(IF(INDEX([1]Pivot!$AD$1:$BE$65000,$B881,O$5)=1,1,IF(INDEX([1]Pivot!$B$1:$AB$65000,$B881,O$5)="",2,0)),0)</f>
        <v>0</v>
      </c>
      <c r="P881" s="194">
        <f>IFERROR(IF(INDEX([1]Pivot!$AD$1:$BE$65000,$B881,P$5)=1,1,IF(INDEX([1]Pivot!$B$1:$AB$65000,$B881,P$5)="",2,0)),0)</f>
        <v>0</v>
      </c>
      <c r="Q881" s="194">
        <f>IFERROR(IF(INDEX([1]Pivot!$AD$1:$BE$65000,$B881,Q$5)=1,1,IF(INDEX([1]Pivot!$B$1:$AB$65000,$B881,Q$5)="",2,0)),0)</f>
        <v>0</v>
      </c>
      <c r="R881" s="312"/>
      <c r="S881" s="194">
        <f>IFERROR(IF(INDEX([1]Pivot!$AD$1:$BE$65000,$B881,S$5)=1,1,IF(INDEX([1]Pivot!$B$1:$AB$65000,$B881,S$5)="",2,0)),0)</f>
        <v>0</v>
      </c>
      <c r="T881" s="194">
        <f>IFERROR(IF(INDEX([1]Pivot!$AD$1:$BE$65000,$B881,T$5)=1,1,IF(INDEX([1]Pivot!$B$1:$AB$65000,$B881,T$5)="",2,0)),0)</f>
        <v>0</v>
      </c>
      <c r="U881" s="194">
        <f>IFERROR(IF(INDEX([1]Pivot!$AD$1:$BE$65000,$B881,U$5)=1,1,IF(INDEX([1]Pivot!$B$1:$AB$65000,$B881,U$5)="",2,0)),0)</f>
        <v>0</v>
      </c>
      <c r="V881" s="194">
        <f>IFERROR(IF(INDEX([1]Pivot!$AD$1:$BE$65000,$B881,V$5)=1,1,IF(INDEX([1]Pivot!$B$1:$AB$65000,$B881,V$5)="",2,0)),0)</f>
        <v>0</v>
      </c>
      <c r="W881" s="194">
        <f>IFERROR(IF(INDEX([1]Pivot!$AD$1:$BE$65000,$B881,W$5)=1,1,IF(INDEX([1]Pivot!$B$1:$AB$65000,$B881,W$5)="",2,0)),0)</f>
        <v>0</v>
      </c>
      <c r="X881" s="194">
        <f>IFERROR(IF(INDEX([1]Pivot!$AD$1:$BE$65000,$B881,X$5)=1,1,IF(INDEX([1]Pivot!$B$1:$AB$65000,$B881,X$5)="",2,0)),0)</f>
        <v>0</v>
      </c>
      <c r="Y881" s="194">
        <f>IFERROR(IF(INDEX([1]Pivot!$AD$1:$BE$65000,$B881,Y$5)=1,1,IF(INDEX([1]Pivot!$B$1:$AB$65000,$B881,Y$5)="",2,0)),0)</f>
        <v>0</v>
      </c>
      <c r="Z881" s="194">
        <f>IFERROR(IF(INDEX([1]Pivot!$AD$1:$BE$65000,$B881,Z$5)=1,1,IF(INDEX([1]Pivot!$B$1:$AB$65000,$B881,Z$5)="",2,0)),0)</f>
        <v>0</v>
      </c>
      <c r="AA881" s="194">
        <f>IFERROR(IF(INDEX([1]Pivot!$AD$1:$BE$65000,$B881,AA$5)=1,1,IF(INDEX([1]Pivot!$B$1:$AB$65000,$B881,AA$5)="",2,0)),0)</f>
        <v>0</v>
      </c>
      <c r="AB881" s="194">
        <f>IFERROR(IF(INDEX([1]Pivot!$AD$1:$BE$65000,$B881,AB$5)=1,1,IF(INDEX([1]Pivot!$B$1:$AB$65000,$B881,AB$5)="",2,0)),0)</f>
        <v>0</v>
      </c>
      <c r="AC881" s="194">
        <f>IFERROR(IF(INDEX([1]Pivot!$AD$1:$BE$65000,$B881,AC$5)=1,1,IF(INDEX([1]Pivot!$B$1:$AB$65000,$B881,AC$5)="",2,0)),0)</f>
        <v>0</v>
      </c>
      <c r="AD881" s="313">
        <f>IFERROR(IF(INDEX([1]Pivot!$BF$1:$CG$65000,$B881,AD$5)=1,1,IF(INDEX([1]Pivot!$B$1:$AB$65000,$B881,AD$5)="",2,0)),0)</f>
        <v>0</v>
      </c>
      <c r="AE881" s="313">
        <f>IFERROR(IF(INDEX([1]Pivot!$BF$1:$CG$65000,$B881,AE$5)=1,1,IF(INDEX([1]Pivot!$B$1:$AB$65000,$B881,AE$5)="",2,0)),0)</f>
        <v>0</v>
      </c>
      <c r="AF881" s="313">
        <f>IFERROR(IF(INDEX([1]Pivot!$BF$1:$CG$65000,$B881,AF$5)=1,1,IF(INDEX([1]Pivot!$B$1:$AB$65000,$B881,AF$5)="",2,0)),0)</f>
        <v>0</v>
      </c>
      <c r="AG881" s="313">
        <f>IFERROR(IF(INDEX([1]Pivot!$BF$1:$CG$65000,$B881,AG$5)=1,1,IF(INDEX([1]Pivot!$B$1:$AB$65000,$B881,AG$5)="",2,0)),0)</f>
        <v>0</v>
      </c>
      <c r="AH881" s="313">
        <f>IFERROR(IF(INDEX([1]Pivot!$BF$1:$CG$65000,$B881,AH$5)=1,1,IF(INDEX([1]Pivot!$B$1:$AB$65000,$B881,AH$5)="",2,0)),0)</f>
        <v>0</v>
      </c>
      <c r="AI881" s="313">
        <f>IFERROR(IF(INDEX([1]Pivot!$BF$1:$CG$65000,$B881,AI$5)=1,1,IF(INDEX([1]Pivot!$B$1:$AB$65000,$B881,AI$5)="",2,0)),0)</f>
        <v>0</v>
      </c>
      <c r="AJ881" s="313">
        <f>IFERROR(IF(INDEX([1]Pivot!$BF$1:$CG$65000,$B881,AJ$5)=1,1,IF(INDEX([1]Pivot!$B$1:$AB$65000,$B881,AJ$5)="",2,0)),0)</f>
        <v>0</v>
      </c>
      <c r="AK881" s="313">
        <f>IFERROR(IF(INDEX([1]Pivot!$BF$1:$CG$65000,$B881,AK$5)=1,1,IF(INDEX([1]Pivot!$B$1:$AB$65000,$B881,AK$5)="",2,0)),0)</f>
        <v>0</v>
      </c>
      <c r="AL881" s="313">
        <f>IFERROR(IF(INDEX([1]Pivot!$BF$1:$CG$65000,$B881,AL$5)=1,1,IF(INDEX([1]Pivot!$B$1:$AB$65000,$B881,AL$5)="",2,0)),0)</f>
        <v>0</v>
      </c>
      <c r="AM881" s="313">
        <f>IFERROR(IF(INDEX([1]Pivot!$BF$1:$CG$65000,$B881,AM$5)=1,1,IF(INDEX([1]Pivot!$B$1:$AB$65000,$B881,AM$5)="",2,0)),0)</f>
        <v>0</v>
      </c>
      <c r="AN881" s="313">
        <f>IFERROR(IF(INDEX([1]Pivot!$BF$1:$CG$65000,$B881,AN$5)=1,1,IF(INDEX([1]Pivot!$B$1:$AB$65000,$B881,AN$5)="",2,0)),0)</f>
        <v>0</v>
      </c>
      <c r="AO881" s="313">
        <f>IFERROR(IF(INDEX([1]Pivot!$BF$1:$CG$65000,$B881,AO$5)=1,1,IF(INDEX([1]Pivot!$B$1:$AB$65000,$B881,AO$5)="",2,0)),0)</f>
        <v>0</v>
      </c>
      <c r="AP881" s="313">
        <f>IFERROR(IF(INDEX([1]Pivot!$BF$1:$CG$65000,$B881,AP$5)=1,1,IF(INDEX([1]Pivot!$B$1:$AB$65000,$B881,AP$5)="",2,0)),0)</f>
        <v>0</v>
      </c>
      <c r="AQ881" s="313">
        <f>IFERROR(IF(INDEX([1]Pivot!$BF$1:$CG$65000,$B881,AQ$5)=1,1,IF(INDEX([1]Pivot!$B$1:$AB$65000,$B881,AQ$5)="",2,0)),0)</f>
        <v>0</v>
      </c>
      <c r="AR881" s="313">
        <f>IFERROR(IF(INDEX([1]Pivot!$BF$1:$CG$65000,$B881,AR$5)=1,1,IF(INDEX([1]Pivot!$B$1:$AB$65000,$B881,AR$5)="",2,0)),0)</f>
        <v>0</v>
      </c>
      <c r="AS881" s="312"/>
      <c r="AT881" s="313">
        <f>IFERROR(IF(INDEX([1]Pivot!$BF$1:$CG$65000,$B881,AT$5)=1,1,IF(INDEX([1]Pivot!$B$1:$AB$65000,$B881,AT$5)="",2,0)),0)</f>
        <v>0</v>
      </c>
      <c r="AU881" s="313">
        <f>IFERROR(IF(INDEX([1]Pivot!$BF$1:$CG$65000,$B881,AU$5)=1,1,IF(INDEX([1]Pivot!$B$1:$AB$65000,$B881,AU$5)="",2,0)),0)</f>
        <v>0</v>
      </c>
      <c r="AV881" s="313">
        <f>IFERROR(IF(INDEX([1]Pivot!$BF$1:$CG$65000,$B881,AV$5)=1,1,IF(INDEX([1]Pivot!$B$1:$AB$65000,$B881,AV$5)="",2,0)),0)</f>
        <v>0</v>
      </c>
      <c r="AW881" s="313">
        <f>IFERROR(IF(INDEX([1]Pivot!$BF$1:$CG$65000,$B881,AW$5)=1,1,IF(INDEX([1]Pivot!$B$1:$AB$65000,$B881,AW$5)="",2,0)),0)</f>
        <v>0</v>
      </c>
      <c r="AX881" s="313">
        <f>IFERROR(IF(INDEX([1]Pivot!$BF$1:$CG$65000,$B881,AX$5)=1,1,IF(INDEX([1]Pivot!$B$1:$AB$65000,$B881,AX$5)="",2,0)),0)</f>
        <v>0</v>
      </c>
      <c r="AY881" s="313">
        <f>IFERROR(IF(INDEX([1]Pivot!$BF$1:$CG$65000,$B881,AY$5)=1,1,IF(INDEX([1]Pivot!$B$1:$AB$65000,$B881,AY$5)="",2,0)),0)</f>
        <v>0</v>
      </c>
      <c r="AZ881" s="313">
        <f>IFERROR(IF(INDEX([1]Pivot!$BF$1:$CG$65000,$B881,AZ$5)=1,1,IF(INDEX([1]Pivot!$B$1:$AB$65000,$B881,AZ$5)="",2,0)),0)</f>
        <v>0</v>
      </c>
      <c r="BA881" s="313">
        <f>IFERROR(IF(INDEX([1]Pivot!$BF$1:$CG$65000,$B881,BA$5)=1,1,IF(INDEX([1]Pivot!$B$1:$AB$65000,$B881,BA$5)="",2,0)),0)</f>
        <v>0</v>
      </c>
      <c r="BB881" s="313">
        <f>IFERROR(IF(INDEX([1]Pivot!$BF$1:$CG$65000,$B881,BB$5)=1,1,IF(INDEX([1]Pivot!$B$1:$AB$65000,$B881,BB$5)="",2,0)),0)</f>
        <v>0</v>
      </c>
      <c r="BC881" s="313">
        <f>IFERROR(IF(INDEX([1]Pivot!$BF$1:$CG$65000,$B881,BC$5)=1,1,IF(INDEX([1]Pivot!$B$1:$AB$65000,$B881,BC$5)="",2,0)),0)</f>
        <v>0</v>
      </c>
      <c r="BD881" s="313">
        <f>IFERROR(IF(INDEX([1]Pivot!$BF$1:$CG$65000,$B881,BD$5)=1,1,IF(INDEX([1]Pivot!$B$1:$AB$65000,$B881,BD$5)="",2,0)),0)</f>
        <v>0</v>
      </c>
    </row>
    <row r="882" spans="1:56" x14ac:dyDescent="0.25">
      <c r="A882" s="288">
        <f>'[2]Raw Milk Prices'!A882</f>
        <v>0</v>
      </c>
      <c r="B882" s="296" t="e">
        <f>MATCH(DATE(LEFT('[2]Raw Milk Prices'!$A882,4),RIGHT('[2]Raw Milk Prices'!$A882,2),1),[1]Pivot!$A$1:$A$65000,0)</f>
        <v>#VALUE!</v>
      </c>
      <c r="C882" s="194">
        <f>IFERROR(IF(INDEX([1]Pivot!$AD$1:$BE$65000,$B882,C$5)=1,1,IF(INDEX([1]Pivot!$B$1:$AB$65000,$B882,C$5)="",2,0)),0)</f>
        <v>0</v>
      </c>
      <c r="D882" s="194">
        <f>IFERROR(IF(INDEX([1]Pivot!$AD$1:$BE$65000,$B882,D$5)=1,1,IF(INDEX([1]Pivot!$B$1:$AB$65000,$B882,D$5)="",2,0)),0)</f>
        <v>0</v>
      </c>
      <c r="E882" s="194">
        <f>IFERROR(IF(INDEX([1]Pivot!$AD$1:$BE$65000,$B882,E$5)=1,1,IF(INDEX([1]Pivot!$B$1:$AB$65000,$B882,E$5)="",2,0)),0)</f>
        <v>0</v>
      </c>
      <c r="F882" s="194">
        <f>IFERROR(IF(INDEX([1]Pivot!$AD$1:$BE$65000,$B882,F$5)=1,1,IF(INDEX([1]Pivot!$B$1:$AB$65000,$B882,F$5)="",2,0)),0)</f>
        <v>0</v>
      </c>
      <c r="G882" s="194">
        <f>IFERROR(IF(INDEX([1]Pivot!$AD$1:$BE$65000,$B882,G$5)=1,1,IF(INDEX([1]Pivot!$B$1:$AB$65000,$B882,G$5)="",2,0)),0)</f>
        <v>0</v>
      </c>
      <c r="H882" s="194">
        <f>IFERROR(IF(INDEX([1]Pivot!$AD$1:$BE$65000,$B882,H$5)=1,1,IF(INDEX([1]Pivot!$B$1:$AB$65000,$B882,H$5)="",2,0)),0)</f>
        <v>0</v>
      </c>
      <c r="I882" s="194">
        <f>IFERROR(IF(INDEX([1]Pivot!$AD$1:$BE$65000,$B882,I$5)=1,1,IF(INDEX([1]Pivot!$B$1:$AB$65000,$B882,I$5)="",2,0)),0)</f>
        <v>0</v>
      </c>
      <c r="J882" s="194">
        <f>IFERROR(IF(INDEX([1]Pivot!$AD$1:$BE$65000,$B882,J$5)=1,1,IF(INDEX([1]Pivot!$B$1:$AB$65000,$B882,J$5)="",2,0)),0)</f>
        <v>0</v>
      </c>
      <c r="K882" s="194">
        <f>IFERROR(IF(INDEX([1]Pivot!$AD$1:$BE$65000,$B882,K$5)=1,1,IF(INDEX([1]Pivot!$B$1:$AB$65000,$B882,K$5)="",2,0)),0)</f>
        <v>0</v>
      </c>
      <c r="L882" s="194">
        <f>IFERROR(IF(INDEX([1]Pivot!$AD$1:$BE$65000,$B882,L$5)=1,1,IF(INDEX([1]Pivot!$B$1:$AB$65000,$B882,L$5)="",2,0)),0)</f>
        <v>0</v>
      </c>
      <c r="M882" s="194">
        <f>IFERROR(IF(INDEX([1]Pivot!$AD$1:$BE$65000,$B882,M$5)=1,1,IF(INDEX([1]Pivot!$B$1:$AB$65000,$B882,M$5)="",2,0)),0)</f>
        <v>0</v>
      </c>
      <c r="N882" s="194">
        <f>IFERROR(IF(INDEX([1]Pivot!$AD$1:$BE$65000,$B882,N$5)=1,1,IF(INDEX([1]Pivot!$B$1:$AB$65000,$B882,N$5)="",2,0)),0)</f>
        <v>0</v>
      </c>
      <c r="O882" s="194">
        <f>IFERROR(IF(INDEX([1]Pivot!$AD$1:$BE$65000,$B882,O$5)=1,1,IF(INDEX([1]Pivot!$B$1:$AB$65000,$B882,O$5)="",2,0)),0)</f>
        <v>0</v>
      </c>
      <c r="P882" s="194">
        <f>IFERROR(IF(INDEX([1]Pivot!$AD$1:$BE$65000,$B882,P$5)=1,1,IF(INDEX([1]Pivot!$B$1:$AB$65000,$B882,P$5)="",2,0)),0)</f>
        <v>0</v>
      </c>
      <c r="Q882" s="194">
        <f>IFERROR(IF(INDEX([1]Pivot!$AD$1:$BE$65000,$B882,Q$5)=1,1,IF(INDEX([1]Pivot!$B$1:$AB$65000,$B882,Q$5)="",2,0)),0)</f>
        <v>0</v>
      </c>
      <c r="R882" s="312"/>
      <c r="S882" s="194">
        <f>IFERROR(IF(INDEX([1]Pivot!$AD$1:$BE$65000,$B882,S$5)=1,1,IF(INDEX([1]Pivot!$B$1:$AB$65000,$B882,S$5)="",2,0)),0)</f>
        <v>0</v>
      </c>
      <c r="T882" s="194">
        <f>IFERROR(IF(INDEX([1]Pivot!$AD$1:$BE$65000,$B882,T$5)=1,1,IF(INDEX([1]Pivot!$B$1:$AB$65000,$B882,T$5)="",2,0)),0)</f>
        <v>0</v>
      </c>
      <c r="U882" s="194">
        <f>IFERROR(IF(INDEX([1]Pivot!$AD$1:$BE$65000,$B882,U$5)=1,1,IF(INDEX([1]Pivot!$B$1:$AB$65000,$B882,U$5)="",2,0)),0)</f>
        <v>0</v>
      </c>
      <c r="V882" s="194">
        <f>IFERROR(IF(INDEX([1]Pivot!$AD$1:$BE$65000,$B882,V$5)=1,1,IF(INDEX([1]Pivot!$B$1:$AB$65000,$B882,V$5)="",2,0)),0)</f>
        <v>0</v>
      </c>
      <c r="W882" s="194">
        <f>IFERROR(IF(INDEX([1]Pivot!$AD$1:$BE$65000,$B882,W$5)=1,1,IF(INDEX([1]Pivot!$B$1:$AB$65000,$B882,W$5)="",2,0)),0)</f>
        <v>0</v>
      </c>
      <c r="X882" s="194">
        <f>IFERROR(IF(INDEX([1]Pivot!$AD$1:$BE$65000,$B882,X$5)=1,1,IF(INDEX([1]Pivot!$B$1:$AB$65000,$B882,X$5)="",2,0)),0)</f>
        <v>0</v>
      </c>
      <c r="Y882" s="194">
        <f>IFERROR(IF(INDEX([1]Pivot!$AD$1:$BE$65000,$B882,Y$5)=1,1,IF(INDEX([1]Pivot!$B$1:$AB$65000,$B882,Y$5)="",2,0)),0)</f>
        <v>0</v>
      </c>
      <c r="Z882" s="194">
        <f>IFERROR(IF(INDEX([1]Pivot!$AD$1:$BE$65000,$B882,Z$5)=1,1,IF(INDEX([1]Pivot!$B$1:$AB$65000,$B882,Z$5)="",2,0)),0)</f>
        <v>0</v>
      </c>
      <c r="AA882" s="194">
        <f>IFERROR(IF(INDEX([1]Pivot!$AD$1:$BE$65000,$B882,AA$5)=1,1,IF(INDEX([1]Pivot!$B$1:$AB$65000,$B882,AA$5)="",2,0)),0)</f>
        <v>0</v>
      </c>
      <c r="AB882" s="194">
        <f>IFERROR(IF(INDEX([1]Pivot!$AD$1:$BE$65000,$B882,AB$5)=1,1,IF(INDEX([1]Pivot!$B$1:$AB$65000,$B882,AB$5)="",2,0)),0)</f>
        <v>0</v>
      </c>
      <c r="AC882" s="194">
        <f>IFERROR(IF(INDEX([1]Pivot!$AD$1:$BE$65000,$B882,AC$5)=1,1,IF(INDEX([1]Pivot!$B$1:$AB$65000,$B882,AC$5)="",2,0)),0)</f>
        <v>0</v>
      </c>
      <c r="AD882" s="313">
        <f>IFERROR(IF(INDEX([1]Pivot!$BF$1:$CG$65000,$B882,AD$5)=1,1,IF(INDEX([1]Pivot!$B$1:$AB$65000,$B882,AD$5)="",2,0)),0)</f>
        <v>0</v>
      </c>
      <c r="AE882" s="313">
        <f>IFERROR(IF(INDEX([1]Pivot!$BF$1:$CG$65000,$B882,AE$5)=1,1,IF(INDEX([1]Pivot!$B$1:$AB$65000,$B882,AE$5)="",2,0)),0)</f>
        <v>0</v>
      </c>
      <c r="AF882" s="313">
        <f>IFERROR(IF(INDEX([1]Pivot!$BF$1:$CG$65000,$B882,AF$5)=1,1,IF(INDEX([1]Pivot!$B$1:$AB$65000,$B882,AF$5)="",2,0)),0)</f>
        <v>0</v>
      </c>
      <c r="AG882" s="313">
        <f>IFERROR(IF(INDEX([1]Pivot!$BF$1:$CG$65000,$B882,AG$5)=1,1,IF(INDEX([1]Pivot!$B$1:$AB$65000,$B882,AG$5)="",2,0)),0)</f>
        <v>0</v>
      </c>
      <c r="AH882" s="313">
        <f>IFERROR(IF(INDEX([1]Pivot!$BF$1:$CG$65000,$B882,AH$5)=1,1,IF(INDEX([1]Pivot!$B$1:$AB$65000,$B882,AH$5)="",2,0)),0)</f>
        <v>0</v>
      </c>
      <c r="AI882" s="313">
        <f>IFERROR(IF(INDEX([1]Pivot!$BF$1:$CG$65000,$B882,AI$5)=1,1,IF(INDEX([1]Pivot!$B$1:$AB$65000,$B882,AI$5)="",2,0)),0)</f>
        <v>0</v>
      </c>
      <c r="AJ882" s="313">
        <f>IFERROR(IF(INDEX([1]Pivot!$BF$1:$CG$65000,$B882,AJ$5)=1,1,IF(INDEX([1]Pivot!$B$1:$AB$65000,$B882,AJ$5)="",2,0)),0)</f>
        <v>0</v>
      </c>
      <c r="AK882" s="313">
        <f>IFERROR(IF(INDEX([1]Pivot!$BF$1:$CG$65000,$B882,AK$5)=1,1,IF(INDEX([1]Pivot!$B$1:$AB$65000,$B882,AK$5)="",2,0)),0)</f>
        <v>0</v>
      </c>
      <c r="AL882" s="313">
        <f>IFERROR(IF(INDEX([1]Pivot!$BF$1:$CG$65000,$B882,AL$5)=1,1,IF(INDEX([1]Pivot!$B$1:$AB$65000,$B882,AL$5)="",2,0)),0)</f>
        <v>0</v>
      </c>
      <c r="AM882" s="313">
        <f>IFERROR(IF(INDEX([1]Pivot!$BF$1:$CG$65000,$B882,AM$5)=1,1,IF(INDEX([1]Pivot!$B$1:$AB$65000,$B882,AM$5)="",2,0)),0)</f>
        <v>0</v>
      </c>
      <c r="AN882" s="313">
        <f>IFERROR(IF(INDEX([1]Pivot!$BF$1:$CG$65000,$B882,AN$5)=1,1,IF(INDEX([1]Pivot!$B$1:$AB$65000,$B882,AN$5)="",2,0)),0)</f>
        <v>0</v>
      </c>
      <c r="AO882" s="313">
        <f>IFERROR(IF(INDEX([1]Pivot!$BF$1:$CG$65000,$B882,AO$5)=1,1,IF(INDEX([1]Pivot!$B$1:$AB$65000,$B882,AO$5)="",2,0)),0)</f>
        <v>0</v>
      </c>
      <c r="AP882" s="313">
        <f>IFERROR(IF(INDEX([1]Pivot!$BF$1:$CG$65000,$B882,AP$5)=1,1,IF(INDEX([1]Pivot!$B$1:$AB$65000,$B882,AP$5)="",2,0)),0)</f>
        <v>0</v>
      </c>
      <c r="AQ882" s="313">
        <f>IFERROR(IF(INDEX([1]Pivot!$BF$1:$CG$65000,$B882,AQ$5)=1,1,IF(INDEX([1]Pivot!$B$1:$AB$65000,$B882,AQ$5)="",2,0)),0)</f>
        <v>0</v>
      </c>
      <c r="AR882" s="313">
        <f>IFERROR(IF(INDEX([1]Pivot!$BF$1:$CG$65000,$B882,AR$5)=1,1,IF(INDEX([1]Pivot!$B$1:$AB$65000,$B882,AR$5)="",2,0)),0)</f>
        <v>0</v>
      </c>
      <c r="AS882" s="312"/>
      <c r="AT882" s="313">
        <f>IFERROR(IF(INDEX([1]Pivot!$BF$1:$CG$65000,$B882,AT$5)=1,1,IF(INDEX([1]Pivot!$B$1:$AB$65000,$B882,AT$5)="",2,0)),0)</f>
        <v>0</v>
      </c>
      <c r="AU882" s="313">
        <f>IFERROR(IF(INDEX([1]Pivot!$BF$1:$CG$65000,$B882,AU$5)=1,1,IF(INDEX([1]Pivot!$B$1:$AB$65000,$B882,AU$5)="",2,0)),0)</f>
        <v>0</v>
      </c>
      <c r="AV882" s="313">
        <f>IFERROR(IF(INDEX([1]Pivot!$BF$1:$CG$65000,$B882,AV$5)=1,1,IF(INDEX([1]Pivot!$B$1:$AB$65000,$B882,AV$5)="",2,0)),0)</f>
        <v>0</v>
      </c>
      <c r="AW882" s="313">
        <f>IFERROR(IF(INDEX([1]Pivot!$BF$1:$CG$65000,$B882,AW$5)=1,1,IF(INDEX([1]Pivot!$B$1:$AB$65000,$B882,AW$5)="",2,0)),0)</f>
        <v>0</v>
      </c>
      <c r="AX882" s="313">
        <f>IFERROR(IF(INDEX([1]Pivot!$BF$1:$CG$65000,$B882,AX$5)=1,1,IF(INDEX([1]Pivot!$B$1:$AB$65000,$B882,AX$5)="",2,0)),0)</f>
        <v>0</v>
      </c>
      <c r="AY882" s="313">
        <f>IFERROR(IF(INDEX([1]Pivot!$BF$1:$CG$65000,$B882,AY$5)=1,1,IF(INDEX([1]Pivot!$B$1:$AB$65000,$B882,AY$5)="",2,0)),0)</f>
        <v>0</v>
      </c>
      <c r="AZ882" s="313">
        <f>IFERROR(IF(INDEX([1]Pivot!$BF$1:$CG$65000,$B882,AZ$5)=1,1,IF(INDEX([1]Pivot!$B$1:$AB$65000,$B882,AZ$5)="",2,0)),0)</f>
        <v>0</v>
      </c>
      <c r="BA882" s="313">
        <f>IFERROR(IF(INDEX([1]Pivot!$BF$1:$CG$65000,$B882,BA$5)=1,1,IF(INDEX([1]Pivot!$B$1:$AB$65000,$B882,BA$5)="",2,0)),0)</f>
        <v>0</v>
      </c>
      <c r="BB882" s="313">
        <f>IFERROR(IF(INDEX([1]Pivot!$BF$1:$CG$65000,$B882,BB$5)=1,1,IF(INDEX([1]Pivot!$B$1:$AB$65000,$B882,BB$5)="",2,0)),0)</f>
        <v>0</v>
      </c>
      <c r="BC882" s="313">
        <f>IFERROR(IF(INDEX([1]Pivot!$BF$1:$CG$65000,$B882,BC$5)=1,1,IF(INDEX([1]Pivot!$B$1:$AB$65000,$B882,BC$5)="",2,0)),0)</f>
        <v>0</v>
      </c>
      <c r="BD882" s="313">
        <f>IFERROR(IF(INDEX([1]Pivot!$BF$1:$CG$65000,$B882,BD$5)=1,1,IF(INDEX([1]Pivot!$B$1:$AB$65000,$B882,BD$5)="",2,0)),0)</f>
        <v>0</v>
      </c>
    </row>
    <row r="883" spans="1:56" x14ac:dyDescent="0.25">
      <c r="A883" s="288">
        <f>'[2]Raw Milk Prices'!A883</f>
        <v>0</v>
      </c>
      <c r="B883" s="296" t="e">
        <f>MATCH(DATE(LEFT('[2]Raw Milk Prices'!$A883,4),RIGHT('[2]Raw Milk Prices'!$A883,2),1),[1]Pivot!$A$1:$A$65000,0)</f>
        <v>#VALUE!</v>
      </c>
      <c r="C883" s="194">
        <f>IFERROR(IF(INDEX([1]Pivot!$AD$1:$BE$65000,$B883,C$5)=1,1,IF(INDEX([1]Pivot!$B$1:$AB$65000,$B883,C$5)="",2,0)),0)</f>
        <v>0</v>
      </c>
      <c r="D883" s="194">
        <f>IFERROR(IF(INDEX([1]Pivot!$AD$1:$BE$65000,$B883,D$5)=1,1,IF(INDEX([1]Pivot!$B$1:$AB$65000,$B883,D$5)="",2,0)),0)</f>
        <v>0</v>
      </c>
      <c r="E883" s="194">
        <f>IFERROR(IF(INDEX([1]Pivot!$AD$1:$BE$65000,$B883,E$5)=1,1,IF(INDEX([1]Pivot!$B$1:$AB$65000,$B883,E$5)="",2,0)),0)</f>
        <v>0</v>
      </c>
      <c r="F883" s="194">
        <f>IFERROR(IF(INDEX([1]Pivot!$AD$1:$BE$65000,$B883,F$5)=1,1,IF(INDEX([1]Pivot!$B$1:$AB$65000,$B883,F$5)="",2,0)),0)</f>
        <v>0</v>
      </c>
      <c r="G883" s="194">
        <f>IFERROR(IF(INDEX([1]Pivot!$AD$1:$BE$65000,$B883,G$5)=1,1,IF(INDEX([1]Pivot!$B$1:$AB$65000,$B883,G$5)="",2,0)),0)</f>
        <v>0</v>
      </c>
      <c r="H883" s="194">
        <f>IFERROR(IF(INDEX([1]Pivot!$AD$1:$BE$65000,$B883,H$5)=1,1,IF(INDEX([1]Pivot!$B$1:$AB$65000,$B883,H$5)="",2,0)),0)</f>
        <v>0</v>
      </c>
      <c r="I883" s="194">
        <f>IFERROR(IF(INDEX([1]Pivot!$AD$1:$BE$65000,$B883,I$5)=1,1,IF(INDEX([1]Pivot!$B$1:$AB$65000,$B883,I$5)="",2,0)),0)</f>
        <v>0</v>
      </c>
      <c r="J883" s="194">
        <f>IFERROR(IF(INDEX([1]Pivot!$AD$1:$BE$65000,$B883,J$5)=1,1,IF(INDEX([1]Pivot!$B$1:$AB$65000,$B883,J$5)="",2,0)),0)</f>
        <v>0</v>
      </c>
      <c r="K883" s="194">
        <f>IFERROR(IF(INDEX([1]Pivot!$AD$1:$BE$65000,$B883,K$5)=1,1,IF(INDEX([1]Pivot!$B$1:$AB$65000,$B883,K$5)="",2,0)),0)</f>
        <v>0</v>
      </c>
      <c r="L883" s="194">
        <f>IFERROR(IF(INDEX([1]Pivot!$AD$1:$BE$65000,$B883,L$5)=1,1,IF(INDEX([1]Pivot!$B$1:$AB$65000,$B883,L$5)="",2,0)),0)</f>
        <v>0</v>
      </c>
      <c r="M883" s="194">
        <f>IFERROR(IF(INDEX([1]Pivot!$AD$1:$BE$65000,$B883,M$5)=1,1,IF(INDEX([1]Pivot!$B$1:$AB$65000,$B883,M$5)="",2,0)),0)</f>
        <v>0</v>
      </c>
      <c r="N883" s="194">
        <f>IFERROR(IF(INDEX([1]Pivot!$AD$1:$BE$65000,$B883,N$5)=1,1,IF(INDEX([1]Pivot!$B$1:$AB$65000,$B883,N$5)="",2,0)),0)</f>
        <v>0</v>
      </c>
      <c r="O883" s="194">
        <f>IFERROR(IF(INDEX([1]Pivot!$AD$1:$BE$65000,$B883,O$5)=1,1,IF(INDEX([1]Pivot!$B$1:$AB$65000,$B883,O$5)="",2,0)),0)</f>
        <v>0</v>
      </c>
      <c r="P883" s="194">
        <f>IFERROR(IF(INDEX([1]Pivot!$AD$1:$BE$65000,$B883,P$5)=1,1,IF(INDEX([1]Pivot!$B$1:$AB$65000,$B883,P$5)="",2,0)),0)</f>
        <v>0</v>
      </c>
      <c r="Q883" s="194">
        <f>IFERROR(IF(INDEX([1]Pivot!$AD$1:$BE$65000,$B883,Q$5)=1,1,IF(INDEX([1]Pivot!$B$1:$AB$65000,$B883,Q$5)="",2,0)),0)</f>
        <v>0</v>
      </c>
      <c r="R883" s="312"/>
      <c r="S883" s="194">
        <f>IFERROR(IF(INDEX([1]Pivot!$AD$1:$BE$65000,$B883,S$5)=1,1,IF(INDEX([1]Pivot!$B$1:$AB$65000,$B883,S$5)="",2,0)),0)</f>
        <v>0</v>
      </c>
      <c r="T883" s="194">
        <f>IFERROR(IF(INDEX([1]Pivot!$AD$1:$BE$65000,$B883,T$5)=1,1,IF(INDEX([1]Pivot!$B$1:$AB$65000,$B883,T$5)="",2,0)),0)</f>
        <v>0</v>
      </c>
      <c r="U883" s="194">
        <f>IFERROR(IF(INDEX([1]Pivot!$AD$1:$BE$65000,$B883,U$5)=1,1,IF(INDEX([1]Pivot!$B$1:$AB$65000,$B883,U$5)="",2,0)),0)</f>
        <v>0</v>
      </c>
      <c r="V883" s="194">
        <f>IFERROR(IF(INDEX([1]Pivot!$AD$1:$BE$65000,$B883,V$5)=1,1,IF(INDEX([1]Pivot!$B$1:$AB$65000,$B883,V$5)="",2,0)),0)</f>
        <v>0</v>
      </c>
      <c r="W883" s="194">
        <f>IFERROR(IF(INDEX([1]Pivot!$AD$1:$BE$65000,$B883,W$5)=1,1,IF(INDEX([1]Pivot!$B$1:$AB$65000,$B883,W$5)="",2,0)),0)</f>
        <v>0</v>
      </c>
      <c r="X883" s="194">
        <f>IFERROR(IF(INDEX([1]Pivot!$AD$1:$BE$65000,$B883,X$5)=1,1,IF(INDEX([1]Pivot!$B$1:$AB$65000,$B883,X$5)="",2,0)),0)</f>
        <v>0</v>
      </c>
      <c r="Y883" s="194">
        <f>IFERROR(IF(INDEX([1]Pivot!$AD$1:$BE$65000,$B883,Y$5)=1,1,IF(INDEX([1]Pivot!$B$1:$AB$65000,$B883,Y$5)="",2,0)),0)</f>
        <v>0</v>
      </c>
      <c r="Z883" s="194">
        <f>IFERROR(IF(INDEX([1]Pivot!$AD$1:$BE$65000,$B883,Z$5)=1,1,IF(INDEX([1]Pivot!$B$1:$AB$65000,$B883,Z$5)="",2,0)),0)</f>
        <v>0</v>
      </c>
      <c r="AA883" s="194">
        <f>IFERROR(IF(INDEX([1]Pivot!$AD$1:$BE$65000,$B883,AA$5)=1,1,IF(INDEX([1]Pivot!$B$1:$AB$65000,$B883,AA$5)="",2,0)),0)</f>
        <v>0</v>
      </c>
      <c r="AB883" s="194">
        <f>IFERROR(IF(INDEX([1]Pivot!$AD$1:$BE$65000,$B883,AB$5)=1,1,IF(INDEX([1]Pivot!$B$1:$AB$65000,$B883,AB$5)="",2,0)),0)</f>
        <v>0</v>
      </c>
      <c r="AC883" s="194">
        <f>IFERROR(IF(INDEX([1]Pivot!$AD$1:$BE$65000,$B883,AC$5)=1,1,IF(INDEX([1]Pivot!$B$1:$AB$65000,$B883,AC$5)="",2,0)),0)</f>
        <v>0</v>
      </c>
      <c r="AD883" s="313">
        <f>IFERROR(IF(INDEX([1]Pivot!$BF$1:$CG$65000,$B883,AD$5)=1,1,IF(INDEX([1]Pivot!$B$1:$AB$65000,$B883,AD$5)="",2,0)),0)</f>
        <v>0</v>
      </c>
      <c r="AE883" s="313">
        <f>IFERROR(IF(INDEX([1]Pivot!$BF$1:$CG$65000,$B883,AE$5)=1,1,IF(INDEX([1]Pivot!$B$1:$AB$65000,$B883,AE$5)="",2,0)),0)</f>
        <v>0</v>
      </c>
      <c r="AF883" s="313">
        <f>IFERROR(IF(INDEX([1]Pivot!$BF$1:$CG$65000,$B883,AF$5)=1,1,IF(INDEX([1]Pivot!$B$1:$AB$65000,$B883,AF$5)="",2,0)),0)</f>
        <v>0</v>
      </c>
      <c r="AG883" s="313">
        <f>IFERROR(IF(INDEX([1]Pivot!$BF$1:$CG$65000,$B883,AG$5)=1,1,IF(INDEX([1]Pivot!$B$1:$AB$65000,$B883,AG$5)="",2,0)),0)</f>
        <v>0</v>
      </c>
      <c r="AH883" s="313">
        <f>IFERROR(IF(INDEX([1]Pivot!$BF$1:$CG$65000,$B883,AH$5)=1,1,IF(INDEX([1]Pivot!$B$1:$AB$65000,$B883,AH$5)="",2,0)),0)</f>
        <v>0</v>
      </c>
      <c r="AI883" s="313">
        <f>IFERROR(IF(INDEX([1]Pivot!$BF$1:$CG$65000,$B883,AI$5)=1,1,IF(INDEX([1]Pivot!$B$1:$AB$65000,$B883,AI$5)="",2,0)),0)</f>
        <v>0</v>
      </c>
      <c r="AJ883" s="313">
        <f>IFERROR(IF(INDEX([1]Pivot!$BF$1:$CG$65000,$B883,AJ$5)=1,1,IF(INDEX([1]Pivot!$B$1:$AB$65000,$B883,AJ$5)="",2,0)),0)</f>
        <v>0</v>
      </c>
      <c r="AK883" s="313">
        <f>IFERROR(IF(INDEX([1]Pivot!$BF$1:$CG$65000,$B883,AK$5)=1,1,IF(INDEX([1]Pivot!$B$1:$AB$65000,$B883,AK$5)="",2,0)),0)</f>
        <v>0</v>
      </c>
      <c r="AL883" s="313">
        <f>IFERROR(IF(INDEX([1]Pivot!$BF$1:$CG$65000,$B883,AL$5)=1,1,IF(INDEX([1]Pivot!$B$1:$AB$65000,$B883,AL$5)="",2,0)),0)</f>
        <v>0</v>
      </c>
      <c r="AM883" s="313">
        <f>IFERROR(IF(INDEX([1]Pivot!$BF$1:$CG$65000,$B883,AM$5)=1,1,IF(INDEX([1]Pivot!$B$1:$AB$65000,$B883,AM$5)="",2,0)),0)</f>
        <v>0</v>
      </c>
      <c r="AN883" s="313">
        <f>IFERROR(IF(INDEX([1]Pivot!$BF$1:$CG$65000,$B883,AN$5)=1,1,IF(INDEX([1]Pivot!$B$1:$AB$65000,$B883,AN$5)="",2,0)),0)</f>
        <v>0</v>
      </c>
      <c r="AO883" s="313">
        <f>IFERROR(IF(INDEX([1]Pivot!$BF$1:$CG$65000,$B883,AO$5)=1,1,IF(INDEX([1]Pivot!$B$1:$AB$65000,$B883,AO$5)="",2,0)),0)</f>
        <v>0</v>
      </c>
      <c r="AP883" s="313">
        <f>IFERROR(IF(INDEX([1]Pivot!$BF$1:$CG$65000,$B883,AP$5)=1,1,IF(INDEX([1]Pivot!$B$1:$AB$65000,$B883,AP$5)="",2,0)),0)</f>
        <v>0</v>
      </c>
      <c r="AQ883" s="313">
        <f>IFERROR(IF(INDEX([1]Pivot!$BF$1:$CG$65000,$B883,AQ$5)=1,1,IF(INDEX([1]Pivot!$B$1:$AB$65000,$B883,AQ$5)="",2,0)),0)</f>
        <v>0</v>
      </c>
      <c r="AR883" s="313">
        <f>IFERROR(IF(INDEX([1]Pivot!$BF$1:$CG$65000,$B883,AR$5)=1,1,IF(INDEX([1]Pivot!$B$1:$AB$65000,$B883,AR$5)="",2,0)),0)</f>
        <v>0</v>
      </c>
      <c r="AS883" s="312"/>
      <c r="AT883" s="313">
        <f>IFERROR(IF(INDEX([1]Pivot!$BF$1:$CG$65000,$B883,AT$5)=1,1,IF(INDEX([1]Pivot!$B$1:$AB$65000,$B883,AT$5)="",2,0)),0)</f>
        <v>0</v>
      </c>
      <c r="AU883" s="313">
        <f>IFERROR(IF(INDEX([1]Pivot!$BF$1:$CG$65000,$B883,AU$5)=1,1,IF(INDEX([1]Pivot!$B$1:$AB$65000,$B883,AU$5)="",2,0)),0)</f>
        <v>0</v>
      </c>
      <c r="AV883" s="313">
        <f>IFERROR(IF(INDEX([1]Pivot!$BF$1:$CG$65000,$B883,AV$5)=1,1,IF(INDEX([1]Pivot!$B$1:$AB$65000,$B883,AV$5)="",2,0)),0)</f>
        <v>0</v>
      </c>
      <c r="AW883" s="313">
        <f>IFERROR(IF(INDEX([1]Pivot!$BF$1:$CG$65000,$B883,AW$5)=1,1,IF(INDEX([1]Pivot!$B$1:$AB$65000,$B883,AW$5)="",2,0)),0)</f>
        <v>0</v>
      </c>
      <c r="AX883" s="313">
        <f>IFERROR(IF(INDEX([1]Pivot!$BF$1:$CG$65000,$B883,AX$5)=1,1,IF(INDEX([1]Pivot!$B$1:$AB$65000,$B883,AX$5)="",2,0)),0)</f>
        <v>0</v>
      </c>
      <c r="AY883" s="313">
        <f>IFERROR(IF(INDEX([1]Pivot!$BF$1:$CG$65000,$B883,AY$5)=1,1,IF(INDEX([1]Pivot!$B$1:$AB$65000,$B883,AY$5)="",2,0)),0)</f>
        <v>0</v>
      </c>
      <c r="AZ883" s="313">
        <f>IFERROR(IF(INDEX([1]Pivot!$BF$1:$CG$65000,$B883,AZ$5)=1,1,IF(INDEX([1]Pivot!$B$1:$AB$65000,$B883,AZ$5)="",2,0)),0)</f>
        <v>0</v>
      </c>
      <c r="BA883" s="313">
        <f>IFERROR(IF(INDEX([1]Pivot!$BF$1:$CG$65000,$B883,BA$5)=1,1,IF(INDEX([1]Pivot!$B$1:$AB$65000,$B883,BA$5)="",2,0)),0)</f>
        <v>0</v>
      </c>
      <c r="BB883" s="313">
        <f>IFERROR(IF(INDEX([1]Pivot!$BF$1:$CG$65000,$B883,BB$5)=1,1,IF(INDEX([1]Pivot!$B$1:$AB$65000,$B883,BB$5)="",2,0)),0)</f>
        <v>0</v>
      </c>
      <c r="BC883" s="313">
        <f>IFERROR(IF(INDEX([1]Pivot!$BF$1:$CG$65000,$B883,BC$5)=1,1,IF(INDEX([1]Pivot!$B$1:$AB$65000,$B883,BC$5)="",2,0)),0)</f>
        <v>0</v>
      </c>
      <c r="BD883" s="313">
        <f>IFERROR(IF(INDEX([1]Pivot!$BF$1:$CG$65000,$B883,BD$5)=1,1,IF(INDEX([1]Pivot!$B$1:$AB$65000,$B883,BD$5)="",2,0)),0)</f>
        <v>0</v>
      </c>
    </row>
    <row r="884" spans="1:56" x14ac:dyDescent="0.25">
      <c r="A884" s="288">
        <f>'[2]Raw Milk Prices'!A884</f>
        <v>0</v>
      </c>
      <c r="B884" s="296" t="e">
        <f>MATCH(DATE(LEFT('[2]Raw Milk Prices'!$A884,4),RIGHT('[2]Raw Milk Prices'!$A884,2),1),[1]Pivot!$A$1:$A$65000,0)</f>
        <v>#VALUE!</v>
      </c>
      <c r="C884" s="194">
        <f>IFERROR(IF(INDEX([1]Pivot!$AD$1:$BE$65000,$B884,C$5)=1,1,IF(INDEX([1]Pivot!$B$1:$AB$65000,$B884,C$5)="",2,0)),0)</f>
        <v>0</v>
      </c>
      <c r="D884" s="194">
        <f>IFERROR(IF(INDEX([1]Pivot!$AD$1:$BE$65000,$B884,D$5)=1,1,IF(INDEX([1]Pivot!$B$1:$AB$65000,$B884,D$5)="",2,0)),0)</f>
        <v>0</v>
      </c>
      <c r="E884" s="194">
        <f>IFERROR(IF(INDEX([1]Pivot!$AD$1:$BE$65000,$B884,E$5)=1,1,IF(INDEX([1]Pivot!$B$1:$AB$65000,$B884,E$5)="",2,0)),0)</f>
        <v>0</v>
      </c>
      <c r="F884" s="194">
        <f>IFERROR(IF(INDEX([1]Pivot!$AD$1:$BE$65000,$B884,F$5)=1,1,IF(INDEX([1]Pivot!$B$1:$AB$65000,$B884,F$5)="",2,0)),0)</f>
        <v>0</v>
      </c>
      <c r="G884" s="194">
        <f>IFERROR(IF(INDEX([1]Pivot!$AD$1:$BE$65000,$B884,G$5)=1,1,IF(INDEX([1]Pivot!$B$1:$AB$65000,$B884,G$5)="",2,0)),0)</f>
        <v>0</v>
      </c>
      <c r="H884" s="194">
        <f>IFERROR(IF(INDEX([1]Pivot!$AD$1:$BE$65000,$B884,H$5)=1,1,IF(INDEX([1]Pivot!$B$1:$AB$65000,$B884,H$5)="",2,0)),0)</f>
        <v>0</v>
      </c>
      <c r="I884" s="194">
        <f>IFERROR(IF(INDEX([1]Pivot!$AD$1:$BE$65000,$B884,I$5)=1,1,IF(INDEX([1]Pivot!$B$1:$AB$65000,$B884,I$5)="",2,0)),0)</f>
        <v>0</v>
      </c>
      <c r="J884" s="194">
        <f>IFERROR(IF(INDEX([1]Pivot!$AD$1:$BE$65000,$B884,J$5)=1,1,IF(INDEX([1]Pivot!$B$1:$AB$65000,$B884,J$5)="",2,0)),0)</f>
        <v>0</v>
      </c>
      <c r="K884" s="194">
        <f>IFERROR(IF(INDEX([1]Pivot!$AD$1:$BE$65000,$B884,K$5)=1,1,IF(INDEX([1]Pivot!$B$1:$AB$65000,$B884,K$5)="",2,0)),0)</f>
        <v>0</v>
      </c>
      <c r="L884" s="194">
        <f>IFERROR(IF(INDEX([1]Pivot!$AD$1:$BE$65000,$B884,L$5)=1,1,IF(INDEX([1]Pivot!$B$1:$AB$65000,$B884,L$5)="",2,0)),0)</f>
        <v>0</v>
      </c>
      <c r="M884" s="194">
        <f>IFERROR(IF(INDEX([1]Pivot!$AD$1:$BE$65000,$B884,M$5)=1,1,IF(INDEX([1]Pivot!$B$1:$AB$65000,$B884,M$5)="",2,0)),0)</f>
        <v>0</v>
      </c>
      <c r="N884" s="194">
        <f>IFERROR(IF(INDEX([1]Pivot!$AD$1:$BE$65000,$B884,N$5)=1,1,IF(INDEX([1]Pivot!$B$1:$AB$65000,$B884,N$5)="",2,0)),0)</f>
        <v>0</v>
      </c>
      <c r="O884" s="194">
        <f>IFERROR(IF(INDEX([1]Pivot!$AD$1:$BE$65000,$B884,O$5)=1,1,IF(INDEX([1]Pivot!$B$1:$AB$65000,$B884,O$5)="",2,0)),0)</f>
        <v>0</v>
      </c>
      <c r="P884" s="194">
        <f>IFERROR(IF(INDEX([1]Pivot!$AD$1:$BE$65000,$B884,P$5)=1,1,IF(INDEX([1]Pivot!$B$1:$AB$65000,$B884,P$5)="",2,0)),0)</f>
        <v>0</v>
      </c>
      <c r="Q884" s="194">
        <f>IFERROR(IF(INDEX([1]Pivot!$AD$1:$BE$65000,$B884,Q$5)=1,1,IF(INDEX([1]Pivot!$B$1:$AB$65000,$B884,Q$5)="",2,0)),0)</f>
        <v>0</v>
      </c>
      <c r="R884" s="312"/>
      <c r="S884" s="194">
        <f>IFERROR(IF(INDEX([1]Pivot!$AD$1:$BE$65000,$B884,S$5)=1,1,IF(INDEX([1]Pivot!$B$1:$AB$65000,$B884,S$5)="",2,0)),0)</f>
        <v>0</v>
      </c>
      <c r="T884" s="194">
        <f>IFERROR(IF(INDEX([1]Pivot!$AD$1:$BE$65000,$B884,T$5)=1,1,IF(INDEX([1]Pivot!$B$1:$AB$65000,$B884,T$5)="",2,0)),0)</f>
        <v>0</v>
      </c>
      <c r="U884" s="194">
        <f>IFERROR(IF(INDEX([1]Pivot!$AD$1:$BE$65000,$B884,U$5)=1,1,IF(INDEX([1]Pivot!$B$1:$AB$65000,$B884,U$5)="",2,0)),0)</f>
        <v>0</v>
      </c>
      <c r="V884" s="194">
        <f>IFERROR(IF(INDEX([1]Pivot!$AD$1:$BE$65000,$B884,V$5)=1,1,IF(INDEX([1]Pivot!$B$1:$AB$65000,$B884,V$5)="",2,0)),0)</f>
        <v>0</v>
      </c>
      <c r="W884" s="194">
        <f>IFERROR(IF(INDEX([1]Pivot!$AD$1:$BE$65000,$B884,W$5)=1,1,IF(INDEX([1]Pivot!$B$1:$AB$65000,$B884,W$5)="",2,0)),0)</f>
        <v>0</v>
      </c>
      <c r="X884" s="194">
        <f>IFERROR(IF(INDEX([1]Pivot!$AD$1:$BE$65000,$B884,X$5)=1,1,IF(INDEX([1]Pivot!$B$1:$AB$65000,$B884,X$5)="",2,0)),0)</f>
        <v>0</v>
      </c>
      <c r="Y884" s="194">
        <f>IFERROR(IF(INDEX([1]Pivot!$AD$1:$BE$65000,$B884,Y$5)=1,1,IF(INDEX([1]Pivot!$B$1:$AB$65000,$B884,Y$5)="",2,0)),0)</f>
        <v>0</v>
      </c>
      <c r="Z884" s="194">
        <f>IFERROR(IF(INDEX([1]Pivot!$AD$1:$BE$65000,$B884,Z$5)=1,1,IF(INDEX([1]Pivot!$B$1:$AB$65000,$B884,Z$5)="",2,0)),0)</f>
        <v>0</v>
      </c>
      <c r="AA884" s="194">
        <f>IFERROR(IF(INDEX([1]Pivot!$AD$1:$BE$65000,$B884,AA$5)=1,1,IF(INDEX([1]Pivot!$B$1:$AB$65000,$B884,AA$5)="",2,0)),0)</f>
        <v>0</v>
      </c>
      <c r="AB884" s="194">
        <f>IFERROR(IF(INDEX([1]Pivot!$AD$1:$BE$65000,$B884,AB$5)=1,1,IF(INDEX([1]Pivot!$B$1:$AB$65000,$B884,AB$5)="",2,0)),0)</f>
        <v>0</v>
      </c>
      <c r="AC884" s="194">
        <f>IFERROR(IF(INDEX([1]Pivot!$AD$1:$BE$65000,$B884,AC$5)=1,1,IF(INDEX([1]Pivot!$B$1:$AB$65000,$B884,AC$5)="",2,0)),0)</f>
        <v>0</v>
      </c>
      <c r="AD884" s="313">
        <f>IFERROR(IF(INDEX([1]Pivot!$BF$1:$CG$65000,$B884,AD$5)=1,1,IF(INDEX([1]Pivot!$B$1:$AB$65000,$B884,AD$5)="",2,0)),0)</f>
        <v>0</v>
      </c>
      <c r="AE884" s="313">
        <f>IFERROR(IF(INDEX([1]Pivot!$BF$1:$CG$65000,$B884,AE$5)=1,1,IF(INDEX([1]Pivot!$B$1:$AB$65000,$B884,AE$5)="",2,0)),0)</f>
        <v>0</v>
      </c>
      <c r="AF884" s="313">
        <f>IFERROR(IF(INDEX([1]Pivot!$BF$1:$CG$65000,$B884,AF$5)=1,1,IF(INDEX([1]Pivot!$B$1:$AB$65000,$B884,AF$5)="",2,0)),0)</f>
        <v>0</v>
      </c>
      <c r="AG884" s="313">
        <f>IFERROR(IF(INDEX([1]Pivot!$BF$1:$CG$65000,$B884,AG$5)=1,1,IF(INDEX([1]Pivot!$B$1:$AB$65000,$B884,AG$5)="",2,0)),0)</f>
        <v>0</v>
      </c>
      <c r="AH884" s="313">
        <f>IFERROR(IF(INDEX([1]Pivot!$BF$1:$CG$65000,$B884,AH$5)=1,1,IF(INDEX([1]Pivot!$B$1:$AB$65000,$B884,AH$5)="",2,0)),0)</f>
        <v>0</v>
      </c>
      <c r="AI884" s="313">
        <f>IFERROR(IF(INDEX([1]Pivot!$BF$1:$CG$65000,$B884,AI$5)=1,1,IF(INDEX([1]Pivot!$B$1:$AB$65000,$B884,AI$5)="",2,0)),0)</f>
        <v>0</v>
      </c>
      <c r="AJ884" s="313">
        <f>IFERROR(IF(INDEX([1]Pivot!$BF$1:$CG$65000,$B884,AJ$5)=1,1,IF(INDEX([1]Pivot!$B$1:$AB$65000,$B884,AJ$5)="",2,0)),0)</f>
        <v>0</v>
      </c>
      <c r="AK884" s="313">
        <f>IFERROR(IF(INDEX([1]Pivot!$BF$1:$CG$65000,$B884,AK$5)=1,1,IF(INDEX([1]Pivot!$B$1:$AB$65000,$B884,AK$5)="",2,0)),0)</f>
        <v>0</v>
      </c>
      <c r="AL884" s="313">
        <f>IFERROR(IF(INDEX([1]Pivot!$BF$1:$CG$65000,$B884,AL$5)=1,1,IF(INDEX([1]Pivot!$B$1:$AB$65000,$B884,AL$5)="",2,0)),0)</f>
        <v>0</v>
      </c>
      <c r="AM884" s="313">
        <f>IFERROR(IF(INDEX([1]Pivot!$BF$1:$CG$65000,$B884,AM$5)=1,1,IF(INDEX([1]Pivot!$B$1:$AB$65000,$B884,AM$5)="",2,0)),0)</f>
        <v>0</v>
      </c>
      <c r="AN884" s="313">
        <f>IFERROR(IF(INDEX([1]Pivot!$BF$1:$CG$65000,$B884,AN$5)=1,1,IF(INDEX([1]Pivot!$B$1:$AB$65000,$B884,AN$5)="",2,0)),0)</f>
        <v>0</v>
      </c>
      <c r="AO884" s="313">
        <f>IFERROR(IF(INDEX([1]Pivot!$BF$1:$CG$65000,$B884,AO$5)=1,1,IF(INDEX([1]Pivot!$B$1:$AB$65000,$B884,AO$5)="",2,0)),0)</f>
        <v>0</v>
      </c>
      <c r="AP884" s="313">
        <f>IFERROR(IF(INDEX([1]Pivot!$BF$1:$CG$65000,$B884,AP$5)=1,1,IF(INDEX([1]Pivot!$B$1:$AB$65000,$B884,AP$5)="",2,0)),0)</f>
        <v>0</v>
      </c>
      <c r="AQ884" s="313">
        <f>IFERROR(IF(INDEX([1]Pivot!$BF$1:$CG$65000,$B884,AQ$5)=1,1,IF(INDEX([1]Pivot!$B$1:$AB$65000,$B884,AQ$5)="",2,0)),0)</f>
        <v>0</v>
      </c>
      <c r="AR884" s="313">
        <f>IFERROR(IF(INDEX([1]Pivot!$BF$1:$CG$65000,$B884,AR$5)=1,1,IF(INDEX([1]Pivot!$B$1:$AB$65000,$B884,AR$5)="",2,0)),0)</f>
        <v>0</v>
      </c>
      <c r="AS884" s="312"/>
      <c r="AT884" s="313">
        <f>IFERROR(IF(INDEX([1]Pivot!$BF$1:$CG$65000,$B884,AT$5)=1,1,IF(INDEX([1]Pivot!$B$1:$AB$65000,$B884,AT$5)="",2,0)),0)</f>
        <v>0</v>
      </c>
      <c r="AU884" s="313">
        <f>IFERROR(IF(INDEX([1]Pivot!$BF$1:$CG$65000,$B884,AU$5)=1,1,IF(INDEX([1]Pivot!$B$1:$AB$65000,$B884,AU$5)="",2,0)),0)</f>
        <v>0</v>
      </c>
      <c r="AV884" s="313">
        <f>IFERROR(IF(INDEX([1]Pivot!$BF$1:$CG$65000,$B884,AV$5)=1,1,IF(INDEX([1]Pivot!$B$1:$AB$65000,$B884,AV$5)="",2,0)),0)</f>
        <v>0</v>
      </c>
      <c r="AW884" s="313">
        <f>IFERROR(IF(INDEX([1]Pivot!$BF$1:$CG$65000,$B884,AW$5)=1,1,IF(INDEX([1]Pivot!$B$1:$AB$65000,$B884,AW$5)="",2,0)),0)</f>
        <v>0</v>
      </c>
      <c r="AX884" s="313">
        <f>IFERROR(IF(INDEX([1]Pivot!$BF$1:$CG$65000,$B884,AX$5)=1,1,IF(INDEX([1]Pivot!$B$1:$AB$65000,$B884,AX$5)="",2,0)),0)</f>
        <v>0</v>
      </c>
      <c r="AY884" s="313">
        <f>IFERROR(IF(INDEX([1]Pivot!$BF$1:$CG$65000,$B884,AY$5)=1,1,IF(INDEX([1]Pivot!$B$1:$AB$65000,$B884,AY$5)="",2,0)),0)</f>
        <v>0</v>
      </c>
      <c r="AZ884" s="313">
        <f>IFERROR(IF(INDEX([1]Pivot!$BF$1:$CG$65000,$B884,AZ$5)=1,1,IF(INDEX([1]Pivot!$B$1:$AB$65000,$B884,AZ$5)="",2,0)),0)</f>
        <v>0</v>
      </c>
      <c r="BA884" s="313">
        <f>IFERROR(IF(INDEX([1]Pivot!$BF$1:$CG$65000,$B884,BA$5)=1,1,IF(INDEX([1]Pivot!$B$1:$AB$65000,$B884,BA$5)="",2,0)),0)</f>
        <v>0</v>
      </c>
      <c r="BB884" s="313">
        <f>IFERROR(IF(INDEX([1]Pivot!$BF$1:$CG$65000,$B884,BB$5)=1,1,IF(INDEX([1]Pivot!$B$1:$AB$65000,$B884,BB$5)="",2,0)),0)</f>
        <v>0</v>
      </c>
      <c r="BC884" s="313">
        <f>IFERROR(IF(INDEX([1]Pivot!$BF$1:$CG$65000,$B884,BC$5)=1,1,IF(INDEX([1]Pivot!$B$1:$AB$65000,$B884,BC$5)="",2,0)),0)</f>
        <v>0</v>
      </c>
      <c r="BD884" s="313">
        <f>IFERROR(IF(INDEX([1]Pivot!$BF$1:$CG$65000,$B884,BD$5)=1,1,IF(INDEX([1]Pivot!$B$1:$AB$65000,$B884,BD$5)="",2,0)),0)</f>
        <v>0</v>
      </c>
    </row>
    <row r="885" spans="1:56" x14ac:dyDescent="0.25">
      <c r="A885" s="288">
        <f>'[2]Raw Milk Prices'!A885</f>
        <v>0</v>
      </c>
      <c r="B885" s="296" t="e">
        <f>MATCH(DATE(LEFT('[2]Raw Milk Prices'!$A885,4),RIGHT('[2]Raw Milk Prices'!$A885,2),1),[1]Pivot!$A$1:$A$65000,0)</f>
        <v>#VALUE!</v>
      </c>
      <c r="C885" s="194">
        <f>IFERROR(IF(INDEX([1]Pivot!$AD$1:$BE$65000,$B885,C$5)=1,1,IF(INDEX([1]Pivot!$B$1:$AB$65000,$B885,C$5)="",2,0)),0)</f>
        <v>0</v>
      </c>
      <c r="D885" s="194">
        <f>IFERROR(IF(INDEX([1]Pivot!$AD$1:$BE$65000,$B885,D$5)=1,1,IF(INDEX([1]Pivot!$B$1:$AB$65000,$B885,D$5)="",2,0)),0)</f>
        <v>0</v>
      </c>
      <c r="E885" s="194">
        <f>IFERROR(IF(INDEX([1]Pivot!$AD$1:$BE$65000,$B885,E$5)=1,1,IF(INDEX([1]Pivot!$B$1:$AB$65000,$B885,E$5)="",2,0)),0)</f>
        <v>0</v>
      </c>
      <c r="F885" s="194">
        <f>IFERROR(IF(INDEX([1]Pivot!$AD$1:$BE$65000,$B885,F$5)=1,1,IF(INDEX([1]Pivot!$B$1:$AB$65000,$B885,F$5)="",2,0)),0)</f>
        <v>0</v>
      </c>
      <c r="G885" s="194">
        <f>IFERROR(IF(INDEX([1]Pivot!$AD$1:$BE$65000,$B885,G$5)=1,1,IF(INDEX([1]Pivot!$B$1:$AB$65000,$B885,G$5)="",2,0)),0)</f>
        <v>0</v>
      </c>
      <c r="H885" s="194">
        <f>IFERROR(IF(INDEX([1]Pivot!$AD$1:$BE$65000,$B885,H$5)=1,1,IF(INDEX([1]Pivot!$B$1:$AB$65000,$B885,H$5)="",2,0)),0)</f>
        <v>0</v>
      </c>
      <c r="I885" s="194">
        <f>IFERROR(IF(INDEX([1]Pivot!$AD$1:$BE$65000,$B885,I$5)=1,1,IF(INDEX([1]Pivot!$B$1:$AB$65000,$B885,I$5)="",2,0)),0)</f>
        <v>0</v>
      </c>
      <c r="J885" s="194">
        <f>IFERROR(IF(INDEX([1]Pivot!$AD$1:$BE$65000,$B885,J$5)=1,1,IF(INDEX([1]Pivot!$B$1:$AB$65000,$B885,J$5)="",2,0)),0)</f>
        <v>0</v>
      </c>
      <c r="K885" s="194">
        <f>IFERROR(IF(INDEX([1]Pivot!$AD$1:$BE$65000,$B885,K$5)=1,1,IF(INDEX([1]Pivot!$B$1:$AB$65000,$B885,K$5)="",2,0)),0)</f>
        <v>0</v>
      </c>
      <c r="L885" s="194">
        <f>IFERROR(IF(INDEX([1]Pivot!$AD$1:$BE$65000,$B885,L$5)=1,1,IF(INDEX([1]Pivot!$B$1:$AB$65000,$B885,L$5)="",2,0)),0)</f>
        <v>0</v>
      </c>
      <c r="M885" s="194">
        <f>IFERROR(IF(INDEX([1]Pivot!$AD$1:$BE$65000,$B885,M$5)=1,1,IF(INDEX([1]Pivot!$B$1:$AB$65000,$B885,M$5)="",2,0)),0)</f>
        <v>0</v>
      </c>
      <c r="N885" s="194">
        <f>IFERROR(IF(INDEX([1]Pivot!$AD$1:$BE$65000,$B885,N$5)=1,1,IF(INDEX([1]Pivot!$B$1:$AB$65000,$B885,N$5)="",2,0)),0)</f>
        <v>0</v>
      </c>
      <c r="O885" s="194">
        <f>IFERROR(IF(INDEX([1]Pivot!$AD$1:$BE$65000,$B885,O$5)=1,1,IF(INDEX([1]Pivot!$B$1:$AB$65000,$B885,O$5)="",2,0)),0)</f>
        <v>0</v>
      </c>
      <c r="P885" s="194">
        <f>IFERROR(IF(INDEX([1]Pivot!$AD$1:$BE$65000,$B885,P$5)=1,1,IF(INDEX([1]Pivot!$B$1:$AB$65000,$B885,P$5)="",2,0)),0)</f>
        <v>0</v>
      </c>
      <c r="Q885" s="194">
        <f>IFERROR(IF(INDEX([1]Pivot!$AD$1:$BE$65000,$B885,Q$5)=1,1,IF(INDEX([1]Pivot!$B$1:$AB$65000,$B885,Q$5)="",2,0)),0)</f>
        <v>0</v>
      </c>
      <c r="R885" s="312"/>
      <c r="S885" s="194">
        <f>IFERROR(IF(INDEX([1]Pivot!$AD$1:$BE$65000,$B885,S$5)=1,1,IF(INDEX([1]Pivot!$B$1:$AB$65000,$B885,S$5)="",2,0)),0)</f>
        <v>0</v>
      </c>
      <c r="T885" s="194">
        <f>IFERROR(IF(INDEX([1]Pivot!$AD$1:$BE$65000,$B885,T$5)=1,1,IF(INDEX([1]Pivot!$B$1:$AB$65000,$B885,T$5)="",2,0)),0)</f>
        <v>0</v>
      </c>
      <c r="U885" s="194">
        <f>IFERROR(IF(INDEX([1]Pivot!$AD$1:$BE$65000,$B885,U$5)=1,1,IF(INDEX([1]Pivot!$B$1:$AB$65000,$B885,U$5)="",2,0)),0)</f>
        <v>0</v>
      </c>
      <c r="V885" s="194">
        <f>IFERROR(IF(INDEX([1]Pivot!$AD$1:$BE$65000,$B885,V$5)=1,1,IF(INDEX([1]Pivot!$B$1:$AB$65000,$B885,V$5)="",2,0)),0)</f>
        <v>0</v>
      </c>
      <c r="W885" s="194">
        <f>IFERROR(IF(INDEX([1]Pivot!$AD$1:$BE$65000,$B885,W$5)=1,1,IF(INDEX([1]Pivot!$B$1:$AB$65000,$B885,W$5)="",2,0)),0)</f>
        <v>0</v>
      </c>
      <c r="X885" s="194">
        <f>IFERROR(IF(INDEX([1]Pivot!$AD$1:$BE$65000,$B885,X$5)=1,1,IF(INDEX([1]Pivot!$B$1:$AB$65000,$B885,X$5)="",2,0)),0)</f>
        <v>0</v>
      </c>
      <c r="Y885" s="194">
        <f>IFERROR(IF(INDEX([1]Pivot!$AD$1:$BE$65000,$B885,Y$5)=1,1,IF(INDEX([1]Pivot!$B$1:$AB$65000,$B885,Y$5)="",2,0)),0)</f>
        <v>0</v>
      </c>
      <c r="Z885" s="194">
        <f>IFERROR(IF(INDEX([1]Pivot!$AD$1:$BE$65000,$B885,Z$5)=1,1,IF(INDEX([1]Pivot!$B$1:$AB$65000,$B885,Z$5)="",2,0)),0)</f>
        <v>0</v>
      </c>
      <c r="AA885" s="194">
        <f>IFERROR(IF(INDEX([1]Pivot!$AD$1:$BE$65000,$B885,AA$5)=1,1,IF(INDEX([1]Pivot!$B$1:$AB$65000,$B885,AA$5)="",2,0)),0)</f>
        <v>0</v>
      </c>
      <c r="AB885" s="194">
        <f>IFERROR(IF(INDEX([1]Pivot!$AD$1:$BE$65000,$B885,AB$5)=1,1,IF(INDEX([1]Pivot!$B$1:$AB$65000,$B885,AB$5)="",2,0)),0)</f>
        <v>0</v>
      </c>
      <c r="AC885" s="194">
        <f>IFERROR(IF(INDEX([1]Pivot!$AD$1:$BE$65000,$B885,AC$5)=1,1,IF(INDEX([1]Pivot!$B$1:$AB$65000,$B885,AC$5)="",2,0)),0)</f>
        <v>0</v>
      </c>
      <c r="AD885" s="313">
        <f>IFERROR(IF(INDEX([1]Pivot!$BF$1:$CG$65000,$B885,AD$5)=1,1,IF(INDEX([1]Pivot!$B$1:$AB$65000,$B885,AD$5)="",2,0)),0)</f>
        <v>0</v>
      </c>
      <c r="AE885" s="313">
        <f>IFERROR(IF(INDEX([1]Pivot!$BF$1:$CG$65000,$B885,AE$5)=1,1,IF(INDEX([1]Pivot!$B$1:$AB$65000,$B885,AE$5)="",2,0)),0)</f>
        <v>0</v>
      </c>
      <c r="AF885" s="313">
        <f>IFERROR(IF(INDEX([1]Pivot!$BF$1:$CG$65000,$B885,AF$5)=1,1,IF(INDEX([1]Pivot!$B$1:$AB$65000,$B885,AF$5)="",2,0)),0)</f>
        <v>0</v>
      </c>
      <c r="AG885" s="313">
        <f>IFERROR(IF(INDEX([1]Pivot!$BF$1:$CG$65000,$B885,AG$5)=1,1,IF(INDEX([1]Pivot!$B$1:$AB$65000,$B885,AG$5)="",2,0)),0)</f>
        <v>0</v>
      </c>
      <c r="AH885" s="313">
        <f>IFERROR(IF(INDEX([1]Pivot!$BF$1:$CG$65000,$B885,AH$5)=1,1,IF(INDEX([1]Pivot!$B$1:$AB$65000,$B885,AH$5)="",2,0)),0)</f>
        <v>0</v>
      </c>
      <c r="AI885" s="313">
        <f>IFERROR(IF(INDEX([1]Pivot!$BF$1:$CG$65000,$B885,AI$5)=1,1,IF(INDEX([1]Pivot!$B$1:$AB$65000,$B885,AI$5)="",2,0)),0)</f>
        <v>0</v>
      </c>
      <c r="AJ885" s="313">
        <f>IFERROR(IF(INDEX([1]Pivot!$BF$1:$CG$65000,$B885,AJ$5)=1,1,IF(INDEX([1]Pivot!$B$1:$AB$65000,$B885,AJ$5)="",2,0)),0)</f>
        <v>0</v>
      </c>
      <c r="AK885" s="313">
        <f>IFERROR(IF(INDEX([1]Pivot!$BF$1:$CG$65000,$B885,AK$5)=1,1,IF(INDEX([1]Pivot!$B$1:$AB$65000,$B885,AK$5)="",2,0)),0)</f>
        <v>0</v>
      </c>
      <c r="AL885" s="313">
        <f>IFERROR(IF(INDEX([1]Pivot!$BF$1:$CG$65000,$B885,AL$5)=1,1,IF(INDEX([1]Pivot!$B$1:$AB$65000,$B885,AL$5)="",2,0)),0)</f>
        <v>0</v>
      </c>
      <c r="AM885" s="313">
        <f>IFERROR(IF(INDEX([1]Pivot!$BF$1:$CG$65000,$B885,AM$5)=1,1,IF(INDEX([1]Pivot!$B$1:$AB$65000,$B885,AM$5)="",2,0)),0)</f>
        <v>0</v>
      </c>
      <c r="AN885" s="313">
        <f>IFERROR(IF(INDEX([1]Pivot!$BF$1:$CG$65000,$B885,AN$5)=1,1,IF(INDEX([1]Pivot!$B$1:$AB$65000,$B885,AN$5)="",2,0)),0)</f>
        <v>0</v>
      </c>
      <c r="AO885" s="313">
        <f>IFERROR(IF(INDEX([1]Pivot!$BF$1:$CG$65000,$B885,AO$5)=1,1,IF(INDEX([1]Pivot!$B$1:$AB$65000,$B885,AO$5)="",2,0)),0)</f>
        <v>0</v>
      </c>
      <c r="AP885" s="313">
        <f>IFERROR(IF(INDEX([1]Pivot!$BF$1:$CG$65000,$B885,AP$5)=1,1,IF(INDEX([1]Pivot!$B$1:$AB$65000,$B885,AP$5)="",2,0)),0)</f>
        <v>0</v>
      </c>
      <c r="AQ885" s="313">
        <f>IFERROR(IF(INDEX([1]Pivot!$BF$1:$CG$65000,$B885,AQ$5)=1,1,IF(INDEX([1]Pivot!$B$1:$AB$65000,$B885,AQ$5)="",2,0)),0)</f>
        <v>0</v>
      </c>
      <c r="AR885" s="313">
        <f>IFERROR(IF(INDEX([1]Pivot!$BF$1:$CG$65000,$B885,AR$5)=1,1,IF(INDEX([1]Pivot!$B$1:$AB$65000,$B885,AR$5)="",2,0)),0)</f>
        <v>0</v>
      </c>
      <c r="AS885" s="312"/>
      <c r="AT885" s="313">
        <f>IFERROR(IF(INDEX([1]Pivot!$BF$1:$CG$65000,$B885,AT$5)=1,1,IF(INDEX([1]Pivot!$B$1:$AB$65000,$B885,AT$5)="",2,0)),0)</f>
        <v>0</v>
      </c>
      <c r="AU885" s="313">
        <f>IFERROR(IF(INDEX([1]Pivot!$BF$1:$CG$65000,$B885,AU$5)=1,1,IF(INDEX([1]Pivot!$B$1:$AB$65000,$B885,AU$5)="",2,0)),0)</f>
        <v>0</v>
      </c>
      <c r="AV885" s="313">
        <f>IFERROR(IF(INDEX([1]Pivot!$BF$1:$CG$65000,$B885,AV$5)=1,1,IF(INDEX([1]Pivot!$B$1:$AB$65000,$B885,AV$5)="",2,0)),0)</f>
        <v>0</v>
      </c>
      <c r="AW885" s="313">
        <f>IFERROR(IF(INDEX([1]Pivot!$BF$1:$CG$65000,$B885,AW$5)=1,1,IF(INDEX([1]Pivot!$B$1:$AB$65000,$B885,AW$5)="",2,0)),0)</f>
        <v>0</v>
      </c>
      <c r="AX885" s="313">
        <f>IFERROR(IF(INDEX([1]Pivot!$BF$1:$CG$65000,$B885,AX$5)=1,1,IF(INDEX([1]Pivot!$B$1:$AB$65000,$B885,AX$5)="",2,0)),0)</f>
        <v>0</v>
      </c>
      <c r="AY885" s="313">
        <f>IFERROR(IF(INDEX([1]Pivot!$BF$1:$CG$65000,$B885,AY$5)=1,1,IF(INDEX([1]Pivot!$B$1:$AB$65000,$B885,AY$5)="",2,0)),0)</f>
        <v>0</v>
      </c>
      <c r="AZ885" s="313">
        <f>IFERROR(IF(INDEX([1]Pivot!$BF$1:$CG$65000,$B885,AZ$5)=1,1,IF(INDEX([1]Pivot!$B$1:$AB$65000,$B885,AZ$5)="",2,0)),0)</f>
        <v>0</v>
      </c>
      <c r="BA885" s="313">
        <f>IFERROR(IF(INDEX([1]Pivot!$BF$1:$CG$65000,$B885,BA$5)=1,1,IF(INDEX([1]Pivot!$B$1:$AB$65000,$B885,BA$5)="",2,0)),0)</f>
        <v>0</v>
      </c>
      <c r="BB885" s="313">
        <f>IFERROR(IF(INDEX([1]Pivot!$BF$1:$CG$65000,$B885,BB$5)=1,1,IF(INDEX([1]Pivot!$B$1:$AB$65000,$B885,BB$5)="",2,0)),0)</f>
        <v>0</v>
      </c>
      <c r="BC885" s="313">
        <f>IFERROR(IF(INDEX([1]Pivot!$BF$1:$CG$65000,$B885,BC$5)=1,1,IF(INDEX([1]Pivot!$B$1:$AB$65000,$B885,BC$5)="",2,0)),0)</f>
        <v>0</v>
      </c>
      <c r="BD885" s="313">
        <f>IFERROR(IF(INDEX([1]Pivot!$BF$1:$CG$65000,$B885,BD$5)=1,1,IF(INDEX([1]Pivot!$B$1:$AB$65000,$B885,BD$5)="",2,0)),0)</f>
        <v>0</v>
      </c>
    </row>
    <row r="886" spans="1:56" x14ac:dyDescent="0.25">
      <c r="A886" s="288">
        <f>'[2]Raw Milk Prices'!A886</f>
        <v>0</v>
      </c>
      <c r="B886" s="296" t="e">
        <f>MATCH(DATE(LEFT('[2]Raw Milk Prices'!$A886,4),RIGHT('[2]Raw Milk Prices'!$A886,2),1),[1]Pivot!$A$1:$A$65000,0)</f>
        <v>#VALUE!</v>
      </c>
      <c r="C886" s="194">
        <f>IFERROR(IF(INDEX([1]Pivot!$AD$1:$BE$65000,$B886,C$5)=1,1,IF(INDEX([1]Pivot!$B$1:$AB$65000,$B886,C$5)="",2,0)),0)</f>
        <v>0</v>
      </c>
      <c r="D886" s="194">
        <f>IFERROR(IF(INDEX([1]Pivot!$AD$1:$BE$65000,$B886,D$5)=1,1,IF(INDEX([1]Pivot!$B$1:$AB$65000,$B886,D$5)="",2,0)),0)</f>
        <v>0</v>
      </c>
      <c r="E886" s="194">
        <f>IFERROR(IF(INDEX([1]Pivot!$AD$1:$BE$65000,$B886,E$5)=1,1,IF(INDEX([1]Pivot!$B$1:$AB$65000,$B886,E$5)="",2,0)),0)</f>
        <v>0</v>
      </c>
      <c r="F886" s="194">
        <f>IFERROR(IF(INDEX([1]Pivot!$AD$1:$BE$65000,$B886,F$5)=1,1,IF(INDEX([1]Pivot!$B$1:$AB$65000,$B886,F$5)="",2,0)),0)</f>
        <v>0</v>
      </c>
      <c r="G886" s="194">
        <f>IFERROR(IF(INDEX([1]Pivot!$AD$1:$BE$65000,$B886,G$5)=1,1,IF(INDEX([1]Pivot!$B$1:$AB$65000,$B886,G$5)="",2,0)),0)</f>
        <v>0</v>
      </c>
      <c r="H886" s="194">
        <f>IFERROR(IF(INDEX([1]Pivot!$AD$1:$BE$65000,$B886,H$5)=1,1,IF(INDEX([1]Pivot!$B$1:$AB$65000,$B886,H$5)="",2,0)),0)</f>
        <v>0</v>
      </c>
      <c r="I886" s="194">
        <f>IFERROR(IF(INDEX([1]Pivot!$AD$1:$BE$65000,$B886,I$5)=1,1,IF(INDEX([1]Pivot!$B$1:$AB$65000,$B886,I$5)="",2,0)),0)</f>
        <v>0</v>
      </c>
      <c r="J886" s="194">
        <f>IFERROR(IF(INDEX([1]Pivot!$AD$1:$BE$65000,$B886,J$5)=1,1,IF(INDEX([1]Pivot!$B$1:$AB$65000,$B886,J$5)="",2,0)),0)</f>
        <v>0</v>
      </c>
      <c r="K886" s="194">
        <f>IFERROR(IF(INDEX([1]Pivot!$AD$1:$BE$65000,$B886,K$5)=1,1,IF(INDEX([1]Pivot!$B$1:$AB$65000,$B886,K$5)="",2,0)),0)</f>
        <v>0</v>
      </c>
      <c r="L886" s="194">
        <f>IFERROR(IF(INDEX([1]Pivot!$AD$1:$BE$65000,$B886,L$5)=1,1,IF(INDEX([1]Pivot!$B$1:$AB$65000,$B886,L$5)="",2,0)),0)</f>
        <v>0</v>
      </c>
      <c r="M886" s="194">
        <f>IFERROR(IF(INDEX([1]Pivot!$AD$1:$BE$65000,$B886,M$5)=1,1,IF(INDEX([1]Pivot!$B$1:$AB$65000,$B886,M$5)="",2,0)),0)</f>
        <v>0</v>
      </c>
      <c r="N886" s="194">
        <f>IFERROR(IF(INDEX([1]Pivot!$AD$1:$BE$65000,$B886,N$5)=1,1,IF(INDEX([1]Pivot!$B$1:$AB$65000,$B886,N$5)="",2,0)),0)</f>
        <v>0</v>
      </c>
      <c r="O886" s="194">
        <f>IFERROR(IF(INDEX([1]Pivot!$AD$1:$BE$65000,$B886,O$5)=1,1,IF(INDEX([1]Pivot!$B$1:$AB$65000,$B886,O$5)="",2,0)),0)</f>
        <v>0</v>
      </c>
      <c r="P886" s="194">
        <f>IFERROR(IF(INDEX([1]Pivot!$AD$1:$BE$65000,$B886,P$5)=1,1,IF(INDEX([1]Pivot!$B$1:$AB$65000,$B886,P$5)="",2,0)),0)</f>
        <v>0</v>
      </c>
      <c r="Q886" s="194">
        <f>IFERROR(IF(INDEX([1]Pivot!$AD$1:$BE$65000,$B886,Q$5)=1,1,IF(INDEX([1]Pivot!$B$1:$AB$65000,$B886,Q$5)="",2,0)),0)</f>
        <v>0</v>
      </c>
      <c r="R886" s="312"/>
      <c r="S886" s="194">
        <f>IFERROR(IF(INDEX([1]Pivot!$AD$1:$BE$65000,$B886,S$5)=1,1,IF(INDEX([1]Pivot!$B$1:$AB$65000,$B886,S$5)="",2,0)),0)</f>
        <v>0</v>
      </c>
      <c r="T886" s="194">
        <f>IFERROR(IF(INDEX([1]Pivot!$AD$1:$BE$65000,$B886,T$5)=1,1,IF(INDEX([1]Pivot!$B$1:$AB$65000,$B886,T$5)="",2,0)),0)</f>
        <v>0</v>
      </c>
      <c r="U886" s="194">
        <f>IFERROR(IF(INDEX([1]Pivot!$AD$1:$BE$65000,$B886,U$5)=1,1,IF(INDEX([1]Pivot!$B$1:$AB$65000,$B886,U$5)="",2,0)),0)</f>
        <v>0</v>
      </c>
      <c r="V886" s="194">
        <f>IFERROR(IF(INDEX([1]Pivot!$AD$1:$BE$65000,$B886,V$5)=1,1,IF(INDEX([1]Pivot!$B$1:$AB$65000,$B886,V$5)="",2,0)),0)</f>
        <v>0</v>
      </c>
      <c r="W886" s="194">
        <f>IFERROR(IF(INDEX([1]Pivot!$AD$1:$BE$65000,$B886,W$5)=1,1,IF(INDEX([1]Pivot!$B$1:$AB$65000,$B886,W$5)="",2,0)),0)</f>
        <v>0</v>
      </c>
      <c r="X886" s="194">
        <f>IFERROR(IF(INDEX([1]Pivot!$AD$1:$BE$65000,$B886,X$5)=1,1,IF(INDEX([1]Pivot!$B$1:$AB$65000,$B886,X$5)="",2,0)),0)</f>
        <v>0</v>
      </c>
      <c r="Y886" s="194">
        <f>IFERROR(IF(INDEX([1]Pivot!$AD$1:$BE$65000,$B886,Y$5)=1,1,IF(INDEX([1]Pivot!$B$1:$AB$65000,$B886,Y$5)="",2,0)),0)</f>
        <v>0</v>
      </c>
      <c r="Z886" s="194">
        <f>IFERROR(IF(INDEX([1]Pivot!$AD$1:$BE$65000,$B886,Z$5)=1,1,IF(INDEX([1]Pivot!$B$1:$AB$65000,$B886,Z$5)="",2,0)),0)</f>
        <v>0</v>
      </c>
      <c r="AA886" s="194">
        <f>IFERROR(IF(INDEX([1]Pivot!$AD$1:$BE$65000,$B886,AA$5)=1,1,IF(INDEX([1]Pivot!$B$1:$AB$65000,$B886,AA$5)="",2,0)),0)</f>
        <v>0</v>
      </c>
      <c r="AB886" s="194">
        <f>IFERROR(IF(INDEX([1]Pivot!$AD$1:$BE$65000,$B886,AB$5)=1,1,IF(INDEX([1]Pivot!$B$1:$AB$65000,$B886,AB$5)="",2,0)),0)</f>
        <v>0</v>
      </c>
      <c r="AC886" s="194">
        <f>IFERROR(IF(INDEX([1]Pivot!$AD$1:$BE$65000,$B886,AC$5)=1,1,IF(INDEX([1]Pivot!$B$1:$AB$65000,$B886,AC$5)="",2,0)),0)</f>
        <v>0</v>
      </c>
      <c r="AD886" s="313">
        <f>IFERROR(IF(INDEX([1]Pivot!$BF$1:$CG$65000,$B886,AD$5)=1,1,IF(INDEX([1]Pivot!$B$1:$AB$65000,$B886,AD$5)="",2,0)),0)</f>
        <v>0</v>
      </c>
      <c r="AE886" s="313">
        <f>IFERROR(IF(INDEX([1]Pivot!$BF$1:$CG$65000,$B886,AE$5)=1,1,IF(INDEX([1]Pivot!$B$1:$AB$65000,$B886,AE$5)="",2,0)),0)</f>
        <v>0</v>
      </c>
      <c r="AF886" s="313">
        <f>IFERROR(IF(INDEX([1]Pivot!$BF$1:$CG$65000,$B886,AF$5)=1,1,IF(INDEX([1]Pivot!$B$1:$AB$65000,$B886,AF$5)="",2,0)),0)</f>
        <v>0</v>
      </c>
      <c r="AG886" s="313">
        <f>IFERROR(IF(INDEX([1]Pivot!$BF$1:$CG$65000,$B886,AG$5)=1,1,IF(INDEX([1]Pivot!$B$1:$AB$65000,$B886,AG$5)="",2,0)),0)</f>
        <v>0</v>
      </c>
      <c r="AH886" s="313">
        <f>IFERROR(IF(INDEX([1]Pivot!$BF$1:$CG$65000,$B886,AH$5)=1,1,IF(INDEX([1]Pivot!$B$1:$AB$65000,$B886,AH$5)="",2,0)),0)</f>
        <v>0</v>
      </c>
      <c r="AI886" s="313">
        <f>IFERROR(IF(INDEX([1]Pivot!$BF$1:$CG$65000,$B886,AI$5)=1,1,IF(INDEX([1]Pivot!$B$1:$AB$65000,$B886,AI$5)="",2,0)),0)</f>
        <v>0</v>
      </c>
      <c r="AJ886" s="313">
        <f>IFERROR(IF(INDEX([1]Pivot!$BF$1:$CG$65000,$B886,AJ$5)=1,1,IF(INDEX([1]Pivot!$B$1:$AB$65000,$B886,AJ$5)="",2,0)),0)</f>
        <v>0</v>
      </c>
      <c r="AK886" s="313">
        <f>IFERROR(IF(INDEX([1]Pivot!$BF$1:$CG$65000,$B886,AK$5)=1,1,IF(INDEX([1]Pivot!$B$1:$AB$65000,$B886,AK$5)="",2,0)),0)</f>
        <v>0</v>
      </c>
      <c r="AL886" s="313">
        <f>IFERROR(IF(INDEX([1]Pivot!$BF$1:$CG$65000,$B886,AL$5)=1,1,IF(INDEX([1]Pivot!$B$1:$AB$65000,$B886,AL$5)="",2,0)),0)</f>
        <v>0</v>
      </c>
      <c r="AM886" s="313">
        <f>IFERROR(IF(INDEX([1]Pivot!$BF$1:$CG$65000,$B886,AM$5)=1,1,IF(INDEX([1]Pivot!$B$1:$AB$65000,$B886,AM$5)="",2,0)),0)</f>
        <v>0</v>
      </c>
      <c r="AN886" s="313">
        <f>IFERROR(IF(INDEX([1]Pivot!$BF$1:$CG$65000,$B886,AN$5)=1,1,IF(INDEX([1]Pivot!$B$1:$AB$65000,$B886,AN$5)="",2,0)),0)</f>
        <v>0</v>
      </c>
      <c r="AO886" s="313">
        <f>IFERROR(IF(INDEX([1]Pivot!$BF$1:$CG$65000,$B886,AO$5)=1,1,IF(INDEX([1]Pivot!$B$1:$AB$65000,$B886,AO$5)="",2,0)),0)</f>
        <v>0</v>
      </c>
      <c r="AP886" s="313">
        <f>IFERROR(IF(INDEX([1]Pivot!$BF$1:$CG$65000,$B886,AP$5)=1,1,IF(INDEX([1]Pivot!$B$1:$AB$65000,$B886,AP$5)="",2,0)),0)</f>
        <v>0</v>
      </c>
      <c r="AQ886" s="313">
        <f>IFERROR(IF(INDEX([1]Pivot!$BF$1:$CG$65000,$B886,AQ$5)=1,1,IF(INDEX([1]Pivot!$B$1:$AB$65000,$B886,AQ$5)="",2,0)),0)</f>
        <v>0</v>
      </c>
      <c r="AR886" s="313">
        <f>IFERROR(IF(INDEX([1]Pivot!$BF$1:$CG$65000,$B886,AR$5)=1,1,IF(INDEX([1]Pivot!$B$1:$AB$65000,$B886,AR$5)="",2,0)),0)</f>
        <v>0</v>
      </c>
      <c r="AS886" s="312"/>
      <c r="AT886" s="313">
        <f>IFERROR(IF(INDEX([1]Pivot!$BF$1:$CG$65000,$B886,AT$5)=1,1,IF(INDEX([1]Pivot!$B$1:$AB$65000,$B886,AT$5)="",2,0)),0)</f>
        <v>0</v>
      </c>
      <c r="AU886" s="313">
        <f>IFERROR(IF(INDEX([1]Pivot!$BF$1:$CG$65000,$B886,AU$5)=1,1,IF(INDEX([1]Pivot!$B$1:$AB$65000,$B886,AU$5)="",2,0)),0)</f>
        <v>0</v>
      </c>
      <c r="AV886" s="313">
        <f>IFERROR(IF(INDEX([1]Pivot!$BF$1:$CG$65000,$B886,AV$5)=1,1,IF(INDEX([1]Pivot!$B$1:$AB$65000,$B886,AV$5)="",2,0)),0)</f>
        <v>0</v>
      </c>
      <c r="AW886" s="313">
        <f>IFERROR(IF(INDEX([1]Pivot!$BF$1:$CG$65000,$B886,AW$5)=1,1,IF(INDEX([1]Pivot!$B$1:$AB$65000,$B886,AW$5)="",2,0)),0)</f>
        <v>0</v>
      </c>
      <c r="AX886" s="313">
        <f>IFERROR(IF(INDEX([1]Pivot!$BF$1:$CG$65000,$B886,AX$5)=1,1,IF(INDEX([1]Pivot!$B$1:$AB$65000,$B886,AX$5)="",2,0)),0)</f>
        <v>0</v>
      </c>
      <c r="AY886" s="313">
        <f>IFERROR(IF(INDEX([1]Pivot!$BF$1:$CG$65000,$B886,AY$5)=1,1,IF(INDEX([1]Pivot!$B$1:$AB$65000,$B886,AY$5)="",2,0)),0)</f>
        <v>0</v>
      </c>
      <c r="AZ886" s="313">
        <f>IFERROR(IF(INDEX([1]Pivot!$BF$1:$CG$65000,$B886,AZ$5)=1,1,IF(INDEX([1]Pivot!$B$1:$AB$65000,$B886,AZ$5)="",2,0)),0)</f>
        <v>0</v>
      </c>
      <c r="BA886" s="313">
        <f>IFERROR(IF(INDEX([1]Pivot!$BF$1:$CG$65000,$B886,BA$5)=1,1,IF(INDEX([1]Pivot!$B$1:$AB$65000,$B886,BA$5)="",2,0)),0)</f>
        <v>0</v>
      </c>
      <c r="BB886" s="313">
        <f>IFERROR(IF(INDEX([1]Pivot!$BF$1:$CG$65000,$B886,BB$5)=1,1,IF(INDEX([1]Pivot!$B$1:$AB$65000,$B886,BB$5)="",2,0)),0)</f>
        <v>0</v>
      </c>
      <c r="BC886" s="313">
        <f>IFERROR(IF(INDEX([1]Pivot!$BF$1:$CG$65000,$B886,BC$5)=1,1,IF(INDEX([1]Pivot!$B$1:$AB$65000,$B886,BC$5)="",2,0)),0)</f>
        <v>0</v>
      </c>
      <c r="BD886" s="313">
        <f>IFERROR(IF(INDEX([1]Pivot!$BF$1:$CG$65000,$B886,BD$5)=1,1,IF(INDEX([1]Pivot!$B$1:$AB$65000,$B886,BD$5)="",2,0)),0)</f>
        <v>0</v>
      </c>
    </row>
    <row r="887" spans="1:56" x14ac:dyDescent="0.25">
      <c r="A887" s="288">
        <f>'[2]Raw Milk Prices'!A887</f>
        <v>0</v>
      </c>
      <c r="B887" s="296" t="e">
        <f>MATCH(DATE(LEFT('[2]Raw Milk Prices'!$A887,4),RIGHT('[2]Raw Milk Prices'!$A887,2),1),[1]Pivot!$A$1:$A$65000,0)</f>
        <v>#VALUE!</v>
      </c>
      <c r="C887" s="194">
        <f>IFERROR(IF(INDEX([1]Pivot!$AD$1:$BE$65000,$B887,C$5)=1,1,IF(INDEX([1]Pivot!$B$1:$AB$65000,$B887,C$5)="",2,0)),0)</f>
        <v>0</v>
      </c>
      <c r="D887" s="194">
        <f>IFERROR(IF(INDEX([1]Pivot!$AD$1:$BE$65000,$B887,D$5)=1,1,IF(INDEX([1]Pivot!$B$1:$AB$65000,$B887,D$5)="",2,0)),0)</f>
        <v>0</v>
      </c>
      <c r="E887" s="194">
        <f>IFERROR(IF(INDEX([1]Pivot!$AD$1:$BE$65000,$B887,E$5)=1,1,IF(INDEX([1]Pivot!$B$1:$AB$65000,$B887,E$5)="",2,0)),0)</f>
        <v>0</v>
      </c>
      <c r="F887" s="194">
        <f>IFERROR(IF(INDEX([1]Pivot!$AD$1:$BE$65000,$B887,F$5)=1,1,IF(INDEX([1]Pivot!$B$1:$AB$65000,$B887,F$5)="",2,0)),0)</f>
        <v>0</v>
      </c>
      <c r="G887" s="194">
        <f>IFERROR(IF(INDEX([1]Pivot!$AD$1:$BE$65000,$B887,G$5)=1,1,IF(INDEX([1]Pivot!$B$1:$AB$65000,$B887,G$5)="",2,0)),0)</f>
        <v>0</v>
      </c>
      <c r="H887" s="194">
        <f>IFERROR(IF(INDEX([1]Pivot!$AD$1:$BE$65000,$B887,H$5)=1,1,IF(INDEX([1]Pivot!$B$1:$AB$65000,$B887,H$5)="",2,0)),0)</f>
        <v>0</v>
      </c>
      <c r="I887" s="194">
        <f>IFERROR(IF(INDEX([1]Pivot!$AD$1:$BE$65000,$B887,I$5)=1,1,IF(INDEX([1]Pivot!$B$1:$AB$65000,$B887,I$5)="",2,0)),0)</f>
        <v>0</v>
      </c>
      <c r="J887" s="194">
        <f>IFERROR(IF(INDEX([1]Pivot!$AD$1:$BE$65000,$B887,J$5)=1,1,IF(INDEX([1]Pivot!$B$1:$AB$65000,$B887,J$5)="",2,0)),0)</f>
        <v>0</v>
      </c>
      <c r="K887" s="194">
        <f>IFERROR(IF(INDEX([1]Pivot!$AD$1:$BE$65000,$B887,K$5)=1,1,IF(INDEX([1]Pivot!$B$1:$AB$65000,$B887,K$5)="",2,0)),0)</f>
        <v>0</v>
      </c>
      <c r="L887" s="194">
        <f>IFERROR(IF(INDEX([1]Pivot!$AD$1:$BE$65000,$B887,L$5)=1,1,IF(INDEX([1]Pivot!$B$1:$AB$65000,$B887,L$5)="",2,0)),0)</f>
        <v>0</v>
      </c>
      <c r="M887" s="194">
        <f>IFERROR(IF(INDEX([1]Pivot!$AD$1:$BE$65000,$B887,M$5)=1,1,IF(INDEX([1]Pivot!$B$1:$AB$65000,$B887,M$5)="",2,0)),0)</f>
        <v>0</v>
      </c>
      <c r="N887" s="194">
        <f>IFERROR(IF(INDEX([1]Pivot!$AD$1:$BE$65000,$B887,N$5)=1,1,IF(INDEX([1]Pivot!$B$1:$AB$65000,$B887,N$5)="",2,0)),0)</f>
        <v>0</v>
      </c>
      <c r="O887" s="194">
        <f>IFERROR(IF(INDEX([1]Pivot!$AD$1:$BE$65000,$B887,O$5)=1,1,IF(INDEX([1]Pivot!$B$1:$AB$65000,$B887,O$5)="",2,0)),0)</f>
        <v>0</v>
      </c>
      <c r="P887" s="194">
        <f>IFERROR(IF(INDEX([1]Pivot!$AD$1:$BE$65000,$B887,P$5)=1,1,IF(INDEX([1]Pivot!$B$1:$AB$65000,$B887,P$5)="",2,0)),0)</f>
        <v>0</v>
      </c>
      <c r="Q887" s="194">
        <f>IFERROR(IF(INDEX([1]Pivot!$AD$1:$BE$65000,$B887,Q$5)=1,1,IF(INDEX([1]Pivot!$B$1:$AB$65000,$B887,Q$5)="",2,0)),0)</f>
        <v>0</v>
      </c>
      <c r="R887" s="312"/>
      <c r="S887" s="194">
        <f>IFERROR(IF(INDEX([1]Pivot!$AD$1:$BE$65000,$B887,S$5)=1,1,IF(INDEX([1]Pivot!$B$1:$AB$65000,$B887,S$5)="",2,0)),0)</f>
        <v>0</v>
      </c>
      <c r="T887" s="194">
        <f>IFERROR(IF(INDEX([1]Pivot!$AD$1:$BE$65000,$B887,T$5)=1,1,IF(INDEX([1]Pivot!$B$1:$AB$65000,$B887,T$5)="",2,0)),0)</f>
        <v>0</v>
      </c>
      <c r="U887" s="194">
        <f>IFERROR(IF(INDEX([1]Pivot!$AD$1:$BE$65000,$B887,U$5)=1,1,IF(INDEX([1]Pivot!$B$1:$AB$65000,$B887,U$5)="",2,0)),0)</f>
        <v>0</v>
      </c>
      <c r="V887" s="194">
        <f>IFERROR(IF(INDEX([1]Pivot!$AD$1:$BE$65000,$B887,V$5)=1,1,IF(INDEX([1]Pivot!$B$1:$AB$65000,$B887,V$5)="",2,0)),0)</f>
        <v>0</v>
      </c>
      <c r="W887" s="194">
        <f>IFERROR(IF(INDEX([1]Pivot!$AD$1:$BE$65000,$B887,W$5)=1,1,IF(INDEX([1]Pivot!$B$1:$AB$65000,$B887,W$5)="",2,0)),0)</f>
        <v>0</v>
      </c>
      <c r="X887" s="194">
        <f>IFERROR(IF(INDEX([1]Pivot!$AD$1:$BE$65000,$B887,X$5)=1,1,IF(INDEX([1]Pivot!$B$1:$AB$65000,$B887,X$5)="",2,0)),0)</f>
        <v>0</v>
      </c>
      <c r="Y887" s="194">
        <f>IFERROR(IF(INDEX([1]Pivot!$AD$1:$BE$65000,$B887,Y$5)=1,1,IF(INDEX([1]Pivot!$B$1:$AB$65000,$B887,Y$5)="",2,0)),0)</f>
        <v>0</v>
      </c>
      <c r="Z887" s="194">
        <f>IFERROR(IF(INDEX([1]Pivot!$AD$1:$BE$65000,$B887,Z$5)=1,1,IF(INDEX([1]Pivot!$B$1:$AB$65000,$B887,Z$5)="",2,0)),0)</f>
        <v>0</v>
      </c>
      <c r="AA887" s="194">
        <f>IFERROR(IF(INDEX([1]Pivot!$AD$1:$BE$65000,$B887,AA$5)=1,1,IF(INDEX([1]Pivot!$B$1:$AB$65000,$B887,AA$5)="",2,0)),0)</f>
        <v>0</v>
      </c>
      <c r="AB887" s="194">
        <f>IFERROR(IF(INDEX([1]Pivot!$AD$1:$BE$65000,$B887,AB$5)=1,1,IF(INDEX([1]Pivot!$B$1:$AB$65000,$B887,AB$5)="",2,0)),0)</f>
        <v>0</v>
      </c>
      <c r="AC887" s="194">
        <f>IFERROR(IF(INDEX([1]Pivot!$AD$1:$BE$65000,$B887,AC$5)=1,1,IF(INDEX([1]Pivot!$B$1:$AB$65000,$B887,AC$5)="",2,0)),0)</f>
        <v>0</v>
      </c>
      <c r="AD887" s="313">
        <f>IFERROR(IF(INDEX([1]Pivot!$BF$1:$CG$65000,$B887,AD$5)=1,1,IF(INDEX([1]Pivot!$B$1:$AB$65000,$B887,AD$5)="",2,0)),0)</f>
        <v>0</v>
      </c>
      <c r="AE887" s="313">
        <f>IFERROR(IF(INDEX([1]Pivot!$BF$1:$CG$65000,$B887,AE$5)=1,1,IF(INDEX([1]Pivot!$B$1:$AB$65000,$B887,AE$5)="",2,0)),0)</f>
        <v>0</v>
      </c>
      <c r="AF887" s="313">
        <f>IFERROR(IF(INDEX([1]Pivot!$BF$1:$CG$65000,$B887,AF$5)=1,1,IF(INDEX([1]Pivot!$B$1:$AB$65000,$B887,AF$5)="",2,0)),0)</f>
        <v>0</v>
      </c>
      <c r="AG887" s="313">
        <f>IFERROR(IF(INDEX([1]Pivot!$BF$1:$CG$65000,$B887,AG$5)=1,1,IF(INDEX([1]Pivot!$B$1:$AB$65000,$B887,AG$5)="",2,0)),0)</f>
        <v>0</v>
      </c>
      <c r="AH887" s="313">
        <f>IFERROR(IF(INDEX([1]Pivot!$BF$1:$CG$65000,$B887,AH$5)=1,1,IF(INDEX([1]Pivot!$B$1:$AB$65000,$B887,AH$5)="",2,0)),0)</f>
        <v>0</v>
      </c>
      <c r="AI887" s="313">
        <f>IFERROR(IF(INDEX([1]Pivot!$BF$1:$CG$65000,$B887,AI$5)=1,1,IF(INDEX([1]Pivot!$B$1:$AB$65000,$B887,AI$5)="",2,0)),0)</f>
        <v>0</v>
      </c>
      <c r="AJ887" s="313">
        <f>IFERROR(IF(INDEX([1]Pivot!$BF$1:$CG$65000,$B887,AJ$5)=1,1,IF(INDEX([1]Pivot!$B$1:$AB$65000,$B887,AJ$5)="",2,0)),0)</f>
        <v>0</v>
      </c>
      <c r="AK887" s="313">
        <f>IFERROR(IF(INDEX([1]Pivot!$BF$1:$CG$65000,$B887,AK$5)=1,1,IF(INDEX([1]Pivot!$B$1:$AB$65000,$B887,AK$5)="",2,0)),0)</f>
        <v>0</v>
      </c>
      <c r="AL887" s="313">
        <f>IFERROR(IF(INDEX([1]Pivot!$BF$1:$CG$65000,$B887,AL$5)=1,1,IF(INDEX([1]Pivot!$B$1:$AB$65000,$B887,AL$5)="",2,0)),0)</f>
        <v>0</v>
      </c>
      <c r="AM887" s="313">
        <f>IFERROR(IF(INDEX([1]Pivot!$BF$1:$CG$65000,$B887,AM$5)=1,1,IF(INDEX([1]Pivot!$B$1:$AB$65000,$B887,AM$5)="",2,0)),0)</f>
        <v>0</v>
      </c>
      <c r="AN887" s="313">
        <f>IFERROR(IF(INDEX([1]Pivot!$BF$1:$CG$65000,$B887,AN$5)=1,1,IF(INDEX([1]Pivot!$B$1:$AB$65000,$B887,AN$5)="",2,0)),0)</f>
        <v>0</v>
      </c>
      <c r="AO887" s="313">
        <f>IFERROR(IF(INDEX([1]Pivot!$BF$1:$CG$65000,$B887,AO$5)=1,1,IF(INDEX([1]Pivot!$B$1:$AB$65000,$B887,AO$5)="",2,0)),0)</f>
        <v>0</v>
      </c>
      <c r="AP887" s="313">
        <f>IFERROR(IF(INDEX([1]Pivot!$BF$1:$CG$65000,$B887,AP$5)=1,1,IF(INDEX([1]Pivot!$B$1:$AB$65000,$B887,AP$5)="",2,0)),0)</f>
        <v>0</v>
      </c>
      <c r="AQ887" s="313">
        <f>IFERROR(IF(INDEX([1]Pivot!$BF$1:$CG$65000,$B887,AQ$5)=1,1,IF(INDEX([1]Pivot!$B$1:$AB$65000,$B887,AQ$5)="",2,0)),0)</f>
        <v>0</v>
      </c>
      <c r="AR887" s="313">
        <f>IFERROR(IF(INDEX([1]Pivot!$BF$1:$CG$65000,$B887,AR$5)=1,1,IF(INDEX([1]Pivot!$B$1:$AB$65000,$B887,AR$5)="",2,0)),0)</f>
        <v>0</v>
      </c>
      <c r="AS887" s="312"/>
      <c r="AT887" s="313">
        <f>IFERROR(IF(INDEX([1]Pivot!$BF$1:$CG$65000,$B887,AT$5)=1,1,IF(INDEX([1]Pivot!$B$1:$AB$65000,$B887,AT$5)="",2,0)),0)</f>
        <v>0</v>
      </c>
      <c r="AU887" s="313">
        <f>IFERROR(IF(INDEX([1]Pivot!$BF$1:$CG$65000,$B887,AU$5)=1,1,IF(INDEX([1]Pivot!$B$1:$AB$65000,$B887,AU$5)="",2,0)),0)</f>
        <v>0</v>
      </c>
      <c r="AV887" s="313">
        <f>IFERROR(IF(INDEX([1]Pivot!$BF$1:$CG$65000,$B887,AV$5)=1,1,IF(INDEX([1]Pivot!$B$1:$AB$65000,$B887,AV$5)="",2,0)),0)</f>
        <v>0</v>
      </c>
      <c r="AW887" s="313">
        <f>IFERROR(IF(INDEX([1]Pivot!$BF$1:$CG$65000,$B887,AW$5)=1,1,IF(INDEX([1]Pivot!$B$1:$AB$65000,$B887,AW$5)="",2,0)),0)</f>
        <v>0</v>
      </c>
      <c r="AX887" s="313">
        <f>IFERROR(IF(INDEX([1]Pivot!$BF$1:$CG$65000,$B887,AX$5)=1,1,IF(INDEX([1]Pivot!$B$1:$AB$65000,$B887,AX$5)="",2,0)),0)</f>
        <v>0</v>
      </c>
      <c r="AY887" s="313">
        <f>IFERROR(IF(INDEX([1]Pivot!$BF$1:$CG$65000,$B887,AY$5)=1,1,IF(INDEX([1]Pivot!$B$1:$AB$65000,$B887,AY$5)="",2,0)),0)</f>
        <v>0</v>
      </c>
      <c r="AZ887" s="313">
        <f>IFERROR(IF(INDEX([1]Pivot!$BF$1:$CG$65000,$B887,AZ$5)=1,1,IF(INDEX([1]Pivot!$B$1:$AB$65000,$B887,AZ$5)="",2,0)),0)</f>
        <v>0</v>
      </c>
      <c r="BA887" s="313">
        <f>IFERROR(IF(INDEX([1]Pivot!$BF$1:$CG$65000,$B887,BA$5)=1,1,IF(INDEX([1]Pivot!$B$1:$AB$65000,$B887,BA$5)="",2,0)),0)</f>
        <v>0</v>
      </c>
      <c r="BB887" s="313">
        <f>IFERROR(IF(INDEX([1]Pivot!$BF$1:$CG$65000,$B887,BB$5)=1,1,IF(INDEX([1]Pivot!$B$1:$AB$65000,$B887,BB$5)="",2,0)),0)</f>
        <v>0</v>
      </c>
      <c r="BC887" s="313">
        <f>IFERROR(IF(INDEX([1]Pivot!$BF$1:$CG$65000,$B887,BC$5)=1,1,IF(INDEX([1]Pivot!$B$1:$AB$65000,$B887,BC$5)="",2,0)),0)</f>
        <v>0</v>
      </c>
      <c r="BD887" s="313">
        <f>IFERROR(IF(INDEX([1]Pivot!$BF$1:$CG$65000,$B887,BD$5)=1,1,IF(INDEX([1]Pivot!$B$1:$AB$65000,$B887,BD$5)="",2,0)),0)</f>
        <v>0</v>
      </c>
    </row>
    <row r="888" spans="1:56" x14ac:dyDescent="0.25">
      <c r="A888" s="288">
        <f>'[2]Raw Milk Prices'!A888</f>
        <v>0</v>
      </c>
      <c r="B888" s="296" t="e">
        <f>MATCH(DATE(LEFT('[2]Raw Milk Prices'!$A888,4),RIGHT('[2]Raw Milk Prices'!$A888,2),1),[1]Pivot!$A$1:$A$65000,0)</f>
        <v>#VALUE!</v>
      </c>
      <c r="C888" s="194">
        <f>IFERROR(IF(INDEX([1]Pivot!$AD$1:$BE$65000,$B888,C$5)=1,1,IF(INDEX([1]Pivot!$B$1:$AB$65000,$B888,C$5)="",2,0)),0)</f>
        <v>0</v>
      </c>
      <c r="D888" s="194">
        <f>IFERROR(IF(INDEX([1]Pivot!$AD$1:$BE$65000,$B888,D$5)=1,1,IF(INDEX([1]Pivot!$B$1:$AB$65000,$B888,D$5)="",2,0)),0)</f>
        <v>0</v>
      </c>
      <c r="E888" s="194">
        <f>IFERROR(IF(INDEX([1]Pivot!$AD$1:$BE$65000,$B888,E$5)=1,1,IF(INDEX([1]Pivot!$B$1:$AB$65000,$B888,E$5)="",2,0)),0)</f>
        <v>0</v>
      </c>
      <c r="F888" s="194">
        <f>IFERROR(IF(INDEX([1]Pivot!$AD$1:$BE$65000,$B888,F$5)=1,1,IF(INDEX([1]Pivot!$B$1:$AB$65000,$B888,F$5)="",2,0)),0)</f>
        <v>0</v>
      </c>
      <c r="G888" s="194">
        <f>IFERROR(IF(INDEX([1]Pivot!$AD$1:$BE$65000,$B888,G$5)=1,1,IF(INDEX([1]Pivot!$B$1:$AB$65000,$B888,G$5)="",2,0)),0)</f>
        <v>0</v>
      </c>
      <c r="H888" s="194">
        <f>IFERROR(IF(INDEX([1]Pivot!$AD$1:$BE$65000,$B888,H$5)=1,1,IF(INDEX([1]Pivot!$B$1:$AB$65000,$B888,H$5)="",2,0)),0)</f>
        <v>0</v>
      </c>
      <c r="I888" s="194">
        <f>IFERROR(IF(INDEX([1]Pivot!$AD$1:$BE$65000,$B888,I$5)=1,1,IF(INDEX([1]Pivot!$B$1:$AB$65000,$B888,I$5)="",2,0)),0)</f>
        <v>0</v>
      </c>
      <c r="J888" s="194">
        <f>IFERROR(IF(INDEX([1]Pivot!$AD$1:$BE$65000,$B888,J$5)=1,1,IF(INDEX([1]Pivot!$B$1:$AB$65000,$B888,J$5)="",2,0)),0)</f>
        <v>0</v>
      </c>
      <c r="K888" s="194">
        <f>IFERROR(IF(INDEX([1]Pivot!$AD$1:$BE$65000,$B888,K$5)=1,1,IF(INDEX([1]Pivot!$B$1:$AB$65000,$B888,K$5)="",2,0)),0)</f>
        <v>0</v>
      </c>
      <c r="L888" s="194">
        <f>IFERROR(IF(INDEX([1]Pivot!$AD$1:$BE$65000,$B888,L$5)=1,1,IF(INDEX([1]Pivot!$B$1:$AB$65000,$B888,L$5)="",2,0)),0)</f>
        <v>0</v>
      </c>
      <c r="M888" s="194">
        <f>IFERROR(IF(INDEX([1]Pivot!$AD$1:$BE$65000,$B888,M$5)=1,1,IF(INDEX([1]Pivot!$B$1:$AB$65000,$B888,M$5)="",2,0)),0)</f>
        <v>0</v>
      </c>
      <c r="N888" s="194">
        <f>IFERROR(IF(INDEX([1]Pivot!$AD$1:$BE$65000,$B888,N$5)=1,1,IF(INDEX([1]Pivot!$B$1:$AB$65000,$B888,N$5)="",2,0)),0)</f>
        <v>0</v>
      </c>
      <c r="O888" s="194">
        <f>IFERROR(IF(INDEX([1]Pivot!$AD$1:$BE$65000,$B888,O$5)=1,1,IF(INDEX([1]Pivot!$B$1:$AB$65000,$B888,O$5)="",2,0)),0)</f>
        <v>0</v>
      </c>
      <c r="P888" s="194">
        <f>IFERROR(IF(INDEX([1]Pivot!$AD$1:$BE$65000,$B888,P$5)=1,1,IF(INDEX([1]Pivot!$B$1:$AB$65000,$B888,P$5)="",2,0)),0)</f>
        <v>0</v>
      </c>
      <c r="Q888" s="194">
        <f>IFERROR(IF(INDEX([1]Pivot!$AD$1:$BE$65000,$B888,Q$5)=1,1,IF(INDEX([1]Pivot!$B$1:$AB$65000,$B888,Q$5)="",2,0)),0)</f>
        <v>0</v>
      </c>
      <c r="R888" s="312"/>
      <c r="S888" s="194">
        <f>IFERROR(IF(INDEX([1]Pivot!$AD$1:$BE$65000,$B888,S$5)=1,1,IF(INDEX([1]Pivot!$B$1:$AB$65000,$B888,S$5)="",2,0)),0)</f>
        <v>0</v>
      </c>
      <c r="T888" s="194">
        <f>IFERROR(IF(INDEX([1]Pivot!$AD$1:$BE$65000,$B888,T$5)=1,1,IF(INDEX([1]Pivot!$B$1:$AB$65000,$B888,T$5)="",2,0)),0)</f>
        <v>0</v>
      </c>
      <c r="U888" s="194">
        <f>IFERROR(IF(INDEX([1]Pivot!$AD$1:$BE$65000,$B888,U$5)=1,1,IF(INDEX([1]Pivot!$B$1:$AB$65000,$B888,U$5)="",2,0)),0)</f>
        <v>0</v>
      </c>
      <c r="V888" s="194">
        <f>IFERROR(IF(INDEX([1]Pivot!$AD$1:$BE$65000,$B888,V$5)=1,1,IF(INDEX([1]Pivot!$B$1:$AB$65000,$B888,V$5)="",2,0)),0)</f>
        <v>0</v>
      </c>
      <c r="W888" s="194">
        <f>IFERROR(IF(INDEX([1]Pivot!$AD$1:$BE$65000,$B888,W$5)=1,1,IF(INDEX([1]Pivot!$B$1:$AB$65000,$B888,W$5)="",2,0)),0)</f>
        <v>0</v>
      </c>
      <c r="X888" s="194">
        <f>IFERROR(IF(INDEX([1]Pivot!$AD$1:$BE$65000,$B888,X$5)=1,1,IF(INDEX([1]Pivot!$B$1:$AB$65000,$B888,X$5)="",2,0)),0)</f>
        <v>0</v>
      </c>
      <c r="Y888" s="194">
        <f>IFERROR(IF(INDEX([1]Pivot!$AD$1:$BE$65000,$B888,Y$5)=1,1,IF(INDEX([1]Pivot!$B$1:$AB$65000,$B888,Y$5)="",2,0)),0)</f>
        <v>0</v>
      </c>
      <c r="Z888" s="194">
        <f>IFERROR(IF(INDEX([1]Pivot!$AD$1:$BE$65000,$B888,Z$5)=1,1,IF(INDEX([1]Pivot!$B$1:$AB$65000,$B888,Z$5)="",2,0)),0)</f>
        <v>0</v>
      </c>
      <c r="AA888" s="194">
        <f>IFERROR(IF(INDEX([1]Pivot!$AD$1:$BE$65000,$B888,AA$5)=1,1,IF(INDEX([1]Pivot!$B$1:$AB$65000,$B888,AA$5)="",2,0)),0)</f>
        <v>0</v>
      </c>
      <c r="AB888" s="194">
        <f>IFERROR(IF(INDEX([1]Pivot!$AD$1:$BE$65000,$B888,AB$5)=1,1,IF(INDEX([1]Pivot!$B$1:$AB$65000,$B888,AB$5)="",2,0)),0)</f>
        <v>0</v>
      </c>
      <c r="AC888" s="194">
        <f>IFERROR(IF(INDEX([1]Pivot!$AD$1:$BE$65000,$B888,AC$5)=1,1,IF(INDEX([1]Pivot!$B$1:$AB$65000,$B888,AC$5)="",2,0)),0)</f>
        <v>0</v>
      </c>
      <c r="AD888" s="313">
        <f>IFERROR(IF(INDEX([1]Pivot!$BF$1:$CG$65000,$B888,AD$5)=1,1,IF(INDEX([1]Pivot!$B$1:$AB$65000,$B888,AD$5)="",2,0)),0)</f>
        <v>0</v>
      </c>
      <c r="AE888" s="313">
        <f>IFERROR(IF(INDEX([1]Pivot!$BF$1:$CG$65000,$B888,AE$5)=1,1,IF(INDEX([1]Pivot!$B$1:$AB$65000,$B888,AE$5)="",2,0)),0)</f>
        <v>0</v>
      </c>
      <c r="AF888" s="313">
        <f>IFERROR(IF(INDEX([1]Pivot!$BF$1:$CG$65000,$B888,AF$5)=1,1,IF(INDEX([1]Pivot!$B$1:$AB$65000,$B888,AF$5)="",2,0)),0)</f>
        <v>0</v>
      </c>
      <c r="AG888" s="313">
        <f>IFERROR(IF(INDEX([1]Pivot!$BF$1:$CG$65000,$B888,AG$5)=1,1,IF(INDEX([1]Pivot!$B$1:$AB$65000,$B888,AG$5)="",2,0)),0)</f>
        <v>0</v>
      </c>
      <c r="AH888" s="313">
        <f>IFERROR(IF(INDEX([1]Pivot!$BF$1:$CG$65000,$B888,AH$5)=1,1,IF(INDEX([1]Pivot!$B$1:$AB$65000,$B888,AH$5)="",2,0)),0)</f>
        <v>0</v>
      </c>
      <c r="AI888" s="313">
        <f>IFERROR(IF(INDEX([1]Pivot!$BF$1:$CG$65000,$B888,AI$5)=1,1,IF(INDEX([1]Pivot!$B$1:$AB$65000,$B888,AI$5)="",2,0)),0)</f>
        <v>0</v>
      </c>
      <c r="AJ888" s="313">
        <f>IFERROR(IF(INDEX([1]Pivot!$BF$1:$CG$65000,$B888,AJ$5)=1,1,IF(INDEX([1]Pivot!$B$1:$AB$65000,$B888,AJ$5)="",2,0)),0)</f>
        <v>0</v>
      </c>
      <c r="AK888" s="313">
        <f>IFERROR(IF(INDEX([1]Pivot!$BF$1:$CG$65000,$B888,AK$5)=1,1,IF(INDEX([1]Pivot!$B$1:$AB$65000,$B888,AK$5)="",2,0)),0)</f>
        <v>0</v>
      </c>
      <c r="AL888" s="313">
        <f>IFERROR(IF(INDEX([1]Pivot!$BF$1:$CG$65000,$B888,AL$5)=1,1,IF(INDEX([1]Pivot!$B$1:$AB$65000,$B888,AL$5)="",2,0)),0)</f>
        <v>0</v>
      </c>
      <c r="AM888" s="313">
        <f>IFERROR(IF(INDEX([1]Pivot!$BF$1:$CG$65000,$B888,AM$5)=1,1,IF(INDEX([1]Pivot!$B$1:$AB$65000,$B888,AM$5)="",2,0)),0)</f>
        <v>0</v>
      </c>
      <c r="AN888" s="313">
        <f>IFERROR(IF(INDEX([1]Pivot!$BF$1:$CG$65000,$B888,AN$5)=1,1,IF(INDEX([1]Pivot!$B$1:$AB$65000,$B888,AN$5)="",2,0)),0)</f>
        <v>0</v>
      </c>
      <c r="AO888" s="313">
        <f>IFERROR(IF(INDEX([1]Pivot!$BF$1:$CG$65000,$B888,AO$5)=1,1,IF(INDEX([1]Pivot!$B$1:$AB$65000,$B888,AO$5)="",2,0)),0)</f>
        <v>0</v>
      </c>
      <c r="AP888" s="313">
        <f>IFERROR(IF(INDEX([1]Pivot!$BF$1:$CG$65000,$B888,AP$5)=1,1,IF(INDEX([1]Pivot!$B$1:$AB$65000,$B888,AP$5)="",2,0)),0)</f>
        <v>0</v>
      </c>
      <c r="AQ888" s="313">
        <f>IFERROR(IF(INDEX([1]Pivot!$BF$1:$CG$65000,$B888,AQ$5)=1,1,IF(INDEX([1]Pivot!$B$1:$AB$65000,$B888,AQ$5)="",2,0)),0)</f>
        <v>0</v>
      </c>
      <c r="AR888" s="313">
        <f>IFERROR(IF(INDEX([1]Pivot!$BF$1:$CG$65000,$B888,AR$5)=1,1,IF(INDEX([1]Pivot!$B$1:$AB$65000,$B888,AR$5)="",2,0)),0)</f>
        <v>0</v>
      </c>
      <c r="AS888" s="312"/>
      <c r="AT888" s="313">
        <f>IFERROR(IF(INDEX([1]Pivot!$BF$1:$CG$65000,$B888,AT$5)=1,1,IF(INDEX([1]Pivot!$B$1:$AB$65000,$B888,AT$5)="",2,0)),0)</f>
        <v>0</v>
      </c>
      <c r="AU888" s="313">
        <f>IFERROR(IF(INDEX([1]Pivot!$BF$1:$CG$65000,$B888,AU$5)=1,1,IF(INDEX([1]Pivot!$B$1:$AB$65000,$B888,AU$5)="",2,0)),0)</f>
        <v>0</v>
      </c>
      <c r="AV888" s="313">
        <f>IFERROR(IF(INDEX([1]Pivot!$BF$1:$CG$65000,$B888,AV$5)=1,1,IF(INDEX([1]Pivot!$B$1:$AB$65000,$B888,AV$5)="",2,0)),0)</f>
        <v>0</v>
      </c>
      <c r="AW888" s="313">
        <f>IFERROR(IF(INDEX([1]Pivot!$BF$1:$CG$65000,$B888,AW$5)=1,1,IF(INDEX([1]Pivot!$B$1:$AB$65000,$B888,AW$5)="",2,0)),0)</f>
        <v>0</v>
      </c>
      <c r="AX888" s="313">
        <f>IFERROR(IF(INDEX([1]Pivot!$BF$1:$CG$65000,$B888,AX$5)=1,1,IF(INDEX([1]Pivot!$B$1:$AB$65000,$B888,AX$5)="",2,0)),0)</f>
        <v>0</v>
      </c>
      <c r="AY888" s="313">
        <f>IFERROR(IF(INDEX([1]Pivot!$BF$1:$CG$65000,$B888,AY$5)=1,1,IF(INDEX([1]Pivot!$B$1:$AB$65000,$B888,AY$5)="",2,0)),0)</f>
        <v>0</v>
      </c>
      <c r="AZ888" s="313">
        <f>IFERROR(IF(INDEX([1]Pivot!$BF$1:$CG$65000,$B888,AZ$5)=1,1,IF(INDEX([1]Pivot!$B$1:$AB$65000,$B888,AZ$5)="",2,0)),0)</f>
        <v>0</v>
      </c>
      <c r="BA888" s="313">
        <f>IFERROR(IF(INDEX([1]Pivot!$BF$1:$CG$65000,$B888,BA$5)=1,1,IF(INDEX([1]Pivot!$B$1:$AB$65000,$B888,BA$5)="",2,0)),0)</f>
        <v>0</v>
      </c>
      <c r="BB888" s="313">
        <f>IFERROR(IF(INDEX([1]Pivot!$BF$1:$CG$65000,$B888,BB$5)=1,1,IF(INDEX([1]Pivot!$B$1:$AB$65000,$B888,BB$5)="",2,0)),0)</f>
        <v>0</v>
      </c>
      <c r="BC888" s="313">
        <f>IFERROR(IF(INDEX([1]Pivot!$BF$1:$CG$65000,$B888,BC$5)=1,1,IF(INDEX([1]Pivot!$B$1:$AB$65000,$B888,BC$5)="",2,0)),0)</f>
        <v>0</v>
      </c>
      <c r="BD888" s="313">
        <f>IFERROR(IF(INDEX([1]Pivot!$BF$1:$CG$65000,$B888,BD$5)=1,1,IF(INDEX([1]Pivot!$B$1:$AB$65000,$B888,BD$5)="",2,0)),0)</f>
        <v>0</v>
      </c>
    </row>
    <row r="889" spans="1:56" x14ac:dyDescent="0.25">
      <c r="A889" s="288">
        <f>'[2]Raw Milk Prices'!A889</f>
        <v>0</v>
      </c>
      <c r="B889" s="296" t="e">
        <f>MATCH(DATE(LEFT('[2]Raw Milk Prices'!$A889,4),RIGHT('[2]Raw Milk Prices'!$A889,2),1),[1]Pivot!$A$1:$A$65000,0)</f>
        <v>#VALUE!</v>
      </c>
      <c r="C889" s="194">
        <f>IFERROR(IF(INDEX([1]Pivot!$AD$1:$BE$65000,$B889,C$5)=1,1,IF(INDEX([1]Pivot!$B$1:$AB$65000,$B889,C$5)="",2,0)),0)</f>
        <v>0</v>
      </c>
      <c r="D889" s="194">
        <f>IFERROR(IF(INDEX([1]Pivot!$AD$1:$BE$65000,$B889,D$5)=1,1,IF(INDEX([1]Pivot!$B$1:$AB$65000,$B889,D$5)="",2,0)),0)</f>
        <v>0</v>
      </c>
      <c r="E889" s="194">
        <f>IFERROR(IF(INDEX([1]Pivot!$AD$1:$BE$65000,$B889,E$5)=1,1,IF(INDEX([1]Pivot!$B$1:$AB$65000,$B889,E$5)="",2,0)),0)</f>
        <v>0</v>
      </c>
      <c r="F889" s="194">
        <f>IFERROR(IF(INDEX([1]Pivot!$AD$1:$BE$65000,$B889,F$5)=1,1,IF(INDEX([1]Pivot!$B$1:$AB$65000,$B889,F$5)="",2,0)),0)</f>
        <v>0</v>
      </c>
      <c r="G889" s="194">
        <f>IFERROR(IF(INDEX([1]Pivot!$AD$1:$BE$65000,$B889,G$5)=1,1,IF(INDEX([1]Pivot!$B$1:$AB$65000,$B889,G$5)="",2,0)),0)</f>
        <v>0</v>
      </c>
      <c r="H889" s="194">
        <f>IFERROR(IF(INDEX([1]Pivot!$AD$1:$BE$65000,$B889,H$5)=1,1,IF(INDEX([1]Pivot!$B$1:$AB$65000,$B889,H$5)="",2,0)),0)</f>
        <v>0</v>
      </c>
      <c r="I889" s="194">
        <f>IFERROR(IF(INDEX([1]Pivot!$AD$1:$BE$65000,$B889,I$5)=1,1,IF(INDEX([1]Pivot!$B$1:$AB$65000,$B889,I$5)="",2,0)),0)</f>
        <v>0</v>
      </c>
      <c r="J889" s="194">
        <f>IFERROR(IF(INDEX([1]Pivot!$AD$1:$BE$65000,$B889,J$5)=1,1,IF(INDEX([1]Pivot!$B$1:$AB$65000,$B889,J$5)="",2,0)),0)</f>
        <v>0</v>
      </c>
      <c r="K889" s="194">
        <f>IFERROR(IF(INDEX([1]Pivot!$AD$1:$BE$65000,$B889,K$5)=1,1,IF(INDEX([1]Pivot!$B$1:$AB$65000,$B889,K$5)="",2,0)),0)</f>
        <v>0</v>
      </c>
      <c r="L889" s="194">
        <f>IFERROR(IF(INDEX([1]Pivot!$AD$1:$BE$65000,$B889,L$5)=1,1,IF(INDEX([1]Pivot!$B$1:$AB$65000,$B889,L$5)="",2,0)),0)</f>
        <v>0</v>
      </c>
      <c r="M889" s="194">
        <f>IFERROR(IF(INDEX([1]Pivot!$AD$1:$BE$65000,$B889,M$5)=1,1,IF(INDEX([1]Pivot!$B$1:$AB$65000,$B889,M$5)="",2,0)),0)</f>
        <v>0</v>
      </c>
      <c r="N889" s="194">
        <f>IFERROR(IF(INDEX([1]Pivot!$AD$1:$BE$65000,$B889,N$5)=1,1,IF(INDEX([1]Pivot!$B$1:$AB$65000,$B889,N$5)="",2,0)),0)</f>
        <v>0</v>
      </c>
      <c r="O889" s="194">
        <f>IFERROR(IF(INDEX([1]Pivot!$AD$1:$BE$65000,$B889,O$5)=1,1,IF(INDEX([1]Pivot!$B$1:$AB$65000,$B889,O$5)="",2,0)),0)</f>
        <v>0</v>
      </c>
      <c r="P889" s="194">
        <f>IFERROR(IF(INDEX([1]Pivot!$AD$1:$BE$65000,$B889,P$5)=1,1,IF(INDEX([1]Pivot!$B$1:$AB$65000,$B889,P$5)="",2,0)),0)</f>
        <v>0</v>
      </c>
      <c r="Q889" s="194">
        <f>IFERROR(IF(INDEX([1]Pivot!$AD$1:$BE$65000,$B889,Q$5)=1,1,IF(INDEX([1]Pivot!$B$1:$AB$65000,$B889,Q$5)="",2,0)),0)</f>
        <v>0</v>
      </c>
      <c r="R889" s="312"/>
      <c r="S889" s="194">
        <f>IFERROR(IF(INDEX([1]Pivot!$AD$1:$BE$65000,$B889,S$5)=1,1,IF(INDEX([1]Pivot!$B$1:$AB$65000,$B889,S$5)="",2,0)),0)</f>
        <v>0</v>
      </c>
      <c r="T889" s="194">
        <f>IFERROR(IF(INDEX([1]Pivot!$AD$1:$BE$65000,$B889,T$5)=1,1,IF(INDEX([1]Pivot!$B$1:$AB$65000,$B889,T$5)="",2,0)),0)</f>
        <v>0</v>
      </c>
      <c r="U889" s="194">
        <f>IFERROR(IF(INDEX([1]Pivot!$AD$1:$BE$65000,$B889,U$5)=1,1,IF(INDEX([1]Pivot!$B$1:$AB$65000,$B889,U$5)="",2,0)),0)</f>
        <v>0</v>
      </c>
      <c r="V889" s="194">
        <f>IFERROR(IF(INDEX([1]Pivot!$AD$1:$BE$65000,$B889,V$5)=1,1,IF(INDEX([1]Pivot!$B$1:$AB$65000,$B889,V$5)="",2,0)),0)</f>
        <v>0</v>
      </c>
      <c r="W889" s="194">
        <f>IFERROR(IF(INDEX([1]Pivot!$AD$1:$BE$65000,$B889,W$5)=1,1,IF(INDEX([1]Pivot!$B$1:$AB$65000,$B889,W$5)="",2,0)),0)</f>
        <v>0</v>
      </c>
      <c r="X889" s="194">
        <f>IFERROR(IF(INDEX([1]Pivot!$AD$1:$BE$65000,$B889,X$5)=1,1,IF(INDEX([1]Pivot!$B$1:$AB$65000,$B889,X$5)="",2,0)),0)</f>
        <v>0</v>
      </c>
      <c r="Y889" s="194">
        <f>IFERROR(IF(INDEX([1]Pivot!$AD$1:$BE$65000,$B889,Y$5)=1,1,IF(INDEX([1]Pivot!$B$1:$AB$65000,$B889,Y$5)="",2,0)),0)</f>
        <v>0</v>
      </c>
      <c r="Z889" s="194">
        <f>IFERROR(IF(INDEX([1]Pivot!$AD$1:$BE$65000,$B889,Z$5)=1,1,IF(INDEX([1]Pivot!$B$1:$AB$65000,$B889,Z$5)="",2,0)),0)</f>
        <v>0</v>
      </c>
      <c r="AA889" s="194">
        <f>IFERROR(IF(INDEX([1]Pivot!$AD$1:$BE$65000,$B889,AA$5)=1,1,IF(INDEX([1]Pivot!$B$1:$AB$65000,$B889,AA$5)="",2,0)),0)</f>
        <v>0</v>
      </c>
      <c r="AB889" s="194">
        <f>IFERROR(IF(INDEX([1]Pivot!$AD$1:$BE$65000,$B889,AB$5)=1,1,IF(INDEX([1]Pivot!$B$1:$AB$65000,$B889,AB$5)="",2,0)),0)</f>
        <v>0</v>
      </c>
      <c r="AC889" s="194">
        <f>IFERROR(IF(INDEX([1]Pivot!$AD$1:$BE$65000,$B889,AC$5)=1,1,IF(INDEX([1]Pivot!$B$1:$AB$65000,$B889,AC$5)="",2,0)),0)</f>
        <v>0</v>
      </c>
      <c r="AD889" s="313">
        <f>IFERROR(IF(INDEX([1]Pivot!$BF$1:$CG$65000,$B889,AD$5)=1,1,IF(INDEX([1]Pivot!$B$1:$AB$65000,$B889,AD$5)="",2,0)),0)</f>
        <v>0</v>
      </c>
      <c r="AE889" s="313">
        <f>IFERROR(IF(INDEX([1]Pivot!$BF$1:$CG$65000,$B889,AE$5)=1,1,IF(INDEX([1]Pivot!$B$1:$AB$65000,$B889,AE$5)="",2,0)),0)</f>
        <v>0</v>
      </c>
      <c r="AF889" s="313">
        <f>IFERROR(IF(INDEX([1]Pivot!$BF$1:$CG$65000,$B889,AF$5)=1,1,IF(INDEX([1]Pivot!$B$1:$AB$65000,$B889,AF$5)="",2,0)),0)</f>
        <v>0</v>
      </c>
      <c r="AG889" s="313">
        <f>IFERROR(IF(INDEX([1]Pivot!$BF$1:$CG$65000,$B889,AG$5)=1,1,IF(INDEX([1]Pivot!$B$1:$AB$65000,$B889,AG$5)="",2,0)),0)</f>
        <v>0</v>
      </c>
      <c r="AH889" s="313">
        <f>IFERROR(IF(INDEX([1]Pivot!$BF$1:$CG$65000,$B889,AH$5)=1,1,IF(INDEX([1]Pivot!$B$1:$AB$65000,$B889,AH$5)="",2,0)),0)</f>
        <v>0</v>
      </c>
      <c r="AI889" s="313">
        <f>IFERROR(IF(INDEX([1]Pivot!$BF$1:$CG$65000,$B889,AI$5)=1,1,IF(INDEX([1]Pivot!$B$1:$AB$65000,$B889,AI$5)="",2,0)),0)</f>
        <v>0</v>
      </c>
      <c r="AJ889" s="313">
        <f>IFERROR(IF(INDEX([1]Pivot!$BF$1:$CG$65000,$B889,AJ$5)=1,1,IF(INDEX([1]Pivot!$B$1:$AB$65000,$B889,AJ$5)="",2,0)),0)</f>
        <v>0</v>
      </c>
      <c r="AK889" s="313">
        <f>IFERROR(IF(INDEX([1]Pivot!$BF$1:$CG$65000,$B889,AK$5)=1,1,IF(INDEX([1]Pivot!$B$1:$AB$65000,$B889,AK$5)="",2,0)),0)</f>
        <v>0</v>
      </c>
      <c r="AL889" s="313">
        <f>IFERROR(IF(INDEX([1]Pivot!$BF$1:$CG$65000,$B889,AL$5)=1,1,IF(INDEX([1]Pivot!$B$1:$AB$65000,$B889,AL$5)="",2,0)),0)</f>
        <v>0</v>
      </c>
      <c r="AM889" s="313">
        <f>IFERROR(IF(INDEX([1]Pivot!$BF$1:$CG$65000,$B889,AM$5)=1,1,IF(INDEX([1]Pivot!$B$1:$AB$65000,$B889,AM$5)="",2,0)),0)</f>
        <v>0</v>
      </c>
      <c r="AN889" s="313">
        <f>IFERROR(IF(INDEX([1]Pivot!$BF$1:$CG$65000,$B889,AN$5)=1,1,IF(INDEX([1]Pivot!$B$1:$AB$65000,$B889,AN$5)="",2,0)),0)</f>
        <v>0</v>
      </c>
      <c r="AO889" s="313">
        <f>IFERROR(IF(INDEX([1]Pivot!$BF$1:$CG$65000,$B889,AO$5)=1,1,IF(INDEX([1]Pivot!$B$1:$AB$65000,$B889,AO$5)="",2,0)),0)</f>
        <v>0</v>
      </c>
      <c r="AP889" s="313">
        <f>IFERROR(IF(INDEX([1]Pivot!$BF$1:$CG$65000,$B889,AP$5)=1,1,IF(INDEX([1]Pivot!$B$1:$AB$65000,$B889,AP$5)="",2,0)),0)</f>
        <v>0</v>
      </c>
      <c r="AQ889" s="313">
        <f>IFERROR(IF(INDEX([1]Pivot!$BF$1:$CG$65000,$B889,AQ$5)=1,1,IF(INDEX([1]Pivot!$B$1:$AB$65000,$B889,AQ$5)="",2,0)),0)</f>
        <v>0</v>
      </c>
      <c r="AR889" s="313">
        <f>IFERROR(IF(INDEX([1]Pivot!$BF$1:$CG$65000,$B889,AR$5)=1,1,IF(INDEX([1]Pivot!$B$1:$AB$65000,$B889,AR$5)="",2,0)),0)</f>
        <v>0</v>
      </c>
      <c r="AS889" s="312"/>
      <c r="AT889" s="313">
        <f>IFERROR(IF(INDEX([1]Pivot!$BF$1:$CG$65000,$B889,AT$5)=1,1,IF(INDEX([1]Pivot!$B$1:$AB$65000,$B889,AT$5)="",2,0)),0)</f>
        <v>0</v>
      </c>
      <c r="AU889" s="313">
        <f>IFERROR(IF(INDEX([1]Pivot!$BF$1:$CG$65000,$B889,AU$5)=1,1,IF(INDEX([1]Pivot!$B$1:$AB$65000,$B889,AU$5)="",2,0)),0)</f>
        <v>0</v>
      </c>
      <c r="AV889" s="313">
        <f>IFERROR(IF(INDEX([1]Pivot!$BF$1:$CG$65000,$B889,AV$5)=1,1,IF(INDEX([1]Pivot!$B$1:$AB$65000,$B889,AV$5)="",2,0)),0)</f>
        <v>0</v>
      </c>
      <c r="AW889" s="313">
        <f>IFERROR(IF(INDEX([1]Pivot!$BF$1:$CG$65000,$B889,AW$5)=1,1,IF(INDEX([1]Pivot!$B$1:$AB$65000,$B889,AW$5)="",2,0)),0)</f>
        <v>0</v>
      </c>
      <c r="AX889" s="313">
        <f>IFERROR(IF(INDEX([1]Pivot!$BF$1:$CG$65000,$B889,AX$5)=1,1,IF(INDEX([1]Pivot!$B$1:$AB$65000,$B889,AX$5)="",2,0)),0)</f>
        <v>0</v>
      </c>
      <c r="AY889" s="313">
        <f>IFERROR(IF(INDEX([1]Pivot!$BF$1:$CG$65000,$B889,AY$5)=1,1,IF(INDEX([1]Pivot!$B$1:$AB$65000,$B889,AY$5)="",2,0)),0)</f>
        <v>0</v>
      </c>
      <c r="AZ889" s="313">
        <f>IFERROR(IF(INDEX([1]Pivot!$BF$1:$CG$65000,$B889,AZ$5)=1,1,IF(INDEX([1]Pivot!$B$1:$AB$65000,$B889,AZ$5)="",2,0)),0)</f>
        <v>0</v>
      </c>
      <c r="BA889" s="313">
        <f>IFERROR(IF(INDEX([1]Pivot!$BF$1:$CG$65000,$B889,BA$5)=1,1,IF(INDEX([1]Pivot!$B$1:$AB$65000,$B889,BA$5)="",2,0)),0)</f>
        <v>0</v>
      </c>
      <c r="BB889" s="313">
        <f>IFERROR(IF(INDEX([1]Pivot!$BF$1:$CG$65000,$B889,BB$5)=1,1,IF(INDEX([1]Pivot!$B$1:$AB$65000,$B889,BB$5)="",2,0)),0)</f>
        <v>0</v>
      </c>
      <c r="BC889" s="313">
        <f>IFERROR(IF(INDEX([1]Pivot!$BF$1:$CG$65000,$B889,BC$5)=1,1,IF(INDEX([1]Pivot!$B$1:$AB$65000,$B889,BC$5)="",2,0)),0)</f>
        <v>0</v>
      </c>
      <c r="BD889" s="313">
        <f>IFERROR(IF(INDEX([1]Pivot!$BF$1:$CG$65000,$B889,BD$5)=1,1,IF(INDEX([1]Pivot!$B$1:$AB$65000,$B889,BD$5)="",2,0)),0)</f>
        <v>0</v>
      </c>
    </row>
    <row r="890" spans="1:56" x14ac:dyDescent="0.25">
      <c r="A890" s="288">
        <f>'[2]Raw Milk Prices'!A890</f>
        <v>0</v>
      </c>
      <c r="B890" s="296" t="e">
        <f>MATCH(DATE(LEFT('[2]Raw Milk Prices'!$A890,4),RIGHT('[2]Raw Milk Prices'!$A890,2),1),[1]Pivot!$A$1:$A$65000,0)</f>
        <v>#VALUE!</v>
      </c>
      <c r="C890" s="194">
        <f>IFERROR(IF(INDEX([1]Pivot!$AD$1:$BE$65000,$B890,C$5)=1,1,IF(INDEX([1]Pivot!$B$1:$AB$65000,$B890,C$5)="",2,0)),0)</f>
        <v>0</v>
      </c>
      <c r="D890" s="194">
        <f>IFERROR(IF(INDEX([1]Pivot!$AD$1:$BE$65000,$B890,D$5)=1,1,IF(INDEX([1]Pivot!$B$1:$AB$65000,$B890,D$5)="",2,0)),0)</f>
        <v>0</v>
      </c>
      <c r="E890" s="194">
        <f>IFERROR(IF(INDEX([1]Pivot!$AD$1:$BE$65000,$B890,E$5)=1,1,IF(INDEX([1]Pivot!$B$1:$AB$65000,$B890,E$5)="",2,0)),0)</f>
        <v>0</v>
      </c>
      <c r="F890" s="194">
        <f>IFERROR(IF(INDEX([1]Pivot!$AD$1:$BE$65000,$B890,F$5)=1,1,IF(INDEX([1]Pivot!$B$1:$AB$65000,$B890,F$5)="",2,0)),0)</f>
        <v>0</v>
      </c>
      <c r="G890" s="194">
        <f>IFERROR(IF(INDEX([1]Pivot!$AD$1:$BE$65000,$B890,G$5)=1,1,IF(INDEX([1]Pivot!$B$1:$AB$65000,$B890,G$5)="",2,0)),0)</f>
        <v>0</v>
      </c>
      <c r="H890" s="194">
        <f>IFERROR(IF(INDEX([1]Pivot!$AD$1:$BE$65000,$B890,H$5)=1,1,IF(INDEX([1]Pivot!$B$1:$AB$65000,$B890,H$5)="",2,0)),0)</f>
        <v>0</v>
      </c>
      <c r="I890" s="194">
        <f>IFERROR(IF(INDEX([1]Pivot!$AD$1:$BE$65000,$B890,I$5)=1,1,IF(INDEX([1]Pivot!$B$1:$AB$65000,$B890,I$5)="",2,0)),0)</f>
        <v>0</v>
      </c>
      <c r="J890" s="194">
        <f>IFERROR(IF(INDEX([1]Pivot!$AD$1:$BE$65000,$B890,J$5)=1,1,IF(INDEX([1]Pivot!$B$1:$AB$65000,$B890,J$5)="",2,0)),0)</f>
        <v>0</v>
      </c>
      <c r="K890" s="194">
        <f>IFERROR(IF(INDEX([1]Pivot!$AD$1:$BE$65000,$B890,K$5)=1,1,IF(INDEX([1]Pivot!$B$1:$AB$65000,$B890,K$5)="",2,0)),0)</f>
        <v>0</v>
      </c>
      <c r="L890" s="194">
        <f>IFERROR(IF(INDEX([1]Pivot!$AD$1:$BE$65000,$B890,L$5)=1,1,IF(INDEX([1]Pivot!$B$1:$AB$65000,$B890,L$5)="",2,0)),0)</f>
        <v>0</v>
      </c>
      <c r="M890" s="194">
        <f>IFERROR(IF(INDEX([1]Pivot!$AD$1:$BE$65000,$B890,M$5)=1,1,IF(INDEX([1]Pivot!$B$1:$AB$65000,$B890,M$5)="",2,0)),0)</f>
        <v>0</v>
      </c>
      <c r="N890" s="194">
        <f>IFERROR(IF(INDEX([1]Pivot!$AD$1:$BE$65000,$B890,N$5)=1,1,IF(INDEX([1]Pivot!$B$1:$AB$65000,$B890,N$5)="",2,0)),0)</f>
        <v>0</v>
      </c>
      <c r="O890" s="194">
        <f>IFERROR(IF(INDEX([1]Pivot!$AD$1:$BE$65000,$B890,O$5)=1,1,IF(INDEX([1]Pivot!$B$1:$AB$65000,$B890,O$5)="",2,0)),0)</f>
        <v>0</v>
      </c>
      <c r="P890" s="194">
        <f>IFERROR(IF(INDEX([1]Pivot!$AD$1:$BE$65000,$B890,P$5)=1,1,IF(INDEX([1]Pivot!$B$1:$AB$65000,$B890,P$5)="",2,0)),0)</f>
        <v>0</v>
      </c>
      <c r="Q890" s="194">
        <f>IFERROR(IF(INDEX([1]Pivot!$AD$1:$BE$65000,$B890,Q$5)=1,1,IF(INDEX([1]Pivot!$B$1:$AB$65000,$B890,Q$5)="",2,0)),0)</f>
        <v>0</v>
      </c>
      <c r="R890" s="312"/>
      <c r="S890" s="194">
        <f>IFERROR(IF(INDEX([1]Pivot!$AD$1:$BE$65000,$B890,S$5)=1,1,IF(INDEX([1]Pivot!$B$1:$AB$65000,$B890,S$5)="",2,0)),0)</f>
        <v>0</v>
      </c>
      <c r="T890" s="194">
        <f>IFERROR(IF(INDEX([1]Pivot!$AD$1:$BE$65000,$B890,T$5)=1,1,IF(INDEX([1]Pivot!$B$1:$AB$65000,$B890,T$5)="",2,0)),0)</f>
        <v>0</v>
      </c>
      <c r="U890" s="194">
        <f>IFERROR(IF(INDEX([1]Pivot!$AD$1:$BE$65000,$B890,U$5)=1,1,IF(INDEX([1]Pivot!$B$1:$AB$65000,$B890,U$5)="",2,0)),0)</f>
        <v>0</v>
      </c>
      <c r="V890" s="194">
        <f>IFERROR(IF(INDEX([1]Pivot!$AD$1:$BE$65000,$B890,V$5)=1,1,IF(INDEX([1]Pivot!$B$1:$AB$65000,$B890,V$5)="",2,0)),0)</f>
        <v>0</v>
      </c>
      <c r="W890" s="194">
        <f>IFERROR(IF(INDEX([1]Pivot!$AD$1:$BE$65000,$B890,W$5)=1,1,IF(INDEX([1]Pivot!$B$1:$AB$65000,$B890,W$5)="",2,0)),0)</f>
        <v>0</v>
      </c>
      <c r="X890" s="194">
        <f>IFERROR(IF(INDEX([1]Pivot!$AD$1:$BE$65000,$B890,X$5)=1,1,IF(INDEX([1]Pivot!$B$1:$AB$65000,$B890,X$5)="",2,0)),0)</f>
        <v>0</v>
      </c>
      <c r="Y890" s="194">
        <f>IFERROR(IF(INDEX([1]Pivot!$AD$1:$BE$65000,$B890,Y$5)=1,1,IF(INDEX([1]Pivot!$B$1:$AB$65000,$B890,Y$5)="",2,0)),0)</f>
        <v>0</v>
      </c>
      <c r="Z890" s="194">
        <f>IFERROR(IF(INDEX([1]Pivot!$AD$1:$BE$65000,$B890,Z$5)=1,1,IF(INDEX([1]Pivot!$B$1:$AB$65000,$B890,Z$5)="",2,0)),0)</f>
        <v>0</v>
      </c>
      <c r="AA890" s="194">
        <f>IFERROR(IF(INDEX([1]Pivot!$AD$1:$BE$65000,$B890,AA$5)=1,1,IF(INDEX([1]Pivot!$B$1:$AB$65000,$B890,AA$5)="",2,0)),0)</f>
        <v>0</v>
      </c>
      <c r="AB890" s="194">
        <f>IFERROR(IF(INDEX([1]Pivot!$AD$1:$BE$65000,$B890,AB$5)=1,1,IF(INDEX([1]Pivot!$B$1:$AB$65000,$B890,AB$5)="",2,0)),0)</f>
        <v>0</v>
      </c>
      <c r="AC890" s="194">
        <f>IFERROR(IF(INDEX([1]Pivot!$AD$1:$BE$65000,$B890,AC$5)=1,1,IF(INDEX([1]Pivot!$B$1:$AB$65000,$B890,AC$5)="",2,0)),0)</f>
        <v>0</v>
      </c>
      <c r="AD890" s="313">
        <f>IFERROR(IF(INDEX([1]Pivot!$BF$1:$CG$65000,$B890,AD$5)=1,1,IF(INDEX([1]Pivot!$B$1:$AB$65000,$B890,AD$5)="",2,0)),0)</f>
        <v>0</v>
      </c>
      <c r="AE890" s="313">
        <f>IFERROR(IF(INDEX([1]Pivot!$BF$1:$CG$65000,$B890,AE$5)=1,1,IF(INDEX([1]Pivot!$B$1:$AB$65000,$B890,AE$5)="",2,0)),0)</f>
        <v>0</v>
      </c>
      <c r="AF890" s="313">
        <f>IFERROR(IF(INDEX([1]Pivot!$BF$1:$CG$65000,$B890,AF$5)=1,1,IF(INDEX([1]Pivot!$B$1:$AB$65000,$B890,AF$5)="",2,0)),0)</f>
        <v>0</v>
      </c>
      <c r="AG890" s="313">
        <f>IFERROR(IF(INDEX([1]Pivot!$BF$1:$CG$65000,$B890,AG$5)=1,1,IF(INDEX([1]Pivot!$B$1:$AB$65000,$B890,AG$5)="",2,0)),0)</f>
        <v>0</v>
      </c>
      <c r="AH890" s="313">
        <f>IFERROR(IF(INDEX([1]Pivot!$BF$1:$CG$65000,$B890,AH$5)=1,1,IF(INDEX([1]Pivot!$B$1:$AB$65000,$B890,AH$5)="",2,0)),0)</f>
        <v>0</v>
      </c>
      <c r="AI890" s="313">
        <f>IFERROR(IF(INDEX([1]Pivot!$BF$1:$CG$65000,$B890,AI$5)=1,1,IF(INDEX([1]Pivot!$B$1:$AB$65000,$B890,AI$5)="",2,0)),0)</f>
        <v>0</v>
      </c>
      <c r="AJ890" s="313">
        <f>IFERROR(IF(INDEX([1]Pivot!$BF$1:$CG$65000,$B890,AJ$5)=1,1,IF(INDEX([1]Pivot!$B$1:$AB$65000,$B890,AJ$5)="",2,0)),0)</f>
        <v>0</v>
      </c>
      <c r="AK890" s="313">
        <f>IFERROR(IF(INDEX([1]Pivot!$BF$1:$CG$65000,$B890,AK$5)=1,1,IF(INDEX([1]Pivot!$B$1:$AB$65000,$B890,AK$5)="",2,0)),0)</f>
        <v>0</v>
      </c>
      <c r="AL890" s="313">
        <f>IFERROR(IF(INDEX([1]Pivot!$BF$1:$CG$65000,$B890,AL$5)=1,1,IF(INDEX([1]Pivot!$B$1:$AB$65000,$B890,AL$5)="",2,0)),0)</f>
        <v>0</v>
      </c>
      <c r="AM890" s="313">
        <f>IFERROR(IF(INDEX([1]Pivot!$BF$1:$CG$65000,$B890,AM$5)=1,1,IF(INDEX([1]Pivot!$B$1:$AB$65000,$B890,AM$5)="",2,0)),0)</f>
        <v>0</v>
      </c>
      <c r="AN890" s="313">
        <f>IFERROR(IF(INDEX([1]Pivot!$BF$1:$CG$65000,$B890,AN$5)=1,1,IF(INDEX([1]Pivot!$B$1:$AB$65000,$B890,AN$5)="",2,0)),0)</f>
        <v>0</v>
      </c>
      <c r="AO890" s="313">
        <f>IFERROR(IF(INDEX([1]Pivot!$BF$1:$CG$65000,$B890,AO$5)=1,1,IF(INDEX([1]Pivot!$B$1:$AB$65000,$B890,AO$5)="",2,0)),0)</f>
        <v>0</v>
      </c>
      <c r="AP890" s="313">
        <f>IFERROR(IF(INDEX([1]Pivot!$BF$1:$CG$65000,$B890,AP$5)=1,1,IF(INDEX([1]Pivot!$B$1:$AB$65000,$B890,AP$5)="",2,0)),0)</f>
        <v>0</v>
      </c>
      <c r="AQ890" s="313">
        <f>IFERROR(IF(INDEX([1]Pivot!$BF$1:$CG$65000,$B890,AQ$5)=1,1,IF(INDEX([1]Pivot!$B$1:$AB$65000,$B890,AQ$5)="",2,0)),0)</f>
        <v>0</v>
      </c>
      <c r="AR890" s="313">
        <f>IFERROR(IF(INDEX([1]Pivot!$BF$1:$CG$65000,$B890,AR$5)=1,1,IF(INDEX([1]Pivot!$B$1:$AB$65000,$B890,AR$5)="",2,0)),0)</f>
        <v>0</v>
      </c>
      <c r="AS890" s="312"/>
      <c r="AT890" s="313">
        <f>IFERROR(IF(INDEX([1]Pivot!$BF$1:$CG$65000,$B890,AT$5)=1,1,IF(INDEX([1]Pivot!$B$1:$AB$65000,$B890,AT$5)="",2,0)),0)</f>
        <v>0</v>
      </c>
      <c r="AU890" s="313">
        <f>IFERROR(IF(INDEX([1]Pivot!$BF$1:$CG$65000,$B890,AU$5)=1,1,IF(INDEX([1]Pivot!$B$1:$AB$65000,$B890,AU$5)="",2,0)),0)</f>
        <v>0</v>
      </c>
      <c r="AV890" s="313">
        <f>IFERROR(IF(INDEX([1]Pivot!$BF$1:$CG$65000,$B890,AV$5)=1,1,IF(INDEX([1]Pivot!$B$1:$AB$65000,$B890,AV$5)="",2,0)),0)</f>
        <v>0</v>
      </c>
      <c r="AW890" s="313">
        <f>IFERROR(IF(INDEX([1]Pivot!$BF$1:$CG$65000,$B890,AW$5)=1,1,IF(INDEX([1]Pivot!$B$1:$AB$65000,$B890,AW$5)="",2,0)),0)</f>
        <v>0</v>
      </c>
      <c r="AX890" s="313">
        <f>IFERROR(IF(INDEX([1]Pivot!$BF$1:$CG$65000,$B890,AX$5)=1,1,IF(INDEX([1]Pivot!$B$1:$AB$65000,$B890,AX$5)="",2,0)),0)</f>
        <v>0</v>
      </c>
      <c r="AY890" s="313">
        <f>IFERROR(IF(INDEX([1]Pivot!$BF$1:$CG$65000,$B890,AY$5)=1,1,IF(INDEX([1]Pivot!$B$1:$AB$65000,$B890,AY$5)="",2,0)),0)</f>
        <v>0</v>
      </c>
      <c r="AZ890" s="313">
        <f>IFERROR(IF(INDEX([1]Pivot!$BF$1:$CG$65000,$B890,AZ$5)=1,1,IF(INDEX([1]Pivot!$B$1:$AB$65000,$B890,AZ$5)="",2,0)),0)</f>
        <v>0</v>
      </c>
      <c r="BA890" s="313">
        <f>IFERROR(IF(INDEX([1]Pivot!$BF$1:$CG$65000,$B890,BA$5)=1,1,IF(INDEX([1]Pivot!$B$1:$AB$65000,$B890,BA$5)="",2,0)),0)</f>
        <v>0</v>
      </c>
      <c r="BB890" s="313">
        <f>IFERROR(IF(INDEX([1]Pivot!$BF$1:$CG$65000,$B890,BB$5)=1,1,IF(INDEX([1]Pivot!$B$1:$AB$65000,$B890,BB$5)="",2,0)),0)</f>
        <v>0</v>
      </c>
      <c r="BC890" s="313">
        <f>IFERROR(IF(INDEX([1]Pivot!$BF$1:$CG$65000,$B890,BC$5)=1,1,IF(INDEX([1]Pivot!$B$1:$AB$65000,$B890,BC$5)="",2,0)),0)</f>
        <v>0</v>
      </c>
      <c r="BD890" s="313">
        <f>IFERROR(IF(INDEX([1]Pivot!$BF$1:$CG$65000,$B890,BD$5)=1,1,IF(INDEX([1]Pivot!$B$1:$AB$65000,$B890,BD$5)="",2,0)),0)</f>
        <v>0</v>
      </c>
    </row>
    <row r="891" spans="1:56" x14ac:dyDescent="0.25">
      <c r="A891" s="288">
        <f>'[2]Raw Milk Prices'!A891</f>
        <v>0</v>
      </c>
      <c r="B891" s="296" t="e">
        <f>MATCH(DATE(LEFT('[2]Raw Milk Prices'!$A891,4),RIGHT('[2]Raw Milk Prices'!$A891,2),1),[1]Pivot!$A$1:$A$65000,0)</f>
        <v>#VALUE!</v>
      </c>
      <c r="C891" s="194">
        <f>IFERROR(IF(INDEX([1]Pivot!$AD$1:$BE$65000,$B891,C$5)=1,1,IF(INDEX([1]Pivot!$B$1:$AB$65000,$B891,C$5)="",2,0)),0)</f>
        <v>0</v>
      </c>
      <c r="D891" s="194">
        <f>IFERROR(IF(INDEX([1]Pivot!$AD$1:$BE$65000,$B891,D$5)=1,1,IF(INDEX([1]Pivot!$B$1:$AB$65000,$B891,D$5)="",2,0)),0)</f>
        <v>0</v>
      </c>
      <c r="E891" s="194">
        <f>IFERROR(IF(INDEX([1]Pivot!$AD$1:$BE$65000,$B891,E$5)=1,1,IF(INDEX([1]Pivot!$B$1:$AB$65000,$B891,E$5)="",2,0)),0)</f>
        <v>0</v>
      </c>
      <c r="F891" s="194">
        <f>IFERROR(IF(INDEX([1]Pivot!$AD$1:$BE$65000,$B891,F$5)=1,1,IF(INDEX([1]Pivot!$B$1:$AB$65000,$B891,F$5)="",2,0)),0)</f>
        <v>0</v>
      </c>
      <c r="G891" s="194">
        <f>IFERROR(IF(INDEX([1]Pivot!$AD$1:$BE$65000,$B891,G$5)=1,1,IF(INDEX([1]Pivot!$B$1:$AB$65000,$B891,G$5)="",2,0)),0)</f>
        <v>0</v>
      </c>
      <c r="H891" s="194">
        <f>IFERROR(IF(INDEX([1]Pivot!$AD$1:$BE$65000,$B891,H$5)=1,1,IF(INDEX([1]Pivot!$B$1:$AB$65000,$B891,H$5)="",2,0)),0)</f>
        <v>0</v>
      </c>
      <c r="I891" s="194">
        <f>IFERROR(IF(INDEX([1]Pivot!$AD$1:$BE$65000,$B891,I$5)=1,1,IF(INDEX([1]Pivot!$B$1:$AB$65000,$B891,I$5)="",2,0)),0)</f>
        <v>0</v>
      </c>
      <c r="J891" s="194">
        <f>IFERROR(IF(INDEX([1]Pivot!$AD$1:$BE$65000,$B891,J$5)=1,1,IF(INDEX([1]Pivot!$B$1:$AB$65000,$B891,J$5)="",2,0)),0)</f>
        <v>0</v>
      </c>
      <c r="K891" s="194">
        <f>IFERROR(IF(INDEX([1]Pivot!$AD$1:$BE$65000,$B891,K$5)=1,1,IF(INDEX([1]Pivot!$B$1:$AB$65000,$B891,K$5)="",2,0)),0)</f>
        <v>0</v>
      </c>
      <c r="L891" s="194">
        <f>IFERROR(IF(INDEX([1]Pivot!$AD$1:$BE$65000,$B891,L$5)=1,1,IF(INDEX([1]Pivot!$B$1:$AB$65000,$B891,L$5)="",2,0)),0)</f>
        <v>0</v>
      </c>
      <c r="M891" s="194">
        <f>IFERROR(IF(INDEX([1]Pivot!$AD$1:$BE$65000,$B891,M$5)=1,1,IF(INDEX([1]Pivot!$B$1:$AB$65000,$B891,M$5)="",2,0)),0)</f>
        <v>0</v>
      </c>
      <c r="N891" s="194">
        <f>IFERROR(IF(INDEX([1]Pivot!$AD$1:$BE$65000,$B891,N$5)=1,1,IF(INDEX([1]Pivot!$B$1:$AB$65000,$B891,N$5)="",2,0)),0)</f>
        <v>0</v>
      </c>
      <c r="O891" s="194">
        <f>IFERROR(IF(INDEX([1]Pivot!$AD$1:$BE$65000,$B891,O$5)=1,1,IF(INDEX([1]Pivot!$B$1:$AB$65000,$B891,O$5)="",2,0)),0)</f>
        <v>0</v>
      </c>
      <c r="P891" s="194">
        <f>IFERROR(IF(INDEX([1]Pivot!$AD$1:$BE$65000,$B891,P$5)=1,1,IF(INDEX([1]Pivot!$B$1:$AB$65000,$B891,P$5)="",2,0)),0)</f>
        <v>0</v>
      </c>
      <c r="Q891" s="194">
        <f>IFERROR(IF(INDEX([1]Pivot!$AD$1:$BE$65000,$B891,Q$5)=1,1,IF(INDEX([1]Pivot!$B$1:$AB$65000,$B891,Q$5)="",2,0)),0)</f>
        <v>0</v>
      </c>
      <c r="R891" s="312"/>
      <c r="S891" s="194">
        <f>IFERROR(IF(INDEX([1]Pivot!$AD$1:$BE$65000,$B891,S$5)=1,1,IF(INDEX([1]Pivot!$B$1:$AB$65000,$B891,S$5)="",2,0)),0)</f>
        <v>0</v>
      </c>
      <c r="T891" s="194">
        <f>IFERROR(IF(INDEX([1]Pivot!$AD$1:$BE$65000,$B891,T$5)=1,1,IF(INDEX([1]Pivot!$B$1:$AB$65000,$B891,T$5)="",2,0)),0)</f>
        <v>0</v>
      </c>
      <c r="U891" s="194">
        <f>IFERROR(IF(INDEX([1]Pivot!$AD$1:$BE$65000,$B891,U$5)=1,1,IF(INDEX([1]Pivot!$B$1:$AB$65000,$B891,U$5)="",2,0)),0)</f>
        <v>0</v>
      </c>
      <c r="V891" s="194">
        <f>IFERROR(IF(INDEX([1]Pivot!$AD$1:$BE$65000,$B891,V$5)=1,1,IF(INDEX([1]Pivot!$B$1:$AB$65000,$B891,V$5)="",2,0)),0)</f>
        <v>0</v>
      </c>
      <c r="W891" s="194">
        <f>IFERROR(IF(INDEX([1]Pivot!$AD$1:$BE$65000,$B891,W$5)=1,1,IF(INDEX([1]Pivot!$B$1:$AB$65000,$B891,W$5)="",2,0)),0)</f>
        <v>0</v>
      </c>
      <c r="X891" s="194">
        <f>IFERROR(IF(INDEX([1]Pivot!$AD$1:$BE$65000,$B891,X$5)=1,1,IF(INDEX([1]Pivot!$B$1:$AB$65000,$B891,X$5)="",2,0)),0)</f>
        <v>0</v>
      </c>
      <c r="Y891" s="194">
        <f>IFERROR(IF(INDEX([1]Pivot!$AD$1:$BE$65000,$B891,Y$5)=1,1,IF(INDEX([1]Pivot!$B$1:$AB$65000,$B891,Y$5)="",2,0)),0)</f>
        <v>0</v>
      </c>
      <c r="Z891" s="194">
        <f>IFERROR(IF(INDEX([1]Pivot!$AD$1:$BE$65000,$B891,Z$5)=1,1,IF(INDEX([1]Pivot!$B$1:$AB$65000,$B891,Z$5)="",2,0)),0)</f>
        <v>0</v>
      </c>
      <c r="AA891" s="194">
        <f>IFERROR(IF(INDEX([1]Pivot!$AD$1:$BE$65000,$B891,AA$5)=1,1,IF(INDEX([1]Pivot!$B$1:$AB$65000,$B891,AA$5)="",2,0)),0)</f>
        <v>0</v>
      </c>
      <c r="AB891" s="194">
        <f>IFERROR(IF(INDEX([1]Pivot!$AD$1:$BE$65000,$B891,AB$5)=1,1,IF(INDEX([1]Pivot!$B$1:$AB$65000,$B891,AB$5)="",2,0)),0)</f>
        <v>0</v>
      </c>
      <c r="AC891" s="194">
        <f>IFERROR(IF(INDEX([1]Pivot!$AD$1:$BE$65000,$B891,AC$5)=1,1,IF(INDEX([1]Pivot!$B$1:$AB$65000,$B891,AC$5)="",2,0)),0)</f>
        <v>0</v>
      </c>
      <c r="AD891" s="313">
        <f>IFERROR(IF(INDEX([1]Pivot!$BF$1:$CG$65000,$B891,AD$5)=1,1,IF(INDEX([1]Pivot!$B$1:$AB$65000,$B891,AD$5)="",2,0)),0)</f>
        <v>0</v>
      </c>
      <c r="AE891" s="313">
        <f>IFERROR(IF(INDEX([1]Pivot!$BF$1:$CG$65000,$B891,AE$5)=1,1,IF(INDEX([1]Pivot!$B$1:$AB$65000,$B891,AE$5)="",2,0)),0)</f>
        <v>0</v>
      </c>
      <c r="AF891" s="313">
        <f>IFERROR(IF(INDEX([1]Pivot!$BF$1:$CG$65000,$B891,AF$5)=1,1,IF(INDEX([1]Pivot!$B$1:$AB$65000,$B891,AF$5)="",2,0)),0)</f>
        <v>0</v>
      </c>
      <c r="AG891" s="313">
        <f>IFERROR(IF(INDEX([1]Pivot!$BF$1:$CG$65000,$B891,AG$5)=1,1,IF(INDEX([1]Pivot!$B$1:$AB$65000,$B891,AG$5)="",2,0)),0)</f>
        <v>0</v>
      </c>
      <c r="AH891" s="313">
        <f>IFERROR(IF(INDEX([1]Pivot!$BF$1:$CG$65000,$B891,AH$5)=1,1,IF(INDEX([1]Pivot!$B$1:$AB$65000,$B891,AH$5)="",2,0)),0)</f>
        <v>0</v>
      </c>
      <c r="AI891" s="313">
        <f>IFERROR(IF(INDEX([1]Pivot!$BF$1:$CG$65000,$B891,AI$5)=1,1,IF(INDEX([1]Pivot!$B$1:$AB$65000,$B891,AI$5)="",2,0)),0)</f>
        <v>0</v>
      </c>
      <c r="AJ891" s="313">
        <f>IFERROR(IF(INDEX([1]Pivot!$BF$1:$CG$65000,$B891,AJ$5)=1,1,IF(INDEX([1]Pivot!$B$1:$AB$65000,$B891,AJ$5)="",2,0)),0)</f>
        <v>0</v>
      </c>
      <c r="AK891" s="313">
        <f>IFERROR(IF(INDEX([1]Pivot!$BF$1:$CG$65000,$B891,AK$5)=1,1,IF(INDEX([1]Pivot!$B$1:$AB$65000,$B891,AK$5)="",2,0)),0)</f>
        <v>0</v>
      </c>
      <c r="AL891" s="313">
        <f>IFERROR(IF(INDEX([1]Pivot!$BF$1:$CG$65000,$B891,AL$5)=1,1,IF(INDEX([1]Pivot!$B$1:$AB$65000,$B891,AL$5)="",2,0)),0)</f>
        <v>0</v>
      </c>
      <c r="AM891" s="313">
        <f>IFERROR(IF(INDEX([1]Pivot!$BF$1:$CG$65000,$B891,AM$5)=1,1,IF(INDEX([1]Pivot!$B$1:$AB$65000,$B891,AM$5)="",2,0)),0)</f>
        <v>0</v>
      </c>
      <c r="AN891" s="313">
        <f>IFERROR(IF(INDEX([1]Pivot!$BF$1:$CG$65000,$B891,AN$5)=1,1,IF(INDEX([1]Pivot!$B$1:$AB$65000,$B891,AN$5)="",2,0)),0)</f>
        <v>0</v>
      </c>
      <c r="AO891" s="313">
        <f>IFERROR(IF(INDEX([1]Pivot!$BF$1:$CG$65000,$B891,AO$5)=1,1,IF(INDEX([1]Pivot!$B$1:$AB$65000,$B891,AO$5)="",2,0)),0)</f>
        <v>0</v>
      </c>
      <c r="AP891" s="313">
        <f>IFERROR(IF(INDEX([1]Pivot!$BF$1:$CG$65000,$B891,AP$5)=1,1,IF(INDEX([1]Pivot!$B$1:$AB$65000,$B891,AP$5)="",2,0)),0)</f>
        <v>0</v>
      </c>
      <c r="AQ891" s="313">
        <f>IFERROR(IF(INDEX([1]Pivot!$BF$1:$CG$65000,$B891,AQ$5)=1,1,IF(INDEX([1]Pivot!$B$1:$AB$65000,$B891,AQ$5)="",2,0)),0)</f>
        <v>0</v>
      </c>
      <c r="AR891" s="313">
        <f>IFERROR(IF(INDEX([1]Pivot!$BF$1:$CG$65000,$B891,AR$5)=1,1,IF(INDEX([1]Pivot!$B$1:$AB$65000,$B891,AR$5)="",2,0)),0)</f>
        <v>0</v>
      </c>
      <c r="AS891" s="312"/>
      <c r="AT891" s="313">
        <f>IFERROR(IF(INDEX([1]Pivot!$BF$1:$CG$65000,$B891,AT$5)=1,1,IF(INDEX([1]Pivot!$B$1:$AB$65000,$B891,AT$5)="",2,0)),0)</f>
        <v>0</v>
      </c>
      <c r="AU891" s="313">
        <f>IFERROR(IF(INDEX([1]Pivot!$BF$1:$CG$65000,$B891,AU$5)=1,1,IF(INDEX([1]Pivot!$B$1:$AB$65000,$B891,AU$5)="",2,0)),0)</f>
        <v>0</v>
      </c>
      <c r="AV891" s="313">
        <f>IFERROR(IF(INDEX([1]Pivot!$BF$1:$CG$65000,$B891,AV$5)=1,1,IF(INDEX([1]Pivot!$B$1:$AB$65000,$B891,AV$5)="",2,0)),0)</f>
        <v>0</v>
      </c>
      <c r="AW891" s="313">
        <f>IFERROR(IF(INDEX([1]Pivot!$BF$1:$CG$65000,$B891,AW$5)=1,1,IF(INDEX([1]Pivot!$B$1:$AB$65000,$B891,AW$5)="",2,0)),0)</f>
        <v>0</v>
      </c>
      <c r="AX891" s="313">
        <f>IFERROR(IF(INDEX([1]Pivot!$BF$1:$CG$65000,$B891,AX$5)=1,1,IF(INDEX([1]Pivot!$B$1:$AB$65000,$B891,AX$5)="",2,0)),0)</f>
        <v>0</v>
      </c>
      <c r="AY891" s="313">
        <f>IFERROR(IF(INDEX([1]Pivot!$BF$1:$CG$65000,$B891,AY$5)=1,1,IF(INDEX([1]Pivot!$B$1:$AB$65000,$B891,AY$5)="",2,0)),0)</f>
        <v>0</v>
      </c>
      <c r="AZ891" s="313">
        <f>IFERROR(IF(INDEX([1]Pivot!$BF$1:$CG$65000,$B891,AZ$5)=1,1,IF(INDEX([1]Pivot!$B$1:$AB$65000,$B891,AZ$5)="",2,0)),0)</f>
        <v>0</v>
      </c>
      <c r="BA891" s="313">
        <f>IFERROR(IF(INDEX([1]Pivot!$BF$1:$CG$65000,$B891,BA$5)=1,1,IF(INDEX([1]Pivot!$B$1:$AB$65000,$B891,BA$5)="",2,0)),0)</f>
        <v>0</v>
      </c>
      <c r="BB891" s="313">
        <f>IFERROR(IF(INDEX([1]Pivot!$BF$1:$CG$65000,$B891,BB$5)=1,1,IF(INDEX([1]Pivot!$B$1:$AB$65000,$B891,BB$5)="",2,0)),0)</f>
        <v>0</v>
      </c>
      <c r="BC891" s="313">
        <f>IFERROR(IF(INDEX([1]Pivot!$BF$1:$CG$65000,$B891,BC$5)=1,1,IF(INDEX([1]Pivot!$B$1:$AB$65000,$B891,BC$5)="",2,0)),0)</f>
        <v>0</v>
      </c>
      <c r="BD891" s="313">
        <f>IFERROR(IF(INDEX([1]Pivot!$BF$1:$CG$65000,$B891,BD$5)=1,1,IF(INDEX([1]Pivot!$B$1:$AB$65000,$B891,BD$5)="",2,0)),0)</f>
        <v>0</v>
      </c>
    </row>
    <row r="892" spans="1:56" x14ac:dyDescent="0.25">
      <c r="A892" s="288">
        <f>'[2]Raw Milk Prices'!A892</f>
        <v>0</v>
      </c>
      <c r="B892" s="296" t="e">
        <f>MATCH(DATE(LEFT('[2]Raw Milk Prices'!$A892,4),RIGHT('[2]Raw Milk Prices'!$A892,2),1),[1]Pivot!$A$1:$A$65000,0)</f>
        <v>#VALUE!</v>
      </c>
      <c r="C892" s="194">
        <f>IFERROR(IF(INDEX([1]Pivot!$AD$1:$BE$65000,$B892,C$5)=1,1,IF(INDEX([1]Pivot!$B$1:$AB$65000,$B892,C$5)="",2,0)),0)</f>
        <v>0</v>
      </c>
      <c r="D892" s="194">
        <f>IFERROR(IF(INDEX([1]Pivot!$AD$1:$BE$65000,$B892,D$5)=1,1,IF(INDEX([1]Pivot!$B$1:$AB$65000,$B892,D$5)="",2,0)),0)</f>
        <v>0</v>
      </c>
      <c r="E892" s="194">
        <f>IFERROR(IF(INDEX([1]Pivot!$AD$1:$BE$65000,$B892,E$5)=1,1,IF(INDEX([1]Pivot!$B$1:$AB$65000,$B892,E$5)="",2,0)),0)</f>
        <v>0</v>
      </c>
      <c r="F892" s="194">
        <f>IFERROR(IF(INDEX([1]Pivot!$AD$1:$BE$65000,$B892,F$5)=1,1,IF(INDEX([1]Pivot!$B$1:$AB$65000,$B892,F$5)="",2,0)),0)</f>
        <v>0</v>
      </c>
      <c r="G892" s="194">
        <f>IFERROR(IF(INDEX([1]Pivot!$AD$1:$BE$65000,$B892,G$5)=1,1,IF(INDEX([1]Pivot!$B$1:$AB$65000,$B892,G$5)="",2,0)),0)</f>
        <v>0</v>
      </c>
      <c r="H892" s="194">
        <f>IFERROR(IF(INDEX([1]Pivot!$AD$1:$BE$65000,$B892,H$5)=1,1,IF(INDEX([1]Pivot!$B$1:$AB$65000,$B892,H$5)="",2,0)),0)</f>
        <v>0</v>
      </c>
      <c r="I892" s="194">
        <f>IFERROR(IF(INDEX([1]Pivot!$AD$1:$BE$65000,$B892,I$5)=1,1,IF(INDEX([1]Pivot!$B$1:$AB$65000,$B892,I$5)="",2,0)),0)</f>
        <v>0</v>
      </c>
      <c r="J892" s="194">
        <f>IFERROR(IF(INDEX([1]Pivot!$AD$1:$BE$65000,$B892,J$5)=1,1,IF(INDEX([1]Pivot!$B$1:$AB$65000,$B892,J$5)="",2,0)),0)</f>
        <v>0</v>
      </c>
      <c r="K892" s="194">
        <f>IFERROR(IF(INDEX([1]Pivot!$AD$1:$BE$65000,$B892,K$5)=1,1,IF(INDEX([1]Pivot!$B$1:$AB$65000,$B892,K$5)="",2,0)),0)</f>
        <v>0</v>
      </c>
      <c r="L892" s="194">
        <f>IFERROR(IF(INDEX([1]Pivot!$AD$1:$BE$65000,$B892,L$5)=1,1,IF(INDEX([1]Pivot!$B$1:$AB$65000,$B892,L$5)="",2,0)),0)</f>
        <v>0</v>
      </c>
      <c r="M892" s="194">
        <f>IFERROR(IF(INDEX([1]Pivot!$AD$1:$BE$65000,$B892,M$5)=1,1,IF(INDEX([1]Pivot!$B$1:$AB$65000,$B892,M$5)="",2,0)),0)</f>
        <v>0</v>
      </c>
      <c r="N892" s="194">
        <f>IFERROR(IF(INDEX([1]Pivot!$AD$1:$BE$65000,$B892,N$5)=1,1,IF(INDEX([1]Pivot!$B$1:$AB$65000,$B892,N$5)="",2,0)),0)</f>
        <v>0</v>
      </c>
      <c r="O892" s="194">
        <f>IFERROR(IF(INDEX([1]Pivot!$AD$1:$BE$65000,$B892,O$5)=1,1,IF(INDEX([1]Pivot!$B$1:$AB$65000,$B892,O$5)="",2,0)),0)</f>
        <v>0</v>
      </c>
      <c r="P892" s="194">
        <f>IFERROR(IF(INDEX([1]Pivot!$AD$1:$BE$65000,$B892,P$5)=1,1,IF(INDEX([1]Pivot!$B$1:$AB$65000,$B892,P$5)="",2,0)),0)</f>
        <v>0</v>
      </c>
      <c r="Q892" s="194">
        <f>IFERROR(IF(INDEX([1]Pivot!$AD$1:$BE$65000,$B892,Q$5)=1,1,IF(INDEX([1]Pivot!$B$1:$AB$65000,$B892,Q$5)="",2,0)),0)</f>
        <v>0</v>
      </c>
      <c r="R892" s="312"/>
      <c r="S892" s="194">
        <f>IFERROR(IF(INDEX([1]Pivot!$AD$1:$BE$65000,$B892,S$5)=1,1,IF(INDEX([1]Pivot!$B$1:$AB$65000,$B892,S$5)="",2,0)),0)</f>
        <v>0</v>
      </c>
      <c r="T892" s="194">
        <f>IFERROR(IF(INDEX([1]Pivot!$AD$1:$BE$65000,$B892,T$5)=1,1,IF(INDEX([1]Pivot!$B$1:$AB$65000,$B892,T$5)="",2,0)),0)</f>
        <v>0</v>
      </c>
      <c r="U892" s="194">
        <f>IFERROR(IF(INDEX([1]Pivot!$AD$1:$BE$65000,$B892,U$5)=1,1,IF(INDEX([1]Pivot!$B$1:$AB$65000,$B892,U$5)="",2,0)),0)</f>
        <v>0</v>
      </c>
      <c r="V892" s="194">
        <f>IFERROR(IF(INDEX([1]Pivot!$AD$1:$BE$65000,$B892,V$5)=1,1,IF(INDEX([1]Pivot!$B$1:$AB$65000,$B892,V$5)="",2,0)),0)</f>
        <v>0</v>
      </c>
      <c r="W892" s="194">
        <f>IFERROR(IF(INDEX([1]Pivot!$AD$1:$BE$65000,$B892,W$5)=1,1,IF(INDEX([1]Pivot!$B$1:$AB$65000,$B892,W$5)="",2,0)),0)</f>
        <v>0</v>
      </c>
      <c r="X892" s="194">
        <f>IFERROR(IF(INDEX([1]Pivot!$AD$1:$BE$65000,$B892,X$5)=1,1,IF(INDEX([1]Pivot!$B$1:$AB$65000,$B892,X$5)="",2,0)),0)</f>
        <v>0</v>
      </c>
      <c r="Y892" s="194">
        <f>IFERROR(IF(INDEX([1]Pivot!$AD$1:$BE$65000,$B892,Y$5)=1,1,IF(INDEX([1]Pivot!$B$1:$AB$65000,$B892,Y$5)="",2,0)),0)</f>
        <v>0</v>
      </c>
      <c r="Z892" s="194">
        <f>IFERROR(IF(INDEX([1]Pivot!$AD$1:$BE$65000,$B892,Z$5)=1,1,IF(INDEX([1]Pivot!$B$1:$AB$65000,$B892,Z$5)="",2,0)),0)</f>
        <v>0</v>
      </c>
      <c r="AA892" s="194">
        <f>IFERROR(IF(INDEX([1]Pivot!$AD$1:$BE$65000,$B892,AA$5)=1,1,IF(INDEX([1]Pivot!$B$1:$AB$65000,$B892,AA$5)="",2,0)),0)</f>
        <v>0</v>
      </c>
      <c r="AB892" s="194">
        <f>IFERROR(IF(INDEX([1]Pivot!$AD$1:$BE$65000,$B892,AB$5)=1,1,IF(INDEX([1]Pivot!$B$1:$AB$65000,$B892,AB$5)="",2,0)),0)</f>
        <v>0</v>
      </c>
      <c r="AC892" s="194">
        <f>IFERROR(IF(INDEX([1]Pivot!$AD$1:$BE$65000,$B892,AC$5)=1,1,IF(INDEX([1]Pivot!$B$1:$AB$65000,$B892,AC$5)="",2,0)),0)</f>
        <v>0</v>
      </c>
      <c r="AD892" s="313">
        <f>IFERROR(IF(INDEX([1]Pivot!$BF$1:$CG$65000,$B892,AD$5)=1,1,IF(INDEX([1]Pivot!$B$1:$AB$65000,$B892,AD$5)="",2,0)),0)</f>
        <v>0</v>
      </c>
      <c r="AE892" s="313">
        <f>IFERROR(IF(INDEX([1]Pivot!$BF$1:$CG$65000,$B892,AE$5)=1,1,IF(INDEX([1]Pivot!$B$1:$AB$65000,$B892,AE$5)="",2,0)),0)</f>
        <v>0</v>
      </c>
      <c r="AF892" s="313">
        <f>IFERROR(IF(INDEX([1]Pivot!$BF$1:$CG$65000,$B892,AF$5)=1,1,IF(INDEX([1]Pivot!$B$1:$AB$65000,$B892,AF$5)="",2,0)),0)</f>
        <v>0</v>
      </c>
      <c r="AG892" s="313">
        <f>IFERROR(IF(INDEX([1]Pivot!$BF$1:$CG$65000,$B892,AG$5)=1,1,IF(INDEX([1]Pivot!$B$1:$AB$65000,$B892,AG$5)="",2,0)),0)</f>
        <v>0</v>
      </c>
      <c r="AH892" s="313">
        <f>IFERROR(IF(INDEX([1]Pivot!$BF$1:$CG$65000,$B892,AH$5)=1,1,IF(INDEX([1]Pivot!$B$1:$AB$65000,$B892,AH$5)="",2,0)),0)</f>
        <v>0</v>
      </c>
      <c r="AI892" s="313">
        <f>IFERROR(IF(INDEX([1]Pivot!$BF$1:$CG$65000,$B892,AI$5)=1,1,IF(INDEX([1]Pivot!$B$1:$AB$65000,$B892,AI$5)="",2,0)),0)</f>
        <v>0</v>
      </c>
      <c r="AJ892" s="313">
        <f>IFERROR(IF(INDEX([1]Pivot!$BF$1:$CG$65000,$B892,AJ$5)=1,1,IF(INDEX([1]Pivot!$B$1:$AB$65000,$B892,AJ$5)="",2,0)),0)</f>
        <v>0</v>
      </c>
      <c r="AK892" s="313">
        <f>IFERROR(IF(INDEX([1]Pivot!$BF$1:$CG$65000,$B892,AK$5)=1,1,IF(INDEX([1]Pivot!$B$1:$AB$65000,$B892,AK$5)="",2,0)),0)</f>
        <v>0</v>
      </c>
      <c r="AL892" s="313">
        <f>IFERROR(IF(INDEX([1]Pivot!$BF$1:$CG$65000,$B892,AL$5)=1,1,IF(INDEX([1]Pivot!$B$1:$AB$65000,$B892,AL$5)="",2,0)),0)</f>
        <v>0</v>
      </c>
      <c r="AM892" s="313">
        <f>IFERROR(IF(INDEX([1]Pivot!$BF$1:$CG$65000,$B892,AM$5)=1,1,IF(INDEX([1]Pivot!$B$1:$AB$65000,$B892,AM$5)="",2,0)),0)</f>
        <v>0</v>
      </c>
      <c r="AN892" s="313">
        <f>IFERROR(IF(INDEX([1]Pivot!$BF$1:$CG$65000,$B892,AN$5)=1,1,IF(INDEX([1]Pivot!$B$1:$AB$65000,$B892,AN$5)="",2,0)),0)</f>
        <v>0</v>
      </c>
      <c r="AO892" s="313">
        <f>IFERROR(IF(INDEX([1]Pivot!$BF$1:$CG$65000,$B892,AO$5)=1,1,IF(INDEX([1]Pivot!$B$1:$AB$65000,$B892,AO$5)="",2,0)),0)</f>
        <v>0</v>
      </c>
      <c r="AP892" s="313">
        <f>IFERROR(IF(INDEX([1]Pivot!$BF$1:$CG$65000,$B892,AP$5)=1,1,IF(INDEX([1]Pivot!$B$1:$AB$65000,$B892,AP$5)="",2,0)),0)</f>
        <v>0</v>
      </c>
      <c r="AQ892" s="313">
        <f>IFERROR(IF(INDEX([1]Pivot!$BF$1:$CG$65000,$B892,AQ$5)=1,1,IF(INDEX([1]Pivot!$B$1:$AB$65000,$B892,AQ$5)="",2,0)),0)</f>
        <v>0</v>
      </c>
      <c r="AR892" s="313">
        <f>IFERROR(IF(INDEX([1]Pivot!$BF$1:$CG$65000,$B892,AR$5)=1,1,IF(INDEX([1]Pivot!$B$1:$AB$65000,$B892,AR$5)="",2,0)),0)</f>
        <v>0</v>
      </c>
      <c r="AS892" s="312"/>
      <c r="AT892" s="313">
        <f>IFERROR(IF(INDEX([1]Pivot!$BF$1:$CG$65000,$B892,AT$5)=1,1,IF(INDEX([1]Pivot!$B$1:$AB$65000,$B892,AT$5)="",2,0)),0)</f>
        <v>0</v>
      </c>
      <c r="AU892" s="313">
        <f>IFERROR(IF(INDEX([1]Pivot!$BF$1:$CG$65000,$B892,AU$5)=1,1,IF(INDEX([1]Pivot!$B$1:$AB$65000,$B892,AU$5)="",2,0)),0)</f>
        <v>0</v>
      </c>
      <c r="AV892" s="313">
        <f>IFERROR(IF(INDEX([1]Pivot!$BF$1:$CG$65000,$B892,AV$5)=1,1,IF(INDEX([1]Pivot!$B$1:$AB$65000,$B892,AV$5)="",2,0)),0)</f>
        <v>0</v>
      </c>
      <c r="AW892" s="313">
        <f>IFERROR(IF(INDEX([1]Pivot!$BF$1:$CG$65000,$B892,AW$5)=1,1,IF(INDEX([1]Pivot!$B$1:$AB$65000,$B892,AW$5)="",2,0)),0)</f>
        <v>0</v>
      </c>
      <c r="AX892" s="313">
        <f>IFERROR(IF(INDEX([1]Pivot!$BF$1:$CG$65000,$B892,AX$5)=1,1,IF(INDEX([1]Pivot!$B$1:$AB$65000,$B892,AX$5)="",2,0)),0)</f>
        <v>0</v>
      </c>
      <c r="AY892" s="313">
        <f>IFERROR(IF(INDEX([1]Pivot!$BF$1:$CG$65000,$B892,AY$5)=1,1,IF(INDEX([1]Pivot!$B$1:$AB$65000,$B892,AY$5)="",2,0)),0)</f>
        <v>0</v>
      </c>
      <c r="AZ892" s="313">
        <f>IFERROR(IF(INDEX([1]Pivot!$BF$1:$CG$65000,$B892,AZ$5)=1,1,IF(INDEX([1]Pivot!$B$1:$AB$65000,$B892,AZ$5)="",2,0)),0)</f>
        <v>0</v>
      </c>
      <c r="BA892" s="313">
        <f>IFERROR(IF(INDEX([1]Pivot!$BF$1:$CG$65000,$B892,BA$5)=1,1,IF(INDEX([1]Pivot!$B$1:$AB$65000,$B892,BA$5)="",2,0)),0)</f>
        <v>0</v>
      </c>
      <c r="BB892" s="313">
        <f>IFERROR(IF(INDEX([1]Pivot!$BF$1:$CG$65000,$B892,BB$5)=1,1,IF(INDEX([1]Pivot!$B$1:$AB$65000,$B892,BB$5)="",2,0)),0)</f>
        <v>0</v>
      </c>
      <c r="BC892" s="313">
        <f>IFERROR(IF(INDEX([1]Pivot!$BF$1:$CG$65000,$B892,BC$5)=1,1,IF(INDEX([1]Pivot!$B$1:$AB$65000,$B892,BC$5)="",2,0)),0)</f>
        <v>0</v>
      </c>
      <c r="BD892" s="313">
        <f>IFERROR(IF(INDEX([1]Pivot!$BF$1:$CG$65000,$B892,BD$5)=1,1,IF(INDEX([1]Pivot!$B$1:$AB$65000,$B892,BD$5)="",2,0)),0)</f>
        <v>0</v>
      </c>
    </row>
    <row r="893" spans="1:56" x14ac:dyDescent="0.25">
      <c r="A893" s="288">
        <f>'[2]Raw Milk Prices'!A893</f>
        <v>0</v>
      </c>
      <c r="B893" s="296" t="e">
        <f>MATCH(DATE(LEFT('[2]Raw Milk Prices'!$A893,4),RIGHT('[2]Raw Milk Prices'!$A893,2),1),[1]Pivot!$A$1:$A$65000,0)</f>
        <v>#VALUE!</v>
      </c>
      <c r="C893" s="194">
        <f>IFERROR(IF(INDEX([1]Pivot!$AD$1:$BE$65000,$B893,C$5)=1,1,IF(INDEX([1]Pivot!$B$1:$AB$65000,$B893,C$5)="",2,0)),0)</f>
        <v>0</v>
      </c>
      <c r="D893" s="194">
        <f>IFERROR(IF(INDEX([1]Pivot!$AD$1:$BE$65000,$B893,D$5)=1,1,IF(INDEX([1]Pivot!$B$1:$AB$65000,$B893,D$5)="",2,0)),0)</f>
        <v>0</v>
      </c>
      <c r="E893" s="194">
        <f>IFERROR(IF(INDEX([1]Pivot!$AD$1:$BE$65000,$B893,E$5)=1,1,IF(INDEX([1]Pivot!$B$1:$AB$65000,$B893,E$5)="",2,0)),0)</f>
        <v>0</v>
      </c>
      <c r="F893" s="194">
        <f>IFERROR(IF(INDEX([1]Pivot!$AD$1:$BE$65000,$B893,F$5)=1,1,IF(INDEX([1]Pivot!$B$1:$AB$65000,$B893,F$5)="",2,0)),0)</f>
        <v>0</v>
      </c>
      <c r="G893" s="194">
        <f>IFERROR(IF(INDEX([1]Pivot!$AD$1:$BE$65000,$B893,G$5)=1,1,IF(INDEX([1]Pivot!$B$1:$AB$65000,$B893,G$5)="",2,0)),0)</f>
        <v>0</v>
      </c>
      <c r="H893" s="194">
        <f>IFERROR(IF(INDEX([1]Pivot!$AD$1:$BE$65000,$B893,H$5)=1,1,IF(INDEX([1]Pivot!$B$1:$AB$65000,$B893,H$5)="",2,0)),0)</f>
        <v>0</v>
      </c>
      <c r="I893" s="194">
        <f>IFERROR(IF(INDEX([1]Pivot!$AD$1:$BE$65000,$B893,I$5)=1,1,IF(INDEX([1]Pivot!$B$1:$AB$65000,$B893,I$5)="",2,0)),0)</f>
        <v>0</v>
      </c>
      <c r="J893" s="194">
        <f>IFERROR(IF(INDEX([1]Pivot!$AD$1:$BE$65000,$B893,J$5)=1,1,IF(INDEX([1]Pivot!$B$1:$AB$65000,$B893,J$5)="",2,0)),0)</f>
        <v>0</v>
      </c>
      <c r="K893" s="194">
        <f>IFERROR(IF(INDEX([1]Pivot!$AD$1:$BE$65000,$B893,K$5)=1,1,IF(INDEX([1]Pivot!$B$1:$AB$65000,$B893,K$5)="",2,0)),0)</f>
        <v>0</v>
      </c>
      <c r="L893" s="194">
        <f>IFERROR(IF(INDEX([1]Pivot!$AD$1:$BE$65000,$B893,L$5)=1,1,IF(INDEX([1]Pivot!$B$1:$AB$65000,$B893,L$5)="",2,0)),0)</f>
        <v>0</v>
      </c>
      <c r="M893" s="194">
        <f>IFERROR(IF(INDEX([1]Pivot!$AD$1:$BE$65000,$B893,M$5)=1,1,IF(INDEX([1]Pivot!$B$1:$AB$65000,$B893,M$5)="",2,0)),0)</f>
        <v>0</v>
      </c>
      <c r="N893" s="194">
        <f>IFERROR(IF(INDEX([1]Pivot!$AD$1:$BE$65000,$B893,N$5)=1,1,IF(INDEX([1]Pivot!$B$1:$AB$65000,$B893,N$5)="",2,0)),0)</f>
        <v>0</v>
      </c>
      <c r="O893" s="194">
        <f>IFERROR(IF(INDEX([1]Pivot!$AD$1:$BE$65000,$B893,O$5)=1,1,IF(INDEX([1]Pivot!$B$1:$AB$65000,$B893,O$5)="",2,0)),0)</f>
        <v>0</v>
      </c>
      <c r="P893" s="194">
        <f>IFERROR(IF(INDEX([1]Pivot!$AD$1:$BE$65000,$B893,P$5)=1,1,IF(INDEX([1]Pivot!$B$1:$AB$65000,$B893,P$5)="",2,0)),0)</f>
        <v>0</v>
      </c>
      <c r="Q893" s="194">
        <f>IFERROR(IF(INDEX([1]Pivot!$AD$1:$BE$65000,$B893,Q$5)=1,1,IF(INDEX([1]Pivot!$B$1:$AB$65000,$B893,Q$5)="",2,0)),0)</f>
        <v>0</v>
      </c>
      <c r="R893" s="312"/>
      <c r="S893" s="194">
        <f>IFERROR(IF(INDEX([1]Pivot!$AD$1:$BE$65000,$B893,S$5)=1,1,IF(INDEX([1]Pivot!$B$1:$AB$65000,$B893,S$5)="",2,0)),0)</f>
        <v>0</v>
      </c>
      <c r="T893" s="194">
        <f>IFERROR(IF(INDEX([1]Pivot!$AD$1:$BE$65000,$B893,T$5)=1,1,IF(INDEX([1]Pivot!$B$1:$AB$65000,$B893,T$5)="",2,0)),0)</f>
        <v>0</v>
      </c>
      <c r="U893" s="194">
        <f>IFERROR(IF(INDEX([1]Pivot!$AD$1:$BE$65000,$B893,U$5)=1,1,IF(INDEX([1]Pivot!$B$1:$AB$65000,$B893,U$5)="",2,0)),0)</f>
        <v>0</v>
      </c>
      <c r="V893" s="194">
        <f>IFERROR(IF(INDEX([1]Pivot!$AD$1:$BE$65000,$B893,V$5)=1,1,IF(INDEX([1]Pivot!$B$1:$AB$65000,$B893,V$5)="",2,0)),0)</f>
        <v>0</v>
      </c>
      <c r="W893" s="194">
        <f>IFERROR(IF(INDEX([1]Pivot!$AD$1:$BE$65000,$B893,W$5)=1,1,IF(INDEX([1]Pivot!$B$1:$AB$65000,$B893,W$5)="",2,0)),0)</f>
        <v>0</v>
      </c>
      <c r="X893" s="194">
        <f>IFERROR(IF(INDEX([1]Pivot!$AD$1:$BE$65000,$B893,X$5)=1,1,IF(INDEX([1]Pivot!$B$1:$AB$65000,$B893,X$5)="",2,0)),0)</f>
        <v>0</v>
      </c>
      <c r="Y893" s="194">
        <f>IFERROR(IF(INDEX([1]Pivot!$AD$1:$BE$65000,$B893,Y$5)=1,1,IF(INDEX([1]Pivot!$B$1:$AB$65000,$B893,Y$5)="",2,0)),0)</f>
        <v>0</v>
      </c>
      <c r="Z893" s="194">
        <f>IFERROR(IF(INDEX([1]Pivot!$AD$1:$BE$65000,$B893,Z$5)=1,1,IF(INDEX([1]Pivot!$B$1:$AB$65000,$B893,Z$5)="",2,0)),0)</f>
        <v>0</v>
      </c>
      <c r="AA893" s="194">
        <f>IFERROR(IF(INDEX([1]Pivot!$AD$1:$BE$65000,$B893,AA$5)=1,1,IF(INDEX([1]Pivot!$B$1:$AB$65000,$B893,AA$5)="",2,0)),0)</f>
        <v>0</v>
      </c>
      <c r="AB893" s="194">
        <f>IFERROR(IF(INDEX([1]Pivot!$AD$1:$BE$65000,$B893,AB$5)=1,1,IF(INDEX([1]Pivot!$B$1:$AB$65000,$B893,AB$5)="",2,0)),0)</f>
        <v>0</v>
      </c>
      <c r="AC893" s="194">
        <f>IFERROR(IF(INDEX([1]Pivot!$AD$1:$BE$65000,$B893,AC$5)=1,1,IF(INDEX([1]Pivot!$B$1:$AB$65000,$B893,AC$5)="",2,0)),0)</f>
        <v>0</v>
      </c>
      <c r="AD893" s="313">
        <f>IFERROR(IF(INDEX([1]Pivot!$BF$1:$CG$65000,$B893,AD$5)=1,1,IF(INDEX([1]Pivot!$B$1:$AB$65000,$B893,AD$5)="",2,0)),0)</f>
        <v>0</v>
      </c>
      <c r="AE893" s="313">
        <f>IFERROR(IF(INDEX([1]Pivot!$BF$1:$CG$65000,$B893,AE$5)=1,1,IF(INDEX([1]Pivot!$B$1:$AB$65000,$B893,AE$5)="",2,0)),0)</f>
        <v>0</v>
      </c>
      <c r="AF893" s="313">
        <f>IFERROR(IF(INDEX([1]Pivot!$BF$1:$CG$65000,$B893,AF$5)=1,1,IF(INDEX([1]Pivot!$B$1:$AB$65000,$B893,AF$5)="",2,0)),0)</f>
        <v>0</v>
      </c>
      <c r="AG893" s="313">
        <f>IFERROR(IF(INDEX([1]Pivot!$BF$1:$CG$65000,$B893,AG$5)=1,1,IF(INDEX([1]Pivot!$B$1:$AB$65000,$B893,AG$5)="",2,0)),0)</f>
        <v>0</v>
      </c>
      <c r="AH893" s="313">
        <f>IFERROR(IF(INDEX([1]Pivot!$BF$1:$CG$65000,$B893,AH$5)=1,1,IF(INDEX([1]Pivot!$B$1:$AB$65000,$B893,AH$5)="",2,0)),0)</f>
        <v>0</v>
      </c>
      <c r="AI893" s="313">
        <f>IFERROR(IF(INDEX([1]Pivot!$BF$1:$CG$65000,$B893,AI$5)=1,1,IF(INDEX([1]Pivot!$B$1:$AB$65000,$B893,AI$5)="",2,0)),0)</f>
        <v>0</v>
      </c>
      <c r="AJ893" s="313">
        <f>IFERROR(IF(INDEX([1]Pivot!$BF$1:$CG$65000,$B893,AJ$5)=1,1,IF(INDEX([1]Pivot!$B$1:$AB$65000,$B893,AJ$5)="",2,0)),0)</f>
        <v>0</v>
      </c>
      <c r="AK893" s="313">
        <f>IFERROR(IF(INDEX([1]Pivot!$BF$1:$CG$65000,$B893,AK$5)=1,1,IF(INDEX([1]Pivot!$B$1:$AB$65000,$B893,AK$5)="",2,0)),0)</f>
        <v>0</v>
      </c>
      <c r="AL893" s="313">
        <f>IFERROR(IF(INDEX([1]Pivot!$BF$1:$CG$65000,$B893,AL$5)=1,1,IF(INDEX([1]Pivot!$B$1:$AB$65000,$B893,AL$5)="",2,0)),0)</f>
        <v>0</v>
      </c>
      <c r="AM893" s="313">
        <f>IFERROR(IF(INDEX([1]Pivot!$BF$1:$CG$65000,$B893,AM$5)=1,1,IF(INDEX([1]Pivot!$B$1:$AB$65000,$B893,AM$5)="",2,0)),0)</f>
        <v>0</v>
      </c>
      <c r="AN893" s="313">
        <f>IFERROR(IF(INDEX([1]Pivot!$BF$1:$CG$65000,$B893,AN$5)=1,1,IF(INDEX([1]Pivot!$B$1:$AB$65000,$B893,AN$5)="",2,0)),0)</f>
        <v>0</v>
      </c>
      <c r="AO893" s="313">
        <f>IFERROR(IF(INDEX([1]Pivot!$BF$1:$CG$65000,$B893,AO$5)=1,1,IF(INDEX([1]Pivot!$B$1:$AB$65000,$B893,AO$5)="",2,0)),0)</f>
        <v>0</v>
      </c>
      <c r="AP893" s="313">
        <f>IFERROR(IF(INDEX([1]Pivot!$BF$1:$CG$65000,$B893,AP$5)=1,1,IF(INDEX([1]Pivot!$B$1:$AB$65000,$B893,AP$5)="",2,0)),0)</f>
        <v>0</v>
      </c>
      <c r="AQ893" s="313">
        <f>IFERROR(IF(INDEX([1]Pivot!$BF$1:$CG$65000,$B893,AQ$5)=1,1,IF(INDEX([1]Pivot!$B$1:$AB$65000,$B893,AQ$5)="",2,0)),0)</f>
        <v>0</v>
      </c>
      <c r="AR893" s="313">
        <f>IFERROR(IF(INDEX([1]Pivot!$BF$1:$CG$65000,$B893,AR$5)=1,1,IF(INDEX([1]Pivot!$B$1:$AB$65000,$B893,AR$5)="",2,0)),0)</f>
        <v>0</v>
      </c>
      <c r="AS893" s="312"/>
      <c r="AT893" s="313">
        <f>IFERROR(IF(INDEX([1]Pivot!$BF$1:$CG$65000,$B893,AT$5)=1,1,IF(INDEX([1]Pivot!$B$1:$AB$65000,$B893,AT$5)="",2,0)),0)</f>
        <v>0</v>
      </c>
      <c r="AU893" s="313">
        <f>IFERROR(IF(INDEX([1]Pivot!$BF$1:$CG$65000,$B893,AU$5)=1,1,IF(INDEX([1]Pivot!$B$1:$AB$65000,$B893,AU$5)="",2,0)),0)</f>
        <v>0</v>
      </c>
      <c r="AV893" s="313">
        <f>IFERROR(IF(INDEX([1]Pivot!$BF$1:$CG$65000,$B893,AV$5)=1,1,IF(INDEX([1]Pivot!$B$1:$AB$65000,$B893,AV$5)="",2,0)),0)</f>
        <v>0</v>
      </c>
      <c r="AW893" s="313">
        <f>IFERROR(IF(INDEX([1]Pivot!$BF$1:$CG$65000,$B893,AW$5)=1,1,IF(INDEX([1]Pivot!$B$1:$AB$65000,$B893,AW$5)="",2,0)),0)</f>
        <v>0</v>
      </c>
      <c r="AX893" s="313">
        <f>IFERROR(IF(INDEX([1]Pivot!$BF$1:$CG$65000,$B893,AX$5)=1,1,IF(INDEX([1]Pivot!$B$1:$AB$65000,$B893,AX$5)="",2,0)),0)</f>
        <v>0</v>
      </c>
      <c r="AY893" s="313">
        <f>IFERROR(IF(INDEX([1]Pivot!$BF$1:$CG$65000,$B893,AY$5)=1,1,IF(INDEX([1]Pivot!$B$1:$AB$65000,$B893,AY$5)="",2,0)),0)</f>
        <v>0</v>
      </c>
      <c r="AZ893" s="313">
        <f>IFERROR(IF(INDEX([1]Pivot!$BF$1:$CG$65000,$B893,AZ$5)=1,1,IF(INDEX([1]Pivot!$B$1:$AB$65000,$B893,AZ$5)="",2,0)),0)</f>
        <v>0</v>
      </c>
      <c r="BA893" s="313">
        <f>IFERROR(IF(INDEX([1]Pivot!$BF$1:$CG$65000,$B893,BA$5)=1,1,IF(INDEX([1]Pivot!$B$1:$AB$65000,$B893,BA$5)="",2,0)),0)</f>
        <v>0</v>
      </c>
      <c r="BB893" s="313">
        <f>IFERROR(IF(INDEX([1]Pivot!$BF$1:$CG$65000,$B893,BB$5)=1,1,IF(INDEX([1]Pivot!$B$1:$AB$65000,$B893,BB$5)="",2,0)),0)</f>
        <v>0</v>
      </c>
      <c r="BC893" s="313">
        <f>IFERROR(IF(INDEX([1]Pivot!$BF$1:$CG$65000,$B893,BC$5)=1,1,IF(INDEX([1]Pivot!$B$1:$AB$65000,$B893,BC$5)="",2,0)),0)</f>
        <v>0</v>
      </c>
      <c r="BD893" s="313">
        <f>IFERROR(IF(INDEX([1]Pivot!$BF$1:$CG$65000,$B893,BD$5)=1,1,IF(INDEX([1]Pivot!$B$1:$AB$65000,$B893,BD$5)="",2,0)),0)</f>
        <v>0</v>
      </c>
    </row>
    <row r="894" spans="1:56" x14ac:dyDescent="0.25">
      <c r="A894" s="288">
        <f>'[2]Raw Milk Prices'!A894</f>
        <v>0</v>
      </c>
      <c r="B894" s="296" t="e">
        <f>MATCH(DATE(LEFT('[2]Raw Milk Prices'!$A894,4),RIGHT('[2]Raw Milk Prices'!$A894,2),1),[1]Pivot!$A$1:$A$65000,0)</f>
        <v>#VALUE!</v>
      </c>
      <c r="C894" s="194">
        <f>IFERROR(IF(INDEX([1]Pivot!$AD$1:$BE$65000,$B894,C$5)=1,1,IF(INDEX([1]Pivot!$B$1:$AB$65000,$B894,C$5)="",2,0)),0)</f>
        <v>0</v>
      </c>
      <c r="D894" s="194">
        <f>IFERROR(IF(INDEX([1]Pivot!$AD$1:$BE$65000,$B894,D$5)=1,1,IF(INDEX([1]Pivot!$B$1:$AB$65000,$B894,D$5)="",2,0)),0)</f>
        <v>0</v>
      </c>
      <c r="E894" s="194">
        <f>IFERROR(IF(INDEX([1]Pivot!$AD$1:$BE$65000,$B894,E$5)=1,1,IF(INDEX([1]Pivot!$B$1:$AB$65000,$B894,E$5)="",2,0)),0)</f>
        <v>0</v>
      </c>
      <c r="F894" s="194">
        <f>IFERROR(IF(INDEX([1]Pivot!$AD$1:$BE$65000,$B894,F$5)=1,1,IF(INDEX([1]Pivot!$B$1:$AB$65000,$B894,F$5)="",2,0)),0)</f>
        <v>0</v>
      </c>
      <c r="G894" s="194">
        <f>IFERROR(IF(INDEX([1]Pivot!$AD$1:$BE$65000,$B894,G$5)=1,1,IF(INDEX([1]Pivot!$B$1:$AB$65000,$B894,G$5)="",2,0)),0)</f>
        <v>0</v>
      </c>
      <c r="H894" s="194">
        <f>IFERROR(IF(INDEX([1]Pivot!$AD$1:$BE$65000,$B894,H$5)=1,1,IF(INDEX([1]Pivot!$B$1:$AB$65000,$B894,H$5)="",2,0)),0)</f>
        <v>0</v>
      </c>
      <c r="I894" s="194">
        <f>IFERROR(IF(INDEX([1]Pivot!$AD$1:$BE$65000,$B894,I$5)=1,1,IF(INDEX([1]Pivot!$B$1:$AB$65000,$B894,I$5)="",2,0)),0)</f>
        <v>0</v>
      </c>
      <c r="J894" s="194">
        <f>IFERROR(IF(INDEX([1]Pivot!$AD$1:$BE$65000,$B894,J$5)=1,1,IF(INDEX([1]Pivot!$B$1:$AB$65000,$B894,J$5)="",2,0)),0)</f>
        <v>0</v>
      </c>
      <c r="K894" s="194">
        <f>IFERROR(IF(INDEX([1]Pivot!$AD$1:$BE$65000,$B894,K$5)=1,1,IF(INDEX([1]Pivot!$B$1:$AB$65000,$B894,K$5)="",2,0)),0)</f>
        <v>0</v>
      </c>
      <c r="L894" s="194">
        <f>IFERROR(IF(INDEX([1]Pivot!$AD$1:$BE$65000,$B894,L$5)=1,1,IF(INDEX([1]Pivot!$B$1:$AB$65000,$B894,L$5)="",2,0)),0)</f>
        <v>0</v>
      </c>
      <c r="M894" s="194">
        <f>IFERROR(IF(INDEX([1]Pivot!$AD$1:$BE$65000,$B894,M$5)=1,1,IF(INDEX([1]Pivot!$B$1:$AB$65000,$B894,M$5)="",2,0)),0)</f>
        <v>0</v>
      </c>
      <c r="N894" s="194">
        <f>IFERROR(IF(INDEX([1]Pivot!$AD$1:$BE$65000,$B894,N$5)=1,1,IF(INDEX([1]Pivot!$B$1:$AB$65000,$B894,N$5)="",2,0)),0)</f>
        <v>0</v>
      </c>
      <c r="O894" s="194">
        <f>IFERROR(IF(INDEX([1]Pivot!$AD$1:$BE$65000,$B894,O$5)=1,1,IF(INDEX([1]Pivot!$B$1:$AB$65000,$B894,O$5)="",2,0)),0)</f>
        <v>0</v>
      </c>
      <c r="P894" s="194">
        <f>IFERROR(IF(INDEX([1]Pivot!$AD$1:$BE$65000,$B894,P$5)=1,1,IF(INDEX([1]Pivot!$B$1:$AB$65000,$B894,P$5)="",2,0)),0)</f>
        <v>0</v>
      </c>
      <c r="Q894" s="194">
        <f>IFERROR(IF(INDEX([1]Pivot!$AD$1:$BE$65000,$B894,Q$5)=1,1,IF(INDEX([1]Pivot!$B$1:$AB$65000,$B894,Q$5)="",2,0)),0)</f>
        <v>0</v>
      </c>
      <c r="R894" s="312"/>
      <c r="S894" s="194">
        <f>IFERROR(IF(INDEX([1]Pivot!$AD$1:$BE$65000,$B894,S$5)=1,1,IF(INDEX([1]Pivot!$B$1:$AB$65000,$B894,S$5)="",2,0)),0)</f>
        <v>0</v>
      </c>
      <c r="T894" s="194">
        <f>IFERROR(IF(INDEX([1]Pivot!$AD$1:$BE$65000,$B894,T$5)=1,1,IF(INDEX([1]Pivot!$B$1:$AB$65000,$B894,T$5)="",2,0)),0)</f>
        <v>0</v>
      </c>
      <c r="U894" s="194">
        <f>IFERROR(IF(INDEX([1]Pivot!$AD$1:$BE$65000,$B894,U$5)=1,1,IF(INDEX([1]Pivot!$B$1:$AB$65000,$B894,U$5)="",2,0)),0)</f>
        <v>0</v>
      </c>
      <c r="V894" s="194">
        <f>IFERROR(IF(INDEX([1]Pivot!$AD$1:$BE$65000,$B894,V$5)=1,1,IF(INDEX([1]Pivot!$B$1:$AB$65000,$B894,V$5)="",2,0)),0)</f>
        <v>0</v>
      </c>
      <c r="W894" s="194">
        <f>IFERROR(IF(INDEX([1]Pivot!$AD$1:$BE$65000,$B894,W$5)=1,1,IF(INDEX([1]Pivot!$B$1:$AB$65000,$B894,W$5)="",2,0)),0)</f>
        <v>0</v>
      </c>
      <c r="X894" s="194">
        <f>IFERROR(IF(INDEX([1]Pivot!$AD$1:$BE$65000,$B894,X$5)=1,1,IF(INDEX([1]Pivot!$B$1:$AB$65000,$B894,X$5)="",2,0)),0)</f>
        <v>0</v>
      </c>
      <c r="Y894" s="194">
        <f>IFERROR(IF(INDEX([1]Pivot!$AD$1:$BE$65000,$B894,Y$5)=1,1,IF(INDEX([1]Pivot!$B$1:$AB$65000,$B894,Y$5)="",2,0)),0)</f>
        <v>0</v>
      </c>
      <c r="Z894" s="194">
        <f>IFERROR(IF(INDEX([1]Pivot!$AD$1:$BE$65000,$B894,Z$5)=1,1,IF(INDEX([1]Pivot!$B$1:$AB$65000,$B894,Z$5)="",2,0)),0)</f>
        <v>0</v>
      </c>
      <c r="AA894" s="194">
        <f>IFERROR(IF(INDEX([1]Pivot!$AD$1:$BE$65000,$B894,AA$5)=1,1,IF(INDEX([1]Pivot!$B$1:$AB$65000,$B894,AA$5)="",2,0)),0)</f>
        <v>0</v>
      </c>
      <c r="AB894" s="194">
        <f>IFERROR(IF(INDEX([1]Pivot!$AD$1:$BE$65000,$B894,AB$5)=1,1,IF(INDEX([1]Pivot!$B$1:$AB$65000,$B894,AB$5)="",2,0)),0)</f>
        <v>0</v>
      </c>
      <c r="AC894" s="194">
        <f>IFERROR(IF(INDEX([1]Pivot!$AD$1:$BE$65000,$B894,AC$5)=1,1,IF(INDEX([1]Pivot!$B$1:$AB$65000,$B894,AC$5)="",2,0)),0)</f>
        <v>0</v>
      </c>
      <c r="AD894" s="313">
        <f>IFERROR(IF(INDEX([1]Pivot!$BF$1:$CG$65000,$B894,AD$5)=1,1,IF(INDEX([1]Pivot!$B$1:$AB$65000,$B894,AD$5)="",2,0)),0)</f>
        <v>0</v>
      </c>
      <c r="AE894" s="313">
        <f>IFERROR(IF(INDEX([1]Pivot!$BF$1:$CG$65000,$B894,AE$5)=1,1,IF(INDEX([1]Pivot!$B$1:$AB$65000,$B894,AE$5)="",2,0)),0)</f>
        <v>0</v>
      </c>
      <c r="AF894" s="313">
        <f>IFERROR(IF(INDEX([1]Pivot!$BF$1:$CG$65000,$B894,AF$5)=1,1,IF(INDEX([1]Pivot!$B$1:$AB$65000,$B894,AF$5)="",2,0)),0)</f>
        <v>0</v>
      </c>
      <c r="AG894" s="313">
        <f>IFERROR(IF(INDEX([1]Pivot!$BF$1:$CG$65000,$B894,AG$5)=1,1,IF(INDEX([1]Pivot!$B$1:$AB$65000,$B894,AG$5)="",2,0)),0)</f>
        <v>0</v>
      </c>
      <c r="AH894" s="313">
        <f>IFERROR(IF(INDEX([1]Pivot!$BF$1:$CG$65000,$B894,AH$5)=1,1,IF(INDEX([1]Pivot!$B$1:$AB$65000,$B894,AH$5)="",2,0)),0)</f>
        <v>0</v>
      </c>
      <c r="AI894" s="313">
        <f>IFERROR(IF(INDEX([1]Pivot!$BF$1:$CG$65000,$B894,AI$5)=1,1,IF(INDEX([1]Pivot!$B$1:$AB$65000,$B894,AI$5)="",2,0)),0)</f>
        <v>0</v>
      </c>
      <c r="AJ894" s="313">
        <f>IFERROR(IF(INDEX([1]Pivot!$BF$1:$CG$65000,$B894,AJ$5)=1,1,IF(INDEX([1]Pivot!$B$1:$AB$65000,$B894,AJ$5)="",2,0)),0)</f>
        <v>0</v>
      </c>
      <c r="AK894" s="313">
        <f>IFERROR(IF(INDEX([1]Pivot!$BF$1:$CG$65000,$B894,AK$5)=1,1,IF(INDEX([1]Pivot!$B$1:$AB$65000,$B894,AK$5)="",2,0)),0)</f>
        <v>0</v>
      </c>
      <c r="AL894" s="313">
        <f>IFERROR(IF(INDEX([1]Pivot!$BF$1:$CG$65000,$B894,AL$5)=1,1,IF(INDEX([1]Pivot!$B$1:$AB$65000,$B894,AL$5)="",2,0)),0)</f>
        <v>0</v>
      </c>
      <c r="AM894" s="313">
        <f>IFERROR(IF(INDEX([1]Pivot!$BF$1:$CG$65000,$B894,AM$5)=1,1,IF(INDEX([1]Pivot!$B$1:$AB$65000,$B894,AM$5)="",2,0)),0)</f>
        <v>0</v>
      </c>
      <c r="AN894" s="313">
        <f>IFERROR(IF(INDEX([1]Pivot!$BF$1:$CG$65000,$B894,AN$5)=1,1,IF(INDEX([1]Pivot!$B$1:$AB$65000,$B894,AN$5)="",2,0)),0)</f>
        <v>0</v>
      </c>
      <c r="AO894" s="313">
        <f>IFERROR(IF(INDEX([1]Pivot!$BF$1:$CG$65000,$B894,AO$5)=1,1,IF(INDEX([1]Pivot!$B$1:$AB$65000,$B894,AO$5)="",2,0)),0)</f>
        <v>0</v>
      </c>
      <c r="AP894" s="313">
        <f>IFERROR(IF(INDEX([1]Pivot!$BF$1:$CG$65000,$B894,AP$5)=1,1,IF(INDEX([1]Pivot!$B$1:$AB$65000,$B894,AP$5)="",2,0)),0)</f>
        <v>0</v>
      </c>
      <c r="AQ894" s="313">
        <f>IFERROR(IF(INDEX([1]Pivot!$BF$1:$CG$65000,$B894,AQ$5)=1,1,IF(INDEX([1]Pivot!$B$1:$AB$65000,$B894,AQ$5)="",2,0)),0)</f>
        <v>0</v>
      </c>
      <c r="AR894" s="313">
        <f>IFERROR(IF(INDEX([1]Pivot!$BF$1:$CG$65000,$B894,AR$5)=1,1,IF(INDEX([1]Pivot!$B$1:$AB$65000,$B894,AR$5)="",2,0)),0)</f>
        <v>0</v>
      </c>
      <c r="AS894" s="312"/>
      <c r="AT894" s="313">
        <f>IFERROR(IF(INDEX([1]Pivot!$BF$1:$CG$65000,$B894,AT$5)=1,1,IF(INDEX([1]Pivot!$B$1:$AB$65000,$B894,AT$5)="",2,0)),0)</f>
        <v>0</v>
      </c>
      <c r="AU894" s="313">
        <f>IFERROR(IF(INDEX([1]Pivot!$BF$1:$CG$65000,$B894,AU$5)=1,1,IF(INDEX([1]Pivot!$B$1:$AB$65000,$B894,AU$5)="",2,0)),0)</f>
        <v>0</v>
      </c>
      <c r="AV894" s="313">
        <f>IFERROR(IF(INDEX([1]Pivot!$BF$1:$CG$65000,$B894,AV$5)=1,1,IF(INDEX([1]Pivot!$B$1:$AB$65000,$B894,AV$5)="",2,0)),0)</f>
        <v>0</v>
      </c>
      <c r="AW894" s="313">
        <f>IFERROR(IF(INDEX([1]Pivot!$BF$1:$CG$65000,$B894,AW$5)=1,1,IF(INDEX([1]Pivot!$B$1:$AB$65000,$B894,AW$5)="",2,0)),0)</f>
        <v>0</v>
      </c>
      <c r="AX894" s="313">
        <f>IFERROR(IF(INDEX([1]Pivot!$BF$1:$CG$65000,$B894,AX$5)=1,1,IF(INDEX([1]Pivot!$B$1:$AB$65000,$B894,AX$5)="",2,0)),0)</f>
        <v>0</v>
      </c>
      <c r="AY894" s="313">
        <f>IFERROR(IF(INDEX([1]Pivot!$BF$1:$CG$65000,$B894,AY$5)=1,1,IF(INDEX([1]Pivot!$B$1:$AB$65000,$B894,AY$5)="",2,0)),0)</f>
        <v>0</v>
      </c>
      <c r="AZ894" s="313">
        <f>IFERROR(IF(INDEX([1]Pivot!$BF$1:$CG$65000,$B894,AZ$5)=1,1,IF(INDEX([1]Pivot!$B$1:$AB$65000,$B894,AZ$5)="",2,0)),0)</f>
        <v>0</v>
      </c>
      <c r="BA894" s="313">
        <f>IFERROR(IF(INDEX([1]Pivot!$BF$1:$CG$65000,$B894,BA$5)=1,1,IF(INDEX([1]Pivot!$B$1:$AB$65000,$B894,BA$5)="",2,0)),0)</f>
        <v>0</v>
      </c>
      <c r="BB894" s="313">
        <f>IFERROR(IF(INDEX([1]Pivot!$BF$1:$CG$65000,$B894,BB$5)=1,1,IF(INDEX([1]Pivot!$B$1:$AB$65000,$B894,BB$5)="",2,0)),0)</f>
        <v>0</v>
      </c>
      <c r="BC894" s="313">
        <f>IFERROR(IF(INDEX([1]Pivot!$BF$1:$CG$65000,$B894,BC$5)=1,1,IF(INDEX([1]Pivot!$B$1:$AB$65000,$B894,BC$5)="",2,0)),0)</f>
        <v>0</v>
      </c>
      <c r="BD894" s="313">
        <f>IFERROR(IF(INDEX([1]Pivot!$BF$1:$CG$65000,$B894,BD$5)=1,1,IF(INDEX([1]Pivot!$B$1:$AB$65000,$B894,BD$5)="",2,0)),0)</f>
        <v>0</v>
      </c>
    </row>
    <row r="895" spans="1:56" x14ac:dyDescent="0.25">
      <c r="A895" s="288">
        <f>'[2]Raw Milk Prices'!A895</f>
        <v>0</v>
      </c>
      <c r="B895" s="296" t="e">
        <f>MATCH(DATE(LEFT('[2]Raw Milk Prices'!$A895,4),RIGHT('[2]Raw Milk Prices'!$A895,2),1),[1]Pivot!$A$1:$A$65000,0)</f>
        <v>#VALUE!</v>
      </c>
      <c r="C895" s="194">
        <f>IFERROR(IF(INDEX([1]Pivot!$AD$1:$BE$65000,$B895,C$5)=1,1,IF(INDEX([1]Pivot!$B$1:$AB$65000,$B895,C$5)="",2,0)),0)</f>
        <v>0</v>
      </c>
      <c r="D895" s="194">
        <f>IFERROR(IF(INDEX([1]Pivot!$AD$1:$BE$65000,$B895,D$5)=1,1,IF(INDEX([1]Pivot!$B$1:$AB$65000,$B895,D$5)="",2,0)),0)</f>
        <v>0</v>
      </c>
      <c r="E895" s="194">
        <f>IFERROR(IF(INDEX([1]Pivot!$AD$1:$BE$65000,$B895,E$5)=1,1,IF(INDEX([1]Pivot!$B$1:$AB$65000,$B895,E$5)="",2,0)),0)</f>
        <v>0</v>
      </c>
      <c r="F895" s="194">
        <f>IFERROR(IF(INDEX([1]Pivot!$AD$1:$BE$65000,$B895,F$5)=1,1,IF(INDEX([1]Pivot!$B$1:$AB$65000,$B895,F$5)="",2,0)),0)</f>
        <v>0</v>
      </c>
      <c r="G895" s="194">
        <f>IFERROR(IF(INDEX([1]Pivot!$AD$1:$BE$65000,$B895,G$5)=1,1,IF(INDEX([1]Pivot!$B$1:$AB$65000,$B895,G$5)="",2,0)),0)</f>
        <v>0</v>
      </c>
      <c r="H895" s="194">
        <f>IFERROR(IF(INDEX([1]Pivot!$AD$1:$BE$65000,$B895,H$5)=1,1,IF(INDEX([1]Pivot!$B$1:$AB$65000,$B895,H$5)="",2,0)),0)</f>
        <v>0</v>
      </c>
      <c r="I895" s="194">
        <f>IFERROR(IF(INDEX([1]Pivot!$AD$1:$BE$65000,$B895,I$5)=1,1,IF(INDEX([1]Pivot!$B$1:$AB$65000,$B895,I$5)="",2,0)),0)</f>
        <v>0</v>
      </c>
      <c r="J895" s="194">
        <f>IFERROR(IF(INDEX([1]Pivot!$AD$1:$BE$65000,$B895,J$5)=1,1,IF(INDEX([1]Pivot!$B$1:$AB$65000,$B895,J$5)="",2,0)),0)</f>
        <v>0</v>
      </c>
      <c r="K895" s="194">
        <f>IFERROR(IF(INDEX([1]Pivot!$AD$1:$BE$65000,$B895,K$5)=1,1,IF(INDEX([1]Pivot!$B$1:$AB$65000,$B895,K$5)="",2,0)),0)</f>
        <v>0</v>
      </c>
      <c r="L895" s="194">
        <f>IFERROR(IF(INDEX([1]Pivot!$AD$1:$BE$65000,$B895,L$5)=1,1,IF(INDEX([1]Pivot!$B$1:$AB$65000,$B895,L$5)="",2,0)),0)</f>
        <v>0</v>
      </c>
      <c r="M895" s="194">
        <f>IFERROR(IF(INDEX([1]Pivot!$AD$1:$BE$65000,$B895,M$5)=1,1,IF(INDEX([1]Pivot!$B$1:$AB$65000,$B895,M$5)="",2,0)),0)</f>
        <v>0</v>
      </c>
      <c r="N895" s="194">
        <f>IFERROR(IF(INDEX([1]Pivot!$AD$1:$BE$65000,$B895,N$5)=1,1,IF(INDEX([1]Pivot!$B$1:$AB$65000,$B895,N$5)="",2,0)),0)</f>
        <v>0</v>
      </c>
      <c r="O895" s="194">
        <f>IFERROR(IF(INDEX([1]Pivot!$AD$1:$BE$65000,$B895,O$5)=1,1,IF(INDEX([1]Pivot!$B$1:$AB$65000,$B895,O$5)="",2,0)),0)</f>
        <v>0</v>
      </c>
      <c r="P895" s="194">
        <f>IFERROR(IF(INDEX([1]Pivot!$AD$1:$BE$65000,$B895,P$5)=1,1,IF(INDEX([1]Pivot!$B$1:$AB$65000,$B895,P$5)="",2,0)),0)</f>
        <v>0</v>
      </c>
      <c r="Q895" s="194">
        <f>IFERROR(IF(INDEX([1]Pivot!$AD$1:$BE$65000,$B895,Q$5)=1,1,IF(INDEX([1]Pivot!$B$1:$AB$65000,$B895,Q$5)="",2,0)),0)</f>
        <v>0</v>
      </c>
      <c r="R895" s="312"/>
      <c r="S895" s="194">
        <f>IFERROR(IF(INDEX([1]Pivot!$AD$1:$BE$65000,$B895,S$5)=1,1,IF(INDEX([1]Pivot!$B$1:$AB$65000,$B895,S$5)="",2,0)),0)</f>
        <v>0</v>
      </c>
      <c r="T895" s="194">
        <f>IFERROR(IF(INDEX([1]Pivot!$AD$1:$BE$65000,$B895,T$5)=1,1,IF(INDEX([1]Pivot!$B$1:$AB$65000,$B895,T$5)="",2,0)),0)</f>
        <v>0</v>
      </c>
      <c r="U895" s="194">
        <f>IFERROR(IF(INDEX([1]Pivot!$AD$1:$BE$65000,$B895,U$5)=1,1,IF(INDEX([1]Pivot!$B$1:$AB$65000,$B895,U$5)="",2,0)),0)</f>
        <v>0</v>
      </c>
      <c r="V895" s="194">
        <f>IFERROR(IF(INDEX([1]Pivot!$AD$1:$BE$65000,$B895,V$5)=1,1,IF(INDEX([1]Pivot!$B$1:$AB$65000,$B895,V$5)="",2,0)),0)</f>
        <v>0</v>
      </c>
      <c r="W895" s="194">
        <f>IFERROR(IF(INDEX([1]Pivot!$AD$1:$BE$65000,$B895,W$5)=1,1,IF(INDEX([1]Pivot!$B$1:$AB$65000,$B895,W$5)="",2,0)),0)</f>
        <v>0</v>
      </c>
      <c r="X895" s="194">
        <f>IFERROR(IF(INDEX([1]Pivot!$AD$1:$BE$65000,$B895,X$5)=1,1,IF(INDEX([1]Pivot!$B$1:$AB$65000,$B895,X$5)="",2,0)),0)</f>
        <v>0</v>
      </c>
      <c r="Y895" s="194">
        <f>IFERROR(IF(INDEX([1]Pivot!$AD$1:$BE$65000,$B895,Y$5)=1,1,IF(INDEX([1]Pivot!$B$1:$AB$65000,$B895,Y$5)="",2,0)),0)</f>
        <v>0</v>
      </c>
      <c r="Z895" s="194">
        <f>IFERROR(IF(INDEX([1]Pivot!$AD$1:$BE$65000,$B895,Z$5)=1,1,IF(INDEX([1]Pivot!$B$1:$AB$65000,$B895,Z$5)="",2,0)),0)</f>
        <v>0</v>
      </c>
      <c r="AA895" s="194">
        <f>IFERROR(IF(INDEX([1]Pivot!$AD$1:$BE$65000,$B895,AA$5)=1,1,IF(INDEX([1]Pivot!$B$1:$AB$65000,$B895,AA$5)="",2,0)),0)</f>
        <v>0</v>
      </c>
      <c r="AB895" s="194">
        <f>IFERROR(IF(INDEX([1]Pivot!$AD$1:$BE$65000,$B895,AB$5)=1,1,IF(INDEX([1]Pivot!$B$1:$AB$65000,$B895,AB$5)="",2,0)),0)</f>
        <v>0</v>
      </c>
      <c r="AC895" s="194">
        <f>IFERROR(IF(INDEX([1]Pivot!$AD$1:$BE$65000,$B895,AC$5)=1,1,IF(INDEX([1]Pivot!$B$1:$AB$65000,$B895,AC$5)="",2,0)),0)</f>
        <v>0</v>
      </c>
      <c r="AD895" s="313">
        <f>IFERROR(IF(INDEX([1]Pivot!$BF$1:$CG$65000,$B895,AD$5)=1,1,IF(INDEX([1]Pivot!$B$1:$AB$65000,$B895,AD$5)="",2,0)),0)</f>
        <v>0</v>
      </c>
      <c r="AE895" s="313">
        <f>IFERROR(IF(INDEX([1]Pivot!$BF$1:$CG$65000,$B895,AE$5)=1,1,IF(INDEX([1]Pivot!$B$1:$AB$65000,$B895,AE$5)="",2,0)),0)</f>
        <v>0</v>
      </c>
      <c r="AF895" s="313">
        <f>IFERROR(IF(INDEX([1]Pivot!$BF$1:$CG$65000,$B895,AF$5)=1,1,IF(INDEX([1]Pivot!$B$1:$AB$65000,$B895,AF$5)="",2,0)),0)</f>
        <v>0</v>
      </c>
      <c r="AG895" s="313">
        <f>IFERROR(IF(INDEX([1]Pivot!$BF$1:$CG$65000,$B895,AG$5)=1,1,IF(INDEX([1]Pivot!$B$1:$AB$65000,$B895,AG$5)="",2,0)),0)</f>
        <v>0</v>
      </c>
      <c r="AH895" s="313">
        <f>IFERROR(IF(INDEX([1]Pivot!$BF$1:$CG$65000,$B895,AH$5)=1,1,IF(INDEX([1]Pivot!$B$1:$AB$65000,$B895,AH$5)="",2,0)),0)</f>
        <v>0</v>
      </c>
      <c r="AI895" s="313">
        <f>IFERROR(IF(INDEX([1]Pivot!$BF$1:$CG$65000,$B895,AI$5)=1,1,IF(INDEX([1]Pivot!$B$1:$AB$65000,$B895,AI$5)="",2,0)),0)</f>
        <v>0</v>
      </c>
      <c r="AJ895" s="313">
        <f>IFERROR(IF(INDEX([1]Pivot!$BF$1:$CG$65000,$B895,AJ$5)=1,1,IF(INDEX([1]Pivot!$B$1:$AB$65000,$B895,AJ$5)="",2,0)),0)</f>
        <v>0</v>
      </c>
      <c r="AK895" s="313">
        <f>IFERROR(IF(INDEX([1]Pivot!$BF$1:$CG$65000,$B895,AK$5)=1,1,IF(INDEX([1]Pivot!$B$1:$AB$65000,$B895,AK$5)="",2,0)),0)</f>
        <v>0</v>
      </c>
      <c r="AL895" s="313">
        <f>IFERROR(IF(INDEX([1]Pivot!$BF$1:$CG$65000,$B895,AL$5)=1,1,IF(INDEX([1]Pivot!$B$1:$AB$65000,$B895,AL$5)="",2,0)),0)</f>
        <v>0</v>
      </c>
      <c r="AM895" s="313">
        <f>IFERROR(IF(INDEX([1]Pivot!$BF$1:$CG$65000,$B895,AM$5)=1,1,IF(INDEX([1]Pivot!$B$1:$AB$65000,$B895,AM$5)="",2,0)),0)</f>
        <v>0</v>
      </c>
      <c r="AN895" s="313">
        <f>IFERROR(IF(INDEX([1]Pivot!$BF$1:$CG$65000,$B895,AN$5)=1,1,IF(INDEX([1]Pivot!$B$1:$AB$65000,$B895,AN$5)="",2,0)),0)</f>
        <v>0</v>
      </c>
      <c r="AO895" s="313">
        <f>IFERROR(IF(INDEX([1]Pivot!$BF$1:$CG$65000,$B895,AO$5)=1,1,IF(INDEX([1]Pivot!$B$1:$AB$65000,$B895,AO$5)="",2,0)),0)</f>
        <v>0</v>
      </c>
      <c r="AP895" s="313">
        <f>IFERROR(IF(INDEX([1]Pivot!$BF$1:$CG$65000,$B895,AP$5)=1,1,IF(INDEX([1]Pivot!$B$1:$AB$65000,$B895,AP$5)="",2,0)),0)</f>
        <v>0</v>
      </c>
      <c r="AQ895" s="313">
        <f>IFERROR(IF(INDEX([1]Pivot!$BF$1:$CG$65000,$B895,AQ$5)=1,1,IF(INDEX([1]Pivot!$B$1:$AB$65000,$B895,AQ$5)="",2,0)),0)</f>
        <v>0</v>
      </c>
      <c r="AR895" s="313">
        <f>IFERROR(IF(INDEX([1]Pivot!$BF$1:$CG$65000,$B895,AR$5)=1,1,IF(INDEX([1]Pivot!$B$1:$AB$65000,$B895,AR$5)="",2,0)),0)</f>
        <v>0</v>
      </c>
      <c r="AS895" s="312"/>
      <c r="AT895" s="313">
        <f>IFERROR(IF(INDEX([1]Pivot!$BF$1:$CG$65000,$B895,AT$5)=1,1,IF(INDEX([1]Pivot!$B$1:$AB$65000,$B895,AT$5)="",2,0)),0)</f>
        <v>0</v>
      </c>
      <c r="AU895" s="313">
        <f>IFERROR(IF(INDEX([1]Pivot!$BF$1:$CG$65000,$B895,AU$5)=1,1,IF(INDEX([1]Pivot!$B$1:$AB$65000,$B895,AU$5)="",2,0)),0)</f>
        <v>0</v>
      </c>
      <c r="AV895" s="313">
        <f>IFERROR(IF(INDEX([1]Pivot!$BF$1:$CG$65000,$B895,AV$5)=1,1,IF(INDEX([1]Pivot!$B$1:$AB$65000,$B895,AV$5)="",2,0)),0)</f>
        <v>0</v>
      </c>
      <c r="AW895" s="313">
        <f>IFERROR(IF(INDEX([1]Pivot!$BF$1:$CG$65000,$B895,AW$5)=1,1,IF(INDEX([1]Pivot!$B$1:$AB$65000,$B895,AW$5)="",2,0)),0)</f>
        <v>0</v>
      </c>
      <c r="AX895" s="313">
        <f>IFERROR(IF(INDEX([1]Pivot!$BF$1:$CG$65000,$B895,AX$5)=1,1,IF(INDEX([1]Pivot!$B$1:$AB$65000,$B895,AX$5)="",2,0)),0)</f>
        <v>0</v>
      </c>
      <c r="AY895" s="313">
        <f>IFERROR(IF(INDEX([1]Pivot!$BF$1:$CG$65000,$B895,AY$5)=1,1,IF(INDEX([1]Pivot!$B$1:$AB$65000,$B895,AY$5)="",2,0)),0)</f>
        <v>0</v>
      </c>
      <c r="AZ895" s="313">
        <f>IFERROR(IF(INDEX([1]Pivot!$BF$1:$CG$65000,$B895,AZ$5)=1,1,IF(INDEX([1]Pivot!$B$1:$AB$65000,$B895,AZ$5)="",2,0)),0)</f>
        <v>0</v>
      </c>
      <c r="BA895" s="313">
        <f>IFERROR(IF(INDEX([1]Pivot!$BF$1:$CG$65000,$B895,BA$5)=1,1,IF(INDEX([1]Pivot!$B$1:$AB$65000,$B895,BA$5)="",2,0)),0)</f>
        <v>0</v>
      </c>
      <c r="BB895" s="313">
        <f>IFERROR(IF(INDEX([1]Pivot!$BF$1:$CG$65000,$B895,BB$5)=1,1,IF(INDEX([1]Pivot!$B$1:$AB$65000,$B895,BB$5)="",2,0)),0)</f>
        <v>0</v>
      </c>
      <c r="BC895" s="313">
        <f>IFERROR(IF(INDEX([1]Pivot!$BF$1:$CG$65000,$B895,BC$5)=1,1,IF(INDEX([1]Pivot!$B$1:$AB$65000,$B895,BC$5)="",2,0)),0)</f>
        <v>0</v>
      </c>
      <c r="BD895" s="313">
        <f>IFERROR(IF(INDEX([1]Pivot!$BF$1:$CG$65000,$B895,BD$5)=1,1,IF(INDEX([1]Pivot!$B$1:$AB$65000,$B895,BD$5)="",2,0)),0)</f>
        <v>0</v>
      </c>
    </row>
    <row r="896" spans="1:56" x14ac:dyDescent="0.25">
      <c r="A896" s="288">
        <f>'[2]Raw Milk Prices'!A896</f>
        <v>0</v>
      </c>
      <c r="B896" s="296" t="e">
        <f>MATCH(DATE(LEFT('[2]Raw Milk Prices'!$A896,4),RIGHT('[2]Raw Milk Prices'!$A896,2),1),[1]Pivot!$A$1:$A$65000,0)</f>
        <v>#VALUE!</v>
      </c>
      <c r="C896" s="194">
        <f>IFERROR(IF(INDEX([1]Pivot!$AD$1:$BE$65000,$B896,C$5)=1,1,IF(INDEX([1]Pivot!$B$1:$AB$65000,$B896,C$5)="",2,0)),0)</f>
        <v>0</v>
      </c>
      <c r="D896" s="194">
        <f>IFERROR(IF(INDEX([1]Pivot!$AD$1:$BE$65000,$B896,D$5)=1,1,IF(INDEX([1]Pivot!$B$1:$AB$65000,$B896,D$5)="",2,0)),0)</f>
        <v>0</v>
      </c>
      <c r="E896" s="194">
        <f>IFERROR(IF(INDEX([1]Pivot!$AD$1:$BE$65000,$B896,E$5)=1,1,IF(INDEX([1]Pivot!$B$1:$AB$65000,$B896,E$5)="",2,0)),0)</f>
        <v>0</v>
      </c>
      <c r="F896" s="194">
        <f>IFERROR(IF(INDEX([1]Pivot!$AD$1:$BE$65000,$B896,F$5)=1,1,IF(INDEX([1]Pivot!$B$1:$AB$65000,$B896,F$5)="",2,0)),0)</f>
        <v>0</v>
      </c>
      <c r="G896" s="194">
        <f>IFERROR(IF(INDEX([1]Pivot!$AD$1:$BE$65000,$B896,G$5)=1,1,IF(INDEX([1]Pivot!$B$1:$AB$65000,$B896,G$5)="",2,0)),0)</f>
        <v>0</v>
      </c>
      <c r="H896" s="194">
        <f>IFERROR(IF(INDEX([1]Pivot!$AD$1:$BE$65000,$B896,H$5)=1,1,IF(INDEX([1]Pivot!$B$1:$AB$65000,$B896,H$5)="",2,0)),0)</f>
        <v>0</v>
      </c>
      <c r="I896" s="194">
        <f>IFERROR(IF(INDEX([1]Pivot!$AD$1:$BE$65000,$B896,I$5)=1,1,IF(INDEX([1]Pivot!$B$1:$AB$65000,$B896,I$5)="",2,0)),0)</f>
        <v>0</v>
      </c>
      <c r="J896" s="194">
        <f>IFERROR(IF(INDEX([1]Pivot!$AD$1:$BE$65000,$B896,J$5)=1,1,IF(INDEX([1]Pivot!$B$1:$AB$65000,$B896,J$5)="",2,0)),0)</f>
        <v>0</v>
      </c>
      <c r="K896" s="194">
        <f>IFERROR(IF(INDEX([1]Pivot!$AD$1:$BE$65000,$B896,K$5)=1,1,IF(INDEX([1]Pivot!$B$1:$AB$65000,$B896,K$5)="",2,0)),0)</f>
        <v>0</v>
      </c>
      <c r="L896" s="194">
        <f>IFERROR(IF(INDEX([1]Pivot!$AD$1:$BE$65000,$B896,L$5)=1,1,IF(INDEX([1]Pivot!$B$1:$AB$65000,$B896,L$5)="",2,0)),0)</f>
        <v>0</v>
      </c>
      <c r="M896" s="194">
        <f>IFERROR(IF(INDEX([1]Pivot!$AD$1:$BE$65000,$B896,M$5)=1,1,IF(INDEX([1]Pivot!$B$1:$AB$65000,$B896,M$5)="",2,0)),0)</f>
        <v>0</v>
      </c>
      <c r="N896" s="194">
        <f>IFERROR(IF(INDEX([1]Pivot!$AD$1:$BE$65000,$B896,N$5)=1,1,IF(INDEX([1]Pivot!$B$1:$AB$65000,$B896,N$5)="",2,0)),0)</f>
        <v>0</v>
      </c>
      <c r="O896" s="194">
        <f>IFERROR(IF(INDEX([1]Pivot!$AD$1:$BE$65000,$B896,O$5)=1,1,IF(INDEX([1]Pivot!$B$1:$AB$65000,$B896,O$5)="",2,0)),0)</f>
        <v>0</v>
      </c>
      <c r="P896" s="194">
        <f>IFERROR(IF(INDEX([1]Pivot!$AD$1:$BE$65000,$B896,P$5)=1,1,IF(INDEX([1]Pivot!$B$1:$AB$65000,$B896,P$5)="",2,0)),0)</f>
        <v>0</v>
      </c>
      <c r="Q896" s="194">
        <f>IFERROR(IF(INDEX([1]Pivot!$AD$1:$BE$65000,$B896,Q$5)=1,1,IF(INDEX([1]Pivot!$B$1:$AB$65000,$B896,Q$5)="",2,0)),0)</f>
        <v>0</v>
      </c>
      <c r="R896" s="312"/>
      <c r="S896" s="194">
        <f>IFERROR(IF(INDEX([1]Pivot!$AD$1:$BE$65000,$B896,S$5)=1,1,IF(INDEX([1]Pivot!$B$1:$AB$65000,$B896,S$5)="",2,0)),0)</f>
        <v>0</v>
      </c>
      <c r="T896" s="194">
        <f>IFERROR(IF(INDEX([1]Pivot!$AD$1:$BE$65000,$B896,T$5)=1,1,IF(INDEX([1]Pivot!$B$1:$AB$65000,$B896,T$5)="",2,0)),0)</f>
        <v>0</v>
      </c>
      <c r="U896" s="194">
        <f>IFERROR(IF(INDEX([1]Pivot!$AD$1:$BE$65000,$B896,U$5)=1,1,IF(INDEX([1]Pivot!$B$1:$AB$65000,$B896,U$5)="",2,0)),0)</f>
        <v>0</v>
      </c>
      <c r="V896" s="194">
        <f>IFERROR(IF(INDEX([1]Pivot!$AD$1:$BE$65000,$B896,V$5)=1,1,IF(INDEX([1]Pivot!$B$1:$AB$65000,$B896,V$5)="",2,0)),0)</f>
        <v>0</v>
      </c>
      <c r="W896" s="194">
        <f>IFERROR(IF(INDEX([1]Pivot!$AD$1:$BE$65000,$B896,W$5)=1,1,IF(INDEX([1]Pivot!$B$1:$AB$65000,$B896,W$5)="",2,0)),0)</f>
        <v>0</v>
      </c>
      <c r="X896" s="194">
        <f>IFERROR(IF(INDEX([1]Pivot!$AD$1:$BE$65000,$B896,X$5)=1,1,IF(INDEX([1]Pivot!$B$1:$AB$65000,$B896,X$5)="",2,0)),0)</f>
        <v>0</v>
      </c>
      <c r="Y896" s="194">
        <f>IFERROR(IF(INDEX([1]Pivot!$AD$1:$BE$65000,$B896,Y$5)=1,1,IF(INDEX([1]Pivot!$B$1:$AB$65000,$B896,Y$5)="",2,0)),0)</f>
        <v>0</v>
      </c>
      <c r="Z896" s="194">
        <f>IFERROR(IF(INDEX([1]Pivot!$AD$1:$BE$65000,$B896,Z$5)=1,1,IF(INDEX([1]Pivot!$B$1:$AB$65000,$B896,Z$5)="",2,0)),0)</f>
        <v>0</v>
      </c>
      <c r="AA896" s="194">
        <f>IFERROR(IF(INDEX([1]Pivot!$AD$1:$BE$65000,$B896,AA$5)=1,1,IF(INDEX([1]Pivot!$B$1:$AB$65000,$B896,AA$5)="",2,0)),0)</f>
        <v>0</v>
      </c>
      <c r="AB896" s="194">
        <f>IFERROR(IF(INDEX([1]Pivot!$AD$1:$BE$65000,$B896,AB$5)=1,1,IF(INDEX([1]Pivot!$B$1:$AB$65000,$B896,AB$5)="",2,0)),0)</f>
        <v>0</v>
      </c>
      <c r="AC896" s="194">
        <f>IFERROR(IF(INDEX([1]Pivot!$AD$1:$BE$65000,$B896,AC$5)=1,1,IF(INDEX([1]Pivot!$B$1:$AB$65000,$B896,AC$5)="",2,0)),0)</f>
        <v>0</v>
      </c>
      <c r="AD896" s="313">
        <f>IFERROR(IF(INDEX([1]Pivot!$BF$1:$CG$65000,$B896,AD$5)=1,1,IF(INDEX([1]Pivot!$B$1:$AB$65000,$B896,AD$5)="",2,0)),0)</f>
        <v>0</v>
      </c>
      <c r="AE896" s="313">
        <f>IFERROR(IF(INDEX([1]Pivot!$BF$1:$CG$65000,$B896,AE$5)=1,1,IF(INDEX([1]Pivot!$B$1:$AB$65000,$B896,AE$5)="",2,0)),0)</f>
        <v>0</v>
      </c>
      <c r="AF896" s="313">
        <f>IFERROR(IF(INDEX([1]Pivot!$BF$1:$CG$65000,$B896,AF$5)=1,1,IF(INDEX([1]Pivot!$B$1:$AB$65000,$B896,AF$5)="",2,0)),0)</f>
        <v>0</v>
      </c>
      <c r="AG896" s="313">
        <f>IFERROR(IF(INDEX([1]Pivot!$BF$1:$CG$65000,$B896,AG$5)=1,1,IF(INDEX([1]Pivot!$B$1:$AB$65000,$B896,AG$5)="",2,0)),0)</f>
        <v>0</v>
      </c>
      <c r="AH896" s="313">
        <f>IFERROR(IF(INDEX([1]Pivot!$BF$1:$CG$65000,$B896,AH$5)=1,1,IF(INDEX([1]Pivot!$B$1:$AB$65000,$B896,AH$5)="",2,0)),0)</f>
        <v>0</v>
      </c>
      <c r="AI896" s="313">
        <f>IFERROR(IF(INDEX([1]Pivot!$BF$1:$CG$65000,$B896,AI$5)=1,1,IF(INDEX([1]Pivot!$B$1:$AB$65000,$B896,AI$5)="",2,0)),0)</f>
        <v>0</v>
      </c>
      <c r="AJ896" s="313">
        <f>IFERROR(IF(INDEX([1]Pivot!$BF$1:$CG$65000,$B896,AJ$5)=1,1,IF(INDEX([1]Pivot!$B$1:$AB$65000,$B896,AJ$5)="",2,0)),0)</f>
        <v>0</v>
      </c>
      <c r="AK896" s="313">
        <f>IFERROR(IF(INDEX([1]Pivot!$BF$1:$CG$65000,$B896,AK$5)=1,1,IF(INDEX([1]Pivot!$B$1:$AB$65000,$B896,AK$5)="",2,0)),0)</f>
        <v>0</v>
      </c>
      <c r="AL896" s="313">
        <f>IFERROR(IF(INDEX([1]Pivot!$BF$1:$CG$65000,$B896,AL$5)=1,1,IF(INDEX([1]Pivot!$B$1:$AB$65000,$B896,AL$5)="",2,0)),0)</f>
        <v>0</v>
      </c>
      <c r="AM896" s="313">
        <f>IFERROR(IF(INDEX([1]Pivot!$BF$1:$CG$65000,$B896,AM$5)=1,1,IF(INDEX([1]Pivot!$B$1:$AB$65000,$B896,AM$5)="",2,0)),0)</f>
        <v>0</v>
      </c>
      <c r="AN896" s="313">
        <f>IFERROR(IF(INDEX([1]Pivot!$BF$1:$CG$65000,$B896,AN$5)=1,1,IF(INDEX([1]Pivot!$B$1:$AB$65000,$B896,AN$5)="",2,0)),0)</f>
        <v>0</v>
      </c>
      <c r="AO896" s="313">
        <f>IFERROR(IF(INDEX([1]Pivot!$BF$1:$CG$65000,$B896,AO$5)=1,1,IF(INDEX([1]Pivot!$B$1:$AB$65000,$B896,AO$5)="",2,0)),0)</f>
        <v>0</v>
      </c>
      <c r="AP896" s="313">
        <f>IFERROR(IF(INDEX([1]Pivot!$BF$1:$CG$65000,$B896,AP$5)=1,1,IF(INDEX([1]Pivot!$B$1:$AB$65000,$B896,AP$5)="",2,0)),0)</f>
        <v>0</v>
      </c>
      <c r="AQ896" s="313">
        <f>IFERROR(IF(INDEX([1]Pivot!$BF$1:$CG$65000,$B896,AQ$5)=1,1,IF(INDEX([1]Pivot!$B$1:$AB$65000,$B896,AQ$5)="",2,0)),0)</f>
        <v>0</v>
      </c>
      <c r="AR896" s="313">
        <f>IFERROR(IF(INDEX([1]Pivot!$BF$1:$CG$65000,$B896,AR$5)=1,1,IF(INDEX([1]Pivot!$B$1:$AB$65000,$B896,AR$5)="",2,0)),0)</f>
        <v>0</v>
      </c>
      <c r="AS896" s="312"/>
      <c r="AT896" s="313">
        <f>IFERROR(IF(INDEX([1]Pivot!$BF$1:$CG$65000,$B896,AT$5)=1,1,IF(INDEX([1]Pivot!$B$1:$AB$65000,$B896,AT$5)="",2,0)),0)</f>
        <v>0</v>
      </c>
      <c r="AU896" s="313">
        <f>IFERROR(IF(INDEX([1]Pivot!$BF$1:$CG$65000,$B896,AU$5)=1,1,IF(INDEX([1]Pivot!$B$1:$AB$65000,$B896,AU$5)="",2,0)),0)</f>
        <v>0</v>
      </c>
      <c r="AV896" s="313">
        <f>IFERROR(IF(INDEX([1]Pivot!$BF$1:$CG$65000,$B896,AV$5)=1,1,IF(INDEX([1]Pivot!$B$1:$AB$65000,$B896,AV$5)="",2,0)),0)</f>
        <v>0</v>
      </c>
      <c r="AW896" s="313">
        <f>IFERROR(IF(INDEX([1]Pivot!$BF$1:$CG$65000,$B896,AW$5)=1,1,IF(INDEX([1]Pivot!$B$1:$AB$65000,$B896,AW$5)="",2,0)),0)</f>
        <v>0</v>
      </c>
      <c r="AX896" s="313">
        <f>IFERROR(IF(INDEX([1]Pivot!$BF$1:$CG$65000,$B896,AX$5)=1,1,IF(INDEX([1]Pivot!$B$1:$AB$65000,$B896,AX$5)="",2,0)),0)</f>
        <v>0</v>
      </c>
      <c r="AY896" s="313">
        <f>IFERROR(IF(INDEX([1]Pivot!$BF$1:$CG$65000,$B896,AY$5)=1,1,IF(INDEX([1]Pivot!$B$1:$AB$65000,$B896,AY$5)="",2,0)),0)</f>
        <v>0</v>
      </c>
      <c r="AZ896" s="313">
        <f>IFERROR(IF(INDEX([1]Pivot!$BF$1:$CG$65000,$B896,AZ$5)=1,1,IF(INDEX([1]Pivot!$B$1:$AB$65000,$B896,AZ$5)="",2,0)),0)</f>
        <v>0</v>
      </c>
      <c r="BA896" s="313">
        <f>IFERROR(IF(INDEX([1]Pivot!$BF$1:$CG$65000,$B896,BA$5)=1,1,IF(INDEX([1]Pivot!$B$1:$AB$65000,$B896,BA$5)="",2,0)),0)</f>
        <v>0</v>
      </c>
      <c r="BB896" s="313">
        <f>IFERROR(IF(INDEX([1]Pivot!$BF$1:$CG$65000,$B896,BB$5)=1,1,IF(INDEX([1]Pivot!$B$1:$AB$65000,$B896,BB$5)="",2,0)),0)</f>
        <v>0</v>
      </c>
      <c r="BC896" s="313">
        <f>IFERROR(IF(INDEX([1]Pivot!$BF$1:$CG$65000,$B896,BC$5)=1,1,IF(INDEX([1]Pivot!$B$1:$AB$65000,$B896,BC$5)="",2,0)),0)</f>
        <v>0</v>
      </c>
      <c r="BD896" s="313">
        <f>IFERROR(IF(INDEX([1]Pivot!$BF$1:$CG$65000,$B896,BD$5)=1,1,IF(INDEX([1]Pivot!$B$1:$AB$65000,$B896,BD$5)="",2,0)),0)</f>
        <v>0</v>
      </c>
    </row>
    <row r="897" spans="1:56" x14ac:dyDescent="0.25">
      <c r="A897" s="288">
        <f>'[2]Raw Milk Prices'!A897</f>
        <v>0</v>
      </c>
      <c r="B897" s="296" t="e">
        <f>MATCH(DATE(LEFT('[2]Raw Milk Prices'!$A897,4),RIGHT('[2]Raw Milk Prices'!$A897,2),1),[1]Pivot!$A$1:$A$65000,0)</f>
        <v>#VALUE!</v>
      </c>
      <c r="C897" s="194">
        <f>IFERROR(IF(INDEX([1]Pivot!$AD$1:$BE$65000,$B897,C$5)=1,1,IF(INDEX([1]Pivot!$B$1:$AB$65000,$B897,C$5)="",2,0)),0)</f>
        <v>0</v>
      </c>
      <c r="D897" s="194">
        <f>IFERROR(IF(INDEX([1]Pivot!$AD$1:$BE$65000,$B897,D$5)=1,1,IF(INDEX([1]Pivot!$B$1:$AB$65000,$B897,D$5)="",2,0)),0)</f>
        <v>0</v>
      </c>
      <c r="E897" s="194">
        <f>IFERROR(IF(INDEX([1]Pivot!$AD$1:$BE$65000,$B897,E$5)=1,1,IF(INDEX([1]Pivot!$B$1:$AB$65000,$B897,E$5)="",2,0)),0)</f>
        <v>0</v>
      </c>
      <c r="F897" s="194">
        <f>IFERROR(IF(INDEX([1]Pivot!$AD$1:$BE$65000,$B897,F$5)=1,1,IF(INDEX([1]Pivot!$B$1:$AB$65000,$B897,F$5)="",2,0)),0)</f>
        <v>0</v>
      </c>
      <c r="G897" s="194">
        <f>IFERROR(IF(INDEX([1]Pivot!$AD$1:$BE$65000,$B897,G$5)=1,1,IF(INDEX([1]Pivot!$B$1:$AB$65000,$B897,G$5)="",2,0)),0)</f>
        <v>0</v>
      </c>
      <c r="H897" s="194">
        <f>IFERROR(IF(INDEX([1]Pivot!$AD$1:$BE$65000,$B897,H$5)=1,1,IF(INDEX([1]Pivot!$B$1:$AB$65000,$B897,H$5)="",2,0)),0)</f>
        <v>0</v>
      </c>
      <c r="I897" s="194">
        <f>IFERROR(IF(INDEX([1]Pivot!$AD$1:$BE$65000,$B897,I$5)=1,1,IF(INDEX([1]Pivot!$B$1:$AB$65000,$B897,I$5)="",2,0)),0)</f>
        <v>0</v>
      </c>
      <c r="J897" s="194">
        <f>IFERROR(IF(INDEX([1]Pivot!$AD$1:$BE$65000,$B897,J$5)=1,1,IF(INDEX([1]Pivot!$B$1:$AB$65000,$B897,J$5)="",2,0)),0)</f>
        <v>0</v>
      </c>
      <c r="K897" s="194">
        <f>IFERROR(IF(INDEX([1]Pivot!$AD$1:$BE$65000,$B897,K$5)=1,1,IF(INDEX([1]Pivot!$B$1:$AB$65000,$B897,K$5)="",2,0)),0)</f>
        <v>0</v>
      </c>
      <c r="L897" s="194">
        <f>IFERROR(IF(INDEX([1]Pivot!$AD$1:$BE$65000,$B897,L$5)=1,1,IF(INDEX([1]Pivot!$B$1:$AB$65000,$B897,L$5)="",2,0)),0)</f>
        <v>0</v>
      </c>
      <c r="M897" s="194">
        <f>IFERROR(IF(INDEX([1]Pivot!$AD$1:$BE$65000,$B897,M$5)=1,1,IF(INDEX([1]Pivot!$B$1:$AB$65000,$B897,M$5)="",2,0)),0)</f>
        <v>0</v>
      </c>
      <c r="N897" s="194">
        <f>IFERROR(IF(INDEX([1]Pivot!$AD$1:$BE$65000,$B897,N$5)=1,1,IF(INDEX([1]Pivot!$B$1:$AB$65000,$B897,N$5)="",2,0)),0)</f>
        <v>0</v>
      </c>
      <c r="O897" s="194">
        <f>IFERROR(IF(INDEX([1]Pivot!$AD$1:$BE$65000,$B897,O$5)=1,1,IF(INDEX([1]Pivot!$B$1:$AB$65000,$B897,O$5)="",2,0)),0)</f>
        <v>0</v>
      </c>
      <c r="P897" s="194">
        <f>IFERROR(IF(INDEX([1]Pivot!$AD$1:$BE$65000,$B897,P$5)=1,1,IF(INDEX([1]Pivot!$B$1:$AB$65000,$B897,P$5)="",2,0)),0)</f>
        <v>0</v>
      </c>
      <c r="Q897" s="194">
        <f>IFERROR(IF(INDEX([1]Pivot!$AD$1:$BE$65000,$B897,Q$5)=1,1,IF(INDEX([1]Pivot!$B$1:$AB$65000,$B897,Q$5)="",2,0)),0)</f>
        <v>0</v>
      </c>
      <c r="R897" s="312"/>
      <c r="S897" s="194">
        <f>IFERROR(IF(INDEX([1]Pivot!$AD$1:$BE$65000,$B897,S$5)=1,1,IF(INDEX([1]Pivot!$B$1:$AB$65000,$B897,S$5)="",2,0)),0)</f>
        <v>0</v>
      </c>
      <c r="T897" s="194">
        <f>IFERROR(IF(INDEX([1]Pivot!$AD$1:$BE$65000,$B897,T$5)=1,1,IF(INDEX([1]Pivot!$B$1:$AB$65000,$B897,T$5)="",2,0)),0)</f>
        <v>0</v>
      </c>
      <c r="U897" s="194">
        <f>IFERROR(IF(INDEX([1]Pivot!$AD$1:$BE$65000,$B897,U$5)=1,1,IF(INDEX([1]Pivot!$B$1:$AB$65000,$B897,U$5)="",2,0)),0)</f>
        <v>0</v>
      </c>
      <c r="V897" s="194">
        <f>IFERROR(IF(INDEX([1]Pivot!$AD$1:$BE$65000,$B897,V$5)=1,1,IF(INDEX([1]Pivot!$B$1:$AB$65000,$B897,V$5)="",2,0)),0)</f>
        <v>0</v>
      </c>
      <c r="W897" s="194">
        <f>IFERROR(IF(INDEX([1]Pivot!$AD$1:$BE$65000,$B897,W$5)=1,1,IF(INDEX([1]Pivot!$B$1:$AB$65000,$B897,W$5)="",2,0)),0)</f>
        <v>0</v>
      </c>
      <c r="X897" s="194">
        <f>IFERROR(IF(INDEX([1]Pivot!$AD$1:$BE$65000,$B897,X$5)=1,1,IF(INDEX([1]Pivot!$B$1:$AB$65000,$B897,X$5)="",2,0)),0)</f>
        <v>0</v>
      </c>
      <c r="Y897" s="194">
        <f>IFERROR(IF(INDEX([1]Pivot!$AD$1:$BE$65000,$B897,Y$5)=1,1,IF(INDEX([1]Pivot!$B$1:$AB$65000,$B897,Y$5)="",2,0)),0)</f>
        <v>0</v>
      </c>
      <c r="Z897" s="194">
        <f>IFERROR(IF(INDEX([1]Pivot!$AD$1:$BE$65000,$B897,Z$5)=1,1,IF(INDEX([1]Pivot!$B$1:$AB$65000,$B897,Z$5)="",2,0)),0)</f>
        <v>0</v>
      </c>
      <c r="AA897" s="194">
        <f>IFERROR(IF(INDEX([1]Pivot!$AD$1:$BE$65000,$B897,AA$5)=1,1,IF(INDEX([1]Pivot!$B$1:$AB$65000,$B897,AA$5)="",2,0)),0)</f>
        <v>0</v>
      </c>
      <c r="AB897" s="194">
        <f>IFERROR(IF(INDEX([1]Pivot!$AD$1:$BE$65000,$B897,AB$5)=1,1,IF(INDEX([1]Pivot!$B$1:$AB$65000,$B897,AB$5)="",2,0)),0)</f>
        <v>0</v>
      </c>
      <c r="AC897" s="194">
        <f>IFERROR(IF(INDEX([1]Pivot!$AD$1:$BE$65000,$B897,AC$5)=1,1,IF(INDEX([1]Pivot!$B$1:$AB$65000,$B897,AC$5)="",2,0)),0)</f>
        <v>0</v>
      </c>
      <c r="AD897" s="313">
        <f>IFERROR(IF(INDEX([1]Pivot!$BF$1:$CG$65000,$B897,AD$5)=1,1,IF(INDEX([1]Pivot!$B$1:$AB$65000,$B897,AD$5)="",2,0)),0)</f>
        <v>0</v>
      </c>
      <c r="AE897" s="313">
        <f>IFERROR(IF(INDEX([1]Pivot!$BF$1:$CG$65000,$B897,AE$5)=1,1,IF(INDEX([1]Pivot!$B$1:$AB$65000,$B897,AE$5)="",2,0)),0)</f>
        <v>0</v>
      </c>
      <c r="AF897" s="313">
        <f>IFERROR(IF(INDEX([1]Pivot!$BF$1:$CG$65000,$B897,AF$5)=1,1,IF(INDEX([1]Pivot!$B$1:$AB$65000,$B897,AF$5)="",2,0)),0)</f>
        <v>0</v>
      </c>
      <c r="AG897" s="313">
        <f>IFERROR(IF(INDEX([1]Pivot!$BF$1:$CG$65000,$B897,AG$5)=1,1,IF(INDEX([1]Pivot!$B$1:$AB$65000,$B897,AG$5)="",2,0)),0)</f>
        <v>0</v>
      </c>
      <c r="AH897" s="313">
        <f>IFERROR(IF(INDEX([1]Pivot!$BF$1:$CG$65000,$B897,AH$5)=1,1,IF(INDEX([1]Pivot!$B$1:$AB$65000,$B897,AH$5)="",2,0)),0)</f>
        <v>0</v>
      </c>
      <c r="AI897" s="313">
        <f>IFERROR(IF(INDEX([1]Pivot!$BF$1:$CG$65000,$B897,AI$5)=1,1,IF(INDEX([1]Pivot!$B$1:$AB$65000,$B897,AI$5)="",2,0)),0)</f>
        <v>0</v>
      </c>
      <c r="AJ897" s="313">
        <f>IFERROR(IF(INDEX([1]Pivot!$BF$1:$CG$65000,$B897,AJ$5)=1,1,IF(INDEX([1]Pivot!$B$1:$AB$65000,$B897,AJ$5)="",2,0)),0)</f>
        <v>0</v>
      </c>
      <c r="AK897" s="313">
        <f>IFERROR(IF(INDEX([1]Pivot!$BF$1:$CG$65000,$B897,AK$5)=1,1,IF(INDEX([1]Pivot!$B$1:$AB$65000,$B897,AK$5)="",2,0)),0)</f>
        <v>0</v>
      </c>
      <c r="AL897" s="313">
        <f>IFERROR(IF(INDEX([1]Pivot!$BF$1:$CG$65000,$B897,AL$5)=1,1,IF(INDEX([1]Pivot!$B$1:$AB$65000,$B897,AL$5)="",2,0)),0)</f>
        <v>0</v>
      </c>
      <c r="AM897" s="313">
        <f>IFERROR(IF(INDEX([1]Pivot!$BF$1:$CG$65000,$B897,AM$5)=1,1,IF(INDEX([1]Pivot!$B$1:$AB$65000,$B897,AM$5)="",2,0)),0)</f>
        <v>0</v>
      </c>
      <c r="AN897" s="313">
        <f>IFERROR(IF(INDEX([1]Pivot!$BF$1:$CG$65000,$B897,AN$5)=1,1,IF(INDEX([1]Pivot!$B$1:$AB$65000,$B897,AN$5)="",2,0)),0)</f>
        <v>0</v>
      </c>
      <c r="AO897" s="313">
        <f>IFERROR(IF(INDEX([1]Pivot!$BF$1:$CG$65000,$B897,AO$5)=1,1,IF(INDEX([1]Pivot!$B$1:$AB$65000,$B897,AO$5)="",2,0)),0)</f>
        <v>0</v>
      </c>
      <c r="AP897" s="313">
        <f>IFERROR(IF(INDEX([1]Pivot!$BF$1:$CG$65000,$B897,AP$5)=1,1,IF(INDEX([1]Pivot!$B$1:$AB$65000,$B897,AP$5)="",2,0)),0)</f>
        <v>0</v>
      </c>
      <c r="AQ897" s="313">
        <f>IFERROR(IF(INDEX([1]Pivot!$BF$1:$CG$65000,$B897,AQ$5)=1,1,IF(INDEX([1]Pivot!$B$1:$AB$65000,$B897,AQ$5)="",2,0)),0)</f>
        <v>0</v>
      </c>
      <c r="AR897" s="313">
        <f>IFERROR(IF(INDEX([1]Pivot!$BF$1:$CG$65000,$B897,AR$5)=1,1,IF(INDEX([1]Pivot!$B$1:$AB$65000,$B897,AR$5)="",2,0)),0)</f>
        <v>0</v>
      </c>
      <c r="AS897" s="312"/>
      <c r="AT897" s="313">
        <f>IFERROR(IF(INDEX([1]Pivot!$BF$1:$CG$65000,$B897,AT$5)=1,1,IF(INDEX([1]Pivot!$B$1:$AB$65000,$B897,AT$5)="",2,0)),0)</f>
        <v>0</v>
      </c>
      <c r="AU897" s="313">
        <f>IFERROR(IF(INDEX([1]Pivot!$BF$1:$CG$65000,$B897,AU$5)=1,1,IF(INDEX([1]Pivot!$B$1:$AB$65000,$B897,AU$5)="",2,0)),0)</f>
        <v>0</v>
      </c>
      <c r="AV897" s="313">
        <f>IFERROR(IF(INDEX([1]Pivot!$BF$1:$CG$65000,$B897,AV$5)=1,1,IF(INDEX([1]Pivot!$B$1:$AB$65000,$B897,AV$5)="",2,0)),0)</f>
        <v>0</v>
      </c>
      <c r="AW897" s="313">
        <f>IFERROR(IF(INDEX([1]Pivot!$BF$1:$CG$65000,$B897,AW$5)=1,1,IF(INDEX([1]Pivot!$B$1:$AB$65000,$B897,AW$5)="",2,0)),0)</f>
        <v>0</v>
      </c>
      <c r="AX897" s="313">
        <f>IFERROR(IF(INDEX([1]Pivot!$BF$1:$CG$65000,$B897,AX$5)=1,1,IF(INDEX([1]Pivot!$B$1:$AB$65000,$B897,AX$5)="",2,0)),0)</f>
        <v>0</v>
      </c>
      <c r="AY897" s="313">
        <f>IFERROR(IF(INDEX([1]Pivot!$BF$1:$CG$65000,$B897,AY$5)=1,1,IF(INDEX([1]Pivot!$B$1:$AB$65000,$B897,AY$5)="",2,0)),0)</f>
        <v>0</v>
      </c>
      <c r="AZ897" s="313">
        <f>IFERROR(IF(INDEX([1]Pivot!$BF$1:$CG$65000,$B897,AZ$5)=1,1,IF(INDEX([1]Pivot!$B$1:$AB$65000,$B897,AZ$5)="",2,0)),0)</f>
        <v>0</v>
      </c>
      <c r="BA897" s="313">
        <f>IFERROR(IF(INDEX([1]Pivot!$BF$1:$CG$65000,$B897,BA$5)=1,1,IF(INDEX([1]Pivot!$B$1:$AB$65000,$B897,BA$5)="",2,0)),0)</f>
        <v>0</v>
      </c>
      <c r="BB897" s="313">
        <f>IFERROR(IF(INDEX([1]Pivot!$BF$1:$CG$65000,$B897,BB$5)=1,1,IF(INDEX([1]Pivot!$B$1:$AB$65000,$B897,BB$5)="",2,0)),0)</f>
        <v>0</v>
      </c>
      <c r="BC897" s="313">
        <f>IFERROR(IF(INDEX([1]Pivot!$BF$1:$CG$65000,$B897,BC$5)=1,1,IF(INDEX([1]Pivot!$B$1:$AB$65000,$B897,BC$5)="",2,0)),0)</f>
        <v>0</v>
      </c>
      <c r="BD897" s="313">
        <f>IFERROR(IF(INDEX([1]Pivot!$BF$1:$CG$65000,$B897,BD$5)=1,1,IF(INDEX([1]Pivot!$B$1:$AB$65000,$B897,BD$5)="",2,0)),0)</f>
        <v>0</v>
      </c>
    </row>
    <row r="898" spans="1:56" x14ac:dyDescent="0.25">
      <c r="A898" s="288">
        <f>'[2]Raw Milk Prices'!A898</f>
        <v>0</v>
      </c>
      <c r="B898" s="296" t="e">
        <f>MATCH(DATE(LEFT('[2]Raw Milk Prices'!$A898,4),RIGHT('[2]Raw Milk Prices'!$A898,2),1),[1]Pivot!$A$1:$A$65000,0)</f>
        <v>#VALUE!</v>
      </c>
      <c r="C898" s="194">
        <f>IFERROR(IF(INDEX([1]Pivot!$AD$1:$BE$65000,$B898,C$5)=1,1,IF(INDEX([1]Pivot!$B$1:$AB$65000,$B898,C$5)="",2,0)),0)</f>
        <v>0</v>
      </c>
      <c r="D898" s="194">
        <f>IFERROR(IF(INDEX([1]Pivot!$AD$1:$BE$65000,$B898,D$5)=1,1,IF(INDEX([1]Pivot!$B$1:$AB$65000,$B898,D$5)="",2,0)),0)</f>
        <v>0</v>
      </c>
      <c r="E898" s="194">
        <f>IFERROR(IF(INDEX([1]Pivot!$AD$1:$BE$65000,$B898,E$5)=1,1,IF(INDEX([1]Pivot!$B$1:$AB$65000,$B898,E$5)="",2,0)),0)</f>
        <v>0</v>
      </c>
      <c r="F898" s="194">
        <f>IFERROR(IF(INDEX([1]Pivot!$AD$1:$BE$65000,$B898,F$5)=1,1,IF(INDEX([1]Pivot!$B$1:$AB$65000,$B898,F$5)="",2,0)),0)</f>
        <v>0</v>
      </c>
      <c r="G898" s="194">
        <f>IFERROR(IF(INDEX([1]Pivot!$AD$1:$BE$65000,$B898,G$5)=1,1,IF(INDEX([1]Pivot!$B$1:$AB$65000,$B898,G$5)="",2,0)),0)</f>
        <v>0</v>
      </c>
      <c r="H898" s="194">
        <f>IFERROR(IF(INDEX([1]Pivot!$AD$1:$BE$65000,$B898,H$5)=1,1,IF(INDEX([1]Pivot!$B$1:$AB$65000,$B898,H$5)="",2,0)),0)</f>
        <v>0</v>
      </c>
      <c r="I898" s="194">
        <f>IFERROR(IF(INDEX([1]Pivot!$AD$1:$BE$65000,$B898,I$5)=1,1,IF(INDEX([1]Pivot!$B$1:$AB$65000,$B898,I$5)="",2,0)),0)</f>
        <v>0</v>
      </c>
      <c r="J898" s="194">
        <f>IFERROR(IF(INDEX([1]Pivot!$AD$1:$BE$65000,$B898,J$5)=1,1,IF(INDEX([1]Pivot!$B$1:$AB$65000,$B898,J$5)="",2,0)),0)</f>
        <v>0</v>
      </c>
      <c r="K898" s="194">
        <f>IFERROR(IF(INDEX([1]Pivot!$AD$1:$BE$65000,$B898,K$5)=1,1,IF(INDEX([1]Pivot!$B$1:$AB$65000,$B898,K$5)="",2,0)),0)</f>
        <v>0</v>
      </c>
      <c r="L898" s="194">
        <f>IFERROR(IF(INDEX([1]Pivot!$AD$1:$BE$65000,$B898,L$5)=1,1,IF(INDEX([1]Pivot!$B$1:$AB$65000,$B898,L$5)="",2,0)),0)</f>
        <v>0</v>
      </c>
      <c r="M898" s="194">
        <f>IFERROR(IF(INDEX([1]Pivot!$AD$1:$BE$65000,$B898,M$5)=1,1,IF(INDEX([1]Pivot!$B$1:$AB$65000,$B898,M$5)="",2,0)),0)</f>
        <v>0</v>
      </c>
      <c r="N898" s="194">
        <f>IFERROR(IF(INDEX([1]Pivot!$AD$1:$BE$65000,$B898,N$5)=1,1,IF(INDEX([1]Pivot!$B$1:$AB$65000,$B898,N$5)="",2,0)),0)</f>
        <v>0</v>
      </c>
      <c r="O898" s="194">
        <f>IFERROR(IF(INDEX([1]Pivot!$AD$1:$BE$65000,$B898,O$5)=1,1,IF(INDEX([1]Pivot!$B$1:$AB$65000,$B898,O$5)="",2,0)),0)</f>
        <v>0</v>
      </c>
      <c r="P898" s="194">
        <f>IFERROR(IF(INDEX([1]Pivot!$AD$1:$BE$65000,$B898,P$5)=1,1,IF(INDEX([1]Pivot!$B$1:$AB$65000,$B898,P$5)="",2,0)),0)</f>
        <v>0</v>
      </c>
      <c r="Q898" s="194">
        <f>IFERROR(IF(INDEX([1]Pivot!$AD$1:$BE$65000,$B898,Q$5)=1,1,IF(INDEX([1]Pivot!$B$1:$AB$65000,$B898,Q$5)="",2,0)),0)</f>
        <v>0</v>
      </c>
      <c r="R898" s="312"/>
      <c r="S898" s="194">
        <f>IFERROR(IF(INDEX([1]Pivot!$AD$1:$BE$65000,$B898,S$5)=1,1,IF(INDEX([1]Pivot!$B$1:$AB$65000,$B898,S$5)="",2,0)),0)</f>
        <v>0</v>
      </c>
      <c r="T898" s="194">
        <f>IFERROR(IF(INDEX([1]Pivot!$AD$1:$BE$65000,$B898,T$5)=1,1,IF(INDEX([1]Pivot!$B$1:$AB$65000,$B898,T$5)="",2,0)),0)</f>
        <v>0</v>
      </c>
      <c r="U898" s="194">
        <f>IFERROR(IF(INDEX([1]Pivot!$AD$1:$BE$65000,$B898,U$5)=1,1,IF(INDEX([1]Pivot!$B$1:$AB$65000,$B898,U$5)="",2,0)),0)</f>
        <v>0</v>
      </c>
      <c r="V898" s="194">
        <f>IFERROR(IF(INDEX([1]Pivot!$AD$1:$BE$65000,$B898,V$5)=1,1,IF(INDEX([1]Pivot!$B$1:$AB$65000,$B898,V$5)="",2,0)),0)</f>
        <v>0</v>
      </c>
      <c r="W898" s="194">
        <f>IFERROR(IF(INDEX([1]Pivot!$AD$1:$BE$65000,$B898,W$5)=1,1,IF(INDEX([1]Pivot!$B$1:$AB$65000,$B898,W$5)="",2,0)),0)</f>
        <v>0</v>
      </c>
      <c r="X898" s="194">
        <f>IFERROR(IF(INDEX([1]Pivot!$AD$1:$BE$65000,$B898,X$5)=1,1,IF(INDEX([1]Pivot!$B$1:$AB$65000,$B898,X$5)="",2,0)),0)</f>
        <v>0</v>
      </c>
      <c r="Y898" s="194">
        <f>IFERROR(IF(INDEX([1]Pivot!$AD$1:$BE$65000,$B898,Y$5)=1,1,IF(INDEX([1]Pivot!$B$1:$AB$65000,$B898,Y$5)="",2,0)),0)</f>
        <v>0</v>
      </c>
      <c r="Z898" s="194">
        <f>IFERROR(IF(INDEX([1]Pivot!$AD$1:$BE$65000,$B898,Z$5)=1,1,IF(INDEX([1]Pivot!$B$1:$AB$65000,$B898,Z$5)="",2,0)),0)</f>
        <v>0</v>
      </c>
      <c r="AA898" s="194">
        <f>IFERROR(IF(INDEX([1]Pivot!$AD$1:$BE$65000,$B898,AA$5)=1,1,IF(INDEX([1]Pivot!$B$1:$AB$65000,$B898,AA$5)="",2,0)),0)</f>
        <v>0</v>
      </c>
      <c r="AB898" s="194">
        <f>IFERROR(IF(INDEX([1]Pivot!$AD$1:$BE$65000,$B898,AB$5)=1,1,IF(INDEX([1]Pivot!$B$1:$AB$65000,$B898,AB$5)="",2,0)),0)</f>
        <v>0</v>
      </c>
      <c r="AC898" s="194">
        <f>IFERROR(IF(INDEX([1]Pivot!$AD$1:$BE$65000,$B898,AC$5)=1,1,IF(INDEX([1]Pivot!$B$1:$AB$65000,$B898,AC$5)="",2,0)),0)</f>
        <v>0</v>
      </c>
      <c r="AD898" s="313">
        <f>IFERROR(IF(INDEX([1]Pivot!$BF$1:$CG$65000,$B898,AD$5)=1,1,IF(INDEX([1]Pivot!$B$1:$AB$65000,$B898,AD$5)="",2,0)),0)</f>
        <v>0</v>
      </c>
      <c r="AE898" s="313">
        <f>IFERROR(IF(INDEX([1]Pivot!$BF$1:$CG$65000,$B898,AE$5)=1,1,IF(INDEX([1]Pivot!$B$1:$AB$65000,$B898,AE$5)="",2,0)),0)</f>
        <v>0</v>
      </c>
      <c r="AF898" s="313">
        <f>IFERROR(IF(INDEX([1]Pivot!$BF$1:$CG$65000,$B898,AF$5)=1,1,IF(INDEX([1]Pivot!$B$1:$AB$65000,$B898,AF$5)="",2,0)),0)</f>
        <v>0</v>
      </c>
      <c r="AG898" s="313">
        <f>IFERROR(IF(INDEX([1]Pivot!$BF$1:$CG$65000,$B898,AG$5)=1,1,IF(INDEX([1]Pivot!$B$1:$AB$65000,$B898,AG$5)="",2,0)),0)</f>
        <v>0</v>
      </c>
      <c r="AH898" s="313">
        <f>IFERROR(IF(INDEX([1]Pivot!$BF$1:$CG$65000,$B898,AH$5)=1,1,IF(INDEX([1]Pivot!$B$1:$AB$65000,$B898,AH$5)="",2,0)),0)</f>
        <v>0</v>
      </c>
      <c r="AI898" s="313">
        <f>IFERROR(IF(INDEX([1]Pivot!$BF$1:$CG$65000,$B898,AI$5)=1,1,IF(INDEX([1]Pivot!$B$1:$AB$65000,$B898,AI$5)="",2,0)),0)</f>
        <v>0</v>
      </c>
      <c r="AJ898" s="313">
        <f>IFERROR(IF(INDEX([1]Pivot!$BF$1:$CG$65000,$B898,AJ$5)=1,1,IF(INDEX([1]Pivot!$B$1:$AB$65000,$B898,AJ$5)="",2,0)),0)</f>
        <v>0</v>
      </c>
      <c r="AK898" s="313">
        <f>IFERROR(IF(INDEX([1]Pivot!$BF$1:$CG$65000,$B898,AK$5)=1,1,IF(INDEX([1]Pivot!$B$1:$AB$65000,$B898,AK$5)="",2,0)),0)</f>
        <v>0</v>
      </c>
      <c r="AL898" s="313">
        <f>IFERROR(IF(INDEX([1]Pivot!$BF$1:$CG$65000,$B898,AL$5)=1,1,IF(INDEX([1]Pivot!$B$1:$AB$65000,$B898,AL$5)="",2,0)),0)</f>
        <v>0</v>
      </c>
      <c r="AM898" s="313">
        <f>IFERROR(IF(INDEX([1]Pivot!$BF$1:$CG$65000,$B898,AM$5)=1,1,IF(INDEX([1]Pivot!$B$1:$AB$65000,$B898,AM$5)="",2,0)),0)</f>
        <v>0</v>
      </c>
      <c r="AN898" s="313">
        <f>IFERROR(IF(INDEX([1]Pivot!$BF$1:$CG$65000,$B898,AN$5)=1,1,IF(INDEX([1]Pivot!$B$1:$AB$65000,$B898,AN$5)="",2,0)),0)</f>
        <v>0</v>
      </c>
      <c r="AO898" s="313">
        <f>IFERROR(IF(INDEX([1]Pivot!$BF$1:$CG$65000,$B898,AO$5)=1,1,IF(INDEX([1]Pivot!$B$1:$AB$65000,$B898,AO$5)="",2,0)),0)</f>
        <v>0</v>
      </c>
      <c r="AP898" s="313">
        <f>IFERROR(IF(INDEX([1]Pivot!$BF$1:$CG$65000,$B898,AP$5)=1,1,IF(INDEX([1]Pivot!$B$1:$AB$65000,$B898,AP$5)="",2,0)),0)</f>
        <v>0</v>
      </c>
      <c r="AQ898" s="313">
        <f>IFERROR(IF(INDEX([1]Pivot!$BF$1:$CG$65000,$B898,AQ$5)=1,1,IF(INDEX([1]Pivot!$B$1:$AB$65000,$B898,AQ$5)="",2,0)),0)</f>
        <v>0</v>
      </c>
      <c r="AR898" s="313">
        <f>IFERROR(IF(INDEX([1]Pivot!$BF$1:$CG$65000,$B898,AR$5)=1,1,IF(INDEX([1]Pivot!$B$1:$AB$65000,$B898,AR$5)="",2,0)),0)</f>
        <v>0</v>
      </c>
      <c r="AS898" s="312"/>
      <c r="AT898" s="313">
        <f>IFERROR(IF(INDEX([1]Pivot!$BF$1:$CG$65000,$B898,AT$5)=1,1,IF(INDEX([1]Pivot!$B$1:$AB$65000,$B898,AT$5)="",2,0)),0)</f>
        <v>0</v>
      </c>
      <c r="AU898" s="313">
        <f>IFERROR(IF(INDEX([1]Pivot!$BF$1:$CG$65000,$B898,AU$5)=1,1,IF(INDEX([1]Pivot!$B$1:$AB$65000,$B898,AU$5)="",2,0)),0)</f>
        <v>0</v>
      </c>
      <c r="AV898" s="313">
        <f>IFERROR(IF(INDEX([1]Pivot!$BF$1:$CG$65000,$B898,AV$5)=1,1,IF(INDEX([1]Pivot!$B$1:$AB$65000,$B898,AV$5)="",2,0)),0)</f>
        <v>0</v>
      </c>
      <c r="AW898" s="313">
        <f>IFERROR(IF(INDEX([1]Pivot!$BF$1:$CG$65000,$B898,AW$5)=1,1,IF(INDEX([1]Pivot!$B$1:$AB$65000,$B898,AW$5)="",2,0)),0)</f>
        <v>0</v>
      </c>
      <c r="AX898" s="313">
        <f>IFERROR(IF(INDEX([1]Pivot!$BF$1:$CG$65000,$B898,AX$5)=1,1,IF(INDEX([1]Pivot!$B$1:$AB$65000,$B898,AX$5)="",2,0)),0)</f>
        <v>0</v>
      </c>
      <c r="AY898" s="313">
        <f>IFERROR(IF(INDEX([1]Pivot!$BF$1:$CG$65000,$B898,AY$5)=1,1,IF(INDEX([1]Pivot!$B$1:$AB$65000,$B898,AY$5)="",2,0)),0)</f>
        <v>0</v>
      </c>
      <c r="AZ898" s="313">
        <f>IFERROR(IF(INDEX([1]Pivot!$BF$1:$CG$65000,$B898,AZ$5)=1,1,IF(INDEX([1]Pivot!$B$1:$AB$65000,$B898,AZ$5)="",2,0)),0)</f>
        <v>0</v>
      </c>
      <c r="BA898" s="313">
        <f>IFERROR(IF(INDEX([1]Pivot!$BF$1:$CG$65000,$B898,BA$5)=1,1,IF(INDEX([1]Pivot!$B$1:$AB$65000,$B898,BA$5)="",2,0)),0)</f>
        <v>0</v>
      </c>
      <c r="BB898" s="313">
        <f>IFERROR(IF(INDEX([1]Pivot!$BF$1:$CG$65000,$B898,BB$5)=1,1,IF(INDEX([1]Pivot!$B$1:$AB$65000,$B898,BB$5)="",2,0)),0)</f>
        <v>0</v>
      </c>
      <c r="BC898" s="313">
        <f>IFERROR(IF(INDEX([1]Pivot!$BF$1:$CG$65000,$B898,BC$5)=1,1,IF(INDEX([1]Pivot!$B$1:$AB$65000,$B898,BC$5)="",2,0)),0)</f>
        <v>0</v>
      </c>
      <c r="BD898" s="313">
        <f>IFERROR(IF(INDEX([1]Pivot!$BF$1:$CG$65000,$B898,BD$5)=1,1,IF(INDEX([1]Pivot!$B$1:$AB$65000,$B898,BD$5)="",2,0)),0)</f>
        <v>0</v>
      </c>
    </row>
    <row r="899" spans="1:56" x14ac:dyDescent="0.25">
      <c r="A899" s="288">
        <f>'[2]Raw Milk Prices'!A899</f>
        <v>0</v>
      </c>
      <c r="B899" s="296" t="e">
        <f>MATCH(DATE(LEFT('[2]Raw Milk Prices'!$A899,4),RIGHT('[2]Raw Milk Prices'!$A899,2),1),[1]Pivot!$A$1:$A$65000,0)</f>
        <v>#VALUE!</v>
      </c>
      <c r="C899" s="194">
        <f>IFERROR(IF(INDEX([1]Pivot!$AD$1:$BE$65000,$B899,C$5)=1,1,IF(INDEX([1]Pivot!$B$1:$AB$65000,$B899,C$5)="",2,0)),0)</f>
        <v>0</v>
      </c>
      <c r="D899" s="194">
        <f>IFERROR(IF(INDEX([1]Pivot!$AD$1:$BE$65000,$B899,D$5)=1,1,IF(INDEX([1]Pivot!$B$1:$AB$65000,$B899,D$5)="",2,0)),0)</f>
        <v>0</v>
      </c>
      <c r="E899" s="194">
        <f>IFERROR(IF(INDEX([1]Pivot!$AD$1:$BE$65000,$B899,E$5)=1,1,IF(INDEX([1]Pivot!$B$1:$AB$65000,$B899,E$5)="",2,0)),0)</f>
        <v>0</v>
      </c>
      <c r="F899" s="194">
        <f>IFERROR(IF(INDEX([1]Pivot!$AD$1:$BE$65000,$B899,F$5)=1,1,IF(INDEX([1]Pivot!$B$1:$AB$65000,$B899,F$5)="",2,0)),0)</f>
        <v>0</v>
      </c>
      <c r="G899" s="194">
        <f>IFERROR(IF(INDEX([1]Pivot!$AD$1:$BE$65000,$B899,G$5)=1,1,IF(INDEX([1]Pivot!$B$1:$AB$65000,$B899,G$5)="",2,0)),0)</f>
        <v>0</v>
      </c>
      <c r="H899" s="194">
        <f>IFERROR(IF(INDEX([1]Pivot!$AD$1:$BE$65000,$B899,H$5)=1,1,IF(INDEX([1]Pivot!$B$1:$AB$65000,$B899,H$5)="",2,0)),0)</f>
        <v>0</v>
      </c>
      <c r="I899" s="194">
        <f>IFERROR(IF(INDEX([1]Pivot!$AD$1:$BE$65000,$B899,I$5)=1,1,IF(INDEX([1]Pivot!$B$1:$AB$65000,$B899,I$5)="",2,0)),0)</f>
        <v>0</v>
      </c>
      <c r="J899" s="194">
        <f>IFERROR(IF(INDEX([1]Pivot!$AD$1:$BE$65000,$B899,J$5)=1,1,IF(INDEX([1]Pivot!$B$1:$AB$65000,$B899,J$5)="",2,0)),0)</f>
        <v>0</v>
      </c>
      <c r="K899" s="194">
        <f>IFERROR(IF(INDEX([1]Pivot!$AD$1:$BE$65000,$B899,K$5)=1,1,IF(INDEX([1]Pivot!$B$1:$AB$65000,$B899,K$5)="",2,0)),0)</f>
        <v>0</v>
      </c>
      <c r="L899" s="194">
        <f>IFERROR(IF(INDEX([1]Pivot!$AD$1:$BE$65000,$B899,L$5)=1,1,IF(INDEX([1]Pivot!$B$1:$AB$65000,$B899,L$5)="",2,0)),0)</f>
        <v>0</v>
      </c>
      <c r="M899" s="194">
        <f>IFERROR(IF(INDEX([1]Pivot!$AD$1:$BE$65000,$B899,M$5)=1,1,IF(INDEX([1]Pivot!$B$1:$AB$65000,$B899,M$5)="",2,0)),0)</f>
        <v>0</v>
      </c>
      <c r="N899" s="194">
        <f>IFERROR(IF(INDEX([1]Pivot!$AD$1:$BE$65000,$B899,N$5)=1,1,IF(INDEX([1]Pivot!$B$1:$AB$65000,$B899,N$5)="",2,0)),0)</f>
        <v>0</v>
      </c>
      <c r="O899" s="194">
        <f>IFERROR(IF(INDEX([1]Pivot!$AD$1:$BE$65000,$B899,O$5)=1,1,IF(INDEX([1]Pivot!$B$1:$AB$65000,$B899,O$5)="",2,0)),0)</f>
        <v>0</v>
      </c>
      <c r="P899" s="194">
        <f>IFERROR(IF(INDEX([1]Pivot!$AD$1:$BE$65000,$B899,P$5)=1,1,IF(INDEX([1]Pivot!$B$1:$AB$65000,$B899,P$5)="",2,0)),0)</f>
        <v>0</v>
      </c>
      <c r="Q899" s="194">
        <f>IFERROR(IF(INDEX([1]Pivot!$AD$1:$BE$65000,$B899,Q$5)=1,1,IF(INDEX([1]Pivot!$B$1:$AB$65000,$B899,Q$5)="",2,0)),0)</f>
        <v>0</v>
      </c>
      <c r="R899" s="312"/>
      <c r="S899" s="194">
        <f>IFERROR(IF(INDEX([1]Pivot!$AD$1:$BE$65000,$B899,S$5)=1,1,IF(INDEX([1]Pivot!$B$1:$AB$65000,$B899,S$5)="",2,0)),0)</f>
        <v>0</v>
      </c>
      <c r="T899" s="194">
        <f>IFERROR(IF(INDEX([1]Pivot!$AD$1:$BE$65000,$B899,T$5)=1,1,IF(INDEX([1]Pivot!$B$1:$AB$65000,$B899,T$5)="",2,0)),0)</f>
        <v>0</v>
      </c>
      <c r="U899" s="194">
        <f>IFERROR(IF(INDEX([1]Pivot!$AD$1:$BE$65000,$B899,U$5)=1,1,IF(INDEX([1]Pivot!$B$1:$AB$65000,$B899,U$5)="",2,0)),0)</f>
        <v>0</v>
      </c>
      <c r="V899" s="194">
        <f>IFERROR(IF(INDEX([1]Pivot!$AD$1:$BE$65000,$B899,V$5)=1,1,IF(INDEX([1]Pivot!$B$1:$AB$65000,$B899,V$5)="",2,0)),0)</f>
        <v>0</v>
      </c>
      <c r="W899" s="194">
        <f>IFERROR(IF(INDEX([1]Pivot!$AD$1:$BE$65000,$B899,W$5)=1,1,IF(INDEX([1]Pivot!$B$1:$AB$65000,$B899,W$5)="",2,0)),0)</f>
        <v>0</v>
      </c>
      <c r="X899" s="194">
        <f>IFERROR(IF(INDEX([1]Pivot!$AD$1:$BE$65000,$B899,X$5)=1,1,IF(INDEX([1]Pivot!$B$1:$AB$65000,$B899,X$5)="",2,0)),0)</f>
        <v>0</v>
      </c>
      <c r="Y899" s="194">
        <f>IFERROR(IF(INDEX([1]Pivot!$AD$1:$BE$65000,$B899,Y$5)=1,1,IF(INDEX([1]Pivot!$B$1:$AB$65000,$B899,Y$5)="",2,0)),0)</f>
        <v>0</v>
      </c>
      <c r="Z899" s="194">
        <f>IFERROR(IF(INDEX([1]Pivot!$AD$1:$BE$65000,$B899,Z$5)=1,1,IF(INDEX([1]Pivot!$B$1:$AB$65000,$B899,Z$5)="",2,0)),0)</f>
        <v>0</v>
      </c>
      <c r="AA899" s="194">
        <f>IFERROR(IF(INDEX([1]Pivot!$AD$1:$BE$65000,$B899,AA$5)=1,1,IF(INDEX([1]Pivot!$B$1:$AB$65000,$B899,AA$5)="",2,0)),0)</f>
        <v>0</v>
      </c>
      <c r="AB899" s="194">
        <f>IFERROR(IF(INDEX([1]Pivot!$AD$1:$BE$65000,$B899,AB$5)=1,1,IF(INDEX([1]Pivot!$B$1:$AB$65000,$B899,AB$5)="",2,0)),0)</f>
        <v>0</v>
      </c>
      <c r="AC899" s="194">
        <f>IFERROR(IF(INDEX([1]Pivot!$AD$1:$BE$65000,$B899,AC$5)=1,1,IF(INDEX([1]Pivot!$B$1:$AB$65000,$B899,AC$5)="",2,0)),0)</f>
        <v>0</v>
      </c>
      <c r="AD899" s="313">
        <f>IFERROR(IF(INDEX([1]Pivot!$BF$1:$CG$65000,$B899,AD$5)=1,1,IF(INDEX([1]Pivot!$B$1:$AB$65000,$B899,AD$5)="",2,0)),0)</f>
        <v>0</v>
      </c>
      <c r="AE899" s="313">
        <f>IFERROR(IF(INDEX([1]Pivot!$BF$1:$CG$65000,$B899,AE$5)=1,1,IF(INDEX([1]Pivot!$B$1:$AB$65000,$B899,AE$5)="",2,0)),0)</f>
        <v>0</v>
      </c>
      <c r="AF899" s="313">
        <f>IFERROR(IF(INDEX([1]Pivot!$BF$1:$CG$65000,$B899,AF$5)=1,1,IF(INDEX([1]Pivot!$B$1:$AB$65000,$B899,AF$5)="",2,0)),0)</f>
        <v>0</v>
      </c>
      <c r="AG899" s="313">
        <f>IFERROR(IF(INDEX([1]Pivot!$BF$1:$CG$65000,$B899,AG$5)=1,1,IF(INDEX([1]Pivot!$B$1:$AB$65000,$B899,AG$5)="",2,0)),0)</f>
        <v>0</v>
      </c>
      <c r="AH899" s="313">
        <f>IFERROR(IF(INDEX([1]Pivot!$BF$1:$CG$65000,$B899,AH$5)=1,1,IF(INDEX([1]Pivot!$B$1:$AB$65000,$B899,AH$5)="",2,0)),0)</f>
        <v>0</v>
      </c>
      <c r="AI899" s="313">
        <f>IFERROR(IF(INDEX([1]Pivot!$BF$1:$CG$65000,$B899,AI$5)=1,1,IF(INDEX([1]Pivot!$B$1:$AB$65000,$B899,AI$5)="",2,0)),0)</f>
        <v>0</v>
      </c>
      <c r="AJ899" s="313">
        <f>IFERROR(IF(INDEX([1]Pivot!$BF$1:$CG$65000,$B899,AJ$5)=1,1,IF(INDEX([1]Pivot!$B$1:$AB$65000,$B899,AJ$5)="",2,0)),0)</f>
        <v>0</v>
      </c>
      <c r="AK899" s="313">
        <f>IFERROR(IF(INDEX([1]Pivot!$BF$1:$CG$65000,$B899,AK$5)=1,1,IF(INDEX([1]Pivot!$B$1:$AB$65000,$B899,AK$5)="",2,0)),0)</f>
        <v>0</v>
      </c>
      <c r="AL899" s="313">
        <f>IFERROR(IF(INDEX([1]Pivot!$BF$1:$CG$65000,$B899,AL$5)=1,1,IF(INDEX([1]Pivot!$B$1:$AB$65000,$B899,AL$5)="",2,0)),0)</f>
        <v>0</v>
      </c>
      <c r="AM899" s="313">
        <f>IFERROR(IF(INDEX([1]Pivot!$BF$1:$CG$65000,$B899,AM$5)=1,1,IF(INDEX([1]Pivot!$B$1:$AB$65000,$B899,AM$5)="",2,0)),0)</f>
        <v>0</v>
      </c>
      <c r="AN899" s="313">
        <f>IFERROR(IF(INDEX([1]Pivot!$BF$1:$CG$65000,$B899,AN$5)=1,1,IF(INDEX([1]Pivot!$B$1:$AB$65000,$B899,AN$5)="",2,0)),0)</f>
        <v>0</v>
      </c>
      <c r="AO899" s="313">
        <f>IFERROR(IF(INDEX([1]Pivot!$BF$1:$CG$65000,$B899,AO$5)=1,1,IF(INDEX([1]Pivot!$B$1:$AB$65000,$B899,AO$5)="",2,0)),0)</f>
        <v>0</v>
      </c>
      <c r="AP899" s="313">
        <f>IFERROR(IF(INDEX([1]Pivot!$BF$1:$CG$65000,$B899,AP$5)=1,1,IF(INDEX([1]Pivot!$B$1:$AB$65000,$B899,AP$5)="",2,0)),0)</f>
        <v>0</v>
      </c>
      <c r="AQ899" s="313">
        <f>IFERROR(IF(INDEX([1]Pivot!$BF$1:$CG$65000,$B899,AQ$5)=1,1,IF(INDEX([1]Pivot!$B$1:$AB$65000,$B899,AQ$5)="",2,0)),0)</f>
        <v>0</v>
      </c>
      <c r="AR899" s="313">
        <f>IFERROR(IF(INDEX([1]Pivot!$BF$1:$CG$65000,$B899,AR$5)=1,1,IF(INDEX([1]Pivot!$B$1:$AB$65000,$B899,AR$5)="",2,0)),0)</f>
        <v>0</v>
      </c>
      <c r="AS899" s="312"/>
      <c r="AT899" s="313">
        <f>IFERROR(IF(INDEX([1]Pivot!$BF$1:$CG$65000,$B899,AT$5)=1,1,IF(INDEX([1]Pivot!$B$1:$AB$65000,$B899,AT$5)="",2,0)),0)</f>
        <v>0</v>
      </c>
      <c r="AU899" s="313">
        <f>IFERROR(IF(INDEX([1]Pivot!$BF$1:$CG$65000,$B899,AU$5)=1,1,IF(INDEX([1]Pivot!$B$1:$AB$65000,$B899,AU$5)="",2,0)),0)</f>
        <v>0</v>
      </c>
      <c r="AV899" s="313">
        <f>IFERROR(IF(INDEX([1]Pivot!$BF$1:$CG$65000,$B899,AV$5)=1,1,IF(INDEX([1]Pivot!$B$1:$AB$65000,$B899,AV$5)="",2,0)),0)</f>
        <v>0</v>
      </c>
      <c r="AW899" s="313">
        <f>IFERROR(IF(INDEX([1]Pivot!$BF$1:$CG$65000,$B899,AW$5)=1,1,IF(INDEX([1]Pivot!$B$1:$AB$65000,$B899,AW$5)="",2,0)),0)</f>
        <v>0</v>
      </c>
      <c r="AX899" s="313">
        <f>IFERROR(IF(INDEX([1]Pivot!$BF$1:$CG$65000,$B899,AX$5)=1,1,IF(INDEX([1]Pivot!$B$1:$AB$65000,$B899,AX$5)="",2,0)),0)</f>
        <v>0</v>
      </c>
      <c r="AY899" s="313">
        <f>IFERROR(IF(INDEX([1]Pivot!$BF$1:$CG$65000,$B899,AY$5)=1,1,IF(INDEX([1]Pivot!$B$1:$AB$65000,$B899,AY$5)="",2,0)),0)</f>
        <v>0</v>
      </c>
      <c r="AZ899" s="313">
        <f>IFERROR(IF(INDEX([1]Pivot!$BF$1:$CG$65000,$B899,AZ$5)=1,1,IF(INDEX([1]Pivot!$B$1:$AB$65000,$B899,AZ$5)="",2,0)),0)</f>
        <v>0</v>
      </c>
      <c r="BA899" s="313">
        <f>IFERROR(IF(INDEX([1]Pivot!$BF$1:$CG$65000,$B899,BA$5)=1,1,IF(INDEX([1]Pivot!$B$1:$AB$65000,$B899,BA$5)="",2,0)),0)</f>
        <v>0</v>
      </c>
      <c r="BB899" s="313">
        <f>IFERROR(IF(INDEX([1]Pivot!$BF$1:$CG$65000,$B899,BB$5)=1,1,IF(INDEX([1]Pivot!$B$1:$AB$65000,$B899,BB$5)="",2,0)),0)</f>
        <v>0</v>
      </c>
      <c r="BC899" s="313">
        <f>IFERROR(IF(INDEX([1]Pivot!$BF$1:$CG$65000,$B899,BC$5)=1,1,IF(INDEX([1]Pivot!$B$1:$AB$65000,$B899,BC$5)="",2,0)),0)</f>
        <v>0</v>
      </c>
      <c r="BD899" s="313">
        <f>IFERROR(IF(INDEX([1]Pivot!$BF$1:$CG$65000,$B899,BD$5)=1,1,IF(INDEX([1]Pivot!$B$1:$AB$65000,$B899,BD$5)="",2,0)),0)</f>
        <v>0</v>
      </c>
    </row>
    <row r="900" spans="1:56" x14ac:dyDescent="0.25">
      <c r="A900" s="288">
        <f>'[2]Raw Milk Prices'!A900</f>
        <v>0</v>
      </c>
      <c r="B900" s="296" t="e">
        <f>MATCH(DATE(LEFT('[2]Raw Milk Prices'!$A900,4),RIGHT('[2]Raw Milk Prices'!$A900,2),1),[1]Pivot!$A$1:$A$65000,0)</f>
        <v>#VALUE!</v>
      </c>
      <c r="C900" s="194">
        <f>IFERROR(IF(INDEX([1]Pivot!$AD$1:$BE$65000,$B900,C$5)=1,1,IF(INDEX([1]Pivot!$B$1:$AB$65000,$B900,C$5)="",2,0)),0)</f>
        <v>0</v>
      </c>
      <c r="D900" s="194">
        <f>IFERROR(IF(INDEX([1]Pivot!$AD$1:$BE$65000,$B900,D$5)=1,1,IF(INDEX([1]Pivot!$B$1:$AB$65000,$B900,D$5)="",2,0)),0)</f>
        <v>0</v>
      </c>
      <c r="E900" s="194">
        <f>IFERROR(IF(INDEX([1]Pivot!$AD$1:$BE$65000,$B900,E$5)=1,1,IF(INDEX([1]Pivot!$B$1:$AB$65000,$B900,E$5)="",2,0)),0)</f>
        <v>0</v>
      </c>
      <c r="F900" s="194">
        <f>IFERROR(IF(INDEX([1]Pivot!$AD$1:$BE$65000,$B900,F$5)=1,1,IF(INDEX([1]Pivot!$B$1:$AB$65000,$B900,F$5)="",2,0)),0)</f>
        <v>0</v>
      </c>
      <c r="G900" s="194">
        <f>IFERROR(IF(INDEX([1]Pivot!$AD$1:$BE$65000,$B900,G$5)=1,1,IF(INDEX([1]Pivot!$B$1:$AB$65000,$B900,G$5)="",2,0)),0)</f>
        <v>0</v>
      </c>
      <c r="H900" s="194">
        <f>IFERROR(IF(INDEX([1]Pivot!$AD$1:$BE$65000,$B900,H$5)=1,1,IF(INDEX([1]Pivot!$B$1:$AB$65000,$B900,H$5)="",2,0)),0)</f>
        <v>0</v>
      </c>
      <c r="I900" s="194">
        <f>IFERROR(IF(INDEX([1]Pivot!$AD$1:$BE$65000,$B900,I$5)=1,1,IF(INDEX([1]Pivot!$B$1:$AB$65000,$B900,I$5)="",2,0)),0)</f>
        <v>0</v>
      </c>
      <c r="J900" s="194">
        <f>IFERROR(IF(INDEX([1]Pivot!$AD$1:$BE$65000,$B900,J$5)=1,1,IF(INDEX([1]Pivot!$B$1:$AB$65000,$B900,J$5)="",2,0)),0)</f>
        <v>0</v>
      </c>
      <c r="K900" s="194">
        <f>IFERROR(IF(INDEX([1]Pivot!$AD$1:$BE$65000,$B900,K$5)=1,1,IF(INDEX([1]Pivot!$B$1:$AB$65000,$B900,K$5)="",2,0)),0)</f>
        <v>0</v>
      </c>
      <c r="L900" s="194">
        <f>IFERROR(IF(INDEX([1]Pivot!$AD$1:$BE$65000,$B900,L$5)=1,1,IF(INDEX([1]Pivot!$B$1:$AB$65000,$B900,L$5)="",2,0)),0)</f>
        <v>0</v>
      </c>
      <c r="M900" s="194">
        <f>IFERROR(IF(INDEX([1]Pivot!$AD$1:$BE$65000,$B900,M$5)=1,1,IF(INDEX([1]Pivot!$B$1:$AB$65000,$B900,M$5)="",2,0)),0)</f>
        <v>0</v>
      </c>
      <c r="N900" s="194">
        <f>IFERROR(IF(INDEX([1]Pivot!$AD$1:$BE$65000,$B900,N$5)=1,1,IF(INDEX([1]Pivot!$B$1:$AB$65000,$B900,N$5)="",2,0)),0)</f>
        <v>0</v>
      </c>
      <c r="O900" s="194">
        <f>IFERROR(IF(INDEX([1]Pivot!$AD$1:$BE$65000,$B900,O$5)=1,1,IF(INDEX([1]Pivot!$B$1:$AB$65000,$B900,O$5)="",2,0)),0)</f>
        <v>0</v>
      </c>
      <c r="P900" s="194">
        <f>IFERROR(IF(INDEX([1]Pivot!$AD$1:$BE$65000,$B900,P$5)=1,1,IF(INDEX([1]Pivot!$B$1:$AB$65000,$B900,P$5)="",2,0)),0)</f>
        <v>0</v>
      </c>
      <c r="Q900" s="194">
        <f>IFERROR(IF(INDEX([1]Pivot!$AD$1:$BE$65000,$B900,Q$5)=1,1,IF(INDEX([1]Pivot!$B$1:$AB$65000,$B900,Q$5)="",2,0)),0)</f>
        <v>0</v>
      </c>
      <c r="R900" s="312"/>
      <c r="S900" s="194">
        <f>IFERROR(IF(INDEX([1]Pivot!$AD$1:$BE$65000,$B900,S$5)=1,1,IF(INDEX([1]Pivot!$B$1:$AB$65000,$B900,S$5)="",2,0)),0)</f>
        <v>0</v>
      </c>
      <c r="T900" s="194">
        <f>IFERROR(IF(INDEX([1]Pivot!$AD$1:$BE$65000,$B900,T$5)=1,1,IF(INDEX([1]Pivot!$B$1:$AB$65000,$B900,T$5)="",2,0)),0)</f>
        <v>0</v>
      </c>
      <c r="U900" s="194">
        <f>IFERROR(IF(INDEX([1]Pivot!$AD$1:$BE$65000,$B900,U$5)=1,1,IF(INDEX([1]Pivot!$B$1:$AB$65000,$B900,U$5)="",2,0)),0)</f>
        <v>0</v>
      </c>
      <c r="V900" s="194">
        <f>IFERROR(IF(INDEX([1]Pivot!$AD$1:$BE$65000,$B900,V$5)=1,1,IF(INDEX([1]Pivot!$B$1:$AB$65000,$B900,V$5)="",2,0)),0)</f>
        <v>0</v>
      </c>
      <c r="W900" s="194">
        <f>IFERROR(IF(INDEX([1]Pivot!$AD$1:$BE$65000,$B900,W$5)=1,1,IF(INDEX([1]Pivot!$B$1:$AB$65000,$B900,W$5)="",2,0)),0)</f>
        <v>0</v>
      </c>
      <c r="X900" s="194">
        <f>IFERROR(IF(INDEX([1]Pivot!$AD$1:$BE$65000,$B900,X$5)=1,1,IF(INDEX([1]Pivot!$B$1:$AB$65000,$B900,X$5)="",2,0)),0)</f>
        <v>0</v>
      </c>
      <c r="Y900" s="194">
        <f>IFERROR(IF(INDEX([1]Pivot!$AD$1:$BE$65000,$B900,Y$5)=1,1,IF(INDEX([1]Pivot!$B$1:$AB$65000,$B900,Y$5)="",2,0)),0)</f>
        <v>0</v>
      </c>
      <c r="Z900" s="194">
        <f>IFERROR(IF(INDEX([1]Pivot!$AD$1:$BE$65000,$B900,Z$5)=1,1,IF(INDEX([1]Pivot!$B$1:$AB$65000,$B900,Z$5)="",2,0)),0)</f>
        <v>0</v>
      </c>
      <c r="AA900" s="194">
        <f>IFERROR(IF(INDEX([1]Pivot!$AD$1:$BE$65000,$B900,AA$5)=1,1,IF(INDEX([1]Pivot!$B$1:$AB$65000,$B900,AA$5)="",2,0)),0)</f>
        <v>0</v>
      </c>
      <c r="AB900" s="194">
        <f>IFERROR(IF(INDEX([1]Pivot!$AD$1:$BE$65000,$B900,AB$5)=1,1,IF(INDEX([1]Pivot!$B$1:$AB$65000,$B900,AB$5)="",2,0)),0)</f>
        <v>0</v>
      </c>
      <c r="AC900" s="194">
        <f>IFERROR(IF(INDEX([1]Pivot!$AD$1:$BE$65000,$B900,AC$5)=1,1,IF(INDEX([1]Pivot!$B$1:$AB$65000,$B900,AC$5)="",2,0)),0)</f>
        <v>0</v>
      </c>
      <c r="AD900" s="313">
        <f>IFERROR(IF(INDEX([1]Pivot!$BF$1:$CG$65000,$B900,AD$5)=1,1,IF(INDEX([1]Pivot!$B$1:$AB$65000,$B900,AD$5)="",2,0)),0)</f>
        <v>0</v>
      </c>
      <c r="AE900" s="313">
        <f>IFERROR(IF(INDEX([1]Pivot!$BF$1:$CG$65000,$B900,AE$5)=1,1,IF(INDEX([1]Pivot!$B$1:$AB$65000,$B900,AE$5)="",2,0)),0)</f>
        <v>0</v>
      </c>
      <c r="AF900" s="313">
        <f>IFERROR(IF(INDEX([1]Pivot!$BF$1:$CG$65000,$B900,AF$5)=1,1,IF(INDEX([1]Pivot!$B$1:$AB$65000,$B900,AF$5)="",2,0)),0)</f>
        <v>0</v>
      </c>
      <c r="AG900" s="313">
        <f>IFERROR(IF(INDEX([1]Pivot!$BF$1:$CG$65000,$B900,AG$5)=1,1,IF(INDEX([1]Pivot!$B$1:$AB$65000,$B900,AG$5)="",2,0)),0)</f>
        <v>0</v>
      </c>
      <c r="AH900" s="313">
        <f>IFERROR(IF(INDEX([1]Pivot!$BF$1:$CG$65000,$B900,AH$5)=1,1,IF(INDEX([1]Pivot!$B$1:$AB$65000,$B900,AH$5)="",2,0)),0)</f>
        <v>0</v>
      </c>
      <c r="AI900" s="313">
        <f>IFERROR(IF(INDEX([1]Pivot!$BF$1:$CG$65000,$B900,AI$5)=1,1,IF(INDEX([1]Pivot!$B$1:$AB$65000,$B900,AI$5)="",2,0)),0)</f>
        <v>0</v>
      </c>
      <c r="AJ900" s="313">
        <f>IFERROR(IF(INDEX([1]Pivot!$BF$1:$CG$65000,$B900,AJ$5)=1,1,IF(INDEX([1]Pivot!$B$1:$AB$65000,$B900,AJ$5)="",2,0)),0)</f>
        <v>0</v>
      </c>
      <c r="AK900" s="313">
        <f>IFERROR(IF(INDEX([1]Pivot!$BF$1:$CG$65000,$B900,AK$5)=1,1,IF(INDEX([1]Pivot!$B$1:$AB$65000,$B900,AK$5)="",2,0)),0)</f>
        <v>0</v>
      </c>
      <c r="AL900" s="313">
        <f>IFERROR(IF(INDEX([1]Pivot!$BF$1:$CG$65000,$B900,AL$5)=1,1,IF(INDEX([1]Pivot!$B$1:$AB$65000,$B900,AL$5)="",2,0)),0)</f>
        <v>0</v>
      </c>
      <c r="AM900" s="313">
        <f>IFERROR(IF(INDEX([1]Pivot!$BF$1:$CG$65000,$B900,AM$5)=1,1,IF(INDEX([1]Pivot!$B$1:$AB$65000,$B900,AM$5)="",2,0)),0)</f>
        <v>0</v>
      </c>
      <c r="AN900" s="313">
        <f>IFERROR(IF(INDEX([1]Pivot!$BF$1:$CG$65000,$B900,AN$5)=1,1,IF(INDEX([1]Pivot!$B$1:$AB$65000,$B900,AN$5)="",2,0)),0)</f>
        <v>0</v>
      </c>
      <c r="AO900" s="313">
        <f>IFERROR(IF(INDEX([1]Pivot!$BF$1:$CG$65000,$B900,AO$5)=1,1,IF(INDEX([1]Pivot!$B$1:$AB$65000,$B900,AO$5)="",2,0)),0)</f>
        <v>0</v>
      </c>
      <c r="AP900" s="313">
        <f>IFERROR(IF(INDEX([1]Pivot!$BF$1:$CG$65000,$B900,AP$5)=1,1,IF(INDEX([1]Pivot!$B$1:$AB$65000,$B900,AP$5)="",2,0)),0)</f>
        <v>0</v>
      </c>
      <c r="AQ900" s="313">
        <f>IFERROR(IF(INDEX([1]Pivot!$BF$1:$CG$65000,$B900,AQ$5)=1,1,IF(INDEX([1]Pivot!$B$1:$AB$65000,$B900,AQ$5)="",2,0)),0)</f>
        <v>0</v>
      </c>
      <c r="AR900" s="313">
        <f>IFERROR(IF(INDEX([1]Pivot!$BF$1:$CG$65000,$B900,AR$5)=1,1,IF(INDEX([1]Pivot!$B$1:$AB$65000,$B900,AR$5)="",2,0)),0)</f>
        <v>0</v>
      </c>
      <c r="AS900" s="312"/>
      <c r="AT900" s="313">
        <f>IFERROR(IF(INDEX([1]Pivot!$BF$1:$CG$65000,$B900,AT$5)=1,1,IF(INDEX([1]Pivot!$B$1:$AB$65000,$B900,AT$5)="",2,0)),0)</f>
        <v>0</v>
      </c>
      <c r="AU900" s="313">
        <f>IFERROR(IF(INDEX([1]Pivot!$BF$1:$CG$65000,$B900,AU$5)=1,1,IF(INDEX([1]Pivot!$B$1:$AB$65000,$B900,AU$5)="",2,0)),0)</f>
        <v>0</v>
      </c>
      <c r="AV900" s="313">
        <f>IFERROR(IF(INDEX([1]Pivot!$BF$1:$CG$65000,$B900,AV$5)=1,1,IF(INDEX([1]Pivot!$B$1:$AB$65000,$B900,AV$5)="",2,0)),0)</f>
        <v>0</v>
      </c>
      <c r="AW900" s="313">
        <f>IFERROR(IF(INDEX([1]Pivot!$BF$1:$CG$65000,$B900,AW$5)=1,1,IF(INDEX([1]Pivot!$B$1:$AB$65000,$B900,AW$5)="",2,0)),0)</f>
        <v>0</v>
      </c>
      <c r="AX900" s="313">
        <f>IFERROR(IF(INDEX([1]Pivot!$BF$1:$CG$65000,$B900,AX$5)=1,1,IF(INDEX([1]Pivot!$B$1:$AB$65000,$B900,AX$5)="",2,0)),0)</f>
        <v>0</v>
      </c>
      <c r="AY900" s="313">
        <f>IFERROR(IF(INDEX([1]Pivot!$BF$1:$CG$65000,$B900,AY$5)=1,1,IF(INDEX([1]Pivot!$B$1:$AB$65000,$B900,AY$5)="",2,0)),0)</f>
        <v>0</v>
      </c>
      <c r="AZ900" s="313">
        <f>IFERROR(IF(INDEX([1]Pivot!$BF$1:$CG$65000,$B900,AZ$5)=1,1,IF(INDEX([1]Pivot!$B$1:$AB$65000,$B900,AZ$5)="",2,0)),0)</f>
        <v>0</v>
      </c>
      <c r="BA900" s="313">
        <f>IFERROR(IF(INDEX([1]Pivot!$BF$1:$CG$65000,$B900,BA$5)=1,1,IF(INDEX([1]Pivot!$B$1:$AB$65000,$B900,BA$5)="",2,0)),0)</f>
        <v>0</v>
      </c>
      <c r="BB900" s="313">
        <f>IFERROR(IF(INDEX([1]Pivot!$BF$1:$CG$65000,$B900,BB$5)=1,1,IF(INDEX([1]Pivot!$B$1:$AB$65000,$B900,BB$5)="",2,0)),0)</f>
        <v>0</v>
      </c>
      <c r="BC900" s="313">
        <f>IFERROR(IF(INDEX([1]Pivot!$BF$1:$CG$65000,$B900,BC$5)=1,1,IF(INDEX([1]Pivot!$B$1:$AB$65000,$B900,BC$5)="",2,0)),0)</f>
        <v>0</v>
      </c>
      <c r="BD900" s="313">
        <f>IFERROR(IF(INDEX([1]Pivot!$BF$1:$CG$65000,$B900,BD$5)=1,1,IF(INDEX([1]Pivot!$B$1:$AB$65000,$B900,BD$5)="",2,0)),0)</f>
        <v>0</v>
      </c>
    </row>
    <row r="901" spans="1:56" x14ac:dyDescent="0.25">
      <c r="A901" s="288">
        <f>'[2]Raw Milk Prices'!A901</f>
        <v>0</v>
      </c>
      <c r="B901" s="296" t="e">
        <f>MATCH(DATE(LEFT('[2]Raw Milk Prices'!$A901,4),RIGHT('[2]Raw Milk Prices'!$A901,2),1),[1]Pivot!$A$1:$A$65000,0)</f>
        <v>#VALUE!</v>
      </c>
      <c r="C901" s="194">
        <f>IFERROR(IF(INDEX([1]Pivot!$AD$1:$BE$65000,$B901,C$5)=1,1,IF(INDEX([1]Pivot!$B$1:$AB$65000,$B901,C$5)="",2,0)),0)</f>
        <v>0</v>
      </c>
      <c r="D901" s="194">
        <f>IFERROR(IF(INDEX([1]Pivot!$AD$1:$BE$65000,$B901,D$5)=1,1,IF(INDEX([1]Pivot!$B$1:$AB$65000,$B901,D$5)="",2,0)),0)</f>
        <v>0</v>
      </c>
      <c r="E901" s="194">
        <f>IFERROR(IF(INDEX([1]Pivot!$AD$1:$BE$65000,$B901,E$5)=1,1,IF(INDEX([1]Pivot!$B$1:$AB$65000,$B901,E$5)="",2,0)),0)</f>
        <v>0</v>
      </c>
      <c r="F901" s="194">
        <f>IFERROR(IF(INDEX([1]Pivot!$AD$1:$BE$65000,$B901,F$5)=1,1,IF(INDEX([1]Pivot!$B$1:$AB$65000,$B901,F$5)="",2,0)),0)</f>
        <v>0</v>
      </c>
      <c r="G901" s="194">
        <f>IFERROR(IF(INDEX([1]Pivot!$AD$1:$BE$65000,$B901,G$5)=1,1,IF(INDEX([1]Pivot!$B$1:$AB$65000,$B901,G$5)="",2,0)),0)</f>
        <v>0</v>
      </c>
      <c r="H901" s="194">
        <f>IFERROR(IF(INDEX([1]Pivot!$AD$1:$BE$65000,$B901,H$5)=1,1,IF(INDEX([1]Pivot!$B$1:$AB$65000,$B901,H$5)="",2,0)),0)</f>
        <v>0</v>
      </c>
      <c r="I901" s="194">
        <f>IFERROR(IF(INDEX([1]Pivot!$AD$1:$BE$65000,$B901,I$5)=1,1,IF(INDEX([1]Pivot!$B$1:$AB$65000,$B901,I$5)="",2,0)),0)</f>
        <v>0</v>
      </c>
      <c r="J901" s="194">
        <f>IFERROR(IF(INDEX([1]Pivot!$AD$1:$BE$65000,$B901,J$5)=1,1,IF(INDEX([1]Pivot!$B$1:$AB$65000,$B901,J$5)="",2,0)),0)</f>
        <v>0</v>
      </c>
      <c r="K901" s="194">
        <f>IFERROR(IF(INDEX([1]Pivot!$AD$1:$BE$65000,$B901,K$5)=1,1,IF(INDEX([1]Pivot!$B$1:$AB$65000,$B901,K$5)="",2,0)),0)</f>
        <v>0</v>
      </c>
      <c r="L901" s="194">
        <f>IFERROR(IF(INDEX([1]Pivot!$AD$1:$BE$65000,$B901,L$5)=1,1,IF(INDEX([1]Pivot!$B$1:$AB$65000,$B901,L$5)="",2,0)),0)</f>
        <v>0</v>
      </c>
      <c r="M901" s="194">
        <f>IFERROR(IF(INDEX([1]Pivot!$AD$1:$BE$65000,$B901,M$5)=1,1,IF(INDEX([1]Pivot!$B$1:$AB$65000,$B901,M$5)="",2,0)),0)</f>
        <v>0</v>
      </c>
      <c r="N901" s="194">
        <f>IFERROR(IF(INDEX([1]Pivot!$AD$1:$BE$65000,$B901,N$5)=1,1,IF(INDEX([1]Pivot!$B$1:$AB$65000,$B901,N$5)="",2,0)),0)</f>
        <v>0</v>
      </c>
      <c r="O901" s="194">
        <f>IFERROR(IF(INDEX([1]Pivot!$AD$1:$BE$65000,$B901,O$5)=1,1,IF(INDEX([1]Pivot!$B$1:$AB$65000,$B901,O$5)="",2,0)),0)</f>
        <v>0</v>
      </c>
      <c r="P901" s="194">
        <f>IFERROR(IF(INDEX([1]Pivot!$AD$1:$BE$65000,$B901,P$5)=1,1,IF(INDEX([1]Pivot!$B$1:$AB$65000,$B901,P$5)="",2,0)),0)</f>
        <v>0</v>
      </c>
      <c r="Q901" s="194">
        <f>IFERROR(IF(INDEX([1]Pivot!$AD$1:$BE$65000,$B901,Q$5)=1,1,IF(INDEX([1]Pivot!$B$1:$AB$65000,$B901,Q$5)="",2,0)),0)</f>
        <v>0</v>
      </c>
      <c r="R901" s="312"/>
      <c r="S901" s="194">
        <f>IFERROR(IF(INDEX([1]Pivot!$AD$1:$BE$65000,$B901,S$5)=1,1,IF(INDEX([1]Pivot!$B$1:$AB$65000,$B901,S$5)="",2,0)),0)</f>
        <v>0</v>
      </c>
      <c r="T901" s="194">
        <f>IFERROR(IF(INDEX([1]Pivot!$AD$1:$BE$65000,$B901,T$5)=1,1,IF(INDEX([1]Pivot!$B$1:$AB$65000,$B901,T$5)="",2,0)),0)</f>
        <v>0</v>
      </c>
      <c r="U901" s="194">
        <f>IFERROR(IF(INDEX([1]Pivot!$AD$1:$BE$65000,$B901,U$5)=1,1,IF(INDEX([1]Pivot!$B$1:$AB$65000,$B901,U$5)="",2,0)),0)</f>
        <v>0</v>
      </c>
      <c r="V901" s="194">
        <f>IFERROR(IF(INDEX([1]Pivot!$AD$1:$BE$65000,$B901,V$5)=1,1,IF(INDEX([1]Pivot!$B$1:$AB$65000,$B901,V$5)="",2,0)),0)</f>
        <v>0</v>
      </c>
      <c r="W901" s="194">
        <f>IFERROR(IF(INDEX([1]Pivot!$AD$1:$BE$65000,$B901,W$5)=1,1,IF(INDEX([1]Pivot!$B$1:$AB$65000,$B901,W$5)="",2,0)),0)</f>
        <v>0</v>
      </c>
      <c r="X901" s="194">
        <f>IFERROR(IF(INDEX([1]Pivot!$AD$1:$BE$65000,$B901,X$5)=1,1,IF(INDEX([1]Pivot!$B$1:$AB$65000,$B901,X$5)="",2,0)),0)</f>
        <v>0</v>
      </c>
      <c r="Y901" s="194">
        <f>IFERROR(IF(INDEX([1]Pivot!$AD$1:$BE$65000,$B901,Y$5)=1,1,IF(INDEX([1]Pivot!$B$1:$AB$65000,$B901,Y$5)="",2,0)),0)</f>
        <v>0</v>
      </c>
      <c r="Z901" s="194">
        <f>IFERROR(IF(INDEX([1]Pivot!$AD$1:$BE$65000,$B901,Z$5)=1,1,IF(INDEX([1]Pivot!$B$1:$AB$65000,$B901,Z$5)="",2,0)),0)</f>
        <v>0</v>
      </c>
      <c r="AA901" s="194">
        <f>IFERROR(IF(INDEX([1]Pivot!$AD$1:$BE$65000,$B901,AA$5)=1,1,IF(INDEX([1]Pivot!$B$1:$AB$65000,$B901,AA$5)="",2,0)),0)</f>
        <v>0</v>
      </c>
      <c r="AB901" s="194">
        <f>IFERROR(IF(INDEX([1]Pivot!$AD$1:$BE$65000,$B901,AB$5)=1,1,IF(INDEX([1]Pivot!$B$1:$AB$65000,$B901,AB$5)="",2,0)),0)</f>
        <v>0</v>
      </c>
      <c r="AC901" s="194">
        <f>IFERROR(IF(INDEX([1]Pivot!$AD$1:$BE$65000,$B901,AC$5)=1,1,IF(INDEX([1]Pivot!$B$1:$AB$65000,$B901,AC$5)="",2,0)),0)</f>
        <v>0</v>
      </c>
      <c r="AD901" s="313">
        <f>IFERROR(IF(INDEX([1]Pivot!$BF$1:$CG$65000,$B901,AD$5)=1,1,IF(INDEX([1]Pivot!$B$1:$AB$65000,$B901,AD$5)="",2,0)),0)</f>
        <v>0</v>
      </c>
      <c r="AE901" s="313">
        <f>IFERROR(IF(INDEX([1]Pivot!$BF$1:$CG$65000,$B901,AE$5)=1,1,IF(INDEX([1]Pivot!$B$1:$AB$65000,$B901,AE$5)="",2,0)),0)</f>
        <v>0</v>
      </c>
      <c r="AF901" s="313">
        <f>IFERROR(IF(INDEX([1]Pivot!$BF$1:$CG$65000,$B901,AF$5)=1,1,IF(INDEX([1]Pivot!$B$1:$AB$65000,$B901,AF$5)="",2,0)),0)</f>
        <v>0</v>
      </c>
      <c r="AG901" s="313">
        <f>IFERROR(IF(INDEX([1]Pivot!$BF$1:$CG$65000,$B901,AG$5)=1,1,IF(INDEX([1]Pivot!$B$1:$AB$65000,$B901,AG$5)="",2,0)),0)</f>
        <v>0</v>
      </c>
      <c r="AH901" s="313">
        <f>IFERROR(IF(INDEX([1]Pivot!$BF$1:$CG$65000,$B901,AH$5)=1,1,IF(INDEX([1]Pivot!$B$1:$AB$65000,$B901,AH$5)="",2,0)),0)</f>
        <v>0</v>
      </c>
      <c r="AI901" s="313">
        <f>IFERROR(IF(INDEX([1]Pivot!$BF$1:$CG$65000,$B901,AI$5)=1,1,IF(INDEX([1]Pivot!$B$1:$AB$65000,$B901,AI$5)="",2,0)),0)</f>
        <v>0</v>
      </c>
      <c r="AJ901" s="313">
        <f>IFERROR(IF(INDEX([1]Pivot!$BF$1:$CG$65000,$B901,AJ$5)=1,1,IF(INDEX([1]Pivot!$B$1:$AB$65000,$B901,AJ$5)="",2,0)),0)</f>
        <v>0</v>
      </c>
      <c r="AK901" s="313">
        <f>IFERROR(IF(INDEX([1]Pivot!$BF$1:$CG$65000,$B901,AK$5)=1,1,IF(INDEX([1]Pivot!$B$1:$AB$65000,$B901,AK$5)="",2,0)),0)</f>
        <v>0</v>
      </c>
      <c r="AL901" s="313">
        <f>IFERROR(IF(INDEX([1]Pivot!$BF$1:$CG$65000,$B901,AL$5)=1,1,IF(INDEX([1]Pivot!$B$1:$AB$65000,$B901,AL$5)="",2,0)),0)</f>
        <v>0</v>
      </c>
      <c r="AM901" s="313">
        <f>IFERROR(IF(INDEX([1]Pivot!$BF$1:$CG$65000,$B901,AM$5)=1,1,IF(INDEX([1]Pivot!$B$1:$AB$65000,$B901,AM$5)="",2,0)),0)</f>
        <v>0</v>
      </c>
      <c r="AN901" s="313">
        <f>IFERROR(IF(INDEX([1]Pivot!$BF$1:$CG$65000,$B901,AN$5)=1,1,IF(INDEX([1]Pivot!$B$1:$AB$65000,$B901,AN$5)="",2,0)),0)</f>
        <v>0</v>
      </c>
      <c r="AO901" s="313">
        <f>IFERROR(IF(INDEX([1]Pivot!$BF$1:$CG$65000,$B901,AO$5)=1,1,IF(INDEX([1]Pivot!$B$1:$AB$65000,$B901,AO$5)="",2,0)),0)</f>
        <v>0</v>
      </c>
      <c r="AP901" s="313">
        <f>IFERROR(IF(INDEX([1]Pivot!$BF$1:$CG$65000,$B901,AP$5)=1,1,IF(INDEX([1]Pivot!$B$1:$AB$65000,$B901,AP$5)="",2,0)),0)</f>
        <v>0</v>
      </c>
      <c r="AQ901" s="313">
        <f>IFERROR(IF(INDEX([1]Pivot!$BF$1:$CG$65000,$B901,AQ$5)=1,1,IF(INDEX([1]Pivot!$B$1:$AB$65000,$B901,AQ$5)="",2,0)),0)</f>
        <v>0</v>
      </c>
      <c r="AR901" s="313">
        <f>IFERROR(IF(INDEX([1]Pivot!$BF$1:$CG$65000,$B901,AR$5)=1,1,IF(INDEX([1]Pivot!$B$1:$AB$65000,$B901,AR$5)="",2,0)),0)</f>
        <v>0</v>
      </c>
      <c r="AS901" s="312"/>
      <c r="AT901" s="313">
        <f>IFERROR(IF(INDEX([1]Pivot!$BF$1:$CG$65000,$B901,AT$5)=1,1,IF(INDEX([1]Pivot!$B$1:$AB$65000,$B901,AT$5)="",2,0)),0)</f>
        <v>0</v>
      </c>
      <c r="AU901" s="313">
        <f>IFERROR(IF(INDEX([1]Pivot!$BF$1:$CG$65000,$B901,AU$5)=1,1,IF(INDEX([1]Pivot!$B$1:$AB$65000,$B901,AU$5)="",2,0)),0)</f>
        <v>0</v>
      </c>
      <c r="AV901" s="313">
        <f>IFERROR(IF(INDEX([1]Pivot!$BF$1:$CG$65000,$B901,AV$5)=1,1,IF(INDEX([1]Pivot!$B$1:$AB$65000,$B901,AV$5)="",2,0)),0)</f>
        <v>0</v>
      </c>
      <c r="AW901" s="313">
        <f>IFERROR(IF(INDEX([1]Pivot!$BF$1:$CG$65000,$B901,AW$5)=1,1,IF(INDEX([1]Pivot!$B$1:$AB$65000,$B901,AW$5)="",2,0)),0)</f>
        <v>0</v>
      </c>
      <c r="AX901" s="313">
        <f>IFERROR(IF(INDEX([1]Pivot!$BF$1:$CG$65000,$B901,AX$5)=1,1,IF(INDEX([1]Pivot!$B$1:$AB$65000,$B901,AX$5)="",2,0)),0)</f>
        <v>0</v>
      </c>
      <c r="AY901" s="313">
        <f>IFERROR(IF(INDEX([1]Pivot!$BF$1:$CG$65000,$B901,AY$5)=1,1,IF(INDEX([1]Pivot!$B$1:$AB$65000,$B901,AY$5)="",2,0)),0)</f>
        <v>0</v>
      </c>
      <c r="AZ901" s="313">
        <f>IFERROR(IF(INDEX([1]Pivot!$BF$1:$CG$65000,$B901,AZ$5)=1,1,IF(INDEX([1]Pivot!$B$1:$AB$65000,$B901,AZ$5)="",2,0)),0)</f>
        <v>0</v>
      </c>
      <c r="BA901" s="313">
        <f>IFERROR(IF(INDEX([1]Pivot!$BF$1:$CG$65000,$B901,BA$5)=1,1,IF(INDEX([1]Pivot!$B$1:$AB$65000,$B901,BA$5)="",2,0)),0)</f>
        <v>0</v>
      </c>
      <c r="BB901" s="313">
        <f>IFERROR(IF(INDEX([1]Pivot!$BF$1:$CG$65000,$B901,BB$5)=1,1,IF(INDEX([1]Pivot!$B$1:$AB$65000,$B901,BB$5)="",2,0)),0)</f>
        <v>0</v>
      </c>
      <c r="BC901" s="313">
        <f>IFERROR(IF(INDEX([1]Pivot!$BF$1:$CG$65000,$B901,BC$5)=1,1,IF(INDEX([1]Pivot!$B$1:$AB$65000,$B901,BC$5)="",2,0)),0)</f>
        <v>0</v>
      </c>
      <c r="BD901" s="313">
        <f>IFERROR(IF(INDEX([1]Pivot!$BF$1:$CG$65000,$B901,BD$5)=1,1,IF(INDEX([1]Pivot!$B$1:$AB$65000,$B901,BD$5)="",2,0)),0)</f>
        <v>0</v>
      </c>
    </row>
    <row r="902" spans="1:56" x14ac:dyDescent="0.25">
      <c r="A902" s="288">
        <f>'[2]Raw Milk Prices'!A902</f>
        <v>0</v>
      </c>
      <c r="B902" s="296" t="e">
        <f>MATCH(DATE(LEFT('[2]Raw Milk Prices'!$A902,4),RIGHT('[2]Raw Milk Prices'!$A902,2),1),[1]Pivot!$A$1:$A$65000,0)</f>
        <v>#VALUE!</v>
      </c>
      <c r="C902" s="194">
        <f>IFERROR(IF(INDEX([1]Pivot!$AD$1:$BE$65000,$B902,C$5)=1,1,IF(INDEX([1]Pivot!$B$1:$AB$65000,$B902,C$5)="",2,0)),0)</f>
        <v>0</v>
      </c>
      <c r="D902" s="194">
        <f>IFERROR(IF(INDEX([1]Pivot!$AD$1:$BE$65000,$B902,D$5)=1,1,IF(INDEX([1]Pivot!$B$1:$AB$65000,$B902,D$5)="",2,0)),0)</f>
        <v>0</v>
      </c>
      <c r="E902" s="194">
        <f>IFERROR(IF(INDEX([1]Pivot!$AD$1:$BE$65000,$B902,E$5)=1,1,IF(INDEX([1]Pivot!$B$1:$AB$65000,$B902,E$5)="",2,0)),0)</f>
        <v>0</v>
      </c>
      <c r="F902" s="194">
        <f>IFERROR(IF(INDEX([1]Pivot!$AD$1:$BE$65000,$B902,F$5)=1,1,IF(INDEX([1]Pivot!$B$1:$AB$65000,$B902,F$5)="",2,0)),0)</f>
        <v>0</v>
      </c>
      <c r="G902" s="194">
        <f>IFERROR(IF(INDEX([1]Pivot!$AD$1:$BE$65000,$B902,G$5)=1,1,IF(INDEX([1]Pivot!$B$1:$AB$65000,$B902,G$5)="",2,0)),0)</f>
        <v>0</v>
      </c>
      <c r="H902" s="194">
        <f>IFERROR(IF(INDEX([1]Pivot!$AD$1:$BE$65000,$B902,H$5)=1,1,IF(INDEX([1]Pivot!$B$1:$AB$65000,$B902,H$5)="",2,0)),0)</f>
        <v>0</v>
      </c>
      <c r="I902" s="194">
        <f>IFERROR(IF(INDEX([1]Pivot!$AD$1:$BE$65000,$B902,I$5)=1,1,IF(INDEX([1]Pivot!$B$1:$AB$65000,$B902,I$5)="",2,0)),0)</f>
        <v>0</v>
      </c>
      <c r="J902" s="194">
        <f>IFERROR(IF(INDEX([1]Pivot!$AD$1:$BE$65000,$B902,J$5)=1,1,IF(INDEX([1]Pivot!$B$1:$AB$65000,$B902,J$5)="",2,0)),0)</f>
        <v>0</v>
      </c>
      <c r="K902" s="194">
        <f>IFERROR(IF(INDEX([1]Pivot!$AD$1:$BE$65000,$B902,K$5)=1,1,IF(INDEX([1]Pivot!$B$1:$AB$65000,$B902,K$5)="",2,0)),0)</f>
        <v>0</v>
      </c>
      <c r="L902" s="194">
        <f>IFERROR(IF(INDEX([1]Pivot!$AD$1:$BE$65000,$B902,L$5)=1,1,IF(INDEX([1]Pivot!$B$1:$AB$65000,$B902,L$5)="",2,0)),0)</f>
        <v>0</v>
      </c>
      <c r="M902" s="194">
        <f>IFERROR(IF(INDEX([1]Pivot!$AD$1:$BE$65000,$B902,M$5)=1,1,IF(INDEX([1]Pivot!$B$1:$AB$65000,$B902,M$5)="",2,0)),0)</f>
        <v>0</v>
      </c>
      <c r="N902" s="194">
        <f>IFERROR(IF(INDEX([1]Pivot!$AD$1:$BE$65000,$B902,N$5)=1,1,IF(INDEX([1]Pivot!$B$1:$AB$65000,$B902,N$5)="",2,0)),0)</f>
        <v>0</v>
      </c>
      <c r="O902" s="194">
        <f>IFERROR(IF(INDEX([1]Pivot!$AD$1:$BE$65000,$B902,O$5)=1,1,IF(INDEX([1]Pivot!$B$1:$AB$65000,$B902,O$5)="",2,0)),0)</f>
        <v>0</v>
      </c>
      <c r="P902" s="194">
        <f>IFERROR(IF(INDEX([1]Pivot!$AD$1:$BE$65000,$B902,P$5)=1,1,IF(INDEX([1]Pivot!$B$1:$AB$65000,$B902,P$5)="",2,0)),0)</f>
        <v>0</v>
      </c>
      <c r="Q902" s="194">
        <f>IFERROR(IF(INDEX([1]Pivot!$AD$1:$BE$65000,$B902,Q$5)=1,1,IF(INDEX([1]Pivot!$B$1:$AB$65000,$B902,Q$5)="",2,0)),0)</f>
        <v>0</v>
      </c>
      <c r="R902" s="312"/>
      <c r="S902" s="194">
        <f>IFERROR(IF(INDEX([1]Pivot!$AD$1:$BE$65000,$B902,S$5)=1,1,IF(INDEX([1]Pivot!$B$1:$AB$65000,$B902,S$5)="",2,0)),0)</f>
        <v>0</v>
      </c>
      <c r="T902" s="194">
        <f>IFERROR(IF(INDEX([1]Pivot!$AD$1:$BE$65000,$B902,T$5)=1,1,IF(INDEX([1]Pivot!$B$1:$AB$65000,$B902,T$5)="",2,0)),0)</f>
        <v>0</v>
      </c>
      <c r="U902" s="194">
        <f>IFERROR(IF(INDEX([1]Pivot!$AD$1:$BE$65000,$B902,U$5)=1,1,IF(INDEX([1]Pivot!$B$1:$AB$65000,$B902,U$5)="",2,0)),0)</f>
        <v>0</v>
      </c>
      <c r="V902" s="194">
        <f>IFERROR(IF(INDEX([1]Pivot!$AD$1:$BE$65000,$B902,V$5)=1,1,IF(INDEX([1]Pivot!$B$1:$AB$65000,$B902,V$5)="",2,0)),0)</f>
        <v>0</v>
      </c>
      <c r="W902" s="194">
        <f>IFERROR(IF(INDEX([1]Pivot!$AD$1:$BE$65000,$B902,W$5)=1,1,IF(INDEX([1]Pivot!$B$1:$AB$65000,$B902,W$5)="",2,0)),0)</f>
        <v>0</v>
      </c>
      <c r="X902" s="194">
        <f>IFERROR(IF(INDEX([1]Pivot!$AD$1:$BE$65000,$B902,X$5)=1,1,IF(INDEX([1]Pivot!$B$1:$AB$65000,$B902,X$5)="",2,0)),0)</f>
        <v>0</v>
      </c>
      <c r="Y902" s="194">
        <f>IFERROR(IF(INDEX([1]Pivot!$AD$1:$BE$65000,$B902,Y$5)=1,1,IF(INDEX([1]Pivot!$B$1:$AB$65000,$B902,Y$5)="",2,0)),0)</f>
        <v>0</v>
      </c>
      <c r="Z902" s="194">
        <f>IFERROR(IF(INDEX([1]Pivot!$AD$1:$BE$65000,$B902,Z$5)=1,1,IF(INDEX([1]Pivot!$B$1:$AB$65000,$B902,Z$5)="",2,0)),0)</f>
        <v>0</v>
      </c>
      <c r="AA902" s="194">
        <f>IFERROR(IF(INDEX([1]Pivot!$AD$1:$BE$65000,$B902,AA$5)=1,1,IF(INDEX([1]Pivot!$B$1:$AB$65000,$B902,AA$5)="",2,0)),0)</f>
        <v>0</v>
      </c>
      <c r="AB902" s="194">
        <f>IFERROR(IF(INDEX([1]Pivot!$AD$1:$BE$65000,$B902,AB$5)=1,1,IF(INDEX([1]Pivot!$B$1:$AB$65000,$B902,AB$5)="",2,0)),0)</f>
        <v>0</v>
      </c>
      <c r="AC902" s="194">
        <f>IFERROR(IF(INDEX([1]Pivot!$AD$1:$BE$65000,$B902,AC$5)=1,1,IF(INDEX([1]Pivot!$B$1:$AB$65000,$B902,AC$5)="",2,0)),0)</f>
        <v>0</v>
      </c>
      <c r="AD902" s="313">
        <f>IFERROR(IF(INDEX([1]Pivot!$BF$1:$CG$65000,$B902,AD$5)=1,1,IF(INDEX([1]Pivot!$B$1:$AB$65000,$B902,AD$5)="",2,0)),0)</f>
        <v>0</v>
      </c>
      <c r="AE902" s="313">
        <f>IFERROR(IF(INDEX([1]Pivot!$BF$1:$CG$65000,$B902,AE$5)=1,1,IF(INDEX([1]Pivot!$B$1:$AB$65000,$B902,AE$5)="",2,0)),0)</f>
        <v>0</v>
      </c>
      <c r="AF902" s="313">
        <f>IFERROR(IF(INDEX([1]Pivot!$BF$1:$CG$65000,$B902,AF$5)=1,1,IF(INDEX([1]Pivot!$B$1:$AB$65000,$B902,AF$5)="",2,0)),0)</f>
        <v>0</v>
      </c>
      <c r="AG902" s="313">
        <f>IFERROR(IF(INDEX([1]Pivot!$BF$1:$CG$65000,$B902,AG$5)=1,1,IF(INDEX([1]Pivot!$B$1:$AB$65000,$B902,AG$5)="",2,0)),0)</f>
        <v>0</v>
      </c>
      <c r="AH902" s="313">
        <f>IFERROR(IF(INDEX([1]Pivot!$BF$1:$CG$65000,$B902,AH$5)=1,1,IF(INDEX([1]Pivot!$B$1:$AB$65000,$B902,AH$5)="",2,0)),0)</f>
        <v>0</v>
      </c>
      <c r="AI902" s="313">
        <f>IFERROR(IF(INDEX([1]Pivot!$BF$1:$CG$65000,$B902,AI$5)=1,1,IF(INDEX([1]Pivot!$B$1:$AB$65000,$B902,AI$5)="",2,0)),0)</f>
        <v>0</v>
      </c>
      <c r="AJ902" s="313">
        <f>IFERROR(IF(INDEX([1]Pivot!$BF$1:$CG$65000,$B902,AJ$5)=1,1,IF(INDEX([1]Pivot!$B$1:$AB$65000,$B902,AJ$5)="",2,0)),0)</f>
        <v>0</v>
      </c>
      <c r="AK902" s="313">
        <f>IFERROR(IF(INDEX([1]Pivot!$BF$1:$CG$65000,$B902,AK$5)=1,1,IF(INDEX([1]Pivot!$B$1:$AB$65000,$B902,AK$5)="",2,0)),0)</f>
        <v>0</v>
      </c>
      <c r="AL902" s="313">
        <f>IFERROR(IF(INDEX([1]Pivot!$BF$1:$CG$65000,$B902,AL$5)=1,1,IF(INDEX([1]Pivot!$B$1:$AB$65000,$B902,AL$5)="",2,0)),0)</f>
        <v>0</v>
      </c>
      <c r="AM902" s="313">
        <f>IFERROR(IF(INDEX([1]Pivot!$BF$1:$CG$65000,$B902,AM$5)=1,1,IF(INDEX([1]Pivot!$B$1:$AB$65000,$B902,AM$5)="",2,0)),0)</f>
        <v>0</v>
      </c>
      <c r="AN902" s="313">
        <f>IFERROR(IF(INDEX([1]Pivot!$BF$1:$CG$65000,$B902,AN$5)=1,1,IF(INDEX([1]Pivot!$B$1:$AB$65000,$B902,AN$5)="",2,0)),0)</f>
        <v>0</v>
      </c>
      <c r="AO902" s="313">
        <f>IFERROR(IF(INDEX([1]Pivot!$BF$1:$CG$65000,$B902,AO$5)=1,1,IF(INDEX([1]Pivot!$B$1:$AB$65000,$B902,AO$5)="",2,0)),0)</f>
        <v>0</v>
      </c>
      <c r="AP902" s="313">
        <f>IFERROR(IF(INDEX([1]Pivot!$BF$1:$CG$65000,$B902,AP$5)=1,1,IF(INDEX([1]Pivot!$B$1:$AB$65000,$B902,AP$5)="",2,0)),0)</f>
        <v>0</v>
      </c>
      <c r="AQ902" s="313">
        <f>IFERROR(IF(INDEX([1]Pivot!$BF$1:$CG$65000,$B902,AQ$5)=1,1,IF(INDEX([1]Pivot!$B$1:$AB$65000,$B902,AQ$5)="",2,0)),0)</f>
        <v>0</v>
      </c>
      <c r="AR902" s="313">
        <f>IFERROR(IF(INDEX([1]Pivot!$BF$1:$CG$65000,$B902,AR$5)=1,1,IF(INDEX([1]Pivot!$B$1:$AB$65000,$B902,AR$5)="",2,0)),0)</f>
        <v>0</v>
      </c>
      <c r="AS902" s="312"/>
      <c r="AT902" s="313">
        <f>IFERROR(IF(INDEX([1]Pivot!$BF$1:$CG$65000,$B902,AT$5)=1,1,IF(INDEX([1]Pivot!$B$1:$AB$65000,$B902,AT$5)="",2,0)),0)</f>
        <v>0</v>
      </c>
      <c r="AU902" s="313">
        <f>IFERROR(IF(INDEX([1]Pivot!$BF$1:$CG$65000,$B902,AU$5)=1,1,IF(INDEX([1]Pivot!$B$1:$AB$65000,$B902,AU$5)="",2,0)),0)</f>
        <v>0</v>
      </c>
      <c r="AV902" s="313">
        <f>IFERROR(IF(INDEX([1]Pivot!$BF$1:$CG$65000,$B902,AV$5)=1,1,IF(INDEX([1]Pivot!$B$1:$AB$65000,$B902,AV$5)="",2,0)),0)</f>
        <v>0</v>
      </c>
      <c r="AW902" s="313">
        <f>IFERROR(IF(INDEX([1]Pivot!$BF$1:$CG$65000,$B902,AW$5)=1,1,IF(INDEX([1]Pivot!$B$1:$AB$65000,$B902,AW$5)="",2,0)),0)</f>
        <v>0</v>
      </c>
      <c r="AX902" s="313">
        <f>IFERROR(IF(INDEX([1]Pivot!$BF$1:$CG$65000,$B902,AX$5)=1,1,IF(INDEX([1]Pivot!$B$1:$AB$65000,$B902,AX$5)="",2,0)),0)</f>
        <v>0</v>
      </c>
      <c r="AY902" s="313">
        <f>IFERROR(IF(INDEX([1]Pivot!$BF$1:$CG$65000,$B902,AY$5)=1,1,IF(INDEX([1]Pivot!$B$1:$AB$65000,$B902,AY$5)="",2,0)),0)</f>
        <v>0</v>
      </c>
      <c r="AZ902" s="313">
        <f>IFERROR(IF(INDEX([1]Pivot!$BF$1:$CG$65000,$B902,AZ$5)=1,1,IF(INDEX([1]Pivot!$B$1:$AB$65000,$B902,AZ$5)="",2,0)),0)</f>
        <v>0</v>
      </c>
      <c r="BA902" s="313">
        <f>IFERROR(IF(INDEX([1]Pivot!$BF$1:$CG$65000,$B902,BA$5)=1,1,IF(INDEX([1]Pivot!$B$1:$AB$65000,$B902,BA$5)="",2,0)),0)</f>
        <v>0</v>
      </c>
      <c r="BB902" s="313">
        <f>IFERROR(IF(INDEX([1]Pivot!$BF$1:$CG$65000,$B902,BB$5)=1,1,IF(INDEX([1]Pivot!$B$1:$AB$65000,$B902,BB$5)="",2,0)),0)</f>
        <v>0</v>
      </c>
      <c r="BC902" s="313">
        <f>IFERROR(IF(INDEX([1]Pivot!$BF$1:$CG$65000,$B902,BC$5)=1,1,IF(INDEX([1]Pivot!$B$1:$AB$65000,$B902,BC$5)="",2,0)),0)</f>
        <v>0</v>
      </c>
      <c r="BD902" s="313">
        <f>IFERROR(IF(INDEX([1]Pivot!$BF$1:$CG$65000,$B902,BD$5)=1,1,IF(INDEX([1]Pivot!$B$1:$AB$65000,$B902,BD$5)="",2,0)),0)</f>
        <v>0</v>
      </c>
    </row>
    <row r="903" spans="1:56" x14ac:dyDescent="0.25">
      <c r="A903" s="288">
        <f>'[2]Raw Milk Prices'!A903</f>
        <v>0</v>
      </c>
      <c r="B903" s="296" t="e">
        <f>MATCH(DATE(LEFT('[2]Raw Milk Prices'!$A903,4),RIGHT('[2]Raw Milk Prices'!$A903,2),1),[1]Pivot!$A$1:$A$65000,0)</f>
        <v>#VALUE!</v>
      </c>
      <c r="C903" s="194">
        <f>IFERROR(IF(INDEX([1]Pivot!$AD$1:$BE$65000,$B903,C$5)=1,1,IF(INDEX([1]Pivot!$B$1:$AB$65000,$B903,C$5)="",2,0)),0)</f>
        <v>0</v>
      </c>
      <c r="D903" s="194">
        <f>IFERROR(IF(INDEX([1]Pivot!$AD$1:$BE$65000,$B903,D$5)=1,1,IF(INDEX([1]Pivot!$B$1:$AB$65000,$B903,D$5)="",2,0)),0)</f>
        <v>0</v>
      </c>
      <c r="E903" s="194">
        <f>IFERROR(IF(INDEX([1]Pivot!$AD$1:$BE$65000,$B903,E$5)=1,1,IF(INDEX([1]Pivot!$B$1:$AB$65000,$B903,E$5)="",2,0)),0)</f>
        <v>0</v>
      </c>
      <c r="F903" s="194">
        <f>IFERROR(IF(INDEX([1]Pivot!$AD$1:$BE$65000,$B903,F$5)=1,1,IF(INDEX([1]Pivot!$B$1:$AB$65000,$B903,F$5)="",2,0)),0)</f>
        <v>0</v>
      </c>
      <c r="G903" s="194">
        <f>IFERROR(IF(INDEX([1]Pivot!$AD$1:$BE$65000,$B903,G$5)=1,1,IF(INDEX([1]Pivot!$B$1:$AB$65000,$B903,G$5)="",2,0)),0)</f>
        <v>0</v>
      </c>
      <c r="H903" s="194">
        <f>IFERROR(IF(INDEX([1]Pivot!$AD$1:$BE$65000,$B903,H$5)=1,1,IF(INDEX([1]Pivot!$B$1:$AB$65000,$B903,H$5)="",2,0)),0)</f>
        <v>0</v>
      </c>
      <c r="I903" s="194">
        <f>IFERROR(IF(INDEX([1]Pivot!$AD$1:$BE$65000,$B903,I$5)=1,1,IF(INDEX([1]Pivot!$B$1:$AB$65000,$B903,I$5)="",2,0)),0)</f>
        <v>0</v>
      </c>
      <c r="J903" s="194">
        <f>IFERROR(IF(INDEX([1]Pivot!$AD$1:$BE$65000,$B903,J$5)=1,1,IF(INDEX([1]Pivot!$B$1:$AB$65000,$B903,J$5)="",2,0)),0)</f>
        <v>0</v>
      </c>
      <c r="K903" s="194">
        <f>IFERROR(IF(INDEX([1]Pivot!$AD$1:$BE$65000,$B903,K$5)=1,1,IF(INDEX([1]Pivot!$B$1:$AB$65000,$B903,K$5)="",2,0)),0)</f>
        <v>0</v>
      </c>
      <c r="L903" s="194">
        <f>IFERROR(IF(INDEX([1]Pivot!$AD$1:$BE$65000,$B903,L$5)=1,1,IF(INDEX([1]Pivot!$B$1:$AB$65000,$B903,L$5)="",2,0)),0)</f>
        <v>0</v>
      </c>
      <c r="M903" s="194">
        <f>IFERROR(IF(INDEX([1]Pivot!$AD$1:$BE$65000,$B903,M$5)=1,1,IF(INDEX([1]Pivot!$B$1:$AB$65000,$B903,M$5)="",2,0)),0)</f>
        <v>0</v>
      </c>
      <c r="N903" s="194">
        <f>IFERROR(IF(INDEX([1]Pivot!$AD$1:$BE$65000,$B903,N$5)=1,1,IF(INDEX([1]Pivot!$B$1:$AB$65000,$B903,N$5)="",2,0)),0)</f>
        <v>0</v>
      </c>
      <c r="O903" s="194">
        <f>IFERROR(IF(INDEX([1]Pivot!$AD$1:$BE$65000,$B903,O$5)=1,1,IF(INDEX([1]Pivot!$B$1:$AB$65000,$B903,O$5)="",2,0)),0)</f>
        <v>0</v>
      </c>
      <c r="P903" s="194">
        <f>IFERROR(IF(INDEX([1]Pivot!$AD$1:$BE$65000,$B903,P$5)=1,1,IF(INDEX([1]Pivot!$B$1:$AB$65000,$B903,P$5)="",2,0)),0)</f>
        <v>0</v>
      </c>
      <c r="Q903" s="194">
        <f>IFERROR(IF(INDEX([1]Pivot!$AD$1:$BE$65000,$B903,Q$5)=1,1,IF(INDEX([1]Pivot!$B$1:$AB$65000,$B903,Q$5)="",2,0)),0)</f>
        <v>0</v>
      </c>
      <c r="R903" s="312"/>
      <c r="S903" s="194">
        <f>IFERROR(IF(INDEX([1]Pivot!$AD$1:$BE$65000,$B903,S$5)=1,1,IF(INDEX([1]Pivot!$B$1:$AB$65000,$B903,S$5)="",2,0)),0)</f>
        <v>0</v>
      </c>
      <c r="T903" s="194">
        <f>IFERROR(IF(INDEX([1]Pivot!$AD$1:$BE$65000,$B903,T$5)=1,1,IF(INDEX([1]Pivot!$B$1:$AB$65000,$B903,T$5)="",2,0)),0)</f>
        <v>0</v>
      </c>
      <c r="U903" s="194">
        <f>IFERROR(IF(INDEX([1]Pivot!$AD$1:$BE$65000,$B903,U$5)=1,1,IF(INDEX([1]Pivot!$B$1:$AB$65000,$B903,U$5)="",2,0)),0)</f>
        <v>0</v>
      </c>
      <c r="V903" s="194">
        <f>IFERROR(IF(INDEX([1]Pivot!$AD$1:$BE$65000,$B903,V$5)=1,1,IF(INDEX([1]Pivot!$B$1:$AB$65000,$B903,V$5)="",2,0)),0)</f>
        <v>0</v>
      </c>
      <c r="W903" s="194">
        <f>IFERROR(IF(INDEX([1]Pivot!$AD$1:$BE$65000,$B903,W$5)=1,1,IF(INDEX([1]Pivot!$B$1:$AB$65000,$B903,W$5)="",2,0)),0)</f>
        <v>0</v>
      </c>
      <c r="X903" s="194">
        <f>IFERROR(IF(INDEX([1]Pivot!$AD$1:$BE$65000,$B903,X$5)=1,1,IF(INDEX([1]Pivot!$B$1:$AB$65000,$B903,X$5)="",2,0)),0)</f>
        <v>0</v>
      </c>
      <c r="Y903" s="194">
        <f>IFERROR(IF(INDEX([1]Pivot!$AD$1:$BE$65000,$B903,Y$5)=1,1,IF(INDEX([1]Pivot!$B$1:$AB$65000,$B903,Y$5)="",2,0)),0)</f>
        <v>0</v>
      </c>
      <c r="Z903" s="194">
        <f>IFERROR(IF(INDEX([1]Pivot!$AD$1:$BE$65000,$B903,Z$5)=1,1,IF(INDEX([1]Pivot!$B$1:$AB$65000,$B903,Z$5)="",2,0)),0)</f>
        <v>0</v>
      </c>
      <c r="AA903" s="194">
        <f>IFERROR(IF(INDEX([1]Pivot!$AD$1:$BE$65000,$B903,AA$5)=1,1,IF(INDEX([1]Pivot!$B$1:$AB$65000,$B903,AA$5)="",2,0)),0)</f>
        <v>0</v>
      </c>
      <c r="AB903" s="194">
        <f>IFERROR(IF(INDEX([1]Pivot!$AD$1:$BE$65000,$B903,AB$5)=1,1,IF(INDEX([1]Pivot!$B$1:$AB$65000,$B903,AB$5)="",2,0)),0)</f>
        <v>0</v>
      </c>
      <c r="AC903" s="194">
        <f>IFERROR(IF(INDEX([1]Pivot!$AD$1:$BE$65000,$B903,AC$5)=1,1,IF(INDEX([1]Pivot!$B$1:$AB$65000,$B903,AC$5)="",2,0)),0)</f>
        <v>0</v>
      </c>
      <c r="AD903" s="313">
        <f>IFERROR(IF(INDEX([1]Pivot!$BF$1:$CG$65000,$B903,AD$5)=1,1,IF(INDEX([1]Pivot!$B$1:$AB$65000,$B903,AD$5)="",2,0)),0)</f>
        <v>0</v>
      </c>
      <c r="AE903" s="313">
        <f>IFERROR(IF(INDEX([1]Pivot!$BF$1:$CG$65000,$B903,AE$5)=1,1,IF(INDEX([1]Pivot!$B$1:$AB$65000,$B903,AE$5)="",2,0)),0)</f>
        <v>0</v>
      </c>
      <c r="AF903" s="313">
        <f>IFERROR(IF(INDEX([1]Pivot!$BF$1:$CG$65000,$B903,AF$5)=1,1,IF(INDEX([1]Pivot!$B$1:$AB$65000,$B903,AF$5)="",2,0)),0)</f>
        <v>0</v>
      </c>
      <c r="AG903" s="313">
        <f>IFERROR(IF(INDEX([1]Pivot!$BF$1:$CG$65000,$B903,AG$5)=1,1,IF(INDEX([1]Pivot!$B$1:$AB$65000,$B903,AG$5)="",2,0)),0)</f>
        <v>0</v>
      </c>
      <c r="AH903" s="313">
        <f>IFERROR(IF(INDEX([1]Pivot!$BF$1:$CG$65000,$B903,AH$5)=1,1,IF(INDEX([1]Pivot!$B$1:$AB$65000,$B903,AH$5)="",2,0)),0)</f>
        <v>0</v>
      </c>
      <c r="AI903" s="313">
        <f>IFERROR(IF(INDEX([1]Pivot!$BF$1:$CG$65000,$B903,AI$5)=1,1,IF(INDEX([1]Pivot!$B$1:$AB$65000,$B903,AI$5)="",2,0)),0)</f>
        <v>0</v>
      </c>
      <c r="AJ903" s="313">
        <f>IFERROR(IF(INDEX([1]Pivot!$BF$1:$CG$65000,$B903,AJ$5)=1,1,IF(INDEX([1]Pivot!$B$1:$AB$65000,$B903,AJ$5)="",2,0)),0)</f>
        <v>0</v>
      </c>
      <c r="AK903" s="313">
        <f>IFERROR(IF(INDEX([1]Pivot!$BF$1:$CG$65000,$B903,AK$5)=1,1,IF(INDEX([1]Pivot!$B$1:$AB$65000,$B903,AK$5)="",2,0)),0)</f>
        <v>0</v>
      </c>
      <c r="AL903" s="313">
        <f>IFERROR(IF(INDEX([1]Pivot!$BF$1:$CG$65000,$B903,AL$5)=1,1,IF(INDEX([1]Pivot!$B$1:$AB$65000,$B903,AL$5)="",2,0)),0)</f>
        <v>0</v>
      </c>
      <c r="AM903" s="313">
        <f>IFERROR(IF(INDEX([1]Pivot!$BF$1:$CG$65000,$B903,AM$5)=1,1,IF(INDEX([1]Pivot!$B$1:$AB$65000,$B903,AM$5)="",2,0)),0)</f>
        <v>0</v>
      </c>
      <c r="AN903" s="313">
        <f>IFERROR(IF(INDEX([1]Pivot!$BF$1:$CG$65000,$B903,AN$5)=1,1,IF(INDEX([1]Pivot!$B$1:$AB$65000,$B903,AN$5)="",2,0)),0)</f>
        <v>0</v>
      </c>
      <c r="AO903" s="313">
        <f>IFERROR(IF(INDEX([1]Pivot!$BF$1:$CG$65000,$B903,AO$5)=1,1,IF(INDEX([1]Pivot!$B$1:$AB$65000,$B903,AO$5)="",2,0)),0)</f>
        <v>0</v>
      </c>
      <c r="AP903" s="313">
        <f>IFERROR(IF(INDEX([1]Pivot!$BF$1:$CG$65000,$B903,AP$5)=1,1,IF(INDEX([1]Pivot!$B$1:$AB$65000,$B903,AP$5)="",2,0)),0)</f>
        <v>0</v>
      </c>
      <c r="AQ903" s="313">
        <f>IFERROR(IF(INDEX([1]Pivot!$BF$1:$CG$65000,$B903,AQ$5)=1,1,IF(INDEX([1]Pivot!$B$1:$AB$65000,$B903,AQ$5)="",2,0)),0)</f>
        <v>0</v>
      </c>
      <c r="AR903" s="313">
        <f>IFERROR(IF(INDEX([1]Pivot!$BF$1:$CG$65000,$B903,AR$5)=1,1,IF(INDEX([1]Pivot!$B$1:$AB$65000,$B903,AR$5)="",2,0)),0)</f>
        <v>0</v>
      </c>
      <c r="AS903" s="312"/>
      <c r="AT903" s="313">
        <f>IFERROR(IF(INDEX([1]Pivot!$BF$1:$CG$65000,$B903,AT$5)=1,1,IF(INDEX([1]Pivot!$B$1:$AB$65000,$B903,AT$5)="",2,0)),0)</f>
        <v>0</v>
      </c>
      <c r="AU903" s="313">
        <f>IFERROR(IF(INDEX([1]Pivot!$BF$1:$CG$65000,$B903,AU$5)=1,1,IF(INDEX([1]Pivot!$B$1:$AB$65000,$B903,AU$5)="",2,0)),0)</f>
        <v>0</v>
      </c>
      <c r="AV903" s="313">
        <f>IFERROR(IF(INDEX([1]Pivot!$BF$1:$CG$65000,$B903,AV$5)=1,1,IF(INDEX([1]Pivot!$B$1:$AB$65000,$B903,AV$5)="",2,0)),0)</f>
        <v>0</v>
      </c>
      <c r="AW903" s="313">
        <f>IFERROR(IF(INDEX([1]Pivot!$BF$1:$CG$65000,$B903,AW$5)=1,1,IF(INDEX([1]Pivot!$B$1:$AB$65000,$B903,AW$5)="",2,0)),0)</f>
        <v>0</v>
      </c>
      <c r="AX903" s="313">
        <f>IFERROR(IF(INDEX([1]Pivot!$BF$1:$CG$65000,$B903,AX$5)=1,1,IF(INDEX([1]Pivot!$B$1:$AB$65000,$B903,AX$5)="",2,0)),0)</f>
        <v>0</v>
      </c>
      <c r="AY903" s="313">
        <f>IFERROR(IF(INDEX([1]Pivot!$BF$1:$CG$65000,$B903,AY$5)=1,1,IF(INDEX([1]Pivot!$B$1:$AB$65000,$B903,AY$5)="",2,0)),0)</f>
        <v>0</v>
      </c>
      <c r="AZ903" s="313">
        <f>IFERROR(IF(INDEX([1]Pivot!$BF$1:$CG$65000,$B903,AZ$5)=1,1,IF(INDEX([1]Pivot!$B$1:$AB$65000,$B903,AZ$5)="",2,0)),0)</f>
        <v>0</v>
      </c>
      <c r="BA903" s="313">
        <f>IFERROR(IF(INDEX([1]Pivot!$BF$1:$CG$65000,$B903,BA$5)=1,1,IF(INDEX([1]Pivot!$B$1:$AB$65000,$B903,BA$5)="",2,0)),0)</f>
        <v>0</v>
      </c>
      <c r="BB903" s="313">
        <f>IFERROR(IF(INDEX([1]Pivot!$BF$1:$CG$65000,$B903,BB$5)=1,1,IF(INDEX([1]Pivot!$B$1:$AB$65000,$B903,BB$5)="",2,0)),0)</f>
        <v>0</v>
      </c>
      <c r="BC903" s="313">
        <f>IFERROR(IF(INDEX([1]Pivot!$BF$1:$CG$65000,$B903,BC$5)=1,1,IF(INDEX([1]Pivot!$B$1:$AB$65000,$B903,BC$5)="",2,0)),0)</f>
        <v>0</v>
      </c>
      <c r="BD903" s="313">
        <f>IFERROR(IF(INDEX([1]Pivot!$BF$1:$CG$65000,$B903,BD$5)=1,1,IF(INDEX([1]Pivot!$B$1:$AB$65000,$B903,BD$5)="",2,0)),0)</f>
        <v>0</v>
      </c>
    </row>
    <row r="904" spans="1:56" x14ac:dyDescent="0.25">
      <c r="A904" s="288">
        <f>'[2]Raw Milk Prices'!A904</f>
        <v>0</v>
      </c>
      <c r="B904" s="296" t="e">
        <f>MATCH(DATE(LEFT('[2]Raw Milk Prices'!$A904,4),RIGHT('[2]Raw Milk Prices'!$A904,2),1),[1]Pivot!$A$1:$A$65000,0)</f>
        <v>#VALUE!</v>
      </c>
      <c r="C904" s="194">
        <f>IFERROR(IF(INDEX([1]Pivot!$AD$1:$BE$65000,$B904,C$5)=1,1,IF(INDEX([1]Pivot!$B$1:$AB$65000,$B904,C$5)="",2,0)),0)</f>
        <v>0</v>
      </c>
      <c r="D904" s="194">
        <f>IFERROR(IF(INDEX([1]Pivot!$AD$1:$BE$65000,$B904,D$5)=1,1,IF(INDEX([1]Pivot!$B$1:$AB$65000,$B904,D$5)="",2,0)),0)</f>
        <v>0</v>
      </c>
      <c r="E904" s="194">
        <f>IFERROR(IF(INDEX([1]Pivot!$AD$1:$BE$65000,$B904,E$5)=1,1,IF(INDEX([1]Pivot!$B$1:$AB$65000,$B904,E$5)="",2,0)),0)</f>
        <v>0</v>
      </c>
      <c r="F904" s="194">
        <f>IFERROR(IF(INDEX([1]Pivot!$AD$1:$BE$65000,$B904,F$5)=1,1,IF(INDEX([1]Pivot!$B$1:$AB$65000,$B904,F$5)="",2,0)),0)</f>
        <v>0</v>
      </c>
      <c r="G904" s="194">
        <f>IFERROR(IF(INDEX([1]Pivot!$AD$1:$BE$65000,$B904,G$5)=1,1,IF(INDEX([1]Pivot!$B$1:$AB$65000,$B904,G$5)="",2,0)),0)</f>
        <v>0</v>
      </c>
      <c r="H904" s="194">
        <f>IFERROR(IF(INDEX([1]Pivot!$AD$1:$BE$65000,$B904,H$5)=1,1,IF(INDEX([1]Pivot!$B$1:$AB$65000,$B904,H$5)="",2,0)),0)</f>
        <v>0</v>
      </c>
      <c r="I904" s="194">
        <f>IFERROR(IF(INDEX([1]Pivot!$AD$1:$BE$65000,$B904,I$5)=1,1,IF(INDEX([1]Pivot!$B$1:$AB$65000,$B904,I$5)="",2,0)),0)</f>
        <v>0</v>
      </c>
      <c r="J904" s="194">
        <f>IFERROR(IF(INDEX([1]Pivot!$AD$1:$BE$65000,$B904,J$5)=1,1,IF(INDEX([1]Pivot!$B$1:$AB$65000,$B904,J$5)="",2,0)),0)</f>
        <v>0</v>
      </c>
      <c r="K904" s="194">
        <f>IFERROR(IF(INDEX([1]Pivot!$AD$1:$BE$65000,$B904,K$5)=1,1,IF(INDEX([1]Pivot!$B$1:$AB$65000,$B904,K$5)="",2,0)),0)</f>
        <v>0</v>
      </c>
      <c r="L904" s="194">
        <f>IFERROR(IF(INDEX([1]Pivot!$AD$1:$BE$65000,$B904,L$5)=1,1,IF(INDEX([1]Pivot!$B$1:$AB$65000,$B904,L$5)="",2,0)),0)</f>
        <v>0</v>
      </c>
      <c r="M904" s="194">
        <f>IFERROR(IF(INDEX([1]Pivot!$AD$1:$BE$65000,$B904,M$5)=1,1,IF(INDEX([1]Pivot!$B$1:$AB$65000,$B904,M$5)="",2,0)),0)</f>
        <v>0</v>
      </c>
      <c r="N904" s="194">
        <f>IFERROR(IF(INDEX([1]Pivot!$AD$1:$BE$65000,$B904,N$5)=1,1,IF(INDEX([1]Pivot!$B$1:$AB$65000,$B904,N$5)="",2,0)),0)</f>
        <v>0</v>
      </c>
      <c r="O904" s="194">
        <f>IFERROR(IF(INDEX([1]Pivot!$AD$1:$BE$65000,$B904,O$5)=1,1,IF(INDEX([1]Pivot!$B$1:$AB$65000,$B904,O$5)="",2,0)),0)</f>
        <v>0</v>
      </c>
      <c r="P904" s="194">
        <f>IFERROR(IF(INDEX([1]Pivot!$AD$1:$BE$65000,$B904,P$5)=1,1,IF(INDEX([1]Pivot!$B$1:$AB$65000,$B904,P$5)="",2,0)),0)</f>
        <v>0</v>
      </c>
      <c r="Q904" s="194">
        <f>IFERROR(IF(INDEX([1]Pivot!$AD$1:$BE$65000,$B904,Q$5)=1,1,IF(INDEX([1]Pivot!$B$1:$AB$65000,$B904,Q$5)="",2,0)),0)</f>
        <v>0</v>
      </c>
      <c r="R904" s="312"/>
      <c r="S904" s="194">
        <f>IFERROR(IF(INDEX([1]Pivot!$AD$1:$BE$65000,$B904,S$5)=1,1,IF(INDEX([1]Pivot!$B$1:$AB$65000,$B904,S$5)="",2,0)),0)</f>
        <v>0</v>
      </c>
      <c r="T904" s="194">
        <f>IFERROR(IF(INDEX([1]Pivot!$AD$1:$BE$65000,$B904,T$5)=1,1,IF(INDEX([1]Pivot!$B$1:$AB$65000,$B904,T$5)="",2,0)),0)</f>
        <v>0</v>
      </c>
      <c r="U904" s="194">
        <f>IFERROR(IF(INDEX([1]Pivot!$AD$1:$BE$65000,$B904,U$5)=1,1,IF(INDEX([1]Pivot!$B$1:$AB$65000,$B904,U$5)="",2,0)),0)</f>
        <v>0</v>
      </c>
      <c r="V904" s="194">
        <f>IFERROR(IF(INDEX([1]Pivot!$AD$1:$BE$65000,$B904,V$5)=1,1,IF(INDEX([1]Pivot!$B$1:$AB$65000,$B904,V$5)="",2,0)),0)</f>
        <v>0</v>
      </c>
      <c r="W904" s="194">
        <f>IFERROR(IF(INDEX([1]Pivot!$AD$1:$BE$65000,$B904,W$5)=1,1,IF(INDEX([1]Pivot!$B$1:$AB$65000,$B904,W$5)="",2,0)),0)</f>
        <v>0</v>
      </c>
      <c r="X904" s="194">
        <f>IFERROR(IF(INDEX([1]Pivot!$AD$1:$BE$65000,$B904,X$5)=1,1,IF(INDEX([1]Pivot!$B$1:$AB$65000,$B904,X$5)="",2,0)),0)</f>
        <v>0</v>
      </c>
      <c r="Y904" s="194">
        <f>IFERROR(IF(INDEX([1]Pivot!$AD$1:$BE$65000,$B904,Y$5)=1,1,IF(INDEX([1]Pivot!$B$1:$AB$65000,$B904,Y$5)="",2,0)),0)</f>
        <v>0</v>
      </c>
      <c r="Z904" s="194">
        <f>IFERROR(IF(INDEX([1]Pivot!$AD$1:$BE$65000,$B904,Z$5)=1,1,IF(INDEX([1]Pivot!$B$1:$AB$65000,$B904,Z$5)="",2,0)),0)</f>
        <v>0</v>
      </c>
      <c r="AA904" s="194">
        <f>IFERROR(IF(INDEX([1]Pivot!$AD$1:$BE$65000,$B904,AA$5)=1,1,IF(INDEX([1]Pivot!$B$1:$AB$65000,$B904,AA$5)="",2,0)),0)</f>
        <v>0</v>
      </c>
      <c r="AB904" s="194">
        <f>IFERROR(IF(INDEX([1]Pivot!$AD$1:$BE$65000,$B904,AB$5)=1,1,IF(INDEX([1]Pivot!$B$1:$AB$65000,$B904,AB$5)="",2,0)),0)</f>
        <v>0</v>
      </c>
      <c r="AC904" s="194">
        <f>IFERROR(IF(INDEX([1]Pivot!$AD$1:$BE$65000,$B904,AC$5)=1,1,IF(INDEX([1]Pivot!$B$1:$AB$65000,$B904,AC$5)="",2,0)),0)</f>
        <v>0</v>
      </c>
      <c r="AD904" s="313">
        <f>IFERROR(IF(INDEX([1]Pivot!$BF$1:$CG$65000,$B904,AD$5)=1,1,IF(INDEX([1]Pivot!$B$1:$AB$65000,$B904,AD$5)="",2,0)),0)</f>
        <v>0</v>
      </c>
      <c r="AE904" s="313">
        <f>IFERROR(IF(INDEX([1]Pivot!$BF$1:$CG$65000,$B904,AE$5)=1,1,IF(INDEX([1]Pivot!$B$1:$AB$65000,$B904,AE$5)="",2,0)),0)</f>
        <v>0</v>
      </c>
      <c r="AF904" s="313">
        <f>IFERROR(IF(INDEX([1]Pivot!$BF$1:$CG$65000,$B904,AF$5)=1,1,IF(INDEX([1]Pivot!$B$1:$AB$65000,$B904,AF$5)="",2,0)),0)</f>
        <v>0</v>
      </c>
      <c r="AG904" s="313">
        <f>IFERROR(IF(INDEX([1]Pivot!$BF$1:$CG$65000,$B904,AG$5)=1,1,IF(INDEX([1]Pivot!$B$1:$AB$65000,$B904,AG$5)="",2,0)),0)</f>
        <v>0</v>
      </c>
      <c r="AH904" s="313">
        <f>IFERROR(IF(INDEX([1]Pivot!$BF$1:$CG$65000,$B904,AH$5)=1,1,IF(INDEX([1]Pivot!$B$1:$AB$65000,$B904,AH$5)="",2,0)),0)</f>
        <v>0</v>
      </c>
      <c r="AI904" s="313">
        <f>IFERROR(IF(INDEX([1]Pivot!$BF$1:$CG$65000,$B904,AI$5)=1,1,IF(INDEX([1]Pivot!$B$1:$AB$65000,$B904,AI$5)="",2,0)),0)</f>
        <v>0</v>
      </c>
      <c r="AJ904" s="313">
        <f>IFERROR(IF(INDEX([1]Pivot!$BF$1:$CG$65000,$B904,AJ$5)=1,1,IF(INDEX([1]Pivot!$B$1:$AB$65000,$B904,AJ$5)="",2,0)),0)</f>
        <v>0</v>
      </c>
      <c r="AK904" s="313">
        <f>IFERROR(IF(INDEX([1]Pivot!$BF$1:$CG$65000,$B904,AK$5)=1,1,IF(INDEX([1]Pivot!$B$1:$AB$65000,$B904,AK$5)="",2,0)),0)</f>
        <v>0</v>
      </c>
      <c r="AL904" s="313">
        <f>IFERROR(IF(INDEX([1]Pivot!$BF$1:$CG$65000,$B904,AL$5)=1,1,IF(INDEX([1]Pivot!$B$1:$AB$65000,$B904,AL$5)="",2,0)),0)</f>
        <v>0</v>
      </c>
      <c r="AM904" s="313">
        <f>IFERROR(IF(INDEX([1]Pivot!$BF$1:$CG$65000,$B904,AM$5)=1,1,IF(INDEX([1]Pivot!$B$1:$AB$65000,$B904,AM$5)="",2,0)),0)</f>
        <v>0</v>
      </c>
      <c r="AN904" s="313">
        <f>IFERROR(IF(INDEX([1]Pivot!$BF$1:$CG$65000,$B904,AN$5)=1,1,IF(INDEX([1]Pivot!$B$1:$AB$65000,$B904,AN$5)="",2,0)),0)</f>
        <v>0</v>
      </c>
      <c r="AO904" s="313">
        <f>IFERROR(IF(INDEX([1]Pivot!$BF$1:$CG$65000,$B904,AO$5)=1,1,IF(INDEX([1]Pivot!$B$1:$AB$65000,$B904,AO$5)="",2,0)),0)</f>
        <v>0</v>
      </c>
      <c r="AP904" s="313">
        <f>IFERROR(IF(INDEX([1]Pivot!$BF$1:$CG$65000,$B904,AP$5)=1,1,IF(INDEX([1]Pivot!$B$1:$AB$65000,$B904,AP$5)="",2,0)),0)</f>
        <v>0</v>
      </c>
      <c r="AQ904" s="313">
        <f>IFERROR(IF(INDEX([1]Pivot!$BF$1:$CG$65000,$B904,AQ$5)=1,1,IF(INDEX([1]Pivot!$B$1:$AB$65000,$B904,AQ$5)="",2,0)),0)</f>
        <v>0</v>
      </c>
      <c r="AR904" s="313">
        <f>IFERROR(IF(INDEX([1]Pivot!$BF$1:$CG$65000,$B904,AR$5)=1,1,IF(INDEX([1]Pivot!$B$1:$AB$65000,$B904,AR$5)="",2,0)),0)</f>
        <v>0</v>
      </c>
      <c r="AS904" s="312"/>
      <c r="AT904" s="313">
        <f>IFERROR(IF(INDEX([1]Pivot!$BF$1:$CG$65000,$B904,AT$5)=1,1,IF(INDEX([1]Pivot!$B$1:$AB$65000,$B904,AT$5)="",2,0)),0)</f>
        <v>0</v>
      </c>
      <c r="AU904" s="313">
        <f>IFERROR(IF(INDEX([1]Pivot!$BF$1:$CG$65000,$B904,AU$5)=1,1,IF(INDEX([1]Pivot!$B$1:$AB$65000,$B904,AU$5)="",2,0)),0)</f>
        <v>0</v>
      </c>
      <c r="AV904" s="313">
        <f>IFERROR(IF(INDEX([1]Pivot!$BF$1:$CG$65000,$B904,AV$5)=1,1,IF(INDEX([1]Pivot!$B$1:$AB$65000,$B904,AV$5)="",2,0)),0)</f>
        <v>0</v>
      </c>
      <c r="AW904" s="313">
        <f>IFERROR(IF(INDEX([1]Pivot!$BF$1:$CG$65000,$B904,AW$5)=1,1,IF(INDEX([1]Pivot!$B$1:$AB$65000,$B904,AW$5)="",2,0)),0)</f>
        <v>0</v>
      </c>
      <c r="AX904" s="313">
        <f>IFERROR(IF(INDEX([1]Pivot!$BF$1:$CG$65000,$B904,AX$5)=1,1,IF(INDEX([1]Pivot!$B$1:$AB$65000,$B904,AX$5)="",2,0)),0)</f>
        <v>0</v>
      </c>
      <c r="AY904" s="313">
        <f>IFERROR(IF(INDEX([1]Pivot!$BF$1:$CG$65000,$B904,AY$5)=1,1,IF(INDEX([1]Pivot!$B$1:$AB$65000,$B904,AY$5)="",2,0)),0)</f>
        <v>0</v>
      </c>
      <c r="AZ904" s="313">
        <f>IFERROR(IF(INDEX([1]Pivot!$BF$1:$CG$65000,$B904,AZ$5)=1,1,IF(INDEX([1]Pivot!$B$1:$AB$65000,$B904,AZ$5)="",2,0)),0)</f>
        <v>0</v>
      </c>
      <c r="BA904" s="313">
        <f>IFERROR(IF(INDEX([1]Pivot!$BF$1:$CG$65000,$B904,BA$5)=1,1,IF(INDEX([1]Pivot!$B$1:$AB$65000,$B904,BA$5)="",2,0)),0)</f>
        <v>0</v>
      </c>
      <c r="BB904" s="313">
        <f>IFERROR(IF(INDEX([1]Pivot!$BF$1:$CG$65000,$B904,BB$5)=1,1,IF(INDEX([1]Pivot!$B$1:$AB$65000,$B904,BB$5)="",2,0)),0)</f>
        <v>0</v>
      </c>
      <c r="BC904" s="313">
        <f>IFERROR(IF(INDEX([1]Pivot!$BF$1:$CG$65000,$B904,BC$5)=1,1,IF(INDEX([1]Pivot!$B$1:$AB$65000,$B904,BC$5)="",2,0)),0)</f>
        <v>0</v>
      </c>
      <c r="BD904" s="313">
        <f>IFERROR(IF(INDEX([1]Pivot!$BF$1:$CG$65000,$B904,BD$5)=1,1,IF(INDEX([1]Pivot!$B$1:$AB$65000,$B904,BD$5)="",2,0)),0)</f>
        <v>0</v>
      </c>
    </row>
    <row r="905" spans="1:56" x14ac:dyDescent="0.25">
      <c r="A905" s="288">
        <f>'[2]Raw Milk Prices'!A905</f>
        <v>0</v>
      </c>
      <c r="B905" s="296" t="e">
        <f>MATCH(DATE(LEFT('[2]Raw Milk Prices'!$A905,4),RIGHT('[2]Raw Milk Prices'!$A905,2),1),[1]Pivot!$A$1:$A$65000,0)</f>
        <v>#VALUE!</v>
      </c>
      <c r="C905" s="194">
        <f>IFERROR(IF(INDEX([1]Pivot!$AD$1:$BE$65000,$B905,C$5)=1,1,IF(INDEX([1]Pivot!$B$1:$AB$65000,$B905,C$5)="",2,0)),0)</f>
        <v>0</v>
      </c>
      <c r="D905" s="194">
        <f>IFERROR(IF(INDEX([1]Pivot!$AD$1:$BE$65000,$B905,D$5)=1,1,IF(INDEX([1]Pivot!$B$1:$AB$65000,$B905,D$5)="",2,0)),0)</f>
        <v>0</v>
      </c>
      <c r="E905" s="194">
        <f>IFERROR(IF(INDEX([1]Pivot!$AD$1:$BE$65000,$B905,E$5)=1,1,IF(INDEX([1]Pivot!$B$1:$AB$65000,$B905,E$5)="",2,0)),0)</f>
        <v>0</v>
      </c>
      <c r="F905" s="194">
        <f>IFERROR(IF(INDEX([1]Pivot!$AD$1:$BE$65000,$B905,F$5)=1,1,IF(INDEX([1]Pivot!$B$1:$AB$65000,$B905,F$5)="",2,0)),0)</f>
        <v>0</v>
      </c>
      <c r="G905" s="194">
        <f>IFERROR(IF(INDEX([1]Pivot!$AD$1:$BE$65000,$B905,G$5)=1,1,IF(INDEX([1]Pivot!$B$1:$AB$65000,$B905,G$5)="",2,0)),0)</f>
        <v>0</v>
      </c>
      <c r="H905" s="194">
        <f>IFERROR(IF(INDEX([1]Pivot!$AD$1:$BE$65000,$B905,H$5)=1,1,IF(INDEX([1]Pivot!$B$1:$AB$65000,$B905,H$5)="",2,0)),0)</f>
        <v>0</v>
      </c>
      <c r="I905" s="194">
        <f>IFERROR(IF(INDEX([1]Pivot!$AD$1:$BE$65000,$B905,I$5)=1,1,IF(INDEX([1]Pivot!$B$1:$AB$65000,$B905,I$5)="",2,0)),0)</f>
        <v>0</v>
      </c>
      <c r="J905" s="194">
        <f>IFERROR(IF(INDEX([1]Pivot!$AD$1:$BE$65000,$B905,J$5)=1,1,IF(INDEX([1]Pivot!$B$1:$AB$65000,$B905,J$5)="",2,0)),0)</f>
        <v>0</v>
      </c>
      <c r="K905" s="194">
        <f>IFERROR(IF(INDEX([1]Pivot!$AD$1:$BE$65000,$B905,K$5)=1,1,IF(INDEX([1]Pivot!$B$1:$AB$65000,$B905,K$5)="",2,0)),0)</f>
        <v>0</v>
      </c>
      <c r="L905" s="194">
        <f>IFERROR(IF(INDEX([1]Pivot!$AD$1:$BE$65000,$B905,L$5)=1,1,IF(INDEX([1]Pivot!$B$1:$AB$65000,$B905,L$5)="",2,0)),0)</f>
        <v>0</v>
      </c>
      <c r="M905" s="194">
        <f>IFERROR(IF(INDEX([1]Pivot!$AD$1:$BE$65000,$B905,M$5)=1,1,IF(INDEX([1]Pivot!$B$1:$AB$65000,$B905,M$5)="",2,0)),0)</f>
        <v>0</v>
      </c>
      <c r="N905" s="194">
        <f>IFERROR(IF(INDEX([1]Pivot!$AD$1:$BE$65000,$B905,N$5)=1,1,IF(INDEX([1]Pivot!$B$1:$AB$65000,$B905,N$5)="",2,0)),0)</f>
        <v>0</v>
      </c>
      <c r="O905" s="194">
        <f>IFERROR(IF(INDEX([1]Pivot!$AD$1:$BE$65000,$B905,O$5)=1,1,IF(INDEX([1]Pivot!$B$1:$AB$65000,$B905,O$5)="",2,0)),0)</f>
        <v>0</v>
      </c>
      <c r="P905" s="194">
        <f>IFERROR(IF(INDEX([1]Pivot!$AD$1:$BE$65000,$B905,P$5)=1,1,IF(INDEX([1]Pivot!$B$1:$AB$65000,$B905,P$5)="",2,0)),0)</f>
        <v>0</v>
      </c>
      <c r="Q905" s="194">
        <f>IFERROR(IF(INDEX([1]Pivot!$AD$1:$BE$65000,$B905,Q$5)=1,1,IF(INDEX([1]Pivot!$B$1:$AB$65000,$B905,Q$5)="",2,0)),0)</f>
        <v>0</v>
      </c>
      <c r="R905" s="312"/>
      <c r="S905" s="194">
        <f>IFERROR(IF(INDEX([1]Pivot!$AD$1:$BE$65000,$B905,S$5)=1,1,IF(INDEX([1]Pivot!$B$1:$AB$65000,$B905,S$5)="",2,0)),0)</f>
        <v>0</v>
      </c>
      <c r="T905" s="194">
        <f>IFERROR(IF(INDEX([1]Pivot!$AD$1:$BE$65000,$B905,T$5)=1,1,IF(INDEX([1]Pivot!$B$1:$AB$65000,$B905,T$5)="",2,0)),0)</f>
        <v>0</v>
      </c>
      <c r="U905" s="194">
        <f>IFERROR(IF(INDEX([1]Pivot!$AD$1:$BE$65000,$B905,U$5)=1,1,IF(INDEX([1]Pivot!$B$1:$AB$65000,$B905,U$5)="",2,0)),0)</f>
        <v>0</v>
      </c>
      <c r="V905" s="194">
        <f>IFERROR(IF(INDEX([1]Pivot!$AD$1:$BE$65000,$B905,V$5)=1,1,IF(INDEX([1]Pivot!$B$1:$AB$65000,$B905,V$5)="",2,0)),0)</f>
        <v>0</v>
      </c>
      <c r="W905" s="194">
        <f>IFERROR(IF(INDEX([1]Pivot!$AD$1:$BE$65000,$B905,W$5)=1,1,IF(INDEX([1]Pivot!$B$1:$AB$65000,$B905,W$5)="",2,0)),0)</f>
        <v>0</v>
      </c>
      <c r="X905" s="194">
        <f>IFERROR(IF(INDEX([1]Pivot!$AD$1:$BE$65000,$B905,X$5)=1,1,IF(INDEX([1]Pivot!$B$1:$AB$65000,$B905,X$5)="",2,0)),0)</f>
        <v>0</v>
      </c>
      <c r="Y905" s="194">
        <f>IFERROR(IF(INDEX([1]Pivot!$AD$1:$BE$65000,$B905,Y$5)=1,1,IF(INDEX([1]Pivot!$B$1:$AB$65000,$B905,Y$5)="",2,0)),0)</f>
        <v>0</v>
      </c>
      <c r="Z905" s="194">
        <f>IFERROR(IF(INDEX([1]Pivot!$AD$1:$BE$65000,$B905,Z$5)=1,1,IF(INDEX([1]Pivot!$B$1:$AB$65000,$B905,Z$5)="",2,0)),0)</f>
        <v>0</v>
      </c>
      <c r="AA905" s="194">
        <f>IFERROR(IF(INDEX([1]Pivot!$AD$1:$BE$65000,$B905,AA$5)=1,1,IF(INDEX([1]Pivot!$B$1:$AB$65000,$B905,AA$5)="",2,0)),0)</f>
        <v>0</v>
      </c>
      <c r="AB905" s="194">
        <f>IFERROR(IF(INDEX([1]Pivot!$AD$1:$BE$65000,$B905,AB$5)=1,1,IF(INDEX([1]Pivot!$B$1:$AB$65000,$B905,AB$5)="",2,0)),0)</f>
        <v>0</v>
      </c>
      <c r="AC905" s="194">
        <f>IFERROR(IF(INDEX([1]Pivot!$AD$1:$BE$65000,$B905,AC$5)=1,1,IF(INDEX([1]Pivot!$B$1:$AB$65000,$B905,AC$5)="",2,0)),0)</f>
        <v>0</v>
      </c>
      <c r="AD905" s="313">
        <f>IFERROR(IF(INDEX([1]Pivot!$BF$1:$CG$65000,$B905,AD$5)=1,1,IF(INDEX([1]Pivot!$B$1:$AB$65000,$B905,AD$5)="",2,0)),0)</f>
        <v>0</v>
      </c>
      <c r="AE905" s="313">
        <f>IFERROR(IF(INDEX([1]Pivot!$BF$1:$CG$65000,$B905,AE$5)=1,1,IF(INDEX([1]Pivot!$B$1:$AB$65000,$B905,AE$5)="",2,0)),0)</f>
        <v>0</v>
      </c>
      <c r="AF905" s="313">
        <f>IFERROR(IF(INDEX([1]Pivot!$BF$1:$CG$65000,$B905,AF$5)=1,1,IF(INDEX([1]Pivot!$B$1:$AB$65000,$B905,AF$5)="",2,0)),0)</f>
        <v>0</v>
      </c>
      <c r="AG905" s="313">
        <f>IFERROR(IF(INDEX([1]Pivot!$BF$1:$CG$65000,$B905,AG$5)=1,1,IF(INDEX([1]Pivot!$B$1:$AB$65000,$B905,AG$5)="",2,0)),0)</f>
        <v>0</v>
      </c>
      <c r="AH905" s="313">
        <f>IFERROR(IF(INDEX([1]Pivot!$BF$1:$CG$65000,$B905,AH$5)=1,1,IF(INDEX([1]Pivot!$B$1:$AB$65000,$B905,AH$5)="",2,0)),0)</f>
        <v>0</v>
      </c>
      <c r="AI905" s="313">
        <f>IFERROR(IF(INDEX([1]Pivot!$BF$1:$CG$65000,$B905,AI$5)=1,1,IF(INDEX([1]Pivot!$B$1:$AB$65000,$B905,AI$5)="",2,0)),0)</f>
        <v>0</v>
      </c>
      <c r="AJ905" s="313">
        <f>IFERROR(IF(INDEX([1]Pivot!$BF$1:$CG$65000,$B905,AJ$5)=1,1,IF(INDEX([1]Pivot!$B$1:$AB$65000,$B905,AJ$5)="",2,0)),0)</f>
        <v>0</v>
      </c>
      <c r="AK905" s="313">
        <f>IFERROR(IF(INDEX([1]Pivot!$BF$1:$CG$65000,$B905,AK$5)=1,1,IF(INDEX([1]Pivot!$B$1:$AB$65000,$B905,AK$5)="",2,0)),0)</f>
        <v>0</v>
      </c>
      <c r="AL905" s="313">
        <f>IFERROR(IF(INDEX([1]Pivot!$BF$1:$CG$65000,$B905,AL$5)=1,1,IF(INDEX([1]Pivot!$B$1:$AB$65000,$B905,AL$5)="",2,0)),0)</f>
        <v>0</v>
      </c>
      <c r="AM905" s="313">
        <f>IFERROR(IF(INDEX([1]Pivot!$BF$1:$CG$65000,$B905,AM$5)=1,1,IF(INDEX([1]Pivot!$B$1:$AB$65000,$B905,AM$5)="",2,0)),0)</f>
        <v>0</v>
      </c>
      <c r="AN905" s="313">
        <f>IFERROR(IF(INDEX([1]Pivot!$BF$1:$CG$65000,$B905,AN$5)=1,1,IF(INDEX([1]Pivot!$B$1:$AB$65000,$B905,AN$5)="",2,0)),0)</f>
        <v>0</v>
      </c>
      <c r="AO905" s="313">
        <f>IFERROR(IF(INDEX([1]Pivot!$BF$1:$CG$65000,$B905,AO$5)=1,1,IF(INDEX([1]Pivot!$B$1:$AB$65000,$B905,AO$5)="",2,0)),0)</f>
        <v>0</v>
      </c>
      <c r="AP905" s="313">
        <f>IFERROR(IF(INDEX([1]Pivot!$BF$1:$CG$65000,$B905,AP$5)=1,1,IF(INDEX([1]Pivot!$B$1:$AB$65000,$B905,AP$5)="",2,0)),0)</f>
        <v>0</v>
      </c>
      <c r="AQ905" s="313">
        <f>IFERROR(IF(INDEX([1]Pivot!$BF$1:$CG$65000,$B905,AQ$5)=1,1,IF(INDEX([1]Pivot!$B$1:$AB$65000,$B905,AQ$5)="",2,0)),0)</f>
        <v>0</v>
      </c>
      <c r="AR905" s="313">
        <f>IFERROR(IF(INDEX([1]Pivot!$BF$1:$CG$65000,$B905,AR$5)=1,1,IF(INDEX([1]Pivot!$B$1:$AB$65000,$B905,AR$5)="",2,0)),0)</f>
        <v>0</v>
      </c>
      <c r="AS905" s="312"/>
      <c r="AT905" s="313">
        <f>IFERROR(IF(INDEX([1]Pivot!$BF$1:$CG$65000,$B905,AT$5)=1,1,IF(INDEX([1]Pivot!$B$1:$AB$65000,$B905,AT$5)="",2,0)),0)</f>
        <v>0</v>
      </c>
      <c r="AU905" s="313">
        <f>IFERROR(IF(INDEX([1]Pivot!$BF$1:$CG$65000,$B905,AU$5)=1,1,IF(INDEX([1]Pivot!$B$1:$AB$65000,$B905,AU$5)="",2,0)),0)</f>
        <v>0</v>
      </c>
      <c r="AV905" s="313">
        <f>IFERROR(IF(INDEX([1]Pivot!$BF$1:$CG$65000,$B905,AV$5)=1,1,IF(INDEX([1]Pivot!$B$1:$AB$65000,$B905,AV$5)="",2,0)),0)</f>
        <v>0</v>
      </c>
      <c r="AW905" s="313">
        <f>IFERROR(IF(INDEX([1]Pivot!$BF$1:$CG$65000,$B905,AW$5)=1,1,IF(INDEX([1]Pivot!$B$1:$AB$65000,$B905,AW$5)="",2,0)),0)</f>
        <v>0</v>
      </c>
      <c r="AX905" s="313">
        <f>IFERROR(IF(INDEX([1]Pivot!$BF$1:$CG$65000,$B905,AX$5)=1,1,IF(INDEX([1]Pivot!$B$1:$AB$65000,$B905,AX$5)="",2,0)),0)</f>
        <v>0</v>
      </c>
      <c r="AY905" s="313">
        <f>IFERROR(IF(INDEX([1]Pivot!$BF$1:$CG$65000,$B905,AY$5)=1,1,IF(INDEX([1]Pivot!$B$1:$AB$65000,$B905,AY$5)="",2,0)),0)</f>
        <v>0</v>
      </c>
      <c r="AZ905" s="313">
        <f>IFERROR(IF(INDEX([1]Pivot!$BF$1:$CG$65000,$B905,AZ$5)=1,1,IF(INDEX([1]Pivot!$B$1:$AB$65000,$B905,AZ$5)="",2,0)),0)</f>
        <v>0</v>
      </c>
      <c r="BA905" s="313">
        <f>IFERROR(IF(INDEX([1]Pivot!$BF$1:$CG$65000,$B905,BA$5)=1,1,IF(INDEX([1]Pivot!$B$1:$AB$65000,$B905,BA$5)="",2,0)),0)</f>
        <v>0</v>
      </c>
      <c r="BB905" s="313">
        <f>IFERROR(IF(INDEX([1]Pivot!$BF$1:$CG$65000,$B905,BB$5)=1,1,IF(INDEX([1]Pivot!$B$1:$AB$65000,$B905,BB$5)="",2,0)),0)</f>
        <v>0</v>
      </c>
      <c r="BC905" s="313">
        <f>IFERROR(IF(INDEX([1]Pivot!$BF$1:$CG$65000,$B905,BC$5)=1,1,IF(INDEX([1]Pivot!$B$1:$AB$65000,$B905,BC$5)="",2,0)),0)</f>
        <v>0</v>
      </c>
      <c r="BD905" s="313">
        <f>IFERROR(IF(INDEX([1]Pivot!$BF$1:$CG$65000,$B905,BD$5)=1,1,IF(INDEX([1]Pivot!$B$1:$AB$65000,$B905,BD$5)="",2,0)),0)</f>
        <v>0</v>
      </c>
    </row>
    <row r="906" spans="1:56" x14ac:dyDescent="0.25">
      <c r="A906" s="288">
        <f>'[2]Raw Milk Prices'!A906</f>
        <v>0</v>
      </c>
      <c r="B906" s="296" t="e">
        <f>MATCH(DATE(LEFT('[2]Raw Milk Prices'!$A906,4),RIGHT('[2]Raw Milk Prices'!$A906,2),1),[1]Pivot!$A$1:$A$65000,0)</f>
        <v>#VALUE!</v>
      </c>
      <c r="C906" s="194">
        <f>IFERROR(IF(INDEX([1]Pivot!$AD$1:$BE$65000,$B906,C$5)=1,1,IF(INDEX([1]Pivot!$B$1:$AB$65000,$B906,C$5)="",2,0)),0)</f>
        <v>0</v>
      </c>
      <c r="D906" s="194">
        <f>IFERROR(IF(INDEX([1]Pivot!$AD$1:$BE$65000,$B906,D$5)=1,1,IF(INDEX([1]Pivot!$B$1:$AB$65000,$B906,D$5)="",2,0)),0)</f>
        <v>0</v>
      </c>
      <c r="E906" s="194">
        <f>IFERROR(IF(INDEX([1]Pivot!$AD$1:$BE$65000,$B906,E$5)=1,1,IF(INDEX([1]Pivot!$B$1:$AB$65000,$B906,E$5)="",2,0)),0)</f>
        <v>0</v>
      </c>
      <c r="F906" s="194">
        <f>IFERROR(IF(INDEX([1]Pivot!$AD$1:$BE$65000,$B906,F$5)=1,1,IF(INDEX([1]Pivot!$B$1:$AB$65000,$B906,F$5)="",2,0)),0)</f>
        <v>0</v>
      </c>
      <c r="G906" s="194">
        <f>IFERROR(IF(INDEX([1]Pivot!$AD$1:$BE$65000,$B906,G$5)=1,1,IF(INDEX([1]Pivot!$B$1:$AB$65000,$B906,G$5)="",2,0)),0)</f>
        <v>0</v>
      </c>
      <c r="H906" s="194">
        <f>IFERROR(IF(INDEX([1]Pivot!$AD$1:$BE$65000,$B906,H$5)=1,1,IF(INDEX([1]Pivot!$B$1:$AB$65000,$B906,H$5)="",2,0)),0)</f>
        <v>0</v>
      </c>
      <c r="I906" s="194">
        <f>IFERROR(IF(INDEX([1]Pivot!$AD$1:$BE$65000,$B906,I$5)=1,1,IF(INDEX([1]Pivot!$B$1:$AB$65000,$B906,I$5)="",2,0)),0)</f>
        <v>0</v>
      </c>
      <c r="J906" s="194">
        <f>IFERROR(IF(INDEX([1]Pivot!$AD$1:$BE$65000,$B906,J$5)=1,1,IF(INDEX([1]Pivot!$B$1:$AB$65000,$B906,J$5)="",2,0)),0)</f>
        <v>0</v>
      </c>
      <c r="K906" s="194">
        <f>IFERROR(IF(INDEX([1]Pivot!$AD$1:$BE$65000,$B906,K$5)=1,1,IF(INDEX([1]Pivot!$B$1:$AB$65000,$B906,K$5)="",2,0)),0)</f>
        <v>0</v>
      </c>
      <c r="L906" s="194">
        <f>IFERROR(IF(INDEX([1]Pivot!$AD$1:$BE$65000,$B906,L$5)=1,1,IF(INDEX([1]Pivot!$B$1:$AB$65000,$B906,L$5)="",2,0)),0)</f>
        <v>0</v>
      </c>
      <c r="M906" s="194">
        <f>IFERROR(IF(INDEX([1]Pivot!$AD$1:$BE$65000,$B906,M$5)=1,1,IF(INDEX([1]Pivot!$B$1:$AB$65000,$B906,M$5)="",2,0)),0)</f>
        <v>0</v>
      </c>
      <c r="N906" s="194">
        <f>IFERROR(IF(INDEX([1]Pivot!$AD$1:$BE$65000,$B906,N$5)=1,1,IF(INDEX([1]Pivot!$B$1:$AB$65000,$B906,N$5)="",2,0)),0)</f>
        <v>0</v>
      </c>
      <c r="O906" s="194">
        <f>IFERROR(IF(INDEX([1]Pivot!$AD$1:$BE$65000,$B906,O$5)=1,1,IF(INDEX([1]Pivot!$B$1:$AB$65000,$B906,O$5)="",2,0)),0)</f>
        <v>0</v>
      </c>
      <c r="P906" s="194">
        <f>IFERROR(IF(INDEX([1]Pivot!$AD$1:$BE$65000,$B906,P$5)=1,1,IF(INDEX([1]Pivot!$B$1:$AB$65000,$B906,P$5)="",2,0)),0)</f>
        <v>0</v>
      </c>
      <c r="Q906" s="194">
        <f>IFERROR(IF(INDEX([1]Pivot!$AD$1:$BE$65000,$B906,Q$5)=1,1,IF(INDEX([1]Pivot!$B$1:$AB$65000,$B906,Q$5)="",2,0)),0)</f>
        <v>0</v>
      </c>
      <c r="R906" s="312"/>
      <c r="S906" s="194">
        <f>IFERROR(IF(INDEX([1]Pivot!$AD$1:$BE$65000,$B906,S$5)=1,1,IF(INDEX([1]Pivot!$B$1:$AB$65000,$B906,S$5)="",2,0)),0)</f>
        <v>0</v>
      </c>
      <c r="T906" s="194">
        <f>IFERROR(IF(INDEX([1]Pivot!$AD$1:$BE$65000,$B906,T$5)=1,1,IF(INDEX([1]Pivot!$B$1:$AB$65000,$B906,T$5)="",2,0)),0)</f>
        <v>0</v>
      </c>
      <c r="U906" s="194">
        <f>IFERROR(IF(INDEX([1]Pivot!$AD$1:$BE$65000,$B906,U$5)=1,1,IF(INDEX([1]Pivot!$B$1:$AB$65000,$B906,U$5)="",2,0)),0)</f>
        <v>0</v>
      </c>
      <c r="V906" s="194">
        <f>IFERROR(IF(INDEX([1]Pivot!$AD$1:$BE$65000,$B906,V$5)=1,1,IF(INDEX([1]Pivot!$B$1:$AB$65000,$B906,V$5)="",2,0)),0)</f>
        <v>0</v>
      </c>
      <c r="W906" s="194">
        <f>IFERROR(IF(INDEX([1]Pivot!$AD$1:$BE$65000,$B906,W$5)=1,1,IF(INDEX([1]Pivot!$B$1:$AB$65000,$B906,W$5)="",2,0)),0)</f>
        <v>0</v>
      </c>
      <c r="X906" s="194">
        <f>IFERROR(IF(INDEX([1]Pivot!$AD$1:$BE$65000,$B906,X$5)=1,1,IF(INDEX([1]Pivot!$B$1:$AB$65000,$B906,X$5)="",2,0)),0)</f>
        <v>0</v>
      </c>
      <c r="Y906" s="194">
        <f>IFERROR(IF(INDEX([1]Pivot!$AD$1:$BE$65000,$B906,Y$5)=1,1,IF(INDEX([1]Pivot!$B$1:$AB$65000,$B906,Y$5)="",2,0)),0)</f>
        <v>0</v>
      </c>
      <c r="Z906" s="194">
        <f>IFERROR(IF(INDEX([1]Pivot!$AD$1:$BE$65000,$B906,Z$5)=1,1,IF(INDEX([1]Pivot!$B$1:$AB$65000,$B906,Z$5)="",2,0)),0)</f>
        <v>0</v>
      </c>
      <c r="AA906" s="194">
        <f>IFERROR(IF(INDEX([1]Pivot!$AD$1:$BE$65000,$B906,AA$5)=1,1,IF(INDEX([1]Pivot!$B$1:$AB$65000,$B906,AA$5)="",2,0)),0)</f>
        <v>0</v>
      </c>
      <c r="AB906" s="194">
        <f>IFERROR(IF(INDEX([1]Pivot!$AD$1:$BE$65000,$B906,AB$5)=1,1,IF(INDEX([1]Pivot!$B$1:$AB$65000,$B906,AB$5)="",2,0)),0)</f>
        <v>0</v>
      </c>
      <c r="AC906" s="194">
        <f>IFERROR(IF(INDEX([1]Pivot!$AD$1:$BE$65000,$B906,AC$5)=1,1,IF(INDEX([1]Pivot!$B$1:$AB$65000,$B906,AC$5)="",2,0)),0)</f>
        <v>0</v>
      </c>
      <c r="AD906" s="313">
        <f>IFERROR(IF(INDEX([1]Pivot!$BF$1:$CG$65000,$B906,AD$5)=1,1,IF(INDEX([1]Pivot!$B$1:$AB$65000,$B906,AD$5)="",2,0)),0)</f>
        <v>0</v>
      </c>
      <c r="AE906" s="313">
        <f>IFERROR(IF(INDEX([1]Pivot!$BF$1:$CG$65000,$B906,AE$5)=1,1,IF(INDEX([1]Pivot!$B$1:$AB$65000,$B906,AE$5)="",2,0)),0)</f>
        <v>0</v>
      </c>
      <c r="AF906" s="313">
        <f>IFERROR(IF(INDEX([1]Pivot!$BF$1:$CG$65000,$B906,AF$5)=1,1,IF(INDEX([1]Pivot!$B$1:$AB$65000,$B906,AF$5)="",2,0)),0)</f>
        <v>0</v>
      </c>
      <c r="AG906" s="313">
        <f>IFERROR(IF(INDEX([1]Pivot!$BF$1:$CG$65000,$B906,AG$5)=1,1,IF(INDEX([1]Pivot!$B$1:$AB$65000,$B906,AG$5)="",2,0)),0)</f>
        <v>0</v>
      </c>
      <c r="AH906" s="313">
        <f>IFERROR(IF(INDEX([1]Pivot!$BF$1:$CG$65000,$B906,AH$5)=1,1,IF(INDEX([1]Pivot!$B$1:$AB$65000,$B906,AH$5)="",2,0)),0)</f>
        <v>0</v>
      </c>
      <c r="AI906" s="313">
        <f>IFERROR(IF(INDEX([1]Pivot!$BF$1:$CG$65000,$B906,AI$5)=1,1,IF(INDEX([1]Pivot!$B$1:$AB$65000,$B906,AI$5)="",2,0)),0)</f>
        <v>0</v>
      </c>
      <c r="AJ906" s="313">
        <f>IFERROR(IF(INDEX([1]Pivot!$BF$1:$CG$65000,$B906,AJ$5)=1,1,IF(INDEX([1]Pivot!$B$1:$AB$65000,$B906,AJ$5)="",2,0)),0)</f>
        <v>0</v>
      </c>
      <c r="AK906" s="313">
        <f>IFERROR(IF(INDEX([1]Pivot!$BF$1:$CG$65000,$B906,AK$5)=1,1,IF(INDEX([1]Pivot!$B$1:$AB$65000,$B906,AK$5)="",2,0)),0)</f>
        <v>0</v>
      </c>
      <c r="AL906" s="313">
        <f>IFERROR(IF(INDEX([1]Pivot!$BF$1:$CG$65000,$B906,AL$5)=1,1,IF(INDEX([1]Pivot!$B$1:$AB$65000,$B906,AL$5)="",2,0)),0)</f>
        <v>0</v>
      </c>
      <c r="AM906" s="313">
        <f>IFERROR(IF(INDEX([1]Pivot!$BF$1:$CG$65000,$B906,AM$5)=1,1,IF(INDEX([1]Pivot!$B$1:$AB$65000,$B906,AM$5)="",2,0)),0)</f>
        <v>0</v>
      </c>
      <c r="AN906" s="313">
        <f>IFERROR(IF(INDEX([1]Pivot!$BF$1:$CG$65000,$B906,AN$5)=1,1,IF(INDEX([1]Pivot!$B$1:$AB$65000,$B906,AN$5)="",2,0)),0)</f>
        <v>0</v>
      </c>
      <c r="AO906" s="313">
        <f>IFERROR(IF(INDEX([1]Pivot!$BF$1:$CG$65000,$B906,AO$5)=1,1,IF(INDEX([1]Pivot!$B$1:$AB$65000,$B906,AO$5)="",2,0)),0)</f>
        <v>0</v>
      </c>
      <c r="AP906" s="313">
        <f>IFERROR(IF(INDEX([1]Pivot!$BF$1:$CG$65000,$B906,AP$5)=1,1,IF(INDEX([1]Pivot!$B$1:$AB$65000,$B906,AP$5)="",2,0)),0)</f>
        <v>0</v>
      </c>
      <c r="AQ906" s="313">
        <f>IFERROR(IF(INDEX([1]Pivot!$BF$1:$CG$65000,$B906,AQ$5)=1,1,IF(INDEX([1]Pivot!$B$1:$AB$65000,$B906,AQ$5)="",2,0)),0)</f>
        <v>0</v>
      </c>
      <c r="AR906" s="313">
        <f>IFERROR(IF(INDEX([1]Pivot!$BF$1:$CG$65000,$B906,AR$5)=1,1,IF(INDEX([1]Pivot!$B$1:$AB$65000,$B906,AR$5)="",2,0)),0)</f>
        <v>0</v>
      </c>
      <c r="AS906" s="312"/>
      <c r="AT906" s="313">
        <f>IFERROR(IF(INDEX([1]Pivot!$BF$1:$CG$65000,$B906,AT$5)=1,1,IF(INDEX([1]Pivot!$B$1:$AB$65000,$B906,AT$5)="",2,0)),0)</f>
        <v>0</v>
      </c>
      <c r="AU906" s="313">
        <f>IFERROR(IF(INDEX([1]Pivot!$BF$1:$CG$65000,$B906,AU$5)=1,1,IF(INDEX([1]Pivot!$B$1:$AB$65000,$B906,AU$5)="",2,0)),0)</f>
        <v>0</v>
      </c>
      <c r="AV906" s="313">
        <f>IFERROR(IF(INDEX([1]Pivot!$BF$1:$CG$65000,$B906,AV$5)=1,1,IF(INDEX([1]Pivot!$B$1:$AB$65000,$B906,AV$5)="",2,0)),0)</f>
        <v>0</v>
      </c>
      <c r="AW906" s="313">
        <f>IFERROR(IF(INDEX([1]Pivot!$BF$1:$CG$65000,$B906,AW$5)=1,1,IF(INDEX([1]Pivot!$B$1:$AB$65000,$B906,AW$5)="",2,0)),0)</f>
        <v>0</v>
      </c>
      <c r="AX906" s="313">
        <f>IFERROR(IF(INDEX([1]Pivot!$BF$1:$CG$65000,$B906,AX$5)=1,1,IF(INDEX([1]Pivot!$B$1:$AB$65000,$B906,AX$5)="",2,0)),0)</f>
        <v>0</v>
      </c>
      <c r="AY906" s="313">
        <f>IFERROR(IF(INDEX([1]Pivot!$BF$1:$CG$65000,$B906,AY$5)=1,1,IF(INDEX([1]Pivot!$B$1:$AB$65000,$B906,AY$5)="",2,0)),0)</f>
        <v>0</v>
      </c>
      <c r="AZ906" s="313">
        <f>IFERROR(IF(INDEX([1]Pivot!$BF$1:$CG$65000,$B906,AZ$5)=1,1,IF(INDEX([1]Pivot!$B$1:$AB$65000,$B906,AZ$5)="",2,0)),0)</f>
        <v>0</v>
      </c>
      <c r="BA906" s="313">
        <f>IFERROR(IF(INDEX([1]Pivot!$BF$1:$CG$65000,$B906,BA$5)=1,1,IF(INDEX([1]Pivot!$B$1:$AB$65000,$B906,BA$5)="",2,0)),0)</f>
        <v>0</v>
      </c>
      <c r="BB906" s="313">
        <f>IFERROR(IF(INDEX([1]Pivot!$BF$1:$CG$65000,$B906,BB$5)=1,1,IF(INDEX([1]Pivot!$B$1:$AB$65000,$B906,BB$5)="",2,0)),0)</f>
        <v>0</v>
      </c>
      <c r="BC906" s="313">
        <f>IFERROR(IF(INDEX([1]Pivot!$BF$1:$CG$65000,$B906,BC$5)=1,1,IF(INDEX([1]Pivot!$B$1:$AB$65000,$B906,BC$5)="",2,0)),0)</f>
        <v>0</v>
      </c>
      <c r="BD906" s="313">
        <f>IFERROR(IF(INDEX([1]Pivot!$BF$1:$CG$65000,$B906,BD$5)=1,1,IF(INDEX([1]Pivot!$B$1:$AB$65000,$B906,BD$5)="",2,0)),0)</f>
        <v>0</v>
      </c>
    </row>
    <row r="907" spans="1:56" x14ac:dyDescent="0.25">
      <c r="A907" s="288">
        <f>'[2]Raw Milk Prices'!A907</f>
        <v>0</v>
      </c>
      <c r="B907" s="296" t="e">
        <f>MATCH(DATE(LEFT('[2]Raw Milk Prices'!$A907,4),RIGHT('[2]Raw Milk Prices'!$A907,2),1),[1]Pivot!$A$1:$A$65000,0)</f>
        <v>#VALUE!</v>
      </c>
      <c r="C907" s="194">
        <f>IFERROR(IF(INDEX([1]Pivot!$AD$1:$BE$65000,$B907,C$5)=1,1,IF(INDEX([1]Pivot!$B$1:$AB$65000,$B907,C$5)="",2,0)),0)</f>
        <v>0</v>
      </c>
      <c r="D907" s="194">
        <f>IFERROR(IF(INDEX([1]Pivot!$AD$1:$BE$65000,$B907,D$5)=1,1,IF(INDEX([1]Pivot!$B$1:$AB$65000,$B907,D$5)="",2,0)),0)</f>
        <v>0</v>
      </c>
      <c r="E907" s="194">
        <f>IFERROR(IF(INDEX([1]Pivot!$AD$1:$BE$65000,$B907,E$5)=1,1,IF(INDEX([1]Pivot!$B$1:$AB$65000,$B907,E$5)="",2,0)),0)</f>
        <v>0</v>
      </c>
      <c r="F907" s="194">
        <f>IFERROR(IF(INDEX([1]Pivot!$AD$1:$BE$65000,$B907,F$5)=1,1,IF(INDEX([1]Pivot!$B$1:$AB$65000,$B907,F$5)="",2,0)),0)</f>
        <v>0</v>
      </c>
      <c r="G907" s="194">
        <f>IFERROR(IF(INDEX([1]Pivot!$AD$1:$BE$65000,$B907,G$5)=1,1,IF(INDEX([1]Pivot!$B$1:$AB$65000,$B907,G$5)="",2,0)),0)</f>
        <v>0</v>
      </c>
      <c r="H907" s="194">
        <f>IFERROR(IF(INDEX([1]Pivot!$AD$1:$BE$65000,$B907,H$5)=1,1,IF(INDEX([1]Pivot!$B$1:$AB$65000,$B907,H$5)="",2,0)),0)</f>
        <v>0</v>
      </c>
      <c r="I907" s="194">
        <f>IFERROR(IF(INDEX([1]Pivot!$AD$1:$BE$65000,$B907,I$5)=1,1,IF(INDEX([1]Pivot!$B$1:$AB$65000,$B907,I$5)="",2,0)),0)</f>
        <v>0</v>
      </c>
      <c r="J907" s="194">
        <f>IFERROR(IF(INDEX([1]Pivot!$AD$1:$BE$65000,$B907,J$5)=1,1,IF(INDEX([1]Pivot!$B$1:$AB$65000,$B907,J$5)="",2,0)),0)</f>
        <v>0</v>
      </c>
      <c r="K907" s="194">
        <f>IFERROR(IF(INDEX([1]Pivot!$AD$1:$BE$65000,$B907,K$5)=1,1,IF(INDEX([1]Pivot!$B$1:$AB$65000,$B907,K$5)="",2,0)),0)</f>
        <v>0</v>
      </c>
      <c r="L907" s="194">
        <f>IFERROR(IF(INDEX([1]Pivot!$AD$1:$BE$65000,$B907,L$5)=1,1,IF(INDEX([1]Pivot!$B$1:$AB$65000,$B907,L$5)="",2,0)),0)</f>
        <v>0</v>
      </c>
      <c r="M907" s="194">
        <f>IFERROR(IF(INDEX([1]Pivot!$AD$1:$BE$65000,$B907,M$5)=1,1,IF(INDEX([1]Pivot!$B$1:$AB$65000,$B907,M$5)="",2,0)),0)</f>
        <v>0</v>
      </c>
      <c r="N907" s="194">
        <f>IFERROR(IF(INDEX([1]Pivot!$AD$1:$BE$65000,$B907,N$5)=1,1,IF(INDEX([1]Pivot!$B$1:$AB$65000,$B907,N$5)="",2,0)),0)</f>
        <v>0</v>
      </c>
      <c r="O907" s="194">
        <f>IFERROR(IF(INDEX([1]Pivot!$AD$1:$BE$65000,$B907,O$5)=1,1,IF(INDEX([1]Pivot!$B$1:$AB$65000,$B907,O$5)="",2,0)),0)</f>
        <v>0</v>
      </c>
      <c r="P907" s="194">
        <f>IFERROR(IF(INDEX([1]Pivot!$AD$1:$BE$65000,$B907,P$5)=1,1,IF(INDEX([1]Pivot!$B$1:$AB$65000,$B907,P$5)="",2,0)),0)</f>
        <v>0</v>
      </c>
      <c r="Q907" s="194">
        <f>IFERROR(IF(INDEX([1]Pivot!$AD$1:$BE$65000,$B907,Q$5)=1,1,IF(INDEX([1]Pivot!$B$1:$AB$65000,$B907,Q$5)="",2,0)),0)</f>
        <v>0</v>
      </c>
      <c r="R907" s="312"/>
      <c r="S907" s="194">
        <f>IFERROR(IF(INDEX([1]Pivot!$AD$1:$BE$65000,$B907,S$5)=1,1,IF(INDEX([1]Pivot!$B$1:$AB$65000,$B907,S$5)="",2,0)),0)</f>
        <v>0</v>
      </c>
      <c r="T907" s="194">
        <f>IFERROR(IF(INDEX([1]Pivot!$AD$1:$BE$65000,$B907,T$5)=1,1,IF(INDEX([1]Pivot!$B$1:$AB$65000,$B907,T$5)="",2,0)),0)</f>
        <v>0</v>
      </c>
      <c r="U907" s="194">
        <f>IFERROR(IF(INDEX([1]Pivot!$AD$1:$BE$65000,$B907,U$5)=1,1,IF(INDEX([1]Pivot!$B$1:$AB$65000,$B907,U$5)="",2,0)),0)</f>
        <v>0</v>
      </c>
      <c r="V907" s="194">
        <f>IFERROR(IF(INDEX([1]Pivot!$AD$1:$BE$65000,$B907,V$5)=1,1,IF(INDEX([1]Pivot!$B$1:$AB$65000,$B907,V$5)="",2,0)),0)</f>
        <v>0</v>
      </c>
      <c r="W907" s="194">
        <f>IFERROR(IF(INDEX([1]Pivot!$AD$1:$BE$65000,$B907,W$5)=1,1,IF(INDEX([1]Pivot!$B$1:$AB$65000,$B907,W$5)="",2,0)),0)</f>
        <v>0</v>
      </c>
      <c r="X907" s="194">
        <f>IFERROR(IF(INDEX([1]Pivot!$AD$1:$BE$65000,$B907,X$5)=1,1,IF(INDEX([1]Pivot!$B$1:$AB$65000,$B907,X$5)="",2,0)),0)</f>
        <v>0</v>
      </c>
      <c r="Y907" s="194">
        <f>IFERROR(IF(INDEX([1]Pivot!$AD$1:$BE$65000,$B907,Y$5)=1,1,IF(INDEX([1]Pivot!$B$1:$AB$65000,$B907,Y$5)="",2,0)),0)</f>
        <v>0</v>
      </c>
      <c r="Z907" s="194">
        <f>IFERROR(IF(INDEX([1]Pivot!$AD$1:$BE$65000,$B907,Z$5)=1,1,IF(INDEX([1]Pivot!$B$1:$AB$65000,$B907,Z$5)="",2,0)),0)</f>
        <v>0</v>
      </c>
      <c r="AA907" s="194">
        <f>IFERROR(IF(INDEX([1]Pivot!$AD$1:$BE$65000,$B907,AA$5)=1,1,IF(INDEX([1]Pivot!$B$1:$AB$65000,$B907,AA$5)="",2,0)),0)</f>
        <v>0</v>
      </c>
      <c r="AB907" s="194">
        <f>IFERROR(IF(INDEX([1]Pivot!$AD$1:$BE$65000,$B907,AB$5)=1,1,IF(INDEX([1]Pivot!$B$1:$AB$65000,$B907,AB$5)="",2,0)),0)</f>
        <v>0</v>
      </c>
      <c r="AC907" s="194">
        <f>IFERROR(IF(INDEX([1]Pivot!$AD$1:$BE$65000,$B907,AC$5)=1,1,IF(INDEX([1]Pivot!$B$1:$AB$65000,$B907,AC$5)="",2,0)),0)</f>
        <v>0</v>
      </c>
      <c r="AD907" s="313">
        <f>IFERROR(IF(INDEX([1]Pivot!$BF$1:$CG$65000,$B907,AD$5)=1,1,IF(INDEX([1]Pivot!$B$1:$AB$65000,$B907,AD$5)="",2,0)),0)</f>
        <v>0</v>
      </c>
      <c r="AE907" s="313">
        <f>IFERROR(IF(INDEX([1]Pivot!$BF$1:$CG$65000,$B907,AE$5)=1,1,IF(INDEX([1]Pivot!$B$1:$AB$65000,$B907,AE$5)="",2,0)),0)</f>
        <v>0</v>
      </c>
      <c r="AF907" s="313">
        <f>IFERROR(IF(INDEX([1]Pivot!$BF$1:$CG$65000,$B907,AF$5)=1,1,IF(INDEX([1]Pivot!$B$1:$AB$65000,$B907,AF$5)="",2,0)),0)</f>
        <v>0</v>
      </c>
      <c r="AG907" s="313">
        <f>IFERROR(IF(INDEX([1]Pivot!$BF$1:$CG$65000,$B907,AG$5)=1,1,IF(INDEX([1]Pivot!$B$1:$AB$65000,$B907,AG$5)="",2,0)),0)</f>
        <v>0</v>
      </c>
      <c r="AH907" s="313">
        <f>IFERROR(IF(INDEX([1]Pivot!$BF$1:$CG$65000,$B907,AH$5)=1,1,IF(INDEX([1]Pivot!$B$1:$AB$65000,$B907,AH$5)="",2,0)),0)</f>
        <v>0</v>
      </c>
      <c r="AI907" s="313">
        <f>IFERROR(IF(INDEX([1]Pivot!$BF$1:$CG$65000,$B907,AI$5)=1,1,IF(INDEX([1]Pivot!$B$1:$AB$65000,$B907,AI$5)="",2,0)),0)</f>
        <v>0</v>
      </c>
      <c r="AJ907" s="313">
        <f>IFERROR(IF(INDEX([1]Pivot!$BF$1:$CG$65000,$B907,AJ$5)=1,1,IF(INDEX([1]Pivot!$B$1:$AB$65000,$B907,AJ$5)="",2,0)),0)</f>
        <v>0</v>
      </c>
      <c r="AK907" s="313">
        <f>IFERROR(IF(INDEX([1]Pivot!$BF$1:$CG$65000,$B907,AK$5)=1,1,IF(INDEX([1]Pivot!$B$1:$AB$65000,$B907,AK$5)="",2,0)),0)</f>
        <v>0</v>
      </c>
      <c r="AL907" s="313">
        <f>IFERROR(IF(INDEX([1]Pivot!$BF$1:$CG$65000,$B907,AL$5)=1,1,IF(INDEX([1]Pivot!$B$1:$AB$65000,$B907,AL$5)="",2,0)),0)</f>
        <v>0</v>
      </c>
      <c r="AM907" s="313">
        <f>IFERROR(IF(INDEX([1]Pivot!$BF$1:$CG$65000,$B907,AM$5)=1,1,IF(INDEX([1]Pivot!$B$1:$AB$65000,$B907,AM$5)="",2,0)),0)</f>
        <v>0</v>
      </c>
      <c r="AN907" s="313">
        <f>IFERROR(IF(INDEX([1]Pivot!$BF$1:$CG$65000,$B907,AN$5)=1,1,IF(INDEX([1]Pivot!$B$1:$AB$65000,$B907,AN$5)="",2,0)),0)</f>
        <v>0</v>
      </c>
      <c r="AO907" s="313">
        <f>IFERROR(IF(INDEX([1]Pivot!$BF$1:$CG$65000,$B907,AO$5)=1,1,IF(INDEX([1]Pivot!$B$1:$AB$65000,$B907,AO$5)="",2,0)),0)</f>
        <v>0</v>
      </c>
      <c r="AP907" s="313">
        <f>IFERROR(IF(INDEX([1]Pivot!$BF$1:$CG$65000,$B907,AP$5)=1,1,IF(INDEX([1]Pivot!$B$1:$AB$65000,$B907,AP$5)="",2,0)),0)</f>
        <v>0</v>
      </c>
      <c r="AQ907" s="313">
        <f>IFERROR(IF(INDEX([1]Pivot!$BF$1:$CG$65000,$B907,AQ$5)=1,1,IF(INDEX([1]Pivot!$B$1:$AB$65000,$B907,AQ$5)="",2,0)),0)</f>
        <v>0</v>
      </c>
      <c r="AR907" s="313">
        <f>IFERROR(IF(INDEX([1]Pivot!$BF$1:$CG$65000,$B907,AR$5)=1,1,IF(INDEX([1]Pivot!$B$1:$AB$65000,$B907,AR$5)="",2,0)),0)</f>
        <v>0</v>
      </c>
      <c r="AS907" s="312"/>
      <c r="AT907" s="313">
        <f>IFERROR(IF(INDEX([1]Pivot!$BF$1:$CG$65000,$B907,AT$5)=1,1,IF(INDEX([1]Pivot!$B$1:$AB$65000,$B907,AT$5)="",2,0)),0)</f>
        <v>0</v>
      </c>
      <c r="AU907" s="313">
        <f>IFERROR(IF(INDEX([1]Pivot!$BF$1:$CG$65000,$B907,AU$5)=1,1,IF(INDEX([1]Pivot!$B$1:$AB$65000,$B907,AU$5)="",2,0)),0)</f>
        <v>0</v>
      </c>
      <c r="AV907" s="313">
        <f>IFERROR(IF(INDEX([1]Pivot!$BF$1:$CG$65000,$B907,AV$5)=1,1,IF(INDEX([1]Pivot!$B$1:$AB$65000,$B907,AV$5)="",2,0)),0)</f>
        <v>0</v>
      </c>
      <c r="AW907" s="313">
        <f>IFERROR(IF(INDEX([1]Pivot!$BF$1:$CG$65000,$B907,AW$5)=1,1,IF(INDEX([1]Pivot!$B$1:$AB$65000,$B907,AW$5)="",2,0)),0)</f>
        <v>0</v>
      </c>
      <c r="AX907" s="313">
        <f>IFERROR(IF(INDEX([1]Pivot!$BF$1:$CG$65000,$B907,AX$5)=1,1,IF(INDEX([1]Pivot!$B$1:$AB$65000,$B907,AX$5)="",2,0)),0)</f>
        <v>0</v>
      </c>
      <c r="AY907" s="313">
        <f>IFERROR(IF(INDEX([1]Pivot!$BF$1:$CG$65000,$B907,AY$5)=1,1,IF(INDEX([1]Pivot!$B$1:$AB$65000,$B907,AY$5)="",2,0)),0)</f>
        <v>0</v>
      </c>
      <c r="AZ907" s="313">
        <f>IFERROR(IF(INDEX([1]Pivot!$BF$1:$CG$65000,$B907,AZ$5)=1,1,IF(INDEX([1]Pivot!$B$1:$AB$65000,$B907,AZ$5)="",2,0)),0)</f>
        <v>0</v>
      </c>
      <c r="BA907" s="313">
        <f>IFERROR(IF(INDEX([1]Pivot!$BF$1:$CG$65000,$B907,BA$5)=1,1,IF(INDEX([1]Pivot!$B$1:$AB$65000,$B907,BA$5)="",2,0)),0)</f>
        <v>0</v>
      </c>
      <c r="BB907" s="313">
        <f>IFERROR(IF(INDEX([1]Pivot!$BF$1:$CG$65000,$B907,BB$5)=1,1,IF(INDEX([1]Pivot!$B$1:$AB$65000,$B907,BB$5)="",2,0)),0)</f>
        <v>0</v>
      </c>
      <c r="BC907" s="313">
        <f>IFERROR(IF(INDEX([1]Pivot!$BF$1:$CG$65000,$B907,BC$5)=1,1,IF(INDEX([1]Pivot!$B$1:$AB$65000,$B907,BC$5)="",2,0)),0)</f>
        <v>0</v>
      </c>
      <c r="BD907" s="313">
        <f>IFERROR(IF(INDEX([1]Pivot!$BF$1:$CG$65000,$B907,BD$5)=1,1,IF(INDEX([1]Pivot!$B$1:$AB$65000,$B907,BD$5)="",2,0)),0)</f>
        <v>0</v>
      </c>
    </row>
    <row r="908" spans="1:56" x14ac:dyDescent="0.25">
      <c r="A908" s="288">
        <f>'[2]Raw Milk Prices'!A908</f>
        <v>0</v>
      </c>
      <c r="B908" s="296" t="e">
        <f>MATCH(DATE(LEFT('[2]Raw Milk Prices'!$A908,4),RIGHT('[2]Raw Milk Prices'!$A908,2),1),[1]Pivot!$A$1:$A$65000,0)</f>
        <v>#VALUE!</v>
      </c>
      <c r="C908" s="194">
        <f>IFERROR(IF(INDEX([1]Pivot!$AD$1:$BE$65000,$B908,C$5)=1,1,IF(INDEX([1]Pivot!$B$1:$AB$65000,$B908,C$5)="",2,0)),0)</f>
        <v>0</v>
      </c>
      <c r="D908" s="194">
        <f>IFERROR(IF(INDEX([1]Pivot!$AD$1:$BE$65000,$B908,D$5)=1,1,IF(INDEX([1]Pivot!$B$1:$AB$65000,$B908,D$5)="",2,0)),0)</f>
        <v>0</v>
      </c>
      <c r="E908" s="194">
        <f>IFERROR(IF(INDEX([1]Pivot!$AD$1:$BE$65000,$B908,E$5)=1,1,IF(INDEX([1]Pivot!$B$1:$AB$65000,$B908,E$5)="",2,0)),0)</f>
        <v>0</v>
      </c>
      <c r="F908" s="194">
        <f>IFERROR(IF(INDEX([1]Pivot!$AD$1:$BE$65000,$B908,F$5)=1,1,IF(INDEX([1]Pivot!$B$1:$AB$65000,$B908,F$5)="",2,0)),0)</f>
        <v>0</v>
      </c>
      <c r="G908" s="194">
        <f>IFERROR(IF(INDEX([1]Pivot!$AD$1:$BE$65000,$B908,G$5)=1,1,IF(INDEX([1]Pivot!$B$1:$AB$65000,$B908,G$5)="",2,0)),0)</f>
        <v>0</v>
      </c>
      <c r="H908" s="194">
        <f>IFERROR(IF(INDEX([1]Pivot!$AD$1:$BE$65000,$B908,H$5)=1,1,IF(INDEX([1]Pivot!$B$1:$AB$65000,$B908,H$5)="",2,0)),0)</f>
        <v>0</v>
      </c>
      <c r="I908" s="194">
        <f>IFERROR(IF(INDEX([1]Pivot!$AD$1:$BE$65000,$B908,I$5)=1,1,IF(INDEX([1]Pivot!$B$1:$AB$65000,$B908,I$5)="",2,0)),0)</f>
        <v>0</v>
      </c>
      <c r="J908" s="194">
        <f>IFERROR(IF(INDEX([1]Pivot!$AD$1:$BE$65000,$B908,J$5)=1,1,IF(INDEX([1]Pivot!$B$1:$AB$65000,$B908,J$5)="",2,0)),0)</f>
        <v>0</v>
      </c>
      <c r="K908" s="194">
        <f>IFERROR(IF(INDEX([1]Pivot!$AD$1:$BE$65000,$B908,K$5)=1,1,IF(INDEX([1]Pivot!$B$1:$AB$65000,$B908,K$5)="",2,0)),0)</f>
        <v>0</v>
      </c>
      <c r="L908" s="194">
        <f>IFERROR(IF(INDEX([1]Pivot!$AD$1:$BE$65000,$B908,L$5)=1,1,IF(INDEX([1]Pivot!$B$1:$AB$65000,$B908,L$5)="",2,0)),0)</f>
        <v>0</v>
      </c>
      <c r="M908" s="194">
        <f>IFERROR(IF(INDEX([1]Pivot!$AD$1:$BE$65000,$B908,M$5)=1,1,IF(INDEX([1]Pivot!$B$1:$AB$65000,$B908,M$5)="",2,0)),0)</f>
        <v>0</v>
      </c>
      <c r="N908" s="194">
        <f>IFERROR(IF(INDEX([1]Pivot!$AD$1:$BE$65000,$B908,N$5)=1,1,IF(INDEX([1]Pivot!$B$1:$AB$65000,$B908,N$5)="",2,0)),0)</f>
        <v>0</v>
      </c>
      <c r="O908" s="194">
        <f>IFERROR(IF(INDEX([1]Pivot!$AD$1:$BE$65000,$B908,O$5)=1,1,IF(INDEX([1]Pivot!$B$1:$AB$65000,$B908,O$5)="",2,0)),0)</f>
        <v>0</v>
      </c>
      <c r="P908" s="194">
        <f>IFERROR(IF(INDEX([1]Pivot!$AD$1:$BE$65000,$B908,P$5)=1,1,IF(INDEX([1]Pivot!$B$1:$AB$65000,$B908,P$5)="",2,0)),0)</f>
        <v>0</v>
      </c>
      <c r="Q908" s="194">
        <f>IFERROR(IF(INDEX([1]Pivot!$AD$1:$BE$65000,$B908,Q$5)=1,1,IF(INDEX([1]Pivot!$B$1:$AB$65000,$B908,Q$5)="",2,0)),0)</f>
        <v>0</v>
      </c>
      <c r="R908" s="312"/>
      <c r="S908" s="194">
        <f>IFERROR(IF(INDEX([1]Pivot!$AD$1:$BE$65000,$B908,S$5)=1,1,IF(INDEX([1]Pivot!$B$1:$AB$65000,$B908,S$5)="",2,0)),0)</f>
        <v>0</v>
      </c>
      <c r="T908" s="194">
        <f>IFERROR(IF(INDEX([1]Pivot!$AD$1:$BE$65000,$B908,T$5)=1,1,IF(INDEX([1]Pivot!$B$1:$AB$65000,$B908,T$5)="",2,0)),0)</f>
        <v>0</v>
      </c>
      <c r="U908" s="194">
        <f>IFERROR(IF(INDEX([1]Pivot!$AD$1:$BE$65000,$B908,U$5)=1,1,IF(INDEX([1]Pivot!$B$1:$AB$65000,$B908,U$5)="",2,0)),0)</f>
        <v>0</v>
      </c>
      <c r="V908" s="194">
        <f>IFERROR(IF(INDEX([1]Pivot!$AD$1:$BE$65000,$B908,V$5)=1,1,IF(INDEX([1]Pivot!$B$1:$AB$65000,$B908,V$5)="",2,0)),0)</f>
        <v>0</v>
      </c>
      <c r="W908" s="194">
        <f>IFERROR(IF(INDEX([1]Pivot!$AD$1:$BE$65000,$B908,W$5)=1,1,IF(INDEX([1]Pivot!$B$1:$AB$65000,$B908,W$5)="",2,0)),0)</f>
        <v>0</v>
      </c>
      <c r="X908" s="194">
        <f>IFERROR(IF(INDEX([1]Pivot!$AD$1:$BE$65000,$B908,X$5)=1,1,IF(INDEX([1]Pivot!$B$1:$AB$65000,$B908,X$5)="",2,0)),0)</f>
        <v>0</v>
      </c>
      <c r="Y908" s="194">
        <f>IFERROR(IF(INDEX([1]Pivot!$AD$1:$BE$65000,$B908,Y$5)=1,1,IF(INDEX([1]Pivot!$B$1:$AB$65000,$B908,Y$5)="",2,0)),0)</f>
        <v>0</v>
      </c>
      <c r="Z908" s="194">
        <f>IFERROR(IF(INDEX([1]Pivot!$AD$1:$BE$65000,$B908,Z$5)=1,1,IF(INDEX([1]Pivot!$B$1:$AB$65000,$B908,Z$5)="",2,0)),0)</f>
        <v>0</v>
      </c>
      <c r="AA908" s="194">
        <f>IFERROR(IF(INDEX([1]Pivot!$AD$1:$BE$65000,$B908,AA$5)=1,1,IF(INDEX([1]Pivot!$B$1:$AB$65000,$B908,AA$5)="",2,0)),0)</f>
        <v>0</v>
      </c>
      <c r="AB908" s="194">
        <f>IFERROR(IF(INDEX([1]Pivot!$AD$1:$BE$65000,$B908,AB$5)=1,1,IF(INDEX([1]Pivot!$B$1:$AB$65000,$B908,AB$5)="",2,0)),0)</f>
        <v>0</v>
      </c>
      <c r="AC908" s="194">
        <f>IFERROR(IF(INDEX([1]Pivot!$AD$1:$BE$65000,$B908,AC$5)=1,1,IF(INDEX([1]Pivot!$B$1:$AB$65000,$B908,AC$5)="",2,0)),0)</f>
        <v>0</v>
      </c>
      <c r="AD908" s="313">
        <f>IFERROR(IF(INDEX([1]Pivot!$BF$1:$CG$65000,$B908,AD$5)=1,1,IF(INDEX([1]Pivot!$B$1:$AB$65000,$B908,AD$5)="",2,0)),0)</f>
        <v>0</v>
      </c>
      <c r="AE908" s="313">
        <f>IFERROR(IF(INDEX([1]Pivot!$BF$1:$CG$65000,$B908,AE$5)=1,1,IF(INDEX([1]Pivot!$B$1:$AB$65000,$B908,AE$5)="",2,0)),0)</f>
        <v>0</v>
      </c>
      <c r="AF908" s="313">
        <f>IFERROR(IF(INDEX([1]Pivot!$BF$1:$CG$65000,$B908,AF$5)=1,1,IF(INDEX([1]Pivot!$B$1:$AB$65000,$B908,AF$5)="",2,0)),0)</f>
        <v>0</v>
      </c>
      <c r="AG908" s="313">
        <f>IFERROR(IF(INDEX([1]Pivot!$BF$1:$CG$65000,$B908,AG$5)=1,1,IF(INDEX([1]Pivot!$B$1:$AB$65000,$B908,AG$5)="",2,0)),0)</f>
        <v>0</v>
      </c>
      <c r="AH908" s="313">
        <f>IFERROR(IF(INDEX([1]Pivot!$BF$1:$CG$65000,$B908,AH$5)=1,1,IF(INDEX([1]Pivot!$B$1:$AB$65000,$B908,AH$5)="",2,0)),0)</f>
        <v>0</v>
      </c>
      <c r="AI908" s="313">
        <f>IFERROR(IF(INDEX([1]Pivot!$BF$1:$CG$65000,$B908,AI$5)=1,1,IF(INDEX([1]Pivot!$B$1:$AB$65000,$B908,AI$5)="",2,0)),0)</f>
        <v>0</v>
      </c>
      <c r="AJ908" s="313">
        <f>IFERROR(IF(INDEX([1]Pivot!$BF$1:$CG$65000,$B908,AJ$5)=1,1,IF(INDEX([1]Pivot!$B$1:$AB$65000,$B908,AJ$5)="",2,0)),0)</f>
        <v>0</v>
      </c>
      <c r="AK908" s="313">
        <f>IFERROR(IF(INDEX([1]Pivot!$BF$1:$CG$65000,$B908,AK$5)=1,1,IF(INDEX([1]Pivot!$B$1:$AB$65000,$B908,AK$5)="",2,0)),0)</f>
        <v>0</v>
      </c>
      <c r="AL908" s="313">
        <f>IFERROR(IF(INDEX([1]Pivot!$BF$1:$CG$65000,$B908,AL$5)=1,1,IF(INDEX([1]Pivot!$B$1:$AB$65000,$B908,AL$5)="",2,0)),0)</f>
        <v>0</v>
      </c>
      <c r="AM908" s="313">
        <f>IFERROR(IF(INDEX([1]Pivot!$BF$1:$CG$65000,$B908,AM$5)=1,1,IF(INDEX([1]Pivot!$B$1:$AB$65000,$B908,AM$5)="",2,0)),0)</f>
        <v>0</v>
      </c>
      <c r="AN908" s="313">
        <f>IFERROR(IF(INDEX([1]Pivot!$BF$1:$CG$65000,$B908,AN$5)=1,1,IF(INDEX([1]Pivot!$B$1:$AB$65000,$B908,AN$5)="",2,0)),0)</f>
        <v>0</v>
      </c>
      <c r="AO908" s="313">
        <f>IFERROR(IF(INDEX([1]Pivot!$BF$1:$CG$65000,$B908,AO$5)=1,1,IF(INDEX([1]Pivot!$B$1:$AB$65000,$B908,AO$5)="",2,0)),0)</f>
        <v>0</v>
      </c>
      <c r="AP908" s="313">
        <f>IFERROR(IF(INDEX([1]Pivot!$BF$1:$CG$65000,$B908,AP$5)=1,1,IF(INDEX([1]Pivot!$B$1:$AB$65000,$B908,AP$5)="",2,0)),0)</f>
        <v>0</v>
      </c>
      <c r="AQ908" s="313">
        <f>IFERROR(IF(INDEX([1]Pivot!$BF$1:$CG$65000,$B908,AQ$5)=1,1,IF(INDEX([1]Pivot!$B$1:$AB$65000,$B908,AQ$5)="",2,0)),0)</f>
        <v>0</v>
      </c>
      <c r="AR908" s="313">
        <f>IFERROR(IF(INDEX([1]Pivot!$BF$1:$CG$65000,$B908,AR$5)=1,1,IF(INDEX([1]Pivot!$B$1:$AB$65000,$B908,AR$5)="",2,0)),0)</f>
        <v>0</v>
      </c>
      <c r="AS908" s="312"/>
      <c r="AT908" s="313">
        <f>IFERROR(IF(INDEX([1]Pivot!$BF$1:$CG$65000,$B908,AT$5)=1,1,IF(INDEX([1]Pivot!$B$1:$AB$65000,$B908,AT$5)="",2,0)),0)</f>
        <v>0</v>
      </c>
      <c r="AU908" s="313">
        <f>IFERROR(IF(INDEX([1]Pivot!$BF$1:$CG$65000,$B908,AU$5)=1,1,IF(INDEX([1]Pivot!$B$1:$AB$65000,$B908,AU$5)="",2,0)),0)</f>
        <v>0</v>
      </c>
      <c r="AV908" s="313">
        <f>IFERROR(IF(INDEX([1]Pivot!$BF$1:$CG$65000,$B908,AV$5)=1,1,IF(INDEX([1]Pivot!$B$1:$AB$65000,$B908,AV$5)="",2,0)),0)</f>
        <v>0</v>
      </c>
      <c r="AW908" s="313">
        <f>IFERROR(IF(INDEX([1]Pivot!$BF$1:$CG$65000,$B908,AW$5)=1,1,IF(INDEX([1]Pivot!$B$1:$AB$65000,$B908,AW$5)="",2,0)),0)</f>
        <v>0</v>
      </c>
      <c r="AX908" s="313">
        <f>IFERROR(IF(INDEX([1]Pivot!$BF$1:$CG$65000,$B908,AX$5)=1,1,IF(INDEX([1]Pivot!$B$1:$AB$65000,$B908,AX$5)="",2,0)),0)</f>
        <v>0</v>
      </c>
      <c r="AY908" s="313">
        <f>IFERROR(IF(INDEX([1]Pivot!$BF$1:$CG$65000,$B908,AY$5)=1,1,IF(INDEX([1]Pivot!$B$1:$AB$65000,$B908,AY$5)="",2,0)),0)</f>
        <v>0</v>
      </c>
      <c r="AZ908" s="313">
        <f>IFERROR(IF(INDEX([1]Pivot!$BF$1:$CG$65000,$B908,AZ$5)=1,1,IF(INDEX([1]Pivot!$B$1:$AB$65000,$B908,AZ$5)="",2,0)),0)</f>
        <v>0</v>
      </c>
      <c r="BA908" s="313">
        <f>IFERROR(IF(INDEX([1]Pivot!$BF$1:$CG$65000,$B908,BA$5)=1,1,IF(INDEX([1]Pivot!$B$1:$AB$65000,$B908,BA$5)="",2,0)),0)</f>
        <v>0</v>
      </c>
      <c r="BB908" s="313">
        <f>IFERROR(IF(INDEX([1]Pivot!$BF$1:$CG$65000,$B908,BB$5)=1,1,IF(INDEX([1]Pivot!$B$1:$AB$65000,$B908,BB$5)="",2,0)),0)</f>
        <v>0</v>
      </c>
      <c r="BC908" s="313">
        <f>IFERROR(IF(INDEX([1]Pivot!$BF$1:$CG$65000,$B908,BC$5)=1,1,IF(INDEX([1]Pivot!$B$1:$AB$65000,$B908,BC$5)="",2,0)),0)</f>
        <v>0</v>
      </c>
      <c r="BD908" s="313">
        <f>IFERROR(IF(INDEX([1]Pivot!$BF$1:$CG$65000,$B908,BD$5)=1,1,IF(INDEX([1]Pivot!$B$1:$AB$65000,$B908,BD$5)="",2,0)),0)</f>
        <v>0</v>
      </c>
    </row>
    <row r="909" spans="1:56" x14ac:dyDescent="0.25">
      <c r="A909" s="288">
        <f>'[2]Raw Milk Prices'!A909</f>
        <v>0</v>
      </c>
      <c r="B909" s="296" t="e">
        <f>MATCH(DATE(LEFT('[2]Raw Milk Prices'!$A909,4),RIGHT('[2]Raw Milk Prices'!$A909,2),1),[1]Pivot!$A$1:$A$65000,0)</f>
        <v>#VALUE!</v>
      </c>
      <c r="C909" s="194">
        <f>IFERROR(IF(INDEX([1]Pivot!$AD$1:$BE$65000,$B909,C$5)=1,1,IF(INDEX([1]Pivot!$B$1:$AB$65000,$B909,C$5)="",2,0)),0)</f>
        <v>0</v>
      </c>
      <c r="D909" s="194">
        <f>IFERROR(IF(INDEX([1]Pivot!$AD$1:$BE$65000,$B909,D$5)=1,1,IF(INDEX([1]Pivot!$B$1:$AB$65000,$B909,D$5)="",2,0)),0)</f>
        <v>0</v>
      </c>
      <c r="E909" s="194">
        <f>IFERROR(IF(INDEX([1]Pivot!$AD$1:$BE$65000,$B909,E$5)=1,1,IF(INDEX([1]Pivot!$B$1:$AB$65000,$B909,E$5)="",2,0)),0)</f>
        <v>0</v>
      </c>
      <c r="F909" s="194">
        <f>IFERROR(IF(INDEX([1]Pivot!$AD$1:$BE$65000,$B909,F$5)=1,1,IF(INDEX([1]Pivot!$B$1:$AB$65000,$B909,F$5)="",2,0)),0)</f>
        <v>0</v>
      </c>
      <c r="G909" s="194">
        <f>IFERROR(IF(INDEX([1]Pivot!$AD$1:$BE$65000,$B909,G$5)=1,1,IF(INDEX([1]Pivot!$B$1:$AB$65000,$B909,G$5)="",2,0)),0)</f>
        <v>0</v>
      </c>
      <c r="H909" s="194">
        <f>IFERROR(IF(INDEX([1]Pivot!$AD$1:$BE$65000,$B909,H$5)=1,1,IF(INDEX([1]Pivot!$B$1:$AB$65000,$B909,H$5)="",2,0)),0)</f>
        <v>0</v>
      </c>
      <c r="I909" s="194">
        <f>IFERROR(IF(INDEX([1]Pivot!$AD$1:$BE$65000,$B909,I$5)=1,1,IF(INDEX([1]Pivot!$B$1:$AB$65000,$B909,I$5)="",2,0)),0)</f>
        <v>0</v>
      </c>
      <c r="J909" s="194">
        <f>IFERROR(IF(INDEX([1]Pivot!$AD$1:$BE$65000,$B909,J$5)=1,1,IF(INDEX([1]Pivot!$B$1:$AB$65000,$B909,J$5)="",2,0)),0)</f>
        <v>0</v>
      </c>
      <c r="K909" s="194">
        <f>IFERROR(IF(INDEX([1]Pivot!$AD$1:$BE$65000,$B909,K$5)=1,1,IF(INDEX([1]Pivot!$B$1:$AB$65000,$B909,K$5)="",2,0)),0)</f>
        <v>0</v>
      </c>
      <c r="L909" s="194">
        <f>IFERROR(IF(INDEX([1]Pivot!$AD$1:$BE$65000,$B909,L$5)=1,1,IF(INDEX([1]Pivot!$B$1:$AB$65000,$B909,L$5)="",2,0)),0)</f>
        <v>0</v>
      </c>
      <c r="M909" s="194">
        <f>IFERROR(IF(INDEX([1]Pivot!$AD$1:$BE$65000,$B909,M$5)=1,1,IF(INDEX([1]Pivot!$B$1:$AB$65000,$B909,M$5)="",2,0)),0)</f>
        <v>0</v>
      </c>
      <c r="N909" s="194">
        <f>IFERROR(IF(INDEX([1]Pivot!$AD$1:$BE$65000,$B909,N$5)=1,1,IF(INDEX([1]Pivot!$B$1:$AB$65000,$B909,N$5)="",2,0)),0)</f>
        <v>0</v>
      </c>
      <c r="O909" s="194">
        <f>IFERROR(IF(INDEX([1]Pivot!$AD$1:$BE$65000,$B909,O$5)=1,1,IF(INDEX([1]Pivot!$B$1:$AB$65000,$B909,O$5)="",2,0)),0)</f>
        <v>0</v>
      </c>
      <c r="P909" s="194">
        <f>IFERROR(IF(INDEX([1]Pivot!$AD$1:$BE$65000,$B909,P$5)=1,1,IF(INDEX([1]Pivot!$B$1:$AB$65000,$B909,P$5)="",2,0)),0)</f>
        <v>0</v>
      </c>
      <c r="Q909" s="194">
        <f>IFERROR(IF(INDEX([1]Pivot!$AD$1:$BE$65000,$B909,Q$5)=1,1,IF(INDEX([1]Pivot!$B$1:$AB$65000,$B909,Q$5)="",2,0)),0)</f>
        <v>0</v>
      </c>
      <c r="R909" s="312"/>
      <c r="S909" s="194">
        <f>IFERROR(IF(INDEX([1]Pivot!$AD$1:$BE$65000,$B909,S$5)=1,1,IF(INDEX([1]Pivot!$B$1:$AB$65000,$B909,S$5)="",2,0)),0)</f>
        <v>0</v>
      </c>
      <c r="T909" s="194">
        <f>IFERROR(IF(INDEX([1]Pivot!$AD$1:$BE$65000,$B909,T$5)=1,1,IF(INDEX([1]Pivot!$B$1:$AB$65000,$B909,T$5)="",2,0)),0)</f>
        <v>0</v>
      </c>
      <c r="U909" s="194">
        <f>IFERROR(IF(INDEX([1]Pivot!$AD$1:$BE$65000,$B909,U$5)=1,1,IF(INDEX([1]Pivot!$B$1:$AB$65000,$B909,U$5)="",2,0)),0)</f>
        <v>0</v>
      </c>
      <c r="V909" s="194">
        <f>IFERROR(IF(INDEX([1]Pivot!$AD$1:$BE$65000,$B909,V$5)=1,1,IF(INDEX([1]Pivot!$B$1:$AB$65000,$B909,V$5)="",2,0)),0)</f>
        <v>0</v>
      </c>
      <c r="W909" s="194">
        <f>IFERROR(IF(INDEX([1]Pivot!$AD$1:$BE$65000,$B909,W$5)=1,1,IF(INDEX([1]Pivot!$B$1:$AB$65000,$B909,W$5)="",2,0)),0)</f>
        <v>0</v>
      </c>
      <c r="X909" s="194">
        <f>IFERROR(IF(INDEX([1]Pivot!$AD$1:$BE$65000,$B909,X$5)=1,1,IF(INDEX([1]Pivot!$B$1:$AB$65000,$B909,X$5)="",2,0)),0)</f>
        <v>0</v>
      </c>
      <c r="Y909" s="194">
        <f>IFERROR(IF(INDEX([1]Pivot!$AD$1:$BE$65000,$B909,Y$5)=1,1,IF(INDEX([1]Pivot!$B$1:$AB$65000,$B909,Y$5)="",2,0)),0)</f>
        <v>0</v>
      </c>
      <c r="Z909" s="194">
        <f>IFERROR(IF(INDEX([1]Pivot!$AD$1:$BE$65000,$B909,Z$5)=1,1,IF(INDEX([1]Pivot!$B$1:$AB$65000,$B909,Z$5)="",2,0)),0)</f>
        <v>0</v>
      </c>
      <c r="AA909" s="194">
        <f>IFERROR(IF(INDEX([1]Pivot!$AD$1:$BE$65000,$B909,AA$5)=1,1,IF(INDEX([1]Pivot!$B$1:$AB$65000,$B909,AA$5)="",2,0)),0)</f>
        <v>0</v>
      </c>
      <c r="AB909" s="194">
        <f>IFERROR(IF(INDEX([1]Pivot!$AD$1:$BE$65000,$B909,AB$5)=1,1,IF(INDEX([1]Pivot!$B$1:$AB$65000,$B909,AB$5)="",2,0)),0)</f>
        <v>0</v>
      </c>
      <c r="AC909" s="194">
        <f>IFERROR(IF(INDEX([1]Pivot!$AD$1:$BE$65000,$B909,AC$5)=1,1,IF(INDEX([1]Pivot!$B$1:$AB$65000,$B909,AC$5)="",2,0)),0)</f>
        <v>0</v>
      </c>
      <c r="AD909" s="313">
        <f>IFERROR(IF(INDEX([1]Pivot!$BF$1:$CG$65000,$B909,AD$5)=1,1,IF(INDEX([1]Pivot!$B$1:$AB$65000,$B909,AD$5)="",2,0)),0)</f>
        <v>0</v>
      </c>
      <c r="AE909" s="313">
        <f>IFERROR(IF(INDEX([1]Pivot!$BF$1:$CG$65000,$B909,AE$5)=1,1,IF(INDEX([1]Pivot!$B$1:$AB$65000,$B909,AE$5)="",2,0)),0)</f>
        <v>0</v>
      </c>
      <c r="AF909" s="313">
        <f>IFERROR(IF(INDEX([1]Pivot!$BF$1:$CG$65000,$B909,AF$5)=1,1,IF(INDEX([1]Pivot!$B$1:$AB$65000,$B909,AF$5)="",2,0)),0)</f>
        <v>0</v>
      </c>
      <c r="AG909" s="313">
        <f>IFERROR(IF(INDEX([1]Pivot!$BF$1:$CG$65000,$B909,AG$5)=1,1,IF(INDEX([1]Pivot!$B$1:$AB$65000,$B909,AG$5)="",2,0)),0)</f>
        <v>0</v>
      </c>
      <c r="AH909" s="313">
        <f>IFERROR(IF(INDEX([1]Pivot!$BF$1:$CG$65000,$B909,AH$5)=1,1,IF(INDEX([1]Pivot!$B$1:$AB$65000,$B909,AH$5)="",2,0)),0)</f>
        <v>0</v>
      </c>
      <c r="AI909" s="313">
        <f>IFERROR(IF(INDEX([1]Pivot!$BF$1:$CG$65000,$B909,AI$5)=1,1,IF(INDEX([1]Pivot!$B$1:$AB$65000,$B909,AI$5)="",2,0)),0)</f>
        <v>0</v>
      </c>
      <c r="AJ909" s="313">
        <f>IFERROR(IF(INDEX([1]Pivot!$BF$1:$CG$65000,$B909,AJ$5)=1,1,IF(INDEX([1]Pivot!$B$1:$AB$65000,$B909,AJ$5)="",2,0)),0)</f>
        <v>0</v>
      </c>
      <c r="AK909" s="313">
        <f>IFERROR(IF(INDEX([1]Pivot!$BF$1:$CG$65000,$B909,AK$5)=1,1,IF(INDEX([1]Pivot!$B$1:$AB$65000,$B909,AK$5)="",2,0)),0)</f>
        <v>0</v>
      </c>
      <c r="AL909" s="313">
        <f>IFERROR(IF(INDEX([1]Pivot!$BF$1:$CG$65000,$B909,AL$5)=1,1,IF(INDEX([1]Pivot!$B$1:$AB$65000,$B909,AL$5)="",2,0)),0)</f>
        <v>0</v>
      </c>
      <c r="AM909" s="313">
        <f>IFERROR(IF(INDEX([1]Pivot!$BF$1:$CG$65000,$B909,AM$5)=1,1,IF(INDEX([1]Pivot!$B$1:$AB$65000,$B909,AM$5)="",2,0)),0)</f>
        <v>0</v>
      </c>
      <c r="AN909" s="313">
        <f>IFERROR(IF(INDEX([1]Pivot!$BF$1:$CG$65000,$B909,AN$5)=1,1,IF(INDEX([1]Pivot!$B$1:$AB$65000,$B909,AN$5)="",2,0)),0)</f>
        <v>0</v>
      </c>
      <c r="AO909" s="313">
        <f>IFERROR(IF(INDEX([1]Pivot!$BF$1:$CG$65000,$B909,AO$5)=1,1,IF(INDEX([1]Pivot!$B$1:$AB$65000,$B909,AO$5)="",2,0)),0)</f>
        <v>0</v>
      </c>
      <c r="AP909" s="313">
        <f>IFERROR(IF(INDEX([1]Pivot!$BF$1:$CG$65000,$B909,AP$5)=1,1,IF(INDEX([1]Pivot!$B$1:$AB$65000,$B909,AP$5)="",2,0)),0)</f>
        <v>0</v>
      </c>
      <c r="AQ909" s="313">
        <f>IFERROR(IF(INDEX([1]Pivot!$BF$1:$CG$65000,$B909,AQ$5)=1,1,IF(INDEX([1]Pivot!$B$1:$AB$65000,$B909,AQ$5)="",2,0)),0)</f>
        <v>0</v>
      </c>
      <c r="AR909" s="313">
        <f>IFERROR(IF(INDEX([1]Pivot!$BF$1:$CG$65000,$B909,AR$5)=1,1,IF(INDEX([1]Pivot!$B$1:$AB$65000,$B909,AR$5)="",2,0)),0)</f>
        <v>0</v>
      </c>
      <c r="AS909" s="312"/>
      <c r="AT909" s="313">
        <f>IFERROR(IF(INDEX([1]Pivot!$BF$1:$CG$65000,$B909,AT$5)=1,1,IF(INDEX([1]Pivot!$B$1:$AB$65000,$B909,AT$5)="",2,0)),0)</f>
        <v>0</v>
      </c>
      <c r="AU909" s="313">
        <f>IFERROR(IF(INDEX([1]Pivot!$BF$1:$CG$65000,$B909,AU$5)=1,1,IF(INDEX([1]Pivot!$B$1:$AB$65000,$B909,AU$5)="",2,0)),0)</f>
        <v>0</v>
      </c>
      <c r="AV909" s="313">
        <f>IFERROR(IF(INDEX([1]Pivot!$BF$1:$CG$65000,$B909,AV$5)=1,1,IF(INDEX([1]Pivot!$B$1:$AB$65000,$B909,AV$5)="",2,0)),0)</f>
        <v>0</v>
      </c>
      <c r="AW909" s="313">
        <f>IFERROR(IF(INDEX([1]Pivot!$BF$1:$CG$65000,$B909,AW$5)=1,1,IF(INDEX([1]Pivot!$B$1:$AB$65000,$B909,AW$5)="",2,0)),0)</f>
        <v>0</v>
      </c>
      <c r="AX909" s="313">
        <f>IFERROR(IF(INDEX([1]Pivot!$BF$1:$CG$65000,$B909,AX$5)=1,1,IF(INDEX([1]Pivot!$B$1:$AB$65000,$B909,AX$5)="",2,0)),0)</f>
        <v>0</v>
      </c>
      <c r="AY909" s="313">
        <f>IFERROR(IF(INDEX([1]Pivot!$BF$1:$CG$65000,$B909,AY$5)=1,1,IF(INDEX([1]Pivot!$B$1:$AB$65000,$B909,AY$5)="",2,0)),0)</f>
        <v>0</v>
      </c>
      <c r="AZ909" s="313">
        <f>IFERROR(IF(INDEX([1]Pivot!$BF$1:$CG$65000,$B909,AZ$5)=1,1,IF(INDEX([1]Pivot!$B$1:$AB$65000,$B909,AZ$5)="",2,0)),0)</f>
        <v>0</v>
      </c>
      <c r="BA909" s="313">
        <f>IFERROR(IF(INDEX([1]Pivot!$BF$1:$CG$65000,$B909,BA$5)=1,1,IF(INDEX([1]Pivot!$B$1:$AB$65000,$B909,BA$5)="",2,0)),0)</f>
        <v>0</v>
      </c>
      <c r="BB909" s="313">
        <f>IFERROR(IF(INDEX([1]Pivot!$BF$1:$CG$65000,$B909,BB$5)=1,1,IF(INDEX([1]Pivot!$B$1:$AB$65000,$B909,BB$5)="",2,0)),0)</f>
        <v>0</v>
      </c>
      <c r="BC909" s="313">
        <f>IFERROR(IF(INDEX([1]Pivot!$BF$1:$CG$65000,$B909,BC$5)=1,1,IF(INDEX([1]Pivot!$B$1:$AB$65000,$B909,BC$5)="",2,0)),0)</f>
        <v>0</v>
      </c>
      <c r="BD909" s="313">
        <f>IFERROR(IF(INDEX([1]Pivot!$BF$1:$CG$65000,$B909,BD$5)=1,1,IF(INDEX([1]Pivot!$B$1:$AB$65000,$B909,BD$5)="",2,0)),0)</f>
        <v>0</v>
      </c>
    </row>
    <row r="910" spans="1:56" x14ac:dyDescent="0.25">
      <c r="A910" s="288">
        <f>'[2]Raw Milk Prices'!A910</f>
        <v>0</v>
      </c>
      <c r="B910" s="296" t="e">
        <f>MATCH(DATE(LEFT('[2]Raw Milk Prices'!$A910,4),RIGHT('[2]Raw Milk Prices'!$A910,2),1),[1]Pivot!$A$1:$A$65000,0)</f>
        <v>#VALUE!</v>
      </c>
      <c r="C910" s="194">
        <f>IFERROR(IF(INDEX([1]Pivot!$AD$1:$BE$65000,$B910,C$5)=1,1,IF(INDEX([1]Pivot!$B$1:$AB$65000,$B910,C$5)="",2,0)),0)</f>
        <v>0</v>
      </c>
      <c r="D910" s="194">
        <f>IFERROR(IF(INDEX([1]Pivot!$AD$1:$BE$65000,$B910,D$5)=1,1,IF(INDEX([1]Pivot!$B$1:$AB$65000,$B910,D$5)="",2,0)),0)</f>
        <v>0</v>
      </c>
      <c r="E910" s="194">
        <f>IFERROR(IF(INDEX([1]Pivot!$AD$1:$BE$65000,$B910,E$5)=1,1,IF(INDEX([1]Pivot!$B$1:$AB$65000,$B910,E$5)="",2,0)),0)</f>
        <v>0</v>
      </c>
      <c r="F910" s="194">
        <f>IFERROR(IF(INDEX([1]Pivot!$AD$1:$BE$65000,$B910,F$5)=1,1,IF(INDEX([1]Pivot!$B$1:$AB$65000,$B910,F$5)="",2,0)),0)</f>
        <v>0</v>
      </c>
      <c r="G910" s="194">
        <f>IFERROR(IF(INDEX([1]Pivot!$AD$1:$BE$65000,$B910,G$5)=1,1,IF(INDEX([1]Pivot!$B$1:$AB$65000,$B910,G$5)="",2,0)),0)</f>
        <v>0</v>
      </c>
      <c r="H910" s="194">
        <f>IFERROR(IF(INDEX([1]Pivot!$AD$1:$BE$65000,$B910,H$5)=1,1,IF(INDEX([1]Pivot!$B$1:$AB$65000,$B910,H$5)="",2,0)),0)</f>
        <v>0</v>
      </c>
      <c r="I910" s="194">
        <f>IFERROR(IF(INDEX([1]Pivot!$AD$1:$BE$65000,$B910,I$5)=1,1,IF(INDEX([1]Pivot!$B$1:$AB$65000,$B910,I$5)="",2,0)),0)</f>
        <v>0</v>
      </c>
      <c r="J910" s="194">
        <f>IFERROR(IF(INDEX([1]Pivot!$AD$1:$BE$65000,$B910,J$5)=1,1,IF(INDEX([1]Pivot!$B$1:$AB$65000,$B910,J$5)="",2,0)),0)</f>
        <v>0</v>
      </c>
      <c r="K910" s="194">
        <f>IFERROR(IF(INDEX([1]Pivot!$AD$1:$BE$65000,$B910,K$5)=1,1,IF(INDEX([1]Pivot!$B$1:$AB$65000,$B910,K$5)="",2,0)),0)</f>
        <v>0</v>
      </c>
      <c r="L910" s="194">
        <f>IFERROR(IF(INDEX([1]Pivot!$AD$1:$BE$65000,$B910,L$5)=1,1,IF(INDEX([1]Pivot!$B$1:$AB$65000,$B910,L$5)="",2,0)),0)</f>
        <v>0</v>
      </c>
      <c r="M910" s="194">
        <f>IFERROR(IF(INDEX([1]Pivot!$AD$1:$BE$65000,$B910,M$5)=1,1,IF(INDEX([1]Pivot!$B$1:$AB$65000,$B910,M$5)="",2,0)),0)</f>
        <v>0</v>
      </c>
      <c r="N910" s="194">
        <f>IFERROR(IF(INDEX([1]Pivot!$AD$1:$BE$65000,$B910,N$5)=1,1,IF(INDEX([1]Pivot!$B$1:$AB$65000,$B910,N$5)="",2,0)),0)</f>
        <v>0</v>
      </c>
      <c r="O910" s="194">
        <f>IFERROR(IF(INDEX([1]Pivot!$AD$1:$BE$65000,$B910,O$5)=1,1,IF(INDEX([1]Pivot!$B$1:$AB$65000,$B910,O$5)="",2,0)),0)</f>
        <v>0</v>
      </c>
      <c r="P910" s="194">
        <f>IFERROR(IF(INDEX([1]Pivot!$AD$1:$BE$65000,$B910,P$5)=1,1,IF(INDEX([1]Pivot!$B$1:$AB$65000,$B910,P$5)="",2,0)),0)</f>
        <v>0</v>
      </c>
      <c r="Q910" s="194">
        <f>IFERROR(IF(INDEX([1]Pivot!$AD$1:$BE$65000,$B910,Q$5)=1,1,IF(INDEX([1]Pivot!$B$1:$AB$65000,$B910,Q$5)="",2,0)),0)</f>
        <v>0</v>
      </c>
      <c r="R910" s="312"/>
      <c r="S910" s="194">
        <f>IFERROR(IF(INDEX([1]Pivot!$AD$1:$BE$65000,$B910,S$5)=1,1,IF(INDEX([1]Pivot!$B$1:$AB$65000,$B910,S$5)="",2,0)),0)</f>
        <v>0</v>
      </c>
      <c r="T910" s="194">
        <f>IFERROR(IF(INDEX([1]Pivot!$AD$1:$BE$65000,$B910,T$5)=1,1,IF(INDEX([1]Pivot!$B$1:$AB$65000,$B910,T$5)="",2,0)),0)</f>
        <v>0</v>
      </c>
      <c r="U910" s="194">
        <f>IFERROR(IF(INDEX([1]Pivot!$AD$1:$BE$65000,$B910,U$5)=1,1,IF(INDEX([1]Pivot!$B$1:$AB$65000,$B910,U$5)="",2,0)),0)</f>
        <v>0</v>
      </c>
      <c r="V910" s="194">
        <f>IFERROR(IF(INDEX([1]Pivot!$AD$1:$BE$65000,$B910,V$5)=1,1,IF(INDEX([1]Pivot!$B$1:$AB$65000,$B910,V$5)="",2,0)),0)</f>
        <v>0</v>
      </c>
      <c r="W910" s="194">
        <f>IFERROR(IF(INDEX([1]Pivot!$AD$1:$BE$65000,$B910,W$5)=1,1,IF(INDEX([1]Pivot!$B$1:$AB$65000,$B910,W$5)="",2,0)),0)</f>
        <v>0</v>
      </c>
      <c r="X910" s="194">
        <f>IFERROR(IF(INDEX([1]Pivot!$AD$1:$BE$65000,$B910,X$5)=1,1,IF(INDEX([1]Pivot!$B$1:$AB$65000,$B910,X$5)="",2,0)),0)</f>
        <v>0</v>
      </c>
      <c r="Y910" s="194">
        <f>IFERROR(IF(INDEX([1]Pivot!$AD$1:$BE$65000,$B910,Y$5)=1,1,IF(INDEX([1]Pivot!$B$1:$AB$65000,$B910,Y$5)="",2,0)),0)</f>
        <v>0</v>
      </c>
      <c r="Z910" s="194">
        <f>IFERROR(IF(INDEX([1]Pivot!$AD$1:$BE$65000,$B910,Z$5)=1,1,IF(INDEX([1]Pivot!$B$1:$AB$65000,$B910,Z$5)="",2,0)),0)</f>
        <v>0</v>
      </c>
      <c r="AA910" s="194">
        <f>IFERROR(IF(INDEX([1]Pivot!$AD$1:$BE$65000,$B910,AA$5)=1,1,IF(INDEX([1]Pivot!$B$1:$AB$65000,$B910,AA$5)="",2,0)),0)</f>
        <v>0</v>
      </c>
      <c r="AB910" s="194">
        <f>IFERROR(IF(INDEX([1]Pivot!$AD$1:$BE$65000,$B910,AB$5)=1,1,IF(INDEX([1]Pivot!$B$1:$AB$65000,$B910,AB$5)="",2,0)),0)</f>
        <v>0</v>
      </c>
      <c r="AC910" s="194">
        <f>IFERROR(IF(INDEX([1]Pivot!$AD$1:$BE$65000,$B910,AC$5)=1,1,IF(INDEX([1]Pivot!$B$1:$AB$65000,$B910,AC$5)="",2,0)),0)</f>
        <v>0</v>
      </c>
      <c r="AD910" s="313">
        <f>IFERROR(IF(INDEX([1]Pivot!$BF$1:$CG$65000,$B910,AD$5)=1,1,IF(INDEX([1]Pivot!$B$1:$AB$65000,$B910,AD$5)="",2,0)),0)</f>
        <v>0</v>
      </c>
      <c r="AE910" s="313">
        <f>IFERROR(IF(INDEX([1]Pivot!$BF$1:$CG$65000,$B910,AE$5)=1,1,IF(INDEX([1]Pivot!$B$1:$AB$65000,$B910,AE$5)="",2,0)),0)</f>
        <v>0</v>
      </c>
      <c r="AF910" s="313">
        <f>IFERROR(IF(INDEX([1]Pivot!$BF$1:$CG$65000,$B910,AF$5)=1,1,IF(INDEX([1]Pivot!$B$1:$AB$65000,$B910,AF$5)="",2,0)),0)</f>
        <v>0</v>
      </c>
      <c r="AG910" s="313">
        <f>IFERROR(IF(INDEX([1]Pivot!$BF$1:$CG$65000,$B910,AG$5)=1,1,IF(INDEX([1]Pivot!$B$1:$AB$65000,$B910,AG$5)="",2,0)),0)</f>
        <v>0</v>
      </c>
      <c r="AH910" s="313">
        <f>IFERROR(IF(INDEX([1]Pivot!$BF$1:$CG$65000,$B910,AH$5)=1,1,IF(INDEX([1]Pivot!$B$1:$AB$65000,$B910,AH$5)="",2,0)),0)</f>
        <v>0</v>
      </c>
      <c r="AI910" s="313">
        <f>IFERROR(IF(INDEX([1]Pivot!$BF$1:$CG$65000,$B910,AI$5)=1,1,IF(INDEX([1]Pivot!$B$1:$AB$65000,$B910,AI$5)="",2,0)),0)</f>
        <v>0</v>
      </c>
      <c r="AJ910" s="313">
        <f>IFERROR(IF(INDEX([1]Pivot!$BF$1:$CG$65000,$B910,AJ$5)=1,1,IF(INDEX([1]Pivot!$B$1:$AB$65000,$B910,AJ$5)="",2,0)),0)</f>
        <v>0</v>
      </c>
      <c r="AK910" s="313">
        <f>IFERROR(IF(INDEX([1]Pivot!$BF$1:$CG$65000,$B910,AK$5)=1,1,IF(INDEX([1]Pivot!$B$1:$AB$65000,$B910,AK$5)="",2,0)),0)</f>
        <v>0</v>
      </c>
      <c r="AL910" s="313">
        <f>IFERROR(IF(INDEX([1]Pivot!$BF$1:$CG$65000,$B910,AL$5)=1,1,IF(INDEX([1]Pivot!$B$1:$AB$65000,$B910,AL$5)="",2,0)),0)</f>
        <v>0</v>
      </c>
      <c r="AM910" s="313">
        <f>IFERROR(IF(INDEX([1]Pivot!$BF$1:$CG$65000,$B910,AM$5)=1,1,IF(INDEX([1]Pivot!$B$1:$AB$65000,$B910,AM$5)="",2,0)),0)</f>
        <v>0</v>
      </c>
      <c r="AN910" s="313">
        <f>IFERROR(IF(INDEX([1]Pivot!$BF$1:$CG$65000,$B910,AN$5)=1,1,IF(INDEX([1]Pivot!$B$1:$AB$65000,$B910,AN$5)="",2,0)),0)</f>
        <v>0</v>
      </c>
      <c r="AO910" s="313">
        <f>IFERROR(IF(INDEX([1]Pivot!$BF$1:$CG$65000,$B910,AO$5)=1,1,IF(INDEX([1]Pivot!$B$1:$AB$65000,$B910,AO$5)="",2,0)),0)</f>
        <v>0</v>
      </c>
      <c r="AP910" s="313">
        <f>IFERROR(IF(INDEX([1]Pivot!$BF$1:$CG$65000,$B910,AP$5)=1,1,IF(INDEX([1]Pivot!$B$1:$AB$65000,$B910,AP$5)="",2,0)),0)</f>
        <v>0</v>
      </c>
      <c r="AQ910" s="313">
        <f>IFERROR(IF(INDEX([1]Pivot!$BF$1:$CG$65000,$B910,AQ$5)=1,1,IF(INDEX([1]Pivot!$B$1:$AB$65000,$B910,AQ$5)="",2,0)),0)</f>
        <v>0</v>
      </c>
      <c r="AR910" s="313">
        <f>IFERROR(IF(INDEX([1]Pivot!$BF$1:$CG$65000,$B910,AR$5)=1,1,IF(INDEX([1]Pivot!$B$1:$AB$65000,$B910,AR$5)="",2,0)),0)</f>
        <v>0</v>
      </c>
      <c r="AS910" s="312"/>
      <c r="AT910" s="313">
        <f>IFERROR(IF(INDEX([1]Pivot!$BF$1:$CG$65000,$B910,AT$5)=1,1,IF(INDEX([1]Pivot!$B$1:$AB$65000,$B910,AT$5)="",2,0)),0)</f>
        <v>0</v>
      </c>
      <c r="AU910" s="313">
        <f>IFERROR(IF(INDEX([1]Pivot!$BF$1:$CG$65000,$B910,AU$5)=1,1,IF(INDEX([1]Pivot!$B$1:$AB$65000,$B910,AU$5)="",2,0)),0)</f>
        <v>0</v>
      </c>
      <c r="AV910" s="313">
        <f>IFERROR(IF(INDEX([1]Pivot!$BF$1:$CG$65000,$B910,AV$5)=1,1,IF(INDEX([1]Pivot!$B$1:$AB$65000,$B910,AV$5)="",2,0)),0)</f>
        <v>0</v>
      </c>
      <c r="AW910" s="313">
        <f>IFERROR(IF(INDEX([1]Pivot!$BF$1:$CG$65000,$B910,AW$5)=1,1,IF(INDEX([1]Pivot!$B$1:$AB$65000,$B910,AW$5)="",2,0)),0)</f>
        <v>0</v>
      </c>
      <c r="AX910" s="313">
        <f>IFERROR(IF(INDEX([1]Pivot!$BF$1:$CG$65000,$B910,AX$5)=1,1,IF(INDEX([1]Pivot!$B$1:$AB$65000,$B910,AX$5)="",2,0)),0)</f>
        <v>0</v>
      </c>
      <c r="AY910" s="313">
        <f>IFERROR(IF(INDEX([1]Pivot!$BF$1:$CG$65000,$B910,AY$5)=1,1,IF(INDEX([1]Pivot!$B$1:$AB$65000,$B910,AY$5)="",2,0)),0)</f>
        <v>0</v>
      </c>
      <c r="AZ910" s="313">
        <f>IFERROR(IF(INDEX([1]Pivot!$BF$1:$CG$65000,$B910,AZ$5)=1,1,IF(INDEX([1]Pivot!$B$1:$AB$65000,$B910,AZ$5)="",2,0)),0)</f>
        <v>0</v>
      </c>
      <c r="BA910" s="313">
        <f>IFERROR(IF(INDEX([1]Pivot!$BF$1:$CG$65000,$B910,BA$5)=1,1,IF(INDEX([1]Pivot!$B$1:$AB$65000,$B910,BA$5)="",2,0)),0)</f>
        <v>0</v>
      </c>
      <c r="BB910" s="313">
        <f>IFERROR(IF(INDEX([1]Pivot!$BF$1:$CG$65000,$B910,BB$5)=1,1,IF(INDEX([1]Pivot!$B$1:$AB$65000,$B910,BB$5)="",2,0)),0)</f>
        <v>0</v>
      </c>
      <c r="BC910" s="313">
        <f>IFERROR(IF(INDEX([1]Pivot!$BF$1:$CG$65000,$B910,BC$5)=1,1,IF(INDEX([1]Pivot!$B$1:$AB$65000,$B910,BC$5)="",2,0)),0)</f>
        <v>0</v>
      </c>
      <c r="BD910" s="313">
        <f>IFERROR(IF(INDEX([1]Pivot!$BF$1:$CG$65000,$B910,BD$5)=1,1,IF(INDEX([1]Pivot!$B$1:$AB$65000,$B910,BD$5)="",2,0)),0)</f>
        <v>0</v>
      </c>
    </row>
    <row r="911" spans="1:56" x14ac:dyDescent="0.25">
      <c r="A911" s="288">
        <f>'[2]Raw Milk Prices'!A911</f>
        <v>0</v>
      </c>
      <c r="B911" s="296" t="e">
        <f>MATCH(DATE(LEFT('[2]Raw Milk Prices'!$A911,4),RIGHT('[2]Raw Milk Prices'!$A911,2),1),[1]Pivot!$A$1:$A$65000,0)</f>
        <v>#VALUE!</v>
      </c>
      <c r="C911" s="194">
        <f>IFERROR(IF(INDEX([1]Pivot!$AD$1:$BE$65000,$B911,C$5)=1,1,IF(INDEX([1]Pivot!$B$1:$AB$65000,$B911,C$5)="",2,0)),0)</f>
        <v>0</v>
      </c>
      <c r="D911" s="194">
        <f>IFERROR(IF(INDEX([1]Pivot!$AD$1:$BE$65000,$B911,D$5)=1,1,IF(INDEX([1]Pivot!$B$1:$AB$65000,$B911,D$5)="",2,0)),0)</f>
        <v>0</v>
      </c>
      <c r="E911" s="194">
        <f>IFERROR(IF(INDEX([1]Pivot!$AD$1:$BE$65000,$B911,E$5)=1,1,IF(INDEX([1]Pivot!$B$1:$AB$65000,$B911,E$5)="",2,0)),0)</f>
        <v>0</v>
      </c>
      <c r="F911" s="194">
        <f>IFERROR(IF(INDEX([1]Pivot!$AD$1:$BE$65000,$B911,F$5)=1,1,IF(INDEX([1]Pivot!$B$1:$AB$65000,$B911,F$5)="",2,0)),0)</f>
        <v>0</v>
      </c>
      <c r="G911" s="194">
        <f>IFERROR(IF(INDEX([1]Pivot!$AD$1:$BE$65000,$B911,G$5)=1,1,IF(INDEX([1]Pivot!$B$1:$AB$65000,$B911,G$5)="",2,0)),0)</f>
        <v>0</v>
      </c>
      <c r="H911" s="194">
        <f>IFERROR(IF(INDEX([1]Pivot!$AD$1:$BE$65000,$B911,H$5)=1,1,IF(INDEX([1]Pivot!$B$1:$AB$65000,$B911,H$5)="",2,0)),0)</f>
        <v>0</v>
      </c>
      <c r="I911" s="194">
        <f>IFERROR(IF(INDEX([1]Pivot!$AD$1:$BE$65000,$B911,I$5)=1,1,IF(INDEX([1]Pivot!$B$1:$AB$65000,$B911,I$5)="",2,0)),0)</f>
        <v>0</v>
      </c>
      <c r="J911" s="194">
        <f>IFERROR(IF(INDEX([1]Pivot!$AD$1:$BE$65000,$B911,J$5)=1,1,IF(INDEX([1]Pivot!$B$1:$AB$65000,$B911,J$5)="",2,0)),0)</f>
        <v>0</v>
      </c>
      <c r="K911" s="194">
        <f>IFERROR(IF(INDEX([1]Pivot!$AD$1:$BE$65000,$B911,K$5)=1,1,IF(INDEX([1]Pivot!$B$1:$AB$65000,$B911,K$5)="",2,0)),0)</f>
        <v>0</v>
      </c>
      <c r="L911" s="194">
        <f>IFERROR(IF(INDEX([1]Pivot!$AD$1:$BE$65000,$B911,L$5)=1,1,IF(INDEX([1]Pivot!$B$1:$AB$65000,$B911,L$5)="",2,0)),0)</f>
        <v>0</v>
      </c>
      <c r="M911" s="194">
        <f>IFERROR(IF(INDEX([1]Pivot!$AD$1:$BE$65000,$B911,M$5)=1,1,IF(INDEX([1]Pivot!$B$1:$AB$65000,$B911,M$5)="",2,0)),0)</f>
        <v>0</v>
      </c>
      <c r="N911" s="194">
        <f>IFERROR(IF(INDEX([1]Pivot!$AD$1:$BE$65000,$B911,N$5)=1,1,IF(INDEX([1]Pivot!$B$1:$AB$65000,$B911,N$5)="",2,0)),0)</f>
        <v>0</v>
      </c>
      <c r="O911" s="194">
        <f>IFERROR(IF(INDEX([1]Pivot!$AD$1:$BE$65000,$B911,O$5)=1,1,IF(INDEX([1]Pivot!$B$1:$AB$65000,$B911,O$5)="",2,0)),0)</f>
        <v>0</v>
      </c>
      <c r="P911" s="194">
        <f>IFERROR(IF(INDEX([1]Pivot!$AD$1:$BE$65000,$B911,P$5)=1,1,IF(INDEX([1]Pivot!$B$1:$AB$65000,$B911,P$5)="",2,0)),0)</f>
        <v>0</v>
      </c>
      <c r="Q911" s="194">
        <f>IFERROR(IF(INDEX([1]Pivot!$AD$1:$BE$65000,$B911,Q$5)=1,1,IF(INDEX([1]Pivot!$B$1:$AB$65000,$B911,Q$5)="",2,0)),0)</f>
        <v>0</v>
      </c>
      <c r="R911" s="312"/>
      <c r="S911" s="194">
        <f>IFERROR(IF(INDEX([1]Pivot!$AD$1:$BE$65000,$B911,S$5)=1,1,IF(INDEX([1]Pivot!$B$1:$AB$65000,$B911,S$5)="",2,0)),0)</f>
        <v>0</v>
      </c>
      <c r="T911" s="194">
        <f>IFERROR(IF(INDEX([1]Pivot!$AD$1:$BE$65000,$B911,T$5)=1,1,IF(INDEX([1]Pivot!$B$1:$AB$65000,$B911,T$5)="",2,0)),0)</f>
        <v>0</v>
      </c>
      <c r="U911" s="194">
        <f>IFERROR(IF(INDEX([1]Pivot!$AD$1:$BE$65000,$B911,U$5)=1,1,IF(INDEX([1]Pivot!$B$1:$AB$65000,$B911,U$5)="",2,0)),0)</f>
        <v>0</v>
      </c>
      <c r="V911" s="194">
        <f>IFERROR(IF(INDEX([1]Pivot!$AD$1:$BE$65000,$B911,V$5)=1,1,IF(INDEX([1]Pivot!$B$1:$AB$65000,$B911,V$5)="",2,0)),0)</f>
        <v>0</v>
      </c>
      <c r="W911" s="194">
        <f>IFERROR(IF(INDEX([1]Pivot!$AD$1:$BE$65000,$B911,W$5)=1,1,IF(INDEX([1]Pivot!$B$1:$AB$65000,$B911,W$5)="",2,0)),0)</f>
        <v>0</v>
      </c>
      <c r="X911" s="194">
        <f>IFERROR(IF(INDEX([1]Pivot!$AD$1:$BE$65000,$B911,X$5)=1,1,IF(INDEX([1]Pivot!$B$1:$AB$65000,$B911,X$5)="",2,0)),0)</f>
        <v>0</v>
      </c>
      <c r="Y911" s="194">
        <f>IFERROR(IF(INDEX([1]Pivot!$AD$1:$BE$65000,$B911,Y$5)=1,1,IF(INDEX([1]Pivot!$B$1:$AB$65000,$B911,Y$5)="",2,0)),0)</f>
        <v>0</v>
      </c>
      <c r="Z911" s="194">
        <f>IFERROR(IF(INDEX([1]Pivot!$AD$1:$BE$65000,$B911,Z$5)=1,1,IF(INDEX([1]Pivot!$B$1:$AB$65000,$B911,Z$5)="",2,0)),0)</f>
        <v>0</v>
      </c>
      <c r="AA911" s="194">
        <f>IFERROR(IF(INDEX([1]Pivot!$AD$1:$BE$65000,$B911,AA$5)=1,1,IF(INDEX([1]Pivot!$B$1:$AB$65000,$B911,AA$5)="",2,0)),0)</f>
        <v>0</v>
      </c>
      <c r="AB911" s="194">
        <f>IFERROR(IF(INDEX([1]Pivot!$AD$1:$BE$65000,$B911,AB$5)=1,1,IF(INDEX([1]Pivot!$B$1:$AB$65000,$B911,AB$5)="",2,0)),0)</f>
        <v>0</v>
      </c>
      <c r="AC911" s="194">
        <f>IFERROR(IF(INDEX([1]Pivot!$AD$1:$BE$65000,$B911,AC$5)=1,1,IF(INDEX([1]Pivot!$B$1:$AB$65000,$B911,AC$5)="",2,0)),0)</f>
        <v>0</v>
      </c>
      <c r="AD911" s="313">
        <f>IFERROR(IF(INDEX([1]Pivot!$BF$1:$CG$65000,$B911,AD$5)=1,1,IF(INDEX([1]Pivot!$B$1:$AB$65000,$B911,AD$5)="",2,0)),0)</f>
        <v>0</v>
      </c>
      <c r="AE911" s="313">
        <f>IFERROR(IF(INDEX([1]Pivot!$BF$1:$CG$65000,$B911,AE$5)=1,1,IF(INDEX([1]Pivot!$B$1:$AB$65000,$B911,AE$5)="",2,0)),0)</f>
        <v>0</v>
      </c>
      <c r="AF911" s="313">
        <f>IFERROR(IF(INDEX([1]Pivot!$BF$1:$CG$65000,$B911,AF$5)=1,1,IF(INDEX([1]Pivot!$B$1:$AB$65000,$B911,AF$5)="",2,0)),0)</f>
        <v>0</v>
      </c>
      <c r="AG911" s="313">
        <f>IFERROR(IF(INDEX([1]Pivot!$BF$1:$CG$65000,$B911,AG$5)=1,1,IF(INDEX([1]Pivot!$B$1:$AB$65000,$B911,AG$5)="",2,0)),0)</f>
        <v>0</v>
      </c>
      <c r="AH911" s="313">
        <f>IFERROR(IF(INDEX([1]Pivot!$BF$1:$CG$65000,$B911,AH$5)=1,1,IF(INDEX([1]Pivot!$B$1:$AB$65000,$B911,AH$5)="",2,0)),0)</f>
        <v>0</v>
      </c>
      <c r="AI911" s="313">
        <f>IFERROR(IF(INDEX([1]Pivot!$BF$1:$CG$65000,$B911,AI$5)=1,1,IF(INDEX([1]Pivot!$B$1:$AB$65000,$B911,AI$5)="",2,0)),0)</f>
        <v>0</v>
      </c>
      <c r="AJ911" s="313">
        <f>IFERROR(IF(INDEX([1]Pivot!$BF$1:$CG$65000,$B911,AJ$5)=1,1,IF(INDEX([1]Pivot!$B$1:$AB$65000,$B911,AJ$5)="",2,0)),0)</f>
        <v>0</v>
      </c>
      <c r="AK911" s="313">
        <f>IFERROR(IF(INDEX([1]Pivot!$BF$1:$CG$65000,$B911,AK$5)=1,1,IF(INDEX([1]Pivot!$B$1:$AB$65000,$B911,AK$5)="",2,0)),0)</f>
        <v>0</v>
      </c>
      <c r="AL911" s="313">
        <f>IFERROR(IF(INDEX([1]Pivot!$BF$1:$CG$65000,$B911,AL$5)=1,1,IF(INDEX([1]Pivot!$B$1:$AB$65000,$B911,AL$5)="",2,0)),0)</f>
        <v>0</v>
      </c>
      <c r="AM911" s="313">
        <f>IFERROR(IF(INDEX([1]Pivot!$BF$1:$CG$65000,$B911,AM$5)=1,1,IF(INDEX([1]Pivot!$B$1:$AB$65000,$B911,AM$5)="",2,0)),0)</f>
        <v>0</v>
      </c>
      <c r="AN911" s="313">
        <f>IFERROR(IF(INDEX([1]Pivot!$BF$1:$CG$65000,$B911,AN$5)=1,1,IF(INDEX([1]Pivot!$B$1:$AB$65000,$B911,AN$5)="",2,0)),0)</f>
        <v>0</v>
      </c>
      <c r="AO911" s="313">
        <f>IFERROR(IF(INDEX([1]Pivot!$BF$1:$CG$65000,$B911,AO$5)=1,1,IF(INDEX([1]Pivot!$B$1:$AB$65000,$B911,AO$5)="",2,0)),0)</f>
        <v>0</v>
      </c>
      <c r="AP911" s="313">
        <f>IFERROR(IF(INDEX([1]Pivot!$BF$1:$CG$65000,$B911,AP$5)=1,1,IF(INDEX([1]Pivot!$B$1:$AB$65000,$B911,AP$5)="",2,0)),0)</f>
        <v>0</v>
      </c>
      <c r="AQ911" s="313">
        <f>IFERROR(IF(INDEX([1]Pivot!$BF$1:$CG$65000,$B911,AQ$5)=1,1,IF(INDEX([1]Pivot!$B$1:$AB$65000,$B911,AQ$5)="",2,0)),0)</f>
        <v>0</v>
      </c>
      <c r="AR911" s="313">
        <f>IFERROR(IF(INDEX([1]Pivot!$BF$1:$CG$65000,$B911,AR$5)=1,1,IF(INDEX([1]Pivot!$B$1:$AB$65000,$B911,AR$5)="",2,0)),0)</f>
        <v>0</v>
      </c>
      <c r="AS911" s="312"/>
      <c r="AT911" s="313">
        <f>IFERROR(IF(INDEX([1]Pivot!$BF$1:$CG$65000,$B911,AT$5)=1,1,IF(INDEX([1]Pivot!$B$1:$AB$65000,$B911,AT$5)="",2,0)),0)</f>
        <v>0</v>
      </c>
      <c r="AU911" s="313">
        <f>IFERROR(IF(INDEX([1]Pivot!$BF$1:$CG$65000,$B911,AU$5)=1,1,IF(INDEX([1]Pivot!$B$1:$AB$65000,$B911,AU$5)="",2,0)),0)</f>
        <v>0</v>
      </c>
      <c r="AV911" s="313">
        <f>IFERROR(IF(INDEX([1]Pivot!$BF$1:$CG$65000,$B911,AV$5)=1,1,IF(INDEX([1]Pivot!$B$1:$AB$65000,$B911,AV$5)="",2,0)),0)</f>
        <v>0</v>
      </c>
      <c r="AW911" s="313">
        <f>IFERROR(IF(INDEX([1]Pivot!$BF$1:$CG$65000,$B911,AW$5)=1,1,IF(INDEX([1]Pivot!$B$1:$AB$65000,$B911,AW$5)="",2,0)),0)</f>
        <v>0</v>
      </c>
      <c r="AX911" s="313">
        <f>IFERROR(IF(INDEX([1]Pivot!$BF$1:$CG$65000,$B911,AX$5)=1,1,IF(INDEX([1]Pivot!$B$1:$AB$65000,$B911,AX$5)="",2,0)),0)</f>
        <v>0</v>
      </c>
      <c r="AY911" s="313">
        <f>IFERROR(IF(INDEX([1]Pivot!$BF$1:$CG$65000,$B911,AY$5)=1,1,IF(INDEX([1]Pivot!$B$1:$AB$65000,$B911,AY$5)="",2,0)),0)</f>
        <v>0</v>
      </c>
      <c r="AZ911" s="313">
        <f>IFERROR(IF(INDEX([1]Pivot!$BF$1:$CG$65000,$B911,AZ$5)=1,1,IF(INDEX([1]Pivot!$B$1:$AB$65000,$B911,AZ$5)="",2,0)),0)</f>
        <v>0</v>
      </c>
      <c r="BA911" s="313">
        <f>IFERROR(IF(INDEX([1]Pivot!$BF$1:$CG$65000,$B911,BA$5)=1,1,IF(INDEX([1]Pivot!$B$1:$AB$65000,$B911,BA$5)="",2,0)),0)</f>
        <v>0</v>
      </c>
      <c r="BB911" s="313">
        <f>IFERROR(IF(INDEX([1]Pivot!$BF$1:$CG$65000,$B911,BB$5)=1,1,IF(INDEX([1]Pivot!$B$1:$AB$65000,$B911,BB$5)="",2,0)),0)</f>
        <v>0</v>
      </c>
      <c r="BC911" s="313">
        <f>IFERROR(IF(INDEX([1]Pivot!$BF$1:$CG$65000,$B911,BC$5)=1,1,IF(INDEX([1]Pivot!$B$1:$AB$65000,$B911,BC$5)="",2,0)),0)</f>
        <v>0</v>
      </c>
      <c r="BD911" s="313">
        <f>IFERROR(IF(INDEX([1]Pivot!$BF$1:$CG$65000,$B911,BD$5)=1,1,IF(INDEX([1]Pivot!$B$1:$AB$65000,$B911,BD$5)="",2,0)),0)</f>
        <v>0</v>
      </c>
    </row>
    <row r="912" spans="1:56" x14ac:dyDescent="0.25">
      <c r="A912" s="288">
        <f>'[2]Raw Milk Prices'!A912</f>
        <v>0</v>
      </c>
      <c r="B912" s="296" t="e">
        <f>MATCH(DATE(LEFT('[2]Raw Milk Prices'!$A912,4),RIGHT('[2]Raw Milk Prices'!$A912,2),1),[1]Pivot!$A$1:$A$65000,0)</f>
        <v>#VALUE!</v>
      </c>
      <c r="C912" s="194">
        <f>IFERROR(IF(INDEX([1]Pivot!$AD$1:$BE$65000,$B912,C$5)=1,1,IF(INDEX([1]Pivot!$B$1:$AB$65000,$B912,C$5)="",2,0)),0)</f>
        <v>0</v>
      </c>
      <c r="D912" s="194">
        <f>IFERROR(IF(INDEX([1]Pivot!$AD$1:$BE$65000,$B912,D$5)=1,1,IF(INDEX([1]Pivot!$B$1:$AB$65000,$B912,D$5)="",2,0)),0)</f>
        <v>0</v>
      </c>
      <c r="E912" s="194">
        <f>IFERROR(IF(INDEX([1]Pivot!$AD$1:$BE$65000,$B912,E$5)=1,1,IF(INDEX([1]Pivot!$B$1:$AB$65000,$B912,E$5)="",2,0)),0)</f>
        <v>0</v>
      </c>
      <c r="F912" s="194">
        <f>IFERROR(IF(INDEX([1]Pivot!$AD$1:$BE$65000,$B912,F$5)=1,1,IF(INDEX([1]Pivot!$B$1:$AB$65000,$B912,F$5)="",2,0)),0)</f>
        <v>0</v>
      </c>
      <c r="G912" s="194">
        <f>IFERROR(IF(INDEX([1]Pivot!$AD$1:$BE$65000,$B912,G$5)=1,1,IF(INDEX([1]Pivot!$B$1:$AB$65000,$B912,G$5)="",2,0)),0)</f>
        <v>0</v>
      </c>
      <c r="H912" s="194">
        <f>IFERROR(IF(INDEX([1]Pivot!$AD$1:$BE$65000,$B912,H$5)=1,1,IF(INDEX([1]Pivot!$B$1:$AB$65000,$B912,H$5)="",2,0)),0)</f>
        <v>0</v>
      </c>
      <c r="I912" s="194">
        <f>IFERROR(IF(INDEX([1]Pivot!$AD$1:$BE$65000,$B912,I$5)=1,1,IF(INDEX([1]Pivot!$B$1:$AB$65000,$B912,I$5)="",2,0)),0)</f>
        <v>0</v>
      </c>
      <c r="J912" s="194">
        <f>IFERROR(IF(INDEX([1]Pivot!$AD$1:$BE$65000,$B912,J$5)=1,1,IF(INDEX([1]Pivot!$B$1:$AB$65000,$B912,J$5)="",2,0)),0)</f>
        <v>0</v>
      </c>
      <c r="K912" s="194">
        <f>IFERROR(IF(INDEX([1]Pivot!$AD$1:$BE$65000,$B912,K$5)=1,1,IF(INDEX([1]Pivot!$B$1:$AB$65000,$B912,K$5)="",2,0)),0)</f>
        <v>0</v>
      </c>
      <c r="L912" s="194">
        <f>IFERROR(IF(INDEX([1]Pivot!$AD$1:$BE$65000,$B912,L$5)=1,1,IF(INDEX([1]Pivot!$B$1:$AB$65000,$B912,L$5)="",2,0)),0)</f>
        <v>0</v>
      </c>
      <c r="M912" s="194">
        <f>IFERROR(IF(INDEX([1]Pivot!$AD$1:$BE$65000,$B912,M$5)=1,1,IF(INDEX([1]Pivot!$B$1:$AB$65000,$B912,M$5)="",2,0)),0)</f>
        <v>0</v>
      </c>
      <c r="N912" s="194">
        <f>IFERROR(IF(INDEX([1]Pivot!$AD$1:$BE$65000,$B912,N$5)=1,1,IF(INDEX([1]Pivot!$B$1:$AB$65000,$B912,N$5)="",2,0)),0)</f>
        <v>0</v>
      </c>
      <c r="O912" s="194">
        <f>IFERROR(IF(INDEX([1]Pivot!$AD$1:$BE$65000,$B912,O$5)=1,1,IF(INDEX([1]Pivot!$B$1:$AB$65000,$B912,O$5)="",2,0)),0)</f>
        <v>0</v>
      </c>
      <c r="P912" s="194">
        <f>IFERROR(IF(INDEX([1]Pivot!$AD$1:$BE$65000,$B912,P$5)=1,1,IF(INDEX([1]Pivot!$B$1:$AB$65000,$B912,P$5)="",2,0)),0)</f>
        <v>0</v>
      </c>
      <c r="Q912" s="194">
        <f>IFERROR(IF(INDEX([1]Pivot!$AD$1:$BE$65000,$B912,Q$5)=1,1,IF(INDEX([1]Pivot!$B$1:$AB$65000,$B912,Q$5)="",2,0)),0)</f>
        <v>0</v>
      </c>
      <c r="R912" s="312"/>
      <c r="S912" s="194">
        <f>IFERROR(IF(INDEX([1]Pivot!$AD$1:$BE$65000,$B912,S$5)=1,1,IF(INDEX([1]Pivot!$B$1:$AB$65000,$B912,S$5)="",2,0)),0)</f>
        <v>0</v>
      </c>
      <c r="T912" s="194">
        <f>IFERROR(IF(INDEX([1]Pivot!$AD$1:$BE$65000,$B912,T$5)=1,1,IF(INDEX([1]Pivot!$B$1:$AB$65000,$B912,T$5)="",2,0)),0)</f>
        <v>0</v>
      </c>
      <c r="U912" s="194">
        <f>IFERROR(IF(INDEX([1]Pivot!$AD$1:$BE$65000,$B912,U$5)=1,1,IF(INDEX([1]Pivot!$B$1:$AB$65000,$B912,U$5)="",2,0)),0)</f>
        <v>0</v>
      </c>
      <c r="V912" s="194">
        <f>IFERROR(IF(INDEX([1]Pivot!$AD$1:$BE$65000,$B912,V$5)=1,1,IF(INDEX([1]Pivot!$B$1:$AB$65000,$B912,V$5)="",2,0)),0)</f>
        <v>0</v>
      </c>
      <c r="W912" s="194">
        <f>IFERROR(IF(INDEX([1]Pivot!$AD$1:$BE$65000,$B912,W$5)=1,1,IF(INDEX([1]Pivot!$B$1:$AB$65000,$B912,W$5)="",2,0)),0)</f>
        <v>0</v>
      </c>
      <c r="X912" s="194">
        <f>IFERROR(IF(INDEX([1]Pivot!$AD$1:$BE$65000,$B912,X$5)=1,1,IF(INDEX([1]Pivot!$B$1:$AB$65000,$B912,X$5)="",2,0)),0)</f>
        <v>0</v>
      </c>
      <c r="Y912" s="194">
        <f>IFERROR(IF(INDEX([1]Pivot!$AD$1:$BE$65000,$B912,Y$5)=1,1,IF(INDEX([1]Pivot!$B$1:$AB$65000,$B912,Y$5)="",2,0)),0)</f>
        <v>0</v>
      </c>
      <c r="Z912" s="194">
        <f>IFERROR(IF(INDEX([1]Pivot!$AD$1:$BE$65000,$B912,Z$5)=1,1,IF(INDEX([1]Pivot!$B$1:$AB$65000,$B912,Z$5)="",2,0)),0)</f>
        <v>0</v>
      </c>
      <c r="AA912" s="194">
        <f>IFERROR(IF(INDEX([1]Pivot!$AD$1:$BE$65000,$B912,AA$5)=1,1,IF(INDEX([1]Pivot!$B$1:$AB$65000,$B912,AA$5)="",2,0)),0)</f>
        <v>0</v>
      </c>
      <c r="AB912" s="194">
        <f>IFERROR(IF(INDEX([1]Pivot!$AD$1:$BE$65000,$B912,AB$5)=1,1,IF(INDEX([1]Pivot!$B$1:$AB$65000,$B912,AB$5)="",2,0)),0)</f>
        <v>0</v>
      </c>
      <c r="AC912" s="194">
        <f>IFERROR(IF(INDEX([1]Pivot!$AD$1:$BE$65000,$B912,AC$5)=1,1,IF(INDEX([1]Pivot!$B$1:$AB$65000,$B912,AC$5)="",2,0)),0)</f>
        <v>0</v>
      </c>
      <c r="AD912" s="313">
        <f>IFERROR(IF(INDEX([1]Pivot!$BF$1:$CG$65000,$B912,AD$5)=1,1,IF(INDEX([1]Pivot!$B$1:$AB$65000,$B912,AD$5)="",2,0)),0)</f>
        <v>0</v>
      </c>
      <c r="AE912" s="313">
        <f>IFERROR(IF(INDEX([1]Pivot!$BF$1:$CG$65000,$B912,AE$5)=1,1,IF(INDEX([1]Pivot!$B$1:$AB$65000,$B912,AE$5)="",2,0)),0)</f>
        <v>0</v>
      </c>
      <c r="AF912" s="313">
        <f>IFERROR(IF(INDEX([1]Pivot!$BF$1:$CG$65000,$B912,AF$5)=1,1,IF(INDEX([1]Pivot!$B$1:$AB$65000,$B912,AF$5)="",2,0)),0)</f>
        <v>0</v>
      </c>
      <c r="AG912" s="313">
        <f>IFERROR(IF(INDEX([1]Pivot!$BF$1:$CG$65000,$B912,AG$5)=1,1,IF(INDEX([1]Pivot!$B$1:$AB$65000,$B912,AG$5)="",2,0)),0)</f>
        <v>0</v>
      </c>
      <c r="AH912" s="313">
        <f>IFERROR(IF(INDEX([1]Pivot!$BF$1:$CG$65000,$B912,AH$5)=1,1,IF(INDEX([1]Pivot!$B$1:$AB$65000,$B912,AH$5)="",2,0)),0)</f>
        <v>0</v>
      </c>
      <c r="AI912" s="313">
        <f>IFERROR(IF(INDEX([1]Pivot!$BF$1:$CG$65000,$B912,AI$5)=1,1,IF(INDEX([1]Pivot!$B$1:$AB$65000,$B912,AI$5)="",2,0)),0)</f>
        <v>0</v>
      </c>
      <c r="AJ912" s="313">
        <f>IFERROR(IF(INDEX([1]Pivot!$BF$1:$CG$65000,$B912,AJ$5)=1,1,IF(INDEX([1]Pivot!$B$1:$AB$65000,$B912,AJ$5)="",2,0)),0)</f>
        <v>0</v>
      </c>
      <c r="AK912" s="313">
        <f>IFERROR(IF(INDEX([1]Pivot!$BF$1:$CG$65000,$B912,AK$5)=1,1,IF(INDEX([1]Pivot!$B$1:$AB$65000,$B912,AK$5)="",2,0)),0)</f>
        <v>0</v>
      </c>
      <c r="AL912" s="313">
        <f>IFERROR(IF(INDEX([1]Pivot!$BF$1:$CG$65000,$B912,AL$5)=1,1,IF(INDEX([1]Pivot!$B$1:$AB$65000,$B912,AL$5)="",2,0)),0)</f>
        <v>0</v>
      </c>
      <c r="AM912" s="313">
        <f>IFERROR(IF(INDEX([1]Pivot!$BF$1:$CG$65000,$B912,AM$5)=1,1,IF(INDEX([1]Pivot!$B$1:$AB$65000,$B912,AM$5)="",2,0)),0)</f>
        <v>0</v>
      </c>
      <c r="AN912" s="313">
        <f>IFERROR(IF(INDEX([1]Pivot!$BF$1:$CG$65000,$B912,AN$5)=1,1,IF(INDEX([1]Pivot!$B$1:$AB$65000,$B912,AN$5)="",2,0)),0)</f>
        <v>0</v>
      </c>
      <c r="AO912" s="313">
        <f>IFERROR(IF(INDEX([1]Pivot!$BF$1:$CG$65000,$B912,AO$5)=1,1,IF(INDEX([1]Pivot!$B$1:$AB$65000,$B912,AO$5)="",2,0)),0)</f>
        <v>0</v>
      </c>
      <c r="AP912" s="313">
        <f>IFERROR(IF(INDEX([1]Pivot!$BF$1:$CG$65000,$B912,AP$5)=1,1,IF(INDEX([1]Pivot!$B$1:$AB$65000,$B912,AP$5)="",2,0)),0)</f>
        <v>0</v>
      </c>
      <c r="AQ912" s="313">
        <f>IFERROR(IF(INDEX([1]Pivot!$BF$1:$CG$65000,$B912,AQ$5)=1,1,IF(INDEX([1]Pivot!$B$1:$AB$65000,$B912,AQ$5)="",2,0)),0)</f>
        <v>0</v>
      </c>
      <c r="AR912" s="313">
        <f>IFERROR(IF(INDEX([1]Pivot!$BF$1:$CG$65000,$B912,AR$5)=1,1,IF(INDEX([1]Pivot!$B$1:$AB$65000,$B912,AR$5)="",2,0)),0)</f>
        <v>0</v>
      </c>
      <c r="AS912" s="312"/>
      <c r="AT912" s="313">
        <f>IFERROR(IF(INDEX([1]Pivot!$BF$1:$CG$65000,$B912,AT$5)=1,1,IF(INDEX([1]Pivot!$B$1:$AB$65000,$B912,AT$5)="",2,0)),0)</f>
        <v>0</v>
      </c>
      <c r="AU912" s="313">
        <f>IFERROR(IF(INDEX([1]Pivot!$BF$1:$CG$65000,$B912,AU$5)=1,1,IF(INDEX([1]Pivot!$B$1:$AB$65000,$B912,AU$5)="",2,0)),0)</f>
        <v>0</v>
      </c>
      <c r="AV912" s="313">
        <f>IFERROR(IF(INDEX([1]Pivot!$BF$1:$CG$65000,$B912,AV$5)=1,1,IF(INDEX([1]Pivot!$B$1:$AB$65000,$B912,AV$5)="",2,0)),0)</f>
        <v>0</v>
      </c>
      <c r="AW912" s="313">
        <f>IFERROR(IF(INDEX([1]Pivot!$BF$1:$CG$65000,$B912,AW$5)=1,1,IF(INDEX([1]Pivot!$B$1:$AB$65000,$B912,AW$5)="",2,0)),0)</f>
        <v>0</v>
      </c>
      <c r="AX912" s="313">
        <f>IFERROR(IF(INDEX([1]Pivot!$BF$1:$CG$65000,$B912,AX$5)=1,1,IF(INDEX([1]Pivot!$B$1:$AB$65000,$B912,AX$5)="",2,0)),0)</f>
        <v>0</v>
      </c>
      <c r="AY912" s="313">
        <f>IFERROR(IF(INDEX([1]Pivot!$BF$1:$CG$65000,$B912,AY$5)=1,1,IF(INDEX([1]Pivot!$B$1:$AB$65000,$B912,AY$5)="",2,0)),0)</f>
        <v>0</v>
      </c>
      <c r="AZ912" s="313">
        <f>IFERROR(IF(INDEX([1]Pivot!$BF$1:$CG$65000,$B912,AZ$5)=1,1,IF(INDEX([1]Pivot!$B$1:$AB$65000,$B912,AZ$5)="",2,0)),0)</f>
        <v>0</v>
      </c>
      <c r="BA912" s="313">
        <f>IFERROR(IF(INDEX([1]Pivot!$BF$1:$CG$65000,$B912,BA$5)=1,1,IF(INDEX([1]Pivot!$B$1:$AB$65000,$B912,BA$5)="",2,0)),0)</f>
        <v>0</v>
      </c>
      <c r="BB912" s="313">
        <f>IFERROR(IF(INDEX([1]Pivot!$BF$1:$CG$65000,$B912,BB$5)=1,1,IF(INDEX([1]Pivot!$B$1:$AB$65000,$B912,BB$5)="",2,0)),0)</f>
        <v>0</v>
      </c>
      <c r="BC912" s="313">
        <f>IFERROR(IF(INDEX([1]Pivot!$BF$1:$CG$65000,$B912,BC$5)=1,1,IF(INDEX([1]Pivot!$B$1:$AB$65000,$B912,BC$5)="",2,0)),0)</f>
        <v>0</v>
      </c>
      <c r="BD912" s="313">
        <f>IFERROR(IF(INDEX([1]Pivot!$BF$1:$CG$65000,$B912,BD$5)=1,1,IF(INDEX([1]Pivot!$B$1:$AB$65000,$B912,BD$5)="",2,0)),0)</f>
        <v>0</v>
      </c>
    </row>
    <row r="913" spans="1:56" x14ac:dyDescent="0.25">
      <c r="A913" s="288">
        <f>'[2]Raw Milk Prices'!A913</f>
        <v>0</v>
      </c>
      <c r="B913" s="296" t="e">
        <f>MATCH(DATE(LEFT('[2]Raw Milk Prices'!$A913,4),RIGHT('[2]Raw Milk Prices'!$A913,2),1),[1]Pivot!$A$1:$A$65000,0)</f>
        <v>#VALUE!</v>
      </c>
      <c r="C913" s="194">
        <f>IFERROR(IF(INDEX([1]Pivot!$AD$1:$BE$65000,$B913,C$5)=1,1,IF(INDEX([1]Pivot!$B$1:$AB$65000,$B913,C$5)="",2,0)),0)</f>
        <v>0</v>
      </c>
      <c r="D913" s="194">
        <f>IFERROR(IF(INDEX([1]Pivot!$AD$1:$BE$65000,$B913,D$5)=1,1,IF(INDEX([1]Pivot!$B$1:$AB$65000,$B913,D$5)="",2,0)),0)</f>
        <v>0</v>
      </c>
      <c r="E913" s="194">
        <f>IFERROR(IF(INDEX([1]Pivot!$AD$1:$BE$65000,$B913,E$5)=1,1,IF(INDEX([1]Pivot!$B$1:$AB$65000,$B913,E$5)="",2,0)),0)</f>
        <v>0</v>
      </c>
      <c r="F913" s="194">
        <f>IFERROR(IF(INDEX([1]Pivot!$AD$1:$BE$65000,$B913,F$5)=1,1,IF(INDEX([1]Pivot!$B$1:$AB$65000,$B913,F$5)="",2,0)),0)</f>
        <v>0</v>
      </c>
      <c r="G913" s="194">
        <f>IFERROR(IF(INDEX([1]Pivot!$AD$1:$BE$65000,$B913,G$5)=1,1,IF(INDEX([1]Pivot!$B$1:$AB$65000,$B913,G$5)="",2,0)),0)</f>
        <v>0</v>
      </c>
      <c r="H913" s="194">
        <f>IFERROR(IF(INDEX([1]Pivot!$AD$1:$BE$65000,$B913,H$5)=1,1,IF(INDEX([1]Pivot!$B$1:$AB$65000,$B913,H$5)="",2,0)),0)</f>
        <v>0</v>
      </c>
      <c r="I913" s="194">
        <f>IFERROR(IF(INDEX([1]Pivot!$AD$1:$BE$65000,$B913,I$5)=1,1,IF(INDEX([1]Pivot!$B$1:$AB$65000,$B913,I$5)="",2,0)),0)</f>
        <v>0</v>
      </c>
      <c r="J913" s="194">
        <f>IFERROR(IF(INDEX([1]Pivot!$AD$1:$BE$65000,$B913,J$5)=1,1,IF(INDEX([1]Pivot!$B$1:$AB$65000,$B913,J$5)="",2,0)),0)</f>
        <v>0</v>
      </c>
      <c r="K913" s="194">
        <f>IFERROR(IF(INDEX([1]Pivot!$AD$1:$BE$65000,$B913,K$5)=1,1,IF(INDEX([1]Pivot!$B$1:$AB$65000,$B913,K$5)="",2,0)),0)</f>
        <v>0</v>
      </c>
      <c r="L913" s="194">
        <f>IFERROR(IF(INDEX([1]Pivot!$AD$1:$BE$65000,$B913,L$5)=1,1,IF(INDEX([1]Pivot!$B$1:$AB$65000,$B913,L$5)="",2,0)),0)</f>
        <v>0</v>
      </c>
      <c r="M913" s="194">
        <f>IFERROR(IF(INDEX([1]Pivot!$AD$1:$BE$65000,$B913,M$5)=1,1,IF(INDEX([1]Pivot!$B$1:$AB$65000,$B913,M$5)="",2,0)),0)</f>
        <v>0</v>
      </c>
      <c r="N913" s="194">
        <f>IFERROR(IF(INDEX([1]Pivot!$AD$1:$BE$65000,$B913,N$5)=1,1,IF(INDEX([1]Pivot!$B$1:$AB$65000,$B913,N$5)="",2,0)),0)</f>
        <v>0</v>
      </c>
      <c r="O913" s="194">
        <f>IFERROR(IF(INDEX([1]Pivot!$AD$1:$BE$65000,$B913,O$5)=1,1,IF(INDEX([1]Pivot!$B$1:$AB$65000,$B913,O$5)="",2,0)),0)</f>
        <v>0</v>
      </c>
      <c r="P913" s="194">
        <f>IFERROR(IF(INDEX([1]Pivot!$AD$1:$BE$65000,$B913,P$5)=1,1,IF(INDEX([1]Pivot!$B$1:$AB$65000,$B913,P$5)="",2,0)),0)</f>
        <v>0</v>
      </c>
      <c r="Q913" s="194">
        <f>IFERROR(IF(INDEX([1]Pivot!$AD$1:$BE$65000,$B913,Q$5)=1,1,IF(INDEX([1]Pivot!$B$1:$AB$65000,$B913,Q$5)="",2,0)),0)</f>
        <v>0</v>
      </c>
      <c r="R913" s="312"/>
      <c r="S913" s="194">
        <f>IFERROR(IF(INDEX([1]Pivot!$AD$1:$BE$65000,$B913,S$5)=1,1,IF(INDEX([1]Pivot!$B$1:$AB$65000,$B913,S$5)="",2,0)),0)</f>
        <v>0</v>
      </c>
      <c r="T913" s="194">
        <f>IFERROR(IF(INDEX([1]Pivot!$AD$1:$BE$65000,$B913,T$5)=1,1,IF(INDEX([1]Pivot!$B$1:$AB$65000,$B913,T$5)="",2,0)),0)</f>
        <v>0</v>
      </c>
      <c r="U913" s="194">
        <f>IFERROR(IF(INDEX([1]Pivot!$AD$1:$BE$65000,$B913,U$5)=1,1,IF(INDEX([1]Pivot!$B$1:$AB$65000,$B913,U$5)="",2,0)),0)</f>
        <v>0</v>
      </c>
      <c r="V913" s="194">
        <f>IFERROR(IF(INDEX([1]Pivot!$AD$1:$BE$65000,$B913,V$5)=1,1,IF(INDEX([1]Pivot!$B$1:$AB$65000,$B913,V$5)="",2,0)),0)</f>
        <v>0</v>
      </c>
      <c r="W913" s="194">
        <f>IFERROR(IF(INDEX([1]Pivot!$AD$1:$BE$65000,$B913,W$5)=1,1,IF(INDEX([1]Pivot!$B$1:$AB$65000,$B913,W$5)="",2,0)),0)</f>
        <v>0</v>
      </c>
      <c r="X913" s="194">
        <f>IFERROR(IF(INDEX([1]Pivot!$AD$1:$BE$65000,$B913,X$5)=1,1,IF(INDEX([1]Pivot!$B$1:$AB$65000,$B913,X$5)="",2,0)),0)</f>
        <v>0</v>
      </c>
      <c r="Y913" s="194">
        <f>IFERROR(IF(INDEX([1]Pivot!$AD$1:$BE$65000,$B913,Y$5)=1,1,IF(INDEX([1]Pivot!$B$1:$AB$65000,$B913,Y$5)="",2,0)),0)</f>
        <v>0</v>
      </c>
      <c r="Z913" s="194">
        <f>IFERROR(IF(INDEX([1]Pivot!$AD$1:$BE$65000,$B913,Z$5)=1,1,IF(INDEX([1]Pivot!$B$1:$AB$65000,$B913,Z$5)="",2,0)),0)</f>
        <v>0</v>
      </c>
      <c r="AA913" s="194">
        <f>IFERROR(IF(INDEX([1]Pivot!$AD$1:$BE$65000,$B913,AA$5)=1,1,IF(INDEX([1]Pivot!$B$1:$AB$65000,$B913,AA$5)="",2,0)),0)</f>
        <v>0</v>
      </c>
      <c r="AB913" s="194">
        <f>IFERROR(IF(INDEX([1]Pivot!$AD$1:$BE$65000,$B913,AB$5)=1,1,IF(INDEX([1]Pivot!$B$1:$AB$65000,$B913,AB$5)="",2,0)),0)</f>
        <v>0</v>
      </c>
      <c r="AC913" s="194">
        <f>IFERROR(IF(INDEX([1]Pivot!$AD$1:$BE$65000,$B913,AC$5)=1,1,IF(INDEX([1]Pivot!$B$1:$AB$65000,$B913,AC$5)="",2,0)),0)</f>
        <v>0</v>
      </c>
      <c r="AD913" s="313">
        <f>IFERROR(IF(INDEX([1]Pivot!$BF$1:$CG$65000,$B913,AD$5)=1,1,IF(INDEX([1]Pivot!$B$1:$AB$65000,$B913,AD$5)="",2,0)),0)</f>
        <v>0</v>
      </c>
      <c r="AE913" s="313">
        <f>IFERROR(IF(INDEX([1]Pivot!$BF$1:$CG$65000,$B913,AE$5)=1,1,IF(INDEX([1]Pivot!$B$1:$AB$65000,$B913,AE$5)="",2,0)),0)</f>
        <v>0</v>
      </c>
      <c r="AF913" s="313">
        <f>IFERROR(IF(INDEX([1]Pivot!$BF$1:$CG$65000,$B913,AF$5)=1,1,IF(INDEX([1]Pivot!$B$1:$AB$65000,$B913,AF$5)="",2,0)),0)</f>
        <v>0</v>
      </c>
      <c r="AG913" s="313">
        <f>IFERROR(IF(INDEX([1]Pivot!$BF$1:$CG$65000,$B913,AG$5)=1,1,IF(INDEX([1]Pivot!$B$1:$AB$65000,$B913,AG$5)="",2,0)),0)</f>
        <v>0</v>
      </c>
      <c r="AH913" s="313">
        <f>IFERROR(IF(INDEX([1]Pivot!$BF$1:$CG$65000,$B913,AH$5)=1,1,IF(INDEX([1]Pivot!$B$1:$AB$65000,$B913,AH$5)="",2,0)),0)</f>
        <v>0</v>
      </c>
      <c r="AI913" s="313">
        <f>IFERROR(IF(INDEX([1]Pivot!$BF$1:$CG$65000,$B913,AI$5)=1,1,IF(INDEX([1]Pivot!$B$1:$AB$65000,$B913,AI$5)="",2,0)),0)</f>
        <v>0</v>
      </c>
      <c r="AJ913" s="313">
        <f>IFERROR(IF(INDEX([1]Pivot!$BF$1:$CG$65000,$B913,AJ$5)=1,1,IF(INDEX([1]Pivot!$B$1:$AB$65000,$B913,AJ$5)="",2,0)),0)</f>
        <v>0</v>
      </c>
      <c r="AK913" s="313">
        <f>IFERROR(IF(INDEX([1]Pivot!$BF$1:$CG$65000,$B913,AK$5)=1,1,IF(INDEX([1]Pivot!$B$1:$AB$65000,$B913,AK$5)="",2,0)),0)</f>
        <v>0</v>
      </c>
      <c r="AL913" s="313">
        <f>IFERROR(IF(INDEX([1]Pivot!$BF$1:$CG$65000,$B913,AL$5)=1,1,IF(INDEX([1]Pivot!$B$1:$AB$65000,$B913,AL$5)="",2,0)),0)</f>
        <v>0</v>
      </c>
      <c r="AM913" s="313">
        <f>IFERROR(IF(INDEX([1]Pivot!$BF$1:$CG$65000,$B913,AM$5)=1,1,IF(INDEX([1]Pivot!$B$1:$AB$65000,$B913,AM$5)="",2,0)),0)</f>
        <v>0</v>
      </c>
      <c r="AN913" s="313">
        <f>IFERROR(IF(INDEX([1]Pivot!$BF$1:$CG$65000,$B913,AN$5)=1,1,IF(INDEX([1]Pivot!$B$1:$AB$65000,$B913,AN$5)="",2,0)),0)</f>
        <v>0</v>
      </c>
      <c r="AO913" s="313">
        <f>IFERROR(IF(INDEX([1]Pivot!$BF$1:$CG$65000,$B913,AO$5)=1,1,IF(INDEX([1]Pivot!$B$1:$AB$65000,$B913,AO$5)="",2,0)),0)</f>
        <v>0</v>
      </c>
      <c r="AP913" s="313">
        <f>IFERROR(IF(INDEX([1]Pivot!$BF$1:$CG$65000,$B913,AP$5)=1,1,IF(INDEX([1]Pivot!$B$1:$AB$65000,$B913,AP$5)="",2,0)),0)</f>
        <v>0</v>
      </c>
      <c r="AQ913" s="313">
        <f>IFERROR(IF(INDEX([1]Pivot!$BF$1:$CG$65000,$B913,AQ$5)=1,1,IF(INDEX([1]Pivot!$B$1:$AB$65000,$B913,AQ$5)="",2,0)),0)</f>
        <v>0</v>
      </c>
      <c r="AR913" s="313">
        <f>IFERROR(IF(INDEX([1]Pivot!$BF$1:$CG$65000,$B913,AR$5)=1,1,IF(INDEX([1]Pivot!$B$1:$AB$65000,$B913,AR$5)="",2,0)),0)</f>
        <v>0</v>
      </c>
      <c r="AS913" s="312"/>
      <c r="AT913" s="313">
        <f>IFERROR(IF(INDEX([1]Pivot!$BF$1:$CG$65000,$B913,AT$5)=1,1,IF(INDEX([1]Pivot!$B$1:$AB$65000,$B913,AT$5)="",2,0)),0)</f>
        <v>0</v>
      </c>
      <c r="AU913" s="313">
        <f>IFERROR(IF(INDEX([1]Pivot!$BF$1:$CG$65000,$B913,AU$5)=1,1,IF(INDEX([1]Pivot!$B$1:$AB$65000,$B913,AU$5)="",2,0)),0)</f>
        <v>0</v>
      </c>
      <c r="AV913" s="313">
        <f>IFERROR(IF(INDEX([1]Pivot!$BF$1:$CG$65000,$B913,AV$5)=1,1,IF(INDEX([1]Pivot!$B$1:$AB$65000,$B913,AV$5)="",2,0)),0)</f>
        <v>0</v>
      </c>
      <c r="AW913" s="313">
        <f>IFERROR(IF(INDEX([1]Pivot!$BF$1:$CG$65000,$B913,AW$5)=1,1,IF(INDEX([1]Pivot!$B$1:$AB$65000,$B913,AW$5)="",2,0)),0)</f>
        <v>0</v>
      </c>
      <c r="AX913" s="313">
        <f>IFERROR(IF(INDEX([1]Pivot!$BF$1:$CG$65000,$B913,AX$5)=1,1,IF(INDEX([1]Pivot!$B$1:$AB$65000,$B913,AX$5)="",2,0)),0)</f>
        <v>0</v>
      </c>
      <c r="AY913" s="313">
        <f>IFERROR(IF(INDEX([1]Pivot!$BF$1:$CG$65000,$B913,AY$5)=1,1,IF(INDEX([1]Pivot!$B$1:$AB$65000,$B913,AY$5)="",2,0)),0)</f>
        <v>0</v>
      </c>
      <c r="AZ913" s="313">
        <f>IFERROR(IF(INDEX([1]Pivot!$BF$1:$CG$65000,$B913,AZ$5)=1,1,IF(INDEX([1]Pivot!$B$1:$AB$65000,$B913,AZ$5)="",2,0)),0)</f>
        <v>0</v>
      </c>
      <c r="BA913" s="313">
        <f>IFERROR(IF(INDEX([1]Pivot!$BF$1:$CG$65000,$B913,BA$5)=1,1,IF(INDEX([1]Pivot!$B$1:$AB$65000,$B913,BA$5)="",2,0)),0)</f>
        <v>0</v>
      </c>
      <c r="BB913" s="313">
        <f>IFERROR(IF(INDEX([1]Pivot!$BF$1:$CG$65000,$B913,BB$5)=1,1,IF(INDEX([1]Pivot!$B$1:$AB$65000,$B913,BB$5)="",2,0)),0)</f>
        <v>0</v>
      </c>
      <c r="BC913" s="313">
        <f>IFERROR(IF(INDEX([1]Pivot!$BF$1:$CG$65000,$B913,BC$5)=1,1,IF(INDEX([1]Pivot!$B$1:$AB$65000,$B913,BC$5)="",2,0)),0)</f>
        <v>0</v>
      </c>
      <c r="BD913" s="313">
        <f>IFERROR(IF(INDEX([1]Pivot!$BF$1:$CG$65000,$B913,BD$5)=1,1,IF(INDEX([1]Pivot!$B$1:$AB$65000,$B913,BD$5)="",2,0)),0)</f>
        <v>0</v>
      </c>
    </row>
    <row r="914" spans="1:56" x14ac:dyDescent="0.25">
      <c r="A914" s="288">
        <f>'[2]Raw Milk Prices'!A914</f>
        <v>0</v>
      </c>
      <c r="B914" s="296" t="e">
        <f>MATCH(DATE(LEFT('[2]Raw Milk Prices'!$A914,4),RIGHT('[2]Raw Milk Prices'!$A914,2),1),[1]Pivot!$A$1:$A$65000,0)</f>
        <v>#VALUE!</v>
      </c>
      <c r="C914" s="194">
        <f>IFERROR(IF(INDEX([1]Pivot!$AD$1:$BE$65000,$B914,C$5)=1,1,IF(INDEX([1]Pivot!$B$1:$AB$65000,$B914,C$5)="",2,0)),0)</f>
        <v>0</v>
      </c>
      <c r="D914" s="194">
        <f>IFERROR(IF(INDEX([1]Pivot!$AD$1:$BE$65000,$B914,D$5)=1,1,IF(INDEX([1]Pivot!$B$1:$AB$65000,$B914,D$5)="",2,0)),0)</f>
        <v>0</v>
      </c>
      <c r="E914" s="194">
        <f>IFERROR(IF(INDEX([1]Pivot!$AD$1:$BE$65000,$B914,E$5)=1,1,IF(INDEX([1]Pivot!$B$1:$AB$65000,$B914,E$5)="",2,0)),0)</f>
        <v>0</v>
      </c>
      <c r="F914" s="194">
        <f>IFERROR(IF(INDEX([1]Pivot!$AD$1:$BE$65000,$B914,F$5)=1,1,IF(INDEX([1]Pivot!$B$1:$AB$65000,$B914,F$5)="",2,0)),0)</f>
        <v>0</v>
      </c>
      <c r="G914" s="194">
        <f>IFERROR(IF(INDEX([1]Pivot!$AD$1:$BE$65000,$B914,G$5)=1,1,IF(INDEX([1]Pivot!$B$1:$AB$65000,$B914,G$5)="",2,0)),0)</f>
        <v>0</v>
      </c>
      <c r="H914" s="194">
        <f>IFERROR(IF(INDEX([1]Pivot!$AD$1:$BE$65000,$B914,H$5)=1,1,IF(INDEX([1]Pivot!$B$1:$AB$65000,$B914,H$5)="",2,0)),0)</f>
        <v>0</v>
      </c>
      <c r="I914" s="194">
        <f>IFERROR(IF(INDEX([1]Pivot!$AD$1:$BE$65000,$B914,I$5)=1,1,IF(INDEX([1]Pivot!$B$1:$AB$65000,$B914,I$5)="",2,0)),0)</f>
        <v>0</v>
      </c>
      <c r="J914" s="194">
        <f>IFERROR(IF(INDEX([1]Pivot!$AD$1:$BE$65000,$B914,J$5)=1,1,IF(INDEX([1]Pivot!$B$1:$AB$65000,$B914,J$5)="",2,0)),0)</f>
        <v>0</v>
      </c>
      <c r="K914" s="194">
        <f>IFERROR(IF(INDEX([1]Pivot!$AD$1:$BE$65000,$B914,K$5)=1,1,IF(INDEX([1]Pivot!$B$1:$AB$65000,$B914,K$5)="",2,0)),0)</f>
        <v>0</v>
      </c>
      <c r="L914" s="194">
        <f>IFERROR(IF(INDEX([1]Pivot!$AD$1:$BE$65000,$B914,L$5)=1,1,IF(INDEX([1]Pivot!$B$1:$AB$65000,$B914,L$5)="",2,0)),0)</f>
        <v>0</v>
      </c>
      <c r="M914" s="194">
        <f>IFERROR(IF(INDEX([1]Pivot!$AD$1:$BE$65000,$B914,M$5)=1,1,IF(INDEX([1]Pivot!$B$1:$AB$65000,$B914,M$5)="",2,0)),0)</f>
        <v>0</v>
      </c>
      <c r="N914" s="194">
        <f>IFERROR(IF(INDEX([1]Pivot!$AD$1:$BE$65000,$B914,N$5)=1,1,IF(INDEX([1]Pivot!$B$1:$AB$65000,$B914,N$5)="",2,0)),0)</f>
        <v>0</v>
      </c>
      <c r="O914" s="194">
        <f>IFERROR(IF(INDEX([1]Pivot!$AD$1:$BE$65000,$B914,O$5)=1,1,IF(INDEX([1]Pivot!$B$1:$AB$65000,$B914,O$5)="",2,0)),0)</f>
        <v>0</v>
      </c>
      <c r="P914" s="194">
        <f>IFERROR(IF(INDEX([1]Pivot!$AD$1:$BE$65000,$B914,P$5)=1,1,IF(INDEX([1]Pivot!$B$1:$AB$65000,$B914,P$5)="",2,0)),0)</f>
        <v>0</v>
      </c>
      <c r="Q914" s="194">
        <f>IFERROR(IF(INDEX([1]Pivot!$AD$1:$BE$65000,$B914,Q$5)=1,1,IF(INDEX([1]Pivot!$B$1:$AB$65000,$B914,Q$5)="",2,0)),0)</f>
        <v>0</v>
      </c>
      <c r="R914" s="312"/>
      <c r="S914" s="194">
        <f>IFERROR(IF(INDEX([1]Pivot!$AD$1:$BE$65000,$B914,S$5)=1,1,IF(INDEX([1]Pivot!$B$1:$AB$65000,$B914,S$5)="",2,0)),0)</f>
        <v>0</v>
      </c>
      <c r="T914" s="194">
        <f>IFERROR(IF(INDEX([1]Pivot!$AD$1:$BE$65000,$B914,T$5)=1,1,IF(INDEX([1]Pivot!$B$1:$AB$65000,$B914,T$5)="",2,0)),0)</f>
        <v>0</v>
      </c>
      <c r="U914" s="194">
        <f>IFERROR(IF(INDEX([1]Pivot!$AD$1:$BE$65000,$B914,U$5)=1,1,IF(INDEX([1]Pivot!$B$1:$AB$65000,$B914,U$5)="",2,0)),0)</f>
        <v>0</v>
      </c>
      <c r="V914" s="194">
        <f>IFERROR(IF(INDEX([1]Pivot!$AD$1:$BE$65000,$B914,V$5)=1,1,IF(INDEX([1]Pivot!$B$1:$AB$65000,$B914,V$5)="",2,0)),0)</f>
        <v>0</v>
      </c>
      <c r="W914" s="194">
        <f>IFERROR(IF(INDEX([1]Pivot!$AD$1:$BE$65000,$B914,W$5)=1,1,IF(INDEX([1]Pivot!$B$1:$AB$65000,$B914,W$5)="",2,0)),0)</f>
        <v>0</v>
      </c>
      <c r="X914" s="194">
        <f>IFERROR(IF(INDEX([1]Pivot!$AD$1:$BE$65000,$B914,X$5)=1,1,IF(INDEX([1]Pivot!$B$1:$AB$65000,$B914,X$5)="",2,0)),0)</f>
        <v>0</v>
      </c>
      <c r="Y914" s="194">
        <f>IFERROR(IF(INDEX([1]Pivot!$AD$1:$BE$65000,$B914,Y$5)=1,1,IF(INDEX([1]Pivot!$B$1:$AB$65000,$B914,Y$5)="",2,0)),0)</f>
        <v>0</v>
      </c>
      <c r="Z914" s="194">
        <f>IFERROR(IF(INDEX([1]Pivot!$AD$1:$BE$65000,$B914,Z$5)=1,1,IF(INDEX([1]Pivot!$B$1:$AB$65000,$B914,Z$5)="",2,0)),0)</f>
        <v>0</v>
      </c>
      <c r="AA914" s="194">
        <f>IFERROR(IF(INDEX([1]Pivot!$AD$1:$BE$65000,$B914,AA$5)=1,1,IF(INDEX([1]Pivot!$B$1:$AB$65000,$B914,AA$5)="",2,0)),0)</f>
        <v>0</v>
      </c>
      <c r="AB914" s="194">
        <f>IFERROR(IF(INDEX([1]Pivot!$AD$1:$BE$65000,$B914,AB$5)=1,1,IF(INDEX([1]Pivot!$B$1:$AB$65000,$B914,AB$5)="",2,0)),0)</f>
        <v>0</v>
      </c>
      <c r="AC914" s="194">
        <f>IFERROR(IF(INDEX([1]Pivot!$AD$1:$BE$65000,$B914,AC$5)=1,1,IF(INDEX([1]Pivot!$B$1:$AB$65000,$B914,AC$5)="",2,0)),0)</f>
        <v>0</v>
      </c>
      <c r="AD914" s="313">
        <f>IFERROR(IF(INDEX([1]Pivot!$BF$1:$CG$65000,$B914,AD$5)=1,1,IF(INDEX([1]Pivot!$B$1:$AB$65000,$B914,AD$5)="",2,0)),0)</f>
        <v>0</v>
      </c>
      <c r="AE914" s="313">
        <f>IFERROR(IF(INDEX([1]Pivot!$BF$1:$CG$65000,$B914,AE$5)=1,1,IF(INDEX([1]Pivot!$B$1:$AB$65000,$B914,AE$5)="",2,0)),0)</f>
        <v>0</v>
      </c>
      <c r="AF914" s="313">
        <f>IFERROR(IF(INDEX([1]Pivot!$BF$1:$CG$65000,$B914,AF$5)=1,1,IF(INDEX([1]Pivot!$B$1:$AB$65000,$B914,AF$5)="",2,0)),0)</f>
        <v>0</v>
      </c>
      <c r="AG914" s="313">
        <f>IFERROR(IF(INDEX([1]Pivot!$BF$1:$CG$65000,$B914,AG$5)=1,1,IF(INDEX([1]Pivot!$B$1:$AB$65000,$B914,AG$5)="",2,0)),0)</f>
        <v>0</v>
      </c>
      <c r="AH914" s="313">
        <f>IFERROR(IF(INDEX([1]Pivot!$BF$1:$CG$65000,$B914,AH$5)=1,1,IF(INDEX([1]Pivot!$B$1:$AB$65000,$B914,AH$5)="",2,0)),0)</f>
        <v>0</v>
      </c>
      <c r="AI914" s="313">
        <f>IFERROR(IF(INDEX([1]Pivot!$BF$1:$CG$65000,$B914,AI$5)=1,1,IF(INDEX([1]Pivot!$B$1:$AB$65000,$B914,AI$5)="",2,0)),0)</f>
        <v>0</v>
      </c>
      <c r="AJ914" s="313">
        <f>IFERROR(IF(INDEX([1]Pivot!$BF$1:$CG$65000,$B914,AJ$5)=1,1,IF(INDEX([1]Pivot!$B$1:$AB$65000,$B914,AJ$5)="",2,0)),0)</f>
        <v>0</v>
      </c>
      <c r="AK914" s="313">
        <f>IFERROR(IF(INDEX([1]Pivot!$BF$1:$CG$65000,$B914,AK$5)=1,1,IF(INDEX([1]Pivot!$B$1:$AB$65000,$B914,AK$5)="",2,0)),0)</f>
        <v>0</v>
      </c>
      <c r="AL914" s="313">
        <f>IFERROR(IF(INDEX([1]Pivot!$BF$1:$CG$65000,$B914,AL$5)=1,1,IF(INDEX([1]Pivot!$B$1:$AB$65000,$B914,AL$5)="",2,0)),0)</f>
        <v>0</v>
      </c>
      <c r="AM914" s="313">
        <f>IFERROR(IF(INDEX([1]Pivot!$BF$1:$CG$65000,$B914,AM$5)=1,1,IF(INDEX([1]Pivot!$B$1:$AB$65000,$B914,AM$5)="",2,0)),0)</f>
        <v>0</v>
      </c>
      <c r="AN914" s="313">
        <f>IFERROR(IF(INDEX([1]Pivot!$BF$1:$CG$65000,$B914,AN$5)=1,1,IF(INDEX([1]Pivot!$B$1:$AB$65000,$B914,AN$5)="",2,0)),0)</f>
        <v>0</v>
      </c>
      <c r="AO914" s="313">
        <f>IFERROR(IF(INDEX([1]Pivot!$BF$1:$CG$65000,$B914,AO$5)=1,1,IF(INDEX([1]Pivot!$B$1:$AB$65000,$B914,AO$5)="",2,0)),0)</f>
        <v>0</v>
      </c>
      <c r="AP914" s="313">
        <f>IFERROR(IF(INDEX([1]Pivot!$BF$1:$CG$65000,$B914,AP$5)=1,1,IF(INDEX([1]Pivot!$B$1:$AB$65000,$B914,AP$5)="",2,0)),0)</f>
        <v>0</v>
      </c>
      <c r="AQ914" s="313">
        <f>IFERROR(IF(INDEX([1]Pivot!$BF$1:$CG$65000,$B914,AQ$5)=1,1,IF(INDEX([1]Pivot!$B$1:$AB$65000,$B914,AQ$5)="",2,0)),0)</f>
        <v>0</v>
      </c>
      <c r="AR914" s="313">
        <f>IFERROR(IF(INDEX([1]Pivot!$BF$1:$CG$65000,$B914,AR$5)=1,1,IF(INDEX([1]Pivot!$B$1:$AB$65000,$B914,AR$5)="",2,0)),0)</f>
        <v>0</v>
      </c>
      <c r="AS914" s="312"/>
      <c r="AT914" s="313">
        <f>IFERROR(IF(INDEX([1]Pivot!$BF$1:$CG$65000,$B914,AT$5)=1,1,IF(INDEX([1]Pivot!$B$1:$AB$65000,$B914,AT$5)="",2,0)),0)</f>
        <v>0</v>
      </c>
      <c r="AU914" s="313">
        <f>IFERROR(IF(INDEX([1]Pivot!$BF$1:$CG$65000,$B914,AU$5)=1,1,IF(INDEX([1]Pivot!$B$1:$AB$65000,$B914,AU$5)="",2,0)),0)</f>
        <v>0</v>
      </c>
      <c r="AV914" s="313">
        <f>IFERROR(IF(INDEX([1]Pivot!$BF$1:$CG$65000,$B914,AV$5)=1,1,IF(INDEX([1]Pivot!$B$1:$AB$65000,$B914,AV$5)="",2,0)),0)</f>
        <v>0</v>
      </c>
      <c r="AW914" s="313">
        <f>IFERROR(IF(INDEX([1]Pivot!$BF$1:$CG$65000,$B914,AW$5)=1,1,IF(INDEX([1]Pivot!$B$1:$AB$65000,$B914,AW$5)="",2,0)),0)</f>
        <v>0</v>
      </c>
      <c r="AX914" s="313">
        <f>IFERROR(IF(INDEX([1]Pivot!$BF$1:$CG$65000,$B914,AX$5)=1,1,IF(INDEX([1]Pivot!$B$1:$AB$65000,$B914,AX$5)="",2,0)),0)</f>
        <v>0</v>
      </c>
      <c r="AY914" s="313">
        <f>IFERROR(IF(INDEX([1]Pivot!$BF$1:$CG$65000,$B914,AY$5)=1,1,IF(INDEX([1]Pivot!$B$1:$AB$65000,$B914,AY$5)="",2,0)),0)</f>
        <v>0</v>
      </c>
      <c r="AZ914" s="313">
        <f>IFERROR(IF(INDEX([1]Pivot!$BF$1:$CG$65000,$B914,AZ$5)=1,1,IF(INDEX([1]Pivot!$B$1:$AB$65000,$B914,AZ$5)="",2,0)),0)</f>
        <v>0</v>
      </c>
      <c r="BA914" s="313">
        <f>IFERROR(IF(INDEX([1]Pivot!$BF$1:$CG$65000,$B914,BA$5)=1,1,IF(INDEX([1]Pivot!$B$1:$AB$65000,$B914,BA$5)="",2,0)),0)</f>
        <v>0</v>
      </c>
      <c r="BB914" s="313">
        <f>IFERROR(IF(INDEX([1]Pivot!$BF$1:$CG$65000,$B914,BB$5)=1,1,IF(INDEX([1]Pivot!$B$1:$AB$65000,$B914,BB$5)="",2,0)),0)</f>
        <v>0</v>
      </c>
      <c r="BC914" s="313">
        <f>IFERROR(IF(INDEX([1]Pivot!$BF$1:$CG$65000,$B914,BC$5)=1,1,IF(INDEX([1]Pivot!$B$1:$AB$65000,$B914,BC$5)="",2,0)),0)</f>
        <v>0</v>
      </c>
      <c r="BD914" s="313">
        <f>IFERROR(IF(INDEX([1]Pivot!$BF$1:$CG$65000,$B914,BD$5)=1,1,IF(INDEX([1]Pivot!$B$1:$AB$65000,$B914,BD$5)="",2,0)),0)</f>
        <v>0</v>
      </c>
    </row>
    <row r="915" spans="1:56" x14ac:dyDescent="0.25">
      <c r="A915" s="288">
        <f>'[2]Raw Milk Prices'!A915</f>
        <v>0</v>
      </c>
      <c r="B915" s="296" t="e">
        <f>MATCH(DATE(LEFT('[2]Raw Milk Prices'!$A915,4),RIGHT('[2]Raw Milk Prices'!$A915,2),1),[1]Pivot!$A$1:$A$65000,0)</f>
        <v>#VALUE!</v>
      </c>
      <c r="C915" s="194">
        <f>IFERROR(IF(INDEX([1]Pivot!$AD$1:$BE$65000,$B915,C$5)=1,1,IF(INDEX([1]Pivot!$B$1:$AB$65000,$B915,C$5)="",2,0)),0)</f>
        <v>0</v>
      </c>
      <c r="D915" s="194">
        <f>IFERROR(IF(INDEX([1]Pivot!$AD$1:$BE$65000,$B915,D$5)=1,1,IF(INDEX([1]Pivot!$B$1:$AB$65000,$B915,D$5)="",2,0)),0)</f>
        <v>0</v>
      </c>
      <c r="E915" s="194">
        <f>IFERROR(IF(INDEX([1]Pivot!$AD$1:$BE$65000,$B915,E$5)=1,1,IF(INDEX([1]Pivot!$B$1:$AB$65000,$B915,E$5)="",2,0)),0)</f>
        <v>0</v>
      </c>
      <c r="F915" s="194">
        <f>IFERROR(IF(INDEX([1]Pivot!$AD$1:$BE$65000,$B915,F$5)=1,1,IF(INDEX([1]Pivot!$B$1:$AB$65000,$B915,F$5)="",2,0)),0)</f>
        <v>0</v>
      </c>
      <c r="G915" s="194">
        <f>IFERROR(IF(INDEX([1]Pivot!$AD$1:$BE$65000,$B915,G$5)=1,1,IF(INDEX([1]Pivot!$B$1:$AB$65000,$B915,G$5)="",2,0)),0)</f>
        <v>0</v>
      </c>
      <c r="H915" s="194">
        <f>IFERROR(IF(INDEX([1]Pivot!$AD$1:$BE$65000,$B915,H$5)=1,1,IF(INDEX([1]Pivot!$B$1:$AB$65000,$B915,H$5)="",2,0)),0)</f>
        <v>0</v>
      </c>
      <c r="I915" s="194">
        <f>IFERROR(IF(INDEX([1]Pivot!$AD$1:$BE$65000,$B915,I$5)=1,1,IF(INDEX([1]Pivot!$B$1:$AB$65000,$B915,I$5)="",2,0)),0)</f>
        <v>0</v>
      </c>
      <c r="J915" s="194">
        <f>IFERROR(IF(INDEX([1]Pivot!$AD$1:$BE$65000,$B915,J$5)=1,1,IF(INDEX([1]Pivot!$B$1:$AB$65000,$B915,J$5)="",2,0)),0)</f>
        <v>0</v>
      </c>
      <c r="K915" s="194">
        <f>IFERROR(IF(INDEX([1]Pivot!$AD$1:$BE$65000,$B915,K$5)=1,1,IF(INDEX([1]Pivot!$B$1:$AB$65000,$B915,K$5)="",2,0)),0)</f>
        <v>0</v>
      </c>
      <c r="L915" s="194">
        <f>IFERROR(IF(INDEX([1]Pivot!$AD$1:$BE$65000,$B915,L$5)=1,1,IF(INDEX([1]Pivot!$B$1:$AB$65000,$B915,L$5)="",2,0)),0)</f>
        <v>0</v>
      </c>
      <c r="M915" s="194">
        <f>IFERROR(IF(INDEX([1]Pivot!$AD$1:$BE$65000,$B915,M$5)=1,1,IF(INDEX([1]Pivot!$B$1:$AB$65000,$B915,M$5)="",2,0)),0)</f>
        <v>0</v>
      </c>
      <c r="N915" s="194">
        <f>IFERROR(IF(INDEX([1]Pivot!$AD$1:$BE$65000,$B915,N$5)=1,1,IF(INDEX([1]Pivot!$B$1:$AB$65000,$B915,N$5)="",2,0)),0)</f>
        <v>0</v>
      </c>
      <c r="O915" s="194">
        <f>IFERROR(IF(INDEX([1]Pivot!$AD$1:$BE$65000,$B915,O$5)=1,1,IF(INDEX([1]Pivot!$B$1:$AB$65000,$B915,O$5)="",2,0)),0)</f>
        <v>0</v>
      </c>
      <c r="P915" s="194">
        <f>IFERROR(IF(INDEX([1]Pivot!$AD$1:$BE$65000,$B915,P$5)=1,1,IF(INDEX([1]Pivot!$B$1:$AB$65000,$B915,P$5)="",2,0)),0)</f>
        <v>0</v>
      </c>
      <c r="Q915" s="194">
        <f>IFERROR(IF(INDEX([1]Pivot!$AD$1:$BE$65000,$B915,Q$5)=1,1,IF(INDEX([1]Pivot!$B$1:$AB$65000,$B915,Q$5)="",2,0)),0)</f>
        <v>0</v>
      </c>
      <c r="R915" s="312"/>
      <c r="S915" s="194">
        <f>IFERROR(IF(INDEX([1]Pivot!$AD$1:$BE$65000,$B915,S$5)=1,1,IF(INDEX([1]Pivot!$B$1:$AB$65000,$B915,S$5)="",2,0)),0)</f>
        <v>0</v>
      </c>
      <c r="T915" s="194">
        <f>IFERROR(IF(INDEX([1]Pivot!$AD$1:$BE$65000,$B915,T$5)=1,1,IF(INDEX([1]Pivot!$B$1:$AB$65000,$B915,T$5)="",2,0)),0)</f>
        <v>0</v>
      </c>
      <c r="U915" s="194">
        <f>IFERROR(IF(INDEX([1]Pivot!$AD$1:$BE$65000,$B915,U$5)=1,1,IF(INDEX([1]Pivot!$B$1:$AB$65000,$B915,U$5)="",2,0)),0)</f>
        <v>0</v>
      </c>
      <c r="V915" s="194">
        <f>IFERROR(IF(INDEX([1]Pivot!$AD$1:$BE$65000,$B915,V$5)=1,1,IF(INDEX([1]Pivot!$B$1:$AB$65000,$B915,V$5)="",2,0)),0)</f>
        <v>0</v>
      </c>
      <c r="W915" s="194">
        <f>IFERROR(IF(INDEX([1]Pivot!$AD$1:$BE$65000,$B915,W$5)=1,1,IF(INDEX([1]Pivot!$B$1:$AB$65000,$B915,W$5)="",2,0)),0)</f>
        <v>0</v>
      </c>
      <c r="X915" s="194">
        <f>IFERROR(IF(INDEX([1]Pivot!$AD$1:$BE$65000,$B915,X$5)=1,1,IF(INDEX([1]Pivot!$B$1:$AB$65000,$B915,X$5)="",2,0)),0)</f>
        <v>0</v>
      </c>
      <c r="Y915" s="194">
        <f>IFERROR(IF(INDEX([1]Pivot!$AD$1:$BE$65000,$B915,Y$5)=1,1,IF(INDEX([1]Pivot!$B$1:$AB$65000,$B915,Y$5)="",2,0)),0)</f>
        <v>0</v>
      </c>
      <c r="Z915" s="194">
        <f>IFERROR(IF(INDEX([1]Pivot!$AD$1:$BE$65000,$B915,Z$5)=1,1,IF(INDEX([1]Pivot!$B$1:$AB$65000,$B915,Z$5)="",2,0)),0)</f>
        <v>0</v>
      </c>
      <c r="AA915" s="194">
        <f>IFERROR(IF(INDEX([1]Pivot!$AD$1:$BE$65000,$B915,AA$5)=1,1,IF(INDEX([1]Pivot!$B$1:$AB$65000,$B915,AA$5)="",2,0)),0)</f>
        <v>0</v>
      </c>
      <c r="AB915" s="194">
        <f>IFERROR(IF(INDEX([1]Pivot!$AD$1:$BE$65000,$B915,AB$5)=1,1,IF(INDEX([1]Pivot!$B$1:$AB$65000,$B915,AB$5)="",2,0)),0)</f>
        <v>0</v>
      </c>
      <c r="AC915" s="194">
        <f>IFERROR(IF(INDEX([1]Pivot!$AD$1:$BE$65000,$B915,AC$5)=1,1,IF(INDEX([1]Pivot!$B$1:$AB$65000,$B915,AC$5)="",2,0)),0)</f>
        <v>0</v>
      </c>
      <c r="AD915" s="313">
        <f>IFERROR(IF(INDEX([1]Pivot!$BF$1:$CG$65000,$B915,AD$5)=1,1,IF(INDEX([1]Pivot!$B$1:$AB$65000,$B915,AD$5)="",2,0)),0)</f>
        <v>0</v>
      </c>
      <c r="AE915" s="313">
        <f>IFERROR(IF(INDEX([1]Pivot!$BF$1:$CG$65000,$B915,AE$5)=1,1,IF(INDEX([1]Pivot!$B$1:$AB$65000,$B915,AE$5)="",2,0)),0)</f>
        <v>0</v>
      </c>
      <c r="AF915" s="313">
        <f>IFERROR(IF(INDEX([1]Pivot!$BF$1:$CG$65000,$B915,AF$5)=1,1,IF(INDEX([1]Pivot!$B$1:$AB$65000,$B915,AF$5)="",2,0)),0)</f>
        <v>0</v>
      </c>
      <c r="AG915" s="313">
        <f>IFERROR(IF(INDEX([1]Pivot!$BF$1:$CG$65000,$B915,AG$5)=1,1,IF(INDEX([1]Pivot!$B$1:$AB$65000,$B915,AG$5)="",2,0)),0)</f>
        <v>0</v>
      </c>
      <c r="AH915" s="313">
        <f>IFERROR(IF(INDEX([1]Pivot!$BF$1:$CG$65000,$B915,AH$5)=1,1,IF(INDEX([1]Pivot!$B$1:$AB$65000,$B915,AH$5)="",2,0)),0)</f>
        <v>0</v>
      </c>
      <c r="AI915" s="313">
        <f>IFERROR(IF(INDEX([1]Pivot!$BF$1:$CG$65000,$B915,AI$5)=1,1,IF(INDEX([1]Pivot!$B$1:$AB$65000,$B915,AI$5)="",2,0)),0)</f>
        <v>0</v>
      </c>
      <c r="AJ915" s="313">
        <f>IFERROR(IF(INDEX([1]Pivot!$BF$1:$CG$65000,$B915,AJ$5)=1,1,IF(INDEX([1]Pivot!$B$1:$AB$65000,$B915,AJ$5)="",2,0)),0)</f>
        <v>0</v>
      </c>
      <c r="AK915" s="313">
        <f>IFERROR(IF(INDEX([1]Pivot!$BF$1:$CG$65000,$B915,AK$5)=1,1,IF(INDEX([1]Pivot!$B$1:$AB$65000,$B915,AK$5)="",2,0)),0)</f>
        <v>0</v>
      </c>
      <c r="AL915" s="313">
        <f>IFERROR(IF(INDEX([1]Pivot!$BF$1:$CG$65000,$B915,AL$5)=1,1,IF(INDEX([1]Pivot!$B$1:$AB$65000,$B915,AL$5)="",2,0)),0)</f>
        <v>0</v>
      </c>
      <c r="AM915" s="313">
        <f>IFERROR(IF(INDEX([1]Pivot!$BF$1:$CG$65000,$B915,AM$5)=1,1,IF(INDEX([1]Pivot!$B$1:$AB$65000,$B915,AM$5)="",2,0)),0)</f>
        <v>0</v>
      </c>
      <c r="AN915" s="313">
        <f>IFERROR(IF(INDEX([1]Pivot!$BF$1:$CG$65000,$B915,AN$5)=1,1,IF(INDEX([1]Pivot!$B$1:$AB$65000,$B915,AN$5)="",2,0)),0)</f>
        <v>0</v>
      </c>
      <c r="AO915" s="313">
        <f>IFERROR(IF(INDEX([1]Pivot!$BF$1:$CG$65000,$B915,AO$5)=1,1,IF(INDEX([1]Pivot!$B$1:$AB$65000,$B915,AO$5)="",2,0)),0)</f>
        <v>0</v>
      </c>
      <c r="AP915" s="313">
        <f>IFERROR(IF(INDEX([1]Pivot!$BF$1:$CG$65000,$B915,AP$5)=1,1,IF(INDEX([1]Pivot!$B$1:$AB$65000,$B915,AP$5)="",2,0)),0)</f>
        <v>0</v>
      </c>
      <c r="AQ915" s="313">
        <f>IFERROR(IF(INDEX([1]Pivot!$BF$1:$CG$65000,$B915,AQ$5)=1,1,IF(INDEX([1]Pivot!$B$1:$AB$65000,$B915,AQ$5)="",2,0)),0)</f>
        <v>0</v>
      </c>
      <c r="AR915" s="313">
        <f>IFERROR(IF(INDEX([1]Pivot!$BF$1:$CG$65000,$B915,AR$5)=1,1,IF(INDEX([1]Pivot!$B$1:$AB$65000,$B915,AR$5)="",2,0)),0)</f>
        <v>0</v>
      </c>
      <c r="AS915" s="312"/>
      <c r="AT915" s="313">
        <f>IFERROR(IF(INDEX([1]Pivot!$BF$1:$CG$65000,$B915,AT$5)=1,1,IF(INDEX([1]Pivot!$B$1:$AB$65000,$B915,AT$5)="",2,0)),0)</f>
        <v>0</v>
      </c>
      <c r="AU915" s="313">
        <f>IFERROR(IF(INDEX([1]Pivot!$BF$1:$CG$65000,$B915,AU$5)=1,1,IF(INDEX([1]Pivot!$B$1:$AB$65000,$B915,AU$5)="",2,0)),0)</f>
        <v>0</v>
      </c>
      <c r="AV915" s="313">
        <f>IFERROR(IF(INDEX([1]Pivot!$BF$1:$CG$65000,$B915,AV$5)=1,1,IF(INDEX([1]Pivot!$B$1:$AB$65000,$B915,AV$5)="",2,0)),0)</f>
        <v>0</v>
      </c>
      <c r="AW915" s="313">
        <f>IFERROR(IF(INDEX([1]Pivot!$BF$1:$CG$65000,$B915,AW$5)=1,1,IF(INDEX([1]Pivot!$B$1:$AB$65000,$B915,AW$5)="",2,0)),0)</f>
        <v>0</v>
      </c>
      <c r="AX915" s="313">
        <f>IFERROR(IF(INDEX([1]Pivot!$BF$1:$CG$65000,$B915,AX$5)=1,1,IF(INDEX([1]Pivot!$B$1:$AB$65000,$B915,AX$5)="",2,0)),0)</f>
        <v>0</v>
      </c>
      <c r="AY915" s="313">
        <f>IFERROR(IF(INDEX([1]Pivot!$BF$1:$CG$65000,$B915,AY$5)=1,1,IF(INDEX([1]Pivot!$B$1:$AB$65000,$B915,AY$5)="",2,0)),0)</f>
        <v>0</v>
      </c>
      <c r="AZ915" s="313">
        <f>IFERROR(IF(INDEX([1]Pivot!$BF$1:$CG$65000,$B915,AZ$5)=1,1,IF(INDEX([1]Pivot!$B$1:$AB$65000,$B915,AZ$5)="",2,0)),0)</f>
        <v>0</v>
      </c>
      <c r="BA915" s="313">
        <f>IFERROR(IF(INDEX([1]Pivot!$BF$1:$CG$65000,$B915,BA$5)=1,1,IF(INDEX([1]Pivot!$B$1:$AB$65000,$B915,BA$5)="",2,0)),0)</f>
        <v>0</v>
      </c>
      <c r="BB915" s="313">
        <f>IFERROR(IF(INDEX([1]Pivot!$BF$1:$CG$65000,$B915,BB$5)=1,1,IF(INDEX([1]Pivot!$B$1:$AB$65000,$B915,BB$5)="",2,0)),0)</f>
        <v>0</v>
      </c>
      <c r="BC915" s="313">
        <f>IFERROR(IF(INDEX([1]Pivot!$BF$1:$CG$65000,$B915,BC$5)=1,1,IF(INDEX([1]Pivot!$B$1:$AB$65000,$B915,BC$5)="",2,0)),0)</f>
        <v>0</v>
      </c>
      <c r="BD915" s="313">
        <f>IFERROR(IF(INDEX([1]Pivot!$BF$1:$CG$65000,$B915,BD$5)=1,1,IF(INDEX([1]Pivot!$B$1:$AB$65000,$B915,BD$5)="",2,0)),0)</f>
        <v>0</v>
      </c>
    </row>
    <row r="916" spans="1:56" x14ac:dyDescent="0.25">
      <c r="A916" s="288">
        <f>'[2]Raw Milk Prices'!A916</f>
        <v>0</v>
      </c>
      <c r="B916" s="296" t="e">
        <f>MATCH(DATE(LEFT('[2]Raw Milk Prices'!$A916,4),RIGHT('[2]Raw Milk Prices'!$A916,2),1),[1]Pivot!$A$1:$A$65000,0)</f>
        <v>#VALUE!</v>
      </c>
      <c r="C916" s="194">
        <f>IFERROR(IF(INDEX([1]Pivot!$AD$1:$BE$65000,$B916,C$5)=1,1,IF(INDEX([1]Pivot!$B$1:$AB$65000,$B916,C$5)="",2,0)),0)</f>
        <v>0</v>
      </c>
      <c r="D916" s="194">
        <f>IFERROR(IF(INDEX([1]Pivot!$AD$1:$BE$65000,$B916,D$5)=1,1,IF(INDEX([1]Pivot!$B$1:$AB$65000,$B916,D$5)="",2,0)),0)</f>
        <v>0</v>
      </c>
      <c r="E916" s="194">
        <f>IFERROR(IF(INDEX([1]Pivot!$AD$1:$BE$65000,$B916,E$5)=1,1,IF(INDEX([1]Pivot!$B$1:$AB$65000,$B916,E$5)="",2,0)),0)</f>
        <v>0</v>
      </c>
      <c r="F916" s="194">
        <f>IFERROR(IF(INDEX([1]Pivot!$AD$1:$BE$65000,$B916,F$5)=1,1,IF(INDEX([1]Pivot!$B$1:$AB$65000,$B916,F$5)="",2,0)),0)</f>
        <v>0</v>
      </c>
      <c r="G916" s="194">
        <f>IFERROR(IF(INDEX([1]Pivot!$AD$1:$BE$65000,$B916,G$5)=1,1,IF(INDEX([1]Pivot!$B$1:$AB$65000,$B916,G$5)="",2,0)),0)</f>
        <v>0</v>
      </c>
      <c r="H916" s="194">
        <f>IFERROR(IF(INDEX([1]Pivot!$AD$1:$BE$65000,$B916,H$5)=1,1,IF(INDEX([1]Pivot!$B$1:$AB$65000,$B916,H$5)="",2,0)),0)</f>
        <v>0</v>
      </c>
      <c r="I916" s="194">
        <f>IFERROR(IF(INDEX([1]Pivot!$AD$1:$BE$65000,$B916,I$5)=1,1,IF(INDEX([1]Pivot!$B$1:$AB$65000,$B916,I$5)="",2,0)),0)</f>
        <v>0</v>
      </c>
      <c r="J916" s="194">
        <f>IFERROR(IF(INDEX([1]Pivot!$AD$1:$BE$65000,$B916,J$5)=1,1,IF(INDEX([1]Pivot!$B$1:$AB$65000,$B916,J$5)="",2,0)),0)</f>
        <v>0</v>
      </c>
      <c r="K916" s="194">
        <f>IFERROR(IF(INDEX([1]Pivot!$AD$1:$BE$65000,$B916,K$5)=1,1,IF(INDEX([1]Pivot!$B$1:$AB$65000,$B916,K$5)="",2,0)),0)</f>
        <v>0</v>
      </c>
      <c r="L916" s="194">
        <f>IFERROR(IF(INDEX([1]Pivot!$AD$1:$BE$65000,$B916,L$5)=1,1,IF(INDEX([1]Pivot!$B$1:$AB$65000,$B916,L$5)="",2,0)),0)</f>
        <v>0</v>
      </c>
      <c r="M916" s="194">
        <f>IFERROR(IF(INDEX([1]Pivot!$AD$1:$BE$65000,$B916,M$5)=1,1,IF(INDEX([1]Pivot!$B$1:$AB$65000,$B916,M$5)="",2,0)),0)</f>
        <v>0</v>
      </c>
      <c r="N916" s="194">
        <f>IFERROR(IF(INDEX([1]Pivot!$AD$1:$BE$65000,$B916,N$5)=1,1,IF(INDEX([1]Pivot!$B$1:$AB$65000,$B916,N$5)="",2,0)),0)</f>
        <v>0</v>
      </c>
      <c r="O916" s="194">
        <f>IFERROR(IF(INDEX([1]Pivot!$AD$1:$BE$65000,$B916,O$5)=1,1,IF(INDEX([1]Pivot!$B$1:$AB$65000,$B916,O$5)="",2,0)),0)</f>
        <v>0</v>
      </c>
      <c r="P916" s="194">
        <f>IFERROR(IF(INDEX([1]Pivot!$AD$1:$BE$65000,$B916,P$5)=1,1,IF(INDEX([1]Pivot!$B$1:$AB$65000,$B916,P$5)="",2,0)),0)</f>
        <v>0</v>
      </c>
      <c r="Q916" s="194">
        <f>IFERROR(IF(INDEX([1]Pivot!$AD$1:$BE$65000,$B916,Q$5)=1,1,IF(INDEX([1]Pivot!$B$1:$AB$65000,$B916,Q$5)="",2,0)),0)</f>
        <v>0</v>
      </c>
      <c r="R916" s="312"/>
      <c r="S916" s="194">
        <f>IFERROR(IF(INDEX([1]Pivot!$AD$1:$BE$65000,$B916,S$5)=1,1,IF(INDEX([1]Pivot!$B$1:$AB$65000,$B916,S$5)="",2,0)),0)</f>
        <v>0</v>
      </c>
      <c r="T916" s="194">
        <f>IFERROR(IF(INDEX([1]Pivot!$AD$1:$BE$65000,$B916,T$5)=1,1,IF(INDEX([1]Pivot!$B$1:$AB$65000,$B916,T$5)="",2,0)),0)</f>
        <v>0</v>
      </c>
      <c r="U916" s="194">
        <f>IFERROR(IF(INDEX([1]Pivot!$AD$1:$BE$65000,$B916,U$5)=1,1,IF(INDEX([1]Pivot!$B$1:$AB$65000,$B916,U$5)="",2,0)),0)</f>
        <v>0</v>
      </c>
      <c r="V916" s="194">
        <f>IFERROR(IF(INDEX([1]Pivot!$AD$1:$BE$65000,$B916,V$5)=1,1,IF(INDEX([1]Pivot!$B$1:$AB$65000,$B916,V$5)="",2,0)),0)</f>
        <v>0</v>
      </c>
      <c r="W916" s="194">
        <f>IFERROR(IF(INDEX([1]Pivot!$AD$1:$BE$65000,$B916,W$5)=1,1,IF(INDEX([1]Pivot!$B$1:$AB$65000,$B916,W$5)="",2,0)),0)</f>
        <v>0</v>
      </c>
      <c r="X916" s="194">
        <f>IFERROR(IF(INDEX([1]Pivot!$AD$1:$BE$65000,$B916,X$5)=1,1,IF(INDEX([1]Pivot!$B$1:$AB$65000,$B916,X$5)="",2,0)),0)</f>
        <v>0</v>
      </c>
      <c r="Y916" s="194">
        <f>IFERROR(IF(INDEX([1]Pivot!$AD$1:$BE$65000,$B916,Y$5)=1,1,IF(INDEX([1]Pivot!$B$1:$AB$65000,$B916,Y$5)="",2,0)),0)</f>
        <v>0</v>
      </c>
      <c r="Z916" s="194">
        <f>IFERROR(IF(INDEX([1]Pivot!$AD$1:$BE$65000,$B916,Z$5)=1,1,IF(INDEX([1]Pivot!$B$1:$AB$65000,$B916,Z$5)="",2,0)),0)</f>
        <v>0</v>
      </c>
      <c r="AA916" s="194">
        <f>IFERROR(IF(INDEX([1]Pivot!$AD$1:$BE$65000,$B916,AA$5)=1,1,IF(INDEX([1]Pivot!$B$1:$AB$65000,$B916,AA$5)="",2,0)),0)</f>
        <v>0</v>
      </c>
      <c r="AB916" s="194">
        <f>IFERROR(IF(INDEX([1]Pivot!$AD$1:$BE$65000,$B916,AB$5)=1,1,IF(INDEX([1]Pivot!$B$1:$AB$65000,$B916,AB$5)="",2,0)),0)</f>
        <v>0</v>
      </c>
      <c r="AC916" s="194">
        <f>IFERROR(IF(INDEX([1]Pivot!$AD$1:$BE$65000,$B916,AC$5)=1,1,IF(INDEX([1]Pivot!$B$1:$AB$65000,$B916,AC$5)="",2,0)),0)</f>
        <v>0</v>
      </c>
      <c r="AD916" s="313">
        <f>IFERROR(IF(INDEX([1]Pivot!$BF$1:$CG$65000,$B916,AD$5)=1,1,IF(INDEX([1]Pivot!$B$1:$AB$65000,$B916,AD$5)="",2,0)),0)</f>
        <v>0</v>
      </c>
      <c r="AE916" s="313">
        <f>IFERROR(IF(INDEX([1]Pivot!$BF$1:$CG$65000,$B916,AE$5)=1,1,IF(INDEX([1]Pivot!$B$1:$AB$65000,$B916,AE$5)="",2,0)),0)</f>
        <v>0</v>
      </c>
      <c r="AF916" s="313">
        <f>IFERROR(IF(INDEX([1]Pivot!$BF$1:$CG$65000,$B916,AF$5)=1,1,IF(INDEX([1]Pivot!$B$1:$AB$65000,$B916,AF$5)="",2,0)),0)</f>
        <v>0</v>
      </c>
      <c r="AG916" s="313">
        <f>IFERROR(IF(INDEX([1]Pivot!$BF$1:$CG$65000,$B916,AG$5)=1,1,IF(INDEX([1]Pivot!$B$1:$AB$65000,$B916,AG$5)="",2,0)),0)</f>
        <v>0</v>
      </c>
      <c r="AH916" s="313">
        <f>IFERROR(IF(INDEX([1]Pivot!$BF$1:$CG$65000,$B916,AH$5)=1,1,IF(INDEX([1]Pivot!$B$1:$AB$65000,$B916,AH$5)="",2,0)),0)</f>
        <v>0</v>
      </c>
      <c r="AI916" s="313">
        <f>IFERROR(IF(INDEX([1]Pivot!$BF$1:$CG$65000,$B916,AI$5)=1,1,IF(INDEX([1]Pivot!$B$1:$AB$65000,$B916,AI$5)="",2,0)),0)</f>
        <v>0</v>
      </c>
      <c r="AJ916" s="313">
        <f>IFERROR(IF(INDEX([1]Pivot!$BF$1:$CG$65000,$B916,AJ$5)=1,1,IF(INDEX([1]Pivot!$B$1:$AB$65000,$B916,AJ$5)="",2,0)),0)</f>
        <v>0</v>
      </c>
      <c r="AK916" s="313">
        <f>IFERROR(IF(INDEX([1]Pivot!$BF$1:$CG$65000,$B916,AK$5)=1,1,IF(INDEX([1]Pivot!$B$1:$AB$65000,$B916,AK$5)="",2,0)),0)</f>
        <v>0</v>
      </c>
      <c r="AL916" s="313">
        <f>IFERROR(IF(INDEX([1]Pivot!$BF$1:$CG$65000,$B916,AL$5)=1,1,IF(INDEX([1]Pivot!$B$1:$AB$65000,$B916,AL$5)="",2,0)),0)</f>
        <v>0</v>
      </c>
      <c r="AM916" s="313">
        <f>IFERROR(IF(INDEX([1]Pivot!$BF$1:$CG$65000,$B916,AM$5)=1,1,IF(INDEX([1]Pivot!$B$1:$AB$65000,$B916,AM$5)="",2,0)),0)</f>
        <v>0</v>
      </c>
      <c r="AN916" s="313">
        <f>IFERROR(IF(INDEX([1]Pivot!$BF$1:$CG$65000,$B916,AN$5)=1,1,IF(INDEX([1]Pivot!$B$1:$AB$65000,$B916,AN$5)="",2,0)),0)</f>
        <v>0</v>
      </c>
      <c r="AO916" s="313">
        <f>IFERROR(IF(INDEX([1]Pivot!$BF$1:$CG$65000,$B916,AO$5)=1,1,IF(INDEX([1]Pivot!$B$1:$AB$65000,$B916,AO$5)="",2,0)),0)</f>
        <v>0</v>
      </c>
      <c r="AP916" s="313">
        <f>IFERROR(IF(INDEX([1]Pivot!$BF$1:$CG$65000,$B916,AP$5)=1,1,IF(INDEX([1]Pivot!$B$1:$AB$65000,$B916,AP$5)="",2,0)),0)</f>
        <v>0</v>
      </c>
      <c r="AQ916" s="313">
        <f>IFERROR(IF(INDEX([1]Pivot!$BF$1:$CG$65000,$B916,AQ$5)=1,1,IF(INDEX([1]Pivot!$B$1:$AB$65000,$B916,AQ$5)="",2,0)),0)</f>
        <v>0</v>
      </c>
      <c r="AR916" s="313">
        <f>IFERROR(IF(INDEX([1]Pivot!$BF$1:$CG$65000,$B916,AR$5)=1,1,IF(INDEX([1]Pivot!$B$1:$AB$65000,$B916,AR$5)="",2,0)),0)</f>
        <v>0</v>
      </c>
      <c r="AS916" s="312"/>
      <c r="AT916" s="313">
        <f>IFERROR(IF(INDEX([1]Pivot!$BF$1:$CG$65000,$B916,AT$5)=1,1,IF(INDEX([1]Pivot!$B$1:$AB$65000,$B916,AT$5)="",2,0)),0)</f>
        <v>0</v>
      </c>
      <c r="AU916" s="313">
        <f>IFERROR(IF(INDEX([1]Pivot!$BF$1:$CG$65000,$B916,AU$5)=1,1,IF(INDEX([1]Pivot!$B$1:$AB$65000,$B916,AU$5)="",2,0)),0)</f>
        <v>0</v>
      </c>
      <c r="AV916" s="313">
        <f>IFERROR(IF(INDEX([1]Pivot!$BF$1:$CG$65000,$B916,AV$5)=1,1,IF(INDEX([1]Pivot!$B$1:$AB$65000,$B916,AV$5)="",2,0)),0)</f>
        <v>0</v>
      </c>
      <c r="AW916" s="313">
        <f>IFERROR(IF(INDEX([1]Pivot!$BF$1:$CG$65000,$B916,AW$5)=1,1,IF(INDEX([1]Pivot!$B$1:$AB$65000,$B916,AW$5)="",2,0)),0)</f>
        <v>0</v>
      </c>
      <c r="AX916" s="313">
        <f>IFERROR(IF(INDEX([1]Pivot!$BF$1:$CG$65000,$B916,AX$5)=1,1,IF(INDEX([1]Pivot!$B$1:$AB$65000,$B916,AX$5)="",2,0)),0)</f>
        <v>0</v>
      </c>
      <c r="AY916" s="313">
        <f>IFERROR(IF(INDEX([1]Pivot!$BF$1:$CG$65000,$B916,AY$5)=1,1,IF(INDEX([1]Pivot!$B$1:$AB$65000,$B916,AY$5)="",2,0)),0)</f>
        <v>0</v>
      </c>
      <c r="AZ916" s="313">
        <f>IFERROR(IF(INDEX([1]Pivot!$BF$1:$CG$65000,$B916,AZ$5)=1,1,IF(INDEX([1]Pivot!$B$1:$AB$65000,$B916,AZ$5)="",2,0)),0)</f>
        <v>0</v>
      </c>
      <c r="BA916" s="313">
        <f>IFERROR(IF(INDEX([1]Pivot!$BF$1:$CG$65000,$B916,BA$5)=1,1,IF(INDEX([1]Pivot!$B$1:$AB$65000,$B916,BA$5)="",2,0)),0)</f>
        <v>0</v>
      </c>
      <c r="BB916" s="313">
        <f>IFERROR(IF(INDEX([1]Pivot!$BF$1:$CG$65000,$B916,BB$5)=1,1,IF(INDEX([1]Pivot!$B$1:$AB$65000,$B916,BB$5)="",2,0)),0)</f>
        <v>0</v>
      </c>
      <c r="BC916" s="313">
        <f>IFERROR(IF(INDEX([1]Pivot!$BF$1:$CG$65000,$B916,BC$5)=1,1,IF(INDEX([1]Pivot!$B$1:$AB$65000,$B916,BC$5)="",2,0)),0)</f>
        <v>0</v>
      </c>
      <c r="BD916" s="313">
        <f>IFERROR(IF(INDEX([1]Pivot!$BF$1:$CG$65000,$B916,BD$5)=1,1,IF(INDEX([1]Pivot!$B$1:$AB$65000,$B916,BD$5)="",2,0)),0)</f>
        <v>0</v>
      </c>
    </row>
    <row r="917" spans="1:56" x14ac:dyDescent="0.25">
      <c r="A917" s="288">
        <f>'[2]Raw Milk Prices'!A917</f>
        <v>0</v>
      </c>
      <c r="B917" s="296" t="e">
        <f>MATCH(DATE(LEFT('[2]Raw Milk Prices'!$A917,4),RIGHT('[2]Raw Milk Prices'!$A917,2),1),[1]Pivot!$A$1:$A$65000,0)</f>
        <v>#VALUE!</v>
      </c>
      <c r="C917" s="194">
        <f>IFERROR(IF(INDEX([1]Pivot!$AD$1:$BE$65000,$B917,C$5)=1,1,IF(INDEX([1]Pivot!$B$1:$AB$65000,$B917,C$5)="",2,0)),0)</f>
        <v>0</v>
      </c>
      <c r="D917" s="194">
        <f>IFERROR(IF(INDEX([1]Pivot!$AD$1:$BE$65000,$B917,D$5)=1,1,IF(INDEX([1]Pivot!$B$1:$AB$65000,$B917,D$5)="",2,0)),0)</f>
        <v>0</v>
      </c>
      <c r="E917" s="194">
        <f>IFERROR(IF(INDEX([1]Pivot!$AD$1:$BE$65000,$B917,E$5)=1,1,IF(INDEX([1]Pivot!$B$1:$AB$65000,$B917,E$5)="",2,0)),0)</f>
        <v>0</v>
      </c>
      <c r="F917" s="194">
        <f>IFERROR(IF(INDEX([1]Pivot!$AD$1:$BE$65000,$B917,F$5)=1,1,IF(INDEX([1]Pivot!$B$1:$AB$65000,$B917,F$5)="",2,0)),0)</f>
        <v>0</v>
      </c>
      <c r="G917" s="194">
        <f>IFERROR(IF(INDEX([1]Pivot!$AD$1:$BE$65000,$B917,G$5)=1,1,IF(INDEX([1]Pivot!$B$1:$AB$65000,$B917,G$5)="",2,0)),0)</f>
        <v>0</v>
      </c>
      <c r="H917" s="194">
        <f>IFERROR(IF(INDEX([1]Pivot!$AD$1:$BE$65000,$B917,H$5)=1,1,IF(INDEX([1]Pivot!$B$1:$AB$65000,$B917,H$5)="",2,0)),0)</f>
        <v>0</v>
      </c>
      <c r="I917" s="194">
        <f>IFERROR(IF(INDEX([1]Pivot!$AD$1:$BE$65000,$B917,I$5)=1,1,IF(INDEX([1]Pivot!$B$1:$AB$65000,$B917,I$5)="",2,0)),0)</f>
        <v>0</v>
      </c>
      <c r="J917" s="194">
        <f>IFERROR(IF(INDEX([1]Pivot!$AD$1:$BE$65000,$B917,J$5)=1,1,IF(INDEX([1]Pivot!$B$1:$AB$65000,$B917,J$5)="",2,0)),0)</f>
        <v>0</v>
      </c>
      <c r="K917" s="194">
        <f>IFERROR(IF(INDEX([1]Pivot!$AD$1:$BE$65000,$B917,K$5)=1,1,IF(INDEX([1]Pivot!$B$1:$AB$65000,$B917,K$5)="",2,0)),0)</f>
        <v>0</v>
      </c>
      <c r="L917" s="194">
        <f>IFERROR(IF(INDEX([1]Pivot!$AD$1:$BE$65000,$B917,L$5)=1,1,IF(INDEX([1]Pivot!$B$1:$AB$65000,$B917,L$5)="",2,0)),0)</f>
        <v>0</v>
      </c>
      <c r="M917" s="194">
        <f>IFERROR(IF(INDEX([1]Pivot!$AD$1:$BE$65000,$B917,M$5)=1,1,IF(INDEX([1]Pivot!$B$1:$AB$65000,$B917,M$5)="",2,0)),0)</f>
        <v>0</v>
      </c>
      <c r="N917" s="194">
        <f>IFERROR(IF(INDEX([1]Pivot!$AD$1:$BE$65000,$B917,N$5)=1,1,IF(INDEX([1]Pivot!$B$1:$AB$65000,$B917,N$5)="",2,0)),0)</f>
        <v>0</v>
      </c>
      <c r="O917" s="194">
        <f>IFERROR(IF(INDEX([1]Pivot!$AD$1:$BE$65000,$B917,O$5)=1,1,IF(INDEX([1]Pivot!$B$1:$AB$65000,$B917,O$5)="",2,0)),0)</f>
        <v>0</v>
      </c>
      <c r="P917" s="194">
        <f>IFERROR(IF(INDEX([1]Pivot!$AD$1:$BE$65000,$B917,P$5)=1,1,IF(INDEX([1]Pivot!$B$1:$AB$65000,$B917,P$5)="",2,0)),0)</f>
        <v>0</v>
      </c>
      <c r="Q917" s="194">
        <f>IFERROR(IF(INDEX([1]Pivot!$AD$1:$BE$65000,$B917,Q$5)=1,1,IF(INDEX([1]Pivot!$B$1:$AB$65000,$B917,Q$5)="",2,0)),0)</f>
        <v>0</v>
      </c>
      <c r="R917" s="312"/>
      <c r="S917" s="194">
        <f>IFERROR(IF(INDEX([1]Pivot!$AD$1:$BE$65000,$B917,S$5)=1,1,IF(INDEX([1]Pivot!$B$1:$AB$65000,$B917,S$5)="",2,0)),0)</f>
        <v>0</v>
      </c>
      <c r="T917" s="194">
        <f>IFERROR(IF(INDEX([1]Pivot!$AD$1:$BE$65000,$B917,T$5)=1,1,IF(INDEX([1]Pivot!$B$1:$AB$65000,$B917,T$5)="",2,0)),0)</f>
        <v>0</v>
      </c>
      <c r="U917" s="194">
        <f>IFERROR(IF(INDEX([1]Pivot!$AD$1:$BE$65000,$B917,U$5)=1,1,IF(INDEX([1]Pivot!$B$1:$AB$65000,$B917,U$5)="",2,0)),0)</f>
        <v>0</v>
      </c>
      <c r="V917" s="194">
        <f>IFERROR(IF(INDEX([1]Pivot!$AD$1:$BE$65000,$B917,V$5)=1,1,IF(INDEX([1]Pivot!$B$1:$AB$65000,$B917,V$5)="",2,0)),0)</f>
        <v>0</v>
      </c>
      <c r="W917" s="194">
        <f>IFERROR(IF(INDEX([1]Pivot!$AD$1:$BE$65000,$B917,W$5)=1,1,IF(INDEX([1]Pivot!$B$1:$AB$65000,$B917,W$5)="",2,0)),0)</f>
        <v>0</v>
      </c>
      <c r="X917" s="194">
        <f>IFERROR(IF(INDEX([1]Pivot!$AD$1:$BE$65000,$B917,X$5)=1,1,IF(INDEX([1]Pivot!$B$1:$AB$65000,$B917,X$5)="",2,0)),0)</f>
        <v>0</v>
      </c>
      <c r="Y917" s="194">
        <f>IFERROR(IF(INDEX([1]Pivot!$AD$1:$BE$65000,$B917,Y$5)=1,1,IF(INDEX([1]Pivot!$B$1:$AB$65000,$B917,Y$5)="",2,0)),0)</f>
        <v>0</v>
      </c>
      <c r="Z917" s="194">
        <f>IFERROR(IF(INDEX([1]Pivot!$AD$1:$BE$65000,$B917,Z$5)=1,1,IF(INDEX([1]Pivot!$B$1:$AB$65000,$B917,Z$5)="",2,0)),0)</f>
        <v>0</v>
      </c>
      <c r="AA917" s="194">
        <f>IFERROR(IF(INDEX([1]Pivot!$AD$1:$BE$65000,$B917,AA$5)=1,1,IF(INDEX([1]Pivot!$B$1:$AB$65000,$B917,AA$5)="",2,0)),0)</f>
        <v>0</v>
      </c>
      <c r="AB917" s="194">
        <f>IFERROR(IF(INDEX([1]Pivot!$AD$1:$BE$65000,$B917,AB$5)=1,1,IF(INDEX([1]Pivot!$B$1:$AB$65000,$B917,AB$5)="",2,0)),0)</f>
        <v>0</v>
      </c>
      <c r="AC917" s="194">
        <f>IFERROR(IF(INDEX([1]Pivot!$AD$1:$BE$65000,$B917,AC$5)=1,1,IF(INDEX([1]Pivot!$B$1:$AB$65000,$B917,AC$5)="",2,0)),0)</f>
        <v>0</v>
      </c>
      <c r="AD917" s="313">
        <f>IFERROR(IF(INDEX([1]Pivot!$BF$1:$CG$65000,$B917,AD$5)=1,1,IF(INDEX([1]Pivot!$B$1:$AB$65000,$B917,AD$5)="",2,0)),0)</f>
        <v>0</v>
      </c>
      <c r="AE917" s="313">
        <f>IFERROR(IF(INDEX([1]Pivot!$BF$1:$CG$65000,$B917,AE$5)=1,1,IF(INDEX([1]Pivot!$B$1:$AB$65000,$B917,AE$5)="",2,0)),0)</f>
        <v>0</v>
      </c>
      <c r="AF917" s="313">
        <f>IFERROR(IF(INDEX([1]Pivot!$BF$1:$CG$65000,$B917,AF$5)=1,1,IF(INDEX([1]Pivot!$B$1:$AB$65000,$B917,AF$5)="",2,0)),0)</f>
        <v>0</v>
      </c>
      <c r="AG917" s="313">
        <f>IFERROR(IF(INDEX([1]Pivot!$BF$1:$CG$65000,$B917,AG$5)=1,1,IF(INDEX([1]Pivot!$B$1:$AB$65000,$B917,AG$5)="",2,0)),0)</f>
        <v>0</v>
      </c>
      <c r="AH917" s="313">
        <f>IFERROR(IF(INDEX([1]Pivot!$BF$1:$CG$65000,$B917,AH$5)=1,1,IF(INDEX([1]Pivot!$B$1:$AB$65000,$B917,AH$5)="",2,0)),0)</f>
        <v>0</v>
      </c>
      <c r="AI917" s="313">
        <f>IFERROR(IF(INDEX([1]Pivot!$BF$1:$CG$65000,$B917,AI$5)=1,1,IF(INDEX([1]Pivot!$B$1:$AB$65000,$B917,AI$5)="",2,0)),0)</f>
        <v>0</v>
      </c>
      <c r="AJ917" s="313">
        <f>IFERROR(IF(INDEX([1]Pivot!$BF$1:$CG$65000,$B917,AJ$5)=1,1,IF(INDEX([1]Pivot!$B$1:$AB$65000,$B917,AJ$5)="",2,0)),0)</f>
        <v>0</v>
      </c>
      <c r="AK917" s="313">
        <f>IFERROR(IF(INDEX([1]Pivot!$BF$1:$CG$65000,$B917,AK$5)=1,1,IF(INDEX([1]Pivot!$B$1:$AB$65000,$B917,AK$5)="",2,0)),0)</f>
        <v>0</v>
      </c>
      <c r="AL917" s="313">
        <f>IFERROR(IF(INDEX([1]Pivot!$BF$1:$CG$65000,$B917,AL$5)=1,1,IF(INDEX([1]Pivot!$B$1:$AB$65000,$B917,AL$5)="",2,0)),0)</f>
        <v>0</v>
      </c>
      <c r="AM917" s="313">
        <f>IFERROR(IF(INDEX([1]Pivot!$BF$1:$CG$65000,$B917,AM$5)=1,1,IF(INDEX([1]Pivot!$B$1:$AB$65000,$B917,AM$5)="",2,0)),0)</f>
        <v>0</v>
      </c>
      <c r="AN917" s="313">
        <f>IFERROR(IF(INDEX([1]Pivot!$BF$1:$CG$65000,$B917,AN$5)=1,1,IF(INDEX([1]Pivot!$B$1:$AB$65000,$B917,AN$5)="",2,0)),0)</f>
        <v>0</v>
      </c>
      <c r="AO917" s="313">
        <f>IFERROR(IF(INDEX([1]Pivot!$BF$1:$CG$65000,$B917,AO$5)=1,1,IF(INDEX([1]Pivot!$B$1:$AB$65000,$B917,AO$5)="",2,0)),0)</f>
        <v>0</v>
      </c>
      <c r="AP917" s="313">
        <f>IFERROR(IF(INDEX([1]Pivot!$BF$1:$CG$65000,$B917,AP$5)=1,1,IF(INDEX([1]Pivot!$B$1:$AB$65000,$B917,AP$5)="",2,0)),0)</f>
        <v>0</v>
      </c>
      <c r="AQ917" s="313">
        <f>IFERROR(IF(INDEX([1]Pivot!$BF$1:$CG$65000,$B917,AQ$5)=1,1,IF(INDEX([1]Pivot!$B$1:$AB$65000,$B917,AQ$5)="",2,0)),0)</f>
        <v>0</v>
      </c>
      <c r="AR917" s="313">
        <f>IFERROR(IF(INDEX([1]Pivot!$BF$1:$CG$65000,$B917,AR$5)=1,1,IF(INDEX([1]Pivot!$B$1:$AB$65000,$B917,AR$5)="",2,0)),0)</f>
        <v>0</v>
      </c>
      <c r="AS917" s="312"/>
      <c r="AT917" s="313">
        <f>IFERROR(IF(INDEX([1]Pivot!$BF$1:$CG$65000,$B917,AT$5)=1,1,IF(INDEX([1]Pivot!$B$1:$AB$65000,$B917,AT$5)="",2,0)),0)</f>
        <v>0</v>
      </c>
      <c r="AU917" s="313">
        <f>IFERROR(IF(INDEX([1]Pivot!$BF$1:$CG$65000,$B917,AU$5)=1,1,IF(INDEX([1]Pivot!$B$1:$AB$65000,$B917,AU$5)="",2,0)),0)</f>
        <v>0</v>
      </c>
      <c r="AV917" s="313">
        <f>IFERROR(IF(INDEX([1]Pivot!$BF$1:$CG$65000,$B917,AV$5)=1,1,IF(INDEX([1]Pivot!$B$1:$AB$65000,$B917,AV$5)="",2,0)),0)</f>
        <v>0</v>
      </c>
      <c r="AW917" s="313">
        <f>IFERROR(IF(INDEX([1]Pivot!$BF$1:$CG$65000,$B917,AW$5)=1,1,IF(INDEX([1]Pivot!$B$1:$AB$65000,$B917,AW$5)="",2,0)),0)</f>
        <v>0</v>
      </c>
      <c r="AX917" s="313">
        <f>IFERROR(IF(INDEX([1]Pivot!$BF$1:$CG$65000,$B917,AX$5)=1,1,IF(INDEX([1]Pivot!$B$1:$AB$65000,$B917,AX$5)="",2,0)),0)</f>
        <v>0</v>
      </c>
      <c r="AY917" s="313">
        <f>IFERROR(IF(INDEX([1]Pivot!$BF$1:$CG$65000,$B917,AY$5)=1,1,IF(INDEX([1]Pivot!$B$1:$AB$65000,$B917,AY$5)="",2,0)),0)</f>
        <v>0</v>
      </c>
      <c r="AZ917" s="313">
        <f>IFERROR(IF(INDEX([1]Pivot!$BF$1:$CG$65000,$B917,AZ$5)=1,1,IF(INDEX([1]Pivot!$B$1:$AB$65000,$B917,AZ$5)="",2,0)),0)</f>
        <v>0</v>
      </c>
      <c r="BA917" s="313">
        <f>IFERROR(IF(INDEX([1]Pivot!$BF$1:$CG$65000,$B917,BA$5)=1,1,IF(INDEX([1]Pivot!$B$1:$AB$65000,$B917,BA$5)="",2,0)),0)</f>
        <v>0</v>
      </c>
      <c r="BB917" s="313">
        <f>IFERROR(IF(INDEX([1]Pivot!$BF$1:$CG$65000,$B917,BB$5)=1,1,IF(INDEX([1]Pivot!$B$1:$AB$65000,$B917,BB$5)="",2,0)),0)</f>
        <v>0</v>
      </c>
      <c r="BC917" s="313">
        <f>IFERROR(IF(INDEX([1]Pivot!$BF$1:$CG$65000,$B917,BC$5)=1,1,IF(INDEX([1]Pivot!$B$1:$AB$65000,$B917,BC$5)="",2,0)),0)</f>
        <v>0</v>
      </c>
      <c r="BD917" s="313">
        <f>IFERROR(IF(INDEX([1]Pivot!$BF$1:$CG$65000,$B917,BD$5)=1,1,IF(INDEX([1]Pivot!$B$1:$AB$65000,$B917,BD$5)="",2,0)),0)</f>
        <v>0</v>
      </c>
    </row>
    <row r="918" spans="1:56" x14ac:dyDescent="0.25">
      <c r="A918" s="288">
        <f>'[2]Raw Milk Prices'!A918</f>
        <v>0</v>
      </c>
      <c r="B918" s="296" t="e">
        <f>MATCH(DATE(LEFT('[2]Raw Milk Prices'!$A918,4),RIGHT('[2]Raw Milk Prices'!$A918,2),1),[1]Pivot!$A$1:$A$65000,0)</f>
        <v>#VALUE!</v>
      </c>
      <c r="C918" s="194">
        <f>IFERROR(IF(INDEX([1]Pivot!$AD$1:$BE$65000,$B918,C$5)=1,1,IF(INDEX([1]Pivot!$B$1:$AB$65000,$B918,C$5)="",2,0)),0)</f>
        <v>0</v>
      </c>
      <c r="D918" s="194">
        <f>IFERROR(IF(INDEX([1]Pivot!$AD$1:$BE$65000,$B918,D$5)=1,1,IF(INDEX([1]Pivot!$B$1:$AB$65000,$B918,D$5)="",2,0)),0)</f>
        <v>0</v>
      </c>
      <c r="E918" s="194">
        <f>IFERROR(IF(INDEX([1]Pivot!$AD$1:$BE$65000,$B918,E$5)=1,1,IF(INDEX([1]Pivot!$B$1:$AB$65000,$B918,E$5)="",2,0)),0)</f>
        <v>0</v>
      </c>
      <c r="F918" s="194">
        <f>IFERROR(IF(INDEX([1]Pivot!$AD$1:$BE$65000,$B918,F$5)=1,1,IF(INDEX([1]Pivot!$B$1:$AB$65000,$B918,F$5)="",2,0)),0)</f>
        <v>0</v>
      </c>
      <c r="G918" s="194">
        <f>IFERROR(IF(INDEX([1]Pivot!$AD$1:$BE$65000,$B918,G$5)=1,1,IF(INDEX([1]Pivot!$B$1:$AB$65000,$B918,G$5)="",2,0)),0)</f>
        <v>0</v>
      </c>
      <c r="H918" s="194">
        <f>IFERROR(IF(INDEX([1]Pivot!$AD$1:$BE$65000,$B918,H$5)=1,1,IF(INDEX([1]Pivot!$B$1:$AB$65000,$B918,H$5)="",2,0)),0)</f>
        <v>0</v>
      </c>
      <c r="I918" s="194">
        <f>IFERROR(IF(INDEX([1]Pivot!$AD$1:$BE$65000,$B918,I$5)=1,1,IF(INDEX([1]Pivot!$B$1:$AB$65000,$B918,I$5)="",2,0)),0)</f>
        <v>0</v>
      </c>
      <c r="J918" s="194">
        <f>IFERROR(IF(INDEX([1]Pivot!$AD$1:$BE$65000,$B918,J$5)=1,1,IF(INDEX([1]Pivot!$B$1:$AB$65000,$B918,J$5)="",2,0)),0)</f>
        <v>0</v>
      </c>
      <c r="K918" s="194">
        <f>IFERROR(IF(INDEX([1]Pivot!$AD$1:$BE$65000,$B918,K$5)=1,1,IF(INDEX([1]Pivot!$B$1:$AB$65000,$B918,K$5)="",2,0)),0)</f>
        <v>0</v>
      </c>
      <c r="L918" s="194">
        <f>IFERROR(IF(INDEX([1]Pivot!$AD$1:$BE$65000,$B918,L$5)=1,1,IF(INDEX([1]Pivot!$B$1:$AB$65000,$B918,L$5)="",2,0)),0)</f>
        <v>0</v>
      </c>
      <c r="M918" s="194">
        <f>IFERROR(IF(INDEX([1]Pivot!$AD$1:$BE$65000,$B918,M$5)=1,1,IF(INDEX([1]Pivot!$B$1:$AB$65000,$B918,M$5)="",2,0)),0)</f>
        <v>0</v>
      </c>
      <c r="N918" s="194">
        <f>IFERROR(IF(INDEX([1]Pivot!$AD$1:$BE$65000,$B918,N$5)=1,1,IF(INDEX([1]Pivot!$B$1:$AB$65000,$B918,N$5)="",2,0)),0)</f>
        <v>0</v>
      </c>
      <c r="O918" s="194">
        <f>IFERROR(IF(INDEX([1]Pivot!$AD$1:$BE$65000,$B918,O$5)=1,1,IF(INDEX([1]Pivot!$B$1:$AB$65000,$B918,O$5)="",2,0)),0)</f>
        <v>0</v>
      </c>
      <c r="P918" s="194">
        <f>IFERROR(IF(INDEX([1]Pivot!$AD$1:$BE$65000,$B918,P$5)=1,1,IF(INDEX([1]Pivot!$B$1:$AB$65000,$B918,P$5)="",2,0)),0)</f>
        <v>0</v>
      </c>
      <c r="Q918" s="194">
        <f>IFERROR(IF(INDEX([1]Pivot!$AD$1:$BE$65000,$B918,Q$5)=1,1,IF(INDEX([1]Pivot!$B$1:$AB$65000,$B918,Q$5)="",2,0)),0)</f>
        <v>0</v>
      </c>
      <c r="R918" s="312"/>
      <c r="S918" s="194">
        <f>IFERROR(IF(INDEX([1]Pivot!$AD$1:$BE$65000,$B918,S$5)=1,1,IF(INDEX([1]Pivot!$B$1:$AB$65000,$B918,S$5)="",2,0)),0)</f>
        <v>0</v>
      </c>
      <c r="T918" s="194">
        <f>IFERROR(IF(INDEX([1]Pivot!$AD$1:$BE$65000,$B918,T$5)=1,1,IF(INDEX([1]Pivot!$B$1:$AB$65000,$B918,T$5)="",2,0)),0)</f>
        <v>0</v>
      </c>
      <c r="U918" s="194">
        <f>IFERROR(IF(INDEX([1]Pivot!$AD$1:$BE$65000,$B918,U$5)=1,1,IF(INDEX([1]Pivot!$B$1:$AB$65000,$B918,U$5)="",2,0)),0)</f>
        <v>0</v>
      </c>
      <c r="V918" s="194">
        <f>IFERROR(IF(INDEX([1]Pivot!$AD$1:$BE$65000,$B918,V$5)=1,1,IF(INDEX([1]Pivot!$B$1:$AB$65000,$B918,V$5)="",2,0)),0)</f>
        <v>0</v>
      </c>
      <c r="W918" s="194">
        <f>IFERROR(IF(INDEX([1]Pivot!$AD$1:$BE$65000,$B918,W$5)=1,1,IF(INDEX([1]Pivot!$B$1:$AB$65000,$B918,W$5)="",2,0)),0)</f>
        <v>0</v>
      </c>
      <c r="X918" s="194">
        <f>IFERROR(IF(INDEX([1]Pivot!$AD$1:$BE$65000,$B918,X$5)=1,1,IF(INDEX([1]Pivot!$B$1:$AB$65000,$B918,X$5)="",2,0)),0)</f>
        <v>0</v>
      </c>
      <c r="Y918" s="194">
        <f>IFERROR(IF(INDEX([1]Pivot!$AD$1:$BE$65000,$B918,Y$5)=1,1,IF(INDEX([1]Pivot!$B$1:$AB$65000,$B918,Y$5)="",2,0)),0)</f>
        <v>0</v>
      </c>
      <c r="Z918" s="194">
        <f>IFERROR(IF(INDEX([1]Pivot!$AD$1:$BE$65000,$B918,Z$5)=1,1,IF(INDEX([1]Pivot!$B$1:$AB$65000,$B918,Z$5)="",2,0)),0)</f>
        <v>0</v>
      </c>
      <c r="AA918" s="194">
        <f>IFERROR(IF(INDEX([1]Pivot!$AD$1:$BE$65000,$B918,AA$5)=1,1,IF(INDEX([1]Pivot!$B$1:$AB$65000,$B918,AA$5)="",2,0)),0)</f>
        <v>0</v>
      </c>
      <c r="AB918" s="194">
        <f>IFERROR(IF(INDEX([1]Pivot!$AD$1:$BE$65000,$B918,AB$5)=1,1,IF(INDEX([1]Pivot!$B$1:$AB$65000,$B918,AB$5)="",2,0)),0)</f>
        <v>0</v>
      </c>
      <c r="AC918" s="194">
        <f>IFERROR(IF(INDEX([1]Pivot!$AD$1:$BE$65000,$B918,AC$5)=1,1,IF(INDEX([1]Pivot!$B$1:$AB$65000,$B918,AC$5)="",2,0)),0)</f>
        <v>0</v>
      </c>
      <c r="AD918" s="313">
        <f>IFERROR(IF(INDEX([1]Pivot!$BF$1:$CG$65000,$B918,AD$5)=1,1,IF(INDEX([1]Pivot!$B$1:$AB$65000,$B918,AD$5)="",2,0)),0)</f>
        <v>0</v>
      </c>
      <c r="AE918" s="313">
        <f>IFERROR(IF(INDEX([1]Pivot!$BF$1:$CG$65000,$B918,AE$5)=1,1,IF(INDEX([1]Pivot!$B$1:$AB$65000,$B918,AE$5)="",2,0)),0)</f>
        <v>0</v>
      </c>
      <c r="AF918" s="313">
        <f>IFERROR(IF(INDEX([1]Pivot!$BF$1:$CG$65000,$B918,AF$5)=1,1,IF(INDEX([1]Pivot!$B$1:$AB$65000,$B918,AF$5)="",2,0)),0)</f>
        <v>0</v>
      </c>
      <c r="AG918" s="313">
        <f>IFERROR(IF(INDEX([1]Pivot!$BF$1:$CG$65000,$B918,AG$5)=1,1,IF(INDEX([1]Pivot!$B$1:$AB$65000,$B918,AG$5)="",2,0)),0)</f>
        <v>0</v>
      </c>
      <c r="AH918" s="313">
        <f>IFERROR(IF(INDEX([1]Pivot!$BF$1:$CG$65000,$B918,AH$5)=1,1,IF(INDEX([1]Pivot!$B$1:$AB$65000,$B918,AH$5)="",2,0)),0)</f>
        <v>0</v>
      </c>
      <c r="AI918" s="313">
        <f>IFERROR(IF(INDEX([1]Pivot!$BF$1:$CG$65000,$B918,AI$5)=1,1,IF(INDEX([1]Pivot!$B$1:$AB$65000,$B918,AI$5)="",2,0)),0)</f>
        <v>0</v>
      </c>
      <c r="AJ918" s="313">
        <f>IFERROR(IF(INDEX([1]Pivot!$BF$1:$CG$65000,$B918,AJ$5)=1,1,IF(INDEX([1]Pivot!$B$1:$AB$65000,$B918,AJ$5)="",2,0)),0)</f>
        <v>0</v>
      </c>
      <c r="AK918" s="313">
        <f>IFERROR(IF(INDEX([1]Pivot!$BF$1:$CG$65000,$B918,AK$5)=1,1,IF(INDEX([1]Pivot!$B$1:$AB$65000,$B918,AK$5)="",2,0)),0)</f>
        <v>0</v>
      </c>
      <c r="AL918" s="313">
        <f>IFERROR(IF(INDEX([1]Pivot!$BF$1:$CG$65000,$B918,AL$5)=1,1,IF(INDEX([1]Pivot!$B$1:$AB$65000,$B918,AL$5)="",2,0)),0)</f>
        <v>0</v>
      </c>
      <c r="AM918" s="313">
        <f>IFERROR(IF(INDEX([1]Pivot!$BF$1:$CG$65000,$B918,AM$5)=1,1,IF(INDEX([1]Pivot!$B$1:$AB$65000,$B918,AM$5)="",2,0)),0)</f>
        <v>0</v>
      </c>
      <c r="AN918" s="313">
        <f>IFERROR(IF(INDEX([1]Pivot!$BF$1:$CG$65000,$B918,AN$5)=1,1,IF(INDEX([1]Pivot!$B$1:$AB$65000,$B918,AN$5)="",2,0)),0)</f>
        <v>0</v>
      </c>
      <c r="AO918" s="313">
        <f>IFERROR(IF(INDEX([1]Pivot!$BF$1:$CG$65000,$B918,AO$5)=1,1,IF(INDEX([1]Pivot!$B$1:$AB$65000,$B918,AO$5)="",2,0)),0)</f>
        <v>0</v>
      </c>
      <c r="AP918" s="313">
        <f>IFERROR(IF(INDEX([1]Pivot!$BF$1:$CG$65000,$B918,AP$5)=1,1,IF(INDEX([1]Pivot!$B$1:$AB$65000,$B918,AP$5)="",2,0)),0)</f>
        <v>0</v>
      </c>
      <c r="AQ918" s="313">
        <f>IFERROR(IF(INDEX([1]Pivot!$BF$1:$CG$65000,$B918,AQ$5)=1,1,IF(INDEX([1]Pivot!$B$1:$AB$65000,$B918,AQ$5)="",2,0)),0)</f>
        <v>0</v>
      </c>
      <c r="AR918" s="313">
        <f>IFERROR(IF(INDEX([1]Pivot!$BF$1:$CG$65000,$B918,AR$5)=1,1,IF(INDEX([1]Pivot!$B$1:$AB$65000,$B918,AR$5)="",2,0)),0)</f>
        <v>0</v>
      </c>
      <c r="AS918" s="312"/>
      <c r="AT918" s="313">
        <f>IFERROR(IF(INDEX([1]Pivot!$BF$1:$CG$65000,$B918,AT$5)=1,1,IF(INDEX([1]Pivot!$B$1:$AB$65000,$B918,AT$5)="",2,0)),0)</f>
        <v>0</v>
      </c>
      <c r="AU918" s="313">
        <f>IFERROR(IF(INDEX([1]Pivot!$BF$1:$CG$65000,$B918,AU$5)=1,1,IF(INDEX([1]Pivot!$B$1:$AB$65000,$B918,AU$5)="",2,0)),0)</f>
        <v>0</v>
      </c>
      <c r="AV918" s="313">
        <f>IFERROR(IF(INDEX([1]Pivot!$BF$1:$CG$65000,$B918,AV$5)=1,1,IF(INDEX([1]Pivot!$B$1:$AB$65000,$B918,AV$5)="",2,0)),0)</f>
        <v>0</v>
      </c>
      <c r="AW918" s="313">
        <f>IFERROR(IF(INDEX([1]Pivot!$BF$1:$CG$65000,$B918,AW$5)=1,1,IF(INDEX([1]Pivot!$B$1:$AB$65000,$B918,AW$5)="",2,0)),0)</f>
        <v>0</v>
      </c>
      <c r="AX918" s="313">
        <f>IFERROR(IF(INDEX([1]Pivot!$BF$1:$CG$65000,$B918,AX$5)=1,1,IF(INDEX([1]Pivot!$B$1:$AB$65000,$B918,AX$5)="",2,0)),0)</f>
        <v>0</v>
      </c>
      <c r="AY918" s="313">
        <f>IFERROR(IF(INDEX([1]Pivot!$BF$1:$CG$65000,$B918,AY$5)=1,1,IF(INDEX([1]Pivot!$B$1:$AB$65000,$B918,AY$5)="",2,0)),0)</f>
        <v>0</v>
      </c>
      <c r="AZ918" s="313">
        <f>IFERROR(IF(INDEX([1]Pivot!$BF$1:$CG$65000,$B918,AZ$5)=1,1,IF(INDEX([1]Pivot!$B$1:$AB$65000,$B918,AZ$5)="",2,0)),0)</f>
        <v>0</v>
      </c>
      <c r="BA918" s="313">
        <f>IFERROR(IF(INDEX([1]Pivot!$BF$1:$CG$65000,$B918,BA$5)=1,1,IF(INDEX([1]Pivot!$B$1:$AB$65000,$B918,BA$5)="",2,0)),0)</f>
        <v>0</v>
      </c>
      <c r="BB918" s="313">
        <f>IFERROR(IF(INDEX([1]Pivot!$BF$1:$CG$65000,$B918,BB$5)=1,1,IF(INDEX([1]Pivot!$B$1:$AB$65000,$B918,BB$5)="",2,0)),0)</f>
        <v>0</v>
      </c>
      <c r="BC918" s="313">
        <f>IFERROR(IF(INDEX([1]Pivot!$BF$1:$CG$65000,$B918,BC$5)=1,1,IF(INDEX([1]Pivot!$B$1:$AB$65000,$B918,BC$5)="",2,0)),0)</f>
        <v>0</v>
      </c>
      <c r="BD918" s="313">
        <f>IFERROR(IF(INDEX([1]Pivot!$BF$1:$CG$65000,$B918,BD$5)=1,1,IF(INDEX([1]Pivot!$B$1:$AB$65000,$B918,BD$5)="",2,0)),0)</f>
        <v>0</v>
      </c>
    </row>
    <row r="919" spans="1:56" x14ac:dyDescent="0.25">
      <c r="A919" s="288">
        <f>'[2]Raw Milk Prices'!A919</f>
        <v>0</v>
      </c>
      <c r="B919" s="296" t="e">
        <f>MATCH(DATE(LEFT('[2]Raw Milk Prices'!$A919,4),RIGHT('[2]Raw Milk Prices'!$A919,2),1),[1]Pivot!$A$1:$A$65000,0)</f>
        <v>#VALUE!</v>
      </c>
      <c r="C919" s="194">
        <f>IFERROR(IF(INDEX([1]Pivot!$AD$1:$BE$65000,$B919,C$5)=1,1,IF(INDEX([1]Pivot!$B$1:$AB$65000,$B919,C$5)="",2,0)),0)</f>
        <v>0</v>
      </c>
      <c r="D919" s="194">
        <f>IFERROR(IF(INDEX([1]Pivot!$AD$1:$BE$65000,$B919,D$5)=1,1,IF(INDEX([1]Pivot!$B$1:$AB$65000,$B919,D$5)="",2,0)),0)</f>
        <v>0</v>
      </c>
      <c r="E919" s="194">
        <f>IFERROR(IF(INDEX([1]Pivot!$AD$1:$BE$65000,$B919,E$5)=1,1,IF(INDEX([1]Pivot!$B$1:$AB$65000,$B919,E$5)="",2,0)),0)</f>
        <v>0</v>
      </c>
      <c r="F919" s="194">
        <f>IFERROR(IF(INDEX([1]Pivot!$AD$1:$BE$65000,$B919,F$5)=1,1,IF(INDEX([1]Pivot!$B$1:$AB$65000,$B919,F$5)="",2,0)),0)</f>
        <v>0</v>
      </c>
      <c r="G919" s="194">
        <f>IFERROR(IF(INDEX([1]Pivot!$AD$1:$BE$65000,$B919,G$5)=1,1,IF(INDEX([1]Pivot!$B$1:$AB$65000,$B919,G$5)="",2,0)),0)</f>
        <v>0</v>
      </c>
      <c r="H919" s="194">
        <f>IFERROR(IF(INDEX([1]Pivot!$AD$1:$BE$65000,$B919,H$5)=1,1,IF(INDEX([1]Pivot!$B$1:$AB$65000,$B919,H$5)="",2,0)),0)</f>
        <v>0</v>
      </c>
      <c r="I919" s="194">
        <f>IFERROR(IF(INDEX([1]Pivot!$AD$1:$BE$65000,$B919,I$5)=1,1,IF(INDEX([1]Pivot!$B$1:$AB$65000,$B919,I$5)="",2,0)),0)</f>
        <v>0</v>
      </c>
      <c r="J919" s="194">
        <f>IFERROR(IF(INDEX([1]Pivot!$AD$1:$BE$65000,$B919,J$5)=1,1,IF(INDEX([1]Pivot!$B$1:$AB$65000,$B919,J$5)="",2,0)),0)</f>
        <v>0</v>
      </c>
      <c r="K919" s="194">
        <f>IFERROR(IF(INDEX([1]Pivot!$AD$1:$BE$65000,$B919,K$5)=1,1,IF(INDEX([1]Pivot!$B$1:$AB$65000,$B919,K$5)="",2,0)),0)</f>
        <v>0</v>
      </c>
      <c r="L919" s="194">
        <f>IFERROR(IF(INDEX([1]Pivot!$AD$1:$BE$65000,$B919,L$5)=1,1,IF(INDEX([1]Pivot!$B$1:$AB$65000,$B919,L$5)="",2,0)),0)</f>
        <v>0</v>
      </c>
      <c r="M919" s="194">
        <f>IFERROR(IF(INDEX([1]Pivot!$AD$1:$BE$65000,$B919,M$5)=1,1,IF(INDEX([1]Pivot!$B$1:$AB$65000,$B919,M$5)="",2,0)),0)</f>
        <v>0</v>
      </c>
      <c r="N919" s="194">
        <f>IFERROR(IF(INDEX([1]Pivot!$AD$1:$BE$65000,$B919,N$5)=1,1,IF(INDEX([1]Pivot!$B$1:$AB$65000,$B919,N$5)="",2,0)),0)</f>
        <v>0</v>
      </c>
      <c r="O919" s="194">
        <f>IFERROR(IF(INDEX([1]Pivot!$AD$1:$BE$65000,$B919,O$5)=1,1,IF(INDEX([1]Pivot!$B$1:$AB$65000,$B919,O$5)="",2,0)),0)</f>
        <v>0</v>
      </c>
      <c r="P919" s="194">
        <f>IFERROR(IF(INDEX([1]Pivot!$AD$1:$BE$65000,$B919,P$5)=1,1,IF(INDEX([1]Pivot!$B$1:$AB$65000,$B919,P$5)="",2,0)),0)</f>
        <v>0</v>
      </c>
      <c r="Q919" s="194">
        <f>IFERROR(IF(INDEX([1]Pivot!$AD$1:$BE$65000,$B919,Q$5)=1,1,IF(INDEX([1]Pivot!$B$1:$AB$65000,$B919,Q$5)="",2,0)),0)</f>
        <v>0</v>
      </c>
      <c r="R919" s="312"/>
      <c r="S919" s="194">
        <f>IFERROR(IF(INDEX([1]Pivot!$AD$1:$BE$65000,$B919,S$5)=1,1,IF(INDEX([1]Pivot!$B$1:$AB$65000,$B919,S$5)="",2,0)),0)</f>
        <v>0</v>
      </c>
      <c r="T919" s="194">
        <f>IFERROR(IF(INDEX([1]Pivot!$AD$1:$BE$65000,$B919,T$5)=1,1,IF(INDEX([1]Pivot!$B$1:$AB$65000,$B919,T$5)="",2,0)),0)</f>
        <v>0</v>
      </c>
      <c r="U919" s="194">
        <f>IFERROR(IF(INDEX([1]Pivot!$AD$1:$BE$65000,$B919,U$5)=1,1,IF(INDEX([1]Pivot!$B$1:$AB$65000,$B919,U$5)="",2,0)),0)</f>
        <v>0</v>
      </c>
      <c r="V919" s="194">
        <f>IFERROR(IF(INDEX([1]Pivot!$AD$1:$BE$65000,$B919,V$5)=1,1,IF(INDEX([1]Pivot!$B$1:$AB$65000,$B919,V$5)="",2,0)),0)</f>
        <v>0</v>
      </c>
      <c r="W919" s="194">
        <f>IFERROR(IF(INDEX([1]Pivot!$AD$1:$BE$65000,$B919,W$5)=1,1,IF(INDEX([1]Pivot!$B$1:$AB$65000,$B919,W$5)="",2,0)),0)</f>
        <v>0</v>
      </c>
      <c r="X919" s="194">
        <f>IFERROR(IF(INDEX([1]Pivot!$AD$1:$BE$65000,$B919,X$5)=1,1,IF(INDEX([1]Pivot!$B$1:$AB$65000,$B919,X$5)="",2,0)),0)</f>
        <v>0</v>
      </c>
      <c r="Y919" s="194">
        <f>IFERROR(IF(INDEX([1]Pivot!$AD$1:$BE$65000,$B919,Y$5)=1,1,IF(INDEX([1]Pivot!$B$1:$AB$65000,$B919,Y$5)="",2,0)),0)</f>
        <v>0</v>
      </c>
      <c r="Z919" s="194">
        <f>IFERROR(IF(INDEX([1]Pivot!$AD$1:$BE$65000,$B919,Z$5)=1,1,IF(INDEX([1]Pivot!$B$1:$AB$65000,$B919,Z$5)="",2,0)),0)</f>
        <v>0</v>
      </c>
      <c r="AA919" s="194">
        <f>IFERROR(IF(INDEX([1]Pivot!$AD$1:$BE$65000,$B919,AA$5)=1,1,IF(INDEX([1]Pivot!$B$1:$AB$65000,$B919,AA$5)="",2,0)),0)</f>
        <v>0</v>
      </c>
      <c r="AB919" s="194">
        <f>IFERROR(IF(INDEX([1]Pivot!$AD$1:$BE$65000,$B919,AB$5)=1,1,IF(INDEX([1]Pivot!$B$1:$AB$65000,$B919,AB$5)="",2,0)),0)</f>
        <v>0</v>
      </c>
      <c r="AC919" s="194">
        <f>IFERROR(IF(INDEX([1]Pivot!$AD$1:$BE$65000,$B919,AC$5)=1,1,IF(INDEX([1]Pivot!$B$1:$AB$65000,$B919,AC$5)="",2,0)),0)</f>
        <v>0</v>
      </c>
      <c r="AD919" s="313">
        <f>IFERROR(IF(INDEX([1]Pivot!$BF$1:$CG$65000,$B919,AD$5)=1,1,IF(INDEX([1]Pivot!$B$1:$AB$65000,$B919,AD$5)="",2,0)),0)</f>
        <v>0</v>
      </c>
      <c r="AE919" s="313">
        <f>IFERROR(IF(INDEX([1]Pivot!$BF$1:$CG$65000,$B919,AE$5)=1,1,IF(INDEX([1]Pivot!$B$1:$AB$65000,$B919,AE$5)="",2,0)),0)</f>
        <v>0</v>
      </c>
      <c r="AF919" s="313">
        <f>IFERROR(IF(INDEX([1]Pivot!$BF$1:$CG$65000,$B919,AF$5)=1,1,IF(INDEX([1]Pivot!$B$1:$AB$65000,$B919,AF$5)="",2,0)),0)</f>
        <v>0</v>
      </c>
      <c r="AG919" s="313">
        <f>IFERROR(IF(INDEX([1]Pivot!$BF$1:$CG$65000,$B919,AG$5)=1,1,IF(INDEX([1]Pivot!$B$1:$AB$65000,$B919,AG$5)="",2,0)),0)</f>
        <v>0</v>
      </c>
      <c r="AH919" s="313">
        <f>IFERROR(IF(INDEX([1]Pivot!$BF$1:$CG$65000,$B919,AH$5)=1,1,IF(INDEX([1]Pivot!$B$1:$AB$65000,$B919,AH$5)="",2,0)),0)</f>
        <v>0</v>
      </c>
      <c r="AI919" s="313">
        <f>IFERROR(IF(INDEX([1]Pivot!$BF$1:$CG$65000,$B919,AI$5)=1,1,IF(INDEX([1]Pivot!$B$1:$AB$65000,$B919,AI$5)="",2,0)),0)</f>
        <v>0</v>
      </c>
      <c r="AJ919" s="313">
        <f>IFERROR(IF(INDEX([1]Pivot!$BF$1:$CG$65000,$B919,AJ$5)=1,1,IF(INDEX([1]Pivot!$B$1:$AB$65000,$B919,AJ$5)="",2,0)),0)</f>
        <v>0</v>
      </c>
      <c r="AK919" s="313">
        <f>IFERROR(IF(INDEX([1]Pivot!$BF$1:$CG$65000,$B919,AK$5)=1,1,IF(INDEX([1]Pivot!$B$1:$AB$65000,$B919,AK$5)="",2,0)),0)</f>
        <v>0</v>
      </c>
      <c r="AL919" s="313">
        <f>IFERROR(IF(INDEX([1]Pivot!$BF$1:$CG$65000,$B919,AL$5)=1,1,IF(INDEX([1]Pivot!$B$1:$AB$65000,$B919,AL$5)="",2,0)),0)</f>
        <v>0</v>
      </c>
      <c r="AM919" s="313">
        <f>IFERROR(IF(INDEX([1]Pivot!$BF$1:$CG$65000,$B919,AM$5)=1,1,IF(INDEX([1]Pivot!$B$1:$AB$65000,$B919,AM$5)="",2,0)),0)</f>
        <v>0</v>
      </c>
      <c r="AN919" s="313">
        <f>IFERROR(IF(INDEX([1]Pivot!$BF$1:$CG$65000,$B919,AN$5)=1,1,IF(INDEX([1]Pivot!$B$1:$AB$65000,$B919,AN$5)="",2,0)),0)</f>
        <v>0</v>
      </c>
      <c r="AO919" s="313">
        <f>IFERROR(IF(INDEX([1]Pivot!$BF$1:$CG$65000,$B919,AO$5)=1,1,IF(INDEX([1]Pivot!$B$1:$AB$65000,$B919,AO$5)="",2,0)),0)</f>
        <v>0</v>
      </c>
      <c r="AP919" s="313">
        <f>IFERROR(IF(INDEX([1]Pivot!$BF$1:$CG$65000,$B919,AP$5)=1,1,IF(INDEX([1]Pivot!$B$1:$AB$65000,$B919,AP$5)="",2,0)),0)</f>
        <v>0</v>
      </c>
      <c r="AQ919" s="313">
        <f>IFERROR(IF(INDEX([1]Pivot!$BF$1:$CG$65000,$B919,AQ$5)=1,1,IF(INDEX([1]Pivot!$B$1:$AB$65000,$B919,AQ$5)="",2,0)),0)</f>
        <v>0</v>
      </c>
      <c r="AR919" s="313">
        <f>IFERROR(IF(INDEX([1]Pivot!$BF$1:$CG$65000,$B919,AR$5)=1,1,IF(INDEX([1]Pivot!$B$1:$AB$65000,$B919,AR$5)="",2,0)),0)</f>
        <v>0</v>
      </c>
      <c r="AS919" s="312"/>
      <c r="AT919" s="313">
        <f>IFERROR(IF(INDEX([1]Pivot!$BF$1:$CG$65000,$B919,AT$5)=1,1,IF(INDEX([1]Pivot!$B$1:$AB$65000,$B919,AT$5)="",2,0)),0)</f>
        <v>0</v>
      </c>
      <c r="AU919" s="313">
        <f>IFERROR(IF(INDEX([1]Pivot!$BF$1:$CG$65000,$B919,AU$5)=1,1,IF(INDEX([1]Pivot!$B$1:$AB$65000,$B919,AU$5)="",2,0)),0)</f>
        <v>0</v>
      </c>
      <c r="AV919" s="313">
        <f>IFERROR(IF(INDEX([1]Pivot!$BF$1:$CG$65000,$B919,AV$5)=1,1,IF(INDEX([1]Pivot!$B$1:$AB$65000,$B919,AV$5)="",2,0)),0)</f>
        <v>0</v>
      </c>
      <c r="AW919" s="313">
        <f>IFERROR(IF(INDEX([1]Pivot!$BF$1:$CG$65000,$B919,AW$5)=1,1,IF(INDEX([1]Pivot!$B$1:$AB$65000,$B919,AW$5)="",2,0)),0)</f>
        <v>0</v>
      </c>
      <c r="AX919" s="313">
        <f>IFERROR(IF(INDEX([1]Pivot!$BF$1:$CG$65000,$B919,AX$5)=1,1,IF(INDEX([1]Pivot!$B$1:$AB$65000,$B919,AX$5)="",2,0)),0)</f>
        <v>0</v>
      </c>
      <c r="AY919" s="313">
        <f>IFERROR(IF(INDEX([1]Pivot!$BF$1:$CG$65000,$B919,AY$5)=1,1,IF(INDEX([1]Pivot!$B$1:$AB$65000,$B919,AY$5)="",2,0)),0)</f>
        <v>0</v>
      </c>
      <c r="AZ919" s="313">
        <f>IFERROR(IF(INDEX([1]Pivot!$BF$1:$CG$65000,$B919,AZ$5)=1,1,IF(INDEX([1]Pivot!$B$1:$AB$65000,$B919,AZ$5)="",2,0)),0)</f>
        <v>0</v>
      </c>
      <c r="BA919" s="313">
        <f>IFERROR(IF(INDEX([1]Pivot!$BF$1:$CG$65000,$B919,BA$5)=1,1,IF(INDEX([1]Pivot!$B$1:$AB$65000,$B919,BA$5)="",2,0)),0)</f>
        <v>0</v>
      </c>
      <c r="BB919" s="313">
        <f>IFERROR(IF(INDEX([1]Pivot!$BF$1:$CG$65000,$B919,BB$5)=1,1,IF(INDEX([1]Pivot!$B$1:$AB$65000,$B919,BB$5)="",2,0)),0)</f>
        <v>0</v>
      </c>
      <c r="BC919" s="313">
        <f>IFERROR(IF(INDEX([1]Pivot!$BF$1:$CG$65000,$B919,BC$5)=1,1,IF(INDEX([1]Pivot!$B$1:$AB$65000,$B919,BC$5)="",2,0)),0)</f>
        <v>0</v>
      </c>
      <c r="BD919" s="313">
        <f>IFERROR(IF(INDEX([1]Pivot!$BF$1:$CG$65000,$B919,BD$5)=1,1,IF(INDEX([1]Pivot!$B$1:$AB$65000,$B919,BD$5)="",2,0)),0)</f>
        <v>0</v>
      </c>
    </row>
    <row r="920" spans="1:56" x14ac:dyDescent="0.25">
      <c r="A920" s="288">
        <f>'[2]Raw Milk Prices'!A920</f>
        <v>0</v>
      </c>
      <c r="B920" s="296" t="e">
        <f>MATCH(DATE(LEFT('[2]Raw Milk Prices'!$A920,4),RIGHT('[2]Raw Milk Prices'!$A920,2),1),[1]Pivot!$A$1:$A$65000,0)</f>
        <v>#VALUE!</v>
      </c>
      <c r="C920" s="194">
        <f>IFERROR(IF(INDEX([1]Pivot!$AD$1:$BE$65000,$B920,C$5)=1,1,IF(INDEX([1]Pivot!$B$1:$AB$65000,$B920,C$5)="",2,0)),0)</f>
        <v>0</v>
      </c>
      <c r="D920" s="194">
        <f>IFERROR(IF(INDEX([1]Pivot!$AD$1:$BE$65000,$B920,D$5)=1,1,IF(INDEX([1]Pivot!$B$1:$AB$65000,$B920,D$5)="",2,0)),0)</f>
        <v>0</v>
      </c>
      <c r="E920" s="194">
        <f>IFERROR(IF(INDEX([1]Pivot!$AD$1:$BE$65000,$B920,E$5)=1,1,IF(INDEX([1]Pivot!$B$1:$AB$65000,$B920,E$5)="",2,0)),0)</f>
        <v>0</v>
      </c>
      <c r="F920" s="194">
        <f>IFERROR(IF(INDEX([1]Pivot!$AD$1:$BE$65000,$B920,F$5)=1,1,IF(INDEX([1]Pivot!$B$1:$AB$65000,$B920,F$5)="",2,0)),0)</f>
        <v>0</v>
      </c>
      <c r="G920" s="194">
        <f>IFERROR(IF(INDEX([1]Pivot!$AD$1:$BE$65000,$B920,G$5)=1,1,IF(INDEX([1]Pivot!$B$1:$AB$65000,$B920,G$5)="",2,0)),0)</f>
        <v>0</v>
      </c>
      <c r="H920" s="194">
        <f>IFERROR(IF(INDEX([1]Pivot!$AD$1:$BE$65000,$B920,H$5)=1,1,IF(INDEX([1]Pivot!$B$1:$AB$65000,$B920,H$5)="",2,0)),0)</f>
        <v>0</v>
      </c>
      <c r="I920" s="194">
        <f>IFERROR(IF(INDEX([1]Pivot!$AD$1:$BE$65000,$B920,I$5)=1,1,IF(INDEX([1]Pivot!$B$1:$AB$65000,$B920,I$5)="",2,0)),0)</f>
        <v>0</v>
      </c>
      <c r="J920" s="194">
        <f>IFERROR(IF(INDEX([1]Pivot!$AD$1:$BE$65000,$B920,J$5)=1,1,IF(INDEX([1]Pivot!$B$1:$AB$65000,$B920,J$5)="",2,0)),0)</f>
        <v>0</v>
      </c>
      <c r="K920" s="194">
        <f>IFERROR(IF(INDEX([1]Pivot!$AD$1:$BE$65000,$B920,K$5)=1,1,IF(INDEX([1]Pivot!$B$1:$AB$65000,$B920,K$5)="",2,0)),0)</f>
        <v>0</v>
      </c>
      <c r="L920" s="194">
        <f>IFERROR(IF(INDEX([1]Pivot!$AD$1:$BE$65000,$B920,L$5)=1,1,IF(INDEX([1]Pivot!$B$1:$AB$65000,$B920,L$5)="",2,0)),0)</f>
        <v>0</v>
      </c>
      <c r="M920" s="194">
        <f>IFERROR(IF(INDEX([1]Pivot!$AD$1:$BE$65000,$B920,M$5)=1,1,IF(INDEX([1]Pivot!$B$1:$AB$65000,$B920,M$5)="",2,0)),0)</f>
        <v>0</v>
      </c>
      <c r="N920" s="194">
        <f>IFERROR(IF(INDEX([1]Pivot!$AD$1:$BE$65000,$B920,N$5)=1,1,IF(INDEX([1]Pivot!$B$1:$AB$65000,$B920,N$5)="",2,0)),0)</f>
        <v>0</v>
      </c>
      <c r="O920" s="194">
        <f>IFERROR(IF(INDEX([1]Pivot!$AD$1:$BE$65000,$B920,O$5)=1,1,IF(INDEX([1]Pivot!$B$1:$AB$65000,$B920,O$5)="",2,0)),0)</f>
        <v>0</v>
      </c>
      <c r="P920" s="194">
        <f>IFERROR(IF(INDEX([1]Pivot!$AD$1:$BE$65000,$B920,P$5)=1,1,IF(INDEX([1]Pivot!$B$1:$AB$65000,$B920,P$5)="",2,0)),0)</f>
        <v>0</v>
      </c>
      <c r="Q920" s="194">
        <f>IFERROR(IF(INDEX([1]Pivot!$AD$1:$BE$65000,$B920,Q$5)=1,1,IF(INDEX([1]Pivot!$B$1:$AB$65000,$B920,Q$5)="",2,0)),0)</f>
        <v>0</v>
      </c>
      <c r="R920" s="312"/>
      <c r="S920" s="194">
        <f>IFERROR(IF(INDEX([1]Pivot!$AD$1:$BE$65000,$B920,S$5)=1,1,IF(INDEX([1]Pivot!$B$1:$AB$65000,$B920,S$5)="",2,0)),0)</f>
        <v>0</v>
      </c>
      <c r="T920" s="194">
        <f>IFERROR(IF(INDEX([1]Pivot!$AD$1:$BE$65000,$B920,T$5)=1,1,IF(INDEX([1]Pivot!$B$1:$AB$65000,$B920,T$5)="",2,0)),0)</f>
        <v>0</v>
      </c>
      <c r="U920" s="194">
        <f>IFERROR(IF(INDEX([1]Pivot!$AD$1:$BE$65000,$B920,U$5)=1,1,IF(INDEX([1]Pivot!$B$1:$AB$65000,$B920,U$5)="",2,0)),0)</f>
        <v>0</v>
      </c>
      <c r="V920" s="194">
        <f>IFERROR(IF(INDEX([1]Pivot!$AD$1:$BE$65000,$B920,V$5)=1,1,IF(INDEX([1]Pivot!$B$1:$AB$65000,$B920,V$5)="",2,0)),0)</f>
        <v>0</v>
      </c>
      <c r="W920" s="194">
        <f>IFERROR(IF(INDEX([1]Pivot!$AD$1:$BE$65000,$B920,W$5)=1,1,IF(INDEX([1]Pivot!$B$1:$AB$65000,$B920,W$5)="",2,0)),0)</f>
        <v>0</v>
      </c>
      <c r="X920" s="194">
        <f>IFERROR(IF(INDEX([1]Pivot!$AD$1:$BE$65000,$B920,X$5)=1,1,IF(INDEX([1]Pivot!$B$1:$AB$65000,$B920,X$5)="",2,0)),0)</f>
        <v>0</v>
      </c>
      <c r="Y920" s="194">
        <f>IFERROR(IF(INDEX([1]Pivot!$AD$1:$BE$65000,$B920,Y$5)=1,1,IF(INDEX([1]Pivot!$B$1:$AB$65000,$B920,Y$5)="",2,0)),0)</f>
        <v>0</v>
      </c>
      <c r="Z920" s="194">
        <f>IFERROR(IF(INDEX([1]Pivot!$AD$1:$BE$65000,$B920,Z$5)=1,1,IF(INDEX([1]Pivot!$B$1:$AB$65000,$B920,Z$5)="",2,0)),0)</f>
        <v>0</v>
      </c>
      <c r="AA920" s="194">
        <f>IFERROR(IF(INDEX([1]Pivot!$AD$1:$BE$65000,$B920,AA$5)=1,1,IF(INDEX([1]Pivot!$B$1:$AB$65000,$B920,AA$5)="",2,0)),0)</f>
        <v>0</v>
      </c>
      <c r="AB920" s="194">
        <f>IFERROR(IF(INDEX([1]Pivot!$AD$1:$BE$65000,$B920,AB$5)=1,1,IF(INDEX([1]Pivot!$B$1:$AB$65000,$B920,AB$5)="",2,0)),0)</f>
        <v>0</v>
      </c>
      <c r="AC920" s="194">
        <f>IFERROR(IF(INDEX([1]Pivot!$AD$1:$BE$65000,$B920,AC$5)=1,1,IF(INDEX([1]Pivot!$B$1:$AB$65000,$B920,AC$5)="",2,0)),0)</f>
        <v>0</v>
      </c>
      <c r="AD920" s="313">
        <f>IFERROR(IF(INDEX([1]Pivot!$BF$1:$CG$65000,$B920,AD$5)=1,1,IF(INDEX([1]Pivot!$B$1:$AB$65000,$B920,AD$5)="",2,0)),0)</f>
        <v>0</v>
      </c>
      <c r="AE920" s="313">
        <f>IFERROR(IF(INDEX([1]Pivot!$BF$1:$CG$65000,$B920,AE$5)=1,1,IF(INDEX([1]Pivot!$B$1:$AB$65000,$B920,AE$5)="",2,0)),0)</f>
        <v>0</v>
      </c>
      <c r="AF920" s="313">
        <f>IFERROR(IF(INDEX([1]Pivot!$BF$1:$CG$65000,$B920,AF$5)=1,1,IF(INDEX([1]Pivot!$B$1:$AB$65000,$B920,AF$5)="",2,0)),0)</f>
        <v>0</v>
      </c>
      <c r="AG920" s="313">
        <f>IFERROR(IF(INDEX([1]Pivot!$BF$1:$CG$65000,$B920,AG$5)=1,1,IF(INDEX([1]Pivot!$B$1:$AB$65000,$B920,AG$5)="",2,0)),0)</f>
        <v>0</v>
      </c>
      <c r="AH920" s="313">
        <f>IFERROR(IF(INDEX([1]Pivot!$BF$1:$CG$65000,$B920,AH$5)=1,1,IF(INDEX([1]Pivot!$B$1:$AB$65000,$B920,AH$5)="",2,0)),0)</f>
        <v>0</v>
      </c>
      <c r="AI920" s="313">
        <f>IFERROR(IF(INDEX([1]Pivot!$BF$1:$CG$65000,$B920,AI$5)=1,1,IF(INDEX([1]Pivot!$B$1:$AB$65000,$B920,AI$5)="",2,0)),0)</f>
        <v>0</v>
      </c>
      <c r="AJ920" s="313">
        <f>IFERROR(IF(INDEX([1]Pivot!$BF$1:$CG$65000,$B920,AJ$5)=1,1,IF(INDEX([1]Pivot!$B$1:$AB$65000,$B920,AJ$5)="",2,0)),0)</f>
        <v>0</v>
      </c>
      <c r="AK920" s="313">
        <f>IFERROR(IF(INDEX([1]Pivot!$BF$1:$CG$65000,$B920,AK$5)=1,1,IF(INDEX([1]Pivot!$B$1:$AB$65000,$B920,AK$5)="",2,0)),0)</f>
        <v>0</v>
      </c>
      <c r="AL920" s="313">
        <f>IFERROR(IF(INDEX([1]Pivot!$BF$1:$CG$65000,$B920,AL$5)=1,1,IF(INDEX([1]Pivot!$B$1:$AB$65000,$B920,AL$5)="",2,0)),0)</f>
        <v>0</v>
      </c>
      <c r="AM920" s="313">
        <f>IFERROR(IF(INDEX([1]Pivot!$BF$1:$CG$65000,$B920,AM$5)=1,1,IF(INDEX([1]Pivot!$B$1:$AB$65000,$B920,AM$5)="",2,0)),0)</f>
        <v>0</v>
      </c>
      <c r="AN920" s="313">
        <f>IFERROR(IF(INDEX([1]Pivot!$BF$1:$CG$65000,$B920,AN$5)=1,1,IF(INDEX([1]Pivot!$B$1:$AB$65000,$B920,AN$5)="",2,0)),0)</f>
        <v>0</v>
      </c>
      <c r="AO920" s="313">
        <f>IFERROR(IF(INDEX([1]Pivot!$BF$1:$CG$65000,$B920,AO$5)=1,1,IF(INDEX([1]Pivot!$B$1:$AB$65000,$B920,AO$5)="",2,0)),0)</f>
        <v>0</v>
      </c>
      <c r="AP920" s="313">
        <f>IFERROR(IF(INDEX([1]Pivot!$BF$1:$CG$65000,$B920,AP$5)=1,1,IF(INDEX([1]Pivot!$B$1:$AB$65000,$B920,AP$5)="",2,0)),0)</f>
        <v>0</v>
      </c>
      <c r="AQ920" s="313">
        <f>IFERROR(IF(INDEX([1]Pivot!$BF$1:$CG$65000,$B920,AQ$5)=1,1,IF(INDEX([1]Pivot!$B$1:$AB$65000,$B920,AQ$5)="",2,0)),0)</f>
        <v>0</v>
      </c>
      <c r="AR920" s="313">
        <f>IFERROR(IF(INDEX([1]Pivot!$BF$1:$CG$65000,$B920,AR$5)=1,1,IF(INDEX([1]Pivot!$B$1:$AB$65000,$B920,AR$5)="",2,0)),0)</f>
        <v>0</v>
      </c>
      <c r="AS920" s="312"/>
      <c r="AT920" s="313">
        <f>IFERROR(IF(INDEX([1]Pivot!$BF$1:$CG$65000,$B920,AT$5)=1,1,IF(INDEX([1]Pivot!$B$1:$AB$65000,$B920,AT$5)="",2,0)),0)</f>
        <v>0</v>
      </c>
      <c r="AU920" s="313">
        <f>IFERROR(IF(INDEX([1]Pivot!$BF$1:$CG$65000,$B920,AU$5)=1,1,IF(INDEX([1]Pivot!$B$1:$AB$65000,$B920,AU$5)="",2,0)),0)</f>
        <v>0</v>
      </c>
      <c r="AV920" s="313">
        <f>IFERROR(IF(INDEX([1]Pivot!$BF$1:$CG$65000,$B920,AV$5)=1,1,IF(INDEX([1]Pivot!$B$1:$AB$65000,$B920,AV$5)="",2,0)),0)</f>
        <v>0</v>
      </c>
      <c r="AW920" s="313">
        <f>IFERROR(IF(INDEX([1]Pivot!$BF$1:$CG$65000,$B920,AW$5)=1,1,IF(INDEX([1]Pivot!$B$1:$AB$65000,$B920,AW$5)="",2,0)),0)</f>
        <v>0</v>
      </c>
      <c r="AX920" s="313">
        <f>IFERROR(IF(INDEX([1]Pivot!$BF$1:$CG$65000,$B920,AX$5)=1,1,IF(INDEX([1]Pivot!$B$1:$AB$65000,$B920,AX$5)="",2,0)),0)</f>
        <v>0</v>
      </c>
      <c r="AY920" s="313">
        <f>IFERROR(IF(INDEX([1]Pivot!$BF$1:$CG$65000,$B920,AY$5)=1,1,IF(INDEX([1]Pivot!$B$1:$AB$65000,$B920,AY$5)="",2,0)),0)</f>
        <v>0</v>
      </c>
      <c r="AZ920" s="313">
        <f>IFERROR(IF(INDEX([1]Pivot!$BF$1:$CG$65000,$B920,AZ$5)=1,1,IF(INDEX([1]Pivot!$B$1:$AB$65000,$B920,AZ$5)="",2,0)),0)</f>
        <v>0</v>
      </c>
      <c r="BA920" s="313">
        <f>IFERROR(IF(INDEX([1]Pivot!$BF$1:$CG$65000,$B920,BA$5)=1,1,IF(INDEX([1]Pivot!$B$1:$AB$65000,$B920,BA$5)="",2,0)),0)</f>
        <v>0</v>
      </c>
      <c r="BB920" s="313">
        <f>IFERROR(IF(INDEX([1]Pivot!$BF$1:$CG$65000,$B920,BB$5)=1,1,IF(INDEX([1]Pivot!$B$1:$AB$65000,$B920,BB$5)="",2,0)),0)</f>
        <v>0</v>
      </c>
      <c r="BC920" s="313">
        <f>IFERROR(IF(INDEX([1]Pivot!$BF$1:$CG$65000,$B920,BC$5)=1,1,IF(INDEX([1]Pivot!$B$1:$AB$65000,$B920,BC$5)="",2,0)),0)</f>
        <v>0</v>
      </c>
      <c r="BD920" s="313">
        <f>IFERROR(IF(INDEX([1]Pivot!$BF$1:$CG$65000,$B920,BD$5)=1,1,IF(INDEX([1]Pivot!$B$1:$AB$65000,$B920,BD$5)="",2,0)),0)</f>
        <v>0</v>
      </c>
    </row>
    <row r="921" spans="1:56" x14ac:dyDescent="0.25">
      <c r="A921" s="288">
        <f>'[2]Raw Milk Prices'!A921</f>
        <v>0</v>
      </c>
      <c r="B921" s="296" t="e">
        <f>MATCH(DATE(LEFT('[2]Raw Milk Prices'!$A921,4),RIGHT('[2]Raw Milk Prices'!$A921,2),1),[1]Pivot!$A$1:$A$65000,0)</f>
        <v>#VALUE!</v>
      </c>
      <c r="C921" s="194">
        <f>IFERROR(IF(INDEX([1]Pivot!$AD$1:$BE$65000,$B921,C$5)=1,1,IF(INDEX([1]Pivot!$B$1:$AB$65000,$B921,C$5)="",2,0)),0)</f>
        <v>0</v>
      </c>
      <c r="D921" s="194">
        <f>IFERROR(IF(INDEX([1]Pivot!$AD$1:$BE$65000,$B921,D$5)=1,1,IF(INDEX([1]Pivot!$B$1:$AB$65000,$B921,D$5)="",2,0)),0)</f>
        <v>0</v>
      </c>
      <c r="E921" s="194">
        <f>IFERROR(IF(INDEX([1]Pivot!$AD$1:$BE$65000,$B921,E$5)=1,1,IF(INDEX([1]Pivot!$B$1:$AB$65000,$B921,E$5)="",2,0)),0)</f>
        <v>0</v>
      </c>
      <c r="F921" s="194">
        <f>IFERROR(IF(INDEX([1]Pivot!$AD$1:$BE$65000,$B921,F$5)=1,1,IF(INDEX([1]Pivot!$B$1:$AB$65000,$B921,F$5)="",2,0)),0)</f>
        <v>0</v>
      </c>
      <c r="G921" s="194">
        <f>IFERROR(IF(INDEX([1]Pivot!$AD$1:$BE$65000,$B921,G$5)=1,1,IF(INDEX([1]Pivot!$B$1:$AB$65000,$B921,G$5)="",2,0)),0)</f>
        <v>0</v>
      </c>
      <c r="H921" s="194">
        <f>IFERROR(IF(INDEX([1]Pivot!$AD$1:$BE$65000,$B921,H$5)=1,1,IF(INDEX([1]Pivot!$B$1:$AB$65000,$B921,H$5)="",2,0)),0)</f>
        <v>0</v>
      </c>
      <c r="I921" s="194">
        <f>IFERROR(IF(INDEX([1]Pivot!$AD$1:$BE$65000,$B921,I$5)=1,1,IF(INDEX([1]Pivot!$B$1:$AB$65000,$B921,I$5)="",2,0)),0)</f>
        <v>0</v>
      </c>
      <c r="J921" s="194">
        <f>IFERROR(IF(INDEX([1]Pivot!$AD$1:$BE$65000,$B921,J$5)=1,1,IF(INDEX([1]Pivot!$B$1:$AB$65000,$B921,J$5)="",2,0)),0)</f>
        <v>0</v>
      </c>
      <c r="K921" s="194">
        <f>IFERROR(IF(INDEX([1]Pivot!$AD$1:$BE$65000,$B921,K$5)=1,1,IF(INDEX([1]Pivot!$B$1:$AB$65000,$B921,K$5)="",2,0)),0)</f>
        <v>0</v>
      </c>
      <c r="L921" s="194">
        <f>IFERROR(IF(INDEX([1]Pivot!$AD$1:$BE$65000,$B921,L$5)=1,1,IF(INDEX([1]Pivot!$B$1:$AB$65000,$B921,L$5)="",2,0)),0)</f>
        <v>0</v>
      </c>
      <c r="M921" s="194">
        <f>IFERROR(IF(INDEX([1]Pivot!$AD$1:$BE$65000,$B921,M$5)=1,1,IF(INDEX([1]Pivot!$B$1:$AB$65000,$B921,M$5)="",2,0)),0)</f>
        <v>0</v>
      </c>
      <c r="N921" s="194">
        <f>IFERROR(IF(INDEX([1]Pivot!$AD$1:$BE$65000,$B921,N$5)=1,1,IF(INDEX([1]Pivot!$B$1:$AB$65000,$B921,N$5)="",2,0)),0)</f>
        <v>0</v>
      </c>
      <c r="O921" s="194">
        <f>IFERROR(IF(INDEX([1]Pivot!$AD$1:$BE$65000,$B921,O$5)=1,1,IF(INDEX([1]Pivot!$B$1:$AB$65000,$B921,O$5)="",2,0)),0)</f>
        <v>0</v>
      </c>
      <c r="P921" s="194">
        <f>IFERROR(IF(INDEX([1]Pivot!$AD$1:$BE$65000,$B921,P$5)=1,1,IF(INDEX([1]Pivot!$B$1:$AB$65000,$B921,P$5)="",2,0)),0)</f>
        <v>0</v>
      </c>
      <c r="Q921" s="194">
        <f>IFERROR(IF(INDEX([1]Pivot!$AD$1:$BE$65000,$B921,Q$5)=1,1,IF(INDEX([1]Pivot!$B$1:$AB$65000,$B921,Q$5)="",2,0)),0)</f>
        <v>0</v>
      </c>
      <c r="R921" s="312"/>
      <c r="S921" s="194">
        <f>IFERROR(IF(INDEX([1]Pivot!$AD$1:$BE$65000,$B921,S$5)=1,1,IF(INDEX([1]Pivot!$B$1:$AB$65000,$B921,S$5)="",2,0)),0)</f>
        <v>0</v>
      </c>
      <c r="T921" s="194">
        <f>IFERROR(IF(INDEX([1]Pivot!$AD$1:$BE$65000,$B921,T$5)=1,1,IF(INDEX([1]Pivot!$B$1:$AB$65000,$B921,T$5)="",2,0)),0)</f>
        <v>0</v>
      </c>
      <c r="U921" s="194">
        <f>IFERROR(IF(INDEX([1]Pivot!$AD$1:$BE$65000,$B921,U$5)=1,1,IF(INDEX([1]Pivot!$B$1:$AB$65000,$B921,U$5)="",2,0)),0)</f>
        <v>0</v>
      </c>
      <c r="V921" s="194">
        <f>IFERROR(IF(INDEX([1]Pivot!$AD$1:$BE$65000,$B921,V$5)=1,1,IF(INDEX([1]Pivot!$B$1:$AB$65000,$B921,V$5)="",2,0)),0)</f>
        <v>0</v>
      </c>
      <c r="W921" s="194">
        <f>IFERROR(IF(INDEX([1]Pivot!$AD$1:$BE$65000,$B921,W$5)=1,1,IF(INDEX([1]Pivot!$B$1:$AB$65000,$B921,W$5)="",2,0)),0)</f>
        <v>0</v>
      </c>
      <c r="X921" s="194">
        <f>IFERROR(IF(INDEX([1]Pivot!$AD$1:$BE$65000,$B921,X$5)=1,1,IF(INDEX([1]Pivot!$B$1:$AB$65000,$B921,X$5)="",2,0)),0)</f>
        <v>0</v>
      </c>
      <c r="Y921" s="194">
        <f>IFERROR(IF(INDEX([1]Pivot!$AD$1:$BE$65000,$B921,Y$5)=1,1,IF(INDEX([1]Pivot!$B$1:$AB$65000,$B921,Y$5)="",2,0)),0)</f>
        <v>0</v>
      </c>
      <c r="Z921" s="194">
        <f>IFERROR(IF(INDEX([1]Pivot!$AD$1:$BE$65000,$B921,Z$5)=1,1,IF(INDEX([1]Pivot!$B$1:$AB$65000,$B921,Z$5)="",2,0)),0)</f>
        <v>0</v>
      </c>
      <c r="AA921" s="194">
        <f>IFERROR(IF(INDEX([1]Pivot!$AD$1:$BE$65000,$B921,AA$5)=1,1,IF(INDEX([1]Pivot!$B$1:$AB$65000,$B921,AA$5)="",2,0)),0)</f>
        <v>0</v>
      </c>
      <c r="AB921" s="194">
        <f>IFERROR(IF(INDEX([1]Pivot!$AD$1:$BE$65000,$B921,AB$5)=1,1,IF(INDEX([1]Pivot!$B$1:$AB$65000,$B921,AB$5)="",2,0)),0)</f>
        <v>0</v>
      </c>
      <c r="AC921" s="194">
        <f>IFERROR(IF(INDEX([1]Pivot!$AD$1:$BE$65000,$B921,AC$5)=1,1,IF(INDEX([1]Pivot!$B$1:$AB$65000,$B921,AC$5)="",2,0)),0)</f>
        <v>0</v>
      </c>
      <c r="AD921" s="313">
        <f>IFERROR(IF(INDEX([1]Pivot!$BF$1:$CG$65000,$B921,AD$5)=1,1,IF(INDEX([1]Pivot!$B$1:$AB$65000,$B921,AD$5)="",2,0)),0)</f>
        <v>0</v>
      </c>
      <c r="AE921" s="313">
        <f>IFERROR(IF(INDEX([1]Pivot!$BF$1:$CG$65000,$B921,AE$5)=1,1,IF(INDEX([1]Pivot!$B$1:$AB$65000,$B921,AE$5)="",2,0)),0)</f>
        <v>0</v>
      </c>
      <c r="AF921" s="313">
        <f>IFERROR(IF(INDEX([1]Pivot!$BF$1:$CG$65000,$B921,AF$5)=1,1,IF(INDEX([1]Pivot!$B$1:$AB$65000,$B921,AF$5)="",2,0)),0)</f>
        <v>0</v>
      </c>
      <c r="AG921" s="313">
        <f>IFERROR(IF(INDEX([1]Pivot!$BF$1:$CG$65000,$B921,AG$5)=1,1,IF(INDEX([1]Pivot!$B$1:$AB$65000,$B921,AG$5)="",2,0)),0)</f>
        <v>0</v>
      </c>
      <c r="AH921" s="313">
        <f>IFERROR(IF(INDEX([1]Pivot!$BF$1:$CG$65000,$B921,AH$5)=1,1,IF(INDEX([1]Pivot!$B$1:$AB$65000,$B921,AH$5)="",2,0)),0)</f>
        <v>0</v>
      </c>
      <c r="AI921" s="313">
        <f>IFERROR(IF(INDEX([1]Pivot!$BF$1:$CG$65000,$B921,AI$5)=1,1,IF(INDEX([1]Pivot!$B$1:$AB$65000,$B921,AI$5)="",2,0)),0)</f>
        <v>0</v>
      </c>
      <c r="AJ921" s="313">
        <f>IFERROR(IF(INDEX([1]Pivot!$BF$1:$CG$65000,$B921,AJ$5)=1,1,IF(INDEX([1]Pivot!$B$1:$AB$65000,$B921,AJ$5)="",2,0)),0)</f>
        <v>0</v>
      </c>
      <c r="AK921" s="313">
        <f>IFERROR(IF(INDEX([1]Pivot!$BF$1:$CG$65000,$B921,AK$5)=1,1,IF(INDEX([1]Pivot!$B$1:$AB$65000,$B921,AK$5)="",2,0)),0)</f>
        <v>0</v>
      </c>
      <c r="AL921" s="313">
        <f>IFERROR(IF(INDEX([1]Pivot!$BF$1:$CG$65000,$B921,AL$5)=1,1,IF(INDEX([1]Pivot!$B$1:$AB$65000,$B921,AL$5)="",2,0)),0)</f>
        <v>0</v>
      </c>
      <c r="AM921" s="313">
        <f>IFERROR(IF(INDEX([1]Pivot!$BF$1:$CG$65000,$B921,AM$5)=1,1,IF(INDEX([1]Pivot!$B$1:$AB$65000,$B921,AM$5)="",2,0)),0)</f>
        <v>0</v>
      </c>
      <c r="AN921" s="313">
        <f>IFERROR(IF(INDEX([1]Pivot!$BF$1:$CG$65000,$B921,AN$5)=1,1,IF(INDEX([1]Pivot!$B$1:$AB$65000,$B921,AN$5)="",2,0)),0)</f>
        <v>0</v>
      </c>
      <c r="AO921" s="313">
        <f>IFERROR(IF(INDEX([1]Pivot!$BF$1:$CG$65000,$B921,AO$5)=1,1,IF(INDEX([1]Pivot!$B$1:$AB$65000,$B921,AO$5)="",2,0)),0)</f>
        <v>0</v>
      </c>
      <c r="AP921" s="313">
        <f>IFERROR(IF(INDEX([1]Pivot!$BF$1:$CG$65000,$B921,AP$5)=1,1,IF(INDEX([1]Pivot!$B$1:$AB$65000,$B921,AP$5)="",2,0)),0)</f>
        <v>0</v>
      </c>
      <c r="AQ921" s="313">
        <f>IFERROR(IF(INDEX([1]Pivot!$BF$1:$CG$65000,$B921,AQ$5)=1,1,IF(INDEX([1]Pivot!$B$1:$AB$65000,$B921,AQ$5)="",2,0)),0)</f>
        <v>0</v>
      </c>
      <c r="AR921" s="313">
        <f>IFERROR(IF(INDEX([1]Pivot!$BF$1:$CG$65000,$B921,AR$5)=1,1,IF(INDEX([1]Pivot!$B$1:$AB$65000,$B921,AR$5)="",2,0)),0)</f>
        <v>0</v>
      </c>
      <c r="AS921" s="312"/>
      <c r="AT921" s="313">
        <f>IFERROR(IF(INDEX([1]Pivot!$BF$1:$CG$65000,$B921,AT$5)=1,1,IF(INDEX([1]Pivot!$B$1:$AB$65000,$B921,AT$5)="",2,0)),0)</f>
        <v>0</v>
      </c>
      <c r="AU921" s="313">
        <f>IFERROR(IF(INDEX([1]Pivot!$BF$1:$CG$65000,$B921,AU$5)=1,1,IF(INDEX([1]Pivot!$B$1:$AB$65000,$B921,AU$5)="",2,0)),0)</f>
        <v>0</v>
      </c>
      <c r="AV921" s="313">
        <f>IFERROR(IF(INDEX([1]Pivot!$BF$1:$CG$65000,$B921,AV$5)=1,1,IF(INDEX([1]Pivot!$B$1:$AB$65000,$B921,AV$5)="",2,0)),0)</f>
        <v>0</v>
      </c>
      <c r="AW921" s="313">
        <f>IFERROR(IF(INDEX([1]Pivot!$BF$1:$CG$65000,$B921,AW$5)=1,1,IF(INDEX([1]Pivot!$B$1:$AB$65000,$B921,AW$5)="",2,0)),0)</f>
        <v>0</v>
      </c>
      <c r="AX921" s="313">
        <f>IFERROR(IF(INDEX([1]Pivot!$BF$1:$CG$65000,$B921,AX$5)=1,1,IF(INDEX([1]Pivot!$B$1:$AB$65000,$B921,AX$5)="",2,0)),0)</f>
        <v>0</v>
      </c>
      <c r="AY921" s="313">
        <f>IFERROR(IF(INDEX([1]Pivot!$BF$1:$CG$65000,$B921,AY$5)=1,1,IF(INDEX([1]Pivot!$B$1:$AB$65000,$B921,AY$5)="",2,0)),0)</f>
        <v>0</v>
      </c>
      <c r="AZ921" s="313">
        <f>IFERROR(IF(INDEX([1]Pivot!$BF$1:$CG$65000,$B921,AZ$5)=1,1,IF(INDEX([1]Pivot!$B$1:$AB$65000,$B921,AZ$5)="",2,0)),0)</f>
        <v>0</v>
      </c>
      <c r="BA921" s="313">
        <f>IFERROR(IF(INDEX([1]Pivot!$BF$1:$CG$65000,$B921,BA$5)=1,1,IF(INDEX([1]Pivot!$B$1:$AB$65000,$B921,BA$5)="",2,0)),0)</f>
        <v>0</v>
      </c>
      <c r="BB921" s="313">
        <f>IFERROR(IF(INDEX([1]Pivot!$BF$1:$CG$65000,$B921,BB$5)=1,1,IF(INDEX([1]Pivot!$B$1:$AB$65000,$B921,BB$5)="",2,0)),0)</f>
        <v>0</v>
      </c>
      <c r="BC921" s="313">
        <f>IFERROR(IF(INDEX([1]Pivot!$BF$1:$CG$65000,$B921,BC$5)=1,1,IF(INDEX([1]Pivot!$B$1:$AB$65000,$B921,BC$5)="",2,0)),0)</f>
        <v>0</v>
      </c>
      <c r="BD921" s="313">
        <f>IFERROR(IF(INDEX([1]Pivot!$BF$1:$CG$65000,$B921,BD$5)=1,1,IF(INDEX([1]Pivot!$B$1:$AB$65000,$B921,BD$5)="",2,0)),0)</f>
        <v>0</v>
      </c>
    </row>
    <row r="922" spans="1:56" x14ac:dyDescent="0.25">
      <c r="A922" s="288">
        <f>'[2]Raw Milk Prices'!A922</f>
        <v>0</v>
      </c>
      <c r="B922" s="296" t="e">
        <f>MATCH(DATE(LEFT('[2]Raw Milk Prices'!$A922,4),RIGHT('[2]Raw Milk Prices'!$A922,2),1),[1]Pivot!$A$1:$A$65000,0)</f>
        <v>#VALUE!</v>
      </c>
      <c r="C922" s="194">
        <f>IFERROR(IF(INDEX([1]Pivot!$AD$1:$BE$65000,$B922,C$5)=1,1,IF(INDEX([1]Pivot!$B$1:$AB$65000,$B922,C$5)="",2,0)),0)</f>
        <v>0</v>
      </c>
      <c r="D922" s="194">
        <f>IFERROR(IF(INDEX([1]Pivot!$AD$1:$BE$65000,$B922,D$5)=1,1,IF(INDEX([1]Pivot!$B$1:$AB$65000,$B922,D$5)="",2,0)),0)</f>
        <v>0</v>
      </c>
      <c r="E922" s="194">
        <f>IFERROR(IF(INDEX([1]Pivot!$AD$1:$BE$65000,$B922,E$5)=1,1,IF(INDEX([1]Pivot!$B$1:$AB$65000,$B922,E$5)="",2,0)),0)</f>
        <v>0</v>
      </c>
      <c r="F922" s="194">
        <f>IFERROR(IF(INDEX([1]Pivot!$AD$1:$BE$65000,$B922,F$5)=1,1,IF(INDEX([1]Pivot!$B$1:$AB$65000,$B922,F$5)="",2,0)),0)</f>
        <v>0</v>
      </c>
      <c r="G922" s="194">
        <f>IFERROR(IF(INDEX([1]Pivot!$AD$1:$BE$65000,$B922,G$5)=1,1,IF(INDEX([1]Pivot!$B$1:$AB$65000,$B922,G$5)="",2,0)),0)</f>
        <v>0</v>
      </c>
      <c r="H922" s="194">
        <f>IFERROR(IF(INDEX([1]Pivot!$AD$1:$BE$65000,$B922,H$5)=1,1,IF(INDEX([1]Pivot!$B$1:$AB$65000,$B922,H$5)="",2,0)),0)</f>
        <v>0</v>
      </c>
      <c r="I922" s="194">
        <f>IFERROR(IF(INDEX([1]Pivot!$AD$1:$BE$65000,$B922,I$5)=1,1,IF(INDEX([1]Pivot!$B$1:$AB$65000,$B922,I$5)="",2,0)),0)</f>
        <v>0</v>
      </c>
      <c r="J922" s="194">
        <f>IFERROR(IF(INDEX([1]Pivot!$AD$1:$BE$65000,$B922,J$5)=1,1,IF(INDEX([1]Pivot!$B$1:$AB$65000,$B922,J$5)="",2,0)),0)</f>
        <v>0</v>
      </c>
      <c r="K922" s="194">
        <f>IFERROR(IF(INDEX([1]Pivot!$AD$1:$BE$65000,$B922,K$5)=1,1,IF(INDEX([1]Pivot!$B$1:$AB$65000,$B922,K$5)="",2,0)),0)</f>
        <v>0</v>
      </c>
      <c r="L922" s="194">
        <f>IFERROR(IF(INDEX([1]Pivot!$AD$1:$BE$65000,$B922,L$5)=1,1,IF(INDEX([1]Pivot!$B$1:$AB$65000,$B922,L$5)="",2,0)),0)</f>
        <v>0</v>
      </c>
      <c r="M922" s="194">
        <f>IFERROR(IF(INDEX([1]Pivot!$AD$1:$BE$65000,$B922,M$5)=1,1,IF(INDEX([1]Pivot!$B$1:$AB$65000,$B922,M$5)="",2,0)),0)</f>
        <v>0</v>
      </c>
      <c r="N922" s="194">
        <f>IFERROR(IF(INDEX([1]Pivot!$AD$1:$BE$65000,$B922,N$5)=1,1,IF(INDEX([1]Pivot!$B$1:$AB$65000,$B922,N$5)="",2,0)),0)</f>
        <v>0</v>
      </c>
      <c r="O922" s="194">
        <f>IFERROR(IF(INDEX([1]Pivot!$AD$1:$BE$65000,$B922,O$5)=1,1,IF(INDEX([1]Pivot!$B$1:$AB$65000,$B922,O$5)="",2,0)),0)</f>
        <v>0</v>
      </c>
      <c r="P922" s="194">
        <f>IFERROR(IF(INDEX([1]Pivot!$AD$1:$BE$65000,$B922,P$5)=1,1,IF(INDEX([1]Pivot!$B$1:$AB$65000,$B922,P$5)="",2,0)),0)</f>
        <v>0</v>
      </c>
      <c r="Q922" s="194">
        <f>IFERROR(IF(INDEX([1]Pivot!$AD$1:$BE$65000,$B922,Q$5)=1,1,IF(INDEX([1]Pivot!$B$1:$AB$65000,$B922,Q$5)="",2,0)),0)</f>
        <v>0</v>
      </c>
      <c r="R922" s="312"/>
      <c r="S922" s="194">
        <f>IFERROR(IF(INDEX([1]Pivot!$AD$1:$BE$65000,$B922,S$5)=1,1,IF(INDEX([1]Pivot!$B$1:$AB$65000,$B922,S$5)="",2,0)),0)</f>
        <v>0</v>
      </c>
      <c r="T922" s="194">
        <f>IFERROR(IF(INDEX([1]Pivot!$AD$1:$BE$65000,$B922,T$5)=1,1,IF(INDEX([1]Pivot!$B$1:$AB$65000,$B922,T$5)="",2,0)),0)</f>
        <v>0</v>
      </c>
      <c r="U922" s="194">
        <f>IFERROR(IF(INDEX([1]Pivot!$AD$1:$BE$65000,$B922,U$5)=1,1,IF(INDEX([1]Pivot!$B$1:$AB$65000,$B922,U$5)="",2,0)),0)</f>
        <v>0</v>
      </c>
      <c r="V922" s="194">
        <f>IFERROR(IF(INDEX([1]Pivot!$AD$1:$BE$65000,$B922,V$5)=1,1,IF(INDEX([1]Pivot!$B$1:$AB$65000,$B922,V$5)="",2,0)),0)</f>
        <v>0</v>
      </c>
      <c r="W922" s="194">
        <f>IFERROR(IF(INDEX([1]Pivot!$AD$1:$BE$65000,$B922,W$5)=1,1,IF(INDEX([1]Pivot!$B$1:$AB$65000,$B922,W$5)="",2,0)),0)</f>
        <v>0</v>
      </c>
      <c r="X922" s="194">
        <f>IFERROR(IF(INDEX([1]Pivot!$AD$1:$BE$65000,$B922,X$5)=1,1,IF(INDEX([1]Pivot!$B$1:$AB$65000,$B922,X$5)="",2,0)),0)</f>
        <v>0</v>
      </c>
      <c r="Y922" s="194">
        <f>IFERROR(IF(INDEX([1]Pivot!$AD$1:$BE$65000,$B922,Y$5)=1,1,IF(INDEX([1]Pivot!$B$1:$AB$65000,$B922,Y$5)="",2,0)),0)</f>
        <v>0</v>
      </c>
      <c r="Z922" s="194">
        <f>IFERROR(IF(INDEX([1]Pivot!$AD$1:$BE$65000,$B922,Z$5)=1,1,IF(INDEX([1]Pivot!$B$1:$AB$65000,$B922,Z$5)="",2,0)),0)</f>
        <v>0</v>
      </c>
      <c r="AA922" s="194">
        <f>IFERROR(IF(INDEX([1]Pivot!$AD$1:$BE$65000,$B922,AA$5)=1,1,IF(INDEX([1]Pivot!$B$1:$AB$65000,$B922,AA$5)="",2,0)),0)</f>
        <v>0</v>
      </c>
      <c r="AB922" s="194">
        <f>IFERROR(IF(INDEX([1]Pivot!$AD$1:$BE$65000,$B922,AB$5)=1,1,IF(INDEX([1]Pivot!$B$1:$AB$65000,$B922,AB$5)="",2,0)),0)</f>
        <v>0</v>
      </c>
      <c r="AC922" s="194">
        <f>IFERROR(IF(INDEX([1]Pivot!$AD$1:$BE$65000,$B922,AC$5)=1,1,IF(INDEX([1]Pivot!$B$1:$AB$65000,$B922,AC$5)="",2,0)),0)</f>
        <v>0</v>
      </c>
      <c r="AD922" s="313">
        <f>IFERROR(IF(INDEX([1]Pivot!$BF$1:$CG$65000,$B922,AD$5)=1,1,IF(INDEX([1]Pivot!$B$1:$AB$65000,$B922,AD$5)="",2,0)),0)</f>
        <v>0</v>
      </c>
      <c r="AE922" s="313">
        <f>IFERROR(IF(INDEX([1]Pivot!$BF$1:$CG$65000,$B922,AE$5)=1,1,IF(INDEX([1]Pivot!$B$1:$AB$65000,$B922,AE$5)="",2,0)),0)</f>
        <v>0</v>
      </c>
      <c r="AF922" s="313">
        <f>IFERROR(IF(INDEX([1]Pivot!$BF$1:$CG$65000,$B922,AF$5)=1,1,IF(INDEX([1]Pivot!$B$1:$AB$65000,$B922,AF$5)="",2,0)),0)</f>
        <v>0</v>
      </c>
      <c r="AG922" s="313">
        <f>IFERROR(IF(INDEX([1]Pivot!$BF$1:$CG$65000,$B922,AG$5)=1,1,IF(INDEX([1]Pivot!$B$1:$AB$65000,$B922,AG$5)="",2,0)),0)</f>
        <v>0</v>
      </c>
      <c r="AH922" s="313">
        <f>IFERROR(IF(INDEX([1]Pivot!$BF$1:$CG$65000,$B922,AH$5)=1,1,IF(INDEX([1]Pivot!$B$1:$AB$65000,$B922,AH$5)="",2,0)),0)</f>
        <v>0</v>
      </c>
      <c r="AI922" s="313">
        <f>IFERROR(IF(INDEX([1]Pivot!$BF$1:$CG$65000,$B922,AI$5)=1,1,IF(INDEX([1]Pivot!$B$1:$AB$65000,$B922,AI$5)="",2,0)),0)</f>
        <v>0</v>
      </c>
      <c r="AJ922" s="313">
        <f>IFERROR(IF(INDEX([1]Pivot!$BF$1:$CG$65000,$B922,AJ$5)=1,1,IF(INDEX([1]Pivot!$B$1:$AB$65000,$B922,AJ$5)="",2,0)),0)</f>
        <v>0</v>
      </c>
      <c r="AK922" s="313">
        <f>IFERROR(IF(INDEX([1]Pivot!$BF$1:$CG$65000,$B922,AK$5)=1,1,IF(INDEX([1]Pivot!$B$1:$AB$65000,$B922,AK$5)="",2,0)),0)</f>
        <v>0</v>
      </c>
      <c r="AL922" s="313">
        <f>IFERROR(IF(INDEX([1]Pivot!$BF$1:$CG$65000,$B922,AL$5)=1,1,IF(INDEX([1]Pivot!$B$1:$AB$65000,$B922,AL$5)="",2,0)),0)</f>
        <v>0</v>
      </c>
      <c r="AM922" s="313">
        <f>IFERROR(IF(INDEX([1]Pivot!$BF$1:$CG$65000,$B922,AM$5)=1,1,IF(INDEX([1]Pivot!$B$1:$AB$65000,$B922,AM$5)="",2,0)),0)</f>
        <v>0</v>
      </c>
      <c r="AN922" s="313">
        <f>IFERROR(IF(INDEX([1]Pivot!$BF$1:$CG$65000,$B922,AN$5)=1,1,IF(INDEX([1]Pivot!$B$1:$AB$65000,$B922,AN$5)="",2,0)),0)</f>
        <v>0</v>
      </c>
      <c r="AO922" s="313">
        <f>IFERROR(IF(INDEX([1]Pivot!$BF$1:$CG$65000,$B922,AO$5)=1,1,IF(INDEX([1]Pivot!$B$1:$AB$65000,$B922,AO$5)="",2,0)),0)</f>
        <v>0</v>
      </c>
      <c r="AP922" s="313">
        <f>IFERROR(IF(INDEX([1]Pivot!$BF$1:$CG$65000,$B922,AP$5)=1,1,IF(INDEX([1]Pivot!$B$1:$AB$65000,$B922,AP$5)="",2,0)),0)</f>
        <v>0</v>
      </c>
      <c r="AQ922" s="313">
        <f>IFERROR(IF(INDEX([1]Pivot!$BF$1:$CG$65000,$B922,AQ$5)=1,1,IF(INDEX([1]Pivot!$B$1:$AB$65000,$B922,AQ$5)="",2,0)),0)</f>
        <v>0</v>
      </c>
      <c r="AR922" s="313">
        <f>IFERROR(IF(INDEX([1]Pivot!$BF$1:$CG$65000,$B922,AR$5)=1,1,IF(INDEX([1]Pivot!$B$1:$AB$65000,$B922,AR$5)="",2,0)),0)</f>
        <v>0</v>
      </c>
      <c r="AS922" s="312"/>
      <c r="AT922" s="313">
        <f>IFERROR(IF(INDEX([1]Pivot!$BF$1:$CG$65000,$B922,AT$5)=1,1,IF(INDEX([1]Pivot!$B$1:$AB$65000,$B922,AT$5)="",2,0)),0)</f>
        <v>0</v>
      </c>
      <c r="AU922" s="313">
        <f>IFERROR(IF(INDEX([1]Pivot!$BF$1:$CG$65000,$B922,AU$5)=1,1,IF(INDEX([1]Pivot!$B$1:$AB$65000,$B922,AU$5)="",2,0)),0)</f>
        <v>0</v>
      </c>
      <c r="AV922" s="313">
        <f>IFERROR(IF(INDEX([1]Pivot!$BF$1:$CG$65000,$B922,AV$5)=1,1,IF(INDEX([1]Pivot!$B$1:$AB$65000,$B922,AV$5)="",2,0)),0)</f>
        <v>0</v>
      </c>
      <c r="AW922" s="313">
        <f>IFERROR(IF(INDEX([1]Pivot!$BF$1:$CG$65000,$B922,AW$5)=1,1,IF(INDEX([1]Pivot!$B$1:$AB$65000,$B922,AW$5)="",2,0)),0)</f>
        <v>0</v>
      </c>
      <c r="AX922" s="313">
        <f>IFERROR(IF(INDEX([1]Pivot!$BF$1:$CG$65000,$B922,AX$5)=1,1,IF(INDEX([1]Pivot!$B$1:$AB$65000,$B922,AX$5)="",2,0)),0)</f>
        <v>0</v>
      </c>
      <c r="AY922" s="313">
        <f>IFERROR(IF(INDEX([1]Pivot!$BF$1:$CG$65000,$B922,AY$5)=1,1,IF(INDEX([1]Pivot!$B$1:$AB$65000,$B922,AY$5)="",2,0)),0)</f>
        <v>0</v>
      </c>
      <c r="AZ922" s="313">
        <f>IFERROR(IF(INDEX([1]Pivot!$BF$1:$CG$65000,$B922,AZ$5)=1,1,IF(INDEX([1]Pivot!$B$1:$AB$65000,$B922,AZ$5)="",2,0)),0)</f>
        <v>0</v>
      </c>
      <c r="BA922" s="313">
        <f>IFERROR(IF(INDEX([1]Pivot!$BF$1:$CG$65000,$B922,BA$5)=1,1,IF(INDEX([1]Pivot!$B$1:$AB$65000,$B922,BA$5)="",2,0)),0)</f>
        <v>0</v>
      </c>
      <c r="BB922" s="313">
        <f>IFERROR(IF(INDEX([1]Pivot!$BF$1:$CG$65000,$B922,BB$5)=1,1,IF(INDEX([1]Pivot!$B$1:$AB$65000,$B922,BB$5)="",2,0)),0)</f>
        <v>0</v>
      </c>
      <c r="BC922" s="313">
        <f>IFERROR(IF(INDEX([1]Pivot!$BF$1:$CG$65000,$B922,BC$5)=1,1,IF(INDEX([1]Pivot!$B$1:$AB$65000,$B922,BC$5)="",2,0)),0)</f>
        <v>0</v>
      </c>
      <c r="BD922" s="313">
        <f>IFERROR(IF(INDEX([1]Pivot!$BF$1:$CG$65000,$B922,BD$5)=1,1,IF(INDEX([1]Pivot!$B$1:$AB$65000,$B922,BD$5)="",2,0)),0)</f>
        <v>0</v>
      </c>
    </row>
    <row r="923" spans="1:56" x14ac:dyDescent="0.25">
      <c r="A923" s="288">
        <f>'[2]Raw Milk Prices'!A923</f>
        <v>0</v>
      </c>
      <c r="B923" s="296" t="e">
        <f>MATCH(DATE(LEFT('[2]Raw Milk Prices'!$A923,4),RIGHT('[2]Raw Milk Prices'!$A923,2),1),[1]Pivot!$A$1:$A$65000,0)</f>
        <v>#VALUE!</v>
      </c>
      <c r="C923" s="194">
        <f>IFERROR(IF(INDEX([1]Pivot!$AD$1:$BE$65000,$B923,C$5)=1,1,IF(INDEX([1]Pivot!$B$1:$AB$65000,$B923,C$5)="",2,0)),0)</f>
        <v>0</v>
      </c>
      <c r="D923" s="194">
        <f>IFERROR(IF(INDEX([1]Pivot!$AD$1:$BE$65000,$B923,D$5)=1,1,IF(INDEX([1]Pivot!$B$1:$AB$65000,$B923,D$5)="",2,0)),0)</f>
        <v>0</v>
      </c>
      <c r="E923" s="194">
        <f>IFERROR(IF(INDEX([1]Pivot!$AD$1:$BE$65000,$B923,E$5)=1,1,IF(INDEX([1]Pivot!$B$1:$AB$65000,$B923,E$5)="",2,0)),0)</f>
        <v>0</v>
      </c>
      <c r="F923" s="194">
        <f>IFERROR(IF(INDEX([1]Pivot!$AD$1:$BE$65000,$B923,F$5)=1,1,IF(INDEX([1]Pivot!$B$1:$AB$65000,$B923,F$5)="",2,0)),0)</f>
        <v>0</v>
      </c>
      <c r="G923" s="194">
        <f>IFERROR(IF(INDEX([1]Pivot!$AD$1:$BE$65000,$B923,G$5)=1,1,IF(INDEX([1]Pivot!$B$1:$AB$65000,$B923,G$5)="",2,0)),0)</f>
        <v>0</v>
      </c>
      <c r="H923" s="194">
        <f>IFERROR(IF(INDEX([1]Pivot!$AD$1:$BE$65000,$B923,H$5)=1,1,IF(INDEX([1]Pivot!$B$1:$AB$65000,$B923,H$5)="",2,0)),0)</f>
        <v>0</v>
      </c>
      <c r="I923" s="194">
        <f>IFERROR(IF(INDEX([1]Pivot!$AD$1:$BE$65000,$B923,I$5)=1,1,IF(INDEX([1]Pivot!$B$1:$AB$65000,$B923,I$5)="",2,0)),0)</f>
        <v>0</v>
      </c>
      <c r="J923" s="194">
        <f>IFERROR(IF(INDEX([1]Pivot!$AD$1:$BE$65000,$B923,J$5)=1,1,IF(INDEX([1]Pivot!$B$1:$AB$65000,$B923,J$5)="",2,0)),0)</f>
        <v>0</v>
      </c>
      <c r="K923" s="194">
        <f>IFERROR(IF(INDEX([1]Pivot!$AD$1:$BE$65000,$B923,K$5)=1,1,IF(INDEX([1]Pivot!$B$1:$AB$65000,$B923,K$5)="",2,0)),0)</f>
        <v>0</v>
      </c>
      <c r="L923" s="194">
        <f>IFERROR(IF(INDEX([1]Pivot!$AD$1:$BE$65000,$B923,L$5)=1,1,IF(INDEX([1]Pivot!$B$1:$AB$65000,$B923,L$5)="",2,0)),0)</f>
        <v>0</v>
      </c>
      <c r="M923" s="194">
        <f>IFERROR(IF(INDEX([1]Pivot!$AD$1:$BE$65000,$B923,M$5)=1,1,IF(INDEX([1]Pivot!$B$1:$AB$65000,$B923,M$5)="",2,0)),0)</f>
        <v>0</v>
      </c>
      <c r="N923" s="194">
        <f>IFERROR(IF(INDEX([1]Pivot!$AD$1:$BE$65000,$B923,N$5)=1,1,IF(INDEX([1]Pivot!$B$1:$AB$65000,$B923,N$5)="",2,0)),0)</f>
        <v>0</v>
      </c>
      <c r="O923" s="194">
        <f>IFERROR(IF(INDEX([1]Pivot!$AD$1:$BE$65000,$B923,O$5)=1,1,IF(INDEX([1]Pivot!$B$1:$AB$65000,$B923,O$5)="",2,0)),0)</f>
        <v>0</v>
      </c>
      <c r="P923" s="194">
        <f>IFERROR(IF(INDEX([1]Pivot!$AD$1:$BE$65000,$B923,P$5)=1,1,IF(INDEX([1]Pivot!$B$1:$AB$65000,$B923,P$5)="",2,0)),0)</f>
        <v>0</v>
      </c>
      <c r="Q923" s="194">
        <f>IFERROR(IF(INDEX([1]Pivot!$AD$1:$BE$65000,$B923,Q$5)=1,1,IF(INDEX([1]Pivot!$B$1:$AB$65000,$B923,Q$5)="",2,0)),0)</f>
        <v>0</v>
      </c>
      <c r="R923" s="312"/>
      <c r="S923" s="194">
        <f>IFERROR(IF(INDEX([1]Pivot!$AD$1:$BE$65000,$B923,S$5)=1,1,IF(INDEX([1]Pivot!$B$1:$AB$65000,$B923,S$5)="",2,0)),0)</f>
        <v>0</v>
      </c>
      <c r="T923" s="194">
        <f>IFERROR(IF(INDEX([1]Pivot!$AD$1:$BE$65000,$B923,T$5)=1,1,IF(INDEX([1]Pivot!$B$1:$AB$65000,$B923,T$5)="",2,0)),0)</f>
        <v>0</v>
      </c>
      <c r="U923" s="194">
        <f>IFERROR(IF(INDEX([1]Pivot!$AD$1:$BE$65000,$B923,U$5)=1,1,IF(INDEX([1]Pivot!$B$1:$AB$65000,$B923,U$5)="",2,0)),0)</f>
        <v>0</v>
      </c>
      <c r="V923" s="194">
        <f>IFERROR(IF(INDEX([1]Pivot!$AD$1:$BE$65000,$B923,V$5)=1,1,IF(INDEX([1]Pivot!$B$1:$AB$65000,$B923,V$5)="",2,0)),0)</f>
        <v>0</v>
      </c>
      <c r="W923" s="194">
        <f>IFERROR(IF(INDEX([1]Pivot!$AD$1:$BE$65000,$B923,W$5)=1,1,IF(INDEX([1]Pivot!$B$1:$AB$65000,$B923,W$5)="",2,0)),0)</f>
        <v>0</v>
      </c>
      <c r="X923" s="194">
        <f>IFERROR(IF(INDEX([1]Pivot!$AD$1:$BE$65000,$B923,X$5)=1,1,IF(INDEX([1]Pivot!$B$1:$AB$65000,$B923,X$5)="",2,0)),0)</f>
        <v>0</v>
      </c>
      <c r="Y923" s="194">
        <f>IFERROR(IF(INDEX([1]Pivot!$AD$1:$BE$65000,$B923,Y$5)=1,1,IF(INDEX([1]Pivot!$B$1:$AB$65000,$B923,Y$5)="",2,0)),0)</f>
        <v>0</v>
      </c>
      <c r="Z923" s="194">
        <f>IFERROR(IF(INDEX([1]Pivot!$AD$1:$BE$65000,$B923,Z$5)=1,1,IF(INDEX([1]Pivot!$B$1:$AB$65000,$B923,Z$5)="",2,0)),0)</f>
        <v>0</v>
      </c>
      <c r="AA923" s="194">
        <f>IFERROR(IF(INDEX([1]Pivot!$AD$1:$BE$65000,$B923,AA$5)=1,1,IF(INDEX([1]Pivot!$B$1:$AB$65000,$B923,AA$5)="",2,0)),0)</f>
        <v>0</v>
      </c>
      <c r="AB923" s="194">
        <f>IFERROR(IF(INDEX([1]Pivot!$AD$1:$BE$65000,$B923,AB$5)=1,1,IF(INDEX([1]Pivot!$B$1:$AB$65000,$B923,AB$5)="",2,0)),0)</f>
        <v>0</v>
      </c>
      <c r="AC923" s="194">
        <f>IFERROR(IF(INDEX([1]Pivot!$AD$1:$BE$65000,$B923,AC$5)=1,1,IF(INDEX([1]Pivot!$B$1:$AB$65000,$B923,AC$5)="",2,0)),0)</f>
        <v>0</v>
      </c>
      <c r="AD923" s="313">
        <f>IFERROR(IF(INDEX([1]Pivot!$BF$1:$CG$65000,$B923,AD$5)=1,1,IF(INDEX([1]Pivot!$B$1:$AB$65000,$B923,AD$5)="",2,0)),0)</f>
        <v>0</v>
      </c>
      <c r="AE923" s="313">
        <f>IFERROR(IF(INDEX([1]Pivot!$BF$1:$CG$65000,$B923,AE$5)=1,1,IF(INDEX([1]Pivot!$B$1:$AB$65000,$B923,AE$5)="",2,0)),0)</f>
        <v>0</v>
      </c>
      <c r="AF923" s="313">
        <f>IFERROR(IF(INDEX([1]Pivot!$BF$1:$CG$65000,$B923,AF$5)=1,1,IF(INDEX([1]Pivot!$B$1:$AB$65000,$B923,AF$5)="",2,0)),0)</f>
        <v>0</v>
      </c>
      <c r="AG923" s="313">
        <f>IFERROR(IF(INDEX([1]Pivot!$BF$1:$CG$65000,$B923,AG$5)=1,1,IF(INDEX([1]Pivot!$B$1:$AB$65000,$B923,AG$5)="",2,0)),0)</f>
        <v>0</v>
      </c>
      <c r="AH923" s="313">
        <f>IFERROR(IF(INDEX([1]Pivot!$BF$1:$CG$65000,$B923,AH$5)=1,1,IF(INDEX([1]Pivot!$B$1:$AB$65000,$B923,AH$5)="",2,0)),0)</f>
        <v>0</v>
      </c>
      <c r="AI923" s="313">
        <f>IFERROR(IF(INDEX([1]Pivot!$BF$1:$CG$65000,$B923,AI$5)=1,1,IF(INDEX([1]Pivot!$B$1:$AB$65000,$B923,AI$5)="",2,0)),0)</f>
        <v>0</v>
      </c>
      <c r="AJ923" s="313">
        <f>IFERROR(IF(INDEX([1]Pivot!$BF$1:$CG$65000,$B923,AJ$5)=1,1,IF(INDEX([1]Pivot!$B$1:$AB$65000,$B923,AJ$5)="",2,0)),0)</f>
        <v>0</v>
      </c>
      <c r="AK923" s="313">
        <f>IFERROR(IF(INDEX([1]Pivot!$BF$1:$CG$65000,$B923,AK$5)=1,1,IF(INDEX([1]Pivot!$B$1:$AB$65000,$B923,AK$5)="",2,0)),0)</f>
        <v>0</v>
      </c>
      <c r="AL923" s="313">
        <f>IFERROR(IF(INDEX([1]Pivot!$BF$1:$CG$65000,$B923,AL$5)=1,1,IF(INDEX([1]Pivot!$B$1:$AB$65000,$B923,AL$5)="",2,0)),0)</f>
        <v>0</v>
      </c>
      <c r="AM923" s="313">
        <f>IFERROR(IF(INDEX([1]Pivot!$BF$1:$CG$65000,$B923,AM$5)=1,1,IF(INDEX([1]Pivot!$B$1:$AB$65000,$B923,AM$5)="",2,0)),0)</f>
        <v>0</v>
      </c>
      <c r="AN923" s="313">
        <f>IFERROR(IF(INDEX([1]Pivot!$BF$1:$CG$65000,$B923,AN$5)=1,1,IF(INDEX([1]Pivot!$B$1:$AB$65000,$B923,AN$5)="",2,0)),0)</f>
        <v>0</v>
      </c>
      <c r="AO923" s="313">
        <f>IFERROR(IF(INDEX([1]Pivot!$BF$1:$CG$65000,$B923,AO$5)=1,1,IF(INDEX([1]Pivot!$B$1:$AB$65000,$B923,AO$5)="",2,0)),0)</f>
        <v>0</v>
      </c>
      <c r="AP923" s="313">
        <f>IFERROR(IF(INDEX([1]Pivot!$BF$1:$CG$65000,$B923,AP$5)=1,1,IF(INDEX([1]Pivot!$B$1:$AB$65000,$B923,AP$5)="",2,0)),0)</f>
        <v>0</v>
      </c>
      <c r="AQ923" s="313">
        <f>IFERROR(IF(INDEX([1]Pivot!$BF$1:$CG$65000,$B923,AQ$5)=1,1,IF(INDEX([1]Pivot!$B$1:$AB$65000,$B923,AQ$5)="",2,0)),0)</f>
        <v>0</v>
      </c>
      <c r="AR923" s="313">
        <f>IFERROR(IF(INDEX([1]Pivot!$BF$1:$CG$65000,$B923,AR$5)=1,1,IF(INDEX([1]Pivot!$B$1:$AB$65000,$B923,AR$5)="",2,0)),0)</f>
        <v>0</v>
      </c>
      <c r="AS923" s="312"/>
      <c r="AT923" s="313">
        <f>IFERROR(IF(INDEX([1]Pivot!$BF$1:$CG$65000,$B923,AT$5)=1,1,IF(INDEX([1]Pivot!$B$1:$AB$65000,$B923,AT$5)="",2,0)),0)</f>
        <v>0</v>
      </c>
      <c r="AU923" s="313">
        <f>IFERROR(IF(INDEX([1]Pivot!$BF$1:$CG$65000,$B923,AU$5)=1,1,IF(INDEX([1]Pivot!$B$1:$AB$65000,$B923,AU$5)="",2,0)),0)</f>
        <v>0</v>
      </c>
      <c r="AV923" s="313">
        <f>IFERROR(IF(INDEX([1]Pivot!$BF$1:$CG$65000,$B923,AV$5)=1,1,IF(INDEX([1]Pivot!$B$1:$AB$65000,$B923,AV$5)="",2,0)),0)</f>
        <v>0</v>
      </c>
      <c r="AW923" s="313">
        <f>IFERROR(IF(INDEX([1]Pivot!$BF$1:$CG$65000,$B923,AW$5)=1,1,IF(INDEX([1]Pivot!$B$1:$AB$65000,$B923,AW$5)="",2,0)),0)</f>
        <v>0</v>
      </c>
      <c r="AX923" s="313">
        <f>IFERROR(IF(INDEX([1]Pivot!$BF$1:$CG$65000,$B923,AX$5)=1,1,IF(INDEX([1]Pivot!$B$1:$AB$65000,$B923,AX$5)="",2,0)),0)</f>
        <v>0</v>
      </c>
      <c r="AY923" s="313">
        <f>IFERROR(IF(INDEX([1]Pivot!$BF$1:$CG$65000,$B923,AY$5)=1,1,IF(INDEX([1]Pivot!$B$1:$AB$65000,$B923,AY$5)="",2,0)),0)</f>
        <v>0</v>
      </c>
      <c r="AZ923" s="313">
        <f>IFERROR(IF(INDEX([1]Pivot!$BF$1:$CG$65000,$B923,AZ$5)=1,1,IF(INDEX([1]Pivot!$B$1:$AB$65000,$B923,AZ$5)="",2,0)),0)</f>
        <v>0</v>
      </c>
      <c r="BA923" s="313">
        <f>IFERROR(IF(INDEX([1]Pivot!$BF$1:$CG$65000,$B923,BA$5)=1,1,IF(INDEX([1]Pivot!$B$1:$AB$65000,$B923,BA$5)="",2,0)),0)</f>
        <v>0</v>
      </c>
      <c r="BB923" s="313">
        <f>IFERROR(IF(INDEX([1]Pivot!$BF$1:$CG$65000,$B923,BB$5)=1,1,IF(INDEX([1]Pivot!$B$1:$AB$65000,$B923,BB$5)="",2,0)),0)</f>
        <v>0</v>
      </c>
      <c r="BC923" s="313">
        <f>IFERROR(IF(INDEX([1]Pivot!$BF$1:$CG$65000,$B923,BC$5)=1,1,IF(INDEX([1]Pivot!$B$1:$AB$65000,$B923,BC$5)="",2,0)),0)</f>
        <v>0</v>
      </c>
      <c r="BD923" s="313">
        <f>IFERROR(IF(INDEX([1]Pivot!$BF$1:$CG$65000,$B923,BD$5)=1,1,IF(INDEX([1]Pivot!$B$1:$AB$65000,$B923,BD$5)="",2,0)),0)</f>
        <v>0</v>
      </c>
    </row>
    <row r="924" spans="1:56" x14ac:dyDescent="0.25">
      <c r="A924" s="288">
        <f>'[2]Raw Milk Prices'!A924</f>
        <v>0</v>
      </c>
      <c r="B924" s="296" t="e">
        <f>MATCH(DATE(LEFT('[2]Raw Milk Prices'!$A924,4),RIGHT('[2]Raw Milk Prices'!$A924,2),1),[1]Pivot!$A$1:$A$65000,0)</f>
        <v>#VALUE!</v>
      </c>
      <c r="C924" s="194">
        <f>IFERROR(IF(INDEX([1]Pivot!$AD$1:$BE$65000,$B924,C$5)=1,1,IF(INDEX([1]Pivot!$B$1:$AB$65000,$B924,C$5)="",2,0)),0)</f>
        <v>0</v>
      </c>
      <c r="D924" s="194">
        <f>IFERROR(IF(INDEX([1]Pivot!$AD$1:$BE$65000,$B924,D$5)=1,1,IF(INDEX([1]Pivot!$B$1:$AB$65000,$B924,D$5)="",2,0)),0)</f>
        <v>0</v>
      </c>
      <c r="E924" s="194">
        <f>IFERROR(IF(INDEX([1]Pivot!$AD$1:$BE$65000,$B924,E$5)=1,1,IF(INDEX([1]Pivot!$B$1:$AB$65000,$B924,E$5)="",2,0)),0)</f>
        <v>0</v>
      </c>
      <c r="F924" s="194">
        <f>IFERROR(IF(INDEX([1]Pivot!$AD$1:$BE$65000,$B924,F$5)=1,1,IF(INDEX([1]Pivot!$B$1:$AB$65000,$B924,F$5)="",2,0)),0)</f>
        <v>0</v>
      </c>
      <c r="G924" s="194">
        <f>IFERROR(IF(INDEX([1]Pivot!$AD$1:$BE$65000,$B924,G$5)=1,1,IF(INDEX([1]Pivot!$B$1:$AB$65000,$B924,G$5)="",2,0)),0)</f>
        <v>0</v>
      </c>
      <c r="H924" s="194">
        <f>IFERROR(IF(INDEX([1]Pivot!$AD$1:$BE$65000,$B924,H$5)=1,1,IF(INDEX([1]Pivot!$B$1:$AB$65000,$B924,H$5)="",2,0)),0)</f>
        <v>0</v>
      </c>
      <c r="I924" s="194">
        <f>IFERROR(IF(INDEX([1]Pivot!$AD$1:$BE$65000,$B924,I$5)=1,1,IF(INDEX([1]Pivot!$B$1:$AB$65000,$B924,I$5)="",2,0)),0)</f>
        <v>0</v>
      </c>
      <c r="J924" s="194">
        <f>IFERROR(IF(INDEX([1]Pivot!$AD$1:$BE$65000,$B924,J$5)=1,1,IF(INDEX([1]Pivot!$B$1:$AB$65000,$B924,J$5)="",2,0)),0)</f>
        <v>0</v>
      </c>
      <c r="K924" s="194">
        <f>IFERROR(IF(INDEX([1]Pivot!$AD$1:$BE$65000,$B924,K$5)=1,1,IF(INDEX([1]Pivot!$B$1:$AB$65000,$B924,K$5)="",2,0)),0)</f>
        <v>0</v>
      </c>
      <c r="L924" s="194">
        <f>IFERROR(IF(INDEX([1]Pivot!$AD$1:$BE$65000,$B924,L$5)=1,1,IF(INDEX([1]Pivot!$B$1:$AB$65000,$B924,L$5)="",2,0)),0)</f>
        <v>0</v>
      </c>
      <c r="M924" s="194">
        <f>IFERROR(IF(INDEX([1]Pivot!$AD$1:$BE$65000,$B924,M$5)=1,1,IF(INDEX([1]Pivot!$B$1:$AB$65000,$B924,M$5)="",2,0)),0)</f>
        <v>0</v>
      </c>
      <c r="N924" s="194">
        <f>IFERROR(IF(INDEX([1]Pivot!$AD$1:$BE$65000,$B924,N$5)=1,1,IF(INDEX([1]Pivot!$B$1:$AB$65000,$B924,N$5)="",2,0)),0)</f>
        <v>0</v>
      </c>
      <c r="O924" s="194">
        <f>IFERROR(IF(INDEX([1]Pivot!$AD$1:$BE$65000,$B924,O$5)=1,1,IF(INDEX([1]Pivot!$B$1:$AB$65000,$B924,O$5)="",2,0)),0)</f>
        <v>0</v>
      </c>
      <c r="P924" s="194">
        <f>IFERROR(IF(INDEX([1]Pivot!$AD$1:$BE$65000,$B924,P$5)=1,1,IF(INDEX([1]Pivot!$B$1:$AB$65000,$B924,P$5)="",2,0)),0)</f>
        <v>0</v>
      </c>
      <c r="Q924" s="194">
        <f>IFERROR(IF(INDEX([1]Pivot!$AD$1:$BE$65000,$B924,Q$5)=1,1,IF(INDEX([1]Pivot!$B$1:$AB$65000,$B924,Q$5)="",2,0)),0)</f>
        <v>0</v>
      </c>
      <c r="R924" s="312"/>
      <c r="S924" s="194">
        <f>IFERROR(IF(INDEX([1]Pivot!$AD$1:$BE$65000,$B924,S$5)=1,1,IF(INDEX([1]Pivot!$B$1:$AB$65000,$B924,S$5)="",2,0)),0)</f>
        <v>0</v>
      </c>
      <c r="T924" s="194">
        <f>IFERROR(IF(INDEX([1]Pivot!$AD$1:$BE$65000,$B924,T$5)=1,1,IF(INDEX([1]Pivot!$B$1:$AB$65000,$B924,T$5)="",2,0)),0)</f>
        <v>0</v>
      </c>
      <c r="U924" s="194">
        <f>IFERROR(IF(INDEX([1]Pivot!$AD$1:$BE$65000,$B924,U$5)=1,1,IF(INDEX([1]Pivot!$B$1:$AB$65000,$B924,U$5)="",2,0)),0)</f>
        <v>0</v>
      </c>
      <c r="V924" s="194">
        <f>IFERROR(IF(INDEX([1]Pivot!$AD$1:$BE$65000,$B924,V$5)=1,1,IF(INDEX([1]Pivot!$B$1:$AB$65000,$B924,V$5)="",2,0)),0)</f>
        <v>0</v>
      </c>
      <c r="W924" s="194">
        <f>IFERROR(IF(INDEX([1]Pivot!$AD$1:$BE$65000,$B924,W$5)=1,1,IF(INDEX([1]Pivot!$B$1:$AB$65000,$B924,W$5)="",2,0)),0)</f>
        <v>0</v>
      </c>
      <c r="X924" s="194">
        <f>IFERROR(IF(INDEX([1]Pivot!$AD$1:$BE$65000,$B924,X$5)=1,1,IF(INDEX([1]Pivot!$B$1:$AB$65000,$B924,X$5)="",2,0)),0)</f>
        <v>0</v>
      </c>
      <c r="Y924" s="194">
        <f>IFERROR(IF(INDEX([1]Pivot!$AD$1:$BE$65000,$B924,Y$5)=1,1,IF(INDEX([1]Pivot!$B$1:$AB$65000,$B924,Y$5)="",2,0)),0)</f>
        <v>0</v>
      </c>
      <c r="Z924" s="194">
        <f>IFERROR(IF(INDEX([1]Pivot!$AD$1:$BE$65000,$B924,Z$5)=1,1,IF(INDEX([1]Pivot!$B$1:$AB$65000,$B924,Z$5)="",2,0)),0)</f>
        <v>0</v>
      </c>
      <c r="AA924" s="194">
        <f>IFERROR(IF(INDEX([1]Pivot!$AD$1:$BE$65000,$B924,AA$5)=1,1,IF(INDEX([1]Pivot!$B$1:$AB$65000,$B924,AA$5)="",2,0)),0)</f>
        <v>0</v>
      </c>
      <c r="AB924" s="194">
        <f>IFERROR(IF(INDEX([1]Pivot!$AD$1:$BE$65000,$B924,AB$5)=1,1,IF(INDEX([1]Pivot!$B$1:$AB$65000,$B924,AB$5)="",2,0)),0)</f>
        <v>0</v>
      </c>
      <c r="AC924" s="194">
        <f>IFERROR(IF(INDEX([1]Pivot!$AD$1:$BE$65000,$B924,AC$5)=1,1,IF(INDEX([1]Pivot!$B$1:$AB$65000,$B924,AC$5)="",2,0)),0)</f>
        <v>0</v>
      </c>
      <c r="AD924" s="313">
        <f>IFERROR(IF(INDEX([1]Pivot!$BF$1:$CG$65000,$B924,AD$5)=1,1,IF(INDEX([1]Pivot!$B$1:$AB$65000,$B924,AD$5)="",2,0)),0)</f>
        <v>0</v>
      </c>
      <c r="AE924" s="313">
        <f>IFERROR(IF(INDEX([1]Pivot!$BF$1:$CG$65000,$B924,AE$5)=1,1,IF(INDEX([1]Pivot!$B$1:$AB$65000,$B924,AE$5)="",2,0)),0)</f>
        <v>0</v>
      </c>
      <c r="AF924" s="313">
        <f>IFERROR(IF(INDEX([1]Pivot!$BF$1:$CG$65000,$B924,AF$5)=1,1,IF(INDEX([1]Pivot!$B$1:$AB$65000,$B924,AF$5)="",2,0)),0)</f>
        <v>0</v>
      </c>
      <c r="AG924" s="313">
        <f>IFERROR(IF(INDEX([1]Pivot!$BF$1:$CG$65000,$B924,AG$5)=1,1,IF(INDEX([1]Pivot!$B$1:$AB$65000,$B924,AG$5)="",2,0)),0)</f>
        <v>0</v>
      </c>
      <c r="AH924" s="313">
        <f>IFERROR(IF(INDEX([1]Pivot!$BF$1:$CG$65000,$B924,AH$5)=1,1,IF(INDEX([1]Pivot!$B$1:$AB$65000,$B924,AH$5)="",2,0)),0)</f>
        <v>0</v>
      </c>
      <c r="AI924" s="313">
        <f>IFERROR(IF(INDEX([1]Pivot!$BF$1:$CG$65000,$B924,AI$5)=1,1,IF(INDEX([1]Pivot!$B$1:$AB$65000,$B924,AI$5)="",2,0)),0)</f>
        <v>0</v>
      </c>
      <c r="AJ924" s="313">
        <f>IFERROR(IF(INDEX([1]Pivot!$BF$1:$CG$65000,$B924,AJ$5)=1,1,IF(INDEX([1]Pivot!$B$1:$AB$65000,$B924,AJ$5)="",2,0)),0)</f>
        <v>0</v>
      </c>
      <c r="AK924" s="313">
        <f>IFERROR(IF(INDEX([1]Pivot!$BF$1:$CG$65000,$B924,AK$5)=1,1,IF(INDEX([1]Pivot!$B$1:$AB$65000,$B924,AK$5)="",2,0)),0)</f>
        <v>0</v>
      </c>
      <c r="AL924" s="313">
        <f>IFERROR(IF(INDEX([1]Pivot!$BF$1:$CG$65000,$B924,AL$5)=1,1,IF(INDEX([1]Pivot!$B$1:$AB$65000,$B924,AL$5)="",2,0)),0)</f>
        <v>0</v>
      </c>
      <c r="AM924" s="313">
        <f>IFERROR(IF(INDEX([1]Pivot!$BF$1:$CG$65000,$B924,AM$5)=1,1,IF(INDEX([1]Pivot!$B$1:$AB$65000,$B924,AM$5)="",2,0)),0)</f>
        <v>0</v>
      </c>
      <c r="AN924" s="313">
        <f>IFERROR(IF(INDEX([1]Pivot!$BF$1:$CG$65000,$B924,AN$5)=1,1,IF(INDEX([1]Pivot!$B$1:$AB$65000,$B924,AN$5)="",2,0)),0)</f>
        <v>0</v>
      </c>
      <c r="AO924" s="313">
        <f>IFERROR(IF(INDEX([1]Pivot!$BF$1:$CG$65000,$B924,AO$5)=1,1,IF(INDEX([1]Pivot!$B$1:$AB$65000,$B924,AO$5)="",2,0)),0)</f>
        <v>0</v>
      </c>
      <c r="AP924" s="313">
        <f>IFERROR(IF(INDEX([1]Pivot!$BF$1:$CG$65000,$B924,AP$5)=1,1,IF(INDEX([1]Pivot!$B$1:$AB$65000,$B924,AP$5)="",2,0)),0)</f>
        <v>0</v>
      </c>
      <c r="AQ924" s="313">
        <f>IFERROR(IF(INDEX([1]Pivot!$BF$1:$CG$65000,$B924,AQ$5)=1,1,IF(INDEX([1]Pivot!$B$1:$AB$65000,$B924,AQ$5)="",2,0)),0)</f>
        <v>0</v>
      </c>
      <c r="AR924" s="313">
        <f>IFERROR(IF(INDEX([1]Pivot!$BF$1:$CG$65000,$B924,AR$5)=1,1,IF(INDEX([1]Pivot!$B$1:$AB$65000,$B924,AR$5)="",2,0)),0)</f>
        <v>0</v>
      </c>
      <c r="AS924" s="312"/>
      <c r="AT924" s="313">
        <f>IFERROR(IF(INDEX([1]Pivot!$BF$1:$CG$65000,$B924,AT$5)=1,1,IF(INDEX([1]Pivot!$B$1:$AB$65000,$B924,AT$5)="",2,0)),0)</f>
        <v>0</v>
      </c>
      <c r="AU924" s="313">
        <f>IFERROR(IF(INDEX([1]Pivot!$BF$1:$CG$65000,$B924,AU$5)=1,1,IF(INDEX([1]Pivot!$B$1:$AB$65000,$B924,AU$5)="",2,0)),0)</f>
        <v>0</v>
      </c>
      <c r="AV924" s="313">
        <f>IFERROR(IF(INDEX([1]Pivot!$BF$1:$CG$65000,$B924,AV$5)=1,1,IF(INDEX([1]Pivot!$B$1:$AB$65000,$B924,AV$5)="",2,0)),0)</f>
        <v>0</v>
      </c>
      <c r="AW924" s="313">
        <f>IFERROR(IF(INDEX([1]Pivot!$BF$1:$CG$65000,$B924,AW$5)=1,1,IF(INDEX([1]Pivot!$B$1:$AB$65000,$B924,AW$5)="",2,0)),0)</f>
        <v>0</v>
      </c>
      <c r="AX924" s="313">
        <f>IFERROR(IF(INDEX([1]Pivot!$BF$1:$CG$65000,$B924,AX$5)=1,1,IF(INDEX([1]Pivot!$B$1:$AB$65000,$B924,AX$5)="",2,0)),0)</f>
        <v>0</v>
      </c>
      <c r="AY924" s="313">
        <f>IFERROR(IF(INDEX([1]Pivot!$BF$1:$CG$65000,$B924,AY$5)=1,1,IF(INDEX([1]Pivot!$B$1:$AB$65000,$B924,AY$5)="",2,0)),0)</f>
        <v>0</v>
      </c>
      <c r="AZ924" s="313">
        <f>IFERROR(IF(INDEX([1]Pivot!$BF$1:$CG$65000,$B924,AZ$5)=1,1,IF(INDEX([1]Pivot!$B$1:$AB$65000,$B924,AZ$5)="",2,0)),0)</f>
        <v>0</v>
      </c>
      <c r="BA924" s="313">
        <f>IFERROR(IF(INDEX([1]Pivot!$BF$1:$CG$65000,$B924,BA$5)=1,1,IF(INDEX([1]Pivot!$B$1:$AB$65000,$B924,BA$5)="",2,0)),0)</f>
        <v>0</v>
      </c>
      <c r="BB924" s="313">
        <f>IFERROR(IF(INDEX([1]Pivot!$BF$1:$CG$65000,$B924,BB$5)=1,1,IF(INDEX([1]Pivot!$B$1:$AB$65000,$B924,BB$5)="",2,0)),0)</f>
        <v>0</v>
      </c>
      <c r="BC924" s="313">
        <f>IFERROR(IF(INDEX([1]Pivot!$BF$1:$CG$65000,$B924,BC$5)=1,1,IF(INDEX([1]Pivot!$B$1:$AB$65000,$B924,BC$5)="",2,0)),0)</f>
        <v>0</v>
      </c>
      <c r="BD924" s="313">
        <f>IFERROR(IF(INDEX([1]Pivot!$BF$1:$CG$65000,$B924,BD$5)=1,1,IF(INDEX([1]Pivot!$B$1:$AB$65000,$B924,BD$5)="",2,0)),0)</f>
        <v>0</v>
      </c>
    </row>
    <row r="925" spans="1:56" x14ac:dyDescent="0.25">
      <c r="A925" s="288">
        <f>'[2]Raw Milk Prices'!A925</f>
        <v>0</v>
      </c>
      <c r="B925" s="296" t="e">
        <f>MATCH(DATE(LEFT('[2]Raw Milk Prices'!$A925,4),RIGHT('[2]Raw Milk Prices'!$A925,2),1),[1]Pivot!$A$1:$A$65000,0)</f>
        <v>#VALUE!</v>
      </c>
      <c r="C925" s="194">
        <f>IFERROR(IF(INDEX([1]Pivot!$AD$1:$BE$65000,$B925,C$5)=1,1,IF(INDEX([1]Pivot!$B$1:$AB$65000,$B925,C$5)="",2,0)),0)</f>
        <v>0</v>
      </c>
      <c r="D925" s="194">
        <f>IFERROR(IF(INDEX([1]Pivot!$AD$1:$BE$65000,$B925,D$5)=1,1,IF(INDEX([1]Pivot!$B$1:$AB$65000,$B925,D$5)="",2,0)),0)</f>
        <v>0</v>
      </c>
      <c r="E925" s="194">
        <f>IFERROR(IF(INDEX([1]Pivot!$AD$1:$BE$65000,$B925,E$5)=1,1,IF(INDEX([1]Pivot!$B$1:$AB$65000,$B925,E$5)="",2,0)),0)</f>
        <v>0</v>
      </c>
      <c r="F925" s="194">
        <f>IFERROR(IF(INDEX([1]Pivot!$AD$1:$BE$65000,$B925,F$5)=1,1,IF(INDEX([1]Pivot!$B$1:$AB$65000,$B925,F$5)="",2,0)),0)</f>
        <v>0</v>
      </c>
      <c r="G925" s="194">
        <f>IFERROR(IF(INDEX([1]Pivot!$AD$1:$BE$65000,$B925,G$5)=1,1,IF(INDEX([1]Pivot!$B$1:$AB$65000,$B925,G$5)="",2,0)),0)</f>
        <v>0</v>
      </c>
      <c r="H925" s="194">
        <f>IFERROR(IF(INDEX([1]Pivot!$AD$1:$BE$65000,$B925,H$5)=1,1,IF(INDEX([1]Pivot!$B$1:$AB$65000,$B925,H$5)="",2,0)),0)</f>
        <v>0</v>
      </c>
      <c r="I925" s="194">
        <f>IFERROR(IF(INDEX([1]Pivot!$AD$1:$BE$65000,$B925,I$5)=1,1,IF(INDEX([1]Pivot!$B$1:$AB$65000,$B925,I$5)="",2,0)),0)</f>
        <v>0</v>
      </c>
      <c r="J925" s="194">
        <f>IFERROR(IF(INDEX([1]Pivot!$AD$1:$BE$65000,$B925,J$5)=1,1,IF(INDEX([1]Pivot!$B$1:$AB$65000,$B925,J$5)="",2,0)),0)</f>
        <v>0</v>
      </c>
      <c r="K925" s="194">
        <f>IFERROR(IF(INDEX([1]Pivot!$AD$1:$BE$65000,$B925,K$5)=1,1,IF(INDEX([1]Pivot!$B$1:$AB$65000,$B925,K$5)="",2,0)),0)</f>
        <v>0</v>
      </c>
      <c r="L925" s="194">
        <f>IFERROR(IF(INDEX([1]Pivot!$AD$1:$BE$65000,$B925,L$5)=1,1,IF(INDEX([1]Pivot!$B$1:$AB$65000,$B925,L$5)="",2,0)),0)</f>
        <v>0</v>
      </c>
      <c r="M925" s="194">
        <f>IFERROR(IF(INDEX([1]Pivot!$AD$1:$BE$65000,$B925,M$5)=1,1,IF(INDEX([1]Pivot!$B$1:$AB$65000,$B925,M$5)="",2,0)),0)</f>
        <v>0</v>
      </c>
      <c r="N925" s="194">
        <f>IFERROR(IF(INDEX([1]Pivot!$AD$1:$BE$65000,$B925,N$5)=1,1,IF(INDEX([1]Pivot!$B$1:$AB$65000,$B925,N$5)="",2,0)),0)</f>
        <v>0</v>
      </c>
      <c r="O925" s="194">
        <f>IFERROR(IF(INDEX([1]Pivot!$AD$1:$BE$65000,$B925,O$5)=1,1,IF(INDEX([1]Pivot!$B$1:$AB$65000,$B925,O$5)="",2,0)),0)</f>
        <v>0</v>
      </c>
      <c r="P925" s="194">
        <f>IFERROR(IF(INDEX([1]Pivot!$AD$1:$BE$65000,$B925,P$5)=1,1,IF(INDEX([1]Pivot!$B$1:$AB$65000,$B925,P$5)="",2,0)),0)</f>
        <v>0</v>
      </c>
      <c r="Q925" s="194">
        <f>IFERROR(IF(INDEX([1]Pivot!$AD$1:$BE$65000,$B925,Q$5)=1,1,IF(INDEX([1]Pivot!$B$1:$AB$65000,$B925,Q$5)="",2,0)),0)</f>
        <v>0</v>
      </c>
      <c r="R925" s="312"/>
      <c r="S925" s="194">
        <f>IFERROR(IF(INDEX([1]Pivot!$AD$1:$BE$65000,$B925,S$5)=1,1,IF(INDEX([1]Pivot!$B$1:$AB$65000,$B925,S$5)="",2,0)),0)</f>
        <v>0</v>
      </c>
      <c r="T925" s="194">
        <f>IFERROR(IF(INDEX([1]Pivot!$AD$1:$BE$65000,$B925,T$5)=1,1,IF(INDEX([1]Pivot!$B$1:$AB$65000,$B925,T$5)="",2,0)),0)</f>
        <v>0</v>
      </c>
      <c r="U925" s="194">
        <f>IFERROR(IF(INDEX([1]Pivot!$AD$1:$BE$65000,$B925,U$5)=1,1,IF(INDEX([1]Pivot!$B$1:$AB$65000,$B925,U$5)="",2,0)),0)</f>
        <v>0</v>
      </c>
      <c r="V925" s="194">
        <f>IFERROR(IF(INDEX([1]Pivot!$AD$1:$BE$65000,$B925,V$5)=1,1,IF(INDEX([1]Pivot!$B$1:$AB$65000,$B925,V$5)="",2,0)),0)</f>
        <v>0</v>
      </c>
      <c r="W925" s="194">
        <f>IFERROR(IF(INDEX([1]Pivot!$AD$1:$BE$65000,$B925,W$5)=1,1,IF(INDEX([1]Pivot!$B$1:$AB$65000,$B925,W$5)="",2,0)),0)</f>
        <v>0</v>
      </c>
      <c r="X925" s="194">
        <f>IFERROR(IF(INDEX([1]Pivot!$AD$1:$BE$65000,$B925,X$5)=1,1,IF(INDEX([1]Pivot!$B$1:$AB$65000,$B925,X$5)="",2,0)),0)</f>
        <v>0</v>
      </c>
      <c r="Y925" s="194">
        <f>IFERROR(IF(INDEX([1]Pivot!$AD$1:$BE$65000,$B925,Y$5)=1,1,IF(INDEX([1]Pivot!$B$1:$AB$65000,$B925,Y$5)="",2,0)),0)</f>
        <v>0</v>
      </c>
      <c r="Z925" s="194">
        <f>IFERROR(IF(INDEX([1]Pivot!$AD$1:$BE$65000,$B925,Z$5)=1,1,IF(INDEX([1]Pivot!$B$1:$AB$65000,$B925,Z$5)="",2,0)),0)</f>
        <v>0</v>
      </c>
      <c r="AA925" s="194">
        <f>IFERROR(IF(INDEX([1]Pivot!$AD$1:$BE$65000,$B925,AA$5)=1,1,IF(INDEX([1]Pivot!$B$1:$AB$65000,$B925,AA$5)="",2,0)),0)</f>
        <v>0</v>
      </c>
      <c r="AB925" s="194">
        <f>IFERROR(IF(INDEX([1]Pivot!$AD$1:$BE$65000,$B925,AB$5)=1,1,IF(INDEX([1]Pivot!$B$1:$AB$65000,$B925,AB$5)="",2,0)),0)</f>
        <v>0</v>
      </c>
      <c r="AC925" s="194">
        <f>IFERROR(IF(INDEX([1]Pivot!$AD$1:$BE$65000,$B925,AC$5)=1,1,IF(INDEX([1]Pivot!$B$1:$AB$65000,$B925,AC$5)="",2,0)),0)</f>
        <v>0</v>
      </c>
      <c r="AD925" s="313">
        <f>IFERROR(IF(INDEX([1]Pivot!$BF$1:$CG$65000,$B925,AD$5)=1,1,IF(INDEX([1]Pivot!$B$1:$AB$65000,$B925,AD$5)="",2,0)),0)</f>
        <v>0</v>
      </c>
      <c r="AE925" s="313">
        <f>IFERROR(IF(INDEX([1]Pivot!$BF$1:$CG$65000,$B925,AE$5)=1,1,IF(INDEX([1]Pivot!$B$1:$AB$65000,$B925,AE$5)="",2,0)),0)</f>
        <v>0</v>
      </c>
      <c r="AF925" s="313">
        <f>IFERROR(IF(INDEX([1]Pivot!$BF$1:$CG$65000,$B925,AF$5)=1,1,IF(INDEX([1]Pivot!$B$1:$AB$65000,$B925,AF$5)="",2,0)),0)</f>
        <v>0</v>
      </c>
      <c r="AG925" s="313">
        <f>IFERROR(IF(INDEX([1]Pivot!$BF$1:$CG$65000,$B925,AG$5)=1,1,IF(INDEX([1]Pivot!$B$1:$AB$65000,$B925,AG$5)="",2,0)),0)</f>
        <v>0</v>
      </c>
      <c r="AH925" s="313">
        <f>IFERROR(IF(INDEX([1]Pivot!$BF$1:$CG$65000,$B925,AH$5)=1,1,IF(INDEX([1]Pivot!$B$1:$AB$65000,$B925,AH$5)="",2,0)),0)</f>
        <v>0</v>
      </c>
      <c r="AI925" s="313">
        <f>IFERROR(IF(INDEX([1]Pivot!$BF$1:$CG$65000,$B925,AI$5)=1,1,IF(INDEX([1]Pivot!$B$1:$AB$65000,$B925,AI$5)="",2,0)),0)</f>
        <v>0</v>
      </c>
      <c r="AJ925" s="313">
        <f>IFERROR(IF(INDEX([1]Pivot!$BF$1:$CG$65000,$B925,AJ$5)=1,1,IF(INDEX([1]Pivot!$B$1:$AB$65000,$B925,AJ$5)="",2,0)),0)</f>
        <v>0</v>
      </c>
      <c r="AK925" s="313">
        <f>IFERROR(IF(INDEX([1]Pivot!$BF$1:$CG$65000,$B925,AK$5)=1,1,IF(INDEX([1]Pivot!$B$1:$AB$65000,$B925,AK$5)="",2,0)),0)</f>
        <v>0</v>
      </c>
      <c r="AL925" s="313">
        <f>IFERROR(IF(INDEX([1]Pivot!$BF$1:$CG$65000,$B925,AL$5)=1,1,IF(INDEX([1]Pivot!$B$1:$AB$65000,$B925,AL$5)="",2,0)),0)</f>
        <v>0</v>
      </c>
      <c r="AM925" s="313">
        <f>IFERROR(IF(INDEX([1]Pivot!$BF$1:$CG$65000,$B925,AM$5)=1,1,IF(INDEX([1]Pivot!$B$1:$AB$65000,$B925,AM$5)="",2,0)),0)</f>
        <v>0</v>
      </c>
      <c r="AN925" s="313">
        <f>IFERROR(IF(INDEX([1]Pivot!$BF$1:$CG$65000,$B925,AN$5)=1,1,IF(INDEX([1]Pivot!$B$1:$AB$65000,$B925,AN$5)="",2,0)),0)</f>
        <v>0</v>
      </c>
      <c r="AO925" s="313">
        <f>IFERROR(IF(INDEX([1]Pivot!$BF$1:$CG$65000,$B925,AO$5)=1,1,IF(INDEX([1]Pivot!$B$1:$AB$65000,$B925,AO$5)="",2,0)),0)</f>
        <v>0</v>
      </c>
      <c r="AP925" s="313">
        <f>IFERROR(IF(INDEX([1]Pivot!$BF$1:$CG$65000,$B925,AP$5)=1,1,IF(INDEX([1]Pivot!$B$1:$AB$65000,$B925,AP$5)="",2,0)),0)</f>
        <v>0</v>
      </c>
      <c r="AQ925" s="313">
        <f>IFERROR(IF(INDEX([1]Pivot!$BF$1:$CG$65000,$B925,AQ$5)=1,1,IF(INDEX([1]Pivot!$B$1:$AB$65000,$B925,AQ$5)="",2,0)),0)</f>
        <v>0</v>
      </c>
      <c r="AR925" s="313">
        <f>IFERROR(IF(INDEX([1]Pivot!$BF$1:$CG$65000,$B925,AR$5)=1,1,IF(INDEX([1]Pivot!$B$1:$AB$65000,$B925,AR$5)="",2,0)),0)</f>
        <v>0</v>
      </c>
      <c r="AS925" s="312"/>
      <c r="AT925" s="313">
        <f>IFERROR(IF(INDEX([1]Pivot!$BF$1:$CG$65000,$B925,AT$5)=1,1,IF(INDEX([1]Pivot!$B$1:$AB$65000,$B925,AT$5)="",2,0)),0)</f>
        <v>0</v>
      </c>
      <c r="AU925" s="313">
        <f>IFERROR(IF(INDEX([1]Pivot!$BF$1:$CG$65000,$B925,AU$5)=1,1,IF(INDEX([1]Pivot!$B$1:$AB$65000,$B925,AU$5)="",2,0)),0)</f>
        <v>0</v>
      </c>
      <c r="AV925" s="313">
        <f>IFERROR(IF(INDEX([1]Pivot!$BF$1:$CG$65000,$B925,AV$5)=1,1,IF(INDEX([1]Pivot!$B$1:$AB$65000,$B925,AV$5)="",2,0)),0)</f>
        <v>0</v>
      </c>
      <c r="AW925" s="313">
        <f>IFERROR(IF(INDEX([1]Pivot!$BF$1:$CG$65000,$B925,AW$5)=1,1,IF(INDEX([1]Pivot!$B$1:$AB$65000,$B925,AW$5)="",2,0)),0)</f>
        <v>0</v>
      </c>
      <c r="AX925" s="313">
        <f>IFERROR(IF(INDEX([1]Pivot!$BF$1:$CG$65000,$B925,AX$5)=1,1,IF(INDEX([1]Pivot!$B$1:$AB$65000,$B925,AX$5)="",2,0)),0)</f>
        <v>0</v>
      </c>
      <c r="AY925" s="313">
        <f>IFERROR(IF(INDEX([1]Pivot!$BF$1:$CG$65000,$B925,AY$5)=1,1,IF(INDEX([1]Pivot!$B$1:$AB$65000,$B925,AY$5)="",2,0)),0)</f>
        <v>0</v>
      </c>
      <c r="AZ925" s="313">
        <f>IFERROR(IF(INDEX([1]Pivot!$BF$1:$CG$65000,$B925,AZ$5)=1,1,IF(INDEX([1]Pivot!$B$1:$AB$65000,$B925,AZ$5)="",2,0)),0)</f>
        <v>0</v>
      </c>
      <c r="BA925" s="313">
        <f>IFERROR(IF(INDEX([1]Pivot!$BF$1:$CG$65000,$B925,BA$5)=1,1,IF(INDEX([1]Pivot!$B$1:$AB$65000,$B925,BA$5)="",2,0)),0)</f>
        <v>0</v>
      </c>
      <c r="BB925" s="313">
        <f>IFERROR(IF(INDEX([1]Pivot!$BF$1:$CG$65000,$B925,BB$5)=1,1,IF(INDEX([1]Pivot!$B$1:$AB$65000,$B925,BB$5)="",2,0)),0)</f>
        <v>0</v>
      </c>
      <c r="BC925" s="313">
        <f>IFERROR(IF(INDEX([1]Pivot!$BF$1:$CG$65000,$B925,BC$5)=1,1,IF(INDEX([1]Pivot!$B$1:$AB$65000,$B925,BC$5)="",2,0)),0)</f>
        <v>0</v>
      </c>
      <c r="BD925" s="313">
        <f>IFERROR(IF(INDEX([1]Pivot!$BF$1:$CG$65000,$B925,BD$5)=1,1,IF(INDEX([1]Pivot!$B$1:$AB$65000,$B925,BD$5)="",2,0)),0)</f>
        <v>0</v>
      </c>
    </row>
    <row r="926" spans="1:56" x14ac:dyDescent="0.25">
      <c r="A926" s="288">
        <f>'[2]Raw Milk Prices'!A926</f>
        <v>0</v>
      </c>
      <c r="B926" s="296" t="e">
        <f>MATCH(DATE(LEFT('[2]Raw Milk Prices'!$A926,4),RIGHT('[2]Raw Milk Prices'!$A926,2),1),[1]Pivot!$A$1:$A$65000,0)</f>
        <v>#VALUE!</v>
      </c>
      <c r="C926" s="194">
        <f>IFERROR(IF(INDEX([1]Pivot!$AD$1:$BE$65000,$B926,C$5)=1,1,IF(INDEX([1]Pivot!$B$1:$AB$65000,$B926,C$5)="",2,0)),0)</f>
        <v>0</v>
      </c>
      <c r="D926" s="194">
        <f>IFERROR(IF(INDEX([1]Pivot!$AD$1:$BE$65000,$B926,D$5)=1,1,IF(INDEX([1]Pivot!$B$1:$AB$65000,$B926,D$5)="",2,0)),0)</f>
        <v>0</v>
      </c>
      <c r="E926" s="194">
        <f>IFERROR(IF(INDEX([1]Pivot!$AD$1:$BE$65000,$B926,E$5)=1,1,IF(INDEX([1]Pivot!$B$1:$AB$65000,$B926,E$5)="",2,0)),0)</f>
        <v>0</v>
      </c>
      <c r="F926" s="194">
        <f>IFERROR(IF(INDEX([1]Pivot!$AD$1:$BE$65000,$B926,F$5)=1,1,IF(INDEX([1]Pivot!$B$1:$AB$65000,$B926,F$5)="",2,0)),0)</f>
        <v>0</v>
      </c>
      <c r="G926" s="194">
        <f>IFERROR(IF(INDEX([1]Pivot!$AD$1:$BE$65000,$B926,G$5)=1,1,IF(INDEX([1]Pivot!$B$1:$AB$65000,$B926,G$5)="",2,0)),0)</f>
        <v>0</v>
      </c>
      <c r="H926" s="194">
        <f>IFERROR(IF(INDEX([1]Pivot!$AD$1:$BE$65000,$B926,H$5)=1,1,IF(INDEX([1]Pivot!$B$1:$AB$65000,$B926,H$5)="",2,0)),0)</f>
        <v>0</v>
      </c>
      <c r="I926" s="194">
        <f>IFERROR(IF(INDEX([1]Pivot!$AD$1:$BE$65000,$B926,I$5)=1,1,IF(INDEX([1]Pivot!$B$1:$AB$65000,$B926,I$5)="",2,0)),0)</f>
        <v>0</v>
      </c>
      <c r="J926" s="194">
        <f>IFERROR(IF(INDEX([1]Pivot!$AD$1:$BE$65000,$B926,J$5)=1,1,IF(INDEX([1]Pivot!$B$1:$AB$65000,$B926,J$5)="",2,0)),0)</f>
        <v>0</v>
      </c>
      <c r="K926" s="194">
        <f>IFERROR(IF(INDEX([1]Pivot!$AD$1:$BE$65000,$B926,K$5)=1,1,IF(INDEX([1]Pivot!$B$1:$AB$65000,$B926,K$5)="",2,0)),0)</f>
        <v>0</v>
      </c>
      <c r="L926" s="194">
        <f>IFERROR(IF(INDEX([1]Pivot!$AD$1:$BE$65000,$B926,L$5)=1,1,IF(INDEX([1]Pivot!$B$1:$AB$65000,$B926,L$5)="",2,0)),0)</f>
        <v>0</v>
      </c>
      <c r="M926" s="194">
        <f>IFERROR(IF(INDEX([1]Pivot!$AD$1:$BE$65000,$B926,M$5)=1,1,IF(INDEX([1]Pivot!$B$1:$AB$65000,$B926,M$5)="",2,0)),0)</f>
        <v>0</v>
      </c>
      <c r="N926" s="194">
        <f>IFERROR(IF(INDEX([1]Pivot!$AD$1:$BE$65000,$B926,N$5)=1,1,IF(INDEX([1]Pivot!$B$1:$AB$65000,$B926,N$5)="",2,0)),0)</f>
        <v>0</v>
      </c>
      <c r="O926" s="194">
        <f>IFERROR(IF(INDEX([1]Pivot!$AD$1:$BE$65000,$B926,O$5)=1,1,IF(INDEX([1]Pivot!$B$1:$AB$65000,$B926,O$5)="",2,0)),0)</f>
        <v>0</v>
      </c>
      <c r="P926" s="194">
        <f>IFERROR(IF(INDEX([1]Pivot!$AD$1:$BE$65000,$B926,P$5)=1,1,IF(INDEX([1]Pivot!$B$1:$AB$65000,$B926,P$5)="",2,0)),0)</f>
        <v>0</v>
      </c>
      <c r="Q926" s="194">
        <f>IFERROR(IF(INDEX([1]Pivot!$AD$1:$BE$65000,$B926,Q$5)=1,1,IF(INDEX([1]Pivot!$B$1:$AB$65000,$B926,Q$5)="",2,0)),0)</f>
        <v>0</v>
      </c>
      <c r="R926" s="312"/>
      <c r="S926" s="194">
        <f>IFERROR(IF(INDEX([1]Pivot!$AD$1:$BE$65000,$B926,S$5)=1,1,IF(INDEX([1]Pivot!$B$1:$AB$65000,$B926,S$5)="",2,0)),0)</f>
        <v>0</v>
      </c>
      <c r="T926" s="194">
        <f>IFERROR(IF(INDEX([1]Pivot!$AD$1:$BE$65000,$B926,T$5)=1,1,IF(INDEX([1]Pivot!$B$1:$AB$65000,$B926,T$5)="",2,0)),0)</f>
        <v>0</v>
      </c>
      <c r="U926" s="194">
        <f>IFERROR(IF(INDEX([1]Pivot!$AD$1:$BE$65000,$B926,U$5)=1,1,IF(INDEX([1]Pivot!$B$1:$AB$65000,$B926,U$5)="",2,0)),0)</f>
        <v>0</v>
      </c>
      <c r="V926" s="194">
        <f>IFERROR(IF(INDEX([1]Pivot!$AD$1:$BE$65000,$B926,V$5)=1,1,IF(INDEX([1]Pivot!$B$1:$AB$65000,$B926,V$5)="",2,0)),0)</f>
        <v>0</v>
      </c>
      <c r="W926" s="194">
        <f>IFERROR(IF(INDEX([1]Pivot!$AD$1:$BE$65000,$B926,W$5)=1,1,IF(INDEX([1]Pivot!$B$1:$AB$65000,$B926,W$5)="",2,0)),0)</f>
        <v>0</v>
      </c>
      <c r="X926" s="194">
        <f>IFERROR(IF(INDEX([1]Pivot!$AD$1:$BE$65000,$B926,X$5)=1,1,IF(INDEX([1]Pivot!$B$1:$AB$65000,$B926,X$5)="",2,0)),0)</f>
        <v>0</v>
      </c>
      <c r="Y926" s="194">
        <f>IFERROR(IF(INDEX([1]Pivot!$AD$1:$BE$65000,$B926,Y$5)=1,1,IF(INDEX([1]Pivot!$B$1:$AB$65000,$B926,Y$5)="",2,0)),0)</f>
        <v>0</v>
      </c>
      <c r="Z926" s="194">
        <f>IFERROR(IF(INDEX([1]Pivot!$AD$1:$BE$65000,$B926,Z$5)=1,1,IF(INDEX([1]Pivot!$B$1:$AB$65000,$B926,Z$5)="",2,0)),0)</f>
        <v>0</v>
      </c>
      <c r="AA926" s="194">
        <f>IFERROR(IF(INDEX([1]Pivot!$AD$1:$BE$65000,$B926,AA$5)=1,1,IF(INDEX([1]Pivot!$B$1:$AB$65000,$B926,AA$5)="",2,0)),0)</f>
        <v>0</v>
      </c>
      <c r="AB926" s="194">
        <f>IFERROR(IF(INDEX([1]Pivot!$AD$1:$BE$65000,$B926,AB$5)=1,1,IF(INDEX([1]Pivot!$B$1:$AB$65000,$B926,AB$5)="",2,0)),0)</f>
        <v>0</v>
      </c>
      <c r="AC926" s="194">
        <f>IFERROR(IF(INDEX([1]Pivot!$AD$1:$BE$65000,$B926,AC$5)=1,1,IF(INDEX([1]Pivot!$B$1:$AB$65000,$B926,AC$5)="",2,0)),0)</f>
        <v>0</v>
      </c>
      <c r="AD926" s="313">
        <f>IFERROR(IF(INDEX([1]Pivot!$BF$1:$CG$65000,$B926,AD$5)=1,1,IF(INDEX([1]Pivot!$B$1:$AB$65000,$B926,AD$5)="",2,0)),0)</f>
        <v>0</v>
      </c>
      <c r="AE926" s="313">
        <f>IFERROR(IF(INDEX([1]Pivot!$BF$1:$CG$65000,$B926,AE$5)=1,1,IF(INDEX([1]Pivot!$B$1:$AB$65000,$B926,AE$5)="",2,0)),0)</f>
        <v>0</v>
      </c>
      <c r="AF926" s="313">
        <f>IFERROR(IF(INDEX([1]Pivot!$BF$1:$CG$65000,$B926,AF$5)=1,1,IF(INDEX([1]Pivot!$B$1:$AB$65000,$B926,AF$5)="",2,0)),0)</f>
        <v>0</v>
      </c>
      <c r="AG926" s="313">
        <f>IFERROR(IF(INDEX([1]Pivot!$BF$1:$CG$65000,$B926,AG$5)=1,1,IF(INDEX([1]Pivot!$B$1:$AB$65000,$B926,AG$5)="",2,0)),0)</f>
        <v>0</v>
      </c>
      <c r="AH926" s="313">
        <f>IFERROR(IF(INDEX([1]Pivot!$BF$1:$CG$65000,$B926,AH$5)=1,1,IF(INDEX([1]Pivot!$B$1:$AB$65000,$B926,AH$5)="",2,0)),0)</f>
        <v>0</v>
      </c>
      <c r="AI926" s="313">
        <f>IFERROR(IF(INDEX([1]Pivot!$BF$1:$CG$65000,$B926,AI$5)=1,1,IF(INDEX([1]Pivot!$B$1:$AB$65000,$B926,AI$5)="",2,0)),0)</f>
        <v>0</v>
      </c>
      <c r="AJ926" s="313">
        <f>IFERROR(IF(INDEX([1]Pivot!$BF$1:$CG$65000,$B926,AJ$5)=1,1,IF(INDEX([1]Pivot!$B$1:$AB$65000,$B926,AJ$5)="",2,0)),0)</f>
        <v>0</v>
      </c>
      <c r="AK926" s="313">
        <f>IFERROR(IF(INDEX([1]Pivot!$BF$1:$CG$65000,$B926,AK$5)=1,1,IF(INDEX([1]Pivot!$B$1:$AB$65000,$B926,AK$5)="",2,0)),0)</f>
        <v>0</v>
      </c>
      <c r="AL926" s="313">
        <f>IFERROR(IF(INDEX([1]Pivot!$BF$1:$CG$65000,$B926,AL$5)=1,1,IF(INDEX([1]Pivot!$B$1:$AB$65000,$B926,AL$5)="",2,0)),0)</f>
        <v>0</v>
      </c>
      <c r="AM926" s="313">
        <f>IFERROR(IF(INDEX([1]Pivot!$BF$1:$CG$65000,$B926,AM$5)=1,1,IF(INDEX([1]Pivot!$B$1:$AB$65000,$B926,AM$5)="",2,0)),0)</f>
        <v>0</v>
      </c>
      <c r="AN926" s="313">
        <f>IFERROR(IF(INDEX([1]Pivot!$BF$1:$CG$65000,$B926,AN$5)=1,1,IF(INDEX([1]Pivot!$B$1:$AB$65000,$B926,AN$5)="",2,0)),0)</f>
        <v>0</v>
      </c>
      <c r="AO926" s="313">
        <f>IFERROR(IF(INDEX([1]Pivot!$BF$1:$CG$65000,$B926,AO$5)=1,1,IF(INDEX([1]Pivot!$B$1:$AB$65000,$B926,AO$5)="",2,0)),0)</f>
        <v>0</v>
      </c>
      <c r="AP926" s="313">
        <f>IFERROR(IF(INDEX([1]Pivot!$BF$1:$CG$65000,$B926,AP$5)=1,1,IF(INDEX([1]Pivot!$B$1:$AB$65000,$B926,AP$5)="",2,0)),0)</f>
        <v>0</v>
      </c>
      <c r="AQ926" s="313">
        <f>IFERROR(IF(INDEX([1]Pivot!$BF$1:$CG$65000,$B926,AQ$5)=1,1,IF(INDEX([1]Pivot!$B$1:$AB$65000,$B926,AQ$5)="",2,0)),0)</f>
        <v>0</v>
      </c>
      <c r="AR926" s="313">
        <f>IFERROR(IF(INDEX([1]Pivot!$BF$1:$CG$65000,$B926,AR$5)=1,1,IF(INDEX([1]Pivot!$B$1:$AB$65000,$B926,AR$5)="",2,0)),0)</f>
        <v>0</v>
      </c>
      <c r="AS926" s="312"/>
      <c r="AT926" s="313">
        <f>IFERROR(IF(INDEX([1]Pivot!$BF$1:$CG$65000,$B926,AT$5)=1,1,IF(INDEX([1]Pivot!$B$1:$AB$65000,$B926,AT$5)="",2,0)),0)</f>
        <v>0</v>
      </c>
      <c r="AU926" s="313">
        <f>IFERROR(IF(INDEX([1]Pivot!$BF$1:$CG$65000,$B926,AU$5)=1,1,IF(INDEX([1]Pivot!$B$1:$AB$65000,$B926,AU$5)="",2,0)),0)</f>
        <v>0</v>
      </c>
      <c r="AV926" s="313">
        <f>IFERROR(IF(INDEX([1]Pivot!$BF$1:$CG$65000,$B926,AV$5)=1,1,IF(INDEX([1]Pivot!$B$1:$AB$65000,$B926,AV$5)="",2,0)),0)</f>
        <v>0</v>
      </c>
      <c r="AW926" s="313">
        <f>IFERROR(IF(INDEX([1]Pivot!$BF$1:$CG$65000,$B926,AW$5)=1,1,IF(INDEX([1]Pivot!$B$1:$AB$65000,$B926,AW$5)="",2,0)),0)</f>
        <v>0</v>
      </c>
      <c r="AX926" s="313">
        <f>IFERROR(IF(INDEX([1]Pivot!$BF$1:$CG$65000,$B926,AX$5)=1,1,IF(INDEX([1]Pivot!$B$1:$AB$65000,$B926,AX$5)="",2,0)),0)</f>
        <v>0</v>
      </c>
      <c r="AY926" s="313">
        <f>IFERROR(IF(INDEX([1]Pivot!$BF$1:$CG$65000,$B926,AY$5)=1,1,IF(INDEX([1]Pivot!$B$1:$AB$65000,$B926,AY$5)="",2,0)),0)</f>
        <v>0</v>
      </c>
      <c r="AZ926" s="313">
        <f>IFERROR(IF(INDEX([1]Pivot!$BF$1:$CG$65000,$B926,AZ$5)=1,1,IF(INDEX([1]Pivot!$B$1:$AB$65000,$B926,AZ$5)="",2,0)),0)</f>
        <v>0</v>
      </c>
      <c r="BA926" s="313">
        <f>IFERROR(IF(INDEX([1]Pivot!$BF$1:$CG$65000,$B926,BA$5)=1,1,IF(INDEX([1]Pivot!$B$1:$AB$65000,$B926,BA$5)="",2,0)),0)</f>
        <v>0</v>
      </c>
      <c r="BB926" s="313">
        <f>IFERROR(IF(INDEX([1]Pivot!$BF$1:$CG$65000,$B926,BB$5)=1,1,IF(INDEX([1]Pivot!$B$1:$AB$65000,$B926,BB$5)="",2,0)),0)</f>
        <v>0</v>
      </c>
      <c r="BC926" s="313">
        <f>IFERROR(IF(INDEX([1]Pivot!$BF$1:$CG$65000,$B926,BC$5)=1,1,IF(INDEX([1]Pivot!$B$1:$AB$65000,$B926,BC$5)="",2,0)),0)</f>
        <v>0</v>
      </c>
      <c r="BD926" s="313">
        <f>IFERROR(IF(INDEX([1]Pivot!$BF$1:$CG$65000,$B926,BD$5)=1,1,IF(INDEX([1]Pivot!$B$1:$AB$65000,$B926,BD$5)="",2,0)),0)</f>
        <v>0</v>
      </c>
    </row>
    <row r="927" spans="1:56" x14ac:dyDescent="0.25">
      <c r="A927" s="288">
        <f>'[2]Raw Milk Prices'!A927</f>
        <v>0</v>
      </c>
      <c r="B927" s="296" t="e">
        <f>MATCH(DATE(LEFT('[2]Raw Milk Prices'!$A927,4),RIGHT('[2]Raw Milk Prices'!$A927,2),1),[1]Pivot!$A$1:$A$65000,0)</f>
        <v>#VALUE!</v>
      </c>
      <c r="C927" s="194">
        <f>IFERROR(IF(INDEX([1]Pivot!$AD$1:$BE$65000,$B927,C$5)=1,1,IF(INDEX([1]Pivot!$B$1:$AB$65000,$B927,C$5)="",2,0)),0)</f>
        <v>0</v>
      </c>
      <c r="D927" s="194">
        <f>IFERROR(IF(INDEX([1]Pivot!$AD$1:$BE$65000,$B927,D$5)=1,1,IF(INDEX([1]Pivot!$B$1:$AB$65000,$B927,D$5)="",2,0)),0)</f>
        <v>0</v>
      </c>
      <c r="E927" s="194">
        <f>IFERROR(IF(INDEX([1]Pivot!$AD$1:$BE$65000,$B927,E$5)=1,1,IF(INDEX([1]Pivot!$B$1:$AB$65000,$B927,E$5)="",2,0)),0)</f>
        <v>0</v>
      </c>
      <c r="F927" s="194">
        <f>IFERROR(IF(INDEX([1]Pivot!$AD$1:$BE$65000,$B927,F$5)=1,1,IF(INDEX([1]Pivot!$B$1:$AB$65000,$B927,F$5)="",2,0)),0)</f>
        <v>0</v>
      </c>
      <c r="G927" s="194">
        <f>IFERROR(IF(INDEX([1]Pivot!$AD$1:$BE$65000,$B927,G$5)=1,1,IF(INDEX([1]Pivot!$B$1:$AB$65000,$B927,G$5)="",2,0)),0)</f>
        <v>0</v>
      </c>
      <c r="H927" s="194">
        <f>IFERROR(IF(INDEX([1]Pivot!$AD$1:$BE$65000,$B927,H$5)=1,1,IF(INDEX([1]Pivot!$B$1:$AB$65000,$B927,H$5)="",2,0)),0)</f>
        <v>0</v>
      </c>
      <c r="I927" s="194">
        <f>IFERROR(IF(INDEX([1]Pivot!$AD$1:$BE$65000,$B927,I$5)=1,1,IF(INDEX([1]Pivot!$B$1:$AB$65000,$B927,I$5)="",2,0)),0)</f>
        <v>0</v>
      </c>
      <c r="J927" s="194">
        <f>IFERROR(IF(INDEX([1]Pivot!$AD$1:$BE$65000,$B927,J$5)=1,1,IF(INDEX([1]Pivot!$B$1:$AB$65000,$B927,J$5)="",2,0)),0)</f>
        <v>0</v>
      </c>
      <c r="K927" s="194">
        <f>IFERROR(IF(INDEX([1]Pivot!$AD$1:$BE$65000,$B927,K$5)=1,1,IF(INDEX([1]Pivot!$B$1:$AB$65000,$B927,K$5)="",2,0)),0)</f>
        <v>0</v>
      </c>
      <c r="L927" s="194">
        <f>IFERROR(IF(INDEX([1]Pivot!$AD$1:$BE$65000,$B927,L$5)=1,1,IF(INDEX([1]Pivot!$B$1:$AB$65000,$B927,L$5)="",2,0)),0)</f>
        <v>0</v>
      </c>
      <c r="M927" s="194">
        <f>IFERROR(IF(INDEX([1]Pivot!$AD$1:$BE$65000,$B927,M$5)=1,1,IF(INDEX([1]Pivot!$B$1:$AB$65000,$B927,M$5)="",2,0)),0)</f>
        <v>0</v>
      </c>
      <c r="N927" s="194">
        <f>IFERROR(IF(INDEX([1]Pivot!$AD$1:$BE$65000,$B927,N$5)=1,1,IF(INDEX([1]Pivot!$B$1:$AB$65000,$B927,N$5)="",2,0)),0)</f>
        <v>0</v>
      </c>
      <c r="O927" s="194">
        <f>IFERROR(IF(INDEX([1]Pivot!$AD$1:$BE$65000,$B927,O$5)=1,1,IF(INDEX([1]Pivot!$B$1:$AB$65000,$B927,O$5)="",2,0)),0)</f>
        <v>0</v>
      </c>
      <c r="P927" s="194">
        <f>IFERROR(IF(INDEX([1]Pivot!$AD$1:$BE$65000,$B927,P$5)=1,1,IF(INDEX([1]Pivot!$B$1:$AB$65000,$B927,P$5)="",2,0)),0)</f>
        <v>0</v>
      </c>
      <c r="Q927" s="194">
        <f>IFERROR(IF(INDEX([1]Pivot!$AD$1:$BE$65000,$B927,Q$5)=1,1,IF(INDEX([1]Pivot!$B$1:$AB$65000,$B927,Q$5)="",2,0)),0)</f>
        <v>0</v>
      </c>
      <c r="R927" s="312"/>
      <c r="S927" s="194">
        <f>IFERROR(IF(INDEX([1]Pivot!$AD$1:$BE$65000,$B927,S$5)=1,1,IF(INDEX([1]Pivot!$B$1:$AB$65000,$B927,S$5)="",2,0)),0)</f>
        <v>0</v>
      </c>
      <c r="T927" s="194">
        <f>IFERROR(IF(INDEX([1]Pivot!$AD$1:$BE$65000,$B927,T$5)=1,1,IF(INDEX([1]Pivot!$B$1:$AB$65000,$B927,T$5)="",2,0)),0)</f>
        <v>0</v>
      </c>
      <c r="U927" s="194">
        <f>IFERROR(IF(INDEX([1]Pivot!$AD$1:$BE$65000,$B927,U$5)=1,1,IF(INDEX([1]Pivot!$B$1:$AB$65000,$B927,U$5)="",2,0)),0)</f>
        <v>0</v>
      </c>
      <c r="V927" s="194">
        <f>IFERROR(IF(INDEX([1]Pivot!$AD$1:$BE$65000,$B927,V$5)=1,1,IF(INDEX([1]Pivot!$B$1:$AB$65000,$B927,V$5)="",2,0)),0)</f>
        <v>0</v>
      </c>
      <c r="W927" s="194">
        <f>IFERROR(IF(INDEX([1]Pivot!$AD$1:$BE$65000,$B927,W$5)=1,1,IF(INDEX([1]Pivot!$B$1:$AB$65000,$B927,W$5)="",2,0)),0)</f>
        <v>0</v>
      </c>
      <c r="X927" s="194">
        <f>IFERROR(IF(INDEX([1]Pivot!$AD$1:$BE$65000,$B927,X$5)=1,1,IF(INDEX([1]Pivot!$B$1:$AB$65000,$B927,X$5)="",2,0)),0)</f>
        <v>0</v>
      </c>
      <c r="Y927" s="194">
        <f>IFERROR(IF(INDEX([1]Pivot!$AD$1:$BE$65000,$B927,Y$5)=1,1,IF(INDEX([1]Pivot!$B$1:$AB$65000,$B927,Y$5)="",2,0)),0)</f>
        <v>0</v>
      </c>
      <c r="Z927" s="194">
        <f>IFERROR(IF(INDEX([1]Pivot!$AD$1:$BE$65000,$B927,Z$5)=1,1,IF(INDEX([1]Pivot!$B$1:$AB$65000,$B927,Z$5)="",2,0)),0)</f>
        <v>0</v>
      </c>
      <c r="AA927" s="194">
        <f>IFERROR(IF(INDEX([1]Pivot!$AD$1:$BE$65000,$B927,AA$5)=1,1,IF(INDEX([1]Pivot!$B$1:$AB$65000,$B927,AA$5)="",2,0)),0)</f>
        <v>0</v>
      </c>
      <c r="AB927" s="194">
        <f>IFERROR(IF(INDEX([1]Pivot!$AD$1:$BE$65000,$B927,AB$5)=1,1,IF(INDEX([1]Pivot!$B$1:$AB$65000,$B927,AB$5)="",2,0)),0)</f>
        <v>0</v>
      </c>
      <c r="AC927" s="194">
        <f>IFERROR(IF(INDEX([1]Pivot!$AD$1:$BE$65000,$B927,AC$5)=1,1,IF(INDEX([1]Pivot!$B$1:$AB$65000,$B927,AC$5)="",2,0)),0)</f>
        <v>0</v>
      </c>
      <c r="AD927" s="313">
        <f>IFERROR(IF(INDEX([1]Pivot!$BF$1:$CG$65000,$B927,AD$5)=1,1,IF(INDEX([1]Pivot!$B$1:$AB$65000,$B927,AD$5)="",2,0)),0)</f>
        <v>0</v>
      </c>
      <c r="AE927" s="313">
        <f>IFERROR(IF(INDEX([1]Pivot!$BF$1:$CG$65000,$B927,AE$5)=1,1,IF(INDEX([1]Pivot!$B$1:$AB$65000,$B927,AE$5)="",2,0)),0)</f>
        <v>0</v>
      </c>
      <c r="AF927" s="313">
        <f>IFERROR(IF(INDEX([1]Pivot!$BF$1:$CG$65000,$B927,AF$5)=1,1,IF(INDEX([1]Pivot!$B$1:$AB$65000,$B927,AF$5)="",2,0)),0)</f>
        <v>0</v>
      </c>
      <c r="AG927" s="313">
        <f>IFERROR(IF(INDEX([1]Pivot!$BF$1:$CG$65000,$B927,AG$5)=1,1,IF(INDEX([1]Pivot!$B$1:$AB$65000,$B927,AG$5)="",2,0)),0)</f>
        <v>0</v>
      </c>
      <c r="AH927" s="313">
        <f>IFERROR(IF(INDEX([1]Pivot!$BF$1:$CG$65000,$B927,AH$5)=1,1,IF(INDEX([1]Pivot!$B$1:$AB$65000,$B927,AH$5)="",2,0)),0)</f>
        <v>0</v>
      </c>
      <c r="AI927" s="313">
        <f>IFERROR(IF(INDEX([1]Pivot!$BF$1:$CG$65000,$B927,AI$5)=1,1,IF(INDEX([1]Pivot!$B$1:$AB$65000,$B927,AI$5)="",2,0)),0)</f>
        <v>0</v>
      </c>
      <c r="AJ927" s="313">
        <f>IFERROR(IF(INDEX([1]Pivot!$BF$1:$CG$65000,$B927,AJ$5)=1,1,IF(INDEX([1]Pivot!$B$1:$AB$65000,$B927,AJ$5)="",2,0)),0)</f>
        <v>0</v>
      </c>
      <c r="AK927" s="313">
        <f>IFERROR(IF(INDEX([1]Pivot!$BF$1:$CG$65000,$B927,AK$5)=1,1,IF(INDEX([1]Pivot!$B$1:$AB$65000,$B927,AK$5)="",2,0)),0)</f>
        <v>0</v>
      </c>
      <c r="AL927" s="313">
        <f>IFERROR(IF(INDEX([1]Pivot!$BF$1:$CG$65000,$B927,AL$5)=1,1,IF(INDEX([1]Pivot!$B$1:$AB$65000,$B927,AL$5)="",2,0)),0)</f>
        <v>0</v>
      </c>
      <c r="AM927" s="313">
        <f>IFERROR(IF(INDEX([1]Pivot!$BF$1:$CG$65000,$B927,AM$5)=1,1,IF(INDEX([1]Pivot!$B$1:$AB$65000,$B927,AM$5)="",2,0)),0)</f>
        <v>0</v>
      </c>
      <c r="AN927" s="313">
        <f>IFERROR(IF(INDEX([1]Pivot!$BF$1:$CG$65000,$B927,AN$5)=1,1,IF(INDEX([1]Pivot!$B$1:$AB$65000,$B927,AN$5)="",2,0)),0)</f>
        <v>0</v>
      </c>
      <c r="AO927" s="313">
        <f>IFERROR(IF(INDEX([1]Pivot!$BF$1:$CG$65000,$B927,AO$5)=1,1,IF(INDEX([1]Pivot!$B$1:$AB$65000,$B927,AO$5)="",2,0)),0)</f>
        <v>0</v>
      </c>
      <c r="AP927" s="313">
        <f>IFERROR(IF(INDEX([1]Pivot!$BF$1:$CG$65000,$B927,AP$5)=1,1,IF(INDEX([1]Pivot!$B$1:$AB$65000,$B927,AP$5)="",2,0)),0)</f>
        <v>0</v>
      </c>
      <c r="AQ927" s="313">
        <f>IFERROR(IF(INDEX([1]Pivot!$BF$1:$CG$65000,$B927,AQ$5)=1,1,IF(INDEX([1]Pivot!$B$1:$AB$65000,$B927,AQ$5)="",2,0)),0)</f>
        <v>0</v>
      </c>
      <c r="AR927" s="313">
        <f>IFERROR(IF(INDEX([1]Pivot!$BF$1:$CG$65000,$B927,AR$5)=1,1,IF(INDEX([1]Pivot!$B$1:$AB$65000,$B927,AR$5)="",2,0)),0)</f>
        <v>0</v>
      </c>
      <c r="AS927" s="312"/>
      <c r="AT927" s="313">
        <f>IFERROR(IF(INDEX([1]Pivot!$BF$1:$CG$65000,$B927,AT$5)=1,1,IF(INDEX([1]Pivot!$B$1:$AB$65000,$B927,AT$5)="",2,0)),0)</f>
        <v>0</v>
      </c>
      <c r="AU927" s="313">
        <f>IFERROR(IF(INDEX([1]Pivot!$BF$1:$CG$65000,$B927,AU$5)=1,1,IF(INDEX([1]Pivot!$B$1:$AB$65000,$B927,AU$5)="",2,0)),0)</f>
        <v>0</v>
      </c>
      <c r="AV927" s="313">
        <f>IFERROR(IF(INDEX([1]Pivot!$BF$1:$CG$65000,$B927,AV$5)=1,1,IF(INDEX([1]Pivot!$B$1:$AB$65000,$B927,AV$5)="",2,0)),0)</f>
        <v>0</v>
      </c>
      <c r="AW927" s="313">
        <f>IFERROR(IF(INDEX([1]Pivot!$BF$1:$CG$65000,$B927,AW$5)=1,1,IF(INDEX([1]Pivot!$B$1:$AB$65000,$B927,AW$5)="",2,0)),0)</f>
        <v>0</v>
      </c>
      <c r="AX927" s="313">
        <f>IFERROR(IF(INDEX([1]Pivot!$BF$1:$CG$65000,$B927,AX$5)=1,1,IF(INDEX([1]Pivot!$B$1:$AB$65000,$B927,AX$5)="",2,0)),0)</f>
        <v>0</v>
      </c>
      <c r="AY927" s="313">
        <f>IFERROR(IF(INDEX([1]Pivot!$BF$1:$CG$65000,$B927,AY$5)=1,1,IF(INDEX([1]Pivot!$B$1:$AB$65000,$B927,AY$5)="",2,0)),0)</f>
        <v>0</v>
      </c>
      <c r="AZ927" s="313">
        <f>IFERROR(IF(INDEX([1]Pivot!$BF$1:$CG$65000,$B927,AZ$5)=1,1,IF(INDEX([1]Pivot!$B$1:$AB$65000,$B927,AZ$5)="",2,0)),0)</f>
        <v>0</v>
      </c>
      <c r="BA927" s="313">
        <f>IFERROR(IF(INDEX([1]Pivot!$BF$1:$CG$65000,$B927,BA$5)=1,1,IF(INDEX([1]Pivot!$B$1:$AB$65000,$B927,BA$5)="",2,0)),0)</f>
        <v>0</v>
      </c>
      <c r="BB927" s="313">
        <f>IFERROR(IF(INDEX([1]Pivot!$BF$1:$CG$65000,$B927,BB$5)=1,1,IF(INDEX([1]Pivot!$B$1:$AB$65000,$B927,BB$5)="",2,0)),0)</f>
        <v>0</v>
      </c>
      <c r="BC927" s="313">
        <f>IFERROR(IF(INDEX([1]Pivot!$BF$1:$CG$65000,$B927,BC$5)=1,1,IF(INDEX([1]Pivot!$B$1:$AB$65000,$B927,BC$5)="",2,0)),0)</f>
        <v>0</v>
      </c>
      <c r="BD927" s="313">
        <f>IFERROR(IF(INDEX([1]Pivot!$BF$1:$CG$65000,$B927,BD$5)=1,1,IF(INDEX([1]Pivot!$B$1:$AB$65000,$B927,BD$5)="",2,0)),0)</f>
        <v>0</v>
      </c>
    </row>
    <row r="928" spans="1:56" x14ac:dyDescent="0.25">
      <c r="A928" s="288">
        <f>'[2]Raw Milk Prices'!A928</f>
        <v>0</v>
      </c>
      <c r="B928" s="296" t="e">
        <f>MATCH(DATE(LEFT('[2]Raw Milk Prices'!$A928,4),RIGHT('[2]Raw Milk Prices'!$A928,2),1),[1]Pivot!$A$1:$A$65000,0)</f>
        <v>#VALUE!</v>
      </c>
      <c r="C928" s="194">
        <f>IFERROR(IF(INDEX([1]Pivot!$AD$1:$BE$65000,$B928,C$5)=1,1,IF(INDEX([1]Pivot!$B$1:$AB$65000,$B928,C$5)="",2,0)),0)</f>
        <v>0</v>
      </c>
      <c r="D928" s="194">
        <f>IFERROR(IF(INDEX([1]Pivot!$AD$1:$BE$65000,$B928,D$5)=1,1,IF(INDEX([1]Pivot!$B$1:$AB$65000,$B928,D$5)="",2,0)),0)</f>
        <v>0</v>
      </c>
      <c r="E928" s="194">
        <f>IFERROR(IF(INDEX([1]Pivot!$AD$1:$BE$65000,$B928,E$5)=1,1,IF(INDEX([1]Pivot!$B$1:$AB$65000,$B928,E$5)="",2,0)),0)</f>
        <v>0</v>
      </c>
      <c r="F928" s="194">
        <f>IFERROR(IF(INDEX([1]Pivot!$AD$1:$BE$65000,$B928,F$5)=1,1,IF(INDEX([1]Pivot!$B$1:$AB$65000,$B928,F$5)="",2,0)),0)</f>
        <v>0</v>
      </c>
      <c r="G928" s="194">
        <f>IFERROR(IF(INDEX([1]Pivot!$AD$1:$BE$65000,$B928,G$5)=1,1,IF(INDEX([1]Pivot!$B$1:$AB$65000,$B928,G$5)="",2,0)),0)</f>
        <v>0</v>
      </c>
      <c r="H928" s="194">
        <f>IFERROR(IF(INDEX([1]Pivot!$AD$1:$BE$65000,$B928,H$5)=1,1,IF(INDEX([1]Pivot!$B$1:$AB$65000,$B928,H$5)="",2,0)),0)</f>
        <v>0</v>
      </c>
      <c r="I928" s="194">
        <f>IFERROR(IF(INDEX([1]Pivot!$AD$1:$BE$65000,$B928,I$5)=1,1,IF(INDEX([1]Pivot!$B$1:$AB$65000,$B928,I$5)="",2,0)),0)</f>
        <v>0</v>
      </c>
      <c r="J928" s="194">
        <f>IFERROR(IF(INDEX([1]Pivot!$AD$1:$BE$65000,$B928,J$5)=1,1,IF(INDEX([1]Pivot!$B$1:$AB$65000,$B928,J$5)="",2,0)),0)</f>
        <v>0</v>
      </c>
      <c r="K928" s="194">
        <f>IFERROR(IF(INDEX([1]Pivot!$AD$1:$BE$65000,$B928,K$5)=1,1,IF(INDEX([1]Pivot!$B$1:$AB$65000,$B928,K$5)="",2,0)),0)</f>
        <v>0</v>
      </c>
      <c r="L928" s="194">
        <f>IFERROR(IF(INDEX([1]Pivot!$AD$1:$BE$65000,$B928,L$5)=1,1,IF(INDEX([1]Pivot!$B$1:$AB$65000,$B928,L$5)="",2,0)),0)</f>
        <v>0</v>
      </c>
      <c r="M928" s="194">
        <f>IFERROR(IF(INDEX([1]Pivot!$AD$1:$BE$65000,$B928,M$5)=1,1,IF(INDEX([1]Pivot!$B$1:$AB$65000,$B928,M$5)="",2,0)),0)</f>
        <v>0</v>
      </c>
      <c r="N928" s="194">
        <f>IFERROR(IF(INDEX([1]Pivot!$AD$1:$BE$65000,$B928,N$5)=1,1,IF(INDEX([1]Pivot!$B$1:$AB$65000,$B928,N$5)="",2,0)),0)</f>
        <v>0</v>
      </c>
      <c r="O928" s="194">
        <f>IFERROR(IF(INDEX([1]Pivot!$AD$1:$BE$65000,$B928,O$5)=1,1,IF(INDEX([1]Pivot!$B$1:$AB$65000,$B928,O$5)="",2,0)),0)</f>
        <v>0</v>
      </c>
      <c r="P928" s="194">
        <f>IFERROR(IF(INDEX([1]Pivot!$AD$1:$BE$65000,$B928,P$5)=1,1,IF(INDEX([1]Pivot!$B$1:$AB$65000,$B928,P$5)="",2,0)),0)</f>
        <v>0</v>
      </c>
      <c r="Q928" s="194">
        <f>IFERROR(IF(INDEX([1]Pivot!$AD$1:$BE$65000,$B928,Q$5)=1,1,IF(INDEX([1]Pivot!$B$1:$AB$65000,$B928,Q$5)="",2,0)),0)</f>
        <v>0</v>
      </c>
      <c r="R928" s="312"/>
      <c r="S928" s="194">
        <f>IFERROR(IF(INDEX([1]Pivot!$AD$1:$BE$65000,$B928,S$5)=1,1,IF(INDEX([1]Pivot!$B$1:$AB$65000,$B928,S$5)="",2,0)),0)</f>
        <v>0</v>
      </c>
      <c r="T928" s="194">
        <f>IFERROR(IF(INDEX([1]Pivot!$AD$1:$BE$65000,$B928,T$5)=1,1,IF(INDEX([1]Pivot!$B$1:$AB$65000,$B928,T$5)="",2,0)),0)</f>
        <v>0</v>
      </c>
      <c r="U928" s="194">
        <f>IFERROR(IF(INDEX([1]Pivot!$AD$1:$BE$65000,$B928,U$5)=1,1,IF(INDEX([1]Pivot!$B$1:$AB$65000,$B928,U$5)="",2,0)),0)</f>
        <v>0</v>
      </c>
      <c r="V928" s="194">
        <f>IFERROR(IF(INDEX([1]Pivot!$AD$1:$BE$65000,$B928,V$5)=1,1,IF(INDEX([1]Pivot!$B$1:$AB$65000,$B928,V$5)="",2,0)),0)</f>
        <v>0</v>
      </c>
      <c r="W928" s="194">
        <f>IFERROR(IF(INDEX([1]Pivot!$AD$1:$BE$65000,$B928,W$5)=1,1,IF(INDEX([1]Pivot!$B$1:$AB$65000,$B928,W$5)="",2,0)),0)</f>
        <v>0</v>
      </c>
      <c r="X928" s="194">
        <f>IFERROR(IF(INDEX([1]Pivot!$AD$1:$BE$65000,$B928,X$5)=1,1,IF(INDEX([1]Pivot!$B$1:$AB$65000,$B928,X$5)="",2,0)),0)</f>
        <v>0</v>
      </c>
      <c r="Y928" s="194">
        <f>IFERROR(IF(INDEX([1]Pivot!$AD$1:$BE$65000,$B928,Y$5)=1,1,IF(INDEX([1]Pivot!$B$1:$AB$65000,$B928,Y$5)="",2,0)),0)</f>
        <v>0</v>
      </c>
      <c r="Z928" s="194">
        <f>IFERROR(IF(INDEX([1]Pivot!$AD$1:$BE$65000,$B928,Z$5)=1,1,IF(INDEX([1]Pivot!$B$1:$AB$65000,$B928,Z$5)="",2,0)),0)</f>
        <v>0</v>
      </c>
      <c r="AA928" s="194">
        <f>IFERROR(IF(INDEX([1]Pivot!$AD$1:$BE$65000,$B928,AA$5)=1,1,IF(INDEX([1]Pivot!$B$1:$AB$65000,$B928,AA$5)="",2,0)),0)</f>
        <v>0</v>
      </c>
      <c r="AB928" s="194">
        <f>IFERROR(IF(INDEX([1]Pivot!$AD$1:$BE$65000,$B928,AB$5)=1,1,IF(INDEX([1]Pivot!$B$1:$AB$65000,$B928,AB$5)="",2,0)),0)</f>
        <v>0</v>
      </c>
      <c r="AC928" s="194">
        <f>IFERROR(IF(INDEX([1]Pivot!$AD$1:$BE$65000,$B928,AC$5)=1,1,IF(INDEX([1]Pivot!$B$1:$AB$65000,$B928,AC$5)="",2,0)),0)</f>
        <v>0</v>
      </c>
      <c r="AD928" s="313">
        <f>IFERROR(IF(INDEX([1]Pivot!$BF$1:$CG$65000,$B928,AD$5)=1,1,IF(INDEX([1]Pivot!$B$1:$AB$65000,$B928,AD$5)="",2,0)),0)</f>
        <v>0</v>
      </c>
      <c r="AE928" s="313">
        <f>IFERROR(IF(INDEX([1]Pivot!$BF$1:$CG$65000,$B928,AE$5)=1,1,IF(INDEX([1]Pivot!$B$1:$AB$65000,$B928,AE$5)="",2,0)),0)</f>
        <v>0</v>
      </c>
      <c r="AF928" s="313">
        <f>IFERROR(IF(INDEX([1]Pivot!$BF$1:$CG$65000,$B928,AF$5)=1,1,IF(INDEX([1]Pivot!$B$1:$AB$65000,$B928,AF$5)="",2,0)),0)</f>
        <v>0</v>
      </c>
      <c r="AG928" s="313">
        <f>IFERROR(IF(INDEX([1]Pivot!$BF$1:$CG$65000,$B928,AG$5)=1,1,IF(INDEX([1]Pivot!$B$1:$AB$65000,$B928,AG$5)="",2,0)),0)</f>
        <v>0</v>
      </c>
      <c r="AH928" s="313">
        <f>IFERROR(IF(INDEX([1]Pivot!$BF$1:$CG$65000,$B928,AH$5)=1,1,IF(INDEX([1]Pivot!$B$1:$AB$65000,$B928,AH$5)="",2,0)),0)</f>
        <v>0</v>
      </c>
      <c r="AI928" s="313">
        <f>IFERROR(IF(INDEX([1]Pivot!$BF$1:$CG$65000,$B928,AI$5)=1,1,IF(INDEX([1]Pivot!$B$1:$AB$65000,$B928,AI$5)="",2,0)),0)</f>
        <v>0</v>
      </c>
      <c r="AJ928" s="313">
        <f>IFERROR(IF(INDEX([1]Pivot!$BF$1:$CG$65000,$B928,AJ$5)=1,1,IF(INDEX([1]Pivot!$B$1:$AB$65000,$B928,AJ$5)="",2,0)),0)</f>
        <v>0</v>
      </c>
      <c r="AK928" s="313">
        <f>IFERROR(IF(INDEX([1]Pivot!$BF$1:$CG$65000,$B928,AK$5)=1,1,IF(INDEX([1]Pivot!$B$1:$AB$65000,$B928,AK$5)="",2,0)),0)</f>
        <v>0</v>
      </c>
      <c r="AL928" s="313">
        <f>IFERROR(IF(INDEX([1]Pivot!$BF$1:$CG$65000,$B928,AL$5)=1,1,IF(INDEX([1]Pivot!$B$1:$AB$65000,$B928,AL$5)="",2,0)),0)</f>
        <v>0</v>
      </c>
      <c r="AM928" s="313">
        <f>IFERROR(IF(INDEX([1]Pivot!$BF$1:$CG$65000,$B928,AM$5)=1,1,IF(INDEX([1]Pivot!$B$1:$AB$65000,$B928,AM$5)="",2,0)),0)</f>
        <v>0</v>
      </c>
      <c r="AN928" s="313">
        <f>IFERROR(IF(INDEX([1]Pivot!$BF$1:$CG$65000,$B928,AN$5)=1,1,IF(INDEX([1]Pivot!$B$1:$AB$65000,$B928,AN$5)="",2,0)),0)</f>
        <v>0</v>
      </c>
      <c r="AO928" s="313">
        <f>IFERROR(IF(INDEX([1]Pivot!$BF$1:$CG$65000,$B928,AO$5)=1,1,IF(INDEX([1]Pivot!$B$1:$AB$65000,$B928,AO$5)="",2,0)),0)</f>
        <v>0</v>
      </c>
      <c r="AP928" s="313">
        <f>IFERROR(IF(INDEX([1]Pivot!$BF$1:$CG$65000,$B928,AP$5)=1,1,IF(INDEX([1]Pivot!$B$1:$AB$65000,$B928,AP$5)="",2,0)),0)</f>
        <v>0</v>
      </c>
      <c r="AQ928" s="313">
        <f>IFERROR(IF(INDEX([1]Pivot!$BF$1:$CG$65000,$B928,AQ$5)=1,1,IF(INDEX([1]Pivot!$B$1:$AB$65000,$B928,AQ$5)="",2,0)),0)</f>
        <v>0</v>
      </c>
      <c r="AR928" s="313">
        <f>IFERROR(IF(INDEX([1]Pivot!$BF$1:$CG$65000,$B928,AR$5)=1,1,IF(INDEX([1]Pivot!$B$1:$AB$65000,$B928,AR$5)="",2,0)),0)</f>
        <v>0</v>
      </c>
      <c r="AS928" s="312"/>
      <c r="AT928" s="313">
        <f>IFERROR(IF(INDEX([1]Pivot!$BF$1:$CG$65000,$B928,AT$5)=1,1,IF(INDEX([1]Pivot!$B$1:$AB$65000,$B928,AT$5)="",2,0)),0)</f>
        <v>0</v>
      </c>
      <c r="AU928" s="313">
        <f>IFERROR(IF(INDEX([1]Pivot!$BF$1:$CG$65000,$B928,AU$5)=1,1,IF(INDEX([1]Pivot!$B$1:$AB$65000,$B928,AU$5)="",2,0)),0)</f>
        <v>0</v>
      </c>
      <c r="AV928" s="313">
        <f>IFERROR(IF(INDEX([1]Pivot!$BF$1:$CG$65000,$B928,AV$5)=1,1,IF(INDEX([1]Pivot!$B$1:$AB$65000,$B928,AV$5)="",2,0)),0)</f>
        <v>0</v>
      </c>
      <c r="AW928" s="313">
        <f>IFERROR(IF(INDEX([1]Pivot!$BF$1:$CG$65000,$B928,AW$5)=1,1,IF(INDEX([1]Pivot!$B$1:$AB$65000,$B928,AW$5)="",2,0)),0)</f>
        <v>0</v>
      </c>
      <c r="AX928" s="313">
        <f>IFERROR(IF(INDEX([1]Pivot!$BF$1:$CG$65000,$B928,AX$5)=1,1,IF(INDEX([1]Pivot!$B$1:$AB$65000,$B928,AX$5)="",2,0)),0)</f>
        <v>0</v>
      </c>
      <c r="AY928" s="313">
        <f>IFERROR(IF(INDEX([1]Pivot!$BF$1:$CG$65000,$B928,AY$5)=1,1,IF(INDEX([1]Pivot!$B$1:$AB$65000,$B928,AY$5)="",2,0)),0)</f>
        <v>0</v>
      </c>
      <c r="AZ928" s="313">
        <f>IFERROR(IF(INDEX([1]Pivot!$BF$1:$CG$65000,$B928,AZ$5)=1,1,IF(INDEX([1]Pivot!$B$1:$AB$65000,$B928,AZ$5)="",2,0)),0)</f>
        <v>0</v>
      </c>
      <c r="BA928" s="313">
        <f>IFERROR(IF(INDEX([1]Pivot!$BF$1:$CG$65000,$B928,BA$5)=1,1,IF(INDEX([1]Pivot!$B$1:$AB$65000,$B928,BA$5)="",2,0)),0)</f>
        <v>0</v>
      </c>
      <c r="BB928" s="313">
        <f>IFERROR(IF(INDEX([1]Pivot!$BF$1:$CG$65000,$B928,BB$5)=1,1,IF(INDEX([1]Pivot!$B$1:$AB$65000,$B928,BB$5)="",2,0)),0)</f>
        <v>0</v>
      </c>
      <c r="BC928" s="313">
        <f>IFERROR(IF(INDEX([1]Pivot!$BF$1:$CG$65000,$B928,BC$5)=1,1,IF(INDEX([1]Pivot!$B$1:$AB$65000,$B928,BC$5)="",2,0)),0)</f>
        <v>0</v>
      </c>
      <c r="BD928" s="313">
        <f>IFERROR(IF(INDEX([1]Pivot!$BF$1:$CG$65000,$B928,BD$5)=1,1,IF(INDEX([1]Pivot!$B$1:$AB$65000,$B928,BD$5)="",2,0)),0)</f>
        <v>0</v>
      </c>
    </row>
    <row r="929" spans="1:56" x14ac:dyDescent="0.25">
      <c r="A929" s="288">
        <f>'[2]Raw Milk Prices'!A929</f>
        <v>0</v>
      </c>
      <c r="B929" s="296" t="e">
        <f>MATCH(DATE(LEFT('[2]Raw Milk Prices'!$A929,4),RIGHT('[2]Raw Milk Prices'!$A929,2),1),[1]Pivot!$A$1:$A$65000,0)</f>
        <v>#VALUE!</v>
      </c>
      <c r="C929" s="194">
        <f>IFERROR(IF(INDEX([1]Pivot!$AD$1:$BE$65000,$B929,C$5)=1,1,IF(INDEX([1]Pivot!$B$1:$AB$65000,$B929,C$5)="",2,0)),0)</f>
        <v>0</v>
      </c>
      <c r="D929" s="194">
        <f>IFERROR(IF(INDEX([1]Pivot!$AD$1:$BE$65000,$B929,D$5)=1,1,IF(INDEX([1]Pivot!$B$1:$AB$65000,$B929,D$5)="",2,0)),0)</f>
        <v>0</v>
      </c>
      <c r="E929" s="194">
        <f>IFERROR(IF(INDEX([1]Pivot!$AD$1:$BE$65000,$B929,E$5)=1,1,IF(INDEX([1]Pivot!$B$1:$AB$65000,$B929,E$5)="",2,0)),0)</f>
        <v>0</v>
      </c>
      <c r="F929" s="194">
        <f>IFERROR(IF(INDEX([1]Pivot!$AD$1:$BE$65000,$B929,F$5)=1,1,IF(INDEX([1]Pivot!$B$1:$AB$65000,$B929,F$5)="",2,0)),0)</f>
        <v>0</v>
      </c>
      <c r="G929" s="194">
        <f>IFERROR(IF(INDEX([1]Pivot!$AD$1:$BE$65000,$B929,G$5)=1,1,IF(INDEX([1]Pivot!$B$1:$AB$65000,$B929,G$5)="",2,0)),0)</f>
        <v>0</v>
      </c>
      <c r="H929" s="194">
        <f>IFERROR(IF(INDEX([1]Pivot!$AD$1:$BE$65000,$B929,H$5)=1,1,IF(INDEX([1]Pivot!$B$1:$AB$65000,$B929,H$5)="",2,0)),0)</f>
        <v>0</v>
      </c>
      <c r="I929" s="194">
        <f>IFERROR(IF(INDEX([1]Pivot!$AD$1:$BE$65000,$B929,I$5)=1,1,IF(INDEX([1]Pivot!$B$1:$AB$65000,$B929,I$5)="",2,0)),0)</f>
        <v>0</v>
      </c>
      <c r="J929" s="194">
        <f>IFERROR(IF(INDEX([1]Pivot!$AD$1:$BE$65000,$B929,J$5)=1,1,IF(INDEX([1]Pivot!$B$1:$AB$65000,$B929,J$5)="",2,0)),0)</f>
        <v>0</v>
      </c>
      <c r="K929" s="194">
        <f>IFERROR(IF(INDEX([1]Pivot!$AD$1:$BE$65000,$B929,K$5)=1,1,IF(INDEX([1]Pivot!$B$1:$AB$65000,$B929,K$5)="",2,0)),0)</f>
        <v>0</v>
      </c>
      <c r="L929" s="194">
        <f>IFERROR(IF(INDEX([1]Pivot!$AD$1:$BE$65000,$B929,L$5)=1,1,IF(INDEX([1]Pivot!$B$1:$AB$65000,$B929,L$5)="",2,0)),0)</f>
        <v>0</v>
      </c>
      <c r="M929" s="194">
        <f>IFERROR(IF(INDEX([1]Pivot!$AD$1:$BE$65000,$B929,M$5)=1,1,IF(INDEX([1]Pivot!$B$1:$AB$65000,$B929,M$5)="",2,0)),0)</f>
        <v>0</v>
      </c>
      <c r="N929" s="194">
        <f>IFERROR(IF(INDEX([1]Pivot!$AD$1:$BE$65000,$B929,N$5)=1,1,IF(INDEX([1]Pivot!$B$1:$AB$65000,$B929,N$5)="",2,0)),0)</f>
        <v>0</v>
      </c>
      <c r="O929" s="194">
        <f>IFERROR(IF(INDEX([1]Pivot!$AD$1:$BE$65000,$B929,O$5)=1,1,IF(INDEX([1]Pivot!$B$1:$AB$65000,$B929,O$5)="",2,0)),0)</f>
        <v>0</v>
      </c>
      <c r="P929" s="194">
        <f>IFERROR(IF(INDEX([1]Pivot!$AD$1:$BE$65000,$B929,P$5)=1,1,IF(INDEX([1]Pivot!$B$1:$AB$65000,$B929,P$5)="",2,0)),0)</f>
        <v>0</v>
      </c>
      <c r="Q929" s="194">
        <f>IFERROR(IF(INDEX([1]Pivot!$AD$1:$BE$65000,$B929,Q$5)=1,1,IF(INDEX([1]Pivot!$B$1:$AB$65000,$B929,Q$5)="",2,0)),0)</f>
        <v>0</v>
      </c>
      <c r="R929" s="312"/>
      <c r="S929" s="194">
        <f>IFERROR(IF(INDEX([1]Pivot!$AD$1:$BE$65000,$B929,S$5)=1,1,IF(INDEX([1]Pivot!$B$1:$AB$65000,$B929,S$5)="",2,0)),0)</f>
        <v>0</v>
      </c>
      <c r="T929" s="194">
        <f>IFERROR(IF(INDEX([1]Pivot!$AD$1:$BE$65000,$B929,T$5)=1,1,IF(INDEX([1]Pivot!$B$1:$AB$65000,$B929,T$5)="",2,0)),0)</f>
        <v>0</v>
      </c>
      <c r="U929" s="194">
        <f>IFERROR(IF(INDEX([1]Pivot!$AD$1:$BE$65000,$B929,U$5)=1,1,IF(INDEX([1]Pivot!$B$1:$AB$65000,$B929,U$5)="",2,0)),0)</f>
        <v>0</v>
      </c>
      <c r="V929" s="194">
        <f>IFERROR(IF(INDEX([1]Pivot!$AD$1:$BE$65000,$B929,V$5)=1,1,IF(INDEX([1]Pivot!$B$1:$AB$65000,$B929,V$5)="",2,0)),0)</f>
        <v>0</v>
      </c>
      <c r="W929" s="194">
        <f>IFERROR(IF(INDEX([1]Pivot!$AD$1:$BE$65000,$B929,W$5)=1,1,IF(INDEX([1]Pivot!$B$1:$AB$65000,$B929,W$5)="",2,0)),0)</f>
        <v>0</v>
      </c>
      <c r="X929" s="194">
        <f>IFERROR(IF(INDEX([1]Pivot!$AD$1:$BE$65000,$B929,X$5)=1,1,IF(INDEX([1]Pivot!$B$1:$AB$65000,$B929,X$5)="",2,0)),0)</f>
        <v>0</v>
      </c>
      <c r="Y929" s="194">
        <f>IFERROR(IF(INDEX([1]Pivot!$AD$1:$BE$65000,$B929,Y$5)=1,1,IF(INDEX([1]Pivot!$B$1:$AB$65000,$B929,Y$5)="",2,0)),0)</f>
        <v>0</v>
      </c>
      <c r="Z929" s="194">
        <f>IFERROR(IF(INDEX([1]Pivot!$AD$1:$BE$65000,$B929,Z$5)=1,1,IF(INDEX([1]Pivot!$B$1:$AB$65000,$B929,Z$5)="",2,0)),0)</f>
        <v>0</v>
      </c>
      <c r="AA929" s="194">
        <f>IFERROR(IF(INDEX([1]Pivot!$AD$1:$BE$65000,$B929,AA$5)=1,1,IF(INDEX([1]Pivot!$B$1:$AB$65000,$B929,AA$5)="",2,0)),0)</f>
        <v>0</v>
      </c>
      <c r="AB929" s="194">
        <f>IFERROR(IF(INDEX([1]Pivot!$AD$1:$BE$65000,$B929,AB$5)=1,1,IF(INDEX([1]Pivot!$B$1:$AB$65000,$B929,AB$5)="",2,0)),0)</f>
        <v>0</v>
      </c>
      <c r="AC929" s="194">
        <f>IFERROR(IF(INDEX([1]Pivot!$AD$1:$BE$65000,$B929,AC$5)=1,1,IF(INDEX([1]Pivot!$B$1:$AB$65000,$B929,AC$5)="",2,0)),0)</f>
        <v>0</v>
      </c>
      <c r="AD929" s="313">
        <f>IFERROR(IF(INDEX([1]Pivot!$BF$1:$CG$65000,$B929,AD$5)=1,1,IF(INDEX([1]Pivot!$B$1:$AB$65000,$B929,AD$5)="",2,0)),0)</f>
        <v>0</v>
      </c>
      <c r="AE929" s="313">
        <f>IFERROR(IF(INDEX([1]Pivot!$BF$1:$CG$65000,$B929,AE$5)=1,1,IF(INDEX([1]Pivot!$B$1:$AB$65000,$B929,AE$5)="",2,0)),0)</f>
        <v>0</v>
      </c>
      <c r="AF929" s="313">
        <f>IFERROR(IF(INDEX([1]Pivot!$BF$1:$CG$65000,$B929,AF$5)=1,1,IF(INDEX([1]Pivot!$B$1:$AB$65000,$B929,AF$5)="",2,0)),0)</f>
        <v>0</v>
      </c>
      <c r="AG929" s="313">
        <f>IFERROR(IF(INDEX([1]Pivot!$BF$1:$CG$65000,$B929,AG$5)=1,1,IF(INDEX([1]Pivot!$B$1:$AB$65000,$B929,AG$5)="",2,0)),0)</f>
        <v>0</v>
      </c>
      <c r="AH929" s="313">
        <f>IFERROR(IF(INDEX([1]Pivot!$BF$1:$CG$65000,$B929,AH$5)=1,1,IF(INDEX([1]Pivot!$B$1:$AB$65000,$B929,AH$5)="",2,0)),0)</f>
        <v>0</v>
      </c>
      <c r="AI929" s="313">
        <f>IFERROR(IF(INDEX([1]Pivot!$BF$1:$CG$65000,$B929,AI$5)=1,1,IF(INDEX([1]Pivot!$B$1:$AB$65000,$B929,AI$5)="",2,0)),0)</f>
        <v>0</v>
      </c>
      <c r="AJ929" s="313">
        <f>IFERROR(IF(INDEX([1]Pivot!$BF$1:$CG$65000,$B929,AJ$5)=1,1,IF(INDEX([1]Pivot!$B$1:$AB$65000,$B929,AJ$5)="",2,0)),0)</f>
        <v>0</v>
      </c>
      <c r="AK929" s="313">
        <f>IFERROR(IF(INDEX([1]Pivot!$BF$1:$CG$65000,$B929,AK$5)=1,1,IF(INDEX([1]Pivot!$B$1:$AB$65000,$B929,AK$5)="",2,0)),0)</f>
        <v>0</v>
      </c>
      <c r="AL929" s="313">
        <f>IFERROR(IF(INDEX([1]Pivot!$BF$1:$CG$65000,$B929,AL$5)=1,1,IF(INDEX([1]Pivot!$B$1:$AB$65000,$B929,AL$5)="",2,0)),0)</f>
        <v>0</v>
      </c>
      <c r="AM929" s="313">
        <f>IFERROR(IF(INDEX([1]Pivot!$BF$1:$CG$65000,$B929,AM$5)=1,1,IF(INDEX([1]Pivot!$B$1:$AB$65000,$B929,AM$5)="",2,0)),0)</f>
        <v>0</v>
      </c>
      <c r="AN929" s="313">
        <f>IFERROR(IF(INDEX([1]Pivot!$BF$1:$CG$65000,$B929,AN$5)=1,1,IF(INDEX([1]Pivot!$B$1:$AB$65000,$B929,AN$5)="",2,0)),0)</f>
        <v>0</v>
      </c>
      <c r="AO929" s="313">
        <f>IFERROR(IF(INDEX([1]Pivot!$BF$1:$CG$65000,$B929,AO$5)=1,1,IF(INDEX([1]Pivot!$B$1:$AB$65000,$B929,AO$5)="",2,0)),0)</f>
        <v>0</v>
      </c>
      <c r="AP929" s="313">
        <f>IFERROR(IF(INDEX([1]Pivot!$BF$1:$CG$65000,$B929,AP$5)=1,1,IF(INDEX([1]Pivot!$B$1:$AB$65000,$B929,AP$5)="",2,0)),0)</f>
        <v>0</v>
      </c>
      <c r="AQ929" s="313">
        <f>IFERROR(IF(INDEX([1]Pivot!$BF$1:$CG$65000,$B929,AQ$5)=1,1,IF(INDEX([1]Pivot!$B$1:$AB$65000,$B929,AQ$5)="",2,0)),0)</f>
        <v>0</v>
      </c>
      <c r="AR929" s="313">
        <f>IFERROR(IF(INDEX([1]Pivot!$BF$1:$CG$65000,$B929,AR$5)=1,1,IF(INDEX([1]Pivot!$B$1:$AB$65000,$B929,AR$5)="",2,0)),0)</f>
        <v>0</v>
      </c>
      <c r="AS929" s="312"/>
      <c r="AT929" s="313">
        <f>IFERROR(IF(INDEX([1]Pivot!$BF$1:$CG$65000,$B929,AT$5)=1,1,IF(INDEX([1]Pivot!$B$1:$AB$65000,$B929,AT$5)="",2,0)),0)</f>
        <v>0</v>
      </c>
      <c r="AU929" s="313">
        <f>IFERROR(IF(INDEX([1]Pivot!$BF$1:$CG$65000,$B929,AU$5)=1,1,IF(INDEX([1]Pivot!$B$1:$AB$65000,$B929,AU$5)="",2,0)),0)</f>
        <v>0</v>
      </c>
      <c r="AV929" s="313">
        <f>IFERROR(IF(INDEX([1]Pivot!$BF$1:$CG$65000,$B929,AV$5)=1,1,IF(INDEX([1]Pivot!$B$1:$AB$65000,$B929,AV$5)="",2,0)),0)</f>
        <v>0</v>
      </c>
      <c r="AW929" s="313">
        <f>IFERROR(IF(INDEX([1]Pivot!$BF$1:$CG$65000,$B929,AW$5)=1,1,IF(INDEX([1]Pivot!$B$1:$AB$65000,$B929,AW$5)="",2,0)),0)</f>
        <v>0</v>
      </c>
      <c r="AX929" s="313">
        <f>IFERROR(IF(INDEX([1]Pivot!$BF$1:$CG$65000,$B929,AX$5)=1,1,IF(INDEX([1]Pivot!$B$1:$AB$65000,$B929,AX$5)="",2,0)),0)</f>
        <v>0</v>
      </c>
      <c r="AY929" s="313">
        <f>IFERROR(IF(INDEX([1]Pivot!$BF$1:$CG$65000,$B929,AY$5)=1,1,IF(INDEX([1]Pivot!$B$1:$AB$65000,$B929,AY$5)="",2,0)),0)</f>
        <v>0</v>
      </c>
      <c r="AZ929" s="313">
        <f>IFERROR(IF(INDEX([1]Pivot!$BF$1:$CG$65000,$B929,AZ$5)=1,1,IF(INDEX([1]Pivot!$B$1:$AB$65000,$B929,AZ$5)="",2,0)),0)</f>
        <v>0</v>
      </c>
      <c r="BA929" s="313">
        <f>IFERROR(IF(INDEX([1]Pivot!$BF$1:$CG$65000,$B929,BA$5)=1,1,IF(INDEX([1]Pivot!$B$1:$AB$65000,$B929,BA$5)="",2,0)),0)</f>
        <v>0</v>
      </c>
      <c r="BB929" s="313">
        <f>IFERROR(IF(INDEX([1]Pivot!$BF$1:$CG$65000,$B929,BB$5)=1,1,IF(INDEX([1]Pivot!$B$1:$AB$65000,$B929,BB$5)="",2,0)),0)</f>
        <v>0</v>
      </c>
      <c r="BC929" s="313">
        <f>IFERROR(IF(INDEX([1]Pivot!$BF$1:$CG$65000,$B929,BC$5)=1,1,IF(INDEX([1]Pivot!$B$1:$AB$65000,$B929,BC$5)="",2,0)),0)</f>
        <v>0</v>
      </c>
      <c r="BD929" s="313">
        <f>IFERROR(IF(INDEX([1]Pivot!$BF$1:$CG$65000,$B929,BD$5)=1,1,IF(INDEX([1]Pivot!$B$1:$AB$65000,$B929,BD$5)="",2,0)),0)</f>
        <v>0</v>
      </c>
    </row>
    <row r="930" spans="1:56" x14ac:dyDescent="0.25">
      <c r="A930" s="288">
        <f>'[2]Raw Milk Prices'!A930</f>
        <v>0</v>
      </c>
      <c r="B930" s="296" t="e">
        <f>MATCH(DATE(LEFT('[2]Raw Milk Prices'!$A930,4),RIGHT('[2]Raw Milk Prices'!$A930,2),1),[1]Pivot!$A$1:$A$65000,0)</f>
        <v>#VALUE!</v>
      </c>
      <c r="C930" s="194">
        <f>IFERROR(IF(INDEX([1]Pivot!$AD$1:$BE$65000,$B930,C$5)=1,1,IF(INDEX([1]Pivot!$B$1:$AB$65000,$B930,C$5)="",2,0)),0)</f>
        <v>0</v>
      </c>
      <c r="D930" s="194">
        <f>IFERROR(IF(INDEX([1]Pivot!$AD$1:$BE$65000,$B930,D$5)=1,1,IF(INDEX([1]Pivot!$B$1:$AB$65000,$B930,D$5)="",2,0)),0)</f>
        <v>0</v>
      </c>
      <c r="E930" s="194">
        <f>IFERROR(IF(INDEX([1]Pivot!$AD$1:$BE$65000,$B930,E$5)=1,1,IF(INDEX([1]Pivot!$B$1:$AB$65000,$B930,E$5)="",2,0)),0)</f>
        <v>0</v>
      </c>
      <c r="F930" s="194">
        <f>IFERROR(IF(INDEX([1]Pivot!$AD$1:$BE$65000,$B930,F$5)=1,1,IF(INDEX([1]Pivot!$B$1:$AB$65000,$B930,F$5)="",2,0)),0)</f>
        <v>0</v>
      </c>
      <c r="G930" s="194">
        <f>IFERROR(IF(INDEX([1]Pivot!$AD$1:$BE$65000,$B930,G$5)=1,1,IF(INDEX([1]Pivot!$B$1:$AB$65000,$B930,G$5)="",2,0)),0)</f>
        <v>0</v>
      </c>
      <c r="H930" s="194">
        <f>IFERROR(IF(INDEX([1]Pivot!$AD$1:$BE$65000,$B930,H$5)=1,1,IF(INDEX([1]Pivot!$B$1:$AB$65000,$B930,H$5)="",2,0)),0)</f>
        <v>0</v>
      </c>
      <c r="I930" s="194">
        <f>IFERROR(IF(INDEX([1]Pivot!$AD$1:$BE$65000,$B930,I$5)=1,1,IF(INDEX([1]Pivot!$B$1:$AB$65000,$B930,I$5)="",2,0)),0)</f>
        <v>0</v>
      </c>
      <c r="J930" s="194">
        <f>IFERROR(IF(INDEX([1]Pivot!$AD$1:$BE$65000,$B930,J$5)=1,1,IF(INDEX([1]Pivot!$B$1:$AB$65000,$B930,J$5)="",2,0)),0)</f>
        <v>0</v>
      </c>
      <c r="K930" s="194">
        <f>IFERROR(IF(INDEX([1]Pivot!$AD$1:$BE$65000,$B930,K$5)=1,1,IF(INDEX([1]Pivot!$B$1:$AB$65000,$B930,K$5)="",2,0)),0)</f>
        <v>0</v>
      </c>
      <c r="L930" s="194">
        <f>IFERROR(IF(INDEX([1]Pivot!$AD$1:$BE$65000,$B930,L$5)=1,1,IF(INDEX([1]Pivot!$B$1:$AB$65000,$B930,L$5)="",2,0)),0)</f>
        <v>0</v>
      </c>
      <c r="M930" s="194">
        <f>IFERROR(IF(INDEX([1]Pivot!$AD$1:$BE$65000,$B930,M$5)=1,1,IF(INDEX([1]Pivot!$B$1:$AB$65000,$B930,M$5)="",2,0)),0)</f>
        <v>0</v>
      </c>
      <c r="N930" s="194">
        <f>IFERROR(IF(INDEX([1]Pivot!$AD$1:$BE$65000,$B930,N$5)=1,1,IF(INDEX([1]Pivot!$B$1:$AB$65000,$B930,N$5)="",2,0)),0)</f>
        <v>0</v>
      </c>
      <c r="O930" s="194">
        <f>IFERROR(IF(INDEX([1]Pivot!$AD$1:$BE$65000,$B930,O$5)=1,1,IF(INDEX([1]Pivot!$B$1:$AB$65000,$B930,O$5)="",2,0)),0)</f>
        <v>0</v>
      </c>
      <c r="P930" s="194">
        <f>IFERROR(IF(INDEX([1]Pivot!$AD$1:$BE$65000,$B930,P$5)=1,1,IF(INDEX([1]Pivot!$B$1:$AB$65000,$B930,P$5)="",2,0)),0)</f>
        <v>0</v>
      </c>
      <c r="Q930" s="194">
        <f>IFERROR(IF(INDEX([1]Pivot!$AD$1:$BE$65000,$B930,Q$5)=1,1,IF(INDEX([1]Pivot!$B$1:$AB$65000,$B930,Q$5)="",2,0)),0)</f>
        <v>0</v>
      </c>
      <c r="R930" s="312"/>
      <c r="S930" s="194">
        <f>IFERROR(IF(INDEX([1]Pivot!$AD$1:$BE$65000,$B930,S$5)=1,1,IF(INDEX([1]Pivot!$B$1:$AB$65000,$B930,S$5)="",2,0)),0)</f>
        <v>0</v>
      </c>
      <c r="T930" s="194">
        <f>IFERROR(IF(INDEX([1]Pivot!$AD$1:$BE$65000,$B930,T$5)=1,1,IF(INDEX([1]Pivot!$B$1:$AB$65000,$B930,T$5)="",2,0)),0)</f>
        <v>0</v>
      </c>
      <c r="U930" s="194">
        <f>IFERROR(IF(INDEX([1]Pivot!$AD$1:$BE$65000,$B930,U$5)=1,1,IF(INDEX([1]Pivot!$B$1:$AB$65000,$B930,U$5)="",2,0)),0)</f>
        <v>0</v>
      </c>
      <c r="V930" s="194">
        <f>IFERROR(IF(INDEX([1]Pivot!$AD$1:$BE$65000,$B930,V$5)=1,1,IF(INDEX([1]Pivot!$B$1:$AB$65000,$B930,V$5)="",2,0)),0)</f>
        <v>0</v>
      </c>
      <c r="W930" s="194">
        <f>IFERROR(IF(INDEX([1]Pivot!$AD$1:$BE$65000,$B930,W$5)=1,1,IF(INDEX([1]Pivot!$B$1:$AB$65000,$B930,W$5)="",2,0)),0)</f>
        <v>0</v>
      </c>
      <c r="X930" s="194">
        <f>IFERROR(IF(INDEX([1]Pivot!$AD$1:$BE$65000,$B930,X$5)=1,1,IF(INDEX([1]Pivot!$B$1:$AB$65000,$B930,X$5)="",2,0)),0)</f>
        <v>0</v>
      </c>
      <c r="Y930" s="194">
        <f>IFERROR(IF(INDEX([1]Pivot!$AD$1:$BE$65000,$B930,Y$5)=1,1,IF(INDEX([1]Pivot!$B$1:$AB$65000,$B930,Y$5)="",2,0)),0)</f>
        <v>0</v>
      </c>
      <c r="Z930" s="194">
        <f>IFERROR(IF(INDEX([1]Pivot!$AD$1:$BE$65000,$B930,Z$5)=1,1,IF(INDEX([1]Pivot!$B$1:$AB$65000,$B930,Z$5)="",2,0)),0)</f>
        <v>0</v>
      </c>
      <c r="AA930" s="194">
        <f>IFERROR(IF(INDEX([1]Pivot!$AD$1:$BE$65000,$B930,AA$5)=1,1,IF(INDEX([1]Pivot!$B$1:$AB$65000,$B930,AA$5)="",2,0)),0)</f>
        <v>0</v>
      </c>
      <c r="AB930" s="194">
        <f>IFERROR(IF(INDEX([1]Pivot!$AD$1:$BE$65000,$B930,AB$5)=1,1,IF(INDEX([1]Pivot!$B$1:$AB$65000,$B930,AB$5)="",2,0)),0)</f>
        <v>0</v>
      </c>
      <c r="AC930" s="194">
        <f>IFERROR(IF(INDEX([1]Pivot!$AD$1:$BE$65000,$B930,AC$5)=1,1,IF(INDEX([1]Pivot!$B$1:$AB$65000,$B930,AC$5)="",2,0)),0)</f>
        <v>0</v>
      </c>
      <c r="AD930" s="313">
        <f>IFERROR(IF(INDEX([1]Pivot!$BF$1:$CG$65000,$B930,AD$5)=1,1,IF(INDEX([1]Pivot!$B$1:$AB$65000,$B930,AD$5)="",2,0)),0)</f>
        <v>0</v>
      </c>
      <c r="AE930" s="313">
        <f>IFERROR(IF(INDEX([1]Pivot!$BF$1:$CG$65000,$B930,AE$5)=1,1,IF(INDEX([1]Pivot!$B$1:$AB$65000,$B930,AE$5)="",2,0)),0)</f>
        <v>0</v>
      </c>
      <c r="AF930" s="313">
        <f>IFERROR(IF(INDEX([1]Pivot!$BF$1:$CG$65000,$B930,AF$5)=1,1,IF(INDEX([1]Pivot!$B$1:$AB$65000,$B930,AF$5)="",2,0)),0)</f>
        <v>0</v>
      </c>
      <c r="AG930" s="313">
        <f>IFERROR(IF(INDEX([1]Pivot!$BF$1:$CG$65000,$B930,AG$5)=1,1,IF(INDEX([1]Pivot!$B$1:$AB$65000,$B930,AG$5)="",2,0)),0)</f>
        <v>0</v>
      </c>
      <c r="AH930" s="313">
        <f>IFERROR(IF(INDEX([1]Pivot!$BF$1:$CG$65000,$B930,AH$5)=1,1,IF(INDEX([1]Pivot!$B$1:$AB$65000,$B930,AH$5)="",2,0)),0)</f>
        <v>0</v>
      </c>
      <c r="AI930" s="313">
        <f>IFERROR(IF(INDEX([1]Pivot!$BF$1:$CG$65000,$B930,AI$5)=1,1,IF(INDEX([1]Pivot!$B$1:$AB$65000,$B930,AI$5)="",2,0)),0)</f>
        <v>0</v>
      </c>
      <c r="AJ930" s="313">
        <f>IFERROR(IF(INDEX([1]Pivot!$BF$1:$CG$65000,$B930,AJ$5)=1,1,IF(INDEX([1]Pivot!$B$1:$AB$65000,$B930,AJ$5)="",2,0)),0)</f>
        <v>0</v>
      </c>
      <c r="AK930" s="313">
        <f>IFERROR(IF(INDEX([1]Pivot!$BF$1:$CG$65000,$B930,AK$5)=1,1,IF(INDEX([1]Pivot!$B$1:$AB$65000,$B930,AK$5)="",2,0)),0)</f>
        <v>0</v>
      </c>
      <c r="AL930" s="313">
        <f>IFERROR(IF(INDEX([1]Pivot!$BF$1:$CG$65000,$B930,AL$5)=1,1,IF(INDEX([1]Pivot!$B$1:$AB$65000,$B930,AL$5)="",2,0)),0)</f>
        <v>0</v>
      </c>
      <c r="AM930" s="313">
        <f>IFERROR(IF(INDEX([1]Pivot!$BF$1:$CG$65000,$B930,AM$5)=1,1,IF(INDEX([1]Pivot!$B$1:$AB$65000,$B930,AM$5)="",2,0)),0)</f>
        <v>0</v>
      </c>
      <c r="AN930" s="313">
        <f>IFERROR(IF(INDEX([1]Pivot!$BF$1:$CG$65000,$B930,AN$5)=1,1,IF(INDEX([1]Pivot!$B$1:$AB$65000,$B930,AN$5)="",2,0)),0)</f>
        <v>0</v>
      </c>
      <c r="AO930" s="313">
        <f>IFERROR(IF(INDEX([1]Pivot!$BF$1:$CG$65000,$B930,AO$5)=1,1,IF(INDEX([1]Pivot!$B$1:$AB$65000,$B930,AO$5)="",2,0)),0)</f>
        <v>0</v>
      </c>
      <c r="AP930" s="313">
        <f>IFERROR(IF(INDEX([1]Pivot!$BF$1:$CG$65000,$B930,AP$5)=1,1,IF(INDEX([1]Pivot!$B$1:$AB$65000,$B930,AP$5)="",2,0)),0)</f>
        <v>0</v>
      </c>
      <c r="AQ930" s="313">
        <f>IFERROR(IF(INDEX([1]Pivot!$BF$1:$CG$65000,$B930,AQ$5)=1,1,IF(INDEX([1]Pivot!$B$1:$AB$65000,$B930,AQ$5)="",2,0)),0)</f>
        <v>0</v>
      </c>
      <c r="AR930" s="313">
        <f>IFERROR(IF(INDEX([1]Pivot!$BF$1:$CG$65000,$B930,AR$5)=1,1,IF(INDEX([1]Pivot!$B$1:$AB$65000,$B930,AR$5)="",2,0)),0)</f>
        <v>0</v>
      </c>
      <c r="AS930" s="312"/>
      <c r="AT930" s="313">
        <f>IFERROR(IF(INDEX([1]Pivot!$BF$1:$CG$65000,$B930,AT$5)=1,1,IF(INDEX([1]Pivot!$B$1:$AB$65000,$B930,AT$5)="",2,0)),0)</f>
        <v>0</v>
      </c>
      <c r="AU930" s="313">
        <f>IFERROR(IF(INDEX([1]Pivot!$BF$1:$CG$65000,$B930,AU$5)=1,1,IF(INDEX([1]Pivot!$B$1:$AB$65000,$B930,AU$5)="",2,0)),0)</f>
        <v>0</v>
      </c>
      <c r="AV930" s="313">
        <f>IFERROR(IF(INDEX([1]Pivot!$BF$1:$CG$65000,$B930,AV$5)=1,1,IF(INDEX([1]Pivot!$B$1:$AB$65000,$B930,AV$5)="",2,0)),0)</f>
        <v>0</v>
      </c>
      <c r="AW930" s="313">
        <f>IFERROR(IF(INDEX([1]Pivot!$BF$1:$CG$65000,$B930,AW$5)=1,1,IF(INDEX([1]Pivot!$B$1:$AB$65000,$B930,AW$5)="",2,0)),0)</f>
        <v>0</v>
      </c>
      <c r="AX930" s="313">
        <f>IFERROR(IF(INDEX([1]Pivot!$BF$1:$CG$65000,$B930,AX$5)=1,1,IF(INDEX([1]Pivot!$B$1:$AB$65000,$B930,AX$5)="",2,0)),0)</f>
        <v>0</v>
      </c>
      <c r="AY930" s="313">
        <f>IFERROR(IF(INDEX([1]Pivot!$BF$1:$CG$65000,$B930,AY$5)=1,1,IF(INDEX([1]Pivot!$B$1:$AB$65000,$B930,AY$5)="",2,0)),0)</f>
        <v>0</v>
      </c>
      <c r="AZ930" s="313">
        <f>IFERROR(IF(INDEX([1]Pivot!$BF$1:$CG$65000,$B930,AZ$5)=1,1,IF(INDEX([1]Pivot!$B$1:$AB$65000,$B930,AZ$5)="",2,0)),0)</f>
        <v>0</v>
      </c>
      <c r="BA930" s="313">
        <f>IFERROR(IF(INDEX([1]Pivot!$BF$1:$CG$65000,$B930,BA$5)=1,1,IF(INDEX([1]Pivot!$B$1:$AB$65000,$B930,BA$5)="",2,0)),0)</f>
        <v>0</v>
      </c>
      <c r="BB930" s="313">
        <f>IFERROR(IF(INDEX([1]Pivot!$BF$1:$CG$65000,$B930,BB$5)=1,1,IF(INDEX([1]Pivot!$B$1:$AB$65000,$B930,BB$5)="",2,0)),0)</f>
        <v>0</v>
      </c>
      <c r="BC930" s="313">
        <f>IFERROR(IF(INDEX([1]Pivot!$BF$1:$CG$65000,$B930,BC$5)=1,1,IF(INDEX([1]Pivot!$B$1:$AB$65000,$B930,BC$5)="",2,0)),0)</f>
        <v>0</v>
      </c>
      <c r="BD930" s="313">
        <f>IFERROR(IF(INDEX([1]Pivot!$BF$1:$CG$65000,$B930,BD$5)=1,1,IF(INDEX([1]Pivot!$B$1:$AB$65000,$B930,BD$5)="",2,0)),0)</f>
        <v>0</v>
      </c>
    </row>
    <row r="931" spans="1:56" x14ac:dyDescent="0.25">
      <c r="A931" s="288">
        <f>'[2]Raw Milk Prices'!A931</f>
        <v>0</v>
      </c>
      <c r="B931" s="296" t="e">
        <f>MATCH(DATE(LEFT('[2]Raw Milk Prices'!$A931,4),RIGHT('[2]Raw Milk Prices'!$A931,2),1),[1]Pivot!$A$1:$A$65000,0)</f>
        <v>#VALUE!</v>
      </c>
      <c r="C931" s="194">
        <f>IFERROR(IF(INDEX([1]Pivot!$AD$1:$BE$65000,$B931,C$5)=1,1,IF(INDEX([1]Pivot!$B$1:$AB$65000,$B931,C$5)="",2,0)),0)</f>
        <v>0</v>
      </c>
      <c r="D931" s="194">
        <f>IFERROR(IF(INDEX([1]Pivot!$AD$1:$BE$65000,$B931,D$5)=1,1,IF(INDEX([1]Pivot!$B$1:$AB$65000,$B931,D$5)="",2,0)),0)</f>
        <v>0</v>
      </c>
      <c r="E931" s="194">
        <f>IFERROR(IF(INDEX([1]Pivot!$AD$1:$BE$65000,$B931,E$5)=1,1,IF(INDEX([1]Pivot!$B$1:$AB$65000,$B931,E$5)="",2,0)),0)</f>
        <v>0</v>
      </c>
      <c r="F931" s="194">
        <f>IFERROR(IF(INDEX([1]Pivot!$AD$1:$BE$65000,$B931,F$5)=1,1,IF(INDEX([1]Pivot!$B$1:$AB$65000,$B931,F$5)="",2,0)),0)</f>
        <v>0</v>
      </c>
      <c r="G931" s="194">
        <f>IFERROR(IF(INDEX([1]Pivot!$AD$1:$BE$65000,$B931,G$5)=1,1,IF(INDEX([1]Pivot!$B$1:$AB$65000,$B931,G$5)="",2,0)),0)</f>
        <v>0</v>
      </c>
      <c r="H931" s="194">
        <f>IFERROR(IF(INDEX([1]Pivot!$AD$1:$BE$65000,$B931,H$5)=1,1,IF(INDEX([1]Pivot!$B$1:$AB$65000,$B931,H$5)="",2,0)),0)</f>
        <v>0</v>
      </c>
      <c r="I931" s="194">
        <f>IFERROR(IF(INDEX([1]Pivot!$AD$1:$BE$65000,$B931,I$5)=1,1,IF(INDEX([1]Pivot!$B$1:$AB$65000,$B931,I$5)="",2,0)),0)</f>
        <v>0</v>
      </c>
      <c r="J931" s="194">
        <f>IFERROR(IF(INDEX([1]Pivot!$AD$1:$BE$65000,$B931,J$5)=1,1,IF(INDEX([1]Pivot!$B$1:$AB$65000,$B931,J$5)="",2,0)),0)</f>
        <v>0</v>
      </c>
      <c r="K931" s="194">
        <f>IFERROR(IF(INDEX([1]Pivot!$AD$1:$BE$65000,$B931,K$5)=1,1,IF(INDEX([1]Pivot!$B$1:$AB$65000,$B931,K$5)="",2,0)),0)</f>
        <v>0</v>
      </c>
      <c r="L931" s="194">
        <f>IFERROR(IF(INDEX([1]Pivot!$AD$1:$BE$65000,$B931,L$5)=1,1,IF(INDEX([1]Pivot!$B$1:$AB$65000,$B931,L$5)="",2,0)),0)</f>
        <v>0</v>
      </c>
      <c r="M931" s="194">
        <f>IFERROR(IF(INDEX([1]Pivot!$AD$1:$BE$65000,$B931,M$5)=1,1,IF(INDEX([1]Pivot!$B$1:$AB$65000,$B931,M$5)="",2,0)),0)</f>
        <v>0</v>
      </c>
      <c r="N931" s="194">
        <f>IFERROR(IF(INDEX([1]Pivot!$AD$1:$BE$65000,$B931,N$5)=1,1,IF(INDEX([1]Pivot!$B$1:$AB$65000,$B931,N$5)="",2,0)),0)</f>
        <v>0</v>
      </c>
      <c r="O931" s="194">
        <f>IFERROR(IF(INDEX([1]Pivot!$AD$1:$BE$65000,$B931,O$5)=1,1,IF(INDEX([1]Pivot!$B$1:$AB$65000,$B931,O$5)="",2,0)),0)</f>
        <v>0</v>
      </c>
      <c r="P931" s="194">
        <f>IFERROR(IF(INDEX([1]Pivot!$AD$1:$BE$65000,$B931,P$5)=1,1,IF(INDEX([1]Pivot!$B$1:$AB$65000,$B931,P$5)="",2,0)),0)</f>
        <v>0</v>
      </c>
      <c r="Q931" s="194">
        <f>IFERROR(IF(INDEX([1]Pivot!$AD$1:$BE$65000,$B931,Q$5)=1,1,IF(INDEX([1]Pivot!$B$1:$AB$65000,$B931,Q$5)="",2,0)),0)</f>
        <v>0</v>
      </c>
      <c r="R931" s="312"/>
      <c r="S931" s="194">
        <f>IFERROR(IF(INDEX([1]Pivot!$AD$1:$BE$65000,$B931,S$5)=1,1,IF(INDEX([1]Pivot!$B$1:$AB$65000,$B931,S$5)="",2,0)),0)</f>
        <v>0</v>
      </c>
      <c r="T931" s="194">
        <f>IFERROR(IF(INDEX([1]Pivot!$AD$1:$BE$65000,$B931,T$5)=1,1,IF(INDEX([1]Pivot!$B$1:$AB$65000,$B931,T$5)="",2,0)),0)</f>
        <v>0</v>
      </c>
      <c r="U931" s="194">
        <f>IFERROR(IF(INDEX([1]Pivot!$AD$1:$BE$65000,$B931,U$5)=1,1,IF(INDEX([1]Pivot!$B$1:$AB$65000,$B931,U$5)="",2,0)),0)</f>
        <v>0</v>
      </c>
      <c r="V931" s="194">
        <f>IFERROR(IF(INDEX([1]Pivot!$AD$1:$BE$65000,$B931,V$5)=1,1,IF(INDEX([1]Pivot!$B$1:$AB$65000,$B931,V$5)="",2,0)),0)</f>
        <v>0</v>
      </c>
      <c r="W931" s="194">
        <f>IFERROR(IF(INDEX([1]Pivot!$AD$1:$BE$65000,$B931,W$5)=1,1,IF(INDEX([1]Pivot!$B$1:$AB$65000,$B931,W$5)="",2,0)),0)</f>
        <v>0</v>
      </c>
      <c r="X931" s="194">
        <f>IFERROR(IF(INDEX([1]Pivot!$AD$1:$BE$65000,$B931,X$5)=1,1,IF(INDEX([1]Pivot!$B$1:$AB$65000,$B931,X$5)="",2,0)),0)</f>
        <v>0</v>
      </c>
      <c r="Y931" s="194">
        <f>IFERROR(IF(INDEX([1]Pivot!$AD$1:$BE$65000,$B931,Y$5)=1,1,IF(INDEX([1]Pivot!$B$1:$AB$65000,$B931,Y$5)="",2,0)),0)</f>
        <v>0</v>
      </c>
      <c r="Z931" s="194">
        <f>IFERROR(IF(INDEX([1]Pivot!$AD$1:$BE$65000,$B931,Z$5)=1,1,IF(INDEX([1]Pivot!$B$1:$AB$65000,$B931,Z$5)="",2,0)),0)</f>
        <v>0</v>
      </c>
      <c r="AA931" s="194">
        <f>IFERROR(IF(INDEX([1]Pivot!$AD$1:$BE$65000,$B931,AA$5)=1,1,IF(INDEX([1]Pivot!$B$1:$AB$65000,$B931,AA$5)="",2,0)),0)</f>
        <v>0</v>
      </c>
      <c r="AB931" s="194">
        <f>IFERROR(IF(INDEX([1]Pivot!$AD$1:$BE$65000,$B931,AB$5)=1,1,IF(INDEX([1]Pivot!$B$1:$AB$65000,$B931,AB$5)="",2,0)),0)</f>
        <v>0</v>
      </c>
      <c r="AC931" s="194">
        <f>IFERROR(IF(INDEX([1]Pivot!$AD$1:$BE$65000,$B931,AC$5)=1,1,IF(INDEX([1]Pivot!$B$1:$AB$65000,$B931,AC$5)="",2,0)),0)</f>
        <v>0</v>
      </c>
      <c r="AD931" s="313">
        <f>IFERROR(IF(INDEX([1]Pivot!$BF$1:$CG$65000,$B931,AD$5)=1,1,IF(INDEX([1]Pivot!$B$1:$AB$65000,$B931,AD$5)="",2,0)),0)</f>
        <v>0</v>
      </c>
      <c r="AE931" s="313">
        <f>IFERROR(IF(INDEX([1]Pivot!$BF$1:$CG$65000,$B931,AE$5)=1,1,IF(INDEX([1]Pivot!$B$1:$AB$65000,$B931,AE$5)="",2,0)),0)</f>
        <v>0</v>
      </c>
      <c r="AF931" s="313">
        <f>IFERROR(IF(INDEX([1]Pivot!$BF$1:$CG$65000,$B931,AF$5)=1,1,IF(INDEX([1]Pivot!$B$1:$AB$65000,$B931,AF$5)="",2,0)),0)</f>
        <v>0</v>
      </c>
      <c r="AG931" s="313">
        <f>IFERROR(IF(INDEX([1]Pivot!$BF$1:$CG$65000,$B931,AG$5)=1,1,IF(INDEX([1]Pivot!$B$1:$AB$65000,$B931,AG$5)="",2,0)),0)</f>
        <v>0</v>
      </c>
      <c r="AH931" s="313">
        <f>IFERROR(IF(INDEX([1]Pivot!$BF$1:$CG$65000,$B931,AH$5)=1,1,IF(INDEX([1]Pivot!$B$1:$AB$65000,$B931,AH$5)="",2,0)),0)</f>
        <v>0</v>
      </c>
      <c r="AI931" s="313">
        <f>IFERROR(IF(INDEX([1]Pivot!$BF$1:$CG$65000,$B931,AI$5)=1,1,IF(INDEX([1]Pivot!$B$1:$AB$65000,$B931,AI$5)="",2,0)),0)</f>
        <v>0</v>
      </c>
      <c r="AJ931" s="313">
        <f>IFERROR(IF(INDEX([1]Pivot!$BF$1:$CG$65000,$B931,AJ$5)=1,1,IF(INDEX([1]Pivot!$B$1:$AB$65000,$B931,AJ$5)="",2,0)),0)</f>
        <v>0</v>
      </c>
      <c r="AK931" s="313">
        <f>IFERROR(IF(INDEX([1]Pivot!$BF$1:$CG$65000,$B931,AK$5)=1,1,IF(INDEX([1]Pivot!$B$1:$AB$65000,$B931,AK$5)="",2,0)),0)</f>
        <v>0</v>
      </c>
      <c r="AL931" s="313">
        <f>IFERROR(IF(INDEX([1]Pivot!$BF$1:$CG$65000,$B931,AL$5)=1,1,IF(INDEX([1]Pivot!$B$1:$AB$65000,$B931,AL$5)="",2,0)),0)</f>
        <v>0</v>
      </c>
      <c r="AM931" s="313">
        <f>IFERROR(IF(INDEX([1]Pivot!$BF$1:$CG$65000,$B931,AM$5)=1,1,IF(INDEX([1]Pivot!$B$1:$AB$65000,$B931,AM$5)="",2,0)),0)</f>
        <v>0</v>
      </c>
      <c r="AN931" s="313">
        <f>IFERROR(IF(INDEX([1]Pivot!$BF$1:$CG$65000,$B931,AN$5)=1,1,IF(INDEX([1]Pivot!$B$1:$AB$65000,$B931,AN$5)="",2,0)),0)</f>
        <v>0</v>
      </c>
      <c r="AO931" s="313">
        <f>IFERROR(IF(INDEX([1]Pivot!$BF$1:$CG$65000,$B931,AO$5)=1,1,IF(INDEX([1]Pivot!$B$1:$AB$65000,$B931,AO$5)="",2,0)),0)</f>
        <v>0</v>
      </c>
      <c r="AP931" s="313">
        <f>IFERROR(IF(INDEX([1]Pivot!$BF$1:$CG$65000,$B931,AP$5)=1,1,IF(INDEX([1]Pivot!$B$1:$AB$65000,$B931,AP$5)="",2,0)),0)</f>
        <v>0</v>
      </c>
      <c r="AQ931" s="313">
        <f>IFERROR(IF(INDEX([1]Pivot!$BF$1:$CG$65000,$B931,AQ$5)=1,1,IF(INDEX([1]Pivot!$B$1:$AB$65000,$B931,AQ$5)="",2,0)),0)</f>
        <v>0</v>
      </c>
      <c r="AR931" s="313">
        <f>IFERROR(IF(INDEX([1]Pivot!$BF$1:$CG$65000,$B931,AR$5)=1,1,IF(INDEX([1]Pivot!$B$1:$AB$65000,$B931,AR$5)="",2,0)),0)</f>
        <v>0</v>
      </c>
      <c r="AS931" s="312"/>
      <c r="AT931" s="313">
        <f>IFERROR(IF(INDEX([1]Pivot!$BF$1:$CG$65000,$B931,AT$5)=1,1,IF(INDEX([1]Pivot!$B$1:$AB$65000,$B931,AT$5)="",2,0)),0)</f>
        <v>0</v>
      </c>
      <c r="AU931" s="313">
        <f>IFERROR(IF(INDEX([1]Pivot!$BF$1:$CG$65000,$B931,AU$5)=1,1,IF(INDEX([1]Pivot!$B$1:$AB$65000,$B931,AU$5)="",2,0)),0)</f>
        <v>0</v>
      </c>
      <c r="AV931" s="313">
        <f>IFERROR(IF(INDEX([1]Pivot!$BF$1:$CG$65000,$B931,AV$5)=1,1,IF(INDEX([1]Pivot!$B$1:$AB$65000,$B931,AV$5)="",2,0)),0)</f>
        <v>0</v>
      </c>
      <c r="AW931" s="313">
        <f>IFERROR(IF(INDEX([1]Pivot!$BF$1:$CG$65000,$B931,AW$5)=1,1,IF(INDEX([1]Pivot!$B$1:$AB$65000,$B931,AW$5)="",2,0)),0)</f>
        <v>0</v>
      </c>
      <c r="AX931" s="313">
        <f>IFERROR(IF(INDEX([1]Pivot!$BF$1:$CG$65000,$B931,AX$5)=1,1,IF(INDEX([1]Pivot!$B$1:$AB$65000,$B931,AX$5)="",2,0)),0)</f>
        <v>0</v>
      </c>
      <c r="AY931" s="313">
        <f>IFERROR(IF(INDEX([1]Pivot!$BF$1:$CG$65000,$B931,AY$5)=1,1,IF(INDEX([1]Pivot!$B$1:$AB$65000,$B931,AY$5)="",2,0)),0)</f>
        <v>0</v>
      </c>
      <c r="AZ931" s="313">
        <f>IFERROR(IF(INDEX([1]Pivot!$BF$1:$CG$65000,$B931,AZ$5)=1,1,IF(INDEX([1]Pivot!$B$1:$AB$65000,$B931,AZ$5)="",2,0)),0)</f>
        <v>0</v>
      </c>
      <c r="BA931" s="313">
        <f>IFERROR(IF(INDEX([1]Pivot!$BF$1:$CG$65000,$B931,BA$5)=1,1,IF(INDEX([1]Pivot!$B$1:$AB$65000,$B931,BA$5)="",2,0)),0)</f>
        <v>0</v>
      </c>
      <c r="BB931" s="313">
        <f>IFERROR(IF(INDEX([1]Pivot!$BF$1:$CG$65000,$B931,BB$5)=1,1,IF(INDEX([1]Pivot!$B$1:$AB$65000,$B931,BB$5)="",2,0)),0)</f>
        <v>0</v>
      </c>
      <c r="BC931" s="313">
        <f>IFERROR(IF(INDEX([1]Pivot!$BF$1:$CG$65000,$B931,BC$5)=1,1,IF(INDEX([1]Pivot!$B$1:$AB$65000,$B931,BC$5)="",2,0)),0)</f>
        <v>0</v>
      </c>
      <c r="BD931" s="313">
        <f>IFERROR(IF(INDEX([1]Pivot!$BF$1:$CG$65000,$B931,BD$5)=1,1,IF(INDEX([1]Pivot!$B$1:$AB$65000,$B931,BD$5)="",2,0)),0)</f>
        <v>0</v>
      </c>
    </row>
    <row r="932" spans="1:56" x14ac:dyDescent="0.25">
      <c r="A932" s="288">
        <f>'[2]Raw Milk Prices'!A932</f>
        <v>0</v>
      </c>
      <c r="B932" s="296" t="e">
        <f>MATCH(DATE(LEFT('[2]Raw Milk Prices'!$A932,4),RIGHT('[2]Raw Milk Prices'!$A932,2),1),[1]Pivot!$A$1:$A$65000,0)</f>
        <v>#VALUE!</v>
      </c>
      <c r="C932" s="194">
        <f>IFERROR(IF(INDEX([1]Pivot!$AD$1:$BE$65000,$B932,C$5)=1,1,IF(INDEX([1]Pivot!$B$1:$AB$65000,$B932,C$5)="",2,0)),0)</f>
        <v>0</v>
      </c>
      <c r="D932" s="194">
        <f>IFERROR(IF(INDEX([1]Pivot!$AD$1:$BE$65000,$B932,D$5)=1,1,IF(INDEX([1]Pivot!$B$1:$AB$65000,$B932,D$5)="",2,0)),0)</f>
        <v>0</v>
      </c>
      <c r="E932" s="194">
        <f>IFERROR(IF(INDEX([1]Pivot!$AD$1:$BE$65000,$B932,E$5)=1,1,IF(INDEX([1]Pivot!$B$1:$AB$65000,$B932,E$5)="",2,0)),0)</f>
        <v>0</v>
      </c>
      <c r="F932" s="194">
        <f>IFERROR(IF(INDEX([1]Pivot!$AD$1:$BE$65000,$B932,F$5)=1,1,IF(INDEX([1]Pivot!$B$1:$AB$65000,$B932,F$5)="",2,0)),0)</f>
        <v>0</v>
      </c>
      <c r="G932" s="194">
        <f>IFERROR(IF(INDEX([1]Pivot!$AD$1:$BE$65000,$B932,G$5)=1,1,IF(INDEX([1]Pivot!$B$1:$AB$65000,$B932,G$5)="",2,0)),0)</f>
        <v>0</v>
      </c>
      <c r="H932" s="194">
        <f>IFERROR(IF(INDEX([1]Pivot!$AD$1:$BE$65000,$B932,H$5)=1,1,IF(INDEX([1]Pivot!$B$1:$AB$65000,$B932,H$5)="",2,0)),0)</f>
        <v>0</v>
      </c>
      <c r="I932" s="194">
        <f>IFERROR(IF(INDEX([1]Pivot!$AD$1:$BE$65000,$B932,I$5)=1,1,IF(INDEX([1]Pivot!$B$1:$AB$65000,$B932,I$5)="",2,0)),0)</f>
        <v>0</v>
      </c>
      <c r="J932" s="194">
        <f>IFERROR(IF(INDEX([1]Pivot!$AD$1:$BE$65000,$B932,J$5)=1,1,IF(INDEX([1]Pivot!$B$1:$AB$65000,$B932,J$5)="",2,0)),0)</f>
        <v>0</v>
      </c>
      <c r="K932" s="194">
        <f>IFERROR(IF(INDEX([1]Pivot!$AD$1:$BE$65000,$B932,K$5)=1,1,IF(INDEX([1]Pivot!$B$1:$AB$65000,$B932,K$5)="",2,0)),0)</f>
        <v>0</v>
      </c>
      <c r="L932" s="194">
        <f>IFERROR(IF(INDEX([1]Pivot!$AD$1:$BE$65000,$B932,L$5)=1,1,IF(INDEX([1]Pivot!$B$1:$AB$65000,$B932,L$5)="",2,0)),0)</f>
        <v>0</v>
      </c>
      <c r="M932" s="194">
        <f>IFERROR(IF(INDEX([1]Pivot!$AD$1:$BE$65000,$B932,M$5)=1,1,IF(INDEX([1]Pivot!$B$1:$AB$65000,$B932,M$5)="",2,0)),0)</f>
        <v>0</v>
      </c>
      <c r="N932" s="194">
        <f>IFERROR(IF(INDEX([1]Pivot!$AD$1:$BE$65000,$B932,N$5)=1,1,IF(INDEX([1]Pivot!$B$1:$AB$65000,$B932,N$5)="",2,0)),0)</f>
        <v>0</v>
      </c>
      <c r="O932" s="194">
        <f>IFERROR(IF(INDEX([1]Pivot!$AD$1:$BE$65000,$B932,O$5)=1,1,IF(INDEX([1]Pivot!$B$1:$AB$65000,$B932,O$5)="",2,0)),0)</f>
        <v>0</v>
      </c>
      <c r="P932" s="194">
        <f>IFERROR(IF(INDEX([1]Pivot!$AD$1:$BE$65000,$B932,P$5)=1,1,IF(INDEX([1]Pivot!$B$1:$AB$65000,$B932,P$5)="",2,0)),0)</f>
        <v>0</v>
      </c>
      <c r="Q932" s="194">
        <f>IFERROR(IF(INDEX([1]Pivot!$AD$1:$BE$65000,$B932,Q$5)=1,1,IF(INDEX([1]Pivot!$B$1:$AB$65000,$B932,Q$5)="",2,0)),0)</f>
        <v>0</v>
      </c>
      <c r="R932" s="312"/>
      <c r="S932" s="194">
        <f>IFERROR(IF(INDEX([1]Pivot!$AD$1:$BE$65000,$B932,S$5)=1,1,IF(INDEX([1]Pivot!$B$1:$AB$65000,$B932,S$5)="",2,0)),0)</f>
        <v>0</v>
      </c>
      <c r="T932" s="194">
        <f>IFERROR(IF(INDEX([1]Pivot!$AD$1:$BE$65000,$B932,T$5)=1,1,IF(INDEX([1]Pivot!$B$1:$AB$65000,$B932,T$5)="",2,0)),0)</f>
        <v>0</v>
      </c>
      <c r="U932" s="194">
        <f>IFERROR(IF(INDEX([1]Pivot!$AD$1:$BE$65000,$B932,U$5)=1,1,IF(INDEX([1]Pivot!$B$1:$AB$65000,$B932,U$5)="",2,0)),0)</f>
        <v>0</v>
      </c>
      <c r="V932" s="194">
        <f>IFERROR(IF(INDEX([1]Pivot!$AD$1:$BE$65000,$B932,V$5)=1,1,IF(INDEX([1]Pivot!$B$1:$AB$65000,$B932,V$5)="",2,0)),0)</f>
        <v>0</v>
      </c>
      <c r="W932" s="194">
        <f>IFERROR(IF(INDEX([1]Pivot!$AD$1:$BE$65000,$B932,W$5)=1,1,IF(INDEX([1]Pivot!$B$1:$AB$65000,$B932,W$5)="",2,0)),0)</f>
        <v>0</v>
      </c>
      <c r="X932" s="194">
        <f>IFERROR(IF(INDEX([1]Pivot!$AD$1:$BE$65000,$B932,X$5)=1,1,IF(INDEX([1]Pivot!$B$1:$AB$65000,$B932,X$5)="",2,0)),0)</f>
        <v>0</v>
      </c>
      <c r="Y932" s="194">
        <f>IFERROR(IF(INDEX([1]Pivot!$AD$1:$BE$65000,$B932,Y$5)=1,1,IF(INDEX([1]Pivot!$B$1:$AB$65000,$B932,Y$5)="",2,0)),0)</f>
        <v>0</v>
      </c>
      <c r="Z932" s="194">
        <f>IFERROR(IF(INDEX([1]Pivot!$AD$1:$BE$65000,$B932,Z$5)=1,1,IF(INDEX([1]Pivot!$B$1:$AB$65000,$B932,Z$5)="",2,0)),0)</f>
        <v>0</v>
      </c>
      <c r="AA932" s="194">
        <f>IFERROR(IF(INDEX([1]Pivot!$AD$1:$BE$65000,$B932,AA$5)=1,1,IF(INDEX([1]Pivot!$B$1:$AB$65000,$B932,AA$5)="",2,0)),0)</f>
        <v>0</v>
      </c>
      <c r="AB932" s="194">
        <f>IFERROR(IF(INDEX([1]Pivot!$AD$1:$BE$65000,$B932,AB$5)=1,1,IF(INDEX([1]Pivot!$B$1:$AB$65000,$B932,AB$5)="",2,0)),0)</f>
        <v>0</v>
      </c>
      <c r="AC932" s="194">
        <f>IFERROR(IF(INDEX([1]Pivot!$AD$1:$BE$65000,$B932,AC$5)=1,1,IF(INDEX([1]Pivot!$B$1:$AB$65000,$B932,AC$5)="",2,0)),0)</f>
        <v>0</v>
      </c>
      <c r="AD932" s="313">
        <f>IFERROR(IF(INDEX([1]Pivot!$BF$1:$CG$65000,$B932,AD$5)=1,1,IF(INDEX([1]Pivot!$B$1:$AB$65000,$B932,AD$5)="",2,0)),0)</f>
        <v>0</v>
      </c>
      <c r="AE932" s="313">
        <f>IFERROR(IF(INDEX([1]Pivot!$BF$1:$CG$65000,$B932,AE$5)=1,1,IF(INDEX([1]Pivot!$B$1:$AB$65000,$B932,AE$5)="",2,0)),0)</f>
        <v>0</v>
      </c>
      <c r="AF932" s="313">
        <f>IFERROR(IF(INDEX([1]Pivot!$BF$1:$CG$65000,$B932,AF$5)=1,1,IF(INDEX([1]Pivot!$B$1:$AB$65000,$B932,AF$5)="",2,0)),0)</f>
        <v>0</v>
      </c>
      <c r="AG932" s="313">
        <f>IFERROR(IF(INDEX([1]Pivot!$BF$1:$CG$65000,$B932,AG$5)=1,1,IF(INDEX([1]Pivot!$B$1:$AB$65000,$B932,AG$5)="",2,0)),0)</f>
        <v>0</v>
      </c>
      <c r="AH932" s="313">
        <f>IFERROR(IF(INDEX([1]Pivot!$BF$1:$CG$65000,$B932,AH$5)=1,1,IF(INDEX([1]Pivot!$B$1:$AB$65000,$B932,AH$5)="",2,0)),0)</f>
        <v>0</v>
      </c>
      <c r="AI932" s="313">
        <f>IFERROR(IF(INDEX([1]Pivot!$BF$1:$CG$65000,$B932,AI$5)=1,1,IF(INDEX([1]Pivot!$B$1:$AB$65000,$B932,AI$5)="",2,0)),0)</f>
        <v>0</v>
      </c>
      <c r="AJ932" s="313">
        <f>IFERROR(IF(INDEX([1]Pivot!$BF$1:$CG$65000,$B932,AJ$5)=1,1,IF(INDEX([1]Pivot!$B$1:$AB$65000,$B932,AJ$5)="",2,0)),0)</f>
        <v>0</v>
      </c>
      <c r="AK932" s="313">
        <f>IFERROR(IF(INDEX([1]Pivot!$BF$1:$CG$65000,$B932,AK$5)=1,1,IF(INDEX([1]Pivot!$B$1:$AB$65000,$B932,AK$5)="",2,0)),0)</f>
        <v>0</v>
      </c>
      <c r="AL932" s="313">
        <f>IFERROR(IF(INDEX([1]Pivot!$BF$1:$CG$65000,$B932,AL$5)=1,1,IF(INDEX([1]Pivot!$B$1:$AB$65000,$B932,AL$5)="",2,0)),0)</f>
        <v>0</v>
      </c>
      <c r="AM932" s="313">
        <f>IFERROR(IF(INDEX([1]Pivot!$BF$1:$CG$65000,$B932,AM$5)=1,1,IF(INDEX([1]Pivot!$B$1:$AB$65000,$B932,AM$5)="",2,0)),0)</f>
        <v>0</v>
      </c>
      <c r="AN932" s="313">
        <f>IFERROR(IF(INDEX([1]Pivot!$BF$1:$CG$65000,$B932,AN$5)=1,1,IF(INDEX([1]Pivot!$B$1:$AB$65000,$B932,AN$5)="",2,0)),0)</f>
        <v>0</v>
      </c>
      <c r="AO932" s="313">
        <f>IFERROR(IF(INDEX([1]Pivot!$BF$1:$CG$65000,$B932,AO$5)=1,1,IF(INDEX([1]Pivot!$B$1:$AB$65000,$B932,AO$5)="",2,0)),0)</f>
        <v>0</v>
      </c>
      <c r="AP932" s="313">
        <f>IFERROR(IF(INDEX([1]Pivot!$BF$1:$CG$65000,$B932,AP$5)=1,1,IF(INDEX([1]Pivot!$B$1:$AB$65000,$B932,AP$5)="",2,0)),0)</f>
        <v>0</v>
      </c>
      <c r="AQ932" s="313">
        <f>IFERROR(IF(INDEX([1]Pivot!$BF$1:$CG$65000,$B932,AQ$5)=1,1,IF(INDEX([1]Pivot!$B$1:$AB$65000,$B932,AQ$5)="",2,0)),0)</f>
        <v>0</v>
      </c>
      <c r="AR932" s="313">
        <f>IFERROR(IF(INDEX([1]Pivot!$BF$1:$CG$65000,$B932,AR$5)=1,1,IF(INDEX([1]Pivot!$B$1:$AB$65000,$B932,AR$5)="",2,0)),0)</f>
        <v>0</v>
      </c>
      <c r="AS932" s="312"/>
      <c r="AT932" s="313">
        <f>IFERROR(IF(INDEX([1]Pivot!$BF$1:$CG$65000,$B932,AT$5)=1,1,IF(INDEX([1]Pivot!$B$1:$AB$65000,$B932,AT$5)="",2,0)),0)</f>
        <v>0</v>
      </c>
      <c r="AU932" s="313">
        <f>IFERROR(IF(INDEX([1]Pivot!$BF$1:$CG$65000,$B932,AU$5)=1,1,IF(INDEX([1]Pivot!$B$1:$AB$65000,$B932,AU$5)="",2,0)),0)</f>
        <v>0</v>
      </c>
      <c r="AV932" s="313">
        <f>IFERROR(IF(INDEX([1]Pivot!$BF$1:$CG$65000,$B932,AV$5)=1,1,IF(INDEX([1]Pivot!$B$1:$AB$65000,$B932,AV$5)="",2,0)),0)</f>
        <v>0</v>
      </c>
      <c r="AW932" s="313">
        <f>IFERROR(IF(INDEX([1]Pivot!$BF$1:$CG$65000,$B932,AW$5)=1,1,IF(INDEX([1]Pivot!$B$1:$AB$65000,$B932,AW$5)="",2,0)),0)</f>
        <v>0</v>
      </c>
      <c r="AX932" s="313">
        <f>IFERROR(IF(INDEX([1]Pivot!$BF$1:$CG$65000,$B932,AX$5)=1,1,IF(INDEX([1]Pivot!$B$1:$AB$65000,$B932,AX$5)="",2,0)),0)</f>
        <v>0</v>
      </c>
      <c r="AY932" s="313">
        <f>IFERROR(IF(INDEX([1]Pivot!$BF$1:$CG$65000,$B932,AY$5)=1,1,IF(INDEX([1]Pivot!$B$1:$AB$65000,$B932,AY$5)="",2,0)),0)</f>
        <v>0</v>
      </c>
      <c r="AZ932" s="313">
        <f>IFERROR(IF(INDEX([1]Pivot!$BF$1:$CG$65000,$B932,AZ$5)=1,1,IF(INDEX([1]Pivot!$B$1:$AB$65000,$B932,AZ$5)="",2,0)),0)</f>
        <v>0</v>
      </c>
      <c r="BA932" s="313">
        <f>IFERROR(IF(INDEX([1]Pivot!$BF$1:$CG$65000,$B932,BA$5)=1,1,IF(INDEX([1]Pivot!$B$1:$AB$65000,$B932,BA$5)="",2,0)),0)</f>
        <v>0</v>
      </c>
      <c r="BB932" s="313">
        <f>IFERROR(IF(INDEX([1]Pivot!$BF$1:$CG$65000,$B932,BB$5)=1,1,IF(INDEX([1]Pivot!$B$1:$AB$65000,$B932,BB$5)="",2,0)),0)</f>
        <v>0</v>
      </c>
      <c r="BC932" s="313">
        <f>IFERROR(IF(INDEX([1]Pivot!$BF$1:$CG$65000,$B932,BC$5)=1,1,IF(INDEX([1]Pivot!$B$1:$AB$65000,$B932,BC$5)="",2,0)),0)</f>
        <v>0</v>
      </c>
      <c r="BD932" s="313">
        <f>IFERROR(IF(INDEX([1]Pivot!$BF$1:$CG$65000,$B932,BD$5)=1,1,IF(INDEX([1]Pivot!$B$1:$AB$65000,$B932,BD$5)="",2,0)),0)</f>
        <v>0</v>
      </c>
    </row>
    <row r="933" spans="1:56" x14ac:dyDescent="0.25">
      <c r="A933" s="288">
        <f>'[2]Raw Milk Prices'!A933</f>
        <v>0</v>
      </c>
      <c r="B933" s="296" t="e">
        <f>MATCH(DATE(LEFT('[2]Raw Milk Prices'!$A933,4),RIGHT('[2]Raw Milk Prices'!$A933,2),1),[1]Pivot!$A$1:$A$65000,0)</f>
        <v>#VALUE!</v>
      </c>
      <c r="C933" s="194">
        <f>IFERROR(IF(INDEX([1]Pivot!$AD$1:$BE$65000,$B933,C$5)=1,1,IF(INDEX([1]Pivot!$B$1:$AB$65000,$B933,C$5)="",2,0)),0)</f>
        <v>0</v>
      </c>
      <c r="D933" s="194">
        <f>IFERROR(IF(INDEX([1]Pivot!$AD$1:$BE$65000,$B933,D$5)=1,1,IF(INDEX([1]Pivot!$B$1:$AB$65000,$B933,D$5)="",2,0)),0)</f>
        <v>0</v>
      </c>
      <c r="E933" s="194">
        <f>IFERROR(IF(INDEX([1]Pivot!$AD$1:$BE$65000,$B933,E$5)=1,1,IF(INDEX([1]Pivot!$B$1:$AB$65000,$B933,E$5)="",2,0)),0)</f>
        <v>0</v>
      </c>
      <c r="F933" s="194">
        <f>IFERROR(IF(INDEX([1]Pivot!$AD$1:$BE$65000,$B933,F$5)=1,1,IF(INDEX([1]Pivot!$B$1:$AB$65000,$B933,F$5)="",2,0)),0)</f>
        <v>0</v>
      </c>
      <c r="G933" s="194">
        <f>IFERROR(IF(INDEX([1]Pivot!$AD$1:$BE$65000,$B933,G$5)=1,1,IF(INDEX([1]Pivot!$B$1:$AB$65000,$B933,G$5)="",2,0)),0)</f>
        <v>0</v>
      </c>
      <c r="H933" s="194">
        <f>IFERROR(IF(INDEX([1]Pivot!$AD$1:$BE$65000,$B933,H$5)=1,1,IF(INDEX([1]Pivot!$B$1:$AB$65000,$B933,H$5)="",2,0)),0)</f>
        <v>0</v>
      </c>
      <c r="I933" s="194">
        <f>IFERROR(IF(INDEX([1]Pivot!$AD$1:$BE$65000,$B933,I$5)=1,1,IF(INDEX([1]Pivot!$B$1:$AB$65000,$B933,I$5)="",2,0)),0)</f>
        <v>0</v>
      </c>
      <c r="J933" s="194">
        <f>IFERROR(IF(INDEX([1]Pivot!$AD$1:$BE$65000,$B933,J$5)=1,1,IF(INDEX([1]Pivot!$B$1:$AB$65000,$B933,J$5)="",2,0)),0)</f>
        <v>0</v>
      </c>
      <c r="K933" s="194">
        <f>IFERROR(IF(INDEX([1]Pivot!$AD$1:$BE$65000,$B933,K$5)=1,1,IF(INDEX([1]Pivot!$B$1:$AB$65000,$B933,K$5)="",2,0)),0)</f>
        <v>0</v>
      </c>
      <c r="L933" s="194">
        <f>IFERROR(IF(INDEX([1]Pivot!$AD$1:$BE$65000,$B933,L$5)=1,1,IF(INDEX([1]Pivot!$B$1:$AB$65000,$B933,L$5)="",2,0)),0)</f>
        <v>0</v>
      </c>
      <c r="M933" s="194">
        <f>IFERROR(IF(INDEX([1]Pivot!$AD$1:$BE$65000,$B933,M$5)=1,1,IF(INDEX([1]Pivot!$B$1:$AB$65000,$B933,M$5)="",2,0)),0)</f>
        <v>0</v>
      </c>
      <c r="N933" s="194">
        <f>IFERROR(IF(INDEX([1]Pivot!$AD$1:$BE$65000,$B933,N$5)=1,1,IF(INDEX([1]Pivot!$B$1:$AB$65000,$B933,N$5)="",2,0)),0)</f>
        <v>0</v>
      </c>
      <c r="O933" s="194">
        <f>IFERROR(IF(INDEX([1]Pivot!$AD$1:$BE$65000,$B933,O$5)=1,1,IF(INDEX([1]Pivot!$B$1:$AB$65000,$B933,O$5)="",2,0)),0)</f>
        <v>0</v>
      </c>
      <c r="P933" s="194">
        <f>IFERROR(IF(INDEX([1]Pivot!$AD$1:$BE$65000,$B933,P$5)=1,1,IF(INDEX([1]Pivot!$B$1:$AB$65000,$B933,P$5)="",2,0)),0)</f>
        <v>0</v>
      </c>
      <c r="Q933" s="194">
        <f>IFERROR(IF(INDEX([1]Pivot!$AD$1:$BE$65000,$B933,Q$5)=1,1,IF(INDEX([1]Pivot!$B$1:$AB$65000,$B933,Q$5)="",2,0)),0)</f>
        <v>0</v>
      </c>
      <c r="R933" s="312"/>
      <c r="S933" s="194">
        <f>IFERROR(IF(INDEX([1]Pivot!$AD$1:$BE$65000,$B933,S$5)=1,1,IF(INDEX([1]Pivot!$B$1:$AB$65000,$B933,S$5)="",2,0)),0)</f>
        <v>0</v>
      </c>
      <c r="T933" s="194">
        <f>IFERROR(IF(INDEX([1]Pivot!$AD$1:$BE$65000,$B933,T$5)=1,1,IF(INDEX([1]Pivot!$B$1:$AB$65000,$B933,T$5)="",2,0)),0)</f>
        <v>0</v>
      </c>
      <c r="U933" s="194">
        <f>IFERROR(IF(INDEX([1]Pivot!$AD$1:$BE$65000,$B933,U$5)=1,1,IF(INDEX([1]Pivot!$B$1:$AB$65000,$B933,U$5)="",2,0)),0)</f>
        <v>0</v>
      </c>
      <c r="V933" s="194">
        <f>IFERROR(IF(INDEX([1]Pivot!$AD$1:$BE$65000,$B933,V$5)=1,1,IF(INDEX([1]Pivot!$B$1:$AB$65000,$B933,V$5)="",2,0)),0)</f>
        <v>0</v>
      </c>
      <c r="W933" s="194">
        <f>IFERROR(IF(INDEX([1]Pivot!$AD$1:$BE$65000,$B933,W$5)=1,1,IF(INDEX([1]Pivot!$B$1:$AB$65000,$B933,W$5)="",2,0)),0)</f>
        <v>0</v>
      </c>
      <c r="X933" s="194">
        <f>IFERROR(IF(INDEX([1]Pivot!$AD$1:$BE$65000,$B933,X$5)=1,1,IF(INDEX([1]Pivot!$B$1:$AB$65000,$B933,X$5)="",2,0)),0)</f>
        <v>0</v>
      </c>
      <c r="Y933" s="194">
        <f>IFERROR(IF(INDEX([1]Pivot!$AD$1:$BE$65000,$B933,Y$5)=1,1,IF(INDEX([1]Pivot!$B$1:$AB$65000,$B933,Y$5)="",2,0)),0)</f>
        <v>0</v>
      </c>
      <c r="Z933" s="194">
        <f>IFERROR(IF(INDEX([1]Pivot!$AD$1:$BE$65000,$B933,Z$5)=1,1,IF(INDEX([1]Pivot!$B$1:$AB$65000,$B933,Z$5)="",2,0)),0)</f>
        <v>0</v>
      </c>
      <c r="AA933" s="194">
        <f>IFERROR(IF(INDEX([1]Pivot!$AD$1:$BE$65000,$B933,AA$5)=1,1,IF(INDEX([1]Pivot!$B$1:$AB$65000,$B933,AA$5)="",2,0)),0)</f>
        <v>0</v>
      </c>
      <c r="AB933" s="194">
        <f>IFERROR(IF(INDEX([1]Pivot!$AD$1:$BE$65000,$B933,AB$5)=1,1,IF(INDEX([1]Pivot!$B$1:$AB$65000,$B933,AB$5)="",2,0)),0)</f>
        <v>0</v>
      </c>
      <c r="AC933" s="194">
        <f>IFERROR(IF(INDEX([1]Pivot!$AD$1:$BE$65000,$B933,AC$5)=1,1,IF(INDEX([1]Pivot!$B$1:$AB$65000,$B933,AC$5)="",2,0)),0)</f>
        <v>0</v>
      </c>
      <c r="AD933" s="313">
        <f>IFERROR(IF(INDEX([1]Pivot!$BF$1:$CG$65000,$B933,AD$5)=1,1,IF(INDEX([1]Pivot!$B$1:$AB$65000,$B933,AD$5)="",2,0)),0)</f>
        <v>0</v>
      </c>
      <c r="AE933" s="313">
        <f>IFERROR(IF(INDEX([1]Pivot!$BF$1:$CG$65000,$B933,AE$5)=1,1,IF(INDEX([1]Pivot!$B$1:$AB$65000,$B933,AE$5)="",2,0)),0)</f>
        <v>0</v>
      </c>
      <c r="AF933" s="313">
        <f>IFERROR(IF(INDEX([1]Pivot!$BF$1:$CG$65000,$B933,AF$5)=1,1,IF(INDEX([1]Pivot!$B$1:$AB$65000,$B933,AF$5)="",2,0)),0)</f>
        <v>0</v>
      </c>
      <c r="AG933" s="313">
        <f>IFERROR(IF(INDEX([1]Pivot!$BF$1:$CG$65000,$B933,AG$5)=1,1,IF(INDEX([1]Pivot!$B$1:$AB$65000,$B933,AG$5)="",2,0)),0)</f>
        <v>0</v>
      </c>
      <c r="AH933" s="313">
        <f>IFERROR(IF(INDEX([1]Pivot!$BF$1:$CG$65000,$B933,AH$5)=1,1,IF(INDEX([1]Pivot!$B$1:$AB$65000,$B933,AH$5)="",2,0)),0)</f>
        <v>0</v>
      </c>
      <c r="AI933" s="313">
        <f>IFERROR(IF(INDEX([1]Pivot!$BF$1:$CG$65000,$B933,AI$5)=1,1,IF(INDEX([1]Pivot!$B$1:$AB$65000,$B933,AI$5)="",2,0)),0)</f>
        <v>0</v>
      </c>
      <c r="AJ933" s="313">
        <f>IFERROR(IF(INDEX([1]Pivot!$BF$1:$CG$65000,$B933,AJ$5)=1,1,IF(INDEX([1]Pivot!$B$1:$AB$65000,$B933,AJ$5)="",2,0)),0)</f>
        <v>0</v>
      </c>
      <c r="AK933" s="313">
        <f>IFERROR(IF(INDEX([1]Pivot!$BF$1:$CG$65000,$B933,AK$5)=1,1,IF(INDEX([1]Pivot!$B$1:$AB$65000,$B933,AK$5)="",2,0)),0)</f>
        <v>0</v>
      </c>
      <c r="AL933" s="313">
        <f>IFERROR(IF(INDEX([1]Pivot!$BF$1:$CG$65000,$B933,AL$5)=1,1,IF(INDEX([1]Pivot!$B$1:$AB$65000,$B933,AL$5)="",2,0)),0)</f>
        <v>0</v>
      </c>
      <c r="AM933" s="313">
        <f>IFERROR(IF(INDEX([1]Pivot!$BF$1:$CG$65000,$B933,AM$5)=1,1,IF(INDEX([1]Pivot!$B$1:$AB$65000,$B933,AM$5)="",2,0)),0)</f>
        <v>0</v>
      </c>
      <c r="AN933" s="313">
        <f>IFERROR(IF(INDEX([1]Pivot!$BF$1:$CG$65000,$B933,AN$5)=1,1,IF(INDEX([1]Pivot!$B$1:$AB$65000,$B933,AN$5)="",2,0)),0)</f>
        <v>0</v>
      </c>
      <c r="AO933" s="313">
        <f>IFERROR(IF(INDEX([1]Pivot!$BF$1:$CG$65000,$B933,AO$5)=1,1,IF(INDEX([1]Pivot!$B$1:$AB$65000,$B933,AO$5)="",2,0)),0)</f>
        <v>0</v>
      </c>
      <c r="AP933" s="313">
        <f>IFERROR(IF(INDEX([1]Pivot!$BF$1:$CG$65000,$B933,AP$5)=1,1,IF(INDEX([1]Pivot!$B$1:$AB$65000,$B933,AP$5)="",2,0)),0)</f>
        <v>0</v>
      </c>
      <c r="AQ933" s="313">
        <f>IFERROR(IF(INDEX([1]Pivot!$BF$1:$CG$65000,$B933,AQ$5)=1,1,IF(INDEX([1]Pivot!$B$1:$AB$65000,$B933,AQ$5)="",2,0)),0)</f>
        <v>0</v>
      </c>
      <c r="AR933" s="313">
        <f>IFERROR(IF(INDEX([1]Pivot!$BF$1:$CG$65000,$B933,AR$5)=1,1,IF(INDEX([1]Pivot!$B$1:$AB$65000,$B933,AR$5)="",2,0)),0)</f>
        <v>0</v>
      </c>
      <c r="AS933" s="312"/>
      <c r="AT933" s="313">
        <f>IFERROR(IF(INDEX([1]Pivot!$BF$1:$CG$65000,$B933,AT$5)=1,1,IF(INDEX([1]Pivot!$B$1:$AB$65000,$B933,AT$5)="",2,0)),0)</f>
        <v>0</v>
      </c>
      <c r="AU933" s="313">
        <f>IFERROR(IF(INDEX([1]Pivot!$BF$1:$CG$65000,$B933,AU$5)=1,1,IF(INDEX([1]Pivot!$B$1:$AB$65000,$B933,AU$5)="",2,0)),0)</f>
        <v>0</v>
      </c>
      <c r="AV933" s="313">
        <f>IFERROR(IF(INDEX([1]Pivot!$BF$1:$CG$65000,$B933,AV$5)=1,1,IF(INDEX([1]Pivot!$B$1:$AB$65000,$B933,AV$5)="",2,0)),0)</f>
        <v>0</v>
      </c>
      <c r="AW933" s="313">
        <f>IFERROR(IF(INDEX([1]Pivot!$BF$1:$CG$65000,$B933,AW$5)=1,1,IF(INDEX([1]Pivot!$B$1:$AB$65000,$B933,AW$5)="",2,0)),0)</f>
        <v>0</v>
      </c>
      <c r="AX933" s="313">
        <f>IFERROR(IF(INDEX([1]Pivot!$BF$1:$CG$65000,$B933,AX$5)=1,1,IF(INDEX([1]Pivot!$B$1:$AB$65000,$B933,AX$5)="",2,0)),0)</f>
        <v>0</v>
      </c>
      <c r="AY933" s="313">
        <f>IFERROR(IF(INDEX([1]Pivot!$BF$1:$CG$65000,$B933,AY$5)=1,1,IF(INDEX([1]Pivot!$B$1:$AB$65000,$B933,AY$5)="",2,0)),0)</f>
        <v>0</v>
      </c>
      <c r="AZ933" s="313">
        <f>IFERROR(IF(INDEX([1]Pivot!$BF$1:$CG$65000,$B933,AZ$5)=1,1,IF(INDEX([1]Pivot!$B$1:$AB$65000,$B933,AZ$5)="",2,0)),0)</f>
        <v>0</v>
      </c>
      <c r="BA933" s="313">
        <f>IFERROR(IF(INDEX([1]Pivot!$BF$1:$CG$65000,$B933,BA$5)=1,1,IF(INDEX([1]Pivot!$B$1:$AB$65000,$B933,BA$5)="",2,0)),0)</f>
        <v>0</v>
      </c>
      <c r="BB933" s="313">
        <f>IFERROR(IF(INDEX([1]Pivot!$BF$1:$CG$65000,$B933,BB$5)=1,1,IF(INDEX([1]Pivot!$B$1:$AB$65000,$B933,BB$5)="",2,0)),0)</f>
        <v>0</v>
      </c>
      <c r="BC933" s="313">
        <f>IFERROR(IF(INDEX([1]Pivot!$BF$1:$CG$65000,$B933,BC$5)=1,1,IF(INDEX([1]Pivot!$B$1:$AB$65000,$B933,BC$5)="",2,0)),0)</f>
        <v>0</v>
      </c>
      <c r="BD933" s="313">
        <f>IFERROR(IF(INDEX([1]Pivot!$BF$1:$CG$65000,$B933,BD$5)=1,1,IF(INDEX([1]Pivot!$B$1:$AB$65000,$B933,BD$5)="",2,0)),0)</f>
        <v>0</v>
      </c>
    </row>
    <row r="934" spans="1:56" x14ac:dyDescent="0.25">
      <c r="A934" s="288">
        <f>'[2]Raw Milk Prices'!A934</f>
        <v>0</v>
      </c>
      <c r="B934" s="296" t="e">
        <f>MATCH(DATE(LEFT('[2]Raw Milk Prices'!$A934,4),RIGHT('[2]Raw Milk Prices'!$A934,2),1),[1]Pivot!$A$1:$A$65000,0)</f>
        <v>#VALUE!</v>
      </c>
      <c r="C934" s="194">
        <f>IFERROR(IF(INDEX([1]Pivot!$AD$1:$BE$65000,$B934,C$5)=1,1,IF(INDEX([1]Pivot!$B$1:$AB$65000,$B934,C$5)="",2,0)),0)</f>
        <v>0</v>
      </c>
      <c r="D934" s="194">
        <f>IFERROR(IF(INDEX([1]Pivot!$AD$1:$BE$65000,$B934,D$5)=1,1,IF(INDEX([1]Pivot!$B$1:$AB$65000,$B934,D$5)="",2,0)),0)</f>
        <v>0</v>
      </c>
      <c r="E934" s="194">
        <f>IFERROR(IF(INDEX([1]Pivot!$AD$1:$BE$65000,$B934,E$5)=1,1,IF(INDEX([1]Pivot!$B$1:$AB$65000,$B934,E$5)="",2,0)),0)</f>
        <v>0</v>
      </c>
      <c r="F934" s="194">
        <f>IFERROR(IF(INDEX([1]Pivot!$AD$1:$BE$65000,$B934,F$5)=1,1,IF(INDEX([1]Pivot!$B$1:$AB$65000,$B934,F$5)="",2,0)),0)</f>
        <v>0</v>
      </c>
      <c r="G934" s="194">
        <f>IFERROR(IF(INDEX([1]Pivot!$AD$1:$BE$65000,$B934,G$5)=1,1,IF(INDEX([1]Pivot!$B$1:$AB$65000,$B934,G$5)="",2,0)),0)</f>
        <v>0</v>
      </c>
      <c r="H934" s="194">
        <f>IFERROR(IF(INDEX([1]Pivot!$AD$1:$BE$65000,$B934,H$5)=1,1,IF(INDEX([1]Pivot!$B$1:$AB$65000,$B934,H$5)="",2,0)),0)</f>
        <v>0</v>
      </c>
      <c r="I934" s="194">
        <f>IFERROR(IF(INDEX([1]Pivot!$AD$1:$BE$65000,$B934,I$5)=1,1,IF(INDEX([1]Pivot!$B$1:$AB$65000,$B934,I$5)="",2,0)),0)</f>
        <v>0</v>
      </c>
      <c r="J934" s="194">
        <f>IFERROR(IF(INDEX([1]Pivot!$AD$1:$BE$65000,$B934,J$5)=1,1,IF(INDEX([1]Pivot!$B$1:$AB$65000,$B934,J$5)="",2,0)),0)</f>
        <v>0</v>
      </c>
      <c r="K934" s="194">
        <f>IFERROR(IF(INDEX([1]Pivot!$AD$1:$BE$65000,$B934,K$5)=1,1,IF(INDEX([1]Pivot!$B$1:$AB$65000,$B934,K$5)="",2,0)),0)</f>
        <v>0</v>
      </c>
      <c r="L934" s="194">
        <f>IFERROR(IF(INDEX([1]Pivot!$AD$1:$BE$65000,$B934,L$5)=1,1,IF(INDEX([1]Pivot!$B$1:$AB$65000,$B934,L$5)="",2,0)),0)</f>
        <v>0</v>
      </c>
      <c r="M934" s="194">
        <f>IFERROR(IF(INDEX([1]Pivot!$AD$1:$BE$65000,$B934,M$5)=1,1,IF(INDEX([1]Pivot!$B$1:$AB$65000,$B934,M$5)="",2,0)),0)</f>
        <v>0</v>
      </c>
      <c r="N934" s="194">
        <f>IFERROR(IF(INDEX([1]Pivot!$AD$1:$BE$65000,$B934,N$5)=1,1,IF(INDEX([1]Pivot!$B$1:$AB$65000,$B934,N$5)="",2,0)),0)</f>
        <v>0</v>
      </c>
      <c r="O934" s="194">
        <f>IFERROR(IF(INDEX([1]Pivot!$AD$1:$BE$65000,$B934,O$5)=1,1,IF(INDEX([1]Pivot!$B$1:$AB$65000,$B934,O$5)="",2,0)),0)</f>
        <v>0</v>
      </c>
      <c r="P934" s="194">
        <f>IFERROR(IF(INDEX([1]Pivot!$AD$1:$BE$65000,$B934,P$5)=1,1,IF(INDEX([1]Pivot!$B$1:$AB$65000,$B934,P$5)="",2,0)),0)</f>
        <v>0</v>
      </c>
      <c r="Q934" s="194">
        <f>IFERROR(IF(INDEX([1]Pivot!$AD$1:$BE$65000,$B934,Q$5)=1,1,IF(INDEX([1]Pivot!$B$1:$AB$65000,$B934,Q$5)="",2,0)),0)</f>
        <v>0</v>
      </c>
      <c r="R934" s="312"/>
      <c r="S934" s="194">
        <f>IFERROR(IF(INDEX([1]Pivot!$AD$1:$BE$65000,$B934,S$5)=1,1,IF(INDEX([1]Pivot!$B$1:$AB$65000,$B934,S$5)="",2,0)),0)</f>
        <v>0</v>
      </c>
      <c r="T934" s="194">
        <f>IFERROR(IF(INDEX([1]Pivot!$AD$1:$BE$65000,$B934,T$5)=1,1,IF(INDEX([1]Pivot!$B$1:$AB$65000,$B934,T$5)="",2,0)),0)</f>
        <v>0</v>
      </c>
      <c r="U934" s="194">
        <f>IFERROR(IF(INDEX([1]Pivot!$AD$1:$BE$65000,$B934,U$5)=1,1,IF(INDEX([1]Pivot!$B$1:$AB$65000,$B934,U$5)="",2,0)),0)</f>
        <v>0</v>
      </c>
      <c r="V934" s="194">
        <f>IFERROR(IF(INDEX([1]Pivot!$AD$1:$BE$65000,$B934,V$5)=1,1,IF(INDEX([1]Pivot!$B$1:$AB$65000,$B934,V$5)="",2,0)),0)</f>
        <v>0</v>
      </c>
      <c r="W934" s="194">
        <f>IFERROR(IF(INDEX([1]Pivot!$AD$1:$BE$65000,$B934,W$5)=1,1,IF(INDEX([1]Pivot!$B$1:$AB$65000,$B934,W$5)="",2,0)),0)</f>
        <v>0</v>
      </c>
      <c r="X934" s="194">
        <f>IFERROR(IF(INDEX([1]Pivot!$AD$1:$BE$65000,$B934,X$5)=1,1,IF(INDEX([1]Pivot!$B$1:$AB$65000,$B934,X$5)="",2,0)),0)</f>
        <v>0</v>
      </c>
      <c r="Y934" s="194">
        <f>IFERROR(IF(INDEX([1]Pivot!$AD$1:$BE$65000,$B934,Y$5)=1,1,IF(INDEX([1]Pivot!$B$1:$AB$65000,$B934,Y$5)="",2,0)),0)</f>
        <v>0</v>
      </c>
      <c r="Z934" s="194">
        <f>IFERROR(IF(INDEX([1]Pivot!$AD$1:$BE$65000,$B934,Z$5)=1,1,IF(INDEX([1]Pivot!$B$1:$AB$65000,$B934,Z$5)="",2,0)),0)</f>
        <v>0</v>
      </c>
      <c r="AA934" s="194">
        <f>IFERROR(IF(INDEX([1]Pivot!$AD$1:$BE$65000,$B934,AA$5)=1,1,IF(INDEX([1]Pivot!$B$1:$AB$65000,$B934,AA$5)="",2,0)),0)</f>
        <v>0</v>
      </c>
      <c r="AB934" s="194">
        <f>IFERROR(IF(INDEX([1]Pivot!$AD$1:$BE$65000,$B934,AB$5)=1,1,IF(INDEX([1]Pivot!$B$1:$AB$65000,$B934,AB$5)="",2,0)),0)</f>
        <v>0</v>
      </c>
      <c r="AC934" s="194">
        <f>IFERROR(IF(INDEX([1]Pivot!$AD$1:$BE$65000,$B934,AC$5)=1,1,IF(INDEX([1]Pivot!$B$1:$AB$65000,$B934,AC$5)="",2,0)),0)</f>
        <v>0</v>
      </c>
      <c r="AD934" s="313">
        <f>IFERROR(IF(INDEX([1]Pivot!$BF$1:$CG$65000,$B934,AD$5)=1,1,IF(INDEX([1]Pivot!$B$1:$AB$65000,$B934,AD$5)="",2,0)),0)</f>
        <v>0</v>
      </c>
      <c r="AE934" s="313">
        <f>IFERROR(IF(INDEX([1]Pivot!$BF$1:$CG$65000,$B934,AE$5)=1,1,IF(INDEX([1]Pivot!$B$1:$AB$65000,$B934,AE$5)="",2,0)),0)</f>
        <v>0</v>
      </c>
      <c r="AF934" s="313">
        <f>IFERROR(IF(INDEX([1]Pivot!$BF$1:$CG$65000,$B934,AF$5)=1,1,IF(INDEX([1]Pivot!$B$1:$AB$65000,$B934,AF$5)="",2,0)),0)</f>
        <v>0</v>
      </c>
      <c r="AG934" s="313">
        <f>IFERROR(IF(INDEX([1]Pivot!$BF$1:$CG$65000,$B934,AG$5)=1,1,IF(INDEX([1]Pivot!$B$1:$AB$65000,$B934,AG$5)="",2,0)),0)</f>
        <v>0</v>
      </c>
      <c r="AH934" s="313">
        <f>IFERROR(IF(INDEX([1]Pivot!$BF$1:$CG$65000,$B934,AH$5)=1,1,IF(INDEX([1]Pivot!$B$1:$AB$65000,$B934,AH$5)="",2,0)),0)</f>
        <v>0</v>
      </c>
      <c r="AI934" s="313">
        <f>IFERROR(IF(INDEX([1]Pivot!$BF$1:$CG$65000,$B934,AI$5)=1,1,IF(INDEX([1]Pivot!$B$1:$AB$65000,$B934,AI$5)="",2,0)),0)</f>
        <v>0</v>
      </c>
      <c r="AJ934" s="313">
        <f>IFERROR(IF(INDEX([1]Pivot!$BF$1:$CG$65000,$B934,AJ$5)=1,1,IF(INDEX([1]Pivot!$B$1:$AB$65000,$B934,AJ$5)="",2,0)),0)</f>
        <v>0</v>
      </c>
      <c r="AK934" s="313">
        <f>IFERROR(IF(INDEX([1]Pivot!$BF$1:$CG$65000,$B934,AK$5)=1,1,IF(INDEX([1]Pivot!$B$1:$AB$65000,$B934,AK$5)="",2,0)),0)</f>
        <v>0</v>
      </c>
      <c r="AL934" s="313">
        <f>IFERROR(IF(INDEX([1]Pivot!$BF$1:$CG$65000,$B934,AL$5)=1,1,IF(INDEX([1]Pivot!$B$1:$AB$65000,$B934,AL$5)="",2,0)),0)</f>
        <v>0</v>
      </c>
      <c r="AM934" s="313">
        <f>IFERROR(IF(INDEX([1]Pivot!$BF$1:$CG$65000,$B934,AM$5)=1,1,IF(INDEX([1]Pivot!$B$1:$AB$65000,$B934,AM$5)="",2,0)),0)</f>
        <v>0</v>
      </c>
      <c r="AN934" s="313">
        <f>IFERROR(IF(INDEX([1]Pivot!$BF$1:$CG$65000,$B934,AN$5)=1,1,IF(INDEX([1]Pivot!$B$1:$AB$65000,$B934,AN$5)="",2,0)),0)</f>
        <v>0</v>
      </c>
      <c r="AO934" s="313">
        <f>IFERROR(IF(INDEX([1]Pivot!$BF$1:$CG$65000,$B934,AO$5)=1,1,IF(INDEX([1]Pivot!$B$1:$AB$65000,$B934,AO$5)="",2,0)),0)</f>
        <v>0</v>
      </c>
      <c r="AP934" s="313">
        <f>IFERROR(IF(INDEX([1]Pivot!$BF$1:$CG$65000,$B934,AP$5)=1,1,IF(INDEX([1]Pivot!$B$1:$AB$65000,$B934,AP$5)="",2,0)),0)</f>
        <v>0</v>
      </c>
      <c r="AQ934" s="313">
        <f>IFERROR(IF(INDEX([1]Pivot!$BF$1:$CG$65000,$B934,AQ$5)=1,1,IF(INDEX([1]Pivot!$B$1:$AB$65000,$B934,AQ$5)="",2,0)),0)</f>
        <v>0</v>
      </c>
      <c r="AR934" s="313">
        <f>IFERROR(IF(INDEX([1]Pivot!$BF$1:$CG$65000,$B934,AR$5)=1,1,IF(INDEX([1]Pivot!$B$1:$AB$65000,$B934,AR$5)="",2,0)),0)</f>
        <v>0</v>
      </c>
      <c r="AS934" s="312"/>
      <c r="AT934" s="313">
        <f>IFERROR(IF(INDEX([1]Pivot!$BF$1:$CG$65000,$B934,AT$5)=1,1,IF(INDEX([1]Pivot!$B$1:$AB$65000,$B934,AT$5)="",2,0)),0)</f>
        <v>0</v>
      </c>
      <c r="AU934" s="313">
        <f>IFERROR(IF(INDEX([1]Pivot!$BF$1:$CG$65000,$B934,AU$5)=1,1,IF(INDEX([1]Pivot!$B$1:$AB$65000,$B934,AU$5)="",2,0)),0)</f>
        <v>0</v>
      </c>
      <c r="AV934" s="313">
        <f>IFERROR(IF(INDEX([1]Pivot!$BF$1:$CG$65000,$B934,AV$5)=1,1,IF(INDEX([1]Pivot!$B$1:$AB$65000,$B934,AV$5)="",2,0)),0)</f>
        <v>0</v>
      </c>
      <c r="AW934" s="313">
        <f>IFERROR(IF(INDEX([1]Pivot!$BF$1:$CG$65000,$B934,AW$5)=1,1,IF(INDEX([1]Pivot!$B$1:$AB$65000,$B934,AW$5)="",2,0)),0)</f>
        <v>0</v>
      </c>
      <c r="AX934" s="313">
        <f>IFERROR(IF(INDEX([1]Pivot!$BF$1:$CG$65000,$B934,AX$5)=1,1,IF(INDEX([1]Pivot!$B$1:$AB$65000,$B934,AX$5)="",2,0)),0)</f>
        <v>0</v>
      </c>
      <c r="AY934" s="313">
        <f>IFERROR(IF(INDEX([1]Pivot!$BF$1:$CG$65000,$B934,AY$5)=1,1,IF(INDEX([1]Pivot!$B$1:$AB$65000,$B934,AY$5)="",2,0)),0)</f>
        <v>0</v>
      </c>
      <c r="AZ934" s="313">
        <f>IFERROR(IF(INDEX([1]Pivot!$BF$1:$CG$65000,$B934,AZ$5)=1,1,IF(INDEX([1]Pivot!$B$1:$AB$65000,$B934,AZ$5)="",2,0)),0)</f>
        <v>0</v>
      </c>
      <c r="BA934" s="313">
        <f>IFERROR(IF(INDEX([1]Pivot!$BF$1:$CG$65000,$B934,BA$5)=1,1,IF(INDEX([1]Pivot!$B$1:$AB$65000,$B934,BA$5)="",2,0)),0)</f>
        <v>0</v>
      </c>
      <c r="BB934" s="313">
        <f>IFERROR(IF(INDEX([1]Pivot!$BF$1:$CG$65000,$B934,BB$5)=1,1,IF(INDEX([1]Pivot!$B$1:$AB$65000,$B934,BB$5)="",2,0)),0)</f>
        <v>0</v>
      </c>
      <c r="BC934" s="313">
        <f>IFERROR(IF(INDEX([1]Pivot!$BF$1:$CG$65000,$B934,BC$5)=1,1,IF(INDEX([1]Pivot!$B$1:$AB$65000,$B934,BC$5)="",2,0)),0)</f>
        <v>0</v>
      </c>
      <c r="BD934" s="313">
        <f>IFERROR(IF(INDEX([1]Pivot!$BF$1:$CG$65000,$B934,BD$5)=1,1,IF(INDEX([1]Pivot!$B$1:$AB$65000,$B934,BD$5)="",2,0)),0)</f>
        <v>0</v>
      </c>
    </row>
    <row r="935" spans="1:56" x14ac:dyDescent="0.25">
      <c r="A935" s="288">
        <f>'[2]Raw Milk Prices'!A935</f>
        <v>0</v>
      </c>
      <c r="B935" s="296" t="e">
        <f>MATCH(DATE(LEFT('[2]Raw Milk Prices'!$A935,4),RIGHT('[2]Raw Milk Prices'!$A935,2),1),[1]Pivot!$A$1:$A$65000,0)</f>
        <v>#VALUE!</v>
      </c>
      <c r="C935" s="194">
        <f>IFERROR(IF(INDEX([1]Pivot!$AD$1:$BE$65000,$B935,C$5)=1,1,IF(INDEX([1]Pivot!$B$1:$AB$65000,$B935,C$5)="",2,0)),0)</f>
        <v>0</v>
      </c>
      <c r="D935" s="194">
        <f>IFERROR(IF(INDEX([1]Pivot!$AD$1:$BE$65000,$B935,D$5)=1,1,IF(INDEX([1]Pivot!$B$1:$AB$65000,$B935,D$5)="",2,0)),0)</f>
        <v>0</v>
      </c>
      <c r="E935" s="194">
        <f>IFERROR(IF(INDEX([1]Pivot!$AD$1:$BE$65000,$B935,E$5)=1,1,IF(INDEX([1]Pivot!$B$1:$AB$65000,$B935,E$5)="",2,0)),0)</f>
        <v>0</v>
      </c>
      <c r="F935" s="194">
        <f>IFERROR(IF(INDEX([1]Pivot!$AD$1:$BE$65000,$B935,F$5)=1,1,IF(INDEX([1]Pivot!$B$1:$AB$65000,$B935,F$5)="",2,0)),0)</f>
        <v>0</v>
      </c>
      <c r="G935" s="194">
        <f>IFERROR(IF(INDEX([1]Pivot!$AD$1:$BE$65000,$B935,G$5)=1,1,IF(INDEX([1]Pivot!$B$1:$AB$65000,$B935,G$5)="",2,0)),0)</f>
        <v>0</v>
      </c>
      <c r="H935" s="194">
        <f>IFERROR(IF(INDEX([1]Pivot!$AD$1:$BE$65000,$B935,H$5)=1,1,IF(INDEX([1]Pivot!$B$1:$AB$65000,$B935,H$5)="",2,0)),0)</f>
        <v>0</v>
      </c>
      <c r="I935" s="194">
        <f>IFERROR(IF(INDEX([1]Pivot!$AD$1:$BE$65000,$B935,I$5)=1,1,IF(INDEX([1]Pivot!$B$1:$AB$65000,$B935,I$5)="",2,0)),0)</f>
        <v>0</v>
      </c>
      <c r="J935" s="194">
        <f>IFERROR(IF(INDEX([1]Pivot!$AD$1:$BE$65000,$B935,J$5)=1,1,IF(INDEX([1]Pivot!$B$1:$AB$65000,$B935,J$5)="",2,0)),0)</f>
        <v>0</v>
      </c>
      <c r="K935" s="194">
        <f>IFERROR(IF(INDEX([1]Pivot!$AD$1:$BE$65000,$B935,K$5)=1,1,IF(INDEX([1]Pivot!$B$1:$AB$65000,$B935,K$5)="",2,0)),0)</f>
        <v>0</v>
      </c>
      <c r="L935" s="194">
        <f>IFERROR(IF(INDEX([1]Pivot!$AD$1:$BE$65000,$B935,L$5)=1,1,IF(INDEX([1]Pivot!$B$1:$AB$65000,$B935,L$5)="",2,0)),0)</f>
        <v>0</v>
      </c>
      <c r="M935" s="194">
        <f>IFERROR(IF(INDEX([1]Pivot!$AD$1:$BE$65000,$B935,M$5)=1,1,IF(INDEX([1]Pivot!$B$1:$AB$65000,$B935,M$5)="",2,0)),0)</f>
        <v>0</v>
      </c>
      <c r="N935" s="194">
        <f>IFERROR(IF(INDEX([1]Pivot!$AD$1:$BE$65000,$B935,N$5)=1,1,IF(INDEX([1]Pivot!$B$1:$AB$65000,$B935,N$5)="",2,0)),0)</f>
        <v>0</v>
      </c>
      <c r="O935" s="194">
        <f>IFERROR(IF(INDEX([1]Pivot!$AD$1:$BE$65000,$B935,O$5)=1,1,IF(INDEX([1]Pivot!$B$1:$AB$65000,$B935,O$5)="",2,0)),0)</f>
        <v>0</v>
      </c>
      <c r="P935" s="194">
        <f>IFERROR(IF(INDEX([1]Pivot!$AD$1:$BE$65000,$B935,P$5)=1,1,IF(INDEX([1]Pivot!$B$1:$AB$65000,$B935,P$5)="",2,0)),0)</f>
        <v>0</v>
      </c>
      <c r="Q935" s="194">
        <f>IFERROR(IF(INDEX([1]Pivot!$AD$1:$BE$65000,$B935,Q$5)=1,1,IF(INDEX([1]Pivot!$B$1:$AB$65000,$B935,Q$5)="",2,0)),0)</f>
        <v>0</v>
      </c>
      <c r="R935" s="312"/>
      <c r="S935" s="194">
        <f>IFERROR(IF(INDEX([1]Pivot!$AD$1:$BE$65000,$B935,S$5)=1,1,IF(INDEX([1]Pivot!$B$1:$AB$65000,$B935,S$5)="",2,0)),0)</f>
        <v>0</v>
      </c>
      <c r="T935" s="194">
        <f>IFERROR(IF(INDEX([1]Pivot!$AD$1:$BE$65000,$B935,T$5)=1,1,IF(INDEX([1]Pivot!$B$1:$AB$65000,$B935,T$5)="",2,0)),0)</f>
        <v>0</v>
      </c>
      <c r="U935" s="194">
        <f>IFERROR(IF(INDEX([1]Pivot!$AD$1:$BE$65000,$B935,U$5)=1,1,IF(INDEX([1]Pivot!$B$1:$AB$65000,$B935,U$5)="",2,0)),0)</f>
        <v>0</v>
      </c>
      <c r="V935" s="194">
        <f>IFERROR(IF(INDEX([1]Pivot!$AD$1:$BE$65000,$B935,V$5)=1,1,IF(INDEX([1]Pivot!$B$1:$AB$65000,$B935,V$5)="",2,0)),0)</f>
        <v>0</v>
      </c>
      <c r="W935" s="194">
        <f>IFERROR(IF(INDEX([1]Pivot!$AD$1:$BE$65000,$B935,W$5)=1,1,IF(INDEX([1]Pivot!$B$1:$AB$65000,$B935,W$5)="",2,0)),0)</f>
        <v>0</v>
      </c>
      <c r="X935" s="194">
        <f>IFERROR(IF(INDEX([1]Pivot!$AD$1:$BE$65000,$B935,X$5)=1,1,IF(INDEX([1]Pivot!$B$1:$AB$65000,$B935,X$5)="",2,0)),0)</f>
        <v>0</v>
      </c>
      <c r="Y935" s="194">
        <f>IFERROR(IF(INDEX([1]Pivot!$AD$1:$BE$65000,$B935,Y$5)=1,1,IF(INDEX([1]Pivot!$B$1:$AB$65000,$B935,Y$5)="",2,0)),0)</f>
        <v>0</v>
      </c>
      <c r="Z935" s="194">
        <f>IFERROR(IF(INDEX([1]Pivot!$AD$1:$BE$65000,$B935,Z$5)=1,1,IF(INDEX([1]Pivot!$B$1:$AB$65000,$B935,Z$5)="",2,0)),0)</f>
        <v>0</v>
      </c>
      <c r="AA935" s="194">
        <f>IFERROR(IF(INDEX([1]Pivot!$AD$1:$BE$65000,$B935,AA$5)=1,1,IF(INDEX([1]Pivot!$B$1:$AB$65000,$B935,AA$5)="",2,0)),0)</f>
        <v>0</v>
      </c>
      <c r="AB935" s="194">
        <f>IFERROR(IF(INDEX([1]Pivot!$AD$1:$BE$65000,$B935,AB$5)=1,1,IF(INDEX([1]Pivot!$B$1:$AB$65000,$B935,AB$5)="",2,0)),0)</f>
        <v>0</v>
      </c>
      <c r="AC935" s="194">
        <f>IFERROR(IF(INDEX([1]Pivot!$AD$1:$BE$65000,$B935,AC$5)=1,1,IF(INDEX([1]Pivot!$B$1:$AB$65000,$B935,AC$5)="",2,0)),0)</f>
        <v>0</v>
      </c>
      <c r="AD935" s="313">
        <f>IFERROR(IF(INDEX([1]Pivot!$BF$1:$CG$65000,$B935,AD$5)=1,1,IF(INDEX([1]Pivot!$B$1:$AB$65000,$B935,AD$5)="",2,0)),0)</f>
        <v>0</v>
      </c>
      <c r="AE935" s="313">
        <f>IFERROR(IF(INDEX([1]Pivot!$BF$1:$CG$65000,$B935,AE$5)=1,1,IF(INDEX([1]Pivot!$B$1:$AB$65000,$B935,AE$5)="",2,0)),0)</f>
        <v>0</v>
      </c>
      <c r="AF935" s="313">
        <f>IFERROR(IF(INDEX([1]Pivot!$BF$1:$CG$65000,$B935,AF$5)=1,1,IF(INDEX([1]Pivot!$B$1:$AB$65000,$B935,AF$5)="",2,0)),0)</f>
        <v>0</v>
      </c>
      <c r="AG935" s="313">
        <f>IFERROR(IF(INDEX([1]Pivot!$BF$1:$CG$65000,$B935,AG$5)=1,1,IF(INDEX([1]Pivot!$B$1:$AB$65000,$B935,AG$5)="",2,0)),0)</f>
        <v>0</v>
      </c>
      <c r="AH935" s="313">
        <f>IFERROR(IF(INDEX([1]Pivot!$BF$1:$CG$65000,$B935,AH$5)=1,1,IF(INDEX([1]Pivot!$B$1:$AB$65000,$B935,AH$5)="",2,0)),0)</f>
        <v>0</v>
      </c>
      <c r="AI935" s="313">
        <f>IFERROR(IF(INDEX([1]Pivot!$BF$1:$CG$65000,$B935,AI$5)=1,1,IF(INDEX([1]Pivot!$B$1:$AB$65000,$B935,AI$5)="",2,0)),0)</f>
        <v>0</v>
      </c>
      <c r="AJ935" s="313">
        <f>IFERROR(IF(INDEX([1]Pivot!$BF$1:$CG$65000,$B935,AJ$5)=1,1,IF(INDEX([1]Pivot!$B$1:$AB$65000,$B935,AJ$5)="",2,0)),0)</f>
        <v>0</v>
      </c>
      <c r="AK935" s="313">
        <f>IFERROR(IF(INDEX([1]Pivot!$BF$1:$CG$65000,$B935,AK$5)=1,1,IF(INDEX([1]Pivot!$B$1:$AB$65000,$B935,AK$5)="",2,0)),0)</f>
        <v>0</v>
      </c>
      <c r="AL935" s="313">
        <f>IFERROR(IF(INDEX([1]Pivot!$BF$1:$CG$65000,$B935,AL$5)=1,1,IF(INDEX([1]Pivot!$B$1:$AB$65000,$B935,AL$5)="",2,0)),0)</f>
        <v>0</v>
      </c>
      <c r="AM935" s="313">
        <f>IFERROR(IF(INDEX([1]Pivot!$BF$1:$CG$65000,$B935,AM$5)=1,1,IF(INDEX([1]Pivot!$B$1:$AB$65000,$B935,AM$5)="",2,0)),0)</f>
        <v>0</v>
      </c>
      <c r="AN935" s="313">
        <f>IFERROR(IF(INDEX([1]Pivot!$BF$1:$CG$65000,$B935,AN$5)=1,1,IF(INDEX([1]Pivot!$B$1:$AB$65000,$B935,AN$5)="",2,0)),0)</f>
        <v>0</v>
      </c>
      <c r="AO935" s="313">
        <f>IFERROR(IF(INDEX([1]Pivot!$BF$1:$CG$65000,$B935,AO$5)=1,1,IF(INDEX([1]Pivot!$B$1:$AB$65000,$B935,AO$5)="",2,0)),0)</f>
        <v>0</v>
      </c>
      <c r="AP935" s="313">
        <f>IFERROR(IF(INDEX([1]Pivot!$BF$1:$CG$65000,$B935,AP$5)=1,1,IF(INDEX([1]Pivot!$B$1:$AB$65000,$B935,AP$5)="",2,0)),0)</f>
        <v>0</v>
      </c>
      <c r="AQ935" s="313">
        <f>IFERROR(IF(INDEX([1]Pivot!$BF$1:$CG$65000,$B935,AQ$5)=1,1,IF(INDEX([1]Pivot!$B$1:$AB$65000,$B935,AQ$5)="",2,0)),0)</f>
        <v>0</v>
      </c>
      <c r="AR935" s="313">
        <f>IFERROR(IF(INDEX([1]Pivot!$BF$1:$CG$65000,$B935,AR$5)=1,1,IF(INDEX([1]Pivot!$B$1:$AB$65000,$B935,AR$5)="",2,0)),0)</f>
        <v>0</v>
      </c>
      <c r="AS935" s="312"/>
      <c r="AT935" s="313">
        <f>IFERROR(IF(INDEX([1]Pivot!$BF$1:$CG$65000,$B935,AT$5)=1,1,IF(INDEX([1]Pivot!$B$1:$AB$65000,$B935,AT$5)="",2,0)),0)</f>
        <v>0</v>
      </c>
      <c r="AU935" s="313">
        <f>IFERROR(IF(INDEX([1]Pivot!$BF$1:$CG$65000,$B935,AU$5)=1,1,IF(INDEX([1]Pivot!$B$1:$AB$65000,$B935,AU$5)="",2,0)),0)</f>
        <v>0</v>
      </c>
      <c r="AV935" s="313">
        <f>IFERROR(IF(INDEX([1]Pivot!$BF$1:$CG$65000,$B935,AV$5)=1,1,IF(INDEX([1]Pivot!$B$1:$AB$65000,$B935,AV$5)="",2,0)),0)</f>
        <v>0</v>
      </c>
      <c r="AW935" s="313">
        <f>IFERROR(IF(INDEX([1]Pivot!$BF$1:$CG$65000,$B935,AW$5)=1,1,IF(INDEX([1]Pivot!$B$1:$AB$65000,$B935,AW$5)="",2,0)),0)</f>
        <v>0</v>
      </c>
      <c r="AX935" s="313">
        <f>IFERROR(IF(INDEX([1]Pivot!$BF$1:$CG$65000,$B935,AX$5)=1,1,IF(INDEX([1]Pivot!$B$1:$AB$65000,$B935,AX$5)="",2,0)),0)</f>
        <v>0</v>
      </c>
      <c r="AY935" s="313">
        <f>IFERROR(IF(INDEX([1]Pivot!$BF$1:$CG$65000,$B935,AY$5)=1,1,IF(INDEX([1]Pivot!$B$1:$AB$65000,$B935,AY$5)="",2,0)),0)</f>
        <v>0</v>
      </c>
      <c r="AZ935" s="313">
        <f>IFERROR(IF(INDEX([1]Pivot!$BF$1:$CG$65000,$B935,AZ$5)=1,1,IF(INDEX([1]Pivot!$B$1:$AB$65000,$B935,AZ$5)="",2,0)),0)</f>
        <v>0</v>
      </c>
      <c r="BA935" s="313">
        <f>IFERROR(IF(INDEX([1]Pivot!$BF$1:$CG$65000,$B935,BA$5)=1,1,IF(INDEX([1]Pivot!$B$1:$AB$65000,$B935,BA$5)="",2,0)),0)</f>
        <v>0</v>
      </c>
      <c r="BB935" s="313">
        <f>IFERROR(IF(INDEX([1]Pivot!$BF$1:$CG$65000,$B935,BB$5)=1,1,IF(INDEX([1]Pivot!$B$1:$AB$65000,$B935,BB$5)="",2,0)),0)</f>
        <v>0</v>
      </c>
      <c r="BC935" s="313">
        <f>IFERROR(IF(INDEX([1]Pivot!$BF$1:$CG$65000,$B935,BC$5)=1,1,IF(INDEX([1]Pivot!$B$1:$AB$65000,$B935,BC$5)="",2,0)),0)</f>
        <v>0</v>
      </c>
      <c r="BD935" s="313">
        <f>IFERROR(IF(INDEX([1]Pivot!$BF$1:$CG$65000,$B935,BD$5)=1,1,IF(INDEX([1]Pivot!$B$1:$AB$65000,$B935,BD$5)="",2,0)),0)</f>
        <v>0</v>
      </c>
    </row>
    <row r="936" spans="1:56" x14ac:dyDescent="0.25">
      <c r="A936" s="288">
        <f>'[2]Raw Milk Prices'!A936</f>
        <v>0</v>
      </c>
      <c r="B936" s="296" t="e">
        <f>MATCH(DATE(LEFT('[2]Raw Milk Prices'!$A936,4),RIGHT('[2]Raw Milk Prices'!$A936,2),1),[1]Pivot!$A$1:$A$65000,0)</f>
        <v>#VALUE!</v>
      </c>
      <c r="C936" s="194">
        <f>IFERROR(IF(INDEX([1]Pivot!$AD$1:$BE$65000,$B936,C$5)=1,1,IF(INDEX([1]Pivot!$B$1:$AB$65000,$B936,C$5)="",2,0)),0)</f>
        <v>0</v>
      </c>
      <c r="D936" s="194">
        <f>IFERROR(IF(INDEX([1]Pivot!$AD$1:$BE$65000,$B936,D$5)=1,1,IF(INDEX([1]Pivot!$B$1:$AB$65000,$B936,D$5)="",2,0)),0)</f>
        <v>0</v>
      </c>
      <c r="E936" s="194">
        <f>IFERROR(IF(INDEX([1]Pivot!$AD$1:$BE$65000,$B936,E$5)=1,1,IF(INDEX([1]Pivot!$B$1:$AB$65000,$B936,E$5)="",2,0)),0)</f>
        <v>0</v>
      </c>
      <c r="F936" s="194">
        <f>IFERROR(IF(INDEX([1]Pivot!$AD$1:$BE$65000,$B936,F$5)=1,1,IF(INDEX([1]Pivot!$B$1:$AB$65000,$B936,F$5)="",2,0)),0)</f>
        <v>0</v>
      </c>
      <c r="G936" s="194">
        <f>IFERROR(IF(INDEX([1]Pivot!$AD$1:$BE$65000,$B936,G$5)=1,1,IF(INDEX([1]Pivot!$B$1:$AB$65000,$B936,G$5)="",2,0)),0)</f>
        <v>0</v>
      </c>
      <c r="H936" s="194">
        <f>IFERROR(IF(INDEX([1]Pivot!$AD$1:$BE$65000,$B936,H$5)=1,1,IF(INDEX([1]Pivot!$B$1:$AB$65000,$B936,H$5)="",2,0)),0)</f>
        <v>0</v>
      </c>
      <c r="I936" s="194">
        <f>IFERROR(IF(INDEX([1]Pivot!$AD$1:$BE$65000,$B936,I$5)=1,1,IF(INDEX([1]Pivot!$B$1:$AB$65000,$B936,I$5)="",2,0)),0)</f>
        <v>0</v>
      </c>
      <c r="J936" s="194">
        <f>IFERROR(IF(INDEX([1]Pivot!$AD$1:$BE$65000,$B936,J$5)=1,1,IF(INDEX([1]Pivot!$B$1:$AB$65000,$B936,J$5)="",2,0)),0)</f>
        <v>0</v>
      </c>
      <c r="K936" s="194">
        <f>IFERROR(IF(INDEX([1]Pivot!$AD$1:$BE$65000,$B936,K$5)=1,1,IF(INDEX([1]Pivot!$B$1:$AB$65000,$B936,K$5)="",2,0)),0)</f>
        <v>0</v>
      </c>
      <c r="L936" s="194">
        <f>IFERROR(IF(INDEX([1]Pivot!$AD$1:$BE$65000,$B936,L$5)=1,1,IF(INDEX([1]Pivot!$B$1:$AB$65000,$B936,L$5)="",2,0)),0)</f>
        <v>0</v>
      </c>
      <c r="M936" s="194">
        <f>IFERROR(IF(INDEX([1]Pivot!$AD$1:$BE$65000,$B936,M$5)=1,1,IF(INDEX([1]Pivot!$B$1:$AB$65000,$B936,M$5)="",2,0)),0)</f>
        <v>0</v>
      </c>
      <c r="N936" s="194">
        <f>IFERROR(IF(INDEX([1]Pivot!$AD$1:$BE$65000,$B936,N$5)=1,1,IF(INDEX([1]Pivot!$B$1:$AB$65000,$B936,N$5)="",2,0)),0)</f>
        <v>0</v>
      </c>
      <c r="O936" s="194">
        <f>IFERROR(IF(INDEX([1]Pivot!$AD$1:$BE$65000,$B936,O$5)=1,1,IF(INDEX([1]Pivot!$B$1:$AB$65000,$B936,O$5)="",2,0)),0)</f>
        <v>0</v>
      </c>
      <c r="P936" s="194">
        <f>IFERROR(IF(INDEX([1]Pivot!$AD$1:$BE$65000,$B936,P$5)=1,1,IF(INDEX([1]Pivot!$B$1:$AB$65000,$B936,P$5)="",2,0)),0)</f>
        <v>0</v>
      </c>
      <c r="Q936" s="194">
        <f>IFERROR(IF(INDEX([1]Pivot!$AD$1:$BE$65000,$B936,Q$5)=1,1,IF(INDEX([1]Pivot!$B$1:$AB$65000,$B936,Q$5)="",2,0)),0)</f>
        <v>0</v>
      </c>
      <c r="R936" s="312"/>
      <c r="S936" s="194">
        <f>IFERROR(IF(INDEX([1]Pivot!$AD$1:$BE$65000,$B936,S$5)=1,1,IF(INDEX([1]Pivot!$B$1:$AB$65000,$B936,S$5)="",2,0)),0)</f>
        <v>0</v>
      </c>
      <c r="T936" s="194">
        <f>IFERROR(IF(INDEX([1]Pivot!$AD$1:$BE$65000,$B936,T$5)=1,1,IF(INDEX([1]Pivot!$B$1:$AB$65000,$B936,T$5)="",2,0)),0)</f>
        <v>0</v>
      </c>
      <c r="U936" s="194">
        <f>IFERROR(IF(INDEX([1]Pivot!$AD$1:$BE$65000,$B936,U$5)=1,1,IF(INDEX([1]Pivot!$B$1:$AB$65000,$B936,U$5)="",2,0)),0)</f>
        <v>0</v>
      </c>
      <c r="V936" s="194">
        <f>IFERROR(IF(INDEX([1]Pivot!$AD$1:$BE$65000,$B936,V$5)=1,1,IF(INDEX([1]Pivot!$B$1:$AB$65000,$B936,V$5)="",2,0)),0)</f>
        <v>0</v>
      </c>
      <c r="W936" s="194">
        <f>IFERROR(IF(INDEX([1]Pivot!$AD$1:$BE$65000,$B936,W$5)=1,1,IF(INDEX([1]Pivot!$B$1:$AB$65000,$B936,W$5)="",2,0)),0)</f>
        <v>0</v>
      </c>
      <c r="X936" s="194">
        <f>IFERROR(IF(INDEX([1]Pivot!$AD$1:$BE$65000,$B936,X$5)=1,1,IF(INDEX([1]Pivot!$B$1:$AB$65000,$B936,X$5)="",2,0)),0)</f>
        <v>0</v>
      </c>
      <c r="Y936" s="194">
        <f>IFERROR(IF(INDEX([1]Pivot!$AD$1:$BE$65000,$B936,Y$5)=1,1,IF(INDEX([1]Pivot!$B$1:$AB$65000,$B936,Y$5)="",2,0)),0)</f>
        <v>0</v>
      </c>
      <c r="Z936" s="194">
        <f>IFERROR(IF(INDEX([1]Pivot!$AD$1:$BE$65000,$B936,Z$5)=1,1,IF(INDEX([1]Pivot!$B$1:$AB$65000,$B936,Z$5)="",2,0)),0)</f>
        <v>0</v>
      </c>
      <c r="AA936" s="194">
        <f>IFERROR(IF(INDEX([1]Pivot!$AD$1:$BE$65000,$B936,AA$5)=1,1,IF(INDEX([1]Pivot!$B$1:$AB$65000,$B936,AA$5)="",2,0)),0)</f>
        <v>0</v>
      </c>
      <c r="AB936" s="194">
        <f>IFERROR(IF(INDEX([1]Pivot!$AD$1:$BE$65000,$B936,AB$5)=1,1,IF(INDEX([1]Pivot!$B$1:$AB$65000,$B936,AB$5)="",2,0)),0)</f>
        <v>0</v>
      </c>
      <c r="AC936" s="194">
        <f>IFERROR(IF(INDEX([1]Pivot!$AD$1:$BE$65000,$B936,AC$5)=1,1,IF(INDEX([1]Pivot!$B$1:$AB$65000,$B936,AC$5)="",2,0)),0)</f>
        <v>0</v>
      </c>
      <c r="AD936" s="313">
        <f>IFERROR(IF(INDEX([1]Pivot!$BF$1:$CG$65000,$B936,AD$5)=1,1,IF(INDEX([1]Pivot!$B$1:$AB$65000,$B936,AD$5)="",2,0)),0)</f>
        <v>0</v>
      </c>
      <c r="AE936" s="313">
        <f>IFERROR(IF(INDEX([1]Pivot!$BF$1:$CG$65000,$B936,AE$5)=1,1,IF(INDEX([1]Pivot!$B$1:$AB$65000,$B936,AE$5)="",2,0)),0)</f>
        <v>0</v>
      </c>
      <c r="AF936" s="313">
        <f>IFERROR(IF(INDEX([1]Pivot!$BF$1:$CG$65000,$B936,AF$5)=1,1,IF(INDEX([1]Pivot!$B$1:$AB$65000,$B936,AF$5)="",2,0)),0)</f>
        <v>0</v>
      </c>
      <c r="AG936" s="313">
        <f>IFERROR(IF(INDEX([1]Pivot!$BF$1:$CG$65000,$B936,AG$5)=1,1,IF(INDEX([1]Pivot!$B$1:$AB$65000,$B936,AG$5)="",2,0)),0)</f>
        <v>0</v>
      </c>
      <c r="AH936" s="313">
        <f>IFERROR(IF(INDEX([1]Pivot!$BF$1:$CG$65000,$B936,AH$5)=1,1,IF(INDEX([1]Pivot!$B$1:$AB$65000,$B936,AH$5)="",2,0)),0)</f>
        <v>0</v>
      </c>
      <c r="AI936" s="313">
        <f>IFERROR(IF(INDEX([1]Pivot!$BF$1:$CG$65000,$B936,AI$5)=1,1,IF(INDEX([1]Pivot!$B$1:$AB$65000,$B936,AI$5)="",2,0)),0)</f>
        <v>0</v>
      </c>
      <c r="AJ936" s="313">
        <f>IFERROR(IF(INDEX([1]Pivot!$BF$1:$CG$65000,$B936,AJ$5)=1,1,IF(INDEX([1]Pivot!$B$1:$AB$65000,$B936,AJ$5)="",2,0)),0)</f>
        <v>0</v>
      </c>
      <c r="AK936" s="313">
        <f>IFERROR(IF(INDEX([1]Pivot!$BF$1:$CG$65000,$B936,AK$5)=1,1,IF(INDEX([1]Pivot!$B$1:$AB$65000,$B936,AK$5)="",2,0)),0)</f>
        <v>0</v>
      </c>
      <c r="AL936" s="313">
        <f>IFERROR(IF(INDEX([1]Pivot!$BF$1:$CG$65000,$B936,AL$5)=1,1,IF(INDEX([1]Pivot!$B$1:$AB$65000,$B936,AL$5)="",2,0)),0)</f>
        <v>0</v>
      </c>
      <c r="AM936" s="313">
        <f>IFERROR(IF(INDEX([1]Pivot!$BF$1:$CG$65000,$B936,AM$5)=1,1,IF(INDEX([1]Pivot!$B$1:$AB$65000,$B936,AM$5)="",2,0)),0)</f>
        <v>0</v>
      </c>
      <c r="AN936" s="313">
        <f>IFERROR(IF(INDEX([1]Pivot!$BF$1:$CG$65000,$B936,AN$5)=1,1,IF(INDEX([1]Pivot!$B$1:$AB$65000,$B936,AN$5)="",2,0)),0)</f>
        <v>0</v>
      </c>
      <c r="AO936" s="313">
        <f>IFERROR(IF(INDEX([1]Pivot!$BF$1:$CG$65000,$B936,AO$5)=1,1,IF(INDEX([1]Pivot!$B$1:$AB$65000,$B936,AO$5)="",2,0)),0)</f>
        <v>0</v>
      </c>
      <c r="AP936" s="313">
        <f>IFERROR(IF(INDEX([1]Pivot!$BF$1:$CG$65000,$B936,AP$5)=1,1,IF(INDEX([1]Pivot!$B$1:$AB$65000,$B936,AP$5)="",2,0)),0)</f>
        <v>0</v>
      </c>
      <c r="AQ936" s="313">
        <f>IFERROR(IF(INDEX([1]Pivot!$BF$1:$CG$65000,$B936,AQ$5)=1,1,IF(INDEX([1]Pivot!$B$1:$AB$65000,$B936,AQ$5)="",2,0)),0)</f>
        <v>0</v>
      </c>
      <c r="AR936" s="313">
        <f>IFERROR(IF(INDEX([1]Pivot!$BF$1:$CG$65000,$B936,AR$5)=1,1,IF(INDEX([1]Pivot!$B$1:$AB$65000,$B936,AR$5)="",2,0)),0)</f>
        <v>0</v>
      </c>
      <c r="AS936" s="312"/>
      <c r="AT936" s="313">
        <f>IFERROR(IF(INDEX([1]Pivot!$BF$1:$CG$65000,$B936,AT$5)=1,1,IF(INDEX([1]Pivot!$B$1:$AB$65000,$B936,AT$5)="",2,0)),0)</f>
        <v>0</v>
      </c>
      <c r="AU936" s="313">
        <f>IFERROR(IF(INDEX([1]Pivot!$BF$1:$CG$65000,$B936,AU$5)=1,1,IF(INDEX([1]Pivot!$B$1:$AB$65000,$B936,AU$5)="",2,0)),0)</f>
        <v>0</v>
      </c>
      <c r="AV936" s="313">
        <f>IFERROR(IF(INDEX([1]Pivot!$BF$1:$CG$65000,$B936,AV$5)=1,1,IF(INDEX([1]Pivot!$B$1:$AB$65000,$B936,AV$5)="",2,0)),0)</f>
        <v>0</v>
      </c>
      <c r="AW936" s="313">
        <f>IFERROR(IF(INDEX([1]Pivot!$BF$1:$CG$65000,$B936,AW$5)=1,1,IF(INDEX([1]Pivot!$B$1:$AB$65000,$B936,AW$5)="",2,0)),0)</f>
        <v>0</v>
      </c>
      <c r="AX936" s="313">
        <f>IFERROR(IF(INDEX([1]Pivot!$BF$1:$CG$65000,$B936,AX$5)=1,1,IF(INDEX([1]Pivot!$B$1:$AB$65000,$B936,AX$5)="",2,0)),0)</f>
        <v>0</v>
      </c>
      <c r="AY936" s="313">
        <f>IFERROR(IF(INDEX([1]Pivot!$BF$1:$CG$65000,$B936,AY$5)=1,1,IF(INDEX([1]Pivot!$B$1:$AB$65000,$B936,AY$5)="",2,0)),0)</f>
        <v>0</v>
      </c>
      <c r="AZ936" s="313">
        <f>IFERROR(IF(INDEX([1]Pivot!$BF$1:$CG$65000,$B936,AZ$5)=1,1,IF(INDEX([1]Pivot!$B$1:$AB$65000,$B936,AZ$5)="",2,0)),0)</f>
        <v>0</v>
      </c>
      <c r="BA936" s="313">
        <f>IFERROR(IF(INDEX([1]Pivot!$BF$1:$CG$65000,$B936,BA$5)=1,1,IF(INDEX([1]Pivot!$B$1:$AB$65000,$B936,BA$5)="",2,0)),0)</f>
        <v>0</v>
      </c>
      <c r="BB936" s="313">
        <f>IFERROR(IF(INDEX([1]Pivot!$BF$1:$CG$65000,$B936,BB$5)=1,1,IF(INDEX([1]Pivot!$B$1:$AB$65000,$B936,BB$5)="",2,0)),0)</f>
        <v>0</v>
      </c>
      <c r="BC936" s="313">
        <f>IFERROR(IF(INDEX([1]Pivot!$BF$1:$CG$65000,$B936,BC$5)=1,1,IF(INDEX([1]Pivot!$B$1:$AB$65000,$B936,BC$5)="",2,0)),0)</f>
        <v>0</v>
      </c>
      <c r="BD936" s="313">
        <f>IFERROR(IF(INDEX([1]Pivot!$BF$1:$CG$65000,$B936,BD$5)=1,1,IF(INDEX([1]Pivot!$B$1:$AB$65000,$B936,BD$5)="",2,0)),0)</f>
        <v>0</v>
      </c>
    </row>
    <row r="937" spans="1:56" x14ac:dyDescent="0.25">
      <c r="A937" s="288">
        <f>'[2]Raw Milk Prices'!A937</f>
        <v>0</v>
      </c>
      <c r="B937" s="296" t="e">
        <f>MATCH(DATE(LEFT('[2]Raw Milk Prices'!$A937,4),RIGHT('[2]Raw Milk Prices'!$A937,2),1),[1]Pivot!$A$1:$A$65000,0)</f>
        <v>#VALUE!</v>
      </c>
      <c r="C937" s="194">
        <f>IFERROR(IF(INDEX([1]Pivot!$AD$1:$BE$65000,$B937,C$5)=1,1,IF(INDEX([1]Pivot!$B$1:$AB$65000,$B937,C$5)="",2,0)),0)</f>
        <v>0</v>
      </c>
      <c r="D937" s="194">
        <f>IFERROR(IF(INDEX([1]Pivot!$AD$1:$BE$65000,$B937,D$5)=1,1,IF(INDEX([1]Pivot!$B$1:$AB$65000,$B937,D$5)="",2,0)),0)</f>
        <v>0</v>
      </c>
      <c r="E937" s="194">
        <f>IFERROR(IF(INDEX([1]Pivot!$AD$1:$BE$65000,$B937,E$5)=1,1,IF(INDEX([1]Pivot!$B$1:$AB$65000,$B937,E$5)="",2,0)),0)</f>
        <v>0</v>
      </c>
      <c r="F937" s="194">
        <f>IFERROR(IF(INDEX([1]Pivot!$AD$1:$BE$65000,$B937,F$5)=1,1,IF(INDEX([1]Pivot!$B$1:$AB$65000,$B937,F$5)="",2,0)),0)</f>
        <v>0</v>
      </c>
      <c r="G937" s="194">
        <f>IFERROR(IF(INDEX([1]Pivot!$AD$1:$BE$65000,$B937,G$5)=1,1,IF(INDEX([1]Pivot!$B$1:$AB$65000,$B937,G$5)="",2,0)),0)</f>
        <v>0</v>
      </c>
      <c r="H937" s="194">
        <f>IFERROR(IF(INDEX([1]Pivot!$AD$1:$BE$65000,$B937,H$5)=1,1,IF(INDEX([1]Pivot!$B$1:$AB$65000,$B937,H$5)="",2,0)),0)</f>
        <v>0</v>
      </c>
      <c r="I937" s="194">
        <f>IFERROR(IF(INDEX([1]Pivot!$AD$1:$BE$65000,$B937,I$5)=1,1,IF(INDEX([1]Pivot!$B$1:$AB$65000,$B937,I$5)="",2,0)),0)</f>
        <v>0</v>
      </c>
      <c r="J937" s="194">
        <f>IFERROR(IF(INDEX([1]Pivot!$AD$1:$BE$65000,$B937,J$5)=1,1,IF(INDEX([1]Pivot!$B$1:$AB$65000,$B937,J$5)="",2,0)),0)</f>
        <v>0</v>
      </c>
      <c r="K937" s="194">
        <f>IFERROR(IF(INDEX([1]Pivot!$AD$1:$BE$65000,$B937,K$5)=1,1,IF(INDEX([1]Pivot!$B$1:$AB$65000,$B937,K$5)="",2,0)),0)</f>
        <v>0</v>
      </c>
      <c r="L937" s="194">
        <f>IFERROR(IF(INDEX([1]Pivot!$AD$1:$BE$65000,$B937,L$5)=1,1,IF(INDEX([1]Pivot!$B$1:$AB$65000,$B937,L$5)="",2,0)),0)</f>
        <v>0</v>
      </c>
      <c r="M937" s="194">
        <f>IFERROR(IF(INDEX([1]Pivot!$AD$1:$BE$65000,$B937,M$5)=1,1,IF(INDEX([1]Pivot!$B$1:$AB$65000,$B937,M$5)="",2,0)),0)</f>
        <v>0</v>
      </c>
      <c r="N937" s="194">
        <f>IFERROR(IF(INDEX([1]Pivot!$AD$1:$BE$65000,$B937,N$5)=1,1,IF(INDEX([1]Pivot!$B$1:$AB$65000,$B937,N$5)="",2,0)),0)</f>
        <v>0</v>
      </c>
      <c r="O937" s="194">
        <f>IFERROR(IF(INDEX([1]Pivot!$AD$1:$BE$65000,$B937,O$5)=1,1,IF(INDEX([1]Pivot!$B$1:$AB$65000,$B937,O$5)="",2,0)),0)</f>
        <v>0</v>
      </c>
      <c r="P937" s="194">
        <f>IFERROR(IF(INDEX([1]Pivot!$AD$1:$BE$65000,$B937,P$5)=1,1,IF(INDEX([1]Pivot!$B$1:$AB$65000,$B937,P$5)="",2,0)),0)</f>
        <v>0</v>
      </c>
      <c r="Q937" s="194">
        <f>IFERROR(IF(INDEX([1]Pivot!$AD$1:$BE$65000,$B937,Q$5)=1,1,IF(INDEX([1]Pivot!$B$1:$AB$65000,$B937,Q$5)="",2,0)),0)</f>
        <v>0</v>
      </c>
      <c r="R937" s="312"/>
      <c r="S937" s="194">
        <f>IFERROR(IF(INDEX([1]Pivot!$AD$1:$BE$65000,$B937,S$5)=1,1,IF(INDEX([1]Pivot!$B$1:$AB$65000,$B937,S$5)="",2,0)),0)</f>
        <v>0</v>
      </c>
      <c r="T937" s="194">
        <f>IFERROR(IF(INDEX([1]Pivot!$AD$1:$BE$65000,$B937,T$5)=1,1,IF(INDEX([1]Pivot!$B$1:$AB$65000,$B937,T$5)="",2,0)),0)</f>
        <v>0</v>
      </c>
      <c r="U937" s="194">
        <f>IFERROR(IF(INDEX([1]Pivot!$AD$1:$BE$65000,$B937,U$5)=1,1,IF(INDEX([1]Pivot!$B$1:$AB$65000,$B937,U$5)="",2,0)),0)</f>
        <v>0</v>
      </c>
      <c r="V937" s="194">
        <f>IFERROR(IF(INDEX([1]Pivot!$AD$1:$BE$65000,$B937,V$5)=1,1,IF(INDEX([1]Pivot!$B$1:$AB$65000,$B937,V$5)="",2,0)),0)</f>
        <v>0</v>
      </c>
      <c r="W937" s="194">
        <f>IFERROR(IF(INDEX([1]Pivot!$AD$1:$BE$65000,$B937,W$5)=1,1,IF(INDEX([1]Pivot!$B$1:$AB$65000,$B937,W$5)="",2,0)),0)</f>
        <v>0</v>
      </c>
      <c r="X937" s="194">
        <f>IFERROR(IF(INDEX([1]Pivot!$AD$1:$BE$65000,$B937,X$5)=1,1,IF(INDEX([1]Pivot!$B$1:$AB$65000,$B937,X$5)="",2,0)),0)</f>
        <v>0</v>
      </c>
      <c r="Y937" s="194">
        <f>IFERROR(IF(INDEX([1]Pivot!$AD$1:$BE$65000,$B937,Y$5)=1,1,IF(INDEX([1]Pivot!$B$1:$AB$65000,$B937,Y$5)="",2,0)),0)</f>
        <v>0</v>
      </c>
      <c r="Z937" s="194">
        <f>IFERROR(IF(INDEX([1]Pivot!$AD$1:$BE$65000,$B937,Z$5)=1,1,IF(INDEX([1]Pivot!$B$1:$AB$65000,$B937,Z$5)="",2,0)),0)</f>
        <v>0</v>
      </c>
      <c r="AA937" s="194">
        <f>IFERROR(IF(INDEX([1]Pivot!$AD$1:$BE$65000,$B937,AA$5)=1,1,IF(INDEX([1]Pivot!$B$1:$AB$65000,$B937,AA$5)="",2,0)),0)</f>
        <v>0</v>
      </c>
      <c r="AB937" s="194">
        <f>IFERROR(IF(INDEX([1]Pivot!$AD$1:$BE$65000,$B937,AB$5)=1,1,IF(INDEX([1]Pivot!$B$1:$AB$65000,$B937,AB$5)="",2,0)),0)</f>
        <v>0</v>
      </c>
      <c r="AC937" s="194">
        <f>IFERROR(IF(INDEX([1]Pivot!$AD$1:$BE$65000,$B937,AC$5)=1,1,IF(INDEX([1]Pivot!$B$1:$AB$65000,$B937,AC$5)="",2,0)),0)</f>
        <v>0</v>
      </c>
      <c r="AD937" s="313">
        <f>IFERROR(IF(INDEX([1]Pivot!$BF$1:$CG$65000,$B937,AD$5)=1,1,IF(INDEX([1]Pivot!$B$1:$AB$65000,$B937,AD$5)="",2,0)),0)</f>
        <v>0</v>
      </c>
      <c r="AE937" s="313">
        <f>IFERROR(IF(INDEX([1]Pivot!$BF$1:$CG$65000,$B937,AE$5)=1,1,IF(INDEX([1]Pivot!$B$1:$AB$65000,$B937,AE$5)="",2,0)),0)</f>
        <v>0</v>
      </c>
      <c r="AF937" s="313">
        <f>IFERROR(IF(INDEX([1]Pivot!$BF$1:$CG$65000,$B937,AF$5)=1,1,IF(INDEX([1]Pivot!$B$1:$AB$65000,$B937,AF$5)="",2,0)),0)</f>
        <v>0</v>
      </c>
      <c r="AG937" s="313">
        <f>IFERROR(IF(INDEX([1]Pivot!$BF$1:$CG$65000,$B937,AG$5)=1,1,IF(INDEX([1]Pivot!$B$1:$AB$65000,$B937,AG$5)="",2,0)),0)</f>
        <v>0</v>
      </c>
      <c r="AH937" s="313">
        <f>IFERROR(IF(INDEX([1]Pivot!$BF$1:$CG$65000,$B937,AH$5)=1,1,IF(INDEX([1]Pivot!$B$1:$AB$65000,$B937,AH$5)="",2,0)),0)</f>
        <v>0</v>
      </c>
      <c r="AI937" s="313">
        <f>IFERROR(IF(INDEX([1]Pivot!$BF$1:$CG$65000,$B937,AI$5)=1,1,IF(INDEX([1]Pivot!$B$1:$AB$65000,$B937,AI$5)="",2,0)),0)</f>
        <v>0</v>
      </c>
      <c r="AJ937" s="313">
        <f>IFERROR(IF(INDEX([1]Pivot!$BF$1:$CG$65000,$B937,AJ$5)=1,1,IF(INDEX([1]Pivot!$B$1:$AB$65000,$B937,AJ$5)="",2,0)),0)</f>
        <v>0</v>
      </c>
      <c r="AK937" s="313">
        <f>IFERROR(IF(INDEX([1]Pivot!$BF$1:$CG$65000,$B937,AK$5)=1,1,IF(INDEX([1]Pivot!$B$1:$AB$65000,$B937,AK$5)="",2,0)),0)</f>
        <v>0</v>
      </c>
      <c r="AL937" s="313">
        <f>IFERROR(IF(INDEX([1]Pivot!$BF$1:$CG$65000,$B937,AL$5)=1,1,IF(INDEX([1]Pivot!$B$1:$AB$65000,$B937,AL$5)="",2,0)),0)</f>
        <v>0</v>
      </c>
      <c r="AM937" s="313">
        <f>IFERROR(IF(INDEX([1]Pivot!$BF$1:$CG$65000,$B937,AM$5)=1,1,IF(INDEX([1]Pivot!$B$1:$AB$65000,$B937,AM$5)="",2,0)),0)</f>
        <v>0</v>
      </c>
      <c r="AN937" s="313">
        <f>IFERROR(IF(INDEX([1]Pivot!$BF$1:$CG$65000,$B937,AN$5)=1,1,IF(INDEX([1]Pivot!$B$1:$AB$65000,$B937,AN$5)="",2,0)),0)</f>
        <v>0</v>
      </c>
      <c r="AO937" s="313">
        <f>IFERROR(IF(INDEX([1]Pivot!$BF$1:$CG$65000,$B937,AO$5)=1,1,IF(INDEX([1]Pivot!$B$1:$AB$65000,$B937,AO$5)="",2,0)),0)</f>
        <v>0</v>
      </c>
      <c r="AP937" s="313">
        <f>IFERROR(IF(INDEX([1]Pivot!$BF$1:$CG$65000,$B937,AP$5)=1,1,IF(INDEX([1]Pivot!$B$1:$AB$65000,$B937,AP$5)="",2,0)),0)</f>
        <v>0</v>
      </c>
      <c r="AQ937" s="313">
        <f>IFERROR(IF(INDEX([1]Pivot!$BF$1:$CG$65000,$B937,AQ$5)=1,1,IF(INDEX([1]Pivot!$B$1:$AB$65000,$B937,AQ$5)="",2,0)),0)</f>
        <v>0</v>
      </c>
      <c r="AR937" s="313">
        <f>IFERROR(IF(INDEX([1]Pivot!$BF$1:$CG$65000,$B937,AR$5)=1,1,IF(INDEX([1]Pivot!$B$1:$AB$65000,$B937,AR$5)="",2,0)),0)</f>
        <v>0</v>
      </c>
      <c r="AS937" s="312"/>
      <c r="AT937" s="313">
        <f>IFERROR(IF(INDEX([1]Pivot!$BF$1:$CG$65000,$B937,AT$5)=1,1,IF(INDEX([1]Pivot!$B$1:$AB$65000,$B937,AT$5)="",2,0)),0)</f>
        <v>0</v>
      </c>
      <c r="AU937" s="313">
        <f>IFERROR(IF(INDEX([1]Pivot!$BF$1:$CG$65000,$B937,AU$5)=1,1,IF(INDEX([1]Pivot!$B$1:$AB$65000,$B937,AU$5)="",2,0)),0)</f>
        <v>0</v>
      </c>
      <c r="AV937" s="313">
        <f>IFERROR(IF(INDEX([1]Pivot!$BF$1:$CG$65000,$B937,AV$5)=1,1,IF(INDEX([1]Pivot!$B$1:$AB$65000,$B937,AV$5)="",2,0)),0)</f>
        <v>0</v>
      </c>
      <c r="AW937" s="313">
        <f>IFERROR(IF(INDEX([1]Pivot!$BF$1:$CG$65000,$B937,AW$5)=1,1,IF(INDEX([1]Pivot!$B$1:$AB$65000,$B937,AW$5)="",2,0)),0)</f>
        <v>0</v>
      </c>
      <c r="AX937" s="313">
        <f>IFERROR(IF(INDEX([1]Pivot!$BF$1:$CG$65000,$B937,AX$5)=1,1,IF(INDEX([1]Pivot!$B$1:$AB$65000,$B937,AX$5)="",2,0)),0)</f>
        <v>0</v>
      </c>
      <c r="AY937" s="313">
        <f>IFERROR(IF(INDEX([1]Pivot!$BF$1:$CG$65000,$B937,AY$5)=1,1,IF(INDEX([1]Pivot!$B$1:$AB$65000,$B937,AY$5)="",2,0)),0)</f>
        <v>0</v>
      </c>
      <c r="AZ937" s="313">
        <f>IFERROR(IF(INDEX([1]Pivot!$BF$1:$CG$65000,$B937,AZ$5)=1,1,IF(INDEX([1]Pivot!$B$1:$AB$65000,$B937,AZ$5)="",2,0)),0)</f>
        <v>0</v>
      </c>
      <c r="BA937" s="313">
        <f>IFERROR(IF(INDEX([1]Pivot!$BF$1:$CG$65000,$B937,BA$5)=1,1,IF(INDEX([1]Pivot!$B$1:$AB$65000,$B937,BA$5)="",2,0)),0)</f>
        <v>0</v>
      </c>
      <c r="BB937" s="313">
        <f>IFERROR(IF(INDEX([1]Pivot!$BF$1:$CG$65000,$B937,BB$5)=1,1,IF(INDEX([1]Pivot!$B$1:$AB$65000,$B937,BB$5)="",2,0)),0)</f>
        <v>0</v>
      </c>
      <c r="BC937" s="313">
        <f>IFERROR(IF(INDEX([1]Pivot!$BF$1:$CG$65000,$B937,BC$5)=1,1,IF(INDEX([1]Pivot!$B$1:$AB$65000,$B937,BC$5)="",2,0)),0)</f>
        <v>0</v>
      </c>
      <c r="BD937" s="313">
        <f>IFERROR(IF(INDEX([1]Pivot!$BF$1:$CG$65000,$B937,BD$5)=1,1,IF(INDEX([1]Pivot!$B$1:$AB$65000,$B937,BD$5)="",2,0)),0)</f>
        <v>0</v>
      </c>
    </row>
    <row r="938" spans="1:56" x14ac:dyDescent="0.25">
      <c r="A938" s="288">
        <f>'[2]Raw Milk Prices'!A938</f>
        <v>0</v>
      </c>
      <c r="B938" s="296" t="e">
        <f>MATCH(DATE(LEFT('[2]Raw Milk Prices'!$A938,4),RIGHT('[2]Raw Milk Prices'!$A938,2),1),[1]Pivot!$A$1:$A$65000,0)</f>
        <v>#VALUE!</v>
      </c>
      <c r="C938" s="194">
        <f>IFERROR(IF(INDEX([1]Pivot!$AD$1:$BE$65000,$B938,C$5)=1,1,IF(INDEX([1]Pivot!$B$1:$AB$65000,$B938,C$5)="",2,0)),0)</f>
        <v>0</v>
      </c>
      <c r="D938" s="194">
        <f>IFERROR(IF(INDEX([1]Pivot!$AD$1:$BE$65000,$B938,D$5)=1,1,IF(INDEX([1]Pivot!$B$1:$AB$65000,$B938,D$5)="",2,0)),0)</f>
        <v>0</v>
      </c>
      <c r="E938" s="194">
        <f>IFERROR(IF(INDEX([1]Pivot!$AD$1:$BE$65000,$B938,E$5)=1,1,IF(INDEX([1]Pivot!$B$1:$AB$65000,$B938,E$5)="",2,0)),0)</f>
        <v>0</v>
      </c>
      <c r="F938" s="194">
        <f>IFERROR(IF(INDEX([1]Pivot!$AD$1:$BE$65000,$B938,F$5)=1,1,IF(INDEX([1]Pivot!$B$1:$AB$65000,$B938,F$5)="",2,0)),0)</f>
        <v>0</v>
      </c>
      <c r="G938" s="194">
        <f>IFERROR(IF(INDEX([1]Pivot!$AD$1:$BE$65000,$B938,G$5)=1,1,IF(INDEX([1]Pivot!$B$1:$AB$65000,$B938,G$5)="",2,0)),0)</f>
        <v>0</v>
      </c>
      <c r="H938" s="194">
        <f>IFERROR(IF(INDEX([1]Pivot!$AD$1:$BE$65000,$B938,H$5)=1,1,IF(INDEX([1]Pivot!$B$1:$AB$65000,$B938,H$5)="",2,0)),0)</f>
        <v>0</v>
      </c>
      <c r="I938" s="194">
        <f>IFERROR(IF(INDEX([1]Pivot!$AD$1:$BE$65000,$B938,I$5)=1,1,IF(INDEX([1]Pivot!$B$1:$AB$65000,$B938,I$5)="",2,0)),0)</f>
        <v>0</v>
      </c>
      <c r="J938" s="194">
        <f>IFERROR(IF(INDEX([1]Pivot!$AD$1:$BE$65000,$B938,J$5)=1,1,IF(INDEX([1]Pivot!$B$1:$AB$65000,$B938,J$5)="",2,0)),0)</f>
        <v>0</v>
      </c>
      <c r="K938" s="194">
        <f>IFERROR(IF(INDEX([1]Pivot!$AD$1:$BE$65000,$B938,K$5)=1,1,IF(INDEX([1]Pivot!$B$1:$AB$65000,$B938,K$5)="",2,0)),0)</f>
        <v>0</v>
      </c>
      <c r="L938" s="194">
        <f>IFERROR(IF(INDEX([1]Pivot!$AD$1:$BE$65000,$B938,L$5)=1,1,IF(INDEX([1]Pivot!$B$1:$AB$65000,$B938,L$5)="",2,0)),0)</f>
        <v>0</v>
      </c>
      <c r="M938" s="194">
        <f>IFERROR(IF(INDEX([1]Pivot!$AD$1:$BE$65000,$B938,M$5)=1,1,IF(INDEX([1]Pivot!$B$1:$AB$65000,$B938,M$5)="",2,0)),0)</f>
        <v>0</v>
      </c>
      <c r="N938" s="194">
        <f>IFERROR(IF(INDEX([1]Pivot!$AD$1:$BE$65000,$B938,N$5)=1,1,IF(INDEX([1]Pivot!$B$1:$AB$65000,$B938,N$5)="",2,0)),0)</f>
        <v>0</v>
      </c>
      <c r="O938" s="194">
        <f>IFERROR(IF(INDEX([1]Pivot!$AD$1:$BE$65000,$B938,O$5)=1,1,IF(INDEX([1]Pivot!$B$1:$AB$65000,$B938,O$5)="",2,0)),0)</f>
        <v>0</v>
      </c>
      <c r="P938" s="194">
        <f>IFERROR(IF(INDEX([1]Pivot!$AD$1:$BE$65000,$B938,P$5)=1,1,IF(INDEX([1]Pivot!$B$1:$AB$65000,$B938,P$5)="",2,0)),0)</f>
        <v>0</v>
      </c>
      <c r="Q938" s="194">
        <f>IFERROR(IF(INDEX([1]Pivot!$AD$1:$BE$65000,$B938,Q$5)=1,1,IF(INDEX([1]Pivot!$B$1:$AB$65000,$B938,Q$5)="",2,0)),0)</f>
        <v>0</v>
      </c>
      <c r="R938" s="312"/>
      <c r="S938" s="194">
        <f>IFERROR(IF(INDEX([1]Pivot!$AD$1:$BE$65000,$B938,S$5)=1,1,IF(INDEX([1]Pivot!$B$1:$AB$65000,$B938,S$5)="",2,0)),0)</f>
        <v>0</v>
      </c>
      <c r="T938" s="194">
        <f>IFERROR(IF(INDEX([1]Pivot!$AD$1:$BE$65000,$B938,T$5)=1,1,IF(INDEX([1]Pivot!$B$1:$AB$65000,$B938,T$5)="",2,0)),0)</f>
        <v>0</v>
      </c>
      <c r="U938" s="194">
        <f>IFERROR(IF(INDEX([1]Pivot!$AD$1:$BE$65000,$B938,U$5)=1,1,IF(INDEX([1]Pivot!$B$1:$AB$65000,$B938,U$5)="",2,0)),0)</f>
        <v>0</v>
      </c>
      <c r="V938" s="194">
        <f>IFERROR(IF(INDEX([1]Pivot!$AD$1:$BE$65000,$B938,V$5)=1,1,IF(INDEX([1]Pivot!$B$1:$AB$65000,$B938,V$5)="",2,0)),0)</f>
        <v>0</v>
      </c>
      <c r="W938" s="194">
        <f>IFERROR(IF(INDEX([1]Pivot!$AD$1:$BE$65000,$B938,W$5)=1,1,IF(INDEX([1]Pivot!$B$1:$AB$65000,$B938,W$5)="",2,0)),0)</f>
        <v>0</v>
      </c>
      <c r="X938" s="194">
        <f>IFERROR(IF(INDEX([1]Pivot!$AD$1:$BE$65000,$B938,X$5)=1,1,IF(INDEX([1]Pivot!$B$1:$AB$65000,$B938,X$5)="",2,0)),0)</f>
        <v>0</v>
      </c>
      <c r="Y938" s="194">
        <f>IFERROR(IF(INDEX([1]Pivot!$AD$1:$BE$65000,$B938,Y$5)=1,1,IF(INDEX([1]Pivot!$B$1:$AB$65000,$B938,Y$5)="",2,0)),0)</f>
        <v>0</v>
      </c>
      <c r="Z938" s="194">
        <f>IFERROR(IF(INDEX([1]Pivot!$AD$1:$BE$65000,$B938,Z$5)=1,1,IF(INDEX([1]Pivot!$B$1:$AB$65000,$B938,Z$5)="",2,0)),0)</f>
        <v>0</v>
      </c>
      <c r="AA938" s="194">
        <f>IFERROR(IF(INDEX([1]Pivot!$AD$1:$BE$65000,$B938,AA$5)=1,1,IF(INDEX([1]Pivot!$B$1:$AB$65000,$B938,AA$5)="",2,0)),0)</f>
        <v>0</v>
      </c>
      <c r="AB938" s="194">
        <f>IFERROR(IF(INDEX([1]Pivot!$AD$1:$BE$65000,$B938,AB$5)=1,1,IF(INDEX([1]Pivot!$B$1:$AB$65000,$B938,AB$5)="",2,0)),0)</f>
        <v>0</v>
      </c>
      <c r="AC938" s="194">
        <f>IFERROR(IF(INDEX([1]Pivot!$AD$1:$BE$65000,$B938,AC$5)=1,1,IF(INDEX([1]Pivot!$B$1:$AB$65000,$B938,AC$5)="",2,0)),0)</f>
        <v>0</v>
      </c>
      <c r="AD938" s="313">
        <f>IFERROR(IF(INDEX([1]Pivot!$BF$1:$CG$65000,$B938,AD$5)=1,1,IF(INDEX([1]Pivot!$B$1:$AB$65000,$B938,AD$5)="",2,0)),0)</f>
        <v>0</v>
      </c>
      <c r="AE938" s="313">
        <f>IFERROR(IF(INDEX([1]Pivot!$BF$1:$CG$65000,$B938,AE$5)=1,1,IF(INDEX([1]Pivot!$B$1:$AB$65000,$B938,AE$5)="",2,0)),0)</f>
        <v>0</v>
      </c>
      <c r="AF938" s="313">
        <f>IFERROR(IF(INDEX([1]Pivot!$BF$1:$CG$65000,$B938,AF$5)=1,1,IF(INDEX([1]Pivot!$B$1:$AB$65000,$B938,AF$5)="",2,0)),0)</f>
        <v>0</v>
      </c>
      <c r="AG938" s="313">
        <f>IFERROR(IF(INDEX([1]Pivot!$BF$1:$CG$65000,$B938,AG$5)=1,1,IF(INDEX([1]Pivot!$B$1:$AB$65000,$B938,AG$5)="",2,0)),0)</f>
        <v>0</v>
      </c>
      <c r="AH938" s="313">
        <f>IFERROR(IF(INDEX([1]Pivot!$BF$1:$CG$65000,$B938,AH$5)=1,1,IF(INDEX([1]Pivot!$B$1:$AB$65000,$B938,AH$5)="",2,0)),0)</f>
        <v>0</v>
      </c>
      <c r="AI938" s="313">
        <f>IFERROR(IF(INDEX([1]Pivot!$BF$1:$CG$65000,$B938,AI$5)=1,1,IF(INDEX([1]Pivot!$B$1:$AB$65000,$B938,AI$5)="",2,0)),0)</f>
        <v>0</v>
      </c>
      <c r="AJ938" s="313">
        <f>IFERROR(IF(INDEX([1]Pivot!$BF$1:$CG$65000,$B938,AJ$5)=1,1,IF(INDEX([1]Pivot!$B$1:$AB$65000,$B938,AJ$5)="",2,0)),0)</f>
        <v>0</v>
      </c>
      <c r="AK938" s="313">
        <f>IFERROR(IF(INDEX([1]Pivot!$BF$1:$CG$65000,$B938,AK$5)=1,1,IF(INDEX([1]Pivot!$B$1:$AB$65000,$B938,AK$5)="",2,0)),0)</f>
        <v>0</v>
      </c>
      <c r="AL938" s="313">
        <f>IFERROR(IF(INDEX([1]Pivot!$BF$1:$CG$65000,$B938,AL$5)=1,1,IF(INDEX([1]Pivot!$B$1:$AB$65000,$B938,AL$5)="",2,0)),0)</f>
        <v>0</v>
      </c>
      <c r="AM938" s="313">
        <f>IFERROR(IF(INDEX([1]Pivot!$BF$1:$CG$65000,$B938,AM$5)=1,1,IF(INDEX([1]Pivot!$B$1:$AB$65000,$B938,AM$5)="",2,0)),0)</f>
        <v>0</v>
      </c>
      <c r="AN938" s="313">
        <f>IFERROR(IF(INDEX([1]Pivot!$BF$1:$CG$65000,$B938,AN$5)=1,1,IF(INDEX([1]Pivot!$B$1:$AB$65000,$B938,AN$5)="",2,0)),0)</f>
        <v>0</v>
      </c>
      <c r="AO938" s="313">
        <f>IFERROR(IF(INDEX([1]Pivot!$BF$1:$CG$65000,$B938,AO$5)=1,1,IF(INDEX([1]Pivot!$B$1:$AB$65000,$B938,AO$5)="",2,0)),0)</f>
        <v>0</v>
      </c>
      <c r="AP938" s="313">
        <f>IFERROR(IF(INDEX([1]Pivot!$BF$1:$CG$65000,$B938,AP$5)=1,1,IF(INDEX([1]Pivot!$B$1:$AB$65000,$B938,AP$5)="",2,0)),0)</f>
        <v>0</v>
      </c>
      <c r="AQ938" s="313">
        <f>IFERROR(IF(INDEX([1]Pivot!$BF$1:$CG$65000,$B938,AQ$5)=1,1,IF(INDEX([1]Pivot!$B$1:$AB$65000,$B938,AQ$5)="",2,0)),0)</f>
        <v>0</v>
      </c>
      <c r="AR938" s="313">
        <f>IFERROR(IF(INDEX([1]Pivot!$BF$1:$CG$65000,$B938,AR$5)=1,1,IF(INDEX([1]Pivot!$B$1:$AB$65000,$B938,AR$5)="",2,0)),0)</f>
        <v>0</v>
      </c>
      <c r="AS938" s="312"/>
      <c r="AT938" s="313">
        <f>IFERROR(IF(INDEX([1]Pivot!$BF$1:$CG$65000,$B938,AT$5)=1,1,IF(INDEX([1]Pivot!$B$1:$AB$65000,$B938,AT$5)="",2,0)),0)</f>
        <v>0</v>
      </c>
      <c r="AU938" s="313">
        <f>IFERROR(IF(INDEX([1]Pivot!$BF$1:$CG$65000,$B938,AU$5)=1,1,IF(INDEX([1]Pivot!$B$1:$AB$65000,$B938,AU$5)="",2,0)),0)</f>
        <v>0</v>
      </c>
      <c r="AV938" s="313">
        <f>IFERROR(IF(INDEX([1]Pivot!$BF$1:$CG$65000,$B938,AV$5)=1,1,IF(INDEX([1]Pivot!$B$1:$AB$65000,$B938,AV$5)="",2,0)),0)</f>
        <v>0</v>
      </c>
      <c r="AW938" s="313">
        <f>IFERROR(IF(INDEX([1]Pivot!$BF$1:$CG$65000,$B938,AW$5)=1,1,IF(INDEX([1]Pivot!$B$1:$AB$65000,$B938,AW$5)="",2,0)),0)</f>
        <v>0</v>
      </c>
      <c r="AX938" s="313">
        <f>IFERROR(IF(INDEX([1]Pivot!$BF$1:$CG$65000,$B938,AX$5)=1,1,IF(INDEX([1]Pivot!$B$1:$AB$65000,$B938,AX$5)="",2,0)),0)</f>
        <v>0</v>
      </c>
      <c r="AY938" s="313">
        <f>IFERROR(IF(INDEX([1]Pivot!$BF$1:$CG$65000,$B938,AY$5)=1,1,IF(INDEX([1]Pivot!$B$1:$AB$65000,$B938,AY$5)="",2,0)),0)</f>
        <v>0</v>
      </c>
      <c r="AZ938" s="313">
        <f>IFERROR(IF(INDEX([1]Pivot!$BF$1:$CG$65000,$B938,AZ$5)=1,1,IF(INDEX([1]Pivot!$B$1:$AB$65000,$B938,AZ$5)="",2,0)),0)</f>
        <v>0</v>
      </c>
      <c r="BA938" s="313">
        <f>IFERROR(IF(INDEX([1]Pivot!$BF$1:$CG$65000,$B938,BA$5)=1,1,IF(INDEX([1]Pivot!$B$1:$AB$65000,$B938,BA$5)="",2,0)),0)</f>
        <v>0</v>
      </c>
      <c r="BB938" s="313">
        <f>IFERROR(IF(INDEX([1]Pivot!$BF$1:$CG$65000,$B938,BB$5)=1,1,IF(INDEX([1]Pivot!$B$1:$AB$65000,$B938,BB$5)="",2,0)),0)</f>
        <v>0</v>
      </c>
      <c r="BC938" s="313">
        <f>IFERROR(IF(INDEX([1]Pivot!$BF$1:$CG$65000,$B938,BC$5)=1,1,IF(INDEX([1]Pivot!$B$1:$AB$65000,$B938,BC$5)="",2,0)),0)</f>
        <v>0</v>
      </c>
      <c r="BD938" s="313">
        <f>IFERROR(IF(INDEX([1]Pivot!$BF$1:$CG$65000,$B938,BD$5)=1,1,IF(INDEX([1]Pivot!$B$1:$AB$65000,$B938,BD$5)="",2,0)),0)</f>
        <v>0</v>
      </c>
    </row>
    <row r="939" spans="1:56" x14ac:dyDescent="0.25">
      <c r="A939" s="288">
        <f>'[2]Raw Milk Prices'!A939</f>
        <v>0</v>
      </c>
      <c r="B939" s="296" t="e">
        <f>MATCH(DATE(LEFT('[2]Raw Milk Prices'!$A939,4),RIGHT('[2]Raw Milk Prices'!$A939,2),1),[1]Pivot!$A$1:$A$65000,0)</f>
        <v>#VALUE!</v>
      </c>
      <c r="C939" s="194">
        <f>IFERROR(IF(INDEX([1]Pivot!$AD$1:$BE$65000,$B939,C$5)=1,1,IF(INDEX([1]Pivot!$B$1:$AB$65000,$B939,C$5)="",2,0)),0)</f>
        <v>0</v>
      </c>
      <c r="D939" s="194">
        <f>IFERROR(IF(INDEX([1]Pivot!$AD$1:$BE$65000,$B939,D$5)=1,1,IF(INDEX([1]Pivot!$B$1:$AB$65000,$B939,D$5)="",2,0)),0)</f>
        <v>0</v>
      </c>
      <c r="E939" s="194">
        <f>IFERROR(IF(INDEX([1]Pivot!$AD$1:$BE$65000,$B939,E$5)=1,1,IF(INDEX([1]Pivot!$B$1:$AB$65000,$B939,E$5)="",2,0)),0)</f>
        <v>0</v>
      </c>
      <c r="F939" s="194">
        <f>IFERROR(IF(INDEX([1]Pivot!$AD$1:$BE$65000,$B939,F$5)=1,1,IF(INDEX([1]Pivot!$B$1:$AB$65000,$B939,F$5)="",2,0)),0)</f>
        <v>0</v>
      </c>
      <c r="G939" s="194">
        <f>IFERROR(IF(INDEX([1]Pivot!$AD$1:$BE$65000,$B939,G$5)=1,1,IF(INDEX([1]Pivot!$B$1:$AB$65000,$B939,G$5)="",2,0)),0)</f>
        <v>0</v>
      </c>
      <c r="H939" s="194">
        <f>IFERROR(IF(INDEX([1]Pivot!$AD$1:$BE$65000,$B939,H$5)=1,1,IF(INDEX([1]Pivot!$B$1:$AB$65000,$B939,H$5)="",2,0)),0)</f>
        <v>0</v>
      </c>
      <c r="I939" s="194">
        <f>IFERROR(IF(INDEX([1]Pivot!$AD$1:$BE$65000,$B939,I$5)=1,1,IF(INDEX([1]Pivot!$B$1:$AB$65000,$B939,I$5)="",2,0)),0)</f>
        <v>0</v>
      </c>
      <c r="J939" s="194">
        <f>IFERROR(IF(INDEX([1]Pivot!$AD$1:$BE$65000,$B939,J$5)=1,1,IF(INDEX([1]Pivot!$B$1:$AB$65000,$B939,J$5)="",2,0)),0)</f>
        <v>0</v>
      </c>
      <c r="K939" s="194">
        <f>IFERROR(IF(INDEX([1]Pivot!$AD$1:$BE$65000,$B939,K$5)=1,1,IF(INDEX([1]Pivot!$B$1:$AB$65000,$B939,K$5)="",2,0)),0)</f>
        <v>0</v>
      </c>
      <c r="L939" s="194">
        <f>IFERROR(IF(INDEX([1]Pivot!$AD$1:$BE$65000,$B939,L$5)=1,1,IF(INDEX([1]Pivot!$B$1:$AB$65000,$B939,L$5)="",2,0)),0)</f>
        <v>0</v>
      </c>
      <c r="M939" s="194">
        <f>IFERROR(IF(INDEX([1]Pivot!$AD$1:$BE$65000,$B939,M$5)=1,1,IF(INDEX([1]Pivot!$B$1:$AB$65000,$B939,M$5)="",2,0)),0)</f>
        <v>0</v>
      </c>
      <c r="N939" s="194">
        <f>IFERROR(IF(INDEX([1]Pivot!$AD$1:$BE$65000,$B939,N$5)=1,1,IF(INDEX([1]Pivot!$B$1:$AB$65000,$B939,N$5)="",2,0)),0)</f>
        <v>0</v>
      </c>
      <c r="O939" s="194">
        <f>IFERROR(IF(INDEX([1]Pivot!$AD$1:$BE$65000,$B939,O$5)=1,1,IF(INDEX([1]Pivot!$B$1:$AB$65000,$B939,O$5)="",2,0)),0)</f>
        <v>0</v>
      </c>
      <c r="P939" s="194">
        <f>IFERROR(IF(INDEX([1]Pivot!$AD$1:$BE$65000,$B939,P$5)=1,1,IF(INDEX([1]Pivot!$B$1:$AB$65000,$B939,P$5)="",2,0)),0)</f>
        <v>0</v>
      </c>
      <c r="Q939" s="194">
        <f>IFERROR(IF(INDEX([1]Pivot!$AD$1:$BE$65000,$B939,Q$5)=1,1,IF(INDEX([1]Pivot!$B$1:$AB$65000,$B939,Q$5)="",2,0)),0)</f>
        <v>0</v>
      </c>
      <c r="R939" s="312"/>
      <c r="S939" s="194">
        <f>IFERROR(IF(INDEX([1]Pivot!$AD$1:$BE$65000,$B939,S$5)=1,1,IF(INDEX([1]Pivot!$B$1:$AB$65000,$B939,S$5)="",2,0)),0)</f>
        <v>0</v>
      </c>
      <c r="T939" s="194">
        <f>IFERROR(IF(INDEX([1]Pivot!$AD$1:$BE$65000,$B939,T$5)=1,1,IF(INDEX([1]Pivot!$B$1:$AB$65000,$B939,T$5)="",2,0)),0)</f>
        <v>0</v>
      </c>
      <c r="U939" s="194">
        <f>IFERROR(IF(INDEX([1]Pivot!$AD$1:$BE$65000,$B939,U$5)=1,1,IF(INDEX([1]Pivot!$B$1:$AB$65000,$B939,U$5)="",2,0)),0)</f>
        <v>0</v>
      </c>
      <c r="V939" s="194">
        <f>IFERROR(IF(INDEX([1]Pivot!$AD$1:$BE$65000,$B939,V$5)=1,1,IF(INDEX([1]Pivot!$B$1:$AB$65000,$B939,V$5)="",2,0)),0)</f>
        <v>0</v>
      </c>
      <c r="W939" s="194">
        <f>IFERROR(IF(INDEX([1]Pivot!$AD$1:$BE$65000,$B939,W$5)=1,1,IF(INDEX([1]Pivot!$B$1:$AB$65000,$B939,W$5)="",2,0)),0)</f>
        <v>0</v>
      </c>
      <c r="X939" s="194">
        <f>IFERROR(IF(INDEX([1]Pivot!$AD$1:$BE$65000,$B939,X$5)=1,1,IF(INDEX([1]Pivot!$B$1:$AB$65000,$B939,X$5)="",2,0)),0)</f>
        <v>0</v>
      </c>
      <c r="Y939" s="194">
        <f>IFERROR(IF(INDEX([1]Pivot!$AD$1:$BE$65000,$B939,Y$5)=1,1,IF(INDEX([1]Pivot!$B$1:$AB$65000,$B939,Y$5)="",2,0)),0)</f>
        <v>0</v>
      </c>
      <c r="Z939" s="194">
        <f>IFERROR(IF(INDEX([1]Pivot!$AD$1:$BE$65000,$B939,Z$5)=1,1,IF(INDEX([1]Pivot!$B$1:$AB$65000,$B939,Z$5)="",2,0)),0)</f>
        <v>0</v>
      </c>
      <c r="AA939" s="194">
        <f>IFERROR(IF(INDEX([1]Pivot!$AD$1:$BE$65000,$B939,AA$5)=1,1,IF(INDEX([1]Pivot!$B$1:$AB$65000,$B939,AA$5)="",2,0)),0)</f>
        <v>0</v>
      </c>
      <c r="AB939" s="194">
        <f>IFERROR(IF(INDEX([1]Pivot!$AD$1:$BE$65000,$B939,AB$5)=1,1,IF(INDEX([1]Pivot!$B$1:$AB$65000,$B939,AB$5)="",2,0)),0)</f>
        <v>0</v>
      </c>
      <c r="AC939" s="194">
        <f>IFERROR(IF(INDEX([1]Pivot!$AD$1:$BE$65000,$B939,AC$5)=1,1,IF(INDEX([1]Pivot!$B$1:$AB$65000,$B939,AC$5)="",2,0)),0)</f>
        <v>0</v>
      </c>
      <c r="AD939" s="313">
        <f>IFERROR(IF(INDEX([1]Pivot!$BF$1:$CG$65000,$B939,AD$5)=1,1,IF(INDEX([1]Pivot!$B$1:$AB$65000,$B939,AD$5)="",2,0)),0)</f>
        <v>0</v>
      </c>
      <c r="AE939" s="313">
        <f>IFERROR(IF(INDEX([1]Pivot!$BF$1:$CG$65000,$B939,AE$5)=1,1,IF(INDEX([1]Pivot!$B$1:$AB$65000,$B939,AE$5)="",2,0)),0)</f>
        <v>0</v>
      </c>
      <c r="AF939" s="313">
        <f>IFERROR(IF(INDEX([1]Pivot!$BF$1:$CG$65000,$B939,AF$5)=1,1,IF(INDEX([1]Pivot!$B$1:$AB$65000,$B939,AF$5)="",2,0)),0)</f>
        <v>0</v>
      </c>
      <c r="AG939" s="313">
        <f>IFERROR(IF(INDEX([1]Pivot!$BF$1:$CG$65000,$B939,AG$5)=1,1,IF(INDEX([1]Pivot!$B$1:$AB$65000,$B939,AG$5)="",2,0)),0)</f>
        <v>0</v>
      </c>
      <c r="AH939" s="313">
        <f>IFERROR(IF(INDEX([1]Pivot!$BF$1:$CG$65000,$B939,AH$5)=1,1,IF(INDEX([1]Pivot!$B$1:$AB$65000,$B939,AH$5)="",2,0)),0)</f>
        <v>0</v>
      </c>
      <c r="AI939" s="313">
        <f>IFERROR(IF(INDEX([1]Pivot!$BF$1:$CG$65000,$B939,AI$5)=1,1,IF(INDEX([1]Pivot!$B$1:$AB$65000,$B939,AI$5)="",2,0)),0)</f>
        <v>0</v>
      </c>
      <c r="AJ939" s="313">
        <f>IFERROR(IF(INDEX([1]Pivot!$BF$1:$CG$65000,$B939,AJ$5)=1,1,IF(INDEX([1]Pivot!$B$1:$AB$65000,$B939,AJ$5)="",2,0)),0)</f>
        <v>0</v>
      </c>
      <c r="AK939" s="313">
        <f>IFERROR(IF(INDEX([1]Pivot!$BF$1:$CG$65000,$B939,AK$5)=1,1,IF(INDEX([1]Pivot!$B$1:$AB$65000,$B939,AK$5)="",2,0)),0)</f>
        <v>0</v>
      </c>
      <c r="AL939" s="313">
        <f>IFERROR(IF(INDEX([1]Pivot!$BF$1:$CG$65000,$B939,AL$5)=1,1,IF(INDEX([1]Pivot!$B$1:$AB$65000,$B939,AL$5)="",2,0)),0)</f>
        <v>0</v>
      </c>
      <c r="AM939" s="313">
        <f>IFERROR(IF(INDEX([1]Pivot!$BF$1:$CG$65000,$B939,AM$5)=1,1,IF(INDEX([1]Pivot!$B$1:$AB$65000,$B939,AM$5)="",2,0)),0)</f>
        <v>0</v>
      </c>
      <c r="AN939" s="313">
        <f>IFERROR(IF(INDEX([1]Pivot!$BF$1:$CG$65000,$B939,AN$5)=1,1,IF(INDEX([1]Pivot!$B$1:$AB$65000,$B939,AN$5)="",2,0)),0)</f>
        <v>0</v>
      </c>
      <c r="AO939" s="313">
        <f>IFERROR(IF(INDEX([1]Pivot!$BF$1:$CG$65000,$B939,AO$5)=1,1,IF(INDEX([1]Pivot!$B$1:$AB$65000,$B939,AO$5)="",2,0)),0)</f>
        <v>0</v>
      </c>
      <c r="AP939" s="313">
        <f>IFERROR(IF(INDEX([1]Pivot!$BF$1:$CG$65000,$B939,AP$5)=1,1,IF(INDEX([1]Pivot!$B$1:$AB$65000,$B939,AP$5)="",2,0)),0)</f>
        <v>0</v>
      </c>
      <c r="AQ939" s="313">
        <f>IFERROR(IF(INDEX([1]Pivot!$BF$1:$CG$65000,$B939,AQ$5)=1,1,IF(INDEX([1]Pivot!$B$1:$AB$65000,$B939,AQ$5)="",2,0)),0)</f>
        <v>0</v>
      </c>
      <c r="AR939" s="313">
        <f>IFERROR(IF(INDEX([1]Pivot!$BF$1:$CG$65000,$B939,AR$5)=1,1,IF(INDEX([1]Pivot!$B$1:$AB$65000,$B939,AR$5)="",2,0)),0)</f>
        <v>0</v>
      </c>
      <c r="AS939" s="312"/>
      <c r="AT939" s="313">
        <f>IFERROR(IF(INDEX([1]Pivot!$BF$1:$CG$65000,$B939,AT$5)=1,1,IF(INDEX([1]Pivot!$B$1:$AB$65000,$B939,AT$5)="",2,0)),0)</f>
        <v>0</v>
      </c>
      <c r="AU939" s="313">
        <f>IFERROR(IF(INDEX([1]Pivot!$BF$1:$CG$65000,$B939,AU$5)=1,1,IF(INDEX([1]Pivot!$B$1:$AB$65000,$B939,AU$5)="",2,0)),0)</f>
        <v>0</v>
      </c>
      <c r="AV939" s="313">
        <f>IFERROR(IF(INDEX([1]Pivot!$BF$1:$CG$65000,$B939,AV$5)=1,1,IF(INDEX([1]Pivot!$B$1:$AB$65000,$B939,AV$5)="",2,0)),0)</f>
        <v>0</v>
      </c>
      <c r="AW939" s="313">
        <f>IFERROR(IF(INDEX([1]Pivot!$BF$1:$CG$65000,$B939,AW$5)=1,1,IF(INDEX([1]Pivot!$B$1:$AB$65000,$B939,AW$5)="",2,0)),0)</f>
        <v>0</v>
      </c>
      <c r="AX939" s="313">
        <f>IFERROR(IF(INDEX([1]Pivot!$BF$1:$CG$65000,$B939,AX$5)=1,1,IF(INDEX([1]Pivot!$B$1:$AB$65000,$B939,AX$5)="",2,0)),0)</f>
        <v>0</v>
      </c>
      <c r="AY939" s="313">
        <f>IFERROR(IF(INDEX([1]Pivot!$BF$1:$CG$65000,$B939,AY$5)=1,1,IF(INDEX([1]Pivot!$B$1:$AB$65000,$B939,AY$5)="",2,0)),0)</f>
        <v>0</v>
      </c>
      <c r="AZ939" s="313">
        <f>IFERROR(IF(INDEX([1]Pivot!$BF$1:$CG$65000,$B939,AZ$5)=1,1,IF(INDEX([1]Pivot!$B$1:$AB$65000,$B939,AZ$5)="",2,0)),0)</f>
        <v>0</v>
      </c>
      <c r="BA939" s="313">
        <f>IFERROR(IF(INDEX([1]Pivot!$BF$1:$CG$65000,$B939,BA$5)=1,1,IF(INDEX([1]Pivot!$B$1:$AB$65000,$B939,BA$5)="",2,0)),0)</f>
        <v>0</v>
      </c>
      <c r="BB939" s="313">
        <f>IFERROR(IF(INDEX([1]Pivot!$BF$1:$CG$65000,$B939,BB$5)=1,1,IF(INDEX([1]Pivot!$B$1:$AB$65000,$B939,BB$5)="",2,0)),0)</f>
        <v>0</v>
      </c>
      <c r="BC939" s="313">
        <f>IFERROR(IF(INDEX([1]Pivot!$BF$1:$CG$65000,$B939,BC$5)=1,1,IF(INDEX([1]Pivot!$B$1:$AB$65000,$B939,BC$5)="",2,0)),0)</f>
        <v>0</v>
      </c>
      <c r="BD939" s="313">
        <f>IFERROR(IF(INDEX([1]Pivot!$BF$1:$CG$65000,$B939,BD$5)=1,1,IF(INDEX([1]Pivot!$B$1:$AB$65000,$B939,BD$5)="",2,0)),0)</f>
        <v>0</v>
      </c>
    </row>
    <row r="940" spans="1:56" x14ac:dyDescent="0.25">
      <c r="A940" s="288">
        <f>'[2]Raw Milk Prices'!A940</f>
        <v>0</v>
      </c>
      <c r="B940" s="296" t="e">
        <f>MATCH(DATE(LEFT('[2]Raw Milk Prices'!$A940,4),RIGHT('[2]Raw Milk Prices'!$A940,2),1),[1]Pivot!$A$1:$A$65000,0)</f>
        <v>#VALUE!</v>
      </c>
      <c r="C940" s="194">
        <f>IFERROR(IF(INDEX([1]Pivot!$AD$1:$BE$65000,$B940,C$5)=1,1,IF(INDEX([1]Pivot!$B$1:$AB$65000,$B940,C$5)="",2,0)),0)</f>
        <v>0</v>
      </c>
      <c r="D940" s="194">
        <f>IFERROR(IF(INDEX([1]Pivot!$AD$1:$BE$65000,$B940,D$5)=1,1,IF(INDEX([1]Pivot!$B$1:$AB$65000,$B940,D$5)="",2,0)),0)</f>
        <v>0</v>
      </c>
      <c r="E940" s="194">
        <f>IFERROR(IF(INDEX([1]Pivot!$AD$1:$BE$65000,$B940,E$5)=1,1,IF(INDEX([1]Pivot!$B$1:$AB$65000,$B940,E$5)="",2,0)),0)</f>
        <v>0</v>
      </c>
      <c r="F940" s="194">
        <f>IFERROR(IF(INDEX([1]Pivot!$AD$1:$BE$65000,$B940,F$5)=1,1,IF(INDEX([1]Pivot!$B$1:$AB$65000,$B940,F$5)="",2,0)),0)</f>
        <v>0</v>
      </c>
      <c r="G940" s="194">
        <f>IFERROR(IF(INDEX([1]Pivot!$AD$1:$BE$65000,$B940,G$5)=1,1,IF(INDEX([1]Pivot!$B$1:$AB$65000,$B940,G$5)="",2,0)),0)</f>
        <v>0</v>
      </c>
      <c r="H940" s="194">
        <f>IFERROR(IF(INDEX([1]Pivot!$AD$1:$BE$65000,$B940,H$5)=1,1,IF(INDEX([1]Pivot!$B$1:$AB$65000,$B940,H$5)="",2,0)),0)</f>
        <v>0</v>
      </c>
      <c r="I940" s="194">
        <f>IFERROR(IF(INDEX([1]Pivot!$AD$1:$BE$65000,$B940,I$5)=1,1,IF(INDEX([1]Pivot!$B$1:$AB$65000,$B940,I$5)="",2,0)),0)</f>
        <v>0</v>
      </c>
      <c r="J940" s="194">
        <f>IFERROR(IF(INDEX([1]Pivot!$AD$1:$BE$65000,$B940,J$5)=1,1,IF(INDEX([1]Pivot!$B$1:$AB$65000,$B940,J$5)="",2,0)),0)</f>
        <v>0</v>
      </c>
      <c r="K940" s="194">
        <f>IFERROR(IF(INDEX([1]Pivot!$AD$1:$BE$65000,$B940,K$5)=1,1,IF(INDEX([1]Pivot!$B$1:$AB$65000,$B940,K$5)="",2,0)),0)</f>
        <v>0</v>
      </c>
      <c r="L940" s="194">
        <f>IFERROR(IF(INDEX([1]Pivot!$AD$1:$BE$65000,$B940,L$5)=1,1,IF(INDEX([1]Pivot!$B$1:$AB$65000,$B940,L$5)="",2,0)),0)</f>
        <v>0</v>
      </c>
      <c r="M940" s="194">
        <f>IFERROR(IF(INDEX([1]Pivot!$AD$1:$BE$65000,$B940,M$5)=1,1,IF(INDEX([1]Pivot!$B$1:$AB$65000,$B940,M$5)="",2,0)),0)</f>
        <v>0</v>
      </c>
      <c r="N940" s="194">
        <f>IFERROR(IF(INDEX([1]Pivot!$AD$1:$BE$65000,$B940,N$5)=1,1,IF(INDEX([1]Pivot!$B$1:$AB$65000,$B940,N$5)="",2,0)),0)</f>
        <v>0</v>
      </c>
      <c r="O940" s="194">
        <f>IFERROR(IF(INDEX([1]Pivot!$AD$1:$BE$65000,$B940,O$5)=1,1,IF(INDEX([1]Pivot!$B$1:$AB$65000,$B940,O$5)="",2,0)),0)</f>
        <v>0</v>
      </c>
      <c r="P940" s="194">
        <f>IFERROR(IF(INDEX([1]Pivot!$AD$1:$BE$65000,$B940,P$5)=1,1,IF(INDEX([1]Pivot!$B$1:$AB$65000,$B940,P$5)="",2,0)),0)</f>
        <v>0</v>
      </c>
      <c r="Q940" s="194">
        <f>IFERROR(IF(INDEX([1]Pivot!$AD$1:$BE$65000,$B940,Q$5)=1,1,IF(INDEX([1]Pivot!$B$1:$AB$65000,$B940,Q$5)="",2,0)),0)</f>
        <v>0</v>
      </c>
      <c r="R940" s="312"/>
      <c r="S940" s="194">
        <f>IFERROR(IF(INDEX([1]Pivot!$AD$1:$BE$65000,$B940,S$5)=1,1,IF(INDEX([1]Pivot!$B$1:$AB$65000,$B940,S$5)="",2,0)),0)</f>
        <v>0</v>
      </c>
      <c r="T940" s="194">
        <f>IFERROR(IF(INDEX([1]Pivot!$AD$1:$BE$65000,$B940,T$5)=1,1,IF(INDEX([1]Pivot!$B$1:$AB$65000,$B940,T$5)="",2,0)),0)</f>
        <v>0</v>
      </c>
      <c r="U940" s="194">
        <f>IFERROR(IF(INDEX([1]Pivot!$AD$1:$BE$65000,$B940,U$5)=1,1,IF(INDEX([1]Pivot!$B$1:$AB$65000,$B940,U$5)="",2,0)),0)</f>
        <v>0</v>
      </c>
      <c r="V940" s="194">
        <f>IFERROR(IF(INDEX([1]Pivot!$AD$1:$BE$65000,$B940,V$5)=1,1,IF(INDEX([1]Pivot!$B$1:$AB$65000,$B940,V$5)="",2,0)),0)</f>
        <v>0</v>
      </c>
      <c r="W940" s="194">
        <f>IFERROR(IF(INDEX([1]Pivot!$AD$1:$BE$65000,$B940,W$5)=1,1,IF(INDEX([1]Pivot!$B$1:$AB$65000,$B940,W$5)="",2,0)),0)</f>
        <v>0</v>
      </c>
      <c r="X940" s="194">
        <f>IFERROR(IF(INDEX([1]Pivot!$AD$1:$BE$65000,$B940,X$5)=1,1,IF(INDEX([1]Pivot!$B$1:$AB$65000,$B940,X$5)="",2,0)),0)</f>
        <v>0</v>
      </c>
      <c r="Y940" s="194">
        <f>IFERROR(IF(INDEX([1]Pivot!$AD$1:$BE$65000,$B940,Y$5)=1,1,IF(INDEX([1]Pivot!$B$1:$AB$65000,$B940,Y$5)="",2,0)),0)</f>
        <v>0</v>
      </c>
      <c r="Z940" s="194">
        <f>IFERROR(IF(INDEX([1]Pivot!$AD$1:$BE$65000,$B940,Z$5)=1,1,IF(INDEX([1]Pivot!$B$1:$AB$65000,$B940,Z$5)="",2,0)),0)</f>
        <v>0</v>
      </c>
      <c r="AA940" s="194">
        <f>IFERROR(IF(INDEX([1]Pivot!$AD$1:$BE$65000,$B940,AA$5)=1,1,IF(INDEX([1]Pivot!$B$1:$AB$65000,$B940,AA$5)="",2,0)),0)</f>
        <v>0</v>
      </c>
      <c r="AB940" s="194">
        <f>IFERROR(IF(INDEX([1]Pivot!$AD$1:$BE$65000,$B940,AB$5)=1,1,IF(INDEX([1]Pivot!$B$1:$AB$65000,$B940,AB$5)="",2,0)),0)</f>
        <v>0</v>
      </c>
      <c r="AC940" s="194">
        <f>IFERROR(IF(INDEX([1]Pivot!$AD$1:$BE$65000,$B940,AC$5)=1,1,IF(INDEX([1]Pivot!$B$1:$AB$65000,$B940,AC$5)="",2,0)),0)</f>
        <v>0</v>
      </c>
      <c r="AD940" s="313">
        <f>IFERROR(IF(INDEX([1]Pivot!$BF$1:$CG$65000,$B940,AD$5)=1,1,IF(INDEX([1]Pivot!$B$1:$AB$65000,$B940,AD$5)="",2,0)),0)</f>
        <v>0</v>
      </c>
      <c r="AE940" s="313">
        <f>IFERROR(IF(INDEX([1]Pivot!$BF$1:$CG$65000,$B940,AE$5)=1,1,IF(INDEX([1]Pivot!$B$1:$AB$65000,$B940,AE$5)="",2,0)),0)</f>
        <v>0</v>
      </c>
      <c r="AF940" s="313">
        <f>IFERROR(IF(INDEX([1]Pivot!$BF$1:$CG$65000,$B940,AF$5)=1,1,IF(INDEX([1]Pivot!$B$1:$AB$65000,$B940,AF$5)="",2,0)),0)</f>
        <v>0</v>
      </c>
      <c r="AG940" s="313">
        <f>IFERROR(IF(INDEX([1]Pivot!$BF$1:$CG$65000,$B940,AG$5)=1,1,IF(INDEX([1]Pivot!$B$1:$AB$65000,$B940,AG$5)="",2,0)),0)</f>
        <v>0</v>
      </c>
      <c r="AH940" s="313">
        <f>IFERROR(IF(INDEX([1]Pivot!$BF$1:$CG$65000,$B940,AH$5)=1,1,IF(INDEX([1]Pivot!$B$1:$AB$65000,$B940,AH$5)="",2,0)),0)</f>
        <v>0</v>
      </c>
      <c r="AI940" s="313">
        <f>IFERROR(IF(INDEX([1]Pivot!$BF$1:$CG$65000,$B940,AI$5)=1,1,IF(INDEX([1]Pivot!$B$1:$AB$65000,$B940,AI$5)="",2,0)),0)</f>
        <v>0</v>
      </c>
      <c r="AJ940" s="313">
        <f>IFERROR(IF(INDEX([1]Pivot!$BF$1:$CG$65000,$B940,AJ$5)=1,1,IF(INDEX([1]Pivot!$B$1:$AB$65000,$B940,AJ$5)="",2,0)),0)</f>
        <v>0</v>
      </c>
      <c r="AK940" s="313">
        <f>IFERROR(IF(INDEX([1]Pivot!$BF$1:$CG$65000,$B940,AK$5)=1,1,IF(INDEX([1]Pivot!$B$1:$AB$65000,$B940,AK$5)="",2,0)),0)</f>
        <v>0</v>
      </c>
      <c r="AL940" s="313">
        <f>IFERROR(IF(INDEX([1]Pivot!$BF$1:$CG$65000,$B940,AL$5)=1,1,IF(INDEX([1]Pivot!$B$1:$AB$65000,$B940,AL$5)="",2,0)),0)</f>
        <v>0</v>
      </c>
      <c r="AM940" s="313">
        <f>IFERROR(IF(INDEX([1]Pivot!$BF$1:$CG$65000,$B940,AM$5)=1,1,IF(INDEX([1]Pivot!$B$1:$AB$65000,$B940,AM$5)="",2,0)),0)</f>
        <v>0</v>
      </c>
      <c r="AN940" s="313">
        <f>IFERROR(IF(INDEX([1]Pivot!$BF$1:$CG$65000,$B940,AN$5)=1,1,IF(INDEX([1]Pivot!$B$1:$AB$65000,$B940,AN$5)="",2,0)),0)</f>
        <v>0</v>
      </c>
      <c r="AO940" s="313">
        <f>IFERROR(IF(INDEX([1]Pivot!$BF$1:$CG$65000,$B940,AO$5)=1,1,IF(INDEX([1]Pivot!$B$1:$AB$65000,$B940,AO$5)="",2,0)),0)</f>
        <v>0</v>
      </c>
      <c r="AP940" s="313">
        <f>IFERROR(IF(INDEX([1]Pivot!$BF$1:$CG$65000,$B940,AP$5)=1,1,IF(INDEX([1]Pivot!$B$1:$AB$65000,$B940,AP$5)="",2,0)),0)</f>
        <v>0</v>
      </c>
      <c r="AQ940" s="313">
        <f>IFERROR(IF(INDEX([1]Pivot!$BF$1:$CG$65000,$B940,AQ$5)=1,1,IF(INDEX([1]Pivot!$B$1:$AB$65000,$B940,AQ$5)="",2,0)),0)</f>
        <v>0</v>
      </c>
      <c r="AR940" s="313">
        <f>IFERROR(IF(INDEX([1]Pivot!$BF$1:$CG$65000,$B940,AR$5)=1,1,IF(INDEX([1]Pivot!$B$1:$AB$65000,$B940,AR$5)="",2,0)),0)</f>
        <v>0</v>
      </c>
      <c r="AS940" s="312"/>
      <c r="AT940" s="313">
        <f>IFERROR(IF(INDEX([1]Pivot!$BF$1:$CG$65000,$B940,AT$5)=1,1,IF(INDEX([1]Pivot!$B$1:$AB$65000,$B940,AT$5)="",2,0)),0)</f>
        <v>0</v>
      </c>
      <c r="AU940" s="313">
        <f>IFERROR(IF(INDEX([1]Pivot!$BF$1:$CG$65000,$B940,AU$5)=1,1,IF(INDEX([1]Pivot!$B$1:$AB$65000,$B940,AU$5)="",2,0)),0)</f>
        <v>0</v>
      </c>
      <c r="AV940" s="313">
        <f>IFERROR(IF(INDEX([1]Pivot!$BF$1:$CG$65000,$B940,AV$5)=1,1,IF(INDEX([1]Pivot!$B$1:$AB$65000,$B940,AV$5)="",2,0)),0)</f>
        <v>0</v>
      </c>
      <c r="AW940" s="313">
        <f>IFERROR(IF(INDEX([1]Pivot!$BF$1:$CG$65000,$B940,AW$5)=1,1,IF(INDEX([1]Pivot!$B$1:$AB$65000,$B940,AW$5)="",2,0)),0)</f>
        <v>0</v>
      </c>
      <c r="AX940" s="313">
        <f>IFERROR(IF(INDEX([1]Pivot!$BF$1:$CG$65000,$B940,AX$5)=1,1,IF(INDEX([1]Pivot!$B$1:$AB$65000,$B940,AX$5)="",2,0)),0)</f>
        <v>0</v>
      </c>
      <c r="AY940" s="313">
        <f>IFERROR(IF(INDEX([1]Pivot!$BF$1:$CG$65000,$B940,AY$5)=1,1,IF(INDEX([1]Pivot!$B$1:$AB$65000,$B940,AY$5)="",2,0)),0)</f>
        <v>0</v>
      </c>
      <c r="AZ940" s="313">
        <f>IFERROR(IF(INDEX([1]Pivot!$BF$1:$CG$65000,$B940,AZ$5)=1,1,IF(INDEX([1]Pivot!$B$1:$AB$65000,$B940,AZ$5)="",2,0)),0)</f>
        <v>0</v>
      </c>
      <c r="BA940" s="313">
        <f>IFERROR(IF(INDEX([1]Pivot!$BF$1:$CG$65000,$B940,BA$5)=1,1,IF(INDEX([1]Pivot!$B$1:$AB$65000,$B940,BA$5)="",2,0)),0)</f>
        <v>0</v>
      </c>
      <c r="BB940" s="313">
        <f>IFERROR(IF(INDEX([1]Pivot!$BF$1:$CG$65000,$B940,BB$5)=1,1,IF(INDEX([1]Pivot!$B$1:$AB$65000,$B940,BB$5)="",2,0)),0)</f>
        <v>0</v>
      </c>
      <c r="BC940" s="313">
        <f>IFERROR(IF(INDEX([1]Pivot!$BF$1:$CG$65000,$B940,BC$5)=1,1,IF(INDEX([1]Pivot!$B$1:$AB$65000,$B940,BC$5)="",2,0)),0)</f>
        <v>0</v>
      </c>
      <c r="BD940" s="313">
        <f>IFERROR(IF(INDEX([1]Pivot!$BF$1:$CG$65000,$B940,BD$5)=1,1,IF(INDEX([1]Pivot!$B$1:$AB$65000,$B940,BD$5)="",2,0)),0)</f>
        <v>0</v>
      </c>
    </row>
    <row r="941" spans="1:56" x14ac:dyDescent="0.25">
      <c r="A941" s="288">
        <f>'[2]Raw Milk Prices'!A941</f>
        <v>0</v>
      </c>
      <c r="B941" s="296" t="e">
        <f>MATCH(DATE(LEFT('[2]Raw Milk Prices'!$A941,4),RIGHT('[2]Raw Milk Prices'!$A941,2),1),[1]Pivot!$A$1:$A$65000,0)</f>
        <v>#VALUE!</v>
      </c>
      <c r="C941" s="194">
        <f>IFERROR(IF(INDEX([1]Pivot!$AD$1:$BE$65000,$B941,C$5)=1,1,IF(INDEX([1]Pivot!$B$1:$AB$65000,$B941,C$5)="",2,0)),0)</f>
        <v>0</v>
      </c>
      <c r="D941" s="194">
        <f>IFERROR(IF(INDEX([1]Pivot!$AD$1:$BE$65000,$B941,D$5)=1,1,IF(INDEX([1]Pivot!$B$1:$AB$65000,$B941,D$5)="",2,0)),0)</f>
        <v>0</v>
      </c>
      <c r="E941" s="194">
        <f>IFERROR(IF(INDEX([1]Pivot!$AD$1:$BE$65000,$B941,E$5)=1,1,IF(INDEX([1]Pivot!$B$1:$AB$65000,$B941,E$5)="",2,0)),0)</f>
        <v>0</v>
      </c>
      <c r="F941" s="194">
        <f>IFERROR(IF(INDEX([1]Pivot!$AD$1:$BE$65000,$B941,F$5)=1,1,IF(INDEX([1]Pivot!$B$1:$AB$65000,$B941,F$5)="",2,0)),0)</f>
        <v>0</v>
      </c>
      <c r="G941" s="194">
        <f>IFERROR(IF(INDEX([1]Pivot!$AD$1:$BE$65000,$B941,G$5)=1,1,IF(INDEX([1]Pivot!$B$1:$AB$65000,$B941,G$5)="",2,0)),0)</f>
        <v>0</v>
      </c>
      <c r="H941" s="194">
        <f>IFERROR(IF(INDEX([1]Pivot!$AD$1:$BE$65000,$B941,H$5)=1,1,IF(INDEX([1]Pivot!$B$1:$AB$65000,$B941,H$5)="",2,0)),0)</f>
        <v>0</v>
      </c>
      <c r="I941" s="194">
        <f>IFERROR(IF(INDEX([1]Pivot!$AD$1:$BE$65000,$B941,I$5)=1,1,IF(INDEX([1]Pivot!$B$1:$AB$65000,$B941,I$5)="",2,0)),0)</f>
        <v>0</v>
      </c>
      <c r="J941" s="194">
        <f>IFERROR(IF(INDEX([1]Pivot!$AD$1:$BE$65000,$B941,J$5)=1,1,IF(INDEX([1]Pivot!$B$1:$AB$65000,$B941,J$5)="",2,0)),0)</f>
        <v>0</v>
      </c>
      <c r="K941" s="194">
        <f>IFERROR(IF(INDEX([1]Pivot!$AD$1:$BE$65000,$B941,K$5)=1,1,IF(INDEX([1]Pivot!$B$1:$AB$65000,$B941,K$5)="",2,0)),0)</f>
        <v>0</v>
      </c>
      <c r="L941" s="194">
        <f>IFERROR(IF(INDEX([1]Pivot!$AD$1:$BE$65000,$B941,L$5)=1,1,IF(INDEX([1]Pivot!$B$1:$AB$65000,$B941,L$5)="",2,0)),0)</f>
        <v>0</v>
      </c>
      <c r="M941" s="194">
        <f>IFERROR(IF(INDEX([1]Pivot!$AD$1:$BE$65000,$B941,M$5)=1,1,IF(INDEX([1]Pivot!$B$1:$AB$65000,$B941,M$5)="",2,0)),0)</f>
        <v>0</v>
      </c>
      <c r="N941" s="194">
        <f>IFERROR(IF(INDEX([1]Pivot!$AD$1:$BE$65000,$B941,N$5)=1,1,IF(INDEX([1]Pivot!$B$1:$AB$65000,$B941,N$5)="",2,0)),0)</f>
        <v>0</v>
      </c>
      <c r="O941" s="194">
        <f>IFERROR(IF(INDEX([1]Pivot!$AD$1:$BE$65000,$B941,O$5)=1,1,IF(INDEX([1]Pivot!$B$1:$AB$65000,$B941,O$5)="",2,0)),0)</f>
        <v>0</v>
      </c>
      <c r="P941" s="194">
        <f>IFERROR(IF(INDEX([1]Pivot!$AD$1:$BE$65000,$B941,P$5)=1,1,IF(INDEX([1]Pivot!$B$1:$AB$65000,$B941,P$5)="",2,0)),0)</f>
        <v>0</v>
      </c>
      <c r="Q941" s="194">
        <f>IFERROR(IF(INDEX([1]Pivot!$AD$1:$BE$65000,$B941,Q$5)=1,1,IF(INDEX([1]Pivot!$B$1:$AB$65000,$B941,Q$5)="",2,0)),0)</f>
        <v>0</v>
      </c>
      <c r="R941" s="312"/>
      <c r="S941" s="194">
        <f>IFERROR(IF(INDEX([1]Pivot!$AD$1:$BE$65000,$B941,S$5)=1,1,IF(INDEX([1]Pivot!$B$1:$AB$65000,$B941,S$5)="",2,0)),0)</f>
        <v>0</v>
      </c>
      <c r="T941" s="194">
        <f>IFERROR(IF(INDEX([1]Pivot!$AD$1:$BE$65000,$B941,T$5)=1,1,IF(INDEX([1]Pivot!$B$1:$AB$65000,$B941,T$5)="",2,0)),0)</f>
        <v>0</v>
      </c>
      <c r="U941" s="194">
        <f>IFERROR(IF(INDEX([1]Pivot!$AD$1:$BE$65000,$B941,U$5)=1,1,IF(INDEX([1]Pivot!$B$1:$AB$65000,$B941,U$5)="",2,0)),0)</f>
        <v>0</v>
      </c>
      <c r="V941" s="194">
        <f>IFERROR(IF(INDEX([1]Pivot!$AD$1:$BE$65000,$B941,V$5)=1,1,IF(INDEX([1]Pivot!$B$1:$AB$65000,$B941,V$5)="",2,0)),0)</f>
        <v>0</v>
      </c>
      <c r="W941" s="194">
        <f>IFERROR(IF(INDEX([1]Pivot!$AD$1:$BE$65000,$B941,W$5)=1,1,IF(INDEX([1]Pivot!$B$1:$AB$65000,$B941,W$5)="",2,0)),0)</f>
        <v>0</v>
      </c>
      <c r="X941" s="194">
        <f>IFERROR(IF(INDEX([1]Pivot!$AD$1:$BE$65000,$B941,X$5)=1,1,IF(INDEX([1]Pivot!$B$1:$AB$65000,$B941,X$5)="",2,0)),0)</f>
        <v>0</v>
      </c>
      <c r="Y941" s="194">
        <f>IFERROR(IF(INDEX([1]Pivot!$AD$1:$BE$65000,$B941,Y$5)=1,1,IF(INDEX([1]Pivot!$B$1:$AB$65000,$B941,Y$5)="",2,0)),0)</f>
        <v>0</v>
      </c>
      <c r="Z941" s="194">
        <f>IFERROR(IF(INDEX([1]Pivot!$AD$1:$BE$65000,$B941,Z$5)=1,1,IF(INDEX([1]Pivot!$B$1:$AB$65000,$B941,Z$5)="",2,0)),0)</f>
        <v>0</v>
      </c>
      <c r="AA941" s="194">
        <f>IFERROR(IF(INDEX([1]Pivot!$AD$1:$BE$65000,$B941,AA$5)=1,1,IF(INDEX([1]Pivot!$B$1:$AB$65000,$B941,AA$5)="",2,0)),0)</f>
        <v>0</v>
      </c>
      <c r="AB941" s="194">
        <f>IFERROR(IF(INDEX([1]Pivot!$AD$1:$BE$65000,$B941,AB$5)=1,1,IF(INDEX([1]Pivot!$B$1:$AB$65000,$B941,AB$5)="",2,0)),0)</f>
        <v>0</v>
      </c>
      <c r="AC941" s="194">
        <f>IFERROR(IF(INDEX([1]Pivot!$AD$1:$BE$65000,$B941,AC$5)=1,1,IF(INDEX([1]Pivot!$B$1:$AB$65000,$B941,AC$5)="",2,0)),0)</f>
        <v>0</v>
      </c>
      <c r="AD941" s="313">
        <f>IFERROR(IF(INDEX([1]Pivot!$BF$1:$CG$65000,$B941,AD$5)=1,1,IF(INDEX([1]Pivot!$B$1:$AB$65000,$B941,AD$5)="",2,0)),0)</f>
        <v>0</v>
      </c>
      <c r="AE941" s="313">
        <f>IFERROR(IF(INDEX([1]Pivot!$BF$1:$CG$65000,$B941,AE$5)=1,1,IF(INDEX([1]Pivot!$B$1:$AB$65000,$B941,AE$5)="",2,0)),0)</f>
        <v>0</v>
      </c>
      <c r="AF941" s="313">
        <f>IFERROR(IF(INDEX([1]Pivot!$BF$1:$CG$65000,$B941,AF$5)=1,1,IF(INDEX([1]Pivot!$B$1:$AB$65000,$B941,AF$5)="",2,0)),0)</f>
        <v>0</v>
      </c>
      <c r="AG941" s="313">
        <f>IFERROR(IF(INDEX([1]Pivot!$BF$1:$CG$65000,$B941,AG$5)=1,1,IF(INDEX([1]Pivot!$B$1:$AB$65000,$B941,AG$5)="",2,0)),0)</f>
        <v>0</v>
      </c>
      <c r="AH941" s="313">
        <f>IFERROR(IF(INDEX([1]Pivot!$BF$1:$CG$65000,$B941,AH$5)=1,1,IF(INDEX([1]Pivot!$B$1:$AB$65000,$B941,AH$5)="",2,0)),0)</f>
        <v>0</v>
      </c>
      <c r="AI941" s="313">
        <f>IFERROR(IF(INDEX([1]Pivot!$BF$1:$CG$65000,$B941,AI$5)=1,1,IF(INDEX([1]Pivot!$B$1:$AB$65000,$B941,AI$5)="",2,0)),0)</f>
        <v>0</v>
      </c>
      <c r="AJ941" s="313">
        <f>IFERROR(IF(INDEX([1]Pivot!$BF$1:$CG$65000,$B941,AJ$5)=1,1,IF(INDEX([1]Pivot!$B$1:$AB$65000,$B941,AJ$5)="",2,0)),0)</f>
        <v>0</v>
      </c>
      <c r="AK941" s="313">
        <f>IFERROR(IF(INDEX([1]Pivot!$BF$1:$CG$65000,$B941,AK$5)=1,1,IF(INDEX([1]Pivot!$B$1:$AB$65000,$B941,AK$5)="",2,0)),0)</f>
        <v>0</v>
      </c>
      <c r="AL941" s="313">
        <f>IFERROR(IF(INDEX([1]Pivot!$BF$1:$CG$65000,$B941,AL$5)=1,1,IF(INDEX([1]Pivot!$B$1:$AB$65000,$B941,AL$5)="",2,0)),0)</f>
        <v>0</v>
      </c>
      <c r="AM941" s="313">
        <f>IFERROR(IF(INDEX([1]Pivot!$BF$1:$CG$65000,$B941,AM$5)=1,1,IF(INDEX([1]Pivot!$B$1:$AB$65000,$B941,AM$5)="",2,0)),0)</f>
        <v>0</v>
      </c>
      <c r="AN941" s="313">
        <f>IFERROR(IF(INDEX([1]Pivot!$BF$1:$CG$65000,$B941,AN$5)=1,1,IF(INDEX([1]Pivot!$B$1:$AB$65000,$B941,AN$5)="",2,0)),0)</f>
        <v>0</v>
      </c>
      <c r="AO941" s="313">
        <f>IFERROR(IF(INDEX([1]Pivot!$BF$1:$CG$65000,$B941,AO$5)=1,1,IF(INDEX([1]Pivot!$B$1:$AB$65000,$B941,AO$5)="",2,0)),0)</f>
        <v>0</v>
      </c>
      <c r="AP941" s="313">
        <f>IFERROR(IF(INDEX([1]Pivot!$BF$1:$CG$65000,$B941,AP$5)=1,1,IF(INDEX([1]Pivot!$B$1:$AB$65000,$B941,AP$5)="",2,0)),0)</f>
        <v>0</v>
      </c>
      <c r="AQ941" s="313">
        <f>IFERROR(IF(INDEX([1]Pivot!$BF$1:$CG$65000,$B941,AQ$5)=1,1,IF(INDEX([1]Pivot!$B$1:$AB$65000,$B941,AQ$5)="",2,0)),0)</f>
        <v>0</v>
      </c>
      <c r="AR941" s="313">
        <f>IFERROR(IF(INDEX([1]Pivot!$BF$1:$CG$65000,$B941,AR$5)=1,1,IF(INDEX([1]Pivot!$B$1:$AB$65000,$B941,AR$5)="",2,0)),0)</f>
        <v>0</v>
      </c>
      <c r="AS941" s="312"/>
      <c r="AT941" s="313">
        <f>IFERROR(IF(INDEX([1]Pivot!$BF$1:$CG$65000,$B941,AT$5)=1,1,IF(INDEX([1]Pivot!$B$1:$AB$65000,$B941,AT$5)="",2,0)),0)</f>
        <v>0</v>
      </c>
      <c r="AU941" s="313">
        <f>IFERROR(IF(INDEX([1]Pivot!$BF$1:$CG$65000,$B941,AU$5)=1,1,IF(INDEX([1]Pivot!$B$1:$AB$65000,$B941,AU$5)="",2,0)),0)</f>
        <v>0</v>
      </c>
      <c r="AV941" s="313">
        <f>IFERROR(IF(INDEX([1]Pivot!$BF$1:$CG$65000,$B941,AV$5)=1,1,IF(INDEX([1]Pivot!$B$1:$AB$65000,$B941,AV$5)="",2,0)),0)</f>
        <v>0</v>
      </c>
      <c r="AW941" s="313">
        <f>IFERROR(IF(INDEX([1]Pivot!$BF$1:$CG$65000,$B941,AW$5)=1,1,IF(INDEX([1]Pivot!$B$1:$AB$65000,$B941,AW$5)="",2,0)),0)</f>
        <v>0</v>
      </c>
      <c r="AX941" s="313">
        <f>IFERROR(IF(INDEX([1]Pivot!$BF$1:$CG$65000,$B941,AX$5)=1,1,IF(INDEX([1]Pivot!$B$1:$AB$65000,$B941,AX$5)="",2,0)),0)</f>
        <v>0</v>
      </c>
      <c r="AY941" s="313">
        <f>IFERROR(IF(INDEX([1]Pivot!$BF$1:$CG$65000,$B941,AY$5)=1,1,IF(INDEX([1]Pivot!$B$1:$AB$65000,$B941,AY$5)="",2,0)),0)</f>
        <v>0</v>
      </c>
      <c r="AZ941" s="313">
        <f>IFERROR(IF(INDEX([1]Pivot!$BF$1:$CG$65000,$B941,AZ$5)=1,1,IF(INDEX([1]Pivot!$B$1:$AB$65000,$B941,AZ$5)="",2,0)),0)</f>
        <v>0</v>
      </c>
      <c r="BA941" s="313">
        <f>IFERROR(IF(INDEX([1]Pivot!$BF$1:$CG$65000,$B941,BA$5)=1,1,IF(INDEX([1]Pivot!$B$1:$AB$65000,$B941,BA$5)="",2,0)),0)</f>
        <v>0</v>
      </c>
      <c r="BB941" s="313">
        <f>IFERROR(IF(INDEX([1]Pivot!$BF$1:$CG$65000,$B941,BB$5)=1,1,IF(INDEX([1]Pivot!$B$1:$AB$65000,$B941,BB$5)="",2,0)),0)</f>
        <v>0</v>
      </c>
      <c r="BC941" s="313">
        <f>IFERROR(IF(INDEX([1]Pivot!$BF$1:$CG$65000,$B941,BC$5)=1,1,IF(INDEX([1]Pivot!$B$1:$AB$65000,$B941,BC$5)="",2,0)),0)</f>
        <v>0</v>
      </c>
      <c r="BD941" s="313">
        <f>IFERROR(IF(INDEX([1]Pivot!$BF$1:$CG$65000,$B941,BD$5)=1,1,IF(INDEX([1]Pivot!$B$1:$AB$65000,$B941,BD$5)="",2,0)),0)</f>
        <v>0</v>
      </c>
    </row>
    <row r="942" spans="1:56" x14ac:dyDescent="0.25">
      <c r="A942" s="288">
        <f>'[2]Raw Milk Prices'!A942</f>
        <v>0</v>
      </c>
      <c r="B942" s="296" t="e">
        <f>MATCH(DATE(LEFT('[2]Raw Milk Prices'!$A942,4),RIGHT('[2]Raw Milk Prices'!$A942,2),1),[1]Pivot!$A$1:$A$65000,0)</f>
        <v>#VALUE!</v>
      </c>
      <c r="C942" s="194">
        <f>IFERROR(IF(INDEX([1]Pivot!$AD$1:$BE$65000,$B942,C$5)=1,1,IF(INDEX([1]Pivot!$B$1:$AB$65000,$B942,C$5)="",2,0)),0)</f>
        <v>0</v>
      </c>
      <c r="D942" s="194">
        <f>IFERROR(IF(INDEX([1]Pivot!$AD$1:$BE$65000,$B942,D$5)=1,1,IF(INDEX([1]Pivot!$B$1:$AB$65000,$B942,D$5)="",2,0)),0)</f>
        <v>0</v>
      </c>
      <c r="E942" s="194">
        <f>IFERROR(IF(INDEX([1]Pivot!$AD$1:$BE$65000,$B942,E$5)=1,1,IF(INDEX([1]Pivot!$B$1:$AB$65000,$B942,E$5)="",2,0)),0)</f>
        <v>0</v>
      </c>
      <c r="F942" s="194">
        <f>IFERROR(IF(INDEX([1]Pivot!$AD$1:$BE$65000,$B942,F$5)=1,1,IF(INDEX([1]Pivot!$B$1:$AB$65000,$B942,F$5)="",2,0)),0)</f>
        <v>0</v>
      </c>
      <c r="G942" s="194">
        <f>IFERROR(IF(INDEX([1]Pivot!$AD$1:$BE$65000,$B942,G$5)=1,1,IF(INDEX([1]Pivot!$B$1:$AB$65000,$B942,G$5)="",2,0)),0)</f>
        <v>0</v>
      </c>
      <c r="H942" s="194">
        <f>IFERROR(IF(INDEX([1]Pivot!$AD$1:$BE$65000,$B942,H$5)=1,1,IF(INDEX([1]Pivot!$B$1:$AB$65000,$B942,H$5)="",2,0)),0)</f>
        <v>0</v>
      </c>
      <c r="I942" s="194">
        <f>IFERROR(IF(INDEX([1]Pivot!$AD$1:$BE$65000,$B942,I$5)=1,1,IF(INDEX([1]Pivot!$B$1:$AB$65000,$B942,I$5)="",2,0)),0)</f>
        <v>0</v>
      </c>
      <c r="J942" s="194">
        <f>IFERROR(IF(INDEX([1]Pivot!$AD$1:$BE$65000,$B942,J$5)=1,1,IF(INDEX([1]Pivot!$B$1:$AB$65000,$B942,J$5)="",2,0)),0)</f>
        <v>0</v>
      </c>
      <c r="K942" s="194">
        <f>IFERROR(IF(INDEX([1]Pivot!$AD$1:$BE$65000,$B942,K$5)=1,1,IF(INDEX([1]Pivot!$B$1:$AB$65000,$B942,K$5)="",2,0)),0)</f>
        <v>0</v>
      </c>
      <c r="L942" s="194">
        <f>IFERROR(IF(INDEX([1]Pivot!$AD$1:$BE$65000,$B942,L$5)=1,1,IF(INDEX([1]Pivot!$B$1:$AB$65000,$B942,L$5)="",2,0)),0)</f>
        <v>0</v>
      </c>
      <c r="M942" s="194">
        <f>IFERROR(IF(INDEX([1]Pivot!$AD$1:$BE$65000,$B942,M$5)=1,1,IF(INDEX([1]Pivot!$B$1:$AB$65000,$B942,M$5)="",2,0)),0)</f>
        <v>0</v>
      </c>
      <c r="N942" s="194">
        <f>IFERROR(IF(INDEX([1]Pivot!$AD$1:$BE$65000,$B942,N$5)=1,1,IF(INDEX([1]Pivot!$B$1:$AB$65000,$B942,N$5)="",2,0)),0)</f>
        <v>0</v>
      </c>
      <c r="O942" s="194">
        <f>IFERROR(IF(INDEX([1]Pivot!$AD$1:$BE$65000,$B942,O$5)=1,1,IF(INDEX([1]Pivot!$B$1:$AB$65000,$B942,O$5)="",2,0)),0)</f>
        <v>0</v>
      </c>
      <c r="P942" s="194">
        <f>IFERROR(IF(INDEX([1]Pivot!$AD$1:$BE$65000,$B942,P$5)=1,1,IF(INDEX([1]Pivot!$B$1:$AB$65000,$B942,P$5)="",2,0)),0)</f>
        <v>0</v>
      </c>
      <c r="Q942" s="194">
        <f>IFERROR(IF(INDEX([1]Pivot!$AD$1:$BE$65000,$B942,Q$5)=1,1,IF(INDEX([1]Pivot!$B$1:$AB$65000,$B942,Q$5)="",2,0)),0)</f>
        <v>0</v>
      </c>
      <c r="R942" s="312"/>
      <c r="S942" s="194">
        <f>IFERROR(IF(INDEX([1]Pivot!$AD$1:$BE$65000,$B942,S$5)=1,1,IF(INDEX([1]Pivot!$B$1:$AB$65000,$B942,S$5)="",2,0)),0)</f>
        <v>0</v>
      </c>
      <c r="T942" s="194">
        <f>IFERROR(IF(INDEX([1]Pivot!$AD$1:$BE$65000,$B942,T$5)=1,1,IF(INDEX([1]Pivot!$B$1:$AB$65000,$B942,T$5)="",2,0)),0)</f>
        <v>0</v>
      </c>
      <c r="U942" s="194">
        <f>IFERROR(IF(INDEX([1]Pivot!$AD$1:$BE$65000,$B942,U$5)=1,1,IF(INDEX([1]Pivot!$B$1:$AB$65000,$B942,U$5)="",2,0)),0)</f>
        <v>0</v>
      </c>
      <c r="V942" s="194">
        <f>IFERROR(IF(INDEX([1]Pivot!$AD$1:$BE$65000,$B942,V$5)=1,1,IF(INDEX([1]Pivot!$B$1:$AB$65000,$B942,V$5)="",2,0)),0)</f>
        <v>0</v>
      </c>
      <c r="W942" s="194">
        <f>IFERROR(IF(INDEX([1]Pivot!$AD$1:$BE$65000,$B942,W$5)=1,1,IF(INDEX([1]Pivot!$B$1:$AB$65000,$B942,W$5)="",2,0)),0)</f>
        <v>0</v>
      </c>
      <c r="X942" s="194">
        <f>IFERROR(IF(INDEX([1]Pivot!$AD$1:$BE$65000,$B942,X$5)=1,1,IF(INDEX([1]Pivot!$B$1:$AB$65000,$B942,X$5)="",2,0)),0)</f>
        <v>0</v>
      </c>
      <c r="Y942" s="194">
        <f>IFERROR(IF(INDEX([1]Pivot!$AD$1:$BE$65000,$B942,Y$5)=1,1,IF(INDEX([1]Pivot!$B$1:$AB$65000,$B942,Y$5)="",2,0)),0)</f>
        <v>0</v>
      </c>
      <c r="Z942" s="194">
        <f>IFERROR(IF(INDEX([1]Pivot!$AD$1:$BE$65000,$B942,Z$5)=1,1,IF(INDEX([1]Pivot!$B$1:$AB$65000,$B942,Z$5)="",2,0)),0)</f>
        <v>0</v>
      </c>
      <c r="AA942" s="194">
        <f>IFERROR(IF(INDEX([1]Pivot!$AD$1:$BE$65000,$B942,AA$5)=1,1,IF(INDEX([1]Pivot!$B$1:$AB$65000,$B942,AA$5)="",2,0)),0)</f>
        <v>0</v>
      </c>
      <c r="AB942" s="194">
        <f>IFERROR(IF(INDEX([1]Pivot!$AD$1:$BE$65000,$B942,AB$5)=1,1,IF(INDEX([1]Pivot!$B$1:$AB$65000,$B942,AB$5)="",2,0)),0)</f>
        <v>0</v>
      </c>
      <c r="AC942" s="194">
        <f>IFERROR(IF(INDEX([1]Pivot!$AD$1:$BE$65000,$B942,AC$5)=1,1,IF(INDEX([1]Pivot!$B$1:$AB$65000,$B942,AC$5)="",2,0)),0)</f>
        <v>0</v>
      </c>
      <c r="AD942" s="313">
        <f>IFERROR(IF(INDEX([1]Pivot!$BF$1:$CG$65000,$B942,AD$5)=1,1,IF(INDEX([1]Pivot!$B$1:$AB$65000,$B942,AD$5)="",2,0)),0)</f>
        <v>0</v>
      </c>
      <c r="AE942" s="313">
        <f>IFERROR(IF(INDEX([1]Pivot!$BF$1:$CG$65000,$B942,AE$5)=1,1,IF(INDEX([1]Pivot!$B$1:$AB$65000,$B942,AE$5)="",2,0)),0)</f>
        <v>0</v>
      </c>
      <c r="AF942" s="313">
        <f>IFERROR(IF(INDEX([1]Pivot!$BF$1:$CG$65000,$B942,AF$5)=1,1,IF(INDEX([1]Pivot!$B$1:$AB$65000,$B942,AF$5)="",2,0)),0)</f>
        <v>0</v>
      </c>
      <c r="AG942" s="313">
        <f>IFERROR(IF(INDEX([1]Pivot!$BF$1:$CG$65000,$B942,AG$5)=1,1,IF(INDEX([1]Pivot!$B$1:$AB$65000,$B942,AG$5)="",2,0)),0)</f>
        <v>0</v>
      </c>
      <c r="AH942" s="313">
        <f>IFERROR(IF(INDEX([1]Pivot!$BF$1:$CG$65000,$B942,AH$5)=1,1,IF(INDEX([1]Pivot!$B$1:$AB$65000,$B942,AH$5)="",2,0)),0)</f>
        <v>0</v>
      </c>
      <c r="AI942" s="313">
        <f>IFERROR(IF(INDEX([1]Pivot!$BF$1:$CG$65000,$B942,AI$5)=1,1,IF(INDEX([1]Pivot!$B$1:$AB$65000,$B942,AI$5)="",2,0)),0)</f>
        <v>0</v>
      </c>
      <c r="AJ942" s="313">
        <f>IFERROR(IF(INDEX([1]Pivot!$BF$1:$CG$65000,$B942,AJ$5)=1,1,IF(INDEX([1]Pivot!$B$1:$AB$65000,$B942,AJ$5)="",2,0)),0)</f>
        <v>0</v>
      </c>
      <c r="AK942" s="313">
        <f>IFERROR(IF(INDEX([1]Pivot!$BF$1:$CG$65000,$B942,AK$5)=1,1,IF(INDEX([1]Pivot!$B$1:$AB$65000,$B942,AK$5)="",2,0)),0)</f>
        <v>0</v>
      </c>
      <c r="AL942" s="313">
        <f>IFERROR(IF(INDEX([1]Pivot!$BF$1:$CG$65000,$B942,AL$5)=1,1,IF(INDEX([1]Pivot!$B$1:$AB$65000,$B942,AL$5)="",2,0)),0)</f>
        <v>0</v>
      </c>
      <c r="AM942" s="313">
        <f>IFERROR(IF(INDEX([1]Pivot!$BF$1:$CG$65000,$B942,AM$5)=1,1,IF(INDEX([1]Pivot!$B$1:$AB$65000,$B942,AM$5)="",2,0)),0)</f>
        <v>0</v>
      </c>
      <c r="AN942" s="313">
        <f>IFERROR(IF(INDEX([1]Pivot!$BF$1:$CG$65000,$B942,AN$5)=1,1,IF(INDEX([1]Pivot!$B$1:$AB$65000,$B942,AN$5)="",2,0)),0)</f>
        <v>0</v>
      </c>
      <c r="AO942" s="313">
        <f>IFERROR(IF(INDEX([1]Pivot!$BF$1:$CG$65000,$B942,AO$5)=1,1,IF(INDEX([1]Pivot!$B$1:$AB$65000,$B942,AO$5)="",2,0)),0)</f>
        <v>0</v>
      </c>
      <c r="AP942" s="313">
        <f>IFERROR(IF(INDEX([1]Pivot!$BF$1:$CG$65000,$B942,AP$5)=1,1,IF(INDEX([1]Pivot!$B$1:$AB$65000,$B942,AP$5)="",2,0)),0)</f>
        <v>0</v>
      </c>
      <c r="AQ942" s="313">
        <f>IFERROR(IF(INDEX([1]Pivot!$BF$1:$CG$65000,$B942,AQ$5)=1,1,IF(INDEX([1]Pivot!$B$1:$AB$65000,$B942,AQ$5)="",2,0)),0)</f>
        <v>0</v>
      </c>
      <c r="AR942" s="313">
        <f>IFERROR(IF(INDEX([1]Pivot!$BF$1:$CG$65000,$B942,AR$5)=1,1,IF(INDEX([1]Pivot!$B$1:$AB$65000,$B942,AR$5)="",2,0)),0)</f>
        <v>0</v>
      </c>
      <c r="AS942" s="312"/>
      <c r="AT942" s="313">
        <f>IFERROR(IF(INDEX([1]Pivot!$BF$1:$CG$65000,$B942,AT$5)=1,1,IF(INDEX([1]Pivot!$B$1:$AB$65000,$B942,AT$5)="",2,0)),0)</f>
        <v>0</v>
      </c>
      <c r="AU942" s="313">
        <f>IFERROR(IF(INDEX([1]Pivot!$BF$1:$CG$65000,$B942,AU$5)=1,1,IF(INDEX([1]Pivot!$B$1:$AB$65000,$B942,AU$5)="",2,0)),0)</f>
        <v>0</v>
      </c>
      <c r="AV942" s="313">
        <f>IFERROR(IF(INDEX([1]Pivot!$BF$1:$CG$65000,$B942,AV$5)=1,1,IF(INDEX([1]Pivot!$B$1:$AB$65000,$B942,AV$5)="",2,0)),0)</f>
        <v>0</v>
      </c>
      <c r="AW942" s="313">
        <f>IFERROR(IF(INDEX([1]Pivot!$BF$1:$CG$65000,$B942,AW$5)=1,1,IF(INDEX([1]Pivot!$B$1:$AB$65000,$B942,AW$5)="",2,0)),0)</f>
        <v>0</v>
      </c>
      <c r="AX942" s="313">
        <f>IFERROR(IF(INDEX([1]Pivot!$BF$1:$CG$65000,$B942,AX$5)=1,1,IF(INDEX([1]Pivot!$B$1:$AB$65000,$B942,AX$5)="",2,0)),0)</f>
        <v>0</v>
      </c>
      <c r="AY942" s="313">
        <f>IFERROR(IF(INDEX([1]Pivot!$BF$1:$CG$65000,$B942,AY$5)=1,1,IF(INDEX([1]Pivot!$B$1:$AB$65000,$B942,AY$5)="",2,0)),0)</f>
        <v>0</v>
      </c>
      <c r="AZ942" s="313">
        <f>IFERROR(IF(INDEX([1]Pivot!$BF$1:$CG$65000,$B942,AZ$5)=1,1,IF(INDEX([1]Pivot!$B$1:$AB$65000,$B942,AZ$5)="",2,0)),0)</f>
        <v>0</v>
      </c>
      <c r="BA942" s="313">
        <f>IFERROR(IF(INDEX([1]Pivot!$BF$1:$CG$65000,$B942,BA$5)=1,1,IF(INDEX([1]Pivot!$B$1:$AB$65000,$B942,BA$5)="",2,0)),0)</f>
        <v>0</v>
      </c>
      <c r="BB942" s="313">
        <f>IFERROR(IF(INDEX([1]Pivot!$BF$1:$CG$65000,$B942,BB$5)=1,1,IF(INDEX([1]Pivot!$B$1:$AB$65000,$B942,BB$5)="",2,0)),0)</f>
        <v>0</v>
      </c>
      <c r="BC942" s="313">
        <f>IFERROR(IF(INDEX([1]Pivot!$BF$1:$CG$65000,$B942,BC$5)=1,1,IF(INDEX([1]Pivot!$B$1:$AB$65000,$B942,BC$5)="",2,0)),0)</f>
        <v>0</v>
      </c>
      <c r="BD942" s="313">
        <f>IFERROR(IF(INDEX([1]Pivot!$BF$1:$CG$65000,$B942,BD$5)=1,1,IF(INDEX([1]Pivot!$B$1:$AB$65000,$B942,BD$5)="",2,0)),0)</f>
        <v>0</v>
      </c>
    </row>
    <row r="943" spans="1:56" x14ac:dyDescent="0.25">
      <c r="A943" s="288">
        <f>'[2]Raw Milk Prices'!A943</f>
        <v>0</v>
      </c>
      <c r="B943" s="296" t="e">
        <f>MATCH(DATE(LEFT('[2]Raw Milk Prices'!$A943,4),RIGHT('[2]Raw Milk Prices'!$A943,2),1),[1]Pivot!$A$1:$A$65000,0)</f>
        <v>#VALUE!</v>
      </c>
      <c r="C943" s="194">
        <f>IFERROR(IF(INDEX([1]Pivot!$AD$1:$BE$65000,$B943,C$5)=1,1,IF(INDEX([1]Pivot!$B$1:$AB$65000,$B943,C$5)="",2,0)),0)</f>
        <v>0</v>
      </c>
      <c r="D943" s="194">
        <f>IFERROR(IF(INDEX([1]Pivot!$AD$1:$BE$65000,$B943,D$5)=1,1,IF(INDEX([1]Pivot!$B$1:$AB$65000,$B943,D$5)="",2,0)),0)</f>
        <v>0</v>
      </c>
      <c r="E943" s="194">
        <f>IFERROR(IF(INDEX([1]Pivot!$AD$1:$BE$65000,$B943,E$5)=1,1,IF(INDEX([1]Pivot!$B$1:$AB$65000,$B943,E$5)="",2,0)),0)</f>
        <v>0</v>
      </c>
      <c r="F943" s="194">
        <f>IFERROR(IF(INDEX([1]Pivot!$AD$1:$BE$65000,$B943,F$5)=1,1,IF(INDEX([1]Pivot!$B$1:$AB$65000,$B943,F$5)="",2,0)),0)</f>
        <v>0</v>
      </c>
      <c r="G943" s="194">
        <f>IFERROR(IF(INDEX([1]Pivot!$AD$1:$BE$65000,$B943,G$5)=1,1,IF(INDEX([1]Pivot!$B$1:$AB$65000,$B943,G$5)="",2,0)),0)</f>
        <v>0</v>
      </c>
      <c r="H943" s="194">
        <f>IFERROR(IF(INDEX([1]Pivot!$AD$1:$BE$65000,$B943,H$5)=1,1,IF(INDEX([1]Pivot!$B$1:$AB$65000,$B943,H$5)="",2,0)),0)</f>
        <v>0</v>
      </c>
      <c r="I943" s="194">
        <f>IFERROR(IF(INDEX([1]Pivot!$AD$1:$BE$65000,$B943,I$5)=1,1,IF(INDEX([1]Pivot!$B$1:$AB$65000,$B943,I$5)="",2,0)),0)</f>
        <v>0</v>
      </c>
      <c r="J943" s="194">
        <f>IFERROR(IF(INDEX([1]Pivot!$AD$1:$BE$65000,$B943,J$5)=1,1,IF(INDEX([1]Pivot!$B$1:$AB$65000,$B943,J$5)="",2,0)),0)</f>
        <v>0</v>
      </c>
      <c r="K943" s="194">
        <f>IFERROR(IF(INDEX([1]Pivot!$AD$1:$BE$65000,$B943,K$5)=1,1,IF(INDEX([1]Pivot!$B$1:$AB$65000,$B943,K$5)="",2,0)),0)</f>
        <v>0</v>
      </c>
      <c r="L943" s="194">
        <f>IFERROR(IF(INDEX([1]Pivot!$AD$1:$BE$65000,$B943,L$5)=1,1,IF(INDEX([1]Pivot!$B$1:$AB$65000,$B943,L$5)="",2,0)),0)</f>
        <v>0</v>
      </c>
      <c r="M943" s="194">
        <f>IFERROR(IF(INDEX([1]Pivot!$AD$1:$BE$65000,$B943,M$5)=1,1,IF(INDEX([1]Pivot!$B$1:$AB$65000,$B943,M$5)="",2,0)),0)</f>
        <v>0</v>
      </c>
      <c r="N943" s="194">
        <f>IFERROR(IF(INDEX([1]Pivot!$AD$1:$BE$65000,$B943,N$5)=1,1,IF(INDEX([1]Pivot!$B$1:$AB$65000,$B943,N$5)="",2,0)),0)</f>
        <v>0</v>
      </c>
      <c r="O943" s="194">
        <f>IFERROR(IF(INDEX([1]Pivot!$AD$1:$BE$65000,$B943,O$5)=1,1,IF(INDEX([1]Pivot!$B$1:$AB$65000,$B943,O$5)="",2,0)),0)</f>
        <v>0</v>
      </c>
      <c r="P943" s="194">
        <f>IFERROR(IF(INDEX([1]Pivot!$AD$1:$BE$65000,$B943,P$5)=1,1,IF(INDEX([1]Pivot!$B$1:$AB$65000,$B943,P$5)="",2,0)),0)</f>
        <v>0</v>
      </c>
      <c r="Q943" s="194">
        <f>IFERROR(IF(INDEX([1]Pivot!$AD$1:$BE$65000,$B943,Q$5)=1,1,IF(INDEX([1]Pivot!$B$1:$AB$65000,$B943,Q$5)="",2,0)),0)</f>
        <v>0</v>
      </c>
      <c r="R943" s="312"/>
      <c r="S943" s="194">
        <f>IFERROR(IF(INDEX([1]Pivot!$AD$1:$BE$65000,$B943,S$5)=1,1,IF(INDEX([1]Pivot!$B$1:$AB$65000,$B943,S$5)="",2,0)),0)</f>
        <v>0</v>
      </c>
      <c r="T943" s="194">
        <f>IFERROR(IF(INDEX([1]Pivot!$AD$1:$BE$65000,$B943,T$5)=1,1,IF(INDEX([1]Pivot!$B$1:$AB$65000,$B943,T$5)="",2,0)),0)</f>
        <v>0</v>
      </c>
      <c r="U943" s="194">
        <f>IFERROR(IF(INDEX([1]Pivot!$AD$1:$BE$65000,$B943,U$5)=1,1,IF(INDEX([1]Pivot!$B$1:$AB$65000,$B943,U$5)="",2,0)),0)</f>
        <v>0</v>
      </c>
      <c r="V943" s="194">
        <f>IFERROR(IF(INDEX([1]Pivot!$AD$1:$BE$65000,$B943,V$5)=1,1,IF(INDEX([1]Pivot!$B$1:$AB$65000,$B943,V$5)="",2,0)),0)</f>
        <v>0</v>
      </c>
      <c r="W943" s="194">
        <f>IFERROR(IF(INDEX([1]Pivot!$AD$1:$BE$65000,$B943,W$5)=1,1,IF(INDEX([1]Pivot!$B$1:$AB$65000,$B943,W$5)="",2,0)),0)</f>
        <v>0</v>
      </c>
      <c r="X943" s="194">
        <f>IFERROR(IF(INDEX([1]Pivot!$AD$1:$BE$65000,$B943,X$5)=1,1,IF(INDEX([1]Pivot!$B$1:$AB$65000,$B943,X$5)="",2,0)),0)</f>
        <v>0</v>
      </c>
      <c r="Y943" s="194">
        <f>IFERROR(IF(INDEX([1]Pivot!$AD$1:$BE$65000,$B943,Y$5)=1,1,IF(INDEX([1]Pivot!$B$1:$AB$65000,$B943,Y$5)="",2,0)),0)</f>
        <v>0</v>
      </c>
      <c r="Z943" s="194">
        <f>IFERROR(IF(INDEX([1]Pivot!$AD$1:$BE$65000,$B943,Z$5)=1,1,IF(INDEX([1]Pivot!$B$1:$AB$65000,$B943,Z$5)="",2,0)),0)</f>
        <v>0</v>
      </c>
      <c r="AA943" s="194">
        <f>IFERROR(IF(INDEX([1]Pivot!$AD$1:$BE$65000,$B943,AA$5)=1,1,IF(INDEX([1]Pivot!$B$1:$AB$65000,$B943,AA$5)="",2,0)),0)</f>
        <v>0</v>
      </c>
      <c r="AB943" s="194">
        <f>IFERROR(IF(INDEX([1]Pivot!$AD$1:$BE$65000,$B943,AB$5)=1,1,IF(INDEX([1]Pivot!$B$1:$AB$65000,$B943,AB$5)="",2,0)),0)</f>
        <v>0</v>
      </c>
      <c r="AC943" s="194">
        <f>IFERROR(IF(INDEX([1]Pivot!$AD$1:$BE$65000,$B943,AC$5)=1,1,IF(INDEX([1]Pivot!$B$1:$AB$65000,$B943,AC$5)="",2,0)),0)</f>
        <v>0</v>
      </c>
      <c r="AD943" s="313">
        <f>IFERROR(IF(INDEX([1]Pivot!$BF$1:$CG$65000,$B943,AD$5)=1,1,IF(INDEX([1]Pivot!$B$1:$AB$65000,$B943,AD$5)="",2,0)),0)</f>
        <v>0</v>
      </c>
      <c r="AE943" s="313">
        <f>IFERROR(IF(INDEX([1]Pivot!$BF$1:$CG$65000,$B943,AE$5)=1,1,IF(INDEX([1]Pivot!$B$1:$AB$65000,$B943,AE$5)="",2,0)),0)</f>
        <v>0</v>
      </c>
      <c r="AF943" s="313">
        <f>IFERROR(IF(INDEX([1]Pivot!$BF$1:$CG$65000,$B943,AF$5)=1,1,IF(INDEX([1]Pivot!$B$1:$AB$65000,$B943,AF$5)="",2,0)),0)</f>
        <v>0</v>
      </c>
      <c r="AG943" s="313">
        <f>IFERROR(IF(INDEX([1]Pivot!$BF$1:$CG$65000,$B943,AG$5)=1,1,IF(INDEX([1]Pivot!$B$1:$AB$65000,$B943,AG$5)="",2,0)),0)</f>
        <v>0</v>
      </c>
      <c r="AH943" s="313">
        <f>IFERROR(IF(INDEX([1]Pivot!$BF$1:$CG$65000,$B943,AH$5)=1,1,IF(INDEX([1]Pivot!$B$1:$AB$65000,$B943,AH$5)="",2,0)),0)</f>
        <v>0</v>
      </c>
      <c r="AI943" s="313">
        <f>IFERROR(IF(INDEX([1]Pivot!$BF$1:$CG$65000,$B943,AI$5)=1,1,IF(INDEX([1]Pivot!$B$1:$AB$65000,$B943,AI$5)="",2,0)),0)</f>
        <v>0</v>
      </c>
      <c r="AJ943" s="313">
        <f>IFERROR(IF(INDEX([1]Pivot!$BF$1:$CG$65000,$B943,AJ$5)=1,1,IF(INDEX([1]Pivot!$B$1:$AB$65000,$B943,AJ$5)="",2,0)),0)</f>
        <v>0</v>
      </c>
      <c r="AK943" s="313">
        <f>IFERROR(IF(INDEX([1]Pivot!$BF$1:$CG$65000,$B943,AK$5)=1,1,IF(INDEX([1]Pivot!$B$1:$AB$65000,$B943,AK$5)="",2,0)),0)</f>
        <v>0</v>
      </c>
      <c r="AL943" s="313">
        <f>IFERROR(IF(INDEX([1]Pivot!$BF$1:$CG$65000,$B943,AL$5)=1,1,IF(INDEX([1]Pivot!$B$1:$AB$65000,$B943,AL$5)="",2,0)),0)</f>
        <v>0</v>
      </c>
      <c r="AM943" s="313">
        <f>IFERROR(IF(INDEX([1]Pivot!$BF$1:$CG$65000,$B943,AM$5)=1,1,IF(INDEX([1]Pivot!$B$1:$AB$65000,$B943,AM$5)="",2,0)),0)</f>
        <v>0</v>
      </c>
      <c r="AN943" s="313">
        <f>IFERROR(IF(INDEX([1]Pivot!$BF$1:$CG$65000,$B943,AN$5)=1,1,IF(INDEX([1]Pivot!$B$1:$AB$65000,$B943,AN$5)="",2,0)),0)</f>
        <v>0</v>
      </c>
      <c r="AO943" s="313">
        <f>IFERROR(IF(INDEX([1]Pivot!$BF$1:$CG$65000,$B943,AO$5)=1,1,IF(INDEX([1]Pivot!$B$1:$AB$65000,$B943,AO$5)="",2,0)),0)</f>
        <v>0</v>
      </c>
      <c r="AP943" s="313">
        <f>IFERROR(IF(INDEX([1]Pivot!$BF$1:$CG$65000,$B943,AP$5)=1,1,IF(INDEX([1]Pivot!$B$1:$AB$65000,$B943,AP$5)="",2,0)),0)</f>
        <v>0</v>
      </c>
      <c r="AQ943" s="313">
        <f>IFERROR(IF(INDEX([1]Pivot!$BF$1:$CG$65000,$B943,AQ$5)=1,1,IF(INDEX([1]Pivot!$B$1:$AB$65000,$B943,AQ$5)="",2,0)),0)</f>
        <v>0</v>
      </c>
      <c r="AR943" s="313">
        <f>IFERROR(IF(INDEX([1]Pivot!$BF$1:$CG$65000,$B943,AR$5)=1,1,IF(INDEX([1]Pivot!$B$1:$AB$65000,$B943,AR$5)="",2,0)),0)</f>
        <v>0</v>
      </c>
      <c r="AS943" s="312"/>
      <c r="AT943" s="313">
        <f>IFERROR(IF(INDEX([1]Pivot!$BF$1:$CG$65000,$B943,AT$5)=1,1,IF(INDEX([1]Pivot!$B$1:$AB$65000,$B943,AT$5)="",2,0)),0)</f>
        <v>0</v>
      </c>
      <c r="AU943" s="313">
        <f>IFERROR(IF(INDEX([1]Pivot!$BF$1:$CG$65000,$B943,AU$5)=1,1,IF(INDEX([1]Pivot!$B$1:$AB$65000,$B943,AU$5)="",2,0)),0)</f>
        <v>0</v>
      </c>
      <c r="AV943" s="313">
        <f>IFERROR(IF(INDEX([1]Pivot!$BF$1:$CG$65000,$B943,AV$5)=1,1,IF(INDEX([1]Pivot!$B$1:$AB$65000,$B943,AV$5)="",2,0)),0)</f>
        <v>0</v>
      </c>
      <c r="AW943" s="313">
        <f>IFERROR(IF(INDEX([1]Pivot!$BF$1:$CG$65000,$B943,AW$5)=1,1,IF(INDEX([1]Pivot!$B$1:$AB$65000,$B943,AW$5)="",2,0)),0)</f>
        <v>0</v>
      </c>
      <c r="AX943" s="313">
        <f>IFERROR(IF(INDEX([1]Pivot!$BF$1:$CG$65000,$B943,AX$5)=1,1,IF(INDEX([1]Pivot!$B$1:$AB$65000,$B943,AX$5)="",2,0)),0)</f>
        <v>0</v>
      </c>
      <c r="AY943" s="313">
        <f>IFERROR(IF(INDEX([1]Pivot!$BF$1:$CG$65000,$B943,AY$5)=1,1,IF(INDEX([1]Pivot!$B$1:$AB$65000,$B943,AY$5)="",2,0)),0)</f>
        <v>0</v>
      </c>
      <c r="AZ943" s="313">
        <f>IFERROR(IF(INDEX([1]Pivot!$BF$1:$CG$65000,$B943,AZ$5)=1,1,IF(INDEX([1]Pivot!$B$1:$AB$65000,$B943,AZ$5)="",2,0)),0)</f>
        <v>0</v>
      </c>
      <c r="BA943" s="313">
        <f>IFERROR(IF(INDEX([1]Pivot!$BF$1:$CG$65000,$B943,BA$5)=1,1,IF(INDEX([1]Pivot!$B$1:$AB$65000,$B943,BA$5)="",2,0)),0)</f>
        <v>0</v>
      </c>
      <c r="BB943" s="313">
        <f>IFERROR(IF(INDEX([1]Pivot!$BF$1:$CG$65000,$B943,BB$5)=1,1,IF(INDEX([1]Pivot!$B$1:$AB$65000,$B943,BB$5)="",2,0)),0)</f>
        <v>0</v>
      </c>
      <c r="BC943" s="313">
        <f>IFERROR(IF(INDEX([1]Pivot!$BF$1:$CG$65000,$B943,BC$5)=1,1,IF(INDEX([1]Pivot!$B$1:$AB$65000,$B943,BC$5)="",2,0)),0)</f>
        <v>0</v>
      </c>
      <c r="BD943" s="313">
        <f>IFERROR(IF(INDEX([1]Pivot!$BF$1:$CG$65000,$B943,BD$5)=1,1,IF(INDEX([1]Pivot!$B$1:$AB$65000,$B943,BD$5)="",2,0)),0)</f>
        <v>0</v>
      </c>
    </row>
    <row r="944" spans="1:56" x14ac:dyDescent="0.25">
      <c r="A944" s="288">
        <f>'[2]Raw Milk Prices'!A944</f>
        <v>0</v>
      </c>
      <c r="B944" s="296" t="e">
        <f>MATCH(DATE(LEFT('[2]Raw Milk Prices'!$A944,4),RIGHT('[2]Raw Milk Prices'!$A944,2),1),[1]Pivot!$A$1:$A$65000,0)</f>
        <v>#VALUE!</v>
      </c>
      <c r="C944" s="194">
        <f>IFERROR(IF(INDEX([1]Pivot!$AD$1:$BE$65000,$B944,C$5)=1,1,IF(INDEX([1]Pivot!$B$1:$AB$65000,$B944,C$5)="",2,0)),0)</f>
        <v>0</v>
      </c>
      <c r="D944" s="194">
        <f>IFERROR(IF(INDEX([1]Pivot!$AD$1:$BE$65000,$B944,D$5)=1,1,IF(INDEX([1]Pivot!$B$1:$AB$65000,$B944,D$5)="",2,0)),0)</f>
        <v>0</v>
      </c>
      <c r="E944" s="194">
        <f>IFERROR(IF(INDEX([1]Pivot!$AD$1:$BE$65000,$B944,E$5)=1,1,IF(INDEX([1]Pivot!$B$1:$AB$65000,$B944,E$5)="",2,0)),0)</f>
        <v>0</v>
      </c>
      <c r="F944" s="194">
        <f>IFERROR(IF(INDEX([1]Pivot!$AD$1:$BE$65000,$B944,F$5)=1,1,IF(INDEX([1]Pivot!$B$1:$AB$65000,$B944,F$5)="",2,0)),0)</f>
        <v>0</v>
      </c>
      <c r="G944" s="194">
        <f>IFERROR(IF(INDEX([1]Pivot!$AD$1:$BE$65000,$B944,G$5)=1,1,IF(INDEX([1]Pivot!$B$1:$AB$65000,$B944,G$5)="",2,0)),0)</f>
        <v>0</v>
      </c>
      <c r="H944" s="194">
        <f>IFERROR(IF(INDEX([1]Pivot!$AD$1:$BE$65000,$B944,H$5)=1,1,IF(INDEX([1]Pivot!$B$1:$AB$65000,$B944,H$5)="",2,0)),0)</f>
        <v>0</v>
      </c>
      <c r="I944" s="194">
        <f>IFERROR(IF(INDEX([1]Pivot!$AD$1:$BE$65000,$B944,I$5)=1,1,IF(INDEX([1]Pivot!$B$1:$AB$65000,$B944,I$5)="",2,0)),0)</f>
        <v>0</v>
      </c>
      <c r="J944" s="194">
        <f>IFERROR(IF(INDEX([1]Pivot!$AD$1:$BE$65000,$B944,J$5)=1,1,IF(INDEX([1]Pivot!$B$1:$AB$65000,$B944,J$5)="",2,0)),0)</f>
        <v>0</v>
      </c>
      <c r="K944" s="194">
        <f>IFERROR(IF(INDEX([1]Pivot!$AD$1:$BE$65000,$B944,K$5)=1,1,IF(INDEX([1]Pivot!$B$1:$AB$65000,$B944,K$5)="",2,0)),0)</f>
        <v>0</v>
      </c>
      <c r="L944" s="194">
        <f>IFERROR(IF(INDEX([1]Pivot!$AD$1:$BE$65000,$B944,L$5)=1,1,IF(INDEX([1]Pivot!$B$1:$AB$65000,$B944,L$5)="",2,0)),0)</f>
        <v>0</v>
      </c>
      <c r="M944" s="194">
        <f>IFERROR(IF(INDEX([1]Pivot!$AD$1:$BE$65000,$B944,M$5)=1,1,IF(INDEX([1]Pivot!$B$1:$AB$65000,$B944,M$5)="",2,0)),0)</f>
        <v>0</v>
      </c>
      <c r="N944" s="194">
        <f>IFERROR(IF(INDEX([1]Pivot!$AD$1:$BE$65000,$B944,N$5)=1,1,IF(INDEX([1]Pivot!$B$1:$AB$65000,$B944,N$5)="",2,0)),0)</f>
        <v>0</v>
      </c>
      <c r="O944" s="194">
        <f>IFERROR(IF(INDEX([1]Pivot!$AD$1:$BE$65000,$B944,O$5)=1,1,IF(INDEX([1]Pivot!$B$1:$AB$65000,$B944,O$5)="",2,0)),0)</f>
        <v>0</v>
      </c>
      <c r="P944" s="194">
        <f>IFERROR(IF(INDEX([1]Pivot!$AD$1:$BE$65000,$B944,P$5)=1,1,IF(INDEX([1]Pivot!$B$1:$AB$65000,$B944,P$5)="",2,0)),0)</f>
        <v>0</v>
      </c>
      <c r="Q944" s="194">
        <f>IFERROR(IF(INDEX([1]Pivot!$AD$1:$BE$65000,$B944,Q$5)=1,1,IF(INDEX([1]Pivot!$B$1:$AB$65000,$B944,Q$5)="",2,0)),0)</f>
        <v>0</v>
      </c>
      <c r="R944" s="312"/>
      <c r="S944" s="194">
        <f>IFERROR(IF(INDEX([1]Pivot!$AD$1:$BE$65000,$B944,S$5)=1,1,IF(INDEX([1]Pivot!$B$1:$AB$65000,$B944,S$5)="",2,0)),0)</f>
        <v>0</v>
      </c>
      <c r="T944" s="194">
        <f>IFERROR(IF(INDEX([1]Pivot!$AD$1:$BE$65000,$B944,T$5)=1,1,IF(INDEX([1]Pivot!$B$1:$AB$65000,$B944,T$5)="",2,0)),0)</f>
        <v>0</v>
      </c>
      <c r="U944" s="194">
        <f>IFERROR(IF(INDEX([1]Pivot!$AD$1:$BE$65000,$B944,U$5)=1,1,IF(INDEX([1]Pivot!$B$1:$AB$65000,$B944,U$5)="",2,0)),0)</f>
        <v>0</v>
      </c>
      <c r="V944" s="194">
        <f>IFERROR(IF(INDEX([1]Pivot!$AD$1:$BE$65000,$B944,V$5)=1,1,IF(INDEX([1]Pivot!$B$1:$AB$65000,$B944,V$5)="",2,0)),0)</f>
        <v>0</v>
      </c>
      <c r="W944" s="194">
        <f>IFERROR(IF(INDEX([1]Pivot!$AD$1:$BE$65000,$B944,W$5)=1,1,IF(INDEX([1]Pivot!$B$1:$AB$65000,$B944,W$5)="",2,0)),0)</f>
        <v>0</v>
      </c>
      <c r="X944" s="194">
        <f>IFERROR(IF(INDEX([1]Pivot!$AD$1:$BE$65000,$B944,X$5)=1,1,IF(INDEX([1]Pivot!$B$1:$AB$65000,$B944,X$5)="",2,0)),0)</f>
        <v>0</v>
      </c>
      <c r="Y944" s="194">
        <f>IFERROR(IF(INDEX([1]Pivot!$AD$1:$BE$65000,$B944,Y$5)=1,1,IF(INDEX([1]Pivot!$B$1:$AB$65000,$B944,Y$5)="",2,0)),0)</f>
        <v>0</v>
      </c>
      <c r="Z944" s="194">
        <f>IFERROR(IF(INDEX([1]Pivot!$AD$1:$BE$65000,$B944,Z$5)=1,1,IF(INDEX([1]Pivot!$B$1:$AB$65000,$B944,Z$5)="",2,0)),0)</f>
        <v>0</v>
      </c>
      <c r="AA944" s="194">
        <f>IFERROR(IF(INDEX([1]Pivot!$AD$1:$BE$65000,$B944,AA$5)=1,1,IF(INDEX([1]Pivot!$B$1:$AB$65000,$B944,AA$5)="",2,0)),0)</f>
        <v>0</v>
      </c>
      <c r="AB944" s="194">
        <f>IFERROR(IF(INDEX([1]Pivot!$AD$1:$BE$65000,$B944,AB$5)=1,1,IF(INDEX([1]Pivot!$B$1:$AB$65000,$B944,AB$5)="",2,0)),0)</f>
        <v>0</v>
      </c>
      <c r="AC944" s="194">
        <f>IFERROR(IF(INDEX([1]Pivot!$AD$1:$BE$65000,$B944,AC$5)=1,1,IF(INDEX([1]Pivot!$B$1:$AB$65000,$B944,AC$5)="",2,0)),0)</f>
        <v>0</v>
      </c>
      <c r="AD944" s="313">
        <f>IFERROR(IF(INDEX([1]Pivot!$BF$1:$CG$65000,$B944,AD$5)=1,1,IF(INDEX([1]Pivot!$B$1:$AB$65000,$B944,AD$5)="",2,0)),0)</f>
        <v>0</v>
      </c>
      <c r="AE944" s="313">
        <f>IFERROR(IF(INDEX([1]Pivot!$BF$1:$CG$65000,$B944,AE$5)=1,1,IF(INDEX([1]Pivot!$B$1:$AB$65000,$B944,AE$5)="",2,0)),0)</f>
        <v>0</v>
      </c>
      <c r="AF944" s="313">
        <f>IFERROR(IF(INDEX([1]Pivot!$BF$1:$CG$65000,$B944,AF$5)=1,1,IF(INDEX([1]Pivot!$B$1:$AB$65000,$B944,AF$5)="",2,0)),0)</f>
        <v>0</v>
      </c>
      <c r="AG944" s="313">
        <f>IFERROR(IF(INDEX([1]Pivot!$BF$1:$CG$65000,$B944,AG$5)=1,1,IF(INDEX([1]Pivot!$B$1:$AB$65000,$B944,AG$5)="",2,0)),0)</f>
        <v>0</v>
      </c>
      <c r="AH944" s="313">
        <f>IFERROR(IF(INDEX([1]Pivot!$BF$1:$CG$65000,$B944,AH$5)=1,1,IF(INDEX([1]Pivot!$B$1:$AB$65000,$B944,AH$5)="",2,0)),0)</f>
        <v>0</v>
      </c>
      <c r="AI944" s="313">
        <f>IFERROR(IF(INDEX([1]Pivot!$BF$1:$CG$65000,$B944,AI$5)=1,1,IF(INDEX([1]Pivot!$B$1:$AB$65000,$B944,AI$5)="",2,0)),0)</f>
        <v>0</v>
      </c>
      <c r="AJ944" s="313">
        <f>IFERROR(IF(INDEX([1]Pivot!$BF$1:$CG$65000,$B944,AJ$5)=1,1,IF(INDEX([1]Pivot!$B$1:$AB$65000,$B944,AJ$5)="",2,0)),0)</f>
        <v>0</v>
      </c>
      <c r="AK944" s="313">
        <f>IFERROR(IF(INDEX([1]Pivot!$BF$1:$CG$65000,$B944,AK$5)=1,1,IF(INDEX([1]Pivot!$B$1:$AB$65000,$B944,AK$5)="",2,0)),0)</f>
        <v>0</v>
      </c>
      <c r="AL944" s="313">
        <f>IFERROR(IF(INDEX([1]Pivot!$BF$1:$CG$65000,$B944,AL$5)=1,1,IF(INDEX([1]Pivot!$B$1:$AB$65000,$B944,AL$5)="",2,0)),0)</f>
        <v>0</v>
      </c>
      <c r="AM944" s="313">
        <f>IFERROR(IF(INDEX([1]Pivot!$BF$1:$CG$65000,$B944,AM$5)=1,1,IF(INDEX([1]Pivot!$B$1:$AB$65000,$B944,AM$5)="",2,0)),0)</f>
        <v>0</v>
      </c>
      <c r="AN944" s="313">
        <f>IFERROR(IF(INDEX([1]Pivot!$BF$1:$CG$65000,$B944,AN$5)=1,1,IF(INDEX([1]Pivot!$B$1:$AB$65000,$B944,AN$5)="",2,0)),0)</f>
        <v>0</v>
      </c>
      <c r="AO944" s="313">
        <f>IFERROR(IF(INDEX([1]Pivot!$BF$1:$CG$65000,$B944,AO$5)=1,1,IF(INDEX([1]Pivot!$B$1:$AB$65000,$B944,AO$5)="",2,0)),0)</f>
        <v>0</v>
      </c>
      <c r="AP944" s="313">
        <f>IFERROR(IF(INDEX([1]Pivot!$BF$1:$CG$65000,$B944,AP$5)=1,1,IF(INDEX([1]Pivot!$B$1:$AB$65000,$B944,AP$5)="",2,0)),0)</f>
        <v>0</v>
      </c>
      <c r="AQ944" s="313">
        <f>IFERROR(IF(INDEX([1]Pivot!$BF$1:$CG$65000,$B944,AQ$5)=1,1,IF(INDEX([1]Pivot!$B$1:$AB$65000,$B944,AQ$5)="",2,0)),0)</f>
        <v>0</v>
      </c>
      <c r="AR944" s="313">
        <f>IFERROR(IF(INDEX([1]Pivot!$BF$1:$CG$65000,$B944,AR$5)=1,1,IF(INDEX([1]Pivot!$B$1:$AB$65000,$B944,AR$5)="",2,0)),0)</f>
        <v>0</v>
      </c>
      <c r="AS944" s="312"/>
      <c r="AT944" s="313">
        <f>IFERROR(IF(INDEX([1]Pivot!$BF$1:$CG$65000,$B944,AT$5)=1,1,IF(INDEX([1]Pivot!$B$1:$AB$65000,$B944,AT$5)="",2,0)),0)</f>
        <v>0</v>
      </c>
      <c r="AU944" s="313">
        <f>IFERROR(IF(INDEX([1]Pivot!$BF$1:$CG$65000,$B944,AU$5)=1,1,IF(INDEX([1]Pivot!$B$1:$AB$65000,$B944,AU$5)="",2,0)),0)</f>
        <v>0</v>
      </c>
      <c r="AV944" s="313">
        <f>IFERROR(IF(INDEX([1]Pivot!$BF$1:$CG$65000,$B944,AV$5)=1,1,IF(INDEX([1]Pivot!$B$1:$AB$65000,$B944,AV$5)="",2,0)),0)</f>
        <v>0</v>
      </c>
      <c r="AW944" s="313">
        <f>IFERROR(IF(INDEX([1]Pivot!$BF$1:$CG$65000,$B944,AW$5)=1,1,IF(INDEX([1]Pivot!$B$1:$AB$65000,$B944,AW$5)="",2,0)),0)</f>
        <v>0</v>
      </c>
      <c r="AX944" s="313">
        <f>IFERROR(IF(INDEX([1]Pivot!$BF$1:$CG$65000,$B944,AX$5)=1,1,IF(INDEX([1]Pivot!$B$1:$AB$65000,$B944,AX$5)="",2,0)),0)</f>
        <v>0</v>
      </c>
      <c r="AY944" s="313">
        <f>IFERROR(IF(INDEX([1]Pivot!$BF$1:$CG$65000,$B944,AY$5)=1,1,IF(INDEX([1]Pivot!$B$1:$AB$65000,$B944,AY$5)="",2,0)),0)</f>
        <v>0</v>
      </c>
      <c r="AZ944" s="313">
        <f>IFERROR(IF(INDEX([1]Pivot!$BF$1:$CG$65000,$B944,AZ$5)=1,1,IF(INDEX([1]Pivot!$B$1:$AB$65000,$B944,AZ$5)="",2,0)),0)</f>
        <v>0</v>
      </c>
      <c r="BA944" s="313">
        <f>IFERROR(IF(INDEX([1]Pivot!$BF$1:$CG$65000,$B944,BA$5)=1,1,IF(INDEX([1]Pivot!$B$1:$AB$65000,$B944,BA$5)="",2,0)),0)</f>
        <v>0</v>
      </c>
      <c r="BB944" s="313">
        <f>IFERROR(IF(INDEX([1]Pivot!$BF$1:$CG$65000,$B944,BB$5)=1,1,IF(INDEX([1]Pivot!$B$1:$AB$65000,$B944,BB$5)="",2,0)),0)</f>
        <v>0</v>
      </c>
      <c r="BC944" s="313">
        <f>IFERROR(IF(INDEX([1]Pivot!$BF$1:$CG$65000,$B944,BC$5)=1,1,IF(INDEX([1]Pivot!$B$1:$AB$65000,$B944,BC$5)="",2,0)),0)</f>
        <v>0</v>
      </c>
      <c r="BD944" s="313">
        <f>IFERROR(IF(INDEX([1]Pivot!$BF$1:$CG$65000,$B944,BD$5)=1,1,IF(INDEX([1]Pivot!$B$1:$AB$65000,$B944,BD$5)="",2,0)),0)</f>
        <v>0</v>
      </c>
    </row>
    <row r="945" spans="1:56" x14ac:dyDescent="0.25">
      <c r="A945" s="288">
        <f>'[2]Raw Milk Prices'!A945</f>
        <v>0</v>
      </c>
      <c r="B945" s="296" t="e">
        <f>MATCH(DATE(LEFT('[2]Raw Milk Prices'!$A945,4),RIGHT('[2]Raw Milk Prices'!$A945,2),1),[1]Pivot!$A$1:$A$65000,0)</f>
        <v>#VALUE!</v>
      </c>
      <c r="C945" s="194">
        <f>IFERROR(IF(INDEX([1]Pivot!$AD$1:$BE$65000,$B945,C$5)=1,1,IF(INDEX([1]Pivot!$B$1:$AB$65000,$B945,C$5)="",2,0)),0)</f>
        <v>0</v>
      </c>
      <c r="D945" s="194">
        <f>IFERROR(IF(INDEX([1]Pivot!$AD$1:$BE$65000,$B945,D$5)=1,1,IF(INDEX([1]Pivot!$B$1:$AB$65000,$B945,D$5)="",2,0)),0)</f>
        <v>0</v>
      </c>
      <c r="E945" s="194">
        <f>IFERROR(IF(INDEX([1]Pivot!$AD$1:$BE$65000,$B945,E$5)=1,1,IF(INDEX([1]Pivot!$B$1:$AB$65000,$B945,E$5)="",2,0)),0)</f>
        <v>0</v>
      </c>
      <c r="F945" s="194">
        <f>IFERROR(IF(INDEX([1]Pivot!$AD$1:$BE$65000,$B945,F$5)=1,1,IF(INDEX([1]Pivot!$B$1:$AB$65000,$B945,F$5)="",2,0)),0)</f>
        <v>0</v>
      </c>
      <c r="G945" s="194">
        <f>IFERROR(IF(INDEX([1]Pivot!$AD$1:$BE$65000,$B945,G$5)=1,1,IF(INDEX([1]Pivot!$B$1:$AB$65000,$B945,G$5)="",2,0)),0)</f>
        <v>0</v>
      </c>
      <c r="H945" s="194">
        <f>IFERROR(IF(INDEX([1]Pivot!$AD$1:$BE$65000,$B945,H$5)=1,1,IF(INDEX([1]Pivot!$B$1:$AB$65000,$B945,H$5)="",2,0)),0)</f>
        <v>0</v>
      </c>
      <c r="I945" s="194">
        <f>IFERROR(IF(INDEX([1]Pivot!$AD$1:$BE$65000,$B945,I$5)=1,1,IF(INDEX([1]Pivot!$B$1:$AB$65000,$B945,I$5)="",2,0)),0)</f>
        <v>0</v>
      </c>
      <c r="J945" s="194">
        <f>IFERROR(IF(INDEX([1]Pivot!$AD$1:$BE$65000,$B945,J$5)=1,1,IF(INDEX([1]Pivot!$B$1:$AB$65000,$B945,J$5)="",2,0)),0)</f>
        <v>0</v>
      </c>
      <c r="K945" s="194">
        <f>IFERROR(IF(INDEX([1]Pivot!$AD$1:$BE$65000,$B945,K$5)=1,1,IF(INDEX([1]Pivot!$B$1:$AB$65000,$B945,K$5)="",2,0)),0)</f>
        <v>0</v>
      </c>
      <c r="L945" s="194">
        <f>IFERROR(IF(INDEX([1]Pivot!$AD$1:$BE$65000,$B945,L$5)=1,1,IF(INDEX([1]Pivot!$B$1:$AB$65000,$B945,L$5)="",2,0)),0)</f>
        <v>0</v>
      </c>
      <c r="M945" s="194">
        <f>IFERROR(IF(INDEX([1]Pivot!$AD$1:$BE$65000,$B945,M$5)=1,1,IF(INDEX([1]Pivot!$B$1:$AB$65000,$B945,M$5)="",2,0)),0)</f>
        <v>0</v>
      </c>
      <c r="N945" s="194">
        <f>IFERROR(IF(INDEX([1]Pivot!$AD$1:$BE$65000,$B945,N$5)=1,1,IF(INDEX([1]Pivot!$B$1:$AB$65000,$B945,N$5)="",2,0)),0)</f>
        <v>0</v>
      </c>
      <c r="O945" s="194">
        <f>IFERROR(IF(INDEX([1]Pivot!$AD$1:$BE$65000,$B945,O$5)=1,1,IF(INDEX([1]Pivot!$B$1:$AB$65000,$B945,O$5)="",2,0)),0)</f>
        <v>0</v>
      </c>
      <c r="P945" s="194">
        <f>IFERROR(IF(INDEX([1]Pivot!$AD$1:$BE$65000,$B945,P$5)=1,1,IF(INDEX([1]Pivot!$B$1:$AB$65000,$B945,P$5)="",2,0)),0)</f>
        <v>0</v>
      </c>
      <c r="Q945" s="194">
        <f>IFERROR(IF(INDEX([1]Pivot!$AD$1:$BE$65000,$B945,Q$5)=1,1,IF(INDEX([1]Pivot!$B$1:$AB$65000,$B945,Q$5)="",2,0)),0)</f>
        <v>0</v>
      </c>
      <c r="R945" s="312"/>
      <c r="S945" s="194">
        <f>IFERROR(IF(INDEX([1]Pivot!$AD$1:$BE$65000,$B945,S$5)=1,1,IF(INDEX([1]Pivot!$B$1:$AB$65000,$B945,S$5)="",2,0)),0)</f>
        <v>0</v>
      </c>
      <c r="T945" s="194">
        <f>IFERROR(IF(INDEX([1]Pivot!$AD$1:$BE$65000,$B945,T$5)=1,1,IF(INDEX([1]Pivot!$B$1:$AB$65000,$B945,T$5)="",2,0)),0)</f>
        <v>0</v>
      </c>
      <c r="U945" s="194">
        <f>IFERROR(IF(INDEX([1]Pivot!$AD$1:$BE$65000,$B945,U$5)=1,1,IF(INDEX([1]Pivot!$B$1:$AB$65000,$B945,U$5)="",2,0)),0)</f>
        <v>0</v>
      </c>
      <c r="V945" s="194">
        <f>IFERROR(IF(INDEX([1]Pivot!$AD$1:$BE$65000,$B945,V$5)=1,1,IF(INDEX([1]Pivot!$B$1:$AB$65000,$B945,V$5)="",2,0)),0)</f>
        <v>0</v>
      </c>
      <c r="W945" s="194">
        <f>IFERROR(IF(INDEX([1]Pivot!$AD$1:$BE$65000,$B945,W$5)=1,1,IF(INDEX([1]Pivot!$B$1:$AB$65000,$B945,W$5)="",2,0)),0)</f>
        <v>0</v>
      </c>
      <c r="X945" s="194">
        <f>IFERROR(IF(INDEX([1]Pivot!$AD$1:$BE$65000,$B945,X$5)=1,1,IF(INDEX([1]Pivot!$B$1:$AB$65000,$B945,X$5)="",2,0)),0)</f>
        <v>0</v>
      </c>
      <c r="Y945" s="194">
        <f>IFERROR(IF(INDEX([1]Pivot!$AD$1:$BE$65000,$B945,Y$5)=1,1,IF(INDEX([1]Pivot!$B$1:$AB$65000,$B945,Y$5)="",2,0)),0)</f>
        <v>0</v>
      </c>
      <c r="Z945" s="194">
        <f>IFERROR(IF(INDEX([1]Pivot!$AD$1:$BE$65000,$B945,Z$5)=1,1,IF(INDEX([1]Pivot!$B$1:$AB$65000,$B945,Z$5)="",2,0)),0)</f>
        <v>0</v>
      </c>
      <c r="AA945" s="194">
        <f>IFERROR(IF(INDEX([1]Pivot!$AD$1:$BE$65000,$B945,AA$5)=1,1,IF(INDEX([1]Pivot!$B$1:$AB$65000,$B945,AA$5)="",2,0)),0)</f>
        <v>0</v>
      </c>
      <c r="AB945" s="194">
        <f>IFERROR(IF(INDEX([1]Pivot!$AD$1:$BE$65000,$B945,AB$5)=1,1,IF(INDEX([1]Pivot!$B$1:$AB$65000,$B945,AB$5)="",2,0)),0)</f>
        <v>0</v>
      </c>
      <c r="AC945" s="194">
        <f>IFERROR(IF(INDEX([1]Pivot!$AD$1:$BE$65000,$B945,AC$5)=1,1,IF(INDEX([1]Pivot!$B$1:$AB$65000,$B945,AC$5)="",2,0)),0)</f>
        <v>0</v>
      </c>
      <c r="AD945" s="313">
        <f>IFERROR(IF(INDEX([1]Pivot!$BF$1:$CG$65000,$B945,AD$5)=1,1,IF(INDEX([1]Pivot!$B$1:$AB$65000,$B945,AD$5)="",2,0)),0)</f>
        <v>0</v>
      </c>
      <c r="AE945" s="313">
        <f>IFERROR(IF(INDEX([1]Pivot!$BF$1:$CG$65000,$B945,AE$5)=1,1,IF(INDEX([1]Pivot!$B$1:$AB$65000,$B945,AE$5)="",2,0)),0)</f>
        <v>0</v>
      </c>
      <c r="AF945" s="313">
        <f>IFERROR(IF(INDEX([1]Pivot!$BF$1:$CG$65000,$B945,AF$5)=1,1,IF(INDEX([1]Pivot!$B$1:$AB$65000,$B945,AF$5)="",2,0)),0)</f>
        <v>0</v>
      </c>
      <c r="AG945" s="313">
        <f>IFERROR(IF(INDEX([1]Pivot!$BF$1:$CG$65000,$B945,AG$5)=1,1,IF(INDEX([1]Pivot!$B$1:$AB$65000,$B945,AG$5)="",2,0)),0)</f>
        <v>0</v>
      </c>
      <c r="AH945" s="313">
        <f>IFERROR(IF(INDEX([1]Pivot!$BF$1:$CG$65000,$B945,AH$5)=1,1,IF(INDEX([1]Pivot!$B$1:$AB$65000,$B945,AH$5)="",2,0)),0)</f>
        <v>0</v>
      </c>
      <c r="AI945" s="313">
        <f>IFERROR(IF(INDEX([1]Pivot!$BF$1:$CG$65000,$B945,AI$5)=1,1,IF(INDEX([1]Pivot!$B$1:$AB$65000,$B945,AI$5)="",2,0)),0)</f>
        <v>0</v>
      </c>
      <c r="AJ945" s="313">
        <f>IFERROR(IF(INDEX([1]Pivot!$BF$1:$CG$65000,$B945,AJ$5)=1,1,IF(INDEX([1]Pivot!$B$1:$AB$65000,$B945,AJ$5)="",2,0)),0)</f>
        <v>0</v>
      </c>
      <c r="AK945" s="313">
        <f>IFERROR(IF(INDEX([1]Pivot!$BF$1:$CG$65000,$B945,AK$5)=1,1,IF(INDEX([1]Pivot!$B$1:$AB$65000,$B945,AK$5)="",2,0)),0)</f>
        <v>0</v>
      </c>
      <c r="AL945" s="313">
        <f>IFERROR(IF(INDEX([1]Pivot!$BF$1:$CG$65000,$B945,AL$5)=1,1,IF(INDEX([1]Pivot!$B$1:$AB$65000,$B945,AL$5)="",2,0)),0)</f>
        <v>0</v>
      </c>
      <c r="AM945" s="313">
        <f>IFERROR(IF(INDEX([1]Pivot!$BF$1:$CG$65000,$B945,AM$5)=1,1,IF(INDEX([1]Pivot!$B$1:$AB$65000,$B945,AM$5)="",2,0)),0)</f>
        <v>0</v>
      </c>
      <c r="AN945" s="313">
        <f>IFERROR(IF(INDEX([1]Pivot!$BF$1:$CG$65000,$B945,AN$5)=1,1,IF(INDEX([1]Pivot!$B$1:$AB$65000,$B945,AN$5)="",2,0)),0)</f>
        <v>0</v>
      </c>
      <c r="AO945" s="313">
        <f>IFERROR(IF(INDEX([1]Pivot!$BF$1:$CG$65000,$B945,AO$5)=1,1,IF(INDEX([1]Pivot!$B$1:$AB$65000,$B945,AO$5)="",2,0)),0)</f>
        <v>0</v>
      </c>
      <c r="AP945" s="313">
        <f>IFERROR(IF(INDEX([1]Pivot!$BF$1:$CG$65000,$B945,AP$5)=1,1,IF(INDEX([1]Pivot!$B$1:$AB$65000,$B945,AP$5)="",2,0)),0)</f>
        <v>0</v>
      </c>
      <c r="AQ945" s="313">
        <f>IFERROR(IF(INDEX([1]Pivot!$BF$1:$CG$65000,$B945,AQ$5)=1,1,IF(INDEX([1]Pivot!$B$1:$AB$65000,$B945,AQ$5)="",2,0)),0)</f>
        <v>0</v>
      </c>
      <c r="AR945" s="313">
        <f>IFERROR(IF(INDEX([1]Pivot!$BF$1:$CG$65000,$B945,AR$5)=1,1,IF(INDEX([1]Pivot!$B$1:$AB$65000,$B945,AR$5)="",2,0)),0)</f>
        <v>0</v>
      </c>
      <c r="AS945" s="312"/>
      <c r="AT945" s="313">
        <f>IFERROR(IF(INDEX([1]Pivot!$BF$1:$CG$65000,$B945,AT$5)=1,1,IF(INDEX([1]Pivot!$B$1:$AB$65000,$B945,AT$5)="",2,0)),0)</f>
        <v>0</v>
      </c>
      <c r="AU945" s="313">
        <f>IFERROR(IF(INDEX([1]Pivot!$BF$1:$CG$65000,$B945,AU$5)=1,1,IF(INDEX([1]Pivot!$B$1:$AB$65000,$B945,AU$5)="",2,0)),0)</f>
        <v>0</v>
      </c>
      <c r="AV945" s="313">
        <f>IFERROR(IF(INDEX([1]Pivot!$BF$1:$CG$65000,$B945,AV$5)=1,1,IF(INDEX([1]Pivot!$B$1:$AB$65000,$B945,AV$5)="",2,0)),0)</f>
        <v>0</v>
      </c>
      <c r="AW945" s="313">
        <f>IFERROR(IF(INDEX([1]Pivot!$BF$1:$CG$65000,$B945,AW$5)=1,1,IF(INDEX([1]Pivot!$B$1:$AB$65000,$B945,AW$5)="",2,0)),0)</f>
        <v>0</v>
      </c>
      <c r="AX945" s="313">
        <f>IFERROR(IF(INDEX([1]Pivot!$BF$1:$CG$65000,$B945,AX$5)=1,1,IF(INDEX([1]Pivot!$B$1:$AB$65000,$B945,AX$5)="",2,0)),0)</f>
        <v>0</v>
      </c>
      <c r="AY945" s="313">
        <f>IFERROR(IF(INDEX([1]Pivot!$BF$1:$CG$65000,$B945,AY$5)=1,1,IF(INDEX([1]Pivot!$B$1:$AB$65000,$B945,AY$5)="",2,0)),0)</f>
        <v>0</v>
      </c>
      <c r="AZ945" s="313">
        <f>IFERROR(IF(INDEX([1]Pivot!$BF$1:$CG$65000,$B945,AZ$5)=1,1,IF(INDEX([1]Pivot!$B$1:$AB$65000,$B945,AZ$5)="",2,0)),0)</f>
        <v>0</v>
      </c>
      <c r="BA945" s="313">
        <f>IFERROR(IF(INDEX([1]Pivot!$BF$1:$CG$65000,$B945,BA$5)=1,1,IF(INDEX([1]Pivot!$B$1:$AB$65000,$B945,BA$5)="",2,0)),0)</f>
        <v>0</v>
      </c>
      <c r="BB945" s="313">
        <f>IFERROR(IF(INDEX([1]Pivot!$BF$1:$CG$65000,$B945,BB$5)=1,1,IF(INDEX([1]Pivot!$B$1:$AB$65000,$B945,BB$5)="",2,0)),0)</f>
        <v>0</v>
      </c>
      <c r="BC945" s="313">
        <f>IFERROR(IF(INDEX([1]Pivot!$BF$1:$CG$65000,$B945,BC$5)=1,1,IF(INDEX([1]Pivot!$B$1:$AB$65000,$B945,BC$5)="",2,0)),0)</f>
        <v>0</v>
      </c>
      <c r="BD945" s="313">
        <f>IFERROR(IF(INDEX([1]Pivot!$BF$1:$CG$65000,$B945,BD$5)=1,1,IF(INDEX([1]Pivot!$B$1:$AB$65000,$B945,BD$5)="",2,0)),0)</f>
        <v>0</v>
      </c>
    </row>
    <row r="946" spans="1:56" x14ac:dyDescent="0.25">
      <c r="A946" s="288">
        <f>'[2]Raw Milk Prices'!A946</f>
        <v>0</v>
      </c>
      <c r="B946" s="296" t="e">
        <f>MATCH(DATE(LEFT('[2]Raw Milk Prices'!$A946,4),RIGHT('[2]Raw Milk Prices'!$A946,2),1),[1]Pivot!$A$1:$A$65000,0)</f>
        <v>#VALUE!</v>
      </c>
      <c r="C946" s="194">
        <f>IFERROR(IF(INDEX([1]Pivot!$AD$1:$BE$65000,$B946,C$5)=1,1,IF(INDEX([1]Pivot!$B$1:$AB$65000,$B946,C$5)="",2,0)),0)</f>
        <v>0</v>
      </c>
      <c r="D946" s="194">
        <f>IFERROR(IF(INDEX([1]Pivot!$AD$1:$BE$65000,$B946,D$5)=1,1,IF(INDEX([1]Pivot!$B$1:$AB$65000,$B946,D$5)="",2,0)),0)</f>
        <v>0</v>
      </c>
      <c r="E946" s="194">
        <f>IFERROR(IF(INDEX([1]Pivot!$AD$1:$BE$65000,$B946,E$5)=1,1,IF(INDEX([1]Pivot!$B$1:$AB$65000,$B946,E$5)="",2,0)),0)</f>
        <v>0</v>
      </c>
      <c r="F946" s="194">
        <f>IFERROR(IF(INDEX([1]Pivot!$AD$1:$BE$65000,$B946,F$5)=1,1,IF(INDEX([1]Pivot!$B$1:$AB$65000,$B946,F$5)="",2,0)),0)</f>
        <v>0</v>
      </c>
      <c r="G946" s="194">
        <f>IFERROR(IF(INDEX([1]Pivot!$AD$1:$BE$65000,$B946,G$5)=1,1,IF(INDEX([1]Pivot!$B$1:$AB$65000,$B946,G$5)="",2,0)),0)</f>
        <v>0</v>
      </c>
      <c r="H946" s="194">
        <f>IFERROR(IF(INDEX([1]Pivot!$AD$1:$BE$65000,$B946,H$5)=1,1,IF(INDEX([1]Pivot!$B$1:$AB$65000,$B946,H$5)="",2,0)),0)</f>
        <v>0</v>
      </c>
      <c r="I946" s="194">
        <f>IFERROR(IF(INDEX([1]Pivot!$AD$1:$BE$65000,$B946,I$5)=1,1,IF(INDEX([1]Pivot!$B$1:$AB$65000,$B946,I$5)="",2,0)),0)</f>
        <v>0</v>
      </c>
      <c r="J946" s="194">
        <f>IFERROR(IF(INDEX([1]Pivot!$AD$1:$BE$65000,$B946,J$5)=1,1,IF(INDEX([1]Pivot!$B$1:$AB$65000,$B946,J$5)="",2,0)),0)</f>
        <v>0</v>
      </c>
      <c r="K946" s="194">
        <f>IFERROR(IF(INDEX([1]Pivot!$AD$1:$BE$65000,$B946,K$5)=1,1,IF(INDEX([1]Pivot!$B$1:$AB$65000,$B946,K$5)="",2,0)),0)</f>
        <v>0</v>
      </c>
      <c r="L946" s="194">
        <f>IFERROR(IF(INDEX([1]Pivot!$AD$1:$BE$65000,$B946,L$5)=1,1,IF(INDEX([1]Pivot!$B$1:$AB$65000,$B946,L$5)="",2,0)),0)</f>
        <v>0</v>
      </c>
      <c r="M946" s="194">
        <f>IFERROR(IF(INDEX([1]Pivot!$AD$1:$BE$65000,$B946,M$5)=1,1,IF(INDEX([1]Pivot!$B$1:$AB$65000,$B946,M$5)="",2,0)),0)</f>
        <v>0</v>
      </c>
      <c r="N946" s="194">
        <f>IFERROR(IF(INDEX([1]Pivot!$AD$1:$BE$65000,$B946,N$5)=1,1,IF(INDEX([1]Pivot!$B$1:$AB$65000,$B946,N$5)="",2,0)),0)</f>
        <v>0</v>
      </c>
      <c r="O946" s="194">
        <f>IFERROR(IF(INDEX([1]Pivot!$AD$1:$BE$65000,$B946,O$5)=1,1,IF(INDEX([1]Pivot!$B$1:$AB$65000,$B946,O$5)="",2,0)),0)</f>
        <v>0</v>
      </c>
      <c r="P946" s="194">
        <f>IFERROR(IF(INDEX([1]Pivot!$AD$1:$BE$65000,$B946,P$5)=1,1,IF(INDEX([1]Pivot!$B$1:$AB$65000,$B946,P$5)="",2,0)),0)</f>
        <v>0</v>
      </c>
      <c r="Q946" s="194">
        <f>IFERROR(IF(INDEX([1]Pivot!$AD$1:$BE$65000,$B946,Q$5)=1,1,IF(INDEX([1]Pivot!$B$1:$AB$65000,$B946,Q$5)="",2,0)),0)</f>
        <v>0</v>
      </c>
      <c r="R946" s="312"/>
      <c r="S946" s="194">
        <f>IFERROR(IF(INDEX([1]Pivot!$AD$1:$BE$65000,$B946,S$5)=1,1,IF(INDEX([1]Pivot!$B$1:$AB$65000,$B946,S$5)="",2,0)),0)</f>
        <v>0</v>
      </c>
      <c r="T946" s="194">
        <f>IFERROR(IF(INDEX([1]Pivot!$AD$1:$BE$65000,$B946,T$5)=1,1,IF(INDEX([1]Pivot!$B$1:$AB$65000,$B946,T$5)="",2,0)),0)</f>
        <v>0</v>
      </c>
      <c r="U946" s="194">
        <f>IFERROR(IF(INDEX([1]Pivot!$AD$1:$BE$65000,$B946,U$5)=1,1,IF(INDEX([1]Pivot!$B$1:$AB$65000,$B946,U$5)="",2,0)),0)</f>
        <v>0</v>
      </c>
      <c r="V946" s="194">
        <f>IFERROR(IF(INDEX([1]Pivot!$AD$1:$BE$65000,$B946,V$5)=1,1,IF(INDEX([1]Pivot!$B$1:$AB$65000,$B946,V$5)="",2,0)),0)</f>
        <v>0</v>
      </c>
      <c r="W946" s="194">
        <f>IFERROR(IF(INDEX([1]Pivot!$AD$1:$BE$65000,$B946,W$5)=1,1,IF(INDEX([1]Pivot!$B$1:$AB$65000,$B946,W$5)="",2,0)),0)</f>
        <v>0</v>
      </c>
      <c r="X946" s="194">
        <f>IFERROR(IF(INDEX([1]Pivot!$AD$1:$BE$65000,$B946,X$5)=1,1,IF(INDEX([1]Pivot!$B$1:$AB$65000,$B946,X$5)="",2,0)),0)</f>
        <v>0</v>
      </c>
      <c r="Y946" s="194">
        <f>IFERROR(IF(INDEX([1]Pivot!$AD$1:$BE$65000,$B946,Y$5)=1,1,IF(INDEX([1]Pivot!$B$1:$AB$65000,$B946,Y$5)="",2,0)),0)</f>
        <v>0</v>
      </c>
      <c r="Z946" s="194">
        <f>IFERROR(IF(INDEX([1]Pivot!$AD$1:$BE$65000,$B946,Z$5)=1,1,IF(INDEX([1]Pivot!$B$1:$AB$65000,$B946,Z$5)="",2,0)),0)</f>
        <v>0</v>
      </c>
      <c r="AA946" s="194">
        <f>IFERROR(IF(INDEX([1]Pivot!$AD$1:$BE$65000,$B946,AA$5)=1,1,IF(INDEX([1]Pivot!$B$1:$AB$65000,$B946,AA$5)="",2,0)),0)</f>
        <v>0</v>
      </c>
      <c r="AB946" s="194">
        <f>IFERROR(IF(INDEX([1]Pivot!$AD$1:$BE$65000,$B946,AB$5)=1,1,IF(INDEX([1]Pivot!$B$1:$AB$65000,$B946,AB$5)="",2,0)),0)</f>
        <v>0</v>
      </c>
      <c r="AC946" s="194">
        <f>IFERROR(IF(INDEX([1]Pivot!$AD$1:$BE$65000,$B946,AC$5)=1,1,IF(INDEX([1]Pivot!$B$1:$AB$65000,$B946,AC$5)="",2,0)),0)</f>
        <v>0</v>
      </c>
      <c r="AD946" s="313">
        <f>IFERROR(IF(INDEX([1]Pivot!$BF$1:$CG$65000,$B946,AD$5)=1,1,IF(INDEX([1]Pivot!$B$1:$AB$65000,$B946,AD$5)="",2,0)),0)</f>
        <v>0</v>
      </c>
      <c r="AE946" s="313">
        <f>IFERROR(IF(INDEX([1]Pivot!$BF$1:$CG$65000,$B946,AE$5)=1,1,IF(INDEX([1]Pivot!$B$1:$AB$65000,$B946,AE$5)="",2,0)),0)</f>
        <v>0</v>
      </c>
      <c r="AF946" s="313">
        <f>IFERROR(IF(INDEX([1]Pivot!$BF$1:$CG$65000,$B946,AF$5)=1,1,IF(INDEX([1]Pivot!$B$1:$AB$65000,$B946,AF$5)="",2,0)),0)</f>
        <v>0</v>
      </c>
      <c r="AG946" s="313">
        <f>IFERROR(IF(INDEX([1]Pivot!$BF$1:$CG$65000,$B946,AG$5)=1,1,IF(INDEX([1]Pivot!$B$1:$AB$65000,$B946,AG$5)="",2,0)),0)</f>
        <v>0</v>
      </c>
      <c r="AH946" s="313">
        <f>IFERROR(IF(INDEX([1]Pivot!$BF$1:$CG$65000,$B946,AH$5)=1,1,IF(INDEX([1]Pivot!$B$1:$AB$65000,$B946,AH$5)="",2,0)),0)</f>
        <v>0</v>
      </c>
      <c r="AI946" s="313">
        <f>IFERROR(IF(INDEX([1]Pivot!$BF$1:$CG$65000,$B946,AI$5)=1,1,IF(INDEX([1]Pivot!$B$1:$AB$65000,$B946,AI$5)="",2,0)),0)</f>
        <v>0</v>
      </c>
      <c r="AJ946" s="313">
        <f>IFERROR(IF(INDEX([1]Pivot!$BF$1:$CG$65000,$B946,AJ$5)=1,1,IF(INDEX([1]Pivot!$B$1:$AB$65000,$B946,AJ$5)="",2,0)),0)</f>
        <v>0</v>
      </c>
      <c r="AK946" s="313">
        <f>IFERROR(IF(INDEX([1]Pivot!$BF$1:$CG$65000,$B946,AK$5)=1,1,IF(INDEX([1]Pivot!$B$1:$AB$65000,$B946,AK$5)="",2,0)),0)</f>
        <v>0</v>
      </c>
      <c r="AL946" s="313">
        <f>IFERROR(IF(INDEX([1]Pivot!$BF$1:$CG$65000,$B946,AL$5)=1,1,IF(INDEX([1]Pivot!$B$1:$AB$65000,$B946,AL$5)="",2,0)),0)</f>
        <v>0</v>
      </c>
      <c r="AM946" s="313">
        <f>IFERROR(IF(INDEX([1]Pivot!$BF$1:$CG$65000,$B946,AM$5)=1,1,IF(INDEX([1]Pivot!$B$1:$AB$65000,$B946,AM$5)="",2,0)),0)</f>
        <v>0</v>
      </c>
      <c r="AN946" s="313">
        <f>IFERROR(IF(INDEX([1]Pivot!$BF$1:$CG$65000,$B946,AN$5)=1,1,IF(INDEX([1]Pivot!$B$1:$AB$65000,$B946,AN$5)="",2,0)),0)</f>
        <v>0</v>
      </c>
      <c r="AO946" s="313">
        <f>IFERROR(IF(INDEX([1]Pivot!$BF$1:$CG$65000,$B946,AO$5)=1,1,IF(INDEX([1]Pivot!$B$1:$AB$65000,$B946,AO$5)="",2,0)),0)</f>
        <v>0</v>
      </c>
      <c r="AP946" s="313">
        <f>IFERROR(IF(INDEX([1]Pivot!$BF$1:$CG$65000,$B946,AP$5)=1,1,IF(INDEX([1]Pivot!$B$1:$AB$65000,$B946,AP$5)="",2,0)),0)</f>
        <v>0</v>
      </c>
      <c r="AQ946" s="313">
        <f>IFERROR(IF(INDEX([1]Pivot!$BF$1:$CG$65000,$B946,AQ$5)=1,1,IF(INDEX([1]Pivot!$B$1:$AB$65000,$B946,AQ$5)="",2,0)),0)</f>
        <v>0</v>
      </c>
      <c r="AR946" s="313">
        <f>IFERROR(IF(INDEX([1]Pivot!$BF$1:$CG$65000,$B946,AR$5)=1,1,IF(INDEX([1]Pivot!$B$1:$AB$65000,$B946,AR$5)="",2,0)),0)</f>
        <v>0</v>
      </c>
      <c r="AS946" s="312"/>
      <c r="AT946" s="313">
        <f>IFERROR(IF(INDEX([1]Pivot!$BF$1:$CG$65000,$B946,AT$5)=1,1,IF(INDEX([1]Pivot!$B$1:$AB$65000,$B946,AT$5)="",2,0)),0)</f>
        <v>0</v>
      </c>
      <c r="AU946" s="313">
        <f>IFERROR(IF(INDEX([1]Pivot!$BF$1:$CG$65000,$B946,AU$5)=1,1,IF(INDEX([1]Pivot!$B$1:$AB$65000,$B946,AU$5)="",2,0)),0)</f>
        <v>0</v>
      </c>
      <c r="AV946" s="313">
        <f>IFERROR(IF(INDEX([1]Pivot!$BF$1:$CG$65000,$B946,AV$5)=1,1,IF(INDEX([1]Pivot!$B$1:$AB$65000,$B946,AV$5)="",2,0)),0)</f>
        <v>0</v>
      </c>
      <c r="AW946" s="313">
        <f>IFERROR(IF(INDEX([1]Pivot!$BF$1:$CG$65000,$B946,AW$5)=1,1,IF(INDEX([1]Pivot!$B$1:$AB$65000,$B946,AW$5)="",2,0)),0)</f>
        <v>0</v>
      </c>
      <c r="AX946" s="313">
        <f>IFERROR(IF(INDEX([1]Pivot!$BF$1:$CG$65000,$B946,AX$5)=1,1,IF(INDEX([1]Pivot!$B$1:$AB$65000,$B946,AX$5)="",2,0)),0)</f>
        <v>0</v>
      </c>
      <c r="AY946" s="313">
        <f>IFERROR(IF(INDEX([1]Pivot!$BF$1:$CG$65000,$B946,AY$5)=1,1,IF(INDEX([1]Pivot!$B$1:$AB$65000,$B946,AY$5)="",2,0)),0)</f>
        <v>0</v>
      </c>
      <c r="AZ946" s="313">
        <f>IFERROR(IF(INDEX([1]Pivot!$BF$1:$CG$65000,$B946,AZ$5)=1,1,IF(INDEX([1]Pivot!$B$1:$AB$65000,$B946,AZ$5)="",2,0)),0)</f>
        <v>0</v>
      </c>
      <c r="BA946" s="313">
        <f>IFERROR(IF(INDEX([1]Pivot!$BF$1:$CG$65000,$B946,BA$5)=1,1,IF(INDEX([1]Pivot!$B$1:$AB$65000,$B946,BA$5)="",2,0)),0)</f>
        <v>0</v>
      </c>
      <c r="BB946" s="313">
        <f>IFERROR(IF(INDEX([1]Pivot!$BF$1:$CG$65000,$B946,BB$5)=1,1,IF(INDEX([1]Pivot!$B$1:$AB$65000,$B946,BB$5)="",2,0)),0)</f>
        <v>0</v>
      </c>
      <c r="BC946" s="313">
        <f>IFERROR(IF(INDEX([1]Pivot!$BF$1:$CG$65000,$B946,BC$5)=1,1,IF(INDEX([1]Pivot!$B$1:$AB$65000,$B946,BC$5)="",2,0)),0)</f>
        <v>0</v>
      </c>
      <c r="BD946" s="313">
        <f>IFERROR(IF(INDEX([1]Pivot!$BF$1:$CG$65000,$B946,BD$5)=1,1,IF(INDEX([1]Pivot!$B$1:$AB$65000,$B946,BD$5)="",2,0)),0)</f>
        <v>0</v>
      </c>
    </row>
    <row r="947" spans="1:56" x14ac:dyDescent="0.25">
      <c r="A947" s="288">
        <f>'[2]Raw Milk Prices'!A947</f>
        <v>0</v>
      </c>
      <c r="B947" s="296" t="e">
        <f>MATCH(DATE(LEFT('[2]Raw Milk Prices'!$A947,4),RIGHT('[2]Raw Milk Prices'!$A947,2),1),[1]Pivot!$A$1:$A$65000,0)</f>
        <v>#VALUE!</v>
      </c>
      <c r="C947" s="194">
        <f>IFERROR(IF(INDEX([1]Pivot!$AD$1:$BE$65000,$B947,C$5)=1,1,IF(INDEX([1]Pivot!$B$1:$AB$65000,$B947,C$5)="",2,0)),0)</f>
        <v>0</v>
      </c>
      <c r="D947" s="194">
        <f>IFERROR(IF(INDEX([1]Pivot!$AD$1:$BE$65000,$B947,D$5)=1,1,IF(INDEX([1]Pivot!$B$1:$AB$65000,$B947,D$5)="",2,0)),0)</f>
        <v>0</v>
      </c>
      <c r="E947" s="194">
        <f>IFERROR(IF(INDEX([1]Pivot!$AD$1:$BE$65000,$B947,E$5)=1,1,IF(INDEX([1]Pivot!$B$1:$AB$65000,$B947,E$5)="",2,0)),0)</f>
        <v>0</v>
      </c>
      <c r="F947" s="194">
        <f>IFERROR(IF(INDEX([1]Pivot!$AD$1:$BE$65000,$B947,F$5)=1,1,IF(INDEX([1]Pivot!$B$1:$AB$65000,$B947,F$5)="",2,0)),0)</f>
        <v>0</v>
      </c>
      <c r="G947" s="194">
        <f>IFERROR(IF(INDEX([1]Pivot!$AD$1:$BE$65000,$B947,G$5)=1,1,IF(INDEX([1]Pivot!$B$1:$AB$65000,$B947,G$5)="",2,0)),0)</f>
        <v>0</v>
      </c>
      <c r="H947" s="194">
        <f>IFERROR(IF(INDEX([1]Pivot!$AD$1:$BE$65000,$B947,H$5)=1,1,IF(INDEX([1]Pivot!$B$1:$AB$65000,$B947,H$5)="",2,0)),0)</f>
        <v>0</v>
      </c>
      <c r="I947" s="194">
        <f>IFERROR(IF(INDEX([1]Pivot!$AD$1:$BE$65000,$B947,I$5)=1,1,IF(INDEX([1]Pivot!$B$1:$AB$65000,$B947,I$5)="",2,0)),0)</f>
        <v>0</v>
      </c>
      <c r="J947" s="194">
        <f>IFERROR(IF(INDEX([1]Pivot!$AD$1:$BE$65000,$B947,J$5)=1,1,IF(INDEX([1]Pivot!$B$1:$AB$65000,$B947,J$5)="",2,0)),0)</f>
        <v>0</v>
      </c>
      <c r="K947" s="194">
        <f>IFERROR(IF(INDEX([1]Pivot!$AD$1:$BE$65000,$B947,K$5)=1,1,IF(INDEX([1]Pivot!$B$1:$AB$65000,$B947,K$5)="",2,0)),0)</f>
        <v>0</v>
      </c>
      <c r="L947" s="194">
        <f>IFERROR(IF(INDEX([1]Pivot!$AD$1:$BE$65000,$B947,L$5)=1,1,IF(INDEX([1]Pivot!$B$1:$AB$65000,$B947,L$5)="",2,0)),0)</f>
        <v>0</v>
      </c>
      <c r="M947" s="194">
        <f>IFERROR(IF(INDEX([1]Pivot!$AD$1:$BE$65000,$B947,M$5)=1,1,IF(INDEX([1]Pivot!$B$1:$AB$65000,$B947,M$5)="",2,0)),0)</f>
        <v>0</v>
      </c>
      <c r="N947" s="194">
        <f>IFERROR(IF(INDEX([1]Pivot!$AD$1:$BE$65000,$B947,N$5)=1,1,IF(INDEX([1]Pivot!$B$1:$AB$65000,$B947,N$5)="",2,0)),0)</f>
        <v>0</v>
      </c>
      <c r="O947" s="194">
        <f>IFERROR(IF(INDEX([1]Pivot!$AD$1:$BE$65000,$B947,O$5)=1,1,IF(INDEX([1]Pivot!$B$1:$AB$65000,$B947,O$5)="",2,0)),0)</f>
        <v>0</v>
      </c>
      <c r="P947" s="194">
        <f>IFERROR(IF(INDEX([1]Pivot!$AD$1:$BE$65000,$B947,P$5)=1,1,IF(INDEX([1]Pivot!$B$1:$AB$65000,$B947,P$5)="",2,0)),0)</f>
        <v>0</v>
      </c>
      <c r="Q947" s="194">
        <f>IFERROR(IF(INDEX([1]Pivot!$AD$1:$BE$65000,$B947,Q$5)=1,1,IF(INDEX([1]Pivot!$B$1:$AB$65000,$B947,Q$5)="",2,0)),0)</f>
        <v>0</v>
      </c>
      <c r="R947" s="312"/>
      <c r="S947" s="194">
        <f>IFERROR(IF(INDEX([1]Pivot!$AD$1:$BE$65000,$B947,S$5)=1,1,IF(INDEX([1]Pivot!$B$1:$AB$65000,$B947,S$5)="",2,0)),0)</f>
        <v>0</v>
      </c>
      <c r="T947" s="194">
        <f>IFERROR(IF(INDEX([1]Pivot!$AD$1:$BE$65000,$B947,T$5)=1,1,IF(INDEX([1]Pivot!$B$1:$AB$65000,$B947,T$5)="",2,0)),0)</f>
        <v>0</v>
      </c>
      <c r="U947" s="194">
        <f>IFERROR(IF(INDEX([1]Pivot!$AD$1:$BE$65000,$B947,U$5)=1,1,IF(INDEX([1]Pivot!$B$1:$AB$65000,$B947,U$5)="",2,0)),0)</f>
        <v>0</v>
      </c>
      <c r="V947" s="194">
        <f>IFERROR(IF(INDEX([1]Pivot!$AD$1:$BE$65000,$B947,V$5)=1,1,IF(INDEX([1]Pivot!$B$1:$AB$65000,$B947,V$5)="",2,0)),0)</f>
        <v>0</v>
      </c>
      <c r="W947" s="194">
        <f>IFERROR(IF(INDEX([1]Pivot!$AD$1:$BE$65000,$B947,W$5)=1,1,IF(INDEX([1]Pivot!$B$1:$AB$65000,$B947,W$5)="",2,0)),0)</f>
        <v>0</v>
      </c>
      <c r="X947" s="194">
        <f>IFERROR(IF(INDEX([1]Pivot!$AD$1:$BE$65000,$B947,X$5)=1,1,IF(INDEX([1]Pivot!$B$1:$AB$65000,$B947,X$5)="",2,0)),0)</f>
        <v>0</v>
      </c>
      <c r="Y947" s="194">
        <f>IFERROR(IF(INDEX([1]Pivot!$AD$1:$BE$65000,$B947,Y$5)=1,1,IF(INDEX([1]Pivot!$B$1:$AB$65000,$B947,Y$5)="",2,0)),0)</f>
        <v>0</v>
      </c>
      <c r="Z947" s="194">
        <f>IFERROR(IF(INDEX([1]Pivot!$AD$1:$BE$65000,$B947,Z$5)=1,1,IF(INDEX([1]Pivot!$B$1:$AB$65000,$B947,Z$5)="",2,0)),0)</f>
        <v>0</v>
      </c>
      <c r="AA947" s="194">
        <f>IFERROR(IF(INDEX([1]Pivot!$AD$1:$BE$65000,$B947,AA$5)=1,1,IF(INDEX([1]Pivot!$B$1:$AB$65000,$B947,AA$5)="",2,0)),0)</f>
        <v>0</v>
      </c>
      <c r="AB947" s="194">
        <f>IFERROR(IF(INDEX([1]Pivot!$AD$1:$BE$65000,$B947,AB$5)=1,1,IF(INDEX([1]Pivot!$B$1:$AB$65000,$B947,AB$5)="",2,0)),0)</f>
        <v>0</v>
      </c>
      <c r="AC947" s="194">
        <f>IFERROR(IF(INDEX([1]Pivot!$AD$1:$BE$65000,$B947,AC$5)=1,1,IF(INDEX([1]Pivot!$B$1:$AB$65000,$B947,AC$5)="",2,0)),0)</f>
        <v>0</v>
      </c>
      <c r="AD947" s="313">
        <f>IFERROR(IF(INDEX([1]Pivot!$BF$1:$CG$65000,$B947,AD$5)=1,1,IF(INDEX([1]Pivot!$B$1:$AB$65000,$B947,AD$5)="",2,0)),0)</f>
        <v>0</v>
      </c>
      <c r="AE947" s="313">
        <f>IFERROR(IF(INDEX([1]Pivot!$BF$1:$CG$65000,$B947,AE$5)=1,1,IF(INDEX([1]Pivot!$B$1:$AB$65000,$B947,AE$5)="",2,0)),0)</f>
        <v>0</v>
      </c>
      <c r="AF947" s="313">
        <f>IFERROR(IF(INDEX([1]Pivot!$BF$1:$CG$65000,$B947,AF$5)=1,1,IF(INDEX([1]Pivot!$B$1:$AB$65000,$B947,AF$5)="",2,0)),0)</f>
        <v>0</v>
      </c>
      <c r="AG947" s="313">
        <f>IFERROR(IF(INDEX([1]Pivot!$BF$1:$CG$65000,$B947,AG$5)=1,1,IF(INDEX([1]Pivot!$B$1:$AB$65000,$B947,AG$5)="",2,0)),0)</f>
        <v>0</v>
      </c>
      <c r="AH947" s="313">
        <f>IFERROR(IF(INDEX([1]Pivot!$BF$1:$CG$65000,$B947,AH$5)=1,1,IF(INDEX([1]Pivot!$B$1:$AB$65000,$B947,AH$5)="",2,0)),0)</f>
        <v>0</v>
      </c>
      <c r="AI947" s="313">
        <f>IFERROR(IF(INDEX([1]Pivot!$BF$1:$CG$65000,$B947,AI$5)=1,1,IF(INDEX([1]Pivot!$B$1:$AB$65000,$B947,AI$5)="",2,0)),0)</f>
        <v>0</v>
      </c>
      <c r="AJ947" s="313">
        <f>IFERROR(IF(INDEX([1]Pivot!$BF$1:$CG$65000,$B947,AJ$5)=1,1,IF(INDEX([1]Pivot!$B$1:$AB$65000,$B947,AJ$5)="",2,0)),0)</f>
        <v>0</v>
      </c>
      <c r="AK947" s="313">
        <f>IFERROR(IF(INDEX([1]Pivot!$BF$1:$CG$65000,$B947,AK$5)=1,1,IF(INDEX([1]Pivot!$B$1:$AB$65000,$B947,AK$5)="",2,0)),0)</f>
        <v>0</v>
      </c>
      <c r="AL947" s="313">
        <f>IFERROR(IF(INDEX([1]Pivot!$BF$1:$CG$65000,$B947,AL$5)=1,1,IF(INDEX([1]Pivot!$B$1:$AB$65000,$B947,AL$5)="",2,0)),0)</f>
        <v>0</v>
      </c>
      <c r="AM947" s="313">
        <f>IFERROR(IF(INDEX([1]Pivot!$BF$1:$CG$65000,$B947,AM$5)=1,1,IF(INDEX([1]Pivot!$B$1:$AB$65000,$B947,AM$5)="",2,0)),0)</f>
        <v>0</v>
      </c>
      <c r="AN947" s="313">
        <f>IFERROR(IF(INDEX([1]Pivot!$BF$1:$CG$65000,$B947,AN$5)=1,1,IF(INDEX([1]Pivot!$B$1:$AB$65000,$B947,AN$5)="",2,0)),0)</f>
        <v>0</v>
      </c>
      <c r="AO947" s="313">
        <f>IFERROR(IF(INDEX([1]Pivot!$BF$1:$CG$65000,$B947,AO$5)=1,1,IF(INDEX([1]Pivot!$B$1:$AB$65000,$B947,AO$5)="",2,0)),0)</f>
        <v>0</v>
      </c>
      <c r="AP947" s="313">
        <f>IFERROR(IF(INDEX([1]Pivot!$BF$1:$CG$65000,$B947,AP$5)=1,1,IF(INDEX([1]Pivot!$B$1:$AB$65000,$B947,AP$5)="",2,0)),0)</f>
        <v>0</v>
      </c>
      <c r="AQ947" s="313">
        <f>IFERROR(IF(INDEX([1]Pivot!$BF$1:$CG$65000,$B947,AQ$5)=1,1,IF(INDEX([1]Pivot!$B$1:$AB$65000,$B947,AQ$5)="",2,0)),0)</f>
        <v>0</v>
      </c>
      <c r="AR947" s="313">
        <f>IFERROR(IF(INDEX([1]Pivot!$BF$1:$CG$65000,$B947,AR$5)=1,1,IF(INDEX([1]Pivot!$B$1:$AB$65000,$B947,AR$5)="",2,0)),0)</f>
        <v>0</v>
      </c>
      <c r="AS947" s="312"/>
      <c r="AT947" s="313">
        <f>IFERROR(IF(INDEX([1]Pivot!$BF$1:$CG$65000,$B947,AT$5)=1,1,IF(INDEX([1]Pivot!$B$1:$AB$65000,$B947,AT$5)="",2,0)),0)</f>
        <v>0</v>
      </c>
      <c r="AU947" s="313">
        <f>IFERROR(IF(INDEX([1]Pivot!$BF$1:$CG$65000,$B947,AU$5)=1,1,IF(INDEX([1]Pivot!$B$1:$AB$65000,$B947,AU$5)="",2,0)),0)</f>
        <v>0</v>
      </c>
      <c r="AV947" s="313">
        <f>IFERROR(IF(INDEX([1]Pivot!$BF$1:$CG$65000,$B947,AV$5)=1,1,IF(INDEX([1]Pivot!$B$1:$AB$65000,$B947,AV$5)="",2,0)),0)</f>
        <v>0</v>
      </c>
      <c r="AW947" s="313">
        <f>IFERROR(IF(INDEX([1]Pivot!$BF$1:$CG$65000,$B947,AW$5)=1,1,IF(INDEX([1]Pivot!$B$1:$AB$65000,$B947,AW$5)="",2,0)),0)</f>
        <v>0</v>
      </c>
      <c r="AX947" s="313">
        <f>IFERROR(IF(INDEX([1]Pivot!$BF$1:$CG$65000,$B947,AX$5)=1,1,IF(INDEX([1]Pivot!$B$1:$AB$65000,$B947,AX$5)="",2,0)),0)</f>
        <v>0</v>
      </c>
      <c r="AY947" s="313">
        <f>IFERROR(IF(INDEX([1]Pivot!$BF$1:$CG$65000,$B947,AY$5)=1,1,IF(INDEX([1]Pivot!$B$1:$AB$65000,$B947,AY$5)="",2,0)),0)</f>
        <v>0</v>
      </c>
      <c r="AZ947" s="313">
        <f>IFERROR(IF(INDEX([1]Pivot!$BF$1:$CG$65000,$B947,AZ$5)=1,1,IF(INDEX([1]Pivot!$B$1:$AB$65000,$B947,AZ$5)="",2,0)),0)</f>
        <v>0</v>
      </c>
      <c r="BA947" s="313">
        <f>IFERROR(IF(INDEX([1]Pivot!$BF$1:$CG$65000,$B947,BA$5)=1,1,IF(INDEX([1]Pivot!$B$1:$AB$65000,$B947,BA$5)="",2,0)),0)</f>
        <v>0</v>
      </c>
      <c r="BB947" s="313">
        <f>IFERROR(IF(INDEX([1]Pivot!$BF$1:$CG$65000,$B947,BB$5)=1,1,IF(INDEX([1]Pivot!$B$1:$AB$65000,$B947,BB$5)="",2,0)),0)</f>
        <v>0</v>
      </c>
      <c r="BC947" s="313">
        <f>IFERROR(IF(INDEX([1]Pivot!$BF$1:$CG$65000,$B947,BC$5)=1,1,IF(INDEX([1]Pivot!$B$1:$AB$65000,$B947,BC$5)="",2,0)),0)</f>
        <v>0</v>
      </c>
      <c r="BD947" s="313">
        <f>IFERROR(IF(INDEX([1]Pivot!$BF$1:$CG$65000,$B947,BD$5)=1,1,IF(INDEX([1]Pivot!$B$1:$AB$65000,$B947,BD$5)="",2,0)),0)</f>
        <v>0</v>
      </c>
    </row>
    <row r="948" spans="1:56" x14ac:dyDescent="0.25">
      <c r="A948" s="288">
        <f>'[2]Raw Milk Prices'!A948</f>
        <v>0</v>
      </c>
      <c r="B948" s="296" t="e">
        <f>MATCH(DATE(LEFT('[2]Raw Milk Prices'!$A948,4),RIGHT('[2]Raw Milk Prices'!$A948,2),1),[1]Pivot!$A$1:$A$65000,0)</f>
        <v>#VALUE!</v>
      </c>
      <c r="C948" s="194">
        <f>IFERROR(IF(INDEX([1]Pivot!$AD$1:$BE$65000,$B948,C$5)=1,1,IF(INDEX([1]Pivot!$B$1:$AB$65000,$B948,C$5)="",2,0)),0)</f>
        <v>0</v>
      </c>
      <c r="D948" s="194">
        <f>IFERROR(IF(INDEX([1]Pivot!$AD$1:$BE$65000,$B948,D$5)=1,1,IF(INDEX([1]Pivot!$B$1:$AB$65000,$B948,D$5)="",2,0)),0)</f>
        <v>0</v>
      </c>
      <c r="E948" s="194">
        <f>IFERROR(IF(INDEX([1]Pivot!$AD$1:$BE$65000,$B948,E$5)=1,1,IF(INDEX([1]Pivot!$B$1:$AB$65000,$B948,E$5)="",2,0)),0)</f>
        <v>0</v>
      </c>
      <c r="F948" s="194">
        <f>IFERROR(IF(INDEX([1]Pivot!$AD$1:$BE$65000,$B948,F$5)=1,1,IF(INDEX([1]Pivot!$B$1:$AB$65000,$B948,F$5)="",2,0)),0)</f>
        <v>0</v>
      </c>
      <c r="G948" s="194">
        <f>IFERROR(IF(INDEX([1]Pivot!$AD$1:$BE$65000,$B948,G$5)=1,1,IF(INDEX([1]Pivot!$B$1:$AB$65000,$B948,G$5)="",2,0)),0)</f>
        <v>0</v>
      </c>
      <c r="H948" s="194">
        <f>IFERROR(IF(INDEX([1]Pivot!$AD$1:$BE$65000,$B948,H$5)=1,1,IF(INDEX([1]Pivot!$B$1:$AB$65000,$B948,H$5)="",2,0)),0)</f>
        <v>0</v>
      </c>
      <c r="I948" s="194">
        <f>IFERROR(IF(INDEX([1]Pivot!$AD$1:$BE$65000,$B948,I$5)=1,1,IF(INDEX([1]Pivot!$B$1:$AB$65000,$B948,I$5)="",2,0)),0)</f>
        <v>0</v>
      </c>
      <c r="J948" s="194">
        <f>IFERROR(IF(INDEX([1]Pivot!$AD$1:$BE$65000,$B948,J$5)=1,1,IF(INDEX([1]Pivot!$B$1:$AB$65000,$B948,J$5)="",2,0)),0)</f>
        <v>0</v>
      </c>
      <c r="K948" s="194">
        <f>IFERROR(IF(INDEX([1]Pivot!$AD$1:$BE$65000,$B948,K$5)=1,1,IF(INDEX([1]Pivot!$B$1:$AB$65000,$B948,K$5)="",2,0)),0)</f>
        <v>0</v>
      </c>
      <c r="L948" s="194">
        <f>IFERROR(IF(INDEX([1]Pivot!$AD$1:$BE$65000,$B948,L$5)=1,1,IF(INDEX([1]Pivot!$B$1:$AB$65000,$B948,L$5)="",2,0)),0)</f>
        <v>0</v>
      </c>
      <c r="M948" s="194">
        <f>IFERROR(IF(INDEX([1]Pivot!$AD$1:$BE$65000,$B948,M$5)=1,1,IF(INDEX([1]Pivot!$B$1:$AB$65000,$B948,M$5)="",2,0)),0)</f>
        <v>0</v>
      </c>
      <c r="N948" s="194">
        <f>IFERROR(IF(INDEX([1]Pivot!$AD$1:$BE$65000,$B948,N$5)=1,1,IF(INDEX([1]Pivot!$B$1:$AB$65000,$B948,N$5)="",2,0)),0)</f>
        <v>0</v>
      </c>
      <c r="O948" s="194">
        <f>IFERROR(IF(INDEX([1]Pivot!$AD$1:$BE$65000,$B948,O$5)=1,1,IF(INDEX([1]Pivot!$B$1:$AB$65000,$B948,O$5)="",2,0)),0)</f>
        <v>0</v>
      </c>
      <c r="P948" s="194">
        <f>IFERROR(IF(INDEX([1]Pivot!$AD$1:$BE$65000,$B948,P$5)=1,1,IF(INDEX([1]Pivot!$B$1:$AB$65000,$B948,P$5)="",2,0)),0)</f>
        <v>0</v>
      </c>
      <c r="Q948" s="194">
        <f>IFERROR(IF(INDEX([1]Pivot!$AD$1:$BE$65000,$B948,Q$5)=1,1,IF(INDEX([1]Pivot!$B$1:$AB$65000,$B948,Q$5)="",2,0)),0)</f>
        <v>0</v>
      </c>
      <c r="R948" s="312"/>
      <c r="S948" s="194">
        <f>IFERROR(IF(INDEX([1]Pivot!$AD$1:$BE$65000,$B948,S$5)=1,1,IF(INDEX([1]Pivot!$B$1:$AB$65000,$B948,S$5)="",2,0)),0)</f>
        <v>0</v>
      </c>
      <c r="T948" s="194">
        <f>IFERROR(IF(INDEX([1]Pivot!$AD$1:$BE$65000,$B948,T$5)=1,1,IF(INDEX([1]Pivot!$B$1:$AB$65000,$B948,T$5)="",2,0)),0)</f>
        <v>0</v>
      </c>
      <c r="U948" s="194">
        <f>IFERROR(IF(INDEX([1]Pivot!$AD$1:$BE$65000,$B948,U$5)=1,1,IF(INDEX([1]Pivot!$B$1:$AB$65000,$B948,U$5)="",2,0)),0)</f>
        <v>0</v>
      </c>
      <c r="V948" s="194">
        <f>IFERROR(IF(INDEX([1]Pivot!$AD$1:$BE$65000,$B948,V$5)=1,1,IF(INDEX([1]Pivot!$B$1:$AB$65000,$B948,V$5)="",2,0)),0)</f>
        <v>0</v>
      </c>
      <c r="W948" s="194">
        <f>IFERROR(IF(INDEX([1]Pivot!$AD$1:$BE$65000,$B948,W$5)=1,1,IF(INDEX([1]Pivot!$B$1:$AB$65000,$B948,W$5)="",2,0)),0)</f>
        <v>0</v>
      </c>
      <c r="X948" s="194">
        <f>IFERROR(IF(INDEX([1]Pivot!$AD$1:$BE$65000,$B948,X$5)=1,1,IF(INDEX([1]Pivot!$B$1:$AB$65000,$B948,X$5)="",2,0)),0)</f>
        <v>0</v>
      </c>
      <c r="Y948" s="194">
        <f>IFERROR(IF(INDEX([1]Pivot!$AD$1:$BE$65000,$B948,Y$5)=1,1,IF(INDEX([1]Pivot!$B$1:$AB$65000,$B948,Y$5)="",2,0)),0)</f>
        <v>0</v>
      </c>
      <c r="Z948" s="194">
        <f>IFERROR(IF(INDEX([1]Pivot!$AD$1:$BE$65000,$B948,Z$5)=1,1,IF(INDEX([1]Pivot!$B$1:$AB$65000,$B948,Z$5)="",2,0)),0)</f>
        <v>0</v>
      </c>
      <c r="AA948" s="194">
        <f>IFERROR(IF(INDEX([1]Pivot!$AD$1:$BE$65000,$B948,AA$5)=1,1,IF(INDEX([1]Pivot!$B$1:$AB$65000,$B948,AA$5)="",2,0)),0)</f>
        <v>0</v>
      </c>
      <c r="AB948" s="194">
        <f>IFERROR(IF(INDEX([1]Pivot!$AD$1:$BE$65000,$B948,AB$5)=1,1,IF(INDEX([1]Pivot!$B$1:$AB$65000,$B948,AB$5)="",2,0)),0)</f>
        <v>0</v>
      </c>
      <c r="AC948" s="194">
        <f>IFERROR(IF(INDEX([1]Pivot!$AD$1:$BE$65000,$B948,AC$5)=1,1,IF(INDEX([1]Pivot!$B$1:$AB$65000,$B948,AC$5)="",2,0)),0)</f>
        <v>0</v>
      </c>
      <c r="AD948" s="313">
        <f>IFERROR(IF(INDEX([1]Pivot!$BF$1:$CG$65000,$B948,AD$5)=1,1,IF(INDEX([1]Pivot!$B$1:$AB$65000,$B948,AD$5)="",2,0)),0)</f>
        <v>0</v>
      </c>
      <c r="AE948" s="313">
        <f>IFERROR(IF(INDEX([1]Pivot!$BF$1:$CG$65000,$B948,AE$5)=1,1,IF(INDEX([1]Pivot!$B$1:$AB$65000,$B948,AE$5)="",2,0)),0)</f>
        <v>0</v>
      </c>
      <c r="AF948" s="313">
        <f>IFERROR(IF(INDEX([1]Pivot!$BF$1:$CG$65000,$B948,AF$5)=1,1,IF(INDEX([1]Pivot!$B$1:$AB$65000,$B948,AF$5)="",2,0)),0)</f>
        <v>0</v>
      </c>
      <c r="AG948" s="313">
        <f>IFERROR(IF(INDEX([1]Pivot!$BF$1:$CG$65000,$B948,AG$5)=1,1,IF(INDEX([1]Pivot!$B$1:$AB$65000,$B948,AG$5)="",2,0)),0)</f>
        <v>0</v>
      </c>
      <c r="AH948" s="313">
        <f>IFERROR(IF(INDEX([1]Pivot!$BF$1:$CG$65000,$B948,AH$5)=1,1,IF(INDEX([1]Pivot!$B$1:$AB$65000,$B948,AH$5)="",2,0)),0)</f>
        <v>0</v>
      </c>
      <c r="AI948" s="313">
        <f>IFERROR(IF(INDEX([1]Pivot!$BF$1:$CG$65000,$B948,AI$5)=1,1,IF(INDEX([1]Pivot!$B$1:$AB$65000,$B948,AI$5)="",2,0)),0)</f>
        <v>0</v>
      </c>
      <c r="AJ948" s="313">
        <f>IFERROR(IF(INDEX([1]Pivot!$BF$1:$CG$65000,$B948,AJ$5)=1,1,IF(INDEX([1]Pivot!$B$1:$AB$65000,$B948,AJ$5)="",2,0)),0)</f>
        <v>0</v>
      </c>
      <c r="AK948" s="313">
        <f>IFERROR(IF(INDEX([1]Pivot!$BF$1:$CG$65000,$B948,AK$5)=1,1,IF(INDEX([1]Pivot!$B$1:$AB$65000,$B948,AK$5)="",2,0)),0)</f>
        <v>0</v>
      </c>
      <c r="AL948" s="313">
        <f>IFERROR(IF(INDEX([1]Pivot!$BF$1:$CG$65000,$B948,AL$5)=1,1,IF(INDEX([1]Pivot!$B$1:$AB$65000,$B948,AL$5)="",2,0)),0)</f>
        <v>0</v>
      </c>
      <c r="AM948" s="313">
        <f>IFERROR(IF(INDEX([1]Pivot!$BF$1:$CG$65000,$B948,AM$5)=1,1,IF(INDEX([1]Pivot!$B$1:$AB$65000,$B948,AM$5)="",2,0)),0)</f>
        <v>0</v>
      </c>
      <c r="AN948" s="313">
        <f>IFERROR(IF(INDEX([1]Pivot!$BF$1:$CG$65000,$B948,AN$5)=1,1,IF(INDEX([1]Pivot!$B$1:$AB$65000,$B948,AN$5)="",2,0)),0)</f>
        <v>0</v>
      </c>
      <c r="AO948" s="313">
        <f>IFERROR(IF(INDEX([1]Pivot!$BF$1:$CG$65000,$B948,AO$5)=1,1,IF(INDEX([1]Pivot!$B$1:$AB$65000,$B948,AO$5)="",2,0)),0)</f>
        <v>0</v>
      </c>
      <c r="AP948" s="313">
        <f>IFERROR(IF(INDEX([1]Pivot!$BF$1:$CG$65000,$B948,AP$5)=1,1,IF(INDEX([1]Pivot!$B$1:$AB$65000,$B948,AP$5)="",2,0)),0)</f>
        <v>0</v>
      </c>
      <c r="AQ948" s="313">
        <f>IFERROR(IF(INDEX([1]Pivot!$BF$1:$CG$65000,$B948,AQ$5)=1,1,IF(INDEX([1]Pivot!$B$1:$AB$65000,$B948,AQ$5)="",2,0)),0)</f>
        <v>0</v>
      </c>
      <c r="AR948" s="313">
        <f>IFERROR(IF(INDEX([1]Pivot!$BF$1:$CG$65000,$B948,AR$5)=1,1,IF(INDEX([1]Pivot!$B$1:$AB$65000,$B948,AR$5)="",2,0)),0)</f>
        <v>0</v>
      </c>
      <c r="AS948" s="312"/>
      <c r="AT948" s="313">
        <f>IFERROR(IF(INDEX([1]Pivot!$BF$1:$CG$65000,$B948,AT$5)=1,1,IF(INDEX([1]Pivot!$B$1:$AB$65000,$B948,AT$5)="",2,0)),0)</f>
        <v>0</v>
      </c>
      <c r="AU948" s="313">
        <f>IFERROR(IF(INDEX([1]Pivot!$BF$1:$CG$65000,$B948,AU$5)=1,1,IF(INDEX([1]Pivot!$B$1:$AB$65000,$B948,AU$5)="",2,0)),0)</f>
        <v>0</v>
      </c>
      <c r="AV948" s="313">
        <f>IFERROR(IF(INDEX([1]Pivot!$BF$1:$CG$65000,$B948,AV$5)=1,1,IF(INDEX([1]Pivot!$B$1:$AB$65000,$B948,AV$5)="",2,0)),0)</f>
        <v>0</v>
      </c>
      <c r="AW948" s="313">
        <f>IFERROR(IF(INDEX([1]Pivot!$BF$1:$CG$65000,$B948,AW$5)=1,1,IF(INDEX([1]Pivot!$B$1:$AB$65000,$B948,AW$5)="",2,0)),0)</f>
        <v>0</v>
      </c>
      <c r="AX948" s="313">
        <f>IFERROR(IF(INDEX([1]Pivot!$BF$1:$CG$65000,$B948,AX$5)=1,1,IF(INDEX([1]Pivot!$B$1:$AB$65000,$B948,AX$5)="",2,0)),0)</f>
        <v>0</v>
      </c>
      <c r="AY948" s="313">
        <f>IFERROR(IF(INDEX([1]Pivot!$BF$1:$CG$65000,$B948,AY$5)=1,1,IF(INDEX([1]Pivot!$B$1:$AB$65000,$B948,AY$5)="",2,0)),0)</f>
        <v>0</v>
      </c>
      <c r="AZ948" s="313">
        <f>IFERROR(IF(INDEX([1]Pivot!$BF$1:$CG$65000,$B948,AZ$5)=1,1,IF(INDEX([1]Pivot!$B$1:$AB$65000,$B948,AZ$5)="",2,0)),0)</f>
        <v>0</v>
      </c>
      <c r="BA948" s="313">
        <f>IFERROR(IF(INDEX([1]Pivot!$BF$1:$CG$65000,$B948,BA$5)=1,1,IF(INDEX([1]Pivot!$B$1:$AB$65000,$B948,BA$5)="",2,0)),0)</f>
        <v>0</v>
      </c>
      <c r="BB948" s="313">
        <f>IFERROR(IF(INDEX([1]Pivot!$BF$1:$CG$65000,$B948,BB$5)=1,1,IF(INDEX([1]Pivot!$B$1:$AB$65000,$B948,BB$5)="",2,0)),0)</f>
        <v>0</v>
      </c>
      <c r="BC948" s="313">
        <f>IFERROR(IF(INDEX([1]Pivot!$BF$1:$CG$65000,$B948,BC$5)=1,1,IF(INDEX([1]Pivot!$B$1:$AB$65000,$B948,BC$5)="",2,0)),0)</f>
        <v>0</v>
      </c>
      <c r="BD948" s="313">
        <f>IFERROR(IF(INDEX([1]Pivot!$BF$1:$CG$65000,$B948,BD$5)=1,1,IF(INDEX([1]Pivot!$B$1:$AB$65000,$B948,BD$5)="",2,0)),0)</f>
        <v>0</v>
      </c>
    </row>
    <row r="949" spans="1:56" x14ac:dyDescent="0.25">
      <c r="A949" s="288">
        <f>'[2]Raw Milk Prices'!A949</f>
        <v>0</v>
      </c>
      <c r="B949" s="296" t="e">
        <f>MATCH(DATE(LEFT('[2]Raw Milk Prices'!$A949,4),RIGHT('[2]Raw Milk Prices'!$A949,2),1),[1]Pivot!$A$1:$A$65000,0)</f>
        <v>#VALUE!</v>
      </c>
      <c r="C949" s="194">
        <f>IFERROR(IF(INDEX([1]Pivot!$AD$1:$BE$65000,$B949,C$5)=1,1,IF(INDEX([1]Pivot!$B$1:$AB$65000,$B949,C$5)="",2,0)),0)</f>
        <v>0</v>
      </c>
      <c r="D949" s="194">
        <f>IFERROR(IF(INDEX([1]Pivot!$AD$1:$BE$65000,$B949,D$5)=1,1,IF(INDEX([1]Pivot!$B$1:$AB$65000,$B949,D$5)="",2,0)),0)</f>
        <v>0</v>
      </c>
      <c r="E949" s="194">
        <f>IFERROR(IF(INDEX([1]Pivot!$AD$1:$BE$65000,$B949,E$5)=1,1,IF(INDEX([1]Pivot!$B$1:$AB$65000,$B949,E$5)="",2,0)),0)</f>
        <v>0</v>
      </c>
      <c r="F949" s="194">
        <f>IFERROR(IF(INDEX([1]Pivot!$AD$1:$BE$65000,$B949,F$5)=1,1,IF(INDEX([1]Pivot!$B$1:$AB$65000,$B949,F$5)="",2,0)),0)</f>
        <v>0</v>
      </c>
      <c r="G949" s="194">
        <f>IFERROR(IF(INDEX([1]Pivot!$AD$1:$BE$65000,$B949,G$5)=1,1,IF(INDEX([1]Pivot!$B$1:$AB$65000,$B949,G$5)="",2,0)),0)</f>
        <v>0</v>
      </c>
      <c r="H949" s="194">
        <f>IFERROR(IF(INDEX([1]Pivot!$AD$1:$BE$65000,$B949,H$5)=1,1,IF(INDEX([1]Pivot!$B$1:$AB$65000,$B949,H$5)="",2,0)),0)</f>
        <v>0</v>
      </c>
      <c r="I949" s="194">
        <f>IFERROR(IF(INDEX([1]Pivot!$AD$1:$BE$65000,$B949,I$5)=1,1,IF(INDEX([1]Pivot!$B$1:$AB$65000,$B949,I$5)="",2,0)),0)</f>
        <v>0</v>
      </c>
      <c r="J949" s="194">
        <f>IFERROR(IF(INDEX([1]Pivot!$AD$1:$BE$65000,$B949,J$5)=1,1,IF(INDEX([1]Pivot!$B$1:$AB$65000,$B949,J$5)="",2,0)),0)</f>
        <v>0</v>
      </c>
      <c r="K949" s="194">
        <f>IFERROR(IF(INDEX([1]Pivot!$AD$1:$BE$65000,$B949,K$5)=1,1,IF(INDEX([1]Pivot!$B$1:$AB$65000,$B949,K$5)="",2,0)),0)</f>
        <v>0</v>
      </c>
      <c r="L949" s="194">
        <f>IFERROR(IF(INDEX([1]Pivot!$AD$1:$BE$65000,$B949,L$5)=1,1,IF(INDEX([1]Pivot!$B$1:$AB$65000,$B949,L$5)="",2,0)),0)</f>
        <v>0</v>
      </c>
      <c r="M949" s="194">
        <f>IFERROR(IF(INDEX([1]Pivot!$AD$1:$BE$65000,$B949,M$5)=1,1,IF(INDEX([1]Pivot!$B$1:$AB$65000,$B949,M$5)="",2,0)),0)</f>
        <v>0</v>
      </c>
      <c r="N949" s="194">
        <f>IFERROR(IF(INDEX([1]Pivot!$AD$1:$BE$65000,$B949,N$5)=1,1,IF(INDEX([1]Pivot!$B$1:$AB$65000,$B949,N$5)="",2,0)),0)</f>
        <v>0</v>
      </c>
      <c r="O949" s="194">
        <f>IFERROR(IF(INDEX([1]Pivot!$AD$1:$BE$65000,$B949,O$5)=1,1,IF(INDEX([1]Pivot!$B$1:$AB$65000,$B949,O$5)="",2,0)),0)</f>
        <v>0</v>
      </c>
      <c r="P949" s="194">
        <f>IFERROR(IF(INDEX([1]Pivot!$AD$1:$BE$65000,$B949,P$5)=1,1,IF(INDEX([1]Pivot!$B$1:$AB$65000,$B949,P$5)="",2,0)),0)</f>
        <v>0</v>
      </c>
      <c r="Q949" s="194">
        <f>IFERROR(IF(INDEX([1]Pivot!$AD$1:$BE$65000,$B949,Q$5)=1,1,IF(INDEX([1]Pivot!$B$1:$AB$65000,$B949,Q$5)="",2,0)),0)</f>
        <v>0</v>
      </c>
      <c r="R949" s="312"/>
      <c r="S949" s="194">
        <f>IFERROR(IF(INDEX([1]Pivot!$AD$1:$BE$65000,$B949,S$5)=1,1,IF(INDEX([1]Pivot!$B$1:$AB$65000,$B949,S$5)="",2,0)),0)</f>
        <v>0</v>
      </c>
      <c r="T949" s="194">
        <f>IFERROR(IF(INDEX([1]Pivot!$AD$1:$BE$65000,$B949,T$5)=1,1,IF(INDEX([1]Pivot!$B$1:$AB$65000,$B949,T$5)="",2,0)),0)</f>
        <v>0</v>
      </c>
      <c r="U949" s="194">
        <f>IFERROR(IF(INDEX([1]Pivot!$AD$1:$BE$65000,$B949,U$5)=1,1,IF(INDEX([1]Pivot!$B$1:$AB$65000,$B949,U$5)="",2,0)),0)</f>
        <v>0</v>
      </c>
      <c r="V949" s="194">
        <f>IFERROR(IF(INDEX([1]Pivot!$AD$1:$BE$65000,$B949,V$5)=1,1,IF(INDEX([1]Pivot!$B$1:$AB$65000,$B949,V$5)="",2,0)),0)</f>
        <v>0</v>
      </c>
      <c r="W949" s="194">
        <f>IFERROR(IF(INDEX([1]Pivot!$AD$1:$BE$65000,$B949,W$5)=1,1,IF(INDEX([1]Pivot!$B$1:$AB$65000,$B949,W$5)="",2,0)),0)</f>
        <v>0</v>
      </c>
      <c r="X949" s="194">
        <f>IFERROR(IF(INDEX([1]Pivot!$AD$1:$BE$65000,$B949,X$5)=1,1,IF(INDEX([1]Pivot!$B$1:$AB$65000,$B949,X$5)="",2,0)),0)</f>
        <v>0</v>
      </c>
      <c r="Y949" s="194">
        <f>IFERROR(IF(INDEX([1]Pivot!$AD$1:$BE$65000,$B949,Y$5)=1,1,IF(INDEX([1]Pivot!$B$1:$AB$65000,$B949,Y$5)="",2,0)),0)</f>
        <v>0</v>
      </c>
      <c r="Z949" s="194">
        <f>IFERROR(IF(INDEX([1]Pivot!$AD$1:$BE$65000,$B949,Z$5)=1,1,IF(INDEX([1]Pivot!$B$1:$AB$65000,$B949,Z$5)="",2,0)),0)</f>
        <v>0</v>
      </c>
      <c r="AA949" s="194">
        <f>IFERROR(IF(INDEX([1]Pivot!$AD$1:$BE$65000,$B949,AA$5)=1,1,IF(INDEX([1]Pivot!$B$1:$AB$65000,$B949,AA$5)="",2,0)),0)</f>
        <v>0</v>
      </c>
      <c r="AB949" s="194">
        <f>IFERROR(IF(INDEX([1]Pivot!$AD$1:$BE$65000,$B949,AB$5)=1,1,IF(INDEX([1]Pivot!$B$1:$AB$65000,$B949,AB$5)="",2,0)),0)</f>
        <v>0</v>
      </c>
      <c r="AC949" s="194">
        <f>IFERROR(IF(INDEX([1]Pivot!$AD$1:$BE$65000,$B949,AC$5)=1,1,IF(INDEX([1]Pivot!$B$1:$AB$65000,$B949,AC$5)="",2,0)),0)</f>
        <v>0</v>
      </c>
      <c r="AD949" s="313">
        <f>IFERROR(IF(INDEX([1]Pivot!$BF$1:$CG$65000,$B949,AD$5)=1,1,IF(INDEX([1]Pivot!$B$1:$AB$65000,$B949,AD$5)="",2,0)),0)</f>
        <v>0</v>
      </c>
      <c r="AE949" s="313">
        <f>IFERROR(IF(INDEX([1]Pivot!$BF$1:$CG$65000,$B949,AE$5)=1,1,IF(INDEX([1]Pivot!$B$1:$AB$65000,$B949,AE$5)="",2,0)),0)</f>
        <v>0</v>
      </c>
      <c r="AF949" s="313">
        <f>IFERROR(IF(INDEX([1]Pivot!$BF$1:$CG$65000,$B949,AF$5)=1,1,IF(INDEX([1]Pivot!$B$1:$AB$65000,$B949,AF$5)="",2,0)),0)</f>
        <v>0</v>
      </c>
      <c r="AG949" s="313">
        <f>IFERROR(IF(INDEX([1]Pivot!$BF$1:$CG$65000,$B949,AG$5)=1,1,IF(INDEX([1]Pivot!$B$1:$AB$65000,$B949,AG$5)="",2,0)),0)</f>
        <v>0</v>
      </c>
      <c r="AH949" s="313">
        <f>IFERROR(IF(INDEX([1]Pivot!$BF$1:$CG$65000,$B949,AH$5)=1,1,IF(INDEX([1]Pivot!$B$1:$AB$65000,$B949,AH$5)="",2,0)),0)</f>
        <v>0</v>
      </c>
      <c r="AI949" s="313">
        <f>IFERROR(IF(INDEX([1]Pivot!$BF$1:$CG$65000,$B949,AI$5)=1,1,IF(INDEX([1]Pivot!$B$1:$AB$65000,$B949,AI$5)="",2,0)),0)</f>
        <v>0</v>
      </c>
      <c r="AJ949" s="313">
        <f>IFERROR(IF(INDEX([1]Pivot!$BF$1:$CG$65000,$B949,AJ$5)=1,1,IF(INDEX([1]Pivot!$B$1:$AB$65000,$B949,AJ$5)="",2,0)),0)</f>
        <v>0</v>
      </c>
      <c r="AK949" s="313">
        <f>IFERROR(IF(INDEX([1]Pivot!$BF$1:$CG$65000,$B949,AK$5)=1,1,IF(INDEX([1]Pivot!$B$1:$AB$65000,$B949,AK$5)="",2,0)),0)</f>
        <v>0</v>
      </c>
      <c r="AL949" s="313">
        <f>IFERROR(IF(INDEX([1]Pivot!$BF$1:$CG$65000,$B949,AL$5)=1,1,IF(INDEX([1]Pivot!$B$1:$AB$65000,$B949,AL$5)="",2,0)),0)</f>
        <v>0</v>
      </c>
      <c r="AM949" s="313">
        <f>IFERROR(IF(INDEX([1]Pivot!$BF$1:$CG$65000,$B949,AM$5)=1,1,IF(INDEX([1]Pivot!$B$1:$AB$65000,$B949,AM$5)="",2,0)),0)</f>
        <v>0</v>
      </c>
      <c r="AN949" s="313">
        <f>IFERROR(IF(INDEX([1]Pivot!$BF$1:$CG$65000,$B949,AN$5)=1,1,IF(INDEX([1]Pivot!$B$1:$AB$65000,$B949,AN$5)="",2,0)),0)</f>
        <v>0</v>
      </c>
      <c r="AO949" s="313">
        <f>IFERROR(IF(INDEX([1]Pivot!$BF$1:$CG$65000,$B949,AO$5)=1,1,IF(INDEX([1]Pivot!$B$1:$AB$65000,$B949,AO$5)="",2,0)),0)</f>
        <v>0</v>
      </c>
      <c r="AP949" s="313">
        <f>IFERROR(IF(INDEX([1]Pivot!$BF$1:$CG$65000,$B949,AP$5)=1,1,IF(INDEX([1]Pivot!$B$1:$AB$65000,$B949,AP$5)="",2,0)),0)</f>
        <v>0</v>
      </c>
      <c r="AQ949" s="313">
        <f>IFERROR(IF(INDEX([1]Pivot!$BF$1:$CG$65000,$B949,AQ$5)=1,1,IF(INDEX([1]Pivot!$B$1:$AB$65000,$B949,AQ$5)="",2,0)),0)</f>
        <v>0</v>
      </c>
      <c r="AR949" s="313">
        <f>IFERROR(IF(INDEX([1]Pivot!$BF$1:$CG$65000,$B949,AR$5)=1,1,IF(INDEX([1]Pivot!$B$1:$AB$65000,$B949,AR$5)="",2,0)),0)</f>
        <v>0</v>
      </c>
      <c r="AS949" s="312"/>
      <c r="AT949" s="313">
        <f>IFERROR(IF(INDEX([1]Pivot!$BF$1:$CG$65000,$B949,AT$5)=1,1,IF(INDEX([1]Pivot!$B$1:$AB$65000,$B949,AT$5)="",2,0)),0)</f>
        <v>0</v>
      </c>
      <c r="AU949" s="313">
        <f>IFERROR(IF(INDEX([1]Pivot!$BF$1:$CG$65000,$B949,AU$5)=1,1,IF(INDEX([1]Pivot!$B$1:$AB$65000,$B949,AU$5)="",2,0)),0)</f>
        <v>0</v>
      </c>
      <c r="AV949" s="313">
        <f>IFERROR(IF(INDEX([1]Pivot!$BF$1:$CG$65000,$B949,AV$5)=1,1,IF(INDEX([1]Pivot!$B$1:$AB$65000,$B949,AV$5)="",2,0)),0)</f>
        <v>0</v>
      </c>
      <c r="AW949" s="313">
        <f>IFERROR(IF(INDEX([1]Pivot!$BF$1:$CG$65000,$B949,AW$5)=1,1,IF(INDEX([1]Pivot!$B$1:$AB$65000,$B949,AW$5)="",2,0)),0)</f>
        <v>0</v>
      </c>
      <c r="AX949" s="313">
        <f>IFERROR(IF(INDEX([1]Pivot!$BF$1:$CG$65000,$B949,AX$5)=1,1,IF(INDEX([1]Pivot!$B$1:$AB$65000,$B949,AX$5)="",2,0)),0)</f>
        <v>0</v>
      </c>
      <c r="AY949" s="313">
        <f>IFERROR(IF(INDEX([1]Pivot!$BF$1:$CG$65000,$B949,AY$5)=1,1,IF(INDEX([1]Pivot!$B$1:$AB$65000,$B949,AY$5)="",2,0)),0)</f>
        <v>0</v>
      </c>
      <c r="AZ949" s="313">
        <f>IFERROR(IF(INDEX([1]Pivot!$BF$1:$CG$65000,$B949,AZ$5)=1,1,IF(INDEX([1]Pivot!$B$1:$AB$65000,$B949,AZ$5)="",2,0)),0)</f>
        <v>0</v>
      </c>
      <c r="BA949" s="313">
        <f>IFERROR(IF(INDEX([1]Pivot!$BF$1:$CG$65000,$B949,BA$5)=1,1,IF(INDEX([1]Pivot!$B$1:$AB$65000,$B949,BA$5)="",2,0)),0)</f>
        <v>0</v>
      </c>
      <c r="BB949" s="313">
        <f>IFERROR(IF(INDEX([1]Pivot!$BF$1:$CG$65000,$B949,BB$5)=1,1,IF(INDEX([1]Pivot!$B$1:$AB$65000,$B949,BB$5)="",2,0)),0)</f>
        <v>0</v>
      </c>
      <c r="BC949" s="313">
        <f>IFERROR(IF(INDEX([1]Pivot!$BF$1:$CG$65000,$B949,BC$5)=1,1,IF(INDEX([1]Pivot!$B$1:$AB$65000,$B949,BC$5)="",2,0)),0)</f>
        <v>0</v>
      </c>
      <c r="BD949" s="313">
        <f>IFERROR(IF(INDEX([1]Pivot!$BF$1:$CG$65000,$B949,BD$5)=1,1,IF(INDEX([1]Pivot!$B$1:$AB$65000,$B949,BD$5)="",2,0)),0)</f>
        <v>0</v>
      </c>
    </row>
    <row r="950" spans="1:56" x14ac:dyDescent="0.25">
      <c r="A950" s="288">
        <f>'[2]Raw Milk Prices'!A950</f>
        <v>0</v>
      </c>
      <c r="B950" s="296" t="e">
        <f>MATCH(DATE(LEFT('[2]Raw Milk Prices'!$A950,4),RIGHT('[2]Raw Milk Prices'!$A950,2),1),[1]Pivot!$A$1:$A$65000,0)</f>
        <v>#VALUE!</v>
      </c>
      <c r="C950" s="194">
        <f>IFERROR(IF(INDEX([1]Pivot!$AD$1:$BE$65000,$B950,C$5)=1,1,IF(INDEX([1]Pivot!$B$1:$AB$65000,$B950,C$5)="",2,0)),0)</f>
        <v>0</v>
      </c>
      <c r="D950" s="194">
        <f>IFERROR(IF(INDEX([1]Pivot!$AD$1:$BE$65000,$B950,D$5)=1,1,IF(INDEX([1]Pivot!$B$1:$AB$65000,$B950,D$5)="",2,0)),0)</f>
        <v>0</v>
      </c>
      <c r="E950" s="194">
        <f>IFERROR(IF(INDEX([1]Pivot!$AD$1:$BE$65000,$B950,E$5)=1,1,IF(INDEX([1]Pivot!$B$1:$AB$65000,$B950,E$5)="",2,0)),0)</f>
        <v>0</v>
      </c>
      <c r="F950" s="194">
        <f>IFERROR(IF(INDEX([1]Pivot!$AD$1:$BE$65000,$B950,F$5)=1,1,IF(INDEX([1]Pivot!$B$1:$AB$65000,$B950,F$5)="",2,0)),0)</f>
        <v>0</v>
      </c>
      <c r="G950" s="194">
        <f>IFERROR(IF(INDEX([1]Pivot!$AD$1:$BE$65000,$B950,G$5)=1,1,IF(INDEX([1]Pivot!$B$1:$AB$65000,$B950,G$5)="",2,0)),0)</f>
        <v>0</v>
      </c>
      <c r="H950" s="194">
        <f>IFERROR(IF(INDEX([1]Pivot!$AD$1:$BE$65000,$B950,H$5)=1,1,IF(INDEX([1]Pivot!$B$1:$AB$65000,$B950,H$5)="",2,0)),0)</f>
        <v>0</v>
      </c>
      <c r="I950" s="194">
        <f>IFERROR(IF(INDEX([1]Pivot!$AD$1:$BE$65000,$B950,I$5)=1,1,IF(INDEX([1]Pivot!$B$1:$AB$65000,$B950,I$5)="",2,0)),0)</f>
        <v>0</v>
      </c>
      <c r="J950" s="194">
        <f>IFERROR(IF(INDEX([1]Pivot!$AD$1:$BE$65000,$B950,J$5)=1,1,IF(INDEX([1]Pivot!$B$1:$AB$65000,$B950,J$5)="",2,0)),0)</f>
        <v>0</v>
      </c>
      <c r="K950" s="194">
        <f>IFERROR(IF(INDEX([1]Pivot!$AD$1:$BE$65000,$B950,K$5)=1,1,IF(INDEX([1]Pivot!$B$1:$AB$65000,$B950,K$5)="",2,0)),0)</f>
        <v>0</v>
      </c>
      <c r="L950" s="194">
        <f>IFERROR(IF(INDEX([1]Pivot!$AD$1:$BE$65000,$B950,L$5)=1,1,IF(INDEX([1]Pivot!$B$1:$AB$65000,$B950,L$5)="",2,0)),0)</f>
        <v>0</v>
      </c>
      <c r="M950" s="194">
        <f>IFERROR(IF(INDEX([1]Pivot!$AD$1:$BE$65000,$B950,M$5)=1,1,IF(INDEX([1]Pivot!$B$1:$AB$65000,$B950,M$5)="",2,0)),0)</f>
        <v>0</v>
      </c>
      <c r="N950" s="194">
        <f>IFERROR(IF(INDEX([1]Pivot!$AD$1:$BE$65000,$B950,N$5)=1,1,IF(INDEX([1]Pivot!$B$1:$AB$65000,$B950,N$5)="",2,0)),0)</f>
        <v>0</v>
      </c>
      <c r="O950" s="194">
        <f>IFERROR(IF(INDEX([1]Pivot!$AD$1:$BE$65000,$B950,O$5)=1,1,IF(INDEX([1]Pivot!$B$1:$AB$65000,$B950,O$5)="",2,0)),0)</f>
        <v>0</v>
      </c>
      <c r="P950" s="194">
        <f>IFERROR(IF(INDEX([1]Pivot!$AD$1:$BE$65000,$B950,P$5)=1,1,IF(INDEX([1]Pivot!$B$1:$AB$65000,$B950,P$5)="",2,0)),0)</f>
        <v>0</v>
      </c>
      <c r="Q950" s="194">
        <f>IFERROR(IF(INDEX([1]Pivot!$AD$1:$BE$65000,$B950,Q$5)=1,1,IF(INDEX([1]Pivot!$B$1:$AB$65000,$B950,Q$5)="",2,0)),0)</f>
        <v>0</v>
      </c>
      <c r="R950" s="312"/>
      <c r="S950" s="194">
        <f>IFERROR(IF(INDEX([1]Pivot!$AD$1:$BE$65000,$B950,S$5)=1,1,IF(INDEX([1]Pivot!$B$1:$AB$65000,$B950,S$5)="",2,0)),0)</f>
        <v>0</v>
      </c>
      <c r="T950" s="194">
        <f>IFERROR(IF(INDEX([1]Pivot!$AD$1:$BE$65000,$B950,T$5)=1,1,IF(INDEX([1]Pivot!$B$1:$AB$65000,$B950,T$5)="",2,0)),0)</f>
        <v>0</v>
      </c>
      <c r="U950" s="194">
        <f>IFERROR(IF(INDEX([1]Pivot!$AD$1:$BE$65000,$B950,U$5)=1,1,IF(INDEX([1]Pivot!$B$1:$AB$65000,$B950,U$5)="",2,0)),0)</f>
        <v>0</v>
      </c>
      <c r="V950" s="194">
        <f>IFERROR(IF(INDEX([1]Pivot!$AD$1:$BE$65000,$B950,V$5)=1,1,IF(INDEX([1]Pivot!$B$1:$AB$65000,$B950,V$5)="",2,0)),0)</f>
        <v>0</v>
      </c>
      <c r="W950" s="194">
        <f>IFERROR(IF(INDEX([1]Pivot!$AD$1:$BE$65000,$B950,W$5)=1,1,IF(INDEX([1]Pivot!$B$1:$AB$65000,$B950,W$5)="",2,0)),0)</f>
        <v>0</v>
      </c>
      <c r="X950" s="194">
        <f>IFERROR(IF(INDEX([1]Pivot!$AD$1:$BE$65000,$B950,X$5)=1,1,IF(INDEX([1]Pivot!$B$1:$AB$65000,$B950,X$5)="",2,0)),0)</f>
        <v>0</v>
      </c>
      <c r="Y950" s="194">
        <f>IFERROR(IF(INDEX([1]Pivot!$AD$1:$BE$65000,$B950,Y$5)=1,1,IF(INDEX([1]Pivot!$B$1:$AB$65000,$B950,Y$5)="",2,0)),0)</f>
        <v>0</v>
      </c>
      <c r="Z950" s="194">
        <f>IFERROR(IF(INDEX([1]Pivot!$AD$1:$BE$65000,$B950,Z$5)=1,1,IF(INDEX([1]Pivot!$B$1:$AB$65000,$B950,Z$5)="",2,0)),0)</f>
        <v>0</v>
      </c>
      <c r="AA950" s="194">
        <f>IFERROR(IF(INDEX([1]Pivot!$AD$1:$BE$65000,$B950,AA$5)=1,1,IF(INDEX([1]Pivot!$B$1:$AB$65000,$B950,AA$5)="",2,0)),0)</f>
        <v>0</v>
      </c>
      <c r="AB950" s="194">
        <f>IFERROR(IF(INDEX([1]Pivot!$AD$1:$BE$65000,$B950,AB$5)=1,1,IF(INDEX([1]Pivot!$B$1:$AB$65000,$B950,AB$5)="",2,0)),0)</f>
        <v>0</v>
      </c>
      <c r="AC950" s="194">
        <f>IFERROR(IF(INDEX([1]Pivot!$AD$1:$BE$65000,$B950,AC$5)=1,1,IF(INDEX([1]Pivot!$B$1:$AB$65000,$B950,AC$5)="",2,0)),0)</f>
        <v>0</v>
      </c>
      <c r="AD950" s="313">
        <f>IFERROR(IF(INDEX([1]Pivot!$BF$1:$CG$65000,$B950,AD$5)=1,1,IF(INDEX([1]Pivot!$B$1:$AB$65000,$B950,AD$5)="",2,0)),0)</f>
        <v>0</v>
      </c>
      <c r="AE950" s="313">
        <f>IFERROR(IF(INDEX([1]Pivot!$BF$1:$CG$65000,$B950,AE$5)=1,1,IF(INDEX([1]Pivot!$B$1:$AB$65000,$B950,AE$5)="",2,0)),0)</f>
        <v>0</v>
      </c>
      <c r="AF950" s="313">
        <f>IFERROR(IF(INDEX([1]Pivot!$BF$1:$CG$65000,$B950,AF$5)=1,1,IF(INDEX([1]Pivot!$B$1:$AB$65000,$B950,AF$5)="",2,0)),0)</f>
        <v>0</v>
      </c>
      <c r="AG950" s="313">
        <f>IFERROR(IF(INDEX([1]Pivot!$BF$1:$CG$65000,$B950,AG$5)=1,1,IF(INDEX([1]Pivot!$B$1:$AB$65000,$B950,AG$5)="",2,0)),0)</f>
        <v>0</v>
      </c>
      <c r="AH950" s="313">
        <f>IFERROR(IF(INDEX([1]Pivot!$BF$1:$CG$65000,$B950,AH$5)=1,1,IF(INDEX([1]Pivot!$B$1:$AB$65000,$B950,AH$5)="",2,0)),0)</f>
        <v>0</v>
      </c>
      <c r="AI950" s="313">
        <f>IFERROR(IF(INDEX([1]Pivot!$BF$1:$CG$65000,$B950,AI$5)=1,1,IF(INDEX([1]Pivot!$B$1:$AB$65000,$B950,AI$5)="",2,0)),0)</f>
        <v>0</v>
      </c>
      <c r="AJ950" s="313">
        <f>IFERROR(IF(INDEX([1]Pivot!$BF$1:$CG$65000,$B950,AJ$5)=1,1,IF(INDEX([1]Pivot!$B$1:$AB$65000,$B950,AJ$5)="",2,0)),0)</f>
        <v>0</v>
      </c>
      <c r="AK950" s="313">
        <f>IFERROR(IF(INDEX([1]Pivot!$BF$1:$CG$65000,$B950,AK$5)=1,1,IF(INDEX([1]Pivot!$B$1:$AB$65000,$B950,AK$5)="",2,0)),0)</f>
        <v>0</v>
      </c>
      <c r="AL950" s="313">
        <f>IFERROR(IF(INDEX([1]Pivot!$BF$1:$CG$65000,$B950,AL$5)=1,1,IF(INDEX([1]Pivot!$B$1:$AB$65000,$B950,AL$5)="",2,0)),0)</f>
        <v>0</v>
      </c>
      <c r="AM950" s="313">
        <f>IFERROR(IF(INDEX([1]Pivot!$BF$1:$CG$65000,$B950,AM$5)=1,1,IF(INDEX([1]Pivot!$B$1:$AB$65000,$B950,AM$5)="",2,0)),0)</f>
        <v>0</v>
      </c>
      <c r="AN950" s="313">
        <f>IFERROR(IF(INDEX([1]Pivot!$BF$1:$CG$65000,$B950,AN$5)=1,1,IF(INDEX([1]Pivot!$B$1:$AB$65000,$B950,AN$5)="",2,0)),0)</f>
        <v>0</v>
      </c>
      <c r="AO950" s="313">
        <f>IFERROR(IF(INDEX([1]Pivot!$BF$1:$CG$65000,$B950,AO$5)=1,1,IF(INDEX([1]Pivot!$B$1:$AB$65000,$B950,AO$5)="",2,0)),0)</f>
        <v>0</v>
      </c>
      <c r="AP950" s="313">
        <f>IFERROR(IF(INDEX([1]Pivot!$BF$1:$CG$65000,$B950,AP$5)=1,1,IF(INDEX([1]Pivot!$B$1:$AB$65000,$B950,AP$5)="",2,0)),0)</f>
        <v>0</v>
      </c>
      <c r="AQ950" s="313">
        <f>IFERROR(IF(INDEX([1]Pivot!$BF$1:$CG$65000,$B950,AQ$5)=1,1,IF(INDEX([1]Pivot!$B$1:$AB$65000,$B950,AQ$5)="",2,0)),0)</f>
        <v>0</v>
      </c>
      <c r="AR950" s="313">
        <f>IFERROR(IF(INDEX([1]Pivot!$BF$1:$CG$65000,$B950,AR$5)=1,1,IF(INDEX([1]Pivot!$B$1:$AB$65000,$B950,AR$5)="",2,0)),0)</f>
        <v>0</v>
      </c>
      <c r="AS950" s="312"/>
      <c r="AT950" s="313">
        <f>IFERROR(IF(INDEX([1]Pivot!$BF$1:$CG$65000,$B950,AT$5)=1,1,IF(INDEX([1]Pivot!$B$1:$AB$65000,$B950,AT$5)="",2,0)),0)</f>
        <v>0</v>
      </c>
      <c r="AU950" s="313">
        <f>IFERROR(IF(INDEX([1]Pivot!$BF$1:$CG$65000,$B950,AU$5)=1,1,IF(INDEX([1]Pivot!$B$1:$AB$65000,$B950,AU$5)="",2,0)),0)</f>
        <v>0</v>
      </c>
      <c r="AV950" s="313">
        <f>IFERROR(IF(INDEX([1]Pivot!$BF$1:$CG$65000,$B950,AV$5)=1,1,IF(INDEX([1]Pivot!$B$1:$AB$65000,$B950,AV$5)="",2,0)),0)</f>
        <v>0</v>
      </c>
      <c r="AW950" s="313">
        <f>IFERROR(IF(INDEX([1]Pivot!$BF$1:$CG$65000,$B950,AW$5)=1,1,IF(INDEX([1]Pivot!$B$1:$AB$65000,$B950,AW$5)="",2,0)),0)</f>
        <v>0</v>
      </c>
      <c r="AX950" s="313">
        <f>IFERROR(IF(INDEX([1]Pivot!$BF$1:$CG$65000,$B950,AX$5)=1,1,IF(INDEX([1]Pivot!$B$1:$AB$65000,$B950,AX$5)="",2,0)),0)</f>
        <v>0</v>
      </c>
      <c r="AY950" s="313">
        <f>IFERROR(IF(INDEX([1]Pivot!$BF$1:$CG$65000,$B950,AY$5)=1,1,IF(INDEX([1]Pivot!$B$1:$AB$65000,$B950,AY$5)="",2,0)),0)</f>
        <v>0</v>
      </c>
      <c r="AZ950" s="313">
        <f>IFERROR(IF(INDEX([1]Pivot!$BF$1:$CG$65000,$B950,AZ$5)=1,1,IF(INDEX([1]Pivot!$B$1:$AB$65000,$B950,AZ$5)="",2,0)),0)</f>
        <v>0</v>
      </c>
      <c r="BA950" s="313">
        <f>IFERROR(IF(INDEX([1]Pivot!$BF$1:$CG$65000,$B950,BA$5)=1,1,IF(INDEX([1]Pivot!$B$1:$AB$65000,$B950,BA$5)="",2,0)),0)</f>
        <v>0</v>
      </c>
      <c r="BB950" s="313">
        <f>IFERROR(IF(INDEX([1]Pivot!$BF$1:$CG$65000,$B950,BB$5)=1,1,IF(INDEX([1]Pivot!$B$1:$AB$65000,$B950,BB$5)="",2,0)),0)</f>
        <v>0</v>
      </c>
      <c r="BC950" s="313">
        <f>IFERROR(IF(INDEX([1]Pivot!$BF$1:$CG$65000,$B950,BC$5)=1,1,IF(INDEX([1]Pivot!$B$1:$AB$65000,$B950,BC$5)="",2,0)),0)</f>
        <v>0</v>
      </c>
      <c r="BD950" s="313">
        <f>IFERROR(IF(INDEX([1]Pivot!$BF$1:$CG$65000,$B950,BD$5)=1,1,IF(INDEX([1]Pivot!$B$1:$AB$65000,$B950,BD$5)="",2,0)),0)</f>
        <v>0</v>
      </c>
    </row>
    <row r="951" spans="1:56" x14ac:dyDescent="0.25">
      <c r="A951" s="288">
        <f>'[2]Raw Milk Prices'!A951</f>
        <v>0</v>
      </c>
      <c r="B951" s="296" t="e">
        <f>MATCH(DATE(LEFT('[2]Raw Milk Prices'!$A951,4),RIGHT('[2]Raw Milk Prices'!$A951,2),1),[1]Pivot!$A$1:$A$65000,0)</f>
        <v>#VALUE!</v>
      </c>
      <c r="C951" s="194">
        <f>IFERROR(IF(INDEX([1]Pivot!$AD$1:$BE$65000,$B951,C$5)=1,1,IF(INDEX([1]Pivot!$B$1:$AB$65000,$B951,C$5)="",2,0)),0)</f>
        <v>0</v>
      </c>
      <c r="D951" s="194">
        <f>IFERROR(IF(INDEX([1]Pivot!$AD$1:$BE$65000,$B951,D$5)=1,1,IF(INDEX([1]Pivot!$B$1:$AB$65000,$B951,D$5)="",2,0)),0)</f>
        <v>0</v>
      </c>
      <c r="E951" s="194">
        <f>IFERROR(IF(INDEX([1]Pivot!$AD$1:$BE$65000,$B951,E$5)=1,1,IF(INDEX([1]Pivot!$B$1:$AB$65000,$B951,E$5)="",2,0)),0)</f>
        <v>0</v>
      </c>
      <c r="F951" s="194">
        <f>IFERROR(IF(INDEX([1]Pivot!$AD$1:$BE$65000,$B951,F$5)=1,1,IF(INDEX([1]Pivot!$B$1:$AB$65000,$B951,F$5)="",2,0)),0)</f>
        <v>0</v>
      </c>
      <c r="G951" s="194">
        <f>IFERROR(IF(INDEX([1]Pivot!$AD$1:$BE$65000,$B951,G$5)=1,1,IF(INDEX([1]Pivot!$B$1:$AB$65000,$B951,G$5)="",2,0)),0)</f>
        <v>0</v>
      </c>
      <c r="H951" s="194">
        <f>IFERROR(IF(INDEX([1]Pivot!$AD$1:$BE$65000,$B951,H$5)=1,1,IF(INDEX([1]Pivot!$B$1:$AB$65000,$B951,H$5)="",2,0)),0)</f>
        <v>0</v>
      </c>
      <c r="I951" s="194">
        <f>IFERROR(IF(INDEX([1]Pivot!$AD$1:$BE$65000,$B951,I$5)=1,1,IF(INDEX([1]Pivot!$B$1:$AB$65000,$B951,I$5)="",2,0)),0)</f>
        <v>0</v>
      </c>
      <c r="J951" s="194">
        <f>IFERROR(IF(INDEX([1]Pivot!$AD$1:$BE$65000,$B951,J$5)=1,1,IF(INDEX([1]Pivot!$B$1:$AB$65000,$B951,J$5)="",2,0)),0)</f>
        <v>0</v>
      </c>
      <c r="K951" s="194">
        <f>IFERROR(IF(INDEX([1]Pivot!$AD$1:$BE$65000,$B951,K$5)=1,1,IF(INDEX([1]Pivot!$B$1:$AB$65000,$B951,K$5)="",2,0)),0)</f>
        <v>0</v>
      </c>
      <c r="L951" s="194">
        <f>IFERROR(IF(INDEX([1]Pivot!$AD$1:$BE$65000,$B951,L$5)=1,1,IF(INDEX([1]Pivot!$B$1:$AB$65000,$B951,L$5)="",2,0)),0)</f>
        <v>0</v>
      </c>
      <c r="M951" s="194">
        <f>IFERROR(IF(INDEX([1]Pivot!$AD$1:$BE$65000,$B951,M$5)=1,1,IF(INDEX([1]Pivot!$B$1:$AB$65000,$B951,M$5)="",2,0)),0)</f>
        <v>0</v>
      </c>
      <c r="N951" s="194">
        <f>IFERROR(IF(INDEX([1]Pivot!$AD$1:$BE$65000,$B951,N$5)=1,1,IF(INDEX([1]Pivot!$B$1:$AB$65000,$B951,N$5)="",2,0)),0)</f>
        <v>0</v>
      </c>
      <c r="O951" s="194">
        <f>IFERROR(IF(INDEX([1]Pivot!$AD$1:$BE$65000,$B951,O$5)=1,1,IF(INDEX([1]Pivot!$B$1:$AB$65000,$B951,O$5)="",2,0)),0)</f>
        <v>0</v>
      </c>
      <c r="P951" s="194">
        <f>IFERROR(IF(INDEX([1]Pivot!$AD$1:$BE$65000,$B951,P$5)=1,1,IF(INDEX([1]Pivot!$B$1:$AB$65000,$B951,P$5)="",2,0)),0)</f>
        <v>0</v>
      </c>
      <c r="Q951" s="194">
        <f>IFERROR(IF(INDEX([1]Pivot!$AD$1:$BE$65000,$B951,Q$5)=1,1,IF(INDEX([1]Pivot!$B$1:$AB$65000,$B951,Q$5)="",2,0)),0)</f>
        <v>0</v>
      </c>
      <c r="R951" s="312"/>
      <c r="S951" s="194">
        <f>IFERROR(IF(INDEX([1]Pivot!$AD$1:$BE$65000,$B951,S$5)=1,1,IF(INDEX([1]Pivot!$B$1:$AB$65000,$B951,S$5)="",2,0)),0)</f>
        <v>0</v>
      </c>
      <c r="T951" s="194">
        <f>IFERROR(IF(INDEX([1]Pivot!$AD$1:$BE$65000,$B951,T$5)=1,1,IF(INDEX([1]Pivot!$B$1:$AB$65000,$B951,T$5)="",2,0)),0)</f>
        <v>0</v>
      </c>
      <c r="U951" s="194">
        <f>IFERROR(IF(INDEX([1]Pivot!$AD$1:$BE$65000,$B951,U$5)=1,1,IF(INDEX([1]Pivot!$B$1:$AB$65000,$B951,U$5)="",2,0)),0)</f>
        <v>0</v>
      </c>
      <c r="V951" s="194">
        <f>IFERROR(IF(INDEX([1]Pivot!$AD$1:$BE$65000,$B951,V$5)=1,1,IF(INDEX([1]Pivot!$B$1:$AB$65000,$B951,V$5)="",2,0)),0)</f>
        <v>0</v>
      </c>
      <c r="W951" s="194">
        <f>IFERROR(IF(INDEX([1]Pivot!$AD$1:$BE$65000,$B951,W$5)=1,1,IF(INDEX([1]Pivot!$B$1:$AB$65000,$B951,W$5)="",2,0)),0)</f>
        <v>0</v>
      </c>
      <c r="X951" s="194">
        <f>IFERROR(IF(INDEX([1]Pivot!$AD$1:$BE$65000,$B951,X$5)=1,1,IF(INDEX([1]Pivot!$B$1:$AB$65000,$B951,X$5)="",2,0)),0)</f>
        <v>0</v>
      </c>
      <c r="Y951" s="194">
        <f>IFERROR(IF(INDEX([1]Pivot!$AD$1:$BE$65000,$B951,Y$5)=1,1,IF(INDEX([1]Pivot!$B$1:$AB$65000,$B951,Y$5)="",2,0)),0)</f>
        <v>0</v>
      </c>
      <c r="Z951" s="194">
        <f>IFERROR(IF(INDEX([1]Pivot!$AD$1:$BE$65000,$B951,Z$5)=1,1,IF(INDEX([1]Pivot!$B$1:$AB$65000,$B951,Z$5)="",2,0)),0)</f>
        <v>0</v>
      </c>
      <c r="AA951" s="194">
        <f>IFERROR(IF(INDEX([1]Pivot!$AD$1:$BE$65000,$B951,AA$5)=1,1,IF(INDEX([1]Pivot!$B$1:$AB$65000,$B951,AA$5)="",2,0)),0)</f>
        <v>0</v>
      </c>
      <c r="AB951" s="194">
        <f>IFERROR(IF(INDEX([1]Pivot!$AD$1:$BE$65000,$B951,AB$5)=1,1,IF(INDEX([1]Pivot!$B$1:$AB$65000,$B951,AB$5)="",2,0)),0)</f>
        <v>0</v>
      </c>
      <c r="AC951" s="194">
        <f>IFERROR(IF(INDEX([1]Pivot!$AD$1:$BE$65000,$B951,AC$5)=1,1,IF(INDEX([1]Pivot!$B$1:$AB$65000,$B951,AC$5)="",2,0)),0)</f>
        <v>0</v>
      </c>
      <c r="AD951" s="313">
        <f>IFERROR(IF(INDEX([1]Pivot!$BF$1:$CG$65000,$B951,AD$5)=1,1,IF(INDEX([1]Pivot!$B$1:$AB$65000,$B951,AD$5)="",2,0)),0)</f>
        <v>0</v>
      </c>
      <c r="AE951" s="313">
        <f>IFERROR(IF(INDEX([1]Pivot!$BF$1:$CG$65000,$B951,AE$5)=1,1,IF(INDEX([1]Pivot!$B$1:$AB$65000,$B951,AE$5)="",2,0)),0)</f>
        <v>0</v>
      </c>
      <c r="AF951" s="313">
        <f>IFERROR(IF(INDEX([1]Pivot!$BF$1:$CG$65000,$B951,AF$5)=1,1,IF(INDEX([1]Pivot!$B$1:$AB$65000,$B951,AF$5)="",2,0)),0)</f>
        <v>0</v>
      </c>
      <c r="AG951" s="313">
        <f>IFERROR(IF(INDEX([1]Pivot!$BF$1:$CG$65000,$B951,AG$5)=1,1,IF(INDEX([1]Pivot!$B$1:$AB$65000,$B951,AG$5)="",2,0)),0)</f>
        <v>0</v>
      </c>
      <c r="AH951" s="313">
        <f>IFERROR(IF(INDEX([1]Pivot!$BF$1:$CG$65000,$B951,AH$5)=1,1,IF(INDEX([1]Pivot!$B$1:$AB$65000,$B951,AH$5)="",2,0)),0)</f>
        <v>0</v>
      </c>
      <c r="AI951" s="313">
        <f>IFERROR(IF(INDEX([1]Pivot!$BF$1:$CG$65000,$B951,AI$5)=1,1,IF(INDEX([1]Pivot!$B$1:$AB$65000,$B951,AI$5)="",2,0)),0)</f>
        <v>0</v>
      </c>
      <c r="AJ951" s="313">
        <f>IFERROR(IF(INDEX([1]Pivot!$BF$1:$CG$65000,$B951,AJ$5)=1,1,IF(INDEX([1]Pivot!$B$1:$AB$65000,$B951,AJ$5)="",2,0)),0)</f>
        <v>0</v>
      </c>
      <c r="AK951" s="313">
        <f>IFERROR(IF(INDEX([1]Pivot!$BF$1:$CG$65000,$B951,AK$5)=1,1,IF(INDEX([1]Pivot!$B$1:$AB$65000,$B951,AK$5)="",2,0)),0)</f>
        <v>0</v>
      </c>
      <c r="AL951" s="313">
        <f>IFERROR(IF(INDEX([1]Pivot!$BF$1:$CG$65000,$B951,AL$5)=1,1,IF(INDEX([1]Pivot!$B$1:$AB$65000,$B951,AL$5)="",2,0)),0)</f>
        <v>0</v>
      </c>
      <c r="AM951" s="313">
        <f>IFERROR(IF(INDEX([1]Pivot!$BF$1:$CG$65000,$B951,AM$5)=1,1,IF(INDEX([1]Pivot!$B$1:$AB$65000,$B951,AM$5)="",2,0)),0)</f>
        <v>0</v>
      </c>
      <c r="AN951" s="313">
        <f>IFERROR(IF(INDEX([1]Pivot!$BF$1:$CG$65000,$B951,AN$5)=1,1,IF(INDEX([1]Pivot!$B$1:$AB$65000,$B951,AN$5)="",2,0)),0)</f>
        <v>0</v>
      </c>
      <c r="AO951" s="313">
        <f>IFERROR(IF(INDEX([1]Pivot!$BF$1:$CG$65000,$B951,AO$5)=1,1,IF(INDEX([1]Pivot!$B$1:$AB$65000,$B951,AO$5)="",2,0)),0)</f>
        <v>0</v>
      </c>
      <c r="AP951" s="313">
        <f>IFERROR(IF(INDEX([1]Pivot!$BF$1:$CG$65000,$B951,AP$5)=1,1,IF(INDEX([1]Pivot!$B$1:$AB$65000,$B951,AP$5)="",2,0)),0)</f>
        <v>0</v>
      </c>
      <c r="AQ951" s="313">
        <f>IFERROR(IF(INDEX([1]Pivot!$BF$1:$CG$65000,$B951,AQ$5)=1,1,IF(INDEX([1]Pivot!$B$1:$AB$65000,$B951,AQ$5)="",2,0)),0)</f>
        <v>0</v>
      </c>
      <c r="AR951" s="313">
        <f>IFERROR(IF(INDEX([1]Pivot!$BF$1:$CG$65000,$B951,AR$5)=1,1,IF(INDEX([1]Pivot!$B$1:$AB$65000,$B951,AR$5)="",2,0)),0)</f>
        <v>0</v>
      </c>
      <c r="AS951" s="312"/>
      <c r="AT951" s="313">
        <f>IFERROR(IF(INDEX([1]Pivot!$BF$1:$CG$65000,$B951,AT$5)=1,1,IF(INDEX([1]Pivot!$B$1:$AB$65000,$B951,AT$5)="",2,0)),0)</f>
        <v>0</v>
      </c>
      <c r="AU951" s="313">
        <f>IFERROR(IF(INDEX([1]Pivot!$BF$1:$CG$65000,$B951,AU$5)=1,1,IF(INDEX([1]Pivot!$B$1:$AB$65000,$B951,AU$5)="",2,0)),0)</f>
        <v>0</v>
      </c>
      <c r="AV951" s="313">
        <f>IFERROR(IF(INDEX([1]Pivot!$BF$1:$CG$65000,$B951,AV$5)=1,1,IF(INDEX([1]Pivot!$B$1:$AB$65000,$B951,AV$5)="",2,0)),0)</f>
        <v>0</v>
      </c>
      <c r="AW951" s="313">
        <f>IFERROR(IF(INDEX([1]Pivot!$BF$1:$CG$65000,$B951,AW$5)=1,1,IF(INDEX([1]Pivot!$B$1:$AB$65000,$B951,AW$5)="",2,0)),0)</f>
        <v>0</v>
      </c>
      <c r="AX951" s="313">
        <f>IFERROR(IF(INDEX([1]Pivot!$BF$1:$CG$65000,$B951,AX$5)=1,1,IF(INDEX([1]Pivot!$B$1:$AB$65000,$B951,AX$5)="",2,0)),0)</f>
        <v>0</v>
      </c>
      <c r="AY951" s="313">
        <f>IFERROR(IF(INDEX([1]Pivot!$BF$1:$CG$65000,$B951,AY$5)=1,1,IF(INDEX([1]Pivot!$B$1:$AB$65000,$B951,AY$5)="",2,0)),0)</f>
        <v>0</v>
      </c>
      <c r="AZ951" s="313">
        <f>IFERROR(IF(INDEX([1]Pivot!$BF$1:$CG$65000,$B951,AZ$5)=1,1,IF(INDEX([1]Pivot!$B$1:$AB$65000,$B951,AZ$5)="",2,0)),0)</f>
        <v>0</v>
      </c>
      <c r="BA951" s="313">
        <f>IFERROR(IF(INDEX([1]Pivot!$BF$1:$CG$65000,$B951,BA$5)=1,1,IF(INDEX([1]Pivot!$B$1:$AB$65000,$B951,BA$5)="",2,0)),0)</f>
        <v>0</v>
      </c>
      <c r="BB951" s="313">
        <f>IFERROR(IF(INDEX([1]Pivot!$BF$1:$CG$65000,$B951,BB$5)=1,1,IF(INDEX([1]Pivot!$B$1:$AB$65000,$B951,BB$5)="",2,0)),0)</f>
        <v>0</v>
      </c>
      <c r="BC951" s="313">
        <f>IFERROR(IF(INDEX([1]Pivot!$BF$1:$CG$65000,$B951,BC$5)=1,1,IF(INDEX([1]Pivot!$B$1:$AB$65000,$B951,BC$5)="",2,0)),0)</f>
        <v>0</v>
      </c>
      <c r="BD951" s="313">
        <f>IFERROR(IF(INDEX([1]Pivot!$BF$1:$CG$65000,$B951,BD$5)=1,1,IF(INDEX([1]Pivot!$B$1:$AB$65000,$B951,BD$5)="",2,0)),0)</f>
        <v>0</v>
      </c>
    </row>
    <row r="952" spans="1:56" x14ac:dyDescent="0.25">
      <c r="A952" s="288">
        <f>'[2]Raw Milk Prices'!A952</f>
        <v>0</v>
      </c>
      <c r="B952" s="296" t="e">
        <f>MATCH(DATE(LEFT('[2]Raw Milk Prices'!$A952,4),RIGHT('[2]Raw Milk Prices'!$A952,2),1),[1]Pivot!$A$1:$A$65000,0)</f>
        <v>#VALUE!</v>
      </c>
      <c r="C952" s="194">
        <f>IFERROR(IF(INDEX([1]Pivot!$AD$1:$BE$65000,$B952,C$5)=1,1,IF(INDEX([1]Pivot!$B$1:$AB$65000,$B952,C$5)="",2,0)),0)</f>
        <v>0</v>
      </c>
      <c r="D952" s="194">
        <f>IFERROR(IF(INDEX([1]Pivot!$AD$1:$BE$65000,$B952,D$5)=1,1,IF(INDEX([1]Pivot!$B$1:$AB$65000,$B952,D$5)="",2,0)),0)</f>
        <v>0</v>
      </c>
      <c r="E952" s="194">
        <f>IFERROR(IF(INDEX([1]Pivot!$AD$1:$BE$65000,$B952,E$5)=1,1,IF(INDEX([1]Pivot!$B$1:$AB$65000,$B952,E$5)="",2,0)),0)</f>
        <v>0</v>
      </c>
      <c r="F952" s="194">
        <f>IFERROR(IF(INDEX([1]Pivot!$AD$1:$BE$65000,$B952,F$5)=1,1,IF(INDEX([1]Pivot!$B$1:$AB$65000,$B952,F$5)="",2,0)),0)</f>
        <v>0</v>
      </c>
      <c r="G952" s="194">
        <f>IFERROR(IF(INDEX([1]Pivot!$AD$1:$BE$65000,$B952,G$5)=1,1,IF(INDEX([1]Pivot!$B$1:$AB$65000,$B952,G$5)="",2,0)),0)</f>
        <v>0</v>
      </c>
      <c r="H952" s="194">
        <f>IFERROR(IF(INDEX([1]Pivot!$AD$1:$BE$65000,$B952,H$5)=1,1,IF(INDEX([1]Pivot!$B$1:$AB$65000,$B952,H$5)="",2,0)),0)</f>
        <v>0</v>
      </c>
      <c r="I952" s="194">
        <f>IFERROR(IF(INDEX([1]Pivot!$AD$1:$BE$65000,$B952,I$5)=1,1,IF(INDEX([1]Pivot!$B$1:$AB$65000,$B952,I$5)="",2,0)),0)</f>
        <v>0</v>
      </c>
      <c r="J952" s="194">
        <f>IFERROR(IF(INDEX([1]Pivot!$AD$1:$BE$65000,$B952,J$5)=1,1,IF(INDEX([1]Pivot!$B$1:$AB$65000,$B952,J$5)="",2,0)),0)</f>
        <v>0</v>
      </c>
      <c r="K952" s="194">
        <f>IFERROR(IF(INDEX([1]Pivot!$AD$1:$BE$65000,$B952,K$5)=1,1,IF(INDEX([1]Pivot!$B$1:$AB$65000,$B952,K$5)="",2,0)),0)</f>
        <v>0</v>
      </c>
      <c r="L952" s="194">
        <f>IFERROR(IF(INDEX([1]Pivot!$AD$1:$BE$65000,$B952,L$5)=1,1,IF(INDEX([1]Pivot!$B$1:$AB$65000,$B952,L$5)="",2,0)),0)</f>
        <v>0</v>
      </c>
      <c r="M952" s="194">
        <f>IFERROR(IF(INDEX([1]Pivot!$AD$1:$BE$65000,$B952,M$5)=1,1,IF(INDEX([1]Pivot!$B$1:$AB$65000,$B952,M$5)="",2,0)),0)</f>
        <v>0</v>
      </c>
      <c r="N952" s="194">
        <f>IFERROR(IF(INDEX([1]Pivot!$AD$1:$BE$65000,$B952,N$5)=1,1,IF(INDEX([1]Pivot!$B$1:$AB$65000,$B952,N$5)="",2,0)),0)</f>
        <v>0</v>
      </c>
      <c r="O952" s="194">
        <f>IFERROR(IF(INDEX([1]Pivot!$AD$1:$BE$65000,$B952,O$5)=1,1,IF(INDEX([1]Pivot!$B$1:$AB$65000,$B952,O$5)="",2,0)),0)</f>
        <v>0</v>
      </c>
      <c r="P952" s="194">
        <f>IFERROR(IF(INDEX([1]Pivot!$AD$1:$BE$65000,$B952,P$5)=1,1,IF(INDEX([1]Pivot!$B$1:$AB$65000,$B952,P$5)="",2,0)),0)</f>
        <v>0</v>
      </c>
      <c r="Q952" s="194">
        <f>IFERROR(IF(INDEX([1]Pivot!$AD$1:$BE$65000,$B952,Q$5)=1,1,IF(INDEX([1]Pivot!$B$1:$AB$65000,$B952,Q$5)="",2,0)),0)</f>
        <v>0</v>
      </c>
      <c r="R952" s="312"/>
      <c r="S952" s="194">
        <f>IFERROR(IF(INDEX([1]Pivot!$AD$1:$BE$65000,$B952,S$5)=1,1,IF(INDEX([1]Pivot!$B$1:$AB$65000,$B952,S$5)="",2,0)),0)</f>
        <v>0</v>
      </c>
      <c r="T952" s="194">
        <f>IFERROR(IF(INDEX([1]Pivot!$AD$1:$BE$65000,$B952,T$5)=1,1,IF(INDEX([1]Pivot!$B$1:$AB$65000,$B952,T$5)="",2,0)),0)</f>
        <v>0</v>
      </c>
      <c r="U952" s="194">
        <f>IFERROR(IF(INDEX([1]Pivot!$AD$1:$BE$65000,$B952,U$5)=1,1,IF(INDEX([1]Pivot!$B$1:$AB$65000,$B952,U$5)="",2,0)),0)</f>
        <v>0</v>
      </c>
      <c r="V952" s="194">
        <f>IFERROR(IF(INDEX([1]Pivot!$AD$1:$BE$65000,$B952,V$5)=1,1,IF(INDEX([1]Pivot!$B$1:$AB$65000,$B952,V$5)="",2,0)),0)</f>
        <v>0</v>
      </c>
      <c r="W952" s="194">
        <f>IFERROR(IF(INDEX([1]Pivot!$AD$1:$BE$65000,$B952,W$5)=1,1,IF(INDEX([1]Pivot!$B$1:$AB$65000,$B952,W$5)="",2,0)),0)</f>
        <v>0</v>
      </c>
      <c r="X952" s="194">
        <f>IFERROR(IF(INDEX([1]Pivot!$AD$1:$BE$65000,$B952,X$5)=1,1,IF(INDEX([1]Pivot!$B$1:$AB$65000,$B952,X$5)="",2,0)),0)</f>
        <v>0</v>
      </c>
      <c r="Y952" s="194">
        <f>IFERROR(IF(INDEX([1]Pivot!$AD$1:$BE$65000,$B952,Y$5)=1,1,IF(INDEX([1]Pivot!$B$1:$AB$65000,$B952,Y$5)="",2,0)),0)</f>
        <v>0</v>
      </c>
      <c r="Z952" s="194">
        <f>IFERROR(IF(INDEX([1]Pivot!$AD$1:$BE$65000,$B952,Z$5)=1,1,IF(INDEX([1]Pivot!$B$1:$AB$65000,$B952,Z$5)="",2,0)),0)</f>
        <v>0</v>
      </c>
      <c r="AA952" s="194">
        <f>IFERROR(IF(INDEX([1]Pivot!$AD$1:$BE$65000,$B952,AA$5)=1,1,IF(INDEX([1]Pivot!$B$1:$AB$65000,$B952,AA$5)="",2,0)),0)</f>
        <v>0</v>
      </c>
      <c r="AB952" s="194">
        <f>IFERROR(IF(INDEX([1]Pivot!$AD$1:$BE$65000,$B952,AB$5)=1,1,IF(INDEX([1]Pivot!$B$1:$AB$65000,$B952,AB$5)="",2,0)),0)</f>
        <v>0</v>
      </c>
      <c r="AC952" s="194">
        <f>IFERROR(IF(INDEX([1]Pivot!$AD$1:$BE$65000,$B952,AC$5)=1,1,IF(INDEX([1]Pivot!$B$1:$AB$65000,$B952,AC$5)="",2,0)),0)</f>
        <v>0</v>
      </c>
      <c r="AD952" s="313">
        <f>IFERROR(IF(INDEX([1]Pivot!$BF$1:$CG$65000,$B952,AD$5)=1,1,IF(INDEX([1]Pivot!$B$1:$AB$65000,$B952,AD$5)="",2,0)),0)</f>
        <v>0</v>
      </c>
      <c r="AE952" s="313">
        <f>IFERROR(IF(INDEX([1]Pivot!$BF$1:$CG$65000,$B952,AE$5)=1,1,IF(INDEX([1]Pivot!$B$1:$AB$65000,$B952,AE$5)="",2,0)),0)</f>
        <v>0</v>
      </c>
      <c r="AF952" s="313">
        <f>IFERROR(IF(INDEX([1]Pivot!$BF$1:$CG$65000,$B952,AF$5)=1,1,IF(INDEX([1]Pivot!$B$1:$AB$65000,$B952,AF$5)="",2,0)),0)</f>
        <v>0</v>
      </c>
      <c r="AG952" s="313">
        <f>IFERROR(IF(INDEX([1]Pivot!$BF$1:$CG$65000,$B952,AG$5)=1,1,IF(INDEX([1]Pivot!$B$1:$AB$65000,$B952,AG$5)="",2,0)),0)</f>
        <v>0</v>
      </c>
      <c r="AH952" s="313">
        <f>IFERROR(IF(INDEX([1]Pivot!$BF$1:$CG$65000,$B952,AH$5)=1,1,IF(INDEX([1]Pivot!$B$1:$AB$65000,$B952,AH$5)="",2,0)),0)</f>
        <v>0</v>
      </c>
      <c r="AI952" s="313">
        <f>IFERROR(IF(INDEX([1]Pivot!$BF$1:$CG$65000,$B952,AI$5)=1,1,IF(INDEX([1]Pivot!$B$1:$AB$65000,$B952,AI$5)="",2,0)),0)</f>
        <v>0</v>
      </c>
      <c r="AJ952" s="313">
        <f>IFERROR(IF(INDEX([1]Pivot!$BF$1:$CG$65000,$B952,AJ$5)=1,1,IF(INDEX([1]Pivot!$B$1:$AB$65000,$B952,AJ$5)="",2,0)),0)</f>
        <v>0</v>
      </c>
      <c r="AK952" s="313">
        <f>IFERROR(IF(INDEX([1]Pivot!$BF$1:$CG$65000,$B952,AK$5)=1,1,IF(INDEX([1]Pivot!$B$1:$AB$65000,$B952,AK$5)="",2,0)),0)</f>
        <v>0</v>
      </c>
      <c r="AL952" s="313">
        <f>IFERROR(IF(INDEX([1]Pivot!$BF$1:$CG$65000,$B952,AL$5)=1,1,IF(INDEX([1]Pivot!$B$1:$AB$65000,$B952,AL$5)="",2,0)),0)</f>
        <v>0</v>
      </c>
      <c r="AM952" s="313">
        <f>IFERROR(IF(INDEX([1]Pivot!$BF$1:$CG$65000,$B952,AM$5)=1,1,IF(INDEX([1]Pivot!$B$1:$AB$65000,$B952,AM$5)="",2,0)),0)</f>
        <v>0</v>
      </c>
      <c r="AN952" s="313">
        <f>IFERROR(IF(INDEX([1]Pivot!$BF$1:$CG$65000,$B952,AN$5)=1,1,IF(INDEX([1]Pivot!$B$1:$AB$65000,$B952,AN$5)="",2,0)),0)</f>
        <v>0</v>
      </c>
      <c r="AO952" s="313">
        <f>IFERROR(IF(INDEX([1]Pivot!$BF$1:$CG$65000,$B952,AO$5)=1,1,IF(INDEX([1]Pivot!$B$1:$AB$65000,$B952,AO$5)="",2,0)),0)</f>
        <v>0</v>
      </c>
      <c r="AP952" s="313">
        <f>IFERROR(IF(INDEX([1]Pivot!$BF$1:$CG$65000,$B952,AP$5)=1,1,IF(INDEX([1]Pivot!$B$1:$AB$65000,$B952,AP$5)="",2,0)),0)</f>
        <v>0</v>
      </c>
      <c r="AQ952" s="313">
        <f>IFERROR(IF(INDEX([1]Pivot!$BF$1:$CG$65000,$B952,AQ$5)=1,1,IF(INDEX([1]Pivot!$B$1:$AB$65000,$B952,AQ$5)="",2,0)),0)</f>
        <v>0</v>
      </c>
      <c r="AR952" s="313">
        <f>IFERROR(IF(INDEX([1]Pivot!$BF$1:$CG$65000,$B952,AR$5)=1,1,IF(INDEX([1]Pivot!$B$1:$AB$65000,$B952,AR$5)="",2,0)),0)</f>
        <v>0</v>
      </c>
      <c r="AS952" s="312"/>
      <c r="AT952" s="313">
        <f>IFERROR(IF(INDEX([1]Pivot!$BF$1:$CG$65000,$B952,AT$5)=1,1,IF(INDEX([1]Pivot!$B$1:$AB$65000,$B952,AT$5)="",2,0)),0)</f>
        <v>0</v>
      </c>
      <c r="AU952" s="313">
        <f>IFERROR(IF(INDEX([1]Pivot!$BF$1:$CG$65000,$B952,AU$5)=1,1,IF(INDEX([1]Pivot!$B$1:$AB$65000,$B952,AU$5)="",2,0)),0)</f>
        <v>0</v>
      </c>
      <c r="AV952" s="313">
        <f>IFERROR(IF(INDEX([1]Pivot!$BF$1:$CG$65000,$B952,AV$5)=1,1,IF(INDEX([1]Pivot!$B$1:$AB$65000,$B952,AV$5)="",2,0)),0)</f>
        <v>0</v>
      </c>
      <c r="AW952" s="313">
        <f>IFERROR(IF(INDEX([1]Pivot!$BF$1:$CG$65000,$B952,AW$5)=1,1,IF(INDEX([1]Pivot!$B$1:$AB$65000,$B952,AW$5)="",2,0)),0)</f>
        <v>0</v>
      </c>
      <c r="AX952" s="313">
        <f>IFERROR(IF(INDEX([1]Pivot!$BF$1:$CG$65000,$B952,AX$5)=1,1,IF(INDEX([1]Pivot!$B$1:$AB$65000,$B952,AX$5)="",2,0)),0)</f>
        <v>0</v>
      </c>
      <c r="AY952" s="313">
        <f>IFERROR(IF(INDEX([1]Pivot!$BF$1:$CG$65000,$B952,AY$5)=1,1,IF(INDEX([1]Pivot!$B$1:$AB$65000,$B952,AY$5)="",2,0)),0)</f>
        <v>0</v>
      </c>
      <c r="AZ952" s="313">
        <f>IFERROR(IF(INDEX([1]Pivot!$BF$1:$CG$65000,$B952,AZ$5)=1,1,IF(INDEX([1]Pivot!$B$1:$AB$65000,$B952,AZ$5)="",2,0)),0)</f>
        <v>0</v>
      </c>
      <c r="BA952" s="313">
        <f>IFERROR(IF(INDEX([1]Pivot!$BF$1:$CG$65000,$B952,BA$5)=1,1,IF(INDEX([1]Pivot!$B$1:$AB$65000,$B952,BA$5)="",2,0)),0)</f>
        <v>0</v>
      </c>
      <c r="BB952" s="313">
        <f>IFERROR(IF(INDEX([1]Pivot!$BF$1:$CG$65000,$B952,BB$5)=1,1,IF(INDEX([1]Pivot!$B$1:$AB$65000,$B952,BB$5)="",2,0)),0)</f>
        <v>0</v>
      </c>
      <c r="BC952" s="313">
        <f>IFERROR(IF(INDEX([1]Pivot!$BF$1:$CG$65000,$B952,BC$5)=1,1,IF(INDEX([1]Pivot!$B$1:$AB$65000,$B952,BC$5)="",2,0)),0)</f>
        <v>0</v>
      </c>
      <c r="BD952" s="313">
        <f>IFERROR(IF(INDEX([1]Pivot!$BF$1:$CG$65000,$B952,BD$5)=1,1,IF(INDEX([1]Pivot!$B$1:$AB$65000,$B952,BD$5)="",2,0)),0)</f>
        <v>0</v>
      </c>
    </row>
    <row r="953" spans="1:56" x14ac:dyDescent="0.25">
      <c r="A953" s="288">
        <f>'[2]Raw Milk Prices'!A953</f>
        <v>0</v>
      </c>
      <c r="B953" s="296" t="e">
        <f>MATCH(DATE(LEFT('[2]Raw Milk Prices'!$A953,4),RIGHT('[2]Raw Milk Prices'!$A953,2),1),[1]Pivot!$A$1:$A$65000,0)</f>
        <v>#VALUE!</v>
      </c>
      <c r="C953" s="194">
        <f>IFERROR(IF(INDEX([1]Pivot!$AD$1:$BE$65000,$B953,C$5)=1,1,IF(INDEX([1]Pivot!$B$1:$AB$65000,$B953,C$5)="",2,0)),0)</f>
        <v>0</v>
      </c>
      <c r="D953" s="194">
        <f>IFERROR(IF(INDEX([1]Pivot!$AD$1:$BE$65000,$B953,D$5)=1,1,IF(INDEX([1]Pivot!$B$1:$AB$65000,$B953,D$5)="",2,0)),0)</f>
        <v>0</v>
      </c>
      <c r="E953" s="194">
        <f>IFERROR(IF(INDEX([1]Pivot!$AD$1:$BE$65000,$B953,E$5)=1,1,IF(INDEX([1]Pivot!$B$1:$AB$65000,$B953,E$5)="",2,0)),0)</f>
        <v>0</v>
      </c>
      <c r="F953" s="194">
        <f>IFERROR(IF(INDEX([1]Pivot!$AD$1:$BE$65000,$B953,F$5)=1,1,IF(INDEX([1]Pivot!$B$1:$AB$65000,$B953,F$5)="",2,0)),0)</f>
        <v>0</v>
      </c>
      <c r="G953" s="194">
        <f>IFERROR(IF(INDEX([1]Pivot!$AD$1:$BE$65000,$B953,G$5)=1,1,IF(INDEX([1]Pivot!$B$1:$AB$65000,$B953,G$5)="",2,0)),0)</f>
        <v>0</v>
      </c>
      <c r="H953" s="194">
        <f>IFERROR(IF(INDEX([1]Pivot!$AD$1:$BE$65000,$B953,H$5)=1,1,IF(INDEX([1]Pivot!$B$1:$AB$65000,$B953,H$5)="",2,0)),0)</f>
        <v>0</v>
      </c>
      <c r="I953" s="194">
        <f>IFERROR(IF(INDEX([1]Pivot!$AD$1:$BE$65000,$B953,I$5)=1,1,IF(INDEX([1]Pivot!$B$1:$AB$65000,$B953,I$5)="",2,0)),0)</f>
        <v>0</v>
      </c>
      <c r="J953" s="194">
        <f>IFERROR(IF(INDEX([1]Pivot!$AD$1:$BE$65000,$B953,J$5)=1,1,IF(INDEX([1]Pivot!$B$1:$AB$65000,$B953,J$5)="",2,0)),0)</f>
        <v>0</v>
      </c>
      <c r="K953" s="194">
        <f>IFERROR(IF(INDEX([1]Pivot!$AD$1:$BE$65000,$B953,K$5)=1,1,IF(INDEX([1]Pivot!$B$1:$AB$65000,$B953,K$5)="",2,0)),0)</f>
        <v>0</v>
      </c>
      <c r="L953" s="194">
        <f>IFERROR(IF(INDEX([1]Pivot!$AD$1:$BE$65000,$B953,L$5)=1,1,IF(INDEX([1]Pivot!$B$1:$AB$65000,$B953,L$5)="",2,0)),0)</f>
        <v>0</v>
      </c>
      <c r="M953" s="194">
        <f>IFERROR(IF(INDEX([1]Pivot!$AD$1:$BE$65000,$B953,M$5)=1,1,IF(INDEX([1]Pivot!$B$1:$AB$65000,$B953,M$5)="",2,0)),0)</f>
        <v>0</v>
      </c>
      <c r="N953" s="194">
        <f>IFERROR(IF(INDEX([1]Pivot!$AD$1:$BE$65000,$B953,N$5)=1,1,IF(INDEX([1]Pivot!$B$1:$AB$65000,$B953,N$5)="",2,0)),0)</f>
        <v>0</v>
      </c>
      <c r="O953" s="194">
        <f>IFERROR(IF(INDEX([1]Pivot!$AD$1:$BE$65000,$B953,O$5)=1,1,IF(INDEX([1]Pivot!$B$1:$AB$65000,$B953,O$5)="",2,0)),0)</f>
        <v>0</v>
      </c>
      <c r="P953" s="194">
        <f>IFERROR(IF(INDEX([1]Pivot!$AD$1:$BE$65000,$B953,P$5)=1,1,IF(INDEX([1]Pivot!$B$1:$AB$65000,$B953,P$5)="",2,0)),0)</f>
        <v>0</v>
      </c>
      <c r="Q953" s="194">
        <f>IFERROR(IF(INDEX([1]Pivot!$AD$1:$BE$65000,$B953,Q$5)=1,1,IF(INDEX([1]Pivot!$B$1:$AB$65000,$B953,Q$5)="",2,0)),0)</f>
        <v>0</v>
      </c>
      <c r="R953" s="312"/>
      <c r="S953" s="194">
        <f>IFERROR(IF(INDEX([1]Pivot!$AD$1:$BE$65000,$B953,S$5)=1,1,IF(INDEX([1]Pivot!$B$1:$AB$65000,$B953,S$5)="",2,0)),0)</f>
        <v>0</v>
      </c>
      <c r="T953" s="194">
        <f>IFERROR(IF(INDEX([1]Pivot!$AD$1:$BE$65000,$B953,T$5)=1,1,IF(INDEX([1]Pivot!$B$1:$AB$65000,$B953,T$5)="",2,0)),0)</f>
        <v>0</v>
      </c>
      <c r="U953" s="194">
        <f>IFERROR(IF(INDEX([1]Pivot!$AD$1:$BE$65000,$B953,U$5)=1,1,IF(INDEX([1]Pivot!$B$1:$AB$65000,$B953,U$5)="",2,0)),0)</f>
        <v>0</v>
      </c>
      <c r="V953" s="194">
        <f>IFERROR(IF(INDEX([1]Pivot!$AD$1:$BE$65000,$B953,V$5)=1,1,IF(INDEX([1]Pivot!$B$1:$AB$65000,$B953,V$5)="",2,0)),0)</f>
        <v>0</v>
      </c>
      <c r="W953" s="194">
        <f>IFERROR(IF(INDEX([1]Pivot!$AD$1:$BE$65000,$B953,W$5)=1,1,IF(INDEX([1]Pivot!$B$1:$AB$65000,$B953,W$5)="",2,0)),0)</f>
        <v>0</v>
      </c>
      <c r="X953" s="194">
        <f>IFERROR(IF(INDEX([1]Pivot!$AD$1:$BE$65000,$B953,X$5)=1,1,IF(INDEX([1]Pivot!$B$1:$AB$65000,$B953,X$5)="",2,0)),0)</f>
        <v>0</v>
      </c>
      <c r="Y953" s="194">
        <f>IFERROR(IF(INDEX([1]Pivot!$AD$1:$BE$65000,$B953,Y$5)=1,1,IF(INDEX([1]Pivot!$B$1:$AB$65000,$B953,Y$5)="",2,0)),0)</f>
        <v>0</v>
      </c>
      <c r="Z953" s="194">
        <f>IFERROR(IF(INDEX([1]Pivot!$AD$1:$BE$65000,$B953,Z$5)=1,1,IF(INDEX([1]Pivot!$B$1:$AB$65000,$B953,Z$5)="",2,0)),0)</f>
        <v>0</v>
      </c>
      <c r="AA953" s="194">
        <f>IFERROR(IF(INDEX([1]Pivot!$AD$1:$BE$65000,$B953,AA$5)=1,1,IF(INDEX([1]Pivot!$B$1:$AB$65000,$B953,AA$5)="",2,0)),0)</f>
        <v>0</v>
      </c>
      <c r="AB953" s="194">
        <f>IFERROR(IF(INDEX([1]Pivot!$AD$1:$BE$65000,$B953,AB$5)=1,1,IF(INDEX([1]Pivot!$B$1:$AB$65000,$B953,AB$5)="",2,0)),0)</f>
        <v>0</v>
      </c>
      <c r="AC953" s="194">
        <f>IFERROR(IF(INDEX([1]Pivot!$AD$1:$BE$65000,$B953,AC$5)=1,1,IF(INDEX([1]Pivot!$B$1:$AB$65000,$B953,AC$5)="",2,0)),0)</f>
        <v>0</v>
      </c>
      <c r="AD953" s="313">
        <f>IFERROR(IF(INDEX([1]Pivot!$BF$1:$CG$65000,$B953,AD$5)=1,1,IF(INDEX([1]Pivot!$B$1:$AB$65000,$B953,AD$5)="",2,0)),0)</f>
        <v>0</v>
      </c>
      <c r="AE953" s="313">
        <f>IFERROR(IF(INDEX([1]Pivot!$BF$1:$CG$65000,$B953,AE$5)=1,1,IF(INDEX([1]Pivot!$B$1:$AB$65000,$B953,AE$5)="",2,0)),0)</f>
        <v>0</v>
      </c>
      <c r="AF953" s="313">
        <f>IFERROR(IF(INDEX([1]Pivot!$BF$1:$CG$65000,$B953,AF$5)=1,1,IF(INDEX([1]Pivot!$B$1:$AB$65000,$B953,AF$5)="",2,0)),0)</f>
        <v>0</v>
      </c>
      <c r="AG953" s="313">
        <f>IFERROR(IF(INDEX([1]Pivot!$BF$1:$CG$65000,$B953,AG$5)=1,1,IF(INDEX([1]Pivot!$B$1:$AB$65000,$B953,AG$5)="",2,0)),0)</f>
        <v>0</v>
      </c>
      <c r="AH953" s="313">
        <f>IFERROR(IF(INDEX([1]Pivot!$BF$1:$CG$65000,$B953,AH$5)=1,1,IF(INDEX([1]Pivot!$B$1:$AB$65000,$B953,AH$5)="",2,0)),0)</f>
        <v>0</v>
      </c>
      <c r="AI953" s="313">
        <f>IFERROR(IF(INDEX([1]Pivot!$BF$1:$CG$65000,$B953,AI$5)=1,1,IF(INDEX([1]Pivot!$B$1:$AB$65000,$B953,AI$5)="",2,0)),0)</f>
        <v>0</v>
      </c>
      <c r="AJ953" s="313">
        <f>IFERROR(IF(INDEX([1]Pivot!$BF$1:$CG$65000,$B953,AJ$5)=1,1,IF(INDEX([1]Pivot!$B$1:$AB$65000,$B953,AJ$5)="",2,0)),0)</f>
        <v>0</v>
      </c>
      <c r="AK953" s="313">
        <f>IFERROR(IF(INDEX([1]Pivot!$BF$1:$CG$65000,$B953,AK$5)=1,1,IF(INDEX([1]Pivot!$B$1:$AB$65000,$B953,AK$5)="",2,0)),0)</f>
        <v>0</v>
      </c>
      <c r="AL953" s="313">
        <f>IFERROR(IF(INDEX([1]Pivot!$BF$1:$CG$65000,$B953,AL$5)=1,1,IF(INDEX([1]Pivot!$B$1:$AB$65000,$B953,AL$5)="",2,0)),0)</f>
        <v>0</v>
      </c>
      <c r="AM953" s="313">
        <f>IFERROR(IF(INDEX([1]Pivot!$BF$1:$CG$65000,$B953,AM$5)=1,1,IF(INDEX([1]Pivot!$B$1:$AB$65000,$B953,AM$5)="",2,0)),0)</f>
        <v>0</v>
      </c>
      <c r="AN953" s="313">
        <f>IFERROR(IF(INDEX([1]Pivot!$BF$1:$CG$65000,$B953,AN$5)=1,1,IF(INDEX([1]Pivot!$B$1:$AB$65000,$B953,AN$5)="",2,0)),0)</f>
        <v>0</v>
      </c>
      <c r="AO953" s="313">
        <f>IFERROR(IF(INDEX([1]Pivot!$BF$1:$CG$65000,$B953,AO$5)=1,1,IF(INDEX([1]Pivot!$B$1:$AB$65000,$B953,AO$5)="",2,0)),0)</f>
        <v>0</v>
      </c>
      <c r="AP953" s="313">
        <f>IFERROR(IF(INDEX([1]Pivot!$BF$1:$CG$65000,$B953,AP$5)=1,1,IF(INDEX([1]Pivot!$B$1:$AB$65000,$B953,AP$5)="",2,0)),0)</f>
        <v>0</v>
      </c>
      <c r="AQ953" s="313">
        <f>IFERROR(IF(INDEX([1]Pivot!$BF$1:$CG$65000,$B953,AQ$5)=1,1,IF(INDEX([1]Pivot!$B$1:$AB$65000,$B953,AQ$5)="",2,0)),0)</f>
        <v>0</v>
      </c>
      <c r="AR953" s="313">
        <f>IFERROR(IF(INDEX([1]Pivot!$BF$1:$CG$65000,$B953,AR$5)=1,1,IF(INDEX([1]Pivot!$B$1:$AB$65000,$B953,AR$5)="",2,0)),0)</f>
        <v>0</v>
      </c>
      <c r="AS953" s="312"/>
      <c r="AT953" s="313">
        <f>IFERROR(IF(INDEX([1]Pivot!$BF$1:$CG$65000,$B953,AT$5)=1,1,IF(INDEX([1]Pivot!$B$1:$AB$65000,$B953,AT$5)="",2,0)),0)</f>
        <v>0</v>
      </c>
      <c r="AU953" s="313">
        <f>IFERROR(IF(INDEX([1]Pivot!$BF$1:$CG$65000,$B953,AU$5)=1,1,IF(INDEX([1]Pivot!$B$1:$AB$65000,$B953,AU$5)="",2,0)),0)</f>
        <v>0</v>
      </c>
      <c r="AV953" s="313">
        <f>IFERROR(IF(INDEX([1]Pivot!$BF$1:$CG$65000,$B953,AV$5)=1,1,IF(INDEX([1]Pivot!$B$1:$AB$65000,$B953,AV$5)="",2,0)),0)</f>
        <v>0</v>
      </c>
      <c r="AW953" s="313">
        <f>IFERROR(IF(INDEX([1]Pivot!$BF$1:$CG$65000,$B953,AW$5)=1,1,IF(INDEX([1]Pivot!$B$1:$AB$65000,$B953,AW$5)="",2,0)),0)</f>
        <v>0</v>
      </c>
      <c r="AX953" s="313">
        <f>IFERROR(IF(INDEX([1]Pivot!$BF$1:$CG$65000,$B953,AX$5)=1,1,IF(INDEX([1]Pivot!$B$1:$AB$65000,$B953,AX$5)="",2,0)),0)</f>
        <v>0</v>
      </c>
      <c r="AY953" s="313">
        <f>IFERROR(IF(INDEX([1]Pivot!$BF$1:$CG$65000,$B953,AY$5)=1,1,IF(INDEX([1]Pivot!$B$1:$AB$65000,$B953,AY$5)="",2,0)),0)</f>
        <v>0</v>
      </c>
      <c r="AZ953" s="313">
        <f>IFERROR(IF(INDEX([1]Pivot!$BF$1:$CG$65000,$B953,AZ$5)=1,1,IF(INDEX([1]Pivot!$B$1:$AB$65000,$B953,AZ$5)="",2,0)),0)</f>
        <v>0</v>
      </c>
      <c r="BA953" s="313">
        <f>IFERROR(IF(INDEX([1]Pivot!$BF$1:$CG$65000,$B953,BA$5)=1,1,IF(INDEX([1]Pivot!$B$1:$AB$65000,$B953,BA$5)="",2,0)),0)</f>
        <v>0</v>
      </c>
      <c r="BB953" s="313">
        <f>IFERROR(IF(INDEX([1]Pivot!$BF$1:$CG$65000,$B953,BB$5)=1,1,IF(INDEX([1]Pivot!$B$1:$AB$65000,$B953,BB$5)="",2,0)),0)</f>
        <v>0</v>
      </c>
      <c r="BC953" s="313">
        <f>IFERROR(IF(INDEX([1]Pivot!$BF$1:$CG$65000,$B953,BC$5)=1,1,IF(INDEX([1]Pivot!$B$1:$AB$65000,$B953,BC$5)="",2,0)),0)</f>
        <v>0</v>
      </c>
      <c r="BD953" s="313">
        <f>IFERROR(IF(INDEX([1]Pivot!$BF$1:$CG$65000,$B953,BD$5)=1,1,IF(INDEX([1]Pivot!$B$1:$AB$65000,$B953,BD$5)="",2,0)),0)</f>
        <v>0</v>
      </c>
    </row>
    <row r="954" spans="1:56" x14ac:dyDescent="0.25">
      <c r="A954" s="288">
        <f>'[2]Raw Milk Prices'!A954</f>
        <v>0</v>
      </c>
      <c r="B954" s="296" t="e">
        <f>MATCH(DATE(LEFT('[2]Raw Milk Prices'!$A954,4),RIGHT('[2]Raw Milk Prices'!$A954,2),1),[1]Pivot!$A$1:$A$65000,0)</f>
        <v>#VALUE!</v>
      </c>
      <c r="C954" s="194">
        <f>IFERROR(IF(INDEX([1]Pivot!$AD$1:$BE$65000,$B954,C$5)=1,1,IF(INDEX([1]Pivot!$B$1:$AB$65000,$B954,C$5)="",2,0)),0)</f>
        <v>0</v>
      </c>
      <c r="D954" s="194">
        <f>IFERROR(IF(INDEX([1]Pivot!$AD$1:$BE$65000,$B954,D$5)=1,1,IF(INDEX([1]Pivot!$B$1:$AB$65000,$B954,D$5)="",2,0)),0)</f>
        <v>0</v>
      </c>
      <c r="E954" s="194">
        <f>IFERROR(IF(INDEX([1]Pivot!$AD$1:$BE$65000,$B954,E$5)=1,1,IF(INDEX([1]Pivot!$B$1:$AB$65000,$B954,E$5)="",2,0)),0)</f>
        <v>0</v>
      </c>
      <c r="F954" s="194">
        <f>IFERROR(IF(INDEX([1]Pivot!$AD$1:$BE$65000,$B954,F$5)=1,1,IF(INDEX([1]Pivot!$B$1:$AB$65000,$B954,F$5)="",2,0)),0)</f>
        <v>0</v>
      </c>
      <c r="G954" s="194">
        <f>IFERROR(IF(INDEX([1]Pivot!$AD$1:$BE$65000,$B954,G$5)=1,1,IF(INDEX([1]Pivot!$B$1:$AB$65000,$B954,G$5)="",2,0)),0)</f>
        <v>0</v>
      </c>
      <c r="H954" s="194">
        <f>IFERROR(IF(INDEX([1]Pivot!$AD$1:$BE$65000,$B954,H$5)=1,1,IF(INDEX([1]Pivot!$B$1:$AB$65000,$B954,H$5)="",2,0)),0)</f>
        <v>0</v>
      </c>
      <c r="I954" s="194">
        <f>IFERROR(IF(INDEX([1]Pivot!$AD$1:$BE$65000,$B954,I$5)=1,1,IF(INDEX([1]Pivot!$B$1:$AB$65000,$B954,I$5)="",2,0)),0)</f>
        <v>0</v>
      </c>
      <c r="J954" s="194">
        <f>IFERROR(IF(INDEX([1]Pivot!$AD$1:$BE$65000,$B954,J$5)=1,1,IF(INDEX([1]Pivot!$B$1:$AB$65000,$B954,J$5)="",2,0)),0)</f>
        <v>0</v>
      </c>
      <c r="K954" s="194">
        <f>IFERROR(IF(INDEX([1]Pivot!$AD$1:$BE$65000,$B954,K$5)=1,1,IF(INDEX([1]Pivot!$B$1:$AB$65000,$B954,K$5)="",2,0)),0)</f>
        <v>0</v>
      </c>
      <c r="L954" s="194">
        <f>IFERROR(IF(INDEX([1]Pivot!$AD$1:$BE$65000,$B954,L$5)=1,1,IF(INDEX([1]Pivot!$B$1:$AB$65000,$B954,L$5)="",2,0)),0)</f>
        <v>0</v>
      </c>
      <c r="M954" s="194">
        <f>IFERROR(IF(INDEX([1]Pivot!$AD$1:$BE$65000,$B954,M$5)=1,1,IF(INDEX([1]Pivot!$B$1:$AB$65000,$B954,M$5)="",2,0)),0)</f>
        <v>0</v>
      </c>
      <c r="N954" s="194">
        <f>IFERROR(IF(INDEX([1]Pivot!$AD$1:$BE$65000,$B954,N$5)=1,1,IF(INDEX([1]Pivot!$B$1:$AB$65000,$B954,N$5)="",2,0)),0)</f>
        <v>0</v>
      </c>
      <c r="O954" s="194">
        <f>IFERROR(IF(INDEX([1]Pivot!$AD$1:$BE$65000,$B954,O$5)=1,1,IF(INDEX([1]Pivot!$B$1:$AB$65000,$B954,O$5)="",2,0)),0)</f>
        <v>0</v>
      </c>
      <c r="P954" s="194">
        <f>IFERROR(IF(INDEX([1]Pivot!$AD$1:$BE$65000,$B954,P$5)=1,1,IF(INDEX([1]Pivot!$B$1:$AB$65000,$B954,P$5)="",2,0)),0)</f>
        <v>0</v>
      </c>
      <c r="Q954" s="194">
        <f>IFERROR(IF(INDEX([1]Pivot!$AD$1:$BE$65000,$B954,Q$5)=1,1,IF(INDEX([1]Pivot!$B$1:$AB$65000,$B954,Q$5)="",2,0)),0)</f>
        <v>0</v>
      </c>
      <c r="R954" s="312"/>
      <c r="S954" s="194">
        <f>IFERROR(IF(INDEX([1]Pivot!$AD$1:$BE$65000,$B954,S$5)=1,1,IF(INDEX([1]Pivot!$B$1:$AB$65000,$B954,S$5)="",2,0)),0)</f>
        <v>0</v>
      </c>
      <c r="T954" s="194">
        <f>IFERROR(IF(INDEX([1]Pivot!$AD$1:$BE$65000,$B954,T$5)=1,1,IF(INDEX([1]Pivot!$B$1:$AB$65000,$B954,T$5)="",2,0)),0)</f>
        <v>0</v>
      </c>
      <c r="U954" s="194">
        <f>IFERROR(IF(INDEX([1]Pivot!$AD$1:$BE$65000,$B954,U$5)=1,1,IF(INDEX([1]Pivot!$B$1:$AB$65000,$B954,U$5)="",2,0)),0)</f>
        <v>0</v>
      </c>
      <c r="V954" s="194">
        <f>IFERROR(IF(INDEX([1]Pivot!$AD$1:$BE$65000,$B954,V$5)=1,1,IF(INDEX([1]Pivot!$B$1:$AB$65000,$B954,V$5)="",2,0)),0)</f>
        <v>0</v>
      </c>
      <c r="W954" s="194">
        <f>IFERROR(IF(INDEX([1]Pivot!$AD$1:$BE$65000,$B954,W$5)=1,1,IF(INDEX([1]Pivot!$B$1:$AB$65000,$B954,W$5)="",2,0)),0)</f>
        <v>0</v>
      </c>
      <c r="X954" s="194">
        <f>IFERROR(IF(INDEX([1]Pivot!$AD$1:$BE$65000,$B954,X$5)=1,1,IF(INDEX([1]Pivot!$B$1:$AB$65000,$B954,X$5)="",2,0)),0)</f>
        <v>0</v>
      </c>
      <c r="Y954" s="194">
        <f>IFERROR(IF(INDEX([1]Pivot!$AD$1:$BE$65000,$B954,Y$5)=1,1,IF(INDEX([1]Pivot!$B$1:$AB$65000,$B954,Y$5)="",2,0)),0)</f>
        <v>0</v>
      </c>
      <c r="Z954" s="194">
        <f>IFERROR(IF(INDEX([1]Pivot!$AD$1:$BE$65000,$B954,Z$5)=1,1,IF(INDEX([1]Pivot!$B$1:$AB$65000,$B954,Z$5)="",2,0)),0)</f>
        <v>0</v>
      </c>
      <c r="AA954" s="194">
        <f>IFERROR(IF(INDEX([1]Pivot!$AD$1:$BE$65000,$B954,AA$5)=1,1,IF(INDEX([1]Pivot!$B$1:$AB$65000,$B954,AA$5)="",2,0)),0)</f>
        <v>0</v>
      </c>
      <c r="AB954" s="194">
        <f>IFERROR(IF(INDEX([1]Pivot!$AD$1:$BE$65000,$B954,AB$5)=1,1,IF(INDEX([1]Pivot!$B$1:$AB$65000,$B954,AB$5)="",2,0)),0)</f>
        <v>0</v>
      </c>
      <c r="AC954" s="194">
        <f>IFERROR(IF(INDEX([1]Pivot!$AD$1:$BE$65000,$B954,AC$5)=1,1,IF(INDEX([1]Pivot!$B$1:$AB$65000,$B954,AC$5)="",2,0)),0)</f>
        <v>0</v>
      </c>
      <c r="AD954" s="313">
        <f>IFERROR(IF(INDEX([1]Pivot!$BF$1:$CG$65000,$B954,AD$5)=1,1,IF(INDEX([1]Pivot!$B$1:$AB$65000,$B954,AD$5)="",2,0)),0)</f>
        <v>0</v>
      </c>
      <c r="AE954" s="313">
        <f>IFERROR(IF(INDEX([1]Pivot!$BF$1:$CG$65000,$B954,AE$5)=1,1,IF(INDEX([1]Pivot!$B$1:$AB$65000,$B954,AE$5)="",2,0)),0)</f>
        <v>0</v>
      </c>
      <c r="AF954" s="313">
        <f>IFERROR(IF(INDEX([1]Pivot!$BF$1:$CG$65000,$B954,AF$5)=1,1,IF(INDEX([1]Pivot!$B$1:$AB$65000,$B954,AF$5)="",2,0)),0)</f>
        <v>0</v>
      </c>
      <c r="AG954" s="313">
        <f>IFERROR(IF(INDEX([1]Pivot!$BF$1:$CG$65000,$B954,AG$5)=1,1,IF(INDEX([1]Pivot!$B$1:$AB$65000,$B954,AG$5)="",2,0)),0)</f>
        <v>0</v>
      </c>
      <c r="AH954" s="313">
        <f>IFERROR(IF(INDEX([1]Pivot!$BF$1:$CG$65000,$B954,AH$5)=1,1,IF(INDEX([1]Pivot!$B$1:$AB$65000,$B954,AH$5)="",2,0)),0)</f>
        <v>0</v>
      </c>
      <c r="AI954" s="313">
        <f>IFERROR(IF(INDEX([1]Pivot!$BF$1:$CG$65000,$B954,AI$5)=1,1,IF(INDEX([1]Pivot!$B$1:$AB$65000,$B954,AI$5)="",2,0)),0)</f>
        <v>0</v>
      </c>
      <c r="AJ954" s="313">
        <f>IFERROR(IF(INDEX([1]Pivot!$BF$1:$CG$65000,$B954,AJ$5)=1,1,IF(INDEX([1]Pivot!$B$1:$AB$65000,$B954,AJ$5)="",2,0)),0)</f>
        <v>0</v>
      </c>
      <c r="AK954" s="313">
        <f>IFERROR(IF(INDEX([1]Pivot!$BF$1:$CG$65000,$B954,AK$5)=1,1,IF(INDEX([1]Pivot!$B$1:$AB$65000,$B954,AK$5)="",2,0)),0)</f>
        <v>0</v>
      </c>
      <c r="AL954" s="313">
        <f>IFERROR(IF(INDEX([1]Pivot!$BF$1:$CG$65000,$B954,AL$5)=1,1,IF(INDEX([1]Pivot!$B$1:$AB$65000,$B954,AL$5)="",2,0)),0)</f>
        <v>0</v>
      </c>
      <c r="AM954" s="313">
        <f>IFERROR(IF(INDEX([1]Pivot!$BF$1:$CG$65000,$B954,AM$5)=1,1,IF(INDEX([1]Pivot!$B$1:$AB$65000,$B954,AM$5)="",2,0)),0)</f>
        <v>0</v>
      </c>
      <c r="AN954" s="313">
        <f>IFERROR(IF(INDEX([1]Pivot!$BF$1:$CG$65000,$B954,AN$5)=1,1,IF(INDEX([1]Pivot!$B$1:$AB$65000,$B954,AN$5)="",2,0)),0)</f>
        <v>0</v>
      </c>
      <c r="AO954" s="313">
        <f>IFERROR(IF(INDEX([1]Pivot!$BF$1:$CG$65000,$B954,AO$5)=1,1,IF(INDEX([1]Pivot!$B$1:$AB$65000,$B954,AO$5)="",2,0)),0)</f>
        <v>0</v>
      </c>
      <c r="AP954" s="313">
        <f>IFERROR(IF(INDEX([1]Pivot!$BF$1:$CG$65000,$B954,AP$5)=1,1,IF(INDEX([1]Pivot!$B$1:$AB$65000,$B954,AP$5)="",2,0)),0)</f>
        <v>0</v>
      </c>
      <c r="AQ954" s="313">
        <f>IFERROR(IF(INDEX([1]Pivot!$BF$1:$CG$65000,$B954,AQ$5)=1,1,IF(INDEX([1]Pivot!$B$1:$AB$65000,$B954,AQ$5)="",2,0)),0)</f>
        <v>0</v>
      </c>
      <c r="AR954" s="313">
        <f>IFERROR(IF(INDEX([1]Pivot!$BF$1:$CG$65000,$B954,AR$5)=1,1,IF(INDEX([1]Pivot!$B$1:$AB$65000,$B954,AR$5)="",2,0)),0)</f>
        <v>0</v>
      </c>
      <c r="AS954" s="312"/>
      <c r="AT954" s="313">
        <f>IFERROR(IF(INDEX([1]Pivot!$BF$1:$CG$65000,$B954,AT$5)=1,1,IF(INDEX([1]Pivot!$B$1:$AB$65000,$B954,AT$5)="",2,0)),0)</f>
        <v>0</v>
      </c>
      <c r="AU954" s="313">
        <f>IFERROR(IF(INDEX([1]Pivot!$BF$1:$CG$65000,$B954,AU$5)=1,1,IF(INDEX([1]Pivot!$B$1:$AB$65000,$B954,AU$5)="",2,0)),0)</f>
        <v>0</v>
      </c>
      <c r="AV954" s="313">
        <f>IFERROR(IF(INDEX([1]Pivot!$BF$1:$CG$65000,$B954,AV$5)=1,1,IF(INDEX([1]Pivot!$B$1:$AB$65000,$B954,AV$5)="",2,0)),0)</f>
        <v>0</v>
      </c>
      <c r="AW954" s="313">
        <f>IFERROR(IF(INDEX([1]Pivot!$BF$1:$CG$65000,$B954,AW$5)=1,1,IF(INDEX([1]Pivot!$B$1:$AB$65000,$B954,AW$5)="",2,0)),0)</f>
        <v>0</v>
      </c>
      <c r="AX954" s="313">
        <f>IFERROR(IF(INDEX([1]Pivot!$BF$1:$CG$65000,$B954,AX$5)=1,1,IF(INDEX([1]Pivot!$B$1:$AB$65000,$B954,AX$5)="",2,0)),0)</f>
        <v>0</v>
      </c>
      <c r="AY954" s="313">
        <f>IFERROR(IF(INDEX([1]Pivot!$BF$1:$CG$65000,$B954,AY$5)=1,1,IF(INDEX([1]Pivot!$B$1:$AB$65000,$B954,AY$5)="",2,0)),0)</f>
        <v>0</v>
      </c>
      <c r="AZ954" s="313">
        <f>IFERROR(IF(INDEX([1]Pivot!$BF$1:$CG$65000,$B954,AZ$5)=1,1,IF(INDEX([1]Pivot!$B$1:$AB$65000,$B954,AZ$5)="",2,0)),0)</f>
        <v>0</v>
      </c>
      <c r="BA954" s="313">
        <f>IFERROR(IF(INDEX([1]Pivot!$BF$1:$CG$65000,$B954,BA$5)=1,1,IF(INDEX([1]Pivot!$B$1:$AB$65000,$B954,BA$5)="",2,0)),0)</f>
        <v>0</v>
      </c>
      <c r="BB954" s="313">
        <f>IFERROR(IF(INDEX([1]Pivot!$BF$1:$CG$65000,$B954,BB$5)=1,1,IF(INDEX([1]Pivot!$B$1:$AB$65000,$B954,BB$5)="",2,0)),0)</f>
        <v>0</v>
      </c>
      <c r="BC954" s="313">
        <f>IFERROR(IF(INDEX([1]Pivot!$BF$1:$CG$65000,$B954,BC$5)=1,1,IF(INDEX([1]Pivot!$B$1:$AB$65000,$B954,BC$5)="",2,0)),0)</f>
        <v>0</v>
      </c>
      <c r="BD954" s="313">
        <f>IFERROR(IF(INDEX([1]Pivot!$BF$1:$CG$65000,$B954,BD$5)=1,1,IF(INDEX([1]Pivot!$B$1:$AB$65000,$B954,BD$5)="",2,0)),0)</f>
        <v>0</v>
      </c>
    </row>
    <row r="955" spans="1:56" x14ac:dyDescent="0.25">
      <c r="A955" s="288">
        <f>'[2]Raw Milk Prices'!A955</f>
        <v>0</v>
      </c>
      <c r="B955" s="296" t="e">
        <f>MATCH(DATE(LEFT('[2]Raw Milk Prices'!$A955,4),RIGHT('[2]Raw Milk Prices'!$A955,2),1),[1]Pivot!$A$1:$A$65000,0)</f>
        <v>#VALUE!</v>
      </c>
      <c r="C955" s="194">
        <f>IFERROR(IF(INDEX([1]Pivot!$AD$1:$BE$65000,$B955,C$5)=1,1,IF(INDEX([1]Pivot!$B$1:$AB$65000,$B955,C$5)="",2,0)),0)</f>
        <v>0</v>
      </c>
      <c r="D955" s="194">
        <f>IFERROR(IF(INDEX([1]Pivot!$AD$1:$BE$65000,$B955,D$5)=1,1,IF(INDEX([1]Pivot!$B$1:$AB$65000,$B955,D$5)="",2,0)),0)</f>
        <v>0</v>
      </c>
      <c r="E955" s="194">
        <f>IFERROR(IF(INDEX([1]Pivot!$AD$1:$BE$65000,$B955,E$5)=1,1,IF(INDEX([1]Pivot!$B$1:$AB$65000,$B955,E$5)="",2,0)),0)</f>
        <v>0</v>
      </c>
      <c r="F955" s="194">
        <f>IFERROR(IF(INDEX([1]Pivot!$AD$1:$BE$65000,$B955,F$5)=1,1,IF(INDEX([1]Pivot!$B$1:$AB$65000,$B955,F$5)="",2,0)),0)</f>
        <v>0</v>
      </c>
      <c r="G955" s="194">
        <f>IFERROR(IF(INDEX([1]Pivot!$AD$1:$BE$65000,$B955,G$5)=1,1,IF(INDEX([1]Pivot!$B$1:$AB$65000,$B955,G$5)="",2,0)),0)</f>
        <v>0</v>
      </c>
      <c r="H955" s="194">
        <f>IFERROR(IF(INDEX([1]Pivot!$AD$1:$BE$65000,$B955,H$5)=1,1,IF(INDEX([1]Pivot!$B$1:$AB$65000,$B955,H$5)="",2,0)),0)</f>
        <v>0</v>
      </c>
      <c r="I955" s="194">
        <f>IFERROR(IF(INDEX([1]Pivot!$AD$1:$BE$65000,$B955,I$5)=1,1,IF(INDEX([1]Pivot!$B$1:$AB$65000,$B955,I$5)="",2,0)),0)</f>
        <v>0</v>
      </c>
      <c r="J955" s="194">
        <f>IFERROR(IF(INDEX([1]Pivot!$AD$1:$BE$65000,$B955,J$5)=1,1,IF(INDEX([1]Pivot!$B$1:$AB$65000,$B955,J$5)="",2,0)),0)</f>
        <v>0</v>
      </c>
      <c r="K955" s="194">
        <f>IFERROR(IF(INDEX([1]Pivot!$AD$1:$BE$65000,$B955,K$5)=1,1,IF(INDEX([1]Pivot!$B$1:$AB$65000,$B955,K$5)="",2,0)),0)</f>
        <v>0</v>
      </c>
      <c r="L955" s="194">
        <f>IFERROR(IF(INDEX([1]Pivot!$AD$1:$BE$65000,$B955,L$5)=1,1,IF(INDEX([1]Pivot!$B$1:$AB$65000,$B955,L$5)="",2,0)),0)</f>
        <v>0</v>
      </c>
      <c r="M955" s="194">
        <f>IFERROR(IF(INDEX([1]Pivot!$AD$1:$BE$65000,$B955,M$5)=1,1,IF(INDEX([1]Pivot!$B$1:$AB$65000,$B955,M$5)="",2,0)),0)</f>
        <v>0</v>
      </c>
      <c r="N955" s="194">
        <f>IFERROR(IF(INDEX([1]Pivot!$AD$1:$BE$65000,$B955,N$5)=1,1,IF(INDEX([1]Pivot!$B$1:$AB$65000,$B955,N$5)="",2,0)),0)</f>
        <v>0</v>
      </c>
      <c r="O955" s="194">
        <f>IFERROR(IF(INDEX([1]Pivot!$AD$1:$BE$65000,$B955,O$5)=1,1,IF(INDEX([1]Pivot!$B$1:$AB$65000,$B955,O$5)="",2,0)),0)</f>
        <v>0</v>
      </c>
      <c r="P955" s="194">
        <f>IFERROR(IF(INDEX([1]Pivot!$AD$1:$BE$65000,$B955,P$5)=1,1,IF(INDEX([1]Pivot!$B$1:$AB$65000,$B955,P$5)="",2,0)),0)</f>
        <v>0</v>
      </c>
      <c r="Q955" s="194">
        <f>IFERROR(IF(INDEX([1]Pivot!$AD$1:$BE$65000,$B955,Q$5)=1,1,IF(INDEX([1]Pivot!$B$1:$AB$65000,$B955,Q$5)="",2,0)),0)</f>
        <v>0</v>
      </c>
      <c r="R955" s="312"/>
      <c r="S955" s="194">
        <f>IFERROR(IF(INDEX([1]Pivot!$AD$1:$BE$65000,$B955,S$5)=1,1,IF(INDEX([1]Pivot!$B$1:$AB$65000,$B955,S$5)="",2,0)),0)</f>
        <v>0</v>
      </c>
      <c r="T955" s="194">
        <f>IFERROR(IF(INDEX([1]Pivot!$AD$1:$BE$65000,$B955,T$5)=1,1,IF(INDEX([1]Pivot!$B$1:$AB$65000,$B955,T$5)="",2,0)),0)</f>
        <v>0</v>
      </c>
      <c r="U955" s="194">
        <f>IFERROR(IF(INDEX([1]Pivot!$AD$1:$BE$65000,$B955,U$5)=1,1,IF(INDEX([1]Pivot!$B$1:$AB$65000,$B955,U$5)="",2,0)),0)</f>
        <v>0</v>
      </c>
      <c r="V955" s="194">
        <f>IFERROR(IF(INDEX([1]Pivot!$AD$1:$BE$65000,$B955,V$5)=1,1,IF(INDEX([1]Pivot!$B$1:$AB$65000,$B955,V$5)="",2,0)),0)</f>
        <v>0</v>
      </c>
      <c r="W955" s="194">
        <f>IFERROR(IF(INDEX([1]Pivot!$AD$1:$BE$65000,$B955,W$5)=1,1,IF(INDEX([1]Pivot!$B$1:$AB$65000,$B955,W$5)="",2,0)),0)</f>
        <v>0</v>
      </c>
      <c r="X955" s="194">
        <f>IFERROR(IF(INDEX([1]Pivot!$AD$1:$BE$65000,$B955,X$5)=1,1,IF(INDEX([1]Pivot!$B$1:$AB$65000,$B955,X$5)="",2,0)),0)</f>
        <v>0</v>
      </c>
      <c r="Y955" s="194">
        <f>IFERROR(IF(INDEX([1]Pivot!$AD$1:$BE$65000,$B955,Y$5)=1,1,IF(INDEX([1]Pivot!$B$1:$AB$65000,$B955,Y$5)="",2,0)),0)</f>
        <v>0</v>
      </c>
      <c r="Z955" s="194">
        <f>IFERROR(IF(INDEX([1]Pivot!$AD$1:$BE$65000,$B955,Z$5)=1,1,IF(INDEX([1]Pivot!$B$1:$AB$65000,$B955,Z$5)="",2,0)),0)</f>
        <v>0</v>
      </c>
      <c r="AA955" s="194">
        <f>IFERROR(IF(INDEX([1]Pivot!$AD$1:$BE$65000,$B955,AA$5)=1,1,IF(INDEX([1]Pivot!$B$1:$AB$65000,$B955,AA$5)="",2,0)),0)</f>
        <v>0</v>
      </c>
      <c r="AB955" s="194">
        <f>IFERROR(IF(INDEX([1]Pivot!$AD$1:$BE$65000,$B955,AB$5)=1,1,IF(INDEX([1]Pivot!$B$1:$AB$65000,$B955,AB$5)="",2,0)),0)</f>
        <v>0</v>
      </c>
      <c r="AC955" s="194">
        <f>IFERROR(IF(INDEX([1]Pivot!$AD$1:$BE$65000,$B955,AC$5)=1,1,IF(INDEX([1]Pivot!$B$1:$AB$65000,$B955,AC$5)="",2,0)),0)</f>
        <v>0</v>
      </c>
      <c r="AD955" s="313">
        <f>IFERROR(IF(INDEX([1]Pivot!$BF$1:$CG$65000,$B955,AD$5)=1,1,IF(INDEX([1]Pivot!$B$1:$AB$65000,$B955,AD$5)="",2,0)),0)</f>
        <v>0</v>
      </c>
      <c r="AE955" s="313">
        <f>IFERROR(IF(INDEX([1]Pivot!$BF$1:$CG$65000,$B955,AE$5)=1,1,IF(INDEX([1]Pivot!$B$1:$AB$65000,$B955,AE$5)="",2,0)),0)</f>
        <v>0</v>
      </c>
      <c r="AF955" s="313">
        <f>IFERROR(IF(INDEX([1]Pivot!$BF$1:$CG$65000,$B955,AF$5)=1,1,IF(INDEX([1]Pivot!$B$1:$AB$65000,$B955,AF$5)="",2,0)),0)</f>
        <v>0</v>
      </c>
      <c r="AG955" s="313">
        <f>IFERROR(IF(INDEX([1]Pivot!$BF$1:$CG$65000,$B955,AG$5)=1,1,IF(INDEX([1]Pivot!$B$1:$AB$65000,$B955,AG$5)="",2,0)),0)</f>
        <v>0</v>
      </c>
      <c r="AH955" s="313">
        <f>IFERROR(IF(INDEX([1]Pivot!$BF$1:$CG$65000,$B955,AH$5)=1,1,IF(INDEX([1]Pivot!$B$1:$AB$65000,$B955,AH$5)="",2,0)),0)</f>
        <v>0</v>
      </c>
      <c r="AI955" s="313">
        <f>IFERROR(IF(INDEX([1]Pivot!$BF$1:$CG$65000,$B955,AI$5)=1,1,IF(INDEX([1]Pivot!$B$1:$AB$65000,$B955,AI$5)="",2,0)),0)</f>
        <v>0</v>
      </c>
      <c r="AJ955" s="313">
        <f>IFERROR(IF(INDEX([1]Pivot!$BF$1:$CG$65000,$B955,AJ$5)=1,1,IF(INDEX([1]Pivot!$B$1:$AB$65000,$B955,AJ$5)="",2,0)),0)</f>
        <v>0</v>
      </c>
      <c r="AK955" s="313">
        <f>IFERROR(IF(INDEX([1]Pivot!$BF$1:$CG$65000,$B955,AK$5)=1,1,IF(INDEX([1]Pivot!$B$1:$AB$65000,$B955,AK$5)="",2,0)),0)</f>
        <v>0</v>
      </c>
      <c r="AL955" s="313">
        <f>IFERROR(IF(INDEX([1]Pivot!$BF$1:$CG$65000,$B955,AL$5)=1,1,IF(INDEX([1]Pivot!$B$1:$AB$65000,$B955,AL$5)="",2,0)),0)</f>
        <v>0</v>
      </c>
      <c r="AM955" s="313">
        <f>IFERROR(IF(INDEX([1]Pivot!$BF$1:$CG$65000,$B955,AM$5)=1,1,IF(INDEX([1]Pivot!$B$1:$AB$65000,$B955,AM$5)="",2,0)),0)</f>
        <v>0</v>
      </c>
      <c r="AN955" s="313">
        <f>IFERROR(IF(INDEX([1]Pivot!$BF$1:$CG$65000,$B955,AN$5)=1,1,IF(INDEX([1]Pivot!$B$1:$AB$65000,$B955,AN$5)="",2,0)),0)</f>
        <v>0</v>
      </c>
      <c r="AO955" s="313">
        <f>IFERROR(IF(INDEX([1]Pivot!$BF$1:$CG$65000,$B955,AO$5)=1,1,IF(INDEX([1]Pivot!$B$1:$AB$65000,$B955,AO$5)="",2,0)),0)</f>
        <v>0</v>
      </c>
      <c r="AP955" s="313">
        <f>IFERROR(IF(INDEX([1]Pivot!$BF$1:$CG$65000,$B955,AP$5)=1,1,IF(INDEX([1]Pivot!$B$1:$AB$65000,$B955,AP$5)="",2,0)),0)</f>
        <v>0</v>
      </c>
      <c r="AQ955" s="313">
        <f>IFERROR(IF(INDEX([1]Pivot!$BF$1:$CG$65000,$B955,AQ$5)=1,1,IF(INDEX([1]Pivot!$B$1:$AB$65000,$B955,AQ$5)="",2,0)),0)</f>
        <v>0</v>
      </c>
      <c r="AR955" s="313">
        <f>IFERROR(IF(INDEX([1]Pivot!$BF$1:$CG$65000,$B955,AR$5)=1,1,IF(INDEX([1]Pivot!$B$1:$AB$65000,$B955,AR$5)="",2,0)),0)</f>
        <v>0</v>
      </c>
      <c r="AS955" s="312"/>
      <c r="AT955" s="313">
        <f>IFERROR(IF(INDEX([1]Pivot!$BF$1:$CG$65000,$B955,AT$5)=1,1,IF(INDEX([1]Pivot!$B$1:$AB$65000,$B955,AT$5)="",2,0)),0)</f>
        <v>0</v>
      </c>
      <c r="AU955" s="313">
        <f>IFERROR(IF(INDEX([1]Pivot!$BF$1:$CG$65000,$B955,AU$5)=1,1,IF(INDEX([1]Pivot!$B$1:$AB$65000,$B955,AU$5)="",2,0)),0)</f>
        <v>0</v>
      </c>
      <c r="AV955" s="313">
        <f>IFERROR(IF(INDEX([1]Pivot!$BF$1:$CG$65000,$B955,AV$5)=1,1,IF(INDEX([1]Pivot!$B$1:$AB$65000,$B955,AV$5)="",2,0)),0)</f>
        <v>0</v>
      </c>
      <c r="AW955" s="313">
        <f>IFERROR(IF(INDEX([1]Pivot!$BF$1:$CG$65000,$B955,AW$5)=1,1,IF(INDEX([1]Pivot!$B$1:$AB$65000,$B955,AW$5)="",2,0)),0)</f>
        <v>0</v>
      </c>
      <c r="AX955" s="313">
        <f>IFERROR(IF(INDEX([1]Pivot!$BF$1:$CG$65000,$B955,AX$5)=1,1,IF(INDEX([1]Pivot!$B$1:$AB$65000,$B955,AX$5)="",2,0)),0)</f>
        <v>0</v>
      </c>
      <c r="AY955" s="313">
        <f>IFERROR(IF(INDEX([1]Pivot!$BF$1:$CG$65000,$B955,AY$5)=1,1,IF(INDEX([1]Pivot!$B$1:$AB$65000,$B955,AY$5)="",2,0)),0)</f>
        <v>0</v>
      </c>
      <c r="AZ955" s="313">
        <f>IFERROR(IF(INDEX([1]Pivot!$BF$1:$CG$65000,$B955,AZ$5)=1,1,IF(INDEX([1]Pivot!$B$1:$AB$65000,$B955,AZ$5)="",2,0)),0)</f>
        <v>0</v>
      </c>
      <c r="BA955" s="313">
        <f>IFERROR(IF(INDEX([1]Pivot!$BF$1:$CG$65000,$B955,BA$5)=1,1,IF(INDEX([1]Pivot!$B$1:$AB$65000,$B955,BA$5)="",2,0)),0)</f>
        <v>0</v>
      </c>
      <c r="BB955" s="313">
        <f>IFERROR(IF(INDEX([1]Pivot!$BF$1:$CG$65000,$B955,BB$5)=1,1,IF(INDEX([1]Pivot!$B$1:$AB$65000,$B955,BB$5)="",2,0)),0)</f>
        <v>0</v>
      </c>
      <c r="BC955" s="313">
        <f>IFERROR(IF(INDEX([1]Pivot!$BF$1:$CG$65000,$B955,BC$5)=1,1,IF(INDEX([1]Pivot!$B$1:$AB$65000,$B955,BC$5)="",2,0)),0)</f>
        <v>0</v>
      </c>
      <c r="BD955" s="313">
        <f>IFERROR(IF(INDEX([1]Pivot!$BF$1:$CG$65000,$B955,BD$5)=1,1,IF(INDEX([1]Pivot!$B$1:$AB$65000,$B955,BD$5)="",2,0)),0)</f>
        <v>0</v>
      </c>
    </row>
    <row r="956" spans="1:56" x14ac:dyDescent="0.25">
      <c r="A956" s="288">
        <f>'[2]Raw Milk Prices'!A956</f>
        <v>0</v>
      </c>
      <c r="B956" s="296" t="e">
        <f>MATCH(DATE(LEFT('[2]Raw Milk Prices'!$A956,4),RIGHT('[2]Raw Milk Prices'!$A956,2),1),[1]Pivot!$A$1:$A$65000,0)</f>
        <v>#VALUE!</v>
      </c>
      <c r="C956" s="194">
        <f>IFERROR(IF(INDEX([1]Pivot!$AD$1:$BE$65000,$B956,C$5)=1,1,IF(INDEX([1]Pivot!$B$1:$AB$65000,$B956,C$5)="",2,0)),0)</f>
        <v>0</v>
      </c>
      <c r="D956" s="194">
        <f>IFERROR(IF(INDEX([1]Pivot!$AD$1:$BE$65000,$B956,D$5)=1,1,IF(INDEX([1]Pivot!$B$1:$AB$65000,$B956,D$5)="",2,0)),0)</f>
        <v>0</v>
      </c>
      <c r="E956" s="194">
        <f>IFERROR(IF(INDEX([1]Pivot!$AD$1:$BE$65000,$B956,E$5)=1,1,IF(INDEX([1]Pivot!$B$1:$AB$65000,$B956,E$5)="",2,0)),0)</f>
        <v>0</v>
      </c>
      <c r="F956" s="194">
        <f>IFERROR(IF(INDEX([1]Pivot!$AD$1:$BE$65000,$B956,F$5)=1,1,IF(INDEX([1]Pivot!$B$1:$AB$65000,$B956,F$5)="",2,0)),0)</f>
        <v>0</v>
      </c>
      <c r="G956" s="194">
        <f>IFERROR(IF(INDEX([1]Pivot!$AD$1:$BE$65000,$B956,G$5)=1,1,IF(INDEX([1]Pivot!$B$1:$AB$65000,$B956,G$5)="",2,0)),0)</f>
        <v>0</v>
      </c>
      <c r="H956" s="194">
        <f>IFERROR(IF(INDEX([1]Pivot!$AD$1:$BE$65000,$B956,H$5)=1,1,IF(INDEX([1]Pivot!$B$1:$AB$65000,$B956,H$5)="",2,0)),0)</f>
        <v>0</v>
      </c>
      <c r="I956" s="194">
        <f>IFERROR(IF(INDEX([1]Pivot!$AD$1:$BE$65000,$B956,I$5)=1,1,IF(INDEX([1]Pivot!$B$1:$AB$65000,$B956,I$5)="",2,0)),0)</f>
        <v>0</v>
      </c>
      <c r="J956" s="194">
        <f>IFERROR(IF(INDEX([1]Pivot!$AD$1:$BE$65000,$B956,J$5)=1,1,IF(INDEX([1]Pivot!$B$1:$AB$65000,$B956,J$5)="",2,0)),0)</f>
        <v>0</v>
      </c>
      <c r="K956" s="194">
        <f>IFERROR(IF(INDEX([1]Pivot!$AD$1:$BE$65000,$B956,K$5)=1,1,IF(INDEX([1]Pivot!$B$1:$AB$65000,$B956,K$5)="",2,0)),0)</f>
        <v>0</v>
      </c>
      <c r="L956" s="194">
        <f>IFERROR(IF(INDEX([1]Pivot!$AD$1:$BE$65000,$B956,L$5)=1,1,IF(INDEX([1]Pivot!$B$1:$AB$65000,$B956,L$5)="",2,0)),0)</f>
        <v>0</v>
      </c>
      <c r="M956" s="194">
        <f>IFERROR(IF(INDEX([1]Pivot!$AD$1:$BE$65000,$B956,M$5)=1,1,IF(INDEX([1]Pivot!$B$1:$AB$65000,$B956,M$5)="",2,0)),0)</f>
        <v>0</v>
      </c>
      <c r="N956" s="194">
        <f>IFERROR(IF(INDEX([1]Pivot!$AD$1:$BE$65000,$B956,N$5)=1,1,IF(INDEX([1]Pivot!$B$1:$AB$65000,$B956,N$5)="",2,0)),0)</f>
        <v>0</v>
      </c>
      <c r="O956" s="194">
        <f>IFERROR(IF(INDEX([1]Pivot!$AD$1:$BE$65000,$B956,O$5)=1,1,IF(INDEX([1]Pivot!$B$1:$AB$65000,$B956,O$5)="",2,0)),0)</f>
        <v>0</v>
      </c>
      <c r="P956" s="194">
        <f>IFERROR(IF(INDEX([1]Pivot!$AD$1:$BE$65000,$B956,P$5)=1,1,IF(INDEX([1]Pivot!$B$1:$AB$65000,$B956,P$5)="",2,0)),0)</f>
        <v>0</v>
      </c>
      <c r="Q956" s="194">
        <f>IFERROR(IF(INDEX([1]Pivot!$AD$1:$BE$65000,$B956,Q$5)=1,1,IF(INDEX([1]Pivot!$B$1:$AB$65000,$B956,Q$5)="",2,0)),0)</f>
        <v>0</v>
      </c>
      <c r="R956" s="312"/>
      <c r="S956" s="194">
        <f>IFERROR(IF(INDEX([1]Pivot!$AD$1:$BE$65000,$B956,S$5)=1,1,IF(INDEX([1]Pivot!$B$1:$AB$65000,$B956,S$5)="",2,0)),0)</f>
        <v>0</v>
      </c>
      <c r="T956" s="194">
        <f>IFERROR(IF(INDEX([1]Pivot!$AD$1:$BE$65000,$B956,T$5)=1,1,IF(INDEX([1]Pivot!$B$1:$AB$65000,$B956,T$5)="",2,0)),0)</f>
        <v>0</v>
      </c>
      <c r="U956" s="194">
        <f>IFERROR(IF(INDEX([1]Pivot!$AD$1:$BE$65000,$B956,U$5)=1,1,IF(INDEX([1]Pivot!$B$1:$AB$65000,$B956,U$5)="",2,0)),0)</f>
        <v>0</v>
      </c>
      <c r="V956" s="194">
        <f>IFERROR(IF(INDEX([1]Pivot!$AD$1:$BE$65000,$B956,V$5)=1,1,IF(INDEX([1]Pivot!$B$1:$AB$65000,$B956,V$5)="",2,0)),0)</f>
        <v>0</v>
      </c>
      <c r="W956" s="194">
        <f>IFERROR(IF(INDEX([1]Pivot!$AD$1:$BE$65000,$B956,W$5)=1,1,IF(INDEX([1]Pivot!$B$1:$AB$65000,$B956,W$5)="",2,0)),0)</f>
        <v>0</v>
      </c>
      <c r="X956" s="194">
        <f>IFERROR(IF(INDEX([1]Pivot!$AD$1:$BE$65000,$B956,X$5)=1,1,IF(INDEX([1]Pivot!$B$1:$AB$65000,$B956,X$5)="",2,0)),0)</f>
        <v>0</v>
      </c>
      <c r="Y956" s="194">
        <f>IFERROR(IF(INDEX([1]Pivot!$AD$1:$BE$65000,$B956,Y$5)=1,1,IF(INDEX([1]Pivot!$B$1:$AB$65000,$B956,Y$5)="",2,0)),0)</f>
        <v>0</v>
      </c>
      <c r="Z956" s="194">
        <f>IFERROR(IF(INDEX([1]Pivot!$AD$1:$BE$65000,$B956,Z$5)=1,1,IF(INDEX([1]Pivot!$B$1:$AB$65000,$B956,Z$5)="",2,0)),0)</f>
        <v>0</v>
      </c>
      <c r="AA956" s="194">
        <f>IFERROR(IF(INDEX([1]Pivot!$AD$1:$BE$65000,$B956,AA$5)=1,1,IF(INDEX([1]Pivot!$B$1:$AB$65000,$B956,AA$5)="",2,0)),0)</f>
        <v>0</v>
      </c>
      <c r="AB956" s="194">
        <f>IFERROR(IF(INDEX([1]Pivot!$AD$1:$BE$65000,$B956,AB$5)=1,1,IF(INDEX([1]Pivot!$B$1:$AB$65000,$B956,AB$5)="",2,0)),0)</f>
        <v>0</v>
      </c>
      <c r="AC956" s="194">
        <f>IFERROR(IF(INDEX([1]Pivot!$AD$1:$BE$65000,$B956,AC$5)=1,1,IF(INDEX([1]Pivot!$B$1:$AB$65000,$B956,AC$5)="",2,0)),0)</f>
        <v>0</v>
      </c>
      <c r="AD956" s="313">
        <f>IFERROR(IF(INDEX([1]Pivot!$BF$1:$CG$65000,$B956,AD$5)=1,1,IF(INDEX([1]Pivot!$B$1:$AB$65000,$B956,AD$5)="",2,0)),0)</f>
        <v>0</v>
      </c>
      <c r="AE956" s="313">
        <f>IFERROR(IF(INDEX([1]Pivot!$BF$1:$CG$65000,$B956,AE$5)=1,1,IF(INDEX([1]Pivot!$B$1:$AB$65000,$B956,AE$5)="",2,0)),0)</f>
        <v>0</v>
      </c>
      <c r="AF956" s="313">
        <f>IFERROR(IF(INDEX([1]Pivot!$BF$1:$CG$65000,$B956,AF$5)=1,1,IF(INDEX([1]Pivot!$B$1:$AB$65000,$B956,AF$5)="",2,0)),0)</f>
        <v>0</v>
      </c>
      <c r="AG956" s="313">
        <f>IFERROR(IF(INDEX([1]Pivot!$BF$1:$CG$65000,$B956,AG$5)=1,1,IF(INDEX([1]Pivot!$B$1:$AB$65000,$B956,AG$5)="",2,0)),0)</f>
        <v>0</v>
      </c>
      <c r="AH956" s="313">
        <f>IFERROR(IF(INDEX([1]Pivot!$BF$1:$CG$65000,$B956,AH$5)=1,1,IF(INDEX([1]Pivot!$B$1:$AB$65000,$B956,AH$5)="",2,0)),0)</f>
        <v>0</v>
      </c>
      <c r="AI956" s="313">
        <f>IFERROR(IF(INDEX([1]Pivot!$BF$1:$CG$65000,$B956,AI$5)=1,1,IF(INDEX([1]Pivot!$B$1:$AB$65000,$B956,AI$5)="",2,0)),0)</f>
        <v>0</v>
      </c>
      <c r="AJ956" s="313">
        <f>IFERROR(IF(INDEX([1]Pivot!$BF$1:$CG$65000,$B956,AJ$5)=1,1,IF(INDEX([1]Pivot!$B$1:$AB$65000,$B956,AJ$5)="",2,0)),0)</f>
        <v>0</v>
      </c>
      <c r="AK956" s="313">
        <f>IFERROR(IF(INDEX([1]Pivot!$BF$1:$CG$65000,$B956,AK$5)=1,1,IF(INDEX([1]Pivot!$B$1:$AB$65000,$B956,AK$5)="",2,0)),0)</f>
        <v>0</v>
      </c>
      <c r="AL956" s="313">
        <f>IFERROR(IF(INDEX([1]Pivot!$BF$1:$CG$65000,$B956,AL$5)=1,1,IF(INDEX([1]Pivot!$B$1:$AB$65000,$B956,AL$5)="",2,0)),0)</f>
        <v>0</v>
      </c>
      <c r="AM956" s="313">
        <f>IFERROR(IF(INDEX([1]Pivot!$BF$1:$CG$65000,$B956,AM$5)=1,1,IF(INDEX([1]Pivot!$B$1:$AB$65000,$B956,AM$5)="",2,0)),0)</f>
        <v>0</v>
      </c>
      <c r="AN956" s="313">
        <f>IFERROR(IF(INDEX([1]Pivot!$BF$1:$CG$65000,$B956,AN$5)=1,1,IF(INDEX([1]Pivot!$B$1:$AB$65000,$B956,AN$5)="",2,0)),0)</f>
        <v>0</v>
      </c>
      <c r="AO956" s="313">
        <f>IFERROR(IF(INDEX([1]Pivot!$BF$1:$CG$65000,$B956,AO$5)=1,1,IF(INDEX([1]Pivot!$B$1:$AB$65000,$B956,AO$5)="",2,0)),0)</f>
        <v>0</v>
      </c>
      <c r="AP956" s="313">
        <f>IFERROR(IF(INDEX([1]Pivot!$BF$1:$CG$65000,$B956,AP$5)=1,1,IF(INDEX([1]Pivot!$B$1:$AB$65000,$B956,AP$5)="",2,0)),0)</f>
        <v>0</v>
      </c>
      <c r="AQ956" s="313">
        <f>IFERROR(IF(INDEX([1]Pivot!$BF$1:$CG$65000,$B956,AQ$5)=1,1,IF(INDEX([1]Pivot!$B$1:$AB$65000,$B956,AQ$5)="",2,0)),0)</f>
        <v>0</v>
      </c>
      <c r="AR956" s="313">
        <f>IFERROR(IF(INDEX([1]Pivot!$BF$1:$CG$65000,$B956,AR$5)=1,1,IF(INDEX([1]Pivot!$B$1:$AB$65000,$B956,AR$5)="",2,0)),0)</f>
        <v>0</v>
      </c>
      <c r="AS956" s="312"/>
      <c r="AT956" s="313">
        <f>IFERROR(IF(INDEX([1]Pivot!$BF$1:$CG$65000,$B956,AT$5)=1,1,IF(INDEX([1]Pivot!$B$1:$AB$65000,$B956,AT$5)="",2,0)),0)</f>
        <v>0</v>
      </c>
      <c r="AU956" s="313">
        <f>IFERROR(IF(INDEX([1]Pivot!$BF$1:$CG$65000,$B956,AU$5)=1,1,IF(INDEX([1]Pivot!$B$1:$AB$65000,$B956,AU$5)="",2,0)),0)</f>
        <v>0</v>
      </c>
      <c r="AV956" s="313">
        <f>IFERROR(IF(INDEX([1]Pivot!$BF$1:$CG$65000,$B956,AV$5)=1,1,IF(INDEX([1]Pivot!$B$1:$AB$65000,$B956,AV$5)="",2,0)),0)</f>
        <v>0</v>
      </c>
      <c r="AW956" s="313">
        <f>IFERROR(IF(INDEX([1]Pivot!$BF$1:$CG$65000,$B956,AW$5)=1,1,IF(INDEX([1]Pivot!$B$1:$AB$65000,$B956,AW$5)="",2,0)),0)</f>
        <v>0</v>
      </c>
      <c r="AX956" s="313">
        <f>IFERROR(IF(INDEX([1]Pivot!$BF$1:$CG$65000,$B956,AX$5)=1,1,IF(INDEX([1]Pivot!$B$1:$AB$65000,$B956,AX$5)="",2,0)),0)</f>
        <v>0</v>
      </c>
      <c r="AY956" s="313">
        <f>IFERROR(IF(INDEX([1]Pivot!$BF$1:$CG$65000,$B956,AY$5)=1,1,IF(INDEX([1]Pivot!$B$1:$AB$65000,$B956,AY$5)="",2,0)),0)</f>
        <v>0</v>
      </c>
      <c r="AZ956" s="313">
        <f>IFERROR(IF(INDEX([1]Pivot!$BF$1:$CG$65000,$B956,AZ$5)=1,1,IF(INDEX([1]Pivot!$B$1:$AB$65000,$B956,AZ$5)="",2,0)),0)</f>
        <v>0</v>
      </c>
      <c r="BA956" s="313">
        <f>IFERROR(IF(INDEX([1]Pivot!$BF$1:$CG$65000,$B956,BA$5)=1,1,IF(INDEX([1]Pivot!$B$1:$AB$65000,$B956,BA$5)="",2,0)),0)</f>
        <v>0</v>
      </c>
      <c r="BB956" s="313">
        <f>IFERROR(IF(INDEX([1]Pivot!$BF$1:$CG$65000,$B956,BB$5)=1,1,IF(INDEX([1]Pivot!$B$1:$AB$65000,$B956,BB$5)="",2,0)),0)</f>
        <v>0</v>
      </c>
      <c r="BC956" s="313">
        <f>IFERROR(IF(INDEX([1]Pivot!$BF$1:$CG$65000,$B956,BC$5)=1,1,IF(INDEX([1]Pivot!$B$1:$AB$65000,$B956,BC$5)="",2,0)),0)</f>
        <v>0</v>
      </c>
      <c r="BD956" s="313">
        <f>IFERROR(IF(INDEX([1]Pivot!$BF$1:$CG$65000,$B956,BD$5)=1,1,IF(INDEX([1]Pivot!$B$1:$AB$65000,$B956,BD$5)="",2,0)),0)</f>
        <v>0</v>
      </c>
    </row>
    <row r="957" spans="1:56" x14ac:dyDescent="0.25">
      <c r="A957" s="288">
        <f>'[2]Raw Milk Prices'!A957</f>
        <v>0</v>
      </c>
      <c r="B957" s="296" t="e">
        <f>MATCH(DATE(LEFT('[2]Raw Milk Prices'!$A957,4),RIGHT('[2]Raw Milk Prices'!$A957,2),1),[1]Pivot!$A$1:$A$65000,0)</f>
        <v>#VALUE!</v>
      </c>
      <c r="C957" s="194">
        <f>IFERROR(IF(INDEX([1]Pivot!$AD$1:$BE$65000,$B957,C$5)=1,1,IF(INDEX([1]Pivot!$B$1:$AB$65000,$B957,C$5)="",2,0)),0)</f>
        <v>0</v>
      </c>
      <c r="D957" s="194">
        <f>IFERROR(IF(INDEX([1]Pivot!$AD$1:$BE$65000,$B957,D$5)=1,1,IF(INDEX([1]Pivot!$B$1:$AB$65000,$B957,D$5)="",2,0)),0)</f>
        <v>0</v>
      </c>
      <c r="E957" s="194">
        <f>IFERROR(IF(INDEX([1]Pivot!$AD$1:$BE$65000,$B957,E$5)=1,1,IF(INDEX([1]Pivot!$B$1:$AB$65000,$B957,E$5)="",2,0)),0)</f>
        <v>0</v>
      </c>
      <c r="F957" s="194">
        <f>IFERROR(IF(INDEX([1]Pivot!$AD$1:$BE$65000,$B957,F$5)=1,1,IF(INDEX([1]Pivot!$B$1:$AB$65000,$B957,F$5)="",2,0)),0)</f>
        <v>0</v>
      </c>
      <c r="G957" s="194">
        <f>IFERROR(IF(INDEX([1]Pivot!$AD$1:$BE$65000,$B957,G$5)=1,1,IF(INDEX([1]Pivot!$B$1:$AB$65000,$B957,G$5)="",2,0)),0)</f>
        <v>0</v>
      </c>
      <c r="H957" s="194">
        <f>IFERROR(IF(INDEX([1]Pivot!$AD$1:$BE$65000,$B957,H$5)=1,1,IF(INDEX([1]Pivot!$B$1:$AB$65000,$B957,H$5)="",2,0)),0)</f>
        <v>0</v>
      </c>
      <c r="I957" s="194">
        <f>IFERROR(IF(INDEX([1]Pivot!$AD$1:$BE$65000,$B957,I$5)=1,1,IF(INDEX([1]Pivot!$B$1:$AB$65000,$B957,I$5)="",2,0)),0)</f>
        <v>0</v>
      </c>
      <c r="J957" s="194">
        <f>IFERROR(IF(INDEX([1]Pivot!$AD$1:$BE$65000,$B957,J$5)=1,1,IF(INDEX([1]Pivot!$B$1:$AB$65000,$B957,J$5)="",2,0)),0)</f>
        <v>0</v>
      </c>
      <c r="K957" s="194">
        <f>IFERROR(IF(INDEX([1]Pivot!$AD$1:$BE$65000,$B957,K$5)=1,1,IF(INDEX([1]Pivot!$B$1:$AB$65000,$B957,K$5)="",2,0)),0)</f>
        <v>0</v>
      </c>
      <c r="L957" s="194">
        <f>IFERROR(IF(INDEX([1]Pivot!$AD$1:$BE$65000,$B957,L$5)=1,1,IF(INDEX([1]Pivot!$B$1:$AB$65000,$B957,L$5)="",2,0)),0)</f>
        <v>0</v>
      </c>
      <c r="M957" s="194">
        <f>IFERROR(IF(INDEX([1]Pivot!$AD$1:$BE$65000,$B957,M$5)=1,1,IF(INDEX([1]Pivot!$B$1:$AB$65000,$B957,M$5)="",2,0)),0)</f>
        <v>0</v>
      </c>
      <c r="N957" s="194">
        <f>IFERROR(IF(INDEX([1]Pivot!$AD$1:$BE$65000,$B957,N$5)=1,1,IF(INDEX([1]Pivot!$B$1:$AB$65000,$B957,N$5)="",2,0)),0)</f>
        <v>0</v>
      </c>
      <c r="O957" s="194">
        <f>IFERROR(IF(INDEX([1]Pivot!$AD$1:$BE$65000,$B957,O$5)=1,1,IF(INDEX([1]Pivot!$B$1:$AB$65000,$B957,O$5)="",2,0)),0)</f>
        <v>0</v>
      </c>
      <c r="P957" s="194">
        <f>IFERROR(IF(INDEX([1]Pivot!$AD$1:$BE$65000,$B957,P$5)=1,1,IF(INDEX([1]Pivot!$B$1:$AB$65000,$B957,P$5)="",2,0)),0)</f>
        <v>0</v>
      </c>
      <c r="Q957" s="194">
        <f>IFERROR(IF(INDEX([1]Pivot!$AD$1:$BE$65000,$B957,Q$5)=1,1,IF(INDEX([1]Pivot!$B$1:$AB$65000,$B957,Q$5)="",2,0)),0)</f>
        <v>0</v>
      </c>
      <c r="R957" s="312"/>
      <c r="S957" s="194">
        <f>IFERROR(IF(INDEX([1]Pivot!$AD$1:$BE$65000,$B957,S$5)=1,1,IF(INDEX([1]Pivot!$B$1:$AB$65000,$B957,S$5)="",2,0)),0)</f>
        <v>0</v>
      </c>
      <c r="T957" s="194">
        <f>IFERROR(IF(INDEX([1]Pivot!$AD$1:$BE$65000,$B957,T$5)=1,1,IF(INDEX([1]Pivot!$B$1:$AB$65000,$B957,T$5)="",2,0)),0)</f>
        <v>0</v>
      </c>
      <c r="U957" s="194">
        <f>IFERROR(IF(INDEX([1]Pivot!$AD$1:$BE$65000,$B957,U$5)=1,1,IF(INDEX([1]Pivot!$B$1:$AB$65000,$B957,U$5)="",2,0)),0)</f>
        <v>0</v>
      </c>
      <c r="V957" s="194">
        <f>IFERROR(IF(INDEX([1]Pivot!$AD$1:$BE$65000,$B957,V$5)=1,1,IF(INDEX([1]Pivot!$B$1:$AB$65000,$B957,V$5)="",2,0)),0)</f>
        <v>0</v>
      </c>
      <c r="W957" s="194">
        <f>IFERROR(IF(INDEX([1]Pivot!$AD$1:$BE$65000,$B957,W$5)=1,1,IF(INDEX([1]Pivot!$B$1:$AB$65000,$B957,W$5)="",2,0)),0)</f>
        <v>0</v>
      </c>
      <c r="X957" s="194">
        <f>IFERROR(IF(INDEX([1]Pivot!$AD$1:$BE$65000,$B957,X$5)=1,1,IF(INDEX([1]Pivot!$B$1:$AB$65000,$B957,X$5)="",2,0)),0)</f>
        <v>0</v>
      </c>
      <c r="Y957" s="194">
        <f>IFERROR(IF(INDEX([1]Pivot!$AD$1:$BE$65000,$B957,Y$5)=1,1,IF(INDEX([1]Pivot!$B$1:$AB$65000,$B957,Y$5)="",2,0)),0)</f>
        <v>0</v>
      </c>
      <c r="Z957" s="194">
        <f>IFERROR(IF(INDEX([1]Pivot!$AD$1:$BE$65000,$B957,Z$5)=1,1,IF(INDEX([1]Pivot!$B$1:$AB$65000,$B957,Z$5)="",2,0)),0)</f>
        <v>0</v>
      </c>
      <c r="AA957" s="194">
        <f>IFERROR(IF(INDEX([1]Pivot!$AD$1:$BE$65000,$B957,AA$5)=1,1,IF(INDEX([1]Pivot!$B$1:$AB$65000,$B957,AA$5)="",2,0)),0)</f>
        <v>0</v>
      </c>
      <c r="AB957" s="194">
        <f>IFERROR(IF(INDEX([1]Pivot!$AD$1:$BE$65000,$B957,AB$5)=1,1,IF(INDEX([1]Pivot!$B$1:$AB$65000,$B957,AB$5)="",2,0)),0)</f>
        <v>0</v>
      </c>
      <c r="AC957" s="194">
        <f>IFERROR(IF(INDEX([1]Pivot!$AD$1:$BE$65000,$B957,AC$5)=1,1,IF(INDEX([1]Pivot!$B$1:$AB$65000,$B957,AC$5)="",2,0)),0)</f>
        <v>0</v>
      </c>
      <c r="AD957" s="313">
        <f>IFERROR(IF(INDEX([1]Pivot!$BF$1:$CG$65000,$B957,AD$5)=1,1,IF(INDEX([1]Pivot!$B$1:$AB$65000,$B957,AD$5)="",2,0)),0)</f>
        <v>0</v>
      </c>
      <c r="AE957" s="313">
        <f>IFERROR(IF(INDEX([1]Pivot!$BF$1:$CG$65000,$B957,AE$5)=1,1,IF(INDEX([1]Pivot!$B$1:$AB$65000,$B957,AE$5)="",2,0)),0)</f>
        <v>0</v>
      </c>
      <c r="AF957" s="313">
        <f>IFERROR(IF(INDEX([1]Pivot!$BF$1:$CG$65000,$B957,AF$5)=1,1,IF(INDEX([1]Pivot!$B$1:$AB$65000,$B957,AF$5)="",2,0)),0)</f>
        <v>0</v>
      </c>
      <c r="AG957" s="313">
        <f>IFERROR(IF(INDEX([1]Pivot!$BF$1:$CG$65000,$B957,AG$5)=1,1,IF(INDEX([1]Pivot!$B$1:$AB$65000,$B957,AG$5)="",2,0)),0)</f>
        <v>0</v>
      </c>
      <c r="AH957" s="313">
        <f>IFERROR(IF(INDEX([1]Pivot!$BF$1:$CG$65000,$B957,AH$5)=1,1,IF(INDEX([1]Pivot!$B$1:$AB$65000,$B957,AH$5)="",2,0)),0)</f>
        <v>0</v>
      </c>
      <c r="AI957" s="313">
        <f>IFERROR(IF(INDEX([1]Pivot!$BF$1:$CG$65000,$B957,AI$5)=1,1,IF(INDEX([1]Pivot!$B$1:$AB$65000,$B957,AI$5)="",2,0)),0)</f>
        <v>0</v>
      </c>
      <c r="AJ957" s="313">
        <f>IFERROR(IF(INDEX([1]Pivot!$BF$1:$CG$65000,$B957,AJ$5)=1,1,IF(INDEX([1]Pivot!$B$1:$AB$65000,$B957,AJ$5)="",2,0)),0)</f>
        <v>0</v>
      </c>
      <c r="AK957" s="313">
        <f>IFERROR(IF(INDEX([1]Pivot!$BF$1:$CG$65000,$B957,AK$5)=1,1,IF(INDEX([1]Pivot!$B$1:$AB$65000,$B957,AK$5)="",2,0)),0)</f>
        <v>0</v>
      </c>
      <c r="AL957" s="313">
        <f>IFERROR(IF(INDEX([1]Pivot!$BF$1:$CG$65000,$B957,AL$5)=1,1,IF(INDEX([1]Pivot!$B$1:$AB$65000,$B957,AL$5)="",2,0)),0)</f>
        <v>0</v>
      </c>
      <c r="AM957" s="313">
        <f>IFERROR(IF(INDEX([1]Pivot!$BF$1:$CG$65000,$B957,AM$5)=1,1,IF(INDEX([1]Pivot!$B$1:$AB$65000,$B957,AM$5)="",2,0)),0)</f>
        <v>0</v>
      </c>
      <c r="AN957" s="313">
        <f>IFERROR(IF(INDEX([1]Pivot!$BF$1:$CG$65000,$B957,AN$5)=1,1,IF(INDEX([1]Pivot!$B$1:$AB$65000,$B957,AN$5)="",2,0)),0)</f>
        <v>0</v>
      </c>
      <c r="AO957" s="313">
        <f>IFERROR(IF(INDEX([1]Pivot!$BF$1:$CG$65000,$B957,AO$5)=1,1,IF(INDEX([1]Pivot!$B$1:$AB$65000,$B957,AO$5)="",2,0)),0)</f>
        <v>0</v>
      </c>
      <c r="AP957" s="313">
        <f>IFERROR(IF(INDEX([1]Pivot!$BF$1:$CG$65000,$B957,AP$5)=1,1,IF(INDEX([1]Pivot!$B$1:$AB$65000,$B957,AP$5)="",2,0)),0)</f>
        <v>0</v>
      </c>
      <c r="AQ957" s="313">
        <f>IFERROR(IF(INDEX([1]Pivot!$BF$1:$CG$65000,$B957,AQ$5)=1,1,IF(INDEX([1]Pivot!$B$1:$AB$65000,$B957,AQ$5)="",2,0)),0)</f>
        <v>0</v>
      </c>
      <c r="AR957" s="313">
        <f>IFERROR(IF(INDEX([1]Pivot!$BF$1:$CG$65000,$B957,AR$5)=1,1,IF(INDEX([1]Pivot!$B$1:$AB$65000,$B957,AR$5)="",2,0)),0)</f>
        <v>0</v>
      </c>
      <c r="AS957" s="312"/>
      <c r="AT957" s="313">
        <f>IFERROR(IF(INDEX([1]Pivot!$BF$1:$CG$65000,$B957,AT$5)=1,1,IF(INDEX([1]Pivot!$B$1:$AB$65000,$B957,AT$5)="",2,0)),0)</f>
        <v>0</v>
      </c>
      <c r="AU957" s="313">
        <f>IFERROR(IF(INDEX([1]Pivot!$BF$1:$CG$65000,$B957,AU$5)=1,1,IF(INDEX([1]Pivot!$B$1:$AB$65000,$B957,AU$5)="",2,0)),0)</f>
        <v>0</v>
      </c>
      <c r="AV957" s="313">
        <f>IFERROR(IF(INDEX([1]Pivot!$BF$1:$CG$65000,$B957,AV$5)=1,1,IF(INDEX([1]Pivot!$B$1:$AB$65000,$B957,AV$5)="",2,0)),0)</f>
        <v>0</v>
      </c>
      <c r="AW957" s="313">
        <f>IFERROR(IF(INDEX([1]Pivot!$BF$1:$CG$65000,$B957,AW$5)=1,1,IF(INDEX([1]Pivot!$B$1:$AB$65000,$B957,AW$5)="",2,0)),0)</f>
        <v>0</v>
      </c>
      <c r="AX957" s="313">
        <f>IFERROR(IF(INDEX([1]Pivot!$BF$1:$CG$65000,$B957,AX$5)=1,1,IF(INDEX([1]Pivot!$B$1:$AB$65000,$B957,AX$5)="",2,0)),0)</f>
        <v>0</v>
      </c>
      <c r="AY957" s="313">
        <f>IFERROR(IF(INDEX([1]Pivot!$BF$1:$CG$65000,$B957,AY$5)=1,1,IF(INDEX([1]Pivot!$B$1:$AB$65000,$B957,AY$5)="",2,0)),0)</f>
        <v>0</v>
      </c>
      <c r="AZ957" s="313">
        <f>IFERROR(IF(INDEX([1]Pivot!$BF$1:$CG$65000,$B957,AZ$5)=1,1,IF(INDEX([1]Pivot!$B$1:$AB$65000,$B957,AZ$5)="",2,0)),0)</f>
        <v>0</v>
      </c>
      <c r="BA957" s="313">
        <f>IFERROR(IF(INDEX([1]Pivot!$BF$1:$CG$65000,$B957,BA$5)=1,1,IF(INDEX([1]Pivot!$B$1:$AB$65000,$B957,BA$5)="",2,0)),0)</f>
        <v>0</v>
      </c>
      <c r="BB957" s="313">
        <f>IFERROR(IF(INDEX([1]Pivot!$BF$1:$CG$65000,$B957,BB$5)=1,1,IF(INDEX([1]Pivot!$B$1:$AB$65000,$B957,BB$5)="",2,0)),0)</f>
        <v>0</v>
      </c>
      <c r="BC957" s="313">
        <f>IFERROR(IF(INDEX([1]Pivot!$BF$1:$CG$65000,$B957,BC$5)=1,1,IF(INDEX([1]Pivot!$B$1:$AB$65000,$B957,BC$5)="",2,0)),0)</f>
        <v>0</v>
      </c>
      <c r="BD957" s="313">
        <f>IFERROR(IF(INDEX([1]Pivot!$BF$1:$CG$65000,$B957,BD$5)=1,1,IF(INDEX([1]Pivot!$B$1:$AB$65000,$B957,BD$5)="",2,0)),0)</f>
        <v>0</v>
      </c>
    </row>
    <row r="958" spans="1:56" x14ac:dyDescent="0.25">
      <c r="A958" s="288">
        <f>'[2]Raw Milk Prices'!A958</f>
        <v>0</v>
      </c>
      <c r="B958" s="296" t="e">
        <f>MATCH(DATE(LEFT('[2]Raw Milk Prices'!$A958,4),RIGHT('[2]Raw Milk Prices'!$A958,2),1),[1]Pivot!$A$1:$A$65000,0)</f>
        <v>#VALUE!</v>
      </c>
      <c r="C958" s="194">
        <f>IFERROR(IF(INDEX([1]Pivot!$AD$1:$BE$65000,$B958,C$5)=1,1,IF(INDEX([1]Pivot!$B$1:$AB$65000,$B958,C$5)="",2,0)),0)</f>
        <v>0</v>
      </c>
      <c r="D958" s="194">
        <f>IFERROR(IF(INDEX([1]Pivot!$AD$1:$BE$65000,$B958,D$5)=1,1,IF(INDEX([1]Pivot!$B$1:$AB$65000,$B958,D$5)="",2,0)),0)</f>
        <v>0</v>
      </c>
      <c r="E958" s="194">
        <f>IFERROR(IF(INDEX([1]Pivot!$AD$1:$BE$65000,$B958,E$5)=1,1,IF(INDEX([1]Pivot!$B$1:$AB$65000,$B958,E$5)="",2,0)),0)</f>
        <v>0</v>
      </c>
      <c r="F958" s="194">
        <f>IFERROR(IF(INDEX([1]Pivot!$AD$1:$BE$65000,$B958,F$5)=1,1,IF(INDEX([1]Pivot!$B$1:$AB$65000,$B958,F$5)="",2,0)),0)</f>
        <v>0</v>
      </c>
      <c r="G958" s="194">
        <f>IFERROR(IF(INDEX([1]Pivot!$AD$1:$BE$65000,$B958,G$5)=1,1,IF(INDEX([1]Pivot!$B$1:$AB$65000,$B958,G$5)="",2,0)),0)</f>
        <v>0</v>
      </c>
      <c r="H958" s="194">
        <f>IFERROR(IF(INDEX([1]Pivot!$AD$1:$BE$65000,$B958,H$5)=1,1,IF(INDEX([1]Pivot!$B$1:$AB$65000,$B958,H$5)="",2,0)),0)</f>
        <v>0</v>
      </c>
      <c r="I958" s="194">
        <f>IFERROR(IF(INDEX([1]Pivot!$AD$1:$BE$65000,$B958,I$5)=1,1,IF(INDEX([1]Pivot!$B$1:$AB$65000,$B958,I$5)="",2,0)),0)</f>
        <v>0</v>
      </c>
      <c r="J958" s="194">
        <f>IFERROR(IF(INDEX([1]Pivot!$AD$1:$BE$65000,$B958,J$5)=1,1,IF(INDEX([1]Pivot!$B$1:$AB$65000,$B958,J$5)="",2,0)),0)</f>
        <v>0</v>
      </c>
      <c r="K958" s="194">
        <f>IFERROR(IF(INDEX([1]Pivot!$AD$1:$BE$65000,$B958,K$5)=1,1,IF(INDEX([1]Pivot!$B$1:$AB$65000,$B958,K$5)="",2,0)),0)</f>
        <v>0</v>
      </c>
      <c r="L958" s="194">
        <f>IFERROR(IF(INDEX([1]Pivot!$AD$1:$BE$65000,$B958,L$5)=1,1,IF(INDEX([1]Pivot!$B$1:$AB$65000,$B958,L$5)="",2,0)),0)</f>
        <v>0</v>
      </c>
      <c r="M958" s="194">
        <f>IFERROR(IF(INDEX([1]Pivot!$AD$1:$BE$65000,$B958,M$5)=1,1,IF(INDEX([1]Pivot!$B$1:$AB$65000,$B958,M$5)="",2,0)),0)</f>
        <v>0</v>
      </c>
      <c r="N958" s="194">
        <f>IFERROR(IF(INDEX([1]Pivot!$AD$1:$BE$65000,$B958,N$5)=1,1,IF(INDEX([1]Pivot!$B$1:$AB$65000,$B958,N$5)="",2,0)),0)</f>
        <v>0</v>
      </c>
      <c r="O958" s="194">
        <f>IFERROR(IF(INDEX([1]Pivot!$AD$1:$BE$65000,$B958,O$5)=1,1,IF(INDEX([1]Pivot!$B$1:$AB$65000,$B958,O$5)="",2,0)),0)</f>
        <v>0</v>
      </c>
      <c r="P958" s="194">
        <f>IFERROR(IF(INDEX([1]Pivot!$AD$1:$BE$65000,$B958,P$5)=1,1,IF(INDEX([1]Pivot!$B$1:$AB$65000,$B958,P$5)="",2,0)),0)</f>
        <v>0</v>
      </c>
      <c r="Q958" s="194">
        <f>IFERROR(IF(INDEX([1]Pivot!$AD$1:$BE$65000,$B958,Q$5)=1,1,IF(INDEX([1]Pivot!$B$1:$AB$65000,$B958,Q$5)="",2,0)),0)</f>
        <v>0</v>
      </c>
      <c r="R958" s="312"/>
      <c r="S958" s="194">
        <f>IFERROR(IF(INDEX([1]Pivot!$AD$1:$BE$65000,$B958,S$5)=1,1,IF(INDEX([1]Pivot!$B$1:$AB$65000,$B958,S$5)="",2,0)),0)</f>
        <v>0</v>
      </c>
      <c r="T958" s="194">
        <f>IFERROR(IF(INDEX([1]Pivot!$AD$1:$BE$65000,$B958,T$5)=1,1,IF(INDEX([1]Pivot!$B$1:$AB$65000,$B958,T$5)="",2,0)),0)</f>
        <v>0</v>
      </c>
      <c r="U958" s="194">
        <f>IFERROR(IF(INDEX([1]Pivot!$AD$1:$BE$65000,$B958,U$5)=1,1,IF(INDEX([1]Pivot!$B$1:$AB$65000,$B958,U$5)="",2,0)),0)</f>
        <v>0</v>
      </c>
      <c r="V958" s="194">
        <f>IFERROR(IF(INDEX([1]Pivot!$AD$1:$BE$65000,$B958,V$5)=1,1,IF(INDEX([1]Pivot!$B$1:$AB$65000,$B958,V$5)="",2,0)),0)</f>
        <v>0</v>
      </c>
      <c r="W958" s="194">
        <f>IFERROR(IF(INDEX([1]Pivot!$AD$1:$BE$65000,$B958,W$5)=1,1,IF(INDEX([1]Pivot!$B$1:$AB$65000,$B958,W$5)="",2,0)),0)</f>
        <v>0</v>
      </c>
      <c r="X958" s="194">
        <f>IFERROR(IF(INDEX([1]Pivot!$AD$1:$BE$65000,$B958,X$5)=1,1,IF(INDEX([1]Pivot!$B$1:$AB$65000,$B958,X$5)="",2,0)),0)</f>
        <v>0</v>
      </c>
      <c r="Y958" s="194">
        <f>IFERROR(IF(INDEX([1]Pivot!$AD$1:$BE$65000,$B958,Y$5)=1,1,IF(INDEX([1]Pivot!$B$1:$AB$65000,$B958,Y$5)="",2,0)),0)</f>
        <v>0</v>
      </c>
      <c r="Z958" s="194">
        <f>IFERROR(IF(INDEX([1]Pivot!$AD$1:$BE$65000,$B958,Z$5)=1,1,IF(INDEX([1]Pivot!$B$1:$AB$65000,$B958,Z$5)="",2,0)),0)</f>
        <v>0</v>
      </c>
      <c r="AA958" s="194">
        <f>IFERROR(IF(INDEX([1]Pivot!$AD$1:$BE$65000,$B958,AA$5)=1,1,IF(INDEX([1]Pivot!$B$1:$AB$65000,$B958,AA$5)="",2,0)),0)</f>
        <v>0</v>
      </c>
      <c r="AB958" s="194">
        <f>IFERROR(IF(INDEX([1]Pivot!$AD$1:$BE$65000,$B958,AB$5)=1,1,IF(INDEX([1]Pivot!$B$1:$AB$65000,$B958,AB$5)="",2,0)),0)</f>
        <v>0</v>
      </c>
      <c r="AC958" s="194">
        <f>IFERROR(IF(INDEX([1]Pivot!$AD$1:$BE$65000,$B958,AC$5)=1,1,IF(INDEX([1]Pivot!$B$1:$AB$65000,$B958,AC$5)="",2,0)),0)</f>
        <v>0</v>
      </c>
      <c r="AD958" s="313">
        <f>IFERROR(IF(INDEX([1]Pivot!$BF$1:$CG$65000,$B958,AD$5)=1,1,IF(INDEX([1]Pivot!$B$1:$AB$65000,$B958,AD$5)="",2,0)),0)</f>
        <v>0</v>
      </c>
      <c r="AE958" s="313">
        <f>IFERROR(IF(INDEX([1]Pivot!$BF$1:$CG$65000,$B958,AE$5)=1,1,IF(INDEX([1]Pivot!$B$1:$AB$65000,$B958,AE$5)="",2,0)),0)</f>
        <v>0</v>
      </c>
      <c r="AF958" s="313">
        <f>IFERROR(IF(INDEX([1]Pivot!$BF$1:$CG$65000,$B958,AF$5)=1,1,IF(INDEX([1]Pivot!$B$1:$AB$65000,$B958,AF$5)="",2,0)),0)</f>
        <v>0</v>
      </c>
      <c r="AG958" s="313">
        <f>IFERROR(IF(INDEX([1]Pivot!$BF$1:$CG$65000,$B958,AG$5)=1,1,IF(INDEX([1]Pivot!$B$1:$AB$65000,$B958,AG$5)="",2,0)),0)</f>
        <v>0</v>
      </c>
      <c r="AH958" s="313">
        <f>IFERROR(IF(INDEX([1]Pivot!$BF$1:$CG$65000,$B958,AH$5)=1,1,IF(INDEX([1]Pivot!$B$1:$AB$65000,$B958,AH$5)="",2,0)),0)</f>
        <v>0</v>
      </c>
      <c r="AI958" s="313">
        <f>IFERROR(IF(INDEX([1]Pivot!$BF$1:$CG$65000,$B958,AI$5)=1,1,IF(INDEX([1]Pivot!$B$1:$AB$65000,$B958,AI$5)="",2,0)),0)</f>
        <v>0</v>
      </c>
      <c r="AJ958" s="313">
        <f>IFERROR(IF(INDEX([1]Pivot!$BF$1:$CG$65000,$B958,AJ$5)=1,1,IF(INDEX([1]Pivot!$B$1:$AB$65000,$B958,AJ$5)="",2,0)),0)</f>
        <v>0</v>
      </c>
      <c r="AK958" s="313">
        <f>IFERROR(IF(INDEX([1]Pivot!$BF$1:$CG$65000,$B958,AK$5)=1,1,IF(INDEX([1]Pivot!$B$1:$AB$65000,$B958,AK$5)="",2,0)),0)</f>
        <v>0</v>
      </c>
      <c r="AL958" s="313">
        <f>IFERROR(IF(INDEX([1]Pivot!$BF$1:$CG$65000,$B958,AL$5)=1,1,IF(INDEX([1]Pivot!$B$1:$AB$65000,$B958,AL$5)="",2,0)),0)</f>
        <v>0</v>
      </c>
      <c r="AM958" s="313">
        <f>IFERROR(IF(INDEX([1]Pivot!$BF$1:$CG$65000,$B958,AM$5)=1,1,IF(INDEX([1]Pivot!$B$1:$AB$65000,$B958,AM$5)="",2,0)),0)</f>
        <v>0</v>
      </c>
      <c r="AN958" s="313">
        <f>IFERROR(IF(INDEX([1]Pivot!$BF$1:$CG$65000,$B958,AN$5)=1,1,IF(INDEX([1]Pivot!$B$1:$AB$65000,$B958,AN$5)="",2,0)),0)</f>
        <v>0</v>
      </c>
      <c r="AO958" s="313">
        <f>IFERROR(IF(INDEX([1]Pivot!$BF$1:$CG$65000,$B958,AO$5)=1,1,IF(INDEX([1]Pivot!$B$1:$AB$65000,$B958,AO$5)="",2,0)),0)</f>
        <v>0</v>
      </c>
      <c r="AP958" s="313">
        <f>IFERROR(IF(INDEX([1]Pivot!$BF$1:$CG$65000,$B958,AP$5)=1,1,IF(INDEX([1]Pivot!$B$1:$AB$65000,$B958,AP$5)="",2,0)),0)</f>
        <v>0</v>
      </c>
      <c r="AQ958" s="313">
        <f>IFERROR(IF(INDEX([1]Pivot!$BF$1:$CG$65000,$B958,AQ$5)=1,1,IF(INDEX([1]Pivot!$B$1:$AB$65000,$B958,AQ$5)="",2,0)),0)</f>
        <v>0</v>
      </c>
      <c r="AR958" s="313">
        <f>IFERROR(IF(INDEX([1]Pivot!$BF$1:$CG$65000,$B958,AR$5)=1,1,IF(INDEX([1]Pivot!$B$1:$AB$65000,$B958,AR$5)="",2,0)),0)</f>
        <v>0</v>
      </c>
      <c r="AS958" s="312"/>
      <c r="AT958" s="313">
        <f>IFERROR(IF(INDEX([1]Pivot!$BF$1:$CG$65000,$B958,AT$5)=1,1,IF(INDEX([1]Pivot!$B$1:$AB$65000,$B958,AT$5)="",2,0)),0)</f>
        <v>0</v>
      </c>
      <c r="AU958" s="313">
        <f>IFERROR(IF(INDEX([1]Pivot!$BF$1:$CG$65000,$B958,AU$5)=1,1,IF(INDEX([1]Pivot!$B$1:$AB$65000,$B958,AU$5)="",2,0)),0)</f>
        <v>0</v>
      </c>
      <c r="AV958" s="313">
        <f>IFERROR(IF(INDEX([1]Pivot!$BF$1:$CG$65000,$B958,AV$5)=1,1,IF(INDEX([1]Pivot!$B$1:$AB$65000,$B958,AV$5)="",2,0)),0)</f>
        <v>0</v>
      </c>
      <c r="AW958" s="313">
        <f>IFERROR(IF(INDEX([1]Pivot!$BF$1:$CG$65000,$B958,AW$5)=1,1,IF(INDEX([1]Pivot!$B$1:$AB$65000,$B958,AW$5)="",2,0)),0)</f>
        <v>0</v>
      </c>
      <c r="AX958" s="313">
        <f>IFERROR(IF(INDEX([1]Pivot!$BF$1:$CG$65000,$B958,AX$5)=1,1,IF(INDEX([1]Pivot!$B$1:$AB$65000,$B958,AX$5)="",2,0)),0)</f>
        <v>0</v>
      </c>
      <c r="AY958" s="313">
        <f>IFERROR(IF(INDEX([1]Pivot!$BF$1:$CG$65000,$B958,AY$5)=1,1,IF(INDEX([1]Pivot!$B$1:$AB$65000,$B958,AY$5)="",2,0)),0)</f>
        <v>0</v>
      </c>
      <c r="AZ958" s="313">
        <f>IFERROR(IF(INDEX([1]Pivot!$BF$1:$CG$65000,$B958,AZ$5)=1,1,IF(INDEX([1]Pivot!$B$1:$AB$65000,$B958,AZ$5)="",2,0)),0)</f>
        <v>0</v>
      </c>
      <c r="BA958" s="313">
        <f>IFERROR(IF(INDEX([1]Pivot!$BF$1:$CG$65000,$B958,BA$5)=1,1,IF(INDEX([1]Pivot!$B$1:$AB$65000,$B958,BA$5)="",2,0)),0)</f>
        <v>0</v>
      </c>
      <c r="BB958" s="313">
        <f>IFERROR(IF(INDEX([1]Pivot!$BF$1:$CG$65000,$B958,BB$5)=1,1,IF(INDEX([1]Pivot!$B$1:$AB$65000,$B958,BB$5)="",2,0)),0)</f>
        <v>0</v>
      </c>
      <c r="BC958" s="313">
        <f>IFERROR(IF(INDEX([1]Pivot!$BF$1:$CG$65000,$B958,BC$5)=1,1,IF(INDEX([1]Pivot!$B$1:$AB$65000,$B958,BC$5)="",2,0)),0)</f>
        <v>0</v>
      </c>
      <c r="BD958" s="313">
        <f>IFERROR(IF(INDEX([1]Pivot!$BF$1:$CG$65000,$B958,BD$5)=1,1,IF(INDEX([1]Pivot!$B$1:$AB$65000,$B958,BD$5)="",2,0)),0)</f>
        <v>0</v>
      </c>
    </row>
    <row r="959" spans="1:56" x14ac:dyDescent="0.25">
      <c r="A959" s="288">
        <f>'[2]Raw Milk Prices'!A959</f>
        <v>0</v>
      </c>
      <c r="B959" s="296" t="e">
        <f>MATCH(DATE(LEFT('[2]Raw Milk Prices'!$A959,4),RIGHT('[2]Raw Milk Prices'!$A959,2),1),[1]Pivot!$A$1:$A$65000,0)</f>
        <v>#VALUE!</v>
      </c>
      <c r="C959" s="194">
        <f>IFERROR(IF(INDEX([1]Pivot!$AD$1:$BE$65000,$B959,C$5)=1,1,IF(INDEX([1]Pivot!$B$1:$AB$65000,$B959,C$5)="",2,0)),0)</f>
        <v>0</v>
      </c>
      <c r="D959" s="194">
        <f>IFERROR(IF(INDEX([1]Pivot!$AD$1:$BE$65000,$B959,D$5)=1,1,IF(INDEX([1]Pivot!$B$1:$AB$65000,$B959,D$5)="",2,0)),0)</f>
        <v>0</v>
      </c>
      <c r="E959" s="194">
        <f>IFERROR(IF(INDEX([1]Pivot!$AD$1:$BE$65000,$B959,E$5)=1,1,IF(INDEX([1]Pivot!$B$1:$AB$65000,$B959,E$5)="",2,0)),0)</f>
        <v>0</v>
      </c>
      <c r="F959" s="194">
        <f>IFERROR(IF(INDEX([1]Pivot!$AD$1:$BE$65000,$B959,F$5)=1,1,IF(INDEX([1]Pivot!$B$1:$AB$65000,$B959,F$5)="",2,0)),0)</f>
        <v>0</v>
      </c>
      <c r="G959" s="194">
        <f>IFERROR(IF(INDEX([1]Pivot!$AD$1:$BE$65000,$B959,G$5)=1,1,IF(INDEX([1]Pivot!$B$1:$AB$65000,$B959,G$5)="",2,0)),0)</f>
        <v>0</v>
      </c>
      <c r="H959" s="194">
        <f>IFERROR(IF(INDEX([1]Pivot!$AD$1:$BE$65000,$B959,H$5)=1,1,IF(INDEX([1]Pivot!$B$1:$AB$65000,$B959,H$5)="",2,0)),0)</f>
        <v>0</v>
      </c>
      <c r="I959" s="194">
        <f>IFERROR(IF(INDEX([1]Pivot!$AD$1:$BE$65000,$B959,I$5)=1,1,IF(INDEX([1]Pivot!$B$1:$AB$65000,$B959,I$5)="",2,0)),0)</f>
        <v>0</v>
      </c>
      <c r="J959" s="194">
        <f>IFERROR(IF(INDEX([1]Pivot!$AD$1:$BE$65000,$B959,J$5)=1,1,IF(INDEX([1]Pivot!$B$1:$AB$65000,$B959,J$5)="",2,0)),0)</f>
        <v>0</v>
      </c>
      <c r="K959" s="194">
        <f>IFERROR(IF(INDEX([1]Pivot!$AD$1:$BE$65000,$B959,K$5)=1,1,IF(INDEX([1]Pivot!$B$1:$AB$65000,$B959,K$5)="",2,0)),0)</f>
        <v>0</v>
      </c>
      <c r="L959" s="194">
        <f>IFERROR(IF(INDEX([1]Pivot!$AD$1:$BE$65000,$B959,L$5)=1,1,IF(INDEX([1]Pivot!$B$1:$AB$65000,$B959,L$5)="",2,0)),0)</f>
        <v>0</v>
      </c>
      <c r="M959" s="194">
        <f>IFERROR(IF(INDEX([1]Pivot!$AD$1:$BE$65000,$B959,M$5)=1,1,IF(INDEX([1]Pivot!$B$1:$AB$65000,$B959,M$5)="",2,0)),0)</f>
        <v>0</v>
      </c>
      <c r="N959" s="194">
        <f>IFERROR(IF(INDEX([1]Pivot!$AD$1:$BE$65000,$B959,N$5)=1,1,IF(INDEX([1]Pivot!$B$1:$AB$65000,$B959,N$5)="",2,0)),0)</f>
        <v>0</v>
      </c>
      <c r="O959" s="194">
        <f>IFERROR(IF(INDEX([1]Pivot!$AD$1:$BE$65000,$B959,O$5)=1,1,IF(INDEX([1]Pivot!$B$1:$AB$65000,$B959,O$5)="",2,0)),0)</f>
        <v>0</v>
      </c>
      <c r="P959" s="194">
        <f>IFERROR(IF(INDEX([1]Pivot!$AD$1:$BE$65000,$B959,P$5)=1,1,IF(INDEX([1]Pivot!$B$1:$AB$65000,$B959,P$5)="",2,0)),0)</f>
        <v>0</v>
      </c>
      <c r="Q959" s="194">
        <f>IFERROR(IF(INDEX([1]Pivot!$AD$1:$BE$65000,$B959,Q$5)=1,1,IF(INDEX([1]Pivot!$B$1:$AB$65000,$B959,Q$5)="",2,0)),0)</f>
        <v>0</v>
      </c>
      <c r="R959" s="312"/>
      <c r="S959" s="194">
        <f>IFERROR(IF(INDEX([1]Pivot!$AD$1:$BE$65000,$B959,S$5)=1,1,IF(INDEX([1]Pivot!$B$1:$AB$65000,$B959,S$5)="",2,0)),0)</f>
        <v>0</v>
      </c>
      <c r="T959" s="194">
        <f>IFERROR(IF(INDEX([1]Pivot!$AD$1:$BE$65000,$B959,T$5)=1,1,IF(INDEX([1]Pivot!$B$1:$AB$65000,$B959,T$5)="",2,0)),0)</f>
        <v>0</v>
      </c>
      <c r="U959" s="194">
        <f>IFERROR(IF(INDEX([1]Pivot!$AD$1:$BE$65000,$B959,U$5)=1,1,IF(INDEX([1]Pivot!$B$1:$AB$65000,$B959,U$5)="",2,0)),0)</f>
        <v>0</v>
      </c>
      <c r="V959" s="194">
        <f>IFERROR(IF(INDEX([1]Pivot!$AD$1:$BE$65000,$B959,V$5)=1,1,IF(INDEX([1]Pivot!$B$1:$AB$65000,$B959,V$5)="",2,0)),0)</f>
        <v>0</v>
      </c>
      <c r="W959" s="194">
        <f>IFERROR(IF(INDEX([1]Pivot!$AD$1:$BE$65000,$B959,W$5)=1,1,IF(INDEX([1]Pivot!$B$1:$AB$65000,$B959,W$5)="",2,0)),0)</f>
        <v>0</v>
      </c>
      <c r="X959" s="194">
        <f>IFERROR(IF(INDEX([1]Pivot!$AD$1:$BE$65000,$B959,X$5)=1,1,IF(INDEX([1]Pivot!$B$1:$AB$65000,$B959,X$5)="",2,0)),0)</f>
        <v>0</v>
      </c>
      <c r="Y959" s="194">
        <f>IFERROR(IF(INDEX([1]Pivot!$AD$1:$BE$65000,$B959,Y$5)=1,1,IF(INDEX([1]Pivot!$B$1:$AB$65000,$B959,Y$5)="",2,0)),0)</f>
        <v>0</v>
      </c>
      <c r="Z959" s="194">
        <f>IFERROR(IF(INDEX([1]Pivot!$AD$1:$BE$65000,$B959,Z$5)=1,1,IF(INDEX([1]Pivot!$B$1:$AB$65000,$B959,Z$5)="",2,0)),0)</f>
        <v>0</v>
      </c>
      <c r="AA959" s="194">
        <f>IFERROR(IF(INDEX([1]Pivot!$AD$1:$BE$65000,$B959,AA$5)=1,1,IF(INDEX([1]Pivot!$B$1:$AB$65000,$B959,AA$5)="",2,0)),0)</f>
        <v>0</v>
      </c>
      <c r="AB959" s="194">
        <f>IFERROR(IF(INDEX([1]Pivot!$AD$1:$BE$65000,$B959,AB$5)=1,1,IF(INDEX([1]Pivot!$B$1:$AB$65000,$B959,AB$5)="",2,0)),0)</f>
        <v>0</v>
      </c>
      <c r="AC959" s="194">
        <f>IFERROR(IF(INDEX([1]Pivot!$AD$1:$BE$65000,$B959,AC$5)=1,1,IF(INDEX([1]Pivot!$B$1:$AB$65000,$B959,AC$5)="",2,0)),0)</f>
        <v>0</v>
      </c>
      <c r="AD959" s="313">
        <f>IFERROR(IF(INDEX([1]Pivot!$BF$1:$CG$65000,$B959,AD$5)=1,1,IF(INDEX([1]Pivot!$B$1:$AB$65000,$B959,AD$5)="",2,0)),0)</f>
        <v>0</v>
      </c>
      <c r="AE959" s="313">
        <f>IFERROR(IF(INDEX([1]Pivot!$BF$1:$CG$65000,$B959,AE$5)=1,1,IF(INDEX([1]Pivot!$B$1:$AB$65000,$B959,AE$5)="",2,0)),0)</f>
        <v>0</v>
      </c>
      <c r="AF959" s="313">
        <f>IFERROR(IF(INDEX([1]Pivot!$BF$1:$CG$65000,$B959,AF$5)=1,1,IF(INDEX([1]Pivot!$B$1:$AB$65000,$B959,AF$5)="",2,0)),0)</f>
        <v>0</v>
      </c>
      <c r="AG959" s="313">
        <f>IFERROR(IF(INDEX([1]Pivot!$BF$1:$CG$65000,$B959,AG$5)=1,1,IF(INDEX([1]Pivot!$B$1:$AB$65000,$B959,AG$5)="",2,0)),0)</f>
        <v>0</v>
      </c>
      <c r="AH959" s="313">
        <f>IFERROR(IF(INDEX([1]Pivot!$BF$1:$CG$65000,$B959,AH$5)=1,1,IF(INDEX([1]Pivot!$B$1:$AB$65000,$B959,AH$5)="",2,0)),0)</f>
        <v>0</v>
      </c>
      <c r="AI959" s="313">
        <f>IFERROR(IF(INDEX([1]Pivot!$BF$1:$CG$65000,$B959,AI$5)=1,1,IF(INDEX([1]Pivot!$B$1:$AB$65000,$B959,AI$5)="",2,0)),0)</f>
        <v>0</v>
      </c>
      <c r="AJ959" s="313">
        <f>IFERROR(IF(INDEX([1]Pivot!$BF$1:$CG$65000,$B959,AJ$5)=1,1,IF(INDEX([1]Pivot!$B$1:$AB$65000,$B959,AJ$5)="",2,0)),0)</f>
        <v>0</v>
      </c>
      <c r="AK959" s="313">
        <f>IFERROR(IF(INDEX([1]Pivot!$BF$1:$CG$65000,$B959,AK$5)=1,1,IF(INDEX([1]Pivot!$B$1:$AB$65000,$B959,AK$5)="",2,0)),0)</f>
        <v>0</v>
      </c>
      <c r="AL959" s="313">
        <f>IFERROR(IF(INDEX([1]Pivot!$BF$1:$CG$65000,$B959,AL$5)=1,1,IF(INDEX([1]Pivot!$B$1:$AB$65000,$B959,AL$5)="",2,0)),0)</f>
        <v>0</v>
      </c>
      <c r="AM959" s="313">
        <f>IFERROR(IF(INDEX([1]Pivot!$BF$1:$CG$65000,$B959,AM$5)=1,1,IF(INDEX([1]Pivot!$B$1:$AB$65000,$B959,AM$5)="",2,0)),0)</f>
        <v>0</v>
      </c>
      <c r="AN959" s="313">
        <f>IFERROR(IF(INDEX([1]Pivot!$BF$1:$CG$65000,$B959,AN$5)=1,1,IF(INDEX([1]Pivot!$B$1:$AB$65000,$B959,AN$5)="",2,0)),0)</f>
        <v>0</v>
      </c>
      <c r="AO959" s="313">
        <f>IFERROR(IF(INDEX([1]Pivot!$BF$1:$CG$65000,$B959,AO$5)=1,1,IF(INDEX([1]Pivot!$B$1:$AB$65000,$B959,AO$5)="",2,0)),0)</f>
        <v>0</v>
      </c>
      <c r="AP959" s="313">
        <f>IFERROR(IF(INDEX([1]Pivot!$BF$1:$CG$65000,$B959,AP$5)=1,1,IF(INDEX([1]Pivot!$B$1:$AB$65000,$B959,AP$5)="",2,0)),0)</f>
        <v>0</v>
      </c>
      <c r="AQ959" s="313">
        <f>IFERROR(IF(INDEX([1]Pivot!$BF$1:$CG$65000,$B959,AQ$5)=1,1,IF(INDEX([1]Pivot!$B$1:$AB$65000,$B959,AQ$5)="",2,0)),0)</f>
        <v>0</v>
      </c>
      <c r="AR959" s="313">
        <f>IFERROR(IF(INDEX([1]Pivot!$BF$1:$CG$65000,$B959,AR$5)=1,1,IF(INDEX([1]Pivot!$B$1:$AB$65000,$B959,AR$5)="",2,0)),0)</f>
        <v>0</v>
      </c>
      <c r="AS959" s="312"/>
      <c r="AT959" s="313">
        <f>IFERROR(IF(INDEX([1]Pivot!$BF$1:$CG$65000,$B959,AT$5)=1,1,IF(INDEX([1]Pivot!$B$1:$AB$65000,$B959,AT$5)="",2,0)),0)</f>
        <v>0</v>
      </c>
      <c r="AU959" s="313">
        <f>IFERROR(IF(INDEX([1]Pivot!$BF$1:$CG$65000,$B959,AU$5)=1,1,IF(INDEX([1]Pivot!$B$1:$AB$65000,$B959,AU$5)="",2,0)),0)</f>
        <v>0</v>
      </c>
      <c r="AV959" s="313">
        <f>IFERROR(IF(INDEX([1]Pivot!$BF$1:$CG$65000,$B959,AV$5)=1,1,IF(INDEX([1]Pivot!$B$1:$AB$65000,$B959,AV$5)="",2,0)),0)</f>
        <v>0</v>
      </c>
      <c r="AW959" s="313">
        <f>IFERROR(IF(INDEX([1]Pivot!$BF$1:$CG$65000,$B959,AW$5)=1,1,IF(INDEX([1]Pivot!$B$1:$AB$65000,$B959,AW$5)="",2,0)),0)</f>
        <v>0</v>
      </c>
      <c r="AX959" s="313">
        <f>IFERROR(IF(INDEX([1]Pivot!$BF$1:$CG$65000,$B959,AX$5)=1,1,IF(INDEX([1]Pivot!$B$1:$AB$65000,$B959,AX$5)="",2,0)),0)</f>
        <v>0</v>
      </c>
      <c r="AY959" s="313">
        <f>IFERROR(IF(INDEX([1]Pivot!$BF$1:$CG$65000,$B959,AY$5)=1,1,IF(INDEX([1]Pivot!$B$1:$AB$65000,$B959,AY$5)="",2,0)),0)</f>
        <v>0</v>
      </c>
      <c r="AZ959" s="313">
        <f>IFERROR(IF(INDEX([1]Pivot!$BF$1:$CG$65000,$B959,AZ$5)=1,1,IF(INDEX([1]Pivot!$B$1:$AB$65000,$B959,AZ$5)="",2,0)),0)</f>
        <v>0</v>
      </c>
      <c r="BA959" s="313">
        <f>IFERROR(IF(INDEX([1]Pivot!$BF$1:$CG$65000,$B959,BA$5)=1,1,IF(INDEX([1]Pivot!$B$1:$AB$65000,$B959,BA$5)="",2,0)),0)</f>
        <v>0</v>
      </c>
      <c r="BB959" s="313">
        <f>IFERROR(IF(INDEX([1]Pivot!$BF$1:$CG$65000,$B959,BB$5)=1,1,IF(INDEX([1]Pivot!$B$1:$AB$65000,$B959,BB$5)="",2,0)),0)</f>
        <v>0</v>
      </c>
      <c r="BC959" s="313">
        <f>IFERROR(IF(INDEX([1]Pivot!$BF$1:$CG$65000,$B959,BC$5)=1,1,IF(INDEX([1]Pivot!$B$1:$AB$65000,$B959,BC$5)="",2,0)),0)</f>
        <v>0</v>
      </c>
      <c r="BD959" s="313">
        <f>IFERROR(IF(INDEX([1]Pivot!$BF$1:$CG$65000,$B959,BD$5)=1,1,IF(INDEX([1]Pivot!$B$1:$AB$65000,$B959,BD$5)="",2,0)),0)</f>
        <v>0</v>
      </c>
    </row>
    <row r="960" spans="1:56" x14ac:dyDescent="0.25">
      <c r="A960" s="288">
        <f>'[2]Raw Milk Prices'!A960</f>
        <v>0</v>
      </c>
      <c r="B960" s="296" t="e">
        <f>MATCH(DATE(LEFT('[2]Raw Milk Prices'!$A960,4),RIGHT('[2]Raw Milk Prices'!$A960,2),1),[1]Pivot!$A$1:$A$65000,0)</f>
        <v>#VALUE!</v>
      </c>
      <c r="C960" s="194">
        <f>IFERROR(IF(INDEX([1]Pivot!$AD$1:$BE$65000,$B960,C$5)=1,1,IF(INDEX([1]Pivot!$B$1:$AB$65000,$B960,C$5)="",2,0)),0)</f>
        <v>0</v>
      </c>
      <c r="D960" s="194">
        <f>IFERROR(IF(INDEX([1]Pivot!$AD$1:$BE$65000,$B960,D$5)=1,1,IF(INDEX([1]Pivot!$B$1:$AB$65000,$B960,D$5)="",2,0)),0)</f>
        <v>0</v>
      </c>
      <c r="E960" s="194">
        <f>IFERROR(IF(INDEX([1]Pivot!$AD$1:$BE$65000,$B960,E$5)=1,1,IF(INDEX([1]Pivot!$B$1:$AB$65000,$B960,E$5)="",2,0)),0)</f>
        <v>0</v>
      </c>
      <c r="F960" s="194">
        <f>IFERROR(IF(INDEX([1]Pivot!$AD$1:$BE$65000,$B960,F$5)=1,1,IF(INDEX([1]Pivot!$B$1:$AB$65000,$B960,F$5)="",2,0)),0)</f>
        <v>0</v>
      </c>
      <c r="G960" s="194">
        <f>IFERROR(IF(INDEX([1]Pivot!$AD$1:$BE$65000,$B960,G$5)=1,1,IF(INDEX([1]Pivot!$B$1:$AB$65000,$B960,G$5)="",2,0)),0)</f>
        <v>0</v>
      </c>
      <c r="H960" s="194">
        <f>IFERROR(IF(INDEX([1]Pivot!$AD$1:$BE$65000,$B960,H$5)=1,1,IF(INDEX([1]Pivot!$B$1:$AB$65000,$B960,H$5)="",2,0)),0)</f>
        <v>0</v>
      </c>
      <c r="I960" s="194">
        <f>IFERROR(IF(INDEX([1]Pivot!$AD$1:$BE$65000,$B960,I$5)=1,1,IF(INDEX([1]Pivot!$B$1:$AB$65000,$B960,I$5)="",2,0)),0)</f>
        <v>0</v>
      </c>
      <c r="J960" s="194">
        <f>IFERROR(IF(INDEX([1]Pivot!$AD$1:$BE$65000,$B960,J$5)=1,1,IF(INDEX([1]Pivot!$B$1:$AB$65000,$B960,J$5)="",2,0)),0)</f>
        <v>0</v>
      </c>
      <c r="K960" s="194">
        <f>IFERROR(IF(INDEX([1]Pivot!$AD$1:$BE$65000,$B960,K$5)=1,1,IF(INDEX([1]Pivot!$B$1:$AB$65000,$B960,K$5)="",2,0)),0)</f>
        <v>0</v>
      </c>
      <c r="L960" s="194">
        <f>IFERROR(IF(INDEX([1]Pivot!$AD$1:$BE$65000,$B960,L$5)=1,1,IF(INDEX([1]Pivot!$B$1:$AB$65000,$B960,L$5)="",2,0)),0)</f>
        <v>0</v>
      </c>
      <c r="M960" s="194">
        <f>IFERROR(IF(INDEX([1]Pivot!$AD$1:$BE$65000,$B960,M$5)=1,1,IF(INDEX([1]Pivot!$B$1:$AB$65000,$B960,M$5)="",2,0)),0)</f>
        <v>0</v>
      </c>
      <c r="N960" s="194">
        <f>IFERROR(IF(INDEX([1]Pivot!$AD$1:$BE$65000,$B960,N$5)=1,1,IF(INDEX([1]Pivot!$B$1:$AB$65000,$B960,N$5)="",2,0)),0)</f>
        <v>0</v>
      </c>
      <c r="O960" s="194">
        <f>IFERROR(IF(INDEX([1]Pivot!$AD$1:$BE$65000,$B960,O$5)=1,1,IF(INDEX([1]Pivot!$B$1:$AB$65000,$B960,O$5)="",2,0)),0)</f>
        <v>0</v>
      </c>
      <c r="P960" s="194">
        <f>IFERROR(IF(INDEX([1]Pivot!$AD$1:$BE$65000,$B960,P$5)=1,1,IF(INDEX([1]Pivot!$B$1:$AB$65000,$B960,P$5)="",2,0)),0)</f>
        <v>0</v>
      </c>
      <c r="Q960" s="194">
        <f>IFERROR(IF(INDEX([1]Pivot!$AD$1:$BE$65000,$B960,Q$5)=1,1,IF(INDEX([1]Pivot!$B$1:$AB$65000,$B960,Q$5)="",2,0)),0)</f>
        <v>0</v>
      </c>
      <c r="R960" s="312"/>
      <c r="S960" s="194">
        <f>IFERROR(IF(INDEX([1]Pivot!$AD$1:$BE$65000,$B960,S$5)=1,1,IF(INDEX([1]Pivot!$B$1:$AB$65000,$B960,S$5)="",2,0)),0)</f>
        <v>0</v>
      </c>
      <c r="T960" s="194">
        <f>IFERROR(IF(INDEX([1]Pivot!$AD$1:$BE$65000,$B960,T$5)=1,1,IF(INDEX([1]Pivot!$B$1:$AB$65000,$B960,T$5)="",2,0)),0)</f>
        <v>0</v>
      </c>
      <c r="U960" s="194">
        <f>IFERROR(IF(INDEX([1]Pivot!$AD$1:$BE$65000,$B960,U$5)=1,1,IF(INDEX([1]Pivot!$B$1:$AB$65000,$B960,U$5)="",2,0)),0)</f>
        <v>0</v>
      </c>
      <c r="V960" s="194">
        <f>IFERROR(IF(INDEX([1]Pivot!$AD$1:$BE$65000,$B960,V$5)=1,1,IF(INDEX([1]Pivot!$B$1:$AB$65000,$B960,V$5)="",2,0)),0)</f>
        <v>0</v>
      </c>
      <c r="W960" s="194">
        <f>IFERROR(IF(INDEX([1]Pivot!$AD$1:$BE$65000,$B960,W$5)=1,1,IF(INDEX([1]Pivot!$B$1:$AB$65000,$B960,W$5)="",2,0)),0)</f>
        <v>0</v>
      </c>
      <c r="X960" s="194">
        <f>IFERROR(IF(INDEX([1]Pivot!$AD$1:$BE$65000,$B960,X$5)=1,1,IF(INDEX([1]Pivot!$B$1:$AB$65000,$B960,X$5)="",2,0)),0)</f>
        <v>0</v>
      </c>
      <c r="Y960" s="194">
        <f>IFERROR(IF(INDEX([1]Pivot!$AD$1:$BE$65000,$B960,Y$5)=1,1,IF(INDEX([1]Pivot!$B$1:$AB$65000,$B960,Y$5)="",2,0)),0)</f>
        <v>0</v>
      </c>
      <c r="Z960" s="194">
        <f>IFERROR(IF(INDEX([1]Pivot!$AD$1:$BE$65000,$B960,Z$5)=1,1,IF(INDEX([1]Pivot!$B$1:$AB$65000,$B960,Z$5)="",2,0)),0)</f>
        <v>0</v>
      </c>
      <c r="AA960" s="194">
        <f>IFERROR(IF(INDEX([1]Pivot!$AD$1:$BE$65000,$B960,AA$5)=1,1,IF(INDEX([1]Pivot!$B$1:$AB$65000,$B960,AA$5)="",2,0)),0)</f>
        <v>0</v>
      </c>
      <c r="AB960" s="194">
        <f>IFERROR(IF(INDEX([1]Pivot!$AD$1:$BE$65000,$B960,AB$5)=1,1,IF(INDEX([1]Pivot!$B$1:$AB$65000,$B960,AB$5)="",2,0)),0)</f>
        <v>0</v>
      </c>
      <c r="AC960" s="194">
        <f>IFERROR(IF(INDEX([1]Pivot!$AD$1:$BE$65000,$B960,AC$5)=1,1,IF(INDEX([1]Pivot!$B$1:$AB$65000,$B960,AC$5)="",2,0)),0)</f>
        <v>0</v>
      </c>
      <c r="AD960" s="313">
        <f>IFERROR(IF(INDEX([1]Pivot!$BF$1:$CG$65000,$B960,AD$5)=1,1,IF(INDEX([1]Pivot!$B$1:$AB$65000,$B960,AD$5)="",2,0)),0)</f>
        <v>0</v>
      </c>
      <c r="AE960" s="313">
        <f>IFERROR(IF(INDEX([1]Pivot!$BF$1:$CG$65000,$B960,AE$5)=1,1,IF(INDEX([1]Pivot!$B$1:$AB$65000,$B960,AE$5)="",2,0)),0)</f>
        <v>0</v>
      </c>
      <c r="AF960" s="313">
        <f>IFERROR(IF(INDEX([1]Pivot!$BF$1:$CG$65000,$B960,AF$5)=1,1,IF(INDEX([1]Pivot!$B$1:$AB$65000,$B960,AF$5)="",2,0)),0)</f>
        <v>0</v>
      </c>
      <c r="AG960" s="313">
        <f>IFERROR(IF(INDEX([1]Pivot!$BF$1:$CG$65000,$B960,AG$5)=1,1,IF(INDEX([1]Pivot!$B$1:$AB$65000,$B960,AG$5)="",2,0)),0)</f>
        <v>0</v>
      </c>
      <c r="AH960" s="313">
        <f>IFERROR(IF(INDEX([1]Pivot!$BF$1:$CG$65000,$B960,AH$5)=1,1,IF(INDEX([1]Pivot!$B$1:$AB$65000,$B960,AH$5)="",2,0)),0)</f>
        <v>0</v>
      </c>
      <c r="AI960" s="313">
        <f>IFERROR(IF(INDEX([1]Pivot!$BF$1:$CG$65000,$B960,AI$5)=1,1,IF(INDEX([1]Pivot!$B$1:$AB$65000,$B960,AI$5)="",2,0)),0)</f>
        <v>0</v>
      </c>
      <c r="AJ960" s="313">
        <f>IFERROR(IF(INDEX([1]Pivot!$BF$1:$CG$65000,$B960,AJ$5)=1,1,IF(INDEX([1]Pivot!$B$1:$AB$65000,$B960,AJ$5)="",2,0)),0)</f>
        <v>0</v>
      </c>
      <c r="AK960" s="313">
        <f>IFERROR(IF(INDEX([1]Pivot!$BF$1:$CG$65000,$B960,AK$5)=1,1,IF(INDEX([1]Pivot!$B$1:$AB$65000,$B960,AK$5)="",2,0)),0)</f>
        <v>0</v>
      </c>
      <c r="AL960" s="313">
        <f>IFERROR(IF(INDEX([1]Pivot!$BF$1:$CG$65000,$B960,AL$5)=1,1,IF(INDEX([1]Pivot!$B$1:$AB$65000,$B960,AL$5)="",2,0)),0)</f>
        <v>0</v>
      </c>
      <c r="AM960" s="313">
        <f>IFERROR(IF(INDEX([1]Pivot!$BF$1:$CG$65000,$B960,AM$5)=1,1,IF(INDEX([1]Pivot!$B$1:$AB$65000,$B960,AM$5)="",2,0)),0)</f>
        <v>0</v>
      </c>
      <c r="AN960" s="313">
        <f>IFERROR(IF(INDEX([1]Pivot!$BF$1:$CG$65000,$B960,AN$5)=1,1,IF(INDEX([1]Pivot!$B$1:$AB$65000,$B960,AN$5)="",2,0)),0)</f>
        <v>0</v>
      </c>
      <c r="AO960" s="313">
        <f>IFERROR(IF(INDEX([1]Pivot!$BF$1:$CG$65000,$B960,AO$5)=1,1,IF(INDEX([1]Pivot!$B$1:$AB$65000,$B960,AO$5)="",2,0)),0)</f>
        <v>0</v>
      </c>
      <c r="AP960" s="313">
        <f>IFERROR(IF(INDEX([1]Pivot!$BF$1:$CG$65000,$B960,AP$5)=1,1,IF(INDEX([1]Pivot!$B$1:$AB$65000,$B960,AP$5)="",2,0)),0)</f>
        <v>0</v>
      </c>
      <c r="AQ960" s="313">
        <f>IFERROR(IF(INDEX([1]Pivot!$BF$1:$CG$65000,$B960,AQ$5)=1,1,IF(INDEX([1]Pivot!$B$1:$AB$65000,$B960,AQ$5)="",2,0)),0)</f>
        <v>0</v>
      </c>
      <c r="AR960" s="313">
        <f>IFERROR(IF(INDEX([1]Pivot!$BF$1:$CG$65000,$B960,AR$5)=1,1,IF(INDEX([1]Pivot!$B$1:$AB$65000,$B960,AR$5)="",2,0)),0)</f>
        <v>0</v>
      </c>
      <c r="AS960" s="312"/>
      <c r="AT960" s="313">
        <f>IFERROR(IF(INDEX([1]Pivot!$BF$1:$CG$65000,$B960,AT$5)=1,1,IF(INDEX([1]Pivot!$B$1:$AB$65000,$B960,AT$5)="",2,0)),0)</f>
        <v>0</v>
      </c>
      <c r="AU960" s="313">
        <f>IFERROR(IF(INDEX([1]Pivot!$BF$1:$CG$65000,$B960,AU$5)=1,1,IF(INDEX([1]Pivot!$B$1:$AB$65000,$B960,AU$5)="",2,0)),0)</f>
        <v>0</v>
      </c>
      <c r="AV960" s="313">
        <f>IFERROR(IF(INDEX([1]Pivot!$BF$1:$CG$65000,$B960,AV$5)=1,1,IF(INDEX([1]Pivot!$B$1:$AB$65000,$B960,AV$5)="",2,0)),0)</f>
        <v>0</v>
      </c>
      <c r="AW960" s="313">
        <f>IFERROR(IF(INDEX([1]Pivot!$BF$1:$CG$65000,$B960,AW$5)=1,1,IF(INDEX([1]Pivot!$B$1:$AB$65000,$B960,AW$5)="",2,0)),0)</f>
        <v>0</v>
      </c>
      <c r="AX960" s="313">
        <f>IFERROR(IF(INDEX([1]Pivot!$BF$1:$CG$65000,$B960,AX$5)=1,1,IF(INDEX([1]Pivot!$B$1:$AB$65000,$B960,AX$5)="",2,0)),0)</f>
        <v>0</v>
      </c>
      <c r="AY960" s="313">
        <f>IFERROR(IF(INDEX([1]Pivot!$BF$1:$CG$65000,$B960,AY$5)=1,1,IF(INDEX([1]Pivot!$B$1:$AB$65000,$B960,AY$5)="",2,0)),0)</f>
        <v>0</v>
      </c>
      <c r="AZ960" s="313">
        <f>IFERROR(IF(INDEX([1]Pivot!$BF$1:$CG$65000,$B960,AZ$5)=1,1,IF(INDEX([1]Pivot!$B$1:$AB$65000,$B960,AZ$5)="",2,0)),0)</f>
        <v>0</v>
      </c>
      <c r="BA960" s="313">
        <f>IFERROR(IF(INDEX([1]Pivot!$BF$1:$CG$65000,$B960,BA$5)=1,1,IF(INDEX([1]Pivot!$B$1:$AB$65000,$B960,BA$5)="",2,0)),0)</f>
        <v>0</v>
      </c>
      <c r="BB960" s="313">
        <f>IFERROR(IF(INDEX([1]Pivot!$BF$1:$CG$65000,$B960,BB$5)=1,1,IF(INDEX([1]Pivot!$B$1:$AB$65000,$B960,BB$5)="",2,0)),0)</f>
        <v>0</v>
      </c>
      <c r="BC960" s="313">
        <f>IFERROR(IF(INDEX([1]Pivot!$BF$1:$CG$65000,$B960,BC$5)=1,1,IF(INDEX([1]Pivot!$B$1:$AB$65000,$B960,BC$5)="",2,0)),0)</f>
        <v>0</v>
      </c>
      <c r="BD960" s="313">
        <f>IFERROR(IF(INDEX([1]Pivot!$BF$1:$CG$65000,$B960,BD$5)=1,1,IF(INDEX([1]Pivot!$B$1:$AB$65000,$B960,BD$5)="",2,0)),0)</f>
        <v>0</v>
      </c>
    </row>
    <row r="961" spans="1:56" x14ac:dyDescent="0.25">
      <c r="A961" s="288">
        <f>'[2]Raw Milk Prices'!A961</f>
        <v>0</v>
      </c>
      <c r="B961" s="296" t="e">
        <f>MATCH(DATE(LEFT('[2]Raw Milk Prices'!$A961,4),RIGHT('[2]Raw Milk Prices'!$A961,2),1),[1]Pivot!$A$1:$A$65000,0)</f>
        <v>#VALUE!</v>
      </c>
      <c r="C961" s="194">
        <f>IFERROR(IF(INDEX([1]Pivot!$AD$1:$BE$65000,$B961,C$5)=1,1,IF(INDEX([1]Pivot!$B$1:$AB$65000,$B961,C$5)="",2,0)),0)</f>
        <v>0</v>
      </c>
      <c r="D961" s="194">
        <f>IFERROR(IF(INDEX([1]Pivot!$AD$1:$BE$65000,$B961,D$5)=1,1,IF(INDEX([1]Pivot!$B$1:$AB$65000,$B961,D$5)="",2,0)),0)</f>
        <v>0</v>
      </c>
      <c r="E961" s="194">
        <f>IFERROR(IF(INDEX([1]Pivot!$AD$1:$BE$65000,$B961,E$5)=1,1,IF(INDEX([1]Pivot!$B$1:$AB$65000,$B961,E$5)="",2,0)),0)</f>
        <v>0</v>
      </c>
      <c r="F961" s="194">
        <f>IFERROR(IF(INDEX([1]Pivot!$AD$1:$BE$65000,$B961,F$5)=1,1,IF(INDEX([1]Pivot!$B$1:$AB$65000,$B961,F$5)="",2,0)),0)</f>
        <v>0</v>
      </c>
      <c r="G961" s="194">
        <f>IFERROR(IF(INDEX([1]Pivot!$AD$1:$BE$65000,$B961,G$5)=1,1,IF(INDEX([1]Pivot!$B$1:$AB$65000,$B961,G$5)="",2,0)),0)</f>
        <v>0</v>
      </c>
      <c r="H961" s="194">
        <f>IFERROR(IF(INDEX([1]Pivot!$AD$1:$BE$65000,$B961,H$5)=1,1,IF(INDEX([1]Pivot!$B$1:$AB$65000,$B961,H$5)="",2,0)),0)</f>
        <v>0</v>
      </c>
      <c r="I961" s="194">
        <f>IFERROR(IF(INDEX([1]Pivot!$AD$1:$BE$65000,$B961,I$5)=1,1,IF(INDEX([1]Pivot!$B$1:$AB$65000,$B961,I$5)="",2,0)),0)</f>
        <v>0</v>
      </c>
      <c r="J961" s="194">
        <f>IFERROR(IF(INDEX([1]Pivot!$AD$1:$BE$65000,$B961,J$5)=1,1,IF(INDEX([1]Pivot!$B$1:$AB$65000,$B961,J$5)="",2,0)),0)</f>
        <v>0</v>
      </c>
      <c r="K961" s="194">
        <f>IFERROR(IF(INDEX([1]Pivot!$AD$1:$BE$65000,$B961,K$5)=1,1,IF(INDEX([1]Pivot!$B$1:$AB$65000,$B961,K$5)="",2,0)),0)</f>
        <v>0</v>
      </c>
      <c r="L961" s="194">
        <f>IFERROR(IF(INDEX([1]Pivot!$AD$1:$BE$65000,$B961,L$5)=1,1,IF(INDEX([1]Pivot!$B$1:$AB$65000,$B961,L$5)="",2,0)),0)</f>
        <v>0</v>
      </c>
      <c r="M961" s="194">
        <f>IFERROR(IF(INDEX([1]Pivot!$AD$1:$BE$65000,$B961,M$5)=1,1,IF(INDEX([1]Pivot!$B$1:$AB$65000,$B961,M$5)="",2,0)),0)</f>
        <v>0</v>
      </c>
      <c r="N961" s="194">
        <f>IFERROR(IF(INDEX([1]Pivot!$AD$1:$BE$65000,$B961,N$5)=1,1,IF(INDEX([1]Pivot!$B$1:$AB$65000,$B961,N$5)="",2,0)),0)</f>
        <v>0</v>
      </c>
      <c r="O961" s="194">
        <f>IFERROR(IF(INDEX([1]Pivot!$AD$1:$BE$65000,$B961,O$5)=1,1,IF(INDEX([1]Pivot!$B$1:$AB$65000,$B961,O$5)="",2,0)),0)</f>
        <v>0</v>
      </c>
      <c r="P961" s="194">
        <f>IFERROR(IF(INDEX([1]Pivot!$AD$1:$BE$65000,$B961,P$5)=1,1,IF(INDEX([1]Pivot!$B$1:$AB$65000,$B961,P$5)="",2,0)),0)</f>
        <v>0</v>
      </c>
      <c r="Q961" s="194">
        <f>IFERROR(IF(INDEX([1]Pivot!$AD$1:$BE$65000,$B961,Q$5)=1,1,IF(INDEX([1]Pivot!$B$1:$AB$65000,$B961,Q$5)="",2,0)),0)</f>
        <v>0</v>
      </c>
      <c r="R961" s="312"/>
      <c r="S961" s="194">
        <f>IFERROR(IF(INDEX([1]Pivot!$AD$1:$BE$65000,$B961,S$5)=1,1,IF(INDEX([1]Pivot!$B$1:$AB$65000,$B961,S$5)="",2,0)),0)</f>
        <v>0</v>
      </c>
      <c r="T961" s="194">
        <f>IFERROR(IF(INDEX([1]Pivot!$AD$1:$BE$65000,$B961,T$5)=1,1,IF(INDEX([1]Pivot!$B$1:$AB$65000,$B961,T$5)="",2,0)),0)</f>
        <v>0</v>
      </c>
      <c r="U961" s="194">
        <f>IFERROR(IF(INDEX([1]Pivot!$AD$1:$BE$65000,$B961,U$5)=1,1,IF(INDEX([1]Pivot!$B$1:$AB$65000,$B961,U$5)="",2,0)),0)</f>
        <v>0</v>
      </c>
      <c r="V961" s="194">
        <f>IFERROR(IF(INDEX([1]Pivot!$AD$1:$BE$65000,$B961,V$5)=1,1,IF(INDEX([1]Pivot!$B$1:$AB$65000,$B961,V$5)="",2,0)),0)</f>
        <v>0</v>
      </c>
      <c r="W961" s="194">
        <f>IFERROR(IF(INDEX([1]Pivot!$AD$1:$BE$65000,$B961,W$5)=1,1,IF(INDEX([1]Pivot!$B$1:$AB$65000,$B961,W$5)="",2,0)),0)</f>
        <v>0</v>
      </c>
      <c r="X961" s="194">
        <f>IFERROR(IF(INDEX([1]Pivot!$AD$1:$BE$65000,$B961,X$5)=1,1,IF(INDEX([1]Pivot!$B$1:$AB$65000,$B961,X$5)="",2,0)),0)</f>
        <v>0</v>
      </c>
      <c r="Y961" s="194">
        <f>IFERROR(IF(INDEX([1]Pivot!$AD$1:$BE$65000,$B961,Y$5)=1,1,IF(INDEX([1]Pivot!$B$1:$AB$65000,$B961,Y$5)="",2,0)),0)</f>
        <v>0</v>
      </c>
      <c r="Z961" s="194">
        <f>IFERROR(IF(INDEX([1]Pivot!$AD$1:$BE$65000,$B961,Z$5)=1,1,IF(INDEX([1]Pivot!$B$1:$AB$65000,$B961,Z$5)="",2,0)),0)</f>
        <v>0</v>
      </c>
      <c r="AA961" s="194">
        <f>IFERROR(IF(INDEX([1]Pivot!$AD$1:$BE$65000,$B961,AA$5)=1,1,IF(INDEX([1]Pivot!$B$1:$AB$65000,$B961,AA$5)="",2,0)),0)</f>
        <v>0</v>
      </c>
      <c r="AB961" s="194">
        <f>IFERROR(IF(INDEX([1]Pivot!$AD$1:$BE$65000,$B961,AB$5)=1,1,IF(INDEX([1]Pivot!$B$1:$AB$65000,$B961,AB$5)="",2,0)),0)</f>
        <v>0</v>
      </c>
      <c r="AC961" s="194">
        <f>IFERROR(IF(INDEX([1]Pivot!$AD$1:$BE$65000,$B961,AC$5)=1,1,IF(INDEX([1]Pivot!$B$1:$AB$65000,$B961,AC$5)="",2,0)),0)</f>
        <v>0</v>
      </c>
      <c r="AD961" s="313">
        <f>IFERROR(IF(INDEX([1]Pivot!$BF$1:$CG$65000,$B961,AD$5)=1,1,IF(INDEX([1]Pivot!$B$1:$AB$65000,$B961,AD$5)="",2,0)),0)</f>
        <v>0</v>
      </c>
      <c r="AE961" s="313">
        <f>IFERROR(IF(INDEX([1]Pivot!$BF$1:$CG$65000,$B961,AE$5)=1,1,IF(INDEX([1]Pivot!$B$1:$AB$65000,$B961,AE$5)="",2,0)),0)</f>
        <v>0</v>
      </c>
      <c r="AF961" s="313">
        <f>IFERROR(IF(INDEX([1]Pivot!$BF$1:$CG$65000,$B961,AF$5)=1,1,IF(INDEX([1]Pivot!$B$1:$AB$65000,$B961,AF$5)="",2,0)),0)</f>
        <v>0</v>
      </c>
      <c r="AG961" s="313">
        <f>IFERROR(IF(INDEX([1]Pivot!$BF$1:$CG$65000,$B961,AG$5)=1,1,IF(INDEX([1]Pivot!$B$1:$AB$65000,$B961,AG$5)="",2,0)),0)</f>
        <v>0</v>
      </c>
      <c r="AH961" s="313">
        <f>IFERROR(IF(INDEX([1]Pivot!$BF$1:$CG$65000,$B961,AH$5)=1,1,IF(INDEX([1]Pivot!$B$1:$AB$65000,$B961,AH$5)="",2,0)),0)</f>
        <v>0</v>
      </c>
      <c r="AI961" s="313">
        <f>IFERROR(IF(INDEX([1]Pivot!$BF$1:$CG$65000,$B961,AI$5)=1,1,IF(INDEX([1]Pivot!$B$1:$AB$65000,$B961,AI$5)="",2,0)),0)</f>
        <v>0</v>
      </c>
      <c r="AJ961" s="313">
        <f>IFERROR(IF(INDEX([1]Pivot!$BF$1:$CG$65000,$B961,AJ$5)=1,1,IF(INDEX([1]Pivot!$B$1:$AB$65000,$B961,AJ$5)="",2,0)),0)</f>
        <v>0</v>
      </c>
      <c r="AK961" s="313">
        <f>IFERROR(IF(INDEX([1]Pivot!$BF$1:$CG$65000,$B961,AK$5)=1,1,IF(INDEX([1]Pivot!$B$1:$AB$65000,$B961,AK$5)="",2,0)),0)</f>
        <v>0</v>
      </c>
      <c r="AL961" s="313">
        <f>IFERROR(IF(INDEX([1]Pivot!$BF$1:$CG$65000,$B961,AL$5)=1,1,IF(INDEX([1]Pivot!$B$1:$AB$65000,$B961,AL$5)="",2,0)),0)</f>
        <v>0</v>
      </c>
      <c r="AM961" s="313">
        <f>IFERROR(IF(INDEX([1]Pivot!$BF$1:$CG$65000,$B961,AM$5)=1,1,IF(INDEX([1]Pivot!$B$1:$AB$65000,$B961,AM$5)="",2,0)),0)</f>
        <v>0</v>
      </c>
      <c r="AN961" s="313">
        <f>IFERROR(IF(INDEX([1]Pivot!$BF$1:$CG$65000,$B961,AN$5)=1,1,IF(INDEX([1]Pivot!$B$1:$AB$65000,$B961,AN$5)="",2,0)),0)</f>
        <v>0</v>
      </c>
      <c r="AO961" s="313">
        <f>IFERROR(IF(INDEX([1]Pivot!$BF$1:$CG$65000,$B961,AO$5)=1,1,IF(INDEX([1]Pivot!$B$1:$AB$65000,$B961,AO$5)="",2,0)),0)</f>
        <v>0</v>
      </c>
      <c r="AP961" s="313">
        <f>IFERROR(IF(INDEX([1]Pivot!$BF$1:$CG$65000,$B961,AP$5)=1,1,IF(INDEX([1]Pivot!$B$1:$AB$65000,$B961,AP$5)="",2,0)),0)</f>
        <v>0</v>
      </c>
      <c r="AQ961" s="313">
        <f>IFERROR(IF(INDEX([1]Pivot!$BF$1:$CG$65000,$B961,AQ$5)=1,1,IF(INDEX([1]Pivot!$B$1:$AB$65000,$B961,AQ$5)="",2,0)),0)</f>
        <v>0</v>
      </c>
      <c r="AR961" s="313">
        <f>IFERROR(IF(INDEX([1]Pivot!$BF$1:$CG$65000,$B961,AR$5)=1,1,IF(INDEX([1]Pivot!$B$1:$AB$65000,$B961,AR$5)="",2,0)),0)</f>
        <v>0</v>
      </c>
      <c r="AS961" s="312"/>
      <c r="AT961" s="313">
        <f>IFERROR(IF(INDEX([1]Pivot!$BF$1:$CG$65000,$B961,AT$5)=1,1,IF(INDEX([1]Pivot!$B$1:$AB$65000,$B961,AT$5)="",2,0)),0)</f>
        <v>0</v>
      </c>
      <c r="AU961" s="313">
        <f>IFERROR(IF(INDEX([1]Pivot!$BF$1:$CG$65000,$B961,AU$5)=1,1,IF(INDEX([1]Pivot!$B$1:$AB$65000,$B961,AU$5)="",2,0)),0)</f>
        <v>0</v>
      </c>
      <c r="AV961" s="313">
        <f>IFERROR(IF(INDEX([1]Pivot!$BF$1:$CG$65000,$B961,AV$5)=1,1,IF(INDEX([1]Pivot!$B$1:$AB$65000,$B961,AV$5)="",2,0)),0)</f>
        <v>0</v>
      </c>
      <c r="AW961" s="313">
        <f>IFERROR(IF(INDEX([1]Pivot!$BF$1:$CG$65000,$B961,AW$5)=1,1,IF(INDEX([1]Pivot!$B$1:$AB$65000,$B961,AW$5)="",2,0)),0)</f>
        <v>0</v>
      </c>
      <c r="AX961" s="313">
        <f>IFERROR(IF(INDEX([1]Pivot!$BF$1:$CG$65000,$B961,AX$5)=1,1,IF(INDEX([1]Pivot!$B$1:$AB$65000,$B961,AX$5)="",2,0)),0)</f>
        <v>0</v>
      </c>
      <c r="AY961" s="313">
        <f>IFERROR(IF(INDEX([1]Pivot!$BF$1:$CG$65000,$B961,AY$5)=1,1,IF(INDEX([1]Pivot!$B$1:$AB$65000,$B961,AY$5)="",2,0)),0)</f>
        <v>0</v>
      </c>
      <c r="AZ961" s="313">
        <f>IFERROR(IF(INDEX([1]Pivot!$BF$1:$CG$65000,$B961,AZ$5)=1,1,IF(INDEX([1]Pivot!$B$1:$AB$65000,$B961,AZ$5)="",2,0)),0)</f>
        <v>0</v>
      </c>
      <c r="BA961" s="313">
        <f>IFERROR(IF(INDEX([1]Pivot!$BF$1:$CG$65000,$B961,BA$5)=1,1,IF(INDEX([1]Pivot!$B$1:$AB$65000,$B961,BA$5)="",2,0)),0)</f>
        <v>0</v>
      </c>
      <c r="BB961" s="313">
        <f>IFERROR(IF(INDEX([1]Pivot!$BF$1:$CG$65000,$B961,BB$5)=1,1,IF(INDEX([1]Pivot!$B$1:$AB$65000,$B961,BB$5)="",2,0)),0)</f>
        <v>0</v>
      </c>
      <c r="BC961" s="313">
        <f>IFERROR(IF(INDEX([1]Pivot!$BF$1:$CG$65000,$B961,BC$5)=1,1,IF(INDEX([1]Pivot!$B$1:$AB$65000,$B961,BC$5)="",2,0)),0)</f>
        <v>0</v>
      </c>
      <c r="BD961" s="313">
        <f>IFERROR(IF(INDEX([1]Pivot!$BF$1:$CG$65000,$B961,BD$5)=1,1,IF(INDEX([1]Pivot!$B$1:$AB$65000,$B961,BD$5)="",2,0)),0)</f>
        <v>0</v>
      </c>
    </row>
    <row r="962" spans="1:56" x14ac:dyDescent="0.25">
      <c r="A962" s="288">
        <f>'[2]Raw Milk Prices'!A962</f>
        <v>0</v>
      </c>
      <c r="B962" s="296" t="e">
        <f>MATCH(DATE(LEFT('[2]Raw Milk Prices'!$A962,4),RIGHT('[2]Raw Milk Prices'!$A962,2),1),[1]Pivot!$A$1:$A$65000,0)</f>
        <v>#VALUE!</v>
      </c>
      <c r="C962" s="194">
        <f>IFERROR(IF(INDEX([1]Pivot!$AD$1:$BE$65000,$B962,C$5)=1,1,IF(INDEX([1]Pivot!$B$1:$AB$65000,$B962,C$5)="",2,0)),0)</f>
        <v>0</v>
      </c>
      <c r="D962" s="194">
        <f>IFERROR(IF(INDEX([1]Pivot!$AD$1:$BE$65000,$B962,D$5)=1,1,IF(INDEX([1]Pivot!$B$1:$AB$65000,$B962,D$5)="",2,0)),0)</f>
        <v>0</v>
      </c>
      <c r="E962" s="194">
        <f>IFERROR(IF(INDEX([1]Pivot!$AD$1:$BE$65000,$B962,E$5)=1,1,IF(INDEX([1]Pivot!$B$1:$AB$65000,$B962,E$5)="",2,0)),0)</f>
        <v>0</v>
      </c>
      <c r="F962" s="194">
        <f>IFERROR(IF(INDEX([1]Pivot!$AD$1:$BE$65000,$B962,F$5)=1,1,IF(INDEX([1]Pivot!$B$1:$AB$65000,$B962,F$5)="",2,0)),0)</f>
        <v>0</v>
      </c>
      <c r="G962" s="194">
        <f>IFERROR(IF(INDEX([1]Pivot!$AD$1:$BE$65000,$B962,G$5)=1,1,IF(INDEX([1]Pivot!$B$1:$AB$65000,$B962,G$5)="",2,0)),0)</f>
        <v>0</v>
      </c>
      <c r="H962" s="194">
        <f>IFERROR(IF(INDEX([1]Pivot!$AD$1:$BE$65000,$B962,H$5)=1,1,IF(INDEX([1]Pivot!$B$1:$AB$65000,$B962,H$5)="",2,0)),0)</f>
        <v>0</v>
      </c>
      <c r="I962" s="194">
        <f>IFERROR(IF(INDEX([1]Pivot!$AD$1:$BE$65000,$B962,I$5)=1,1,IF(INDEX([1]Pivot!$B$1:$AB$65000,$B962,I$5)="",2,0)),0)</f>
        <v>0</v>
      </c>
      <c r="J962" s="194">
        <f>IFERROR(IF(INDEX([1]Pivot!$AD$1:$BE$65000,$B962,J$5)=1,1,IF(INDEX([1]Pivot!$B$1:$AB$65000,$B962,J$5)="",2,0)),0)</f>
        <v>0</v>
      </c>
      <c r="K962" s="194">
        <f>IFERROR(IF(INDEX([1]Pivot!$AD$1:$BE$65000,$B962,K$5)=1,1,IF(INDEX([1]Pivot!$B$1:$AB$65000,$B962,K$5)="",2,0)),0)</f>
        <v>0</v>
      </c>
      <c r="L962" s="194">
        <f>IFERROR(IF(INDEX([1]Pivot!$AD$1:$BE$65000,$B962,L$5)=1,1,IF(INDEX([1]Pivot!$B$1:$AB$65000,$B962,L$5)="",2,0)),0)</f>
        <v>0</v>
      </c>
      <c r="M962" s="194">
        <f>IFERROR(IF(INDEX([1]Pivot!$AD$1:$BE$65000,$B962,M$5)=1,1,IF(INDEX([1]Pivot!$B$1:$AB$65000,$B962,M$5)="",2,0)),0)</f>
        <v>0</v>
      </c>
      <c r="N962" s="194">
        <f>IFERROR(IF(INDEX([1]Pivot!$AD$1:$BE$65000,$B962,N$5)=1,1,IF(INDEX([1]Pivot!$B$1:$AB$65000,$B962,N$5)="",2,0)),0)</f>
        <v>0</v>
      </c>
      <c r="O962" s="194">
        <f>IFERROR(IF(INDEX([1]Pivot!$AD$1:$BE$65000,$B962,O$5)=1,1,IF(INDEX([1]Pivot!$B$1:$AB$65000,$B962,O$5)="",2,0)),0)</f>
        <v>0</v>
      </c>
      <c r="P962" s="194">
        <f>IFERROR(IF(INDEX([1]Pivot!$AD$1:$BE$65000,$B962,P$5)=1,1,IF(INDEX([1]Pivot!$B$1:$AB$65000,$B962,P$5)="",2,0)),0)</f>
        <v>0</v>
      </c>
      <c r="Q962" s="194">
        <f>IFERROR(IF(INDEX([1]Pivot!$AD$1:$BE$65000,$B962,Q$5)=1,1,IF(INDEX([1]Pivot!$B$1:$AB$65000,$B962,Q$5)="",2,0)),0)</f>
        <v>0</v>
      </c>
      <c r="R962" s="312"/>
      <c r="S962" s="194">
        <f>IFERROR(IF(INDEX([1]Pivot!$AD$1:$BE$65000,$B962,S$5)=1,1,IF(INDEX([1]Pivot!$B$1:$AB$65000,$B962,S$5)="",2,0)),0)</f>
        <v>0</v>
      </c>
      <c r="T962" s="194">
        <f>IFERROR(IF(INDEX([1]Pivot!$AD$1:$BE$65000,$B962,T$5)=1,1,IF(INDEX([1]Pivot!$B$1:$AB$65000,$B962,T$5)="",2,0)),0)</f>
        <v>0</v>
      </c>
      <c r="U962" s="194">
        <f>IFERROR(IF(INDEX([1]Pivot!$AD$1:$BE$65000,$B962,U$5)=1,1,IF(INDEX([1]Pivot!$B$1:$AB$65000,$B962,U$5)="",2,0)),0)</f>
        <v>0</v>
      </c>
      <c r="V962" s="194">
        <f>IFERROR(IF(INDEX([1]Pivot!$AD$1:$BE$65000,$B962,V$5)=1,1,IF(INDEX([1]Pivot!$B$1:$AB$65000,$B962,V$5)="",2,0)),0)</f>
        <v>0</v>
      </c>
      <c r="W962" s="194">
        <f>IFERROR(IF(INDEX([1]Pivot!$AD$1:$BE$65000,$B962,W$5)=1,1,IF(INDEX([1]Pivot!$B$1:$AB$65000,$B962,W$5)="",2,0)),0)</f>
        <v>0</v>
      </c>
      <c r="X962" s="194">
        <f>IFERROR(IF(INDEX([1]Pivot!$AD$1:$BE$65000,$B962,X$5)=1,1,IF(INDEX([1]Pivot!$B$1:$AB$65000,$B962,X$5)="",2,0)),0)</f>
        <v>0</v>
      </c>
      <c r="Y962" s="194">
        <f>IFERROR(IF(INDEX([1]Pivot!$AD$1:$BE$65000,$B962,Y$5)=1,1,IF(INDEX([1]Pivot!$B$1:$AB$65000,$B962,Y$5)="",2,0)),0)</f>
        <v>0</v>
      </c>
      <c r="Z962" s="194">
        <f>IFERROR(IF(INDEX([1]Pivot!$AD$1:$BE$65000,$B962,Z$5)=1,1,IF(INDEX([1]Pivot!$B$1:$AB$65000,$B962,Z$5)="",2,0)),0)</f>
        <v>0</v>
      </c>
      <c r="AA962" s="194">
        <f>IFERROR(IF(INDEX([1]Pivot!$AD$1:$BE$65000,$B962,AA$5)=1,1,IF(INDEX([1]Pivot!$B$1:$AB$65000,$B962,AA$5)="",2,0)),0)</f>
        <v>0</v>
      </c>
      <c r="AB962" s="194">
        <f>IFERROR(IF(INDEX([1]Pivot!$AD$1:$BE$65000,$B962,AB$5)=1,1,IF(INDEX([1]Pivot!$B$1:$AB$65000,$B962,AB$5)="",2,0)),0)</f>
        <v>0</v>
      </c>
      <c r="AC962" s="194">
        <f>IFERROR(IF(INDEX([1]Pivot!$AD$1:$BE$65000,$B962,AC$5)=1,1,IF(INDEX([1]Pivot!$B$1:$AB$65000,$B962,AC$5)="",2,0)),0)</f>
        <v>0</v>
      </c>
      <c r="AD962" s="313">
        <f>IFERROR(IF(INDEX([1]Pivot!$BF$1:$CG$65000,$B962,AD$5)=1,1,IF(INDEX([1]Pivot!$B$1:$AB$65000,$B962,AD$5)="",2,0)),0)</f>
        <v>0</v>
      </c>
      <c r="AE962" s="313">
        <f>IFERROR(IF(INDEX([1]Pivot!$BF$1:$CG$65000,$B962,AE$5)=1,1,IF(INDEX([1]Pivot!$B$1:$AB$65000,$B962,AE$5)="",2,0)),0)</f>
        <v>0</v>
      </c>
      <c r="AF962" s="313">
        <f>IFERROR(IF(INDEX([1]Pivot!$BF$1:$CG$65000,$B962,AF$5)=1,1,IF(INDEX([1]Pivot!$B$1:$AB$65000,$B962,AF$5)="",2,0)),0)</f>
        <v>0</v>
      </c>
      <c r="AG962" s="313">
        <f>IFERROR(IF(INDEX([1]Pivot!$BF$1:$CG$65000,$B962,AG$5)=1,1,IF(INDEX([1]Pivot!$B$1:$AB$65000,$B962,AG$5)="",2,0)),0)</f>
        <v>0</v>
      </c>
      <c r="AH962" s="313">
        <f>IFERROR(IF(INDEX([1]Pivot!$BF$1:$CG$65000,$B962,AH$5)=1,1,IF(INDEX([1]Pivot!$B$1:$AB$65000,$B962,AH$5)="",2,0)),0)</f>
        <v>0</v>
      </c>
      <c r="AI962" s="313">
        <f>IFERROR(IF(INDEX([1]Pivot!$BF$1:$CG$65000,$B962,AI$5)=1,1,IF(INDEX([1]Pivot!$B$1:$AB$65000,$B962,AI$5)="",2,0)),0)</f>
        <v>0</v>
      </c>
      <c r="AJ962" s="313">
        <f>IFERROR(IF(INDEX([1]Pivot!$BF$1:$CG$65000,$B962,AJ$5)=1,1,IF(INDEX([1]Pivot!$B$1:$AB$65000,$B962,AJ$5)="",2,0)),0)</f>
        <v>0</v>
      </c>
      <c r="AK962" s="313">
        <f>IFERROR(IF(INDEX([1]Pivot!$BF$1:$CG$65000,$B962,AK$5)=1,1,IF(INDEX([1]Pivot!$B$1:$AB$65000,$B962,AK$5)="",2,0)),0)</f>
        <v>0</v>
      </c>
      <c r="AL962" s="313">
        <f>IFERROR(IF(INDEX([1]Pivot!$BF$1:$CG$65000,$B962,AL$5)=1,1,IF(INDEX([1]Pivot!$B$1:$AB$65000,$B962,AL$5)="",2,0)),0)</f>
        <v>0</v>
      </c>
      <c r="AM962" s="313">
        <f>IFERROR(IF(INDEX([1]Pivot!$BF$1:$CG$65000,$B962,AM$5)=1,1,IF(INDEX([1]Pivot!$B$1:$AB$65000,$B962,AM$5)="",2,0)),0)</f>
        <v>0</v>
      </c>
      <c r="AN962" s="313">
        <f>IFERROR(IF(INDEX([1]Pivot!$BF$1:$CG$65000,$B962,AN$5)=1,1,IF(INDEX([1]Pivot!$B$1:$AB$65000,$B962,AN$5)="",2,0)),0)</f>
        <v>0</v>
      </c>
      <c r="AO962" s="313">
        <f>IFERROR(IF(INDEX([1]Pivot!$BF$1:$CG$65000,$B962,AO$5)=1,1,IF(INDEX([1]Pivot!$B$1:$AB$65000,$B962,AO$5)="",2,0)),0)</f>
        <v>0</v>
      </c>
      <c r="AP962" s="313">
        <f>IFERROR(IF(INDEX([1]Pivot!$BF$1:$CG$65000,$B962,AP$5)=1,1,IF(INDEX([1]Pivot!$B$1:$AB$65000,$B962,AP$5)="",2,0)),0)</f>
        <v>0</v>
      </c>
      <c r="AQ962" s="313">
        <f>IFERROR(IF(INDEX([1]Pivot!$BF$1:$CG$65000,$B962,AQ$5)=1,1,IF(INDEX([1]Pivot!$B$1:$AB$65000,$B962,AQ$5)="",2,0)),0)</f>
        <v>0</v>
      </c>
      <c r="AR962" s="313">
        <f>IFERROR(IF(INDEX([1]Pivot!$BF$1:$CG$65000,$B962,AR$5)=1,1,IF(INDEX([1]Pivot!$B$1:$AB$65000,$B962,AR$5)="",2,0)),0)</f>
        <v>0</v>
      </c>
      <c r="AS962" s="312"/>
      <c r="AT962" s="313">
        <f>IFERROR(IF(INDEX([1]Pivot!$BF$1:$CG$65000,$B962,AT$5)=1,1,IF(INDEX([1]Pivot!$B$1:$AB$65000,$B962,AT$5)="",2,0)),0)</f>
        <v>0</v>
      </c>
      <c r="AU962" s="313">
        <f>IFERROR(IF(INDEX([1]Pivot!$BF$1:$CG$65000,$B962,AU$5)=1,1,IF(INDEX([1]Pivot!$B$1:$AB$65000,$B962,AU$5)="",2,0)),0)</f>
        <v>0</v>
      </c>
      <c r="AV962" s="313">
        <f>IFERROR(IF(INDEX([1]Pivot!$BF$1:$CG$65000,$B962,AV$5)=1,1,IF(INDEX([1]Pivot!$B$1:$AB$65000,$B962,AV$5)="",2,0)),0)</f>
        <v>0</v>
      </c>
      <c r="AW962" s="313">
        <f>IFERROR(IF(INDEX([1]Pivot!$BF$1:$CG$65000,$B962,AW$5)=1,1,IF(INDEX([1]Pivot!$B$1:$AB$65000,$B962,AW$5)="",2,0)),0)</f>
        <v>0</v>
      </c>
      <c r="AX962" s="313">
        <f>IFERROR(IF(INDEX([1]Pivot!$BF$1:$CG$65000,$B962,AX$5)=1,1,IF(INDEX([1]Pivot!$B$1:$AB$65000,$B962,AX$5)="",2,0)),0)</f>
        <v>0</v>
      </c>
      <c r="AY962" s="313">
        <f>IFERROR(IF(INDEX([1]Pivot!$BF$1:$CG$65000,$B962,AY$5)=1,1,IF(INDEX([1]Pivot!$B$1:$AB$65000,$B962,AY$5)="",2,0)),0)</f>
        <v>0</v>
      </c>
      <c r="AZ962" s="313">
        <f>IFERROR(IF(INDEX([1]Pivot!$BF$1:$CG$65000,$B962,AZ$5)=1,1,IF(INDEX([1]Pivot!$B$1:$AB$65000,$B962,AZ$5)="",2,0)),0)</f>
        <v>0</v>
      </c>
      <c r="BA962" s="313">
        <f>IFERROR(IF(INDEX([1]Pivot!$BF$1:$CG$65000,$B962,BA$5)=1,1,IF(INDEX([1]Pivot!$B$1:$AB$65000,$B962,BA$5)="",2,0)),0)</f>
        <v>0</v>
      </c>
      <c r="BB962" s="313">
        <f>IFERROR(IF(INDEX([1]Pivot!$BF$1:$CG$65000,$B962,BB$5)=1,1,IF(INDEX([1]Pivot!$B$1:$AB$65000,$B962,BB$5)="",2,0)),0)</f>
        <v>0</v>
      </c>
      <c r="BC962" s="313">
        <f>IFERROR(IF(INDEX([1]Pivot!$BF$1:$CG$65000,$B962,BC$5)=1,1,IF(INDEX([1]Pivot!$B$1:$AB$65000,$B962,BC$5)="",2,0)),0)</f>
        <v>0</v>
      </c>
      <c r="BD962" s="313">
        <f>IFERROR(IF(INDEX([1]Pivot!$BF$1:$CG$65000,$B962,BD$5)=1,1,IF(INDEX([1]Pivot!$B$1:$AB$65000,$B962,BD$5)="",2,0)),0)</f>
        <v>0</v>
      </c>
    </row>
    <row r="963" spans="1:56" x14ac:dyDescent="0.25">
      <c r="A963" s="288">
        <f>'[2]Raw Milk Prices'!A963</f>
        <v>0</v>
      </c>
      <c r="B963" s="296" t="e">
        <f>MATCH(DATE(LEFT('[2]Raw Milk Prices'!$A963,4),RIGHT('[2]Raw Milk Prices'!$A963,2),1),[1]Pivot!$A$1:$A$65000,0)</f>
        <v>#VALUE!</v>
      </c>
      <c r="C963" s="194">
        <f>IFERROR(IF(INDEX([1]Pivot!$AD$1:$BE$65000,$B963,C$5)=1,1,IF(INDEX([1]Pivot!$B$1:$AB$65000,$B963,C$5)="",2,0)),0)</f>
        <v>0</v>
      </c>
      <c r="D963" s="194">
        <f>IFERROR(IF(INDEX([1]Pivot!$AD$1:$BE$65000,$B963,D$5)=1,1,IF(INDEX([1]Pivot!$B$1:$AB$65000,$B963,D$5)="",2,0)),0)</f>
        <v>0</v>
      </c>
      <c r="E963" s="194">
        <f>IFERROR(IF(INDEX([1]Pivot!$AD$1:$BE$65000,$B963,E$5)=1,1,IF(INDEX([1]Pivot!$B$1:$AB$65000,$B963,E$5)="",2,0)),0)</f>
        <v>0</v>
      </c>
      <c r="F963" s="194">
        <f>IFERROR(IF(INDEX([1]Pivot!$AD$1:$BE$65000,$B963,F$5)=1,1,IF(INDEX([1]Pivot!$B$1:$AB$65000,$B963,F$5)="",2,0)),0)</f>
        <v>0</v>
      </c>
      <c r="G963" s="194">
        <f>IFERROR(IF(INDEX([1]Pivot!$AD$1:$BE$65000,$B963,G$5)=1,1,IF(INDEX([1]Pivot!$B$1:$AB$65000,$B963,G$5)="",2,0)),0)</f>
        <v>0</v>
      </c>
      <c r="H963" s="194">
        <f>IFERROR(IF(INDEX([1]Pivot!$AD$1:$BE$65000,$B963,H$5)=1,1,IF(INDEX([1]Pivot!$B$1:$AB$65000,$B963,H$5)="",2,0)),0)</f>
        <v>0</v>
      </c>
      <c r="I963" s="194">
        <f>IFERROR(IF(INDEX([1]Pivot!$AD$1:$BE$65000,$B963,I$5)=1,1,IF(INDEX([1]Pivot!$B$1:$AB$65000,$B963,I$5)="",2,0)),0)</f>
        <v>0</v>
      </c>
      <c r="J963" s="194">
        <f>IFERROR(IF(INDEX([1]Pivot!$AD$1:$BE$65000,$B963,J$5)=1,1,IF(INDEX([1]Pivot!$B$1:$AB$65000,$B963,J$5)="",2,0)),0)</f>
        <v>0</v>
      </c>
      <c r="K963" s="194">
        <f>IFERROR(IF(INDEX([1]Pivot!$AD$1:$BE$65000,$B963,K$5)=1,1,IF(INDEX([1]Pivot!$B$1:$AB$65000,$B963,K$5)="",2,0)),0)</f>
        <v>0</v>
      </c>
      <c r="L963" s="194">
        <f>IFERROR(IF(INDEX([1]Pivot!$AD$1:$BE$65000,$B963,L$5)=1,1,IF(INDEX([1]Pivot!$B$1:$AB$65000,$B963,L$5)="",2,0)),0)</f>
        <v>0</v>
      </c>
      <c r="M963" s="194">
        <f>IFERROR(IF(INDEX([1]Pivot!$AD$1:$BE$65000,$B963,M$5)=1,1,IF(INDEX([1]Pivot!$B$1:$AB$65000,$B963,M$5)="",2,0)),0)</f>
        <v>0</v>
      </c>
      <c r="N963" s="194">
        <f>IFERROR(IF(INDEX([1]Pivot!$AD$1:$BE$65000,$B963,N$5)=1,1,IF(INDEX([1]Pivot!$B$1:$AB$65000,$B963,N$5)="",2,0)),0)</f>
        <v>0</v>
      </c>
      <c r="O963" s="194">
        <f>IFERROR(IF(INDEX([1]Pivot!$AD$1:$BE$65000,$B963,O$5)=1,1,IF(INDEX([1]Pivot!$B$1:$AB$65000,$B963,O$5)="",2,0)),0)</f>
        <v>0</v>
      </c>
      <c r="P963" s="194">
        <f>IFERROR(IF(INDEX([1]Pivot!$AD$1:$BE$65000,$B963,P$5)=1,1,IF(INDEX([1]Pivot!$B$1:$AB$65000,$B963,P$5)="",2,0)),0)</f>
        <v>0</v>
      </c>
      <c r="Q963" s="194">
        <f>IFERROR(IF(INDEX([1]Pivot!$AD$1:$BE$65000,$B963,Q$5)=1,1,IF(INDEX([1]Pivot!$B$1:$AB$65000,$B963,Q$5)="",2,0)),0)</f>
        <v>0</v>
      </c>
      <c r="R963" s="312"/>
      <c r="S963" s="194">
        <f>IFERROR(IF(INDEX([1]Pivot!$AD$1:$BE$65000,$B963,S$5)=1,1,IF(INDEX([1]Pivot!$B$1:$AB$65000,$B963,S$5)="",2,0)),0)</f>
        <v>0</v>
      </c>
      <c r="T963" s="194">
        <f>IFERROR(IF(INDEX([1]Pivot!$AD$1:$BE$65000,$B963,T$5)=1,1,IF(INDEX([1]Pivot!$B$1:$AB$65000,$B963,T$5)="",2,0)),0)</f>
        <v>0</v>
      </c>
      <c r="U963" s="194">
        <f>IFERROR(IF(INDEX([1]Pivot!$AD$1:$BE$65000,$B963,U$5)=1,1,IF(INDEX([1]Pivot!$B$1:$AB$65000,$B963,U$5)="",2,0)),0)</f>
        <v>0</v>
      </c>
      <c r="V963" s="194">
        <f>IFERROR(IF(INDEX([1]Pivot!$AD$1:$BE$65000,$B963,V$5)=1,1,IF(INDEX([1]Pivot!$B$1:$AB$65000,$B963,V$5)="",2,0)),0)</f>
        <v>0</v>
      </c>
      <c r="W963" s="194">
        <f>IFERROR(IF(INDEX([1]Pivot!$AD$1:$BE$65000,$B963,W$5)=1,1,IF(INDEX([1]Pivot!$B$1:$AB$65000,$B963,W$5)="",2,0)),0)</f>
        <v>0</v>
      </c>
      <c r="X963" s="194">
        <f>IFERROR(IF(INDEX([1]Pivot!$AD$1:$BE$65000,$B963,X$5)=1,1,IF(INDEX([1]Pivot!$B$1:$AB$65000,$B963,X$5)="",2,0)),0)</f>
        <v>0</v>
      </c>
      <c r="Y963" s="194">
        <f>IFERROR(IF(INDEX([1]Pivot!$AD$1:$BE$65000,$B963,Y$5)=1,1,IF(INDEX([1]Pivot!$B$1:$AB$65000,$B963,Y$5)="",2,0)),0)</f>
        <v>0</v>
      </c>
      <c r="Z963" s="194">
        <f>IFERROR(IF(INDEX([1]Pivot!$AD$1:$BE$65000,$B963,Z$5)=1,1,IF(INDEX([1]Pivot!$B$1:$AB$65000,$B963,Z$5)="",2,0)),0)</f>
        <v>0</v>
      </c>
      <c r="AA963" s="194">
        <f>IFERROR(IF(INDEX([1]Pivot!$AD$1:$BE$65000,$B963,AA$5)=1,1,IF(INDEX([1]Pivot!$B$1:$AB$65000,$B963,AA$5)="",2,0)),0)</f>
        <v>0</v>
      </c>
      <c r="AB963" s="194">
        <f>IFERROR(IF(INDEX([1]Pivot!$AD$1:$BE$65000,$B963,AB$5)=1,1,IF(INDEX([1]Pivot!$B$1:$AB$65000,$B963,AB$5)="",2,0)),0)</f>
        <v>0</v>
      </c>
      <c r="AC963" s="194">
        <f>IFERROR(IF(INDEX([1]Pivot!$AD$1:$BE$65000,$B963,AC$5)=1,1,IF(INDEX([1]Pivot!$B$1:$AB$65000,$B963,AC$5)="",2,0)),0)</f>
        <v>0</v>
      </c>
      <c r="AD963" s="313">
        <f>IFERROR(IF(INDEX([1]Pivot!$BF$1:$CG$65000,$B963,AD$5)=1,1,IF(INDEX([1]Pivot!$B$1:$AB$65000,$B963,AD$5)="",2,0)),0)</f>
        <v>0</v>
      </c>
      <c r="AE963" s="313">
        <f>IFERROR(IF(INDEX([1]Pivot!$BF$1:$CG$65000,$B963,AE$5)=1,1,IF(INDEX([1]Pivot!$B$1:$AB$65000,$B963,AE$5)="",2,0)),0)</f>
        <v>0</v>
      </c>
      <c r="AF963" s="313">
        <f>IFERROR(IF(INDEX([1]Pivot!$BF$1:$CG$65000,$B963,AF$5)=1,1,IF(INDEX([1]Pivot!$B$1:$AB$65000,$B963,AF$5)="",2,0)),0)</f>
        <v>0</v>
      </c>
      <c r="AG963" s="313">
        <f>IFERROR(IF(INDEX([1]Pivot!$BF$1:$CG$65000,$B963,AG$5)=1,1,IF(INDEX([1]Pivot!$B$1:$AB$65000,$B963,AG$5)="",2,0)),0)</f>
        <v>0</v>
      </c>
      <c r="AH963" s="313">
        <f>IFERROR(IF(INDEX([1]Pivot!$BF$1:$CG$65000,$B963,AH$5)=1,1,IF(INDEX([1]Pivot!$B$1:$AB$65000,$B963,AH$5)="",2,0)),0)</f>
        <v>0</v>
      </c>
      <c r="AI963" s="313">
        <f>IFERROR(IF(INDEX([1]Pivot!$BF$1:$CG$65000,$B963,AI$5)=1,1,IF(INDEX([1]Pivot!$B$1:$AB$65000,$B963,AI$5)="",2,0)),0)</f>
        <v>0</v>
      </c>
      <c r="AJ963" s="313">
        <f>IFERROR(IF(INDEX([1]Pivot!$BF$1:$CG$65000,$B963,AJ$5)=1,1,IF(INDEX([1]Pivot!$B$1:$AB$65000,$B963,AJ$5)="",2,0)),0)</f>
        <v>0</v>
      </c>
      <c r="AK963" s="313">
        <f>IFERROR(IF(INDEX([1]Pivot!$BF$1:$CG$65000,$B963,AK$5)=1,1,IF(INDEX([1]Pivot!$B$1:$AB$65000,$B963,AK$5)="",2,0)),0)</f>
        <v>0</v>
      </c>
      <c r="AL963" s="313">
        <f>IFERROR(IF(INDEX([1]Pivot!$BF$1:$CG$65000,$B963,AL$5)=1,1,IF(INDEX([1]Pivot!$B$1:$AB$65000,$B963,AL$5)="",2,0)),0)</f>
        <v>0</v>
      </c>
      <c r="AM963" s="313">
        <f>IFERROR(IF(INDEX([1]Pivot!$BF$1:$CG$65000,$B963,AM$5)=1,1,IF(INDEX([1]Pivot!$B$1:$AB$65000,$B963,AM$5)="",2,0)),0)</f>
        <v>0</v>
      </c>
      <c r="AN963" s="313">
        <f>IFERROR(IF(INDEX([1]Pivot!$BF$1:$CG$65000,$B963,AN$5)=1,1,IF(INDEX([1]Pivot!$B$1:$AB$65000,$B963,AN$5)="",2,0)),0)</f>
        <v>0</v>
      </c>
      <c r="AO963" s="313">
        <f>IFERROR(IF(INDEX([1]Pivot!$BF$1:$CG$65000,$B963,AO$5)=1,1,IF(INDEX([1]Pivot!$B$1:$AB$65000,$B963,AO$5)="",2,0)),0)</f>
        <v>0</v>
      </c>
      <c r="AP963" s="313">
        <f>IFERROR(IF(INDEX([1]Pivot!$BF$1:$CG$65000,$B963,AP$5)=1,1,IF(INDEX([1]Pivot!$B$1:$AB$65000,$B963,AP$5)="",2,0)),0)</f>
        <v>0</v>
      </c>
      <c r="AQ963" s="313">
        <f>IFERROR(IF(INDEX([1]Pivot!$BF$1:$CG$65000,$B963,AQ$5)=1,1,IF(INDEX([1]Pivot!$B$1:$AB$65000,$B963,AQ$5)="",2,0)),0)</f>
        <v>0</v>
      </c>
      <c r="AR963" s="313">
        <f>IFERROR(IF(INDEX([1]Pivot!$BF$1:$CG$65000,$B963,AR$5)=1,1,IF(INDEX([1]Pivot!$B$1:$AB$65000,$B963,AR$5)="",2,0)),0)</f>
        <v>0</v>
      </c>
      <c r="AS963" s="312"/>
      <c r="AT963" s="313">
        <f>IFERROR(IF(INDEX([1]Pivot!$BF$1:$CG$65000,$B963,AT$5)=1,1,IF(INDEX([1]Pivot!$B$1:$AB$65000,$B963,AT$5)="",2,0)),0)</f>
        <v>0</v>
      </c>
      <c r="AU963" s="313">
        <f>IFERROR(IF(INDEX([1]Pivot!$BF$1:$CG$65000,$B963,AU$5)=1,1,IF(INDEX([1]Pivot!$B$1:$AB$65000,$B963,AU$5)="",2,0)),0)</f>
        <v>0</v>
      </c>
      <c r="AV963" s="313">
        <f>IFERROR(IF(INDEX([1]Pivot!$BF$1:$CG$65000,$B963,AV$5)=1,1,IF(INDEX([1]Pivot!$B$1:$AB$65000,$B963,AV$5)="",2,0)),0)</f>
        <v>0</v>
      </c>
      <c r="AW963" s="313">
        <f>IFERROR(IF(INDEX([1]Pivot!$BF$1:$CG$65000,$B963,AW$5)=1,1,IF(INDEX([1]Pivot!$B$1:$AB$65000,$B963,AW$5)="",2,0)),0)</f>
        <v>0</v>
      </c>
      <c r="AX963" s="313">
        <f>IFERROR(IF(INDEX([1]Pivot!$BF$1:$CG$65000,$B963,AX$5)=1,1,IF(INDEX([1]Pivot!$B$1:$AB$65000,$B963,AX$5)="",2,0)),0)</f>
        <v>0</v>
      </c>
      <c r="AY963" s="313">
        <f>IFERROR(IF(INDEX([1]Pivot!$BF$1:$CG$65000,$B963,AY$5)=1,1,IF(INDEX([1]Pivot!$B$1:$AB$65000,$B963,AY$5)="",2,0)),0)</f>
        <v>0</v>
      </c>
      <c r="AZ963" s="313">
        <f>IFERROR(IF(INDEX([1]Pivot!$BF$1:$CG$65000,$B963,AZ$5)=1,1,IF(INDEX([1]Pivot!$B$1:$AB$65000,$B963,AZ$5)="",2,0)),0)</f>
        <v>0</v>
      </c>
      <c r="BA963" s="313">
        <f>IFERROR(IF(INDEX([1]Pivot!$BF$1:$CG$65000,$B963,BA$5)=1,1,IF(INDEX([1]Pivot!$B$1:$AB$65000,$B963,BA$5)="",2,0)),0)</f>
        <v>0</v>
      </c>
      <c r="BB963" s="313">
        <f>IFERROR(IF(INDEX([1]Pivot!$BF$1:$CG$65000,$B963,BB$5)=1,1,IF(INDEX([1]Pivot!$B$1:$AB$65000,$B963,BB$5)="",2,0)),0)</f>
        <v>0</v>
      </c>
      <c r="BC963" s="313">
        <f>IFERROR(IF(INDEX([1]Pivot!$BF$1:$CG$65000,$B963,BC$5)=1,1,IF(INDEX([1]Pivot!$B$1:$AB$65000,$B963,BC$5)="",2,0)),0)</f>
        <v>0</v>
      </c>
      <c r="BD963" s="313">
        <f>IFERROR(IF(INDEX([1]Pivot!$BF$1:$CG$65000,$B963,BD$5)=1,1,IF(INDEX([1]Pivot!$B$1:$AB$65000,$B963,BD$5)="",2,0)),0)</f>
        <v>0</v>
      </c>
    </row>
    <row r="964" spans="1:56" x14ac:dyDescent="0.25">
      <c r="A964" s="288">
        <f>'[2]Raw Milk Prices'!A964</f>
        <v>0</v>
      </c>
      <c r="B964" s="296" t="e">
        <f>MATCH(DATE(LEFT('[2]Raw Milk Prices'!$A964,4),RIGHT('[2]Raw Milk Prices'!$A964,2),1),[1]Pivot!$A$1:$A$65000,0)</f>
        <v>#VALUE!</v>
      </c>
      <c r="C964" s="194">
        <f>IFERROR(IF(INDEX([1]Pivot!$AD$1:$BE$65000,$B964,C$5)=1,1,IF(INDEX([1]Pivot!$B$1:$AB$65000,$B964,C$5)="",2,0)),0)</f>
        <v>0</v>
      </c>
      <c r="D964" s="194">
        <f>IFERROR(IF(INDEX([1]Pivot!$AD$1:$BE$65000,$B964,D$5)=1,1,IF(INDEX([1]Pivot!$B$1:$AB$65000,$B964,D$5)="",2,0)),0)</f>
        <v>0</v>
      </c>
      <c r="E964" s="194">
        <f>IFERROR(IF(INDEX([1]Pivot!$AD$1:$BE$65000,$B964,E$5)=1,1,IF(INDEX([1]Pivot!$B$1:$AB$65000,$B964,E$5)="",2,0)),0)</f>
        <v>0</v>
      </c>
      <c r="F964" s="194">
        <f>IFERROR(IF(INDEX([1]Pivot!$AD$1:$BE$65000,$B964,F$5)=1,1,IF(INDEX([1]Pivot!$B$1:$AB$65000,$B964,F$5)="",2,0)),0)</f>
        <v>0</v>
      </c>
      <c r="G964" s="194">
        <f>IFERROR(IF(INDEX([1]Pivot!$AD$1:$BE$65000,$B964,G$5)=1,1,IF(INDEX([1]Pivot!$B$1:$AB$65000,$B964,G$5)="",2,0)),0)</f>
        <v>0</v>
      </c>
      <c r="H964" s="194">
        <f>IFERROR(IF(INDEX([1]Pivot!$AD$1:$BE$65000,$B964,H$5)=1,1,IF(INDEX([1]Pivot!$B$1:$AB$65000,$B964,H$5)="",2,0)),0)</f>
        <v>0</v>
      </c>
      <c r="I964" s="194">
        <f>IFERROR(IF(INDEX([1]Pivot!$AD$1:$BE$65000,$B964,I$5)=1,1,IF(INDEX([1]Pivot!$B$1:$AB$65000,$B964,I$5)="",2,0)),0)</f>
        <v>0</v>
      </c>
      <c r="J964" s="194">
        <f>IFERROR(IF(INDEX([1]Pivot!$AD$1:$BE$65000,$B964,J$5)=1,1,IF(INDEX([1]Pivot!$B$1:$AB$65000,$B964,J$5)="",2,0)),0)</f>
        <v>0</v>
      </c>
      <c r="K964" s="194">
        <f>IFERROR(IF(INDEX([1]Pivot!$AD$1:$BE$65000,$B964,K$5)=1,1,IF(INDEX([1]Pivot!$B$1:$AB$65000,$B964,K$5)="",2,0)),0)</f>
        <v>0</v>
      </c>
      <c r="L964" s="194">
        <f>IFERROR(IF(INDEX([1]Pivot!$AD$1:$BE$65000,$B964,L$5)=1,1,IF(INDEX([1]Pivot!$B$1:$AB$65000,$B964,L$5)="",2,0)),0)</f>
        <v>0</v>
      </c>
      <c r="M964" s="194">
        <f>IFERROR(IF(INDEX([1]Pivot!$AD$1:$BE$65000,$B964,M$5)=1,1,IF(INDEX([1]Pivot!$B$1:$AB$65000,$B964,M$5)="",2,0)),0)</f>
        <v>0</v>
      </c>
      <c r="N964" s="194">
        <f>IFERROR(IF(INDEX([1]Pivot!$AD$1:$BE$65000,$B964,N$5)=1,1,IF(INDEX([1]Pivot!$B$1:$AB$65000,$B964,N$5)="",2,0)),0)</f>
        <v>0</v>
      </c>
      <c r="O964" s="194">
        <f>IFERROR(IF(INDEX([1]Pivot!$AD$1:$BE$65000,$B964,O$5)=1,1,IF(INDEX([1]Pivot!$B$1:$AB$65000,$B964,O$5)="",2,0)),0)</f>
        <v>0</v>
      </c>
      <c r="P964" s="194">
        <f>IFERROR(IF(INDEX([1]Pivot!$AD$1:$BE$65000,$B964,P$5)=1,1,IF(INDEX([1]Pivot!$B$1:$AB$65000,$B964,P$5)="",2,0)),0)</f>
        <v>0</v>
      </c>
      <c r="Q964" s="194">
        <f>IFERROR(IF(INDEX([1]Pivot!$AD$1:$BE$65000,$B964,Q$5)=1,1,IF(INDEX([1]Pivot!$B$1:$AB$65000,$B964,Q$5)="",2,0)),0)</f>
        <v>0</v>
      </c>
      <c r="R964" s="312"/>
      <c r="S964" s="194">
        <f>IFERROR(IF(INDEX([1]Pivot!$AD$1:$BE$65000,$B964,S$5)=1,1,IF(INDEX([1]Pivot!$B$1:$AB$65000,$B964,S$5)="",2,0)),0)</f>
        <v>0</v>
      </c>
      <c r="T964" s="194">
        <f>IFERROR(IF(INDEX([1]Pivot!$AD$1:$BE$65000,$B964,T$5)=1,1,IF(INDEX([1]Pivot!$B$1:$AB$65000,$B964,T$5)="",2,0)),0)</f>
        <v>0</v>
      </c>
      <c r="U964" s="194">
        <f>IFERROR(IF(INDEX([1]Pivot!$AD$1:$BE$65000,$B964,U$5)=1,1,IF(INDEX([1]Pivot!$B$1:$AB$65000,$B964,U$5)="",2,0)),0)</f>
        <v>0</v>
      </c>
      <c r="V964" s="194">
        <f>IFERROR(IF(INDEX([1]Pivot!$AD$1:$BE$65000,$B964,V$5)=1,1,IF(INDEX([1]Pivot!$B$1:$AB$65000,$B964,V$5)="",2,0)),0)</f>
        <v>0</v>
      </c>
      <c r="W964" s="194">
        <f>IFERROR(IF(INDEX([1]Pivot!$AD$1:$BE$65000,$B964,W$5)=1,1,IF(INDEX([1]Pivot!$B$1:$AB$65000,$B964,W$5)="",2,0)),0)</f>
        <v>0</v>
      </c>
      <c r="X964" s="194">
        <f>IFERROR(IF(INDEX([1]Pivot!$AD$1:$BE$65000,$B964,X$5)=1,1,IF(INDEX([1]Pivot!$B$1:$AB$65000,$B964,X$5)="",2,0)),0)</f>
        <v>0</v>
      </c>
      <c r="Y964" s="194">
        <f>IFERROR(IF(INDEX([1]Pivot!$AD$1:$BE$65000,$B964,Y$5)=1,1,IF(INDEX([1]Pivot!$B$1:$AB$65000,$B964,Y$5)="",2,0)),0)</f>
        <v>0</v>
      </c>
      <c r="Z964" s="194">
        <f>IFERROR(IF(INDEX([1]Pivot!$AD$1:$BE$65000,$B964,Z$5)=1,1,IF(INDEX([1]Pivot!$B$1:$AB$65000,$B964,Z$5)="",2,0)),0)</f>
        <v>0</v>
      </c>
      <c r="AA964" s="194">
        <f>IFERROR(IF(INDEX([1]Pivot!$AD$1:$BE$65000,$B964,AA$5)=1,1,IF(INDEX([1]Pivot!$B$1:$AB$65000,$B964,AA$5)="",2,0)),0)</f>
        <v>0</v>
      </c>
      <c r="AB964" s="194">
        <f>IFERROR(IF(INDEX([1]Pivot!$AD$1:$BE$65000,$B964,AB$5)=1,1,IF(INDEX([1]Pivot!$B$1:$AB$65000,$B964,AB$5)="",2,0)),0)</f>
        <v>0</v>
      </c>
      <c r="AC964" s="194">
        <f>IFERROR(IF(INDEX([1]Pivot!$AD$1:$BE$65000,$B964,AC$5)=1,1,IF(INDEX([1]Pivot!$B$1:$AB$65000,$B964,AC$5)="",2,0)),0)</f>
        <v>0</v>
      </c>
      <c r="AD964" s="313">
        <f>IFERROR(IF(INDEX([1]Pivot!$BF$1:$CG$65000,$B964,AD$5)=1,1,IF(INDEX([1]Pivot!$B$1:$AB$65000,$B964,AD$5)="",2,0)),0)</f>
        <v>0</v>
      </c>
      <c r="AE964" s="313">
        <f>IFERROR(IF(INDEX([1]Pivot!$BF$1:$CG$65000,$B964,AE$5)=1,1,IF(INDEX([1]Pivot!$B$1:$AB$65000,$B964,AE$5)="",2,0)),0)</f>
        <v>0</v>
      </c>
      <c r="AF964" s="313">
        <f>IFERROR(IF(INDEX([1]Pivot!$BF$1:$CG$65000,$B964,AF$5)=1,1,IF(INDEX([1]Pivot!$B$1:$AB$65000,$B964,AF$5)="",2,0)),0)</f>
        <v>0</v>
      </c>
      <c r="AG964" s="313">
        <f>IFERROR(IF(INDEX([1]Pivot!$BF$1:$CG$65000,$B964,AG$5)=1,1,IF(INDEX([1]Pivot!$B$1:$AB$65000,$B964,AG$5)="",2,0)),0)</f>
        <v>0</v>
      </c>
      <c r="AH964" s="313">
        <f>IFERROR(IF(INDEX([1]Pivot!$BF$1:$CG$65000,$B964,AH$5)=1,1,IF(INDEX([1]Pivot!$B$1:$AB$65000,$B964,AH$5)="",2,0)),0)</f>
        <v>0</v>
      </c>
      <c r="AI964" s="313">
        <f>IFERROR(IF(INDEX([1]Pivot!$BF$1:$CG$65000,$B964,AI$5)=1,1,IF(INDEX([1]Pivot!$B$1:$AB$65000,$B964,AI$5)="",2,0)),0)</f>
        <v>0</v>
      </c>
      <c r="AJ964" s="313">
        <f>IFERROR(IF(INDEX([1]Pivot!$BF$1:$CG$65000,$B964,AJ$5)=1,1,IF(INDEX([1]Pivot!$B$1:$AB$65000,$B964,AJ$5)="",2,0)),0)</f>
        <v>0</v>
      </c>
      <c r="AK964" s="313">
        <f>IFERROR(IF(INDEX([1]Pivot!$BF$1:$CG$65000,$B964,AK$5)=1,1,IF(INDEX([1]Pivot!$B$1:$AB$65000,$B964,AK$5)="",2,0)),0)</f>
        <v>0</v>
      </c>
      <c r="AL964" s="313">
        <f>IFERROR(IF(INDEX([1]Pivot!$BF$1:$CG$65000,$B964,AL$5)=1,1,IF(INDEX([1]Pivot!$B$1:$AB$65000,$B964,AL$5)="",2,0)),0)</f>
        <v>0</v>
      </c>
      <c r="AM964" s="313">
        <f>IFERROR(IF(INDEX([1]Pivot!$BF$1:$CG$65000,$B964,AM$5)=1,1,IF(INDEX([1]Pivot!$B$1:$AB$65000,$B964,AM$5)="",2,0)),0)</f>
        <v>0</v>
      </c>
      <c r="AN964" s="313">
        <f>IFERROR(IF(INDEX([1]Pivot!$BF$1:$CG$65000,$B964,AN$5)=1,1,IF(INDEX([1]Pivot!$B$1:$AB$65000,$B964,AN$5)="",2,0)),0)</f>
        <v>0</v>
      </c>
      <c r="AO964" s="313">
        <f>IFERROR(IF(INDEX([1]Pivot!$BF$1:$CG$65000,$B964,AO$5)=1,1,IF(INDEX([1]Pivot!$B$1:$AB$65000,$B964,AO$5)="",2,0)),0)</f>
        <v>0</v>
      </c>
      <c r="AP964" s="313">
        <f>IFERROR(IF(INDEX([1]Pivot!$BF$1:$CG$65000,$B964,AP$5)=1,1,IF(INDEX([1]Pivot!$B$1:$AB$65000,$B964,AP$5)="",2,0)),0)</f>
        <v>0</v>
      </c>
      <c r="AQ964" s="313">
        <f>IFERROR(IF(INDEX([1]Pivot!$BF$1:$CG$65000,$B964,AQ$5)=1,1,IF(INDEX([1]Pivot!$B$1:$AB$65000,$B964,AQ$5)="",2,0)),0)</f>
        <v>0</v>
      </c>
      <c r="AR964" s="313">
        <f>IFERROR(IF(INDEX([1]Pivot!$BF$1:$CG$65000,$B964,AR$5)=1,1,IF(INDEX([1]Pivot!$B$1:$AB$65000,$B964,AR$5)="",2,0)),0)</f>
        <v>0</v>
      </c>
      <c r="AS964" s="312"/>
      <c r="AT964" s="313">
        <f>IFERROR(IF(INDEX([1]Pivot!$BF$1:$CG$65000,$B964,AT$5)=1,1,IF(INDEX([1]Pivot!$B$1:$AB$65000,$B964,AT$5)="",2,0)),0)</f>
        <v>0</v>
      </c>
      <c r="AU964" s="313">
        <f>IFERROR(IF(INDEX([1]Pivot!$BF$1:$CG$65000,$B964,AU$5)=1,1,IF(INDEX([1]Pivot!$B$1:$AB$65000,$B964,AU$5)="",2,0)),0)</f>
        <v>0</v>
      </c>
      <c r="AV964" s="313">
        <f>IFERROR(IF(INDEX([1]Pivot!$BF$1:$CG$65000,$B964,AV$5)=1,1,IF(INDEX([1]Pivot!$B$1:$AB$65000,$B964,AV$5)="",2,0)),0)</f>
        <v>0</v>
      </c>
      <c r="AW964" s="313">
        <f>IFERROR(IF(INDEX([1]Pivot!$BF$1:$CG$65000,$B964,AW$5)=1,1,IF(INDEX([1]Pivot!$B$1:$AB$65000,$B964,AW$5)="",2,0)),0)</f>
        <v>0</v>
      </c>
      <c r="AX964" s="313">
        <f>IFERROR(IF(INDEX([1]Pivot!$BF$1:$CG$65000,$B964,AX$5)=1,1,IF(INDEX([1]Pivot!$B$1:$AB$65000,$B964,AX$5)="",2,0)),0)</f>
        <v>0</v>
      </c>
      <c r="AY964" s="313">
        <f>IFERROR(IF(INDEX([1]Pivot!$BF$1:$CG$65000,$B964,AY$5)=1,1,IF(INDEX([1]Pivot!$B$1:$AB$65000,$B964,AY$5)="",2,0)),0)</f>
        <v>0</v>
      </c>
      <c r="AZ964" s="313">
        <f>IFERROR(IF(INDEX([1]Pivot!$BF$1:$CG$65000,$B964,AZ$5)=1,1,IF(INDEX([1]Pivot!$B$1:$AB$65000,$B964,AZ$5)="",2,0)),0)</f>
        <v>0</v>
      </c>
      <c r="BA964" s="313">
        <f>IFERROR(IF(INDEX([1]Pivot!$BF$1:$CG$65000,$B964,BA$5)=1,1,IF(INDEX([1]Pivot!$B$1:$AB$65000,$B964,BA$5)="",2,0)),0)</f>
        <v>0</v>
      </c>
      <c r="BB964" s="313">
        <f>IFERROR(IF(INDEX([1]Pivot!$BF$1:$CG$65000,$B964,BB$5)=1,1,IF(INDEX([1]Pivot!$B$1:$AB$65000,$B964,BB$5)="",2,0)),0)</f>
        <v>0</v>
      </c>
      <c r="BC964" s="313">
        <f>IFERROR(IF(INDEX([1]Pivot!$BF$1:$CG$65000,$B964,BC$5)=1,1,IF(INDEX([1]Pivot!$B$1:$AB$65000,$B964,BC$5)="",2,0)),0)</f>
        <v>0</v>
      </c>
      <c r="BD964" s="313">
        <f>IFERROR(IF(INDEX([1]Pivot!$BF$1:$CG$65000,$B964,BD$5)=1,1,IF(INDEX([1]Pivot!$B$1:$AB$65000,$B964,BD$5)="",2,0)),0)</f>
        <v>0</v>
      </c>
    </row>
    <row r="965" spans="1:56" x14ac:dyDescent="0.25">
      <c r="A965" s="288">
        <f>'[2]Raw Milk Prices'!A965</f>
        <v>0</v>
      </c>
      <c r="B965" s="296" t="e">
        <f>MATCH(DATE(LEFT('[2]Raw Milk Prices'!$A965,4),RIGHT('[2]Raw Milk Prices'!$A965,2),1),[1]Pivot!$A$1:$A$65000,0)</f>
        <v>#VALUE!</v>
      </c>
      <c r="C965" s="194">
        <f>IFERROR(IF(INDEX([1]Pivot!$AD$1:$BE$65000,$B965,C$5)=1,1,IF(INDEX([1]Pivot!$B$1:$AB$65000,$B965,C$5)="",2,0)),0)</f>
        <v>0</v>
      </c>
      <c r="D965" s="194">
        <f>IFERROR(IF(INDEX([1]Pivot!$AD$1:$BE$65000,$B965,D$5)=1,1,IF(INDEX([1]Pivot!$B$1:$AB$65000,$B965,D$5)="",2,0)),0)</f>
        <v>0</v>
      </c>
      <c r="E965" s="194">
        <f>IFERROR(IF(INDEX([1]Pivot!$AD$1:$BE$65000,$B965,E$5)=1,1,IF(INDEX([1]Pivot!$B$1:$AB$65000,$B965,E$5)="",2,0)),0)</f>
        <v>0</v>
      </c>
      <c r="F965" s="194">
        <f>IFERROR(IF(INDEX([1]Pivot!$AD$1:$BE$65000,$B965,F$5)=1,1,IF(INDEX([1]Pivot!$B$1:$AB$65000,$B965,F$5)="",2,0)),0)</f>
        <v>0</v>
      </c>
      <c r="G965" s="194">
        <f>IFERROR(IF(INDEX([1]Pivot!$AD$1:$BE$65000,$B965,G$5)=1,1,IF(INDEX([1]Pivot!$B$1:$AB$65000,$B965,G$5)="",2,0)),0)</f>
        <v>0</v>
      </c>
      <c r="H965" s="194">
        <f>IFERROR(IF(INDEX([1]Pivot!$AD$1:$BE$65000,$B965,H$5)=1,1,IF(INDEX([1]Pivot!$B$1:$AB$65000,$B965,H$5)="",2,0)),0)</f>
        <v>0</v>
      </c>
      <c r="I965" s="194">
        <f>IFERROR(IF(INDEX([1]Pivot!$AD$1:$BE$65000,$B965,I$5)=1,1,IF(INDEX([1]Pivot!$B$1:$AB$65000,$B965,I$5)="",2,0)),0)</f>
        <v>0</v>
      </c>
      <c r="J965" s="194">
        <f>IFERROR(IF(INDEX([1]Pivot!$AD$1:$BE$65000,$B965,J$5)=1,1,IF(INDEX([1]Pivot!$B$1:$AB$65000,$B965,J$5)="",2,0)),0)</f>
        <v>0</v>
      </c>
      <c r="K965" s="194">
        <f>IFERROR(IF(INDEX([1]Pivot!$AD$1:$BE$65000,$B965,K$5)=1,1,IF(INDEX([1]Pivot!$B$1:$AB$65000,$B965,K$5)="",2,0)),0)</f>
        <v>0</v>
      </c>
      <c r="L965" s="194">
        <f>IFERROR(IF(INDEX([1]Pivot!$AD$1:$BE$65000,$B965,L$5)=1,1,IF(INDEX([1]Pivot!$B$1:$AB$65000,$B965,L$5)="",2,0)),0)</f>
        <v>0</v>
      </c>
      <c r="M965" s="194">
        <f>IFERROR(IF(INDEX([1]Pivot!$AD$1:$BE$65000,$B965,M$5)=1,1,IF(INDEX([1]Pivot!$B$1:$AB$65000,$B965,M$5)="",2,0)),0)</f>
        <v>0</v>
      </c>
      <c r="N965" s="194">
        <f>IFERROR(IF(INDEX([1]Pivot!$AD$1:$BE$65000,$B965,N$5)=1,1,IF(INDEX([1]Pivot!$B$1:$AB$65000,$B965,N$5)="",2,0)),0)</f>
        <v>0</v>
      </c>
      <c r="O965" s="194">
        <f>IFERROR(IF(INDEX([1]Pivot!$AD$1:$BE$65000,$B965,O$5)=1,1,IF(INDEX([1]Pivot!$B$1:$AB$65000,$B965,O$5)="",2,0)),0)</f>
        <v>0</v>
      </c>
      <c r="P965" s="194">
        <f>IFERROR(IF(INDEX([1]Pivot!$AD$1:$BE$65000,$B965,P$5)=1,1,IF(INDEX([1]Pivot!$B$1:$AB$65000,$B965,P$5)="",2,0)),0)</f>
        <v>0</v>
      </c>
      <c r="Q965" s="194">
        <f>IFERROR(IF(INDEX([1]Pivot!$AD$1:$BE$65000,$B965,Q$5)=1,1,IF(INDEX([1]Pivot!$B$1:$AB$65000,$B965,Q$5)="",2,0)),0)</f>
        <v>0</v>
      </c>
      <c r="R965" s="312"/>
      <c r="S965" s="194">
        <f>IFERROR(IF(INDEX([1]Pivot!$AD$1:$BE$65000,$B965,S$5)=1,1,IF(INDEX([1]Pivot!$B$1:$AB$65000,$B965,S$5)="",2,0)),0)</f>
        <v>0</v>
      </c>
      <c r="T965" s="194">
        <f>IFERROR(IF(INDEX([1]Pivot!$AD$1:$BE$65000,$B965,T$5)=1,1,IF(INDEX([1]Pivot!$B$1:$AB$65000,$B965,T$5)="",2,0)),0)</f>
        <v>0</v>
      </c>
      <c r="U965" s="194">
        <f>IFERROR(IF(INDEX([1]Pivot!$AD$1:$BE$65000,$B965,U$5)=1,1,IF(INDEX([1]Pivot!$B$1:$AB$65000,$B965,U$5)="",2,0)),0)</f>
        <v>0</v>
      </c>
      <c r="V965" s="194">
        <f>IFERROR(IF(INDEX([1]Pivot!$AD$1:$BE$65000,$B965,V$5)=1,1,IF(INDEX([1]Pivot!$B$1:$AB$65000,$B965,V$5)="",2,0)),0)</f>
        <v>0</v>
      </c>
      <c r="W965" s="194">
        <f>IFERROR(IF(INDEX([1]Pivot!$AD$1:$BE$65000,$B965,W$5)=1,1,IF(INDEX([1]Pivot!$B$1:$AB$65000,$B965,W$5)="",2,0)),0)</f>
        <v>0</v>
      </c>
      <c r="X965" s="194">
        <f>IFERROR(IF(INDEX([1]Pivot!$AD$1:$BE$65000,$B965,X$5)=1,1,IF(INDEX([1]Pivot!$B$1:$AB$65000,$B965,X$5)="",2,0)),0)</f>
        <v>0</v>
      </c>
      <c r="Y965" s="194">
        <f>IFERROR(IF(INDEX([1]Pivot!$AD$1:$BE$65000,$B965,Y$5)=1,1,IF(INDEX([1]Pivot!$B$1:$AB$65000,$B965,Y$5)="",2,0)),0)</f>
        <v>0</v>
      </c>
      <c r="Z965" s="194">
        <f>IFERROR(IF(INDEX([1]Pivot!$AD$1:$BE$65000,$B965,Z$5)=1,1,IF(INDEX([1]Pivot!$B$1:$AB$65000,$B965,Z$5)="",2,0)),0)</f>
        <v>0</v>
      </c>
      <c r="AA965" s="194">
        <f>IFERROR(IF(INDEX([1]Pivot!$AD$1:$BE$65000,$B965,AA$5)=1,1,IF(INDEX([1]Pivot!$B$1:$AB$65000,$B965,AA$5)="",2,0)),0)</f>
        <v>0</v>
      </c>
      <c r="AB965" s="194">
        <f>IFERROR(IF(INDEX([1]Pivot!$AD$1:$BE$65000,$B965,AB$5)=1,1,IF(INDEX([1]Pivot!$B$1:$AB$65000,$B965,AB$5)="",2,0)),0)</f>
        <v>0</v>
      </c>
      <c r="AC965" s="194">
        <f>IFERROR(IF(INDEX([1]Pivot!$AD$1:$BE$65000,$B965,AC$5)=1,1,IF(INDEX([1]Pivot!$B$1:$AB$65000,$B965,AC$5)="",2,0)),0)</f>
        <v>0</v>
      </c>
      <c r="AD965" s="313">
        <f>IFERROR(IF(INDEX([1]Pivot!$BF$1:$CG$65000,$B965,AD$5)=1,1,IF(INDEX([1]Pivot!$B$1:$AB$65000,$B965,AD$5)="",2,0)),0)</f>
        <v>0</v>
      </c>
      <c r="AE965" s="313">
        <f>IFERROR(IF(INDEX([1]Pivot!$BF$1:$CG$65000,$B965,AE$5)=1,1,IF(INDEX([1]Pivot!$B$1:$AB$65000,$B965,AE$5)="",2,0)),0)</f>
        <v>0</v>
      </c>
      <c r="AF965" s="313">
        <f>IFERROR(IF(INDEX([1]Pivot!$BF$1:$CG$65000,$B965,AF$5)=1,1,IF(INDEX([1]Pivot!$B$1:$AB$65000,$B965,AF$5)="",2,0)),0)</f>
        <v>0</v>
      </c>
      <c r="AG965" s="313">
        <f>IFERROR(IF(INDEX([1]Pivot!$BF$1:$CG$65000,$B965,AG$5)=1,1,IF(INDEX([1]Pivot!$B$1:$AB$65000,$B965,AG$5)="",2,0)),0)</f>
        <v>0</v>
      </c>
      <c r="AH965" s="313">
        <f>IFERROR(IF(INDEX([1]Pivot!$BF$1:$CG$65000,$B965,AH$5)=1,1,IF(INDEX([1]Pivot!$B$1:$AB$65000,$B965,AH$5)="",2,0)),0)</f>
        <v>0</v>
      </c>
      <c r="AI965" s="313">
        <f>IFERROR(IF(INDEX([1]Pivot!$BF$1:$CG$65000,$B965,AI$5)=1,1,IF(INDEX([1]Pivot!$B$1:$AB$65000,$B965,AI$5)="",2,0)),0)</f>
        <v>0</v>
      </c>
      <c r="AJ965" s="313">
        <f>IFERROR(IF(INDEX([1]Pivot!$BF$1:$CG$65000,$B965,AJ$5)=1,1,IF(INDEX([1]Pivot!$B$1:$AB$65000,$B965,AJ$5)="",2,0)),0)</f>
        <v>0</v>
      </c>
      <c r="AK965" s="313">
        <f>IFERROR(IF(INDEX([1]Pivot!$BF$1:$CG$65000,$B965,AK$5)=1,1,IF(INDEX([1]Pivot!$B$1:$AB$65000,$B965,AK$5)="",2,0)),0)</f>
        <v>0</v>
      </c>
      <c r="AL965" s="313">
        <f>IFERROR(IF(INDEX([1]Pivot!$BF$1:$CG$65000,$B965,AL$5)=1,1,IF(INDEX([1]Pivot!$B$1:$AB$65000,$B965,AL$5)="",2,0)),0)</f>
        <v>0</v>
      </c>
      <c r="AM965" s="313">
        <f>IFERROR(IF(INDEX([1]Pivot!$BF$1:$CG$65000,$B965,AM$5)=1,1,IF(INDEX([1]Pivot!$B$1:$AB$65000,$B965,AM$5)="",2,0)),0)</f>
        <v>0</v>
      </c>
      <c r="AN965" s="313">
        <f>IFERROR(IF(INDEX([1]Pivot!$BF$1:$CG$65000,$B965,AN$5)=1,1,IF(INDEX([1]Pivot!$B$1:$AB$65000,$B965,AN$5)="",2,0)),0)</f>
        <v>0</v>
      </c>
      <c r="AO965" s="313">
        <f>IFERROR(IF(INDEX([1]Pivot!$BF$1:$CG$65000,$B965,AO$5)=1,1,IF(INDEX([1]Pivot!$B$1:$AB$65000,$B965,AO$5)="",2,0)),0)</f>
        <v>0</v>
      </c>
      <c r="AP965" s="313">
        <f>IFERROR(IF(INDEX([1]Pivot!$BF$1:$CG$65000,$B965,AP$5)=1,1,IF(INDEX([1]Pivot!$B$1:$AB$65000,$B965,AP$5)="",2,0)),0)</f>
        <v>0</v>
      </c>
      <c r="AQ965" s="313">
        <f>IFERROR(IF(INDEX([1]Pivot!$BF$1:$CG$65000,$B965,AQ$5)=1,1,IF(INDEX([1]Pivot!$B$1:$AB$65000,$B965,AQ$5)="",2,0)),0)</f>
        <v>0</v>
      </c>
      <c r="AR965" s="313">
        <f>IFERROR(IF(INDEX([1]Pivot!$BF$1:$CG$65000,$B965,AR$5)=1,1,IF(INDEX([1]Pivot!$B$1:$AB$65000,$B965,AR$5)="",2,0)),0)</f>
        <v>0</v>
      </c>
      <c r="AS965" s="312"/>
      <c r="AT965" s="313">
        <f>IFERROR(IF(INDEX([1]Pivot!$BF$1:$CG$65000,$B965,AT$5)=1,1,IF(INDEX([1]Pivot!$B$1:$AB$65000,$B965,AT$5)="",2,0)),0)</f>
        <v>0</v>
      </c>
      <c r="AU965" s="313">
        <f>IFERROR(IF(INDEX([1]Pivot!$BF$1:$CG$65000,$B965,AU$5)=1,1,IF(INDEX([1]Pivot!$B$1:$AB$65000,$B965,AU$5)="",2,0)),0)</f>
        <v>0</v>
      </c>
      <c r="AV965" s="313">
        <f>IFERROR(IF(INDEX([1]Pivot!$BF$1:$CG$65000,$B965,AV$5)=1,1,IF(INDEX([1]Pivot!$B$1:$AB$65000,$B965,AV$5)="",2,0)),0)</f>
        <v>0</v>
      </c>
      <c r="AW965" s="313">
        <f>IFERROR(IF(INDEX([1]Pivot!$BF$1:$CG$65000,$B965,AW$5)=1,1,IF(INDEX([1]Pivot!$B$1:$AB$65000,$B965,AW$5)="",2,0)),0)</f>
        <v>0</v>
      </c>
      <c r="AX965" s="313">
        <f>IFERROR(IF(INDEX([1]Pivot!$BF$1:$CG$65000,$B965,AX$5)=1,1,IF(INDEX([1]Pivot!$B$1:$AB$65000,$B965,AX$5)="",2,0)),0)</f>
        <v>0</v>
      </c>
      <c r="AY965" s="313">
        <f>IFERROR(IF(INDEX([1]Pivot!$BF$1:$CG$65000,$B965,AY$5)=1,1,IF(INDEX([1]Pivot!$B$1:$AB$65000,$B965,AY$5)="",2,0)),0)</f>
        <v>0</v>
      </c>
      <c r="AZ965" s="313">
        <f>IFERROR(IF(INDEX([1]Pivot!$BF$1:$CG$65000,$B965,AZ$5)=1,1,IF(INDEX([1]Pivot!$B$1:$AB$65000,$B965,AZ$5)="",2,0)),0)</f>
        <v>0</v>
      </c>
      <c r="BA965" s="313">
        <f>IFERROR(IF(INDEX([1]Pivot!$BF$1:$CG$65000,$B965,BA$5)=1,1,IF(INDEX([1]Pivot!$B$1:$AB$65000,$B965,BA$5)="",2,0)),0)</f>
        <v>0</v>
      </c>
      <c r="BB965" s="313">
        <f>IFERROR(IF(INDEX([1]Pivot!$BF$1:$CG$65000,$B965,BB$5)=1,1,IF(INDEX([1]Pivot!$B$1:$AB$65000,$B965,BB$5)="",2,0)),0)</f>
        <v>0</v>
      </c>
      <c r="BC965" s="313">
        <f>IFERROR(IF(INDEX([1]Pivot!$BF$1:$CG$65000,$B965,BC$5)=1,1,IF(INDEX([1]Pivot!$B$1:$AB$65000,$B965,BC$5)="",2,0)),0)</f>
        <v>0</v>
      </c>
      <c r="BD965" s="313">
        <f>IFERROR(IF(INDEX([1]Pivot!$BF$1:$CG$65000,$B965,BD$5)=1,1,IF(INDEX([1]Pivot!$B$1:$AB$65000,$B965,BD$5)="",2,0)),0)</f>
        <v>0</v>
      </c>
    </row>
    <row r="966" spans="1:56" x14ac:dyDescent="0.25">
      <c r="A966" s="288">
        <f>'[2]Raw Milk Prices'!A966</f>
        <v>0</v>
      </c>
      <c r="B966" s="296" t="e">
        <f>MATCH(DATE(LEFT('[2]Raw Milk Prices'!$A966,4),RIGHT('[2]Raw Milk Prices'!$A966,2),1),[1]Pivot!$A$1:$A$65000,0)</f>
        <v>#VALUE!</v>
      </c>
      <c r="C966" s="194">
        <f>IFERROR(IF(INDEX([1]Pivot!$AD$1:$BE$65000,$B966,C$5)=1,1,IF(INDEX([1]Pivot!$B$1:$AB$65000,$B966,C$5)="",2,0)),0)</f>
        <v>0</v>
      </c>
      <c r="D966" s="194">
        <f>IFERROR(IF(INDEX([1]Pivot!$AD$1:$BE$65000,$B966,D$5)=1,1,IF(INDEX([1]Pivot!$B$1:$AB$65000,$B966,D$5)="",2,0)),0)</f>
        <v>0</v>
      </c>
      <c r="E966" s="194">
        <f>IFERROR(IF(INDEX([1]Pivot!$AD$1:$BE$65000,$B966,E$5)=1,1,IF(INDEX([1]Pivot!$B$1:$AB$65000,$B966,E$5)="",2,0)),0)</f>
        <v>0</v>
      </c>
      <c r="F966" s="194">
        <f>IFERROR(IF(INDEX([1]Pivot!$AD$1:$BE$65000,$B966,F$5)=1,1,IF(INDEX([1]Pivot!$B$1:$AB$65000,$B966,F$5)="",2,0)),0)</f>
        <v>0</v>
      </c>
      <c r="G966" s="194">
        <f>IFERROR(IF(INDEX([1]Pivot!$AD$1:$BE$65000,$B966,G$5)=1,1,IF(INDEX([1]Pivot!$B$1:$AB$65000,$B966,G$5)="",2,0)),0)</f>
        <v>0</v>
      </c>
      <c r="H966" s="194">
        <f>IFERROR(IF(INDEX([1]Pivot!$AD$1:$BE$65000,$B966,H$5)=1,1,IF(INDEX([1]Pivot!$B$1:$AB$65000,$B966,H$5)="",2,0)),0)</f>
        <v>0</v>
      </c>
      <c r="I966" s="194">
        <f>IFERROR(IF(INDEX([1]Pivot!$AD$1:$BE$65000,$B966,I$5)=1,1,IF(INDEX([1]Pivot!$B$1:$AB$65000,$B966,I$5)="",2,0)),0)</f>
        <v>0</v>
      </c>
      <c r="J966" s="194">
        <f>IFERROR(IF(INDEX([1]Pivot!$AD$1:$BE$65000,$B966,J$5)=1,1,IF(INDEX([1]Pivot!$B$1:$AB$65000,$B966,J$5)="",2,0)),0)</f>
        <v>0</v>
      </c>
      <c r="K966" s="194">
        <f>IFERROR(IF(INDEX([1]Pivot!$AD$1:$BE$65000,$B966,K$5)=1,1,IF(INDEX([1]Pivot!$B$1:$AB$65000,$B966,K$5)="",2,0)),0)</f>
        <v>0</v>
      </c>
      <c r="L966" s="194">
        <f>IFERROR(IF(INDEX([1]Pivot!$AD$1:$BE$65000,$B966,L$5)=1,1,IF(INDEX([1]Pivot!$B$1:$AB$65000,$B966,L$5)="",2,0)),0)</f>
        <v>0</v>
      </c>
      <c r="M966" s="194">
        <f>IFERROR(IF(INDEX([1]Pivot!$AD$1:$BE$65000,$B966,M$5)=1,1,IF(INDEX([1]Pivot!$B$1:$AB$65000,$B966,M$5)="",2,0)),0)</f>
        <v>0</v>
      </c>
      <c r="N966" s="194">
        <f>IFERROR(IF(INDEX([1]Pivot!$AD$1:$BE$65000,$B966,N$5)=1,1,IF(INDEX([1]Pivot!$B$1:$AB$65000,$B966,N$5)="",2,0)),0)</f>
        <v>0</v>
      </c>
      <c r="O966" s="194">
        <f>IFERROR(IF(INDEX([1]Pivot!$AD$1:$BE$65000,$B966,O$5)=1,1,IF(INDEX([1]Pivot!$B$1:$AB$65000,$B966,O$5)="",2,0)),0)</f>
        <v>0</v>
      </c>
      <c r="P966" s="194">
        <f>IFERROR(IF(INDEX([1]Pivot!$AD$1:$BE$65000,$B966,P$5)=1,1,IF(INDEX([1]Pivot!$B$1:$AB$65000,$B966,P$5)="",2,0)),0)</f>
        <v>0</v>
      </c>
      <c r="Q966" s="194">
        <f>IFERROR(IF(INDEX([1]Pivot!$AD$1:$BE$65000,$B966,Q$5)=1,1,IF(INDEX([1]Pivot!$B$1:$AB$65000,$B966,Q$5)="",2,0)),0)</f>
        <v>0</v>
      </c>
      <c r="R966" s="312"/>
      <c r="S966" s="194">
        <f>IFERROR(IF(INDEX([1]Pivot!$AD$1:$BE$65000,$B966,S$5)=1,1,IF(INDEX([1]Pivot!$B$1:$AB$65000,$B966,S$5)="",2,0)),0)</f>
        <v>0</v>
      </c>
      <c r="T966" s="194">
        <f>IFERROR(IF(INDEX([1]Pivot!$AD$1:$BE$65000,$B966,T$5)=1,1,IF(INDEX([1]Pivot!$B$1:$AB$65000,$B966,T$5)="",2,0)),0)</f>
        <v>0</v>
      </c>
      <c r="U966" s="194">
        <f>IFERROR(IF(INDEX([1]Pivot!$AD$1:$BE$65000,$B966,U$5)=1,1,IF(INDEX([1]Pivot!$B$1:$AB$65000,$B966,U$5)="",2,0)),0)</f>
        <v>0</v>
      </c>
      <c r="V966" s="194">
        <f>IFERROR(IF(INDEX([1]Pivot!$AD$1:$BE$65000,$B966,V$5)=1,1,IF(INDEX([1]Pivot!$B$1:$AB$65000,$B966,V$5)="",2,0)),0)</f>
        <v>0</v>
      </c>
      <c r="W966" s="194">
        <f>IFERROR(IF(INDEX([1]Pivot!$AD$1:$BE$65000,$B966,W$5)=1,1,IF(INDEX([1]Pivot!$B$1:$AB$65000,$B966,W$5)="",2,0)),0)</f>
        <v>0</v>
      </c>
      <c r="X966" s="194">
        <f>IFERROR(IF(INDEX([1]Pivot!$AD$1:$BE$65000,$B966,X$5)=1,1,IF(INDEX([1]Pivot!$B$1:$AB$65000,$B966,X$5)="",2,0)),0)</f>
        <v>0</v>
      </c>
      <c r="Y966" s="194">
        <f>IFERROR(IF(INDEX([1]Pivot!$AD$1:$BE$65000,$B966,Y$5)=1,1,IF(INDEX([1]Pivot!$B$1:$AB$65000,$B966,Y$5)="",2,0)),0)</f>
        <v>0</v>
      </c>
      <c r="Z966" s="194">
        <f>IFERROR(IF(INDEX([1]Pivot!$AD$1:$BE$65000,$B966,Z$5)=1,1,IF(INDEX([1]Pivot!$B$1:$AB$65000,$B966,Z$5)="",2,0)),0)</f>
        <v>0</v>
      </c>
      <c r="AA966" s="194">
        <f>IFERROR(IF(INDEX([1]Pivot!$AD$1:$BE$65000,$B966,AA$5)=1,1,IF(INDEX([1]Pivot!$B$1:$AB$65000,$B966,AA$5)="",2,0)),0)</f>
        <v>0</v>
      </c>
      <c r="AB966" s="194">
        <f>IFERROR(IF(INDEX([1]Pivot!$AD$1:$BE$65000,$B966,AB$5)=1,1,IF(INDEX([1]Pivot!$B$1:$AB$65000,$B966,AB$5)="",2,0)),0)</f>
        <v>0</v>
      </c>
      <c r="AC966" s="194">
        <f>IFERROR(IF(INDEX([1]Pivot!$AD$1:$BE$65000,$B966,AC$5)=1,1,IF(INDEX([1]Pivot!$B$1:$AB$65000,$B966,AC$5)="",2,0)),0)</f>
        <v>0</v>
      </c>
      <c r="AD966" s="313">
        <f>IFERROR(IF(INDEX([1]Pivot!$BF$1:$CG$65000,$B966,AD$5)=1,1,IF(INDEX([1]Pivot!$B$1:$AB$65000,$B966,AD$5)="",2,0)),0)</f>
        <v>0</v>
      </c>
      <c r="AE966" s="313">
        <f>IFERROR(IF(INDEX([1]Pivot!$BF$1:$CG$65000,$B966,AE$5)=1,1,IF(INDEX([1]Pivot!$B$1:$AB$65000,$B966,AE$5)="",2,0)),0)</f>
        <v>0</v>
      </c>
      <c r="AF966" s="313">
        <f>IFERROR(IF(INDEX([1]Pivot!$BF$1:$CG$65000,$B966,AF$5)=1,1,IF(INDEX([1]Pivot!$B$1:$AB$65000,$B966,AF$5)="",2,0)),0)</f>
        <v>0</v>
      </c>
      <c r="AG966" s="313">
        <f>IFERROR(IF(INDEX([1]Pivot!$BF$1:$CG$65000,$B966,AG$5)=1,1,IF(INDEX([1]Pivot!$B$1:$AB$65000,$B966,AG$5)="",2,0)),0)</f>
        <v>0</v>
      </c>
      <c r="AH966" s="313">
        <f>IFERROR(IF(INDEX([1]Pivot!$BF$1:$CG$65000,$B966,AH$5)=1,1,IF(INDEX([1]Pivot!$B$1:$AB$65000,$B966,AH$5)="",2,0)),0)</f>
        <v>0</v>
      </c>
      <c r="AI966" s="313">
        <f>IFERROR(IF(INDEX([1]Pivot!$BF$1:$CG$65000,$B966,AI$5)=1,1,IF(INDEX([1]Pivot!$B$1:$AB$65000,$B966,AI$5)="",2,0)),0)</f>
        <v>0</v>
      </c>
      <c r="AJ966" s="313">
        <f>IFERROR(IF(INDEX([1]Pivot!$BF$1:$CG$65000,$B966,AJ$5)=1,1,IF(INDEX([1]Pivot!$B$1:$AB$65000,$B966,AJ$5)="",2,0)),0)</f>
        <v>0</v>
      </c>
      <c r="AK966" s="313">
        <f>IFERROR(IF(INDEX([1]Pivot!$BF$1:$CG$65000,$B966,AK$5)=1,1,IF(INDEX([1]Pivot!$B$1:$AB$65000,$B966,AK$5)="",2,0)),0)</f>
        <v>0</v>
      </c>
      <c r="AL966" s="313">
        <f>IFERROR(IF(INDEX([1]Pivot!$BF$1:$CG$65000,$B966,AL$5)=1,1,IF(INDEX([1]Pivot!$B$1:$AB$65000,$B966,AL$5)="",2,0)),0)</f>
        <v>0</v>
      </c>
      <c r="AM966" s="313">
        <f>IFERROR(IF(INDEX([1]Pivot!$BF$1:$CG$65000,$B966,AM$5)=1,1,IF(INDEX([1]Pivot!$B$1:$AB$65000,$B966,AM$5)="",2,0)),0)</f>
        <v>0</v>
      </c>
      <c r="AN966" s="313">
        <f>IFERROR(IF(INDEX([1]Pivot!$BF$1:$CG$65000,$B966,AN$5)=1,1,IF(INDEX([1]Pivot!$B$1:$AB$65000,$B966,AN$5)="",2,0)),0)</f>
        <v>0</v>
      </c>
      <c r="AO966" s="313">
        <f>IFERROR(IF(INDEX([1]Pivot!$BF$1:$CG$65000,$B966,AO$5)=1,1,IF(INDEX([1]Pivot!$B$1:$AB$65000,$B966,AO$5)="",2,0)),0)</f>
        <v>0</v>
      </c>
      <c r="AP966" s="313">
        <f>IFERROR(IF(INDEX([1]Pivot!$BF$1:$CG$65000,$B966,AP$5)=1,1,IF(INDEX([1]Pivot!$B$1:$AB$65000,$B966,AP$5)="",2,0)),0)</f>
        <v>0</v>
      </c>
      <c r="AQ966" s="313">
        <f>IFERROR(IF(INDEX([1]Pivot!$BF$1:$CG$65000,$B966,AQ$5)=1,1,IF(INDEX([1]Pivot!$B$1:$AB$65000,$B966,AQ$5)="",2,0)),0)</f>
        <v>0</v>
      </c>
      <c r="AR966" s="313">
        <f>IFERROR(IF(INDEX([1]Pivot!$BF$1:$CG$65000,$B966,AR$5)=1,1,IF(INDEX([1]Pivot!$B$1:$AB$65000,$B966,AR$5)="",2,0)),0)</f>
        <v>0</v>
      </c>
      <c r="AS966" s="312"/>
      <c r="AT966" s="313">
        <f>IFERROR(IF(INDEX([1]Pivot!$BF$1:$CG$65000,$B966,AT$5)=1,1,IF(INDEX([1]Pivot!$B$1:$AB$65000,$B966,AT$5)="",2,0)),0)</f>
        <v>0</v>
      </c>
      <c r="AU966" s="313">
        <f>IFERROR(IF(INDEX([1]Pivot!$BF$1:$CG$65000,$B966,AU$5)=1,1,IF(INDEX([1]Pivot!$B$1:$AB$65000,$B966,AU$5)="",2,0)),0)</f>
        <v>0</v>
      </c>
      <c r="AV966" s="313">
        <f>IFERROR(IF(INDEX([1]Pivot!$BF$1:$CG$65000,$B966,AV$5)=1,1,IF(INDEX([1]Pivot!$B$1:$AB$65000,$B966,AV$5)="",2,0)),0)</f>
        <v>0</v>
      </c>
      <c r="AW966" s="313">
        <f>IFERROR(IF(INDEX([1]Pivot!$BF$1:$CG$65000,$B966,AW$5)=1,1,IF(INDEX([1]Pivot!$B$1:$AB$65000,$B966,AW$5)="",2,0)),0)</f>
        <v>0</v>
      </c>
      <c r="AX966" s="313">
        <f>IFERROR(IF(INDEX([1]Pivot!$BF$1:$CG$65000,$B966,AX$5)=1,1,IF(INDEX([1]Pivot!$B$1:$AB$65000,$B966,AX$5)="",2,0)),0)</f>
        <v>0</v>
      </c>
      <c r="AY966" s="313">
        <f>IFERROR(IF(INDEX([1]Pivot!$BF$1:$CG$65000,$B966,AY$5)=1,1,IF(INDEX([1]Pivot!$B$1:$AB$65000,$B966,AY$5)="",2,0)),0)</f>
        <v>0</v>
      </c>
      <c r="AZ966" s="313">
        <f>IFERROR(IF(INDEX([1]Pivot!$BF$1:$CG$65000,$B966,AZ$5)=1,1,IF(INDEX([1]Pivot!$B$1:$AB$65000,$B966,AZ$5)="",2,0)),0)</f>
        <v>0</v>
      </c>
      <c r="BA966" s="313">
        <f>IFERROR(IF(INDEX([1]Pivot!$BF$1:$CG$65000,$B966,BA$5)=1,1,IF(INDEX([1]Pivot!$B$1:$AB$65000,$B966,BA$5)="",2,0)),0)</f>
        <v>0</v>
      </c>
      <c r="BB966" s="313">
        <f>IFERROR(IF(INDEX([1]Pivot!$BF$1:$CG$65000,$B966,BB$5)=1,1,IF(INDEX([1]Pivot!$B$1:$AB$65000,$B966,BB$5)="",2,0)),0)</f>
        <v>0</v>
      </c>
      <c r="BC966" s="313">
        <f>IFERROR(IF(INDEX([1]Pivot!$BF$1:$CG$65000,$B966,BC$5)=1,1,IF(INDEX([1]Pivot!$B$1:$AB$65000,$B966,BC$5)="",2,0)),0)</f>
        <v>0</v>
      </c>
      <c r="BD966" s="313">
        <f>IFERROR(IF(INDEX([1]Pivot!$BF$1:$CG$65000,$B966,BD$5)=1,1,IF(INDEX([1]Pivot!$B$1:$AB$65000,$B966,BD$5)="",2,0)),0)</f>
        <v>0</v>
      </c>
    </row>
    <row r="967" spans="1:56" x14ac:dyDescent="0.25">
      <c r="A967" s="288">
        <f>'[2]Raw Milk Prices'!A967</f>
        <v>0</v>
      </c>
      <c r="B967" s="296" t="e">
        <f>MATCH(DATE(LEFT('[2]Raw Milk Prices'!$A967,4),RIGHT('[2]Raw Milk Prices'!$A967,2),1),[1]Pivot!$A$1:$A$65000,0)</f>
        <v>#VALUE!</v>
      </c>
      <c r="C967" s="194">
        <f>IFERROR(IF(INDEX([1]Pivot!$AD$1:$BE$65000,$B967,C$5)=1,1,IF(INDEX([1]Pivot!$B$1:$AB$65000,$B967,C$5)="",2,0)),0)</f>
        <v>0</v>
      </c>
      <c r="D967" s="194">
        <f>IFERROR(IF(INDEX([1]Pivot!$AD$1:$BE$65000,$B967,D$5)=1,1,IF(INDEX([1]Pivot!$B$1:$AB$65000,$B967,D$5)="",2,0)),0)</f>
        <v>0</v>
      </c>
      <c r="E967" s="194">
        <f>IFERROR(IF(INDEX([1]Pivot!$AD$1:$BE$65000,$B967,E$5)=1,1,IF(INDEX([1]Pivot!$B$1:$AB$65000,$B967,E$5)="",2,0)),0)</f>
        <v>0</v>
      </c>
      <c r="F967" s="194">
        <f>IFERROR(IF(INDEX([1]Pivot!$AD$1:$BE$65000,$B967,F$5)=1,1,IF(INDEX([1]Pivot!$B$1:$AB$65000,$B967,F$5)="",2,0)),0)</f>
        <v>0</v>
      </c>
      <c r="G967" s="194">
        <f>IFERROR(IF(INDEX([1]Pivot!$AD$1:$BE$65000,$B967,G$5)=1,1,IF(INDEX([1]Pivot!$B$1:$AB$65000,$B967,G$5)="",2,0)),0)</f>
        <v>0</v>
      </c>
      <c r="H967" s="194">
        <f>IFERROR(IF(INDEX([1]Pivot!$AD$1:$BE$65000,$B967,H$5)=1,1,IF(INDEX([1]Pivot!$B$1:$AB$65000,$B967,H$5)="",2,0)),0)</f>
        <v>0</v>
      </c>
      <c r="I967" s="194">
        <f>IFERROR(IF(INDEX([1]Pivot!$AD$1:$BE$65000,$B967,I$5)=1,1,IF(INDEX([1]Pivot!$B$1:$AB$65000,$B967,I$5)="",2,0)),0)</f>
        <v>0</v>
      </c>
      <c r="J967" s="194">
        <f>IFERROR(IF(INDEX([1]Pivot!$AD$1:$BE$65000,$B967,J$5)=1,1,IF(INDEX([1]Pivot!$B$1:$AB$65000,$B967,J$5)="",2,0)),0)</f>
        <v>0</v>
      </c>
      <c r="K967" s="194">
        <f>IFERROR(IF(INDEX([1]Pivot!$AD$1:$BE$65000,$B967,K$5)=1,1,IF(INDEX([1]Pivot!$B$1:$AB$65000,$B967,K$5)="",2,0)),0)</f>
        <v>0</v>
      </c>
      <c r="L967" s="194">
        <f>IFERROR(IF(INDEX([1]Pivot!$AD$1:$BE$65000,$B967,L$5)=1,1,IF(INDEX([1]Pivot!$B$1:$AB$65000,$B967,L$5)="",2,0)),0)</f>
        <v>0</v>
      </c>
      <c r="M967" s="194">
        <f>IFERROR(IF(INDEX([1]Pivot!$AD$1:$BE$65000,$B967,M$5)=1,1,IF(INDEX([1]Pivot!$B$1:$AB$65000,$B967,M$5)="",2,0)),0)</f>
        <v>0</v>
      </c>
      <c r="N967" s="194">
        <f>IFERROR(IF(INDEX([1]Pivot!$AD$1:$BE$65000,$B967,N$5)=1,1,IF(INDEX([1]Pivot!$B$1:$AB$65000,$B967,N$5)="",2,0)),0)</f>
        <v>0</v>
      </c>
      <c r="O967" s="194">
        <f>IFERROR(IF(INDEX([1]Pivot!$AD$1:$BE$65000,$B967,O$5)=1,1,IF(INDEX([1]Pivot!$B$1:$AB$65000,$B967,O$5)="",2,0)),0)</f>
        <v>0</v>
      </c>
      <c r="P967" s="194">
        <f>IFERROR(IF(INDEX([1]Pivot!$AD$1:$BE$65000,$B967,P$5)=1,1,IF(INDEX([1]Pivot!$B$1:$AB$65000,$B967,P$5)="",2,0)),0)</f>
        <v>0</v>
      </c>
      <c r="Q967" s="194">
        <f>IFERROR(IF(INDEX([1]Pivot!$AD$1:$BE$65000,$B967,Q$5)=1,1,IF(INDEX([1]Pivot!$B$1:$AB$65000,$B967,Q$5)="",2,0)),0)</f>
        <v>0</v>
      </c>
      <c r="R967" s="312"/>
      <c r="S967" s="194">
        <f>IFERROR(IF(INDEX([1]Pivot!$AD$1:$BE$65000,$B967,S$5)=1,1,IF(INDEX([1]Pivot!$B$1:$AB$65000,$B967,S$5)="",2,0)),0)</f>
        <v>0</v>
      </c>
      <c r="T967" s="194">
        <f>IFERROR(IF(INDEX([1]Pivot!$AD$1:$BE$65000,$B967,T$5)=1,1,IF(INDEX([1]Pivot!$B$1:$AB$65000,$B967,T$5)="",2,0)),0)</f>
        <v>0</v>
      </c>
      <c r="U967" s="194">
        <f>IFERROR(IF(INDEX([1]Pivot!$AD$1:$BE$65000,$B967,U$5)=1,1,IF(INDEX([1]Pivot!$B$1:$AB$65000,$B967,U$5)="",2,0)),0)</f>
        <v>0</v>
      </c>
      <c r="V967" s="194">
        <f>IFERROR(IF(INDEX([1]Pivot!$AD$1:$BE$65000,$B967,V$5)=1,1,IF(INDEX([1]Pivot!$B$1:$AB$65000,$B967,V$5)="",2,0)),0)</f>
        <v>0</v>
      </c>
      <c r="W967" s="194">
        <f>IFERROR(IF(INDEX([1]Pivot!$AD$1:$BE$65000,$B967,W$5)=1,1,IF(INDEX([1]Pivot!$B$1:$AB$65000,$B967,W$5)="",2,0)),0)</f>
        <v>0</v>
      </c>
      <c r="X967" s="194">
        <f>IFERROR(IF(INDEX([1]Pivot!$AD$1:$BE$65000,$B967,X$5)=1,1,IF(INDEX([1]Pivot!$B$1:$AB$65000,$B967,X$5)="",2,0)),0)</f>
        <v>0</v>
      </c>
      <c r="Y967" s="194">
        <f>IFERROR(IF(INDEX([1]Pivot!$AD$1:$BE$65000,$B967,Y$5)=1,1,IF(INDEX([1]Pivot!$B$1:$AB$65000,$B967,Y$5)="",2,0)),0)</f>
        <v>0</v>
      </c>
      <c r="Z967" s="194">
        <f>IFERROR(IF(INDEX([1]Pivot!$AD$1:$BE$65000,$B967,Z$5)=1,1,IF(INDEX([1]Pivot!$B$1:$AB$65000,$B967,Z$5)="",2,0)),0)</f>
        <v>0</v>
      </c>
      <c r="AA967" s="194">
        <f>IFERROR(IF(INDEX([1]Pivot!$AD$1:$BE$65000,$B967,AA$5)=1,1,IF(INDEX([1]Pivot!$B$1:$AB$65000,$B967,AA$5)="",2,0)),0)</f>
        <v>0</v>
      </c>
      <c r="AB967" s="194">
        <f>IFERROR(IF(INDEX([1]Pivot!$AD$1:$BE$65000,$B967,AB$5)=1,1,IF(INDEX([1]Pivot!$B$1:$AB$65000,$B967,AB$5)="",2,0)),0)</f>
        <v>0</v>
      </c>
      <c r="AC967" s="194">
        <f>IFERROR(IF(INDEX([1]Pivot!$AD$1:$BE$65000,$B967,AC$5)=1,1,IF(INDEX([1]Pivot!$B$1:$AB$65000,$B967,AC$5)="",2,0)),0)</f>
        <v>0</v>
      </c>
      <c r="AD967" s="313">
        <f>IFERROR(IF(INDEX([1]Pivot!$BF$1:$CG$65000,$B967,AD$5)=1,1,IF(INDEX([1]Pivot!$B$1:$AB$65000,$B967,AD$5)="",2,0)),0)</f>
        <v>0</v>
      </c>
      <c r="AE967" s="313">
        <f>IFERROR(IF(INDEX([1]Pivot!$BF$1:$CG$65000,$B967,AE$5)=1,1,IF(INDEX([1]Pivot!$B$1:$AB$65000,$B967,AE$5)="",2,0)),0)</f>
        <v>0</v>
      </c>
      <c r="AF967" s="313">
        <f>IFERROR(IF(INDEX([1]Pivot!$BF$1:$CG$65000,$B967,AF$5)=1,1,IF(INDEX([1]Pivot!$B$1:$AB$65000,$B967,AF$5)="",2,0)),0)</f>
        <v>0</v>
      </c>
      <c r="AG967" s="313">
        <f>IFERROR(IF(INDEX([1]Pivot!$BF$1:$CG$65000,$B967,AG$5)=1,1,IF(INDEX([1]Pivot!$B$1:$AB$65000,$B967,AG$5)="",2,0)),0)</f>
        <v>0</v>
      </c>
      <c r="AH967" s="313">
        <f>IFERROR(IF(INDEX([1]Pivot!$BF$1:$CG$65000,$B967,AH$5)=1,1,IF(INDEX([1]Pivot!$B$1:$AB$65000,$B967,AH$5)="",2,0)),0)</f>
        <v>0</v>
      </c>
      <c r="AI967" s="313">
        <f>IFERROR(IF(INDEX([1]Pivot!$BF$1:$CG$65000,$B967,AI$5)=1,1,IF(INDEX([1]Pivot!$B$1:$AB$65000,$B967,AI$5)="",2,0)),0)</f>
        <v>0</v>
      </c>
      <c r="AJ967" s="313">
        <f>IFERROR(IF(INDEX([1]Pivot!$BF$1:$CG$65000,$B967,AJ$5)=1,1,IF(INDEX([1]Pivot!$B$1:$AB$65000,$B967,AJ$5)="",2,0)),0)</f>
        <v>0</v>
      </c>
      <c r="AK967" s="313">
        <f>IFERROR(IF(INDEX([1]Pivot!$BF$1:$CG$65000,$B967,AK$5)=1,1,IF(INDEX([1]Pivot!$B$1:$AB$65000,$B967,AK$5)="",2,0)),0)</f>
        <v>0</v>
      </c>
      <c r="AL967" s="313">
        <f>IFERROR(IF(INDEX([1]Pivot!$BF$1:$CG$65000,$B967,AL$5)=1,1,IF(INDEX([1]Pivot!$B$1:$AB$65000,$B967,AL$5)="",2,0)),0)</f>
        <v>0</v>
      </c>
      <c r="AM967" s="313">
        <f>IFERROR(IF(INDEX([1]Pivot!$BF$1:$CG$65000,$B967,AM$5)=1,1,IF(INDEX([1]Pivot!$B$1:$AB$65000,$B967,AM$5)="",2,0)),0)</f>
        <v>0</v>
      </c>
      <c r="AN967" s="313">
        <f>IFERROR(IF(INDEX([1]Pivot!$BF$1:$CG$65000,$B967,AN$5)=1,1,IF(INDEX([1]Pivot!$B$1:$AB$65000,$B967,AN$5)="",2,0)),0)</f>
        <v>0</v>
      </c>
      <c r="AO967" s="313">
        <f>IFERROR(IF(INDEX([1]Pivot!$BF$1:$CG$65000,$B967,AO$5)=1,1,IF(INDEX([1]Pivot!$B$1:$AB$65000,$B967,AO$5)="",2,0)),0)</f>
        <v>0</v>
      </c>
      <c r="AP967" s="313">
        <f>IFERROR(IF(INDEX([1]Pivot!$BF$1:$CG$65000,$B967,AP$5)=1,1,IF(INDEX([1]Pivot!$B$1:$AB$65000,$B967,AP$5)="",2,0)),0)</f>
        <v>0</v>
      </c>
      <c r="AQ967" s="313">
        <f>IFERROR(IF(INDEX([1]Pivot!$BF$1:$CG$65000,$B967,AQ$5)=1,1,IF(INDEX([1]Pivot!$B$1:$AB$65000,$B967,AQ$5)="",2,0)),0)</f>
        <v>0</v>
      </c>
      <c r="AR967" s="313">
        <f>IFERROR(IF(INDEX([1]Pivot!$BF$1:$CG$65000,$B967,AR$5)=1,1,IF(INDEX([1]Pivot!$B$1:$AB$65000,$B967,AR$5)="",2,0)),0)</f>
        <v>0</v>
      </c>
      <c r="AS967" s="312"/>
      <c r="AT967" s="313">
        <f>IFERROR(IF(INDEX([1]Pivot!$BF$1:$CG$65000,$B967,AT$5)=1,1,IF(INDEX([1]Pivot!$B$1:$AB$65000,$B967,AT$5)="",2,0)),0)</f>
        <v>0</v>
      </c>
      <c r="AU967" s="313">
        <f>IFERROR(IF(INDEX([1]Pivot!$BF$1:$CG$65000,$B967,AU$5)=1,1,IF(INDEX([1]Pivot!$B$1:$AB$65000,$B967,AU$5)="",2,0)),0)</f>
        <v>0</v>
      </c>
      <c r="AV967" s="313">
        <f>IFERROR(IF(INDEX([1]Pivot!$BF$1:$CG$65000,$B967,AV$5)=1,1,IF(INDEX([1]Pivot!$B$1:$AB$65000,$B967,AV$5)="",2,0)),0)</f>
        <v>0</v>
      </c>
      <c r="AW967" s="313">
        <f>IFERROR(IF(INDEX([1]Pivot!$BF$1:$CG$65000,$B967,AW$5)=1,1,IF(INDEX([1]Pivot!$B$1:$AB$65000,$B967,AW$5)="",2,0)),0)</f>
        <v>0</v>
      </c>
      <c r="AX967" s="313">
        <f>IFERROR(IF(INDEX([1]Pivot!$BF$1:$CG$65000,$B967,AX$5)=1,1,IF(INDEX([1]Pivot!$B$1:$AB$65000,$B967,AX$5)="",2,0)),0)</f>
        <v>0</v>
      </c>
      <c r="AY967" s="313">
        <f>IFERROR(IF(INDEX([1]Pivot!$BF$1:$CG$65000,$B967,AY$5)=1,1,IF(INDEX([1]Pivot!$B$1:$AB$65000,$B967,AY$5)="",2,0)),0)</f>
        <v>0</v>
      </c>
      <c r="AZ967" s="313">
        <f>IFERROR(IF(INDEX([1]Pivot!$BF$1:$CG$65000,$B967,AZ$5)=1,1,IF(INDEX([1]Pivot!$B$1:$AB$65000,$B967,AZ$5)="",2,0)),0)</f>
        <v>0</v>
      </c>
      <c r="BA967" s="313">
        <f>IFERROR(IF(INDEX([1]Pivot!$BF$1:$CG$65000,$B967,BA$5)=1,1,IF(INDEX([1]Pivot!$B$1:$AB$65000,$B967,BA$5)="",2,0)),0)</f>
        <v>0</v>
      </c>
      <c r="BB967" s="313">
        <f>IFERROR(IF(INDEX([1]Pivot!$BF$1:$CG$65000,$B967,BB$5)=1,1,IF(INDEX([1]Pivot!$B$1:$AB$65000,$B967,BB$5)="",2,0)),0)</f>
        <v>0</v>
      </c>
      <c r="BC967" s="313">
        <f>IFERROR(IF(INDEX([1]Pivot!$BF$1:$CG$65000,$B967,BC$5)=1,1,IF(INDEX([1]Pivot!$B$1:$AB$65000,$B967,BC$5)="",2,0)),0)</f>
        <v>0</v>
      </c>
      <c r="BD967" s="313">
        <f>IFERROR(IF(INDEX([1]Pivot!$BF$1:$CG$65000,$B967,BD$5)=1,1,IF(INDEX([1]Pivot!$B$1:$AB$65000,$B967,BD$5)="",2,0)),0)</f>
        <v>0</v>
      </c>
    </row>
    <row r="968" spans="1:56" x14ac:dyDescent="0.25">
      <c r="A968" s="288">
        <f>'[2]Raw Milk Prices'!A968</f>
        <v>0</v>
      </c>
      <c r="B968" s="296" t="e">
        <f>MATCH(DATE(LEFT('[2]Raw Milk Prices'!$A968,4),RIGHT('[2]Raw Milk Prices'!$A968,2),1),[1]Pivot!$A$1:$A$65000,0)</f>
        <v>#VALUE!</v>
      </c>
      <c r="C968" s="194">
        <f>IFERROR(IF(INDEX([1]Pivot!$AD$1:$BE$65000,$B968,C$5)=1,1,IF(INDEX([1]Pivot!$B$1:$AB$65000,$B968,C$5)="",2,0)),0)</f>
        <v>0</v>
      </c>
      <c r="D968" s="194">
        <f>IFERROR(IF(INDEX([1]Pivot!$AD$1:$BE$65000,$B968,D$5)=1,1,IF(INDEX([1]Pivot!$B$1:$AB$65000,$B968,D$5)="",2,0)),0)</f>
        <v>0</v>
      </c>
      <c r="E968" s="194">
        <f>IFERROR(IF(INDEX([1]Pivot!$AD$1:$BE$65000,$B968,E$5)=1,1,IF(INDEX([1]Pivot!$B$1:$AB$65000,$B968,E$5)="",2,0)),0)</f>
        <v>0</v>
      </c>
      <c r="F968" s="194">
        <f>IFERROR(IF(INDEX([1]Pivot!$AD$1:$BE$65000,$B968,F$5)=1,1,IF(INDEX([1]Pivot!$B$1:$AB$65000,$B968,F$5)="",2,0)),0)</f>
        <v>0</v>
      </c>
      <c r="G968" s="194">
        <f>IFERROR(IF(INDEX([1]Pivot!$AD$1:$BE$65000,$B968,G$5)=1,1,IF(INDEX([1]Pivot!$B$1:$AB$65000,$B968,G$5)="",2,0)),0)</f>
        <v>0</v>
      </c>
      <c r="H968" s="194">
        <f>IFERROR(IF(INDEX([1]Pivot!$AD$1:$BE$65000,$B968,H$5)=1,1,IF(INDEX([1]Pivot!$B$1:$AB$65000,$B968,H$5)="",2,0)),0)</f>
        <v>0</v>
      </c>
      <c r="I968" s="194">
        <f>IFERROR(IF(INDEX([1]Pivot!$AD$1:$BE$65000,$B968,I$5)=1,1,IF(INDEX([1]Pivot!$B$1:$AB$65000,$B968,I$5)="",2,0)),0)</f>
        <v>0</v>
      </c>
      <c r="J968" s="194">
        <f>IFERROR(IF(INDEX([1]Pivot!$AD$1:$BE$65000,$B968,J$5)=1,1,IF(INDEX([1]Pivot!$B$1:$AB$65000,$B968,J$5)="",2,0)),0)</f>
        <v>0</v>
      </c>
      <c r="K968" s="194">
        <f>IFERROR(IF(INDEX([1]Pivot!$AD$1:$BE$65000,$B968,K$5)=1,1,IF(INDEX([1]Pivot!$B$1:$AB$65000,$B968,K$5)="",2,0)),0)</f>
        <v>0</v>
      </c>
      <c r="L968" s="194">
        <f>IFERROR(IF(INDEX([1]Pivot!$AD$1:$BE$65000,$B968,L$5)=1,1,IF(INDEX([1]Pivot!$B$1:$AB$65000,$B968,L$5)="",2,0)),0)</f>
        <v>0</v>
      </c>
      <c r="M968" s="194">
        <f>IFERROR(IF(INDEX([1]Pivot!$AD$1:$BE$65000,$B968,M$5)=1,1,IF(INDEX([1]Pivot!$B$1:$AB$65000,$B968,M$5)="",2,0)),0)</f>
        <v>0</v>
      </c>
      <c r="N968" s="194">
        <f>IFERROR(IF(INDEX([1]Pivot!$AD$1:$BE$65000,$B968,N$5)=1,1,IF(INDEX([1]Pivot!$B$1:$AB$65000,$B968,N$5)="",2,0)),0)</f>
        <v>0</v>
      </c>
      <c r="O968" s="194">
        <f>IFERROR(IF(INDEX([1]Pivot!$AD$1:$BE$65000,$B968,O$5)=1,1,IF(INDEX([1]Pivot!$B$1:$AB$65000,$B968,O$5)="",2,0)),0)</f>
        <v>0</v>
      </c>
      <c r="P968" s="194">
        <f>IFERROR(IF(INDEX([1]Pivot!$AD$1:$BE$65000,$B968,P$5)=1,1,IF(INDEX([1]Pivot!$B$1:$AB$65000,$B968,P$5)="",2,0)),0)</f>
        <v>0</v>
      </c>
      <c r="Q968" s="194">
        <f>IFERROR(IF(INDEX([1]Pivot!$AD$1:$BE$65000,$B968,Q$5)=1,1,IF(INDEX([1]Pivot!$B$1:$AB$65000,$B968,Q$5)="",2,0)),0)</f>
        <v>0</v>
      </c>
      <c r="R968" s="312"/>
      <c r="S968" s="194">
        <f>IFERROR(IF(INDEX([1]Pivot!$AD$1:$BE$65000,$B968,S$5)=1,1,IF(INDEX([1]Pivot!$B$1:$AB$65000,$B968,S$5)="",2,0)),0)</f>
        <v>0</v>
      </c>
      <c r="T968" s="194">
        <f>IFERROR(IF(INDEX([1]Pivot!$AD$1:$BE$65000,$B968,T$5)=1,1,IF(INDEX([1]Pivot!$B$1:$AB$65000,$B968,T$5)="",2,0)),0)</f>
        <v>0</v>
      </c>
      <c r="U968" s="194">
        <f>IFERROR(IF(INDEX([1]Pivot!$AD$1:$BE$65000,$B968,U$5)=1,1,IF(INDEX([1]Pivot!$B$1:$AB$65000,$B968,U$5)="",2,0)),0)</f>
        <v>0</v>
      </c>
      <c r="V968" s="194">
        <f>IFERROR(IF(INDEX([1]Pivot!$AD$1:$BE$65000,$B968,V$5)=1,1,IF(INDEX([1]Pivot!$B$1:$AB$65000,$B968,V$5)="",2,0)),0)</f>
        <v>0</v>
      </c>
      <c r="W968" s="194">
        <f>IFERROR(IF(INDEX([1]Pivot!$AD$1:$BE$65000,$B968,W$5)=1,1,IF(INDEX([1]Pivot!$B$1:$AB$65000,$B968,W$5)="",2,0)),0)</f>
        <v>0</v>
      </c>
      <c r="X968" s="194">
        <f>IFERROR(IF(INDEX([1]Pivot!$AD$1:$BE$65000,$B968,X$5)=1,1,IF(INDEX([1]Pivot!$B$1:$AB$65000,$B968,X$5)="",2,0)),0)</f>
        <v>0</v>
      </c>
      <c r="Y968" s="194">
        <f>IFERROR(IF(INDEX([1]Pivot!$AD$1:$BE$65000,$B968,Y$5)=1,1,IF(INDEX([1]Pivot!$B$1:$AB$65000,$B968,Y$5)="",2,0)),0)</f>
        <v>0</v>
      </c>
      <c r="Z968" s="194">
        <f>IFERROR(IF(INDEX([1]Pivot!$AD$1:$BE$65000,$B968,Z$5)=1,1,IF(INDEX([1]Pivot!$B$1:$AB$65000,$B968,Z$5)="",2,0)),0)</f>
        <v>0</v>
      </c>
      <c r="AA968" s="194">
        <f>IFERROR(IF(INDEX([1]Pivot!$AD$1:$BE$65000,$B968,AA$5)=1,1,IF(INDEX([1]Pivot!$B$1:$AB$65000,$B968,AA$5)="",2,0)),0)</f>
        <v>0</v>
      </c>
      <c r="AB968" s="194">
        <f>IFERROR(IF(INDEX([1]Pivot!$AD$1:$BE$65000,$B968,AB$5)=1,1,IF(INDEX([1]Pivot!$B$1:$AB$65000,$B968,AB$5)="",2,0)),0)</f>
        <v>0</v>
      </c>
      <c r="AC968" s="194">
        <f>IFERROR(IF(INDEX([1]Pivot!$AD$1:$BE$65000,$B968,AC$5)=1,1,IF(INDEX([1]Pivot!$B$1:$AB$65000,$B968,AC$5)="",2,0)),0)</f>
        <v>0</v>
      </c>
      <c r="AD968" s="313">
        <f>IFERROR(IF(INDEX([1]Pivot!$BF$1:$CG$65000,$B968,AD$5)=1,1,IF(INDEX([1]Pivot!$B$1:$AB$65000,$B968,AD$5)="",2,0)),0)</f>
        <v>0</v>
      </c>
      <c r="AE968" s="313">
        <f>IFERROR(IF(INDEX([1]Pivot!$BF$1:$CG$65000,$B968,AE$5)=1,1,IF(INDEX([1]Pivot!$B$1:$AB$65000,$B968,AE$5)="",2,0)),0)</f>
        <v>0</v>
      </c>
      <c r="AF968" s="313">
        <f>IFERROR(IF(INDEX([1]Pivot!$BF$1:$CG$65000,$B968,AF$5)=1,1,IF(INDEX([1]Pivot!$B$1:$AB$65000,$B968,AF$5)="",2,0)),0)</f>
        <v>0</v>
      </c>
      <c r="AG968" s="313">
        <f>IFERROR(IF(INDEX([1]Pivot!$BF$1:$CG$65000,$B968,AG$5)=1,1,IF(INDEX([1]Pivot!$B$1:$AB$65000,$B968,AG$5)="",2,0)),0)</f>
        <v>0</v>
      </c>
      <c r="AH968" s="313">
        <f>IFERROR(IF(INDEX([1]Pivot!$BF$1:$CG$65000,$B968,AH$5)=1,1,IF(INDEX([1]Pivot!$B$1:$AB$65000,$B968,AH$5)="",2,0)),0)</f>
        <v>0</v>
      </c>
      <c r="AI968" s="313">
        <f>IFERROR(IF(INDEX([1]Pivot!$BF$1:$CG$65000,$B968,AI$5)=1,1,IF(INDEX([1]Pivot!$B$1:$AB$65000,$B968,AI$5)="",2,0)),0)</f>
        <v>0</v>
      </c>
      <c r="AJ968" s="313">
        <f>IFERROR(IF(INDEX([1]Pivot!$BF$1:$CG$65000,$B968,AJ$5)=1,1,IF(INDEX([1]Pivot!$B$1:$AB$65000,$B968,AJ$5)="",2,0)),0)</f>
        <v>0</v>
      </c>
      <c r="AK968" s="313">
        <f>IFERROR(IF(INDEX([1]Pivot!$BF$1:$CG$65000,$B968,AK$5)=1,1,IF(INDEX([1]Pivot!$B$1:$AB$65000,$B968,AK$5)="",2,0)),0)</f>
        <v>0</v>
      </c>
      <c r="AL968" s="313">
        <f>IFERROR(IF(INDEX([1]Pivot!$BF$1:$CG$65000,$B968,AL$5)=1,1,IF(INDEX([1]Pivot!$B$1:$AB$65000,$B968,AL$5)="",2,0)),0)</f>
        <v>0</v>
      </c>
      <c r="AM968" s="313">
        <f>IFERROR(IF(INDEX([1]Pivot!$BF$1:$CG$65000,$B968,AM$5)=1,1,IF(INDEX([1]Pivot!$B$1:$AB$65000,$B968,AM$5)="",2,0)),0)</f>
        <v>0</v>
      </c>
      <c r="AN968" s="313">
        <f>IFERROR(IF(INDEX([1]Pivot!$BF$1:$CG$65000,$B968,AN$5)=1,1,IF(INDEX([1]Pivot!$B$1:$AB$65000,$B968,AN$5)="",2,0)),0)</f>
        <v>0</v>
      </c>
      <c r="AO968" s="313">
        <f>IFERROR(IF(INDEX([1]Pivot!$BF$1:$CG$65000,$B968,AO$5)=1,1,IF(INDEX([1]Pivot!$B$1:$AB$65000,$B968,AO$5)="",2,0)),0)</f>
        <v>0</v>
      </c>
      <c r="AP968" s="313">
        <f>IFERROR(IF(INDEX([1]Pivot!$BF$1:$CG$65000,$B968,AP$5)=1,1,IF(INDEX([1]Pivot!$B$1:$AB$65000,$B968,AP$5)="",2,0)),0)</f>
        <v>0</v>
      </c>
      <c r="AQ968" s="313">
        <f>IFERROR(IF(INDEX([1]Pivot!$BF$1:$CG$65000,$B968,AQ$5)=1,1,IF(INDEX([1]Pivot!$B$1:$AB$65000,$B968,AQ$5)="",2,0)),0)</f>
        <v>0</v>
      </c>
      <c r="AR968" s="313">
        <f>IFERROR(IF(INDEX([1]Pivot!$BF$1:$CG$65000,$B968,AR$5)=1,1,IF(INDEX([1]Pivot!$B$1:$AB$65000,$B968,AR$5)="",2,0)),0)</f>
        <v>0</v>
      </c>
      <c r="AS968" s="312"/>
      <c r="AT968" s="313">
        <f>IFERROR(IF(INDEX([1]Pivot!$BF$1:$CG$65000,$B968,AT$5)=1,1,IF(INDEX([1]Pivot!$B$1:$AB$65000,$B968,AT$5)="",2,0)),0)</f>
        <v>0</v>
      </c>
      <c r="AU968" s="313">
        <f>IFERROR(IF(INDEX([1]Pivot!$BF$1:$CG$65000,$B968,AU$5)=1,1,IF(INDEX([1]Pivot!$B$1:$AB$65000,$B968,AU$5)="",2,0)),0)</f>
        <v>0</v>
      </c>
      <c r="AV968" s="313">
        <f>IFERROR(IF(INDEX([1]Pivot!$BF$1:$CG$65000,$B968,AV$5)=1,1,IF(INDEX([1]Pivot!$B$1:$AB$65000,$B968,AV$5)="",2,0)),0)</f>
        <v>0</v>
      </c>
      <c r="AW968" s="313">
        <f>IFERROR(IF(INDEX([1]Pivot!$BF$1:$CG$65000,$B968,AW$5)=1,1,IF(INDEX([1]Pivot!$B$1:$AB$65000,$B968,AW$5)="",2,0)),0)</f>
        <v>0</v>
      </c>
      <c r="AX968" s="313">
        <f>IFERROR(IF(INDEX([1]Pivot!$BF$1:$CG$65000,$B968,AX$5)=1,1,IF(INDEX([1]Pivot!$B$1:$AB$65000,$B968,AX$5)="",2,0)),0)</f>
        <v>0</v>
      </c>
      <c r="AY968" s="313">
        <f>IFERROR(IF(INDEX([1]Pivot!$BF$1:$CG$65000,$B968,AY$5)=1,1,IF(INDEX([1]Pivot!$B$1:$AB$65000,$B968,AY$5)="",2,0)),0)</f>
        <v>0</v>
      </c>
      <c r="AZ968" s="313">
        <f>IFERROR(IF(INDEX([1]Pivot!$BF$1:$CG$65000,$B968,AZ$5)=1,1,IF(INDEX([1]Pivot!$B$1:$AB$65000,$B968,AZ$5)="",2,0)),0)</f>
        <v>0</v>
      </c>
      <c r="BA968" s="313">
        <f>IFERROR(IF(INDEX([1]Pivot!$BF$1:$CG$65000,$B968,BA$5)=1,1,IF(INDEX([1]Pivot!$B$1:$AB$65000,$B968,BA$5)="",2,0)),0)</f>
        <v>0</v>
      </c>
      <c r="BB968" s="313">
        <f>IFERROR(IF(INDEX([1]Pivot!$BF$1:$CG$65000,$B968,BB$5)=1,1,IF(INDEX([1]Pivot!$B$1:$AB$65000,$B968,BB$5)="",2,0)),0)</f>
        <v>0</v>
      </c>
      <c r="BC968" s="313">
        <f>IFERROR(IF(INDEX([1]Pivot!$BF$1:$CG$65000,$B968,BC$5)=1,1,IF(INDEX([1]Pivot!$B$1:$AB$65000,$B968,BC$5)="",2,0)),0)</f>
        <v>0</v>
      </c>
      <c r="BD968" s="313">
        <f>IFERROR(IF(INDEX([1]Pivot!$BF$1:$CG$65000,$B968,BD$5)=1,1,IF(INDEX([1]Pivot!$B$1:$AB$65000,$B968,BD$5)="",2,0)),0)</f>
        <v>0</v>
      </c>
    </row>
    <row r="969" spans="1:56" x14ac:dyDescent="0.25">
      <c r="A969" s="288">
        <f>'[2]Raw Milk Prices'!A969</f>
        <v>0</v>
      </c>
      <c r="B969" s="296" t="e">
        <f>MATCH(DATE(LEFT('[2]Raw Milk Prices'!$A969,4),RIGHT('[2]Raw Milk Prices'!$A969,2),1),[1]Pivot!$A$1:$A$65000,0)</f>
        <v>#VALUE!</v>
      </c>
      <c r="C969" s="194">
        <f>IFERROR(IF(INDEX([1]Pivot!$AD$1:$BE$65000,$B969,C$5)=1,1,IF(INDEX([1]Pivot!$B$1:$AB$65000,$B969,C$5)="",2,0)),0)</f>
        <v>0</v>
      </c>
      <c r="D969" s="194">
        <f>IFERROR(IF(INDEX([1]Pivot!$AD$1:$BE$65000,$B969,D$5)=1,1,IF(INDEX([1]Pivot!$B$1:$AB$65000,$B969,D$5)="",2,0)),0)</f>
        <v>0</v>
      </c>
      <c r="E969" s="194">
        <f>IFERROR(IF(INDEX([1]Pivot!$AD$1:$BE$65000,$B969,E$5)=1,1,IF(INDEX([1]Pivot!$B$1:$AB$65000,$B969,E$5)="",2,0)),0)</f>
        <v>0</v>
      </c>
      <c r="F969" s="194">
        <f>IFERROR(IF(INDEX([1]Pivot!$AD$1:$BE$65000,$B969,F$5)=1,1,IF(INDEX([1]Pivot!$B$1:$AB$65000,$B969,F$5)="",2,0)),0)</f>
        <v>0</v>
      </c>
      <c r="G969" s="194">
        <f>IFERROR(IF(INDEX([1]Pivot!$AD$1:$BE$65000,$B969,G$5)=1,1,IF(INDEX([1]Pivot!$B$1:$AB$65000,$B969,G$5)="",2,0)),0)</f>
        <v>0</v>
      </c>
      <c r="H969" s="194">
        <f>IFERROR(IF(INDEX([1]Pivot!$AD$1:$BE$65000,$B969,H$5)=1,1,IF(INDEX([1]Pivot!$B$1:$AB$65000,$B969,H$5)="",2,0)),0)</f>
        <v>0</v>
      </c>
      <c r="I969" s="194">
        <f>IFERROR(IF(INDEX([1]Pivot!$AD$1:$BE$65000,$B969,I$5)=1,1,IF(INDEX([1]Pivot!$B$1:$AB$65000,$B969,I$5)="",2,0)),0)</f>
        <v>0</v>
      </c>
      <c r="J969" s="194">
        <f>IFERROR(IF(INDEX([1]Pivot!$AD$1:$BE$65000,$B969,J$5)=1,1,IF(INDEX([1]Pivot!$B$1:$AB$65000,$B969,J$5)="",2,0)),0)</f>
        <v>0</v>
      </c>
      <c r="K969" s="194">
        <f>IFERROR(IF(INDEX([1]Pivot!$AD$1:$BE$65000,$B969,K$5)=1,1,IF(INDEX([1]Pivot!$B$1:$AB$65000,$B969,K$5)="",2,0)),0)</f>
        <v>0</v>
      </c>
      <c r="L969" s="194">
        <f>IFERROR(IF(INDEX([1]Pivot!$AD$1:$BE$65000,$B969,L$5)=1,1,IF(INDEX([1]Pivot!$B$1:$AB$65000,$B969,L$5)="",2,0)),0)</f>
        <v>0</v>
      </c>
      <c r="M969" s="194">
        <f>IFERROR(IF(INDEX([1]Pivot!$AD$1:$BE$65000,$B969,M$5)=1,1,IF(INDEX([1]Pivot!$B$1:$AB$65000,$B969,M$5)="",2,0)),0)</f>
        <v>0</v>
      </c>
      <c r="N969" s="194">
        <f>IFERROR(IF(INDEX([1]Pivot!$AD$1:$BE$65000,$B969,N$5)=1,1,IF(INDEX([1]Pivot!$B$1:$AB$65000,$B969,N$5)="",2,0)),0)</f>
        <v>0</v>
      </c>
      <c r="O969" s="194">
        <f>IFERROR(IF(INDEX([1]Pivot!$AD$1:$BE$65000,$B969,O$5)=1,1,IF(INDEX([1]Pivot!$B$1:$AB$65000,$B969,O$5)="",2,0)),0)</f>
        <v>0</v>
      </c>
      <c r="P969" s="194">
        <f>IFERROR(IF(INDEX([1]Pivot!$AD$1:$BE$65000,$B969,P$5)=1,1,IF(INDEX([1]Pivot!$B$1:$AB$65000,$B969,P$5)="",2,0)),0)</f>
        <v>0</v>
      </c>
      <c r="Q969" s="194">
        <f>IFERROR(IF(INDEX([1]Pivot!$AD$1:$BE$65000,$B969,Q$5)=1,1,IF(INDEX([1]Pivot!$B$1:$AB$65000,$B969,Q$5)="",2,0)),0)</f>
        <v>0</v>
      </c>
      <c r="R969" s="312"/>
      <c r="S969" s="194">
        <f>IFERROR(IF(INDEX([1]Pivot!$AD$1:$BE$65000,$B969,S$5)=1,1,IF(INDEX([1]Pivot!$B$1:$AB$65000,$B969,S$5)="",2,0)),0)</f>
        <v>0</v>
      </c>
      <c r="T969" s="194">
        <f>IFERROR(IF(INDEX([1]Pivot!$AD$1:$BE$65000,$B969,T$5)=1,1,IF(INDEX([1]Pivot!$B$1:$AB$65000,$B969,T$5)="",2,0)),0)</f>
        <v>0</v>
      </c>
      <c r="U969" s="194">
        <f>IFERROR(IF(INDEX([1]Pivot!$AD$1:$BE$65000,$B969,U$5)=1,1,IF(INDEX([1]Pivot!$B$1:$AB$65000,$B969,U$5)="",2,0)),0)</f>
        <v>0</v>
      </c>
      <c r="V969" s="194">
        <f>IFERROR(IF(INDEX([1]Pivot!$AD$1:$BE$65000,$B969,V$5)=1,1,IF(INDEX([1]Pivot!$B$1:$AB$65000,$B969,V$5)="",2,0)),0)</f>
        <v>0</v>
      </c>
      <c r="W969" s="194">
        <f>IFERROR(IF(INDEX([1]Pivot!$AD$1:$BE$65000,$B969,W$5)=1,1,IF(INDEX([1]Pivot!$B$1:$AB$65000,$B969,W$5)="",2,0)),0)</f>
        <v>0</v>
      </c>
      <c r="X969" s="194">
        <f>IFERROR(IF(INDEX([1]Pivot!$AD$1:$BE$65000,$B969,X$5)=1,1,IF(INDEX([1]Pivot!$B$1:$AB$65000,$B969,X$5)="",2,0)),0)</f>
        <v>0</v>
      </c>
      <c r="Y969" s="194">
        <f>IFERROR(IF(INDEX([1]Pivot!$AD$1:$BE$65000,$B969,Y$5)=1,1,IF(INDEX([1]Pivot!$B$1:$AB$65000,$B969,Y$5)="",2,0)),0)</f>
        <v>0</v>
      </c>
      <c r="Z969" s="194">
        <f>IFERROR(IF(INDEX([1]Pivot!$AD$1:$BE$65000,$B969,Z$5)=1,1,IF(INDEX([1]Pivot!$B$1:$AB$65000,$B969,Z$5)="",2,0)),0)</f>
        <v>0</v>
      </c>
      <c r="AA969" s="194">
        <f>IFERROR(IF(INDEX([1]Pivot!$AD$1:$BE$65000,$B969,AA$5)=1,1,IF(INDEX([1]Pivot!$B$1:$AB$65000,$B969,AA$5)="",2,0)),0)</f>
        <v>0</v>
      </c>
      <c r="AB969" s="194">
        <f>IFERROR(IF(INDEX([1]Pivot!$AD$1:$BE$65000,$B969,AB$5)=1,1,IF(INDEX([1]Pivot!$B$1:$AB$65000,$B969,AB$5)="",2,0)),0)</f>
        <v>0</v>
      </c>
      <c r="AC969" s="194">
        <f>IFERROR(IF(INDEX([1]Pivot!$AD$1:$BE$65000,$B969,AC$5)=1,1,IF(INDEX([1]Pivot!$B$1:$AB$65000,$B969,AC$5)="",2,0)),0)</f>
        <v>0</v>
      </c>
      <c r="AD969" s="313">
        <f>IFERROR(IF(INDEX([1]Pivot!$BF$1:$CG$65000,$B969,AD$5)=1,1,IF(INDEX([1]Pivot!$B$1:$AB$65000,$B969,AD$5)="",2,0)),0)</f>
        <v>0</v>
      </c>
      <c r="AE969" s="313">
        <f>IFERROR(IF(INDEX([1]Pivot!$BF$1:$CG$65000,$B969,AE$5)=1,1,IF(INDEX([1]Pivot!$B$1:$AB$65000,$B969,AE$5)="",2,0)),0)</f>
        <v>0</v>
      </c>
      <c r="AF969" s="313">
        <f>IFERROR(IF(INDEX([1]Pivot!$BF$1:$CG$65000,$B969,AF$5)=1,1,IF(INDEX([1]Pivot!$B$1:$AB$65000,$B969,AF$5)="",2,0)),0)</f>
        <v>0</v>
      </c>
      <c r="AG969" s="313">
        <f>IFERROR(IF(INDEX([1]Pivot!$BF$1:$CG$65000,$B969,AG$5)=1,1,IF(INDEX([1]Pivot!$B$1:$AB$65000,$B969,AG$5)="",2,0)),0)</f>
        <v>0</v>
      </c>
      <c r="AH969" s="313">
        <f>IFERROR(IF(INDEX([1]Pivot!$BF$1:$CG$65000,$B969,AH$5)=1,1,IF(INDEX([1]Pivot!$B$1:$AB$65000,$B969,AH$5)="",2,0)),0)</f>
        <v>0</v>
      </c>
      <c r="AI969" s="313">
        <f>IFERROR(IF(INDEX([1]Pivot!$BF$1:$CG$65000,$B969,AI$5)=1,1,IF(INDEX([1]Pivot!$B$1:$AB$65000,$B969,AI$5)="",2,0)),0)</f>
        <v>0</v>
      </c>
      <c r="AJ969" s="313">
        <f>IFERROR(IF(INDEX([1]Pivot!$BF$1:$CG$65000,$B969,AJ$5)=1,1,IF(INDEX([1]Pivot!$B$1:$AB$65000,$B969,AJ$5)="",2,0)),0)</f>
        <v>0</v>
      </c>
      <c r="AK969" s="313">
        <f>IFERROR(IF(INDEX([1]Pivot!$BF$1:$CG$65000,$B969,AK$5)=1,1,IF(INDEX([1]Pivot!$B$1:$AB$65000,$B969,AK$5)="",2,0)),0)</f>
        <v>0</v>
      </c>
      <c r="AL969" s="313">
        <f>IFERROR(IF(INDEX([1]Pivot!$BF$1:$CG$65000,$B969,AL$5)=1,1,IF(INDEX([1]Pivot!$B$1:$AB$65000,$B969,AL$5)="",2,0)),0)</f>
        <v>0</v>
      </c>
      <c r="AM969" s="313">
        <f>IFERROR(IF(INDEX([1]Pivot!$BF$1:$CG$65000,$B969,AM$5)=1,1,IF(INDEX([1]Pivot!$B$1:$AB$65000,$B969,AM$5)="",2,0)),0)</f>
        <v>0</v>
      </c>
      <c r="AN969" s="313">
        <f>IFERROR(IF(INDEX([1]Pivot!$BF$1:$CG$65000,$B969,AN$5)=1,1,IF(INDEX([1]Pivot!$B$1:$AB$65000,$B969,AN$5)="",2,0)),0)</f>
        <v>0</v>
      </c>
      <c r="AO969" s="313">
        <f>IFERROR(IF(INDEX([1]Pivot!$BF$1:$CG$65000,$B969,AO$5)=1,1,IF(INDEX([1]Pivot!$B$1:$AB$65000,$B969,AO$5)="",2,0)),0)</f>
        <v>0</v>
      </c>
      <c r="AP969" s="313">
        <f>IFERROR(IF(INDEX([1]Pivot!$BF$1:$CG$65000,$B969,AP$5)=1,1,IF(INDEX([1]Pivot!$B$1:$AB$65000,$B969,AP$5)="",2,0)),0)</f>
        <v>0</v>
      </c>
      <c r="AQ969" s="313">
        <f>IFERROR(IF(INDEX([1]Pivot!$BF$1:$CG$65000,$B969,AQ$5)=1,1,IF(INDEX([1]Pivot!$B$1:$AB$65000,$B969,AQ$5)="",2,0)),0)</f>
        <v>0</v>
      </c>
      <c r="AR969" s="313">
        <f>IFERROR(IF(INDEX([1]Pivot!$BF$1:$CG$65000,$B969,AR$5)=1,1,IF(INDEX([1]Pivot!$B$1:$AB$65000,$B969,AR$5)="",2,0)),0)</f>
        <v>0</v>
      </c>
      <c r="AS969" s="312"/>
      <c r="AT969" s="313">
        <f>IFERROR(IF(INDEX([1]Pivot!$BF$1:$CG$65000,$B969,AT$5)=1,1,IF(INDEX([1]Pivot!$B$1:$AB$65000,$B969,AT$5)="",2,0)),0)</f>
        <v>0</v>
      </c>
      <c r="AU969" s="313">
        <f>IFERROR(IF(INDEX([1]Pivot!$BF$1:$CG$65000,$B969,AU$5)=1,1,IF(INDEX([1]Pivot!$B$1:$AB$65000,$B969,AU$5)="",2,0)),0)</f>
        <v>0</v>
      </c>
      <c r="AV969" s="313">
        <f>IFERROR(IF(INDEX([1]Pivot!$BF$1:$CG$65000,$B969,AV$5)=1,1,IF(INDEX([1]Pivot!$B$1:$AB$65000,$B969,AV$5)="",2,0)),0)</f>
        <v>0</v>
      </c>
      <c r="AW969" s="313">
        <f>IFERROR(IF(INDEX([1]Pivot!$BF$1:$CG$65000,$B969,AW$5)=1,1,IF(INDEX([1]Pivot!$B$1:$AB$65000,$B969,AW$5)="",2,0)),0)</f>
        <v>0</v>
      </c>
      <c r="AX969" s="313">
        <f>IFERROR(IF(INDEX([1]Pivot!$BF$1:$CG$65000,$B969,AX$5)=1,1,IF(INDEX([1]Pivot!$B$1:$AB$65000,$B969,AX$5)="",2,0)),0)</f>
        <v>0</v>
      </c>
      <c r="AY969" s="313">
        <f>IFERROR(IF(INDEX([1]Pivot!$BF$1:$CG$65000,$B969,AY$5)=1,1,IF(INDEX([1]Pivot!$B$1:$AB$65000,$B969,AY$5)="",2,0)),0)</f>
        <v>0</v>
      </c>
      <c r="AZ969" s="313">
        <f>IFERROR(IF(INDEX([1]Pivot!$BF$1:$CG$65000,$B969,AZ$5)=1,1,IF(INDEX([1]Pivot!$B$1:$AB$65000,$B969,AZ$5)="",2,0)),0)</f>
        <v>0</v>
      </c>
      <c r="BA969" s="313">
        <f>IFERROR(IF(INDEX([1]Pivot!$BF$1:$CG$65000,$B969,BA$5)=1,1,IF(INDEX([1]Pivot!$B$1:$AB$65000,$B969,BA$5)="",2,0)),0)</f>
        <v>0</v>
      </c>
      <c r="BB969" s="313">
        <f>IFERROR(IF(INDEX([1]Pivot!$BF$1:$CG$65000,$B969,BB$5)=1,1,IF(INDEX([1]Pivot!$B$1:$AB$65000,$B969,BB$5)="",2,0)),0)</f>
        <v>0</v>
      </c>
      <c r="BC969" s="313">
        <f>IFERROR(IF(INDEX([1]Pivot!$BF$1:$CG$65000,$B969,BC$5)=1,1,IF(INDEX([1]Pivot!$B$1:$AB$65000,$B969,BC$5)="",2,0)),0)</f>
        <v>0</v>
      </c>
      <c r="BD969" s="313">
        <f>IFERROR(IF(INDEX([1]Pivot!$BF$1:$CG$65000,$B969,BD$5)=1,1,IF(INDEX([1]Pivot!$B$1:$AB$65000,$B969,BD$5)="",2,0)),0)</f>
        <v>0</v>
      </c>
    </row>
    <row r="970" spans="1:56" x14ac:dyDescent="0.25">
      <c r="A970" s="288">
        <f>'[2]Raw Milk Prices'!A970</f>
        <v>0</v>
      </c>
      <c r="B970" s="296" t="e">
        <f>MATCH(DATE(LEFT('[2]Raw Milk Prices'!$A970,4),RIGHT('[2]Raw Milk Prices'!$A970,2),1),[1]Pivot!$A$1:$A$65000,0)</f>
        <v>#VALUE!</v>
      </c>
      <c r="C970" s="194">
        <f>IFERROR(IF(INDEX([1]Pivot!$AD$1:$BE$65000,$B970,C$5)=1,1,IF(INDEX([1]Pivot!$B$1:$AB$65000,$B970,C$5)="",2,0)),0)</f>
        <v>0</v>
      </c>
      <c r="D970" s="194">
        <f>IFERROR(IF(INDEX([1]Pivot!$AD$1:$BE$65000,$B970,D$5)=1,1,IF(INDEX([1]Pivot!$B$1:$AB$65000,$B970,D$5)="",2,0)),0)</f>
        <v>0</v>
      </c>
      <c r="E970" s="194">
        <f>IFERROR(IF(INDEX([1]Pivot!$AD$1:$BE$65000,$B970,E$5)=1,1,IF(INDEX([1]Pivot!$B$1:$AB$65000,$B970,E$5)="",2,0)),0)</f>
        <v>0</v>
      </c>
      <c r="F970" s="194">
        <f>IFERROR(IF(INDEX([1]Pivot!$AD$1:$BE$65000,$B970,F$5)=1,1,IF(INDEX([1]Pivot!$B$1:$AB$65000,$B970,F$5)="",2,0)),0)</f>
        <v>0</v>
      </c>
      <c r="G970" s="194">
        <f>IFERROR(IF(INDEX([1]Pivot!$AD$1:$BE$65000,$B970,G$5)=1,1,IF(INDEX([1]Pivot!$B$1:$AB$65000,$B970,G$5)="",2,0)),0)</f>
        <v>0</v>
      </c>
      <c r="H970" s="194">
        <f>IFERROR(IF(INDEX([1]Pivot!$AD$1:$BE$65000,$B970,H$5)=1,1,IF(INDEX([1]Pivot!$B$1:$AB$65000,$B970,H$5)="",2,0)),0)</f>
        <v>0</v>
      </c>
      <c r="I970" s="194">
        <f>IFERROR(IF(INDEX([1]Pivot!$AD$1:$BE$65000,$B970,I$5)=1,1,IF(INDEX([1]Pivot!$B$1:$AB$65000,$B970,I$5)="",2,0)),0)</f>
        <v>0</v>
      </c>
      <c r="J970" s="194">
        <f>IFERROR(IF(INDEX([1]Pivot!$AD$1:$BE$65000,$B970,J$5)=1,1,IF(INDEX([1]Pivot!$B$1:$AB$65000,$B970,J$5)="",2,0)),0)</f>
        <v>0</v>
      </c>
      <c r="K970" s="194">
        <f>IFERROR(IF(INDEX([1]Pivot!$AD$1:$BE$65000,$B970,K$5)=1,1,IF(INDEX([1]Pivot!$B$1:$AB$65000,$B970,K$5)="",2,0)),0)</f>
        <v>0</v>
      </c>
      <c r="L970" s="194">
        <f>IFERROR(IF(INDEX([1]Pivot!$AD$1:$BE$65000,$B970,L$5)=1,1,IF(INDEX([1]Pivot!$B$1:$AB$65000,$B970,L$5)="",2,0)),0)</f>
        <v>0</v>
      </c>
      <c r="M970" s="194">
        <f>IFERROR(IF(INDEX([1]Pivot!$AD$1:$BE$65000,$B970,M$5)=1,1,IF(INDEX([1]Pivot!$B$1:$AB$65000,$B970,M$5)="",2,0)),0)</f>
        <v>0</v>
      </c>
      <c r="N970" s="194">
        <f>IFERROR(IF(INDEX([1]Pivot!$AD$1:$BE$65000,$B970,N$5)=1,1,IF(INDEX([1]Pivot!$B$1:$AB$65000,$B970,N$5)="",2,0)),0)</f>
        <v>0</v>
      </c>
      <c r="O970" s="194">
        <f>IFERROR(IF(INDEX([1]Pivot!$AD$1:$BE$65000,$B970,O$5)=1,1,IF(INDEX([1]Pivot!$B$1:$AB$65000,$B970,O$5)="",2,0)),0)</f>
        <v>0</v>
      </c>
      <c r="P970" s="194">
        <f>IFERROR(IF(INDEX([1]Pivot!$AD$1:$BE$65000,$B970,P$5)=1,1,IF(INDEX([1]Pivot!$B$1:$AB$65000,$B970,P$5)="",2,0)),0)</f>
        <v>0</v>
      </c>
      <c r="Q970" s="194">
        <f>IFERROR(IF(INDEX([1]Pivot!$AD$1:$BE$65000,$B970,Q$5)=1,1,IF(INDEX([1]Pivot!$B$1:$AB$65000,$B970,Q$5)="",2,0)),0)</f>
        <v>0</v>
      </c>
      <c r="R970" s="312"/>
      <c r="S970" s="194">
        <f>IFERROR(IF(INDEX([1]Pivot!$AD$1:$BE$65000,$B970,S$5)=1,1,IF(INDEX([1]Pivot!$B$1:$AB$65000,$B970,S$5)="",2,0)),0)</f>
        <v>0</v>
      </c>
      <c r="T970" s="194">
        <f>IFERROR(IF(INDEX([1]Pivot!$AD$1:$BE$65000,$B970,T$5)=1,1,IF(INDEX([1]Pivot!$B$1:$AB$65000,$B970,T$5)="",2,0)),0)</f>
        <v>0</v>
      </c>
      <c r="U970" s="194">
        <f>IFERROR(IF(INDEX([1]Pivot!$AD$1:$BE$65000,$B970,U$5)=1,1,IF(INDEX([1]Pivot!$B$1:$AB$65000,$B970,U$5)="",2,0)),0)</f>
        <v>0</v>
      </c>
      <c r="V970" s="194">
        <f>IFERROR(IF(INDEX([1]Pivot!$AD$1:$BE$65000,$B970,V$5)=1,1,IF(INDEX([1]Pivot!$B$1:$AB$65000,$B970,V$5)="",2,0)),0)</f>
        <v>0</v>
      </c>
      <c r="W970" s="194">
        <f>IFERROR(IF(INDEX([1]Pivot!$AD$1:$BE$65000,$B970,W$5)=1,1,IF(INDEX([1]Pivot!$B$1:$AB$65000,$B970,W$5)="",2,0)),0)</f>
        <v>0</v>
      </c>
      <c r="X970" s="194">
        <f>IFERROR(IF(INDEX([1]Pivot!$AD$1:$BE$65000,$B970,X$5)=1,1,IF(INDEX([1]Pivot!$B$1:$AB$65000,$B970,X$5)="",2,0)),0)</f>
        <v>0</v>
      </c>
      <c r="Y970" s="194">
        <f>IFERROR(IF(INDEX([1]Pivot!$AD$1:$BE$65000,$B970,Y$5)=1,1,IF(INDEX([1]Pivot!$B$1:$AB$65000,$B970,Y$5)="",2,0)),0)</f>
        <v>0</v>
      </c>
      <c r="Z970" s="194">
        <f>IFERROR(IF(INDEX([1]Pivot!$AD$1:$BE$65000,$B970,Z$5)=1,1,IF(INDEX([1]Pivot!$B$1:$AB$65000,$B970,Z$5)="",2,0)),0)</f>
        <v>0</v>
      </c>
      <c r="AA970" s="194">
        <f>IFERROR(IF(INDEX([1]Pivot!$AD$1:$BE$65000,$B970,AA$5)=1,1,IF(INDEX([1]Pivot!$B$1:$AB$65000,$B970,AA$5)="",2,0)),0)</f>
        <v>0</v>
      </c>
      <c r="AB970" s="194">
        <f>IFERROR(IF(INDEX([1]Pivot!$AD$1:$BE$65000,$B970,AB$5)=1,1,IF(INDEX([1]Pivot!$B$1:$AB$65000,$B970,AB$5)="",2,0)),0)</f>
        <v>0</v>
      </c>
      <c r="AC970" s="194">
        <f>IFERROR(IF(INDEX([1]Pivot!$AD$1:$BE$65000,$B970,AC$5)=1,1,IF(INDEX([1]Pivot!$B$1:$AB$65000,$B970,AC$5)="",2,0)),0)</f>
        <v>0</v>
      </c>
      <c r="AD970" s="313">
        <f>IFERROR(IF(INDEX([1]Pivot!$BF$1:$CG$65000,$B970,AD$5)=1,1,IF(INDEX([1]Pivot!$B$1:$AB$65000,$B970,AD$5)="",2,0)),0)</f>
        <v>0</v>
      </c>
      <c r="AE970" s="313">
        <f>IFERROR(IF(INDEX([1]Pivot!$BF$1:$CG$65000,$B970,AE$5)=1,1,IF(INDEX([1]Pivot!$B$1:$AB$65000,$B970,AE$5)="",2,0)),0)</f>
        <v>0</v>
      </c>
      <c r="AF970" s="313">
        <f>IFERROR(IF(INDEX([1]Pivot!$BF$1:$CG$65000,$B970,AF$5)=1,1,IF(INDEX([1]Pivot!$B$1:$AB$65000,$B970,AF$5)="",2,0)),0)</f>
        <v>0</v>
      </c>
      <c r="AG970" s="313">
        <f>IFERROR(IF(INDEX([1]Pivot!$BF$1:$CG$65000,$B970,AG$5)=1,1,IF(INDEX([1]Pivot!$B$1:$AB$65000,$B970,AG$5)="",2,0)),0)</f>
        <v>0</v>
      </c>
      <c r="AH970" s="313">
        <f>IFERROR(IF(INDEX([1]Pivot!$BF$1:$CG$65000,$B970,AH$5)=1,1,IF(INDEX([1]Pivot!$B$1:$AB$65000,$B970,AH$5)="",2,0)),0)</f>
        <v>0</v>
      </c>
      <c r="AI970" s="313">
        <f>IFERROR(IF(INDEX([1]Pivot!$BF$1:$CG$65000,$B970,AI$5)=1,1,IF(INDEX([1]Pivot!$B$1:$AB$65000,$B970,AI$5)="",2,0)),0)</f>
        <v>0</v>
      </c>
      <c r="AJ970" s="313">
        <f>IFERROR(IF(INDEX([1]Pivot!$BF$1:$CG$65000,$B970,AJ$5)=1,1,IF(INDEX([1]Pivot!$B$1:$AB$65000,$B970,AJ$5)="",2,0)),0)</f>
        <v>0</v>
      </c>
      <c r="AK970" s="313">
        <f>IFERROR(IF(INDEX([1]Pivot!$BF$1:$CG$65000,$B970,AK$5)=1,1,IF(INDEX([1]Pivot!$B$1:$AB$65000,$B970,AK$5)="",2,0)),0)</f>
        <v>0</v>
      </c>
      <c r="AL970" s="313">
        <f>IFERROR(IF(INDEX([1]Pivot!$BF$1:$CG$65000,$B970,AL$5)=1,1,IF(INDEX([1]Pivot!$B$1:$AB$65000,$B970,AL$5)="",2,0)),0)</f>
        <v>0</v>
      </c>
      <c r="AM970" s="313">
        <f>IFERROR(IF(INDEX([1]Pivot!$BF$1:$CG$65000,$B970,AM$5)=1,1,IF(INDEX([1]Pivot!$B$1:$AB$65000,$B970,AM$5)="",2,0)),0)</f>
        <v>0</v>
      </c>
      <c r="AN970" s="313">
        <f>IFERROR(IF(INDEX([1]Pivot!$BF$1:$CG$65000,$B970,AN$5)=1,1,IF(INDEX([1]Pivot!$B$1:$AB$65000,$B970,AN$5)="",2,0)),0)</f>
        <v>0</v>
      </c>
      <c r="AO970" s="313">
        <f>IFERROR(IF(INDEX([1]Pivot!$BF$1:$CG$65000,$B970,AO$5)=1,1,IF(INDEX([1]Pivot!$B$1:$AB$65000,$B970,AO$5)="",2,0)),0)</f>
        <v>0</v>
      </c>
      <c r="AP970" s="313">
        <f>IFERROR(IF(INDEX([1]Pivot!$BF$1:$CG$65000,$B970,AP$5)=1,1,IF(INDEX([1]Pivot!$B$1:$AB$65000,$B970,AP$5)="",2,0)),0)</f>
        <v>0</v>
      </c>
      <c r="AQ970" s="313">
        <f>IFERROR(IF(INDEX([1]Pivot!$BF$1:$CG$65000,$B970,AQ$5)=1,1,IF(INDEX([1]Pivot!$B$1:$AB$65000,$B970,AQ$5)="",2,0)),0)</f>
        <v>0</v>
      </c>
      <c r="AR970" s="313">
        <f>IFERROR(IF(INDEX([1]Pivot!$BF$1:$CG$65000,$B970,AR$5)=1,1,IF(INDEX([1]Pivot!$B$1:$AB$65000,$B970,AR$5)="",2,0)),0)</f>
        <v>0</v>
      </c>
      <c r="AS970" s="312"/>
      <c r="AT970" s="313">
        <f>IFERROR(IF(INDEX([1]Pivot!$BF$1:$CG$65000,$B970,AT$5)=1,1,IF(INDEX([1]Pivot!$B$1:$AB$65000,$B970,AT$5)="",2,0)),0)</f>
        <v>0</v>
      </c>
      <c r="AU970" s="313">
        <f>IFERROR(IF(INDEX([1]Pivot!$BF$1:$CG$65000,$B970,AU$5)=1,1,IF(INDEX([1]Pivot!$B$1:$AB$65000,$B970,AU$5)="",2,0)),0)</f>
        <v>0</v>
      </c>
      <c r="AV970" s="313">
        <f>IFERROR(IF(INDEX([1]Pivot!$BF$1:$CG$65000,$B970,AV$5)=1,1,IF(INDEX([1]Pivot!$B$1:$AB$65000,$B970,AV$5)="",2,0)),0)</f>
        <v>0</v>
      </c>
      <c r="AW970" s="313">
        <f>IFERROR(IF(INDEX([1]Pivot!$BF$1:$CG$65000,$B970,AW$5)=1,1,IF(INDEX([1]Pivot!$B$1:$AB$65000,$B970,AW$5)="",2,0)),0)</f>
        <v>0</v>
      </c>
      <c r="AX970" s="313">
        <f>IFERROR(IF(INDEX([1]Pivot!$BF$1:$CG$65000,$B970,AX$5)=1,1,IF(INDEX([1]Pivot!$B$1:$AB$65000,$B970,AX$5)="",2,0)),0)</f>
        <v>0</v>
      </c>
      <c r="AY970" s="313">
        <f>IFERROR(IF(INDEX([1]Pivot!$BF$1:$CG$65000,$B970,AY$5)=1,1,IF(INDEX([1]Pivot!$B$1:$AB$65000,$B970,AY$5)="",2,0)),0)</f>
        <v>0</v>
      </c>
      <c r="AZ970" s="313">
        <f>IFERROR(IF(INDEX([1]Pivot!$BF$1:$CG$65000,$B970,AZ$5)=1,1,IF(INDEX([1]Pivot!$B$1:$AB$65000,$B970,AZ$5)="",2,0)),0)</f>
        <v>0</v>
      </c>
      <c r="BA970" s="313">
        <f>IFERROR(IF(INDEX([1]Pivot!$BF$1:$CG$65000,$B970,BA$5)=1,1,IF(INDEX([1]Pivot!$B$1:$AB$65000,$B970,BA$5)="",2,0)),0)</f>
        <v>0</v>
      </c>
      <c r="BB970" s="313">
        <f>IFERROR(IF(INDEX([1]Pivot!$BF$1:$CG$65000,$B970,BB$5)=1,1,IF(INDEX([1]Pivot!$B$1:$AB$65000,$B970,BB$5)="",2,0)),0)</f>
        <v>0</v>
      </c>
      <c r="BC970" s="313">
        <f>IFERROR(IF(INDEX([1]Pivot!$BF$1:$CG$65000,$B970,BC$5)=1,1,IF(INDEX([1]Pivot!$B$1:$AB$65000,$B970,BC$5)="",2,0)),0)</f>
        <v>0</v>
      </c>
      <c r="BD970" s="313">
        <f>IFERROR(IF(INDEX([1]Pivot!$BF$1:$CG$65000,$B970,BD$5)=1,1,IF(INDEX([1]Pivot!$B$1:$AB$65000,$B970,BD$5)="",2,0)),0)</f>
        <v>0</v>
      </c>
    </row>
    <row r="971" spans="1:56" x14ac:dyDescent="0.25">
      <c r="A971" s="288">
        <f>'[2]Raw Milk Prices'!A971</f>
        <v>0</v>
      </c>
      <c r="B971" s="296" t="e">
        <f>MATCH(DATE(LEFT('[2]Raw Milk Prices'!$A971,4),RIGHT('[2]Raw Milk Prices'!$A971,2),1),[1]Pivot!$A$1:$A$65000,0)</f>
        <v>#VALUE!</v>
      </c>
      <c r="C971" s="194">
        <f>IFERROR(IF(INDEX([1]Pivot!$AD$1:$BE$65000,$B971,C$5)=1,1,IF(INDEX([1]Pivot!$B$1:$AB$65000,$B971,C$5)="",2,0)),0)</f>
        <v>0</v>
      </c>
      <c r="D971" s="194">
        <f>IFERROR(IF(INDEX([1]Pivot!$AD$1:$BE$65000,$B971,D$5)=1,1,IF(INDEX([1]Pivot!$B$1:$AB$65000,$B971,D$5)="",2,0)),0)</f>
        <v>0</v>
      </c>
      <c r="E971" s="194">
        <f>IFERROR(IF(INDEX([1]Pivot!$AD$1:$BE$65000,$B971,E$5)=1,1,IF(INDEX([1]Pivot!$B$1:$AB$65000,$B971,E$5)="",2,0)),0)</f>
        <v>0</v>
      </c>
      <c r="F971" s="194">
        <f>IFERROR(IF(INDEX([1]Pivot!$AD$1:$BE$65000,$B971,F$5)=1,1,IF(INDEX([1]Pivot!$B$1:$AB$65000,$B971,F$5)="",2,0)),0)</f>
        <v>0</v>
      </c>
      <c r="G971" s="194">
        <f>IFERROR(IF(INDEX([1]Pivot!$AD$1:$BE$65000,$B971,G$5)=1,1,IF(INDEX([1]Pivot!$B$1:$AB$65000,$B971,G$5)="",2,0)),0)</f>
        <v>0</v>
      </c>
      <c r="H971" s="194">
        <f>IFERROR(IF(INDEX([1]Pivot!$AD$1:$BE$65000,$B971,H$5)=1,1,IF(INDEX([1]Pivot!$B$1:$AB$65000,$B971,H$5)="",2,0)),0)</f>
        <v>0</v>
      </c>
      <c r="I971" s="194">
        <f>IFERROR(IF(INDEX([1]Pivot!$AD$1:$BE$65000,$B971,I$5)=1,1,IF(INDEX([1]Pivot!$B$1:$AB$65000,$B971,I$5)="",2,0)),0)</f>
        <v>0</v>
      </c>
      <c r="J971" s="194">
        <f>IFERROR(IF(INDEX([1]Pivot!$AD$1:$BE$65000,$B971,J$5)=1,1,IF(INDEX([1]Pivot!$B$1:$AB$65000,$B971,J$5)="",2,0)),0)</f>
        <v>0</v>
      </c>
      <c r="K971" s="194">
        <f>IFERROR(IF(INDEX([1]Pivot!$AD$1:$BE$65000,$B971,K$5)=1,1,IF(INDEX([1]Pivot!$B$1:$AB$65000,$B971,K$5)="",2,0)),0)</f>
        <v>0</v>
      </c>
      <c r="L971" s="194">
        <f>IFERROR(IF(INDEX([1]Pivot!$AD$1:$BE$65000,$B971,L$5)=1,1,IF(INDEX([1]Pivot!$B$1:$AB$65000,$B971,L$5)="",2,0)),0)</f>
        <v>0</v>
      </c>
      <c r="M971" s="194">
        <f>IFERROR(IF(INDEX([1]Pivot!$AD$1:$BE$65000,$B971,M$5)=1,1,IF(INDEX([1]Pivot!$B$1:$AB$65000,$B971,M$5)="",2,0)),0)</f>
        <v>0</v>
      </c>
      <c r="N971" s="194">
        <f>IFERROR(IF(INDEX([1]Pivot!$AD$1:$BE$65000,$B971,N$5)=1,1,IF(INDEX([1]Pivot!$B$1:$AB$65000,$B971,N$5)="",2,0)),0)</f>
        <v>0</v>
      </c>
      <c r="O971" s="194">
        <f>IFERROR(IF(INDEX([1]Pivot!$AD$1:$BE$65000,$B971,O$5)=1,1,IF(INDEX([1]Pivot!$B$1:$AB$65000,$B971,O$5)="",2,0)),0)</f>
        <v>0</v>
      </c>
      <c r="P971" s="194">
        <f>IFERROR(IF(INDEX([1]Pivot!$AD$1:$BE$65000,$B971,P$5)=1,1,IF(INDEX([1]Pivot!$B$1:$AB$65000,$B971,P$5)="",2,0)),0)</f>
        <v>0</v>
      </c>
      <c r="Q971" s="194">
        <f>IFERROR(IF(INDEX([1]Pivot!$AD$1:$BE$65000,$B971,Q$5)=1,1,IF(INDEX([1]Pivot!$B$1:$AB$65000,$B971,Q$5)="",2,0)),0)</f>
        <v>0</v>
      </c>
      <c r="R971" s="312"/>
      <c r="S971" s="194">
        <f>IFERROR(IF(INDEX([1]Pivot!$AD$1:$BE$65000,$B971,S$5)=1,1,IF(INDEX([1]Pivot!$B$1:$AB$65000,$B971,S$5)="",2,0)),0)</f>
        <v>0</v>
      </c>
      <c r="T971" s="194">
        <f>IFERROR(IF(INDEX([1]Pivot!$AD$1:$BE$65000,$B971,T$5)=1,1,IF(INDEX([1]Pivot!$B$1:$AB$65000,$B971,T$5)="",2,0)),0)</f>
        <v>0</v>
      </c>
      <c r="U971" s="194">
        <f>IFERROR(IF(INDEX([1]Pivot!$AD$1:$BE$65000,$B971,U$5)=1,1,IF(INDEX([1]Pivot!$B$1:$AB$65000,$B971,U$5)="",2,0)),0)</f>
        <v>0</v>
      </c>
      <c r="V971" s="194">
        <f>IFERROR(IF(INDEX([1]Pivot!$AD$1:$BE$65000,$B971,V$5)=1,1,IF(INDEX([1]Pivot!$B$1:$AB$65000,$B971,V$5)="",2,0)),0)</f>
        <v>0</v>
      </c>
      <c r="W971" s="194">
        <f>IFERROR(IF(INDEX([1]Pivot!$AD$1:$BE$65000,$B971,W$5)=1,1,IF(INDEX([1]Pivot!$B$1:$AB$65000,$B971,W$5)="",2,0)),0)</f>
        <v>0</v>
      </c>
      <c r="X971" s="194">
        <f>IFERROR(IF(INDEX([1]Pivot!$AD$1:$BE$65000,$B971,X$5)=1,1,IF(INDEX([1]Pivot!$B$1:$AB$65000,$B971,X$5)="",2,0)),0)</f>
        <v>0</v>
      </c>
      <c r="Y971" s="194">
        <f>IFERROR(IF(INDEX([1]Pivot!$AD$1:$BE$65000,$B971,Y$5)=1,1,IF(INDEX([1]Pivot!$B$1:$AB$65000,$B971,Y$5)="",2,0)),0)</f>
        <v>0</v>
      </c>
      <c r="Z971" s="194">
        <f>IFERROR(IF(INDEX([1]Pivot!$AD$1:$BE$65000,$B971,Z$5)=1,1,IF(INDEX([1]Pivot!$B$1:$AB$65000,$B971,Z$5)="",2,0)),0)</f>
        <v>0</v>
      </c>
      <c r="AA971" s="194">
        <f>IFERROR(IF(INDEX([1]Pivot!$AD$1:$BE$65000,$B971,AA$5)=1,1,IF(INDEX([1]Pivot!$B$1:$AB$65000,$B971,AA$5)="",2,0)),0)</f>
        <v>0</v>
      </c>
      <c r="AB971" s="194">
        <f>IFERROR(IF(INDEX([1]Pivot!$AD$1:$BE$65000,$B971,AB$5)=1,1,IF(INDEX([1]Pivot!$B$1:$AB$65000,$B971,AB$5)="",2,0)),0)</f>
        <v>0</v>
      </c>
      <c r="AC971" s="194">
        <f>IFERROR(IF(INDEX([1]Pivot!$AD$1:$BE$65000,$B971,AC$5)=1,1,IF(INDEX([1]Pivot!$B$1:$AB$65000,$B971,AC$5)="",2,0)),0)</f>
        <v>0</v>
      </c>
      <c r="AD971" s="313">
        <f>IFERROR(IF(INDEX([1]Pivot!$BF$1:$CG$65000,$B971,AD$5)=1,1,IF(INDEX([1]Pivot!$B$1:$AB$65000,$B971,AD$5)="",2,0)),0)</f>
        <v>0</v>
      </c>
      <c r="AE971" s="313">
        <f>IFERROR(IF(INDEX([1]Pivot!$BF$1:$CG$65000,$B971,AE$5)=1,1,IF(INDEX([1]Pivot!$B$1:$AB$65000,$B971,AE$5)="",2,0)),0)</f>
        <v>0</v>
      </c>
      <c r="AF971" s="313">
        <f>IFERROR(IF(INDEX([1]Pivot!$BF$1:$CG$65000,$B971,AF$5)=1,1,IF(INDEX([1]Pivot!$B$1:$AB$65000,$B971,AF$5)="",2,0)),0)</f>
        <v>0</v>
      </c>
      <c r="AG971" s="313">
        <f>IFERROR(IF(INDEX([1]Pivot!$BF$1:$CG$65000,$B971,AG$5)=1,1,IF(INDEX([1]Pivot!$B$1:$AB$65000,$B971,AG$5)="",2,0)),0)</f>
        <v>0</v>
      </c>
      <c r="AH971" s="313">
        <f>IFERROR(IF(INDEX([1]Pivot!$BF$1:$CG$65000,$B971,AH$5)=1,1,IF(INDEX([1]Pivot!$B$1:$AB$65000,$B971,AH$5)="",2,0)),0)</f>
        <v>0</v>
      </c>
      <c r="AI971" s="313">
        <f>IFERROR(IF(INDEX([1]Pivot!$BF$1:$CG$65000,$B971,AI$5)=1,1,IF(INDEX([1]Pivot!$B$1:$AB$65000,$B971,AI$5)="",2,0)),0)</f>
        <v>0</v>
      </c>
      <c r="AJ971" s="313">
        <f>IFERROR(IF(INDEX([1]Pivot!$BF$1:$CG$65000,$B971,AJ$5)=1,1,IF(INDEX([1]Pivot!$B$1:$AB$65000,$B971,AJ$5)="",2,0)),0)</f>
        <v>0</v>
      </c>
      <c r="AK971" s="313">
        <f>IFERROR(IF(INDEX([1]Pivot!$BF$1:$CG$65000,$B971,AK$5)=1,1,IF(INDEX([1]Pivot!$B$1:$AB$65000,$B971,AK$5)="",2,0)),0)</f>
        <v>0</v>
      </c>
      <c r="AL971" s="313">
        <f>IFERROR(IF(INDEX([1]Pivot!$BF$1:$CG$65000,$B971,AL$5)=1,1,IF(INDEX([1]Pivot!$B$1:$AB$65000,$B971,AL$5)="",2,0)),0)</f>
        <v>0</v>
      </c>
      <c r="AM971" s="313">
        <f>IFERROR(IF(INDEX([1]Pivot!$BF$1:$CG$65000,$B971,AM$5)=1,1,IF(INDEX([1]Pivot!$B$1:$AB$65000,$B971,AM$5)="",2,0)),0)</f>
        <v>0</v>
      </c>
      <c r="AN971" s="313">
        <f>IFERROR(IF(INDEX([1]Pivot!$BF$1:$CG$65000,$B971,AN$5)=1,1,IF(INDEX([1]Pivot!$B$1:$AB$65000,$B971,AN$5)="",2,0)),0)</f>
        <v>0</v>
      </c>
      <c r="AO971" s="313">
        <f>IFERROR(IF(INDEX([1]Pivot!$BF$1:$CG$65000,$B971,AO$5)=1,1,IF(INDEX([1]Pivot!$B$1:$AB$65000,$B971,AO$5)="",2,0)),0)</f>
        <v>0</v>
      </c>
      <c r="AP971" s="313">
        <f>IFERROR(IF(INDEX([1]Pivot!$BF$1:$CG$65000,$B971,AP$5)=1,1,IF(INDEX([1]Pivot!$B$1:$AB$65000,$B971,AP$5)="",2,0)),0)</f>
        <v>0</v>
      </c>
      <c r="AQ971" s="313">
        <f>IFERROR(IF(INDEX([1]Pivot!$BF$1:$CG$65000,$B971,AQ$5)=1,1,IF(INDEX([1]Pivot!$B$1:$AB$65000,$B971,AQ$5)="",2,0)),0)</f>
        <v>0</v>
      </c>
      <c r="AR971" s="313">
        <f>IFERROR(IF(INDEX([1]Pivot!$BF$1:$CG$65000,$B971,AR$5)=1,1,IF(INDEX([1]Pivot!$B$1:$AB$65000,$B971,AR$5)="",2,0)),0)</f>
        <v>0</v>
      </c>
      <c r="AS971" s="312"/>
      <c r="AT971" s="313">
        <f>IFERROR(IF(INDEX([1]Pivot!$BF$1:$CG$65000,$B971,AT$5)=1,1,IF(INDEX([1]Pivot!$B$1:$AB$65000,$B971,AT$5)="",2,0)),0)</f>
        <v>0</v>
      </c>
      <c r="AU971" s="313">
        <f>IFERROR(IF(INDEX([1]Pivot!$BF$1:$CG$65000,$B971,AU$5)=1,1,IF(INDEX([1]Pivot!$B$1:$AB$65000,$B971,AU$5)="",2,0)),0)</f>
        <v>0</v>
      </c>
      <c r="AV971" s="313">
        <f>IFERROR(IF(INDEX([1]Pivot!$BF$1:$CG$65000,$B971,AV$5)=1,1,IF(INDEX([1]Pivot!$B$1:$AB$65000,$B971,AV$5)="",2,0)),0)</f>
        <v>0</v>
      </c>
      <c r="AW971" s="313">
        <f>IFERROR(IF(INDEX([1]Pivot!$BF$1:$CG$65000,$B971,AW$5)=1,1,IF(INDEX([1]Pivot!$B$1:$AB$65000,$B971,AW$5)="",2,0)),0)</f>
        <v>0</v>
      </c>
      <c r="AX971" s="313">
        <f>IFERROR(IF(INDEX([1]Pivot!$BF$1:$CG$65000,$B971,AX$5)=1,1,IF(INDEX([1]Pivot!$B$1:$AB$65000,$B971,AX$5)="",2,0)),0)</f>
        <v>0</v>
      </c>
      <c r="AY971" s="313">
        <f>IFERROR(IF(INDEX([1]Pivot!$BF$1:$CG$65000,$B971,AY$5)=1,1,IF(INDEX([1]Pivot!$B$1:$AB$65000,$B971,AY$5)="",2,0)),0)</f>
        <v>0</v>
      </c>
      <c r="AZ971" s="313">
        <f>IFERROR(IF(INDEX([1]Pivot!$BF$1:$CG$65000,$B971,AZ$5)=1,1,IF(INDEX([1]Pivot!$B$1:$AB$65000,$B971,AZ$5)="",2,0)),0)</f>
        <v>0</v>
      </c>
      <c r="BA971" s="313">
        <f>IFERROR(IF(INDEX([1]Pivot!$BF$1:$CG$65000,$B971,BA$5)=1,1,IF(INDEX([1]Pivot!$B$1:$AB$65000,$B971,BA$5)="",2,0)),0)</f>
        <v>0</v>
      </c>
      <c r="BB971" s="313">
        <f>IFERROR(IF(INDEX([1]Pivot!$BF$1:$CG$65000,$B971,BB$5)=1,1,IF(INDEX([1]Pivot!$B$1:$AB$65000,$B971,BB$5)="",2,0)),0)</f>
        <v>0</v>
      </c>
      <c r="BC971" s="313">
        <f>IFERROR(IF(INDEX([1]Pivot!$BF$1:$CG$65000,$B971,BC$5)=1,1,IF(INDEX([1]Pivot!$B$1:$AB$65000,$B971,BC$5)="",2,0)),0)</f>
        <v>0</v>
      </c>
      <c r="BD971" s="313">
        <f>IFERROR(IF(INDEX([1]Pivot!$BF$1:$CG$65000,$B971,BD$5)=1,1,IF(INDEX([1]Pivot!$B$1:$AB$65000,$B971,BD$5)="",2,0)),0)</f>
        <v>0</v>
      </c>
    </row>
    <row r="972" spans="1:56" x14ac:dyDescent="0.25">
      <c r="A972" s="288">
        <f>'[2]Raw Milk Prices'!A972</f>
        <v>0</v>
      </c>
      <c r="B972" s="296" t="e">
        <f>MATCH(DATE(LEFT('[2]Raw Milk Prices'!$A972,4),RIGHT('[2]Raw Milk Prices'!$A972,2),1),[1]Pivot!$A$1:$A$65000,0)</f>
        <v>#VALUE!</v>
      </c>
      <c r="C972" s="194">
        <f>IFERROR(IF(INDEX([1]Pivot!$AD$1:$BE$65000,$B972,C$5)=1,1,IF(INDEX([1]Pivot!$B$1:$AB$65000,$B972,C$5)="",2,0)),0)</f>
        <v>0</v>
      </c>
      <c r="D972" s="194">
        <f>IFERROR(IF(INDEX([1]Pivot!$AD$1:$BE$65000,$B972,D$5)=1,1,IF(INDEX([1]Pivot!$B$1:$AB$65000,$B972,D$5)="",2,0)),0)</f>
        <v>0</v>
      </c>
      <c r="E972" s="194">
        <f>IFERROR(IF(INDEX([1]Pivot!$AD$1:$BE$65000,$B972,E$5)=1,1,IF(INDEX([1]Pivot!$B$1:$AB$65000,$B972,E$5)="",2,0)),0)</f>
        <v>0</v>
      </c>
      <c r="F972" s="194">
        <f>IFERROR(IF(INDEX([1]Pivot!$AD$1:$BE$65000,$B972,F$5)=1,1,IF(INDEX([1]Pivot!$B$1:$AB$65000,$B972,F$5)="",2,0)),0)</f>
        <v>0</v>
      </c>
      <c r="G972" s="194">
        <f>IFERROR(IF(INDEX([1]Pivot!$AD$1:$BE$65000,$B972,G$5)=1,1,IF(INDEX([1]Pivot!$B$1:$AB$65000,$B972,G$5)="",2,0)),0)</f>
        <v>0</v>
      </c>
      <c r="H972" s="194">
        <f>IFERROR(IF(INDEX([1]Pivot!$AD$1:$BE$65000,$B972,H$5)=1,1,IF(INDEX([1]Pivot!$B$1:$AB$65000,$B972,H$5)="",2,0)),0)</f>
        <v>0</v>
      </c>
      <c r="I972" s="194">
        <f>IFERROR(IF(INDEX([1]Pivot!$AD$1:$BE$65000,$B972,I$5)=1,1,IF(INDEX([1]Pivot!$B$1:$AB$65000,$B972,I$5)="",2,0)),0)</f>
        <v>0</v>
      </c>
      <c r="J972" s="194">
        <f>IFERROR(IF(INDEX([1]Pivot!$AD$1:$BE$65000,$B972,J$5)=1,1,IF(INDEX([1]Pivot!$B$1:$AB$65000,$B972,J$5)="",2,0)),0)</f>
        <v>0</v>
      </c>
      <c r="K972" s="194">
        <f>IFERROR(IF(INDEX([1]Pivot!$AD$1:$BE$65000,$B972,K$5)=1,1,IF(INDEX([1]Pivot!$B$1:$AB$65000,$B972,K$5)="",2,0)),0)</f>
        <v>0</v>
      </c>
      <c r="L972" s="194">
        <f>IFERROR(IF(INDEX([1]Pivot!$AD$1:$BE$65000,$B972,L$5)=1,1,IF(INDEX([1]Pivot!$B$1:$AB$65000,$B972,L$5)="",2,0)),0)</f>
        <v>0</v>
      </c>
      <c r="M972" s="194">
        <f>IFERROR(IF(INDEX([1]Pivot!$AD$1:$BE$65000,$B972,M$5)=1,1,IF(INDEX([1]Pivot!$B$1:$AB$65000,$B972,M$5)="",2,0)),0)</f>
        <v>0</v>
      </c>
      <c r="N972" s="194">
        <f>IFERROR(IF(INDEX([1]Pivot!$AD$1:$BE$65000,$B972,N$5)=1,1,IF(INDEX([1]Pivot!$B$1:$AB$65000,$B972,N$5)="",2,0)),0)</f>
        <v>0</v>
      </c>
      <c r="O972" s="194">
        <f>IFERROR(IF(INDEX([1]Pivot!$AD$1:$BE$65000,$B972,O$5)=1,1,IF(INDEX([1]Pivot!$B$1:$AB$65000,$B972,O$5)="",2,0)),0)</f>
        <v>0</v>
      </c>
      <c r="P972" s="194">
        <f>IFERROR(IF(INDEX([1]Pivot!$AD$1:$BE$65000,$B972,P$5)=1,1,IF(INDEX([1]Pivot!$B$1:$AB$65000,$B972,P$5)="",2,0)),0)</f>
        <v>0</v>
      </c>
      <c r="Q972" s="194">
        <f>IFERROR(IF(INDEX([1]Pivot!$AD$1:$BE$65000,$B972,Q$5)=1,1,IF(INDEX([1]Pivot!$B$1:$AB$65000,$B972,Q$5)="",2,0)),0)</f>
        <v>0</v>
      </c>
      <c r="R972" s="312"/>
      <c r="S972" s="194">
        <f>IFERROR(IF(INDEX([1]Pivot!$AD$1:$BE$65000,$B972,S$5)=1,1,IF(INDEX([1]Pivot!$B$1:$AB$65000,$B972,S$5)="",2,0)),0)</f>
        <v>0</v>
      </c>
      <c r="T972" s="194">
        <f>IFERROR(IF(INDEX([1]Pivot!$AD$1:$BE$65000,$B972,T$5)=1,1,IF(INDEX([1]Pivot!$B$1:$AB$65000,$B972,T$5)="",2,0)),0)</f>
        <v>0</v>
      </c>
      <c r="U972" s="194">
        <f>IFERROR(IF(INDEX([1]Pivot!$AD$1:$BE$65000,$B972,U$5)=1,1,IF(INDEX([1]Pivot!$B$1:$AB$65000,$B972,U$5)="",2,0)),0)</f>
        <v>0</v>
      </c>
      <c r="V972" s="194">
        <f>IFERROR(IF(INDEX([1]Pivot!$AD$1:$BE$65000,$B972,V$5)=1,1,IF(INDEX([1]Pivot!$B$1:$AB$65000,$B972,V$5)="",2,0)),0)</f>
        <v>0</v>
      </c>
      <c r="W972" s="194">
        <f>IFERROR(IF(INDEX([1]Pivot!$AD$1:$BE$65000,$B972,W$5)=1,1,IF(INDEX([1]Pivot!$B$1:$AB$65000,$B972,W$5)="",2,0)),0)</f>
        <v>0</v>
      </c>
      <c r="X972" s="194">
        <f>IFERROR(IF(INDEX([1]Pivot!$AD$1:$BE$65000,$B972,X$5)=1,1,IF(INDEX([1]Pivot!$B$1:$AB$65000,$B972,X$5)="",2,0)),0)</f>
        <v>0</v>
      </c>
      <c r="Y972" s="194">
        <f>IFERROR(IF(INDEX([1]Pivot!$AD$1:$BE$65000,$B972,Y$5)=1,1,IF(INDEX([1]Pivot!$B$1:$AB$65000,$B972,Y$5)="",2,0)),0)</f>
        <v>0</v>
      </c>
      <c r="Z972" s="194">
        <f>IFERROR(IF(INDEX([1]Pivot!$AD$1:$BE$65000,$B972,Z$5)=1,1,IF(INDEX([1]Pivot!$B$1:$AB$65000,$B972,Z$5)="",2,0)),0)</f>
        <v>0</v>
      </c>
      <c r="AA972" s="194">
        <f>IFERROR(IF(INDEX([1]Pivot!$AD$1:$BE$65000,$B972,AA$5)=1,1,IF(INDEX([1]Pivot!$B$1:$AB$65000,$B972,AA$5)="",2,0)),0)</f>
        <v>0</v>
      </c>
      <c r="AB972" s="194">
        <f>IFERROR(IF(INDEX([1]Pivot!$AD$1:$BE$65000,$B972,AB$5)=1,1,IF(INDEX([1]Pivot!$B$1:$AB$65000,$B972,AB$5)="",2,0)),0)</f>
        <v>0</v>
      </c>
      <c r="AC972" s="194">
        <f>IFERROR(IF(INDEX([1]Pivot!$AD$1:$BE$65000,$B972,AC$5)=1,1,IF(INDEX([1]Pivot!$B$1:$AB$65000,$B972,AC$5)="",2,0)),0)</f>
        <v>0</v>
      </c>
      <c r="AD972" s="313">
        <f>IFERROR(IF(INDEX([1]Pivot!$BF$1:$CG$65000,$B972,AD$5)=1,1,IF(INDEX([1]Pivot!$B$1:$AB$65000,$B972,AD$5)="",2,0)),0)</f>
        <v>0</v>
      </c>
      <c r="AE972" s="313">
        <f>IFERROR(IF(INDEX([1]Pivot!$BF$1:$CG$65000,$B972,AE$5)=1,1,IF(INDEX([1]Pivot!$B$1:$AB$65000,$B972,AE$5)="",2,0)),0)</f>
        <v>0</v>
      </c>
      <c r="AF972" s="313">
        <f>IFERROR(IF(INDEX([1]Pivot!$BF$1:$CG$65000,$B972,AF$5)=1,1,IF(INDEX([1]Pivot!$B$1:$AB$65000,$B972,AF$5)="",2,0)),0)</f>
        <v>0</v>
      </c>
      <c r="AG972" s="313">
        <f>IFERROR(IF(INDEX([1]Pivot!$BF$1:$CG$65000,$B972,AG$5)=1,1,IF(INDEX([1]Pivot!$B$1:$AB$65000,$B972,AG$5)="",2,0)),0)</f>
        <v>0</v>
      </c>
      <c r="AH972" s="313">
        <f>IFERROR(IF(INDEX([1]Pivot!$BF$1:$CG$65000,$B972,AH$5)=1,1,IF(INDEX([1]Pivot!$B$1:$AB$65000,$B972,AH$5)="",2,0)),0)</f>
        <v>0</v>
      </c>
      <c r="AI972" s="313">
        <f>IFERROR(IF(INDEX([1]Pivot!$BF$1:$CG$65000,$B972,AI$5)=1,1,IF(INDEX([1]Pivot!$B$1:$AB$65000,$B972,AI$5)="",2,0)),0)</f>
        <v>0</v>
      </c>
      <c r="AJ972" s="313">
        <f>IFERROR(IF(INDEX([1]Pivot!$BF$1:$CG$65000,$B972,AJ$5)=1,1,IF(INDEX([1]Pivot!$B$1:$AB$65000,$B972,AJ$5)="",2,0)),0)</f>
        <v>0</v>
      </c>
      <c r="AK972" s="313">
        <f>IFERROR(IF(INDEX([1]Pivot!$BF$1:$CG$65000,$B972,AK$5)=1,1,IF(INDEX([1]Pivot!$B$1:$AB$65000,$B972,AK$5)="",2,0)),0)</f>
        <v>0</v>
      </c>
      <c r="AL972" s="313">
        <f>IFERROR(IF(INDEX([1]Pivot!$BF$1:$CG$65000,$B972,AL$5)=1,1,IF(INDEX([1]Pivot!$B$1:$AB$65000,$B972,AL$5)="",2,0)),0)</f>
        <v>0</v>
      </c>
      <c r="AM972" s="313">
        <f>IFERROR(IF(INDEX([1]Pivot!$BF$1:$CG$65000,$B972,AM$5)=1,1,IF(INDEX([1]Pivot!$B$1:$AB$65000,$B972,AM$5)="",2,0)),0)</f>
        <v>0</v>
      </c>
      <c r="AN972" s="313">
        <f>IFERROR(IF(INDEX([1]Pivot!$BF$1:$CG$65000,$B972,AN$5)=1,1,IF(INDEX([1]Pivot!$B$1:$AB$65000,$B972,AN$5)="",2,0)),0)</f>
        <v>0</v>
      </c>
      <c r="AO972" s="313">
        <f>IFERROR(IF(INDEX([1]Pivot!$BF$1:$CG$65000,$B972,AO$5)=1,1,IF(INDEX([1]Pivot!$B$1:$AB$65000,$B972,AO$5)="",2,0)),0)</f>
        <v>0</v>
      </c>
      <c r="AP972" s="313">
        <f>IFERROR(IF(INDEX([1]Pivot!$BF$1:$CG$65000,$B972,AP$5)=1,1,IF(INDEX([1]Pivot!$B$1:$AB$65000,$B972,AP$5)="",2,0)),0)</f>
        <v>0</v>
      </c>
      <c r="AQ972" s="313">
        <f>IFERROR(IF(INDEX([1]Pivot!$BF$1:$CG$65000,$B972,AQ$5)=1,1,IF(INDEX([1]Pivot!$B$1:$AB$65000,$B972,AQ$5)="",2,0)),0)</f>
        <v>0</v>
      </c>
      <c r="AR972" s="313">
        <f>IFERROR(IF(INDEX([1]Pivot!$BF$1:$CG$65000,$B972,AR$5)=1,1,IF(INDEX([1]Pivot!$B$1:$AB$65000,$B972,AR$5)="",2,0)),0)</f>
        <v>0</v>
      </c>
      <c r="AS972" s="312"/>
      <c r="AT972" s="313">
        <f>IFERROR(IF(INDEX([1]Pivot!$BF$1:$CG$65000,$B972,AT$5)=1,1,IF(INDEX([1]Pivot!$B$1:$AB$65000,$B972,AT$5)="",2,0)),0)</f>
        <v>0</v>
      </c>
      <c r="AU972" s="313">
        <f>IFERROR(IF(INDEX([1]Pivot!$BF$1:$CG$65000,$B972,AU$5)=1,1,IF(INDEX([1]Pivot!$B$1:$AB$65000,$B972,AU$5)="",2,0)),0)</f>
        <v>0</v>
      </c>
      <c r="AV972" s="313">
        <f>IFERROR(IF(INDEX([1]Pivot!$BF$1:$CG$65000,$B972,AV$5)=1,1,IF(INDEX([1]Pivot!$B$1:$AB$65000,$B972,AV$5)="",2,0)),0)</f>
        <v>0</v>
      </c>
      <c r="AW972" s="313">
        <f>IFERROR(IF(INDEX([1]Pivot!$BF$1:$CG$65000,$B972,AW$5)=1,1,IF(INDEX([1]Pivot!$B$1:$AB$65000,$B972,AW$5)="",2,0)),0)</f>
        <v>0</v>
      </c>
      <c r="AX972" s="313">
        <f>IFERROR(IF(INDEX([1]Pivot!$BF$1:$CG$65000,$B972,AX$5)=1,1,IF(INDEX([1]Pivot!$B$1:$AB$65000,$B972,AX$5)="",2,0)),0)</f>
        <v>0</v>
      </c>
      <c r="AY972" s="313">
        <f>IFERROR(IF(INDEX([1]Pivot!$BF$1:$CG$65000,$B972,AY$5)=1,1,IF(INDEX([1]Pivot!$B$1:$AB$65000,$B972,AY$5)="",2,0)),0)</f>
        <v>0</v>
      </c>
      <c r="AZ972" s="313">
        <f>IFERROR(IF(INDEX([1]Pivot!$BF$1:$CG$65000,$B972,AZ$5)=1,1,IF(INDEX([1]Pivot!$B$1:$AB$65000,$B972,AZ$5)="",2,0)),0)</f>
        <v>0</v>
      </c>
      <c r="BA972" s="313">
        <f>IFERROR(IF(INDEX([1]Pivot!$BF$1:$CG$65000,$B972,BA$5)=1,1,IF(INDEX([1]Pivot!$B$1:$AB$65000,$B972,BA$5)="",2,0)),0)</f>
        <v>0</v>
      </c>
      <c r="BB972" s="313">
        <f>IFERROR(IF(INDEX([1]Pivot!$BF$1:$CG$65000,$B972,BB$5)=1,1,IF(INDEX([1]Pivot!$B$1:$AB$65000,$B972,BB$5)="",2,0)),0)</f>
        <v>0</v>
      </c>
      <c r="BC972" s="313">
        <f>IFERROR(IF(INDEX([1]Pivot!$BF$1:$CG$65000,$B972,BC$5)=1,1,IF(INDEX([1]Pivot!$B$1:$AB$65000,$B972,BC$5)="",2,0)),0)</f>
        <v>0</v>
      </c>
      <c r="BD972" s="313">
        <f>IFERROR(IF(INDEX([1]Pivot!$BF$1:$CG$65000,$B972,BD$5)=1,1,IF(INDEX([1]Pivot!$B$1:$AB$65000,$B972,BD$5)="",2,0)),0)</f>
        <v>0</v>
      </c>
    </row>
    <row r="973" spans="1:56" x14ac:dyDescent="0.25">
      <c r="A973" s="288">
        <f>'[2]Raw Milk Prices'!A973</f>
        <v>0</v>
      </c>
      <c r="B973" s="296" t="e">
        <f>MATCH(DATE(LEFT('[2]Raw Milk Prices'!$A973,4),RIGHT('[2]Raw Milk Prices'!$A973,2),1),[1]Pivot!$A$1:$A$65000,0)</f>
        <v>#VALUE!</v>
      </c>
      <c r="C973" s="194">
        <f>IFERROR(IF(INDEX([1]Pivot!$AD$1:$BE$65000,$B973,C$5)=1,1,IF(INDEX([1]Pivot!$B$1:$AB$65000,$B973,C$5)="",2,0)),0)</f>
        <v>0</v>
      </c>
      <c r="D973" s="194">
        <f>IFERROR(IF(INDEX([1]Pivot!$AD$1:$BE$65000,$B973,D$5)=1,1,IF(INDEX([1]Pivot!$B$1:$AB$65000,$B973,D$5)="",2,0)),0)</f>
        <v>0</v>
      </c>
      <c r="E973" s="194">
        <f>IFERROR(IF(INDEX([1]Pivot!$AD$1:$BE$65000,$B973,E$5)=1,1,IF(INDEX([1]Pivot!$B$1:$AB$65000,$B973,E$5)="",2,0)),0)</f>
        <v>0</v>
      </c>
      <c r="F973" s="194">
        <f>IFERROR(IF(INDEX([1]Pivot!$AD$1:$BE$65000,$B973,F$5)=1,1,IF(INDEX([1]Pivot!$B$1:$AB$65000,$B973,F$5)="",2,0)),0)</f>
        <v>0</v>
      </c>
      <c r="G973" s="194">
        <f>IFERROR(IF(INDEX([1]Pivot!$AD$1:$BE$65000,$B973,G$5)=1,1,IF(INDEX([1]Pivot!$B$1:$AB$65000,$B973,G$5)="",2,0)),0)</f>
        <v>0</v>
      </c>
      <c r="H973" s="194">
        <f>IFERROR(IF(INDEX([1]Pivot!$AD$1:$BE$65000,$B973,H$5)=1,1,IF(INDEX([1]Pivot!$B$1:$AB$65000,$B973,H$5)="",2,0)),0)</f>
        <v>0</v>
      </c>
      <c r="I973" s="194">
        <f>IFERROR(IF(INDEX([1]Pivot!$AD$1:$BE$65000,$B973,I$5)=1,1,IF(INDEX([1]Pivot!$B$1:$AB$65000,$B973,I$5)="",2,0)),0)</f>
        <v>0</v>
      </c>
      <c r="J973" s="194">
        <f>IFERROR(IF(INDEX([1]Pivot!$AD$1:$BE$65000,$B973,J$5)=1,1,IF(INDEX([1]Pivot!$B$1:$AB$65000,$B973,J$5)="",2,0)),0)</f>
        <v>0</v>
      </c>
      <c r="K973" s="194">
        <f>IFERROR(IF(INDEX([1]Pivot!$AD$1:$BE$65000,$B973,K$5)=1,1,IF(INDEX([1]Pivot!$B$1:$AB$65000,$B973,K$5)="",2,0)),0)</f>
        <v>0</v>
      </c>
      <c r="L973" s="194">
        <f>IFERROR(IF(INDEX([1]Pivot!$AD$1:$BE$65000,$B973,L$5)=1,1,IF(INDEX([1]Pivot!$B$1:$AB$65000,$B973,L$5)="",2,0)),0)</f>
        <v>0</v>
      </c>
      <c r="M973" s="194">
        <f>IFERROR(IF(INDEX([1]Pivot!$AD$1:$BE$65000,$B973,M$5)=1,1,IF(INDEX([1]Pivot!$B$1:$AB$65000,$B973,M$5)="",2,0)),0)</f>
        <v>0</v>
      </c>
      <c r="N973" s="194">
        <f>IFERROR(IF(INDEX([1]Pivot!$AD$1:$BE$65000,$B973,N$5)=1,1,IF(INDEX([1]Pivot!$B$1:$AB$65000,$B973,N$5)="",2,0)),0)</f>
        <v>0</v>
      </c>
      <c r="O973" s="194">
        <f>IFERROR(IF(INDEX([1]Pivot!$AD$1:$BE$65000,$B973,O$5)=1,1,IF(INDEX([1]Pivot!$B$1:$AB$65000,$B973,O$5)="",2,0)),0)</f>
        <v>0</v>
      </c>
      <c r="P973" s="194">
        <f>IFERROR(IF(INDEX([1]Pivot!$AD$1:$BE$65000,$B973,P$5)=1,1,IF(INDEX([1]Pivot!$B$1:$AB$65000,$B973,P$5)="",2,0)),0)</f>
        <v>0</v>
      </c>
      <c r="Q973" s="194">
        <f>IFERROR(IF(INDEX([1]Pivot!$AD$1:$BE$65000,$B973,Q$5)=1,1,IF(INDEX([1]Pivot!$B$1:$AB$65000,$B973,Q$5)="",2,0)),0)</f>
        <v>0</v>
      </c>
      <c r="R973" s="312"/>
      <c r="S973" s="194">
        <f>IFERROR(IF(INDEX([1]Pivot!$AD$1:$BE$65000,$B973,S$5)=1,1,IF(INDEX([1]Pivot!$B$1:$AB$65000,$B973,S$5)="",2,0)),0)</f>
        <v>0</v>
      </c>
      <c r="T973" s="194">
        <f>IFERROR(IF(INDEX([1]Pivot!$AD$1:$BE$65000,$B973,T$5)=1,1,IF(INDEX([1]Pivot!$B$1:$AB$65000,$B973,T$5)="",2,0)),0)</f>
        <v>0</v>
      </c>
      <c r="U973" s="194">
        <f>IFERROR(IF(INDEX([1]Pivot!$AD$1:$BE$65000,$B973,U$5)=1,1,IF(INDEX([1]Pivot!$B$1:$AB$65000,$B973,U$5)="",2,0)),0)</f>
        <v>0</v>
      </c>
      <c r="V973" s="194">
        <f>IFERROR(IF(INDEX([1]Pivot!$AD$1:$BE$65000,$B973,V$5)=1,1,IF(INDEX([1]Pivot!$B$1:$AB$65000,$B973,V$5)="",2,0)),0)</f>
        <v>0</v>
      </c>
      <c r="W973" s="194">
        <f>IFERROR(IF(INDEX([1]Pivot!$AD$1:$BE$65000,$B973,W$5)=1,1,IF(INDEX([1]Pivot!$B$1:$AB$65000,$B973,W$5)="",2,0)),0)</f>
        <v>0</v>
      </c>
      <c r="X973" s="194">
        <f>IFERROR(IF(INDEX([1]Pivot!$AD$1:$BE$65000,$B973,X$5)=1,1,IF(INDEX([1]Pivot!$B$1:$AB$65000,$B973,X$5)="",2,0)),0)</f>
        <v>0</v>
      </c>
      <c r="Y973" s="194">
        <f>IFERROR(IF(INDEX([1]Pivot!$AD$1:$BE$65000,$B973,Y$5)=1,1,IF(INDEX([1]Pivot!$B$1:$AB$65000,$B973,Y$5)="",2,0)),0)</f>
        <v>0</v>
      </c>
      <c r="Z973" s="194">
        <f>IFERROR(IF(INDEX([1]Pivot!$AD$1:$BE$65000,$B973,Z$5)=1,1,IF(INDEX([1]Pivot!$B$1:$AB$65000,$B973,Z$5)="",2,0)),0)</f>
        <v>0</v>
      </c>
      <c r="AA973" s="194">
        <f>IFERROR(IF(INDEX([1]Pivot!$AD$1:$BE$65000,$B973,AA$5)=1,1,IF(INDEX([1]Pivot!$B$1:$AB$65000,$B973,AA$5)="",2,0)),0)</f>
        <v>0</v>
      </c>
      <c r="AB973" s="194">
        <f>IFERROR(IF(INDEX([1]Pivot!$AD$1:$BE$65000,$B973,AB$5)=1,1,IF(INDEX([1]Pivot!$B$1:$AB$65000,$B973,AB$5)="",2,0)),0)</f>
        <v>0</v>
      </c>
      <c r="AC973" s="194">
        <f>IFERROR(IF(INDEX([1]Pivot!$AD$1:$BE$65000,$B973,AC$5)=1,1,IF(INDEX([1]Pivot!$B$1:$AB$65000,$B973,AC$5)="",2,0)),0)</f>
        <v>0</v>
      </c>
      <c r="AD973" s="313">
        <f>IFERROR(IF(INDEX([1]Pivot!$BF$1:$CG$65000,$B973,AD$5)=1,1,IF(INDEX([1]Pivot!$B$1:$AB$65000,$B973,AD$5)="",2,0)),0)</f>
        <v>0</v>
      </c>
      <c r="AE973" s="313">
        <f>IFERROR(IF(INDEX([1]Pivot!$BF$1:$CG$65000,$B973,AE$5)=1,1,IF(INDEX([1]Pivot!$B$1:$AB$65000,$B973,AE$5)="",2,0)),0)</f>
        <v>0</v>
      </c>
      <c r="AF973" s="313">
        <f>IFERROR(IF(INDEX([1]Pivot!$BF$1:$CG$65000,$B973,AF$5)=1,1,IF(INDEX([1]Pivot!$B$1:$AB$65000,$B973,AF$5)="",2,0)),0)</f>
        <v>0</v>
      </c>
      <c r="AG973" s="313">
        <f>IFERROR(IF(INDEX([1]Pivot!$BF$1:$CG$65000,$B973,AG$5)=1,1,IF(INDEX([1]Pivot!$B$1:$AB$65000,$B973,AG$5)="",2,0)),0)</f>
        <v>0</v>
      </c>
      <c r="AH973" s="313">
        <f>IFERROR(IF(INDEX([1]Pivot!$BF$1:$CG$65000,$B973,AH$5)=1,1,IF(INDEX([1]Pivot!$B$1:$AB$65000,$B973,AH$5)="",2,0)),0)</f>
        <v>0</v>
      </c>
      <c r="AI973" s="313">
        <f>IFERROR(IF(INDEX([1]Pivot!$BF$1:$CG$65000,$B973,AI$5)=1,1,IF(INDEX([1]Pivot!$B$1:$AB$65000,$B973,AI$5)="",2,0)),0)</f>
        <v>0</v>
      </c>
      <c r="AJ973" s="313">
        <f>IFERROR(IF(INDEX([1]Pivot!$BF$1:$CG$65000,$B973,AJ$5)=1,1,IF(INDEX([1]Pivot!$B$1:$AB$65000,$B973,AJ$5)="",2,0)),0)</f>
        <v>0</v>
      </c>
      <c r="AK973" s="313">
        <f>IFERROR(IF(INDEX([1]Pivot!$BF$1:$CG$65000,$B973,AK$5)=1,1,IF(INDEX([1]Pivot!$B$1:$AB$65000,$B973,AK$5)="",2,0)),0)</f>
        <v>0</v>
      </c>
      <c r="AL973" s="313">
        <f>IFERROR(IF(INDEX([1]Pivot!$BF$1:$CG$65000,$B973,AL$5)=1,1,IF(INDEX([1]Pivot!$B$1:$AB$65000,$B973,AL$5)="",2,0)),0)</f>
        <v>0</v>
      </c>
      <c r="AM973" s="313">
        <f>IFERROR(IF(INDEX([1]Pivot!$BF$1:$CG$65000,$B973,AM$5)=1,1,IF(INDEX([1]Pivot!$B$1:$AB$65000,$B973,AM$5)="",2,0)),0)</f>
        <v>0</v>
      </c>
      <c r="AN973" s="313">
        <f>IFERROR(IF(INDEX([1]Pivot!$BF$1:$CG$65000,$B973,AN$5)=1,1,IF(INDEX([1]Pivot!$B$1:$AB$65000,$B973,AN$5)="",2,0)),0)</f>
        <v>0</v>
      </c>
      <c r="AO973" s="313">
        <f>IFERROR(IF(INDEX([1]Pivot!$BF$1:$CG$65000,$B973,AO$5)=1,1,IF(INDEX([1]Pivot!$B$1:$AB$65000,$B973,AO$5)="",2,0)),0)</f>
        <v>0</v>
      </c>
      <c r="AP973" s="313">
        <f>IFERROR(IF(INDEX([1]Pivot!$BF$1:$CG$65000,$B973,AP$5)=1,1,IF(INDEX([1]Pivot!$B$1:$AB$65000,$B973,AP$5)="",2,0)),0)</f>
        <v>0</v>
      </c>
      <c r="AQ973" s="313">
        <f>IFERROR(IF(INDEX([1]Pivot!$BF$1:$CG$65000,$B973,AQ$5)=1,1,IF(INDEX([1]Pivot!$B$1:$AB$65000,$B973,AQ$5)="",2,0)),0)</f>
        <v>0</v>
      </c>
      <c r="AR973" s="313">
        <f>IFERROR(IF(INDEX([1]Pivot!$BF$1:$CG$65000,$B973,AR$5)=1,1,IF(INDEX([1]Pivot!$B$1:$AB$65000,$B973,AR$5)="",2,0)),0)</f>
        <v>0</v>
      </c>
      <c r="AS973" s="312"/>
      <c r="AT973" s="313">
        <f>IFERROR(IF(INDEX([1]Pivot!$BF$1:$CG$65000,$B973,AT$5)=1,1,IF(INDEX([1]Pivot!$B$1:$AB$65000,$B973,AT$5)="",2,0)),0)</f>
        <v>0</v>
      </c>
      <c r="AU973" s="313">
        <f>IFERROR(IF(INDEX([1]Pivot!$BF$1:$CG$65000,$B973,AU$5)=1,1,IF(INDEX([1]Pivot!$B$1:$AB$65000,$B973,AU$5)="",2,0)),0)</f>
        <v>0</v>
      </c>
      <c r="AV973" s="313">
        <f>IFERROR(IF(INDEX([1]Pivot!$BF$1:$CG$65000,$B973,AV$5)=1,1,IF(INDEX([1]Pivot!$B$1:$AB$65000,$B973,AV$5)="",2,0)),0)</f>
        <v>0</v>
      </c>
      <c r="AW973" s="313">
        <f>IFERROR(IF(INDEX([1]Pivot!$BF$1:$CG$65000,$B973,AW$5)=1,1,IF(INDEX([1]Pivot!$B$1:$AB$65000,$B973,AW$5)="",2,0)),0)</f>
        <v>0</v>
      </c>
      <c r="AX973" s="313">
        <f>IFERROR(IF(INDEX([1]Pivot!$BF$1:$CG$65000,$B973,AX$5)=1,1,IF(INDEX([1]Pivot!$B$1:$AB$65000,$B973,AX$5)="",2,0)),0)</f>
        <v>0</v>
      </c>
      <c r="AY973" s="313">
        <f>IFERROR(IF(INDEX([1]Pivot!$BF$1:$CG$65000,$B973,AY$5)=1,1,IF(INDEX([1]Pivot!$B$1:$AB$65000,$B973,AY$5)="",2,0)),0)</f>
        <v>0</v>
      </c>
      <c r="AZ973" s="313">
        <f>IFERROR(IF(INDEX([1]Pivot!$BF$1:$CG$65000,$B973,AZ$5)=1,1,IF(INDEX([1]Pivot!$B$1:$AB$65000,$B973,AZ$5)="",2,0)),0)</f>
        <v>0</v>
      </c>
      <c r="BA973" s="313">
        <f>IFERROR(IF(INDEX([1]Pivot!$BF$1:$CG$65000,$B973,BA$5)=1,1,IF(INDEX([1]Pivot!$B$1:$AB$65000,$B973,BA$5)="",2,0)),0)</f>
        <v>0</v>
      </c>
      <c r="BB973" s="313">
        <f>IFERROR(IF(INDEX([1]Pivot!$BF$1:$CG$65000,$B973,BB$5)=1,1,IF(INDEX([1]Pivot!$B$1:$AB$65000,$B973,BB$5)="",2,0)),0)</f>
        <v>0</v>
      </c>
      <c r="BC973" s="313">
        <f>IFERROR(IF(INDEX([1]Pivot!$BF$1:$CG$65000,$B973,BC$5)=1,1,IF(INDEX([1]Pivot!$B$1:$AB$65000,$B973,BC$5)="",2,0)),0)</f>
        <v>0</v>
      </c>
      <c r="BD973" s="313">
        <f>IFERROR(IF(INDEX([1]Pivot!$BF$1:$CG$65000,$B973,BD$5)=1,1,IF(INDEX([1]Pivot!$B$1:$AB$65000,$B973,BD$5)="",2,0)),0)</f>
        <v>0</v>
      </c>
    </row>
    <row r="974" spans="1:56" x14ac:dyDescent="0.25">
      <c r="A974" s="288">
        <f>'[2]Raw Milk Prices'!A974</f>
        <v>0</v>
      </c>
      <c r="B974" s="296" t="e">
        <f>MATCH(DATE(LEFT('[2]Raw Milk Prices'!$A974,4),RIGHT('[2]Raw Milk Prices'!$A974,2),1),[1]Pivot!$A$1:$A$65000,0)</f>
        <v>#VALUE!</v>
      </c>
      <c r="C974" s="194">
        <f>IFERROR(IF(INDEX([1]Pivot!$AD$1:$BE$65000,$B974,C$5)=1,1,IF(INDEX([1]Pivot!$B$1:$AB$65000,$B974,C$5)="",2,0)),0)</f>
        <v>0</v>
      </c>
      <c r="D974" s="194">
        <f>IFERROR(IF(INDEX([1]Pivot!$AD$1:$BE$65000,$B974,D$5)=1,1,IF(INDEX([1]Pivot!$B$1:$AB$65000,$B974,D$5)="",2,0)),0)</f>
        <v>0</v>
      </c>
      <c r="E974" s="194">
        <f>IFERROR(IF(INDEX([1]Pivot!$AD$1:$BE$65000,$B974,E$5)=1,1,IF(INDEX([1]Pivot!$B$1:$AB$65000,$B974,E$5)="",2,0)),0)</f>
        <v>0</v>
      </c>
      <c r="F974" s="194">
        <f>IFERROR(IF(INDEX([1]Pivot!$AD$1:$BE$65000,$B974,F$5)=1,1,IF(INDEX([1]Pivot!$B$1:$AB$65000,$B974,F$5)="",2,0)),0)</f>
        <v>0</v>
      </c>
      <c r="G974" s="194">
        <f>IFERROR(IF(INDEX([1]Pivot!$AD$1:$BE$65000,$B974,G$5)=1,1,IF(INDEX([1]Pivot!$B$1:$AB$65000,$B974,G$5)="",2,0)),0)</f>
        <v>0</v>
      </c>
      <c r="H974" s="194">
        <f>IFERROR(IF(INDEX([1]Pivot!$AD$1:$BE$65000,$B974,H$5)=1,1,IF(INDEX([1]Pivot!$B$1:$AB$65000,$B974,H$5)="",2,0)),0)</f>
        <v>0</v>
      </c>
      <c r="I974" s="194">
        <f>IFERROR(IF(INDEX([1]Pivot!$AD$1:$BE$65000,$B974,I$5)=1,1,IF(INDEX([1]Pivot!$B$1:$AB$65000,$B974,I$5)="",2,0)),0)</f>
        <v>0</v>
      </c>
      <c r="J974" s="194">
        <f>IFERROR(IF(INDEX([1]Pivot!$AD$1:$BE$65000,$B974,J$5)=1,1,IF(INDEX([1]Pivot!$B$1:$AB$65000,$B974,J$5)="",2,0)),0)</f>
        <v>0</v>
      </c>
      <c r="K974" s="194">
        <f>IFERROR(IF(INDEX([1]Pivot!$AD$1:$BE$65000,$B974,K$5)=1,1,IF(INDEX([1]Pivot!$B$1:$AB$65000,$B974,K$5)="",2,0)),0)</f>
        <v>0</v>
      </c>
      <c r="L974" s="194">
        <f>IFERROR(IF(INDEX([1]Pivot!$AD$1:$BE$65000,$B974,L$5)=1,1,IF(INDEX([1]Pivot!$B$1:$AB$65000,$B974,L$5)="",2,0)),0)</f>
        <v>0</v>
      </c>
      <c r="M974" s="194">
        <f>IFERROR(IF(INDEX([1]Pivot!$AD$1:$BE$65000,$B974,M$5)=1,1,IF(INDEX([1]Pivot!$B$1:$AB$65000,$B974,M$5)="",2,0)),0)</f>
        <v>0</v>
      </c>
      <c r="N974" s="194">
        <f>IFERROR(IF(INDEX([1]Pivot!$AD$1:$BE$65000,$B974,N$5)=1,1,IF(INDEX([1]Pivot!$B$1:$AB$65000,$B974,N$5)="",2,0)),0)</f>
        <v>0</v>
      </c>
      <c r="O974" s="194">
        <f>IFERROR(IF(INDEX([1]Pivot!$AD$1:$BE$65000,$B974,O$5)=1,1,IF(INDEX([1]Pivot!$B$1:$AB$65000,$B974,O$5)="",2,0)),0)</f>
        <v>0</v>
      </c>
      <c r="P974" s="194">
        <f>IFERROR(IF(INDEX([1]Pivot!$AD$1:$BE$65000,$B974,P$5)=1,1,IF(INDEX([1]Pivot!$B$1:$AB$65000,$B974,P$5)="",2,0)),0)</f>
        <v>0</v>
      </c>
      <c r="Q974" s="194">
        <f>IFERROR(IF(INDEX([1]Pivot!$AD$1:$BE$65000,$B974,Q$5)=1,1,IF(INDEX([1]Pivot!$B$1:$AB$65000,$B974,Q$5)="",2,0)),0)</f>
        <v>0</v>
      </c>
      <c r="R974" s="312"/>
      <c r="S974" s="194">
        <f>IFERROR(IF(INDEX([1]Pivot!$AD$1:$BE$65000,$B974,S$5)=1,1,IF(INDEX([1]Pivot!$B$1:$AB$65000,$B974,S$5)="",2,0)),0)</f>
        <v>0</v>
      </c>
      <c r="T974" s="194">
        <f>IFERROR(IF(INDEX([1]Pivot!$AD$1:$BE$65000,$B974,T$5)=1,1,IF(INDEX([1]Pivot!$B$1:$AB$65000,$B974,T$5)="",2,0)),0)</f>
        <v>0</v>
      </c>
      <c r="U974" s="194">
        <f>IFERROR(IF(INDEX([1]Pivot!$AD$1:$BE$65000,$B974,U$5)=1,1,IF(INDEX([1]Pivot!$B$1:$AB$65000,$B974,U$5)="",2,0)),0)</f>
        <v>0</v>
      </c>
      <c r="V974" s="194">
        <f>IFERROR(IF(INDEX([1]Pivot!$AD$1:$BE$65000,$B974,V$5)=1,1,IF(INDEX([1]Pivot!$B$1:$AB$65000,$B974,V$5)="",2,0)),0)</f>
        <v>0</v>
      </c>
      <c r="W974" s="194">
        <f>IFERROR(IF(INDEX([1]Pivot!$AD$1:$BE$65000,$B974,W$5)=1,1,IF(INDEX([1]Pivot!$B$1:$AB$65000,$B974,W$5)="",2,0)),0)</f>
        <v>0</v>
      </c>
      <c r="X974" s="194">
        <f>IFERROR(IF(INDEX([1]Pivot!$AD$1:$BE$65000,$B974,X$5)=1,1,IF(INDEX([1]Pivot!$B$1:$AB$65000,$B974,X$5)="",2,0)),0)</f>
        <v>0</v>
      </c>
      <c r="Y974" s="194">
        <f>IFERROR(IF(INDEX([1]Pivot!$AD$1:$BE$65000,$B974,Y$5)=1,1,IF(INDEX([1]Pivot!$B$1:$AB$65000,$B974,Y$5)="",2,0)),0)</f>
        <v>0</v>
      </c>
      <c r="Z974" s="194">
        <f>IFERROR(IF(INDEX([1]Pivot!$AD$1:$BE$65000,$B974,Z$5)=1,1,IF(INDEX([1]Pivot!$B$1:$AB$65000,$B974,Z$5)="",2,0)),0)</f>
        <v>0</v>
      </c>
      <c r="AA974" s="194">
        <f>IFERROR(IF(INDEX([1]Pivot!$AD$1:$BE$65000,$B974,AA$5)=1,1,IF(INDEX([1]Pivot!$B$1:$AB$65000,$B974,AA$5)="",2,0)),0)</f>
        <v>0</v>
      </c>
      <c r="AB974" s="194">
        <f>IFERROR(IF(INDEX([1]Pivot!$AD$1:$BE$65000,$B974,AB$5)=1,1,IF(INDEX([1]Pivot!$B$1:$AB$65000,$B974,AB$5)="",2,0)),0)</f>
        <v>0</v>
      </c>
      <c r="AC974" s="194">
        <f>IFERROR(IF(INDEX([1]Pivot!$AD$1:$BE$65000,$B974,AC$5)=1,1,IF(INDEX([1]Pivot!$B$1:$AB$65000,$B974,AC$5)="",2,0)),0)</f>
        <v>0</v>
      </c>
      <c r="AD974" s="313">
        <f>IFERROR(IF(INDEX([1]Pivot!$BF$1:$CG$65000,$B974,AD$5)=1,1,IF(INDEX([1]Pivot!$B$1:$AB$65000,$B974,AD$5)="",2,0)),0)</f>
        <v>0</v>
      </c>
      <c r="AE974" s="313">
        <f>IFERROR(IF(INDEX([1]Pivot!$BF$1:$CG$65000,$B974,AE$5)=1,1,IF(INDEX([1]Pivot!$B$1:$AB$65000,$B974,AE$5)="",2,0)),0)</f>
        <v>0</v>
      </c>
      <c r="AF974" s="313">
        <f>IFERROR(IF(INDEX([1]Pivot!$BF$1:$CG$65000,$B974,AF$5)=1,1,IF(INDEX([1]Pivot!$B$1:$AB$65000,$B974,AF$5)="",2,0)),0)</f>
        <v>0</v>
      </c>
      <c r="AG974" s="313">
        <f>IFERROR(IF(INDEX([1]Pivot!$BF$1:$CG$65000,$B974,AG$5)=1,1,IF(INDEX([1]Pivot!$B$1:$AB$65000,$B974,AG$5)="",2,0)),0)</f>
        <v>0</v>
      </c>
      <c r="AH974" s="313">
        <f>IFERROR(IF(INDEX([1]Pivot!$BF$1:$CG$65000,$B974,AH$5)=1,1,IF(INDEX([1]Pivot!$B$1:$AB$65000,$B974,AH$5)="",2,0)),0)</f>
        <v>0</v>
      </c>
      <c r="AI974" s="313">
        <f>IFERROR(IF(INDEX([1]Pivot!$BF$1:$CG$65000,$B974,AI$5)=1,1,IF(INDEX([1]Pivot!$B$1:$AB$65000,$B974,AI$5)="",2,0)),0)</f>
        <v>0</v>
      </c>
      <c r="AJ974" s="313">
        <f>IFERROR(IF(INDEX([1]Pivot!$BF$1:$CG$65000,$B974,AJ$5)=1,1,IF(INDEX([1]Pivot!$B$1:$AB$65000,$B974,AJ$5)="",2,0)),0)</f>
        <v>0</v>
      </c>
      <c r="AK974" s="313">
        <f>IFERROR(IF(INDEX([1]Pivot!$BF$1:$CG$65000,$B974,AK$5)=1,1,IF(INDEX([1]Pivot!$B$1:$AB$65000,$B974,AK$5)="",2,0)),0)</f>
        <v>0</v>
      </c>
      <c r="AL974" s="313">
        <f>IFERROR(IF(INDEX([1]Pivot!$BF$1:$CG$65000,$B974,AL$5)=1,1,IF(INDEX([1]Pivot!$B$1:$AB$65000,$B974,AL$5)="",2,0)),0)</f>
        <v>0</v>
      </c>
      <c r="AM974" s="313">
        <f>IFERROR(IF(INDEX([1]Pivot!$BF$1:$CG$65000,$B974,AM$5)=1,1,IF(INDEX([1]Pivot!$B$1:$AB$65000,$B974,AM$5)="",2,0)),0)</f>
        <v>0</v>
      </c>
      <c r="AN974" s="313">
        <f>IFERROR(IF(INDEX([1]Pivot!$BF$1:$CG$65000,$B974,AN$5)=1,1,IF(INDEX([1]Pivot!$B$1:$AB$65000,$B974,AN$5)="",2,0)),0)</f>
        <v>0</v>
      </c>
      <c r="AO974" s="313">
        <f>IFERROR(IF(INDEX([1]Pivot!$BF$1:$CG$65000,$B974,AO$5)=1,1,IF(INDEX([1]Pivot!$B$1:$AB$65000,$B974,AO$5)="",2,0)),0)</f>
        <v>0</v>
      </c>
      <c r="AP974" s="313">
        <f>IFERROR(IF(INDEX([1]Pivot!$BF$1:$CG$65000,$B974,AP$5)=1,1,IF(INDEX([1]Pivot!$B$1:$AB$65000,$B974,AP$5)="",2,0)),0)</f>
        <v>0</v>
      </c>
      <c r="AQ974" s="313">
        <f>IFERROR(IF(INDEX([1]Pivot!$BF$1:$CG$65000,$B974,AQ$5)=1,1,IF(INDEX([1]Pivot!$B$1:$AB$65000,$B974,AQ$5)="",2,0)),0)</f>
        <v>0</v>
      </c>
      <c r="AR974" s="313">
        <f>IFERROR(IF(INDEX([1]Pivot!$BF$1:$CG$65000,$B974,AR$5)=1,1,IF(INDEX([1]Pivot!$B$1:$AB$65000,$B974,AR$5)="",2,0)),0)</f>
        <v>0</v>
      </c>
      <c r="AS974" s="312"/>
      <c r="AT974" s="313">
        <f>IFERROR(IF(INDEX([1]Pivot!$BF$1:$CG$65000,$B974,AT$5)=1,1,IF(INDEX([1]Pivot!$B$1:$AB$65000,$B974,AT$5)="",2,0)),0)</f>
        <v>0</v>
      </c>
      <c r="AU974" s="313">
        <f>IFERROR(IF(INDEX([1]Pivot!$BF$1:$CG$65000,$B974,AU$5)=1,1,IF(INDEX([1]Pivot!$B$1:$AB$65000,$B974,AU$5)="",2,0)),0)</f>
        <v>0</v>
      </c>
      <c r="AV974" s="313">
        <f>IFERROR(IF(INDEX([1]Pivot!$BF$1:$CG$65000,$B974,AV$5)=1,1,IF(INDEX([1]Pivot!$B$1:$AB$65000,$B974,AV$5)="",2,0)),0)</f>
        <v>0</v>
      </c>
      <c r="AW974" s="313">
        <f>IFERROR(IF(INDEX([1]Pivot!$BF$1:$CG$65000,$B974,AW$5)=1,1,IF(INDEX([1]Pivot!$B$1:$AB$65000,$B974,AW$5)="",2,0)),0)</f>
        <v>0</v>
      </c>
      <c r="AX974" s="313">
        <f>IFERROR(IF(INDEX([1]Pivot!$BF$1:$CG$65000,$B974,AX$5)=1,1,IF(INDEX([1]Pivot!$B$1:$AB$65000,$B974,AX$5)="",2,0)),0)</f>
        <v>0</v>
      </c>
      <c r="AY974" s="313">
        <f>IFERROR(IF(INDEX([1]Pivot!$BF$1:$CG$65000,$B974,AY$5)=1,1,IF(INDEX([1]Pivot!$B$1:$AB$65000,$B974,AY$5)="",2,0)),0)</f>
        <v>0</v>
      </c>
      <c r="AZ974" s="313">
        <f>IFERROR(IF(INDEX([1]Pivot!$BF$1:$CG$65000,$B974,AZ$5)=1,1,IF(INDEX([1]Pivot!$B$1:$AB$65000,$B974,AZ$5)="",2,0)),0)</f>
        <v>0</v>
      </c>
      <c r="BA974" s="313">
        <f>IFERROR(IF(INDEX([1]Pivot!$BF$1:$CG$65000,$B974,BA$5)=1,1,IF(INDEX([1]Pivot!$B$1:$AB$65000,$B974,BA$5)="",2,0)),0)</f>
        <v>0</v>
      </c>
      <c r="BB974" s="313">
        <f>IFERROR(IF(INDEX([1]Pivot!$BF$1:$CG$65000,$B974,BB$5)=1,1,IF(INDEX([1]Pivot!$B$1:$AB$65000,$B974,BB$5)="",2,0)),0)</f>
        <v>0</v>
      </c>
      <c r="BC974" s="313">
        <f>IFERROR(IF(INDEX([1]Pivot!$BF$1:$CG$65000,$B974,BC$5)=1,1,IF(INDEX([1]Pivot!$B$1:$AB$65000,$B974,BC$5)="",2,0)),0)</f>
        <v>0</v>
      </c>
      <c r="BD974" s="313">
        <f>IFERROR(IF(INDEX([1]Pivot!$BF$1:$CG$65000,$B974,BD$5)=1,1,IF(INDEX([1]Pivot!$B$1:$AB$65000,$B974,BD$5)="",2,0)),0)</f>
        <v>0</v>
      </c>
    </row>
    <row r="975" spans="1:56" x14ac:dyDescent="0.25">
      <c r="A975" s="288">
        <f>'[2]Raw Milk Prices'!A975</f>
        <v>0</v>
      </c>
      <c r="B975" s="296" t="e">
        <f>MATCH(DATE(LEFT('[2]Raw Milk Prices'!$A975,4),RIGHT('[2]Raw Milk Prices'!$A975,2),1),[1]Pivot!$A$1:$A$65000,0)</f>
        <v>#VALUE!</v>
      </c>
      <c r="C975" s="194">
        <f>IFERROR(IF(INDEX([1]Pivot!$AD$1:$BE$65000,$B975,C$5)=1,1,IF(INDEX([1]Pivot!$B$1:$AB$65000,$B975,C$5)="",2,0)),0)</f>
        <v>0</v>
      </c>
      <c r="D975" s="194">
        <f>IFERROR(IF(INDEX([1]Pivot!$AD$1:$BE$65000,$B975,D$5)=1,1,IF(INDEX([1]Pivot!$B$1:$AB$65000,$B975,D$5)="",2,0)),0)</f>
        <v>0</v>
      </c>
      <c r="E975" s="194">
        <f>IFERROR(IF(INDEX([1]Pivot!$AD$1:$BE$65000,$B975,E$5)=1,1,IF(INDEX([1]Pivot!$B$1:$AB$65000,$B975,E$5)="",2,0)),0)</f>
        <v>0</v>
      </c>
      <c r="F975" s="194">
        <f>IFERROR(IF(INDEX([1]Pivot!$AD$1:$BE$65000,$B975,F$5)=1,1,IF(INDEX([1]Pivot!$B$1:$AB$65000,$B975,F$5)="",2,0)),0)</f>
        <v>0</v>
      </c>
      <c r="G975" s="194">
        <f>IFERROR(IF(INDEX([1]Pivot!$AD$1:$BE$65000,$B975,G$5)=1,1,IF(INDEX([1]Pivot!$B$1:$AB$65000,$B975,G$5)="",2,0)),0)</f>
        <v>0</v>
      </c>
      <c r="H975" s="194">
        <f>IFERROR(IF(INDEX([1]Pivot!$AD$1:$BE$65000,$B975,H$5)=1,1,IF(INDEX([1]Pivot!$B$1:$AB$65000,$B975,H$5)="",2,0)),0)</f>
        <v>0</v>
      </c>
      <c r="I975" s="194">
        <f>IFERROR(IF(INDEX([1]Pivot!$AD$1:$BE$65000,$B975,I$5)=1,1,IF(INDEX([1]Pivot!$B$1:$AB$65000,$B975,I$5)="",2,0)),0)</f>
        <v>0</v>
      </c>
      <c r="J975" s="194">
        <f>IFERROR(IF(INDEX([1]Pivot!$AD$1:$BE$65000,$B975,J$5)=1,1,IF(INDEX([1]Pivot!$B$1:$AB$65000,$B975,J$5)="",2,0)),0)</f>
        <v>0</v>
      </c>
      <c r="K975" s="194">
        <f>IFERROR(IF(INDEX([1]Pivot!$AD$1:$BE$65000,$B975,K$5)=1,1,IF(INDEX([1]Pivot!$B$1:$AB$65000,$B975,K$5)="",2,0)),0)</f>
        <v>0</v>
      </c>
      <c r="L975" s="194">
        <f>IFERROR(IF(INDEX([1]Pivot!$AD$1:$BE$65000,$B975,L$5)=1,1,IF(INDEX([1]Pivot!$B$1:$AB$65000,$B975,L$5)="",2,0)),0)</f>
        <v>0</v>
      </c>
      <c r="M975" s="194">
        <f>IFERROR(IF(INDEX([1]Pivot!$AD$1:$BE$65000,$B975,M$5)=1,1,IF(INDEX([1]Pivot!$B$1:$AB$65000,$B975,M$5)="",2,0)),0)</f>
        <v>0</v>
      </c>
      <c r="N975" s="194">
        <f>IFERROR(IF(INDEX([1]Pivot!$AD$1:$BE$65000,$B975,N$5)=1,1,IF(INDEX([1]Pivot!$B$1:$AB$65000,$B975,N$5)="",2,0)),0)</f>
        <v>0</v>
      </c>
      <c r="O975" s="194">
        <f>IFERROR(IF(INDEX([1]Pivot!$AD$1:$BE$65000,$B975,O$5)=1,1,IF(INDEX([1]Pivot!$B$1:$AB$65000,$B975,O$5)="",2,0)),0)</f>
        <v>0</v>
      </c>
      <c r="P975" s="194">
        <f>IFERROR(IF(INDEX([1]Pivot!$AD$1:$BE$65000,$B975,P$5)=1,1,IF(INDEX([1]Pivot!$B$1:$AB$65000,$B975,P$5)="",2,0)),0)</f>
        <v>0</v>
      </c>
      <c r="Q975" s="194">
        <f>IFERROR(IF(INDEX([1]Pivot!$AD$1:$BE$65000,$B975,Q$5)=1,1,IF(INDEX([1]Pivot!$B$1:$AB$65000,$B975,Q$5)="",2,0)),0)</f>
        <v>0</v>
      </c>
      <c r="R975" s="312"/>
      <c r="S975" s="194">
        <f>IFERROR(IF(INDEX([1]Pivot!$AD$1:$BE$65000,$B975,S$5)=1,1,IF(INDEX([1]Pivot!$B$1:$AB$65000,$B975,S$5)="",2,0)),0)</f>
        <v>0</v>
      </c>
      <c r="T975" s="194">
        <f>IFERROR(IF(INDEX([1]Pivot!$AD$1:$BE$65000,$B975,T$5)=1,1,IF(INDEX([1]Pivot!$B$1:$AB$65000,$B975,T$5)="",2,0)),0)</f>
        <v>0</v>
      </c>
      <c r="U975" s="194">
        <f>IFERROR(IF(INDEX([1]Pivot!$AD$1:$BE$65000,$B975,U$5)=1,1,IF(INDEX([1]Pivot!$B$1:$AB$65000,$B975,U$5)="",2,0)),0)</f>
        <v>0</v>
      </c>
      <c r="V975" s="194">
        <f>IFERROR(IF(INDEX([1]Pivot!$AD$1:$BE$65000,$B975,V$5)=1,1,IF(INDEX([1]Pivot!$B$1:$AB$65000,$B975,V$5)="",2,0)),0)</f>
        <v>0</v>
      </c>
      <c r="W975" s="194">
        <f>IFERROR(IF(INDEX([1]Pivot!$AD$1:$BE$65000,$B975,W$5)=1,1,IF(INDEX([1]Pivot!$B$1:$AB$65000,$B975,W$5)="",2,0)),0)</f>
        <v>0</v>
      </c>
      <c r="X975" s="194">
        <f>IFERROR(IF(INDEX([1]Pivot!$AD$1:$BE$65000,$B975,X$5)=1,1,IF(INDEX([1]Pivot!$B$1:$AB$65000,$B975,X$5)="",2,0)),0)</f>
        <v>0</v>
      </c>
      <c r="Y975" s="194">
        <f>IFERROR(IF(INDEX([1]Pivot!$AD$1:$BE$65000,$B975,Y$5)=1,1,IF(INDEX([1]Pivot!$B$1:$AB$65000,$B975,Y$5)="",2,0)),0)</f>
        <v>0</v>
      </c>
      <c r="Z975" s="194">
        <f>IFERROR(IF(INDEX([1]Pivot!$AD$1:$BE$65000,$B975,Z$5)=1,1,IF(INDEX([1]Pivot!$B$1:$AB$65000,$B975,Z$5)="",2,0)),0)</f>
        <v>0</v>
      </c>
      <c r="AA975" s="194">
        <f>IFERROR(IF(INDEX([1]Pivot!$AD$1:$BE$65000,$B975,AA$5)=1,1,IF(INDEX([1]Pivot!$B$1:$AB$65000,$B975,AA$5)="",2,0)),0)</f>
        <v>0</v>
      </c>
      <c r="AB975" s="194">
        <f>IFERROR(IF(INDEX([1]Pivot!$AD$1:$BE$65000,$B975,AB$5)=1,1,IF(INDEX([1]Pivot!$B$1:$AB$65000,$B975,AB$5)="",2,0)),0)</f>
        <v>0</v>
      </c>
      <c r="AC975" s="194">
        <f>IFERROR(IF(INDEX([1]Pivot!$AD$1:$BE$65000,$B975,AC$5)=1,1,IF(INDEX([1]Pivot!$B$1:$AB$65000,$B975,AC$5)="",2,0)),0)</f>
        <v>0</v>
      </c>
      <c r="AD975" s="313">
        <f>IFERROR(IF(INDEX([1]Pivot!$BF$1:$CG$65000,$B975,AD$5)=1,1,IF(INDEX([1]Pivot!$B$1:$AB$65000,$B975,AD$5)="",2,0)),0)</f>
        <v>0</v>
      </c>
      <c r="AE975" s="313">
        <f>IFERROR(IF(INDEX([1]Pivot!$BF$1:$CG$65000,$B975,AE$5)=1,1,IF(INDEX([1]Pivot!$B$1:$AB$65000,$B975,AE$5)="",2,0)),0)</f>
        <v>0</v>
      </c>
      <c r="AF975" s="313">
        <f>IFERROR(IF(INDEX([1]Pivot!$BF$1:$CG$65000,$B975,AF$5)=1,1,IF(INDEX([1]Pivot!$B$1:$AB$65000,$B975,AF$5)="",2,0)),0)</f>
        <v>0</v>
      </c>
      <c r="AG975" s="313">
        <f>IFERROR(IF(INDEX([1]Pivot!$BF$1:$CG$65000,$B975,AG$5)=1,1,IF(INDEX([1]Pivot!$B$1:$AB$65000,$B975,AG$5)="",2,0)),0)</f>
        <v>0</v>
      </c>
      <c r="AH975" s="313">
        <f>IFERROR(IF(INDEX([1]Pivot!$BF$1:$CG$65000,$B975,AH$5)=1,1,IF(INDEX([1]Pivot!$B$1:$AB$65000,$B975,AH$5)="",2,0)),0)</f>
        <v>0</v>
      </c>
      <c r="AI975" s="313">
        <f>IFERROR(IF(INDEX([1]Pivot!$BF$1:$CG$65000,$B975,AI$5)=1,1,IF(INDEX([1]Pivot!$B$1:$AB$65000,$B975,AI$5)="",2,0)),0)</f>
        <v>0</v>
      </c>
      <c r="AJ975" s="313">
        <f>IFERROR(IF(INDEX([1]Pivot!$BF$1:$CG$65000,$B975,AJ$5)=1,1,IF(INDEX([1]Pivot!$B$1:$AB$65000,$B975,AJ$5)="",2,0)),0)</f>
        <v>0</v>
      </c>
      <c r="AK975" s="313">
        <f>IFERROR(IF(INDEX([1]Pivot!$BF$1:$CG$65000,$B975,AK$5)=1,1,IF(INDEX([1]Pivot!$B$1:$AB$65000,$B975,AK$5)="",2,0)),0)</f>
        <v>0</v>
      </c>
      <c r="AL975" s="313">
        <f>IFERROR(IF(INDEX([1]Pivot!$BF$1:$CG$65000,$B975,AL$5)=1,1,IF(INDEX([1]Pivot!$B$1:$AB$65000,$B975,AL$5)="",2,0)),0)</f>
        <v>0</v>
      </c>
      <c r="AM975" s="313">
        <f>IFERROR(IF(INDEX([1]Pivot!$BF$1:$CG$65000,$B975,AM$5)=1,1,IF(INDEX([1]Pivot!$B$1:$AB$65000,$B975,AM$5)="",2,0)),0)</f>
        <v>0</v>
      </c>
      <c r="AN975" s="313">
        <f>IFERROR(IF(INDEX([1]Pivot!$BF$1:$CG$65000,$B975,AN$5)=1,1,IF(INDEX([1]Pivot!$B$1:$AB$65000,$B975,AN$5)="",2,0)),0)</f>
        <v>0</v>
      </c>
      <c r="AO975" s="313">
        <f>IFERROR(IF(INDEX([1]Pivot!$BF$1:$CG$65000,$B975,AO$5)=1,1,IF(INDEX([1]Pivot!$B$1:$AB$65000,$B975,AO$5)="",2,0)),0)</f>
        <v>0</v>
      </c>
      <c r="AP975" s="313">
        <f>IFERROR(IF(INDEX([1]Pivot!$BF$1:$CG$65000,$B975,AP$5)=1,1,IF(INDEX([1]Pivot!$B$1:$AB$65000,$B975,AP$5)="",2,0)),0)</f>
        <v>0</v>
      </c>
      <c r="AQ975" s="313">
        <f>IFERROR(IF(INDEX([1]Pivot!$BF$1:$CG$65000,$B975,AQ$5)=1,1,IF(INDEX([1]Pivot!$B$1:$AB$65000,$B975,AQ$5)="",2,0)),0)</f>
        <v>0</v>
      </c>
      <c r="AR975" s="313">
        <f>IFERROR(IF(INDEX([1]Pivot!$BF$1:$CG$65000,$B975,AR$5)=1,1,IF(INDEX([1]Pivot!$B$1:$AB$65000,$B975,AR$5)="",2,0)),0)</f>
        <v>0</v>
      </c>
      <c r="AS975" s="312"/>
      <c r="AT975" s="313">
        <f>IFERROR(IF(INDEX([1]Pivot!$BF$1:$CG$65000,$B975,AT$5)=1,1,IF(INDEX([1]Pivot!$B$1:$AB$65000,$B975,AT$5)="",2,0)),0)</f>
        <v>0</v>
      </c>
      <c r="AU975" s="313">
        <f>IFERROR(IF(INDEX([1]Pivot!$BF$1:$CG$65000,$B975,AU$5)=1,1,IF(INDEX([1]Pivot!$B$1:$AB$65000,$B975,AU$5)="",2,0)),0)</f>
        <v>0</v>
      </c>
      <c r="AV975" s="313">
        <f>IFERROR(IF(INDEX([1]Pivot!$BF$1:$CG$65000,$B975,AV$5)=1,1,IF(INDEX([1]Pivot!$B$1:$AB$65000,$B975,AV$5)="",2,0)),0)</f>
        <v>0</v>
      </c>
      <c r="AW975" s="313">
        <f>IFERROR(IF(INDEX([1]Pivot!$BF$1:$CG$65000,$B975,AW$5)=1,1,IF(INDEX([1]Pivot!$B$1:$AB$65000,$B975,AW$5)="",2,0)),0)</f>
        <v>0</v>
      </c>
      <c r="AX975" s="313">
        <f>IFERROR(IF(INDEX([1]Pivot!$BF$1:$CG$65000,$B975,AX$5)=1,1,IF(INDEX([1]Pivot!$B$1:$AB$65000,$B975,AX$5)="",2,0)),0)</f>
        <v>0</v>
      </c>
      <c r="AY975" s="313">
        <f>IFERROR(IF(INDEX([1]Pivot!$BF$1:$CG$65000,$B975,AY$5)=1,1,IF(INDEX([1]Pivot!$B$1:$AB$65000,$B975,AY$5)="",2,0)),0)</f>
        <v>0</v>
      </c>
      <c r="AZ975" s="313">
        <f>IFERROR(IF(INDEX([1]Pivot!$BF$1:$CG$65000,$B975,AZ$5)=1,1,IF(INDEX([1]Pivot!$B$1:$AB$65000,$B975,AZ$5)="",2,0)),0)</f>
        <v>0</v>
      </c>
      <c r="BA975" s="313">
        <f>IFERROR(IF(INDEX([1]Pivot!$BF$1:$CG$65000,$B975,BA$5)=1,1,IF(INDEX([1]Pivot!$B$1:$AB$65000,$B975,BA$5)="",2,0)),0)</f>
        <v>0</v>
      </c>
      <c r="BB975" s="313">
        <f>IFERROR(IF(INDEX([1]Pivot!$BF$1:$CG$65000,$B975,BB$5)=1,1,IF(INDEX([1]Pivot!$B$1:$AB$65000,$B975,BB$5)="",2,0)),0)</f>
        <v>0</v>
      </c>
      <c r="BC975" s="313">
        <f>IFERROR(IF(INDEX([1]Pivot!$BF$1:$CG$65000,$B975,BC$5)=1,1,IF(INDEX([1]Pivot!$B$1:$AB$65000,$B975,BC$5)="",2,0)),0)</f>
        <v>0</v>
      </c>
      <c r="BD975" s="313">
        <f>IFERROR(IF(INDEX([1]Pivot!$BF$1:$CG$65000,$B975,BD$5)=1,1,IF(INDEX([1]Pivot!$B$1:$AB$65000,$B975,BD$5)="",2,0)),0)</f>
        <v>0</v>
      </c>
    </row>
    <row r="976" spans="1:56" x14ac:dyDescent="0.25">
      <c r="A976" s="288">
        <f>'[2]Raw Milk Prices'!A976</f>
        <v>0</v>
      </c>
      <c r="B976" s="296" t="e">
        <f>MATCH(DATE(LEFT('[2]Raw Milk Prices'!$A976,4),RIGHT('[2]Raw Milk Prices'!$A976,2),1),[1]Pivot!$A$1:$A$65000,0)</f>
        <v>#VALUE!</v>
      </c>
      <c r="C976" s="194">
        <f>IFERROR(IF(INDEX([1]Pivot!$AD$1:$BE$65000,$B976,C$5)=1,1,IF(INDEX([1]Pivot!$B$1:$AB$65000,$B976,C$5)="",2,0)),0)</f>
        <v>0</v>
      </c>
      <c r="D976" s="194">
        <f>IFERROR(IF(INDEX([1]Pivot!$AD$1:$BE$65000,$B976,D$5)=1,1,IF(INDEX([1]Pivot!$B$1:$AB$65000,$B976,D$5)="",2,0)),0)</f>
        <v>0</v>
      </c>
      <c r="E976" s="194">
        <f>IFERROR(IF(INDEX([1]Pivot!$AD$1:$BE$65000,$B976,E$5)=1,1,IF(INDEX([1]Pivot!$B$1:$AB$65000,$B976,E$5)="",2,0)),0)</f>
        <v>0</v>
      </c>
      <c r="F976" s="194">
        <f>IFERROR(IF(INDEX([1]Pivot!$AD$1:$BE$65000,$B976,F$5)=1,1,IF(INDEX([1]Pivot!$B$1:$AB$65000,$B976,F$5)="",2,0)),0)</f>
        <v>0</v>
      </c>
      <c r="G976" s="194">
        <f>IFERROR(IF(INDEX([1]Pivot!$AD$1:$BE$65000,$B976,G$5)=1,1,IF(INDEX([1]Pivot!$B$1:$AB$65000,$B976,G$5)="",2,0)),0)</f>
        <v>0</v>
      </c>
      <c r="H976" s="194">
        <f>IFERROR(IF(INDEX([1]Pivot!$AD$1:$BE$65000,$B976,H$5)=1,1,IF(INDEX([1]Pivot!$B$1:$AB$65000,$B976,H$5)="",2,0)),0)</f>
        <v>0</v>
      </c>
      <c r="I976" s="194">
        <f>IFERROR(IF(INDEX([1]Pivot!$AD$1:$BE$65000,$B976,I$5)=1,1,IF(INDEX([1]Pivot!$B$1:$AB$65000,$B976,I$5)="",2,0)),0)</f>
        <v>0</v>
      </c>
      <c r="J976" s="194">
        <f>IFERROR(IF(INDEX([1]Pivot!$AD$1:$BE$65000,$B976,J$5)=1,1,IF(INDEX([1]Pivot!$B$1:$AB$65000,$B976,J$5)="",2,0)),0)</f>
        <v>0</v>
      </c>
      <c r="K976" s="194">
        <f>IFERROR(IF(INDEX([1]Pivot!$AD$1:$BE$65000,$B976,K$5)=1,1,IF(INDEX([1]Pivot!$B$1:$AB$65000,$B976,K$5)="",2,0)),0)</f>
        <v>0</v>
      </c>
      <c r="L976" s="194">
        <f>IFERROR(IF(INDEX([1]Pivot!$AD$1:$BE$65000,$B976,L$5)=1,1,IF(INDEX([1]Pivot!$B$1:$AB$65000,$B976,L$5)="",2,0)),0)</f>
        <v>0</v>
      </c>
      <c r="M976" s="194">
        <f>IFERROR(IF(INDEX([1]Pivot!$AD$1:$BE$65000,$B976,M$5)=1,1,IF(INDEX([1]Pivot!$B$1:$AB$65000,$B976,M$5)="",2,0)),0)</f>
        <v>0</v>
      </c>
      <c r="N976" s="194">
        <f>IFERROR(IF(INDEX([1]Pivot!$AD$1:$BE$65000,$B976,N$5)=1,1,IF(INDEX([1]Pivot!$B$1:$AB$65000,$B976,N$5)="",2,0)),0)</f>
        <v>0</v>
      </c>
      <c r="O976" s="194">
        <f>IFERROR(IF(INDEX([1]Pivot!$AD$1:$BE$65000,$B976,O$5)=1,1,IF(INDEX([1]Pivot!$B$1:$AB$65000,$B976,O$5)="",2,0)),0)</f>
        <v>0</v>
      </c>
      <c r="P976" s="194">
        <f>IFERROR(IF(INDEX([1]Pivot!$AD$1:$BE$65000,$B976,P$5)=1,1,IF(INDEX([1]Pivot!$B$1:$AB$65000,$B976,P$5)="",2,0)),0)</f>
        <v>0</v>
      </c>
      <c r="Q976" s="194">
        <f>IFERROR(IF(INDEX([1]Pivot!$AD$1:$BE$65000,$B976,Q$5)=1,1,IF(INDEX([1]Pivot!$B$1:$AB$65000,$B976,Q$5)="",2,0)),0)</f>
        <v>0</v>
      </c>
      <c r="R976" s="312"/>
      <c r="S976" s="194">
        <f>IFERROR(IF(INDEX([1]Pivot!$AD$1:$BE$65000,$B976,S$5)=1,1,IF(INDEX([1]Pivot!$B$1:$AB$65000,$B976,S$5)="",2,0)),0)</f>
        <v>0</v>
      </c>
      <c r="T976" s="194">
        <f>IFERROR(IF(INDEX([1]Pivot!$AD$1:$BE$65000,$B976,T$5)=1,1,IF(INDEX([1]Pivot!$B$1:$AB$65000,$B976,T$5)="",2,0)),0)</f>
        <v>0</v>
      </c>
      <c r="U976" s="194">
        <f>IFERROR(IF(INDEX([1]Pivot!$AD$1:$BE$65000,$B976,U$5)=1,1,IF(INDEX([1]Pivot!$B$1:$AB$65000,$B976,U$5)="",2,0)),0)</f>
        <v>0</v>
      </c>
      <c r="V976" s="194">
        <f>IFERROR(IF(INDEX([1]Pivot!$AD$1:$BE$65000,$B976,V$5)=1,1,IF(INDEX([1]Pivot!$B$1:$AB$65000,$B976,V$5)="",2,0)),0)</f>
        <v>0</v>
      </c>
      <c r="W976" s="194">
        <f>IFERROR(IF(INDEX([1]Pivot!$AD$1:$BE$65000,$B976,W$5)=1,1,IF(INDEX([1]Pivot!$B$1:$AB$65000,$B976,W$5)="",2,0)),0)</f>
        <v>0</v>
      </c>
      <c r="X976" s="194">
        <f>IFERROR(IF(INDEX([1]Pivot!$AD$1:$BE$65000,$B976,X$5)=1,1,IF(INDEX([1]Pivot!$B$1:$AB$65000,$B976,X$5)="",2,0)),0)</f>
        <v>0</v>
      </c>
      <c r="Y976" s="194">
        <f>IFERROR(IF(INDEX([1]Pivot!$AD$1:$BE$65000,$B976,Y$5)=1,1,IF(INDEX([1]Pivot!$B$1:$AB$65000,$B976,Y$5)="",2,0)),0)</f>
        <v>0</v>
      </c>
      <c r="Z976" s="194">
        <f>IFERROR(IF(INDEX([1]Pivot!$AD$1:$BE$65000,$B976,Z$5)=1,1,IF(INDEX([1]Pivot!$B$1:$AB$65000,$B976,Z$5)="",2,0)),0)</f>
        <v>0</v>
      </c>
      <c r="AA976" s="194">
        <f>IFERROR(IF(INDEX([1]Pivot!$AD$1:$BE$65000,$B976,AA$5)=1,1,IF(INDEX([1]Pivot!$B$1:$AB$65000,$B976,AA$5)="",2,0)),0)</f>
        <v>0</v>
      </c>
      <c r="AB976" s="194">
        <f>IFERROR(IF(INDEX([1]Pivot!$AD$1:$BE$65000,$B976,AB$5)=1,1,IF(INDEX([1]Pivot!$B$1:$AB$65000,$B976,AB$5)="",2,0)),0)</f>
        <v>0</v>
      </c>
      <c r="AC976" s="194">
        <f>IFERROR(IF(INDEX([1]Pivot!$AD$1:$BE$65000,$B976,AC$5)=1,1,IF(INDEX([1]Pivot!$B$1:$AB$65000,$B976,AC$5)="",2,0)),0)</f>
        <v>0</v>
      </c>
      <c r="AD976" s="313">
        <f>IFERROR(IF(INDEX([1]Pivot!$BF$1:$CG$65000,$B976,AD$5)=1,1,IF(INDEX([1]Pivot!$B$1:$AB$65000,$B976,AD$5)="",2,0)),0)</f>
        <v>0</v>
      </c>
      <c r="AE976" s="313">
        <f>IFERROR(IF(INDEX([1]Pivot!$BF$1:$CG$65000,$B976,AE$5)=1,1,IF(INDEX([1]Pivot!$B$1:$AB$65000,$B976,AE$5)="",2,0)),0)</f>
        <v>0</v>
      </c>
      <c r="AF976" s="313">
        <f>IFERROR(IF(INDEX([1]Pivot!$BF$1:$CG$65000,$B976,AF$5)=1,1,IF(INDEX([1]Pivot!$B$1:$AB$65000,$B976,AF$5)="",2,0)),0)</f>
        <v>0</v>
      </c>
      <c r="AG976" s="313">
        <f>IFERROR(IF(INDEX([1]Pivot!$BF$1:$CG$65000,$B976,AG$5)=1,1,IF(INDEX([1]Pivot!$B$1:$AB$65000,$B976,AG$5)="",2,0)),0)</f>
        <v>0</v>
      </c>
      <c r="AH976" s="313">
        <f>IFERROR(IF(INDEX([1]Pivot!$BF$1:$CG$65000,$B976,AH$5)=1,1,IF(INDEX([1]Pivot!$B$1:$AB$65000,$B976,AH$5)="",2,0)),0)</f>
        <v>0</v>
      </c>
      <c r="AI976" s="313">
        <f>IFERROR(IF(INDEX([1]Pivot!$BF$1:$CG$65000,$B976,AI$5)=1,1,IF(INDEX([1]Pivot!$B$1:$AB$65000,$B976,AI$5)="",2,0)),0)</f>
        <v>0</v>
      </c>
      <c r="AJ976" s="313">
        <f>IFERROR(IF(INDEX([1]Pivot!$BF$1:$CG$65000,$B976,AJ$5)=1,1,IF(INDEX([1]Pivot!$B$1:$AB$65000,$B976,AJ$5)="",2,0)),0)</f>
        <v>0</v>
      </c>
      <c r="AK976" s="313">
        <f>IFERROR(IF(INDEX([1]Pivot!$BF$1:$CG$65000,$B976,AK$5)=1,1,IF(INDEX([1]Pivot!$B$1:$AB$65000,$B976,AK$5)="",2,0)),0)</f>
        <v>0</v>
      </c>
      <c r="AL976" s="313">
        <f>IFERROR(IF(INDEX([1]Pivot!$BF$1:$CG$65000,$B976,AL$5)=1,1,IF(INDEX([1]Pivot!$B$1:$AB$65000,$B976,AL$5)="",2,0)),0)</f>
        <v>0</v>
      </c>
      <c r="AM976" s="313">
        <f>IFERROR(IF(INDEX([1]Pivot!$BF$1:$CG$65000,$B976,AM$5)=1,1,IF(INDEX([1]Pivot!$B$1:$AB$65000,$B976,AM$5)="",2,0)),0)</f>
        <v>0</v>
      </c>
      <c r="AN976" s="313">
        <f>IFERROR(IF(INDEX([1]Pivot!$BF$1:$CG$65000,$B976,AN$5)=1,1,IF(INDEX([1]Pivot!$B$1:$AB$65000,$B976,AN$5)="",2,0)),0)</f>
        <v>0</v>
      </c>
      <c r="AO976" s="313">
        <f>IFERROR(IF(INDEX([1]Pivot!$BF$1:$CG$65000,$B976,AO$5)=1,1,IF(INDEX([1]Pivot!$B$1:$AB$65000,$B976,AO$5)="",2,0)),0)</f>
        <v>0</v>
      </c>
      <c r="AP976" s="313">
        <f>IFERROR(IF(INDEX([1]Pivot!$BF$1:$CG$65000,$B976,AP$5)=1,1,IF(INDEX([1]Pivot!$B$1:$AB$65000,$B976,AP$5)="",2,0)),0)</f>
        <v>0</v>
      </c>
      <c r="AQ976" s="313">
        <f>IFERROR(IF(INDEX([1]Pivot!$BF$1:$CG$65000,$B976,AQ$5)=1,1,IF(INDEX([1]Pivot!$B$1:$AB$65000,$B976,AQ$5)="",2,0)),0)</f>
        <v>0</v>
      </c>
      <c r="AR976" s="313">
        <f>IFERROR(IF(INDEX([1]Pivot!$BF$1:$CG$65000,$B976,AR$5)=1,1,IF(INDEX([1]Pivot!$B$1:$AB$65000,$B976,AR$5)="",2,0)),0)</f>
        <v>0</v>
      </c>
      <c r="AS976" s="312"/>
      <c r="AT976" s="313">
        <f>IFERROR(IF(INDEX([1]Pivot!$BF$1:$CG$65000,$B976,AT$5)=1,1,IF(INDEX([1]Pivot!$B$1:$AB$65000,$B976,AT$5)="",2,0)),0)</f>
        <v>0</v>
      </c>
      <c r="AU976" s="313">
        <f>IFERROR(IF(INDEX([1]Pivot!$BF$1:$CG$65000,$B976,AU$5)=1,1,IF(INDEX([1]Pivot!$B$1:$AB$65000,$B976,AU$5)="",2,0)),0)</f>
        <v>0</v>
      </c>
      <c r="AV976" s="313">
        <f>IFERROR(IF(INDEX([1]Pivot!$BF$1:$CG$65000,$B976,AV$5)=1,1,IF(INDEX([1]Pivot!$B$1:$AB$65000,$B976,AV$5)="",2,0)),0)</f>
        <v>0</v>
      </c>
      <c r="AW976" s="313">
        <f>IFERROR(IF(INDEX([1]Pivot!$BF$1:$CG$65000,$B976,AW$5)=1,1,IF(INDEX([1]Pivot!$B$1:$AB$65000,$B976,AW$5)="",2,0)),0)</f>
        <v>0</v>
      </c>
      <c r="AX976" s="313">
        <f>IFERROR(IF(INDEX([1]Pivot!$BF$1:$CG$65000,$B976,AX$5)=1,1,IF(INDEX([1]Pivot!$B$1:$AB$65000,$B976,AX$5)="",2,0)),0)</f>
        <v>0</v>
      </c>
      <c r="AY976" s="313">
        <f>IFERROR(IF(INDEX([1]Pivot!$BF$1:$CG$65000,$B976,AY$5)=1,1,IF(INDEX([1]Pivot!$B$1:$AB$65000,$B976,AY$5)="",2,0)),0)</f>
        <v>0</v>
      </c>
      <c r="AZ976" s="313">
        <f>IFERROR(IF(INDEX([1]Pivot!$BF$1:$CG$65000,$B976,AZ$5)=1,1,IF(INDEX([1]Pivot!$B$1:$AB$65000,$B976,AZ$5)="",2,0)),0)</f>
        <v>0</v>
      </c>
      <c r="BA976" s="313">
        <f>IFERROR(IF(INDEX([1]Pivot!$BF$1:$CG$65000,$B976,BA$5)=1,1,IF(INDEX([1]Pivot!$B$1:$AB$65000,$B976,BA$5)="",2,0)),0)</f>
        <v>0</v>
      </c>
      <c r="BB976" s="313">
        <f>IFERROR(IF(INDEX([1]Pivot!$BF$1:$CG$65000,$B976,BB$5)=1,1,IF(INDEX([1]Pivot!$B$1:$AB$65000,$B976,BB$5)="",2,0)),0)</f>
        <v>0</v>
      </c>
      <c r="BC976" s="313">
        <f>IFERROR(IF(INDEX([1]Pivot!$BF$1:$CG$65000,$B976,BC$5)=1,1,IF(INDEX([1]Pivot!$B$1:$AB$65000,$B976,BC$5)="",2,0)),0)</f>
        <v>0</v>
      </c>
      <c r="BD976" s="313">
        <f>IFERROR(IF(INDEX([1]Pivot!$BF$1:$CG$65000,$B976,BD$5)=1,1,IF(INDEX([1]Pivot!$B$1:$AB$65000,$B976,BD$5)="",2,0)),0)</f>
        <v>0</v>
      </c>
    </row>
    <row r="977" spans="1:56" x14ac:dyDescent="0.25">
      <c r="A977" s="288">
        <f>'[2]Raw Milk Prices'!A977</f>
        <v>0</v>
      </c>
      <c r="B977" s="296" t="e">
        <f>MATCH(DATE(LEFT('[2]Raw Milk Prices'!$A977,4),RIGHT('[2]Raw Milk Prices'!$A977,2),1),[1]Pivot!$A$1:$A$65000,0)</f>
        <v>#VALUE!</v>
      </c>
      <c r="C977" s="194">
        <f>IFERROR(IF(INDEX([1]Pivot!$AD$1:$BE$65000,$B977,C$5)=1,1,IF(INDEX([1]Pivot!$B$1:$AB$65000,$B977,C$5)="",2,0)),0)</f>
        <v>0</v>
      </c>
      <c r="D977" s="194">
        <f>IFERROR(IF(INDEX([1]Pivot!$AD$1:$BE$65000,$B977,D$5)=1,1,IF(INDEX([1]Pivot!$B$1:$AB$65000,$B977,D$5)="",2,0)),0)</f>
        <v>0</v>
      </c>
      <c r="E977" s="194">
        <f>IFERROR(IF(INDEX([1]Pivot!$AD$1:$BE$65000,$B977,E$5)=1,1,IF(INDEX([1]Pivot!$B$1:$AB$65000,$B977,E$5)="",2,0)),0)</f>
        <v>0</v>
      </c>
      <c r="F977" s="194">
        <f>IFERROR(IF(INDEX([1]Pivot!$AD$1:$BE$65000,$B977,F$5)=1,1,IF(INDEX([1]Pivot!$B$1:$AB$65000,$B977,F$5)="",2,0)),0)</f>
        <v>0</v>
      </c>
      <c r="G977" s="194">
        <f>IFERROR(IF(INDEX([1]Pivot!$AD$1:$BE$65000,$B977,G$5)=1,1,IF(INDEX([1]Pivot!$B$1:$AB$65000,$B977,G$5)="",2,0)),0)</f>
        <v>0</v>
      </c>
      <c r="H977" s="194">
        <f>IFERROR(IF(INDEX([1]Pivot!$AD$1:$BE$65000,$B977,H$5)=1,1,IF(INDEX([1]Pivot!$B$1:$AB$65000,$B977,H$5)="",2,0)),0)</f>
        <v>0</v>
      </c>
      <c r="I977" s="194">
        <f>IFERROR(IF(INDEX([1]Pivot!$AD$1:$BE$65000,$B977,I$5)=1,1,IF(INDEX([1]Pivot!$B$1:$AB$65000,$B977,I$5)="",2,0)),0)</f>
        <v>0</v>
      </c>
      <c r="J977" s="194">
        <f>IFERROR(IF(INDEX([1]Pivot!$AD$1:$BE$65000,$B977,J$5)=1,1,IF(INDEX([1]Pivot!$B$1:$AB$65000,$B977,J$5)="",2,0)),0)</f>
        <v>0</v>
      </c>
      <c r="K977" s="194">
        <f>IFERROR(IF(INDEX([1]Pivot!$AD$1:$BE$65000,$B977,K$5)=1,1,IF(INDEX([1]Pivot!$B$1:$AB$65000,$B977,K$5)="",2,0)),0)</f>
        <v>0</v>
      </c>
      <c r="L977" s="194">
        <f>IFERROR(IF(INDEX([1]Pivot!$AD$1:$BE$65000,$B977,L$5)=1,1,IF(INDEX([1]Pivot!$B$1:$AB$65000,$B977,L$5)="",2,0)),0)</f>
        <v>0</v>
      </c>
      <c r="M977" s="194">
        <f>IFERROR(IF(INDEX([1]Pivot!$AD$1:$BE$65000,$B977,M$5)=1,1,IF(INDEX([1]Pivot!$B$1:$AB$65000,$B977,M$5)="",2,0)),0)</f>
        <v>0</v>
      </c>
      <c r="N977" s="194">
        <f>IFERROR(IF(INDEX([1]Pivot!$AD$1:$BE$65000,$B977,N$5)=1,1,IF(INDEX([1]Pivot!$B$1:$AB$65000,$B977,N$5)="",2,0)),0)</f>
        <v>0</v>
      </c>
      <c r="O977" s="194">
        <f>IFERROR(IF(INDEX([1]Pivot!$AD$1:$BE$65000,$B977,O$5)=1,1,IF(INDEX([1]Pivot!$B$1:$AB$65000,$B977,O$5)="",2,0)),0)</f>
        <v>0</v>
      </c>
      <c r="P977" s="194">
        <f>IFERROR(IF(INDEX([1]Pivot!$AD$1:$BE$65000,$B977,P$5)=1,1,IF(INDEX([1]Pivot!$B$1:$AB$65000,$B977,P$5)="",2,0)),0)</f>
        <v>0</v>
      </c>
      <c r="Q977" s="194">
        <f>IFERROR(IF(INDEX([1]Pivot!$AD$1:$BE$65000,$B977,Q$5)=1,1,IF(INDEX([1]Pivot!$B$1:$AB$65000,$B977,Q$5)="",2,0)),0)</f>
        <v>0</v>
      </c>
      <c r="R977" s="312"/>
      <c r="S977" s="194">
        <f>IFERROR(IF(INDEX([1]Pivot!$AD$1:$BE$65000,$B977,S$5)=1,1,IF(INDEX([1]Pivot!$B$1:$AB$65000,$B977,S$5)="",2,0)),0)</f>
        <v>0</v>
      </c>
      <c r="T977" s="194">
        <f>IFERROR(IF(INDEX([1]Pivot!$AD$1:$BE$65000,$B977,T$5)=1,1,IF(INDEX([1]Pivot!$B$1:$AB$65000,$B977,T$5)="",2,0)),0)</f>
        <v>0</v>
      </c>
      <c r="U977" s="194">
        <f>IFERROR(IF(INDEX([1]Pivot!$AD$1:$BE$65000,$B977,U$5)=1,1,IF(INDEX([1]Pivot!$B$1:$AB$65000,$B977,U$5)="",2,0)),0)</f>
        <v>0</v>
      </c>
      <c r="V977" s="194">
        <f>IFERROR(IF(INDEX([1]Pivot!$AD$1:$BE$65000,$B977,V$5)=1,1,IF(INDEX([1]Pivot!$B$1:$AB$65000,$B977,V$5)="",2,0)),0)</f>
        <v>0</v>
      </c>
      <c r="W977" s="194">
        <f>IFERROR(IF(INDEX([1]Pivot!$AD$1:$BE$65000,$B977,W$5)=1,1,IF(INDEX([1]Pivot!$B$1:$AB$65000,$B977,W$5)="",2,0)),0)</f>
        <v>0</v>
      </c>
      <c r="X977" s="194">
        <f>IFERROR(IF(INDEX([1]Pivot!$AD$1:$BE$65000,$B977,X$5)=1,1,IF(INDEX([1]Pivot!$B$1:$AB$65000,$B977,X$5)="",2,0)),0)</f>
        <v>0</v>
      </c>
      <c r="Y977" s="194">
        <f>IFERROR(IF(INDEX([1]Pivot!$AD$1:$BE$65000,$B977,Y$5)=1,1,IF(INDEX([1]Pivot!$B$1:$AB$65000,$B977,Y$5)="",2,0)),0)</f>
        <v>0</v>
      </c>
      <c r="Z977" s="194">
        <f>IFERROR(IF(INDEX([1]Pivot!$AD$1:$BE$65000,$B977,Z$5)=1,1,IF(INDEX([1]Pivot!$B$1:$AB$65000,$B977,Z$5)="",2,0)),0)</f>
        <v>0</v>
      </c>
      <c r="AA977" s="194">
        <f>IFERROR(IF(INDEX([1]Pivot!$AD$1:$BE$65000,$B977,AA$5)=1,1,IF(INDEX([1]Pivot!$B$1:$AB$65000,$B977,AA$5)="",2,0)),0)</f>
        <v>0</v>
      </c>
      <c r="AB977" s="194">
        <f>IFERROR(IF(INDEX([1]Pivot!$AD$1:$BE$65000,$B977,AB$5)=1,1,IF(INDEX([1]Pivot!$B$1:$AB$65000,$B977,AB$5)="",2,0)),0)</f>
        <v>0</v>
      </c>
      <c r="AC977" s="194">
        <f>IFERROR(IF(INDEX([1]Pivot!$AD$1:$BE$65000,$B977,AC$5)=1,1,IF(INDEX([1]Pivot!$B$1:$AB$65000,$B977,AC$5)="",2,0)),0)</f>
        <v>0</v>
      </c>
      <c r="AD977" s="313">
        <f>IFERROR(IF(INDEX([1]Pivot!$BF$1:$CG$65000,$B977,AD$5)=1,1,IF(INDEX([1]Pivot!$B$1:$AB$65000,$B977,AD$5)="",2,0)),0)</f>
        <v>0</v>
      </c>
      <c r="AE977" s="313">
        <f>IFERROR(IF(INDEX([1]Pivot!$BF$1:$CG$65000,$B977,AE$5)=1,1,IF(INDEX([1]Pivot!$B$1:$AB$65000,$B977,AE$5)="",2,0)),0)</f>
        <v>0</v>
      </c>
      <c r="AF977" s="313">
        <f>IFERROR(IF(INDEX([1]Pivot!$BF$1:$CG$65000,$B977,AF$5)=1,1,IF(INDEX([1]Pivot!$B$1:$AB$65000,$B977,AF$5)="",2,0)),0)</f>
        <v>0</v>
      </c>
      <c r="AG977" s="313">
        <f>IFERROR(IF(INDEX([1]Pivot!$BF$1:$CG$65000,$B977,AG$5)=1,1,IF(INDEX([1]Pivot!$B$1:$AB$65000,$B977,AG$5)="",2,0)),0)</f>
        <v>0</v>
      </c>
      <c r="AH977" s="313">
        <f>IFERROR(IF(INDEX([1]Pivot!$BF$1:$CG$65000,$B977,AH$5)=1,1,IF(INDEX([1]Pivot!$B$1:$AB$65000,$B977,AH$5)="",2,0)),0)</f>
        <v>0</v>
      </c>
      <c r="AI977" s="313">
        <f>IFERROR(IF(INDEX([1]Pivot!$BF$1:$CG$65000,$B977,AI$5)=1,1,IF(INDEX([1]Pivot!$B$1:$AB$65000,$B977,AI$5)="",2,0)),0)</f>
        <v>0</v>
      </c>
      <c r="AJ977" s="313">
        <f>IFERROR(IF(INDEX([1]Pivot!$BF$1:$CG$65000,$B977,AJ$5)=1,1,IF(INDEX([1]Pivot!$B$1:$AB$65000,$B977,AJ$5)="",2,0)),0)</f>
        <v>0</v>
      </c>
      <c r="AK977" s="313">
        <f>IFERROR(IF(INDEX([1]Pivot!$BF$1:$CG$65000,$B977,AK$5)=1,1,IF(INDEX([1]Pivot!$B$1:$AB$65000,$B977,AK$5)="",2,0)),0)</f>
        <v>0</v>
      </c>
      <c r="AL977" s="313">
        <f>IFERROR(IF(INDEX([1]Pivot!$BF$1:$CG$65000,$B977,AL$5)=1,1,IF(INDEX([1]Pivot!$B$1:$AB$65000,$B977,AL$5)="",2,0)),0)</f>
        <v>0</v>
      </c>
      <c r="AM977" s="313">
        <f>IFERROR(IF(INDEX([1]Pivot!$BF$1:$CG$65000,$B977,AM$5)=1,1,IF(INDEX([1]Pivot!$B$1:$AB$65000,$B977,AM$5)="",2,0)),0)</f>
        <v>0</v>
      </c>
      <c r="AN977" s="313">
        <f>IFERROR(IF(INDEX([1]Pivot!$BF$1:$CG$65000,$B977,AN$5)=1,1,IF(INDEX([1]Pivot!$B$1:$AB$65000,$B977,AN$5)="",2,0)),0)</f>
        <v>0</v>
      </c>
      <c r="AO977" s="313">
        <f>IFERROR(IF(INDEX([1]Pivot!$BF$1:$CG$65000,$B977,AO$5)=1,1,IF(INDEX([1]Pivot!$B$1:$AB$65000,$B977,AO$5)="",2,0)),0)</f>
        <v>0</v>
      </c>
      <c r="AP977" s="313">
        <f>IFERROR(IF(INDEX([1]Pivot!$BF$1:$CG$65000,$B977,AP$5)=1,1,IF(INDEX([1]Pivot!$B$1:$AB$65000,$B977,AP$5)="",2,0)),0)</f>
        <v>0</v>
      </c>
      <c r="AQ977" s="313">
        <f>IFERROR(IF(INDEX([1]Pivot!$BF$1:$CG$65000,$B977,AQ$5)=1,1,IF(INDEX([1]Pivot!$B$1:$AB$65000,$B977,AQ$5)="",2,0)),0)</f>
        <v>0</v>
      </c>
      <c r="AR977" s="313">
        <f>IFERROR(IF(INDEX([1]Pivot!$BF$1:$CG$65000,$B977,AR$5)=1,1,IF(INDEX([1]Pivot!$B$1:$AB$65000,$B977,AR$5)="",2,0)),0)</f>
        <v>0</v>
      </c>
      <c r="AS977" s="312"/>
      <c r="AT977" s="313">
        <f>IFERROR(IF(INDEX([1]Pivot!$BF$1:$CG$65000,$B977,AT$5)=1,1,IF(INDEX([1]Pivot!$B$1:$AB$65000,$B977,AT$5)="",2,0)),0)</f>
        <v>0</v>
      </c>
      <c r="AU977" s="313">
        <f>IFERROR(IF(INDEX([1]Pivot!$BF$1:$CG$65000,$B977,AU$5)=1,1,IF(INDEX([1]Pivot!$B$1:$AB$65000,$B977,AU$5)="",2,0)),0)</f>
        <v>0</v>
      </c>
      <c r="AV977" s="313">
        <f>IFERROR(IF(INDEX([1]Pivot!$BF$1:$CG$65000,$B977,AV$5)=1,1,IF(INDEX([1]Pivot!$B$1:$AB$65000,$B977,AV$5)="",2,0)),0)</f>
        <v>0</v>
      </c>
      <c r="AW977" s="313">
        <f>IFERROR(IF(INDEX([1]Pivot!$BF$1:$CG$65000,$B977,AW$5)=1,1,IF(INDEX([1]Pivot!$B$1:$AB$65000,$B977,AW$5)="",2,0)),0)</f>
        <v>0</v>
      </c>
      <c r="AX977" s="313">
        <f>IFERROR(IF(INDEX([1]Pivot!$BF$1:$CG$65000,$B977,AX$5)=1,1,IF(INDEX([1]Pivot!$B$1:$AB$65000,$B977,AX$5)="",2,0)),0)</f>
        <v>0</v>
      </c>
      <c r="AY977" s="313">
        <f>IFERROR(IF(INDEX([1]Pivot!$BF$1:$CG$65000,$B977,AY$5)=1,1,IF(INDEX([1]Pivot!$B$1:$AB$65000,$B977,AY$5)="",2,0)),0)</f>
        <v>0</v>
      </c>
      <c r="AZ977" s="313">
        <f>IFERROR(IF(INDEX([1]Pivot!$BF$1:$CG$65000,$B977,AZ$5)=1,1,IF(INDEX([1]Pivot!$B$1:$AB$65000,$B977,AZ$5)="",2,0)),0)</f>
        <v>0</v>
      </c>
      <c r="BA977" s="313">
        <f>IFERROR(IF(INDEX([1]Pivot!$BF$1:$CG$65000,$B977,BA$5)=1,1,IF(INDEX([1]Pivot!$B$1:$AB$65000,$B977,BA$5)="",2,0)),0)</f>
        <v>0</v>
      </c>
      <c r="BB977" s="313">
        <f>IFERROR(IF(INDEX([1]Pivot!$BF$1:$CG$65000,$B977,BB$5)=1,1,IF(INDEX([1]Pivot!$B$1:$AB$65000,$B977,BB$5)="",2,0)),0)</f>
        <v>0</v>
      </c>
      <c r="BC977" s="313">
        <f>IFERROR(IF(INDEX([1]Pivot!$BF$1:$CG$65000,$B977,BC$5)=1,1,IF(INDEX([1]Pivot!$B$1:$AB$65000,$B977,BC$5)="",2,0)),0)</f>
        <v>0</v>
      </c>
      <c r="BD977" s="313">
        <f>IFERROR(IF(INDEX([1]Pivot!$BF$1:$CG$65000,$B977,BD$5)=1,1,IF(INDEX([1]Pivot!$B$1:$AB$65000,$B977,BD$5)="",2,0)),0)</f>
        <v>0</v>
      </c>
    </row>
    <row r="978" spans="1:56" x14ac:dyDescent="0.25">
      <c r="A978" s="288">
        <f>'[2]Raw Milk Prices'!A978</f>
        <v>0</v>
      </c>
      <c r="B978" s="296" t="e">
        <f>MATCH(DATE(LEFT('[2]Raw Milk Prices'!$A978,4),RIGHT('[2]Raw Milk Prices'!$A978,2),1),[1]Pivot!$A$1:$A$65000,0)</f>
        <v>#VALUE!</v>
      </c>
      <c r="C978" s="194">
        <f>IFERROR(IF(INDEX([1]Pivot!$AD$1:$BE$65000,$B978,C$5)=1,1,IF(INDEX([1]Pivot!$B$1:$AB$65000,$B978,C$5)="",2,0)),0)</f>
        <v>0</v>
      </c>
      <c r="D978" s="194">
        <f>IFERROR(IF(INDEX([1]Pivot!$AD$1:$BE$65000,$B978,D$5)=1,1,IF(INDEX([1]Pivot!$B$1:$AB$65000,$B978,D$5)="",2,0)),0)</f>
        <v>0</v>
      </c>
      <c r="E978" s="194">
        <f>IFERROR(IF(INDEX([1]Pivot!$AD$1:$BE$65000,$B978,E$5)=1,1,IF(INDEX([1]Pivot!$B$1:$AB$65000,$B978,E$5)="",2,0)),0)</f>
        <v>0</v>
      </c>
      <c r="F978" s="194">
        <f>IFERROR(IF(INDEX([1]Pivot!$AD$1:$BE$65000,$B978,F$5)=1,1,IF(INDEX([1]Pivot!$B$1:$AB$65000,$B978,F$5)="",2,0)),0)</f>
        <v>0</v>
      </c>
      <c r="G978" s="194">
        <f>IFERROR(IF(INDEX([1]Pivot!$AD$1:$BE$65000,$B978,G$5)=1,1,IF(INDEX([1]Pivot!$B$1:$AB$65000,$B978,G$5)="",2,0)),0)</f>
        <v>0</v>
      </c>
      <c r="H978" s="194">
        <f>IFERROR(IF(INDEX([1]Pivot!$AD$1:$BE$65000,$B978,H$5)=1,1,IF(INDEX([1]Pivot!$B$1:$AB$65000,$B978,H$5)="",2,0)),0)</f>
        <v>0</v>
      </c>
      <c r="I978" s="194">
        <f>IFERROR(IF(INDEX([1]Pivot!$AD$1:$BE$65000,$B978,I$5)=1,1,IF(INDEX([1]Pivot!$B$1:$AB$65000,$B978,I$5)="",2,0)),0)</f>
        <v>0</v>
      </c>
      <c r="J978" s="194">
        <f>IFERROR(IF(INDEX([1]Pivot!$AD$1:$BE$65000,$B978,J$5)=1,1,IF(INDEX([1]Pivot!$B$1:$AB$65000,$B978,J$5)="",2,0)),0)</f>
        <v>0</v>
      </c>
      <c r="K978" s="194">
        <f>IFERROR(IF(INDEX([1]Pivot!$AD$1:$BE$65000,$B978,K$5)=1,1,IF(INDEX([1]Pivot!$B$1:$AB$65000,$B978,K$5)="",2,0)),0)</f>
        <v>0</v>
      </c>
      <c r="L978" s="194">
        <f>IFERROR(IF(INDEX([1]Pivot!$AD$1:$BE$65000,$B978,L$5)=1,1,IF(INDEX([1]Pivot!$B$1:$AB$65000,$B978,L$5)="",2,0)),0)</f>
        <v>0</v>
      </c>
      <c r="M978" s="194">
        <f>IFERROR(IF(INDEX([1]Pivot!$AD$1:$BE$65000,$B978,M$5)=1,1,IF(INDEX([1]Pivot!$B$1:$AB$65000,$B978,M$5)="",2,0)),0)</f>
        <v>0</v>
      </c>
      <c r="N978" s="194">
        <f>IFERROR(IF(INDEX([1]Pivot!$AD$1:$BE$65000,$B978,N$5)=1,1,IF(INDEX([1]Pivot!$B$1:$AB$65000,$B978,N$5)="",2,0)),0)</f>
        <v>0</v>
      </c>
      <c r="O978" s="194">
        <f>IFERROR(IF(INDEX([1]Pivot!$AD$1:$BE$65000,$B978,O$5)=1,1,IF(INDEX([1]Pivot!$B$1:$AB$65000,$B978,O$5)="",2,0)),0)</f>
        <v>0</v>
      </c>
      <c r="P978" s="194">
        <f>IFERROR(IF(INDEX([1]Pivot!$AD$1:$BE$65000,$B978,P$5)=1,1,IF(INDEX([1]Pivot!$B$1:$AB$65000,$B978,P$5)="",2,0)),0)</f>
        <v>0</v>
      </c>
      <c r="Q978" s="194">
        <f>IFERROR(IF(INDEX([1]Pivot!$AD$1:$BE$65000,$B978,Q$5)=1,1,IF(INDEX([1]Pivot!$B$1:$AB$65000,$B978,Q$5)="",2,0)),0)</f>
        <v>0</v>
      </c>
      <c r="R978" s="312"/>
      <c r="S978" s="194">
        <f>IFERROR(IF(INDEX([1]Pivot!$AD$1:$BE$65000,$B978,S$5)=1,1,IF(INDEX([1]Pivot!$B$1:$AB$65000,$B978,S$5)="",2,0)),0)</f>
        <v>0</v>
      </c>
      <c r="T978" s="194">
        <f>IFERROR(IF(INDEX([1]Pivot!$AD$1:$BE$65000,$B978,T$5)=1,1,IF(INDEX([1]Pivot!$B$1:$AB$65000,$B978,T$5)="",2,0)),0)</f>
        <v>0</v>
      </c>
      <c r="U978" s="194">
        <f>IFERROR(IF(INDEX([1]Pivot!$AD$1:$BE$65000,$B978,U$5)=1,1,IF(INDEX([1]Pivot!$B$1:$AB$65000,$B978,U$5)="",2,0)),0)</f>
        <v>0</v>
      </c>
      <c r="V978" s="194">
        <f>IFERROR(IF(INDEX([1]Pivot!$AD$1:$BE$65000,$B978,V$5)=1,1,IF(INDEX([1]Pivot!$B$1:$AB$65000,$B978,V$5)="",2,0)),0)</f>
        <v>0</v>
      </c>
      <c r="W978" s="194">
        <f>IFERROR(IF(INDEX([1]Pivot!$AD$1:$BE$65000,$B978,W$5)=1,1,IF(INDEX([1]Pivot!$B$1:$AB$65000,$B978,W$5)="",2,0)),0)</f>
        <v>0</v>
      </c>
      <c r="X978" s="194">
        <f>IFERROR(IF(INDEX([1]Pivot!$AD$1:$BE$65000,$B978,X$5)=1,1,IF(INDEX([1]Pivot!$B$1:$AB$65000,$B978,X$5)="",2,0)),0)</f>
        <v>0</v>
      </c>
      <c r="Y978" s="194">
        <f>IFERROR(IF(INDEX([1]Pivot!$AD$1:$BE$65000,$B978,Y$5)=1,1,IF(INDEX([1]Pivot!$B$1:$AB$65000,$B978,Y$5)="",2,0)),0)</f>
        <v>0</v>
      </c>
      <c r="Z978" s="194">
        <f>IFERROR(IF(INDEX([1]Pivot!$AD$1:$BE$65000,$B978,Z$5)=1,1,IF(INDEX([1]Pivot!$B$1:$AB$65000,$B978,Z$5)="",2,0)),0)</f>
        <v>0</v>
      </c>
      <c r="AA978" s="194">
        <f>IFERROR(IF(INDEX([1]Pivot!$AD$1:$BE$65000,$B978,AA$5)=1,1,IF(INDEX([1]Pivot!$B$1:$AB$65000,$B978,AA$5)="",2,0)),0)</f>
        <v>0</v>
      </c>
      <c r="AB978" s="194">
        <f>IFERROR(IF(INDEX([1]Pivot!$AD$1:$BE$65000,$B978,AB$5)=1,1,IF(INDEX([1]Pivot!$B$1:$AB$65000,$B978,AB$5)="",2,0)),0)</f>
        <v>0</v>
      </c>
      <c r="AC978" s="194">
        <f>IFERROR(IF(INDEX([1]Pivot!$AD$1:$BE$65000,$B978,AC$5)=1,1,IF(INDEX([1]Pivot!$B$1:$AB$65000,$B978,AC$5)="",2,0)),0)</f>
        <v>0</v>
      </c>
      <c r="AD978" s="313">
        <f>IFERROR(IF(INDEX([1]Pivot!$BF$1:$CG$65000,$B978,AD$5)=1,1,IF(INDEX([1]Pivot!$B$1:$AB$65000,$B978,AD$5)="",2,0)),0)</f>
        <v>0</v>
      </c>
      <c r="AE978" s="313">
        <f>IFERROR(IF(INDEX([1]Pivot!$BF$1:$CG$65000,$B978,AE$5)=1,1,IF(INDEX([1]Pivot!$B$1:$AB$65000,$B978,AE$5)="",2,0)),0)</f>
        <v>0</v>
      </c>
      <c r="AF978" s="313">
        <f>IFERROR(IF(INDEX([1]Pivot!$BF$1:$CG$65000,$B978,AF$5)=1,1,IF(INDEX([1]Pivot!$B$1:$AB$65000,$B978,AF$5)="",2,0)),0)</f>
        <v>0</v>
      </c>
      <c r="AG978" s="313">
        <f>IFERROR(IF(INDEX([1]Pivot!$BF$1:$CG$65000,$B978,AG$5)=1,1,IF(INDEX([1]Pivot!$B$1:$AB$65000,$B978,AG$5)="",2,0)),0)</f>
        <v>0</v>
      </c>
      <c r="AH978" s="313">
        <f>IFERROR(IF(INDEX([1]Pivot!$BF$1:$CG$65000,$B978,AH$5)=1,1,IF(INDEX([1]Pivot!$B$1:$AB$65000,$B978,AH$5)="",2,0)),0)</f>
        <v>0</v>
      </c>
      <c r="AI978" s="313">
        <f>IFERROR(IF(INDEX([1]Pivot!$BF$1:$CG$65000,$B978,AI$5)=1,1,IF(INDEX([1]Pivot!$B$1:$AB$65000,$B978,AI$5)="",2,0)),0)</f>
        <v>0</v>
      </c>
      <c r="AJ978" s="313">
        <f>IFERROR(IF(INDEX([1]Pivot!$BF$1:$CG$65000,$B978,AJ$5)=1,1,IF(INDEX([1]Pivot!$B$1:$AB$65000,$B978,AJ$5)="",2,0)),0)</f>
        <v>0</v>
      </c>
      <c r="AK978" s="313">
        <f>IFERROR(IF(INDEX([1]Pivot!$BF$1:$CG$65000,$B978,AK$5)=1,1,IF(INDEX([1]Pivot!$B$1:$AB$65000,$B978,AK$5)="",2,0)),0)</f>
        <v>0</v>
      </c>
      <c r="AL978" s="313">
        <f>IFERROR(IF(INDEX([1]Pivot!$BF$1:$CG$65000,$B978,AL$5)=1,1,IF(INDEX([1]Pivot!$B$1:$AB$65000,$B978,AL$5)="",2,0)),0)</f>
        <v>0</v>
      </c>
      <c r="AM978" s="313">
        <f>IFERROR(IF(INDEX([1]Pivot!$BF$1:$CG$65000,$B978,AM$5)=1,1,IF(INDEX([1]Pivot!$B$1:$AB$65000,$B978,AM$5)="",2,0)),0)</f>
        <v>0</v>
      </c>
      <c r="AN978" s="313">
        <f>IFERROR(IF(INDEX([1]Pivot!$BF$1:$CG$65000,$B978,AN$5)=1,1,IF(INDEX([1]Pivot!$B$1:$AB$65000,$B978,AN$5)="",2,0)),0)</f>
        <v>0</v>
      </c>
      <c r="AO978" s="313">
        <f>IFERROR(IF(INDEX([1]Pivot!$BF$1:$CG$65000,$B978,AO$5)=1,1,IF(INDEX([1]Pivot!$B$1:$AB$65000,$B978,AO$5)="",2,0)),0)</f>
        <v>0</v>
      </c>
      <c r="AP978" s="313">
        <f>IFERROR(IF(INDEX([1]Pivot!$BF$1:$CG$65000,$B978,AP$5)=1,1,IF(INDEX([1]Pivot!$B$1:$AB$65000,$B978,AP$5)="",2,0)),0)</f>
        <v>0</v>
      </c>
      <c r="AQ978" s="313">
        <f>IFERROR(IF(INDEX([1]Pivot!$BF$1:$CG$65000,$B978,AQ$5)=1,1,IF(INDEX([1]Pivot!$B$1:$AB$65000,$B978,AQ$5)="",2,0)),0)</f>
        <v>0</v>
      </c>
      <c r="AR978" s="313">
        <f>IFERROR(IF(INDEX([1]Pivot!$BF$1:$CG$65000,$B978,AR$5)=1,1,IF(INDEX([1]Pivot!$B$1:$AB$65000,$B978,AR$5)="",2,0)),0)</f>
        <v>0</v>
      </c>
      <c r="AS978" s="312"/>
      <c r="AT978" s="313">
        <f>IFERROR(IF(INDEX([1]Pivot!$BF$1:$CG$65000,$B978,AT$5)=1,1,IF(INDEX([1]Pivot!$B$1:$AB$65000,$B978,AT$5)="",2,0)),0)</f>
        <v>0</v>
      </c>
      <c r="AU978" s="313">
        <f>IFERROR(IF(INDEX([1]Pivot!$BF$1:$CG$65000,$B978,AU$5)=1,1,IF(INDEX([1]Pivot!$B$1:$AB$65000,$B978,AU$5)="",2,0)),0)</f>
        <v>0</v>
      </c>
      <c r="AV978" s="313">
        <f>IFERROR(IF(INDEX([1]Pivot!$BF$1:$CG$65000,$B978,AV$5)=1,1,IF(INDEX([1]Pivot!$B$1:$AB$65000,$B978,AV$5)="",2,0)),0)</f>
        <v>0</v>
      </c>
      <c r="AW978" s="313">
        <f>IFERROR(IF(INDEX([1]Pivot!$BF$1:$CG$65000,$B978,AW$5)=1,1,IF(INDEX([1]Pivot!$B$1:$AB$65000,$B978,AW$5)="",2,0)),0)</f>
        <v>0</v>
      </c>
      <c r="AX978" s="313">
        <f>IFERROR(IF(INDEX([1]Pivot!$BF$1:$CG$65000,$B978,AX$5)=1,1,IF(INDEX([1]Pivot!$B$1:$AB$65000,$B978,AX$5)="",2,0)),0)</f>
        <v>0</v>
      </c>
      <c r="AY978" s="313">
        <f>IFERROR(IF(INDEX([1]Pivot!$BF$1:$CG$65000,$B978,AY$5)=1,1,IF(INDEX([1]Pivot!$B$1:$AB$65000,$B978,AY$5)="",2,0)),0)</f>
        <v>0</v>
      </c>
      <c r="AZ978" s="313">
        <f>IFERROR(IF(INDEX([1]Pivot!$BF$1:$CG$65000,$B978,AZ$5)=1,1,IF(INDEX([1]Pivot!$B$1:$AB$65000,$B978,AZ$5)="",2,0)),0)</f>
        <v>0</v>
      </c>
      <c r="BA978" s="313">
        <f>IFERROR(IF(INDEX([1]Pivot!$BF$1:$CG$65000,$B978,BA$5)=1,1,IF(INDEX([1]Pivot!$B$1:$AB$65000,$B978,BA$5)="",2,0)),0)</f>
        <v>0</v>
      </c>
      <c r="BB978" s="313">
        <f>IFERROR(IF(INDEX([1]Pivot!$BF$1:$CG$65000,$B978,BB$5)=1,1,IF(INDEX([1]Pivot!$B$1:$AB$65000,$B978,BB$5)="",2,0)),0)</f>
        <v>0</v>
      </c>
      <c r="BC978" s="313">
        <f>IFERROR(IF(INDEX([1]Pivot!$BF$1:$CG$65000,$B978,BC$5)=1,1,IF(INDEX([1]Pivot!$B$1:$AB$65000,$B978,BC$5)="",2,0)),0)</f>
        <v>0</v>
      </c>
      <c r="BD978" s="313">
        <f>IFERROR(IF(INDEX([1]Pivot!$BF$1:$CG$65000,$B978,BD$5)=1,1,IF(INDEX([1]Pivot!$B$1:$AB$65000,$B978,BD$5)="",2,0)),0)</f>
        <v>0</v>
      </c>
    </row>
    <row r="979" spans="1:56" x14ac:dyDescent="0.25">
      <c r="A979" s="288">
        <f>'[2]Raw Milk Prices'!A979</f>
        <v>0</v>
      </c>
      <c r="B979" s="296" t="e">
        <f>MATCH(DATE(LEFT('[2]Raw Milk Prices'!$A979,4),RIGHT('[2]Raw Milk Prices'!$A979,2),1),[1]Pivot!$A$1:$A$65000,0)</f>
        <v>#VALUE!</v>
      </c>
      <c r="C979" s="194">
        <f>IFERROR(IF(INDEX([1]Pivot!$AD$1:$BE$65000,$B979,C$5)=1,1,IF(INDEX([1]Pivot!$B$1:$AB$65000,$B979,C$5)="",2,0)),0)</f>
        <v>0</v>
      </c>
      <c r="D979" s="194">
        <f>IFERROR(IF(INDEX([1]Pivot!$AD$1:$BE$65000,$B979,D$5)=1,1,IF(INDEX([1]Pivot!$B$1:$AB$65000,$B979,D$5)="",2,0)),0)</f>
        <v>0</v>
      </c>
      <c r="E979" s="194">
        <f>IFERROR(IF(INDEX([1]Pivot!$AD$1:$BE$65000,$B979,E$5)=1,1,IF(INDEX([1]Pivot!$B$1:$AB$65000,$B979,E$5)="",2,0)),0)</f>
        <v>0</v>
      </c>
      <c r="F979" s="194">
        <f>IFERROR(IF(INDEX([1]Pivot!$AD$1:$BE$65000,$B979,F$5)=1,1,IF(INDEX([1]Pivot!$B$1:$AB$65000,$B979,F$5)="",2,0)),0)</f>
        <v>0</v>
      </c>
      <c r="G979" s="194">
        <f>IFERROR(IF(INDEX([1]Pivot!$AD$1:$BE$65000,$B979,G$5)=1,1,IF(INDEX([1]Pivot!$B$1:$AB$65000,$B979,G$5)="",2,0)),0)</f>
        <v>0</v>
      </c>
      <c r="H979" s="194">
        <f>IFERROR(IF(INDEX([1]Pivot!$AD$1:$BE$65000,$B979,H$5)=1,1,IF(INDEX([1]Pivot!$B$1:$AB$65000,$B979,H$5)="",2,0)),0)</f>
        <v>0</v>
      </c>
      <c r="I979" s="194">
        <f>IFERROR(IF(INDEX([1]Pivot!$AD$1:$BE$65000,$B979,I$5)=1,1,IF(INDEX([1]Pivot!$B$1:$AB$65000,$B979,I$5)="",2,0)),0)</f>
        <v>0</v>
      </c>
      <c r="J979" s="194">
        <f>IFERROR(IF(INDEX([1]Pivot!$AD$1:$BE$65000,$B979,J$5)=1,1,IF(INDEX([1]Pivot!$B$1:$AB$65000,$B979,J$5)="",2,0)),0)</f>
        <v>0</v>
      </c>
      <c r="K979" s="194">
        <f>IFERROR(IF(INDEX([1]Pivot!$AD$1:$BE$65000,$B979,K$5)=1,1,IF(INDEX([1]Pivot!$B$1:$AB$65000,$B979,K$5)="",2,0)),0)</f>
        <v>0</v>
      </c>
      <c r="L979" s="194">
        <f>IFERROR(IF(INDEX([1]Pivot!$AD$1:$BE$65000,$B979,L$5)=1,1,IF(INDEX([1]Pivot!$B$1:$AB$65000,$B979,L$5)="",2,0)),0)</f>
        <v>0</v>
      </c>
      <c r="M979" s="194">
        <f>IFERROR(IF(INDEX([1]Pivot!$AD$1:$BE$65000,$B979,M$5)=1,1,IF(INDEX([1]Pivot!$B$1:$AB$65000,$B979,M$5)="",2,0)),0)</f>
        <v>0</v>
      </c>
      <c r="N979" s="194">
        <f>IFERROR(IF(INDEX([1]Pivot!$AD$1:$BE$65000,$B979,N$5)=1,1,IF(INDEX([1]Pivot!$B$1:$AB$65000,$B979,N$5)="",2,0)),0)</f>
        <v>0</v>
      </c>
      <c r="O979" s="194">
        <f>IFERROR(IF(INDEX([1]Pivot!$AD$1:$BE$65000,$B979,O$5)=1,1,IF(INDEX([1]Pivot!$B$1:$AB$65000,$B979,O$5)="",2,0)),0)</f>
        <v>0</v>
      </c>
      <c r="P979" s="194">
        <f>IFERROR(IF(INDEX([1]Pivot!$AD$1:$BE$65000,$B979,P$5)=1,1,IF(INDEX([1]Pivot!$B$1:$AB$65000,$B979,P$5)="",2,0)),0)</f>
        <v>0</v>
      </c>
      <c r="Q979" s="194">
        <f>IFERROR(IF(INDEX([1]Pivot!$AD$1:$BE$65000,$B979,Q$5)=1,1,IF(INDEX([1]Pivot!$B$1:$AB$65000,$B979,Q$5)="",2,0)),0)</f>
        <v>0</v>
      </c>
      <c r="R979" s="312"/>
      <c r="S979" s="194">
        <f>IFERROR(IF(INDEX([1]Pivot!$AD$1:$BE$65000,$B979,S$5)=1,1,IF(INDEX([1]Pivot!$B$1:$AB$65000,$B979,S$5)="",2,0)),0)</f>
        <v>0</v>
      </c>
      <c r="T979" s="194">
        <f>IFERROR(IF(INDEX([1]Pivot!$AD$1:$BE$65000,$B979,T$5)=1,1,IF(INDEX([1]Pivot!$B$1:$AB$65000,$B979,T$5)="",2,0)),0)</f>
        <v>0</v>
      </c>
      <c r="U979" s="194">
        <f>IFERROR(IF(INDEX([1]Pivot!$AD$1:$BE$65000,$B979,U$5)=1,1,IF(INDEX([1]Pivot!$B$1:$AB$65000,$B979,U$5)="",2,0)),0)</f>
        <v>0</v>
      </c>
      <c r="V979" s="194">
        <f>IFERROR(IF(INDEX([1]Pivot!$AD$1:$BE$65000,$B979,V$5)=1,1,IF(INDEX([1]Pivot!$B$1:$AB$65000,$B979,V$5)="",2,0)),0)</f>
        <v>0</v>
      </c>
      <c r="W979" s="194">
        <f>IFERROR(IF(INDEX([1]Pivot!$AD$1:$BE$65000,$B979,W$5)=1,1,IF(INDEX([1]Pivot!$B$1:$AB$65000,$B979,W$5)="",2,0)),0)</f>
        <v>0</v>
      </c>
      <c r="X979" s="194">
        <f>IFERROR(IF(INDEX([1]Pivot!$AD$1:$BE$65000,$B979,X$5)=1,1,IF(INDEX([1]Pivot!$B$1:$AB$65000,$B979,X$5)="",2,0)),0)</f>
        <v>0</v>
      </c>
      <c r="Y979" s="194">
        <f>IFERROR(IF(INDEX([1]Pivot!$AD$1:$BE$65000,$B979,Y$5)=1,1,IF(INDEX([1]Pivot!$B$1:$AB$65000,$B979,Y$5)="",2,0)),0)</f>
        <v>0</v>
      </c>
      <c r="Z979" s="194">
        <f>IFERROR(IF(INDEX([1]Pivot!$AD$1:$BE$65000,$B979,Z$5)=1,1,IF(INDEX([1]Pivot!$B$1:$AB$65000,$B979,Z$5)="",2,0)),0)</f>
        <v>0</v>
      </c>
      <c r="AA979" s="194">
        <f>IFERROR(IF(INDEX([1]Pivot!$AD$1:$BE$65000,$B979,AA$5)=1,1,IF(INDEX([1]Pivot!$B$1:$AB$65000,$B979,AA$5)="",2,0)),0)</f>
        <v>0</v>
      </c>
      <c r="AB979" s="194">
        <f>IFERROR(IF(INDEX([1]Pivot!$AD$1:$BE$65000,$B979,AB$5)=1,1,IF(INDEX([1]Pivot!$B$1:$AB$65000,$B979,AB$5)="",2,0)),0)</f>
        <v>0</v>
      </c>
      <c r="AC979" s="194">
        <f>IFERROR(IF(INDEX([1]Pivot!$AD$1:$BE$65000,$B979,AC$5)=1,1,IF(INDEX([1]Pivot!$B$1:$AB$65000,$B979,AC$5)="",2,0)),0)</f>
        <v>0</v>
      </c>
      <c r="AD979" s="313">
        <f>IFERROR(IF(INDEX([1]Pivot!$BF$1:$CG$65000,$B979,AD$5)=1,1,IF(INDEX([1]Pivot!$B$1:$AB$65000,$B979,AD$5)="",2,0)),0)</f>
        <v>0</v>
      </c>
      <c r="AE979" s="313">
        <f>IFERROR(IF(INDEX([1]Pivot!$BF$1:$CG$65000,$B979,AE$5)=1,1,IF(INDEX([1]Pivot!$B$1:$AB$65000,$B979,AE$5)="",2,0)),0)</f>
        <v>0</v>
      </c>
      <c r="AF979" s="313">
        <f>IFERROR(IF(INDEX([1]Pivot!$BF$1:$CG$65000,$B979,AF$5)=1,1,IF(INDEX([1]Pivot!$B$1:$AB$65000,$B979,AF$5)="",2,0)),0)</f>
        <v>0</v>
      </c>
      <c r="AG979" s="313">
        <f>IFERROR(IF(INDEX([1]Pivot!$BF$1:$CG$65000,$B979,AG$5)=1,1,IF(INDEX([1]Pivot!$B$1:$AB$65000,$B979,AG$5)="",2,0)),0)</f>
        <v>0</v>
      </c>
      <c r="AH979" s="313">
        <f>IFERROR(IF(INDEX([1]Pivot!$BF$1:$CG$65000,$B979,AH$5)=1,1,IF(INDEX([1]Pivot!$B$1:$AB$65000,$B979,AH$5)="",2,0)),0)</f>
        <v>0</v>
      </c>
      <c r="AI979" s="313">
        <f>IFERROR(IF(INDEX([1]Pivot!$BF$1:$CG$65000,$B979,AI$5)=1,1,IF(INDEX([1]Pivot!$B$1:$AB$65000,$B979,AI$5)="",2,0)),0)</f>
        <v>0</v>
      </c>
      <c r="AJ979" s="313">
        <f>IFERROR(IF(INDEX([1]Pivot!$BF$1:$CG$65000,$B979,AJ$5)=1,1,IF(INDEX([1]Pivot!$B$1:$AB$65000,$B979,AJ$5)="",2,0)),0)</f>
        <v>0</v>
      </c>
      <c r="AK979" s="313">
        <f>IFERROR(IF(INDEX([1]Pivot!$BF$1:$CG$65000,$B979,AK$5)=1,1,IF(INDEX([1]Pivot!$B$1:$AB$65000,$B979,AK$5)="",2,0)),0)</f>
        <v>0</v>
      </c>
      <c r="AL979" s="313">
        <f>IFERROR(IF(INDEX([1]Pivot!$BF$1:$CG$65000,$B979,AL$5)=1,1,IF(INDEX([1]Pivot!$B$1:$AB$65000,$B979,AL$5)="",2,0)),0)</f>
        <v>0</v>
      </c>
      <c r="AM979" s="313">
        <f>IFERROR(IF(INDEX([1]Pivot!$BF$1:$CG$65000,$B979,AM$5)=1,1,IF(INDEX([1]Pivot!$B$1:$AB$65000,$B979,AM$5)="",2,0)),0)</f>
        <v>0</v>
      </c>
      <c r="AN979" s="313">
        <f>IFERROR(IF(INDEX([1]Pivot!$BF$1:$CG$65000,$B979,AN$5)=1,1,IF(INDEX([1]Pivot!$B$1:$AB$65000,$B979,AN$5)="",2,0)),0)</f>
        <v>0</v>
      </c>
      <c r="AO979" s="313">
        <f>IFERROR(IF(INDEX([1]Pivot!$BF$1:$CG$65000,$B979,AO$5)=1,1,IF(INDEX([1]Pivot!$B$1:$AB$65000,$B979,AO$5)="",2,0)),0)</f>
        <v>0</v>
      </c>
      <c r="AP979" s="313">
        <f>IFERROR(IF(INDEX([1]Pivot!$BF$1:$CG$65000,$B979,AP$5)=1,1,IF(INDEX([1]Pivot!$B$1:$AB$65000,$B979,AP$5)="",2,0)),0)</f>
        <v>0</v>
      </c>
      <c r="AQ979" s="313">
        <f>IFERROR(IF(INDEX([1]Pivot!$BF$1:$CG$65000,$B979,AQ$5)=1,1,IF(INDEX([1]Pivot!$B$1:$AB$65000,$B979,AQ$5)="",2,0)),0)</f>
        <v>0</v>
      </c>
      <c r="AR979" s="313">
        <f>IFERROR(IF(INDEX([1]Pivot!$BF$1:$CG$65000,$B979,AR$5)=1,1,IF(INDEX([1]Pivot!$B$1:$AB$65000,$B979,AR$5)="",2,0)),0)</f>
        <v>0</v>
      </c>
      <c r="AS979" s="312"/>
      <c r="AT979" s="313">
        <f>IFERROR(IF(INDEX([1]Pivot!$BF$1:$CG$65000,$B979,AT$5)=1,1,IF(INDEX([1]Pivot!$B$1:$AB$65000,$B979,AT$5)="",2,0)),0)</f>
        <v>0</v>
      </c>
      <c r="AU979" s="313">
        <f>IFERROR(IF(INDEX([1]Pivot!$BF$1:$CG$65000,$B979,AU$5)=1,1,IF(INDEX([1]Pivot!$B$1:$AB$65000,$B979,AU$5)="",2,0)),0)</f>
        <v>0</v>
      </c>
      <c r="AV979" s="313">
        <f>IFERROR(IF(INDEX([1]Pivot!$BF$1:$CG$65000,$B979,AV$5)=1,1,IF(INDEX([1]Pivot!$B$1:$AB$65000,$B979,AV$5)="",2,0)),0)</f>
        <v>0</v>
      </c>
      <c r="AW979" s="313">
        <f>IFERROR(IF(INDEX([1]Pivot!$BF$1:$CG$65000,$B979,AW$5)=1,1,IF(INDEX([1]Pivot!$B$1:$AB$65000,$B979,AW$5)="",2,0)),0)</f>
        <v>0</v>
      </c>
      <c r="AX979" s="313">
        <f>IFERROR(IF(INDEX([1]Pivot!$BF$1:$CG$65000,$B979,AX$5)=1,1,IF(INDEX([1]Pivot!$B$1:$AB$65000,$B979,AX$5)="",2,0)),0)</f>
        <v>0</v>
      </c>
      <c r="AY979" s="313">
        <f>IFERROR(IF(INDEX([1]Pivot!$BF$1:$CG$65000,$B979,AY$5)=1,1,IF(INDEX([1]Pivot!$B$1:$AB$65000,$B979,AY$5)="",2,0)),0)</f>
        <v>0</v>
      </c>
      <c r="AZ979" s="313">
        <f>IFERROR(IF(INDEX([1]Pivot!$BF$1:$CG$65000,$B979,AZ$5)=1,1,IF(INDEX([1]Pivot!$B$1:$AB$65000,$B979,AZ$5)="",2,0)),0)</f>
        <v>0</v>
      </c>
      <c r="BA979" s="313">
        <f>IFERROR(IF(INDEX([1]Pivot!$BF$1:$CG$65000,$B979,BA$5)=1,1,IF(INDEX([1]Pivot!$B$1:$AB$65000,$B979,BA$5)="",2,0)),0)</f>
        <v>0</v>
      </c>
      <c r="BB979" s="313">
        <f>IFERROR(IF(INDEX([1]Pivot!$BF$1:$CG$65000,$B979,BB$5)=1,1,IF(INDEX([1]Pivot!$B$1:$AB$65000,$B979,BB$5)="",2,0)),0)</f>
        <v>0</v>
      </c>
      <c r="BC979" s="313">
        <f>IFERROR(IF(INDEX([1]Pivot!$BF$1:$CG$65000,$B979,BC$5)=1,1,IF(INDEX([1]Pivot!$B$1:$AB$65000,$B979,BC$5)="",2,0)),0)</f>
        <v>0</v>
      </c>
      <c r="BD979" s="313">
        <f>IFERROR(IF(INDEX([1]Pivot!$BF$1:$CG$65000,$B979,BD$5)=1,1,IF(INDEX([1]Pivot!$B$1:$AB$65000,$B979,BD$5)="",2,0)),0)</f>
        <v>0</v>
      </c>
    </row>
    <row r="980" spans="1:56" x14ac:dyDescent="0.25">
      <c r="A980" s="288">
        <f>'[2]Raw Milk Prices'!A980</f>
        <v>0</v>
      </c>
      <c r="B980" s="296" t="e">
        <f>MATCH(DATE(LEFT('[2]Raw Milk Prices'!$A980,4),RIGHT('[2]Raw Milk Prices'!$A980,2),1),[1]Pivot!$A$1:$A$65000,0)</f>
        <v>#VALUE!</v>
      </c>
      <c r="C980" s="194">
        <f>IFERROR(IF(INDEX([1]Pivot!$AD$1:$BE$65000,$B980,C$5)=1,1,IF(INDEX([1]Pivot!$B$1:$AB$65000,$B980,C$5)="",2,0)),0)</f>
        <v>0</v>
      </c>
      <c r="D980" s="194">
        <f>IFERROR(IF(INDEX([1]Pivot!$AD$1:$BE$65000,$B980,D$5)=1,1,IF(INDEX([1]Pivot!$B$1:$AB$65000,$B980,D$5)="",2,0)),0)</f>
        <v>0</v>
      </c>
      <c r="E980" s="194">
        <f>IFERROR(IF(INDEX([1]Pivot!$AD$1:$BE$65000,$B980,E$5)=1,1,IF(INDEX([1]Pivot!$B$1:$AB$65000,$B980,E$5)="",2,0)),0)</f>
        <v>0</v>
      </c>
      <c r="F980" s="194">
        <f>IFERROR(IF(INDEX([1]Pivot!$AD$1:$BE$65000,$B980,F$5)=1,1,IF(INDEX([1]Pivot!$B$1:$AB$65000,$B980,F$5)="",2,0)),0)</f>
        <v>0</v>
      </c>
      <c r="G980" s="194">
        <f>IFERROR(IF(INDEX([1]Pivot!$AD$1:$BE$65000,$B980,G$5)=1,1,IF(INDEX([1]Pivot!$B$1:$AB$65000,$B980,G$5)="",2,0)),0)</f>
        <v>0</v>
      </c>
      <c r="H980" s="194">
        <f>IFERROR(IF(INDEX([1]Pivot!$AD$1:$BE$65000,$B980,H$5)=1,1,IF(INDEX([1]Pivot!$B$1:$AB$65000,$B980,H$5)="",2,0)),0)</f>
        <v>0</v>
      </c>
      <c r="I980" s="194">
        <f>IFERROR(IF(INDEX([1]Pivot!$AD$1:$BE$65000,$B980,I$5)=1,1,IF(INDEX([1]Pivot!$B$1:$AB$65000,$B980,I$5)="",2,0)),0)</f>
        <v>0</v>
      </c>
      <c r="J980" s="194">
        <f>IFERROR(IF(INDEX([1]Pivot!$AD$1:$BE$65000,$B980,J$5)=1,1,IF(INDEX([1]Pivot!$B$1:$AB$65000,$B980,J$5)="",2,0)),0)</f>
        <v>0</v>
      </c>
      <c r="K980" s="194">
        <f>IFERROR(IF(INDEX([1]Pivot!$AD$1:$BE$65000,$B980,K$5)=1,1,IF(INDEX([1]Pivot!$B$1:$AB$65000,$B980,K$5)="",2,0)),0)</f>
        <v>0</v>
      </c>
      <c r="L980" s="194">
        <f>IFERROR(IF(INDEX([1]Pivot!$AD$1:$BE$65000,$B980,L$5)=1,1,IF(INDEX([1]Pivot!$B$1:$AB$65000,$B980,L$5)="",2,0)),0)</f>
        <v>0</v>
      </c>
      <c r="M980" s="194">
        <f>IFERROR(IF(INDEX([1]Pivot!$AD$1:$BE$65000,$B980,M$5)=1,1,IF(INDEX([1]Pivot!$B$1:$AB$65000,$B980,M$5)="",2,0)),0)</f>
        <v>0</v>
      </c>
      <c r="N980" s="194">
        <f>IFERROR(IF(INDEX([1]Pivot!$AD$1:$BE$65000,$B980,N$5)=1,1,IF(INDEX([1]Pivot!$B$1:$AB$65000,$B980,N$5)="",2,0)),0)</f>
        <v>0</v>
      </c>
      <c r="O980" s="194">
        <f>IFERROR(IF(INDEX([1]Pivot!$AD$1:$BE$65000,$B980,O$5)=1,1,IF(INDEX([1]Pivot!$B$1:$AB$65000,$B980,O$5)="",2,0)),0)</f>
        <v>0</v>
      </c>
      <c r="P980" s="194">
        <f>IFERROR(IF(INDEX([1]Pivot!$AD$1:$BE$65000,$B980,P$5)=1,1,IF(INDEX([1]Pivot!$B$1:$AB$65000,$B980,P$5)="",2,0)),0)</f>
        <v>0</v>
      </c>
      <c r="Q980" s="194">
        <f>IFERROR(IF(INDEX([1]Pivot!$AD$1:$BE$65000,$B980,Q$5)=1,1,IF(INDEX([1]Pivot!$B$1:$AB$65000,$B980,Q$5)="",2,0)),0)</f>
        <v>0</v>
      </c>
      <c r="R980" s="312"/>
      <c r="S980" s="194">
        <f>IFERROR(IF(INDEX([1]Pivot!$AD$1:$BE$65000,$B980,S$5)=1,1,IF(INDEX([1]Pivot!$B$1:$AB$65000,$B980,S$5)="",2,0)),0)</f>
        <v>0</v>
      </c>
      <c r="T980" s="194">
        <f>IFERROR(IF(INDEX([1]Pivot!$AD$1:$BE$65000,$B980,T$5)=1,1,IF(INDEX([1]Pivot!$B$1:$AB$65000,$B980,T$5)="",2,0)),0)</f>
        <v>0</v>
      </c>
      <c r="U980" s="194">
        <f>IFERROR(IF(INDEX([1]Pivot!$AD$1:$BE$65000,$B980,U$5)=1,1,IF(INDEX([1]Pivot!$B$1:$AB$65000,$B980,U$5)="",2,0)),0)</f>
        <v>0</v>
      </c>
      <c r="V980" s="194">
        <f>IFERROR(IF(INDEX([1]Pivot!$AD$1:$BE$65000,$B980,V$5)=1,1,IF(INDEX([1]Pivot!$B$1:$AB$65000,$B980,V$5)="",2,0)),0)</f>
        <v>0</v>
      </c>
      <c r="W980" s="194">
        <f>IFERROR(IF(INDEX([1]Pivot!$AD$1:$BE$65000,$B980,W$5)=1,1,IF(INDEX([1]Pivot!$B$1:$AB$65000,$B980,W$5)="",2,0)),0)</f>
        <v>0</v>
      </c>
      <c r="X980" s="194">
        <f>IFERROR(IF(INDEX([1]Pivot!$AD$1:$BE$65000,$B980,X$5)=1,1,IF(INDEX([1]Pivot!$B$1:$AB$65000,$B980,X$5)="",2,0)),0)</f>
        <v>0</v>
      </c>
      <c r="Y980" s="194">
        <f>IFERROR(IF(INDEX([1]Pivot!$AD$1:$BE$65000,$B980,Y$5)=1,1,IF(INDEX([1]Pivot!$B$1:$AB$65000,$B980,Y$5)="",2,0)),0)</f>
        <v>0</v>
      </c>
      <c r="Z980" s="194">
        <f>IFERROR(IF(INDEX([1]Pivot!$AD$1:$BE$65000,$B980,Z$5)=1,1,IF(INDEX([1]Pivot!$B$1:$AB$65000,$B980,Z$5)="",2,0)),0)</f>
        <v>0</v>
      </c>
      <c r="AA980" s="194">
        <f>IFERROR(IF(INDEX([1]Pivot!$AD$1:$BE$65000,$B980,AA$5)=1,1,IF(INDEX([1]Pivot!$B$1:$AB$65000,$B980,AA$5)="",2,0)),0)</f>
        <v>0</v>
      </c>
      <c r="AB980" s="194">
        <f>IFERROR(IF(INDEX([1]Pivot!$AD$1:$BE$65000,$B980,AB$5)=1,1,IF(INDEX([1]Pivot!$B$1:$AB$65000,$B980,AB$5)="",2,0)),0)</f>
        <v>0</v>
      </c>
      <c r="AC980" s="194">
        <f>IFERROR(IF(INDEX([1]Pivot!$AD$1:$BE$65000,$B980,AC$5)=1,1,IF(INDEX([1]Pivot!$B$1:$AB$65000,$B980,AC$5)="",2,0)),0)</f>
        <v>0</v>
      </c>
      <c r="AD980" s="313">
        <f>IFERROR(IF(INDEX([1]Pivot!$BF$1:$CG$65000,$B980,AD$5)=1,1,IF(INDEX([1]Pivot!$B$1:$AB$65000,$B980,AD$5)="",2,0)),0)</f>
        <v>0</v>
      </c>
      <c r="AE980" s="313">
        <f>IFERROR(IF(INDEX([1]Pivot!$BF$1:$CG$65000,$B980,AE$5)=1,1,IF(INDEX([1]Pivot!$B$1:$AB$65000,$B980,AE$5)="",2,0)),0)</f>
        <v>0</v>
      </c>
      <c r="AF980" s="313">
        <f>IFERROR(IF(INDEX([1]Pivot!$BF$1:$CG$65000,$B980,AF$5)=1,1,IF(INDEX([1]Pivot!$B$1:$AB$65000,$B980,AF$5)="",2,0)),0)</f>
        <v>0</v>
      </c>
      <c r="AG980" s="313">
        <f>IFERROR(IF(INDEX([1]Pivot!$BF$1:$CG$65000,$B980,AG$5)=1,1,IF(INDEX([1]Pivot!$B$1:$AB$65000,$B980,AG$5)="",2,0)),0)</f>
        <v>0</v>
      </c>
      <c r="AH980" s="313">
        <f>IFERROR(IF(INDEX([1]Pivot!$BF$1:$CG$65000,$B980,AH$5)=1,1,IF(INDEX([1]Pivot!$B$1:$AB$65000,$B980,AH$5)="",2,0)),0)</f>
        <v>0</v>
      </c>
      <c r="AI980" s="313">
        <f>IFERROR(IF(INDEX([1]Pivot!$BF$1:$CG$65000,$B980,AI$5)=1,1,IF(INDEX([1]Pivot!$B$1:$AB$65000,$B980,AI$5)="",2,0)),0)</f>
        <v>0</v>
      </c>
      <c r="AJ980" s="313">
        <f>IFERROR(IF(INDEX([1]Pivot!$BF$1:$CG$65000,$B980,AJ$5)=1,1,IF(INDEX([1]Pivot!$B$1:$AB$65000,$B980,AJ$5)="",2,0)),0)</f>
        <v>0</v>
      </c>
      <c r="AK980" s="313">
        <f>IFERROR(IF(INDEX([1]Pivot!$BF$1:$CG$65000,$B980,AK$5)=1,1,IF(INDEX([1]Pivot!$B$1:$AB$65000,$B980,AK$5)="",2,0)),0)</f>
        <v>0</v>
      </c>
      <c r="AL980" s="313">
        <f>IFERROR(IF(INDEX([1]Pivot!$BF$1:$CG$65000,$B980,AL$5)=1,1,IF(INDEX([1]Pivot!$B$1:$AB$65000,$B980,AL$5)="",2,0)),0)</f>
        <v>0</v>
      </c>
      <c r="AM980" s="313">
        <f>IFERROR(IF(INDEX([1]Pivot!$BF$1:$CG$65000,$B980,AM$5)=1,1,IF(INDEX([1]Pivot!$B$1:$AB$65000,$B980,AM$5)="",2,0)),0)</f>
        <v>0</v>
      </c>
      <c r="AN980" s="313">
        <f>IFERROR(IF(INDEX([1]Pivot!$BF$1:$CG$65000,$B980,AN$5)=1,1,IF(INDEX([1]Pivot!$B$1:$AB$65000,$B980,AN$5)="",2,0)),0)</f>
        <v>0</v>
      </c>
      <c r="AO980" s="313">
        <f>IFERROR(IF(INDEX([1]Pivot!$BF$1:$CG$65000,$B980,AO$5)=1,1,IF(INDEX([1]Pivot!$B$1:$AB$65000,$B980,AO$5)="",2,0)),0)</f>
        <v>0</v>
      </c>
      <c r="AP980" s="313">
        <f>IFERROR(IF(INDEX([1]Pivot!$BF$1:$CG$65000,$B980,AP$5)=1,1,IF(INDEX([1]Pivot!$B$1:$AB$65000,$B980,AP$5)="",2,0)),0)</f>
        <v>0</v>
      </c>
      <c r="AQ980" s="313">
        <f>IFERROR(IF(INDEX([1]Pivot!$BF$1:$CG$65000,$B980,AQ$5)=1,1,IF(INDEX([1]Pivot!$B$1:$AB$65000,$B980,AQ$5)="",2,0)),0)</f>
        <v>0</v>
      </c>
      <c r="AR980" s="313">
        <f>IFERROR(IF(INDEX([1]Pivot!$BF$1:$CG$65000,$B980,AR$5)=1,1,IF(INDEX([1]Pivot!$B$1:$AB$65000,$B980,AR$5)="",2,0)),0)</f>
        <v>0</v>
      </c>
      <c r="AS980" s="312"/>
      <c r="AT980" s="313">
        <f>IFERROR(IF(INDEX([1]Pivot!$BF$1:$CG$65000,$B980,AT$5)=1,1,IF(INDEX([1]Pivot!$B$1:$AB$65000,$B980,AT$5)="",2,0)),0)</f>
        <v>0</v>
      </c>
      <c r="AU980" s="313">
        <f>IFERROR(IF(INDEX([1]Pivot!$BF$1:$CG$65000,$B980,AU$5)=1,1,IF(INDEX([1]Pivot!$B$1:$AB$65000,$B980,AU$5)="",2,0)),0)</f>
        <v>0</v>
      </c>
      <c r="AV980" s="313">
        <f>IFERROR(IF(INDEX([1]Pivot!$BF$1:$CG$65000,$B980,AV$5)=1,1,IF(INDEX([1]Pivot!$B$1:$AB$65000,$B980,AV$5)="",2,0)),0)</f>
        <v>0</v>
      </c>
      <c r="AW980" s="313">
        <f>IFERROR(IF(INDEX([1]Pivot!$BF$1:$CG$65000,$B980,AW$5)=1,1,IF(INDEX([1]Pivot!$B$1:$AB$65000,$B980,AW$5)="",2,0)),0)</f>
        <v>0</v>
      </c>
      <c r="AX980" s="313">
        <f>IFERROR(IF(INDEX([1]Pivot!$BF$1:$CG$65000,$B980,AX$5)=1,1,IF(INDEX([1]Pivot!$B$1:$AB$65000,$B980,AX$5)="",2,0)),0)</f>
        <v>0</v>
      </c>
      <c r="AY980" s="313">
        <f>IFERROR(IF(INDEX([1]Pivot!$BF$1:$CG$65000,$B980,AY$5)=1,1,IF(INDEX([1]Pivot!$B$1:$AB$65000,$B980,AY$5)="",2,0)),0)</f>
        <v>0</v>
      </c>
      <c r="AZ980" s="313">
        <f>IFERROR(IF(INDEX([1]Pivot!$BF$1:$CG$65000,$B980,AZ$5)=1,1,IF(INDEX([1]Pivot!$B$1:$AB$65000,$B980,AZ$5)="",2,0)),0)</f>
        <v>0</v>
      </c>
      <c r="BA980" s="313">
        <f>IFERROR(IF(INDEX([1]Pivot!$BF$1:$CG$65000,$B980,BA$5)=1,1,IF(INDEX([1]Pivot!$B$1:$AB$65000,$B980,BA$5)="",2,0)),0)</f>
        <v>0</v>
      </c>
      <c r="BB980" s="313">
        <f>IFERROR(IF(INDEX([1]Pivot!$BF$1:$CG$65000,$B980,BB$5)=1,1,IF(INDEX([1]Pivot!$B$1:$AB$65000,$B980,BB$5)="",2,0)),0)</f>
        <v>0</v>
      </c>
      <c r="BC980" s="313">
        <f>IFERROR(IF(INDEX([1]Pivot!$BF$1:$CG$65000,$B980,BC$5)=1,1,IF(INDEX([1]Pivot!$B$1:$AB$65000,$B980,BC$5)="",2,0)),0)</f>
        <v>0</v>
      </c>
      <c r="BD980" s="313">
        <f>IFERROR(IF(INDEX([1]Pivot!$BF$1:$CG$65000,$B980,BD$5)=1,1,IF(INDEX([1]Pivot!$B$1:$AB$65000,$B980,BD$5)="",2,0)),0)</f>
        <v>0</v>
      </c>
    </row>
    <row r="981" spans="1:56" x14ac:dyDescent="0.25">
      <c r="A981" s="288">
        <f>'[2]Raw Milk Prices'!A981</f>
        <v>0</v>
      </c>
      <c r="B981" s="296" t="e">
        <f>MATCH(DATE(LEFT('[2]Raw Milk Prices'!$A981,4),RIGHT('[2]Raw Milk Prices'!$A981,2),1),[1]Pivot!$A$1:$A$65000,0)</f>
        <v>#VALUE!</v>
      </c>
      <c r="C981" s="194">
        <f>IFERROR(IF(INDEX([1]Pivot!$AD$1:$BE$65000,$B981,C$5)=1,1,IF(INDEX([1]Pivot!$B$1:$AB$65000,$B981,C$5)="",2,0)),0)</f>
        <v>0</v>
      </c>
      <c r="D981" s="194">
        <f>IFERROR(IF(INDEX([1]Pivot!$AD$1:$BE$65000,$B981,D$5)=1,1,IF(INDEX([1]Pivot!$B$1:$AB$65000,$B981,D$5)="",2,0)),0)</f>
        <v>0</v>
      </c>
      <c r="E981" s="194">
        <f>IFERROR(IF(INDEX([1]Pivot!$AD$1:$BE$65000,$B981,E$5)=1,1,IF(INDEX([1]Pivot!$B$1:$AB$65000,$B981,E$5)="",2,0)),0)</f>
        <v>0</v>
      </c>
      <c r="F981" s="194">
        <f>IFERROR(IF(INDEX([1]Pivot!$AD$1:$BE$65000,$B981,F$5)=1,1,IF(INDEX([1]Pivot!$B$1:$AB$65000,$B981,F$5)="",2,0)),0)</f>
        <v>0</v>
      </c>
      <c r="G981" s="194">
        <f>IFERROR(IF(INDEX([1]Pivot!$AD$1:$BE$65000,$B981,G$5)=1,1,IF(INDEX([1]Pivot!$B$1:$AB$65000,$B981,G$5)="",2,0)),0)</f>
        <v>0</v>
      </c>
      <c r="H981" s="194">
        <f>IFERROR(IF(INDEX([1]Pivot!$AD$1:$BE$65000,$B981,H$5)=1,1,IF(INDEX([1]Pivot!$B$1:$AB$65000,$B981,H$5)="",2,0)),0)</f>
        <v>0</v>
      </c>
      <c r="I981" s="194">
        <f>IFERROR(IF(INDEX([1]Pivot!$AD$1:$BE$65000,$B981,I$5)=1,1,IF(INDEX([1]Pivot!$B$1:$AB$65000,$B981,I$5)="",2,0)),0)</f>
        <v>0</v>
      </c>
      <c r="J981" s="194">
        <f>IFERROR(IF(INDEX([1]Pivot!$AD$1:$BE$65000,$B981,J$5)=1,1,IF(INDEX([1]Pivot!$B$1:$AB$65000,$B981,J$5)="",2,0)),0)</f>
        <v>0</v>
      </c>
      <c r="K981" s="194">
        <f>IFERROR(IF(INDEX([1]Pivot!$AD$1:$BE$65000,$B981,K$5)=1,1,IF(INDEX([1]Pivot!$B$1:$AB$65000,$B981,K$5)="",2,0)),0)</f>
        <v>0</v>
      </c>
      <c r="L981" s="194">
        <f>IFERROR(IF(INDEX([1]Pivot!$AD$1:$BE$65000,$B981,L$5)=1,1,IF(INDEX([1]Pivot!$B$1:$AB$65000,$B981,L$5)="",2,0)),0)</f>
        <v>0</v>
      </c>
      <c r="M981" s="194">
        <f>IFERROR(IF(INDEX([1]Pivot!$AD$1:$BE$65000,$B981,M$5)=1,1,IF(INDEX([1]Pivot!$B$1:$AB$65000,$B981,M$5)="",2,0)),0)</f>
        <v>0</v>
      </c>
      <c r="N981" s="194">
        <f>IFERROR(IF(INDEX([1]Pivot!$AD$1:$BE$65000,$B981,N$5)=1,1,IF(INDEX([1]Pivot!$B$1:$AB$65000,$B981,N$5)="",2,0)),0)</f>
        <v>0</v>
      </c>
      <c r="O981" s="194">
        <f>IFERROR(IF(INDEX([1]Pivot!$AD$1:$BE$65000,$B981,O$5)=1,1,IF(INDEX([1]Pivot!$B$1:$AB$65000,$B981,O$5)="",2,0)),0)</f>
        <v>0</v>
      </c>
      <c r="P981" s="194">
        <f>IFERROR(IF(INDEX([1]Pivot!$AD$1:$BE$65000,$B981,P$5)=1,1,IF(INDEX([1]Pivot!$B$1:$AB$65000,$B981,P$5)="",2,0)),0)</f>
        <v>0</v>
      </c>
      <c r="Q981" s="194">
        <f>IFERROR(IF(INDEX([1]Pivot!$AD$1:$BE$65000,$B981,Q$5)=1,1,IF(INDEX([1]Pivot!$B$1:$AB$65000,$B981,Q$5)="",2,0)),0)</f>
        <v>0</v>
      </c>
      <c r="R981" s="312"/>
      <c r="S981" s="194">
        <f>IFERROR(IF(INDEX([1]Pivot!$AD$1:$BE$65000,$B981,S$5)=1,1,IF(INDEX([1]Pivot!$B$1:$AB$65000,$B981,S$5)="",2,0)),0)</f>
        <v>0</v>
      </c>
      <c r="T981" s="194">
        <f>IFERROR(IF(INDEX([1]Pivot!$AD$1:$BE$65000,$B981,T$5)=1,1,IF(INDEX([1]Pivot!$B$1:$AB$65000,$B981,T$5)="",2,0)),0)</f>
        <v>0</v>
      </c>
      <c r="U981" s="194">
        <f>IFERROR(IF(INDEX([1]Pivot!$AD$1:$BE$65000,$B981,U$5)=1,1,IF(INDEX([1]Pivot!$B$1:$AB$65000,$B981,U$5)="",2,0)),0)</f>
        <v>0</v>
      </c>
      <c r="V981" s="194">
        <f>IFERROR(IF(INDEX([1]Pivot!$AD$1:$BE$65000,$B981,V$5)=1,1,IF(INDEX([1]Pivot!$B$1:$AB$65000,$B981,V$5)="",2,0)),0)</f>
        <v>0</v>
      </c>
      <c r="W981" s="194">
        <f>IFERROR(IF(INDEX([1]Pivot!$AD$1:$BE$65000,$B981,W$5)=1,1,IF(INDEX([1]Pivot!$B$1:$AB$65000,$B981,W$5)="",2,0)),0)</f>
        <v>0</v>
      </c>
      <c r="X981" s="194">
        <f>IFERROR(IF(INDEX([1]Pivot!$AD$1:$BE$65000,$B981,X$5)=1,1,IF(INDEX([1]Pivot!$B$1:$AB$65000,$B981,X$5)="",2,0)),0)</f>
        <v>0</v>
      </c>
      <c r="Y981" s="194">
        <f>IFERROR(IF(INDEX([1]Pivot!$AD$1:$BE$65000,$B981,Y$5)=1,1,IF(INDEX([1]Pivot!$B$1:$AB$65000,$B981,Y$5)="",2,0)),0)</f>
        <v>0</v>
      </c>
      <c r="Z981" s="194">
        <f>IFERROR(IF(INDEX([1]Pivot!$AD$1:$BE$65000,$B981,Z$5)=1,1,IF(INDEX([1]Pivot!$B$1:$AB$65000,$B981,Z$5)="",2,0)),0)</f>
        <v>0</v>
      </c>
      <c r="AA981" s="194">
        <f>IFERROR(IF(INDEX([1]Pivot!$AD$1:$BE$65000,$B981,AA$5)=1,1,IF(INDEX([1]Pivot!$B$1:$AB$65000,$B981,AA$5)="",2,0)),0)</f>
        <v>0</v>
      </c>
      <c r="AB981" s="194">
        <f>IFERROR(IF(INDEX([1]Pivot!$AD$1:$BE$65000,$B981,AB$5)=1,1,IF(INDEX([1]Pivot!$B$1:$AB$65000,$B981,AB$5)="",2,0)),0)</f>
        <v>0</v>
      </c>
      <c r="AC981" s="194">
        <f>IFERROR(IF(INDEX([1]Pivot!$AD$1:$BE$65000,$B981,AC$5)=1,1,IF(INDEX([1]Pivot!$B$1:$AB$65000,$B981,AC$5)="",2,0)),0)</f>
        <v>0</v>
      </c>
      <c r="AD981" s="313">
        <f>IFERROR(IF(INDEX([1]Pivot!$BF$1:$CG$65000,$B981,AD$5)=1,1,IF(INDEX([1]Pivot!$B$1:$AB$65000,$B981,AD$5)="",2,0)),0)</f>
        <v>0</v>
      </c>
      <c r="AE981" s="313">
        <f>IFERROR(IF(INDEX([1]Pivot!$BF$1:$CG$65000,$B981,AE$5)=1,1,IF(INDEX([1]Pivot!$B$1:$AB$65000,$B981,AE$5)="",2,0)),0)</f>
        <v>0</v>
      </c>
      <c r="AF981" s="313">
        <f>IFERROR(IF(INDEX([1]Pivot!$BF$1:$CG$65000,$B981,AF$5)=1,1,IF(INDEX([1]Pivot!$B$1:$AB$65000,$B981,AF$5)="",2,0)),0)</f>
        <v>0</v>
      </c>
      <c r="AG981" s="313">
        <f>IFERROR(IF(INDEX([1]Pivot!$BF$1:$CG$65000,$B981,AG$5)=1,1,IF(INDEX([1]Pivot!$B$1:$AB$65000,$B981,AG$5)="",2,0)),0)</f>
        <v>0</v>
      </c>
      <c r="AH981" s="313">
        <f>IFERROR(IF(INDEX([1]Pivot!$BF$1:$CG$65000,$B981,AH$5)=1,1,IF(INDEX([1]Pivot!$B$1:$AB$65000,$B981,AH$5)="",2,0)),0)</f>
        <v>0</v>
      </c>
      <c r="AI981" s="313">
        <f>IFERROR(IF(INDEX([1]Pivot!$BF$1:$CG$65000,$B981,AI$5)=1,1,IF(INDEX([1]Pivot!$B$1:$AB$65000,$B981,AI$5)="",2,0)),0)</f>
        <v>0</v>
      </c>
      <c r="AJ981" s="313">
        <f>IFERROR(IF(INDEX([1]Pivot!$BF$1:$CG$65000,$B981,AJ$5)=1,1,IF(INDEX([1]Pivot!$B$1:$AB$65000,$B981,AJ$5)="",2,0)),0)</f>
        <v>0</v>
      </c>
      <c r="AK981" s="313">
        <f>IFERROR(IF(INDEX([1]Pivot!$BF$1:$CG$65000,$B981,AK$5)=1,1,IF(INDEX([1]Pivot!$B$1:$AB$65000,$B981,AK$5)="",2,0)),0)</f>
        <v>0</v>
      </c>
      <c r="AL981" s="313">
        <f>IFERROR(IF(INDEX([1]Pivot!$BF$1:$CG$65000,$B981,AL$5)=1,1,IF(INDEX([1]Pivot!$B$1:$AB$65000,$B981,AL$5)="",2,0)),0)</f>
        <v>0</v>
      </c>
      <c r="AM981" s="313">
        <f>IFERROR(IF(INDEX([1]Pivot!$BF$1:$CG$65000,$B981,AM$5)=1,1,IF(INDEX([1]Pivot!$B$1:$AB$65000,$B981,AM$5)="",2,0)),0)</f>
        <v>0</v>
      </c>
      <c r="AN981" s="313">
        <f>IFERROR(IF(INDEX([1]Pivot!$BF$1:$CG$65000,$B981,AN$5)=1,1,IF(INDEX([1]Pivot!$B$1:$AB$65000,$B981,AN$5)="",2,0)),0)</f>
        <v>0</v>
      </c>
      <c r="AO981" s="313">
        <f>IFERROR(IF(INDEX([1]Pivot!$BF$1:$CG$65000,$B981,AO$5)=1,1,IF(INDEX([1]Pivot!$B$1:$AB$65000,$B981,AO$5)="",2,0)),0)</f>
        <v>0</v>
      </c>
      <c r="AP981" s="313">
        <f>IFERROR(IF(INDEX([1]Pivot!$BF$1:$CG$65000,$B981,AP$5)=1,1,IF(INDEX([1]Pivot!$B$1:$AB$65000,$B981,AP$5)="",2,0)),0)</f>
        <v>0</v>
      </c>
      <c r="AQ981" s="313">
        <f>IFERROR(IF(INDEX([1]Pivot!$BF$1:$CG$65000,$B981,AQ$5)=1,1,IF(INDEX([1]Pivot!$B$1:$AB$65000,$B981,AQ$5)="",2,0)),0)</f>
        <v>0</v>
      </c>
      <c r="AR981" s="313">
        <f>IFERROR(IF(INDEX([1]Pivot!$BF$1:$CG$65000,$B981,AR$5)=1,1,IF(INDEX([1]Pivot!$B$1:$AB$65000,$B981,AR$5)="",2,0)),0)</f>
        <v>0</v>
      </c>
      <c r="AS981" s="312"/>
      <c r="AT981" s="313">
        <f>IFERROR(IF(INDEX([1]Pivot!$BF$1:$CG$65000,$B981,AT$5)=1,1,IF(INDEX([1]Pivot!$B$1:$AB$65000,$B981,AT$5)="",2,0)),0)</f>
        <v>0</v>
      </c>
      <c r="AU981" s="313">
        <f>IFERROR(IF(INDEX([1]Pivot!$BF$1:$CG$65000,$B981,AU$5)=1,1,IF(INDEX([1]Pivot!$B$1:$AB$65000,$B981,AU$5)="",2,0)),0)</f>
        <v>0</v>
      </c>
      <c r="AV981" s="313">
        <f>IFERROR(IF(INDEX([1]Pivot!$BF$1:$CG$65000,$B981,AV$5)=1,1,IF(INDEX([1]Pivot!$B$1:$AB$65000,$B981,AV$5)="",2,0)),0)</f>
        <v>0</v>
      </c>
      <c r="AW981" s="313">
        <f>IFERROR(IF(INDEX([1]Pivot!$BF$1:$CG$65000,$B981,AW$5)=1,1,IF(INDEX([1]Pivot!$B$1:$AB$65000,$B981,AW$5)="",2,0)),0)</f>
        <v>0</v>
      </c>
      <c r="AX981" s="313">
        <f>IFERROR(IF(INDEX([1]Pivot!$BF$1:$CG$65000,$B981,AX$5)=1,1,IF(INDEX([1]Pivot!$B$1:$AB$65000,$B981,AX$5)="",2,0)),0)</f>
        <v>0</v>
      </c>
      <c r="AY981" s="313">
        <f>IFERROR(IF(INDEX([1]Pivot!$BF$1:$CG$65000,$B981,AY$5)=1,1,IF(INDEX([1]Pivot!$B$1:$AB$65000,$B981,AY$5)="",2,0)),0)</f>
        <v>0</v>
      </c>
      <c r="AZ981" s="313">
        <f>IFERROR(IF(INDEX([1]Pivot!$BF$1:$CG$65000,$B981,AZ$5)=1,1,IF(INDEX([1]Pivot!$B$1:$AB$65000,$B981,AZ$5)="",2,0)),0)</f>
        <v>0</v>
      </c>
      <c r="BA981" s="313">
        <f>IFERROR(IF(INDEX([1]Pivot!$BF$1:$CG$65000,$B981,BA$5)=1,1,IF(INDEX([1]Pivot!$B$1:$AB$65000,$B981,BA$5)="",2,0)),0)</f>
        <v>0</v>
      </c>
      <c r="BB981" s="313">
        <f>IFERROR(IF(INDEX([1]Pivot!$BF$1:$CG$65000,$B981,BB$5)=1,1,IF(INDEX([1]Pivot!$B$1:$AB$65000,$B981,BB$5)="",2,0)),0)</f>
        <v>0</v>
      </c>
      <c r="BC981" s="313">
        <f>IFERROR(IF(INDEX([1]Pivot!$BF$1:$CG$65000,$B981,BC$5)=1,1,IF(INDEX([1]Pivot!$B$1:$AB$65000,$B981,BC$5)="",2,0)),0)</f>
        <v>0</v>
      </c>
      <c r="BD981" s="313">
        <f>IFERROR(IF(INDEX([1]Pivot!$BF$1:$CG$65000,$B981,BD$5)=1,1,IF(INDEX([1]Pivot!$B$1:$AB$65000,$B981,BD$5)="",2,0)),0)</f>
        <v>0</v>
      </c>
    </row>
    <row r="982" spans="1:56" x14ac:dyDescent="0.25">
      <c r="A982" s="288">
        <f>'[2]Raw Milk Prices'!A982</f>
        <v>0</v>
      </c>
      <c r="B982" s="296" t="e">
        <f>MATCH(DATE(LEFT('[2]Raw Milk Prices'!$A982,4),RIGHT('[2]Raw Milk Prices'!$A982,2),1),[1]Pivot!$A$1:$A$65000,0)</f>
        <v>#VALUE!</v>
      </c>
      <c r="C982" s="194">
        <f>IFERROR(IF(INDEX([1]Pivot!$AD$1:$BE$65000,$B982,C$5)=1,1,IF(INDEX([1]Pivot!$B$1:$AB$65000,$B982,C$5)="",2,0)),0)</f>
        <v>0</v>
      </c>
      <c r="D982" s="194">
        <f>IFERROR(IF(INDEX([1]Pivot!$AD$1:$BE$65000,$B982,D$5)=1,1,IF(INDEX([1]Pivot!$B$1:$AB$65000,$B982,D$5)="",2,0)),0)</f>
        <v>0</v>
      </c>
      <c r="E982" s="194">
        <f>IFERROR(IF(INDEX([1]Pivot!$AD$1:$BE$65000,$B982,E$5)=1,1,IF(INDEX([1]Pivot!$B$1:$AB$65000,$B982,E$5)="",2,0)),0)</f>
        <v>0</v>
      </c>
      <c r="F982" s="194">
        <f>IFERROR(IF(INDEX([1]Pivot!$AD$1:$BE$65000,$B982,F$5)=1,1,IF(INDEX([1]Pivot!$B$1:$AB$65000,$B982,F$5)="",2,0)),0)</f>
        <v>0</v>
      </c>
      <c r="G982" s="194">
        <f>IFERROR(IF(INDEX([1]Pivot!$AD$1:$BE$65000,$B982,G$5)=1,1,IF(INDEX([1]Pivot!$B$1:$AB$65000,$B982,G$5)="",2,0)),0)</f>
        <v>0</v>
      </c>
      <c r="H982" s="194">
        <f>IFERROR(IF(INDEX([1]Pivot!$AD$1:$BE$65000,$B982,H$5)=1,1,IF(INDEX([1]Pivot!$B$1:$AB$65000,$B982,H$5)="",2,0)),0)</f>
        <v>0</v>
      </c>
      <c r="I982" s="194">
        <f>IFERROR(IF(INDEX([1]Pivot!$AD$1:$BE$65000,$B982,I$5)=1,1,IF(INDEX([1]Pivot!$B$1:$AB$65000,$B982,I$5)="",2,0)),0)</f>
        <v>0</v>
      </c>
      <c r="J982" s="194">
        <f>IFERROR(IF(INDEX([1]Pivot!$AD$1:$BE$65000,$B982,J$5)=1,1,IF(INDEX([1]Pivot!$B$1:$AB$65000,$B982,J$5)="",2,0)),0)</f>
        <v>0</v>
      </c>
      <c r="K982" s="194">
        <f>IFERROR(IF(INDEX([1]Pivot!$AD$1:$BE$65000,$B982,K$5)=1,1,IF(INDEX([1]Pivot!$B$1:$AB$65000,$B982,K$5)="",2,0)),0)</f>
        <v>0</v>
      </c>
      <c r="L982" s="194">
        <f>IFERROR(IF(INDEX([1]Pivot!$AD$1:$BE$65000,$B982,L$5)=1,1,IF(INDEX([1]Pivot!$B$1:$AB$65000,$B982,L$5)="",2,0)),0)</f>
        <v>0</v>
      </c>
      <c r="M982" s="194">
        <f>IFERROR(IF(INDEX([1]Pivot!$AD$1:$BE$65000,$B982,M$5)=1,1,IF(INDEX([1]Pivot!$B$1:$AB$65000,$B982,M$5)="",2,0)),0)</f>
        <v>0</v>
      </c>
      <c r="N982" s="194">
        <f>IFERROR(IF(INDEX([1]Pivot!$AD$1:$BE$65000,$B982,N$5)=1,1,IF(INDEX([1]Pivot!$B$1:$AB$65000,$B982,N$5)="",2,0)),0)</f>
        <v>0</v>
      </c>
      <c r="O982" s="194">
        <f>IFERROR(IF(INDEX([1]Pivot!$AD$1:$BE$65000,$B982,O$5)=1,1,IF(INDEX([1]Pivot!$B$1:$AB$65000,$B982,O$5)="",2,0)),0)</f>
        <v>0</v>
      </c>
      <c r="P982" s="194">
        <f>IFERROR(IF(INDEX([1]Pivot!$AD$1:$BE$65000,$B982,P$5)=1,1,IF(INDEX([1]Pivot!$B$1:$AB$65000,$B982,P$5)="",2,0)),0)</f>
        <v>0</v>
      </c>
      <c r="Q982" s="194">
        <f>IFERROR(IF(INDEX([1]Pivot!$AD$1:$BE$65000,$B982,Q$5)=1,1,IF(INDEX([1]Pivot!$B$1:$AB$65000,$B982,Q$5)="",2,0)),0)</f>
        <v>0</v>
      </c>
      <c r="R982" s="312"/>
      <c r="S982" s="194">
        <f>IFERROR(IF(INDEX([1]Pivot!$AD$1:$BE$65000,$B982,S$5)=1,1,IF(INDEX([1]Pivot!$B$1:$AB$65000,$B982,S$5)="",2,0)),0)</f>
        <v>0</v>
      </c>
      <c r="T982" s="194">
        <f>IFERROR(IF(INDEX([1]Pivot!$AD$1:$BE$65000,$B982,T$5)=1,1,IF(INDEX([1]Pivot!$B$1:$AB$65000,$B982,T$5)="",2,0)),0)</f>
        <v>0</v>
      </c>
      <c r="U982" s="194">
        <f>IFERROR(IF(INDEX([1]Pivot!$AD$1:$BE$65000,$B982,U$5)=1,1,IF(INDEX([1]Pivot!$B$1:$AB$65000,$B982,U$5)="",2,0)),0)</f>
        <v>0</v>
      </c>
      <c r="V982" s="194">
        <f>IFERROR(IF(INDEX([1]Pivot!$AD$1:$BE$65000,$B982,V$5)=1,1,IF(INDEX([1]Pivot!$B$1:$AB$65000,$B982,V$5)="",2,0)),0)</f>
        <v>0</v>
      </c>
      <c r="W982" s="194">
        <f>IFERROR(IF(INDEX([1]Pivot!$AD$1:$BE$65000,$B982,W$5)=1,1,IF(INDEX([1]Pivot!$B$1:$AB$65000,$B982,W$5)="",2,0)),0)</f>
        <v>0</v>
      </c>
      <c r="X982" s="194">
        <f>IFERROR(IF(INDEX([1]Pivot!$AD$1:$BE$65000,$B982,X$5)=1,1,IF(INDEX([1]Pivot!$B$1:$AB$65000,$B982,X$5)="",2,0)),0)</f>
        <v>0</v>
      </c>
      <c r="Y982" s="194">
        <f>IFERROR(IF(INDEX([1]Pivot!$AD$1:$BE$65000,$B982,Y$5)=1,1,IF(INDEX([1]Pivot!$B$1:$AB$65000,$B982,Y$5)="",2,0)),0)</f>
        <v>0</v>
      </c>
      <c r="Z982" s="194">
        <f>IFERROR(IF(INDEX([1]Pivot!$AD$1:$BE$65000,$B982,Z$5)=1,1,IF(INDEX([1]Pivot!$B$1:$AB$65000,$B982,Z$5)="",2,0)),0)</f>
        <v>0</v>
      </c>
      <c r="AA982" s="194">
        <f>IFERROR(IF(INDEX([1]Pivot!$AD$1:$BE$65000,$B982,AA$5)=1,1,IF(INDEX([1]Pivot!$B$1:$AB$65000,$B982,AA$5)="",2,0)),0)</f>
        <v>0</v>
      </c>
      <c r="AB982" s="194">
        <f>IFERROR(IF(INDEX([1]Pivot!$AD$1:$BE$65000,$B982,AB$5)=1,1,IF(INDEX([1]Pivot!$B$1:$AB$65000,$B982,AB$5)="",2,0)),0)</f>
        <v>0</v>
      </c>
      <c r="AC982" s="194">
        <f>IFERROR(IF(INDEX([1]Pivot!$AD$1:$BE$65000,$B982,AC$5)=1,1,IF(INDEX([1]Pivot!$B$1:$AB$65000,$B982,AC$5)="",2,0)),0)</f>
        <v>0</v>
      </c>
      <c r="AD982" s="313">
        <f>IFERROR(IF(INDEX([1]Pivot!$BF$1:$CG$65000,$B982,AD$5)=1,1,IF(INDEX([1]Pivot!$B$1:$AB$65000,$B982,AD$5)="",2,0)),0)</f>
        <v>0</v>
      </c>
      <c r="AE982" s="313">
        <f>IFERROR(IF(INDEX([1]Pivot!$BF$1:$CG$65000,$B982,AE$5)=1,1,IF(INDEX([1]Pivot!$B$1:$AB$65000,$B982,AE$5)="",2,0)),0)</f>
        <v>0</v>
      </c>
      <c r="AF982" s="313">
        <f>IFERROR(IF(INDEX([1]Pivot!$BF$1:$CG$65000,$B982,AF$5)=1,1,IF(INDEX([1]Pivot!$B$1:$AB$65000,$B982,AF$5)="",2,0)),0)</f>
        <v>0</v>
      </c>
      <c r="AG982" s="313">
        <f>IFERROR(IF(INDEX([1]Pivot!$BF$1:$CG$65000,$B982,AG$5)=1,1,IF(INDEX([1]Pivot!$B$1:$AB$65000,$B982,AG$5)="",2,0)),0)</f>
        <v>0</v>
      </c>
      <c r="AH982" s="313">
        <f>IFERROR(IF(INDEX([1]Pivot!$BF$1:$CG$65000,$B982,AH$5)=1,1,IF(INDEX([1]Pivot!$B$1:$AB$65000,$B982,AH$5)="",2,0)),0)</f>
        <v>0</v>
      </c>
      <c r="AI982" s="313">
        <f>IFERROR(IF(INDEX([1]Pivot!$BF$1:$CG$65000,$B982,AI$5)=1,1,IF(INDEX([1]Pivot!$B$1:$AB$65000,$B982,AI$5)="",2,0)),0)</f>
        <v>0</v>
      </c>
      <c r="AJ982" s="313">
        <f>IFERROR(IF(INDEX([1]Pivot!$BF$1:$CG$65000,$B982,AJ$5)=1,1,IF(INDEX([1]Pivot!$B$1:$AB$65000,$B982,AJ$5)="",2,0)),0)</f>
        <v>0</v>
      </c>
      <c r="AK982" s="313">
        <f>IFERROR(IF(INDEX([1]Pivot!$BF$1:$CG$65000,$B982,AK$5)=1,1,IF(INDEX([1]Pivot!$B$1:$AB$65000,$B982,AK$5)="",2,0)),0)</f>
        <v>0</v>
      </c>
      <c r="AL982" s="313">
        <f>IFERROR(IF(INDEX([1]Pivot!$BF$1:$CG$65000,$B982,AL$5)=1,1,IF(INDEX([1]Pivot!$B$1:$AB$65000,$B982,AL$5)="",2,0)),0)</f>
        <v>0</v>
      </c>
      <c r="AM982" s="313">
        <f>IFERROR(IF(INDEX([1]Pivot!$BF$1:$CG$65000,$B982,AM$5)=1,1,IF(INDEX([1]Pivot!$B$1:$AB$65000,$B982,AM$5)="",2,0)),0)</f>
        <v>0</v>
      </c>
      <c r="AN982" s="313">
        <f>IFERROR(IF(INDEX([1]Pivot!$BF$1:$CG$65000,$B982,AN$5)=1,1,IF(INDEX([1]Pivot!$B$1:$AB$65000,$B982,AN$5)="",2,0)),0)</f>
        <v>0</v>
      </c>
      <c r="AO982" s="313">
        <f>IFERROR(IF(INDEX([1]Pivot!$BF$1:$CG$65000,$B982,AO$5)=1,1,IF(INDEX([1]Pivot!$B$1:$AB$65000,$B982,AO$5)="",2,0)),0)</f>
        <v>0</v>
      </c>
      <c r="AP982" s="313">
        <f>IFERROR(IF(INDEX([1]Pivot!$BF$1:$CG$65000,$B982,AP$5)=1,1,IF(INDEX([1]Pivot!$B$1:$AB$65000,$B982,AP$5)="",2,0)),0)</f>
        <v>0</v>
      </c>
      <c r="AQ982" s="313">
        <f>IFERROR(IF(INDEX([1]Pivot!$BF$1:$CG$65000,$B982,AQ$5)=1,1,IF(INDEX([1]Pivot!$B$1:$AB$65000,$B982,AQ$5)="",2,0)),0)</f>
        <v>0</v>
      </c>
      <c r="AR982" s="313">
        <f>IFERROR(IF(INDEX([1]Pivot!$BF$1:$CG$65000,$B982,AR$5)=1,1,IF(INDEX([1]Pivot!$B$1:$AB$65000,$B982,AR$5)="",2,0)),0)</f>
        <v>0</v>
      </c>
      <c r="AS982" s="312"/>
      <c r="AT982" s="313">
        <f>IFERROR(IF(INDEX([1]Pivot!$BF$1:$CG$65000,$B982,AT$5)=1,1,IF(INDEX([1]Pivot!$B$1:$AB$65000,$B982,AT$5)="",2,0)),0)</f>
        <v>0</v>
      </c>
      <c r="AU982" s="313">
        <f>IFERROR(IF(INDEX([1]Pivot!$BF$1:$CG$65000,$B982,AU$5)=1,1,IF(INDEX([1]Pivot!$B$1:$AB$65000,$B982,AU$5)="",2,0)),0)</f>
        <v>0</v>
      </c>
      <c r="AV982" s="313">
        <f>IFERROR(IF(INDEX([1]Pivot!$BF$1:$CG$65000,$B982,AV$5)=1,1,IF(INDEX([1]Pivot!$B$1:$AB$65000,$B982,AV$5)="",2,0)),0)</f>
        <v>0</v>
      </c>
      <c r="AW982" s="313">
        <f>IFERROR(IF(INDEX([1]Pivot!$BF$1:$CG$65000,$B982,AW$5)=1,1,IF(INDEX([1]Pivot!$B$1:$AB$65000,$B982,AW$5)="",2,0)),0)</f>
        <v>0</v>
      </c>
      <c r="AX982" s="313">
        <f>IFERROR(IF(INDEX([1]Pivot!$BF$1:$CG$65000,$B982,AX$5)=1,1,IF(INDEX([1]Pivot!$B$1:$AB$65000,$B982,AX$5)="",2,0)),0)</f>
        <v>0</v>
      </c>
      <c r="AY982" s="313">
        <f>IFERROR(IF(INDEX([1]Pivot!$BF$1:$CG$65000,$B982,AY$5)=1,1,IF(INDEX([1]Pivot!$B$1:$AB$65000,$B982,AY$5)="",2,0)),0)</f>
        <v>0</v>
      </c>
      <c r="AZ982" s="313">
        <f>IFERROR(IF(INDEX([1]Pivot!$BF$1:$CG$65000,$B982,AZ$5)=1,1,IF(INDEX([1]Pivot!$B$1:$AB$65000,$B982,AZ$5)="",2,0)),0)</f>
        <v>0</v>
      </c>
      <c r="BA982" s="313">
        <f>IFERROR(IF(INDEX([1]Pivot!$BF$1:$CG$65000,$B982,BA$5)=1,1,IF(INDEX([1]Pivot!$B$1:$AB$65000,$B982,BA$5)="",2,0)),0)</f>
        <v>0</v>
      </c>
      <c r="BB982" s="313">
        <f>IFERROR(IF(INDEX([1]Pivot!$BF$1:$CG$65000,$B982,BB$5)=1,1,IF(INDEX([1]Pivot!$B$1:$AB$65000,$B982,BB$5)="",2,0)),0)</f>
        <v>0</v>
      </c>
      <c r="BC982" s="313">
        <f>IFERROR(IF(INDEX([1]Pivot!$BF$1:$CG$65000,$B982,BC$5)=1,1,IF(INDEX([1]Pivot!$B$1:$AB$65000,$B982,BC$5)="",2,0)),0)</f>
        <v>0</v>
      </c>
      <c r="BD982" s="313">
        <f>IFERROR(IF(INDEX([1]Pivot!$BF$1:$CG$65000,$B982,BD$5)=1,1,IF(INDEX([1]Pivot!$B$1:$AB$65000,$B982,BD$5)="",2,0)),0)</f>
        <v>0</v>
      </c>
    </row>
    <row r="983" spans="1:56" x14ac:dyDescent="0.25">
      <c r="A983" s="288">
        <f>'[2]Raw Milk Prices'!A983</f>
        <v>0</v>
      </c>
      <c r="B983" s="296" t="e">
        <f>MATCH(DATE(LEFT('[2]Raw Milk Prices'!$A983,4),RIGHT('[2]Raw Milk Prices'!$A983,2),1),[1]Pivot!$A$1:$A$65000,0)</f>
        <v>#VALUE!</v>
      </c>
      <c r="C983" s="194">
        <f>IFERROR(IF(INDEX([1]Pivot!$AD$1:$BE$65000,$B983,C$5)=1,1,IF(INDEX([1]Pivot!$B$1:$AB$65000,$B983,C$5)="",2,0)),0)</f>
        <v>0</v>
      </c>
      <c r="D983" s="194">
        <f>IFERROR(IF(INDEX([1]Pivot!$AD$1:$BE$65000,$B983,D$5)=1,1,IF(INDEX([1]Pivot!$B$1:$AB$65000,$B983,D$5)="",2,0)),0)</f>
        <v>0</v>
      </c>
      <c r="E983" s="194">
        <f>IFERROR(IF(INDEX([1]Pivot!$AD$1:$BE$65000,$B983,E$5)=1,1,IF(INDEX([1]Pivot!$B$1:$AB$65000,$B983,E$5)="",2,0)),0)</f>
        <v>0</v>
      </c>
      <c r="F983" s="194">
        <f>IFERROR(IF(INDEX([1]Pivot!$AD$1:$BE$65000,$B983,F$5)=1,1,IF(INDEX([1]Pivot!$B$1:$AB$65000,$B983,F$5)="",2,0)),0)</f>
        <v>0</v>
      </c>
      <c r="G983" s="194">
        <f>IFERROR(IF(INDEX([1]Pivot!$AD$1:$BE$65000,$B983,G$5)=1,1,IF(INDEX([1]Pivot!$B$1:$AB$65000,$B983,G$5)="",2,0)),0)</f>
        <v>0</v>
      </c>
      <c r="H983" s="194">
        <f>IFERROR(IF(INDEX([1]Pivot!$AD$1:$BE$65000,$B983,H$5)=1,1,IF(INDEX([1]Pivot!$B$1:$AB$65000,$B983,H$5)="",2,0)),0)</f>
        <v>0</v>
      </c>
      <c r="I983" s="194">
        <f>IFERROR(IF(INDEX([1]Pivot!$AD$1:$BE$65000,$B983,I$5)=1,1,IF(INDEX([1]Pivot!$B$1:$AB$65000,$B983,I$5)="",2,0)),0)</f>
        <v>0</v>
      </c>
      <c r="J983" s="194">
        <f>IFERROR(IF(INDEX([1]Pivot!$AD$1:$BE$65000,$B983,J$5)=1,1,IF(INDEX([1]Pivot!$B$1:$AB$65000,$B983,J$5)="",2,0)),0)</f>
        <v>0</v>
      </c>
      <c r="K983" s="194">
        <f>IFERROR(IF(INDEX([1]Pivot!$AD$1:$BE$65000,$B983,K$5)=1,1,IF(INDEX([1]Pivot!$B$1:$AB$65000,$B983,K$5)="",2,0)),0)</f>
        <v>0</v>
      </c>
      <c r="L983" s="194">
        <f>IFERROR(IF(INDEX([1]Pivot!$AD$1:$BE$65000,$B983,L$5)=1,1,IF(INDEX([1]Pivot!$B$1:$AB$65000,$B983,L$5)="",2,0)),0)</f>
        <v>0</v>
      </c>
      <c r="M983" s="194">
        <f>IFERROR(IF(INDEX([1]Pivot!$AD$1:$BE$65000,$B983,M$5)=1,1,IF(INDEX([1]Pivot!$B$1:$AB$65000,$B983,M$5)="",2,0)),0)</f>
        <v>0</v>
      </c>
      <c r="N983" s="194">
        <f>IFERROR(IF(INDEX([1]Pivot!$AD$1:$BE$65000,$B983,N$5)=1,1,IF(INDEX([1]Pivot!$B$1:$AB$65000,$B983,N$5)="",2,0)),0)</f>
        <v>0</v>
      </c>
      <c r="O983" s="194">
        <f>IFERROR(IF(INDEX([1]Pivot!$AD$1:$BE$65000,$B983,O$5)=1,1,IF(INDEX([1]Pivot!$B$1:$AB$65000,$B983,O$5)="",2,0)),0)</f>
        <v>0</v>
      </c>
      <c r="P983" s="194">
        <f>IFERROR(IF(INDEX([1]Pivot!$AD$1:$BE$65000,$B983,P$5)=1,1,IF(INDEX([1]Pivot!$B$1:$AB$65000,$B983,P$5)="",2,0)),0)</f>
        <v>0</v>
      </c>
      <c r="Q983" s="194">
        <f>IFERROR(IF(INDEX([1]Pivot!$AD$1:$BE$65000,$B983,Q$5)=1,1,IF(INDEX([1]Pivot!$B$1:$AB$65000,$B983,Q$5)="",2,0)),0)</f>
        <v>0</v>
      </c>
      <c r="R983" s="312"/>
      <c r="S983" s="194">
        <f>IFERROR(IF(INDEX([1]Pivot!$AD$1:$BE$65000,$B983,S$5)=1,1,IF(INDEX([1]Pivot!$B$1:$AB$65000,$B983,S$5)="",2,0)),0)</f>
        <v>0</v>
      </c>
      <c r="T983" s="194">
        <f>IFERROR(IF(INDEX([1]Pivot!$AD$1:$BE$65000,$B983,T$5)=1,1,IF(INDEX([1]Pivot!$B$1:$AB$65000,$B983,T$5)="",2,0)),0)</f>
        <v>0</v>
      </c>
      <c r="U983" s="194">
        <f>IFERROR(IF(INDEX([1]Pivot!$AD$1:$BE$65000,$B983,U$5)=1,1,IF(INDEX([1]Pivot!$B$1:$AB$65000,$B983,U$5)="",2,0)),0)</f>
        <v>0</v>
      </c>
      <c r="V983" s="194">
        <f>IFERROR(IF(INDEX([1]Pivot!$AD$1:$BE$65000,$B983,V$5)=1,1,IF(INDEX([1]Pivot!$B$1:$AB$65000,$B983,V$5)="",2,0)),0)</f>
        <v>0</v>
      </c>
      <c r="W983" s="194">
        <f>IFERROR(IF(INDEX([1]Pivot!$AD$1:$BE$65000,$B983,W$5)=1,1,IF(INDEX([1]Pivot!$B$1:$AB$65000,$B983,W$5)="",2,0)),0)</f>
        <v>0</v>
      </c>
      <c r="X983" s="194">
        <f>IFERROR(IF(INDEX([1]Pivot!$AD$1:$BE$65000,$B983,X$5)=1,1,IF(INDEX([1]Pivot!$B$1:$AB$65000,$B983,X$5)="",2,0)),0)</f>
        <v>0</v>
      </c>
      <c r="Y983" s="194">
        <f>IFERROR(IF(INDEX([1]Pivot!$AD$1:$BE$65000,$B983,Y$5)=1,1,IF(INDEX([1]Pivot!$B$1:$AB$65000,$B983,Y$5)="",2,0)),0)</f>
        <v>0</v>
      </c>
      <c r="Z983" s="194">
        <f>IFERROR(IF(INDEX([1]Pivot!$AD$1:$BE$65000,$B983,Z$5)=1,1,IF(INDEX([1]Pivot!$B$1:$AB$65000,$B983,Z$5)="",2,0)),0)</f>
        <v>0</v>
      </c>
      <c r="AA983" s="194">
        <f>IFERROR(IF(INDEX([1]Pivot!$AD$1:$BE$65000,$B983,AA$5)=1,1,IF(INDEX([1]Pivot!$B$1:$AB$65000,$B983,AA$5)="",2,0)),0)</f>
        <v>0</v>
      </c>
      <c r="AB983" s="194">
        <f>IFERROR(IF(INDEX([1]Pivot!$AD$1:$BE$65000,$B983,AB$5)=1,1,IF(INDEX([1]Pivot!$B$1:$AB$65000,$B983,AB$5)="",2,0)),0)</f>
        <v>0</v>
      </c>
      <c r="AC983" s="194">
        <f>IFERROR(IF(INDEX([1]Pivot!$AD$1:$BE$65000,$B983,AC$5)=1,1,IF(INDEX([1]Pivot!$B$1:$AB$65000,$B983,AC$5)="",2,0)),0)</f>
        <v>0</v>
      </c>
      <c r="AD983" s="313">
        <f>IFERROR(IF(INDEX([1]Pivot!$BF$1:$CG$65000,$B983,AD$5)=1,1,IF(INDEX([1]Pivot!$B$1:$AB$65000,$B983,AD$5)="",2,0)),0)</f>
        <v>0</v>
      </c>
      <c r="AE983" s="313">
        <f>IFERROR(IF(INDEX([1]Pivot!$BF$1:$CG$65000,$B983,AE$5)=1,1,IF(INDEX([1]Pivot!$B$1:$AB$65000,$B983,AE$5)="",2,0)),0)</f>
        <v>0</v>
      </c>
      <c r="AF983" s="313">
        <f>IFERROR(IF(INDEX([1]Pivot!$BF$1:$CG$65000,$B983,AF$5)=1,1,IF(INDEX([1]Pivot!$B$1:$AB$65000,$B983,AF$5)="",2,0)),0)</f>
        <v>0</v>
      </c>
      <c r="AG983" s="313">
        <f>IFERROR(IF(INDEX([1]Pivot!$BF$1:$CG$65000,$B983,AG$5)=1,1,IF(INDEX([1]Pivot!$B$1:$AB$65000,$B983,AG$5)="",2,0)),0)</f>
        <v>0</v>
      </c>
      <c r="AH983" s="313">
        <f>IFERROR(IF(INDEX([1]Pivot!$BF$1:$CG$65000,$B983,AH$5)=1,1,IF(INDEX([1]Pivot!$B$1:$AB$65000,$B983,AH$5)="",2,0)),0)</f>
        <v>0</v>
      </c>
      <c r="AI983" s="313">
        <f>IFERROR(IF(INDEX([1]Pivot!$BF$1:$CG$65000,$B983,AI$5)=1,1,IF(INDEX([1]Pivot!$B$1:$AB$65000,$B983,AI$5)="",2,0)),0)</f>
        <v>0</v>
      </c>
      <c r="AJ983" s="313">
        <f>IFERROR(IF(INDEX([1]Pivot!$BF$1:$CG$65000,$B983,AJ$5)=1,1,IF(INDEX([1]Pivot!$B$1:$AB$65000,$B983,AJ$5)="",2,0)),0)</f>
        <v>0</v>
      </c>
      <c r="AK983" s="313">
        <f>IFERROR(IF(INDEX([1]Pivot!$BF$1:$CG$65000,$B983,AK$5)=1,1,IF(INDEX([1]Pivot!$B$1:$AB$65000,$B983,AK$5)="",2,0)),0)</f>
        <v>0</v>
      </c>
      <c r="AL983" s="313">
        <f>IFERROR(IF(INDEX([1]Pivot!$BF$1:$CG$65000,$B983,AL$5)=1,1,IF(INDEX([1]Pivot!$B$1:$AB$65000,$B983,AL$5)="",2,0)),0)</f>
        <v>0</v>
      </c>
      <c r="AM983" s="313">
        <f>IFERROR(IF(INDEX([1]Pivot!$BF$1:$CG$65000,$B983,AM$5)=1,1,IF(INDEX([1]Pivot!$B$1:$AB$65000,$B983,AM$5)="",2,0)),0)</f>
        <v>0</v>
      </c>
      <c r="AN983" s="313">
        <f>IFERROR(IF(INDEX([1]Pivot!$BF$1:$CG$65000,$B983,AN$5)=1,1,IF(INDEX([1]Pivot!$B$1:$AB$65000,$B983,AN$5)="",2,0)),0)</f>
        <v>0</v>
      </c>
      <c r="AO983" s="313">
        <f>IFERROR(IF(INDEX([1]Pivot!$BF$1:$CG$65000,$B983,AO$5)=1,1,IF(INDEX([1]Pivot!$B$1:$AB$65000,$B983,AO$5)="",2,0)),0)</f>
        <v>0</v>
      </c>
      <c r="AP983" s="313">
        <f>IFERROR(IF(INDEX([1]Pivot!$BF$1:$CG$65000,$B983,AP$5)=1,1,IF(INDEX([1]Pivot!$B$1:$AB$65000,$B983,AP$5)="",2,0)),0)</f>
        <v>0</v>
      </c>
      <c r="AQ983" s="313">
        <f>IFERROR(IF(INDEX([1]Pivot!$BF$1:$CG$65000,$B983,AQ$5)=1,1,IF(INDEX([1]Pivot!$B$1:$AB$65000,$B983,AQ$5)="",2,0)),0)</f>
        <v>0</v>
      </c>
      <c r="AR983" s="313">
        <f>IFERROR(IF(INDEX([1]Pivot!$BF$1:$CG$65000,$B983,AR$5)=1,1,IF(INDEX([1]Pivot!$B$1:$AB$65000,$B983,AR$5)="",2,0)),0)</f>
        <v>0</v>
      </c>
      <c r="AS983" s="312"/>
      <c r="AT983" s="313">
        <f>IFERROR(IF(INDEX([1]Pivot!$BF$1:$CG$65000,$B983,AT$5)=1,1,IF(INDEX([1]Pivot!$B$1:$AB$65000,$B983,AT$5)="",2,0)),0)</f>
        <v>0</v>
      </c>
      <c r="AU983" s="313">
        <f>IFERROR(IF(INDEX([1]Pivot!$BF$1:$CG$65000,$B983,AU$5)=1,1,IF(INDEX([1]Pivot!$B$1:$AB$65000,$B983,AU$5)="",2,0)),0)</f>
        <v>0</v>
      </c>
      <c r="AV983" s="313">
        <f>IFERROR(IF(INDEX([1]Pivot!$BF$1:$CG$65000,$B983,AV$5)=1,1,IF(INDEX([1]Pivot!$B$1:$AB$65000,$B983,AV$5)="",2,0)),0)</f>
        <v>0</v>
      </c>
      <c r="AW983" s="313">
        <f>IFERROR(IF(INDEX([1]Pivot!$BF$1:$CG$65000,$B983,AW$5)=1,1,IF(INDEX([1]Pivot!$B$1:$AB$65000,$B983,AW$5)="",2,0)),0)</f>
        <v>0</v>
      </c>
      <c r="AX983" s="313">
        <f>IFERROR(IF(INDEX([1]Pivot!$BF$1:$CG$65000,$B983,AX$5)=1,1,IF(INDEX([1]Pivot!$B$1:$AB$65000,$B983,AX$5)="",2,0)),0)</f>
        <v>0</v>
      </c>
      <c r="AY983" s="313">
        <f>IFERROR(IF(INDEX([1]Pivot!$BF$1:$CG$65000,$B983,AY$5)=1,1,IF(INDEX([1]Pivot!$B$1:$AB$65000,$B983,AY$5)="",2,0)),0)</f>
        <v>0</v>
      </c>
      <c r="AZ983" s="313">
        <f>IFERROR(IF(INDEX([1]Pivot!$BF$1:$CG$65000,$B983,AZ$5)=1,1,IF(INDEX([1]Pivot!$B$1:$AB$65000,$B983,AZ$5)="",2,0)),0)</f>
        <v>0</v>
      </c>
      <c r="BA983" s="313">
        <f>IFERROR(IF(INDEX([1]Pivot!$BF$1:$CG$65000,$B983,BA$5)=1,1,IF(INDEX([1]Pivot!$B$1:$AB$65000,$B983,BA$5)="",2,0)),0)</f>
        <v>0</v>
      </c>
      <c r="BB983" s="313">
        <f>IFERROR(IF(INDEX([1]Pivot!$BF$1:$CG$65000,$B983,BB$5)=1,1,IF(INDEX([1]Pivot!$B$1:$AB$65000,$B983,BB$5)="",2,0)),0)</f>
        <v>0</v>
      </c>
      <c r="BC983" s="313">
        <f>IFERROR(IF(INDEX([1]Pivot!$BF$1:$CG$65000,$B983,BC$5)=1,1,IF(INDEX([1]Pivot!$B$1:$AB$65000,$B983,BC$5)="",2,0)),0)</f>
        <v>0</v>
      </c>
      <c r="BD983" s="313">
        <f>IFERROR(IF(INDEX([1]Pivot!$BF$1:$CG$65000,$B983,BD$5)=1,1,IF(INDEX([1]Pivot!$B$1:$AB$65000,$B983,BD$5)="",2,0)),0)</f>
        <v>0</v>
      </c>
    </row>
    <row r="984" spans="1:56" x14ac:dyDescent="0.25">
      <c r="A984" s="288">
        <f>'[2]Raw Milk Prices'!A984</f>
        <v>0</v>
      </c>
      <c r="B984" s="296" t="e">
        <f>MATCH(DATE(LEFT('[2]Raw Milk Prices'!$A984,4),RIGHT('[2]Raw Milk Prices'!$A984,2),1),[1]Pivot!$A$1:$A$65000,0)</f>
        <v>#VALUE!</v>
      </c>
      <c r="C984" s="194">
        <f>IFERROR(IF(INDEX([1]Pivot!$AD$1:$BE$65000,$B984,C$5)=1,1,IF(INDEX([1]Pivot!$B$1:$AB$65000,$B984,C$5)="",2,0)),0)</f>
        <v>0</v>
      </c>
      <c r="D984" s="194">
        <f>IFERROR(IF(INDEX([1]Pivot!$AD$1:$BE$65000,$B984,D$5)=1,1,IF(INDEX([1]Pivot!$B$1:$AB$65000,$B984,D$5)="",2,0)),0)</f>
        <v>0</v>
      </c>
      <c r="E984" s="194">
        <f>IFERROR(IF(INDEX([1]Pivot!$AD$1:$BE$65000,$B984,E$5)=1,1,IF(INDEX([1]Pivot!$B$1:$AB$65000,$B984,E$5)="",2,0)),0)</f>
        <v>0</v>
      </c>
      <c r="F984" s="194">
        <f>IFERROR(IF(INDEX([1]Pivot!$AD$1:$BE$65000,$B984,F$5)=1,1,IF(INDEX([1]Pivot!$B$1:$AB$65000,$B984,F$5)="",2,0)),0)</f>
        <v>0</v>
      </c>
      <c r="G984" s="194">
        <f>IFERROR(IF(INDEX([1]Pivot!$AD$1:$BE$65000,$B984,G$5)=1,1,IF(INDEX([1]Pivot!$B$1:$AB$65000,$B984,G$5)="",2,0)),0)</f>
        <v>0</v>
      </c>
      <c r="H984" s="194">
        <f>IFERROR(IF(INDEX([1]Pivot!$AD$1:$BE$65000,$B984,H$5)=1,1,IF(INDEX([1]Pivot!$B$1:$AB$65000,$B984,H$5)="",2,0)),0)</f>
        <v>0</v>
      </c>
      <c r="I984" s="194">
        <f>IFERROR(IF(INDEX([1]Pivot!$AD$1:$BE$65000,$B984,I$5)=1,1,IF(INDEX([1]Pivot!$B$1:$AB$65000,$B984,I$5)="",2,0)),0)</f>
        <v>0</v>
      </c>
      <c r="J984" s="194">
        <f>IFERROR(IF(INDEX([1]Pivot!$AD$1:$BE$65000,$B984,J$5)=1,1,IF(INDEX([1]Pivot!$B$1:$AB$65000,$B984,J$5)="",2,0)),0)</f>
        <v>0</v>
      </c>
      <c r="K984" s="194">
        <f>IFERROR(IF(INDEX([1]Pivot!$AD$1:$BE$65000,$B984,K$5)=1,1,IF(INDEX([1]Pivot!$B$1:$AB$65000,$B984,K$5)="",2,0)),0)</f>
        <v>0</v>
      </c>
      <c r="L984" s="194">
        <f>IFERROR(IF(INDEX([1]Pivot!$AD$1:$BE$65000,$B984,L$5)=1,1,IF(INDEX([1]Pivot!$B$1:$AB$65000,$B984,L$5)="",2,0)),0)</f>
        <v>0</v>
      </c>
      <c r="M984" s="194">
        <f>IFERROR(IF(INDEX([1]Pivot!$AD$1:$BE$65000,$B984,M$5)=1,1,IF(INDEX([1]Pivot!$B$1:$AB$65000,$B984,M$5)="",2,0)),0)</f>
        <v>0</v>
      </c>
      <c r="N984" s="194">
        <f>IFERROR(IF(INDEX([1]Pivot!$AD$1:$BE$65000,$B984,N$5)=1,1,IF(INDEX([1]Pivot!$B$1:$AB$65000,$B984,N$5)="",2,0)),0)</f>
        <v>0</v>
      </c>
      <c r="O984" s="194">
        <f>IFERROR(IF(INDEX([1]Pivot!$AD$1:$BE$65000,$B984,O$5)=1,1,IF(INDEX([1]Pivot!$B$1:$AB$65000,$B984,O$5)="",2,0)),0)</f>
        <v>0</v>
      </c>
      <c r="P984" s="194">
        <f>IFERROR(IF(INDEX([1]Pivot!$AD$1:$BE$65000,$B984,P$5)=1,1,IF(INDEX([1]Pivot!$B$1:$AB$65000,$B984,P$5)="",2,0)),0)</f>
        <v>0</v>
      </c>
      <c r="Q984" s="194">
        <f>IFERROR(IF(INDEX([1]Pivot!$AD$1:$BE$65000,$B984,Q$5)=1,1,IF(INDEX([1]Pivot!$B$1:$AB$65000,$B984,Q$5)="",2,0)),0)</f>
        <v>0</v>
      </c>
      <c r="R984" s="312"/>
      <c r="S984" s="194">
        <f>IFERROR(IF(INDEX([1]Pivot!$AD$1:$BE$65000,$B984,S$5)=1,1,IF(INDEX([1]Pivot!$B$1:$AB$65000,$B984,S$5)="",2,0)),0)</f>
        <v>0</v>
      </c>
      <c r="T984" s="194">
        <f>IFERROR(IF(INDEX([1]Pivot!$AD$1:$BE$65000,$B984,T$5)=1,1,IF(INDEX([1]Pivot!$B$1:$AB$65000,$B984,T$5)="",2,0)),0)</f>
        <v>0</v>
      </c>
      <c r="U984" s="194">
        <f>IFERROR(IF(INDEX([1]Pivot!$AD$1:$BE$65000,$B984,U$5)=1,1,IF(INDEX([1]Pivot!$B$1:$AB$65000,$B984,U$5)="",2,0)),0)</f>
        <v>0</v>
      </c>
      <c r="V984" s="194">
        <f>IFERROR(IF(INDEX([1]Pivot!$AD$1:$BE$65000,$B984,V$5)=1,1,IF(INDEX([1]Pivot!$B$1:$AB$65000,$B984,V$5)="",2,0)),0)</f>
        <v>0</v>
      </c>
      <c r="W984" s="194">
        <f>IFERROR(IF(INDEX([1]Pivot!$AD$1:$BE$65000,$B984,W$5)=1,1,IF(INDEX([1]Pivot!$B$1:$AB$65000,$B984,W$5)="",2,0)),0)</f>
        <v>0</v>
      </c>
      <c r="X984" s="194">
        <f>IFERROR(IF(INDEX([1]Pivot!$AD$1:$BE$65000,$B984,X$5)=1,1,IF(INDEX([1]Pivot!$B$1:$AB$65000,$B984,X$5)="",2,0)),0)</f>
        <v>0</v>
      </c>
      <c r="Y984" s="194">
        <f>IFERROR(IF(INDEX([1]Pivot!$AD$1:$BE$65000,$B984,Y$5)=1,1,IF(INDEX([1]Pivot!$B$1:$AB$65000,$B984,Y$5)="",2,0)),0)</f>
        <v>0</v>
      </c>
      <c r="Z984" s="194">
        <f>IFERROR(IF(INDEX([1]Pivot!$AD$1:$BE$65000,$B984,Z$5)=1,1,IF(INDEX([1]Pivot!$B$1:$AB$65000,$B984,Z$5)="",2,0)),0)</f>
        <v>0</v>
      </c>
      <c r="AA984" s="194">
        <f>IFERROR(IF(INDEX([1]Pivot!$AD$1:$BE$65000,$B984,AA$5)=1,1,IF(INDEX([1]Pivot!$B$1:$AB$65000,$B984,AA$5)="",2,0)),0)</f>
        <v>0</v>
      </c>
      <c r="AB984" s="194">
        <f>IFERROR(IF(INDEX([1]Pivot!$AD$1:$BE$65000,$B984,AB$5)=1,1,IF(INDEX([1]Pivot!$B$1:$AB$65000,$B984,AB$5)="",2,0)),0)</f>
        <v>0</v>
      </c>
      <c r="AC984" s="194">
        <f>IFERROR(IF(INDEX([1]Pivot!$AD$1:$BE$65000,$B984,AC$5)=1,1,IF(INDEX([1]Pivot!$B$1:$AB$65000,$B984,AC$5)="",2,0)),0)</f>
        <v>0</v>
      </c>
      <c r="AD984" s="313">
        <f>IFERROR(IF(INDEX([1]Pivot!$BF$1:$CG$65000,$B984,AD$5)=1,1,IF(INDEX([1]Pivot!$B$1:$AB$65000,$B984,AD$5)="",2,0)),0)</f>
        <v>0</v>
      </c>
      <c r="AE984" s="313">
        <f>IFERROR(IF(INDEX([1]Pivot!$BF$1:$CG$65000,$B984,AE$5)=1,1,IF(INDEX([1]Pivot!$B$1:$AB$65000,$B984,AE$5)="",2,0)),0)</f>
        <v>0</v>
      </c>
      <c r="AF984" s="313">
        <f>IFERROR(IF(INDEX([1]Pivot!$BF$1:$CG$65000,$B984,AF$5)=1,1,IF(INDEX([1]Pivot!$B$1:$AB$65000,$B984,AF$5)="",2,0)),0)</f>
        <v>0</v>
      </c>
      <c r="AG984" s="313">
        <f>IFERROR(IF(INDEX([1]Pivot!$BF$1:$CG$65000,$B984,AG$5)=1,1,IF(INDEX([1]Pivot!$B$1:$AB$65000,$B984,AG$5)="",2,0)),0)</f>
        <v>0</v>
      </c>
      <c r="AH984" s="313">
        <f>IFERROR(IF(INDEX([1]Pivot!$BF$1:$CG$65000,$B984,AH$5)=1,1,IF(INDEX([1]Pivot!$B$1:$AB$65000,$B984,AH$5)="",2,0)),0)</f>
        <v>0</v>
      </c>
      <c r="AI984" s="313">
        <f>IFERROR(IF(INDEX([1]Pivot!$BF$1:$CG$65000,$B984,AI$5)=1,1,IF(INDEX([1]Pivot!$B$1:$AB$65000,$B984,AI$5)="",2,0)),0)</f>
        <v>0</v>
      </c>
      <c r="AJ984" s="313">
        <f>IFERROR(IF(INDEX([1]Pivot!$BF$1:$CG$65000,$B984,AJ$5)=1,1,IF(INDEX([1]Pivot!$B$1:$AB$65000,$B984,AJ$5)="",2,0)),0)</f>
        <v>0</v>
      </c>
      <c r="AK984" s="313">
        <f>IFERROR(IF(INDEX([1]Pivot!$BF$1:$CG$65000,$B984,AK$5)=1,1,IF(INDEX([1]Pivot!$B$1:$AB$65000,$B984,AK$5)="",2,0)),0)</f>
        <v>0</v>
      </c>
      <c r="AL984" s="313">
        <f>IFERROR(IF(INDEX([1]Pivot!$BF$1:$CG$65000,$B984,AL$5)=1,1,IF(INDEX([1]Pivot!$B$1:$AB$65000,$B984,AL$5)="",2,0)),0)</f>
        <v>0</v>
      </c>
      <c r="AM984" s="313">
        <f>IFERROR(IF(INDEX([1]Pivot!$BF$1:$CG$65000,$B984,AM$5)=1,1,IF(INDEX([1]Pivot!$B$1:$AB$65000,$B984,AM$5)="",2,0)),0)</f>
        <v>0</v>
      </c>
      <c r="AN984" s="313">
        <f>IFERROR(IF(INDEX([1]Pivot!$BF$1:$CG$65000,$B984,AN$5)=1,1,IF(INDEX([1]Pivot!$B$1:$AB$65000,$B984,AN$5)="",2,0)),0)</f>
        <v>0</v>
      </c>
      <c r="AO984" s="313">
        <f>IFERROR(IF(INDEX([1]Pivot!$BF$1:$CG$65000,$B984,AO$5)=1,1,IF(INDEX([1]Pivot!$B$1:$AB$65000,$B984,AO$5)="",2,0)),0)</f>
        <v>0</v>
      </c>
      <c r="AP984" s="313">
        <f>IFERROR(IF(INDEX([1]Pivot!$BF$1:$CG$65000,$B984,AP$5)=1,1,IF(INDEX([1]Pivot!$B$1:$AB$65000,$B984,AP$5)="",2,0)),0)</f>
        <v>0</v>
      </c>
      <c r="AQ984" s="313">
        <f>IFERROR(IF(INDEX([1]Pivot!$BF$1:$CG$65000,$B984,AQ$5)=1,1,IF(INDEX([1]Pivot!$B$1:$AB$65000,$B984,AQ$5)="",2,0)),0)</f>
        <v>0</v>
      </c>
      <c r="AR984" s="313">
        <f>IFERROR(IF(INDEX([1]Pivot!$BF$1:$CG$65000,$B984,AR$5)=1,1,IF(INDEX([1]Pivot!$B$1:$AB$65000,$B984,AR$5)="",2,0)),0)</f>
        <v>0</v>
      </c>
      <c r="AS984" s="312"/>
      <c r="AT984" s="313">
        <f>IFERROR(IF(INDEX([1]Pivot!$BF$1:$CG$65000,$B984,AT$5)=1,1,IF(INDEX([1]Pivot!$B$1:$AB$65000,$B984,AT$5)="",2,0)),0)</f>
        <v>0</v>
      </c>
      <c r="AU984" s="313">
        <f>IFERROR(IF(INDEX([1]Pivot!$BF$1:$CG$65000,$B984,AU$5)=1,1,IF(INDEX([1]Pivot!$B$1:$AB$65000,$B984,AU$5)="",2,0)),0)</f>
        <v>0</v>
      </c>
      <c r="AV984" s="313">
        <f>IFERROR(IF(INDEX([1]Pivot!$BF$1:$CG$65000,$B984,AV$5)=1,1,IF(INDEX([1]Pivot!$B$1:$AB$65000,$B984,AV$5)="",2,0)),0)</f>
        <v>0</v>
      </c>
      <c r="AW984" s="313">
        <f>IFERROR(IF(INDEX([1]Pivot!$BF$1:$CG$65000,$B984,AW$5)=1,1,IF(INDEX([1]Pivot!$B$1:$AB$65000,$B984,AW$5)="",2,0)),0)</f>
        <v>0</v>
      </c>
      <c r="AX984" s="313">
        <f>IFERROR(IF(INDEX([1]Pivot!$BF$1:$CG$65000,$B984,AX$5)=1,1,IF(INDEX([1]Pivot!$B$1:$AB$65000,$B984,AX$5)="",2,0)),0)</f>
        <v>0</v>
      </c>
      <c r="AY984" s="313">
        <f>IFERROR(IF(INDEX([1]Pivot!$BF$1:$CG$65000,$B984,AY$5)=1,1,IF(INDEX([1]Pivot!$B$1:$AB$65000,$B984,AY$5)="",2,0)),0)</f>
        <v>0</v>
      </c>
      <c r="AZ984" s="313">
        <f>IFERROR(IF(INDEX([1]Pivot!$BF$1:$CG$65000,$B984,AZ$5)=1,1,IF(INDEX([1]Pivot!$B$1:$AB$65000,$B984,AZ$5)="",2,0)),0)</f>
        <v>0</v>
      </c>
      <c r="BA984" s="313">
        <f>IFERROR(IF(INDEX([1]Pivot!$BF$1:$CG$65000,$B984,BA$5)=1,1,IF(INDEX([1]Pivot!$B$1:$AB$65000,$B984,BA$5)="",2,0)),0)</f>
        <v>0</v>
      </c>
      <c r="BB984" s="313">
        <f>IFERROR(IF(INDEX([1]Pivot!$BF$1:$CG$65000,$B984,BB$5)=1,1,IF(INDEX([1]Pivot!$B$1:$AB$65000,$B984,BB$5)="",2,0)),0)</f>
        <v>0</v>
      </c>
      <c r="BC984" s="313">
        <f>IFERROR(IF(INDEX([1]Pivot!$BF$1:$CG$65000,$B984,BC$5)=1,1,IF(INDEX([1]Pivot!$B$1:$AB$65000,$B984,BC$5)="",2,0)),0)</f>
        <v>0</v>
      </c>
      <c r="BD984" s="313">
        <f>IFERROR(IF(INDEX([1]Pivot!$BF$1:$CG$65000,$B984,BD$5)=1,1,IF(INDEX([1]Pivot!$B$1:$AB$65000,$B984,BD$5)="",2,0)),0)</f>
        <v>0</v>
      </c>
    </row>
    <row r="985" spans="1:56" x14ac:dyDescent="0.25">
      <c r="A985" s="288">
        <f>'[2]Raw Milk Prices'!A985</f>
        <v>0</v>
      </c>
      <c r="B985" s="296" t="e">
        <f>MATCH(DATE(LEFT('[2]Raw Milk Prices'!$A985,4),RIGHT('[2]Raw Milk Prices'!$A985,2),1),[1]Pivot!$A$1:$A$65000,0)</f>
        <v>#VALUE!</v>
      </c>
      <c r="C985" s="194">
        <f>IFERROR(IF(INDEX([1]Pivot!$AD$1:$BE$65000,$B985,C$5)=1,1,IF(INDEX([1]Pivot!$B$1:$AB$65000,$B985,C$5)="",2,0)),0)</f>
        <v>0</v>
      </c>
      <c r="D985" s="194">
        <f>IFERROR(IF(INDEX([1]Pivot!$AD$1:$BE$65000,$B985,D$5)=1,1,IF(INDEX([1]Pivot!$B$1:$AB$65000,$B985,D$5)="",2,0)),0)</f>
        <v>0</v>
      </c>
      <c r="E985" s="194">
        <f>IFERROR(IF(INDEX([1]Pivot!$AD$1:$BE$65000,$B985,E$5)=1,1,IF(INDEX([1]Pivot!$B$1:$AB$65000,$B985,E$5)="",2,0)),0)</f>
        <v>0</v>
      </c>
      <c r="F985" s="194">
        <f>IFERROR(IF(INDEX([1]Pivot!$AD$1:$BE$65000,$B985,F$5)=1,1,IF(INDEX([1]Pivot!$B$1:$AB$65000,$B985,F$5)="",2,0)),0)</f>
        <v>0</v>
      </c>
      <c r="G985" s="194">
        <f>IFERROR(IF(INDEX([1]Pivot!$AD$1:$BE$65000,$B985,G$5)=1,1,IF(INDEX([1]Pivot!$B$1:$AB$65000,$B985,G$5)="",2,0)),0)</f>
        <v>0</v>
      </c>
      <c r="H985" s="194">
        <f>IFERROR(IF(INDEX([1]Pivot!$AD$1:$BE$65000,$B985,H$5)=1,1,IF(INDEX([1]Pivot!$B$1:$AB$65000,$B985,H$5)="",2,0)),0)</f>
        <v>0</v>
      </c>
      <c r="I985" s="194">
        <f>IFERROR(IF(INDEX([1]Pivot!$AD$1:$BE$65000,$B985,I$5)=1,1,IF(INDEX([1]Pivot!$B$1:$AB$65000,$B985,I$5)="",2,0)),0)</f>
        <v>0</v>
      </c>
      <c r="J985" s="194">
        <f>IFERROR(IF(INDEX([1]Pivot!$AD$1:$BE$65000,$B985,J$5)=1,1,IF(INDEX([1]Pivot!$B$1:$AB$65000,$B985,J$5)="",2,0)),0)</f>
        <v>0</v>
      </c>
      <c r="K985" s="194">
        <f>IFERROR(IF(INDEX([1]Pivot!$AD$1:$BE$65000,$B985,K$5)=1,1,IF(INDEX([1]Pivot!$B$1:$AB$65000,$B985,K$5)="",2,0)),0)</f>
        <v>0</v>
      </c>
      <c r="L985" s="194">
        <f>IFERROR(IF(INDEX([1]Pivot!$AD$1:$BE$65000,$B985,L$5)=1,1,IF(INDEX([1]Pivot!$B$1:$AB$65000,$B985,L$5)="",2,0)),0)</f>
        <v>0</v>
      </c>
      <c r="M985" s="194">
        <f>IFERROR(IF(INDEX([1]Pivot!$AD$1:$BE$65000,$B985,M$5)=1,1,IF(INDEX([1]Pivot!$B$1:$AB$65000,$B985,M$5)="",2,0)),0)</f>
        <v>0</v>
      </c>
      <c r="N985" s="194">
        <f>IFERROR(IF(INDEX([1]Pivot!$AD$1:$BE$65000,$B985,N$5)=1,1,IF(INDEX([1]Pivot!$B$1:$AB$65000,$B985,N$5)="",2,0)),0)</f>
        <v>0</v>
      </c>
      <c r="O985" s="194">
        <f>IFERROR(IF(INDEX([1]Pivot!$AD$1:$BE$65000,$B985,O$5)=1,1,IF(INDEX([1]Pivot!$B$1:$AB$65000,$B985,O$5)="",2,0)),0)</f>
        <v>0</v>
      </c>
      <c r="P985" s="194">
        <f>IFERROR(IF(INDEX([1]Pivot!$AD$1:$BE$65000,$B985,P$5)=1,1,IF(INDEX([1]Pivot!$B$1:$AB$65000,$B985,P$5)="",2,0)),0)</f>
        <v>0</v>
      </c>
      <c r="Q985" s="194">
        <f>IFERROR(IF(INDEX([1]Pivot!$AD$1:$BE$65000,$B985,Q$5)=1,1,IF(INDEX([1]Pivot!$B$1:$AB$65000,$B985,Q$5)="",2,0)),0)</f>
        <v>0</v>
      </c>
      <c r="R985" s="312"/>
      <c r="S985" s="194">
        <f>IFERROR(IF(INDEX([1]Pivot!$AD$1:$BE$65000,$B985,S$5)=1,1,IF(INDEX([1]Pivot!$B$1:$AB$65000,$B985,S$5)="",2,0)),0)</f>
        <v>0</v>
      </c>
      <c r="T985" s="194">
        <f>IFERROR(IF(INDEX([1]Pivot!$AD$1:$BE$65000,$B985,T$5)=1,1,IF(INDEX([1]Pivot!$B$1:$AB$65000,$B985,T$5)="",2,0)),0)</f>
        <v>0</v>
      </c>
      <c r="U985" s="194">
        <f>IFERROR(IF(INDEX([1]Pivot!$AD$1:$BE$65000,$B985,U$5)=1,1,IF(INDEX([1]Pivot!$B$1:$AB$65000,$B985,U$5)="",2,0)),0)</f>
        <v>0</v>
      </c>
      <c r="V985" s="194">
        <f>IFERROR(IF(INDEX([1]Pivot!$AD$1:$BE$65000,$B985,V$5)=1,1,IF(INDEX([1]Pivot!$B$1:$AB$65000,$B985,V$5)="",2,0)),0)</f>
        <v>0</v>
      </c>
      <c r="W985" s="194">
        <f>IFERROR(IF(INDEX([1]Pivot!$AD$1:$BE$65000,$B985,W$5)=1,1,IF(INDEX([1]Pivot!$B$1:$AB$65000,$B985,W$5)="",2,0)),0)</f>
        <v>0</v>
      </c>
      <c r="X985" s="194">
        <f>IFERROR(IF(INDEX([1]Pivot!$AD$1:$BE$65000,$B985,X$5)=1,1,IF(INDEX([1]Pivot!$B$1:$AB$65000,$B985,X$5)="",2,0)),0)</f>
        <v>0</v>
      </c>
      <c r="Y985" s="194">
        <f>IFERROR(IF(INDEX([1]Pivot!$AD$1:$BE$65000,$B985,Y$5)=1,1,IF(INDEX([1]Pivot!$B$1:$AB$65000,$B985,Y$5)="",2,0)),0)</f>
        <v>0</v>
      </c>
      <c r="Z985" s="194">
        <f>IFERROR(IF(INDEX([1]Pivot!$AD$1:$BE$65000,$B985,Z$5)=1,1,IF(INDEX([1]Pivot!$B$1:$AB$65000,$B985,Z$5)="",2,0)),0)</f>
        <v>0</v>
      </c>
      <c r="AA985" s="194">
        <f>IFERROR(IF(INDEX([1]Pivot!$AD$1:$BE$65000,$B985,AA$5)=1,1,IF(INDEX([1]Pivot!$B$1:$AB$65000,$B985,AA$5)="",2,0)),0)</f>
        <v>0</v>
      </c>
      <c r="AB985" s="194">
        <f>IFERROR(IF(INDEX([1]Pivot!$AD$1:$BE$65000,$B985,AB$5)=1,1,IF(INDEX([1]Pivot!$B$1:$AB$65000,$B985,AB$5)="",2,0)),0)</f>
        <v>0</v>
      </c>
      <c r="AC985" s="194">
        <f>IFERROR(IF(INDEX([1]Pivot!$AD$1:$BE$65000,$B985,AC$5)=1,1,IF(INDEX([1]Pivot!$B$1:$AB$65000,$B985,AC$5)="",2,0)),0)</f>
        <v>0</v>
      </c>
      <c r="AD985" s="313">
        <f>IFERROR(IF(INDEX([1]Pivot!$BF$1:$CG$65000,$B985,AD$5)=1,1,IF(INDEX([1]Pivot!$B$1:$AB$65000,$B985,AD$5)="",2,0)),0)</f>
        <v>0</v>
      </c>
      <c r="AE985" s="313">
        <f>IFERROR(IF(INDEX([1]Pivot!$BF$1:$CG$65000,$B985,AE$5)=1,1,IF(INDEX([1]Pivot!$B$1:$AB$65000,$B985,AE$5)="",2,0)),0)</f>
        <v>0</v>
      </c>
      <c r="AF985" s="313">
        <f>IFERROR(IF(INDEX([1]Pivot!$BF$1:$CG$65000,$B985,AF$5)=1,1,IF(INDEX([1]Pivot!$B$1:$AB$65000,$B985,AF$5)="",2,0)),0)</f>
        <v>0</v>
      </c>
      <c r="AG985" s="313">
        <f>IFERROR(IF(INDEX([1]Pivot!$BF$1:$CG$65000,$B985,AG$5)=1,1,IF(INDEX([1]Pivot!$B$1:$AB$65000,$B985,AG$5)="",2,0)),0)</f>
        <v>0</v>
      </c>
      <c r="AH985" s="313">
        <f>IFERROR(IF(INDEX([1]Pivot!$BF$1:$CG$65000,$B985,AH$5)=1,1,IF(INDEX([1]Pivot!$B$1:$AB$65000,$B985,AH$5)="",2,0)),0)</f>
        <v>0</v>
      </c>
      <c r="AI985" s="313">
        <f>IFERROR(IF(INDEX([1]Pivot!$BF$1:$CG$65000,$B985,AI$5)=1,1,IF(INDEX([1]Pivot!$B$1:$AB$65000,$B985,AI$5)="",2,0)),0)</f>
        <v>0</v>
      </c>
      <c r="AJ985" s="313">
        <f>IFERROR(IF(INDEX([1]Pivot!$BF$1:$CG$65000,$B985,AJ$5)=1,1,IF(INDEX([1]Pivot!$B$1:$AB$65000,$B985,AJ$5)="",2,0)),0)</f>
        <v>0</v>
      </c>
      <c r="AK985" s="313">
        <f>IFERROR(IF(INDEX([1]Pivot!$BF$1:$CG$65000,$B985,AK$5)=1,1,IF(INDEX([1]Pivot!$B$1:$AB$65000,$B985,AK$5)="",2,0)),0)</f>
        <v>0</v>
      </c>
      <c r="AL985" s="313">
        <f>IFERROR(IF(INDEX([1]Pivot!$BF$1:$CG$65000,$B985,AL$5)=1,1,IF(INDEX([1]Pivot!$B$1:$AB$65000,$B985,AL$5)="",2,0)),0)</f>
        <v>0</v>
      </c>
      <c r="AM985" s="313">
        <f>IFERROR(IF(INDEX([1]Pivot!$BF$1:$CG$65000,$B985,AM$5)=1,1,IF(INDEX([1]Pivot!$B$1:$AB$65000,$B985,AM$5)="",2,0)),0)</f>
        <v>0</v>
      </c>
      <c r="AN985" s="313">
        <f>IFERROR(IF(INDEX([1]Pivot!$BF$1:$CG$65000,$B985,AN$5)=1,1,IF(INDEX([1]Pivot!$B$1:$AB$65000,$B985,AN$5)="",2,0)),0)</f>
        <v>0</v>
      </c>
      <c r="AO985" s="313">
        <f>IFERROR(IF(INDEX([1]Pivot!$BF$1:$CG$65000,$B985,AO$5)=1,1,IF(INDEX([1]Pivot!$B$1:$AB$65000,$B985,AO$5)="",2,0)),0)</f>
        <v>0</v>
      </c>
      <c r="AP985" s="313">
        <f>IFERROR(IF(INDEX([1]Pivot!$BF$1:$CG$65000,$B985,AP$5)=1,1,IF(INDEX([1]Pivot!$B$1:$AB$65000,$B985,AP$5)="",2,0)),0)</f>
        <v>0</v>
      </c>
      <c r="AQ985" s="313">
        <f>IFERROR(IF(INDEX([1]Pivot!$BF$1:$CG$65000,$B985,AQ$5)=1,1,IF(INDEX([1]Pivot!$B$1:$AB$65000,$B985,AQ$5)="",2,0)),0)</f>
        <v>0</v>
      </c>
      <c r="AR985" s="313">
        <f>IFERROR(IF(INDEX([1]Pivot!$BF$1:$CG$65000,$B985,AR$5)=1,1,IF(INDEX([1]Pivot!$B$1:$AB$65000,$B985,AR$5)="",2,0)),0)</f>
        <v>0</v>
      </c>
      <c r="AS985" s="312"/>
      <c r="AT985" s="313">
        <f>IFERROR(IF(INDEX([1]Pivot!$BF$1:$CG$65000,$B985,AT$5)=1,1,IF(INDEX([1]Pivot!$B$1:$AB$65000,$B985,AT$5)="",2,0)),0)</f>
        <v>0</v>
      </c>
      <c r="AU985" s="313">
        <f>IFERROR(IF(INDEX([1]Pivot!$BF$1:$CG$65000,$B985,AU$5)=1,1,IF(INDEX([1]Pivot!$B$1:$AB$65000,$B985,AU$5)="",2,0)),0)</f>
        <v>0</v>
      </c>
      <c r="AV985" s="313">
        <f>IFERROR(IF(INDEX([1]Pivot!$BF$1:$CG$65000,$B985,AV$5)=1,1,IF(INDEX([1]Pivot!$B$1:$AB$65000,$B985,AV$5)="",2,0)),0)</f>
        <v>0</v>
      </c>
      <c r="AW985" s="313">
        <f>IFERROR(IF(INDEX([1]Pivot!$BF$1:$CG$65000,$B985,AW$5)=1,1,IF(INDEX([1]Pivot!$B$1:$AB$65000,$B985,AW$5)="",2,0)),0)</f>
        <v>0</v>
      </c>
      <c r="AX985" s="313">
        <f>IFERROR(IF(INDEX([1]Pivot!$BF$1:$CG$65000,$B985,AX$5)=1,1,IF(INDEX([1]Pivot!$B$1:$AB$65000,$B985,AX$5)="",2,0)),0)</f>
        <v>0</v>
      </c>
      <c r="AY985" s="313">
        <f>IFERROR(IF(INDEX([1]Pivot!$BF$1:$CG$65000,$B985,AY$5)=1,1,IF(INDEX([1]Pivot!$B$1:$AB$65000,$B985,AY$5)="",2,0)),0)</f>
        <v>0</v>
      </c>
      <c r="AZ985" s="313">
        <f>IFERROR(IF(INDEX([1]Pivot!$BF$1:$CG$65000,$B985,AZ$5)=1,1,IF(INDEX([1]Pivot!$B$1:$AB$65000,$B985,AZ$5)="",2,0)),0)</f>
        <v>0</v>
      </c>
      <c r="BA985" s="313">
        <f>IFERROR(IF(INDEX([1]Pivot!$BF$1:$CG$65000,$B985,BA$5)=1,1,IF(INDEX([1]Pivot!$B$1:$AB$65000,$B985,BA$5)="",2,0)),0)</f>
        <v>0</v>
      </c>
      <c r="BB985" s="313">
        <f>IFERROR(IF(INDEX([1]Pivot!$BF$1:$CG$65000,$B985,BB$5)=1,1,IF(INDEX([1]Pivot!$B$1:$AB$65000,$B985,BB$5)="",2,0)),0)</f>
        <v>0</v>
      </c>
      <c r="BC985" s="313">
        <f>IFERROR(IF(INDEX([1]Pivot!$BF$1:$CG$65000,$B985,BC$5)=1,1,IF(INDEX([1]Pivot!$B$1:$AB$65000,$B985,BC$5)="",2,0)),0)</f>
        <v>0</v>
      </c>
      <c r="BD985" s="313">
        <f>IFERROR(IF(INDEX([1]Pivot!$BF$1:$CG$65000,$B985,BD$5)=1,1,IF(INDEX([1]Pivot!$B$1:$AB$65000,$B985,BD$5)="",2,0)),0)</f>
        <v>0</v>
      </c>
    </row>
    <row r="986" spans="1:56" x14ac:dyDescent="0.25">
      <c r="A986" s="288">
        <f>'[2]Raw Milk Prices'!A986</f>
        <v>0</v>
      </c>
      <c r="B986" s="296" t="e">
        <f>MATCH(DATE(LEFT('[2]Raw Milk Prices'!$A986,4),RIGHT('[2]Raw Milk Prices'!$A986,2),1),[1]Pivot!$A$1:$A$65000,0)</f>
        <v>#VALUE!</v>
      </c>
      <c r="C986" s="194">
        <f>IFERROR(IF(INDEX([1]Pivot!$AD$1:$BE$65000,$B986,C$5)=1,1,IF(INDEX([1]Pivot!$B$1:$AB$65000,$B986,C$5)="",2,0)),0)</f>
        <v>0</v>
      </c>
      <c r="D986" s="194">
        <f>IFERROR(IF(INDEX([1]Pivot!$AD$1:$BE$65000,$B986,D$5)=1,1,IF(INDEX([1]Pivot!$B$1:$AB$65000,$B986,D$5)="",2,0)),0)</f>
        <v>0</v>
      </c>
      <c r="E986" s="194">
        <f>IFERROR(IF(INDEX([1]Pivot!$AD$1:$BE$65000,$B986,E$5)=1,1,IF(INDEX([1]Pivot!$B$1:$AB$65000,$B986,E$5)="",2,0)),0)</f>
        <v>0</v>
      </c>
      <c r="F986" s="194">
        <f>IFERROR(IF(INDEX([1]Pivot!$AD$1:$BE$65000,$B986,F$5)=1,1,IF(INDEX([1]Pivot!$B$1:$AB$65000,$B986,F$5)="",2,0)),0)</f>
        <v>0</v>
      </c>
      <c r="G986" s="194">
        <f>IFERROR(IF(INDEX([1]Pivot!$AD$1:$BE$65000,$B986,G$5)=1,1,IF(INDEX([1]Pivot!$B$1:$AB$65000,$B986,G$5)="",2,0)),0)</f>
        <v>0</v>
      </c>
      <c r="H986" s="194">
        <f>IFERROR(IF(INDEX([1]Pivot!$AD$1:$BE$65000,$B986,H$5)=1,1,IF(INDEX([1]Pivot!$B$1:$AB$65000,$B986,H$5)="",2,0)),0)</f>
        <v>0</v>
      </c>
      <c r="I986" s="194">
        <f>IFERROR(IF(INDEX([1]Pivot!$AD$1:$BE$65000,$B986,I$5)=1,1,IF(INDEX([1]Pivot!$B$1:$AB$65000,$B986,I$5)="",2,0)),0)</f>
        <v>0</v>
      </c>
      <c r="J986" s="194">
        <f>IFERROR(IF(INDEX([1]Pivot!$AD$1:$BE$65000,$B986,J$5)=1,1,IF(INDEX([1]Pivot!$B$1:$AB$65000,$B986,J$5)="",2,0)),0)</f>
        <v>0</v>
      </c>
      <c r="K986" s="194">
        <f>IFERROR(IF(INDEX([1]Pivot!$AD$1:$BE$65000,$B986,K$5)=1,1,IF(INDEX([1]Pivot!$B$1:$AB$65000,$B986,K$5)="",2,0)),0)</f>
        <v>0</v>
      </c>
      <c r="L986" s="194">
        <f>IFERROR(IF(INDEX([1]Pivot!$AD$1:$BE$65000,$B986,L$5)=1,1,IF(INDEX([1]Pivot!$B$1:$AB$65000,$B986,L$5)="",2,0)),0)</f>
        <v>0</v>
      </c>
      <c r="M986" s="194">
        <f>IFERROR(IF(INDEX([1]Pivot!$AD$1:$BE$65000,$B986,M$5)=1,1,IF(INDEX([1]Pivot!$B$1:$AB$65000,$B986,M$5)="",2,0)),0)</f>
        <v>0</v>
      </c>
      <c r="N986" s="194">
        <f>IFERROR(IF(INDEX([1]Pivot!$AD$1:$BE$65000,$B986,N$5)=1,1,IF(INDEX([1]Pivot!$B$1:$AB$65000,$B986,N$5)="",2,0)),0)</f>
        <v>0</v>
      </c>
      <c r="O986" s="194">
        <f>IFERROR(IF(INDEX([1]Pivot!$AD$1:$BE$65000,$B986,O$5)=1,1,IF(INDEX([1]Pivot!$B$1:$AB$65000,$B986,O$5)="",2,0)),0)</f>
        <v>0</v>
      </c>
      <c r="P986" s="194">
        <f>IFERROR(IF(INDEX([1]Pivot!$AD$1:$BE$65000,$B986,P$5)=1,1,IF(INDEX([1]Pivot!$B$1:$AB$65000,$B986,P$5)="",2,0)),0)</f>
        <v>0</v>
      </c>
      <c r="Q986" s="194">
        <f>IFERROR(IF(INDEX([1]Pivot!$AD$1:$BE$65000,$B986,Q$5)=1,1,IF(INDEX([1]Pivot!$B$1:$AB$65000,$B986,Q$5)="",2,0)),0)</f>
        <v>0</v>
      </c>
      <c r="R986" s="312"/>
      <c r="S986" s="194">
        <f>IFERROR(IF(INDEX([1]Pivot!$AD$1:$BE$65000,$B986,S$5)=1,1,IF(INDEX([1]Pivot!$B$1:$AB$65000,$B986,S$5)="",2,0)),0)</f>
        <v>0</v>
      </c>
      <c r="T986" s="194">
        <f>IFERROR(IF(INDEX([1]Pivot!$AD$1:$BE$65000,$B986,T$5)=1,1,IF(INDEX([1]Pivot!$B$1:$AB$65000,$B986,T$5)="",2,0)),0)</f>
        <v>0</v>
      </c>
      <c r="U986" s="194">
        <f>IFERROR(IF(INDEX([1]Pivot!$AD$1:$BE$65000,$B986,U$5)=1,1,IF(INDEX([1]Pivot!$B$1:$AB$65000,$B986,U$5)="",2,0)),0)</f>
        <v>0</v>
      </c>
      <c r="V986" s="194">
        <f>IFERROR(IF(INDEX([1]Pivot!$AD$1:$BE$65000,$B986,V$5)=1,1,IF(INDEX([1]Pivot!$B$1:$AB$65000,$B986,V$5)="",2,0)),0)</f>
        <v>0</v>
      </c>
      <c r="W986" s="194">
        <f>IFERROR(IF(INDEX([1]Pivot!$AD$1:$BE$65000,$B986,W$5)=1,1,IF(INDEX([1]Pivot!$B$1:$AB$65000,$B986,W$5)="",2,0)),0)</f>
        <v>0</v>
      </c>
      <c r="X986" s="194">
        <f>IFERROR(IF(INDEX([1]Pivot!$AD$1:$BE$65000,$B986,X$5)=1,1,IF(INDEX([1]Pivot!$B$1:$AB$65000,$B986,X$5)="",2,0)),0)</f>
        <v>0</v>
      </c>
      <c r="Y986" s="194">
        <f>IFERROR(IF(INDEX([1]Pivot!$AD$1:$BE$65000,$B986,Y$5)=1,1,IF(INDEX([1]Pivot!$B$1:$AB$65000,$B986,Y$5)="",2,0)),0)</f>
        <v>0</v>
      </c>
      <c r="Z986" s="194">
        <f>IFERROR(IF(INDEX([1]Pivot!$AD$1:$BE$65000,$B986,Z$5)=1,1,IF(INDEX([1]Pivot!$B$1:$AB$65000,$B986,Z$5)="",2,0)),0)</f>
        <v>0</v>
      </c>
      <c r="AA986" s="194">
        <f>IFERROR(IF(INDEX([1]Pivot!$AD$1:$BE$65000,$B986,AA$5)=1,1,IF(INDEX([1]Pivot!$B$1:$AB$65000,$B986,AA$5)="",2,0)),0)</f>
        <v>0</v>
      </c>
      <c r="AB986" s="194">
        <f>IFERROR(IF(INDEX([1]Pivot!$AD$1:$BE$65000,$B986,AB$5)=1,1,IF(INDEX([1]Pivot!$B$1:$AB$65000,$B986,AB$5)="",2,0)),0)</f>
        <v>0</v>
      </c>
      <c r="AC986" s="194">
        <f>IFERROR(IF(INDEX([1]Pivot!$AD$1:$BE$65000,$B986,AC$5)=1,1,IF(INDEX([1]Pivot!$B$1:$AB$65000,$B986,AC$5)="",2,0)),0)</f>
        <v>0</v>
      </c>
      <c r="AD986" s="313">
        <f>IFERROR(IF(INDEX([1]Pivot!$BF$1:$CG$65000,$B986,AD$5)=1,1,IF(INDEX([1]Pivot!$B$1:$AB$65000,$B986,AD$5)="",2,0)),0)</f>
        <v>0</v>
      </c>
      <c r="AE986" s="313">
        <f>IFERROR(IF(INDEX([1]Pivot!$BF$1:$CG$65000,$B986,AE$5)=1,1,IF(INDEX([1]Pivot!$B$1:$AB$65000,$B986,AE$5)="",2,0)),0)</f>
        <v>0</v>
      </c>
      <c r="AF986" s="313">
        <f>IFERROR(IF(INDEX([1]Pivot!$BF$1:$CG$65000,$B986,AF$5)=1,1,IF(INDEX([1]Pivot!$B$1:$AB$65000,$B986,AF$5)="",2,0)),0)</f>
        <v>0</v>
      </c>
      <c r="AG986" s="313">
        <f>IFERROR(IF(INDEX([1]Pivot!$BF$1:$CG$65000,$B986,AG$5)=1,1,IF(INDEX([1]Pivot!$B$1:$AB$65000,$B986,AG$5)="",2,0)),0)</f>
        <v>0</v>
      </c>
      <c r="AH986" s="313">
        <f>IFERROR(IF(INDEX([1]Pivot!$BF$1:$CG$65000,$B986,AH$5)=1,1,IF(INDEX([1]Pivot!$B$1:$AB$65000,$B986,AH$5)="",2,0)),0)</f>
        <v>0</v>
      </c>
      <c r="AI986" s="313">
        <f>IFERROR(IF(INDEX([1]Pivot!$BF$1:$CG$65000,$B986,AI$5)=1,1,IF(INDEX([1]Pivot!$B$1:$AB$65000,$B986,AI$5)="",2,0)),0)</f>
        <v>0</v>
      </c>
      <c r="AJ986" s="313">
        <f>IFERROR(IF(INDEX([1]Pivot!$BF$1:$CG$65000,$B986,AJ$5)=1,1,IF(INDEX([1]Pivot!$B$1:$AB$65000,$B986,AJ$5)="",2,0)),0)</f>
        <v>0</v>
      </c>
      <c r="AK986" s="313">
        <f>IFERROR(IF(INDEX([1]Pivot!$BF$1:$CG$65000,$B986,AK$5)=1,1,IF(INDEX([1]Pivot!$B$1:$AB$65000,$B986,AK$5)="",2,0)),0)</f>
        <v>0</v>
      </c>
      <c r="AL986" s="313">
        <f>IFERROR(IF(INDEX([1]Pivot!$BF$1:$CG$65000,$B986,AL$5)=1,1,IF(INDEX([1]Pivot!$B$1:$AB$65000,$B986,AL$5)="",2,0)),0)</f>
        <v>0</v>
      </c>
      <c r="AM986" s="313">
        <f>IFERROR(IF(INDEX([1]Pivot!$BF$1:$CG$65000,$B986,AM$5)=1,1,IF(INDEX([1]Pivot!$B$1:$AB$65000,$B986,AM$5)="",2,0)),0)</f>
        <v>0</v>
      </c>
      <c r="AN986" s="313">
        <f>IFERROR(IF(INDEX([1]Pivot!$BF$1:$CG$65000,$B986,AN$5)=1,1,IF(INDEX([1]Pivot!$B$1:$AB$65000,$B986,AN$5)="",2,0)),0)</f>
        <v>0</v>
      </c>
      <c r="AO986" s="313">
        <f>IFERROR(IF(INDEX([1]Pivot!$BF$1:$CG$65000,$B986,AO$5)=1,1,IF(INDEX([1]Pivot!$B$1:$AB$65000,$B986,AO$5)="",2,0)),0)</f>
        <v>0</v>
      </c>
      <c r="AP986" s="313">
        <f>IFERROR(IF(INDEX([1]Pivot!$BF$1:$CG$65000,$B986,AP$5)=1,1,IF(INDEX([1]Pivot!$B$1:$AB$65000,$B986,AP$5)="",2,0)),0)</f>
        <v>0</v>
      </c>
      <c r="AQ986" s="313">
        <f>IFERROR(IF(INDEX([1]Pivot!$BF$1:$CG$65000,$B986,AQ$5)=1,1,IF(INDEX([1]Pivot!$B$1:$AB$65000,$B986,AQ$5)="",2,0)),0)</f>
        <v>0</v>
      </c>
      <c r="AR986" s="313">
        <f>IFERROR(IF(INDEX([1]Pivot!$BF$1:$CG$65000,$B986,AR$5)=1,1,IF(INDEX([1]Pivot!$B$1:$AB$65000,$B986,AR$5)="",2,0)),0)</f>
        <v>0</v>
      </c>
      <c r="AS986" s="312"/>
      <c r="AT986" s="313">
        <f>IFERROR(IF(INDEX([1]Pivot!$BF$1:$CG$65000,$B986,AT$5)=1,1,IF(INDEX([1]Pivot!$B$1:$AB$65000,$B986,AT$5)="",2,0)),0)</f>
        <v>0</v>
      </c>
      <c r="AU986" s="313">
        <f>IFERROR(IF(INDEX([1]Pivot!$BF$1:$CG$65000,$B986,AU$5)=1,1,IF(INDEX([1]Pivot!$B$1:$AB$65000,$B986,AU$5)="",2,0)),0)</f>
        <v>0</v>
      </c>
      <c r="AV986" s="313">
        <f>IFERROR(IF(INDEX([1]Pivot!$BF$1:$CG$65000,$B986,AV$5)=1,1,IF(INDEX([1]Pivot!$B$1:$AB$65000,$B986,AV$5)="",2,0)),0)</f>
        <v>0</v>
      </c>
      <c r="AW986" s="313">
        <f>IFERROR(IF(INDEX([1]Pivot!$BF$1:$CG$65000,$B986,AW$5)=1,1,IF(INDEX([1]Pivot!$B$1:$AB$65000,$B986,AW$5)="",2,0)),0)</f>
        <v>0</v>
      </c>
      <c r="AX986" s="313">
        <f>IFERROR(IF(INDEX([1]Pivot!$BF$1:$CG$65000,$B986,AX$5)=1,1,IF(INDEX([1]Pivot!$B$1:$AB$65000,$B986,AX$5)="",2,0)),0)</f>
        <v>0</v>
      </c>
      <c r="AY986" s="313">
        <f>IFERROR(IF(INDEX([1]Pivot!$BF$1:$CG$65000,$B986,AY$5)=1,1,IF(INDEX([1]Pivot!$B$1:$AB$65000,$B986,AY$5)="",2,0)),0)</f>
        <v>0</v>
      </c>
      <c r="AZ986" s="313">
        <f>IFERROR(IF(INDEX([1]Pivot!$BF$1:$CG$65000,$B986,AZ$5)=1,1,IF(INDEX([1]Pivot!$B$1:$AB$65000,$B986,AZ$5)="",2,0)),0)</f>
        <v>0</v>
      </c>
      <c r="BA986" s="313">
        <f>IFERROR(IF(INDEX([1]Pivot!$BF$1:$CG$65000,$B986,BA$5)=1,1,IF(INDEX([1]Pivot!$B$1:$AB$65000,$B986,BA$5)="",2,0)),0)</f>
        <v>0</v>
      </c>
      <c r="BB986" s="313">
        <f>IFERROR(IF(INDEX([1]Pivot!$BF$1:$CG$65000,$B986,BB$5)=1,1,IF(INDEX([1]Pivot!$B$1:$AB$65000,$B986,BB$5)="",2,0)),0)</f>
        <v>0</v>
      </c>
      <c r="BC986" s="313">
        <f>IFERROR(IF(INDEX([1]Pivot!$BF$1:$CG$65000,$B986,BC$5)=1,1,IF(INDEX([1]Pivot!$B$1:$AB$65000,$B986,BC$5)="",2,0)),0)</f>
        <v>0</v>
      </c>
      <c r="BD986" s="313">
        <f>IFERROR(IF(INDEX([1]Pivot!$BF$1:$CG$65000,$B986,BD$5)=1,1,IF(INDEX([1]Pivot!$B$1:$AB$65000,$B986,BD$5)="",2,0)),0)</f>
        <v>0</v>
      </c>
    </row>
    <row r="987" spans="1:56" x14ac:dyDescent="0.25">
      <c r="A987" s="288">
        <f>'[2]Raw Milk Prices'!A987</f>
        <v>0</v>
      </c>
      <c r="B987" s="296" t="e">
        <f>MATCH(DATE(LEFT('[2]Raw Milk Prices'!$A987,4),RIGHT('[2]Raw Milk Prices'!$A987,2),1),[1]Pivot!$A$1:$A$65000,0)</f>
        <v>#VALUE!</v>
      </c>
      <c r="C987" s="194">
        <f>IFERROR(IF(INDEX([1]Pivot!$AD$1:$BE$65000,$B987,C$5)=1,1,IF(INDEX([1]Pivot!$B$1:$AB$65000,$B987,C$5)="",2,0)),0)</f>
        <v>0</v>
      </c>
      <c r="D987" s="194">
        <f>IFERROR(IF(INDEX([1]Pivot!$AD$1:$BE$65000,$B987,D$5)=1,1,IF(INDEX([1]Pivot!$B$1:$AB$65000,$B987,D$5)="",2,0)),0)</f>
        <v>0</v>
      </c>
      <c r="E987" s="194">
        <f>IFERROR(IF(INDEX([1]Pivot!$AD$1:$BE$65000,$B987,E$5)=1,1,IF(INDEX([1]Pivot!$B$1:$AB$65000,$B987,E$5)="",2,0)),0)</f>
        <v>0</v>
      </c>
      <c r="F987" s="194">
        <f>IFERROR(IF(INDEX([1]Pivot!$AD$1:$BE$65000,$B987,F$5)=1,1,IF(INDEX([1]Pivot!$B$1:$AB$65000,$B987,F$5)="",2,0)),0)</f>
        <v>0</v>
      </c>
      <c r="G987" s="194">
        <f>IFERROR(IF(INDEX([1]Pivot!$AD$1:$BE$65000,$B987,G$5)=1,1,IF(INDEX([1]Pivot!$B$1:$AB$65000,$B987,G$5)="",2,0)),0)</f>
        <v>0</v>
      </c>
      <c r="H987" s="194">
        <f>IFERROR(IF(INDEX([1]Pivot!$AD$1:$BE$65000,$B987,H$5)=1,1,IF(INDEX([1]Pivot!$B$1:$AB$65000,$B987,H$5)="",2,0)),0)</f>
        <v>0</v>
      </c>
      <c r="I987" s="194">
        <f>IFERROR(IF(INDEX([1]Pivot!$AD$1:$BE$65000,$B987,I$5)=1,1,IF(INDEX([1]Pivot!$B$1:$AB$65000,$B987,I$5)="",2,0)),0)</f>
        <v>0</v>
      </c>
      <c r="J987" s="194">
        <f>IFERROR(IF(INDEX([1]Pivot!$AD$1:$BE$65000,$B987,J$5)=1,1,IF(INDEX([1]Pivot!$B$1:$AB$65000,$B987,J$5)="",2,0)),0)</f>
        <v>0</v>
      </c>
      <c r="K987" s="194">
        <f>IFERROR(IF(INDEX([1]Pivot!$AD$1:$BE$65000,$B987,K$5)=1,1,IF(INDEX([1]Pivot!$B$1:$AB$65000,$B987,K$5)="",2,0)),0)</f>
        <v>0</v>
      </c>
      <c r="L987" s="194">
        <f>IFERROR(IF(INDEX([1]Pivot!$AD$1:$BE$65000,$B987,L$5)=1,1,IF(INDEX([1]Pivot!$B$1:$AB$65000,$B987,L$5)="",2,0)),0)</f>
        <v>0</v>
      </c>
      <c r="M987" s="194">
        <f>IFERROR(IF(INDEX([1]Pivot!$AD$1:$BE$65000,$B987,M$5)=1,1,IF(INDEX([1]Pivot!$B$1:$AB$65000,$B987,M$5)="",2,0)),0)</f>
        <v>0</v>
      </c>
      <c r="N987" s="194">
        <f>IFERROR(IF(INDEX([1]Pivot!$AD$1:$BE$65000,$B987,N$5)=1,1,IF(INDEX([1]Pivot!$B$1:$AB$65000,$B987,N$5)="",2,0)),0)</f>
        <v>0</v>
      </c>
      <c r="O987" s="194">
        <f>IFERROR(IF(INDEX([1]Pivot!$AD$1:$BE$65000,$B987,O$5)=1,1,IF(INDEX([1]Pivot!$B$1:$AB$65000,$B987,O$5)="",2,0)),0)</f>
        <v>0</v>
      </c>
      <c r="P987" s="194">
        <f>IFERROR(IF(INDEX([1]Pivot!$AD$1:$BE$65000,$B987,P$5)=1,1,IF(INDEX([1]Pivot!$B$1:$AB$65000,$B987,P$5)="",2,0)),0)</f>
        <v>0</v>
      </c>
      <c r="Q987" s="194">
        <f>IFERROR(IF(INDEX([1]Pivot!$AD$1:$BE$65000,$B987,Q$5)=1,1,IF(INDEX([1]Pivot!$B$1:$AB$65000,$B987,Q$5)="",2,0)),0)</f>
        <v>0</v>
      </c>
      <c r="R987" s="312"/>
      <c r="S987" s="194">
        <f>IFERROR(IF(INDEX([1]Pivot!$AD$1:$BE$65000,$B987,S$5)=1,1,IF(INDEX([1]Pivot!$B$1:$AB$65000,$B987,S$5)="",2,0)),0)</f>
        <v>0</v>
      </c>
      <c r="T987" s="194">
        <f>IFERROR(IF(INDEX([1]Pivot!$AD$1:$BE$65000,$B987,T$5)=1,1,IF(INDEX([1]Pivot!$B$1:$AB$65000,$B987,T$5)="",2,0)),0)</f>
        <v>0</v>
      </c>
      <c r="U987" s="194">
        <f>IFERROR(IF(INDEX([1]Pivot!$AD$1:$BE$65000,$B987,U$5)=1,1,IF(INDEX([1]Pivot!$B$1:$AB$65000,$B987,U$5)="",2,0)),0)</f>
        <v>0</v>
      </c>
      <c r="V987" s="194">
        <f>IFERROR(IF(INDEX([1]Pivot!$AD$1:$BE$65000,$B987,V$5)=1,1,IF(INDEX([1]Pivot!$B$1:$AB$65000,$B987,V$5)="",2,0)),0)</f>
        <v>0</v>
      </c>
      <c r="W987" s="194">
        <f>IFERROR(IF(INDEX([1]Pivot!$AD$1:$BE$65000,$B987,W$5)=1,1,IF(INDEX([1]Pivot!$B$1:$AB$65000,$B987,W$5)="",2,0)),0)</f>
        <v>0</v>
      </c>
      <c r="X987" s="194">
        <f>IFERROR(IF(INDEX([1]Pivot!$AD$1:$BE$65000,$B987,X$5)=1,1,IF(INDEX([1]Pivot!$B$1:$AB$65000,$B987,X$5)="",2,0)),0)</f>
        <v>0</v>
      </c>
      <c r="Y987" s="194">
        <f>IFERROR(IF(INDEX([1]Pivot!$AD$1:$BE$65000,$B987,Y$5)=1,1,IF(INDEX([1]Pivot!$B$1:$AB$65000,$B987,Y$5)="",2,0)),0)</f>
        <v>0</v>
      </c>
      <c r="Z987" s="194">
        <f>IFERROR(IF(INDEX([1]Pivot!$AD$1:$BE$65000,$B987,Z$5)=1,1,IF(INDEX([1]Pivot!$B$1:$AB$65000,$B987,Z$5)="",2,0)),0)</f>
        <v>0</v>
      </c>
      <c r="AA987" s="194">
        <f>IFERROR(IF(INDEX([1]Pivot!$AD$1:$BE$65000,$B987,AA$5)=1,1,IF(INDEX([1]Pivot!$B$1:$AB$65000,$B987,AA$5)="",2,0)),0)</f>
        <v>0</v>
      </c>
      <c r="AB987" s="194">
        <f>IFERROR(IF(INDEX([1]Pivot!$AD$1:$BE$65000,$B987,AB$5)=1,1,IF(INDEX([1]Pivot!$B$1:$AB$65000,$B987,AB$5)="",2,0)),0)</f>
        <v>0</v>
      </c>
      <c r="AC987" s="194">
        <f>IFERROR(IF(INDEX([1]Pivot!$AD$1:$BE$65000,$B987,AC$5)=1,1,IF(INDEX([1]Pivot!$B$1:$AB$65000,$B987,AC$5)="",2,0)),0)</f>
        <v>0</v>
      </c>
      <c r="AD987" s="313">
        <f>IFERROR(IF(INDEX([1]Pivot!$BF$1:$CG$65000,$B987,AD$5)=1,1,IF(INDEX([1]Pivot!$B$1:$AB$65000,$B987,AD$5)="",2,0)),0)</f>
        <v>0</v>
      </c>
      <c r="AE987" s="313">
        <f>IFERROR(IF(INDEX([1]Pivot!$BF$1:$CG$65000,$B987,AE$5)=1,1,IF(INDEX([1]Pivot!$B$1:$AB$65000,$B987,AE$5)="",2,0)),0)</f>
        <v>0</v>
      </c>
      <c r="AF987" s="313">
        <f>IFERROR(IF(INDEX([1]Pivot!$BF$1:$CG$65000,$B987,AF$5)=1,1,IF(INDEX([1]Pivot!$B$1:$AB$65000,$B987,AF$5)="",2,0)),0)</f>
        <v>0</v>
      </c>
      <c r="AG987" s="313">
        <f>IFERROR(IF(INDEX([1]Pivot!$BF$1:$CG$65000,$B987,AG$5)=1,1,IF(INDEX([1]Pivot!$B$1:$AB$65000,$B987,AG$5)="",2,0)),0)</f>
        <v>0</v>
      </c>
      <c r="AH987" s="313">
        <f>IFERROR(IF(INDEX([1]Pivot!$BF$1:$CG$65000,$B987,AH$5)=1,1,IF(INDEX([1]Pivot!$B$1:$AB$65000,$B987,AH$5)="",2,0)),0)</f>
        <v>0</v>
      </c>
      <c r="AI987" s="313">
        <f>IFERROR(IF(INDEX([1]Pivot!$BF$1:$CG$65000,$B987,AI$5)=1,1,IF(INDEX([1]Pivot!$B$1:$AB$65000,$B987,AI$5)="",2,0)),0)</f>
        <v>0</v>
      </c>
      <c r="AJ987" s="313">
        <f>IFERROR(IF(INDEX([1]Pivot!$BF$1:$CG$65000,$B987,AJ$5)=1,1,IF(INDEX([1]Pivot!$B$1:$AB$65000,$B987,AJ$5)="",2,0)),0)</f>
        <v>0</v>
      </c>
      <c r="AK987" s="313">
        <f>IFERROR(IF(INDEX([1]Pivot!$BF$1:$CG$65000,$B987,AK$5)=1,1,IF(INDEX([1]Pivot!$B$1:$AB$65000,$B987,AK$5)="",2,0)),0)</f>
        <v>0</v>
      </c>
      <c r="AL987" s="313">
        <f>IFERROR(IF(INDEX([1]Pivot!$BF$1:$CG$65000,$B987,AL$5)=1,1,IF(INDEX([1]Pivot!$B$1:$AB$65000,$B987,AL$5)="",2,0)),0)</f>
        <v>0</v>
      </c>
      <c r="AM987" s="313">
        <f>IFERROR(IF(INDEX([1]Pivot!$BF$1:$CG$65000,$B987,AM$5)=1,1,IF(INDEX([1]Pivot!$B$1:$AB$65000,$B987,AM$5)="",2,0)),0)</f>
        <v>0</v>
      </c>
      <c r="AN987" s="313">
        <f>IFERROR(IF(INDEX([1]Pivot!$BF$1:$CG$65000,$B987,AN$5)=1,1,IF(INDEX([1]Pivot!$B$1:$AB$65000,$B987,AN$5)="",2,0)),0)</f>
        <v>0</v>
      </c>
      <c r="AO987" s="313">
        <f>IFERROR(IF(INDEX([1]Pivot!$BF$1:$CG$65000,$B987,AO$5)=1,1,IF(INDEX([1]Pivot!$B$1:$AB$65000,$B987,AO$5)="",2,0)),0)</f>
        <v>0</v>
      </c>
      <c r="AP987" s="313">
        <f>IFERROR(IF(INDEX([1]Pivot!$BF$1:$CG$65000,$B987,AP$5)=1,1,IF(INDEX([1]Pivot!$B$1:$AB$65000,$B987,AP$5)="",2,0)),0)</f>
        <v>0</v>
      </c>
      <c r="AQ987" s="313">
        <f>IFERROR(IF(INDEX([1]Pivot!$BF$1:$CG$65000,$B987,AQ$5)=1,1,IF(INDEX([1]Pivot!$B$1:$AB$65000,$B987,AQ$5)="",2,0)),0)</f>
        <v>0</v>
      </c>
      <c r="AR987" s="313">
        <f>IFERROR(IF(INDEX([1]Pivot!$BF$1:$CG$65000,$B987,AR$5)=1,1,IF(INDEX([1]Pivot!$B$1:$AB$65000,$B987,AR$5)="",2,0)),0)</f>
        <v>0</v>
      </c>
      <c r="AS987" s="312"/>
      <c r="AT987" s="313">
        <f>IFERROR(IF(INDEX([1]Pivot!$BF$1:$CG$65000,$B987,AT$5)=1,1,IF(INDEX([1]Pivot!$B$1:$AB$65000,$B987,AT$5)="",2,0)),0)</f>
        <v>0</v>
      </c>
      <c r="AU987" s="313">
        <f>IFERROR(IF(INDEX([1]Pivot!$BF$1:$CG$65000,$B987,AU$5)=1,1,IF(INDEX([1]Pivot!$B$1:$AB$65000,$B987,AU$5)="",2,0)),0)</f>
        <v>0</v>
      </c>
      <c r="AV987" s="313">
        <f>IFERROR(IF(INDEX([1]Pivot!$BF$1:$CG$65000,$B987,AV$5)=1,1,IF(INDEX([1]Pivot!$B$1:$AB$65000,$B987,AV$5)="",2,0)),0)</f>
        <v>0</v>
      </c>
      <c r="AW987" s="313">
        <f>IFERROR(IF(INDEX([1]Pivot!$BF$1:$CG$65000,$B987,AW$5)=1,1,IF(INDEX([1]Pivot!$B$1:$AB$65000,$B987,AW$5)="",2,0)),0)</f>
        <v>0</v>
      </c>
      <c r="AX987" s="313">
        <f>IFERROR(IF(INDEX([1]Pivot!$BF$1:$CG$65000,$B987,AX$5)=1,1,IF(INDEX([1]Pivot!$B$1:$AB$65000,$B987,AX$5)="",2,0)),0)</f>
        <v>0</v>
      </c>
      <c r="AY987" s="313">
        <f>IFERROR(IF(INDEX([1]Pivot!$BF$1:$CG$65000,$B987,AY$5)=1,1,IF(INDEX([1]Pivot!$B$1:$AB$65000,$B987,AY$5)="",2,0)),0)</f>
        <v>0</v>
      </c>
      <c r="AZ987" s="313">
        <f>IFERROR(IF(INDEX([1]Pivot!$BF$1:$CG$65000,$B987,AZ$5)=1,1,IF(INDEX([1]Pivot!$B$1:$AB$65000,$B987,AZ$5)="",2,0)),0)</f>
        <v>0</v>
      </c>
      <c r="BA987" s="313">
        <f>IFERROR(IF(INDEX([1]Pivot!$BF$1:$CG$65000,$B987,BA$5)=1,1,IF(INDEX([1]Pivot!$B$1:$AB$65000,$B987,BA$5)="",2,0)),0)</f>
        <v>0</v>
      </c>
      <c r="BB987" s="313">
        <f>IFERROR(IF(INDEX([1]Pivot!$BF$1:$CG$65000,$B987,BB$5)=1,1,IF(INDEX([1]Pivot!$B$1:$AB$65000,$B987,BB$5)="",2,0)),0)</f>
        <v>0</v>
      </c>
      <c r="BC987" s="313">
        <f>IFERROR(IF(INDEX([1]Pivot!$BF$1:$CG$65000,$B987,BC$5)=1,1,IF(INDEX([1]Pivot!$B$1:$AB$65000,$B987,BC$5)="",2,0)),0)</f>
        <v>0</v>
      </c>
      <c r="BD987" s="313">
        <f>IFERROR(IF(INDEX([1]Pivot!$BF$1:$CG$65000,$B987,BD$5)=1,1,IF(INDEX([1]Pivot!$B$1:$AB$65000,$B987,BD$5)="",2,0)),0)</f>
        <v>0</v>
      </c>
    </row>
    <row r="988" spans="1:56" x14ac:dyDescent="0.25">
      <c r="A988" s="288">
        <f>'[2]Raw Milk Prices'!A988</f>
        <v>0</v>
      </c>
      <c r="B988" s="296" t="e">
        <f>MATCH(DATE(LEFT('[2]Raw Milk Prices'!$A988,4),RIGHT('[2]Raw Milk Prices'!$A988,2),1),[1]Pivot!$A$1:$A$65000,0)</f>
        <v>#VALUE!</v>
      </c>
      <c r="C988" s="194">
        <f>IFERROR(IF(INDEX([1]Pivot!$AD$1:$BE$65000,$B988,C$5)=1,1,IF(INDEX([1]Pivot!$B$1:$AB$65000,$B988,C$5)="",2,0)),0)</f>
        <v>0</v>
      </c>
      <c r="D988" s="194">
        <f>IFERROR(IF(INDEX([1]Pivot!$AD$1:$BE$65000,$B988,D$5)=1,1,IF(INDEX([1]Pivot!$B$1:$AB$65000,$B988,D$5)="",2,0)),0)</f>
        <v>0</v>
      </c>
      <c r="E988" s="194">
        <f>IFERROR(IF(INDEX([1]Pivot!$AD$1:$BE$65000,$B988,E$5)=1,1,IF(INDEX([1]Pivot!$B$1:$AB$65000,$B988,E$5)="",2,0)),0)</f>
        <v>0</v>
      </c>
      <c r="F988" s="194">
        <f>IFERROR(IF(INDEX([1]Pivot!$AD$1:$BE$65000,$B988,F$5)=1,1,IF(INDEX([1]Pivot!$B$1:$AB$65000,$B988,F$5)="",2,0)),0)</f>
        <v>0</v>
      </c>
      <c r="G988" s="194">
        <f>IFERROR(IF(INDEX([1]Pivot!$AD$1:$BE$65000,$B988,G$5)=1,1,IF(INDEX([1]Pivot!$B$1:$AB$65000,$B988,G$5)="",2,0)),0)</f>
        <v>0</v>
      </c>
      <c r="H988" s="194">
        <f>IFERROR(IF(INDEX([1]Pivot!$AD$1:$BE$65000,$B988,H$5)=1,1,IF(INDEX([1]Pivot!$B$1:$AB$65000,$B988,H$5)="",2,0)),0)</f>
        <v>0</v>
      </c>
      <c r="I988" s="194">
        <f>IFERROR(IF(INDEX([1]Pivot!$AD$1:$BE$65000,$B988,I$5)=1,1,IF(INDEX([1]Pivot!$B$1:$AB$65000,$B988,I$5)="",2,0)),0)</f>
        <v>0</v>
      </c>
      <c r="J988" s="194">
        <f>IFERROR(IF(INDEX([1]Pivot!$AD$1:$BE$65000,$B988,J$5)=1,1,IF(INDEX([1]Pivot!$B$1:$AB$65000,$B988,J$5)="",2,0)),0)</f>
        <v>0</v>
      </c>
      <c r="K988" s="194">
        <f>IFERROR(IF(INDEX([1]Pivot!$AD$1:$BE$65000,$B988,K$5)=1,1,IF(INDEX([1]Pivot!$B$1:$AB$65000,$B988,K$5)="",2,0)),0)</f>
        <v>0</v>
      </c>
      <c r="L988" s="194">
        <f>IFERROR(IF(INDEX([1]Pivot!$AD$1:$BE$65000,$B988,L$5)=1,1,IF(INDEX([1]Pivot!$B$1:$AB$65000,$B988,L$5)="",2,0)),0)</f>
        <v>0</v>
      </c>
      <c r="M988" s="194">
        <f>IFERROR(IF(INDEX([1]Pivot!$AD$1:$BE$65000,$B988,M$5)=1,1,IF(INDEX([1]Pivot!$B$1:$AB$65000,$B988,M$5)="",2,0)),0)</f>
        <v>0</v>
      </c>
      <c r="N988" s="194">
        <f>IFERROR(IF(INDEX([1]Pivot!$AD$1:$BE$65000,$B988,N$5)=1,1,IF(INDEX([1]Pivot!$B$1:$AB$65000,$B988,N$5)="",2,0)),0)</f>
        <v>0</v>
      </c>
      <c r="O988" s="194">
        <f>IFERROR(IF(INDEX([1]Pivot!$AD$1:$BE$65000,$B988,O$5)=1,1,IF(INDEX([1]Pivot!$B$1:$AB$65000,$B988,O$5)="",2,0)),0)</f>
        <v>0</v>
      </c>
      <c r="P988" s="194">
        <f>IFERROR(IF(INDEX([1]Pivot!$AD$1:$BE$65000,$B988,P$5)=1,1,IF(INDEX([1]Pivot!$B$1:$AB$65000,$B988,P$5)="",2,0)),0)</f>
        <v>0</v>
      </c>
      <c r="Q988" s="194">
        <f>IFERROR(IF(INDEX([1]Pivot!$AD$1:$BE$65000,$B988,Q$5)=1,1,IF(INDEX([1]Pivot!$B$1:$AB$65000,$B988,Q$5)="",2,0)),0)</f>
        <v>0</v>
      </c>
      <c r="R988" s="312"/>
      <c r="S988" s="194">
        <f>IFERROR(IF(INDEX([1]Pivot!$AD$1:$BE$65000,$B988,S$5)=1,1,IF(INDEX([1]Pivot!$B$1:$AB$65000,$B988,S$5)="",2,0)),0)</f>
        <v>0</v>
      </c>
      <c r="T988" s="194">
        <f>IFERROR(IF(INDEX([1]Pivot!$AD$1:$BE$65000,$B988,T$5)=1,1,IF(INDEX([1]Pivot!$B$1:$AB$65000,$B988,T$5)="",2,0)),0)</f>
        <v>0</v>
      </c>
      <c r="U988" s="194">
        <f>IFERROR(IF(INDEX([1]Pivot!$AD$1:$BE$65000,$B988,U$5)=1,1,IF(INDEX([1]Pivot!$B$1:$AB$65000,$B988,U$5)="",2,0)),0)</f>
        <v>0</v>
      </c>
      <c r="V988" s="194">
        <f>IFERROR(IF(INDEX([1]Pivot!$AD$1:$BE$65000,$B988,V$5)=1,1,IF(INDEX([1]Pivot!$B$1:$AB$65000,$B988,V$5)="",2,0)),0)</f>
        <v>0</v>
      </c>
      <c r="W988" s="194">
        <f>IFERROR(IF(INDEX([1]Pivot!$AD$1:$BE$65000,$B988,W$5)=1,1,IF(INDEX([1]Pivot!$B$1:$AB$65000,$B988,W$5)="",2,0)),0)</f>
        <v>0</v>
      </c>
      <c r="X988" s="194">
        <f>IFERROR(IF(INDEX([1]Pivot!$AD$1:$BE$65000,$B988,X$5)=1,1,IF(INDEX([1]Pivot!$B$1:$AB$65000,$B988,X$5)="",2,0)),0)</f>
        <v>0</v>
      </c>
      <c r="Y988" s="194">
        <f>IFERROR(IF(INDEX([1]Pivot!$AD$1:$BE$65000,$B988,Y$5)=1,1,IF(INDEX([1]Pivot!$B$1:$AB$65000,$B988,Y$5)="",2,0)),0)</f>
        <v>0</v>
      </c>
      <c r="Z988" s="194">
        <f>IFERROR(IF(INDEX([1]Pivot!$AD$1:$BE$65000,$B988,Z$5)=1,1,IF(INDEX([1]Pivot!$B$1:$AB$65000,$B988,Z$5)="",2,0)),0)</f>
        <v>0</v>
      </c>
      <c r="AA988" s="194">
        <f>IFERROR(IF(INDEX([1]Pivot!$AD$1:$BE$65000,$B988,AA$5)=1,1,IF(INDEX([1]Pivot!$B$1:$AB$65000,$B988,AA$5)="",2,0)),0)</f>
        <v>0</v>
      </c>
      <c r="AB988" s="194">
        <f>IFERROR(IF(INDEX([1]Pivot!$AD$1:$BE$65000,$B988,AB$5)=1,1,IF(INDEX([1]Pivot!$B$1:$AB$65000,$B988,AB$5)="",2,0)),0)</f>
        <v>0</v>
      </c>
      <c r="AC988" s="194">
        <f>IFERROR(IF(INDEX([1]Pivot!$AD$1:$BE$65000,$B988,AC$5)=1,1,IF(INDEX([1]Pivot!$B$1:$AB$65000,$B988,AC$5)="",2,0)),0)</f>
        <v>0</v>
      </c>
      <c r="AD988" s="313">
        <f>IFERROR(IF(INDEX([1]Pivot!$BF$1:$CG$65000,$B988,AD$5)=1,1,IF(INDEX([1]Pivot!$B$1:$AB$65000,$B988,AD$5)="",2,0)),0)</f>
        <v>0</v>
      </c>
      <c r="AE988" s="313">
        <f>IFERROR(IF(INDEX([1]Pivot!$BF$1:$CG$65000,$B988,AE$5)=1,1,IF(INDEX([1]Pivot!$B$1:$AB$65000,$B988,AE$5)="",2,0)),0)</f>
        <v>0</v>
      </c>
      <c r="AF988" s="313">
        <f>IFERROR(IF(INDEX([1]Pivot!$BF$1:$CG$65000,$B988,AF$5)=1,1,IF(INDEX([1]Pivot!$B$1:$AB$65000,$B988,AF$5)="",2,0)),0)</f>
        <v>0</v>
      </c>
      <c r="AG988" s="313">
        <f>IFERROR(IF(INDEX([1]Pivot!$BF$1:$CG$65000,$B988,AG$5)=1,1,IF(INDEX([1]Pivot!$B$1:$AB$65000,$B988,AG$5)="",2,0)),0)</f>
        <v>0</v>
      </c>
      <c r="AH988" s="313">
        <f>IFERROR(IF(INDEX([1]Pivot!$BF$1:$CG$65000,$B988,AH$5)=1,1,IF(INDEX([1]Pivot!$B$1:$AB$65000,$B988,AH$5)="",2,0)),0)</f>
        <v>0</v>
      </c>
      <c r="AI988" s="313">
        <f>IFERROR(IF(INDEX([1]Pivot!$BF$1:$CG$65000,$B988,AI$5)=1,1,IF(INDEX([1]Pivot!$B$1:$AB$65000,$B988,AI$5)="",2,0)),0)</f>
        <v>0</v>
      </c>
      <c r="AJ988" s="313">
        <f>IFERROR(IF(INDEX([1]Pivot!$BF$1:$CG$65000,$B988,AJ$5)=1,1,IF(INDEX([1]Pivot!$B$1:$AB$65000,$B988,AJ$5)="",2,0)),0)</f>
        <v>0</v>
      </c>
      <c r="AK988" s="313">
        <f>IFERROR(IF(INDEX([1]Pivot!$BF$1:$CG$65000,$B988,AK$5)=1,1,IF(INDEX([1]Pivot!$B$1:$AB$65000,$B988,AK$5)="",2,0)),0)</f>
        <v>0</v>
      </c>
      <c r="AL988" s="313">
        <f>IFERROR(IF(INDEX([1]Pivot!$BF$1:$CG$65000,$B988,AL$5)=1,1,IF(INDEX([1]Pivot!$B$1:$AB$65000,$B988,AL$5)="",2,0)),0)</f>
        <v>0</v>
      </c>
      <c r="AM988" s="313">
        <f>IFERROR(IF(INDEX([1]Pivot!$BF$1:$CG$65000,$B988,AM$5)=1,1,IF(INDEX([1]Pivot!$B$1:$AB$65000,$B988,AM$5)="",2,0)),0)</f>
        <v>0</v>
      </c>
      <c r="AN988" s="313">
        <f>IFERROR(IF(INDEX([1]Pivot!$BF$1:$CG$65000,$B988,AN$5)=1,1,IF(INDEX([1]Pivot!$B$1:$AB$65000,$B988,AN$5)="",2,0)),0)</f>
        <v>0</v>
      </c>
      <c r="AO988" s="313">
        <f>IFERROR(IF(INDEX([1]Pivot!$BF$1:$CG$65000,$B988,AO$5)=1,1,IF(INDEX([1]Pivot!$B$1:$AB$65000,$B988,AO$5)="",2,0)),0)</f>
        <v>0</v>
      </c>
      <c r="AP988" s="313">
        <f>IFERROR(IF(INDEX([1]Pivot!$BF$1:$CG$65000,$B988,AP$5)=1,1,IF(INDEX([1]Pivot!$B$1:$AB$65000,$B988,AP$5)="",2,0)),0)</f>
        <v>0</v>
      </c>
      <c r="AQ988" s="313">
        <f>IFERROR(IF(INDEX([1]Pivot!$BF$1:$CG$65000,$B988,AQ$5)=1,1,IF(INDEX([1]Pivot!$B$1:$AB$65000,$B988,AQ$5)="",2,0)),0)</f>
        <v>0</v>
      </c>
      <c r="AR988" s="313">
        <f>IFERROR(IF(INDEX([1]Pivot!$BF$1:$CG$65000,$B988,AR$5)=1,1,IF(INDEX([1]Pivot!$B$1:$AB$65000,$B988,AR$5)="",2,0)),0)</f>
        <v>0</v>
      </c>
      <c r="AS988" s="312"/>
      <c r="AT988" s="313">
        <f>IFERROR(IF(INDEX([1]Pivot!$BF$1:$CG$65000,$B988,AT$5)=1,1,IF(INDEX([1]Pivot!$B$1:$AB$65000,$B988,AT$5)="",2,0)),0)</f>
        <v>0</v>
      </c>
      <c r="AU988" s="313">
        <f>IFERROR(IF(INDEX([1]Pivot!$BF$1:$CG$65000,$B988,AU$5)=1,1,IF(INDEX([1]Pivot!$B$1:$AB$65000,$B988,AU$5)="",2,0)),0)</f>
        <v>0</v>
      </c>
      <c r="AV988" s="313">
        <f>IFERROR(IF(INDEX([1]Pivot!$BF$1:$CG$65000,$B988,AV$5)=1,1,IF(INDEX([1]Pivot!$B$1:$AB$65000,$B988,AV$5)="",2,0)),0)</f>
        <v>0</v>
      </c>
      <c r="AW988" s="313">
        <f>IFERROR(IF(INDEX([1]Pivot!$BF$1:$CG$65000,$B988,AW$5)=1,1,IF(INDEX([1]Pivot!$B$1:$AB$65000,$B988,AW$5)="",2,0)),0)</f>
        <v>0</v>
      </c>
      <c r="AX988" s="313">
        <f>IFERROR(IF(INDEX([1]Pivot!$BF$1:$CG$65000,$B988,AX$5)=1,1,IF(INDEX([1]Pivot!$B$1:$AB$65000,$B988,AX$5)="",2,0)),0)</f>
        <v>0</v>
      </c>
      <c r="AY988" s="313">
        <f>IFERROR(IF(INDEX([1]Pivot!$BF$1:$CG$65000,$B988,AY$5)=1,1,IF(INDEX([1]Pivot!$B$1:$AB$65000,$B988,AY$5)="",2,0)),0)</f>
        <v>0</v>
      </c>
      <c r="AZ988" s="313">
        <f>IFERROR(IF(INDEX([1]Pivot!$BF$1:$CG$65000,$B988,AZ$5)=1,1,IF(INDEX([1]Pivot!$B$1:$AB$65000,$B988,AZ$5)="",2,0)),0)</f>
        <v>0</v>
      </c>
      <c r="BA988" s="313">
        <f>IFERROR(IF(INDEX([1]Pivot!$BF$1:$CG$65000,$B988,BA$5)=1,1,IF(INDEX([1]Pivot!$B$1:$AB$65000,$B988,BA$5)="",2,0)),0)</f>
        <v>0</v>
      </c>
      <c r="BB988" s="313">
        <f>IFERROR(IF(INDEX([1]Pivot!$BF$1:$CG$65000,$B988,BB$5)=1,1,IF(INDEX([1]Pivot!$B$1:$AB$65000,$B988,BB$5)="",2,0)),0)</f>
        <v>0</v>
      </c>
      <c r="BC988" s="313">
        <f>IFERROR(IF(INDEX([1]Pivot!$BF$1:$CG$65000,$B988,BC$5)=1,1,IF(INDEX([1]Pivot!$B$1:$AB$65000,$B988,BC$5)="",2,0)),0)</f>
        <v>0</v>
      </c>
      <c r="BD988" s="313">
        <f>IFERROR(IF(INDEX([1]Pivot!$BF$1:$CG$65000,$B988,BD$5)=1,1,IF(INDEX([1]Pivot!$B$1:$AB$65000,$B988,BD$5)="",2,0)),0)</f>
        <v>0</v>
      </c>
    </row>
    <row r="989" spans="1:56" x14ac:dyDescent="0.25">
      <c r="A989" s="288">
        <f>'[2]Raw Milk Prices'!A989</f>
        <v>0</v>
      </c>
      <c r="B989" s="296" t="e">
        <f>MATCH(DATE(LEFT('[2]Raw Milk Prices'!$A989,4),RIGHT('[2]Raw Milk Prices'!$A989,2),1),[1]Pivot!$A$1:$A$65000,0)</f>
        <v>#VALUE!</v>
      </c>
      <c r="C989" s="194">
        <f>IFERROR(IF(INDEX([1]Pivot!$AD$1:$BE$65000,$B989,C$5)=1,1,IF(INDEX([1]Pivot!$B$1:$AB$65000,$B989,C$5)="",2,0)),0)</f>
        <v>0</v>
      </c>
      <c r="D989" s="194">
        <f>IFERROR(IF(INDEX([1]Pivot!$AD$1:$BE$65000,$B989,D$5)=1,1,IF(INDEX([1]Pivot!$B$1:$AB$65000,$B989,D$5)="",2,0)),0)</f>
        <v>0</v>
      </c>
      <c r="E989" s="194">
        <f>IFERROR(IF(INDEX([1]Pivot!$AD$1:$BE$65000,$B989,E$5)=1,1,IF(INDEX([1]Pivot!$B$1:$AB$65000,$B989,E$5)="",2,0)),0)</f>
        <v>0</v>
      </c>
      <c r="F989" s="194">
        <f>IFERROR(IF(INDEX([1]Pivot!$AD$1:$BE$65000,$B989,F$5)=1,1,IF(INDEX([1]Pivot!$B$1:$AB$65000,$B989,F$5)="",2,0)),0)</f>
        <v>0</v>
      </c>
      <c r="G989" s="194">
        <f>IFERROR(IF(INDEX([1]Pivot!$AD$1:$BE$65000,$B989,G$5)=1,1,IF(INDEX([1]Pivot!$B$1:$AB$65000,$B989,G$5)="",2,0)),0)</f>
        <v>0</v>
      </c>
      <c r="H989" s="194">
        <f>IFERROR(IF(INDEX([1]Pivot!$AD$1:$BE$65000,$B989,H$5)=1,1,IF(INDEX([1]Pivot!$B$1:$AB$65000,$B989,H$5)="",2,0)),0)</f>
        <v>0</v>
      </c>
      <c r="I989" s="194">
        <f>IFERROR(IF(INDEX([1]Pivot!$AD$1:$BE$65000,$B989,I$5)=1,1,IF(INDEX([1]Pivot!$B$1:$AB$65000,$B989,I$5)="",2,0)),0)</f>
        <v>0</v>
      </c>
      <c r="J989" s="194">
        <f>IFERROR(IF(INDEX([1]Pivot!$AD$1:$BE$65000,$B989,J$5)=1,1,IF(INDEX([1]Pivot!$B$1:$AB$65000,$B989,J$5)="",2,0)),0)</f>
        <v>0</v>
      </c>
      <c r="K989" s="194">
        <f>IFERROR(IF(INDEX([1]Pivot!$AD$1:$BE$65000,$B989,K$5)=1,1,IF(INDEX([1]Pivot!$B$1:$AB$65000,$B989,K$5)="",2,0)),0)</f>
        <v>0</v>
      </c>
      <c r="L989" s="194">
        <f>IFERROR(IF(INDEX([1]Pivot!$AD$1:$BE$65000,$B989,L$5)=1,1,IF(INDEX([1]Pivot!$B$1:$AB$65000,$B989,L$5)="",2,0)),0)</f>
        <v>0</v>
      </c>
      <c r="M989" s="194">
        <f>IFERROR(IF(INDEX([1]Pivot!$AD$1:$BE$65000,$B989,M$5)=1,1,IF(INDEX([1]Pivot!$B$1:$AB$65000,$B989,M$5)="",2,0)),0)</f>
        <v>0</v>
      </c>
      <c r="N989" s="194">
        <f>IFERROR(IF(INDEX([1]Pivot!$AD$1:$BE$65000,$B989,N$5)=1,1,IF(INDEX([1]Pivot!$B$1:$AB$65000,$B989,N$5)="",2,0)),0)</f>
        <v>0</v>
      </c>
      <c r="O989" s="194">
        <f>IFERROR(IF(INDEX([1]Pivot!$AD$1:$BE$65000,$B989,O$5)=1,1,IF(INDEX([1]Pivot!$B$1:$AB$65000,$B989,O$5)="",2,0)),0)</f>
        <v>0</v>
      </c>
      <c r="P989" s="194">
        <f>IFERROR(IF(INDEX([1]Pivot!$AD$1:$BE$65000,$B989,P$5)=1,1,IF(INDEX([1]Pivot!$B$1:$AB$65000,$B989,P$5)="",2,0)),0)</f>
        <v>0</v>
      </c>
      <c r="Q989" s="194">
        <f>IFERROR(IF(INDEX([1]Pivot!$AD$1:$BE$65000,$B989,Q$5)=1,1,IF(INDEX([1]Pivot!$B$1:$AB$65000,$B989,Q$5)="",2,0)),0)</f>
        <v>0</v>
      </c>
      <c r="R989" s="312"/>
      <c r="S989" s="194">
        <f>IFERROR(IF(INDEX([1]Pivot!$AD$1:$BE$65000,$B989,S$5)=1,1,IF(INDEX([1]Pivot!$B$1:$AB$65000,$B989,S$5)="",2,0)),0)</f>
        <v>0</v>
      </c>
      <c r="T989" s="194">
        <f>IFERROR(IF(INDEX([1]Pivot!$AD$1:$BE$65000,$B989,T$5)=1,1,IF(INDEX([1]Pivot!$B$1:$AB$65000,$B989,T$5)="",2,0)),0)</f>
        <v>0</v>
      </c>
      <c r="U989" s="194">
        <f>IFERROR(IF(INDEX([1]Pivot!$AD$1:$BE$65000,$B989,U$5)=1,1,IF(INDEX([1]Pivot!$B$1:$AB$65000,$B989,U$5)="",2,0)),0)</f>
        <v>0</v>
      </c>
      <c r="V989" s="194">
        <f>IFERROR(IF(INDEX([1]Pivot!$AD$1:$BE$65000,$B989,V$5)=1,1,IF(INDEX([1]Pivot!$B$1:$AB$65000,$B989,V$5)="",2,0)),0)</f>
        <v>0</v>
      </c>
      <c r="W989" s="194">
        <f>IFERROR(IF(INDEX([1]Pivot!$AD$1:$BE$65000,$B989,W$5)=1,1,IF(INDEX([1]Pivot!$B$1:$AB$65000,$B989,W$5)="",2,0)),0)</f>
        <v>0</v>
      </c>
      <c r="X989" s="194">
        <f>IFERROR(IF(INDEX([1]Pivot!$AD$1:$BE$65000,$B989,X$5)=1,1,IF(INDEX([1]Pivot!$B$1:$AB$65000,$B989,X$5)="",2,0)),0)</f>
        <v>0</v>
      </c>
      <c r="Y989" s="194">
        <f>IFERROR(IF(INDEX([1]Pivot!$AD$1:$BE$65000,$B989,Y$5)=1,1,IF(INDEX([1]Pivot!$B$1:$AB$65000,$B989,Y$5)="",2,0)),0)</f>
        <v>0</v>
      </c>
      <c r="Z989" s="194">
        <f>IFERROR(IF(INDEX([1]Pivot!$AD$1:$BE$65000,$B989,Z$5)=1,1,IF(INDEX([1]Pivot!$B$1:$AB$65000,$B989,Z$5)="",2,0)),0)</f>
        <v>0</v>
      </c>
      <c r="AA989" s="194">
        <f>IFERROR(IF(INDEX([1]Pivot!$AD$1:$BE$65000,$B989,AA$5)=1,1,IF(INDEX([1]Pivot!$B$1:$AB$65000,$B989,AA$5)="",2,0)),0)</f>
        <v>0</v>
      </c>
      <c r="AB989" s="194">
        <f>IFERROR(IF(INDEX([1]Pivot!$AD$1:$BE$65000,$B989,AB$5)=1,1,IF(INDEX([1]Pivot!$B$1:$AB$65000,$B989,AB$5)="",2,0)),0)</f>
        <v>0</v>
      </c>
      <c r="AC989" s="194">
        <f>IFERROR(IF(INDEX([1]Pivot!$AD$1:$BE$65000,$B989,AC$5)=1,1,IF(INDEX([1]Pivot!$B$1:$AB$65000,$B989,AC$5)="",2,0)),0)</f>
        <v>0</v>
      </c>
      <c r="AD989" s="313">
        <f>IFERROR(IF(INDEX([1]Pivot!$BF$1:$CG$65000,$B989,AD$5)=1,1,IF(INDEX([1]Pivot!$B$1:$AB$65000,$B989,AD$5)="",2,0)),0)</f>
        <v>0</v>
      </c>
      <c r="AE989" s="313">
        <f>IFERROR(IF(INDEX([1]Pivot!$BF$1:$CG$65000,$B989,AE$5)=1,1,IF(INDEX([1]Pivot!$B$1:$AB$65000,$B989,AE$5)="",2,0)),0)</f>
        <v>0</v>
      </c>
      <c r="AF989" s="313">
        <f>IFERROR(IF(INDEX([1]Pivot!$BF$1:$CG$65000,$B989,AF$5)=1,1,IF(INDEX([1]Pivot!$B$1:$AB$65000,$B989,AF$5)="",2,0)),0)</f>
        <v>0</v>
      </c>
      <c r="AG989" s="313">
        <f>IFERROR(IF(INDEX([1]Pivot!$BF$1:$CG$65000,$B989,AG$5)=1,1,IF(INDEX([1]Pivot!$B$1:$AB$65000,$B989,AG$5)="",2,0)),0)</f>
        <v>0</v>
      </c>
      <c r="AH989" s="313">
        <f>IFERROR(IF(INDEX([1]Pivot!$BF$1:$CG$65000,$B989,AH$5)=1,1,IF(INDEX([1]Pivot!$B$1:$AB$65000,$B989,AH$5)="",2,0)),0)</f>
        <v>0</v>
      </c>
      <c r="AI989" s="313">
        <f>IFERROR(IF(INDEX([1]Pivot!$BF$1:$CG$65000,$B989,AI$5)=1,1,IF(INDEX([1]Pivot!$B$1:$AB$65000,$B989,AI$5)="",2,0)),0)</f>
        <v>0</v>
      </c>
      <c r="AJ989" s="313">
        <f>IFERROR(IF(INDEX([1]Pivot!$BF$1:$CG$65000,$B989,AJ$5)=1,1,IF(INDEX([1]Pivot!$B$1:$AB$65000,$B989,AJ$5)="",2,0)),0)</f>
        <v>0</v>
      </c>
      <c r="AK989" s="313">
        <f>IFERROR(IF(INDEX([1]Pivot!$BF$1:$CG$65000,$B989,AK$5)=1,1,IF(INDEX([1]Pivot!$B$1:$AB$65000,$B989,AK$5)="",2,0)),0)</f>
        <v>0</v>
      </c>
      <c r="AL989" s="313">
        <f>IFERROR(IF(INDEX([1]Pivot!$BF$1:$CG$65000,$B989,AL$5)=1,1,IF(INDEX([1]Pivot!$B$1:$AB$65000,$B989,AL$5)="",2,0)),0)</f>
        <v>0</v>
      </c>
      <c r="AM989" s="313">
        <f>IFERROR(IF(INDEX([1]Pivot!$BF$1:$CG$65000,$B989,AM$5)=1,1,IF(INDEX([1]Pivot!$B$1:$AB$65000,$B989,AM$5)="",2,0)),0)</f>
        <v>0</v>
      </c>
      <c r="AN989" s="313">
        <f>IFERROR(IF(INDEX([1]Pivot!$BF$1:$CG$65000,$B989,AN$5)=1,1,IF(INDEX([1]Pivot!$B$1:$AB$65000,$B989,AN$5)="",2,0)),0)</f>
        <v>0</v>
      </c>
      <c r="AO989" s="313">
        <f>IFERROR(IF(INDEX([1]Pivot!$BF$1:$CG$65000,$B989,AO$5)=1,1,IF(INDEX([1]Pivot!$B$1:$AB$65000,$B989,AO$5)="",2,0)),0)</f>
        <v>0</v>
      </c>
      <c r="AP989" s="313">
        <f>IFERROR(IF(INDEX([1]Pivot!$BF$1:$CG$65000,$B989,AP$5)=1,1,IF(INDEX([1]Pivot!$B$1:$AB$65000,$B989,AP$5)="",2,0)),0)</f>
        <v>0</v>
      </c>
      <c r="AQ989" s="313">
        <f>IFERROR(IF(INDEX([1]Pivot!$BF$1:$CG$65000,$B989,AQ$5)=1,1,IF(INDEX([1]Pivot!$B$1:$AB$65000,$B989,AQ$5)="",2,0)),0)</f>
        <v>0</v>
      </c>
      <c r="AR989" s="313">
        <f>IFERROR(IF(INDEX([1]Pivot!$BF$1:$CG$65000,$B989,AR$5)=1,1,IF(INDEX([1]Pivot!$B$1:$AB$65000,$B989,AR$5)="",2,0)),0)</f>
        <v>0</v>
      </c>
      <c r="AS989" s="312"/>
      <c r="AT989" s="313">
        <f>IFERROR(IF(INDEX([1]Pivot!$BF$1:$CG$65000,$B989,AT$5)=1,1,IF(INDEX([1]Pivot!$B$1:$AB$65000,$B989,AT$5)="",2,0)),0)</f>
        <v>0</v>
      </c>
      <c r="AU989" s="313">
        <f>IFERROR(IF(INDEX([1]Pivot!$BF$1:$CG$65000,$B989,AU$5)=1,1,IF(INDEX([1]Pivot!$B$1:$AB$65000,$B989,AU$5)="",2,0)),0)</f>
        <v>0</v>
      </c>
      <c r="AV989" s="313">
        <f>IFERROR(IF(INDEX([1]Pivot!$BF$1:$CG$65000,$B989,AV$5)=1,1,IF(INDEX([1]Pivot!$B$1:$AB$65000,$B989,AV$5)="",2,0)),0)</f>
        <v>0</v>
      </c>
      <c r="AW989" s="313">
        <f>IFERROR(IF(INDEX([1]Pivot!$BF$1:$CG$65000,$B989,AW$5)=1,1,IF(INDEX([1]Pivot!$B$1:$AB$65000,$B989,AW$5)="",2,0)),0)</f>
        <v>0</v>
      </c>
      <c r="AX989" s="313">
        <f>IFERROR(IF(INDEX([1]Pivot!$BF$1:$CG$65000,$B989,AX$5)=1,1,IF(INDEX([1]Pivot!$B$1:$AB$65000,$B989,AX$5)="",2,0)),0)</f>
        <v>0</v>
      </c>
      <c r="AY989" s="313">
        <f>IFERROR(IF(INDEX([1]Pivot!$BF$1:$CG$65000,$B989,AY$5)=1,1,IF(INDEX([1]Pivot!$B$1:$AB$65000,$B989,AY$5)="",2,0)),0)</f>
        <v>0</v>
      </c>
      <c r="AZ989" s="313">
        <f>IFERROR(IF(INDEX([1]Pivot!$BF$1:$CG$65000,$B989,AZ$5)=1,1,IF(INDEX([1]Pivot!$B$1:$AB$65000,$B989,AZ$5)="",2,0)),0)</f>
        <v>0</v>
      </c>
      <c r="BA989" s="313">
        <f>IFERROR(IF(INDEX([1]Pivot!$BF$1:$CG$65000,$B989,BA$5)=1,1,IF(INDEX([1]Pivot!$B$1:$AB$65000,$B989,BA$5)="",2,0)),0)</f>
        <v>0</v>
      </c>
      <c r="BB989" s="313">
        <f>IFERROR(IF(INDEX([1]Pivot!$BF$1:$CG$65000,$B989,BB$5)=1,1,IF(INDEX([1]Pivot!$B$1:$AB$65000,$B989,BB$5)="",2,0)),0)</f>
        <v>0</v>
      </c>
      <c r="BC989" s="313">
        <f>IFERROR(IF(INDEX([1]Pivot!$BF$1:$CG$65000,$B989,BC$5)=1,1,IF(INDEX([1]Pivot!$B$1:$AB$65000,$B989,BC$5)="",2,0)),0)</f>
        <v>0</v>
      </c>
      <c r="BD989" s="313">
        <f>IFERROR(IF(INDEX([1]Pivot!$BF$1:$CG$65000,$B989,BD$5)=1,1,IF(INDEX([1]Pivot!$B$1:$AB$65000,$B989,BD$5)="",2,0)),0)</f>
        <v>0</v>
      </c>
    </row>
    <row r="990" spans="1:56" x14ac:dyDescent="0.25">
      <c r="A990" s="288">
        <f>'[2]Raw Milk Prices'!A990</f>
        <v>0</v>
      </c>
      <c r="B990" s="296" t="e">
        <f>MATCH(DATE(LEFT('[2]Raw Milk Prices'!$A990,4),RIGHT('[2]Raw Milk Prices'!$A990,2),1),[1]Pivot!$A$1:$A$65000,0)</f>
        <v>#VALUE!</v>
      </c>
      <c r="C990" s="194">
        <f>IFERROR(IF(INDEX([1]Pivot!$AD$1:$BE$65000,$B990,C$5)=1,1,IF(INDEX([1]Pivot!$B$1:$AB$65000,$B990,C$5)="",2,0)),0)</f>
        <v>0</v>
      </c>
      <c r="D990" s="194">
        <f>IFERROR(IF(INDEX([1]Pivot!$AD$1:$BE$65000,$B990,D$5)=1,1,IF(INDEX([1]Pivot!$B$1:$AB$65000,$B990,D$5)="",2,0)),0)</f>
        <v>0</v>
      </c>
      <c r="E990" s="194">
        <f>IFERROR(IF(INDEX([1]Pivot!$AD$1:$BE$65000,$B990,E$5)=1,1,IF(INDEX([1]Pivot!$B$1:$AB$65000,$B990,E$5)="",2,0)),0)</f>
        <v>0</v>
      </c>
      <c r="F990" s="194">
        <f>IFERROR(IF(INDEX([1]Pivot!$AD$1:$BE$65000,$B990,F$5)=1,1,IF(INDEX([1]Pivot!$B$1:$AB$65000,$B990,F$5)="",2,0)),0)</f>
        <v>0</v>
      </c>
      <c r="G990" s="194">
        <f>IFERROR(IF(INDEX([1]Pivot!$AD$1:$BE$65000,$B990,G$5)=1,1,IF(INDEX([1]Pivot!$B$1:$AB$65000,$B990,G$5)="",2,0)),0)</f>
        <v>0</v>
      </c>
      <c r="H990" s="194">
        <f>IFERROR(IF(INDEX([1]Pivot!$AD$1:$BE$65000,$B990,H$5)=1,1,IF(INDEX([1]Pivot!$B$1:$AB$65000,$B990,H$5)="",2,0)),0)</f>
        <v>0</v>
      </c>
      <c r="I990" s="194">
        <f>IFERROR(IF(INDEX([1]Pivot!$AD$1:$BE$65000,$B990,I$5)=1,1,IF(INDEX([1]Pivot!$B$1:$AB$65000,$B990,I$5)="",2,0)),0)</f>
        <v>0</v>
      </c>
      <c r="J990" s="194">
        <f>IFERROR(IF(INDEX([1]Pivot!$AD$1:$BE$65000,$B990,J$5)=1,1,IF(INDEX([1]Pivot!$B$1:$AB$65000,$B990,J$5)="",2,0)),0)</f>
        <v>0</v>
      </c>
      <c r="K990" s="194">
        <f>IFERROR(IF(INDEX([1]Pivot!$AD$1:$BE$65000,$B990,K$5)=1,1,IF(INDEX([1]Pivot!$B$1:$AB$65000,$B990,K$5)="",2,0)),0)</f>
        <v>0</v>
      </c>
      <c r="L990" s="194">
        <f>IFERROR(IF(INDEX([1]Pivot!$AD$1:$BE$65000,$B990,L$5)=1,1,IF(INDEX([1]Pivot!$B$1:$AB$65000,$B990,L$5)="",2,0)),0)</f>
        <v>0</v>
      </c>
      <c r="M990" s="194">
        <f>IFERROR(IF(INDEX([1]Pivot!$AD$1:$BE$65000,$B990,M$5)=1,1,IF(INDEX([1]Pivot!$B$1:$AB$65000,$B990,M$5)="",2,0)),0)</f>
        <v>0</v>
      </c>
      <c r="N990" s="194">
        <f>IFERROR(IF(INDEX([1]Pivot!$AD$1:$BE$65000,$B990,N$5)=1,1,IF(INDEX([1]Pivot!$B$1:$AB$65000,$B990,N$5)="",2,0)),0)</f>
        <v>0</v>
      </c>
      <c r="O990" s="194">
        <f>IFERROR(IF(INDEX([1]Pivot!$AD$1:$BE$65000,$B990,O$5)=1,1,IF(INDEX([1]Pivot!$B$1:$AB$65000,$B990,O$5)="",2,0)),0)</f>
        <v>0</v>
      </c>
      <c r="P990" s="194">
        <f>IFERROR(IF(INDEX([1]Pivot!$AD$1:$BE$65000,$B990,P$5)=1,1,IF(INDEX([1]Pivot!$B$1:$AB$65000,$B990,P$5)="",2,0)),0)</f>
        <v>0</v>
      </c>
      <c r="Q990" s="194">
        <f>IFERROR(IF(INDEX([1]Pivot!$AD$1:$BE$65000,$B990,Q$5)=1,1,IF(INDEX([1]Pivot!$B$1:$AB$65000,$B990,Q$5)="",2,0)),0)</f>
        <v>0</v>
      </c>
      <c r="R990" s="312"/>
      <c r="S990" s="194">
        <f>IFERROR(IF(INDEX([1]Pivot!$AD$1:$BE$65000,$B990,S$5)=1,1,IF(INDEX([1]Pivot!$B$1:$AB$65000,$B990,S$5)="",2,0)),0)</f>
        <v>0</v>
      </c>
      <c r="T990" s="194">
        <f>IFERROR(IF(INDEX([1]Pivot!$AD$1:$BE$65000,$B990,T$5)=1,1,IF(INDEX([1]Pivot!$B$1:$AB$65000,$B990,T$5)="",2,0)),0)</f>
        <v>0</v>
      </c>
      <c r="U990" s="194">
        <f>IFERROR(IF(INDEX([1]Pivot!$AD$1:$BE$65000,$B990,U$5)=1,1,IF(INDEX([1]Pivot!$B$1:$AB$65000,$B990,U$5)="",2,0)),0)</f>
        <v>0</v>
      </c>
      <c r="V990" s="194">
        <f>IFERROR(IF(INDEX([1]Pivot!$AD$1:$BE$65000,$B990,V$5)=1,1,IF(INDEX([1]Pivot!$B$1:$AB$65000,$B990,V$5)="",2,0)),0)</f>
        <v>0</v>
      </c>
      <c r="W990" s="194">
        <f>IFERROR(IF(INDEX([1]Pivot!$AD$1:$BE$65000,$B990,W$5)=1,1,IF(INDEX([1]Pivot!$B$1:$AB$65000,$B990,W$5)="",2,0)),0)</f>
        <v>0</v>
      </c>
      <c r="X990" s="194">
        <f>IFERROR(IF(INDEX([1]Pivot!$AD$1:$BE$65000,$B990,X$5)=1,1,IF(INDEX([1]Pivot!$B$1:$AB$65000,$B990,X$5)="",2,0)),0)</f>
        <v>0</v>
      </c>
      <c r="Y990" s="194">
        <f>IFERROR(IF(INDEX([1]Pivot!$AD$1:$BE$65000,$B990,Y$5)=1,1,IF(INDEX([1]Pivot!$B$1:$AB$65000,$B990,Y$5)="",2,0)),0)</f>
        <v>0</v>
      </c>
      <c r="Z990" s="194">
        <f>IFERROR(IF(INDEX([1]Pivot!$AD$1:$BE$65000,$B990,Z$5)=1,1,IF(INDEX([1]Pivot!$B$1:$AB$65000,$B990,Z$5)="",2,0)),0)</f>
        <v>0</v>
      </c>
      <c r="AA990" s="194">
        <f>IFERROR(IF(INDEX([1]Pivot!$AD$1:$BE$65000,$B990,AA$5)=1,1,IF(INDEX([1]Pivot!$B$1:$AB$65000,$B990,AA$5)="",2,0)),0)</f>
        <v>0</v>
      </c>
      <c r="AB990" s="194">
        <f>IFERROR(IF(INDEX([1]Pivot!$AD$1:$BE$65000,$B990,AB$5)=1,1,IF(INDEX([1]Pivot!$B$1:$AB$65000,$B990,AB$5)="",2,0)),0)</f>
        <v>0</v>
      </c>
      <c r="AC990" s="194">
        <f>IFERROR(IF(INDEX([1]Pivot!$AD$1:$BE$65000,$B990,AC$5)=1,1,IF(INDEX([1]Pivot!$B$1:$AB$65000,$B990,AC$5)="",2,0)),0)</f>
        <v>0</v>
      </c>
      <c r="AD990" s="313">
        <f>IFERROR(IF(INDEX([1]Pivot!$BF$1:$CG$65000,$B990,AD$5)=1,1,IF(INDEX([1]Pivot!$B$1:$AB$65000,$B990,AD$5)="",2,0)),0)</f>
        <v>0</v>
      </c>
      <c r="AE990" s="313">
        <f>IFERROR(IF(INDEX([1]Pivot!$BF$1:$CG$65000,$B990,AE$5)=1,1,IF(INDEX([1]Pivot!$B$1:$AB$65000,$B990,AE$5)="",2,0)),0)</f>
        <v>0</v>
      </c>
      <c r="AF990" s="313">
        <f>IFERROR(IF(INDEX([1]Pivot!$BF$1:$CG$65000,$B990,AF$5)=1,1,IF(INDEX([1]Pivot!$B$1:$AB$65000,$B990,AF$5)="",2,0)),0)</f>
        <v>0</v>
      </c>
      <c r="AG990" s="313">
        <f>IFERROR(IF(INDEX([1]Pivot!$BF$1:$CG$65000,$B990,AG$5)=1,1,IF(INDEX([1]Pivot!$B$1:$AB$65000,$B990,AG$5)="",2,0)),0)</f>
        <v>0</v>
      </c>
      <c r="AH990" s="313">
        <f>IFERROR(IF(INDEX([1]Pivot!$BF$1:$CG$65000,$B990,AH$5)=1,1,IF(INDEX([1]Pivot!$B$1:$AB$65000,$B990,AH$5)="",2,0)),0)</f>
        <v>0</v>
      </c>
      <c r="AI990" s="313">
        <f>IFERROR(IF(INDEX([1]Pivot!$BF$1:$CG$65000,$B990,AI$5)=1,1,IF(INDEX([1]Pivot!$B$1:$AB$65000,$B990,AI$5)="",2,0)),0)</f>
        <v>0</v>
      </c>
      <c r="AJ990" s="313">
        <f>IFERROR(IF(INDEX([1]Pivot!$BF$1:$CG$65000,$B990,AJ$5)=1,1,IF(INDEX([1]Pivot!$B$1:$AB$65000,$B990,AJ$5)="",2,0)),0)</f>
        <v>0</v>
      </c>
      <c r="AK990" s="313">
        <f>IFERROR(IF(INDEX([1]Pivot!$BF$1:$CG$65000,$B990,AK$5)=1,1,IF(INDEX([1]Pivot!$B$1:$AB$65000,$B990,AK$5)="",2,0)),0)</f>
        <v>0</v>
      </c>
      <c r="AL990" s="313">
        <f>IFERROR(IF(INDEX([1]Pivot!$BF$1:$CG$65000,$B990,AL$5)=1,1,IF(INDEX([1]Pivot!$B$1:$AB$65000,$B990,AL$5)="",2,0)),0)</f>
        <v>0</v>
      </c>
      <c r="AM990" s="313">
        <f>IFERROR(IF(INDEX([1]Pivot!$BF$1:$CG$65000,$B990,AM$5)=1,1,IF(INDEX([1]Pivot!$B$1:$AB$65000,$B990,AM$5)="",2,0)),0)</f>
        <v>0</v>
      </c>
      <c r="AN990" s="313">
        <f>IFERROR(IF(INDEX([1]Pivot!$BF$1:$CG$65000,$B990,AN$5)=1,1,IF(INDEX([1]Pivot!$B$1:$AB$65000,$B990,AN$5)="",2,0)),0)</f>
        <v>0</v>
      </c>
      <c r="AO990" s="313">
        <f>IFERROR(IF(INDEX([1]Pivot!$BF$1:$CG$65000,$B990,AO$5)=1,1,IF(INDEX([1]Pivot!$B$1:$AB$65000,$B990,AO$5)="",2,0)),0)</f>
        <v>0</v>
      </c>
      <c r="AP990" s="313">
        <f>IFERROR(IF(INDEX([1]Pivot!$BF$1:$CG$65000,$B990,AP$5)=1,1,IF(INDEX([1]Pivot!$B$1:$AB$65000,$B990,AP$5)="",2,0)),0)</f>
        <v>0</v>
      </c>
      <c r="AQ990" s="313">
        <f>IFERROR(IF(INDEX([1]Pivot!$BF$1:$CG$65000,$B990,AQ$5)=1,1,IF(INDEX([1]Pivot!$B$1:$AB$65000,$B990,AQ$5)="",2,0)),0)</f>
        <v>0</v>
      </c>
      <c r="AR990" s="313">
        <f>IFERROR(IF(INDEX([1]Pivot!$BF$1:$CG$65000,$B990,AR$5)=1,1,IF(INDEX([1]Pivot!$B$1:$AB$65000,$B990,AR$5)="",2,0)),0)</f>
        <v>0</v>
      </c>
      <c r="AS990" s="312"/>
      <c r="AT990" s="313">
        <f>IFERROR(IF(INDEX([1]Pivot!$BF$1:$CG$65000,$B990,AT$5)=1,1,IF(INDEX([1]Pivot!$B$1:$AB$65000,$B990,AT$5)="",2,0)),0)</f>
        <v>0</v>
      </c>
      <c r="AU990" s="313">
        <f>IFERROR(IF(INDEX([1]Pivot!$BF$1:$CG$65000,$B990,AU$5)=1,1,IF(INDEX([1]Pivot!$B$1:$AB$65000,$B990,AU$5)="",2,0)),0)</f>
        <v>0</v>
      </c>
      <c r="AV990" s="313">
        <f>IFERROR(IF(INDEX([1]Pivot!$BF$1:$CG$65000,$B990,AV$5)=1,1,IF(INDEX([1]Pivot!$B$1:$AB$65000,$B990,AV$5)="",2,0)),0)</f>
        <v>0</v>
      </c>
      <c r="AW990" s="313">
        <f>IFERROR(IF(INDEX([1]Pivot!$BF$1:$CG$65000,$B990,AW$5)=1,1,IF(INDEX([1]Pivot!$B$1:$AB$65000,$B990,AW$5)="",2,0)),0)</f>
        <v>0</v>
      </c>
      <c r="AX990" s="313">
        <f>IFERROR(IF(INDEX([1]Pivot!$BF$1:$CG$65000,$B990,AX$5)=1,1,IF(INDEX([1]Pivot!$B$1:$AB$65000,$B990,AX$5)="",2,0)),0)</f>
        <v>0</v>
      </c>
      <c r="AY990" s="313">
        <f>IFERROR(IF(INDEX([1]Pivot!$BF$1:$CG$65000,$B990,AY$5)=1,1,IF(INDEX([1]Pivot!$B$1:$AB$65000,$B990,AY$5)="",2,0)),0)</f>
        <v>0</v>
      </c>
      <c r="AZ990" s="313">
        <f>IFERROR(IF(INDEX([1]Pivot!$BF$1:$CG$65000,$B990,AZ$5)=1,1,IF(INDEX([1]Pivot!$B$1:$AB$65000,$B990,AZ$5)="",2,0)),0)</f>
        <v>0</v>
      </c>
      <c r="BA990" s="313">
        <f>IFERROR(IF(INDEX([1]Pivot!$BF$1:$CG$65000,$B990,BA$5)=1,1,IF(INDEX([1]Pivot!$B$1:$AB$65000,$B990,BA$5)="",2,0)),0)</f>
        <v>0</v>
      </c>
      <c r="BB990" s="313">
        <f>IFERROR(IF(INDEX([1]Pivot!$BF$1:$CG$65000,$B990,BB$5)=1,1,IF(INDEX([1]Pivot!$B$1:$AB$65000,$B990,BB$5)="",2,0)),0)</f>
        <v>0</v>
      </c>
      <c r="BC990" s="313">
        <f>IFERROR(IF(INDEX([1]Pivot!$BF$1:$CG$65000,$B990,BC$5)=1,1,IF(INDEX([1]Pivot!$B$1:$AB$65000,$B990,BC$5)="",2,0)),0)</f>
        <v>0</v>
      </c>
      <c r="BD990" s="313">
        <f>IFERROR(IF(INDEX([1]Pivot!$BF$1:$CG$65000,$B990,BD$5)=1,1,IF(INDEX([1]Pivot!$B$1:$AB$65000,$B990,BD$5)="",2,0)),0)</f>
        <v>0</v>
      </c>
    </row>
    <row r="991" spans="1:56" x14ac:dyDescent="0.25">
      <c r="A991" s="288">
        <f>'[2]Raw Milk Prices'!A991</f>
        <v>0</v>
      </c>
      <c r="B991" s="296" t="e">
        <f>MATCH(DATE(LEFT('[2]Raw Milk Prices'!$A991,4),RIGHT('[2]Raw Milk Prices'!$A991,2),1),[1]Pivot!$A$1:$A$65000,0)</f>
        <v>#VALUE!</v>
      </c>
      <c r="C991" s="194">
        <f>IFERROR(IF(INDEX([1]Pivot!$AD$1:$BE$65000,$B991,C$5)=1,1,IF(INDEX([1]Pivot!$B$1:$AB$65000,$B991,C$5)="",2,0)),0)</f>
        <v>0</v>
      </c>
      <c r="D991" s="194">
        <f>IFERROR(IF(INDEX([1]Pivot!$AD$1:$BE$65000,$B991,D$5)=1,1,IF(INDEX([1]Pivot!$B$1:$AB$65000,$B991,D$5)="",2,0)),0)</f>
        <v>0</v>
      </c>
      <c r="E991" s="194">
        <f>IFERROR(IF(INDEX([1]Pivot!$AD$1:$BE$65000,$B991,E$5)=1,1,IF(INDEX([1]Pivot!$B$1:$AB$65000,$B991,E$5)="",2,0)),0)</f>
        <v>0</v>
      </c>
      <c r="F991" s="194">
        <f>IFERROR(IF(INDEX([1]Pivot!$AD$1:$BE$65000,$B991,F$5)=1,1,IF(INDEX([1]Pivot!$B$1:$AB$65000,$B991,F$5)="",2,0)),0)</f>
        <v>0</v>
      </c>
      <c r="G991" s="194">
        <f>IFERROR(IF(INDEX([1]Pivot!$AD$1:$BE$65000,$B991,G$5)=1,1,IF(INDEX([1]Pivot!$B$1:$AB$65000,$B991,G$5)="",2,0)),0)</f>
        <v>0</v>
      </c>
      <c r="H991" s="194">
        <f>IFERROR(IF(INDEX([1]Pivot!$AD$1:$BE$65000,$B991,H$5)=1,1,IF(INDEX([1]Pivot!$B$1:$AB$65000,$B991,H$5)="",2,0)),0)</f>
        <v>0</v>
      </c>
      <c r="I991" s="194">
        <f>IFERROR(IF(INDEX([1]Pivot!$AD$1:$BE$65000,$B991,I$5)=1,1,IF(INDEX([1]Pivot!$B$1:$AB$65000,$B991,I$5)="",2,0)),0)</f>
        <v>0</v>
      </c>
      <c r="J991" s="194">
        <f>IFERROR(IF(INDEX([1]Pivot!$AD$1:$BE$65000,$B991,J$5)=1,1,IF(INDEX([1]Pivot!$B$1:$AB$65000,$B991,J$5)="",2,0)),0)</f>
        <v>0</v>
      </c>
      <c r="K991" s="194">
        <f>IFERROR(IF(INDEX([1]Pivot!$AD$1:$BE$65000,$B991,K$5)=1,1,IF(INDEX([1]Pivot!$B$1:$AB$65000,$B991,K$5)="",2,0)),0)</f>
        <v>0</v>
      </c>
      <c r="L991" s="194">
        <f>IFERROR(IF(INDEX([1]Pivot!$AD$1:$BE$65000,$B991,L$5)=1,1,IF(INDEX([1]Pivot!$B$1:$AB$65000,$B991,L$5)="",2,0)),0)</f>
        <v>0</v>
      </c>
      <c r="M991" s="194">
        <f>IFERROR(IF(INDEX([1]Pivot!$AD$1:$BE$65000,$B991,M$5)=1,1,IF(INDEX([1]Pivot!$B$1:$AB$65000,$B991,M$5)="",2,0)),0)</f>
        <v>0</v>
      </c>
      <c r="N991" s="194">
        <f>IFERROR(IF(INDEX([1]Pivot!$AD$1:$BE$65000,$B991,N$5)=1,1,IF(INDEX([1]Pivot!$B$1:$AB$65000,$B991,N$5)="",2,0)),0)</f>
        <v>0</v>
      </c>
      <c r="O991" s="194">
        <f>IFERROR(IF(INDEX([1]Pivot!$AD$1:$BE$65000,$B991,O$5)=1,1,IF(INDEX([1]Pivot!$B$1:$AB$65000,$B991,O$5)="",2,0)),0)</f>
        <v>0</v>
      </c>
      <c r="P991" s="194">
        <f>IFERROR(IF(INDEX([1]Pivot!$AD$1:$BE$65000,$B991,P$5)=1,1,IF(INDEX([1]Pivot!$B$1:$AB$65000,$B991,P$5)="",2,0)),0)</f>
        <v>0</v>
      </c>
      <c r="Q991" s="194">
        <f>IFERROR(IF(INDEX([1]Pivot!$AD$1:$BE$65000,$B991,Q$5)=1,1,IF(INDEX([1]Pivot!$B$1:$AB$65000,$B991,Q$5)="",2,0)),0)</f>
        <v>0</v>
      </c>
      <c r="R991" s="312"/>
      <c r="S991" s="194">
        <f>IFERROR(IF(INDEX([1]Pivot!$AD$1:$BE$65000,$B991,S$5)=1,1,IF(INDEX([1]Pivot!$B$1:$AB$65000,$B991,S$5)="",2,0)),0)</f>
        <v>0</v>
      </c>
      <c r="T991" s="194">
        <f>IFERROR(IF(INDEX([1]Pivot!$AD$1:$BE$65000,$B991,T$5)=1,1,IF(INDEX([1]Pivot!$B$1:$AB$65000,$B991,T$5)="",2,0)),0)</f>
        <v>0</v>
      </c>
      <c r="U991" s="194">
        <f>IFERROR(IF(INDEX([1]Pivot!$AD$1:$BE$65000,$B991,U$5)=1,1,IF(INDEX([1]Pivot!$B$1:$AB$65000,$B991,U$5)="",2,0)),0)</f>
        <v>0</v>
      </c>
      <c r="V991" s="194">
        <f>IFERROR(IF(INDEX([1]Pivot!$AD$1:$BE$65000,$B991,V$5)=1,1,IF(INDEX([1]Pivot!$B$1:$AB$65000,$B991,V$5)="",2,0)),0)</f>
        <v>0</v>
      </c>
      <c r="W991" s="194">
        <f>IFERROR(IF(INDEX([1]Pivot!$AD$1:$BE$65000,$B991,W$5)=1,1,IF(INDEX([1]Pivot!$B$1:$AB$65000,$B991,W$5)="",2,0)),0)</f>
        <v>0</v>
      </c>
      <c r="X991" s="194">
        <f>IFERROR(IF(INDEX([1]Pivot!$AD$1:$BE$65000,$B991,X$5)=1,1,IF(INDEX([1]Pivot!$B$1:$AB$65000,$B991,X$5)="",2,0)),0)</f>
        <v>0</v>
      </c>
      <c r="Y991" s="194">
        <f>IFERROR(IF(INDEX([1]Pivot!$AD$1:$BE$65000,$B991,Y$5)=1,1,IF(INDEX([1]Pivot!$B$1:$AB$65000,$B991,Y$5)="",2,0)),0)</f>
        <v>0</v>
      </c>
      <c r="Z991" s="194">
        <f>IFERROR(IF(INDEX([1]Pivot!$AD$1:$BE$65000,$B991,Z$5)=1,1,IF(INDEX([1]Pivot!$B$1:$AB$65000,$B991,Z$5)="",2,0)),0)</f>
        <v>0</v>
      </c>
      <c r="AA991" s="194">
        <f>IFERROR(IF(INDEX([1]Pivot!$AD$1:$BE$65000,$B991,AA$5)=1,1,IF(INDEX([1]Pivot!$B$1:$AB$65000,$B991,AA$5)="",2,0)),0)</f>
        <v>0</v>
      </c>
      <c r="AB991" s="194">
        <f>IFERROR(IF(INDEX([1]Pivot!$AD$1:$BE$65000,$B991,AB$5)=1,1,IF(INDEX([1]Pivot!$B$1:$AB$65000,$B991,AB$5)="",2,0)),0)</f>
        <v>0</v>
      </c>
      <c r="AC991" s="194">
        <f>IFERROR(IF(INDEX([1]Pivot!$AD$1:$BE$65000,$B991,AC$5)=1,1,IF(INDEX([1]Pivot!$B$1:$AB$65000,$B991,AC$5)="",2,0)),0)</f>
        <v>0</v>
      </c>
      <c r="AD991" s="313">
        <f>IFERROR(IF(INDEX([1]Pivot!$BF$1:$CG$65000,$B991,AD$5)=1,1,IF(INDEX([1]Pivot!$B$1:$AB$65000,$B991,AD$5)="",2,0)),0)</f>
        <v>0</v>
      </c>
      <c r="AE991" s="313">
        <f>IFERROR(IF(INDEX([1]Pivot!$BF$1:$CG$65000,$B991,AE$5)=1,1,IF(INDEX([1]Pivot!$B$1:$AB$65000,$B991,AE$5)="",2,0)),0)</f>
        <v>0</v>
      </c>
      <c r="AF991" s="313">
        <f>IFERROR(IF(INDEX([1]Pivot!$BF$1:$CG$65000,$B991,AF$5)=1,1,IF(INDEX([1]Pivot!$B$1:$AB$65000,$B991,AF$5)="",2,0)),0)</f>
        <v>0</v>
      </c>
      <c r="AG991" s="313">
        <f>IFERROR(IF(INDEX([1]Pivot!$BF$1:$CG$65000,$B991,AG$5)=1,1,IF(INDEX([1]Pivot!$B$1:$AB$65000,$B991,AG$5)="",2,0)),0)</f>
        <v>0</v>
      </c>
      <c r="AH991" s="313">
        <f>IFERROR(IF(INDEX([1]Pivot!$BF$1:$CG$65000,$B991,AH$5)=1,1,IF(INDEX([1]Pivot!$B$1:$AB$65000,$B991,AH$5)="",2,0)),0)</f>
        <v>0</v>
      </c>
      <c r="AI991" s="313">
        <f>IFERROR(IF(INDEX([1]Pivot!$BF$1:$CG$65000,$B991,AI$5)=1,1,IF(INDEX([1]Pivot!$B$1:$AB$65000,$B991,AI$5)="",2,0)),0)</f>
        <v>0</v>
      </c>
      <c r="AJ991" s="313">
        <f>IFERROR(IF(INDEX([1]Pivot!$BF$1:$CG$65000,$B991,AJ$5)=1,1,IF(INDEX([1]Pivot!$B$1:$AB$65000,$B991,AJ$5)="",2,0)),0)</f>
        <v>0</v>
      </c>
      <c r="AK991" s="313">
        <f>IFERROR(IF(INDEX([1]Pivot!$BF$1:$CG$65000,$B991,AK$5)=1,1,IF(INDEX([1]Pivot!$B$1:$AB$65000,$B991,AK$5)="",2,0)),0)</f>
        <v>0</v>
      </c>
      <c r="AL991" s="313">
        <f>IFERROR(IF(INDEX([1]Pivot!$BF$1:$CG$65000,$B991,AL$5)=1,1,IF(INDEX([1]Pivot!$B$1:$AB$65000,$B991,AL$5)="",2,0)),0)</f>
        <v>0</v>
      </c>
      <c r="AM991" s="313">
        <f>IFERROR(IF(INDEX([1]Pivot!$BF$1:$CG$65000,$B991,AM$5)=1,1,IF(INDEX([1]Pivot!$B$1:$AB$65000,$B991,AM$5)="",2,0)),0)</f>
        <v>0</v>
      </c>
      <c r="AN991" s="313">
        <f>IFERROR(IF(INDEX([1]Pivot!$BF$1:$CG$65000,$B991,AN$5)=1,1,IF(INDEX([1]Pivot!$B$1:$AB$65000,$B991,AN$5)="",2,0)),0)</f>
        <v>0</v>
      </c>
      <c r="AO991" s="313">
        <f>IFERROR(IF(INDEX([1]Pivot!$BF$1:$CG$65000,$B991,AO$5)=1,1,IF(INDEX([1]Pivot!$B$1:$AB$65000,$B991,AO$5)="",2,0)),0)</f>
        <v>0</v>
      </c>
      <c r="AP991" s="313">
        <f>IFERROR(IF(INDEX([1]Pivot!$BF$1:$CG$65000,$B991,AP$5)=1,1,IF(INDEX([1]Pivot!$B$1:$AB$65000,$B991,AP$5)="",2,0)),0)</f>
        <v>0</v>
      </c>
      <c r="AQ991" s="313">
        <f>IFERROR(IF(INDEX([1]Pivot!$BF$1:$CG$65000,$B991,AQ$5)=1,1,IF(INDEX([1]Pivot!$B$1:$AB$65000,$B991,AQ$5)="",2,0)),0)</f>
        <v>0</v>
      </c>
      <c r="AR991" s="313">
        <f>IFERROR(IF(INDEX([1]Pivot!$BF$1:$CG$65000,$B991,AR$5)=1,1,IF(INDEX([1]Pivot!$B$1:$AB$65000,$B991,AR$5)="",2,0)),0)</f>
        <v>0</v>
      </c>
      <c r="AS991" s="312"/>
      <c r="AT991" s="313">
        <f>IFERROR(IF(INDEX([1]Pivot!$BF$1:$CG$65000,$B991,AT$5)=1,1,IF(INDEX([1]Pivot!$B$1:$AB$65000,$B991,AT$5)="",2,0)),0)</f>
        <v>0</v>
      </c>
      <c r="AU991" s="313">
        <f>IFERROR(IF(INDEX([1]Pivot!$BF$1:$CG$65000,$B991,AU$5)=1,1,IF(INDEX([1]Pivot!$B$1:$AB$65000,$B991,AU$5)="",2,0)),0)</f>
        <v>0</v>
      </c>
      <c r="AV991" s="313">
        <f>IFERROR(IF(INDEX([1]Pivot!$BF$1:$CG$65000,$B991,AV$5)=1,1,IF(INDEX([1]Pivot!$B$1:$AB$65000,$B991,AV$5)="",2,0)),0)</f>
        <v>0</v>
      </c>
      <c r="AW991" s="313">
        <f>IFERROR(IF(INDEX([1]Pivot!$BF$1:$CG$65000,$B991,AW$5)=1,1,IF(INDEX([1]Pivot!$B$1:$AB$65000,$B991,AW$5)="",2,0)),0)</f>
        <v>0</v>
      </c>
      <c r="AX991" s="313">
        <f>IFERROR(IF(INDEX([1]Pivot!$BF$1:$CG$65000,$B991,AX$5)=1,1,IF(INDEX([1]Pivot!$B$1:$AB$65000,$B991,AX$5)="",2,0)),0)</f>
        <v>0</v>
      </c>
      <c r="AY991" s="313">
        <f>IFERROR(IF(INDEX([1]Pivot!$BF$1:$CG$65000,$B991,AY$5)=1,1,IF(INDEX([1]Pivot!$B$1:$AB$65000,$B991,AY$5)="",2,0)),0)</f>
        <v>0</v>
      </c>
      <c r="AZ991" s="313">
        <f>IFERROR(IF(INDEX([1]Pivot!$BF$1:$CG$65000,$B991,AZ$5)=1,1,IF(INDEX([1]Pivot!$B$1:$AB$65000,$B991,AZ$5)="",2,0)),0)</f>
        <v>0</v>
      </c>
      <c r="BA991" s="313">
        <f>IFERROR(IF(INDEX([1]Pivot!$BF$1:$CG$65000,$B991,BA$5)=1,1,IF(INDEX([1]Pivot!$B$1:$AB$65000,$B991,BA$5)="",2,0)),0)</f>
        <v>0</v>
      </c>
      <c r="BB991" s="313">
        <f>IFERROR(IF(INDEX([1]Pivot!$BF$1:$CG$65000,$B991,BB$5)=1,1,IF(INDEX([1]Pivot!$B$1:$AB$65000,$B991,BB$5)="",2,0)),0)</f>
        <v>0</v>
      </c>
      <c r="BC991" s="313">
        <f>IFERROR(IF(INDEX([1]Pivot!$BF$1:$CG$65000,$B991,BC$5)=1,1,IF(INDEX([1]Pivot!$B$1:$AB$65000,$B991,BC$5)="",2,0)),0)</f>
        <v>0</v>
      </c>
      <c r="BD991" s="313">
        <f>IFERROR(IF(INDEX([1]Pivot!$BF$1:$CG$65000,$B991,BD$5)=1,1,IF(INDEX([1]Pivot!$B$1:$AB$65000,$B991,BD$5)="",2,0)),0)</f>
        <v>0</v>
      </c>
    </row>
    <row r="992" spans="1:56" x14ac:dyDescent="0.25">
      <c r="A992" s="288">
        <f>'[2]Raw Milk Prices'!A992</f>
        <v>0</v>
      </c>
      <c r="B992" s="296" t="e">
        <f>MATCH(DATE(LEFT('[2]Raw Milk Prices'!$A992,4),RIGHT('[2]Raw Milk Prices'!$A992,2),1),[1]Pivot!$A$1:$A$65000,0)</f>
        <v>#VALUE!</v>
      </c>
      <c r="C992" s="194">
        <f>IFERROR(IF(INDEX([1]Pivot!$AD$1:$BE$65000,$B992,C$5)=1,1,IF(INDEX([1]Pivot!$B$1:$AB$65000,$B992,C$5)="",2,0)),0)</f>
        <v>0</v>
      </c>
      <c r="D992" s="194">
        <f>IFERROR(IF(INDEX([1]Pivot!$AD$1:$BE$65000,$B992,D$5)=1,1,IF(INDEX([1]Pivot!$B$1:$AB$65000,$B992,D$5)="",2,0)),0)</f>
        <v>0</v>
      </c>
      <c r="E992" s="194">
        <f>IFERROR(IF(INDEX([1]Pivot!$AD$1:$BE$65000,$B992,E$5)=1,1,IF(INDEX([1]Pivot!$B$1:$AB$65000,$B992,E$5)="",2,0)),0)</f>
        <v>0</v>
      </c>
      <c r="F992" s="194">
        <f>IFERROR(IF(INDEX([1]Pivot!$AD$1:$BE$65000,$B992,F$5)=1,1,IF(INDEX([1]Pivot!$B$1:$AB$65000,$B992,F$5)="",2,0)),0)</f>
        <v>0</v>
      </c>
      <c r="G992" s="194">
        <f>IFERROR(IF(INDEX([1]Pivot!$AD$1:$BE$65000,$B992,G$5)=1,1,IF(INDEX([1]Pivot!$B$1:$AB$65000,$B992,G$5)="",2,0)),0)</f>
        <v>0</v>
      </c>
      <c r="H992" s="194">
        <f>IFERROR(IF(INDEX([1]Pivot!$AD$1:$BE$65000,$B992,H$5)=1,1,IF(INDEX([1]Pivot!$B$1:$AB$65000,$B992,H$5)="",2,0)),0)</f>
        <v>0</v>
      </c>
      <c r="I992" s="194">
        <f>IFERROR(IF(INDEX([1]Pivot!$AD$1:$BE$65000,$B992,I$5)=1,1,IF(INDEX([1]Pivot!$B$1:$AB$65000,$B992,I$5)="",2,0)),0)</f>
        <v>0</v>
      </c>
      <c r="J992" s="194">
        <f>IFERROR(IF(INDEX([1]Pivot!$AD$1:$BE$65000,$B992,J$5)=1,1,IF(INDEX([1]Pivot!$B$1:$AB$65000,$B992,J$5)="",2,0)),0)</f>
        <v>0</v>
      </c>
      <c r="K992" s="194">
        <f>IFERROR(IF(INDEX([1]Pivot!$AD$1:$BE$65000,$B992,K$5)=1,1,IF(INDEX([1]Pivot!$B$1:$AB$65000,$B992,K$5)="",2,0)),0)</f>
        <v>0</v>
      </c>
      <c r="L992" s="194">
        <f>IFERROR(IF(INDEX([1]Pivot!$AD$1:$BE$65000,$B992,L$5)=1,1,IF(INDEX([1]Pivot!$B$1:$AB$65000,$B992,L$5)="",2,0)),0)</f>
        <v>0</v>
      </c>
      <c r="M992" s="194">
        <f>IFERROR(IF(INDEX([1]Pivot!$AD$1:$BE$65000,$B992,M$5)=1,1,IF(INDEX([1]Pivot!$B$1:$AB$65000,$B992,M$5)="",2,0)),0)</f>
        <v>0</v>
      </c>
      <c r="N992" s="194">
        <f>IFERROR(IF(INDEX([1]Pivot!$AD$1:$BE$65000,$B992,N$5)=1,1,IF(INDEX([1]Pivot!$B$1:$AB$65000,$B992,N$5)="",2,0)),0)</f>
        <v>0</v>
      </c>
      <c r="O992" s="194">
        <f>IFERROR(IF(INDEX([1]Pivot!$AD$1:$BE$65000,$B992,O$5)=1,1,IF(INDEX([1]Pivot!$B$1:$AB$65000,$B992,O$5)="",2,0)),0)</f>
        <v>0</v>
      </c>
      <c r="P992" s="194">
        <f>IFERROR(IF(INDEX([1]Pivot!$AD$1:$BE$65000,$B992,P$5)=1,1,IF(INDEX([1]Pivot!$B$1:$AB$65000,$B992,P$5)="",2,0)),0)</f>
        <v>0</v>
      </c>
      <c r="Q992" s="194">
        <f>IFERROR(IF(INDEX([1]Pivot!$AD$1:$BE$65000,$B992,Q$5)=1,1,IF(INDEX([1]Pivot!$B$1:$AB$65000,$B992,Q$5)="",2,0)),0)</f>
        <v>0</v>
      </c>
      <c r="R992" s="312"/>
      <c r="S992" s="194">
        <f>IFERROR(IF(INDEX([1]Pivot!$AD$1:$BE$65000,$B992,S$5)=1,1,IF(INDEX([1]Pivot!$B$1:$AB$65000,$B992,S$5)="",2,0)),0)</f>
        <v>0</v>
      </c>
      <c r="T992" s="194">
        <f>IFERROR(IF(INDEX([1]Pivot!$AD$1:$BE$65000,$B992,T$5)=1,1,IF(INDEX([1]Pivot!$B$1:$AB$65000,$B992,T$5)="",2,0)),0)</f>
        <v>0</v>
      </c>
      <c r="U992" s="194">
        <f>IFERROR(IF(INDEX([1]Pivot!$AD$1:$BE$65000,$B992,U$5)=1,1,IF(INDEX([1]Pivot!$B$1:$AB$65000,$B992,U$5)="",2,0)),0)</f>
        <v>0</v>
      </c>
      <c r="V992" s="194">
        <f>IFERROR(IF(INDEX([1]Pivot!$AD$1:$BE$65000,$B992,V$5)=1,1,IF(INDEX([1]Pivot!$B$1:$AB$65000,$B992,V$5)="",2,0)),0)</f>
        <v>0</v>
      </c>
      <c r="W992" s="194">
        <f>IFERROR(IF(INDEX([1]Pivot!$AD$1:$BE$65000,$B992,W$5)=1,1,IF(INDEX([1]Pivot!$B$1:$AB$65000,$B992,W$5)="",2,0)),0)</f>
        <v>0</v>
      </c>
      <c r="X992" s="194">
        <f>IFERROR(IF(INDEX([1]Pivot!$AD$1:$BE$65000,$B992,X$5)=1,1,IF(INDEX([1]Pivot!$B$1:$AB$65000,$B992,X$5)="",2,0)),0)</f>
        <v>0</v>
      </c>
      <c r="Y992" s="194">
        <f>IFERROR(IF(INDEX([1]Pivot!$AD$1:$BE$65000,$B992,Y$5)=1,1,IF(INDEX([1]Pivot!$B$1:$AB$65000,$B992,Y$5)="",2,0)),0)</f>
        <v>0</v>
      </c>
      <c r="Z992" s="194">
        <f>IFERROR(IF(INDEX([1]Pivot!$AD$1:$BE$65000,$B992,Z$5)=1,1,IF(INDEX([1]Pivot!$B$1:$AB$65000,$B992,Z$5)="",2,0)),0)</f>
        <v>0</v>
      </c>
      <c r="AA992" s="194">
        <f>IFERROR(IF(INDEX([1]Pivot!$AD$1:$BE$65000,$B992,AA$5)=1,1,IF(INDEX([1]Pivot!$B$1:$AB$65000,$B992,AA$5)="",2,0)),0)</f>
        <v>0</v>
      </c>
      <c r="AB992" s="194">
        <f>IFERROR(IF(INDEX([1]Pivot!$AD$1:$BE$65000,$B992,AB$5)=1,1,IF(INDEX([1]Pivot!$B$1:$AB$65000,$B992,AB$5)="",2,0)),0)</f>
        <v>0</v>
      </c>
      <c r="AC992" s="194">
        <f>IFERROR(IF(INDEX([1]Pivot!$AD$1:$BE$65000,$B992,AC$5)=1,1,IF(INDEX([1]Pivot!$B$1:$AB$65000,$B992,AC$5)="",2,0)),0)</f>
        <v>0</v>
      </c>
      <c r="AD992" s="313">
        <f>IFERROR(IF(INDEX([1]Pivot!$BF$1:$CG$65000,$B992,AD$5)=1,1,IF(INDEX([1]Pivot!$B$1:$AB$65000,$B992,AD$5)="",2,0)),0)</f>
        <v>0</v>
      </c>
      <c r="AE992" s="313">
        <f>IFERROR(IF(INDEX([1]Pivot!$BF$1:$CG$65000,$B992,AE$5)=1,1,IF(INDEX([1]Pivot!$B$1:$AB$65000,$B992,AE$5)="",2,0)),0)</f>
        <v>0</v>
      </c>
      <c r="AF992" s="313">
        <f>IFERROR(IF(INDEX([1]Pivot!$BF$1:$CG$65000,$B992,AF$5)=1,1,IF(INDEX([1]Pivot!$B$1:$AB$65000,$B992,AF$5)="",2,0)),0)</f>
        <v>0</v>
      </c>
      <c r="AG992" s="313">
        <f>IFERROR(IF(INDEX([1]Pivot!$BF$1:$CG$65000,$B992,AG$5)=1,1,IF(INDEX([1]Pivot!$B$1:$AB$65000,$B992,AG$5)="",2,0)),0)</f>
        <v>0</v>
      </c>
      <c r="AH992" s="313">
        <f>IFERROR(IF(INDEX([1]Pivot!$BF$1:$CG$65000,$B992,AH$5)=1,1,IF(INDEX([1]Pivot!$B$1:$AB$65000,$B992,AH$5)="",2,0)),0)</f>
        <v>0</v>
      </c>
      <c r="AI992" s="313">
        <f>IFERROR(IF(INDEX([1]Pivot!$BF$1:$CG$65000,$B992,AI$5)=1,1,IF(INDEX([1]Pivot!$B$1:$AB$65000,$B992,AI$5)="",2,0)),0)</f>
        <v>0</v>
      </c>
      <c r="AJ992" s="313">
        <f>IFERROR(IF(INDEX([1]Pivot!$BF$1:$CG$65000,$B992,AJ$5)=1,1,IF(INDEX([1]Pivot!$B$1:$AB$65000,$B992,AJ$5)="",2,0)),0)</f>
        <v>0</v>
      </c>
      <c r="AK992" s="313">
        <f>IFERROR(IF(INDEX([1]Pivot!$BF$1:$CG$65000,$B992,AK$5)=1,1,IF(INDEX([1]Pivot!$B$1:$AB$65000,$B992,AK$5)="",2,0)),0)</f>
        <v>0</v>
      </c>
      <c r="AL992" s="313">
        <f>IFERROR(IF(INDEX([1]Pivot!$BF$1:$CG$65000,$B992,AL$5)=1,1,IF(INDEX([1]Pivot!$B$1:$AB$65000,$B992,AL$5)="",2,0)),0)</f>
        <v>0</v>
      </c>
      <c r="AM992" s="313">
        <f>IFERROR(IF(INDEX([1]Pivot!$BF$1:$CG$65000,$B992,AM$5)=1,1,IF(INDEX([1]Pivot!$B$1:$AB$65000,$B992,AM$5)="",2,0)),0)</f>
        <v>0</v>
      </c>
      <c r="AN992" s="313">
        <f>IFERROR(IF(INDEX([1]Pivot!$BF$1:$CG$65000,$B992,AN$5)=1,1,IF(INDEX([1]Pivot!$B$1:$AB$65000,$B992,AN$5)="",2,0)),0)</f>
        <v>0</v>
      </c>
      <c r="AO992" s="313">
        <f>IFERROR(IF(INDEX([1]Pivot!$BF$1:$CG$65000,$B992,AO$5)=1,1,IF(INDEX([1]Pivot!$B$1:$AB$65000,$B992,AO$5)="",2,0)),0)</f>
        <v>0</v>
      </c>
      <c r="AP992" s="313">
        <f>IFERROR(IF(INDEX([1]Pivot!$BF$1:$CG$65000,$B992,AP$5)=1,1,IF(INDEX([1]Pivot!$B$1:$AB$65000,$B992,AP$5)="",2,0)),0)</f>
        <v>0</v>
      </c>
      <c r="AQ992" s="313">
        <f>IFERROR(IF(INDEX([1]Pivot!$BF$1:$CG$65000,$B992,AQ$5)=1,1,IF(INDEX([1]Pivot!$B$1:$AB$65000,$B992,AQ$5)="",2,0)),0)</f>
        <v>0</v>
      </c>
      <c r="AR992" s="313">
        <f>IFERROR(IF(INDEX([1]Pivot!$BF$1:$CG$65000,$B992,AR$5)=1,1,IF(INDEX([1]Pivot!$B$1:$AB$65000,$B992,AR$5)="",2,0)),0)</f>
        <v>0</v>
      </c>
      <c r="AS992" s="312"/>
      <c r="AT992" s="313">
        <f>IFERROR(IF(INDEX([1]Pivot!$BF$1:$CG$65000,$B992,AT$5)=1,1,IF(INDEX([1]Pivot!$B$1:$AB$65000,$B992,AT$5)="",2,0)),0)</f>
        <v>0</v>
      </c>
      <c r="AU992" s="313">
        <f>IFERROR(IF(INDEX([1]Pivot!$BF$1:$CG$65000,$B992,AU$5)=1,1,IF(INDEX([1]Pivot!$B$1:$AB$65000,$B992,AU$5)="",2,0)),0)</f>
        <v>0</v>
      </c>
      <c r="AV992" s="313">
        <f>IFERROR(IF(INDEX([1]Pivot!$BF$1:$CG$65000,$B992,AV$5)=1,1,IF(INDEX([1]Pivot!$B$1:$AB$65000,$B992,AV$5)="",2,0)),0)</f>
        <v>0</v>
      </c>
      <c r="AW992" s="313">
        <f>IFERROR(IF(INDEX([1]Pivot!$BF$1:$CG$65000,$B992,AW$5)=1,1,IF(INDEX([1]Pivot!$B$1:$AB$65000,$B992,AW$5)="",2,0)),0)</f>
        <v>0</v>
      </c>
      <c r="AX992" s="313">
        <f>IFERROR(IF(INDEX([1]Pivot!$BF$1:$CG$65000,$B992,AX$5)=1,1,IF(INDEX([1]Pivot!$B$1:$AB$65000,$B992,AX$5)="",2,0)),0)</f>
        <v>0</v>
      </c>
      <c r="AY992" s="313">
        <f>IFERROR(IF(INDEX([1]Pivot!$BF$1:$CG$65000,$B992,AY$5)=1,1,IF(INDEX([1]Pivot!$B$1:$AB$65000,$B992,AY$5)="",2,0)),0)</f>
        <v>0</v>
      </c>
      <c r="AZ992" s="313">
        <f>IFERROR(IF(INDEX([1]Pivot!$BF$1:$CG$65000,$B992,AZ$5)=1,1,IF(INDEX([1]Pivot!$B$1:$AB$65000,$B992,AZ$5)="",2,0)),0)</f>
        <v>0</v>
      </c>
      <c r="BA992" s="313">
        <f>IFERROR(IF(INDEX([1]Pivot!$BF$1:$CG$65000,$B992,BA$5)=1,1,IF(INDEX([1]Pivot!$B$1:$AB$65000,$B992,BA$5)="",2,0)),0)</f>
        <v>0</v>
      </c>
      <c r="BB992" s="313">
        <f>IFERROR(IF(INDEX([1]Pivot!$BF$1:$CG$65000,$B992,BB$5)=1,1,IF(INDEX([1]Pivot!$B$1:$AB$65000,$B992,BB$5)="",2,0)),0)</f>
        <v>0</v>
      </c>
      <c r="BC992" s="313">
        <f>IFERROR(IF(INDEX([1]Pivot!$BF$1:$CG$65000,$B992,BC$5)=1,1,IF(INDEX([1]Pivot!$B$1:$AB$65000,$B992,BC$5)="",2,0)),0)</f>
        <v>0</v>
      </c>
      <c r="BD992" s="313">
        <f>IFERROR(IF(INDEX([1]Pivot!$BF$1:$CG$65000,$B992,BD$5)=1,1,IF(INDEX([1]Pivot!$B$1:$AB$65000,$B992,BD$5)="",2,0)),0)</f>
        <v>0</v>
      </c>
    </row>
    <row r="993" spans="1:56" x14ac:dyDescent="0.25">
      <c r="A993" s="288">
        <f>'[2]Raw Milk Prices'!A993</f>
        <v>0</v>
      </c>
      <c r="B993" s="296" t="e">
        <f>MATCH(DATE(LEFT('[2]Raw Milk Prices'!$A993,4),RIGHT('[2]Raw Milk Prices'!$A993,2),1),[1]Pivot!$A$1:$A$65000,0)</f>
        <v>#VALUE!</v>
      </c>
      <c r="C993" s="194">
        <f>IFERROR(IF(INDEX([1]Pivot!$AD$1:$BE$65000,$B993,C$5)=1,1,IF(INDEX([1]Pivot!$B$1:$AB$65000,$B993,C$5)="",2,0)),0)</f>
        <v>0</v>
      </c>
      <c r="D993" s="194">
        <f>IFERROR(IF(INDEX([1]Pivot!$AD$1:$BE$65000,$B993,D$5)=1,1,IF(INDEX([1]Pivot!$B$1:$AB$65000,$B993,D$5)="",2,0)),0)</f>
        <v>0</v>
      </c>
      <c r="E993" s="194">
        <f>IFERROR(IF(INDEX([1]Pivot!$AD$1:$BE$65000,$B993,E$5)=1,1,IF(INDEX([1]Pivot!$B$1:$AB$65000,$B993,E$5)="",2,0)),0)</f>
        <v>0</v>
      </c>
      <c r="F993" s="194">
        <f>IFERROR(IF(INDEX([1]Pivot!$AD$1:$BE$65000,$B993,F$5)=1,1,IF(INDEX([1]Pivot!$B$1:$AB$65000,$B993,F$5)="",2,0)),0)</f>
        <v>0</v>
      </c>
      <c r="G993" s="194">
        <f>IFERROR(IF(INDEX([1]Pivot!$AD$1:$BE$65000,$B993,G$5)=1,1,IF(INDEX([1]Pivot!$B$1:$AB$65000,$B993,G$5)="",2,0)),0)</f>
        <v>0</v>
      </c>
      <c r="H993" s="194">
        <f>IFERROR(IF(INDEX([1]Pivot!$AD$1:$BE$65000,$B993,H$5)=1,1,IF(INDEX([1]Pivot!$B$1:$AB$65000,$B993,H$5)="",2,0)),0)</f>
        <v>0</v>
      </c>
      <c r="I993" s="194">
        <f>IFERROR(IF(INDEX([1]Pivot!$AD$1:$BE$65000,$B993,I$5)=1,1,IF(INDEX([1]Pivot!$B$1:$AB$65000,$B993,I$5)="",2,0)),0)</f>
        <v>0</v>
      </c>
      <c r="J993" s="194">
        <f>IFERROR(IF(INDEX([1]Pivot!$AD$1:$BE$65000,$B993,J$5)=1,1,IF(INDEX([1]Pivot!$B$1:$AB$65000,$B993,J$5)="",2,0)),0)</f>
        <v>0</v>
      </c>
      <c r="K993" s="194">
        <f>IFERROR(IF(INDEX([1]Pivot!$AD$1:$BE$65000,$B993,K$5)=1,1,IF(INDEX([1]Pivot!$B$1:$AB$65000,$B993,K$5)="",2,0)),0)</f>
        <v>0</v>
      </c>
      <c r="L993" s="194">
        <f>IFERROR(IF(INDEX([1]Pivot!$AD$1:$BE$65000,$B993,L$5)=1,1,IF(INDEX([1]Pivot!$B$1:$AB$65000,$B993,L$5)="",2,0)),0)</f>
        <v>0</v>
      </c>
      <c r="M993" s="194">
        <f>IFERROR(IF(INDEX([1]Pivot!$AD$1:$BE$65000,$B993,M$5)=1,1,IF(INDEX([1]Pivot!$B$1:$AB$65000,$B993,M$5)="",2,0)),0)</f>
        <v>0</v>
      </c>
      <c r="N993" s="194">
        <f>IFERROR(IF(INDEX([1]Pivot!$AD$1:$BE$65000,$B993,N$5)=1,1,IF(INDEX([1]Pivot!$B$1:$AB$65000,$B993,N$5)="",2,0)),0)</f>
        <v>0</v>
      </c>
      <c r="O993" s="194">
        <f>IFERROR(IF(INDEX([1]Pivot!$AD$1:$BE$65000,$B993,O$5)=1,1,IF(INDEX([1]Pivot!$B$1:$AB$65000,$B993,O$5)="",2,0)),0)</f>
        <v>0</v>
      </c>
      <c r="P993" s="194">
        <f>IFERROR(IF(INDEX([1]Pivot!$AD$1:$BE$65000,$B993,P$5)=1,1,IF(INDEX([1]Pivot!$B$1:$AB$65000,$B993,P$5)="",2,0)),0)</f>
        <v>0</v>
      </c>
      <c r="Q993" s="194">
        <f>IFERROR(IF(INDEX([1]Pivot!$AD$1:$BE$65000,$B993,Q$5)=1,1,IF(INDEX([1]Pivot!$B$1:$AB$65000,$B993,Q$5)="",2,0)),0)</f>
        <v>0</v>
      </c>
      <c r="R993" s="312"/>
      <c r="S993" s="194">
        <f>IFERROR(IF(INDEX([1]Pivot!$AD$1:$BE$65000,$B993,S$5)=1,1,IF(INDEX([1]Pivot!$B$1:$AB$65000,$B993,S$5)="",2,0)),0)</f>
        <v>0</v>
      </c>
      <c r="T993" s="194">
        <f>IFERROR(IF(INDEX([1]Pivot!$AD$1:$BE$65000,$B993,T$5)=1,1,IF(INDEX([1]Pivot!$B$1:$AB$65000,$B993,T$5)="",2,0)),0)</f>
        <v>0</v>
      </c>
      <c r="U993" s="194">
        <f>IFERROR(IF(INDEX([1]Pivot!$AD$1:$BE$65000,$B993,U$5)=1,1,IF(INDEX([1]Pivot!$B$1:$AB$65000,$B993,U$5)="",2,0)),0)</f>
        <v>0</v>
      </c>
      <c r="V993" s="194">
        <f>IFERROR(IF(INDEX([1]Pivot!$AD$1:$BE$65000,$B993,V$5)=1,1,IF(INDEX([1]Pivot!$B$1:$AB$65000,$B993,V$5)="",2,0)),0)</f>
        <v>0</v>
      </c>
      <c r="W993" s="194">
        <f>IFERROR(IF(INDEX([1]Pivot!$AD$1:$BE$65000,$B993,W$5)=1,1,IF(INDEX([1]Pivot!$B$1:$AB$65000,$B993,W$5)="",2,0)),0)</f>
        <v>0</v>
      </c>
      <c r="X993" s="194">
        <f>IFERROR(IF(INDEX([1]Pivot!$AD$1:$BE$65000,$B993,X$5)=1,1,IF(INDEX([1]Pivot!$B$1:$AB$65000,$B993,X$5)="",2,0)),0)</f>
        <v>0</v>
      </c>
      <c r="Y993" s="194">
        <f>IFERROR(IF(INDEX([1]Pivot!$AD$1:$BE$65000,$B993,Y$5)=1,1,IF(INDEX([1]Pivot!$B$1:$AB$65000,$B993,Y$5)="",2,0)),0)</f>
        <v>0</v>
      </c>
      <c r="Z993" s="194">
        <f>IFERROR(IF(INDEX([1]Pivot!$AD$1:$BE$65000,$B993,Z$5)=1,1,IF(INDEX([1]Pivot!$B$1:$AB$65000,$B993,Z$5)="",2,0)),0)</f>
        <v>0</v>
      </c>
      <c r="AA993" s="194">
        <f>IFERROR(IF(INDEX([1]Pivot!$AD$1:$BE$65000,$B993,AA$5)=1,1,IF(INDEX([1]Pivot!$B$1:$AB$65000,$B993,AA$5)="",2,0)),0)</f>
        <v>0</v>
      </c>
      <c r="AB993" s="194">
        <f>IFERROR(IF(INDEX([1]Pivot!$AD$1:$BE$65000,$B993,AB$5)=1,1,IF(INDEX([1]Pivot!$B$1:$AB$65000,$B993,AB$5)="",2,0)),0)</f>
        <v>0</v>
      </c>
      <c r="AC993" s="194">
        <f>IFERROR(IF(INDEX([1]Pivot!$AD$1:$BE$65000,$B993,AC$5)=1,1,IF(INDEX([1]Pivot!$B$1:$AB$65000,$B993,AC$5)="",2,0)),0)</f>
        <v>0</v>
      </c>
      <c r="AD993" s="313">
        <f>IFERROR(IF(INDEX([1]Pivot!$BF$1:$CG$65000,$B993,AD$5)=1,1,IF(INDEX([1]Pivot!$B$1:$AB$65000,$B993,AD$5)="",2,0)),0)</f>
        <v>0</v>
      </c>
      <c r="AE993" s="313">
        <f>IFERROR(IF(INDEX([1]Pivot!$BF$1:$CG$65000,$B993,AE$5)=1,1,IF(INDEX([1]Pivot!$B$1:$AB$65000,$B993,AE$5)="",2,0)),0)</f>
        <v>0</v>
      </c>
      <c r="AF993" s="313">
        <f>IFERROR(IF(INDEX([1]Pivot!$BF$1:$CG$65000,$B993,AF$5)=1,1,IF(INDEX([1]Pivot!$B$1:$AB$65000,$B993,AF$5)="",2,0)),0)</f>
        <v>0</v>
      </c>
      <c r="AG993" s="313">
        <f>IFERROR(IF(INDEX([1]Pivot!$BF$1:$CG$65000,$B993,AG$5)=1,1,IF(INDEX([1]Pivot!$B$1:$AB$65000,$B993,AG$5)="",2,0)),0)</f>
        <v>0</v>
      </c>
      <c r="AH993" s="313">
        <f>IFERROR(IF(INDEX([1]Pivot!$BF$1:$CG$65000,$B993,AH$5)=1,1,IF(INDEX([1]Pivot!$B$1:$AB$65000,$B993,AH$5)="",2,0)),0)</f>
        <v>0</v>
      </c>
      <c r="AI993" s="313">
        <f>IFERROR(IF(INDEX([1]Pivot!$BF$1:$CG$65000,$B993,AI$5)=1,1,IF(INDEX([1]Pivot!$B$1:$AB$65000,$B993,AI$5)="",2,0)),0)</f>
        <v>0</v>
      </c>
      <c r="AJ993" s="313">
        <f>IFERROR(IF(INDEX([1]Pivot!$BF$1:$CG$65000,$B993,AJ$5)=1,1,IF(INDEX([1]Pivot!$B$1:$AB$65000,$B993,AJ$5)="",2,0)),0)</f>
        <v>0</v>
      </c>
      <c r="AK993" s="313">
        <f>IFERROR(IF(INDEX([1]Pivot!$BF$1:$CG$65000,$B993,AK$5)=1,1,IF(INDEX([1]Pivot!$B$1:$AB$65000,$B993,AK$5)="",2,0)),0)</f>
        <v>0</v>
      </c>
      <c r="AL993" s="313">
        <f>IFERROR(IF(INDEX([1]Pivot!$BF$1:$CG$65000,$B993,AL$5)=1,1,IF(INDEX([1]Pivot!$B$1:$AB$65000,$B993,AL$5)="",2,0)),0)</f>
        <v>0</v>
      </c>
      <c r="AM993" s="313">
        <f>IFERROR(IF(INDEX([1]Pivot!$BF$1:$CG$65000,$B993,AM$5)=1,1,IF(INDEX([1]Pivot!$B$1:$AB$65000,$B993,AM$5)="",2,0)),0)</f>
        <v>0</v>
      </c>
      <c r="AN993" s="313">
        <f>IFERROR(IF(INDEX([1]Pivot!$BF$1:$CG$65000,$B993,AN$5)=1,1,IF(INDEX([1]Pivot!$B$1:$AB$65000,$B993,AN$5)="",2,0)),0)</f>
        <v>0</v>
      </c>
      <c r="AO993" s="313">
        <f>IFERROR(IF(INDEX([1]Pivot!$BF$1:$CG$65000,$B993,AO$5)=1,1,IF(INDEX([1]Pivot!$B$1:$AB$65000,$B993,AO$5)="",2,0)),0)</f>
        <v>0</v>
      </c>
      <c r="AP993" s="313">
        <f>IFERROR(IF(INDEX([1]Pivot!$BF$1:$CG$65000,$B993,AP$5)=1,1,IF(INDEX([1]Pivot!$B$1:$AB$65000,$B993,AP$5)="",2,0)),0)</f>
        <v>0</v>
      </c>
      <c r="AQ993" s="313">
        <f>IFERROR(IF(INDEX([1]Pivot!$BF$1:$CG$65000,$B993,AQ$5)=1,1,IF(INDEX([1]Pivot!$B$1:$AB$65000,$B993,AQ$5)="",2,0)),0)</f>
        <v>0</v>
      </c>
      <c r="AR993" s="313">
        <f>IFERROR(IF(INDEX([1]Pivot!$BF$1:$CG$65000,$B993,AR$5)=1,1,IF(INDEX([1]Pivot!$B$1:$AB$65000,$B993,AR$5)="",2,0)),0)</f>
        <v>0</v>
      </c>
      <c r="AS993" s="312"/>
      <c r="AT993" s="313">
        <f>IFERROR(IF(INDEX([1]Pivot!$BF$1:$CG$65000,$B993,AT$5)=1,1,IF(INDEX([1]Pivot!$B$1:$AB$65000,$B993,AT$5)="",2,0)),0)</f>
        <v>0</v>
      </c>
      <c r="AU993" s="313">
        <f>IFERROR(IF(INDEX([1]Pivot!$BF$1:$CG$65000,$B993,AU$5)=1,1,IF(INDEX([1]Pivot!$B$1:$AB$65000,$B993,AU$5)="",2,0)),0)</f>
        <v>0</v>
      </c>
      <c r="AV993" s="313">
        <f>IFERROR(IF(INDEX([1]Pivot!$BF$1:$CG$65000,$B993,AV$5)=1,1,IF(INDEX([1]Pivot!$B$1:$AB$65000,$B993,AV$5)="",2,0)),0)</f>
        <v>0</v>
      </c>
      <c r="AW993" s="313">
        <f>IFERROR(IF(INDEX([1]Pivot!$BF$1:$CG$65000,$B993,AW$5)=1,1,IF(INDEX([1]Pivot!$B$1:$AB$65000,$B993,AW$5)="",2,0)),0)</f>
        <v>0</v>
      </c>
      <c r="AX993" s="313">
        <f>IFERROR(IF(INDEX([1]Pivot!$BF$1:$CG$65000,$B993,AX$5)=1,1,IF(INDEX([1]Pivot!$B$1:$AB$65000,$B993,AX$5)="",2,0)),0)</f>
        <v>0</v>
      </c>
      <c r="AY993" s="313">
        <f>IFERROR(IF(INDEX([1]Pivot!$BF$1:$CG$65000,$B993,AY$5)=1,1,IF(INDEX([1]Pivot!$B$1:$AB$65000,$B993,AY$5)="",2,0)),0)</f>
        <v>0</v>
      </c>
      <c r="AZ993" s="313">
        <f>IFERROR(IF(INDEX([1]Pivot!$BF$1:$CG$65000,$B993,AZ$5)=1,1,IF(INDEX([1]Pivot!$B$1:$AB$65000,$B993,AZ$5)="",2,0)),0)</f>
        <v>0</v>
      </c>
      <c r="BA993" s="313">
        <f>IFERROR(IF(INDEX([1]Pivot!$BF$1:$CG$65000,$B993,BA$5)=1,1,IF(INDEX([1]Pivot!$B$1:$AB$65000,$B993,BA$5)="",2,0)),0)</f>
        <v>0</v>
      </c>
      <c r="BB993" s="313">
        <f>IFERROR(IF(INDEX([1]Pivot!$BF$1:$CG$65000,$B993,BB$5)=1,1,IF(INDEX([1]Pivot!$B$1:$AB$65000,$B993,BB$5)="",2,0)),0)</f>
        <v>0</v>
      </c>
      <c r="BC993" s="313">
        <f>IFERROR(IF(INDEX([1]Pivot!$BF$1:$CG$65000,$B993,BC$5)=1,1,IF(INDEX([1]Pivot!$B$1:$AB$65000,$B993,BC$5)="",2,0)),0)</f>
        <v>0</v>
      </c>
      <c r="BD993" s="313">
        <f>IFERROR(IF(INDEX([1]Pivot!$BF$1:$CG$65000,$B993,BD$5)=1,1,IF(INDEX([1]Pivot!$B$1:$AB$65000,$B993,BD$5)="",2,0)),0)</f>
        <v>0</v>
      </c>
    </row>
    <row r="994" spans="1:56" x14ac:dyDescent="0.25">
      <c r="A994" s="288">
        <f>'[2]Raw Milk Prices'!A994</f>
        <v>0</v>
      </c>
      <c r="B994" s="296" t="e">
        <f>MATCH(DATE(LEFT('[2]Raw Milk Prices'!$A994,4),RIGHT('[2]Raw Milk Prices'!$A994,2),1),[1]Pivot!$A$1:$A$65000,0)</f>
        <v>#VALUE!</v>
      </c>
      <c r="C994" s="194">
        <f>IFERROR(IF(INDEX([1]Pivot!$AD$1:$BE$65000,$B994,C$5)=1,1,IF(INDEX([1]Pivot!$B$1:$AB$65000,$B994,C$5)="",2,0)),0)</f>
        <v>0</v>
      </c>
      <c r="D994" s="194">
        <f>IFERROR(IF(INDEX([1]Pivot!$AD$1:$BE$65000,$B994,D$5)=1,1,IF(INDEX([1]Pivot!$B$1:$AB$65000,$B994,D$5)="",2,0)),0)</f>
        <v>0</v>
      </c>
      <c r="E994" s="194">
        <f>IFERROR(IF(INDEX([1]Pivot!$AD$1:$BE$65000,$B994,E$5)=1,1,IF(INDEX([1]Pivot!$B$1:$AB$65000,$B994,E$5)="",2,0)),0)</f>
        <v>0</v>
      </c>
      <c r="F994" s="194">
        <f>IFERROR(IF(INDEX([1]Pivot!$AD$1:$BE$65000,$B994,F$5)=1,1,IF(INDEX([1]Pivot!$B$1:$AB$65000,$B994,F$5)="",2,0)),0)</f>
        <v>0</v>
      </c>
      <c r="G994" s="194">
        <f>IFERROR(IF(INDEX([1]Pivot!$AD$1:$BE$65000,$B994,G$5)=1,1,IF(INDEX([1]Pivot!$B$1:$AB$65000,$B994,G$5)="",2,0)),0)</f>
        <v>0</v>
      </c>
      <c r="H994" s="194">
        <f>IFERROR(IF(INDEX([1]Pivot!$AD$1:$BE$65000,$B994,H$5)=1,1,IF(INDEX([1]Pivot!$B$1:$AB$65000,$B994,H$5)="",2,0)),0)</f>
        <v>0</v>
      </c>
      <c r="I994" s="194">
        <f>IFERROR(IF(INDEX([1]Pivot!$AD$1:$BE$65000,$B994,I$5)=1,1,IF(INDEX([1]Pivot!$B$1:$AB$65000,$B994,I$5)="",2,0)),0)</f>
        <v>0</v>
      </c>
      <c r="J994" s="194">
        <f>IFERROR(IF(INDEX([1]Pivot!$AD$1:$BE$65000,$B994,J$5)=1,1,IF(INDEX([1]Pivot!$B$1:$AB$65000,$B994,J$5)="",2,0)),0)</f>
        <v>0</v>
      </c>
      <c r="K994" s="194">
        <f>IFERROR(IF(INDEX([1]Pivot!$AD$1:$BE$65000,$B994,K$5)=1,1,IF(INDEX([1]Pivot!$B$1:$AB$65000,$B994,K$5)="",2,0)),0)</f>
        <v>0</v>
      </c>
      <c r="L994" s="194">
        <f>IFERROR(IF(INDEX([1]Pivot!$AD$1:$BE$65000,$B994,L$5)=1,1,IF(INDEX([1]Pivot!$B$1:$AB$65000,$B994,L$5)="",2,0)),0)</f>
        <v>0</v>
      </c>
      <c r="M994" s="194">
        <f>IFERROR(IF(INDEX([1]Pivot!$AD$1:$BE$65000,$B994,M$5)=1,1,IF(INDEX([1]Pivot!$B$1:$AB$65000,$B994,M$5)="",2,0)),0)</f>
        <v>0</v>
      </c>
      <c r="N994" s="194">
        <f>IFERROR(IF(INDEX([1]Pivot!$AD$1:$BE$65000,$B994,N$5)=1,1,IF(INDEX([1]Pivot!$B$1:$AB$65000,$B994,N$5)="",2,0)),0)</f>
        <v>0</v>
      </c>
      <c r="O994" s="194">
        <f>IFERROR(IF(INDEX([1]Pivot!$AD$1:$BE$65000,$B994,O$5)=1,1,IF(INDEX([1]Pivot!$B$1:$AB$65000,$B994,O$5)="",2,0)),0)</f>
        <v>0</v>
      </c>
      <c r="P994" s="194">
        <f>IFERROR(IF(INDEX([1]Pivot!$AD$1:$BE$65000,$B994,P$5)=1,1,IF(INDEX([1]Pivot!$B$1:$AB$65000,$B994,P$5)="",2,0)),0)</f>
        <v>0</v>
      </c>
      <c r="Q994" s="194">
        <f>IFERROR(IF(INDEX([1]Pivot!$AD$1:$BE$65000,$B994,Q$5)=1,1,IF(INDEX([1]Pivot!$B$1:$AB$65000,$B994,Q$5)="",2,0)),0)</f>
        <v>0</v>
      </c>
      <c r="R994" s="312"/>
      <c r="S994" s="194">
        <f>IFERROR(IF(INDEX([1]Pivot!$AD$1:$BE$65000,$B994,S$5)=1,1,IF(INDEX([1]Pivot!$B$1:$AB$65000,$B994,S$5)="",2,0)),0)</f>
        <v>0</v>
      </c>
      <c r="T994" s="194">
        <f>IFERROR(IF(INDEX([1]Pivot!$AD$1:$BE$65000,$B994,T$5)=1,1,IF(INDEX([1]Pivot!$B$1:$AB$65000,$B994,T$5)="",2,0)),0)</f>
        <v>0</v>
      </c>
      <c r="U994" s="194">
        <f>IFERROR(IF(INDEX([1]Pivot!$AD$1:$BE$65000,$B994,U$5)=1,1,IF(INDEX([1]Pivot!$B$1:$AB$65000,$B994,U$5)="",2,0)),0)</f>
        <v>0</v>
      </c>
      <c r="V994" s="194">
        <f>IFERROR(IF(INDEX([1]Pivot!$AD$1:$BE$65000,$B994,V$5)=1,1,IF(INDEX([1]Pivot!$B$1:$AB$65000,$B994,V$5)="",2,0)),0)</f>
        <v>0</v>
      </c>
      <c r="W994" s="194">
        <f>IFERROR(IF(INDEX([1]Pivot!$AD$1:$BE$65000,$B994,W$5)=1,1,IF(INDEX([1]Pivot!$B$1:$AB$65000,$B994,W$5)="",2,0)),0)</f>
        <v>0</v>
      </c>
      <c r="X994" s="194">
        <f>IFERROR(IF(INDEX([1]Pivot!$AD$1:$BE$65000,$B994,X$5)=1,1,IF(INDEX([1]Pivot!$B$1:$AB$65000,$B994,X$5)="",2,0)),0)</f>
        <v>0</v>
      </c>
      <c r="Y994" s="194">
        <f>IFERROR(IF(INDEX([1]Pivot!$AD$1:$BE$65000,$B994,Y$5)=1,1,IF(INDEX([1]Pivot!$B$1:$AB$65000,$B994,Y$5)="",2,0)),0)</f>
        <v>0</v>
      </c>
      <c r="Z994" s="194">
        <f>IFERROR(IF(INDEX([1]Pivot!$AD$1:$BE$65000,$B994,Z$5)=1,1,IF(INDEX([1]Pivot!$B$1:$AB$65000,$B994,Z$5)="",2,0)),0)</f>
        <v>0</v>
      </c>
      <c r="AA994" s="194">
        <f>IFERROR(IF(INDEX([1]Pivot!$AD$1:$BE$65000,$B994,AA$5)=1,1,IF(INDEX([1]Pivot!$B$1:$AB$65000,$B994,AA$5)="",2,0)),0)</f>
        <v>0</v>
      </c>
      <c r="AB994" s="194">
        <f>IFERROR(IF(INDEX([1]Pivot!$AD$1:$BE$65000,$B994,AB$5)=1,1,IF(INDEX([1]Pivot!$B$1:$AB$65000,$B994,AB$5)="",2,0)),0)</f>
        <v>0</v>
      </c>
      <c r="AC994" s="194">
        <f>IFERROR(IF(INDEX([1]Pivot!$AD$1:$BE$65000,$B994,AC$5)=1,1,IF(INDEX([1]Pivot!$B$1:$AB$65000,$B994,AC$5)="",2,0)),0)</f>
        <v>0</v>
      </c>
      <c r="AD994" s="313">
        <f>IFERROR(IF(INDEX([1]Pivot!$BF$1:$CG$65000,$B994,AD$5)=1,1,IF(INDEX([1]Pivot!$B$1:$AB$65000,$B994,AD$5)="",2,0)),0)</f>
        <v>0</v>
      </c>
      <c r="AE994" s="313">
        <f>IFERROR(IF(INDEX([1]Pivot!$BF$1:$CG$65000,$B994,AE$5)=1,1,IF(INDEX([1]Pivot!$B$1:$AB$65000,$B994,AE$5)="",2,0)),0)</f>
        <v>0</v>
      </c>
      <c r="AF994" s="313">
        <f>IFERROR(IF(INDEX([1]Pivot!$BF$1:$CG$65000,$B994,AF$5)=1,1,IF(INDEX([1]Pivot!$B$1:$AB$65000,$B994,AF$5)="",2,0)),0)</f>
        <v>0</v>
      </c>
      <c r="AG994" s="313">
        <f>IFERROR(IF(INDEX([1]Pivot!$BF$1:$CG$65000,$B994,AG$5)=1,1,IF(INDEX([1]Pivot!$B$1:$AB$65000,$B994,AG$5)="",2,0)),0)</f>
        <v>0</v>
      </c>
      <c r="AH994" s="313">
        <f>IFERROR(IF(INDEX([1]Pivot!$BF$1:$CG$65000,$B994,AH$5)=1,1,IF(INDEX([1]Pivot!$B$1:$AB$65000,$B994,AH$5)="",2,0)),0)</f>
        <v>0</v>
      </c>
      <c r="AI994" s="313">
        <f>IFERROR(IF(INDEX([1]Pivot!$BF$1:$CG$65000,$B994,AI$5)=1,1,IF(INDEX([1]Pivot!$B$1:$AB$65000,$B994,AI$5)="",2,0)),0)</f>
        <v>0</v>
      </c>
      <c r="AJ994" s="313">
        <f>IFERROR(IF(INDEX([1]Pivot!$BF$1:$CG$65000,$B994,AJ$5)=1,1,IF(INDEX([1]Pivot!$B$1:$AB$65000,$B994,AJ$5)="",2,0)),0)</f>
        <v>0</v>
      </c>
      <c r="AK994" s="313">
        <f>IFERROR(IF(INDEX([1]Pivot!$BF$1:$CG$65000,$B994,AK$5)=1,1,IF(INDEX([1]Pivot!$B$1:$AB$65000,$B994,AK$5)="",2,0)),0)</f>
        <v>0</v>
      </c>
      <c r="AL994" s="313">
        <f>IFERROR(IF(INDEX([1]Pivot!$BF$1:$CG$65000,$B994,AL$5)=1,1,IF(INDEX([1]Pivot!$B$1:$AB$65000,$B994,AL$5)="",2,0)),0)</f>
        <v>0</v>
      </c>
      <c r="AM994" s="313">
        <f>IFERROR(IF(INDEX([1]Pivot!$BF$1:$CG$65000,$B994,AM$5)=1,1,IF(INDEX([1]Pivot!$B$1:$AB$65000,$B994,AM$5)="",2,0)),0)</f>
        <v>0</v>
      </c>
      <c r="AN994" s="313">
        <f>IFERROR(IF(INDEX([1]Pivot!$BF$1:$CG$65000,$B994,AN$5)=1,1,IF(INDEX([1]Pivot!$B$1:$AB$65000,$B994,AN$5)="",2,0)),0)</f>
        <v>0</v>
      </c>
      <c r="AO994" s="313">
        <f>IFERROR(IF(INDEX([1]Pivot!$BF$1:$CG$65000,$B994,AO$5)=1,1,IF(INDEX([1]Pivot!$B$1:$AB$65000,$B994,AO$5)="",2,0)),0)</f>
        <v>0</v>
      </c>
      <c r="AP994" s="313">
        <f>IFERROR(IF(INDEX([1]Pivot!$BF$1:$CG$65000,$B994,AP$5)=1,1,IF(INDEX([1]Pivot!$B$1:$AB$65000,$B994,AP$5)="",2,0)),0)</f>
        <v>0</v>
      </c>
      <c r="AQ994" s="313">
        <f>IFERROR(IF(INDEX([1]Pivot!$BF$1:$CG$65000,$B994,AQ$5)=1,1,IF(INDEX([1]Pivot!$B$1:$AB$65000,$B994,AQ$5)="",2,0)),0)</f>
        <v>0</v>
      </c>
      <c r="AR994" s="313">
        <f>IFERROR(IF(INDEX([1]Pivot!$BF$1:$CG$65000,$B994,AR$5)=1,1,IF(INDEX([1]Pivot!$B$1:$AB$65000,$B994,AR$5)="",2,0)),0)</f>
        <v>0</v>
      </c>
      <c r="AS994" s="312"/>
      <c r="AT994" s="313">
        <f>IFERROR(IF(INDEX([1]Pivot!$BF$1:$CG$65000,$B994,AT$5)=1,1,IF(INDEX([1]Pivot!$B$1:$AB$65000,$B994,AT$5)="",2,0)),0)</f>
        <v>0</v>
      </c>
      <c r="AU994" s="313">
        <f>IFERROR(IF(INDEX([1]Pivot!$BF$1:$CG$65000,$B994,AU$5)=1,1,IF(INDEX([1]Pivot!$B$1:$AB$65000,$B994,AU$5)="",2,0)),0)</f>
        <v>0</v>
      </c>
      <c r="AV994" s="313">
        <f>IFERROR(IF(INDEX([1]Pivot!$BF$1:$CG$65000,$B994,AV$5)=1,1,IF(INDEX([1]Pivot!$B$1:$AB$65000,$B994,AV$5)="",2,0)),0)</f>
        <v>0</v>
      </c>
      <c r="AW994" s="313">
        <f>IFERROR(IF(INDEX([1]Pivot!$BF$1:$CG$65000,$B994,AW$5)=1,1,IF(INDEX([1]Pivot!$B$1:$AB$65000,$B994,AW$5)="",2,0)),0)</f>
        <v>0</v>
      </c>
      <c r="AX994" s="313">
        <f>IFERROR(IF(INDEX([1]Pivot!$BF$1:$CG$65000,$B994,AX$5)=1,1,IF(INDEX([1]Pivot!$B$1:$AB$65000,$B994,AX$5)="",2,0)),0)</f>
        <v>0</v>
      </c>
      <c r="AY994" s="313">
        <f>IFERROR(IF(INDEX([1]Pivot!$BF$1:$CG$65000,$B994,AY$5)=1,1,IF(INDEX([1]Pivot!$B$1:$AB$65000,$B994,AY$5)="",2,0)),0)</f>
        <v>0</v>
      </c>
      <c r="AZ994" s="313">
        <f>IFERROR(IF(INDEX([1]Pivot!$BF$1:$CG$65000,$B994,AZ$5)=1,1,IF(INDEX([1]Pivot!$B$1:$AB$65000,$B994,AZ$5)="",2,0)),0)</f>
        <v>0</v>
      </c>
      <c r="BA994" s="313">
        <f>IFERROR(IF(INDEX([1]Pivot!$BF$1:$CG$65000,$B994,BA$5)=1,1,IF(INDEX([1]Pivot!$B$1:$AB$65000,$B994,BA$5)="",2,0)),0)</f>
        <v>0</v>
      </c>
      <c r="BB994" s="313">
        <f>IFERROR(IF(INDEX([1]Pivot!$BF$1:$CG$65000,$B994,BB$5)=1,1,IF(INDEX([1]Pivot!$B$1:$AB$65000,$B994,BB$5)="",2,0)),0)</f>
        <v>0</v>
      </c>
      <c r="BC994" s="313">
        <f>IFERROR(IF(INDEX([1]Pivot!$BF$1:$CG$65000,$B994,BC$5)=1,1,IF(INDEX([1]Pivot!$B$1:$AB$65000,$B994,BC$5)="",2,0)),0)</f>
        <v>0</v>
      </c>
      <c r="BD994" s="313">
        <f>IFERROR(IF(INDEX([1]Pivot!$BF$1:$CG$65000,$B994,BD$5)=1,1,IF(INDEX([1]Pivot!$B$1:$AB$65000,$B994,BD$5)="",2,0)),0)</f>
        <v>0</v>
      </c>
    </row>
    <row r="995" spans="1:56" x14ac:dyDescent="0.25">
      <c r="A995" s="288">
        <f>'[2]Raw Milk Prices'!A995</f>
        <v>0</v>
      </c>
      <c r="B995" s="296" t="e">
        <f>MATCH(DATE(LEFT('[2]Raw Milk Prices'!$A995,4),RIGHT('[2]Raw Milk Prices'!$A995,2),1),[1]Pivot!$A$1:$A$65000,0)</f>
        <v>#VALUE!</v>
      </c>
      <c r="C995" s="194">
        <f>IFERROR(IF(INDEX([1]Pivot!$AD$1:$BE$65000,$B995,C$5)=1,1,IF(INDEX([1]Pivot!$B$1:$AB$65000,$B995,C$5)="",2,0)),0)</f>
        <v>0</v>
      </c>
      <c r="D995" s="194">
        <f>IFERROR(IF(INDEX([1]Pivot!$AD$1:$BE$65000,$B995,D$5)=1,1,IF(INDEX([1]Pivot!$B$1:$AB$65000,$B995,D$5)="",2,0)),0)</f>
        <v>0</v>
      </c>
      <c r="E995" s="194">
        <f>IFERROR(IF(INDEX([1]Pivot!$AD$1:$BE$65000,$B995,E$5)=1,1,IF(INDEX([1]Pivot!$B$1:$AB$65000,$B995,E$5)="",2,0)),0)</f>
        <v>0</v>
      </c>
      <c r="F995" s="194">
        <f>IFERROR(IF(INDEX([1]Pivot!$AD$1:$BE$65000,$B995,F$5)=1,1,IF(INDEX([1]Pivot!$B$1:$AB$65000,$B995,F$5)="",2,0)),0)</f>
        <v>0</v>
      </c>
      <c r="G995" s="194">
        <f>IFERROR(IF(INDEX([1]Pivot!$AD$1:$BE$65000,$B995,G$5)=1,1,IF(INDEX([1]Pivot!$B$1:$AB$65000,$B995,G$5)="",2,0)),0)</f>
        <v>0</v>
      </c>
      <c r="H995" s="194">
        <f>IFERROR(IF(INDEX([1]Pivot!$AD$1:$BE$65000,$B995,H$5)=1,1,IF(INDEX([1]Pivot!$B$1:$AB$65000,$B995,H$5)="",2,0)),0)</f>
        <v>0</v>
      </c>
      <c r="I995" s="194">
        <f>IFERROR(IF(INDEX([1]Pivot!$AD$1:$BE$65000,$B995,I$5)=1,1,IF(INDEX([1]Pivot!$B$1:$AB$65000,$B995,I$5)="",2,0)),0)</f>
        <v>0</v>
      </c>
      <c r="J995" s="194">
        <f>IFERROR(IF(INDEX([1]Pivot!$AD$1:$BE$65000,$B995,J$5)=1,1,IF(INDEX([1]Pivot!$B$1:$AB$65000,$B995,J$5)="",2,0)),0)</f>
        <v>0</v>
      </c>
      <c r="K995" s="194">
        <f>IFERROR(IF(INDEX([1]Pivot!$AD$1:$BE$65000,$B995,K$5)=1,1,IF(INDEX([1]Pivot!$B$1:$AB$65000,$B995,K$5)="",2,0)),0)</f>
        <v>0</v>
      </c>
      <c r="L995" s="194">
        <f>IFERROR(IF(INDEX([1]Pivot!$AD$1:$BE$65000,$B995,L$5)=1,1,IF(INDEX([1]Pivot!$B$1:$AB$65000,$B995,L$5)="",2,0)),0)</f>
        <v>0</v>
      </c>
      <c r="M995" s="194">
        <f>IFERROR(IF(INDEX([1]Pivot!$AD$1:$BE$65000,$B995,M$5)=1,1,IF(INDEX([1]Pivot!$B$1:$AB$65000,$B995,M$5)="",2,0)),0)</f>
        <v>0</v>
      </c>
      <c r="N995" s="194">
        <f>IFERROR(IF(INDEX([1]Pivot!$AD$1:$BE$65000,$B995,N$5)=1,1,IF(INDEX([1]Pivot!$B$1:$AB$65000,$B995,N$5)="",2,0)),0)</f>
        <v>0</v>
      </c>
      <c r="O995" s="194">
        <f>IFERROR(IF(INDEX([1]Pivot!$AD$1:$BE$65000,$B995,O$5)=1,1,IF(INDEX([1]Pivot!$B$1:$AB$65000,$B995,O$5)="",2,0)),0)</f>
        <v>0</v>
      </c>
      <c r="P995" s="194">
        <f>IFERROR(IF(INDEX([1]Pivot!$AD$1:$BE$65000,$B995,P$5)=1,1,IF(INDEX([1]Pivot!$B$1:$AB$65000,$B995,P$5)="",2,0)),0)</f>
        <v>0</v>
      </c>
      <c r="Q995" s="194">
        <f>IFERROR(IF(INDEX([1]Pivot!$AD$1:$BE$65000,$B995,Q$5)=1,1,IF(INDEX([1]Pivot!$B$1:$AB$65000,$B995,Q$5)="",2,0)),0)</f>
        <v>0</v>
      </c>
      <c r="R995" s="312"/>
      <c r="S995" s="194">
        <f>IFERROR(IF(INDEX([1]Pivot!$AD$1:$BE$65000,$B995,S$5)=1,1,IF(INDEX([1]Pivot!$B$1:$AB$65000,$B995,S$5)="",2,0)),0)</f>
        <v>0</v>
      </c>
      <c r="T995" s="194">
        <f>IFERROR(IF(INDEX([1]Pivot!$AD$1:$BE$65000,$B995,T$5)=1,1,IF(INDEX([1]Pivot!$B$1:$AB$65000,$B995,T$5)="",2,0)),0)</f>
        <v>0</v>
      </c>
      <c r="U995" s="194">
        <f>IFERROR(IF(INDEX([1]Pivot!$AD$1:$BE$65000,$B995,U$5)=1,1,IF(INDEX([1]Pivot!$B$1:$AB$65000,$B995,U$5)="",2,0)),0)</f>
        <v>0</v>
      </c>
      <c r="V995" s="194">
        <f>IFERROR(IF(INDEX([1]Pivot!$AD$1:$BE$65000,$B995,V$5)=1,1,IF(INDEX([1]Pivot!$B$1:$AB$65000,$B995,V$5)="",2,0)),0)</f>
        <v>0</v>
      </c>
      <c r="W995" s="194">
        <f>IFERROR(IF(INDEX([1]Pivot!$AD$1:$BE$65000,$B995,W$5)=1,1,IF(INDEX([1]Pivot!$B$1:$AB$65000,$B995,W$5)="",2,0)),0)</f>
        <v>0</v>
      </c>
      <c r="X995" s="194">
        <f>IFERROR(IF(INDEX([1]Pivot!$AD$1:$BE$65000,$B995,X$5)=1,1,IF(INDEX([1]Pivot!$B$1:$AB$65000,$B995,X$5)="",2,0)),0)</f>
        <v>0</v>
      </c>
      <c r="Y995" s="194">
        <f>IFERROR(IF(INDEX([1]Pivot!$AD$1:$BE$65000,$B995,Y$5)=1,1,IF(INDEX([1]Pivot!$B$1:$AB$65000,$B995,Y$5)="",2,0)),0)</f>
        <v>0</v>
      </c>
      <c r="Z995" s="194">
        <f>IFERROR(IF(INDEX([1]Pivot!$AD$1:$BE$65000,$B995,Z$5)=1,1,IF(INDEX([1]Pivot!$B$1:$AB$65000,$B995,Z$5)="",2,0)),0)</f>
        <v>0</v>
      </c>
      <c r="AA995" s="194">
        <f>IFERROR(IF(INDEX([1]Pivot!$AD$1:$BE$65000,$B995,AA$5)=1,1,IF(INDEX([1]Pivot!$B$1:$AB$65000,$B995,AA$5)="",2,0)),0)</f>
        <v>0</v>
      </c>
      <c r="AB995" s="194">
        <f>IFERROR(IF(INDEX([1]Pivot!$AD$1:$BE$65000,$B995,AB$5)=1,1,IF(INDEX([1]Pivot!$B$1:$AB$65000,$B995,AB$5)="",2,0)),0)</f>
        <v>0</v>
      </c>
      <c r="AC995" s="194">
        <f>IFERROR(IF(INDEX([1]Pivot!$AD$1:$BE$65000,$B995,AC$5)=1,1,IF(INDEX([1]Pivot!$B$1:$AB$65000,$B995,AC$5)="",2,0)),0)</f>
        <v>0</v>
      </c>
      <c r="AD995" s="313">
        <f>IFERROR(IF(INDEX([1]Pivot!$BF$1:$CG$65000,$B995,AD$5)=1,1,IF(INDEX([1]Pivot!$B$1:$AB$65000,$B995,AD$5)="",2,0)),0)</f>
        <v>0</v>
      </c>
      <c r="AE995" s="313">
        <f>IFERROR(IF(INDEX([1]Pivot!$BF$1:$CG$65000,$B995,AE$5)=1,1,IF(INDEX([1]Pivot!$B$1:$AB$65000,$B995,AE$5)="",2,0)),0)</f>
        <v>0</v>
      </c>
      <c r="AF995" s="313">
        <f>IFERROR(IF(INDEX([1]Pivot!$BF$1:$CG$65000,$B995,AF$5)=1,1,IF(INDEX([1]Pivot!$B$1:$AB$65000,$B995,AF$5)="",2,0)),0)</f>
        <v>0</v>
      </c>
      <c r="AG995" s="313">
        <f>IFERROR(IF(INDEX([1]Pivot!$BF$1:$CG$65000,$B995,AG$5)=1,1,IF(INDEX([1]Pivot!$B$1:$AB$65000,$B995,AG$5)="",2,0)),0)</f>
        <v>0</v>
      </c>
      <c r="AH995" s="313">
        <f>IFERROR(IF(INDEX([1]Pivot!$BF$1:$CG$65000,$B995,AH$5)=1,1,IF(INDEX([1]Pivot!$B$1:$AB$65000,$B995,AH$5)="",2,0)),0)</f>
        <v>0</v>
      </c>
      <c r="AI995" s="313">
        <f>IFERROR(IF(INDEX([1]Pivot!$BF$1:$CG$65000,$B995,AI$5)=1,1,IF(INDEX([1]Pivot!$B$1:$AB$65000,$B995,AI$5)="",2,0)),0)</f>
        <v>0</v>
      </c>
      <c r="AJ995" s="313">
        <f>IFERROR(IF(INDEX([1]Pivot!$BF$1:$CG$65000,$B995,AJ$5)=1,1,IF(INDEX([1]Pivot!$B$1:$AB$65000,$B995,AJ$5)="",2,0)),0)</f>
        <v>0</v>
      </c>
      <c r="AK995" s="313">
        <f>IFERROR(IF(INDEX([1]Pivot!$BF$1:$CG$65000,$B995,AK$5)=1,1,IF(INDEX([1]Pivot!$B$1:$AB$65000,$B995,AK$5)="",2,0)),0)</f>
        <v>0</v>
      </c>
      <c r="AL995" s="313">
        <f>IFERROR(IF(INDEX([1]Pivot!$BF$1:$CG$65000,$B995,AL$5)=1,1,IF(INDEX([1]Pivot!$B$1:$AB$65000,$B995,AL$5)="",2,0)),0)</f>
        <v>0</v>
      </c>
      <c r="AM995" s="313">
        <f>IFERROR(IF(INDEX([1]Pivot!$BF$1:$CG$65000,$B995,AM$5)=1,1,IF(INDEX([1]Pivot!$B$1:$AB$65000,$B995,AM$5)="",2,0)),0)</f>
        <v>0</v>
      </c>
      <c r="AN995" s="313">
        <f>IFERROR(IF(INDEX([1]Pivot!$BF$1:$CG$65000,$B995,AN$5)=1,1,IF(INDEX([1]Pivot!$B$1:$AB$65000,$B995,AN$5)="",2,0)),0)</f>
        <v>0</v>
      </c>
      <c r="AO995" s="313">
        <f>IFERROR(IF(INDEX([1]Pivot!$BF$1:$CG$65000,$B995,AO$5)=1,1,IF(INDEX([1]Pivot!$B$1:$AB$65000,$B995,AO$5)="",2,0)),0)</f>
        <v>0</v>
      </c>
      <c r="AP995" s="313">
        <f>IFERROR(IF(INDEX([1]Pivot!$BF$1:$CG$65000,$B995,AP$5)=1,1,IF(INDEX([1]Pivot!$B$1:$AB$65000,$B995,AP$5)="",2,0)),0)</f>
        <v>0</v>
      </c>
      <c r="AQ995" s="313">
        <f>IFERROR(IF(INDEX([1]Pivot!$BF$1:$CG$65000,$B995,AQ$5)=1,1,IF(INDEX([1]Pivot!$B$1:$AB$65000,$B995,AQ$5)="",2,0)),0)</f>
        <v>0</v>
      </c>
      <c r="AR995" s="313">
        <f>IFERROR(IF(INDEX([1]Pivot!$BF$1:$CG$65000,$B995,AR$5)=1,1,IF(INDEX([1]Pivot!$B$1:$AB$65000,$B995,AR$5)="",2,0)),0)</f>
        <v>0</v>
      </c>
      <c r="AS995" s="312"/>
      <c r="AT995" s="313">
        <f>IFERROR(IF(INDEX([1]Pivot!$BF$1:$CG$65000,$B995,AT$5)=1,1,IF(INDEX([1]Pivot!$B$1:$AB$65000,$B995,AT$5)="",2,0)),0)</f>
        <v>0</v>
      </c>
      <c r="AU995" s="313">
        <f>IFERROR(IF(INDEX([1]Pivot!$BF$1:$CG$65000,$B995,AU$5)=1,1,IF(INDEX([1]Pivot!$B$1:$AB$65000,$B995,AU$5)="",2,0)),0)</f>
        <v>0</v>
      </c>
      <c r="AV995" s="313">
        <f>IFERROR(IF(INDEX([1]Pivot!$BF$1:$CG$65000,$B995,AV$5)=1,1,IF(INDEX([1]Pivot!$B$1:$AB$65000,$B995,AV$5)="",2,0)),0)</f>
        <v>0</v>
      </c>
      <c r="AW995" s="313">
        <f>IFERROR(IF(INDEX([1]Pivot!$BF$1:$CG$65000,$B995,AW$5)=1,1,IF(INDEX([1]Pivot!$B$1:$AB$65000,$B995,AW$5)="",2,0)),0)</f>
        <v>0</v>
      </c>
      <c r="AX995" s="313">
        <f>IFERROR(IF(INDEX([1]Pivot!$BF$1:$CG$65000,$B995,AX$5)=1,1,IF(INDEX([1]Pivot!$B$1:$AB$65000,$B995,AX$5)="",2,0)),0)</f>
        <v>0</v>
      </c>
      <c r="AY995" s="313">
        <f>IFERROR(IF(INDEX([1]Pivot!$BF$1:$CG$65000,$B995,AY$5)=1,1,IF(INDEX([1]Pivot!$B$1:$AB$65000,$B995,AY$5)="",2,0)),0)</f>
        <v>0</v>
      </c>
      <c r="AZ995" s="313">
        <f>IFERROR(IF(INDEX([1]Pivot!$BF$1:$CG$65000,$B995,AZ$5)=1,1,IF(INDEX([1]Pivot!$B$1:$AB$65000,$B995,AZ$5)="",2,0)),0)</f>
        <v>0</v>
      </c>
      <c r="BA995" s="313">
        <f>IFERROR(IF(INDEX([1]Pivot!$BF$1:$CG$65000,$B995,BA$5)=1,1,IF(INDEX([1]Pivot!$B$1:$AB$65000,$B995,BA$5)="",2,0)),0)</f>
        <v>0</v>
      </c>
      <c r="BB995" s="313">
        <f>IFERROR(IF(INDEX([1]Pivot!$BF$1:$CG$65000,$B995,BB$5)=1,1,IF(INDEX([1]Pivot!$B$1:$AB$65000,$B995,BB$5)="",2,0)),0)</f>
        <v>0</v>
      </c>
      <c r="BC995" s="313">
        <f>IFERROR(IF(INDEX([1]Pivot!$BF$1:$CG$65000,$B995,BC$5)=1,1,IF(INDEX([1]Pivot!$B$1:$AB$65000,$B995,BC$5)="",2,0)),0)</f>
        <v>0</v>
      </c>
      <c r="BD995" s="313">
        <f>IFERROR(IF(INDEX([1]Pivot!$BF$1:$CG$65000,$B995,BD$5)=1,1,IF(INDEX([1]Pivot!$B$1:$AB$65000,$B995,BD$5)="",2,0)),0)</f>
        <v>0</v>
      </c>
    </row>
    <row r="996" spans="1:56" x14ac:dyDescent="0.25">
      <c r="A996" s="288">
        <f>'[2]Raw Milk Prices'!A996</f>
        <v>0</v>
      </c>
      <c r="B996" s="296" t="e">
        <f>MATCH(DATE(LEFT('[2]Raw Milk Prices'!$A996,4),RIGHT('[2]Raw Milk Prices'!$A996,2),1),[1]Pivot!$A$1:$A$65000,0)</f>
        <v>#VALUE!</v>
      </c>
      <c r="C996" s="194">
        <f>IFERROR(IF(INDEX([1]Pivot!$AD$1:$BE$65000,$B996,C$5)=1,1,IF(INDEX([1]Pivot!$B$1:$AB$65000,$B996,C$5)="",2,0)),0)</f>
        <v>0</v>
      </c>
      <c r="D996" s="194">
        <f>IFERROR(IF(INDEX([1]Pivot!$AD$1:$BE$65000,$B996,D$5)=1,1,IF(INDEX([1]Pivot!$B$1:$AB$65000,$B996,D$5)="",2,0)),0)</f>
        <v>0</v>
      </c>
      <c r="E996" s="194">
        <f>IFERROR(IF(INDEX([1]Pivot!$AD$1:$BE$65000,$B996,E$5)=1,1,IF(INDEX([1]Pivot!$B$1:$AB$65000,$B996,E$5)="",2,0)),0)</f>
        <v>0</v>
      </c>
      <c r="F996" s="194">
        <f>IFERROR(IF(INDEX([1]Pivot!$AD$1:$BE$65000,$B996,F$5)=1,1,IF(INDEX([1]Pivot!$B$1:$AB$65000,$B996,F$5)="",2,0)),0)</f>
        <v>0</v>
      </c>
      <c r="G996" s="194">
        <f>IFERROR(IF(INDEX([1]Pivot!$AD$1:$BE$65000,$B996,G$5)=1,1,IF(INDEX([1]Pivot!$B$1:$AB$65000,$B996,G$5)="",2,0)),0)</f>
        <v>0</v>
      </c>
      <c r="H996" s="194">
        <f>IFERROR(IF(INDEX([1]Pivot!$AD$1:$BE$65000,$B996,H$5)=1,1,IF(INDEX([1]Pivot!$B$1:$AB$65000,$B996,H$5)="",2,0)),0)</f>
        <v>0</v>
      </c>
      <c r="I996" s="194">
        <f>IFERROR(IF(INDEX([1]Pivot!$AD$1:$BE$65000,$B996,I$5)=1,1,IF(INDEX([1]Pivot!$B$1:$AB$65000,$B996,I$5)="",2,0)),0)</f>
        <v>0</v>
      </c>
      <c r="J996" s="194">
        <f>IFERROR(IF(INDEX([1]Pivot!$AD$1:$BE$65000,$B996,J$5)=1,1,IF(INDEX([1]Pivot!$B$1:$AB$65000,$B996,J$5)="",2,0)),0)</f>
        <v>0</v>
      </c>
      <c r="K996" s="194">
        <f>IFERROR(IF(INDEX([1]Pivot!$AD$1:$BE$65000,$B996,K$5)=1,1,IF(INDEX([1]Pivot!$B$1:$AB$65000,$B996,K$5)="",2,0)),0)</f>
        <v>0</v>
      </c>
      <c r="L996" s="194">
        <f>IFERROR(IF(INDEX([1]Pivot!$AD$1:$BE$65000,$B996,L$5)=1,1,IF(INDEX([1]Pivot!$B$1:$AB$65000,$B996,L$5)="",2,0)),0)</f>
        <v>0</v>
      </c>
      <c r="M996" s="194">
        <f>IFERROR(IF(INDEX([1]Pivot!$AD$1:$BE$65000,$B996,M$5)=1,1,IF(INDEX([1]Pivot!$B$1:$AB$65000,$B996,M$5)="",2,0)),0)</f>
        <v>0</v>
      </c>
      <c r="N996" s="194">
        <f>IFERROR(IF(INDEX([1]Pivot!$AD$1:$BE$65000,$B996,N$5)=1,1,IF(INDEX([1]Pivot!$B$1:$AB$65000,$B996,N$5)="",2,0)),0)</f>
        <v>0</v>
      </c>
      <c r="O996" s="194">
        <f>IFERROR(IF(INDEX([1]Pivot!$AD$1:$BE$65000,$B996,O$5)=1,1,IF(INDEX([1]Pivot!$B$1:$AB$65000,$B996,O$5)="",2,0)),0)</f>
        <v>0</v>
      </c>
      <c r="P996" s="194">
        <f>IFERROR(IF(INDEX([1]Pivot!$AD$1:$BE$65000,$B996,P$5)=1,1,IF(INDEX([1]Pivot!$B$1:$AB$65000,$B996,P$5)="",2,0)),0)</f>
        <v>0</v>
      </c>
      <c r="Q996" s="194">
        <f>IFERROR(IF(INDEX([1]Pivot!$AD$1:$BE$65000,$B996,Q$5)=1,1,IF(INDEX([1]Pivot!$B$1:$AB$65000,$B996,Q$5)="",2,0)),0)</f>
        <v>0</v>
      </c>
      <c r="R996" s="312"/>
      <c r="S996" s="194">
        <f>IFERROR(IF(INDEX([1]Pivot!$AD$1:$BE$65000,$B996,S$5)=1,1,IF(INDEX([1]Pivot!$B$1:$AB$65000,$B996,S$5)="",2,0)),0)</f>
        <v>0</v>
      </c>
      <c r="T996" s="194">
        <f>IFERROR(IF(INDEX([1]Pivot!$AD$1:$BE$65000,$B996,T$5)=1,1,IF(INDEX([1]Pivot!$B$1:$AB$65000,$B996,T$5)="",2,0)),0)</f>
        <v>0</v>
      </c>
      <c r="U996" s="194">
        <f>IFERROR(IF(INDEX([1]Pivot!$AD$1:$BE$65000,$B996,U$5)=1,1,IF(INDEX([1]Pivot!$B$1:$AB$65000,$B996,U$5)="",2,0)),0)</f>
        <v>0</v>
      </c>
      <c r="V996" s="194">
        <f>IFERROR(IF(INDEX([1]Pivot!$AD$1:$BE$65000,$B996,V$5)=1,1,IF(INDEX([1]Pivot!$B$1:$AB$65000,$B996,V$5)="",2,0)),0)</f>
        <v>0</v>
      </c>
      <c r="W996" s="194">
        <f>IFERROR(IF(INDEX([1]Pivot!$AD$1:$BE$65000,$B996,W$5)=1,1,IF(INDEX([1]Pivot!$B$1:$AB$65000,$B996,W$5)="",2,0)),0)</f>
        <v>0</v>
      </c>
      <c r="X996" s="194">
        <f>IFERROR(IF(INDEX([1]Pivot!$AD$1:$BE$65000,$B996,X$5)=1,1,IF(INDEX([1]Pivot!$B$1:$AB$65000,$B996,X$5)="",2,0)),0)</f>
        <v>0</v>
      </c>
      <c r="Y996" s="194">
        <f>IFERROR(IF(INDEX([1]Pivot!$AD$1:$BE$65000,$B996,Y$5)=1,1,IF(INDEX([1]Pivot!$B$1:$AB$65000,$B996,Y$5)="",2,0)),0)</f>
        <v>0</v>
      </c>
      <c r="Z996" s="194">
        <f>IFERROR(IF(INDEX([1]Pivot!$AD$1:$BE$65000,$B996,Z$5)=1,1,IF(INDEX([1]Pivot!$B$1:$AB$65000,$B996,Z$5)="",2,0)),0)</f>
        <v>0</v>
      </c>
      <c r="AA996" s="194">
        <f>IFERROR(IF(INDEX([1]Pivot!$AD$1:$BE$65000,$B996,AA$5)=1,1,IF(INDEX([1]Pivot!$B$1:$AB$65000,$B996,AA$5)="",2,0)),0)</f>
        <v>0</v>
      </c>
      <c r="AB996" s="194">
        <f>IFERROR(IF(INDEX([1]Pivot!$AD$1:$BE$65000,$B996,AB$5)=1,1,IF(INDEX([1]Pivot!$B$1:$AB$65000,$B996,AB$5)="",2,0)),0)</f>
        <v>0</v>
      </c>
      <c r="AC996" s="194">
        <f>IFERROR(IF(INDEX([1]Pivot!$AD$1:$BE$65000,$B996,AC$5)=1,1,IF(INDEX([1]Pivot!$B$1:$AB$65000,$B996,AC$5)="",2,0)),0)</f>
        <v>0</v>
      </c>
      <c r="AD996" s="313">
        <f>IFERROR(IF(INDEX([1]Pivot!$BF$1:$CG$65000,$B996,AD$5)=1,1,IF(INDEX([1]Pivot!$B$1:$AB$65000,$B996,AD$5)="",2,0)),0)</f>
        <v>0</v>
      </c>
      <c r="AE996" s="313">
        <f>IFERROR(IF(INDEX([1]Pivot!$BF$1:$CG$65000,$B996,AE$5)=1,1,IF(INDEX([1]Pivot!$B$1:$AB$65000,$B996,AE$5)="",2,0)),0)</f>
        <v>0</v>
      </c>
      <c r="AF996" s="313">
        <f>IFERROR(IF(INDEX([1]Pivot!$BF$1:$CG$65000,$B996,AF$5)=1,1,IF(INDEX([1]Pivot!$B$1:$AB$65000,$B996,AF$5)="",2,0)),0)</f>
        <v>0</v>
      </c>
      <c r="AG996" s="313">
        <f>IFERROR(IF(INDEX([1]Pivot!$BF$1:$CG$65000,$B996,AG$5)=1,1,IF(INDEX([1]Pivot!$B$1:$AB$65000,$B996,AG$5)="",2,0)),0)</f>
        <v>0</v>
      </c>
      <c r="AH996" s="313">
        <f>IFERROR(IF(INDEX([1]Pivot!$BF$1:$CG$65000,$B996,AH$5)=1,1,IF(INDEX([1]Pivot!$B$1:$AB$65000,$B996,AH$5)="",2,0)),0)</f>
        <v>0</v>
      </c>
      <c r="AI996" s="313">
        <f>IFERROR(IF(INDEX([1]Pivot!$BF$1:$CG$65000,$B996,AI$5)=1,1,IF(INDEX([1]Pivot!$B$1:$AB$65000,$B996,AI$5)="",2,0)),0)</f>
        <v>0</v>
      </c>
      <c r="AJ996" s="313">
        <f>IFERROR(IF(INDEX([1]Pivot!$BF$1:$CG$65000,$B996,AJ$5)=1,1,IF(INDEX([1]Pivot!$B$1:$AB$65000,$B996,AJ$5)="",2,0)),0)</f>
        <v>0</v>
      </c>
      <c r="AK996" s="313">
        <f>IFERROR(IF(INDEX([1]Pivot!$BF$1:$CG$65000,$B996,AK$5)=1,1,IF(INDEX([1]Pivot!$B$1:$AB$65000,$B996,AK$5)="",2,0)),0)</f>
        <v>0</v>
      </c>
      <c r="AL996" s="313">
        <f>IFERROR(IF(INDEX([1]Pivot!$BF$1:$CG$65000,$B996,AL$5)=1,1,IF(INDEX([1]Pivot!$B$1:$AB$65000,$B996,AL$5)="",2,0)),0)</f>
        <v>0</v>
      </c>
      <c r="AM996" s="313">
        <f>IFERROR(IF(INDEX([1]Pivot!$BF$1:$CG$65000,$B996,AM$5)=1,1,IF(INDEX([1]Pivot!$B$1:$AB$65000,$B996,AM$5)="",2,0)),0)</f>
        <v>0</v>
      </c>
      <c r="AN996" s="313">
        <f>IFERROR(IF(INDEX([1]Pivot!$BF$1:$CG$65000,$B996,AN$5)=1,1,IF(INDEX([1]Pivot!$B$1:$AB$65000,$B996,AN$5)="",2,0)),0)</f>
        <v>0</v>
      </c>
      <c r="AO996" s="313">
        <f>IFERROR(IF(INDEX([1]Pivot!$BF$1:$CG$65000,$B996,AO$5)=1,1,IF(INDEX([1]Pivot!$B$1:$AB$65000,$B996,AO$5)="",2,0)),0)</f>
        <v>0</v>
      </c>
      <c r="AP996" s="313">
        <f>IFERROR(IF(INDEX([1]Pivot!$BF$1:$CG$65000,$B996,AP$5)=1,1,IF(INDEX([1]Pivot!$B$1:$AB$65000,$B996,AP$5)="",2,0)),0)</f>
        <v>0</v>
      </c>
      <c r="AQ996" s="313">
        <f>IFERROR(IF(INDEX([1]Pivot!$BF$1:$CG$65000,$B996,AQ$5)=1,1,IF(INDEX([1]Pivot!$B$1:$AB$65000,$B996,AQ$5)="",2,0)),0)</f>
        <v>0</v>
      </c>
      <c r="AR996" s="313">
        <f>IFERROR(IF(INDEX([1]Pivot!$BF$1:$CG$65000,$B996,AR$5)=1,1,IF(INDEX([1]Pivot!$B$1:$AB$65000,$B996,AR$5)="",2,0)),0)</f>
        <v>0</v>
      </c>
      <c r="AS996" s="312"/>
      <c r="AT996" s="313">
        <f>IFERROR(IF(INDEX([1]Pivot!$BF$1:$CG$65000,$B996,AT$5)=1,1,IF(INDEX([1]Pivot!$B$1:$AB$65000,$B996,AT$5)="",2,0)),0)</f>
        <v>0</v>
      </c>
      <c r="AU996" s="313">
        <f>IFERROR(IF(INDEX([1]Pivot!$BF$1:$CG$65000,$B996,AU$5)=1,1,IF(INDEX([1]Pivot!$B$1:$AB$65000,$B996,AU$5)="",2,0)),0)</f>
        <v>0</v>
      </c>
      <c r="AV996" s="313">
        <f>IFERROR(IF(INDEX([1]Pivot!$BF$1:$CG$65000,$B996,AV$5)=1,1,IF(INDEX([1]Pivot!$B$1:$AB$65000,$B996,AV$5)="",2,0)),0)</f>
        <v>0</v>
      </c>
      <c r="AW996" s="313">
        <f>IFERROR(IF(INDEX([1]Pivot!$BF$1:$CG$65000,$B996,AW$5)=1,1,IF(INDEX([1]Pivot!$B$1:$AB$65000,$B996,AW$5)="",2,0)),0)</f>
        <v>0</v>
      </c>
      <c r="AX996" s="313">
        <f>IFERROR(IF(INDEX([1]Pivot!$BF$1:$CG$65000,$B996,AX$5)=1,1,IF(INDEX([1]Pivot!$B$1:$AB$65000,$B996,AX$5)="",2,0)),0)</f>
        <v>0</v>
      </c>
      <c r="AY996" s="313">
        <f>IFERROR(IF(INDEX([1]Pivot!$BF$1:$CG$65000,$B996,AY$5)=1,1,IF(INDEX([1]Pivot!$B$1:$AB$65000,$B996,AY$5)="",2,0)),0)</f>
        <v>0</v>
      </c>
      <c r="AZ996" s="313">
        <f>IFERROR(IF(INDEX([1]Pivot!$BF$1:$CG$65000,$B996,AZ$5)=1,1,IF(INDEX([1]Pivot!$B$1:$AB$65000,$B996,AZ$5)="",2,0)),0)</f>
        <v>0</v>
      </c>
      <c r="BA996" s="313">
        <f>IFERROR(IF(INDEX([1]Pivot!$BF$1:$CG$65000,$B996,BA$5)=1,1,IF(INDEX([1]Pivot!$B$1:$AB$65000,$B996,BA$5)="",2,0)),0)</f>
        <v>0</v>
      </c>
      <c r="BB996" s="313">
        <f>IFERROR(IF(INDEX([1]Pivot!$BF$1:$CG$65000,$B996,BB$5)=1,1,IF(INDEX([1]Pivot!$B$1:$AB$65000,$B996,BB$5)="",2,0)),0)</f>
        <v>0</v>
      </c>
      <c r="BC996" s="313">
        <f>IFERROR(IF(INDEX([1]Pivot!$BF$1:$CG$65000,$B996,BC$5)=1,1,IF(INDEX([1]Pivot!$B$1:$AB$65000,$B996,BC$5)="",2,0)),0)</f>
        <v>0</v>
      </c>
      <c r="BD996" s="313">
        <f>IFERROR(IF(INDEX([1]Pivot!$BF$1:$CG$65000,$B996,BD$5)=1,1,IF(INDEX([1]Pivot!$B$1:$AB$65000,$B996,BD$5)="",2,0)),0)</f>
        <v>0</v>
      </c>
    </row>
    <row r="997" spans="1:56" x14ac:dyDescent="0.25">
      <c r="A997" s="288">
        <f>'[2]Raw Milk Prices'!A997</f>
        <v>0</v>
      </c>
      <c r="B997" s="296" t="e">
        <f>MATCH(DATE(LEFT('[2]Raw Milk Prices'!$A997,4),RIGHT('[2]Raw Milk Prices'!$A997,2),1),[1]Pivot!$A$1:$A$65000,0)</f>
        <v>#VALUE!</v>
      </c>
      <c r="C997" s="194">
        <f>IFERROR(IF(INDEX([1]Pivot!$AD$1:$BE$65000,$B997,C$5)=1,1,IF(INDEX([1]Pivot!$B$1:$AB$65000,$B997,C$5)="",2,0)),0)</f>
        <v>0</v>
      </c>
      <c r="D997" s="194">
        <f>IFERROR(IF(INDEX([1]Pivot!$AD$1:$BE$65000,$B997,D$5)=1,1,IF(INDEX([1]Pivot!$B$1:$AB$65000,$B997,D$5)="",2,0)),0)</f>
        <v>0</v>
      </c>
      <c r="E997" s="194">
        <f>IFERROR(IF(INDEX([1]Pivot!$AD$1:$BE$65000,$B997,E$5)=1,1,IF(INDEX([1]Pivot!$B$1:$AB$65000,$B997,E$5)="",2,0)),0)</f>
        <v>0</v>
      </c>
      <c r="F997" s="194">
        <f>IFERROR(IF(INDEX([1]Pivot!$AD$1:$BE$65000,$B997,F$5)=1,1,IF(INDEX([1]Pivot!$B$1:$AB$65000,$B997,F$5)="",2,0)),0)</f>
        <v>0</v>
      </c>
      <c r="G997" s="194">
        <f>IFERROR(IF(INDEX([1]Pivot!$AD$1:$BE$65000,$B997,G$5)=1,1,IF(INDEX([1]Pivot!$B$1:$AB$65000,$B997,G$5)="",2,0)),0)</f>
        <v>0</v>
      </c>
      <c r="H997" s="194">
        <f>IFERROR(IF(INDEX([1]Pivot!$AD$1:$BE$65000,$B997,H$5)=1,1,IF(INDEX([1]Pivot!$B$1:$AB$65000,$B997,H$5)="",2,0)),0)</f>
        <v>0</v>
      </c>
      <c r="I997" s="194">
        <f>IFERROR(IF(INDEX([1]Pivot!$AD$1:$BE$65000,$B997,I$5)=1,1,IF(INDEX([1]Pivot!$B$1:$AB$65000,$B997,I$5)="",2,0)),0)</f>
        <v>0</v>
      </c>
      <c r="J997" s="194">
        <f>IFERROR(IF(INDEX([1]Pivot!$AD$1:$BE$65000,$B997,J$5)=1,1,IF(INDEX([1]Pivot!$B$1:$AB$65000,$B997,J$5)="",2,0)),0)</f>
        <v>0</v>
      </c>
      <c r="K997" s="194">
        <f>IFERROR(IF(INDEX([1]Pivot!$AD$1:$BE$65000,$B997,K$5)=1,1,IF(INDEX([1]Pivot!$B$1:$AB$65000,$B997,K$5)="",2,0)),0)</f>
        <v>0</v>
      </c>
      <c r="L997" s="194">
        <f>IFERROR(IF(INDEX([1]Pivot!$AD$1:$BE$65000,$B997,L$5)=1,1,IF(INDEX([1]Pivot!$B$1:$AB$65000,$B997,L$5)="",2,0)),0)</f>
        <v>0</v>
      </c>
      <c r="M997" s="194">
        <f>IFERROR(IF(INDEX([1]Pivot!$AD$1:$BE$65000,$B997,M$5)=1,1,IF(INDEX([1]Pivot!$B$1:$AB$65000,$B997,M$5)="",2,0)),0)</f>
        <v>0</v>
      </c>
      <c r="N997" s="194">
        <f>IFERROR(IF(INDEX([1]Pivot!$AD$1:$BE$65000,$B997,N$5)=1,1,IF(INDEX([1]Pivot!$B$1:$AB$65000,$B997,N$5)="",2,0)),0)</f>
        <v>0</v>
      </c>
      <c r="O997" s="194">
        <f>IFERROR(IF(INDEX([1]Pivot!$AD$1:$BE$65000,$B997,O$5)=1,1,IF(INDEX([1]Pivot!$B$1:$AB$65000,$B997,O$5)="",2,0)),0)</f>
        <v>0</v>
      </c>
      <c r="P997" s="194">
        <f>IFERROR(IF(INDEX([1]Pivot!$AD$1:$BE$65000,$B997,P$5)=1,1,IF(INDEX([1]Pivot!$B$1:$AB$65000,$B997,P$5)="",2,0)),0)</f>
        <v>0</v>
      </c>
      <c r="Q997" s="194">
        <f>IFERROR(IF(INDEX([1]Pivot!$AD$1:$BE$65000,$B997,Q$5)=1,1,IF(INDEX([1]Pivot!$B$1:$AB$65000,$B997,Q$5)="",2,0)),0)</f>
        <v>0</v>
      </c>
      <c r="R997" s="312"/>
      <c r="S997" s="194">
        <f>IFERROR(IF(INDEX([1]Pivot!$AD$1:$BE$65000,$B997,S$5)=1,1,IF(INDEX([1]Pivot!$B$1:$AB$65000,$B997,S$5)="",2,0)),0)</f>
        <v>0</v>
      </c>
      <c r="T997" s="194">
        <f>IFERROR(IF(INDEX([1]Pivot!$AD$1:$BE$65000,$B997,T$5)=1,1,IF(INDEX([1]Pivot!$B$1:$AB$65000,$B997,T$5)="",2,0)),0)</f>
        <v>0</v>
      </c>
      <c r="U997" s="194">
        <f>IFERROR(IF(INDEX([1]Pivot!$AD$1:$BE$65000,$B997,U$5)=1,1,IF(INDEX([1]Pivot!$B$1:$AB$65000,$B997,U$5)="",2,0)),0)</f>
        <v>0</v>
      </c>
      <c r="V997" s="194">
        <f>IFERROR(IF(INDEX([1]Pivot!$AD$1:$BE$65000,$B997,V$5)=1,1,IF(INDEX([1]Pivot!$B$1:$AB$65000,$B997,V$5)="",2,0)),0)</f>
        <v>0</v>
      </c>
      <c r="W997" s="194">
        <f>IFERROR(IF(INDEX([1]Pivot!$AD$1:$BE$65000,$B997,W$5)=1,1,IF(INDEX([1]Pivot!$B$1:$AB$65000,$B997,W$5)="",2,0)),0)</f>
        <v>0</v>
      </c>
      <c r="X997" s="194">
        <f>IFERROR(IF(INDEX([1]Pivot!$AD$1:$BE$65000,$B997,X$5)=1,1,IF(INDEX([1]Pivot!$B$1:$AB$65000,$B997,X$5)="",2,0)),0)</f>
        <v>0</v>
      </c>
      <c r="Y997" s="194">
        <f>IFERROR(IF(INDEX([1]Pivot!$AD$1:$BE$65000,$B997,Y$5)=1,1,IF(INDEX([1]Pivot!$B$1:$AB$65000,$B997,Y$5)="",2,0)),0)</f>
        <v>0</v>
      </c>
      <c r="Z997" s="194">
        <f>IFERROR(IF(INDEX([1]Pivot!$AD$1:$BE$65000,$B997,Z$5)=1,1,IF(INDEX([1]Pivot!$B$1:$AB$65000,$B997,Z$5)="",2,0)),0)</f>
        <v>0</v>
      </c>
      <c r="AA997" s="194">
        <f>IFERROR(IF(INDEX([1]Pivot!$AD$1:$BE$65000,$B997,AA$5)=1,1,IF(INDEX([1]Pivot!$B$1:$AB$65000,$B997,AA$5)="",2,0)),0)</f>
        <v>0</v>
      </c>
      <c r="AB997" s="194">
        <f>IFERROR(IF(INDEX([1]Pivot!$AD$1:$BE$65000,$B997,AB$5)=1,1,IF(INDEX([1]Pivot!$B$1:$AB$65000,$B997,AB$5)="",2,0)),0)</f>
        <v>0</v>
      </c>
      <c r="AC997" s="194">
        <f>IFERROR(IF(INDEX([1]Pivot!$AD$1:$BE$65000,$B997,AC$5)=1,1,IF(INDEX([1]Pivot!$B$1:$AB$65000,$B997,AC$5)="",2,0)),0)</f>
        <v>0</v>
      </c>
      <c r="AD997" s="313">
        <f>IFERROR(IF(INDEX([1]Pivot!$BF$1:$CG$65000,$B997,AD$5)=1,1,IF(INDEX([1]Pivot!$B$1:$AB$65000,$B997,AD$5)="",2,0)),0)</f>
        <v>0</v>
      </c>
      <c r="AE997" s="313">
        <f>IFERROR(IF(INDEX([1]Pivot!$BF$1:$CG$65000,$B997,AE$5)=1,1,IF(INDEX([1]Pivot!$B$1:$AB$65000,$B997,AE$5)="",2,0)),0)</f>
        <v>0</v>
      </c>
      <c r="AF997" s="313">
        <f>IFERROR(IF(INDEX([1]Pivot!$BF$1:$CG$65000,$B997,AF$5)=1,1,IF(INDEX([1]Pivot!$B$1:$AB$65000,$B997,AF$5)="",2,0)),0)</f>
        <v>0</v>
      </c>
      <c r="AG997" s="313">
        <f>IFERROR(IF(INDEX([1]Pivot!$BF$1:$CG$65000,$B997,AG$5)=1,1,IF(INDEX([1]Pivot!$B$1:$AB$65000,$B997,AG$5)="",2,0)),0)</f>
        <v>0</v>
      </c>
      <c r="AH997" s="313">
        <f>IFERROR(IF(INDEX([1]Pivot!$BF$1:$CG$65000,$B997,AH$5)=1,1,IF(INDEX([1]Pivot!$B$1:$AB$65000,$B997,AH$5)="",2,0)),0)</f>
        <v>0</v>
      </c>
      <c r="AI997" s="313">
        <f>IFERROR(IF(INDEX([1]Pivot!$BF$1:$CG$65000,$B997,AI$5)=1,1,IF(INDEX([1]Pivot!$B$1:$AB$65000,$B997,AI$5)="",2,0)),0)</f>
        <v>0</v>
      </c>
      <c r="AJ997" s="313">
        <f>IFERROR(IF(INDEX([1]Pivot!$BF$1:$CG$65000,$B997,AJ$5)=1,1,IF(INDEX([1]Pivot!$B$1:$AB$65000,$B997,AJ$5)="",2,0)),0)</f>
        <v>0</v>
      </c>
      <c r="AK997" s="313">
        <f>IFERROR(IF(INDEX([1]Pivot!$BF$1:$CG$65000,$B997,AK$5)=1,1,IF(INDEX([1]Pivot!$B$1:$AB$65000,$B997,AK$5)="",2,0)),0)</f>
        <v>0</v>
      </c>
      <c r="AL997" s="313">
        <f>IFERROR(IF(INDEX([1]Pivot!$BF$1:$CG$65000,$B997,AL$5)=1,1,IF(INDEX([1]Pivot!$B$1:$AB$65000,$B997,AL$5)="",2,0)),0)</f>
        <v>0</v>
      </c>
      <c r="AM997" s="313">
        <f>IFERROR(IF(INDEX([1]Pivot!$BF$1:$CG$65000,$B997,AM$5)=1,1,IF(INDEX([1]Pivot!$B$1:$AB$65000,$B997,AM$5)="",2,0)),0)</f>
        <v>0</v>
      </c>
      <c r="AN997" s="313">
        <f>IFERROR(IF(INDEX([1]Pivot!$BF$1:$CG$65000,$B997,AN$5)=1,1,IF(INDEX([1]Pivot!$B$1:$AB$65000,$B997,AN$5)="",2,0)),0)</f>
        <v>0</v>
      </c>
      <c r="AO997" s="313">
        <f>IFERROR(IF(INDEX([1]Pivot!$BF$1:$CG$65000,$B997,AO$5)=1,1,IF(INDEX([1]Pivot!$B$1:$AB$65000,$B997,AO$5)="",2,0)),0)</f>
        <v>0</v>
      </c>
      <c r="AP997" s="313">
        <f>IFERROR(IF(INDEX([1]Pivot!$BF$1:$CG$65000,$B997,AP$5)=1,1,IF(INDEX([1]Pivot!$B$1:$AB$65000,$B997,AP$5)="",2,0)),0)</f>
        <v>0</v>
      </c>
      <c r="AQ997" s="313">
        <f>IFERROR(IF(INDEX([1]Pivot!$BF$1:$CG$65000,$B997,AQ$5)=1,1,IF(INDEX([1]Pivot!$B$1:$AB$65000,$B997,AQ$5)="",2,0)),0)</f>
        <v>0</v>
      </c>
      <c r="AR997" s="313">
        <f>IFERROR(IF(INDEX([1]Pivot!$BF$1:$CG$65000,$B997,AR$5)=1,1,IF(INDEX([1]Pivot!$B$1:$AB$65000,$B997,AR$5)="",2,0)),0)</f>
        <v>0</v>
      </c>
      <c r="AS997" s="312"/>
      <c r="AT997" s="313">
        <f>IFERROR(IF(INDEX([1]Pivot!$BF$1:$CG$65000,$B997,AT$5)=1,1,IF(INDEX([1]Pivot!$B$1:$AB$65000,$B997,AT$5)="",2,0)),0)</f>
        <v>0</v>
      </c>
      <c r="AU997" s="313">
        <f>IFERROR(IF(INDEX([1]Pivot!$BF$1:$CG$65000,$B997,AU$5)=1,1,IF(INDEX([1]Pivot!$B$1:$AB$65000,$B997,AU$5)="",2,0)),0)</f>
        <v>0</v>
      </c>
      <c r="AV997" s="313">
        <f>IFERROR(IF(INDEX([1]Pivot!$BF$1:$CG$65000,$B997,AV$5)=1,1,IF(INDEX([1]Pivot!$B$1:$AB$65000,$B997,AV$5)="",2,0)),0)</f>
        <v>0</v>
      </c>
      <c r="AW997" s="313">
        <f>IFERROR(IF(INDEX([1]Pivot!$BF$1:$CG$65000,$B997,AW$5)=1,1,IF(INDEX([1]Pivot!$B$1:$AB$65000,$B997,AW$5)="",2,0)),0)</f>
        <v>0</v>
      </c>
      <c r="AX997" s="313">
        <f>IFERROR(IF(INDEX([1]Pivot!$BF$1:$CG$65000,$B997,AX$5)=1,1,IF(INDEX([1]Pivot!$B$1:$AB$65000,$B997,AX$5)="",2,0)),0)</f>
        <v>0</v>
      </c>
      <c r="AY997" s="313">
        <f>IFERROR(IF(INDEX([1]Pivot!$BF$1:$CG$65000,$B997,AY$5)=1,1,IF(INDEX([1]Pivot!$B$1:$AB$65000,$B997,AY$5)="",2,0)),0)</f>
        <v>0</v>
      </c>
      <c r="AZ997" s="313">
        <f>IFERROR(IF(INDEX([1]Pivot!$BF$1:$CG$65000,$B997,AZ$5)=1,1,IF(INDEX([1]Pivot!$B$1:$AB$65000,$B997,AZ$5)="",2,0)),0)</f>
        <v>0</v>
      </c>
      <c r="BA997" s="313">
        <f>IFERROR(IF(INDEX([1]Pivot!$BF$1:$CG$65000,$B997,BA$5)=1,1,IF(INDEX([1]Pivot!$B$1:$AB$65000,$B997,BA$5)="",2,0)),0)</f>
        <v>0</v>
      </c>
      <c r="BB997" s="313">
        <f>IFERROR(IF(INDEX([1]Pivot!$BF$1:$CG$65000,$B997,BB$5)=1,1,IF(INDEX([1]Pivot!$B$1:$AB$65000,$B997,BB$5)="",2,0)),0)</f>
        <v>0</v>
      </c>
      <c r="BC997" s="313">
        <f>IFERROR(IF(INDEX([1]Pivot!$BF$1:$CG$65000,$B997,BC$5)=1,1,IF(INDEX([1]Pivot!$B$1:$AB$65000,$B997,BC$5)="",2,0)),0)</f>
        <v>0</v>
      </c>
      <c r="BD997" s="313">
        <f>IFERROR(IF(INDEX([1]Pivot!$BF$1:$CG$65000,$B997,BD$5)=1,1,IF(INDEX([1]Pivot!$B$1:$AB$65000,$B997,BD$5)="",2,0)),0)</f>
        <v>0</v>
      </c>
    </row>
    <row r="998" spans="1:56" x14ac:dyDescent="0.25">
      <c r="A998" s="288">
        <f>'[2]Raw Milk Prices'!A998</f>
        <v>0</v>
      </c>
      <c r="B998" s="296" t="e">
        <f>MATCH(DATE(LEFT('[2]Raw Milk Prices'!$A998,4),RIGHT('[2]Raw Milk Prices'!$A998,2),1),[1]Pivot!$A$1:$A$65000,0)</f>
        <v>#VALUE!</v>
      </c>
      <c r="C998" s="194">
        <f>IFERROR(IF(INDEX([1]Pivot!$AD$1:$BE$65000,$B998,C$5)=1,1,IF(INDEX([1]Pivot!$B$1:$AB$65000,$B998,C$5)="",2,0)),0)</f>
        <v>0</v>
      </c>
      <c r="D998" s="194">
        <f>IFERROR(IF(INDEX([1]Pivot!$AD$1:$BE$65000,$B998,D$5)=1,1,IF(INDEX([1]Pivot!$B$1:$AB$65000,$B998,D$5)="",2,0)),0)</f>
        <v>0</v>
      </c>
      <c r="E998" s="194">
        <f>IFERROR(IF(INDEX([1]Pivot!$AD$1:$BE$65000,$B998,E$5)=1,1,IF(INDEX([1]Pivot!$B$1:$AB$65000,$B998,E$5)="",2,0)),0)</f>
        <v>0</v>
      </c>
      <c r="F998" s="194">
        <f>IFERROR(IF(INDEX([1]Pivot!$AD$1:$BE$65000,$B998,F$5)=1,1,IF(INDEX([1]Pivot!$B$1:$AB$65000,$B998,F$5)="",2,0)),0)</f>
        <v>0</v>
      </c>
      <c r="G998" s="194">
        <f>IFERROR(IF(INDEX([1]Pivot!$AD$1:$BE$65000,$B998,G$5)=1,1,IF(INDEX([1]Pivot!$B$1:$AB$65000,$B998,G$5)="",2,0)),0)</f>
        <v>0</v>
      </c>
      <c r="H998" s="194">
        <f>IFERROR(IF(INDEX([1]Pivot!$AD$1:$BE$65000,$B998,H$5)=1,1,IF(INDEX([1]Pivot!$B$1:$AB$65000,$B998,H$5)="",2,0)),0)</f>
        <v>0</v>
      </c>
      <c r="I998" s="194">
        <f>IFERROR(IF(INDEX([1]Pivot!$AD$1:$BE$65000,$B998,I$5)=1,1,IF(INDEX([1]Pivot!$B$1:$AB$65000,$B998,I$5)="",2,0)),0)</f>
        <v>0</v>
      </c>
      <c r="J998" s="194">
        <f>IFERROR(IF(INDEX([1]Pivot!$AD$1:$BE$65000,$B998,J$5)=1,1,IF(INDEX([1]Pivot!$B$1:$AB$65000,$B998,J$5)="",2,0)),0)</f>
        <v>0</v>
      </c>
      <c r="K998" s="194">
        <f>IFERROR(IF(INDEX([1]Pivot!$AD$1:$BE$65000,$B998,K$5)=1,1,IF(INDEX([1]Pivot!$B$1:$AB$65000,$B998,K$5)="",2,0)),0)</f>
        <v>0</v>
      </c>
      <c r="L998" s="194">
        <f>IFERROR(IF(INDEX([1]Pivot!$AD$1:$BE$65000,$B998,L$5)=1,1,IF(INDEX([1]Pivot!$B$1:$AB$65000,$B998,L$5)="",2,0)),0)</f>
        <v>0</v>
      </c>
      <c r="M998" s="194">
        <f>IFERROR(IF(INDEX([1]Pivot!$AD$1:$BE$65000,$B998,M$5)=1,1,IF(INDEX([1]Pivot!$B$1:$AB$65000,$B998,M$5)="",2,0)),0)</f>
        <v>0</v>
      </c>
      <c r="N998" s="194">
        <f>IFERROR(IF(INDEX([1]Pivot!$AD$1:$BE$65000,$B998,N$5)=1,1,IF(INDEX([1]Pivot!$B$1:$AB$65000,$B998,N$5)="",2,0)),0)</f>
        <v>0</v>
      </c>
      <c r="O998" s="194">
        <f>IFERROR(IF(INDEX([1]Pivot!$AD$1:$BE$65000,$B998,O$5)=1,1,IF(INDEX([1]Pivot!$B$1:$AB$65000,$B998,O$5)="",2,0)),0)</f>
        <v>0</v>
      </c>
      <c r="P998" s="194">
        <f>IFERROR(IF(INDEX([1]Pivot!$AD$1:$BE$65000,$B998,P$5)=1,1,IF(INDEX([1]Pivot!$B$1:$AB$65000,$B998,P$5)="",2,0)),0)</f>
        <v>0</v>
      </c>
      <c r="Q998" s="194">
        <f>IFERROR(IF(INDEX([1]Pivot!$AD$1:$BE$65000,$B998,Q$5)=1,1,IF(INDEX([1]Pivot!$B$1:$AB$65000,$B998,Q$5)="",2,0)),0)</f>
        <v>0</v>
      </c>
      <c r="R998" s="312"/>
      <c r="S998" s="194">
        <f>IFERROR(IF(INDEX([1]Pivot!$AD$1:$BE$65000,$B998,S$5)=1,1,IF(INDEX([1]Pivot!$B$1:$AB$65000,$B998,S$5)="",2,0)),0)</f>
        <v>0</v>
      </c>
      <c r="T998" s="194">
        <f>IFERROR(IF(INDEX([1]Pivot!$AD$1:$BE$65000,$B998,T$5)=1,1,IF(INDEX([1]Pivot!$B$1:$AB$65000,$B998,T$5)="",2,0)),0)</f>
        <v>0</v>
      </c>
      <c r="U998" s="194">
        <f>IFERROR(IF(INDEX([1]Pivot!$AD$1:$BE$65000,$B998,U$5)=1,1,IF(INDEX([1]Pivot!$B$1:$AB$65000,$B998,U$5)="",2,0)),0)</f>
        <v>0</v>
      </c>
      <c r="V998" s="194">
        <f>IFERROR(IF(INDEX([1]Pivot!$AD$1:$BE$65000,$B998,V$5)=1,1,IF(INDEX([1]Pivot!$B$1:$AB$65000,$B998,V$5)="",2,0)),0)</f>
        <v>0</v>
      </c>
      <c r="W998" s="194">
        <f>IFERROR(IF(INDEX([1]Pivot!$AD$1:$BE$65000,$B998,W$5)=1,1,IF(INDEX([1]Pivot!$B$1:$AB$65000,$B998,W$5)="",2,0)),0)</f>
        <v>0</v>
      </c>
      <c r="X998" s="194">
        <f>IFERROR(IF(INDEX([1]Pivot!$AD$1:$BE$65000,$B998,X$5)=1,1,IF(INDEX([1]Pivot!$B$1:$AB$65000,$B998,X$5)="",2,0)),0)</f>
        <v>0</v>
      </c>
      <c r="Y998" s="194">
        <f>IFERROR(IF(INDEX([1]Pivot!$AD$1:$BE$65000,$B998,Y$5)=1,1,IF(INDEX([1]Pivot!$B$1:$AB$65000,$B998,Y$5)="",2,0)),0)</f>
        <v>0</v>
      </c>
      <c r="Z998" s="194">
        <f>IFERROR(IF(INDEX([1]Pivot!$AD$1:$BE$65000,$B998,Z$5)=1,1,IF(INDEX([1]Pivot!$B$1:$AB$65000,$B998,Z$5)="",2,0)),0)</f>
        <v>0</v>
      </c>
      <c r="AA998" s="194">
        <f>IFERROR(IF(INDEX([1]Pivot!$AD$1:$BE$65000,$B998,AA$5)=1,1,IF(INDEX([1]Pivot!$B$1:$AB$65000,$B998,AA$5)="",2,0)),0)</f>
        <v>0</v>
      </c>
      <c r="AB998" s="194">
        <f>IFERROR(IF(INDEX([1]Pivot!$AD$1:$BE$65000,$B998,AB$5)=1,1,IF(INDEX([1]Pivot!$B$1:$AB$65000,$B998,AB$5)="",2,0)),0)</f>
        <v>0</v>
      </c>
      <c r="AC998" s="194">
        <f>IFERROR(IF(INDEX([1]Pivot!$AD$1:$BE$65000,$B998,AC$5)=1,1,IF(INDEX([1]Pivot!$B$1:$AB$65000,$B998,AC$5)="",2,0)),0)</f>
        <v>0</v>
      </c>
      <c r="AD998" s="313">
        <f>IFERROR(IF(INDEX([1]Pivot!$BF$1:$CG$65000,$B998,AD$5)=1,1,IF(INDEX([1]Pivot!$B$1:$AB$65000,$B998,AD$5)="",2,0)),0)</f>
        <v>0</v>
      </c>
      <c r="AE998" s="313">
        <f>IFERROR(IF(INDEX([1]Pivot!$BF$1:$CG$65000,$B998,AE$5)=1,1,IF(INDEX([1]Pivot!$B$1:$AB$65000,$B998,AE$5)="",2,0)),0)</f>
        <v>0</v>
      </c>
      <c r="AF998" s="313">
        <f>IFERROR(IF(INDEX([1]Pivot!$BF$1:$CG$65000,$B998,AF$5)=1,1,IF(INDEX([1]Pivot!$B$1:$AB$65000,$B998,AF$5)="",2,0)),0)</f>
        <v>0</v>
      </c>
      <c r="AG998" s="313">
        <f>IFERROR(IF(INDEX([1]Pivot!$BF$1:$CG$65000,$B998,AG$5)=1,1,IF(INDEX([1]Pivot!$B$1:$AB$65000,$B998,AG$5)="",2,0)),0)</f>
        <v>0</v>
      </c>
      <c r="AH998" s="313">
        <f>IFERROR(IF(INDEX([1]Pivot!$BF$1:$CG$65000,$B998,AH$5)=1,1,IF(INDEX([1]Pivot!$B$1:$AB$65000,$B998,AH$5)="",2,0)),0)</f>
        <v>0</v>
      </c>
      <c r="AI998" s="313">
        <f>IFERROR(IF(INDEX([1]Pivot!$BF$1:$CG$65000,$B998,AI$5)=1,1,IF(INDEX([1]Pivot!$B$1:$AB$65000,$B998,AI$5)="",2,0)),0)</f>
        <v>0</v>
      </c>
      <c r="AJ998" s="313">
        <f>IFERROR(IF(INDEX([1]Pivot!$BF$1:$CG$65000,$B998,AJ$5)=1,1,IF(INDEX([1]Pivot!$B$1:$AB$65000,$B998,AJ$5)="",2,0)),0)</f>
        <v>0</v>
      </c>
      <c r="AK998" s="313">
        <f>IFERROR(IF(INDEX([1]Pivot!$BF$1:$CG$65000,$B998,AK$5)=1,1,IF(INDEX([1]Pivot!$B$1:$AB$65000,$B998,AK$5)="",2,0)),0)</f>
        <v>0</v>
      </c>
      <c r="AL998" s="313">
        <f>IFERROR(IF(INDEX([1]Pivot!$BF$1:$CG$65000,$B998,AL$5)=1,1,IF(INDEX([1]Pivot!$B$1:$AB$65000,$B998,AL$5)="",2,0)),0)</f>
        <v>0</v>
      </c>
      <c r="AM998" s="313">
        <f>IFERROR(IF(INDEX([1]Pivot!$BF$1:$CG$65000,$B998,AM$5)=1,1,IF(INDEX([1]Pivot!$B$1:$AB$65000,$B998,AM$5)="",2,0)),0)</f>
        <v>0</v>
      </c>
      <c r="AN998" s="313">
        <f>IFERROR(IF(INDEX([1]Pivot!$BF$1:$CG$65000,$B998,AN$5)=1,1,IF(INDEX([1]Pivot!$B$1:$AB$65000,$B998,AN$5)="",2,0)),0)</f>
        <v>0</v>
      </c>
      <c r="AO998" s="313">
        <f>IFERROR(IF(INDEX([1]Pivot!$BF$1:$CG$65000,$B998,AO$5)=1,1,IF(INDEX([1]Pivot!$B$1:$AB$65000,$B998,AO$5)="",2,0)),0)</f>
        <v>0</v>
      </c>
      <c r="AP998" s="313">
        <f>IFERROR(IF(INDEX([1]Pivot!$BF$1:$CG$65000,$B998,AP$5)=1,1,IF(INDEX([1]Pivot!$B$1:$AB$65000,$B998,AP$5)="",2,0)),0)</f>
        <v>0</v>
      </c>
      <c r="AQ998" s="313">
        <f>IFERROR(IF(INDEX([1]Pivot!$BF$1:$CG$65000,$B998,AQ$5)=1,1,IF(INDEX([1]Pivot!$B$1:$AB$65000,$B998,AQ$5)="",2,0)),0)</f>
        <v>0</v>
      </c>
      <c r="AR998" s="313">
        <f>IFERROR(IF(INDEX([1]Pivot!$BF$1:$CG$65000,$B998,AR$5)=1,1,IF(INDEX([1]Pivot!$B$1:$AB$65000,$B998,AR$5)="",2,0)),0)</f>
        <v>0</v>
      </c>
      <c r="AS998" s="312"/>
      <c r="AT998" s="313">
        <f>IFERROR(IF(INDEX([1]Pivot!$BF$1:$CG$65000,$B998,AT$5)=1,1,IF(INDEX([1]Pivot!$B$1:$AB$65000,$B998,AT$5)="",2,0)),0)</f>
        <v>0</v>
      </c>
      <c r="AU998" s="313">
        <f>IFERROR(IF(INDEX([1]Pivot!$BF$1:$CG$65000,$B998,AU$5)=1,1,IF(INDEX([1]Pivot!$B$1:$AB$65000,$B998,AU$5)="",2,0)),0)</f>
        <v>0</v>
      </c>
      <c r="AV998" s="313">
        <f>IFERROR(IF(INDEX([1]Pivot!$BF$1:$CG$65000,$B998,AV$5)=1,1,IF(INDEX([1]Pivot!$B$1:$AB$65000,$B998,AV$5)="",2,0)),0)</f>
        <v>0</v>
      </c>
      <c r="AW998" s="313">
        <f>IFERROR(IF(INDEX([1]Pivot!$BF$1:$CG$65000,$B998,AW$5)=1,1,IF(INDEX([1]Pivot!$B$1:$AB$65000,$B998,AW$5)="",2,0)),0)</f>
        <v>0</v>
      </c>
      <c r="AX998" s="313">
        <f>IFERROR(IF(INDEX([1]Pivot!$BF$1:$CG$65000,$B998,AX$5)=1,1,IF(INDEX([1]Pivot!$B$1:$AB$65000,$B998,AX$5)="",2,0)),0)</f>
        <v>0</v>
      </c>
      <c r="AY998" s="313">
        <f>IFERROR(IF(INDEX([1]Pivot!$BF$1:$CG$65000,$B998,AY$5)=1,1,IF(INDEX([1]Pivot!$B$1:$AB$65000,$B998,AY$5)="",2,0)),0)</f>
        <v>0</v>
      </c>
      <c r="AZ998" s="313">
        <f>IFERROR(IF(INDEX([1]Pivot!$BF$1:$CG$65000,$B998,AZ$5)=1,1,IF(INDEX([1]Pivot!$B$1:$AB$65000,$B998,AZ$5)="",2,0)),0)</f>
        <v>0</v>
      </c>
      <c r="BA998" s="313">
        <f>IFERROR(IF(INDEX([1]Pivot!$BF$1:$CG$65000,$B998,BA$5)=1,1,IF(INDEX([1]Pivot!$B$1:$AB$65000,$B998,BA$5)="",2,0)),0)</f>
        <v>0</v>
      </c>
      <c r="BB998" s="313">
        <f>IFERROR(IF(INDEX([1]Pivot!$BF$1:$CG$65000,$B998,BB$5)=1,1,IF(INDEX([1]Pivot!$B$1:$AB$65000,$B998,BB$5)="",2,0)),0)</f>
        <v>0</v>
      </c>
      <c r="BC998" s="313">
        <f>IFERROR(IF(INDEX([1]Pivot!$BF$1:$CG$65000,$B998,BC$5)=1,1,IF(INDEX([1]Pivot!$B$1:$AB$65000,$B998,BC$5)="",2,0)),0)</f>
        <v>0</v>
      </c>
      <c r="BD998" s="313">
        <f>IFERROR(IF(INDEX([1]Pivot!$BF$1:$CG$65000,$B998,BD$5)=1,1,IF(INDEX([1]Pivot!$B$1:$AB$65000,$B998,BD$5)="",2,0)),0)</f>
        <v>0</v>
      </c>
    </row>
    <row r="999" spans="1:56" x14ac:dyDescent="0.25">
      <c r="A999" s="288">
        <f>'[2]Raw Milk Prices'!A999</f>
        <v>0</v>
      </c>
      <c r="B999" s="296" t="e">
        <f>MATCH(DATE(LEFT('[2]Raw Milk Prices'!$A999,4),RIGHT('[2]Raw Milk Prices'!$A999,2),1),[1]Pivot!$A$1:$A$65000,0)</f>
        <v>#VALUE!</v>
      </c>
      <c r="C999" s="194">
        <f>IFERROR(IF(INDEX([1]Pivot!$AD$1:$BE$65000,$B999,C$5)=1,1,IF(INDEX([1]Pivot!$B$1:$AB$65000,$B999,C$5)="",2,0)),0)</f>
        <v>0</v>
      </c>
      <c r="D999" s="194">
        <f>IFERROR(IF(INDEX([1]Pivot!$AD$1:$BE$65000,$B999,D$5)=1,1,IF(INDEX([1]Pivot!$B$1:$AB$65000,$B999,D$5)="",2,0)),0)</f>
        <v>0</v>
      </c>
      <c r="E999" s="194">
        <f>IFERROR(IF(INDEX([1]Pivot!$AD$1:$BE$65000,$B999,E$5)=1,1,IF(INDEX([1]Pivot!$B$1:$AB$65000,$B999,E$5)="",2,0)),0)</f>
        <v>0</v>
      </c>
      <c r="F999" s="194">
        <f>IFERROR(IF(INDEX([1]Pivot!$AD$1:$BE$65000,$B999,F$5)=1,1,IF(INDEX([1]Pivot!$B$1:$AB$65000,$B999,F$5)="",2,0)),0)</f>
        <v>0</v>
      </c>
      <c r="G999" s="194">
        <f>IFERROR(IF(INDEX([1]Pivot!$AD$1:$BE$65000,$B999,G$5)=1,1,IF(INDEX([1]Pivot!$B$1:$AB$65000,$B999,G$5)="",2,0)),0)</f>
        <v>0</v>
      </c>
      <c r="H999" s="194">
        <f>IFERROR(IF(INDEX([1]Pivot!$AD$1:$BE$65000,$B999,H$5)=1,1,IF(INDEX([1]Pivot!$B$1:$AB$65000,$B999,H$5)="",2,0)),0)</f>
        <v>0</v>
      </c>
      <c r="I999" s="194">
        <f>IFERROR(IF(INDEX([1]Pivot!$AD$1:$BE$65000,$B999,I$5)=1,1,IF(INDEX([1]Pivot!$B$1:$AB$65000,$B999,I$5)="",2,0)),0)</f>
        <v>0</v>
      </c>
      <c r="J999" s="194">
        <f>IFERROR(IF(INDEX([1]Pivot!$AD$1:$BE$65000,$B999,J$5)=1,1,IF(INDEX([1]Pivot!$B$1:$AB$65000,$B999,J$5)="",2,0)),0)</f>
        <v>0</v>
      </c>
      <c r="K999" s="194">
        <f>IFERROR(IF(INDEX([1]Pivot!$AD$1:$BE$65000,$B999,K$5)=1,1,IF(INDEX([1]Pivot!$B$1:$AB$65000,$B999,K$5)="",2,0)),0)</f>
        <v>0</v>
      </c>
      <c r="L999" s="194">
        <f>IFERROR(IF(INDEX([1]Pivot!$AD$1:$BE$65000,$B999,L$5)=1,1,IF(INDEX([1]Pivot!$B$1:$AB$65000,$B999,L$5)="",2,0)),0)</f>
        <v>0</v>
      </c>
      <c r="M999" s="194">
        <f>IFERROR(IF(INDEX([1]Pivot!$AD$1:$BE$65000,$B999,M$5)=1,1,IF(INDEX([1]Pivot!$B$1:$AB$65000,$B999,M$5)="",2,0)),0)</f>
        <v>0</v>
      </c>
      <c r="N999" s="194">
        <f>IFERROR(IF(INDEX([1]Pivot!$AD$1:$BE$65000,$B999,N$5)=1,1,IF(INDEX([1]Pivot!$B$1:$AB$65000,$B999,N$5)="",2,0)),0)</f>
        <v>0</v>
      </c>
      <c r="O999" s="194">
        <f>IFERROR(IF(INDEX([1]Pivot!$AD$1:$BE$65000,$B999,O$5)=1,1,IF(INDEX([1]Pivot!$B$1:$AB$65000,$B999,O$5)="",2,0)),0)</f>
        <v>0</v>
      </c>
      <c r="P999" s="194">
        <f>IFERROR(IF(INDEX([1]Pivot!$AD$1:$BE$65000,$B999,P$5)=1,1,IF(INDEX([1]Pivot!$B$1:$AB$65000,$B999,P$5)="",2,0)),0)</f>
        <v>0</v>
      </c>
      <c r="Q999" s="194">
        <f>IFERROR(IF(INDEX([1]Pivot!$AD$1:$BE$65000,$B999,Q$5)=1,1,IF(INDEX([1]Pivot!$B$1:$AB$65000,$B999,Q$5)="",2,0)),0)</f>
        <v>0</v>
      </c>
      <c r="R999" s="312"/>
      <c r="S999" s="194">
        <f>IFERROR(IF(INDEX([1]Pivot!$AD$1:$BE$65000,$B999,S$5)=1,1,IF(INDEX([1]Pivot!$B$1:$AB$65000,$B999,S$5)="",2,0)),0)</f>
        <v>0</v>
      </c>
      <c r="T999" s="194">
        <f>IFERROR(IF(INDEX([1]Pivot!$AD$1:$BE$65000,$B999,T$5)=1,1,IF(INDEX([1]Pivot!$B$1:$AB$65000,$B999,T$5)="",2,0)),0)</f>
        <v>0</v>
      </c>
      <c r="U999" s="194">
        <f>IFERROR(IF(INDEX([1]Pivot!$AD$1:$BE$65000,$B999,U$5)=1,1,IF(INDEX([1]Pivot!$B$1:$AB$65000,$B999,U$5)="",2,0)),0)</f>
        <v>0</v>
      </c>
      <c r="V999" s="194">
        <f>IFERROR(IF(INDEX([1]Pivot!$AD$1:$BE$65000,$B999,V$5)=1,1,IF(INDEX([1]Pivot!$B$1:$AB$65000,$B999,V$5)="",2,0)),0)</f>
        <v>0</v>
      </c>
      <c r="W999" s="194">
        <f>IFERROR(IF(INDEX([1]Pivot!$AD$1:$BE$65000,$B999,W$5)=1,1,IF(INDEX([1]Pivot!$B$1:$AB$65000,$B999,W$5)="",2,0)),0)</f>
        <v>0</v>
      </c>
      <c r="X999" s="194">
        <f>IFERROR(IF(INDEX([1]Pivot!$AD$1:$BE$65000,$B999,X$5)=1,1,IF(INDEX([1]Pivot!$B$1:$AB$65000,$B999,X$5)="",2,0)),0)</f>
        <v>0</v>
      </c>
      <c r="Y999" s="194">
        <f>IFERROR(IF(INDEX([1]Pivot!$AD$1:$BE$65000,$B999,Y$5)=1,1,IF(INDEX([1]Pivot!$B$1:$AB$65000,$B999,Y$5)="",2,0)),0)</f>
        <v>0</v>
      </c>
      <c r="Z999" s="194">
        <f>IFERROR(IF(INDEX([1]Pivot!$AD$1:$BE$65000,$B999,Z$5)=1,1,IF(INDEX([1]Pivot!$B$1:$AB$65000,$B999,Z$5)="",2,0)),0)</f>
        <v>0</v>
      </c>
      <c r="AA999" s="194">
        <f>IFERROR(IF(INDEX([1]Pivot!$AD$1:$BE$65000,$B999,AA$5)=1,1,IF(INDEX([1]Pivot!$B$1:$AB$65000,$B999,AA$5)="",2,0)),0)</f>
        <v>0</v>
      </c>
      <c r="AB999" s="194">
        <f>IFERROR(IF(INDEX([1]Pivot!$AD$1:$BE$65000,$B999,AB$5)=1,1,IF(INDEX([1]Pivot!$B$1:$AB$65000,$B999,AB$5)="",2,0)),0)</f>
        <v>0</v>
      </c>
      <c r="AC999" s="194">
        <f>IFERROR(IF(INDEX([1]Pivot!$AD$1:$BE$65000,$B999,AC$5)=1,1,IF(INDEX([1]Pivot!$B$1:$AB$65000,$B999,AC$5)="",2,0)),0)</f>
        <v>0</v>
      </c>
      <c r="AD999" s="313">
        <f>IFERROR(IF(INDEX([1]Pivot!$BF$1:$CG$65000,$B999,AD$5)=1,1,IF(INDEX([1]Pivot!$B$1:$AB$65000,$B999,AD$5)="",2,0)),0)</f>
        <v>0</v>
      </c>
      <c r="AE999" s="313">
        <f>IFERROR(IF(INDEX([1]Pivot!$BF$1:$CG$65000,$B999,AE$5)=1,1,IF(INDEX([1]Pivot!$B$1:$AB$65000,$B999,AE$5)="",2,0)),0)</f>
        <v>0</v>
      </c>
      <c r="AF999" s="313">
        <f>IFERROR(IF(INDEX([1]Pivot!$BF$1:$CG$65000,$B999,AF$5)=1,1,IF(INDEX([1]Pivot!$B$1:$AB$65000,$B999,AF$5)="",2,0)),0)</f>
        <v>0</v>
      </c>
      <c r="AG999" s="313">
        <f>IFERROR(IF(INDEX([1]Pivot!$BF$1:$CG$65000,$B999,AG$5)=1,1,IF(INDEX([1]Pivot!$B$1:$AB$65000,$B999,AG$5)="",2,0)),0)</f>
        <v>0</v>
      </c>
      <c r="AH999" s="313">
        <f>IFERROR(IF(INDEX([1]Pivot!$BF$1:$CG$65000,$B999,AH$5)=1,1,IF(INDEX([1]Pivot!$B$1:$AB$65000,$B999,AH$5)="",2,0)),0)</f>
        <v>0</v>
      </c>
      <c r="AI999" s="313">
        <f>IFERROR(IF(INDEX([1]Pivot!$BF$1:$CG$65000,$B999,AI$5)=1,1,IF(INDEX([1]Pivot!$B$1:$AB$65000,$B999,AI$5)="",2,0)),0)</f>
        <v>0</v>
      </c>
      <c r="AJ999" s="313">
        <f>IFERROR(IF(INDEX([1]Pivot!$BF$1:$CG$65000,$B999,AJ$5)=1,1,IF(INDEX([1]Pivot!$B$1:$AB$65000,$B999,AJ$5)="",2,0)),0)</f>
        <v>0</v>
      </c>
      <c r="AK999" s="313">
        <f>IFERROR(IF(INDEX([1]Pivot!$BF$1:$CG$65000,$B999,AK$5)=1,1,IF(INDEX([1]Pivot!$B$1:$AB$65000,$B999,AK$5)="",2,0)),0)</f>
        <v>0</v>
      </c>
      <c r="AL999" s="313">
        <f>IFERROR(IF(INDEX([1]Pivot!$BF$1:$CG$65000,$B999,AL$5)=1,1,IF(INDEX([1]Pivot!$B$1:$AB$65000,$B999,AL$5)="",2,0)),0)</f>
        <v>0</v>
      </c>
      <c r="AM999" s="313">
        <f>IFERROR(IF(INDEX([1]Pivot!$BF$1:$CG$65000,$B999,AM$5)=1,1,IF(INDEX([1]Pivot!$B$1:$AB$65000,$B999,AM$5)="",2,0)),0)</f>
        <v>0</v>
      </c>
      <c r="AN999" s="313">
        <f>IFERROR(IF(INDEX([1]Pivot!$BF$1:$CG$65000,$B999,AN$5)=1,1,IF(INDEX([1]Pivot!$B$1:$AB$65000,$B999,AN$5)="",2,0)),0)</f>
        <v>0</v>
      </c>
      <c r="AO999" s="313">
        <f>IFERROR(IF(INDEX([1]Pivot!$BF$1:$CG$65000,$B999,AO$5)=1,1,IF(INDEX([1]Pivot!$B$1:$AB$65000,$B999,AO$5)="",2,0)),0)</f>
        <v>0</v>
      </c>
      <c r="AP999" s="313">
        <f>IFERROR(IF(INDEX([1]Pivot!$BF$1:$CG$65000,$B999,AP$5)=1,1,IF(INDEX([1]Pivot!$B$1:$AB$65000,$B999,AP$5)="",2,0)),0)</f>
        <v>0</v>
      </c>
      <c r="AQ999" s="313">
        <f>IFERROR(IF(INDEX([1]Pivot!$BF$1:$CG$65000,$B999,AQ$5)=1,1,IF(INDEX([1]Pivot!$B$1:$AB$65000,$B999,AQ$5)="",2,0)),0)</f>
        <v>0</v>
      </c>
      <c r="AR999" s="313">
        <f>IFERROR(IF(INDEX([1]Pivot!$BF$1:$CG$65000,$B999,AR$5)=1,1,IF(INDEX([1]Pivot!$B$1:$AB$65000,$B999,AR$5)="",2,0)),0)</f>
        <v>0</v>
      </c>
      <c r="AS999" s="312"/>
      <c r="AT999" s="313">
        <f>IFERROR(IF(INDEX([1]Pivot!$BF$1:$CG$65000,$B999,AT$5)=1,1,IF(INDEX([1]Pivot!$B$1:$AB$65000,$B999,AT$5)="",2,0)),0)</f>
        <v>0</v>
      </c>
      <c r="AU999" s="313">
        <f>IFERROR(IF(INDEX([1]Pivot!$BF$1:$CG$65000,$B999,AU$5)=1,1,IF(INDEX([1]Pivot!$B$1:$AB$65000,$B999,AU$5)="",2,0)),0)</f>
        <v>0</v>
      </c>
      <c r="AV999" s="313">
        <f>IFERROR(IF(INDEX([1]Pivot!$BF$1:$CG$65000,$B999,AV$5)=1,1,IF(INDEX([1]Pivot!$B$1:$AB$65000,$B999,AV$5)="",2,0)),0)</f>
        <v>0</v>
      </c>
      <c r="AW999" s="313">
        <f>IFERROR(IF(INDEX([1]Pivot!$BF$1:$CG$65000,$B999,AW$5)=1,1,IF(INDEX([1]Pivot!$B$1:$AB$65000,$B999,AW$5)="",2,0)),0)</f>
        <v>0</v>
      </c>
      <c r="AX999" s="313">
        <f>IFERROR(IF(INDEX([1]Pivot!$BF$1:$CG$65000,$B999,AX$5)=1,1,IF(INDEX([1]Pivot!$B$1:$AB$65000,$B999,AX$5)="",2,0)),0)</f>
        <v>0</v>
      </c>
      <c r="AY999" s="313">
        <f>IFERROR(IF(INDEX([1]Pivot!$BF$1:$CG$65000,$B999,AY$5)=1,1,IF(INDEX([1]Pivot!$B$1:$AB$65000,$B999,AY$5)="",2,0)),0)</f>
        <v>0</v>
      </c>
      <c r="AZ999" s="313">
        <f>IFERROR(IF(INDEX([1]Pivot!$BF$1:$CG$65000,$B999,AZ$5)=1,1,IF(INDEX([1]Pivot!$B$1:$AB$65000,$B999,AZ$5)="",2,0)),0)</f>
        <v>0</v>
      </c>
      <c r="BA999" s="313">
        <f>IFERROR(IF(INDEX([1]Pivot!$BF$1:$CG$65000,$B999,BA$5)=1,1,IF(INDEX([1]Pivot!$B$1:$AB$65000,$B999,BA$5)="",2,0)),0)</f>
        <v>0</v>
      </c>
      <c r="BB999" s="313">
        <f>IFERROR(IF(INDEX([1]Pivot!$BF$1:$CG$65000,$B999,BB$5)=1,1,IF(INDEX([1]Pivot!$B$1:$AB$65000,$B999,BB$5)="",2,0)),0)</f>
        <v>0</v>
      </c>
      <c r="BC999" s="313">
        <f>IFERROR(IF(INDEX([1]Pivot!$BF$1:$CG$65000,$B999,BC$5)=1,1,IF(INDEX([1]Pivot!$B$1:$AB$65000,$B999,BC$5)="",2,0)),0)</f>
        <v>0</v>
      </c>
      <c r="BD999" s="313">
        <f>IFERROR(IF(INDEX([1]Pivot!$BF$1:$CG$65000,$B999,BD$5)=1,1,IF(INDEX([1]Pivot!$B$1:$AB$65000,$B999,BD$5)="",2,0)),0)</f>
        <v>0</v>
      </c>
    </row>
    <row r="1000" spans="1:56" x14ac:dyDescent="0.25">
      <c r="A1000" s="288">
        <f>'[2]Raw Milk Prices'!A1000</f>
        <v>0</v>
      </c>
      <c r="B1000" s="296" t="e">
        <f>MATCH(DATE(LEFT('[2]Raw Milk Prices'!$A1000,4),RIGHT('[2]Raw Milk Prices'!$A1000,2),1),[1]Pivot!$A$1:$A$65000,0)</f>
        <v>#VALUE!</v>
      </c>
      <c r="C1000" s="194">
        <f>IFERROR(IF(INDEX([1]Pivot!$AD$1:$BE$65000,$B1000,C$5)=1,1,IF(INDEX([1]Pivot!$B$1:$AB$65000,$B1000,C$5)="",2,0)),0)</f>
        <v>0</v>
      </c>
      <c r="D1000" s="194">
        <f>IFERROR(IF(INDEX([1]Pivot!$AD$1:$BE$65000,$B1000,D$5)=1,1,IF(INDEX([1]Pivot!$B$1:$AB$65000,$B1000,D$5)="",2,0)),0)</f>
        <v>0</v>
      </c>
      <c r="E1000" s="194">
        <f>IFERROR(IF(INDEX([1]Pivot!$AD$1:$BE$65000,$B1000,E$5)=1,1,IF(INDEX([1]Pivot!$B$1:$AB$65000,$B1000,E$5)="",2,0)),0)</f>
        <v>0</v>
      </c>
      <c r="F1000" s="194">
        <f>IFERROR(IF(INDEX([1]Pivot!$AD$1:$BE$65000,$B1000,F$5)=1,1,IF(INDEX([1]Pivot!$B$1:$AB$65000,$B1000,F$5)="",2,0)),0)</f>
        <v>0</v>
      </c>
      <c r="G1000" s="194">
        <f>IFERROR(IF(INDEX([1]Pivot!$AD$1:$BE$65000,$B1000,G$5)=1,1,IF(INDEX([1]Pivot!$B$1:$AB$65000,$B1000,G$5)="",2,0)),0)</f>
        <v>0</v>
      </c>
      <c r="H1000" s="194">
        <f>IFERROR(IF(INDEX([1]Pivot!$AD$1:$BE$65000,$B1000,H$5)=1,1,IF(INDEX([1]Pivot!$B$1:$AB$65000,$B1000,H$5)="",2,0)),0)</f>
        <v>0</v>
      </c>
      <c r="I1000" s="194">
        <f>IFERROR(IF(INDEX([1]Pivot!$AD$1:$BE$65000,$B1000,I$5)=1,1,IF(INDEX([1]Pivot!$B$1:$AB$65000,$B1000,I$5)="",2,0)),0)</f>
        <v>0</v>
      </c>
      <c r="J1000" s="194">
        <f>IFERROR(IF(INDEX([1]Pivot!$AD$1:$BE$65000,$B1000,J$5)=1,1,IF(INDEX([1]Pivot!$B$1:$AB$65000,$B1000,J$5)="",2,0)),0)</f>
        <v>0</v>
      </c>
      <c r="K1000" s="194">
        <f>IFERROR(IF(INDEX([1]Pivot!$AD$1:$BE$65000,$B1000,K$5)=1,1,IF(INDEX([1]Pivot!$B$1:$AB$65000,$B1000,K$5)="",2,0)),0)</f>
        <v>0</v>
      </c>
      <c r="L1000" s="194">
        <f>IFERROR(IF(INDEX([1]Pivot!$AD$1:$BE$65000,$B1000,L$5)=1,1,IF(INDEX([1]Pivot!$B$1:$AB$65000,$B1000,L$5)="",2,0)),0)</f>
        <v>0</v>
      </c>
      <c r="M1000" s="194">
        <f>IFERROR(IF(INDEX([1]Pivot!$AD$1:$BE$65000,$B1000,M$5)=1,1,IF(INDEX([1]Pivot!$B$1:$AB$65000,$B1000,M$5)="",2,0)),0)</f>
        <v>0</v>
      </c>
      <c r="N1000" s="194">
        <f>IFERROR(IF(INDEX([1]Pivot!$AD$1:$BE$65000,$B1000,N$5)=1,1,IF(INDEX([1]Pivot!$B$1:$AB$65000,$B1000,N$5)="",2,0)),0)</f>
        <v>0</v>
      </c>
      <c r="O1000" s="194">
        <f>IFERROR(IF(INDEX([1]Pivot!$AD$1:$BE$65000,$B1000,O$5)=1,1,IF(INDEX([1]Pivot!$B$1:$AB$65000,$B1000,O$5)="",2,0)),0)</f>
        <v>0</v>
      </c>
      <c r="P1000" s="194">
        <f>IFERROR(IF(INDEX([1]Pivot!$AD$1:$BE$65000,$B1000,P$5)=1,1,IF(INDEX([1]Pivot!$B$1:$AB$65000,$B1000,P$5)="",2,0)),0)</f>
        <v>0</v>
      </c>
      <c r="Q1000" s="194">
        <f>IFERROR(IF(INDEX([1]Pivot!$AD$1:$BE$65000,$B1000,Q$5)=1,1,IF(INDEX([1]Pivot!$B$1:$AB$65000,$B1000,Q$5)="",2,0)),0)</f>
        <v>0</v>
      </c>
      <c r="R1000" s="312"/>
      <c r="S1000" s="194">
        <f>IFERROR(IF(INDEX([1]Pivot!$AD$1:$BE$65000,$B1000,S$5)=1,1,IF(INDEX([1]Pivot!$B$1:$AB$65000,$B1000,S$5)="",2,0)),0)</f>
        <v>0</v>
      </c>
      <c r="T1000" s="194">
        <f>IFERROR(IF(INDEX([1]Pivot!$AD$1:$BE$65000,$B1000,T$5)=1,1,IF(INDEX([1]Pivot!$B$1:$AB$65000,$B1000,T$5)="",2,0)),0)</f>
        <v>0</v>
      </c>
      <c r="U1000" s="194">
        <f>IFERROR(IF(INDEX([1]Pivot!$AD$1:$BE$65000,$B1000,U$5)=1,1,IF(INDEX([1]Pivot!$B$1:$AB$65000,$B1000,U$5)="",2,0)),0)</f>
        <v>0</v>
      </c>
      <c r="V1000" s="194">
        <f>IFERROR(IF(INDEX([1]Pivot!$AD$1:$BE$65000,$B1000,V$5)=1,1,IF(INDEX([1]Pivot!$B$1:$AB$65000,$B1000,V$5)="",2,0)),0)</f>
        <v>0</v>
      </c>
      <c r="W1000" s="194">
        <f>IFERROR(IF(INDEX([1]Pivot!$AD$1:$BE$65000,$B1000,W$5)=1,1,IF(INDEX([1]Pivot!$B$1:$AB$65000,$B1000,W$5)="",2,0)),0)</f>
        <v>0</v>
      </c>
      <c r="X1000" s="194">
        <f>IFERROR(IF(INDEX([1]Pivot!$AD$1:$BE$65000,$B1000,X$5)=1,1,IF(INDEX([1]Pivot!$B$1:$AB$65000,$B1000,X$5)="",2,0)),0)</f>
        <v>0</v>
      </c>
      <c r="Y1000" s="194">
        <f>IFERROR(IF(INDEX([1]Pivot!$AD$1:$BE$65000,$B1000,Y$5)=1,1,IF(INDEX([1]Pivot!$B$1:$AB$65000,$B1000,Y$5)="",2,0)),0)</f>
        <v>0</v>
      </c>
      <c r="Z1000" s="194">
        <f>IFERROR(IF(INDEX([1]Pivot!$AD$1:$BE$65000,$B1000,Z$5)=1,1,IF(INDEX([1]Pivot!$B$1:$AB$65000,$B1000,Z$5)="",2,0)),0)</f>
        <v>0</v>
      </c>
      <c r="AA1000" s="194">
        <f>IFERROR(IF(INDEX([1]Pivot!$AD$1:$BE$65000,$B1000,AA$5)=1,1,IF(INDEX([1]Pivot!$B$1:$AB$65000,$B1000,AA$5)="",2,0)),0)</f>
        <v>0</v>
      </c>
      <c r="AB1000" s="194">
        <f>IFERROR(IF(INDEX([1]Pivot!$AD$1:$BE$65000,$B1000,AB$5)=1,1,IF(INDEX([1]Pivot!$B$1:$AB$65000,$B1000,AB$5)="",2,0)),0)</f>
        <v>0</v>
      </c>
      <c r="AC1000" s="194">
        <f>IFERROR(IF(INDEX([1]Pivot!$AD$1:$BE$65000,$B1000,AC$5)=1,1,IF(INDEX([1]Pivot!$B$1:$AB$65000,$B1000,AC$5)="",2,0)),0)</f>
        <v>0</v>
      </c>
      <c r="AD1000" s="313">
        <f>IFERROR(IF(INDEX([1]Pivot!$BF$1:$CG$65000,$B1000,AD$5)=1,1,IF(INDEX([1]Pivot!$B$1:$AB$65000,$B1000,AD$5)="",2,0)),0)</f>
        <v>0</v>
      </c>
      <c r="AE1000" s="313">
        <f>IFERROR(IF(INDEX([1]Pivot!$BF$1:$CG$65000,$B1000,AE$5)=1,1,IF(INDEX([1]Pivot!$B$1:$AB$65000,$B1000,AE$5)="",2,0)),0)</f>
        <v>0</v>
      </c>
      <c r="AF1000" s="313">
        <f>IFERROR(IF(INDEX([1]Pivot!$BF$1:$CG$65000,$B1000,AF$5)=1,1,IF(INDEX([1]Pivot!$B$1:$AB$65000,$B1000,AF$5)="",2,0)),0)</f>
        <v>0</v>
      </c>
      <c r="AG1000" s="313">
        <f>IFERROR(IF(INDEX([1]Pivot!$BF$1:$CG$65000,$B1000,AG$5)=1,1,IF(INDEX([1]Pivot!$B$1:$AB$65000,$B1000,AG$5)="",2,0)),0)</f>
        <v>0</v>
      </c>
      <c r="AH1000" s="313">
        <f>IFERROR(IF(INDEX([1]Pivot!$BF$1:$CG$65000,$B1000,AH$5)=1,1,IF(INDEX([1]Pivot!$B$1:$AB$65000,$B1000,AH$5)="",2,0)),0)</f>
        <v>0</v>
      </c>
      <c r="AI1000" s="313">
        <f>IFERROR(IF(INDEX([1]Pivot!$BF$1:$CG$65000,$B1000,AI$5)=1,1,IF(INDEX([1]Pivot!$B$1:$AB$65000,$B1000,AI$5)="",2,0)),0)</f>
        <v>0</v>
      </c>
      <c r="AJ1000" s="313">
        <f>IFERROR(IF(INDEX([1]Pivot!$BF$1:$CG$65000,$B1000,AJ$5)=1,1,IF(INDEX([1]Pivot!$B$1:$AB$65000,$B1000,AJ$5)="",2,0)),0)</f>
        <v>0</v>
      </c>
      <c r="AK1000" s="313">
        <f>IFERROR(IF(INDEX([1]Pivot!$BF$1:$CG$65000,$B1000,AK$5)=1,1,IF(INDEX([1]Pivot!$B$1:$AB$65000,$B1000,AK$5)="",2,0)),0)</f>
        <v>0</v>
      </c>
      <c r="AL1000" s="313">
        <f>IFERROR(IF(INDEX([1]Pivot!$BF$1:$CG$65000,$B1000,AL$5)=1,1,IF(INDEX([1]Pivot!$B$1:$AB$65000,$B1000,AL$5)="",2,0)),0)</f>
        <v>0</v>
      </c>
      <c r="AM1000" s="313">
        <f>IFERROR(IF(INDEX([1]Pivot!$BF$1:$CG$65000,$B1000,AM$5)=1,1,IF(INDEX([1]Pivot!$B$1:$AB$65000,$B1000,AM$5)="",2,0)),0)</f>
        <v>0</v>
      </c>
      <c r="AN1000" s="313">
        <f>IFERROR(IF(INDEX([1]Pivot!$BF$1:$CG$65000,$B1000,AN$5)=1,1,IF(INDEX([1]Pivot!$B$1:$AB$65000,$B1000,AN$5)="",2,0)),0)</f>
        <v>0</v>
      </c>
      <c r="AO1000" s="313">
        <f>IFERROR(IF(INDEX([1]Pivot!$BF$1:$CG$65000,$B1000,AO$5)=1,1,IF(INDEX([1]Pivot!$B$1:$AB$65000,$B1000,AO$5)="",2,0)),0)</f>
        <v>0</v>
      </c>
      <c r="AP1000" s="313">
        <f>IFERROR(IF(INDEX([1]Pivot!$BF$1:$CG$65000,$B1000,AP$5)=1,1,IF(INDEX([1]Pivot!$B$1:$AB$65000,$B1000,AP$5)="",2,0)),0)</f>
        <v>0</v>
      </c>
      <c r="AQ1000" s="313">
        <f>IFERROR(IF(INDEX([1]Pivot!$BF$1:$CG$65000,$B1000,AQ$5)=1,1,IF(INDEX([1]Pivot!$B$1:$AB$65000,$B1000,AQ$5)="",2,0)),0)</f>
        <v>0</v>
      </c>
      <c r="AR1000" s="313">
        <f>IFERROR(IF(INDEX([1]Pivot!$BF$1:$CG$65000,$B1000,AR$5)=1,1,IF(INDEX([1]Pivot!$B$1:$AB$65000,$B1000,AR$5)="",2,0)),0)</f>
        <v>0</v>
      </c>
      <c r="AS1000" s="312"/>
      <c r="AT1000" s="313">
        <f>IFERROR(IF(INDEX([1]Pivot!$BF$1:$CG$65000,$B1000,AT$5)=1,1,IF(INDEX([1]Pivot!$B$1:$AB$65000,$B1000,AT$5)="",2,0)),0)</f>
        <v>0</v>
      </c>
      <c r="AU1000" s="313">
        <f>IFERROR(IF(INDEX([1]Pivot!$BF$1:$CG$65000,$B1000,AU$5)=1,1,IF(INDEX([1]Pivot!$B$1:$AB$65000,$B1000,AU$5)="",2,0)),0)</f>
        <v>0</v>
      </c>
      <c r="AV1000" s="313">
        <f>IFERROR(IF(INDEX([1]Pivot!$BF$1:$CG$65000,$B1000,AV$5)=1,1,IF(INDEX([1]Pivot!$B$1:$AB$65000,$B1000,AV$5)="",2,0)),0)</f>
        <v>0</v>
      </c>
      <c r="AW1000" s="313">
        <f>IFERROR(IF(INDEX([1]Pivot!$BF$1:$CG$65000,$B1000,AW$5)=1,1,IF(INDEX([1]Pivot!$B$1:$AB$65000,$B1000,AW$5)="",2,0)),0)</f>
        <v>0</v>
      </c>
      <c r="AX1000" s="313">
        <f>IFERROR(IF(INDEX([1]Pivot!$BF$1:$CG$65000,$B1000,AX$5)=1,1,IF(INDEX([1]Pivot!$B$1:$AB$65000,$B1000,AX$5)="",2,0)),0)</f>
        <v>0</v>
      </c>
      <c r="AY1000" s="313">
        <f>IFERROR(IF(INDEX([1]Pivot!$BF$1:$CG$65000,$B1000,AY$5)=1,1,IF(INDEX([1]Pivot!$B$1:$AB$65000,$B1000,AY$5)="",2,0)),0)</f>
        <v>0</v>
      </c>
      <c r="AZ1000" s="313">
        <f>IFERROR(IF(INDEX([1]Pivot!$BF$1:$CG$65000,$B1000,AZ$5)=1,1,IF(INDEX([1]Pivot!$B$1:$AB$65000,$B1000,AZ$5)="",2,0)),0)</f>
        <v>0</v>
      </c>
      <c r="BA1000" s="313">
        <f>IFERROR(IF(INDEX([1]Pivot!$BF$1:$CG$65000,$B1000,BA$5)=1,1,IF(INDEX([1]Pivot!$B$1:$AB$65000,$B1000,BA$5)="",2,0)),0)</f>
        <v>0</v>
      </c>
      <c r="BB1000" s="313">
        <f>IFERROR(IF(INDEX([1]Pivot!$BF$1:$CG$65000,$B1000,BB$5)=1,1,IF(INDEX([1]Pivot!$B$1:$AB$65000,$B1000,BB$5)="",2,0)),0)</f>
        <v>0</v>
      </c>
      <c r="BC1000" s="313">
        <f>IFERROR(IF(INDEX([1]Pivot!$BF$1:$CG$65000,$B1000,BC$5)=1,1,IF(INDEX([1]Pivot!$B$1:$AB$65000,$B1000,BC$5)="",2,0)),0)</f>
        <v>0</v>
      </c>
      <c r="BD1000" s="313">
        <f>IFERROR(IF(INDEX([1]Pivot!$BF$1:$CG$65000,$B1000,BD$5)=1,1,IF(INDEX([1]Pivot!$B$1:$AB$65000,$B1000,BD$5)="",2,0)),0)</f>
        <v>0</v>
      </c>
    </row>
    <row r="1001" spans="1:56" x14ac:dyDescent="0.25">
      <c r="A1001" s="288">
        <f>'[2]Raw Milk Prices'!A1001</f>
        <v>0</v>
      </c>
      <c r="B1001" s="296" t="e">
        <f>MATCH(DATE(LEFT('[2]Raw Milk Prices'!$A1001,4),RIGHT('[2]Raw Milk Prices'!$A1001,2),1),[1]Pivot!$A$1:$A$65000,0)</f>
        <v>#VALUE!</v>
      </c>
      <c r="C1001" s="194">
        <f>IFERROR(IF(INDEX([1]Pivot!$AD$1:$BE$65000,$B1001,C$5)=1,1,IF(INDEX([1]Pivot!$B$1:$AB$65000,$B1001,C$5)="",2,0)),0)</f>
        <v>0</v>
      </c>
      <c r="D1001" s="194">
        <f>IFERROR(IF(INDEX([1]Pivot!$AD$1:$BE$65000,$B1001,D$5)=1,1,IF(INDEX([1]Pivot!$B$1:$AB$65000,$B1001,D$5)="",2,0)),0)</f>
        <v>0</v>
      </c>
      <c r="E1001" s="194">
        <f>IFERROR(IF(INDEX([1]Pivot!$AD$1:$BE$65000,$B1001,E$5)=1,1,IF(INDEX([1]Pivot!$B$1:$AB$65000,$B1001,E$5)="",2,0)),0)</f>
        <v>0</v>
      </c>
      <c r="F1001" s="194">
        <f>IFERROR(IF(INDEX([1]Pivot!$AD$1:$BE$65000,$B1001,F$5)=1,1,IF(INDEX([1]Pivot!$B$1:$AB$65000,$B1001,F$5)="",2,0)),0)</f>
        <v>0</v>
      </c>
      <c r="G1001" s="194">
        <f>IFERROR(IF(INDEX([1]Pivot!$AD$1:$BE$65000,$B1001,G$5)=1,1,IF(INDEX([1]Pivot!$B$1:$AB$65000,$B1001,G$5)="",2,0)),0)</f>
        <v>0</v>
      </c>
      <c r="H1001" s="194">
        <f>IFERROR(IF(INDEX([1]Pivot!$AD$1:$BE$65000,$B1001,H$5)=1,1,IF(INDEX([1]Pivot!$B$1:$AB$65000,$B1001,H$5)="",2,0)),0)</f>
        <v>0</v>
      </c>
      <c r="I1001" s="194">
        <f>IFERROR(IF(INDEX([1]Pivot!$AD$1:$BE$65000,$B1001,I$5)=1,1,IF(INDEX([1]Pivot!$B$1:$AB$65000,$B1001,I$5)="",2,0)),0)</f>
        <v>0</v>
      </c>
      <c r="J1001" s="194">
        <f>IFERROR(IF(INDEX([1]Pivot!$AD$1:$BE$65000,$B1001,J$5)=1,1,IF(INDEX([1]Pivot!$B$1:$AB$65000,$B1001,J$5)="",2,0)),0)</f>
        <v>0</v>
      </c>
      <c r="K1001" s="194">
        <f>IFERROR(IF(INDEX([1]Pivot!$AD$1:$BE$65000,$B1001,K$5)=1,1,IF(INDEX([1]Pivot!$B$1:$AB$65000,$B1001,K$5)="",2,0)),0)</f>
        <v>0</v>
      </c>
      <c r="L1001" s="194">
        <f>IFERROR(IF(INDEX([1]Pivot!$AD$1:$BE$65000,$B1001,L$5)=1,1,IF(INDEX([1]Pivot!$B$1:$AB$65000,$B1001,L$5)="",2,0)),0)</f>
        <v>0</v>
      </c>
      <c r="M1001" s="194">
        <f>IFERROR(IF(INDEX([1]Pivot!$AD$1:$BE$65000,$B1001,M$5)=1,1,IF(INDEX([1]Pivot!$B$1:$AB$65000,$B1001,M$5)="",2,0)),0)</f>
        <v>0</v>
      </c>
      <c r="N1001" s="194">
        <f>IFERROR(IF(INDEX([1]Pivot!$AD$1:$BE$65000,$B1001,N$5)=1,1,IF(INDEX([1]Pivot!$B$1:$AB$65000,$B1001,N$5)="",2,0)),0)</f>
        <v>0</v>
      </c>
      <c r="O1001" s="194">
        <f>IFERROR(IF(INDEX([1]Pivot!$AD$1:$BE$65000,$B1001,O$5)=1,1,IF(INDEX([1]Pivot!$B$1:$AB$65000,$B1001,O$5)="",2,0)),0)</f>
        <v>0</v>
      </c>
      <c r="P1001" s="194">
        <f>IFERROR(IF(INDEX([1]Pivot!$AD$1:$BE$65000,$B1001,P$5)=1,1,IF(INDEX([1]Pivot!$B$1:$AB$65000,$B1001,P$5)="",2,0)),0)</f>
        <v>0</v>
      </c>
      <c r="Q1001" s="194">
        <f>IFERROR(IF(INDEX([1]Pivot!$AD$1:$BE$65000,$B1001,Q$5)=1,1,IF(INDEX([1]Pivot!$B$1:$AB$65000,$B1001,Q$5)="",2,0)),0)</f>
        <v>0</v>
      </c>
      <c r="R1001" s="312"/>
      <c r="S1001" s="194">
        <f>IFERROR(IF(INDEX([1]Pivot!$AD$1:$BE$65000,$B1001,S$5)=1,1,IF(INDEX([1]Pivot!$B$1:$AB$65000,$B1001,S$5)="",2,0)),0)</f>
        <v>0</v>
      </c>
      <c r="T1001" s="194">
        <f>IFERROR(IF(INDEX([1]Pivot!$AD$1:$BE$65000,$B1001,T$5)=1,1,IF(INDEX([1]Pivot!$B$1:$AB$65000,$B1001,T$5)="",2,0)),0)</f>
        <v>0</v>
      </c>
      <c r="U1001" s="194">
        <f>IFERROR(IF(INDEX([1]Pivot!$AD$1:$BE$65000,$B1001,U$5)=1,1,IF(INDEX([1]Pivot!$B$1:$AB$65000,$B1001,U$5)="",2,0)),0)</f>
        <v>0</v>
      </c>
      <c r="V1001" s="194">
        <f>IFERROR(IF(INDEX([1]Pivot!$AD$1:$BE$65000,$B1001,V$5)=1,1,IF(INDEX([1]Pivot!$B$1:$AB$65000,$B1001,V$5)="",2,0)),0)</f>
        <v>0</v>
      </c>
      <c r="W1001" s="194">
        <f>IFERROR(IF(INDEX([1]Pivot!$AD$1:$BE$65000,$B1001,W$5)=1,1,IF(INDEX([1]Pivot!$B$1:$AB$65000,$B1001,W$5)="",2,0)),0)</f>
        <v>0</v>
      </c>
      <c r="X1001" s="194">
        <f>IFERROR(IF(INDEX([1]Pivot!$AD$1:$BE$65000,$B1001,X$5)=1,1,IF(INDEX([1]Pivot!$B$1:$AB$65000,$B1001,X$5)="",2,0)),0)</f>
        <v>0</v>
      </c>
      <c r="Y1001" s="194">
        <f>IFERROR(IF(INDEX([1]Pivot!$AD$1:$BE$65000,$B1001,Y$5)=1,1,IF(INDEX([1]Pivot!$B$1:$AB$65000,$B1001,Y$5)="",2,0)),0)</f>
        <v>0</v>
      </c>
      <c r="Z1001" s="194">
        <f>IFERROR(IF(INDEX([1]Pivot!$AD$1:$BE$65000,$B1001,Z$5)=1,1,IF(INDEX([1]Pivot!$B$1:$AB$65000,$B1001,Z$5)="",2,0)),0)</f>
        <v>0</v>
      </c>
      <c r="AA1001" s="194">
        <f>IFERROR(IF(INDEX([1]Pivot!$AD$1:$BE$65000,$B1001,AA$5)=1,1,IF(INDEX([1]Pivot!$B$1:$AB$65000,$B1001,AA$5)="",2,0)),0)</f>
        <v>0</v>
      </c>
      <c r="AB1001" s="194">
        <f>IFERROR(IF(INDEX([1]Pivot!$AD$1:$BE$65000,$B1001,AB$5)=1,1,IF(INDEX([1]Pivot!$B$1:$AB$65000,$B1001,AB$5)="",2,0)),0)</f>
        <v>0</v>
      </c>
      <c r="AC1001" s="194">
        <f>IFERROR(IF(INDEX([1]Pivot!$AD$1:$BE$65000,$B1001,AC$5)=1,1,IF(INDEX([1]Pivot!$B$1:$AB$65000,$B1001,AC$5)="",2,0)),0)</f>
        <v>0</v>
      </c>
      <c r="AD1001" s="313">
        <f>IFERROR(IF(INDEX([1]Pivot!$BF$1:$CG$65000,$B1001,AD$5)=1,1,IF(INDEX([1]Pivot!$B$1:$AB$65000,$B1001,AD$5)="",2,0)),0)</f>
        <v>0</v>
      </c>
      <c r="AE1001" s="313">
        <f>IFERROR(IF(INDEX([1]Pivot!$BF$1:$CG$65000,$B1001,AE$5)=1,1,IF(INDEX([1]Pivot!$B$1:$AB$65000,$B1001,AE$5)="",2,0)),0)</f>
        <v>0</v>
      </c>
      <c r="AF1001" s="313">
        <f>IFERROR(IF(INDEX([1]Pivot!$BF$1:$CG$65000,$B1001,AF$5)=1,1,IF(INDEX([1]Pivot!$B$1:$AB$65000,$B1001,AF$5)="",2,0)),0)</f>
        <v>0</v>
      </c>
      <c r="AG1001" s="313">
        <f>IFERROR(IF(INDEX([1]Pivot!$BF$1:$CG$65000,$B1001,AG$5)=1,1,IF(INDEX([1]Pivot!$B$1:$AB$65000,$B1001,AG$5)="",2,0)),0)</f>
        <v>0</v>
      </c>
      <c r="AH1001" s="313">
        <f>IFERROR(IF(INDEX([1]Pivot!$BF$1:$CG$65000,$B1001,AH$5)=1,1,IF(INDEX([1]Pivot!$B$1:$AB$65000,$B1001,AH$5)="",2,0)),0)</f>
        <v>0</v>
      </c>
      <c r="AI1001" s="313">
        <f>IFERROR(IF(INDEX([1]Pivot!$BF$1:$CG$65000,$B1001,AI$5)=1,1,IF(INDEX([1]Pivot!$B$1:$AB$65000,$B1001,AI$5)="",2,0)),0)</f>
        <v>0</v>
      </c>
      <c r="AJ1001" s="313">
        <f>IFERROR(IF(INDEX([1]Pivot!$BF$1:$CG$65000,$B1001,AJ$5)=1,1,IF(INDEX([1]Pivot!$B$1:$AB$65000,$B1001,AJ$5)="",2,0)),0)</f>
        <v>0</v>
      </c>
      <c r="AK1001" s="313">
        <f>IFERROR(IF(INDEX([1]Pivot!$BF$1:$CG$65000,$B1001,AK$5)=1,1,IF(INDEX([1]Pivot!$B$1:$AB$65000,$B1001,AK$5)="",2,0)),0)</f>
        <v>0</v>
      </c>
      <c r="AL1001" s="313">
        <f>IFERROR(IF(INDEX([1]Pivot!$BF$1:$CG$65000,$B1001,AL$5)=1,1,IF(INDEX([1]Pivot!$B$1:$AB$65000,$B1001,AL$5)="",2,0)),0)</f>
        <v>0</v>
      </c>
      <c r="AM1001" s="313">
        <f>IFERROR(IF(INDEX([1]Pivot!$BF$1:$CG$65000,$B1001,AM$5)=1,1,IF(INDEX([1]Pivot!$B$1:$AB$65000,$B1001,AM$5)="",2,0)),0)</f>
        <v>0</v>
      </c>
      <c r="AN1001" s="313">
        <f>IFERROR(IF(INDEX([1]Pivot!$BF$1:$CG$65000,$B1001,AN$5)=1,1,IF(INDEX([1]Pivot!$B$1:$AB$65000,$B1001,AN$5)="",2,0)),0)</f>
        <v>0</v>
      </c>
      <c r="AO1001" s="313">
        <f>IFERROR(IF(INDEX([1]Pivot!$BF$1:$CG$65000,$B1001,AO$5)=1,1,IF(INDEX([1]Pivot!$B$1:$AB$65000,$B1001,AO$5)="",2,0)),0)</f>
        <v>0</v>
      </c>
      <c r="AP1001" s="313">
        <f>IFERROR(IF(INDEX([1]Pivot!$BF$1:$CG$65000,$B1001,AP$5)=1,1,IF(INDEX([1]Pivot!$B$1:$AB$65000,$B1001,AP$5)="",2,0)),0)</f>
        <v>0</v>
      </c>
      <c r="AQ1001" s="313">
        <f>IFERROR(IF(INDEX([1]Pivot!$BF$1:$CG$65000,$B1001,AQ$5)=1,1,IF(INDEX([1]Pivot!$B$1:$AB$65000,$B1001,AQ$5)="",2,0)),0)</f>
        <v>0</v>
      </c>
      <c r="AR1001" s="313">
        <f>IFERROR(IF(INDEX([1]Pivot!$BF$1:$CG$65000,$B1001,AR$5)=1,1,IF(INDEX([1]Pivot!$B$1:$AB$65000,$B1001,AR$5)="",2,0)),0)</f>
        <v>0</v>
      </c>
      <c r="AS1001" s="312"/>
      <c r="AT1001" s="313">
        <f>IFERROR(IF(INDEX([1]Pivot!$BF$1:$CG$65000,$B1001,AT$5)=1,1,IF(INDEX([1]Pivot!$B$1:$AB$65000,$B1001,AT$5)="",2,0)),0)</f>
        <v>0</v>
      </c>
      <c r="AU1001" s="313">
        <f>IFERROR(IF(INDEX([1]Pivot!$BF$1:$CG$65000,$B1001,AU$5)=1,1,IF(INDEX([1]Pivot!$B$1:$AB$65000,$B1001,AU$5)="",2,0)),0)</f>
        <v>0</v>
      </c>
      <c r="AV1001" s="313">
        <f>IFERROR(IF(INDEX([1]Pivot!$BF$1:$CG$65000,$B1001,AV$5)=1,1,IF(INDEX([1]Pivot!$B$1:$AB$65000,$B1001,AV$5)="",2,0)),0)</f>
        <v>0</v>
      </c>
      <c r="AW1001" s="313">
        <f>IFERROR(IF(INDEX([1]Pivot!$BF$1:$CG$65000,$B1001,AW$5)=1,1,IF(INDEX([1]Pivot!$B$1:$AB$65000,$B1001,AW$5)="",2,0)),0)</f>
        <v>0</v>
      </c>
      <c r="AX1001" s="313">
        <f>IFERROR(IF(INDEX([1]Pivot!$BF$1:$CG$65000,$B1001,AX$5)=1,1,IF(INDEX([1]Pivot!$B$1:$AB$65000,$B1001,AX$5)="",2,0)),0)</f>
        <v>0</v>
      </c>
      <c r="AY1001" s="313">
        <f>IFERROR(IF(INDEX([1]Pivot!$BF$1:$CG$65000,$B1001,AY$5)=1,1,IF(INDEX([1]Pivot!$B$1:$AB$65000,$B1001,AY$5)="",2,0)),0)</f>
        <v>0</v>
      </c>
      <c r="AZ1001" s="313">
        <f>IFERROR(IF(INDEX([1]Pivot!$BF$1:$CG$65000,$B1001,AZ$5)=1,1,IF(INDEX([1]Pivot!$B$1:$AB$65000,$B1001,AZ$5)="",2,0)),0)</f>
        <v>0</v>
      </c>
      <c r="BA1001" s="313">
        <f>IFERROR(IF(INDEX([1]Pivot!$BF$1:$CG$65000,$B1001,BA$5)=1,1,IF(INDEX([1]Pivot!$B$1:$AB$65000,$B1001,BA$5)="",2,0)),0)</f>
        <v>0</v>
      </c>
      <c r="BB1001" s="313">
        <f>IFERROR(IF(INDEX([1]Pivot!$BF$1:$CG$65000,$B1001,BB$5)=1,1,IF(INDEX([1]Pivot!$B$1:$AB$65000,$B1001,BB$5)="",2,0)),0)</f>
        <v>0</v>
      </c>
      <c r="BC1001" s="313">
        <f>IFERROR(IF(INDEX([1]Pivot!$BF$1:$CG$65000,$B1001,BC$5)=1,1,IF(INDEX([1]Pivot!$B$1:$AB$65000,$B1001,BC$5)="",2,0)),0)</f>
        <v>0</v>
      </c>
      <c r="BD1001" s="313">
        <f>IFERROR(IF(INDEX([1]Pivot!$BF$1:$CG$65000,$B1001,BD$5)=1,1,IF(INDEX([1]Pivot!$B$1:$AB$65000,$B1001,BD$5)="",2,0)),0)</f>
        <v>0</v>
      </c>
    </row>
    <row r="1002" spans="1:56" x14ac:dyDescent="0.25">
      <c r="A1002" s="288">
        <f>'[2]Raw Milk Prices'!A1002</f>
        <v>0</v>
      </c>
      <c r="B1002" s="296" t="e">
        <f>MATCH(DATE(LEFT('[2]Raw Milk Prices'!$A1002,4),RIGHT('[2]Raw Milk Prices'!$A1002,2),1),[1]Pivot!$A$1:$A$65000,0)</f>
        <v>#VALUE!</v>
      </c>
      <c r="C1002" s="194">
        <f>IFERROR(IF(INDEX([1]Pivot!$AD$1:$BE$65000,$B1002,C$5)=1,1,IF(INDEX([1]Pivot!$B$1:$AB$65000,$B1002,C$5)="",2,0)),0)</f>
        <v>0</v>
      </c>
      <c r="D1002" s="194">
        <f>IFERROR(IF(INDEX([1]Pivot!$AD$1:$BE$65000,$B1002,D$5)=1,1,IF(INDEX([1]Pivot!$B$1:$AB$65000,$B1002,D$5)="",2,0)),0)</f>
        <v>0</v>
      </c>
      <c r="E1002" s="194">
        <f>IFERROR(IF(INDEX([1]Pivot!$AD$1:$BE$65000,$B1002,E$5)=1,1,IF(INDEX([1]Pivot!$B$1:$AB$65000,$B1002,E$5)="",2,0)),0)</f>
        <v>0</v>
      </c>
      <c r="F1002" s="194">
        <f>IFERROR(IF(INDEX([1]Pivot!$AD$1:$BE$65000,$B1002,F$5)=1,1,IF(INDEX([1]Pivot!$B$1:$AB$65000,$B1002,F$5)="",2,0)),0)</f>
        <v>0</v>
      </c>
      <c r="G1002" s="194">
        <f>IFERROR(IF(INDEX([1]Pivot!$AD$1:$BE$65000,$B1002,G$5)=1,1,IF(INDEX([1]Pivot!$B$1:$AB$65000,$B1002,G$5)="",2,0)),0)</f>
        <v>0</v>
      </c>
      <c r="H1002" s="194">
        <f>IFERROR(IF(INDEX([1]Pivot!$AD$1:$BE$65000,$B1002,H$5)=1,1,IF(INDEX([1]Pivot!$B$1:$AB$65000,$B1002,H$5)="",2,0)),0)</f>
        <v>0</v>
      </c>
      <c r="I1002" s="194">
        <f>IFERROR(IF(INDEX([1]Pivot!$AD$1:$BE$65000,$B1002,I$5)=1,1,IF(INDEX([1]Pivot!$B$1:$AB$65000,$B1002,I$5)="",2,0)),0)</f>
        <v>0</v>
      </c>
      <c r="J1002" s="194">
        <f>IFERROR(IF(INDEX([1]Pivot!$AD$1:$BE$65000,$B1002,J$5)=1,1,IF(INDEX([1]Pivot!$B$1:$AB$65000,$B1002,J$5)="",2,0)),0)</f>
        <v>0</v>
      </c>
      <c r="K1002" s="194">
        <f>IFERROR(IF(INDEX([1]Pivot!$AD$1:$BE$65000,$B1002,K$5)=1,1,IF(INDEX([1]Pivot!$B$1:$AB$65000,$B1002,K$5)="",2,0)),0)</f>
        <v>0</v>
      </c>
      <c r="L1002" s="194">
        <f>IFERROR(IF(INDEX([1]Pivot!$AD$1:$BE$65000,$B1002,L$5)=1,1,IF(INDEX([1]Pivot!$B$1:$AB$65000,$B1002,L$5)="",2,0)),0)</f>
        <v>0</v>
      </c>
      <c r="M1002" s="194">
        <f>IFERROR(IF(INDEX([1]Pivot!$AD$1:$BE$65000,$B1002,M$5)=1,1,IF(INDEX([1]Pivot!$B$1:$AB$65000,$B1002,M$5)="",2,0)),0)</f>
        <v>0</v>
      </c>
      <c r="N1002" s="194">
        <f>IFERROR(IF(INDEX([1]Pivot!$AD$1:$BE$65000,$B1002,N$5)=1,1,IF(INDEX([1]Pivot!$B$1:$AB$65000,$B1002,N$5)="",2,0)),0)</f>
        <v>0</v>
      </c>
      <c r="O1002" s="194">
        <f>IFERROR(IF(INDEX([1]Pivot!$AD$1:$BE$65000,$B1002,O$5)=1,1,IF(INDEX([1]Pivot!$B$1:$AB$65000,$B1002,O$5)="",2,0)),0)</f>
        <v>0</v>
      </c>
      <c r="P1002" s="194">
        <f>IFERROR(IF(INDEX([1]Pivot!$AD$1:$BE$65000,$B1002,P$5)=1,1,IF(INDEX([1]Pivot!$B$1:$AB$65000,$B1002,P$5)="",2,0)),0)</f>
        <v>0</v>
      </c>
      <c r="Q1002" s="194">
        <f>IFERROR(IF(INDEX([1]Pivot!$AD$1:$BE$65000,$B1002,Q$5)=1,1,IF(INDEX([1]Pivot!$B$1:$AB$65000,$B1002,Q$5)="",2,0)),0)</f>
        <v>0</v>
      </c>
      <c r="R1002" s="312"/>
      <c r="S1002" s="194">
        <f>IFERROR(IF(INDEX([1]Pivot!$AD$1:$BE$65000,$B1002,S$5)=1,1,IF(INDEX([1]Pivot!$B$1:$AB$65000,$B1002,S$5)="",2,0)),0)</f>
        <v>0</v>
      </c>
      <c r="T1002" s="194">
        <f>IFERROR(IF(INDEX([1]Pivot!$AD$1:$BE$65000,$B1002,T$5)=1,1,IF(INDEX([1]Pivot!$B$1:$AB$65000,$B1002,T$5)="",2,0)),0)</f>
        <v>0</v>
      </c>
      <c r="U1002" s="194">
        <f>IFERROR(IF(INDEX([1]Pivot!$AD$1:$BE$65000,$B1002,U$5)=1,1,IF(INDEX([1]Pivot!$B$1:$AB$65000,$B1002,U$5)="",2,0)),0)</f>
        <v>0</v>
      </c>
      <c r="V1002" s="194">
        <f>IFERROR(IF(INDEX([1]Pivot!$AD$1:$BE$65000,$B1002,V$5)=1,1,IF(INDEX([1]Pivot!$B$1:$AB$65000,$B1002,V$5)="",2,0)),0)</f>
        <v>0</v>
      </c>
      <c r="W1002" s="194">
        <f>IFERROR(IF(INDEX([1]Pivot!$AD$1:$BE$65000,$B1002,W$5)=1,1,IF(INDEX([1]Pivot!$B$1:$AB$65000,$B1002,W$5)="",2,0)),0)</f>
        <v>0</v>
      </c>
      <c r="X1002" s="194">
        <f>IFERROR(IF(INDEX([1]Pivot!$AD$1:$BE$65000,$B1002,X$5)=1,1,IF(INDEX([1]Pivot!$B$1:$AB$65000,$B1002,X$5)="",2,0)),0)</f>
        <v>0</v>
      </c>
      <c r="Y1002" s="194">
        <f>IFERROR(IF(INDEX([1]Pivot!$AD$1:$BE$65000,$B1002,Y$5)=1,1,IF(INDEX([1]Pivot!$B$1:$AB$65000,$B1002,Y$5)="",2,0)),0)</f>
        <v>0</v>
      </c>
      <c r="Z1002" s="194">
        <f>IFERROR(IF(INDEX([1]Pivot!$AD$1:$BE$65000,$B1002,Z$5)=1,1,IF(INDEX([1]Pivot!$B$1:$AB$65000,$B1002,Z$5)="",2,0)),0)</f>
        <v>0</v>
      </c>
      <c r="AA1002" s="194">
        <f>IFERROR(IF(INDEX([1]Pivot!$AD$1:$BE$65000,$B1002,AA$5)=1,1,IF(INDEX([1]Pivot!$B$1:$AB$65000,$B1002,AA$5)="",2,0)),0)</f>
        <v>0</v>
      </c>
      <c r="AB1002" s="194">
        <f>IFERROR(IF(INDEX([1]Pivot!$AD$1:$BE$65000,$B1002,AB$5)=1,1,IF(INDEX([1]Pivot!$B$1:$AB$65000,$B1002,AB$5)="",2,0)),0)</f>
        <v>0</v>
      </c>
      <c r="AC1002" s="194">
        <f>IFERROR(IF(INDEX([1]Pivot!$AD$1:$BE$65000,$B1002,AC$5)=1,1,IF(INDEX([1]Pivot!$B$1:$AB$65000,$B1002,AC$5)="",2,0)),0)</f>
        <v>0</v>
      </c>
      <c r="AD1002" s="313">
        <f>IFERROR(IF(INDEX([1]Pivot!$BF$1:$CG$65000,$B1002,AD$5)=1,1,IF(INDEX([1]Pivot!$B$1:$AB$65000,$B1002,AD$5)="",2,0)),0)</f>
        <v>0</v>
      </c>
      <c r="AE1002" s="313">
        <f>IFERROR(IF(INDEX([1]Pivot!$BF$1:$CG$65000,$B1002,AE$5)=1,1,IF(INDEX([1]Pivot!$B$1:$AB$65000,$B1002,AE$5)="",2,0)),0)</f>
        <v>0</v>
      </c>
      <c r="AF1002" s="313">
        <f>IFERROR(IF(INDEX([1]Pivot!$BF$1:$CG$65000,$B1002,AF$5)=1,1,IF(INDEX([1]Pivot!$B$1:$AB$65000,$B1002,AF$5)="",2,0)),0)</f>
        <v>0</v>
      </c>
      <c r="AG1002" s="313">
        <f>IFERROR(IF(INDEX([1]Pivot!$BF$1:$CG$65000,$B1002,AG$5)=1,1,IF(INDEX([1]Pivot!$B$1:$AB$65000,$B1002,AG$5)="",2,0)),0)</f>
        <v>0</v>
      </c>
      <c r="AH1002" s="313">
        <f>IFERROR(IF(INDEX([1]Pivot!$BF$1:$CG$65000,$B1002,AH$5)=1,1,IF(INDEX([1]Pivot!$B$1:$AB$65000,$B1002,AH$5)="",2,0)),0)</f>
        <v>0</v>
      </c>
      <c r="AI1002" s="313">
        <f>IFERROR(IF(INDEX([1]Pivot!$BF$1:$CG$65000,$B1002,AI$5)=1,1,IF(INDEX([1]Pivot!$B$1:$AB$65000,$B1002,AI$5)="",2,0)),0)</f>
        <v>0</v>
      </c>
      <c r="AJ1002" s="313">
        <f>IFERROR(IF(INDEX([1]Pivot!$BF$1:$CG$65000,$B1002,AJ$5)=1,1,IF(INDEX([1]Pivot!$B$1:$AB$65000,$B1002,AJ$5)="",2,0)),0)</f>
        <v>0</v>
      </c>
      <c r="AK1002" s="313">
        <f>IFERROR(IF(INDEX([1]Pivot!$BF$1:$CG$65000,$B1002,AK$5)=1,1,IF(INDEX([1]Pivot!$B$1:$AB$65000,$B1002,AK$5)="",2,0)),0)</f>
        <v>0</v>
      </c>
      <c r="AL1002" s="313">
        <f>IFERROR(IF(INDEX([1]Pivot!$BF$1:$CG$65000,$B1002,AL$5)=1,1,IF(INDEX([1]Pivot!$B$1:$AB$65000,$B1002,AL$5)="",2,0)),0)</f>
        <v>0</v>
      </c>
      <c r="AM1002" s="313">
        <f>IFERROR(IF(INDEX([1]Pivot!$BF$1:$CG$65000,$B1002,AM$5)=1,1,IF(INDEX([1]Pivot!$B$1:$AB$65000,$B1002,AM$5)="",2,0)),0)</f>
        <v>0</v>
      </c>
      <c r="AN1002" s="313">
        <f>IFERROR(IF(INDEX([1]Pivot!$BF$1:$CG$65000,$B1002,AN$5)=1,1,IF(INDEX([1]Pivot!$B$1:$AB$65000,$B1002,AN$5)="",2,0)),0)</f>
        <v>0</v>
      </c>
      <c r="AO1002" s="313">
        <f>IFERROR(IF(INDEX([1]Pivot!$BF$1:$CG$65000,$B1002,AO$5)=1,1,IF(INDEX([1]Pivot!$B$1:$AB$65000,$B1002,AO$5)="",2,0)),0)</f>
        <v>0</v>
      </c>
      <c r="AP1002" s="313">
        <f>IFERROR(IF(INDEX([1]Pivot!$BF$1:$CG$65000,$B1002,AP$5)=1,1,IF(INDEX([1]Pivot!$B$1:$AB$65000,$B1002,AP$5)="",2,0)),0)</f>
        <v>0</v>
      </c>
      <c r="AQ1002" s="313">
        <f>IFERROR(IF(INDEX([1]Pivot!$BF$1:$CG$65000,$B1002,AQ$5)=1,1,IF(INDEX([1]Pivot!$B$1:$AB$65000,$B1002,AQ$5)="",2,0)),0)</f>
        <v>0</v>
      </c>
      <c r="AR1002" s="313">
        <f>IFERROR(IF(INDEX([1]Pivot!$BF$1:$CG$65000,$B1002,AR$5)=1,1,IF(INDEX([1]Pivot!$B$1:$AB$65000,$B1002,AR$5)="",2,0)),0)</f>
        <v>0</v>
      </c>
      <c r="AS1002" s="312"/>
      <c r="AT1002" s="313">
        <f>IFERROR(IF(INDEX([1]Pivot!$BF$1:$CG$65000,$B1002,AT$5)=1,1,IF(INDEX([1]Pivot!$B$1:$AB$65000,$B1002,AT$5)="",2,0)),0)</f>
        <v>0</v>
      </c>
      <c r="AU1002" s="313">
        <f>IFERROR(IF(INDEX([1]Pivot!$BF$1:$CG$65000,$B1002,AU$5)=1,1,IF(INDEX([1]Pivot!$B$1:$AB$65000,$B1002,AU$5)="",2,0)),0)</f>
        <v>0</v>
      </c>
      <c r="AV1002" s="313">
        <f>IFERROR(IF(INDEX([1]Pivot!$BF$1:$CG$65000,$B1002,AV$5)=1,1,IF(INDEX([1]Pivot!$B$1:$AB$65000,$B1002,AV$5)="",2,0)),0)</f>
        <v>0</v>
      </c>
      <c r="AW1002" s="313">
        <f>IFERROR(IF(INDEX([1]Pivot!$BF$1:$CG$65000,$B1002,AW$5)=1,1,IF(INDEX([1]Pivot!$B$1:$AB$65000,$B1002,AW$5)="",2,0)),0)</f>
        <v>0</v>
      </c>
      <c r="AX1002" s="313">
        <f>IFERROR(IF(INDEX([1]Pivot!$BF$1:$CG$65000,$B1002,AX$5)=1,1,IF(INDEX([1]Pivot!$B$1:$AB$65000,$B1002,AX$5)="",2,0)),0)</f>
        <v>0</v>
      </c>
      <c r="AY1002" s="313">
        <f>IFERROR(IF(INDEX([1]Pivot!$BF$1:$CG$65000,$B1002,AY$5)=1,1,IF(INDEX([1]Pivot!$B$1:$AB$65000,$B1002,AY$5)="",2,0)),0)</f>
        <v>0</v>
      </c>
      <c r="AZ1002" s="313">
        <f>IFERROR(IF(INDEX([1]Pivot!$BF$1:$CG$65000,$B1002,AZ$5)=1,1,IF(INDEX([1]Pivot!$B$1:$AB$65000,$B1002,AZ$5)="",2,0)),0)</f>
        <v>0</v>
      </c>
      <c r="BA1002" s="313">
        <f>IFERROR(IF(INDEX([1]Pivot!$BF$1:$CG$65000,$B1002,BA$5)=1,1,IF(INDEX([1]Pivot!$B$1:$AB$65000,$B1002,BA$5)="",2,0)),0)</f>
        <v>0</v>
      </c>
      <c r="BB1002" s="313">
        <f>IFERROR(IF(INDEX([1]Pivot!$BF$1:$CG$65000,$B1002,BB$5)=1,1,IF(INDEX([1]Pivot!$B$1:$AB$65000,$B1002,BB$5)="",2,0)),0)</f>
        <v>0</v>
      </c>
      <c r="BC1002" s="313">
        <f>IFERROR(IF(INDEX([1]Pivot!$BF$1:$CG$65000,$B1002,BC$5)=1,1,IF(INDEX([1]Pivot!$B$1:$AB$65000,$B1002,BC$5)="",2,0)),0)</f>
        <v>0</v>
      </c>
      <c r="BD1002" s="313">
        <f>IFERROR(IF(INDEX([1]Pivot!$BF$1:$CG$65000,$B1002,BD$5)=1,1,IF(INDEX([1]Pivot!$B$1:$AB$65000,$B1002,BD$5)="",2,0)),0)</f>
        <v>0</v>
      </c>
    </row>
    <row r="1003" spans="1:56" x14ac:dyDescent="0.25">
      <c r="A1003" s="288">
        <f>'[2]Raw Milk Prices'!A1003</f>
        <v>0</v>
      </c>
      <c r="B1003" s="296" t="e">
        <f>MATCH(DATE(LEFT('[2]Raw Milk Prices'!$A1003,4),RIGHT('[2]Raw Milk Prices'!$A1003,2),1),[1]Pivot!$A$1:$A$65000,0)</f>
        <v>#VALUE!</v>
      </c>
      <c r="C1003" s="194">
        <f>IFERROR(IF(INDEX([1]Pivot!$AD$1:$BE$65000,$B1003,C$5)=1,1,IF(INDEX([1]Pivot!$B$1:$AB$65000,$B1003,C$5)="",2,0)),0)</f>
        <v>0</v>
      </c>
      <c r="D1003" s="194">
        <f>IFERROR(IF(INDEX([1]Pivot!$AD$1:$BE$65000,$B1003,D$5)=1,1,IF(INDEX([1]Pivot!$B$1:$AB$65000,$B1003,D$5)="",2,0)),0)</f>
        <v>0</v>
      </c>
      <c r="E1003" s="194">
        <f>IFERROR(IF(INDEX([1]Pivot!$AD$1:$BE$65000,$B1003,E$5)=1,1,IF(INDEX([1]Pivot!$B$1:$AB$65000,$B1003,E$5)="",2,0)),0)</f>
        <v>0</v>
      </c>
      <c r="F1003" s="194">
        <f>IFERROR(IF(INDEX([1]Pivot!$AD$1:$BE$65000,$B1003,F$5)=1,1,IF(INDEX([1]Pivot!$B$1:$AB$65000,$B1003,F$5)="",2,0)),0)</f>
        <v>0</v>
      </c>
      <c r="G1003" s="194">
        <f>IFERROR(IF(INDEX([1]Pivot!$AD$1:$BE$65000,$B1003,G$5)=1,1,IF(INDEX([1]Pivot!$B$1:$AB$65000,$B1003,G$5)="",2,0)),0)</f>
        <v>0</v>
      </c>
      <c r="H1003" s="194">
        <f>IFERROR(IF(INDEX([1]Pivot!$AD$1:$BE$65000,$B1003,H$5)=1,1,IF(INDEX([1]Pivot!$B$1:$AB$65000,$B1003,H$5)="",2,0)),0)</f>
        <v>0</v>
      </c>
      <c r="I1003" s="194">
        <f>IFERROR(IF(INDEX([1]Pivot!$AD$1:$BE$65000,$B1003,I$5)=1,1,IF(INDEX([1]Pivot!$B$1:$AB$65000,$B1003,I$5)="",2,0)),0)</f>
        <v>0</v>
      </c>
      <c r="J1003" s="194">
        <f>IFERROR(IF(INDEX([1]Pivot!$AD$1:$BE$65000,$B1003,J$5)=1,1,IF(INDEX([1]Pivot!$B$1:$AB$65000,$B1003,J$5)="",2,0)),0)</f>
        <v>0</v>
      </c>
      <c r="K1003" s="194">
        <f>IFERROR(IF(INDEX([1]Pivot!$AD$1:$BE$65000,$B1003,K$5)=1,1,IF(INDEX([1]Pivot!$B$1:$AB$65000,$B1003,K$5)="",2,0)),0)</f>
        <v>0</v>
      </c>
      <c r="L1003" s="194">
        <f>IFERROR(IF(INDEX([1]Pivot!$AD$1:$BE$65000,$B1003,L$5)=1,1,IF(INDEX([1]Pivot!$B$1:$AB$65000,$B1003,L$5)="",2,0)),0)</f>
        <v>0</v>
      </c>
      <c r="M1003" s="194">
        <f>IFERROR(IF(INDEX([1]Pivot!$AD$1:$BE$65000,$B1003,M$5)=1,1,IF(INDEX([1]Pivot!$B$1:$AB$65000,$B1003,M$5)="",2,0)),0)</f>
        <v>0</v>
      </c>
      <c r="N1003" s="194">
        <f>IFERROR(IF(INDEX([1]Pivot!$AD$1:$BE$65000,$B1003,N$5)=1,1,IF(INDEX([1]Pivot!$B$1:$AB$65000,$B1003,N$5)="",2,0)),0)</f>
        <v>0</v>
      </c>
      <c r="O1003" s="194">
        <f>IFERROR(IF(INDEX([1]Pivot!$AD$1:$BE$65000,$B1003,O$5)=1,1,IF(INDEX([1]Pivot!$B$1:$AB$65000,$B1003,O$5)="",2,0)),0)</f>
        <v>0</v>
      </c>
      <c r="P1003" s="194">
        <f>IFERROR(IF(INDEX([1]Pivot!$AD$1:$BE$65000,$B1003,P$5)=1,1,IF(INDEX([1]Pivot!$B$1:$AB$65000,$B1003,P$5)="",2,0)),0)</f>
        <v>0</v>
      </c>
      <c r="Q1003" s="194">
        <f>IFERROR(IF(INDEX([1]Pivot!$AD$1:$BE$65000,$B1003,Q$5)=1,1,IF(INDEX([1]Pivot!$B$1:$AB$65000,$B1003,Q$5)="",2,0)),0)</f>
        <v>0</v>
      </c>
      <c r="R1003" s="312"/>
      <c r="S1003" s="194">
        <f>IFERROR(IF(INDEX([1]Pivot!$AD$1:$BE$65000,$B1003,S$5)=1,1,IF(INDEX([1]Pivot!$B$1:$AB$65000,$B1003,S$5)="",2,0)),0)</f>
        <v>0</v>
      </c>
      <c r="T1003" s="194">
        <f>IFERROR(IF(INDEX([1]Pivot!$AD$1:$BE$65000,$B1003,T$5)=1,1,IF(INDEX([1]Pivot!$B$1:$AB$65000,$B1003,T$5)="",2,0)),0)</f>
        <v>0</v>
      </c>
      <c r="U1003" s="194">
        <f>IFERROR(IF(INDEX([1]Pivot!$AD$1:$BE$65000,$B1003,U$5)=1,1,IF(INDEX([1]Pivot!$B$1:$AB$65000,$B1003,U$5)="",2,0)),0)</f>
        <v>0</v>
      </c>
      <c r="V1003" s="194">
        <f>IFERROR(IF(INDEX([1]Pivot!$AD$1:$BE$65000,$B1003,V$5)=1,1,IF(INDEX([1]Pivot!$B$1:$AB$65000,$B1003,V$5)="",2,0)),0)</f>
        <v>0</v>
      </c>
      <c r="W1003" s="194">
        <f>IFERROR(IF(INDEX([1]Pivot!$AD$1:$BE$65000,$B1003,W$5)=1,1,IF(INDEX([1]Pivot!$B$1:$AB$65000,$B1003,W$5)="",2,0)),0)</f>
        <v>0</v>
      </c>
      <c r="X1003" s="194">
        <f>IFERROR(IF(INDEX([1]Pivot!$AD$1:$BE$65000,$B1003,X$5)=1,1,IF(INDEX([1]Pivot!$B$1:$AB$65000,$B1003,X$5)="",2,0)),0)</f>
        <v>0</v>
      </c>
      <c r="Y1003" s="194">
        <f>IFERROR(IF(INDEX([1]Pivot!$AD$1:$BE$65000,$B1003,Y$5)=1,1,IF(INDEX([1]Pivot!$B$1:$AB$65000,$B1003,Y$5)="",2,0)),0)</f>
        <v>0</v>
      </c>
      <c r="Z1003" s="194">
        <f>IFERROR(IF(INDEX([1]Pivot!$AD$1:$BE$65000,$B1003,Z$5)=1,1,IF(INDEX([1]Pivot!$B$1:$AB$65000,$B1003,Z$5)="",2,0)),0)</f>
        <v>0</v>
      </c>
      <c r="AA1003" s="194">
        <f>IFERROR(IF(INDEX([1]Pivot!$AD$1:$BE$65000,$B1003,AA$5)=1,1,IF(INDEX([1]Pivot!$B$1:$AB$65000,$B1003,AA$5)="",2,0)),0)</f>
        <v>0</v>
      </c>
      <c r="AB1003" s="194">
        <f>IFERROR(IF(INDEX([1]Pivot!$AD$1:$BE$65000,$B1003,AB$5)=1,1,IF(INDEX([1]Pivot!$B$1:$AB$65000,$B1003,AB$5)="",2,0)),0)</f>
        <v>0</v>
      </c>
      <c r="AC1003" s="194">
        <f>IFERROR(IF(INDEX([1]Pivot!$AD$1:$BE$65000,$B1003,AC$5)=1,1,IF(INDEX([1]Pivot!$B$1:$AB$65000,$B1003,AC$5)="",2,0)),0)</f>
        <v>0</v>
      </c>
      <c r="AD1003" s="313">
        <f>IFERROR(IF(INDEX([1]Pivot!$BF$1:$CG$65000,$B1003,AD$5)=1,1,IF(INDEX([1]Pivot!$B$1:$AB$65000,$B1003,AD$5)="",2,0)),0)</f>
        <v>0</v>
      </c>
      <c r="AE1003" s="313">
        <f>IFERROR(IF(INDEX([1]Pivot!$BF$1:$CG$65000,$B1003,AE$5)=1,1,IF(INDEX([1]Pivot!$B$1:$AB$65000,$B1003,AE$5)="",2,0)),0)</f>
        <v>0</v>
      </c>
      <c r="AF1003" s="313">
        <f>IFERROR(IF(INDEX([1]Pivot!$BF$1:$CG$65000,$B1003,AF$5)=1,1,IF(INDEX([1]Pivot!$B$1:$AB$65000,$B1003,AF$5)="",2,0)),0)</f>
        <v>0</v>
      </c>
      <c r="AG1003" s="313">
        <f>IFERROR(IF(INDEX([1]Pivot!$BF$1:$CG$65000,$B1003,AG$5)=1,1,IF(INDEX([1]Pivot!$B$1:$AB$65000,$B1003,AG$5)="",2,0)),0)</f>
        <v>0</v>
      </c>
      <c r="AH1003" s="313">
        <f>IFERROR(IF(INDEX([1]Pivot!$BF$1:$CG$65000,$B1003,AH$5)=1,1,IF(INDEX([1]Pivot!$B$1:$AB$65000,$B1003,AH$5)="",2,0)),0)</f>
        <v>0</v>
      </c>
      <c r="AI1003" s="313">
        <f>IFERROR(IF(INDEX([1]Pivot!$BF$1:$CG$65000,$B1003,AI$5)=1,1,IF(INDEX([1]Pivot!$B$1:$AB$65000,$B1003,AI$5)="",2,0)),0)</f>
        <v>0</v>
      </c>
      <c r="AJ1003" s="313">
        <f>IFERROR(IF(INDEX([1]Pivot!$BF$1:$CG$65000,$B1003,AJ$5)=1,1,IF(INDEX([1]Pivot!$B$1:$AB$65000,$B1003,AJ$5)="",2,0)),0)</f>
        <v>0</v>
      </c>
      <c r="AK1003" s="313">
        <f>IFERROR(IF(INDEX([1]Pivot!$BF$1:$CG$65000,$B1003,AK$5)=1,1,IF(INDEX([1]Pivot!$B$1:$AB$65000,$B1003,AK$5)="",2,0)),0)</f>
        <v>0</v>
      </c>
      <c r="AL1003" s="313">
        <f>IFERROR(IF(INDEX([1]Pivot!$BF$1:$CG$65000,$B1003,AL$5)=1,1,IF(INDEX([1]Pivot!$B$1:$AB$65000,$B1003,AL$5)="",2,0)),0)</f>
        <v>0</v>
      </c>
      <c r="AM1003" s="313">
        <f>IFERROR(IF(INDEX([1]Pivot!$BF$1:$CG$65000,$B1003,AM$5)=1,1,IF(INDEX([1]Pivot!$B$1:$AB$65000,$B1003,AM$5)="",2,0)),0)</f>
        <v>0</v>
      </c>
      <c r="AN1003" s="313">
        <f>IFERROR(IF(INDEX([1]Pivot!$BF$1:$CG$65000,$B1003,AN$5)=1,1,IF(INDEX([1]Pivot!$B$1:$AB$65000,$B1003,AN$5)="",2,0)),0)</f>
        <v>0</v>
      </c>
      <c r="AO1003" s="313">
        <f>IFERROR(IF(INDEX([1]Pivot!$BF$1:$CG$65000,$B1003,AO$5)=1,1,IF(INDEX([1]Pivot!$B$1:$AB$65000,$B1003,AO$5)="",2,0)),0)</f>
        <v>0</v>
      </c>
      <c r="AP1003" s="313">
        <f>IFERROR(IF(INDEX([1]Pivot!$BF$1:$CG$65000,$B1003,AP$5)=1,1,IF(INDEX([1]Pivot!$B$1:$AB$65000,$B1003,AP$5)="",2,0)),0)</f>
        <v>0</v>
      </c>
      <c r="AQ1003" s="313">
        <f>IFERROR(IF(INDEX([1]Pivot!$BF$1:$CG$65000,$B1003,AQ$5)=1,1,IF(INDEX([1]Pivot!$B$1:$AB$65000,$B1003,AQ$5)="",2,0)),0)</f>
        <v>0</v>
      </c>
      <c r="AR1003" s="313">
        <f>IFERROR(IF(INDEX([1]Pivot!$BF$1:$CG$65000,$B1003,AR$5)=1,1,IF(INDEX([1]Pivot!$B$1:$AB$65000,$B1003,AR$5)="",2,0)),0)</f>
        <v>0</v>
      </c>
      <c r="AS1003" s="312"/>
      <c r="AT1003" s="313">
        <f>IFERROR(IF(INDEX([1]Pivot!$BF$1:$CG$65000,$B1003,AT$5)=1,1,IF(INDEX([1]Pivot!$B$1:$AB$65000,$B1003,AT$5)="",2,0)),0)</f>
        <v>0</v>
      </c>
      <c r="AU1003" s="313">
        <f>IFERROR(IF(INDEX([1]Pivot!$BF$1:$CG$65000,$B1003,AU$5)=1,1,IF(INDEX([1]Pivot!$B$1:$AB$65000,$B1003,AU$5)="",2,0)),0)</f>
        <v>0</v>
      </c>
      <c r="AV1003" s="313">
        <f>IFERROR(IF(INDEX([1]Pivot!$BF$1:$CG$65000,$B1003,AV$5)=1,1,IF(INDEX([1]Pivot!$B$1:$AB$65000,$B1003,AV$5)="",2,0)),0)</f>
        <v>0</v>
      </c>
      <c r="AW1003" s="313">
        <f>IFERROR(IF(INDEX([1]Pivot!$BF$1:$CG$65000,$B1003,AW$5)=1,1,IF(INDEX([1]Pivot!$B$1:$AB$65000,$B1003,AW$5)="",2,0)),0)</f>
        <v>0</v>
      </c>
      <c r="AX1003" s="313">
        <f>IFERROR(IF(INDEX([1]Pivot!$BF$1:$CG$65000,$B1003,AX$5)=1,1,IF(INDEX([1]Pivot!$B$1:$AB$65000,$B1003,AX$5)="",2,0)),0)</f>
        <v>0</v>
      </c>
      <c r="AY1003" s="313">
        <f>IFERROR(IF(INDEX([1]Pivot!$BF$1:$CG$65000,$B1003,AY$5)=1,1,IF(INDEX([1]Pivot!$B$1:$AB$65000,$B1003,AY$5)="",2,0)),0)</f>
        <v>0</v>
      </c>
      <c r="AZ1003" s="313">
        <f>IFERROR(IF(INDEX([1]Pivot!$BF$1:$CG$65000,$B1003,AZ$5)=1,1,IF(INDEX([1]Pivot!$B$1:$AB$65000,$B1003,AZ$5)="",2,0)),0)</f>
        <v>0</v>
      </c>
      <c r="BA1003" s="313">
        <f>IFERROR(IF(INDEX([1]Pivot!$BF$1:$CG$65000,$B1003,BA$5)=1,1,IF(INDEX([1]Pivot!$B$1:$AB$65000,$B1003,BA$5)="",2,0)),0)</f>
        <v>0</v>
      </c>
      <c r="BB1003" s="313">
        <f>IFERROR(IF(INDEX([1]Pivot!$BF$1:$CG$65000,$B1003,BB$5)=1,1,IF(INDEX([1]Pivot!$B$1:$AB$65000,$B1003,BB$5)="",2,0)),0)</f>
        <v>0</v>
      </c>
      <c r="BC1003" s="313">
        <f>IFERROR(IF(INDEX([1]Pivot!$BF$1:$CG$65000,$B1003,BC$5)=1,1,IF(INDEX([1]Pivot!$B$1:$AB$65000,$B1003,BC$5)="",2,0)),0)</f>
        <v>0</v>
      </c>
      <c r="BD1003" s="313">
        <f>IFERROR(IF(INDEX([1]Pivot!$BF$1:$CG$65000,$B1003,BD$5)=1,1,IF(INDEX([1]Pivot!$B$1:$AB$65000,$B1003,BD$5)="",2,0)),0)</f>
        <v>0</v>
      </c>
    </row>
    <row r="1004" spans="1:56" x14ac:dyDescent="0.25">
      <c r="A1004" s="288">
        <f>'[2]Raw Milk Prices'!A1004</f>
        <v>0</v>
      </c>
      <c r="B1004" s="296" t="e">
        <f>MATCH(DATE(LEFT('[2]Raw Milk Prices'!$A1004,4),RIGHT('[2]Raw Milk Prices'!$A1004,2),1),[1]Pivot!$A$1:$A$65000,0)</f>
        <v>#VALUE!</v>
      </c>
      <c r="C1004" s="194">
        <f>IFERROR(IF(INDEX([1]Pivot!$AD$1:$BE$65000,$B1004,C$5)=1,1,IF(INDEX([1]Pivot!$B$1:$AB$65000,$B1004,C$5)="",2,0)),0)</f>
        <v>0</v>
      </c>
      <c r="D1004" s="194">
        <f>IFERROR(IF(INDEX([1]Pivot!$AD$1:$BE$65000,$B1004,D$5)=1,1,IF(INDEX([1]Pivot!$B$1:$AB$65000,$B1004,D$5)="",2,0)),0)</f>
        <v>0</v>
      </c>
      <c r="E1004" s="194">
        <f>IFERROR(IF(INDEX([1]Pivot!$AD$1:$BE$65000,$B1004,E$5)=1,1,IF(INDEX([1]Pivot!$B$1:$AB$65000,$B1004,E$5)="",2,0)),0)</f>
        <v>0</v>
      </c>
      <c r="F1004" s="194">
        <f>IFERROR(IF(INDEX([1]Pivot!$AD$1:$BE$65000,$B1004,F$5)=1,1,IF(INDEX([1]Pivot!$B$1:$AB$65000,$B1004,F$5)="",2,0)),0)</f>
        <v>0</v>
      </c>
      <c r="G1004" s="194">
        <f>IFERROR(IF(INDEX([1]Pivot!$AD$1:$BE$65000,$B1004,G$5)=1,1,IF(INDEX([1]Pivot!$B$1:$AB$65000,$B1004,G$5)="",2,0)),0)</f>
        <v>0</v>
      </c>
      <c r="H1004" s="194">
        <f>IFERROR(IF(INDEX([1]Pivot!$AD$1:$BE$65000,$B1004,H$5)=1,1,IF(INDEX([1]Pivot!$B$1:$AB$65000,$B1004,H$5)="",2,0)),0)</f>
        <v>0</v>
      </c>
      <c r="I1004" s="194">
        <f>IFERROR(IF(INDEX([1]Pivot!$AD$1:$BE$65000,$B1004,I$5)=1,1,IF(INDEX([1]Pivot!$B$1:$AB$65000,$B1004,I$5)="",2,0)),0)</f>
        <v>0</v>
      </c>
      <c r="J1004" s="194">
        <f>IFERROR(IF(INDEX([1]Pivot!$AD$1:$BE$65000,$B1004,J$5)=1,1,IF(INDEX([1]Pivot!$B$1:$AB$65000,$B1004,J$5)="",2,0)),0)</f>
        <v>0</v>
      </c>
      <c r="K1004" s="194">
        <f>IFERROR(IF(INDEX([1]Pivot!$AD$1:$BE$65000,$B1004,K$5)=1,1,IF(INDEX([1]Pivot!$B$1:$AB$65000,$B1004,K$5)="",2,0)),0)</f>
        <v>0</v>
      </c>
      <c r="L1004" s="194">
        <f>IFERROR(IF(INDEX([1]Pivot!$AD$1:$BE$65000,$B1004,L$5)=1,1,IF(INDEX([1]Pivot!$B$1:$AB$65000,$B1004,L$5)="",2,0)),0)</f>
        <v>0</v>
      </c>
      <c r="M1004" s="194">
        <f>IFERROR(IF(INDEX([1]Pivot!$AD$1:$BE$65000,$B1004,M$5)=1,1,IF(INDEX([1]Pivot!$B$1:$AB$65000,$B1004,M$5)="",2,0)),0)</f>
        <v>0</v>
      </c>
      <c r="N1004" s="194">
        <f>IFERROR(IF(INDEX([1]Pivot!$AD$1:$BE$65000,$B1004,N$5)=1,1,IF(INDEX([1]Pivot!$B$1:$AB$65000,$B1004,N$5)="",2,0)),0)</f>
        <v>0</v>
      </c>
      <c r="O1004" s="194">
        <f>IFERROR(IF(INDEX([1]Pivot!$AD$1:$BE$65000,$B1004,O$5)=1,1,IF(INDEX([1]Pivot!$B$1:$AB$65000,$B1004,O$5)="",2,0)),0)</f>
        <v>0</v>
      </c>
      <c r="P1004" s="194">
        <f>IFERROR(IF(INDEX([1]Pivot!$AD$1:$BE$65000,$B1004,P$5)=1,1,IF(INDEX([1]Pivot!$B$1:$AB$65000,$B1004,P$5)="",2,0)),0)</f>
        <v>0</v>
      </c>
      <c r="Q1004" s="194">
        <f>IFERROR(IF(INDEX([1]Pivot!$AD$1:$BE$65000,$B1004,Q$5)=1,1,IF(INDEX([1]Pivot!$B$1:$AB$65000,$B1004,Q$5)="",2,0)),0)</f>
        <v>0</v>
      </c>
      <c r="R1004" s="312"/>
      <c r="S1004" s="194">
        <f>IFERROR(IF(INDEX([1]Pivot!$AD$1:$BE$65000,$B1004,S$5)=1,1,IF(INDEX([1]Pivot!$B$1:$AB$65000,$B1004,S$5)="",2,0)),0)</f>
        <v>0</v>
      </c>
      <c r="T1004" s="194">
        <f>IFERROR(IF(INDEX([1]Pivot!$AD$1:$BE$65000,$B1004,T$5)=1,1,IF(INDEX([1]Pivot!$B$1:$AB$65000,$B1004,T$5)="",2,0)),0)</f>
        <v>0</v>
      </c>
      <c r="U1004" s="194">
        <f>IFERROR(IF(INDEX([1]Pivot!$AD$1:$BE$65000,$B1004,U$5)=1,1,IF(INDEX([1]Pivot!$B$1:$AB$65000,$B1004,U$5)="",2,0)),0)</f>
        <v>0</v>
      </c>
      <c r="V1004" s="194">
        <f>IFERROR(IF(INDEX([1]Pivot!$AD$1:$BE$65000,$B1004,V$5)=1,1,IF(INDEX([1]Pivot!$B$1:$AB$65000,$B1004,V$5)="",2,0)),0)</f>
        <v>0</v>
      </c>
      <c r="W1004" s="194">
        <f>IFERROR(IF(INDEX([1]Pivot!$AD$1:$BE$65000,$B1004,W$5)=1,1,IF(INDEX([1]Pivot!$B$1:$AB$65000,$B1004,W$5)="",2,0)),0)</f>
        <v>0</v>
      </c>
      <c r="X1004" s="194">
        <f>IFERROR(IF(INDEX([1]Pivot!$AD$1:$BE$65000,$B1004,X$5)=1,1,IF(INDEX([1]Pivot!$B$1:$AB$65000,$B1004,X$5)="",2,0)),0)</f>
        <v>0</v>
      </c>
      <c r="Y1004" s="194">
        <f>IFERROR(IF(INDEX([1]Pivot!$AD$1:$BE$65000,$B1004,Y$5)=1,1,IF(INDEX([1]Pivot!$B$1:$AB$65000,$B1004,Y$5)="",2,0)),0)</f>
        <v>0</v>
      </c>
      <c r="Z1004" s="194">
        <f>IFERROR(IF(INDEX([1]Pivot!$AD$1:$BE$65000,$B1004,Z$5)=1,1,IF(INDEX([1]Pivot!$B$1:$AB$65000,$B1004,Z$5)="",2,0)),0)</f>
        <v>0</v>
      </c>
      <c r="AA1004" s="194">
        <f>IFERROR(IF(INDEX([1]Pivot!$AD$1:$BE$65000,$B1004,AA$5)=1,1,IF(INDEX([1]Pivot!$B$1:$AB$65000,$B1004,AA$5)="",2,0)),0)</f>
        <v>0</v>
      </c>
      <c r="AB1004" s="194">
        <f>IFERROR(IF(INDEX([1]Pivot!$AD$1:$BE$65000,$B1004,AB$5)=1,1,IF(INDEX([1]Pivot!$B$1:$AB$65000,$B1004,AB$5)="",2,0)),0)</f>
        <v>0</v>
      </c>
      <c r="AC1004" s="194">
        <f>IFERROR(IF(INDEX([1]Pivot!$AD$1:$BE$65000,$B1004,AC$5)=1,1,IF(INDEX([1]Pivot!$B$1:$AB$65000,$B1004,AC$5)="",2,0)),0)</f>
        <v>0</v>
      </c>
      <c r="AD1004" s="313">
        <f>IFERROR(IF(INDEX([1]Pivot!$BF$1:$CG$65000,$B1004,AD$5)=1,1,IF(INDEX([1]Pivot!$B$1:$AB$65000,$B1004,AD$5)="",2,0)),0)</f>
        <v>0</v>
      </c>
      <c r="AE1004" s="313">
        <f>IFERROR(IF(INDEX([1]Pivot!$BF$1:$CG$65000,$B1004,AE$5)=1,1,IF(INDEX([1]Pivot!$B$1:$AB$65000,$B1004,AE$5)="",2,0)),0)</f>
        <v>0</v>
      </c>
      <c r="AF1004" s="313">
        <f>IFERROR(IF(INDEX([1]Pivot!$BF$1:$CG$65000,$B1004,AF$5)=1,1,IF(INDEX([1]Pivot!$B$1:$AB$65000,$B1004,AF$5)="",2,0)),0)</f>
        <v>0</v>
      </c>
      <c r="AG1004" s="313">
        <f>IFERROR(IF(INDEX([1]Pivot!$BF$1:$CG$65000,$B1004,AG$5)=1,1,IF(INDEX([1]Pivot!$B$1:$AB$65000,$B1004,AG$5)="",2,0)),0)</f>
        <v>0</v>
      </c>
      <c r="AH1004" s="313">
        <f>IFERROR(IF(INDEX([1]Pivot!$BF$1:$CG$65000,$B1004,AH$5)=1,1,IF(INDEX([1]Pivot!$B$1:$AB$65000,$B1004,AH$5)="",2,0)),0)</f>
        <v>0</v>
      </c>
      <c r="AI1004" s="313">
        <f>IFERROR(IF(INDEX([1]Pivot!$BF$1:$CG$65000,$B1004,AI$5)=1,1,IF(INDEX([1]Pivot!$B$1:$AB$65000,$B1004,AI$5)="",2,0)),0)</f>
        <v>0</v>
      </c>
      <c r="AJ1004" s="313">
        <f>IFERROR(IF(INDEX([1]Pivot!$BF$1:$CG$65000,$B1004,AJ$5)=1,1,IF(INDEX([1]Pivot!$B$1:$AB$65000,$B1004,AJ$5)="",2,0)),0)</f>
        <v>0</v>
      </c>
      <c r="AK1004" s="313">
        <f>IFERROR(IF(INDEX([1]Pivot!$BF$1:$CG$65000,$B1004,AK$5)=1,1,IF(INDEX([1]Pivot!$B$1:$AB$65000,$B1004,AK$5)="",2,0)),0)</f>
        <v>0</v>
      </c>
      <c r="AL1004" s="313">
        <f>IFERROR(IF(INDEX([1]Pivot!$BF$1:$CG$65000,$B1004,AL$5)=1,1,IF(INDEX([1]Pivot!$B$1:$AB$65000,$B1004,AL$5)="",2,0)),0)</f>
        <v>0</v>
      </c>
      <c r="AM1004" s="313">
        <f>IFERROR(IF(INDEX([1]Pivot!$BF$1:$CG$65000,$B1004,AM$5)=1,1,IF(INDEX([1]Pivot!$B$1:$AB$65000,$B1004,AM$5)="",2,0)),0)</f>
        <v>0</v>
      </c>
      <c r="AN1004" s="313">
        <f>IFERROR(IF(INDEX([1]Pivot!$BF$1:$CG$65000,$B1004,AN$5)=1,1,IF(INDEX([1]Pivot!$B$1:$AB$65000,$B1004,AN$5)="",2,0)),0)</f>
        <v>0</v>
      </c>
      <c r="AO1004" s="313">
        <f>IFERROR(IF(INDEX([1]Pivot!$BF$1:$CG$65000,$B1004,AO$5)=1,1,IF(INDEX([1]Pivot!$B$1:$AB$65000,$B1004,AO$5)="",2,0)),0)</f>
        <v>0</v>
      </c>
      <c r="AP1004" s="313">
        <f>IFERROR(IF(INDEX([1]Pivot!$BF$1:$CG$65000,$B1004,AP$5)=1,1,IF(INDEX([1]Pivot!$B$1:$AB$65000,$B1004,AP$5)="",2,0)),0)</f>
        <v>0</v>
      </c>
      <c r="AQ1004" s="313">
        <f>IFERROR(IF(INDEX([1]Pivot!$BF$1:$CG$65000,$B1004,AQ$5)=1,1,IF(INDEX([1]Pivot!$B$1:$AB$65000,$B1004,AQ$5)="",2,0)),0)</f>
        <v>0</v>
      </c>
      <c r="AR1004" s="313">
        <f>IFERROR(IF(INDEX([1]Pivot!$BF$1:$CG$65000,$B1004,AR$5)=1,1,IF(INDEX([1]Pivot!$B$1:$AB$65000,$B1004,AR$5)="",2,0)),0)</f>
        <v>0</v>
      </c>
      <c r="AS1004" s="312"/>
      <c r="AT1004" s="313">
        <f>IFERROR(IF(INDEX([1]Pivot!$BF$1:$CG$65000,$B1004,AT$5)=1,1,IF(INDEX([1]Pivot!$B$1:$AB$65000,$B1004,AT$5)="",2,0)),0)</f>
        <v>0</v>
      </c>
      <c r="AU1004" s="313">
        <f>IFERROR(IF(INDEX([1]Pivot!$BF$1:$CG$65000,$B1004,AU$5)=1,1,IF(INDEX([1]Pivot!$B$1:$AB$65000,$B1004,AU$5)="",2,0)),0)</f>
        <v>0</v>
      </c>
      <c r="AV1004" s="313">
        <f>IFERROR(IF(INDEX([1]Pivot!$BF$1:$CG$65000,$B1004,AV$5)=1,1,IF(INDEX([1]Pivot!$B$1:$AB$65000,$B1004,AV$5)="",2,0)),0)</f>
        <v>0</v>
      </c>
      <c r="AW1004" s="313">
        <f>IFERROR(IF(INDEX([1]Pivot!$BF$1:$CG$65000,$B1004,AW$5)=1,1,IF(INDEX([1]Pivot!$B$1:$AB$65000,$B1004,AW$5)="",2,0)),0)</f>
        <v>0</v>
      </c>
      <c r="AX1004" s="313">
        <f>IFERROR(IF(INDEX([1]Pivot!$BF$1:$CG$65000,$B1004,AX$5)=1,1,IF(INDEX([1]Pivot!$B$1:$AB$65000,$B1004,AX$5)="",2,0)),0)</f>
        <v>0</v>
      </c>
      <c r="AY1004" s="313">
        <f>IFERROR(IF(INDEX([1]Pivot!$BF$1:$CG$65000,$B1004,AY$5)=1,1,IF(INDEX([1]Pivot!$B$1:$AB$65000,$B1004,AY$5)="",2,0)),0)</f>
        <v>0</v>
      </c>
      <c r="AZ1004" s="313">
        <f>IFERROR(IF(INDEX([1]Pivot!$BF$1:$CG$65000,$B1004,AZ$5)=1,1,IF(INDEX([1]Pivot!$B$1:$AB$65000,$B1004,AZ$5)="",2,0)),0)</f>
        <v>0</v>
      </c>
      <c r="BA1004" s="313">
        <f>IFERROR(IF(INDEX([1]Pivot!$BF$1:$CG$65000,$B1004,BA$5)=1,1,IF(INDEX([1]Pivot!$B$1:$AB$65000,$B1004,BA$5)="",2,0)),0)</f>
        <v>0</v>
      </c>
      <c r="BB1004" s="313">
        <f>IFERROR(IF(INDEX([1]Pivot!$BF$1:$CG$65000,$B1004,BB$5)=1,1,IF(INDEX([1]Pivot!$B$1:$AB$65000,$B1004,BB$5)="",2,0)),0)</f>
        <v>0</v>
      </c>
      <c r="BC1004" s="313">
        <f>IFERROR(IF(INDEX([1]Pivot!$BF$1:$CG$65000,$B1004,BC$5)=1,1,IF(INDEX([1]Pivot!$B$1:$AB$65000,$B1004,BC$5)="",2,0)),0)</f>
        <v>0</v>
      </c>
      <c r="BD1004" s="313">
        <f>IFERROR(IF(INDEX([1]Pivot!$BF$1:$CG$65000,$B1004,BD$5)=1,1,IF(INDEX([1]Pivot!$B$1:$AB$65000,$B1004,BD$5)="",2,0)),0)</f>
        <v>0</v>
      </c>
    </row>
    <row r="1005" spans="1:56" x14ac:dyDescent="0.25">
      <c r="A1005" s="288">
        <f>'[2]Raw Milk Prices'!A1005</f>
        <v>0</v>
      </c>
      <c r="B1005" s="296" t="e">
        <f>MATCH(DATE(LEFT('[2]Raw Milk Prices'!$A1005,4),RIGHT('[2]Raw Milk Prices'!$A1005,2),1),[1]Pivot!$A$1:$A$65000,0)</f>
        <v>#VALUE!</v>
      </c>
      <c r="C1005" s="194">
        <f>IFERROR(IF(INDEX([1]Pivot!$AD$1:$BE$65000,$B1005,C$5)=1,1,IF(INDEX([1]Pivot!$B$1:$AB$65000,$B1005,C$5)="",2,0)),0)</f>
        <v>0</v>
      </c>
      <c r="D1005" s="194">
        <f>IFERROR(IF(INDEX([1]Pivot!$AD$1:$BE$65000,$B1005,D$5)=1,1,IF(INDEX([1]Pivot!$B$1:$AB$65000,$B1005,D$5)="",2,0)),0)</f>
        <v>0</v>
      </c>
      <c r="E1005" s="194">
        <f>IFERROR(IF(INDEX([1]Pivot!$AD$1:$BE$65000,$B1005,E$5)=1,1,IF(INDEX([1]Pivot!$B$1:$AB$65000,$B1005,E$5)="",2,0)),0)</f>
        <v>0</v>
      </c>
      <c r="F1005" s="194">
        <f>IFERROR(IF(INDEX([1]Pivot!$AD$1:$BE$65000,$B1005,F$5)=1,1,IF(INDEX([1]Pivot!$B$1:$AB$65000,$B1005,F$5)="",2,0)),0)</f>
        <v>0</v>
      </c>
      <c r="G1005" s="194">
        <f>IFERROR(IF(INDEX([1]Pivot!$AD$1:$BE$65000,$B1005,G$5)=1,1,IF(INDEX([1]Pivot!$B$1:$AB$65000,$B1005,G$5)="",2,0)),0)</f>
        <v>0</v>
      </c>
      <c r="H1005" s="194">
        <f>IFERROR(IF(INDEX([1]Pivot!$AD$1:$BE$65000,$B1005,H$5)=1,1,IF(INDEX([1]Pivot!$B$1:$AB$65000,$B1005,H$5)="",2,0)),0)</f>
        <v>0</v>
      </c>
      <c r="I1005" s="194">
        <f>IFERROR(IF(INDEX([1]Pivot!$AD$1:$BE$65000,$B1005,I$5)=1,1,IF(INDEX([1]Pivot!$B$1:$AB$65000,$B1005,I$5)="",2,0)),0)</f>
        <v>0</v>
      </c>
      <c r="J1005" s="194">
        <f>IFERROR(IF(INDEX([1]Pivot!$AD$1:$BE$65000,$B1005,J$5)=1,1,IF(INDEX([1]Pivot!$B$1:$AB$65000,$B1005,J$5)="",2,0)),0)</f>
        <v>0</v>
      </c>
      <c r="K1005" s="194">
        <f>IFERROR(IF(INDEX([1]Pivot!$AD$1:$BE$65000,$B1005,K$5)=1,1,IF(INDEX([1]Pivot!$B$1:$AB$65000,$B1005,K$5)="",2,0)),0)</f>
        <v>0</v>
      </c>
      <c r="L1005" s="194">
        <f>IFERROR(IF(INDEX([1]Pivot!$AD$1:$BE$65000,$B1005,L$5)=1,1,IF(INDEX([1]Pivot!$B$1:$AB$65000,$B1005,L$5)="",2,0)),0)</f>
        <v>0</v>
      </c>
      <c r="M1005" s="194">
        <f>IFERROR(IF(INDEX([1]Pivot!$AD$1:$BE$65000,$B1005,M$5)=1,1,IF(INDEX([1]Pivot!$B$1:$AB$65000,$B1005,M$5)="",2,0)),0)</f>
        <v>0</v>
      </c>
      <c r="N1005" s="194">
        <f>IFERROR(IF(INDEX([1]Pivot!$AD$1:$BE$65000,$B1005,N$5)=1,1,IF(INDEX([1]Pivot!$B$1:$AB$65000,$B1005,N$5)="",2,0)),0)</f>
        <v>0</v>
      </c>
      <c r="O1005" s="194">
        <f>IFERROR(IF(INDEX([1]Pivot!$AD$1:$BE$65000,$B1005,O$5)=1,1,IF(INDEX([1]Pivot!$B$1:$AB$65000,$B1005,O$5)="",2,0)),0)</f>
        <v>0</v>
      </c>
      <c r="P1005" s="194">
        <f>IFERROR(IF(INDEX([1]Pivot!$AD$1:$BE$65000,$B1005,P$5)=1,1,IF(INDEX([1]Pivot!$B$1:$AB$65000,$B1005,P$5)="",2,0)),0)</f>
        <v>0</v>
      </c>
      <c r="Q1005" s="194">
        <f>IFERROR(IF(INDEX([1]Pivot!$AD$1:$BE$65000,$B1005,Q$5)=1,1,IF(INDEX([1]Pivot!$B$1:$AB$65000,$B1005,Q$5)="",2,0)),0)</f>
        <v>0</v>
      </c>
      <c r="R1005" s="312"/>
      <c r="S1005" s="194">
        <f>IFERROR(IF(INDEX([1]Pivot!$AD$1:$BE$65000,$B1005,S$5)=1,1,IF(INDEX([1]Pivot!$B$1:$AB$65000,$B1005,S$5)="",2,0)),0)</f>
        <v>0</v>
      </c>
      <c r="T1005" s="194">
        <f>IFERROR(IF(INDEX([1]Pivot!$AD$1:$BE$65000,$B1005,T$5)=1,1,IF(INDEX([1]Pivot!$B$1:$AB$65000,$B1005,T$5)="",2,0)),0)</f>
        <v>0</v>
      </c>
      <c r="U1005" s="194">
        <f>IFERROR(IF(INDEX([1]Pivot!$AD$1:$BE$65000,$B1005,U$5)=1,1,IF(INDEX([1]Pivot!$B$1:$AB$65000,$B1005,U$5)="",2,0)),0)</f>
        <v>0</v>
      </c>
      <c r="V1005" s="194">
        <f>IFERROR(IF(INDEX([1]Pivot!$AD$1:$BE$65000,$B1005,V$5)=1,1,IF(INDEX([1]Pivot!$B$1:$AB$65000,$B1005,V$5)="",2,0)),0)</f>
        <v>0</v>
      </c>
      <c r="W1005" s="194">
        <f>IFERROR(IF(INDEX([1]Pivot!$AD$1:$BE$65000,$B1005,W$5)=1,1,IF(INDEX([1]Pivot!$B$1:$AB$65000,$B1005,W$5)="",2,0)),0)</f>
        <v>0</v>
      </c>
      <c r="X1005" s="194">
        <f>IFERROR(IF(INDEX([1]Pivot!$AD$1:$BE$65000,$B1005,X$5)=1,1,IF(INDEX([1]Pivot!$B$1:$AB$65000,$B1005,X$5)="",2,0)),0)</f>
        <v>0</v>
      </c>
      <c r="Y1005" s="194">
        <f>IFERROR(IF(INDEX([1]Pivot!$AD$1:$BE$65000,$B1005,Y$5)=1,1,IF(INDEX([1]Pivot!$B$1:$AB$65000,$B1005,Y$5)="",2,0)),0)</f>
        <v>0</v>
      </c>
      <c r="Z1005" s="194">
        <f>IFERROR(IF(INDEX([1]Pivot!$AD$1:$BE$65000,$B1005,Z$5)=1,1,IF(INDEX([1]Pivot!$B$1:$AB$65000,$B1005,Z$5)="",2,0)),0)</f>
        <v>0</v>
      </c>
      <c r="AA1005" s="194">
        <f>IFERROR(IF(INDEX([1]Pivot!$AD$1:$BE$65000,$B1005,AA$5)=1,1,IF(INDEX([1]Pivot!$B$1:$AB$65000,$B1005,AA$5)="",2,0)),0)</f>
        <v>0</v>
      </c>
      <c r="AB1005" s="194">
        <f>IFERROR(IF(INDEX([1]Pivot!$AD$1:$BE$65000,$B1005,AB$5)=1,1,IF(INDEX([1]Pivot!$B$1:$AB$65000,$B1005,AB$5)="",2,0)),0)</f>
        <v>0</v>
      </c>
      <c r="AC1005" s="194">
        <f>IFERROR(IF(INDEX([1]Pivot!$AD$1:$BE$65000,$B1005,AC$5)=1,1,IF(INDEX([1]Pivot!$B$1:$AB$65000,$B1005,AC$5)="",2,0)),0)</f>
        <v>0</v>
      </c>
      <c r="AD1005" s="313">
        <f>IFERROR(IF(INDEX([1]Pivot!$BF$1:$CG$65000,$B1005,AD$5)=1,1,IF(INDEX([1]Pivot!$B$1:$AB$65000,$B1005,AD$5)="",2,0)),0)</f>
        <v>0</v>
      </c>
      <c r="AE1005" s="313">
        <f>IFERROR(IF(INDEX([1]Pivot!$BF$1:$CG$65000,$B1005,AE$5)=1,1,IF(INDEX([1]Pivot!$B$1:$AB$65000,$B1005,AE$5)="",2,0)),0)</f>
        <v>0</v>
      </c>
      <c r="AF1005" s="313">
        <f>IFERROR(IF(INDEX([1]Pivot!$BF$1:$CG$65000,$B1005,AF$5)=1,1,IF(INDEX([1]Pivot!$B$1:$AB$65000,$B1005,AF$5)="",2,0)),0)</f>
        <v>0</v>
      </c>
      <c r="AG1005" s="313">
        <f>IFERROR(IF(INDEX([1]Pivot!$BF$1:$CG$65000,$B1005,AG$5)=1,1,IF(INDEX([1]Pivot!$B$1:$AB$65000,$B1005,AG$5)="",2,0)),0)</f>
        <v>0</v>
      </c>
      <c r="AH1005" s="313">
        <f>IFERROR(IF(INDEX([1]Pivot!$BF$1:$CG$65000,$B1005,AH$5)=1,1,IF(INDEX([1]Pivot!$B$1:$AB$65000,$B1005,AH$5)="",2,0)),0)</f>
        <v>0</v>
      </c>
      <c r="AI1005" s="313">
        <f>IFERROR(IF(INDEX([1]Pivot!$BF$1:$CG$65000,$B1005,AI$5)=1,1,IF(INDEX([1]Pivot!$B$1:$AB$65000,$B1005,AI$5)="",2,0)),0)</f>
        <v>0</v>
      </c>
      <c r="AJ1005" s="313">
        <f>IFERROR(IF(INDEX([1]Pivot!$BF$1:$CG$65000,$B1005,AJ$5)=1,1,IF(INDEX([1]Pivot!$B$1:$AB$65000,$B1005,AJ$5)="",2,0)),0)</f>
        <v>0</v>
      </c>
      <c r="AK1005" s="313">
        <f>IFERROR(IF(INDEX([1]Pivot!$BF$1:$CG$65000,$B1005,AK$5)=1,1,IF(INDEX([1]Pivot!$B$1:$AB$65000,$B1005,AK$5)="",2,0)),0)</f>
        <v>0</v>
      </c>
      <c r="AL1005" s="313">
        <f>IFERROR(IF(INDEX([1]Pivot!$BF$1:$CG$65000,$B1005,AL$5)=1,1,IF(INDEX([1]Pivot!$B$1:$AB$65000,$B1005,AL$5)="",2,0)),0)</f>
        <v>0</v>
      </c>
      <c r="AM1005" s="313">
        <f>IFERROR(IF(INDEX([1]Pivot!$BF$1:$CG$65000,$B1005,AM$5)=1,1,IF(INDEX([1]Pivot!$B$1:$AB$65000,$B1005,AM$5)="",2,0)),0)</f>
        <v>0</v>
      </c>
      <c r="AN1005" s="313">
        <f>IFERROR(IF(INDEX([1]Pivot!$BF$1:$CG$65000,$B1005,AN$5)=1,1,IF(INDEX([1]Pivot!$B$1:$AB$65000,$B1005,AN$5)="",2,0)),0)</f>
        <v>0</v>
      </c>
      <c r="AO1005" s="313">
        <f>IFERROR(IF(INDEX([1]Pivot!$BF$1:$CG$65000,$B1005,AO$5)=1,1,IF(INDEX([1]Pivot!$B$1:$AB$65000,$B1005,AO$5)="",2,0)),0)</f>
        <v>0</v>
      </c>
      <c r="AP1005" s="313">
        <f>IFERROR(IF(INDEX([1]Pivot!$BF$1:$CG$65000,$B1005,AP$5)=1,1,IF(INDEX([1]Pivot!$B$1:$AB$65000,$B1005,AP$5)="",2,0)),0)</f>
        <v>0</v>
      </c>
      <c r="AQ1005" s="313">
        <f>IFERROR(IF(INDEX([1]Pivot!$BF$1:$CG$65000,$B1005,AQ$5)=1,1,IF(INDEX([1]Pivot!$B$1:$AB$65000,$B1005,AQ$5)="",2,0)),0)</f>
        <v>0</v>
      </c>
      <c r="AR1005" s="313">
        <f>IFERROR(IF(INDEX([1]Pivot!$BF$1:$CG$65000,$B1005,AR$5)=1,1,IF(INDEX([1]Pivot!$B$1:$AB$65000,$B1005,AR$5)="",2,0)),0)</f>
        <v>0</v>
      </c>
      <c r="AS1005" s="312"/>
      <c r="AT1005" s="313">
        <f>IFERROR(IF(INDEX([1]Pivot!$BF$1:$CG$65000,$B1005,AT$5)=1,1,IF(INDEX([1]Pivot!$B$1:$AB$65000,$B1005,AT$5)="",2,0)),0)</f>
        <v>0</v>
      </c>
      <c r="AU1005" s="313">
        <f>IFERROR(IF(INDEX([1]Pivot!$BF$1:$CG$65000,$B1005,AU$5)=1,1,IF(INDEX([1]Pivot!$B$1:$AB$65000,$B1005,AU$5)="",2,0)),0)</f>
        <v>0</v>
      </c>
      <c r="AV1005" s="313">
        <f>IFERROR(IF(INDEX([1]Pivot!$BF$1:$CG$65000,$B1005,AV$5)=1,1,IF(INDEX([1]Pivot!$B$1:$AB$65000,$B1005,AV$5)="",2,0)),0)</f>
        <v>0</v>
      </c>
      <c r="AW1005" s="313">
        <f>IFERROR(IF(INDEX([1]Pivot!$BF$1:$CG$65000,$B1005,AW$5)=1,1,IF(INDEX([1]Pivot!$B$1:$AB$65000,$B1005,AW$5)="",2,0)),0)</f>
        <v>0</v>
      </c>
      <c r="AX1005" s="313">
        <f>IFERROR(IF(INDEX([1]Pivot!$BF$1:$CG$65000,$B1005,AX$5)=1,1,IF(INDEX([1]Pivot!$B$1:$AB$65000,$B1005,AX$5)="",2,0)),0)</f>
        <v>0</v>
      </c>
      <c r="AY1005" s="313">
        <f>IFERROR(IF(INDEX([1]Pivot!$BF$1:$CG$65000,$B1005,AY$5)=1,1,IF(INDEX([1]Pivot!$B$1:$AB$65000,$B1005,AY$5)="",2,0)),0)</f>
        <v>0</v>
      </c>
      <c r="AZ1005" s="313">
        <f>IFERROR(IF(INDEX([1]Pivot!$BF$1:$CG$65000,$B1005,AZ$5)=1,1,IF(INDEX([1]Pivot!$B$1:$AB$65000,$B1005,AZ$5)="",2,0)),0)</f>
        <v>0</v>
      </c>
      <c r="BA1005" s="313">
        <f>IFERROR(IF(INDEX([1]Pivot!$BF$1:$CG$65000,$B1005,BA$5)=1,1,IF(INDEX([1]Pivot!$B$1:$AB$65000,$B1005,BA$5)="",2,0)),0)</f>
        <v>0</v>
      </c>
      <c r="BB1005" s="313">
        <f>IFERROR(IF(INDEX([1]Pivot!$BF$1:$CG$65000,$B1005,BB$5)=1,1,IF(INDEX([1]Pivot!$B$1:$AB$65000,$B1005,BB$5)="",2,0)),0)</f>
        <v>0</v>
      </c>
      <c r="BC1005" s="313">
        <f>IFERROR(IF(INDEX([1]Pivot!$BF$1:$CG$65000,$B1005,BC$5)=1,1,IF(INDEX([1]Pivot!$B$1:$AB$65000,$B1005,BC$5)="",2,0)),0)</f>
        <v>0</v>
      </c>
      <c r="BD1005" s="313">
        <f>IFERROR(IF(INDEX([1]Pivot!$BF$1:$CG$65000,$B1005,BD$5)=1,1,IF(INDEX([1]Pivot!$B$1:$AB$65000,$B1005,BD$5)="",2,0)),0)</f>
        <v>0</v>
      </c>
    </row>
    <row r="1006" spans="1:56" x14ac:dyDescent="0.25">
      <c r="A1006" s="288">
        <f>'[2]Raw Milk Prices'!A1006</f>
        <v>0</v>
      </c>
      <c r="B1006" s="296" t="e">
        <f>MATCH(DATE(LEFT('[2]Raw Milk Prices'!$A1006,4),RIGHT('[2]Raw Milk Prices'!$A1006,2),1),[1]Pivot!$A$1:$A$65000,0)</f>
        <v>#VALUE!</v>
      </c>
      <c r="C1006" s="194">
        <f>IFERROR(IF(INDEX([1]Pivot!$AD$1:$BE$65000,$B1006,C$5)=1,1,IF(INDEX([1]Pivot!$B$1:$AB$65000,$B1006,C$5)="",2,0)),0)</f>
        <v>0</v>
      </c>
      <c r="D1006" s="194">
        <f>IFERROR(IF(INDEX([1]Pivot!$AD$1:$BE$65000,$B1006,D$5)=1,1,IF(INDEX([1]Pivot!$B$1:$AB$65000,$B1006,D$5)="",2,0)),0)</f>
        <v>0</v>
      </c>
      <c r="E1006" s="194">
        <f>IFERROR(IF(INDEX([1]Pivot!$AD$1:$BE$65000,$B1006,E$5)=1,1,IF(INDEX([1]Pivot!$B$1:$AB$65000,$B1006,E$5)="",2,0)),0)</f>
        <v>0</v>
      </c>
      <c r="F1006" s="194">
        <f>IFERROR(IF(INDEX([1]Pivot!$AD$1:$BE$65000,$B1006,F$5)=1,1,IF(INDEX([1]Pivot!$B$1:$AB$65000,$B1006,F$5)="",2,0)),0)</f>
        <v>0</v>
      </c>
      <c r="G1006" s="194">
        <f>IFERROR(IF(INDEX([1]Pivot!$AD$1:$BE$65000,$B1006,G$5)=1,1,IF(INDEX([1]Pivot!$B$1:$AB$65000,$B1006,G$5)="",2,0)),0)</f>
        <v>0</v>
      </c>
      <c r="H1006" s="194">
        <f>IFERROR(IF(INDEX([1]Pivot!$AD$1:$BE$65000,$B1006,H$5)=1,1,IF(INDEX([1]Pivot!$B$1:$AB$65000,$B1006,H$5)="",2,0)),0)</f>
        <v>0</v>
      </c>
      <c r="I1006" s="194">
        <f>IFERROR(IF(INDEX([1]Pivot!$AD$1:$BE$65000,$B1006,I$5)=1,1,IF(INDEX([1]Pivot!$B$1:$AB$65000,$B1006,I$5)="",2,0)),0)</f>
        <v>0</v>
      </c>
      <c r="J1006" s="194">
        <f>IFERROR(IF(INDEX([1]Pivot!$AD$1:$BE$65000,$B1006,J$5)=1,1,IF(INDEX([1]Pivot!$B$1:$AB$65000,$B1006,J$5)="",2,0)),0)</f>
        <v>0</v>
      </c>
      <c r="K1006" s="194">
        <f>IFERROR(IF(INDEX([1]Pivot!$AD$1:$BE$65000,$B1006,K$5)=1,1,IF(INDEX([1]Pivot!$B$1:$AB$65000,$B1006,K$5)="",2,0)),0)</f>
        <v>0</v>
      </c>
      <c r="L1006" s="194">
        <f>IFERROR(IF(INDEX([1]Pivot!$AD$1:$BE$65000,$B1006,L$5)=1,1,IF(INDEX([1]Pivot!$B$1:$AB$65000,$B1006,L$5)="",2,0)),0)</f>
        <v>0</v>
      </c>
      <c r="M1006" s="194">
        <f>IFERROR(IF(INDEX([1]Pivot!$AD$1:$BE$65000,$B1006,M$5)=1,1,IF(INDEX([1]Pivot!$B$1:$AB$65000,$B1006,M$5)="",2,0)),0)</f>
        <v>0</v>
      </c>
      <c r="N1006" s="194">
        <f>IFERROR(IF(INDEX([1]Pivot!$AD$1:$BE$65000,$B1006,N$5)=1,1,IF(INDEX([1]Pivot!$B$1:$AB$65000,$B1006,N$5)="",2,0)),0)</f>
        <v>0</v>
      </c>
      <c r="O1006" s="194">
        <f>IFERROR(IF(INDEX([1]Pivot!$AD$1:$BE$65000,$B1006,O$5)=1,1,IF(INDEX([1]Pivot!$B$1:$AB$65000,$B1006,O$5)="",2,0)),0)</f>
        <v>0</v>
      </c>
      <c r="P1006" s="194">
        <f>IFERROR(IF(INDEX([1]Pivot!$AD$1:$BE$65000,$B1006,P$5)=1,1,IF(INDEX([1]Pivot!$B$1:$AB$65000,$B1006,P$5)="",2,0)),0)</f>
        <v>0</v>
      </c>
      <c r="Q1006" s="194">
        <f>IFERROR(IF(INDEX([1]Pivot!$AD$1:$BE$65000,$B1006,Q$5)=1,1,IF(INDEX([1]Pivot!$B$1:$AB$65000,$B1006,Q$5)="",2,0)),0)</f>
        <v>0</v>
      </c>
      <c r="R1006" s="312"/>
      <c r="S1006" s="194">
        <f>IFERROR(IF(INDEX([1]Pivot!$AD$1:$BE$65000,$B1006,S$5)=1,1,IF(INDEX([1]Pivot!$B$1:$AB$65000,$B1006,S$5)="",2,0)),0)</f>
        <v>0</v>
      </c>
      <c r="T1006" s="194">
        <f>IFERROR(IF(INDEX([1]Pivot!$AD$1:$BE$65000,$B1006,T$5)=1,1,IF(INDEX([1]Pivot!$B$1:$AB$65000,$B1006,T$5)="",2,0)),0)</f>
        <v>0</v>
      </c>
      <c r="U1006" s="194">
        <f>IFERROR(IF(INDEX([1]Pivot!$AD$1:$BE$65000,$B1006,U$5)=1,1,IF(INDEX([1]Pivot!$B$1:$AB$65000,$B1006,U$5)="",2,0)),0)</f>
        <v>0</v>
      </c>
      <c r="V1006" s="194">
        <f>IFERROR(IF(INDEX([1]Pivot!$AD$1:$BE$65000,$B1006,V$5)=1,1,IF(INDEX([1]Pivot!$B$1:$AB$65000,$B1006,V$5)="",2,0)),0)</f>
        <v>0</v>
      </c>
      <c r="W1006" s="194">
        <f>IFERROR(IF(INDEX([1]Pivot!$AD$1:$BE$65000,$B1006,W$5)=1,1,IF(INDEX([1]Pivot!$B$1:$AB$65000,$B1006,W$5)="",2,0)),0)</f>
        <v>0</v>
      </c>
      <c r="X1006" s="194">
        <f>IFERROR(IF(INDEX([1]Pivot!$AD$1:$BE$65000,$B1006,X$5)=1,1,IF(INDEX([1]Pivot!$B$1:$AB$65000,$B1006,X$5)="",2,0)),0)</f>
        <v>0</v>
      </c>
      <c r="Y1006" s="194">
        <f>IFERROR(IF(INDEX([1]Pivot!$AD$1:$BE$65000,$B1006,Y$5)=1,1,IF(INDEX([1]Pivot!$B$1:$AB$65000,$B1006,Y$5)="",2,0)),0)</f>
        <v>0</v>
      </c>
      <c r="Z1006" s="194">
        <f>IFERROR(IF(INDEX([1]Pivot!$AD$1:$BE$65000,$B1006,Z$5)=1,1,IF(INDEX([1]Pivot!$B$1:$AB$65000,$B1006,Z$5)="",2,0)),0)</f>
        <v>0</v>
      </c>
      <c r="AA1006" s="194">
        <f>IFERROR(IF(INDEX([1]Pivot!$AD$1:$BE$65000,$B1006,AA$5)=1,1,IF(INDEX([1]Pivot!$B$1:$AB$65000,$B1006,AA$5)="",2,0)),0)</f>
        <v>0</v>
      </c>
      <c r="AB1006" s="194">
        <f>IFERROR(IF(INDEX([1]Pivot!$AD$1:$BE$65000,$B1006,AB$5)=1,1,IF(INDEX([1]Pivot!$B$1:$AB$65000,$B1006,AB$5)="",2,0)),0)</f>
        <v>0</v>
      </c>
      <c r="AC1006" s="194">
        <f>IFERROR(IF(INDEX([1]Pivot!$AD$1:$BE$65000,$B1006,AC$5)=1,1,IF(INDEX([1]Pivot!$B$1:$AB$65000,$B1006,AC$5)="",2,0)),0)</f>
        <v>0</v>
      </c>
      <c r="AD1006" s="313">
        <f>IFERROR(IF(INDEX([1]Pivot!$BF$1:$CG$65000,$B1006,AD$5)=1,1,IF(INDEX([1]Pivot!$B$1:$AB$65000,$B1006,AD$5)="",2,0)),0)</f>
        <v>0</v>
      </c>
      <c r="AE1006" s="313">
        <f>IFERROR(IF(INDEX([1]Pivot!$BF$1:$CG$65000,$B1006,AE$5)=1,1,IF(INDEX([1]Pivot!$B$1:$AB$65000,$B1006,AE$5)="",2,0)),0)</f>
        <v>0</v>
      </c>
      <c r="AF1006" s="313">
        <f>IFERROR(IF(INDEX([1]Pivot!$BF$1:$CG$65000,$B1006,AF$5)=1,1,IF(INDEX([1]Pivot!$B$1:$AB$65000,$B1006,AF$5)="",2,0)),0)</f>
        <v>0</v>
      </c>
      <c r="AG1006" s="313">
        <f>IFERROR(IF(INDEX([1]Pivot!$BF$1:$CG$65000,$B1006,AG$5)=1,1,IF(INDEX([1]Pivot!$B$1:$AB$65000,$B1006,AG$5)="",2,0)),0)</f>
        <v>0</v>
      </c>
      <c r="AH1006" s="313">
        <f>IFERROR(IF(INDEX([1]Pivot!$BF$1:$CG$65000,$B1006,AH$5)=1,1,IF(INDEX([1]Pivot!$B$1:$AB$65000,$B1006,AH$5)="",2,0)),0)</f>
        <v>0</v>
      </c>
      <c r="AI1006" s="313">
        <f>IFERROR(IF(INDEX([1]Pivot!$BF$1:$CG$65000,$B1006,AI$5)=1,1,IF(INDEX([1]Pivot!$B$1:$AB$65000,$B1006,AI$5)="",2,0)),0)</f>
        <v>0</v>
      </c>
      <c r="AJ1006" s="313">
        <f>IFERROR(IF(INDEX([1]Pivot!$BF$1:$CG$65000,$B1006,AJ$5)=1,1,IF(INDEX([1]Pivot!$B$1:$AB$65000,$B1006,AJ$5)="",2,0)),0)</f>
        <v>0</v>
      </c>
      <c r="AK1006" s="313">
        <f>IFERROR(IF(INDEX([1]Pivot!$BF$1:$CG$65000,$B1006,AK$5)=1,1,IF(INDEX([1]Pivot!$B$1:$AB$65000,$B1006,AK$5)="",2,0)),0)</f>
        <v>0</v>
      </c>
      <c r="AL1006" s="313">
        <f>IFERROR(IF(INDEX([1]Pivot!$BF$1:$CG$65000,$B1006,AL$5)=1,1,IF(INDEX([1]Pivot!$B$1:$AB$65000,$B1006,AL$5)="",2,0)),0)</f>
        <v>0</v>
      </c>
      <c r="AM1006" s="313">
        <f>IFERROR(IF(INDEX([1]Pivot!$BF$1:$CG$65000,$B1006,AM$5)=1,1,IF(INDEX([1]Pivot!$B$1:$AB$65000,$B1006,AM$5)="",2,0)),0)</f>
        <v>0</v>
      </c>
      <c r="AN1006" s="313">
        <f>IFERROR(IF(INDEX([1]Pivot!$BF$1:$CG$65000,$B1006,AN$5)=1,1,IF(INDEX([1]Pivot!$B$1:$AB$65000,$B1006,AN$5)="",2,0)),0)</f>
        <v>0</v>
      </c>
      <c r="AO1006" s="313">
        <f>IFERROR(IF(INDEX([1]Pivot!$BF$1:$CG$65000,$B1006,AO$5)=1,1,IF(INDEX([1]Pivot!$B$1:$AB$65000,$B1006,AO$5)="",2,0)),0)</f>
        <v>0</v>
      </c>
      <c r="AP1006" s="313">
        <f>IFERROR(IF(INDEX([1]Pivot!$BF$1:$CG$65000,$B1006,AP$5)=1,1,IF(INDEX([1]Pivot!$B$1:$AB$65000,$B1006,AP$5)="",2,0)),0)</f>
        <v>0</v>
      </c>
      <c r="AQ1006" s="313">
        <f>IFERROR(IF(INDEX([1]Pivot!$BF$1:$CG$65000,$B1006,AQ$5)=1,1,IF(INDEX([1]Pivot!$B$1:$AB$65000,$B1006,AQ$5)="",2,0)),0)</f>
        <v>0</v>
      </c>
      <c r="AR1006" s="313">
        <f>IFERROR(IF(INDEX([1]Pivot!$BF$1:$CG$65000,$B1006,AR$5)=1,1,IF(INDEX([1]Pivot!$B$1:$AB$65000,$B1006,AR$5)="",2,0)),0)</f>
        <v>0</v>
      </c>
      <c r="AS1006" s="312"/>
      <c r="AT1006" s="313">
        <f>IFERROR(IF(INDEX([1]Pivot!$BF$1:$CG$65000,$B1006,AT$5)=1,1,IF(INDEX([1]Pivot!$B$1:$AB$65000,$B1006,AT$5)="",2,0)),0)</f>
        <v>0</v>
      </c>
      <c r="AU1006" s="313">
        <f>IFERROR(IF(INDEX([1]Pivot!$BF$1:$CG$65000,$B1006,AU$5)=1,1,IF(INDEX([1]Pivot!$B$1:$AB$65000,$B1006,AU$5)="",2,0)),0)</f>
        <v>0</v>
      </c>
      <c r="AV1006" s="313">
        <f>IFERROR(IF(INDEX([1]Pivot!$BF$1:$CG$65000,$B1006,AV$5)=1,1,IF(INDEX([1]Pivot!$B$1:$AB$65000,$B1006,AV$5)="",2,0)),0)</f>
        <v>0</v>
      </c>
      <c r="AW1006" s="313">
        <f>IFERROR(IF(INDEX([1]Pivot!$BF$1:$CG$65000,$B1006,AW$5)=1,1,IF(INDEX([1]Pivot!$B$1:$AB$65000,$B1006,AW$5)="",2,0)),0)</f>
        <v>0</v>
      </c>
      <c r="AX1006" s="313">
        <f>IFERROR(IF(INDEX([1]Pivot!$BF$1:$CG$65000,$B1006,AX$5)=1,1,IF(INDEX([1]Pivot!$B$1:$AB$65000,$B1006,AX$5)="",2,0)),0)</f>
        <v>0</v>
      </c>
      <c r="AY1006" s="313">
        <f>IFERROR(IF(INDEX([1]Pivot!$BF$1:$CG$65000,$B1006,AY$5)=1,1,IF(INDEX([1]Pivot!$B$1:$AB$65000,$B1006,AY$5)="",2,0)),0)</f>
        <v>0</v>
      </c>
      <c r="AZ1006" s="313">
        <f>IFERROR(IF(INDEX([1]Pivot!$BF$1:$CG$65000,$B1006,AZ$5)=1,1,IF(INDEX([1]Pivot!$B$1:$AB$65000,$B1006,AZ$5)="",2,0)),0)</f>
        <v>0</v>
      </c>
      <c r="BA1006" s="313">
        <f>IFERROR(IF(INDEX([1]Pivot!$BF$1:$CG$65000,$B1006,BA$5)=1,1,IF(INDEX([1]Pivot!$B$1:$AB$65000,$B1006,BA$5)="",2,0)),0)</f>
        <v>0</v>
      </c>
      <c r="BB1006" s="313">
        <f>IFERROR(IF(INDEX([1]Pivot!$BF$1:$CG$65000,$B1006,BB$5)=1,1,IF(INDEX([1]Pivot!$B$1:$AB$65000,$B1006,BB$5)="",2,0)),0)</f>
        <v>0</v>
      </c>
      <c r="BC1006" s="313">
        <f>IFERROR(IF(INDEX([1]Pivot!$BF$1:$CG$65000,$B1006,BC$5)=1,1,IF(INDEX([1]Pivot!$B$1:$AB$65000,$B1006,BC$5)="",2,0)),0)</f>
        <v>0</v>
      </c>
      <c r="BD1006" s="313">
        <f>IFERROR(IF(INDEX([1]Pivot!$BF$1:$CG$65000,$B1006,BD$5)=1,1,IF(INDEX([1]Pivot!$B$1:$AB$65000,$B1006,BD$5)="",2,0)),0)</f>
        <v>0</v>
      </c>
    </row>
    <row r="1007" spans="1:56" x14ac:dyDescent="0.25">
      <c r="A1007" s="288">
        <f>'[2]Raw Milk Prices'!A1007</f>
        <v>0</v>
      </c>
      <c r="B1007" s="296" t="e">
        <f>MATCH(DATE(LEFT('[2]Raw Milk Prices'!$A1007,4),RIGHT('[2]Raw Milk Prices'!$A1007,2),1),[1]Pivot!$A$1:$A$65000,0)</f>
        <v>#VALUE!</v>
      </c>
      <c r="C1007" s="194">
        <f>IFERROR(IF(INDEX([1]Pivot!$AD$1:$BE$65000,$B1007,C$5)=1,1,IF(INDEX([1]Pivot!$B$1:$AB$65000,$B1007,C$5)="",2,0)),0)</f>
        <v>0</v>
      </c>
      <c r="D1007" s="194">
        <f>IFERROR(IF(INDEX([1]Pivot!$AD$1:$BE$65000,$B1007,D$5)=1,1,IF(INDEX([1]Pivot!$B$1:$AB$65000,$B1007,D$5)="",2,0)),0)</f>
        <v>0</v>
      </c>
      <c r="E1007" s="194">
        <f>IFERROR(IF(INDEX([1]Pivot!$AD$1:$BE$65000,$B1007,E$5)=1,1,IF(INDEX([1]Pivot!$B$1:$AB$65000,$B1007,E$5)="",2,0)),0)</f>
        <v>0</v>
      </c>
      <c r="F1007" s="194">
        <f>IFERROR(IF(INDEX([1]Pivot!$AD$1:$BE$65000,$B1007,F$5)=1,1,IF(INDEX([1]Pivot!$B$1:$AB$65000,$B1007,F$5)="",2,0)),0)</f>
        <v>0</v>
      </c>
      <c r="G1007" s="194">
        <f>IFERROR(IF(INDEX([1]Pivot!$AD$1:$BE$65000,$B1007,G$5)=1,1,IF(INDEX([1]Pivot!$B$1:$AB$65000,$B1007,G$5)="",2,0)),0)</f>
        <v>0</v>
      </c>
      <c r="H1007" s="194">
        <f>IFERROR(IF(INDEX([1]Pivot!$AD$1:$BE$65000,$B1007,H$5)=1,1,IF(INDEX([1]Pivot!$B$1:$AB$65000,$B1007,H$5)="",2,0)),0)</f>
        <v>0</v>
      </c>
      <c r="I1007" s="194">
        <f>IFERROR(IF(INDEX([1]Pivot!$AD$1:$BE$65000,$B1007,I$5)=1,1,IF(INDEX([1]Pivot!$B$1:$AB$65000,$B1007,I$5)="",2,0)),0)</f>
        <v>0</v>
      </c>
      <c r="J1007" s="194">
        <f>IFERROR(IF(INDEX([1]Pivot!$AD$1:$BE$65000,$B1007,J$5)=1,1,IF(INDEX([1]Pivot!$B$1:$AB$65000,$B1007,J$5)="",2,0)),0)</f>
        <v>0</v>
      </c>
      <c r="K1007" s="194">
        <f>IFERROR(IF(INDEX([1]Pivot!$AD$1:$BE$65000,$B1007,K$5)=1,1,IF(INDEX([1]Pivot!$B$1:$AB$65000,$B1007,K$5)="",2,0)),0)</f>
        <v>0</v>
      </c>
      <c r="L1007" s="194">
        <f>IFERROR(IF(INDEX([1]Pivot!$AD$1:$BE$65000,$B1007,L$5)=1,1,IF(INDEX([1]Pivot!$B$1:$AB$65000,$B1007,L$5)="",2,0)),0)</f>
        <v>0</v>
      </c>
      <c r="M1007" s="194">
        <f>IFERROR(IF(INDEX([1]Pivot!$AD$1:$BE$65000,$B1007,M$5)=1,1,IF(INDEX([1]Pivot!$B$1:$AB$65000,$B1007,M$5)="",2,0)),0)</f>
        <v>0</v>
      </c>
      <c r="N1007" s="194">
        <f>IFERROR(IF(INDEX([1]Pivot!$AD$1:$BE$65000,$B1007,N$5)=1,1,IF(INDEX([1]Pivot!$B$1:$AB$65000,$B1007,N$5)="",2,0)),0)</f>
        <v>0</v>
      </c>
      <c r="O1007" s="194">
        <f>IFERROR(IF(INDEX([1]Pivot!$AD$1:$BE$65000,$B1007,O$5)=1,1,IF(INDEX([1]Pivot!$B$1:$AB$65000,$B1007,O$5)="",2,0)),0)</f>
        <v>0</v>
      </c>
      <c r="P1007" s="194">
        <f>IFERROR(IF(INDEX([1]Pivot!$AD$1:$BE$65000,$B1007,P$5)=1,1,IF(INDEX([1]Pivot!$B$1:$AB$65000,$B1007,P$5)="",2,0)),0)</f>
        <v>0</v>
      </c>
      <c r="Q1007" s="194">
        <f>IFERROR(IF(INDEX([1]Pivot!$AD$1:$BE$65000,$B1007,Q$5)=1,1,IF(INDEX([1]Pivot!$B$1:$AB$65000,$B1007,Q$5)="",2,0)),0)</f>
        <v>0</v>
      </c>
      <c r="R1007" s="312"/>
      <c r="S1007" s="194">
        <f>IFERROR(IF(INDEX([1]Pivot!$AD$1:$BE$65000,$B1007,S$5)=1,1,IF(INDEX([1]Pivot!$B$1:$AB$65000,$B1007,S$5)="",2,0)),0)</f>
        <v>0</v>
      </c>
      <c r="T1007" s="194">
        <f>IFERROR(IF(INDEX([1]Pivot!$AD$1:$BE$65000,$B1007,T$5)=1,1,IF(INDEX([1]Pivot!$B$1:$AB$65000,$B1007,T$5)="",2,0)),0)</f>
        <v>0</v>
      </c>
      <c r="U1007" s="194">
        <f>IFERROR(IF(INDEX([1]Pivot!$AD$1:$BE$65000,$B1007,U$5)=1,1,IF(INDEX([1]Pivot!$B$1:$AB$65000,$B1007,U$5)="",2,0)),0)</f>
        <v>0</v>
      </c>
      <c r="V1007" s="194">
        <f>IFERROR(IF(INDEX([1]Pivot!$AD$1:$BE$65000,$B1007,V$5)=1,1,IF(INDEX([1]Pivot!$B$1:$AB$65000,$B1007,V$5)="",2,0)),0)</f>
        <v>0</v>
      </c>
      <c r="W1007" s="194">
        <f>IFERROR(IF(INDEX([1]Pivot!$AD$1:$BE$65000,$B1007,W$5)=1,1,IF(INDEX([1]Pivot!$B$1:$AB$65000,$B1007,W$5)="",2,0)),0)</f>
        <v>0</v>
      </c>
      <c r="X1007" s="194">
        <f>IFERROR(IF(INDEX([1]Pivot!$AD$1:$BE$65000,$B1007,X$5)=1,1,IF(INDEX([1]Pivot!$B$1:$AB$65000,$B1007,X$5)="",2,0)),0)</f>
        <v>0</v>
      </c>
      <c r="Y1007" s="194">
        <f>IFERROR(IF(INDEX([1]Pivot!$AD$1:$BE$65000,$B1007,Y$5)=1,1,IF(INDEX([1]Pivot!$B$1:$AB$65000,$B1007,Y$5)="",2,0)),0)</f>
        <v>0</v>
      </c>
      <c r="Z1007" s="194">
        <f>IFERROR(IF(INDEX([1]Pivot!$AD$1:$BE$65000,$B1007,Z$5)=1,1,IF(INDEX([1]Pivot!$B$1:$AB$65000,$B1007,Z$5)="",2,0)),0)</f>
        <v>0</v>
      </c>
      <c r="AA1007" s="194">
        <f>IFERROR(IF(INDEX([1]Pivot!$AD$1:$BE$65000,$B1007,AA$5)=1,1,IF(INDEX([1]Pivot!$B$1:$AB$65000,$B1007,AA$5)="",2,0)),0)</f>
        <v>0</v>
      </c>
      <c r="AB1007" s="194">
        <f>IFERROR(IF(INDEX([1]Pivot!$AD$1:$BE$65000,$B1007,AB$5)=1,1,IF(INDEX([1]Pivot!$B$1:$AB$65000,$B1007,AB$5)="",2,0)),0)</f>
        <v>0</v>
      </c>
      <c r="AC1007" s="194">
        <f>IFERROR(IF(INDEX([1]Pivot!$AD$1:$BE$65000,$B1007,AC$5)=1,1,IF(INDEX([1]Pivot!$B$1:$AB$65000,$B1007,AC$5)="",2,0)),0)</f>
        <v>0</v>
      </c>
      <c r="AD1007" s="313">
        <f>IFERROR(IF(INDEX([1]Pivot!$BF$1:$CG$65000,$B1007,AD$5)=1,1,IF(INDEX([1]Pivot!$B$1:$AB$65000,$B1007,AD$5)="",2,0)),0)</f>
        <v>0</v>
      </c>
      <c r="AE1007" s="313">
        <f>IFERROR(IF(INDEX([1]Pivot!$BF$1:$CG$65000,$B1007,AE$5)=1,1,IF(INDEX([1]Pivot!$B$1:$AB$65000,$B1007,AE$5)="",2,0)),0)</f>
        <v>0</v>
      </c>
      <c r="AF1007" s="313">
        <f>IFERROR(IF(INDEX([1]Pivot!$BF$1:$CG$65000,$B1007,AF$5)=1,1,IF(INDEX([1]Pivot!$B$1:$AB$65000,$B1007,AF$5)="",2,0)),0)</f>
        <v>0</v>
      </c>
      <c r="AG1007" s="313">
        <f>IFERROR(IF(INDEX([1]Pivot!$BF$1:$CG$65000,$B1007,AG$5)=1,1,IF(INDEX([1]Pivot!$B$1:$AB$65000,$B1007,AG$5)="",2,0)),0)</f>
        <v>0</v>
      </c>
      <c r="AH1007" s="313">
        <f>IFERROR(IF(INDEX([1]Pivot!$BF$1:$CG$65000,$B1007,AH$5)=1,1,IF(INDEX([1]Pivot!$B$1:$AB$65000,$B1007,AH$5)="",2,0)),0)</f>
        <v>0</v>
      </c>
      <c r="AI1007" s="313">
        <f>IFERROR(IF(INDEX([1]Pivot!$BF$1:$CG$65000,$B1007,AI$5)=1,1,IF(INDEX([1]Pivot!$B$1:$AB$65000,$B1007,AI$5)="",2,0)),0)</f>
        <v>0</v>
      </c>
      <c r="AJ1007" s="313">
        <f>IFERROR(IF(INDEX([1]Pivot!$BF$1:$CG$65000,$B1007,AJ$5)=1,1,IF(INDEX([1]Pivot!$B$1:$AB$65000,$B1007,AJ$5)="",2,0)),0)</f>
        <v>0</v>
      </c>
      <c r="AK1007" s="313">
        <f>IFERROR(IF(INDEX([1]Pivot!$BF$1:$CG$65000,$B1007,AK$5)=1,1,IF(INDEX([1]Pivot!$B$1:$AB$65000,$B1007,AK$5)="",2,0)),0)</f>
        <v>0</v>
      </c>
      <c r="AL1007" s="313">
        <f>IFERROR(IF(INDEX([1]Pivot!$BF$1:$CG$65000,$B1007,AL$5)=1,1,IF(INDEX([1]Pivot!$B$1:$AB$65000,$B1007,AL$5)="",2,0)),0)</f>
        <v>0</v>
      </c>
      <c r="AM1007" s="313">
        <f>IFERROR(IF(INDEX([1]Pivot!$BF$1:$CG$65000,$B1007,AM$5)=1,1,IF(INDEX([1]Pivot!$B$1:$AB$65000,$B1007,AM$5)="",2,0)),0)</f>
        <v>0</v>
      </c>
      <c r="AN1007" s="313">
        <f>IFERROR(IF(INDEX([1]Pivot!$BF$1:$CG$65000,$B1007,AN$5)=1,1,IF(INDEX([1]Pivot!$B$1:$AB$65000,$B1007,AN$5)="",2,0)),0)</f>
        <v>0</v>
      </c>
      <c r="AO1007" s="313">
        <f>IFERROR(IF(INDEX([1]Pivot!$BF$1:$CG$65000,$B1007,AO$5)=1,1,IF(INDEX([1]Pivot!$B$1:$AB$65000,$B1007,AO$5)="",2,0)),0)</f>
        <v>0</v>
      </c>
      <c r="AP1007" s="313">
        <f>IFERROR(IF(INDEX([1]Pivot!$BF$1:$CG$65000,$B1007,AP$5)=1,1,IF(INDEX([1]Pivot!$B$1:$AB$65000,$B1007,AP$5)="",2,0)),0)</f>
        <v>0</v>
      </c>
      <c r="AQ1007" s="313">
        <f>IFERROR(IF(INDEX([1]Pivot!$BF$1:$CG$65000,$B1007,AQ$5)=1,1,IF(INDEX([1]Pivot!$B$1:$AB$65000,$B1007,AQ$5)="",2,0)),0)</f>
        <v>0</v>
      </c>
      <c r="AR1007" s="313">
        <f>IFERROR(IF(INDEX([1]Pivot!$BF$1:$CG$65000,$B1007,AR$5)=1,1,IF(INDEX([1]Pivot!$B$1:$AB$65000,$B1007,AR$5)="",2,0)),0)</f>
        <v>0</v>
      </c>
      <c r="AS1007" s="312"/>
      <c r="AT1007" s="313">
        <f>IFERROR(IF(INDEX([1]Pivot!$BF$1:$CG$65000,$B1007,AT$5)=1,1,IF(INDEX([1]Pivot!$B$1:$AB$65000,$B1007,AT$5)="",2,0)),0)</f>
        <v>0</v>
      </c>
      <c r="AU1007" s="313">
        <f>IFERROR(IF(INDEX([1]Pivot!$BF$1:$CG$65000,$B1007,AU$5)=1,1,IF(INDEX([1]Pivot!$B$1:$AB$65000,$B1007,AU$5)="",2,0)),0)</f>
        <v>0</v>
      </c>
      <c r="AV1007" s="313">
        <f>IFERROR(IF(INDEX([1]Pivot!$BF$1:$CG$65000,$B1007,AV$5)=1,1,IF(INDEX([1]Pivot!$B$1:$AB$65000,$B1007,AV$5)="",2,0)),0)</f>
        <v>0</v>
      </c>
      <c r="AW1007" s="313">
        <f>IFERROR(IF(INDEX([1]Pivot!$BF$1:$CG$65000,$B1007,AW$5)=1,1,IF(INDEX([1]Pivot!$B$1:$AB$65000,$B1007,AW$5)="",2,0)),0)</f>
        <v>0</v>
      </c>
      <c r="AX1007" s="313">
        <f>IFERROR(IF(INDEX([1]Pivot!$BF$1:$CG$65000,$B1007,AX$5)=1,1,IF(INDEX([1]Pivot!$B$1:$AB$65000,$B1007,AX$5)="",2,0)),0)</f>
        <v>0</v>
      </c>
      <c r="AY1007" s="313">
        <f>IFERROR(IF(INDEX([1]Pivot!$BF$1:$CG$65000,$B1007,AY$5)=1,1,IF(INDEX([1]Pivot!$B$1:$AB$65000,$B1007,AY$5)="",2,0)),0)</f>
        <v>0</v>
      </c>
      <c r="AZ1007" s="313">
        <f>IFERROR(IF(INDEX([1]Pivot!$BF$1:$CG$65000,$B1007,AZ$5)=1,1,IF(INDEX([1]Pivot!$B$1:$AB$65000,$B1007,AZ$5)="",2,0)),0)</f>
        <v>0</v>
      </c>
      <c r="BA1007" s="313">
        <f>IFERROR(IF(INDEX([1]Pivot!$BF$1:$CG$65000,$B1007,BA$5)=1,1,IF(INDEX([1]Pivot!$B$1:$AB$65000,$B1007,BA$5)="",2,0)),0)</f>
        <v>0</v>
      </c>
      <c r="BB1007" s="313">
        <f>IFERROR(IF(INDEX([1]Pivot!$BF$1:$CG$65000,$B1007,BB$5)=1,1,IF(INDEX([1]Pivot!$B$1:$AB$65000,$B1007,BB$5)="",2,0)),0)</f>
        <v>0</v>
      </c>
      <c r="BC1007" s="313">
        <f>IFERROR(IF(INDEX([1]Pivot!$BF$1:$CG$65000,$B1007,BC$5)=1,1,IF(INDEX([1]Pivot!$B$1:$AB$65000,$B1007,BC$5)="",2,0)),0)</f>
        <v>0</v>
      </c>
      <c r="BD1007" s="313">
        <f>IFERROR(IF(INDEX([1]Pivot!$BF$1:$CG$65000,$B1007,BD$5)=1,1,IF(INDEX([1]Pivot!$B$1:$AB$65000,$B1007,BD$5)="",2,0)),0)</f>
        <v>0</v>
      </c>
    </row>
    <row r="1008" spans="1:56" x14ac:dyDescent="0.25">
      <c r="A1008" s="288">
        <f>'[2]Raw Milk Prices'!A1008</f>
        <v>0</v>
      </c>
      <c r="B1008" s="296" t="e">
        <f>MATCH(DATE(LEFT('[2]Raw Milk Prices'!$A1008,4),RIGHT('[2]Raw Milk Prices'!$A1008,2),1),[1]Pivot!$A$1:$A$65000,0)</f>
        <v>#VALUE!</v>
      </c>
      <c r="C1008" s="194">
        <f>IFERROR(IF(INDEX([1]Pivot!$AD$1:$BE$65000,$B1008,C$5)=1,1,IF(INDEX([1]Pivot!$B$1:$AB$65000,$B1008,C$5)="",2,0)),0)</f>
        <v>0</v>
      </c>
      <c r="D1008" s="194">
        <f>IFERROR(IF(INDEX([1]Pivot!$AD$1:$BE$65000,$B1008,D$5)=1,1,IF(INDEX([1]Pivot!$B$1:$AB$65000,$B1008,D$5)="",2,0)),0)</f>
        <v>0</v>
      </c>
      <c r="E1008" s="194">
        <f>IFERROR(IF(INDEX([1]Pivot!$AD$1:$BE$65000,$B1008,E$5)=1,1,IF(INDEX([1]Pivot!$B$1:$AB$65000,$B1008,E$5)="",2,0)),0)</f>
        <v>0</v>
      </c>
      <c r="F1008" s="194">
        <f>IFERROR(IF(INDEX([1]Pivot!$AD$1:$BE$65000,$B1008,F$5)=1,1,IF(INDEX([1]Pivot!$B$1:$AB$65000,$B1008,F$5)="",2,0)),0)</f>
        <v>0</v>
      </c>
      <c r="G1008" s="194">
        <f>IFERROR(IF(INDEX([1]Pivot!$AD$1:$BE$65000,$B1008,G$5)=1,1,IF(INDEX([1]Pivot!$B$1:$AB$65000,$B1008,G$5)="",2,0)),0)</f>
        <v>0</v>
      </c>
      <c r="H1008" s="194">
        <f>IFERROR(IF(INDEX([1]Pivot!$AD$1:$BE$65000,$B1008,H$5)=1,1,IF(INDEX([1]Pivot!$B$1:$AB$65000,$B1008,H$5)="",2,0)),0)</f>
        <v>0</v>
      </c>
      <c r="I1008" s="194">
        <f>IFERROR(IF(INDEX([1]Pivot!$AD$1:$BE$65000,$B1008,I$5)=1,1,IF(INDEX([1]Pivot!$B$1:$AB$65000,$B1008,I$5)="",2,0)),0)</f>
        <v>0</v>
      </c>
      <c r="J1008" s="194">
        <f>IFERROR(IF(INDEX([1]Pivot!$AD$1:$BE$65000,$B1008,J$5)=1,1,IF(INDEX([1]Pivot!$B$1:$AB$65000,$B1008,J$5)="",2,0)),0)</f>
        <v>0</v>
      </c>
      <c r="K1008" s="194">
        <f>IFERROR(IF(INDEX([1]Pivot!$AD$1:$BE$65000,$B1008,K$5)=1,1,IF(INDEX([1]Pivot!$B$1:$AB$65000,$B1008,K$5)="",2,0)),0)</f>
        <v>0</v>
      </c>
      <c r="L1008" s="194">
        <f>IFERROR(IF(INDEX([1]Pivot!$AD$1:$BE$65000,$B1008,L$5)=1,1,IF(INDEX([1]Pivot!$B$1:$AB$65000,$B1008,L$5)="",2,0)),0)</f>
        <v>0</v>
      </c>
      <c r="M1008" s="194">
        <f>IFERROR(IF(INDEX([1]Pivot!$AD$1:$BE$65000,$B1008,M$5)=1,1,IF(INDEX([1]Pivot!$B$1:$AB$65000,$B1008,M$5)="",2,0)),0)</f>
        <v>0</v>
      </c>
      <c r="N1008" s="194">
        <f>IFERROR(IF(INDEX([1]Pivot!$AD$1:$BE$65000,$B1008,N$5)=1,1,IF(INDEX([1]Pivot!$B$1:$AB$65000,$B1008,N$5)="",2,0)),0)</f>
        <v>0</v>
      </c>
      <c r="O1008" s="194">
        <f>IFERROR(IF(INDEX([1]Pivot!$AD$1:$BE$65000,$B1008,O$5)=1,1,IF(INDEX([1]Pivot!$B$1:$AB$65000,$B1008,O$5)="",2,0)),0)</f>
        <v>0</v>
      </c>
      <c r="P1008" s="194">
        <f>IFERROR(IF(INDEX([1]Pivot!$AD$1:$BE$65000,$B1008,P$5)=1,1,IF(INDEX([1]Pivot!$B$1:$AB$65000,$B1008,P$5)="",2,0)),0)</f>
        <v>0</v>
      </c>
      <c r="Q1008" s="194">
        <f>IFERROR(IF(INDEX([1]Pivot!$AD$1:$BE$65000,$B1008,Q$5)=1,1,IF(INDEX([1]Pivot!$B$1:$AB$65000,$B1008,Q$5)="",2,0)),0)</f>
        <v>0</v>
      </c>
      <c r="R1008" s="312"/>
      <c r="S1008" s="194">
        <f>IFERROR(IF(INDEX([1]Pivot!$AD$1:$BE$65000,$B1008,S$5)=1,1,IF(INDEX([1]Pivot!$B$1:$AB$65000,$B1008,S$5)="",2,0)),0)</f>
        <v>0</v>
      </c>
      <c r="T1008" s="194">
        <f>IFERROR(IF(INDEX([1]Pivot!$AD$1:$BE$65000,$B1008,T$5)=1,1,IF(INDEX([1]Pivot!$B$1:$AB$65000,$B1008,T$5)="",2,0)),0)</f>
        <v>0</v>
      </c>
      <c r="U1008" s="194">
        <f>IFERROR(IF(INDEX([1]Pivot!$AD$1:$BE$65000,$B1008,U$5)=1,1,IF(INDEX([1]Pivot!$B$1:$AB$65000,$B1008,U$5)="",2,0)),0)</f>
        <v>0</v>
      </c>
      <c r="V1008" s="194">
        <f>IFERROR(IF(INDEX([1]Pivot!$AD$1:$BE$65000,$B1008,V$5)=1,1,IF(INDEX([1]Pivot!$B$1:$AB$65000,$B1008,V$5)="",2,0)),0)</f>
        <v>0</v>
      </c>
      <c r="W1008" s="194">
        <f>IFERROR(IF(INDEX([1]Pivot!$AD$1:$BE$65000,$B1008,W$5)=1,1,IF(INDEX([1]Pivot!$B$1:$AB$65000,$B1008,W$5)="",2,0)),0)</f>
        <v>0</v>
      </c>
      <c r="X1008" s="194">
        <f>IFERROR(IF(INDEX([1]Pivot!$AD$1:$BE$65000,$B1008,X$5)=1,1,IF(INDEX([1]Pivot!$B$1:$AB$65000,$B1008,X$5)="",2,0)),0)</f>
        <v>0</v>
      </c>
      <c r="Y1008" s="194">
        <f>IFERROR(IF(INDEX([1]Pivot!$AD$1:$BE$65000,$B1008,Y$5)=1,1,IF(INDEX([1]Pivot!$B$1:$AB$65000,$B1008,Y$5)="",2,0)),0)</f>
        <v>0</v>
      </c>
      <c r="Z1008" s="194">
        <f>IFERROR(IF(INDEX([1]Pivot!$AD$1:$BE$65000,$B1008,Z$5)=1,1,IF(INDEX([1]Pivot!$B$1:$AB$65000,$B1008,Z$5)="",2,0)),0)</f>
        <v>0</v>
      </c>
      <c r="AA1008" s="194">
        <f>IFERROR(IF(INDEX([1]Pivot!$AD$1:$BE$65000,$B1008,AA$5)=1,1,IF(INDEX([1]Pivot!$B$1:$AB$65000,$B1008,AA$5)="",2,0)),0)</f>
        <v>0</v>
      </c>
      <c r="AB1008" s="194">
        <f>IFERROR(IF(INDEX([1]Pivot!$AD$1:$BE$65000,$B1008,AB$5)=1,1,IF(INDEX([1]Pivot!$B$1:$AB$65000,$B1008,AB$5)="",2,0)),0)</f>
        <v>0</v>
      </c>
      <c r="AC1008" s="194">
        <f>IFERROR(IF(INDEX([1]Pivot!$AD$1:$BE$65000,$B1008,AC$5)=1,1,IF(INDEX([1]Pivot!$B$1:$AB$65000,$B1008,AC$5)="",2,0)),0)</f>
        <v>0</v>
      </c>
      <c r="AD1008" s="313">
        <f>IFERROR(IF(INDEX([1]Pivot!$BF$1:$CG$65000,$B1008,AD$5)=1,1,IF(INDEX([1]Pivot!$B$1:$AB$65000,$B1008,AD$5)="",2,0)),0)</f>
        <v>0</v>
      </c>
      <c r="AE1008" s="313">
        <f>IFERROR(IF(INDEX([1]Pivot!$BF$1:$CG$65000,$B1008,AE$5)=1,1,IF(INDEX([1]Pivot!$B$1:$AB$65000,$B1008,AE$5)="",2,0)),0)</f>
        <v>0</v>
      </c>
      <c r="AF1008" s="313">
        <f>IFERROR(IF(INDEX([1]Pivot!$BF$1:$CG$65000,$B1008,AF$5)=1,1,IF(INDEX([1]Pivot!$B$1:$AB$65000,$B1008,AF$5)="",2,0)),0)</f>
        <v>0</v>
      </c>
      <c r="AG1008" s="313">
        <f>IFERROR(IF(INDEX([1]Pivot!$BF$1:$CG$65000,$B1008,AG$5)=1,1,IF(INDEX([1]Pivot!$B$1:$AB$65000,$B1008,AG$5)="",2,0)),0)</f>
        <v>0</v>
      </c>
      <c r="AH1008" s="313">
        <f>IFERROR(IF(INDEX([1]Pivot!$BF$1:$CG$65000,$B1008,AH$5)=1,1,IF(INDEX([1]Pivot!$B$1:$AB$65000,$B1008,AH$5)="",2,0)),0)</f>
        <v>0</v>
      </c>
      <c r="AI1008" s="313">
        <f>IFERROR(IF(INDEX([1]Pivot!$BF$1:$CG$65000,$B1008,AI$5)=1,1,IF(INDEX([1]Pivot!$B$1:$AB$65000,$B1008,AI$5)="",2,0)),0)</f>
        <v>0</v>
      </c>
      <c r="AJ1008" s="313">
        <f>IFERROR(IF(INDEX([1]Pivot!$BF$1:$CG$65000,$B1008,AJ$5)=1,1,IF(INDEX([1]Pivot!$B$1:$AB$65000,$B1008,AJ$5)="",2,0)),0)</f>
        <v>0</v>
      </c>
      <c r="AK1008" s="313">
        <f>IFERROR(IF(INDEX([1]Pivot!$BF$1:$CG$65000,$B1008,AK$5)=1,1,IF(INDEX([1]Pivot!$B$1:$AB$65000,$B1008,AK$5)="",2,0)),0)</f>
        <v>0</v>
      </c>
      <c r="AL1008" s="313">
        <f>IFERROR(IF(INDEX([1]Pivot!$BF$1:$CG$65000,$B1008,AL$5)=1,1,IF(INDEX([1]Pivot!$B$1:$AB$65000,$B1008,AL$5)="",2,0)),0)</f>
        <v>0</v>
      </c>
      <c r="AM1008" s="313">
        <f>IFERROR(IF(INDEX([1]Pivot!$BF$1:$CG$65000,$B1008,AM$5)=1,1,IF(INDEX([1]Pivot!$B$1:$AB$65000,$B1008,AM$5)="",2,0)),0)</f>
        <v>0</v>
      </c>
      <c r="AN1008" s="313">
        <f>IFERROR(IF(INDEX([1]Pivot!$BF$1:$CG$65000,$B1008,AN$5)=1,1,IF(INDEX([1]Pivot!$B$1:$AB$65000,$B1008,AN$5)="",2,0)),0)</f>
        <v>0</v>
      </c>
      <c r="AO1008" s="313">
        <f>IFERROR(IF(INDEX([1]Pivot!$BF$1:$CG$65000,$B1008,AO$5)=1,1,IF(INDEX([1]Pivot!$B$1:$AB$65000,$B1008,AO$5)="",2,0)),0)</f>
        <v>0</v>
      </c>
      <c r="AP1008" s="313">
        <f>IFERROR(IF(INDEX([1]Pivot!$BF$1:$CG$65000,$B1008,AP$5)=1,1,IF(INDEX([1]Pivot!$B$1:$AB$65000,$B1008,AP$5)="",2,0)),0)</f>
        <v>0</v>
      </c>
      <c r="AQ1008" s="313">
        <f>IFERROR(IF(INDEX([1]Pivot!$BF$1:$CG$65000,$B1008,AQ$5)=1,1,IF(INDEX([1]Pivot!$B$1:$AB$65000,$B1008,AQ$5)="",2,0)),0)</f>
        <v>0</v>
      </c>
      <c r="AR1008" s="313">
        <f>IFERROR(IF(INDEX([1]Pivot!$BF$1:$CG$65000,$B1008,AR$5)=1,1,IF(INDEX([1]Pivot!$B$1:$AB$65000,$B1008,AR$5)="",2,0)),0)</f>
        <v>0</v>
      </c>
      <c r="AS1008" s="312"/>
      <c r="AT1008" s="313">
        <f>IFERROR(IF(INDEX([1]Pivot!$BF$1:$CG$65000,$B1008,AT$5)=1,1,IF(INDEX([1]Pivot!$B$1:$AB$65000,$B1008,AT$5)="",2,0)),0)</f>
        <v>0</v>
      </c>
      <c r="AU1008" s="313">
        <f>IFERROR(IF(INDEX([1]Pivot!$BF$1:$CG$65000,$B1008,AU$5)=1,1,IF(INDEX([1]Pivot!$B$1:$AB$65000,$B1008,AU$5)="",2,0)),0)</f>
        <v>0</v>
      </c>
      <c r="AV1008" s="313">
        <f>IFERROR(IF(INDEX([1]Pivot!$BF$1:$CG$65000,$B1008,AV$5)=1,1,IF(INDEX([1]Pivot!$B$1:$AB$65000,$B1008,AV$5)="",2,0)),0)</f>
        <v>0</v>
      </c>
      <c r="AW1008" s="313">
        <f>IFERROR(IF(INDEX([1]Pivot!$BF$1:$CG$65000,$B1008,AW$5)=1,1,IF(INDEX([1]Pivot!$B$1:$AB$65000,$B1008,AW$5)="",2,0)),0)</f>
        <v>0</v>
      </c>
      <c r="AX1008" s="313">
        <f>IFERROR(IF(INDEX([1]Pivot!$BF$1:$CG$65000,$B1008,AX$5)=1,1,IF(INDEX([1]Pivot!$B$1:$AB$65000,$B1008,AX$5)="",2,0)),0)</f>
        <v>0</v>
      </c>
      <c r="AY1008" s="313">
        <f>IFERROR(IF(INDEX([1]Pivot!$BF$1:$CG$65000,$B1008,AY$5)=1,1,IF(INDEX([1]Pivot!$B$1:$AB$65000,$B1008,AY$5)="",2,0)),0)</f>
        <v>0</v>
      </c>
      <c r="AZ1008" s="313">
        <f>IFERROR(IF(INDEX([1]Pivot!$BF$1:$CG$65000,$B1008,AZ$5)=1,1,IF(INDEX([1]Pivot!$B$1:$AB$65000,$B1008,AZ$5)="",2,0)),0)</f>
        <v>0</v>
      </c>
      <c r="BA1008" s="313">
        <f>IFERROR(IF(INDEX([1]Pivot!$BF$1:$CG$65000,$B1008,BA$5)=1,1,IF(INDEX([1]Pivot!$B$1:$AB$65000,$B1008,BA$5)="",2,0)),0)</f>
        <v>0</v>
      </c>
      <c r="BB1008" s="313">
        <f>IFERROR(IF(INDEX([1]Pivot!$BF$1:$CG$65000,$B1008,BB$5)=1,1,IF(INDEX([1]Pivot!$B$1:$AB$65000,$B1008,BB$5)="",2,0)),0)</f>
        <v>0</v>
      </c>
      <c r="BC1008" s="313">
        <f>IFERROR(IF(INDEX([1]Pivot!$BF$1:$CG$65000,$B1008,BC$5)=1,1,IF(INDEX([1]Pivot!$B$1:$AB$65000,$B1008,BC$5)="",2,0)),0)</f>
        <v>0</v>
      </c>
      <c r="BD1008" s="313">
        <f>IFERROR(IF(INDEX([1]Pivot!$BF$1:$CG$65000,$B1008,BD$5)=1,1,IF(INDEX([1]Pivot!$B$1:$AB$65000,$B1008,BD$5)="",2,0)),0)</f>
        <v>0</v>
      </c>
    </row>
    <row r="1009" spans="1:56" x14ac:dyDescent="0.25">
      <c r="A1009" s="288">
        <f>'[2]Raw Milk Prices'!A1009</f>
        <v>0</v>
      </c>
      <c r="B1009" s="296" t="e">
        <f>MATCH(DATE(LEFT('[2]Raw Milk Prices'!$A1009,4),RIGHT('[2]Raw Milk Prices'!$A1009,2),1),[1]Pivot!$A$1:$A$65000,0)</f>
        <v>#VALUE!</v>
      </c>
      <c r="C1009" s="194">
        <f>IFERROR(IF(INDEX([1]Pivot!$AD$1:$BE$65000,$B1009,C$5)=1,1,IF(INDEX([1]Pivot!$B$1:$AB$65000,$B1009,C$5)="",2,0)),0)</f>
        <v>0</v>
      </c>
      <c r="D1009" s="194">
        <f>IFERROR(IF(INDEX([1]Pivot!$AD$1:$BE$65000,$B1009,D$5)=1,1,IF(INDEX([1]Pivot!$B$1:$AB$65000,$B1009,D$5)="",2,0)),0)</f>
        <v>0</v>
      </c>
      <c r="E1009" s="194">
        <f>IFERROR(IF(INDEX([1]Pivot!$AD$1:$BE$65000,$B1009,E$5)=1,1,IF(INDEX([1]Pivot!$B$1:$AB$65000,$B1009,E$5)="",2,0)),0)</f>
        <v>0</v>
      </c>
      <c r="F1009" s="194">
        <f>IFERROR(IF(INDEX([1]Pivot!$AD$1:$BE$65000,$B1009,F$5)=1,1,IF(INDEX([1]Pivot!$B$1:$AB$65000,$B1009,F$5)="",2,0)),0)</f>
        <v>0</v>
      </c>
      <c r="G1009" s="194">
        <f>IFERROR(IF(INDEX([1]Pivot!$AD$1:$BE$65000,$B1009,G$5)=1,1,IF(INDEX([1]Pivot!$B$1:$AB$65000,$B1009,G$5)="",2,0)),0)</f>
        <v>0</v>
      </c>
      <c r="H1009" s="194">
        <f>IFERROR(IF(INDEX([1]Pivot!$AD$1:$BE$65000,$B1009,H$5)=1,1,IF(INDEX([1]Pivot!$B$1:$AB$65000,$B1009,H$5)="",2,0)),0)</f>
        <v>0</v>
      </c>
      <c r="I1009" s="194">
        <f>IFERROR(IF(INDEX([1]Pivot!$AD$1:$BE$65000,$B1009,I$5)=1,1,IF(INDEX([1]Pivot!$B$1:$AB$65000,$B1009,I$5)="",2,0)),0)</f>
        <v>0</v>
      </c>
      <c r="J1009" s="194">
        <f>IFERROR(IF(INDEX([1]Pivot!$AD$1:$BE$65000,$B1009,J$5)=1,1,IF(INDEX([1]Pivot!$B$1:$AB$65000,$B1009,J$5)="",2,0)),0)</f>
        <v>0</v>
      </c>
      <c r="K1009" s="194">
        <f>IFERROR(IF(INDEX([1]Pivot!$AD$1:$BE$65000,$B1009,K$5)=1,1,IF(INDEX([1]Pivot!$B$1:$AB$65000,$B1009,K$5)="",2,0)),0)</f>
        <v>0</v>
      </c>
      <c r="L1009" s="194">
        <f>IFERROR(IF(INDEX([1]Pivot!$AD$1:$BE$65000,$B1009,L$5)=1,1,IF(INDEX([1]Pivot!$B$1:$AB$65000,$B1009,L$5)="",2,0)),0)</f>
        <v>0</v>
      </c>
      <c r="M1009" s="194">
        <f>IFERROR(IF(INDEX([1]Pivot!$AD$1:$BE$65000,$B1009,M$5)=1,1,IF(INDEX([1]Pivot!$B$1:$AB$65000,$B1009,M$5)="",2,0)),0)</f>
        <v>0</v>
      </c>
      <c r="N1009" s="194">
        <f>IFERROR(IF(INDEX([1]Pivot!$AD$1:$BE$65000,$B1009,N$5)=1,1,IF(INDEX([1]Pivot!$B$1:$AB$65000,$B1009,N$5)="",2,0)),0)</f>
        <v>0</v>
      </c>
      <c r="O1009" s="194">
        <f>IFERROR(IF(INDEX([1]Pivot!$AD$1:$BE$65000,$B1009,O$5)=1,1,IF(INDEX([1]Pivot!$B$1:$AB$65000,$B1009,O$5)="",2,0)),0)</f>
        <v>0</v>
      </c>
      <c r="P1009" s="194">
        <f>IFERROR(IF(INDEX([1]Pivot!$AD$1:$BE$65000,$B1009,P$5)=1,1,IF(INDEX([1]Pivot!$B$1:$AB$65000,$B1009,P$5)="",2,0)),0)</f>
        <v>0</v>
      </c>
      <c r="Q1009" s="194">
        <f>IFERROR(IF(INDEX([1]Pivot!$AD$1:$BE$65000,$B1009,Q$5)=1,1,IF(INDEX([1]Pivot!$B$1:$AB$65000,$B1009,Q$5)="",2,0)),0)</f>
        <v>0</v>
      </c>
      <c r="R1009" s="312"/>
      <c r="S1009" s="194">
        <f>IFERROR(IF(INDEX([1]Pivot!$AD$1:$BE$65000,$B1009,S$5)=1,1,IF(INDEX([1]Pivot!$B$1:$AB$65000,$B1009,S$5)="",2,0)),0)</f>
        <v>0</v>
      </c>
      <c r="T1009" s="194">
        <f>IFERROR(IF(INDEX([1]Pivot!$AD$1:$BE$65000,$B1009,T$5)=1,1,IF(INDEX([1]Pivot!$B$1:$AB$65000,$B1009,T$5)="",2,0)),0)</f>
        <v>0</v>
      </c>
      <c r="U1009" s="194">
        <f>IFERROR(IF(INDEX([1]Pivot!$AD$1:$BE$65000,$B1009,U$5)=1,1,IF(INDEX([1]Pivot!$B$1:$AB$65000,$B1009,U$5)="",2,0)),0)</f>
        <v>0</v>
      </c>
      <c r="V1009" s="194">
        <f>IFERROR(IF(INDEX([1]Pivot!$AD$1:$BE$65000,$B1009,V$5)=1,1,IF(INDEX([1]Pivot!$B$1:$AB$65000,$B1009,V$5)="",2,0)),0)</f>
        <v>0</v>
      </c>
      <c r="W1009" s="194">
        <f>IFERROR(IF(INDEX([1]Pivot!$AD$1:$BE$65000,$B1009,W$5)=1,1,IF(INDEX([1]Pivot!$B$1:$AB$65000,$B1009,W$5)="",2,0)),0)</f>
        <v>0</v>
      </c>
      <c r="X1009" s="194">
        <f>IFERROR(IF(INDEX([1]Pivot!$AD$1:$BE$65000,$B1009,X$5)=1,1,IF(INDEX([1]Pivot!$B$1:$AB$65000,$B1009,X$5)="",2,0)),0)</f>
        <v>0</v>
      </c>
      <c r="Y1009" s="194">
        <f>IFERROR(IF(INDEX([1]Pivot!$AD$1:$BE$65000,$B1009,Y$5)=1,1,IF(INDEX([1]Pivot!$B$1:$AB$65000,$B1009,Y$5)="",2,0)),0)</f>
        <v>0</v>
      </c>
      <c r="Z1009" s="194">
        <f>IFERROR(IF(INDEX([1]Pivot!$AD$1:$BE$65000,$B1009,Z$5)=1,1,IF(INDEX([1]Pivot!$B$1:$AB$65000,$B1009,Z$5)="",2,0)),0)</f>
        <v>0</v>
      </c>
      <c r="AA1009" s="194">
        <f>IFERROR(IF(INDEX([1]Pivot!$AD$1:$BE$65000,$B1009,AA$5)=1,1,IF(INDEX([1]Pivot!$B$1:$AB$65000,$B1009,AA$5)="",2,0)),0)</f>
        <v>0</v>
      </c>
      <c r="AB1009" s="194">
        <f>IFERROR(IF(INDEX([1]Pivot!$AD$1:$BE$65000,$B1009,AB$5)=1,1,IF(INDEX([1]Pivot!$B$1:$AB$65000,$B1009,AB$5)="",2,0)),0)</f>
        <v>0</v>
      </c>
      <c r="AC1009" s="194">
        <f>IFERROR(IF(INDEX([1]Pivot!$AD$1:$BE$65000,$B1009,AC$5)=1,1,IF(INDEX([1]Pivot!$B$1:$AB$65000,$B1009,AC$5)="",2,0)),0)</f>
        <v>0</v>
      </c>
      <c r="AD1009" s="313">
        <f>IFERROR(IF(INDEX([1]Pivot!$BF$1:$CG$65000,$B1009,AD$5)=1,1,IF(INDEX([1]Pivot!$B$1:$AB$65000,$B1009,AD$5)="",2,0)),0)</f>
        <v>0</v>
      </c>
      <c r="AE1009" s="313">
        <f>IFERROR(IF(INDEX([1]Pivot!$BF$1:$CG$65000,$B1009,AE$5)=1,1,IF(INDEX([1]Pivot!$B$1:$AB$65000,$B1009,AE$5)="",2,0)),0)</f>
        <v>0</v>
      </c>
      <c r="AF1009" s="313">
        <f>IFERROR(IF(INDEX([1]Pivot!$BF$1:$CG$65000,$B1009,AF$5)=1,1,IF(INDEX([1]Pivot!$B$1:$AB$65000,$B1009,AF$5)="",2,0)),0)</f>
        <v>0</v>
      </c>
      <c r="AG1009" s="313">
        <f>IFERROR(IF(INDEX([1]Pivot!$BF$1:$CG$65000,$B1009,AG$5)=1,1,IF(INDEX([1]Pivot!$B$1:$AB$65000,$B1009,AG$5)="",2,0)),0)</f>
        <v>0</v>
      </c>
      <c r="AH1009" s="313">
        <f>IFERROR(IF(INDEX([1]Pivot!$BF$1:$CG$65000,$B1009,AH$5)=1,1,IF(INDEX([1]Pivot!$B$1:$AB$65000,$B1009,AH$5)="",2,0)),0)</f>
        <v>0</v>
      </c>
      <c r="AI1009" s="313">
        <f>IFERROR(IF(INDEX([1]Pivot!$BF$1:$CG$65000,$B1009,AI$5)=1,1,IF(INDEX([1]Pivot!$B$1:$AB$65000,$B1009,AI$5)="",2,0)),0)</f>
        <v>0</v>
      </c>
      <c r="AJ1009" s="313">
        <f>IFERROR(IF(INDEX([1]Pivot!$BF$1:$CG$65000,$B1009,AJ$5)=1,1,IF(INDEX([1]Pivot!$B$1:$AB$65000,$B1009,AJ$5)="",2,0)),0)</f>
        <v>0</v>
      </c>
      <c r="AK1009" s="313">
        <f>IFERROR(IF(INDEX([1]Pivot!$BF$1:$CG$65000,$B1009,AK$5)=1,1,IF(INDEX([1]Pivot!$B$1:$AB$65000,$B1009,AK$5)="",2,0)),0)</f>
        <v>0</v>
      </c>
      <c r="AL1009" s="313">
        <f>IFERROR(IF(INDEX([1]Pivot!$BF$1:$CG$65000,$B1009,AL$5)=1,1,IF(INDEX([1]Pivot!$B$1:$AB$65000,$B1009,AL$5)="",2,0)),0)</f>
        <v>0</v>
      </c>
      <c r="AM1009" s="313">
        <f>IFERROR(IF(INDEX([1]Pivot!$BF$1:$CG$65000,$B1009,AM$5)=1,1,IF(INDEX([1]Pivot!$B$1:$AB$65000,$B1009,AM$5)="",2,0)),0)</f>
        <v>0</v>
      </c>
      <c r="AN1009" s="313">
        <f>IFERROR(IF(INDEX([1]Pivot!$BF$1:$CG$65000,$B1009,AN$5)=1,1,IF(INDEX([1]Pivot!$B$1:$AB$65000,$B1009,AN$5)="",2,0)),0)</f>
        <v>0</v>
      </c>
      <c r="AO1009" s="313">
        <f>IFERROR(IF(INDEX([1]Pivot!$BF$1:$CG$65000,$B1009,AO$5)=1,1,IF(INDEX([1]Pivot!$B$1:$AB$65000,$B1009,AO$5)="",2,0)),0)</f>
        <v>0</v>
      </c>
      <c r="AP1009" s="313">
        <f>IFERROR(IF(INDEX([1]Pivot!$BF$1:$CG$65000,$B1009,AP$5)=1,1,IF(INDEX([1]Pivot!$B$1:$AB$65000,$B1009,AP$5)="",2,0)),0)</f>
        <v>0</v>
      </c>
      <c r="AQ1009" s="313">
        <f>IFERROR(IF(INDEX([1]Pivot!$BF$1:$CG$65000,$B1009,AQ$5)=1,1,IF(INDEX([1]Pivot!$B$1:$AB$65000,$B1009,AQ$5)="",2,0)),0)</f>
        <v>0</v>
      </c>
      <c r="AR1009" s="313">
        <f>IFERROR(IF(INDEX([1]Pivot!$BF$1:$CG$65000,$B1009,AR$5)=1,1,IF(INDEX([1]Pivot!$B$1:$AB$65000,$B1009,AR$5)="",2,0)),0)</f>
        <v>0</v>
      </c>
      <c r="AS1009" s="312"/>
      <c r="AT1009" s="313">
        <f>IFERROR(IF(INDEX([1]Pivot!$BF$1:$CG$65000,$B1009,AT$5)=1,1,IF(INDEX([1]Pivot!$B$1:$AB$65000,$B1009,AT$5)="",2,0)),0)</f>
        <v>0</v>
      </c>
      <c r="AU1009" s="313">
        <f>IFERROR(IF(INDEX([1]Pivot!$BF$1:$CG$65000,$B1009,AU$5)=1,1,IF(INDEX([1]Pivot!$B$1:$AB$65000,$B1009,AU$5)="",2,0)),0)</f>
        <v>0</v>
      </c>
      <c r="AV1009" s="313">
        <f>IFERROR(IF(INDEX([1]Pivot!$BF$1:$CG$65000,$B1009,AV$5)=1,1,IF(INDEX([1]Pivot!$B$1:$AB$65000,$B1009,AV$5)="",2,0)),0)</f>
        <v>0</v>
      </c>
      <c r="AW1009" s="313">
        <f>IFERROR(IF(INDEX([1]Pivot!$BF$1:$CG$65000,$B1009,AW$5)=1,1,IF(INDEX([1]Pivot!$B$1:$AB$65000,$B1009,AW$5)="",2,0)),0)</f>
        <v>0</v>
      </c>
      <c r="AX1009" s="313">
        <f>IFERROR(IF(INDEX([1]Pivot!$BF$1:$CG$65000,$B1009,AX$5)=1,1,IF(INDEX([1]Pivot!$B$1:$AB$65000,$B1009,AX$5)="",2,0)),0)</f>
        <v>0</v>
      </c>
      <c r="AY1009" s="313">
        <f>IFERROR(IF(INDEX([1]Pivot!$BF$1:$CG$65000,$B1009,AY$5)=1,1,IF(INDEX([1]Pivot!$B$1:$AB$65000,$B1009,AY$5)="",2,0)),0)</f>
        <v>0</v>
      </c>
      <c r="AZ1009" s="313">
        <f>IFERROR(IF(INDEX([1]Pivot!$BF$1:$CG$65000,$B1009,AZ$5)=1,1,IF(INDEX([1]Pivot!$B$1:$AB$65000,$B1009,AZ$5)="",2,0)),0)</f>
        <v>0</v>
      </c>
      <c r="BA1009" s="313">
        <f>IFERROR(IF(INDEX([1]Pivot!$BF$1:$CG$65000,$B1009,BA$5)=1,1,IF(INDEX([1]Pivot!$B$1:$AB$65000,$B1009,BA$5)="",2,0)),0)</f>
        <v>0</v>
      </c>
      <c r="BB1009" s="313">
        <f>IFERROR(IF(INDEX([1]Pivot!$BF$1:$CG$65000,$B1009,BB$5)=1,1,IF(INDEX([1]Pivot!$B$1:$AB$65000,$B1009,BB$5)="",2,0)),0)</f>
        <v>0</v>
      </c>
      <c r="BC1009" s="313">
        <f>IFERROR(IF(INDEX([1]Pivot!$BF$1:$CG$65000,$B1009,BC$5)=1,1,IF(INDEX([1]Pivot!$B$1:$AB$65000,$B1009,BC$5)="",2,0)),0)</f>
        <v>0</v>
      </c>
      <c r="BD1009" s="313">
        <f>IFERROR(IF(INDEX([1]Pivot!$BF$1:$CG$65000,$B1009,BD$5)=1,1,IF(INDEX([1]Pivot!$B$1:$AB$65000,$B1009,BD$5)="",2,0)),0)</f>
        <v>0</v>
      </c>
    </row>
    <row r="1010" spans="1:56" x14ac:dyDescent="0.25">
      <c r="A1010" s="288">
        <f>'[2]Raw Milk Prices'!A1010</f>
        <v>0</v>
      </c>
      <c r="B1010" s="296" t="e">
        <f>MATCH(DATE(LEFT('[2]Raw Milk Prices'!$A1010,4),RIGHT('[2]Raw Milk Prices'!$A1010,2),1),[1]Pivot!$A$1:$A$65000,0)</f>
        <v>#VALUE!</v>
      </c>
      <c r="C1010" s="194">
        <f>IFERROR(IF(INDEX([1]Pivot!$AD$1:$BE$65000,$B1010,C$5)=1,1,IF(INDEX([1]Pivot!$B$1:$AB$65000,$B1010,C$5)="",2,0)),0)</f>
        <v>0</v>
      </c>
      <c r="D1010" s="194">
        <f>IFERROR(IF(INDEX([1]Pivot!$AD$1:$BE$65000,$B1010,D$5)=1,1,IF(INDEX([1]Pivot!$B$1:$AB$65000,$B1010,D$5)="",2,0)),0)</f>
        <v>0</v>
      </c>
      <c r="E1010" s="194">
        <f>IFERROR(IF(INDEX([1]Pivot!$AD$1:$BE$65000,$B1010,E$5)=1,1,IF(INDEX([1]Pivot!$B$1:$AB$65000,$B1010,E$5)="",2,0)),0)</f>
        <v>0</v>
      </c>
      <c r="F1010" s="194">
        <f>IFERROR(IF(INDEX([1]Pivot!$AD$1:$BE$65000,$B1010,F$5)=1,1,IF(INDEX([1]Pivot!$B$1:$AB$65000,$B1010,F$5)="",2,0)),0)</f>
        <v>0</v>
      </c>
      <c r="G1010" s="194">
        <f>IFERROR(IF(INDEX([1]Pivot!$AD$1:$BE$65000,$B1010,G$5)=1,1,IF(INDEX([1]Pivot!$B$1:$AB$65000,$B1010,G$5)="",2,0)),0)</f>
        <v>0</v>
      </c>
      <c r="H1010" s="194">
        <f>IFERROR(IF(INDEX([1]Pivot!$AD$1:$BE$65000,$B1010,H$5)=1,1,IF(INDEX([1]Pivot!$B$1:$AB$65000,$B1010,H$5)="",2,0)),0)</f>
        <v>0</v>
      </c>
      <c r="I1010" s="194">
        <f>IFERROR(IF(INDEX([1]Pivot!$AD$1:$BE$65000,$B1010,I$5)=1,1,IF(INDEX([1]Pivot!$B$1:$AB$65000,$B1010,I$5)="",2,0)),0)</f>
        <v>0</v>
      </c>
      <c r="J1010" s="194">
        <f>IFERROR(IF(INDEX([1]Pivot!$AD$1:$BE$65000,$B1010,J$5)=1,1,IF(INDEX([1]Pivot!$B$1:$AB$65000,$B1010,J$5)="",2,0)),0)</f>
        <v>0</v>
      </c>
      <c r="K1010" s="194">
        <f>IFERROR(IF(INDEX([1]Pivot!$AD$1:$BE$65000,$B1010,K$5)=1,1,IF(INDEX([1]Pivot!$B$1:$AB$65000,$B1010,K$5)="",2,0)),0)</f>
        <v>0</v>
      </c>
      <c r="L1010" s="194">
        <f>IFERROR(IF(INDEX([1]Pivot!$AD$1:$BE$65000,$B1010,L$5)=1,1,IF(INDEX([1]Pivot!$B$1:$AB$65000,$B1010,L$5)="",2,0)),0)</f>
        <v>0</v>
      </c>
      <c r="M1010" s="194">
        <f>IFERROR(IF(INDEX([1]Pivot!$AD$1:$BE$65000,$B1010,M$5)=1,1,IF(INDEX([1]Pivot!$B$1:$AB$65000,$B1010,M$5)="",2,0)),0)</f>
        <v>0</v>
      </c>
      <c r="N1010" s="194">
        <f>IFERROR(IF(INDEX([1]Pivot!$AD$1:$BE$65000,$B1010,N$5)=1,1,IF(INDEX([1]Pivot!$B$1:$AB$65000,$B1010,N$5)="",2,0)),0)</f>
        <v>0</v>
      </c>
      <c r="O1010" s="194">
        <f>IFERROR(IF(INDEX([1]Pivot!$AD$1:$BE$65000,$B1010,O$5)=1,1,IF(INDEX([1]Pivot!$B$1:$AB$65000,$B1010,O$5)="",2,0)),0)</f>
        <v>0</v>
      </c>
      <c r="P1010" s="194">
        <f>IFERROR(IF(INDEX([1]Pivot!$AD$1:$BE$65000,$B1010,P$5)=1,1,IF(INDEX([1]Pivot!$B$1:$AB$65000,$B1010,P$5)="",2,0)),0)</f>
        <v>0</v>
      </c>
      <c r="Q1010" s="194">
        <f>IFERROR(IF(INDEX([1]Pivot!$AD$1:$BE$65000,$B1010,Q$5)=1,1,IF(INDEX([1]Pivot!$B$1:$AB$65000,$B1010,Q$5)="",2,0)),0)</f>
        <v>0</v>
      </c>
      <c r="R1010" s="312"/>
      <c r="S1010" s="194">
        <f>IFERROR(IF(INDEX([1]Pivot!$AD$1:$BE$65000,$B1010,S$5)=1,1,IF(INDEX([1]Pivot!$B$1:$AB$65000,$B1010,S$5)="",2,0)),0)</f>
        <v>0</v>
      </c>
      <c r="T1010" s="194">
        <f>IFERROR(IF(INDEX([1]Pivot!$AD$1:$BE$65000,$B1010,T$5)=1,1,IF(INDEX([1]Pivot!$B$1:$AB$65000,$B1010,T$5)="",2,0)),0)</f>
        <v>0</v>
      </c>
      <c r="U1010" s="194">
        <f>IFERROR(IF(INDEX([1]Pivot!$AD$1:$BE$65000,$B1010,U$5)=1,1,IF(INDEX([1]Pivot!$B$1:$AB$65000,$B1010,U$5)="",2,0)),0)</f>
        <v>0</v>
      </c>
      <c r="V1010" s="194">
        <f>IFERROR(IF(INDEX([1]Pivot!$AD$1:$BE$65000,$B1010,V$5)=1,1,IF(INDEX([1]Pivot!$B$1:$AB$65000,$B1010,V$5)="",2,0)),0)</f>
        <v>0</v>
      </c>
      <c r="W1010" s="194">
        <f>IFERROR(IF(INDEX([1]Pivot!$AD$1:$BE$65000,$B1010,W$5)=1,1,IF(INDEX([1]Pivot!$B$1:$AB$65000,$B1010,W$5)="",2,0)),0)</f>
        <v>0</v>
      </c>
      <c r="X1010" s="194">
        <f>IFERROR(IF(INDEX([1]Pivot!$AD$1:$BE$65000,$B1010,X$5)=1,1,IF(INDEX([1]Pivot!$B$1:$AB$65000,$B1010,X$5)="",2,0)),0)</f>
        <v>0</v>
      </c>
      <c r="Y1010" s="194">
        <f>IFERROR(IF(INDEX([1]Pivot!$AD$1:$BE$65000,$B1010,Y$5)=1,1,IF(INDEX([1]Pivot!$B$1:$AB$65000,$B1010,Y$5)="",2,0)),0)</f>
        <v>0</v>
      </c>
      <c r="Z1010" s="194">
        <f>IFERROR(IF(INDEX([1]Pivot!$AD$1:$BE$65000,$B1010,Z$5)=1,1,IF(INDEX([1]Pivot!$B$1:$AB$65000,$B1010,Z$5)="",2,0)),0)</f>
        <v>0</v>
      </c>
      <c r="AA1010" s="194">
        <f>IFERROR(IF(INDEX([1]Pivot!$AD$1:$BE$65000,$B1010,AA$5)=1,1,IF(INDEX([1]Pivot!$B$1:$AB$65000,$B1010,AA$5)="",2,0)),0)</f>
        <v>0</v>
      </c>
      <c r="AB1010" s="194">
        <f>IFERROR(IF(INDEX([1]Pivot!$AD$1:$BE$65000,$B1010,AB$5)=1,1,IF(INDEX([1]Pivot!$B$1:$AB$65000,$B1010,AB$5)="",2,0)),0)</f>
        <v>0</v>
      </c>
      <c r="AC1010" s="194">
        <f>IFERROR(IF(INDEX([1]Pivot!$AD$1:$BE$65000,$B1010,AC$5)=1,1,IF(INDEX([1]Pivot!$B$1:$AB$65000,$B1010,AC$5)="",2,0)),0)</f>
        <v>0</v>
      </c>
      <c r="AD1010" s="313">
        <f>IFERROR(IF(INDEX([1]Pivot!$BF$1:$CG$65000,$B1010,AD$5)=1,1,IF(INDEX([1]Pivot!$B$1:$AB$65000,$B1010,AD$5)="",2,0)),0)</f>
        <v>0</v>
      </c>
      <c r="AE1010" s="313">
        <f>IFERROR(IF(INDEX([1]Pivot!$BF$1:$CG$65000,$B1010,AE$5)=1,1,IF(INDEX([1]Pivot!$B$1:$AB$65000,$B1010,AE$5)="",2,0)),0)</f>
        <v>0</v>
      </c>
      <c r="AF1010" s="313">
        <f>IFERROR(IF(INDEX([1]Pivot!$BF$1:$CG$65000,$B1010,AF$5)=1,1,IF(INDEX([1]Pivot!$B$1:$AB$65000,$B1010,AF$5)="",2,0)),0)</f>
        <v>0</v>
      </c>
      <c r="AG1010" s="313">
        <f>IFERROR(IF(INDEX([1]Pivot!$BF$1:$CG$65000,$B1010,AG$5)=1,1,IF(INDEX([1]Pivot!$B$1:$AB$65000,$B1010,AG$5)="",2,0)),0)</f>
        <v>0</v>
      </c>
      <c r="AH1010" s="313">
        <f>IFERROR(IF(INDEX([1]Pivot!$BF$1:$CG$65000,$B1010,AH$5)=1,1,IF(INDEX([1]Pivot!$B$1:$AB$65000,$B1010,AH$5)="",2,0)),0)</f>
        <v>0</v>
      </c>
      <c r="AI1010" s="313">
        <f>IFERROR(IF(INDEX([1]Pivot!$BF$1:$CG$65000,$B1010,AI$5)=1,1,IF(INDEX([1]Pivot!$B$1:$AB$65000,$B1010,AI$5)="",2,0)),0)</f>
        <v>0</v>
      </c>
      <c r="AJ1010" s="313">
        <f>IFERROR(IF(INDEX([1]Pivot!$BF$1:$CG$65000,$B1010,AJ$5)=1,1,IF(INDEX([1]Pivot!$B$1:$AB$65000,$B1010,AJ$5)="",2,0)),0)</f>
        <v>0</v>
      </c>
      <c r="AK1010" s="313">
        <f>IFERROR(IF(INDEX([1]Pivot!$BF$1:$CG$65000,$B1010,AK$5)=1,1,IF(INDEX([1]Pivot!$B$1:$AB$65000,$B1010,AK$5)="",2,0)),0)</f>
        <v>0</v>
      </c>
      <c r="AL1010" s="313">
        <f>IFERROR(IF(INDEX([1]Pivot!$BF$1:$CG$65000,$B1010,AL$5)=1,1,IF(INDEX([1]Pivot!$B$1:$AB$65000,$B1010,AL$5)="",2,0)),0)</f>
        <v>0</v>
      </c>
      <c r="AM1010" s="313">
        <f>IFERROR(IF(INDEX([1]Pivot!$BF$1:$CG$65000,$B1010,AM$5)=1,1,IF(INDEX([1]Pivot!$B$1:$AB$65000,$B1010,AM$5)="",2,0)),0)</f>
        <v>0</v>
      </c>
      <c r="AN1010" s="313">
        <f>IFERROR(IF(INDEX([1]Pivot!$BF$1:$CG$65000,$B1010,AN$5)=1,1,IF(INDEX([1]Pivot!$B$1:$AB$65000,$B1010,AN$5)="",2,0)),0)</f>
        <v>0</v>
      </c>
      <c r="AO1010" s="313">
        <f>IFERROR(IF(INDEX([1]Pivot!$BF$1:$CG$65000,$B1010,AO$5)=1,1,IF(INDEX([1]Pivot!$B$1:$AB$65000,$B1010,AO$5)="",2,0)),0)</f>
        <v>0</v>
      </c>
      <c r="AP1010" s="313">
        <f>IFERROR(IF(INDEX([1]Pivot!$BF$1:$CG$65000,$B1010,AP$5)=1,1,IF(INDEX([1]Pivot!$B$1:$AB$65000,$B1010,AP$5)="",2,0)),0)</f>
        <v>0</v>
      </c>
      <c r="AQ1010" s="313">
        <f>IFERROR(IF(INDEX([1]Pivot!$BF$1:$CG$65000,$B1010,AQ$5)=1,1,IF(INDEX([1]Pivot!$B$1:$AB$65000,$B1010,AQ$5)="",2,0)),0)</f>
        <v>0</v>
      </c>
      <c r="AR1010" s="313">
        <f>IFERROR(IF(INDEX([1]Pivot!$BF$1:$CG$65000,$B1010,AR$5)=1,1,IF(INDEX([1]Pivot!$B$1:$AB$65000,$B1010,AR$5)="",2,0)),0)</f>
        <v>0</v>
      </c>
      <c r="AS1010" s="312"/>
      <c r="AT1010" s="313">
        <f>IFERROR(IF(INDEX([1]Pivot!$BF$1:$CG$65000,$B1010,AT$5)=1,1,IF(INDEX([1]Pivot!$B$1:$AB$65000,$B1010,AT$5)="",2,0)),0)</f>
        <v>0</v>
      </c>
      <c r="AU1010" s="313">
        <f>IFERROR(IF(INDEX([1]Pivot!$BF$1:$CG$65000,$B1010,AU$5)=1,1,IF(INDEX([1]Pivot!$B$1:$AB$65000,$B1010,AU$5)="",2,0)),0)</f>
        <v>0</v>
      </c>
      <c r="AV1010" s="313">
        <f>IFERROR(IF(INDEX([1]Pivot!$BF$1:$CG$65000,$B1010,AV$5)=1,1,IF(INDEX([1]Pivot!$B$1:$AB$65000,$B1010,AV$5)="",2,0)),0)</f>
        <v>0</v>
      </c>
      <c r="AW1010" s="313">
        <f>IFERROR(IF(INDEX([1]Pivot!$BF$1:$CG$65000,$B1010,AW$5)=1,1,IF(INDEX([1]Pivot!$B$1:$AB$65000,$B1010,AW$5)="",2,0)),0)</f>
        <v>0</v>
      </c>
      <c r="AX1010" s="313">
        <f>IFERROR(IF(INDEX([1]Pivot!$BF$1:$CG$65000,$B1010,AX$5)=1,1,IF(INDEX([1]Pivot!$B$1:$AB$65000,$B1010,AX$5)="",2,0)),0)</f>
        <v>0</v>
      </c>
      <c r="AY1010" s="313">
        <f>IFERROR(IF(INDEX([1]Pivot!$BF$1:$CG$65000,$B1010,AY$5)=1,1,IF(INDEX([1]Pivot!$B$1:$AB$65000,$B1010,AY$5)="",2,0)),0)</f>
        <v>0</v>
      </c>
      <c r="AZ1010" s="313">
        <f>IFERROR(IF(INDEX([1]Pivot!$BF$1:$CG$65000,$B1010,AZ$5)=1,1,IF(INDEX([1]Pivot!$B$1:$AB$65000,$B1010,AZ$5)="",2,0)),0)</f>
        <v>0</v>
      </c>
      <c r="BA1010" s="313">
        <f>IFERROR(IF(INDEX([1]Pivot!$BF$1:$CG$65000,$B1010,BA$5)=1,1,IF(INDEX([1]Pivot!$B$1:$AB$65000,$B1010,BA$5)="",2,0)),0)</f>
        <v>0</v>
      </c>
      <c r="BB1010" s="313">
        <f>IFERROR(IF(INDEX([1]Pivot!$BF$1:$CG$65000,$B1010,BB$5)=1,1,IF(INDEX([1]Pivot!$B$1:$AB$65000,$B1010,BB$5)="",2,0)),0)</f>
        <v>0</v>
      </c>
      <c r="BC1010" s="313">
        <f>IFERROR(IF(INDEX([1]Pivot!$BF$1:$CG$65000,$B1010,BC$5)=1,1,IF(INDEX([1]Pivot!$B$1:$AB$65000,$B1010,BC$5)="",2,0)),0)</f>
        <v>0</v>
      </c>
      <c r="BD1010" s="313">
        <f>IFERROR(IF(INDEX([1]Pivot!$BF$1:$CG$65000,$B1010,BD$5)=1,1,IF(INDEX([1]Pivot!$B$1:$AB$65000,$B1010,BD$5)="",2,0)),0)</f>
        <v>0</v>
      </c>
    </row>
    <row r="1011" spans="1:56" x14ac:dyDescent="0.25">
      <c r="A1011" s="288">
        <f>'[2]Raw Milk Prices'!A1011</f>
        <v>0</v>
      </c>
      <c r="B1011" s="296" t="e">
        <f>MATCH(DATE(LEFT('[2]Raw Milk Prices'!$A1011,4),RIGHT('[2]Raw Milk Prices'!$A1011,2),1),[1]Pivot!$A$1:$A$65000,0)</f>
        <v>#VALUE!</v>
      </c>
      <c r="C1011" s="194">
        <f>IFERROR(IF(INDEX([1]Pivot!$AD$1:$BE$65000,$B1011,C$5)=1,1,IF(INDEX([1]Pivot!$B$1:$AB$65000,$B1011,C$5)="",2,0)),0)</f>
        <v>0</v>
      </c>
      <c r="D1011" s="194">
        <f>IFERROR(IF(INDEX([1]Pivot!$AD$1:$BE$65000,$B1011,D$5)=1,1,IF(INDEX([1]Pivot!$B$1:$AB$65000,$B1011,D$5)="",2,0)),0)</f>
        <v>0</v>
      </c>
      <c r="E1011" s="194">
        <f>IFERROR(IF(INDEX([1]Pivot!$AD$1:$BE$65000,$B1011,E$5)=1,1,IF(INDEX([1]Pivot!$B$1:$AB$65000,$B1011,E$5)="",2,0)),0)</f>
        <v>0</v>
      </c>
      <c r="F1011" s="194">
        <f>IFERROR(IF(INDEX([1]Pivot!$AD$1:$BE$65000,$B1011,F$5)=1,1,IF(INDEX([1]Pivot!$B$1:$AB$65000,$B1011,F$5)="",2,0)),0)</f>
        <v>0</v>
      </c>
      <c r="G1011" s="194">
        <f>IFERROR(IF(INDEX([1]Pivot!$AD$1:$BE$65000,$B1011,G$5)=1,1,IF(INDEX([1]Pivot!$B$1:$AB$65000,$B1011,G$5)="",2,0)),0)</f>
        <v>0</v>
      </c>
      <c r="H1011" s="194">
        <f>IFERROR(IF(INDEX([1]Pivot!$AD$1:$BE$65000,$B1011,H$5)=1,1,IF(INDEX([1]Pivot!$B$1:$AB$65000,$B1011,H$5)="",2,0)),0)</f>
        <v>0</v>
      </c>
      <c r="I1011" s="194">
        <f>IFERROR(IF(INDEX([1]Pivot!$AD$1:$BE$65000,$B1011,I$5)=1,1,IF(INDEX([1]Pivot!$B$1:$AB$65000,$B1011,I$5)="",2,0)),0)</f>
        <v>0</v>
      </c>
      <c r="J1011" s="194">
        <f>IFERROR(IF(INDEX([1]Pivot!$AD$1:$BE$65000,$B1011,J$5)=1,1,IF(INDEX([1]Pivot!$B$1:$AB$65000,$B1011,J$5)="",2,0)),0)</f>
        <v>0</v>
      </c>
      <c r="K1011" s="194">
        <f>IFERROR(IF(INDEX([1]Pivot!$AD$1:$BE$65000,$B1011,K$5)=1,1,IF(INDEX([1]Pivot!$B$1:$AB$65000,$B1011,K$5)="",2,0)),0)</f>
        <v>0</v>
      </c>
      <c r="L1011" s="194">
        <f>IFERROR(IF(INDEX([1]Pivot!$AD$1:$BE$65000,$B1011,L$5)=1,1,IF(INDEX([1]Pivot!$B$1:$AB$65000,$B1011,L$5)="",2,0)),0)</f>
        <v>0</v>
      </c>
      <c r="M1011" s="194">
        <f>IFERROR(IF(INDEX([1]Pivot!$AD$1:$BE$65000,$B1011,M$5)=1,1,IF(INDEX([1]Pivot!$B$1:$AB$65000,$B1011,M$5)="",2,0)),0)</f>
        <v>0</v>
      </c>
      <c r="N1011" s="194">
        <f>IFERROR(IF(INDEX([1]Pivot!$AD$1:$BE$65000,$B1011,N$5)=1,1,IF(INDEX([1]Pivot!$B$1:$AB$65000,$B1011,N$5)="",2,0)),0)</f>
        <v>0</v>
      </c>
      <c r="O1011" s="194">
        <f>IFERROR(IF(INDEX([1]Pivot!$AD$1:$BE$65000,$B1011,O$5)=1,1,IF(INDEX([1]Pivot!$B$1:$AB$65000,$B1011,O$5)="",2,0)),0)</f>
        <v>0</v>
      </c>
      <c r="P1011" s="194">
        <f>IFERROR(IF(INDEX([1]Pivot!$AD$1:$BE$65000,$B1011,P$5)=1,1,IF(INDEX([1]Pivot!$B$1:$AB$65000,$B1011,P$5)="",2,0)),0)</f>
        <v>0</v>
      </c>
      <c r="Q1011" s="194">
        <f>IFERROR(IF(INDEX([1]Pivot!$AD$1:$BE$65000,$B1011,Q$5)=1,1,IF(INDEX([1]Pivot!$B$1:$AB$65000,$B1011,Q$5)="",2,0)),0)</f>
        <v>0</v>
      </c>
      <c r="R1011" s="312"/>
      <c r="S1011" s="194">
        <f>IFERROR(IF(INDEX([1]Pivot!$AD$1:$BE$65000,$B1011,S$5)=1,1,IF(INDEX([1]Pivot!$B$1:$AB$65000,$B1011,S$5)="",2,0)),0)</f>
        <v>0</v>
      </c>
      <c r="T1011" s="194">
        <f>IFERROR(IF(INDEX([1]Pivot!$AD$1:$BE$65000,$B1011,T$5)=1,1,IF(INDEX([1]Pivot!$B$1:$AB$65000,$B1011,T$5)="",2,0)),0)</f>
        <v>0</v>
      </c>
      <c r="U1011" s="194">
        <f>IFERROR(IF(INDEX([1]Pivot!$AD$1:$BE$65000,$B1011,U$5)=1,1,IF(INDEX([1]Pivot!$B$1:$AB$65000,$B1011,U$5)="",2,0)),0)</f>
        <v>0</v>
      </c>
      <c r="V1011" s="194">
        <f>IFERROR(IF(INDEX([1]Pivot!$AD$1:$BE$65000,$B1011,V$5)=1,1,IF(INDEX([1]Pivot!$B$1:$AB$65000,$B1011,V$5)="",2,0)),0)</f>
        <v>0</v>
      </c>
      <c r="W1011" s="194">
        <f>IFERROR(IF(INDEX([1]Pivot!$AD$1:$BE$65000,$B1011,W$5)=1,1,IF(INDEX([1]Pivot!$B$1:$AB$65000,$B1011,W$5)="",2,0)),0)</f>
        <v>0</v>
      </c>
      <c r="X1011" s="194">
        <f>IFERROR(IF(INDEX([1]Pivot!$AD$1:$BE$65000,$B1011,X$5)=1,1,IF(INDEX([1]Pivot!$B$1:$AB$65000,$B1011,X$5)="",2,0)),0)</f>
        <v>0</v>
      </c>
      <c r="Y1011" s="194">
        <f>IFERROR(IF(INDEX([1]Pivot!$AD$1:$BE$65000,$B1011,Y$5)=1,1,IF(INDEX([1]Pivot!$B$1:$AB$65000,$B1011,Y$5)="",2,0)),0)</f>
        <v>0</v>
      </c>
      <c r="Z1011" s="194">
        <f>IFERROR(IF(INDEX([1]Pivot!$AD$1:$BE$65000,$B1011,Z$5)=1,1,IF(INDEX([1]Pivot!$B$1:$AB$65000,$B1011,Z$5)="",2,0)),0)</f>
        <v>0</v>
      </c>
      <c r="AA1011" s="194">
        <f>IFERROR(IF(INDEX([1]Pivot!$AD$1:$BE$65000,$B1011,AA$5)=1,1,IF(INDEX([1]Pivot!$B$1:$AB$65000,$B1011,AA$5)="",2,0)),0)</f>
        <v>0</v>
      </c>
      <c r="AB1011" s="194">
        <f>IFERROR(IF(INDEX([1]Pivot!$AD$1:$BE$65000,$B1011,AB$5)=1,1,IF(INDEX([1]Pivot!$B$1:$AB$65000,$B1011,AB$5)="",2,0)),0)</f>
        <v>0</v>
      </c>
      <c r="AC1011" s="194">
        <f>IFERROR(IF(INDEX([1]Pivot!$AD$1:$BE$65000,$B1011,AC$5)=1,1,IF(INDEX([1]Pivot!$B$1:$AB$65000,$B1011,AC$5)="",2,0)),0)</f>
        <v>0</v>
      </c>
      <c r="AD1011" s="313">
        <f>IFERROR(IF(INDEX([1]Pivot!$BF$1:$CG$65000,$B1011,AD$5)=1,1,IF(INDEX([1]Pivot!$B$1:$AB$65000,$B1011,AD$5)="",2,0)),0)</f>
        <v>0</v>
      </c>
      <c r="AE1011" s="313">
        <f>IFERROR(IF(INDEX([1]Pivot!$BF$1:$CG$65000,$B1011,AE$5)=1,1,IF(INDEX([1]Pivot!$B$1:$AB$65000,$B1011,AE$5)="",2,0)),0)</f>
        <v>0</v>
      </c>
      <c r="AF1011" s="313">
        <f>IFERROR(IF(INDEX([1]Pivot!$BF$1:$CG$65000,$B1011,AF$5)=1,1,IF(INDEX([1]Pivot!$B$1:$AB$65000,$B1011,AF$5)="",2,0)),0)</f>
        <v>0</v>
      </c>
      <c r="AG1011" s="313">
        <f>IFERROR(IF(INDEX([1]Pivot!$BF$1:$CG$65000,$B1011,AG$5)=1,1,IF(INDEX([1]Pivot!$B$1:$AB$65000,$B1011,AG$5)="",2,0)),0)</f>
        <v>0</v>
      </c>
      <c r="AH1011" s="313">
        <f>IFERROR(IF(INDEX([1]Pivot!$BF$1:$CG$65000,$B1011,AH$5)=1,1,IF(INDEX([1]Pivot!$B$1:$AB$65000,$B1011,AH$5)="",2,0)),0)</f>
        <v>0</v>
      </c>
      <c r="AI1011" s="313">
        <f>IFERROR(IF(INDEX([1]Pivot!$BF$1:$CG$65000,$B1011,AI$5)=1,1,IF(INDEX([1]Pivot!$B$1:$AB$65000,$B1011,AI$5)="",2,0)),0)</f>
        <v>0</v>
      </c>
      <c r="AJ1011" s="313">
        <f>IFERROR(IF(INDEX([1]Pivot!$BF$1:$CG$65000,$B1011,AJ$5)=1,1,IF(INDEX([1]Pivot!$B$1:$AB$65000,$B1011,AJ$5)="",2,0)),0)</f>
        <v>0</v>
      </c>
      <c r="AK1011" s="313">
        <f>IFERROR(IF(INDEX([1]Pivot!$BF$1:$CG$65000,$B1011,AK$5)=1,1,IF(INDEX([1]Pivot!$B$1:$AB$65000,$B1011,AK$5)="",2,0)),0)</f>
        <v>0</v>
      </c>
      <c r="AL1011" s="313">
        <f>IFERROR(IF(INDEX([1]Pivot!$BF$1:$CG$65000,$B1011,AL$5)=1,1,IF(INDEX([1]Pivot!$B$1:$AB$65000,$B1011,AL$5)="",2,0)),0)</f>
        <v>0</v>
      </c>
      <c r="AM1011" s="313">
        <f>IFERROR(IF(INDEX([1]Pivot!$BF$1:$CG$65000,$B1011,AM$5)=1,1,IF(INDEX([1]Pivot!$B$1:$AB$65000,$B1011,AM$5)="",2,0)),0)</f>
        <v>0</v>
      </c>
      <c r="AN1011" s="313">
        <f>IFERROR(IF(INDEX([1]Pivot!$BF$1:$CG$65000,$B1011,AN$5)=1,1,IF(INDEX([1]Pivot!$B$1:$AB$65000,$B1011,AN$5)="",2,0)),0)</f>
        <v>0</v>
      </c>
      <c r="AO1011" s="313">
        <f>IFERROR(IF(INDEX([1]Pivot!$BF$1:$CG$65000,$B1011,AO$5)=1,1,IF(INDEX([1]Pivot!$B$1:$AB$65000,$B1011,AO$5)="",2,0)),0)</f>
        <v>0</v>
      </c>
      <c r="AP1011" s="313">
        <f>IFERROR(IF(INDEX([1]Pivot!$BF$1:$CG$65000,$B1011,AP$5)=1,1,IF(INDEX([1]Pivot!$B$1:$AB$65000,$B1011,AP$5)="",2,0)),0)</f>
        <v>0</v>
      </c>
      <c r="AQ1011" s="313">
        <f>IFERROR(IF(INDEX([1]Pivot!$BF$1:$CG$65000,$B1011,AQ$5)=1,1,IF(INDEX([1]Pivot!$B$1:$AB$65000,$B1011,AQ$5)="",2,0)),0)</f>
        <v>0</v>
      </c>
      <c r="AR1011" s="313">
        <f>IFERROR(IF(INDEX([1]Pivot!$BF$1:$CG$65000,$B1011,AR$5)=1,1,IF(INDEX([1]Pivot!$B$1:$AB$65000,$B1011,AR$5)="",2,0)),0)</f>
        <v>0</v>
      </c>
      <c r="AS1011" s="312"/>
      <c r="AT1011" s="313">
        <f>IFERROR(IF(INDEX([1]Pivot!$BF$1:$CG$65000,$B1011,AT$5)=1,1,IF(INDEX([1]Pivot!$B$1:$AB$65000,$B1011,AT$5)="",2,0)),0)</f>
        <v>0</v>
      </c>
      <c r="AU1011" s="313">
        <f>IFERROR(IF(INDEX([1]Pivot!$BF$1:$CG$65000,$B1011,AU$5)=1,1,IF(INDEX([1]Pivot!$B$1:$AB$65000,$B1011,AU$5)="",2,0)),0)</f>
        <v>0</v>
      </c>
      <c r="AV1011" s="313">
        <f>IFERROR(IF(INDEX([1]Pivot!$BF$1:$CG$65000,$B1011,AV$5)=1,1,IF(INDEX([1]Pivot!$B$1:$AB$65000,$B1011,AV$5)="",2,0)),0)</f>
        <v>0</v>
      </c>
      <c r="AW1011" s="313">
        <f>IFERROR(IF(INDEX([1]Pivot!$BF$1:$CG$65000,$B1011,AW$5)=1,1,IF(INDEX([1]Pivot!$B$1:$AB$65000,$B1011,AW$5)="",2,0)),0)</f>
        <v>0</v>
      </c>
      <c r="AX1011" s="313">
        <f>IFERROR(IF(INDEX([1]Pivot!$BF$1:$CG$65000,$B1011,AX$5)=1,1,IF(INDEX([1]Pivot!$B$1:$AB$65000,$B1011,AX$5)="",2,0)),0)</f>
        <v>0</v>
      </c>
      <c r="AY1011" s="313">
        <f>IFERROR(IF(INDEX([1]Pivot!$BF$1:$CG$65000,$B1011,AY$5)=1,1,IF(INDEX([1]Pivot!$B$1:$AB$65000,$B1011,AY$5)="",2,0)),0)</f>
        <v>0</v>
      </c>
      <c r="AZ1011" s="313">
        <f>IFERROR(IF(INDEX([1]Pivot!$BF$1:$CG$65000,$B1011,AZ$5)=1,1,IF(INDEX([1]Pivot!$B$1:$AB$65000,$B1011,AZ$5)="",2,0)),0)</f>
        <v>0</v>
      </c>
      <c r="BA1011" s="313">
        <f>IFERROR(IF(INDEX([1]Pivot!$BF$1:$CG$65000,$B1011,BA$5)=1,1,IF(INDEX([1]Pivot!$B$1:$AB$65000,$B1011,BA$5)="",2,0)),0)</f>
        <v>0</v>
      </c>
      <c r="BB1011" s="313">
        <f>IFERROR(IF(INDEX([1]Pivot!$BF$1:$CG$65000,$B1011,BB$5)=1,1,IF(INDEX([1]Pivot!$B$1:$AB$65000,$B1011,BB$5)="",2,0)),0)</f>
        <v>0</v>
      </c>
      <c r="BC1011" s="313">
        <f>IFERROR(IF(INDEX([1]Pivot!$BF$1:$CG$65000,$B1011,BC$5)=1,1,IF(INDEX([1]Pivot!$B$1:$AB$65000,$B1011,BC$5)="",2,0)),0)</f>
        <v>0</v>
      </c>
      <c r="BD1011" s="313">
        <f>IFERROR(IF(INDEX([1]Pivot!$BF$1:$CG$65000,$B1011,BD$5)=1,1,IF(INDEX([1]Pivot!$B$1:$AB$65000,$B1011,BD$5)="",2,0)),0)</f>
        <v>0</v>
      </c>
    </row>
    <row r="1012" spans="1:56" x14ac:dyDescent="0.25">
      <c r="A1012" s="288">
        <f>'[2]Raw Milk Prices'!A1012</f>
        <v>0</v>
      </c>
      <c r="B1012" s="296" t="e">
        <f>MATCH(DATE(LEFT('[2]Raw Milk Prices'!$A1012,4),RIGHT('[2]Raw Milk Prices'!$A1012,2),1),[1]Pivot!$A$1:$A$65000,0)</f>
        <v>#VALUE!</v>
      </c>
      <c r="C1012" s="194">
        <f>IFERROR(IF(INDEX([1]Pivot!$AD$1:$BE$65000,$B1012,C$5)=1,1,IF(INDEX([1]Pivot!$B$1:$AB$65000,$B1012,C$5)="",2,0)),0)</f>
        <v>0</v>
      </c>
      <c r="D1012" s="194">
        <f>IFERROR(IF(INDEX([1]Pivot!$AD$1:$BE$65000,$B1012,D$5)=1,1,IF(INDEX([1]Pivot!$B$1:$AB$65000,$B1012,D$5)="",2,0)),0)</f>
        <v>0</v>
      </c>
      <c r="E1012" s="194">
        <f>IFERROR(IF(INDEX([1]Pivot!$AD$1:$BE$65000,$B1012,E$5)=1,1,IF(INDEX([1]Pivot!$B$1:$AB$65000,$B1012,E$5)="",2,0)),0)</f>
        <v>0</v>
      </c>
      <c r="F1012" s="194">
        <f>IFERROR(IF(INDEX([1]Pivot!$AD$1:$BE$65000,$B1012,F$5)=1,1,IF(INDEX([1]Pivot!$B$1:$AB$65000,$B1012,F$5)="",2,0)),0)</f>
        <v>0</v>
      </c>
      <c r="G1012" s="194">
        <f>IFERROR(IF(INDEX([1]Pivot!$AD$1:$BE$65000,$B1012,G$5)=1,1,IF(INDEX([1]Pivot!$B$1:$AB$65000,$B1012,G$5)="",2,0)),0)</f>
        <v>0</v>
      </c>
      <c r="H1012" s="194">
        <f>IFERROR(IF(INDEX([1]Pivot!$AD$1:$BE$65000,$B1012,H$5)=1,1,IF(INDEX([1]Pivot!$B$1:$AB$65000,$B1012,H$5)="",2,0)),0)</f>
        <v>0</v>
      </c>
      <c r="I1012" s="194">
        <f>IFERROR(IF(INDEX([1]Pivot!$AD$1:$BE$65000,$B1012,I$5)=1,1,IF(INDEX([1]Pivot!$B$1:$AB$65000,$B1012,I$5)="",2,0)),0)</f>
        <v>0</v>
      </c>
      <c r="J1012" s="194">
        <f>IFERROR(IF(INDEX([1]Pivot!$AD$1:$BE$65000,$B1012,J$5)=1,1,IF(INDEX([1]Pivot!$B$1:$AB$65000,$B1012,J$5)="",2,0)),0)</f>
        <v>0</v>
      </c>
      <c r="K1012" s="194">
        <f>IFERROR(IF(INDEX([1]Pivot!$AD$1:$BE$65000,$B1012,K$5)=1,1,IF(INDEX([1]Pivot!$B$1:$AB$65000,$B1012,K$5)="",2,0)),0)</f>
        <v>0</v>
      </c>
      <c r="L1012" s="194">
        <f>IFERROR(IF(INDEX([1]Pivot!$AD$1:$BE$65000,$B1012,L$5)=1,1,IF(INDEX([1]Pivot!$B$1:$AB$65000,$B1012,L$5)="",2,0)),0)</f>
        <v>0</v>
      </c>
      <c r="M1012" s="194">
        <f>IFERROR(IF(INDEX([1]Pivot!$AD$1:$BE$65000,$B1012,M$5)=1,1,IF(INDEX([1]Pivot!$B$1:$AB$65000,$B1012,M$5)="",2,0)),0)</f>
        <v>0</v>
      </c>
      <c r="N1012" s="194">
        <f>IFERROR(IF(INDEX([1]Pivot!$AD$1:$BE$65000,$B1012,N$5)=1,1,IF(INDEX([1]Pivot!$B$1:$AB$65000,$B1012,N$5)="",2,0)),0)</f>
        <v>0</v>
      </c>
      <c r="O1012" s="194">
        <f>IFERROR(IF(INDEX([1]Pivot!$AD$1:$BE$65000,$B1012,O$5)=1,1,IF(INDEX([1]Pivot!$B$1:$AB$65000,$B1012,O$5)="",2,0)),0)</f>
        <v>0</v>
      </c>
      <c r="P1012" s="194">
        <f>IFERROR(IF(INDEX([1]Pivot!$AD$1:$BE$65000,$B1012,P$5)=1,1,IF(INDEX([1]Pivot!$B$1:$AB$65000,$B1012,P$5)="",2,0)),0)</f>
        <v>0</v>
      </c>
      <c r="Q1012" s="194">
        <f>IFERROR(IF(INDEX([1]Pivot!$AD$1:$BE$65000,$B1012,Q$5)=1,1,IF(INDEX([1]Pivot!$B$1:$AB$65000,$B1012,Q$5)="",2,0)),0)</f>
        <v>0</v>
      </c>
      <c r="R1012" s="312"/>
      <c r="S1012" s="194">
        <f>IFERROR(IF(INDEX([1]Pivot!$AD$1:$BE$65000,$B1012,S$5)=1,1,IF(INDEX([1]Pivot!$B$1:$AB$65000,$B1012,S$5)="",2,0)),0)</f>
        <v>0</v>
      </c>
      <c r="T1012" s="194">
        <f>IFERROR(IF(INDEX([1]Pivot!$AD$1:$BE$65000,$B1012,T$5)=1,1,IF(INDEX([1]Pivot!$B$1:$AB$65000,$B1012,T$5)="",2,0)),0)</f>
        <v>0</v>
      </c>
      <c r="U1012" s="194">
        <f>IFERROR(IF(INDEX([1]Pivot!$AD$1:$BE$65000,$B1012,U$5)=1,1,IF(INDEX([1]Pivot!$B$1:$AB$65000,$B1012,U$5)="",2,0)),0)</f>
        <v>0</v>
      </c>
      <c r="V1012" s="194">
        <f>IFERROR(IF(INDEX([1]Pivot!$AD$1:$BE$65000,$B1012,V$5)=1,1,IF(INDEX([1]Pivot!$B$1:$AB$65000,$B1012,V$5)="",2,0)),0)</f>
        <v>0</v>
      </c>
      <c r="W1012" s="194">
        <f>IFERROR(IF(INDEX([1]Pivot!$AD$1:$BE$65000,$B1012,W$5)=1,1,IF(INDEX([1]Pivot!$B$1:$AB$65000,$B1012,W$5)="",2,0)),0)</f>
        <v>0</v>
      </c>
      <c r="X1012" s="194">
        <f>IFERROR(IF(INDEX([1]Pivot!$AD$1:$BE$65000,$B1012,X$5)=1,1,IF(INDEX([1]Pivot!$B$1:$AB$65000,$B1012,X$5)="",2,0)),0)</f>
        <v>0</v>
      </c>
      <c r="Y1012" s="194">
        <f>IFERROR(IF(INDEX([1]Pivot!$AD$1:$BE$65000,$B1012,Y$5)=1,1,IF(INDEX([1]Pivot!$B$1:$AB$65000,$B1012,Y$5)="",2,0)),0)</f>
        <v>0</v>
      </c>
      <c r="Z1012" s="194">
        <f>IFERROR(IF(INDEX([1]Pivot!$AD$1:$BE$65000,$B1012,Z$5)=1,1,IF(INDEX([1]Pivot!$B$1:$AB$65000,$B1012,Z$5)="",2,0)),0)</f>
        <v>0</v>
      </c>
      <c r="AA1012" s="194">
        <f>IFERROR(IF(INDEX([1]Pivot!$AD$1:$BE$65000,$B1012,AA$5)=1,1,IF(INDEX([1]Pivot!$B$1:$AB$65000,$B1012,AA$5)="",2,0)),0)</f>
        <v>0</v>
      </c>
      <c r="AB1012" s="194">
        <f>IFERROR(IF(INDEX([1]Pivot!$AD$1:$BE$65000,$B1012,AB$5)=1,1,IF(INDEX([1]Pivot!$B$1:$AB$65000,$B1012,AB$5)="",2,0)),0)</f>
        <v>0</v>
      </c>
      <c r="AC1012" s="194">
        <f>IFERROR(IF(INDEX([1]Pivot!$AD$1:$BE$65000,$B1012,AC$5)=1,1,IF(INDEX([1]Pivot!$B$1:$AB$65000,$B1012,AC$5)="",2,0)),0)</f>
        <v>0</v>
      </c>
      <c r="AD1012" s="313">
        <f>IFERROR(IF(INDEX([1]Pivot!$BF$1:$CG$65000,$B1012,AD$5)=1,1,IF(INDEX([1]Pivot!$B$1:$AB$65000,$B1012,AD$5)="",2,0)),0)</f>
        <v>0</v>
      </c>
      <c r="AE1012" s="313">
        <f>IFERROR(IF(INDEX([1]Pivot!$BF$1:$CG$65000,$B1012,AE$5)=1,1,IF(INDEX([1]Pivot!$B$1:$AB$65000,$B1012,AE$5)="",2,0)),0)</f>
        <v>0</v>
      </c>
      <c r="AF1012" s="313">
        <f>IFERROR(IF(INDEX([1]Pivot!$BF$1:$CG$65000,$B1012,AF$5)=1,1,IF(INDEX([1]Pivot!$B$1:$AB$65000,$B1012,AF$5)="",2,0)),0)</f>
        <v>0</v>
      </c>
      <c r="AG1012" s="313">
        <f>IFERROR(IF(INDEX([1]Pivot!$BF$1:$CG$65000,$B1012,AG$5)=1,1,IF(INDEX([1]Pivot!$B$1:$AB$65000,$B1012,AG$5)="",2,0)),0)</f>
        <v>0</v>
      </c>
      <c r="AH1012" s="313">
        <f>IFERROR(IF(INDEX([1]Pivot!$BF$1:$CG$65000,$B1012,AH$5)=1,1,IF(INDEX([1]Pivot!$B$1:$AB$65000,$B1012,AH$5)="",2,0)),0)</f>
        <v>0</v>
      </c>
      <c r="AI1012" s="313">
        <f>IFERROR(IF(INDEX([1]Pivot!$BF$1:$CG$65000,$B1012,AI$5)=1,1,IF(INDEX([1]Pivot!$B$1:$AB$65000,$B1012,AI$5)="",2,0)),0)</f>
        <v>0</v>
      </c>
      <c r="AJ1012" s="313">
        <f>IFERROR(IF(INDEX([1]Pivot!$BF$1:$CG$65000,$B1012,AJ$5)=1,1,IF(INDEX([1]Pivot!$B$1:$AB$65000,$B1012,AJ$5)="",2,0)),0)</f>
        <v>0</v>
      </c>
      <c r="AK1012" s="313">
        <f>IFERROR(IF(INDEX([1]Pivot!$BF$1:$CG$65000,$B1012,AK$5)=1,1,IF(INDEX([1]Pivot!$B$1:$AB$65000,$B1012,AK$5)="",2,0)),0)</f>
        <v>0</v>
      </c>
      <c r="AL1012" s="313">
        <f>IFERROR(IF(INDEX([1]Pivot!$BF$1:$CG$65000,$B1012,AL$5)=1,1,IF(INDEX([1]Pivot!$B$1:$AB$65000,$B1012,AL$5)="",2,0)),0)</f>
        <v>0</v>
      </c>
      <c r="AM1012" s="313">
        <f>IFERROR(IF(INDEX([1]Pivot!$BF$1:$CG$65000,$B1012,AM$5)=1,1,IF(INDEX([1]Pivot!$B$1:$AB$65000,$B1012,AM$5)="",2,0)),0)</f>
        <v>0</v>
      </c>
      <c r="AN1012" s="313">
        <f>IFERROR(IF(INDEX([1]Pivot!$BF$1:$CG$65000,$B1012,AN$5)=1,1,IF(INDEX([1]Pivot!$B$1:$AB$65000,$B1012,AN$5)="",2,0)),0)</f>
        <v>0</v>
      </c>
      <c r="AO1012" s="313">
        <f>IFERROR(IF(INDEX([1]Pivot!$BF$1:$CG$65000,$B1012,AO$5)=1,1,IF(INDEX([1]Pivot!$B$1:$AB$65000,$B1012,AO$5)="",2,0)),0)</f>
        <v>0</v>
      </c>
      <c r="AP1012" s="313">
        <f>IFERROR(IF(INDEX([1]Pivot!$BF$1:$CG$65000,$B1012,AP$5)=1,1,IF(INDEX([1]Pivot!$B$1:$AB$65000,$B1012,AP$5)="",2,0)),0)</f>
        <v>0</v>
      </c>
      <c r="AQ1012" s="313">
        <f>IFERROR(IF(INDEX([1]Pivot!$BF$1:$CG$65000,$B1012,AQ$5)=1,1,IF(INDEX([1]Pivot!$B$1:$AB$65000,$B1012,AQ$5)="",2,0)),0)</f>
        <v>0</v>
      </c>
      <c r="AR1012" s="313">
        <f>IFERROR(IF(INDEX([1]Pivot!$BF$1:$CG$65000,$B1012,AR$5)=1,1,IF(INDEX([1]Pivot!$B$1:$AB$65000,$B1012,AR$5)="",2,0)),0)</f>
        <v>0</v>
      </c>
      <c r="AS1012" s="312"/>
      <c r="AT1012" s="313">
        <f>IFERROR(IF(INDEX([1]Pivot!$BF$1:$CG$65000,$B1012,AT$5)=1,1,IF(INDEX([1]Pivot!$B$1:$AB$65000,$B1012,AT$5)="",2,0)),0)</f>
        <v>0</v>
      </c>
      <c r="AU1012" s="313">
        <f>IFERROR(IF(INDEX([1]Pivot!$BF$1:$CG$65000,$B1012,AU$5)=1,1,IF(INDEX([1]Pivot!$B$1:$AB$65000,$B1012,AU$5)="",2,0)),0)</f>
        <v>0</v>
      </c>
      <c r="AV1012" s="313">
        <f>IFERROR(IF(INDEX([1]Pivot!$BF$1:$CG$65000,$B1012,AV$5)=1,1,IF(INDEX([1]Pivot!$B$1:$AB$65000,$B1012,AV$5)="",2,0)),0)</f>
        <v>0</v>
      </c>
      <c r="AW1012" s="313">
        <f>IFERROR(IF(INDEX([1]Pivot!$BF$1:$CG$65000,$B1012,AW$5)=1,1,IF(INDEX([1]Pivot!$B$1:$AB$65000,$B1012,AW$5)="",2,0)),0)</f>
        <v>0</v>
      </c>
      <c r="AX1012" s="313">
        <f>IFERROR(IF(INDEX([1]Pivot!$BF$1:$CG$65000,$B1012,AX$5)=1,1,IF(INDEX([1]Pivot!$B$1:$AB$65000,$B1012,AX$5)="",2,0)),0)</f>
        <v>0</v>
      </c>
      <c r="AY1012" s="313">
        <f>IFERROR(IF(INDEX([1]Pivot!$BF$1:$CG$65000,$B1012,AY$5)=1,1,IF(INDEX([1]Pivot!$B$1:$AB$65000,$B1012,AY$5)="",2,0)),0)</f>
        <v>0</v>
      </c>
      <c r="AZ1012" s="313">
        <f>IFERROR(IF(INDEX([1]Pivot!$BF$1:$CG$65000,$B1012,AZ$5)=1,1,IF(INDEX([1]Pivot!$B$1:$AB$65000,$B1012,AZ$5)="",2,0)),0)</f>
        <v>0</v>
      </c>
      <c r="BA1012" s="313">
        <f>IFERROR(IF(INDEX([1]Pivot!$BF$1:$CG$65000,$B1012,BA$5)=1,1,IF(INDEX([1]Pivot!$B$1:$AB$65000,$B1012,BA$5)="",2,0)),0)</f>
        <v>0</v>
      </c>
      <c r="BB1012" s="313">
        <f>IFERROR(IF(INDEX([1]Pivot!$BF$1:$CG$65000,$B1012,BB$5)=1,1,IF(INDEX([1]Pivot!$B$1:$AB$65000,$B1012,BB$5)="",2,0)),0)</f>
        <v>0</v>
      </c>
      <c r="BC1012" s="313">
        <f>IFERROR(IF(INDEX([1]Pivot!$BF$1:$CG$65000,$B1012,BC$5)=1,1,IF(INDEX([1]Pivot!$B$1:$AB$65000,$B1012,BC$5)="",2,0)),0)</f>
        <v>0</v>
      </c>
      <c r="BD1012" s="313">
        <f>IFERROR(IF(INDEX([1]Pivot!$BF$1:$CG$65000,$B1012,BD$5)=1,1,IF(INDEX([1]Pivot!$B$1:$AB$65000,$B1012,BD$5)="",2,0)),0)</f>
        <v>0</v>
      </c>
    </row>
    <row r="1013" spans="1:56" x14ac:dyDescent="0.25">
      <c r="A1013" s="288">
        <f>'[2]Raw Milk Prices'!A1013</f>
        <v>0</v>
      </c>
      <c r="B1013" s="296" t="e">
        <f>MATCH(DATE(LEFT('[2]Raw Milk Prices'!$A1013,4),RIGHT('[2]Raw Milk Prices'!$A1013,2),1),[1]Pivot!$A$1:$A$65000,0)</f>
        <v>#VALUE!</v>
      </c>
      <c r="C1013" s="194">
        <f>IFERROR(IF(INDEX([1]Pivot!$AD$1:$BE$65000,$B1013,C$5)=1,1,IF(INDEX([1]Pivot!$B$1:$AB$65000,$B1013,C$5)="",2,0)),0)</f>
        <v>0</v>
      </c>
      <c r="D1013" s="194">
        <f>IFERROR(IF(INDEX([1]Pivot!$AD$1:$BE$65000,$B1013,D$5)=1,1,IF(INDEX([1]Pivot!$B$1:$AB$65000,$B1013,D$5)="",2,0)),0)</f>
        <v>0</v>
      </c>
      <c r="E1013" s="194">
        <f>IFERROR(IF(INDEX([1]Pivot!$AD$1:$BE$65000,$B1013,E$5)=1,1,IF(INDEX([1]Pivot!$B$1:$AB$65000,$B1013,E$5)="",2,0)),0)</f>
        <v>0</v>
      </c>
      <c r="F1013" s="194">
        <f>IFERROR(IF(INDEX([1]Pivot!$AD$1:$BE$65000,$B1013,F$5)=1,1,IF(INDEX([1]Pivot!$B$1:$AB$65000,$B1013,F$5)="",2,0)),0)</f>
        <v>0</v>
      </c>
      <c r="G1013" s="194">
        <f>IFERROR(IF(INDEX([1]Pivot!$AD$1:$BE$65000,$B1013,G$5)=1,1,IF(INDEX([1]Pivot!$B$1:$AB$65000,$B1013,G$5)="",2,0)),0)</f>
        <v>0</v>
      </c>
      <c r="H1013" s="194">
        <f>IFERROR(IF(INDEX([1]Pivot!$AD$1:$BE$65000,$B1013,H$5)=1,1,IF(INDEX([1]Pivot!$B$1:$AB$65000,$B1013,H$5)="",2,0)),0)</f>
        <v>0</v>
      </c>
      <c r="I1013" s="194">
        <f>IFERROR(IF(INDEX([1]Pivot!$AD$1:$BE$65000,$B1013,I$5)=1,1,IF(INDEX([1]Pivot!$B$1:$AB$65000,$B1013,I$5)="",2,0)),0)</f>
        <v>0</v>
      </c>
      <c r="J1013" s="194">
        <f>IFERROR(IF(INDEX([1]Pivot!$AD$1:$BE$65000,$B1013,J$5)=1,1,IF(INDEX([1]Pivot!$B$1:$AB$65000,$B1013,J$5)="",2,0)),0)</f>
        <v>0</v>
      </c>
      <c r="K1013" s="194">
        <f>IFERROR(IF(INDEX([1]Pivot!$AD$1:$BE$65000,$B1013,K$5)=1,1,IF(INDEX([1]Pivot!$B$1:$AB$65000,$B1013,K$5)="",2,0)),0)</f>
        <v>0</v>
      </c>
      <c r="L1013" s="194">
        <f>IFERROR(IF(INDEX([1]Pivot!$AD$1:$BE$65000,$B1013,L$5)=1,1,IF(INDEX([1]Pivot!$B$1:$AB$65000,$B1013,L$5)="",2,0)),0)</f>
        <v>0</v>
      </c>
      <c r="M1013" s="194">
        <f>IFERROR(IF(INDEX([1]Pivot!$AD$1:$BE$65000,$B1013,M$5)=1,1,IF(INDEX([1]Pivot!$B$1:$AB$65000,$B1013,M$5)="",2,0)),0)</f>
        <v>0</v>
      </c>
      <c r="N1013" s="194">
        <f>IFERROR(IF(INDEX([1]Pivot!$AD$1:$BE$65000,$B1013,N$5)=1,1,IF(INDEX([1]Pivot!$B$1:$AB$65000,$B1013,N$5)="",2,0)),0)</f>
        <v>0</v>
      </c>
      <c r="O1013" s="194">
        <f>IFERROR(IF(INDEX([1]Pivot!$AD$1:$BE$65000,$B1013,O$5)=1,1,IF(INDEX([1]Pivot!$B$1:$AB$65000,$B1013,O$5)="",2,0)),0)</f>
        <v>0</v>
      </c>
      <c r="P1013" s="194">
        <f>IFERROR(IF(INDEX([1]Pivot!$AD$1:$BE$65000,$B1013,P$5)=1,1,IF(INDEX([1]Pivot!$B$1:$AB$65000,$B1013,P$5)="",2,0)),0)</f>
        <v>0</v>
      </c>
      <c r="Q1013" s="194">
        <f>IFERROR(IF(INDEX([1]Pivot!$AD$1:$BE$65000,$B1013,Q$5)=1,1,IF(INDEX([1]Pivot!$B$1:$AB$65000,$B1013,Q$5)="",2,0)),0)</f>
        <v>0</v>
      </c>
      <c r="R1013" s="312"/>
      <c r="S1013" s="194">
        <f>IFERROR(IF(INDEX([1]Pivot!$AD$1:$BE$65000,$B1013,S$5)=1,1,IF(INDEX([1]Pivot!$B$1:$AB$65000,$B1013,S$5)="",2,0)),0)</f>
        <v>0</v>
      </c>
      <c r="T1013" s="194">
        <f>IFERROR(IF(INDEX([1]Pivot!$AD$1:$BE$65000,$B1013,T$5)=1,1,IF(INDEX([1]Pivot!$B$1:$AB$65000,$B1013,T$5)="",2,0)),0)</f>
        <v>0</v>
      </c>
      <c r="U1013" s="194">
        <f>IFERROR(IF(INDEX([1]Pivot!$AD$1:$BE$65000,$B1013,U$5)=1,1,IF(INDEX([1]Pivot!$B$1:$AB$65000,$B1013,U$5)="",2,0)),0)</f>
        <v>0</v>
      </c>
      <c r="V1013" s="194">
        <f>IFERROR(IF(INDEX([1]Pivot!$AD$1:$BE$65000,$B1013,V$5)=1,1,IF(INDEX([1]Pivot!$B$1:$AB$65000,$B1013,V$5)="",2,0)),0)</f>
        <v>0</v>
      </c>
      <c r="W1013" s="194">
        <f>IFERROR(IF(INDEX([1]Pivot!$AD$1:$BE$65000,$B1013,W$5)=1,1,IF(INDEX([1]Pivot!$B$1:$AB$65000,$B1013,W$5)="",2,0)),0)</f>
        <v>0</v>
      </c>
      <c r="X1013" s="194">
        <f>IFERROR(IF(INDEX([1]Pivot!$AD$1:$BE$65000,$B1013,X$5)=1,1,IF(INDEX([1]Pivot!$B$1:$AB$65000,$B1013,X$5)="",2,0)),0)</f>
        <v>0</v>
      </c>
      <c r="Y1013" s="194">
        <f>IFERROR(IF(INDEX([1]Pivot!$AD$1:$BE$65000,$B1013,Y$5)=1,1,IF(INDEX([1]Pivot!$B$1:$AB$65000,$B1013,Y$5)="",2,0)),0)</f>
        <v>0</v>
      </c>
      <c r="Z1013" s="194">
        <f>IFERROR(IF(INDEX([1]Pivot!$AD$1:$BE$65000,$B1013,Z$5)=1,1,IF(INDEX([1]Pivot!$B$1:$AB$65000,$B1013,Z$5)="",2,0)),0)</f>
        <v>0</v>
      </c>
      <c r="AA1013" s="194">
        <f>IFERROR(IF(INDEX([1]Pivot!$AD$1:$BE$65000,$B1013,AA$5)=1,1,IF(INDEX([1]Pivot!$B$1:$AB$65000,$B1013,AA$5)="",2,0)),0)</f>
        <v>0</v>
      </c>
      <c r="AB1013" s="194">
        <f>IFERROR(IF(INDEX([1]Pivot!$AD$1:$BE$65000,$B1013,AB$5)=1,1,IF(INDEX([1]Pivot!$B$1:$AB$65000,$B1013,AB$5)="",2,0)),0)</f>
        <v>0</v>
      </c>
      <c r="AC1013" s="194">
        <f>IFERROR(IF(INDEX([1]Pivot!$AD$1:$BE$65000,$B1013,AC$5)=1,1,IF(INDEX([1]Pivot!$B$1:$AB$65000,$B1013,AC$5)="",2,0)),0)</f>
        <v>0</v>
      </c>
      <c r="AD1013" s="313">
        <f>IFERROR(IF(INDEX([1]Pivot!$BF$1:$CG$65000,$B1013,AD$5)=1,1,IF(INDEX([1]Pivot!$B$1:$AB$65000,$B1013,AD$5)="",2,0)),0)</f>
        <v>0</v>
      </c>
      <c r="AE1013" s="313">
        <f>IFERROR(IF(INDEX([1]Pivot!$BF$1:$CG$65000,$B1013,AE$5)=1,1,IF(INDEX([1]Pivot!$B$1:$AB$65000,$B1013,AE$5)="",2,0)),0)</f>
        <v>0</v>
      </c>
      <c r="AF1013" s="313">
        <f>IFERROR(IF(INDEX([1]Pivot!$BF$1:$CG$65000,$B1013,AF$5)=1,1,IF(INDEX([1]Pivot!$B$1:$AB$65000,$B1013,AF$5)="",2,0)),0)</f>
        <v>0</v>
      </c>
      <c r="AG1013" s="313">
        <f>IFERROR(IF(INDEX([1]Pivot!$BF$1:$CG$65000,$B1013,AG$5)=1,1,IF(INDEX([1]Pivot!$B$1:$AB$65000,$B1013,AG$5)="",2,0)),0)</f>
        <v>0</v>
      </c>
      <c r="AH1013" s="313">
        <f>IFERROR(IF(INDEX([1]Pivot!$BF$1:$CG$65000,$B1013,AH$5)=1,1,IF(INDEX([1]Pivot!$B$1:$AB$65000,$B1013,AH$5)="",2,0)),0)</f>
        <v>0</v>
      </c>
      <c r="AI1013" s="313">
        <f>IFERROR(IF(INDEX([1]Pivot!$BF$1:$CG$65000,$B1013,AI$5)=1,1,IF(INDEX([1]Pivot!$B$1:$AB$65000,$B1013,AI$5)="",2,0)),0)</f>
        <v>0</v>
      </c>
      <c r="AJ1013" s="313">
        <f>IFERROR(IF(INDEX([1]Pivot!$BF$1:$CG$65000,$B1013,AJ$5)=1,1,IF(INDEX([1]Pivot!$B$1:$AB$65000,$B1013,AJ$5)="",2,0)),0)</f>
        <v>0</v>
      </c>
      <c r="AK1013" s="313">
        <f>IFERROR(IF(INDEX([1]Pivot!$BF$1:$CG$65000,$B1013,AK$5)=1,1,IF(INDEX([1]Pivot!$B$1:$AB$65000,$B1013,AK$5)="",2,0)),0)</f>
        <v>0</v>
      </c>
      <c r="AL1013" s="313">
        <f>IFERROR(IF(INDEX([1]Pivot!$BF$1:$CG$65000,$B1013,AL$5)=1,1,IF(INDEX([1]Pivot!$B$1:$AB$65000,$B1013,AL$5)="",2,0)),0)</f>
        <v>0</v>
      </c>
      <c r="AM1013" s="313">
        <f>IFERROR(IF(INDEX([1]Pivot!$BF$1:$CG$65000,$B1013,AM$5)=1,1,IF(INDEX([1]Pivot!$B$1:$AB$65000,$B1013,AM$5)="",2,0)),0)</f>
        <v>0</v>
      </c>
      <c r="AN1013" s="313">
        <f>IFERROR(IF(INDEX([1]Pivot!$BF$1:$CG$65000,$B1013,AN$5)=1,1,IF(INDEX([1]Pivot!$B$1:$AB$65000,$B1013,AN$5)="",2,0)),0)</f>
        <v>0</v>
      </c>
      <c r="AO1013" s="313">
        <f>IFERROR(IF(INDEX([1]Pivot!$BF$1:$CG$65000,$B1013,AO$5)=1,1,IF(INDEX([1]Pivot!$B$1:$AB$65000,$B1013,AO$5)="",2,0)),0)</f>
        <v>0</v>
      </c>
      <c r="AP1013" s="313">
        <f>IFERROR(IF(INDEX([1]Pivot!$BF$1:$CG$65000,$B1013,AP$5)=1,1,IF(INDEX([1]Pivot!$B$1:$AB$65000,$B1013,AP$5)="",2,0)),0)</f>
        <v>0</v>
      </c>
      <c r="AQ1013" s="313">
        <f>IFERROR(IF(INDEX([1]Pivot!$BF$1:$CG$65000,$B1013,AQ$5)=1,1,IF(INDEX([1]Pivot!$B$1:$AB$65000,$B1013,AQ$5)="",2,0)),0)</f>
        <v>0</v>
      </c>
      <c r="AR1013" s="313">
        <f>IFERROR(IF(INDEX([1]Pivot!$BF$1:$CG$65000,$B1013,AR$5)=1,1,IF(INDEX([1]Pivot!$B$1:$AB$65000,$B1013,AR$5)="",2,0)),0)</f>
        <v>0</v>
      </c>
      <c r="AS1013" s="312"/>
      <c r="AT1013" s="313">
        <f>IFERROR(IF(INDEX([1]Pivot!$BF$1:$CG$65000,$B1013,AT$5)=1,1,IF(INDEX([1]Pivot!$B$1:$AB$65000,$B1013,AT$5)="",2,0)),0)</f>
        <v>0</v>
      </c>
      <c r="AU1013" s="313">
        <f>IFERROR(IF(INDEX([1]Pivot!$BF$1:$CG$65000,$B1013,AU$5)=1,1,IF(INDEX([1]Pivot!$B$1:$AB$65000,$B1013,AU$5)="",2,0)),0)</f>
        <v>0</v>
      </c>
      <c r="AV1013" s="313">
        <f>IFERROR(IF(INDEX([1]Pivot!$BF$1:$CG$65000,$B1013,AV$5)=1,1,IF(INDEX([1]Pivot!$B$1:$AB$65000,$B1013,AV$5)="",2,0)),0)</f>
        <v>0</v>
      </c>
      <c r="AW1013" s="313">
        <f>IFERROR(IF(INDEX([1]Pivot!$BF$1:$CG$65000,$B1013,AW$5)=1,1,IF(INDEX([1]Pivot!$B$1:$AB$65000,$B1013,AW$5)="",2,0)),0)</f>
        <v>0</v>
      </c>
      <c r="AX1013" s="313">
        <f>IFERROR(IF(INDEX([1]Pivot!$BF$1:$CG$65000,$B1013,AX$5)=1,1,IF(INDEX([1]Pivot!$B$1:$AB$65000,$B1013,AX$5)="",2,0)),0)</f>
        <v>0</v>
      </c>
      <c r="AY1013" s="313">
        <f>IFERROR(IF(INDEX([1]Pivot!$BF$1:$CG$65000,$B1013,AY$5)=1,1,IF(INDEX([1]Pivot!$B$1:$AB$65000,$B1013,AY$5)="",2,0)),0)</f>
        <v>0</v>
      </c>
      <c r="AZ1013" s="313">
        <f>IFERROR(IF(INDEX([1]Pivot!$BF$1:$CG$65000,$B1013,AZ$5)=1,1,IF(INDEX([1]Pivot!$B$1:$AB$65000,$B1013,AZ$5)="",2,0)),0)</f>
        <v>0</v>
      </c>
      <c r="BA1013" s="313">
        <f>IFERROR(IF(INDEX([1]Pivot!$BF$1:$CG$65000,$B1013,BA$5)=1,1,IF(INDEX([1]Pivot!$B$1:$AB$65000,$B1013,BA$5)="",2,0)),0)</f>
        <v>0</v>
      </c>
      <c r="BB1013" s="313">
        <f>IFERROR(IF(INDEX([1]Pivot!$BF$1:$CG$65000,$B1013,BB$5)=1,1,IF(INDEX([1]Pivot!$B$1:$AB$65000,$B1013,BB$5)="",2,0)),0)</f>
        <v>0</v>
      </c>
      <c r="BC1013" s="313">
        <f>IFERROR(IF(INDEX([1]Pivot!$BF$1:$CG$65000,$B1013,BC$5)=1,1,IF(INDEX([1]Pivot!$B$1:$AB$65000,$B1013,BC$5)="",2,0)),0)</f>
        <v>0</v>
      </c>
      <c r="BD1013" s="313">
        <f>IFERROR(IF(INDEX([1]Pivot!$BF$1:$CG$65000,$B1013,BD$5)=1,1,IF(INDEX([1]Pivot!$B$1:$AB$65000,$B1013,BD$5)="",2,0)),0)</f>
        <v>0</v>
      </c>
    </row>
    <row r="1014" spans="1:56" x14ac:dyDescent="0.25">
      <c r="A1014" s="288">
        <f>'[2]Raw Milk Prices'!A1014</f>
        <v>0</v>
      </c>
      <c r="B1014" s="296" t="e">
        <f>MATCH(DATE(LEFT('[2]Raw Milk Prices'!$A1014,4),RIGHT('[2]Raw Milk Prices'!$A1014,2),1),[1]Pivot!$A$1:$A$65000,0)</f>
        <v>#VALUE!</v>
      </c>
      <c r="C1014" s="194">
        <f>IFERROR(IF(INDEX([1]Pivot!$AD$1:$BE$65000,$B1014,C$5)=1,1,IF(INDEX([1]Pivot!$B$1:$AB$65000,$B1014,C$5)="",2,0)),0)</f>
        <v>0</v>
      </c>
      <c r="D1014" s="194">
        <f>IFERROR(IF(INDEX([1]Pivot!$AD$1:$BE$65000,$B1014,D$5)=1,1,IF(INDEX([1]Pivot!$B$1:$AB$65000,$B1014,D$5)="",2,0)),0)</f>
        <v>0</v>
      </c>
      <c r="E1014" s="194">
        <f>IFERROR(IF(INDEX([1]Pivot!$AD$1:$BE$65000,$B1014,E$5)=1,1,IF(INDEX([1]Pivot!$B$1:$AB$65000,$B1014,E$5)="",2,0)),0)</f>
        <v>0</v>
      </c>
      <c r="F1014" s="194">
        <f>IFERROR(IF(INDEX([1]Pivot!$AD$1:$BE$65000,$B1014,F$5)=1,1,IF(INDEX([1]Pivot!$B$1:$AB$65000,$B1014,F$5)="",2,0)),0)</f>
        <v>0</v>
      </c>
      <c r="G1014" s="194">
        <f>IFERROR(IF(INDEX([1]Pivot!$AD$1:$BE$65000,$B1014,G$5)=1,1,IF(INDEX([1]Pivot!$B$1:$AB$65000,$B1014,G$5)="",2,0)),0)</f>
        <v>0</v>
      </c>
      <c r="H1014" s="194">
        <f>IFERROR(IF(INDEX([1]Pivot!$AD$1:$BE$65000,$B1014,H$5)=1,1,IF(INDEX([1]Pivot!$B$1:$AB$65000,$B1014,H$5)="",2,0)),0)</f>
        <v>0</v>
      </c>
      <c r="I1014" s="194">
        <f>IFERROR(IF(INDEX([1]Pivot!$AD$1:$BE$65000,$B1014,I$5)=1,1,IF(INDEX([1]Pivot!$B$1:$AB$65000,$B1014,I$5)="",2,0)),0)</f>
        <v>0</v>
      </c>
      <c r="J1014" s="194">
        <f>IFERROR(IF(INDEX([1]Pivot!$AD$1:$BE$65000,$B1014,J$5)=1,1,IF(INDEX([1]Pivot!$B$1:$AB$65000,$B1014,J$5)="",2,0)),0)</f>
        <v>0</v>
      </c>
      <c r="K1014" s="194">
        <f>IFERROR(IF(INDEX([1]Pivot!$AD$1:$BE$65000,$B1014,K$5)=1,1,IF(INDEX([1]Pivot!$B$1:$AB$65000,$B1014,K$5)="",2,0)),0)</f>
        <v>0</v>
      </c>
      <c r="L1014" s="194">
        <f>IFERROR(IF(INDEX([1]Pivot!$AD$1:$BE$65000,$B1014,L$5)=1,1,IF(INDEX([1]Pivot!$B$1:$AB$65000,$B1014,L$5)="",2,0)),0)</f>
        <v>0</v>
      </c>
      <c r="M1014" s="194">
        <f>IFERROR(IF(INDEX([1]Pivot!$AD$1:$BE$65000,$B1014,M$5)=1,1,IF(INDEX([1]Pivot!$B$1:$AB$65000,$B1014,M$5)="",2,0)),0)</f>
        <v>0</v>
      </c>
      <c r="N1014" s="194">
        <f>IFERROR(IF(INDEX([1]Pivot!$AD$1:$BE$65000,$B1014,N$5)=1,1,IF(INDEX([1]Pivot!$B$1:$AB$65000,$B1014,N$5)="",2,0)),0)</f>
        <v>0</v>
      </c>
      <c r="O1014" s="194">
        <f>IFERROR(IF(INDEX([1]Pivot!$AD$1:$BE$65000,$B1014,O$5)=1,1,IF(INDEX([1]Pivot!$B$1:$AB$65000,$B1014,O$5)="",2,0)),0)</f>
        <v>0</v>
      </c>
      <c r="P1014" s="194">
        <f>IFERROR(IF(INDEX([1]Pivot!$AD$1:$BE$65000,$B1014,P$5)=1,1,IF(INDEX([1]Pivot!$B$1:$AB$65000,$B1014,P$5)="",2,0)),0)</f>
        <v>0</v>
      </c>
      <c r="Q1014" s="194">
        <f>IFERROR(IF(INDEX([1]Pivot!$AD$1:$BE$65000,$B1014,Q$5)=1,1,IF(INDEX([1]Pivot!$B$1:$AB$65000,$B1014,Q$5)="",2,0)),0)</f>
        <v>0</v>
      </c>
      <c r="R1014" s="312"/>
      <c r="S1014" s="194">
        <f>IFERROR(IF(INDEX([1]Pivot!$AD$1:$BE$65000,$B1014,S$5)=1,1,IF(INDEX([1]Pivot!$B$1:$AB$65000,$B1014,S$5)="",2,0)),0)</f>
        <v>0</v>
      </c>
      <c r="T1014" s="194">
        <f>IFERROR(IF(INDEX([1]Pivot!$AD$1:$BE$65000,$B1014,T$5)=1,1,IF(INDEX([1]Pivot!$B$1:$AB$65000,$B1014,T$5)="",2,0)),0)</f>
        <v>0</v>
      </c>
      <c r="U1014" s="194">
        <f>IFERROR(IF(INDEX([1]Pivot!$AD$1:$BE$65000,$B1014,U$5)=1,1,IF(INDEX([1]Pivot!$B$1:$AB$65000,$B1014,U$5)="",2,0)),0)</f>
        <v>0</v>
      </c>
      <c r="V1014" s="194">
        <f>IFERROR(IF(INDEX([1]Pivot!$AD$1:$BE$65000,$B1014,V$5)=1,1,IF(INDEX([1]Pivot!$B$1:$AB$65000,$B1014,V$5)="",2,0)),0)</f>
        <v>0</v>
      </c>
      <c r="W1014" s="194">
        <f>IFERROR(IF(INDEX([1]Pivot!$AD$1:$BE$65000,$B1014,W$5)=1,1,IF(INDEX([1]Pivot!$B$1:$AB$65000,$B1014,W$5)="",2,0)),0)</f>
        <v>0</v>
      </c>
      <c r="X1014" s="194">
        <f>IFERROR(IF(INDEX([1]Pivot!$AD$1:$BE$65000,$B1014,X$5)=1,1,IF(INDEX([1]Pivot!$B$1:$AB$65000,$B1014,X$5)="",2,0)),0)</f>
        <v>0</v>
      </c>
      <c r="Y1014" s="194">
        <f>IFERROR(IF(INDEX([1]Pivot!$AD$1:$BE$65000,$B1014,Y$5)=1,1,IF(INDEX([1]Pivot!$B$1:$AB$65000,$B1014,Y$5)="",2,0)),0)</f>
        <v>0</v>
      </c>
      <c r="Z1014" s="194">
        <f>IFERROR(IF(INDEX([1]Pivot!$AD$1:$BE$65000,$B1014,Z$5)=1,1,IF(INDEX([1]Pivot!$B$1:$AB$65000,$B1014,Z$5)="",2,0)),0)</f>
        <v>0</v>
      </c>
      <c r="AA1014" s="194">
        <f>IFERROR(IF(INDEX([1]Pivot!$AD$1:$BE$65000,$B1014,AA$5)=1,1,IF(INDEX([1]Pivot!$B$1:$AB$65000,$B1014,AA$5)="",2,0)),0)</f>
        <v>0</v>
      </c>
      <c r="AB1014" s="194">
        <f>IFERROR(IF(INDEX([1]Pivot!$AD$1:$BE$65000,$B1014,AB$5)=1,1,IF(INDEX([1]Pivot!$B$1:$AB$65000,$B1014,AB$5)="",2,0)),0)</f>
        <v>0</v>
      </c>
      <c r="AC1014" s="194">
        <f>IFERROR(IF(INDEX([1]Pivot!$AD$1:$BE$65000,$B1014,AC$5)=1,1,IF(INDEX([1]Pivot!$B$1:$AB$65000,$B1014,AC$5)="",2,0)),0)</f>
        <v>0</v>
      </c>
      <c r="AD1014" s="313">
        <f>IFERROR(IF(INDEX([1]Pivot!$BF$1:$CG$65000,$B1014,AD$5)=1,1,IF(INDEX([1]Pivot!$B$1:$AB$65000,$B1014,AD$5)="",2,0)),0)</f>
        <v>0</v>
      </c>
      <c r="AE1014" s="313">
        <f>IFERROR(IF(INDEX([1]Pivot!$BF$1:$CG$65000,$B1014,AE$5)=1,1,IF(INDEX([1]Pivot!$B$1:$AB$65000,$B1014,AE$5)="",2,0)),0)</f>
        <v>0</v>
      </c>
      <c r="AF1014" s="313">
        <f>IFERROR(IF(INDEX([1]Pivot!$BF$1:$CG$65000,$B1014,AF$5)=1,1,IF(INDEX([1]Pivot!$B$1:$AB$65000,$B1014,AF$5)="",2,0)),0)</f>
        <v>0</v>
      </c>
      <c r="AG1014" s="313">
        <f>IFERROR(IF(INDEX([1]Pivot!$BF$1:$CG$65000,$B1014,AG$5)=1,1,IF(INDEX([1]Pivot!$B$1:$AB$65000,$B1014,AG$5)="",2,0)),0)</f>
        <v>0</v>
      </c>
      <c r="AH1014" s="313">
        <f>IFERROR(IF(INDEX([1]Pivot!$BF$1:$CG$65000,$B1014,AH$5)=1,1,IF(INDEX([1]Pivot!$B$1:$AB$65000,$B1014,AH$5)="",2,0)),0)</f>
        <v>0</v>
      </c>
      <c r="AI1014" s="313">
        <f>IFERROR(IF(INDEX([1]Pivot!$BF$1:$CG$65000,$B1014,AI$5)=1,1,IF(INDEX([1]Pivot!$B$1:$AB$65000,$B1014,AI$5)="",2,0)),0)</f>
        <v>0</v>
      </c>
      <c r="AJ1014" s="313">
        <f>IFERROR(IF(INDEX([1]Pivot!$BF$1:$CG$65000,$B1014,AJ$5)=1,1,IF(INDEX([1]Pivot!$B$1:$AB$65000,$B1014,AJ$5)="",2,0)),0)</f>
        <v>0</v>
      </c>
      <c r="AK1014" s="313">
        <f>IFERROR(IF(INDEX([1]Pivot!$BF$1:$CG$65000,$B1014,AK$5)=1,1,IF(INDEX([1]Pivot!$B$1:$AB$65000,$B1014,AK$5)="",2,0)),0)</f>
        <v>0</v>
      </c>
      <c r="AL1014" s="313">
        <f>IFERROR(IF(INDEX([1]Pivot!$BF$1:$CG$65000,$B1014,AL$5)=1,1,IF(INDEX([1]Pivot!$B$1:$AB$65000,$B1014,AL$5)="",2,0)),0)</f>
        <v>0</v>
      </c>
      <c r="AM1014" s="313">
        <f>IFERROR(IF(INDEX([1]Pivot!$BF$1:$CG$65000,$B1014,AM$5)=1,1,IF(INDEX([1]Pivot!$B$1:$AB$65000,$B1014,AM$5)="",2,0)),0)</f>
        <v>0</v>
      </c>
      <c r="AN1014" s="313">
        <f>IFERROR(IF(INDEX([1]Pivot!$BF$1:$CG$65000,$B1014,AN$5)=1,1,IF(INDEX([1]Pivot!$B$1:$AB$65000,$B1014,AN$5)="",2,0)),0)</f>
        <v>0</v>
      </c>
      <c r="AO1014" s="313">
        <f>IFERROR(IF(INDEX([1]Pivot!$BF$1:$CG$65000,$B1014,AO$5)=1,1,IF(INDEX([1]Pivot!$B$1:$AB$65000,$B1014,AO$5)="",2,0)),0)</f>
        <v>0</v>
      </c>
      <c r="AP1014" s="313">
        <f>IFERROR(IF(INDEX([1]Pivot!$BF$1:$CG$65000,$B1014,AP$5)=1,1,IF(INDEX([1]Pivot!$B$1:$AB$65000,$B1014,AP$5)="",2,0)),0)</f>
        <v>0</v>
      </c>
      <c r="AQ1014" s="313">
        <f>IFERROR(IF(INDEX([1]Pivot!$BF$1:$CG$65000,$B1014,AQ$5)=1,1,IF(INDEX([1]Pivot!$B$1:$AB$65000,$B1014,AQ$5)="",2,0)),0)</f>
        <v>0</v>
      </c>
      <c r="AR1014" s="313">
        <f>IFERROR(IF(INDEX([1]Pivot!$BF$1:$CG$65000,$B1014,AR$5)=1,1,IF(INDEX([1]Pivot!$B$1:$AB$65000,$B1014,AR$5)="",2,0)),0)</f>
        <v>0</v>
      </c>
      <c r="AS1014" s="312"/>
      <c r="AT1014" s="313">
        <f>IFERROR(IF(INDEX([1]Pivot!$BF$1:$CG$65000,$B1014,AT$5)=1,1,IF(INDEX([1]Pivot!$B$1:$AB$65000,$B1014,AT$5)="",2,0)),0)</f>
        <v>0</v>
      </c>
      <c r="AU1014" s="313">
        <f>IFERROR(IF(INDEX([1]Pivot!$BF$1:$CG$65000,$B1014,AU$5)=1,1,IF(INDEX([1]Pivot!$B$1:$AB$65000,$B1014,AU$5)="",2,0)),0)</f>
        <v>0</v>
      </c>
      <c r="AV1014" s="313">
        <f>IFERROR(IF(INDEX([1]Pivot!$BF$1:$CG$65000,$B1014,AV$5)=1,1,IF(INDEX([1]Pivot!$B$1:$AB$65000,$B1014,AV$5)="",2,0)),0)</f>
        <v>0</v>
      </c>
      <c r="AW1014" s="313">
        <f>IFERROR(IF(INDEX([1]Pivot!$BF$1:$CG$65000,$B1014,AW$5)=1,1,IF(INDEX([1]Pivot!$B$1:$AB$65000,$B1014,AW$5)="",2,0)),0)</f>
        <v>0</v>
      </c>
      <c r="AX1014" s="313">
        <f>IFERROR(IF(INDEX([1]Pivot!$BF$1:$CG$65000,$B1014,AX$5)=1,1,IF(INDEX([1]Pivot!$B$1:$AB$65000,$B1014,AX$5)="",2,0)),0)</f>
        <v>0</v>
      </c>
      <c r="AY1014" s="313">
        <f>IFERROR(IF(INDEX([1]Pivot!$BF$1:$CG$65000,$B1014,AY$5)=1,1,IF(INDEX([1]Pivot!$B$1:$AB$65000,$B1014,AY$5)="",2,0)),0)</f>
        <v>0</v>
      </c>
      <c r="AZ1014" s="313">
        <f>IFERROR(IF(INDEX([1]Pivot!$BF$1:$CG$65000,$B1014,AZ$5)=1,1,IF(INDEX([1]Pivot!$B$1:$AB$65000,$B1014,AZ$5)="",2,0)),0)</f>
        <v>0</v>
      </c>
      <c r="BA1014" s="313">
        <f>IFERROR(IF(INDEX([1]Pivot!$BF$1:$CG$65000,$B1014,BA$5)=1,1,IF(INDEX([1]Pivot!$B$1:$AB$65000,$B1014,BA$5)="",2,0)),0)</f>
        <v>0</v>
      </c>
      <c r="BB1014" s="313">
        <f>IFERROR(IF(INDEX([1]Pivot!$BF$1:$CG$65000,$B1014,BB$5)=1,1,IF(INDEX([1]Pivot!$B$1:$AB$65000,$B1014,BB$5)="",2,0)),0)</f>
        <v>0</v>
      </c>
      <c r="BC1014" s="313">
        <f>IFERROR(IF(INDEX([1]Pivot!$BF$1:$CG$65000,$B1014,BC$5)=1,1,IF(INDEX([1]Pivot!$B$1:$AB$65000,$B1014,BC$5)="",2,0)),0)</f>
        <v>0</v>
      </c>
      <c r="BD1014" s="313">
        <f>IFERROR(IF(INDEX([1]Pivot!$BF$1:$CG$65000,$B1014,BD$5)=1,1,IF(INDEX([1]Pivot!$B$1:$AB$65000,$B1014,BD$5)="",2,0)),0)</f>
        <v>0</v>
      </c>
    </row>
    <row r="1015" spans="1:56" x14ac:dyDescent="0.25">
      <c r="A1015" s="288">
        <f>'[2]Raw Milk Prices'!A1015</f>
        <v>0</v>
      </c>
      <c r="B1015" s="296" t="e">
        <f>MATCH(DATE(LEFT('[2]Raw Milk Prices'!$A1015,4),RIGHT('[2]Raw Milk Prices'!$A1015,2),1),[1]Pivot!$A$1:$A$65000,0)</f>
        <v>#VALUE!</v>
      </c>
      <c r="C1015" s="194">
        <f>IFERROR(IF(INDEX([1]Pivot!$AD$1:$BE$65000,$B1015,C$5)=1,1,IF(INDEX([1]Pivot!$B$1:$AB$65000,$B1015,C$5)="",2,0)),0)</f>
        <v>0</v>
      </c>
      <c r="D1015" s="194">
        <f>IFERROR(IF(INDEX([1]Pivot!$AD$1:$BE$65000,$B1015,D$5)=1,1,IF(INDEX([1]Pivot!$B$1:$AB$65000,$B1015,D$5)="",2,0)),0)</f>
        <v>0</v>
      </c>
      <c r="E1015" s="194">
        <f>IFERROR(IF(INDEX([1]Pivot!$AD$1:$BE$65000,$B1015,E$5)=1,1,IF(INDEX([1]Pivot!$B$1:$AB$65000,$B1015,E$5)="",2,0)),0)</f>
        <v>0</v>
      </c>
      <c r="F1015" s="194">
        <f>IFERROR(IF(INDEX([1]Pivot!$AD$1:$BE$65000,$B1015,F$5)=1,1,IF(INDEX([1]Pivot!$B$1:$AB$65000,$B1015,F$5)="",2,0)),0)</f>
        <v>0</v>
      </c>
      <c r="G1015" s="194">
        <f>IFERROR(IF(INDEX([1]Pivot!$AD$1:$BE$65000,$B1015,G$5)=1,1,IF(INDEX([1]Pivot!$B$1:$AB$65000,$B1015,G$5)="",2,0)),0)</f>
        <v>0</v>
      </c>
      <c r="H1015" s="194">
        <f>IFERROR(IF(INDEX([1]Pivot!$AD$1:$BE$65000,$B1015,H$5)=1,1,IF(INDEX([1]Pivot!$B$1:$AB$65000,$B1015,H$5)="",2,0)),0)</f>
        <v>0</v>
      </c>
      <c r="I1015" s="194">
        <f>IFERROR(IF(INDEX([1]Pivot!$AD$1:$BE$65000,$B1015,I$5)=1,1,IF(INDEX([1]Pivot!$B$1:$AB$65000,$B1015,I$5)="",2,0)),0)</f>
        <v>0</v>
      </c>
      <c r="J1015" s="194">
        <f>IFERROR(IF(INDEX([1]Pivot!$AD$1:$BE$65000,$B1015,J$5)=1,1,IF(INDEX([1]Pivot!$B$1:$AB$65000,$B1015,J$5)="",2,0)),0)</f>
        <v>0</v>
      </c>
      <c r="K1015" s="194">
        <f>IFERROR(IF(INDEX([1]Pivot!$AD$1:$BE$65000,$B1015,K$5)=1,1,IF(INDEX([1]Pivot!$B$1:$AB$65000,$B1015,K$5)="",2,0)),0)</f>
        <v>0</v>
      </c>
      <c r="L1015" s="194">
        <f>IFERROR(IF(INDEX([1]Pivot!$AD$1:$BE$65000,$B1015,L$5)=1,1,IF(INDEX([1]Pivot!$B$1:$AB$65000,$B1015,L$5)="",2,0)),0)</f>
        <v>0</v>
      </c>
      <c r="M1015" s="194">
        <f>IFERROR(IF(INDEX([1]Pivot!$AD$1:$BE$65000,$B1015,M$5)=1,1,IF(INDEX([1]Pivot!$B$1:$AB$65000,$B1015,M$5)="",2,0)),0)</f>
        <v>0</v>
      </c>
      <c r="N1015" s="194">
        <f>IFERROR(IF(INDEX([1]Pivot!$AD$1:$BE$65000,$B1015,N$5)=1,1,IF(INDEX([1]Pivot!$B$1:$AB$65000,$B1015,N$5)="",2,0)),0)</f>
        <v>0</v>
      </c>
      <c r="O1015" s="194">
        <f>IFERROR(IF(INDEX([1]Pivot!$AD$1:$BE$65000,$B1015,O$5)=1,1,IF(INDEX([1]Pivot!$B$1:$AB$65000,$B1015,O$5)="",2,0)),0)</f>
        <v>0</v>
      </c>
      <c r="P1015" s="194">
        <f>IFERROR(IF(INDEX([1]Pivot!$AD$1:$BE$65000,$B1015,P$5)=1,1,IF(INDEX([1]Pivot!$B$1:$AB$65000,$B1015,P$5)="",2,0)),0)</f>
        <v>0</v>
      </c>
      <c r="Q1015" s="194">
        <f>IFERROR(IF(INDEX([1]Pivot!$AD$1:$BE$65000,$B1015,Q$5)=1,1,IF(INDEX([1]Pivot!$B$1:$AB$65000,$B1015,Q$5)="",2,0)),0)</f>
        <v>0</v>
      </c>
      <c r="R1015" s="312"/>
      <c r="S1015" s="194">
        <f>IFERROR(IF(INDEX([1]Pivot!$AD$1:$BE$65000,$B1015,S$5)=1,1,IF(INDEX([1]Pivot!$B$1:$AB$65000,$B1015,S$5)="",2,0)),0)</f>
        <v>0</v>
      </c>
      <c r="T1015" s="194">
        <f>IFERROR(IF(INDEX([1]Pivot!$AD$1:$BE$65000,$B1015,T$5)=1,1,IF(INDEX([1]Pivot!$B$1:$AB$65000,$B1015,T$5)="",2,0)),0)</f>
        <v>0</v>
      </c>
      <c r="U1015" s="194">
        <f>IFERROR(IF(INDEX([1]Pivot!$AD$1:$BE$65000,$B1015,U$5)=1,1,IF(INDEX([1]Pivot!$B$1:$AB$65000,$B1015,U$5)="",2,0)),0)</f>
        <v>0</v>
      </c>
      <c r="V1015" s="194">
        <f>IFERROR(IF(INDEX([1]Pivot!$AD$1:$BE$65000,$B1015,V$5)=1,1,IF(INDEX([1]Pivot!$B$1:$AB$65000,$B1015,V$5)="",2,0)),0)</f>
        <v>0</v>
      </c>
      <c r="W1015" s="194">
        <f>IFERROR(IF(INDEX([1]Pivot!$AD$1:$BE$65000,$B1015,W$5)=1,1,IF(INDEX([1]Pivot!$B$1:$AB$65000,$B1015,W$5)="",2,0)),0)</f>
        <v>0</v>
      </c>
      <c r="X1015" s="194">
        <f>IFERROR(IF(INDEX([1]Pivot!$AD$1:$BE$65000,$B1015,X$5)=1,1,IF(INDEX([1]Pivot!$B$1:$AB$65000,$B1015,X$5)="",2,0)),0)</f>
        <v>0</v>
      </c>
      <c r="Y1015" s="194">
        <f>IFERROR(IF(INDEX([1]Pivot!$AD$1:$BE$65000,$B1015,Y$5)=1,1,IF(INDEX([1]Pivot!$B$1:$AB$65000,$B1015,Y$5)="",2,0)),0)</f>
        <v>0</v>
      </c>
      <c r="Z1015" s="194">
        <f>IFERROR(IF(INDEX([1]Pivot!$AD$1:$BE$65000,$B1015,Z$5)=1,1,IF(INDEX([1]Pivot!$B$1:$AB$65000,$B1015,Z$5)="",2,0)),0)</f>
        <v>0</v>
      </c>
      <c r="AA1015" s="194">
        <f>IFERROR(IF(INDEX([1]Pivot!$AD$1:$BE$65000,$B1015,AA$5)=1,1,IF(INDEX([1]Pivot!$B$1:$AB$65000,$B1015,AA$5)="",2,0)),0)</f>
        <v>0</v>
      </c>
      <c r="AB1015" s="194">
        <f>IFERROR(IF(INDEX([1]Pivot!$AD$1:$BE$65000,$B1015,AB$5)=1,1,IF(INDEX([1]Pivot!$B$1:$AB$65000,$B1015,AB$5)="",2,0)),0)</f>
        <v>0</v>
      </c>
      <c r="AC1015" s="194">
        <f>IFERROR(IF(INDEX([1]Pivot!$AD$1:$BE$65000,$B1015,AC$5)=1,1,IF(INDEX([1]Pivot!$B$1:$AB$65000,$B1015,AC$5)="",2,0)),0)</f>
        <v>0</v>
      </c>
      <c r="AD1015" s="313">
        <f>IFERROR(IF(INDEX([1]Pivot!$BF$1:$CG$65000,$B1015,AD$5)=1,1,IF(INDEX([1]Pivot!$B$1:$AB$65000,$B1015,AD$5)="",2,0)),0)</f>
        <v>0</v>
      </c>
      <c r="AE1015" s="313">
        <f>IFERROR(IF(INDEX([1]Pivot!$BF$1:$CG$65000,$B1015,AE$5)=1,1,IF(INDEX([1]Pivot!$B$1:$AB$65000,$B1015,AE$5)="",2,0)),0)</f>
        <v>0</v>
      </c>
      <c r="AF1015" s="313">
        <f>IFERROR(IF(INDEX([1]Pivot!$BF$1:$CG$65000,$B1015,AF$5)=1,1,IF(INDEX([1]Pivot!$B$1:$AB$65000,$B1015,AF$5)="",2,0)),0)</f>
        <v>0</v>
      </c>
      <c r="AG1015" s="313">
        <f>IFERROR(IF(INDEX([1]Pivot!$BF$1:$CG$65000,$B1015,AG$5)=1,1,IF(INDEX([1]Pivot!$B$1:$AB$65000,$B1015,AG$5)="",2,0)),0)</f>
        <v>0</v>
      </c>
      <c r="AH1015" s="313">
        <f>IFERROR(IF(INDEX([1]Pivot!$BF$1:$CG$65000,$B1015,AH$5)=1,1,IF(INDEX([1]Pivot!$B$1:$AB$65000,$B1015,AH$5)="",2,0)),0)</f>
        <v>0</v>
      </c>
      <c r="AI1015" s="313">
        <f>IFERROR(IF(INDEX([1]Pivot!$BF$1:$CG$65000,$B1015,AI$5)=1,1,IF(INDEX([1]Pivot!$B$1:$AB$65000,$B1015,AI$5)="",2,0)),0)</f>
        <v>0</v>
      </c>
      <c r="AJ1015" s="313">
        <f>IFERROR(IF(INDEX([1]Pivot!$BF$1:$CG$65000,$B1015,AJ$5)=1,1,IF(INDEX([1]Pivot!$B$1:$AB$65000,$B1015,AJ$5)="",2,0)),0)</f>
        <v>0</v>
      </c>
      <c r="AK1015" s="313">
        <f>IFERROR(IF(INDEX([1]Pivot!$BF$1:$CG$65000,$B1015,AK$5)=1,1,IF(INDEX([1]Pivot!$B$1:$AB$65000,$B1015,AK$5)="",2,0)),0)</f>
        <v>0</v>
      </c>
      <c r="AL1015" s="313">
        <f>IFERROR(IF(INDEX([1]Pivot!$BF$1:$CG$65000,$B1015,AL$5)=1,1,IF(INDEX([1]Pivot!$B$1:$AB$65000,$B1015,AL$5)="",2,0)),0)</f>
        <v>0</v>
      </c>
      <c r="AM1015" s="313">
        <f>IFERROR(IF(INDEX([1]Pivot!$BF$1:$CG$65000,$B1015,AM$5)=1,1,IF(INDEX([1]Pivot!$B$1:$AB$65000,$B1015,AM$5)="",2,0)),0)</f>
        <v>0</v>
      </c>
      <c r="AN1015" s="313">
        <f>IFERROR(IF(INDEX([1]Pivot!$BF$1:$CG$65000,$B1015,AN$5)=1,1,IF(INDEX([1]Pivot!$B$1:$AB$65000,$B1015,AN$5)="",2,0)),0)</f>
        <v>0</v>
      </c>
      <c r="AO1015" s="313">
        <f>IFERROR(IF(INDEX([1]Pivot!$BF$1:$CG$65000,$B1015,AO$5)=1,1,IF(INDEX([1]Pivot!$B$1:$AB$65000,$B1015,AO$5)="",2,0)),0)</f>
        <v>0</v>
      </c>
      <c r="AP1015" s="313">
        <f>IFERROR(IF(INDEX([1]Pivot!$BF$1:$CG$65000,$B1015,AP$5)=1,1,IF(INDEX([1]Pivot!$B$1:$AB$65000,$B1015,AP$5)="",2,0)),0)</f>
        <v>0</v>
      </c>
      <c r="AQ1015" s="313">
        <f>IFERROR(IF(INDEX([1]Pivot!$BF$1:$CG$65000,$B1015,AQ$5)=1,1,IF(INDEX([1]Pivot!$B$1:$AB$65000,$B1015,AQ$5)="",2,0)),0)</f>
        <v>0</v>
      </c>
      <c r="AR1015" s="313">
        <f>IFERROR(IF(INDEX([1]Pivot!$BF$1:$CG$65000,$B1015,AR$5)=1,1,IF(INDEX([1]Pivot!$B$1:$AB$65000,$B1015,AR$5)="",2,0)),0)</f>
        <v>0</v>
      </c>
      <c r="AS1015" s="312"/>
      <c r="AT1015" s="313">
        <f>IFERROR(IF(INDEX([1]Pivot!$BF$1:$CG$65000,$B1015,AT$5)=1,1,IF(INDEX([1]Pivot!$B$1:$AB$65000,$B1015,AT$5)="",2,0)),0)</f>
        <v>0</v>
      </c>
      <c r="AU1015" s="313">
        <f>IFERROR(IF(INDEX([1]Pivot!$BF$1:$CG$65000,$B1015,AU$5)=1,1,IF(INDEX([1]Pivot!$B$1:$AB$65000,$B1015,AU$5)="",2,0)),0)</f>
        <v>0</v>
      </c>
      <c r="AV1015" s="313">
        <f>IFERROR(IF(INDEX([1]Pivot!$BF$1:$CG$65000,$B1015,AV$5)=1,1,IF(INDEX([1]Pivot!$B$1:$AB$65000,$B1015,AV$5)="",2,0)),0)</f>
        <v>0</v>
      </c>
      <c r="AW1015" s="313">
        <f>IFERROR(IF(INDEX([1]Pivot!$BF$1:$CG$65000,$B1015,AW$5)=1,1,IF(INDEX([1]Pivot!$B$1:$AB$65000,$B1015,AW$5)="",2,0)),0)</f>
        <v>0</v>
      </c>
      <c r="AX1015" s="313">
        <f>IFERROR(IF(INDEX([1]Pivot!$BF$1:$CG$65000,$B1015,AX$5)=1,1,IF(INDEX([1]Pivot!$B$1:$AB$65000,$B1015,AX$5)="",2,0)),0)</f>
        <v>0</v>
      </c>
      <c r="AY1015" s="313">
        <f>IFERROR(IF(INDEX([1]Pivot!$BF$1:$CG$65000,$B1015,AY$5)=1,1,IF(INDEX([1]Pivot!$B$1:$AB$65000,$B1015,AY$5)="",2,0)),0)</f>
        <v>0</v>
      </c>
      <c r="AZ1015" s="313">
        <f>IFERROR(IF(INDEX([1]Pivot!$BF$1:$CG$65000,$B1015,AZ$5)=1,1,IF(INDEX([1]Pivot!$B$1:$AB$65000,$B1015,AZ$5)="",2,0)),0)</f>
        <v>0</v>
      </c>
      <c r="BA1015" s="313">
        <f>IFERROR(IF(INDEX([1]Pivot!$BF$1:$CG$65000,$B1015,BA$5)=1,1,IF(INDEX([1]Pivot!$B$1:$AB$65000,$B1015,BA$5)="",2,0)),0)</f>
        <v>0</v>
      </c>
      <c r="BB1015" s="313">
        <f>IFERROR(IF(INDEX([1]Pivot!$BF$1:$CG$65000,$B1015,BB$5)=1,1,IF(INDEX([1]Pivot!$B$1:$AB$65000,$B1015,BB$5)="",2,0)),0)</f>
        <v>0</v>
      </c>
      <c r="BC1015" s="313">
        <f>IFERROR(IF(INDEX([1]Pivot!$BF$1:$CG$65000,$B1015,BC$5)=1,1,IF(INDEX([1]Pivot!$B$1:$AB$65000,$B1015,BC$5)="",2,0)),0)</f>
        <v>0</v>
      </c>
      <c r="BD1015" s="313">
        <f>IFERROR(IF(INDEX([1]Pivot!$BF$1:$CG$65000,$B1015,BD$5)=1,1,IF(INDEX([1]Pivot!$B$1:$AB$65000,$B1015,BD$5)="",2,0)),0)</f>
        <v>0</v>
      </c>
    </row>
    <row r="1016" spans="1:56" x14ac:dyDescent="0.25">
      <c r="A1016" s="288">
        <f>'[2]Raw Milk Prices'!A1016</f>
        <v>0</v>
      </c>
      <c r="B1016" s="296" t="e">
        <f>MATCH(DATE(LEFT('[2]Raw Milk Prices'!$A1016,4),RIGHT('[2]Raw Milk Prices'!$A1016,2),1),[1]Pivot!$A$1:$A$65000,0)</f>
        <v>#VALUE!</v>
      </c>
      <c r="C1016" s="194">
        <f>IFERROR(IF(INDEX([1]Pivot!$AD$1:$BE$65000,$B1016,C$5)=1,1,IF(INDEX([1]Pivot!$B$1:$AB$65000,$B1016,C$5)="",2,0)),0)</f>
        <v>0</v>
      </c>
      <c r="D1016" s="194">
        <f>IFERROR(IF(INDEX([1]Pivot!$AD$1:$BE$65000,$B1016,D$5)=1,1,IF(INDEX([1]Pivot!$B$1:$AB$65000,$B1016,D$5)="",2,0)),0)</f>
        <v>0</v>
      </c>
      <c r="E1016" s="194">
        <f>IFERROR(IF(INDEX([1]Pivot!$AD$1:$BE$65000,$B1016,E$5)=1,1,IF(INDEX([1]Pivot!$B$1:$AB$65000,$B1016,E$5)="",2,0)),0)</f>
        <v>0</v>
      </c>
      <c r="F1016" s="194">
        <f>IFERROR(IF(INDEX([1]Pivot!$AD$1:$BE$65000,$B1016,F$5)=1,1,IF(INDEX([1]Pivot!$B$1:$AB$65000,$B1016,F$5)="",2,0)),0)</f>
        <v>0</v>
      </c>
      <c r="G1016" s="194">
        <f>IFERROR(IF(INDEX([1]Pivot!$AD$1:$BE$65000,$B1016,G$5)=1,1,IF(INDEX([1]Pivot!$B$1:$AB$65000,$B1016,G$5)="",2,0)),0)</f>
        <v>0</v>
      </c>
      <c r="H1016" s="194">
        <f>IFERROR(IF(INDEX([1]Pivot!$AD$1:$BE$65000,$B1016,H$5)=1,1,IF(INDEX([1]Pivot!$B$1:$AB$65000,$B1016,H$5)="",2,0)),0)</f>
        <v>0</v>
      </c>
      <c r="I1016" s="194">
        <f>IFERROR(IF(INDEX([1]Pivot!$AD$1:$BE$65000,$B1016,I$5)=1,1,IF(INDEX([1]Pivot!$B$1:$AB$65000,$B1016,I$5)="",2,0)),0)</f>
        <v>0</v>
      </c>
      <c r="J1016" s="194">
        <f>IFERROR(IF(INDEX([1]Pivot!$AD$1:$BE$65000,$B1016,J$5)=1,1,IF(INDEX([1]Pivot!$B$1:$AB$65000,$B1016,J$5)="",2,0)),0)</f>
        <v>0</v>
      </c>
      <c r="K1016" s="194">
        <f>IFERROR(IF(INDEX([1]Pivot!$AD$1:$BE$65000,$B1016,K$5)=1,1,IF(INDEX([1]Pivot!$B$1:$AB$65000,$B1016,K$5)="",2,0)),0)</f>
        <v>0</v>
      </c>
      <c r="L1016" s="194">
        <f>IFERROR(IF(INDEX([1]Pivot!$AD$1:$BE$65000,$B1016,L$5)=1,1,IF(INDEX([1]Pivot!$B$1:$AB$65000,$B1016,L$5)="",2,0)),0)</f>
        <v>0</v>
      </c>
      <c r="M1016" s="194">
        <f>IFERROR(IF(INDEX([1]Pivot!$AD$1:$BE$65000,$B1016,M$5)=1,1,IF(INDEX([1]Pivot!$B$1:$AB$65000,$B1016,M$5)="",2,0)),0)</f>
        <v>0</v>
      </c>
      <c r="N1016" s="194">
        <f>IFERROR(IF(INDEX([1]Pivot!$AD$1:$BE$65000,$B1016,N$5)=1,1,IF(INDEX([1]Pivot!$B$1:$AB$65000,$B1016,N$5)="",2,0)),0)</f>
        <v>0</v>
      </c>
      <c r="O1016" s="194">
        <f>IFERROR(IF(INDEX([1]Pivot!$AD$1:$BE$65000,$B1016,O$5)=1,1,IF(INDEX([1]Pivot!$B$1:$AB$65000,$B1016,O$5)="",2,0)),0)</f>
        <v>0</v>
      </c>
      <c r="P1016" s="194">
        <f>IFERROR(IF(INDEX([1]Pivot!$AD$1:$BE$65000,$B1016,P$5)=1,1,IF(INDEX([1]Pivot!$B$1:$AB$65000,$B1016,P$5)="",2,0)),0)</f>
        <v>0</v>
      </c>
      <c r="Q1016" s="194">
        <f>IFERROR(IF(INDEX([1]Pivot!$AD$1:$BE$65000,$B1016,Q$5)=1,1,IF(INDEX([1]Pivot!$B$1:$AB$65000,$B1016,Q$5)="",2,0)),0)</f>
        <v>0</v>
      </c>
      <c r="R1016" s="312"/>
      <c r="S1016" s="194">
        <f>IFERROR(IF(INDEX([1]Pivot!$AD$1:$BE$65000,$B1016,S$5)=1,1,IF(INDEX([1]Pivot!$B$1:$AB$65000,$B1016,S$5)="",2,0)),0)</f>
        <v>0</v>
      </c>
      <c r="T1016" s="194">
        <f>IFERROR(IF(INDEX([1]Pivot!$AD$1:$BE$65000,$B1016,T$5)=1,1,IF(INDEX([1]Pivot!$B$1:$AB$65000,$B1016,T$5)="",2,0)),0)</f>
        <v>0</v>
      </c>
      <c r="U1016" s="194">
        <f>IFERROR(IF(INDEX([1]Pivot!$AD$1:$BE$65000,$B1016,U$5)=1,1,IF(INDEX([1]Pivot!$B$1:$AB$65000,$B1016,U$5)="",2,0)),0)</f>
        <v>0</v>
      </c>
      <c r="V1016" s="194">
        <f>IFERROR(IF(INDEX([1]Pivot!$AD$1:$BE$65000,$B1016,V$5)=1,1,IF(INDEX([1]Pivot!$B$1:$AB$65000,$B1016,V$5)="",2,0)),0)</f>
        <v>0</v>
      </c>
      <c r="W1016" s="194">
        <f>IFERROR(IF(INDEX([1]Pivot!$AD$1:$BE$65000,$B1016,W$5)=1,1,IF(INDEX([1]Pivot!$B$1:$AB$65000,$B1016,W$5)="",2,0)),0)</f>
        <v>0</v>
      </c>
      <c r="X1016" s="194">
        <f>IFERROR(IF(INDEX([1]Pivot!$AD$1:$BE$65000,$B1016,X$5)=1,1,IF(INDEX([1]Pivot!$B$1:$AB$65000,$B1016,X$5)="",2,0)),0)</f>
        <v>0</v>
      </c>
      <c r="Y1016" s="194">
        <f>IFERROR(IF(INDEX([1]Pivot!$AD$1:$BE$65000,$B1016,Y$5)=1,1,IF(INDEX([1]Pivot!$B$1:$AB$65000,$B1016,Y$5)="",2,0)),0)</f>
        <v>0</v>
      </c>
      <c r="Z1016" s="194">
        <f>IFERROR(IF(INDEX([1]Pivot!$AD$1:$BE$65000,$B1016,Z$5)=1,1,IF(INDEX([1]Pivot!$B$1:$AB$65000,$B1016,Z$5)="",2,0)),0)</f>
        <v>0</v>
      </c>
      <c r="AA1016" s="194">
        <f>IFERROR(IF(INDEX([1]Pivot!$AD$1:$BE$65000,$B1016,AA$5)=1,1,IF(INDEX([1]Pivot!$B$1:$AB$65000,$B1016,AA$5)="",2,0)),0)</f>
        <v>0</v>
      </c>
      <c r="AB1016" s="194">
        <f>IFERROR(IF(INDEX([1]Pivot!$AD$1:$BE$65000,$B1016,AB$5)=1,1,IF(INDEX([1]Pivot!$B$1:$AB$65000,$B1016,AB$5)="",2,0)),0)</f>
        <v>0</v>
      </c>
      <c r="AC1016" s="194">
        <f>IFERROR(IF(INDEX([1]Pivot!$AD$1:$BE$65000,$B1016,AC$5)=1,1,IF(INDEX([1]Pivot!$B$1:$AB$65000,$B1016,AC$5)="",2,0)),0)</f>
        <v>0</v>
      </c>
      <c r="AD1016" s="313">
        <f>IFERROR(IF(INDEX([1]Pivot!$BF$1:$CG$65000,$B1016,AD$5)=1,1,IF(INDEX([1]Pivot!$B$1:$AB$65000,$B1016,AD$5)="",2,0)),0)</f>
        <v>0</v>
      </c>
      <c r="AE1016" s="313">
        <f>IFERROR(IF(INDEX([1]Pivot!$BF$1:$CG$65000,$B1016,AE$5)=1,1,IF(INDEX([1]Pivot!$B$1:$AB$65000,$B1016,AE$5)="",2,0)),0)</f>
        <v>0</v>
      </c>
      <c r="AF1016" s="313">
        <f>IFERROR(IF(INDEX([1]Pivot!$BF$1:$CG$65000,$B1016,AF$5)=1,1,IF(INDEX([1]Pivot!$B$1:$AB$65000,$B1016,AF$5)="",2,0)),0)</f>
        <v>0</v>
      </c>
      <c r="AG1016" s="313">
        <f>IFERROR(IF(INDEX([1]Pivot!$BF$1:$CG$65000,$B1016,AG$5)=1,1,IF(INDEX([1]Pivot!$B$1:$AB$65000,$B1016,AG$5)="",2,0)),0)</f>
        <v>0</v>
      </c>
      <c r="AH1016" s="313">
        <f>IFERROR(IF(INDEX([1]Pivot!$BF$1:$CG$65000,$B1016,AH$5)=1,1,IF(INDEX([1]Pivot!$B$1:$AB$65000,$B1016,AH$5)="",2,0)),0)</f>
        <v>0</v>
      </c>
      <c r="AI1016" s="313">
        <f>IFERROR(IF(INDEX([1]Pivot!$BF$1:$CG$65000,$B1016,AI$5)=1,1,IF(INDEX([1]Pivot!$B$1:$AB$65000,$B1016,AI$5)="",2,0)),0)</f>
        <v>0</v>
      </c>
      <c r="AJ1016" s="313">
        <f>IFERROR(IF(INDEX([1]Pivot!$BF$1:$CG$65000,$B1016,AJ$5)=1,1,IF(INDEX([1]Pivot!$B$1:$AB$65000,$B1016,AJ$5)="",2,0)),0)</f>
        <v>0</v>
      </c>
      <c r="AK1016" s="313">
        <f>IFERROR(IF(INDEX([1]Pivot!$BF$1:$CG$65000,$B1016,AK$5)=1,1,IF(INDEX([1]Pivot!$B$1:$AB$65000,$B1016,AK$5)="",2,0)),0)</f>
        <v>0</v>
      </c>
      <c r="AL1016" s="313">
        <f>IFERROR(IF(INDEX([1]Pivot!$BF$1:$CG$65000,$B1016,AL$5)=1,1,IF(INDEX([1]Pivot!$B$1:$AB$65000,$B1016,AL$5)="",2,0)),0)</f>
        <v>0</v>
      </c>
      <c r="AM1016" s="313">
        <f>IFERROR(IF(INDEX([1]Pivot!$BF$1:$CG$65000,$B1016,AM$5)=1,1,IF(INDEX([1]Pivot!$B$1:$AB$65000,$B1016,AM$5)="",2,0)),0)</f>
        <v>0</v>
      </c>
      <c r="AN1016" s="313">
        <f>IFERROR(IF(INDEX([1]Pivot!$BF$1:$CG$65000,$B1016,AN$5)=1,1,IF(INDEX([1]Pivot!$B$1:$AB$65000,$B1016,AN$5)="",2,0)),0)</f>
        <v>0</v>
      </c>
      <c r="AO1016" s="313">
        <f>IFERROR(IF(INDEX([1]Pivot!$BF$1:$CG$65000,$B1016,AO$5)=1,1,IF(INDEX([1]Pivot!$B$1:$AB$65000,$B1016,AO$5)="",2,0)),0)</f>
        <v>0</v>
      </c>
      <c r="AP1016" s="313">
        <f>IFERROR(IF(INDEX([1]Pivot!$BF$1:$CG$65000,$B1016,AP$5)=1,1,IF(INDEX([1]Pivot!$B$1:$AB$65000,$B1016,AP$5)="",2,0)),0)</f>
        <v>0</v>
      </c>
      <c r="AQ1016" s="313">
        <f>IFERROR(IF(INDEX([1]Pivot!$BF$1:$CG$65000,$B1016,AQ$5)=1,1,IF(INDEX([1]Pivot!$B$1:$AB$65000,$B1016,AQ$5)="",2,0)),0)</f>
        <v>0</v>
      </c>
      <c r="AR1016" s="313">
        <f>IFERROR(IF(INDEX([1]Pivot!$BF$1:$CG$65000,$B1016,AR$5)=1,1,IF(INDEX([1]Pivot!$B$1:$AB$65000,$B1016,AR$5)="",2,0)),0)</f>
        <v>0</v>
      </c>
      <c r="AS1016" s="312"/>
      <c r="AT1016" s="313">
        <f>IFERROR(IF(INDEX([1]Pivot!$BF$1:$CG$65000,$B1016,AT$5)=1,1,IF(INDEX([1]Pivot!$B$1:$AB$65000,$B1016,AT$5)="",2,0)),0)</f>
        <v>0</v>
      </c>
      <c r="AU1016" s="313">
        <f>IFERROR(IF(INDEX([1]Pivot!$BF$1:$CG$65000,$B1016,AU$5)=1,1,IF(INDEX([1]Pivot!$B$1:$AB$65000,$B1016,AU$5)="",2,0)),0)</f>
        <v>0</v>
      </c>
      <c r="AV1016" s="313">
        <f>IFERROR(IF(INDEX([1]Pivot!$BF$1:$CG$65000,$B1016,AV$5)=1,1,IF(INDEX([1]Pivot!$B$1:$AB$65000,$B1016,AV$5)="",2,0)),0)</f>
        <v>0</v>
      </c>
      <c r="AW1016" s="313">
        <f>IFERROR(IF(INDEX([1]Pivot!$BF$1:$CG$65000,$B1016,AW$5)=1,1,IF(INDEX([1]Pivot!$B$1:$AB$65000,$B1016,AW$5)="",2,0)),0)</f>
        <v>0</v>
      </c>
      <c r="AX1016" s="313">
        <f>IFERROR(IF(INDEX([1]Pivot!$BF$1:$CG$65000,$B1016,AX$5)=1,1,IF(INDEX([1]Pivot!$B$1:$AB$65000,$B1016,AX$5)="",2,0)),0)</f>
        <v>0</v>
      </c>
      <c r="AY1016" s="313">
        <f>IFERROR(IF(INDEX([1]Pivot!$BF$1:$CG$65000,$B1016,AY$5)=1,1,IF(INDEX([1]Pivot!$B$1:$AB$65000,$B1016,AY$5)="",2,0)),0)</f>
        <v>0</v>
      </c>
      <c r="AZ1016" s="313">
        <f>IFERROR(IF(INDEX([1]Pivot!$BF$1:$CG$65000,$B1016,AZ$5)=1,1,IF(INDEX([1]Pivot!$B$1:$AB$65000,$B1016,AZ$5)="",2,0)),0)</f>
        <v>0</v>
      </c>
      <c r="BA1016" s="313">
        <f>IFERROR(IF(INDEX([1]Pivot!$BF$1:$CG$65000,$B1016,BA$5)=1,1,IF(INDEX([1]Pivot!$B$1:$AB$65000,$B1016,BA$5)="",2,0)),0)</f>
        <v>0</v>
      </c>
      <c r="BB1016" s="313">
        <f>IFERROR(IF(INDEX([1]Pivot!$BF$1:$CG$65000,$B1016,BB$5)=1,1,IF(INDEX([1]Pivot!$B$1:$AB$65000,$B1016,BB$5)="",2,0)),0)</f>
        <v>0</v>
      </c>
      <c r="BC1016" s="313">
        <f>IFERROR(IF(INDEX([1]Pivot!$BF$1:$CG$65000,$B1016,BC$5)=1,1,IF(INDEX([1]Pivot!$B$1:$AB$65000,$B1016,BC$5)="",2,0)),0)</f>
        <v>0</v>
      </c>
      <c r="BD1016" s="313">
        <f>IFERROR(IF(INDEX([1]Pivot!$BF$1:$CG$65000,$B1016,BD$5)=1,1,IF(INDEX([1]Pivot!$B$1:$AB$65000,$B1016,BD$5)="",2,0)),0)</f>
        <v>0</v>
      </c>
    </row>
    <row r="1017" spans="1:56" x14ac:dyDescent="0.25">
      <c r="A1017" s="288">
        <f>'[2]Raw Milk Prices'!A1017</f>
        <v>0</v>
      </c>
      <c r="B1017" s="296" t="e">
        <f>MATCH(DATE(LEFT('[2]Raw Milk Prices'!$A1017,4),RIGHT('[2]Raw Milk Prices'!$A1017,2),1),[1]Pivot!$A$1:$A$65000,0)</f>
        <v>#VALUE!</v>
      </c>
      <c r="C1017" s="194">
        <f>IFERROR(IF(INDEX([1]Pivot!$AD$1:$BE$65000,$B1017,C$5)=1,1,IF(INDEX([1]Pivot!$B$1:$AB$65000,$B1017,C$5)="",2,0)),0)</f>
        <v>0</v>
      </c>
      <c r="D1017" s="194">
        <f>IFERROR(IF(INDEX([1]Pivot!$AD$1:$BE$65000,$B1017,D$5)=1,1,IF(INDEX([1]Pivot!$B$1:$AB$65000,$B1017,D$5)="",2,0)),0)</f>
        <v>0</v>
      </c>
      <c r="E1017" s="194">
        <f>IFERROR(IF(INDEX([1]Pivot!$AD$1:$BE$65000,$B1017,E$5)=1,1,IF(INDEX([1]Pivot!$B$1:$AB$65000,$B1017,E$5)="",2,0)),0)</f>
        <v>0</v>
      </c>
      <c r="F1017" s="194">
        <f>IFERROR(IF(INDEX([1]Pivot!$AD$1:$BE$65000,$B1017,F$5)=1,1,IF(INDEX([1]Pivot!$B$1:$AB$65000,$B1017,F$5)="",2,0)),0)</f>
        <v>0</v>
      </c>
      <c r="G1017" s="194">
        <f>IFERROR(IF(INDEX([1]Pivot!$AD$1:$BE$65000,$B1017,G$5)=1,1,IF(INDEX([1]Pivot!$B$1:$AB$65000,$B1017,G$5)="",2,0)),0)</f>
        <v>0</v>
      </c>
      <c r="H1017" s="194">
        <f>IFERROR(IF(INDEX([1]Pivot!$AD$1:$BE$65000,$B1017,H$5)=1,1,IF(INDEX([1]Pivot!$B$1:$AB$65000,$B1017,H$5)="",2,0)),0)</f>
        <v>0</v>
      </c>
      <c r="I1017" s="194">
        <f>IFERROR(IF(INDEX([1]Pivot!$AD$1:$BE$65000,$B1017,I$5)=1,1,IF(INDEX([1]Pivot!$B$1:$AB$65000,$B1017,I$5)="",2,0)),0)</f>
        <v>0</v>
      </c>
      <c r="J1017" s="194">
        <f>IFERROR(IF(INDEX([1]Pivot!$AD$1:$BE$65000,$B1017,J$5)=1,1,IF(INDEX([1]Pivot!$B$1:$AB$65000,$B1017,J$5)="",2,0)),0)</f>
        <v>0</v>
      </c>
      <c r="K1017" s="194">
        <f>IFERROR(IF(INDEX([1]Pivot!$AD$1:$BE$65000,$B1017,K$5)=1,1,IF(INDEX([1]Pivot!$B$1:$AB$65000,$B1017,K$5)="",2,0)),0)</f>
        <v>0</v>
      </c>
      <c r="L1017" s="194">
        <f>IFERROR(IF(INDEX([1]Pivot!$AD$1:$BE$65000,$B1017,L$5)=1,1,IF(INDEX([1]Pivot!$B$1:$AB$65000,$B1017,L$5)="",2,0)),0)</f>
        <v>0</v>
      </c>
      <c r="M1017" s="194">
        <f>IFERROR(IF(INDEX([1]Pivot!$AD$1:$BE$65000,$B1017,M$5)=1,1,IF(INDEX([1]Pivot!$B$1:$AB$65000,$B1017,M$5)="",2,0)),0)</f>
        <v>0</v>
      </c>
      <c r="N1017" s="194">
        <f>IFERROR(IF(INDEX([1]Pivot!$AD$1:$BE$65000,$B1017,N$5)=1,1,IF(INDEX([1]Pivot!$B$1:$AB$65000,$B1017,N$5)="",2,0)),0)</f>
        <v>0</v>
      </c>
      <c r="O1017" s="194">
        <f>IFERROR(IF(INDEX([1]Pivot!$AD$1:$BE$65000,$B1017,O$5)=1,1,IF(INDEX([1]Pivot!$B$1:$AB$65000,$B1017,O$5)="",2,0)),0)</f>
        <v>0</v>
      </c>
      <c r="P1017" s="194">
        <f>IFERROR(IF(INDEX([1]Pivot!$AD$1:$BE$65000,$B1017,P$5)=1,1,IF(INDEX([1]Pivot!$B$1:$AB$65000,$B1017,P$5)="",2,0)),0)</f>
        <v>0</v>
      </c>
      <c r="Q1017" s="194">
        <f>IFERROR(IF(INDEX([1]Pivot!$AD$1:$BE$65000,$B1017,Q$5)=1,1,IF(INDEX([1]Pivot!$B$1:$AB$65000,$B1017,Q$5)="",2,0)),0)</f>
        <v>0</v>
      </c>
      <c r="R1017" s="312"/>
      <c r="S1017" s="194">
        <f>IFERROR(IF(INDEX([1]Pivot!$AD$1:$BE$65000,$B1017,S$5)=1,1,IF(INDEX([1]Pivot!$B$1:$AB$65000,$B1017,S$5)="",2,0)),0)</f>
        <v>0</v>
      </c>
      <c r="T1017" s="194">
        <f>IFERROR(IF(INDEX([1]Pivot!$AD$1:$BE$65000,$B1017,T$5)=1,1,IF(INDEX([1]Pivot!$B$1:$AB$65000,$B1017,T$5)="",2,0)),0)</f>
        <v>0</v>
      </c>
      <c r="U1017" s="194">
        <f>IFERROR(IF(INDEX([1]Pivot!$AD$1:$BE$65000,$B1017,U$5)=1,1,IF(INDEX([1]Pivot!$B$1:$AB$65000,$B1017,U$5)="",2,0)),0)</f>
        <v>0</v>
      </c>
      <c r="V1017" s="194">
        <f>IFERROR(IF(INDEX([1]Pivot!$AD$1:$BE$65000,$B1017,V$5)=1,1,IF(INDEX([1]Pivot!$B$1:$AB$65000,$B1017,V$5)="",2,0)),0)</f>
        <v>0</v>
      </c>
      <c r="W1017" s="194">
        <f>IFERROR(IF(INDEX([1]Pivot!$AD$1:$BE$65000,$B1017,W$5)=1,1,IF(INDEX([1]Pivot!$B$1:$AB$65000,$B1017,W$5)="",2,0)),0)</f>
        <v>0</v>
      </c>
      <c r="X1017" s="194">
        <f>IFERROR(IF(INDEX([1]Pivot!$AD$1:$BE$65000,$B1017,X$5)=1,1,IF(INDEX([1]Pivot!$B$1:$AB$65000,$B1017,X$5)="",2,0)),0)</f>
        <v>0</v>
      </c>
      <c r="Y1017" s="194">
        <f>IFERROR(IF(INDEX([1]Pivot!$AD$1:$BE$65000,$B1017,Y$5)=1,1,IF(INDEX([1]Pivot!$B$1:$AB$65000,$B1017,Y$5)="",2,0)),0)</f>
        <v>0</v>
      </c>
      <c r="Z1017" s="194">
        <f>IFERROR(IF(INDEX([1]Pivot!$AD$1:$BE$65000,$B1017,Z$5)=1,1,IF(INDEX([1]Pivot!$B$1:$AB$65000,$B1017,Z$5)="",2,0)),0)</f>
        <v>0</v>
      </c>
      <c r="AA1017" s="194">
        <f>IFERROR(IF(INDEX([1]Pivot!$AD$1:$BE$65000,$B1017,AA$5)=1,1,IF(INDEX([1]Pivot!$B$1:$AB$65000,$B1017,AA$5)="",2,0)),0)</f>
        <v>0</v>
      </c>
      <c r="AB1017" s="194">
        <f>IFERROR(IF(INDEX([1]Pivot!$AD$1:$BE$65000,$B1017,AB$5)=1,1,IF(INDEX([1]Pivot!$B$1:$AB$65000,$B1017,AB$5)="",2,0)),0)</f>
        <v>0</v>
      </c>
      <c r="AC1017" s="194">
        <f>IFERROR(IF(INDEX([1]Pivot!$AD$1:$BE$65000,$B1017,AC$5)=1,1,IF(INDEX([1]Pivot!$B$1:$AB$65000,$B1017,AC$5)="",2,0)),0)</f>
        <v>0</v>
      </c>
      <c r="AD1017" s="313">
        <f>IFERROR(IF(INDEX([1]Pivot!$BF$1:$CG$65000,$B1017,AD$5)=1,1,IF(INDEX([1]Pivot!$B$1:$AB$65000,$B1017,AD$5)="",2,0)),0)</f>
        <v>0</v>
      </c>
      <c r="AE1017" s="313">
        <f>IFERROR(IF(INDEX([1]Pivot!$BF$1:$CG$65000,$B1017,AE$5)=1,1,IF(INDEX([1]Pivot!$B$1:$AB$65000,$B1017,AE$5)="",2,0)),0)</f>
        <v>0</v>
      </c>
      <c r="AF1017" s="313">
        <f>IFERROR(IF(INDEX([1]Pivot!$BF$1:$CG$65000,$B1017,AF$5)=1,1,IF(INDEX([1]Pivot!$B$1:$AB$65000,$B1017,AF$5)="",2,0)),0)</f>
        <v>0</v>
      </c>
      <c r="AG1017" s="313">
        <f>IFERROR(IF(INDEX([1]Pivot!$BF$1:$CG$65000,$B1017,AG$5)=1,1,IF(INDEX([1]Pivot!$B$1:$AB$65000,$B1017,AG$5)="",2,0)),0)</f>
        <v>0</v>
      </c>
      <c r="AH1017" s="313">
        <f>IFERROR(IF(INDEX([1]Pivot!$BF$1:$CG$65000,$B1017,AH$5)=1,1,IF(INDEX([1]Pivot!$B$1:$AB$65000,$B1017,AH$5)="",2,0)),0)</f>
        <v>0</v>
      </c>
      <c r="AI1017" s="313">
        <f>IFERROR(IF(INDEX([1]Pivot!$BF$1:$CG$65000,$B1017,AI$5)=1,1,IF(INDEX([1]Pivot!$B$1:$AB$65000,$B1017,AI$5)="",2,0)),0)</f>
        <v>0</v>
      </c>
      <c r="AJ1017" s="313">
        <f>IFERROR(IF(INDEX([1]Pivot!$BF$1:$CG$65000,$B1017,AJ$5)=1,1,IF(INDEX([1]Pivot!$B$1:$AB$65000,$B1017,AJ$5)="",2,0)),0)</f>
        <v>0</v>
      </c>
      <c r="AK1017" s="313">
        <f>IFERROR(IF(INDEX([1]Pivot!$BF$1:$CG$65000,$B1017,AK$5)=1,1,IF(INDEX([1]Pivot!$B$1:$AB$65000,$B1017,AK$5)="",2,0)),0)</f>
        <v>0</v>
      </c>
      <c r="AL1017" s="313">
        <f>IFERROR(IF(INDEX([1]Pivot!$BF$1:$CG$65000,$B1017,AL$5)=1,1,IF(INDEX([1]Pivot!$B$1:$AB$65000,$B1017,AL$5)="",2,0)),0)</f>
        <v>0</v>
      </c>
      <c r="AM1017" s="313">
        <f>IFERROR(IF(INDEX([1]Pivot!$BF$1:$CG$65000,$B1017,AM$5)=1,1,IF(INDEX([1]Pivot!$B$1:$AB$65000,$B1017,AM$5)="",2,0)),0)</f>
        <v>0</v>
      </c>
      <c r="AN1017" s="313">
        <f>IFERROR(IF(INDEX([1]Pivot!$BF$1:$CG$65000,$B1017,AN$5)=1,1,IF(INDEX([1]Pivot!$B$1:$AB$65000,$B1017,AN$5)="",2,0)),0)</f>
        <v>0</v>
      </c>
      <c r="AO1017" s="313">
        <f>IFERROR(IF(INDEX([1]Pivot!$BF$1:$CG$65000,$B1017,AO$5)=1,1,IF(INDEX([1]Pivot!$B$1:$AB$65000,$B1017,AO$5)="",2,0)),0)</f>
        <v>0</v>
      </c>
      <c r="AP1017" s="313">
        <f>IFERROR(IF(INDEX([1]Pivot!$BF$1:$CG$65000,$B1017,AP$5)=1,1,IF(INDEX([1]Pivot!$B$1:$AB$65000,$B1017,AP$5)="",2,0)),0)</f>
        <v>0</v>
      </c>
      <c r="AQ1017" s="313">
        <f>IFERROR(IF(INDEX([1]Pivot!$BF$1:$CG$65000,$B1017,AQ$5)=1,1,IF(INDEX([1]Pivot!$B$1:$AB$65000,$B1017,AQ$5)="",2,0)),0)</f>
        <v>0</v>
      </c>
      <c r="AR1017" s="313">
        <f>IFERROR(IF(INDEX([1]Pivot!$BF$1:$CG$65000,$B1017,AR$5)=1,1,IF(INDEX([1]Pivot!$B$1:$AB$65000,$B1017,AR$5)="",2,0)),0)</f>
        <v>0</v>
      </c>
      <c r="AS1017" s="312"/>
      <c r="AT1017" s="313">
        <f>IFERROR(IF(INDEX([1]Pivot!$BF$1:$CG$65000,$B1017,AT$5)=1,1,IF(INDEX([1]Pivot!$B$1:$AB$65000,$B1017,AT$5)="",2,0)),0)</f>
        <v>0</v>
      </c>
      <c r="AU1017" s="313">
        <f>IFERROR(IF(INDEX([1]Pivot!$BF$1:$CG$65000,$B1017,AU$5)=1,1,IF(INDEX([1]Pivot!$B$1:$AB$65000,$B1017,AU$5)="",2,0)),0)</f>
        <v>0</v>
      </c>
      <c r="AV1017" s="313">
        <f>IFERROR(IF(INDEX([1]Pivot!$BF$1:$CG$65000,$B1017,AV$5)=1,1,IF(INDEX([1]Pivot!$B$1:$AB$65000,$B1017,AV$5)="",2,0)),0)</f>
        <v>0</v>
      </c>
      <c r="AW1017" s="313">
        <f>IFERROR(IF(INDEX([1]Pivot!$BF$1:$CG$65000,$B1017,AW$5)=1,1,IF(INDEX([1]Pivot!$B$1:$AB$65000,$B1017,AW$5)="",2,0)),0)</f>
        <v>0</v>
      </c>
      <c r="AX1017" s="313">
        <f>IFERROR(IF(INDEX([1]Pivot!$BF$1:$CG$65000,$B1017,AX$5)=1,1,IF(INDEX([1]Pivot!$B$1:$AB$65000,$B1017,AX$5)="",2,0)),0)</f>
        <v>0</v>
      </c>
      <c r="AY1017" s="313">
        <f>IFERROR(IF(INDEX([1]Pivot!$BF$1:$CG$65000,$B1017,AY$5)=1,1,IF(INDEX([1]Pivot!$B$1:$AB$65000,$B1017,AY$5)="",2,0)),0)</f>
        <v>0</v>
      </c>
      <c r="AZ1017" s="313">
        <f>IFERROR(IF(INDEX([1]Pivot!$BF$1:$CG$65000,$B1017,AZ$5)=1,1,IF(INDEX([1]Pivot!$B$1:$AB$65000,$B1017,AZ$5)="",2,0)),0)</f>
        <v>0</v>
      </c>
      <c r="BA1017" s="313">
        <f>IFERROR(IF(INDEX([1]Pivot!$BF$1:$CG$65000,$B1017,BA$5)=1,1,IF(INDEX([1]Pivot!$B$1:$AB$65000,$B1017,BA$5)="",2,0)),0)</f>
        <v>0</v>
      </c>
      <c r="BB1017" s="313">
        <f>IFERROR(IF(INDEX([1]Pivot!$BF$1:$CG$65000,$B1017,BB$5)=1,1,IF(INDEX([1]Pivot!$B$1:$AB$65000,$B1017,BB$5)="",2,0)),0)</f>
        <v>0</v>
      </c>
      <c r="BC1017" s="313">
        <f>IFERROR(IF(INDEX([1]Pivot!$BF$1:$CG$65000,$B1017,BC$5)=1,1,IF(INDEX([1]Pivot!$B$1:$AB$65000,$B1017,BC$5)="",2,0)),0)</f>
        <v>0</v>
      </c>
      <c r="BD1017" s="313">
        <f>IFERROR(IF(INDEX([1]Pivot!$BF$1:$CG$65000,$B1017,BD$5)=1,1,IF(INDEX([1]Pivot!$B$1:$AB$65000,$B1017,BD$5)="",2,0)),0)</f>
        <v>0</v>
      </c>
    </row>
    <row r="1018" spans="1:56" x14ac:dyDescent="0.25">
      <c r="A1018" s="288">
        <f>'[2]Raw Milk Prices'!A1018</f>
        <v>0</v>
      </c>
      <c r="B1018" s="296" t="e">
        <f>MATCH(DATE(LEFT('[2]Raw Milk Prices'!$A1018,4),RIGHT('[2]Raw Milk Prices'!$A1018,2),1),[1]Pivot!$A$1:$A$65000,0)</f>
        <v>#VALUE!</v>
      </c>
      <c r="C1018" s="194">
        <f>IFERROR(IF(INDEX([1]Pivot!$AD$1:$BE$65000,$B1018,C$5)=1,1,IF(INDEX([1]Pivot!$B$1:$AB$65000,$B1018,C$5)="",2,0)),0)</f>
        <v>0</v>
      </c>
      <c r="D1018" s="194">
        <f>IFERROR(IF(INDEX([1]Pivot!$AD$1:$BE$65000,$B1018,D$5)=1,1,IF(INDEX([1]Pivot!$B$1:$AB$65000,$B1018,D$5)="",2,0)),0)</f>
        <v>0</v>
      </c>
      <c r="E1018" s="194">
        <f>IFERROR(IF(INDEX([1]Pivot!$AD$1:$BE$65000,$B1018,E$5)=1,1,IF(INDEX([1]Pivot!$B$1:$AB$65000,$B1018,E$5)="",2,0)),0)</f>
        <v>0</v>
      </c>
      <c r="F1018" s="194">
        <f>IFERROR(IF(INDEX([1]Pivot!$AD$1:$BE$65000,$B1018,F$5)=1,1,IF(INDEX([1]Pivot!$B$1:$AB$65000,$B1018,F$5)="",2,0)),0)</f>
        <v>0</v>
      </c>
      <c r="G1018" s="194">
        <f>IFERROR(IF(INDEX([1]Pivot!$AD$1:$BE$65000,$B1018,G$5)=1,1,IF(INDEX([1]Pivot!$B$1:$AB$65000,$B1018,G$5)="",2,0)),0)</f>
        <v>0</v>
      </c>
      <c r="H1018" s="194">
        <f>IFERROR(IF(INDEX([1]Pivot!$AD$1:$BE$65000,$B1018,H$5)=1,1,IF(INDEX([1]Pivot!$B$1:$AB$65000,$B1018,H$5)="",2,0)),0)</f>
        <v>0</v>
      </c>
      <c r="I1018" s="194">
        <f>IFERROR(IF(INDEX([1]Pivot!$AD$1:$BE$65000,$B1018,I$5)=1,1,IF(INDEX([1]Pivot!$B$1:$AB$65000,$B1018,I$5)="",2,0)),0)</f>
        <v>0</v>
      </c>
      <c r="J1018" s="194">
        <f>IFERROR(IF(INDEX([1]Pivot!$AD$1:$BE$65000,$B1018,J$5)=1,1,IF(INDEX([1]Pivot!$B$1:$AB$65000,$B1018,J$5)="",2,0)),0)</f>
        <v>0</v>
      </c>
      <c r="K1018" s="194">
        <f>IFERROR(IF(INDEX([1]Pivot!$AD$1:$BE$65000,$B1018,K$5)=1,1,IF(INDEX([1]Pivot!$B$1:$AB$65000,$B1018,K$5)="",2,0)),0)</f>
        <v>0</v>
      </c>
      <c r="L1018" s="194">
        <f>IFERROR(IF(INDEX([1]Pivot!$AD$1:$BE$65000,$B1018,L$5)=1,1,IF(INDEX([1]Pivot!$B$1:$AB$65000,$B1018,L$5)="",2,0)),0)</f>
        <v>0</v>
      </c>
      <c r="M1018" s="194">
        <f>IFERROR(IF(INDEX([1]Pivot!$AD$1:$BE$65000,$B1018,M$5)=1,1,IF(INDEX([1]Pivot!$B$1:$AB$65000,$B1018,M$5)="",2,0)),0)</f>
        <v>0</v>
      </c>
      <c r="N1018" s="194">
        <f>IFERROR(IF(INDEX([1]Pivot!$AD$1:$BE$65000,$B1018,N$5)=1,1,IF(INDEX([1]Pivot!$B$1:$AB$65000,$B1018,N$5)="",2,0)),0)</f>
        <v>0</v>
      </c>
      <c r="O1018" s="194">
        <f>IFERROR(IF(INDEX([1]Pivot!$AD$1:$BE$65000,$B1018,O$5)=1,1,IF(INDEX([1]Pivot!$B$1:$AB$65000,$B1018,O$5)="",2,0)),0)</f>
        <v>0</v>
      </c>
      <c r="P1018" s="194">
        <f>IFERROR(IF(INDEX([1]Pivot!$AD$1:$BE$65000,$B1018,P$5)=1,1,IF(INDEX([1]Pivot!$B$1:$AB$65000,$B1018,P$5)="",2,0)),0)</f>
        <v>0</v>
      </c>
      <c r="Q1018" s="194">
        <f>IFERROR(IF(INDEX([1]Pivot!$AD$1:$BE$65000,$B1018,Q$5)=1,1,IF(INDEX([1]Pivot!$B$1:$AB$65000,$B1018,Q$5)="",2,0)),0)</f>
        <v>0</v>
      </c>
      <c r="R1018" s="312"/>
      <c r="S1018" s="194">
        <f>IFERROR(IF(INDEX([1]Pivot!$AD$1:$BE$65000,$B1018,S$5)=1,1,IF(INDEX([1]Pivot!$B$1:$AB$65000,$B1018,S$5)="",2,0)),0)</f>
        <v>0</v>
      </c>
      <c r="T1018" s="194">
        <f>IFERROR(IF(INDEX([1]Pivot!$AD$1:$BE$65000,$B1018,T$5)=1,1,IF(INDEX([1]Pivot!$B$1:$AB$65000,$B1018,T$5)="",2,0)),0)</f>
        <v>0</v>
      </c>
      <c r="U1018" s="194">
        <f>IFERROR(IF(INDEX([1]Pivot!$AD$1:$BE$65000,$B1018,U$5)=1,1,IF(INDEX([1]Pivot!$B$1:$AB$65000,$B1018,U$5)="",2,0)),0)</f>
        <v>0</v>
      </c>
      <c r="V1018" s="194">
        <f>IFERROR(IF(INDEX([1]Pivot!$AD$1:$BE$65000,$B1018,V$5)=1,1,IF(INDEX([1]Pivot!$B$1:$AB$65000,$B1018,V$5)="",2,0)),0)</f>
        <v>0</v>
      </c>
      <c r="W1018" s="194">
        <f>IFERROR(IF(INDEX([1]Pivot!$AD$1:$BE$65000,$B1018,W$5)=1,1,IF(INDEX([1]Pivot!$B$1:$AB$65000,$B1018,W$5)="",2,0)),0)</f>
        <v>0</v>
      </c>
      <c r="X1018" s="194">
        <f>IFERROR(IF(INDEX([1]Pivot!$AD$1:$BE$65000,$B1018,X$5)=1,1,IF(INDEX([1]Pivot!$B$1:$AB$65000,$B1018,X$5)="",2,0)),0)</f>
        <v>0</v>
      </c>
      <c r="Y1018" s="194">
        <f>IFERROR(IF(INDEX([1]Pivot!$AD$1:$BE$65000,$B1018,Y$5)=1,1,IF(INDEX([1]Pivot!$B$1:$AB$65000,$B1018,Y$5)="",2,0)),0)</f>
        <v>0</v>
      </c>
      <c r="Z1018" s="194">
        <f>IFERROR(IF(INDEX([1]Pivot!$AD$1:$BE$65000,$B1018,Z$5)=1,1,IF(INDEX([1]Pivot!$B$1:$AB$65000,$B1018,Z$5)="",2,0)),0)</f>
        <v>0</v>
      </c>
      <c r="AA1018" s="194">
        <f>IFERROR(IF(INDEX([1]Pivot!$AD$1:$BE$65000,$B1018,AA$5)=1,1,IF(INDEX([1]Pivot!$B$1:$AB$65000,$B1018,AA$5)="",2,0)),0)</f>
        <v>0</v>
      </c>
      <c r="AB1018" s="194">
        <f>IFERROR(IF(INDEX([1]Pivot!$AD$1:$BE$65000,$B1018,AB$5)=1,1,IF(INDEX([1]Pivot!$B$1:$AB$65000,$B1018,AB$5)="",2,0)),0)</f>
        <v>0</v>
      </c>
      <c r="AC1018" s="194">
        <f>IFERROR(IF(INDEX([1]Pivot!$AD$1:$BE$65000,$B1018,AC$5)=1,1,IF(INDEX([1]Pivot!$B$1:$AB$65000,$B1018,AC$5)="",2,0)),0)</f>
        <v>0</v>
      </c>
      <c r="AD1018" s="313">
        <f>IFERROR(IF(INDEX([1]Pivot!$BF$1:$CG$65000,$B1018,AD$5)=1,1,IF(INDEX([1]Pivot!$B$1:$AB$65000,$B1018,AD$5)="",2,0)),0)</f>
        <v>0</v>
      </c>
      <c r="AE1018" s="313">
        <f>IFERROR(IF(INDEX([1]Pivot!$BF$1:$CG$65000,$B1018,AE$5)=1,1,IF(INDEX([1]Pivot!$B$1:$AB$65000,$B1018,AE$5)="",2,0)),0)</f>
        <v>0</v>
      </c>
      <c r="AF1018" s="313">
        <f>IFERROR(IF(INDEX([1]Pivot!$BF$1:$CG$65000,$B1018,AF$5)=1,1,IF(INDEX([1]Pivot!$B$1:$AB$65000,$B1018,AF$5)="",2,0)),0)</f>
        <v>0</v>
      </c>
      <c r="AG1018" s="313">
        <f>IFERROR(IF(INDEX([1]Pivot!$BF$1:$CG$65000,$B1018,AG$5)=1,1,IF(INDEX([1]Pivot!$B$1:$AB$65000,$B1018,AG$5)="",2,0)),0)</f>
        <v>0</v>
      </c>
      <c r="AH1018" s="313">
        <f>IFERROR(IF(INDEX([1]Pivot!$BF$1:$CG$65000,$B1018,AH$5)=1,1,IF(INDEX([1]Pivot!$B$1:$AB$65000,$B1018,AH$5)="",2,0)),0)</f>
        <v>0</v>
      </c>
      <c r="AI1018" s="313">
        <f>IFERROR(IF(INDEX([1]Pivot!$BF$1:$CG$65000,$B1018,AI$5)=1,1,IF(INDEX([1]Pivot!$B$1:$AB$65000,$B1018,AI$5)="",2,0)),0)</f>
        <v>0</v>
      </c>
      <c r="AJ1018" s="313">
        <f>IFERROR(IF(INDEX([1]Pivot!$BF$1:$CG$65000,$B1018,AJ$5)=1,1,IF(INDEX([1]Pivot!$B$1:$AB$65000,$B1018,AJ$5)="",2,0)),0)</f>
        <v>0</v>
      </c>
      <c r="AK1018" s="313">
        <f>IFERROR(IF(INDEX([1]Pivot!$BF$1:$CG$65000,$B1018,AK$5)=1,1,IF(INDEX([1]Pivot!$B$1:$AB$65000,$B1018,AK$5)="",2,0)),0)</f>
        <v>0</v>
      </c>
      <c r="AL1018" s="313">
        <f>IFERROR(IF(INDEX([1]Pivot!$BF$1:$CG$65000,$B1018,AL$5)=1,1,IF(INDEX([1]Pivot!$B$1:$AB$65000,$B1018,AL$5)="",2,0)),0)</f>
        <v>0</v>
      </c>
      <c r="AM1018" s="313">
        <f>IFERROR(IF(INDEX([1]Pivot!$BF$1:$CG$65000,$B1018,AM$5)=1,1,IF(INDEX([1]Pivot!$B$1:$AB$65000,$B1018,AM$5)="",2,0)),0)</f>
        <v>0</v>
      </c>
      <c r="AN1018" s="313">
        <f>IFERROR(IF(INDEX([1]Pivot!$BF$1:$CG$65000,$B1018,AN$5)=1,1,IF(INDEX([1]Pivot!$B$1:$AB$65000,$B1018,AN$5)="",2,0)),0)</f>
        <v>0</v>
      </c>
      <c r="AO1018" s="313">
        <f>IFERROR(IF(INDEX([1]Pivot!$BF$1:$CG$65000,$B1018,AO$5)=1,1,IF(INDEX([1]Pivot!$B$1:$AB$65000,$B1018,AO$5)="",2,0)),0)</f>
        <v>0</v>
      </c>
      <c r="AP1018" s="313">
        <f>IFERROR(IF(INDEX([1]Pivot!$BF$1:$CG$65000,$B1018,AP$5)=1,1,IF(INDEX([1]Pivot!$B$1:$AB$65000,$B1018,AP$5)="",2,0)),0)</f>
        <v>0</v>
      </c>
      <c r="AQ1018" s="313">
        <f>IFERROR(IF(INDEX([1]Pivot!$BF$1:$CG$65000,$B1018,AQ$5)=1,1,IF(INDEX([1]Pivot!$B$1:$AB$65000,$B1018,AQ$5)="",2,0)),0)</f>
        <v>0</v>
      </c>
      <c r="AR1018" s="313">
        <f>IFERROR(IF(INDEX([1]Pivot!$BF$1:$CG$65000,$B1018,AR$5)=1,1,IF(INDEX([1]Pivot!$B$1:$AB$65000,$B1018,AR$5)="",2,0)),0)</f>
        <v>0</v>
      </c>
      <c r="AS1018" s="312"/>
      <c r="AT1018" s="313">
        <f>IFERROR(IF(INDEX([1]Pivot!$BF$1:$CG$65000,$B1018,AT$5)=1,1,IF(INDEX([1]Pivot!$B$1:$AB$65000,$B1018,AT$5)="",2,0)),0)</f>
        <v>0</v>
      </c>
      <c r="AU1018" s="313">
        <f>IFERROR(IF(INDEX([1]Pivot!$BF$1:$CG$65000,$B1018,AU$5)=1,1,IF(INDEX([1]Pivot!$B$1:$AB$65000,$B1018,AU$5)="",2,0)),0)</f>
        <v>0</v>
      </c>
      <c r="AV1018" s="313">
        <f>IFERROR(IF(INDEX([1]Pivot!$BF$1:$CG$65000,$B1018,AV$5)=1,1,IF(INDEX([1]Pivot!$B$1:$AB$65000,$B1018,AV$5)="",2,0)),0)</f>
        <v>0</v>
      </c>
      <c r="AW1018" s="313">
        <f>IFERROR(IF(INDEX([1]Pivot!$BF$1:$CG$65000,$B1018,AW$5)=1,1,IF(INDEX([1]Pivot!$B$1:$AB$65000,$B1018,AW$5)="",2,0)),0)</f>
        <v>0</v>
      </c>
      <c r="AX1018" s="313">
        <f>IFERROR(IF(INDEX([1]Pivot!$BF$1:$CG$65000,$B1018,AX$5)=1,1,IF(INDEX([1]Pivot!$B$1:$AB$65000,$B1018,AX$5)="",2,0)),0)</f>
        <v>0</v>
      </c>
      <c r="AY1018" s="313">
        <f>IFERROR(IF(INDEX([1]Pivot!$BF$1:$CG$65000,$B1018,AY$5)=1,1,IF(INDEX([1]Pivot!$B$1:$AB$65000,$B1018,AY$5)="",2,0)),0)</f>
        <v>0</v>
      </c>
      <c r="AZ1018" s="313">
        <f>IFERROR(IF(INDEX([1]Pivot!$BF$1:$CG$65000,$B1018,AZ$5)=1,1,IF(INDEX([1]Pivot!$B$1:$AB$65000,$B1018,AZ$5)="",2,0)),0)</f>
        <v>0</v>
      </c>
      <c r="BA1018" s="313">
        <f>IFERROR(IF(INDEX([1]Pivot!$BF$1:$CG$65000,$B1018,BA$5)=1,1,IF(INDEX([1]Pivot!$B$1:$AB$65000,$B1018,BA$5)="",2,0)),0)</f>
        <v>0</v>
      </c>
      <c r="BB1018" s="313">
        <f>IFERROR(IF(INDEX([1]Pivot!$BF$1:$CG$65000,$B1018,BB$5)=1,1,IF(INDEX([1]Pivot!$B$1:$AB$65000,$B1018,BB$5)="",2,0)),0)</f>
        <v>0</v>
      </c>
      <c r="BC1018" s="313">
        <f>IFERROR(IF(INDEX([1]Pivot!$BF$1:$CG$65000,$B1018,BC$5)=1,1,IF(INDEX([1]Pivot!$B$1:$AB$65000,$B1018,BC$5)="",2,0)),0)</f>
        <v>0</v>
      </c>
      <c r="BD1018" s="313">
        <f>IFERROR(IF(INDEX([1]Pivot!$BF$1:$CG$65000,$B1018,BD$5)=1,1,IF(INDEX([1]Pivot!$B$1:$AB$65000,$B1018,BD$5)="",2,0)),0)</f>
        <v>0</v>
      </c>
    </row>
    <row r="1019" spans="1:56" x14ac:dyDescent="0.25">
      <c r="A1019" s="288">
        <f>'[2]Raw Milk Prices'!A1019</f>
        <v>0</v>
      </c>
      <c r="B1019" s="296" t="e">
        <f>MATCH(DATE(LEFT('[2]Raw Milk Prices'!$A1019,4),RIGHT('[2]Raw Milk Prices'!$A1019,2),1),[1]Pivot!$A$1:$A$65000,0)</f>
        <v>#VALUE!</v>
      </c>
      <c r="C1019" s="194">
        <f>IFERROR(IF(INDEX([1]Pivot!$AD$1:$BE$65000,$B1019,C$5)=1,1,IF(INDEX([1]Pivot!$B$1:$AB$65000,$B1019,C$5)="",2,0)),0)</f>
        <v>0</v>
      </c>
      <c r="D1019" s="194">
        <f>IFERROR(IF(INDEX([1]Pivot!$AD$1:$BE$65000,$B1019,D$5)=1,1,IF(INDEX([1]Pivot!$B$1:$AB$65000,$B1019,D$5)="",2,0)),0)</f>
        <v>0</v>
      </c>
      <c r="E1019" s="194">
        <f>IFERROR(IF(INDEX([1]Pivot!$AD$1:$BE$65000,$B1019,E$5)=1,1,IF(INDEX([1]Pivot!$B$1:$AB$65000,$B1019,E$5)="",2,0)),0)</f>
        <v>0</v>
      </c>
      <c r="F1019" s="194">
        <f>IFERROR(IF(INDEX([1]Pivot!$AD$1:$BE$65000,$B1019,F$5)=1,1,IF(INDEX([1]Pivot!$B$1:$AB$65000,$B1019,F$5)="",2,0)),0)</f>
        <v>0</v>
      </c>
      <c r="G1019" s="194">
        <f>IFERROR(IF(INDEX([1]Pivot!$AD$1:$BE$65000,$B1019,G$5)=1,1,IF(INDEX([1]Pivot!$B$1:$AB$65000,$B1019,G$5)="",2,0)),0)</f>
        <v>0</v>
      </c>
      <c r="H1019" s="194">
        <f>IFERROR(IF(INDEX([1]Pivot!$AD$1:$BE$65000,$B1019,H$5)=1,1,IF(INDEX([1]Pivot!$B$1:$AB$65000,$B1019,H$5)="",2,0)),0)</f>
        <v>0</v>
      </c>
      <c r="I1019" s="194">
        <f>IFERROR(IF(INDEX([1]Pivot!$AD$1:$BE$65000,$B1019,I$5)=1,1,IF(INDEX([1]Pivot!$B$1:$AB$65000,$B1019,I$5)="",2,0)),0)</f>
        <v>0</v>
      </c>
      <c r="J1019" s="194">
        <f>IFERROR(IF(INDEX([1]Pivot!$AD$1:$BE$65000,$B1019,J$5)=1,1,IF(INDEX([1]Pivot!$B$1:$AB$65000,$B1019,J$5)="",2,0)),0)</f>
        <v>0</v>
      </c>
      <c r="K1019" s="194">
        <f>IFERROR(IF(INDEX([1]Pivot!$AD$1:$BE$65000,$B1019,K$5)=1,1,IF(INDEX([1]Pivot!$B$1:$AB$65000,$B1019,K$5)="",2,0)),0)</f>
        <v>0</v>
      </c>
      <c r="L1019" s="194">
        <f>IFERROR(IF(INDEX([1]Pivot!$AD$1:$BE$65000,$B1019,L$5)=1,1,IF(INDEX([1]Pivot!$B$1:$AB$65000,$B1019,L$5)="",2,0)),0)</f>
        <v>0</v>
      </c>
      <c r="M1019" s="194">
        <f>IFERROR(IF(INDEX([1]Pivot!$AD$1:$BE$65000,$B1019,M$5)=1,1,IF(INDEX([1]Pivot!$B$1:$AB$65000,$B1019,M$5)="",2,0)),0)</f>
        <v>0</v>
      </c>
      <c r="N1019" s="194">
        <f>IFERROR(IF(INDEX([1]Pivot!$AD$1:$BE$65000,$B1019,N$5)=1,1,IF(INDEX([1]Pivot!$B$1:$AB$65000,$B1019,N$5)="",2,0)),0)</f>
        <v>0</v>
      </c>
      <c r="O1019" s="194">
        <f>IFERROR(IF(INDEX([1]Pivot!$AD$1:$BE$65000,$B1019,O$5)=1,1,IF(INDEX([1]Pivot!$B$1:$AB$65000,$B1019,O$5)="",2,0)),0)</f>
        <v>0</v>
      </c>
      <c r="P1019" s="194">
        <f>IFERROR(IF(INDEX([1]Pivot!$AD$1:$BE$65000,$B1019,P$5)=1,1,IF(INDEX([1]Pivot!$B$1:$AB$65000,$B1019,P$5)="",2,0)),0)</f>
        <v>0</v>
      </c>
      <c r="Q1019" s="194">
        <f>IFERROR(IF(INDEX([1]Pivot!$AD$1:$BE$65000,$B1019,Q$5)=1,1,IF(INDEX([1]Pivot!$B$1:$AB$65000,$B1019,Q$5)="",2,0)),0)</f>
        <v>0</v>
      </c>
      <c r="R1019" s="312"/>
      <c r="S1019" s="194">
        <f>IFERROR(IF(INDEX([1]Pivot!$AD$1:$BE$65000,$B1019,S$5)=1,1,IF(INDEX([1]Pivot!$B$1:$AB$65000,$B1019,S$5)="",2,0)),0)</f>
        <v>0</v>
      </c>
      <c r="T1019" s="194">
        <f>IFERROR(IF(INDEX([1]Pivot!$AD$1:$BE$65000,$B1019,T$5)=1,1,IF(INDEX([1]Pivot!$B$1:$AB$65000,$B1019,T$5)="",2,0)),0)</f>
        <v>0</v>
      </c>
      <c r="U1019" s="194">
        <f>IFERROR(IF(INDEX([1]Pivot!$AD$1:$BE$65000,$B1019,U$5)=1,1,IF(INDEX([1]Pivot!$B$1:$AB$65000,$B1019,U$5)="",2,0)),0)</f>
        <v>0</v>
      </c>
      <c r="V1019" s="194">
        <f>IFERROR(IF(INDEX([1]Pivot!$AD$1:$BE$65000,$B1019,V$5)=1,1,IF(INDEX([1]Pivot!$B$1:$AB$65000,$B1019,V$5)="",2,0)),0)</f>
        <v>0</v>
      </c>
      <c r="W1019" s="194">
        <f>IFERROR(IF(INDEX([1]Pivot!$AD$1:$BE$65000,$B1019,W$5)=1,1,IF(INDEX([1]Pivot!$B$1:$AB$65000,$B1019,W$5)="",2,0)),0)</f>
        <v>0</v>
      </c>
      <c r="X1019" s="194">
        <f>IFERROR(IF(INDEX([1]Pivot!$AD$1:$BE$65000,$B1019,X$5)=1,1,IF(INDEX([1]Pivot!$B$1:$AB$65000,$B1019,X$5)="",2,0)),0)</f>
        <v>0</v>
      </c>
      <c r="Y1019" s="194">
        <f>IFERROR(IF(INDEX([1]Pivot!$AD$1:$BE$65000,$B1019,Y$5)=1,1,IF(INDEX([1]Pivot!$B$1:$AB$65000,$B1019,Y$5)="",2,0)),0)</f>
        <v>0</v>
      </c>
      <c r="Z1019" s="194">
        <f>IFERROR(IF(INDEX([1]Pivot!$AD$1:$BE$65000,$B1019,Z$5)=1,1,IF(INDEX([1]Pivot!$B$1:$AB$65000,$B1019,Z$5)="",2,0)),0)</f>
        <v>0</v>
      </c>
      <c r="AA1019" s="194">
        <f>IFERROR(IF(INDEX([1]Pivot!$AD$1:$BE$65000,$B1019,AA$5)=1,1,IF(INDEX([1]Pivot!$B$1:$AB$65000,$B1019,AA$5)="",2,0)),0)</f>
        <v>0</v>
      </c>
      <c r="AB1019" s="194">
        <f>IFERROR(IF(INDEX([1]Pivot!$AD$1:$BE$65000,$B1019,AB$5)=1,1,IF(INDEX([1]Pivot!$B$1:$AB$65000,$B1019,AB$5)="",2,0)),0)</f>
        <v>0</v>
      </c>
      <c r="AC1019" s="194">
        <f>IFERROR(IF(INDEX([1]Pivot!$AD$1:$BE$65000,$B1019,AC$5)=1,1,IF(INDEX([1]Pivot!$B$1:$AB$65000,$B1019,AC$5)="",2,0)),0)</f>
        <v>0</v>
      </c>
      <c r="AD1019" s="313">
        <f>IFERROR(IF(INDEX([1]Pivot!$BF$1:$CG$65000,$B1019,AD$5)=1,1,IF(INDEX([1]Pivot!$B$1:$AB$65000,$B1019,AD$5)="",2,0)),0)</f>
        <v>0</v>
      </c>
      <c r="AE1019" s="313">
        <f>IFERROR(IF(INDEX([1]Pivot!$BF$1:$CG$65000,$B1019,AE$5)=1,1,IF(INDEX([1]Pivot!$B$1:$AB$65000,$B1019,AE$5)="",2,0)),0)</f>
        <v>0</v>
      </c>
      <c r="AF1019" s="313">
        <f>IFERROR(IF(INDEX([1]Pivot!$BF$1:$CG$65000,$B1019,AF$5)=1,1,IF(INDEX([1]Pivot!$B$1:$AB$65000,$B1019,AF$5)="",2,0)),0)</f>
        <v>0</v>
      </c>
      <c r="AG1019" s="313">
        <f>IFERROR(IF(INDEX([1]Pivot!$BF$1:$CG$65000,$B1019,AG$5)=1,1,IF(INDEX([1]Pivot!$B$1:$AB$65000,$B1019,AG$5)="",2,0)),0)</f>
        <v>0</v>
      </c>
      <c r="AH1019" s="313">
        <f>IFERROR(IF(INDEX([1]Pivot!$BF$1:$CG$65000,$B1019,AH$5)=1,1,IF(INDEX([1]Pivot!$B$1:$AB$65000,$B1019,AH$5)="",2,0)),0)</f>
        <v>0</v>
      </c>
      <c r="AI1019" s="313">
        <f>IFERROR(IF(INDEX([1]Pivot!$BF$1:$CG$65000,$B1019,AI$5)=1,1,IF(INDEX([1]Pivot!$B$1:$AB$65000,$B1019,AI$5)="",2,0)),0)</f>
        <v>0</v>
      </c>
      <c r="AJ1019" s="313">
        <f>IFERROR(IF(INDEX([1]Pivot!$BF$1:$CG$65000,$B1019,AJ$5)=1,1,IF(INDEX([1]Pivot!$B$1:$AB$65000,$B1019,AJ$5)="",2,0)),0)</f>
        <v>0</v>
      </c>
      <c r="AK1019" s="313">
        <f>IFERROR(IF(INDEX([1]Pivot!$BF$1:$CG$65000,$B1019,AK$5)=1,1,IF(INDEX([1]Pivot!$B$1:$AB$65000,$B1019,AK$5)="",2,0)),0)</f>
        <v>0</v>
      </c>
      <c r="AL1019" s="313">
        <f>IFERROR(IF(INDEX([1]Pivot!$BF$1:$CG$65000,$B1019,AL$5)=1,1,IF(INDEX([1]Pivot!$B$1:$AB$65000,$B1019,AL$5)="",2,0)),0)</f>
        <v>0</v>
      </c>
      <c r="AM1019" s="313">
        <f>IFERROR(IF(INDEX([1]Pivot!$BF$1:$CG$65000,$B1019,AM$5)=1,1,IF(INDEX([1]Pivot!$B$1:$AB$65000,$B1019,AM$5)="",2,0)),0)</f>
        <v>0</v>
      </c>
      <c r="AN1019" s="313">
        <f>IFERROR(IF(INDEX([1]Pivot!$BF$1:$CG$65000,$B1019,AN$5)=1,1,IF(INDEX([1]Pivot!$B$1:$AB$65000,$B1019,AN$5)="",2,0)),0)</f>
        <v>0</v>
      </c>
      <c r="AO1019" s="313">
        <f>IFERROR(IF(INDEX([1]Pivot!$BF$1:$CG$65000,$B1019,AO$5)=1,1,IF(INDEX([1]Pivot!$B$1:$AB$65000,$B1019,AO$5)="",2,0)),0)</f>
        <v>0</v>
      </c>
      <c r="AP1019" s="313">
        <f>IFERROR(IF(INDEX([1]Pivot!$BF$1:$CG$65000,$B1019,AP$5)=1,1,IF(INDEX([1]Pivot!$B$1:$AB$65000,$B1019,AP$5)="",2,0)),0)</f>
        <v>0</v>
      </c>
      <c r="AQ1019" s="313">
        <f>IFERROR(IF(INDEX([1]Pivot!$BF$1:$CG$65000,$B1019,AQ$5)=1,1,IF(INDEX([1]Pivot!$B$1:$AB$65000,$B1019,AQ$5)="",2,0)),0)</f>
        <v>0</v>
      </c>
      <c r="AR1019" s="313">
        <f>IFERROR(IF(INDEX([1]Pivot!$BF$1:$CG$65000,$B1019,AR$5)=1,1,IF(INDEX([1]Pivot!$B$1:$AB$65000,$B1019,AR$5)="",2,0)),0)</f>
        <v>0</v>
      </c>
      <c r="AS1019" s="312"/>
      <c r="AT1019" s="313">
        <f>IFERROR(IF(INDEX([1]Pivot!$BF$1:$CG$65000,$B1019,AT$5)=1,1,IF(INDEX([1]Pivot!$B$1:$AB$65000,$B1019,AT$5)="",2,0)),0)</f>
        <v>0</v>
      </c>
      <c r="AU1019" s="313">
        <f>IFERROR(IF(INDEX([1]Pivot!$BF$1:$CG$65000,$B1019,AU$5)=1,1,IF(INDEX([1]Pivot!$B$1:$AB$65000,$B1019,AU$5)="",2,0)),0)</f>
        <v>0</v>
      </c>
      <c r="AV1019" s="313">
        <f>IFERROR(IF(INDEX([1]Pivot!$BF$1:$CG$65000,$B1019,AV$5)=1,1,IF(INDEX([1]Pivot!$B$1:$AB$65000,$B1019,AV$5)="",2,0)),0)</f>
        <v>0</v>
      </c>
      <c r="AW1019" s="313">
        <f>IFERROR(IF(INDEX([1]Pivot!$BF$1:$CG$65000,$B1019,AW$5)=1,1,IF(INDEX([1]Pivot!$B$1:$AB$65000,$B1019,AW$5)="",2,0)),0)</f>
        <v>0</v>
      </c>
      <c r="AX1019" s="313">
        <f>IFERROR(IF(INDEX([1]Pivot!$BF$1:$CG$65000,$B1019,AX$5)=1,1,IF(INDEX([1]Pivot!$B$1:$AB$65000,$B1019,AX$5)="",2,0)),0)</f>
        <v>0</v>
      </c>
      <c r="AY1019" s="313">
        <f>IFERROR(IF(INDEX([1]Pivot!$BF$1:$CG$65000,$B1019,AY$5)=1,1,IF(INDEX([1]Pivot!$B$1:$AB$65000,$B1019,AY$5)="",2,0)),0)</f>
        <v>0</v>
      </c>
      <c r="AZ1019" s="313">
        <f>IFERROR(IF(INDEX([1]Pivot!$BF$1:$CG$65000,$B1019,AZ$5)=1,1,IF(INDEX([1]Pivot!$B$1:$AB$65000,$B1019,AZ$5)="",2,0)),0)</f>
        <v>0</v>
      </c>
      <c r="BA1019" s="313">
        <f>IFERROR(IF(INDEX([1]Pivot!$BF$1:$CG$65000,$B1019,BA$5)=1,1,IF(INDEX([1]Pivot!$B$1:$AB$65000,$B1019,BA$5)="",2,0)),0)</f>
        <v>0</v>
      </c>
      <c r="BB1019" s="313">
        <f>IFERROR(IF(INDEX([1]Pivot!$BF$1:$CG$65000,$B1019,BB$5)=1,1,IF(INDEX([1]Pivot!$B$1:$AB$65000,$B1019,BB$5)="",2,0)),0)</f>
        <v>0</v>
      </c>
      <c r="BC1019" s="313">
        <f>IFERROR(IF(INDEX([1]Pivot!$BF$1:$CG$65000,$B1019,BC$5)=1,1,IF(INDEX([1]Pivot!$B$1:$AB$65000,$B1019,BC$5)="",2,0)),0)</f>
        <v>0</v>
      </c>
      <c r="BD1019" s="313">
        <f>IFERROR(IF(INDEX([1]Pivot!$BF$1:$CG$65000,$B1019,BD$5)=1,1,IF(INDEX([1]Pivot!$B$1:$AB$65000,$B1019,BD$5)="",2,0)),0)</f>
        <v>0</v>
      </c>
    </row>
    <row r="1020" spans="1:56" x14ac:dyDescent="0.25">
      <c r="A1020" s="288">
        <f>'[2]Raw Milk Prices'!A1020</f>
        <v>0</v>
      </c>
      <c r="B1020" s="296" t="e">
        <f>MATCH(DATE(LEFT('[2]Raw Milk Prices'!$A1020,4),RIGHT('[2]Raw Milk Prices'!$A1020,2),1),[1]Pivot!$A$1:$A$65000,0)</f>
        <v>#VALUE!</v>
      </c>
      <c r="C1020" s="194">
        <f>IFERROR(IF(INDEX([1]Pivot!$AD$1:$BE$65000,$B1020,C$5)=1,1,IF(INDEX([1]Pivot!$B$1:$AB$65000,$B1020,C$5)="",2,0)),0)</f>
        <v>0</v>
      </c>
      <c r="D1020" s="194">
        <f>IFERROR(IF(INDEX([1]Pivot!$AD$1:$BE$65000,$B1020,D$5)=1,1,IF(INDEX([1]Pivot!$B$1:$AB$65000,$B1020,D$5)="",2,0)),0)</f>
        <v>0</v>
      </c>
      <c r="E1020" s="194">
        <f>IFERROR(IF(INDEX([1]Pivot!$AD$1:$BE$65000,$B1020,E$5)=1,1,IF(INDEX([1]Pivot!$B$1:$AB$65000,$B1020,E$5)="",2,0)),0)</f>
        <v>0</v>
      </c>
      <c r="F1020" s="194">
        <f>IFERROR(IF(INDEX([1]Pivot!$AD$1:$BE$65000,$B1020,F$5)=1,1,IF(INDEX([1]Pivot!$B$1:$AB$65000,$B1020,F$5)="",2,0)),0)</f>
        <v>0</v>
      </c>
      <c r="G1020" s="194">
        <f>IFERROR(IF(INDEX([1]Pivot!$AD$1:$BE$65000,$B1020,G$5)=1,1,IF(INDEX([1]Pivot!$B$1:$AB$65000,$B1020,G$5)="",2,0)),0)</f>
        <v>0</v>
      </c>
      <c r="H1020" s="194">
        <f>IFERROR(IF(INDEX([1]Pivot!$AD$1:$BE$65000,$B1020,H$5)=1,1,IF(INDEX([1]Pivot!$B$1:$AB$65000,$B1020,H$5)="",2,0)),0)</f>
        <v>0</v>
      </c>
      <c r="I1020" s="194">
        <f>IFERROR(IF(INDEX([1]Pivot!$AD$1:$BE$65000,$B1020,I$5)=1,1,IF(INDEX([1]Pivot!$B$1:$AB$65000,$B1020,I$5)="",2,0)),0)</f>
        <v>0</v>
      </c>
      <c r="J1020" s="194">
        <f>IFERROR(IF(INDEX([1]Pivot!$AD$1:$BE$65000,$B1020,J$5)=1,1,IF(INDEX([1]Pivot!$B$1:$AB$65000,$B1020,J$5)="",2,0)),0)</f>
        <v>0</v>
      </c>
      <c r="K1020" s="194">
        <f>IFERROR(IF(INDEX([1]Pivot!$AD$1:$BE$65000,$B1020,K$5)=1,1,IF(INDEX([1]Pivot!$B$1:$AB$65000,$B1020,K$5)="",2,0)),0)</f>
        <v>0</v>
      </c>
      <c r="L1020" s="194">
        <f>IFERROR(IF(INDEX([1]Pivot!$AD$1:$BE$65000,$B1020,L$5)=1,1,IF(INDEX([1]Pivot!$B$1:$AB$65000,$B1020,L$5)="",2,0)),0)</f>
        <v>0</v>
      </c>
      <c r="M1020" s="194">
        <f>IFERROR(IF(INDEX([1]Pivot!$AD$1:$BE$65000,$B1020,M$5)=1,1,IF(INDEX([1]Pivot!$B$1:$AB$65000,$B1020,M$5)="",2,0)),0)</f>
        <v>0</v>
      </c>
      <c r="N1020" s="194">
        <f>IFERROR(IF(INDEX([1]Pivot!$AD$1:$BE$65000,$B1020,N$5)=1,1,IF(INDEX([1]Pivot!$B$1:$AB$65000,$B1020,N$5)="",2,0)),0)</f>
        <v>0</v>
      </c>
      <c r="O1020" s="194">
        <f>IFERROR(IF(INDEX([1]Pivot!$AD$1:$BE$65000,$B1020,O$5)=1,1,IF(INDEX([1]Pivot!$B$1:$AB$65000,$B1020,O$5)="",2,0)),0)</f>
        <v>0</v>
      </c>
      <c r="P1020" s="194">
        <f>IFERROR(IF(INDEX([1]Pivot!$AD$1:$BE$65000,$B1020,P$5)=1,1,IF(INDEX([1]Pivot!$B$1:$AB$65000,$B1020,P$5)="",2,0)),0)</f>
        <v>0</v>
      </c>
      <c r="Q1020" s="194">
        <f>IFERROR(IF(INDEX([1]Pivot!$AD$1:$BE$65000,$B1020,Q$5)=1,1,IF(INDEX([1]Pivot!$B$1:$AB$65000,$B1020,Q$5)="",2,0)),0)</f>
        <v>0</v>
      </c>
      <c r="R1020" s="312"/>
      <c r="S1020" s="194">
        <f>IFERROR(IF(INDEX([1]Pivot!$AD$1:$BE$65000,$B1020,S$5)=1,1,IF(INDEX([1]Pivot!$B$1:$AB$65000,$B1020,S$5)="",2,0)),0)</f>
        <v>0</v>
      </c>
      <c r="T1020" s="194">
        <f>IFERROR(IF(INDEX([1]Pivot!$AD$1:$BE$65000,$B1020,T$5)=1,1,IF(INDEX([1]Pivot!$B$1:$AB$65000,$B1020,T$5)="",2,0)),0)</f>
        <v>0</v>
      </c>
      <c r="U1020" s="194">
        <f>IFERROR(IF(INDEX([1]Pivot!$AD$1:$BE$65000,$B1020,U$5)=1,1,IF(INDEX([1]Pivot!$B$1:$AB$65000,$B1020,U$5)="",2,0)),0)</f>
        <v>0</v>
      </c>
      <c r="V1020" s="194">
        <f>IFERROR(IF(INDEX([1]Pivot!$AD$1:$BE$65000,$B1020,V$5)=1,1,IF(INDEX([1]Pivot!$B$1:$AB$65000,$B1020,V$5)="",2,0)),0)</f>
        <v>0</v>
      </c>
      <c r="W1020" s="194">
        <f>IFERROR(IF(INDEX([1]Pivot!$AD$1:$BE$65000,$B1020,W$5)=1,1,IF(INDEX([1]Pivot!$B$1:$AB$65000,$B1020,W$5)="",2,0)),0)</f>
        <v>0</v>
      </c>
      <c r="X1020" s="194">
        <f>IFERROR(IF(INDEX([1]Pivot!$AD$1:$BE$65000,$B1020,X$5)=1,1,IF(INDEX([1]Pivot!$B$1:$AB$65000,$B1020,X$5)="",2,0)),0)</f>
        <v>0</v>
      </c>
      <c r="Y1020" s="194">
        <f>IFERROR(IF(INDEX([1]Pivot!$AD$1:$BE$65000,$B1020,Y$5)=1,1,IF(INDEX([1]Pivot!$B$1:$AB$65000,$B1020,Y$5)="",2,0)),0)</f>
        <v>0</v>
      </c>
      <c r="Z1020" s="194">
        <f>IFERROR(IF(INDEX([1]Pivot!$AD$1:$BE$65000,$B1020,Z$5)=1,1,IF(INDEX([1]Pivot!$B$1:$AB$65000,$B1020,Z$5)="",2,0)),0)</f>
        <v>0</v>
      </c>
      <c r="AA1020" s="194">
        <f>IFERROR(IF(INDEX([1]Pivot!$AD$1:$BE$65000,$B1020,AA$5)=1,1,IF(INDEX([1]Pivot!$B$1:$AB$65000,$B1020,AA$5)="",2,0)),0)</f>
        <v>0</v>
      </c>
      <c r="AB1020" s="194">
        <f>IFERROR(IF(INDEX([1]Pivot!$AD$1:$BE$65000,$B1020,AB$5)=1,1,IF(INDEX([1]Pivot!$B$1:$AB$65000,$B1020,AB$5)="",2,0)),0)</f>
        <v>0</v>
      </c>
      <c r="AC1020" s="194">
        <f>IFERROR(IF(INDEX([1]Pivot!$AD$1:$BE$65000,$B1020,AC$5)=1,1,IF(INDEX([1]Pivot!$B$1:$AB$65000,$B1020,AC$5)="",2,0)),0)</f>
        <v>0</v>
      </c>
      <c r="AD1020" s="313">
        <f>IFERROR(IF(INDEX([1]Pivot!$BF$1:$CG$65000,$B1020,AD$5)=1,1,IF(INDEX([1]Pivot!$B$1:$AB$65000,$B1020,AD$5)="",2,0)),0)</f>
        <v>0</v>
      </c>
      <c r="AE1020" s="313">
        <f>IFERROR(IF(INDEX([1]Pivot!$BF$1:$CG$65000,$B1020,AE$5)=1,1,IF(INDEX([1]Pivot!$B$1:$AB$65000,$B1020,AE$5)="",2,0)),0)</f>
        <v>0</v>
      </c>
      <c r="AF1020" s="313">
        <f>IFERROR(IF(INDEX([1]Pivot!$BF$1:$CG$65000,$B1020,AF$5)=1,1,IF(INDEX([1]Pivot!$B$1:$AB$65000,$B1020,AF$5)="",2,0)),0)</f>
        <v>0</v>
      </c>
      <c r="AG1020" s="313">
        <f>IFERROR(IF(INDEX([1]Pivot!$BF$1:$CG$65000,$B1020,AG$5)=1,1,IF(INDEX([1]Pivot!$B$1:$AB$65000,$B1020,AG$5)="",2,0)),0)</f>
        <v>0</v>
      </c>
      <c r="AH1020" s="313">
        <f>IFERROR(IF(INDEX([1]Pivot!$BF$1:$CG$65000,$B1020,AH$5)=1,1,IF(INDEX([1]Pivot!$B$1:$AB$65000,$B1020,AH$5)="",2,0)),0)</f>
        <v>0</v>
      </c>
      <c r="AI1020" s="313">
        <f>IFERROR(IF(INDEX([1]Pivot!$BF$1:$CG$65000,$B1020,AI$5)=1,1,IF(INDEX([1]Pivot!$B$1:$AB$65000,$B1020,AI$5)="",2,0)),0)</f>
        <v>0</v>
      </c>
      <c r="AJ1020" s="313">
        <f>IFERROR(IF(INDEX([1]Pivot!$BF$1:$CG$65000,$B1020,AJ$5)=1,1,IF(INDEX([1]Pivot!$B$1:$AB$65000,$B1020,AJ$5)="",2,0)),0)</f>
        <v>0</v>
      </c>
      <c r="AK1020" s="313">
        <f>IFERROR(IF(INDEX([1]Pivot!$BF$1:$CG$65000,$B1020,AK$5)=1,1,IF(INDEX([1]Pivot!$B$1:$AB$65000,$B1020,AK$5)="",2,0)),0)</f>
        <v>0</v>
      </c>
      <c r="AL1020" s="313">
        <f>IFERROR(IF(INDEX([1]Pivot!$BF$1:$CG$65000,$B1020,AL$5)=1,1,IF(INDEX([1]Pivot!$B$1:$AB$65000,$B1020,AL$5)="",2,0)),0)</f>
        <v>0</v>
      </c>
      <c r="AM1020" s="313">
        <f>IFERROR(IF(INDEX([1]Pivot!$BF$1:$CG$65000,$B1020,AM$5)=1,1,IF(INDEX([1]Pivot!$B$1:$AB$65000,$B1020,AM$5)="",2,0)),0)</f>
        <v>0</v>
      </c>
      <c r="AN1020" s="313">
        <f>IFERROR(IF(INDEX([1]Pivot!$BF$1:$CG$65000,$B1020,AN$5)=1,1,IF(INDEX([1]Pivot!$B$1:$AB$65000,$B1020,AN$5)="",2,0)),0)</f>
        <v>0</v>
      </c>
      <c r="AO1020" s="313">
        <f>IFERROR(IF(INDEX([1]Pivot!$BF$1:$CG$65000,$B1020,AO$5)=1,1,IF(INDEX([1]Pivot!$B$1:$AB$65000,$B1020,AO$5)="",2,0)),0)</f>
        <v>0</v>
      </c>
      <c r="AP1020" s="313">
        <f>IFERROR(IF(INDEX([1]Pivot!$BF$1:$CG$65000,$B1020,AP$5)=1,1,IF(INDEX([1]Pivot!$B$1:$AB$65000,$B1020,AP$5)="",2,0)),0)</f>
        <v>0</v>
      </c>
      <c r="AQ1020" s="313">
        <f>IFERROR(IF(INDEX([1]Pivot!$BF$1:$CG$65000,$B1020,AQ$5)=1,1,IF(INDEX([1]Pivot!$B$1:$AB$65000,$B1020,AQ$5)="",2,0)),0)</f>
        <v>0</v>
      </c>
      <c r="AR1020" s="313">
        <f>IFERROR(IF(INDEX([1]Pivot!$BF$1:$CG$65000,$B1020,AR$5)=1,1,IF(INDEX([1]Pivot!$B$1:$AB$65000,$B1020,AR$5)="",2,0)),0)</f>
        <v>0</v>
      </c>
      <c r="AS1020" s="312"/>
      <c r="AT1020" s="313">
        <f>IFERROR(IF(INDEX([1]Pivot!$BF$1:$CG$65000,$B1020,AT$5)=1,1,IF(INDEX([1]Pivot!$B$1:$AB$65000,$B1020,AT$5)="",2,0)),0)</f>
        <v>0</v>
      </c>
      <c r="AU1020" s="313">
        <f>IFERROR(IF(INDEX([1]Pivot!$BF$1:$CG$65000,$B1020,AU$5)=1,1,IF(INDEX([1]Pivot!$B$1:$AB$65000,$B1020,AU$5)="",2,0)),0)</f>
        <v>0</v>
      </c>
      <c r="AV1020" s="313">
        <f>IFERROR(IF(INDEX([1]Pivot!$BF$1:$CG$65000,$B1020,AV$5)=1,1,IF(INDEX([1]Pivot!$B$1:$AB$65000,$B1020,AV$5)="",2,0)),0)</f>
        <v>0</v>
      </c>
      <c r="AW1020" s="313">
        <f>IFERROR(IF(INDEX([1]Pivot!$BF$1:$CG$65000,$B1020,AW$5)=1,1,IF(INDEX([1]Pivot!$B$1:$AB$65000,$B1020,AW$5)="",2,0)),0)</f>
        <v>0</v>
      </c>
      <c r="AX1020" s="313">
        <f>IFERROR(IF(INDEX([1]Pivot!$BF$1:$CG$65000,$B1020,AX$5)=1,1,IF(INDEX([1]Pivot!$B$1:$AB$65000,$B1020,AX$5)="",2,0)),0)</f>
        <v>0</v>
      </c>
      <c r="AY1020" s="313">
        <f>IFERROR(IF(INDEX([1]Pivot!$BF$1:$CG$65000,$B1020,AY$5)=1,1,IF(INDEX([1]Pivot!$B$1:$AB$65000,$B1020,AY$5)="",2,0)),0)</f>
        <v>0</v>
      </c>
      <c r="AZ1020" s="313">
        <f>IFERROR(IF(INDEX([1]Pivot!$BF$1:$CG$65000,$B1020,AZ$5)=1,1,IF(INDEX([1]Pivot!$B$1:$AB$65000,$B1020,AZ$5)="",2,0)),0)</f>
        <v>0</v>
      </c>
      <c r="BA1020" s="313">
        <f>IFERROR(IF(INDEX([1]Pivot!$BF$1:$CG$65000,$B1020,BA$5)=1,1,IF(INDEX([1]Pivot!$B$1:$AB$65000,$B1020,BA$5)="",2,0)),0)</f>
        <v>0</v>
      </c>
      <c r="BB1020" s="313">
        <f>IFERROR(IF(INDEX([1]Pivot!$BF$1:$CG$65000,$B1020,BB$5)=1,1,IF(INDEX([1]Pivot!$B$1:$AB$65000,$B1020,BB$5)="",2,0)),0)</f>
        <v>0</v>
      </c>
      <c r="BC1020" s="313">
        <f>IFERROR(IF(INDEX([1]Pivot!$BF$1:$CG$65000,$B1020,BC$5)=1,1,IF(INDEX([1]Pivot!$B$1:$AB$65000,$B1020,BC$5)="",2,0)),0)</f>
        <v>0</v>
      </c>
      <c r="BD1020" s="313">
        <f>IFERROR(IF(INDEX([1]Pivot!$BF$1:$CG$65000,$B1020,BD$5)=1,1,IF(INDEX([1]Pivot!$B$1:$AB$65000,$B1020,BD$5)="",2,0)),0)</f>
        <v>0</v>
      </c>
    </row>
    <row r="1021" spans="1:56" x14ac:dyDescent="0.25">
      <c r="A1021" s="288">
        <f>'[2]Raw Milk Prices'!A1021</f>
        <v>0</v>
      </c>
      <c r="B1021" s="296" t="e">
        <f>MATCH(DATE(LEFT('[2]Raw Milk Prices'!$A1021,4),RIGHT('[2]Raw Milk Prices'!$A1021,2),1),[1]Pivot!$A$1:$A$65000,0)</f>
        <v>#VALUE!</v>
      </c>
      <c r="C1021" s="194">
        <f>IFERROR(IF(INDEX([1]Pivot!$AD$1:$BE$65000,$B1021,C$5)=1,1,IF(INDEX([1]Pivot!$B$1:$AB$65000,$B1021,C$5)="",2,0)),0)</f>
        <v>0</v>
      </c>
      <c r="D1021" s="194">
        <f>IFERROR(IF(INDEX([1]Pivot!$AD$1:$BE$65000,$B1021,D$5)=1,1,IF(INDEX([1]Pivot!$B$1:$AB$65000,$B1021,D$5)="",2,0)),0)</f>
        <v>0</v>
      </c>
      <c r="E1021" s="194">
        <f>IFERROR(IF(INDEX([1]Pivot!$AD$1:$BE$65000,$B1021,E$5)=1,1,IF(INDEX([1]Pivot!$B$1:$AB$65000,$B1021,E$5)="",2,0)),0)</f>
        <v>0</v>
      </c>
      <c r="F1021" s="194">
        <f>IFERROR(IF(INDEX([1]Pivot!$AD$1:$BE$65000,$B1021,F$5)=1,1,IF(INDEX([1]Pivot!$B$1:$AB$65000,$B1021,F$5)="",2,0)),0)</f>
        <v>0</v>
      </c>
      <c r="G1021" s="194">
        <f>IFERROR(IF(INDEX([1]Pivot!$AD$1:$BE$65000,$B1021,G$5)=1,1,IF(INDEX([1]Pivot!$B$1:$AB$65000,$B1021,G$5)="",2,0)),0)</f>
        <v>0</v>
      </c>
      <c r="H1021" s="194">
        <f>IFERROR(IF(INDEX([1]Pivot!$AD$1:$BE$65000,$B1021,H$5)=1,1,IF(INDEX([1]Pivot!$B$1:$AB$65000,$B1021,H$5)="",2,0)),0)</f>
        <v>0</v>
      </c>
      <c r="I1021" s="194">
        <f>IFERROR(IF(INDEX([1]Pivot!$AD$1:$BE$65000,$B1021,I$5)=1,1,IF(INDEX([1]Pivot!$B$1:$AB$65000,$B1021,I$5)="",2,0)),0)</f>
        <v>0</v>
      </c>
      <c r="J1021" s="194">
        <f>IFERROR(IF(INDEX([1]Pivot!$AD$1:$BE$65000,$B1021,J$5)=1,1,IF(INDEX([1]Pivot!$B$1:$AB$65000,$B1021,J$5)="",2,0)),0)</f>
        <v>0</v>
      </c>
      <c r="K1021" s="194">
        <f>IFERROR(IF(INDEX([1]Pivot!$AD$1:$BE$65000,$B1021,K$5)=1,1,IF(INDEX([1]Pivot!$B$1:$AB$65000,$B1021,K$5)="",2,0)),0)</f>
        <v>0</v>
      </c>
      <c r="L1021" s="194">
        <f>IFERROR(IF(INDEX([1]Pivot!$AD$1:$BE$65000,$B1021,L$5)=1,1,IF(INDEX([1]Pivot!$B$1:$AB$65000,$B1021,L$5)="",2,0)),0)</f>
        <v>0</v>
      </c>
      <c r="M1021" s="194">
        <f>IFERROR(IF(INDEX([1]Pivot!$AD$1:$BE$65000,$B1021,M$5)=1,1,IF(INDEX([1]Pivot!$B$1:$AB$65000,$B1021,M$5)="",2,0)),0)</f>
        <v>0</v>
      </c>
      <c r="N1021" s="194">
        <f>IFERROR(IF(INDEX([1]Pivot!$AD$1:$BE$65000,$B1021,N$5)=1,1,IF(INDEX([1]Pivot!$B$1:$AB$65000,$B1021,N$5)="",2,0)),0)</f>
        <v>0</v>
      </c>
      <c r="O1021" s="194">
        <f>IFERROR(IF(INDEX([1]Pivot!$AD$1:$BE$65000,$B1021,O$5)=1,1,IF(INDEX([1]Pivot!$B$1:$AB$65000,$B1021,O$5)="",2,0)),0)</f>
        <v>0</v>
      </c>
      <c r="P1021" s="194">
        <f>IFERROR(IF(INDEX([1]Pivot!$AD$1:$BE$65000,$B1021,P$5)=1,1,IF(INDEX([1]Pivot!$B$1:$AB$65000,$B1021,P$5)="",2,0)),0)</f>
        <v>0</v>
      </c>
      <c r="Q1021" s="194">
        <f>IFERROR(IF(INDEX([1]Pivot!$AD$1:$BE$65000,$B1021,Q$5)=1,1,IF(INDEX([1]Pivot!$B$1:$AB$65000,$B1021,Q$5)="",2,0)),0)</f>
        <v>0</v>
      </c>
      <c r="R1021" s="312"/>
      <c r="S1021" s="194">
        <f>IFERROR(IF(INDEX([1]Pivot!$AD$1:$BE$65000,$B1021,S$5)=1,1,IF(INDEX([1]Pivot!$B$1:$AB$65000,$B1021,S$5)="",2,0)),0)</f>
        <v>0</v>
      </c>
      <c r="T1021" s="194">
        <f>IFERROR(IF(INDEX([1]Pivot!$AD$1:$BE$65000,$B1021,T$5)=1,1,IF(INDEX([1]Pivot!$B$1:$AB$65000,$B1021,T$5)="",2,0)),0)</f>
        <v>0</v>
      </c>
      <c r="U1021" s="194">
        <f>IFERROR(IF(INDEX([1]Pivot!$AD$1:$BE$65000,$B1021,U$5)=1,1,IF(INDEX([1]Pivot!$B$1:$AB$65000,$B1021,U$5)="",2,0)),0)</f>
        <v>0</v>
      </c>
      <c r="V1021" s="194">
        <f>IFERROR(IF(INDEX([1]Pivot!$AD$1:$BE$65000,$B1021,V$5)=1,1,IF(INDEX([1]Pivot!$B$1:$AB$65000,$B1021,V$5)="",2,0)),0)</f>
        <v>0</v>
      </c>
      <c r="W1021" s="194">
        <f>IFERROR(IF(INDEX([1]Pivot!$AD$1:$BE$65000,$B1021,W$5)=1,1,IF(INDEX([1]Pivot!$B$1:$AB$65000,$B1021,W$5)="",2,0)),0)</f>
        <v>0</v>
      </c>
      <c r="X1021" s="194">
        <f>IFERROR(IF(INDEX([1]Pivot!$AD$1:$BE$65000,$B1021,X$5)=1,1,IF(INDEX([1]Pivot!$B$1:$AB$65000,$B1021,X$5)="",2,0)),0)</f>
        <v>0</v>
      </c>
      <c r="Y1021" s="194">
        <f>IFERROR(IF(INDEX([1]Pivot!$AD$1:$BE$65000,$B1021,Y$5)=1,1,IF(INDEX([1]Pivot!$B$1:$AB$65000,$B1021,Y$5)="",2,0)),0)</f>
        <v>0</v>
      </c>
      <c r="Z1021" s="194">
        <f>IFERROR(IF(INDEX([1]Pivot!$AD$1:$BE$65000,$B1021,Z$5)=1,1,IF(INDEX([1]Pivot!$B$1:$AB$65000,$B1021,Z$5)="",2,0)),0)</f>
        <v>0</v>
      </c>
      <c r="AA1021" s="194">
        <f>IFERROR(IF(INDEX([1]Pivot!$AD$1:$BE$65000,$B1021,AA$5)=1,1,IF(INDEX([1]Pivot!$B$1:$AB$65000,$B1021,AA$5)="",2,0)),0)</f>
        <v>0</v>
      </c>
      <c r="AB1021" s="194">
        <f>IFERROR(IF(INDEX([1]Pivot!$AD$1:$BE$65000,$B1021,AB$5)=1,1,IF(INDEX([1]Pivot!$B$1:$AB$65000,$B1021,AB$5)="",2,0)),0)</f>
        <v>0</v>
      </c>
      <c r="AC1021" s="194">
        <f>IFERROR(IF(INDEX([1]Pivot!$AD$1:$BE$65000,$B1021,AC$5)=1,1,IF(INDEX([1]Pivot!$B$1:$AB$65000,$B1021,AC$5)="",2,0)),0)</f>
        <v>0</v>
      </c>
      <c r="AD1021" s="313">
        <f>IFERROR(IF(INDEX([1]Pivot!$BF$1:$CG$65000,$B1021,AD$5)=1,1,IF(INDEX([1]Pivot!$B$1:$AB$65000,$B1021,AD$5)="",2,0)),0)</f>
        <v>0</v>
      </c>
      <c r="AE1021" s="313">
        <f>IFERROR(IF(INDEX([1]Pivot!$BF$1:$CG$65000,$B1021,AE$5)=1,1,IF(INDEX([1]Pivot!$B$1:$AB$65000,$B1021,AE$5)="",2,0)),0)</f>
        <v>0</v>
      </c>
      <c r="AF1021" s="313">
        <f>IFERROR(IF(INDEX([1]Pivot!$BF$1:$CG$65000,$B1021,AF$5)=1,1,IF(INDEX([1]Pivot!$B$1:$AB$65000,$B1021,AF$5)="",2,0)),0)</f>
        <v>0</v>
      </c>
      <c r="AG1021" s="313">
        <f>IFERROR(IF(INDEX([1]Pivot!$BF$1:$CG$65000,$B1021,AG$5)=1,1,IF(INDEX([1]Pivot!$B$1:$AB$65000,$B1021,AG$5)="",2,0)),0)</f>
        <v>0</v>
      </c>
      <c r="AH1021" s="313">
        <f>IFERROR(IF(INDEX([1]Pivot!$BF$1:$CG$65000,$B1021,AH$5)=1,1,IF(INDEX([1]Pivot!$B$1:$AB$65000,$B1021,AH$5)="",2,0)),0)</f>
        <v>0</v>
      </c>
      <c r="AI1021" s="313">
        <f>IFERROR(IF(INDEX([1]Pivot!$BF$1:$CG$65000,$B1021,AI$5)=1,1,IF(INDEX([1]Pivot!$B$1:$AB$65000,$B1021,AI$5)="",2,0)),0)</f>
        <v>0</v>
      </c>
      <c r="AJ1021" s="313">
        <f>IFERROR(IF(INDEX([1]Pivot!$BF$1:$CG$65000,$B1021,AJ$5)=1,1,IF(INDEX([1]Pivot!$B$1:$AB$65000,$B1021,AJ$5)="",2,0)),0)</f>
        <v>0</v>
      </c>
      <c r="AK1021" s="313">
        <f>IFERROR(IF(INDEX([1]Pivot!$BF$1:$CG$65000,$B1021,AK$5)=1,1,IF(INDEX([1]Pivot!$B$1:$AB$65000,$B1021,AK$5)="",2,0)),0)</f>
        <v>0</v>
      </c>
      <c r="AL1021" s="313">
        <f>IFERROR(IF(INDEX([1]Pivot!$BF$1:$CG$65000,$B1021,AL$5)=1,1,IF(INDEX([1]Pivot!$B$1:$AB$65000,$B1021,AL$5)="",2,0)),0)</f>
        <v>0</v>
      </c>
      <c r="AM1021" s="313">
        <f>IFERROR(IF(INDEX([1]Pivot!$BF$1:$CG$65000,$B1021,AM$5)=1,1,IF(INDEX([1]Pivot!$B$1:$AB$65000,$B1021,AM$5)="",2,0)),0)</f>
        <v>0</v>
      </c>
      <c r="AN1021" s="313">
        <f>IFERROR(IF(INDEX([1]Pivot!$BF$1:$CG$65000,$B1021,AN$5)=1,1,IF(INDEX([1]Pivot!$B$1:$AB$65000,$B1021,AN$5)="",2,0)),0)</f>
        <v>0</v>
      </c>
      <c r="AO1021" s="313">
        <f>IFERROR(IF(INDEX([1]Pivot!$BF$1:$CG$65000,$B1021,AO$5)=1,1,IF(INDEX([1]Pivot!$B$1:$AB$65000,$B1021,AO$5)="",2,0)),0)</f>
        <v>0</v>
      </c>
      <c r="AP1021" s="313">
        <f>IFERROR(IF(INDEX([1]Pivot!$BF$1:$CG$65000,$B1021,AP$5)=1,1,IF(INDEX([1]Pivot!$B$1:$AB$65000,$B1021,AP$5)="",2,0)),0)</f>
        <v>0</v>
      </c>
      <c r="AQ1021" s="313">
        <f>IFERROR(IF(INDEX([1]Pivot!$BF$1:$CG$65000,$B1021,AQ$5)=1,1,IF(INDEX([1]Pivot!$B$1:$AB$65000,$B1021,AQ$5)="",2,0)),0)</f>
        <v>0</v>
      </c>
      <c r="AR1021" s="313">
        <f>IFERROR(IF(INDEX([1]Pivot!$BF$1:$CG$65000,$B1021,AR$5)=1,1,IF(INDEX([1]Pivot!$B$1:$AB$65000,$B1021,AR$5)="",2,0)),0)</f>
        <v>0</v>
      </c>
      <c r="AS1021" s="312"/>
      <c r="AT1021" s="313">
        <f>IFERROR(IF(INDEX([1]Pivot!$BF$1:$CG$65000,$B1021,AT$5)=1,1,IF(INDEX([1]Pivot!$B$1:$AB$65000,$B1021,AT$5)="",2,0)),0)</f>
        <v>0</v>
      </c>
      <c r="AU1021" s="313">
        <f>IFERROR(IF(INDEX([1]Pivot!$BF$1:$CG$65000,$B1021,AU$5)=1,1,IF(INDEX([1]Pivot!$B$1:$AB$65000,$B1021,AU$5)="",2,0)),0)</f>
        <v>0</v>
      </c>
      <c r="AV1021" s="313">
        <f>IFERROR(IF(INDEX([1]Pivot!$BF$1:$CG$65000,$B1021,AV$5)=1,1,IF(INDEX([1]Pivot!$B$1:$AB$65000,$B1021,AV$5)="",2,0)),0)</f>
        <v>0</v>
      </c>
      <c r="AW1021" s="313">
        <f>IFERROR(IF(INDEX([1]Pivot!$BF$1:$CG$65000,$B1021,AW$5)=1,1,IF(INDEX([1]Pivot!$B$1:$AB$65000,$B1021,AW$5)="",2,0)),0)</f>
        <v>0</v>
      </c>
      <c r="AX1021" s="313">
        <f>IFERROR(IF(INDEX([1]Pivot!$BF$1:$CG$65000,$B1021,AX$5)=1,1,IF(INDEX([1]Pivot!$B$1:$AB$65000,$B1021,AX$5)="",2,0)),0)</f>
        <v>0</v>
      </c>
      <c r="AY1021" s="313">
        <f>IFERROR(IF(INDEX([1]Pivot!$BF$1:$CG$65000,$B1021,AY$5)=1,1,IF(INDEX([1]Pivot!$B$1:$AB$65000,$B1021,AY$5)="",2,0)),0)</f>
        <v>0</v>
      </c>
      <c r="AZ1021" s="313">
        <f>IFERROR(IF(INDEX([1]Pivot!$BF$1:$CG$65000,$B1021,AZ$5)=1,1,IF(INDEX([1]Pivot!$B$1:$AB$65000,$B1021,AZ$5)="",2,0)),0)</f>
        <v>0</v>
      </c>
      <c r="BA1021" s="313">
        <f>IFERROR(IF(INDEX([1]Pivot!$BF$1:$CG$65000,$B1021,BA$5)=1,1,IF(INDEX([1]Pivot!$B$1:$AB$65000,$B1021,BA$5)="",2,0)),0)</f>
        <v>0</v>
      </c>
      <c r="BB1021" s="313">
        <f>IFERROR(IF(INDEX([1]Pivot!$BF$1:$CG$65000,$B1021,BB$5)=1,1,IF(INDEX([1]Pivot!$B$1:$AB$65000,$B1021,BB$5)="",2,0)),0)</f>
        <v>0</v>
      </c>
      <c r="BC1021" s="313">
        <f>IFERROR(IF(INDEX([1]Pivot!$BF$1:$CG$65000,$B1021,BC$5)=1,1,IF(INDEX([1]Pivot!$B$1:$AB$65000,$B1021,BC$5)="",2,0)),0)</f>
        <v>0</v>
      </c>
      <c r="BD1021" s="313">
        <f>IFERROR(IF(INDEX([1]Pivot!$BF$1:$CG$65000,$B1021,BD$5)=1,1,IF(INDEX([1]Pivot!$B$1:$AB$65000,$B1021,BD$5)="",2,0)),0)</f>
        <v>0</v>
      </c>
    </row>
    <row r="1022" spans="1:56" x14ac:dyDescent="0.25">
      <c r="A1022" s="288">
        <f>'[2]Raw Milk Prices'!A1022</f>
        <v>0</v>
      </c>
      <c r="B1022" s="296" t="e">
        <f>MATCH(DATE(LEFT('[2]Raw Milk Prices'!$A1022,4),RIGHT('[2]Raw Milk Prices'!$A1022,2),1),[1]Pivot!$A$1:$A$65000,0)</f>
        <v>#VALUE!</v>
      </c>
      <c r="C1022" s="194">
        <f>IFERROR(IF(INDEX([1]Pivot!$AD$1:$BE$65000,$B1022,C$5)=1,1,IF(INDEX([1]Pivot!$B$1:$AB$65000,$B1022,C$5)="",2,0)),0)</f>
        <v>0</v>
      </c>
      <c r="D1022" s="194">
        <f>IFERROR(IF(INDEX([1]Pivot!$AD$1:$BE$65000,$B1022,D$5)=1,1,IF(INDEX([1]Pivot!$B$1:$AB$65000,$B1022,D$5)="",2,0)),0)</f>
        <v>0</v>
      </c>
      <c r="E1022" s="194">
        <f>IFERROR(IF(INDEX([1]Pivot!$AD$1:$BE$65000,$B1022,E$5)=1,1,IF(INDEX([1]Pivot!$B$1:$AB$65000,$B1022,E$5)="",2,0)),0)</f>
        <v>0</v>
      </c>
      <c r="F1022" s="194">
        <f>IFERROR(IF(INDEX([1]Pivot!$AD$1:$BE$65000,$B1022,F$5)=1,1,IF(INDEX([1]Pivot!$B$1:$AB$65000,$B1022,F$5)="",2,0)),0)</f>
        <v>0</v>
      </c>
      <c r="G1022" s="194">
        <f>IFERROR(IF(INDEX([1]Pivot!$AD$1:$BE$65000,$B1022,G$5)=1,1,IF(INDEX([1]Pivot!$B$1:$AB$65000,$B1022,G$5)="",2,0)),0)</f>
        <v>0</v>
      </c>
      <c r="H1022" s="194">
        <f>IFERROR(IF(INDEX([1]Pivot!$AD$1:$BE$65000,$B1022,H$5)=1,1,IF(INDEX([1]Pivot!$B$1:$AB$65000,$B1022,H$5)="",2,0)),0)</f>
        <v>0</v>
      </c>
      <c r="I1022" s="194">
        <f>IFERROR(IF(INDEX([1]Pivot!$AD$1:$BE$65000,$B1022,I$5)=1,1,IF(INDEX([1]Pivot!$B$1:$AB$65000,$B1022,I$5)="",2,0)),0)</f>
        <v>0</v>
      </c>
      <c r="J1022" s="194">
        <f>IFERROR(IF(INDEX([1]Pivot!$AD$1:$BE$65000,$B1022,J$5)=1,1,IF(INDEX([1]Pivot!$B$1:$AB$65000,$B1022,J$5)="",2,0)),0)</f>
        <v>0</v>
      </c>
      <c r="K1022" s="194">
        <f>IFERROR(IF(INDEX([1]Pivot!$AD$1:$BE$65000,$B1022,K$5)=1,1,IF(INDEX([1]Pivot!$B$1:$AB$65000,$B1022,K$5)="",2,0)),0)</f>
        <v>0</v>
      </c>
      <c r="L1022" s="194">
        <f>IFERROR(IF(INDEX([1]Pivot!$AD$1:$BE$65000,$B1022,L$5)=1,1,IF(INDEX([1]Pivot!$B$1:$AB$65000,$B1022,L$5)="",2,0)),0)</f>
        <v>0</v>
      </c>
      <c r="M1022" s="194">
        <f>IFERROR(IF(INDEX([1]Pivot!$AD$1:$BE$65000,$B1022,M$5)=1,1,IF(INDEX([1]Pivot!$B$1:$AB$65000,$B1022,M$5)="",2,0)),0)</f>
        <v>0</v>
      </c>
      <c r="N1022" s="194">
        <f>IFERROR(IF(INDEX([1]Pivot!$AD$1:$BE$65000,$B1022,N$5)=1,1,IF(INDEX([1]Pivot!$B$1:$AB$65000,$B1022,N$5)="",2,0)),0)</f>
        <v>0</v>
      </c>
      <c r="O1022" s="194">
        <f>IFERROR(IF(INDEX([1]Pivot!$AD$1:$BE$65000,$B1022,O$5)=1,1,IF(INDEX([1]Pivot!$B$1:$AB$65000,$B1022,O$5)="",2,0)),0)</f>
        <v>0</v>
      </c>
      <c r="P1022" s="194">
        <f>IFERROR(IF(INDEX([1]Pivot!$AD$1:$BE$65000,$B1022,P$5)=1,1,IF(INDEX([1]Pivot!$B$1:$AB$65000,$B1022,P$5)="",2,0)),0)</f>
        <v>0</v>
      </c>
      <c r="Q1022" s="194">
        <f>IFERROR(IF(INDEX([1]Pivot!$AD$1:$BE$65000,$B1022,Q$5)=1,1,IF(INDEX([1]Pivot!$B$1:$AB$65000,$B1022,Q$5)="",2,0)),0)</f>
        <v>0</v>
      </c>
      <c r="R1022" s="312"/>
      <c r="S1022" s="194">
        <f>IFERROR(IF(INDEX([1]Pivot!$AD$1:$BE$65000,$B1022,S$5)=1,1,IF(INDEX([1]Pivot!$B$1:$AB$65000,$B1022,S$5)="",2,0)),0)</f>
        <v>0</v>
      </c>
      <c r="T1022" s="194">
        <f>IFERROR(IF(INDEX([1]Pivot!$AD$1:$BE$65000,$B1022,T$5)=1,1,IF(INDEX([1]Pivot!$B$1:$AB$65000,$B1022,T$5)="",2,0)),0)</f>
        <v>0</v>
      </c>
      <c r="U1022" s="194">
        <f>IFERROR(IF(INDEX([1]Pivot!$AD$1:$BE$65000,$B1022,U$5)=1,1,IF(INDEX([1]Pivot!$B$1:$AB$65000,$B1022,U$5)="",2,0)),0)</f>
        <v>0</v>
      </c>
      <c r="V1022" s="194">
        <f>IFERROR(IF(INDEX([1]Pivot!$AD$1:$BE$65000,$B1022,V$5)=1,1,IF(INDEX([1]Pivot!$B$1:$AB$65000,$B1022,V$5)="",2,0)),0)</f>
        <v>0</v>
      </c>
      <c r="W1022" s="194">
        <f>IFERROR(IF(INDEX([1]Pivot!$AD$1:$BE$65000,$B1022,W$5)=1,1,IF(INDEX([1]Pivot!$B$1:$AB$65000,$B1022,W$5)="",2,0)),0)</f>
        <v>0</v>
      </c>
      <c r="X1022" s="194">
        <f>IFERROR(IF(INDEX([1]Pivot!$AD$1:$BE$65000,$B1022,X$5)=1,1,IF(INDEX([1]Pivot!$B$1:$AB$65000,$B1022,X$5)="",2,0)),0)</f>
        <v>0</v>
      </c>
      <c r="Y1022" s="194">
        <f>IFERROR(IF(INDEX([1]Pivot!$AD$1:$BE$65000,$B1022,Y$5)=1,1,IF(INDEX([1]Pivot!$B$1:$AB$65000,$B1022,Y$5)="",2,0)),0)</f>
        <v>0</v>
      </c>
      <c r="Z1022" s="194">
        <f>IFERROR(IF(INDEX([1]Pivot!$AD$1:$BE$65000,$B1022,Z$5)=1,1,IF(INDEX([1]Pivot!$B$1:$AB$65000,$B1022,Z$5)="",2,0)),0)</f>
        <v>0</v>
      </c>
      <c r="AA1022" s="194">
        <f>IFERROR(IF(INDEX([1]Pivot!$AD$1:$BE$65000,$B1022,AA$5)=1,1,IF(INDEX([1]Pivot!$B$1:$AB$65000,$B1022,AA$5)="",2,0)),0)</f>
        <v>0</v>
      </c>
      <c r="AB1022" s="194">
        <f>IFERROR(IF(INDEX([1]Pivot!$AD$1:$BE$65000,$B1022,AB$5)=1,1,IF(INDEX([1]Pivot!$B$1:$AB$65000,$B1022,AB$5)="",2,0)),0)</f>
        <v>0</v>
      </c>
      <c r="AC1022" s="194">
        <f>IFERROR(IF(INDEX([1]Pivot!$AD$1:$BE$65000,$B1022,AC$5)=1,1,IF(INDEX([1]Pivot!$B$1:$AB$65000,$B1022,AC$5)="",2,0)),0)</f>
        <v>0</v>
      </c>
      <c r="AD1022" s="313">
        <f>IFERROR(IF(INDEX([1]Pivot!$BF$1:$CG$65000,$B1022,AD$5)=1,1,IF(INDEX([1]Pivot!$B$1:$AB$65000,$B1022,AD$5)="",2,0)),0)</f>
        <v>0</v>
      </c>
      <c r="AE1022" s="313">
        <f>IFERROR(IF(INDEX([1]Pivot!$BF$1:$CG$65000,$B1022,AE$5)=1,1,IF(INDEX([1]Pivot!$B$1:$AB$65000,$B1022,AE$5)="",2,0)),0)</f>
        <v>0</v>
      </c>
      <c r="AF1022" s="313">
        <f>IFERROR(IF(INDEX([1]Pivot!$BF$1:$CG$65000,$B1022,AF$5)=1,1,IF(INDEX([1]Pivot!$B$1:$AB$65000,$B1022,AF$5)="",2,0)),0)</f>
        <v>0</v>
      </c>
      <c r="AG1022" s="313">
        <f>IFERROR(IF(INDEX([1]Pivot!$BF$1:$CG$65000,$B1022,AG$5)=1,1,IF(INDEX([1]Pivot!$B$1:$AB$65000,$B1022,AG$5)="",2,0)),0)</f>
        <v>0</v>
      </c>
      <c r="AH1022" s="313">
        <f>IFERROR(IF(INDEX([1]Pivot!$BF$1:$CG$65000,$B1022,AH$5)=1,1,IF(INDEX([1]Pivot!$B$1:$AB$65000,$B1022,AH$5)="",2,0)),0)</f>
        <v>0</v>
      </c>
      <c r="AI1022" s="313">
        <f>IFERROR(IF(INDEX([1]Pivot!$BF$1:$CG$65000,$B1022,AI$5)=1,1,IF(INDEX([1]Pivot!$B$1:$AB$65000,$B1022,AI$5)="",2,0)),0)</f>
        <v>0</v>
      </c>
      <c r="AJ1022" s="313">
        <f>IFERROR(IF(INDEX([1]Pivot!$BF$1:$CG$65000,$B1022,AJ$5)=1,1,IF(INDEX([1]Pivot!$B$1:$AB$65000,$B1022,AJ$5)="",2,0)),0)</f>
        <v>0</v>
      </c>
      <c r="AK1022" s="313">
        <f>IFERROR(IF(INDEX([1]Pivot!$BF$1:$CG$65000,$B1022,AK$5)=1,1,IF(INDEX([1]Pivot!$B$1:$AB$65000,$B1022,AK$5)="",2,0)),0)</f>
        <v>0</v>
      </c>
      <c r="AL1022" s="313">
        <f>IFERROR(IF(INDEX([1]Pivot!$BF$1:$CG$65000,$B1022,AL$5)=1,1,IF(INDEX([1]Pivot!$B$1:$AB$65000,$B1022,AL$5)="",2,0)),0)</f>
        <v>0</v>
      </c>
      <c r="AM1022" s="313">
        <f>IFERROR(IF(INDEX([1]Pivot!$BF$1:$CG$65000,$B1022,AM$5)=1,1,IF(INDEX([1]Pivot!$B$1:$AB$65000,$B1022,AM$5)="",2,0)),0)</f>
        <v>0</v>
      </c>
      <c r="AN1022" s="313">
        <f>IFERROR(IF(INDEX([1]Pivot!$BF$1:$CG$65000,$B1022,AN$5)=1,1,IF(INDEX([1]Pivot!$B$1:$AB$65000,$B1022,AN$5)="",2,0)),0)</f>
        <v>0</v>
      </c>
      <c r="AO1022" s="313">
        <f>IFERROR(IF(INDEX([1]Pivot!$BF$1:$CG$65000,$B1022,AO$5)=1,1,IF(INDEX([1]Pivot!$B$1:$AB$65000,$B1022,AO$5)="",2,0)),0)</f>
        <v>0</v>
      </c>
      <c r="AP1022" s="313">
        <f>IFERROR(IF(INDEX([1]Pivot!$BF$1:$CG$65000,$B1022,AP$5)=1,1,IF(INDEX([1]Pivot!$B$1:$AB$65000,$B1022,AP$5)="",2,0)),0)</f>
        <v>0</v>
      </c>
      <c r="AQ1022" s="313">
        <f>IFERROR(IF(INDEX([1]Pivot!$BF$1:$CG$65000,$B1022,AQ$5)=1,1,IF(INDEX([1]Pivot!$B$1:$AB$65000,$B1022,AQ$5)="",2,0)),0)</f>
        <v>0</v>
      </c>
      <c r="AR1022" s="313">
        <f>IFERROR(IF(INDEX([1]Pivot!$BF$1:$CG$65000,$B1022,AR$5)=1,1,IF(INDEX([1]Pivot!$B$1:$AB$65000,$B1022,AR$5)="",2,0)),0)</f>
        <v>0</v>
      </c>
      <c r="AS1022" s="312"/>
      <c r="AT1022" s="313">
        <f>IFERROR(IF(INDEX([1]Pivot!$BF$1:$CG$65000,$B1022,AT$5)=1,1,IF(INDEX([1]Pivot!$B$1:$AB$65000,$B1022,AT$5)="",2,0)),0)</f>
        <v>0</v>
      </c>
      <c r="AU1022" s="313">
        <f>IFERROR(IF(INDEX([1]Pivot!$BF$1:$CG$65000,$B1022,AU$5)=1,1,IF(INDEX([1]Pivot!$B$1:$AB$65000,$B1022,AU$5)="",2,0)),0)</f>
        <v>0</v>
      </c>
      <c r="AV1022" s="313">
        <f>IFERROR(IF(INDEX([1]Pivot!$BF$1:$CG$65000,$B1022,AV$5)=1,1,IF(INDEX([1]Pivot!$B$1:$AB$65000,$B1022,AV$5)="",2,0)),0)</f>
        <v>0</v>
      </c>
      <c r="AW1022" s="313">
        <f>IFERROR(IF(INDEX([1]Pivot!$BF$1:$CG$65000,$B1022,AW$5)=1,1,IF(INDEX([1]Pivot!$B$1:$AB$65000,$B1022,AW$5)="",2,0)),0)</f>
        <v>0</v>
      </c>
      <c r="AX1022" s="313">
        <f>IFERROR(IF(INDEX([1]Pivot!$BF$1:$CG$65000,$B1022,AX$5)=1,1,IF(INDEX([1]Pivot!$B$1:$AB$65000,$B1022,AX$5)="",2,0)),0)</f>
        <v>0</v>
      </c>
      <c r="AY1022" s="313">
        <f>IFERROR(IF(INDEX([1]Pivot!$BF$1:$CG$65000,$B1022,AY$5)=1,1,IF(INDEX([1]Pivot!$B$1:$AB$65000,$B1022,AY$5)="",2,0)),0)</f>
        <v>0</v>
      </c>
      <c r="AZ1022" s="313">
        <f>IFERROR(IF(INDEX([1]Pivot!$BF$1:$CG$65000,$B1022,AZ$5)=1,1,IF(INDEX([1]Pivot!$B$1:$AB$65000,$B1022,AZ$5)="",2,0)),0)</f>
        <v>0</v>
      </c>
      <c r="BA1022" s="313">
        <f>IFERROR(IF(INDEX([1]Pivot!$BF$1:$CG$65000,$B1022,BA$5)=1,1,IF(INDEX([1]Pivot!$B$1:$AB$65000,$B1022,BA$5)="",2,0)),0)</f>
        <v>0</v>
      </c>
      <c r="BB1022" s="313">
        <f>IFERROR(IF(INDEX([1]Pivot!$BF$1:$CG$65000,$B1022,BB$5)=1,1,IF(INDEX([1]Pivot!$B$1:$AB$65000,$B1022,BB$5)="",2,0)),0)</f>
        <v>0</v>
      </c>
      <c r="BC1022" s="313">
        <f>IFERROR(IF(INDEX([1]Pivot!$BF$1:$CG$65000,$B1022,BC$5)=1,1,IF(INDEX([1]Pivot!$B$1:$AB$65000,$B1022,BC$5)="",2,0)),0)</f>
        <v>0</v>
      </c>
      <c r="BD1022" s="313">
        <f>IFERROR(IF(INDEX([1]Pivot!$BF$1:$CG$65000,$B1022,BD$5)=1,1,IF(INDEX([1]Pivot!$B$1:$AB$65000,$B1022,BD$5)="",2,0)),0)</f>
        <v>0</v>
      </c>
    </row>
    <row r="1023" spans="1:56" x14ac:dyDescent="0.25">
      <c r="A1023" s="288">
        <f>'[2]Raw Milk Prices'!A1023</f>
        <v>0</v>
      </c>
      <c r="B1023" s="296" t="e">
        <f>MATCH(DATE(LEFT('[2]Raw Milk Prices'!$A1023,4),RIGHT('[2]Raw Milk Prices'!$A1023,2),1),[1]Pivot!$A$1:$A$65000,0)</f>
        <v>#VALUE!</v>
      </c>
      <c r="C1023" s="194">
        <f>IFERROR(IF(INDEX([1]Pivot!$AD$1:$BE$65000,$B1023,C$5)=1,1,IF(INDEX([1]Pivot!$B$1:$AB$65000,$B1023,C$5)="",2,0)),0)</f>
        <v>0</v>
      </c>
      <c r="D1023" s="194">
        <f>IFERROR(IF(INDEX([1]Pivot!$AD$1:$BE$65000,$B1023,D$5)=1,1,IF(INDEX([1]Pivot!$B$1:$AB$65000,$B1023,D$5)="",2,0)),0)</f>
        <v>0</v>
      </c>
      <c r="E1023" s="194">
        <f>IFERROR(IF(INDEX([1]Pivot!$AD$1:$BE$65000,$B1023,E$5)=1,1,IF(INDEX([1]Pivot!$B$1:$AB$65000,$B1023,E$5)="",2,0)),0)</f>
        <v>0</v>
      </c>
      <c r="F1023" s="194">
        <f>IFERROR(IF(INDEX([1]Pivot!$AD$1:$BE$65000,$B1023,F$5)=1,1,IF(INDEX([1]Pivot!$B$1:$AB$65000,$B1023,F$5)="",2,0)),0)</f>
        <v>0</v>
      </c>
      <c r="G1023" s="194">
        <f>IFERROR(IF(INDEX([1]Pivot!$AD$1:$BE$65000,$B1023,G$5)=1,1,IF(INDEX([1]Pivot!$B$1:$AB$65000,$B1023,G$5)="",2,0)),0)</f>
        <v>0</v>
      </c>
      <c r="H1023" s="194">
        <f>IFERROR(IF(INDEX([1]Pivot!$AD$1:$BE$65000,$B1023,H$5)=1,1,IF(INDEX([1]Pivot!$B$1:$AB$65000,$B1023,H$5)="",2,0)),0)</f>
        <v>0</v>
      </c>
      <c r="I1023" s="194">
        <f>IFERROR(IF(INDEX([1]Pivot!$AD$1:$BE$65000,$B1023,I$5)=1,1,IF(INDEX([1]Pivot!$B$1:$AB$65000,$B1023,I$5)="",2,0)),0)</f>
        <v>0</v>
      </c>
      <c r="J1023" s="194">
        <f>IFERROR(IF(INDEX([1]Pivot!$AD$1:$BE$65000,$B1023,J$5)=1,1,IF(INDEX([1]Pivot!$B$1:$AB$65000,$B1023,J$5)="",2,0)),0)</f>
        <v>0</v>
      </c>
      <c r="K1023" s="194">
        <f>IFERROR(IF(INDEX([1]Pivot!$AD$1:$BE$65000,$B1023,K$5)=1,1,IF(INDEX([1]Pivot!$B$1:$AB$65000,$B1023,K$5)="",2,0)),0)</f>
        <v>0</v>
      </c>
      <c r="L1023" s="194">
        <f>IFERROR(IF(INDEX([1]Pivot!$AD$1:$BE$65000,$B1023,L$5)=1,1,IF(INDEX([1]Pivot!$B$1:$AB$65000,$B1023,L$5)="",2,0)),0)</f>
        <v>0</v>
      </c>
      <c r="M1023" s="194">
        <f>IFERROR(IF(INDEX([1]Pivot!$AD$1:$BE$65000,$B1023,M$5)=1,1,IF(INDEX([1]Pivot!$B$1:$AB$65000,$B1023,M$5)="",2,0)),0)</f>
        <v>0</v>
      </c>
      <c r="N1023" s="194">
        <f>IFERROR(IF(INDEX([1]Pivot!$AD$1:$BE$65000,$B1023,N$5)=1,1,IF(INDEX([1]Pivot!$B$1:$AB$65000,$B1023,N$5)="",2,0)),0)</f>
        <v>0</v>
      </c>
      <c r="O1023" s="194">
        <f>IFERROR(IF(INDEX([1]Pivot!$AD$1:$BE$65000,$B1023,O$5)=1,1,IF(INDEX([1]Pivot!$B$1:$AB$65000,$B1023,O$5)="",2,0)),0)</f>
        <v>0</v>
      </c>
      <c r="P1023" s="194">
        <f>IFERROR(IF(INDEX([1]Pivot!$AD$1:$BE$65000,$B1023,P$5)=1,1,IF(INDEX([1]Pivot!$B$1:$AB$65000,$B1023,P$5)="",2,0)),0)</f>
        <v>0</v>
      </c>
      <c r="Q1023" s="194">
        <f>IFERROR(IF(INDEX([1]Pivot!$AD$1:$BE$65000,$B1023,Q$5)=1,1,IF(INDEX([1]Pivot!$B$1:$AB$65000,$B1023,Q$5)="",2,0)),0)</f>
        <v>0</v>
      </c>
      <c r="R1023" s="312"/>
      <c r="S1023" s="194">
        <f>IFERROR(IF(INDEX([1]Pivot!$AD$1:$BE$65000,$B1023,S$5)=1,1,IF(INDEX([1]Pivot!$B$1:$AB$65000,$B1023,S$5)="",2,0)),0)</f>
        <v>0</v>
      </c>
      <c r="T1023" s="194">
        <f>IFERROR(IF(INDEX([1]Pivot!$AD$1:$BE$65000,$B1023,T$5)=1,1,IF(INDEX([1]Pivot!$B$1:$AB$65000,$B1023,T$5)="",2,0)),0)</f>
        <v>0</v>
      </c>
      <c r="U1023" s="194">
        <f>IFERROR(IF(INDEX([1]Pivot!$AD$1:$BE$65000,$B1023,U$5)=1,1,IF(INDEX([1]Pivot!$B$1:$AB$65000,$B1023,U$5)="",2,0)),0)</f>
        <v>0</v>
      </c>
      <c r="V1023" s="194">
        <f>IFERROR(IF(INDEX([1]Pivot!$AD$1:$BE$65000,$B1023,V$5)=1,1,IF(INDEX([1]Pivot!$B$1:$AB$65000,$B1023,V$5)="",2,0)),0)</f>
        <v>0</v>
      </c>
      <c r="W1023" s="194">
        <f>IFERROR(IF(INDEX([1]Pivot!$AD$1:$BE$65000,$B1023,W$5)=1,1,IF(INDEX([1]Pivot!$B$1:$AB$65000,$B1023,W$5)="",2,0)),0)</f>
        <v>0</v>
      </c>
      <c r="X1023" s="194">
        <f>IFERROR(IF(INDEX([1]Pivot!$AD$1:$BE$65000,$B1023,X$5)=1,1,IF(INDEX([1]Pivot!$B$1:$AB$65000,$B1023,X$5)="",2,0)),0)</f>
        <v>0</v>
      </c>
      <c r="Y1023" s="194">
        <f>IFERROR(IF(INDEX([1]Pivot!$AD$1:$BE$65000,$B1023,Y$5)=1,1,IF(INDEX([1]Pivot!$B$1:$AB$65000,$B1023,Y$5)="",2,0)),0)</f>
        <v>0</v>
      </c>
      <c r="Z1023" s="194">
        <f>IFERROR(IF(INDEX([1]Pivot!$AD$1:$BE$65000,$B1023,Z$5)=1,1,IF(INDEX([1]Pivot!$B$1:$AB$65000,$B1023,Z$5)="",2,0)),0)</f>
        <v>0</v>
      </c>
      <c r="AA1023" s="194">
        <f>IFERROR(IF(INDEX([1]Pivot!$AD$1:$BE$65000,$B1023,AA$5)=1,1,IF(INDEX([1]Pivot!$B$1:$AB$65000,$B1023,AA$5)="",2,0)),0)</f>
        <v>0</v>
      </c>
      <c r="AB1023" s="194">
        <f>IFERROR(IF(INDEX([1]Pivot!$AD$1:$BE$65000,$B1023,AB$5)=1,1,IF(INDEX([1]Pivot!$B$1:$AB$65000,$B1023,AB$5)="",2,0)),0)</f>
        <v>0</v>
      </c>
      <c r="AC1023" s="194">
        <f>IFERROR(IF(INDEX([1]Pivot!$AD$1:$BE$65000,$B1023,AC$5)=1,1,IF(INDEX([1]Pivot!$B$1:$AB$65000,$B1023,AC$5)="",2,0)),0)</f>
        <v>0</v>
      </c>
      <c r="AD1023" s="313">
        <f>IFERROR(IF(INDEX([1]Pivot!$BF$1:$CG$65000,$B1023,AD$5)=1,1,IF(INDEX([1]Pivot!$B$1:$AB$65000,$B1023,AD$5)="",2,0)),0)</f>
        <v>0</v>
      </c>
      <c r="AE1023" s="313">
        <f>IFERROR(IF(INDEX([1]Pivot!$BF$1:$CG$65000,$B1023,AE$5)=1,1,IF(INDEX([1]Pivot!$B$1:$AB$65000,$B1023,AE$5)="",2,0)),0)</f>
        <v>0</v>
      </c>
      <c r="AF1023" s="313">
        <f>IFERROR(IF(INDEX([1]Pivot!$BF$1:$CG$65000,$B1023,AF$5)=1,1,IF(INDEX([1]Pivot!$B$1:$AB$65000,$B1023,AF$5)="",2,0)),0)</f>
        <v>0</v>
      </c>
      <c r="AG1023" s="313">
        <f>IFERROR(IF(INDEX([1]Pivot!$BF$1:$CG$65000,$B1023,AG$5)=1,1,IF(INDEX([1]Pivot!$B$1:$AB$65000,$B1023,AG$5)="",2,0)),0)</f>
        <v>0</v>
      </c>
      <c r="AH1023" s="313">
        <f>IFERROR(IF(INDEX([1]Pivot!$BF$1:$CG$65000,$B1023,AH$5)=1,1,IF(INDEX([1]Pivot!$B$1:$AB$65000,$B1023,AH$5)="",2,0)),0)</f>
        <v>0</v>
      </c>
      <c r="AI1023" s="313">
        <f>IFERROR(IF(INDEX([1]Pivot!$BF$1:$CG$65000,$B1023,AI$5)=1,1,IF(INDEX([1]Pivot!$B$1:$AB$65000,$B1023,AI$5)="",2,0)),0)</f>
        <v>0</v>
      </c>
      <c r="AJ1023" s="313">
        <f>IFERROR(IF(INDEX([1]Pivot!$BF$1:$CG$65000,$B1023,AJ$5)=1,1,IF(INDEX([1]Pivot!$B$1:$AB$65000,$B1023,AJ$5)="",2,0)),0)</f>
        <v>0</v>
      </c>
      <c r="AK1023" s="313">
        <f>IFERROR(IF(INDEX([1]Pivot!$BF$1:$CG$65000,$B1023,AK$5)=1,1,IF(INDEX([1]Pivot!$B$1:$AB$65000,$B1023,AK$5)="",2,0)),0)</f>
        <v>0</v>
      </c>
      <c r="AL1023" s="313">
        <f>IFERROR(IF(INDEX([1]Pivot!$BF$1:$CG$65000,$B1023,AL$5)=1,1,IF(INDEX([1]Pivot!$B$1:$AB$65000,$B1023,AL$5)="",2,0)),0)</f>
        <v>0</v>
      </c>
      <c r="AM1023" s="313">
        <f>IFERROR(IF(INDEX([1]Pivot!$BF$1:$CG$65000,$B1023,AM$5)=1,1,IF(INDEX([1]Pivot!$B$1:$AB$65000,$B1023,AM$5)="",2,0)),0)</f>
        <v>0</v>
      </c>
      <c r="AN1023" s="313">
        <f>IFERROR(IF(INDEX([1]Pivot!$BF$1:$CG$65000,$B1023,AN$5)=1,1,IF(INDEX([1]Pivot!$B$1:$AB$65000,$B1023,AN$5)="",2,0)),0)</f>
        <v>0</v>
      </c>
      <c r="AO1023" s="313">
        <f>IFERROR(IF(INDEX([1]Pivot!$BF$1:$CG$65000,$B1023,AO$5)=1,1,IF(INDEX([1]Pivot!$B$1:$AB$65000,$B1023,AO$5)="",2,0)),0)</f>
        <v>0</v>
      </c>
      <c r="AP1023" s="313">
        <f>IFERROR(IF(INDEX([1]Pivot!$BF$1:$CG$65000,$B1023,AP$5)=1,1,IF(INDEX([1]Pivot!$B$1:$AB$65000,$B1023,AP$5)="",2,0)),0)</f>
        <v>0</v>
      </c>
      <c r="AQ1023" s="313">
        <f>IFERROR(IF(INDEX([1]Pivot!$BF$1:$CG$65000,$B1023,AQ$5)=1,1,IF(INDEX([1]Pivot!$B$1:$AB$65000,$B1023,AQ$5)="",2,0)),0)</f>
        <v>0</v>
      </c>
      <c r="AR1023" s="313">
        <f>IFERROR(IF(INDEX([1]Pivot!$BF$1:$CG$65000,$B1023,AR$5)=1,1,IF(INDEX([1]Pivot!$B$1:$AB$65000,$B1023,AR$5)="",2,0)),0)</f>
        <v>0</v>
      </c>
      <c r="AS1023" s="312"/>
      <c r="AT1023" s="313">
        <f>IFERROR(IF(INDEX([1]Pivot!$BF$1:$CG$65000,$B1023,AT$5)=1,1,IF(INDEX([1]Pivot!$B$1:$AB$65000,$B1023,AT$5)="",2,0)),0)</f>
        <v>0</v>
      </c>
      <c r="AU1023" s="313">
        <f>IFERROR(IF(INDEX([1]Pivot!$BF$1:$CG$65000,$B1023,AU$5)=1,1,IF(INDEX([1]Pivot!$B$1:$AB$65000,$B1023,AU$5)="",2,0)),0)</f>
        <v>0</v>
      </c>
      <c r="AV1023" s="313">
        <f>IFERROR(IF(INDEX([1]Pivot!$BF$1:$CG$65000,$B1023,AV$5)=1,1,IF(INDEX([1]Pivot!$B$1:$AB$65000,$B1023,AV$5)="",2,0)),0)</f>
        <v>0</v>
      </c>
      <c r="AW1023" s="313">
        <f>IFERROR(IF(INDEX([1]Pivot!$BF$1:$CG$65000,$B1023,AW$5)=1,1,IF(INDEX([1]Pivot!$B$1:$AB$65000,$B1023,AW$5)="",2,0)),0)</f>
        <v>0</v>
      </c>
      <c r="AX1023" s="313">
        <f>IFERROR(IF(INDEX([1]Pivot!$BF$1:$CG$65000,$B1023,AX$5)=1,1,IF(INDEX([1]Pivot!$B$1:$AB$65000,$B1023,AX$5)="",2,0)),0)</f>
        <v>0</v>
      </c>
      <c r="AY1023" s="313">
        <f>IFERROR(IF(INDEX([1]Pivot!$BF$1:$CG$65000,$B1023,AY$5)=1,1,IF(INDEX([1]Pivot!$B$1:$AB$65000,$B1023,AY$5)="",2,0)),0)</f>
        <v>0</v>
      </c>
      <c r="AZ1023" s="313">
        <f>IFERROR(IF(INDEX([1]Pivot!$BF$1:$CG$65000,$B1023,AZ$5)=1,1,IF(INDEX([1]Pivot!$B$1:$AB$65000,$B1023,AZ$5)="",2,0)),0)</f>
        <v>0</v>
      </c>
      <c r="BA1023" s="313">
        <f>IFERROR(IF(INDEX([1]Pivot!$BF$1:$CG$65000,$B1023,BA$5)=1,1,IF(INDEX([1]Pivot!$B$1:$AB$65000,$B1023,BA$5)="",2,0)),0)</f>
        <v>0</v>
      </c>
      <c r="BB1023" s="313">
        <f>IFERROR(IF(INDEX([1]Pivot!$BF$1:$CG$65000,$B1023,BB$5)=1,1,IF(INDEX([1]Pivot!$B$1:$AB$65000,$B1023,BB$5)="",2,0)),0)</f>
        <v>0</v>
      </c>
      <c r="BC1023" s="313">
        <f>IFERROR(IF(INDEX([1]Pivot!$BF$1:$CG$65000,$B1023,BC$5)=1,1,IF(INDEX([1]Pivot!$B$1:$AB$65000,$B1023,BC$5)="",2,0)),0)</f>
        <v>0</v>
      </c>
      <c r="BD1023" s="313">
        <f>IFERROR(IF(INDEX([1]Pivot!$BF$1:$CG$65000,$B1023,BD$5)=1,1,IF(INDEX([1]Pivot!$B$1:$AB$65000,$B1023,BD$5)="",2,0)),0)</f>
        <v>0</v>
      </c>
    </row>
    <row r="1024" spans="1:56" x14ac:dyDescent="0.25">
      <c r="A1024" s="288">
        <f>'[2]Raw Milk Prices'!A1024</f>
        <v>0</v>
      </c>
      <c r="B1024" s="296" t="e">
        <f>MATCH(DATE(LEFT('[2]Raw Milk Prices'!$A1024,4),RIGHT('[2]Raw Milk Prices'!$A1024,2),1),[1]Pivot!$A$1:$A$65000,0)</f>
        <v>#VALUE!</v>
      </c>
      <c r="C1024" s="194">
        <f>IFERROR(IF(INDEX([1]Pivot!$AD$1:$BE$65000,$B1024,C$5)=1,1,IF(INDEX([1]Pivot!$B$1:$AB$65000,$B1024,C$5)="",2,0)),0)</f>
        <v>0</v>
      </c>
      <c r="D1024" s="194">
        <f>IFERROR(IF(INDEX([1]Pivot!$AD$1:$BE$65000,$B1024,D$5)=1,1,IF(INDEX([1]Pivot!$B$1:$AB$65000,$B1024,D$5)="",2,0)),0)</f>
        <v>0</v>
      </c>
      <c r="E1024" s="194">
        <f>IFERROR(IF(INDEX([1]Pivot!$AD$1:$BE$65000,$B1024,E$5)=1,1,IF(INDEX([1]Pivot!$B$1:$AB$65000,$B1024,E$5)="",2,0)),0)</f>
        <v>0</v>
      </c>
      <c r="F1024" s="194">
        <f>IFERROR(IF(INDEX([1]Pivot!$AD$1:$BE$65000,$B1024,F$5)=1,1,IF(INDEX([1]Pivot!$B$1:$AB$65000,$B1024,F$5)="",2,0)),0)</f>
        <v>0</v>
      </c>
      <c r="G1024" s="194">
        <f>IFERROR(IF(INDEX([1]Pivot!$AD$1:$BE$65000,$B1024,G$5)=1,1,IF(INDEX([1]Pivot!$B$1:$AB$65000,$B1024,G$5)="",2,0)),0)</f>
        <v>0</v>
      </c>
      <c r="H1024" s="194">
        <f>IFERROR(IF(INDEX([1]Pivot!$AD$1:$BE$65000,$B1024,H$5)=1,1,IF(INDEX([1]Pivot!$B$1:$AB$65000,$B1024,H$5)="",2,0)),0)</f>
        <v>0</v>
      </c>
      <c r="I1024" s="194">
        <f>IFERROR(IF(INDEX([1]Pivot!$AD$1:$BE$65000,$B1024,I$5)=1,1,IF(INDEX([1]Pivot!$B$1:$AB$65000,$B1024,I$5)="",2,0)),0)</f>
        <v>0</v>
      </c>
      <c r="J1024" s="194">
        <f>IFERROR(IF(INDEX([1]Pivot!$AD$1:$BE$65000,$B1024,J$5)=1,1,IF(INDEX([1]Pivot!$B$1:$AB$65000,$B1024,J$5)="",2,0)),0)</f>
        <v>0</v>
      </c>
      <c r="K1024" s="194">
        <f>IFERROR(IF(INDEX([1]Pivot!$AD$1:$BE$65000,$B1024,K$5)=1,1,IF(INDEX([1]Pivot!$B$1:$AB$65000,$B1024,K$5)="",2,0)),0)</f>
        <v>0</v>
      </c>
      <c r="L1024" s="194">
        <f>IFERROR(IF(INDEX([1]Pivot!$AD$1:$BE$65000,$B1024,L$5)=1,1,IF(INDEX([1]Pivot!$B$1:$AB$65000,$B1024,L$5)="",2,0)),0)</f>
        <v>0</v>
      </c>
      <c r="M1024" s="194">
        <f>IFERROR(IF(INDEX([1]Pivot!$AD$1:$BE$65000,$B1024,M$5)=1,1,IF(INDEX([1]Pivot!$B$1:$AB$65000,$B1024,M$5)="",2,0)),0)</f>
        <v>0</v>
      </c>
      <c r="N1024" s="194">
        <f>IFERROR(IF(INDEX([1]Pivot!$AD$1:$BE$65000,$B1024,N$5)=1,1,IF(INDEX([1]Pivot!$B$1:$AB$65000,$B1024,N$5)="",2,0)),0)</f>
        <v>0</v>
      </c>
      <c r="O1024" s="194">
        <f>IFERROR(IF(INDEX([1]Pivot!$AD$1:$BE$65000,$B1024,O$5)=1,1,IF(INDEX([1]Pivot!$B$1:$AB$65000,$B1024,O$5)="",2,0)),0)</f>
        <v>0</v>
      </c>
      <c r="P1024" s="194">
        <f>IFERROR(IF(INDEX([1]Pivot!$AD$1:$BE$65000,$B1024,P$5)=1,1,IF(INDEX([1]Pivot!$B$1:$AB$65000,$B1024,P$5)="",2,0)),0)</f>
        <v>0</v>
      </c>
      <c r="Q1024" s="194">
        <f>IFERROR(IF(INDEX([1]Pivot!$AD$1:$BE$65000,$B1024,Q$5)=1,1,IF(INDEX([1]Pivot!$B$1:$AB$65000,$B1024,Q$5)="",2,0)),0)</f>
        <v>0</v>
      </c>
      <c r="R1024" s="312"/>
      <c r="S1024" s="194">
        <f>IFERROR(IF(INDEX([1]Pivot!$AD$1:$BE$65000,$B1024,S$5)=1,1,IF(INDEX([1]Pivot!$B$1:$AB$65000,$B1024,S$5)="",2,0)),0)</f>
        <v>0</v>
      </c>
      <c r="T1024" s="194">
        <f>IFERROR(IF(INDEX([1]Pivot!$AD$1:$BE$65000,$B1024,T$5)=1,1,IF(INDEX([1]Pivot!$B$1:$AB$65000,$B1024,T$5)="",2,0)),0)</f>
        <v>0</v>
      </c>
      <c r="U1024" s="194">
        <f>IFERROR(IF(INDEX([1]Pivot!$AD$1:$BE$65000,$B1024,U$5)=1,1,IF(INDEX([1]Pivot!$B$1:$AB$65000,$B1024,U$5)="",2,0)),0)</f>
        <v>0</v>
      </c>
      <c r="V1024" s="194">
        <f>IFERROR(IF(INDEX([1]Pivot!$AD$1:$BE$65000,$B1024,V$5)=1,1,IF(INDEX([1]Pivot!$B$1:$AB$65000,$B1024,V$5)="",2,0)),0)</f>
        <v>0</v>
      </c>
      <c r="W1024" s="194">
        <f>IFERROR(IF(INDEX([1]Pivot!$AD$1:$BE$65000,$B1024,W$5)=1,1,IF(INDEX([1]Pivot!$B$1:$AB$65000,$B1024,W$5)="",2,0)),0)</f>
        <v>0</v>
      </c>
      <c r="X1024" s="194">
        <f>IFERROR(IF(INDEX([1]Pivot!$AD$1:$BE$65000,$B1024,X$5)=1,1,IF(INDEX([1]Pivot!$B$1:$AB$65000,$B1024,X$5)="",2,0)),0)</f>
        <v>0</v>
      </c>
      <c r="Y1024" s="194">
        <f>IFERROR(IF(INDEX([1]Pivot!$AD$1:$BE$65000,$B1024,Y$5)=1,1,IF(INDEX([1]Pivot!$B$1:$AB$65000,$B1024,Y$5)="",2,0)),0)</f>
        <v>0</v>
      </c>
      <c r="Z1024" s="194">
        <f>IFERROR(IF(INDEX([1]Pivot!$AD$1:$BE$65000,$B1024,Z$5)=1,1,IF(INDEX([1]Pivot!$B$1:$AB$65000,$B1024,Z$5)="",2,0)),0)</f>
        <v>0</v>
      </c>
      <c r="AA1024" s="194">
        <f>IFERROR(IF(INDEX([1]Pivot!$AD$1:$BE$65000,$B1024,AA$5)=1,1,IF(INDEX([1]Pivot!$B$1:$AB$65000,$B1024,AA$5)="",2,0)),0)</f>
        <v>0</v>
      </c>
      <c r="AB1024" s="194">
        <f>IFERROR(IF(INDEX([1]Pivot!$AD$1:$BE$65000,$B1024,AB$5)=1,1,IF(INDEX([1]Pivot!$B$1:$AB$65000,$B1024,AB$5)="",2,0)),0)</f>
        <v>0</v>
      </c>
      <c r="AC1024" s="194">
        <f>IFERROR(IF(INDEX([1]Pivot!$AD$1:$BE$65000,$B1024,AC$5)=1,1,IF(INDEX([1]Pivot!$B$1:$AB$65000,$B1024,AC$5)="",2,0)),0)</f>
        <v>0</v>
      </c>
      <c r="AD1024" s="313">
        <f>IFERROR(IF(INDEX([1]Pivot!$BF$1:$CG$65000,$B1024,AD$5)=1,1,IF(INDEX([1]Pivot!$B$1:$AB$65000,$B1024,AD$5)="",2,0)),0)</f>
        <v>0</v>
      </c>
      <c r="AE1024" s="313">
        <f>IFERROR(IF(INDEX([1]Pivot!$BF$1:$CG$65000,$B1024,AE$5)=1,1,IF(INDEX([1]Pivot!$B$1:$AB$65000,$B1024,AE$5)="",2,0)),0)</f>
        <v>0</v>
      </c>
      <c r="AF1024" s="313">
        <f>IFERROR(IF(INDEX([1]Pivot!$BF$1:$CG$65000,$B1024,AF$5)=1,1,IF(INDEX([1]Pivot!$B$1:$AB$65000,$B1024,AF$5)="",2,0)),0)</f>
        <v>0</v>
      </c>
      <c r="AG1024" s="313">
        <f>IFERROR(IF(INDEX([1]Pivot!$BF$1:$CG$65000,$B1024,AG$5)=1,1,IF(INDEX([1]Pivot!$B$1:$AB$65000,$B1024,AG$5)="",2,0)),0)</f>
        <v>0</v>
      </c>
      <c r="AH1024" s="313">
        <f>IFERROR(IF(INDEX([1]Pivot!$BF$1:$CG$65000,$B1024,AH$5)=1,1,IF(INDEX([1]Pivot!$B$1:$AB$65000,$B1024,AH$5)="",2,0)),0)</f>
        <v>0</v>
      </c>
      <c r="AI1024" s="313">
        <f>IFERROR(IF(INDEX([1]Pivot!$BF$1:$CG$65000,$B1024,AI$5)=1,1,IF(INDEX([1]Pivot!$B$1:$AB$65000,$B1024,AI$5)="",2,0)),0)</f>
        <v>0</v>
      </c>
      <c r="AJ1024" s="313">
        <f>IFERROR(IF(INDEX([1]Pivot!$BF$1:$CG$65000,$B1024,AJ$5)=1,1,IF(INDEX([1]Pivot!$B$1:$AB$65000,$B1024,AJ$5)="",2,0)),0)</f>
        <v>0</v>
      </c>
      <c r="AK1024" s="313">
        <f>IFERROR(IF(INDEX([1]Pivot!$BF$1:$CG$65000,$B1024,AK$5)=1,1,IF(INDEX([1]Pivot!$B$1:$AB$65000,$B1024,AK$5)="",2,0)),0)</f>
        <v>0</v>
      </c>
      <c r="AL1024" s="313">
        <f>IFERROR(IF(INDEX([1]Pivot!$BF$1:$CG$65000,$B1024,AL$5)=1,1,IF(INDEX([1]Pivot!$B$1:$AB$65000,$B1024,AL$5)="",2,0)),0)</f>
        <v>0</v>
      </c>
      <c r="AM1024" s="313">
        <f>IFERROR(IF(INDEX([1]Pivot!$BF$1:$CG$65000,$B1024,AM$5)=1,1,IF(INDEX([1]Pivot!$B$1:$AB$65000,$B1024,AM$5)="",2,0)),0)</f>
        <v>0</v>
      </c>
      <c r="AN1024" s="313">
        <f>IFERROR(IF(INDEX([1]Pivot!$BF$1:$CG$65000,$B1024,AN$5)=1,1,IF(INDEX([1]Pivot!$B$1:$AB$65000,$B1024,AN$5)="",2,0)),0)</f>
        <v>0</v>
      </c>
      <c r="AO1024" s="313">
        <f>IFERROR(IF(INDEX([1]Pivot!$BF$1:$CG$65000,$B1024,AO$5)=1,1,IF(INDEX([1]Pivot!$B$1:$AB$65000,$B1024,AO$5)="",2,0)),0)</f>
        <v>0</v>
      </c>
      <c r="AP1024" s="313">
        <f>IFERROR(IF(INDEX([1]Pivot!$BF$1:$CG$65000,$B1024,AP$5)=1,1,IF(INDEX([1]Pivot!$B$1:$AB$65000,$B1024,AP$5)="",2,0)),0)</f>
        <v>0</v>
      </c>
      <c r="AQ1024" s="313">
        <f>IFERROR(IF(INDEX([1]Pivot!$BF$1:$CG$65000,$B1024,AQ$5)=1,1,IF(INDEX([1]Pivot!$B$1:$AB$65000,$B1024,AQ$5)="",2,0)),0)</f>
        <v>0</v>
      </c>
      <c r="AR1024" s="313">
        <f>IFERROR(IF(INDEX([1]Pivot!$BF$1:$CG$65000,$B1024,AR$5)=1,1,IF(INDEX([1]Pivot!$B$1:$AB$65000,$B1024,AR$5)="",2,0)),0)</f>
        <v>0</v>
      </c>
      <c r="AS1024" s="312"/>
      <c r="AT1024" s="313">
        <f>IFERROR(IF(INDEX([1]Pivot!$BF$1:$CG$65000,$B1024,AT$5)=1,1,IF(INDEX([1]Pivot!$B$1:$AB$65000,$B1024,AT$5)="",2,0)),0)</f>
        <v>0</v>
      </c>
      <c r="AU1024" s="313">
        <f>IFERROR(IF(INDEX([1]Pivot!$BF$1:$CG$65000,$B1024,AU$5)=1,1,IF(INDEX([1]Pivot!$B$1:$AB$65000,$B1024,AU$5)="",2,0)),0)</f>
        <v>0</v>
      </c>
      <c r="AV1024" s="313">
        <f>IFERROR(IF(INDEX([1]Pivot!$BF$1:$CG$65000,$B1024,AV$5)=1,1,IF(INDEX([1]Pivot!$B$1:$AB$65000,$B1024,AV$5)="",2,0)),0)</f>
        <v>0</v>
      </c>
      <c r="AW1024" s="313">
        <f>IFERROR(IF(INDEX([1]Pivot!$BF$1:$CG$65000,$B1024,AW$5)=1,1,IF(INDEX([1]Pivot!$B$1:$AB$65000,$B1024,AW$5)="",2,0)),0)</f>
        <v>0</v>
      </c>
      <c r="AX1024" s="313">
        <f>IFERROR(IF(INDEX([1]Pivot!$BF$1:$CG$65000,$B1024,AX$5)=1,1,IF(INDEX([1]Pivot!$B$1:$AB$65000,$B1024,AX$5)="",2,0)),0)</f>
        <v>0</v>
      </c>
      <c r="AY1024" s="313">
        <f>IFERROR(IF(INDEX([1]Pivot!$BF$1:$CG$65000,$B1024,AY$5)=1,1,IF(INDEX([1]Pivot!$B$1:$AB$65000,$B1024,AY$5)="",2,0)),0)</f>
        <v>0</v>
      </c>
      <c r="AZ1024" s="313">
        <f>IFERROR(IF(INDEX([1]Pivot!$BF$1:$CG$65000,$B1024,AZ$5)=1,1,IF(INDEX([1]Pivot!$B$1:$AB$65000,$B1024,AZ$5)="",2,0)),0)</f>
        <v>0</v>
      </c>
      <c r="BA1024" s="313">
        <f>IFERROR(IF(INDEX([1]Pivot!$BF$1:$CG$65000,$B1024,BA$5)=1,1,IF(INDEX([1]Pivot!$B$1:$AB$65000,$B1024,BA$5)="",2,0)),0)</f>
        <v>0</v>
      </c>
      <c r="BB1024" s="313">
        <f>IFERROR(IF(INDEX([1]Pivot!$BF$1:$CG$65000,$B1024,BB$5)=1,1,IF(INDEX([1]Pivot!$B$1:$AB$65000,$B1024,BB$5)="",2,0)),0)</f>
        <v>0</v>
      </c>
      <c r="BC1024" s="313">
        <f>IFERROR(IF(INDEX([1]Pivot!$BF$1:$CG$65000,$B1024,BC$5)=1,1,IF(INDEX([1]Pivot!$B$1:$AB$65000,$B1024,BC$5)="",2,0)),0)</f>
        <v>0</v>
      </c>
      <c r="BD1024" s="313">
        <f>IFERROR(IF(INDEX([1]Pivot!$BF$1:$CG$65000,$B1024,BD$5)=1,1,IF(INDEX([1]Pivot!$B$1:$AB$65000,$B1024,BD$5)="",2,0)),0)</f>
        <v>0</v>
      </c>
    </row>
    <row r="1025" spans="1:56" x14ac:dyDescent="0.25">
      <c r="A1025" s="288">
        <f>'[2]Raw Milk Prices'!A1025</f>
        <v>0</v>
      </c>
      <c r="B1025" s="296" t="e">
        <f>MATCH(DATE(LEFT('[2]Raw Milk Prices'!$A1025,4),RIGHT('[2]Raw Milk Prices'!$A1025,2),1),[1]Pivot!$A$1:$A$65000,0)</f>
        <v>#VALUE!</v>
      </c>
      <c r="C1025" s="194">
        <f>IFERROR(IF(INDEX([1]Pivot!$AD$1:$BE$65000,$B1025,C$5)=1,1,IF(INDEX([1]Pivot!$B$1:$AB$65000,$B1025,C$5)="",2,0)),0)</f>
        <v>0</v>
      </c>
      <c r="D1025" s="194">
        <f>IFERROR(IF(INDEX([1]Pivot!$AD$1:$BE$65000,$B1025,D$5)=1,1,IF(INDEX([1]Pivot!$B$1:$AB$65000,$B1025,D$5)="",2,0)),0)</f>
        <v>0</v>
      </c>
      <c r="E1025" s="194">
        <f>IFERROR(IF(INDEX([1]Pivot!$AD$1:$BE$65000,$B1025,E$5)=1,1,IF(INDEX([1]Pivot!$B$1:$AB$65000,$B1025,E$5)="",2,0)),0)</f>
        <v>0</v>
      </c>
      <c r="F1025" s="194">
        <f>IFERROR(IF(INDEX([1]Pivot!$AD$1:$BE$65000,$B1025,F$5)=1,1,IF(INDEX([1]Pivot!$B$1:$AB$65000,$B1025,F$5)="",2,0)),0)</f>
        <v>0</v>
      </c>
      <c r="G1025" s="194">
        <f>IFERROR(IF(INDEX([1]Pivot!$AD$1:$BE$65000,$B1025,G$5)=1,1,IF(INDEX([1]Pivot!$B$1:$AB$65000,$B1025,G$5)="",2,0)),0)</f>
        <v>0</v>
      </c>
      <c r="H1025" s="194">
        <f>IFERROR(IF(INDEX([1]Pivot!$AD$1:$BE$65000,$B1025,H$5)=1,1,IF(INDEX([1]Pivot!$B$1:$AB$65000,$B1025,H$5)="",2,0)),0)</f>
        <v>0</v>
      </c>
      <c r="I1025" s="194">
        <f>IFERROR(IF(INDEX([1]Pivot!$AD$1:$BE$65000,$B1025,I$5)=1,1,IF(INDEX([1]Pivot!$B$1:$AB$65000,$B1025,I$5)="",2,0)),0)</f>
        <v>0</v>
      </c>
      <c r="J1025" s="194">
        <f>IFERROR(IF(INDEX([1]Pivot!$AD$1:$BE$65000,$B1025,J$5)=1,1,IF(INDEX([1]Pivot!$B$1:$AB$65000,$B1025,J$5)="",2,0)),0)</f>
        <v>0</v>
      </c>
      <c r="K1025" s="194">
        <f>IFERROR(IF(INDEX([1]Pivot!$AD$1:$BE$65000,$B1025,K$5)=1,1,IF(INDEX([1]Pivot!$B$1:$AB$65000,$B1025,K$5)="",2,0)),0)</f>
        <v>0</v>
      </c>
      <c r="L1025" s="194">
        <f>IFERROR(IF(INDEX([1]Pivot!$AD$1:$BE$65000,$B1025,L$5)=1,1,IF(INDEX([1]Pivot!$B$1:$AB$65000,$B1025,L$5)="",2,0)),0)</f>
        <v>0</v>
      </c>
      <c r="M1025" s="194">
        <f>IFERROR(IF(INDEX([1]Pivot!$AD$1:$BE$65000,$B1025,M$5)=1,1,IF(INDEX([1]Pivot!$B$1:$AB$65000,$B1025,M$5)="",2,0)),0)</f>
        <v>0</v>
      </c>
      <c r="N1025" s="194">
        <f>IFERROR(IF(INDEX([1]Pivot!$AD$1:$BE$65000,$B1025,N$5)=1,1,IF(INDEX([1]Pivot!$B$1:$AB$65000,$B1025,N$5)="",2,0)),0)</f>
        <v>0</v>
      </c>
      <c r="O1025" s="194">
        <f>IFERROR(IF(INDEX([1]Pivot!$AD$1:$BE$65000,$B1025,O$5)=1,1,IF(INDEX([1]Pivot!$B$1:$AB$65000,$B1025,O$5)="",2,0)),0)</f>
        <v>0</v>
      </c>
      <c r="P1025" s="194">
        <f>IFERROR(IF(INDEX([1]Pivot!$AD$1:$BE$65000,$B1025,P$5)=1,1,IF(INDEX([1]Pivot!$B$1:$AB$65000,$B1025,P$5)="",2,0)),0)</f>
        <v>0</v>
      </c>
      <c r="Q1025" s="194">
        <f>IFERROR(IF(INDEX([1]Pivot!$AD$1:$BE$65000,$B1025,Q$5)=1,1,IF(INDEX([1]Pivot!$B$1:$AB$65000,$B1025,Q$5)="",2,0)),0)</f>
        <v>0</v>
      </c>
      <c r="R1025" s="312"/>
      <c r="S1025" s="194">
        <f>IFERROR(IF(INDEX([1]Pivot!$AD$1:$BE$65000,$B1025,S$5)=1,1,IF(INDEX([1]Pivot!$B$1:$AB$65000,$B1025,S$5)="",2,0)),0)</f>
        <v>0</v>
      </c>
      <c r="T1025" s="194">
        <f>IFERROR(IF(INDEX([1]Pivot!$AD$1:$BE$65000,$B1025,T$5)=1,1,IF(INDEX([1]Pivot!$B$1:$AB$65000,$B1025,T$5)="",2,0)),0)</f>
        <v>0</v>
      </c>
      <c r="U1025" s="194">
        <f>IFERROR(IF(INDEX([1]Pivot!$AD$1:$BE$65000,$B1025,U$5)=1,1,IF(INDEX([1]Pivot!$B$1:$AB$65000,$B1025,U$5)="",2,0)),0)</f>
        <v>0</v>
      </c>
      <c r="V1025" s="194">
        <f>IFERROR(IF(INDEX([1]Pivot!$AD$1:$BE$65000,$B1025,V$5)=1,1,IF(INDEX([1]Pivot!$B$1:$AB$65000,$B1025,V$5)="",2,0)),0)</f>
        <v>0</v>
      </c>
      <c r="W1025" s="194">
        <f>IFERROR(IF(INDEX([1]Pivot!$AD$1:$BE$65000,$B1025,W$5)=1,1,IF(INDEX([1]Pivot!$B$1:$AB$65000,$B1025,W$5)="",2,0)),0)</f>
        <v>0</v>
      </c>
      <c r="X1025" s="194">
        <f>IFERROR(IF(INDEX([1]Pivot!$AD$1:$BE$65000,$B1025,X$5)=1,1,IF(INDEX([1]Pivot!$B$1:$AB$65000,$B1025,X$5)="",2,0)),0)</f>
        <v>0</v>
      </c>
      <c r="Y1025" s="194">
        <f>IFERROR(IF(INDEX([1]Pivot!$AD$1:$BE$65000,$B1025,Y$5)=1,1,IF(INDEX([1]Pivot!$B$1:$AB$65000,$B1025,Y$5)="",2,0)),0)</f>
        <v>0</v>
      </c>
      <c r="Z1025" s="194">
        <f>IFERROR(IF(INDEX([1]Pivot!$AD$1:$BE$65000,$B1025,Z$5)=1,1,IF(INDEX([1]Pivot!$B$1:$AB$65000,$B1025,Z$5)="",2,0)),0)</f>
        <v>0</v>
      </c>
      <c r="AA1025" s="194">
        <f>IFERROR(IF(INDEX([1]Pivot!$AD$1:$BE$65000,$B1025,AA$5)=1,1,IF(INDEX([1]Pivot!$B$1:$AB$65000,$B1025,AA$5)="",2,0)),0)</f>
        <v>0</v>
      </c>
      <c r="AB1025" s="194">
        <f>IFERROR(IF(INDEX([1]Pivot!$AD$1:$BE$65000,$B1025,AB$5)=1,1,IF(INDEX([1]Pivot!$B$1:$AB$65000,$B1025,AB$5)="",2,0)),0)</f>
        <v>0</v>
      </c>
      <c r="AC1025" s="194">
        <f>IFERROR(IF(INDEX([1]Pivot!$AD$1:$BE$65000,$B1025,AC$5)=1,1,IF(INDEX([1]Pivot!$B$1:$AB$65000,$B1025,AC$5)="",2,0)),0)</f>
        <v>0</v>
      </c>
      <c r="AD1025" s="313">
        <f>IFERROR(IF(INDEX([1]Pivot!$BF$1:$CG$65000,$B1025,AD$5)=1,1,IF(INDEX([1]Pivot!$B$1:$AB$65000,$B1025,AD$5)="",2,0)),0)</f>
        <v>0</v>
      </c>
      <c r="AE1025" s="313">
        <f>IFERROR(IF(INDEX([1]Pivot!$BF$1:$CG$65000,$B1025,AE$5)=1,1,IF(INDEX([1]Pivot!$B$1:$AB$65000,$B1025,AE$5)="",2,0)),0)</f>
        <v>0</v>
      </c>
      <c r="AF1025" s="313">
        <f>IFERROR(IF(INDEX([1]Pivot!$BF$1:$CG$65000,$B1025,AF$5)=1,1,IF(INDEX([1]Pivot!$B$1:$AB$65000,$B1025,AF$5)="",2,0)),0)</f>
        <v>0</v>
      </c>
      <c r="AG1025" s="313">
        <f>IFERROR(IF(INDEX([1]Pivot!$BF$1:$CG$65000,$B1025,AG$5)=1,1,IF(INDEX([1]Pivot!$B$1:$AB$65000,$B1025,AG$5)="",2,0)),0)</f>
        <v>0</v>
      </c>
      <c r="AH1025" s="313">
        <f>IFERROR(IF(INDEX([1]Pivot!$BF$1:$CG$65000,$B1025,AH$5)=1,1,IF(INDEX([1]Pivot!$B$1:$AB$65000,$B1025,AH$5)="",2,0)),0)</f>
        <v>0</v>
      </c>
      <c r="AI1025" s="313">
        <f>IFERROR(IF(INDEX([1]Pivot!$BF$1:$CG$65000,$B1025,AI$5)=1,1,IF(INDEX([1]Pivot!$B$1:$AB$65000,$B1025,AI$5)="",2,0)),0)</f>
        <v>0</v>
      </c>
      <c r="AJ1025" s="313">
        <f>IFERROR(IF(INDEX([1]Pivot!$BF$1:$CG$65000,$B1025,AJ$5)=1,1,IF(INDEX([1]Pivot!$B$1:$AB$65000,$B1025,AJ$5)="",2,0)),0)</f>
        <v>0</v>
      </c>
      <c r="AK1025" s="313">
        <f>IFERROR(IF(INDEX([1]Pivot!$BF$1:$CG$65000,$B1025,AK$5)=1,1,IF(INDEX([1]Pivot!$B$1:$AB$65000,$B1025,AK$5)="",2,0)),0)</f>
        <v>0</v>
      </c>
      <c r="AL1025" s="313">
        <f>IFERROR(IF(INDEX([1]Pivot!$BF$1:$CG$65000,$B1025,AL$5)=1,1,IF(INDEX([1]Pivot!$B$1:$AB$65000,$B1025,AL$5)="",2,0)),0)</f>
        <v>0</v>
      </c>
      <c r="AM1025" s="313">
        <f>IFERROR(IF(INDEX([1]Pivot!$BF$1:$CG$65000,$B1025,AM$5)=1,1,IF(INDEX([1]Pivot!$B$1:$AB$65000,$B1025,AM$5)="",2,0)),0)</f>
        <v>0</v>
      </c>
      <c r="AN1025" s="313">
        <f>IFERROR(IF(INDEX([1]Pivot!$BF$1:$CG$65000,$B1025,AN$5)=1,1,IF(INDEX([1]Pivot!$B$1:$AB$65000,$B1025,AN$5)="",2,0)),0)</f>
        <v>0</v>
      </c>
      <c r="AO1025" s="313">
        <f>IFERROR(IF(INDEX([1]Pivot!$BF$1:$CG$65000,$B1025,AO$5)=1,1,IF(INDEX([1]Pivot!$B$1:$AB$65000,$B1025,AO$5)="",2,0)),0)</f>
        <v>0</v>
      </c>
      <c r="AP1025" s="313">
        <f>IFERROR(IF(INDEX([1]Pivot!$BF$1:$CG$65000,$B1025,AP$5)=1,1,IF(INDEX([1]Pivot!$B$1:$AB$65000,$B1025,AP$5)="",2,0)),0)</f>
        <v>0</v>
      </c>
      <c r="AQ1025" s="313">
        <f>IFERROR(IF(INDEX([1]Pivot!$BF$1:$CG$65000,$B1025,AQ$5)=1,1,IF(INDEX([1]Pivot!$B$1:$AB$65000,$B1025,AQ$5)="",2,0)),0)</f>
        <v>0</v>
      </c>
      <c r="AR1025" s="313">
        <f>IFERROR(IF(INDEX([1]Pivot!$BF$1:$CG$65000,$B1025,AR$5)=1,1,IF(INDEX([1]Pivot!$B$1:$AB$65000,$B1025,AR$5)="",2,0)),0)</f>
        <v>0</v>
      </c>
      <c r="AS1025" s="312"/>
      <c r="AT1025" s="313">
        <f>IFERROR(IF(INDEX([1]Pivot!$BF$1:$CG$65000,$B1025,AT$5)=1,1,IF(INDEX([1]Pivot!$B$1:$AB$65000,$B1025,AT$5)="",2,0)),0)</f>
        <v>0</v>
      </c>
      <c r="AU1025" s="313">
        <f>IFERROR(IF(INDEX([1]Pivot!$BF$1:$CG$65000,$B1025,AU$5)=1,1,IF(INDEX([1]Pivot!$B$1:$AB$65000,$B1025,AU$5)="",2,0)),0)</f>
        <v>0</v>
      </c>
      <c r="AV1025" s="313">
        <f>IFERROR(IF(INDEX([1]Pivot!$BF$1:$CG$65000,$B1025,AV$5)=1,1,IF(INDEX([1]Pivot!$B$1:$AB$65000,$B1025,AV$5)="",2,0)),0)</f>
        <v>0</v>
      </c>
      <c r="AW1025" s="313">
        <f>IFERROR(IF(INDEX([1]Pivot!$BF$1:$CG$65000,$B1025,AW$5)=1,1,IF(INDEX([1]Pivot!$B$1:$AB$65000,$B1025,AW$5)="",2,0)),0)</f>
        <v>0</v>
      </c>
      <c r="AX1025" s="313">
        <f>IFERROR(IF(INDEX([1]Pivot!$BF$1:$CG$65000,$B1025,AX$5)=1,1,IF(INDEX([1]Pivot!$B$1:$AB$65000,$B1025,AX$5)="",2,0)),0)</f>
        <v>0</v>
      </c>
      <c r="AY1025" s="313">
        <f>IFERROR(IF(INDEX([1]Pivot!$BF$1:$CG$65000,$B1025,AY$5)=1,1,IF(INDEX([1]Pivot!$B$1:$AB$65000,$B1025,AY$5)="",2,0)),0)</f>
        <v>0</v>
      </c>
      <c r="AZ1025" s="313">
        <f>IFERROR(IF(INDEX([1]Pivot!$BF$1:$CG$65000,$B1025,AZ$5)=1,1,IF(INDEX([1]Pivot!$B$1:$AB$65000,$B1025,AZ$5)="",2,0)),0)</f>
        <v>0</v>
      </c>
      <c r="BA1025" s="313">
        <f>IFERROR(IF(INDEX([1]Pivot!$BF$1:$CG$65000,$B1025,BA$5)=1,1,IF(INDEX([1]Pivot!$B$1:$AB$65000,$B1025,BA$5)="",2,0)),0)</f>
        <v>0</v>
      </c>
      <c r="BB1025" s="313">
        <f>IFERROR(IF(INDEX([1]Pivot!$BF$1:$CG$65000,$B1025,BB$5)=1,1,IF(INDEX([1]Pivot!$B$1:$AB$65000,$B1025,BB$5)="",2,0)),0)</f>
        <v>0</v>
      </c>
      <c r="BC1025" s="313">
        <f>IFERROR(IF(INDEX([1]Pivot!$BF$1:$CG$65000,$B1025,BC$5)=1,1,IF(INDEX([1]Pivot!$B$1:$AB$65000,$B1025,BC$5)="",2,0)),0)</f>
        <v>0</v>
      </c>
      <c r="BD1025" s="313">
        <f>IFERROR(IF(INDEX([1]Pivot!$BF$1:$CG$65000,$B1025,BD$5)=1,1,IF(INDEX([1]Pivot!$B$1:$AB$65000,$B1025,BD$5)="",2,0)),0)</f>
        <v>0</v>
      </c>
    </row>
    <row r="1026" spans="1:56" x14ac:dyDescent="0.25">
      <c r="A1026" s="288">
        <f>'[2]Raw Milk Prices'!A1026</f>
        <v>0</v>
      </c>
      <c r="B1026" s="296" t="e">
        <f>MATCH(DATE(LEFT('[2]Raw Milk Prices'!$A1026,4),RIGHT('[2]Raw Milk Prices'!$A1026,2),1),[1]Pivot!$A$1:$A$65000,0)</f>
        <v>#VALUE!</v>
      </c>
      <c r="C1026" s="194">
        <f>IFERROR(IF(INDEX([1]Pivot!$AD$1:$BE$65000,$B1026,C$5)=1,1,IF(INDEX([1]Pivot!$B$1:$AB$65000,$B1026,C$5)="",2,0)),0)</f>
        <v>0</v>
      </c>
      <c r="D1026" s="194">
        <f>IFERROR(IF(INDEX([1]Pivot!$AD$1:$BE$65000,$B1026,D$5)=1,1,IF(INDEX([1]Pivot!$B$1:$AB$65000,$B1026,D$5)="",2,0)),0)</f>
        <v>0</v>
      </c>
      <c r="E1026" s="194">
        <f>IFERROR(IF(INDEX([1]Pivot!$AD$1:$BE$65000,$B1026,E$5)=1,1,IF(INDEX([1]Pivot!$B$1:$AB$65000,$B1026,E$5)="",2,0)),0)</f>
        <v>0</v>
      </c>
      <c r="F1026" s="194">
        <f>IFERROR(IF(INDEX([1]Pivot!$AD$1:$BE$65000,$B1026,F$5)=1,1,IF(INDEX([1]Pivot!$B$1:$AB$65000,$B1026,F$5)="",2,0)),0)</f>
        <v>0</v>
      </c>
      <c r="G1026" s="194">
        <f>IFERROR(IF(INDEX([1]Pivot!$AD$1:$BE$65000,$B1026,G$5)=1,1,IF(INDEX([1]Pivot!$B$1:$AB$65000,$B1026,G$5)="",2,0)),0)</f>
        <v>0</v>
      </c>
      <c r="H1026" s="194">
        <f>IFERROR(IF(INDEX([1]Pivot!$AD$1:$BE$65000,$B1026,H$5)=1,1,IF(INDEX([1]Pivot!$B$1:$AB$65000,$B1026,H$5)="",2,0)),0)</f>
        <v>0</v>
      </c>
      <c r="I1026" s="194">
        <f>IFERROR(IF(INDEX([1]Pivot!$AD$1:$BE$65000,$B1026,I$5)=1,1,IF(INDEX([1]Pivot!$B$1:$AB$65000,$B1026,I$5)="",2,0)),0)</f>
        <v>0</v>
      </c>
      <c r="J1026" s="194">
        <f>IFERROR(IF(INDEX([1]Pivot!$AD$1:$BE$65000,$B1026,J$5)=1,1,IF(INDEX([1]Pivot!$B$1:$AB$65000,$B1026,J$5)="",2,0)),0)</f>
        <v>0</v>
      </c>
      <c r="K1026" s="194">
        <f>IFERROR(IF(INDEX([1]Pivot!$AD$1:$BE$65000,$B1026,K$5)=1,1,IF(INDEX([1]Pivot!$B$1:$AB$65000,$B1026,K$5)="",2,0)),0)</f>
        <v>0</v>
      </c>
      <c r="L1026" s="194">
        <f>IFERROR(IF(INDEX([1]Pivot!$AD$1:$BE$65000,$B1026,L$5)=1,1,IF(INDEX([1]Pivot!$B$1:$AB$65000,$B1026,L$5)="",2,0)),0)</f>
        <v>0</v>
      </c>
      <c r="M1026" s="194">
        <f>IFERROR(IF(INDEX([1]Pivot!$AD$1:$BE$65000,$B1026,M$5)=1,1,IF(INDEX([1]Pivot!$B$1:$AB$65000,$B1026,M$5)="",2,0)),0)</f>
        <v>0</v>
      </c>
      <c r="N1026" s="194">
        <f>IFERROR(IF(INDEX([1]Pivot!$AD$1:$BE$65000,$B1026,N$5)=1,1,IF(INDEX([1]Pivot!$B$1:$AB$65000,$B1026,N$5)="",2,0)),0)</f>
        <v>0</v>
      </c>
      <c r="O1026" s="194">
        <f>IFERROR(IF(INDEX([1]Pivot!$AD$1:$BE$65000,$B1026,O$5)=1,1,IF(INDEX([1]Pivot!$B$1:$AB$65000,$B1026,O$5)="",2,0)),0)</f>
        <v>0</v>
      </c>
      <c r="P1026" s="194">
        <f>IFERROR(IF(INDEX([1]Pivot!$AD$1:$BE$65000,$B1026,P$5)=1,1,IF(INDEX([1]Pivot!$B$1:$AB$65000,$B1026,P$5)="",2,0)),0)</f>
        <v>0</v>
      </c>
      <c r="Q1026" s="194">
        <f>IFERROR(IF(INDEX([1]Pivot!$AD$1:$BE$65000,$B1026,Q$5)=1,1,IF(INDEX([1]Pivot!$B$1:$AB$65000,$B1026,Q$5)="",2,0)),0)</f>
        <v>0</v>
      </c>
      <c r="R1026" s="312"/>
      <c r="S1026" s="194">
        <f>IFERROR(IF(INDEX([1]Pivot!$AD$1:$BE$65000,$B1026,S$5)=1,1,IF(INDEX([1]Pivot!$B$1:$AB$65000,$B1026,S$5)="",2,0)),0)</f>
        <v>0</v>
      </c>
      <c r="T1026" s="194">
        <f>IFERROR(IF(INDEX([1]Pivot!$AD$1:$BE$65000,$B1026,T$5)=1,1,IF(INDEX([1]Pivot!$B$1:$AB$65000,$B1026,T$5)="",2,0)),0)</f>
        <v>0</v>
      </c>
      <c r="U1026" s="194">
        <f>IFERROR(IF(INDEX([1]Pivot!$AD$1:$BE$65000,$B1026,U$5)=1,1,IF(INDEX([1]Pivot!$B$1:$AB$65000,$B1026,U$5)="",2,0)),0)</f>
        <v>0</v>
      </c>
      <c r="V1026" s="194">
        <f>IFERROR(IF(INDEX([1]Pivot!$AD$1:$BE$65000,$B1026,V$5)=1,1,IF(INDEX([1]Pivot!$B$1:$AB$65000,$B1026,V$5)="",2,0)),0)</f>
        <v>0</v>
      </c>
      <c r="W1026" s="194">
        <f>IFERROR(IF(INDEX([1]Pivot!$AD$1:$BE$65000,$B1026,W$5)=1,1,IF(INDEX([1]Pivot!$B$1:$AB$65000,$B1026,W$5)="",2,0)),0)</f>
        <v>0</v>
      </c>
      <c r="X1026" s="194">
        <f>IFERROR(IF(INDEX([1]Pivot!$AD$1:$BE$65000,$B1026,X$5)=1,1,IF(INDEX([1]Pivot!$B$1:$AB$65000,$B1026,X$5)="",2,0)),0)</f>
        <v>0</v>
      </c>
      <c r="Y1026" s="194">
        <f>IFERROR(IF(INDEX([1]Pivot!$AD$1:$BE$65000,$B1026,Y$5)=1,1,IF(INDEX([1]Pivot!$B$1:$AB$65000,$B1026,Y$5)="",2,0)),0)</f>
        <v>0</v>
      </c>
      <c r="Z1026" s="194">
        <f>IFERROR(IF(INDEX([1]Pivot!$AD$1:$BE$65000,$B1026,Z$5)=1,1,IF(INDEX([1]Pivot!$B$1:$AB$65000,$B1026,Z$5)="",2,0)),0)</f>
        <v>0</v>
      </c>
      <c r="AA1026" s="194">
        <f>IFERROR(IF(INDEX([1]Pivot!$AD$1:$BE$65000,$B1026,AA$5)=1,1,IF(INDEX([1]Pivot!$B$1:$AB$65000,$B1026,AA$5)="",2,0)),0)</f>
        <v>0</v>
      </c>
      <c r="AB1026" s="194">
        <f>IFERROR(IF(INDEX([1]Pivot!$AD$1:$BE$65000,$B1026,AB$5)=1,1,IF(INDEX([1]Pivot!$B$1:$AB$65000,$B1026,AB$5)="",2,0)),0)</f>
        <v>0</v>
      </c>
      <c r="AC1026" s="194">
        <f>IFERROR(IF(INDEX([1]Pivot!$AD$1:$BE$65000,$B1026,AC$5)=1,1,IF(INDEX([1]Pivot!$B$1:$AB$65000,$B1026,AC$5)="",2,0)),0)</f>
        <v>0</v>
      </c>
      <c r="AD1026" s="313">
        <f>IFERROR(IF(INDEX([1]Pivot!$BF$1:$CG$65000,$B1026,AD$5)=1,1,IF(INDEX([1]Pivot!$B$1:$AB$65000,$B1026,AD$5)="",2,0)),0)</f>
        <v>0</v>
      </c>
      <c r="AE1026" s="313">
        <f>IFERROR(IF(INDEX([1]Pivot!$BF$1:$CG$65000,$B1026,AE$5)=1,1,IF(INDEX([1]Pivot!$B$1:$AB$65000,$B1026,AE$5)="",2,0)),0)</f>
        <v>0</v>
      </c>
      <c r="AF1026" s="313">
        <f>IFERROR(IF(INDEX([1]Pivot!$BF$1:$CG$65000,$B1026,AF$5)=1,1,IF(INDEX([1]Pivot!$B$1:$AB$65000,$B1026,AF$5)="",2,0)),0)</f>
        <v>0</v>
      </c>
      <c r="AG1026" s="313">
        <f>IFERROR(IF(INDEX([1]Pivot!$BF$1:$CG$65000,$B1026,AG$5)=1,1,IF(INDEX([1]Pivot!$B$1:$AB$65000,$B1026,AG$5)="",2,0)),0)</f>
        <v>0</v>
      </c>
      <c r="AH1026" s="313">
        <f>IFERROR(IF(INDEX([1]Pivot!$BF$1:$CG$65000,$B1026,AH$5)=1,1,IF(INDEX([1]Pivot!$B$1:$AB$65000,$B1026,AH$5)="",2,0)),0)</f>
        <v>0</v>
      </c>
      <c r="AI1026" s="313">
        <f>IFERROR(IF(INDEX([1]Pivot!$BF$1:$CG$65000,$B1026,AI$5)=1,1,IF(INDEX([1]Pivot!$B$1:$AB$65000,$B1026,AI$5)="",2,0)),0)</f>
        <v>0</v>
      </c>
      <c r="AJ1026" s="313">
        <f>IFERROR(IF(INDEX([1]Pivot!$BF$1:$CG$65000,$B1026,AJ$5)=1,1,IF(INDEX([1]Pivot!$B$1:$AB$65000,$B1026,AJ$5)="",2,0)),0)</f>
        <v>0</v>
      </c>
      <c r="AK1026" s="313">
        <f>IFERROR(IF(INDEX([1]Pivot!$BF$1:$CG$65000,$B1026,AK$5)=1,1,IF(INDEX([1]Pivot!$B$1:$AB$65000,$B1026,AK$5)="",2,0)),0)</f>
        <v>0</v>
      </c>
      <c r="AL1026" s="313">
        <f>IFERROR(IF(INDEX([1]Pivot!$BF$1:$CG$65000,$B1026,AL$5)=1,1,IF(INDEX([1]Pivot!$B$1:$AB$65000,$B1026,AL$5)="",2,0)),0)</f>
        <v>0</v>
      </c>
      <c r="AM1026" s="313">
        <f>IFERROR(IF(INDEX([1]Pivot!$BF$1:$CG$65000,$B1026,AM$5)=1,1,IF(INDEX([1]Pivot!$B$1:$AB$65000,$B1026,AM$5)="",2,0)),0)</f>
        <v>0</v>
      </c>
      <c r="AN1026" s="313">
        <f>IFERROR(IF(INDEX([1]Pivot!$BF$1:$CG$65000,$B1026,AN$5)=1,1,IF(INDEX([1]Pivot!$B$1:$AB$65000,$B1026,AN$5)="",2,0)),0)</f>
        <v>0</v>
      </c>
      <c r="AO1026" s="313">
        <f>IFERROR(IF(INDEX([1]Pivot!$BF$1:$CG$65000,$B1026,AO$5)=1,1,IF(INDEX([1]Pivot!$B$1:$AB$65000,$B1026,AO$5)="",2,0)),0)</f>
        <v>0</v>
      </c>
      <c r="AP1026" s="313">
        <f>IFERROR(IF(INDEX([1]Pivot!$BF$1:$CG$65000,$B1026,AP$5)=1,1,IF(INDEX([1]Pivot!$B$1:$AB$65000,$B1026,AP$5)="",2,0)),0)</f>
        <v>0</v>
      </c>
      <c r="AQ1026" s="313">
        <f>IFERROR(IF(INDEX([1]Pivot!$BF$1:$CG$65000,$B1026,AQ$5)=1,1,IF(INDEX([1]Pivot!$B$1:$AB$65000,$B1026,AQ$5)="",2,0)),0)</f>
        <v>0</v>
      </c>
      <c r="AR1026" s="313">
        <f>IFERROR(IF(INDEX([1]Pivot!$BF$1:$CG$65000,$B1026,AR$5)=1,1,IF(INDEX([1]Pivot!$B$1:$AB$65000,$B1026,AR$5)="",2,0)),0)</f>
        <v>0</v>
      </c>
      <c r="AS1026" s="312"/>
      <c r="AT1026" s="313">
        <f>IFERROR(IF(INDEX([1]Pivot!$BF$1:$CG$65000,$B1026,AT$5)=1,1,IF(INDEX([1]Pivot!$B$1:$AB$65000,$B1026,AT$5)="",2,0)),0)</f>
        <v>0</v>
      </c>
      <c r="AU1026" s="313">
        <f>IFERROR(IF(INDEX([1]Pivot!$BF$1:$CG$65000,$B1026,AU$5)=1,1,IF(INDEX([1]Pivot!$B$1:$AB$65000,$B1026,AU$5)="",2,0)),0)</f>
        <v>0</v>
      </c>
      <c r="AV1026" s="313">
        <f>IFERROR(IF(INDEX([1]Pivot!$BF$1:$CG$65000,$B1026,AV$5)=1,1,IF(INDEX([1]Pivot!$B$1:$AB$65000,$B1026,AV$5)="",2,0)),0)</f>
        <v>0</v>
      </c>
      <c r="AW1026" s="313">
        <f>IFERROR(IF(INDEX([1]Pivot!$BF$1:$CG$65000,$B1026,AW$5)=1,1,IF(INDEX([1]Pivot!$B$1:$AB$65000,$B1026,AW$5)="",2,0)),0)</f>
        <v>0</v>
      </c>
      <c r="AX1026" s="313">
        <f>IFERROR(IF(INDEX([1]Pivot!$BF$1:$CG$65000,$B1026,AX$5)=1,1,IF(INDEX([1]Pivot!$B$1:$AB$65000,$B1026,AX$5)="",2,0)),0)</f>
        <v>0</v>
      </c>
      <c r="AY1026" s="313">
        <f>IFERROR(IF(INDEX([1]Pivot!$BF$1:$CG$65000,$B1026,AY$5)=1,1,IF(INDEX([1]Pivot!$B$1:$AB$65000,$B1026,AY$5)="",2,0)),0)</f>
        <v>0</v>
      </c>
      <c r="AZ1026" s="313">
        <f>IFERROR(IF(INDEX([1]Pivot!$BF$1:$CG$65000,$B1026,AZ$5)=1,1,IF(INDEX([1]Pivot!$B$1:$AB$65000,$B1026,AZ$5)="",2,0)),0)</f>
        <v>0</v>
      </c>
      <c r="BA1026" s="313">
        <f>IFERROR(IF(INDEX([1]Pivot!$BF$1:$CG$65000,$B1026,BA$5)=1,1,IF(INDEX([1]Pivot!$B$1:$AB$65000,$B1026,BA$5)="",2,0)),0)</f>
        <v>0</v>
      </c>
      <c r="BB1026" s="313">
        <f>IFERROR(IF(INDEX([1]Pivot!$BF$1:$CG$65000,$B1026,BB$5)=1,1,IF(INDEX([1]Pivot!$B$1:$AB$65000,$B1026,BB$5)="",2,0)),0)</f>
        <v>0</v>
      </c>
      <c r="BC1026" s="313">
        <f>IFERROR(IF(INDEX([1]Pivot!$BF$1:$CG$65000,$B1026,BC$5)=1,1,IF(INDEX([1]Pivot!$B$1:$AB$65000,$B1026,BC$5)="",2,0)),0)</f>
        <v>0</v>
      </c>
      <c r="BD1026" s="313">
        <f>IFERROR(IF(INDEX([1]Pivot!$BF$1:$CG$65000,$B1026,BD$5)=1,1,IF(INDEX([1]Pivot!$B$1:$AB$65000,$B1026,BD$5)="",2,0)),0)</f>
        <v>0</v>
      </c>
    </row>
    <row r="1027" spans="1:56" x14ac:dyDescent="0.25">
      <c r="A1027" s="288">
        <f>'[2]Raw Milk Prices'!A1027</f>
        <v>0</v>
      </c>
      <c r="B1027" s="296" t="e">
        <f>MATCH(DATE(LEFT('[2]Raw Milk Prices'!$A1027,4),RIGHT('[2]Raw Milk Prices'!$A1027,2),1),[1]Pivot!$A$1:$A$65000,0)</f>
        <v>#VALUE!</v>
      </c>
      <c r="C1027" s="194">
        <f>IFERROR(IF(INDEX([1]Pivot!$AD$1:$BE$65000,$B1027,C$5)=1,1,IF(INDEX([1]Pivot!$B$1:$AB$65000,$B1027,C$5)="",2,0)),0)</f>
        <v>0</v>
      </c>
      <c r="D1027" s="194">
        <f>IFERROR(IF(INDEX([1]Pivot!$AD$1:$BE$65000,$B1027,D$5)=1,1,IF(INDEX([1]Pivot!$B$1:$AB$65000,$B1027,D$5)="",2,0)),0)</f>
        <v>0</v>
      </c>
      <c r="E1027" s="194">
        <f>IFERROR(IF(INDEX([1]Pivot!$AD$1:$BE$65000,$B1027,E$5)=1,1,IF(INDEX([1]Pivot!$B$1:$AB$65000,$B1027,E$5)="",2,0)),0)</f>
        <v>0</v>
      </c>
      <c r="F1027" s="194">
        <f>IFERROR(IF(INDEX([1]Pivot!$AD$1:$BE$65000,$B1027,F$5)=1,1,IF(INDEX([1]Pivot!$B$1:$AB$65000,$B1027,F$5)="",2,0)),0)</f>
        <v>0</v>
      </c>
      <c r="G1027" s="194">
        <f>IFERROR(IF(INDEX([1]Pivot!$AD$1:$BE$65000,$B1027,G$5)=1,1,IF(INDEX([1]Pivot!$B$1:$AB$65000,$B1027,G$5)="",2,0)),0)</f>
        <v>0</v>
      </c>
      <c r="H1027" s="194">
        <f>IFERROR(IF(INDEX([1]Pivot!$AD$1:$BE$65000,$B1027,H$5)=1,1,IF(INDEX([1]Pivot!$B$1:$AB$65000,$B1027,H$5)="",2,0)),0)</f>
        <v>0</v>
      </c>
      <c r="I1027" s="194">
        <f>IFERROR(IF(INDEX([1]Pivot!$AD$1:$BE$65000,$B1027,I$5)=1,1,IF(INDEX([1]Pivot!$B$1:$AB$65000,$B1027,I$5)="",2,0)),0)</f>
        <v>0</v>
      </c>
      <c r="J1027" s="194">
        <f>IFERROR(IF(INDEX([1]Pivot!$AD$1:$BE$65000,$B1027,J$5)=1,1,IF(INDEX([1]Pivot!$B$1:$AB$65000,$B1027,J$5)="",2,0)),0)</f>
        <v>0</v>
      </c>
      <c r="K1027" s="194">
        <f>IFERROR(IF(INDEX([1]Pivot!$AD$1:$BE$65000,$B1027,K$5)=1,1,IF(INDEX([1]Pivot!$B$1:$AB$65000,$B1027,K$5)="",2,0)),0)</f>
        <v>0</v>
      </c>
      <c r="L1027" s="194">
        <f>IFERROR(IF(INDEX([1]Pivot!$AD$1:$BE$65000,$B1027,L$5)=1,1,IF(INDEX([1]Pivot!$B$1:$AB$65000,$B1027,L$5)="",2,0)),0)</f>
        <v>0</v>
      </c>
      <c r="M1027" s="194">
        <f>IFERROR(IF(INDEX([1]Pivot!$AD$1:$BE$65000,$B1027,M$5)=1,1,IF(INDEX([1]Pivot!$B$1:$AB$65000,$B1027,M$5)="",2,0)),0)</f>
        <v>0</v>
      </c>
      <c r="N1027" s="194">
        <f>IFERROR(IF(INDEX([1]Pivot!$AD$1:$BE$65000,$B1027,N$5)=1,1,IF(INDEX([1]Pivot!$B$1:$AB$65000,$B1027,N$5)="",2,0)),0)</f>
        <v>0</v>
      </c>
      <c r="O1027" s="194">
        <f>IFERROR(IF(INDEX([1]Pivot!$AD$1:$BE$65000,$B1027,O$5)=1,1,IF(INDEX([1]Pivot!$B$1:$AB$65000,$B1027,O$5)="",2,0)),0)</f>
        <v>0</v>
      </c>
      <c r="P1027" s="194">
        <f>IFERROR(IF(INDEX([1]Pivot!$AD$1:$BE$65000,$B1027,P$5)=1,1,IF(INDEX([1]Pivot!$B$1:$AB$65000,$B1027,P$5)="",2,0)),0)</f>
        <v>0</v>
      </c>
      <c r="Q1027" s="194">
        <f>IFERROR(IF(INDEX([1]Pivot!$AD$1:$BE$65000,$B1027,Q$5)=1,1,IF(INDEX([1]Pivot!$B$1:$AB$65000,$B1027,Q$5)="",2,0)),0)</f>
        <v>0</v>
      </c>
      <c r="R1027" s="312"/>
      <c r="S1027" s="194">
        <f>IFERROR(IF(INDEX([1]Pivot!$AD$1:$BE$65000,$B1027,S$5)=1,1,IF(INDEX([1]Pivot!$B$1:$AB$65000,$B1027,S$5)="",2,0)),0)</f>
        <v>0</v>
      </c>
      <c r="T1027" s="194">
        <f>IFERROR(IF(INDEX([1]Pivot!$AD$1:$BE$65000,$B1027,T$5)=1,1,IF(INDEX([1]Pivot!$B$1:$AB$65000,$B1027,T$5)="",2,0)),0)</f>
        <v>0</v>
      </c>
      <c r="U1027" s="194">
        <f>IFERROR(IF(INDEX([1]Pivot!$AD$1:$BE$65000,$B1027,U$5)=1,1,IF(INDEX([1]Pivot!$B$1:$AB$65000,$B1027,U$5)="",2,0)),0)</f>
        <v>0</v>
      </c>
      <c r="V1027" s="194">
        <f>IFERROR(IF(INDEX([1]Pivot!$AD$1:$BE$65000,$B1027,V$5)=1,1,IF(INDEX([1]Pivot!$B$1:$AB$65000,$B1027,V$5)="",2,0)),0)</f>
        <v>0</v>
      </c>
      <c r="W1027" s="194">
        <f>IFERROR(IF(INDEX([1]Pivot!$AD$1:$BE$65000,$B1027,W$5)=1,1,IF(INDEX([1]Pivot!$B$1:$AB$65000,$B1027,W$5)="",2,0)),0)</f>
        <v>0</v>
      </c>
      <c r="X1027" s="194">
        <f>IFERROR(IF(INDEX([1]Pivot!$AD$1:$BE$65000,$B1027,X$5)=1,1,IF(INDEX([1]Pivot!$B$1:$AB$65000,$B1027,X$5)="",2,0)),0)</f>
        <v>0</v>
      </c>
      <c r="Y1027" s="194">
        <f>IFERROR(IF(INDEX([1]Pivot!$AD$1:$BE$65000,$B1027,Y$5)=1,1,IF(INDEX([1]Pivot!$B$1:$AB$65000,$B1027,Y$5)="",2,0)),0)</f>
        <v>0</v>
      </c>
      <c r="Z1027" s="194">
        <f>IFERROR(IF(INDEX([1]Pivot!$AD$1:$BE$65000,$B1027,Z$5)=1,1,IF(INDEX([1]Pivot!$B$1:$AB$65000,$B1027,Z$5)="",2,0)),0)</f>
        <v>0</v>
      </c>
      <c r="AA1027" s="194">
        <f>IFERROR(IF(INDEX([1]Pivot!$AD$1:$BE$65000,$B1027,AA$5)=1,1,IF(INDEX([1]Pivot!$B$1:$AB$65000,$B1027,AA$5)="",2,0)),0)</f>
        <v>0</v>
      </c>
      <c r="AB1027" s="194">
        <f>IFERROR(IF(INDEX([1]Pivot!$AD$1:$BE$65000,$B1027,AB$5)=1,1,IF(INDEX([1]Pivot!$B$1:$AB$65000,$B1027,AB$5)="",2,0)),0)</f>
        <v>0</v>
      </c>
      <c r="AC1027" s="194">
        <f>IFERROR(IF(INDEX([1]Pivot!$AD$1:$BE$65000,$B1027,AC$5)=1,1,IF(INDEX([1]Pivot!$B$1:$AB$65000,$B1027,AC$5)="",2,0)),0)</f>
        <v>0</v>
      </c>
      <c r="AD1027" s="313">
        <f>IFERROR(IF(INDEX([1]Pivot!$BF$1:$CG$65000,$B1027,AD$5)=1,1,IF(INDEX([1]Pivot!$B$1:$AB$65000,$B1027,AD$5)="",2,0)),0)</f>
        <v>0</v>
      </c>
      <c r="AE1027" s="313">
        <f>IFERROR(IF(INDEX([1]Pivot!$BF$1:$CG$65000,$B1027,AE$5)=1,1,IF(INDEX([1]Pivot!$B$1:$AB$65000,$B1027,AE$5)="",2,0)),0)</f>
        <v>0</v>
      </c>
      <c r="AF1027" s="313">
        <f>IFERROR(IF(INDEX([1]Pivot!$BF$1:$CG$65000,$B1027,AF$5)=1,1,IF(INDEX([1]Pivot!$B$1:$AB$65000,$B1027,AF$5)="",2,0)),0)</f>
        <v>0</v>
      </c>
      <c r="AG1027" s="313">
        <f>IFERROR(IF(INDEX([1]Pivot!$BF$1:$CG$65000,$B1027,AG$5)=1,1,IF(INDEX([1]Pivot!$B$1:$AB$65000,$B1027,AG$5)="",2,0)),0)</f>
        <v>0</v>
      </c>
      <c r="AH1027" s="313">
        <f>IFERROR(IF(INDEX([1]Pivot!$BF$1:$CG$65000,$B1027,AH$5)=1,1,IF(INDEX([1]Pivot!$B$1:$AB$65000,$B1027,AH$5)="",2,0)),0)</f>
        <v>0</v>
      </c>
      <c r="AI1027" s="313">
        <f>IFERROR(IF(INDEX([1]Pivot!$BF$1:$CG$65000,$B1027,AI$5)=1,1,IF(INDEX([1]Pivot!$B$1:$AB$65000,$B1027,AI$5)="",2,0)),0)</f>
        <v>0</v>
      </c>
      <c r="AJ1027" s="313">
        <f>IFERROR(IF(INDEX([1]Pivot!$BF$1:$CG$65000,$B1027,AJ$5)=1,1,IF(INDEX([1]Pivot!$B$1:$AB$65000,$B1027,AJ$5)="",2,0)),0)</f>
        <v>0</v>
      </c>
      <c r="AK1027" s="313">
        <f>IFERROR(IF(INDEX([1]Pivot!$BF$1:$CG$65000,$B1027,AK$5)=1,1,IF(INDEX([1]Pivot!$B$1:$AB$65000,$B1027,AK$5)="",2,0)),0)</f>
        <v>0</v>
      </c>
      <c r="AL1027" s="313">
        <f>IFERROR(IF(INDEX([1]Pivot!$BF$1:$CG$65000,$B1027,AL$5)=1,1,IF(INDEX([1]Pivot!$B$1:$AB$65000,$B1027,AL$5)="",2,0)),0)</f>
        <v>0</v>
      </c>
      <c r="AM1027" s="313">
        <f>IFERROR(IF(INDEX([1]Pivot!$BF$1:$CG$65000,$B1027,AM$5)=1,1,IF(INDEX([1]Pivot!$B$1:$AB$65000,$B1027,AM$5)="",2,0)),0)</f>
        <v>0</v>
      </c>
      <c r="AN1027" s="313">
        <f>IFERROR(IF(INDEX([1]Pivot!$BF$1:$CG$65000,$B1027,AN$5)=1,1,IF(INDEX([1]Pivot!$B$1:$AB$65000,$B1027,AN$5)="",2,0)),0)</f>
        <v>0</v>
      </c>
      <c r="AO1027" s="313">
        <f>IFERROR(IF(INDEX([1]Pivot!$BF$1:$CG$65000,$B1027,AO$5)=1,1,IF(INDEX([1]Pivot!$B$1:$AB$65000,$B1027,AO$5)="",2,0)),0)</f>
        <v>0</v>
      </c>
      <c r="AP1027" s="313">
        <f>IFERROR(IF(INDEX([1]Pivot!$BF$1:$CG$65000,$B1027,AP$5)=1,1,IF(INDEX([1]Pivot!$B$1:$AB$65000,$B1027,AP$5)="",2,0)),0)</f>
        <v>0</v>
      </c>
      <c r="AQ1027" s="313">
        <f>IFERROR(IF(INDEX([1]Pivot!$BF$1:$CG$65000,$B1027,AQ$5)=1,1,IF(INDEX([1]Pivot!$B$1:$AB$65000,$B1027,AQ$5)="",2,0)),0)</f>
        <v>0</v>
      </c>
      <c r="AR1027" s="313">
        <f>IFERROR(IF(INDEX([1]Pivot!$BF$1:$CG$65000,$B1027,AR$5)=1,1,IF(INDEX([1]Pivot!$B$1:$AB$65000,$B1027,AR$5)="",2,0)),0)</f>
        <v>0</v>
      </c>
      <c r="AS1027" s="312"/>
      <c r="AT1027" s="313">
        <f>IFERROR(IF(INDEX([1]Pivot!$BF$1:$CG$65000,$B1027,AT$5)=1,1,IF(INDEX([1]Pivot!$B$1:$AB$65000,$B1027,AT$5)="",2,0)),0)</f>
        <v>0</v>
      </c>
      <c r="AU1027" s="313">
        <f>IFERROR(IF(INDEX([1]Pivot!$BF$1:$CG$65000,$B1027,AU$5)=1,1,IF(INDEX([1]Pivot!$B$1:$AB$65000,$B1027,AU$5)="",2,0)),0)</f>
        <v>0</v>
      </c>
      <c r="AV1027" s="313">
        <f>IFERROR(IF(INDEX([1]Pivot!$BF$1:$CG$65000,$B1027,AV$5)=1,1,IF(INDEX([1]Pivot!$B$1:$AB$65000,$B1027,AV$5)="",2,0)),0)</f>
        <v>0</v>
      </c>
      <c r="AW1027" s="313">
        <f>IFERROR(IF(INDEX([1]Pivot!$BF$1:$CG$65000,$B1027,AW$5)=1,1,IF(INDEX([1]Pivot!$B$1:$AB$65000,$B1027,AW$5)="",2,0)),0)</f>
        <v>0</v>
      </c>
      <c r="AX1027" s="313">
        <f>IFERROR(IF(INDEX([1]Pivot!$BF$1:$CG$65000,$B1027,AX$5)=1,1,IF(INDEX([1]Pivot!$B$1:$AB$65000,$B1027,AX$5)="",2,0)),0)</f>
        <v>0</v>
      </c>
      <c r="AY1027" s="313">
        <f>IFERROR(IF(INDEX([1]Pivot!$BF$1:$CG$65000,$B1027,AY$5)=1,1,IF(INDEX([1]Pivot!$B$1:$AB$65000,$B1027,AY$5)="",2,0)),0)</f>
        <v>0</v>
      </c>
      <c r="AZ1027" s="313">
        <f>IFERROR(IF(INDEX([1]Pivot!$BF$1:$CG$65000,$B1027,AZ$5)=1,1,IF(INDEX([1]Pivot!$B$1:$AB$65000,$B1027,AZ$5)="",2,0)),0)</f>
        <v>0</v>
      </c>
      <c r="BA1027" s="313">
        <f>IFERROR(IF(INDEX([1]Pivot!$BF$1:$CG$65000,$B1027,BA$5)=1,1,IF(INDEX([1]Pivot!$B$1:$AB$65000,$B1027,BA$5)="",2,0)),0)</f>
        <v>0</v>
      </c>
      <c r="BB1027" s="313">
        <f>IFERROR(IF(INDEX([1]Pivot!$BF$1:$CG$65000,$B1027,BB$5)=1,1,IF(INDEX([1]Pivot!$B$1:$AB$65000,$B1027,BB$5)="",2,0)),0)</f>
        <v>0</v>
      </c>
      <c r="BC1027" s="313">
        <f>IFERROR(IF(INDEX([1]Pivot!$BF$1:$CG$65000,$B1027,BC$5)=1,1,IF(INDEX([1]Pivot!$B$1:$AB$65000,$B1027,BC$5)="",2,0)),0)</f>
        <v>0</v>
      </c>
      <c r="BD1027" s="313">
        <f>IFERROR(IF(INDEX([1]Pivot!$BF$1:$CG$65000,$B1027,BD$5)=1,1,IF(INDEX([1]Pivot!$B$1:$AB$65000,$B1027,BD$5)="",2,0)),0)</f>
        <v>0</v>
      </c>
    </row>
    <row r="1028" spans="1:56" x14ac:dyDescent="0.25">
      <c r="A1028" s="288">
        <f>'[2]Raw Milk Prices'!A1028</f>
        <v>0</v>
      </c>
      <c r="B1028" s="296" t="e">
        <f>MATCH(DATE(LEFT('[2]Raw Milk Prices'!$A1028,4),RIGHT('[2]Raw Milk Prices'!$A1028,2),1),[1]Pivot!$A$1:$A$65000,0)</f>
        <v>#VALUE!</v>
      </c>
      <c r="C1028" s="194">
        <f>IFERROR(IF(INDEX([1]Pivot!$AD$1:$BE$65000,$B1028,C$5)=1,1,IF(INDEX([1]Pivot!$B$1:$AB$65000,$B1028,C$5)="",2,0)),0)</f>
        <v>0</v>
      </c>
      <c r="D1028" s="194">
        <f>IFERROR(IF(INDEX([1]Pivot!$AD$1:$BE$65000,$B1028,D$5)=1,1,IF(INDEX([1]Pivot!$B$1:$AB$65000,$B1028,D$5)="",2,0)),0)</f>
        <v>0</v>
      </c>
      <c r="E1028" s="194">
        <f>IFERROR(IF(INDEX([1]Pivot!$AD$1:$BE$65000,$B1028,E$5)=1,1,IF(INDEX([1]Pivot!$B$1:$AB$65000,$B1028,E$5)="",2,0)),0)</f>
        <v>0</v>
      </c>
      <c r="F1028" s="194">
        <f>IFERROR(IF(INDEX([1]Pivot!$AD$1:$BE$65000,$B1028,F$5)=1,1,IF(INDEX([1]Pivot!$B$1:$AB$65000,$B1028,F$5)="",2,0)),0)</f>
        <v>0</v>
      </c>
      <c r="G1028" s="194">
        <f>IFERROR(IF(INDEX([1]Pivot!$AD$1:$BE$65000,$B1028,G$5)=1,1,IF(INDEX([1]Pivot!$B$1:$AB$65000,$B1028,G$5)="",2,0)),0)</f>
        <v>0</v>
      </c>
      <c r="H1028" s="194">
        <f>IFERROR(IF(INDEX([1]Pivot!$AD$1:$BE$65000,$B1028,H$5)=1,1,IF(INDEX([1]Pivot!$B$1:$AB$65000,$B1028,H$5)="",2,0)),0)</f>
        <v>0</v>
      </c>
      <c r="I1028" s="194">
        <f>IFERROR(IF(INDEX([1]Pivot!$AD$1:$BE$65000,$B1028,I$5)=1,1,IF(INDEX([1]Pivot!$B$1:$AB$65000,$B1028,I$5)="",2,0)),0)</f>
        <v>0</v>
      </c>
      <c r="J1028" s="194">
        <f>IFERROR(IF(INDEX([1]Pivot!$AD$1:$BE$65000,$B1028,J$5)=1,1,IF(INDEX([1]Pivot!$B$1:$AB$65000,$B1028,J$5)="",2,0)),0)</f>
        <v>0</v>
      </c>
      <c r="K1028" s="194">
        <f>IFERROR(IF(INDEX([1]Pivot!$AD$1:$BE$65000,$B1028,K$5)=1,1,IF(INDEX([1]Pivot!$B$1:$AB$65000,$B1028,K$5)="",2,0)),0)</f>
        <v>0</v>
      </c>
      <c r="L1028" s="194">
        <f>IFERROR(IF(INDEX([1]Pivot!$AD$1:$BE$65000,$B1028,L$5)=1,1,IF(INDEX([1]Pivot!$B$1:$AB$65000,$B1028,L$5)="",2,0)),0)</f>
        <v>0</v>
      </c>
      <c r="M1028" s="194">
        <f>IFERROR(IF(INDEX([1]Pivot!$AD$1:$BE$65000,$B1028,M$5)=1,1,IF(INDEX([1]Pivot!$B$1:$AB$65000,$B1028,M$5)="",2,0)),0)</f>
        <v>0</v>
      </c>
      <c r="N1028" s="194">
        <f>IFERROR(IF(INDEX([1]Pivot!$AD$1:$BE$65000,$B1028,N$5)=1,1,IF(INDEX([1]Pivot!$B$1:$AB$65000,$B1028,N$5)="",2,0)),0)</f>
        <v>0</v>
      </c>
      <c r="O1028" s="194">
        <f>IFERROR(IF(INDEX([1]Pivot!$AD$1:$BE$65000,$B1028,O$5)=1,1,IF(INDEX([1]Pivot!$B$1:$AB$65000,$B1028,O$5)="",2,0)),0)</f>
        <v>0</v>
      </c>
      <c r="P1028" s="194">
        <f>IFERROR(IF(INDEX([1]Pivot!$AD$1:$BE$65000,$B1028,P$5)=1,1,IF(INDEX([1]Pivot!$B$1:$AB$65000,$B1028,P$5)="",2,0)),0)</f>
        <v>0</v>
      </c>
      <c r="Q1028" s="194">
        <f>IFERROR(IF(INDEX([1]Pivot!$AD$1:$BE$65000,$B1028,Q$5)=1,1,IF(INDEX([1]Pivot!$B$1:$AB$65000,$B1028,Q$5)="",2,0)),0)</f>
        <v>0</v>
      </c>
      <c r="R1028" s="312"/>
      <c r="S1028" s="194">
        <f>IFERROR(IF(INDEX([1]Pivot!$AD$1:$BE$65000,$B1028,S$5)=1,1,IF(INDEX([1]Pivot!$B$1:$AB$65000,$B1028,S$5)="",2,0)),0)</f>
        <v>0</v>
      </c>
      <c r="T1028" s="194">
        <f>IFERROR(IF(INDEX([1]Pivot!$AD$1:$BE$65000,$B1028,T$5)=1,1,IF(INDEX([1]Pivot!$B$1:$AB$65000,$B1028,T$5)="",2,0)),0)</f>
        <v>0</v>
      </c>
      <c r="U1028" s="194">
        <f>IFERROR(IF(INDEX([1]Pivot!$AD$1:$BE$65000,$B1028,U$5)=1,1,IF(INDEX([1]Pivot!$B$1:$AB$65000,$B1028,U$5)="",2,0)),0)</f>
        <v>0</v>
      </c>
      <c r="V1028" s="194">
        <f>IFERROR(IF(INDEX([1]Pivot!$AD$1:$BE$65000,$B1028,V$5)=1,1,IF(INDEX([1]Pivot!$B$1:$AB$65000,$B1028,V$5)="",2,0)),0)</f>
        <v>0</v>
      </c>
      <c r="W1028" s="194">
        <f>IFERROR(IF(INDEX([1]Pivot!$AD$1:$BE$65000,$B1028,W$5)=1,1,IF(INDEX([1]Pivot!$B$1:$AB$65000,$B1028,W$5)="",2,0)),0)</f>
        <v>0</v>
      </c>
      <c r="X1028" s="194">
        <f>IFERROR(IF(INDEX([1]Pivot!$AD$1:$BE$65000,$B1028,X$5)=1,1,IF(INDEX([1]Pivot!$B$1:$AB$65000,$B1028,X$5)="",2,0)),0)</f>
        <v>0</v>
      </c>
      <c r="Y1028" s="194">
        <f>IFERROR(IF(INDEX([1]Pivot!$AD$1:$BE$65000,$B1028,Y$5)=1,1,IF(INDEX([1]Pivot!$B$1:$AB$65000,$B1028,Y$5)="",2,0)),0)</f>
        <v>0</v>
      </c>
      <c r="Z1028" s="194">
        <f>IFERROR(IF(INDEX([1]Pivot!$AD$1:$BE$65000,$B1028,Z$5)=1,1,IF(INDEX([1]Pivot!$B$1:$AB$65000,$B1028,Z$5)="",2,0)),0)</f>
        <v>0</v>
      </c>
      <c r="AA1028" s="194">
        <f>IFERROR(IF(INDEX([1]Pivot!$AD$1:$BE$65000,$B1028,AA$5)=1,1,IF(INDEX([1]Pivot!$B$1:$AB$65000,$B1028,AA$5)="",2,0)),0)</f>
        <v>0</v>
      </c>
      <c r="AB1028" s="194">
        <f>IFERROR(IF(INDEX([1]Pivot!$AD$1:$BE$65000,$B1028,AB$5)=1,1,IF(INDEX([1]Pivot!$B$1:$AB$65000,$B1028,AB$5)="",2,0)),0)</f>
        <v>0</v>
      </c>
      <c r="AC1028" s="194">
        <f>IFERROR(IF(INDEX([1]Pivot!$AD$1:$BE$65000,$B1028,AC$5)=1,1,IF(INDEX([1]Pivot!$B$1:$AB$65000,$B1028,AC$5)="",2,0)),0)</f>
        <v>0</v>
      </c>
      <c r="AD1028" s="313">
        <f>IFERROR(IF(INDEX([1]Pivot!$BF$1:$CG$65000,$B1028,AD$5)=1,1,IF(INDEX([1]Pivot!$B$1:$AB$65000,$B1028,AD$5)="",2,0)),0)</f>
        <v>0</v>
      </c>
      <c r="AE1028" s="313">
        <f>IFERROR(IF(INDEX([1]Pivot!$BF$1:$CG$65000,$B1028,AE$5)=1,1,IF(INDEX([1]Pivot!$B$1:$AB$65000,$B1028,AE$5)="",2,0)),0)</f>
        <v>0</v>
      </c>
      <c r="AF1028" s="313">
        <f>IFERROR(IF(INDEX([1]Pivot!$BF$1:$CG$65000,$B1028,AF$5)=1,1,IF(INDEX([1]Pivot!$B$1:$AB$65000,$B1028,AF$5)="",2,0)),0)</f>
        <v>0</v>
      </c>
      <c r="AG1028" s="313">
        <f>IFERROR(IF(INDEX([1]Pivot!$BF$1:$CG$65000,$B1028,AG$5)=1,1,IF(INDEX([1]Pivot!$B$1:$AB$65000,$B1028,AG$5)="",2,0)),0)</f>
        <v>0</v>
      </c>
      <c r="AH1028" s="313">
        <f>IFERROR(IF(INDEX([1]Pivot!$BF$1:$CG$65000,$B1028,AH$5)=1,1,IF(INDEX([1]Pivot!$B$1:$AB$65000,$B1028,AH$5)="",2,0)),0)</f>
        <v>0</v>
      </c>
      <c r="AI1028" s="313">
        <f>IFERROR(IF(INDEX([1]Pivot!$BF$1:$CG$65000,$B1028,AI$5)=1,1,IF(INDEX([1]Pivot!$B$1:$AB$65000,$B1028,AI$5)="",2,0)),0)</f>
        <v>0</v>
      </c>
      <c r="AJ1028" s="313">
        <f>IFERROR(IF(INDEX([1]Pivot!$BF$1:$CG$65000,$B1028,AJ$5)=1,1,IF(INDEX([1]Pivot!$B$1:$AB$65000,$B1028,AJ$5)="",2,0)),0)</f>
        <v>0</v>
      </c>
      <c r="AK1028" s="313">
        <f>IFERROR(IF(INDEX([1]Pivot!$BF$1:$CG$65000,$B1028,AK$5)=1,1,IF(INDEX([1]Pivot!$B$1:$AB$65000,$B1028,AK$5)="",2,0)),0)</f>
        <v>0</v>
      </c>
      <c r="AL1028" s="313">
        <f>IFERROR(IF(INDEX([1]Pivot!$BF$1:$CG$65000,$B1028,AL$5)=1,1,IF(INDEX([1]Pivot!$B$1:$AB$65000,$B1028,AL$5)="",2,0)),0)</f>
        <v>0</v>
      </c>
      <c r="AM1028" s="313">
        <f>IFERROR(IF(INDEX([1]Pivot!$BF$1:$CG$65000,$B1028,AM$5)=1,1,IF(INDEX([1]Pivot!$B$1:$AB$65000,$B1028,AM$5)="",2,0)),0)</f>
        <v>0</v>
      </c>
      <c r="AN1028" s="313">
        <f>IFERROR(IF(INDEX([1]Pivot!$BF$1:$CG$65000,$B1028,AN$5)=1,1,IF(INDEX([1]Pivot!$B$1:$AB$65000,$B1028,AN$5)="",2,0)),0)</f>
        <v>0</v>
      </c>
      <c r="AO1028" s="313">
        <f>IFERROR(IF(INDEX([1]Pivot!$BF$1:$CG$65000,$B1028,AO$5)=1,1,IF(INDEX([1]Pivot!$B$1:$AB$65000,$B1028,AO$5)="",2,0)),0)</f>
        <v>0</v>
      </c>
      <c r="AP1028" s="313">
        <f>IFERROR(IF(INDEX([1]Pivot!$BF$1:$CG$65000,$B1028,AP$5)=1,1,IF(INDEX([1]Pivot!$B$1:$AB$65000,$B1028,AP$5)="",2,0)),0)</f>
        <v>0</v>
      </c>
      <c r="AQ1028" s="313">
        <f>IFERROR(IF(INDEX([1]Pivot!$BF$1:$CG$65000,$B1028,AQ$5)=1,1,IF(INDEX([1]Pivot!$B$1:$AB$65000,$B1028,AQ$5)="",2,0)),0)</f>
        <v>0</v>
      </c>
      <c r="AR1028" s="313">
        <f>IFERROR(IF(INDEX([1]Pivot!$BF$1:$CG$65000,$B1028,AR$5)=1,1,IF(INDEX([1]Pivot!$B$1:$AB$65000,$B1028,AR$5)="",2,0)),0)</f>
        <v>0</v>
      </c>
      <c r="AS1028" s="312"/>
      <c r="AT1028" s="313">
        <f>IFERROR(IF(INDEX([1]Pivot!$BF$1:$CG$65000,$B1028,AT$5)=1,1,IF(INDEX([1]Pivot!$B$1:$AB$65000,$B1028,AT$5)="",2,0)),0)</f>
        <v>0</v>
      </c>
      <c r="AU1028" s="313">
        <f>IFERROR(IF(INDEX([1]Pivot!$BF$1:$CG$65000,$B1028,AU$5)=1,1,IF(INDEX([1]Pivot!$B$1:$AB$65000,$B1028,AU$5)="",2,0)),0)</f>
        <v>0</v>
      </c>
      <c r="AV1028" s="313">
        <f>IFERROR(IF(INDEX([1]Pivot!$BF$1:$CG$65000,$B1028,AV$5)=1,1,IF(INDEX([1]Pivot!$B$1:$AB$65000,$B1028,AV$5)="",2,0)),0)</f>
        <v>0</v>
      </c>
      <c r="AW1028" s="313">
        <f>IFERROR(IF(INDEX([1]Pivot!$BF$1:$CG$65000,$B1028,AW$5)=1,1,IF(INDEX([1]Pivot!$B$1:$AB$65000,$B1028,AW$5)="",2,0)),0)</f>
        <v>0</v>
      </c>
      <c r="AX1028" s="313">
        <f>IFERROR(IF(INDEX([1]Pivot!$BF$1:$CG$65000,$B1028,AX$5)=1,1,IF(INDEX([1]Pivot!$B$1:$AB$65000,$B1028,AX$5)="",2,0)),0)</f>
        <v>0</v>
      </c>
      <c r="AY1028" s="313">
        <f>IFERROR(IF(INDEX([1]Pivot!$BF$1:$CG$65000,$B1028,AY$5)=1,1,IF(INDEX([1]Pivot!$B$1:$AB$65000,$B1028,AY$5)="",2,0)),0)</f>
        <v>0</v>
      </c>
      <c r="AZ1028" s="313">
        <f>IFERROR(IF(INDEX([1]Pivot!$BF$1:$CG$65000,$B1028,AZ$5)=1,1,IF(INDEX([1]Pivot!$B$1:$AB$65000,$B1028,AZ$5)="",2,0)),0)</f>
        <v>0</v>
      </c>
      <c r="BA1028" s="313">
        <f>IFERROR(IF(INDEX([1]Pivot!$BF$1:$CG$65000,$B1028,BA$5)=1,1,IF(INDEX([1]Pivot!$B$1:$AB$65000,$B1028,BA$5)="",2,0)),0)</f>
        <v>0</v>
      </c>
      <c r="BB1028" s="313">
        <f>IFERROR(IF(INDEX([1]Pivot!$BF$1:$CG$65000,$B1028,BB$5)=1,1,IF(INDEX([1]Pivot!$B$1:$AB$65000,$B1028,BB$5)="",2,0)),0)</f>
        <v>0</v>
      </c>
      <c r="BC1028" s="313">
        <f>IFERROR(IF(INDEX([1]Pivot!$BF$1:$CG$65000,$B1028,BC$5)=1,1,IF(INDEX([1]Pivot!$B$1:$AB$65000,$B1028,BC$5)="",2,0)),0)</f>
        <v>0</v>
      </c>
      <c r="BD1028" s="313">
        <f>IFERROR(IF(INDEX([1]Pivot!$BF$1:$CG$65000,$B1028,BD$5)=1,1,IF(INDEX([1]Pivot!$B$1:$AB$65000,$B1028,BD$5)="",2,0)),0)</f>
        <v>0</v>
      </c>
    </row>
    <row r="1029" spans="1:56" x14ac:dyDescent="0.25">
      <c r="A1029" s="288">
        <f>'[2]Raw Milk Prices'!A1029</f>
        <v>0</v>
      </c>
      <c r="B1029" s="296" t="e">
        <f>MATCH(DATE(LEFT('[2]Raw Milk Prices'!$A1029,4),RIGHT('[2]Raw Milk Prices'!$A1029,2),1),[1]Pivot!$A$1:$A$65000,0)</f>
        <v>#VALUE!</v>
      </c>
      <c r="C1029" s="194">
        <f>IFERROR(IF(INDEX([1]Pivot!$AD$1:$BE$65000,$B1029,C$5)=1,1,IF(INDEX([1]Pivot!$B$1:$AB$65000,$B1029,C$5)="",2,0)),0)</f>
        <v>0</v>
      </c>
      <c r="D1029" s="194">
        <f>IFERROR(IF(INDEX([1]Pivot!$AD$1:$BE$65000,$B1029,D$5)=1,1,IF(INDEX([1]Pivot!$B$1:$AB$65000,$B1029,D$5)="",2,0)),0)</f>
        <v>0</v>
      </c>
      <c r="E1029" s="194">
        <f>IFERROR(IF(INDEX([1]Pivot!$AD$1:$BE$65000,$B1029,E$5)=1,1,IF(INDEX([1]Pivot!$B$1:$AB$65000,$B1029,E$5)="",2,0)),0)</f>
        <v>0</v>
      </c>
      <c r="F1029" s="194">
        <f>IFERROR(IF(INDEX([1]Pivot!$AD$1:$BE$65000,$B1029,F$5)=1,1,IF(INDEX([1]Pivot!$B$1:$AB$65000,$B1029,F$5)="",2,0)),0)</f>
        <v>0</v>
      </c>
      <c r="G1029" s="194">
        <f>IFERROR(IF(INDEX([1]Pivot!$AD$1:$BE$65000,$B1029,G$5)=1,1,IF(INDEX([1]Pivot!$B$1:$AB$65000,$B1029,G$5)="",2,0)),0)</f>
        <v>0</v>
      </c>
      <c r="H1029" s="194">
        <f>IFERROR(IF(INDEX([1]Pivot!$AD$1:$BE$65000,$B1029,H$5)=1,1,IF(INDEX([1]Pivot!$B$1:$AB$65000,$B1029,H$5)="",2,0)),0)</f>
        <v>0</v>
      </c>
      <c r="I1029" s="194">
        <f>IFERROR(IF(INDEX([1]Pivot!$AD$1:$BE$65000,$B1029,I$5)=1,1,IF(INDEX([1]Pivot!$B$1:$AB$65000,$B1029,I$5)="",2,0)),0)</f>
        <v>0</v>
      </c>
      <c r="J1029" s="194">
        <f>IFERROR(IF(INDEX([1]Pivot!$AD$1:$BE$65000,$B1029,J$5)=1,1,IF(INDEX([1]Pivot!$B$1:$AB$65000,$B1029,J$5)="",2,0)),0)</f>
        <v>0</v>
      </c>
      <c r="K1029" s="194">
        <f>IFERROR(IF(INDEX([1]Pivot!$AD$1:$BE$65000,$B1029,K$5)=1,1,IF(INDEX([1]Pivot!$B$1:$AB$65000,$B1029,K$5)="",2,0)),0)</f>
        <v>0</v>
      </c>
      <c r="L1029" s="194">
        <f>IFERROR(IF(INDEX([1]Pivot!$AD$1:$BE$65000,$B1029,L$5)=1,1,IF(INDEX([1]Pivot!$B$1:$AB$65000,$B1029,L$5)="",2,0)),0)</f>
        <v>0</v>
      </c>
      <c r="M1029" s="194">
        <f>IFERROR(IF(INDEX([1]Pivot!$AD$1:$BE$65000,$B1029,M$5)=1,1,IF(INDEX([1]Pivot!$B$1:$AB$65000,$B1029,M$5)="",2,0)),0)</f>
        <v>0</v>
      </c>
      <c r="N1029" s="194">
        <f>IFERROR(IF(INDEX([1]Pivot!$AD$1:$BE$65000,$B1029,N$5)=1,1,IF(INDEX([1]Pivot!$B$1:$AB$65000,$B1029,N$5)="",2,0)),0)</f>
        <v>0</v>
      </c>
      <c r="O1029" s="194">
        <f>IFERROR(IF(INDEX([1]Pivot!$AD$1:$BE$65000,$B1029,O$5)=1,1,IF(INDEX([1]Pivot!$B$1:$AB$65000,$B1029,O$5)="",2,0)),0)</f>
        <v>0</v>
      </c>
      <c r="P1029" s="194">
        <f>IFERROR(IF(INDEX([1]Pivot!$AD$1:$BE$65000,$B1029,P$5)=1,1,IF(INDEX([1]Pivot!$B$1:$AB$65000,$B1029,P$5)="",2,0)),0)</f>
        <v>0</v>
      </c>
      <c r="Q1029" s="194">
        <f>IFERROR(IF(INDEX([1]Pivot!$AD$1:$BE$65000,$B1029,Q$5)=1,1,IF(INDEX([1]Pivot!$B$1:$AB$65000,$B1029,Q$5)="",2,0)),0)</f>
        <v>0</v>
      </c>
      <c r="R1029" s="312"/>
      <c r="S1029" s="194">
        <f>IFERROR(IF(INDEX([1]Pivot!$AD$1:$BE$65000,$B1029,S$5)=1,1,IF(INDEX([1]Pivot!$B$1:$AB$65000,$B1029,S$5)="",2,0)),0)</f>
        <v>0</v>
      </c>
      <c r="T1029" s="194">
        <f>IFERROR(IF(INDEX([1]Pivot!$AD$1:$BE$65000,$B1029,T$5)=1,1,IF(INDEX([1]Pivot!$B$1:$AB$65000,$B1029,T$5)="",2,0)),0)</f>
        <v>0</v>
      </c>
      <c r="U1029" s="194">
        <f>IFERROR(IF(INDEX([1]Pivot!$AD$1:$BE$65000,$B1029,U$5)=1,1,IF(INDEX([1]Pivot!$B$1:$AB$65000,$B1029,U$5)="",2,0)),0)</f>
        <v>0</v>
      </c>
      <c r="V1029" s="194">
        <f>IFERROR(IF(INDEX([1]Pivot!$AD$1:$BE$65000,$B1029,V$5)=1,1,IF(INDEX([1]Pivot!$B$1:$AB$65000,$B1029,V$5)="",2,0)),0)</f>
        <v>0</v>
      </c>
      <c r="W1029" s="194">
        <f>IFERROR(IF(INDEX([1]Pivot!$AD$1:$BE$65000,$B1029,W$5)=1,1,IF(INDEX([1]Pivot!$B$1:$AB$65000,$B1029,W$5)="",2,0)),0)</f>
        <v>0</v>
      </c>
      <c r="X1029" s="194">
        <f>IFERROR(IF(INDEX([1]Pivot!$AD$1:$BE$65000,$B1029,X$5)=1,1,IF(INDEX([1]Pivot!$B$1:$AB$65000,$B1029,X$5)="",2,0)),0)</f>
        <v>0</v>
      </c>
      <c r="Y1029" s="194">
        <f>IFERROR(IF(INDEX([1]Pivot!$AD$1:$BE$65000,$B1029,Y$5)=1,1,IF(INDEX([1]Pivot!$B$1:$AB$65000,$B1029,Y$5)="",2,0)),0)</f>
        <v>0</v>
      </c>
      <c r="Z1029" s="194">
        <f>IFERROR(IF(INDEX([1]Pivot!$AD$1:$BE$65000,$B1029,Z$5)=1,1,IF(INDEX([1]Pivot!$B$1:$AB$65000,$B1029,Z$5)="",2,0)),0)</f>
        <v>0</v>
      </c>
      <c r="AA1029" s="194">
        <f>IFERROR(IF(INDEX([1]Pivot!$AD$1:$BE$65000,$B1029,AA$5)=1,1,IF(INDEX([1]Pivot!$B$1:$AB$65000,$B1029,AA$5)="",2,0)),0)</f>
        <v>0</v>
      </c>
      <c r="AB1029" s="194">
        <f>IFERROR(IF(INDEX([1]Pivot!$AD$1:$BE$65000,$B1029,AB$5)=1,1,IF(INDEX([1]Pivot!$B$1:$AB$65000,$B1029,AB$5)="",2,0)),0)</f>
        <v>0</v>
      </c>
      <c r="AC1029" s="194">
        <f>IFERROR(IF(INDEX([1]Pivot!$AD$1:$BE$65000,$B1029,AC$5)=1,1,IF(INDEX([1]Pivot!$B$1:$AB$65000,$B1029,AC$5)="",2,0)),0)</f>
        <v>0</v>
      </c>
      <c r="AD1029" s="313">
        <f>IFERROR(IF(INDEX([1]Pivot!$BF$1:$CG$65000,$B1029,AD$5)=1,1,IF(INDEX([1]Pivot!$B$1:$AB$65000,$B1029,AD$5)="",2,0)),0)</f>
        <v>0</v>
      </c>
      <c r="AE1029" s="313">
        <f>IFERROR(IF(INDEX([1]Pivot!$BF$1:$CG$65000,$B1029,AE$5)=1,1,IF(INDEX([1]Pivot!$B$1:$AB$65000,$B1029,AE$5)="",2,0)),0)</f>
        <v>0</v>
      </c>
      <c r="AF1029" s="313">
        <f>IFERROR(IF(INDEX([1]Pivot!$BF$1:$CG$65000,$B1029,AF$5)=1,1,IF(INDEX([1]Pivot!$B$1:$AB$65000,$B1029,AF$5)="",2,0)),0)</f>
        <v>0</v>
      </c>
      <c r="AG1029" s="313">
        <f>IFERROR(IF(INDEX([1]Pivot!$BF$1:$CG$65000,$B1029,AG$5)=1,1,IF(INDEX([1]Pivot!$B$1:$AB$65000,$B1029,AG$5)="",2,0)),0)</f>
        <v>0</v>
      </c>
      <c r="AH1029" s="313">
        <f>IFERROR(IF(INDEX([1]Pivot!$BF$1:$CG$65000,$B1029,AH$5)=1,1,IF(INDEX([1]Pivot!$B$1:$AB$65000,$B1029,AH$5)="",2,0)),0)</f>
        <v>0</v>
      </c>
      <c r="AI1029" s="313">
        <f>IFERROR(IF(INDEX([1]Pivot!$BF$1:$CG$65000,$B1029,AI$5)=1,1,IF(INDEX([1]Pivot!$B$1:$AB$65000,$B1029,AI$5)="",2,0)),0)</f>
        <v>0</v>
      </c>
      <c r="AJ1029" s="313">
        <f>IFERROR(IF(INDEX([1]Pivot!$BF$1:$CG$65000,$B1029,AJ$5)=1,1,IF(INDEX([1]Pivot!$B$1:$AB$65000,$B1029,AJ$5)="",2,0)),0)</f>
        <v>0</v>
      </c>
      <c r="AK1029" s="313">
        <f>IFERROR(IF(INDEX([1]Pivot!$BF$1:$CG$65000,$B1029,AK$5)=1,1,IF(INDEX([1]Pivot!$B$1:$AB$65000,$B1029,AK$5)="",2,0)),0)</f>
        <v>0</v>
      </c>
      <c r="AL1029" s="313">
        <f>IFERROR(IF(INDEX([1]Pivot!$BF$1:$CG$65000,$B1029,AL$5)=1,1,IF(INDEX([1]Pivot!$B$1:$AB$65000,$B1029,AL$5)="",2,0)),0)</f>
        <v>0</v>
      </c>
      <c r="AM1029" s="313">
        <f>IFERROR(IF(INDEX([1]Pivot!$BF$1:$CG$65000,$B1029,AM$5)=1,1,IF(INDEX([1]Pivot!$B$1:$AB$65000,$B1029,AM$5)="",2,0)),0)</f>
        <v>0</v>
      </c>
      <c r="AN1029" s="313">
        <f>IFERROR(IF(INDEX([1]Pivot!$BF$1:$CG$65000,$B1029,AN$5)=1,1,IF(INDEX([1]Pivot!$B$1:$AB$65000,$B1029,AN$5)="",2,0)),0)</f>
        <v>0</v>
      </c>
      <c r="AO1029" s="313">
        <f>IFERROR(IF(INDEX([1]Pivot!$BF$1:$CG$65000,$B1029,AO$5)=1,1,IF(INDEX([1]Pivot!$B$1:$AB$65000,$B1029,AO$5)="",2,0)),0)</f>
        <v>0</v>
      </c>
      <c r="AP1029" s="313">
        <f>IFERROR(IF(INDEX([1]Pivot!$BF$1:$CG$65000,$B1029,AP$5)=1,1,IF(INDEX([1]Pivot!$B$1:$AB$65000,$B1029,AP$5)="",2,0)),0)</f>
        <v>0</v>
      </c>
      <c r="AQ1029" s="313">
        <f>IFERROR(IF(INDEX([1]Pivot!$BF$1:$CG$65000,$B1029,AQ$5)=1,1,IF(INDEX([1]Pivot!$B$1:$AB$65000,$B1029,AQ$5)="",2,0)),0)</f>
        <v>0</v>
      </c>
      <c r="AR1029" s="313">
        <f>IFERROR(IF(INDEX([1]Pivot!$BF$1:$CG$65000,$B1029,AR$5)=1,1,IF(INDEX([1]Pivot!$B$1:$AB$65000,$B1029,AR$5)="",2,0)),0)</f>
        <v>0</v>
      </c>
      <c r="AS1029" s="312"/>
      <c r="AT1029" s="313">
        <f>IFERROR(IF(INDEX([1]Pivot!$BF$1:$CG$65000,$B1029,AT$5)=1,1,IF(INDEX([1]Pivot!$B$1:$AB$65000,$B1029,AT$5)="",2,0)),0)</f>
        <v>0</v>
      </c>
      <c r="AU1029" s="313">
        <f>IFERROR(IF(INDEX([1]Pivot!$BF$1:$CG$65000,$B1029,AU$5)=1,1,IF(INDEX([1]Pivot!$B$1:$AB$65000,$B1029,AU$5)="",2,0)),0)</f>
        <v>0</v>
      </c>
      <c r="AV1029" s="313">
        <f>IFERROR(IF(INDEX([1]Pivot!$BF$1:$CG$65000,$B1029,AV$5)=1,1,IF(INDEX([1]Pivot!$B$1:$AB$65000,$B1029,AV$5)="",2,0)),0)</f>
        <v>0</v>
      </c>
      <c r="AW1029" s="313">
        <f>IFERROR(IF(INDEX([1]Pivot!$BF$1:$CG$65000,$B1029,AW$5)=1,1,IF(INDEX([1]Pivot!$B$1:$AB$65000,$B1029,AW$5)="",2,0)),0)</f>
        <v>0</v>
      </c>
      <c r="AX1029" s="313">
        <f>IFERROR(IF(INDEX([1]Pivot!$BF$1:$CG$65000,$B1029,AX$5)=1,1,IF(INDEX([1]Pivot!$B$1:$AB$65000,$B1029,AX$5)="",2,0)),0)</f>
        <v>0</v>
      </c>
      <c r="AY1029" s="313">
        <f>IFERROR(IF(INDEX([1]Pivot!$BF$1:$CG$65000,$B1029,AY$5)=1,1,IF(INDEX([1]Pivot!$B$1:$AB$65000,$B1029,AY$5)="",2,0)),0)</f>
        <v>0</v>
      </c>
      <c r="AZ1029" s="313">
        <f>IFERROR(IF(INDEX([1]Pivot!$BF$1:$CG$65000,$B1029,AZ$5)=1,1,IF(INDEX([1]Pivot!$B$1:$AB$65000,$B1029,AZ$5)="",2,0)),0)</f>
        <v>0</v>
      </c>
      <c r="BA1029" s="313">
        <f>IFERROR(IF(INDEX([1]Pivot!$BF$1:$CG$65000,$B1029,BA$5)=1,1,IF(INDEX([1]Pivot!$B$1:$AB$65000,$B1029,BA$5)="",2,0)),0)</f>
        <v>0</v>
      </c>
      <c r="BB1029" s="313">
        <f>IFERROR(IF(INDEX([1]Pivot!$BF$1:$CG$65000,$B1029,BB$5)=1,1,IF(INDEX([1]Pivot!$B$1:$AB$65000,$B1029,BB$5)="",2,0)),0)</f>
        <v>0</v>
      </c>
      <c r="BC1029" s="313">
        <f>IFERROR(IF(INDEX([1]Pivot!$BF$1:$CG$65000,$B1029,BC$5)=1,1,IF(INDEX([1]Pivot!$B$1:$AB$65000,$B1029,BC$5)="",2,0)),0)</f>
        <v>0</v>
      </c>
      <c r="BD1029" s="313">
        <f>IFERROR(IF(INDEX([1]Pivot!$BF$1:$CG$65000,$B1029,BD$5)=1,1,IF(INDEX([1]Pivot!$B$1:$AB$65000,$B1029,BD$5)="",2,0)),0)</f>
        <v>0</v>
      </c>
    </row>
    <row r="1030" spans="1:56" x14ac:dyDescent="0.25">
      <c r="A1030" s="288">
        <f>'[2]Raw Milk Prices'!A1030</f>
        <v>0</v>
      </c>
      <c r="B1030" s="296" t="e">
        <f>MATCH(DATE(LEFT('[2]Raw Milk Prices'!$A1030,4),RIGHT('[2]Raw Milk Prices'!$A1030,2),1),[1]Pivot!$A$1:$A$65000,0)</f>
        <v>#VALUE!</v>
      </c>
      <c r="C1030" s="194">
        <f>IFERROR(IF(INDEX([1]Pivot!$AD$1:$BE$65000,$B1030,C$5)=1,1,IF(INDEX([1]Pivot!$B$1:$AB$65000,$B1030,C$5)="",2,0)),0)</f>
        <v>0</v>
      </c>
      <c r="D1030" s="194">
        <f>IFERROR(IF(INDEX([1]Pivot!$AD$1:$BE$65000,$B1030,D$5)=1,1,IF(INDEX([1]Pivot!$B$1:$AB$65000,$B1030,D$5)="",2,0)),0)</f>
        <v>0</v>
      </c>
      <c r="E1030" s="194">
        <f>IFERROR(IF(INDEX([1]Pivot!$AD$1:$BE$65000,$B1030,E$5)=1,1,IF(INDEX([1]Pivot!$B$1:$AB$65000,$B1030,E$5)="",2,0)),0)</f>
        <v>0</v>
      </c>
      <c r="F1030" s="194">
        <f>IFERROR(IF(INDEX([1]Pivot!$AD$1:$BE$65000,$B1030,F$5)=1,1,IF(INDEX([1]Pivot!$B$1:$AB$65000,$B1030,F$5)="",2,0)),0)</f>
        <v>0</v>
      </c>
      <c r="G1030" s="194">
        <f>IFERROR(IF(INDEX([1]Pivot!$AD$1:$BE$65000,$B1030,G$5)=1,1,IF(INDEX([1]Pivot!$B$1:$AB$65000,$B1030,G$5)="",2,0)),0)</f>
        <v>0</v>
      </c>
      <c r="H1030" s="194">
        <f>IFERROR(IF(INDEX([1]Pivot!$AD$1:$BE$65000,$B1030,H$5)=1,1,IF(INDEX([1]Pivot!$B$1:$AB$65000,$B1030,H$5)="",2,0)),0)</f>
        <v>0</v>
      </c>
      <c r="I1030" s="194">
        <f>IFERROR(IF(INDEX([1]Pivot!$AD$1:$BE$65000,$B1030,I$5)=1,1,IF(INDEX([1]Pivot!$B$1:$AB$65000,$B1030,I$5)="",2,0)),0)</f>
        <v>0</v>
      </c>
      <c r="J1030" s="194">
        <f>IFERROR(IF(INDEX([1]Pivot!$AD$1:$BE$65000,$B1030,J$5)=1,1,IF(INDEX([1]Pivot!$B$1:$AB$65000,$B1030,J$5)="",2,0)),0)</f>
        <v>0</v>
      </c>
      <c r="K1030" s="194">
        <f>IFERROR(IF(INDEX([1]Pivot!$AD$1:$BE$65000,$B1030,K$5)=1,1,IF(INDEX([1]Pivot!$B$1:$AB$65000,$B1030,K$5)="",2,0)),0)</f>
        <v>0</v>
      </c>
      <c r="L1030" s="194">
        <f>IFERROR(IF(INDEX([1]Pivot!$AD$1:$BE$65000,$B1030,L$5)=1,1,IF(INDEX([1]Pivot!$B$1:$AB$65000,$B1030,L$5)="",2,0)),0)</f>
        <v>0</v>
      </c>
      <c r="M1030" s="194">
        <f>IFERROR(IF(INDEX([1]Pivot!$AD$1:$BE$65000,$B1030,M$5)=1,1,IF(INDEX([1]Pivot!$B$1:$AB$65000,$B1030,M$5)="",2,0)),0)</f>
        <v>0</v>
      </c>
      <c r="N1030" s="194">
        <f>IFERROR(IF(INDEX([1]Pivot!$AD$1:$BE$65000,$B1030,N$5)=1,1,IF(INDEX([1]Pivot!$B$1:$AB$65000,$B1030,N$5)="",2,0)),0)</f>
        <v>0</v>
      </c>
      <c r="O1030" s="194">
        <f>IFERROR(IF(INDEX([1]Pivot!$AD$1:$BE$65000,$B1030,O$5)=1,1,IF(INDEX([1]Pivot!$B$1:$AB$65000,$B1030,O$5)="",2,0)),0)</f>
        <v>0</v>
      </c>
      <c r="P1030" s="194">
        <f>IFERROR(IF(INDEX([1]Pivot!$AD$1:$BE$65000,$B1030,P$5)=1,1,IF(INDEX([1]Pivot!$B$1:$AB$65000,$B1030,P$5)="",2,0)),0)</f>
        <v>0</v>
      </c>
      <c r="Q1030" s="194">
        <f>IFERROR(IF(INDEX([1]Pivot!$AD$1:$BE$65000,$B1030,Q$5)=1,1,IF(INDEX([1]Pivot!$B$1:$AB$65000,$B1030,Q$5)="",2,0)),0)</f>
        <v>0</v>
      </c>
      <c r="R1030" s="312"/>
      <c r="S1030" s="194">
        <f>IFERROR(IF(INDEX([1]Pivot!$AD$1:$BE$65000,$B1030,S$5)=1,1,IF(INDEX([1]Pivot!$B$1:$AB$65000,$B1030,S$5)="",2,0)),0)</f>
        <v>0</v>
      </c>
      <c r="T1030" s="194">
        <f>IFERROR(IF(INDEX([1]Pivot!$AD$1:$BE$65000,$B1030,T$5)=1,1,IF(INDEX([1]Pivot!$B$1:$AB$65000,$B1030,T$5)="",2,0)),0)</f>
        <v>0</v>
      </c>
      <c r="U1030" s="194">
        <f>IFERROR(IF(INDEX([1]Pivot!$AD$1:$BE$65000,$B1030,U$5)=1,1,IF(INDEX([1]Pivot!$B$1:$AB$65000,$B1030,U$5)="",2,0)),0)</f>
        <v>0</v>
      </c>
      <c r="V1030" s="194">
        <f>IFERROR(IF(INDEX([1]Pivot!$AD$1:$BE$65000,$B1030,V$5)=1,1,IF(INDEX([1]Pivot!$B$1:$AB$65000,$B1030,V$5)="",2,0)),0)</f>
        <v>0</v>
      </c>
      <c r="W1030" s="194">
        <f>IFERROR(IF(INDEX([1]Pivot!$AD$1:$BE$65000,$B1030,W$5)=1,1,IF(INDEX([1]Pivot!$B$1:$AB$65000,$B1030,W$5)="",2,0)),0)</f>
        <v>0</v>
      </c>
      <c r="X1030" s="194">
        <f>IFERROR(IF(INDEX([1]Pivot!$AD$1:$BE$65000,$B1030,X$5)=1,1,IF(INDEX([1]Pivot!$B$1:$AB$65000,$B1030,X$5)="",2,0)),0)</f>
        <v>0</v>
      </c>
      <c r="Y1030" s="194">
        <f>IFERROR(IF(INDEX([1]Pivot!$AD$1:$BE$65000,$B1030,Y$5)=1,1,IF(INDEX([1]Pivot!$B$1:$AB$65000,$B1030,Y$5)="",2,0)),0)</f>
        <v>0</v>
      </c>
      <c r="Z1030" s="194">
        <f>IFERROR(IF(INDEX([1]Pivot!$AD$1:$BE$65000,$B1030,Z$5)=1,1,IF(INDEX([1]Pivot!$B$1:$AB$65000,$B1030,Z$5)="",2,0)),0)</f>
        <v>0</v>
      </c>
      <c r="AA1030" s="194">
        <f>IFERROR(IF(INDEX([1]Pivot!$AD$1:$BE$65000,$B1030,AA$5)=1,1,IF(INDEX([1]Pivot!$B$1:$AB$65000,$B1030,AA$5)="",2,0)),0)</f>
        <v>0</v>
      </c>
      <c r="AB1030" s="194">
        <f>IFERROR(IF(INDEX([1]Pivot!$AD$1:$BE$65000,$B1030,AB$5)=1,1,IF(INDEX([1]Pivot!$B$1:$AB$65000,$B1030,AB$5)="",2,0)),0)</f>
        <v>0</v>
      </c>
      <c r="AC1030" s="194">
        <f>IFERROR(IF(INDEX([1]Pivot!$AD$1:$BE$65000,$B1030,AC$5)=1,1,IF(INDEX([1]Pivot!$B$1:$AB$65000,$B1030,AC$5)="",2,0)),0)</f>
        <v>0</v>
      </c>
      <c r="AD1030" s="313">
        <f>IFERROR(IF(INDEX([1]Pivot!$BF$1:$CG$65000,$B1030,AD$5)=1,1,IF(INDEX([1]Pivot!$B$1:$AB$65000,$B1030,AD$5)="",2,0)),0)</f>
        <v>0</v>
      </c>
      <c r="AE1030" s="313">
        <f>IFERROR(IF(INDEX([1]Pivot!$BF$1:$CG$65000,$B1030,AE$5)=1,1,IF(INDEX([1]Pivot!$B$1:$AB$65000,$B1030,AE$5)="",2,0)),0)</f>
        <v>0</v>
      </c>
      <c r="AF1030" s="313">
        <f>IFERROR(IF(INDEX([1]Pivot!$BF$1:$CG$65000,$B1030,AF$5)=1,1,IF(INDEX([1]Pivot!$B$1:$AB$65000,$B1030,AF$5)="",2,0)),0)</f>
        <v>0</v>
      </c>
      <c r="AG1030" s="313">
        <f>IFERROR(IF(INDEX([1]Pivot!$BF$1:$CG$65000,$B1030,AG$5)=1,1,IF(INDEX([1]Pivot!$B$1:$AB$65000,$B1030,AG$5)="",2,0)),0)</f>
        <v>0</v>
      </c>
      <c r="AH1030" s="313">
        <f>IFERROR(IF(INDEX([1]Pivot!$BF$1:$CG$65000,$B1030,AH$5)=1,1,IF(INDEX([1]Pivot!$B$1:$AB$65000,$B1030,AH$5)="",2,0)),0)</f>
        <v>0</v>
      </c>
      <c r="AI1030" s="313">
        <f>IFERROR(IF(INDEX([1]Pivot!$BF$1:$CG$65000,$B1030,AI$5)=1,1,IF(INDEX([1]Pivot!$B$1:$AB$65000,$B1030,AI$5)="",2,0)),0)</f>
        <v>0</v>
      </c>
      <c r="AJ1030" s="313">
        <f>IFERROR(IF(INDEX([1]Pivot!$BF$1:$CG$65000,$B1030,AJ$5)=1,1,IF(INDEX([1]Pivot!$B$1:$AB$65000,$B1030,AJ$5)="",2,0)),0)</f>
        <v>0</v>
      </c>
      <c r="AK1030" s="313">
        <f>IFERROR(IF(INDEX([1]Pivot!$BF$1:$CG$65000,$B1030,AK$5)=1,1,IF(INDEX([1]Pivot!$B$1:$AB$65000,$B1030,AK$5)="",2,0)),0)</f>
        <v>0</v>
      </c>
      <c r="AL1030" s="313">
        <f>IFERROR(IF(INDEX([1]Pivot!$BF$1:$CG$65000,$B1030,AL$5)=1,1,IF(INDEX([1]Pivot!$B$1:$AB$65000,$B1030,AL$5)="",2,0)),0)</f>
        <v>0</v>
      </c>
      <c r="AM1030" s="313">
        <f>IFERROR(IF(INDEX([1]Pivot!$BF$1:$CG$65000,$B1030,AM$5)=1,1,IF(INDEX([1]Pivot!$B$1:$AB$65000,$B1030,AM$5)="",2,0)),0)</f>
        <v>0</v>
      </c>
      <c r="AN1030" s="313">
        <f>IFERROR(IF(INDEX([1]Pivot!$BF$1:$CG$65000,$B1030,AN$5)=1,1,IF(INDEX([1]Pivot!$B$1:$AB$65000,$B1030,AN$5)="",2,0)),0)</f>
        <v>0</v>
      </c>
      <c r="AO1030" s="313">
        <f>IFERROR(IF(INDEX([1]Pivot!$BF$1:$CG$65000,$B1030,AO$5)=1,1,IF(INDEX([1]Pivot!$B$1:$AB$65000,$B1030,AO$5)="",2,0)),0)</f>
        <v>0</v>
      </c>
      <c r="AP1030" s="313">
        <f>IFERROR(IF(INDEX([1]Pivot!$BF$1:$CG$65000,$B1030,AP$5)=1,1,IF(INDEX([1]Pivot!$B$1:$AB$65000,$B1030,AP$5)="",2,0)),0)</f>
        <v>0</v>
      </c>
      <c r="AQ1030" s="313">
        <f>IFERROR(IF(INDEX([1]Pivot!$BF$1:$CG$65000,$B1030,AQ$5)=1,1,IF(INDEX([1]Pivot!$B$1:$AB$65000,$B1030,AQ$5)="",2,0)),0)</f>
        <v>0</v>
      </c>
      <c r="AR1030" s="313">
        <f>IFERROR(IF(INDEX([1]Pivot!$BF$1:$CG$65000,$B1030,AR$5)=1,1,IF(INDEX([1]Pivot!$B$1:$AB$65000,$B1030,AR$5)="",2,0)),0)</f>
        <v>0</v>
      </c>
      <c r="AS1030" s="312"/>
      <c r="AT1030" s="313">
        <f>IFERROR(IF(INDEX([1]Pivot!$BF$1:$CG$65000,$B1030,AT$5)=1,1,IF(INDEX([1]Pivot!$B$1:$AB$65000,$B1030,AT$5)="",2,0)),0)</f>
        <v>0</v>
      </c>
      <c r="AU1030" s="313">
        <f>IFERROR(IF(INDEX([1]Pivot!$BF$1:$CG$65000,$B1030,AU$5)=1,1,IF(INDEX([1]Pivot!$B$1:$AB$65000,$B1030,AU$5)="",2,0)),0)</f>
        <v>0</v>
      </c>
      <c r="AV1030" s="313">
        <f>IFERROR(IF(INDEX([1]Pivot!$BF$1:$CG$65000,$B1030,AV$5)=1,1,IF(INDEX([1]Pivot!$B$1:$AB$65000,$B1030,AV$5)="",2,0)),0)</f>
        <v>0</v>
      </c>
      <c r="AW1030" s="313">
        <f>IFERROR(IF(INDEX([1]Pivot!$BF$1:$CG$65000,$B1030,AW$5)=1,1,IF(INDEX([1]Pivot!$B$1:$AB$65000,$B1030,AW$5)="",2,0)),0)</f>
        <v>0</v>
      </c>
      <c r="AX1030" s="313">
        <f>IFERROR(IF(INDEX([1]Pivot!$BF$1:$CG$65000,$B1030,AX$5)=1,1,IF(INDEX([1]Pivot!$B$1:$AB$65000,$B1030,AX$5)="",2,0)),0)</f>
        <v>0</v>
      </c>
      <c r="AY1030" s="313">
        <f>IFERROR(IF(INDEX([1]Pivot!$BF$1:$CG$65000,$B1030,AY$5)=1,1,IF(INDEX([1]Pivot!$B$1:$AB$65000,$B1030,AY$5)="",2,0)),0)</f>
        <v>0</v>
      </c>
      <c r="AZ1030" s="313">
        <f>IFERROR(IF(INDEX([1]Pivot!$BF$1:$CG$65000,$B1030,AZ$5)=1,1,IF(INDEX([1]Pivot!$B$1:$AB$65000,$B1030,AZ$5)="",2,0)),0)</f>
        <v>0</v>
      </c>
      <c r="BA1030" s="313">
        <f>IFERROR(IF(INDEX([1]Pivot!$BF$1:$CG$65000,$B1030,BA$5)=1,1,IF(INDEX([1]Pivot!$B$1:$AB$65000,$B1030,BA$5)="",2,0)),0)</f>
        <v>0</v>
      </c>
      <c r="BB1030" s="313">
        <f>IFERROR(IF(INDEX([1]Pivot!$BF$1:$CG$65000,$B1030,BB$5)=1,1,IF(INDEX([1]Pivot!$B$1:$AB$65000,$B1030,BB$5)="",2,0)),0)</f>
        <v>0</v>
      </c>
      <c r="BC1030" s="313">
        <f>IFERROR(IF(INDEX([1]Pivot!$BF$1:$CG$65000,$B1030,BC$5)=1,1,IF(INDEX([1]Pivot!$B$1:$AB$65000,$B1030,BC$5)="",2,0)),0)</f>
        <v>0</v>
      </c>
      <c r="BD1030" s="313">
        <f>IFERROR(IF(INDEX([1]Pivot!$BF$1:$CG$65000,$B1030,BD$5)=1,1,IF(INDEX([1]Pivot!$B$1:$AB$65000,$B1030,BD$5)="",2,0)),0)</f>
        <v>0</v>
      </c>
    </row>
    <row r="1031" spans="1:56" x14ac:dyDescent="0.25">
      <c r="A1031" s="288">
        <f>'[2]Raw Milk Prices'!A1031</f>
        <v>0</v>
      </c>
      <c r="B1031" s="296" t="e">
        <f>MATCH(DATE(LEFT('[2]Raw Milk Prices'!$A1031,4),RIGHT('[2]Raw Milk Prices'!$A1031,2),1),[1]Pivot!$A$1:$A$65000,0)</f>
        <v>#VALUE!</v>
      </c>
      <c r="C1031" s="194">
        <f>IFERROR(IF(INDEX([1]Pivot!$AD$1:$BE$65000,$B1031,C$5)=1,1,IF(INDEX([1]Pivot!$B$1:$AB$65000,$B1031,C$5)="",2,0)),0)</f>
        <v>0</v>
      </c>
      <c r="D1031" s="194">
        <f>IFERROR(IF(INDEX([1]Pivot!$AD$1:$BE$65000,$B1031,D$5)=1,1,IF(INDEX([1]Pivot!$B$1:$AB$65000,$B1031,D$5)="",2,0)),0)</f>
        <v>0</v>
      </c>
      <c r="E1031" s="194">
        <f>IFERROR(IF(INDEX([1]Pivot!$AD$1:$BE$65000,$B1031,E$5)=1,1,IF(INDEX([1]Pivot!$B$1:$AB$65000,$B1031,E$5)="",2,0)),0)</f>
        <v>0</v>
      </c>
      <c r="F1031" s="194">
        <f>IFERROR(IF(INDEX([1]Pivot!$AD$1:$BE$65000,$B1031,F$5)=1,1,IF(INDEX([1]Pivot!$B$1:$AB$65000,$B1031,F$5)="",2,0)),0)</f>
        <v>0</v>
      </c>
      <c r="G1031" s="194">
        <f>IFERROR(IF(INDEX([1]Pivot!$AD$1:$BE$65000,$B1031,G$5)=1,1,IF(INDEX([1]Pivot!$B$1:$AB$65000,$B1031,G$5)="",2,0)),0)</f>
        <v>0</v>
      </c>
      <c r="H1031" s="194">
        <f>IFERROR(IF(INDEX([1]Pivot!$AD$1:$BE$65000,$B1031,H$5)=1,1,IF(INDEX([1]Pivot!$B$1:$AB$65000,$B1031,H$5)="",2,0)),0)</f>
        <v>0</v>
      </c>
      <c r="I1031" s="194">
        <f>IFERROR(IF(INDEX([1]Pivot!$AD$1:$BE$65000,$B1031,I$5)=1,1,IF(INDEX([1]Pivot!$B$1:$AB$65000,$B1031,I$5)="",2,0)),0)</f>
        <v>0</v>
      </c>
      <c r="J1031" s="194">
        <f>IFERROR(IF(INDEX([1]Pivot!$AD$1:$BE$65000,$B1031,J$5)=1,1,IF(INDEX([1]Pivot!$B$1:$AB$65000,$B1031,J$5)="",2,0)),0)</f>
        <v>0</v>
      </c>
      <c r="K1031" s="194">
        <f>IFERROR(IF(INDEX([1]Pivot!$AD$1:$BE$65000,$B1031,K$5)=1,1,IF(INDEX([1]Pivot!$B$1:$AB$65000,$B1031,K$5)="",2,0)),0)</f>
        <v>0</v>
      </c>
      <c r="L1031" s="194">
        <f>IFERROR(IF(INDEX([1]Pivot!$AD$1:$BE$65000,$B1031,L$5)=1,1,IF(INDEX([1]Pivot!$B$1:$AB$65000,$B1031,L$5)="",2,0)),0)</f>
        <v>0</v>
      </c>
      <c r="M1031" s="194">
        <f>IFERROR(IF(INDEX([1]Pivot!$AD$1:$BE$65000,$B1031,M$5)=1,1,IF(INDEX([1]Pivot!$B$1:$AB$65000,$B1031,M$5)="",2,0)),0)</f>
        <v>0</v>
      </c>
      <c r="N1031" s="194">
        <f>IFERROR(IF(INDEX([1]Pivot!$AD$1:$BE$65000,$B1031,N$5)=1,1,IF(INDEX([1]Pivot!$B$1:$AB$65000,$B1031,N$5)="",2,0)),0)</f>
        <v>0</v>
      </c>
      <c r="O1031" s="194">
        <f>IFERROR(IF(INDEX([1]Pivot!$AD$1:$BE$65000,$B1031,O$5)=1,1,IF(INDEX([1]Pivot!$B$1:$AB$65000,$B1031,O$5)="",2,0)),0)</f>
        <v>0</v>
      </c>
      <c r="P1031" s="194">
        <f>IFERROR(IF(INDEX([1]Pivot!$AD$1:$BE$65000,$B1031,P$5)=1,1,IF(INDEX([1]Pivot!$B$1:$AB$65000,$B1031,P$5)="",2,0)),0)</f>
        <v>0</v>
      </c>
      <c r="Q1031" s="194">
        <f>IFERROR(IF(INDEX([1]Pivot!$AD$1:$BE$65000,$B1031,Q$5)=1,1,IF(INDEX([1]Pivot!$B$1:$AB$65000,$B1031,Q$5)="",2,0)),0)</f>
        <v>0</v>
      </c>
      <c r="R1031" s="312"/>
      <c r="S1031" s="194">
        <f>IFERROR(IF(INDEX([1]Pivot!$AD$1:$BE$65000,$B1031,S$5)=1,1,IF(INDEX([1]Pivot!$B$1:$AB$65000,$B1031,S$5)="",2,0)),0)</f>
        <v>0</v>
      </c>
      <c r="T1031" s="194">
        <f>IFERROR(IF(INDEX([1]Pivot!$AD$1:$BE$65000,$B1031,T$5)=1,1,IF(INDEX([1]Pivot!$B$1:$AB$65000,$B1031,T$5)="",2,0)),0)</f>
        <v>0</v>
      </c>
      <c r="U1031" s="194">
        <f>IFERROR(IF(INDEX([1]Pivot!$AD$1:$BE$65000,$B1031,U$5)=1,1,IF(INDEX([1]Pivot!$B$1:$AB$65000,$B1031,U$5)="",2,0)),0)</f>
        <v>0</v>
      </c>
      <c r="V1031" s="194">
        <f>IFERROR(IF(INDEX([1]Pivot!$AD$1:$BE$65000,$B1031,V$5)=1,1,IF(INDEX([1]Pivot!$B$1:$AB$65000,$B1031,V$5)="",2,0)),0)</f>
        <v>0</v>
      </c>
      <c r="W1031" s="194">
        <f>IFERROR(IF(INDEX([1]Pivot!$AD$1:$BE$65000,$B1031,W$5)=1,1,IF(INDEX([1]Pivot!$B$1:$AB$65000,$B1031,W$5)="",2,0)),0)</f>
        <v>0</v>
      </c>
      <c r="X1031" s="194">
        <f>IFERROR(IF(INDEX([1]Pivot!$AD$1:$BE$65000,$B1031,X$5)=1,1,IF(INDEX([1]Pivot!$B$1:$AB$65000,$B1031,X$5)="",2,0)),0)</f>
        <v>0</v>
      </c>
      <c r="Y1031" s="194">
        <f>IFERROR(IF(INDEX([1]Pivot!$AD$1:$BE$65000,$B1031,Y$5)=1,1,IF(INDEX([1]Pivot!$B$1:$AB$65000,$B1031,Y$5)="",2,0)),0)</f>
        <v>0</v>
      </c>
      <c r="Z1031" s="194">
        <f>IFERROR(IF(INDEX([1]Pivot!$AD$1:$BE$65000,$B1031,Z$5)=1,1,IF(INDEX([1]Pivot!$B$1:$AB$65000,$B1031,Z$5)="",2,0)),0)</f>
        <v>0</v>
      </c>
      <c r="AA1031" s="194">
        <f>IFERROR(IF(INDEX([1]Pivot!$AD$1:$BE$65000,$B1031,AA$5)=1,1,IF(INDEX([1]Pivot!$B$1:$AB$65000,$B1031,AA$5)="",2,0)),0)</f>
        <v>0</v>
      </c>
      <c r="AB1031" s="194">
        <f>IFERROR(IF(INDEX([1]Pivot!$AD$1:$BE$65000,$B1031,AB$5)=1,1,IF(INDEX([1]Pivot!$B$1:$AB$65000,$B1031,AB$5)="",2,0)),0)</f>
        <v>0</v>
      </c>
      <c r="AC1031" s="194">
        <f>IFERROR(IF(INDEX([1]Pivot!$AD$1:$BE$65000,$B1031,AC$5)=1,1,IF(INDEX([1]Pivot!$B$1:$AB$65000,$B1031,AC$5)="",2,0)),0)</f>
        <v>0</v>
      </c>
      <c r="AD1031" s="313">
        <f>IFERROR(IF(INDEX([1]Pivot!$BF$1:$CG$65000,$B1031,AD$5)=1,1,IF(INDEX([1]Pivot!$B$1:$AB$65000,$B1031,AD$5)="",2,0)),0)</f>
        <v>0</v>
      </c>
      <c r="AE1031" s="313">
        <f>IFERROR(IF(INDEX([1]Pivot!$BF$1:$CG$65000,$B1031,AE$5)=1,1,IF(INDEX([1]Pivot!$B$1:$AB$65000,$B1031,AE$5)="",2,0)),0)</f>
        <v>0</v>
      </c>
      <c r="AF1031" s="313">
        <f>IFERROR(IF(INDEX([1]Pivot!$BF$1:$CG$65000,$B1031,AF$5)=1,1,IF(INDEX([1]Pivot!$B$1:$AB$65000,$B1031,AF$5)="",2,0)),0)</f>
        <v>0</v>
      </c>
      <c r="AG1031" s="313">
        <f>IFERROR(IF(INDEX([1]Pivot!$BF$1:$CG$65000,$B1031,AG$5)=1,1,IF(INDEX([1]Pivot!$B$1:$AB$65000,$B1031,AG$5)="",2,0)),0)</f>
        <v>0</v>
      </c>
      <c r="AH1031" s="313">
        <f>IFERROR(IF(INDEX([1]Pivot!$BF$1:$CG$65000,$B1031,AH$5)=1,1,IF(INDEX([1]Pivot!$B$1:$AB$65000,$B1031,AH$5)="",2,0)),0)</f>
        <v>0</v>
      </c>
      <c r="AI1031" s="313">
        <f>IFERROR(IF(INDEX([1]Pivot!$BF$1:$CG$65000,$B1031,AI$5)=1,1,IF(INDEX([1]Pivot!$B$1:$AB$65000,$B1031,AI$5)="",2,0)),0)</f>
        <v>0</v>
      </c>
      <c r="AJ1031" s="313">
        <f>IFERROR(IF(INDEX([1]Pivot!$BF$1:$CG$65000,$B1031,AJ$5)=1,1,IF(INDEX([1]Pivot!$B$1:$AB$65000,$B1031,AJ$5)="",2,0)),0)</f>
        <v>0</v>
      </c>
      <c r="AK1031" s="313">
        <f>IFERROR(IF(INDEX([1]Pivot!$BF$1:$CG$65000,$B1031,AK$5)=1,1,IF(INDEX([1]Pivot!$B$1:$AB$65000,$B1031,AK$5)="",2,0)),0)</f>
        <v>0</v>
      </c>
      <c r="AL1031" s="313">
        <f>IFERROR(IF(INDEX([1]Pivot!$BF$1:$CG$65000,$B1031,AL$5)=1,1,IF(INDEX([1]Pivot!$B$1:$AB$65000,$B1031,AL$5)="",2,0)),0)</f>
        <v>0</v>
      </c>
      <c r="AM1031" s="313">
        <f>IFERROR(IF(INDEX([1]Pivot!$BF$1:$CG$65000,$B1031,AM$5)=1,1,IF(INDEX([1]Pivot!$B$1:$AB$65000,$B1031,AM$5)="",2,0)),0)</f>
        <v>0</v>
      </c>
      <c r="AN1031" s="313">
        <f>IFERROR(IF(INDEX([1]Pivot!$BF$1:$CG$65000,$B1031,AN$5)=1,1,IF(INDEX([1]Pivot!$B$1:$AB$65000,$B1031,AN$5)="",2,0)),0)</f>
        <v>0</v>
      </c>
      <c r="AO1031" s="313">
        <f>IFERROR(IF(INDEX([1]Pivot!$BF$1:$CG$65000,$B1031,AO$5)=1,1,IF(INDEX([1]Pivot!$B$1:$AB$65000,$B1031,AO$5)="",2,0)),0)</f>
        <v>0</v>
      </c>
      <c r="AP1031" s="313">
        <f>IFERROR(IF(INDEX([1]Pivot!$BF$1:$CG$65000,$B1031,AP$5)=1,1,IF(INDEX([1]Pivot!$B$1:$AB$65000,$B1031,AP$5)="",2,0)),0)</f>
        <v>0</v>
      </c>
      <c r="AQ1031" s="313">
        <f>IFERROR(IF(INDEX([1]Pivot!$BF$1:$CG$65000,$B1031,AQ$5)=1,1,IF(INDEX([1]Pivot!$B$1:$AB$65000,$B1031,AQ$5)="",2,0)),0)</f>
        <v>0</v>
      </c>
      <c r="AR1031" s="313">
        <f>IFERROR(IF(INDEX([1]Pivot!$BF$1:$CG$65000,$B1031,AR$5)=1,1,IF(INDEX([1]Pivot!$B$1:$AB$65000,$B1031,AR$5)="",2,0)),0)</f>
        <v>0</v>
      </c>
      <c r="AS1031" s="312"/>
      <c r="AT1031" s="313">
        <f>IFERROR(IF(INDEX([1]Pivot!$BF$1:$CG$65000,$B1031,AT$5)=1,1,IF(INDEX([1]Pivot!$B$1:$AB$65000,$B1031,AT$5)="",2,0)),0)</f>
        <v>0</v>
      </c>
      <c r="AU1031" s="313">
        <f>IFERROR(IF(INDEX([1]Pivot!$BF$1:$CG$65000,$B1031,AU$5)=1,1,IF(INDEX([1]Pivot!$B$1:$AB$65000,$B1031,AU$5)="",2,0)),0)</f>
        <v>0</v>
      </c>
      <c r="AV1031" s="313">
        <f>IFERROR(IF(INDEX([1]Pivot!$BF$1:$CG$65000,$B1031,AV$5)=1,1,IF(INDEX([1]Pivot!$B$1:$AB$65000,$B1031,AV$5)="",2,0)),0)</f>
        <v>0</v>
      </c>
      <c r="AW1031" s="313">
        <f>IFERROR(IF(INDEX([1]Pivot!$BF$1:$CG$65000,$B1031,AW$5)=1,1,IF(INDEX([1]Pivot!$B$1:$AB$65000,$B1031,AW$5)="",2,0)),0)</f>
        <v>0</v>
      </c>
      <c r="AX1031" s="313">
        <f>IFERROR(IF(INDEX([1]Pivot!$BF$1:$CG$65000,$B1031,AX$5)=1,1,IF(INDEX([1]Pivot!$B$1:$AB$65000,$B1031,AX$5)="",2,0)),0)</f>
        <v>0</v>
      </c>
      <c r="AY1031" s="313">
        <f>IFERROR(IF(INDEX([1]Pivot!$BF$1:$CG$65000,$B1031,AY$5)=1,1,IF(INDEX([1]Pivot!$B$1:$AB$65000,$B1031,AY$5)="",2,0)),0)</f>
        <v>0</v>
      </c>
      <c r="AZ1031" s="313">
        <f>IFERROR(IF(INDEX([1]Pivot!$BF$1:$CG$65000,$B1031,AZ$5)=1,1,IF(INDEX([1]Pivot!$B$1:$AB$65000,$B1031,AZ$5)="",2,0)),0)</f>
        <v>0</v>
      </c>
      <c r="BA1031" s="313">
        <f>IFERROR(IF(INDEX([1]Pivot!$BF$1:$CG$65000,$B1031,BA$5)=1,1,IF(INDEX([1]Pivot!$B$1:$AB$65000,$B1031,BA$5)="",2,0)),0)</f>
        <v>0</v>
      </c>
      <c r="BB1031" s="313">
        <f>IFERROR(IF(INDEX([1]Pivot!$BF$1:$CG$65000,$B1031,BB$5)=1,1,IF(INDEX([1]Pivot!$B$1:$AB$65000,$B1031,BB$5)="",2,0)),0)</f>
        <v>0</v>
      </c>
      <c r="BC1031" s="313">
        <f>IFERROR(IF(INDEX([1]Pivot!$BF$1:$CG$65000,$B1031,BC$5)=1,1,IF(INDEX([1]Pivot!$B$1:$AB$65000,$B1031,BC$5)="",2,0)),0)</f>
        <v>0</v>
      </c>
      <c r="BD1031" s="313">
        <f>IFERROR(IF(INDEX([1]Pivot!$BF$1:$CG$65000,$B1031,BD$5)=1,1,IF(INDEX([1]Pivot!$B$1:$AB$65000,$B1031,BD$5)="",2,0)),0)</f>
        <v>0</v>
      </c>
    </row>
    <row r="1032" spans="1:56" x14ac:dyDescent="0.25">
      <c r="A1032" s="288">
        <f>'[2]Raw Milk Prices'!A1032</f>
        <v>0</v>
      </c>
      <c r="B1032" s="296" t="e">
        <f>MATCH(DATE(LEFT('[2]Raw Milk Prices'!$A1032,4),RIGHT('[2]Raw Milk Prices'!$A1032,2),1),[1]Pivot!$A$1:$A$65000,0)</f>
        <v>#VALUE!</v>
      </c>
      <c r="C1032" s="194">
        <f>IFERROR(IF(INDEX([1]Pivot!$AD$1:$BE$65000,$B1032,C$5)=1,1,IF(INDEX([1]Pivot!$B$1:$AB$65000,$B1032,C$5)="",2,0)),0)</f>
        <v>0</v>
      </c>
      <c r="D1032" s="194">
        <f>IFERROR(IF(INDEX([1]Pivot!$AD$1:$BE$65000,$B1032,D$5)=1,1,IF(INDEX([1]Pivot!$B$1:$AB$65000,$B1032,D$5)="",2,0)),0)</f>
        <v>0</v>
      </c>
      <c r="E1032" s="194">
        <f>IFERROR(IF(INDEX([1]Pivot!$AD$1:$BE$65000,$B1032,E$5)=1,1,IF(INDEX([1]Pivot!$B$1:$AB$65000,$B1032,E$5)="",2,0)),0)</f>
        <v>0</v>
      </c>
      <c r="F1032" s="194">
        <f>IFERROR(IF(INDEX([1]Pivot!$AD$1:$BE$65000,$B1032,F$5)=1,1,IF(INDEX([1]Pivot!$B$1:$AB$65000,$B1032,F$5)="",2,0)),0)</f>
        <v>0</v>
      </c>
      <c r="G1032" s="194">
        <f>IFERROR(IF(INDEX([1]Pivot!$AD$1:$BE$65000,$B1032,G$5)=1,1,IF(INDEX([1]Pivot!$B$1:$AB$65000,$B1032,G$5)="",2,0)),0)</f>
        <v>0</v>
      </c>
      <c r="H1032" s="194">
        <f>IFERROR(IF(INDEX([1]Pivot!$AD$1:$BE$65000,$B1032,H$5)=1,1,IF(INDEX([1]Pivot!$B$1:$AB$65000,$B1032,H$5)="",2,0)),0)</f>
        <v>0</v>
      </c>
      <c r="I1032" s="194">
        <f>IFERROR(IF(INDEX([1]Pivot!$AD$1:$BE$65000,$B1032,I$5)=1,1,IF(INDEX([1]Pivot!$B$1:$AB$65000,$B1032,I$5)="",2,0)),0)</f>
        <v>0</v>
      </c>
      <c r="J1032" s="194">
        <f>IFERROR(IF(INDEX([1]Pivot!$AD$1:$BE$65000,$B1032,J$5)=1,1,IF(INDEX([1]Pivot!$B$1:$AB$65000,$B1032,J$5)="",2,0)),0)</f>
        <v>0</v>
      </c>
      <c r="K1032" s="194">
        <f>IFERROR(IF(INDEX([1]Pivot!$AD$1:$BE$65000,$B1032,K$5)=1,1,IF(INDEX([1]Pivot!$B$1:$AB$65000,$B1032,K$5)="",2,0)),0)</f>
        <v>0</v>
      </c>
      <c r="L1032" s="194">
        <f>IFERROR(IF(INDEX([1]Pivot!$AD$1:$BE$65000,$B1032,L$5)=1,1,IF(INDEX([1]Pivot!$B$1:$AB$65000,$B1032,L$5)="",2,0)),0)</f>
        <v>0</v>
      </c>
      <c r="M1032" s="194">
        <f>IFERROR(IF(INDEX([1]Pivot!$AD$1:$BE$65000,$B1032,M$5)=1,1,IF(INDEX([1]Pivot!$B$1:$AB$65000,$B1032,M$5)="",2,0)),0)</f>
        <v>0</v>
      </c>
      <c r="N1032" s="194">
        <f>IFERROR(IF(INDEX([1]Pivot!$AD$1:$BE$65000,$B1032,N$5)=1,1,IF(INDEX([1]Pivot!$B$1:$AB$65000,$B1032,N$5)="",2,0)),0)</f>
        <v>0</v>
      </c>
      <c r="O1032" s="194">
        <f>IFERROR(IF(INDEX([1]Pivot!$AD$1:$BE$65000,$B1032,O$5)=1,1,IF(INDEX([1]Pivot!$B$1:$AB$65000,$B1032,O$5)="",2,0)),0)</f>
        <v>0</v>
      </c>
      <c r="P1032" s="194">
        <f>IFERROR(IF(INDEX([1]Pivot!$AD$1:$BE$65000,$B1032,P$5)=1,1,IF(INDEX([1]Pivot!$B$1:$AB$65000,$B1032,P$5)="",2,0)),0)</f>
        <v>0</v>
      </c>
      <c r="Q1032" s="194">
        <f>IFERROR(IF(INDEX([1]Pivot!$AD$1:$BE$65000,$B1032,Q$5)=1,1,IF(INDEX([1]Pivot!$B$1:$AB$65000,$B1032,Q$5)="",2,0)),0)</f>
        <v>0</v>
      </c>
      <c r="R1032" s="312"/>
      <c r="S1032" s="194">
        <f>IFERROR(IF(INDEX([1]Pivot!$AD$1:$BE$65000,$B1032,S$5)=1,1,IF(INDEX([1]Pivot!$B$1:$AB$65000,$B1032,S$5)="",2,0)),0)</f>
        <v>0</v>
      </c>
      <c r="T1032" s="194">
        <f>IFERROR(IF(INDEX([1]Pivot!$AD$1:$BE$65000,$B1032,T$5)=1,1,IF(INDEX([1]Pivot!$B$1:$AB$65000,$B1032,T$5)="",2,0)),0)</f>
        <v>0</v>
      </c>
      <c r="U1032" s="194">
        <f>IFERROR(IF(INDEX([1]Pivot!$AD$1:$BE$65000,$B1032,U$5)=1,1,IF(INDEX([1]Pivot!$B$1:$AB$65000,$B1032,U$5)="",2,0)),0)</f>
        <v>0</v>
      </c>
      <c r="V1032" s="194">
        <f>IFERROR(IF(INDEX([1]Pivot!$AD$1:$BE$65000,$B1032,V$5)=1,1,IF(INDEX([1]Pivot!$B$1:$AB$65000,$B1032,V$5)="",2,0)),0)</f>
        <v>0</v>
      </c>
      <c r="W1032" s="194">
        <f>IFERROR(IF(INDEX([1]Pivot!$AD$1:$BE$65000,$B1032,W$5)=1,1,IF(INDEX([1]Pivot!$B$1:$AB$65000,$B1032,W$5)="",2,0)),0)</f>
        <v>0</v>
      </c>
      <c r="X1032" s="194">
        <f>IFERROR(IF(INDEX([1]Pivot!$AD$1:$BE$65000,$B1032,X$5)=1,1,IF(INDEX([1]Pivot!$B$1:$AB$65000,$B1032,X$5)="",2,0)),0)</f>
        <v>0</v>
      </c>
      <c r="Y1032" s="194">
        <f>IFERROR(IF(INDEX([1]Pivot!$AD$1:$BE$65000,$B1032,Y$5)=1,1,IF(INDEX([1]Pivot!$B$1:$AB$65000,$B1032,Y$5)="",2,0)),0)</f>
        <v>0</v>
      </c>
      <c r="Z1032" s="194">
        <f>IFERROR(IF(INDEX([1]Pivot!$AD$1:$BE$65000,$B1032,Z$5)=1,1,IF(INDEX([1]Pivot!$B$1:$AB$65000,$B1032,Z$5)="",2,0)),0)</f>
        <v>0</v>
      </c>
      <c r="AA1032" s="194">
        <f>IFERROR(IF(INDEX([1]Pivot!$AD$1:$BE$65000,$B1032,AA$5)=1,1,IF(INDEX([1]Pivot!$B$1:$AB$65000,$B1032,AA$5)="",2,0)),0)</f>
        <v>0</v>
      </c>
      <c r="AB1032" s="194">
        <f>IFERROR(IF(INDEX([1]Pivot!$AD$1:$BE$65000,$B1032,AB$5)=1,1,IF(INDEX([1]Pivot!$B$1:$AB$65000,$B1032,AB$5)="",2,0)),0)</f>
        <v>0</v>
      </c>
      <c r="AC1032" s="194">
        <f>IFERROR(IF(INDEX([1]Pivot!$AD$1:$BE$65000,$B1032,AC$5)=1,1,IF(INDEX([1]Pivot!$B$1:$AB$65000,$B1032,AC$5)="",2,0)),0)</f>
        <v>0</v>
      </c>
      <c r="AD1032" s="313">
        <f>IFERROR(IF(INDEX([1]Pivot!$BF$1:$CG$65000,$B1032,AD$5)=1,1,IF(INDEX([1]Pivot!$B$1:$AB$65000,$B1032,AD$5)="",2,0)),0)</f>
        <v>0</v>
      </c>
      <c r="AE1032" s="313">
        <f>IFERROR(IF(INDEX([1]Pivot!$BF$1:$CG$65000,$B1032,AE$5)=1,1,IF(INDEX([1]Pivot!$B$1:$AB$65000,$B1032,AE$5)="",2,0)),0)</f>
        <v>0</v>
      </c>
      <c r="AF1032" s="313">
        <f>IFERROR(IF(INDEX([1]Pivot!$BF$1:$CG$65000,$B1032,AF$5)=1,1,IF(INDEX([1]Pivot!$B$1:$AB$65000,$B1032,AF$5)="",2,0)),0)</f>
        <v>0</v>
      </c>
      <c r="AG1032" s="313">
        <f>IFERROR(IF(INDEX([1]Pivot!$BF$1:$CG$65000,$B1032,AG$5)=1,1,IF(INDEX([1]Pivot!$B$1:$AB$65000,$B1032,AG$5)="",2,0)),0)</f>
        <v>0</v>
      </c>
      <c r="AH1032" s="313">
        <f>IFERROR(IF(INDEX([1]Pivot!$BF$1:$CG$65000,$B1032,AH$5)=1,1,IF(INDEX([1]Pivot!$B$1:$AB$65000,$B1032,AH$5)="",2,0)),0)</f>
        <v>0</v>
      </c>
      <c r="AI1032" s="313">
        <f>IFERROR(IF(INDEX([1]Pivot!$BF$1:$CG$65000,$B1032,AI$5)=1,1,IF(INDEX([1]Pivot!$B$1:$AB$65000,$B1032,AI$5)="",2,0)),0)</f>
        <v>0</v>
      </c>
      <c r="AJ1032" s="313">
        <f>IFERROR(IF(INDEX([1]Pivot!$BF$1:$CG$65000,$B1032,AJ$5)=1,1,IF(INDEX([1]Pivot!$B$1:$AB$65000,$B1032,AJ$5)="",2,0)),0)</f>
        <v>0</v>
      </c>
      <c r="AK1032" s="313">
        <f>IFERROR(IF(INDEX([1]Pivot!$BF$1:$CG$65000,$B1032,AK$5)=1,1,IF(INDEX([1]Pivot!$B$1:$AB$65000,$B1032,AK$5)="",2,0)),0)</f>
        <v>0</v>
      </c>
      <c r="AL1032" s="313">
        <f>IFERROR(IF(INDEX([1]Pivot!$BF$1:$CG$65000,$B1032,AL$5)=1,1,IF(INDEX([1]Pivot!$B$1:$AB$65000,$B1032,AL$5)="",2,0)),0)</f>
        <v>0</v>
      </c>
      <c r="AM1032" s="313">
        <f>IFERROR(IF(INDEX([1]Pivot!$BF$1:$CG$65000,$B1032,AM$5)=1,1,IF(INDEX([1]Pivot!$B$1:$AB$65000,$B1032,AM$5)="",2,0)),0)</f>
        <v>0</v>
      </c>
      <c r="AN1032" s="313">
        <f>IFERROR(IF(INDEX([1]Pivot!$BF$1:$CG$65000,$B1032,AN$5)=1,1,IF(INDEX([1]Pivot!$B$1:$AB$65000,$B1032,AN$5)="",2,0)),0)</f>
        <v>0</v>
      </c>
      <c r="AO1032" s="313">
        <f>IFERROR(IF(INDEX([1]Pivot!$BF$1:$CG$65000,$B1032,AO$5)=1,1,IF(INDEX([1]Pivot!$B$1:$AB$65000,$B1032,AO$5)="",2,0)),0)</f>
        <v>0</v>
      </c>
      <c r="AP1032" s="313">
        <f>IFERROR(IF(INDEX([1]Pivot!$BF$1:$CG$65000,$B1032,AP$5)=1,1,IF(INDEX([1]Pivot!$B$1:$AB$65000,$B1032,AP$5)="",2,0)),0)</f>
        <v>0</v>
      </c>
      <c r="AQ1032" s="313">
        <f>IFERROR(IF(INDEX([1]Pivot!$BF$1:$CG$65000,$B1032,AQ$5)=1,1,IF(INDEX([1]Pivot!$B$1:$AB$65000,$B1032,AQ$5)="",2,0)),0)</f>
        <v>0</v>
      </c>
      <c r="AR1032" s="313">
        <f>IFERROR(IF(INDEX([1]Pivot!$BF$1:$CG$65000,$B1032,AR$5)=1,1,IF(INDEX([1]Pivot!$B$1:$AB$65000,$B1032,AR$5)="",2,0)),0)</f>
        <v>0</v>
      </c>
      <c r="AS1032" s="312"/>
      <c r="AT1032" s="313">
        <f>IFERROR(IF(INDEX([1]Pivot!$BF$1:$CG$65000,$B1032,AT$5)=1,1,IF(INDEX([1]Pivot!$B$1:$AB$65000,$B1032,AT$5)="",2,0)),0)</f>
        <v>0</v>
      </c>
      <c r="AU1032" s="313">
        <f>IFERROR(IF(INDEX([1]Pivot!$BF$1:$CG$65000,$B1032,AU$5)=1,1,IF(INDEX([1]Pivot!$B$1:$AB$65000,$B1032,AU$5)="",2,0)),0)</f>
        <v>0</v>
      </c>
      <c r="AV1032" s="313">
        <f>IFERROR(IF(INDEX([1]Pivot!$BF$1:$CG$65000,$B1032,AV$5)=1,1,IF(INDEX([1]Pivot!$B$1:$AB$65000,$B1032,AV$5)="",2,0)),0)</f>
        <v>0</v>
      </c>
      <c r="AW1032" s="313">
        <f>IFERROR(IF(INDEX([1]Pivot!$BF$1:$CG$65000,$B1032,AW$5)=1,1,IF(INDEX([1]Pivot!$B$1:$AB$65000,$B1032,AW$5)="",2,0)),0)</f>
        <v>0</v>
      </c>
      <c r="AX1032" s="313">
        <f>IFERROR(IF(INDEX([1]Pivot!$BF$1:$CG$65000,$B1032,AX$5)=1,1,IF(INDEX([1]Pivot!$B$1:$AB$65000,$B1032,AX$5)="",2,0)),0)</f>
        <v>0</v>
      </c>
      <c r="AY1032" s="313">
        <f>IFERROR(IF(INDEX([1]Pivot!$BF$1:$CG$65000,$B1032,AY$5)=1,1,IF(INDEX([1]Pivot!$B$1:$AB$65000,$B1032,AY$5)="",2,0)),0)</f>
        <v>0</v>
      </c>
      <c r="AZ1032" s="313">
        <f>IFERROR(IF(INDEX([1]Pivot!$BF$1:$CG$65000,$B1032,AZ$5)=1,1,IF(INDEX([1]Pivot!$B$1:$AB$65000,$B1032,AZ$5)="",2,0)),0)</f>
        <v>0</v>
      </c>
      <c r="BA1032" s="313">
        <f>IFERROR(IF(INDEX([1]Pivot!$BF$1:$CG$65000,$B1032,BA$5)=1,1,IF(INDEX([1]Pivot!$B$1:$AB$65000,$B1032,BA$5)="",2,0)),0)</f>
        <v>0</v>
      </c>
      <c r="BB1032" s="313">
        <f>IFERROR(IF(INDEX([1]Pivot!$BF$1:$CG$65000,$B1032,BB$5)=1,1,IF(INDEX([1]Pivot!$B$1:$AB$65000,$B1032,BB$5)="",2,0)),0)</f>
        <v>0</v>
      </c>
      <c r="BC1032" s="313">
        <f>IFERROR(IF(INDEX([1]Pivot!$BF$1:$CG$65000,$B1032,BC$5)=1,1,IF(INDEX([1]Pivot!$B$1:$AB$65000,$B1032,BC$5)="",2,0)),0)</f>
        <v>0</v>
      </c>
      <c r="BD1032" s="313">
        <f>IFERROR(IF(INDEX([1]Pivot!$BF$1:$CG$65000,$B1032,BD$5)=1,1,IF(INDEX([1]Pivot!$B$1:$AB$65000,$B1032,BD$5)="",2,0)),0)</f>
        <v>0</v>
      </c>
    </row>
    <row r="1033" spans="1:56" x14ac:dyDescent="0.25">
      <c r="A1033" s="288">
        <f>'[2]Raw Milk Prices'!A1033</f>
        <v>0</v>
      </c>
      <c r="B1033" s="296" t="e">
        <f>MATCH(DATE(LEFT('[2]Raw Milk Prices'!$A1033,4),RIGHT('[2]Raw Milk Prices'!$A1033,2),1),[1]Pivot!$A$1:$A$65000,0)</f>
        <v>#VALUE!</v>
      </c>
      <c r="C1033" s="194">
        <f>IFERROR(IF(INDEX([1]Pivot!$AD$1:$BE$65000,$B1033,C$5)=1,1,IF(INDEX([1]Pivot!$B$1:$AB$65000,$B1033,C$5)="",2,0)),0)</f>
        <v>0</v>
      </c>
      <c r="D1033" s="194">
        <f>IFERROR(IF(INDEX([1]Pivot!$AD$1:$BE$65000,$B1033,D$5)=1,1,IF(INDEX([1]Pivot!$B$1:$AB$65000,$B1033,D$5)="",2,0)),0)</f>
        <v>0</v>
      </c>
      <c r="E1033" s="194">
        <f>IFERROR(IF(INDEX([1]Pivot!$AD$1:$BE$65000,$B1033,E$5)=1,1,IF(INDEX([1]Pivot!$B$1:$AB$65000,$B1033,E$5)="",2,0)),0)</f>
        <v>0</v>
      </c>
      <c r="F1033" s="194">
        <f>IFERROR(IF(INDEX([1]Pivot!$AD$1:$BE$65000,$B1033,F$5)=1,1,IF(INDEX([1]Pivot!$B$1:$AB$65000,$B1033,F$5)="",2,0)),0)</f>
        <v>0</v>
      </c>
      <c r="G1033" s="194">
        <f>IFERROR(IF(INDEX([1]Pivot!$AD$1:$BE$65000,$B1033,G$5)=1,1,IF(INDEX([1]Pivot!$B$1:$AB$65000,$B1033,G$5)="",2,0)),0)</f>
        <v>0</v>
      </c>
      <c r="H1033" s="194">
        <f>IFERROR(IF(INDEX([1]Pivot!$AD$1:$BE$65000,$B1033,H$5)=1,1,IF(INDEX([1]Pivot!$B$1:$AB$65000,$B1033,H$5)="",2,0)),0)</f>
        <v>0</v>
      </c>
      <c r="I1033" s="194">
        <f>IFERROR(IF(INDEX([1]Pivot!$AD$1:$BE$65000,$B1033,I$5)=1,1,IF(INDEX([1]Pivot!$B$1:$AB$65000,$B1033,I$5)="",2,0)),0)</f>
        <v>0</v>
      </c>
      <c r="J1033" s="194">
        <f>IFERROR(IF(INDEX([1]Pivot!$AD$1:$BE$65000,$B1033,J$5)=1,1,IF(INDEX([1]Pivot!$B$1:$AB$65000,$B1033,J$5)="",2,0)),0)</f>
        <v>0</v>
      </c>
      <c r="K1033" s="194">
        <f>IFERROR(IF(INDEX([1]Pivot!$AD$1:$BE$65000,$B1033,K$5)=1,1,IF(INDEX([1]Pivot!$B$1:$AB$65000,$B1033,K$5)="",2,0)),0)</f>
        <v>0</v>
      </c>
      <c r="L1033" s="194">
        <f>IFERROR(IF(INDEX([1]Pivot!$AD$1:$BE$65000,$B1033,L$5)=1,1,IF(INDEX([1]Pivot!$B$1:$AB$65000,$B1033,L$5)="",2,0)),0)</f>
        <v>0</v>
      </c>
      <c r="M1033" s="194">
        <f>IFERROR(IF(INDEX([1]Pivot!$AD$1:$BE$65000,$B1033,M$5)=1,1,IF(INDEX([1]Pivot!$B$1:$AB$65000,$B1033,M$5)="",2,0)),0)</f>
        <v>0</v>
      </c>
      <c r="N1033" s="194">
        <f>IFERROR(IF(INDEX([1]Pivot!$AD$1:$BE$65000,$B1033,N$5)=1,1,IF(INDEX([1]Pivot!$B$1:$AB$65000,$B1033,N$5)="",2,0)),0)</f>
        <v>0</v>
      </c>
      <c r="O1033" s="194">
        <f>IFERROR(IF(INDEX([1]Pivot!$AD$1:$BE$65000,$B1033,O$5)=1,1,IF(INDEX([1]Pivot!$B$1:$AB$65000,$B1033,O$5)="",2,0)),0)</f>
        <v>0</v>
      </c>
      <c r="P1033" s="194">
        <f>IFERROR(IF(INDEX([1]Pivot!$AD$1:$BE$65000,$B1033,P$5)=1,1,IF(INDEX([1]Pivot!$B$1:$AB$65000,$B1033,P$5)="",2,0)),0)</f>
        <v>0</v>
      </c>
      <c r="Q1033" s="194">
        <f>IFERROR(IF(INDEX([1]Pivot!$AD$1:$BE$65000,$B1033,Q$5)=1,1,IF(INDEX([1]Pivot!$B$1:$AB$65000,$B1033,Q$5)="",2,0)),0)</f>
        <v>0</v>
      </c>
      <c r="R1033" s="312"/>
      <c r="S1033" s="194">
        <f>IFERROR(IF(INDEX([1]Pivot!$AD$1:$BE$65000,$B1033,S$5)=1,1,IF(INDEX([1]Pivot!$B$1:$AB$65000,$B1033,S$5)="",2,0)),0)</f>
        <v>0</v>
      </c>
      <c r="T1033" s="194">
        <f>IFERROR(IF(INDEX([1]Pivot!$AD$1:$BE$65000,$B1033,T$5)=1,1,IF(INDEX([1]Pivot!$B$1:$AB$65000,$B1033,T$5)="",2,0)),0)</f>
        <v>0</v>
      </c>
      <c r="U1033" s="194">
        <f>IFERROR(IF(INDEX([1]Pivot!$AD$1:$BE$65000,$B1033,U$5)=1,1,IF(INDEX([1]Pivot!$B$1:$AB$65000,$B1033,U$5)="",2,0)),0)</f>
        <v>0</v>
      </c>
      <c r="V1033" s="194">
        <f>IFERROR(IF(INDEX([1]Pivot!$AD$1:$BE$65000,$B1033,V$5)=1,1,IF(INDEX([1]Pivot!$B$1:$AB$65000,$B1033,V$5)="",2,0)),0)</f>
        <v>0</v>
      </c>
      <c r="W1033" s="194">
        <f>IFERROR(IF(INDEX([1]Pivot!$AD$1:$BE$65000,$B1033,W$5)=1,1,IF(INDEX([1]Pivot!$B$1:$AB$65000,$B1033,W$5)="",2,0)),0)</f>
        <v>0</v>
      </c>
      <c r="X1033" s="194">
        <f>IFERROR(IF(INDEX([1]Pivot!$AD$1:$BE$65000,$B1033,X$5)=1,1,IF(INDEX([1]Pivot!$B$1:$AB$65000,$B1033,X$5)="",2,0)),0)</f>
        <v>0</v>
      </c>
      <c r="Y1033" s="194">
        <f>IFERROR(IF(INDEX([1]Pivot!$AD$1:$BE$65000,$B1033,Y$5)=1,1,IF(INDEX([1]Pivot!$B$1:$AB$65000,$B1033,Y$5)="",2,0)),0)</f>
        <v>0</v>
      </c>
      <c r="Z1033" s="194">
        <f>IFERROR(IF(INDEX([1]Pivot!$AD$1:$BE$65000,$B1033,Z$5)=1,1,IF(INDEX([1]Pivot!$B$1:$AB$65000,$B1033,Z$5)="",2,0)),0)</f>
        <v>0</v>
      </c>
      <c r="AA1033" s="194">
        <f>IFERROR(IF(INDEX([1]Pivot!$AD$1:$BE$65000,$B1033,AA$5)=1,1,IF(INDEX([1]Pivot!$B$1:$AB$65000,$B1033,AA$5)="",2,0)),0)</f>
        <v>0</v>
      </c>
      <c r="AB1033" s="194">
        <f>IFERROR(IF(INDEX([1]Pivot!$AD$1:$BE$65000,$B1033,AB$5)=1,1,IF(INDEX([1]Pivot!$B$1:$AB$65000,$B1033,AB$5)="",2,0)),0)</f>
        <v>0</v>
      </c>
      <c r="AC1033" s="194">
        <f>IFERROR(IF(INDEX([1]Pivot!$AD$1:$BE$65000,$B1033,AC$5)=1,1,IF(INDEX([1]Pivot!$B$1:$AB$65000,$B1033,AC$5)="",2,0)),0)</f>
        <v>0</v>
      </c>
      <c r="AD1033" s="313">
        <f>IFERROR(IF(INDEX([1]Pivot!$BF$1:$CG$65000,$B1033,AD$5)=1,1,IF(INDEX([1]Pivot!$B$1:$AB$65000,$B1033,AD$5)="",2,0)),0)</f>
        <v>0</v>
      </c>
      <c r="AE1033" s="313">
        <f>IFERROR(IF(INDEX([1]Pivot!$BF$1:$CG$65000,$B1033,AE$5)=1,1,IF(INDEX([1]Pivot!$B$1:$AB$65000,$B1033,AE$5)="",2,0)),0)</f>
        <v>0</v>
      </c>
      <c r="AF1033" s="313">
        <f>IFERROR(IF(INDEX([1]Pivot!$BF$1:$CG$65000,$B1033,AF$5)=1,1,IF(INDEX([1]Pivot!$B$1:$AB$65000,$B1033,AF$5)="",2,0)),0)</f>
        <v>0</v>
      </c>
      <c r="AG1033" s="313">
        <f>IFERROR(IF(INDEX([1]Pivot!$BF$1:$CG$65000,$B1033,AG$5)=1,1,IF(INDEX([1]Pivot!$B$1:$AB$65000,$B1033,AG$5)="",2,0)),0)</f>
        <v>0</v>
      </c>
      <c r="AH1033" s="313">
        <f>IFERROR(IF(INDEX([1]Pivot!$BF$1:$CG$65000,$B1033,AH$5)=1,1,IF(INDEX([1]Pivot!$B$1:$AB$65000,$B1033,AH$5)="",2,0)),0)</f>
        <v>0</v>
      </c>
      <c r="AI1033" s="313">
        <f>IFERROR(IF(INDEX([1]Pivot!$BF$1:$CG$65000,$B1033,AI$5)=1,1,IF(INDEX([1]Pivot!$B$1:$AB$65000,$B1033,AI$5)="",2,0)),0)</f>
        <v>0</v>
      </c>
      <c r="AJ1033" s="313">
        <f>IFERROR(IF(INDEX([1]Pivot!$BF$1:$CG$65000,$B1033,AJ$5)=1,1,IF(INDEX([1]Pivot!$B$1:$AB$65000,$B1033,AJ$5)="",2,0)),0)</f>
        <v>0</v>
      </c>
      <c r="AK1033" s="313">
        <f>IFERROR(IF(INDEX([1]Pivot!$BF$1:$CG$65000,$B1033,AK$5)=1,1,IF(INDEX([1]Pivot!$B$1:$AB$65000,$B1033,AK$5)="",2,0)),0)</f>
        <v>0</v>
      </c>
      <c r="AL1033" s="313">
        <f>IFERROR(IF(INDEX([1]Pivot!$BF$1:$CG$65000,$B1033,AL$5)=1,1,IF(INDEX([1]Pivot!$B$1:$AB$65000,$B1033,AL$5)="",2,0)),0)</f>
        <v>0</v>
      </c>
      <c r="AM1033" s="313">
        <f>IFERROR(IF(INDEX([1]Pivot!$BF$1:$CG$65000,$B1033,AM$5)=1,1,IF(INDEX([1]Pivot!$B$1:$AB$65000,$B1033,AM$5)="",2,0)),0)</f>
        <v>0</v>
      </c>
      <c r="AN1033" s="313">
        <f>IFERROR(IF(INDEX([1]Pivot!$BF$1:$CG$65000,$B1033,AN$5)=1,1,IF(INDEX([1]Pivot!$B$1:$AB$65000,$B1033,AN$5)="",2,0)),0)</f>
        <v>0</v>
      </c>
      <c r="AO1033" s="313">
        <f>IFERROR(IF(INDEX([1]Pivot!$BF$1:$CG$65000,$B1033,AO$5)=1,1,IF(INDEX([1]Pivot!$B$1:$AB$65000,$B1033,AO$5)="",2,0)),0)</f>
        <v>0</v>
      </c>
      <c r="AP1033" s="313">
        <f>IFERROR(IF(INDEX([1]Pivot!$BF$1:$CG$65000,$B1033,AP$5)=1,1,IF(INDEX([1]Pivot!$B$1:$AB$65000,$B1033,AP$5)="",2,0)),0)</f>
        <v>0</v>
      </c>
      <c r="AQ1033" s="313">
        <f>IFERROR(IF(INDEX([1]Pivot!$BF$1:$CG$65000,$B1033,AQ$5)=1,1,IF(INDEX([1]Pivot!$B$1:$AB$65000,$B1033,AQ$5)="",2,0)),0)</f>
        <v>0</v>
      </c>
      <c r="AR1033" s="313">
        <f>IFERROR(IF(INDEX([1]Pivot!$BF$1:$CG$65000,$B1033,AR$5)=1,1,IF(INDEX([1]Pivot!$B$1:$AB$65000,$B1033,AR$5)="",2,0)),0)</f>
        <v>0</v>
      </c>
      <c r="AS1033" s="312"/>
      <c r="AT1033" s="313">
        <f>IFERROR(IF(INDEX([1]Pivot!$BF$1:$CG$65000,$B1033,AT$5)=1,1,IF(INDEX([1]Pivot!$B$1:$AB$65000,$B1033,AT$5)="",2,0)),0)</f>
        <v>0</v>
      </c>
      <c r="AU1033" s="313">
        <f>IFERROR(IF(INDEX([1]Pivot!$BF$1:$CG$65000,$B1033,AU$5)=1,1,IF(INDEX([1]Pivot!$B$1:$AB$65000,$B1033,AU$5)="",2,0)),0)</f>
        <v>0</v>
      </c>
      <c r="AV1033" s="313">
        <f>IFERROR(IF(INDEX([1]Pivot!$BF$1:$CG$65000,$B1033,AV$5)=1,1,IF(INDEX([1]Pivot!$B$1:$AB$65000,$B1033,AV$5)="",2,0)),0)</f>
        <v>0</v>
      </c>
      <c r="AW1033" s="313">
        <f>IFERROR(IF(INDEX([1]Pivot!$BF$1:$CG$65000,$B1033,AW$5)=1,1,IF(INDEX([1]Pivot!$B$1:$AB$65000,$B1033,AW$5)="",2,0)),0)</f>
        <v>0</v>
      </c>
      <c r="AX1033" s="313">
        <f>IFERROR(IF(INDEX([1]Pivot!$BF$1:$CG$65000,$B1033,AX$5)=1,1,IF(INDEX([1]Pivot!$B$1:$AB$65000,$B1033,AX$5)="",2,0)),0)</f>
        <v>0</v>
      </c>
      <c r="AY1033" s="313">
        <f>IFERROR(IF(INDEX([1]Pivot!$BF$1:$CG$65000,$B1033,AY$5)=1,1,IF(INDEX([1]Pivot!$B$1:$AB$65000,$B1033,AY$5)="",2,0)),0)</f>
        <v>0</v>
      </c>
      <c r="AZ1033" s="313">
        <f>IFERROR(IF(INDEX([1]Pivot!$BF$1:$CG$65000,$B1033,AZ$5)=1,1,IF(INDEX([1]Pivot!$B$1:$AB$65000,$B1033,AZ$5)="",2,0)),0)</f>
        <v>0</v>
      </c>
      <c r="BA1033" s="313">
        <f>IFERROR(IF(INDEX([1]Pivot!$BF$1:$CG$65000,$B1033,BA$5)=1,1,IF(INDEX([1]Pivot!$B$1:$AB$65000,$B1033,BA$5)="",2,0)),0)</f>
        <v>0</v>
      </c>
      <c r="BB1033" s="313">
        <f>IFERROR(IF(INDEX([1]Pivot!$BF$1:$CG$65000,$B1033,BB$5)=1,1,IF(INDEX([1]Pivot!$B$1:$AB$65000,$B1033,BB$5)="",2,0)),0)</f>
        <v>0</v>
      </c>
      <c r="BC1033" s="313">
        <f>IFERROR(IF(INDEX([1]Pivot!$BF$1:$CG$65000,$B1033,BC$5)=1,1,IF(INDEX([1]Pivot!$B$1:$AB$65000,$B1033,BC$5)="",2,0)),0)</f>
        <v>0</v>
      </c>
      <c r="BD1033" s="313">
        <f>IFERROR(IF(INDEX([1]Pivot!$BF$1:$CG$65000,$B1033,BD$5)=1,1,IF(INDEX([1]Pivot!$B$1:$AB$65000,$B1033,BD$5)="",2,0)),0)</f>
        <v>0</v>
      </c>
    </row>
    <row r="1034" spans="1:56" x14ac:dyDescent="0.25">
      <c r="A1034" s="288">
        <f>'[2]Raw Milk Prices'!A1034</f>
        <v>0</v>
      </c>
      <c r="B1034" s="296" t="e">
        <f>MATCH(DATE(LEFT('[2]Raw Milk Prices'!$A1034,4),RIGHT('[2]Raw Milk Prices'!$A1034,2),1),[1]Pivot!$A$1:$A$65000,0)</f>
        <v>#VALUE!</v>
      </c>
      <c r="C1034" s="194">
        <f>IFERROR(IF(INDEX([1]Pivot!$AD$1:$BE$65000,$B1034,C$5)=1,1,IF(INDEX([1]Pivot!$B$1:$AB$65000,$B1034,C$5)="",2,0)),0)</f>
        <v>0</v>
      </c>
      <c r="D1034" s="194">
        <f>IFERROR(IF(INDEX([1]Pivot!$AD$1:$BE$65000,$B1034,D$5)=1,1,IF(INDEX([1]Pivot!$B$1:$AB$65000,$B1034,D$5)="",2,0)),0)</f>
        <v>0</v>
      </c>
      <c r="E1034" s="194">
        <f>IFERROR(IF(INDEX([1]Pivot!$AD$1:$BE$65000,$B1034,E$5)=1,1,IF(INDEX([1]Pivot!$B$1:$AB$65000,$B1034,E$5)="",2,0)),0)</f>
        <v>0</v>
      </c>
      <c r="F1034" s="194">
        <f>IFERROR(IF(INDEX([1]Pivot!$AD$1:$BE$65000,$B1034,F$5)=1,1,IF(INDEX([1]Pivot!$B$1:$AB$65000,$B1034,F$5)="",2,0)),0)</f>
        <v>0</v>
      </c>
      <c r="G1034" s="194">
        <f>IFERROR(IF(INDEX([1]Pivot!$AD$1:$BE$65000,$B1034,G$5)=1,1,IF(INDEX([1]Pivot!$B$1:$AB$65000,$B1034,G$5)="",2,0)),0)</f>
        <v>0</v>
      </c>
      <c r="H1034" s="194">
        <f>IFERROR(IF(INDEX([1]Pivot!$AD$1:$BE$65000,$B1034,H$5)=1,1,IF(INDEX([1]Pivot!$B$1:$AB$65000,$B1034,H$5)="",2,0)),0)</f>
        <v>0</v>
      </c>
      <c r="I1034" s="194">
        <f>IFERROR(IF(INDEX([1]Pivot!$AD$1:$BE$65000,$B1034,I$5)=1,1,IF(INDEX([1]Pivot!$B$1:$AB$65000,$B1034,I$5)="",2,0)),0)</f>
        <v>0</v>
      </c>
      <c r="J1034" s="194">
        <f>IFERROR(IF(INDEX([1]Pivot!$AD$1:$BE$65000,$B1034,J$5)=1,1,IF(INDEX([1]Pivot!$B$1:$AB$65000,$B1034,J$5)="",2,0)),0)</f>
        <v>0</v>
      </c>
      <c r="K1034" s="194">
        <f>IFERROR(IF(INDEX([1]Pivot!$AD$1:$BE$65000,$B1034,K$5)=1,1,IF(INDEX([1]Pivot!$B$1:$AB$65000,$B1034,K$5)="",2,0)),0)</f>
        <v>0</v>
      </c>
      <c r="L1034" s="194">
        <f>IFERROR(IF(INDEX([1]Pivot!$AD$1:$BE$65000,$B1034,L$5)=1,1,IF(INDEX([1]Pivot!$B$1:$AB$65000,$B1034,L$5)="",2,0)),0)</f>
        <v>0</v>
      </c>
      <c r="M1034" s="194">
        <f>IFERROR(IF(INDEX([1]Pivot!$AD$1:$BE$65000,$B1034,M$5)=1,1,IF(INDEX([1]Pivot!$B$1:$AB$65000,$B1034,M$5)="",2,0)),0)</f>
        <v>0</v>
      </c>
      <c r="N1034" s="194">
        <f>IFERROR(IF(INDEX([1]Pivot!$AD$1:$BE$65000,$B1034,N$5)=1,1,IF(INDEX([1]Pivot!$B$1:$AB$65000,$B1034,N$5)="",2,0)),0)</f>
        <v>0</v>
      </c>
      <c r="O1034" s="194">
        <f>IFERROR(IF(INDEX([1]Pivot!$AD$1:$BE$65000,$B1034,O$5)=1,1,IF(INDEX([1]Pivot!$B$1:$AB$65000,$B1034,O$5)="",2,0)),0)</f>
        <v>0</v>
      </c>
      <c r="P1034" s="194">
        <f>IFERROR(IF(INDEX([1]Pivot!$AD$1:$BE$65000,$B1034,P$5)=1,1,IF(INDEX([1]Pivot!$B$1:$AB$65000,$B1034,P$5)="",2,0)),0)</f>
        <v>0</v>
      </c>
      <c r="Q1034" s="194">
        <f>IFERROR(IF(INDEX([1]Pivot!$AD$1:$BE$65000,$B1034,Q$5)=1,1,IF(INDEX([1]Pivot!$B$1:$AB$65000,$B1034,Q$5)="",2,0)),0)</f>
        <v>0</v>
      </c>
      <c r="R1034" s="312"/>
      <c r="S1034" s="194">
        <f>IFERROR(IF(INDEX([1]Pivot!$AD$1:$BE$65000,$B1034,S$5)=1,1,IF(INDEX([1]Pivot!$B$1:$AB$65000,$B1034,S$5)="",2,0)),0)</f>
        <v>0</v>
      </c>
      <c r="T1034" s="194">
        <f>IFERROR(IF(INDEX([1]Pivot!$AD$1:$BE$65000,$B1034,T$5)=1,1,IF(INDEX([1]Pivot!$B$1:$AB$65000,$B1034,T$5)="",2,0)),0)</f>
        <v>0</v>
      </c>
      <c r="U1034" s="194">
        <f>IFERROR(IF(INDEX([1]Pivot!$AD$1:$BE$65000,$B1034,U$5)=1,1,IF(INDEX([1]Pivot!$B$1:$AB$65000,$B1034,U$5)="",2,0)),0)</f>
        <v>0</v>
      </c>
      <c r="V1034" s="194">
        <f>IFERROR(IF(INDEX([1]Pivot!$AD$1:$BE$65000,$B1034,V$5)=1,1,IF(INDEX([1]Pivot!$B$1:$AB$65000,$B1034,V$5)="",2,0)),0)</f>
        <v>0</v>
      </c>
      <c r="W1034" s="194">
        <f>IFERROR(IF(INDEX([1]Pivot!$AD$1:$BE$65000,$B1034,W$5)=1,1,IF(INDEX([1]Pivot!$B$1:$AB$65000,$B1034,W$5)="",2,0)),0)</f>
        <v>0</v>
      </c>
      <c r="X1034" s="194">
        <f>IFERROR(IF(INDEX([1]Pivot!$AD$1:$BE$65000,$B1034,X$5)=1,1,IF(INDEX([1]Pivot!$B$1:$AB$65000,$B1034,X$5)="",2,0)),0)</f>
        <v>0</v>
      </c>
      <c r="Y1034" s="194">
        <f>IFERROR(IF(INDEX([1]Pivot!$AD$1:$BE$65000,$B1034,Y$5)=1,1,IF(INDEX([1]Pivot!$B$1:$AB$65000,$B1034,Y$5)="",2,0)),0)</f>
        <v>0</v>
      </c>
      <c r="Z1034" s="194">
        <f>IFERROR(IF(INDEX([1]Pivot!$AD$1:$BE$65000,$B1034,Z$5)=1,1,IF(INDEX([1]Pivot!$B$1:$AB$65000,$B1034,Z$5)="",2,0)),0)</f>
        <v>0</v>
      </c>
      <c r="AA1034" s="194">
        <f>IFERROR(IF(INDEX([1]Pivot!$AD$1:$BE$65000,$B1034,AA$5)=1,1,IF(INDEX([1]Pivot!$B$1:$AB$65000,$B1034,AA$5)="",2,0)),0)</f>
        <v>0</v>
      </c>
      <c r="AB1034" s="194">
        <f>IFERROR(IF(INDEX([1]Pivot!$AD$1:$BE$65000,$B1034,AB$5)=1,1,IF(INDEX([1]Pivot!$B$1:$AB$65000,$B1034,AB$5)="",2,0)),0)</f>
        <v>0</v>
      </c>
      <c r="AC1034" s="194">
        <f>IFERROR(IF(INDEX([1]Pivot!$AD$1:$BE$65000,$B1034,AC$5)=1,1,IF(INDEX([1]Pivot!$B$1:$AB$65000,$B1034,AC$5)="",2,0)),0)</f>
        <v>0</v>
      </c>
      <c r="AD1034" s="313">
        <f>IFERROR(IF(INDEX([1]Pivot!$BF$1:$CG$65000,$B1034,AD$5)=1,1,IF(INDEX([1]Pivot!$B$1:$AB$65000,$B1034,AD$5)="",2,0)),0)</f>
        <v>0</v>
      </c>
      <c r="AE1034" s="313">
        <f>IFERROR(IF(INDEX([1]Pivot!$BF$1:$CG$65000,$B1034,AE$5)=1,1,IF(INDEX([1]Pivot!$B$1:$AB$65000,$B1034,AE$5)="",2,0)),0)</f>
        <v>0</v>
      </c>
      <c r="AF1034" s="313">
        <f>IFERROR(IF(INDEX([1]Pivot!$BF$1:$CG$65000,$B1034,AF$5)=1,1,IF(INDEX([1]Pivot!$B$1:$AB$65000,$B1034,AF$5)="",2,0)),0)</f>
        <v>0</v>
      </c>
      <c r="AG1034" s="313">
        <f>IFERROR(IF(INDEX([1]Pivot!$BF$1:$CG$65000,$B1034,AG$5)=1,1,IF(INDEX([1]Pivot!$B$1:$AB$65000,$B1034,AG$5)="",2,0)),0)</f>
        <v>0</v>
      </c>
      <c r="AH1034" s="313">
        <f>IFERROR(IF(INDEX([1]Pivot!$BF$1:$CG$65000,$B1034,AH$5)=1,1,IF(INDEX([1]Pivot!$B$1:$AB$65000,$B1034,AH$5)="",2,0)),0)</f>
        <v>0</v>
      </c>
      <c r="AI1034" s="313">
        <f>IFERROR(IF(INDEX([1]Pivot!$BF$1:$CG$65000,$B1034,AI$5)=1,1,IF(INDEX([1]Pivot!$B$1:$AB$65000,$B1034,AI$5)="",2,0)),0)</f>
        <v>0</v>
      </c>
      <c r="AJ1034" s="313">
        <f>IFERROR(IF(INDEX([1]Pivot!$BF$1:$CG$65000,$B1034,AJ$5)=1,1,IF(INDEX([1]Pivot!$B$1:$AB$65000,$B1034,AJ$5)="",2,0)),0)</f>
        <v>0</v>
      </c>
      <c r="AK1034" s="313">
        <f>IFERROR(IF(INDEX([1]Pivot!$BF$1:$CG$65000,$B1034,AK$5)=1,1,IF(INDEX([1]Pivot!$B$1:$AB$65000,$B1034,AK$5)="",2,0)),0)</f>
        <v>0</v>
      </c>
      <c r="AL1034" s="313">
        <f>IFERROR(IF(INDEX([1]Pivot!$BF$1:$CG$65000,$B1034,AL$5)=1,1,IF(INDEX([1]Pivot!$B$1:$AB$65000,$B1034,AL$5)="",2,0)),0)</f>
        <v>0</v>
      </c>
      <c r="AM1034" s="313">
        <f>IFERROR(IF(INDEX([1]Pivot!$BF$1:$CG$65000,$B1034,AM$5)=1,1,IF(INDEX([1]Pivot!$B$1:$AB$65000,$B1034,AM$5)="",2,0)),0)</f>
        <v>0</v>
      </c>
      <c r="AN1034" s="313">
        <f>IFERROR(IF(INDEX([1]Pivot!$BF$1:$CG$65000,$B1034,AN$5)=1,1,IF(INDEX([1]Pivot!$B$1:$AB$65000,$B1034,AN$5)="",2,0)),0)</f>
        <v>0</v>
      </c>
      <c r="AO1034" s="313">
        <f>IFERROR(IF(INDEX([1]Pivot!$BF$1:$CG$65000,$B1034,AO$5)=1,1,IF(INDEX([1]Pivot!$B$1:$AB$65000,$B1034,AO$5)="",2,0)),0)</f>
        <v>0</v>
      </c>
      <c r="AP1034" s="313">
        <f>IFERROR(IF(INDEX([1]Pivot!$BF$1:$CG$65000,$B1034,AP$5)=1,1,IF(INDEX([1]Pivot!$B$1:$AB$65000,$B1034,AP$5)="",2,0)),0)</f>
        <v>0</v>
      </c>
      <c r="AQ1034" s="313">
        <f>IFERROR(IF(INDEX([1]Pivot!$BF$1:$CG$65000,$B1034,AQ$5)=1,1,IF(INDEX([1]Pivot!$B$1:$AB$65000,$B1034,AQ$5)="",2,0)),0)</f>
        <v>0</v>
      </c>
      <c r="AR1034" s="313">
        <f>IFERROR(IF(INDEX([1]Pivot!$BF$1:$CG$65000,$B1034,AR$5)=1,1,IF(INDEX([1]Pivot!$B$1:$AB$65000,$B1034,AR$5)="",2,0)),0)</f>
        <v>0</v>
      </c>
      <c r="AS1034" s="312"/>
      <c r="AT1034" s="313">
        <f>IFERROR(IF(INDEX([1]Pivot!$BF$1:$CG$65000,$B1034,AT$5)=1,1,IF(INDEX([1]Pivot!$B$1:$AB$65000,$B1034,AT$5)="",2,0)),0)</f>
        <v>0</v>
      </c>
      <c r="AU1034" s="313">
        <f>IFERROR(IF(INDEX([1]Pivot!$BF$1:$CG$65000,$B1034,AU$5)=1,1,IF(INDEX([1]Pivot!$B$1:$AB$65000,$B1034,AU$5)="",2,0)),0)</f>
        <v>0</v>
      </c>
      <c r="AV1034" s="313">
        <f>IFERROR(IF(INDEX([1]Pivot!$BF$1:$CG$65000,$B1034,AV$5)=1,1,IF(INDEX([1]Pivot!$B$1:$AB$65000,$B1034,AV$5)="",2,0)),0)</f>
        <v>0</v>
      </c>
      <c r="AW1034" s="313">
        <f>IFERROR(IF(INDEX([1]Pivot!$BF$1:$CG$65000,$B1034,AW$5)=1,1,IF(INDEX([1]Pivot!$B$1:$AB$65000,$B1034,AW$5)="",2,0)),0)</f>
        <v>0</v>
      </c>
      <c r="AX1034" s="313">
        <f>IFERROR(IF(INDEX([1]Pivot!$BF$1:$CG$65000,$B1034,AX$5)=1,1,IF(INDEX([1]Pivot!$B$1:$AB$65000,$B1034,AX$5)="",2,0)),0)</f>
        <v>0</v>
      </c>
      <c r="AY1034" s="313">
        <f>IFERROR(IF(INDEX([1]Pivot!$BF$1:$CG$65000,$B1034,AY$5)=1,1,IF(INDEX([1]Pivot!$B$1:$AB$65000,$B1034,AY$5)="",2,0)),0)</f>
        <v>0</v>
      </c>
      <c r="AZ1034" s="313">
        <f>IFERROR(IF(INDEX([1]Pivot!$BF$1:$CG$65000,$B1034,AZ$5)=1,1,IF(INDEX([1]Pivot!$B$1:$AB$65000,$B1034,AZ$5)="",2,0)),0)</f>
        <v>0</v>
      </c>
      <c r="BA1034" s="313">
        <f>IFERROR(IF(INDEX([1]Pivot!$BF$1:$CG$65000,$B1034,BA$5)=1,1,IF(INDEX([1]Pivot!$B$1:$AB$65000,$B1034,BA$5)="",2,0)),0)</f>
        <v>0</v>
      </c>
      <c r="BB1034" s="313">
        <f>IFERROR(IF(INDEX([1]Pivot!$BF$1:$CG$65000,$B1034,BB$5)=1,1,IF(INDEX([1]Pivot!$B$1:$AB$65000,$B1034,BB$5)="",2,0)),0)</f>
        <v>0</v>
      </c>
      <c r="BC1034" s="313">
        <f>IFERROR(IF(INDEX([1]Pivot!$BF$1:$CG$65000,$B1034,BC$5)=1,1,IF(INDEX([1]Pivot!$B$1:$AB$65000,$B1034,BC$5)="",2,0)),0)</f>
        <v>0</v>
      </c>
      <c r="BD1034" s="313">
        <f>IFERROR(IF(INDEX([1]Pivot!$BF$1:$CG$65000,$B1034,BD$5)=1,1,IF(INDEX([1]Pivot!$B$1:$AB$65000,$B1034,BD$5)="",2,0)),0)</f>
        <v>0</v>
      </c>
    </row>
    <row r="1035" spans="1:56" x14ac:dyDescent="0.25">
      <c r="A1035" s="288">
        <f>'[2]Raw Milk Prices'!A1035</f>
        <v>0</v>
      </c>
      <c r="B1035" s="296" t="e">
        <f>MATCH(DATE(LEFT('[2]Raw Milk Prices'!$A1035,4),RIGHT('[2]Raw Milk Prices'!$A1035,2),1),[1]Pivot!$A$1:$A$65000,0)</f>
        <v>#VALUE!</v>
      </c>
      <c r="C1035" s="194">
        <f>IFERROR(IF(INDEX([1]Pivot!$AD$1:$BE$65000,$B1035,C$5)=1,1,IF(INDEX([1]Pivot!$B$1:$AB$65000,$B1035,C$5)="",2,0)),0)</f>
        <v>0</v>
      </c>
      <c r="D1035" s="194">
        <f>IFERROR(IF(INDEX([1]Pivot!$AD$1:$BE$65000,$B1035,D$5)=1,1,IF(INDEX([1]Pivot!$B$1:$AB$65000,$B1035,D$5)="",2,0)),0)</f>
        <v>0</v>
      </c>
      <c r="E1035" s="194">
        <f>IFERROR(IF(INDEX([1]Pivot!$AD$1:$BE$65000,$B1035,E$5)=1,1,IF(INDEX([1]Pivot!$B$1:$AB$65000,$B1035,E$5)="",2,0)),0)</f>
        <v>0</v>
      </c>
      <c r="F1035" s="194">
        <f>IFERROR(IF(INDEX([1]Pivot!$AD$1:$BE$65000,$B1035,F$5)=1,1,IF(INDEX([1]Pivot!$B$1:$AB$65000,$B1035,F$5)="",2,0)),0)</f>
        <v>0</v>
      </c>
      <c r="G1035" s="194">
        <f>IFERROR(IF(INDEX([1]Pivot!$AD$1:$BE$65000,$B1035,G$5)=1,1,IF(INDEX([1]Pivot!$B$1:$AB$65000,$B1035,G$5)="",2,0)),0)</f>
        <v>0</v>
      </c>
      <c r="H1035" s="194">
        <f>IFERROR(IF(INDEX([1]Pivot!$AD$1:$BE$65000,$B1035,H$5)=1,1,IF(INDEX([1]Pivot!$B$1:$AB$65000,$B1035,H$5)="",2,0)),0)</f>
        <v>0</v>
      </c>
      <c r="I1035" s="194">
        <f>IFERROR(IF(INDEX([1]Pivot!$AD$1:$BE$65000,$B1035,I$5)=1,1,IF(INDEX([1]Pivot!$B$1:$AB$65000,$B1035,I$5)="",2,0)),0)</f>
        <v>0</v>
      </c>
      <c r="J1035" s="194">
        <f>IFERROR(IF(INDEX([1]Pivot!$AD$1:$BE$65000,$B1035,J$5)=1,1,IF(INDEX([1]Pivot!$B$1:$AB$65000,$B1035,J$5)="",2,0)),0)</f>
        <v>0</v>
      </c>
      <c r="K1035" s="194">
        <f>IFERROR(IF(INDEX([1]Pivot!$AD$1:$BE$65000,$B1035,K$5)=1,1,IF(INDEX([1]Pivot!$B$1:$AB$65000,$B1035,K$5)="",2,0)),0)</f>
        <v>0</v>
      </c>
      <c r="L1035" s="194">
        <f>IFERROR(IF(INDEX([1]Pivot!$AD$1:$BE$65000,$B1035,L$5)=1,1,IF(INDEX([1]Pivot!$B$1:$AB$65000,$B1035,L$5)="",2,0)),0)</f>
        <v>0</v>
      </c>
      <c r="M1035" s="194">
        <f>IFERROR(IF(INDEX([1]Pivot!$AD$1:$BE$65000,$B1035,M$5)=1,1,IF(INDEX([1]Pivot!$B$1:$AB$65000,$B1035,M$5)="",2,0)),0)</f>
        <v>0</v>
      </c>
      <c r="N1035" s="194">
        <f>IFERROR(IF(INDEX([1]Pivot!$AD$1:$BE$65000,$B1035,N$5)=1,1,IF(INDEX([1]Pivot!$B$1:$AB$65000,$B1035,N$5)="",2,0)),0)</f>
        <v>0</v>
      </c>
      <c r="O1035" s="194">
        <f>IFERROR(IF(INDEX([1]Pivot!$AD$1:$BE$65000,$B1035,O$5)=1,1,IF(INDEX([1]Pivot!$B$1:$AB$65000,$B1035,O$5)="",2,0)),0)</f>
        <v>0</v>
      </c>
      <c r="P1035" s="194">
        <f>IFERROR(IF(INDEX([1]Pivot!$AD$1:$BE$65000,$B1035,P$5)=1,1,IF(INDEX([1]Pivot!$B$1:$AB$65000,$B1035,P$5)="",2,0)),0)</f>
        <v>0</v>
      </c>
      <c r="Q1035" s="194">
        <f>IFERROR(IF(INDEX([1]Pivot!$AD$1:$BE$65000,$B1035,Q$5)=1,1,IF(INDEX([1]Pivot!$B$1:$AB$65000,$B1035,Q$5)="",2,0)),0)</f>
        <v>0</v>
      </c>
      <c r="R1035" s="312"/>
      <c r="S1035" s="194">
        <f>IFERROR(IF(INDEX([1]Pivot!$AD$1:$BE$65000,$B1035,S$5)=1,1,IF(INDEX([1]Pivot!$B$1:$AB$65000,$B1035,S$5)="",2,0)),0)</f>
        <v>0</v>
      </c>
      <c r="T1035" s="194">
        <f>IFERROR(IF(INDEX([1]Pivot!$AD$1:$BE$65000,$B1035,T$5)=1,1,IF(INDEX([1]Pivot!$B$1:$AB$65000,$B1035,T$5)="",2,0)),0)</f>
        <v>0</v>
      </c>
      <c r="U1035" s="194">
        <f>IFERROR(IF(INDEX([1]Pivot!$AD$1:$BE$65000,$B1035,U$5)=1,1,IF(INDEX([1]Pivot!$B$1:$AB$65000,$B1035,U$5)="",2,0)),0)</f>
        <v>0</v>
      </c>
      <c r="V1035" s="194">
        <f>IFERROR(IF(INDEX([1]Pivot!$AD$1:$BE$65000,$B1035,V$5)=1,1,IF(INDEX([1]Pivot!$B$1:$AB$65000,$B1035,V$5)="",2,0)),0)</f>
        <v>0</v>
      </c>
      <c r="W1035" s="194">
        <f>IFERROR(IF(INDEX([1]Pivot!$AD$1:$BE$65000,$B1035,W$5)=1,1,IF(INDEX([1]Pivot!$B$1:$AB$65000,$B1035,W$5)="",2,0)),0)</f>
        <v>0</v>
      </c>
      <c r="X1035" s="194">
        <f>IFERROR(IF(INDEX([1]Pivot!$AD$1:$BE$65000,$B1035,X$5)=1,1,IF(INDEX([1]Pivot!$B$1:$AB$65000,$B1035,X$5)="",2,0)),0)</f>
        <v>0</v>
      </c>
      <c r="Y1035" s="194">
        <f>IFERROR(IF(INDEX([1]Pivot!$AD$1:$BE$65000,$B1035,Y$5)=1,1,IF(INDEX([1]Pivot!$B$1:$AB$65000,$B1035,Y$5)="",2,0)),0)</f>
        <v>0</v>
      </c>
      <c r="Z1035" s="194">
        <f>IFERROR(IF(INDEX([1]Pivot!$AD$1:$BE$65000,$B1035,Z$5)=1,1,IF(INDEX([1]Pivot!$B$1:$AB$65000,$B1035,Z$5)="",2,0)),0)</f>
        <v>0</v>
      </c>
      <c r="AA1035" s="194">
        <f>IFERROR(IF(INDEX([1]Pivot!$AD$1:$BE$65000,$B1035,AA$5)=1,1,IF(INDEX([1]Pivot!$B$1:$AB$65000,$B1035,AA$5)="",2,0)),0)</f>
        <v>0</v>
      </c>
      <c r="AB1035" s="194">
        <f>IFERROR(IF(INDEX([1]Pivot!$AD$1:$BE$65000,$B1035,AB$5)=1,1,IF(INDEX([1]Pivot!$B$1:$AB$65000,$B1035,AB$5)="",2,0)),0)</f>
        <v>0</v>
      </c>
      <c r="AC1035" s="194">
        <f>IFERROR(IF(INDEX([1]Pivot!$AD$1:$BE$65000,$B1035,AC$5)=1,1,IF(INDEX([1]Pivot!$B$1:$AB$65000,$B1035,AC$5)="",2,0)),0)</f>
        <v>0</v>
      </c>
      <c r="AD1035" s="313">
        <f>IFERROR(IF(INDEX([1]Pivot!$BF$1:$CG$65000,$B1035,AD$5)=1,1,IF(INDEX([1]Pivot!$B$1:$AB$65000,$B1035,AD$5)="",2,0)),0)</f>
        <v>0</v>
      </c>
      <c r="AE1035" s="313">
        <f>IFERROR(IF(INDEX([1]Pivot!$BF$1:$CG$65000,$B1035,AE$5)=1,1,IF(INDEX([1]Pivot!$B$1:$AB$65000,$B1035,AE$5)="",2,0)),0)</f>
        <v>0</v>
      </c>
      <c r="AF1035" s="313">
        <f>IFERROR(IF(INDEX([1]Pivot!$BF$1:$CG$65000,$B1035,AF$5)=1,1,IF(INDEX([1]Pivot!$B$1:$AB$65000,$B1035,AF$5)="",2,0)),0)</f>
        <v>0</v>
      </c>
      <c r="AG1035" s="313">
        <f>IFERROR(IF(INDEX([1]Pivot!$BF$1:$CG$65000,$B1035,AG$5)=1,1,IF(INDEX([1]Pivot!$B$1:$AB$65000,$B1035,AG$5)="",2,0)),0)</f>
        <v>0</v>
      </c>
      <c r="AH1035" s="313">
        <f>IFERROR(IF(INDEX([1]Pivot!$BF$1:$CG$65000,$B1035,AH$5)=1,1,IF(INDEX([1]Pivot!$B$1:$AB$65000,$B1035,AH$5)="",2,0)),0)</f>
        <v>0</v>
      </c>
      <c r="AI1035" s="313">
        <f>IFERROR(IF(INDEX([1]Pivot!$BF$1:$CG$65000,$B1035,AI$5)=1,1,IF(INDEX([1]Pivot!$B$1:$AB$65000,$B1035,AI$5)="",2,0)),0)</f>
        <v>0</v>
      </c>
      <c r="AJ1035" s="313">
        <f>IFERROR(IF(INDEX([1]Pivot!$BF$1:$CG$65000,$B1035,AJ$5)=1,1,IF(INDEX([1]Pivot!$B$1:$AB$65000,$B1035,AJ$5)="",2,0)),0)</f>
        <v>0</v>
      </c>
      <c r="AK1035" s="313">
        <f>IFERROR(IF(INDEX([1]Pivot!$BF$1:$CG$65000,$B1035,AK$5)=1,1,IF(INDEX([1]Pivot!$B$1:$AB$65000,$B1035,AK$5)="",2,0)),0)</f>
        <v>0</v>
      </c>
      <c r="AL1035" s="313">
        <f>IFERROR(IF(INDEX([1]Pivot!$BF$1:$CG$65000,$B1035,AL$5)=1,1,IF(INDEX([1]Pivot!$B$1:$AB$65000,$B1035,AL$5)="",2,0)),0)</f>
        <v>0</v>
      </c>
      <c r="AM1035" s="313">
        <f>IFERROR(IF(INDEX([1]Pivot!$BF$1:$CG$65000,$B1035,AM$5)=1,1,IF(INDEX([1]Pivot!$B$1:$AB$65000,$B1035,AM$5)="",2,0)),0)</f>
        <v>0</v>
      </c>
      <c r="AN1035" s="313">
        <f>IFERROR(IF(INDEX([1]Pivot!$BF$1:$CG$65000,$B1035,AN$5)=1,1,IF(INDEX([1]Pivot!$B$1:$AB$65000,$B1035,AN$5)="",2,0)),0)</f>
        <v>0</v>
      </c>
      <c r="AO1035" s="313">
        <f>IFERROR(IF(INDEX([1]Pivot!$BF$1:$CG$65000,$B1035,AO$5)=1,1,IF(INDEX([1]Pivot!$B$1:$AB$65000,$B1035,AO$5)="",2,0)),0)</f>
        <v>0</v>
      </c>
      <c r="AP1035" s="313">
        <f>IFERROR(IF(INDEX([1]Pivot!$BF$1:$CG$65000,$B1035,AP$5)=1,1,IF(INDEX([1]Pivot!$B$1:$AB$65000,$B1035,AP$5)="",2,0)),0)</f>
        <v>0</v>
      </c>
      <c r="AQ1035" s="313">
        <f>IFERROR(IF(INDEX([1]Pivot!$BF$1:$CG$65000,$B1035,AQ$5)=1,1,IF(INDEX([1]Pivot!$B$1:$AB$65000,$B1035,AQ$5)="",2,0)),0)</f>
        <v>0</v>
      </c>
      <c r="AR1035" s="313">
        <f>IFERROR(IF(INDEX([1]Pivot!$BF$1:$CG$65000,$B1035,AR$5)=1,1,IF(INDEX([1]Pivot!$B$1:$AB$65000,$B1035,AR$5)="",2,0)),0)</f>
        <v>0</v>
      </c>
      <c r="AS1035" s="312"/>
      <c r="AT1035" s="313">
        <f>IFERROR(IF(INDEX([1]Pivot!$BF$1:$CG$65000,$B1035,AT$5)=1,1,IF(INDEX([1]Pivot!$B$1:$AB$65000,$B1035,AT$5)="",2,0)),0)</f>
        <v>0</v>
      </c>
      <c r="AU1035" s="313">
        <f>IFERROR(IF(INDEX([1]Pivot!$BF$1:$CG$65000,$B1035,AU$5)=1,1,IF(INDEX([1]Pivot!$B$1:$AB$65000,$B1035,AU$5)="",2,0)),0)</f>
        <v>0</v>
      </c>
      <c r="AV1035" s="313">
        <f>IFERROR(IF(INDEX([1]Pivot!$BF$1:$CG$65000,$B1035,AV$5)=1,1,IF(INDEX([1]Pivot!$B$1:$AB$65000,$B1035,AV$5)="",2,0)),0)</f>
        <v>0</v>
      </c>
      <c r="AW1035" s="313">
        <f>IFERROR(IF(INDEX([1]Pivot!$BF$1:$CG$65000,$B1035,AW$5)=1,1,IF(INDEX([1]Pivot!$B$1:$AB$65000,$B1035,AW$5)="",2,0)),0)</f>
        <v>0</v>
      </c>
      <c r="AX1035" s="313">
        <f>IFERROR(IF(INDEX([1]Pivot!$BF$1:$CG$65000,$B1035,AX$5)=1,1,IF(INDEX([1]Pivot!$B$1:$AB$65000,$B1035,AX$5)="",2,0)),0)</f>
        <v>0</v>
      </c>
      <c r="AY1035" s="313">
        <f>IFERROR(IF(INDEX([1]Pivot!$BF$1:$CG$65000,$B1035,AY$5)=1,1,IF(INDEX([1]Pivot!$B$1:$AB$65000,$B1035,AY$5)="",2,0)),0)</f>
        <v>0</v>
      </c>
      <c r="AZ1035" s="313">
        <f>IFERROR(IF(INDEX([1]Pivot!$BF$1:$CG$65000,$B1035,AZ$5)=1,1,IF(INDEX([1]Pivot!$B$1:$AB$65000,$B1035,AZ$5)="",2,0)),0)</f>
        <v>0</v>
      </c>
      <c r="BA1035" s="313">
        <f>IFERROR(IF(INDEX([1]Pivot!$BF$1:$CG$65000,$B1035,BA$5)=1,1,IF(INDEX([1]Pivot!$B$1:$AB$65000,$B1035,BA$5)="",2,0)),0)</f>
        <v>0</v>
      </c>
      <c r="BB1035" s="313">
        <f>IFERROR(IF(INDEX([1]Pivot!$BF$1:$CG$65000,$B1035,BB$5)=1,1,IF(INDEX([1]Pivot!$B$1:$AB$65000,$B1035,BB$5)="",2,0)),0)</f>
        <v>0</v>
      </c>
      <c r="BC1035" s="313">
        <f>IFERROR(IF(INDEX([1]Pivot!$BF$1:$CG$65000,$B1035,BC$5)=1,1,IF(INDEX([1]Pivot!$B$1:$AB$65000,$B1035,BC$5)="",2,0)),0)</f>
        <v>0</v>
      </c>
      <c r="BD1035" s="313">
        <f>IFERROR(IF(INDEX([1]Pivot!$BF$1:$CG$65000,$B1035,BD$5)=1,1,IF(INDEX([1]Pivot!$B$1:$AB$65000,$B1035,BD$5)="",2,0)),0)</f>
        <v>0</v>
      </c>
    </row>
    <row r="1036" spans="1:56" x14ac:dyDescent="0.25">
      <c r="A1036" s="288">
        <f>'[2]Raw Milk Prices'!A1036</f>
        <v>0</v>
      </c>
      <c r="B1036" s="296" t="e">
        <f>MATCH(DATE(LEFT('[2]Raw Milk Prices'!$A1036,4),RIGHT('[2]Raw Milk Prices'!$A1036,2),1),[1]Pivot!$A$1:$A$65000,0)</f>
        <v>#VALUE!</v>
      </c>
      <c r="C1036" s="194">
        <f>IFERROR(IF(INDEX([1]Pivot!$AD$1:$BE$65000,$B1036,C$5)=1,1,IF(INDEX([1]Pivot!$B$1:$AB$65000,$B1036,C$5)="",2,0)),0)</f>
        <v>0</v>
      </c>
      <c r="D1036" s="194">
        <f>IFERROR(IF(INDEX([1]Pivot!$AD$1:$BE$65000,$B1036,D$5)=1,1,IF(INDEX([1]Pivot!$B$1:$AB$65000,$B1036,D$5)="",2,0)),0)</f>
        <v>0</v>
      </c>
      <c r="E1036" s="194">
        <f>IFERROR(IF(INDEX([1]Pivot!$AD$1:$BE$65000,$B1036,E$5)=1,1,IF(INDEX([1]Pivot!$B$1:$AB$65000,$B1036,E$5)="",2,0)),0)</f>
        <v>0</v>
      </c>
      <c r="F1036" s="194">
        <f>IFERROR(IF(INDEX([1]Pivot!$AD$1:$BE$65000,$B1036,F$5)=1,1,IF(INDEX([1]Pivot!$B$1:$AB$65000,$B1036,F$5)="",2,0)),0)</f>
        <v>0</v>
      </c>
      <c r="G1036" s="194">
        <f>IFERROR(IF(INDEX([1]Pivot!$AD$1:$BE$65000,$B1036,G$5)=1,1,IF(INDEX([1]Pivot!$B$1:$AB$65000,$B1036,G$5)="",2,0)),0)</f>
        <v>0</v>
      </c>
      <c r="H1036" s="194">
        <f>IFERROR(IF(INDEX([1]Pivot!$AD$1:$BE$65000,$B1036,H$5)=1,1,IF(INDEX([1]Pivot!$B$1:$AB$65000,$B1036,H$5)="",2,0)),0)</f>
        <v>0</v>
      </c>
      <c r="I1036" s="194">
        <f>IFERROR(IF(INDEX([1]Pivot!$AD$1:$BE$65000,$B1036,I$5)=1,1,IF(INDEX([1]Pivot!$B$1:$AB$65000,$B1036,I$5)="",2,0)),0)</f>
        <v>0</v>
      </c>
      <c r="J1036" s="194">
        <f>IFERROR(IF(INDEX([1]Pivot!$AD$1:$BE$65000,$B1036,J$5)=1,1,IF(INDEX([1]Pivot!$B$1:$AB$65000,$B1036,J$5)="",2,0)),0)</f>
        <v>0</v>
      </c>
      <c r="K1036" s="194">
        <f>IFERROR(IF(INDEX([1]Pivot!$AD$1:$BE$65000,$B1036,K$5)=1,1,IF(INDEX([1]Pivot!$B$1:$AB$65000,$B1036,K$5)="",2,0)),0)</f>
        <v>0</v>
      </c>
      <c r="L1036" s="194">
        <f>IFERROR(IF(INDEX([1]Pivot!$AD$1:$BE$65000,$B1036,L$5)=1,1,IF(INDEX([1]Pivot!$B$1:$AB$65000,$B1036,L$5)="",2,0)),0)</f>
        <v>0</v>
      </c>
      <c r="M1036" s="194">
        <f>IFERROR(IF(INDEX([1]Pivot!$AD$1:$BE$65000,$B1036,M$5)=1,1,IF(INDEX([1]Pivot!$B$1:$AB$65000,$B1036,M$5)="",2,0)),0)</f>
        <v>0</v>
      </c>
      <c r="N1036" s="194">
        <f>IFERROR(IF(INDEX([1]Pivot!$AD$1:$BE$65000,$B1036,N$5)=1,1,IF(INDEX([1]Pivot!$B$1:$AB$65000,$B1036,N$5)="",2,0)),0)</f>
        <v>0</v>
      </c>
      <c r="O1036" s="194">
        <f>IFERROR(IF(INDEX([1]Pivot!$AD$1:$BE$65000,$B1036,O$5)=1,1,IF(INDEX([1]Pivot!$B$1:$AB$65000,$B1036,O$5)="",2,0)),0)</f>
        <v>0</v>
      </c>
      <c r="P1036" s="194">
        <f>IFERROR(IF(INDEX([1]Pivot!$AD$1:$BE$65000,$B1036,P$5)=1,1,IF(INDEX([1]Pivot!$B$1:$AB$65000,$B1036,P$5)="",2,0)),0)</f>
        <v>0</v>
      </c>
      <c r="Q1036" s="194">
        <f>IFERROR(IF(INDEX([1]Pivot!$AD$1:$BE$65000,$B1036,Q$5)=1,1,IF(INDEX([1]Pivot!$B$1:$AB$65000,$B1036,Q$5)="",2,0)),0)</f>
        <v>0</v>
      </c>
      <c r="R1036" s="312"/>
      <c r="S1036" s="194">
        <f>IFERROR(IF(INDEX([1]Pivot!$AD$1:$BE$65000,$B1036,S$5)=1,1,IF(INDEX([1]Pivot!$B$1:$AB$65000,$B1036,S$5)="",2,0)),0)</f>
        <v>0</v>
      </c>
      <c r="T1036" s="194">
        <f>IFERROR(IF(INDEX([1]Pivot!$AD$1:$BE$65000,$B1036,T$5)=1,1,IF(INDEX([1]Pivot!$B$1:$AB$65000,$B1036,T$5)="",2,0)),0)</f>
        <v>0</v>
      </c>
      <c r="U1036" s="194">
        <f>IFERROR(IF(INDEX([1]Pivot!$AD$1:$BE$65000,$B1036,U$5)=1,1,IF(INDEX([1]Pivot!$B$1:$AB$65000,$B1036,U$5)="",2,0)),0)</f>
        <v>0</v>
      </c>
      <c r="V1036" s="194">
        <f>IFERROR(IF(INDEX([1]Pivot!$AD$1:$BE$65000,$B1036,V$5)=1,1,IF(INDEX([1]Pivot!$B$1:$AB$65000,$B1036,V$5)="",2,0)),0)</f>
        <v>0</v>
      </c>
      <c r="W1036" s="194">
        <f>IFERROR(IF(INDEX([1]Pivot!$AD$1:$BE$65000,$B1036,W$5)=1,1,IF(INDEX([1]Pivot!$B$1:$AB$65000,$B1036,W$5)="",2,0)),0)</f>
        <v>0</v>
      </c>
      <c r="X1036" s="194">
        <f>IFERROR(IF(INDEX([1]Pivot!$AD$1:$BE$65000,$B1036,X$5)=1,1,IF(INDEX([1]Pivot!$B$1:$AB$65000,$B1036,X$5)="",2,0)),0)</f>
        <v>0</v>
      </c>
      <c r="Y1036" s="194">
        <f>IFERROR(IF(INDEX([1]Pivot!$AD$1:$BE$65000,$B1036,Y$5)=1,1,IF(INDEX([1]Pivot!$B$1:$AB$65000,$B1036,Y$5)="",2,0)),0)</f>
        <v>0</v>
      </c>
      <c r="Z1036" s="194">
        <f>IFERROR(IF(INDEX([1]Pivot!$AD$1:$BE$65000,$B1036,Z$5)=1,1,IF(INDEX([1]Pivot!$B$1:$AB$65000,$B1036,Z$5)="",2,0)),0)</f>
        <v>0</v>
      </c>
      <c r="AA1036" s="194">
        <f>IFERROR(IF(INDEX([1]Pivot!$AD$1:$BE$65000,$B1036,AA$5)=1,1,IF(INDEX([1]Pivot!$B$1:$AB$65000,$B1036,AA$5)="",2,0)),0)</f>
        <v>0</v>
      </c>
      <c r="AB1036" s="194">
        <f>IFERROR(IF(INDEX([1]Pivot!$AD$1:$BE$65000,$B1036,AB$5)=1,1,IF(INDEX([1]Pivot!$B$1:$AB$65000,$B1036,AB$5)="",2,0)),0)</f>
        <v>0</v>
      </c>
      <c r="AC1036" s="194">
        <f>IFERROR(IF(INDEX([1]Pivot!$AD$1:$BE$65000,$B1036,AC$5)=1,1,IF(INDEX([1]Pivot!$B$1:$AB$65000,$B1036,AC$5)="",2,0)),0)</f>
        <v>0</v>
      </c>
      <c r="AD1036" s="313">
        <f>IFERROR(IF(INDEX([1]Pivot!$BF$1:$CG$65000,$B1036,AD$5)=1,1,IF(INDEX([1]Pivot!$B$1:$AB$65000,$B1036,AD$5)="",2,0)),0)</f>
        <v>0</v>
      </c>
      <c r="AE1036" s="313">
        <f>IFERROR(IF(INDEX([1]Pivot!$BF$1:$CG$65000,$B1036,AE$5)=1,1,IF(INDEX([1]Pivot!$B$1:$AB$65000,$B1036,AE$5)="",2,0)),0)</f>
        <v>0</v>
      </c>
      <c r="AF1036" s="313">
        <f>IFERROR(IF(INDEX([1]Pivot!$BF$1:$CG$65000,$B1036,AF$5)=1,1,IF(INDEX([1]Pivot!$B$1:$AB$65000,$B1036,AF$5)="",2,0)),0)</f>
        <v>0</v>
      </c>
      <c r="AG1036" s="313">
        <f>IFERROR(IF(INDEX([1]Pivot!$BF$1:$CG$65000,$B1036,AG$5)=1,1,IF(INDEX([1]Pivot!$B$1:$AB$65000,$B1036,AG$5)="",2,0)),0)</f>
        <v>0</v>
      </c>
      <c r="AH1036" s="313">
        <f>IFERROR(IF(INDEX([1]Pivot!$BF$1:$CG$65000,$B1036,AH$5)=1,1,IF(INDEX([1]Pivot!$B$1:$AB$65000,$B1036,AH$5)="",2,0)),0)</f>
        <v>0</v>
      </c>
      <c r="AI1036" s="313">
        <f>IFERROR(IF(INDEX([1]Pivot!$BF$1:$CG$65000,$B1036,AI$5)=1,1,IF(INDEX([1]Pivot!$B$1:$AB$65000,$B1036,AI$5)="",2,0)),0)</f>
        <v>0</v>
      </c>
      <c r="AJ1036" s="313">
        <f>IFERROR(IF(INDEX([1]Pivot!$BF$1:$CG$65000,$B1036,AJ$5)=1,1,IF(INDEX([1]Pivot!$B$1:$AB$65000,$B1036,AJ$5)="",2,0)),0)</f>
        <v>0</v>
      </c>
      <c r="AK1036" s="313">
        <f>IFERROR(IF(INDEX([1]Pivot!$BF$1:$CG$65000,$B1036,AK$5)=1,1,IF(INDEX([1]Pivot!$B$1:$AB$65000,$B1036,AK$5)="",2,0)),0)</f>
        <v>0</v>
      </c>
      <c r="AL1036" s="313">
        <f>IFERROR(IF(INDEX([1]Pivot!$BF$1:$CG$65000,$B1036,AL$5)=1,1,IF(INDEX([1]Pivot!$B$1:$AB$65000,$B1036,AL$5)="",2,0)),0)</f>
        <v>0</v>
      </c>
      <c r="AM1036" s="313">
        <f>IFERROR(IF(INDEX([1]Pivot!$BF$1:$CG$65000,$B1036,AM$5)=1,1,IF(INDEX([1]Pivot!$B$1:$AB$65000,$B1036,AM$5)="",2,0)),0)</f>
        <v>0</v>
      </c>
      <c r="AN1036" s="313">
        <f>IFERROR(IF(INDEX([1]Pivot!$BF$1:$CG$65000,$B1036,AN$5)=1,1,IF(INDEX([1]Pivot!$B$1:$AB$65000,$B1036,AN$5)="",2,0)),0)</f>
        <v>0</v>
      </c>
      <c r="AO1036" s="313">
        <f>IFERROR(IF(INDEX([1]Pivot!$BF$1:$CG$65000,$B1036,AO$5)=1,1,IF(INDEX([1]Pivot!$B$1:$AB$65000,$B1036,AO$5)="",2,0)),0)</f>
        <v>0</v>
      </c>
      <c r="AP1036" s="313">
        <f>IFERROR(IF(INDEX([1]Pivot!$BF$1:$CG$65000,$B1036,AP$5)=1,1,IF(INDEX([1]Pivot!$B$1:$AB$65000,$B1036,AP$5)="",2,0)),0)</f>
        <v>0</v>
      </c>
      <c r="AQ1036" s="313">
        <f>IFERROR(IF(INDEX([1]Pivot!$BF$1:$CG$65000,$B1036,AQ$5)=1,1,IF(INDEX([1]Pivot!$B$1:$AB$65000,$B1036,AQ$5)="",2,0)),0)</f>
        <v>0</v>
      </c>
      <c r="AR1036" s="313">
        <f>IFERROR(IF(INDEX([1]Pivot!$BF$1:$CG$65000,$B1036,AR$5)=1,1,IF(INDEX([1]Pivot!$B$1:$AB$65000,$B1036,AR$5)="",2,0)),0)</f>
        <v>0</v>
      </c>
      <c r="AS1036" s="312"/>
      <c r="AT1036" s="313">
        <f>IFERROR(IF(INDEX([1]Pivot!$BF$1:$CG$65000,$B1036,AT$5)=1,1,IF(INDEX([1]Pivot!$B$1:$AB$65000,$B1036,AT$5)="",2,0)),0)</f>
        <v>0</v>
      </c>
      <c r="AU1036" s="313">
        <f>IFERROR(IF(INDEX([1]Pivot!$BF$1:$CG$65000,$B1036,AU$5)=1,1,IF(INDEX([1]Pivot!$B$1:$AB$65000,$B1036,AU$5)="",2,0)),0)</f>
        <v>0</v>
      </c>
      <c r="AV1036" s="313">
        <f>IFERROR(IF(INDEX([1]Pivot!$BF$1:$CG$65000,$B1036,AV$5)=1,1,IF(INDEX([1]Pivot!$B$1:$AB$65000,$B1036,AV$5)="",2,0)),0)</f>
        <v>0</v>
      </c>
      <c r="AW1036" s="313">
        <f>IFERROR(IF(INDEX([1]Pivot!$BF$1:$CG$65000,$B1036,AW$5)=1,1,IF(INDEX([1]Pivot!$B$1:$AB$65000,$B1036,AW$5)="",2,0)),0)</f>
        <v>0</v>
      </c>
      <c r="AX1036" s="313">
        <f>IFERROR(IF(INDEX([1]Pivot!$BF$1:$CG$65000,$B1036,AX$5)=1,1,IF(INDEX([1]Pivot!$B$1:$AB$65000,$B1036,AX$5)="",2,0)),0)</f>
        <v>0</v>
      </c>
      <c r="AY1036" s="313">
        <f>IFERROR(IF(INDEX([1]Pivot!$BF$1:$CG$65000,$B1036,AY$5)=1,1,IF(INDEX([1]Pivot!$B$1:$AB$65000,$B1036,AY$5)="",2,0)),0)</f>
        <v>0</v>
      </c>
      <c r="AZ1036" s="313">
        <f>IFERROR(IF(INDEX([1]Pivot!$BF$1:$CG$65000,$B1036,AZ$5)=1,1,IF(INDEX([1]Pivot!$B$1:$AB$65000,$B1036,AZ$5)="",2,0)),0)</f>
        <v>0</v>
      </c>
      <c r="BA1036" s="313">
        <f>IFERROR(IF(INDEX([1]Pivot!$BF$1:$CG$65000,$B1036,BA$5)=1,1,IF(INDEX([1]Pivot!$B$1:$AB$65000,$B1036,BA$5)="",2,0)),0)</f>
        <v>0</v>
      </c>
      <c r="BB1036" s="313">
        <f>IFERROR(IF(INDEX([1]Pivot!$BF$1:$CG$65000,$B1036,BB$5)=1,1,IF(INDEX([1]Pivot!$B$1:$AB$65000,$B1036,BB$5)="",2,0)),0)</f>
        <v>0</v>
      </c>
      <c r="BC1036" s="313">
        <f>IFERROR(IF(INDEX([1]Pivot!$BF$1:$CG$65000,$B1036,BC$5)=1,1,IF(INDEX([1]Pivot!$B$1:$AB$65000,$B1036,BC$5)="",2,0)),0)</f>
        <v>0</v>
      </c>
      <c r="BD1036" s="313">
        <f>IFERROR(IF(INDEX([1]Pivot!$BF$1:$CG$65000,$B1036,BD$5)=1,1,IF(INDEX([1]Pivot!$B$1:$AB$65000,$B1036,BD$5)="",2,0)),0)</f>
        <v>0</v>
      </c>
    </row>
    <row r="1037" spans="1:56" x14ac:dyDescent="0.25">
      <c r="A1037" s="288">
        <f>'[2]Raw Milk Prices'!A1037</f>
        <v>0</v>
      </c>
      <c r="B1037" s="296" t="e">
        <f>MATCH(DATE(LEFT('[2]Raw Milk Prices'!$A1037,4),RIGHT('[2]Raw Milk Prices'!$A1037,2),1),[1]Pivot!$A$1:$A$65000,0)</f>
        <v>#VALUE!</v>
      </c>
      <c r="C1037" s="194">
        <f>IFERROR(IF(INDEX([1]Pivot!$AD$1:$BE$65000,$B1037,C$5)=1,1,IF(INDEX([1]Pivot!$B$1:$AB$65000,$B1037,C$5)="",2,0)),0)</f>
        <v>0</v>
      </c>
      <c r="D1037" s="194">
        <f>IFERROR(IF(INDEX([1]Pivot!$AD$1:$BE$65000,$B1037,D$5)=1,1,IF(INDEX([1]Pivot!$B$1:$AB$65000,$B1037,D$5)="",2,0)),0)</f>
        <v>0</v>
      </c>
      <c r="E1037" s="194">
        <f>IFERROR(IF(INDEX([1]Pivot!$AD$1:$BE$65000,$B1037,E$5)=1,1,IF(INDEX([1]Pivot!$B$1:$AB$65000,$B1037,E$5)="",2,0)),0)</f>
        <v>0</v>
      </c>
      <c r="F1037" s="194">
        <f>IFERROR(IF(INDEX([1]Pivot!$AD$1:$BE$65000,$B1037,F$5)=1,1,IF(INDEX([1]Pivot!$B$1:$AB$65000,$B1037,F$5)="",2,0)),0)</f>
        <v>0</v>
      </c>
      <c r="G1037" s="194">
        <f>IFERROR(IF(INDEX([1]Pivot!$AD$1:$BE$65000,$B1037,G$5)=1,1,IF(INDEX([1]Pivot!$B$1:$AB$65000,$B1037,G$5)="",2,0)),0)</f>
        <v>0</v>
      </c>
      <c r="H1037" s="194">
        <f>IFERROR(IF(INDEX([1]Pivot!$AD$1:$BE$65000,$B1037,H$5)=1,1,IF(INDEX([1]Pivot!$B$1:$AB$65000,$B1037,H$5)="",2,0)),0)</f>
        <v>0</v>
      </c>
      <c r="I1037" s="194">
        <f>IFERROR(IF(INDEX([1]Pivot!$AD$1:$BE$65000,$B1037,I$5)=1,1,IF(INDEX([1]Pivot!$B$1:$AB$65000,$B1037,I$5)="",2,0)),0)</f>
        <v>0</v>
      </c>
      <c r="J1037" s="194">
        <f>IFERROR(IF(INDEX([1]Pivot!$AD$1:$BE$65000,$B1037,J$5)=1,1,IF(INDEX([1]Pivot!$B$1:$AB$65000,$B1037,J$5)="",2,0)),0)</f>
        <v>0</v>
      </c>
      <c r="K1037" s="194">
        <f>IFERROR(IF(INDEX([1]Pivot!$AD$1:$BE$65000,$B1037,K$5)=1,1,IF(INDEX([1]Pivot!$B$1:$AB$65000,$B1037,K$5)="",2,0)),0)</f>
        <v>0</v>
      </c>
      <c r="L1037" s="194">
        <f>IFERROR(IF(INDEX([1]Pivot!$AD$1:$BE$65000,$B1037,L$5)=1,1,IF(INDEX([1]Pivot!$B$1:$AB$65000,$B1037,L$5)="",2,0)),0)</f>
        <v>0</v>
      </c>
      <c r="M1037" s="194">
        <f>IFERROR(IF(INDEX([1]Pivot!$AD$1:$BE$65000,$B1037,M$5)=1,1,IF(INDEX([1]Pivot!$B$1:$AB$65000,$B1037,M$5)="",2,0)),0)</f>
        <v>0</v>
      </c>
      <c r="N1037" s="194">
        <f>IFERROR(IF(INDEX([1]Pivot!$AD$1:$BE$65000,$B1037,N$5)=1,1,IF(INDEX([1]Pivot!$B$1:$AB$65000,$B1037,N$5)="",2,0)),0)</f>
        <v>0</v>
      </c>
      <c r="O1037" s="194">
        <f>IFERROR(IF(INDEX([1]Pivot!$AD$1:$BE$65000,$B1037,O$5)=1,1,IF(INDEX([1]Pivot!$B$1:$AB$65000,$B1037,O$5)="",2,0)),0)</f>
        <v>0</v>
      </c>
      <c r="P1037" s="194">
        <f>IFERROR(IF(INDEX([1]Pivot!$AD$1:$BE$65000,$B1037,P$5)=1,1,IF(INDEX([1]Pivot!$B$1:$AB$65000,$B1037,P$5)="",2,0)),0)</f>
        <v>0</v>
      </c>
      <c r="Q1037" s="194">
        <f>IFERROR(IF(INDEX([1]Pivot!$AD$1:$BE$65000,$B1037,Q$5)=1,1,IF(INDEX([1]Pivot!$B$1:$AB$65000,$B1037,Q$5)="",2,0)),0)</f>
        <v>0</v>
      </c>
      <c r="R1037" s="312"/>
      <c r="S1037" s="194">
        <f>IFERROR(IF(INDEX([1]Pivot!$AD$1:$BE$65000,$B1037,S$5)=1,1,IF(INDEX([1]Pivot!$B$1:$AB$65000,$B1037,S$5)="",2,0)),0)</f>
        <v>0</v>
      </c>
      <c r="T1037" s="194">
        <f>IFERROR(IF(INDEX([1]Pivot!$AD$1:$BE$65000,$B1037,T$5)=1,1,IF(INDEX([1]Pivot!$B$1:$AB$65000,$B1037,T$5)="",2,0)),0)</f>
        <v>0</v>
      </c>
      <c r="U1037" s="194">
        <f>IFERROR(IF(INDEX([1]Pivot!$AD$1:$BE$65000,$B1037,U$5)=1,1,IF(INDEX([1]Pivot!$B$1:$AB$65000,$B1037,U$5)="",2,0)),0)</f>
        <v>0</v>
      </c>
      <c r="V1037" s="194">
        <f>IFERROR(IF(INDEX([1]Pivot!$AD$1:$BE$65000,$B1037,V$5)=1,1,IF(INDEX([1]Pivot!$B$1:$AB$65000,$B1037,V$5)="",2,0)),0)</f>
        <v>0</v>
      </c>
      <c r="W1037" s="194">
        <f>IFERROR(IF(INDEX([1]Pivot!$AD$1:$BE$65000,$B1037,W$5)=1,1,IF(INDEX([1]Pivot!$B$1:$AB$65000,$B1037,W$5)="",2,0)),0)</f>
        <v>0</v>
      </c>
      <c r="X1037" s="194">
        <f>IFERROR(IF(INDEX([1]Pivot!$AD$1:$BE$65000,$B1037,X$5)=1,1,IF(INDEX([1]Pivot!$B$1:$AB$65000,$B1037,X$5)="",2,0)),0)</f>
        <v>0</v>
      </c>
      <c r="Y1037" s="194">
        <f>IFERROR(IF(INDEX([1]Pivot!$AD$1:$BE$65000,$B1037,Y$5)=1,1,IF(INDEX([1]Pivot!$B$1:$AB$65000,$B1037,Y$5)="",2,0)),0)</f>
        <v>0</v>
      </c>
      <c r="Z1037" s="194">
        <f>IFERROR(IF(INDEX([1]Pivot!$AD$1:$BE$65000,$B1037,Z$5)=1,1,IF(INDEX([1]Pivot!$B$1:$AB$65000,$B1037,Z$5)="",2,0)),0)</f>
        <v>0</v>
      </c>
      <c r="AA1037" s="194">
        <f>IFERROR(IF(INDEX([1]Pivot!$AD$1:$BE$65000,$B1037,AA$5)=1,1,IF(INDEX([1]Pivot!$B$1:$AB$65000,$B1037,AA$5)="",2,0)),0)</f>
        <v>0</v>
      </c>
      <c r="AB1037" s="194">
        <f>IFERROR(IF(INDEX([1]Pivot!$AD$1:$BE$65000,$B1037,AB$5)=1,1,IF(INDEX([1]Pivot!$B$1:$AB$65000,$B1037,AB$5)="",2,0)),0)</f>
        <v>0</v>
      </c>
      <c r="AC1037" s="194">
        <f>IFERROR(IF(INDEX([1]Pivot!$AD$1:$BE$65000,$B1037,AC$5)=1,1,IF(INDEX([1]Pivot!$B$1:$AB$65000,$B1037,AC$5)="",2,0)),0)</f>
        <v>0</v>
      </c>
      <c r="AD1037" s="313">
        <f>IFERROR(IF(INDEX([1]Pivot!$BF$1:$CG$65000,$B1037,AD$5)=1,1,IF(INDEX([1]Pivot!$B$1:$AB$65000,$B1037,AD$5)="",2,0)),0)</f>
        <v>0</v>
      </c>
      <c r="AE1037" s="313">
        <f>IFERROR(IF(INDEX([1]Pivot!$BF$1:$CG$65000,$B1037,AE$5)=1,1,IF(INDEX([1]Pivot!$B$1:$AB$65000,$B1037,AE$5)="",2,0)),0)</f>
        <v>0</v>
      </c>
      <c r="AF1037" s="313">
        <f>IFERROR(IF(INDEX([1]Pivot!$BF$1:$CG$65000,$B1037,AF$5)=1,1,IF(INDEX([1]Pivot!$B$1:$AB$65000,$B1037,AF$5)="",2,0)),0)</f>
        <v>0</v>
      </c>
      <c r="AG1037" s="313">
        <f>IFERROR(IF(INDEX([1]Pivot!$BF$1:$CG$65000,$B1037,AG$5)=1,1,IF(INDEX([1]Pivot!$B$1:$AB$65000,$B1037,AG$5)="",2,0)),0)</f>
        <v>0</v>
      </c>
      <c r="AH1037" s="313">
        <f>IFERROR(IF(INDEX([1]Pivot!$BF$1:$CG$65000,$B1037,AH$5)=1,1,IF(INDEX([1]Pivot!$B$1:$AB$65000,$B1037,AH$5)="",2,0)),0)</f>
        <v>0</v>
      </c>
      <c r="AI1037" s="313">
        <f>IFERROR(IF(INDEX([1]Pivot!$BF$1:$CG$65000,$B1037,AI$5)=1,1,IF(INDEX([1]Pivot!$B$1:$AB$65000,$B1037,AI$5)="",2,0)),0)</f>
        <v>0</v>
      </c>
      <c r="AJ1037" s="313">
        <f>IFERROR(IF(INDEX([1]Pivot!$BF$1:$CG$65000,$B1037,AJ$5)=1,1,IF(INDEX([1]Pivot!$B$1:$AB$65000,$B1037,AJ$5)="",2,0)),0)</f>
        <v>0</v>
      </c>
      <c r="AK1037" s="313">
        <f>IFERROR(IF(INDEX([1]Pivot!$BF$1:$CG$65000,$B1037,AK$5)=1,1,IF(INDEX([1]Pivot!$B$1:$AB$65000,$B1037,AK$5)="",2,0)),0)</f>
        <v>0</v>
      </c>
      <c r="AL1037" s="313">
        <f>IFERROR(IF(INDEX([1]Pivot!$BF$1:$CG$65000,$B1037,AL$5)=1,1,IF(INDEX([1]Pivot!$B$1:$AB$65000,$B1037,AL$5)="",2,0)),0)</f>
        <v>0</v>
      </c>
      <c r="AM1037" s="313">
        <f>IFERROR(IF(INDEX([1]Pivot!$BF$1:$CG$65000,$B1037,AM$5)=1,1,IF(INDEX([1]Pivot!$B$1:$AB$65000,$B1037,AM$5)="",2,0)),0)</f>
        <v>0</v>
      </c>
      <c r="AN1037" s="313">
        <f>IFERROR(IF(INDEX([1]Pivot!$BF$1:$CG$65000,$B1037,AN$5)=1,1,IF(INDEX([1]Pivot!$B$1:$AB$65000,$B1037,AN$5)="",2,0)),0)</f>
        <v>0</v>
      </c>
      <c r="AO1037" s="313">
        <f>IFERROR(IF(INDEX([1]Pivot!$BF$1:$CG$65000,$B1037,AO$5)=1,1,IF(INDEX([1]Pivot!$B$1:$AB$65000,$B1037,AO$5)="",2,0)),0)</f>
        <v>0</v>
      </c>
      <c r="AP1037" s="313">
        <f>IFERROR(IF(INDEX([1]Pivot!$BF$1:$CG$65000,$B1037,AP$5)=1,1,IF(INDEX([1]Pivot!$B$1:$AB$65000,$B1037,AP$5)="",2,0)),0)</f>
        <v>0</v>
      </c>
      <c r="AQ1037" s="313">
        <f>IFERROR(IF(INDEX([1]Pivot!$BF$1:$CG$65000,$B1037,AQ$5)=1,1,IF(INDEX([1]Pivot!$B$1:$AB$65000,$B1037,AQ$5)="",2,0)),0)</f>
        <v>0</v>
      </c>
      <c r="AR1037" s="313">
        <f>IFERROR(IF(INDEX([1]Pivot!$BF$1:$CG$65000,$B1037,AR$5)=1,1,IF(INDEX([1]Pivot!$B$1:$AB$65000,$B1037,AR$5)="",2,0)),0)</f>
        <v>0</v>
      </c>
      <c r="AS1037" s="312"/>
      <c r="AT1037" s="313">
        <f>IFERROR(IF(INDEX([1]Pivot!$BF$1:$CG$65000,$B1037,AT$5)=1,1,IF(INDEX([1]Pivot!$B$1:$AB$65000,$B1037,AT$5)="",2,0)),0)</f>
        <v>0</v>
      </c>
      <c r="AU1037" s="313">
        <f>IFERROR(IF(INDEX([1]Pivot!$BF$1:$CG$65000,$B1037,AU$5)=1,1,IF(INDEX([1]Pivot!$B$1:$AB$65000,$B1037,AU$5)="",2,0)),0)</f>
        <v>0</v>
      </c>
      <c r="AV1037" s="313">
        <f>IFERROR(IF(INDEX([1]Pivot!$BF$1:$CG$65000,$B1037,AV$5)=1,1,IF(INDEX([1]Pivot!$B$1:$AB$65000,$B1037,AV$5)="",2,0)),0)</f>
        <v>0</v>
      </c>
      <c r="AW1037" s="313">
        <f>IFERROR(IF(INDEX([1]Pivot!$BF$1:$CG$65000,$B1037,AW$5)=1,1,IF(INDEX([1]Pivot!$B$1:$AB$65000,$B1037,AW$5)="",2,0)),0)</f>
        <v>0</v>
      </c>
      <c r="AX1037" s="313">
        <f>IFERROR(IF(INDEX([1]Pivot!$BF$1:$CG$65000,$B1037,AX$5)=1,1,IF(INDEX([1]Pivot!$B$1:$AB$65000,$B1037,AX$5)="",2,0)),0)</f>
        <v>0</v>
      </c>
      <c r="AY1037" s="313">
        <f>IFERROR(IF(INDEX([1]Pivot!$BF$1:$CG$65000,$B1037,AY$5)=1,1,IF(INDEX([1]Pivot!$B$1:$AB$65000,$B1037,AY$5)="",2,0)),0)</f>
        <v>0</v>
      </c>
      <c r="AZ1037" s="313">
        <f>IFERROR(IF(INDEX([1]Pivot!$BF$1:$CG$65000,$B1037,AZ$5)=1,1,IF(INDEX([1]Pivot!$B$1:$AB$65000,$B1037,AZ$5)="",2,0)),0)</f>
        <v>0</v>
      </c>
      <c r="BA1037" s="313">
        <f>IFERROR(IF(INDEX([1]Pivot!$BF$1:$CG$65000,$B1037,BA$5)=1,1,IF(INDEX([1]Pivot!$B$1:$AB$65000,$B1037,BA$5)="",2,0)),0)</f>
        <v>0</v>
      </c>
      <c r="BB1037" s="313">
        <f>IFERROR(IF(INDEX([1]Pivot!$BF$1:$CG$65000,$B1037,BB$5)=1,1,IF(INDEX([1]Pivot!$B$1:$AB$65000,$B1037,BB$5)="",2,0)),0)</f>
        <v>0</v>
      </c>
      <c r="BC1037" s="313">
        <f>IFERROR(IF(INDEX([1]Pivot!$BF$1:$CG$65000,$B1037,BC$5)=1,1,IF(INDEX([1]Pivot!$B$1:$AB$65000,$B1037,BC$5)="",2,0)),0)</f>
        <v>0</v>
      </c>
      <c r="BD1037" s="313">
        <f>IFERROR(IF(INDEX([1]Pivot!$BF$1:$CG$65000,$B1037,BD$5)=1,1,IF(INDEX([1]Pivot!$B$1:$AB$65000,$B1037,BD$5)="",2,0)),0)</f>
        <v>0</v>
      </c>
    </row>
    <row r="1038" spans="1:56" x14ac:dyDescent="0.25">
      <c r="A1038" s="288">
        <f>'[2]Raw Milk Prices'!A1038</f>
        <v>0</v>
      </c>
      <c r="B1038" s="296" t="e">
        <f>MATCH(DATE(LEFT('[2]Raw Milk Prices'!$A1038,4),RIGHT('[2]Raw Milk Prices'!$A1038,2),1),[1]Pivot!$A$1:$A$65000,0)</f>
        <v>#VALUE!</v>
      </c>
      <c r="C1038" s="194">
        <f>IFERROR(IF(INDEX([1]Pivot!$AD$1:$BE$65000,$B1038,C$5)=1,1,IF(INDEX([1]Pivot!$B$1:$AB$65000,$B1038,C$5)="",2,0)),0)</f>
        <v>0</v>
      </c>
      <c r="D1038" s="194">
        <f>IFERROR(IF(INDEX([1]Pivot!$AD$1:$BE$65000,$B1038,D$5)=1,1,IF(INDEX([1]Pivot!$B$1:$AB$65000,$B1038,D$5)="",2,0)),0)</f>
        <v>0</v>
      </c>
      <c r="E1038" s="194">
        <f>IFERROR(IF(INDEX([1]Pivot!$AD$1:$BE$65000,$B1038,E$5)=1,1,IF(INDEX([1]Pivot!$B$1:$AB$65000,$B1038,E$5)="",2,0)),0)</f>
        <v>0</v>
      </c>
      <c r="F1038" s="194">
        <f>IFERROR(IF(INDEX([1]Pivot!$AD$1:$BE$65000,$B1038,F$5)=1,1,IF(INDEX([1]Pivot!$B$1:$AB$65000,$B1038,F$5)="",2,0)),0)</f>
        <v>0</v>
      </c>
      <c r="G1038" s="194">
        <f>IFERROR(IF(INDEX([1]Pivot!$AD$1:$BE$65000,$B1038,G$5)=1,1,IF(INDEX([1]Pivot!$B$1:$AB$65000,$B1038,G$5)="",2,0)),0)</f>
        <v>0</v>
      </c>
      <c r="H1038" s="194">
        <f>IFERROR(IF(INDEX([1]Pivot!$AD$1:$BE$65000,$B1038,H$5)=1,1,IF(INDEX([1]Pivot!$B$1:$AB$65000,$B1038,H$5)="",2,0)),0)</f>
        <v>0</v>
      </c>
      <c r="I1038" s="194">
        <f>IFERROR(IF(INDEX([1]Pivot!$AD$1:$BE$65000,$B1038,I$5)=1,1,IF(INDEX([1]Pivot!$B$1:$AB$65000,$B1038,I$5)="",2,0)),0)</f>
        <v>0</v>
      </c>
      <c r="J1038" s="194">
        <f>IFERROR(IF(INDEX([1]Pivot!$AD$1:$BE$65000,$B1038,J$5)=1,1,IF(INDEX([1]Pivot!$B$1:$AB$65000,$B1038,J$5)="",2,0)),0)</f>
        <v>0</v>
      </c>
      <c r="K1038" s="194">
        <f>IFERROR(IF(INDEX([1]Pivot!$AD$1:$BE$65000,$B1038,K$5)=1,1,IF(INDEX([1]Pivot!$B$1:$AB$65000,$B1038,K$5)="",2,0)),0)</f>
        <v>0</v>
      </c>
      <c r="L1038" s="194">
        <f>IFERROR(IF(INDEX([1]Pivot!$AD$1:$BE$65000,$B1038,L$5)=1,1,IF(INDEX([1]Pivot!$B$1:$AB$65000,$B1038,L$5)="",2,0)),0)</f>
        <v>0</v>
      </c>
      <c r="M1038" s="194">
        <f>IFERROR(IF(INDEX([1]Pivot!$AD$1:$BE$65000,$B1038,M$5)=1,1,IF(INDEX([1]Pivot!$B$1:$AB$65000,$B1038,M$5)="",2,0)),0)</f>
        <v>0</v>
      </c>
      <c r="N1038" s="194">
        <f>IFERROR(IF(INDEX([1]Pivot!$AD$1:$BE$65000,$B1038,N$5)=1,1,IF(INDEX([1]Pivot!$B$1:$AB$65000,$B1038,N$5)="",2,0)),0)</f>
        <v>0</v>
      </c>
      <c r="O1038" s="194">
        <f>IFERROR(IF(INDEX([1]Pivot!$AD$1:$BE$65000,$B1038,O$5)=1,1,IF(INDEX([1]Pivot!$B$1:$AB$65000,$B1038,O$5)="",2,0)),0)</f>
        <v>0</v>
      </c>
      <c r="P1038" s="194">
        <f>IFERROR(IF(INDEX([1]Pivot!$AD$1:$BE$65000,$B1038,P$5)=1,1,IF(INDEX([1]Pivot!$B$1:$AB$65000,$B1038,P$5)="",2,0)),0)</f>
        <v>0</v>
      </c>
      <c r="Q1038" s="194">
        <f>IFERROR(IF(INDEX([1]Pivot!$AD$1:$BE$65000,$B1038,Q$5)=1,1,IF(INDEX([1]Pivot!$B$1:$AB$65000,$B1038,Q$5)="",2,0)),0)</f>
        <v>0</v>
      </c>
      <c r="R1038" s="312"/>
      <c r="S1038" s="194">
        <f>IFERROR(IF(INDEX([1]Pivot!$AD$1:$BE$65000,$B1038,S$5)=1,1,IF(INDEX([1]Pivot!$B$1:$AB$65000,$B1038,S$5)="",2,0)),0)</f>
        <v>0</v>
      </c>
      <c r="T1038" s="194">
        <f>IFERROR(IF(INDEX([1]Pivot!$AD$1:$BE$65000,$B1038,T$5)=1,1,IF(INDEX([1]Pivot!$B$1:$AB$65000,$B1038,T$5)="",2,0)),0)</f>
        <v>0</v>
      </c>
      <c r="U1038" s="194">
        <f>IFERROR(IF(INDEX([1]Pivot!$AD$1:$BE$65000,$B1038,U$5)=1,1,IF(INDEX([1]Pivot!$B$1:$AB$65000,$B1038,U$5)="",2,0)),0)</f>
        <v>0</v>
      </c>
      <c r="V1038" s="194">
        <f>IFERROR(IF(INDEX([1]Pivot!$AD$1:$BE$65000,$B1038,V$5)=1,1,IF(INDEX([1]Pivot!$B$1:$AB$65000,$B1038,V$5)="",2,0)),0)</f>
        <v>0</v>
      </c>
      <c r="W1038" s="194">
        <f>IFERROR(IF(INDEX([1]Pivot!$AD$1:$BE$65000,$B1038,W$5)=1,1,IF(INDEX([1]Pivot!$B$1:$AB$65000,$B1038,W$5)="",2,0)),0)</f>
        <v>0</v>
      </c>
      <c r="X1038" s="194">
        <f>IFERROR(IF(INDEX([1]Pivot!$AD$1:$BE$65000,$B1038,X$5)=1,1,IF(INDEX([1]Pivot!$B$1:$AB$65000,$B1038,X$5)="",2,0)),0)</f>
        <v>0</v>
      </c>
      <c r="Y1038" s="194">
        <f>IFERROR(IF(INDEX([1]Pivot!$AD$1:$BE$65000,$B1038,Y$5)=1,1,IF(INDEX([1]Pivot!$B$1:$AB$65000,$B1038,Y$5)="",2,0)),0)</f>
        <v>0</v>
      </c>
      <c r="Z1038" s="194">
        <f>IFERROR(IF(INDEX([1]Pivot!$AD$1:$BE$65000,$B1038,Z$5)=1,1,IF(INDEX([1]Pivot!$B$1:$AB$65000,$B1038,Z$5)="",2,0)),0)</f>
        <v>0</v>
      </c>
      <c r="AA1038" s="194">
        <f>IFERROR(IF(INDEX([1]Pivot!$AD$1:$BE$65000,$B1038,AA$5)=1,1,IF(INDEX([1]Pivot!$B$1:$AB$65000,$B1038,AA$5)="",2,0)),0)</f>
        <v>0</v>
      </c>
      <c r="AB1038" s="194">
        <f>IFERROR(IF(INDEX([1]Pivot!$AD$1:$BE$65000,$B1038,AB$5)=1,1,IF(INDEX([1]Pivot!$B$1:$AB$65000,$B1038,AB$5)="",2,0)),0)</f>
        <v>0</v>
      </c>
      <c r="AC1038" s="194">
        <f>IFERROR(IF(INDEX([1]Pivot!$AD$1:$BE$65000,$B1038,AC$5)=1,1,IF(INDEX([1]Pivot!$B$1:$AB$65000,$B1038,AC$5)="",2,0)),0)</f>
        <v>0</v>
      </c>
      <c r="AD1038" s="313">
        <f>IFERROR(IF(INDEX([1]Pivot!$BF$1:$CG$65000,$B1038,AD$5)=1,1,IF(INDEX([1]Pivot!$B$1:$AB$65000,$B1038,AD$5)="",2,0)),0)</f>
        <v>0</v>
      </c>
      <c r="AE1038" s="313">
        <f>IFERROR(IF(INDEX([1]Pivot!$BF$1:$CG$65000,$B1038,AE$5)=1,1,IF(INDEX([1]Pivot!$B$1:$AB$65000,$B1038,AE$5)="",2,0)),0)</f>
        <v>0</v>
      </c>
      <c r="AF1038" s="313">
        <f>IFERROR(IF(INDEX([1]Pivot!$BF$1:$CG$65000,$B1038,AF$5)=1,1,IF(INDEX([1]Pivot!$B$1:$AB$65000,$B1038,AF$5)="",2,0)),0)</f>
        <v>0</v>
      </c>
      <c r="AG1038" s="313">
        <f>IFERROR(IF(INDEX([1]Pivot!$BF$1:$CG$65000,$B1038,AG$5)=1,1,IF(INDEX([1]Pivot!$B$1:$AB$65000,$B1038,AG$5)="",2,0)),0)</f>
        <v>0</v>
      </c>
      <c r="AH1038" s="313">
        <f>IFERROR(IF(INDEX([1]Pivot!$BF$1:$CG$65000,$B1038,AH$5)=1,1,IF(INDEX([1]Pivot!$B$1:$AB$65000,$B1038,AH$5)="",2,0)),0)</f>
        <v>0</v>
      </c>
      <c r="AI1038" s="313">
        <f>IFERROR(IF(INDEX([1]Pivot!$BF$1:$CG$65000,$B1038,AI$5)=1,1,IF(INDEX([1]Pivot!$B$1:$AB$65000,$B1038,AI$5)="",2,0)),0)</f>
        <v>0</v>
      </c>
      <c r="AJ1038" s="313">
        <f>IFERROR(IF(INDEX([1]Pivot!$BF$1:$CG$65000,$B1038,AJ$5)=1,1,IF(INDEX([1]Pivot!$B$1:$AB$65000,$B1038,AJ$5)="",2,0)),0)</f>
        <v>0</v>
      </c>
      <c r="AK1038" s="313">
        <f>IFERROR(IF(INDEX([1]Pivot!$BF$1:$CG$65000,$B1038,AK$5)=1,1,IF(INDEX([1]Pivot!$B$1:$AB$65000,$B1038,AK$5)="",2,0)),0)</f>
        <v>0</v>
      </c>
      <c r="AL1038" s="313">
        <f>IFERROR(IF(INDEX([1]Pivot!$BF$1:$CG$65000,$B1038,AL$5)=1,1,IF(INDEX([1]Pivot!$B$1:$AB$65000,$B1038,AL$5)="",2,0)),0)</f>
        <v>0</v>
      </c>
      <c r="AM1038" s="313">
        <f>IFERROR(IF(INDEX([1]Pivot!$BF$1:$CG$65000,$B1038,AM$5)=1,1,IF(INDEX([1]Pivot!$B$1:$AB$65000,$B1038,AM$5)="",2,0)),0)</f>
        <v>0</v>
      </c>
      <c r="AN1038" s="313">
        <f>IFERROR(IF(INDEX([1]Pivot!$BF$1:$CG$65000,$B1038,AN$5)=1,1,IF(INDEX([1]Pivot!$B$1:$AB$65000,$B1038,AN$5)="",2,0)),0)</f>
        <v>0</v>
      </c>
      <c r="AO1038" s="313">
        <f>IFERROR(IF(INDEX([1]Pivot!$BF$1:$CG$65000,$B1038,AO$5)=1,1,IF(INDEX([1]Pivot!$B$1:$AB$65000,$B1038,AO$5)="",2,0)),0)</f>
        <v>0</v>
      </c>
      <c r="AP1038" s="313">
        <f>IFERROR(IF(INDEX([1]Pivot!$BF$1:$CG$65000,$B1038,AP$5)=1,1,IF(INDEX([1]Pivot!$B$1:$AB$65000,$B1038,AP$5)="",2,0)),0)</f>
        <v>0</v>
      </c>
      <c r="AQ1038" s="313">
        <f>IFERROR(IF(INDEX([1]Pivot!$BF$1:$CG$65000,$B1038,AQ$5)=1,1,IF(INDEX([1]Pivot!$B$1:$AB$65000,$B1038,AQ$5)="",2,0)),0)</f>
        <v>0</v>
      </c>
      <c r="AR1038" s="313">
        <f>IFERROR(IF(INDEX([1]Pivot!$BF$1:$CG$65000,$B1038,AR$5)=1,1,IF(INDEX([1]Pivot!$B$1:$AB$65000,$B1038,AR$5)="",2,0)),0)</f>
        <v>0</v>
      </c>
      <c r="AS1038" s="312"/>
      <c r="AT1038" s="313">
        <f>IFERROR(IF(INDEX([1]Pivot!$BF$1:$CG$65000,$B1038,AT$5)=1,1,IF(INDEX([1]Pivot!$B$1:$AB$65000,$B1038,AT$5)="",2,0)),0)</f>
        <v>0</v>
      </c>
      <c r="AU1038" s="313">
        <f>IFERROR(IF(INDEX([1]Pivot!$BF$1:$CG$65000,$B1038,AU$5)=1,1,IF(INDEX([1]Pivot!$B$1:$AB$65000,$B1038,AU$5)="",2,0)),0)</f>
        <v>0</v>
      </c>
      <c r="AV1038" s="313">
        <f>IFERROR(IF(INDEX([1]Pivot!$BF$1:$CG$65000,$B1038,AV$5)=1,1,IF(INDEX([1]Pivot!$B$1:$AB$65000,$B1038,AV$5)="",2,0)),0)</f>
        <v>0</v>
      </c>
      <c r="AW1038" s="313">
        <f>IFERROR(IF(INDEX([1]Pivot!$BF$1:$CG$65000,$B1038,AW$5)=1,1,IF(INDEX([1]Pivot!$B$1:$AB$65000,$B1038,AW$5)="",2,0)),0)</f>
        <v>0</v>
      </c>
      <c r="AX1038" s="313">
        <f>IFERROR(IF(INDEX([1]Pivot!$BF$1:$CG$65000,$B1038,AX$5)=1,1,IF(INDEX([1]Pivot!$B$1:$AB$65000,$B1038,AX$5)="",2,0)),0)</f>
        <v>0</v>
      </c>
      <c r="AY1038" s="313">
        <f>IFERROR(IF(INDEX([1]Pivot!$BF$1:$CG$65000,$B1038,AY$5)=1,1,IF(INDEX([1]Pivot!$B$1:$AB$65000,$B1038,AY$5)="",2,0)),0)</f>
        <v>0</v>
      </c>
      <c r="AZ1038" s="313">
        <f>IFERROR(IF(INDEX([1]Pivot!$BF$1:$CG$65000,$B1038,AZ$5)=1,1,IF(INDEX([1]Pivot!$B$1:$AB$65000,$B1038,AZ$5)="",2,0)),0)</f>
        <v>0</v>
      </c>
      <c r="BA1038" s="313">
        <f>IFERROR(IF(INDEX([1]Pivot!$BF$1:$CG$65000,$B1038,BA$5)=1,1,IF(INDEX([1]Pivot!$B$1:$AB$65000,$B1038,BA$5)="",2,0)),0)</f>
        <v>0</v>
      </c>
      <c r="BB1038" s="313">
        <f>IFERROR(IF(INDEX([1]Pivot!$BF$1:$CG$65000,$B1038,BB$5)=1,1,IF(INDEX([1]Pivot!$B$1:$AB$65000,$B1038,BB$5)="",2,0)),0)</f>
        <v>0</v>
      </c>
      <c r="BC1038" s="313">
        <f>IFERROR(IF(INDEX([1]Pivot!$BF$1:$CG$65000,$B1038,BC$5)=1,1,IF(INDEX([1]Pivot!$B$1:$AB$65000,$B1038,BC$5)="",2,0)),0)</f>
        <v>0</v>
      </c>
      <c r="BD1038" s="313">
        <f>IFERROR(IF(INDEX([1]Pivot!$BF$1:$CG$65000,$B1038,BD$5)=1,1,IF(INDEX([1]Pivot!$B$1:$AB$65000,$B1038,BD$5)="",2,0)),0)</f>
        <v>0</v>
      </c>
    </row>
    <row r="1039" spans="1:56" x14ac:dyDescent="0.25">
      <c r="A1039" s="288">
        <f>'[2]Raw Milk Prices'!A1039</f>
        <v>0</v>
      </c>
      <c r="B1039" s="296" t="e">
        <f>MATCH(DATE(LEFT('[2]Raw Milk Prices'!$A1039,4),RIGHT('[2]Raw Milk Prices'!$A1039,2),1),[1]Pivot!$A$1:$A$65000,0)</f>
        <v>#VALUE!</v>
      </c>
      <c r="C1039" s="194">
        <f>IFERROR(IF(INDEX([1]Pivot!$AD$1:$BE$65000,$B1039,C$5)=1,1,IF(INDEX([1]Pivot!$B$1:$AB$65000,$B1039,C$5)="",2,0)),0)</f>
        <v>0</v>
      </c>
      <c r="D1039" s="194">
        <f>IFERROR(IF(INDEX([1]Pivot!$AD$1:$BE$65000,$B1039,D$5)=1,1,IF(INDEX([1]Pivot!$B$1:$AB$65000,$B1039,D$5)="",2,0)),0)</f>
        <v>0</v>
      </c>
      <c r="E1039" s="194">
        <f>IFERROR(IF(INDEX([1]Pivot!$AD$1:$BE$65000,$B1039,E$5)=1,1,IF(INDEX([1]Pivot!$B$1:$AB$65000,$B1039,E$5)="",2,0)),0)</f>
        <v>0</v>
      </c>
      <c r="F1039" s="194">
        <f>IFERROR(IF(INDEX([1]Pivot!$AD$1:$BE$65000,$B1039,F$5)=1,1,IF(INDEX([1]Pivot!$B$1:$AB$65000,$B1039,F$5)="",2,0)),0)</f>
        <v>0</v>
      </c>
      <c r="G1039" s="194">
        <f>IFERROR(IF(INDEX([1]Pivot!$AD$1:$BE$65000,$B1039,G$5)=1,1,IF(INDEX([1]Pivot!$B$1:$AB$65000,$B1039,G$5)="",2,0)),0)</f>
        <v>0</v>
      </c>
      <c r="H1039" s="194">
        <f>IFERROR(IF(INDEX([1]Pivot!$AD$1:$BE$65000,$B1039,H$5)=1,1,IF(INDEX([1]Pivot!$B$1:$AB$65000,$B1039,H$5)="",2,0)),0)</f>
        <v>0</v>
      </c>
      <c r="I1039" s="194">
        <f>IFERROR(IF(INDEX([1]Pivot!$AD$1:$BE$65000,$B1039,I$5)=1,1,IF(INDEX([1]Pivot!$B$1:$AB$65000,$B1039,I$5)="",2,0)),0)</f>
        <v>0</v>
      </c>
      <c r="J1039" s="194">
        <f>IFERROR(IF(INDEX([1]Pivot!$AD$1:$BE$65000,$B1039,J$5)=1,1,IF(INDEX([1]Pivot!$B$1:$AB$65000,$B1039,J$5)="",2,0)),0)</f>
        <v>0</v>
      </c>
      <c r="K1039" s="194">
        <f>IFERROR(IF(INDEX([1]Pivot!$AD$1:$BE$65000,$B1039,K$5)=1,1,IF(INDEX([1]Pivot!$B$1:$AB$65000,$B1039,K$5)="",2,0)),0)</f>
        <v>0</v>
      </c>
      <c r="L1039" s="194">
        <f>IFERROR(IF(INDEX([1]Pivot!$AD$1:$BE$65000,$B1039,L$5)=1,1,IF(INDEX([1]Pivot!$B$1:$AB$65000,$B1039,L$5)="",2,0)),0)</f>
        <v>0</v>
      </c>
      <c r="M1039" s="194">
        <f>IFERROR(IF(INDEX([1]Pivot!$AD$1:$BE$65000,$B1039,M$5)=1,1,IF(INDEX([1]Pivot!$B$1:$AB$65000,$B1039,M$5)="",2,0)),0)</f>
        <v>0</v>
      </c>
      <c r="N1039" s="194">
        <f>IFERROR(IF(INDEX([1]Pivot!$AD$1:$BE$65000,$B1039,N$5)=1,1,IF(INDEX([1]Pivot!$B$1:$AB$65000,$B1039,N$5)="",2,0)),0)</f>
        <v>0</v>
      </c>
      <c r="O1039" s="194">
        <f>IFERROR(IF(INDEX([1]Pivot!$AD$1:$BE$65000,$B1039,O$5)=1,1,IF(INDEX([1]Pivot!$B$1:$AB$65000,$B1039,O$5)="",2,0)),0)</f>
        <v>0</v>
      </c>
      <c r="P1039" s="194">
        <f>IFERROR(IF(INDEX([1]Pivot!$AD$1:$BE$65000,$B1039,P$5)=1,1,IF(INDEX([1]Pivot!$B$1:$AB$65000,$B1039,P$5)="",2,0)),0)</f>
        <v>0</v>
      </c>
      <c r="Q1039" s="194">
        <f>IFERROR(IF(INDEX([1]Pivot!$AD$1:$BE$65000,$B1039,Q$5)=1,1,IF(INDEX([1]Pivot!$B$1:$AB$65000,$B1039,Q$5)="",2,0)),0)</f>
        <v>0</v>
      </c>
      <c r="R1039" s="312"/>
      <c r="S1039" s="194">
        <f>IFERROR(IF(INDEX([1]Pivot!$AD$1:$BE$65000,$B1039,S$5)=1,1,IF(INDEX([1]Pivot!$B$1:$AB$65000,$B1039,S$5)="",2,0)),0)</f>
        <v>0</v>
      </c>
      <c r="T1039" s="194">
        <f>IFERROR(IF(INDEX([1]Pivot!$AD$1:$BE$65000,$B1039,T$5)=1,1,IF(INDEX([1]Pivot!$B$1:$AB$65000,$B1039,T$5)="",2,0)),0)</f>
        <v>0</v>
      </c>
      <c r="U1039" s="194">
        <f>IFERROR(IF(INDEX([1]Pivot!$AD$1:$BE$65000,$B1039,U$5)=1,1,IF(INDEX([1]Pivot!$B$1:$AB$65000,$B1039,U$5)="",2,0)),0)</f>
        <v>0</v>
      </c>
      <c r="V1039" s="194">
        <f>IFERROR(IF(INDEX([1]Pivot!$AD$1:$BE$65000,$B1039,V$5)=1,1,IF(INDEX([1]Pivot!$B$1:$AB$65000,$B1039,V$5)="",2,0)),0)</f>
        <v>0</v>
      </c>
      <c r="W1039" s="194">
        <f>IFERROR(IF(INDEX([1]Pivot!$AD$1:$BE$65000,$B1039,W$5)=1,1,IF(INDEX([1]Pivot!$B$1:$AB$65000,$B1039,W$5)="",2,0)),0)</f>
        <v>0</v>
      </c>
      <c r="X1039" s="194">
        <f>IFERROR(IF(INDEX([1]Pivot!$AD$1:$BE$65000,$B1039,X$5)=1,1,IF(INDEX([1]Pivot!$B$1:$AB$65000,$B1039,X$5)="",2,0)),0)</f>
        <v>0</v>
      </c>
      <c r="Y1039" s="194">
        <f>IFERROR(IF(INDEX([1]Pivot!$AD$1:$BE$65000,$B1039,Y$5)=1,1,IF(INDEX([1]Pivot!$B$1:$AB$65000,$B1039,Y$5)="",2,0)),0)</f>
        <v>0</v>
      </c>
      <c r="Z1039" s="194">
        <f>IFERROR(IF(INDEX([1]Pivot!$AD$1:$BE$65000,$B1039,Z$5)=1,1,IF(INDEX([1]Pivot!$B$1:$AB$65000,$B1039,Z$5)="",2,0)),0)</f>
        <v>0</v>
      </c>
      <c r="AA1039" s="194">
        <f>IFERROR(IF(INDEX([1]Pivot!$AD$1:$BE$65000,$B1039,AA$5)=1,1,IF(INDEX([1]Pivot!$B$1:$AB$65000,$B1039,AA$5)="",2,0)),0)</f>
        <v>0</v>
      </c>
      <c r="AB1039" s="194">
        <f>IFERROR(IF(INDEX([1]Pivot!$AD$1:$BE$65000,$B1039,AB$5)=1,1,IF(INDEX([1]Pivot!$B$1:$AB$65000,$B1039,AB$5)="",2,0)),0)</f>
        <v>0</v>
      </c>
      <c r="AC1039" s="194">
        <f>IFERROR(IF(INDEX([1]Pivot!$AD$1:$BE$65000,$B1039,AC$5)=1,1,IF(INDEX([1]Pivot!$B$1:$AB$65000,$B1039,AC$5)="",2,0)),0)</f>
        <v>0</v>
      </c>
      <c r="AD1039" s="313">
        <f>IFERROR(IF(INDEX([1]Pivot!$BF$1:$CG$65000,$B1039,AD$5)=1,1,IF(INDEX([1]Pivot!$B$1:$AB$65000,$B1039,AD$5)="",2,0)),0)</f>
        <v>0</v>
      </c>
      <c r="AE1039" s="313">
        <f>IFERROR(IF(INDEX([1]Pivot!$BF$1:$CG$65000,$B1039,AE$5)=1,1,IF(INDEX([1]Pivot!$B$1:$AB$65000,$B1039,AE$5)="",2,0)),0)</f>
        <v>0</v>
      </c>
      <c r="AF1039" s="313">
        <f>IFERROR(IF(INDEX([1]Pivot!$BF$1:$CG$65000,$B1039,AF$5)=1,1,IF(INDEX([1]Pivot!$B$1:$AB$65000,$B1039,AF$5)="",2,0)),0)</f>
        <v>0</v>
      </c>
      <c r="AG1039" s="313">
        <f>IFERROR(IF(INDEX([1]Pivot!$BF$1:$CG$65000,$B1039,AG$5)=1,1,IF(INDEX([1]Pivot!$B$1:$AB$65000,$B1039,AG$5)="",2,0)),0)</f>
        <v>0</v>
      </c>
      <c r="AH1039" s="313">
        <f>IFERROR(IF(INDEX([1]Pivot!$BF$1:$CG$65000,$B1039,AH$5)=1,1,IF(INDEX([1]Pivot!$B$1:$AB$65000,$B1039,AH$5)="",2,0)),0)</f>
        <v>0</v>
      </c>
      <c r="AI1039" s="313">
        <f>IFERROR(IF(INDEX([1]Pivot!$BF$1:$CG$65000,$B1039,AI$5)=1,1,IF(INDEX([1]Pivot!$B$1:$AB$65000,$B1039,AI$5)="",2,0)),0)</f>
        <v>0</v>
      </c>
      <c r="AJ1039" s="313">
        <f>IFERROR(IF(INDEX([1]Pivot!$BF$1:$CG$65000,$B1039,AJ$5)=1,1,IF(INDEX([1]Pivot!$B$1:$AB$65000,$B1039,AJ$5)="",2,0)),0)</f>
        <v>0</v>
      </c>
      <c r="AK1039" s="313">
        <f>IFERROR(IF(INDEX([1]Pivot!$BF$1:$CG$65000,$B1039,AK$5)=1,1,IF(INDEX([1]Pivot!$B$1:$AB$65000,$B1039,AK$5)="",2,0)),0)</f>
        <v>0</v>
      </c>
      <c r="AL1039" s="313">
        <f>IFERROR(IF(INDEX([1]Pivot!$BF$1:$CG$65000,$B1039,AL$5)=1,1,IF(INDEX([1]Pivot!$B$1:$AB$65000,$B1039,AL$5)="",2,0)),0)</f>
        <v>0</v>
      </c>
      <c r="AM1039" s="313">
        <f>IFERROR(IF(INDEX([1]Pivot!$BF$1:$CG$65000,$B1039,AM$5)=1,1,IF(INDEX([1]Pivot!$B$1:$AB$65000,$B1039,AM$5)="",2,0)),0)</f>
        <v>0</v>
      </c>
      <c r="AN1039" s="313">
        <f>IFERROR(IF(INDEX([1]Pivot!$BF$1:$CG$65000,$B1039,AN$5)=1,1,IF(INDEX([1]Pivot!$B$1:$AB$65000,$B1039,AN$5)="",2,0)),0)</f>
        <v>0</v>
      </c>
      <c r="AO1039" s="313">
        <f>IFERROR(IF(INDEX([1]Pivot!$BF$1:$CG$65000,$B1039,AO$5)=1,1,IF(INDEX([1]Pivot!$B$1:$AB$65000,$B1039,AO$5)="",2,0)),0)</f>
        <v>0</v>
      </c>
      <c r="AP1039" s="313">
        <f>IFERROR(IF(INDEX([1]Pivot!$BF$1:$CG$65000,$B1039,AP$5)=1,1,IF(INDEX([1]Pivot!$B$1:$AB$65000,$B1039,AP$5)="",2,0)),0)</f>
        <v>0</v>
      </c>
      <c r="AQ1039" s="313">
        <f>IFERROR(IF(INDEX([1]Pivot!$BF$1:$CG$65000,$B1039,AQ$5)=1,1,IF(INDEX([1]Pivot!$B$1:$AB$65000,$B1039,AQ$5)="",2,0)),0)</f>
        <v>0</v>
      </c>
      <c r="AR1039" s="313">
        <f>IFERROR(IF(INDEX([1]Pivot!$BF$1:$CG$65000,$B1039,AR$5)=1,1,IF(INDEX([1]Pivot!$B$1:$AB$65000,$B1039,AR$5)="",2,0)),0)</f>
        <v>0</v>
      </c>
      <c r="AS1039" s="312"/>
      <c r="AT1039" s="313">
        <f>IFERROR(IF(INDEX([1]Pivot!$BF$1:$CG$65000,$B1039,AT$5)=1,1,IF(INDEX([1]Pivot!$B$1:$AB$65000,$B1039,AT$5)="",2,0)),0)</f>
        <v>0</v>
      </c>
      <c r="AU1039" s="313">
        <f>IFERROR(IF(INDEX([1]Pivot!$BF$1:$CG$65000,$B1039,AU$5)=1,1,IF(INDEX([1]Pivot!$B$1:$AB$65000,$B1039,AU$5)="",2,0)),0)</f>
        <v>0</v>
      </c>
      <c r="AV1039" s="313">
        <f>IFERROR(IF(INDEX([1]Pivot!$BF$1:$CG$65000,$B1039,AV$5)=1,1,IF(INDEX([1]Pivot!$B$1:$AB$65000,$B1039,AV$5)="",2,0)),0)</f>
        <v>0</v>
      </c>
      <c r="AW1039" s="313">
        <f>IFERROR(IF(INDEX([1]Pivot!$BF$1:$CG$65000,$B1039,AW$5)=1,1,IF(INDEX([1]Pivot!$B$1:$AB$65000,$B1039,AW$5)="",2,0)),0)</f>
        <v>0</v>
      </c>
      <c r="AX1039" s="313">
        <f>IFERROR(IF(INDEX([1]Pivot!$BF$1:$CG$65000,$B1039,AX$5)=1,1,IF(INDEX([1]Pivot!$B$1:$AB$65000,$B1039,AX$5)="",2,0)),0)</f>
        <v>0</v>
      </c>
      <c r="AY1039" s="313">
        <f>IFERROR(IF(INDEX([1]Pivot!$BF$1:$CG$65000,$B1039,AY$5)=1,1,IF(INDEX([1]Pivot!$B$1:$AB$65000,$B1039,AY$5)="",2,0)),0)</f>
        <v>0</v>
      </c>
      <c r="AZ1039" s="313">
        <f>IFERROR(IF(INDEX([1]Pivot!$BF$1:$CG$65000,$B1039,AZ$5)=1,1,IF(INDEX([1]Pivot!$B$1:$AB$65000,$B1039,AZ$5)="",2,0)),0)</f>
        <v>0</v>
      </c>
      <c r="BA1039" s="313">
        <f>IFERROR(IF(INDEX([1]Pivot!$BF$1:$CG$65000,$B1039,BA$5)=1,1,IF(INDEX([1]Pivot!$B$1:$AB$65000,$B1039,BA$5)="",2,0)),0)</f>
        <v>0</v>
      </c>
      <c r="BB1039" s="313">
        <f>IFERROR(IF(INDEX([1]Pivot!$BF$1:$CG$65000,$B1039,BB$5)=1,1,IF(INDEX([1]Pivot!$B$1:$AB$65000,$B1039,BB$5)="",2,0)),0)</f>
        <v>0</v>
      </c>
      <c r="BC1039" s="313">
        <f>IFERROR(IF(INDEX([1]Pivot!$BF$1:$CG$65000,$B1039,BC$5)=1,1,IF(INDEX([1]Pivot!$B$1:$AB$65000,$B1039,BC$5)="",2,0)),0)</f>
        <v>0</v>
      </c>
      <c r="BD1039" s="313">
        <f>IFERROR(IF(INDEX([1]Pivot!$BF$1:$CG$65000,$B1039,BD$5)=1,1,IF(INDEX([1]Pivot!$B$1:$AB$65000,$B1039,BD$5)="",2,0)),0)</f>
        <v>0</v>
      </c>
    </row>
    <row r="1040" spans="1:56" x14ac:dyDescent="0.25">
      <c r="A1040" s="288">
        <f>'[2]Raw Milk Prices'!A1040</f>
        <v>0</v>
      </c>
      <c r="B1040" s="296" t="e">
        <f>MATCH(DATE(LEFT('[2]Raw Milk Prices'!$A1040,4),RIGHT('[2]Raw Milk Prices'!$A1040,2),1),[1]Pivot!$A$1:$A$65000,0)</f>
        <v>#VALUE!</v>
      </c>
      <c r="C1040" s="194">
        <f>IFERROR(IF(INDEX([1]Pivot!$AD$1:$BE$65000,$B1040,C$5)=1,1,IF(INDEX([1]Pivot!$B$1:$AB$65000,$B1040,C$5)="",2,0)),0)</f>
        <v>0</v>
      </c>
      <c r="D1040" s="194">
        <f>IFERROR(IF(INDEX([1]Pivot!$AD$1:$BE$65000,$B1040,D$5)=1,1,IF(INDEX([1]Pivot!$B$1:$AB$65000,$B1040,D$5)="",2,0)),0)</f>
        <v>0</v>
      </c>
      <c r="E1040" s="194">
        <f>IFERROR(IF(INDEX([1]Pivot!$AD$1:$BE$65000,$B1040,E$5)=1,1,IF(INDEX([1]Pivot!$B$1:$AB$65000,$B1040,E$5)="",2,0)),0)</f>
        <v>0</v>
      </c>
      <c r="F1040" s="194">
        <f>IFERROR(IF(INDEX([1]Pivot!$AD$1:$BE$65000,$B1040,F$5)=1,1,IF(INDEX([1]Pivot!$B$1:$AB$65000,$B1040,F$5)="",2,0)),0)</f>
        <v>0</v>
      </c>
      <c r="G1040" s="194">
        <f>IFERROR(IF(INDEX([1]Pivot!$AD$1:$BE$65000,$B1040,G$5)=1,1,IF(INDEX([1]Pivot!$B$1:$AB$65000,$B1040,G$5)="",2,0)),0)</f>
        <v>0</v>
      </c>
      <c r="H1040" s="194">
        <f>IFERROR(IF(INDEX([1]Pivot!$AD$1:$BE$65000,$B1040,H$5)=1,1,IF(INDEX([1]Pivot!$B$1:$AB$65000,$B1040,H$5)="",2,0)),0)</f>
        <v>0</v>
      </c>
      <c r="I1040" s="194">
        <f>IFERROR(IF(INDEX([1]Pivot!$AD$1:$BE$65000,$B1040,I$5)=1,1,IF(INDEX([1]Pivot!$B$1:$AB$65000,$B1040,I$5)="",2,0)),0)</f>
        <v>0</v>
      </c>
      <c r="J1040" s="194">
        <f>IFERROR(IF(INDEX([1]Pivot!$AD$1:$BE$65000,$B1040,J$5)=1,1,IF(INDEX([1]Pivot!$B$1:$AB$65000,$B1040,J$5)="",2,0)),0)</f>
        <v>0</v>
      </c>
      <c r="K1040" s="194">
        <f>IFERROR(IF(INDEX([1]Pivot!$AD$1:$BE$65000,$B1040,K$5)=1,1,IF(INDEX([1]Pivot!$B$1:$AB$65000,$B1040,K$5)="",2,0)),0)</f>
        <v>0</v>
      </c>
      <c r="L1040" s="194">
        <f>IFERROR(IF(INDEX([1]Pivot!$AD$1:$BE$65000,$B1040,L$5)=1,1,IF(INDEX([1]Pivot!$B$1:$AB$65000,$B1040,L$5)="",2,0)),0)</f>
        <v>0</v>
      </c>
      <c r="M1040" s="194">
        <f>IFERROR(IF(INDEX([1]Pivot!$AD$1:$BE$65000,$B1040,M$5)=1,1,IF(INDEX([1]Pivot!$B$1:$AB$65000,$B1040,M$5)="",2,0)),0)</f>
        <v>0</v>
      </c>
      <c r="N1040" s="194">
        <f>IFERROR(IF(INDEX([1]Pivot!$AD$1:$BE$65000,$B1040,N$5)=1,1,IF(INDEX([1]Pivot!$B$1:$AB$65000,$B1040,N$5)="",2,0)),0)</f>
        <v>0</v>
      </c>
      <c r="O1040" s="194">
        <f>IFERROR(IF(INDEX([1]Pivot!$AD$1:$BE$65000,$B1040,O$5)=1,1,IF(INDEX([1]Pivot!$B$1:$AB$65000,$B1040,O$5)="",2,0)),0)</f>
        <v>0</v>
      </c>
      <c r="P1040" s="194">
        <f>IFERROR(IF(INDEX([1]Pivot!$AD$1:$BE$65000,$B1040,P$5)=1,1,IF(INDEX([1]Pivot!$B$1:$AB$65000,$B1040,P$5)="",2,0)),0)</f>
        <v>0</v>
      </c>
      <c r="Q1040" s="194">
        <f>IFERROR(IF(INDEX([1]Pivot!$AD$1:$BE$65000,$B1040,Q$5)=1,1,IF(INDEX([1]Pivot!$B$1:$AB$65000,$B1040,Q$5)="",2,0)),0)</f>
        <v>0</v>
      </c>
      <c r="R1040" s="312"/>
      <c r="S1040" s="194">
        <f>IFERROR(IF(INDEX([1]Pivot!$AD$1:$BE$65000,$B1040,S$5)=1,1,IF(INDEX([1]Pivot!$B$1:$AB$65000,$B1040,S$5)="",2,0)),0)</f>
        <v>0</v>
      </c>
      <c r="T1040" s="194">
        <f>IFERROR(IF(INDEX([1]Pivot!$AD$1:$BE$65000,$B1040,T$5)=1,1,IF(INDEX([1]Pivot!$B$1:$AB$65000,$B1040,T$5)="",2,0)),0)</f>
        <v>0</v>
      </c>
      <c r="U1040" s="194">
        <f>IFERROR(IF(INDEX([1]Pivot!$AD$1:$BE$65000,$B1040,U$5)=1,1,IF(INDEX([1]Pivot!$B$1:$AB$65000,$B1040,U$5)="",2,0)),0)</f>
        <v>0</v>
      </c>
      <c r="V1040" s="194">
        <f>IFERROR(IF(INDEX([1]Pivot!$AD$1:$BE$65000,$B1040,V$5)=1,1,IF(INDEX([1]Pivot!$B$1:$AB$65000,$B1040,V$5)="",2,0)),0)</f>
        <v>0</v>
      </c>
      <c r="W1040" s="194">
        <f>IFERROR(IF(INDEX([1]Pivot!$AD$1:$BE$65000,$B1040,W$5)=1,1,IF(INDEX([1]Pivot!$B$1:$AB$65000,$B1040,W$5)="",2,0)),0)</f>
        <v>0</v>
      </c>
      <c r="X1040" s="194">
        <f>IFERROR(IF(INDEX([1]Pivot!$AD$1:$BE$65000,$B1040,X$5)=1,1,IF(INDEX([1]Pivot!$B$1:$AB$65000,$B1040,X$5)="",2,0)),0)</f>
        <v>0</v>
      </c>
      <c r="Y1040" s="194">
        <f>IFERROR(IF(INDEX([1]Pivot!$AD$1:$BE$65000,$B1040,Y$5)=1,1,IF(INDEX([1]Pivot!$B$1:$AB$65000,$B1040,Y$5)="",2,0)),0)</f>
        <v>0</v>
      </c>
      <c r="Z1040" s="194">
        <f>IFERROR(IF(INDEX([1]Pivot!$AD$1:$BE$65000,$B1040,Z$5)=1,1,IF(INDEX([1]Pivot!$B$1:$AB$65000,$B1040,Z$5)="",2,0)),0)</f>
        <v>0</v>
      </c>
      <c r="AA1040" s="194">
        <f>IFERROR(IF(INDEX([1]Pivot!$AD$1:$BE$65000,$B1040,AA$5)=1,1,IF(INDEX([1]Pivot!$B$1:$AB$65000,$B1040,AA$5)="",2,0)),0)</f>
        <v>0</v>
      </c>
      <c r="AB1040" s="194">
        <f>IFERROR(IF(INDEX([1]Pivot!$AD$1:$BE$65000,$B1040,AB$5)=1,1,IF(INDEX([1]Pivot!$B$1:$AB$65000,$B1040,AB$5)="",2,0)),0)</f>
        <v>0</v>
      </c>
      <c r="AC1040" s="194">
        <f>IFERROR(IF(INDEX([1]Pivot!$AD$1:$BE$65000,$B1040,AC$5)=1,1,IF(INDEX([1]Pivot!$B$1:$AB$65000,$B1040,AC$5)="",2,0)),0)</f>
        <v>0</v>
      </c>
      <c r="AD1040" s="313">
        <f>IFERROR(IF(INDEX([1]Pivot!$BF$1:$CG$65000,$B1040,AD$5)=1,1,IF(INDEX([1]Pivot!$B$1:$AB$65000,$B1040,AD$5)="",2,0)),0)</f>
        <v>0</v>
      </c>
      <c r="AE1040" s="313">
        <f>IFERROR(IF(INDEX([1]Pivot!$BF$1:$CG$65000,$B1040,AE$5)=1,1,IF(INDEX([1]Pivot!$B$1:$AB$65000,$B1040,AE$5)="",2,0)),0)</f>
        <v>0</v>
      </c>
      <c r="AF1040" s="313">
        <f>IFERROR(IF(INDEX([1]Pivot!$BF$1:$CG$65000,$B1040,AF$5)=1,1,IF(INDEX([1]Pivot!$B$1:$AB$65000,$B1040,AF$5)="",2,0)),0)</f>
        <v>0</v>
      </c>
      <c r="AG1040" s="313">
        <f>IFERROR(IF(INDEX([1]Pivot!$BF$1:$CG$65000,$B1040,AG$5)=1,1,IF(INDEX([1]Pivot!$B$1:$AB$65000,$B1040,AG$5)="",2,0)),0)</f>
        <v>0</v>
      </c>
      <c r="AH1040" s="313">
        <f>IFERROR(IF(INDEX([1]Pivot!$BF$1:$CG$65000,$B1040,AH$5)=1,1,IF(INDEX([1]Pivot!$B$1:$AB$65000,$B1040,AH$5)="",2,0)),0)</f>
        <v>0</v>
      </c>
      <c r="AI1040" s="313">
        <f>IFERROR(IF(INDEX([1]Pivot!$BF$1:$CG$65000,$B1040,AI$5)=1,1,IF(INDEX([1]Pivot!$B$1:$AB$65000,$B1040,AI$5)="",2,0)),0)</f>
        <v>0</v>
      </c>
      <c r="AJ1040" s="313">
        <f>IFERROR(IF(INDEX([1]Pivot!$BF$1:$CG$65000,$B1040,AJ$5)=1,1,IF(INDEX([1]Pivot!$B$1:$AB$65000,$B1040,AJ$5)="",2,0)),0)</f>
        <v>0</v>
      </c>
      <c r="AK1040" s="313">
        <f>IFERROR(IF(INDEX([1]Pivot!$BF$1:$CG$65000,$B1040,AK$5)=1,1,IF(INDEX([1]Pivot!$B$1:$AB$65000,$B1040,AK$5)="",2,0)),0)</f>
        <v>0</v>
      </c>
      <c r="AL1040" s="313">
        <f>IFERROR(IF(INDEX([1]Pivot!$BF$1:$CG$65000,$B1040,AL$5)=1,1,IF(INDEX([1]Pivot!$B$1:$AB$65000,$B1040,AL$5)="",2,0)),0)</f>
        <v>0</v>
      </c>
      <c r="AM1040" s="313">
        <f>IFERROR(IF(INDEX([1]Pivot!$BF$1:$CG$65000,$B1040,AM$5)=1,1,IF(INDEX([1]Pivot!$B$1:$AB$65000,$B1040,AM$5)="",2,0)),0)</f>
        <v>0</v>
      </c>
      <c r="AN1040" s="313">
        <f>IFERROR(IF(INDEX([1]Pivot!$BF$1:$CG$65000,$B1040,AN$5)=1,1,IF(INDEX([1]Pivot!$B$1:$AB$65000,$B1040,AN$5)="",2,0)),0)</f>
        <v>0</v>
      </c>
      <c r="AO1040" s="313">
        <f>IFERROR(IF(INDEX([1]Pivot!$BF$1:$CG$65000,$B1040,AO$5)=1,1,IF(INDEX([1]Pivot!$B$1:$AB$65000,$B1040,AO$5)="",2,0)),0)</f>
        <v>0</v>
      </c>
      <c r="AP1040" s="313">
        <f>IFERROR(IF(INDEX([1]Pivot!$BF$1:$CG$65000,$B1040,AP$5)=1,1,IF(INDEX([1]Pivot!$B$1:$AB$65000,$B1040,AP$5)="",2,0)),0)</f>
        <v>0</v>
      </c>
      <c r="AQ1040" s="313">
        <f>IFERROR(IF(INDEX([1]Pivot!$BF$1:$CG$65000,$B1040,AQ$5)=1,1,IF(INDEX([1]Pivot!$B$1:$AB$65000,$B1040,AQ$5)="",2,0)),0)</f>
        <v>0</v>
      </c>
      <c r="AR1040" s="313">
        <f>IFERROR(IF(INDEX([1]Pivot!$BF$1:$CG$65000,$B1040,AR$5)=1,1,IF(INDEX([1]Pivot!$B$1:$AB$65000,$B1040,AR$5)="",2,0)),0)</f>
        <v>0</v>
      </c>
      <c r="AS1040" s="312"/>
      <c r="AT1040" s="313">
        <f>IFERROR(IF(INDEX([1]Pivot!$BF$1:$CG$65000,$B1040,AT$5)=1,1,IF(INDEX([1]Pivot!$B$1:$AB$65000,$B1040,AT$5)="",2,0)),0)</f>
        <v>0</v>
      </c>
      <c r="AU1040" s="313">
        <f>IFERROR(IF(INDEX([1]Pivot!$BF$1:$CG$65000,$B1040,AU$5)=1,1,IF(INDEX([1]Pivot!$B$1:$AB$65000,$B1040,AU$5)="",2,0)),0)</f>
        <v>0</v>
      </c>
      <c r="AV1040" s="313">
        <f>IFERROR(IF(INDEX([1]Pivot!$BF$1:$CG$65000,$B1040,AV$5)=1,1,IF(INDEX([1]Pivot!$B$1:$AB$65000,$B1040,AV$5)="",2,0)),0)</f>
        <v>0</v>
      </c>
      <c r="AW1040" s="313">
        <f>IFERROR(IF(INDEX([1]Pivot!$BF$1:$CG$65000,$B1040,AW$5)=1,1,IF(INDEX([1]Pivot!$B$1:$AB$65000,$B1040,AW$5)="",2,0)),0)</f>
        <v>0</v>
      </c>
      <c r="AX1040" s="313">
        <f>IFERROR(IF(INDEX([1]Pivot!$BF$1:$CG$65000,$B1040,AX$5)=1,1,IF(INDEX([1]Pivot!$B$1:$AB$65000,$B1040,AX$5)="",2,0)),0)</f>
        <v>0</v>
      </c>
      <c r="AY1040" s="313">
        <f>IFERROR(IF(INDEX([1]Pivot!$BF$1:$CG$65000,$B1040,AY$5)=1,1,IF(INDEX([1]Pivot!$B$1:$AB$65000,$B1040,AY$5)="",2,0)),0)</f>
        <v>0</v>
      </c>
      <c r="AZ1040" s="313">
        <f>IFERROR(IF(INDEX([1]Pivot!$BF$1:$CG$65000,$B1040,AZ$5)=1,1,IF(INDEX([1]Pivot!$B$1:$AB$65000,$B1040,AZ$5)="",2,0)),0)</f>
        <v>0</v>
      </c>
      <c r="BA1040" s="313">
        <f>IFERROR(IF(INDEX([1]Pivot!$BF$1:$CG$65000,$B1040,BA$5)=1,1,IF(INDEX([1]Pivot!$B$1:$AB$65000,$B1040,BA$5)="",2,0)),0)</f>
        <v>0</v>
      </c>
      <c r="BB1040" s="313">
        <f>IFERROR(IF(INDEX([1]Pivot!$BF$1:$CG$65000,$B1040,BB$5)=1,1,IF(INDEX([1]Pivot!$B$1:$AB$65000,$B1040,BB$5)="",2,0)),0)</f>
        <v>0</v>
      </c>
      <c r="BC1040" s="313">
        <f>IFERROR(IF(INDEX([1]Pivot!$BF$1:$CG$65000,$B1040,BC$5)=1,1,IF(INDEX([1]Pivot!$B$1:$AB$65000,$B1040,BC$5)="",2,0)),0)</f>
        <v>0</v>
      </c>
      <c r="BD1040" s="313">
        <f>IFERROR(IF(INDEX([1]Pivot!$BF$1:$CG$65000,$B1040,BD$5)=1,1,IF(INDEX([1]Pivot!$B$1:$AB$65000,$B1040,BD$5)="",2,0)),0)</f>
        <v>0</v>
      </c>
    </row>
    <row r="1041" spans="1:56" x14ac:dyDescent="0.25">
      <c r="A1041" s="288">
        <f>'[2]Raw Milk Prices'!A1041</f>
        <v>0</v>
      </c>
      <c r="B1041" s="296" t="e">
        <f>MATCH(DATE(LEFT('[2]Raw Milk Prices'!$A1041,4),RIGHT('[2]Raw Milk Prices'!$A1041,2),1),[1]Pivot!$A$1:$A$65000,0)</f>
        <v>#VALUE!</v>
      </c>
      <c r="C1041" s="194">
        <f>IFERROR(IF(INDEX([1]Pivot!$AD$1:$BE$65000,$B1041,C$5)=1,1,IF(INDEX([1]Pivot!$B$1:$AB$65000,$B1041,C$5)="",2,0)),0)</f>
        <v>0</v>
      </c>
      <c r="D1041" s="194">
        <f>IFERROR(IF(INDEX([1]Pivot!$AD$1:$BE$65000,$B1041,D$5)=1,1,IF(INDEX([1]Pivot!$B$1:$AB$65000,$B1041,D$5)="",2,0)),0)</f>
        <v>0</v>
      </c>
      <c r="E1041" s="194">
        <f>IFERROR(IF(INDEX([1]Pivot!$AD$1:$BE$65000,$B1041,E$5)=1,1,IF(INDEX([1]Pivot!$B$1:$AB$65000,$B1041,E$5)="",2,0)),0)</f>
        <v>0</v>
      </c>
      <c r="F1041" s="194">
        <f>IFERROR(IF(INDEX([1]Pivot!$AD$1:$BE$65000,$B1041,F$5)=1,1,IF(INDEX([1]Pivot!$B$1:$AB$65000,$B1041,F$5)="",2,0)),0)</f>
        <v>0</v>
      </c>
      <c r="G1041" s="194">
        <f>IFERROR(IF(INDEX([1]Pivot!$AD$1:$BE$65000,$B1041,G$5)=1,1,IF(INDEX([1]Pivot!$B$1:$AB$65000,$B1041,G$5)="",2,0)),0)</f>
        <v>0</v>
      </c>
      <c r="H1041" s="194">
        <f>IFERROR(IF(INDEX([1]Pivot!$AD$1:$BE$65000,$B1041,H$5)=1,1,IF(INDEX([1]Pivot!$B$1:$AB$65000,$B1041,H$5)="",2,0)),0)</f>
        <v>0</v>
      </c>
      <c r="I1041" s="194">
        <f>IFERROR(IF(INDEX([1]Pivot!$AD$1:$BE$65000,$B1041,I$5)=1,1,IF(INDEX([1]Pivot!$B$1:$AB$65000,$B1041,I$5)="",2,0)),0)</f>
        <v>0</v>
      </c>
      <c r="J1041" s="194">
        <f>IFERROR(IF(INDEX([1]Pivot!$AD$1:$BE$65000,$B1041,J$5)=1,1,IF(INDEX([1]Pivot!$B$1:$AB$65000,$B1041,J$5)="",2,0)),0)</f>
        <v>0</v>
      </c>
      <c r="K1041" s="194">
        <f>IFERROR(IF(INDEX([1]Pivot!$AD$1:$BE$65000,$B1041,K$5)=1,1,IF(INDEX([1]Pivot!$B$1:$AB$65000,$B1041,K$5)="",2,0)),0)</f>
        <v>0</v>
      </c>
      <c r="L1041" s="194">
        <f>IFERROR(IF(INDEX([1]Pivot!$AD$1:$BE$65000,$B1041,L$5)=1,1,IF(INDEX([1]Pivot!$B$1:$AB$65000,$B1041,L$5)="",2,0)),0)</f>
        <v>0</v>
      </c>
      <c r="M1041" s="194">
        <f>IFERROR(IF(INDEX([1]Pivot!$AD$1:$BE$65000,$B1041,M$5)=1,1,IF(INDEX([1]Pivot!$B$1:$AB$65000,$B1041,M$5)="",2,0)),0)</f>
        <v>0</v>
      </c>
      <c r="N1041" s="194">
        <f>IFERROR(IF(INDEX([1]Pivot!$AD$1:$BE$65000,$B1041,N$5)=1,1,IF(INDEX([1]Pivot!$B$1:$AB$65000,$B1041,N$5)="",2,0)),0)</f>
        <v>0</v>
      </c>
      <c r="O1041" s="194">
        <f>IFERROR(IF(INDEX([1]Pivot!$AD$1:$BE$65000,$B1041,O$5)=1,1,IF(INDEX([1]Pivot!$B$1:$AB$65000,$B1041,O$5)="",2,0)),0)</f>
        <v>0</v>
      </c>
      <c r="P1041" s="194">
        <f>IFERROR(IF(INDEX([1]Pivot!$AD$1:$BE$65000,$B1041,P$5)=1,1,IF(INDEX([1]Pivot!$B$1:$AB$65000,$B1041,P$5)="",2,0)),0)</f>
        <v>0</v>
      </c>
      <c r="Q1041" s="194">
        <f>IFERROR(IF(INDEX([1]Pivot!$AD$1:$BE$65000,$B1041,Q$5)=1,1,IF(INDEX([1]Pivot!$B$1:$AB$65000,$B1041,Q$5)="",2,0)),0)</f>
        <v>0</v>
      </c>
      <c r="R1041" s="312"/>
      <c r="S1041" s="194">
        <f>IFERROR(IF(INDEX([1]Pivot!$AD$1:$BE$65000,$B1041,S$5)=1,1,IF(INDEX([1]Pivot!$B$1:$AB$65000,$B1041,S$5)="",2,0)),0)</f>
        <v>0</v>
      </c>
      <c r="T1041" s="194">
        <f>IFERROR(IF(INDEX([1]Pivot!$AD$1:$BE$65000,$B1041,T$5)=1,1,IF(INDEX([1]Pivot!$B$1:$AB$65000,$B1041,T$5)="",2,0)),0)</f>
        <v>0</v>
      </c>
      <c r="U1041" s="194">
        <f>IFERROR(IF(INDEX([1]Pivot!$AD$1:$BE$65000,$B1041,U$5)=1,1,IF(INDEX([1]Pivot!$B$1:$AB$65000,$B1041,U$5)="",2,0)),0)</f>
        <v>0</v>
      </c>
      <c r="V1041" s="194">
        <f>IFERROR(IF(INDEX([1]Pivot!$AD$1:$BE$65000,$B1041,V$5)=1,1,IF(INDEX([1]Pivot!$B$1:$AB$65000,$B1041,V$5)="",2,0)),0)</f>
        <v>0</v>
      </c>
      <c r="W1041" s="194">
        <f>IFERROR(IF(INDEX([1]Pivot!$AD$1:$BE$65000,$B1041,W$5)=1,1,IF(INDEX([1]Pivot!$B$1:$AB$65000,$B1041,W$5)="",2,0)),0)</f>
        <v>0</v>
      </c>
      <c r="X1041" s="194">
        <f>IFERROR(IF(INDEX([1]Pivot!$AD$1:$BE$65000,$B1041,X$5)=1,1,IF(INDEX([1]Pivot!$B$1:$AB$65000,$B1041,X$5)="",2,0)),0)</f>
        <v>0</v>
      </c>
      <c r="Y1041" s="194">
        <f>IFERROR(IF(INDEX([1]Pivot!$AD$1:$BE$65000,$B1041,Y$5)=1,1,IF(INDEX([1]Pivot!$B$1:$AB$65000,$B1041,Y$5)="",2,0)),0)</f>
        <v>0</v>
      </c>
      <c r="Z1041" s="194">
        <f>IFERROR(IF(INDEX([1]Pivot!$AD$1:$BE$65000,$B1041,Z$5)=1,1,IF(INDEX([1]Pivot!$B$1:$AB$65000,$B1041,Z$5)="",2,0)),0)</f>
        <v>0</v>
      </c>
      <c r="AA1041" s="194">
        <f>IFERROR(IF(INDEX([1]Pivot!$AD$1:$BE$65000,$B1041,AA$5)=1,1,IF(INDEX([1]Pivot!$B$1:$AB$65000,$B1041,AA$5)="",2,0)),0)</f>
        <v>0</v>
      </c>
      <c r="AB1041" s="194">
        <f>IFERROR(IF(INDEX([1]Pivot!$AD$1:$BE$65000,$B1041,AB$5)=1,1,IF(INDEX([1]Pivot!$B$1:$AB$65000,$B1041,AB$5)="",2,0)),0)</f>
        <v>0</v>
      </c>
      <c r="AC1041" s="194">
        <f>IFERROR(IF(INDEX([1]Pivot!$AD$1:$BE$65000,$B1041,AC$5)=1,1,IF(INDEX([1]Pivot!$B$1:$AB$65000,$B1041,AC$5)="",2,0)),0)</f>
        <v>0</v>
      </c>
      <c r="AD1041" s="313">
        <f>IFERROR(IF(INDEX([1]Pivot!$BF$1:$CG$65000,$B1041,AD$5)=1,1,IF(INDEX([1]Pivot!$B$1:$AB$65000,$B1041,AD$5)="",2,0)),0)</f>
        <v>0</v>
      </c>
      <c r="AE1041" s="313">
        <f>IFERROR(IF(INDEX([1]Pivot!$BF$1:$CG$65000,$B1041,AE$5)=1,1,IF(INDEX([1]Pivot!$B$1:$AB$65000,$B1041,AE$5)="",2,0)),0)</f>
        <v>0</v>
      </c>
      <c r="AF1041" s="313">
        <f>IFERROR(IF(INDEX([1]Pivot!$BF$1:$CG$65000,$B1041,AF$5)=1,1,IF(INDEX([1]Pivot!$B$1:$AB$65000,$B1041,AF$5)="",2,0)),0)</f>
        <v>0</v>
      </c>
      <c r="AG1041" s="313">
        <f>IFERROR(IF(INDEX([1]Pivot!$BF$1:$CG$65000,$B1041,AG$5)=1,1,IF(INDEX([1]Pivot!$B$1:$AB$65000,$B1041,AG$5)="",2,0)),0)</f>
        <v>0</v>
      </c>
      <c r="AH1041" s="313">
        <f>IFERROR(IF(INDEX([1]Pivot!$BF$1:$CG$65000,$B1041,AH$5)=1,1,IF(INDEX([1]Pivot!$B$1:$AB$65000,$B1041,AH$5)="",2,0)),0)</f>
        <v>0</v>
      </c>
      <c r="AI1041" s="313">
        <f>IFERROR(IF(INDEX([1]Pivot!$BF$1:$CG$65000,$B1041,AI$5)=1,1,IF(INDEX([1]Pivot!$B$1:$AB$65000,$B1041,AI$5)="",2,0)),0)</f>
        <v>0</v>
      </c>
      <c r="AJ1041" s="313">
        <f>IFERROR(IF(INDEX([1]Pivot!$BF$1:$CG$65000,$B1041,AJ$5)=1,1,IF(INDEX([1]Pivot!$B$1:$AB$65000,$B1041,AJ$5)="",2,0)),0)</f>
        <v>0</v>
      </c>
      <c r="AK1041" s="313">
        <f>IFERROR(IF(INDEX([1]Pivot!$BF$1:$CG$65000,$B1041,AK$5)=1,1,IF(INDEX([1]Pivot!$B$1:$AB$65000,$B1041,AK$5)="",2,0)),0)</f>
        <v>0</v>
      </c>
      <c r="AL1041" s="313">
        <f>IFERROR(IF(INDEX([1]Pivot!$BF$1:$CG$65000,$B1041,AL$5)=1,1,IF(INDEX([1]Pivot!$B$1:$AB$65000,$B1041,AL$5)="",2,0)),0)</f>
        <v>0</v>
      </c>
      <c r="AM1041" s="313">
        <f>IFERROR(IF(INDEX([1]Pivot!$BF$1:$CG$65000,$B1041,AM$5)=1,1,IF(INDEX([1]Pivot!$B$1:$AB$65000,$B1041,AM$5)="",2,0)),0)</f>
        <v>0</v>
      </c>
      <c r="AN1041" s="313">
        <f>IFERROR(IF(INDEX([1]Pivot!$BF$1:$CG$65000,$B1041,AN$5)=1,1,IF(INDEX([1]Pivot!$B$1:$AB$65000,$B1041,AN$5)="",2,0)),0)</f>
        <v>0</v>
      </c>
      <c r="AO1041" s="313">
        <f>IFERROR(IF(INDEX([1]Pivot!$BF$1:$CG$65000,$B1041,AO$5)=1,1,IF(INDEX([1]Pivot!$B$1:$AB$65000,$B1041,AO$5)="",2,0)),0)</f>
        <v>0</v>
      </c>
      <c r="AP1041" s="313">
        <f>IFERROR(IF(INDEX([1]Pivot!$BF$1:$CG$65000,$B1041,AP$5)=1,1,IF(INDEX([1]Pivot!$B$1:$AB$65000,$B1041,AP$5)="",2,0)),0)</f>
        <v>0</v>
      </c>
      <c r="AQ1041" s="313">
        <f>IFERROR(IF(INDEX([1]Pivot!$BF$1:$CG$65000,$B1041,AQ$5)=1,1,IF(INDEX([1]Pivot!$B$1:$AB$65000,$B1041,AQ$5)="",2,0)),0)</f>
        <v>0</v>
      </c>
      <c r="AR1041" s="313">
        <f>IFERROR(IF(INDEX([1]Pivot!$BF$1:$CG$65000,$B1041,AR$5)=1,1,IF(INDEX([1]Pivot!$B$1:$AB$65000,$B1041,AR$5)="",2,0)),0)</f>
        <v>0</v>
      </c>
      <c r="AS1041" s="312"/>
      <c r="AT1041" s="313">
        <f>IFERROR(IF(INDEX([1]Pivot!$BF$1:$CG$65000,$B1041,AT$5)=1,1,IF(INDEX([1]Pivot!$B$1:$AB$65000,$B1041,AT$5)="",2,0)),0)</f>
        <v>0</v>
      </c>
      <c r="AU1041" s="313">
        <f>IFERROR(IF(INDEX([1]Pivot!$BF$1:$CG$65000,$B1041,AU$5)=1,1,IF(INDEX([1]Pivot!$B$1:$AB$65000,$B1041,AU$5)="",2,0)),0)</f>
        <v>0</v>
      </c>
      <c r="AV1041" s="313">
        <f>IFERROR(IF(INDEX([1]Pivot!$BF$1:$CG$65000,$B1041,AV$5)=1,1,IF(INDEX([1]Pivot!$B$1:$AB$65000,$B1041,AV$5)="",2,0)),0)</f>
        <v>0</v>
      </c>
      <c r="AW1041" s="313">
        <f>IFERROR(IF(INDEX([1]Pivot!$BF$1:$CG$65000,$B1041,AW$5)=1,1,IF(INDEX([1]Pivot!$B$1:$AB$65000,$B1041,AW$5)="",2,0)),0)</f>
        <v>0</v>
      </c>
      <c r="AX1041" s="313">
        <f>IFERROR(IF(INDEX([1]Pivot!$BF$1:$CG$65000,$B1041,AX$5)=1,1,IF(INDEX([1]Pivot!$B$1:$AB$65000,$B1041,AX$5)="",2,0)),0)</f>
        <v>0</v>
      </c>
      <c r="AY1041" s="313">
        <f>IFERROR(IF(INDEX([1]Pivot!$BF$1:$CG$65000,$B1041,AY$5)=1,1,IF(INDEX([1]Pivot!$B$1:$AB$65000,$B1041,AY$5)="",2,0)),0)</f>
        <v>0</v>
      </c>
      <c r="AZ1041" s="313">
        <f>IFERROR(IF(INDEX([1]Pivot!$BF$1:$CG$65000,$B1041,AZ$5)=1,1,IF(INDEX([1]Pivot!$B$1:$AB$65000,$B1041,AZ$5)="",2,0)),0)</f>
        <v>0</v>
      </c>
      <c r="BA1041" s="313">
        <f>IFERROR(IF(INDEX([1]Pivot!$BF$1:$CG$65000,$B1041,BA$5)=1,1,IF(INDEX([1]Pivot!$B$1:$AB$65000,$B1041,BA$5)="",2,0)),0)</f>
        <v>0</v>
      </c>
      <c r="BB1041" s="313">
        <f>IFERROR(IF(INDEX([1]Pivot!$BF$1:$CG$65000,$B1041,BB$5)=1,1,IF(INDEX([1]Pivot!$B$1:$AB$65000,$B1041,BB$5)="",2,0)),0)</f>
        <v>0</v>
      </c>
      <c r="BC1041" s="313">
        <f>IFERROR(IF(INDEX([1]Pivot!$BF$1:$CG$65000,$B1041,BC$5)=1,1,IF(INDEX([1]Pivot!$B$1:$AB$65000,$B1041,BC$5)="",2,0)),0)</f>
        <v>0</v>
      </c>
      <c r="BD1041" s="313">
        <f>IFERROR(IF(INDEX([1]Pivot!$BF$1:$CG$65000,$B1041,BD$5)=1,1,IF(INDEX([1]Pivot!$B$1:$AB$65000,$B1041,BD$5)="",2,0)),0)</f>
        <v>0</v>
      </c>
    </row>
    <row r="1042" spans="1:56" x14ac:dyDescent="0.25">
      <c r="A1042" s="288">
        <f>'[2]Raw Milk Prices'!A1042</f>
        <v>0</v>
      </c>
      <c r="B1042" s="296" t="e">
        <f>MATCH(DATE(LEFT('[2]Raw Milk Prices'!$A1042,4),RIGHT('[2]Raw Milk Prices'!$A1042,2),1),[1]Pivot!$A$1:$A$65000,0)</f>
        <v>#VALUE!</v>
      </c>
      <c r="C1042" s="194">
        <f>IFERROR(IF(INDEX([1]Pivot!$AD$1:$BE$65000,$B1042,C$5)=1,1,IF(INDEX([1]Pivot!$B$1:$AB$65000,$B1042,C$5)="",2,0)),0)</f>
        <v>0</v>
      </c>
      <c r="D1042" s="194">
        <f>IFERROR(IF(INDEX([1]Pivot!$AD$1:$BE$65000,$B1042,D$5)=1,1,IF(INDEX([1]Pivot!$B$1:$AB$65000,$B1042,D$5)="",2,0)),0)</f>
        <v>0</v>
      </c>
      <c r="E1042" s="194">
        <f>IFERROR(IF(INDEX([1]Pivot!$AD$1:$BE$65000,$B1042,E$5)=1,1,IF(INDEX([1]Pivot!$B$1:$AB$65000,$B1042,E$5)="",2,0)),0)</f>
        <v>0</v>
      </c>
      <c r="F1042" s="194">
        <f>IFERROR(IF(INDEX([1]Pivot!$AD$1:$BE$65000,$B1042,F$5)=1,1,IF(INDEX([1]Pivot!$B$1:$AB$65000,$B1042,F$5)="",2,0)),0)</f>
        <v>0</v>
      </c>
      <c r="G1042" s="194">
        <f>IFERROR(IF(INDEX([1]Pivot!$AD$1:$BE$65000,$B1042,G$5)=1,1,IF(INDEX([1]Pivot!$B$1:$AB$65000,$B1042,G$5)="",2,0)),0)</f>
        <v>0</v>
      </c>
      <c r="H1042" s="194">
        <f>IFERROR(IF(INDEX([1]Pivot!$AD$1:$BE$65000,$B1042,H$5)=1,1,IF(INDEX([1]Pivot!$B$1:$AB$65000,$B1042,H$5)="",2,0)),0)</f>
        <v>0</v>
      </c>
      <c r="I1042" s="194">
        <f>IFERROR(IF(INDEX([1]Pivot!$AD$1:$BE$65000,$B1042,I$5)=1,1,IF(INDEX([1]Pivot!$B$1:$AB$65000,$B1042,I$5)="",2,0)),0)</f>
        <v>0</v>
      </c>
      <c r="J1042" s="194">
        <f>IFERROR(IF(INDEX([1]Pivot!$AD$1:$BE$65000,$B1042,J$5)=1,1,IF(INDEX([1]Pivot!$B$1:$AB$65000,$B1042,J$5)="",2,0)),0)</f>
        <v>0</v>
      </c>
      <c r="K1042" s="194">
        <f>IFERROR(IF(INDEX([1]Pivot!$AD$1:$BE$65000,$B1042,K$5)=1,1,IF(INDEX([1]Pivot!$B$1:$AB$65000,$B1042,K$5)="",2,0)),0)</f>
        <v>0</v>
      </c>
      <c r="L1042" s="194">
        <f>IFERROR(IF(INDEX([1]Pivot!$AD$1:$BE$65000,$B1042,L$5)=1,1,IF(INDEX([1]Pivot!$B$1:$AB$65000,$B1042,L$5)="",2,0)),0)</f>
        <v>0</v>
      </c>
      <c r="M1042" s="194">
        <f>IFERROR(IF(INDEX([1]Pivot!$AD$1:$BE$65000,$B1042,M$5)=1,1,IF(INDEX([1]Pivot!$B$1:$AB$65000,$B1042,M$5)="",2,0)),0)</f>
        <v>0</v>
      </c>
      <c r="N1042" s="194">
        <f>IFERROR(IF(INDEX([1]Pivot!$AD$1:$BE$65000,$B1042,N$5)=1,1,IF(INDEX([1]Pivot!$B$1:$AB$65000,$B1042,N$5)="",2,0)),0)</f>
        <v>0</v>
      </c>
      <c r="O1042" s="194">
        <f>IFERROR(IF(INDEX([1]Pivot!$AD$1:$BE$65000,$B1042,O$5)=1,1,IF(INDEX([1]Pivot!$B$1:$AB$65000,$B1042,O$5)="",2,0)),0)</f>
        <v>0</v>
      </c>
      <c r="P1042" s="194">
        <f>IFERROR(IF(INDEX([1]Pivot!$AD$1:$BE$65000,$B1042,P$5)=1,1,IF(INDEX([1]Pivot!$B$1:$AB$65000,$B1042,P$5)="",2,0)),0)</f>
        <v>0</v>
      </c>
      <c r="Q1042" s="194">
        <f>IFERROR(IF(INDEX([1]Pivot!$AD$1:$BE$65000,$B1042,Q$5)=1,1,IF(INDEX([1]Pivot!$B$1:$AB$65000,$B1042,Q$5)="",2,0)),0)</f>
        <v>0</v>
      </c>
      <c r="R1042" s="312"/>
      <c r="S1042" s="194">
        <f>IFERROR(IF(INDEX([1]Pivot!$AD$1:$BE$65000,$B1042,S$5)=1,1,IF(INDEX([1]Pivot!$B$1:$AB$65000,$B1042,S$5)="",2,0)),0)</f>
        <v>0</v>
      </c>
      <c r="T1042" s="194">
        <f>IFERROR(IF(INDEX([1]Pivot!$AD$1:$BE$65000,$B1042,T$5)=1,1,IF(INDEX([1]Pivot!$B$1:$AB$65000,$B1042,T$5)="",2,0)),0)</f>
        <v>0</v>
      </c>
      <c r="U1042" s="194">
        <f>IFERROR(IF(INDEX([1]Pivot!$AD$1:$BE$65000,$B1042,U$5)=1,1,IF(INDEX([1]Pivot!$B$1:$AB$65000,$B1042,U$5)="",2,0)),0)</f>
        <v>0</v>
      </c>
      <c r="V1042" s="194">
        <f>IFERROR(IF(INDEX([1]Pivot!$AD$1:$BE$65000,$B1042,V$5)=1,1,IF(INDEX([1]Pivot!$B$1:$AB$65000,$B1042,V$5)="",2,0)),0)</f>
        <v>0</v>
      </c>
      <c r="W1042" s="194">
        <f>IFERROR(IF(INDEX([1]Pivot!$AD$1:$BE$65000,$B1042,W$5)=1,1,IF(INDEX([1]Pivot!$B$1:$AB$65000,$B1042,W$5)="",2,0)),0)</f>
        <v>0</v>
      </c>
      <c r="X1042" s="194">
        <f>IFERROR(IF(INDEX([1]Pivot!$AD$1:$BE$65000,$B1042,X$5)=1,1,IF(INDEX([1]Pivot!$B$1:$AB$65000,$B1042,X$5)="",2,0)),0)</f>
        <v>0</v>
      </c>
      <c r="Y1042" s="194">
        <f>IFERROR(IF(INDEX([1]Pivot!$AD$1:$BE$65000,$B1042,Y$5)=1,1,IF(INDEX([1]Pivot!$B$1:$AB$65000,$B1042,Y$5)="",2,0)),0)</f>
        <v>0</v>
      </c>
      <c r="Z1042" s="194">
        <f>IFERROR(IF(INDEX([1]Pivot!$AD$1:$BE$65000,$B1042,Z$5)=1,1,IF(INDEX([1]Pivot!$B$1:$AB$65000,$B1042,Z$5)="",2,0)),0)</f>
        <v>0</v>
      </c>
      <c r="AA1042" s="194">
        <f>IFERROR(IF(INDEX([1]Pivot!$AD$1:$BE$65000,$B1042,AA$5)=1,1,IF(INDEX([1]Pivot!$B$1:$AB$65000,$B1042,AA$5)="",2,0)),0)</f>
        <v>0</v>
      </c>
      <c r="AB1042" s="194">
        <f>IFERROR(IF(INDEX([1]Pivot!$AD$1:$BE$65000,$B1042,AB$5)=1,1,IF(INDEX([1]Pivot!$B$1:$AB$65000,$B1042,AB$5)="",2,0)),0)</f>
        <v>0</v>
      </c>
      <c r="AC1042" s="194">
        <f>IFERROR(IF(INDEX([1]Pivot!$AD$1:$BE$65000,$B1042,AC$5)=1,1,IF(INDEX([1]Pivot!$B$1:$AB$65000,$B1042,AC$5)="",2,0)),0)</f>
        <v>0</v>
      </c>
      <c r="AD1042" s="313">
        <f>IFERROR(IF(INDEX([1]Pivot!$BF$1:$CG$65000,$B1042,AD$5)=1,1,IF(INDEX([1]Pivot!$B$1:$AB$65000,$B1042,AD$5)="",2,0)),0)</f>
        <v>0</v>
      </c>
      <c r="AE1042" s="313">
        <f>IFERROR(IF(INDEX([1]Pivot!$BF$1:$CG$65000,$B1042,AE$5)=1,1,IF(INDEX([1]Pivot!$B$1:$AB$65000,$B1042,AE$5)="",2,0)),0)</f>
        <v>0</v>
      </c>
      <c r="AF1042" s="313">
        <f>IFERROR(IF(INDEX([1]Pivot!$BF$1:$CG$65000,$B1042,AF$5)=1,1,IF(INDEX([1]Pivot!$B$1:$AB$65000,$B1042,AF$5)="",2,0)),0)</f>
        <v>0</v>
      </c>
      <c r="AG1042" s="313">
        <f>IFERROR(IF(INDEX([1]Pivot!$BF$1:$CG$65000,$B1042,AG$5)=1,1,IF(INDEX([1]Pivot!$B$1:$AB$65000,$B1042,AG$5)="",2,0)),0)</f>
        <v>0</v>
      </c>
      <c r="AH1042" s="313">
        <f>IFERROR(IF(INDEX([1]Pivot!$BF$1:$CG$65000,$B1042,AH$5)=1,1,IF(INDEX([1]Pivot!$B$1:$AB$65000,$B1042,AH$5)="",2,0)),0)</f>
        <v>0</v>
      </c>
      <c r="AI1042" s="313">
        <f>IFERROR(IF(INDEX([1]Pivot!$BF$1:$CG$65000,$B1042,AI$5)=1,1,IF(INDEX([1]Pivot!$B$1:$AB$65000,$B1042,AI$5)="",2,0)),0)</f>
        <v>0</v>
      </c>
      <c r="AJ1042" s="313">
        <f>IFERROR(IF(INDEX([1]Pivot!$BF$1:$CG$65000,$B1042,AJ$5)=1,1,IF(INDEX([1]Pivot!$B$1:$AB$65000,$B1042,AJ$5)="",2,0)),0)</f>
        <v>0</v>
      </c>
      <c r="AK1042" s="313">
        <f>IFERROR(IF(INDEX([1]Pivot!$BF$1:$CG$65000,$B1042,AK$5)=1,1,IF(INDEX([1]Pivot!$B$1:$AB$65000,$B1042,AK$5)="",2,0)),0)</f>
        <v>0</v>
      </c>
      <c r="AL1042" s="313">
        <f>IFERROR(IF(INDEX([1]Pivot!$BF$1:$CG$65000,$B1042,AL$5)=1,1,IF(INDEX([1]Pivot!$B$1:$AB$65000,$B1042,AL$5)="",2,0)),0)</f>
        <v>0</v>
      </c>
      <c r="AM1042" s="313">
        <f>IFERROR(IF(INDEX([1]Pivot!$BF$1:$CG$65000,$B1042,AM$5)=1,1,IF(INDEX([1]Pivot!$B$1:$AB$65000,$B1042,AM$5)="",2,0)),0)</f>
        <v>0</v>
      </c>
      <c r="AN1042" s="313">
        <f>IFERROR(IF(INDEX([1]Pivot!$BF$1:$CG$65000,$B1042,AN$5)=1,1,IF(INDEX([1]Pivot!$B$1:$AB$65000,$B1042,AN$5)="",2,0)),0)</f>
        <v>0</v>
      </c>
      <c r="AO1042" s="313">
        <f>IFERROR(IF(INDEX([1]Pivot!$BF$1:$CG$65000,$B1042,AO$5)=1,1,IF(INDEX([1]Pivot!$B$1:$AB$65000,$B1042,AO$5)="",2,0)),0)</f>
        <v>0</v>
      </c>
      <c r="AP1042" s="313">
        <f>IFERROR(IF(INDEX([1]Pivot!$BF$1:$CG$65000,$B1042,AP$5)=1,1,IF(INDEX([1]Pivot!$B$1:$AB$65000,$B1042,AP$5)="",2,0)),0)</f>
        <v>0</v>
      </c>
      <c r="AQ1042" s="313">
        <f>IFERROR(IF(INDEX([1]Pivot!$BF$1:$CG$65000,$B1042,AQ$5)=1,1,IF(INDEX([1]Pivot!$B$1:$AB$65000,$B1042,AQ$5)="",2,0)),0)</f>
        <v>0</v>
      </c>
      <c r="AR1042" s="313">
        <f>IFERROR(IF(INDEX([1]Pivot!$BF$1:$CG$65000,$B1042,AR$5)=1,1,IF(INDEX([1]Pivot!$B$1:$AB$65000,$B1042,AR$5)="",2,0)),0)</f>
        <v>0</v>
      </c>
      <c r="AS1042" s="312"/>
      <c r="AT1042" s="313">
        <f>IFERROR(IF(INDEX([1]Pivot!$BF$1:$CG$65000,$B1042,AT$5)=1,1,IF(INDEX([1]Pivot!$B$1:$AB$65000,$B1042,AT$5)="",2,0)),0)</f>
        <v>0</v>
      </c>
      <c r="AU1042" s="313">
        <f>IFERROR(IF(INDEX([1]Pivot!$BF$1:$CG$65000,$B1042,AU$5)=1,1,IF(INDEX([1]Pivot!$B$1:$AB$65000,$B1042,AU$5)="",2,0)),0)</f>
        <v>0</v>
      </c>
      <c r="AV1042" s="313">
        <f>IFERROR(IF(INDEX([1]Pivot!$BF$1:$CG$65000,$B1042,AV$5)=1,1,IF(INDEX([1]Pivot!$B$1:$AB$65000,$B1042,AV$5)="",2,0)),0)</f>
        <v>0</v>
      </c>
      <c r="AW1042" s="313">
        <f>IFERROR(IF(INDEX([1]Pivot!$BF$1:$CG$65000,$B1042,AW$5)=1,1,IF(INDEX([1]Pivot!$B$1:$AB$65000,$B1042,AW$5)="",2,0)),0)</f>
        <v>0</v>
      </c>
      <c r="AX1042" s="313">
        <f>IFERROR(IF(INDEX([1]Pivot!$BF$1:$CG$65000,$B1042,AX$5)=1,1,IF(INDEX([1]Pivot!$B$1:$AB$65000,$B1042,AX$5)="",2,0)),0)</f>
        <v>0</v>
      </c>
      <c r="AY1042" s="313">
        <f>IFERROR(IF(INDEX([1]Pivot!$BF$1:$CG$65000,$B1042,AY$5)=1,1,IF(INDEX([1]Pivot!$B$1:$AB$65000,$B1042,AY$5)="",2,0)),0)</f>
        <v>0</v>
      </c>
      <c r="AZ1042" s="313">
        <f>IFERROR(IF(INDEX([1]Pivot!$BF$1:$CG$65000,$B1042,AZ$5)=1,1,IF(INDEX([1]Pivot!$B$1:$AB$65000,$B1042,AZ$5)="",2,0)),0)</f>
        <v>0</v>
      </c>
      <c r="BA1042" s="313">
        <f>IFERROR(IF(INDEX([1]Pivot!$BF$1:$CG$65000,$B1042,BA$5)=1,1,IF(INDEX([1]Pivot!$B$1:$AB$65000,$B1042,BA$5)="",2,0)),0)</f>
        <v>0</v>
      </c>
      <c r="BB1042" s="313">
        <f>IFERROR(IF(INDEX([1]Pivot!$BF$1:$CG$65000,$B1042,BB$5)=1,1,IF(INDEX([1]Pivot!$B$1:$AB$65000,$B1042,BB$5)="",2,0)),0)</f>
        <v>0</v>
      </c>
      <c r="BC1042" s="313">
        <f>IFERROR(IF(INDEX([1]Pivot!$BF$1:$CG$65000,$B1042,BC$5)=1,1,IF(INDEX([1]Pivot!$B$1:$AB$65000,$B1042,BC$5)="",2,0)),0)</f>
        <v>0</v>
      </c>
      <c r="BD1042" s="313">
        <f>IFERROR(IF(INDEX([1]Pivot!$BF$1:$CG$65000,$B1042,BD$5)=1,1,IF(INDEX([1]Pivot!$B$1:$AB$65000,$B1042,BD$5)="",2,0)),0)</f>
        <v>0</v>
      </c>
    </row>
    <row r="1043" spans="1:56" x14ac:dyDescent="0.25">
      <c r="A1043" s="288">
        <f>'[2]Raw Milk Prices'!A1043</f>
        <v>0</v>
      </c>
      <c r="B1043" s="296" t="e">
        <f>MATCH(DATE(LEFT('[2]Raw Milk Prices'!$A1043,4),RIGHT('[2]Raw Milk Prices'!$A1043,2),1),[1]Pivot!$A$1:$A$65000,0)</f>
        <v>#VALUE!</v>
      </c>
      <c r="C1043" s="194">
        <f>IFERROR(IF(INDEX([1]Pivot!$AD$1:$BE$65000,$B1043,C$5)=1,1,IF(INDEX([1]Pivot!$B$1:$AB$65000,$B1043,C$5)="",2,0)),0)</f>
        <v>0</v>
      </c>
      <c r="D1043" s="194">
        <f>IFERROR(IF(INDEX([1]Pivot!$AD$1:$BE$65000,$B1043,D$5)=1,1,IF(INDEX([1]Pivot!$B$1:$AB$65000,$B1043,D$5)="",2,0)),0)</f>
        <v>0</v>
      </c>
      <c r="E1043" s="194">
        <f>IFERROR(IF(INDEX([1]Pivot!$AD$1:$BE$65000,$B1043,E$5)=1,1,IF(INDEX([1]Pivot!$B$1:$AB$65000,$B1043,E$5)="",2,0)),0)</f>
        <v>0</v>
      </c>
      <c r="F1043" s="194">
        <f>IFERROR(IF(INDEX([1]Pivot!$AD$1:$BE$65000,$B1043,F$5)=1,1,IF(INDEX([1]Pivot!$B$1:$AB$65000,$B1043,F$5)="",2,0)),0)</f>
        <v>0</v>
      </c>
      <c r="G1043" s="194">
        <f>IFERROR(IF(INDEX([1]Pivot!$AD$1:$BE$65000,$B1043,G$5)=1,1,IF(INDEX([1]Pivot!$B$1:$AB$65000,$B1043,G$5)="",2,0)),0)</f>
        <v>0</v>
      </c>
      <c r="H1043" s="194">
        <f>IFERROR(IF(INDEX([1]Pivot!$AD$1:$BE$65000,$B1043,H$5)=1,1,IF(INDEX([1]Pivot!$B$1:$AB$65000,$B1043,H$5)="",2,0)),0)</f>
        <v>0</v>
      </c>
      <c r="I1043" s="194">
        <f>IFERROR(IF(INDEX([1]Pivot!$AD$1:$BE$65000,$B1043,I$5)=1,1,IF(INDEX([1]Pivot!$B$1:$AB$65000,$B1043,I$5)="",2,0)),0)</f>
        <v>0</v>
      </c>
      <c r="J1043" s="194">
        <f>IFERROR(IF(INDEX([1]Pivot!$AD$1:$BE$65000,$B1043,J$5)=1,1,IF(INDEX([1]Pivot!$B$1:$AB$65000,$B1043,J$5)="",2,0)),0)</f>
        <v>0</v>
      </c>
      <c r="K1043" s="194">
        <f>IFERROR(IF(INDEX([1]Pivot!$AD$1:$BE$65000,$B1043,K$5)=1,1,IF(INDEX([1]Pivot!$B$1:$AB$65000,$B1043,K$5)="",2,0)),0)</f>
        <v>0</v>
      </c>
      <c r="L1043" s="194">
        <f>IFERROR(IF(INDEX([1]Pivot!$AD$1:$BE$65000,$B1043,L$5)=1,1,IF(INDEX([1]Pivot!$B$1:$AB$65000,$B1043,L$5)="",2,0)),0)</f>
        <v>0</v>
      </c>
      <c r="M1043" s="194">
        <f>IFERROR(IF(INDEX([1]Pivot!$AD$1:$BE$65000,$B1043,M$5)=1,1,IF(INDEX([1]Pivot!$B$1:$AB$65000,$B1043,M$5)="",2,0)),0)</f>
        <v>0</v>
      </c>
      <c r="N1043" s="194">
        <f>IFERROR(IF(INDEX([1]Pivot!$AD$1:$BE$65000,$B1043,N$5)=1,1,IF(INDEX([1]Pivot!$B$1:$AB$65000,$B1043,N$5)="",2,0)),0)</f>
        <v>0</v>
      </c>
      <c r="O1043" s="194">
        <f>IFERROR(IF(INDEX([1]Pivot!$AD$1:$BE$65000,$B1043,O$5)=1,1,IF(INDEX([1]Pivot!$B$1:$AB$65000,$B1043,O$5)="",2,0)),0)</f>
        <v>0</v>
      </c>
      <c r="P1043" s="194">
        <f>IFERROR(IF(INDEX([1]Pivot!$AD$1:$BE$65000,$B1043,P$5)=1,1,IF(INDEX([1]Pivot!$B$1:$AB$65000,$B1043,P$5)="",2,0)),0)</f>
        <v>0</v>
      </c>
      <c r="Q1043" s="194">
        <f>IFERROR(IF(INDEX([1]Pivot!$AD$1:$BE$65000,$B1043,Q$5)=1,1,IF(INDEX([1]Pivot!$B$1:$AB$65000,$B1043,Q$5)="",2,0)),0)</f>
        <v>0</v>
      </c>
      <c r="R1043" s="312"/>
      <c r="S1043" s="194">
        <f>IFERROR(IF(INDEX([1]Pivot!$AD$1:$BE$65000,$B1043,S$5)=1,1,IF(INDEX([1]Pivot!$B$1:$AB$65000,$B1043,S$5)="",2,0)),0)</f>
        <v>0</v>
      </c>
      <c r="T1043" s="194">
        <f>IFERROR(IF(INDEX([1]Pivot!$AD$1:$BE$65000,$B1043,T$5)=1,1,IF(INDEX([1]Pivot!$B$1:$AB$65000,$B1043,T$5)="",2,0)),0)</f>
        <v>0</v>
      </c>
      <c r="U1043" s="194">
        <f>IFERROR(IF(INDEX([1]Pivot!$AD$1:$BE$65000,$B1043,U$5)=1,1,IF(INDEX([1]Pivot!$B$1:$AB$65000,$B1043,U$5)="",2,0)),0)</f>
        <v>0</v>
      </c>
      <c r="V1043" s="194">
        <f>IFERROR(IF(INDEX([1]Pivot!$AD$1:$BE$65000,$B1043,V$5)=1,1,IF(INDEX([1]Pivot!$B$1:$AB$65000,$B1043,V$5)="",2,0)),0)</f>
        <v>0</v>
      </c>
      <c r="W1043" s="194">
        <f>IFERROR(IF(INDEX([1]Pivot!$AD$1:$BE$65000,$B1043,W$5)=1,1,IF(INDEX([1]Pivot!$B$1:$AB$65000,$B1043,W$5)="",2,0)),0)</f>
        <v>0</v>
      </c>
      <c r="X1043" s="194">
        <f>IFERROR(IF(INDEX([1]Pivot!$AD$1:$BE$65000,$B1043,X$5)=1,1,IF(INDEX([1]Pivot!$B$1:$AB$65000,$B1043,X$5)="",2,0)),0)</f>
        <v>0</v>
      </c>
      <c r="Y1043" s="194">
        <f>IFERROR(IF(INDEX([1]Pivot!$AD$1:$BE$65000,$B1043,Y$5)=1,1,IF(INDEX([1]Pivot!$B$1:$AB$65000,$B1043,Y$5)="",2,0)),0)</f>
        <v>0</v>
      </c>
      <c r="Z1043" s="194">
        <f>IFERROR(IF(INDEX([1]Pivot!$AD$1:$BE$65000,$B1043,Z$5)=1,1,IF(INDEX([1]Pivot!$B$1:$AB$65000,$B1043,Z$5)="",2,0)),0)</f>
        <v>0</v>
      </c>
      <c r="AA1043" s="194">
        <f>IFERROR(IF(INDEX([1]Pivot!$AD$1:$BE$65000,$B1043,AA$5)=1,1,IF(INDEX([1]Pivot!$B$1:$AB$65000,$B1043,AA$5)="",2,0)),0)</f>
        <v>0</v>
      </c>
      <c r="AB1043" s="194">
        <f>IFERROR(IF(INDEX([1]Pivot!$AD$1:$BE$65000,$B1043,AB$5)=1,1,IF(INDEX([1]Pivot!$B$1:$AB$65000,$B1043,AB$5)="",2,0)),0)</f>
        <v>0</v>
      </c>
      <c r="AC1043" s="194">
        <f>IFERROR(IF(INDEX([1]Pivot!$AD$1:$BE$65000,$B1043,AC$5)=1,1,IF(INDEX([1]Pivot!$B$1:$AB$65000,$B1043,AC$5)="",2,0)),0)</f>
        <v>0</v>
      </c>
      <c r="AD1043" s="313">
        <f>IFERROR(IF(INDEX([1]Pivot!$BF$1:$CG$65000,$B1043,AD$5)=1,1,IF(INDEX([1]Pivot!$B$1:$AB$65000,$B1043,AD$5)="",2,0)),0)</f>
        <v>0</v>
      </c>
      <c r="AE1043" s="313">
        <f>IFERROR(IF(INDEX([1]Pivot!$BF$1:$CG$65000,$B1043,AE$5)=1,1,IF(INDEX([1]Pivot!$B$1:$AB$65000,$B1043,AE$5)="",2,0)),0)</f>
        <v>0</v>
      </c>
      <c r="AF1043" s="313">
        <f>IFERROR(IF(INDEX([1]Pivot!$BF$1:$CG$65000,$B1043,AF$5)=1,1,IF(INDEX([1]Pivot!$B$1:$AB$65000,$B1043,AF$5)="",2,0)),0)</f>
        <v>0</v>
      </c>
      <c r="AG1043" s="313">
        <f>IFERROR(IF(INDEX([1]Pivot!$BF$1:$CG$65000,$B1043,AG$5)=1,1,IF(INDEX([1]Pivot!$B$1:$AB$65000,$B1043,AG$5)="",2,0)),0)</f>
        <v>0</v>
      </c>
      <c r="AH1043" s="313">
        <f>IFERROR(IF(INDEX([1]Pivot!$BF$1:$CG$65000,$B1043,AH$5)=1,1,IF(INDEX([1]Pivot!$B$1:$AB$65000,$B1043,AH$5)="",2,0)),0)</f>
        <v>0</v>
      </c>
      <c r="AI1043" s="313">
        <f>IFERROR(IF(INDEX([1]Pivot!$BF$1:$CG$65000,$B1043,AI$5)=1,1,IF(INDEX([1]Pivot!$B$1:$AB$65000,$B1043,AI$5)="",2,0)),0)</f>
        <v>0</v>
      </c>
      <c r="AJ1043" s="313">
        <f>IFERROR(IF(INDEX([1]Pivot!$BF$1:$CG$65000,$B1043,AJ$5)=1,1,IF(INDEX([1]Pivot!$B$1:$AB$65000,$B1043,AJ$5)="",2,0)),0)</f>
        <v>0</v>
      </c>
      <c r="AK1043" s="313">
        <f>IFERROR(IF(INDEX([1]Pivot!$BF$1:$CG$65000,$B1043,AK$5)=1,1,IF(INDEX([1]Pivot!$B$1:$AB$65000,$B1043,AK$5)="",2,0)),0)</f>
        <v>0</v>
      </c>
      <c r="AL1043" s="313">
        <f>IFERROR(IF(INDEX([1]Pivot!$BF$1:$CG$65000,$B1043,AL$5)=1,1,IF(INDEX([1]Pivot!$B$1:$AB$65000,$B1043,AL$5)="",2,0)),0)</f>
        <v>0</v>
      </c>
      <c r="AM1043" s="313">
        <f>IFERROR(IF(INDEX([1]Pivot!$BF$1:$CG$65000,$B1043,AM$5)=1,1,IF(INDEX([1]Pivot!$B$1:$AB$65000,$B1043,AM$5)="",2,0)),0)</f>
        <v>0</v>
      </c>
      <c r="AN1043" s="313">
        <f>IFERROR(IF(INDEX([1]Pivot!$BF$1:$CG$65000,$B1043,AN$5)=1,1,IF(INDEX([1]Pivot!$B$1:$AB$65000,$B1043,AN$5)="",2,0)),0)</f>
        <v>0</v>
      </c>
      <c r="AO1043" s="313">
        <f>IFERROR(IF(INDEX([1]Pivot!$BF$1:$CG$65000,$B1043,AO$5)=1,1,IF(INDEX([1]Pivot!$B$1:$AB$65000,$B1043,AO$5)="",2,0)),0)</f>
        <v>0</v>
      </c>
      <c r="AP1043" s="313">
        <f>IFERROR(IF(INDEX([1]Pivot!$BF$1:$CG$65000,$B1043,AP$5)=1,1,IF(INDEX([1]Pivot!$B$1:$AB$65000,$B1043,AP$5)="",2,0)),0)</f>
        <v>0</v>
      </c>
      <c r="AQ1043" s="313">
        <f>IFERROR(IF(INDEX([1]Pivot!$BF$1:$CG$65000,$B1043,AQ$5)=1,1,IF(INDEX([1]Pivot!$B$1:$AB$65000,$B1043,AQ$5)="",2,0)),0)</f>
        <v>0</v>
      </c>
      <c r="AR1043" s="313">
        <f>IFERROR(IF(INDEX([1]Pivot!$BF$1:$CG$65000,$B1043,AR$5)=1,1,IF(INDEX([1]Pivot!$B$1:$AB$65000,$B1043,AR$5)="",2,0)),0)</f>
        <v>0</v>
      </c>
      <c r="AS1043" s="312"/>
      <c r="AT1043" s="313">
        <f>IFERROR(IF(INDEX([1]Pivot!$BF$1:$CG$65000,$B1043,AT$5)=1,1,IF(INDEX([1]Pivot!$B$1:$AB$65000,$B1043,AT$5)="",2,0)),0)</f>
        <v>0</v>
      </c>
      <c r="AU1043" s="313">
        <f>IFERROR(IF(INDEX([1]Pivot!$BF$1:$CG$65000,$B1043,AU$5)=1,1,IF(INDEX([1]Pivot!$B$1:$AB$65000,$B1043,AU$5)="",2,0)),0)</f>
        <v>0</v>
      </c>
      <c r="AV1043" s="313">
        <f>IFERROR(IF(INDEX([1]Pivot!$BF$1:$CG$65000,$B1043,AV$5)=1,1,IF(INDEX([1]Pivot!$B$1:$AB$65000,$B1043,AV$5)="",2,0)),0)</f>
        <v>0</v>
      </c>
      <c r="AW1043" s="313">
        <f>IFERROR(IF(INDEX([1]Pivot!$BF$1:$CG$65000,$B1043,AW$5)=1,1,IF(INDEX([1]Pivot!$B$1:$AB$65000,$B1043,AW$5)="",2,0)),0)</f>
        <v>0</v>
      </c>
      <c r="AX1043" s="313">
        <f>IFERROR(IF(INDEX([1]Pivot!$BF$1:$CG$65000,$B1043,AX$5)=1,1,IF(INDEX([1]Pivot!$B$1:$AB$65000,$B1043,AX$5)="",2,0)),0)</f>
        <v>0</v>
      </c>
      <c r="AY1043" s="313">
        <f>IFERROR(IF(INDEX([1]Pivot!$BF$1:$CG$65000,$B1043,AY$5)=1,1,IF(INDEX([1]Pivot!$B$1:$AB$65000,$B1043,AY$5)="",2,0)),0)</f>
        <v>0</v>
      </c>
      <c r="AZ1043" s="313">
        <f>IFERROR(IF(INDEX([1]Pivot!$BF$1:$CG$65000,$B1043,AZ$5)=1,1,IF(INDEX([1]Pivot!$B$1:$AB$65000,$B1043,AZ$5)="",2,0)),0)</f>
        <v>0</v>
      </c>
      <c r="BA1043" s="313">
        <f>IFERROR(IF(INDEX([1]Pivot!$BF$1:$CG$65000,$B1043,BA$5)=1,1,IF(INDEX([1]Pivot!$B$1:$AB$65000,$B1043,BA$5)="",2,0)),0)</f>
        <v>0</v>
      </c>
      <c r="BB1043" s="313">
        <f>IFERROR(IF(INDEX([1]Pivot!$BF$1:$CG$65000,$B1043,BB$5)=1,1,IF(INDEX([1]Pivot!$B$1:$AB$65000,$B1043,BB$5)="",2,0)),0)</f>
        <v>0</v>
      </c>
      <c r="BC1043" s="313">
        <f>IFERROR(IF(INDEX([1]Pivot!$BF$1:$CG$65000,$B1043,BC$5)=1,1,IF(INDEX([1]Pivot!$B$1:$AB$65000,$B1043,BC$5)="",2,0)),0)</f>
        <v>0</v>
      </c>
      <c r="BD1043" s="313">
        <f>IFERROR(IF(INDEX([1]Pivot!$BF$1:$CG$65000,$B1043,BD$5)=1,1,IF(INDEX([1]Pivot!$B$1:$AB$65000,$B1043,BD$5)="",2,0)),0)</f>
        <v>0</v>
      </c>
    </row>
    <row r="1044" spans="1:56" x14ac:dyDescent="0.25">
      <c r="A1044" s="288">
        <f>'[2]Raw Milk Prices'!A1044</f>
        <v>0</v>
      </c>
      <c r="B1044" s="296" t="e">
        <f>MATCH(DATE(LEFT('[2]Raw Milk Prices'!$A1044,4),RIGHT('[2]Raw Milk Prices'!$A1044,2),1),[1]Pivot!$A$1:$A$65000,0)</f>
        <v>#VALUE!</v>
      </c>
      <c r="C1044" s="194">
        <f>IFERROR(IF(INDEX([1]Pivot!$AD$1:$BE$65000,$B1044,C$5)=1,1,IF(INDEX([1]Pivot!$B$1:$AB$65000,$B1044,C$5)="",2,0)),0)</f>
        <v>0</v>
      </c>
      <c r="D1044" s="194">
        <f>IFERROR(IF(INDEX([1]Pivot!$AD$1:$BE$65000,$B1044,D$5)=1,1,IF(INDEX([1]Pivot!$B$1:$AB$65000,$B1044,D$5)="",2,0)),0)</f>
        <v>0</v>
      </c>
      <c r="E1044" s="194">
        <f>IFERROR(IF(INDEX([1]Pivot!$AD$1:$BE$65000,$B1044,E$5)=1,1,IF(INDEX([1]Pivot!$B$1:$AB$65000,$B1044,E$5)="",2,0)),0)</f>
        <v>0</v>
      </c>
      <c r="F1044" s="194">
        <f>IFERROR(IF(INDEX([1]Pivot!$AD$1:$BE$65000,$B1044,F$5)=1,1,IF(INDEX([1]Pivot!$B$1:$AB$65000,$B1044,F$5)="",2,0)),0)</f>
        <v>0</v>
      </c>
      <c r="G1044" s="194">
        <f>IFERROR(IF(INDEX([1]Pivot!$AD$1:$BE$65000,$B1044,G$5)=1,1,IF(INDEX([1]Pivot!$B$1:$AB$65000,$B1044,G$5)="",2,0)),0)</f>
        <v>0</v>
      </c>
      <c r="H1044" s="194">
        <f>IFERROR(IF(INDEX([1]Pivot!$AD$1:$BE$65000,$B1044,H$5)=1,1,IF(INDEX([1]Pivot!$B$1:$AB$65000,$B1044,H$5)="",2,0)),0)</f>
        <v>0</v>
      </c>
      <c r="I1044" s="194">
        <f>IFERROR(IF(INDEX([1]Pivot!$AD$1:$BE$65000,$B1044,I$5)=1,1,IF(INDEX([1]Pivot!$B$1:$AB$65000,$B1044,I$5)="",2,0)),0)</f>
        <v>0</v>
      </c>
      <c r="J1044" s="194">
        <f>IFERROR(IF(INDEX([1]Pivot!$AD$1:$BE$65000,$B1044,J$5)=1,1,IF(INDEX([1]Pivot!$B$1:$AB$65000,$B1044,J$5)="",2,0)),0)</f>
        <v>0</v>
      </c>
      <c r="K1044" s="194">
        <f>IFERROR(IF(INDEX([1]Pivot!$AD$1:$BE$65000,$B1044,K$5)=1,1,IF(INDEX([1]Pivot!$B$1:$AB$65000,$B1044,K$5)="",2,0)),0)</f>
        <v>0</v>
      </c>
      <c r="L1044" s="194">
        <f>IFERROR(IF(INDEX([1]Pivot!$AD$1:$BE$65000,$B1044,L$5)=1,1,IF(INDEX([1]Pivot!$B$1:$AB$65000,$B1044,L$5)="",2,0)),0)</f>
        <v>0</v>
      </c>
      <c r="M1044" s="194">
        <f>IFERROR(IF(INDEX([1]Pivot!$AD$1:$BE$65000,$B1044,M$5)=1,1,IF(INDEX([1]Pivot!$B$1:$AB$65000,$B1044,M$5)="",2,0)),0)</f>
        <v>0</v>
      </c>
      <c r="N1044" s="194">
        <f>IFERROR(IF(INDEX([1]Pivot!$AD$1:$BE$65000,$B1044,N$5)=1,1,IF(INDEX([1]Pivot!$B$1:$AB$65000,$B1044,N$5)="",2,0)),0)</f>
        <v>0</v>
      </c>
      <c r="O1044" s="194">
        <f>IFERROR(IF(INDEX([1]Pivot!$AD$1:$BE$65000,$B1044,O$5)=1,1,IF(INDEX([1]Pivot!$B$1:$AB$65000,$B1044,O$5)="",2,0)),0)</f>
        <v>0</v>
      </c>
      <c r="P1044" s="194">
        <f>IFERROR(IF(INDEX([1]Pivot!$AD$1:$BE$65000,$B1044,P$5)=1,1,IF(INDEX([1]Pivot!$B$1:$AB$65000,$B1044,P$5)="",2,0)),0)</f>
        <v>0</v>
      </c>
      <c r="Q1044" s="194">
        <f>IFERROR(IF(INDEX([1]Pivot!$AD$1:$BE$65000,$B1044,Q$5)=1,1,IF(INDEX([1]Pivot!$B$1:$AB$65000,$B1044,Q$5)="",2,0)),0)</f>
        <v>0</v>
      </c>
      <c r="R1044" s="312"/>
      <c r="S1044" s="194">
        <f>IFERROR(IF(INDEX([1]Pivot!$AD$1:$BE$65000,$B1044,S$5)=1,1,IF(INDEX([1]Pivot!$B$1:$AB$65000,$B1044,S$5)="",2,0)),0)</f>
        <v>0</v>
      </c>
      <c r="T1044" s="194">
        <f>IFERROR(IF(INDEX([1]Pivot!$AD$1:$BE$65000,$B1044,T$5)=1,1,IF(INDEX([1]Pivot!$B$1:$AB$65000,$B1044,T$5)="",2,0)),0)</f>
        <v>0</v>
      </c>
      <c r="U1044" s="194">
        <f>IFERROR(IF(INDEX([1]Pivot!$AD$1:$BE$65000,$B1044,U$5)=1,1,IF(INDEX([1]Pivot!$B$1:$AB$65000,$B1044,U$5)="",2,0)),0)</f>
        <v>0</v>
      </c>
      <c r="V1044" s="194">
        <f>IFERROR(IF(INDEX([1]Pivot!$AD$1:$BE$65000,$B1044,V$5)=1,1,IF(INDEX([1]Pivot!$B$1:$AB$65000,$B1044,V$5)="",2,0)),0)</f>
        <v>0</v>
      </c>
      <c r="W1044" s="194">
        <f>IFERROR(IF(INDEX([1]Pivot!$AD$1:$BE$65000,$B1044,W$5)=1,1,IF(INDEX([1]Pivot!$B$1:$AB$65000,$B1044,W$5)="",2,0)),0)</f>
        <v>0</v>
      </c>
      <c r="X1044" s="194">
        <f>IFERROR(IF(INDEX([1]Pivot!$AD$1:$BE$65000,$B1044,X$5)=1,1,IF(INDEX([1]Pivot!$B$1:$AB$65000,$B1044,X$5)="",2,0)),0)</f>
        <v>0</v>
      </c>
      <c r="Y1044" s="194">
        <f>IFERROR(IF(INDEX([1]Pivot!$AD$1:$BE$65000,$B1044,Y$5)=1,1,IF(INDEX([1]Pivot!$B$1:$AB$65000,$B1044,Y$5)="",2,0)),0)</f>
        <v>0</v>
      </c>
      <c r="Z1044" s="194">
        <f>IFERROR(IF(INDEX([1]Pivot!$AD$1:$BE$65000,$B1044,Z$5)=1,1,IF(INDEX([1]Pivot!$B$1:$AB$65000,$B1044,Z$5)="",2,0)),0)</f>
        <v>0</v>
      </c>
      <c r="AA1044" s="194">
        <f>IFERROR(IF(INDEX([1]Pivot!$AD$1:$BE$65000,$B1044,AA$5)=1,1,IF(INDEX([1]Pivot!$B$1:$AB$65000,$B1044,AA$5)="",2,0)),0)</f>
        <v>0</v>
      </c>
      <c r="AB1044" s="194">
        <f>IFERROR(IF(INDEX([1]Pivot!$AD$1:$BE$65000,$B1044,AB$5)=1,1,IF(INDEX([1]Pivot!$B$1:$AB$65000,$B1044,AB$5)="",2,0)),0)</f>
        <v>0</v>
      </c>
      <c r="AC1044" s="194">
        <f>IFERROR(IF(INDEX([1]Pivot!$AD$1:$BE$65000,$B1044,AC$5)=1,1,IF(INDEX([1]Pivot!$B$1:$AB$65000,$B1044,AC$5)="",2,0)),0)</f>
        <v>0</v>
      </c>
      <c r="AD1044" s="313">
        <f>IFERROR(IF(INDEX([1]Pivot!$BF$1:$CG$65000,$B1044,AD$5)=1,1,IF(INDEX([1]Pivot!$B$1:$AB$65000,$B1044,AD$5)="",2,0)),0)</f>
        <v>0</v>
      </c>
      <c r="AE1044" s="313">
        <f>IFERROR(IF(INDEX([1]Pivot!$BF$1:$CG$65000,$B1044,AE$5)=1,1,IF(INDEX([1]Pivot!$B$1:$AB$65000,$B1044,AE$5)="",2,0)),0)</f>
        <v>0</v>
      </c>
      <c r="AF1044" s="313">
        <f>IFERROR(IF(INDEX([1]Pivot!$BF$1:$CG$65000,$B1044,AF$5)=1,1,IF(INDEX([1]Pivot!$B$1:$AB$65000,$B1044,AF$5)="",2,0)),0)</f>
        <v>0</v>
      </c>
      <c r="AG1044" s="313">
        <f>IFERROR(IF(INDEX([1]Pivot!$BF$1:$CG$65000,$B1044,AG$5)=1,1,IF(INDEX([1]Pivot!$B$1:$AB$65000,$B1044,AG$5)="",2,0)),0)</f>
        <v>0</v>
      </c>
      <c r="AH1044" s="313">
        <f>IFERROR(IF(INDEX([1]Pivot!$BF$1:$CG$65000,$B1044,AH$5)=1,1,IF(INDEX([1]Pivot!$B$1:$AB$65000,$B1044,AH$5)="",2,0)),0)</f>
        <v>0</v>
      </c>
      <c r="AI1044" s="313">
        <f>IFERROR(IF(INDEX([1]Pivot!$BF$1:$CG$65000,$B1044,AI$5)=1,1,IF(INDEX([1]Pivot!$B$1:$AB$65000,$B1044,AI$5)="",2,0)),0)</f>
        <v>0</v>
      </c>
      <c r="AJ1044" s="313">
        <f>IFERROR(IF(INDEX([1]Pivot!$BF$1:$CG$65000,$B1044,AJ$5)=1,1,IF(INDEX([1]Pivot!$B$1:$AB$65000,$B1044,AJ$5)="",2,0)),0)</f>
        <v>0</v>
      </c>
      <c r="AK1044" s="313">
        <f>IFERROR(IF(INDEX([1]Pivot!$BF$1:$CG$65000,$B1044,AK$5)=1,1,IF(INDEX([1]Pivot!$B$1:$AB$65000,$B1044,AK$5)="",2,0)),0)</f>
        <v>0</v>
      </c>
      <c r="AL1044" s="313">
        <f>IFERROR(IF(INDEX([1]Pivot!$BF$1:$CG$65000,$B1044,AL$5)=1,1,IF(INDEX([1]Pivot!$B$1:$AB$65000,$B1044,AL$5)="",2,0)),0)</f>
        <v>0</v>
      </c>
      <c r="AM1044" s="313">
        <f>IFERROR(IF(INDEX([1]Pivot!$BF$1:$CG$65000,$B1044,AM$5)=1,1,IF(INDEX([1]Pivot!$B$1:$AB$65000,$B1044,AM$5)="",2,0)),0)</f>
        <v>0</v>
      </c>
      <c r="AN1044" s="313">
        <f>IFERROR(IF(INDEX([1]Pivot!$BF$1:$CG$65000,$B1044,AN$5)=1,1,IF(INDEX([1]Pivot!$B$1:$AB$65000,$B1044,AN$5)="",2,0)),0)</f>
        <v>0</v>
      </c>
      <c r="AO1044" s="313">
        <f>IFERROR(IF(INDEX([1]Pivot!$BF$1:$CG$65000,$B1044,AO$5)=1,1,IF(INDEX([1]Pivot!$B$1:$AB$65000,$B1044,AO$5)="",2,0)),0)</f>
        <v>0</v>
      </c>
      <c r="AP1044" s="313">
        <f>IFERROR(IF(INDEX([1]Pivot!$BF$1:$CG$65000,$B1044,AP$5)=1,1,IF(INDEX([1]Pivot!$B$1:$AB$65000,$B1044,AP$5)="",2,0)),0)</f>
        <v>0</v>
      </c>
      <c r="AQ1044" s="313">
        <f>IFERROR(IF(INDEX([1]Pivot!$BF$1:$CG$65000,$B1044,AQ$5)=1,1,IF(INDEX([1]Pivot!$B$1:$AB$65000,$B1044,AQ$5)="",2,0)),0)</f>
        <v>0</v>
      </c>
      <c r="AR1044" s="313">
        <f>IFERROR(IF(INDEX([1]Pivot!$BF$1:$CG$65000,$B1044,AR$5)=1,1,IF(INDEX([1]Pivot!$B$1:$AB$65000,$B1044,AR$5)="",2,0)),0)</f>
        <v>0</v>
      </c>
      <c r="AS1044" s="312"/>
      <c r="AT1044" s="313">
        <f>IFERROR(IF(INDEX([1]Pivot!$BF$1:$CG$65000,$B1044,AT$5)=1,1,IF(INDEX([1]Pivot!$B$1:$AB$65000,$B1044,AT$5)="",2,0)),0)</f>
        <v>0</v>
      </c>
      <c r="AU1044" s="313">
        <f>IFERROR(IF(INDEX([1]Pivot!$BF$1:$CG$65000,$B1044,AU$5)=1,1,IF(INDEX([1]Pivot!$B$1:$AB$65000,$B1044,AU$5)="",2,0)),0)</f>
        <v>0</v>
      </c>
      <c r="AV1044" s="313">
        <f>IFERROR(IF(INDEX([1]Pivot!$BF$1:$CG$65000,$B1044,AV$5)=1,1,IF(INDEX([1]Pivot!$B$1:$AB$65000,$B1044,AV$5)="",2,0)),0)</f>
        <v>0</v>
      </c>
      <c r="AW1044" s="313">
        <f>IFERROR(IF(INDEX([1]Pivot!$BF$1:$CG$65000,$B1044,AW$5)=1,1,IF(INDEX([1]Pivot!$B$1:$AB$65000,$B1044,AW$5)="",2,0)),0)</f>
        <v>0</v>
      </c>
      <c r="AX1044" s="313">
        <f>IFERROR(IF(INDEX([1]Pivot!$BF$1:$CG$65000,$B1044,AX$5)=1,1,IF(INDEX([1]Pivot!$B$1:$AB$65000,$B1044,AX$5)="",2,0)),0)</f>
        <v>0</v>
      </c>
      <c r="AY1044" s="313">
        <f>IFERROR(IF(INDEX([1]Pivot!$BF$1:$CG$65000,$B1044,AY$5)=1,1,IF(INDEX([1]Pivot!$B$1:$AB$65000,$B1044,AY$5)="",2,0)),0)</f>
        <v>0</v>
      </c>
      <c r="AZ1044" s="313">
        <f>IFERROR(IF(INDEX([1]Pivot!$BF$1:$CG$65000,$B1044,AZ$5)=1,1,IF(INDEX([1]Pivot!$B$1:$AB$65000,$B1044,AZ$5)="",2,0)),0)</f>
        <v>0</v>
      </c>
      <c r="BA1044" s="313">
        <f>IFERROR(IF(INDEX([1]Pivot!$BF$1:$CG$65000,$B1044,BA$5)=1,1,IF(INDEX([1]Pivot!$B$1:$AB$65000,$B1044,BA$5)="",2,0)),0)</f>
        <v>0</v>
      </c>
      <c r="BB1044" s="313">
        <f>IFERROR(IF(INDEX([1]Pivot!$BF$1:$CG$65000,$B1044,BB$5)=1,1,IF(INDEX([1]Pivot!$B$1:$AB$65000,$B1044,BB$5)="",2,0)),0)</f>
        <v>0</v>
      </c>
      <c r="BC1044" s="313">
        <f>IFERROR(IF(INDEX([1]Pivot!$BF$1:$CG$65000,$B1044,BC$5)=1,1,IF(INDEX([1]Pivot!$B$1:$AB$65000,$B1044,BC$5)="",2,0)),0)</f>
        <v>0</v>
      </c>
      <c r="BD1044" s="313">
        <f>IFERROR(IF(INDEX([1]Pivot!$BF$1:$CG$65000,$B1044,BD$5)=1,1,IF(INDEX([1]Pivot!$B$1:$AB$65000,$B1044,BD$5)="",2,0)),0)</f>
        <v>0</v>
      </c>
    </row>
    <row r="1045" spans="1:56" x14ac:dyDescent="0.25">
      <c r="A1045" s="288">
        <f>'[2]Raw Milk Prices'!A1045</f>
        <v>0</v>
      </c>
      <c r="B1045" s="296" t="e">
        <f>MATCH(DATE(LEFT('[2]Raw Milk Prices'!$A1045,4),RIGHT('[2]Raw Milk Prices'!$A1045,2),1),[1]Pivot!$A$1:$A$65000,0)</f>
        <v>#VALUE!</v>
      </c>
      <c r="C1045" s="194">
        <f>IFERROR(IF(INDEX([1]Pivot!$AD$1:$BE$65000,$B1045,C$5)=1,1,IF(INDEX([1]Pivot!$B$1:$AB$65000,$B1045,C$5)="",2,0)),0)</f>
        <v>0</v>
      </c>
      <c r="D1045" s="194">
        <f>IFERROR(IF(INDEX([1]Pivot!$AD$1:$BE$65000,$B1045,D$5)=1,1,IF(INDEX([1]Pivot!$B$1:$AB$65000,$B1045,D$5)="",2,0)),0)</f>
        <v>0</v>
      </c>
      <c r="E1045" s="194">
        <f>IFERROR(IF(INDEX([1]Pivot!$AD$1:$BE$65000,$B1045,E$5)=1,1,IF(INDEX([1]Pivot!$B$1:$AB$65000,$B1045,E$5)="",2,0)),0)</f>
        <v>0</v>
      </c>
      <c r="F1045" s="194">
        <f>IFERROR(IF(INDEX([1]Pivot!$AD$1:$BE$65000,$B1045,F$5)=1,1,IF(INDEX([1]Pivot!$B$1:$AB$65000,$B1045,F$5)="",2,0)),0)</f>
        <v>0</v>
      </c>
      <c r="G1045" s="194">
        <f>IFERROR(IF(INDEX([1]Pivot!$AD$1:$BE$65000,$B1045,G$5)=1,1,IF(INDEX([1]Pivot!$B$1:$AB$65000,$B1045,G$5)="",2,0)),0)</f>
        <v>0</v>
      </c>
      <c r="H1045" s="194">
        <f>IFERROR(IF(INDEX([1]Pivot!$AD$1:$BE$65000,$B1045,H$5)=1,1,IF(INDEX([1]Pivot!$B$1:$AB$65000,$B1045,H$5)="",2,0)),0)</f>
        <v>0</v>
      </c>
      <c r="I1045" s="194">
        <f>IFERROR(IF(INDEX([1]Pivot!$AD$1:$BE$65000,$B1045,I$5)=1,1,IF(INDEX([1]Pivot!$B$1:$AB$65000,$B1045,I$5)="",2,0)),0)</f>
        <v>0</v>
      </c>
      <c r="J1045" s="194">
        <f>IFERROR(IF(INDEX([1]Pivot!$AD$1:$BE$65000,$B1045,J$5)=1,1,IF(INDEX([1]Pivot!$B$1:$AB$65000,$B1045,J$5)="",2,0)),0)</f>
        <v>0</v>
      </c>
      <c r="K1045" s="194">
        <f>IFERROR(IF(INDEX([1]Pivot!$AD$1:$BE$65000,$B1045,K$5)=1,1,IF(INDEX([1]Pivot!$B$1:$AB$65000,$B1045,K$5)="",2,0)),0)</f>
        <v>0</v>
      </c>
      <c r="L1045" s="194">
        <f>IFERROR(IF(INDEX([1]Pivot!$AD$1:$BE$65000,$B1045,L$5)=1,1,IF(INDEX([1]Pivot!$B$1:$AB$65000,$B1045,L$5)="",2,0)),0)</f>
        <v>0</v>
      </c>
      <c r="M1045" s="194">
        <f>IFERROR(IF(INDEX([1]Pivot!$AD$1:$BE$65000,$B1045,M$5)=1,1,IF(INDEX([1]Pivot!$B$1:$AB$65000,$B1045,M$5)="",2,0)),0)</f>
        <v>0</v>
      </c>
      <c r="N1045" s="194">
        <f>IFERROR(IF(INDEX([1]Pivot!$AD$1:$BE$65000,$B1045,N$5)=1,1,IF(INDEX([1]Pivot!$B$1:$AB$65000,$B1045,N$5)="",2,0)),0)</f>
        <v>0</v>
      </c>
      <c r="O1045" s="194">
        <f>IFERROR(IF(INDEX([1]Pivot!$AD$1:$BE$65000,$B1045,O$5)=1,1,IF(INDEX([1]Pivot!$B$1:$AB$65000,$B1045,O$5)="",2,0)),0)</f>
        <v>0</v>
      </c>
      <c r="P1045" s="194">
        <f>IFERROR(IF(INDEX([1]Pivot!$AD$1:$BE$65000,$B1045,P$5)=1,1,IF(INDEX([1]Pivot!$B$1:$AB$65000,$B1045,P$5)="",2,0)),0)</f>
        <v>0</v>
      </c>
      <c r="Q1045" s="194">
        <f>IFERROR(IF(INDEX([1]Pivot!$AD$1:$BE$65000,$B1045,Q$5)=1,1,IF(INDEX([1]Pivot!$B$1:$AB$65000,$B1045,Q$5)="",2,0)),0)</f>
        <v>0</v>
      </c>
      <c r="R1045" s="312"/>
      <c r="S1045" s="194">
        <f>IFERROR(IF(INDEX([1]Pivot!$AD$1:$BE$65000,$B1045,S$5)=1,1,IF(INDEX([1]Pivot!$B$1:$AB$65000,$B1045,S$5)="",2,0)),0)</f>
        <v>0</v>
      </c>
      <c r="T1045" s="194">
        <f>IFERROR(IF(INDEX([1]Pivot!$AD$1:$BE$65000,$B1045,T$5)=1,1,IF(INDEX([1]Pivot!$B$1:$AB$65000,$B1045,T$5)="",2,0)),0)</f>
        <v>0</v>
      </c>
      <c r="U1045" s="194">
        <f>IFERROR(IF(INDEX([1]Pivot!$AD$1:$BE$65000,$B1045,U$5)=1,1,IF(INDEX([1]Pivot!$B$1:$AB$65000,$B1045,U$5)="",2,0)),0)</f>
        <v>0</v>
      </c>
      <c r="V1045" s="194">
        <f>IFERROR(IF(INDEX([1]Pivot!$AD$1:$BE$65000,$B1045,V$5)=1,1,IF(INDEX([1]Pivot!$B$1:$AB$65000,$B1045,V$5)="",2,0)),0)</f>
        <v>0</v>
      </c>
      <c r="W1045" s="194">
        <f>IFERROR(IF(INDEX([1]Pivot!$AD$1:$BE$65000,$B1045,W$5)=1,1,IF(INDEX([1]Pivot!$B$1:$AB$65000,$B1045,W$5)="",2,0)),0)</f>
        <v>0</v>
      </c>
      <c r="X1045" s="194">
        <f>IFERROR(IF(INDEX([1]Pivot!$AD$1:$BE$65000,$B1045,X$5)=1,1,IF(INDEX([1]Pivot!$B$1:$AB$65000,$B1045,X$5)="",2,0)),0)</f>
        <v>0</v>
      </c>
      <c r="Y1045" s="194">
        <f>IFERROR(IF(INDEX([1]Pivot!$AD$1:$BE$65000,$B1045,Y$5)=1,1,IF(INDEX([1]Pivot!$B$1:$AB$65000,$B1045,Y$5)="",2,0)),0)</f>
        <v>0</v>
      </c>
      <c r="Z1045" s="194">
        <f>IFERROR(IF(INDEX([1]Pivot!$AD$1:$BE$65000,$B1045,Z$5)=1,1,IF(INDEX([1]Pivot!$B$1:$AB$65000,$B1045,Z$5)="",2,0)),0)</f>
        <v>0</v>
      </c>
      <c r="AA1045" s="194">
        <f>IFERROR(IF(INDEX([1]Pivot!$AD$1:$BE$65000,$B1045,AA$5)=1,1,IF(INDEX([1]Pivot!$B$1:$AB$65000,$B1045,AA$5)="",2,0)),0)</f>
        <v>0</v>
      </c>
      <c r="AB1045" s="194">
        <f>IFERROR(IF(INDEX([1]Pivot!$AD$1:$BE$65000,$B1045,AB$5)=1,1,IF(INDEX([1]Pivot!$B$1:$AB$65000,$B1045,AB$5)="",2,0)),0)</f>
        <v>0</v>
      </c>
      <c r="AC1045" s="194">
        <f>IFERROR(IF(INDEX([1]Pivot!$AD$1:$BE$65000,$B1045,AC$5)=1,1,IF(INDEX([1]Pivot!$B$1:$AB$65000,$B1045,AC$5)="",2,0)),0)</f>
        <v>0</v>
      </c>
      <c r="AD1045" s="313">
        <f>IFERROR(IF(INDEX([1]Pivot!$BF$1:$CG$65000,$B1045,AD$5)=1,1,IF(INDEX([1]Pivot!$B$1:$AB$65000,$B1045,AD$5)="",2,0)),0)</f>
        <v>0</v>
      </c>
      <c r="AE1045" s="313">
        <f>IFERROR(IF(INDEX([1]Pivot!$BF$1:$CG$65000,$B1045,AE$5)=1,1,IF(INDEX([1]Pivot!$B$1:$AB$65000,$B1045,AE$5)="",2,0)),0)</f>
        <v>0</v>
      </c>
      <c r="AF1045" s="313">
        <f>IFERROR(IF(INDEX([1]Pivot!$BF$1:$CG$65000,$B1045,AF$5)=1,1,IF(INDEX([1]Pivot!$B$1:$AB$65000,$B1045,AF$5)="",2,0)),0)</f>
        <v>0</v>
      </c>
      <c r="AG1045" s="313">
        <f>IFERROR(IF(INDEX([1]Pivot!$BF$1:$CG$65000,$B1045,AG$5)=1,1,IF(INDEX([1]Pivot!$B$1:$AB$65000,$B1045,AG$5)="",2,0)),0)</f>
        <v>0</v>
      </c>
      <c r="AH1045" s="313">
        <f>IFERROR(IF(INDEX([1]Pivot!$BF$1:$CG$65000,$B1045,AH$5)=1,1,IF(INDEX([1]Pivot!$B$1:$AB$65000,$B1045,AH$5)="",2,0)),0)</f>
        <v>0</v>
      </c>
      <c r="AI1045" s="313">
        <f>IFERROR(IF(INDEX([1]Pivot!$BF$1:$CG$65000,$B1045,AI$5)=1,1,IF(INDEX([1]Pivot!$B$1:$AB$65000,$B1045,AI$5)="",2,0)),0)</f>
        <v>0</v>
      </c>
      <c r="AJ1045" s="313">
        <f>IFERROR(IF(INDEX([1]Pivot!$BF$1:$CG$65000,$B1045,AJ$5)=1,1,IF(INDEX([1]Pivot!$B$1:$AB$65000,$B1045,AJ$5)="",2,0)),0)</f>
        <v>0</v>
      </c>
      <c r="AK1045" s="313">
        <f>IFERROR(IF(INDEX([1]Pivot!$BF$1:$CG$65000,$B1045,AK$5)=1,1,IF(INDEX([1]Pivot!$B$1:$AB$65000,$B1045,AK$5)="",2,0)),0)</f>
        <v>0</v>
      </c>
      <c r="AL1045" s="313">
        <f>IFERROR(IF(INDEX([1]Pivot!$BF$1:$CG$65000,$B1045,AL$5)=1,1,IF(INDEX([1]Pivot!$B$1:$AB$65000,$B1045,AL$5)="",2,0)),0)</f>
        <v>0</v>
      </c>
      <c r="AM1045" s="313">
        <f>IFERROR(IF(INDEX([1]Pivot!$BF$1:$CG$65000,$B1045,AM$5)=1,1,IF(INDEX([1]Pivot!$B$1:$AB$65000,$B1045,AM$5)="",2,0)),0)</f>
        <v>0</v>
      </c>
      <c r="AN1045" s="313">
        <f>IFERROR(IF(INDEX([1]Pivot!$BF$1:$CG$65000,$B1045,AN$5)=1,1,IF(INDEX([1]Pivot!$B$1:$AB$65000,$B1045,AN$5)="",2,0)),0)</f>
        <v>0</v>
      </c>
      <c r="AO1045" s="313">
        <f>IFERROR(IF(INDEX([1]Pivot!$BF$1:$CG$65000,$B1045,AO$5)=1,1,IF(INDEX([1]Pivot!$B$1:$AB$65000,$B1045,AO$5)="",2,0)),0)</f>
        <v>0</v>
      </c>
      <c r="AP1045" s="313">
        <f>IFERROR(IF(INDEX([1]Pivot!$BF$1:$CG$65000,$B1045,AP$5)=1,1,IF(INDEX([1]Pivot!$B$1:$AB$65000,$B1045,AP$5)="",2,0)),0)</f>
        <v>0</v>
      </c>
      <c r="AQ1045" s="313">
        <f>IFERROR(IF(INDEX([1]Pivot!$BF$1:$CG$65000,$B1045,AQ$5)=1,1,IF(INDEX([1]Pivot!$B$1:$AB$65000,$B1045,AQ$5)="",2,0)),0)</f>
        <v>0</v>
      </c>
      <c r="AR1045" s="313">
        <f>IFERROR(IF(INDEX([1]Pivot!$BF$1:$CG$65000,$B1045,AR$5)=1,1,IF(INDEX([1]Pivot!$B$1:$AB$65000,$B1045,AR$5)="",2,0)),0)</f>
        <v>0</v>
      </c>
      <c r="AS1045" s="312"/>
      <c r="AT1045" s="313">
        <f>IFERROR(IF(INDEX([1]Pivot!$BF$1:$CG$65000,$B1045,AT$5)=1,1,IF(INDEX([1]Pivot!$B$1:$AB$65000,$B1045,AT$5)="",2,0)),0)</f>
        <v>0</v>
      </c>
      <c r="AU1045" s="313">
        <f>IFERROR(IF(INDEX([1]Pivot!$BF$1:$CG$65000,$B1045,AU$5)=1,1,IF(INDEX([1]Pivot!$B$1:$AB$65000,$B1045,AU$5)="",2,0)),0)</f>
        <v>0</v>
      </c>
      <c r="AV1045" s="313">
        <f>IFERROR(IF(INDEX([1]Pivot!$BF$1:$CG$65000,$B1045,AV$5)=1,1,IF(INDEX([1]Pivot!$B$1:$AB$65000,$B1045,AV$5)="",2,0)),0)</f>
        <v>0</v>
      </c>
      <c r="AW1045" s="313">
        <f>IFERROR(IF(INDEX([1]Pivot!$BF$1:$CG$65000,$B1045,AW$5)=1,1,IF(INDEX([1]Pivot!$B$1:$AB$65000,$B1045,AW$5)="",2,0)),0)</f>
        <v>0</v>
      </c>
      <c r="AX1045" s="313">
        <f>IFERROR(IF(INDEX([1]Pivot!$BF$1:$CG$65000,$B1045,AX$5)=1,1,IF(INDEX([1]Pivot!$B$1:$AB$65000,$B1045,AX$5)="",2,0)),0)</f>
        <v>0</v>
      </c>
      <c r="AY1045" s="313">
        <f>IFERROR(IF(INDEX([1]Pivot!$BF$1:$CG$65000,$B1045,AY$5)=1,1,IF(INDEX([1]Pivot!$B$1:$AB$65000,$B1045,AY$5)="",2,0)),0)</f>
        <v>0</v>
      </c>
      <c r="AZ1045" s="313">
        <f>IFERROR(IF(INDEX([1]Pivot!$BF$1:$CG$65000,$B1045,AZ$5)=1,1,IF(INDEX([1]Pivot!$B$1:$AB$65000,$B1045,AZ$5)="",2,0)),0)</f>
        <v>0</v>
      </c>
      <c r="BA1045" s="313">
        <f>IFERROR(IF(INDEX([1]Pivot!$BF$1:$CG$65000,$B1045,BA$5)=1,1,IF(INDEX([1]Pivot!$B$1:$AB$65000,$B1045,BA$5)="",2,0)),0)</f>
        <v>0</v>
      </c>
      <c r="BB1045" s="313">
        <f>IFERROR(IF(INDEX([1]Pivot!$BF$1:$CG$65000,$B1045,BB$5)=1,1,IF(INDEX([1]Pivot!$B$1:$AB$65000,$B1045,BB$5)="",2,0)),0)</f>
        <v>0</v>
      </c>
      <c r="BC1045" s="313">
        <f>IFERROR(IF(INDEX([1]Pivot!$BF$1:$CG$65000,$B1045,BC$5)=1,1,IF(INDEX([1]Pivot!$B$1:$AB$65000,$B1045,BC$5)="",2,0)),0)</f>
        <v>0</v>
      </c>
      <c r="BD1045" s="313">
        <f>IFERROR(IF(INDEX([1]Pivot!$BF$1:$CG$65000,$B1045,BD$5)=1,1,IF(INDEX([1]Pivot!$B$1:$AB$65000,$B1045,BD$5)="",2,0)),0)</f>
        <v>0</v>
      </c>
    </row>
    <row r="1046" spans="1:56" x14ac:dyDescent="0.25">
      <c r="A1046" s="288">
        <f>'[2]Raw Milk Prices'!A1046</f>
        <v>0</v>
      </c>
      <c r="B1046" s="296" t="e">
        <f>MATCH(DATE(LEFT('[2]Raw Milk Prices'!$A1046,4),RIGHT('[2]Raw Milk Prices'!$A1046,2),1),[1]Pivot!$A$1:$A$65000,0)</f>
        <v>#VALUE!</v>
      </c>
      <c r="C1046" s="194">
        <f>IFERROR(IF(INDEX([1]Pivot!$AD$1:$BE$65000,$B1046,C$5)=1,1,IF(INDEX([1]Pivot!$B$1:$AB$65000,$B1046,C$5)="",2,0)),0)</f>
        <v>0</v>
      </c>
      <c r="D1046" s="194">
        <f>IFERROR(IF(INDEX([1]Pivot!$AD$1:$BE$65000,$B1046,D$5)=1,1,IF(INDEX([1]Pivot!$B$1:$AB$65000,$B1046,D$5)="",2,0)),0)</f>
        <v>0</v>
      </c>
      <c r="E1046" s="194">
        <f>IFERROR(IF(INDEX([1]Pivot!$AD$1:$BE$65000,$B1046,E$5)=1,1,IF(INDEX([1]Pivot!$B$1:$AB$65000,$B1046,E$5)="",2,0)),0)</f>
        <v>0</v>
      </c>
      <c r="F1046" s="194">
        <f>IFERROR(IF(INDEX([1]Pivot!$AD$1:$BE$65000,$B1046,F$5)=1,1,IF(INDEX([1]Pivot!$B$1:$AB$65000,$B1046,F$5)="",2,0)),0)</f>
        <v>0</v>
      </c>
      <c r="G1046" s="194">
        <f>IFERROR(IF(INDEX([1]Pivot!$AD$1:$BE$65000,$B1046,G$5)=1,1,IF(INDEX([1]Pivot!$B$1:$AB$65000,$B1046,G$5)="",2,0)),0)</f>
        <v>0</v>
      </c>
      <c r="H1046" s="194">
        <f>IFERROR(IF(INDEX([1]Pivot!$AD$1:$BE$65000,$B1046,H$5)=1,1,IF(INDEX([1]Pivot!$B$1:$AB$65000,$B1046,H$5)="",2,0)),0)</f>
        <v>0</v>
      </c>
      <c r="I1046" s="194">
        <f>IFERROR(IF(INDEX([1]Pivot!$AD$1:$BE$65000,$B1046,I$5)=1,1,IF(INDEX([1]Pivot!$B$1:$AB$65000,$B1046,I$5)="",2,0)),0)</f>
        <v>0</v>
      </c>
      <c r="J1046" s="194">
        <f>IFERROR(IF(INDEX([1]Pivot!$AD$1:$BE$65000,$B1046,J$5)=1,1,IF(INDEX([1]Pivot!$B$1:$AB$65000,$B1046,J$5)="",2,0)),0)</f>
        <v>0</v>
      </c>
      <c r="K1046" s="194">
        <f>IFERROR(IF(INDEX([1]Pivot!$AD$1:$BE$65000,$B1046,K$5)=1,1,IF(INDEX([1]Pivot!$B$1:$AB$65000,$B1046,K$5)="",2,0)),0)</f>
        <v>0</v>
      </c>
      <c r="L1046" s="194">
        <f>IFERROR(IF(INDEX([1]Pivot!$AD$1:$BE$65000,$B1046,L$5)=1,1,IF(INDEX([1]Pivot!$B$1:$AB$65000,$B1046,L$5)="",2,0)),0)</f>
        <v>0</v>
      </c>
      <c r="M1046" s="194">
        <f>IFERROR(IF(INDEX([1]Pivot!$AD$1:$BE$65000,$B1046,M$5)=1,1,IF(INDEX([1]Pivot!$B$1:$AB$65000,$B1046,M$5)="",2,0)),0)</f>
        <v>0</v>
      </c>
      <c r="N1046" s="194">
        <f>IFERROR(IF(INDEX([1]Pivot!$AD$1:$BE$65000,$B1046,N$5)=1,1,IF(INDEX([1]Pivot!$B$1:$AB$65000,$B1046,N$5)="",2,0)),0)</f>
        <v>0</v>
      </c>
      <c r="O1046" s="194">
        <f>IFERROR(IF(INDEX([1]Pivot!$AD$1:$BE$65000,$B1046,O$5)=1,1,IF(INDEX([1]Pivot!$B$1:$AB$65000,$B1046,O$5)="",2,0)),0)</f>
        <v>0</v>
      </c>
      <c r="P1046" s="194">
        <f>IFERROR(IF(INDEX([1]Pivot!$AD$1:$BE$65000,$B1046,P$5)=1,1,IF(INDEX([1]Pivot!$B$1:$AB$65000,$B1046,P$5)="",2,0)),0)</f>
        <v>0</v>
      </c>
      <c r="Q1046" s="194">
        <f>IFERROR(IF(INDEX([1]Pivot!$AD$1:$BE$65000,$B1046,Q$5)=1,1,IF(INDEX([1]Pivot!$B$1:$AB$65000,$B1046,Q$5)="",2,0)),0)</f>
        <v>0</v>
      </c>
      <c r="R1046" s="312"/>
      <c r="S1046" s="194">
        <f>IFERROR(IF(INDEX([1]Pivot!$AD$1:$BE$65000,$B1046,S$5)=1,1,IF(INDEX([1]Pivot!$B$1:$AB$65000,$B1046,S$5)="",2,0)),0)</f>
        <v>0</v>
      </c>
      <c r="T1046" s="194">
        <f>IFERROR(IF(INDEX([1]Pivot!$AD$1:$BE$65000,$B1046,T$5)=1,1,IF(INDEX([1]Pivot!$B$1:$AB$65000,$B1046,T$5)="",2,0)),0)</f>
        <v>0</v>
      </c>
      <c r="U1046" s="194">
        <f>IFERROR(IF(INDEX([1]Pivot!$AD$1:$BE$65000,$B1046,U$5)=1,1,IF(INDEX([1]Pivot!$B$1:$AB$65000,$B1046,U$5)="",2,0)),0)</f>
        <v>0</v>
      </c>
      <c r="V1046" s="194">
        <f>IFERROR(IF(INDEX([1]Pivot!$AD$1:$BE$65000,$B1046,V$5)=1,1,IF(INDEX([1]Pivot!$B$1:$AB$65000,$B1046,V$5)="",2,0)),0)</f>
        <v>0</v>
      </c>
      <c r="W1046" s="194">
        <f>IFERROR(IF(INDEX([1]Pivot!$AD$1:$BE$65000,$B1046,W$5)=1,1,IF(INDEX([1]Pivot!$B$1:$AB$65000,$B1046,W$5)="",2,0)),0)</f>
        <v>0</v>
      </c>
      <c r="X1046" s="194">
        <f>IFERROR(IF(INDEX([1]Pivot!$AD$1:$BE$65000,$B1046,X$5)=1,1,IF(INDEX([1]Pivot!$B$1:$AB$65000,$B1046,X$5)="",2,0)),0)</f>
        <v>0</v>
      </c>
      <c r="Y1046" s="194">
        <f>IFERROR(IF(INDEX([1]Pivot!$AD$1:$BE$65000,$B1046,Y$5)=1,1,IF(INDEX([1]Pivot!$B$1:$AB$65000,$B1046,Y$5)="",2,0)),0)</f>
        <v>0</v>
      </c>
      <c r="Z1046" s="194">
        <f>IFERROR(IF(INDEX([1]Pivot!$AD$1:$BE$65000,$B1046,Z$5)=1,1,IF(INDEX([1]Pivot!$B$1:$AB$65000,$B1046,Z$5)="",2,0)),0)</f>
        <v>0</v>
      </c>
      <c r="AA1046" s="194">
        <f>IFERROR(IF(INDEX([1]Pivot!$AD$1:$BE$65000,$B1046,AA$5)=1,1,IF(INDEX([1]Pivot!$B$1:$AB$65000,$B1046,AA$5)="",2,0)),0)</f>
        <v>0</v>
      </c>
      <c r="AB1046" s="194">
        <f>IFERROR(IF(INDEX([1]Pivot!$AD$1:$BE$65000,$B1046,AB$5)=1,1,IF(INDEX([1]Pivot!$B$1:$AB$65000,$B1046,AB$5)="",2,0)),0)</f>
        <v>0</v>
      </c>
      <c r="AC1046" s="194">
        <f>IFERROR(IF(INDEX([1]Pivot!$AD$1:$BE$65000,$B1046,AC$5)=1,1,IF(INDEX([1]Pivot!$B$1:$AB$65000,$B1046,AC$5)="",2,0)),0)</f>
        <v>0</v>
      </c>
      <c r="AD1046" s="313">
        <f>IFERROR(IF(INDEX([1]Pivot!$BF$1:$CG$65000,$B1046,AD$5)=1,1,IF(INDEX([1]Pivot!$B$1:$AB$65000,$B1046,AD$5)="",2,0)),0)</f>
        <v>0</v>
      </c>
      <c r="AE1046" s="313">
        <f>IFERROR(IF(INDEX([1]Pivot!$BF$1:$CG$65000,$B1046,AE$5)=1,1,IF(INDEX([1]Pivot!$B$1:$AB$65000,$B1046,AE$5)="",2,0)),0)</f>
        <v>0</v>
      </c>
      <c r="AF1046" s="313">
        <f>IFERROR(IF(INDEX([1]Pivot!$BF$1:$CG$65000,$B1046,AF$5)=1,1,IF(INDEX([1]Pivot!$B$1:$AB$65000,$B1046,AF$5)="",2,0)),0)</f>
        <v>0</v>
      </c>
      <c r="AG1046" s="313">
        <f>IFERROR(IF(INDEX([1]Pivot!$BF$1:$CG$65000,$B1046,AG$5)=1,1,IF(INDEX([1]Pivot!$B$1:$AB$65000,$B1046,AG$5)="",2,0)),0)</f>
        <v>0</v>
      </c>
      <c r="AH1046" s="313">
        <f>IFERROR(IF(INDEX([1]Pivot!$BF$1:$CG$65000,$B1046,AH$5)=1,1,IF(INDEX([1]Pivot!$B$1:$AB$65000,$B1046,AH$5)="",2,0)),0)</f>
        <v>0</v>
      </c>
      <c r="AI1046" s="313">
        <f>IFERROR(IF(INDEX([1]Pivot!$BF$1:$CG$65000,$B1046,AI$5)=1,1,IF(INDEX([1]Pivot!$B$1:$AB$65000,$B1046,AI$5)="",2,0)),0)</f>
        <v>0</v>
      </c>
      <c r="AJ1046" s="313">
        <f>IFERROR(IF(INDEX([1]Pivot!$BF$1:$CG$65000,$B1046,AJ$5)=1,1,IF(INDEX([1]Pivot!$B$1:$AB$65000,$B1046,AJ$5)="",2,0)),0)</f>
        <v>0</v>
      </c>
      <c r="AK1046" s="313">
        <f>IFERROR(IF(INDEX([1]Pivot!$BF$1:$CG$65000,$B1046,AK$5)=1,1,IF(INDEX([1]Pivot!$B$1:$AB$65000,$B1046,AK$5)="",2,0)),0)</f>
        <v>0</v>
      </c>
      <c r="AL1046" s="313">
        <f>IFERROR(IF(INDEX([1]Pivot!$BF$1:$CG$65000,$B1046,AL$5)=1,1,IF(INDEX([1]Pivot!$B$1:$AB$65000,$B1046,AL$5)="",2,0)),0)</f>
        <v>0</v>
      </c>
      <c r="AM1046" s="313">
        <f>IFERROR(IF(INDEX([1]Pivot!$BF$1:$CG$65000,$B1046,AM$5)=1,1,IF(INDEX([1]Pivot!$B$1:$AB$65000,$B1046,AM$5)="",2,0)),0)</f>
        <v>0</v>
      </c>
      <c r="AN1046" s="313">
        <f>IFERROR(IF(INDEX([1]Pivot!$BF$1:$CG$65000,$B1046,AN$5)=1,1,IF(INDEX([1]Pivot!$B$1:$AB$65000,$B1046,AN$5)="",2,0)),0)</f>
        <v>0</v>
      </c>
      <c r="AO1046" s="313">
        <f>IFERROR(IF(INDEX([1]Pivot!$BF$1:$CG$65000,$B1046,AO$5)=1,1,IF(INDEX([1]Pivot!$B$1:$AB$65000,$B1046,AO$5)="",2,0)),0)</f>
        <v>0</v>
      </c>
      <c r="AP1046" s="313">
        <f>IFERROR(IF(INDEX([1]Pivot!$BF$1:$CG$65000,$B1046,AP$5)=1,1,IF(INDEX([1]Pivot!$B$1:$AB$65000,$B1046,AP$5)="",2,0)),0)</f>
        <v>0</v>
      </c>
      <c r="AQ1046" s="313">
        <f>IFERROR(IF(INDEX([1]Pivot!$BF$1:$CG$65000,$B1046,AQ$5)=1,1,IF(INDEX([1]Pivot!$B$1:$AB$65000,$B1046,AQ$5)="",2,0)),0)</f>
        <v>0</v>
      </c>
      <c r="AR1046" s="313">
        <f>IFERROR(IF(INDEX([1]Pivot!$BF$1:$CG$65000,$B1046,AR$5)=1,1,IF(INDEX([1]Pivot!$B$1:$AB$65000,$B1046,AR$5)="",2,0)),0)</f>
        <v>0</v>
      </c>
      <c r="AS1046" s="312"/>
      <c r="AT1046" s="313">
        <f>IFERROR(IF(INDEX([1]Pivot!$BF$1:$CG$65000,$B1046,AT$5)=1,1,IF(INDEX([1]Pivot!$B$1:$AB$65000,$B1046,AT$5)="",2,0)),0)</f>
        <v>0</v>
      </c>
      <c r="AU1046" s="313">
        <f>IFERROR(IF(INDEX([1]Pivot!$BF$1:$CG$65000,$B1046,AU$5)=1,1,IF(INDEX([1]Pivot!$B$1:$AB$65000,$B1046,AU$5)="",2,0)),0)</f>
        <v>0</v>
      </c>
      <c r="AV1046" s="313">
        <f>IFERROR(IF(INDEX([1]Pivot!$BF$1:$CG$65000,$B1046,AV$5)=1,1,IF(INDEX([1]Pivot!$B$1:$AB$65000,$B1046,AV$5)="",2,0)),0)</f>
        <v>0</v>
      </c>
      <c r="AW1046" s="313">
        <f>IFERROR(IF(INDEX([1]Pivot!$BF$1:$CG$65000,$B1046,AW$5)=1,1,IF(INDEX([1]Pivot!$B$1:$AB$65000,$B1046,AW$5)="",2,0)),0)</f>
        <v>0</v>
      </c>
      <c r="AX1046" s="313">
        <f>IFERROR(IF(INDEX([1]Pivot!$BF$1:$CG$65000,$B1046,AX$5)=1,1,IF(INDEX([1]Pivot!$B$1:$AB$65000,$B1046,AX$5)="",2,0)),0)</f>
        <v>0</v>
      </c>
      <c r="AY1046" s="313">
        <f>IFERROR(IF(INDEX([1]Pivot!$BF$1:$CG$65000,$B1046,AY$5)=1,1,IF(INDEX([1]Pivot!$B$1:$AB$65000,$B1046,AY$5)="",2,0)),0)</f>
        <v>0</v>
      </c>
      <c r="AZ1046" s="313">
        <f>IFERROR(IF(INDEX([1]Pivot!$BF$1:$CG$65000,$B1046,AZ$5)=1,1,IF(INDEX([1]Pivot!$B$1:$AB$65000,$B1046,AZ$5)="",2,0)),0)</f>
        <v>0</v>
      </c>
      <c r="BA1046" s="313">
        <f>IFERROR(IF(INDEX([1]Pivot!$BF$1:$CG$65000,$B1046,BA$5)=1,1,IF(INDEX([1]Pivot!$B$1:$AB$65000,$B1046,BA$5)="",2,0)),0)</f>
        <v>0</v>
      </c>
      <c r="BB1046" s="313">
        <f>IFERROR(IF(INDEX([1]Pivot!$BF$1:$CG$65000,$B1046,BB$5)=1,1,IF(INDEX([1]Pivot!$B$1:$AB$65000,$B1046,BB$5)="",2,0)),0)</f>
        <v>0</v>
      </c>
      <c r="BC1046" s="313">
        <f>IFERROR(IF(INDEX([1]Pivot!$BF$1:$CG$65000,$B1046,BC$5)=1,1,IF(INDEX([1]Pivot!$B$1:$AB$65000,$B1046,BC$5)="",2,0)),0)</f>
        <v>0</v>
      </c>
      <c r="BD1046" s="313">
        <f>IFERROR(IF(INDEX([1]Pivot!$BF$1:$CG$65000,$B1046,BD$5)=1,1,IF(INDEX([1]Pivot!$B$1:$AB$65000,$B1046,BD$5)="",2,0)),0)</f>
        <v>0</v>
      </c>
    </row>
    <row r="1047" spans="1:56" x14ac:dyDescent="0.25">
      <c r="A1047" s="288">
        <f>'[2]Raw Milk Prices'!A1047</f>
        <v>0</v>
      </c>
      <c r="B1047" s="296" t="e">
        <f>MATCH(DATE(LEFT('[2]Raw Milk Prices'!$A1047,4),RIGHT('[2]Raw Milk Prices'!$A1047,2),1),[1]Pivot!$A$1:$A$65000,0)</f>
        <v>#VALUE!</v>
      </c>
      <c r="C1047" s="194">
        <f>IFERROR(IF(INDEX([1]Pivot!$AD$1:$BE$65000,$B1047,C$5)=1,1,IF(INDEX([1]Pivot!$B$1:$AB$65000,$B1047,C$5)="",2,0)),0)</f>
        <v>0</v>
      </c>
      <c r="D1047" s="194">
        <f>IFERROR(IF(INDEX([1]Pivot!$AD$1:$BE$65000,$B1047,D$5)=1,1,IF(INDEX([1]Pivot!$B$1:$AB$65000,$B1047,D$5)="",2,0)),0)</f>
        <v>0</v>
      </c>
      <c r="E1047" s="194">
        <f>IFERROR(IF(INDEX([1]Pivot!$AD$1:$BE$65000,$B1047,E$5)=1,1,IF(INDEX([1]Pivot!$B$1:$AB$65000,$B1047,E$5)="",2,0)),0)</f>
        <v>0</v>
      </c>
      <c r="F1047" s="194">
        <f>IFERROR(IF(INDEX([1]Pivot!$AD$1:$BE$65000,$B1047,F$5)=1,1,IF(INDEX([1]Pivot!$B$1:$AB$65000,$B1047,F$5)="",2,0)),0)</f>
        <v>0</v>
      </c>
      <c r="G1047" s="194">
        <f>IFERROR(IF(INDEX([1]Pivot!$AD$1:$BE$65000,$B1047,G$5)=1,1,IF(INDEX([1]Pivot!$B$1:$AB$65000,$B1047,G$5)="",2,0)),0)</f>
        <v>0</v>
      </c>
      <c r="H1047" s="194">
        <f>IFERROR(IF(INDEX([1]Pivot!$AD$1:$BE$65000,$B1047,H$5)=1,1,IF(INDEX([1]Pivot!$B$1:$AB$65000,$B1047,H$5)="",2,0)),0)</f>
        <v>0</v>
      </c>
      <c r="I1047" s="194">
        <f>IFERROR(IF(INDEX([1]Pivot!$AD$1:$BE$65000,$B1047,I$5)=1,1,IF(INDEX([1]Pivot!$B$1:$AB$65000,$B1047,I$5)="",2,0)),0)</f>
        <v>0</v>
      </c>
      <c r="J1047" s="194">
        <f>IFERROR(IF(INDEX([1]Pivot!$AD$1:$BE$65000,$B1047,J$5)=1,1,IF(INDEX([1]Pivot!$B$1:$AB$65000,$B1047,J$5)="",2,0)),0)</f>
        <v>0</v>
      </c>
      <c r="K1047" s="194">
        <f>IFERROR(IF(INDEX([1]Pivot!$AD$1:$BE$65000,$B1047,K$5)=1,1,IF(INDEX([1]Pivot!$B$1:$AB$65000,$B1047,K$5)="",2,0)),0)</f>
        <v>0</v>
      </c>
      <c r="L1047" s="194">
        <f>IFERROR(IF(INDEX([1]Pivot!$AD$1:$BE$65000,$B1047,L$5)=1,1,IF(INDEX([1]Pivot!$B$1:$AB$65000,$B1047,L$5)="",2,0)),0)</f>
        <v>0</v>
      </c>
      <c r="M1047" s="194">
        <f>IFERROR(IF(INDEX([1]Pivot!$AD$1:$BE$65000,$B1047,M$5)=1,1,IF(INDEX([1]Pivot!$B$1:$AB$65000,$B1047,M$5)="",2,0)),0)</f>
        <v>0</v>
      </c>
      <c r="N1047" s="194">
        <f>IFERROR(IF(INDEX([1]Pivot!$AD$1:$BE$65000,$B1047,N$5)=1,1,IF(INDEX([1]Pivot!$B$1:$AB$65000,$B1047,N$5)="",2,0)),0)</f>
        <v>0</v>
      </c>
      <c r="O1047" s="194">
        <f>IFERROR(IF(INDEX([1]Pivot!$AD$1:$BE$65000,$B1047,O$5)=1,1,IF(INDEX([1]Pivot!$B$1:$AB$65000,$B1047,O$5)="",2,0)),0)</f>
        <v>0</v>
      </c>
      <c r="P1047" s="194">
        <f>IFERROR(IF(INDEX([1]Pivot!$AD$1:$BE$65000,$B1047,P$5)=1,1,IF(INDEX([1]Pivot!$B$1:$AB$65000,$B1047,P$5)="",2,0)),0)</f>
        <v>0</v>
      </c>
      <c r="Q1047" s="194">
        <f>IFERROR(IF(INDEX([1]Pivot!$AD$1:$BE$65000,$B1047,Q$5)=1,1,IF(INDEX([1]Pivot!$B$1:$AB$65000,$B1047,Q$5)="",2,0)),0)</f>
        <v>0</v>
      </c>
      <c r="R1047" s="312"/>
      <c r="S1047" s="194">
        <f>IFERROR(IF(INDEX([1]Pivot!$AD$1:$BE$65000,$B1047,S$5)=1,1,IF(INDEX([1]Pivot!$B$1:$AB$65000,$B1047,S$5)="",2,0)),0)</f>
        <v>0</v>
      </c>
      <c r="T1047" s="194">
        <f>IFERROR(IF(INDEX([1]Pivot!$AD$1:$BE$65000,$B1047,T$5)=1,1,IF(INDEX([1]Pivot!$B$1:$AB$65000,$B1047,T$5)="",2,0)),0)</f>
        <v>0</v>
      </c>
      <c r="U1047" s="194">
        <f>IFERROR(IF(INDEX([1]Pivot!$AD$1:$BE$65000,$B1047,U$5)=1,1,IF(INDEX([1]Pivot!$B$1:$AB$65000,$B1047,U$5)="",2,0)),0)</f>
        <v>0</v>
      </c>
      <c r="V1047" s="194">
        <f>IFERROR(IF(INDEX([1]Pivot!$AD$1:$BE$65000,$B1047,V$5)=1,1,IF(INDEX([1]Pivot!$B$1:$AB$65000,$B1047,V$5)="",2,0)),0)</f>
        <v>0</v>
      </c>
      <c r="W1047" s="194">
        <f>IFERROR(IF(INDEX([1]Pivot!$AD$1:$BE$65000,$B1047,W$5)=1,1,IF(INDEX([1]Pivot!$B$1:$AB$65000,$B1047,W$5)="",2,0)),0)</f>
        <v>0</v>
      </c>
      <c r="X1047" s="194">
        <f>IFERROR(IF(INDEX([1]Pivot!$AD$1:$BE$65000,$B1047,X$5)=1,1,IF(INDEX([1]Pivot!$B$1:$AB$65000,$B1047,X$5)="",2,0)),0)</f>
        <v>0</v>
      </c>
      <c r="Y1047" s="194">
        <f>IFERROR(IF(INDEX([1]Pivot!$AD$1:$BE$65000,$B1047,Y$5)=1,1,IF(INDEX([1]Pivot!$B$1:$AB$65000,$B1047,Y$5)="",2,0)),0)</f>
        <v>0</v>
      </c>
      <c r="Z1047" s="194">
        <f>IFERROR(IF(INDEX([1]Pivot!$AD$1:$BE$65000,$B1047,Z$5)=1,1,IF(INDEX([1]Pivot!$B$1:$AB$65000,$B1047,Z$5)="",2,0)),0)</f>
        <v>0</v>
      </c>
      <c r="AA1047" s="194">
        <f>IFERROR(IF(INDEX([1]Pivot!$AD$1:$BE$65000,$B1047,AA$5)=1,1,IF(INDEX([1]Pivot!$B$1:$AB$65000,$B1047,AA$5)="",2,0)),0)</f>
        <v>0</v>
      </c>
      <c r="AB1047" s="194">
        <f>IFERROR(IF(INDEX([1]Pivot!$AD$1:$BE$65000,$B1047,AB$5)=1,1,IF(INDEX([1]Pivot!$B$1:$AB$65000,$B1047,AB$5)="",2,0)),0)</f>
        <v>0</v>
      </c>
      <c r="AC1047" s="194">
        <f>IFERROR(IF(INDEX([1]Pivot!$AD$1:$BE$65000,$B1047,AC$5)=1,1,IF(INDEX([1]Pivot!$B$1:$AB$65000,$B1047,AC$5)="",2,0)),0)</f>
        <v>0</v>
      </c>
      <c r="AD1047" s="313">
        <f>IFERROR(IF(INDEX([1]Pivot!$BF$1:$CG$65000,$B1047,AD$5)=1,1,IF(INDEX([1]Pivot!$B$1:$AB$65000,$B1047,AD$5)="",2,0)),0)</f>
        <v>0</v>
      </c>
      <c r="AE1047" s="313">
        <f>IFERROR(IF(INDEX([1]Pivot!$BF$1:$CG$65000,$B1047,AE$5)=1,1,IF(INDEX([1]Pivot!$B$1:$AB$65000,$B1047,AE$5)="",2,0)),0)</f>
        <v>0</v>
      </c>
      <c r="AF1047" s="313">
        <f>IFERROR(IF(INDEX([1]Pivot!$BF$1:$CG$65000,$B1047,AF$5)=1,1,IF(INDEX([1]Pivot!$B$1:$AB$65000,$B1047,AF$5)="",2,0)),0)</f>
        <v>0</v>
      </c>
      <c r="AG1047" s="313">
        <f>IFERROR(IF(INDEX([1]Pivot!$BF$1:$CG$65000,$B1047,AG$5)=1,1,IF(INDEX([1]Pivot!$B$1:$AB$65000,$B1047,AG$5)="",2,0)),0)</f>
        <v>0</v>
      </c>
      <c r="AH1047" s="313">
        <f>IFERROR(IF(INDEX([1]Pivot!$BF$1:$CG$65000,$B1047,AH$5)=1,1,IF(INDEX([1]Pivot!$B$1:$AB$65000,$B1047,AH$5)="",2,0)),0)</f>
        <v>0</v>
      </c>
      <c r="AI1047" s="313">
        <f>IFERROR(IF(INDEX([1]Pivot!$BF$1:$CG$65000,$B1047,AI$5)=1,1,IF(INDEX([1]Pivot!$B$1:$AB$65000,$B1047,AI$5)="",2,0)),0)</f>
        <v>0</v>
      </c>
      <c r="AJ1047" s="313">
        <f>IFERROR(IF(INDEX([1]Pivot!$BF$1:$CG$65000,$B1047,AJ$5)=1,1,IF(INDEX([1]Pivot!$B$1:$AB$65000,$B1047,AJ$5)="",2,0)),0)</f>
        <v>0</v>
      </c>
      <c r="AK1047" s="313">
        <f>IFERROR(IF(INDEX([1]Pivot!$BF$1:$CG$65000,$B1047,AK$5)=1,1,IF(INDEX([1]Pivot!$B$1:$AB$65000,$B1047,AK$5)="",2,0)),0)</f>
        <v>0</v>
      </c>
      <c r="AL1047" s="313">
        <f>IFERROR(IF(INDEX([1]Pivot!$BF$1:$CG$65000,$B1047,AL$5)=1,1,IF(INDEX([1]Pivot!$B$1:$AB$65000,$B1047,AL$5)="",2,0)),0)</f>
        <v>0</v>
      </c>
      <c r="AM1047" s="313">
        <f>IFERROR(IF(INDEX([1]Pivot!$BF$1:$CG$65000,$B1047,AM$5)=1,1,IF(INDEX([1]Pivot!$B$1:$AB$65000,$B1047,AM$5)="",2,0)),0)</f>
        <v>0</v>
      </c>
      <c r="AN1047" s="313">
        <f>IFERROR(IF(INDEX([1]Pivot!$BF$1:$CG$65000,$B1047,AN$5)=1,1,IF(INDEX([1]Pivot!$B$1:$AB$65000,$B1047,AN$5)="",2,0)),0)</f>
        <v>0</v>
      </c>
      <c r="AO1047" s="313">
        <f>IFERROR(IF(INDEX([1]Pivot!$BF$1:$CG$65000,$B1047,AO$5)=1,1,IF(INDEX([1]Pivot!$B$1:$AB$65000,$B1047,AO$5)="",2,0)),0)</f>
        <v>0</v>
      </c>
      <c r="AP1047" s="313">
        <f>IFERROR(IF(INDEX([1]Pivot!$BF$1:$CG$65000,$B1047,AP$5)=1,1,IF(INDEX([1]Pivot!$B$1:$AB$65000,$B1047,AP$5)="",2,0)),0)</f>
        <v>0</v>
      </c>
      <c r="AQ1047" s="313">
        <f>IFERROR(IF(INDEX([1]Pivot!$BF$1:$CG$65000,$B1047,AQ$5)=1,1,IF(INDEX([1]Pivot!$B$1:$AB$65000,$B1047,AQ$5)="",2,0)),0)</f>
        <v>0</v>
      </c>
      <c r="AR1047" s="313">
        <f>IFERROR(IF(INDEX([1]Pivot!$BF$1:$CG$65000,$B1047,AR$5)=1,1,IF(INDEX([1]Pivot!$B$1:$AB$65000,$B1047,AR$5)="",2,0)),0)</f>
        <v>0</v>
      </c>
      <c r="AS1047" s="312"/>
      <c r="AT1047" s="313">
        <f>IFERROR(IF(INDEX([1]Pivot!$BF$1:$CG$65000,$B1047,AT$5)=1,1,IF(INDEX([1]Pivot!$B$1:$AB$65000,$B1047,AT$5)="",2,0)),0)</f>
        <v>0</v>
      </c>
      <c r="AU1047" s="313">
        <f>IFERROR(IF(INDEX([1]Pivot!$BF$1:$CG$65000,$B1047,AU$5)=1,1,IF(INDEX([1]Pivot!$B$1:$AB$65000,$B1047,AU$5)="",2,0)),0)</f>
        <v>0</v>
      </c>
      <c r="AV1047" s="313">
        <f>IFERROR(IF(INDEX([1]Pivot!$BF$1:$CG$65000,$B1047,AV$5)=1,1,IF(INDEX([1]Pivot!$B$1:$AB$65000,$B1047,AV$5)="",2,0)),0)</f>
        <v>0</v>
      </c>
      <c r="AW1047" s="313">
        <f>IFERROR(IF(INDEX([1]Pivot!$BF$1:$CG$65000,$B1047,AW$5)=1,1,IF(INDEX([1]Pivot!$B$1:$AB$65000,$B1047,AW$5)="",2,0)),0)</f>
        <v>0</v>
      </c>
      <c r="AX1047" s="313">
        <f>IFERROR(IF(INDEX([1]Pivot!$BF$1:$CG$65000,$B1047,AX$5)=1,1,IF(INDEX([1]Pivot!$B$1:$AB$65000,$B1047,AX$5)="",2,0)),0)</f>
        <v>0</v>
      </c>
      <c r="AY1047" s="313">
        <f>IFERROR(IF(INDEX([1]Pivot!$BF$1:$CG$65000,$B1047,AY$5)=1,1,IF(INDEX([1]Pivot!$B$1:$AB$65000,$B1047,AY$5)="",2,0)),0)</f>
        <v>0</v>
      </c>
      <c r="AZ1047" s="313">
        <f>IFERROR(IF(INDEX([1]Pivot!$BF$1:$CG$65000,$B1047,AZ$5)=1,1,IF(INDEX([1]Pivot!$B$1:$AB$65000,$B1047,AZ$5)="",2,0)),0)</f>
        <v>0</v>
      </c>
      <c r="BA1047" s="313">
        <f>IFERROR(IF(INDEX([1]Pivot!$BF$1:$CG$65000,$B1047,BA$5)=1,1,IF(INDEX([1]Pivot!$B$1:$AB$65000,$B1047,BA$5)="",2,0)),0)</f>
        <v>0</v>
      </c>
      <c r="BB1047" s="313">
        <f>IFERROR(IF(INDEX([1]Pivot!$BF$1:$CG$65000,$B1047,BB$5)=1,1,IF(INDEX([1]Pivot!$B$1:$AB$65000,$B1047,BB$5)="",2,0)),0)</f>
        <v>0</v>
      </c>
      <c r="BC1047" s="313">
        <f>IFERROR(IF(INDEX([1]Pivot!$BF$1:$CG$65000,$B1047,BC$5)=1,1,IF(INDEX([1]Pivot!$B$1:$AB$65000,$B1047,BC$5)="",2,0)),0)</f>
        <v>0</v>
      </c>
      <c r="BD1047" s="313">
        <f>IFERROR(IF(INDEX([1]Pivot!$BF$1:$CG$65000,$B1047,BD$5)=1,1,IF(INDEX([1]Pivot!$B$1:$AB$65000,$B1047,BD$5)="",2,0)),0)</f>
        <v>0</v>
      </c>
    </row>
    <row r="1048" spans="1:56" x14ac:dyDescent="0.25">
      <c r="A1048" s="288">
        <f>'[2]Raw Milk Prices'!A1048</f>
        <v>0</v>
      </c>
      <c r="B1048" s="296" t="e">
        <f>MATCH(DATE(LEFT('[2]Raw Milk Prices'!$A1048,4),RIGHT('[2]Raw Milk Prices'!$A1048,2),1),[1]Pivot!$A$1:$A$65000,0)</f>
        <v>#VALUE!</v>
      </c>
      <c r="C1048" s="194">
        <f>IFERROR(IF(INDEX([1]Pivot!$AD$1:$BE$65000,$B1048,C$5)=1,1,IF(INDEX([1]Pivot!$B$1:$AB$65000,$B1048,C$5)="",2,0)),0)</f>
        <v>0</v>
      </c>
      <c r="D1048" s="194">
        <f>IFERROR(IF(INDEX([1]Pivot!$AD$1:$BE$65000,$B1048,D$5)=1,1,IF(INDEX([1]Pivot!$B$1:$AB$65000,$B1048,D$5)="",2,0)),0)</f>
        <v>0</v>
      </c>
      <c r="E1048" s="194">
        <f>IFERROR(IF(INDEX([1]Pivot!$AD$1:$BE$65000,$B1048,E$5)=1,1,IF(INDEX([1]Pivot!$B$1:$AB$65000,$B1048,E$5)="",2,0)),0)</f>
        <v>0</v>
      </c>
      <c r="F1048" s="194">
        <f>IFERROR(IF(INDEX([1]Pivot!$AD$1:$BE$65000,$B1048,F$5)=1,1,IF(INDEX([1]Pivot!$B$1:$AB$65000,$B1048,F$5)="",2,0)),0)</f>
        <v>0</v>
      </c>
      <c r="G1048" s="194">
        <f>IFERROR(IF(INDEX([1]Pivot!$AD$1:$BE$65000,$B1048,G$5)=1,1,IF(INDEX([1]Pivot!$B$1:$AB$65000,$B1048,G$5)="",2,0)),0)</f>
        <v>0</v>
      </c>
      <c r="H1048" s="194">
        <f>IFERROR(IF(INDEX([1]Pivot!$AD$1:$BE$65000,$B1048,H$5)=1,1,IF(INDEX([1]Pivot!$B$1:$AB$65000,$B1048,H$5)="",2,0)),0)</f>
        <v>0</v>
      </c>
      <c r="I1048" s="194">
        <f>IFERROR(IF(INDEX([1]Pivot!$AD$1:$BE$65000,$B1048,I$5)=1,1,IF(INDEX([1]Pivot!$B$1:$AB$65000,$B1048,I$5)="",2,0)),0)</f>
        <v>0</v>
      </c>
      <c r="J1048" s="194">
        <f>IFERROR(IF(INDEX([1]Pivot!$AD$1:$BE$65000,$B1048,J$5)=1,1,IF(INDEX([1]Pivot!$B$1:$AB$65000,$B1048,J$5)="",2,0)),0)</f>
        <v>0</v>
      </c>
      <c r="K1048" s="194">
        <f>IFERROR(IF(INDEX([1]Pivot!$AD$1:$BE$65000,$B1048,K$5)=1,1,IF(INDEX([1]Pivot!$B$1:$AB$65000,$B1048,K$5)="",2,0)),0)</f>
        <v>0</v>
      </c>
      <c r="L1048" s="194">
        <f>IFERROR(IF(INDEX([1]Pivot!$AD$1:$BE$65000,$B1048,L$5)=1,1,IF(INDEX([1]Pivot!$B$1:$AB$65000,$B1048,L$5)="",2,0)),0)</f>
        <v>0</v>
      </c>
      <c r="M1048" s="194">
        <f>IFERROR(IF(INDEX([1]Pivot!$AD$1:$BE$65000,$B1048,M$5)=1,1,IF(INDEX([1]Pivot!$B$1:$AB$65000,$B1048,M$5)="",2,0)),0)</f>
        <v>0</v>
      </c>
      <c r="N1048" s="194">
        <f>IFERROR(IF(INDEX([1]Pivot!$AD$1:$BE$65000,$B1048,N$5)=1,1,IF(INDEX([1]Pivot!$B$1:$AB$65000,$B1048,N$5)="",2,0)),0)</f>
        <v>0</v>
      </c>
      <c r="O1048" s="194">
        <f>IFERROR(IF(INDEX([1]Pivot!$AD$1:$BE$65000,$B1048,O$5)=1,1,IF(INDEX([1]Pivot!$B$1:$AB$65000,$B1048,O$5)="",2,0)),0)</f>
        <v>0</v>
      </c>
      <c r="P1048" s="194">
        <f>IFERROR(IF(INDEX([1]Pivot!$AD$1:$BE$65000,$B1048,P$5)=1,1,IF(INDEX([1]Pivot!$B$1:$AB$65000,$B1048,P$5)="",2,0)),0)</f>
        <v>0</v>
      </c>
      <c r="Q1048" s="194">
        <f>IFERROR(IF(INDEX([1]Pivot!$AD$1:$BE$65000,$B1048,Q$5)=1,1,IF(INDEX([1]Pivot!$B$1:$AB$65000,$B1048,Q$5)="",2,0)),0)</f>
        <v>0</v>
      </c>
      <c r="R1048" s="312"/>
      <c r="S1048" s="194">
        <f>IFERROR(IF(INDEX([1]Pivot!$AD$1:$BE$65000,$B1048,S$5)=1,1,IF(INDEX([1]Pivot!$B$1:$AB$65000,$B1048,S$5)="",2,0)),0)</f>
        <v>0</v>
      </c>
      <c r="T1048" s="194">
        <f>IFERROR(IF(INDEX([1]Pivot!$AD$1:$BE$65000,$B1048,T$5)=1,1,IF(INDEX([1]Pivot!$B$1:$AB$65000,$B1048,T$5)="",2,0)),0)</f>
        <v>0</v>
      </c>
      <c r="U1048" s="194">
        <f>IFERROR(IF(INDEX([1]Pivot!$AD$1:$BE$65000,$B1048,U$5)=1,1,IF(INDEX([1]Pivot!$B$1:$AB$65000,$B1048,U$5)="",2,0)),0)</f>
        <v>0</v>
      </c>
      <c r="V1048" s="194">
        <f>IFERROR(IF(INDEX([1]Pivot!$AD$1:$BE$65000,$B1048,V$5)=1,1,IF(INDEX([1]Pivot!$B$1:$AB$65000,$B1048,V$5)="",2,0)),0)</f>
        <v>0</v>
      </c>
      <c r="W1048" s="194">
        <f>IFERROR(IF(INDEX([1]Pivot!$AD$1:$BE$65000,$B1048,W$5)=1,1,IF(INDEX([1]Pivot!$B$1:$AB$65000,$B1048,W$5)="",2,0)),0)</f>
        <v>0</v>
      </c>
      <c r="X1048" s="194">
        <f>IFERROR(IF(INDEX([1]Pivot!$AD$1:$BE$65000,$B1048,X$5)=1,1,IF(INDEX([1]Pivot!$B$1:$AB$65000,$B1048,X$5)="",2,0)),0)</f>
        <v>0</v>
      </c>
      <c r="Y1048" s="194">
        <f>IFERROR(IF(INDEX([1]Pivot!$AD$1:$BE$65000,$B1048,Y$5)=1,1,IF(INDEX([1]Pivot!$B$1:$AB$65000,$B1048,Y$5)="",2,0)),0)</f>
        <v>0</v>
      </c>
      <c r="Z1048" s="194">
        <f>IFERROR(IF(INDEX([1]Pivot!$AD$1:$BE$65000,$B1048,Z$5)=1,1,IF(INDEX([1]Pivot!$B$1:$AB$65000,$B1048,Z$5)="",2,0)),0)</f>
        <v>0</v>
      </c>
      <c r="AA1048" s="194">
        <f>IFERROR(IF(INDEX([1]Pivot!$AD$1:$BE$65000,$B1048,AA$5)=1,1,IF(INDEX([1]Pivot!$B$1:$AB$65000,$B1048,AA$5)="",2,0)),0)</f>
        <v>0</v>
      </c>
      <c r="AB1048" s="194">
        <f>IFERROR(IF(INDEX([1]Pivot!$AD$1:$BE$65000,$B1048,AB$5)=1,1,IF(INDEX([1]Pivot!$B$1:$AB$65000,$B1048,AB$5)="",2,0)),0)</f>
        <v>0</v>
      </c>
      <c r="AC1048" s="194">
        <f>IFERROR(IF(INDEX([1]Pivot!$AD$1:$BE$65000,$B1048,AC$5)=1,1,IF(INDEX([1]Pivot!$B$1:$AB$65000,$B1048,AC$5)="",2,0)),0)</f>
        <v>0</v>
      </c>
      <c r="AD1048" s="313">
        <f>IFERROR(IF(INDEX([1]Pivot!$BF$1:$CG$65000,$B1048,AD$5)=1,1,IF(INDEX([1]Pivot!$B$1:$AB$65000,$B1048,AD$5)="",2,0)),0)</f>
        <v>0</v>
      </c>
      <c r="AE1048" s="313">
        <f>IFERROR(IF(INDEX([1]Pivot!$BF$1:$CG$65000,$B1048,AE$5)=1,1,IF(INDEX([1]Pivot!$B$1:$AB$65000,$B1048,AE$5)="",2,0)),0)</f>
        <v>0</v>
      </c>
      <c r="AF1048" s="313">
        <f>IFERROR(IF(INDEX([1]Pivot!$BF$1:$CG$65000,$B1048,AF$5)=1,1,IF(INDEX([1]Pivot!$B$1:$AB$65000,$B1048,AF$5)="",2,0)),0)</f>
        <v>0</v>
      </c>
      <c r="AG1048" s="313">
        <f>IFERROR(IF(INDEX([1]Pivot!$BF$1:$CG$65000,$B1048,AG$5)=1,1,IF(INDEX([1]Pivot!$B$1:$AB$65000,$B1048,AG$5)="",2,0)),0)</f>
        <v>0</v>
      </c>
      <c r="AH1048" s="313">
        <f>IFERROR(IF(INDEX([1]Pivot!$BF$1:$CG$65000,$B1048,AH$5)=1,1,IF(INDEX([1]Pivot!$B$1:$AB$65000,$B1048,AH$5)="",2,0)),0)</f>
        <v>0</v>
      </c>
      <c r="AI1048" s="313">
        <f>IFERROR(IF(INDEX([1]Pivot!$BF$1:$CG$65000,$B1048,AI$5)=1,1,IF(INDEX([1]Pivot!$B$1:$AB$65000,$B1048,AI$5)="",2,0)),0)</f>
        <v>0</v>
      </c>
      <c r="AJ1048" s="313">
        <f>IFERROR(IF(INDEX([1]Pivot!$BF$1:$CG$65000,$B1048,AJ$5)=1,1,IF(INDEX([1]Pivot!$B$1:$AB$65000,$B1048,AJ$5)="",2,0)),0)</f>
        <v>0</v>
      </c>
      <c r="AK1048" s="313">
        <f>IFERROR(IF(INDEX([1]Pivot!$BF$1:$CG$65000,$B1048,AK$5)=1,1,IF(INDEX([1]Pivot!$B$1:$AB$65000,$B1048,AK$5)="",2,0)),0)</f>
        <v>0</v>
      </c>
      <c r="AL1048" s="313">
        <f>IFERROR(IF(INDEX([1]Pivot!$BF$1:$CG$65000,$B1048,AL$5)=1,1,IF(INDEX([1]Pivot!$B$1:$AB$65000,$B1048,AL$5)="",2,0)),0)</f>
        <v>0</v>
      </c>
      <c r="AM1048" s="313">
        <f>IFERROR(IF(INDEX([1]Pivot!$BF$1:$CG$65000,$B1048,AM$5)=1,1,IF(INDEX([1]Pivot!$B$1:$AB$65000,$B1048,AM$5)="",2,0)),0)</f>
        <v>0</v>
      </c>
      <c r="AN1048" s="313">
        <f>IFERROR(IF(INDEX([1]Pivot!$BF$1:$CG$65000,$B1048,AN$5)=1,1,IF(INDEX([1]Pivot!$B$1:$AB$65000,$B1048,AN$5)="",2,0)),0)</f>
        <v>0</v>
      </c>
      <c r="AO1048" s="313">
        <f>IFERROR(IF(INDEX([1]Pivot!$BF$1:$CG$65000,$B1048,AO$5)=1,1,IF(INDEX([1]Pivot!$B$1:$AB$65000,$B1048,AO$5)="",2,0)),0)</f>
        <v>0</v>
      </c>
      <c r="AP1048" s="313">
        <f>IFERROR(IF(INDEX([1]Pivot!$BF$1:$CG$65000,$B1048,AP$5)=1,1,IF(INDEX([1]Pivot!$B$1:$AB$65000,$B1048,AP$5)="",2,0)),0)</f>
        <v>0</v>
      </c>
      <c r="AQ1048" s="313">
        <f>IFERROR(IF(INDEX([1]Pivot!$BF$1:$CG$65000,$B1048,AQ$5)=1,1,IF(INDEX([1]Pivot!$B$1:$AB$65000,$B1048,AQ$5)="",2,0)),0)</f>
        <v>0</v>
      </c>
      <c r="AR1048" s="313">
        <f>IFERROR(IF(INDEX([1]Pivot!$BF$1:$CG$65000,$B1048,AR$5)=1,1,IF(INDEX([1]Pivot!$B$1:$AB$65000,$B1048,AR$5)="",2,0)),0)</f>
        <v>0</v>
      </c>
      <c r="AS1048" s="312"/>
      <c r="AT1048" s="313">
        <f>IFERROR(IF(INDEX([1]Pivot!$BF$1:$CG$65000,$B1048,AT$5)=1,1,IF(INDEX([1]Pivot!$B$1:$AB$65000,$B1048,AT$5)="",2,0)),0)</f>
        <v>0</v>
      </c>
      <c r="AU1048" s="313">
        <f>IFERROR(IF(INDEX([1]Pivot!$BF$1:$CG$65000,$B1048,AU$5)=1,1,IF(INDEX([1]Pivot!$B$1:$AB$65000,$B1048,AU$5)="",2,0)),0)</f>
        <v>0</v>
      </c>
      <c r="AV1048" s="313">
        <f>IFERROR(IF(INDEX([1]Pivot!$BF$1:$CG$65000,$B1048,AV$5)=1,1,IF(INDEX([1]Pivot!$B$1:$AB$65000,$B1048,AV$5)="",2,0)),0)</f>
        <v>0</v>
      </c>
      <c r="AW1048" s="313">
        <f>IFERROR(IF(INDEX([1]Pivot!$BF$1:$CG$65000,$B1048,AW$5)=1,1,IF(INDEX([1]Pivot!$B$1:$AB$65000,$B1048,AW$5)="",2,0)),0)</f>
        <v>0</v>
      </c>
      <c r="AX1048" s="313">
        <f>IFERROR(IF(INDEX([1]Pivot!$BF$1:$CG$65000,$B1048,AX$5)=1,1,IF(INDEX([1]Pivot!$B$1:$AB$65000,$B1048,AX$5)="",2,0)),0)</f>
        <v>0</v>
      </c>
      <c r="AY1048" s="313">
        <f>IFERROR(IF(INDEX([1]Pivot!$BF$1:$CG$65000,$B1048,AY$5)=1,1,IF(INDEX([1]Pivot!$B$1:$AB$65000,$B1048,AY$5)="",2,0)),0)</f>
        <v>0</v>
      </c>
      <c r="AZ1048" s="313">
        <f>IFERROR(IF(INDEX([1]Pivot!$BF$1:$CG$65000,$B1048,AZ$5)=1,1,IF(INDEX([1]Pivot!$B$1:$AB$65000,$B1048,AZ$5)="",2,0)),0)</f>
        <v>0</v>
      </c>
      <c r="BA1048" s="313">
        <f>IFERROR(IF(INDEX([1]Pivot!$BF$1:$CG$65000,$B1048,BA$5)=1,1,IF(INDEX([1]Pivot!$B$1:$AB$65000,$B1048,BA$5)="",2,0)),0)</f>
        <v>0</v>
      </c>
      <c r="BB1048" s="313">
        <f>IFERROR(IF(INDEX([1]Pivot!$BF$1:$CG$65000,$B1048,BB$5)=1,1,IF(INDEX([1]Pivot!$B$1:$AB$65000,$B1048,BB$5)="",2,0)),0)</f>
        <v>0</v>
      </c>
      <c r="BC1048" s="313">
        <f>IFERROR(IF(INDEX([1]Pivot!$BF$1:$CG$65000,$B1048,BC$5)=1,1,IF(INDEX([1]Pivot!$B$1:$AB$65000,$B1048,BC$5)="",2,0)),0)</f>
        <v>0</v>
      </c>
      <c r="BD1048" s="313">
        <f>IFERROR(IF(INDEX([1]Pivot!$BF$1:$CG$65000,$B1048,BD$5)=1,1,IF(INDEX([1]Pivot!$B$1:$AB$65000,$B1048,BD$5)="",2,0)),0)</f>
        <v>0</v>
      </c>
    </row>
    <row r="1049" spans="1:56" x14ac:dyDescent="0.25">
      <c r="A1049" s="288">
        <f>'[2]Raw Milk Prices'!A1049</f>
        <v>0</v>
      </c>
      <c r="B1049" s="296" t="e">
        <f>MATCH(DATE(LEFT('[2]Raw Milk Prices'!$A1049,4),RIGHT('[2]Raw Milk Prices'!$A1049,2),1),[1]Pivot!$A$1:$A$65000,0)</f>
        <v>#VALUE!</v>
      </c>
      <c r="C1049" s="194">
        <f>IFERROR(IF(INDEX([1]Pivot!$AD$1:$BE$65000,$B1049,C$5)=1,1,IF(INDEX([1]Pivot!$B$1:$AB$65000,$B1049,C$5)="",2,0)),0)</f>
        <v>0</v>
      </c>
      <c r="D1049" s="194">
        <f>IFERROR(IF(INDEX([1]Pivot!$AD$1:$BE$65000,$B1049,D$5)=1,1,IF(INDEX([1]Pivot!$B$1:$AB$65000,$B1049,D$5)="",2,0)),0)</f>
        <v>0</v>
      </c>
      <c r="E1049" s="194">
        <f>IFERROR(IF(INDEX([1]Pivot!$AD$1:$BE$65000,$B1049,E$5)=1,1,IF(INDEX([1]Pivot!$B$1:$AB$65000,$B1049,E$5)="",2,0)),0)</f>
        <v>0</v>
      </c>
      <c r="F1049" s="194">
        <f>IFERROR(IF(INDEX([1]Pivot!$AD$1:$BE$65000,$B1049,F$5)=1,1,IF(INDEX([1]Pivot!$B$1:$AB$65000,$B1049,F$5)="",2,0)),0)</f>
        <v>0</v>
      </c>
      <c r="G1049" s="194">
        <f>IFERROR(IF(INDEX([1]Pivot!$AD$1:$BE$65000,$B1049,G$5)=1,1,IF(INDEX([1]Pivot!$B$1:$AB$65000,$B1049,G$5)="",2,0)),0)</f>
        <v>0</v>
      </c>
      <c r="H1049" s="194">
        <f>IFERROR(IF(INDEX([1]Pivot!$AD$1:$BE$65000,$B1049,H$5)=1,1,IF(INDEX([1]Pivot!$B$1:$AB$65000,$B1049,H$5)="",2,0)),0)</f>
        <v>0</v>
      </c>
      <c r="I1049" s="194">
        <f>IFERROR(IF(INDEX([1]Pivot!$AD$1:$BE$65000,$B1049,I$5)=1,1,IF(INDEX([1]Pivot!$B$1:$AB$65000,$B1049,I$5)="",2,0)),0)</f>
        <v>0</v>
      </c>
      <c r="J1049" s="194">
        <f>IFERROR(IF(INDEX([1]Pivot!$AD$1:$BE$65000,$B1049,J$5)=1,1,IF(INDEX([1]Pivot!$B$1:$AB$65000,$B1049,J$5)="",2,0)),0)</f>
        <v>0</v>
      </c>
      <c r="K1049" s="194">
        <f>IFERROR(IF(INDEX([1]Pivot!$AD$1:$BE$65000,$B1049,K$5)=1,1,IF(INDEX([1]Pivot!$B$1:$AB$65000,$B1049,K$5)="",2,0)),0)</f>
        <v>0</v>
      </c>
      <c r="L1049" s="194">
        <f>IFERROR(IF(INDEX([1]Pivot!$AD$1:$BE$65000,$B1049,L$5)=1,1,IF(INDEX([1]Pivot!$B$1:$AB$65000,$B1049,L$5)="",2,0)),0)</f>
        <v>0</v>
      </c>
      <c r="M1049" s="194">
        <f>IFERROR(IF(INDEX([1]Pivot!$AD$1:$BE$65000,$B1049,M$5)=1,1,IF(INDEX([1]Pivot!$B$1:$AB$65000,$B1049,M$5)="",2,0)),0)</f>
        <v>0</v>
      </c>
      <c r="N1049" s="194">
        <f>IFERROR(IF(INDEX([1]Pivot!$AD$1:$BE$65000,$B1049,N$5)=1,1,IF(INDEX([1]Pivot!$B$1:$AB$65000,$B1049,N$5)="",2,0)),0)</f>
        <v>0</v>
      </c>
      <c r="O1049" s="194">
        <f>IFERROR(IF(INDEX([1]Pivot!$AD$1:$BE$65000,$B1049,O$5)=1,1,IF(INDEX([1]Pivot!$B$1:$AB$65000,$B1049,O$5)="",2,0)),0)</f>
        <v>0</v>
      </c>
      <c r="P1049" s="194">
        <f>IFERROR(IF(INDEX([1]Pivot!$AD$1:$BE$65000,$B1049,P$5)=1,1,IF(INDEX([1]Pivot!$B$1:$AB$65000,$B1049,P$5)="",2,0)),0)</f>
        <v>0</v>
      </c>
      <c r="Q1049" s="194">
        <f>IFERROR(IF(INDEX([1]Pivot!$AD$1:$BE$65000,$B1049,Q$5)=1,1,IF(INDEX([1]Pivot!$B$1:$AB$65000,$B1049,Q$5)="",2,0)),0)</f>
        <v>0</v>
      </c>
      <c r="R1049" s="312"/>
      <c r="S1049" s="194">
        <f>IFERROR(IF(INDEX([1]Pivot!$AD$1:$BE$65000,$B1049,S$5)=1,1,IF(INDEX([1]Pivot!$B$1:$AB$65000,$B1049,S$5)="",2,0)),0)</f>
        <v>0</v>
      </c>
      <c r="T1049" s="194">
        <f>IFERROR(IF(INDEX([1]Pivot!$AD$1:$BE$65000,$B1049,T$5)=1,1,IF(INDEX([1]Pivot!$B$1:$AB$65000,$B1049,T$5)="",2,0)),0)</f>
        <v>0</v>
      </c>
      <c r="U1049" s="194">
        <f>IFERROR(IF(INDEX([1]Pivot!$AD$1:$BE$65000,$B1049,U$5)=1,1,IF(INDEX([1]Pivot!$B$1:$AB$65000,$B1049,U$5)="",2,0)),0)</f>
        <v>0</v>
      </c>
      <c r="V1049" s="194">
        <f>IFERROR(IF(INDEX([1]Pivot!$AD$1:$BE$65000,$B1049,V$5)=1,1,IF(INDEX([1]Pivot!$B$1:$AB$65000,$B1049,V$5)="",2,0)),0)</f>
        <v>0</v>
      </c>
      <c r="W1049" s="194">
        <f>IFERROR(IF(INDEX([1]Pivot!$AD$1:$BE$65000,$B1049,W$5)=1,1,IF(INDEX([1]Pivot!$B$1:$AB$65000,$B1049,W$5)="",2,0)),0)</f>
        <v>0</v>
      </c>
      <c r="X1049" s="194">
        <f>IFERROR(IF(INDEX([1]Pivot!$AD$1:$BE$65000,$B1049,X$5)=1,1,IF(INDEX([1]Pivot!$B$1:$AB$65000,$B1049,X$5)="",2,0)),0)</f>
        <v>0</v>
      </c>
      <c r="Y1049" s="194">
        <f>IFERROR(IF(INDEX([1]Pivot!$AD$1:$BE$65000,$B1049,Y$5)=1,1,IF(INDEX([1]Pivot!$B$1:$AB$65000,$B1049,Y$5)="",2,0)),0)</f>
        <v>0</v>
      </c>
      <c r="Z1049" s="194">
        <f>IFERROR(IF(INDEX([1]Pivot!$AD$1:$BE$65000,$B1049,Z$5)=1,1,IF(INDEX([1]Pivot!$B$1:$AB$65000,$B1049,Z$5)="",2,0)),0)</f>
        <v>0</v>
      </c>
      <c r="AA1049" s="194">
        <f>IFERROR(IF(INDEX([1]Pivot!$AD$1:$BE$65000,$B1049,AA$5)=1,1,IF(INDEX([1]Pivot!$B$1:$AB$65000,$B1049,AA$5)="",2,0)),0)</f>
        <v>0</v>
      </c>
      <c r="AB1049" s="194">
        <f>IFERROR(IF(INDEX([1]Pivot!$AD$1:$BE$65000,$B1049,AB$5)=1,1,IF(INDEX([1]Pivot!$B$1:$AB$65000,$B1049,AB$5)="",2,0)),0)</f>
        <v>0</v>
      </c>
      <c r="AC1049" s="194">
        <f>IFERROR(IF(INDEX([1]Pivot!$AD$1:$BE$65000,$B1049,AC$5)=1,1,IF(INDEX([1]Pivot!$B$1:$AB$65000,$B1049,AC$5)="",2,0)),0)</f>
        <v>0</v>
      </c>
      <c r="AD1049" s="313">
        <f>IFERROR(IF(INDEX([1]Pivot!$BF$1:$CG$65000,$B1049,AD$5)=1,1,IF(INDEX([1]Pivot!$B$1:$AB$65000,$B1049,AD$5)="",2,0)),0)</f>
        <v>0</v>
      </c>
      <c r="AE1049" s="313">
        <f>IFERROR(IF(INDEX([1]Pivot!$BF$1:$CG$65000,$B1049,AE$5)=1,1,IF(INDEX([1]Pivot!$B$1:$AB$65000,$B1049,AE$5)="",2,0)),0)</f>
        <v>0</v>
      </c>
      <c r="AF1049" s="313">
        <f>IFERROR(IF(INDEX([1]Pivot!$BF$1:$CG$65000,$B1049,AF$5)=1,1,IF(INDEX([1]Pivot!$B$1:$AB$65000,$B1049,AF$5)="",2,0)),0)</f>
        <v>0</v>
      </c>
      <c r="AG1049" s="313">
        <f>IFERROR(IF(INDEX([1]Pivot!$BF$1:$CG$65000,$B1049,AG$5)=1,1,IF(INDEX([1]Pivot!$B$1:$AB$65000,$B1049,AG$5)="",2,0)),0)</f>
        <v>0</v>
      </c>
      <c r="AH1049" s="313">
        <f>IFERROR(IF(INDEX([1]Pivot!$BF$1:$CG$65000,$B1049,AH$5)=1,1,IF(INDEX([1]Pivot!$B$1:$AB$65000,$B1049,AH$5)="",2,0)),0)</f>
        <v>0</v>
      </c>
      <c r="AI1049" s="313">
        <f>IFERROR(IF(INDEX([1]Pivot!$BF$1:$CG$65000,$B1049,AI$5)=1,1,IF(INDEX([1]Pivot!$B$1:$AB$65000,$B1049,AI$5)="",2,0)),0)</f>
        <v>0</v>
      </c>
      <c r="AJ1049" s="313">
        <f>IFERROR(IF(INDEX([1]Pivot!$BF$1:$CG$65000,$B1049,AJ$5)=1,1,IF(INDEX([1]Pivot!$B$1:$AB$65000,$B1049,AJ$5)="",2,0)),0)</f>
        <v>0</v>
      </c>
      <c r="AK1049" s="313">
        <f>IFERROR(IF(INDEX([1]Pivot!$BF$1:$CG$65000,$B1049,AK$5)=1,1,IF(INDEX([1]Pivot!$B$1:$AB$65000,$B1049,AK$5)="",2,0)),0)</f>
        <v>0</v>
      </c>
      <c r="AL1049" s="313">
        <f>IFERROR(IF(INDEX([1]Pivot!$BF$1:$CG$65000,$B1049,AL$5)=1,1,IF(INDEX([1]Pivot!$B$1:$AB$65000,$B1049,AL$5)="",2,0)),0)</f>
        <v>0</v>
      </c>
      <c r="AM1049" s="313">
        <f>IFERROR(IF(INDEX([1]Pivot!$BF$1:$CG$65000,$B1049,AM$5)=1,1,IF(INDEX([1]Pivot!$B$1:$AB$65000,$B1049,AM$5)="",2,0)),0)</f>
        <v>0</v>
      </c>
      <c r="AN1049" s="313">
        <f>IFERROR(IF(INDEX([1]Pivot!$BF$1:$CG$65000,$B1049,AN$5)=1,1,IF(INDEX([1]Pivot!$B$1:$AB$65000,$B1049,AN$5)="",2,0)),0)</f>
        <v>0</v>
      </c>
      <c r="AO1049" s="313">
        <f>IFERROR(IF(INDEX([1]Pivot!$BF$1:$CG$65000,$B1049,AO$5)=1,1,IF(INDEX([1]Pivot!$B$1:$AB$65000,$B1049,AO$5)="",2,0)),0)</f>
        <v>0</v>
      </c>
      <c r="AP1049" s="313">
        <f>IFERROR(IF(INDEX([1]Pivot!$BF$1:$CG$65000,$B1049,AP$5)=1,1,IF(INDEX([1]Pivot!$B$1:$AB$65000,$B1049,AP$5)="",2,0)),0)</f>
        <v>0</v>
      </c>
      <c r="AQ1049" s="313">
        <f>IFERROR(IF(INDEX([1]Pivot!$BF$1:$CG$65000,$B1049,AQ$5)=1,1,IF(INDEX([1]Pivot!$B$1:$AB$65000,$B1049,AQ$5)="",2,0)),0)</f>
        <v>0</v>
      </c>
      <c r="AR1049" s="313">
        <f>IFERROR(IF(INDEX([1]Pivot!$BF$1:$CG$65000,$B1049,AR$5)=1,1,IF(INDEX([1]Pivot!$B$1:$AB$65000,$B1049,AR$5)="",2,0)),0)</f>
        <v>0</v>
      </c>
      <c r="AS1049" s="312"/>
      <c r="AT1049" s="313">
        <f>IFERROR(IF(INDEX([1]Pivot!$BF$1:$CG$65000,$B1049,AT$5)=1,1,IF(INDEX([1]Pivot!$B$1:$AB$65000,$B1049,AT$5)="",2,0)),0)</f>
        <v>0</v>
      </c>
      <c r="AU1049" s="313">
        <f>IFERROR(IF(INDEX([1]Pivot!$BF$1:$CG$65000,$B1049,AU$5)=1,1,IF(INDEX([1]Pivot!$B$1:$AB$65000,$B1049,AU$5)="",2,0)),0)</f>
        <v>0</v>
      </c>
      <c r="AV1049" s="313">
        <f>IFERROR(IF(INDEX([1]Pivot!$BF$1:$CG$65000,$B1049,AV$5)=1,1,IF(INDEX([1]Pivot!$B$1:$AB$65000,$B1049,AV$5)="",2,0)),0)</f>
        <v>0</v>
      </c>
      <c r="AW1049" s="313">
        <f>IFERROR(IF(INDEX([1]Pivot!$BF$1:$CG$65000,$B1049,AW$5)=1,1,IF(INDEX([1]Pivot!$B$1:$AB$65000,$B1049,AW$5)="",2,0)),0)</f>
        <v>0</v>
      </c>
      <c r="AX1049" s="313">
        <f>IFERROR(IF(INDEX([1]Pivot!$BF$1:$CG$65000,$B1049,AX$5)=1,1,IF(INDEX([1]Pivot!$B$1:$AB$65000,$B1049,AX$5)="",2,0)),0)</f>
        <v>0</v>
      </c>
      <c r="AY1049" s="313">
        <f>IFERROR(IF(INDEX([1]Pivot!$BF$1:$CG$65000,$B1049,AY$5)=1,1,IF(INDEX([1]Pivot!$B$1:$AB$65000,$B1049,AY$5)="",2,0)),0)</f>
        <v>0</v>
      </c>
      <c r="AZ1049" s="313">
        <f>IFERROR(IF(INDEX([1]Pivot!$BF$1:$CG$65000,$B1049,AZ$5)=1,1,IF(INDEX([1]Pivot!$B$1:$AB$65000,$B1049,AZ$5)="",2,0)),0)</f>
        <v>0</v>
      </c>
      <c r="BA1049" s="313">
        <f>IFERROR(IF(INDEX([1]Pivot!$BF$1:$CG$65000,$B1049,BA$5)=1,1,IF(INDEX([1]Pivot!$B$1:$AB$65000,$B1049,BA$5)="",2,0)),0)</f>
        <v>0</v>
      </c>
      <c r="BB1049" s="313">
        <f>IFERROR(IF(INDEX([1]Pivot!$BF$1:$CG$65000,$B1049,BB$5)=1,1,IF(INDEX([1]Pivot!$B$1:$AB$65000,$B1049,BB$5)="",2,0)),0)</f>
        <v>0</v>
      </c>
      <c r="BC1049" s="313">
        <f>IFERROR(IF(INDEX([1]Pivot!$BF$1:$CG$65000,$B1049,BC$5)=1,1,IF(INDEX([1]Pivot!$B$1:$AB$65000,$B1049,BC$5)="",2,0)),0)</f>
        <v>0</v>
      </c>
      <c r="BD1049" s="313">
        <f>IFERROR(IF(INDEX([1]Pivot!$BF$1:$CG$65000,$B1049,BD$5)=1,1,IF(INDEX([1]Pivot!$B$1:$AB$65000,$B1049,BD$5)="",2,0)),0)</f>
        <v>0</v>
      </c>
    </row>
    <row r="1050" spans="1:56" x14ac:dyDescent="0.25">
      <c r="A1050" s="288">
        <f>'[2]Raw Milk Prices'!A1050</f>
        <v>0</v>
      </c>
      <c r="B1050" s="296" t="e">
        <f>MATCH(DATE(LEFT('[2]Raw Milk Prices'!$A1050,4),RIGHT('[2]Raw Milk Prices'!$A1050,2),1),[1]Pivot!$A$1:$A$65000,0)</f>
        <v>#VALUE!</v>
      </c>
      <c r="C1050" s="194">
        <f>IFERROR(IF(INDEX([1]Pivot!$AD$1:$BE$65000,$B1050,C$5)=1,1,IF(INDEX([1]Pivot!$B$1:$AB$65000,$B1050,C$5)="",2,0)),0)</f>
        <v>0</v>
      </c>
      <c r="D1050" s="194">
        <f>IFERROR(IF(INDEX([1]Pivot!$AD$1:$BE$65000,$B1050,D$5)=1,1,IF(INDEX([1]Pivot!$B$1:$AB$65000,$B1050,D$5)="",2,0)),0)</f>
        <v>0</v>
      </c>
      <c r="E1050" s="194">
        <f>IFERROR(IF(INDEX([1]Pivot!$AD$1:$BE$65000,$B1050,E$5)=1,1,IF(INDEX([1]Pivot!$B$1:$AB$65000,$B1050,E$5)="",2,0)),0)</f>
        <v>0</v>
      </c>
      <c r="F1050" s="194">
        <f>IFERROR(IF(INDEX([1]Pivot!$AD$1:$BE$65000,$B1050,F$5)=1,1,IF(INDEX([1]Pivot!$B$1:$AB$65000,$B1050,F$5)="",2,0)),0)</f>
        <v>0</v>
      </c>
      <c r="G1050" s="194">
        <f>IFERROR(IF(INDEX([1]Pivot!$AD$1:$BE$65000,$B1050,G$5)=1,1,IF(INDEX([1]Pivot!$B$1:$AB$65000,$B1050,G$5)="",2,0)),0)</f>
        <v>0</v>
      </c>
      <c r="H1050" s="194">
        <f>IFERROR(IF(INDEX([1]Pivot!$AD$1:$BE$65000,$B1050,H$5)=1,1,IF(INDEX([1]Pivot!$B$1:$AB$65000,$B1050,H$5)="",2,0)),0)</f>
        <v>0</v>
      </c>
      <c r="I1050" s="194">
        <f>IFERROR(IF(INDEX([1]Pivot!$AD$1:$BE$65000,$B1050,I$5)=1,1,IF(INDEX([1]Pivot!$B$1:$AB$65000,$B1050,I$5)="",2,0)),0)</f>
        <v>0</v>
      </c>
      <c r="J1050" s="194">
        <f>IFERROR(IF(INDEX([1]Pivot!$AD$1:$BE$65000,$B1050,J$5)=1,1,IF(INDEX([1]Pivot!$B$1:$AB$65000,$B1050,J$5)="",2,0)),0)</f>
        <v>0</v>
      </c>
      <c r="K1050" s="194">
        <f>IFERROR(IF(INDEX([1]Pivot!$AD$1:$BE$65000,$B1050,K$5)=1,1,IF(INDEX([1]Pivot!$B$1:$AB$65000,$B1050,K$5)="",2,0)),0)</f>
        <v>0</v>
      </c>
      <c r="L1050" s="194">
        <f>IFERROR(IF(INDEX([1]Pivot!$AD$1:$BE$65000,$B1050,L$5)=1,1,IF(INDEX([1]Pivot!$B$1:$AB$65000,$B1050,L$5)="",2,0)),0)</f>
        <v>0</v>
      </c>
      <c r="M1050" s="194">
        <f>IFERROR(IF(INDEX([1]Pivot!$AD$1:$BE$65000,$B1050,M$5)=1,1,IF(INDEX([1]Pivot!$B$1:$AB$65000,$B1050,M$5)="",2,0)),0)</f>
        <v>0</v>
      </c>
      <c r="N1050" s="194">
        <f>IFERROR(IF(INDEX([1]Pivot!$AD$1:$BE$65000,$B1050,N$5)=1,1,IF(INDEX([1]Pivot!$B$1:$AB$65000,$B1050,N$5)="",2,0)),0)</f>
        <v>0</v>
      </c>
      <c r="O1050" s="194">
        <f>IFERROR(IF(INDEX([1]Pivot!$AD$1:$BE$65000,$B1050,O$5)=1,1,IF(INDEX([1]Pivot!$B$1:$AB$65000,$B1050,O$5)="",2,0)),0)</f>
        <v>0</v>
      </c>
      <c r="P1050" s="194">
        <f>IFERROR(IF(INDEX([1]Pivot!$AD$1:$BE$65000,$B1050,P$5)=1,1,IF(INDEX([1]Pivot!$B$1:$AB$65000,$B1050,P$5)="",2,0)),0)</f>
        <v>0</v>
      </c>
      <c r="Q1050" s="194">
        <f>IFERROR(IF(INDEX([1]Pivot!$AD$1:$BE$65000,$B1050,Q$5)=1,1,IF(INDEX([1]Pivot!$B$1:$AB$65000,$B1050,Q$5)="",2,0)),0)</f>
        <v>0</v>
      </c>
      <c r="R1050" s="312"/>
      <c r="S1050" s="194">
        <f>IFERROR(IF(INDEX([1]Pivot!$AD$1:$BE$65000,$B1050,S$5)=1,1,IF(INDEX([1]Pivot!$B$1:$AB$65000,$B1050,S$5)="",2,0)),0)</f>
        <v>0</v>
      </c>
      <c r="T1050" s="194">
        <f>IFERROR(IF(INDEX([1]Pivot!$AD$1:$BE$65000,$B1050,T$5)=1,1,IF(INDEX([1]Pivot!$B$1:$AB$65000,$B1050,T$5)="",2,0)),0)</f>
        <v>0</v>
      </c>
      <c r="U1050" s="194">
        <f>IFERROR(IF(INDEX([1]Pivot!$AD$1:$BE$65000,$B1050,U$5)=1,1,IF(INDEX([1]Pivot!$B$1:$AB$65000,$B1050,U$5)="",2,0)),0)</f>
        <v>0</v>
      </c>
      <c r="V1050" s="194">
        <f>IFERROR(IF(INDEX([1]Pivot!$AD$1:$BE$65000,$B1050,V$5)=1,1,IF(INDEX([1]Pivot!$B$1:$AB$65000,$B1050,V$5)="",2,0)),0)</f>
        <v>0</v>
      </c>
      <c r="W1050" s="194">
        <f>IFERROR(IF(INDEX([1]Pivot!$AD$1:$BE$65000,$B1050,W$5)=1,1,IF(INDEX([1]Pivot!$B$1:$AB$65000,$B1050,W$5)="",2,0)),0)</f>
        <v>0</v>
      </c>
      <c r="X1050" s="194">
        <f>IFERROR(IF(INDEX([1]Pivot!$AD$1:$BE$65000,$B1050,X$5)=1,1,IF(INDEX([1]Pivot!$B$1:$AB$65000,$B1050,X$5)="",2,0)),0)</f>
        <v>0</v>
      </c>
      <c r="Y1050" s="194">
        <f>IFERROR(IF(INDEX([1]Pivot!$AD$1:$BE$65000,$B1050,Y$5)=1,1,IF(INDEX([1]Pivot!$B$1:$AB$65000,$B1050,Y$5)="",2,0)),0)</f>
        <v>0</v>
      </c>
      <c r="Z1050" s="194">
        <f>IFERROR(IF(INDEX([1]Pivot!$AD$1:$BE$65000,$B1050,Z$5)=1,1,IF(INDEX([1]Pivot!$B$1:$AB$65000,$B1050,Z$5)="",2,0)),0)</f>
        <v>0</v>
      </c>
      <c r="AA1050" s="194">
        <f>IFERROR(IF(INDEX([1]Pivot!$AD$1:$BE$65000,$B1050,AA$5)=1,1,IF(INDEX([1]Pivot!$B$1:$AB$65000,$B1050,AA$5)="",2,0)),0)</f>
        <v>0</v>
      </c>
      <c r="AB1050" s="194">
        <f>IFERROR(IF(INDEX([1]Pivot!$AD$1:$BE$65000,$B1050,AB$5)=1,1,IF(INDEX([1]Pivot!$B$1:$AB$65000,$B1050,AB$5)="",2,0)),0)</f>
        <v>0</v>
      </c>
      <c r="AC1050" s="194">
        <f>IFERROR(IF(INDEX([1]Pivot!$AD$1:$BE$65000,$B1050,AC$5)=1,1,IF(INDEX([1]Pivot!$B$1:$AB$65000,$B1050,AC$5)="",2,0)),0)</f>
        <v>0</v>
      </c>
      <c r="AD1050" s="313">
        <f>IFERROR(IF(INDEX([1]Pivot!$BF$1:$CG$65000,$B1050,AD$5)=1,1,IF(INDEX([1]Pivot!$B$1:$AB$65000,$B1050,AD$5)="",2,0)),0)</f>
        <v>0</v>
      </c>
      <c r="AE1050" s="313">
        <f>IFERROR(IF(INDEX([1]Pivot!$BF$1:$CG$65000,$B1050,AE$5)=1,1,IF(INDEX([1]Pivot!$B$1:$AB$65000,$B1050,AE$5)="",2,0)),0)</f>
        <v>0</v>
      </c>
      <c r="AF1050" s="313">
        <f>IFERROR(IF(INDEX([1]Pivot!$BF$1:$CG$65000,$B1050,AF$5)=1,1,IF(INDEX([1]Pivot!$B$1:$AB$65000,$B1050,AF$5)="",2,0)),0)</f>
        <v>0</v>
      </c>
      <c r="AG1050" s="313">
        <f>IFERROR(IF(INDEX([1]Pivot!$BF$1:$CG$65000,$B1050,AG$5)=1,1,IF(INDEX([1]Pivot!$B$1:$AB$65000,$B1050,AG$5)="",2,0)),0)</f>
        <v>0</v>
      </c>
      <c r="AH1050" s="313">
        <f>IFERROR(IF(INDEX([1]Pivot!$BF$1:$CG$65000,$B1050,AH$5)=1,1,IF(INDEX([1]Pivot!$B$1:$AB$65000,$B1050,AH$5)="",2,0)),0)</f>
        <v>0</v>
      </c>
      <c r="AI1050" s="313">
        <f>IFERROR(IF(INDEX([1]Pivot!$BF$1:$CG$65000,$B1050,AI$5)=1,1,IF(INDEX([1]Pivot!$B$1:$AB$65000,$B1050,AI$5)="",2,0)),0)</f>
        <v>0</v>
      </c>
      <c r="AJ1050" s="313">
        <f>IFERROR(IF(INDEX([1]Pivot!$BF$1:$CG$65000,$B1050,AJ$5)=1,1,IF(INDEX([1]Pivot!$B$1:$AB$65000,$B1050,AJ$5)="",2,0)),0)</f>
        <v>0</v>
      </c>
      <c r="AK1050" s="313">
        <f>IFERROR(IF(INDEX([1]Pivot!$BF$1:$CG$65000,$B1050,AK$5)=1,1,IF(INDEX([1]Pivot!$B$1:$AB$65000,$B1050,AK$5)="",2,0)),0)</f>
        <v>0</v>
      </c>
      <c r="AL1050" s="313">
        <f>IFERROR(IF(INDEX([1]Pivot!$BF$1:$CG$65000,$B1050,AL$5)=1,1,IF(INDEX([1]Pivot!$B$1:$AB$65000,$B1050,AL$5)="",2,0)),0)</f>
        <v>0</v>
      </c>
      <c r="AM1050" s="313">
        <f>IFERROR(IF(INDEX([1]Pivot!$BF$1:$CG$65000,$B1050,AM$5)=1,1,IF(INDEX([1]Pivot!$B$1:$AB$65000,$B1050,AM$5)="",2,0)),0)</f>
        <v>0</v>
      </c>
      <c r="AN1050" s="313">
        <f>IFERROR(IF(INDEX([1]Pivot!$BF$1:$CG$65000,$B1050,AN$5)=1,1,IF(INDEX([1]Pivot!$B$1:$AB$65000,$B1050,AN$5)="",2,0)),0)</f>
        <v>0</v>
      </c>
      <c r="AO1050" s="313">
        <f>IFERROR(IF(INDEX([1]Pivot!$BF$1:$CG$65000,$B1050,AO$5)=1,1,IF(INDEX([1]Pivot!$B$1:$AB$65000,$B1050,AO$5)="",2,0)),0)</f>
        <v>0</v>
      </c>
      <c r="AP1050" s="313">
        <f>IFERROR(IF(INDEX([1]Pivot!$BF$1:$CG$65000,$B1050,AP$5)=1,1,IF(INDEX([1]Pivot!$B$1:$AB$65000,$B1050,AP$5)="",2,0)),0)</f>
        <v>0</v>
      </c>
      <c r="AQ1050" s="313">
        <f>IFERROR(IF(INDEX([1]Pivot!$BF$1:$CG$65000,$B1050,AQ$5)=1,1,IF(INDEX([1]Pivot!$B$1:$AB$65000,$B1050,AQ$5)="",2,0)),0)</f>
        <v>0</v>
      </c>
      <c r="AR1050" s="313">
        <f>IFERROR(IF(INDEX([1]Pivot!$BF$1:$CG$65000,$B1050,AR$5)=1,1,IF(INDEX([1]Pivot!$B$1:$AB$65000,$B1050,AR$5)="",2,0)),0)</f>
        <v>0</v>
      </c>
      <c r="AS1050" s="312"/>
      <c r="AT1050" s="313">
        <f>IFERROR(IF(INDEX([1]Pivot!$BF$1:$CG$65000,$B1050,AT$5)=1,1,IF(INDEX([1]Pivot!$B$1:$AB$65000,$B1050,AT$5)="",2,0)),0)</f>
        <v>0</v>
      </c>
      <c r="AU1050" s="313">
        <f>IFERROR(IF(INDEX([1]Pivot!$BF$1:$CG$65000,$B1050,AU$5)=1,1,IF(INDEX([1]Pivot!$B$1:$AB$65000,$B1050,AU$5)="",2,0)),0)</f>
        <v>0</v>
      </c>
      <c r="AV1050" s="313">
        <f>IFERROR(IF(INDEX([1]Pivot!$BF$1:$CG$65000,$B1050,AV$5)=1,1,IF(INDEX([1]Pivot!$B$1:$AB$65000,$B1050,AV$5)="",2,0)),0)</f>
        <v>0</v>
      </c>
      <c r="AW1050" s="313">
        <f>IFERROR(IF(INDEX([1]Pivot!$BF$1:$CG$65000,$B1050,AW$5)=1,1,IF(INDEX([1]Pivot!$B$1:$AB$65000,$B1050,AW$5)="",2,0)),0)</f>
        <v>0</v>
      </c>
      <c r="AX1050" s="313">
        <f>IFERROR(IF(INDEX([1]Pivot!$BF$1:$CG$65000,$B1050,AX$5)=1,1,IF(INDEX([1]Pivot!$B$1:$AB$65000,$B1050,AX$5)="",2,0)),0)</f>
        <v>0</v>
      </c>
      <c r="AY1050" s="313">
        <f>IFERROR(IF(INDEX([1]Pivot!$BF$1:$CG$65000,$B1050,AY$5)=1,1,IF(INDEX([1]Pivot!$B$1:$AB$65000,$B1050,AY$5)="",2,0)),0)</f>
        <v>0</v>
      </c>
      <c r="AZ1050" s="313">
        <f>IFERROR(IF(INDEX([1]Pivot!$BF$1:$CG$65000,$B1050,AZ$5)=1,1,IF(INDEX([1]Pivot!$B$1:$AB$65000,$B1050,AZ$5)="",2,0)),0)</f>
        <v>0</v>
      </c>
      <c r="BA1050" s="313">
        <f>IFERROR(IF(INDEX([1]Pivot!$BF$1:$CG$65000,$B1050,BA$5)=1,1,IF(INDEX([1]Pivot!$B$1:$AB$65000,$B1050,BA$5)="",2,0)),0)</f>
        <v>0</v>
      </c>
      <c r="BB1050" s="313">
        <f>IFERROR(IF(INDEX([1]Pivot!$BF$1:$CG$65000,$B1050,BB$5)=1,1,IF(INDEX([1]Pivot!$B$1:$AB$65000,$B1050,BB$5)="",2,0)),0)</f>
        <v>0</v>
      </c>
      <c r="BC1050" s="313">
        <f>IFERROR(IF(INDEX([1]Pivot!$BF$1:$CG$65000,$B1050,BC$5)=1,1,IF(INDEX([1]Pivot!$B$1:$AB$65000,$B1050,BC$5)="",2,0)),0)</f>
        <v>0</v>
      </c>
      <c r="BD1050" s="313">
        <f>IFERROR(IF(INDEX([1]Pivot!$BF$1:$CG$65000,$B1050,BD$5)=1,1,IF(INDEX([1]Pivot!$B$1:$AB$65000,$B1050,BD$5)="",2,0)),0)</f>
        <v>0</v>
      </c>
    </row>
    <row r="1051" spans="1:56" x14ac:dyDescent="0.25">
      <c r="A1051" s="288">
        <f>'[2]Raw Milk Prices'!A1051</f>
        <v>0</v>
      </c>
      <c r="B1051" s="296" t="e">
        <f>MATCH(DATE(LEFT('[2]Raw Milk Prices'!$A1051,4),RIGHT('[2]Raw Milk Prices'!$A1051,2),1),[1]Pivot!$A$1:$A$65000,0)</f>
        <v>#VALUE!</v>
      </c>
      <c r="C1051" s="194">
        <f>IFERROR(IF(INDEX([1]Pivot!$AD$1:$BE$65000,$B1051,C$5)=1,1,IF(INDEX([1]Pivot!$B$1:$AB$65000,$B1051,C$5)="",2,0)),0)</f>
        <v>0</v>
      </c>
      <c r="D1051" s="194">
        <f>IFERROR(IF(INDEX([1]Pivot!$AD$1:$BE$65000,$B1051,D$5)=1,1,IF(INDEX([1]Pivot!$B$1:$AB$65000,$B1051,D$5)="",2,0)),0)</f>
        <v>0</v>
      </c>
      <c r="E1051" s="194">
        <f>IFERROR(IF(INDEX([1]Pivot!$AD$1:$BE$65000,$B1051,E$5)=1,1,IF(INDEX([1]Pivot!$B$1:$AB$65000,$B1051,E$5)="",2,0)),0)</f>
        <v>0</v>
      </c>
      <c r="F1051" s="194">
        <f>IFERROR(IF(INDEX([1]Pivot!$AD$1:$BE$65000,$B1051,F$5)=1,1,IF(INDEX([1]Pivot!$B$1:$AB$65000,$B1051,F$5)="",2,0)),0)</f>
        <v>0</v>
      </c>
      <c r="G1051" s="194">
        <f>IFERROR(IF(INDEX([1]Pivot!$AD$1:$BE$65000,$B1051,G$5)=1,1,IF(INDEX([1]Pivot!$B$1:$AB$65000,$B1051,G$5)="",2,0)),0)</f>
        <v>0</v>
      </c>
      <c r="H1051" s="194">
        <f>IFERROR(IF(INDEX([1]Pivot!$AD$1:$BE$65000,$B1051,H$5)=1,1,IF(INDEX([1]Pivot!$B$1:$AB$65000,$B1051,H$5)="",2,0)),0)</f>
        <v>0</v>
      </c>
      <c r="I1051" s="194">
        <f>IFERROR(IF(INDEX([1]Pivot!$AD$1:$BE$65000,$B1051,I$5)=1,1,IF(INDEX([1]Pivot!$B$1:$AB$65000,$B1051,I$5)="",2,0)),0)</f>
        <v>0</v>
      </c>
      <c r="J1051" s="194">
        <f>IFERROR(IF(INDEX([1]Pivot!$AD$1:$BE$65000,$B1051,J$5)=1,1,IF(INDEX([1]Pivot!$B$1:$AB$65000,$B1051,J$5)="",2,0)),0)</f>
        <v>0</v>
      </c>
      <c r="K1051" s="194">
        <f>IFERROR(IF(INDEX([1]Pivot!$AD$1:$BE$65000,$B1051,K$5)=1,1,IF(INDEX([1]Pivot!$B$1:$AB$65000,$B1051,K$5)="",2,0)),0)</f>
        <v>0</v>
      </c>
      <c r="L1051" s="194">
        <f>IFERROR(IF(INDEX([1]Pivot!$AD$1:$BE$65000,$B1051,L$5)=1,1,IF(INDEX([1]Pivot!$B$1:$AB$65000,$B1051,L$5)="",2,0)),0)</f>
        <v>0</v>
      </c>
      <c r="M1051" s="194">
        <f>IFERROR(IF(INDEX([1]Pivot!$AD$1:$BE$65000,$B1051,M$5)=1,1,IF(INDEX([1]Pivot!$B$1:$AB$65000,$B1051,M$5)="",2,0)),0)</f>
        <v>0</v>
      </c>
      <c r="N1051" s="194">
        <f>IFERROR(IF(INDEX([1]Pivot!$AD$1:$BE$65000,$B1051,N$5)=1,1,IF(INDEX([1]Pivot!$B$1:$AB$65000,$B1051,N$5)="",2,0)),0)</f>
        <v>0</v>
      </c>
      <c r="O1051" s="194">
        <f>IFERROR(IF(INDEX([1]Pivot!$AD$1:$BE$65000,$B1051,O$5)=1,1,IF(INDEX([1]Pivot!$B$1:$AB$65000,$B1051,O$5)="",2,0)),0)</f>
        <v>0</v>
      </c>
      <c r="P1051" s="194">
        <f>IFERROR(IF(INDEX([1]Pivot!$AD$1:$BE$65000,$B1051,P$5)=1,1,IF(INDEX([1]Pivot!$B$1:$AB$65000,$B1051,P$5)="",2,0)),0)</f>
        <v>0</v>
      </c>
      <c r="Q1051" s="194">
        <f>IFERROR(IF(INDEX([1]Pivot!$AD$1:$BE$65000,$B1051,Q$5)=1,1,IF(INDEX([1]Pivot!$B$1:$AB$65000,$B1051,Q$5)="",2,0)),0)</f>
        <v>0</v>
      </c>
      <c r="R1051" s="312"/>
      <c r="S1051" s="194">
        <f>IFERROR(IF(INDEX([1]Pivot!$AD$1:$BE$65000,$B1051,S$5)=1,1,IF(INDEX([1]Pivot!$B$1:$AB$65000,$B1051,S$5)="",2,0)),0)</f>
        <v>0</v>
      </c>
      <c r="T1051" s="194">
        <f>IFERROR(IF(INDEX([1]Pivot!$AD$1:$BE$65000,$B1051,T$5)=1,1,IF(INDEX([1]Pivot!$B$1:$AB$65000,$B1051,T$5)="",2,0)),0)</f>
        <v>0</v>
      </c>
      <c r="U1051" s="194">
        <f>IFERROR(IF(INDEX([1]Pivot!$AD$1:$BE$65000,$B1051,U$5)=1,1,IF(INDEX([1]Pivot!$B$1:$AB$65000,$B1051,U$5)="",2,0)),0)</f>
        <v>0</v>
      </c>
      <c r="V1051" s="194">
        <f>IFERROR(IF(INDEX([1]Pivot!$AD$1:$BE$65000,$B1051,V$5)=1,1,IF(INDEX([1]Pivot!$B$1:$AB$65000,$B1051,V$5)="",2,0)),0)</f>
        <v>0</v>
      </c>
      <c r="W1051" s="194">
        <f>IFERROR(IF(INDEX([1]Pivot!$AD$1:$BE$65000,$B1051,W$5)=1,1,IF(INDEX([1]Pivot!$B$1:$AB$65000,$B1051,W$5)="",2,0)),0)</f>
        <v>0</v>
      </c>
      <c r="X1051" s="194">
        <f>IFERROR(IF(INDEX([1]Pivot!$AD$1:$BE$65000,$B1051,X$5)=1,1,IF(INDEX([1]Pivot!$B$1:$AB$65000,$B1051,X$5)="",2,0)),0)</f>
        <v>0</v>
      </c>
      <c r="Y1051" s="194">
        <f>IFERROR(IF(INDEX([1]Pivot!$AD$1:$BE$65000,$B1051,Y$5)=1,1,IF(INDEX([1]Pivot!$B$1:$AB$65000,$B1051,Y$5)="",2,0)),0)</f>
        <v>0</v>
      </c>
      <c r="Z1051" s="194">
        <f>IFERROR(IF(INDEX([1]Pivot!$AD$1:$BE$65000,$B1051,Z$5)=1,1,IF(INDEX([1]Pivot!$B$1:$AB$65000,$B1051,Z$5)="",2,0)),0)</f>
        <v>0</v>
      </c>
      <c r="AA1051" s="194">
        <f>IFERROR(IF(INDEX([1]Pivot!$AD$1:$BE$65000,$B1051,AA$5)=1,1,IF(INDEX([1]Pivot!$B$1:$AB$65000,$B1051,AA$5)="",2,0)),0)</f>
        <v>0</v>
      </c>
      <c r="AB1051" s="194">
        <f>IFERROR(IF(INDEX([1]Pivot!$AD$1:$BE$65000,$B1051,AB$5)=1,1,IF(INDEX([1]Pivot!$B$1:$AB$65000,$B1051,AB$5)="",2,0)),0)</f>
        <v>0</v>
      </c>
      <c r="AC1051" s="194">
        <f>IFERROR(IF(INDEX([1]Pivot!$AD$1:$BE$65000,$B1051,AC$5)=1,1,IF(INDEX([1]Pivot!$B$1:$AB$65000,$B1051,AC$5)="",2,0)),0)</f>
        <v>0</v>
      </c>
      <c r="AD1051" s="313">
        <f>IFERROR(IF(INDEX([1]Pivot!$BF$1:$CG$65000,$B1051,AD$5)=1,1,IF(INDEX([1]Pivot!$B$1:$AB$65000,$B1051,AD$5)="",2,0)),0)</f>
        <v>0</v>
      </c>
      <c r="AE1051" s="313">
        <f>IFERROR(IF(INDEX([1]Pivot!$BF$1:$CG$65000,$B1051,AE$5)=1,1,IF(INDEX([1]Pivot!$B$1:$AB$65000,$B1051,AE$5)="",2,0)),0)</f>
        <v>0</v>
      </c>
      <c r="AF1051" s="313">
        <f>IFERROR(IF(INDEX([1]Pivot!$BF$1:$CG$65000,$B1051,AF$5)=1,1,IF(INDEX([1]Pivot!$B$1:$AB$65000,$B1051,AF$5)="",2,0)),0)</f>
        <v>0</v>
      </c>
      <c r="AG1051" s="313">
        <f>IFERROR(IF(INDEX([1]Pivot!$BF$1:$CG$65000,$B1051,AG$5)=1,1,IF(INDEX([1]Pivot!$B$1:$AB$65000,$B1051,AG$5)="",2,0)),0)</f>
        <v>0</v>
      </c>
      <c r="AH1051" s="313">
        <f>IFERROR(IF(INDEX([1]Pivot!$BF$1:$CG$65000,$B1051,AH$5)=1,1,IF(INDEX([1]Pivot!$B$1:$AB$65000,$B1051,AH$5)="",2,0)),0)</f>
        <v>0</v>
      </c>
      <c r="AI1051" s="313">
        <f>IFERROR(IF(INDEX([1]Pivot!$BF$1:$CG$65000,$B1051,AI$5)=1,1,IF(INDEX([1]Pivot!$B$1:$AB$65000,$B1051,AI$5)="",2,0)),0)</f>
        <v>0</v>
      </c>
      <c r="AJ1051" s="313">
        <f>IFERROR(IF(INDEX([1]Pivot!$BF$1:$CG$65000,$B1051,AJ$5)=1,1,IF(INDEX([1]Pivot!$B$1:$AB$65000,$B1051,AJ$5)="",2,0)),0)</f>
        <v>0</v>
      </c>
      <c r="AK1051" s="313">
        <f>IFERROR(IF(INDEX([1]Pivot!$BF$1:$CG$65000,$B1051,AK$5)=1,1,IF(INDEX([1]Pivot!$B$1:$AB$65000,$B1051,AK$5)="",2,0)),0)</f>
        <v>0</v>
      </c>
      <c r="AL1051" s="313">
        <f>IFERROR(IF(INDEX([1]Pivot!$BF$1:$CG$65000,$B1051,AL$5)=1,1,IF(INDEX([1]Pivot!$B$1:$AB$65000,$B1051,AL$5)="",2,0)),0)</f>
        <v>0</v>
      </c>
      <c r="AM1051" s="313">
        <f>IFERROR(IF(INDEX([1]Pivot!$BF$1:$CG$65000,$B1051,AM$5)=1,1,IF(INDEX([1]Pivot!$B$1:$AB$65000,$B1051,AM$5)="",2,0)),0)</f>
        <v>0</v>
      </c>
      <c r="AN1051" s="313">
        <f>IFERROR(IF(INDEX([1]Pivot!$BF$1:$CG$65000,$B1051,AN$5)=1,1,IF(INDEX([1]Pivot!$B$1:$AB$65000,$B1051,AN$5)="",2,0)),0)</f>
        <v>0</v>
      </c>
      <c r="AO1051" s="313">
        <f>IFERROR(IF(INDEX([1]Pivot!$BF$1:$CG$65000,$B1051,AO$5)=1,1,IF(INDEX([1]Pivot!$B$1:$AB$65000,$B1051,AO$5)="",2,0)),0)</f>
        <v>0</v>
      </c>
      <c r="AP1051" s="313">
        <f>IFERROR(IF(INDEX([1]Pivot!$BF$1:$CG$65000,$B1051,AP$5)=1,1,IF(INDEX([1]Pivot!$B$1:$AB$65000,$B1051,AP$5)="",2,0)),0)</f>
        <v>0</v>
      </c>
      <c r="AQ1051" s="313">
        <f>IFERROR(IF(INDEX([1]Pivot!$BF$1:$CG$65000,$B1051,AQ$5)=1,1,IF(INDEX([1]Pivot!$B$1:$AB$65000,$B1051,AQ$5)="",2,0)),0)</f>
        <v>0</v>
      </c>
      <c r="AR1051" s="313">
        <f>IFERROR(IF(INDEX([1]Pivot!$BF$1:$CG$65000,$B1051,AR$5)=1,1,IF(INDEX([1]Pivot!$B$1:$AB$65000,$B1051,AR$5)="",2,0)),0)</f>
        <v>0</v>
      </c>
      <c r="AS1051" s="312"/>
      <c r="AT1051" s="313">
        <f>IFERROR(IF(INDEX([1]Pivot!$BF$1:$CG$65000,$B1051,AT$5)=1,1,IF(INDEX([1]Pivot!$B$1:$AB$65000,$B1051,AT$5)="",2,0)),0)</f>
        <v>0</v>
      </c>
      <c r="AU1051" s="313">
        <f>IFERROR(IF(INDEX([1]Pivot!$BF$1:$CG$65000,$B1051,AU$5)=1,1,IF(INDEX([1]Pivot!$B$1:$AB$65000,$B1051,AU$5)="",2,0)),0)</f>
        <v>0</v>
      </c>
      <c r="AV1051" s="313">
        <f>IFERROR(IF(INDEX([1]Pivot!$BF$1:$CG$65000,$B1051,AV$5)=1,1,IF(INDEX([1]Pivot!$B$1:$AB$65000,$B1051,AV$5)="",2,0)),0)</f>
        <v>0</v>
      </c>
      <c r="AW1051" s="313">
        <f>IFERROR(IF(INDEX([1]Pivot!$BF$1:$CG$65000,$B1051,AW$5)=1,1,IF(INDEX([1]Pivot!$B$1:$AB$65000,$B1051,AW$5)="",2,0)),0)</f>
        <v>0</v>
      </c>
      <c r="AX1051" s="313">
        <f>IFERROR(IF(INDEX([1]Pivot!$BF$1:$CG$65000,$B1051,AX$5)=1,1,IF(INDEX([1]Pivot!$B$1:$AB$65000,$B1051,AX$5)="",2,0)),0)</f>
        <v>0</v>
      </c>
      <c r="AY1051" s="313">
        <f>IFERROR(IF(INDEX([1]Pivot!$BF$1:$CG$65000,$B1051,AY$5)=1,1,IF(INDEX([1]Pivot!$B$1:$AB$65000,$B1051,AY$5)="",2,0)),0)</f>
        <v>0</v>
      </c>
      <c r="AZ1051" s="313">
        <f>IFERROR(IF(INDEX([1]Pivot!$BF$1:$CG$65000,$B1051,AZ$5)=1,1,IF(INDEX([1]Pivot!$B$1:$AB$65000,$B1051,AZ$5)="",2,0)),0)</f>
        <v>0</v>
      </c>
      <c r="BA1051" s="313">
        <f>IFERROR(IF(INDEX([1]Pivot!$BF$1:$CG$65000,$B1051,BA$5)=1,1,IF(INDEX([1]Pivot!$B$1:$AB$65000,$B1051,BA$5)="",2,0)),0)</f>
        <v>0</v>
      </c>
      <c r="BB1051" s="313">
        <f>IFERROR(IF(INDEX([1]Pivot!$BF$1:$CG$65000,$B1051,BB$5)=1,1,IF(INDEX([1]Pivot!$B$1:$AB$65000,$B1051,BB$5)="",2,0)),0)</f>
        <v>0</v>
      </c>
      <c r="BC1051" s="313">
        <f>IFERROR(IF(INDEX([1]Pivot!$BF$1:$CG$65000,$B1051,BC$5)=1,1,IF(INDEX([1]Pivot!$B$1:$AB$65000,$B1051,BC$5)="",2,0)),0)</f>
        <v>0</v>
      </c>
      <c r="BD1051" s="313">
        <f>IFERROR(IF(INDEX([1]Pivot!$BF$1:$CG$65000,$B1051,BD$5)=1,1,IF(INDEX([1]Pivot!$B$1:$AB$65000,$B1051,BD$5)="",2,0)),0)</f>
        <v>0</v>
      </c>
    </row>
    <row r="1052" spans="1:56" x14ac:dyDescent="0.25">
      <c r="A1052" s="288">
        <f>'[2]Raw Milk Prices'!A1052</f>
        <v>0</v>
      </c>
      <c r="B1052" s="296" t="e">
        <f>MATCH(DATE(LEFT('[2]Raw Milk Prices'!$A1052,4),RIGHT('[2]Raw Milk Prices'!$A1052,2),1),[1]Pivot!$A$1:$A$65000,0)</f>
        <v>#VALUE!</v>
      </c>
      <c r="C1052" s="194">
        <f>IFERROR(IF(INDEX([1]Pivot!$AD$1:$BE$65000,$B1052,C$5)=1,1,IF(INDEX([1]Pivot!$B$1:$AB$65000,$B1052,C$5)="",2,0)),0)</f>
        <v>0</v>
      </c>
      <c r="D1052" s="194">
        <f>IFERROR(IF(INDEX([1]Pivot!$AD$1:$BE$65000,$B1052,D$5)=1,1,IF(INDEX([1]Pivot!$B$1:$AB$65000,$B1052,D$5)="",2,0)),0)</f>
        <v>0</v>
      </c>
      <c r="E1052" s="194">
        <f>IFERROR(IF(INDEX([1]Pivot!$AD$1:$BE$65000,$B1052,E$5)=1,1,IF(INDEX([1]Pivot!$B$1:$AB$65000,$B1052,E$5)="",2,0)),0)</f>
        <v>0</v>
      </c>
      <c r="F1052" s="194">
        <f>IFERROR(IF(INDEX([1]Pivot!$AD$1:$BE$65000,$B1052,F$5)=1,1,IF(INDEX([1]Pivot!$B$1:$AB$65000,$B1052,F$5)="",2,0)),0)</f>
        <v>0</v>
      </c>
      <c r="G1052" s="194">
        <f>IFERROR(IF(INDEX([1]Pivot!$AD$1:$BE$65000,$B1052,G$5)=1,1,IF(INDEX([1]Pivot!$B$1:$AB$65000,$B1052,G$5)="",2,0)),0)</f>
        <v>0</v>
      </c>
      <c r="H1052" s="194">
        <f>IFERROR(IF(INDEX([1]Pivot!$AD$1:$BE$65000,$B1052,H$5)=1,1,IF(INDEX([1]Pivot!$B$1:$AB$65000,$B1052,H$5)="",2,0)),0)</f>
        <v>0</v>
      </c>
      <c r="I1052" s="194">
        <f>IFERROR(IF(INDEX([1]Pivot!$AD$1:$BE$65000,$B1052,I$5)=1,1,IF(INDEX([1]Pivot!$B$1:$AB$65000,$B1052,I$5)="",2,0)),0)</f>
        <v>0</v>
      </c>
      <c r="J1052" s="194">
        <f>IFERROR(IF(INDEX([1]Pivot!$AD$1:$BE$65000,$B1052,J$5)=1,1,IF(INDEX([1]Pivot!$B$1:$AB$65000,$B1052,J$5)="",2,0)),0)</f>
        <v>0</v>
      </c>
      <c r="K1052" s="194">
        <f>IFERROR(IF(INDEX([1]Pivot!$AD$1:$BE$65000,$B1052,K$5)=1,1,IF(INDEX([1]Pivot!$B$1:$AB$65000,$B1052,K$5)="",2,0)),0)</f>
        <v>0</v>
      </c>
      <c r="L1052" s="194">
        <f>IFERROR(IF(INDEX([1]Pivot!$AD$1:$BE$65000,$B1052,L$5)=1,1,IF(INDEX([1]Pivot!$B$1:$AB$65000,$B1052,L$5)="",2,0)),0)</f>
        <v>0</v>
      </c>
      <c r="M1052" s="194">
        <f>IFERROR(IF(INDEX([1]Pivot!$AD$1:$BE$65000,$B1052,M$5)=1,1,IF(INDEX([1]Pivot!$B$1:$AB$65000,$B1052,M$5)="",2,0)),0)</f>
        <v>0</v>
      </c>
      <c r="N1052" s="194">
        <f>IFERROR(IF(INDEX([1]Pivot!$AD$1:$BE$65000,$B1052,N$5)=1,1,IF(INDEX([1]Pivot!$B$1:$AB$65000,$B1052,N$5)="",2,0)),0)</f>
        <v>0</v>
      </c>
      <c r="O1052" s="194">
        <f>IFERROR(IF(INDEX([1]Pivot!$AD$1:$BE$65000,$B1052,O$5)=1,1,IF(INDEX([1]Pivot!$B$1:$AB$65000,$B1052,O$5)="",2,0)),0)</f>
        <v>0</v>
      </c>
      <c r="P1052" s="194">
        <f>IFERROR(IF(INDEX([1]Pivot!$AD$1:$BE$65000,$B1052,P$5)=1,1,IF(INDEX([1]Pivot!$B$1:$AB$65000,$B1052,P$5)="",2,0)),0)</f>
        <v>0</v>
      </c>
      <c r="Q1052" s="194">
        <f>IFERROR(IF(INDEX([1]Pivot!$AD$1:$BE$65000,$B1052,Q$5)=1,1,IF(INDEX([1]Pivot!$B$1:$AB$65000,$B1052,Q$5)="",2,0)),0)</f>
        <v>0</v>
      </c>
      <c r="R1052" s="312"/>
      <c r="S1052" s="194">
        <f>IFERROR(IF(INDEX([1]Pivot!$AD$1:$BE$65000,$B1052,S$5)=1,1,IF(INDEX([1]Pivot!$B$1:$AB$65000,$B1052,S$5)="",2,0)),0)</f>
        <v>0</v>
      </c>
      <c r="T1052" s="194">
        <f>IFERROR(IF(INDEX([1]Pivot!$AD$1:$BE$65000,$B1052,T$5)=1,1,IF(INDEX([1]Pivot!$B$1:$AB$65000,$B1052,T$5)="",2,0)),0)</f>
        <v>0</v>
      </c>
      <c r="U1052" s="194">
        <f>IFERROR(IF(INDEX([1]Pivot!$AD$1:$BE$65000,$B1052,U$5)=1,1,IF(INDEX([1]Pivot!$B$1:$AB$65000,$B1052,U$5)="",2,0)),0)</f>
        <v>0</v>
      </c>
      <c r="V1052" s="194">
        <f>IFERROR(IF(INDEX([1]Pivot!$AD$1:$BE$65000,$B1052,V$5)=1,1,IF(INDEX([1]Pivot!$B$1:$AB$65000,$B1052,V$5)="",2,0)),0)</f>
        <v>0</v>
      </c>
      <c r="W1052" s="194">
        <f>IFERROR(IF(INDEX([1]Pivot!$AD$1:$BE$65000,$B1052,W$5)=1,1,IF(INDEX([1]Pivot!$B$1:$AB$65000,$B1052,W$5)="",2,0)),0)</f>
        <v>0</v>
      </c>
      <c r="X1052" s="194">
        <f>IFERROR(IF(INDEX([1]Pivot!$AD$1:$BE$65000,$B1052,X$5)=1,1,IF(INDEX([1]Pivot!$B$1:$AB$65000,$B1052,X$5)="",2,0)),0)</f>
        <v>0</v>
      </c>
      <c r="Y1052" s="194">
        <f>IFERROR(IF(INDEX([1]Pivot!$AD$1:$BE$65000,$B1052,Y$5)=1,1,IF(INDEX([1]Pivot!$B$1:$AB$65000,$B1052,Y$5)="",2,0)),0)</f>
        <v>0</v>
      </c>
      <c r="Z1052" s="194">
        <f>IFERROR(IF(INDEX([1]Pivot!$AD$1:$BE$65000,$B1052,Z$5)=1,1,IF(INDEX([1]Pivot!$B$1:$AB$65000,$B1052,Z$5)="",2,0)),0)</f>
        <v>0</v>
      </c>
      <c r="AA1052" s="194">
        <f>IFERROR(IF(INDEX([1]Pivot!$AD$1:$BE$65000,$B1052,AA$5)=1,1,IF(INDEX([1]Pivot!$B$1:$AB$65000,$B1052,AA$5)="",2,0)),0)</f>
        <v>0</v>
      </c>
      <c r="AB1052" s="194">
        <f>IFERROR(IF(INDEX([1]Pivot!$AD$1:$BE$65000,$B1052,AB$5)=1,1,IF(INDEX([1]Pivot!$B$1:$AB$65000,$B1052,AB$5)="",2,0)),0)</f>
        <v>0</v>
      </c>
      <c r="AC1052" s="194">
        <f>IFERROR(IF(INDEX([1]Pivot!$AD$1:$BE$65000,$B1052,AC$5)=1,1,IF(INDEX([1]Pivot!$B$1:$AB$65000,$B1052,AC$5)="",2,0)),0)</f>
        <v>0</v>
      </c>
      <c r="AD1052" s="313">
        <f>IFERROR(IF(INDEX([1]Pivot!$BF$1:$CG$65000,$B1052,AD$5)=1,1,IF(INDEX([1]Pivot!$B$1:$AB$65000,$B1052,AD$5)="",2,0)),0)</f>
        <v>0</v>
      </c>
      <c r="AE1052" s="313">
        <f>IFERROR(IF(INDEX([1]Pivot!$BF$1:$CG$65000,$B1052,AE$5)=1,1,IF(INDEX([1]Pivot!$B$1:$AB$65000,$B1052,AE$5)="",2,0)),0)</f>
        <v>0</v>
      </c>
      <c r="AF1052" s="313">
        <f>IFERROR(IF(INDEX([1]Pivot!$BF$1:$CG$65000,$B1052,AF$5)=1,1,IF(INDEX([1]Pivot!$B$1:$AB$65000,$B1052,AF$5)="",2,0)),0)</f>
        <v>0</v>
      </c>
      <c r="AG1052" s="313">
        <f>IFERROR(IF(INDEX([1]Pivot!$BF$1:$CG$65000,$B1052,AG$5)=1,1,IF(INDEX([1]Pivot!$B$1:$AB$65000,$B1052,AG$5)="",2,0)),0)</f>
        <v>0</v>
      </c>
      <c r="AH1052" s="313">
        <f>IFERROR(IF(INDEX([1]Pivot!$BF$1:$CG$65000,$B1052,AH$5)=1,1,IF(INDEX([1]Pivot!$B$1:$AB$65000,$B1052,AH$5)="",2,0)),0)</f>
        <v>0</v>
      </c>
      <c r="AI1052" s="313">
        <f>IFERROR(IF(INDEX([1]Pivot!$BF$1:$CG$65000,$B1052,AI$5)=1,1,IF(INDEX([1]Pivot!$B$1:$AB$65000,$B1052,AI$5)="",2,0)),0)</f>
        <v>0</v>
      </c>
      <c r="AJ1052" s="313">
        <f>IFERROR(IF(INDEX([1]Pivot!$BF$1:$CG$65000,$B1052,AJ$5)=1,1,IF(INDEX([1]Pivot!$B$1:$AB$65000,$B1052,AJ$5)="",2,0)),0)</f>
        <v>0</v>
      </c>
      <c r="AK1052" s="313">
        <f>IFERROR(IF(INDEX([1]Pivot!$BF$1:$CG$65000,$B1052,AK$5)=1,1,IF(INDEX([1]Pivot!$B$1:$AB$65000,$B1052,AK$5)="",2,0)),0)</f>
        <v>0</v>
      </c>
      <c r="AL1052" s="313">
        <f>IFERROR(IF(INDEX([1]Pivot!$BF$1:$CG$65000,$B1052,AL$5)=1,1,IF(INDEX([1]Pivot!$B$1:$AB$65000,$B1052,AL$5)="",2,0)),0)</f>
        <v>0</v>
      </c>
      <c r="AM1052" s="313">
        <f>IFERROR(IF(INDEX([1]Pivot!$BF$1:$CG$65000,$B1052,AM$5)=1,1,IF(INDEX([1]Pivot!$B$1:$AB$65000,$B1052,AM$5)="",2,0)),0)</f>
        <v>0</v>
      </c>
      <c r="AN1052" s="313">
        <f>IFERROR(IF(INDEX([1]Pivot!$BF$1:$CG$65000,$B1052,AN$5)=1,1,IF(INDEX([1]Pivot!$B$1:$AB$65000,$B1052,AN$5)="",2,0)),0)</f>
        <v>0</v>
      </c>
      <c r="AO1052" s="313">
        <f>IFERROR(IF(INDEX([1]Pivot!$BF$1:$CG$65000,$B1052,AO$5)=1,1,IF(INDEX([1]Pivot!$B$1:$AB$65000,$B1052,AO$5)="",2,0)),0)</f>
        <v>0</v>
      </c>
      <c r="AP1052" s="313">
        <f>IFERROR(IF(INDEX([1]Pivot!$BF$1:$CG$65000,$B1052,AP$5)=1,1,IF(INDEX([1]Pivot!$B$1:$AB$65000,$B1052,AP$5)="",2,0)),0)</f>
        <v>0</v>
      </c>
      <c r="AQ1052" s="313">
        <f>IFERROR(IF(INDEX([1]Pivot!$BF$1:$CG$65000,$B1052,AQ$5)=1,1,IF(INDEX([1]Pivot!$B$1:$AB$65000,$B1052,AQ$5)="",2,0)),0)</f>
        <v>0</v>
      </c>
      <c r="AR1052" s="313">
        <f>IFERROR(IF(INDEX([1]Pivot!$BF$1:$CG$65000,$B1052,AR$5)=1,1,IF(INDEX([1]Pivot!$B$1:$AB$65000,$B1052,AR$5)="",2,0)),0)</f>
        <v>0</v>
      </c>
      <c r="AS1052" s="312"/>
      <c r="AT1052" s="313">
        <f>IFERROR(IF(INDEX([1]Pivot!$BF$1:$CG$65000,$B1052,AT$5)=1,1,IF(INDEX([1]Pivot!$B$1:$AB$65000,$B1052,AT$5)="",2,0)),0)</f>
        <v>0</v>
      </c>
      <c r="AU1052" s="313">
        <f>IFERROR(IF(INDEX([1]Pivot!$BF$1:$CG$65000,$B1052,AU$5)=1,1,IF(INDEX([1]Pivot!$B$1:$AB$65000,$B1052,AU$5)="",2,0)),0)</f>
        <v>0</v>
      </c>
      <c r="AV1052" s="313">
        <f>IFERROR(IF(INDEX([1]Pivot!$BF$1:$CG$65000,$B1052,AV$5)=1,1,IF(INDEX([1]Pivot!$B$1:$AB$65000,$B1052,AV$5)="",2,0)),0)</f>
        <v>0</v>
      </c>
      <c r="AW1052" s="313">
        <f>IFERROR(IF(INDEX([1]Pivot!$BF$1:$CG$65000,$B1052,AW$5)=1,1,IF(INDEX([1]Pivot!$B$1:$AB$65000,$B1052,AW$5)="",2,0)),0)</f>
        <v>0</v>
      </c>
      <c r="AX1052" s="313">
        <f>IFERROR(IF(INDEX([1]Pivot!$BF$1:$CG$65000,$B1052,AX$5)=1,1,IF(INDEX([1]Pivot!$B$1:$AB$65000,$B1052,AX$5)="",2,0)),0)</f>
        <v>0</v>
      </c>
      <c r="AY1052" s="313">
        <f>IFERROR(IF(INDEX([1]Pivot!$BF$1:$CG$65000,$B1052,AY$5)=1,1,IF(INDEX([1]Pivot!$B$1:$AB$65000,$B1052,AY$5)="",2,0)),0)</f>
        <v>0</v>
      </c>
      <c r="AZ1052" s="313">
        <f>IFERROR(IF(INDEX([1]Pivot!$BF$1:$CG$65000,$B1052,AZ$5)=1,1,IF(INDEX([1]Pivot!$B$1:$AB$65000,$B1052,AZ$5)="",2,0)),0)</f>
        <v>0</v>
      </c>
      <c r="BA1052" s="313">
        <f>IFERROR(IF(INDEX([1]Pivot!$BF$1:$CG$65000,$B1052,BA$5)=1,1,IF(INDEX([1]Pivot!$B$1:$AB$65000,$B1052,BA$5)="",2,0)),0)</f>
        <v>0</v>
      </c>
      <c r="BB1052" s="313">
        <f>IFERROR(IF(INDEX([1]Pivot!$BF$1:$CG$65000,$B1052,BB$5)=1,1,IF(INDEX([1]Pivot!$B$1:$AB$65000,$B1052,BB$5)="",2,0)),0)</f>
        <v>0</v>
      </c>
      <c r="BC1052" s="313">
        <f>IFERROR(IF(INDEX([1]Pivot!$BF$1:$CG$65000,$B1052,BC$5)=1,1,IF(INDEX([1]Pivot!$B$1:$AB$65000,$B1052,BC$5)="",2,0)),0)</f>
        <v>0</v>
      </c>
      <c r="BD1052" s="313">
        <f>IFERROR(IF(INDEX([1]Pivot!$BF$1:$CG$65000,$B1052,BD$5)=1,1,IF(INDEX([1]Pivot!$B$1:$AB$65000,$B1052,BD$5)="",2,0)),0)</f>
        <v>0</v>
      </c>
    </row>
    <row r="1053" spans="1:56" x14ac:dyDescent="0.25">
      <c r="A1053" s="288">
        <f>'[2]Raw Milk Prices'!A1053</f>
        <v>0</v>
      </c>
      <c r="B1053" s="296" t="e">
        <f>MATCH(DATE(LEFT('[2]Raw Milk Prices'!$A1053,4),RIGHT('[2]Raw Milk Prices'!$A1053,2),1),[1]Pivot!$A$1:$A$65000,0)</f>
        <v>#VALUE!</v>
      </c>
      <c r="C1053" s="194">
        <f>IFERROR(IF(INDEX([1]Pivot!$AD$1:$BE$65000,$B1053,C$5)=1,1,IF(INDEX([1]Pivot!$B$1:$AB$65000,$B1053,C$5)="",2,0)),0)</f>
        <v>0</v>
      </c>
      <c r="D1053" s="194">
        <f>IFERROR(IF(INDEX([1]Pivot!$AD$1:$BE$65000,$B1053,D$5)=1,1,IF(INDEX([1]Pivot!$B$1:$AB$65000,$B1053,D$5)="",2,0)),0)</f>
        <v>0</v>
      </c>
      <c r="E1053" s="194">
        <f>IFERROR(IF(INDEX([1]Pivot!$AD$1:$BE$65000,$B1053,E$5)=1,1,IF(INDEX([1]Pivot!$B$1:$AB$65000,$B1053,E$5)="",2,0)),0)</f>
        <v>0</v>
      </c>
      <c r="F1053" s="194">
        <f>IFERROR(IF(INDEX([1]Pivot!$AD$1:$BE$65000,$B1053,F$5)=1,1,IF(INDEX([1]Pivot!$B$1:$AB$65000,$B1053,F$5)="",2,0)),0)</f>
        <v>0</v>
      </c>
      <c r="G1053" s="194">
        <f>IFERROR(IF(INDEX([1]Pivot!$AD$1:$BE$65000,$B1053,G$5)=1,1,IF(INDEX([1]Pivot!$B$1:$AB$65000,$B1053,G$5)="",2,0)),0)</f>
        <v>0</v>
      </c>
      <c r="H1053" s="194">
        <f>IFERROR(IF(INDEX([1]Pivot!$AD$1:$BE$65000,$B1053,H$5)=1,1,IF(INDEX([1]Pivot!$B$1:$AB$65000,$B1053,H$5)="",2,0)),0)</f>
        <v>0</v>
      </c>
      <c r="I1053" s="194">
        <f>IFERROR(IF(INDEX([1]Pivot!$AD$1:$BE$65000,$B1053,I$5)=1,1,IF(INDEX([1]Pivot!$B$1:$AB$65000,$B1053,I$5)="",2,0)),0)</f>
        <v>0</v>
      </c>
      <c r="J1053" s="194">
        <f>IFERROR(IF(INDEX([1]Pivot!$AD$1:$BE$65000,$B1053,J$5)=1,1,IF(INDEX([1]Pivot!$B$1:$AB$65000,$B1053,J$5)="",2,0)),0)</f>
        <v>0</v>
      </c>
      <c r="K1053" s="194">
        <f>IFERROR(IF(INDEX([1]Pivot!$AD$1:$BE$65000,$B1053,K$5)=1,1,IF(INDEX([1]Pivot!$B$1:$AB$65000,$B1053,K$5)="",2,0)),0)</f>
        <v>0</v>
      </c>
      <c r="L1053" s="194">
        <f>IFERROR(IF(INDEX([1]Pivot!$AD$1:$BE$65000,$B1053,L$5)=1,1,IF(INDEX([1]Pivot!$B$1:$AB$65000,$B1053,L$5)="",2,0)),0)</f>
        <v>0</v>
      </c>
      <c r="M1053" s="194">
        <f>IFERROR(IF(INDEX([1]Pivot!$AD$1:$BE$65000,$B1053,M$5)=1,1,IF(INDEX([1]Pivot!$B$1:$AB$65000,$B1053,M$5)="",2,0)),0)</f>
        <v>0</v>
      </c>
      <c r="N1053" s="194">
        <f>IFERROR(IF(INDEX([1]Pivot!$AD$1:$BE$65000,$B1053,N$5)=1,1,IF(INDEX([1]Pivot!$B$1:$AB$65000,$B1053,N$5)="",2,0)),0)</f>
        <v>0</v>
      </c>
      <c r="O1053" s="194">
        <f>IFERROR(IF(INDEX([1]Pivot!$AD$1:$BE$65000,$B1053,O$5)=1,1,IF(INDEX([1]Pivot!$B$1:$AB$65000,$B1053,O$5)="",2,0)),0)</f>
        <v>0</v>
      </c>
      <c r="P1053" s="194">
        <f>IFERROR(IF(INDEX([1]Pivot!$AD$1:$BE$65000,$B1053,P$5)=1,1,IF(INDEX([1]Pivot!$B$1:$AB$65000,$B1053,P$5)="",2,0)),0)</f>
        <v>0</v>
      </c>
      <c r="Q1053" s="194">
        <f>IFERROR(IF(INDEX([1]Pivot!$AD$1:$BE$65000,$B1053,Q$5)=1,1,IF(INDEX([1]Pivot!$B$1:$AB$65000,$B1053,Q$5)="",2,0)),0)</f>
        <v>0</v>
      </c>
      <c r="R1053" s="312"/>
      <c r="S1053" s="194">
        <f>IFERROR(IF(INDEX([1]Pivot!$AD$1:$BE$65000,$B1053,S$5)=1,1,IF(INDEX([1]Pivot!$B$1:$AB$65000,$B1053,S$5)="",2,0)),0)</f>
        <v>0</v>
      </c>
      <c r="T1053" s="194">
        <f>IFERROR(IF(INDEX([1]Pivot!$AD$1:$BE$65000,$B1053,T$5)=1,1,IF(INDEX([1]Pivot!$B$1:$AB$65000,$B1053,T$5)="",2,0)),0)</f>
        <v>0</v>
      </c>
      <c r="U1053" s="194">
        <f>IFERROR(IF(INDEX([1]Pivot!$AD$1:$BE$65000,$B1053,U$5)=1,1,IF(INDEX([1]Pivot!$B$1:$AB$65000,$B1053,U$5)="",2,0)),0)</f>
        <v>0</v>
      </c>
      <c r="V1053" s="194">
        <f>IFERROR(IF(INDEX([1]Pivot!$AD$1:$BE$65000,$B1053,V$5)=1,1,IF(INDEX([1]Pivot!$B$1:$AB$65000,$B1053,V$5)="",2,0)),0)</f>
        <v>0</v>
      </c>
      <c r="W1053" s="194">
        <f>IFERROR(IF(INDEX([1]Pivot!$AD$1:$BE$65000,$B1053,W$5)=1,1,IF(INDEX([1]Pivot!$B$1:$AB$65000,$B1053,W$5)="",2,0)),0)</f>
        <v>0</v>
      </c>
      <c r="X1053" s="194">
        <f>IFERROR(IF(INDEX([1]Pivot!$AD$1:$BE$65000,$B1053,X$5)=1,1,IF(INDEX([1]Pivot!$B$1:$AB$65000,$B1053,X$5)="",2,0)),0)</f>
        <v>0</v>
      </c>
      <c r="Y1053" s="194">
        <f>IFERROR(IF(INDEX([1]Pivot!$AD$1:$BE$65000,$B1053,Y$5)=1,1,IF(INDEX([1]Pivot!$B$1:$AB$65000,$B1053,Y$5)="",2,0)),0)</f>
        <v>0</v>
      </c>
      <c r="Z1053" s="194">
        <f>IFERROR(IF(INDEX([1]Pivot!$AD$1:$BE$65000,$B1053,Z$5)=1,1,IF(INDEX([1]Pivot!$B$1:$AB$65000,$B1053,Z$5)="",2,0)),0)</f>
        <v>0</v>
      </c>
      <c r="AA1053" s="194">
        <f>IFERROR(IF(INDEX([1]Pivot!$AD$1:$BE$65000,$B1053,AA$5)=1,1,IF(INDEX([1]Pivot!$B$1:$AB$65000,$B1053,AA$5)="",2,0)),0)</f>
        <v>0</v>
      </c>
      <c r="AB1053" s="194">
        <f>IFERROR(IF(INDEX([1]Pivot!$AD$1:$BE$65000,$B1053,AB$5)=1,1,IF(INDEX([1]Pivot!$B$1:$AB$65000,$B1053,AB$5)="",2,0)),0)</f>
        <v>0</v>
      </c>
      <c r="AC1053" s="194">
        <f>IFERROR(IF(INDEX([1]Pivot!$AD$1:$BE$65000,$B1053,AC$5)=1,1,IF(INDEX([1]Pivot!$B$1:$AB$65000,$B1053,AC$5)="",2,0)),0)</f>
        <v>0</v>
      </c>
      <c r="AD1053" s="313">
        <f>IFERROR(IF(INDEX([1]Pivot!$BF$1:$CG$65000,$B1053,AD$5)=1,1,IF(INDEX([1]Pivot!$B$1:$AB$65000,$B1053,AD$5)="",2,0)),0)</f>
        <v>0</v>
      </c>
      <c r="AE1053" s="313">
        <f>IFERROR(IF(INDEX([1]Pivot!$BF$1:$CG$65000,$B1053,AE$5)=1,1,IF(INDEX([1]Pivot!$B$1:$AB$65000,$B1053,AE$5)="",2,0)),0)</f>
        <v>0</v>
      </c>
      <c r="AF1053" s="313">
        <f>IFERROR(IF(INDEX([1]Pivot!$BF$1:$CG$65000,$B1053,AF$5)=1,1,IF(INDEX([1]Pivot!$B$1:$AB$65000,$B1053,AF$5)="",2,0)),0)</f>
        <v>0</v>
      </c>
      <c r="AG1053" s="313">
        <f>IFERROR(IF(INDEX([1]Pivot!$BF$1:$CG$65000,$B1053,AG$5)=1,1,IF(INDEX([1]Pivot!$B$1:$AB$65000,$B1053,AG$5)="",2,0)),0)</f>
        <v>0</v>
      </c>
      <c r="AH1053" s="313">
        <f>IFERROR(IF(INDEX([1]Pivot!$BF$1:$CG$65000,$B1053,AH$5)=1,1,IF(INDEX([1]Pivot!$B$1:$AB$65000,$B1053,AH$5)="",2,0)),0)</f>
        <v>0</v>
      </c>
      <c r="AI1053" s="313">
        <f>IFERROR(IF(INDEX([1]Pivot!$BF$1:$CG$65000,$B1053,AI$5)=1,1,IF(INDEX([1]Pivot!$B$1:$AB$65000,$B1053,AI$5)="",2,0)),0)</f>
        <v>0</v>
      </c>
      <c r="AJ1053" s="313">
        <f>IFERROR(IF(INDEX([1]Pivot!$BF$1:$CG$65000,$B1053,AJ$5)=1,1,IF(INDEX([1]Pivot!$B$1:$AB$65000,$B1053,AJ$5)="",2,0)),0)</f>
        <v>0</v>
      </c>
      <c r="AK1053" s="313">
        <f>IFERROR(IF(INDEX([1]Pivot!$BF$1:$CG$65000,$B1053,AK$5)=1,1,IF(INDEX([1]Pivot!$B$1:$AB$65000,$B1053,AK$5)="",2,0)),0)</f>
        <v>0</v>
      </c>
      <c r="AL1053" s="313">
        <f>IFERROR(IF(INDEX([1]Pivot!$BF$1:$CG$65000,$B1053,AL$5)=1,1,IF(INDEX([1]Pivot!$B$1:$AB$65000,$B1053,AL$5)="",2,0)),0)</f>
        <v>0</v>
      </c>
      <c r="AM1053" s="313">
        <f>IFERROR(IF(INDEX([1]Pivot!$BF$1:$CG$65000,$B1053,AM$5)=1,1,IF(INDEX([1]Pivot!$B$1:$AB$65000,$B1053,AM$5)="",2,0)),0)</f>
        <v>0</v>
      </c>
      <c r="AN1053" s="313">
        <f>IFERROR(IF(INDEX([1]Pivot!$BF$1:$CG$65000,$B1053,AN$5)=1,1,IF(INDEX([1]Pivot!$B$1:$AB$65000,$B1053,AN$5)="",2,0)),0)</f>
        <v>0</v>
      </c>
      <c r="AO1053" s="313">
        <f>IFERROR(IF(INDEX([1]Pivot!$BF$1:$CG$65000,$B1053,AO$5)=1,1,IF(INDEX([1]Pivot!$B$1:$AB$65000,$B1053,AO$5)="",2,0)),0)</f>
        <v>0</v>
      </c>
      <c r="AP1053" s="313">
        <f>IFERROR(IF(INDEX([1]Pivot!$BF$1:$CG$65000,$B1053,AP$5)=1,1,IF(INDEX([1]Pivot!$B$1:$AB$65000,$B1053,AP$5)="",2,0)),0)</f>
        <v>0</v>
      </c>
      <c r="AQ1053" s="313">
        <f>IFERROR(IF(INDEX([1]Pivot!$BF$1:$CG$65000,$B1053,AQ$5)=1,1,IF(INDEX([1]Pivot!$B$1:$AB$65000,$B1053,AQ$5)="",2,0)),0)</f>
        <v>0</v>
      </c>
      <c r="AR1053" s="313">
        <f>IFERROR(IF(INDEX([1]Pivot!$BF$1:$CG$65000,$B1053,AR$5)=1,1,IF(INDEX([1]Pivot!$B$1:$AB$65000,$B1053,AR$5)="",2,0)),0)</f>
        <v>0</v>
      </c>
      <c r="AS1053" s="312"/>
      <c r="AT1053" s="313">
        <f>IFERROR(IF(INDEX([1]Pivot!$BF$1:$CG$65000,$B1053,AT$5)=1,1,IF(INDEX([1]Pivot!$B$1:$AB$65000,$B1053,AT$5)="",2,0)),0)</f>
        <v>0</v>
      </c>
      <c r="AU1053" s="313">
        <f>IFERROR(IF(INDEX([1]Pivot!$BF$1:$CG$65000,$B1053,AU$5)=1,1,IF(INDEX([1]Pivot!$B$1:$AB$65000,$B1053,AU$5)="",2,0)),0)</f>
        <v>0</v>
      </c>
      <c r="AV1053" s="313">
        <f>IFERROR(IF(INDEX([1]Pivot!$BF$1:$CG$65000,$B1053,AV$5)=1,1,IF(INDEX([1]Pivot!$B$1:$AB$65000,$B1053,AV$5)="",2,0)),0)</f>
        <v>0</v>
      </c>
      <c r="AW1053" s="313">
        <f>IFERROR(IF(INDEX([1]Pivot!$BF$1:$CG$65000,$B1053,AW$5)=1,1,IF(INDEX([1]Pivot!$B$1:$AB$65000,$B1053,AW$5)="",2,0)),0)</f>
        <v>0</v>
      </c>
      <c r="AX1053" s="313">
        <f>IFERROR(IF(INDEX([1]Pivot!$BF$1:$CG$65000,$B1053,AX$5)=1,1,IF(INDEX([1]Pivot!$B$1:$AB$65000,$B1053,AX$5)="",2,0)),0)</f>
        <v>0</v>
      </c>
      <c r="AY1053" s="313">
        <f>IFERROR(IF(INDEX([1]Pivot!$BF$1:$CG$65000,$B1053,AY$5)=1,1,IF(INDEX([1]Pivot!$B$1:$AB$65000,$B1053,AY$5)="",2,0)),0)</f>
        <v>0</v>
      </c>
      <c r="AZ1053" s="313">
        <f>IFERROR(IF(INDEX([1]Pivot!$BF$1:$CG$65000,$B1053,AZ$5)=1,1,IF(INDEX([1]Pivot!$B$1:$AB$65000,$B1053,AZ$5)="",2,0)),0)</f>
        <v>0</v>
      </c>
      <c r="BA1053" s="313">
        <f>IFERROR(IF(INDEX([1]Pivot!$BF$1:$CG$65000,$B1053,BA$5)=1,1,IF(INDEX([1]Pivot!$B$1:$AB$65000,$B1053,BA$5)="",2,0)),0)</f>
        <v>0</v>
      </c>
      <c r="BB1053" s="313">
        <f>IFERROR(IF(INDEX([1]Pivot!$BF$1:$CG$65000,$B1053,BB$5)=1,1,IF(INDEX([1]Pivot!$B$1:$AB$65000,$B1053,BB$5)="",2,0)),0)</f>
        <v>0</v>
      </c>
      <c r="BC1053" s="313">
        <f>IFERROR(IF(INDEX([1]Pivot!$BF$1:$CG$65000,$B1053,BC$5)=1,1,IF(INDEX([1]Pivot!$B$1:$AB$65000,$B1053,BC$5)="",2,0)),0)</f>
        <v>0</v>
      </c>
      <c r="BD1053" s="313">
        <f>IFERROR(IF(INDEX([1]Pivot!$BF$1:$CG$65000,$B1053,BD$5)=1,1,IF(INDEX([1]Pivot!$B$1:$AB$65000,$B1053,BD$5)="",2,0)),0)</f>
        <v>0</v>
      </c>
    </row>
    <row r="1054" spans="1:56" x14ac:dyDescent="0.25">
      <c r="A1054" s="288">
        <f>'[2]Raw Milk Prices'!A1054</f>
        <v>0</v>
      </c>
      <c r="B1054" s="296" t="e">
        <f>MATCH(DATE(LEFT('[2]Raw Milk Prices'!$A1054,4),RIGHT('[2]Raw Milk Prices'!$A1054,2),1),[1]Pivot!$A$1:$A$65000,0)</f>
        <v>#VALUE!</v>
      </c>
      <c r="C1054" s="194">
        <f>IFERROR(IF(INDEX([1]Pivot!$AD$1:$BE$65000,$B1054,C$5)=1,1,IF(INDEX([1]Pivot!$B$1:$AB$65000,$B1054,C$5)="",2,0)),0)</f>
        <v>0</v>
      </c>
      <c r="D1054" s="194">
        <f>IFERROR(IF(INDEX([1]Pivot!$AD$1:$BE$65000,$B1054,D$5)=1,1,IF(INDEX([1]Pivot!$B$1:$AB$65000,$B1054,D$5)="",2,0)),0)</f>
        <v>0</v>
      </c>
      <c r="E1054" s="194">
        <f>IFERROR(IF(INDEX([1]Pivot!$AD$1:$BE$65000,$B1054,E$5)=1,1,IF(INDEX([1]Pivot!$B$1:$AB$65000,$B1054,E$5)="",2,0)),0)</f>
        <v>0</v>
      </c>
      <c r="F1054" s="194">
        <f>IFERROR(IF(INDEX([1]Pivot!$AD$1:$BE$65000,$B1054,F$5)=1,1,IF(INDEX([1]Pivot!$B$1:$AB$65000,$B1054,F$5)="",2,0)),0)</f>
        <v>0</v>
      </c>
      <c r="G1054" s="194">
        <f>IFERROR(IF(INDEX([1]Pivot!$AD$1:$BE$65000,$B1054,G$5)=1,1,IF(INDEX([1]Pivot!$B$1:$AB$65000,$B1054,G$5)="",2,0)),0)</f>
        <v>0</v>
      </c>
      <c r="H1054" s="194">
        <f>IFERROR(IF(INDEX([1]Pivot!$AD$1:$BE$65000,$B1054,H$5)=1,1,IF(INDEX([1]Pivot!$B$1:$AB$65000,$B1054,H$5)="",2,0)),0)</f>
        <v>0</v>
      </c>
      <c r="I1054" s="194">
        <f>IFERROR(IF(INDEX([1]Pivot!$AD$1:$BE$65000,$B1054,I$5)=1,1,IF(INDEX([1]Pivot!$B$1:$AB$65000,$B1054,I$5)="",2,0)),0)</f>
        <v>0</v>
      </c>
      <c r="J1054" s="194">
        <f>IFERROR(IF(INDEX([1]Pivot!$AD$1:$BE$65000,$B1054,J$5)=1,1,IF(INDEX([1]Pivot!$B$1:$AB$65000,$B1054,J$5)="",2,0)),0)</f>
        <v>0</v>
      </c>
      <c r="K1054" s="194">
        <f>IFERROR(IF(INDEX([1]Pivot!$AD$1:$BE$65000,$B1054,K$5)=1,1,IF(INDEX([1]Pivot!$B$1:$AB$65000,$B1054,K$5)="",2,0)),0)</f>
        <v>0</v>
      </c>
      <c r="L1054" s="194">
        <f>IFERROR(IF(INDEX([1]Pivot!$AD$1:$BE$65000,$B1054,L$5)=1,1,IF(INDEX([1]Pivot!$B$1:$AB$65000,$B1054,L$5)="",2,0)),0)</f>
        <v>0</v>
      </c>
      <c r="M1054" s="194">
        <f>IFERROR(IF(INDEX([1]Pivot!$AD$1:$BE$65000,$B1054,M$5)=1,1,IF(INDEX([1]Pivot!$B$1:$AB$65000,$B1054,M$5)="",2,0)),0)</f>
        <v>0</v>
      </c>
      <c r="N1054" s="194">
        <f>IFERROR(IF(INDEX([1]Pivot!$AD$1:$BE$65000,$B1054,N$5)=1,1,IF(INDEX([1]Pivot!$B$1:$AB$65000,$B1054,N$5)="",2,0)),0)</f>
        <v>0</v>
      </c>
      <c r="O1054" s="194">
        <f>IFERROR(IF(INDEX([1]Pivot!$AD$1:$BE$65000,$B1054,O$5)=1,1,IF(INDEX([1]Pivot!$B$1:$AB$65000,$B1054,O$5)="",2,0)),0)</f>
        <v>0</v>
      </c>
      <c r="P1054" s="194">
        <f>IFERROR(IF(INDEX([1]Pivot!$AD$1:$BE$65000,$B1054,P$5)=1,1,IF(INDEX([1]Pivot!$B$1:$AB$65000,$B1054,P$5)="",2,0)),0)</f>
        <v>0</v>
      </c>
      <c r="Q1054" s="194">
        <f>IFERROR(IF(INDEX([1]Pivot!$AD$1:$BE$65000,$B1054,Q$5)=1,1,IF(INDEX([1]Pivot!$B$1:$AB$65000,$B1054,Q$5)="",2,0)),0)</f>
        <v>0</v>
      </c>
      <c r="R1054" s="312"/>
      <c r="S1054" s="194">
        <f>IFERROR(IF(INDEX([1]Pivot!$AD$1:$BE$65000,$B1054,S$5)=1,1,IF(INDEX([1]Pivot!$B$1:$AB$65000,$B1054,S$5)="",2,0)),0)</f>
        <v>0</v>
      </c>
      <c r="T1054" s="194">
        <f>IFERROR(IF(INDEX([1]Pivot!$AD$1:$BE$65000,$B1054,T$5)=1,1,IF(INDEX([1]Pivot!$B$1:$AB$65000,$B1054,T$5)="",2,0)),0)</f>
        <v>0</v>
      </c>
      <c r="U1054" s="194">
        <f>IFERROR(IF(INDEX([1]Pivot!$AD$1:$BE$65000,$B1054,U$5)=1,1,IF(INDEX([1]Pivot!$B$1:$AB$65000,$B1054,U$5)="",2,0)),0)</f>
        <v>0</v>
      </c>
      <c r="V1054" s="194">
        <f>IFERROR(IF(INDEX([1]Pivot!$AD$1:$BE$65000,$B1054,V$5)=1,1,IF(INDEX([1]Pivot!$B$1:$AB$65000,$B1054,V$5)="",2,0)),0)</f>
        <v>0</v>
      </c>
      <c r="W1054" s="194">
        <f>IFERROR(IF(INDEX([1]Pivot!$AD$1:$BE$65000,$B1054,W$5)=1,1,IF(INDEX([1]Pivot!$B$1:$AB$65000,$B1054,W$5)="",2,0)),0)</f>
        <v>0</v>
      </c>
      <c r="X1054" s="194">
        <f>IFERROR(IF(INDEX([1]Pivot!$AD$1:$BE$65000,$B1054,X$5)=1,1,IF(INDEX([1]Pivot!$B$1:$AB$65000,$B1054,X$5)="",2,0)),0)</f>
        <v>0</v>
      </c>
      <c r="Y1054" s="194">
        <f>IFERROR(IF(INDEX([1]Pivot!$AD$1:$BE$65000,$B1054,Y$5)=1,1,IF(INDEX([1]Pivot!$B$1:$AB$65000,$B1054,Y$5)="",2,0)),0)</f>
        <v>0</v>
      </c>
      <c r="Z1054" s="194">
        <f>IFERROR(IF(INDEX([1]Pivot!$AD$1:$BE$65000,$B1054,Z$5)=1,1,IF(INDEX([1]Pivot!$B$1:$AB$65000,$B1054,Z$5)="",2,0)),0)</f>
        <v>0</v>
      </c>
      <c r="AA1054" s="194">
        <f>IFERROR(IF(INDEX([1]Pivot!$AD$1:$BE$65000,$B1054,AA$5)=1,1,IF(INDEX([1]Pivot!$B$1:$AB$65000,$B1054,AA$5)="",2,0)),0)</f>
        <v>0</v>
      </c>
      <c r="AB1054" s="194">
        <f>IFERROR(IF(INDEX([1]Pivot!$AD$1:$BE$65000,$B1054,AB$5)=1,1,IF(INDEX([1]Pivot!$B$1:$AB$65000,$B1054,AB$5)="",2,0)),0)</f>
        <v>0</v>
      </c>
      <c r="AC1054" s="194">
        <f>IFERROR(IF(INDEX([1]Pivot!$AD$1:$BE$65000,$B1054,AC$5)=1,1,IF(INDEX([1]Pivot!$B$1:$AB$65000,$B1054,AC$5)="",2,0)),0)</f>
        <v>0</v>
      </c>
      <c r="AD1054" s="313">
        <f>IFERROR(IF(INDEX([1]Pivot!$BF$1:$CG$65000,$B1054,AD$5)=1,1,IF(INDEX([1]Pivot!$B$1:$AB$65000,$B1054,AD$5)="",2,0)),0)</f>
        <v>0</v>
      </c>
      <c r="AE1054" s="313">
        <f>IFERROR(IF(INDEX([1]Pivot!$BF$1:$CG$65000,$B1054,AE$5)=1,1,IF(INDEX([1]Pivot!$B$1:$AB$65000,$B1054,AE$5)="",2,0)),0)</f>
        <v>0</v>
      </c>
      <c r="AF1054" s="313">
        <f>IFERROR(IF(INDEX([1]Pivot!$BF$1:$CG$65000,$B1054,AF$5)=1,1,IF(INDEX([1]Pivot!$B$1:$AB$65000,$B1054,AF$5)="",2,0)),0)</f>
        <v>0</v>
      </c>
      <c r="AG1054" s="313">
        <f>IFERROR(IF(INDEX([1]Pivot!$BF$1:$CG$65000,$B1054,AG$5)=1,1,IF(INDEX([1]Pivot!$B$1:$AB$65000,$B1054,AG$5)="",2,0)),0)</f>
        <v>0</v>
      </c>
      <c r="AH1054" s="313">
        <f>IFERROR(IF(INDEX([1]Pivot!$BF$1:$CG$65000,$B1054,AH$5)=1,1,IF(INDEX([1]Pivot!$B$1:$AB$65000,$B1054,AH$5)="",2,0)),0)</f>
        <v>0</v>
      </c>
      <c r="AI1054" s="313">
        <f>IFERROR(IF(INDEX([1]Pivot!$BF$1:$CG$65000,$B1054,AI$5)=1,1,IF(INDEX([1]Pivot!$B$1:$AB$65000,$B1054,AI$5)="",2,0)),0)</f>
        <v>0</v>
      </c>
      <c r="AJ1054" s="313">
        <f>IFERROR(IF(INDEX([1]Pivot!$BF$1:$CG$65000,$B1054,AJ$5)=1,1,IF(INDEX([1]Pivot!$B$1:$AB$65000,$B1054,AJ$5)="",2,0)),0)</f>
        <v>0</v>
      </c>
      <c r="AK1054" s="313">
        <f>IFERROR(IF(INDEX([1]Pivot!$BF$1:$CG$65000,$B1054,AK$5)=1,1,IF(INDEX([1]Pivot!$B$1:$AB$65000,$B1054,AK$5)="",2,0)),0)</f>
        <v>0</v>
      </c>
      <c r="AL1054" s="313">
        <f>IFERROR(IF(INDEX([1]Pivot!$BF$1:$CG$65000,$B1054,AL$5)=1,1,IF(INDEX([1]Pivot!$B$1:$AB$65000,$B1054,AL$5)="",2,0)),0)</f>
        <v>0</v>
      </c>
      <c r="AM1054" s="313">
        <f>IFERROR(IF(INDEX([1]Pivot!$BF$1:$CG$65000,$B1054,AM$5)=1,1,IF(INDEX([1]Pivot!$B$1:$AB$65000,$B1054,AM$5)="",2,0)),0)</f>
        <v>0</v>
      </c>
      <c r="AN1054" s="313">
        <f>IFERROR(IF(INDEX([1]Pivot!$BF$1:$CG$65000,$B1054,AN$5)=1,1,IF(INDEX([1]Pivot!$B$1:$AB$65000,$B1054,AN$5)="",2,0)),0)</f>
        <v>0</v>
      </c>
      <c r="AO1054" s="313">
        <f>IFERROR(IF(INDEX([1]Pivot!$BF$1:$CG$65000,$B1054,AO$5)=1,1,IF(INDEX([1]Pivot!$B$1:$AB$65000,$B1054,AO$5)="",2,0)),0)</f>
        <v>0</v>
      </c>
      <c r="AP1054" s="313">
        <f>IFERROR(IF(INDEX([1]Pivot!$BF$1:$CG$65000,$B1054,AP$5)=1,1,IF(INDEX([1]Pivot!$B$1:$AB$65000,$B1054,AP$5)="",2,0)),0)</f>
        <v>0</v>
      </c>
      <c r="AQ1054" s="313">
        <f>IFERROR(IF(INDEX([1]Pivot!$BF$1:$CG$65000,$B1054,AQ$5)=1,1,IF(INDEX([1]Pivot!$B$1:$AB$65000,$B1054,AQ$5)="",2,0)),0)</f>
        <v>0</v>
      </c>
      <c r="AR1054" s="313">
        <f>IFERROR(IF(INDEX([1]Pivot!$BF$1:$CG$65000,$B1054,AR$5)=1,1,IF(INDEX([1]Pivot!$B$1:$AB$65000,$B1054,AR$5)="",2,0)),0)</f>
        <v>0</v>
      </c>
      <c r="AS1054" s="312"/>
      <c r="AT1054" s="313">
        <f>IFERROR(IF(INDEX([1]Pivot!$BF$1:$CG$65000,$B1054,AT$5)=1,1,IF(INDEX([1]Pivot!$B$1:$AB$65000,$B1054,AT$5)="",2,0)),0)</f>
        <v>0</v>
      </c>
      <c r="AU1054" s="313">
        <f>IFERROR(IF(INDEX([1]Pivot!$BF$1:$CG$65000,$B1054,AU$5)=1,1,IF(INDEX([1]Pivot!$B$1:$AB$65000,$B1054,AU$5)="",2,0)),0)</f>
        <v>0</v>
      </c>
      <c r="AV1054" s="313">
        <f>IFERROR(IF(INDEX([1]Pivot!$BF$1:$CG$65000,$B1054,AV$5)=1,1,IF(INDEX([1]Pivot!$B$1:$AB$65000,$B1054,AV$5)="",2,0)),0)</f>
        <v>0</v>
      </c>
      <c r="AW1054" s="313">
        <f>IFERROR(IF(INDEX([1]Pivot!$BF$1:$CG$65000,$B1054,AW$5)=1,1,IF(INDEX([1]Pivot!$B$1:$AB$65000,$B1054,AW$5)="",2,0)),0)</f>
        <v>0</v>
      </c>
      <c r="AX1054" s="313">
        <f>IFERROR(IF(INDEX([1]Pivot!$BF$1:$CG$65000,$B1054,AX$5)=1,1,IF(INDEX([1]Pivot!$B$1:$AB$65000,$B1054,AX$5)="",2,0)),0)</f>
        <v>0</v>
      </c>
      <c r="AY1054" s="313">
        <f>IFERROR(IF(INDEX([1]Pivot!$BF$1:$CG$65000,$B1054,AY$5)=1,1,IF(INDEX([1]Pivot!$B$1:$AB$65000,$B1054,AY$5)="",2,0)),0)</f>
        <v>0</v>
      </c>
      <c r="AZ1054" s="313">
        <f>IFERROR(IF(INDEX([1]Pivot!$BF$1:$CG$65000,$B1054,AZ$5)=1,1,IF(INDEX([1]Pivot!$B$1:$AB$65000,$B1054,AZ$5)="",2,0)),0)</f>
        <v>0</v>
      </c>
      <c r="BA1054" s="313">
        <f>IFERROR(IF(INDEX([1]Pivot!$BF$1:$CG$65000,$B1054,BA$5)=1,1,IF(INDEX([1]Pivot!$B$1:$AB$65000,$B1054,BA$5)="",2,0)),0)</f>
        <v>0</v>
      </c>
      <c r="BB1054" s="313">
        <f>IFERROR(IF(INDEX([1]Pivot!$BF$1:$CG$65000,$B1054,BB$5)=1,1,IF(INDEX([1]Pivot!$B$1:$AB$65000,$B1054,BB$5)="",2,0)),0)</f>
        <v>0</v>
      </c>
      <c r="BC1054" s="313">
        <f>IFERROR(IF(INDEX([1]Pivot!$BF$1:$CG$65000,$B1054,BC$5)=1,1,IF(INDEX([1]Pivot!$B$1:$AB$65000,$B1054,BC$5)="",2,0)),0)</f>
        <v>0</v>
      </c>
      <c r="BD1054" s="313">
        <f>IFERROR(IF(INDEX([1]Pivot!$BF$1:$CG$65000,$B1054,BD$5)=1,1,IF(INDEX([1]Pivot!$B$1:$AB$65000,$B1054,BD$5)="",2,0)),0)</f>
        <v>0</v>
      </c>
    </row>
    <row r="1055" spans="1:56" x14ac:dyDescent="0.25">
      <c r="A1055" s="288">
        <f>'[2]Raw Milk Prices'!A1055</f>
        <v>0</v>
      </c>
      <c r="B1055" s="296" t="e">
        <f>MATCH(DATE(LEFT('[2]Raw Milk Prices'!$A1055,4),RIGHT('[2]Raw Milk Prices'!$A1055,2),1),[1]Pivot!$A$1:$A$65000,0)</f>
        <v>#VALUE!</v>
      </c>
      <c r="C1055" s="194">
        <f>IFERROR(IF(INDEX([1]Pivot!$AD$1:$BE$65000,$B1055,C$5)=1,1,IF(INDEX([1]Pivot!$B$1:$AB$65000,$B1055,C$5)="",2,0)),0)</f>
        <v>0</v>
      </c>
      <c r="D1055" s="194">
        <f>IFERROR(IF(INDEX([1]Pivot!$AD$1:$BE$65000,$B1055,D$5)=1,1,IF(INDEX([1]Pivot!$B$1:$AB$65000,$B1055,D$5)="",2,0)),0)</f>
        <v>0</v>
      </c>
      <c r="E1055" s="194">
        <f>IFERROR(IF(INDEX([1]Pivot!$AD$1:$BE$65000,$B1055,E$5)=1,1,IF(INDEX([1]Pivot!$B$1:$AB$65000,$B1055,E$5)="",2,0)),0)</f>
        <v>0</v>
      </c>
      <c r="F1055" s="194">
        <f>IFERROR(IF(INDEX([1]Pivot!$AD$1:$BE$65000,$B1055,F$5)=1,1,IF(INDEX([1]Pivot!$B$1:$AB$65000,$B1055,F$5)="",2,0)),0)</f>
        <v>0</v>
      </c>
      <c r="G1055" s="194">
        <f>IFERROR(IF(INDEX([1]Pivot!$AD$1:$BE$65000,$B1055,G$5)=1,1,IF(INDEX([1]Pivot!$B$1:$AB$65000,$B1055,G$5)="",2,0)),0)</f>
        <v>0</v>
      </c>
      <c r="H1055" s="194">
        <f>IFERROR(IF(INDEX([1]Pivot!$AD$1:$BE$65000,$B1055,H$5)=1,1,IF(INDEX([1]Pivot!$B$1:$AB$65000,$B1055,H$5)="",2,0)),0)</f>
        <v>0</v>
      </c>
      <c r="I1055" s="194">
        <f>IFERROR(IF(INDEX([1]Pivot!$AD$1:$BE$65000,$B1055,I$5)=1,1,IF(INDEX([1]Pivot!$B$1:$AB$65000,$B1055,I$5)="",2,0)),0)</f>
        <v>0</v>
      </c>
      <c r="J1055" s="194">
        <f>IFERROR(IF(INDEX([1]Pivot!$AD$1:$BE$65000,$B1055,J$5)=1,1,IF(INDEX([1]Pivot!$B$1:$AB$65000,$B1055,J$5)="",2,0)),0)</f>
        <v>0</v>
      </c>
      <c r="K1055" s="194">
        <f>IFERROR(IF(INDEX([1]Pivot!$AD$1:$BE$65000,$B1055,K$5)=1,1,IF(INDEX([1]Pivot!$B$1:$AB$65000,$B1055,K$5)="",2,0)),0)</f>
        <v>0</v>
      </c>
      <c r="L1055" s="194">
        <f>IFERROR(IF(INDEX([1]Pivot!$AD$1:$BE$65000,$B1055,L$5)=1,1,IF(INDEX([1]Pivot!$B$1:$AB$65000,$B1055,L$5)="",2,0)),0)</f>
        <v>0</v>
      </c>
      <c r="M1055" s="194">
        <f>IFERROR(IF(INDEX([1]Pivot!$AD$1:$BE$65000,$B1055,M$5)=1,1,IF(INDEX([1]Pivot!$B$1:$AB$65000,$B1055,M$5)="",2,0)),0)</f>
        <v>0</v>
      </c>
      <c r="N1055" s="194">
        <f>IFERROR(IF(INDEX([1]Pivot!$AD$1:$BE$65000,$B1055,N$5)=1,1,IF(INDEX([1]Pivot!$B$1:$AB$65000,$B1055,N$5)="",2,0)),0)</f>
        <v>0</v>
      </c>
      <c r="O1055" s="194">
        <f>IFERROR(IF(INDEX([1]Pivot!$AD$1:$BE$65000,$B1055,O$5)=1,1,IF(INDEX([1]Pivot!$B$1:$AB$65000,$B1055,O$5)="",2,0)),0)</f>
        <v>0</v>
      </c>
      <c r="P1055" s="194">
        <f>IFERROR(IF(INDEX([1]Pivot!$AD$1:$BE$65000,$B1055,P$5)=1,1,IF(INDEX([1]Pivot!$B$1:$AB$65000,$B1055,P$5)="",2,0)),0)</f>
        <v>0</v>
      </c>
      <c r="Q1055" s="194">
        <f>IFERROR(IF(INDEX([1]Pivot!$AD$1:$BE$65000,$B1055,Q$5)=1,1,IF(INDEX([1]Pivot!$B$1:$AB$65000,$B1055,Q$5)="",2,0)),0)</f>
        <v>0</v>
      </c>
      <c r="R1055" s="312"/>
      <c r="S1055" s="194">
        <f>IFERROR(IF(INDEX([1]Pivot!$AD$1:$BE$65000,$B1055,S$5)=1,1,IF(INDEX([1]Pivot!$B$1:$AB$65000,$B1055,S$5)="",2,0)),0)</f>
        <v>0</v>
      </c>
      <c r="T1055" s="194">
        <f>IFERROR(IF(INDEX([1]Pivot!$AD$1:$BE$65000,$B1055,T$5)=1,1,IF(INDEX([1]Pivot!$B$1:$AB$65000,$B1055,T$5)="",2,0)),0)</f>
        <v>0</v>
      </c>
      <c r="U1055" s="194">
        <f>IFERROR(IF(INDEX([1]Pivot!$AD$1:$BE$65000,$B1055,U$5)=1,1,IF(INDEX([1]Pivot!$B$1:$AB$65000,$B1055,U$5)="",2,0)),0)</f>
        <v>0</v>
      </c>
      <c r="V1055" s="194">
        <f>IFERROR(IF(INDEX([1]Pivot!$AD$1:$BE$65000,$B1055,V$5)=1,1,IF(INDEX([1]Pivot!$B$1:$AB$65000,$B1055,V$5)="",2,0)),0)</f>
        <v>0</v>
      </c>
      <c r="W1055" s="194">
        <f>IFERROR(IF(INDEX([1]Pivot!$AD$1:$BE$65000,$B1055,W$5)=1,1,IF(INDEX([1]Pivot!$B$1:$AB$65000,$B1055,W$5)="",2,0)),0)</f>
        <v>0</v>
      </c>
      <c r="X1055" s="194">
        <f>IFERROR(IF(INDEX([1]Pivot!$AD$1:$BE$65000,$B1055,X$5)=1,1,IF(INDEX([1]Pivot!$B$1:$AB$65000,$B1055,X$5)="",2,0)),0)</f>
        <v>0</v>
      </c>
      <c r="Y1055" s="194">
        <f>IFERROR(IF(INDEX([1]Pivot!$AD$1:$BE$65000,$B1055,Y$5)=1,1,IF(INDEX([1]Pivot!$B$1:$AB$65000,$B1055,Y$5)="",2,0)),0)</f>
        <v>0</v>
      </c>
      <c r="Z1055" s="194">
        <f>IFERROR(IF(INDEX([1]Pivot!$AD$1:$BE$65000,$B1055,Z$5)=1,1,IF(INDEX([1]Pivot!$B$1:$AB$65000,$B1055,Z$5)="",2,0)),0)</f>
        <v>0</v>
      </c>
      <c r="AA1055" s="194">
        <f>IFERROR(IF(INDEX([1]Pivot!$AD$1:$BE$65000,$B1055,AA$5)=1,1,IF(INDEX([1]Pivot!$B$1:$AB$65000,$B1055,AA$5)="",2,0)),0)</f>
        <v>0</v>
      </c>
      <c r="AB1055" s="194">
        <f>IFERROR(IF(INDEX([1]Pivot!$AD$1:$BE$65000,$B1055,AB$5)=1,1,IF(INDEX([1]Pivot!$B$1:$AB$65000,$B1055,AB$5)="",2,0)),0)</f>
        <v>0</v>
      </c>
      <c r="AC1055" s="194">
        <f>IFERROR(IF(INDEX([1]Pivot!$AD$1:$BE$65000,$B1055,AC$5)=1,1,IF(INDEX([1]Pivot!$B$1:$AB$65000,$B1055,AC$5)="",2,0)),0)</f>
        <v>0</v>
      </c>
      <c r="AD1055" s="313">
        <f>IFERROR(IF(INDEX([1]Pivot!$BF$1:$CG$65000,$B1055,AD$5)=1,1,IF(INDEX([1]Pivot!$B$1:$AB$65000,$B1055,AD$5)="",2,0)),0)</f>
        <v>0</v>
      </c>
      <c r="AE1055" s="313">
        <f>IFERROR(IF(INDEX([1]Pivot!$BF$1:$CG$65000,$B1055,AE$5)=1,1,IF(INDEX([1]Pivot!$B$1:$AB$65000,$B1055,AE$5)="",2,0)),0)</f>
        <v>0</v>
      </c>
      <c r="AF1055" s="313">
        <f>IFERROR(IF(INDEX([1]Pivot!$BF$1:$CG$65000,$B1055,AF$5)=1,1,IF(INDEX([1]Pivot!$B$1:$AB$65000,$B1055,AF$5)="",2,0)),0)</f>
        <v>0</v>
      </c>
      <c r="AG1055" s="313">
        <f>IFERROR(IF(INDEX([1]Pivot!$BF$1:$CG$65000,$B1055,AG$5)=1,1,IF(INDEX([1]Pivot!$B$1:$AB$65000,$B1055,AG$5)="",2,0)),0)</f>
        <v>0</v>
      </c>
      <c r="AH1055" s="313">
        <f>IFERROR(IF(INDEX([1]Pivot!$BF$1:$CG$65000,$B1055,AH$5)=1,1,IF(INDEX([1]Pivot!$B$1:$AB$65000,$B1055,AH$5)="",2,0)),0)</f>
        <v>0</v>
      </c>
      <c r="AI1055" s="313">
        <f>IFERROR(IF(INDEX([1]Pivot!$BF$1:$CG$65000,$B1055,AI$5)=1,1,IF(INDEX([1]Pivot!$B$1:$AB$65000,$B1055,AI$5)="",2,0)),0)</f>
        <v>0</v>
      </c>
      <c r="AJ1055" s="313">
        <f>IFERROR(IF(INDEX([1]Pivot!$BF$1:$CG$65000,$B1055,AJ$5)=1,1,IF(INDEX([1]Pivot!$B$1:$AB$65000,$B1055,AJ$5)="",2,0)),0)</f>
        <v>0</v>
      </c>
      <c r="AK1055" s="313">
        <f>IFERROR(IF(INDEX([1]Pivot!$BF$1:$CG$65000,$B1055,AK$5)=1,1,IF(INDEX([1]Pivot!$B$1:$AB$65000,$B1055,AK$5)="",2,0)),0)</f>
        <v>0</v>
      </c>
      <c r="AL1055" s="313">
        <f>IFERROR(IF(INDEX([1]Pivot!$BF$1:$CG$65000,$B1055,AL$5)=1,1,IF(INDEX([1]Pivot!$B$1:$AB$65000,$B1055,AL$5)="",2,0)),0)</f>
        <v>0</v>
      </c>
      <c r="AM1055" s="313">
        <f>IFERROR(IF(INDEX([1]Pivot!$BF$1:$CG$65000,$B1055,AM$5)=1,1,IF(INDEX([1]Pivot!$B$1:$AB$65000,$B1055,AM$5)="",2,0)),0)</f>
        <v>0</v>
      </c>
      <c r="AN1055" s="313">
        <f>IFERROR(IF(INDEX([1]Pivot!$BF$1:$CG$65000,$B1055,AN$5)=1,1,IF(INDEX([1]Pivot!$B$1:$AB$65000,$B1055,AN$5)="",2,0)),0)</f>
        <v>0</v>
      </c>
      <c r="AO1055" s="313">
        <f>IFERROR(IF(INDEX([1]Pivot!$BF$1:$CG$65000,$B1055,AO$5)=1,1,IF(INDEX([1]Pivot!$B$1:$AB$65000,$B1055,AO$5)="",2,0)),0)</f>
        <v>0</v>
      </c>
      <c r="AP1055" s="313">
        <f>IFERROR(IF(INDEX([1]Pivot!$BF$1:$CG$65000,$B1055,AP$5)=1,1,IF(INDEX([1]Pivot!$B$1:$AB$65000,$B1055,AP$5)="",2,0)),0)</f>
        <v>0</v>
      </c>
      <c r="AQ1055" s="313">
        <f>IFERROR(IF(INDEX([1]Pivot!$BF$1:$CG$65000,$B1055,AQ$5)=1,1,IF(INDEX([1]Pivot!$B$1:$AB$65000,$B1055,AQ$5)="",2,0)),0)</f>
        <v>0</v>
      </c>
      <c r="AR1055" s="313">
        <f>IFERROR(IF(INDEX([1]Pivot!$BF$1:$CG$65000,$B1055,AR$5)=1,1,IF(INDEX([1]Pivot!$B$1:$AB$65000,$B1055,AR$5)="",2,0)),0)</f>
        <v>0</v>
      </c>
      <c r="AS1055" s="312"/>
      <c r="AT1055" s="313">
        <f>IFERROR(IF(INDEX([1]Pivot!$BF$1:$CG$65000,$B1055,AT$5)=1,1,IF(INDEX([1]Pivot!$B$1:$AB$65000,$B1055,AT$5)="",2,0)),0)</f>
        <v>0</v>
      </c>
      <c r="AU1055" s="313">
        <f>IFERROR(IF(INDEX([1]Pivot!$BF$1:$CG$65000,$B1055,AU$5)=1,1,IF(INDEX([1]Pivot!$B$1:$AB$65000,$B1055,AU$5)="",2,0)),0)</f>
        <v>0</v>
      </c>
      <c r="AV1055" s="313">
        <f>IFERROR(IF(INDEX([1]Pivot!$BF$1:$CG$65000,$B1055,AV$5)=1,1,IF(INDEX([1]Pivot!$B$1:$AB$65000,$B1055,AV$5)="",2,0)),0)</f>
        <v>0</v>
      </c>
      <c r="AW1055" s="313">
        <f>IFERROR(IF(INDEX([1]Pivot!$BF$1:$CG$65000,$B1055,AW$5)=1,1,IF(INDEX([1]Pivot!$B$1:$AB$65000,$B1055,AW$5)="",2,0)),0)</f>
        <v>0</v>
      </c>
      <c r="AX1055" s="313">
        <f>IFERROR(IF(INDEX([1]Pivot!$BF$1:$CG$65000,$B1055,AX$5)=1,1,IF(INDEX([1]Pivot!$B$1:$AB$65000,$B1055,AX$5)="",2,0)),0)</f>
        <v>0</v>
      </c>
      <c r="AY1055" s="313">
        <f>IFERROR(IF(INDEX([1]Pivot!$BF$1:$CG$65000,$B1055,AY$5)=1,1,IF(INDEX([1]Pivot!$B$1:$AB$65000,$B1055,AY$5)="",2,0)),0)</f>
        <v>0</v>
      </c>
      <c r="AZ1055" s="313">
        <f>IFERROR(IF(INDEX([1]Pivot!$BF$1:$CG$65000,$B1055,AZ$5)=1,1,IF(INDEX([1]Pivot!$B$1:$AB$65000,$B1055,AZ$5)="",2,0)),0)</f>
        <v>0</v>
      </c>
      <c r="BA1055" s="313">
        <f>IFERROR(IF(INDEX([1]Pivot!$BF$1:$CG$65000,$B1055,BA$5)=1,1,IF(INDEX([1]Pivot!$B$1:$AB$65000,$B1055,BA$5)="",2,0)),0)</f>
        <v>0</v>
      </c>
      <c r="BB1055" s="313">
        <f>IFERROR(IF(INDEX([1]Pivot!$BF$1:$CG$65000,$B1055,BB$5)=1,1,IF(INDEX([1]Pivot!$B$1:$AB$65000,$B1055,BB$5)="",2,0)),0)</f>
        <v>0</v>
      </c>
      <c r="BC1055" s="313">
        <f>IFERROR(IF(INDEX([1]Pivot!$BF$1:$CG$65000,$B1055,BC$5)=1,1,IF(INDEX([1]Pivot!$B$1:$AB$65000,$B1055,BC$5)="",2,0)),0)</f>
        <v>0</v>
      </c>
      <c r="BD1055" s="313">
        <f>IFERROR(IF(INDEX([1]Pivot!$BF$1:$CG$65000,$B1055,BD$5)=1,1,IF(INDEX([1]Pivot!$B$1:$AB$65000,$B1055,BD$5)="",2,0)),0)</f>
        <v>0</v>
      </c>
    </row>
    <row r="1056" spans="1:56" x14ac:dyDescent="0.25">
      <c r="A1056" s="288">
        <f>'[2]Raw Milk Prices'!A1056</f>
        <v>0</v>
      </c>
      <c r="B1056" s="296" t="e">
        <f>MATCH(DATE(LEFT('[2]Raw Milk Prices'!$A1056,4),RIGHT('[2]Raw Milk Prices'!$A1056,2),1),[1]Pivot!$A$1:$A$65000,0)</f>
        <v>#VALUE!</v>
      </c>
      <c r="C1056" s="194">
        <f>IFERROR(IF(INDEX([1]Pivot!$AD$1:$BE$65000,$B1056,C$5)=1,1,IF(INDEX([1]Pivot!$B$1:$AB$65000,$B1056,C$5)="",2,0)),0)</f>
        <v>0</v>
      </c>
      <c r="D1056" s="194">
        <f>IFERROR(IF(INDEX([1]Pivot!$AD$1:$BE$65000,$B1056,D$5)=1,1,IF(INDEX([1]Pivot!$B$1:$AB$65000,$B1056,D$5)="",2,0)),0)</f>
        <v>0</v>
      </c>
      <c r="E1056" s="194">
        <f>IFERROR(IF(INDEX([1]Pivot!$AD$1:$BE$65000,$B1056,E$5)=1,1,IF(INDEX([1]Pivot!$B$1:$AB$65000,$B1056,E$5)="",2,0)),0)</f>
        <v>0</v>
      </c>
      <c r="F1056" s="194">
        <f>IFERROR(IF(INDEX([1]Pivot!$AD$1:$BE$65000,$B1056,F$5)=1,1,IF(INDEX([1]Pivot!$B$1:$AB$65000,$B1056,F$5)="",2,0)),0)</f>
        <v>0</v>
      </c>
      <c r="G1056" s="194">
        <f>IFERROR(IF(INDEX([1]Pivot!$AD$1:$BE$65000,$B1056,G$5)=1,1,IF(INDEX([1]Pivot!$B$1:$AB$65000,$B1056,G$5)="",2,0)),0)</f>
        <v>0</v>
      </c>
      <c r="H1056" s="194">
        <f>IFERROR(IF(INDEX([1]Pivot!$AD$1:$BE$65000,$B1056,H$5)=1,1,IF(INDEX([1]Pivot!$B$1:$AB$65000,$B1056,H$5)="",2,0)),0)</f>
        <v>0</v>
      </c>
      <c r="I1056" s="194">
        <f>IFERROR(IF(INDEX([1]Pivot!$AD$1:$BE$65000,$B1056,I$5)=1,1,IF(INDEX([1]Pivot!$B$1:$AB$65000,$B1056,I$5)="",2,0)),0)</f>
        <v>0</v>
      </c>
      <c r="J1056" s="194">
        <f>IFERROR(IF(INDEX([1]Pivot!$AD$1:$BE$65000,$B1056,J$5)=1,1,IF(INDEX([1]Pivot!$B$1:$AB$65000,$B1056,J$5)="",2,0)),0)</f>
        <v>0</v>
      </c>
      <c r="K1056" s="194">
        <f>IFERROR(IF(INDEX([1]Pivot!$AD$1:$BE$65000,$B1056,K$5)=1,1,IF(INDEX([1]Pivot!$B$1:$AB$65000,$B1056,K$5)="",2,0)),0)</f>
        <v>0</v>
      </c>
      <c r="L1056" s="194">
        <f>IFERROR(IF(INDEX([1]Pivot!$AD$1:$BE$65000,$B1056,L$5)=1,1,IF(INDEX([1]Pivot!$B$1:$AB$65000,$B1056,L$5)="",2,0)),0)</f>
        <v>0</v>
      </c>
      <c r="M1056" s="194">
        <f>IFERROR(IF(INDEX([1]Pivot!$AD$1:$BE$65000,$B1056,M$5)=1,1,IF(INDEX([1]Pivot!$B$1:$AB$65000,$B1056,M$5)="",2,0)),0)</f>
        <v>0</v>
      </c>
      <c r="N1056" s="194">
        <f>IFERROR(IF(INDEX([1]Pivot!$AD$1:$BE$65000,$B1056,N$5)=1,1,IF(INDEX([1]Pivot!$B$1:$AB$65000,$B1056,N$5)="",2,0)),0)</f>
        <v>0</v>
      </c>
      <c r="O1056" s="194">
        <f>IFERROR(IF(INDEX([1]Pivot!$AD$1:$BE$65000,$B1056,O$5)=1,1,IF(INDEX([1]Pivot!$B$1:$AB$65000,$B1056,O$5)="",2,0)),0)</f>
        <v>0</v>
      </c>
      <c r="P1056" s="194">
        <f>IFERROR(IF(INDEX([1]Pivot!$AD$1:$BE$65000,$B1056,P$5)=1,1,IF(INDEX([1]Pivot!$B$1:$AB$65000,$B1056,P$5)="",2,0)),0)</f>
        <v>0</v>
      </c>
      <c r="Q1056" s="194">
        <f>IFERROR(IF(INDEX([1]Pivot!$AD$1:$BE$65000,$B1056,Q$5)=1,1,IF(INDEX([1]Pivot!$B$1:$AB$65000,$B1056,Q$5)="",2,0)),0)</f>
        <v>0</v>
      </c>
      <c r="R1056" s="312"/>
      <c r="S1056" s="194">
        <f>IFERROR(IF(INDEX([1]Pivot!$AD$1:$BE$65000,$B1056,S$5)=1,1,IF(INDEX([1]Pivot!$B$1:$AB$65000,$B1056,S$5)="",2,0)),0)</f>
        <v>0</v>
      </c>
      <c r="T1056" s="194">
        <f>IFERROR(IF(INDEX([1]Pivot!$AD$1:$BE$65000,$B1056,T$5)=1,1,IF(INDEX([1]Pivot!$B$1:$AB$65000,$B1056,T$5)="",2,0)),0)</f>
        <v>0</v>
      </c>
      <c r="U1056" s="194">
        <f>IFERROR(IF(INDEX([1]Pivot!$AD$1:$BE$65000,$B1056,U$5)=1,1,IF(INDEX([1]Pivot!$B$1:$AB$65000,$B1056,U$5)="",2,0)),0)</f>
        <v>0</v>
      </c>
      <c r="V1056" s="194">
        <f>IFERROR(IF(INDEX([1]Pivot!$AD$1:$BE$65000,$B1056,V$5)=1,1,IF(INDEX([1]Pivot!$B$1:$AB$65000,$B1056,V$5)="",2,0)),0)</f>
        <v>0</v>
      </c>
      <c r="W1056" s="194">
        <f>IFERROR(IF(INDEX([1]Pivot!$AD$1:$BE$65000,$B1056,W$5)=1,1,IF(INDEX([1]Pivot!$B$1:$AB$65000,$B1056,W$5)="",2,0)),0)</f>
        <v>0</v>
      </c>
      <c r="X1056" s="194">
        <f>IFERROR(IF(INDEX([1]Pivot!$AD$1:$BE$65000,$B1056,X$5)=1,1,IF(INDEX([1]Pivot!$B$1:$AB$65000,$B1056,X$5)="",2,0)),0)</f>
        <v>0</v>
      </c>
      <c r="Y1056" s="194">
        <f>IFERROR(IF(INDEX([1]Pivot!$AD$1:$BE$65000,$B1056,Y$5)=1,1,IF(INDEX([1]Pivot!$B$1:$AB$65000,$B1056,Y$5)="",2,0)),0)</f>
        <v>0</v>
      </c>
      <c r="Z1056" s="194">
        <f>IFERROR(IF(INDEX([1]Pivot!$AD$1:$BE$65000,$B1056,Z$5)=1,1,IF(INDEX([1]Pivot!$B$1:$AB$65000,$B1056,Z$5)="",2,0)),0)</f>
        <v>0</v>
      </c>
      <c r="AA1056" s="194">
        <f>IFERROR(IF(INDEX([1]Pivot!$AD$1:$BE$65000,$B1056,AA$5)=1,1,IF(INDEX([1]Pivot!$B$1:$AB$65000,$B1056,AA$5)="",2,0)),0)</f>
        <v>0</v>
      </c>
      <c r="AB1056" s="194">
        <f>IFERROR(IF(INDEX([1]Pivot!$AD$1:$BE$65000,$B1056,AB$5)=1,1,IF(INDEX([1]Pivot!$B$1:$AB$65000,$B1056,AB$5)="",2,0)),0)</f>
        <v>0</v>
      </c>
      <c r="AC1056" s="194">
        <f>IFERROR(IF(INDEX([1]Pivot!$AD$1:$BE$65000,$B1056,AC$5)=1,1,IF(INDEX([1]Pivot!$B$1:$AB$65000,$B1056,AC$5)="",2,0)),0)</f>
        <v>0</v>
      </c>
      <c r="AD1056" s="313">
        <f>IFERROR(IF(INDEX([1]Pivot!$BF$1:$CG$65000,$B1056,AD$5)=1,1,IF(INDEX([1]Pivot!$B$1:$AB$65000,$B1056,AD$5)="",2,0)),0)</f>
        <v>0</v>
      </c>
      <c r="AE1056" s="313">
        <f>IFERROR(IF(INDEX([1]Pivot!$BF$1:$CG$65000,$B1056,AE$5)=1,1,IF(INDEX([1]Pivot!$B$1:$AB$65000,$B1056,AE$5)="",2,0)),0)</f>
        <v>0</v>
      </c>
      <c r="AF1056" s="313">
        <f>IFERROR(IF(INDEX([1]Pivot!$BF$1:$CG$65000,$B1056,AF$5)=1,1,IF(INDEX([1]Pivot!$B$1:$AB$65000,$B1056,AF$5)="",2,0)),0)</f>
        <v>0</v>
      </c>
      <c r="AG1056" s="313">
        <f>IFERROR(IF(INDEX([1]Pivot!$BF$1:$CG$65000,$B1056,AG$5)=1,1,IF(INDEX([1]Pivot!$B$1:$AB$65000,$B1056,AG$5)="",2,0)),0)</f>
        <v>0</v>
      </c>
      <c r="AH1056" s="313">
        <f>IFERROR(IF(INDEX([1]Pivot!$BF$1:$CG$65000,$B1056,AH$5)=1,1,IF(INDEX([1]Pivot!$B$1:$AB$65000,$B1056,AH$5)="",2,0)),0)</f>
        <v>0</v>
      </c>
      <c r="AI1056" s="313">
        <f>IFERROR(IF(INDEX([1]Pivot!$BF$1:$CG$65000,$B1056,AI$5)=1,1,IF(INDEX([1]Pivot!$B$1:$AB$65000,$B1056,AI$5)="",2,0)),0)</f>
        <v>0</v>
      </c>
      <c r="AJ1056" s="313">
        <f>IFERROR(IF(INDEX([1]Pivot!$BF$1:$CG$65000,$B1056,AJ$5)=1,1,IF(INDEX([1]Pivot!$B$1:$AB$65000,$B1056,AJ$5)="",2,0)),0)</f>
        <v>0</v>
      </c>
      <c r="AK1056" s="313">
        <f>IFERROR(IF(INDEX([1]Pivot!$BF$1:$CG$65000,$B1056,AK$5)=1,1,IF(INDEX([1]Pivot!$B$1:$AB$65000,$B1056,AK$5)="",2,0)),0)</f>
        <v>0</v>
      </c>
      <c r="AL1056" s="313">
        <f>IFERROR(IF(INDEX([1]Pivot!$BF$1:$CG$65000,$B1056,AL$5)=1,1,IF(INDEX([1]Pivot!$B$1:$AB$65000,$B1056,AL$5)="",2,0)),0)</f>
        <v>0</v>
      </c>
      <c r="AM1056" s="313">
        <f>IFERROR(IF(INDEX([1]Pivot!$BF$1:$CG$65000,$B1056,AM$5)=1,1,IF(INDEX([1]Pivot!$B$1:$AB$65000,$B1056,AM$5)="",2,0)),0)</f>
        <v>0</v>
      </c>
      <c r="AN1056" s="313">
        <f>IFERROR(IF(INDEX([1]Pivot!$BF$1:$CG$65000,$B1056,AN$5)=1,1,IF(INDEX([1]Pivot!$B$1:$AB$65000,$B1056,AN$5)="",2,0)),0)</f>
        <v>0</v>
      </c>
      <c r="AO1056" s="313">
        <f>IFERROR(IF(INDEX([1]Pivot!$BF$1:$CG$65000,$B1056,AO$5)=1,1,IF(INDEX([1]Pivot!$B$1:$AB$65000,$B1056,AO$5)="",2,0)),0)</f>
        <v>0</v>
      </c>
      <c r="AP1056" s="313">
        <f>IFERROR(IF(INDEX([1]Pivot!$BF$1:$CG$65000,$B1056,AP$5)=1,1,IF(INDEX([1]Pivot!$B$1:$AB$65000,$B1056,AP$5)="",2,0)),0)</f>
        <v>0</v>
      </c>
      <c r="AQ1056" s="313">
        <f>IFERROR(IF(INDEX([1]Pivot!$BF$1:$CG$65000,$B1056,AQ$5)=1,1,IF(INDEX([1]Pivot!$B$1:$AB$65000,$B1056,AQ$5)="",2,0)),0)</f>
        <v>0</v>
      </c>
      <c r="AR1056" s="313">
        <f>IFERROR(IF(INDEX([1]Pivot!$BF$1:$CG$65000,$B1056,AR$5)=1,1,IF(INDEX([1]Pivot!$B$1:$AB$65000,$B1056,AR$5)="",2,0)),0)</f>
        <v>0</v>
      </c>
      <c r="AS1056" s="312"/>
      <c r="AT1056" s="313">
        <f>IFERROR(IF(INDEX([1]Pivot!$BF$1:$CG$65000,$B1056,AT$5)=1,1,IF(INDEX([1]Pivot!$B$1:$AB$65000,$B1056,AT$5)="",2,0)),0)</f>
        <v>0</v>
      </c>
      <c r="AU1056" s="313">
        <f>IFERROR(IF(INDEX([1]Pivot!$BF$1:$CG$65000,$B1056,AU$5)=1,1,IF(INDEX([1]Pivot!$B$1:$AB$65000,$B1056,AU$5)="",2,0)),0)</f>
        <v>0</v>
      </c>
      <c r="AV1056" s="313">
        <f>IFERROR(IF(INDEX([1]Pivot!$BF$1:$CG$65000,$B1056,AV$5)=1,1,IF(INDEX([1]Pivot!$B$1:$AB$65000,$B1056,AV$5)="",2,0)),0)</f>
        <v>0</v>
      </c>
      <c r="AW1056" s="313">
        <f>IFERROR(IF(INDEX([1]Pivot!$BF$1:$CG$65000,$B1056,AW$5)=1,1,IF(INDEX([1]Pivot!$B$1:$AB$65000,$B1056,AW$5)="",2,0)),0)</f>
        <v>0</v>
      </c>
      <c r="AX1056" s="313">
        <f>IFERROR(IF(INDEX([1]Pivot!$BF$1:$CG$65000,$B1056,AX$5)=1,1,IF(INDEX([1]Pivot!$B$1:$AB$65000,$B1056,AX$5)="",2,0)),0)</f>
        <v>0</v>
      </c>
      <c r="AY1056" s="313">
        <f>IFERROR(IF(INDEX([1]Pivot!$BF$1:$CG$65000,$B1056,AY$5)=1,1,IF(INDEX([1]Pivot!$B$1:$AB$65000,$B1056,AY$5)="",2,0)),0)</f>
        <v>0</v>
      </c>
      <c r="AZ1056" s="313">
        <f>IFERROR(IF(INDEX([1]Pivot!$BF$1:$CG$65000,$B1056,AZ$5)=1,1,IF(INDEX([1]Pivot!$B$1:$AB$65000,$B1056,AZ$5)="",2,0)),0)</f>
        <v>0</v>
      </c>
      <c r="BA1056" s="313">
        <f>IFERROR(IF(INDEX([1]Pivot!$BF$1:$CG$65000,$B1056,BA$5)=1,1,IF(INDEX([1]Pivot!$B$1:$AB$65000,$B1056,BA$5)="",2,0)),0)</f>
        <v>0</v>
      </c>
      <c r="BB1056" s="313">
        <f>IFERROR(IF(INDEX([1]Pivot!$BF$1:$CG$65000,$B1056,BB$5)=1,1,IF(INDEX([1]Pivot!$B$1:$AB$65000,$B1056,BB$5)="",2,0)),0)</f>
        <v>0</v>
      </c>
      <c r="BC1056" s="313">
        <f>IFERROR(IF(INDEX([1]Pivot!$BF$1:$CG$65000,$B1056,BC$5)=1,1,IF(INDEX([1]Pivot!$B$1:$AB$65000,$B1056,BC$5)="",2,0)),0)</f>
        <v>0</v>
      </c>
      <c r="BD1056" s="313">
        <f>IFERROR(IF(INDEX([1]Pivot!$BF$1:$CG$65000,$B1056,BD$5)=1,1,IF(INDEX([1]Pivot!$B$1:$AB$65000,$B1056,BD$5)="",2,0)),0)</f>
        <v>0</v>
      </c>
    </row>
    <row r="1057" spans="1:56" x14ac:dyDescent="0.25">
      <c r="A1057" s="288">
        <f>'[2]Raw Milk Prices'!A1057</f>
        <v>0</v>
      </c>
      <c r="B1057" s="296" t="e">
        <f>MATCH(DATE(LEFT('[2]Raw Milk Prices'!$A1057,4),RIGHT('[2]Raw Milk Prices'!$A1057,2),1),[1]Pivot!$A$1:$A$65000,0)</f>
        <v>#VALUE!</v>
      </c>
      <c r="C1057" s="194">
        <f>IFERROR(IF(INDEX([1]Pivot!$AD$1:$BE$65000,$B1057,C$5)=1,1,IF(INDEX([1]Pivot!$B$1:$AB$65000,$B1057,C$5)="",2,0)),0)</f>
        <v>0</v>
      </c>
      <c r="D1057" s="194">
        <f>IFERROR(IF(INDEX([1]Pivot!$AD$1:$BE$65000,$B1057,D$5)=1,1,IF(INDEX([1]Pivot!$B$1:$AB$65000,$B1057,D$5)="",2,0)),0)</f>
        <v>0</v>
      </c>
      <c r="E1057" s="194">
        <f>IFERROR(IF(INDEX([1]Pivot!$AD$1:$BE$65000,$B1057,E$5)=1,1,IF(INDEX([1]Pivot!$B$1:$AB$65000,$B1057,E$5)="",2,0)),0)</f>
        <v>0</v>
      </c>
      <c r="F1057" s="194">
        <f>IFERROR(IF(INDEX([1]Pivot!$AD$1:$BE$65000,$B1057,F$5)=1,1,IF(INDEX([1]Pivot!$B$1:$AB$65000,$B1057,F$5)="",2,0)),0)</f>
        <v>0</v>
      </c>
      <c r="G1057" s="194">
        <f>IFERROR(IF(INDEX([1]Pivot!$AD$1:$BE$65000,$B1057,G$5)=1,1,IF(INDEX([1]Pivot!$B$1:$AB$65000,$B1057,G$5)="",2,0)),0)</f>
        <v>0</v>
      </c>
      <c r="H1057" s="194">
        <f>IFERROR(IF(INDEX([1]Pivot!$AD$1:$BE$65000,$B1057,H$5)=1,1,IF(INDEX([1]Pivot!$B$1:$AB$65000,$B1057,H$5)="",2,0)),0)</f>
        <v>0</v>
      </c>
      <c r="I1057" s="194">
        <f>IFERROR(IF(INDEX([1]Pivot!$AD$1:$BE$65000,$B1057,I$5)=1,1,IF(INDEX([1]Pivot!$B$1:$AB$65000,$B1057,I$5)="",2,0)),0)</f>
        <v>0</v>
      </c>
      <c r="J1057" s="194">
        <f>IFERROR(IF(INDEX([1]Pivot!$AD$1:$BE$65000,$B1057,J$5)=1,1,IF(INDEX([1]Pivot!$B$1:$AB$65000,$B1057,J$5)="",2,0)),0)</f>
        <v>0</v>
      </c>
      <c r="K1057" s="194">
        <f>IFERROR(IF(INDEX([1]Pivot!$AD$1:$BE$65000,$B1057,K$5)=1,1,IF(INDEX([1]Pivot!$B$1:$AB$65000,$B1057,K$5)="",2,0)),0)</f>
        <v>0</v>
      </c>
      <c r="L1057" s="194">
        <f>IFERROR(IF(INDEX([1]Pivot!$AD$1:$BE$65000,$B1057,L$5)=1,1,IF(INDEX([1]Pivot!$B$1:$AB$65000,$B1057,L$5)="",2,0)),0)</f>
        <v>0</v>
      </c>
      <c r="M1057" s="194">
        <f>IFERROR(IF(INDEX([1]Pivot!$AD$1:$BE$65000,$B1057,M$5)=1,1,IF(INDEX([1]Pivot!$B$1:$AB$65000,$B1057,M$5)="",2,0)),0)</f>
        <v>0</v>
      </c>
      <c r="N1057" s="194">
        <f>IFERROR(IF(INDEX([1]Pivot!$AD$1:$BE$65000,$B1057,N$5)=1,1,IF(INDEX([1]Pivot!$B$1:$AB$65000,$B1057,N$5)="",2,0)),0)</f>
        <v>0</v>
      </c>
      <c r="O1057" s="194">
        <f>IFERROR(IF(INDEX([1]Pivot!$AD$1:$BE$65000,$B1057,O$5)=1,1,IF(INDEX([1]Pivot!$B$1:$AB$65000,$B1057,O$5)="",2,0)),0)</f>
        <v>0</v>
      </c>
      <c r="P1057" s="194">
        <f>IFERROR(IF(INDEX([1]Pivot!$AD$1:$BE$65000,$B1057,P$5)=1,1,IF(INDEX([1]Pivot!$B$1:$AB$65000,$B1057,P$5)="",2,0)),0)</f>
        <v>0</v>
      </c>
      <c r="Q1057" s="194">
        <f>IFERROR(IF(INDEX([1]Pivot!$AD$1:$BE$65000,$B1057,Q$5)=1,1,IF(INDEX([1]Pivot!$B$1:$AB$65000,$B1057,Q$5)="",2,0)),0)</f>
        <v>0</v>
      </c>
      <c r="R1057" s="312"/>
      <c r="S1057" s="194">
        <f>IFERROR(IF(INDEX([1]Pivot!$AD$1:$BE$65000,$B1057,S$5)=1,1,IF(INDEX([1]Pivot!$B$1:$AB$65000,$B1057,S$5)="",2,0)),0)</f>
        <v>0</v>
      </c>
      <c r="T1057" s="194">
        <f>IFERROR(IF(INDEX([1]Pivot!$AD$1:$BE$65000,$B1057,T$5)=1,1,IF(INDEX([1]Pivot!$B$1:$AB$65000,$B1057,T$5)="",2,0)),0)</f>
        <v>0</v>
      </c>
      <c r="U1057" s="194">
        <f>IFERROR(IF(INDEX([1]Pivot!$AD$1:$BE$65000,$B1057,U$5)=1,1,IF(INDEX([1]Pivot!$B$1:$AB$65000,$B1057,U$5)="",2,0)),0)</f>
        <v>0</v>
      </c>
      <c r="V1057" s="194">
        <f>IFERROR(IF(INDEX([1]Pivot!$AD$1:$BE$65000,$B1057,V$5)=1,1,IF(INDEX([1]Pivot!$B$1:$AB$65000,$B1057,V$5)="",2,0)),0)</f>
        <v>0</v>
      </c>
      <c r="W1057" s="194">
        <f>IFERROR(IF(INDEX([1]Pivot!$AD$1:$BE$65000,$B1057,W$5)=1,1,IF(INDEX([1]Pivot!$B$1:$AB$65000,$B1057,W$5)="",2,0)),0)</f>
        <v>0</v>
      </c>
      <c r="X1057" s="194">
        <f>IFERROR(IF(INDEX([1]Pivot!$AD$1:$BE$65000,$B1057,X$5)=1,1,IF(INDEX([1]Pivot!$B$1:$AB$65000,$B1057,X$5)="",2,0)),0)</f>
        <v>0</v>
      </c>
      <c r="Y1057" s="194">
        <f>IFERROR(IF(INDEX([1]Pivot!$AD$1:$BE$65000,$B1057,Y$5)=1,1,IF(INDEX([1]Pivot!$B$1:$AB$65000,$B1057,Y$5)="",2,0)),0)</f>
        <v>0</v>
      </c>
      <c r="Z1057" s="194">
        <f>IFERROR(IF(INDEX([1]Pivot!$AD$1:$BE$65000,$B1057,Z$5)=1,1,IF(INDEX([1]Pivot!$B$1:$AB$65000,$B1057,Z$5)="",2,0)),0)</f>
        <v>0</v>
      </c>
      <c r="AA1057" s="194">
        <f>IFERROR(IF(INDEX([1]Pivot!$AD$1:$BE$65000,$B1057,AA$5)=1,1,IF(INDEX([1]Pivot!$B$1:$AB$65000,$B1057,AA$5)="",2,0)),0)</f>
        <v>0</v>
      </c>
      <c r="AB1057" s="194">
        <f>IFERROR(IF(INDEX([1]Pivot!$AD$1:$BE$65000,$B1057,AB$5)=1,1,IF(INDEX([1]Pivot!$B$1:$AB$65000,$B1057,AB$5)="",2,0)),0)</f>
        <v>0</v>
      </c>
      <c r="AC1057" s="194">
        <f>IFERROR(IF(INDEX([1]Pivot!$AD$1:$BE$65000,$B1057,AC$5)=1,1,IF(INDEX([1]Pivot!$B$1:$AB$65000,$B1057,AC$5)="",2,0)),0)</f>
        <v>0</v>
      </c>
      <c r="AD1057" s="313">
        <f>IFERROR(IF(INDEX([1]Pivot!$BF$1:$CG$65000,$B1057,AD$5)=1,1,IF(INDEX([1]Pivot!$B$1:$AB$65000,$B1057,AD$5)="",2,0)),0)</f>
        <v>0</v>
      </c>
      <c r="AE1057" s="313">
        <f>IFERROR(IF(INDEX([1]Pivot!$BF$1:$CG$65000,$B1057,AE$5)=1,1,IF(INDEX([1]Pivot!$B$1:$AB$65000,$B1057,AE$5)="",2,0)),0)</f>
        <v>0</v>
      </c>
      <c r="AF1057" s="313">
        <f>IFERROR(IF(INDEX([1]Pivot!$BF$1:$CG$65000,$B1057,AF$5)=1,1,IF(INDEX([1]Pivot!$B$1:$AB$65000,$B1057,AF$5)="",2,0)),0)</f>
        <v>0</v>
      </c>
      <c r="AG1057" s="313">
        <f>IFERROR(IF(INDEX([1]Pivot!$BF$1:$CG$65000,$B1057,AG$5)=1,1,IF(INDEX([1]Pivot!$B$1:$AB$65000,$B1057,AG$5)="",2,0)),0)</f>
        <v>0</v>
      </c>
      <c r="AH1057" s="313">
        <f>IFERROR(IF(INDEX([1]Pivot!$BF$1:$CG$65000,$B1057,AH$5)=1,1,IF(INDEX([1]Pivot!$B$1:$AB$65000,$B1057,AH$5)="",2,0)),0)</f>
        <v>0</v>
      </c>
      <c r="AI1057" s="313">
        <f>IFERROR(IF(INDEX([1]Pivot!$BF$1:$CG$65000,$B1057,AI$5)=1,1,IF(INDEX([1]Pivot!$B$1:$AB$65000,$B1057,AI$5)="",2,0)),0)</f>
        <v>0</v>
      </c>
      <c r="AJ1057" s="313">
        <f>IFERROR(IF(INDEX([1]Pivot!$BF$1:$CG$65000,$B1057,AJ$5)=1,1,IF(INDEX([1]Pivot!$B$1:$AB$65000,$B1057,AJ$5)="",2,0)),0)</f>
        <v>0</v>
      </c>
      <c r="AK1057" s="313">
        <f>IFERROR(IF(INDEX([1]Pivot!$BF$1:$CG$65000,$B1057,AK$5)=1,1,IF(INDEX([1]Pivot!$B$1:$AB$65000,$B1057,AK$5)="",2,0)),0)</f>
        <v>0</v>
      </c>
      <c r="AL1057" s="313">
        <f>IFERROR(IF(INDEX([1]Pivot!$BF$1:$CG$65000,$B1057,AL$5)=1,1,IF(INDEX([1]Pivot!$B$1:$AB$65000,$B1057,AL$5)="",2,0)),0)</f>
        <v>0</v>
      </c>
      <c r="AM1057" s="313">
        <f>IFERROR(IF(INDEX([1]Pivot!$BF$1:$CG$65000,$B1057,AM$5)=1,1,IF(INDEX([1]Pivot!$B$1:$AB$65000,$B1057,AM$5)="",2,0)),0)</f>
        <v>0</v>
      </c>
      <c r="AN1057" s="313">
        <f>IFERROR(IF(INDEX([1]Pivot!$BF$1:$CG$65000,$B1057,AN$5)=1,1,IF(INDEX([1]Pivot!$B$1:$AB$65000,$B1057,AN$5)="",2,0)),0)</f>
        <v>0</v>
      </c>
      <c r="AO1057" s="313">
        <f>IFERROR(IF(INDEX([1]Pivot!$BF$1:$CG$65000,$B1057,AO$5)=1,1,IF(INDEX([1]Pivot!$B$1:$AB$65000,$B1057,AO$5)="",2,0)),0)</f>
        <v>0</v>
      </c>
      <c r="AP1057" s="313">
        <f>IFERROR(IF(INDEX([1]Pivot!$BF$1:$CG$65000,$B1057,AP$5)=1,1,IF(INDEX([1]Pivot!$B$1:$AB$65000,$B1057,AP$5)="",2,0)),0)</f>
        <v>0</v>
      </c>
      <c r="AQ1057" s="313">
        <f>IFERROR(IF(INDEX([1]Pivot!$BF$1:$CG$65000,$B1057,AQ$5)=1,1,IF(INDEX([1]Pivot!$B$1:$AB$65000,$B1057,AQ$5)="",2,0)),0)</f>
        <v>0</v>
      </c>
      <c r="AR1057" s="313">
        <f>IFERROR(IF(INDEX([1]Pivot!$BF$1:$CG$65000,$B1057,AR$5)=1,1,IF(INDEX([1]Pivot!$B$1:$AB$65000,$B1057,AR$5)="",2,0)),0)</f>
        <v>0</v>
      </c>
      <c r="AS1057" s="312"/>
      <c r="AT1057" s="313">
        <f>IFERROR(IF(INDEX([1]Pivot!$BF$1:$CG$65000,$B1057,AT$5)=1,1,IF(INDEX([1]Pivot!$B$1:$AB$65000,$B1057,AT$5)="",2,0)),0)</f>
        <v>0</v>
      </c>
      <c r="AU1057" s="313">
        <f>IFERROR(IF(INDEX([1]Pivot!$BF$1:$CG$65000,$B1057,AU$5)=1,1,IF(INDEX([1]Pivot!$B$1:$AB$65000,$B1057,AU$5)="",2,0)),0)</f>
        <v>0</v>
      </c>
      <c r="AV1057" s="313">
        <f>IFERROR(IF(INDEX([1]Pivot!$BF$1:$CG$65000,$B1057,AV$5)=1,1,IF(INDEX([1]Pivot!$B$1:$AB$65000,$B1057,AV$5)="",2,0)),0)</f>
        <v>0</v>
      </c>
      <c r="AW1057" s="313">
        <f>IFERROR(IF(INDEX([1]Pivot!$BF$1:$CG$65000,$B1057,AW$5)=1,1,IF(INDEX([1]Pivot!$B$1:$AB$65000,$B1057,AW$5)="",2,0)),0)</f>
        <v>0</v>
      </c>
      <c r="AX1057" s="313">
        <f>IFERROR(IF(INDEX([1]Pivot!$BF$1:$CG$65000,$B1057,AX$5)=1,1,IF(INDEX([1]Pivot!$B$1:$AB$65000,$B1057,AX$5)="",2,0)),0)</f>
        <v>0</v>
      </c>
      <c r="AY1057" s="313">
        <f>IFERROR(IF(INDEX([1]Pivot!$BF$1:$CG$65000,$B1057,AY$5)=1,1,IF(INDEX([1]Pivot!$B$1:$AB$65000,$B1057,AY$5)="",2,0)),0)</f>
        <v>0</v>
      </c>
      <c r="AZ1057" s="313">
        <f>IFERROR(IF(INDEX([1]Pivot!$BF$1:$CG$65000,$B1057,AZ$5)=1,1,IF(INDEX([1]Pivot!$B$1:$AB$65000,$B1057,AZ$5)="",2,0)),0)</f>
        <v>0</v>
      </c>
      <c r="BA1057" s="313">
        <f>IFERROR(IF(INDEX([1]Pivot!$BF$1:$CG$65000,$B1057,BA$5)=1,1,IF(INDEX([1]Pivot!$B$1:$AB$65000,$B1057,BA$5)="",2,0)),0)</f>
        <v>0</v>
      </c>
      <c r="BB1057" s="313">
        <f>IFERROR(IF(INDEX([1]Pivot!$BF$1:$CG$65000,$B1057,BB$5)=1,1,IF(INDEX([1]Pivot!$B$1:$AB$65000,$B1057,BB$5)="",2,0)),0)</f>
        <v>0</v>
      </c>
      <c r="BC1057" s="313">
        <f>IFERROR(IF(INDEX([1]Pivot!$BF$1:$CG$65000,$B1057,BC$5)=1,1,IF(INDEX([1]Pivot!$B$1:$AB$65000,$B1057,BC$5)="",2,0)),0)</f>
        <v>0</v>
      </c>
      <c r="BD1057" s="313">
        <f>IFERROR(IF(INDEX([1]Pivot!$BF$1:$CG$65000,$B1057,BD$5)=1,1,IF(INDEX([1]Pivot!$B$1:$AB$65000,$B1057,BD$5)="",2,0)),0)</f>
        <v>0</v>
      </c>
    </row>
    <row r="1058" spans="1:56" x14ac:dyDescent="0.25">
      <c r="A1058" s="288">
        <f>'[2]Raw Milk Prices'!A1058</f>
        <v>0</v>
      </c>
      <c r="B1058" s="296" t="e">
        <f>MATCH(DATE(LEFT('[2]Raw Milk Prices'!$A1058,4),RIGHT('[2]Raw Milk Prices'!$A1058,2),1),[1]Pivot!$A$1:$A$65000,0)</f>
        <v>#VALUE!</v>
      </c>
      <c r="C1058" s="194">
        <f>IFERROR(IF(INDEX([1]Pivot!$AD$1:$BE$65000,$B1058,C$5)=1,1,IF(INDEX([1]Pivot!$B$1:$AB$65000,$B1058,C$5)="",2,0)),0)</f>
        <v>0</v>
      </c>
      <c r="D1058" s="194">
        <f>IFERROR(IF(INDEX([1]Pivot!$AD$1:$BE$65000,$B1058,D$5)=1,1,IF(INDEX([1]Pivot!$B$1:$AB$65000,$B1058,D$5)="",2,0)),0)</f>
        <v>0</v>
      </c>
      <c r="E1058" s="194">
        <f>IFERROR(IF(INDEX([1]Pivot!$AD$1:$BE$65000,$B1058,E$5)=1,1,IF(INDEX([1]Pivot!$B$1:$AB$65000,$B1058,E$5)="",2,0)),0)</f>
        <v>0</v>
      </c>
      <c r="F1058" s="194">
        <f>IFERROR(IF(INDEX([1]Pivot!$AD$1:$BE$65000,$B1058,F$5)=1,1,IF(INDEX([1]Pivot!$B$1:$AB$65000,$B1058,F$5)="",2,0)),0)</f>
        <v>0</v>
      </c>
      <c r="G1058" s="194">
        <f>IFERROR(IF(INDEX([1]Pivot!$AD$1:$BE$65000,$B1058,G$5)=1,1,IF(INDEX([1]Pivot!$B$1:$AB$65000,$B1058,G$5)="",2,0)),0)</f>
        <v>0</v>
      </c>
      <c r="H1058" s="194">
        <f>IFERROR(IF(INDEX([1]Pivot!$AD$1:$BE$65000,$B1058,H$5)=1,1,IF(INDEX([1]Pivot!$B$1:$AB$65000,$B1058,H$5)="",2,0)),0)</f>
        <v>0</v>
      </c>
      <c r="I1058" s="194">
        <f>IFERROR(IF(INDEX([1]Pivot!$AD$1:$BE$65000,$B1058,I$5)=1,1,IF(INDEX([1]Pivot!$B$1:$AB$65000,$B1058,I$5)="",2,0)),0)</f>
        <v>0</v>
      </c>
      <c r="J1058" s="194">
        <f>IFERROR(IF(INDEX([1]Pivot!$AD$1:$BE$65000,$B1058,J$5)=1,1,IF(INDEX([1]Pivot!$B$1:$AB$65000,$B1058,J$5)="",2,0)),0)</f>
        <v>0</v>
      </c>
      <c r="K1058" s="194">
        <f>IFERROR(IF(INDEX([1]Pivot!$AD$1:$BE$65000,$B1058,K$5)=1,1,IF(INDEX([1]Pivot!$B$1:$AB$65000,$B1058,K$5)="",2,0)),0)</f>
        <v>0</v>
      </c>
      <c r="L1058" s="194">
        <f>IFERROR(IF(INDEX([1]Pivot!$AD$1:$BE$65000,$B1058,L$5)=1,1,IF(INDEX([1]Pivot!$B$1:$AB$65000,$B1058,L$5)="",2,0)),0)</f>
        <v>0</v>
      </c>
      <c r="M1058" s="194">
        <f>IFERROR(IF(INDEX([1]Pivot!$AD$1:$BE$65000,$B1058,M$5)=1,1,IF(INDEX([1]Pivot!$B$1:$AB$65000,$B1058,M$5)="",2,0)),0)</f>
        <v>0</v>
      </c>
      <c r="N1058" s="194">
        <f>IFERROR(IF(INDEX([1]Pivot!$AD$1:$BE$65000,$B1058,N$5)=1,1,IF(INDEX([1]Pivot!$B$1:$AB$65000,$B1058,N$5)="",2,0)),0)</f>
        <v>0</v>
      </c>
      <c r="O1058" s="194">
        <f>IFERROR(IF(INDEX([1]Pivot!$AD$1:$BE$65000,$B1058,O$5)=1,1,IF(INDEX([1]Pivot!$B$1:$AB$65000,$B1058,O$5)="",2,0)),0)</f>
        <v>0</v>
      </c>
      <c r="P1058" s="194">
        <f>IFERROR(IF(INDEX([1]Pivot!$AD$1:$BE$65000,$B1058,P$5)=1,1,IF(INDEX([1]Pivot!$B$1:$AB$65000,$B1058,P$5)="",2,0)),0)</f>
        <v>0</v>
      </c>
      <c r="Q1058" s="194">
        <f>IFERROR(IF(INDEX([1]Pivot!$AD$1:$BE$65000,$B1058,Q$5)=1,1,IF(INDEX([1]Pivot!$B$1:$AB$65000,$B1058,Q$5)="",2,0)),0)</f>
        <v>0</v>
      </c>
      <c r="R1058" s="312"/>
      <c r="S1058" s="194">
        <f>IFERROR(IF(INDEX([1]Pivot!$AD$1:$BE$65000,$B1058,S$5)=1,1,IF(INDEX([1]Pivot!$B$1:$AB$65000,$B1058,S$5)="",2,0)),0)</f>
        <v>0</v>
      </c>
      <c r="T1058" s="194">
        <f>IFERROR(IF(INDEX([1]Pivot!$AD$1:$BE$65000,$B1058,T$5)=1,1,IF(INDEX([1]Pivot!$B$1:$AB$65000,$B1058,T$5)="",2,0)),0)</f>
        <v>0</v>
      </c>
      <c r="U1058" s="194">
        <f>IFERROR(IF(INDEX([1]Pivot!$AD$1:$BE$65000,$B1058,U$5)=1,1,IF(INDEX([1]Pivot!$B$1:$AB$65000,$B1058,U$5)="",2,0)),0)</f>
        <v>0</v>
      </c>
      <c r="V1058" s="194">
        <f>IFERROR(IF(INDEX([1]Pivot!$AD$1:$BE$65000,$B1058,V$5)=1,1,IF(INDEX([1]Pivot!$B$1:$AB$65000,$B1058,V$5)="",2,0)),0)</f>
        <v>0</v>
      </c>
      <c r="W1058" s="194">
        <f>IFERROR(IF(INDEX([1]Pivot!$AD$1:$BE$65000,$B1058,W$5)=1,1,IF(INDEX([1]Pivot!$B$1:$AB$65000,$B1058,W$5)="",2,0)),0)</f>
        <v>0</v>
      </c>
      <c r="X1058" s="194">
        <f>IFERROR(IF(INDEX([1]Pivot!$AD$1:$BE$65000,$B1058,X$5)=1,1,IF(INDEX([1]Pivot!$B$1:$AB$65000,$B1058,X$5)="",2,0)),0)</f>
        <v>0</v>
      </c>
      <c r="Y1058" s="194">
        <f>IFERROR(IF(INDEX([1]Pivot!$AD$1:$BE$65000,$B1058,Y$5)=1,1,IF(INDEX([1]Pivot!$B$1:$AB$65000,$B1058,Y$5)="",2,0)),0)</f>
        <v>0</v>
      </c>
      <c r="Z1058" s="194">
        <f>IFERROR(IF(INDEX([1]Pivot!$AD$1:$BE$65000,$B1058,Z$5)=1,1,IF(INDEX([1]Pivot!$B$1:$AB$65000,$B1058,Z$5)="",2,0)),0)</f>
        <v>0</v>
      </c>
      <c r="AA1058" s="194">
        <f>IFERROR(IF(INDEX([1]Pivot!$AD$1:$BE$65000,$B1058,AA$5)=1,1,IF(INDEX([1]Pivot!$B$1:$AB$65000,$B1058,AA$5)="",2,0)),0)</f>
        <v>0</v>
      </c>
      <c r="AB1058" s="194">
        <f>IFERROR(IF(INDEX([1]Pivot!$AD$1:$BE$65000,$B1058,AB$5)=1,1,IF(INDEX([1]Pivot!$B$1:$AB$65000,$B1058,AB$5)="",2,0)),0)</f>
        <v>0</v>
      </c>
      <c r="AC1058" s="194">
        <f>IFERROR(IF(INDEX([1]Pivot!$AD$1:$BE$65000,$B1058,AC$5)=1,1,IF(INDEX([1]Pivot!$B$1:$AB$65000,$B1058,AC$5)="",2,0)),0)</f>
        <v>0</v>
      </c>
      <c r="AD1058" s="313">
        <f>IFERROR(IF(INDEX([1]Pivot!$BF$1:$CG$65000,$B1058,AD$5)=1,1,IF(INDEX([1]Pivot!$B$1:$AB$65000,$B1058,AD$5)="",2,0)),0)</f>
        <v>0</v>
      </c>
      <c r="AE1058" s="313">
        <f>IFERROR(IF(INDEX([1]Pivot!$BF$1:$CG$65000,$B1058,AE$5)=1,1,IF(INDEX([1]Pivot!$B$1:$AB$65000,$B1058,AE$5)="",2,0)),0)</f>
        <v>0</v>
      </c>
      <c r="AF1058" s="313">
        <f>IFERROR(IF(INDEX([1]Pivot!$BF$1:$CG$65000,$B1058,AF$5)=1,1,IF(INDEX([1]Pivot!$B$1:$AB$65000,$B1058,AF$5)="",2,0)),0)</f>
        <v>0</v>
      </c>
      <c r="AG1058" s="313">
        <f>IFERROR(IF(INDEX([1]Pivot!$BF$1:$CG$65000,$B1058,AG$5)=1,1,IF(INDEX([1]Pivot!$B$1:$AB$65000,$B1058,AG$5)="",2,0)),0)</f>
        <v>0</v>
      </c>
      <c r="AH1058" s="313">
        <f>IFERROR(IF(INDEX([1]Pivot!$BF$1:$CG$65000,$B1058,AH$5)=1,1,IF(INDEX([1]Pivot!$B$1:$AB$65000,$B1058,AH$5)="",2,0)),0)</f>
        <v>0</v>
      </c>
      <c r="AI1058" s="313">
        <f>IFERROR(IF(INDEX([1]Pivot!$BF$1:$CG$65000,$B1058,AI$5)=1,1,IF(INDEX([1]Pivot!$B$1:$AB$65000,$B1058,AI$5)="",2,0)),0)</f>
        <v>0</v>
      </c>
      <c r="AJ1058" s="313">
        <f>IFERROR(IF(INDEX([1]Pivot!$BF$1:$CG$65000,$B1058,AJ$5)=1,1,IF(INDEX([1]Pivot!$B$1:$AB$65000,$B1058,AJ$5)="",2,0)),0)</f>
        <v>0</v>
      </c>
      <c r="AK1058" s="313">
        <f>IFERROR(IF(INDEX([1]Pivot!$BF$1:$CG$65000,$B1058,AK$5)=1,1,IF(INDEX([1]Pivot!$B$1:$AB$65000,$B1058,AK$5)="",2,0)),0)</f>
        <v>0</v>
      </c>
      <c r="AL1058" s="313">
        <f>IFERROR(IF(INDEX([1]Pivot!$BF$1:$CG$65000,$B1058,AL$5)=1,1,IF(INDEX([1]Pivot!$B$1:$AB$65000,$B1058,AL$5)="",2,0)),0)</f>
        <v>0</v>
      </c>
      <c r="AM1058" s="313">
        <f>IFERROR(IF(INDEX([1]Pivot!$BF$1:$CG$65000,$B1058,AM$5)=1,1,IF(INDEX([1]Pivot!$B$1:$AB$65000,$B1058,AM$5)="",2,0)),0)</f>
        <v>0</v>
      </c>
      <c r="AN1058" s="313">
        <f>IFERROR(IF(INDEX([1]Pivot!$BF$1:$CG$65000,$B1058,AN$5)=1,1,IF(INDEX([1]Pivot!$B$1:$AB$65000,$B1058,AN$5)="",2,0)),0)</f>
        <v>0</v>
      </c>
      <c r="AO1058" s="313">
        <f>IFERROR(IF(INDEX([1]Pivot!$BF$1:$CG$65000,$B1058,AO$5)=1,1,IF(INDEX([1]Pivot!$B$1:$AB$65000,$B1058,AO$5)="",2,0)),0)</f>
        <v>0</v>
      </c>
      <c r="AP1058" s="313">
        <f>IFERROR(IF(INDEX([1]Pivot!$BF$1:$CG$65000,$B1058,AP$5)=1,1,IF(INDEX([1]Pivot!$B$1:$AB$65000,$B1058,AP$5)="",2,0)),0)</f>
        <v>0</v>
      </c>
      <c r="AQ1058" s="313">
        <f>IFERROR(IF(INDEX([1]Pivot!$BF$1:$CG$65000,$B1058,AQ$5)=1,1,IF(INDEX([1]Pivot!$B$1:$AB$65000,$B1058,AQ$5)="",2,0)),0)</f>
        <v>0</v>
      </c>
      <c r="AR1058" s="313">
        <f>IFERROR(IF(INDEX([1]Pivot!$BF$1:$CG$65000,$B1058,AR$5)=1,1,IF(INDEX([1]Pivot!$B$1:$AB$65000,$B1058,AR$5)="",2,0)),0)</f>
        <v>0</v>
      </c>
      <c r="AS1058" s="312"/>
      <c r="AT1058" s="313">
        <f>IFERROR(IF(INDEX([1]Pivot!$BF$1:$CG$65000,$B1058,AT$5)=1,1,IF(INDEX([1]Pivot!$B$1:$AB$65000,$B1058,AT$5)="",2,0)),0)</f>
        <v>0</v>
      </c>
      <c r="AU1058" s="313">
        <f>IFERROR(IF(INDEX([1]Pivot!$BF$1:$CG$65000,$B1058,AU$5)=1,1,IF(INDEX([1]Pivot!$B$1:$AB$65000,$B1058,AU$5)="",2,0)),0)</f>
        <v>0</v>
      </c>
      <c r="AV1058" s="313">
        <f>IFERROR(IF(INDEX([1]Pivot!$BF$1:$CG$65000,$B1058,AV$5)=1,1,IF(INDEX([1]Pivot!$B$1:$AB$65000,$B1058,AV$5)="",2,0)),0)</f>
        <v>0</v>
      </c>
      <c r="AW1058" s="313">
        <f>IFERROR(IF(INDEX([1]Pivot!$BF$1:$CG$65000,$B1058,AW$5)=1,1,IF(INDEX([1]Pivot!$B$1:$AB$65000,$B1058,AW$5)="",2,0)),0)</f>
        <v>0</v>
      </c>
      <c r="AX1058" s="313">
        <f>IFERROR(IF(INDEX([1]Pivot!$BF$1:$CG$65000,$B1058,AX$5)=1,1,IF(INDEX([1]Pivot!$B$1:$AB$65000,$B1058,AX$5)="",2,0)),0)</f>
        <v>0</v>
      </c>
      <c r="AY1058" s="313">
        <f>IFERROR(IF(INDEX([1]Pivot!$BF$1:$CG$65000,$B1058,AY$5)=1,1,IF(INDEX([1]Pivot!$B$1:$AB$65000,$B1058,AY$5)="",2,0)),0)</f>
        <v>0</v>
      </c>
      <c r="AZ1058" s="313">
        <f>IFERROR(IF(INDEX([1]Pivot!$BF$1:$CG$65000,$B1058,AZ$5)=1,1,IF(INDEX([1]Pivot!$B$1:$AB$65000,$B1058,AZ$5)="",2,0)),0)</f>
        <v>0</v>
      </c>
      <c r="BA1058" s="313">
        <f>IFERROR(IF(INDEX([1]Pivot!$BF$1:$CG$65000,$B1058,BA$5)=1,1,IF(INDEX([1]Pivot!$B$1:$AB$65000,$B1058,BA$5)="",2,0)),0)</f>
        <v>0</v>
      </c>
      <c r="BB1058" s="313">
        <f>IFERROR(IF(INDEX([1]Pivot!$BF$1:$CG$65000,$B1058,BB$5)=1,1,IF(INDEX([1]Pivot!$B$1:$AB$65000,$B1058,BB$5)="",2,0)),0)</f>
        <v>0</v>
      </c>
      <c r="BC1058" s="313">
        <f>IFERROR(IF(INDEX([1]Pivot!$BF$1:$CG$65000,$B1058,BC$5)=1,1,IF(INDEX([1]Pivot!$B$1:$AB$65000,$B1058,BC$5)="",2,0)),0)</f>
        <v>0</v>
      </c>
      <c r="BD1058" s="313">
        <f>IFERROR(IF(INDEX([1]Pivot!$BF$1:$CG$65000,$B1058,BD$5)=1,1,IF(INDEX([1]Pivot!$B$1:$AB$65000,$B1058,BD$5)="",2,0)),0)</f>
        <v>0</v>
      </c>
    </row>
    <row r="1059" spans="1:56" x14ac:dyDescent="0.25">
      <c r="A1059" s="288">
        <f>'[2]Raw Milk Prices'!A1059</f>
        <v>0</v>
      </c>
      <c r="B1059" s="296" t="e">
        <f>MATCH(DATE(LEFT('[2]Raw Milk Prices'!$A1059,4),RIGHT('[2]Raw Milk Prices'!$A1059,2),1),[1]Pivot!$A$1:$A$65000,0)</f>
        <v>#VALUE!</v>
      </c>
      <c r="C1059" s="194">
        <f>IFERROR(IF(INDEX([1]Pivot!$AD$1:$BE$65000,$B1059,C$5)=1,1,IF(INDEX([1]Pivot!$B$1:$AB$65000,$B1059,C$5)="",2,0)),0)</f>
        <v>0</v>
      </c>
      <c r="D1059" s="194">
        <f>IFERROR(IF(INDEX([1]Pivot!$AD$1:$BE$65000,$B1059,D$5)=1,1,IF(INDEX([1]Pivot!$B$1:$AB$65000,$B1059,D$5)="",2,0)),0)</f>
        <v>0</v>
      </c>
      <c r="E1059" s="194">
        <f>IFERROR(IF(INDEX([1]Pivot!$AD$1:$BE$65000,$B1059,E$5)=1,1,IF(INDEX([1]Pivot!$B$1:$AB$65000,$B1059,E$5)="",2,0)),0)</f>
        <v>0</v>
      </c>
      <c r="F1059" s="194">
        <f>IFERROR(IF(INDEX([1]Pivot!$AD$1:$BE$65000,$B1059,F$5)=1,1,IF(INDEX([1]Pivot!$B$1:$AB$65000,$B1059,F$5)="",2,0)),0)</f>
        <v>0</v>
      </c>
      <c r="G1059" s="194">
        <f>IFERROR(IF(INDEX([1]Pivot!$AD$1:$BE$65000,$B1059,G$5)=1,1,IF(INDEX([1]Pivot!$B$1:$AB$65000,$B1059,G$5)="",2,0)),0)</f>
        <v>0</v>
      </c>
      <c r="H1059" s="194">
        <f>IFERROR(IF(INDEX([1]Pivot!$AD$1:$BE$65000,$B1059,H$5)=1,1,IF(INDEX([1]Pivot!$B$1:$AB$65000,$B1059,H$5)="",2,0)),0)</f>
        <v>0</v>
      </c>
      <c r="I1059" s="194">
        <f>IFERROR(IF(INDEX([1]Pivot!$AD$1:$BE$65000,$B1059,I$5)=1,1,IF(INDEX([1]Pivot!$B$1:$AB$65000,$B1059,I$5)="",2,0)),0)</f>
        <v>0</v>
      </c>
      <c r="J1059" s="194">
        <f>IFERROR(IF(INDEX([1]Pivot!$AD$1:$BE$65000,$B1059,J$5)=1,1,IF(INDEX([1]Pivot!$B$1:$AB$65000,$B1059,J$5)="",2,0)),0)</f>
        <v>0</v>
      </c>
      <c r="K1059" s="194">
        <f>IFERROR(IF(INDEX([1]Pivot!$AD$1:$BE$65000,$B1059,K$5)=1,1,IF(INDEX([1]Pivot!$B$1:$AB$65000,$B1059,K$5)="",2,0)),0)</f>
        <v>0</v>
      </c>
      <c r="L1059" s="194">
        <f>IFERROR(IF(INDEX([1]Pivot!$AD$1:$BE$65000,$B1059,L$5)=1,1,IF(INDEX([1]Pivot!$B$1:$AB$65000,$B1059,L$5)="",2,0)),0)</f>
        <v>0</v>
      </c>
      <c r="M1059" s="194">
        <f>IFERROR(IF(INDEX([1]Pivot!$AD$1:$BE$65000,$B1059,M$5)=1,1,IF(INDEX([1]Pivot!$B$1:$AB$65000,$B1059,M$5)="",2,0)),0)</f>
        <v>0</v>
      </c>
      <c r="N1059" s="194">
        <f>IFERROR(IF(INDEX([1]Pivot!$AD$1:$BE$65000,$B1059,N$5)=1,1,IF(INDEX([1]Pivot!$B$1:$AB$65000,$B1059,N$5)="",2,0)),0)</f>
        <v>0</v>
      </c>
      <c r="O1059" s="194">
        <f>IFERROR(IF(INDEX([1]Pivot!$AD$1:$BE$65000,$B1059,O$5)=1,1,IF(INDEX([1]Pivot!$B$1:$AB$65000,$B1059,O$5)="",2,0)),0)</f>
        <v>0</v>
      </c>
      <c r="P1059" s="194">
        <f>IFERROR(IF(INDEX([1]Pivot!$AD$1:$BE$65000,$B1059,P$5)=1,1,IF(INDEX([1]Pivot!$B$1:$AB$65000,$B1059,P$5)="",2,0)),0)</f>
        <v>0</v>
      </c>
      <c r="Q1059" s="194">
        <f>IFERROR(IF(INDEX([1]Pivot!$AD$1:$BE$65000,$B1059,Q$5)=1,1,IF(INDEX([1]Pivot!$B$1:$AB$65000,$B1059,Q$5)="",2,0)),0)</f>
        <v>0</v>
      </c>
      <c r="R1059" s="312"/>
      <c r="S1059" s="194">
        <f>IFERROR(IF(INDEX([1]Pivot!$AD$1:$BE$65000,$B1059,S$5)=1,1,IF(INDEX([1]Pivot!$B$1:$AB$65000,$B1059,S$5)="",2,0)),0)</f>
        <v>0</v>
      </c>
      <c r="T1059" s="194">
        <f>IFERROR(IF(INDEX([1]Pivot!$AD$1:$BE$65000,$B1059,T$5)=1,1,IF(INDEX([1]Pivot!$B$1:$AB$65000,$B1059,T$5)="",2,0)),0)</f>
        <v>0</v>
      </c>
      <c r="U1059" s="194">
        <f>IFERROR(IF(INDEX([1]Pivot!$AD$1:$BE$65000,$B1059,U$5)=1,1,IF(INDEX([1]Pivot!$B$1:$AB$65000,$B1059,U$5)="",2,0)),0)</f>
        <v>0</v>
      </c>
      <c r="V1059" s="194">
        <f>IFERROR(IF(INDEX([1]Pivot!$AD$1:$BE$65000,$B1059,V$5)=1,1,IF(INDEX([1]Pivot!$B$1:$AB$65000,$B1059,V$5)="",2,0)),0)</f>
        <v>0</v>
      </c>
      <c r="W1059" s="194">
        <f>IFERROR(IF(INDEX([1]Pivot!$AD$1:$BE$65000,$B1059,W$5)=1,1,IF(INDEX([1]Pivot!$B$1:$AB$65000,$B1059,W$5)="",2,0)),0)</f>
        <v>0</v>
      </c>
      <c r="X1059" s="194">
        <f>IFERROR(IF(INDEX([1]Pivot!$AD$1:$BE$65000,$B1059,X$5)=1,1,IF(INDEX([1]Pivot!$B$1:$AB$65000,$B1059,X$5)="",2,0)),0)</f>
        <v>0</v>
      </c>
      <c r="Y1059" s="194">
        <f>IFERROR(IF(INDEX([1]Pivot!$AD$1:$BE$65000,$B1059,Y$5)=1,1,IF(INDEX([1]Pivot!$B$1:$AB$65000,$B1059,Y$5)="",2,0)),0)</f>
        <v>0</v>
      </c>
      <c r="Z1059" s="194">
        <f>IFERROR(IF(INDEX([1]Pivot!$AD$1:$BE$65000,$B1059,Z$5)=1,1,IF(INDEX([1]Pivot!$B$1:$AB$65000,$B1059,Z$5)="",2,0)),0)</f>
        <v>0</v>
      </c>
      <c r="AA1059" s="194">
        <f>IFERROR(IF(INDEX([1]Pivot!$AD$1:$BE$65000,$B1059,AA$5)=1,1,IF(INDEX([1]Pivot!$B$1:$AB$65000,$B1059,AA$5)="",2,0)),0)</f>
        <v>0</v>
      </c>
      <c r="AB1059" s="194">
        <f>IFERROR(IF(INDEX([1]Pivot!$AD$1:$BE$65000,$B1059,AB$5)=1,1,IF(INDEX([1]Pivot!$B$1:$AB$65000,$B1059,AB$5)="",2,0)),0)</f>
        <v>0</v>
      </c>
      <c r="AC1059" s="194">
        <f>IFERROR(IF(INDEX([1]Pivot!$AD$1:$BE$65000,$B1059,AC$5)=1,1,IF(INDEX([1]Pivot!$B$1:$AB$65000,$B1059,AC$5)="",2,0)),0)</f>
        <v>0</v>
      </c>
      <c r="AD1059" s="313">
        <f>IFERROR(IF(INDEX([1]Pivot!$BF$1:$CG$65000,$B1059,AD$5)=1,1,IF(INDEX([1]Pivot!$B$1:$AB$65000,$B1059,AD$5)="",2,0)),0)</f>
        <v>0</v>
      </c>
      <c r="AE1059" s="313">
        <f>IFERROR(IF(INDEX([1]Pivot!$BF$1:$CG$65000,$B1059,AE$5)=1,1,IF(INDEX([1]Pivot!$B$1:$AB$65000,$B1059,AE$5)="",2,0)),0)</f>
        <v>0</v>
      </c>
      <c r="AF1059" s="313">
        <f>IFERROR(IF(INDEX([1]Pivot!$BF$1:$CG$65000,$B1059,AF$5)=1,1,IF(INDEX([1]Pivot!$B$1:$AB$65000,$B1059,AF$5)="",2,0)),0)</f>
        <v>0</v>
      </c>
      <c r="AG1059" s="313">
        <f>IFERROR(IF(INDEX([1]Pivot!$BF$1:$CG$65000,$B1059,AG$5)=1,1,IF(INDEX([1]Pivot!$B$1:$AB$65000,$B1059,AG$5)="",2,0)),0)</f>
        <v>0</v>
      </c>
      <c r="AH1059" s="313">
        <f>IFERROR(IF(INDEX([1]Pivot!$BF$1:$CG$65000,$B1059,AH$5)=1,1,IF(INDEX([1]Pivot!$B$1:$AB$65000,$B1059,AH$5)="",2,0)),0)</f>
        <v>0</v>
      </c>
      <c r="AI1059" s="313">
        <f>IFERROR(IF(INDEX([1]Pivot!$BF$1:$CG$65000,$B1059,AI$5)=1,1,IF(INDEX([1]Pivot!$B$1:$AB$65000,$B1059,AI$5)="",2,0)),0)</f>
        <v>0</v>
      </c>
      <c r="AJ1059" s="313">
        <f>IFERROR(IF(INDEX([1]Pivot!$BF$1:$CG$65000,$B1059,AJ$5)=1,1,IF(INDEX([1]Pivot!$B$1:$AB$65000,$B1059,AJ$5)="",2,0)),0)</f>
        <v>0</v>
      </c>
      <c r="AK1059" s="313">
        <f>IFERROR(IF(INDEX([1]Pivot!$BF$1:$CG$65000,$B1059,AK$5)=1,1,IF(INDEX([1]Pivot!$B$1:$AB$65000,$B1059,AK$5)="",2,0)),0)</f>
        <v>0</v>
      </c>
      <c r="AL1059" s="313">
        <f>IFERROR(IF(INDEX([1]Pivot!$BF$1:$CG$65000,$B1059,AL$5)=1,1,IF(INDEX([1]Pivot!$B$1:$AB$65000,$B1059,AL$5)="",2,0)),0)</f>
        <v>0</v>
      </c>
      <c r="AM1059" s="313">
        <f>IFERROR(IF(INDEX([1]Pivot!$BF$1:$CG$65000,$B1059,AM$5)=1,1,IF(INDEX([1]Pivot!$B$1:$AB$65000,$B1059,AM$5)="",2,0)),0)</f>
        <v>0</v>
      </c>
      <c r="AN1059" s="313">
        <f>IFERROR(IF(INDEX([1]Pivot!$BF$1:$CG$65000,$B1059,AN$5)=1,1,IF(INDEX([1]Pivot!$B$1:$AB$65000,$B1059,AN$5)="",2,0)),0)</f>
        <v>0</v>
      </c>
      <c r="AO1059" s="313">
        <f>IFERROR(IF(INDEX([1]Pivot!$BF$1:$CG$65000,$B1059,AO$5)=1,1,IF(INDEX([1]Pivot!$B$1:$AB$65000,$B1059,AO$5)="",2,0)),0)</f>
        <v>0</v>
      </c>
      <c r="AP1059" s="313">
        <f>IFERROR(IF(INDEX([1]Pivot!$BF$1:$CG$65000,$B1059,AP$5)=1,1,IF(INDEX([1]Pivot!$B$1:$AB$65000,$B1059,AP$5)="",2,0)),0)</f>
        <v>0</v>
      </c>
      <c r="AQ1059" s="313">
        <f>IFERROR(IF(INDEX([1]Pivot!$BF$1:$CG$65000,$B1059,AQ$5)=1,1,IF(INDEX([1]Pivot!$B$1:$AB$65000,$B1059,AQ$5)="",2,0)),0)</f>
        <v>0</v>
      </c>
      <c r="AR1059" s="313">
        <f>IFERROR(IF(INDEX([1]Pivot!$BF$1:$CG$65000,$B1059,AR$5)=1,1,IF(INDEX([1]Pivot!$B$1:$AB$65000,$B1059,AR$5)="",2,0)),0)</f>
        <v>0</v>
      </c>
      <c r="AS1059" s="312"/>
      <c r="AT1059" s="313">
        <f>IFERROR(IF(INDEX([1]Pivot!$BF$1:$CG$65000,$B1059,AT$5)=1,1,IF(INDEX([1]Pivot!$B$1:$AB$65000,$B1059,AT$5)="",2,0)),0)</f>
        <v>0</v>
      </c>
      <c r="AU1059" s="313">
        <f>IFERROR(IF(INDEX([1]Pivot!$BF$1:$CG$65000,$B1059,AU$5)=1,1,IF(INDEX([1]Pivot!$B$1:$AB$65000,$B1059,AU$5)="",2,0)),0)</f>
        <v>0</v>
      </c>
      <c r="AV1059" s="313">
        <f>IFERROR(IF(INDEX([1]Pivot!$BF$1:$CG$65000,$B1059,AV$5)=1,1,IF(INDEX([1]Pivot!$B$1:$AB$65000,$B1059,AV$5)="",2,0)),0)</f>
        <v>0</v>
      </c>
      <c r="AW1059" s="313">
        <f>IFERROR(IF(INDEX([1]Pivot!$BF$1:$CG$65000,$B1059,AW$5)=1,1,IF(INDEX([1]Pivot!$B$1:$AB$65000,$B1059,AW$5)="",2,0)),0)</f>
        <v>0</v>
      </c>
      <c r="AX1059" s="313">
        <f>IFERROR(IF(INDEX([1]Pivot!$BF$1:$CG$65000,$B1059,AX$5)=1,1,IF(INDEX([1]Pivot!$B$1:$AB$65000,$B1059,AX$5)="",2,0)),0)</f>
        <v>0</v>
      </c>
      <c r="AY1059" s="313">
        <f>IFERROR(IF(INDEX([1]Pivot!$BF$1:$CG$65000,$B1059,AY$5)=1,1,IF(INDEX([1]Pivot!$B$1:$AB$65000,$B1059,AY$5)="",2,0)),0)</f>
        <v>0</v>
      </c>
      <c r="AZ1059" s="313">
        <f>IFERROR(IF(INDEX([1]Pivot!$BF$1:$CG$65000,$B1059,AZ$5)=1,1,IF(INDEX([1]Pivot!$B$1:$AB$65000,$B1059,AZ$5)="",2,0)),0)</f>
        <v>0</v>
      </c>
      <c r="BA1059" s="313">
        <f>IFERROR(IF(INDEX([1]Pivot!$BF$1:$CG$65000,$B1059,BA$5)=1,1,IF(INDEX([1]Pivot!$B$1:$AB$65000,$B1059,BA$5)="",2,0)),0)</f>
        <v>0</v>
      </c>
      <c r="BB1059" s="313">
        <f>IFERROR(IF(INDEX([1]Pivot!$BF$1:$CG$65000,$B1059,BB$5)=1,1,IF(INDEX([1]Pivot!$B$1:$AB$65000,$B1059,BB$5)="",2,0)),0)</f>
        <v>0</v>
      </c>
      <c r="BC1059" s="313">
        <f>IFERROR(IF(INDEX([1]Pivot!$BF$1:$CG$65000,$B1059,BC$5)=1,1,IF(INDEX([1]Pivot!$B$1:$AB$65000,$B1059,BC$5)="",2,0)),0)</f>
        <v>0</v>
      </c>
      <c r="BD1059" s="313">
        <f>IFERROR(IF(INDEX([1]Pivot!$BF$1:$CG$65000,$B1059,BD$5)=1,1,IF(INDEX([1]Pivot!$B$1:$AB$65000,$B1059,BD$5)="",2,0)),0)</f>
        <v>0</v>
      </c>
    </row>
    <row r="1060" spans="1:56" x14ac:dyDescent="0.25">
      <c r="A1060" s="288">
        <f>'[2]Raw Milk Prices'!A1060</f>
        <v>0</v>
      </c>
      <c r="B1060" s="296" t="e">
        <f>MATCH(DATE(LEFT('[2]Raw Milk Prices'!$A1060,4),RIGHT('[2]Raw Milk Prices'!$A1060,2),1),[1]Pivot!$A$1:$A$65000,0)</f>
        <v>#VALUE!</v>
      </c>
      <c r="C1060" s="194">
        <f>IFERROR(IF(INDEX([1]Pivot!$AD$1:$BE$65000,$B1060,C$5)=1,1,IF(INDEX([1]Pivot!$B$1:$AB$65000,$B1060,C$5)="",2,0)),0)</f>
        <v>0</v>
      </c>
      <c r="D1060" s="194">
        <f>IFERROR(IF(INDEX([1]Pivot!$AD$1:$BE$65000,$B1060,D$5)=1,1,IF(INDEX([1]Pivot!$B$1:$AB$65000,$B1060,D$5)="",2,0)),0)</f>
        <v>0</v>
      </c>
      <c r="E1060" s="194">
        <f>IFERROR(IF(INDEX([1]Pivot!$AD$1:$BE$65000,$B1060,E$5)=1,1,IF(INDEX([1]Pivot!$B$1:$AB$65000,$B1060,E$5)="",2,0)),0)</f>
        <v>0</v>
      </c>
      <c r="F1060" s="194">
        <f>IFERROR(IF(INDEX([1]Pivot!$AD$1:$BE$65000,$B1060,F$5)=1,1,IF(INDEX([1]Pivot!$B$1:$AB$65000,$B1060,F$5)="",2,0)),0)</f>
        <v>0</v>
      </c>
      <c r="G1060" s="194">
        <f>IFERROR(IF(INDEX([1]Pivot!$AD$1:$BE$65000,$B1060,G$5)=1,1,IF(INDEX([1]Pivot!$B$1:$AB$65000,$B1060,G$5)="",2,0)),0)</f>
        <v>0</v>
      </c>
      <c r="H1060" s="194">
        <f>IFERROR(IF(INDEX([1]Pivot!$AD$1:$BE$65000,$B1060,H$5)=1,1,IF(INDEX([1]Pivot!$B$1:$AB$65000,$B1060,H$5)="",2,0)),0)</f>
        <v>0</v>
      </c>
      <c r="I1060" s="194">
        <f>IFERROR(IF(INDEX([1]Pivot!$AD$1:$BE$65000,$B1060,I$5)=1,1,IF(INDEX([1]Pivot!$B$1:$AB$65000,$B1060,I$5)="",2,0)),0)</f>
        <v>0</v>
      </c>
      <c r="J1060" s="194">
        <f>IFERROR(IF(INDEX([1]Pivot!$AD$1:$BE$65000,$B1060,J$5)=1,1,IF(INDEX([1]Pivot!$B$1:$AB$65000,$B1060,J$5)="",2,0)),0)</f>
        <v>0</v>
      </c>
      <c r="K1060" s="194">
        <f>IFERROR(IF(INDEX([1]Pivot!$AD$1:$BE$65000,$B1060,K$5)=1,1,IF(INDEX([1]Pivot!$B$1:$AB$65000,$B1060,K$5)="",2,0)),0)</f>
        <v>0</v>
      </c>
      <c r="L1060" s="194">
        <f>IFERROR(IF(INDEX([1]Pivot!$AD$1:$BE$65000,$B1060,L$5)=1,1,IF(INDEX([1]Pivot!$B$1:$AB$65000,$B1060,L$5)="",2,0)),0)</f>
        <v>0</v>
      </c>
      <c r="M1060" s="194">
        <f>IFERROR(IF(INDEX([1]Pivot!$AD$1:$BE$65000,$B1060,M$5)=1,1,IF(INDEX([1]Pivot!$B$1:$AB$65000,$B1060,M$5)="",2,0)),0)</f>
        <v>0</v>
      </c>
      <c r="N1060" s="194">
        <f>IFERROR(IF(INDEX([1]Pivot!$AD$1:$BE$65000,$B1060,N$5)=1,1,IF(INDEX([1]Pivot!$B$1:$AB$65000,$B1060,N$5)="",2,0)),0)</f>
        <v>0</v>
      </c>
      <c r="O1060" s="194">
        <f>IFERROR(IF(INDEX([1]Pivot!$AD$1:$BE$65000,$B1060,O$5)=1,1,IF(INDEX([1]Pivot!$B$1:$AB$65000,$B1060,O$5)="",2,0)),0)</f>
        <v>0</v>
      </c>
      <c r="P1060" s="194">
        <f>IFERROR(IF(INDEX([1]Pivot!$AD$1:$BE$65000,$B1060,P$5)=1,1,IF(INDEX([1]Pivot!$B$1:$AB$65000,$B1060,P$5)="",2,0)),0)</f>
        <v>0</v>
      </c>
      <c r="Q1060" s="194">
        <f>IFERROR(IF(INDEX([1]Pivot!$AD$1:$BE$65000,$B1060,Q$5)=1,1,IF(INDEX([1]Pivot!$B$1:$AB$65000,$B1060,Q$5)="",2,0)),0)</f>
        <v>0</v>
      </c>
      <c r="R1060" s="312"/>
      <c r="S1060" s="194">
        <f>IFERROR(IF(INDEX([1]Pivot!$AD$1:$BE$65000,$B1060,S$5)=1,1,IF(INDEX([1]Pivot!$B$1:$AB$65000,$B1060,S$5)="",2,0)),0)</f>
        <v>0</v>
      </c>
      <c r="T1060" s="194">
        <f>IFERROR(IF(INDEX([1]Pivot!$AD$1:$BE$65000,$B1060,T$5)=1,1,IF(INDEX([1]Pivot!$B$1:$AB$65000,$B1060,T$5)="",2,0)),0)</f>
        <v>0</v>
      </c>
      <c r="U1060" s="194">
        <f>IFERROR(IF(INDEX([1]Pivot!$AD$1:$BE$65000,$B1060,U$5)=1,1,IF(INDEX([1]Pivot!$B$1:$AB$65000,$B1060,U$5)="",2,0)),0)</f>
        <v>0</v>
      </c>
      <c r="V1060" s="194">
        <f>IFERROR(IF(INDEX([1]Pivot!$AD$1:$BE$65000,$B1060,V$5)=1,1,IF(INDEX([1]Pivot!$B$1:$AB$65000,$B1060,V$5)="",2,0)),0)</f>
        <v>0</v>
      </c>
      <c r="W1060" s="194">
        <f>IFERROR(IF(INDEX([1]Pivot!$AD$1:$BE$65000,$B1060,W$5)=1,1,IF(INDEX([1]Pivot!$B$1:$AB$65000,$B1060,W$5)="",2,0)),0)</f>
        <v>0</v>
      </c>
      <c r="X1060" s="194">
        <f>IFERROR(IF(INDEX([1]Pivot!$AD$1:$BE$65000,$B1060,X$5)=1,1,IF(INDEX([1]Pivot!$B$1:$AB$65000,$B1060,X$5)="",2,0)),0)</f>
        <v>0</v>
      </c>
      <c r="Y1060" s="194">
        <f>IFERROR(IF(INDEX([1]Pivot!$AD$1:$BE$65000,$B1060,Y$5)=1,1,IF(INDEX([1]Pivot!$B$1:$AB$65000,$B1060,Y$5)="",2,0)),0)</f>
        <v>0</v>
      </c>
      <c r="Z1060" s="194">
        <f>IFERROR(IF(INDEX([1]Pivot!$AD$1:$BE$65000,$B1060,Z$5)=1,1,IF(INDEX([1]Pivot!$B$1:$AB$65000,$B1060,Z$5)="",2,0)),0)</f>
        <v>0</v>
      </c>
      <c r="AA1060" s="194">
        <f>IFERROR(IF(INDEX([1]Pivot!$AD$1:$BE$65000,$B1060,AA$5)=1,1,IF(INDEX([1]Pivot!$B$1:$AB$65000,$B1060,AA$5)="",2,0)),0)</f>
        <v>0</v>
      </c>
      <c r="AB1060" s="194">
        <f>IFERROR(IF(INDEX([1]Pivot!$AD$1:$BE$65000,$B1060,AB$5)=1,1,IF(INDEX([1]Pivot!$B$1:$AB$65000,$B1060,AB$5)="",2,0)),0)</f>
        <v>0</v>
      </c>
      <c r="AC1060" s="194">
        <f>IFERROR(IF(INDEX([1]Pivot!$AD$1:$BE$65000,$B1060,AC$5)=1,1,IF(INDEX([1]Pivot!$B$1:$AB$65000,$B1060,AC$5)="",2,0)),0)</f>
        <v>0</v>
      </c>
      <c r="AD1060" s="313">
        <f>IFERROR(IF(INDEX([1]Pivot!$BF$1:$CG$65000,$B1060,AD$5)=1,1,IF(INDEX([1]Pivot!$B$1:$AB$65000,$B1060,AD$5)="",2,0)),0)</f>
        <v>0</v>
      </c>
      <c r="AE1060" s="313">
        <f>IFERROR(IF(INDEX([1]Pivot!$BF$1:$CG$65000,$B1060,AE$5)=1,1,IF(INDEX([1]Pivot!$B$1:$AB$65000,$B1060,AE$5)="",2,0)),0)</f>
        <v>0</v>
      </c>
      <c r="AF1060" s="313">
        <f>IFERROR(IF(INDEX([1]Pivot!$BF$1:$CG$65000,$B1060,AF$5)=1,1,IF(INDEX([1]Pivot!$B$1:$AB$65000,$B1060,AF$5)="",2,0)),0)</f>
        <v>0</v>
      </c>
      <c r="AG1060" s="313">
        <f>IFERROR(IF(INDEX([1]Pivot!$BF$1:$CG$65000,$B1060,AG$5)=1,1,IF(INDEX([1]Pivot!$B$1:$AB$65000,$B1060,AG$5)="",2,0)),0)</f>
        <v>0</v>
      </c>
      <c r="AH1060" s="313">
        <f>IFERROR(IF(INDEX([1]Pivot!$BF$1:$CG$65000,$B1060,AH$5)=1,1,IF(INDEX([1]Pivot!$B$1:$AB$65000,$B1060,AH$5)="",2,0)),0)</f>
        <v>0</v>
      </c>
      <c r="AI1060" s="313">
        <f>IFERROR(IF(INDEX([1]Pivot!$BF$1:$CG$65000,$B1060,AI$5)=1,1,IF(INDEX([1]Pivot!$B$1:$AB$65000,$B1060,AI$5)="",2,0)),0)</f>
        <v>0</v>
      </c>
      <c r="AJ1060" s="313">
        <f>IFERROR(IF(INDEX([1]Pivot!$BF$1:$CG$65000,$B1060,AJ$5)=1,1,IF(INDEX([1]Pivot!$B$1:$AB$65000,$B1060,AJ$5)="",2,0)),0)</f>
        <v>0</v>
      </c>
      <c r="AK1060" s="313">
        <f>IFERROR(IF(INDEX([1]Pivot!$BF$1:$CG$65000,$B1060,AK$5)=1,1,IF(INDEX([1]Pivot!$B$1:$AB$65000,$B1060,AK$5)="",2,0)),0)</f>
        <v>0</v>
      </c>
      <c r="AL1060" s="313">
        <f>IFERROR(IF(INDEX([1]Pivot!$BF$1:$CG$65000,$B1060,AL$5)=1,1,IF(INDEX([1]Pivot!$B$1:$AB$65000,$B1060,AL$5)="",2,0)),0)</f>
        <v>0</v>
      </c>
      <c r="AM1060" s="313">
        <f>IFERROR(IF(INDEX([1]Pivot!$BF$1:$CG$65000,$B1060,AM$5)=1,1,IF(INDEX([1]Pivot!$B$1:$AB$65000,$B1060,AM$5)="",2,0)),0)</f>
        <v>0</v>
      </c>
      <c r="AN1060" s="313">
        <f>IFERROR(IF(INDEX([1]Pivot!$BF$1:$CG$65000,$B1060,AN$5)=1,1,IF(INDEX([1]Pivot!$B$1:$AB$65000,$B1060,AN$5)="",2,0)),0)</f>
        <v>0</v>
      </c>
      <c r="AO1060" s="313">
        <f>IFERROR(IF(INDEX([1]Pivot!$BF$1:$CG$65000,$B1060,AO$5)=1,1,IF(INDEX([1]Pivot!$B$1:$AB$65000,$B1060,AO$5)="",2,0)),0)</f>
        <v>0</v>
      </c>
      <c r="AP1060" s="313">
        <f>IFERROR(IF(INDEX([1]Pivot!$BF$1:$CG$65000,$B1060,AP$5)=1,1,IF(INDEX([1]Pivot!$B$1:$AB$65000,$B1060,AP$5)="",2,0)),0)</f>
        <v>0</v>
      </c>
      <c r="AQ1060" s="313">
        <f>IFERROR(IF(INDEX([1]Pivot!$BF$1:$CG$65000,$B1060,AQ$5)=1,1,IF(INDEX([1]Pivot!$B$1:$AB$65000,$B1060,AQ$5)="",2,0)),0)</f>
        <v>0</v>
      </c>
      <c r="AR1060" s="313">
        <f>IFERROR(IF(INDEX([1]Pivot!$BF$1:$CG$65000,$B1060,AR$5)=1,1,IF(INDEX([1]Pivot!$B$1:$AB$65000,$B1060,AR$5)="",2,0)),0)</f>
        <v>0</v>
      </c>
      <c r="AS1060" s="312"/>
      <c r="AT1060" s="313">
        <f>IFERROR(IF(INDEX([1]Pivot!$BF$1:$CG$65000,$B1060,AT$5)=1,1,IF(INDEX([1]Pivot!$B$1:$AB$65000,$B1060,AT$5)="",2,0)),0)</f>
        <v>0</v>
      </c>
      <c r="AU1060" s="313">
        <f>IFERROR(IF(INDEX([1]Pivot!$BF$1:$CG$65000,$B1060,AU$5)=1,1,IF(INDEX([1]Pivot!$B$1:$AB$65000,$B1060,AU$5)="",2,0)),0)</f>
        <v>0</v>
      </c>
      <c r="AV1060" s="313">
        <f>IFERROR(IF(INDEX([1]Pivot!$BF$1:$CG$65000,$B1060,AV$5)=1,1,IF(INDEX([1]Pivot!$B$1:$AB$65000,$B1060,AV$5)="",2,0)),0)</f>
        <v>0</v>
      </c>
      <c r="AW1060" s="313">
        <f>IFERROR(IF(INDEX([1]Pivot!$BF$1:$CG$65000,$B1060,AW$5)=1,1,IF(INDEX([1]Pivot!$B$1:$AB$65000,$B1060,AW$5)="",2,0)),0)</f>
        <v>0</v>
      </c>
      <c r="AX1060" s="313">
        <f>IFERROR(IF(INDEX([1]Pivot!$BF$1:$CG$65000,$B1060,AX$5)=1,1,IF(INDEX([1]Pivot!$B$1:$AB$65000,$B1060,AX$5)="",2,0)),0)</f>
        <v>0</v>
      </c>
      <c r="AY1060" s="313">
        <f>IFERROR(IF(INDEX([1]Pivot!$BF$1:$CG$65000,$B1060,AY$5)=1,1,IF(INDEX([1]Pivot!$B$1:$AB$65000,$B1060,AY$5)="",2,0)),0)</f>
        <v>0</v>
      </c>
      <c r="AZ1060" s="313">
        <f>IFERROR(IF(INDEX([1]Pivot!$BF$1:$CG$65000,$B1060,AZ$5)=1,1,IF(INDEX([1]Pivot!$B$1:$AB$65000,$B1060,AZ$5)="",2,0)),0)</f>
        <v>0</v>
      </c>
      <c r="BA1060" s="313">
        <f>IFERROR(IF(INDEX([1]Pivot!$BF$1:$CG$65000,$B1060,BA$5)=1,1,IF(INDEX([1]Pivot!$B$1:$AB$65000,$B1060,BA$5)="",2,0)),0)</f>
        <v>0</v>
      </c>
      <c r="BB1060" s="313">
        <f>IFERROR(IF(INDEX([1]Pivot!$BF$1:$CG$65000,$B1060,BB$5)=1,1,IF(INDEX([1]Pivot!$B$1:$AB$65000,$B1060,BB$5)="",2,0)),0)</f>
        <v>0</v>
      </c>
      <c r="BC1060" s="313">
        <f>IFERROR(IF(INDEX([1]Pivot!$BF$1:$CG$65000,$B1060,BC$5)=1,1,IF(INDEX([1]Pivot!$B$1:$AB$65000,$B1060,BC$5)="",2,0)),0)</f>
        <v>0</v>
      </c>
      <c r="BD1060" s="313">
        <f>IFERROR(IF(INDEX([1]Pivot!$BF$1:$CG$65000,$B1060,BD$5)=1,1,IF(INDEX([1]Pivot!$B$1:$AB$65000,$B1060,BD$5)="",2,0)),0)</f>
        <v>0</v>
      </c>
    </row>
    <row r="1061" spans="1:56" x14ac:dyDescent="0.25">
      <c r="A1061" s="288">
        <f>'[2]Raw Milk Prices'!A1061</f>
        <v>0</v>
      </c>
      <c r="B1061" s="296" t="e">
        <f>MATCH(DATE(LEFT('[2]Raw Milk Prices'!$A1061,4),RIGHT('[2]Raw Milk Prices'!$A1061,2),1),[1]Pivot!$A$1:$A$65000,0)</f>
        <v>#VALUE!</v>
      </c>
      <c r="C1061" s="194">
        <f>IFERROR(IF(INDEX([1]Pivot!$AD$1:$BE$65000,$B1061,C$5)=1,1,IF(INDEX([1]Pivot!$B$1:$AB$65000,$B1061,C$5)="",2,0)),0)</f>
        <v>0</v>
      </c>
      <c r="D1061" s="194">
        <f>IFERROR(IF(INDEX([1]Pivot!$AD$1:$BE$65000,$B1061,D$5)=1,1,IF(INDEX([1]Pivot!$B$1:$AB$65000,$B1061,D$5)="",2,0)),0)</f>
        <v>0</v>
      </c>
      <c r="E1061" s="194">
        <f>IFERROR(IF(INDEX([1]Pivot!$AD$1:$BE$65000,$B1061,E$5)=1,1,IF(INDEX([1]Pivot!$B$1:$AB$65000,$B1061,E$5)="",2,0)),0)</f>
        <v>0</v>
      </c>
      <c r="F1061" s="194">
        <f>IFERROR(IF(INDEX([1]Pivot!$AD$1:$BE$65000,$B1061,F$5)=1,1,IF(INDEX([1]Pivot!$B$1:$AB$65000,$B1061,F$5)="",2,0)),0)</f>
        <v>0</v>
      </c>
      <c r="G1061" s="194">
        <f>IFERROR(IF(INDEX([1]Pivot!$AD$1:$BE$65000,$B1061,G$5)=1,1,IF(INDEX([1]Pivot!$B$1:$AB$65000,$B1061,G$5)="",2,0)),0)</f>
        <v>0</v>
      </c>
      <c r="H1061" s="194">
        <f>IFERROR(IF(INDEX([1]Pivot!$AD$1:$BE$65000,$B1061,H$5)=1,1,IF(INDEX([1]Pivot!$B$1:$AB$65000,$B1061,H$5)="",2,0)),0)</f>
        <v>0</v>
      </c>
      <c r="I1061" s="194">
        <f>IFERROR(IF(INDEX([1]Pivot!$AD$1:$BE$65000,$B1061,I$5)=1,1,IF(INDEX([1]Pivot!$B$1:$AB$65000,$B1061,I$5)="",2,0)),0)</f>
        <v>0</v>
      </c>
      <c r="J1061" s="194">
        <f>IFERROR(IF(INDEX([1]Pivot!$AD$1:$BE$65000,$B1061,J$5)=1,1,IF(INDEX([1]Pivot!$B$1:$AB$65000,$B1061,J$5)="",2,0)),0)</f>
        <v>0</v>
      </c>
      <c r="K1061" s="194">
        <f>IFERROR(IF(INDEX([1]Pivot!$AD$1:$BE$65000,$B1061,K$5)=1,1,IF(INDEX([1]Pivot!$B$1:$AB$65000,$B1061,K$5)="",2,0)),0)</f>
        <v>0</v>
      </c>
      <c r="L1061" s="194">
        <f>IFERROR(IF(INDEX([1]Pivot!$AD$1:$BE$65000,$B1061,L$5)=1,1,IF(INDEX([1]Pivot!$B$1:$AB$65000,$B1061,L$5)="",2,0)),0)</f>
        <v>0</v>
      </c>
      <c r="M1061" s="194">
        <f>IFERROR(IF(INDEX([1]Pivot!$AD$1:$BE$65000,$B1061,M$5)=1,1,IF(INDEX([1]Pivot!$B$1:$AB$65000,$B1061,M$5)="",2,0)),0)</f>
        <v>0</v>
      </c>
      <c r="N1061" s="194">
        <f>IFERROR(IF(INDEX([1]Pivot!$AD$1:$BE$65000,$B1061,N$5)=1,1,IF(INDEX([1]Pivot!$B$1:$AB$65000,$B1061,N$5)="",2,0)),0)</f>
        <v>0</v>
      </c>
      <c r="O1061" s="194">
        <f>IFERROR(IF(INDEX([1]Pivot!$AD$1:$BE$65000,$B1061,O$5)=1,1,IF(INDEX([1]Pivot!$B$1:$AB$65000,$B1061,O$5)="",2,0)),0)</f>
        <v>0</v>
      </c>
      <c r="P1061" s="194">
        <f>IFERROR(IF(INDEX([1]Pivot!$AD$1:$BE$65000,$B1061,P$5)=1,1,IF(INDEX([1]Pivot!$B$1:$AB$65000,$B1061,P$5)="",2,0)),0)</f>
        <v>0</v>
      </c>
      <c r="Q1061" s="194">
        <f>IFERROR(IF(INDEX([1]Pivot!$AD$1:$BE$65000,$B1061,Q$5)=1,1,IF(INDEX([1]Pivot!$B$1:$AB$65000,$B1061,Q$5)="",2,0)),0)</f>
        <v>0</v>
      </c>
      <c r="R1061" s="312"/>
      <c r="S1061" s="194">
        <f>IFERROR(IF(INDEX([1]Pivot!$AD$1:$BE$65000,$B1061,S$5)=1,1,IF(INDEX([1]Pivot!$B$1:$AB$65000,$B1061,S$5)="",2,0)),0)</f>
        <v>0</v>
      </c>
      <c r="T1061" s="194">
        <f>IFERROR(IF(INDEX([1]Pivot!$AD$1:$BE$65000,$B1061,T$5)=1,1,IF(INDEX([1]Pivot!$B$1:$AB$65000,$B1061,T$5)="",2,0)),0)</f>
        <v>0</v>
      </c>
      <c r="U1061" s="194">
        <f>IFERROR(IF(INDEX([1]Pivot!$AD$1:$BE$65000,$B1061,U$5)=1,1,IF(INDEX([1]Pivot!$B$1:$AB$65000,$B1061,U$5)="",2,0)),0)</f>
        <v>0</v>
      </c>
      <c r="V1061" s="194">
        <f>IFERROR(IF(INDEX([1]Pivot!$AD$1:$BE$65000,$B1061,V$5)=1,1,IF(INDEX([1]Pivot!$B$1:$AB$65000,$B1061,V$5)="",2,0)),0)</f>
        <v>0</v>
      </c>
      <c r="W1061" s="194">
        <f>IFERROR(IF(INDEX([1]Pivot!$AD$1:$BE$65000,$B1061,W$5)=1,1,IF(INDEX([1]Pivot!$B$1:$AB$65000,$B1061,W$5)="",2,0)),0)</f>
        <v>0</v>
      </c>
      <c r="X1061" s="194">
        <f>IFERROR(IF(INDEX([1]Pivot!$AD$1:$BE$65000,$B1061,X$5)=1,1,IF(INDEX([1]Pivot!$B$1:$AB$65000,$B1061,X$5)="",2,0)),0)</f>
        <v>0</v>
      </c>
      <c r="Y1061" s="194">
        <f>IFERROR(IF(INDEX([1]Pivot!$AD$1:$BE$65000,$B1061,Y$5)=1,1,IF(INDEX([1]Pivot!$B$1:$AB$65000,$B1061,Y$5)="",2,0)),0)</f>
        <v>0</v>
      </c>
      <c r="Z1061" s="194">
        <f>IFERROR(IF(INDEX([1]Pivot!$AD$1:$BE$65000,$B1061,Z$5)=1,1,IF(INDEX([1]Pivot!$B$1:$AB$65000,$B1061,Z$5)="",2,0)),0)</f>
        <v>0</v>
      </c>
      <c r="AA1061" s="194">
        <f>IFERROR(IF(INDEX([1]Pivot!$AD$1:$BE$65000,$B1061,AA$5)=1,1,IF(INDEX([1]Pivot!$B$1:$AB$65000,$B1061,AA$5)="",2,0)),0)</f>
        <v>0</v>
      </c>
      <c r="AB1061" s="194">
        <f>IFERROR(IF(INDEX([1]Pivot!$AD$1:$BE$65000,$B1061,AB$5)=1,1,IF(INDEX([1]Pivot!$B$1:$AB$65000,$B1061,AB$5)="",2,0)),0)</f>
        <v>0</v>
      </c>
      <c r="AC1061" s="194">
        <f>IFERROR(IF(INDEX([1]Pivot!$AD$1:$BE$65000,$B1061,AC$5)=1,1,IF(INDEX([1]Pivot!$B$1:$AB$65000,$B1061,AC$5)="",2,0)),0)</f>
        <v>0</v>
      </c>
      <c r="AD1061" s="313">
        <f>IFERROR(IF(INDEX([1]Pivot!$BF$1:$CG$65000,$B1061,AD$5)=1,1,IF(INDEX([1]Pivot!$B$1:$AB$65000,$B1061,AD$5)="",2,0)),0)</f>
        <v>0</v>
      </c>
      <c r="AE1061" s="313">
        <f>IFERROR(IF(INDEX([1]Pivot!$BF$1:$CG$65000,$B1061,AE$5)=1,1,IF(INDEX([1]Pivot!$B$1:$AB$65000,$B1061,AE$5)="",2,0)),0)</f>
        <v>0</v>
      </c>
      <c r="AF1061" s="313">
        <f>IFERROR(IF(INDEX([1]Pivot!$BF$1:$CG$65000,$B1061,AF$5)=1,1,IF(INDEX([1]Pivot!$B$1:$AB$65000,$B1061,AF$5)="",2,0)),0)</f>
        <v>0</v>
      </c>
      <c r="AG1061" s="313">
        <f>IFERROR(IF(INDEX([1]Pivot!$BF$1:$CG$65000,$B1061,AG$5)=1,1,IF(INDEX([1]Pivot!$B$1:$AB$65000,$B1061,AG$5)="",2,0)),0)</f>
        <v>0</v>
      </c>
      <c r="AH1061" s="313">
        <f>IFERROR(IF(INDEX([1]Pivot!$BF$1:$CG$65000,$B1061,AH$5)=1,1,IF(INDEX([1]Pivot!$B$1:$AB$65000,$B1061,AH$5)="",2,0)),0)</f>
        <v>0</v>
      </c>
      <c r="AI1061" s="313">
        <f>IFERROR(IF(INDEX([1]Pivot!$BF$1:$CG$65000,$B1061,AI$5)=1,1,IF(INDEX([1]Pivot!$B$1:$AB$65000,$B1061,AI$5)="",2,0)),0)</f>
        <v>0</v>
      </c>
      <c r="AJ1061" s="313">
        <f>IFERROR(IF(INDEX([1]Pivot!$BF$1:$CG$65000,$B1061,AJ$5)=1,1,IF(INDEX([1]Pivot!$B$1:$AB$65000,$B1061,AJ$5)="",2,0)),0)</f>
        <v>0</v>
      </c>
      <c r="AK1061" s="313">
        <f>IFERROR(IF(INDEX([1]Pivot!$BF$1:$CG$65000,$B1061,AK$5)=1,1,IF(INDEX([1]Pivot!$B$1:$AB$65000,$B1061,AK$5)="",2,0)),0)</f>
        <v>0</v>
      </c>
      <c r="AL1061" s="313">
        <f>IFERROR(IF(INDEX([1]Pivot!$BF$1:$CG$65000,$B1061,AL$5)=1,1,IF(INDEX([1]Pivot!$B$1:$AB$65000,$B1061,AL$5)="",2,0)),0)</f>
        <v>0</v>
      </c>
      <c r="AM1061" s="313">
        <f>IFERROR(IF(INDEX([1]Pivot!$BF$1:$CG$65000,$B1061,AM$5)=1,1,IF(INDEX([1]Pivot!$B$1:$AB$65000,$B1061,AM$5)="",2,0)),0)</f>
        <v>0</v>
      </c>
      <c r="AN1061" s="313">
        <f>IFERROR(IF(INDEX([1]Pivot!$BF$1:$CG$65000,$B1061,AN$5)=1,1,IF(INDEX([1]Pivot!$B$1:$AB$65000,$B1061,AN$5)="",2,0)),0)</f>
        <v>0</v>
      </c>
      <c r="AO1061" s="313">
        <f>IFERROR(IF(INDEX([1]Pivot!$BF$1:$CG$65000,$B1061,AO$5)=1,1,IF(INDEX([1]Pivot!$B$1:$AB$65000,$B1061,AO$5)="",2,0)),0)</f>
        <v>0</v>
      </c>
      <c r="AP1061" s="313">
        <f>IFERROR(IF(INDEX([1]Pivot!$BF$1:$CG$65000,$B1061,AP$5)=1,1,IF(INDEX([1]Pivot!$B$1:$AB$65000,$B1061,AP$5)="",2,0)),0)</f>
        <v>0</v>
      </c>
      <c r="AQ1061" s="313">
        <f>IFERROR(IF(INDEX([1]Pivot!$BF$1:$CG$65000,$B1061,AQ$5)=1,1,IF(INDEX([1]Pivot!$B$1:$AB$65000,$B1061,AQ$5)="",2,0)),0)</f>
        <v>0</v>
      </c>
      <c r="AR1061" s="313">
        <f>IFERROR(IF(INDEX([1]Pivot!$BF$1:$CG$65000,$B1061,AR$5)=1,1,IF(INDEX([1]Pivot!$B$1:$AB$65000,$B1061,AR$5)="",2,0)),0)</f>
        <v>0</v>
      </c>
      <c r="AS1061" s="312"/>
      <c r="AT1061" s="313">
        <f>IFERROR(IF(INDEX([1]Pivot!$BF$1:$CG$65000,$B1061,AT$5)=1,1,IF(INDEX([1]Pivot!$B$1:$AB$65000,$B1061,AT$5)="",2,0)),0)</f>
        <v>0</v>
      </c>
      <c r="AU1061" s="313">
        <f>IFERROR(IF(INDEX([1]Pivot!$BF$1:$CG$65000,$B1061,AU$5)=1,1,IF(INDEX([1]Pivot!$B$1:$AB$65000,$B1061,AU$5)="",2,0)),0)</f>
        <v>0</v>
      </c>
      <c r="AV1061" s="313">
        <f>IFERROR(IF(INDEX([1]Pivot!$BF$1:$CG$65000,$B1061,AV$5)=1,1,IF(INDEX([1]Pivot!$B$1:$AB$65000,$B1061,AV$5)="",2,0)),0)</f>
        <v>0</v>
      </c>
      <c r="AW1061" s="313">
        <f>IFERROR(IF(INDEX([1]Pivot!$BF$1:$CG$65000,$B1061,AW$5)=1,1,IF(INDEX([1]Pivot!$B$1:$AB$65000,$B1061,AW$5)="",2,0)),0)</f>
        <v>0</v>
      </c>
      <c r="AX1061" s="313">
        <f>IFERROR(IF(INDEX([1]Pivot!$BF$1:$CG$65000,$B1061,AX$5)=1,1,IF(INDEX([1]Pivot!$B$1:$AB$65000,$B1061,AX$5)="",2,0)),0)</f>
        <v>0</v>
      </c>
      <c r="AY1061" s="313">
        <f>IFERROR(IF(INDEX([1]Pivot!$BF$1:$CG$65000,$B1061,AY$5)=1,1,IF(INDEX([1]Pivot!$B$1:$AB$65000,$B1061,AY$5)="",2,0)),0)</f>
        <v>0</v>
      </c>
      <c r="AZ1061" s="313">
        <f>IFERROR(IF(INDEX([1]Pivot!$BF$1:$CG$65000,$B1061,AZ$5)=1,1,IF(INDEX([1]Pivot!$B$1:$AB$65000,$B1061,AZ$5)="",2,0)),0)</f>
        <v>0</v>
      </c>
      <c r="BA1061" s="313">
        <f>IFERROR(IF(INDEX([1]Pivot!$BF$1:$CG$65000,$B1061,BA$5)=1,1,IF(INDEX([1]Pivot!$B$1:$AB$65000,$B1061,BA$5)="",2,0)),0)</f>
        <v>0</v>
      </c>
      <c r="BB1061" s="313">
        <f>IFERROR(IF(INDEX([1]Pivot!$BF$1:$CG$65000,$B1061,BB$5)=1,1,IF(INDEX([1]Pivot!$B$1:$AB$65000,$B1061,BB$5)="",2,0)),0)</f>
        <v>0</v>
      </c>
      <c r="BC1061" s="313">
        <f>IFERROR(IF(INDEX([1]Pivot!$BF$1:$CG$65000,$B1061,BC$5)=1,1,IF(INDEX([1]Pivot!$B$1:$AB$65000,$B1061,BC$5)="",2,0)),0)</f>
        <v>0</v>
      </c>
      <c r="BD1061" s="313">
        <f>IFERROR(IF(INDEX([1]Pivot!$BF$1:$CG$65000,$B1061,BD$5)=1,1,IF(INDEX([1]Pivot!$B$1:$AB$65000,$B1061,BD$5)="",2,0)),0)</f>
        <v>0</v>
      </c>
    </row>
    <row r="1062" spans="1:56" x14ac:dyDescent="0.25">
      <c r="A1062" s="288">
        <f>'[2]Raw Milk Prices'!A1062</f>
        <v>0</v>
      </c>
      <c r="B1062" s="296" t="e">
        <f>MATCH(DATE(LEFT('[2]Raw Milk Prices'!$A1062,4),RIGHT('[2]Raw Milk Prices'!$A1062,2),1),[1]Pivot!$A$1:$A$65000,0)</f>
        <v>#VALUE!</v>
      </c>
      <c r="C1062" s="194">
        <f>IFERROR(IF(INDEX([1]Pivot!$AD$1:$BE$65000,$B1062,C$5)=1,1,IF(INDEX([1]Pivot!$B$1:$AB$65000,$B1062,C$5)="",2,0)),0)</f>
        <v>0</v>
      </c>
      <c r="D1062" s="194">
        <f>IFERROR(IF(INDEX([1]Pivot!$AD$1:$BE$65000,$B1062,D$5)=1,1,IF(INDEX([1]Pivot!$B$1:$AB$65000,$B1062,D$5)="",2,0)),0)</f>
        <v>0</v>
      </c>
      <c r="E1062" s="194">
        <f>IFERROR(IF(INDEX([1]Pivot!$AD$1:$BE$65000,$B1062,E$5)=1,1,IF(INDEX([1]Pivot!$B$1:$AB$65000,$B1062,E$5)="",2,0)),0)</f>
        <v>0</v>
      </c>
      <c r="F1062" s="194">
        <f>IFERROR(IF(INDEX([1]Pivot!$AD$1:$BE$65000,$B1062,F$5)=1,1,IF(INDEX([1]Pivot!$B$1:$AB$65000,$B1062,F$5)="",2,0)),0)</f>
        <v>0</v>
      </c>
      <c r="G1062" s="194">
        <f>IFERROR(IF(INDEX([1]Pivot!$AD$1:$BE$65000,$B1062,G$5)=1,1,IF(INDEX([1]Pivot!$B$1:$AB$65000,$B1062,G$5)="",2,0)),0)</f>
        <v>0</v>
      </c>
      <c r="H1062" s="194">
        <f>IFERROR(IF(INDEX([1]Pivot!$AD$1:$BE$65000,$B1062,H$5)=1,1,IF(INDEX([1]Pivot!$B$1:$AB$65000,$B1062,H$5)="",2,0)),0)</f>
        <v>0</v>
      </c>
      <c r="I1062" s="194">
        <f>IFERROR(IF(INDEX([1]Pivot!$AD$1:$BE$65000,$B1062,I$5)=1,1,IF(INDEX([1]Pivot!$B$1:$AB$65000,$B1062,I$5)="",2,0)),0)</f>
        <v>0</v>
      </c>
      <c r="J1062" s="194">
        <f>IFERROR(IF(INDEX([1]Pivot!$AD$1:$BE$65000,$B1062,J$5)=1,1,IF(INDEX([1]Pivot!$B$1:$AB$65000,$B1062,J$5)="",2,0)),0)</f>
        <v>0</v>
      </c>
      <c r="K1062" s="194">
        <f>IFERROR(IF(INDEX([1]Pivot!$AD$1:$BE$65000,$B1062,K$5)=1,1,IF(INDEX([1]Pivot!$B$1:$AB$65000,$B1062,K$5)="",2,0)),0)</f>
        <v>0</v>
      </c>
      <c r="L1062" s="194">
        <f>IFERROR(IF(INDEX([1]Pivot!$AD$1:$BE$65000,$B1062,L$5)=1,1,IF(INDEX([1]Pivot!$B$1:$AB$65000,$B1062,L$5)="",2,0)),0)</f>
        <v>0</v>
      </c>
      <c r="M1062" s="194">
        <f>IFERROR(IF(INDEX([1]Pivot!$AD$1:$BE$65000,$B1062,M$5)=1,1,IF(INDEX([1]Pivot!$B$1:$AB$65000,$B1062,M$5)="",2,0)),0)</f>
        <v>0</v>
      </c>
      <c r="N1062" s="194">
        <f>IFERROR(IF(INDEX([1]Pivot!$AD$1:$BE$65000,$B1062,N$5)=1,1,IF(INDEX([1]Pivot!$B$1:$AB$65000,$B1062,N$5)="",2,0)),0)</f>
        <v>0</v>
      </c>
      <c r="O1062" s="194">
        <f>IFERROR(IF(INDEX([1]Pivot!$AD$1:$BE$65000,$B1062,O$5)=1,1,IF(INDEX([1]Pivot!$B$1:$AB$65000,$B1062,O$5)="",2,0)),0)</f>
        <v>0</v>
      </c>
      <c r="P1062" s="194">
        <f>IFERROR(IF(INDEX([1]Pivot!$AD$1:$BE$65000,$B1062,P$5)=1,1,IF(INDEX([1]Pivot!$B$1:$AB$65000,$B1062,P$5)="",2,0)),0)</f>
        <v>0</v>
      </c>
      <c r="Q1062" s="194">
        <f>IFERROR(IF(INDEX([1]Pivot!$AD$1:$BE$65000,$B1062,Q$5)=1,1,IF(INDEX([1]Pivot!$B$1:$AB$65000,$B1062,Q$5)="",2,0)),0)</f>
        <v>0</v>
      </c>
      <c r="R1062" s="312"/>
      <c r="S1062" s="194">
        <f>IFERROR(IF(INDEX([1]Pivot!$AD$1:$BE$65000,$B1062,S$5)=1,1,IF(INDEX([1]Pivot!$B$1:$AB$65000,$B1062,S$5)="",2,0)),0)</f>
        <v>0</v>
      </c>
      <c r="T1062" s="194">
        <f>IFERROR(IF(INDEX([1]Pivot!$AD$1:$BE$65000,$B1062,T$5)=1,1,IF(INDEX([1]Pivot!$B$1:$AB$65000,$B1062,T$5)="",2,0)),0)</f>
        <v>0</v>
      </c>
      <c r="U1062" s="194">
        <f>IFERROR(IF(INDEX([1]Pivot!$AD$1:$BE$65000,$B1062,U$5)=1,1,IF(INDEX([1]Pivot!$B$1:$AB$65000,$B1062,U$5)="",2,0)),0)</f>
        <v>0</v>
      </c>
      <c r="V1062" s="194">
        <f>IFERROR(IF(INDEX([1]Pivot!$AD$1:$BE$65000,$B1062,V$5)=1,1,IF(INDEX([1]Pivot!$B$1:$AB$65000,$B1062,V$5)="",2,0)),0)</f>
        <v>0</v>
      </c>
      <c r="W1062" s="194">
        <f>IFERROR(IF(INDEX([1]Pivot!$AD$1:$BE$65000,$B1062,W$5)=1,1,IF(INDEX([1]Pivot!$B$1:$AB$65000,$B1062,W$5)="",2,0)),0)</f>
        <v>0</v>
      </c>
      <c r="X1062" s="194">
        <f>IFERROR(IF(INDEX([1]Pivot!$AD$1:$BE$65000,$B1062,X$5)=1,1,IF(INDEX([1]Pivot!$B$1:$AB$65000,$B1062,X$5)="",2,0)),0)</f>
        <v>0</v>
      </c>
      <c r="Y1062" s="194">
        <f>IFERROR(IF(INDEX([1]Pivot!$AD$1:$BE$65000,$B1062,Y$5)=1,1,IF(INDEX([1]Pivot!$B$1:$AB$65000,$B1062,Y$5)="",2,0)),0)</f>
        <v>0</v>
      </c>
      <c r="Z1062" s="194">
        <f>IFERROR(IF(INDEX([1]Pivot!$AD$1:$BE$65000,$B1062,Z$5)=1,1,IF(INDEX([1]Pivot!$B$1:$AB$65000,$B1062,Z$5)="",2,0)),0)</f>
        <v>0</v>
      </c>
      <c r="AA1062" s="194">
        <f>IFERROR(IF(INDEX([1]Pivot!$AD$1:$BE$65000,$B1062,AA$5)=1,1,IF(INDEX([1]Pivot!$B$1:$AB$65000,$B1062,AA$5)="",2,0)),0)</f>
        <v>0</v>
      </c>
      <c r="AB1062" s="194">
        <f>IFERROR(IF(INDEX([1]Pivot!$AD$1:$BE$65000,$B1062,AB$5)=1,1,IF(INDEX([1]Pivot!$B$1:$AB$65000,$B1062,AB$5)="",2,0)),0)</f>
        <v>0</v>
      </c>
      <c r="AC1062" s="194">
        <f>IFERROR(IF(INDEX([1]Pivot!$AD$1:$BE$65000,$B1062,AC$5)=1,1,IF(INDEX([1]Pivot!$B$1:$AB$65000,$B1062,AC$5)="",2,0)),0)</f>
        <v>0</v>
      </c>
      <c r="AD1062" s="313">
        <f>IFERROR(IF(INDEX([1]Pivot!$BF$1:$CG$65000,$B1062,AD$5)=1,1,IF(INDEX([1]Pivot!$B$1:$AB$65000,$B1062,AD$5)="",2,0)),0)</f>
        <v>0</v>
      </c>
      <c r="AE1062" s="313">
        <f>IFERROR(IF(INDEX([1]Pivot!$BF$1:$CG$65000,$B1062,AE$5)=1,1,IF(INDEX([1]Pivot!$B$1:$AB$65000,$B1062,AE$5)="",2,0)),0)</f>
        <v>0</v>
      </c>
      <c r="AF1062" s="313">
        <f>IFERROR(IF(INDEX([1]Pivot!$BF$1:$CG$65000,$B1062,AF$5)=1,1,IF(INDEX([1]Pivot!$B$1:$AB$65000,$B1062,AF$5)="",2,0)),0)</f>
        <v>0</v>
      </c>
      <c r="AG1062" s="313">
        <f>IFERROR(IF(INDEX([1]Pivot!$BF$1:$CG$65000,$B1062,AG$5)=1,1,IF(INDEX([1]Pivot!$B$1:$AB$65000,$B1062,AG$5)="",2,0)),0)</f>
        <v>0</v>
      </c>
      <c r="AH1062" s="313">
        <f>IFERROR(IF(INDEX([1]Pivot!$BF$1:$CG$65000,$B1062,AH$5)=1,1,IF(INDEX([1]Pivot!$B$1:$AB$65000,$B1062,AH$5)="",2,0)),0)</f>
        <v>0</v>
      </c>
      <c r="AI1062" s="313">
        <f>IFERROR(IF(INDEX([1]Pivot!$BF$1:$CG$65000,$B1062,AI$5)=1,1,IF(INDEX([1]Pivot!$B$1:$AB$65000,$B1062,AI$5)="",2,0)),0)</f>
        <v>0</v>
      </c>
      <c r="AJ1062" s="313">
        <f>IFERROR(IF(INDEX([1]Pivot!$BF$1:$CG$65000,$B1062,AJ$5)=1,1,IF(INDEX([1]Pivot!$B$1:$AB$65000,$B1062,AJ$5)="",2,0)),0)</f>
        <v>0</v>
      </c>
      <c r="AK1062" s="313">
        <f>IFERROR(IF(INDEX([1]Pivot!$BF$1:$CG$65000,$B1062,AK$5)=1,1,IF(INDEX([1]Pivot!$B$1:$AB$65000,$B1062,AK$5)="",2,0)),0)</f>
        <v>0</v>
      </c>
      <c r="AL1062" s="313">
        <f>IFERROR(IF(INDEX([1]Pivot!$BF$1:$CG$65000,$B1062,AL$5)=1,1,IF(INDEX([1]Pivot!$B$1:$AB$65000,$B1062,AL$5)="",2,0)),0)</f>
        <v>0</v>
      </c>
      <c r="AM1062" s="313">
        <f>IFERROR(IF(INDEX([1]Pivot!$BF$1:$CG$65000,$B1062,AM$5)=1,1,IF(INDEX([1]Pivot!$B$1:$AB$65000,$B1062,AM$5)="",2,0)),0)</f>
        <v>0</v>
      </c>
      <c r="AN1062" s="313">
        <f>IFERROR(IF(INDEX([1]Pivot!$BF$1:$CG$65000,$B1062,AN$5)=1,1,IF(INDEX([1]Pivot!$B$1:$AB$65000,$B1062,AN$5)="",2,0)),0)</f>
        <v>0</v>
      </c>
      <c r="AO1062" s="313">
        <f>IFERROR(IF(INDEX([1]Pivot!$BF$1:$CG$65000,$B1062,AO$5)=1,1,IF(INDEX([1]Pivot!$B$1:$AB$65000,$B1062,AO$5)="",2,0)),0)</f>
        <v>0</v>
      </c>
      <c r="AP1062" s="313">
        <f>IFERROR(IF(INDEX([1]Pivot!$BF$1:$CG$65000,$B1062,AP$5)=1,1,IF(INDEX([1]Pivot!$B$1:$AB$65000,$B1062,AP$5)="",2,0)),0)</f>
        <v>0</v>
      </c>
      <c r="AQ1062" s="313">
        <f>IFERROR(IF(INDEX([1]Pivot!$BF$1:$CG$65000,$B1062,AQ$5)=1,1,IF(INDEX([1]Pivot!$B$1:$AB$65000,$B1062,AQ$5)="",2,0)),0)</f>
        <v>0</v>
      </c>
      <c r="AR1062" s="313">
        <f>IFERROR(IF(INDEX([1]Pivot!$BF$1:$CG$65000,$B1062,AR$5)=1,1,IF(INDEX([1]Pivot!$B$1:$AB$65000,$B1062,AR$5)="",2,0)),0)</f>
        <v>0</v>
      </c>
      <c r="AS1062" s="312"/>
      <c r="AT1062" s="313">
        <f>IFERROR(IF(INDEX([1]Pivot!$BF$1:$CG$65000,$B1062,AT$5)=1,1,IF(INDEX([1]Pivot!$B$1:$AB$65000,$B1062,AT$5)="",2,0)),0)</f>
        <v>0</v>
      </c>
      <c r="AU1062" s="313">
        <f>IFERROR(IF(INDEX([1]Pivot!$BF$1:$CG$65000,$B1062,AU$5)=1,1,IF(INDEX([1]Pivot!$B$1:$AB$65000,$B1062,AU$5)="",2,0)),0)</f>
        <v>0</v>
      </c>
      <c r="AV1062" s="313">
        <f>IFERROR(IF(INDEX([1]Pivot!$BF$1:$CG$65000,$B1062,AV$5)=1,1,IF(INDEX([1]Pivot!$B$1:$AB$65000,$B1062,AV$5)="",2,0)),0)</f>
        <v>0</v>
      </c>
      <c r="AW1062" s="313">
        <f>IFERROR(IF(INDEX([1]Pivot!$BF$1:$CG$65000,$B1062,AW$5)=1,1,IF(INDEX([1]Pivot!$B$1:$AB$65000,$B1062,AW$5)="",2,0)),0)</f>
        <v>0</v>
      </c>
      <c r="AX1062" s="313">
        <f>IFERROR(IF(INDEX([1]Pivot!$BF$1:$CG$65000,$B1062,AX$5)=1,1,IF(INDEX([1]Pivot!$B$1:$AB$65000,$B1062,AX$5)="",2,0)),0)</f>
        <v>0</v>
      </c>
      <c r="AY1062" s="313">
        <f>IFERROR(IF(INDEX([1]Pivot!$BF$1:$CG$65000,$B1062,AY$5)=1,1,IF(INDEX([1]Pivot!$B$1:$AB$65000,$B1062,AY$5)="",2,0)),0)</f>
        <v>0</v>
      </c>
      <c r="AZ1062" s="313">
        <f>IFERROR(IF(INDEX([1]Pivot!$BF$1:$CG$65000,$B1062,AZ$5)=1,1,IF(INDEX([1]Pivot!$B$1:$AB$65000,$B1062,AZ$5)="",2,0)),0)</f>
        <v>0</v>
      </c>
      <c r="BA1062" s="313">
        <f>IFERROR(IF(INDEX([1]Pivot!$BF$1:$CG$65000,$B1062,BA$5)=1,1,IF(INDEX([1]Pivot!$B$1:$AB$65000,$B1062,BA$5)="",2,0)),0)</f>
        <v>0</v>
      </c>
      <c r="BB1062" s="313">
        <f>IFERROR(IF(INDEX([1]Pivot!$BF$1:$CG$65000,$B1062,BB$5)=1,1,IF(INDEX([1]Pivot!$B$1:$AB$65000,$B1062,BB$5)="",2,0)),0)</f>
        <v>0</v>
      </c>
      <c r="BC1062" s="313">
        <f>IFERROR(IF(INDEX([1]Pivot!$BF$1:$CG$65000,$B1062,BC$5)=1,1,IF(INDEX([1]Pivot!$B$1:$AB$65000,$B1062,BC$5)="",2,0)),0)</f>
        <v>0</v>
      </c>
      <c r="BD1062" s="313">
        <f>IFERROR(IF(INDEX([1]Pivot!$BF$1:$CG$65000,$B1062,BD$5)=1,1,IF(INDEX([1]Pivot!$B$1:$AB$65000,$B1062,BD$5)="",2,0)),0)</f>
        <v>0</v>
      </c>
    </row>
    <row r="1063" spans="1:56" x14ac:dyDescent="0.25">
      <c r="A1063" s="288">
        <f>'[2]Raw Milk Prices'!A1063</f>
        <v>0</v>
      </c>
      <c r="B1063" s="296" t="e">
        <f>MATCH(DATE(LEFT('[2]Raw Milk Prices'!$A1063,4),RIGHT('[2]Raw Milk Prices'!$A1063,2),1),[1]Pivot!$A$1:$A$65000,0)</f>
        <v>#VALUE!</v>
      </c>
      <c r="C1063" s="194">
        <f>IFERROR(IF(INDEX([1]Pivot!$AD$1:$BE$65000,$B1063,C$5)=1,1,IF(INDEX([1]Pivot!$B$1:$AB$65000,$B1063,C$5)="",2,0)),0)</f>
        <v>0</v>
      </c>
      <c r="D1063" s="194">
        <f>IFERROR(IF(INDEX([1]Pivot!$AD$1:$BE$65000,$B1063,D$5)=1,1,IF(INDEX([1]Pivot!$B$1:$AB$65000,$B1063,D$5)="",2,0)),0)</f>
        <v>0</v>
      </c>
      <c r="E1063" s="194">
        <f>IFERROR(IF(INDEX([1]Pivot!$AD$1:$BE$65000,$B1063,E$5)=1,1,IF(INDEX([1]Pivot!$B$1:$AB$65000,$B1063,E$5)="",2,0)),0)</f>
        <v>0</v>
      </c>
      <c r="F1063" s="194">
        <f>IFERROR(IF(INDEX([1]Pivot!$AD$1:$BE$65000,$B1063,F$5)=1,1,IF(INDEX([1]Pivot!$B$1:$AB$65000,$B1063,F$5)="",2,0)),0)</f>
        <v>0</v>
      </c>
      <c r="G1063" s="194">
        <f>IFERROR(IF(INDEX([1]Pivot!$AD$1:$BE$65000,$B1063,G$5)=1,1,IF(INDEX([1]Pivot!$B$1:$AB$65000,$B1063,G$5)="",2,0)),0)</f>
        <v>0</v>
      </c>
      <c r="H1063" s="194">
        <f>IFERROR(IF(INDEX([1]Pivot!$AD$1:$BE$65000,$B1063,H$5)=1,1,IF(INDEX([1]Pivot!$B$1:$AB$65000,$B1063,H$5)="",2,0)),0)</f>
        <v>0</v>
      </c>
      <c r="I1063" s="194">
        <f>IFERROR(IF(INDEX([1]Pivot!$AD$1:$BE$65000,$B1063,I$5)=1,1,IF(INDEX([1]Pivot!$B$1:$AB$65000,$B1063,I$5)="",2,0)),0)</f>
        <v>0</v>
      </c>
      <c r="J1063" s="194">
        <f>IFERROR(IF(INDEX([1]Pivot!$AD$1:$BE$65000,$B1063,J$5)=1,1,IF(INDEX([1]Pivot!$B$1:$AB$65000,$B1063,J$5)="",2,0)),0)</f>
        <v>0</v>
      </c>
      <c r="K1063" s="194">
        <f>IFERROR(IF(INDEX([1]Pivot!$AD$1:$BE$65000,$B1063,K$5)=1,1,IF(INDEX([1]Pivot!$B$1:$AB$65000,$B1063,K$5)="",2,0)),0)</f>
        <v>0</v>
      </c>
      <c r="L1063" s="194">
        <f>IFERROR(IF(INDEX([1]Pivot!$AD$1:$BE$65000,$B1063,L$5)=1,1,IF(INDEX([1]Pivot!$B$1:$AB$65000,$B1063,L$5)="",2,0)),0)</f>
        <v>0</v>
      </c>
      <c r="M1063" s="194">
        <f>IFERROR(IF(INDEX([1]Pivot!$AD$1:$BE$65000,$B1063,M$5)=1,1,IF(INDEX([1]Pivot!$B$1:$AB$65000,$B1063,M$5)="",2,0)),0)</f>
        <v>0</v>
      </c>
      <c r="N1063" s="194">
        <f>IFERROR(IF(INDEX([1]Pivot!$AD$1:$BE$65000,$B1063,N$5)=1,1,IF(INDEX([1]Pivot!$B$1:$AB$65000,$B1063,N$5)="",2,0)),0)</f>
        <v>0</v>
      </c>
      <c r="O1063" s="194">
        <f>IFERROR(IF(INDEX([1]Pivot!$AD$1:$BE$65000,$B1063,O$5)=1,1,IF(INDEX([1]Pivot!$B$1:$AB$65000,$B1063,O$5)="",2,0)),0)</f>
        <v>0</v>
      </c>
      <c r="P1063" s="194">
        <f>IFERROR(IF(INDEX([1]Pivot!$AD$1:$BE$65000,$B1063,P$5)=1,1,IF(INDEX([1]Pivot!$B$1:$AB$65000,$B1063,P$5)="",2,0)),0)</f>
        <v>0</v>
      </c>
      <c r="Q1063" s="194">
        <f>IFERROR(IF(INDEX([1]Pivot!$AD$1:$BE$65000,$B1063,Q$5)=1,1,IF(INDEX([1]Pivot!$B$1:$AB$65000,$B1063,Q$5)="",2,0)),0)</f>
        <v>0</v>
      </c>
      <c r="R1063" s="312"/>
      <c r="S1063" s="194">
        <f>IFERROR(IF(INDEX([1]Pivot!$AD$1:$BE$65000,$B1063,S$5)=1,1,IF(INDEX([1]Pivot!$B$1:$AB$65000,$B1063,S$5)="",2,0)),0)</f>
        <v>0</v>
      </c>
      <c r="T1063" s="194">
        <f>IFERROR(IF(INDEX([1]Pivot!$AD$1:$BE$65000,$B1063,T$5)=1,1,IF(INDEX([1]Pivot!$B$1:$AB$65000,$B1063,T$5)="",2,0)),0)</f>
        <v>0</v>
      </c>
      <c r="U1063" s="194">
        <f>IFERROR(IF(INDEX([1]Pivot!$AD$1:$BE$65000,$B1063,U$5)=1,1,IF(INDEX([1]Pivot!$B$1:$AB$65000,$B1063,U$5)="",2,0)),0)</f>
        <v>0</v>
      </c>
      <c r="V1063" s="194">
        <f>IFERROR(IF(INDEX([1]Pivot!$AD$1:$BE$65000,$B1063,V$5)=1,1,IF(INDEX([1]Pivot!$B$1:$AB$65000,$B1063,V$5)="",2,0)),0)</f>
        <v>0</v>
      </c>
      <c r="W1063" s="194">
        <f>IFERROR(IF(INDEX([1]Pivot!$AD$1:$BE$65000,$B1063,W$5)=1,1,IF(INDEX([1]Pivot!$B$1:$AB$65000,$B1063,W$5)="",2,0)),0)</f>
        <v>0</v>
      </c>
      <c r="X1063" s="194">
        <f>IFERROR(IF(INDEX([1]Pivot!$AD$1:$BE$65000,$B1063,X$5)=1,1,IF(INDEX([1]Pivot!$B$1:$AB$65000,$B1063,X$5)="",2,0)),0)</f>
        <v>0</v>
      </c>
      <c r="Y1063" s="194">
        <f>IFERROR(IF(INDEX([1]Pivot!$AD$1:$BE$65000,$B1063,Y$5)=1,1,IF(INDEX([1]Pivot!$B$1:$AB$65000,$B1063,Y$5)="",2,0)),0)</f>
        <v>0</v>
      </c>
      <c r="Z1063" s="194">
        <f>IFERROR(IF(INDEX([1]Pivot!$AD$1:$BE$65000,$B1063,Z$5)=1,1,IF(INDEX([1]Pivot!$B$1:$AB$65000,$B1063,Z$5)="",2,0)),0)</f>
        <v>0</v>
      </c>
      <c r="AA1063" s="194">
        <f>IFERROR(IF(INDEX([1]Pivot!$AD$1:$BE$65000,$B1063,AA$5)=1,1,IF(INDEX([1]Pivot!$B$1:$AB$65000,$B1063,AA$5)="",2,0)),0)</f>
        <v>0</v>
      </c>
      <c r="AB1063" s="194">
        <f>IFERROR(IF(INDEX([1]Pivot!$AD$1:$BE$65000,$B1063,AB$5)=1,1,IF(INDEX([1]Pivot!$B$1:$AB$65000,$B1063,AB$5)="",2,0)),0)</f>
        <v>0</v>
      </c>
      <c r="AC1063" s="194">
        <f>IFERROR(IF(INDEX([1]Pivot!$AD$1:$BE$65000,$B1063,AC$5)=1,1,IF(INDEX([1]Pivot!$B$1:$AB$65000,$B1063,AC$5)="",2,0)),0)</f>
        <v>0</v>
      </c>
      <c r="AD1063" s="313">
        <f>IFERROR(IF(INDEX([1]Pivot!$BF$1:$CG$65000,$B1063,AD$5)=1,1,IF(INDEX([1]Pivot!$B$1:$AB$65000,$B1063,AD$5)="",2,0)),0)</f>
        <v>0</v>
      </c>
      <c r="AE1063" s="313">
        <f>IFERROR(IF(INDEX([1]Pivot!$BF$1:$CG$65000,$B1063,AE$5)=1,1,IF(INDEX([1]Pivot!$B$1:$AB$65000,$B1063,AE$5)="",2,0)),0)</f>
        <v>0</v>
      </c>
      <c r="AF1063" s="313">
        <f>IFERROR(IF(INDEX([1]Pivot!$BF$1:$CG$65000,$B1063,AF$5)=1,1,IF(INDEX([1]Pivot!$B$1:$AB$65000,$B1063,AF$5)="",2,0)),0)</f>
        <v>0</v>
      </c>
      <c r="AG1063" s="313">
        <f>IFERROR(IF(INDEX([1]Pivot!$BF$1:$CG$65000,$B1063,AG$5)=1,1,IF(INDEX([1]Pivot!$B$1:$AB$65000,$B1063,AG$5)="",2,0)),0)</f>
        <v>0</v>
      </c>
      <c r="AH1063" s="313">
        <f>IFERROR(IF(INDEX([1]Pivot!$BF$1:$CG$65000,$B1063,AH$5)=1,1,IF(INDEX([1]Pivot!$B$1:$AB$65000,$B1063,AH$5)="",2,0)),0)</f>
        <v>0</v>
      </c>
      <c r="AI1063" s="313">
        <f>IFERROR(IF(INDEX([1]Pivot!$BF$1:$CG$65000,$B1063,AI$5)=1,1,IF(INDEX([1]Pivot!$B$1:$AB$65000,$B1063,AI$5)="",2,0)),0)</f>
        <v>0</v>
      </c>
      <c r="AJ1063" s="313">
        <f>IFERROR(IF(INDEX([1]Pivot!$BF$1:$CG$65000,$B1063,AJ$5)=1,1,IF(INDEX([1]Pivot!$B$1:$AB$65000,$B1063,AJ$5)="",2,0)),0)</f>
        <v>0</v>
      </c>
      <c r="AK1063" s="313">
        <f>IFERROR(IF(INDEX([1]Pivot!$BF$1:$CG$65000,$B1063,AK$5)=1,1,IF(INDEX([1]Pivot!$B$1:$AB$65000,$B1063,AK$5)="",2,0)),0)</f>
        <v>0</v>
      </c>
      <c r="AL1063" s="313">
        <f>IFERROR(IF(INDEX([1]Pivot!$BF$1:$CG$65000,$B1063,AL$5)=1,1,IF(INDEX([1]Pivot!$B$1:$AB$65000,$B1063,AL$5)="",2,0)),0)</f>
        <v>0</v>
      </c>
      <c r="AM1063" s="313">
        <f>IFERROR(IF(INDEX([1]Pivot!$BF$1:$CG$65000,$B1063,AM$5)=1,1,IF(INDEX([1]Pivot!$B$1:$AB$65000,$B1063,AM$5)="",2,0)),0)</f>
        <v>0</v>
      </c>
      <c r="AN1063" s="313">
        <f>IFERROR(IF(INDEX([1]Pivot!$BF$1:$CG$65000,$B1063,AN$5)=1,1,IF(INDEX([1]Pivot!$B$1:$AB$65000,$B1063,AN$5)="",2,0)),0)</f>
        <v>0</v>
      </c>
      <c r="AO1063" s="313">
        <f>IFERROR(IF(INDEX([1]Pivot!$BF$1:$CG$65000,$B1063,AO$5)=1,1,IF(INDEX([1]Pivot!$B$1:$AB$65000,$B1063,AO$5)="",2,0)),0)</f>
        <v>0</v>
      </c>
      <c r="AP1063" s="313">
        <f>IFERROR(IF(INDEX([1]Pivot!$BF$1:$CG$65000,$B1063,AP$5)=1,1,IF(INDEX([1]Pivot!$B$1:$AB$65000,$B1063,AP$5)="",2,0)),0)</f>
        <v>0</v>
      </c>
      <c r="AQ1063" s="313">
        <f>IFERROR(IF(INDEX([1]Pivot!$BF$1:$CG$65000,$B1063,AQ$5)=1,1,IF(INDEX([1]Pivot!$B$1:$AB$65000,$B1063,AQ$5)="",2,0)),0)</f>
        <v>0</v>
      </c>
      <c r="AR1063" s="313">
        <f>IFERROR(IF(INDEX([1]Pivot!$BF$1:$CG$65000,$B1063,AR$5)=1,1,IF(INDEX([1]Pivot!$B$1:$AB$65000,$B1063,AR$5)="",2,0)),0)</f>
        <v>0</v>
      </c>
      <c r="AS1063" s="312"/>
      <c r="AT1063" s="313">
        <f>IFERROR(IF(INDEX([1]Pivot!$BF$1:$CG$65000,$B1063,AT$5)=1,1,IF(INDEX([1]Pivot!$B$1:$AB$65000,$B1063,AT$5)="",2,0)),0)</f>
        <v>0</v>
      </c>
      <c r="AU1063" s="313">
        <f>IFERROR(IF(INDEX([1]Pivot!$BF$1:$CG$65000,$B1063,AU$5)=1,1,IF(INDEX([1]Pivot!$B$1:$AB$65000,$B1063,AU$5)="",2,0)),0)</f>
        <v>0</v>
      </c>
      <c r="AV1063" s="313">
        <f>IFERROR(IF(INDEX([1]Pivot!$BF$1:$CG$65000,$B1063,AV$5)=1,1,IF(INDEX([1]Pivot!$B$1:$AB$65000,$B1063,AV$5)="",2,0)),0)</f>
        <v>0</v>
      </c>
      <c r="AW1063" s="313">
        <f>IFERROR(IF(INDEX([1]Pivot!$BF$1:$CG$65000,$B1063,AW$5)=1,1,IF(INDEX([1]Pivot!$B$1:$AB$65000,$B1063,AW$5)="",2,0)),0)</f>
        <v>0</v>
      </c>
      <c r="AX1063" s="313">
        <f>IFERROR(IF(INDEX([1]Pivot!$BF$1:$CG$65000,$B1063,AX$5)=1,1,IF(INDEX([1]Pivot!$B$1:$AB$65000,$B1063,AX$5)="",2,0)),0)</f>
        <v>0</v>
      </c>
      <c r="AY1063" s="313">
        <f>IFERROR(IF(INDEX([1]Pivot!$BF$1:$CG$65000,$B1063,AY$5)=1,1,IF(INDEX([1]Pivot!$B$1:$AB$65000,$B1063,AY$5)="",2,0)),0)</f>
        <v>0</v>
      </c>
      <c r="AZ1063" s="313">
        <f>IFERROR(IF(INDEX([1]Pivot!$BF$1:$CG$65000,$B1063,AZ$5)=1,1,IF(INDEX([1]Pivot!$B$1:$AB$65000,$B1063,AZ$5)="",2,0)),0)</f>
        <v>0</v>
      </c>
      <c r="BA1063" s="313">
        <f>IFERROR(IF(INDEX([1]Pivot!$BF$1:$CG$65000,$B1063,BA$5)=1,1,IF(INDEX([1]Pivot!$B$1:$AB$65000,$B1063,BA$5)="",2,0)),0)</f>
        <v>0</v>
      </c>
      <c r="BB1063" s="313">
        <f>IFERROR(IF(INDEX([1]Pivot!$BF$1:$CG$65000,$B1063,BB$5)=1,1,IF(INDEX([1]Pivot!$B$1:$AB$65000,$B1063,BB$5)="",2,0)),0)</f>
        <v>0</v>
      </c>
      <c r="BC1063" s="313">
        <f>IFERROR(IF(INDEX([1]Pivot!$BF$1:$CG$65000,$B1063,BC$5)=1,1,IF(INDEX([1]Pivot!$B$1:$AB$65000,$B1063,BC$5)="",2,0)),0)</f>
        <v>0</v>
      </c>
      <c r="BD1063" s="313">
        <f>IFERROR(IF(INDEX([1]Pivot!$BF$1:$CG$65000,$B1063,BD$5)=1,1,IF(INDEX([1]Pivot!$B$1:$AB$65000,$B1063,BD$5)="",2,0)),0)</f>
        <v>0</v>
      </c>
    </row>
    <row r="1064" spans="1:56" x14ac:dyDescent="0.25">
      <c r="A1064" s="288">
        <f>'[2]Raw Milk Prices'!A1064</f>
        <v>0</v>
      </c>
      <c r="B1064" s="296" t="e">
        <f>MATCH(DATE(LEFT('[2]Raw Milk Prices'!$A1064,4),RIGHT('[2]Raw Milk Prices'!$A1064,2),1),[1]Pivot!$A$1:$A$65000,0)</f>
        <v>#VALUE!</v>
      </c>
      <c r="C1064" s="194">
        <f>IFERROR(IF(INDEX([1]Pivot!$AD$1:$BE$65000,$B1064,C$5)=1,1,IF(INDEX([1]Pivot!$B$1:$AB$65000,$B1064,C$5)="",2,0)),0)</f>
        <v>0</v>
      </c>
      <c r="D1064" s="194">
        <f>IFERROR(IF(INDEX([1]Pivot!$AD$1:$BE$65000,$B1064,D$5)=1,1,IF(INDEX([1]Pivot!$B$1:$AB$65000,$B1064,D$5)="",2,0)),0)</f>
        <v>0</v>
      </c>
      <c r="E1064" s="194">
        <f>IFERROR(IF(INDEX([1]Pivot!$AD$1:$BE$65000,$B1064,E$5)=1,1,IF(INDEX([1]Pivot!$B$1:$AB$65000,$B1064,E$5)="",2,0)),0)</f>
        <v>0</v>
      </c>
      <c r="F1064" s="194">
        <f>IFERROR(IF(INDEX([1]Pivot!$AD$1:$BE$65000,$B1064,F$5)=1,1,IF(INDEX([1]Pivot!$B$1:$AB$65000,$B1064,F$5)="",2,0)),0)</f>
        <v>0</v>
      </c>
      <c r="G1064" s="194">
        <f>IFERROR(IF(INDEX([1]Pivot!$AD$1:$BE$65000,$B1064,G$5)=1,1,IF(INDEX([1]Pivot!$B$1:$AB$65000,$B1064,G$5)="",2,0)),0)</f>
        <v>0</v>
      </c>
      <c r="H1064" s="194">
        <f>IFERROR(IF(INDEX([1]Pivot!$AD$1:$BE$65000,$B1064,H$5)=1,1,IF(INDEX([1]Pivot!$B$1:$AB$65000,$B1064,H$5)="",2,0)),0)</f>
        <v>0</v>
      </c>
      <c r="I1064" s="194">
        <f>IFERROR(IF(INDEX([1]Pivot!$AD$1:$BE$65000,$B1064,I$5)=1,1,IF(INDEX([1]Pivot!$B$1:$AB$65000,$B1064,I$5)="",2,0)),0)</f>
        <v>0</v>
      </c>
      <c r="J1064" s="194">
        <f>IFERROR(IF(INDEX([1]Pivot!$AD$1:$BE$65000,$B1064,J$5)=1,1,IF(INDEX([1]Pivot!$B$1:$AB$65000,$B1064,J$5)="",2,0)),0)</f>
        <v>0</v>
      </c>
      <c r="K1064" s="194">
        <f>IFERROR(IF(INDEX([1]Pivot!$AD$1:$BE$65000,$B1064,K$5)=1,1,IF(INDEX([1]Pivot!$B$1:$AB$65000,$B1064,K$5)="",2,0)),0)</f>
        <v>0</v>
      </c>
      <c r="L1064" s="194">
        <f>IFERROR(IF(INDEX([1]Pivot!$AD$1:$BE$65000,$B1064,L$5)=1,1,IF(INDEX([1]Pivot!$B$1:$AB$65000,$B1064,L$5)="",2,0)),0)</f>
        <v>0</v>
      </c>
      <c r="M1064" s="194">
        <f>IFERROR(IF(INDEX([1]Pivot!$AD$1:$BE$65000,$B1064,M$5)=1,1,IF(INDEX([1]Pivot!$B$1:$AB$65000,$B1064,M$5)="",2,0)),0)</f>
        <v>0</v>
      </c>
      <c r="N1064" s="194">
        <f>IFERROR(IF(INDEX([1]Pivot!$AD$1:$BE$65000,$B1064,N$5)=1,1,IF(INDEX([1]Pivot!$B$1:$AB$65000,$B1064,N$5)="",2,0)),0)</f>
        <v>0</v>
      </c>
      <c r="O1064" s="194">
        <f>IFERROR(IF(INDEX([1]Pivot!$AD$1:$BE$65000,$B1064,O$5)=1,1,IF(INDEX([1]Pivot!$B$1:$AB$65000,$B1064,O$5)="",2,0)),0)</f>
        <v>0</v>
      </c>
      <c r="P1064" s="194">
        <f>IFERROR(IF(INDEX([1]Pivot!$AD$1:$BE$65000,$B1064,P$5)=1,1,IF(INDEX([1]Pivot!$B$1:$AB$65000,$B1064,P$5)="",2,0)),0)</f>
        <v>0</v>
      </c>
      <c r="Q1064" s="194">
        <f>IFERROR(IF(INDEX([1]Pivot!$AD$1:$BE$65000,$B1064,Q$5)=1,1,IF(INDEX([1]Pivot!$B$1:$AB$65000,$B1064,Q$5)="",2,0)),0)</f>
        <v>0</v>
      </c>
      <c r="R1064" s="312"/>
      <c r="S1064" s="194">
        <f>IFERROR(IF(INDEX([1]Pivot!$AD$1:$BE$65000,$B1064,S$5)=1,1,IF(INDEX([1]Pivot!$B$1:$AB$65000,$B1064,S$5)="",2,0)),0)</f>
        <v>0</v>
      </c>
      <c r="T1064" s="194">
        <f>IFERROR(IF(INDEX([1]Pivot!$AD$1:$BE$65000,$B1064,T$5)=1,1,IF(INDEX([1]Pivot!$B$1:$AB$65000,$B1064,T$5)="",2,0)),0)</f>
        <v>0</v>
      </c>
      <c r="U1064" s="194">
        <f>IFERROR(IF(INDEX([1]Pivot!$AD$1:$BE$65000,$B1064,U$5)=1,1,IF(INDEX([1]Pivot!$B$1:$AB$65000,$B1064,U$5)="",2,0)),0)</f>
        <v>0</v>
      </c>
      <c r="V1064" s="194">
        <f>IFERROR(IF(INDEX([1]Pivot!$AD$1:$BE$65000,$B1064,V$5)=1,1,IF(INDEX([1]Pivot!$B$1:$AB$65000,$B1064,V$5)="",2,0)),0)</f>
        <v>0</v>
      </c>
      <c r="W1064" s="194">
        <f>IFERROR(IF(INDEX([1]Pivot!$AD$1:$BE$65000,$B1064,W$5)=1,1,IF(INDEX([1]Pivot!$B$1:$AB$65000,$B1064,W$5)="",2,0)),0)</f>
        <v>0</v>
      </c>
      <c r="X1064" s="194">
        <f>IFERROR(IF(INDEX([1]Pivot!$AD$1:$BE$65000,$B1064,X$5)=1,1,IF(INDEX([1]Pivot!$B$1:$AB$65000,$B1064,X$5)="",2,0)),0)</f>
        <v>0</v>
      </c>
      <c r="Y1064" s="194">
        <f>IFERROR(IF(INDEX([1]Pivot!$AD$1:$BE$65000,$B1064,Y$5)=1,1,IF(INDEX([1]Pivot!$B$1:$AB$65000,$B1064,Y$5)="",2,0)),0)</f>
        <v>0</v>
      </c>
      <c r="Z1064" s="194">
        <f>IFERROR(IF(INDEX([1]Pivot!$AD$1:$BE$65000,$B1064,Z$5)=1,1,IF(INDEX([1]Pivot!$B$1:$AB$65000,$B1064,Z$5)="",2,0)),0)</f>
        <v>0</v>
      </c>
      <c r="AA1064" s="194">
        <f>IFERROR(IF(INDEX([1]Pivot!$AD$1:$BE$65000,$B1064,AA$5)=1,1,IF(INDEX([1]Pivot!$B$1:$AB$65000,$B1064,AA$5)="",2,0)),0)</f>
        <v>0</v>
      </c>
      <c r="AB1064" s="194">
        <f>IFERROR(IF(INDEX([1]Pivot!$AD$1:$BE$65000,$B1064,AB$5)=1,1,IF(INDEX([1]Pivot!$B$1:$AB$65000,$B1064,AB$5)="",2,0)),0)</f>
        <v>0</v>
      </c>
      <c r="AC1064" s="194">
        <f>IFERROR(IF(INDEX([1]Pivot!$AD$1:$BE$65000,$B1064,AC$5)=1,1,IF(INDEX([1]Pivot!$B$1:$AB$65000,$B1064,AC$5)="",2,0)),0)</f>
        <v>0</v>
      </c>
      <c r="AD1064" s="313">
        <f>IFERROR(IF(INDEX([1]Pivot!$BF$1:$CG$65000,$B1064,AD$5)=1,1,IF(INDEX([1]Pivot!$B$1:$AB$65000,$B1064,AD$5)="",2,0)),0)</f>
        <v>0</v>
      </c>
      <c r="AE1064" s="313">
        <f>IFERROR(IF(INDEX([1]Pivot!$BF$1:$CG$65000,$B1064,AE$5)=1,1,IF(INDEX([1]Pivot!$B$1:$AB$65000,$B1064,AE$5)="",2,0)),0)</f>
        <v>0</v>
      </c>
      <c r="AF1064" s="313">
        <f>IFERROR(IF(INDEX([1]Pivot!$BF$1:$CG$65000,$B1064,AF$5)=1,1,IF(INDEX([1]Pivot!$B$1:$AB$65000,$B1064,AF$5)="",2,0)),0)</f>
        <v>0</v>
      </c>
      <c r="AG1064" s="313">
        <f>IFERROR(IF(INDEX([1]Pivot!$BF$1:$CG$65000,$B1064,AG$5)=1,1,IF(INDEX([1]Pivot!$B$1:$AB$65000,$B1064,AG$5)="",2,0)),0)</f>
        <v>0</v>
      </c>
      <c r="AH1064" s="313">
        <f>IFERROR(IF(INDEX([1]Pivot!$BF$1:$CG$65000,$B1064,AH$5)=1,1,IF(INDEX([1]Pivot!$B$1:$AB$65000,$B1064,AH$5)="",2,0)),0)</f>
        <v>0</v>
      </c>
      <c r="AI1064" s="313">
        <f>IFERROR(IF(INDEX([1]Pivot!$BF$1:$CG$65000,$B1064,AI$5)=1,1,IF(INDEX([1]Pivot!$B$1:$AB$65000,$B1064,AI$5)="",2,0)),0)</f>
        <v>0</v>
      </c>
      <c r="AJ1064" s="313">
        <f>IFERROR(IF(INDEX([1]Pivot!$BF$1:$CG$65000,$B1064,AJ$5)=1,1,IF(INDEX([1]Pivot!$B$1:$AB$65000,$B1064,AJ$5)="",2,0)),0)</f>
        <v>0</v>
      </c>
      <c r="AK1064" s="313">
        <f>IFERROR(IF(INDEX([1]Pivot!$BF$1:$CG$65000,$B1064,AK$5)=1,1,IF(INDEX([1]Pivot!$B$1:$AB$65000,$B1064,AK$5)="",2,0)),0)</f>
        <v>0</v>
      </c>
      <c r="AL1064" s="313">
        <f>IFERROR(IF(INDEX([1]Pivot!$BF$1:$CG$65000,$B1064,AL$5)=1,1,IF(INDEX([1]Pivot!$B$1:$AB$65000,$B1064,AL$5)="",2,0)),0)</f>
        <v>0</v>
      </c>
      <c r="AM1064" s="313">
        <f>IFERROR(IF(INDEX([1]Pivot!$BF$1:$CG$65000,$B1064,AM$5)=1,1,IF(INDEX([1]Pivot!$B$1:$AB$65000,$B1064,AM$5)="",2,0)),0)</f>
        <v>0</v>
      </c>
      <c r="AN1064" s="313">
        <f>IFERROR(IF(INDEX([1]Pivot!$BF$1:$CG$65000,$B1064,AN$5)=1,1,IF(INDEX([1]Pivot!$B$1:$AB$65000,$B1064,AN$5)="",2,0)),0)</f>
        <v>0</v>
      </c>
      <c r="AO1064" s="313">
        <f>IFERROR(IF(INDEX([1]Pivot!$BF$1:$CG$65000,$B1064,AO$5)=1,1,IF(INDEX([1]Pivot!$B$1:$AB$65000,$B1064,AO$5)="",2,0)),0)</f>
        <v>0</v>
      </c>
      <c r="AP1064" s="313">
        <f>IFERROR(IF(INDEX([1]Pivot!$BF$1:$CG$65000,$B1064,AP$5)=1,1,IF(INDEX([1]Pivot!$B$1:$AB$65000,$B1064,AP$5)="",2,0)),0)</f>
        <v>0</v>
      </c>
      <c r="AQ1064" s="313">
        <f>IFERROR(IF(INDEX([1]Pivot!$BF$1:$CG$65000,$B1064,AQ$5)=1,1,IF(INDEX([1]Pivot!$B$1:$AB$65000,$B1064,AQ$5)="",2,0)),0)</f>
        <v>0</v>
      </c>
      <c r="AR1064" s="313">
        <f>IFERROR(IF(INDEX([1]Pivot!$BF$1:$CG$65000,$B1064,AR$5)=1,1,IF(INDEX([1]Pivot!$B$1:$AB$65000,$B1064,AR$5)="",2,0)),0)</f>
        <v>0</v>
      </c>
      <c r="AS1064" s="312"/>
      <c r="AT1064" s="313">
        <f>IFERROR(IF(INDEX([1]Pivot!$BF$1:$CG$65000,$B1064,AT$5)=1,1,IF(INDEX([1]Pivot!$B$1:$AB$65000,$B1064,AT$5)="",2,0)),0)</f>
        <v>0</v>
      </c>
      <c r="AU1064" s="313">
        <f>IFERROR(IF(INDEX([1]Pivot!$BF$1:$CG$65000,$B1064,AU$5)=1,1,IF(INDEX([1]Pivot!$B$1:$AB$65000,$B1064,AU$5)="",2,0)),0)</f>
        <v>0</v>
      </c>
      <c r="AV1064" s="313">
        <f>IFERROR(IF(INDEX([1]Pivot!$BF$1:$CG$65000,$B1064,AV$5)=1,1,IF(INDEX([1]Pivot!$B$1:$AB$65000,$B1064,AV$5)="",2,0)),0)</f>
        <v>0</v>
      </c>
      <c r="AW1064" s="313">
        <f>IFERROR(IF(INDEX([1]Pivot!$BF$1:$CG$65000,$B1064,AW$5)=1,1,IF(INDEX([1]Pivot!$B$1:$AB$65000,$B1064,AW$5)="",2,0)),0)</f>
        <v>0</v>
      </c>
      <c r="AX1064" s="313">
        <f>IFERROR(IF(INDEX([1]Pivot!$BF$1:$CG$65000,$B1064,AX$5)=1,1,IF(INDEX([1]Pivot!$B$1:$AB$65000,$B1064,AX$5)="",2,0)),0)</f>
        <v>0</v>
      </c>
      <c r="AY1064" s="313">
        <f>IFERROR(IF(INDEX([1]Pivot!$BF$1:$CG$65000,$B1064,AY$5)=1,1,IF(INDEX([1]Pivot!$B$1:$AB$65000,$B1064,AY$5)="",2,0)),0)</f>
        <v>0</v>
      </c>
      <c r="AZ1064" s="313">
        <f>IFERROR(IF(INDEX([1]Pivot!$BF$1:$CG$65000,$B1064,AZ$5)=1,1,IF(INDEX([1]Pivot!$B$1:$AB$65000,$B1064,AZ$5)="",2,0)),0)</f>
        <v>0</v>
      </c>
      <c r="BA1064" s="313">
        <f>IFERROR(IF(INDEX([1]Pivot!$BF$1:$CG$65000,$B1064,BA$5)=1,1,IF(INDEX([1]Pivot!$B$1:$AB$65000,$B1064,BA$5)="",2,0)),0)</f>
        <v>0</v>
      </c>
      <c r="BB1064" s="313">
        <f>IFERROR(IF(INDEX([1]Pivot!$BF$1:$CG$65000,$B1064,BB$5)=1,1,IF(INDEX([1]Pivot!$B$1:$AB$65000,$B1064,BB$5)="",2,0)),0)</f>
        <v>0</v>
      </c>
      <c r="BC1064" s="313">
        <f>IFERROR(IF(INDEX([1]Pivot!$BF$1:$CG$65000,$B1064,BC$5)=1,1,IF(INDEX([1]Pivot!$B$1:$AB$65000,$B1064,BC$5)="",2,0)),0)</f>
        <v>0</v>
      </c>
      <c r="BD1064" s="313">
        <f>IFERROR(IF(INDEX([1]Pivot!$BF$1:$CG$65000,$B1064,BD$5)=1,1,IF(INDEX([1]Pivot!$B$1:$AB$65000,$B1064,BD$5)="",2,0)),0)</f>
        <v>0</v>
      </c>
    </row>
    <row r="1065" spans="1:56" x14ac:dyDescent="0.25">
      <c r="A1065" s="288">
        <f>'[2]Raw Milk Prices'!A1065</f>
        <v>0</v>
      </c>
      <c r="B1065" s="296" t="e">
        <f>MATCH(DATE(LEFT('[2]Raw Milk Prices'!$A1065,4),RIGHT('[2]Raw Milk Prices'!$A1065,2),1),[1]Pivot!$A$1:$A$65000,0)</f>
        <v>#VALUE!</v>
      </c>
      <c r="C1065" s="194">
        <f>IFERROR(IF(INDEX([1]Pivot!$AD$1:$BE$65000,$B1065,C$5)=1,1,IF(INDEX([1]Pivot!$B$1:$AB$65000,$B1065,C$5)="",2,0)),0)</f>
        <v>0</v>
      </c>
      <c r="D1065" s="194">
        <f>IFERROR(IF(INDEX([1]Pivot!$AD$1:$BE$65000,$B1065,D$5)=1,1,IF(INDEX([1]Pivot!$B$1:$AB$65000,$B1065,D$5)="",2,0)),0)</f>
        <v>0</v>
      </c>
      <c r="E1065" s="194">
        <f>IFERROR(IF(INDEX([1]Pivot!$AD$1:$BE$65000,$B1065,E$5)=1,1,IF(INDEX([1]Pivot!$B$1:$AB$65000,$B1065,E$5)="",2,0)),0)</f>
        <v>0</v>
      </c>
      <c r="F1065" s="194">
        <f>IFERROR(IF(INDEX([1]Pivot!$AD$1:$BE$65000,$B1065,F$5)=1,1,IF(INDEX([1]Pivot!$B$1:$AB$65000,$B1065,F$5)="",2,0)),0)</f>
        <v>0</v>
      </c>
      <c r="G1065" s="194">
        <f>IFERROR(IF(INDEX([1]Pivot!$AD$1:$BE$65000,$B1065,G$5)=1,1,IF(INDEX([1]Pivot!$B$1:$AB$65000,$B1065,G$5)="",2,0)),0)</f>
        <v>0</v>
      </c>
      <c r="H1065" s="194">
        <f>IFERROR(IF(INDEX([1]Pivot!$AD$1:$BE$65000,$B1065,H$5)=1,1,IF(INDEX([1]Pivot!$B$1:$AB$65000,$B1065,H$5)="",2,0)),0)</f>
        <v>0</v>
      </c>
      <c r="I1065" s="194">
        <f>IFERROR(IF(INDEX([1]Pivot!$AD$1:$BE$65000,$B1065,I$5)=1,1,IF(INDEX([1]Pivot!$B$1:$AB$65000,$B1065,I$5)="",2,0)),0)</f>
        <v>0</v>
      </c>
      <c r="J1065" s="194">
        <f>IFERROR(IF(INDEX([1]Pivot!$AD$1:$BE$65000,$B1065,J$5)=1,1,IF(INDEX([1]Pivot!$B$1:$AB$65000,$B1065,J$5)="",2,0)),0)</f>
        <v>0</v>
      </c>
      <c r="K1065" s="194">
        <f>IFERROR(IF(INDEX([1]Pivot!$AD$1:$BE$65000,$B1065,K$5)=1,1,IF(INDEX([1]Pivot!$B$1:$AB$65000,$B1065,K$5)="",2,0)),0)</f>
        <v>0</v>
      </c>
      <c r="L1065" s="194">
        <f>IFERROR(IF(INDEX([1]Pivot!$AD$1:$BE$65000,$B1065,L$5)=1,1,IF(INDEX([1]Pivot!$B$1:$AB$65000,$B1065,L$5)="",2,0)),0)</f>
        <v>0</v>
      </c>
      <c r="M1065" s="194">
        <f>IFERROR(IF(INDEX([1]Pivot!$AD$1:$BE$65000,$B1065,M$5)=1,1,IF(INDEX([1]Pivot!$B$1:$AB$65000,$B1065,M$5)="",2,0)),0)</f>
        <v>0</v>
      </c>
      <c r="N1065" s="194">
        <f>IFERROR(IF(INDEX([1]Pivot!$AD$1:$BE$65000,$B1065,N$5)=1,1,IF(INDEX([1]Pivot!$B$1:$AB$65000,$B1065,N$5)="",2,0)),0)</f>
        <v>0</v>
      </c>
      <c r="O1065" s="194">
        <f>IFERROR(IF(INDEX([1]Pivot!$AD$1:$BE$65000,$B1065,O$5)=1,1,IF(INDEX([1]Pivot!$B$1:$AB$65000,$B1065,O$5)="",2,0)),0)</f>
        <v>0</v>
      </c>
      <c r="P1065" s="194">
        <f>IFERROR(IF(INDEX([1]Pivot!$AD$1:$BE$65000,$B1065,P$5)=1,1,IF(INDEX([1]Pivot!$B$1:$AB$65000,$B1065,P$5)="",2,0)),0)</f>
        <v>0</v>
      </c>
      <c r="Q1065" s="194">
        <f>IFERROR(IF(INDEX([1]Pivot!$AD$1:$BE$65000,$B1065,Q$5)=1,1,IF(INDEX([1]Pivot!$B$1:$AB$65000,$B1065,Q$5)="",2,0)),0)</f>
        <v>0</v>
      </c>
      <c r="R1065" s="312"/>
      <c r="S1065" s="194">
        <f>IFERROR(IF(INDEX([1]Pivot!$AD$1:$BE$65000,$B1065,S$5)=1,1,IF(INDEX([1]Pivot!$B$1:$AB$65000,$B1065,S$5)="",2,0)),0)</f>
        <v>0</v>
      </c>
      <c r="T1065" s="194">
        <f>IFERROR(IF(INDEX([1]Pivot!$AD$1:$BE$65000,$B1065,T$5)=1,1,IF(INDEX([1]Pivot!$B$1:$AB$65000,$B1065,T$5)="",2,0)),0)</f>
        <v>0</v>
      </c>
      <c r="U1065" s="194">
        <f>IFERROR(IF(INDEX([1]Pivot!$AD$1:$BE$65000,$B1065,U$5)=1,1,IF(INDEX([1]Pivot!$B$1:$AB$65000,$B1065,U$5)="",2,0)),0)</f>
        <v>0</v>
      </c>
      <c r="V1065" s="194">
        <f>IFERROR(IF(INDEX([1]Pivot!$AD$1:$BE$65000,$B1065,V$5)=1,1,IF(INDEX([1]Pivot!$B$1:$AB$65000,$B1065,V$5)="",2,0)),0)</f>
        <v>0</v>
      </c>
      <c r="W1065" s="194">
        <f>IFERROR(IF(INDEX([1]Pivot!$AD$1:$BE$65000,$B1065,W$5)=1,1,IF(INDEX([1]Pivot!$B$1:$AB$65000,$B1065,W$5)="",2,0)),0)</f>
        <v>0</v>
      </c>
      <c r="X1065" s="194">
        <f>IFERROR(IF(INDEX([1]Pivot!$AD$1:$BE$65000,$B1065,X$5)=1,1,IF(INDEX([1]Pivot!$B$1:$AB$65000,$B1065,X$5)="",2,0)),0)</f>
        <v>0</v>
      </c>
      <c r="Y1065" s="194">
        <f>IFERROR(IF(INDEX([1]Pivot!$AD$1:$BE$65000,$B1065,Y$5)=1,1,IF(INDEX([1]Pivot!$B$1:$AB$65000,$B1065,Y$5)="",2,0)),0)</f>
        <v>0</v>
      </c>
      <c r="Z1065" s="194">
        <f>IFERROR(IF(INDEX([1]Pivot!$AD$1:$BE$65000,$B1065,Z$5)=1,1,IF(INDEX([1]Pivot!$B$1:$AB$65000,$B1065,Z$5)="",2,0)),0)</f>
        <v>0</v>
      </c>
      <c r="AA1065" s="194">
        <f>IFERROR(IF(INDEX([1]Pivot!$AD$1:$BE$65000,$B1065,AA$5)=1,1,IF(INDEX([1]Pivot!$B$1:$AB$65000,$B1065,AA$5)="",2,0)),0)</f>
        <v>0</v>
      </c>
      <c r="AB1065" s="194">
        <f>IFERROR(IF(INDEX([1]Pivot!$AD$1:$BE$65000,$B1065,AB$5)=1,1,IF(INDEX([1]Pivot!$B$1:$AB$65000,$B1065,AB$5)="",2,0)),0)</f>
        <v>0</v>
      </c>
      <c r="AC1065" s="194">
        <f>IFERROR(IF(INDEX([1]Pivot!$AD$1:$BE$65000,$B1065,AC$5)=1,1,IF(INDEX([1]Pivot!$B$1:$AB$65000,$B1065,AC$5)="",2,0)),0)</f>
        <v>0</v>
      </c>
      <c r="AD1065" s="313">
        <f>IFERROR(IF(INDEX([1]Pivot!$BF$1:$CG$65000,$B1065,AD$5)=1,1,IF(INDEX([1]Pivot!$B$1:$AB$65000,$B1065,AD$5)="",2,0)),0)</f>
        <v>0</v>
      </c>
      <c r="AE1065" s="313">
        <f>IFERROR(IF(INDEX([1]Pivot!$BF$1:$CG$65000,$B1065,AE$5)=1,1,IF(INDEX([1]Pivot!$B$1:$AB$65000,$B1065,AE$5)="",2,0)),0)</f>
        <v>0</v>
      </c>
      <c r="AF1065" s="313">
        <f>IFERROR(IF(INDEX([1]Pivot!$BF$1:$CG$65000,$B1065,AF$5)=1,1,IF(INDEX([1]Pivot!$B$1:$AB$65000,$B1065,AF$5)="",2,0)),0)</f>
        <v>0</v>
      </c>
      <c r="AG1065" s="313">
        <f>IFERROR(IF(INDEX([1]Pivot!$BF$1:$CG$65000,$B1065,AG$5)=1,1,IF(INDEX([1]Pivot!$B$1:$AB$65000,$B1065,AG$5)="",2,0)),0)</f>
        <v>0</v>
      </c>
      <c r="AH1065" s="313">
        <f>IFERROR(IF(INDEX([1]Pivot!$BF$1:$CG$65000,$B1065,AH$5)=1,1,IF(INDEX([1]Pivot!$B$1:$AB$65000,$B1065,AH$5)="",2,0)),0)</f>
        <v>0</v>
      </c>
      <c r="AI1065" s="313">
        <f>IFERROR(IF(INDEX([1]Pivot!$BF$1:$CG$65000,$B1065,AI$5)=1,1,IF(INDEX([1]Pivot!$B$1:$AB$65000,$B1065,AI$5)="",2,0)),0)</f>
        <v>0</v>
      </c>
      <c r="AJ1065" s="313">
        <f>IFERROR(IF(INDEX([1]Pivot!$BF$1:$CG$65000,$B1065,AJ$5)=1,1,IF(INDEX([1]Pivot!$B$1:$AB$65000,$B1065,AJ$5)="",2,0)),0)</f>
        <v>0</v>
      </c>
      <c r="AK1065" s="313">
        <f>IFERROR(IF(INDEX([1]Pivot!$BF$1:$CG$65000,$B1065,AK$5)=1,1,IF(INDEX([1]Pivot!$B$1:$AB$65000,$B1065,AK$5)="",2,0)),0)</f>
        <v>0</v>
      </c>
      <c r="AL1065" s="313">
        <f>IFERROR(IF(INDEX([1]Pivot!$BF$1:$CG$65000,$B1065,AL$5)=1,1,IF(INDEX([1]Pivot!$B$1:$AB$65000,$B1065,AL$5)="",2,0)),0)</f>
        <v>0</v>
      </c>
      <c r="AM1065" s="313">
        <f>IFERROR(IF(INDEX([1]Pivot!$BF$1:$CG$65000,$B1065,AM$5)=1,1,IF(INDEX([1]Pivot!$B$1:$AB$65000,$B1065,AM$5)="",2,0)),0)</f>
        <v>0</v>
      </c>
      <c r="AN1065" s="313">
        <f>IFERROR(IF(INDEX([1]Pivot!$BF$1:$CG$65000,$B1065,AN$5)=1,1,IF(INDEX([1]Pivot!$B$1:$AB$65000,$B1065,AN$5)="",2,0)),0)</f>
        <v>0</v>
      </c>
      <c r="AO1065" s="313">
        <f>IFERROR(IF(INDEX([1]Pivot!$BF$1:$CG$65000,$B1065,AO$5)=1,1,IF(INDEX([1]Pivot!$B$1:$AB$65000,$B1065,AO$5)="",2,0)),0)</f>
        <v>0</v>
      </c>
      <c r="AP1065" s="313">
        <f>IFERROR(IF(INDEX([1]Pivot!$BF$1:$CG$65000,$B1065,AP$5)=1,1,IF(INDEX([1]Pivot!$B$1:$AB$65000,$B1065,AP$5)="",2,0)),0)</f>
        <v>0</v>
      </c>
      <c r="AQ1065" s="313">
        <f>IFERROR(IF(INDEX([1]Pivot!$BF$1:$CG$65000,$B1065,AQ$5)=1,1,IF(INDEX([1]Pivot!$B$1:$AB$65000,$B1065,AQ$5)="",2,0)),0)</f>
        <v>0</v>
      </c>
      <c r="AR1065" s="313">
        <f>IFERROR(IF(INDEX([1]Pivot!$BF$1:$CG$65000,$B1065,AR$5)=1,1,IF(INDEX([1]Pivot!$B$1:$AB$65000,$B1065,AR$5)="",2,0)),0)</f>
        <v>0</v>
      </c>
      <c r="AS1065" s="312"/>
      <c r="AT1065" s="313">
        <f>IFERROR(IF(INDEX([1]Pivot!$BF$1:$CG$65000,$B1065,AT$5)=1,1,IF(INDEX([1]Pivot!$B$1:$AB$65000,$B1065,AT$5)="",2,0)),0)</f>
        <v>0</v>
      </c>
      <c r="AU1065" s="313">
        <f>IFERROR(IF(INDEX([1]Pivot!$BF$1:$CG$65000,$B1065,AU$5)=1,1,IF(INDEX([1]Pivot!$B$1:$AB$65000,$B1065,AU$5)="",2,0)),0)</f>
        <v>0</v>
      </c>
      <c r="AV1065" s="313">
        <f>IFERROR(IF(INDEX([1]Pivot!$BF$1:$CG$65000,$B1065,AV$5)=1,1,IF(INDEX([1]Pivot!$B$1:$AB$65000,$B1065,AV$5)="",2,0)),0)</f>
        <v>0</v>
      </c>
      <c r="AW1065" s="313">
        <f>IFERROR(IF(INDEX([1]Pivot!$BF$1:$CG$65000,$B1065,AW$5)=1,1,IF(INDEX([1]Pivot!$B$1:$AB$65000,$B1065,AW$5)="",2,0)),0)</f>
        <v>0</v>
      </c>
      <c r="AX1065" s="313">
        <f>IFERROR(IF(INDEX([1]Pivot!$BF$1:$CG$65000,$B1065,AX$5)=1,1,IF(INDEX([1]Pivot!$B$1:$AB$65000,$B1065,AX$5)="",2,0)),0)</f>
        <v>0</v>
      </c>
      <c r="AY1065" s="313">
        <f>IFERROR(IF(INDEX([1]Pivot!$BF$1:$CG$65000,$B1065,AY$5)=1,1,IF(INDEX([1]Pivot!$B$1:$AB$65000,$B1065,AY$5)="",2,0)),0)</f>
        <v>0</v>
      </c>
      <c r="AZ1065" s="313">
        <f>IFERROR(IF(INDEX([1]Pivot!$BF$1:$CG$65000,$B1065,AZ$5)=1,1,IF(INDEX([1]Pivot!$B$1:$AB$65000,$B1065,AZ$5)="",2,0)),0)</f>
        <v>0</v>
      </c>
      <c r="BA1065" s="313">
        <f>IFERROR(IF(INDEX([1]Pivot!$BF$1:$CG$65000,$B1065,BA$5)=1,1,IF(INDEX([1]Pivot!$B$1:$AB$65000,$B1065,BA$5)="",2,0)),0)</f>
        <v>0</v>
      </c>
      <c r="BB1065" s="313">
        <f>IFERROR(IF(INDEX([1]Pivot!$BF$1:$CG$65000,$B1065,BB$5)=1,1,IF(INDEX([1]Pivot!$B$1:$AB$65000,$B1065,BB$5)="",2,0)),0)</f>
        <v>0</v>
      </c>
      <c r="BC1065" s="313">
        <f>IFERROR(IF(INDEX([1]Pivot!$BF$1:$CG$65000,$B1065,BC$5)=1,1,IF(INDEX([1]Pivot!$B$1:$AB$65000,$B1065,BC$5)="",2,0)),0)</f>
        <v>0</v>
      </c>
      <c r="BD1065" s="313">
        <f>IFERROR(IF(INDEX([1]Pivot!$BF$1:$CG$65000,$B1065,BD$5)=1,1,IF(INDEX([1]Pivot!$B$1:$AB$65000,$B1065,BD$5)="",2,0)),0)</f>
        <v>0</v>
      </c>
    </row>
    <row r="1066" spans="1:56" x14ac:dyDescent="0.25">
      <c r="A1066" s="288">
        <f>'[2]Raw Milk Prices'!A1066</f>
        <v>0</v>
      </c>
      <c r="B1066" s="296" t="e">
        <f>MATCH(DATE(LEFT('[2]Raw Milk Prices'!$A1066,4),RIGHT('[2]Raw Milk Prices'!$A1066,2),1),[1]Pivot!$A$1:$A$65000,0)</f>
        <v>#VALUE!</v>
      </c>
      <c r="C1066" s="194">
        <f>IFERROR(IF(INDEX([1]Pivot!$AD$1:$BE$65000,$B1066,C$5)=1,1,IF(INDEX([1]Pivot!$B$1:$AB$65000,$B1066,C$5)="",2,0)),0)</f>
        <v>0</v>
      </c>
      <c r="D1066" s="194">
        <f>IFERROR(IF(INDEX([1]Pivot!$AD$1:$BE$65000,$B1066,D$5)=1,1,IF(INDEX([1]Pivot!$B$1:$AB$65000,$B1066,D$5)="",2,0)),0)</f>
        <v>0</v>
      </c>
      <c r="E1066" s="194">
        <f>IFERROR(IF(INDEX([1]Pivot!$AD$1:$BE$65000,$B1066,E$5)=1,1,IF(INDEX([1]Pivot!$B$1:$AB$65000,$B1066,E$5)="",2,0)),0)</f>
        <v>0</v>
      </c>
      <c r="F1066" s="194">
        <f>IFERROR(IF(INDEX([1]Pivot!$AD$1:$BE$65000,$B1066,F$5)=1,1,IF(INDEX([1]Pivot!$B$1:$AB$65000,$B1066,F$5)="",2,0)),0)</f>
        <v>0</v>
      </c>
      <c r="G1066" s="194">
        <f>IFERROR(IF(INDEX([1]Pivot!$AD$1:$BE$65000,$B1066,G$5)=1,1,IF(INDEX([1]Pivot!$B$1:$AB$65000,$B1066,G$5)="",2,0)),0)</f>
        <v>0</v>
      </c>
      <c r="H1066" s="194">
        <f>IFERROR(IF(INDEX([1]Pivot!$AD$1:$BE$65000,$B1066,H$5)=1,1,IF(INDEX([1]Pivot!$B$1:$AB$65000,$B1066,H$5)="",2,0)),0)</f>
        <v>0</v>
      </c>
      <c r="I1066" s="194">
        <f>IFERROR(IF(INDEX([1]Pivot!$AD$1:$BE$65000,$B1066,I$5)=1,1,IF(INDEX([1]Pivot!$B$1:$AB$65000,$B1066,I$5)="",2,0)),0)</f>
        <v>0</v>
      </c>
      <c r="J1066" s="194">
        <f>IFERROR(IF(INDEX([1]Pivot!$AD$1:$BE$65000,$B1066,J$5)=1,1,IF(INDEX([1]Pivot!$B$1:$AB$65000,$B1066,J$5)="",2,0)),0)</f>
        <v>0</v>
      </c>
      <c r="K1066" s="194">
        <f>IFERROR(IF(INDEX([1]Pivot!$AD$1:$BE$65000,$B1066,K$5)=1,1,IF(INDEX([1]Pivot!$B$1:$AB$65000,$B1066,K$5)="",2,0)),0)</f>
        <v>0</v>
      </c>
      <c r="L1066" s="194">
        <f>IFERROR(IF(INDEX([1]Pivot!$AD$1:$BE$65000,$B1066,L$5)=1,1,IF(INDEX([1]Pivot!$B$1:$AB$65000,$B1066,L$5)="",2,0)),0)</f>
        <v>0</v>
      </c>
      <c r="M1066" s="194">
        <f>IFERROR(IF(INDEX([1]Pivot!$AD$1:$BE$65000,$B1066,M$5)=1,1,IF(INDEX([1]Pivot!$B$1:$AB$65000,$B1066,M$5)="",2,0)),0)</f>
        <v>0</v>
      </c>
      <c r="N1066" s="194">
        <f>IFERROR(IF(INDEX([1]Pivot!$AD$1:$BE$65000,$B1066,N$5)=1,1,IF(INDEX([1]Pivot!$B$1:$AB$65000,$B1066,N$5)="",2,0)),0)</f>
        <v>0</v>
      </c>
      <c r="O1066" s="194">
        <f>IFERROR(IF(INDEX([1]Pivot!$AD$1:$BE$65000,$B1066,O$5)=1,1,IF(INDEX([1]Pivot!$B$1:$AB$65000,$B1066,O$5)="",2,0)),0)</f>
        <v>0</v>
      </c>
      <c r="P1066" s="194">
        <f>IFERROR(IF(INDEX([1]Pivot!$AD$1:$BE$65000,$B1066,P$5)=1,1,IF(INDEX([1]Pivot!$B$1:$AB$65000,$B1066,P$5)="",2,0)),0)</f>
        <v>0</v>
      </c>
      <c r="Q1066" s="194">
        <f>IFERROR(IF(INDEX([1]Pivot!$AD$1:$BE$65000,$B1066,Q$5)=1,1,IF(INDEX([1]Pivot!$B$1:$AB$65000,$B1066,Q$5)="",2,0)),0)</f>
        <v>0</v>
      </c>
      <c r="R1066" s="312"/>
      <c r="S1066" s="194">
        <f>IFERROR(IF(INDEX([1]Pivot!$AD$1:$BE$65000,$B1066,S$5)=1,1,IF(INDEX([1]Pivot!$B$1:$AB$65000,$B1066,S$5)="",2,0)),0)</f>
        <v>0</v>
      </c>
      <c r="T1066" s="194">
        <f>IFERROR(IF(INDEX([1]Pivot!$AD$1:$BE$65000,$B1066,T$5)=1,1,IF(INDEX([1]Pivot!$B$1:$AB$65000,$B1066,T$5)="",2,0)),0)</f>
        <v>0</v>
      </c>
      <c r="U1066" s="194">
        <f>IFERROR(IF(INDEX([1]Pivot!$AD$1:$BE$65000,$B1066,U$5)=1,1,IF(INDEX([1]Pivot!$B$1:$AB$65000,$B1066,U$5)="",2,0)),0)</f>
        <v>0</v>
      </c>
      <c r="V1066" s="194">
        <f>IFERROR(IF(INDEX([1]Pivot!$AD$1:$BE$65000,$B1066,V$5)=1,1,IF(INDEX([1]Pivot!$B$1:$AB$65000,$B1066,V$5)="",2,0)),0)</f>
        <v>0</v>
      </c>
      <c r="W1066" s="194">
        <f>IFERROR(IF(INDEX([1]Pivot!$AD$1:$BE$65000,$B1066,W$5)=1,1,IF(INDEX([1]Pivot!$B$1:$AB$65000,$B1066,W$5)="",2,0)),0)</f>
        <v>0</v>
      </c>
      <c r="X1066" s="194">
        <f>IFERROR(IF(INDEX([1]Pivot!$AD$1:$BE$65000,$B1066,X$5)=1,1,IF(INDEX([1]Pivot!$B$1:$AB$65000,$B1066,X$5)="",2,0)),0)</f>
        <v>0</v>
      </c>
      <c r="Y1066" s="194">
        <f>IFERROR(IF(INDEX([1]Pivot!$AD$1:$BE$65000,$B1066,Y$5)=1,1,IF(INDEX([1]Pivot!$B$1:$AB$65000,$B1066,Y$5)="",2,0)),0)</f>
        <v>0</v>
      </c>
      <c r="Z1066" s="194">
        <f>IFERROR(IF(INDEX([1]Pivot!$AD$1:$BE$65000,$B1066,Z$5)=1,1,IF(INDEX([1]Pivot!$B$1:$AB$65000,$B1066,Z$5)="",2,0)),0)</f>
        <v>0</v>
      </c>
      <c r="AA1066" s="194">
        <f>IFERROR(IF(INDEX([1]Pivot!$AD$1:$BE$65000,$B1066,AA$5)=1,1,IF(INDEX([1]Pivot!$B$1:$AB$65000,$B1066,AA$5)="",2,0)),0)</f>
        <v>0</v>
      </c>
      <c r="AB1066" s="194">
        <f>IFERROR(IF(INDEX([1]Pivot!$AD$1:$BE$65000,$B1066,AB$5)=1,1,IF(INDEX([1]Pivot!$B$1:$AB$65000,$B1066,AB$5)="",2,0)),0)</f>
        <v>0</v>
      </c>
      <c r="AC1066" s="194">
        <f>IFERROR(IF(INDEX([1]Pivot!$AD$1:$BE$65000,$B1066,AC$5)=1,1,IF(INDEX([1]Pivot!$B$1:$AB$65000,$B1066,AC$5)="",2,0)),0)</f>
        <v>0</v>
      </c>
      <c r="AD1066" s="313">
        <f>IFERROR(IF(INDEX([1]Pivot!$BF$1:$CG$65000,$B1066,AD$5)=1,1,IF(INDEX([1]Pivot!$B$1:$AB$65000,$B1066,AD$5)="",2,0)),0)</f>
        <v>0</v>
      </c>
      <c r="AE1066" s="313">
        <f>IFERROR(IF(INDEX([1]Pivot!$BF$1:$CG$65000,$B1066,AE$5)=1,1,IF(INDEX([1]Pivot!$B$1:$AB$65000,$B1066,AE$5)="",2,0)),0)</f>
        <v>0</v>
      </c>
      <c r="AF1066" s="313">
        <f>IFERROR(IF(INDEX([1]Pivot!$BF$1:$CG$65000,$B1066,AF$5)=1,1,IF(INDEX([1]Pivot!$B$1:$AB$65000,$B1066,AF$5)="",2,0)),0)</f>
        <v>0</v>
      </c>
      <c r="AG1066" s="313">
        <f>IFERROR(IF(INDEX([1]Pivot!$BF$1:$CG$65000,$B1066,AG$5)=1,1,IF(INDEX([1]Pivot!$B$1:$AB$65000,$B1066,AG$5)="",2,0)),0)</f>
        <v>0</v>
      </c>
      <c r="AH1066" s="313">
        <f>IFERROR(IF(INDEX([1]Pivot!$BF$1:$CG$65000,$B1066,AH$5)=1,1,IF(INDEX([1]Pivot!$B$1:$AB$65000,$B1066,AH$5)="",2,0)),0)</f>
        <v>0</v>
      </c>
      <c r="AI1066" s="313">
        <f>IFERROR(IF(INDEX([1]Pivot!$BF$1:$CG$65000,$B1066,AI$5)=1,1,IF(INDEX([1]Pivot!$B$1:$AB$65000,$B1066,AI$5)="",2,0)),0)</f>
        <v>0</v>
      </c>
      <c r="AJ1066" s="313">
        <f>IFERROR(IF(INDEX([1]Pivot!$BF$1:$CG$65000,$B1066,AJ$5)=1,1,IF(INDEX([1]Pivot!$B$1:$AB$65000,$B1066,AJ$5)="",2,0)),0)</f>
        <v>0</v>
      </c>
      <c r="AK1066" s="313">
        <f>IFERROR(IF(INDEX([1]Pivot!$BF$1:$CG$65000,$B1066,AK$5)=1,1,IF(INDEX([1]Pivot!$B$1:$AB$65000,$B1066,AK$5)="",2,0)),0)</f>
        <v>0</v>
      </c>
      <c r="AL1066" s="313">
        <f>IFERROR(IF(INDEX([1]Pivot!$BF$1:$CG$65000,$B1066,AL$5)=1,1,IF(INDEX([1]Pivot!$B$1:$AB$65000,$B1066,AL$5)="",2,0)),0)</f>
        <v>0</v>
      </c>
      <c r="AM1066" s="313">
        <f>IFERROR(IF(INDEX([1]Pivot!$BF$1:$CG$65000,$B1066,AM$5)=1,1,IF(INDEX([1]Pivot!$B$1:$AB$65000,$B1066,AM$5)="",2,0)),0)</f>
        <v>0</v>
      </c>
      <c r="AN1066" s="313">
        <f>IFERROR(IF(INDEX([1]Pivot!$BF$1:$CG$65000,$B1066,AN$5)=1,1,IF(INDEX([1]Pivot!$B$1:$AB$65000,$B1066,AN$5)="",2,0)),0)</f>
        <v>0</v>
      </c>
      <c r="AO1066" s="313">
        <f>IFERROR(IF(INDEX([1]Pivot!$BF$1:$CG$65000,$B1066,AO$5)=1,1,IF(INDEX([1]Pivot!$B$1:$AB$65000,$B1066,AO$5)="",2,0)),0)</f>
        <v>0</v>
      </c>
      <c r="AP1066" s="313">
        <f>IFERROR(IF(INDEX([1]Pivot!$BF$1:$CG$65000,$B1066,AP$5)=1,1,IF(INDEX([1]Pivot!$B$1:$AB$65000,$B1066,AP$5)="",2,0)),0)</f>
        <v>0</v>
      </c>
      <c r="AQ1066" s="313">
        <f>IFERROR(IF(INDEX([1]Pivot!$BF$1:$CG$65000,$B1066,AQ$5)=1,1,IF(INDEX([1]Pivot!$B$1:$AB$65000,$B1066,AQ$5)="",2,0)),0)</f>
        <v>0</v>
      </c>
      <c r="AR1066" s="313">
        <f>IFERROR(IF(INDEX([1]Pivot!$BF$1:$CG$65000,$B1066,AR$5)=1,1,IF(INDEX([1]Pivot!$B$1:$AB$65000,$B1066,AR$5)="",2,0)),0)</f>
        <v>0</v>
      </c>
      <c r="AS1066" s="312"/>
      <c r="AT1066" s="313">
        <f>IFERROR(IF(INDEX([1]Pivot!$BF$1:$CG$65000,$B1066,AT$5)=1,1,IF(INDEX([1]Pivot!$B$1:$AB$65000,$B1066,AT$5)="",2,0)),0)</f>
        <v>0</v>
      </c>
      <c r="AU1066" s="313">
        <f>IFERROR(IF(INDEX([1]Pivot!$BF$1:$CG$65000,$B1066,AU$5)=1,1,IF(INDEX([1]Pivot!$B$1:$AB$65000,$B1066,AU$5)="",2,0)),0)</f>
        <v>0</v>
      </c>
      <c r="AV1066" s="313">
        <f>IFERROR(IF(INDEX([1]Pivot!$BF$1:$CG$65000,$B1066,AV$5)=1,1,IF(INDEX([1]Pivot!$B$1:$AB$65000,$B1066,AV$5)="",2,0)),0)</f>
        <v>0</v>
      </c>
      <c r="AW1066" s="313">
        <f>IFERROR(IF(INDEX([1]Pivot!$BF$1:$CG$65000,$B1066,AW$5)=1,1,IF(INDEX([1]Pivot!$B$1:$AB$65000,$B1066,AW$5)="",2,0)),0)</f>
        <v>0</v>
      </c>
      <c r="AX1066" s="313">
        <f>IFERROR(IF(INDEX([1]Pivot!$BF$1:$CG$65000,$B1066,AX$5)=1,1,IF(INDEX([1]Pivot!$B$1:$AB$65000,$B1066,AX$5)="",2,0)),0)</f>
        <v>0</v>
      </c>
      <c r="AY1066" s="313">
        <f>IFERROR(IF(INDEX([1]Pivot!$BF$1:$CG$65000,$B1066,AY$5)=1,1,IF(INDEX([1]Pivot!$B$1:$AB$65000,$B1066,AY$5)="",2,0)),0)</f>
        <v>0</v>
      </c>
      <c r="AZ1066" s="313">
        <f>IFERROR(IF(INDEX([1]Pivot!$BF$1:$CG$65000,$B1066,AZ$5)=1,1,IF(INDEX([1]Pivot!$B$1:$AB$65000,$B1066,AZ$5)="",2,0)),0)</f>
        <v>0</v>
      </c>
      <c r="BA1066" s="313">
        <f>IFERROR(IF(INDEX([1]Pivot!$BF$1:$CG$65000,$B1066,BA$5)=1,1,IF(INDEX([1]Pivot!$B$1:$AB$65000,$B1066,BA$5)="",2,0)),0)</f>
        <v>0</v>
      </c>
      <c r="BB1066" s="313">
        <f>IFERROR(IF(INDEX([1]Pivot!$BF$1:$CG$65000,$B1066,BB$5)=1,1,IF(INDEX([1]Pivot!$B$1:$AB$65000,$B1066,BB$5)="",2,0)),0)</f>
        <v>0</v>
      </c>
      <c r="BC1066" s="313">
        <f>IFERROR(IF(INDEX([1]Pivot!$BF$1:$CG$65000,$B1066,BC$5)=1,1,IF(INDEX([1]Pivot!$B$1:$AB$65000,$B1066,BC$5)="",2,0)),0)</f>
        <v>0</v>
      </c>
      <c r="BD1066" s="313">
        <f>IFERROR(IF(INDEX([1]Pivot!$BF$1:$CG$65000,$B1066,BD$5)=1,1,IF(INDEX([1]Pivot!$B$1:$AB$65000,$B1066,BD$5)="",2,0)),0)</f>
        <v>0</v>
      </c>
    </row>
    <row r="1067" spans="1:56" x14ac:dyDescent="0.25">
      <c r="A1067" s="288">
        <f>'[2]Raw Milk Prices'!A1067</f>
        <v>0</v>
      </c>
      <c r="B1067" s="296" t="e">
        <f>MATCH(DATE(LEFT('[2]Raw Milk Prices'!$A1067,4),RIGHT('[2]Raw Milk Prices'!$A1067,2),1),[1]Pivot!$A$1:$A$65000,0)</f>
        <v>#VALUE!</v>
      </c>
      <c r="C1067" s="194">
        <f>IFERROR(IF(INDEX([1]Pivot!$AD$1:$BE$65000,$B1067,C$5)=1,1,IF(INDEX([1]Pivot!$B$1:$AB$65000,$B1067,C$5)="",2,0)),0)</f>
        <v>0</v>
      </c>
      <c r="D1067" s="194">
        <f>IFERROR(IF(INDEX([1]Pivot!$AD$1:$BE$65000,$B1067,D$5)=1,1,IF(INDEX([1]Pivot!$B$1:$AB$65000,$B1067,D$5)="",2,0)),0)</f>
        <v>0</v>
      </c>
      <c r="E1067" s="194">
        <f>IFERROR(IF(INDEX([1]Pivot!$AD$1:$BE$65000,$B1067,E$5)=1,1,IF(INDEX([1]Pivot!$B$1:$AB$65000,$B1067,E$5)="",2,0)),0)</f>
        <v>0</v>
      </c>
      <c r="F1067" s="194">
        <f>IFERROR(IF(INDEX([1]Pivot!$AD$1:$BE$65000,$B1067,F$5)=1,1,IF(INDEX([1]Pivot!$B$1:$AB$65000,$B1067,F$5)="",2,0)),0)</f>
        <v>0</v>
      </c>
      <c r="G1067" s="194">
        <f>IFERROR(IF(INDEX([1]Pivot!$AD$1:$BE$65000,$B1067,G$5)=1,1,IF(INDEX([1]Pivot!$B$1:$AB$65000,$B1067,G$5)="",2,0)),0)</f>
        <v>0</v>
      </c>
      <c r="H1067" s="194">
        <f>IFERROR(IF(INDEX([1]Pivot!$AD$1:$BE$65000,$B1067,H$5)=1,1,IF(INDEX([1]Pivot!$B$1:$AB$65000,$B1067,H$5)="",2,0)),0)</f>
        <v>0</v>
      </c>
      <c r="I1067" s="194">
        <f>IFERROR(IF(INDEX([1]Pivot!$AD$1:$BE$65000,$B1067,I$5)=1,1,IF(INDEX([1]Pivot!$B$1:$AB$65000,$B1067,I$5)="",2,0)),0)</f>
        <v>0</v>
      </c>
      <c r="J1067" s="194">
        <f>IFERROR(IF(INDEX([1]Pivot!$AD$1:$BE$65000,$B1067,J$5)=1,1,IF(INDEX([1]Pivot!$B$1:$AB$65000,$B1067,J$5)="",2,0)),0)</f>
        <v>0</v>
      </c>
      <c r="K1067" s="194">
        <f>IFERROR(IF(INDEX([1]Pivot!$AD$1:$BE$65000,$B1067,K$5)=1,1,IF(INDEX([1]Pivot!$B$1:$AB$65000,$B1067,K$5)="",2,0)),0)</f>
        <v>0</v>
      </c>
      <c r="L1067" s="194">
        <f>IFERROR(IF(INDEX([1]Pivot!$AD$1:$BE$65000,$B1067,L$5)=1,1,IF(INDEX([1]Pivot!$B$1:$AB$65000,$B1067,L$5)="",2,0)),0)</f>
        <v>0</v>
      </c>
      <c r="M1067" s="194">
        <f>IFERROR(IF(INDEX([1]Pivot!$AD$1:$BE$65000,$B1067,M$5)=1,1,IF(INDEX([1]Pivot!$B$1:$AB$65000,$B1067,M$5)="",2,0)),0)</f>
        <v>0</v>
      </c>
      <c r="N1067" s="194">
        <f>IFERROR(IF(INDEX([1]Pivot!$AD$1:$BE$65000,$B1067,N$5)=1,1,IF(INDEX([1]Pivot!$B$1:$AB$65000,$B1067,N$5)="",2,0)),0)</f>
        <v>0</v>
      </c>
      <c r="O1067" s="194">
        <f>IFERROR(IF(INDEX([1]Pivot!$AD$1:$BE$65000,$B1067,O$5)=1,1,IF(INDEX([1]Pivot!$B$1:$AB$65000,$B1067,O$5)="",2,0)),0)</f>
        <v>0</v>
      </c>
      <c r="P1067" s="194">
        <f>IFERROR(IF(INDEX([1]Pivot!$AD$1:$BE$65000,$B1067,P$5)=1,1,IF(INDEX([1]Pivot!$B$1:$AB$65000,$B1067,P$5)="",2,0)),0)</f>
        <v>0</v>
      </c>
      <c r="Q1067" s="194">
        <f>IFERROR(IF(INDEX([1]Pivot!$AD$1:$BE$65000,$B1067,Q$5)=1,1,IF(INDEX([1]Pivot!$B$1:$AB$65000,$B1067,Q$5)="",2,0)),0)</f>
        <v>0</v>
      </c>
      <c r="R1067" s="312"/>
      <c r="S1067" s="194">
        <f>IFERROR(IF(INDEX([1]Pivot!$AD$1:$BE$65000,$B1067,S$5)=1,1,IF(INDEX([1]Pivot!$B$1:$AB$65000,$B1067,S$5)="",2,0)),0)</f>
        <v>0</v>
      </c>
      <c r="T1067" s="194">
        <f>IFERROR(IF(INDEX([1]Pivot!$AD$1:$BE$65000,$B1067,T$5)=1,1,IF(INDEX([1]Pivot!$B$1:$AB$65000,$B1067,T$5)="",2,0)),0)</f>
        <v>0</v>
      </c>
      <c r="U1067" s="194">
        <f>IFERROR(IF(INDEX([1]Pivot!$AD$1:$BE$65000,$B1067,U$5)=1,1,IF(INDEX([1]Pivot!$B$1:$AB$65000,$B1067,U$5)="",2,0)),0)</f>
        <v>0</v>
      </c>
      <c r="V1067" s="194">
        <f>IFERROR(IF(INDEX([1]Pivot!$AD$1:$BE$65000,$B1067,V$5)=1,1,IF(INDEX([1]Pivot!$B$1:$AB$65000,$B1067,V$5)="",2,0)),0)</f>
        <v>0</v>
      </c>
      <c r="W1067" s="194">
        <f>IFERROR(IF(INDEX([1]Pivot!$AD$1:$BE$65000,$B1067,W$5)=1,1,IF(INDEX([1]Pivot!$B$1:$AB$65000,$B1067,W$5)="",2,0)),0)</f>
        <v>0</v>
      </c>
      <c r="X1067" s="194">
        <f>IFERROR(IF(INDEX([1]Pivot!$AD$1:$BE$65000,$B1067,X$5)=1,1,IF(INDEX([1]Pivot!$B$1:$AB$65000,$B1067,X$5)="",2,0)),0)</f>
        <v>0</v>
      </c>
      <c r="Y1067" s="194">
        <f>IFERROR(IF(INDEX([1]Pivot!$AD$1:$BE$65000,$B1067,Y$5)=1,1,IF(INDEX([1]Pivot!$B$1:$AB$65000,$B1067,Y$5)="",2,0)),0)</f>
        <v>0</v>
      </c>
      <c r="Z1067" s="194">
        <f>IFERROR(IF(INDEX([1]Pivot!$AD$1:$BE$65000,$B1067,Z$5)=1,1,IF(INDEX([1]Pivot!$B$1:$AB$65000,$B1067,Z$5)="",2,0)),0)</f>
        <v>0</v>
      </c>
      <c r="AA1067" s="194">
        <f>IFERROR(IF(INDEX([1]Pivot!$AD$1:$BE$65000,$B1067,AA$5)=1,1,IF(INDEX([1]Pivot!$B$1:$AB$65000,$B1067,AA$5)="",2,0)),0)</f>
        <v>0</v>
      </c>
      <c r="AB1067" s="194">
        <f>IFERROR(IF(INDEX([1]Pivot!$AD$1:$BE$65000,$B1067,AB$5)=1,1,IF(INDEX([1]Pivot!$B$1:$AB$65000,$B1067,AB$5)="",2,0)),0)</f>
        <v>0</v>
      </c>
      <c r="AC1067" s="194">
        <f>IFERROR(IF(INDEX([1]Pivot!$AD$1:$BE$65000,$B1067,AC$5)=1,1,IF(INDEX([1]Pivot!$B$1:$AB$65000,$B1067,AC$5)="",2,0)),0)</f>
        <v>0</v>
      </c>
      <c r="AD1067" s="313">
        <f>IFERROR(IF(INDEX([1]Pivot!$BF$1:$CG$65000,$B1067,AD$5)=1,1,IF(INDEX([1]Pivot!$B$1:$AB$65000,$B1067,AD$5)="",2,0)),0)</f>
        <v>0</v>
      </c>
      <c r="AE1067" s="313">
        <f>IFERROR(IF(INDEX([1]Pivot!$BF$1:$CG$65000,$B1067,AE$5)=1,1,IF(INDEX([1]Pivot!$B$1:$AB$65000,$B1067,AE$5)="",2,0)),0)</f>
        <v>0</v>
      </c>
      <c r="AF1067" s="313">
        <f>IFERROR(IF(INDEX([1]Pivot!$BF$1:$CG$65000,$B1067,AF$5)=1,1,IF(INDEX([1]Pivot!$B$1:$AB$65000,$B1067,AF$5)="",2,0)),0)</f>
        <v>0</v>
      </c>
      <c r="AG1067" s="313">
        <f>IFERROR(IF(INDEX([1]Pivot!$BF$1:$CG$65000,$B1067,AG$5)=1,1,IF(INDEX([1]Pivot!$B$1:$AB$65000,$B1067,AG$5)="",2,0)),0)</f>
        <v>0</v>
      </c>
      <c r="AH1067" s="313">
        <f>IFERROR(IF(INDEX([1]Pivot!$BF$1:$CG$65000,$B1067,AH$5)=1,1,IF(INDEX([1]Pivot!$B$1:$AB$65000,$B1067,AH$5)="",2,0)),0)</f>
        <v>0</v>
      </c>
      <c r="AI1067" s="313">
        <f>IFERROR(IF(INDEX([1]Pivot!$BF$1:$CG$65000,$B1067,AI$5)=1,1,IF(INDEX([1]Pivot!$B$1:$AB$65000,$B1067,AI$5)="",2,0)),0)</f>
        <v>0</v>
      </c>
      <c r="AJ1067" s="313">
        <f>IFERROR(IF(INDEX([1]Pivot!$BF$1:$CG$65000,$B1067,AJ$5)=1,1,IF(INDEX([1]Pivot!$B$1:$AB$65000,$B1067,AJ$5)="",2,0)),0)</f>
        <v>0</v>
      </c>
      <c r="AK1067" s="313">
        <f>IFERROR(IF(INDEX([1]Pivot!$BF$1:$CG$65000,$B1067,AK$5)=1,1,IF(INDEX([1]Pivot!$B$1:$AB$65000,$B1067,AK$5)="",2,0)),0)</f>
        <v>0</v>
      </c>
      <c r="AL1067" s="313">
        <f>IFERROR(IF(INDEX([1]Pivot!$BF$1:$CG$65000,$B1067,AL$5)=1,1,IF(INDEX([1]Pivot!$B$1:$AB$65000,$B1067,AL$5)="",2,0)),0)</f>
        <v>0</v>
      </c>
      <c r="AM1067" s="313">
        <f>IFERROR(IF(INDEX([1]Pivot!$BF$1:$CG$65000,$B1067,AM$5)=1,1,IF(INDEX([1]Pivot!$B$1:$AB$65000,$B1067,AM$5)="",2,0)),0)</f>
        <v>0</v>
      </c>
      <c r="AN1067" s="313">
        <f>IFERROR(IF(INDEX([1]Pivot!$BF$1:$CG$65000,$B1067,AN$5)=1,1,IF(INDEX([1]Pivot!$B$1:$AB$65000,$B1067,AN$5)="",2,0)),0)</f>
        <v>0</v>
      </c>
      <c r="AO1067" s="313">
        <f>IFERROR(IF(INDEX([1]Pivot!$BF$1:$CG$65000,$B1067,AO$5)=1,1,IF(INDEX([1]Pivot!$B$1:$AB$65000,$B1067,AO$5)="",2,0)),0)</f>
        <v>0</v>
      </c>
      <c r="AP1067" s="313">
        <f>IFERROR(IF(INDEX([1]Pivot!$BF$1:$CG$65000,$B1067,AP$5)=1,1,IF(INDEX([1]Pivot!$B$1:$AB$65000,$B1067,AP$5)="",2,0)),0)</f>
        <v>0</v>
      </c>
      <c r="AQ1067" s="313">
        <f>IFERROR(IF(INDEX([1]Pivot!$BF$1:$CG$65000,$B1067,AQ$5)=1,1,IF(INDEX([1]Pivot!$B$1:$AB$65000,$B1067,AQ$5)="",2,0)),0)</f>
        <v>0</v>
      </c>
      <c r="AR1067" s="313">
        <f>IFERROR(IF(INDEX([1]Pivot!$BF$1:$CG$65000,$B1067,AR$5)=1,1,IF(INDEX([1]Pivot!$B$1:$AB$65000,$B1067,AR$5)="",2,0)),0)</f>
        <v>0</v>
      </c>
      <c r="AS1067" s="312"/>
      <c r="AT1067" s="313">
        <f>IFERROR(IF(INDEX([1]Pivot!$BF$1:$CG$65000,$B1067,AT$5)=1,1,IF(INDEX([1]Pivot!$B$1:$AB$65000,$B1067,AT$5)="",2,0)),0)</f>
        <v>0</v>
      </c>
      <c r="AU1067" s="313">
        <f>IFERROR(IF(INDEX([1]Pivot!$BF$1:$CG$65000,$B1067,AU$5)=1,1,IF(INDEX([1]Pivot!$B$1:$AB$65000,$B1067,AU$5)="",2,0)),0)</f>
        <v>0</v>
      </c>
      <c r="AV1067" s="313">
        <f>IFERROR(IF(INDEX([1]Pivot!$BF$1:$CG$65000,$B1067,AV$5)=1,1,IF(INDEX([1]Pivot!$B$1:$AB$65000,$B1067,AV$5)="",2,0)),0)</f>
        <v>0</v>
      </c>
      <c r="AW1067" s="313">
        <f>IFERROR(IF(INDEX([1]Pivot!$BF$1:$CG$65000,$B1067,AW$5)=1,1,IF(INDEX([1]Pivot!$B$1:$AB$65000,$B1067,AW$5)="",2,0)),0)</f>
        <v>0</v>
      </c>
      <c r="AX1067" s="313">
        <f>IFERROR(IF(INDEX([1]Pivot!$BF$1:$CG$65000,$B1067,AX$5)=1,1,IF(INDEX([1]Pivot!$B$1:$AB$65000,$B1067,AX$5)="",2,0)),0)</f>
        <v>0</v>
      </c>
      <c r="AY1067" s="313">
        <f>IFERROR(IF(INDEX([1]Pivot!$BF$1:$CG$65000,$B1067,AY$5)=1,1,IF(INDEX([1]Pivot!$B$1:$AB$65000,$B1067,AY$5)="",2,0)),0)</f>
        <v>0</v>
      </c>
      <c r="AZ1067" s="313">
        <f>IFERROR(IF(INDEX([1]Pivot!$BF$1:$CG$65000,$B1067,AZ$5)=1,1,IF(INDEX([1]Pivot!$B$1:$AB$65000,$B1067,AZ$5)="",2,0)),0)</f>
        <v>0</v>
      </c>
      <c r="BA1067" s="313">
        <f>IFERROR(IF(INDEX([1]Pivot!$BF$1:$CG$65000,$B1067,BA$5)=1,1,IF(INDEX([1]Pivot!$B$1:$AB$65000,$B1067,BA$5)="",2,0)),0)</f>
        <v>0</v>
      </c>
      <c r="BB1067" s="313">
        <f>IFERROR(IF(INDEX([1]Pivot!$BF$1:$CG$65000,$B1067,BB$5)=1,1,IF(INDEX([1]Pivot!$B$1:$AB$65000,$B1067,BB$5)="",2,0)),0)</f>
        <v>0</v>
      </c>
      <c r="BC1067" s="313">
        <f>IFERROR(IF(INDEX([1]Pivot!$BF$1:$CG$65000,$B1067,BC$5)=1,1,IF(INDEX([1]Pivot!$B$1:$AB$65000,$B1067,BC$5)="",2,0)),0)</f>
        <v>0</v>
      </c>
      <c r="BD1067" s="313">
        <f>IFERROR(IF(INDEX([1]Pivot!$BF$1:$CG$65000,$B1067,BD$5)=1,1,IF(INDEX([1]Pivot!$B$1:$AB$65000,$B1067,BD$5)="",2,0)),0)</f>
        <v>0</v>
      </c>
    </row>
    <row r="1068" spans="1:56" x14ac:dyDescent="0.25">
      <c r="A1068" s="288">
        <f>'[2]Raw Milk Prices'!A1068</f>
        <v>0</v>
      </c>
      <c r="B1068" s="296" t="e">
        <f>MATCH(DATE(LEFT('[2]Raw Milk Prices'!$A1068,4),RIGHT('[2]Raw Milk Prices'!$A1068,2),1),[1]Pivot!$A$1:$A$65000,0)</f>
        <v>#VALUE!</v>
      </c>
      <c r="C1068" s="194">
        <f>IFERROR(IF(INDEX([1]Pivot!$AD$1:$BE$65000,$B1068,C$5)=1,1,IF(INDEX([1]Pivot!$B$1:$AB$65000,$B1068,C$5)="",2,0)),0)</f>
        <v>0</v>
      </c>
      <c r="D1068" s="194">
        <f>IFERROR(IF(INDEX([1]Pivot!$AD$1:$BE$65000,$B1068,D$5)=1,1,IF(INDEX([1]Pivot!$B$1:$AB$65000,$B1068,D$5)="",2,0)),0)</f>
        <v>0</v>
      </c>
      <c r="E1068" s="194">
        <f>IFERROR(IF(INDEX([1]Pivot!$AD$1:$BE$65000,$B1068,E$5)=1,1,IF(INDEX([1]Pivot!$B$1:$AB$65000,$B1068,E$5)="",2,0)),0)</f>
        <v>0</v>
      </c>
      <c r="F1068" s="194">
        <f>IFERROR(IF(INDEX([1]Pivot!$AD$1:$BE$65000,$B1068,F$5)=1,1,IF(INDEX([1]Pivot!$B$1:$AB$65000,$B1068,F$5)="",2,0)),0)</f>
        <v>0</v>
      </c>
      <c r="G1068" s="194">
        <f>IFERROR(IF(INDEX([1]Pivot!$AD$1:$BE$65000,$B1068,G$5)=1,1,IF(INDEX([1]Pivot!$B$1:$AB$65000,$B1068,G$5)="",2,0)),0)</f>
        <v>0</v>
      </c>
      <c r="H1068" s="194">
        <f>IFERROR(IF(INDEX([1]Pivot!$AD$1:$BE$65000,$B1068,H$5)=1,1,IF(INDEX([1]Pivot!$B$1:$AB$65000,$B1068,H$5)="",2,0)),0)</f>
        <v>0</v>
      </c>
      <c r="I1068" s="194">
        <f>IFERROR(IF(INDEX([1]Pivot!$AD$1:$BE$65000,$B1068,I$5)=1,1,IF(INDEX([1]Pivot!$B$1:$AB$65000,$B1068,I$5)="",2,0)),0)</f>
        <v>0</v>
      </c>
      <c r="J1068" s="194">
        <f>IFERROR(IF(INDEX([1]Pivot!$AD$1:$BE$65000,$B1068,J$5)=1,1,IF(INDEX([1]Pivot!$B$1:$AB$65000,$B1068,J$5)="",2,0)),0)</f>
        <v>0</v>
      </c>
      <c r="K1068" s="194">
        <f>IFERROR(IF(INDEX([1]Pivot!$AD$1:$BE$65000,$B1068,K$5)=1,1,IF(INDEX([1]Pivot!$B$1:$AB$65000,$B1068,K$5)="",2,0)),0)</f>
        <v>0</v>
      </c>
      <c r="L1068" s="194">
        <f>IFERROR(IF(INDEX([1]Pivot!$AD$1:$BE$65000,$B1068,L$5)=1,1,IF(INDEX([1]Pivot!$B$1:$AB$65000,$B1068,L$5)="",2,0)),0)</f>
        <v>0</v>
      </c>
      <c r="M1068" s="194">
        <f>IFERROR(IF(INDEX([1]Pivot!$AD$1:$BE$65000,$B1068,M$5)=1,1,IF(INDEX([1]Pivot!$B$1:$AB$65000,$B1068,M$5)="",2,0)),0)</f>
        <v>0</v>
      </c>
      <c r="N1068" s="194">
        <f>IFERROR(IF(INDEX([1]Pivot!$AD$1:$BE$65000,$B1068,N$5)=1,1,IF(INDEX([1]Pivot!$B$1:$AB$65000,$B1068,N$5)="",2,0)),0)</f>
        <v>0</v>
      </c>
      <c r="O1068" s="194">
        <f>IFERROR(IF(INDEX([1]Pivot!$AD$1:$BE$65000,$B1068,O$5)=1,1,IF(INDEX([1]Pivot!$B$1:$AB$65000,$B1068,O$5)="",2,0)),0)</f>
        <v>0</v>
      </c>
      <c r="P1068" s="194">
        <f>IFERROR(IF(INDEX([1]Pivot!$AD$1:$BE$65000,$B1068,P$5)=1,1,IF(INDEX([1]Pivot!$B$1:$AB$65000,$B1068,P$5)="",2,0)),0)</f>
        <v>0</v>
      </c>
      <c r="Q1068" s="194">
        <f>IFERROR(IF(INDEX([1]Pivot!$AD$1:$BE$65000,$B1068,Q$5)=1,1,IF(INDEX([1]Pivot!$B$1:$AB$65000,$B1068,Q$5)="",2,0)),0)</f>
        <v>0</v>
      </c>
      <c r="R1068" s="312"/>
      <c r="S1068" s="194">
        <f>IFERROR(IF(INDEX([1]Pivot!$AD$1:$BE$65000,$B1068,S$5)=1,1,IF(INDEX([1]Pivot!$B$1:$AB$65000,$B1068,S$5)="",2,0)),0)</f>
        <v>0</v>
      </c>
      <c r="T1068" s="194">
        <f>IFERROR(IF(INDEX([1]Pivot!$AD$1:$BE$65000,$B1068,T$5)=1,1,IF(INDEX([1]Pivot!$B$1:$AB$65000,$B1068,T$5)="",2,0)),0)</f>
        <v>0</v>
      </c>
      <c r="U1068" s="194">
        <f>IFERROR(IF(INDEX([1]Pivot!$AD$1:$BE$65000,$B1068,U$5)=1,1,IF(INDEX([1]Pivot!$B$1:$AB$65000,$B1068,U$5)="",2,0)),0)</f>
        <v>0</v>
      </c>
      <c r="V1068" s="194">
        <f>IFERROR(IF(INDEX([1]Pivot!$AD$1:$BE$65000,$B1068,V$5)=1,1,IF(INDEX([1]Pivot!$B$1:$AB$65000,$B1068,V$5)="",2,0)),0)</f>
        <v>0</v>
      </c>
      <c r="W1068" s="194">
        <f>IFERROR(IF(INDEX([1]Pivot!$AD$1:$BE$65000,$B1068,W$5)=1,1,IF(INDEX([1]Pivot!$B$1:$AB$65000,$B1068,W$5)="",2,0)),0)</f>
        <v>0</v>
      </c>
      <c r="X1068" s="194">
        <f>IFERROR(IF(INDEX([1]Pivot!$AD$1:$BE$65000,$B1068,X$5)=1,1,IF(INDEX([1]Pivot!$B$1:$AB$65000,$B1068,X$5)="",2,0)),0)</f>
        <v>0</v>
      </c>
      <c r="Y1068" s="194">
        <f>IFERROR(IF(INDEX([1]Pivot!$AD$1:$BE$65000,$B1068,Y$5)=1,1,IF(INDEX([1]Pivot!$B$1:$AB$65000,$B1068,Y$5)="",2,0)),0)</f>
        <v>0</v>
      </c>
      <c r="Z1068" s="194">
        <f>IFERROR(IF(INDEX([1]Pivot!$AD$1:$BE$65000,$B1068,Z$5)=1,1,IF(INDEX([1]Pivot!$B$1:$AB$65000,$B1068,Z$5)="",2,0)),0)</f>
        <v>0</v>
      </c>
      <c r="AA1068" s="194">
        <f>IFERROR(IF(INDEX([1]Pivot!$AD$1:$BE$65000,$B1068,AA$5)=1,1,IF(INDEX([1]Pivot!$B$1:$AB$65000,$B1068,AA$5)="",2,0)),0)</f>
        <v>0</v>
      </c>
      <c r="AB1068" s="194">
        <f>IFERROR(IF(INDEX([1]Pivot!$AD$1:$BE$65000,$B1068,AB$5)=1,1,IF(INDEX([1]Pivot!$B$1:$AB$65000,$B1068,AB$5)="",2,0)),0)</f>
        <v>0</v>
      </c>
      <c r="AC1068" s="194">
        <f>IFERROR(IF(INDEX([1]Pivot!$AD$1:$BE$65000,$B1068,AC$5)=1,1,IF(INDEX([1]Pivot!$B$1:$AB$65000,$B1068,AC$5)="",2,0)),0)</f>
        <v>0</v>
      </c>
      <c r="AD1068" s="313">
        <f>IFERROR(IF(INDEX([1]Pivot!$BF$1:$CG$65000,$B1068,AD$5)=1,1,IF(INDEX([1]Pivot!$B$1:$AB$65000,$B1068,AD$5)="",2,0)),0)</f>
        <v>0</v>
      </c>
      <c r="AE1068" s="313">
        <f>IFERROR(IF(INDEX([1]Pivot!$BF$1:$CG$65000,$B1068,AE$5)=1,1,IF(INDEX([1]Pivot!$B$1:$AB$65000,$B1068,AE$5)="",2,0)),0)</f>
        <v>0</v>
      </c>
      <c r="AF1068" s="313">
        <f>IFERROR(IF(INDEX([1]Pivot!$BF$1:$CG$65000,$B1068,AF$5)=1,1,IF(INDEX([1]Pivot!$B$1:$AB$65000,$B1068,AF$5)="",2,0)),0)</f>
        <v>0</v>
      </c>
      <c r="AG1068" s="313">
        <f>IFERROR(IF(INDEX([1]Pivot!$BF$1:$CG$65000,$B1068,AG$5)=1,1,IF(INDEX([1]Pivot!$B$1:$AB$65000,$B1068,AG$5)="",2,0)),0)</f>
        <v>0</v>
      </c>
      <c r="AH1068" s="313">
        <f>IFERROR(IF(INDEX([1]Pivot!$BF$1:$CG$65000,$B1068,AH$5)=1,1,IF(INDEX([1]Pivot!$B$1:$AB$65000,$B1068,AH$5)="",2,0)),0)</f>
        <v>0</v>
      </c>
      <c r="AI1068" s="313">
        <f>IFERROR(IF(INDEX([1]Pivot!$BF$1:$CG$65000,$B1068,AI$5)=1,1,IF(INDEX([1]Pivot!$B$1:$AB$65000,$B1068,AI$5)="",2,0)),0)</f>
        <v>0</v>
      </c>
      <c r="AJ1068" s="313">
        <f>IFERROR(IF(INDEX([1]Pivot!$BF$1:$CG$65000,$B1068,AJ$5)=1,1,IF(INDEX([1]Pivot!$B$1:$AB$65000,$B1068,AJ$5)="",2,0)),0)</f>
        <v>0</v>
      </c>
      <c r="AK1068" s="313">
        <f>IFERROR(IF(INDEX([1]Pivot!$BF$1:$CG$65000,$B1068,AK$5)=1,1,IF(INDEX([1]Pivot!$B$1:$AB$65000,$B1068,AK$5)="",2,0)),0)</f>
        <v>0</v>
      </c>
      <c r="AL1068" s="313">
        <f>IFERROR(IF(INDEX([1]Pivot!$BF$1:$CG$65000,$B1068,AL$5)=1,1,IF(INDEX([1]Pivot!$B$1:$AB$65000,$B1068,AL$5)="",2,0)),0)</f>
        <v>0</v>
      </c>
      <c r="AM1068" s="313">
        <f>IFERROR(IF(INDEX([1]Pivot!$BF$1:$CG$65000,$B1068,AM$5)=1,1,IF(INDEX([1]Pivot!$B$1:$AB$65000,$B1068,AM$5)="",2,0)),0)</f>
        <v>0</v>
      </c>
      <c r="AN1068" s="313">
        <f>IFERROR(IF(INDEX([1]Pivot!$BF$1:$CG$65000,$B1068,AN$5)=1,1,IF(INDEX([1]Pivot!$B$1:$AB$65000,$B1068,AN$5)="",2,0)),0)</f>
        <v>0</v>
      </c>
      <c r="AO1068" s="313">
        <f>IFERROR(IF(INDEX([1]Pivot!$BF$1:$CG$65000,$B1068,AO$5)=1,1,IF(INDEX([1]Pivot!$B$1:$AB$65000,$B1068,AO$5)="",2,0)),0)</f>
        <v>0</v>
      </c>
      <c r="AP1068" s="313">
        <f>IFERROR(IF(INDEX([1]Pivot!$BF$1:$CG$65000,$B1068,AP$5)=1,1,IF(INDEX([1]Pivot!$B$1:$AB$65000,$B1068,AP$5)="",2,0)),0)</f>
        <v>0</v>
      </c>
      <c r="AQ1068" s="313">
        <f>IFERROR(IF(INDEX([1]Pivot!$BF$1:$CG$65000,$B1068,AQ$5)=1,1,IF(INDEX([1]Pivot!$B$1:$AB$65000,$B1068,AQ$5)="",2,0)),0)</f>
        <v>0</v>
      </c>
      <c r="AR1068" s="313">
        <f>IFERROR(IF(INDEX([1]Pivot!$BF$1:$CG$65000,$B1068,AR$5)=1,1,IF(INDEX([1]Pivot!$B$1:$AB$65000,$B1068,AR$5)="",2,0)),0)</f>
        <v>0</v>
      </c>
      <c r="AS1068" s="312"/>
      <c r="AT1068" s="313">
        <f>IFERROR(IF(INDEX([1]Pivot!$BF$1:$CG$65000,$B1068,AT$5)=1,1,IF(INDEX([1]Pivot!$B$1:$AB$65000,$B1068,AT$5)="",2,0)),0)</f>
        <v>0</v>
      </c>
      <c r="AU1068" s="313">
        <f>IFERROR(IF(INDEX([1]Pivot!$BF$1:$CG$65000,$B1068,AU$5)=1,1,IF(INDEX([1]Pivot!$B$1:$AB$65000,$B1068,AU$5)="",2,0)),0)</f>
        <v>0</v>
      </c>
      <c r="AV1068" s="313">
        <f>IFERROR(IF(INDEX([1]Pivot!$BF$1:$CG$65000,$B1068,AV$5)=1,1,IF(INDEX([1]Pivot!$B$1:$AB$65000,$B1068,AV$5)="",2,0)),0)</f>
        <v>0</v>
      </c>
      <c r="AW1068" s="313">
        <f>IFERROR(IF(INDEX([1]Pivot!$BF$1:$CG$65000,$B1068,AW$5)=1,1,IF(INDEX([1]Pivot!$B$1:$AB$65000,$B1068,AW$5)="",2,0)),0)</f>
        <v>0</v>
      </c>
      <c r="AX1068" s="313">
        <f>IFERROR(IF(INDEX([1]Pivot!$BF$1:$CG$65000,$B1068,AX$5)=1,1,IF(INDEX([1]Pivot!$B$1:$AB$65000,$B1068,AX$5)="",2,0)),0)</f>
        <v>0</v>
      </c>
      <c r="AY1068" s="313">
        <f>IFERROR(IF(INDEX([1]Pivot!$BF$1:$CG$65000,$B1068,AY$5)=1,1,IF(INDEX([1]Pivot!$B$1:$AB$65000,$B1068,AY$5)="",2,0)),0)</f>
        <v>0</v>
      </c>
      <c r="AZ1068" s="313">
        <f>IFERROR(IF(INDEX([1]Pivot!$BF$1:$CG$65000,$B1068,AZ$5)=1,1,IF(INDEX([1]Pivot!$B$1:$AB$65000,$B1068,AZ$5)="",2,0)),0)</f>
        <v>0</v>
      </c>
      <c r="BA1068" s="313">
        <f>IFERROR(IF(INDEX([1]Pivot!$BF$1:$CG$65000,$B1068,BA$5)=1,1,IF(INDEX([1]Pivot!$B$1:$AB$65000,$B1068,BA$5)="",2,0)),0)</f>
        <v>0</v>
      </c>
      <c r="BB1068" s="313">
        <f>IFERROR(IF(INDEX([1]Pivot!$BF$1:$CG$65000,$B1068,BB$5)=1,1,IF(INDEX([1]Pivot!$B$1:$AB$65000,$B1068,BB$5)="",2,0)),0)</f>
        <v>0</v>
      </c>
      <c r="BC1068" s="313">
        <f>IFERROR(IF(INDEX([1]Pivot!$BF$1:$CG$65000,$B1068,BC$5)=1,1,IF(INDEX([1]Pivot!$B$1:$AB$65000,$B1068,BC$5)="",2,0)),0)</f>
        <v>0</v>
      </c>
      <c r="BD1068" s="313">
        <f>IFERROR(IF(INDEX([1]Pivot!$BF$1:$CG$65000,$B1068,BD$5)=1,1,IF(INDEX([1]Pivot!$B$1:$AB$65000,$B1068,BD$5)="",2,0)),0)</f>
        <v>0</v>
      </c>
    </row>
    <row r="1069" spans="1:56" x14ac:dyDescent="0.25">
      <c r="A1069" s="288">
        <f>'[2]Raw Milk Prices'!A1069</f>
        <v>0</v>
      </c>
      <c r="B1069" s="296" t="e">
        <f>MATCH(DATE(LEFT('[2]Raw Milk Prices'!$A1069,4),RIGHT('[2]Raw Milk Prices'!$A1069,2),1),[1]Pivot!$A$1:$A$65000,0)</f>
        <v>#VALUE!</v>
      </c>
      <c r="C1069" s="194">
        <f>IFERROR(IF(INDEX([1]Pivot!$AD$1:$BE$65000,$B1069,C$5)=1,1,IF(INDEX([1]Pivot!$B$1:$AB$65000,$B1069,C$5)="",2,0)),0)</f>
        <v>0</v>
      </c>
      <c r="D1069" s="194">
        <f>IFERROR(IF(INDEX([1]Pivot!$AD$1:$BE$65000,$B1069,D$5)=1,1,IF(INDEX([1]Pivot!$B$1:$AB$65000,$B1069,D$5)="",2,0)),0)</f>
        <v>0</v>
      </c>
      <c r="E1069" s="194">
        <f>IFERROR(IF(INDEX([1]Pivot!$AD$1:$BE$65000,$B1069,E$5)=1,1,IF(INDEX([1]Pivot!$B$1:$AB$65000,$B1069,E$5)="",2,0)),0)</f>
        <v>0</v>
      </c>
      <c r="F1069" s="194">
        <f>IFERROR(IF(INDEX([1]Pivot!$AD$1:$BE$65000,$B1069,F$5)=1,1,IF(INDEX([1]Pivot!$B$1:$AB$65000,$B1069,F$5)="",2,0)),0)</f>
        <v>0</v>
      </c>
      <c r="G1069" s="194">
        <f>IFERROR(IF(INDEX([1]Pivot!$AD$1:$BE$65000,$B1069,G$5)=1,1,IF(INDEX([1]Pivot!$B$1:$AB$65000,$B1069,G$5)="",2,0)),0)</f>
        <v>0</v>
      </c>
      <c r="H1069" s="194">
        <f>IFERROR(IF(INDEX([1]Pivot!$AD$1:$BE$65000,$B1069,H$5)=1,1,IF(INDEX([1]Pivot!$B$1:$AB$65000,$B1069,H$5)="",2,0)),0)</f>
        <v>0</v>
      </c>
      <c r="I1069" s="194">
        <f>IFERROR(IF(INDEX([1]Pivot!$AD$1:$BE$65000,$B1069,I$5)=1,1,IF(INDEX([1]Pivot!$B$1:$AB$65000,$B1069,I$5)="",2,0)),0)</f>
        <v>0</v>
      </c>
      <c r="J1069" s="194">
        <f>IFERROR(IF(INDEX([1]Pivot!$AD$1:$BE$65000,$B1069,J$5)=1,1,IF(INDEX([1]Pivot!$B$1:$AB$65000,$B1069,J$5)="",2,0)),0)</f>
        <v>0</v>
      </c>
      <c r="K1069" s="194">
        <f>IFERROR(IF(INDEX([1]Pivot!$AD$1:$BE$65000,$B1069,K$5)=1,1,IF(INDEX([1]Pivot!$B$1:$AB$65000,$B1069,K$5)="",2,0)),0)</f>
        <v>0</v>
      </c>
      <c r="L1069" s="194">
        <f>IFERROR(IF(INDEX([1]Pivot!$AD$1:$BE$65000,$B1069,L$5)=1,1,IF(INDEX([1]Pivot!$B$1:$AB$65000,$B1069,L$5)="",2,0)),0)</f>
        <v>0</v>
      </c>
      <c r="M1069" s="194">
        <f>IFERROR(IF(INDEX([1]Pivot!$AD$1:$BE$65000,$B1069,M$5)=1,1,IF(INDEX([1]Pivot!$B$1:$AB$65000,$B1069,M$5)="",2,0)),0)</f>
        <v>0</v>
      </c>
      <c r="N1069" s="194">
        <f>IFERROR(IF(INDEX([1]Pivot!$AD$1:$BE$65000,$B1069,N$5)=1,1,IF(INDEX([1]Pivot!$B$1:$AB$65000,$B1069,N$5)="",2,0)),0)</f>
        <v>0</v>
      </c>
      <c r="O1069" s="194">
        <f>IFERROR(IF(INDEX([1]Pivot!$AD$1:$BE$65000,$B1069,O$5)=1,1,IF(INDEX([1]Pivot!$B$1:$AB$65000,$B1069,O$5)="",2,0)),0)</f>
        <v>0</v>
      </c>
      <c r="P1069" s="194">
        <f>IFERROR(IF(INDEX([1]Pivot!$AD$1:$BE$65000,$B1069,P$5)=1,1,IF(INDEX([1]Pivot!$B$1:$AB$65000,$B1069,P$5)="",2,0)),0)</f>
        <v>0</v>
      </c>
      <c r="Q1069" s="194">
        <f>IFERROR(IF(INDEX([1]Pivot!$AD$1:$BE$65000,$B1069,Q$5)=1,1,IF(INDEX([1]Pivot!$B$1:$AB$65000,$B1069,Q$5)="",2,0)),0)</f>
        <v>0</v>
      </c>
      <c r="R1069" s="312"/>
      <c r="S1069" s="194">
        <f>IFERROR(IF(INDEX([1]Pivot!$AD$1:$BE$65000,$B1069,S$5)=1,1,IF(INDEX([1]Pivot!$B$1:$AB$65000,$B1069,S$5)="",2,0)),0)</f>
        <v>0</v>
      </c>
      <c r="T1069" s="194">
        <f>IFERROR(IF(INDEX([1]Pivot!$AD$1:$BE$65000,$B1069,T$5)=1,1,IF(INDEX([1]Pivot!$B$1:$AB$65000,$B1069,T$5)="",2,0)),0)</f>
        <v>0</v>
      </c>
      <c r="U1069" s="194">
        <f>IFERROR(IF(INDEX([1]Pivot!$AD$1:$BE$65000,$B1069,U$5)=1,1,IF(INDEX([1]Pivot!$B$1:$AB$65000,$B1069,U$5)="",2,0)),0)</f>
        <v>0</v>
      </c>
      <c r="V1069" s="194">
        <f>IFERROR(IF(INDEX([1]Pivot!$AD$1:$BE$65000,$B1069,V$5)=1,1,IF(INDEX([1]Pivot!$B$1:$AB$65000,$B1069,V$5)="",2,0)),0)</f>
        <v>0</v>
      </c>
      <c r="W1069" s="194">
        <f>IFERROR(IF(INDEX([1]Pivot!$AD$1:$BE$65000,$B1069,W$5)=1,1,IF(INDEX([1]Pivot!$B$1:$AB$65000,$B1069,W$5)="",2,0)),0)</f>
        <v>0</v>
      </c>
      <c r="X1069" s="194">
        <f>IFERROR(IF(INDEX([1]Pivot!$AD$1:$BE$65000,$B1069,X$5)=1,1,IF(INDEX([1]Pivot!$B$1:$AB$65000,$B1069,X$5)="",2,0)),0)</f>
        <v>0</v>
      </c>
      <c r="Y1069" s="194">
        <f>IFERROR(IF(INDEX([1]Pivot!$AD$1:$BE$65000,$B1069,Y$5)=1,1,IF(INDEX([1]Pivot!$B$1:$AB$65000,$B1069,Y$5)="",2,0)),0)</f>
        <v>0</v>
      </c>
      <c r="Z1069" s="194">
        <f>IFERROR(IF(INDEX([1]Pivot!$AD$1:$BE$65000,$B1069,Z$5)=1,1,IF(INDEX([1]Pivot!$B$1:$AB$65000,$B1069,Z$5)="",2,0)),0)</f>
        <v>0</v>
      </c>
      <c r="AA1069" s="194">
        <f>IFERROR(IF(INDEX([1]Pivot!$AD$1:$BE$65000,$B1069,AA$5)=1,1,IF(INDEX([1]Pivot!$B$1:$AB$65000,$B1069,AA$5)="",2,0)),0)</f>
        <v>0</v>
      </c>
      <c r="AB1069" s="194">
        <f>IFERROR(IF(INDEX([1]Pivot!$AD$1:$BE$65000,$B1069,AB$5)=1,1,IF(INDEX([1]Pivot!$B$1:$AB$65000,$B1069,AB$5)="",2,0)),0)</f>
        <v>0</v>
      </c>
      <c r="AC1069" s="194">
        <f>IFERROR(IF(INDEX([1]Pivot!$AD$1:$BE$65000,$B1069,AC$5)=1,1,IF(INDEX([1]Pivot!$B$1:$AB$65000,$B1069,AC$5)="",2,0)),0)</f>
        <v>0</v>
      </c>
      <c r="AD1069" s="313">
        <f>IFERROR(IF(INDEX([1]Pivot!$BF$1:$CG$65000,$B1069,AD$5)=1,1,IF(INDEX([1]Pivot!$B$1:$AB$65000,$B1069,AD$5)="",2,0)),0)</f>
        <v>0</v>
      </c>
      <c r="AE1069" s="313">
        <f>IFERROR(IF(INDEX([1]Pivot!$BF$1:$CG$65000,$B1069,AE$5)=1,1,IF(INDEX([1]Pivot!$B$1:$AB$65000,$B1069,AE$5)="",2,0)),0)</f>
        <v>0</v>
      </c>
      <c r="AF1069" s="313">
        <f>IFERROR(IF(INDEX([1]Pivot!$BF$1:$CG$65000,$B1069,AF$5)=1,1,IF(INDEX([1]Pivot!$B$1:$AB$65000,$B1069,AF$5)="",2,0)),0)</f>
        <v>0</v>
      </c>
      <c r="AG1069" s="313">
        <f>IFERROR(IF(INDEX([1]Pivot!$BF$1:$CG$65000,$B1069,AG$5)=1,1,IF(INDEX([1]Pivot!$B$1:$AB$65000,$B1069,AG$5)="",2,0)),0)</f>
        <v>0</v>
      </c>
      <c r="AH1069" s="313">
        <f>IFERROR(IF(INDEX([1]Pivot!$BF$1:$CG$65000,$B1069,AH$5)=1,1,IF(INDEX([1]Pivot!$B$1:$AB$65000,$B1069,AH$5)="",2,0)),0)</f>
        <v>0</v>
      </c>
      <c r="AI1069" s="313">
        <f>IFERROR(IF(INDEX([1]Pivot!$BF$1:$CG$65000,$B1069,AI$5)=1,1,IF(INDEX([1]Pivot!$B$1:$AB$65000,$B1069,AI$5)="",2,0)),0)</f>
        <v>0</v>
      </c>
      <c r="AJ1069" s="313">
        <f>IFERROR(IF(INDEX([1]Pivot!$BF$1:$CG$65000,$B1069,AJ$5)=1,1,IF(INDEX([1]Pivot!$B$1:$AB$65000,$B1069,AJ$5)="",2,0)),0)</f>
        <v>0</v>
      </c>
      <c r="AK1069" s="313">
        <f>IFERROR(IF(INDEX([1]Pivot!$BF$1:$CG$65000,$B1069,AK$5)=1,1,IF(INDEX([1]Pivot!$B$1:$AB$65000,$B1069,AK$5)="",2,0)),0)</f>
        <v>0</v>
      </c>
      <c r="AL1069" s="313">
        <f>IFERROR(IF(INDEX([1]Pivot!$BF$1:$CG$65000,$B1069,AL$5)=1,1,IF(INDEX([1]Pivot!$B$1:$AB$65000,$B1069,AL$5)="",2,0)),0)</f>
        <v>0</v>
      </c>
      <c r="AM1069" s="313">
        <f>IFERROR(IF(INDEX([1]Pivot!$BF$1:$CG$65000,$B1069,AM$5)=1,1,IF(INDEX([1]Pivot!$B$1:$AB$65000,$B1069,AM$5)="",2,0)),0)</f>
        <v>0</v>
      </c>
      <c r="AN1069" s="313">
        <f>IFERROR(IF(INDEX([1]Pivot!$BF$1:$CG$65000,$B1069,AN$5)=1,1,IF(INDEX([1]Pivot!$B$1:$AB$65000,$B1069,AN$5)="",2,0)),0)</f>
        <v>0</v>
      </c>
      <c r="AO1069" s="313">
        <f>IFERROR(IF(INDEX([1]Pivot!$BF$1:$CG$65000,$B1069,AO$5)=1,1,IF(INDEX([1]Pivot!$B$1:$AB$65000,$B1069,AO$5)="",2,0)),0)</f>
        <v>0</v>
      </c>
      <c r="AP1069" s="313">
        <f>IFERROR(IF(INDEX([1]Pivot!$BF$1:$CG$65000,$B1069,AP$5)=1,1,IF(INDEX([1]Pivot!$B$1:$AB$65000,$B1069,AP$5)="",2,0)),0)</f>
        <v>0</v>
      </c>
      <c r="AQ1069" s="313">
        <f>IFERROR(IF(INDEX([1]Pivot!$BF$1:$CG$65000,$B1069,AQ$5)=1,1,IF(INDEX([1]Pivot!$B$1:$AB$65000,$B1069,AQ$5)="",2,0)),0)</f>
        <v>0</v>
      </c>
      <c r="AR1069" s="313">
        <f>IFERROR(IF(INDEX([1]Pivot!$BF$1:$CG$65000,$B1069,AR$5)=1,1,IF(INDEX([1]Pivot!$B$1:$AB$65000,$B1069,AR$5)="",2,0)),0)</f>
        <v>0</v>
      </c>
      <c r="AS1069" s="312"/>
      <c r="AT1069" s="313">
        <f>IFERROR(IF(INDEX([1]Pivot!$BF$1:$CG$65000,$B1069,AT$5)=1,1,IF(INDEX([1]Pivot!$B$1:$AB$65000,$B1069,AT$5)="",2,0)),0)</f>
        <v>0</v>
      </c>
      <c r="AU1069" s="313">
        <f>IFERROR(IF(INDEX([1]Pivot!$BF$1:$CG$65000,$B1069,AU$5)=1,1,IF(INDEX([1]Pivot!$B$1:$AB$65000,$B1069,AU$5)="",2,0)),0)</f>
        <v>0</v>
      </c>
      <c r="AV1069" s="313">
        <f>IFERROR(IF(INDEX([1]Pivot!$BF$1:$CG$65000,$B1069,AV$5)=1,1,IF(INDEX([1]Pivot!$B$1:$AB$65000,$B1069,AV$5)="",2,0)),0)</f>
        <v>0</v>
      </c>
      <c r="AW1069" s="313">
        <f>IFERROR(IF(INDEX([1]Pivot!$BF$1:$CG$65000,$B1069,AW$5)=1,1,IF(INDEX([1]Pivot!$B$1:$AB$65000,$B1069,AW$5)="",2,0)),0)</f>
        <v>0</v>
      </c>
      <c r="AX1069" s="313">
        <f>IFERROR(IF(INDEX([1]Pivot!$BF$1:$CG$65000,$B1069,AX$5)=1,1,IF(INDEX([1]Pivot!$B$1:$AB$65000,$B1069,AX$5)="",2,0)),0)</f>
        <v>0</v>
      </c>
      <c r="AY1069" s="313">
        <f>IFERROR(IF(INDEX([1]Pivot!$BF$1:$CG$65000,$B1069,AY$5)=1,1,IF(INDEX([1]Pivot!$B$1:$AB$65000,$B1069,AY$5)="",2,0)),0)</f>
        <v>0</v>
      </c>
      <c r="AZ1069" s="313">
        <f>IFERROR(IF(INDEX([1]Pivot!$BF$1:$CG$65000,$B1069,AZ$5)=1,1,IF(INDEX([1]Pivot!$B$1:$AB$65000,$B1069,AZ$5)="",2,0)),0)</f>
        <v>0</v>
      </c>
      <c r="BA1069" s="313">
        <f>IFERROR(IF(INDEX([1]Pivot!$BF$1:$CG$65000,$B1069,BA$5)=1,1,IF(INDEX([1]Pivot!$B$1:$AB$65000,$B1069,BA$5)="",2,0)),0)</f>
        <v>0</v>
      </c>
      <c r="BB1069" s="313">
        <f>IFERROR(IF(INDEX([1]Pivot!$BF$1:$CG$65000,$B1069,BB$5)=1,1,IF(INDEX([1]Pivot!$B$1:$AB$65000,$B1069,BB$5)="",2,0)),0)</f>
        <v>0</v>
      </c>
      <c r="BC1069" s="313">
        <f>IFERROR(IF(INDEX([1]Pivot!$BF$1:$CG$65000,$B1069,BC$5)=1,1,IF(INDEX([1]Pivot!$B$1:$AB$65000,$B1069,BC$5)="",2,0)),0)</f>
        <v>0</v>
      </c>
      <c r="BD1069" s="313">
        <f>IFERROR(IF(INDEX([1]Pivot!$BF$1:$CG$65000,$B1069,BD$5)=1,1,IF(INDEX([1]Pivot!$B$1:$AB$65000,$B1069,BD$5)="",2,0)),0)</f>
        <v>0</v>
      </c>
    </row>
    <row r="1070" spans="1:56" x14ac:dyDescent="0.25">
      <c r="A1070" s="288">
        <f>'[2]Raw Milk Prices'!A1070</f>
        <v>0</v>
      </c>
      <c r="B1070" s="296" t="e">
        <f>MATCH(DATE(LEFT('[2]Raw Milk Prices'!$A1070,4),RIGHT('[2]Raw Milk Prices'!$A1070,2),1),[1]Pivot!$A$1:$A$65000,0)</f>
        <v>#VALUE!</v>
      </c>
      <c r="C1070" s="194">
        <f>IFERROR(IF(INDEX([1]Pivot!$AD$1:$BE$65000,$B1070,C$5)=1,1,IF(INDEX([1]Pivot!$B$1:$AB$65000,$B1070,C$5)="",2,0)),0)</f>
        <v>0</v>
      </c>
      <c r="D1070" s="194">
        <f>IFERROR(IF(INDEX([1]Pivot!$AD$1:$BE$65000,$B1070,D$5)=1,1,IF(INDEX([1]Pivot!$B$1:$AB$65000,$B1070,D$5)="",2,0)),0)</f>
        <v>0</v>
      </c>
      <c r="E1070" s="194">
        <f>IFERROR(IF(INDEX([1]Pivot!$AD$1:$BE$65000,$B1070,E$5)=1,1,IF(INDEX([1]Pivot!$B$1:$AB$65000,$B1070,E$5)="",2,0)),0)</f>
        <v>0</v>
      </c>
      <c r="F1070" s="194">
        <f>IFERROR(IF(INDEX([1]Pivot!$AD$1:$BE$65000,$B1070,F$5)=1,1,IF(INDEX([1]Pivot!$B$1:$AB$65000,$B1070,F$5)="",2,0)),0)</f>
        <v>0</v>
      </c>
      <c r="G1070" s="194">
        <f>IFERROR(IF(INDEX([1]Pivot!$AD$1:$BE$65000,$B1070,G$5)=1,1,IF(INDEX([1]Pivot!$B$1:$AB$65000,$B1070,G$5)="",2,0)),0)</f>
        <v>0</v>
      </c>
      <c r="H1070" s="194">
        <f>IFERROR(IF(INDEX([1]Pivot!$AD$1:$BE$65000,$B1070,H$5)=1,1,IF(INDEX([1]Pivot!$B$1:$AB$65000,$B1070,H$5)="",2,0)),0)</f>
        <v>0</v>
      </c>
      <c r="I1070" s="194">
        <f>IFERROR(IF(INDEX([1]Pivot!$AD$1:$BE$65000,$B1070,I$5)=1,1,IF(INDEX([1]Pivot!$B$1:$AB$65000,$B1070,I$5)="",2,0)),0)</f>
        <v>0</v>
      </c>
      <c r="J1070" s="194">
        <f>IFERROR(IF(INDEX([1]Pivot!$AD$1:$BE$65000,$B1070,J$5)=1,1,IF(INDEX([1]Pivot!$B$1:$AB$65000,$B1070,J$5)="",2,0)),0)</f>
        <v>0</v>
      </c>
      <c r="K1070" s="194">
        <f>IFERROR(IF(INDEX([1]Pivot!$AD$1:$BE$65000,$B1070,K$5)=1,1,IF(INDEX([1]Pivot!$B$1:$AB$65000,$B1070,K$5)="",2,0)),0)</f>
        <v>0</v>
      </c>
      <c r="L1070" s="194">
        <f>IFERROR(IF(INDEX([1]Pivot!$AD$1:$BE$65000,$B1070,L$5)=1,1,IF(INDEX([1]Pivot!$B$1:$AB$65000,$B1070,L$5)="",2,0)),0)</f>
        <v>0</v>
      </c>
      <c r="M1070" s="194">
        <f>IFERROR(IF(INDEX([1]Pivot!$AD$1:$BE$65000,$B1070,M$5)=1,1,IF(INDEX([1]Pivot!$B$1:$AB$65000,$B1070,M$5)="",2,0)),0)</f>
        <v>0</v>
      </c>
      <c r="N1070" s="194">
        <f>IFERROR(IF(INDEX([1]Pivot!$AD$1:$BE$65000,$B1070,N$5)=1,1,IF(INDEX([1]Pivot!$B$1:$AB$65000,$B1070,N$5)="",2,0)),0)</f>
        <v>0</v>
      </c>
      <c r="O1070" s="194">
        <f>IFERROR(IF(INDEX([1]Pivot!$AD$1:$BE$65000,$B1070,O$5)=1,1,IF(INDEX([1]Pivot!$B$1:$AB$65000,$B1070,O$5)="",2,0)),0)</f>
        <v>0</v>
      </c>
      <c r="P1070" s="194">
        <f>IFERROR(IF(INDEX([1]Pivot!$AD$1:$BE$65000,$B1070,P$5)=1,1,IF(INDEX([1]Pivot!$B$1:$AB$65000,$B1070,P$5)="",2,0)),0)</f>
        <v>0</v>
      </c>
      <c r="Q1070" s="194">
        <f>IFERROR(IF(INDEX([1]Pivot!$AD$1:$BE$65000,$B1070,Q$5)=1,1,IF(INDEX([1]Pivot!$B$1:$AB$65000,$B1070,Q$5)="",2,0)),0)</f>
        <v>0</v>
      </c>
      <c r="R1070" s="312"/>
      <c r="S1070" s="194">
        <f>IFERROR(IF(INDEX([1]Pivot!$AD$1:$BE$65000,$B1070,S$5)=1,1,IF(INDEX([1]Pivot!$B$1:$AB$65000,$B1070,S$5)="",2,0)),0)</f>
        <v>0</v>
      </c>
      <c r="T1070" s="194">
        <f>IFERROR(IF(INDEX([1]Pivot!$AD$1:$BE$65000,$B1070,T$5)=1,1,IF(INDEX([1]Pivot!$B$1:$AB$65000,$B1070,T$5)="",2,0)),0)</f>
        <v>0</v>
      </c>
      <c r="U1070" s="194">
        <f>IFERROR(IF(INDEX([1]Pivot!$AD$1:$BE$65000,$B1070,U$5)=1,1,IF(INDEX([1]Pivot!$B$1:$AB$65000,$B1070,U$5)="",2,0)),0)</f>
        <v>0</v>
      </c>
      <c r="V1070" s="194">
        <f>IFERROR(IF(INDEX([1]Pivot!$AD$1:$BE$65000,$B1070,V$5)=1,1,IF(INDEX([1]Pivot!$B$1:$AB$65000,$B1070,V$5)="",2,0)),0)</f>
        <v>0</v>
      </c>
      <c r="W1070" s="194">
        <f>IFERROR(IF(INDEX([1]Pivot!$AD$1:$BE$65000,$B1070,W$5)=1,1,IF(INDEX([1]Pivot!$B$1:$AB$65000,$B1070,W$5)="",2,0)),0)</f>
        <v>0</v>
      </c>
      <c r="X1070" s="194">
        <f>IFERROR(IF(INDEX([1]Pivot!$AD$1:$BE$65000,$B1070,X$5)=1,1,IF(INDEX([1]Pivot!$B$1:$AB$65000,$B1070,X$5)="",2,0)),0)</f>
        <v>0</v>
      </c>
      <c r="Y1070" s="194">
        <f>IFERROR(IF(INDEX([1]Pivot!$AD$1:$BE$65000,$B1070,Y$5)=1,1,IF(INDEX([1]Pivot!$B$1:$AB$65000,$B1070,Y$5)="",2,0)),0)</f>
        <v>0</v>
      </c>
      <c r="Z1070" s="194">
        <f>IFERROR(IF(INDEX([1]Pivot!$AD$1:$BE$65000,$B1070,Z$5)=1,1,IF(INDEX([1]Pivot!$B$1:$AB$65000,$B1070,Z$5)="",2,0)),0)</f>
        <v>0</v>
      </c>
      <c r="AA1070" s="194">
        <f>IFERROR(IF(INDEX([1]Pivot!$AD$1:$BE$65000,$B1070,AA$5)=1,1,IF(INDEX([1]Pivot!$B$1:$AB$65000,$B1070,AA$5)="",2,0)),0)</f>
        <v>0</v>
      </c>
      <c r="AB1070" s="194">
        <f>IFERROR(IF(INDEX([1]Pivot!$AD$1:$BE$65000,$B1070,AB$5)=1,1,IF(INDEX([1]Pivot!$B$1:$AB$65000,$B1070,AB$5)="",2,0)),0)</f>
        <v>0</v>
      </c>
      <c r="AC1070" s="194">
        <f>IFERROR(IF(INDEX([1]Pivot!$AD$1:$BE$65000,$B1070,AC$5)=1,1,IF(INDEX([1]Pivot!$B$1:$AB$65000,$B1070,AC$5)="",2,0)),0)</f>
        <v>0</v>
      </c>
      <c r="AD1070" s="313">
        <f>IFERROR(IF(INDEX([1]Pivot!$BF$1:$CG$65000,$B1070,AD$5)=1,1,IF(INDEX([1]Pivot!$B$1:$AB$65000,$B1070,AD$5)="",2,0)),0)</f>
        <v>0</v>
      </c>
      <c r="AE1070" s="313">
        <f>IFERROR(IF(INDEX([1]Pivot!$BF$1:$CG$65000,$B1070,AE$5)=1,1,IF(INDEX([1]Pivot!$B$1:$AB$65000,$B1070,AE$5)="",2,0)),0)</f>
        <v>0</v>
      </c>
      <c r="AF1070" s="313">
        <f>IFERROR(IF(INDEX([1]Pivot!$BF$1:$CG$65000,$B1070,AF$5)=1,1,IF(INDEX([1]Pivot!$B$1:$AB$65000,$B1070,AF$5)="",2,0)),0)</f>
        <v>0</v>
      </c>
      <c r="AG1070" s="313">
        <f>IFERROR(IF(INDEX([1]Pivot!$BF$1:$CG$65000,$B1070,AG$5)=1,1,IF(INDEX([1]Pivot!$B$1:$AB$65000,$B1070,AG$5)="",2,0)),0)</f>
        <v>0</v>
      </c>
      <c r="AH1070" s="313">
        <f>IFERROR(IF(INDEX([1]Pivot!$BF$1:$CG$65000,$B1070,AH$5)=1,1,IF(INDEX([1]Pivot!$B$1:$AB$65000,$B1070,AH$5)="",2,0)),0)</f>
        <v>0</v>
      </c>
      <c r="AI1070" s="313">
        <f>IFERROR(IF(INDEX([1]Pivot!$BF$1:$CG$65000,$B1070,AI$5)=1,1,IF(INDEX([1]Pivot!$B$1:$AB$65000,$B1070,AI$5)="",2,0)),0)</f>
        <v>0</v>
      </c>
      <c r="AJ1070" s="313">
        <f>IFERROR(IF(INDEX([1]Pivot!$BF$1:$CG$65000,$B1070,AJ$5)=1,1,IF(INDEX([1]Pivot!$B$1:$AB$65000,$B1070,AJ$5)="",2,0)),0)</f>
        <v>0</v>
      </c>
      <c r="AK1070" s="313">
        <f>IFERROR(IF(INDEX([1]Pivot!$BF$1:$CG$65000,$B1070,AK$5)=1,1,IF(INDEX([1]Pivot!$B$1:$AB$65000,$B1070,AK$5)="",2,0)),0)</f>
        <v>0</v>
      </c>
      <c r="AL1070" s="313">
        <f>IFERROR(IF(INDEX([1]Pivot!$BF$1:$CG$65000,$B1070,AL$5)=1,1,IF(INDEX([1]Pivot!$B$1:$AB$65000,$B1070,AL$5)="",2,0)),0)</f>
        <v>0</v>
      </c>
      <c r="AM1070" s="313">
        <f>IFERROR(IF(INDEX([1]Pivot!$BF$1:$CG$65000,$B1070,AM$5)=1,1,IF(INDEX([1]Pivot!$B$1:$AB$65000,$B1070,AM$5)="",2,0)),0)</f>
        <v>0</v>
      </c>
      <c r="AN1070" s="313">
        <f>IFERROR(IF(INDEX([1]Pivot!$BF$1:$CG$65000,$B1070,AN$5)=1,1,IF(INDEX([1]Pivot!$B$1:$AB$65000,$B1070,AN$5)="",2,0)),0)</f>
        <v>0</v>
      </c>
      <c r="AO1070" s="313">
        <f>IFERROR(IF(INDEX([1]Pivot!$BF$1:$CG$65000,$B1070,AO$5)=1,1,IF(INDEX([1]Pivot!$B$1:$AB$65000,$B1070,AO$5)="",2,0)),0)</f>
        <v>0</v>
      </c>
      <c r="AP1070" s="313">
        <f>IFERROR(IF(INDEX([1]Pivot!$BF$1:$CG$65000,$B1070,AP$5)=1,1,IF(INDEX([1]Pivot!$B$1:$AB$65000,$B1070,AP$5)="",2,0)),0)</f>
        <v>0</v>
      </c>
      <c r="AQ1070" s="313">
        <f>IFERROR(IF(INDEX([1]Pivot!$BF$1:$CG$65000,$B1070,AQ$5)=1,1,IF(INDEX([1]Pivot!$B$1:$AB$65000,$B1070,AQ$5)="",2,0)),0)</f>
        <v>0</v>
      </c>
      <c r="AR1070" s="313">
        <f>IFERROR(IF(INDEX([1]Pivot!$BF$1:$CG$65000,$B1070,AR$5)=1,1,IF(INDEX([1]Pivot!$B$1:$AB$65000,$B1070,AR$5)="",2,0)),0)</f>
        <v>0</v>
      </c>
      <c r="AS1070" s="312"/>
      <c r="AT1070" s="313">
        <f>IFERROR(IF(INDEX([1]Pivot!$BF$1:$CG$65000,$B1070,AT$5)=1,1,IF(INDEX([1]Pivot!$B$1:$AB$65000,$B1070,AT$5)="",2,0)),0)</f>
        <v>0</v>
      </c>
      <c r="AU1070" s="313">
        <f>IFERROR(IF(INDEX([1]Pivot!$BF$1:$CG$65000,$B1070,AU$5)=1,1,IF(INDEX([1]Pivot!$B$1:$AB$65000,$B1070,AU$5)="",2,0)),0)</f>
        <v>0</v>
      </c>
      <c r="AV1070" s="313">
        <f>IFERROR(IF(INDEX([1]Pivot!$BF$1:$CG$65000,$B1070,AV$5)=1,1,IF(INDEX([1]Pivot!$B$1:$AB$65000,$B1070,AV$5)="",2,0)),0)</f>
        <v>0</v>
      </c>
      <c r="AW1070" s="313">
        <f>IFERROR(IF(INDEX([1]Pivot!$BF$1:$CG$65000,$B1070,AW$5)=1,1,IF(INDEX([1]Pivot!$B$1:$AB$65000,$B1070,AW$5)="",2,0)),0)</f>
        <v>0</v>
      </c>
      <c r="AX1070" s="313">
        <f>IFERROR(IF(INDEX([1]Pivot!$BF$1:$CG$65000,$B1070,AX$5)=1,1,IF(INDEX([1]Pivot!$B$1:$AB$65000,$B1070,AX$5)="",2,0)),0)</f>
        <v>0</v>
      </c>
      <c r="AY1070" s="313">
        <f>IFERROR(IF(INDEX([1]Pivot!$BF$1:$CG$65000,$B1070,AY$5)=1,1,IF(INDEX([1]Pivot!$B$1:$AB$65000,$B1070,AY$5)="",2,0)),0)</f>
        <v>0</v>
      </c>
      <c r="AZ1070" s="313">
        <f>IFERROR(IF(INDEX([1]Pivot!$BF$1:$CG$65000,$B1070,AZ$5)=1,1,IF(INDEX([1]Pivot!$B$1:$AB$65000,$B1070,AZ$5)="",2,0)),0)</f>
        <v>0</v>
      </c>
      <c r="BA1070" s="313">
        <f>IFERROR(IF(INDEX([1]Pivot!$BF$1:$CG$65000,$B1070,BA$5)=1,1,IF(INDEX([1]Pivot!$B$1:$AB$65000,$B1070,BA$5)="",2,0)),0)</f>
        <v>0</v>
      </c>
      <c r="BB1070" s="313">
        <f>IFERROR(IF(INDEX([1]Pivot!$BF$1:$CG$65000,$B1070,BB$5)=1,1,IF(INDEX([1]Pivot!$B$1:$AB$65000,$B1070,BB$5)="",2,0)),0)</f>
        <v>0</v>
      </c>
      <c r="BC1070" s="313">
        <f>IFERROR(IF(INDEX([1]Pivot!$BF$1:$CG$65000,$B1070,BC$5)=1,1,IF(INDEX([1]Pivot!$B$1:$AB$65000,$B1070,BC$5)="",2,0)),0)</f>
        <v>0</v>
      </c>
      <c r="BD1070" s="313">
        <f>IFERROR(IF(INDEX([1]Pivot!$BF$1:$CG$65000,$B1070,BD$5)=1,1,IF(INDEX([1]Pivot!$B$1:$AB$65000,$B1070,BD$5)="",2,0)),0)</f>
        <v>0</v>
      </c>
    </row>
    <row r="1071" spans="1:56" x14ac:dyDescent="0.25">
      <c r="A1071" s="288">
        <f>'[2]Raw Milk Prices'!A1071</f>
        <v>0</v>
      </c>
      <c r="B1071" s="296" t="e">
        <f>MATCH(DATE(LEFT('[2]Raw Milk Prices'!$A1071,4),RIGHT('[2]Raw Milk Prices'!$A1071,2),1),[1]Pivot!$A$1:$A$65000,0)</f>
        <v>#VALUE!</v>
      </c>
      <c r="C1071" s="194">
        <f>IFERROR(IF(INDEX([1]Pivot!$AD$1:$BE$65000,$B1071,C$5)=1,1,IF(INDEX([1]Pivot!$B$1:$AB$65000,$B1071,C$5)="",2,0)),0)</f>
        <v>0</v>
      </c>
      <c r="D1071" s="194">
        <f>IFERROR(IF(INDEX([1]Pivot!$AD$1:$BE$65000,$B1071,D$5)=1,1,IF(INDEX([1]Pivot!$B$1:$AB$65000,$B1071,D$5)="",2,0)),0)</f>
        <v>0</v>
      </c>
      <c r="E1071" s="194">
        <f>IFERROR(IF(INDEX([1]Pivot!$AD$1:$BE$65000,$B1071,E$5)=1,1,IF(INDEX([1]Pivot!$B$1:$AB$65000,$B1071,E$5)="",2,0)),0)</f>
        <v>0</v>
      </c>
      <c r="F1071" s="194">
        <f>IFERROR(IF(INDEX([1]Pivot!$AD$1:$BE$65000,$B1071,F$5)=1,1,IF(INDEX([1]Pivot!$B$1:$AB$65000,$B1071,F$5)="",2,0)),0)</f>
        <v>0</v>
      </c>
      <c r="G1071" s="194">
        <f>IFERROR(IF(INDEX([1]Pivot!$AD$1:$BE$65000,$B1071,G$5)=1,1,IF(INDEX([1]Pivot!$B$1:$AB$65000,$B1071,G$5)="",2,0)),0)</f>
        <v>0</v>
      </c>
      <c r="H1071" s="194">
        <f>IFERROR(IF(INDEX([1]Pivot!$AD$1:$BE$65000,$B1071,H$5)=1,1,IF(INDEX([1]Pivot!$B$1:$AB$65000,$B1071,H$5)="",2,0)),0)</f>
        <v>0</v>
      </c>
      <c r="I1071" s="194">
        <f>IFERROR(IF(INDEX([1]Pivot!$AD$1:$BE$65000,$B1071,I$5)=1,1,IF(INDEX([1]Pivot!$B$1:$AB$65000,$B1071,I$5)="",2,0)),0)</f>
        <v>0</v>
      </c>
      <c r="J1071" s="194">
        <f>IFERROR(IF(INDEX([1]Pivot!$AD$1:$BE$65000,$B1071,J$5)=1,1,IF(INDEX([1]Pivot!$B$1:$AB$65000,$B1071,J$5)="",2,0)),0)</f>
        <v>0</v>
      </c>
      <c r="K1071" s="194">
        <f>IFERROR(IF(INDEX([1]Pivot!$AD$1:$BE$65000,$B1071,K$5)=1,1,IF(INDEX([1]Pivot!$B$1:$AB$65000,$B1071,K$5)="",2,0)),0)</f>
        <v>0</v>
      </c>
      <c r="L1071" s="194">
        <f>IFERROR(IF(INDEX([1]Pivot!$AD$1:$BE$65000,$B1071,L$5)=1,1,IF(INDEX([1]Pivot!$B$1:$AB$65000,$B1071,L$5)="",2,0)),0)</f>
        <v>0</v>
      </c>
      <c r="M1071" s="194">
        <f>IFERROR(IF(INDEX([1]Pivot!$AD$1:$BE$65000,$B1071,M$5)=1,1,IF(INDEX([1]Pivot!$B$1:$AB$65000,$B1071,M$5)="",2,0)),0)</f>
        <v>0</v>
      </c>
      <c r="N1071" s="194">
        <f>IFERROR(IF(INDEX([1]Pivot!$AD$1:$BE$65000,$B1071,N$5)=1,1,IF(INDEX([1]Pivot!$B$1:$AB$65000,$B1071,N$5)="",2,0)),0)</f>
        <v>0</v>
      </c>
      <c r="O1071" s="194">
        <f>IFERROR(IF(INDEX([1]Pivot!$AD$1:$BE$65000,$B1071,O$5)=1,1,IF(INDEX([1]Pivot!$B$1:$AB$65000,$B1071,O$5)="",2,0)),0)</f>
        <v>0</v>
      </c>
      <c r="P1071" s="194">
        <f>IFERROR(IF(INDEX([1]Pivot!$AD$1:$BE$65000,$B1071,P$5)=1,1,IF(INDEX([1]Pivot!$B$1:$AB$65000,$B1071,P$5)="",2,0)),0)</f>
        <v>0</v>
      </c>
      <c r="Q1071" s="194">
        <f>IFERROR(IF(INDEX([1]Pivot!$AD$1:$BE$65000,$B1071,Q$5)=1,1,IF(INDEX([1]Pivot!$B$1:$AB$65000,$B1071,Q$5)="",2,0)),0)</f>
        <v>0</v>
      </c>
      <c r="R1071" s="312"/>
      <c r="S1071" s="194">
        <f>IFERROR(IF(INDEX([1]Pivot!$AD$1:$BE$65000,$B1071,S$5)=1,1,IF(INDEX([1]Pivot!$B$1:$AB$65000,$B1071,S$5)="",2,0)),0)</f>
        <v>0</v>
      </c>
      <c r="T1071" s="194">
        <f>IFERROR(IF(INDEX([1]Pivot!$AD$1:$BE$65000,$B1071,T$5)=1,1,IF(INDEX([1]Pivot!$B$1:$AB$65000,$B1071,T$5)="",2,0)),0)</f>
        <v>0</v>
      </c>
      <c r="U1071" s="194">
        <f>IFERROR(IF(INDEX([1]Pivot!$AD$1:$BE$65000,$B1071,U$5)=1,1,IF(INDEX([1]Pivot!$B$1:$AB$65000,$B1071,U$5)="",2,0)),0)</f>
        <v>0</v>
      </c>
      <c r="V1071" s="194">
        <f>IFERROR(IF(INDEX([1]Pivot!$AD$1:$BE$65000,$B1071,V$5)=1,1,IF(INDEX([1]Pivot!$B$1:$AB$65000,$B1071,V$5)="",2,0)),0)</f>
        <v>0</v>
      </c>
      <c r="W1071" s="194">
        <f>IFERROR(IF(INDEX([1]Pivot!$AD$1:$BE$65000,$B1071,W$5)=1,1,IF(INDEX([1]Pivot!$B$1:$AB$65000,$B1071,W$5)="",2,0)),0)</f>
        <v>0</v>
      </c>
      <c r="X1071" s="194">
        <f>IFERROR(IF(INDEX([1]Pivot!$AD$1:$BE$65000,$B1071,X$5)=1,1,IF(INDEX([1]Pivot!$B$1:$AB$65000,$B1071,X$5)="",2,0)),0)</f>
        <v>0</v>
      </c>
      <c r="Y1071" s="194">
        <f>IFERROR(IF(INDEX([1]Pivot!$AD$1:$BE$65000,$B1071,Y$5)=1,1,IF(INDEX([1]Pivot!$B$1:$AB$65000,$B1071,Y$5)="",2,0)),0)</f>
        <v>0</v>
      </c>
      <c r="Z1071" s="194">
        <f>IFERROR(IF(INDEX([1]Pivot!$AD$1:$BE$65000,$B1071,Z$5)=1,1,IF(INDEX([1]Pivot!$B$1:$AB$65000,$B1071,Z$5)="",2,0)),0)</f>
        <v>0</v>
      </c>
      <c r="AA1071" s="194">
        <f>IFERROR(IF(INDEX([1]Pivot!$AD$1:$BE$65000,$B1071,AA$5)=1,1,IF(INDEX([1]Pivot!$B$1:$AB$65000,$B1071,AA$5)="",2,0)),0)</f>
        <v>0</v>
      </c>
      <c r="AB1071" s="194">
        <f>IFERROR(IF(INDEX([1]Pivot!$AD$1:$BE$65000,$B1071,AB$5)=1,1,IF(INDEX([1]Pivot!$B$1:$AB$65000,$B1071,AB$5)="",2,0)),0)</f>
        <v>0</v>
      </c>
      <c r="AC1071" s="194">
        <f>IFERROR(IF(INDEX([1]Pivot!$AD$1:$BE$65000,$B1071,AC$5)=1,1,IF(INDEX([1]Pivot!$B$1:$AB$65000,$B1071,AC$5)="",2,0)),0)</f>
        <v>0</v>
      </c>
      <c r="AD1071" s="313">
        <f>IFERROR(IF(INDEX([1]Pivot!$BF$1:$CG$65000,$B1071,AD$5)=1,1,IF(INDEX([1]Pivot!$B$1:$AB$65000,$B1071,AD$5)="",2,0)),0)</f>
        <v>0</v>
      </c>
      <c r="AE1071" s="313">
        <f>IFERROR(IF(INDEX([1]Pivot!$BF$1:$CG$65000,$B1071,AE$5)=1,1,IF(INDEX([1]Pivot!$B$1:$AB$65000,$B1071,AE$5)="",2,0)),0)</f>
        <v>0</v>
      </c>
      <c r="AF1071" s="313">
        <f>IFERROR(IF(INDEX([1]Pivot!$BF$1:$CG$65000,$B1071,AF$5)=1,1,IF(INDEX([1]Pivot!$B$1:$AB$65000,$B1071,AF$5)="",2,0)),0)</f>
        <v>0</v>
      </c>
      <c r="AG1071" s="313">
        <f>IFERROR(IF(INDEX([1]Pivot!$BF$1:$CG$65000,$B1071,AG$5)=1,1,IF(INDEX([1]Pivot!$B$1:$AB$65000,$B1071,AG$5)="",2,0)),0)</f>
        <v>0</v>
      </c>
      <c r="AH1071" s="313">
        <f>IFERROR(IF(INDEX([1]Pivot!$BF$1:$CG$65000,$B1071,AH$5)=1,1,IF(INDEX([1]Pivot!$B$1:$AB$65000,$B1071,AH$5)="",2,0)),0)</f>
        <v>0</v>
      </c>
      <c r="AI1071" s="313">
        <f>IFERROR(IF(INDEX([1]Pivot!$BF$1:$CG$65000,$B1071,AI$5)=1,1,IF(INDEX([1]Pivot!$B$1:$AB$65000,$B1071,AI$5)="",2,0)),0)</f>
        <v>0</v>
      </c>
      <c r="AJ1071" s="313">
        <f>IFERROR(IF(INDEX([1]Pivot!$BF$1:$CG$65000,$B1071,AJ$5)=1,1,IF(INDEX([1]Pivot!$B$1:$AB$65000,$B1071,AJ$5)="",2,0)),0)</f>
        <v>0</v>
      </c>
      <c r="AK1071" s="313">
        <f>IFERROR(IF(INDEX([1]Pivot!$BF$1:$CG$65000,$B1071,AK$5)=1,1,IF(INDEX([1]Pivot!$B$1:$AB$65000,$B1071,AK$5)="",2,0)),0)</f>
        <v>0</v>
      </c>
      <c r="AL1071" s="313">
        <f>IFERROR(IF(INDEX([1]Pivot!$BF$1:$CG$65000,$B1071,AL$5)=1,1,IF(INDEX([1]Pivot!$B$1:$AB$65000,$B1071,AL$5)="",2,0)),0)</f>
        <v>0</v>
      </c>
      <c r="AM1071" s="313">
        <f>IFERROR(IF(INDEX([1]Pivot!$BF$1:$CG$65000,$B1071,AM$5)=1,1,IF(INDEX([1]Pivot!$B$1:$AB$65000,$B1071,AM$5)="",2,0)),0)</f>
        <v>0</v>
      </c>
      <c r="AN1071" s="313">
        <f>IFERROR(IF(INDEX([1]Pivot!$BF$1:$CG$65000,$B1071,AN$5)=1,1,IF(INDEX([1]Pivot!$B$1:$AB$65000,$B1071,AN$5)="",2,0)),0)</f>
        <v>0</v>
      </c>
      <c r="AO1071" s="313">
        <f>IFERROR(IF(INDEX([1]Pivot!$BF$1:$CG$65000,$B1071,AO$5)=1,1,IF(INDEX([1]Pivot!$B$1:$AB$65000,$B1071,AO$5)="",2,0)),0)</f>
        <v>0</v>
      </c>
      <c r="AP1071" s="313">
        <f>IFERROR(IF(INDEX([1]Pivot!$BF$1:$CG$65000,$B1071,AP$5)=1,1,IF(INDEX([1]Pivot!$B$1:$AB$65000,$B1071,AP$5)="",2,0)),0)</f>
        <v>0</v>
      </c>
      <c r="AQ1071" s="313">
        <f>IFERROR(IF(INDEX([1]Pivot!$BF$1:$CG$65000,$B1071,AQ$5)=1,1,IF(INDEX([1]Pivot!$B$1:$AB$65000,$B1071,AQ$5)="",2,0)),0)</f>
        <v>0</v>
      </c>
      <c r="AR1071" s="313">
        <f>IFERROR(IF(INDEX([1]Pivot!$BF$1:$CG$65000,$B1071,AR$5)=1,1,IF(INDEX([1]Pivot!$B$1:$AB$65000,$B1071,AR$5)="",2,0)),0)</f>
        <v>0</v>
      </c>
      <c r="AS1071" s="312"/>
      <c r="AT1071" s="313">
        <f>IFERROR(IF(INDEX([1]Pivot!$BF$1:$CG$65000,$B1071,AT$5)=1,1,IF(INDEX([1]Pivot!$B$1:$AB$65000,$B1071,AT$5)="",2,0)),0)</f>
        <v>0</v>
      </c>
      <c r="AU1071" s="313">
        <f>IFERROR(IF(INDEX([1]Pivot!$BF$1:$CG$65000,$B1071,AU$5)=1,1,IF(INDEX([1]Pivot!$B$1:$AB$65000,$B1071,AU$5)="",2,0)),0)</f>
        <v>0</v>
      </c>
      <c r="AV1071" s="313">
        <f>IFERROR(IF(INDEX([1]Pivot!$BF$1:$CG$65000,$B1071,AV$5)=1,1,IF(INDEX([1]Pivot!$B$1:$AB$65000,$B1071,AV$5)="",2,0)),0)</f>
        <v>0</v>
      </c>
      <c r="AW1071" s="313">
        <f>IFERROR(IF(INDEX([1]Pivot!$BF$1:$CG$65000,$B1071,AW$5)=1,1,IF(INDEX([1]Pivot!$B$1:$AB$65000,$B1071,AW$5)="",2,0)),0)</f>
        <v>0</v>
      </c>
      <c r="AX1071" s="313">
        <f>IFERROR(IF(INDEX([1]Pivot!$BF$1:$CG$65000,$B1071,AX$5)=1,1,IF(INDEX([1]Pivot!$B$1:$AB$65000,$B1071,AX$5)="",2,0)),0)</f>
        <v>0</v>
      </c>
      <c r="AY1071" s="313">
        <f>IFERROR(IF(INDEX([1]Pivot!$BF$1:$CG$65000,$B1071,AY$5)=1,1,IF(INDEX([1]Pivot!$B$1:$AB$65000,$B1071,AY$5)="",2,0)),0)</f>
        <v>0</v>
      </c>
      <c r="AZ1071" s="313">
        <f>IFERROR(IF(INDEX([1]Pivot!$BF$1:$CG$65000,$B1071,AZ$5)=1,1,IF(INDEX([1]Pivot!$B$1:$AB$65000,$B1071,AZ$5)="",2,0)),0)</f>
        <v>0</v>
      </c>
      <c r="BA1071" s="313">
        <f>IFERROR(IF(INDEX([1]Pivot!$BF$1:$CG$65000,$B1071,BA$5)=1,1,IF(INDEX([1]Pivot!$B$1:$AB$65000,$B1071,BA$5)="",2,0)),0)</f>
        <v>0</v>
      </c>
      <c r="BB1071" s="313">
        <f>IFERROR(IF(INDEX([1]Pivot!$BF$1:$CG$65000,$B1071,BB$5)=1,1,IF(INDEX([1]Pivot!$B$1:$AB$65000,$B1071,BB$5)="",2,0)),0)</f>
        <v>0</v>
      </c>
      <c r="BC1071" s="313">
        <f>IFERROR(IF(INDEX([1]Pivot!$BF$1:$CG$65000,$B1071,BC$5)=1,1,IF(INDEX([1]Pivot!$B$1:$AB$65000,$B1071,BC$5)="",2,0)),0)</f>
        <v>0</v>
      </c>
      <c r="BD1071" s="313">
        <f>IFERROR(IF(INDEX([1]Pivot!$BF$1:$CG$65000,$B1071,BD$5)=1,1,IF(INDEX([1]Pivot!$B$1:$AB$65000,$B1071,BD$5)="",2,0)),0)</f>
        <v>0</v>
      </c>
    </row>
    <row r="1072" spans="1:56" x14ac:dyDescent="0.25">
      <c r="A1072" s="288">
        <f>'[2]Raw Milk Prices'!A1072</f>
        <v>0</v>
      </c>
      <c r="B1072" s="296" t="e">
        <f>MATCH(DATE(LEFT('[2]Raw Milk Prices'!$A1072,4),RIGHT('[2]Raw Milk Prices'!$A1072,2),1),[1]Pivot!$A$1:$A$65000,0)</f>
        <v>#VALUE!</v>
      </c>
      <c r="C1072" s="194">
        <f>IFERROR(IF(INDEX([1]Pivot!$AD$1:$BE$65000,$B1072,C$5)=1,1,IF(INDEX([1]Pivot!$B$1:$AB$65000,$B1072,C$5)="",2,0)),0)</f>
        <v>0</v>
      </c>
      <c r="D1072" s="194">
        <f>IFERROR(IF(INDEX([1]Pivot!$AD$1:$BE$65000,$B1072,D$5)=1,1,IF(INDEX([1]Pivot!$B$1:$AB$65000,$B1072,D$5)="",2,0)),0)</f>
        <v>0</v>
      </c>
      <c r="E1072" s="194">
        <f>IFERROR(IF(INDEX([1]Pivot!$AD$1:$BE$65000,$B1072,E$5)=1,1,IF(INDEX([1]Pivot!$B$1:$AB$65000,$B1072,E$5)="",2,0)),0)</f>
        <v>0</v>
      </c>
      <c r="F1072" s="194">
        <f>IFERROR(IF(INDEX([1]Pivot!$AD$1:$BE$65000,$B1072,F$5)=1,1,IF(INDEX([1]Pivot!$B$1:$AB$65000,$B1072,F$5)="",2,0)),0)</f>
        <v>0</v>
      </c>
      <c r="G1072" s="194">
        <f>IFERROR(IF(INDEX([1]Pivot!$AD$1:$BE$65000,$B1072,G$5)=1,1,IF(INDEX([1]Pivot!$B$1:$AB$65000,$B1072,G$5)="",2,0)),0)</f>
        <v>0</v>
      </c>
      <c r="H1072" s="194">
        <f>IFERROR(IF(INDEX([1]Pivot!$AD$1:$BE$65000,$B1072,H$5)=1,1,IF(INDEX([1]Pivot!$B$1:$AB$65000,$B1072,H$5)="",2,0)),0)</f>
        <v>0</v>
      </c>
      <c r="I1072" s="194">
        <f>IFERROR(IF(INDEX([1]Pivot!$AD$1:$BE$65000,$B1072,I$5)=1,1,IF(INDEX([1]Pivot!$B$1:$AB$65000,$B1072,I$5)="",2,0)),0)</f>
        <v>0</v>
      </c>
      <c r="J1072" s="194">
        <f>IFERROR(IF(INDEX([1]Pivot!$AD$1:$BE$65000,$B1072,J$5)=1,1,IF(INDEX([1]Pivot!$B$1:$AB$65000,$B1072,J$5)="",2,0)),0)</f>
        <v>0</v>
      </c>
      <c r="K1072" s="194">
        <f>IFERROR(IF(INDEX([1]Pivot!$AD$1:$BE$65000,$B1072,K$5)=1,1,IF(INDEX([1]Pivot!$B$1:$AB$65000,$B1072,K$5)="",2,0)),0)</f>
        <v>0</v>
      </c>
      <c r="L1072" s="194">
        <f>IFERROR(IF(INDEX([1]Pivot!$AD$1:$BE$65000,$B1072,L$5)=1,1,IF(INDEX([1]Pivot!$B$1:$AB$65000,$B1072,L$5)="",2,0)),0)</f>
        <v>0</v>
      </c>
      <c r="M1072" s="194">
        <f>IFERROR(IF(INDEX([1]Pivot!$AD$1:$BE$65000,$B1072,M$5)=1,1,IF(INDEX([1]Pivot!$B$1:$AB$65000,$B1072,M$5)="",2,0)),0)</f>
        <v>0</v>
      </c>
      <c r="N1072" s="194">
        <f>IFERROR(IF(INDEX([1]Pivot!$AD$1:$BE$65000,$B1072,N$5)=1,1,IF(INDEX([1]Pivot!$B$1:$AB$65000,$B1072,N$5)="",2,0)),0)</f>
        <v>0</v>
      </c>
      <c r="O1072" s="194">
        <f>IFERROR(IF(INDEX([1]Pivot!$AD$1:$BE$65000,$B1072,O$5)=1,1,IF(INDEX([1]Pivot!$B$1:$AB$65000,$B1072,O$5)="",2,0)),0)</f>
        <v>0</v>
      </c>
      <c r="P1072" s="194">
        <f>IFERROR(IF(INDEX([1]Pivot!$AD$1:$BE$65000,$B1072,P$5)=1,1,IF(INDEX([1]Pivot!$B$1:$AB$65000,$B1072,P$5)="",2,0)),0)</f>
        <v>0</v>
      </c>
      <c r="Q1072" s="194">
        <f>IFERROR(IF(INDEX([1]Pivot!$AD$1:$BE$65000,$B1072,Q$5)=1,1,IF(INDEX([1]Pivot!$B$1:$AB$65000,$B1072,Q$5)="",2,0)),0)</f>
        <v>0</v>
      </c>
      <c r="R1072" s="312"/>
      <c r="S1072" s="194">
        <f>IFERROR(IF(INDEX([1]Pivot!$AD$1:$BE$65000,$B1072,S$5)=1,1,IF(INDEX([1]Pivot!$B$1:$AB$65000,$B1072,S$5)="",2,0)),0)</f>
        <v>0</v>
      </c>
      <c r="T1072" s="194">
        <f>IFERROR(IF(INDEX([1]Pivot!$AD$1:$BE$65000,$B1072,T$5)=1,1,IF(INDEX([1]Pivot!$B$1:$AB$65000,$B1072,T$5)="",2,0)),0)</f>
        <v>0</v>
      </c>
      <c r="U1072" s="194">
        <f>IFERROR(IF(INDEX([1]Pivot!$AD$1:$BE$65000,$B1072,U$5)=1,1,IF(INDEX([1]Pivot!$B$1:$AB$65000,$B1072,U$5)="",2,0)),0)</f>
        <v>0</v>
      </c>
      <c r="V1072" s="194">
        <f>IFERROR(IF(INDEX([1]Pivot!$AD$1:$BE$65000,$B1072,V$5)=1,1,IF(INDEX([1]Pivot!$B$1:$AB$65000,$B1072,V$5)="",2,0)),0)</f>
        <v>0</v>
      </c>
      <c r="W1072" s="194">
        <f>IFERROR(IF(INDEX([1]Pivot!$AD$1:$BE$65000,$B1072,W$5)=1,1,IF(INDEX([1]Pivot!$B$1:$AB$65000,$B1072,W$5)="",2,0)),0)</f>
        <v>0</v>
      </c>
      <c r="X1072" s="194">
        <f>IFERROR(IF(INDEX([1]Pivot!$AD$1:$BE$65000,$B1072,X$5)=1,1,IF(INDEX([1]Pivot!$B$1:$AB$65000,$B1072,X$5)="",2,0)),0)</f>
        <v>0</v>
      </c>
      <c r="Y1072" s="194">
        <f>IFERROR(IF(INDEX([1]Pivot!$AD$1:$BE$65000,$B1072,Y$5)=1,1,IF(INDEX([1]Pivot!$B$1:$AB$65000,$B1072,Y$5)="",2,0)),0)</f>
        <v>0</v>
      </c>
      <c r="Z1072" s="194">
        <f>IFERROR(IF(INDEX([1]Pivot!$AD$1:$BE$65000,$B1072,Z$5)=1,1,IF(INDEX([1]Pivot!$B$1:$AB$65000,$B1072,Z$5)="",2,0)),0)</f>
        <v>0</v>
      </c>
      <c r="AA1072" s="194">
        <f>IFERROR(IF(INDEX([1]Pivot!$AD$1:$BE$65000,$B1072,AA$5)=1,1,IF(INDEX([1]Pivot!$B$1:$AB$65000,$B1072,AA$5)="",2,0)),0)</f>
        <v>0</v>
      </c>
      <c r="AB1072" s="194">
        <f>IFERROR(IF(INDEX([1]Pivot!$AD$1:$BE$65000,$B1072,AB$5)=1,1,IF(INDEX([1]Pivot!$B$1:$AB$65000,$B1072,AB$5)="",2,0)),0)</f>
        <v>0</v>
      </c>
      <c r="AC1072" s="194">
        <f>IFERROR(IF(INDEX([1]Pivot!$AD$1:$BE$65000,$B1072,AC$5)=1,1,IF(INDEX([1]Pivot!$B$1:$AB$65000,$B1072,AC$5)="",2,0)),0)</f>
        <v>0</v>
      </c>
      <c r="AD1072" s="313">
        <f>IFERROR(IF(INDEX([1]Pivot!$BF$1:$CG$65000,$B1072,AD$5)=1,1,IF(INDEX([1]Pivot!$B$1:$AB$65000,$B1072,AD$5)="",2,0)),0)</f>
        <v>0</v>
      </c>
      <c r="AE1072" s="313">
        <f>IFERROR(IF(INDEX([1]Pivot!$BF$1:$CG$65000,$B1072,AE$5)=1,1,IF(INDEX([1]Pivot!$B$1:$AB$65000,$B1072,AE$5)="",2,0)),0)</f>
        <v>0</v>
      </c>
      <c r="AF1072" s="313">
        <f>IFERROR(IF(INDEX([1]Pivot!$BF$1:$CG$65000,$B1072,AF$5)=1,1,IF(INDEX([1]Pivot!$B$1:$AB$65000,$B1072,AF$5)="",2,0)),0)</f>
        <v>0</v>
      </c>
      <c r="AG1072" s="313">
        <f>IFERROR(IF(INDEX([1]Pivot!$BF$1:$CG$65000,$B1072,AG$5)=1,1,IF(INDEX([1]Pivot!$B$1:$AB$65000,$B1072,AG$5)="",2,0)),0)</f>
        <v>0</v>
      </c>
      <c r="AH1072" s="313">
        <f>IFERROR(IF(INDEX([1]Pivot!$BF$1:$CG$65000,$B1072,AH$5)=1,1,IF(INDEX([1]Pivot!$B$1:$AB$65000,$B1072,AH$5)="",2,0)),0)</f>
        <v>0</v>
      </c>
      <c r="AI1072" s="313">
        <f>IFERROR(IF(INDEX([1]Pivot!$BF$1:$CG$65000,$B1072,AI$5)=1,1,IF(INDEX([1]Pivot!$B$1:$AB$65000,$B1072,AI$5)="",2,0)),0)</f>
        <v>0</v>
      </c>
      <c r="AJ1072" s="313">
        <f>IFERROR(IF(INDEX([1]Pivot!$BF$1:$CG$65000,$B1072,AJ$5)=1,1,IF(INDEX([1]Pivot!$B$1:$AB$65000,$B1072,AJ$5)="",2,0)),0)</f>
        <v>0</v>
      </c>
      <c r="AK1072" s="313">
        <f>IFERROR(IF(INDEX([1]Pivot!$BF$1:$CG$65000,$B1072,AK$5)=1,1,IF(INDEX([1]Pivot!$B$1:$AB$65000,$B1072,AK$5)="",2,0)),0)</f>
        <v>0</v>
      </c>
      <c r="AL1072" s="313">
        <f>IFERROR(IF(INDEX([1]Pivot!$BF$1:$CG$65000,$B1072,AL$5)=1,1,IF(INDEX([1]Pivot!$B$1:$AB$65000,$B1072,AL$5)="",2,0)),0)</f>
        <v>0</v>
      </c>
      <c r="AM1072" s="313">
        <f>IFERROR(IF(INDEX([1]Pivot!$BF$1:$CG$65000,$B1072,AM$5)=1,1,IF(INDEX([1]Pivot!$B$1:$AB$65000,$B1072,AM$5)="",2,0)),0)</f>
        <v>0</v>
      </c>
      <c r="AN1072" s="313">
        <f>IFERROR(IF(INDEX([1]Pivot!$BF$1:$CG$65000,$B1072,AN$5)=1,1,IF(INDEX([1]Pivot!$B$1:$AB$65000,$B1072,AN$5)="",2,0)),0)</f>
        <v>0</v>
      </c>
      <c r="AO1072" s="313">
        <f>IFERROR(IF(INDEX([1]Pivot!$BF$1:$CG$65000,$B1072,AO$5)=1,1,IF(INDEX([1]Pivot!$B$1:$AB$65000,$B1072,AO$5)="",2,0)),0)</f>
        <v>0</v>
      </c>
      <c r="AP1072" s="313">
        <f>IFERROR(IF(INDEX([1]Pivot!$BF$1:$CG$65000,$B1072,AP$5)=1,1,IF(INDEX([1]Pivot!$B$1:$AB$65000,$B1072,AP$5)="",2,0)),0)</f>
        <v>0</v>
      </c>
      <c r="AQ1072" s="313">
        <f>IFERROR(IF(INDEX([1]Pivot!$BF$1:$CG$65000,$B1072,AQ$5)=1,1,IF(INDEX([1]Pivot!$B$1:$AB$65000,$B1072,AQ$5)="",2,0)),0)</f>
        <v>0</v>
      </c>
      <c r="AR1072" s="313">
        <f>IFERROR(IF(INDEX([1]Pivot!$BF$1:$CG$65000,$B1072,AR$5)=1,1,IF(INDEX([1]Pivot!$B$1:$AB$65000,$B1072,AR$5)="",2,0)),0)</f>
        <v>0</v>
      </c>
      <c r="AS1072" s="312"/>
      <c r="AT1072" s="313">
        <f>IFERROR(IF(INDEX([1]Pivot!$BF$1:$CG$65000,$B1072,AT$5)=1,1,IF(INDEX([1]Pivot!$B$1:$AB$65000,$B1072,AT$5)="",2,0)),0)</f>
        <v>0</v>
      </c>
      <c r="AU1072" s="313">
        <f>IFERROR(IF(INDEX([1]Pivot!$BF$1:$CG$65000,$B1072,AU$5)=1,1,IF(INDEX([1]Pivot!$B$1:$AB$65000,$B1072,AU$5)="",2,0)),0)</f>
        <v>0</v>
      </c>
      <c r="AV1072" s="313">
        <f>IFERROR(IF(INDEX([1]Pivot!$BF$1:$CG$65000,$B1072,AV$5)=1,1,IF(INDEX([1]Pivot!$B$1:$AB$65000,$B1072,AV$5)="",2,0)),0)</f>
        <v>0</v>
      </c>
      <c r="AW1072" s="313">
        <f>IFERROR(IF(INDEX([1]Pivot!$BF$1:$CG$65000,$B1072,AW$5)=1,1,IF(INDEX([1]Pivot!$B$1:$AB$65000,$B1072,AW$5)="",2,0)),0)</f>
        <v>0</v>
      </c>
      <c r="AX1072" s="313">
        <f>IFERROR(IF(INDEX([1]Pivot!$BF$1:$CG$65000,$B1072,AX$5)=1,1,IF(INDEX([1]Pivot!$B$1:$AB$65000,$B1072,AX$5)="",2,0)),0)</f>
        <v>0</v>
      </c>
      <c r="AY1072" s="313">
        <f>IFERROR(IF(INDEX([1]Pivot!$BF$1:$CG$65000,$B1072,AY$5)=1,1,IF(INDEX([1]Pivot!$B$1:$AB$65000,$B1072,AY$5)="",2,0)),0)</f>
        <v>0</v>
      </c>
      <c r="AZ1072" s="313">
        <f>IFERROR(IF(INDEX([1]Pivot!$BF$1:$CG$65000,$B1072,AZ$5)=1,1,IF(INDEX([1]Pivot!$B$1:$AB$65000,$B1072,AZ$5)="",2,0)),0)</f>
        <v>0</v>
      </c>
      <c r="BA1072" s="313">
        <f>IFERROR(IF(INDEX([1]Pivot!$BF$1:$CG$65000,$B1072,BA$5)=1,1,IF(INDEX([1]Pivot!$B$1:$AB$65000,$B1072,BA$5)="",2,0)),0)</f>
        <v>0</v>
      </c>
      <c r="BB1072" s="313">
        <f>IFERROR(IF(INDEX([1]Pivot!$BF$1:$CG$65000,$B1072,BB$5)=1,1,IF(INDEX([1]Pivot!$B$1:$AB$65000,$B1072,BB$5)="",2,0)),0)</f>
        <v>0</v>
      </c>
      <c r="BC1072" s="313">
        <f>IFERROR(IF(INDEX([1]Pivot!$BF$1:$CG$65000,$B1072,BC$5)=1,1,IF(INDEX([1]Pivot!$B$1:$AB$65000,$B1072,BC$5)="",2,0)),0)</f>
        <v>0</v>
      </c>
      <c r="BD1072" s="313">
        <f>IFERROR(IF(INDEX([1]Pivot!$BF$1:$CG$65000,$B1072,BD$5)=1,1,IF(INDEX([1]Pivot!$B$1:$AB$65000,$B1072,BD$5)="",2,0)),0)</f>
        <v>0</v>
      </c>
    </row>
    <row r="1073" spans="1:56" x14ac:dyDescent="0.25">
      <c r="A1073" s="288">
        <f>'[2]Raw Milk Prices'!A1073</f>
        <v>0</v>
      </c>
      <c r="B1073" s="296" t="e">
        <f>MATCH(DATE(LEFT('[2]Raw Milk Prices'!$A1073,4),RIGHT('[2]Raw Milk Prices'!$A1073,2),1),[1]Pivot!$A$1:$A$65000,0)</f>
        <v>#VALUE!</v>
      </c>
      <c r="C1073" s="194">
        <f>IFERROR(IF(INDEX([1]Pivot!$AD$1:$BE$65000,$B1073,C$5)=1,1,IF(INDEX([1]Pivot!$B$1:$AB$65000,$B1073,C$5)="",2,0)),0)</f>
        <v>0</v>
      </c>
      <c r="D1073" s="194">
        <f>IFERROR(IF(INDEX([1]Pivot!$AD$1:$BE$65000,$B1073,D$5)=1,1,IF(INDEX([1]Pivot!$B$1:$AB$65000,$B1073,D$5)="",2,0)),0)</f>
        <v>0</v>
      </c>
      <c r="E1073" s="194">
        <f>IFERROR(IF(INDEX([1]Pivot!$AD$1:$BE$65000,$B1073,E$5)=1,1,IF(INDEX([1]Pivot!$B$1:$AB$65000,$B1073,E$5)="",2,0)),0)</f>
        <v>0</v>
      </c>
      <c r="F1073" s="194">
        <f>IFERROR(IF(INDEX([1]Pivot!$AD$1:$BE$65000,$B1073,F$5)=1,1,IF(INDEX([1]Pivot!$B$1:$AB$65000,$B1073,F$5)="",2,0)),0)</f>
        <v>0</v>
      </c>
      <c r="G1073" s="194">
        <f>IFERROR(IF(INDEX([1]Pivot!$AD$1:$BE$65000,$B1073,G$5)=1,1,IF(INDEX([1]Pivot!$B$1:$AB$65000,$B1073,G$5)="",2,0)),0)</f>
        <v>0</v>
      </c>
      <c r="H1073" s="194">
        <f>IFERROR(IF(INDEX([1]Pivot!$AD$1:$BE$65000,$B1073,H$5)=1,1,IF(INDEX([1]Pivot!$B$1:$AB$65000,$B1073,H$5)="",2,0)),0)</f>
        <v>0</v>
      </c>
      <c r="I1073" s="194">
        <f>IFERROR(IF(INDEX([1]Pivot!$AD$1:$BE$65000,$B1073,I$5)=1,1,IF(INDEX([1]Pivot!$B$1:$AB$65000,$B1073,I$5)="",2,0)),0)</f>
        <v>0</v>
      </c>
      <c r="J1073" s="194">
        <f>IFERROR(IF(INDEX([1]Pivot!$AD$1:$BE$65000,$B1073,J$5)=1,1,IF(INDEX([1]Pivot!$B$1:$AB$65000,$B1073,J$5)="",2,0)),0)</f>
        <v>0</v>
      </c>
      <c r="K1073" s="194">
        <f>IFERROR(IF(INDEX([1]Pivot!$AD$1:$BE$65000,$B1073,K$5)=1,1,IF(INDEX([1]Pivot!$B$1:$AB$65000,$B1073,K$5)="",2,0)),0)</f>
        <v>0</v>
      </c>
      <c r="L1073" s="194">
        <f>IFERROR(IF(INDEX([1]Pivot!$AD$1:$BE$65000,$B1073,L$5)=1,1,IF(INDEX([1]Pivot!$B$1:$AB$65000,$B1073,L$5)="",2,0)),0)</f>
        <v>0</v>
      </c>
      <c r="M1073" s="194">
        <f>IFERROR(IF(INDEX([1]Pivot!$AD$1:$BE$65000,$B1073,M$5)=1,1,IF(INDEX([1]Pivot!$B$1:$AB$65000,$B1073,M$5)="",2,0)),0)</f>
        <v>0</v>
      </c>
      <c r="N1073" s="194">
        <f>IFERROR(IF(INDEX([1]Pivot!$AD$1:$BE$65000,$B1073,N$5)=1,1,IF(INDEX([1]Pivot!$B$1:$AB$65000,$B1073,N$5)="",2,0)),0)</f>
        <v>0</v>
      </c>
      <c r="O1073" s="194">
        <f>IFERROR(IF(INDEX([1]Pivot!$AD$1:$BE$65000,$B1073,O$5)=1,1,IF(INDEX([1]Pivot!$B$1:$AB$65000,$B1073,O$5)="",2,0)),0)</f>
        <v>0</v>
      </c>
      <c r="P1073" s="194">
        <f>IFERROR(IF(INDEX([1]Pivot!$AD$1:$BE$65000,$B1073,P$5)=1,1,IF(INDEX([1]Pivot!$B$1:$AB$65000,$B1073,P$5)="",2,0)),0)</f>
        <v>0</v>
      </c>
      <c r="Q1073" s="194">
        <f>IFERROR(IF(INDEX([1]Pivot!$AD$1:$BE$65000,$B1073,Q$5)=1,1,IF(INDEX([1]Pivot!$B$1:$AB$65000,$B1073,Q$5)="",2,0)),0)</f>
        <v>0</v>
      </c>
      <c r="R1073" s="312"/>
      <c r="S1073" s="194">
        <f>IFERROR(IF(INDEX([1]Pivot!$AD$1:$BE$65000,$B1073,S$5)=1,1,IF(INDEX([1]Pivot!$B$1:$AB$65000,$B1073,S$5)="",2,0)),0)</f>
        <v>0</v>
      </c>
      <c r="T1073" s="194">
        <f>IFERROR(IF(INDEX([1]Pivot!$AD$1:$BE$65000,$B1073,T$5)=1,1,IF(INDEX([1]Pivot!$B$1:$AB$65000,$B1073,T$5)="",2,0)),0)</f>
        <v>0</v>
      </c>
      <c r="U1073" s="194">
        <f>IFERROR(IF(INDEX([1]Pivot!$AD$1:$BE$65000,$B1073,U$5)=1,1,IF(INDEX([1]Pivot!$B$1:$AB$65000,$B1073,U$5)="",2,0)),0)</f>
        <v>0</v>
      </c>
      <c r="V1073" s="194">
        <f>IFERROR(IF(INDEX([1]Pivot!$AD$1:$BE$65000,$B1073,V$5)=1,1,IF(INDEX([1]Pivot!$B$1:$AB$65000,$B1073,V$5)="",2,0)),0)</f>
        <v>0</v>
      </c>
      <c r="W1073" s="194">
        <f>IFERROR(IF(INDEX([1]Pivot!$AD$1:$BE$65000,$B1073,W$5)=1,1,IF(INDEX([1]Pivot!$B$1:$AB$65000,$B1073,W$5)="",2,0)),0)</f>
        <v>0</v>
      </c>
      <c r="X1073" s="194">
        <f>IFERROR(IF(INDEX([1]Pivot!$AD$1:$BE$65000,$B1073,X$5)=1,1,IF(INDEX([1]Pivot!$B$1:$AB$65000,$B1073,X$5)="",2,0)),0)</f>
        <v>0</v>
      </c>
      <c r="Y1073" s="194">
        <f>IFERROR(IF(INDEX([1]Pivot!$AD$1:$BE$65000,$B1073,Y$5)=1,1,IF(INDEX([1]Pivot!$B$1:$AB$65000,$B1073,Y$5)="",2,0)),0)</f>
        <v>0</v>
      </c>
      <c r="Z1073" s="194">
        <f>IFERROR(IF(INDEX([1]Pivot!$AD$1:$BE$65000,$B1073,Z$5)=1,1,IF(INDEX([1]Pivot!$B$1:$AB$65000,$B1073,Z$5)="",2,0)),0)</f>
        <v>0</v>
      </c>
      <c r="AA1073" s="194">
        <f>IFERROR(IF(INDEX([1]Pivot!$AD$1:$BE$65000,$B1073,AA$5)=1,1,IF(INDEX([1]Pivot!$B$1:$AB$65000,$B1073,AA$5)="",2,0)),0)</f>
        <v>0</v>
      </c>
      <c r="AB1073" s="194">
        <f>IFERROR(IF(INDEX([1]Pivot!$AD$1:$BE$65000,$B1073,AB$5)=1,1,IF(INDEX([1]Pivot!$B$1:$AB$65000,$B1073,AB$5)="",2,0)),0)</f>
        <v>0</v>
      </c>
      <c r="AC1073" s="194">
        <f>IFERROR(IF(INDEX([1]Pivot!$AD$1:$BE$65000,$B1073,AC$5)=1,1,IF(INDEX([1]Pivot!$B$1:$AB$65000,$B1073,AC$5)="",2,0)),0)</f>
        <v>0</v>
      </c>
      <c r="AD1073" s="313">
        <f>IFERROR(IF(INDEX([1]Pivot!$BF$1:$CG$65000,$B1073,AD$5)=1,1,IF(INDEX([1]Pivot!$B$1:$AB$65000,$B1073,AD$5)="",2,0)),0)</f>
        <v>0</v>
      </c>
      <c r="AE1073" s="313">
        <f>IFERROR(IF(INDEX([1]Pivot!$BF$1:$CG$65000,$B1073,AE$5)=1,1,IF(INDEX([1]Pivot!$B$1:$AB$65000,$B1073,AE$5)="",2,0)),0)</f>
        <v>0</v>
      </c>
      <c r="AF1073" s="313">
        <f>IFERROR(IF(INDEX([1]Pivot!$BF$1:$CG$65000,$B1073,AF$5)=1,1,IF(INDEX([1]Pivot!$B$1:$AB$65000,$B1073,AF$5)="",2,0)),0)</f>
        <v>0</v>
      </c>
      <c r="AG1073" s="313">
        <f>IFERROR(IF(INDEX([1]Pivot!$BF$1:$CG$65000,$B1073,AG$5)=1,1,IF(INDEX([1]Pivot!$B$1:$AB$65000,$B1073,AG$5)="",2,0)),0)</f>
        <v>0</v>
      </c>
      <c r="AH1073" s="313">
        <f>IFERROR(IF(INDEX([1]Pivot!$BF$1:$CG$65000,$B1073,AH$5)=1,1,IF(INDEX([1]Pivot!$B$1:$AB$65000,$B1073,AH$5)="",2,0)),0)</f>
        <v>0</v>
      </c>
      <c r="AI1073" s="313">
        <f>IFERROR(IF(INDEX([1]Pivot!$BF$1:$CG$65000,$B1073,AI$5)=1,1,IF(INDEX([1]Pivot!$B$1:$AB$65000,$B1073,AI$5)="",2,0)),0)</f>
        <v>0</v>
      </c>
      <c r="AJ1073" s="313">
        <f>IFERROR(IF(INDEX([1]Pivot!$BF$1:$CG$65000,$B1073,AJ$5)=1,1,IF(INDEX([1]Pivot!$B$1:$AB$65000,$B1073,AJ$5)="",2,0)),0)</f>
        <v>0</v>
      </c>
      <c r="AK1073" s="313">
        <f>IFERROR(IF(INDEX([1]Pivot!$BF$1:$CG$65000,$B1073,AK$5)=1,1,IF(INDEX([1]Pivot!$B$1:$AB$65000,$B1073,AK$5)="",2,0)),0)</f>
        <v>0</v>
      </c>
      <c r="AL1073" s="313">
        <f>IFERROR(IF(INDEX([1]Pivot!$BF$1:$CG$65000,$B1073,AL$5)=1,1,IF(INDEX([1]Pivot!$B$1:$AB$65000,$B1073,AL$5)="",2,0)),0)</f>
        <v>0</v>
      </c>
      <c r="AM1073" s="313">
        <f>IFERROR(IF(INDEX([1]Pivot!$BF$1:$CG$65000,$B1073,AM$5)=1,1,IF(INDEX([1]Pivot!$B$1:$AB$65000,$B1073,AM$5)="",2,0)),0)</f>
        <v>0</v>
      </c>
      <c r="AN1073" s="313">
        <f>IFERROR(IF(INDEX([1]Pivot!$BF$1:$CG$65000,$B1073,AN$5)=1,1,IF(INDEX([1]Pivot!$B$1:$AB$65000,$B1073,AN$5)="",2,0)),0)</f>
        <v>0</v>
      </c>
      <c r="AO1073" s="313">
        <f>IFERROR(IF(INDEX([1]Pivot!$BF$1:$CG$65000,$B1073,AO$5)=1,1,IF(INDEX([1]Pivot!$B$1:$AB$65000,$B1073,AO$5)="",2,0)),0)</f>
        <v>0</v>
      </c>
      <c r="AP1073" s="313">
        <f>IFERROR(IF(INDEX([1]Pivot!$BF$1:$CG$65000,$B1073,AP$5)=1,1,IF(INDEX([1]Pivot!$B$1:$AB$65000,$B1073,AP$5)="",2,0)),0)</f>
        <v>0</v>
      </c>
      <c r="AQ1073" s="313">
        <f>IFERROR(IF(INDEX([1]Pivot!$BF$1:$CG$65000,$B1073,AQ$5)=1,1,IF(INDEX([1]Pivot!$B$1:$AB$65000,$B1073,AQ$5)="",2,0)),0)</f>
        <v>0</v>
      </c>
      <c r="AR1073" s="313">
        <f>IFERROR(IF(INDEX([1]Pivot!$BF$1:$CG$65000,$B1073,AR$5)=1,1,IF(INDEX([1]Pivot!$B$1:$AB$65000,$B1073,AR$5)="",2,0)),0)</f>
        <v>0</v>
      </c>
      <c r="AS1073" s="312"/>
      <c r="AT1073" s="313">
        <f>IFERROR(IF(INDEX([1]Pivot!$BF$1:$CG$65000,$B1073,AT$5)=1,1,IF(INDEX([1]Pivot!$B$1:$AB$65000,$B1073,AT$5)="",2,0)),0)</f>
        <v>0</v>
      </c>
      <c r="AU1073" s="313">
        <f>IFERROR(IF(INDEX([1]Pivot!$BF$1:$CG$65000,$B1073,AU$5)=1,1,IF(INDEX([1]Pivot!$B$1:$AB$65000,$B1073,AU$5)="",2,0)),0)</f>
        <v>0</v>
      </c>
      <c r="AV1073" s="313">
        <f>IFERROR(IF(INDEX([1]Pivot!$BF$1:$CG$65000,$B1073,AV$5)=1,1,IF(INDEX([1]Pivot!$B$1:$AB$65000,$B1073,AV$5)="",2,0)),0)</f>
        <v>0</v>
      </c>
      <c r="AW1073" s="313">
        <f>IFERROR(IF(INDEX([1]Pivot!$BF$1:$CG$65000,$B1073,AW$5)=1,1,IF(INDEX([1]Pivot!$B$1:$AB$65000,$B1073,AW$5)="",2,0)),0)</f>
        <v>0</v>
      </c>
      <c r="AX1073" s="313">
        <f>IFERROR(IF(INDEX([1]Pivot!$BF$1:$CG$65000,$B1073,AX$5)=1,1,IF(INDEX([1]Pivot!$B$1:$AB$65000,$B1073,AX$5)="",2,0)),0)</f>
        <v>0</v>
      </c>
      <c r="AY1073" s="313">
        <f>IFERROR(IF(INDEX([1]Pivot!$BF$1:$CG$65000,$B1073,AY$5)=1,1,IF(INDEX([1]Pivot!$B$1:$AB$65000,$B1073,AY$5)="",2,0)),0)</f>
        <v>0</v>
      </c>
      <c r="AZ1073" s="313">
        <f>IFERROR(IF(INDEX([1]Pivot!$BF$1:$CG$65000,$B1073,AZ$5)=1,1,IF(INDEX([1]Pivot!$B$1:$AB$65000,$B1073,AZ$5)="",2,0)),0)</f>
        <v>0</v>
      </c>
      <c r="BA1073" s="313">
        <f>IFERROR(IF(INDEX([1]Pivot!$BF$1:$CG$65000,$B1073,BA$5)=1,1,IF(INDEX([1]Pivot!$B$1:$AB$65000,$B1073,BA$5)="",2,0)),0)</f>
        <v>0</v>
      </c>
      <c r="BB1073" s="313">
        <f>IFERROR(IF(INDEX([1]Pivot!$BF$1:$CG$65000,$B1073,BB$5)=1,1,IF(INDEX([1]Pivot!$B$1:$AB$65000,$B1073,BB$5)="",2,0)),0)</f>
        <v>0</v>
      </c>
      <c r="BC1073" s="313">
        <f>IFERROR(IF(INDEX([1]Pivot!$BF$1:$CG$65000,$B1073,BC$5)=1,1,IF(INDEX([1]Pivot!$B$1:$AB$65000,$B1073,BC$5)="",2,0)),0)</f>
        <v>0</v>
      </c>
      <c r="BD1073" s="313">
        <f>IFERROR(IF(INDEX([1]Pivot!$BF$1:$CG$65000,$B1073,BD$5)=1,1,IF(INDEX([1]Pivot!$B$1:$AB$65000,$B1073,BD$5)="",2,0)),0)</f>
        <v>0</v>
      </c>
    </row>
    <row r="1074" spans="1:56" x14ac:dyDescent="0.25">
      <c r="A1074" s="288">
        <f>'[2]Raw Milk Prices'!A1074</f>
        <v>0</v>
      </c>
      <c r="B1074" s="296" t="e">
        <f>MATCH(DATE(LEFT('[2]Raw Milk Prices'!$A1074,4),RIGHT('[2]Raw Milk Prices'!$A1074,2),1),[1]Pivot!$A$1:$A$65000,0)</f>
        <v>#VALUE!</v>
      </c>
      <c r="C1074" s="194">
        <f>IFERROR(IF(INDEX([1]Pivot!$AD$1:$BE$65000,$B1074,C$5)=1,1,IF(INDEX([1]Pivot!$B$1:$AB$65000,$B1074,C$5)="",2,0)),0)</f>
        <v>0</v>
      </c>
      <c r="D1074" s="194">
        <f>IFERROR(IF(INDEX([1]Pivot!$AD$1:$BE$65000,$B1074,D$5)=1,1,IF(INDEX([1]Pivot!$B$1:$AB$65000,$B1074,D$5)="",2,0)),0)</f>
        <v>0</v>
      </c>
      <c r="E1074" s="194">
        <f>IFERROR(IF(INDEX([1]Pivot!$AD$1:$BE$65000,$B1074,E$5)=1,1,IF(INDEX([1]Pivot!$B$1:$AB$65000,$B1074,E$5)="",2,0)),0)</f>
        <v>0</v>
      </c>
      <c r="F1074" s="194">
        <f>IFERROR(IF(INDEX([1]Pivot!$AD$1:$BE$65000,$B1074,F$5)=1,1,IF(INDEX([1]Pivot!$B$1:$AB$65000,$B1074,F$5)="",2,0)),0)</f>
        <v>0</v>
      </c>
      <c r="G1074" s="194">
        <f>IFERROR(IF(INDEX([1]Pivot!$AD$1:$BE$65000,$B1074,G$5)=1,1,IF(INDEX([1]Pivot!$B$1:$AB$65000,$B1074,G$5)="",2,0)),0)</f>
        <v>0</v>
      </c>
      <c r="H1074" s="194">
        <f>IFERROR(IF(INDEX([1]Pivot!$AD$1:$BE$65000,$B1074,H$5)=1,1,IF(INDEX([1]Pivot!$B$1:$AB$65000,$B1074,H$5)="",2,0)),0)</f>
        <v>0</v>
      </c>
      <c r="I1074" s="194">
        <f>IFERROR(IF(INDEX([1]Pivot!$AD$1:$BE$65000,$B1074,I$5)=1,1,IF(INDEX([1]Pivot!$B$1:$AB$65000,$B1074,I$5)="",2,0)),0)</f>
        <v>0</v>
      </c>
      <c r="J1074" s="194">
        <f>IFERROR(IF(INDEX([1]Pivot!$AD$1:$BE$65000,$B1074,J$5)=1,1,IF(INDEX([1]Pivot!$B$1:$AB$65000,$B1074,J$5)="",2,0)),0)</f>
        <v>0</v>
      </c>
      <c r="K1074" s="194">
        <f>IFERROR(IF(INDEX([1]Pivot!$AD$1:$BE$65000,$B1074,K$5)=1,1,IF(INDEX([1]Pivot!$B$1:$AB$65000,$B1074,K$5)="",2,0)),0)</f>
        <v>0</v>
      </c>
      <c r="L1074" s="194">
        <f>IFERROR(IF(INDEX([1]Pivot!$AD$1:$BE$65000,$B1074,L$5)=1,1,IF(INDEX([1]Pivot!$B$1:$AB$65000,$B1074,L$5)="",2,0)),0)</f>
        <v>0</v>
      </c>
      <c r="M1074" s="194">
        <f>IFERROR(IF(INDEX([1]Pivot!$AD$1:$BE$65000,$B1074,M$5)=1,1,IF(INDEX([1]Pivot!$B$1:$AB$65000,$B1074,M$5)="",2,0)),0)</f>
        <v>0</v>
      </c>
      <c r="N1074" s="194">
        <f>IFERROR(IF(INDEX([1]Pivot!$AD$1:$BE$65000,$B1074,N$5)=1,1,IF(INDEX([1]Pivot!$B$1:$AB$65000,$B1074,N$5)="",2,0)),0)</f>
        <v>0</v>
      </c>
      <c r="O1074" s="194">
        <f>IFERROR(IF(INDEX([1]Pivot!$AD$1:$BE$65000,$B1074,O$5)=1,1,IF(INDEX([1]Pivot!$B$1:$AB$65000,$B1074,O$5)="",2,0)),0)</f>
        <v>0</v>
      </c>
      <c r="P1074" s="194">
        <f>IFERROR(IF(INDEX([1]Pivot!$AD$1:$BE$65000,$B1074,P$5)=1,1,IF(INDEX([1]Pivot!$B$1:$AB$65000,$B1074,P$5)="",2,0)),0)</f>
        <v>0</v>
      </c>
      <c r="Q1074" s="194">
        <f>IFERROR(IF(INDEX([1]Pivot!$AD$1:$BE$65000,$B1074,Q$5)=1,1,IF(INDEX([1]Pivot!$B$1:$AB$65000,$B1074,Q$5)="",2,0)),0)</f>
        <v>0</v>
      </c>
      <c r="R1074" s="312"/>
      <c r="S1074" s="194">
        <f>IFERROR(IF(INDEX([1]Pivot!$AD$1:$BE$65000,$B1074,S$5)=1,1,IF(INDEX([1]Pivot!$B$1:$AB$65000,$B1074,S$5)="",2,0)),0)</f>
        <v>0</v>
      </c>
      <c r="T1074" s="194">
        <f>IFERROR(IF(INDEX([1]Pivot!$AD$1:$BE$65000,$B1074,T$5)=1,1,IF(INDEX([1]Pivot!$B$1:$AB$65000,$B1074,T$5)="",2,0)),0)</f>
        <v>0</v>
      </c>
      <c r="U1074" s="194">
        <f>IFERROR(IF(INDEX([1]Pivot!$AD$1:$BE$65000,$B1074,U$5)=1,1,IF(INDEX([1]Pivot!$B$1:$AB$65000,$B1074,U$5)="",2,0)),0)</f>
        <v>0</v>
      </c>
      <c r="V1074" s="194">
        <f>IFERROR(IF(INDEX([1]Pivot!$AD$1:$BE$65000,$B1074,V$5)=1,1,IF(INDEX([1]Pivot!$B$1:$AB$65000,$B1074,V$5)="",2,0)),0)</f>
        <v>0</v>
      </c>
      <c r="W1074" s="194">
        <f>IFERROR(IF(INDEX([1]Pivot!$AD$1:$BE$65000,$B1074,W$5)=1,1,IF(INDEX([1]Pivot!$B$1:$AB$65000,$B1074,W$5)="",2,0)),0)</f>
        <v>0</v>
      </c>
      <c r="X1074" s="194">
        <f>IFERROR(IF(INDEX([1]Pivot!$AD$1:$BE$65000,$B1074,X$5)=1,1,IF(INDEX([1]Pivot!$B$1:$AB$65000,$B1074,X$5)="",2,0)),0)</f>
        <v>0</v>
      </c>
      <c r="Y1074" s="194">
        <f>IFERROR(IF(INDEX([1]Pivot!$AD$1:$BE$65000,$B1074,Y$5)=1,1,IF(INDEX([1]Pivot!$B$1:$AB$65000,$B1074,Y$5)="",2,0)),0)</f>
        <v>0</v>
      </c>
      <c r="Z1074" s="194">
        <f>IFERROR(IF(INDEX([1]Pivot!$AD$1:$BE$65000,$B1074,Z$5)=1,1,IF(INDEX([1]Pivot!$B$1:$AB$65000,$B1074,Z$5)="",2,0)),0)</f>
        <v>0</v>
      </c>
      <c r="AA1074" s="194">
        <f>IFERROR(IF(INDEX([1]Pivot!$AD$1:$BE$65000,$B1074,AA$5)=1,1,IF(INDEX([1]Pivot!$B$1:$AB$65000,$B1074,AA$5)="",2,0)),0)</f>
        <v>0</v>
      </c>
      <c r="AB1074" s="194">
        <f>IFERROR(IF(INDEX([1]Pivot!$AD$1:$BE$65000,$B1074,AB$5)=1,1,IF(INDEX([1]Pivot!$B$1:$AB$65000,$B1074,AB$5)="",2,0)),0)</f>
        <v>0</v>
      </c>
      <c r="AC1074" s="194">
        <f>IFERROR(IF(INDEX([1]Pivot!$AD$1:$BE$65000,$B1074,AC$5)=1,1,IF(INDEX([1]Pivot!$B$1:$AB$65000,$B1074,AC$5)="",2,0)),0)</f>
        <v>0</v>
      </c>
      <c r="AD1074" s="313">
        <f>IFERROR(IF(INDEX([1]Pivot!$BF$1:$CG$65000,$B1074,AD$5)=1,1,IF(INDEX([1]Pivot!$B$1:$AB$65000,$B1074,AD$5)="",2,0)),0)</f>
        <v>0</v>
      </c>
      <c r="AE1074" s="313">
        <f>IFERROR(IF(INDEX([1]Pivot!$BF$1:$CG$65000,$B1074,AE$5)=1,1,IF(INDEX([1]Pivot!$B$1:$AB$65000,$B1074,AE$5)="",2,0)),0)</f>
        <v>0</v>
      </c>
      <c r="AF1074" s="313">
        <f>IFERROR(IF(INDEX([1]Pivot!$BF$1:$CG$65000,$B1074,AF$5)=1,1,IF(INDEX([1]Pivot!$B$1:$AB$65000,$B1074,AF$5)="",2,0)),0)</f>
        <v>0</v>
      </c>
      <c r="AG1074" s="313">
        <f>IFERROR(IF(INDEX([1]Pivot!$BF$1:$CG$65000,$B1074,AG$5)=1,1,IF(INDEX([1]Pivot!$B$1:$AB$65000,$B1074,AG$5)="",2,0)),0)</f>
        <v>0</v>
      </c>
      <c r="AH1074" s="313">
        <f>IFERROR(IF(INDEX([1]Pivot!$BF$1:$CG$65000,$B1074,AH$5)=1,1,IF(INDEX([1]Pivot!$B$1:$AB$65000,$B1074,AH$5)="",2,0)),0)</f>
        <v>0</v>
      </c>
      <c r="AI1074" s="313">
        <f>IFERROR(IF(INDEX([1]Pivot!$BF$1:$CG$65000,$B1074,AI$5)=1,1,IF(INDEX([1]Pivot!$B$1:$AB$65000,$B1074,AI$5)="",2,0)),0)</f>
        <v>0</v>
      </c>
      <c r="AJ1074" s="313">
        <f>IFERROR(IF(INDEX([1]Pivot!$BF$1:$CG$65000,$B1074,AJ$5)=1,1,IF(INDEX([1]Pivot!$B$1:$AB$65000,$B1074,AJ$5)="",2,0)),0)</f>
        <v>0</v>
      </c>
      <c r="AK1074" s="313">
        <f>IFERROR(IF(INDEX([1]Pivot!$BF$1:$CG$65000,$B1074,AK$5)=1,1,IF(INDEX([1]Pivot!$B$1:$AB$65000,$B1074,AK$5)="",2,0)),0)</f>
        <v>0</v>
      </c>
      <c r="AL1074" s="313">
        <f>IFERROR(IF(INDEX([1]Pivot!$BF$1:$CG$65000,$B1074,AL$5)=1,1,IF(INDEX([1]Pivot!$B$1:$AB$65000,$B1074,AL$5)="",2,0)),0)</f>
        <v>0</v>
      </c>
      <c r="AM1074" s="313">
        <f>IFERROR(IF(INDEX([1]Pivot!$BF$1:$CG$65000,$B1074,AM$5)=1,1,IF(INDEX([1]Pivot!$B$1:$AB$65000,$B1074,AM$5)="",2,0)),0)</f>
        <v>0</v>
      </c>
      <c r="AN1074" s="313">
        <f>IFERROR(IF(INDEX([1]Pivot!$BF$1:$CG$65000,$B1074,AN$5)=1,1,IF(INDEX([1]Pivot!$B$1:$AB$65000,$B1074,AN$5)="",2,0)),0)</f>
        <v>0</v>
      </c>
      <c r="AO1074" s="313">
        <f>IFERROR(IF(INDEX([1]Pivot!$BF$1:$CG$65000,$B1074,AO$5)=1,1,IF(INDEX([1]Pivot!$B$1:$AB$65000,$B1074,AO$5)="",2,0)),0)</f>
        <v>0</v>
      </c>
      <c r="AP1074" s="313">
        <f>IFERROR(IF(INDEX([1]Pivot!$BF$1:$CG$65000,$B1074,AP$5)=1,1,IF(INDEX([1]Pivot!$B$1:$AB$65000,$B1074,AP$5)="",2,0)),0)</f>
        <v>0</v>
      </c>
      <c r="AQ1074" s="313">
        <f>IFERROR(IF(INDEX([1]Pivot!$BF$1:$CG$65000,$B1074,AQ$5)=1,1,IF(INDEX([1]Pivot!$B$1:$AB$65000,$B1074,AQ$5)="",2,0)),0)</f>
        <v>0</v>
      </c>
      <c r="AR1074" s="313">
        <f>IFERROR(IF(INDEX([1]Pivot!$BF$1:$CG$65000,$B1074,AR$5)=1,1,IF(INDEX([1]Pivot!$B$1:$AB$65000,$B1074,AR$5)="",2,0)),0)</f>
        <v>0</v>
      </c>
      <c r="AS1074" s="312"/>
      <c r="AT1074" s="313">
        <f>IFERROR(IF(INDEX([1]Pivot!$BF$1:$CG$65000,$B1074,AT$5)=1,1,IF(INDEX([1]Pivot!$B$1:$AB$65000,$B1074,AT$5)="",2,0)),0)</f>
        <v>0</v>
      </c>
      <c r="AU1074" s="313">
        <f>IFERROR(IF(INDEX([1]Pivot!$BF$1:$CG$65000,$B1074,AU$5)=1,1,IF(INDEX([1]Pivot!$B$1:$AB$65000,$B1074,AU$5)="",2,0)),0)</f>
        <v>0</v>
      </c>
      <c r="AV1074" s="313">
        <f>IFERROR(IF(INDEX([1]Pivot!$BF$1:$CG$65000,$B1074,AV$5)=1,1,IF(INDEX([1]Pivot!$B$1:$AB$65000,$B1074,AV$5)="",2,0)),0)</f>
        <v>0</v>
      </c>
      <c r="AW1074" s="313">
        <f>IFERROR(IF(INDEX([1]Pivot!$BF$1:$CG$65000,$B1074,AW$5)=1,1,IF(INDEX([1]Pivot!$B$1:$AB$65000,$B1074,AW$5)="",2,0)),0)</f>
        <v>0</v>
      </c>
      <c r="AX1074" s="313">
        <f>IFERROR(IF(INDEX([1]Pivot!$BF$1:$CG$65000,$B1074,AX$5)=1,1,IF(INDEX([1]Pivot!$B$1:$AB$65000,$B1074,AX$5)="",2,0)),0)</f>
        <v>0</v>
      </c>
      <c r="AY1074" s="313">
        <f>IFERROR(IF(INDEX([1]Pivot!$BF$1:$CG$65000,$B1074,AY$5)=1,1,IF(INDEX([1]Pivot!$B$1:$AB$65000,$B1074,AY$5)="",2,0)),0)</f>
        <v>0</v>
      </c>
      <c r="AZ1074" s="313">
        <f>IFERROR(IF(INDEX([1]Pivot!$BF$1:$CG$65000,$B1074,AZ$5)=1,1,IF(INDEX([1]Pivot!$B$1:$AB$65000,$B1074,AZ$5)="",2,0)),0)</f>
        <v>0</v>
      </c>
      <c r="BA1074" s="313">
        <f>IFERROR(IF(INDEX([1]Pivot!$BF$1:$CG$65000,$B1074,BA$5)=1,1,IF(INDEX([1]Pivot!$B$1:$AB$65000,$B1074,BA$5)="",2,0)),0)</f>
        <v>0</v>
      </c>
      <c r="BB1074" s="313">
        <f>IFERROR(IF(INDEX([1]Pivot!$BF$1:$CG$65000,$B1074,BB$5)=1,1,IF(INDEX([1]Pivot!$B$1:$AB$65000,$B1074,BB$5)="",2,0)),0)</f>
        <v>0</v>
      </c>
      <c r="BC1074" s="313">
        <f>IFERROR(IF(INDEX([1]Pivot!$BF$1:$CG$65000,$B1074,BC$5)=1,1,IF(INDEX([1]Pivot!$B$1:$AB$65000,$B1074,BC$5)="",2,0)),0)</f>
        <v>0</v>
      </c>
      <c r="BD1074" s="313">
        <f>IFERROR(IF(INDEX([1]Pivot!$BF$1:$CG$65000,$B1074,BD$5)=1,1,IF(INDEX([1]Pivot!$B$1:$AB$65000,$B1074,BD$5)="",2,0)),0)</f>
        <v>0</v>
      </c>
    </row>
    <row r="1075" spans="1:56" x14ac:dyDescent="0.25">
      <c r="A1075" s="288">
        <f>'[2]Raw Milk Prices'!A1075</f>
        <v>0</v>
      </c>
      <c r="B1075" s="296" t="e">
        <f>MATCH(DATE(LEFT('[2]Raw Milk Prices'!$A1075,4),RIGHT('[2]Raw Milk Prices'!$A1075,2),1),[1]Pivot!$A$1:$A$65000,0)</f>
        <v>#VALUE!</v>
      </c>
      <c r="C1075" s="194">
        <f>IFERROR(IF(INDEX([1]Pivot!$AD$1:$BE$65000,$B1075,C$5)=1,1,IF(INDEX([1]Pivot!$B$1:$AB$65000,$B1075,C$5)="",2,0)),0)</f>
        <v>0</v>
      </c>
      <c r="D1075" s="194">
        <f>IFERROR(IF(INDEX([1]Pivot!$AD$1:$BE$65000,$B1075,D$5)=1,1,IF(INDEX([1]Pivot!$B$1:$AB$65000,$B1075,D$5)="",2,0)),0)</f>
        <v>0</v>
      </c>
      <c r="E1075" s="194">
        <f>IFERROR(IF(INDEX([1]Pivot!$AD$1:$BE$65000,$B1075,E$5)=1,1,IF(INDEX([1]Pivot!$B$1:$AB$65000,$B1075,E$5)="",2,0)),0)</f>
        <v>0</v>
      </c>
      <c r="F1075" s="194">
        <f>IFERROR(IF(INDEX([1]Pivot!$AD$1:$BE$65000,$B1075,F$5)=1,1,IF(INDEX([1]Pivot!$B$1:$AB$65000,$B1075,F$5)="",2,0)),0)</f>
        <v>0</v>
      </c>
      <c r="G1075" s="194">
        <f>IFERROR(IF(INDEX([1]Pivot!$AD$1:$BE$65000,$B1075,G$5)=1,1,IF(INDEX([1]Pivot!$B$1:$AB$65000,$B1075,G$5)="",2,0)),0)</f>
        <v>0</v>
      </c>
      <c r="H1075" s="194">
        <f>IFERROR(IF(INDEX([1]Pivot!$AD$1:$BE$65000,$B1075,H$5)=1,1,IF(INDEX([1]Pivot!$B$1:$AB$65000,$B1075,H$5)="",2,0)),0)</f>
        <v>0</v>
      </c>
      <c r="I1075" s="194">
        <f>IFERROR(IF(INDEX([1]Pivot!$AD$1:$BE$65000,$B1075,I$5)=1,1,IF(INDEX([1]Pivot!$B$1:$AB$65000,$B1075,I$5)="",2,0)),0)</f>
        <v>0</v>
      </c>
      <c r="J1075" s="194">
        <f>IFERROR(IF(INDEX([1]Pivot!$AD$1:$BE$65000,$B1075,J$5)=1,1,IF(INDEX([1]Pivot!$B$1:$AB$65000,$B1075,J$5)="",2,0)),0)</f>
        <v>0</v>
      </c>
      <c r="K1075" s="194">
        <f>IFERROR(IF(INDEX([1]Pivot!$AD$1:$BE$65000,$B1075,K$5)=1,1,IF(INDEX([1]Pivot!$B$1:$AB$65000,$B1075,K$5)="",2,0)),0)</f>
        <v>0</v>
      </c>
      <c r="L1075" s="194">
        <f>IFERROR(IF(INDEX([1]Pivot!$AD$1:$BE$65000,$B1075,L$5)=1,1,IF(INDEX([1]Pivot!$B$1:$AB$65000,$B1075,L$5)="",2,0)),0)</f>
        <v>0</v>
      </c>
      <c r="M1075" s="194">
        <f>IFERROR(IF(INDEX([1]Pivot!$AD$1:$BE$65000,$B1075,M$5)=1,1,IF(INDEX([1]Pivot!$B$1:$AB$65000,$B1075,M$5)="",2,0)),0)</f>
        <v>0</v>
      </c>
      <c r="N1075" s="194">
        <f>IFERROR(IF(INDEX([1]Pivot!$AD$1:$BE$65000,$B1075,N$5)=1,1,IF(INDEX([1]Pivot!$B$1:$AB$65000,$B1075,N$5)="",2,0)),0)</f>
        <v>0</v>
      </c>
      <c r="O1075" s="194">
        <f>IFERROR(IF(INDEX([1]Pivot!$AD$1:$BE$65000,$B1075,O$5)=1,1,IF(INDEX([1]Pivot!$B$1:$AB$65000,$B1075,O$5)="",2,0)),0)</f>
        <v>0</v>
      </c>
      <c r="P1075" s="194">
        <f>IFERROR(IF(INDEX([1]Pivot!$AD$1:$BE$65000,$B1075,P$5)=1,1,IF(INDEX([1]Pivot!$B$1:$AB$65000,$B1075,P$5)="",2,0)),0)</f>
        <v>0</v>
      </c>
      <c r="Q1075" s="194">
        <f>IFERROR(IF(INDEX([1]Pivot!$AD$1:$BE$65000,$B1075,Q$5)=1,1,IF(INDEX([1]Pivot!$B$1:$AB$65000,$B1075,Q$5)="",2,0)),0)</f>
        <v>0</v>
      </c>
      <c r="R1075" s="312"/>
      <c r="S1075" s="194">
        <f>IFERROR(IF(INDEX([1]Pivot!$AD$1:$BE$65000,$B1075,S$5)=1,1,IF(INDEX([1]Pivot!$B$1:$AB$65000,$B1075,S$5)="",2,0)),0)</f>
        <v>0</v>
      </c>
      <c r="T1075" s="194">
        <f>IFERROR(IF(INDEX([1]Pivot!$AD$1:$BE$65000,$B1075,T$5)=1,1,IF(INDEX([1]Pivot!$B$1:$AB$65000,$B1075,T$5)="",2,0)),0)</f>
        <v>0</v>
      </c>
      <c r="U1075" s="194">
        <f>IFERROR(IF(INDEX([1]Pivot!$AD$1:$BE$65000,$B1075,U$5)=1,1,IF(INDEX([1]Pivot!$B$1:$AB$65000,$B1075,U$5)="",2,0)),0)</f>
        <v>0</v>
      </c>
      <c r="V1075" s="194">
        <f>IFERROR(IF(INDEX([1]Pivot!$AD$1:$BE$65000,$B1075,V$5)=1,1,IF(INDEX([1]Pivot!$B$1:$AB$65000,$B1075,V$5)="",2,0)),0)</f>
        <v>0</v>
      </c>
      <c r="W1075" s="194">
        <f>IFERROR(IF(INDEX([1]Pivot!$AD$1:$BE$65000,$B1075,W$5)=1,1,IF(INDEX([1]Pivot!$B$1:$AB$65000,$B1075,W$5)="",2,0)),0)</f>
        <v>0</v>
      </c>
      <c r="X1075" s="194">
        <f>IFERROR(IF(INDEX([1]Pivot!$AD$1:$BE$65000,$B1075,X$5)=1,1,IF(INDEX([1]Pivot!$B$1:$AB$65000,$B1075,X$5)="",2,0)),0)</f>
        <v>0</v>
      </c>
      <c r="Y1075" s="194">
        <f>IFERROR(IF(INDEX([1]Pivot!$AD$1:$BE$65000,$B1075,Y$5)=1,1,IF(INDEX([1]Pivot!$B$1:$AB$65000,$B1075,Y$5)="",2,0)),0)</f>
        <v>0</v>
      </c>
      <c r="Z1075" s="194">
        <f>IFERROR(IF(INDEX([1]Pivot!$AD$1:$BE$65000,$B1075,Z$5)=1,1,IF(INDEX([1]Pivot!$B$1:$AB$65000,$B1075,Z$5)="",2,0)),0)</f>
        <v>0</v>
      </c>
      <c r="AA1075" s="194">
        <f>IFERROR(IF(INDEX([1]Pivot!$AD$1:$BE$65000,$B1075,AA$5)=1,1,IF(INDEX([1]Pivot!$B$1:$AB$65000,$B1075,AA$5)="",2,0)),0)</f>
        <v>0</v>
      </c>
      <c r="AB1075" s="194">
        <f>IFERROR(IF(INDEX([1]Pivot!$AD$1:$BE$65000,$B1075,AB$5)=1,1,IF(INDEX([1]Pivot!$B$1:$AB$65000,$B1075,AB$5)="",2,0)),0)</f>
        <v>0</v>
      </c>
      <c r="AC1075" s="194">
        <f>IFERROR(IF(INDEX([1]Pivot!$AD$1:$BE$65000,$B1075,AC$5)=1,1,IF(INDEX([1]Pivot!$B$1:$AB$65000,$B1075,AC$5)="",2,0)),0)</f>
        <v>0</v>
      </c>
      <c r="AD1075" s="313">
        <f>IFERROR(IF(INDEX([1]Pivot!$BF$1:$CG$65000,$B1075,AD$5)=1,1,IF(INDEX([1]Pivot!$B$1:$AB$65000,$B1075,AD$5)="",2,0)),0)</f>
        <v>0</v>
      </c>
      <c r="AE1075" s="313">
        <f>IFERROR(IF(INDEX([1]Pivot!$BF$1:$CG$65000,$B1075,AE$5)=1,1,IF(INDEX([1]Pivot!$B$1:$AB$65000,$B1075,AE$5)="",2,0)),0)</f>
        <v>0</v>
      </c>
      <c r="AF1075" s="313">
        <f>IFERROR(IF(INDEX([1]Pivot!$BF$1:$CG$65000,$B1075,AF$5)=1,1,IF(INDEX([1]Pivot!$B$1:$AB$65000,$B1075,AF$5)="",2,0)),0)</f>
        <v>0</v>
      </c>
      <c r="AG1075" s="313">
        <f>IFERROR(IF(INDEX([1]Pivot!$BF$1:$CG$65000,$B1075,AG$5)=1,1,IF(INDEX([1]Pivot!$B$1:$AB$65000,$B1075,AG$5)="",2,0)),0)</f>
        <v>0</v>
      </c>
      <c r="AH1075" s="313">
        <f>IFERROR(IF(INDEX([1]Pivot!$BF$1:$CG$65000,$B1075,AH$5)=1,1,IF(INDEX([1]Pivot!$B$1:$AB$65000,$B1075,AH$5)="",2,0)),0)</f>
        <v>0</v>
      </c>
      <c r="AI1075" s="313">
        <f>IFERROR(IF(INDEX([1]Pivot!$BF$1:$CG$65000,$B1075,AI$5)=1,1,IF(INDEX([1]Pivot!$B$1:$AB$65000,$B1075,AI$5)="",2,0)),0)</f>
        <v>0</v>
      </c>
      <c r="AJ1075" s="313">
        <f>IFERROR(IF(INDEX([1]Pivot!$BF$1:$CG$65000,$B1075,AJ$5)=1,1,IF(INDEX([1]Pivot!$B$1:$AB$65000,$B1075,AJ$5)="",2,0)),0)</f>
        <v>0</v>
      </c>
      <c r="AK1075" s="313">
        <f>IFERROR(IF(INDEX([1]Pivot!$BF$1:$CG$65000,$B1075,AK$5)=1,1,IF(INDEX([1]Pivot!$B$1:$AB$65000,$B1075,AK$5)="",2,0)),0)</f>
        <v>0</v>
      </c>
      <c r="AL1075" s="313">
        <f>IFERROR(IF(INDEX([1]Pivot!$BF$1:$CG$65000,$B1075,AL$5)=1,1,IF(INDEX([1]Pivot!$B$1:$AB$65000,$B1075,AL$5)="",2,0)),0)</f>
        <v>0</v>
      </c>
      <c r="AM1075" s="313">
        <f>IFERROR(IF(INDEX([1]Pivot!$BF$1:$CG$65000,$B1075,AM$5)=1,1,IF(INDEX([1]Pivot!$B$1:$AB$65000,$B1075,AM$5)="",2,0)),0)</f>
        <v>0</v>
      </c>
      <c r="AN1075" s="313">
        <f>IFERROR(IF(INDEX([1]Pivot!$BF$1:$CG$65000,$B1075,AN$5)=1,1,IF(INDEX([1]Pivot!$B$1:$AB$65000,$B1075,AN$5)="",2,0)),0)</f>
        <v>0</v>
      </c>
      <c r="AO1075" s="313">
        <f>IFERROR(IF(INDEX([1]Pivot!$BF$1:$CG$65000,$B1075,AO$5)=1,1,IF(INDEX([1]Pivot!$B$1:$AB$65000,$B1075,AO$5)="",2,0)),0)</f>
        <v>0</v>
      </c>
      <c r="AP1075" s="313">
        <f>IFERROR(IF(INDEX([1]Pivot!$BF$1:$CG$65000,$B1075,AP$5)=1,1,IF(INDEX([1]Pivot!$B$1:$AB$65000,$B1075,AP$5)="",2,0)),0)</f>
        <v>0</v>
      </c>
      <c r="AQ1075" s="313">
        <f>IFERROR(IF(INDEX([1]Pivot!$BF$1:$CG$65000,$B1075,AQ$5)=1,1,IF(INDEX([1]Pivot!$B$1:$AB$65000,$B1075,AQ$5)="",2,0)),0)</f>
        <v>0</v>
      </c>
      <c r="AR1075" s="313">
        <f>IFERROR(IF(INDEX([1]Pivot!$BF$1:$CG$65000,$B1075,AR$5)=1,1,IF(INDEX([1]Pivot!$B$1:$AB$65000,$B1075,AR$5)="",2,0)),0)</f>
        <v>0</v>
      </c>
      <c r="AS1075" s="312"/>
      <c r="AT1075" s="313">
        <f>IFERROR(IF(INDEX([1]Pivot!$BF$1:$CG$65000,$B1075,AT$5)=1,1,IF(INDEX([1]Pivot!$B$1:$AB$65000,$B1075,AT$5)="",2,0)),0)</f>
        <v>0</v>
      </c>
      <c r="AU1075" s="313">
        <f>IFERROR(IF(INDEX([1]Pivot!$BF$1:$CG$65000,$B1075,AU$5)=1,1,IF(INDEX([1]Pivot!$B$1:$AB$65000,$B1075,AU$5)="",2,0)),0)</f>
        <v>0</v>
      </c>
      <c r="AV1075" s="313">
        <f>IFERROR(IF(INDEX([1]Pivot!$BF$1:$CG$65000,$B1075,AV$5)=1,1,IF(INDEX([1]Pivot!$B$1:$AB$65000,$B1075,AV$5)="",2,0)),0)</f>
        <v>0</v>
      </c>
      <c r="AW1075" s="313">
        <f>IFERROR(IF(INDEX([1]Pivot!$BF$1:$CG$65000,$B1075,AW$5)=1,1,IF(INDEX([1]Pivot!$B$1:$AB$65000,$B1075,AW$5)="",2,0)),0)</f>
        <v>0</v>
      </c>
      <c r="AX1075" s="313">
        <f>IFERROR(IF(INDEX([1]Pivot!$BF$1:$CG$65000,$B1075,AX$5)=1,1,IF(INDEX([1]Pivot!$B$1:$AB$65000,$B1075,AX$5)="",2,0)),0)</f>
        <v>0</v>
      </c>
      <c r="AY1075" s="313">
        <f>IFERROR(IF(INDEX([1]Pivot!$BF$1:$CG$65000,$B1075,AY$5)=1,1,IF(INDEX([1]Pivot!$B$1:$AB$65000,$B1075,AY$5)="",2,0)),0)</f>
        <v>0</v>
      </c>
      <c r="AZ1075" s="313">
        <f>IFERROR(IF(INDEX([1]Pivot!$BF$1:$CG$65000,$B1075,AZ$5)=1,1,IF(INDEX([1]Pivot!$B$1:$AB$65000,$B1075,AZ$5)="",2,0)),0)</f>
        <v>0</v>
      </c>
      <c r="BA1075" s="313">
        <f>IFERROR(IF(INDEX([1]Pivot!$BF$1:$CG$65000,$B1075,BA$5)=1,1,IF(INDEX([1]Pivot!$B$1:$AB$65000,$B1075,BA$5)="",2,0)),0)</f>
        <v>0</v>
      </c>
      <c r="BB1075" s="313">
        <f>IFERROR(IF(INDEX([1]Pivot!$BF$1:$CG$65000,$B1075,BB$5)=1,1,IF(INDEX([1]Pivot!$B$1:$AB$65000,$B1075,BB$5)="",2,0)),0)</f>
        <v>0</v>
      </c>
      <c r="BC1075" s="313">
        <f>IFERROR(IF(INDEX([1]Pivot!$BF$1:$CG$65000,$B1075,BC$5)=1,1,IF(INDEX([1]Pivot!$B$1:$AB$65000,$B1075,BC$5)="",2,0)),0)</f>
        <v>0</v>
      </c>
      <c r="BD1075" s="313">
        <f>IFERROR(IF(INDEX([1]Pivot!$BF$1:$CG$65000,$B1075,BD$5)=1,1,IF(INDEX([1]Pivot!$B$1:$AB$65000,$B1075,BD$5)="",2,0)),0)</f>
        <v>0</v>
      </c>
    </row>
    <row r="1076" spans="1:56" x14ac:dyDescent="0.25">
      <c r="A1076" s="288">
        <f>'[2]Raw Milk Prices'!A1076</f>
        <v>0</v>
      </c>
      <c r="B1076" s="296" t="e">
        <f>MATCH(DATE(LEFT('[2]Raw Milk Prices'!$A1076,4),RIGHT('[2]Raw Milk Prices'!$A1076,2),1),[1]Pivot!$A$1:$A$65000,0)</f>
        <v>#VALUE!</v>
      </c>
      <c r="C1076" s="194">
        <f>IFERROR(IF(INDEX([1]Pivot!$AD$1:$BE$65000,$B1076,C$5)=1,1,IF(INDEX([1]Pivot!$B$1:$AB$65000,$B1076,C$5)="",2,0)),0)</f>
        <v>0</v>
      </c>
      <c r="D1076" s="194">
        <f>IFERROR(IF(INDEX([1]Pivot!$AD$1:$BE$65000,$B1076,D$5)=1,1,IF(INDEX([1]Pivot!$B$1:$AB$65000,$B1076,D$5)="",2,0)),0)</f>
        <v>0</v>
      </c>
      <c r="E1076" s="194">
        <f>IFERROR(IF(INDEX([1]Pivot!$AD$1:$BE$65000,$B1076,E$5)=1,1,IF(INDEX([1]Pivot!$B$1:$AB$65000,$B1076,E$5)="",2,0)),0)</f>
        <v>0</v>
      </c>
      <c r="F1076" s="194">
        <f>IFERROR(IF(INDEX([1]Pivot!$AD$1:$BE$65000,$B1076,F$5)=1,1,IF(INDEX([1]Pivot!$B$1:$AB$65000,$B1076,F$5)="",2,0)),0)</f>
        <v>0</v>
      </c>
      <c r="G1076" s="194">
        <f>IFERROR(IF(INDEX([1]Pivot!$AD$1:$BE$65000,$B1076,G$5)=1,1,IF(INDEX([1]Pivot!$B$1:$AB$65000,$B1076,G$5)="",2,0)),0)</f>
        <v>0</v>
      </c>
      <c r="H1076" s="194">
        <f>IFERROR(IF(INDEX([1]Pivot!$AD$1:$BE$65000,$B1076,H$5)=1,1,IF(INDEX([1]Pivot!$B$1:$AB$65000,$B1076,H$5)="",2,0)),0)</f>
        <v>0</v>
      </c>
      <c r="I1076" s="194">
        <f>IFERROR(IF(INDEX([1]Pivot!$AD$1:$BE$65000,$B1076,I$5)=1,1,IF(INDEX([1]Pivot!$B$1:$AB$65000,$B1076,I$5)="",2,0)),0)</f>
        <v>0</v>
      </c>
      <c r="J1076" s="194">
        <f>IFERROR(IF(INDEX([1]Pivot!$AD$1:$BE$65000,$B1076,J$5)=1,1,IF(INDEX([1]Pivot!$B$1:$AB$65000,$B1076,J$5)="",2,0)),0)</f>
        <v>0</v>
      </c>
      <c r="K1076" s="194">
        <f>IFERROR(IF(INDEX([1]Pivot!$AD$1:$BE$65000,$B1076,K$5)=1,1,IF(INDEX([1]Pivot!$B$1:$AB$65000,$B1076,K$5)="",2,0)),0)</f>
        <v>0</v>
      </c>
      <c r="L1076" s="194">
        <f>IFERROR(IF(INDEX([1]Pivot!$AD$1:$BE$65000,$B1076,L$5)=1,1,IF(INDEX([1]Pivot!$B$1:$AB$65000,$B1076,L$5)="",2,0)),0)</f>
        <v>0</v>
      </c>
      <c r="M1076" s="194">
        <f>IFERROR(IF(INDEX([1]Pivot!$AD$1:$BE$65000,$B1076,M$5)=1,1,IF(INDEX([1]Pivot!$B$1:$AB$65000,$B1076,M$5)="",2,0)),0)</f>
        <v>0</v>
      </c>
      <c r="N1076" s="194">
        <f>IFERROR(IF(INDEX([1]Pivot!$AD$1:$BE$65000,$B1076,N$5)=1,1,IF(INDEX([1]Pivot!$B$1:$AB$65000,$B1076,N$5)="",2,0)),0)</f>
        <v>0</v>
      </c>
      <c r="O1076" s="194">
        <f>IFERROR(IF(INDEX([1]Pivot!$AD$1:$BE$65000,$B1076,O$5)=1,1,IF(INDEX([1]Pivot!$B$1:$AB$65000,$B1076,O$5)="",2,0)),0)</f>
        <v>0</v>
      </c>
      <c r="P1076" s="194">
        <f>IFERROR(IF(INDEX([1]Pivot!$AD$1:$BE$65000,$B1076,P$5)=1,1,IF(INDEX([1]Pivot!$B$1:$AB$65000,$B1076,P$5)="",2,0)),0)</f>
        <v>0</v>
      </c>
      <c r="Q1076" s="194">
        <f>IFERROR(IF(INDEX([1]Pivot!$AD$1:$BE$65000,$B1076,Q$5)=1,1,IF(INDEX([1]Pivot!$B$1:$AB$65000,$B1076,Q$5)="",2,0)),0)</f>
        <v>0</v>
      </c>
      <c r="R1076" s="312"/>
      <c r="S1076" s="194">
        <f>IFERROR(IF(INDEX([1]Pivot!$AD$1:$BE$65000,$B1076,S$5)=1,1,IF(INDEX([1]Pivot!$B$1:$AB$65000,$B1076,S$5)="",2,0)),0)</f>
        <v>0</v>
      </c>
      <c r="T1076" s="194">
        <f>IFERROR(IF(INDEX([1]Pivot!$AD$1:$BE$65000,$B1076,T$5)=1,1,IF(INDEX([1]Pivot!$B$1:$AB$65000,$B1076,T$5)="",2,0)),0)</f>
        <v>0</v>
      </c>
      <c r="U1076" s="194">
        <f>IFERROR(IF(INDEX([1]Pivot!$AD$1:$BE$65000,$B1076,U$5)=1,1,IF(INDEX([1]Pivot!$B$1:$AB$65000,$B1076,U$5)="",2,0)),0)</f>
        <v>0</v>
      </c>
      <c r="V1076" s="194">
        <f>IFERROR(IF(INDEX([1]Pivot!$AD$1:$BE$65000,$B1076,V$5)=1,1,IF(INDEX([1]Pivot!$B$1:$AB$65000,$B1076,V$5)="",2,0)),0)</f>
        <v>0</v>
      </c>
      <c r="W1076" s="194">
        <f>IFERROR(IF(INDEX([1]Pivot!$AD$1:$BE$65000,$B1076,W$5)=1,1,IF(INDEX([1]Pivot!$B$1:$AB$65000,$B1076,W$5)="",2,0)),0)</f>
        <v>0</v>
      </c>
      <c r="X1076" s="194">
        <f>IFERROR(IF(INDEX([1]Pivot!$AD$1:$BE$65000,$B1076,X$5)=1,1,IF(INDEX([1]Pivot!$B$1:$AB$65000,$B1076,X$5)="",2,0)),0)</f>
        <v>0</v>
      </c>
      <c r="Y1076" s="194">
        <f>IFERROR(IF(INDEX([1]Pivot!$AD$1:$BE$65000,$B1076,Y$5)=1,1,IF(INDEX([1]Pivot!$B$1:$AB$65000,$B1076,Y$5)="",2,0)),0)</f>
        <v>0</v>
      </c>
      <c r="Z1076" s="194">
        <f>IFERROR(IF(INDEX([1]Pivot!$AD$1:$BE$65000,$B1076,Z$5)=1,1,IF(INDEX([1]Pivot!$B$1:$AB$65000,$B1076,Z$5)="",2,0)),0)</f>
        <v>0</v>
      </c>
      <c r="AA1076" s="194">
        <f>IFERROR(IF(INDEX([1]Pivot!$AD$1:$BE$65000,$B1076,AA$5)=1,1,IF(INDEX([1]Pivot!$B$1:$AB$65000,$B1076,AA$5)="",2,0)),0)</f>
        <v>0</v>
      </c>
      <c r="AB1076" s="194">
        <f>IFERROR(IF(INDEX([1]Pivot!$AD$1:$BE$65000,$B1076,AB$5)=1,1,IF(INDEX([1]Pivot!$B$1:$AB$65000,$B1076,AB$5)="",2,0)),0)</f>
        <v>0</v>
      </c>
      <c r="AC1076" s="194">
        <f>IFERROR(IF(INDEX([1]Pivot!$AD$1:$BE$65000,$B1076,AC$5)=1,1,IF(INDEX([1]Pivot!$B$1:$AB$65000,$B1076,AC$5)="",2,0)),0)</f>
        <v>0</v>
      </c>
      <c r="AD1076" s="313">
        <f>IFERROR(IF(INDEX([1]Pivot!$BF$1:$CG$65000,$B1076,AD$5)=1,1,IF(INDEX([1]Pivot!$B$1:$AB$65000,$B1076,AD$5)="",2,0)),0)</f>
        <v>0</v>
      </c>
      <c r="AE1076" s="313">
        <f>IFERROR(IF(INDEX([1]Pivot!$BF$1:$CG$65000,$B1076,AE$5)=1,1,IF(INDEX([1]Pivot!$B$1:$AB$65000,$B1076,AE$5)="",2,0)),0)</f>
        <v>0</v>
      </c>
      <c r="AF1076" s="313">
        <f>IFERROR(IF(INDEX([1]Pivot!$BF$1:$CG$65000,$B1076,AF$5)=1,1,IF(INDEX([1]Pivot!$B$1:$AB$65000,$B1076,AF$5)="",2,0)),0)</f>
        <v>0</v>
      </c>
      <c r="AG1076" s="313">
        <f>IFERROR(IF(INDEX([1]Pivot!$BF$1:$CG$65000,$B1076,AG$5)=1,1,IF(INDEX([1]Pivot!$B$1:$AB$65000,$B1076,AG$5)="",2,0)),0)</f>
        <v>0</v>
      </c>
      <c r="AH1076" s="313">
        <f>IFERROR(IF(INDEX([1]Pivot!$BF$1:$CG$65000,$B1076,AH$5)=1,1,IF(INDEX([1]Pivot!$B$1:$AB$65000,$B1076,AH$5)="",2,0)),0)</f>
        <v>0</v>
      </c>
      <c r="AI1076" s="313">
        <f>IFERROR(IF(INDEX([1]Pivot!$BF$1:$CG$65000,$B1076,AI$5)=1,1,IF(INDEX([1]Pivot!$B$1:$AB$65000,$B1076,AI$5)="",2,0)),0)</f>
        <v>0</v>
      </c>
      <c r="AJ1076" s="313">
        <f>IFERROR(IF(INDEX([1]Pivot!$BF$1:$CG$65000,$B1076,AJ$5)=1,1,IF(INDEX([1]Pivot!$B$1:$AB$65000,$B1076,AJ$5)="",2,0)),0)</f>
        <v>0</v>
      </c>
      <c r="AK1076" s="313">
        <f>IFERROR(IF(INDEX([1]Pivot!$BF$1:$CG$65000,$B1076,AK$5)=1,1,IF(INDEX([1]Pivot!$B$1:$AB$65000,$B1076,AK$5)="",2,0)),0)</f>
        <v>0</v>
      </c>
      <c r="AL1076" s="313">
        <f>IFERROR(IF(INDEX([1]Pivot!$BF$1:$CG$65000,$B1076,AL$5)=1,1,IF(INDEX([1]Pivot!$B$1:$AB$65000,$B1076,AL$5)="",2,0)),0)</f>
        <v>0</v>
      </c>
      <c r="AM1076" s="313">
        <f>IFERROR(IF(INDEX([1]Pivot!$BF$1:$CG$65000,$B1076,AM$5)=1,1,IF(INDEX([1]Pivot!$B$1:$AB$65000,$B1076,AM$5)="",2,0)),0)</f>
        <v>0</v>
      </c>
      <c r="AN1076" s="313">
        <f>IFERROR(IF(INDEX([1]Pivot!$BF$1:$CG$65000,$B1076,AN$5)=1,1,IF(INDEX([1]Pivot!$B$1:$AB$65000,$B1076,AN$5)="",2,0)),0)</f>
        <v>0</v>
      </c>
      <c r="AO1076" s="313">
        <f>IFERROR(IF(INDEX([1]Pivot!$BF$1:$CG$65000,$B1076,AO$5)=1,1,IF(INDEX([1]Pivot!$B$1:$AB$65000,$B1076,AO$5)="",2,0)),0)</f>
        <v>0</v>
      </c>
      <c r="AP1076" s="313">
        <f>IFERROR(IF(INDEX([1]Pivot!$BF$1:$CG$65000,$B1076,AP$5)=1,1,IF(INDEX([1]Pivot!$B$1:$AB$65000,$B1076,AP$5)="",2,0)),0)</f>
        <v>0</v>
      </c>
      <c r="AQ1076" s="313">
        <f>IFERROR(IF(INDEX([1]Pivot!$BF$1:$CG$65000,$B1076,AQ$5)=1,1,IF(INDEX([1]Pivot!$B$1:$AB$65000,$B1076,AQ$5)="",2,0)),0)</f>
        <v>0</v>
      </c>
      <c r="AR1076" s="313">
        <f>IFERROR(IF(INDEX([1]Pivot!$BF$1:$CG$65000,$B1076,AR$5)=1,1,IF(INDEX([1]Pivot!$B$1:$AB$65000,$B1076,AR$5)="",2,0)),0)</f>
        <v>0</v>
      </c>
      <c r="AS1076" s="312"/>
      <c r="AT1076" s="313">
        <f>IFERROR(IF(INDEX([1]Pivot!$BF$1:$CG$65000,$B1076,AT$5)=1,1,IF(INDEX([1]Pivot!$B$1:$AB$65000,$B1076,AT$5)="",2,0)),0)</f>
        <v>0</v>
      </c>
      <c r="AU1076" s="313">
        <f>IFERROR(IF(INDEX([1]Pivot!$BF$1:$CG$65000,$B1076,AU$5)=1,1,IF(INDEX([1]Pivot!$B$1:$AB$65000,$B1076,AU$5)="",2,0)),0)</f>
        <v>0</v>
      </c>
      <c r="AV1076" s="313">
        <f>IFERROR(IF(INDEX([1]Pivot!$BF$1:$CG$65000,$B1076,AV$5)=1,1,IF(INDEX([1]Pivot!$B$1:$AB$65000,$B1076,AV$5)="",2,0)),0)</f>
        <v>0</v>
      </c>
      <c r="AW1076" s="313">
        <f>IFERROR(IF(INDEX([1]Pivot!$BF$1:$CG$65000,$B1076,AW$5)=1,1,IF(INDEX([1]Pivot!$B$1:$AB$65000,$B1076,AW$5)="",2,0)),0)</f>
        <v>0</v>
      </c>
      <c r="AX1076" s="313">
        <f>IFERROR(IF(INDEX([1]Pivot!$BF$1:$CG$65000,$B1076,AX$5)=1,1,IF(INDEX([1]Pivot!$B$1:$AB$65000,$B1076,AX$5)="",2,0)),0)</f>
        <v>0</v>
      </c>
      <c r="AY1076" s="313">
        <f>IFERROR(IF(INDEX([1]Pivot!$BF$1:$CG$65000,$B1076,AY$5)=1,1,IF(INDEX([1]Pivot!$B$1:$AB$65000,$B1076,AY$5)="",2,0)),0)</f>
        <v>0</v>
      </c>
      <c r="AZ1076" s="313">
        <f>IFERROR(IF(INDEX([1]Pivot!$BF$1:$CG$65000,$B1076,AZ$5)=1,1,IF(INDEX([1]Pivot!$B$1:$AB$65000,$B1076,AZ$5)="",2,0)),0)</f>
        <v>0</v>
      </c>
      <c r="BA1076" s="313">
        <f>IFERROR(IF(INDEX([1]Pivot!$BF$1:$CG$65000,$B1076,BA$5)=1,1,IF(INDEX([1]Pivot!$B$1:$AB$65000,$B1076,BA$5)="",2,0)),0)</f>
        <v>0</v>
      </c>
      <c r="BB1076" s="313">
        <f>IFERROR(IF(INDEX([1]Pivot!$BF$1:$CG$65000,$B1076,BB$5)=1,1,IF(INDEX([1]Pivot!$B$1:$AB$65000,$B1076,BB$5)="",2,0)),0)</f>
        <v>0</v>
      </c>
      <c r="BC1076" s="313">
        <f>IFERROR(IF(INDEX([1]Pivot!$BF$1:$CG$65000,$B1076,BC$5)=1,1,IF(INDEX([1]Pivot!$B$1:$AB$65000,$B1076,BC$5)="",2,0)),0)</f>
        <v>0</v>
      </c>
      <c r="BD1076" s="313">
        <f>IFERROR(IF(INDEX([1]Pivot!$BF$1:$CG$65000,$B1076,BD$5)=1,1,IF(INDEX([1]Pivot!$B$1:$AB$65000,$B1076,BD$5)="",2,0)),0)</f>
        <v>0</v>
      </c>
    </row>
    <row r="1077" spans="1:56" x14ac:dyDescent="0.25">
      <c r="A1077" s="288">
        <f>'[2]Raw Milk Prices'!A1077</f>
        <v>0</v>
      </c>
      <c r="B1077" s="296" t="e">
        <f>MATCH(DATE(LEFT('[2]Raw Milk Prices'!$A1077,4),RIGHT('[2]Raw Milk Prices'!$A1077,2),1),[1]Pivot!$A$1:$A$65000,0)</f>
        <v>#VALUE!</v>
      </c>
      <c r="C1077" s="194">
        <f>IFERROR(IF(INDEX([1]Pivot!$AD$1:$BE$65000,$B1077,C$5)=1,1,IF(INDEX([1]Pivot!$B$1:$AB$65000,$B1077,C$5)="",2,0)),0)</f>
        <v>0</v>
      </c>
      <c r="D1077" s="194">
        <f>IFERROR(IF(INDEX([1]Pivot!$AD$1:$BE$65000,$B1077,D$5)=1,1,IF(INDEX([1]Pivot!$B$1:$AB$65000,$B1077,D$5)="",2,0)),0)</f>
        <v>0</v>
      </c>
      <c r="E1077" s="194">
        <f>IFERROR(IF(INDEX([1]Pivot!$AD$1:$BE$65000,$B1077,E$5)=1,1,IF(INDEX([1]Pivot!$B$1:$AB$65000,$B1077,E$5)="",2,0)),0)</f>
        <v>0</v>
      </c>
      <c r="F1077" s="194">
        <f>IFERROR(IF(INDEX([1]Pivot!$AD$1:$BE$65000,$B1077,F$5)=1,1,IF(INDEX([1]Pivot!$B$1:$AB$65000,$B1077,F$5)="",2,0)),0)</f>
        <v>0</v>
      </c>
      <c r="G1077" s="194">
        <f>IFERROR(IF(INDEX([1]Pivot!$AD$1:$BE$65000,$B1077,G$5)=1,1,IF(INDEX([1]Pivot!$B$1:$AB$65000,$B1077,G$5)="",2,0)),0)</f>
        <v>0</v>
      </c>
      <c r="H1077" s="194">
        <f>IFERROR(IF(INDEX([1]Pivot!$AD$1:$BE$65000,$B1077,H$5)=1,1,IF(INDEX([1]Pivot!$B$1:$AB$65000,$B1077,H$5)="",2,0)),0)</f>
        <v>0</v>
      </c>
      <c r="I1077" s="194">
        <f>IFERROR(IF(INDEX([1]Pivot!$AD$1:$BE$65000,$B1077,I$5)=1,1,IF(INDEX([1]Pivot!$B$1:$AB$65000,$B1077,I$5)="",2,0)),0)</f>
        <v>0</v>
      </c>
      <c r="J1077" s="194">
        <f>IFERROR(IF(INDEX([1]Pivot!$AD$1:$BE$65000,$B1077,J$5)=1,1,IF(INDEX([1]Pivot!$B$1:$AB$65000,$B1077,J$5)="",2,0)),0)</f>
        <v>0</v>
      </c>
      <c r="K1077" s="194">
        <f>IFERROR(IF(INDEX([1]Pivot!$AD$1:$BE$65000,$B1077,K$5)=1,1,IF(INDEX([1]Pivot!$B$1:$AB$65000,$B1077,K$5)="",2,0)),0)</f>
        <v>0</v>
      </c>
      <c r="L1077" s="194">
        <f>IFERROR(IF(INDEX([1]Pivot!$AD$1:$BE$65000,$B1077,L$5)=1,1,IF(INDEX([1]Pivot!$B$1:$AB$65000,$B1077,L$5)="",2,0)),0)</f>
        <v>0</v>
      </c>
      <c r="M1077" s="194">
        <f>IFERROR(IF(INDEX([1]Pivot!$AD$1:$BE$65000,$B1077,M$5)=1,1,IF(INDEX([1]Pivot!$B$1:$AB$65000,$B1077,M$5)="",2,0)),0)</f>
        <v>0</v>
      </c>
      <c r="N1077" s="194">
        <f>IFERROR(IF(INDEX([1]Pivot!$AD$1:$BE$65000,$B1077,N$5)=1,1,IF(INDEX([1]Pivot!$B$1:$AB$65000,$B1077,N$5)="",2,0)),0)</f>
        <v>0</v>
      </c>
      <c r="O1077" s="194">
        <f>IFERROR(IF(INDEX([1]Pivot!$AD$1:$BE$65000,$B1077,O$5)=1,1,IF(INDEX([1]Pivot!$B$1:$AB$65000,$B1077,O$5)="",2,0)),0)</f>
        <v>0</v>
      </c>
      <c r="P1077" s="194">
        <f>IFERROR(IF(INDEX([1]Pivot!$AD$1:$BE$65000,$B1077,P$5)=1,1,IF(INDEX([1]Pivot!$B$1:$AB$65000,$B1077,P$5)="",2,0)),0)</f>
        <v>0</v>
      </c>
      <c r="Q1077" s="194">
        <f>IFERROR(IF(INDEX([1]Pivot!$AD$1:$BE$65000,$B1077,Q$5)=1,1,IF(INDEX([1]Pivot!$B$1:$AB$65000,$B1077,Q$5)="",2,0)),0)</f>
        <v>0</v>
      </c>
      <c r="R1077" s="312"/>
      <c r="S1077" s="194">
        <f>IFERROR(IF(INDEX([1]Pivot!$AD$1:$BE$65000,$B1077,S$5)=1,1,IF(INDEX([1]Pivot!$B$1:$AB$65000,$B1077,S$5)="",2,0)),0)</f>
        <v>0</v>
      </c>
      <c r="T1077" s="194">
        <f>IFERROR(IF(INDEX([1]Pivot!$AD$1:$BE$65000,$B1077,T$5)=1,1,IF(INDEX([1]Pivot!$B$1:$AB$65000,$B1077,T$5)="",2,0)),0)</f>
        <v>0</v>
      </c>
      <c r="U1077" s="194">
        <f>IFERROR(IF(INDEX([1]Pivot!$AD$1:$BE$65000,$B1077,U$5)=1,1,IF(INDEX([1]Pivot!$B$1:$AB$65000,$B1077,U$5)="",2,0)),0)</f>
        <v>0</v>
      </c>
      <c r="V1077" s="194">
        <f>IFERROR(IF(INDEX([1]Pivot!$AD$1:$BE$65000,$B1077,V$5)=1,1,IF(INDEX([1]Pivot!$B$1:$AB$65000,$B1077,V$5)="",2,0)),0)</f>
        <v>0</v>
      </c>
      <c r="W1077" s="194">
        <f>IFERROR(IF(INDEX([1]Pivot!$AD$1:$BE$65000,$B1077,W$5)=1,1,IF(INDEX([1]Pivot!$B$1:$AB$65000,$B1077,W$5)="",2,0)),0)</f>
        <v>0</v>
      </c>
      <c r="X1077" s="194">
        <f>IFERROR(IF(INDEX([1]Pivot!$AD$1:$BE$65000,$B1077,X$5)=1,1,IF(INDEX([1]Pivot!$B$1:$AB$65000,$B1077,X$5)="",2,0)),0)</f>
        <v>0</v>
      </c>
      <c r="Y1077" s="194">
        <f>IFERROR(IF(INDEX([1]Pivot!$AD$1:$BE$65000,$B1077,Y$5)=1,1,IF(INDEX([1]Pivot!$B$1:$AB$65000,$B1077,Y$5)="",2,0)),0)</f>
        <v>0</v>
      </c>
      <c r="Z1077" s="194">
        <f>IFERROR(IF(INDEX([1]Pivot!$AD$1:$BE$65000,$B1077,Z$5)=1,1,IF(INDEX([1]Pivot!$B$1:$AB$65000,$B1077,Z$5)="",2,0)),0)</f>
        <v>0</v>
      </c>
      <c r="AA1077" s="194">
        <f>IFERROR(IF(INDEX([1]Pivot!$AD$1:$BE$65000,$B1077,AA$5)=1,1,IF(INDEX([1]Pivot!$B$1:$AB$65000,$B1077,AA$5)="",2,0)),0)</f>
        <v>0</v>
      </c>
      <c r="AB1077" s="194">
        <f>IFERROR(IF(INDEX([1]Pivot!$AD$1:$BE$65000,$B1077,AB$5)=1,1,IF(INDEX([1]Pivot!$B$1:$AB$65000,$B1077,AB$5)="",2,0)),0)</f>
        <v>0</v>
      </c>
      <c r="AC1077" s="194">
        <f>IFERROR(IF(INDEX([1]Pivot!$AD$1:$BE$65000,$B1077,AC$5)=1,1,IF(INDEX([1]Pivot!$B$1:$AB$65000,$B1077,AC$5)="",2,0)),0)</f>
        <v>0</v>
      </c>
      <c r="AD1077" s="313">
        <f>IFERROR(IF(INDEX([1]Pivot!$BF$1:$CG$65000,$B1077,AD$5)=1,1,IF(INDEX([1]Pivot!$B$1:$AB$65000,$B1077,AD$5)="",2,0)),0)</f>
        <v>0</v>
      </c>
      <c r="AE1077" s="313">
        <f>IFERROR(IF(INDEX([1]Pivot!$BF$1:$CG$65000,$B1077,AE$5)=1,1,IF(INDEX([1]Pivot!$B$1:$AB$65000,$B1077,AE$5)="",2,0)),0)</f>
        <v>0</v>
      </c>
      <c r="AF1077" s="313">
        <f>IFERROR(IF(INDEX([1]Pivot!$BF$1:$CG$65000,$B1077,AF$5)=1,1,IF(INDEX([1]Pivot!$B$1:$AB$65000,$B1077,AF$5)="",2,0)),0)</f>
        <v>0</v>
      </c>
      <c r="AG1077" s="313">
        <f>IFERROR(IF(INDEX([1]Pivot!$BF$1:$CG$65000,$B1077,AG$5)=1,1,IF(INDEX([1]Pivot!$B$1:$AB$65000,$B1077,AG$5)="",2,0)),0)</f>
        <v>0</v>
      </c>
      <c r="AH1077" s="313">
        <f>IFERROR(IF(INDEX([1]Pivot!$BF$1:$CG$65000,$B1077,AH$5)=1,1,IF(INDEX([1]Pivot!$B$1:$AB$65000,$B1077,AH$5)="",2,0)),0)</f>
        <v>0</v>
      </c>
      <c r="AI1077" s="313">
        <f>IFERROR(IF(INDEX([1]Pivot!$BF$1:$CG$65000,$B1077,AI$5)=1,1,IF(INDEX([1]Pivot!$B$1:$AB$65000,$B1077,AI$5)="",2,0)),0)</f>
        <v>0</v>
      </c>
      <c r="AJ1077" s="313">
        <f>IFERROR(IF(INDEX([1]Pivot!$BF$1:$CG$65000,$B1077,AJ$5)=1,1,IF(INDEX([1]Pivot!$B$1:$AB$65000,$B1077,AJ$5)="",2,0)),0)</f>
        <v>0</v>
      </c>
      <c r="AK1077" s="313">
        <f>IFERROR(IF(INDEX([1]Pivot!$BF$1:$CG$65000,$B1077,AK$5)=1,1,IF(INDEX([1]Pivot!$B$1:$AB$65000,$B1077,AK$5)="",2,0)),0)</f>
        <v>0</v>
      </c>
      <c r="AL1077" s="313">
        <f>IFERROR(IF(INDEX([1]Pivot!$BF$1:$CG$65000,$B1077,AL$5)=1,1,IF(INDEX([1]Pivot!$B$1:$AB$65000,$B1077,AL$5)="",2,0)),0)</f>
        <v>0</v>
      </c>
      <c r="AM1077" s="313">
        <f>IFERROR(IF(INDEX([1]Pivot!$BF$1:$CG$65000,$B1077,AM$5)=1,1,IF(INDEX([1]Pivot!$B$1:$AB$65000,$B1077,AM$5)="",2,0)),0)</f>
        <v>0</v>
      </c>
      <c r="AN1077" s="313">
        <f>IFERROR(IF(INDEX([1]Pivot!$BF$1:$CG$65000,$B1077,AN$5)=1,1,IF(INDEX([1]Pivot!$B$1:$AB$65000,$B1077,AN$5)="",2,0)),0)</f>
        <v>0</v>
      </c>
      <c r="AO1077" s="313">
        <f>IFERROR(IF(INDEX([1]Pivot!$BF$1:$CG$65000,$B1077,AO$5)=1,1,IF(INDEX([1]Pivot!$B$1:$AB$65000,$B1077,AO$5)="",2,0)),0)</f>
        <v>0</v>
      </c>
      <c r="AP1077" s="313">
        <f>IFERROR(IF(INDEX([1]Pivot!$BF$1:$CG$65000,$B1077,AP$5)=1,1,IF(INDEX([1]Pivot!$B$1:$AB$65000,$B1077,AP$5)="",2,0)),0)</f>
        <v>0</v>
      </c>
      <c r="AQ1077" s="313">
        <f>IFERROR(IF(INDEX([1]Pivot!$BF$1:$CG$65000,$B1077,AQ$5)=1,1,IF(INDEX([1]Pivot!$B$1:$AB$65000,$B1077,AQ$5)="",2,0)),0)</f>
        <v>0</v>
      </c>
      <c r="AR1077" s="313">
        <f>IFERROR(IF(INDEX([1]Pivot!$BF$1:$CG$65000,$B1077,AR$5)=1,1,IF(INDEX([1]Pivot!$B$1:$AB$65000,$B1077,AR$5)="",2,0)),0)</f>
        <v>0</v>
      </c>
      <c r="AS1077" s="312"/>
      <c r="AT1077" s="313">
        <f>IFERROR(IF(INDEX([1]Pivot!$BF$1:$CG$65000,$B1077,AT$5)=1,1,IF(INDEX([1]Pivot!$B$1:$AB$65000,$B1077,AT$5)="",2,0)),0)</f>
        <v>0</v>
      </c>
      <c r="AU1077" s="313">
        <f>IFERROR(IF(INDEX([1]Pivot!$BF$1:$CG$65000,$B1077,AU$5)=1,1,IF(INDEX([1]Pivot!$B$1:$AB$65000,$B1077,AU$5)="",2,0)),0)</f>
        <v>0</v>
      </c>
      <c r="AV1077" s="313">
        <f>IFERROR(IF(INDEX([1]Pivot!$BF$1:$CG$65000,$B1077,AV$5)=1,1,IF(INDEX([1]Pivot!$B$1:$AB$65000,$B1077,AV$5)="",2,0)),0)</f>
        <v>0</v>
      </c>
      <c r="AW1077" s="313">
        <f>IFERROR(IF(INDEX([1]Pivot!$BF$1:$CG$65000,$B1077,AW$5)=1,1,IF(INDEX([1]Pivot!$B$1:$AB$65000,$B1077,AW$5)="",2,0)),0)</f>
        <v>0</v>
      </c>
      <c r="AX1077" s="313">
        <f>IFERROR(IF(INDEX([1]Pivot!$BF$1:$CG$65000,$B1077,AX$5)=1,1,IF(INDEX([1]Pivot!$B$1:$AB$65000,$B1077,AX$5)="",2,0)),0)</f>
        <v>0</v>
      </c>
      <c r="AY1077" s="313">
        <f>IFERROR(IF(INDEX([1]Pivot!$BF$1:$CG$65000,$B1077,AY$5)=1,1,IF(INDEX([1]Pivot!$B$1:$AB$65000,$B1077,AY$5)="",2,0)),0)</f>
        <v>0</v>
      </c>
      <c r="AZ1077" s="313">
        <f>IFERROR(IF(INDEX([1]Pivot!$BF$1:$CG$65000,$B1077,AZ$5)=1,1,IF(INDEX([1]Pivot!$B$1:$AB$65000,$B1077,AZ$5)="",2,0)),0)</f>
        <v>0</v>
      </c>
      <c r="BA1077" s="313">
        <f>IFERROR(IF(INDEX([1]Pivot!$BF$1:$CG$65000,$B1077,BA$5)=1,1,IF(INDEX([1]Pivot!$B$1:$AB$65000,$B1077,BA$5)="",2,0)),0)</f>
        <v>0</v>
      </c>
      <c r="BB1077" s="313">
        <f>IFERROR(IF(INDEX([1]Pivot!$BF$1:$CG$65000,$B1077,BB$5)=1,1,IF(INDEX([1]Pivot!$B$1:$AB$65000,$B1077,BB$5)="",2,0)),0)</f>
        <v>0</v>
      </c>
      <c r="BC1077" s="313">
        <f>IFERROR(IF(INDEX([1]Pivot!$BF$1:$CG$65000,$B1077,BC$5)=1,1,IF(INDEX([1]Pivot!$B$1:$AB$65000,$B1077,BC$5)="",2,0)),0)</f>
        <v>0</v>
      </c>
      <c r="BD1077" s="313">
        <f>IFERROR(IF(INDEX([1]Pivot!$BF$1:$CG$65000,$B1077,BD$5)=1,1,IF(INDEX([1]Pivot!$B$1:$AB$65000,$B1077,BD$5)="",2,0)),0)</f>
        <v>0</v>
      </c>
    </row>
    <row r="1078" spans="1:56" x14ac:dyDescent="0.25">
      <c r="A1078" s="288">
        <f>'[2]Raw Milk Prices'!A1078</f>
        <v>0</v>
      </c>
      <c r="B1078" s="296" t="e">
        <f>MATCH(DATE(LEFT('[2]Raw Milk Prices'!$A1078,4),RIGHT('[2]Raw Milk Prices'!$A1078,2),1),[1]Pivot!$A$1:$A$65000,0)</f>
        <v>#VALUE!</v>
      </c>
      <c r="C1078" s="194">
        <f>IFERROR(IF(INDEX([1]Pivot!$AD$1:$BE$65000,$B1078,C$5)=1,1,IF(INDEX([1]Pivot!$B$1:$AB$65000,$B1078,C$5)="",2,0)),0)</f>
        <v>0</v>
      </c>
      <c r="D1078" s="194">
        <f>IFERROR(IF(INDEX([1]Pivot!$AD$1:$BE$65000,$B1078,D$5)=1,1,IF(INDEX([1]Pivot!$B$1:$AB$65000,$B1078,D$5)="",2,0)),0)</f>
        <v>0</v>
      </c>
      <c r="E1078" s="194">
        <f>IFERROR(IF(INDEX([1]Pivot!$AD$1:$BE$65000,$B1078,E$5)=1,1,IF(INDEX([1]Pivot!$B$1:$AB$65000,$B1078,E$5)="",2,0)),0)</f>
        <v>0</v>
      </c>
      <c r="F1078" s="194">
        <f>IFERROR(IF(INDEX([1]Pivot!$AD$1:$BE$65000,$B1078,F$5)=1,1,IF(INDEX([1]Pivot!$B$1:$AB$65000,$B1078,F$5)="",2,0)),0)</f>
        <v>0</v>
      </c>
      <c r="G1078" s="194">
        <f>IFERROR(IF(INDEX([1]Pivot!$AD$1:$BE$65000,$B1078,G$5)=1,1,IF(INDEX([1]Pivot!$B$1:$AB$65000,$B1078,G$5)="",2,0)),0)</f>
        <v>0</v>
      </c>
      <c r="H1078" s="194">
        <f>IFERROR(IF(INDEX([1]Pivot!$AD$1:$BE$65000,$B1078,H$5)=1,1,IF(INDEX([1]Pivot!$B$1:$AB$65000,$B1078,H$5)="",2,0)),0)</f>
        <v>0</v>
      </c>
      <c r="I1078" s="194">
        <f>IFERROR(IF(INDEX([1]Pivot!$AD$1:$BE$65000,$B1078,I$5)=1,1,IF(INDEX([1]Pivot!$B$1:$AB$65000,$B1078,I$5)="",2,0)),0)</f>
        <v>0</v>
      </c>
      <c r="J1078" s="194">
        <f>IFERROR(IF(INDEX([1]Pivot!$AD$1:$BE$65000,$B1078,J$5)=1,1,IF(INDEX([1]Pivot!$B$1:$AB$65000,$B1078,J$5)="",2,0)),0)</f>
        <v>0</v>
      </c>
      <c r="K1078" s="194">
        <f>IFERROR(IF(INDEX([1]Pivot!$AD$1:$BE$65000,$B1078,K$5)=1,1,IF(INDEX([1]Pivot!$B$1:$AB$65000,$B1078,K$5)="",2,0)),0)</f>
        <v>0</v>
      </c>
      <c r="L1078" s="194">
        <f>IFERROR(IF(INDEX([1]Pivot!$AD$1:$BE$65000,$B1078,L$5)=1,1,IF(INDEX([1]Pivot!$B$1:$AB$65000,$B1078,L$5)="",2,0)),0)</f>
        <v>0</v>
      </c>
      <c r="M1078" s="194">
        <f>IFERROR(IF(INDEX([1]Pivot!$AD$1:$BE$65000,$B1078,M$5)=1,1,IF(INDEX([1]Pivot!$B$1:$AB$65000,$B1078,M$5)="",2,0)),0)</f>
        <v>0</v>
      </c>
      <c r="N1078" s="194">
        <f>IFERROR(IF(INDEX([1]Pivot!$AD$1:$BE$65000,$B1078,N$5)=1,1,IF(INDEX([1]Pivot!$B$1:$AB$65000,$B1078,N$5)="",2,0)),0)</f>
        <v>0</v>
      </c>
      <c r="O1078" s="194">
        <f>IFERROR(IF(INDEX([1]Pivot!$AD$1:$BE$65000,$B1078,O$5)=1,1,IF(INDEX([1]Pivot!$B$1:$AB$65000,$B1078,O$5)="",2,0)),0)</f>
        <v>0</v>
      </c>
      <c r="P1078" s="194">
        <f>IFERROR(IF(INDEX([1]Pivot!$AD$1:$BE$65000,$B1078,P$5)=1,1,IF(INDEX([1]Pivot!$B$1:$AB$65000,$B1078,P$5)="",2,0)),0)</f>
        <v>0</v>
      </c>
      <c r="Q1078" s="194">
        <f>IFERROR(IF(INDEX([1]Pivot!$AD$1:$BE$65000,$B1078,Q$5)=1,1,IF(INDEX([1]Pivot!$B$1:$AB$65000,$B1078,Q$5)="",2,0)),0)</f>
        <v>0</v>
      </c>
      <c r="R1078" s="312"/>
      <c r="S1078" s="194">
        <f>IFERROR(IF(INDEX([1]Pivot!$AD$1:$BE$65000,$B1078,S$5)=1,1,IF(INDEX([1]Pivot!$B$1:$AB$65000,$B1078,S$5)="",2,0)),0)</f>
        <v>0</v>
      </c>
      <c r="T1078" s="194">
        <f>IFERROR(IF(INDEX([1]Pivot!$AD$1:$BE$65000,$B1078,T$5)=1,1,IF(INDEX([1]Pivot!$B$1:$AB$65000,$B1078,T$5)="",2,0)),0)</f>
        <v>0</v>
      </c>
      <c r="U1078" s="194">
        <f>IFERROR(IF(INDEX([1]Pivot!$AD$1:$BE$65000,$B1078,U$5)=1,1,IF(INDEX([1]Pivot!$B$1:$AB$65000,$B1078,U$5)="",2,0)),0)</f>
        <v>0</v>
      </c>
      <c r="V1078" s="194">
        <f>IFERROR(IF(INDEX([1]Pivot!$AD$1:$BE$65000,$B1078,V$5)=1,1,IF(INDEX([1]Pivot!$B$1:$AB$65000,$B1078,V$5)="",2,0)),0)</f>
        <v>0</v>
      </c>
      <c r="W1078" s="194">
        <f>IFERROR(IF(INDEX([1]Pivot!$AD$1:$BE$65000,$B1078,W$5)=1,1,IF(INDEX([1]Pivot!$B$1:$AB$65000,$B1078,W$5)="",2,0)),0)</f>
        <v>0</v>
      </c>
      <c r="X1078" s="194">
        <f>IFERROR(IF(INDEX([1]Pivot!$AD$1:$BE$65000,$B1078,X$5)=1,1,IF(INDEX([1]Pivot!$B$1:$AB$65000,$B1078,X$5)="",2,0)),0)</f>
        <v>0</v>
      </c>
      <c r="Y1078" s="194">
        <f>IFERROR(IF(INDEX([1]Pivot!$AD$1:$BE$65000,$B1078,Y$5)=1,1,IF(INDEX([1]Pivot!$B$1:$AB$65000,$B1078,Y$5)="",2,0)),0)</f>
        <v>0</v>
      </c>
      <c r="Z1078" s="194">
        <f>IFERROR(IF(INDEX([1]Pivot!$AD$1:$BE$65000,$B1078,Z$5)=1,1,IF(INDEX([1]Pivot!$B$1:$AB$65000,$B1078,Z$5)="",2,0)),0)</f>
        <v>0</v>
      </c>
      <c r="AA1078" s="194">
        <f>IFERROR(IF(INDEX([1]Pivot!$AD$1:$BE$65000,$B1078,AA$5)=1,1,IF(INDEX([1]Pivot!$B$1:$AB$65000,$B1078,AA$5)="",2,0)),0)</f>
        <v>0</v>
      </c>
      <c r="AB1078" s="194">
        <f>IFERROR(IF(INDEX([1]Pivot!$AD$1:$BE$65000,$B1078,AB$5)=1,1,IF(INDEX([1]Pivot!$B$1:$AB$65000,$B1078,AB$5)="",2,0)),0)</f>
        <v>0</v>
      </c>
      <c r="AC1078" s="194">
        <f>IFERROR(IF(INDEX([1]Pivot!$AD$1:$BE$65000,$B1078,AC$5)=1,1,IF(INDEX([1]Pivot!$B$1:$AB$65000,$B1078,AC$5)="",2,0)),0)</f>
        <v>0</v>
      </c>
      <c r="AD1078" s="313">
        <f>IFERROR(IF(INDEX([1]Pivot!$BF$1:$CG$65000,$B1078,AD$5)=1,1,IF(INDEX([1]Pivot!$B$1:$AB$65000,$B1078,AD$5)="",2,0)),0)</f>
        <v>0</v>
      </c>
      <c r="AE1078" s="313">
        <f>IFERROR(IF(INDEX([1]Pivot!$BF$1:$CG$65000,$B1078,AE$5)=1,1,IF(INDEX([1]Pivot!$B$1:$AB$65000,$B1078,AE$5)="",2,0)),0)</f>
        <v>0</v>
      </c>
      <c r="AF1078" s="313">
        <f>IFERROR(IF(INDEX([1]Pivot!$BF$1:$CG$65000,$B1078,AF$5)=1,1,IF(INDEX([1]Pivot!$B$1:$AB$65000,$B1078,AF$5)="",2,0)),0)</f>
        <v>0</v>
      </c>
      <c r="AG1078" s="313">
        <f>IFERROR(IF(INDEX([1]Pivot!$BF$1:$CG$65000,$B1078,AG$5)=1,1,IF(INDEX([1]Pivot!$B$1:$AB$65000,$B1078,AG$5)="",2,0)),0)</f>
        <v>0</v>
      </c>
      <c r="AH1078" s="313">
        <f>IFERROR(IF(INDEX([1]Pivot!$BF$1:$CG$65000,$B1078,AH$5)=1,1,IF(INDEX([1]Pivot!$B$1:$AB$65000,$B1078,AH$5)="",2,0)),0)</f>
        <v>0</v>
      </c>
      <c r="AI1078" s="313">
        <f>IFERROR(IF(INDEX([1]Pivot!$BF$1:$CG$65000,$B1078,AI$5)=1,1,IF(INDEX([1]Pivot!$B$1:$AB$65000,$B1078,AI$5)="",2,0)),0)</f>
        <v>0</v>
      </c>
      <c r="AJ1078" s="313">
        <f>IFERROR(IF(INDEX([1]Pivot!$BF$1:$CG$65000,$B1078,AJ$5)=1,1,IF(INDEX([1]Pivot!$B$1:$AB$65000,$B1078,AJ$5)="",2,0)),0)</f>
        <v>0</v>
      </c>
      <c r="AK1078" s="313">
        <f>IFERROR(IF(INDEX([1]Pivot!$BF$1:$CG$65000,$B1078,AK$5)=1,1,IF(INDEX([1]Pivot!$B$1:$AB$65000,$B1078,AK$5)="",2,0)),0)</f>
        <v>0</v>
      </c>
      <c r="AL1078" s="313">
        <f>IFERROR(IF(INDEX([1]Pivot!$BF$1:$CG$65000,$B1078,AL$5)=1,1,IF(INDEX([1]Pivot!$B$1:$AB$65000,$B1078,AL$5)="",2,0)),0)</f>
        <v>0</v>
      </c>
      <c r="AM1078" s="313">
        <f>IFERROR(IF(INDEX([1]Pivot!$BF$1:$CG$65000,$B1078,AM$5)=1,1,IF(INDEX([1]Pivot!$B$1:$AB$65000,$B1078,AM$5)="",2,0)),0)</f>
        <v>0</v>
      </c>
      <c r="AN1078" s="313">
        <f>IFERROR(IF(INDEX([1]Pivot!$BF$1:$CG$65000,$B1078,AN$5)=1,1,IF(INDEX([1]Pivot!$B$1:$AB$65000,$B1078,AN$5)="",2,0)),0)</f>
        <v>0</v>
      </c>
      <c r="AO1078" s="313">
        <f>IFERROR(IF(INDEX([1]Pivot!$BF$1:$CG$65000,$B1078,AO$5)=1,1,IF(INDEX([1]Pivot!$B$1:$AB$65000,$B1078,AO$5)="",2,0)),0)</f>
        <v>0</v>
      </c>
      <c r="AP1078" s="313">
        <f>IFERROR(IF(INDEX([1]Pivot!$BF$1:$CG$65000,$B1078,AP$5)=1,1,IF(INDEX([1]Pivot!$B$1:$AB$65000,$B1078,AP$5)="",2,0)),0)</f>
        <v>0</v>
      </c>
      <c r="AQ1078" s="313">
        <f>IFERROR(IF(INDEX([1]Pivot!$BF$1:$CG$65000,$B1078,AQ$5)=1,1,IF(INDEX([1]Pivot!$B$1:$AB$65000,$B1078,AQ$5)="",2,0)),0)</f>
        <v>0</v>
      </c>
      <c r="AR1078" s="313">
        <f>IFERROR(IF(INDEX([1]Pivot!$BF$1:$CG$65000,$B1078,AR$5)=1,1,IF(INDEX([1]Pivot!$B$1:$AB$65000,$B1078,AR$5)="",2,0)),0)</f>
        <v>0</v>
      </c>
      <c r="AS1078" s="312"/>
      <c r="AT1078" s="313">
        <f>IFERROR(IF(INDEX([1]Pivot!$BF$1:$CG$65000,$B1078,AT$5)=1,1,IF(INDEX([1]Pivot!$B$1:$AB$65000,$B1078,AT$5)="",2,0)),0)</f>
        <v>0</v>
      </c>
      <c r="AU1078" s="313">
        <f>IFERROR(IF(INDEX([1]Pivot!$BF$1:$CG$65000,$B1078,AU$5)=1,1,IF(INDEX([1]Pivot!$B$1:$AB$65000,$B1078,AU$5)="",2,0)),0)</f>
        <v>0</v>
      </c>
      <c r="AV1078" s="313">
        <f>IFERROR(IF(INDEX([1]Pivot!$BF$1:$CG$65000,$B1078,AV$5)=1,1,IF(INDEX([1]Pivot!$B$1:$AB$65000,$B1078,AV$5)="",2,0)),0)</f>
        <v>0</v>
      </c>
      <c r="AW1078" s="313">
        <f>IFERROR(IF(INDEX([1]Pivot!$BF$1:$CG$65000,$B1078,AW$5)=1,1,IF(INDEX([1]Pivot!$B$1:$AB$65000,$B1078,AW$5)="",2,0)),0)</f>
        <v>0</v>
      </c>
      <c r="AX1078" s="313">
        <f>IFERROR(IF(INDEX([1]Pivot!$BF$1:$CG$65000,$B1078,AX$5)=1,1,IF(INDEX([1]Pivot!$B$1:$AB$65000,$B1078,AX$5)="",2,0)),0)</f>
        <v>0</v>
      </c>
      <c r="AY1078" s="313">
        <f>IFERROR(IF(INDEX([1]Pivot!$BF$1:$CG$65000,$B1078,AY$5)=1,1,IF(INDEX([1]Pivot!$B$1:$AB$65000,$B1078,AY$5)="",2,0)),0)</f>
        <v>0</v>
      </c>
      <c r="AZ1078" s="313">
        <f>IFERROR(IF(INDEX([1]Pivot!$BF$1:$CG$65000,$B1078,AZ$5)=1,1,IF(INDEX([1]Pivot!$B$1:$AB$65000,$B1078,AZ$5)="",2,0)),0)</f>
        <v>0</v>
      </c>
      <c r="BA1078" s="313">
        <f>IFERROR(IF(INDEX([1]Pivot!$BF$1:$CG$65000,$B1078,BA$5)=1,1,IF(INDEX([1]Pivot!$B$1:$AB$65000,$B1078,BA$5)="",2,0)),0)</f>
        <v>0</v>
      </c>
      <c r="BB1078" s="313">
        <f>IFERROR(IF(INDEX([1]Pivot!$BF$1:$CG$65000,$B1078,BB$5)=1,1,IF(INDEX([1]Pivot!$B$1:$AB$65000,$B1078,BB$5)="",2,0)),0)</f>
        <v>0</v>
      </c>
      <c r="BC1078" s="313">
        <f>IFERROR(IF(INDEX([1]Pivot!$BF$1:$CG$65000,$B1078,BC$5)=1,1,IF(INDEX([1]Pivot!$B$1:$AB$65000,$B1078,BC$5)="",2,0)),0)</f>
        <v>0</v>
      </c>
      <c r="BD1078" s="313">
        <f>IFERROR(IF(INDEX([1]Pivot!$BF$1:$CG$65000,$B1078,BD$5)=1,1,IF(INDEX([1]Pivot!$B$1:$AB$65000,$B1078,BD$5)="",2,0)),0)</f>
        <v>0</v>
      </c>
    </row>
    <row r="1079" spans="1:56" x14ac:dyDescent="0.25">
      <c r="A1079" s="288">
        <f>'[2]Raw Milk Prices'!A1079</f>
        <v>0</v>
      </c>
      <c r="B1079" s="296" t="e">
        <f>MATCH(DATE(LEFT('[2]Raw Milk Prices'!$A1079,4),RIGHT('[2]Raw Milk Prices'!$A1079,2),1),[1]Pivot!$A$1:$A$65000,0)</f>
        <v>#VALUE!</v>
      </c>
      <c r="C1079" s="194">
        <f>IFERROR(IF(INDEX([1]Pivot!$AD$1:$BE$65000,$B1079,C$5)=1,1,IF(INDEX([1]Pivot!$B$1:$AB$65000,$B1079,C$5)="",2,0)),0)</f>
        <v>0</v>
      </c>
      <c r="D1079" s="194">
        <f>IFERROR(IF(INDEX([1]Pivot!$AD$1:$BE$65000,$B1079,D$5)=1,1,IF(INDEX([1]Pivot!$B$1:$AB$65000,$B1079,D$5)="",2,0)),0)</f>
        <v>0</v>
      </c>
      <c r="E1079" s="194">
        <f>IFERROR(IF(INDEX([1]Pivot!$AD$1:$BE$65000,$B1079,E$5)=1,1,IF(INDEX([1]Pivot!$B$1:$AB$65000,$B1079,E$5)="",2,0)),0)</f>
        <v>0</v>
      </c>
      <c r="F1079" s="194">
        <f>IFERROR(IF(INDEX([1]Pivot!$AD$1:$BE$65000,$B1079,F$5)=1,1,IF(INDEX([1]Pivot!$B$1:$AB$65000,$B1079,F$5)="",2,0)),0)</f>
        <v>0</v>
      </c>
      <c r="G1079" s="194">
        <f>IFERROR(IF(INDEX([1]Pivot!$AD$1:$BE$65000,$B1079,G$5)=1,1,IF(INDEX([1]Pivot!$B$1:$AB$65000,$B1079,G$5)="",2,0)),0)</f>
        <v>0</v>
      </c>
      <c r="H1079" s="194">
        <f>IFERROR(IF(INDEX([1]Pivot!$AD$1:$BE$65000,$B1079,H$5)=1,1,IF(INDEX([1]Pivot!$B$1:$AB$65000,$B1079,H$5)="",2,0)),0)</f>
        <v>0</v>
      </c>
      <c r="I1079" s="194">
        <f>IFERROR(IF(INDEX([1]Pivot!$AD$1:$BE$65000,$B1079,I$5)=1,1,IF(INDEX([1]Pivot!$B$1:$AB$65000,$B1079,I$5)="",2,0)),0)</f>
        <v>0</v>
      </c>
      <c r="J1079" s="194">
        <f>IFERROR(IF(INDEX([1]Pivot!$AD$1:$BE$65000,$B1079,J$5)=1,1,IF(INDEX([1]Pivot!$B$1:$AB$65000,$B1079,J$5)="",2,0)),0)</f>
        <v>0</v>
      </c>
      <c r="K1079" s="194">
        <f>IFERROR(IF(INDEX([1]Pivot!$AD$1:$BE$65000,$B1079,K$5)=1,1,IF(INDEX([1]Pivot!$B$1:$AB$65000,$B1079,K$5)="",2,0)),0)</f>
        <v>0</v>
      </c>
      <c r="L1079" s="194">
        <f>IFERROR(IF(INDEX([1]Pivot!$AD$1:$BE$65000,$B1079,L$5)=1,1,IF(INDEX([1]Pivot!$B$1:$AB$65000,$B1079,L$5)="",2,0)),0)</f>
        <v>0</v>
      </c>
      <c r="M1079" s="194">
        <f>IFERROR(IF(INDEX([1]Pivot!$AD$1:$BE$65000,$B1079,M$5)=1,1,IF(INDEX([1]Pivot!$B$1:$AB$65000,$B1079,M$5)="",2,0)),0)</f>
        <v>0</v>
      </c>
      <c r="N1079" s="194">
        <f>IFERROR(IF(INDEX([1]Pivot!$AD$1:$BE$65000,$B1079,N$5)=1,1,IF(INDEX([1]Pivot!$B$1:$AB$65000,$B1079,N$5)="",2,0)),0)</f>
        <v>0</v>
      </c>
      <c r="O1079" s="194">
        <f>IFERROR(IF(INDEX([1]Pivot!$AD$1:$BE$65000,$B1079,O$5)=1,1,IF(INDEX([1]Pivot!$B$1:$AB$65000,$B1079,O$5)="",2,0)),0)</f>
        <v>0</v>
      </c>
      <c r="P1079" s="194">
        <f>IFERROR(IF(INDEX([1]Pivot!$AD$1:$BE$65000,$B1079,P$5)=1,1,IF(INDEX([1]Pivot!$B$1:$AB$65000,$B1079,P$5)="",2,0)),0)</f>
        <v>0</v>
      </c>
      <c r="Q1079" s="194">
        <f>IFERROR(IF(INDEX([1]Pivot!$AD$1:$BE$65000,$B1079,Q$5)=1,1,IF(INDEX([1]Pivot!$B$1:$AB$65000,$B1079,Q$5)="",2,0)),0)</f>
        <v>0</v>
      </c>
      <c r="R1079" s="312"/>
      <c r="S1079" s="194">
        <f>IFERROR(IF(INDEX([1]Pivot!$AD$1:$BE$65000,$B1079,S$5)=1,1,IF(INDEX([1]Pivot!$B$1:$AB$65000,$B1079,S$5)="",2,0)),0)</f>
        <v>0</v>
      </c>
      <c r="T1079" s="194">
        <f>IFERROR(IF(INDEX([1]Pivot!$AD$1:$BE$65000,$B1079,T$5)=1,1,IF(INDEX([1]Pivot!$B$1:$AB$65000,$B1079,T$5)="",2,0)),0)</f>
        <v>0</v>
      </c>
      <c r="U1079" s="194">
        <f>IFERROR(IF(INDEX([1]Pivot!$AD$1:$BE$65000,$B1079,U$5)=1,1,IF(INDEX([1]Pivot!$B$1:$AB$65000,$B1079,U$5)="",2,0)),0)</f>
        <v>0</v>
      </c>
      <c r="V1079" s="194">
        <f>IFERROR(IF(INDEX([1]Pivot!$AD$1:$BE$65000,$B1079,V$5)=1,1,IF(INDEX([1]Pivot!$B$1:$AB$65000,$B1079,V$5)="",2,0)),0)</f>
        <v>0</v>
      </c>
      <c r="W1079" s="194">
        <f>IFERROR(IF(INDEX([1]Pivot!$AD$1:$BE$65000,$B1079,W$5)=1,1,IF(INDEX([1]Pivot!$B$1:$AB$65000,$B1079,W$5)="",2,0)),0)</f>
        <v>0</v>
      </c>
      <c r="X1079" s="194">
        <f>IFERROR(IF(INDEX([1]Pivot!$AD$1:$BE$65000,$B1079,X$5)=1,1,IF(INDEX([1]Pivot!$B$1:$AB$65000,$B1079,X$5)="",2,0)),0)</f>
        <v>0</v>
      </c>
      <c r="Y1079" s="194">
        <f>IFERROR(IF(INDEX([1]Pivot!$AD$1:$BE$65000,$B1079,Y$5)=1,1,IF(INDEX([1]Pivot!$B$1:$AB$65000,$B1079,Y$5)="",2,0)),0)</f>
        <v>0</v>
      </c>
      <c r="Z1079" s="194">
        <f>IFERROR(IF(INDEX([1]Pivot!$AD$1:$BE$65000,$B1079,Z$5)=1,1,IF(INDEX([1]Pivot!$B$1:$AB$65000,$B1079,Z$5)="",2,0)),0)</f>
        <v>0</v>
      </c>
      <c r="AA1079" s="194">
        <f>IFERROR(IF(INDEX([1]Pivot!$AD$1:$BE$65000,$B1079,AA$5)=1,1,IF(INDEX([1]Pivot!$B$1:$AB$65000,$B1079,AA$5)="",2,0)),0)</f>
        <v>0</v>
      </c>
      <c r="AB1079" s="194">
        <f>IFERROR(IF(INDEX([1]Pivot!$AD$1:$BE$65000,$B1079,AB$5)=1,1,IF(INDEX([1]Pivot!$B$1:$AB$65000,$B1079,AB$5)="",2,0)),0)</f>
        <v>0</v>
      </c>
      <c r="AC1079" s="194">
        <f>IFERROR(IF(INDEX([1]Pivot!$AD$1:$BE$65000,$B1079,AC$5)=1,1,IF(INDEX([1]Pivot!$B$1:$AB$65000,$B1079,AC$5)="",2,0)),0)</f>
        <v>0</v>
      </c>
      <c r="AD1079" s="313">
        <f>IFERROR(IF(INDEX([1]Pivot!$BF$1:$CG$65000,$B1079,AD$5)=1,1,IF(INDEX([1]Pivot!$B$1:$AB$65000,$B1079,AD$5)="",2,0)),0)</f>
        <v>0</v>
      </c>
      <c r="AE1079" s="313">
        <f>IFERROR(IF(INDEX([1]Pivot!$BF$1:$CG$65000,$B1079,AE$5)=1,1,IF(INDEX([1]Pivot!$B$1:$AB$65000,$B1079,AE$5)="",2,0)),0)</f>
        <v>0</v>
      </c>
      <c r="AF1079" s="313">
        <f>IFERROR(IF(INDEX([1]Pivot!$BF$1:$CG$65000,$B1079,AF$5)=1,1,IF(INDEX([1]Pivot!$B$1:$AB$65000,$B1079,AF$5)="",2,0)),0)</f>
        <v>0</v>
      </c>
      <c r="AG1079" s="313">
        <f>IFERROR(IF(INDEX([1]Pivot!$BF$1:$CG$65000,$B1079,AG$5)=1,1,IF(INDEX([1]Pivot!$B$1:$AB$65000,$B1079,AG$5)="",2,0)),0)</f>
        <v>0</v>
      </c>
      <c r="AH1079" s="313">
        <f>IFERROR(IF(INDEX([1]Pivot!$BF$1:$CG$65000,$B1079,AH$5)=1,1,IF(INDEX([1]Pivot!$B$1:$AB$65000,$B1079,AH$5)="",2,0)),0)</f>
        <v>0</v>
      </c>
      <c r="AI1079" s="313">
        <f>IFERROR(IF(INDEX([1]Pivot!$BF$1:$CG$65000,$B1079,AI$5)=1,1,IF(INDEX([1]Pivot!$B$1:$AB$65000,$B1079,AI$5)="",2,0)),0)</f>
        <v>0</v>
      </c>
      <c r="AJ1079" s="313">
        <f>IFERROR(IF(INDEX([1]Pivot!$BF$1:$CG$65000,$B1079,AJ$5)=1,1,IF(INDEX([1]Pivot!$B$1:$AB$65000,$B1079,AJ$5)="",2,0)),0)</f>
        <v>0</v>
      </c>
      <c r="AK1079" s="313">
        <f>IFERROR(IF(INDEX([1]Pivot!$BF$1:$CG$65000,$B1079,AK$5)=1,1,IF(INDEX([1]Pivot!$B$1:$AB$65000,$B1079,AK$5)="",2,0)),0)</f>
        <v>0</v>
      </c>
      <c r="AL1079" s="313">
        <f>IFERROR(IF(INDEX([1]Pivot!$BF$1:$CG$65000,$B1079,AL$5)=1,1,IF(INDEX([1]Pivot!$B$1:$AB$65000,$B1079,AL$5)="",2,0)),0)</f>
        <v>0</v>
      </c>
      <c r="AM1079" s="313">
        <f>IFERROR(IF(INDEX([1]Pivot!$BF$1:$CG$65000,$B1079,AM$5)=1,1,IF(INDEX([1]Pivot!$B$1:$AB$65000,$B1079,AM$5)="",2,0)),0)</f>
        <v>0</v>
      </c>
      <c r="AN1079" s="313">
        <f>IFERROR(IF(INDEX([1]Pivot!$BF$1:$CG$65000,$B1079,AN$5)=1,1,IF(INDEX([1]Pivot!$B$1:$AB$65000,$B1079,AN$5)="",2,0)),0)</f>
        <v>0</v>
      </c>
      <c r="AO1079" s="313">
        <f>IFERROR(IF(INDEX([1]Pivot!$BF$1:$CG$65000,$B1079,AO$5)=1,1,IF(INDEX([1]Pivot!$B$1:$AB$65000,$B1079,AO$5)="",2,0)),0)</f>
        <v>0</v>
      </c>
      <c r="AP1079" s="313">
        <f>IFERROR(IF(INDEX([1]Pivot!$BF$1:$CG$65000,$B1079,AP$5)=1,1,IF(INDEX([1]Pivot!$B$1:$AB$65000,$B1079,AP$5)="",2,0)),0)</f>
        <v>0</v>
      </c>
      <c r="AQ1079" s="313">
        <f>IFERROR(IF(INDEX([1]Pivot!$BF$1:$CG$65000,$B1079,AQ$5)=1,1,IF(INDEX([1]Pivot!$B$1:$AB$65000,$B1079,AQ$5)="",2,0)),0)</f>
        <v>0</v>
      </c>
      <c r="AR1079" s="313">
        <f>IFERROR(IF(INDEX([1]Pivot!$BF$1:$CG$65000,$B1079,AR$5)=1,1,IF(INDEX([1]Pivot!$B$1:$AB$65000,$B1079,AR$5)="",2,0)),0)</f>
        <v>0</v>
      </c>
      <c r="AS1079" s="312"/>
      <c r="AT1079" s="313">
        <f>IFERROR(IF(INDEX([1]Pivot!$BF$1:$CG$65000,$B1079,AT$5)=1,1,IF(INDEX([1]Pivot!$B$1:$AB$65000,$B1079,AT$5)="",2,0)),0)</f>
        <v>0</v>
      </c>
      <c r="AU1079" s="313">
        <f>IFERROR(IF(INDEX([1]Pivot!$BF$1:$CG$65000,$B1079,AU$5)=1,1,IF(INDEX([1]Pivot!$B$1:$AB$65000,$B1079,AU$5)="",2,0)),0)</f>
        <v>0</v>
      </c>
      <c r="AV1079" s="313">
        <f>IFERROR(IF(INDEX([1]Pivot!$BF$1:$CG$65000,$B1079,AV$5)=1,1,IF(INDEX([1]Pivot!$B$1:$AB$65000,$B1079,AV$5)="",2,0)),0)</f>
        <v>0</v>
      </c>
      <c r="AW1079" s="313">
        <f>IFERROR(IF(INDEX([1]Pivot!$BF$1:$CG$65000,$B1079,AW$5)=1,1,IF(INDEX([1]Pivot!$B$1:$AB$65000,$B1079,AW$5)="",2,0)),0)</f>
        <v>0</v>
      </c>
      <c r="AX1079" s="313">
        <f>IFERROR(IF(INDEX([1]Pivot!$BF$1:$CG$65000,$B1079,AX$5)=1,1,IF(INDEX([1]Pivot!$B$1:$AB$65000,$B1079,AX$5)="",2,0)),0)</f>
        <v>0</v>
      </c>
      <c r="AY1079" s="313">
        <f>IFERROR(IF(INDEX([1]Pivot!$BF$1:$CG$65000,$B1079,AY$5)=1,1,IF(INDEX([1]Pivot!$B$1:$AB$65000,$B1079,AY$5)="",2,0)),0)</f>
        <v>0</v>
      </c>
      <c r="AZ1079" s="313">
        <f>IFERROR(IF(INDEX([1]Pivot!$BF$1:$CG$65000,$B1079,AZ$5)=1,1,IF(INDEX([1]Pivot!$B$1:$AB$65000,$B1079,AZ$5)="",2,0)),0)</f>
        <v>0</v>
      </c>
      <c r="BA1079" s="313">
        <f>IFERROR(IF(INDEX([1]Pivot!$BF$1:$CG$65000,$B1079,BA$5)=1,1,IF(INDEX([1]Pivot!$B$1:$AB$65000,$B1079,BA$5)="",2,0)),0)</f>
        <v>0</v>
      </c>
      <c r="BB1079" s="313">
        <f>IFERROR(IF(INDEX([1]Pivot!$BF$1:$CG$65000,$B1079,BB$5)=1,1,IF(INDEX([1]Pivot!$B$1:$AB$65000,$B1079,BB$5)="",2,0)),0)</f>
        <v>0</v>
      </c>
      <c r="BC1079" s="313">
        <f>IFERROR(IF(INDEX([1]Pivot!$BF$1:$CG$65000,$B1079,BC$5)=1,1,IF(INDEX([1]Pivot!$B$1:$AB$65000,$B1079,BC$5)="",2,0)),0)</f>
        <v>0</v>
      </c>
      <c r="BD1079" s="313">
        <f>IFERROR(IF(INDEX([1]Pivot!$BF$1:$CG$65000,$B1079,BD$5)=1,1,IF(INDEX([1]Pivot!$B$1:$AB$65000,$B1079,BD$5)="",2,0)),0)</f>
        <v>0</v>
      </c>
    </row>
    <row r="1080" spans="1:56" x14ac:dyDescent="0.25">
      <c r="A1080" s="288">
        <f>'[2]Raw Milk Prices'!A1080</f>
        <v>0</v>
      </c>
      <c r="B1080" s="296" t="e">
        <f>MATCH(DATE(LEFT('[2]Raw Milk Prices'!$A1080,4),RIGHT('[2]Raw Milk Prices'!$A1080,2),1),[1]Pivot!$A$1:$A$65000,0)</f>
        <v>#VALUE!</v>
      </c>
      <c r="C1080" s="194">
        <f>IFERROR(IF(INDEX([1]Pivot!$AD$1:$BE$65000,$B1080,C$5)=1,1,IF(INDEX([1]Pivot!$B$1:$AB$65000,$B1080,C$5)="",2,0)),0)</f>
        <v>0</v>
      </c>
      <c r="D1080" s="194">
        <f>IFERROR(IF(INDEX([1]Pivot!$AD$1:$BE$65000,$B1080,D$5)=1,1,IF(INDEX([1]Pivot!$B$1:$AB$65000,$B1080,D$5)="",2,0)),0)</f>
        <v>0</v>
      </c>
      <c r="E1080" s="194">
        <f>IFERROR(IF(INDEX([1]Pivot!$AD$1:$BE$65000,$B1080,E$5)=1,1,IF(INDEX([1]Pivot!$B$1:$AB$65000,$B1080,E$5)="",2,0)),0)</f>
        <v>0</v>
      </c>
      <c r="F1080" s="194">
        <f>IFERROR(IF(INDEX([1]Pivot!$AD$1:$BE$65000,$B1080,F$5)=1,1,IF(INDEX([1]Pivot!$B$1:$AB$65000,$B1080,F$5)="",2,0)),0)</f>
        <v>0</v>
      </c>
      <c r="G1080" s="194">
        <f>IFERROR(IF(INDEX([1]Pivot!$AD$1:$BE$65000,$B1080,G$5)=1,1,IF(INDEX([1]Pivot!$B$1:$AB$65000,$B1080,G$5)="",2,0)),0)</f>
        <v>0</v>
      </c>
      <c r="H1080" s="194">
        <f>IFERROR(IF(INDEX([1]Pivot!$AD$1:$BE$65000,$B1080,H$5)=1,1,IF(INDEX([1]Pivot!$B$1:$AB$65000,$B1080,H$5)="",2,0)),0)</f>
        <v>0</v>
      </c>
      <c r="I1080" s="194">
        <f>IFERROR(IF(INDEX([1]Pivot!$AD$1:$BE$65000,$B1080,I$5)=1,1,IF(INDEX([1]Pivot!$B$1:$AB$65000,$B1080,I$5)="",2,0)),0)</f>
        <v>0</v>
      </c>
      <c r="J1080" s="194">
        <f>IFERROR(IF(INDEX([1]Pivot!$AD$1:$BE$65000,$B1080,J$5)=1,1,IF(INDEX([1]Pivot!$B$1:$AB$65000,$B1080,J$5)="",2,0)),0)</f>
        <v>0</v>
      </c>
      <c r="K1080" s="194">
        <f>IFERROR(IF(INDEX([1]Pivot!$AD$1:$BE$65000,$B1080,K$5)=1,1,IF(INDEX([1]Pivot!$B$1:$AB$65000,$B1080,K$5)="",2,0)),0)</f>
        <v>0</v>
      </c>
      <c r="L1080" s="194">
        <f>IFERROR(IF(INDEX([1]Pivot!$AD$1:$BE$65000,$B1080,L$5)=1,1,IF(INDEX([1]Pivot!$B$1:$AB$65000,$B1080,L$5)="",2,0)),0)</f>
        <v>0</v>
      </c>
      <c r="M1080" s="194">
        <f>IFERROR(IF(INDEX([1]Pivot!$AD$1:$BE$65000,$B1080,M$5)=1,1,IF(INDEX([1]Pivot!$B$1:$AB$65000,$B1080,M$5)="",2,0)),0)</f>
        <v>0</v>
      </c>
      <c r="N1080" s="194">
        <f>IFERROR(IF(INDEX([1]Pivot!$AD$1:$BE$65000,$B1080,N$5)=1,1,IF(INDEX([1]Pivot!$B$1:$AB$65000,$B1080,N$5)="",2,0)),0)</f>
        <v>0</v>
      </c>
      <c r="O1080" s="194">
        <f>IFERROR(IF(INDEX([1]Pivot!$AD$1:$BE$65000,$B1080,O$5)=1,1,IF(INDEX([1]Pivot!$B$1:$AB$65000,$B1080,O$5)="",2,0)),0)</f>
        <v>0</v>
      </c>
      <c r="P1080" s="194">
        <f>IFERROR(IF(INDEX([1]Pivot!$AD$1:$BE$65000,$B1080,P$5)=1,1,IF(INDEX([1]Pivot!$B$1:$AB$65000,$B1080,P$5)="",2,0)),0)</f>
        <v>0</v>
      </c>
      <c r="Q1080" s="194">
        <f>IFERROR(IF(INDEX([1]Pivot!$AD$1:$BE$65000,$B1080,Q$5)=1,1,IF(INDEX([1]Pivot!$B$1:$AB$65000,$B1080,Q$5)="",2,0)),0)</f>
        <v>0</v>
      </c>
      <c r="R1080" s="312"/>
      <c r="S1080" s="194">
        <f>IFERROR(IF(INDEX([1]Pivot!$AD$1:$BE$65000,$B1080,S$5)=1,1,IF(INDEX([1]Pivot!$B$1:$AB$65000,$B1080,S$5)="",2,0)),0)</f>
        <v>0</v>
      </c>
      <c r="T1080" s="194">
        <f>IFERROR(IF(INDEX([1]Pivot!$AD$1:$BE$65000,$B1080,T$5)=1,1,IF(INDEX([1]Pivot!$B$1:$AB$65000,$B1080,T$5)="",2,0)),0)</f>
        <v>0</v>
      </c>
      <c r="U1080" s="194">
        <f>IFERROR(IF(INDEX([1]Pivot!$AD$1:$BE$65000,$B1080,U$5)=1,1,IF(INDEX([1]Pivot!$B$1:$AB$65000,$B1080,U$5)="",2,0)),0)</f>
        <v>0</v>
      </c>
      <c r="V1080" s="194">
        <f>IFERROR(IF(INDEX([1]Pivot!$AD$1:$BE$65000,$B1080,V$5)=1,1,IF(INDEX([1]Pivot!$B$1:$AB$65000,$B1080,V$5)="",2,0)),0)</f>
        <v>0</v>
      </c>
      <c r="W1080" s="194">
        <f>IFERROR(IF(INDEX([1]Pivot!$AD$1:$BE$65000,$B1080,W$5)=1,1,IF(INDEX([1]Pivot!$B$1:$AB$65000,$B1080,W$5)="",2,0)),0)</f>
        <v>0</v>
      </c>
      <c r="X1080" s="194">
        <f>IFERROR(IF(INDEX([1]Pivot!$AD$1:$BE$65000,$B1080,X$5)=1,1,IF(INDEX([1]Pivot!$B$1:$AB$65000,$B1080,X$5)="",2,0)),0)</f>
        <v>0</v>
      </c>
      <c r="Y1080" s="194">
        <f>IFERROR(IF(INDEX([1]Pivot!$AD$1:$BE$65000,$B1080,Y$5)=1,1,IF(INDEX([1]Pivot!$B$1:$AB$65000,$B1080,Y$5)="",2,0)),0)</f>
        <v>0</v>
      </c>
      <c r="Z1080" s="194">
        <f>IFERROR(IF(INDEX([1]Pivot!$AD$1:$BE$65000,$B1080,Z$5)=1,1,IF(INDEX([1]Pivot!$B$1:$AB$65000,$B1080,Z$5)="",2,0)),0)</f>
        <v>0</v>
      </c>
      <c r="AA1080" s="194">
        <f>IFERROR(IF(INDEX([1]Pivot!$AD$1:$BE$65000,$B1080,AA$5)=1,1,IF(INDEX([1]Pivot!$B$1:$AB$65000,$B1080,AA$5)="",2,0)),0)</f>
        <v>0</v>
      </c>
      <c r="AB1080" s="194">
        <f>IFERROR(IF(INDEX([1]Pivot!$AD$1:$BE$65000,$B1080,AB$5)=1,1,IF(INDEX([1]Pivot!$B$1:$AB$65000,$B1080,AB$5)="",2,0)),0)</f>
        <v>0</v>
      </c>
      <c r="AC1080" s="194">
        <f>IFERROR(IF(INDEX([1]Pivot!$AD$1:$BE$65000,$B1080,AC$5)=1,1,IF(INDEX([1]Pivot!$B$1:$AB$65000,$B1080,AC$5)="",2,0)),0)</f>
        <v>0</v>
      </c>
      <c r="AD1080" s="313">
        <f>IFERROR(IF(INDEX([1]Pivot!$BF$1:$CG$65000,$B1080,AD$5)=1,1,IF(INDEX([1]Pivot!$B$1:$AB$65000,$B1080,AD$5)="",2,0)),0)</f>
        <v>0</v>
      </c>
      <c r="AE1080" s="313">
        <f>IFERROR(IF(INDEX([1]Pivot!$BF$1:$CG$65000,$B1080,AE$5)=1,1,IF(INDEX([1]Pivot!$B$1:$AB$65000,$B1080,AE$5)="",2,0)),0)</f>
        <v>0</v>
      </c>
      <c r="AF1080" s="313">
        <f>IFERROR(IF(INDEX([1]Pivot!$BF$1:$CG$65000,$B1080,AF$5)=1,1,IF(INDEX([1]Pivot!$B$1:$AB$65000,$B1080,AF$5)="",2,0)),0)</f>
        <v>0</v>
      </c>
      <c r="AG1080" s="313">
        <f>IFERROR(IF(INDEX([1]Pivot!$BF$1:$CG$65000,$B1080,AG$5)=1,1,IF(INDEX([1]Pivot!$B$1:$AB$65000,$B1080,AG$5)="",2,0)),0)</f>
        <v>0</v>
      </c>
      <c r="AH1080" s="313">
        <f>IFERROR(IF(INDEX([1]Pivot!$BF$1:$CG$65000,$B1080,AH$5)=1,1,IF(INDEX([1]Pivot!$B$1:$AB$65000,$B1080,AH$5)="",2,0)),0)</f>
        <v>0</v>
      </c>
      <c r="AI1080" s="313">
        <f>IFERROR(IF(INDEX([1]Pivot!$BF$1:$CG$65000,$B1080,AI$5)=1,1,IF(INDEX([1]Pivot!$B$1:$AB$65000,$B1080,AI$5)="",2,0)),0)</f>
        <v>0</v>
      </c>
      <c r="AJ1080" s="313">
        <f>IFERROR(IF(INDEX([1]Pivot!$BF$1:$CG$65000,$B1080,AJ$5)=1,1,IF(INDEX([1]Pivot!$B$1:$AB$65000,$B1080,AJ$5)="",2,0)),0)</f>
        <v>0</v>
      </c>
      <c r="AK1080" s="313">
        <f>IFERROR(IF(INDEX([1]Pivot!$BF$1:$CG$65000,$B1080,AK$5)=1,1,IF(INDEX([1]Pivot!$B$1:$AB$65000,$B1080,AK$5)="",2,0)),0)</f>
        <v>0</v>
      </c>
      <c r="AL1080" s="313">
        <f>IFERROR(IF(INDEX([1]Pivot!$BF$1:$CG$65000,$B1080,AL$5)=1,1,IF(INDEX([1]Pivot!$B$1:$AB$65000,$B1080,AL$5)="",2,0)),0)</f>
        <v>0</v>
      </c>
      <c r="AM1080" s="313">
        <f>IFERROR(IF(INDEX([1]Pivot!$BF$1:$CG$65000,$B1080,AM$5)=1,1,IF(INDEX([1]Pivot!$B$1:$AB$65000,$B1080,AM$5)="",2,0)),0)</f>
        <v>0</v>
      </c>
      <c r="AN1080" s="313">
        <f>IFERROR(IF(INDEX([1]Pivot!$BF$1:$CG$65000,$B1080,AN$5)=1,1,IF(INDEX([1]Pivot!$B$1:$AB$65000,$B1080,AN$5)="",2,0)),0)</f>
        <v>0</v>
      </c>
      <c r="AO1080" s="313">
        <f>IFERROR(IF(INDEX([1]Pivot!$BF$1:$CG$65000,$B1080,AO$5)=1,1,IF(INDEX([1]Pivot!$B$1:$AB$65000,$B1080,AO$5)="",2,0)),0)</f>
        <v>0</v>
      </c>
      <c r="AP1080" s="313">
        <f>IFERROR(IF(INDEX([1]Pivot!$BF$1:$CG$65000,$B1080,AP$5)=1,1,IF(INDEX([1]Pivot!$B$1:$AB$65000,$B1080,AP$5)="",2,0)),0)</f>
        <v>0</v>
      </c>
      <c r="AQ1080" s="313">
        <f>IFERROR(IF(INDEX([1]Pivot!$BF$1:$CG$65000,$B1080,AQ$5)=1,1,IF(INDEX([1]Pivot!$B$1:$AB$65000,$B1080,AQ$5)="",2,0)),0)</f>
        <v>0</v>
      </c>
      <c r="AR1080" s="313">
        <f>IFERROR(IF(INDEX([1]Pivot!$BF$1:$CG$65000,$B1080,AR$5)=1,1,IF(INDEX([1]Pivot!$B$1:$AB$65000,$B1080,AR$5)="",2,0)),0)</f>
        <v>0</v>
      </c>
      <c r="AS1080" s="312"/>
      <c r="AT1080" s="313">
        <f>IFERROR(IF(INDEX([1]Pivot!$BF$1:$CG$65000,$B1080,AT$5)=1,1,IF(INDEX([1]Pivot!$B$1:$AB$65000,$B1080,AT$5)="",2,0)),0)</f>
        <v>0</v>
      </c>
      <c r="AU1080" s="313">
        <f>IFERROR(IF(INDEX([1]Pivot!$BF$1:$CG$65000,$B1080,AU$5)=1,1,IF(INDEX([1]Pivot!$B$1:$AB$65000,$B1080,AU$5)="",2,0)),0)</f>
        <v>0</v>
      </c>
      <c r="AV1080" s="313">
        <f>IFERROR(IF(INDEX([1]Pivot!$BF$1:$CG$65000,$B1080,AV$5)=1,1,IF(INDEX([1]Pivot!$B$1:$AB$65000,$B1080,AV$5)="",2,0)),0)</f>
        <v>0</v>
      </c>
      <c r="AW1080" s="313">
        <f>IFERROR(IF(INDEX([1]Pivot!$BF$1:$CG$65000,$B1080,AW$5)=1,1,IF(INDEX([1]Pivot!$B$1:$AB$65000,$B1080,AW$5)="",2,0)),0)</f>
        <v>0</v>
      </c>
      <c r="AX1080" s="313">
        <f>IFERROR(IF(INDEX([1]Pivot!$BF$1:$CG$65000,$B1080,AX$5)=1,1,IF(INDEX([1]Pivot!$B$1:$AB$65000,$B1080,AX$5)="",2,0)),0)</f>
        <v>0</v>
      </c>
      <c r="AY1080" s="313">
        <f>IFERROR(IF(INDEX([1]Pivot!$BF$1:$CG$65000,$B1080,AY$5)=1,1,IF(INDEX([1]Pivot!$B$1:$AB$65000,$B1080,AY$5)="",2,0)),0)</f>
        <v>0</v>
      </c>
      <c r="AZ1080" s="313">
        <f>IFERROR(IF(INDEX([1]Pivot!$BF$1:$CG$65000,$B1080,AZ$5)=1,1,IF(INDEX([1]Pivot!$B$1:$AB$65000,$B1080,AZ$5)="",2,0)),0)</f>
        <v>0</v>
      </c>
      <c r="BA1080" s="313">
        <f>IFERROR(IF(INDEX([1]Pivot!$BF$1:$CG$65000,$B1080,BA$5)=1,1,IF(INDEX([1]Pivot!$B$1:$AB$65000,$B1080,BA$5)="",2,0)),0)</f>
        <v>0</v>
      </c>
      <c r="BB1080" s="313">
        <f>IFERROR(IF(INDEX([1]Pivot!$BF$1:$CG$65000,$B1080,BB$5)=1,1,IF(INDEX([1]Pivot!$B$1:$AB$65000,$B1080,BB$5)="",2,0)),0)</f>
        <v>0</v>
      </c>
      <c r="BC1080" s="313">
        <f>IFERROR(IF(INDEX([1]Pivot!$BF$1:$CG$65000,$B1080,BC$5)=1,1,IF(INDEX([1]Pivot!$B$1:$AB$65000,$B1080,BC$5)="",2,0)),0)</f>
        <v>0</v>
      </c>
      <c r="BD1080" s="313">
        <f>IFERROR(IF(INDEX([1]Pivot!$BF$1:$CG$65000,$B1080,BD$5)=1,1,IF(INDEX([1]Pivot!$B$1:$AB$65000,$B1080,BD$5)="",2,0)),0)</f>
        <v>0</v>
      </c>
    </row>
    <row r="1081" spans="1:56" x14ac:dyDescent="0.25">
      <c r="A1081" s="288">
        <f>'[2]Raw Milk Prices'!A1081</f>
        <v>0</v>
      </c>
      <c r="B1081" s="296" t="e">
        <f>MATCH(DATE(LEFT('[2]Raw Milk Prices'!$A1081,4),RIGHT('[2]Raw Milk Prices'!$A1081,2),1),[1]Pivot!$A$1:$A$65000,0)</f>
        <v>#VALUE!</v>
      </c>
      <c r="C1081" s="194">
        <f>IFERROR(IF(INDEX([1]Pivot!$AD$1:$BE$65000,$B1081,C$5)=1,1,IF(INDEX([1]Pivot!$B$1:$AB$65000,$B1081,C$5)="",2,0)),0)</f>
        <v>0</v>
      </c>
      <c r="D1081" s="194">
        <f>IFERROR(IF(INDEX([1]Pivot!$AD$1:$BE$65000,$B1081,D$5)=1,1,IF(INDEX([1]Pivot!$B$1:$AB$65000,$B1081,D$5)="",2,0)),0)</f>
        <v>0</v>
      </c>
      <c r="E1081" s="194">
        <f>IFERROR(IF(INDEX([1]Pivot!$AD$1:$BE$65000,$B1081,E$5)=1,1,IF(INDEX([1]Pivot!$B$1:$AB$65000,$B1081,E$5)="",2,0)),0)</f>
        <v>0</v>
      </c>
      <c r="F1081" s="194">
        <f>IFERROR(IF(INDEX([1]Pivot!$AD$1:$BE$65000,$B1081,F$5)=1,1,IF(INDEX([1]Pivot!$B$1:$AB$65000,$B1081,F$5)="",2,0)),0)</f>
        <v>0</v>
      </c>
      <c r="G1081" s="194">
        <f>IFERROR(IF(INDEX([1]Pivot!$AD$1:$BE$65000,$B1081,G$5)=1,1,IF(INDEX([1]Pivot!$B$1:$AB$65000,$B1081,G$5)="",2,0)),0)</f>
        <v>0</v>
      </c>
      <c r="H1081" s="194">
        <f>IFERROR(IF(INDEX([1]Pivot!$AD$1:$BE$65000,$B1081,H$5)=1,1,IF(INDEX([1]Pivot!$B$1:$AB$65000,$B1081,H$5)="",2,0)),0)</f>
        <v>0</v>
      </c>
      <c r="I1081" s="194">
        <f>IFERROR(IF(INDEX([1]Pivot!$AD$1:$BE$65000,$B1081,I$5)=1,1,IF(INDEX([1]Pivot!$B$1:$AB$65000,$B1081,I$5)="",2,0)),0)</f>
        <v>0</v>
      </c>
      <c r="J1081" s="194">
        <f>IFERROR(IF(INDEX([1]Pivot!$AD$1:$BE$65000,$B1081,J$5)=1,1,IF(INDEX([1]Pivot!$B$1:$AB$65000,$B1081,J$5)="",2,0)),0)</f>
        <v>0</v>
      </c>
      <c r="K1081" s="194">
        <f>IFERROR(IF(INDEX([1]Pivot!$AD$1:$BE$65000,$B1081,K$5)=1,1,IF(INDEX([1]Pivot!$B$1:$AB$65000,$B1081,K$5)="",2,0)),0)</f>
        <v>0</v>
      </c>
      <c r="L1081" s="194">
        <f>IFERROR(IF(INDEX([1]Pivot!$AD$1:$BE$65000,$B1081,L$5)=1,1,IF(INDEX([1]Pivot!$B$1:$AB$65000,$B1081,L$5)="",2,0)),0)</f>
        <v>0</v>
      </c>
      <c r="M1081" s="194">
        <f>IFERROR(IF(INDEX([1]Pivot!$AD$1:$BE$65000,$B1081,M$5)=1,1,IF(INDEX([1]Pivot!$B$1:$AB$65000,$B1081,M$5)="",2,0)),0)</f>
        <v>0</v>
      </c>
      <c r="N1081" s="194">
        <f>IFERROR(IF(INDEX([1]Pivot!$AD$1:$BE$65000,$B1081,N$5)=1,1,IF(INDEX([1]Pivot!$B$1:$AB$65000,$B1081,N$5)="",2,0)),0)</f>
        <v>0</v>
      </c>
      <c r="O1081" s="194">
        <f>IFERROR(IF(INDEX([1]Pivot!$AD$1:$BE$65000,$B1081,O$5)=1,1,IF(INDEX([1]Pivot!$B$1:$AB$65000,$B1081,O$5)="",2,0)),0)</f>
        <v>0</v>
      </c>
      <c r="P1081" s="194">
        <f>IFERROR(IF(INDEX([1]Pivot!$AD$1:$BE$65000,$B1081,P$5)=1,1,IF(INDEX([1]Pivot!$B$1:$AB$65000,$B1081,P$5)="",2,0)),0)</f>
        <v>0</v>
      </c>
      <c r="Q1081" s="194">
        <f>IFERROR(IF(INDEX([1]Pivot!$AD$1:$BE$65000,$B1081,Q$5)=1,1,IF(INDEX([1]Pivot!$B$1:$AB$65000,$B1081,Q$5)="",2,0)),0)</f>
        <v>0</v>
      </c>
      <c r="R1081" s="312"/>
      <c r="S1081" s="194">
        <f>IFERROR(IF(INDEX([1]Pivot!$AD$1:$BE$65000,$B1081,S$5)=1,1,IF(INDEX([1]Pivot!$B$1:$AB$65000,$B1081,S$5)="",2,0)),0)</f>
        <v>0</v>
      </c>
      <c r="T1081" s="194">
        <f>IFERROR(IF(INDEX([1]Pivot!$AD$1:$BE$65000,$B1081,T$5)=1,1,IF(INDEX([1]Pivot!$B$1:$AB$65000,$B1081,T$5)="",2,0)),0)</f>
        <v>0</v>
      </c>
      <c r="U1081" s="194">
        <f>IFERROR(IF(INDEX([1]Pivot!$AD$1:$BE$65000,$B1081,U$5)=1,1,IF(INDEX([1]Pivot!$B$1:$AB$65000,$B1081,U$5)="",2,0)),0)</f>
        <v>0</v>
      </c>
      <c r="V1081" s="194">
        <f>IFERROR(IF(INDEX([1]Pivot!$AD$1:$BE$65000,$B1081,V$5)=1,1,IF(INDEX([1]Pivot!$B$1:$AB$65000,$B1081,V$5)="",2,0)),0)</f>
        <v>0</v>
      </c>
      <c r="W1081" s="194">
        <f>IFERROR(IF(INDEX([1]Pivot!$AD$1:$BE$65000,$B1081,W$5)=1,1,IF(INDEX([1]Pivot!$B$1:$AB$65000,$B1081,W$5)="",2,0)),0)</f>
        <v>0</v>
      </c>
      <c r="X1081" s="194">
        <f>IFERROR(IF(INDEX([1]Pivot!$AD$1:$BE$65000,$B1081,X$5)=1,1,IF(INDEX([1]Pivot!$B$1:$AB$65000,$B1081,X$5)="",2,0)),0)</f>
        <v>0</v>
      </c>
      <c r="Y1081" s="194">
        <f>IFERROR(IF(INDEX([1]Pivot!$AD$1:$BE$65000,$B1081,Y$5)=1,1,IF(INDEX([1]Pivot!$B$1:$AB$65000,$B1081,Y$5)="",2,0)),0)</f>
        <v>0</v>
      </c>
      <c r="Z1081" s="194">
        <f>IFERROR(IF(INDEX([1]Pivot!$AD$1:$BE$65000,$B1081,Z$5)=1,1,IF(INDEX([1]Pivot!$B$1:$AB$65000,$B1081,Z$5)="",2,0)),0)</f>
        <v>0</v>
      </c>
      <c r="AA1081" s="194">
        <f>IFERROR(IF(INDEX([1]Pivot!$AD$1:$BE$65000,$B1081,AA$5)=1,1,IF(INDEX([1]Pivot!$B$1:$AB$65000,$B1081,AA$5)="",2,0)),0)</f>
        <v>0</v>
      </c>
      <c r="AB1081" s="194">
        <f>IFERROR(IF(INDEX([1]Pivot!$AD$1:$BE$65000,$B1081,AB$5)=1,1,IF(INDEX([1]Pivot!$B$1:$AB$65000,$B1081,AB$5)="",2,0)),0)</f>
        <v>0</v>
      </c>
      <c r="AC1081" s="194">
        <f>IFERROR(IF(INDEX([1]Pivot!$AD$1:$BE$65000,$B1081,AC$5)=1,1,IF(INDEX([1]Pivot!$B$1:$AB$65000,$B1081,AC$5)="",2,0)),0)</f>
        <v>0</v>
      </c>
      <c r="AD1081" s="313">
        <f>IFERROR(IF(INDEX([1]Pivot!$BF$1:$CG$65000,$B1081,AD$5)=1,1,IF(INDEX([1]Pivot!$B$1:$AB$65000,$B1081,AD$5)="",2,0)),0)</f>
        <v>0</v>
      </c>
      <c r="AE1081" s="313">
        <f>IFERROR(IF(INDEX([1]Pivot!$BF$1:$CG$65000,$B1081,AE$5)=1,1,IF(INDEX([1]Pivot!$B$1:$AB$65000,$B1081,AE$5)="",2,0)),0)</f>
        <v>0</v>
      </c>
      <c r="AF1081" s="313">
        <f>IFERROR(IF(INDEX([1]Pivot!$BF$1:$CG$65000,$B1081,AF$5)=1,1,IF(INDEX([1]Pivot!$B$1:$AB$65000,$B1081,AF$5)="",2,0)),0)</f>
        <v>0</v>
      </c>
      <c r="AG1081" s="313">
        <f>IFERROR(IF(INDEX([1]Pivot!$BF$1:$CG$65000,$B1081,AG$5)=1,1,IF(INDEX([1]Pivot!$B$1:$AB$65000,$B1081,AG$5)="",2,0)),0)</f>
        <v>0</v>
      </c>
      <c r="AH1081" s="313">
        <f>IFERROR(IF(INDEX([1]Pivot!$BF$1:$CG$65000,$B1081,AH$5)=1,1,IF(INDEX([1]Pivot!$B$1:$AB$65000,$B1081,AH$5)="",2,0)),0)</f>
        <v>0</v>
      </c>
      <c r="AI1081" s="313">
        <f>IFERROR(IF(INDEX([1]Pivot!$BF$1:$CG$65000,$B1081,AI$5)=1,1,IF(INDEX([1]Pivot!$B$1:$AB$65000,$B1081,AI$5)="",2,0)),0)</f>
        <v>0</v>
      </c>
      <c r="AJ1081" s="313">
        <f>IFERROR(IF(INDEX([1]Pivot!$BF$1:$CG$65000,$B1081,AJ$5)=1,1,IF(INDEX([1]Pivot!$B$1:$AB$65000,$B1081,AJ$5)="",2,0)),0)</f>
        <v>0</v>
      </c>
      <c r="AK1081" s="313">
        <f>IFERROR(IF(INDEX([1]Pivot!$BF$1:$CG$65000,$B1081,AK$5)=1,1,IF(INDEX([1]Pivot!$B$1:$AB$65000,$B1081,AK$5)="",2,0)),0)</f>
        <v>0</v>
      </c>
      <c r="AL1081" s="313">
        <f>IFERROR(IF(INDEX([1]Pivot!$BF$1:$CG$65000,$B1081,AL$5)=1,1,IF(INDEX([1]Pivot!$B$1:$AB$65000,$B1081,AL$5)="",2,0)),0)</f>
        <v>0</v>
      </c>
      <c r="AM1081" s="313">
        <f>IFERROR(IF(INDEX([1]Pivot!$BF$1:$CG$65000,$B1081,AM$5)=1,1,IF(INDEX([1]Pivot!$B$1:$AB$65000,$B1081,AM$5)="",2,0)),0)</f>
        <v>0</v>
      </c>
      <c r="AN1081" s="313">
        <f>IFERROR(IF(INDEX([1]Pivot!$BF$1:$CG$65000,$B1081,AN$5)=1,1,IF(INDEX([1]Pivot!$B$1:$AB$65000,$B1081,AN$5)="",2,0)),0)</f>
        <v>0</v>
      </c>
      <c r="AO1081" s="313">
        <f>IFERROR(IF(INDEX([1]Pivot!$BF$1:$CG$65000,$B1081,AO$5)=1,1,IF(INDEX([1]Pivot!$B$1:$AB$65000,$B1081,AO$5)="",2,0)),0)</f>
        <v>0</v>
      </c>
      <c r="AP1081" s="313">
        <f>IFERROR(IF(INDEX([1]Pivot!$BF$1:$CG$65000,$B1081,AP$5)=1,1,IF(INDEX([1]Pivot!$B$1:$AB$65000,$B1081,AP$5)="",2,0)),0)</f>
        <v>0</v>
      </c>
      <c r="AQ1081" s="313">
        <f>IFERROR(IF(INDEX([1]Pivot!$BF$1:$CG$65000,$B1081,AQ$5)=1,1,IF(INDEX([1]Pivot!$B$1:$AB$65000,$B1081,AQ$5)="",2,0)),0)</f>
        <v>0</v>
      </c>
      <c r="AR1081" s="313">
        <f>IFERROR(IF(INDEX([1]Pivot!$BF$1:$CG$65000,$B1081,AR$5)=1,1,IF(INDEX([1]Pivot!$B$1:$AB$65000,$B1081,AR$5)="",2,0)),0)</f>
        <v>0</v>
      </c>
      <c r="AS1081" s="312"/>
      <c r="AT1081" s="313">
        <f>IFERROR(IF(INDEX([1]Pivot!$BF$1:$CG$65000,$B1081,AT$5)=1,1,IF(INDEX([1]Pivot!$B$1:$AB$65000,$B1081,AT$5)="",2,0)),0)</f>
        <v>0</v>
      </c>
      <c r="AU1081" s="313">
        <f>IFERROR(IF(INDEX([1]Pivot!$BF$1:$CG$65000,$B1081,AU$5)=1,1,IF(INDEX([1]Pivot!$B$1:$AB$65000,$B1081,AU$5)="",2,0)),0)</f>
        <v>0</v>
      </c>
      <c r="AV1081" s="313">
        <f>IFERROR(IF(INDEX([1]Pivot!$BF$1:$CG$65000,$B1081,AV$5)=1,1,IF(INDEX([1]Pivot!$B$1:$AB$65000,$B1081,AV$5)="",2,0)),0)</f>
        <v>0</v>
      </c>
      <c r="AW1081" s="313">
        <f>IFERROR(IF(INDEX([1]Pivot!$BF$1:$CG$65000,$B1081,AW$5)=1,1,IF(INDEX([1]Pivot!$B$1:$AB$65000,$B1081,AW$5)="",2,0)),0)</f>
        <v>0</v>
      </c>
      <c r="AX1081" s="313">
        <f>IFERROR(IF(INDEX([1]Pivot!$BF$1:$CG$65000,$B1081,AX$5)=1,1,IF(INDEX([1]Pivot!$B$1:$AB$65000,$B1081,AX$5)="",2,0)),0)</f>
        <v>0</v>
      </c>
      <c r="AY1081" s="313">
        <f>IFERROR(IF(INDEX([1]Pivot!$BF$1:$CG$65000,$B1081,AY$5)=1,1,IF(INDEX([1]Pivot!$B$1:$AB$65000,$B1081,AY$5)="",2,0)),0)</f>
        <v>0</v>
      </c>
      <c r="AZ1081" s="313">
        <f>IFERROR(IF(INDEX([1]Pivot!$BF$1:$CG$65000,$B1081,AZ$5)=1,1,IF(INDEX([1]Pivot!$B$1:$AB$65000,$B1081,AZ$5)="",2,0)),0)</f>
        <v>0</v>
      </c>
      <c r="BA1081" s="313">
        <f>IFERROR(IF(INDEX([1]Pivot!$BF$1:$CG$65000,$B1081,BA$5)=1,1,IF(INDEX([1]Pivot!$B$1:$AB$65000,$B1081,BA$5)="",2,0)),0)</f>
        <v>0</v>
      </c>
      <c r="BB1081" s="313">
        <f>IFERROR(IF(INDEX([1]Pivot!$BF$1:$CG$65000,$B1081,BB$5)=1,1,IF(INDEX([1]Pivot!$B$1:$AB$65000,$B1081,BB$5)="",2,0)),0)</f>
        <v>0</v>
      </c>
      <c r="BC1081" s="313">
        <f>IFERROR(IF(INDEX([1]Pivot!$BF$1:$CG$65000,$B1081,BC$5)=1,1,IF(INDEX([1]Pivot!$B$1:$AB$65000,$B1081,BC$5)="",2,0)),0)</f>
        <v>0</v>
      </c>
      <c r="BD1081" s="313">
        <f>IFERROR(IF(INDEX([1]Pivot!$BF$1:$CG$65000,$B1081,BD$5)=1,1,IF(INDEX([1]Pivot!$B$1:$AB$65000,$B1081,BD$5)="",2,0)),0)</f>
        <v>0</v>
      </c>
    </row>
    <row r="1082" spans="1:56" x14ac:dyDescent="0.25">
      <c r="A1082" s="288">
        <f>'[2]Raw Milk Prices'!A1082</f>
        <v>0</v>
      </c>
      <c r="B1082" s="296" t="e">
        <f>MATCH(DATE(LEFT('[2]Raw Milk Prices'!$A1082,4),RIGHT('[2]Raw Milk Prices'!$A1082,2),1),[1]Pivot!$A$1:$A$65000,0)</f>
        <v>#VALUE!</v>
      </c>
      <c r="C1082" s="194">
        <f>IFERROR(IF(INDEX([1]Pivot!$AD$1:$BE$65000,$B1082,C$5)=1,1,IF(INDEX([1]Pivot!$B$1:$AB$65000,$B1082,C$5)="",2,0)),0)</f>
        <v>0</v>
      </c>
      <c r="D1082" s="194">
        <f>IFERROR(IF(INDEX([1]Pivot!$AD$1:$BE$65000,$B1082,D$5)=1,1,IF(INDEX([1]Pivot!$B$1:$AB$65000,$B1082,D$5)="",2,0)),0)</f>
        <v>0</v>
      </c>
      <c r="E1082" s="194">
        <f>IFERROR(IF(INDEX([1]Pivot!$AD$1:$BE$65000,$B1082,E$5)=1,1,IF(INDEX([1]Pivot!$B$1:$AB$65000,$B1082,E$5)="",2,0)),0)</f>
        <v>0</v>
      </c>
      <c r="F1082" s="194">
        <f>IFERROR(IF(INDEX([1]Pivot!$AD$1:$BE$65000,$B1082,F$5)=1,1,IF(INDEX([1]Pivot!$B$1:$AB$65000,$B1082,F$5)="",2,0)),0)</f>
        <v>0</v>
      </c>
      <c r="G1082" s="194">
        <f>IFERROR(IF(INDEX([1]Pivot!$AD$1:$BE$65000,$B1082,G$5)=1,1,IF(INDEX([1]Pivot!$B$1:$AB$65000,$B1082,G$5)="",2,0)),0)</f>
        <v>0</v>
      </c>
      <c r="H1082" s="194">
        <f>IFERROR(IF(INDEX([1]Pivot!$AD$1:$BE$65000,$B1082,H$5)=1,1,IF(INDEX([1]Pivot!$B$1:$AB$65000,$B1082,H$5)="",2,0)),0)</f>
        <v>0</v>
      </c>
      <c r="I1082" s="194">
        <f>IFERROR(IF(INDEX([1]Pivot!$AD$1:$BE$65000,$B1082,I$5)=1,1,IF(INDEX([1]Pivot!$B$1:$AB$65000,$B1082,I$5)="",2,0)),0)</f>
        <v>0</v>
      </c>
      <c r="J1082" s="194">
        <f>IFERROR(IF(INDEX([1]Pivot!$AD$1:$BE$65000,$B1082,J$5)=1,1,IF(INDEX([1]Pivot!$B$1:$AB$65000,$B1082,J$5)="",2,0)),0)</f>
        <v>0</v>
      </c>
      <c r="K1082" s="194">
        <f>IFERROR(IF(INDEX([1]Pivot!$AD$1:$BE$65000,$B1082,K$5)=1,1,IF(INDEX([1]Pivot!$B$1:$AB$65000,$B1082,K$5)="",2,0)),0)</f>
        <v>0</v>
      </c>
      <c r="L1082" s="194">
        <f>IFERROR(IF(INDEX([1]Pivot!$AD$1:$BE$65000,$B1082,L$5)=1,1,IF(INDEX([1]Pivot!$B$1:$AB$65000,$B1082,L$5)="",2,0)),0)</f>
        <v>0</v>
      </c>
      <c r="M1082" s="194">
        <f>IFERROR(IF(INDEX([1]Pivot!$AD$1:$BE$65000,$B1082,M$5)=1,1,IF(INDEX([1]Pivot!$B$1:$AB$65000,$B1082,M$5)="",2,0)),0)</f>
        <v>0</v>
      </c>
      <c r="N1082" s="194">
        <f>IFERROR(IF(INDEX([1]Pivot!$AD$1:$BE$65000,$B1082,N$5)=1,1,IF(INDEX([1]Pivot!$B$1:$AB$65000,$B1082,N$5)="",2,0)),0)</f>
        <v>0</v>
      </c>
      <c r="O1082" s="194">
        <f>IFERROR(IF(INDEX([1]Pivot!$AD$1:$BE$65000,$B1082,O$5)=1,1,IF(INDEX([1]Pivot!$B$1:$AB$65000,$B1082,O$5)="",2,0)),0)</f>
        <v>0</v>
      </c>
      <c r="P1082" s="194">
        <f>IFERROR(IF(INDEX([1]Pivot!$AD$1:$BE$65000,$B1082,P$5)=1,1,IF(INDEX([1]Pivot!$B$1:$AB$65000,$B1082,P$5)="",2,0)),0)</f>
        <v>0</v>
      </c>
      <c r="Q1082" s="194">
        <f>IFERROR(IF(INDEX([1]Pivot!$AD$1:$BE$65000,$B1082,Q$5)=1,1,IF(INDEX([1]Pivot!$B$1:$AB$65000,$B1082,Q$5)="",2,0)),0)</f>
        <v>0</v>
      </c>
      <c r="R1082" s="312"/>
      <c r="S1082" s="194">
        <f>IFERROR(IF(INDEX([1]Pivot!$AD$1:$BE$65000,$B1082,S$5)=1,1,IF(INDEX([1]Pivot!$B$1:$AB$65000,$B1082,S$5)="",2,0)),0)</f>
        <v>0</v>
      </c>
      <c r="T1082" s="194">
        <f>IFERROR(IF(INDEX([1]Pivot!$AD$1:$BE$65000,$B1082,T$5)=1,1,IF(INDEX([1]Pivot!$B$1:$AB$65000,$B1082,T$5)="",2,0)),0)</f>
        <v>0</v>
      </c>
      <c r="U1082" s="194">
        <f>IFERROR(IF(INDEX([1]Pivot!$AD$1:$BE$65000,$B1082,U$5)=1,1,IF(INDEX([1]Pivot!$B$1:$AB$65000,$B1082,U$5)="",2,0)),0)</f>
        <v>0</v>
      </c>
      <c r="V1082" s="194">
        <f>IFERROR(IF(INDEX([1]Pivot!$AD$1:$BE$65000,$B1082,V$5)=1,1,IF(INDEX([1]Pivot!$B$1:$AB$65000,$B1082,V$5)="",2,0)),0)</f>
        <v>0</v>
      </c>
      <c r="W1082" s="194">
        <f>IFERROR(IF(INDEX([1]Pivot!$AD$1:$BE$65000,$B1082,W$5)=1,1,IF(INDEX([1]Pivot!$B$1:$AB$65000,$B1082,W$5)="",2,0)),0)</f>
        <v>0</v>
      </c>
      <c r="X1082" s="194">
        <f>IFERROR(IF(INDEX([1]Pivot!$AD$1:$BE$65000,$B1082,X$5)=1,1,IF(INDEX([1]Pivot!$B$1:$AB$65000,$B1082,X$5)="",2,0)),0)</f>
        <v>0</v>
      </c>
      <c r="Y1082" s="194">
        <f>IFERROR(IF(INDEX([1]Pivot!$AD$1:$BE$65000,$B1082,Y$5)=1,1,IF(INDEX([1]Pivot!$B$1:$AB$65000,$B1082,Y$5)="",2,0)),0)</f>
        <v>0</v>
      </c>
      <c r="Z1082" s="194">
        <f>IFERROR(IF(INDEX([1]Pivot!$AD$1:$BE$65000,$B1082,Z$5)=1,1,IF(INDEX([1]Pivot!$B$1:$AB$65000,$B1082,Z$5)="",2,0)),0)</f>
        <v>0</v>
      </c>
      <c r="AA1082" s="194">
        <f>IFERROR(IF(INDEX([1]Pivot!$AD$1:$BE$65000,$B1082,AA$5)=1,1,IF(INDEX([1]Pivot!$B$1:$AB$65000,$B1082,AA$5)="",2,0)),0)</f>
        <v>0</v>
      </c>
      <c r="AB1082" s="194">
        <f>IFERROR(IF(INDEX([1]Pivot!$AD$1:$BE$65000,$B1082,AB$5)=1,1,IF(INDEX([1]Pivot!$B$1:$AB$65000,$B1082,AB$5)="",2,0)),0)</f>
        <v>0</v>
      </c>
      <c r="AC1082" s="194">
        <f>IFERROR(IF(INDEX([1]Pivot!$AD$1:$BE$65000,$B1082,AC$5)=1,1,IF(INDEX([1]Pivot!$B$1:$AB$65000,$B1082,AC$5)="",2,0)),0)</f>
        <v>0</v>
      </c>
      <c r="AD1082" s="313">
        <f>IFERROR(IF(INDEX([1]Pivot!$BF$1:$CG$65000,$B1082,AD$5)=1,1,IF(INDEX([1]Pivot!$B$1:$AB$65000,$B1082,AD$5)="",2,0)),0)</f>
        <v>0</v>
      </c>
      <c r="AE1082" s="313">
        <f>IFERROR(IF(INDEX([1]Pivot!$BF$1:$CG$65000,$B1082,AE$5)=1,1,IF(INDEX([1]Pivot!$B$1:$AB$65000,$B1082,AE$5)="",2,0)),0)</f>
        <v>0</v>
      </c>
      <c r="AF1082" s="313">
        <f>IFERROR(IF(INDEX([1]Pivot!$BF$1:$CG$65000,$B1082,AF$5)=1,1,IF(INDEX([1]Pivot!$B$1:$AB$65000,$B1082,AF$5)="",2,0)),0)</f>
        <v>0</v>
      </c>
      <c r="AG1082" s="313">
        <f>IFERROR(IF(INDEX([1]Pivot!$BF$1:$CG$65000,$B1082,AG$5)=1,1,IF(INDEX([1]Pivot!$B$1:$AB$65000,$B1082,AG$5)="",2,0)),0)</f>
        <v>0</v>
      </c>
      <c r="AH1082" s="313">
        <f>IFERROR(IF(INDEX([1]Pivot!$BF$1:$CG$65000,$B1082,AH$5)=1,1,IF(INDEX([1]Pivot!$B$1:$AB$65000,$B1082,AH$5)="",2,0)),0)</f>
        <v>0</v>
      </c>
      <c r="AI1082" s="313">
        <f>IFERROR(IF(INDEX([1]Pivot!$BF$1:$CG$65000,$B1082,AI$5)=1,1,IF(INDEX([1]Pivot!$B$1:$AB$65000,$B1082,AI$5)="",2,0)),0)</f>
        <v>0</v>
      </c>
      <c r="AJ1082" s="313">
        <f>IFERROR(IF(INDEX([1]Pivot!$BF$1:$CG$65000,$B1082,AJ$5)=1,1,IF(INDEX([1]Pivot!$B$1:$AB$65000,$B1082,AJ$5)="",2,0)),0)</f>
        <v>0</v>
      </c>
      <c r="AK1082" s="313">
        <f>IFERROR(IF(INDEX([1]Pivot!$BF$1:$CG$65000,$B1082,AK$5)=1,1,IF(INDEX([1]Pivot!$B$1:$AB$65000,$B1082,AK$5)="",2,0)),0)</f>
        <v>0</v>
      </c>
      <c r="AL1082" s="313">
        <f>IFERROR(IF(INDEX([1]Pivot!$BF$1:$CG$65000,$B1082,AL$5)=1,1,IF(INDEX([1]Pivot!$B$1:$AB$65000,$B1082,AL$5)="",2,0)),0)</f>
        <v>0</v>
      </c>
      <c r="AM1082" s="313">
        <f>IFERROR(IF(INDEX([1]Pivot!$BF$1:$CG$65000,$B1082,AM$5)=1,1,IF(INDEX([1]Pivot!$B$1:$AB$65000,$B1082,AM$5)="",2,0)),0)</f>
        <v>0</v>
      </c>
      <c r="AN1082" s="313">
        <f>IFERROR(IF(INDEX([1]Pivot!$BF$1:$CG$65000,$B1082,AN$5)=1,1,IF(INDEX([1]Pivot!$B$1:$AB$65000,$B1082,AN$5)="",2,0)),0)</f>
        <v>0</v>
      </c>
      <c r="AO1082" s="313">
        <f>IFERROR(IF(INDEX([1]Pivot!$BF$1:$CG$65000,$B1082,AO$5)=1,1,IF(INDEX([1]Pivot!$B$1:$AB$65000,$B1082,AO$5)="",2,0)),0)</f>
        <v>0</v>
      </c>
      <c r="AP1082" s="313">
        <f>IFERROR(IF(INDEX([1]Pivot!$BF$1:$CG$65000,$B1082,AP$5)=1,1,IF(INDEX([1]Pivot!$B$1:$AB$65000,$B1082,AP$5)="",2,0)),0)</f>
        <v>0</v>
      </c>
      <c r="AQ1082" s="313">
        <f>IFERROR(IF(INDEX([1]Pivot!$BF$1:$CG$65000,$B1082,AQ$5)=1,1,IF(INDEX([1]Pivot!$B$1:$AB$65000,$B1082,AQ$5)="",2,0)),0)</f>
        <v>0</v>
      </c>
      <c r="AR1082" s="313">
        <f>IFERROR(IF(INDEX([1]Pivot!$BF$1:$CG$65000,$B1082,AR$5)=1,1,IF(INDEX([1]Pivot!$B$1:$AB$65000,$B1082,AR$5)="",2,0)),0)</f>
        <v>0</v>
      </c>
      <c r="AS1082" s="312"/>
      <c r="AT1082" s="313">
        <f>IFERROR(IF(INDEX([1]Pivot!$BF$1:$CG$65000,$B1082,AT$5)=1,1,IF(INDEX([1]Pivot!$B$1:$AB$65000,$B1082,AT$5)="",2,0)),0)</f>
        <v>0</v>
      </c>
      <c r="AU1082" s="313">
        <f>IFERROR(IF(INDEX([1]Pivot!$BF$1:$CG$65000,$B1082,AU$5)=1,1,IF(INDEX([1]Pivot!$B$1:$AB$65000,$B1082,AU$5)="",2,0)),0)</f>
        <v>0</v>
      </c>
      <c r="AV1082" s="313">
        <f>IFERROR(IF(INDEX([1]Pivot!$BF$1:$CG$65000,$B1082,AV$5)=1,1,IF(INDEX([1]Pivot!$B$1:$AB$65000,$B1082,AV$5)="",2,0)),0)</f>
        <v>0</v>
      </c>
      <c r="AW1082" s="313">
        <f>IFERROR(IF(INDEX([1]Pivot!$BF$1:$CG$65000,$B1082,AW$5)=1,1,IF(INDEX([1]Pivot!$B$1:$AB$65000,$B1082,AW$5)="",2,0)),0)</f>
        <v>0</v>
      </c>
      <c r="AX1082" s="313">
        <f>IFERROR(IF(INDEX([1]Pivot!$BF$1:$CG$65000,$B1082,AX$5)=1,1,IF(INDEX([1]Pivot!$B$1:$AB$65000,$B1082,AX$5)="",2,0)),0)</f>
        <v>0</v>
      </c>
      <c r="AY1082" s="313">
        <f>IFERROR(IF(INDEX([1]Pivot!$BF$1:$CG$65000,$B1082,AY$5)=1,1,IF(INDEX([1]Pivot!$B$1:$AB$65000,$B1082,AY$5)="",2,0)),0)</f>
        <v>0</v>
      </c>
      <c r="AZ1082" s="313">
        <f>IFERROR(IF(INDEX([1]Pivot!$BF$1:$CG$65000,$B1082,AZ$5)=1,1,IF(INDEX([1]Pivot!$B$1:$AB$65000,$B1082,AZ$5)="",2,0)),0)</f>
        <v>0</v>
      </c>
      <c r="BA1082" s="313">
        <f>IFERROR(IF(INDEX([1]Pivot!$BF$1:$CG$65000,$B1082,BA$5)=1,1,IF(INDEX([1]Pivot!$B$1:$AB$65000,$B1082,BA$5)="",2,0)),0)</f>
        <v>0</v>
      </c>
      <c r="BB1082" s="313">
        <f>IFERROR(IF(INDEX([1]Pivot!$BF$1:$CG$65000,$B1082,BB$5)=1,1,IF(INDEX([1]Pivot!$B$1:$AB$65000,$B1082,BB$5)="",2,0)),0)</f>
        <v>0</v>
      </c>
      <c r="BC1082" s="313">
        <f>IFERROR(IF(INDEX([1]Pivot!$BF$1:$CG$65000,$B1082,BC$5)=1,1,IF(INDEX([1]Pivot!$B$1:$AB$65000,$B1082,BC$5)="",2,0)),0)</f>
        <v>0</v>
      </c>
      <c r="BD1082" s="313">
        <f>IFERROR(IF(INDEX([1]Pivot!$BF$1:$CG$65000,$B1082,BD$5)=1,1,IF(INDEX([1]Pivot!$B$1:$AB$65000,$B1082,BD$5)="",2,0)),0)</f>
        <v>0</v>
      </c>
    </row>
    <row r="1083" spans="1:56" x14ac:dyDescent="0.25">
      <c r="A1083" s="288">
        <f>'[2]Raw Milk Prices'!A1083</f>
        <v>0</v>
      </c>
      <c r="B1083" s="296" t="e">
        <f>MATCH(DATE(LEFT('[2]Raw Milk Prices'!$A1083,4),RIGHT('[2]Raw Milk Prices'!$A1083,2),1),[1]Pivot!$A$1:$A$65000,0)</f>
        <v>#VALUE!</v>
      </c>
      <c r="C1083" s="194">
        <f>IFERROR(IF(INDEX([1]Pivot!$AD$1:$BE$65000,$B1083,C$5)=1,1,IF(INDEX([1]Pivot!$B$1:$AB$65000,$B1083,C$5)="",2,0)),0)</f>
        <v>0</v>
      </c>
      <c r="D1083" s="194">
        <f>IFERROR(IF(INDEX([1]Pivot!$AD$1:$BE$65000,$B1083,D$5)=1,1,IF(INDEX([1]Pivot!$B$1:$AB$65000,$B1083,D$5)="",2,0)),0)</f>
        <v>0</v>
      </c>
      <c r="E1083" s="194">
        <f>IFERROR(IF(INDEX([1]Pivot!$AD$1:$BE$65000,$B1083,E$5)=1,1,IF(INDEX([1]Pivot!$B$1:$AB$65000,$B1083,E$5)="",2,0)),0)</f>
        <v>0</v>
      </c>
      <c r="F1083" s="194">
        <f>IFERROR(IF(INDEX([1]Pivot!$AD$1:$BE$65000,$B1083,F$5)=1,1,IF(INDEX([1]Pivot!$B$1:$AB$65000,$B1083,F$5)="",2,0)),0)</f>
        <v>0</v>
      </c>
      <c r="G1083" s="194">
        <f>IFERROR(IF(INDEX([1]Pivot!$AD$1:$BE$65000,$B1083,G$5)=1,1,IF(INDEX([1]Pivot!$B$1:$AB$65000,$B1083,G$5)="",2,0)),0)</f>
        <v>0</v>
      </c>
      <c r="H1083" s="194">
        <f>IFERROR(IF(INDEX([1]Pivot!$AD$1:$BE$65000,$B1083,H$5)=1,1,IF(INDEX([1]Pivot!$B$1:$AB$65000,$B1083,H$5)="",2,0)),0)</f>
        <v>0</v>
      </c>
      <c r="I1083" s="194">
        <f>IFERROR(IF(INDEX([1]Pivot!$AD$1:$BE$65000,$B1083,I$5)=1,1,IF(INDEX([1]Pivot!$B$1:$AB$65000,$B1083,I$5)="",2,0)),0)</f>
        <v>0</v>
      </c>
      <c r="J1083" s="194">
        <f>IFERROR(IF(INDEX([1]Pivot!$AD$1:$BE$65000,$B1083,J$5)=1,1,IF(INDEX([1]Pivot!$B$1:$AB$65000,$B1083,J$5)="",2,0)),0)</f>
        <v>0</v>
      </c>
      <c r="K1083" s="194">
        <f>IFERROR(IF(INDEX([1]Pivot!$AD$1:$BE$65000,$B1083,K$5)=1,1,IF(INDEX([1]Pivot!$B$1:$AB$65000,$B1083,K$5)="",2,0)),0)</f>
        <v>0</v>
      </c>
      <c r="L1083" s="194">
        <f>IFERROR(IF(INDEX([1]Pivot!$AD$1:$BE$65000,$B1083,L$5)=1,1,IF(INDEX([1]Pivot!$B$1:$AB$65000,$B1083,L$5)="",2,0)),0)</f>
        <v>0</v>
      </c>
      <c r="M1083" s="194">
        <f>IFERROR(IF(INDEX([1]Pivot!$AD$1:$BE$65000,$B1083,M$5)=1,1,IF(INDEX([1]Pivot!$B$1:$AB$65000,$B1083,M$5)="",2,0)),0)</f>
        <v>0</v>
      </c>
      <c r="N1083" s="194">
        <f>IFERROR(IF(INDEX([1]Pivot!$AD$1:$BE$65000,$B1083,N$5)=1,1,IF(INDEX([1]Pivot!$B$1:$AB$65000,$B1083,N$5)="",2,0)),0)</f>
        <v>0</v>
      </c>
      <c r="O1083" s="194">
        <f>IFERROR(IF(INDEX([1]Pivot!$AD$1:$BE$65000,$B1083,O$5)=1,1,IF(INDEX([1]Pivot!$B$1:$AB$65000,$B1083,O$5)="",2,0)),0)</f>
        <v>0</v>
      </c>
      <c r="P1083" s="194">
        <f>IFERROR(IF(INDEX([1]Pivot!$AD$1:$BE$65000,$B1083,P$5)=1,1,IF(INDEX([1]Pivot!$B$1:$AB$65000,$B1083,P$5)="",2,0)),0)</f>
        <v>0</v>
      </c>
      <c r="Q1083" s="194">
        <f>IFERROR(IF(INDEX([1]Pivot!$AD$1:$BE$65000,$B1083,Q$5)=1,1,IF(INDEX([1]Pivot!$B$1:$AB$65000,$B1083,Q$5)="",2,0)),0)</f>
        <v>0</v>
      </c>
      <c r="R1083" s="312"/>
      <c r="S1083" s="194">
        <f>IFERROR(IF(INDEX([1]Pivot!$AD$1:$BE$65000,$B1083,S$5)=1,1,IF(INDEX([1]Pivot!$B$1:$AB$65000,$B1083,S$5)="",2,0)),0)</f>
        <v>0</v>
      </c>
      <c r="T1083" s="194">
        <f>IFERROR(IF(INDEX([1]Pivot!$AD$1:$BE$65000,$B1083,T$5)=1,1,IF(INDEX([1]Pivot!$B$1:$AB$65000,$B1083,T$5)="",2,0)),0)</f>
        <v>0</v>
      </c>
      <c r="U1083" s="194">
        <f>IFERROR(IF(INDEX([1]Pivot!$AD$1:$BE$65000,$B1083,U$5)=1,1,IF(INDEX([1]Pivot!$B$1:$AB$65000,$B1083,U$5)="",2,0)),0)</f>
        <v>0</v>
      </c>
      <c r="V1083" s="194">
        <f>IFERROR(IF(INDEX([1]Pivot!$AD$1:$BE$65000,$B1083,V$5)=1,1,IF(INDEX([1]Pivot!$B$1:$AB$65000,$B1083,V$5)="",2,0)),0)</f>
        <v>0</v>
      </c>
      <c r="W1083" s="194">
        <f>IFERROR(IF(INDEX([1]Pivot!$AD$1:$BE$65000,$B1083,W$5)=1,1,IF(INDEX([1]Pivot!$B$1:$AB$65000,$B1083,W$5)="",2,0)),0)</f>
        <v>0</v>
      </c>
      <c r="X1083" s="194">
        <f>IFERROR(IF(INDEX([1]Pivot!$AD$1:$BE$65000,$B1083,X$5)=1,1,IF(INDEX([1]Pivot!$B$1:$AB$65000,$B1083,X$5)="",2,0)),0)</f>
        <v>0</v>
      </c>
      <c r="Y1083" s="194">
        <f>IFERROR(IF(INDEX([1]Pivot!$AD$1:$BE$65000,$B1083,Y$5)=1,1,IF(INDEX([1]Pivot!$B$1:$AB$65000,$B1083,Y$5)="",2,0)),0)</f>
        <v>0</v>
      </c>
      <c r="Z1083" s="194">
        <f>IFERROR(IF(INDEX([1]Pivot!$AD$1:$BE$65000,$B1083,Z$5)=1,1,IF(INDEX([1]Pivot!$B$1:$AB$65000,$B1083,Z$5)="",2,0)),0)</f>
        <v>0</v>
      </c>
      <c r="AA1083" s="194">
        <f>IFERROR(IF(INDEX([1]Pivot!$AD$1:$BE$65000,$B1083,AA$5)=1,1,IF(INDEX([1]Pivot!$B$1:$AB$65000,$B1083,AA$5)="",2,0)),0)</f>
        <v>0</v>
      </c>
      <c r="AB1083" s="194">
        <f>IFERROR(IF(INDEX([1]Pivot!$AD$1:$BE$65000,$B1083,AB$5)=1,1,IF(INDEX([1]Pivot!$B$1:$AB$65000,$B1083,AB$5)="",2,0)),0)</f>
        <v>0</v>
      </c>
      <c r="AC1083" s="194">
        <f>IFERROR(IF(INDEX([1]Pivot!$AD$1:$BE$65000,$B1083,AC$5)=1,1,IF(INDEX([1]Pivot!$B$1:$AB$65000,$B1083,AC$5)="",2,0)),0)</f>
        <v>0</v>
      </c>
      <c r="AD1083" s="313">
        <f>IFERROR(IF(INDEX([1]Pivot!$BF$1:$CG$65000,$B1083,AD$5)=1,1,IF(INDEX([1]Pivot!$B$1:$AB$65000,$B1083,AD$5)="",2,0)),0)</f>
        <v>0</v>
      </c>
      <c r="AE1083" s="313">
        <f>IFERROR(IF(INDEX([1]Pivot!$BF$1:$CG$65000,$B1083,AE$5)=1,1,IF(INDEX([1]Pivot!$B$1:$AB$65000,$B1083,AE$5)="",2,0)),0)</f>
        <v>0</v>
      </c>
      <c r="AF1083" s="313">
        <f>IFERROR(IF(INDEX([1]Pivot!$BF$1:$CG$65000,$B1083,AF$5)=1,1,IF(INDEX([1]Pivot!$B$1:$AB$65000,$B1083,AF$5)="",2,0)),0)</f>
        <v>0</v>
      </c>
      <c r="AG1083" s="313">
        <f>IFERROR(IF(INDEX([1]Pivot!$BF$1:$CG$65000,$B1083,AG$5)=1,1,IF(INDEX([1]Pivot!$B$1:$AB$65000,$B1083,AG$5)="",2,0)),0)</f>
        <v>0</v>
      </c>
      <c r="AH1083" s="313">
        <f>IFERROR(IF(INDEX([1]Pivot!$BF$1:$CG$65000,$B1083,AH$5)=1,1,IF(INDEX([1]Pivot!$B$1:$AB$65000,$B1083,AH$5)="",2,0)),0)</f>
        <v>0</v>
      </c>
      <c r="AI1083" s="313">
        <f>IFERROR(IF(INDEX([1]Pivot!$BF$1:$CG$65000,$B1083,AI$5)=1,1,IF(INDEX([1]Pivot!$B$1:$AB$65000,$B1083,AI$5)="",2,0)),0)</f>
        <v>0</v>
      </c>
      <c r="AJ1083" s="313">
        <f>IFERROR(IF(INDEX([1]Pivot!$BF$1:$CG$65000,$B1083,AJ$5)=1,1,IF(INDEX([1]Pivot!$B$1:$AB$65000,$B1083,AJ$5)="",2,0)),0)</f>
        <v>0</v>
      </c>
      <c r="AK1083" s="313">
        <f>IFERROR(IF(INDEX([1]Pivot!$BF$1:$CG$65000,$B1083,AK$5)=1,1,IF(INDEX([1]Pivot!$B$1:$AB$65000,$B1083,AK$5)="",2,0)),0)</f>
        <v>0</v>
      </c>
      <c r="AL1083" s="313">
        <f>IFERROR(IF(INDEX([1]Pivot!$BF$1:$CG$65000,$B1083,AL$5)=1,1,IF(INDEX([1]Pivot!$B$1:$AB$65000,$B1083,AL$5)="",2,0)),0)</f>
        <v>0</v>
      </c>
      <c r="AM1083" s="313">
        <f>IFERROR(IF(INDEX([1]Pivot!$BF$1:$CG$65000,$B1083,AM$5)=1,1,IF(INDEX([1]Pivot!$B$1:$AB$65000,$B1083,AM$5)="",2,0)),0)</f>
        <v>0</v>
      </c>
      <c r="AN1083" s="313">
        <f>IFERROR(IF(INDEX([1]Pivot!$BF$1:$CG$65000,$B1083,AN$5)=1,1,IF(INDEX([1]Pivot!$B$1:$AB$65000,$B1083,AN$5)="",2,0)),0)</f>
        <v>0</v>
      </c>
      <c r="AO1083" s="313">
        <f>IFERROR(IF(INDEX([1]Pivot!$BF$1:$CG$65000,$B1083,AO$5)=1,1,IF(INDEX([1]Pivot!$B$1:$AB$65000,$B1083,AO$5)="",2,0)),0)</f>
        <v>0</v>
      </c>
      <c r="AP1083" s="313">
        <f>IFERROR(IF(INDEX([1]Pivot!$BF$1:$CG$65000,$B1083,AP$5)=1,1,IF(INDEX([1]Pivot!$B$1:$AB$65000,$B1083,AP$5)="",2,0)),0)</f>
        <v>0</v>
      </c>
      <c r="AQ1083" s="313">
        <f>IFERROR(IF(INDEX([1]Pivot!$BF$1:$CG$65000,$B1083,AQ$5)=1,1,IF(INDEX([1]Pivot!$B$1:$AB$65000,$B1083,AQ$5)="",2,0)),0)</f>
        <v>0</v>
      </c>
      <c r="AR1083" s="313">
        <f>IFERROR(IF(INDEX([1]Pivot!$BF$1:$CG$65000,$B1083,AR$5)=1,1,IF(INDEX([1]Pivot!$B$1:$AB$65000,$B1083,AR$5)="",2,0)),0)</f>
        <v>0</v>
      </c>
      <c r="AS1083" s="312"/>
      <c r="AT1083" s="313">
        <f>IFERROR(IF(INDEX([1]Pivot!$BF$1:$CG$65000,$B1083,AT$5)=1,1,IF(INDEX([1]Pivot!$B$1:$AB$65000,$B1083,AT$5)="",2,0)),0)</f>
        <v>0</v>
      </c>
      <c r="AU1083" s="313">
        <f>IFERROR(IF(INDEX([1]Pivot!$BF$1:$CG$65000,$B1083,AU$5)=1,1,IF(INDEX([1]Pivot!$B$1:$AB$65000,$B1083,AU$5)="",2,0)),0)</f>
        <v>0</v>
      </c>
      <c r="AV1083" s="313">
        <f>IFERROR(IF(INDEX([1]Pivot!$BF$1:$CG$65000,$B1083,AV$5)=1,1,IF(INDEX([1]Pivot!$B$1:$AB$65000,$B1083,AV$5)="",2,0)),0)</f>
        <v>0</v>
      </c>
      <c r="AW1083" s="313">
        <f>IFERROR(IF(INDEX([1]Pivot!$BF$1:$CG$65000,$B1083,AW$5)=1,1,IF(INDEX([1]Pivot!$B$1:$AB$65000,$B1083,AW$5)="",2,0)),0)</f>
        <v>0</v>
      </c>
      <c r="AX1083" s="313">
        <f>IFERROR(IF(INDEX([1]Pivot!$BF$1:$CG$65000,$B1083,AX$5)=1,1,IF(INDEX([1]Pivot!$B$1:$AB$65000,$B1083,AX$5)="",2,0)),0)</f>
        <v>0</v>
      </c>
      <c r="AY1083" s="313">
        <f>IFERROR(IF(INDEX([1]Pivot!$BF$1:$CG$65000,$B1083,AY$5)=1,1,IF(INDEX([1]Pivot!$B$1:$AB$65000,$B1083,AY$5)="",2,0)),0)</f>
        <v>0</v>
      </c>
      <c r="AZ1083" s="313">
        <f>IFERROR(IF(INDEX([1]Pivot!$BF$1:$CG$65000,$B1083,AZ$5)=1,1,IF(INDEX([1]Pivot!$B$1:$AB$65000,$B1083,AZ$5)="",2,0)),0)</f>
        <v>0</v>
      </c>
      <c r="BA1083" s="313">
        <f>IFERROR(IF(INDEX([1]Pivot!$BF$1:$CG$65000,$B1083,BA$5)=1,1,IF(INDEX([1]Pivot!$B$1:$AB$65000,$B1083,BA$5)="",2,0)),0)</f>
        <v>0</v>
      </c>
      <c r="BB1083" s="313">
        <f>IFERROR(IF(INDEX([1]Pivot!$BF$1:$CG$65000,$B1083,BB$5)=1,1,IF(INDEX([1]Pivot!$B$1:$AB$65000,$B1083,BB$5)="",2,0)),0)</f>
        <v>0</v>
      </c>
      <c r="BC1083" s="313">
        <f>IFERROR(IF(INDEX([1]Pivot!$BF$1:$CG$65000,$B1083,BC$5)=1,1,IF(INDEX([1]Pivot!$B$1:$AB$65000,$B1083,BC$5)="",2,0)),0)</f>
        <v>0</v>
      </c>
      <c r="BD1083" s="313">
        <f>IFERROR(IF(INDEX([1]Pivot!$BF$1:$CG$65000,$B1083,BD$5)=1,1,IF(INDEX([1]Pivot!$B$1:$AB$65000,$B1083,BD$5)="",2,0)),0)</f>
        <v>0</v>
      </c>
    </row>
    <row r="1084" spans="1:56" x14ac:dyDescent="0.25">
      <c r="A1084" s="288">
        <f>'[2]Raw Milk Prices'!A1084</f>
        <v>0</v>
      </c>
      <c r="B1084" s="296" t="e">
        <f>MATCH(DATE(LEFT('[2]Raw Milk Prices'!$A1084,4),RIGHT('[2]Raw Milk Prices'!$A1084,2),1),[1]Pivot!$A$1:$A$65000,0)</f>
        <v>#VALUE!</v>
      </c>
      <c r="C1084" s="194">
        <f>IFERROR(IF(INDEX([1]Pivot!$AD$1:$BE$65000,$B1084,C$5)=1,1,IF(INDEX([1]Pivot!$B$1:$AB$65000,$B1084,C$5)="",2,0)),0)</f>
        <v>0</v>
      </c>
      <c r="D1084" s="194">
        <f>IFERROR(IF(INDEX([1]Pivot!$AD$1:$BE$65000,$B1084,D$5)=1,1,IF(INDEX([1]Pivot!$B$1:$AB$65000,$B1084,D$5)="",2,0)),0)</f>
        <v>0</v>
      </c>
      <c r="E1084" s="194">
        <f>IFERROR(IF(INDEX([1]Pivot!$AD$1:$BE$65000,$B1084,E$5)=1,1,IF(INDEX([1]Pivot!$B$1:$AB$65000,$B1084,E$5)="",2,0)),0)</f>
        <v>0</v>
      </c>
      <c r="F1084" s="194">
        <f>IFERROR(IF(INDEX([1]Pivot!$AD$1:$BE$65000,$B1084,F$5)=1,1,IF(INDEX([1]Pivot!$B$1:$AB$65000,$B1084,F$5)="",2,0)),0)</f>
        <v>0</v>
      </c>
      <c r="G1084" s="194">
        <f>IFERROR(IF(INDEX([1]Pivot!$AD$1:$BE$65000,$B1084,G$5)=1,1,IF(INDEX([1]Pivot!$B$1:$AB$65000,$B1084,G$5)="",2,0)),0)</f>
        <v>0</v>
      </c>
      <c r="H1084" s="194">
        <f>IFERROR(IF(INDEX([1]Pivot!$AD$1:$BE$65000,$B1084,H$5)=1,1,IF(INDEX([1]Pivot!$B$1:$AB$65000,$B1084,H$5)="",2,0)),0)</f>
        <v>0</v>
      </c>
      <c r="I1084" s="194">
        <f>IFERROR(IF(INDEX([1]Pivot!$AD$1:$BE$65000,$B1084,I$5)=1,1,IF(INDEX([1]Pivot!$B$1:$AB$65000,$B1084,I$5)="",2,0)),0)</f>
        <v>0</v>
      </c>
      <c r="J1084" s="194">
        <f>IFERROR(IF(INDEX([1]Pivot!$AD$1:$BE$65000,$B1084,J$5)=1,1,IF(INDEX([1]Pivot!$B$1:$AB$65000,$B1084,J$5)="",2,0)),0)</f>
        <v>0</v>
      </c>
      <c r="K1084" s="194">
        <f>IFERROR(IF(INDEX([1]Pivot!$AD$1:$BE$65000,$B1084,K$5)=1,1,IF(INDEX([1]Pivot!$B$1:$AB$65000,$B1084,K$5)="",2,0)),0)</f>
        <v>0</v>
      </c>
      <c r="L1084" s="194">
        <f>IFERROR(IF(INDEX([1]Pivot!$AD$1:$BE$65000,$B1084,L$5)=1,1,IF(INDEX([1]Pivot!$B$1:$AB$65000,$B1084,L$5)="",2,0)),0)</f>
        <v>0</v>
      </c>
      <c r="M1084" s="194">
        <f>IFERROR(IF(INDEX([1]Pivot!$AD$1:$BE$65000,$B1084,M$5)=1,1,IF(INDEX([1]Pivot!$B$1:$AB$65000,$B1084,M$5)="",2,0)),0)</f>
        <v>0</v>
      </c>
      <c r="N1084" s="194">
        <f>IFERROR(IF(INDEX([1]Pivot!$AD$1:$BE$65000,$B1084,N$5)=1,1,IF(INDEX([1]Pivot!$B$1:$AB$65000,$B1084,N$5)="",2,0)),0)</f>
        <v>0</v>
      </c>
      <c r="O1084" s="194">
        <f>IFERROR(IF(INDEX([1]Pivot!$AD$1:$BE$65000,$B1084,O$5)=1,1,IF(INDEX([1]Pivot!$B$1:$AB$65000,$B1084,O$5)="",2,0)),0)</f>
        <v>0</v>
      </c>
      <c r="P1084" s="194">
        <f>IFERROR(IF(INDEX([1]Pivot!$AD$1:$BE$65000,$B1084,P$5)=1,1,IF(INDEX([1]Pivot!$B$1:$AB$65000,$B1084,P$5)="",2,0)),0)</f>
        <v>0</v>
      </c>
      <c r="Q1084" s="194">
        <f>IFERROR(IF(INDEX([1]Pivot!$AD$1:$BE$65000,$B1084,Q$5)=1,1,IF(INDEX([1]Pivot!$B$1:$AB$65000,$B1084,Q$5)="",2,0)),0)</f>
        <v>0</v>
      </c>
      <c r="R1084" s="312"/>
      <c r="S1084" s="194">
        <f>IFERROR(IF(INDEX([1]Pivot!$AD$1:$BE$65000,$B1084,S$5)=1,1,IF(INDEX([1]Pivot!$B$1:$AB$65000,$B1084,S$5)="",2,0)),0)</f>
        <v>0</v>
      </c>
      <c r="T1084" s="194">
        <f>IFERROR(IF(INDEX([1]Pivot!$AD$1:$BE$65000,$B1084,T$5)=1,1,IF(INDEX([1]Pivot!$B$1:$AB$65000,$B1084,T$5)="",2,0)),0)</f>
        <v>0</v>
      </c>
      <c r="U1084" s="194">
        <f>IFERROR(IF(INDEX([1]Pivot!$AD$1:$BE$65000,$B1084,U$5)=1,1,IF(INDEX([1]Pivot!$B$1:$AB$65000,$B1084,U$5)="",2,0)),0)</f>
        <v>0</v>
      </c>
      <c r="V1084" s="194">
        <f>IFERROR(IF(INDEX([1]Pivot!$AD$1:$BE$65000,$B1084,V$5)=1,1,IF(INDEX([1]Pivot!$B$1:$AB$65000,$B1084,V$5)="",2,0)),0)</f>
        <v>0</v>
      </c>
      <c r="W1084" s="194">
        <f>IFERROR(IF(INDEX([1]Pivot!$AD$1:$BE$65000,$B1084,W$5)=1,1,IF(INDEX([1]Pivot!$B$1:$AB$65000,$B1084,W$5)="",2,0)),0)</f>
        <v>0</v>
      </c>
      <c r="X1084" s="194">
        <f>IFERROR(IF(INDEX([1]Pivot!$AD$1:$BE$65000,$B1084,X$5)=1,1,IF(INDEX([1]Pivot!$B$1:$AB$65000,$B1084,X$5)="",2,0)),0)</f>
        <v>0</v>
      </c>
      <c r="Y1084" s="194">
        <f>IFERROR(IF(INDEX([1]Pivot!$AD$1:$BE$65000,$B1084,Y$5)=1,1,IF(INDEX([1]Pivot!$B$1:$AB$65000,$B1084,Y$5)="",2,0)),0)</f>
        <v>0</v>
      </c>
      <c r="Z1084" s="194">
        <f>IFERROR(IF(INDEX([1]Pivot!$AD$1:$BE$65000,$B1084,Z$5)=1,1,IF(INDEX([1]Pivot!$B$1:$AB$65000,$B1084,Z$5)="",2,0)),0)</f>
        <v>0</v>
      </c>
      <c r="AA1084" s="194">
        <f>IFERROR(IF(INDEX([1]Pivot!$AD$1:$BE$65000,$B1084,AA$5)=1,1,IF(INDEX([1]Pivot!$B$1:$AB$65000,$B1084,AA$5)="",2,0)),0)</f>
        <v>0</v>
      </c>
      <c r="AB1084" s="194">
        <f>IFERROR(IF(INDEX([1]Pivot!$AD$1:$BE$65000,$B1084,AB$5)=1,1,IF(INDEX([1]Pivot!$B$1:$AB$65000,$B1084,AB$5)="",2,0)),0)</f>
        <v>0</v>
      </c>
      <c r="AC1084" s="194">
        <f>IFERROR(IF(INDEX([1]Pivot!$AD$1:$BE$65000,$B1084,AC$5)=1,1,IF(INDEX([1]Pivot!$B$1:$AB$65000,$B1084,AC$5)="",2,0)),0)</f>
        <v>0</v>
      </c>
      <c r="AD1084" s="313">
        <f>IFERROR(IF(INDEX([1]Pivot!$BF$1:$CG$65000,$B1084,AD$5)=1,1,IF(INDEX([1]Pivot!$B$1:$AB$65000,$B1084,AD$5)="",2,0)),0)</f>
        <v>0</v>
      </c>
      <c r="AE1084" s="313">
        <f>IFERROR(IF(INDEX([1]Pivot!$BF$1:$CG$65000,$B1084,AE$5)=1,1,IF(INDEX([1]Pivot!$B$1:$AB$65000,$B1084,AE$5)="",2,0)),0)</f>
        <v>0</v>
      </c>
      <c r="AF1084" s="313">
        <f>IFERROR(IF(INDEX([1]Pivot!$BF$1:$CG$65000,$B1084,AF$5)=1,1,IF(INDEX([1]Pivot!$B$1:$AB$65000,$B1084,AF$5)="",2,0)),0)</f>
        <v>0</v>
      </c>
      <c r="AG1084" s="313">
        <f>IFERROR(IF(INDEX([1]Pivot!$BF$1:$CG$65000,$B1084,AG$5)=1,1,IF(INDEX([1]Pivot!$B$1:$AB$65000,$B1084,AG$5)="",2,0)),0)</f>
        <v>0</v>
      </c>
      <c r="AH1084" s="313">
        <f>IFERROR(IF(INDEX([1]Pivot!$BF$1:$CG$65000,$B1084,AH$5)=1,1,IF(INDEX([1]Pivot!$B$1:$AB$65000,$B1084,AH$5)="",2,0)),0)</f>
        <v>0</v>
      </c>
      <c r="AI1084" s="313">
        <f>IFERROR(IF(INDEX([1]Pivot!$BF$1:$CG$65000,$B1084,AI$5)=1,1,IF(INDEX([1]Pivot!$B$1:$AB$65000,$B1084,AI$5)="",2,0)),0)</f>
        <v>0</v>
      </c>
      <c r="AJ1084" s="313">
        <f>IFERROR(IF(INDEX([1]Pivot!$BF$1:$CG$65000,$B1084,AJ$5)=1,1,IF(INDEX([1]Pivot!$B$1:$AB$65000,$B1084,AJ$5)="",2,0)),0)</f>
        <v>0</v>
      </c>
      <c r="AK1084" s="313">
        <f>IFERROR(IF(INDEX([1]Pivot!$BF$1:$CG$65000,$B1084,AK$5)=1,1,IF(INDEX([1]Pivot!$B$1:$AB$65000,$B1084,AK$5)="",2,0)),0)</f>
        <v>0</v>
      </c>
      <c r="AL1084" s="313">
        <f>IFERROR(IF(INDEX([1]Pivot!$BF$1:$CG$65000,$B1084,AL$5)=1,1,IF(INDEX([1]Pivot!$B$1:$AB$65000,$B1084,AL$5)="",2,0)),0)</f>
        <v>0</v>
      </c>
      <c r="AM1084" s="313">
        <f>IFERROR(IF(INDEX([1]Pivot!$BF$1:$CG$65000,$B1084,AM$5)=1,1,IF(INDEX([1]Pivot!$B$1:$AB$65000,$B1084,AM$5)="",2,0)),0)</f>
        <v>0</v>
      </c>
      <c r="AN1084" s="313">
        <f>IFERROR(IF(INDEX([1]Pivot!$BF$1:$CG$65000,$B1084,AN$5)=1,1,IF(INDEX([1]Pivot!$B$1:$AB$65000,$B1084,AN$5)="",2,0)),0)</f>
        <v>0</v>
      </c>
      <c r="AO1084" s="313">
        <f>IFERROR(IF(INDEX([1]Pivot!$BF$1:$CG$65000,$B1084,AO$5)=1,1,IF(INDEX([1]Pivot!$B$1:$AB$65000,$B1084,AO$5)="",2,0)),0)</f>
        <v>0</v>
      </c>
      <c r="AP1084" s="313">
        <f>IFERROR(IF(INDEX([1]Pivot!$BF$1:$CG$65000,$B1084,AP$5)=1,1,IF(INDEX([1]Pivot!$B$1:$AB$65000,$B1084,AP$5)="",2,0)),0)</f>
        <v>0</v>
      </c>
      <c r="AQ1084" s="313">
        <f>IFERROR(IF(INDEX([1]Pivot!$BF$1:$CG$65000,$B1084,AQ$5)=1,1,IF(INDEX([1]Pivot!$B$1:$AB$65000,$B1084,AQ$5)="",2,0)),0)</f>
        <v>0</v>
      </c>
      <c r="AR1084" s="313">
        <f>IFERROR(IF(INDEX([1]Pivot!$BF$1:$CG$65000,$B1084,AR$5)=1,1,IF(INDEX([1]Pivot!$B$1:$AB$65000,$B1084,AR$5)="",2,0)),0)</f>
        <v>0</v>
      </c>
      <c r="AS1084" s="312"/>
      <c r="AT1084" s="313">
        <f>IFERROR(IF(INDEX([1]Pivot!$BF$1:$CG$65000,$B1084,AT$5)=1,1,IF(INDEX([1]Pivot!$B$1:$AB$65000,$B1084,AT$5)="",2,0)),0)</f>
        <v>0</v>
      </c>
      <c r="AU1084" s="313">
        <f>IFERROR(IF(INDEX([1]Pivot!$BF$1:$CG$65000,$B1084,AU$5)=1,1,IF(INDEX([1]Pivot!$B$1:$AB$65000,$B1084,AU$5)="",2,0)),0)</f>
        <v>0</v>
      </c>
      <c r="AV1084" s="313">
        <f>IFERROR(IF(INDEX([1]Pivot!$BF$1:$CG$65000,$B1084,AV$5)=1,1,IF(INDEX([1]Pivot!$B$1:$AB$65000,$B1084,AV$5)="",2,0)),0)</f>
        <v>0</v>
      </c>
      <c r="AW1084" s="313">
        <f>IFERROR(IF(INDEX([1]Pivot!$BF$1:$CG$65000,$B1084,AW$5)=1,1,IF(INDEX([1]Pivot!$B$1:$AB$65000,$B1084,AW$5)="",2,0)),0)</f>
        <v>0</v>
      </c>
      <c r="AX1084" s="313">
        <f>IFERROR(IF(INDEX([1]Pivot!$BF$1:$CG$65000,$B1084,AX$5)=1,1,IF(INDEX([1]Pivot!$B$1:$AB$65000,$B1084,AX$5)="",2,0)),0)</f>
        <v>0</v>
      </c>
      <c r="AY1084" s="313">
        <f>IFERROR(IF(INDEX([1]Pivot!$BF$1:$CG$65000,$B1084,AY$5)=1,1,IF(INDEX([1]Pivot!$B$1:$AB$65000,$B1084,AY$5)="",2,0)),0)</f>
        <v>0</v>
      </c>
      <c r="AZ1084" s="313">
        <f>IFERROR(IF(INDEX([1]Pivot!$BF$1:$CG$65000,$B1084,AZ$5)=1,1,IF(INDEX([1]Pivot!$B$1:$AB$65000,$B1084,AZ$5)="",2,0)),0)</f>
        <v>0</v>
      </c>
      <c r="BA1084" s="313">
        <f>IFERROR(IF(INDEX([1]Pivot!$BF$1:$CG$65000,$B1084,BA$5)=1,1,IF(INDEX([1]Pivot!$B$1:$AB$65000,$B1084,BA$5)="",2,0)),0)</f>
        <v>0</v>
      </c>
      <c r="BB1084" s="313">
        <f>IFERROR(IF(INDEX([1]Pivot!$BF$1:$CG$65000,$B1084,BB$5)=1,1,IF(INDEX([1]Pivot!$B$1:$AB$65000,$B1084,BB$5)="",2,0)),0)</f>
        <v>0</v>
      </c>
      <c r="BC1084" s="313">
        <f>IFERROR(IF(INDEX([1]Pivot!$BF$1:$CG$65000,$B1084,BC$5)=1,1,IF(INDEX([1]Pivot!$B$1:$AB$65000,$B1084,BC$5)="",2,0)),0)</f>
        <v>0</v>
      </c>
      <c r="BD1084" s="313">
        <f>IFERROR(IF(INDEX([1]Pivot!$BF$1:$CG$65000,$B1084,BD$5)=1,1,IF(INDEX([1]Pivot!$B$1:$AB$65000,$B1084,BD$5)="",2,0)),0)</f>
        <v>0</v>
      </c>
    </row>
    <row r="1085" spans="1:56" x14ac:dyDescent="0.25">
      <c r="A1085" s="288">
        <f>'[2]Raw Milk Prices'!A1085</f>
        <v>0</v>
      </c>
      <c r="B1085" s="296" t="e">
        <f>MATCH(DATE(LEFT('[2]Raw Milk Prices'!$A1085,4),RIGHT('[2]Raw Milk Prices'!$A1085,2),1),[1]Pivot!$A$1:$A$65000,0)</f>
        <v>#VALUE!</v>
      </c>
      <c r="C1085" s="194">
        <f>IFERROR(IF(INDEX([1]Pivot!$AD$1:$BE$65000,$B1085,C$5)=1,1,IF(INDEX([1]Pivot!$B$1:$AB$65000,$B1085,C$5)="",2,0)),0)</f>
        <v>0</v>
      </c>
      <c r="D1085" s="194">
        <f>IFERROR(IF(INDEX([1]Pivot!$AD$1:$BE$65000,$B1085,D$5)=1,1,IF(INDEX([1]Pivot!$B$1:$AB$65000,$B1085,D$5)="",2,0)),0)</f>
        <v>0</v>
      </c>
      <c r="E1085" s="194">
        <f>IFERROR(IF(INDEX([1]Pivot!$AD$1:$BE$65000,$B1085,E$5)=1,1,IF(INDEX([1]Pivot!$B$1:$AB$65000,$B1085,E$5)="",2,0)),0)</f>
        <v>0</v>
      </c>
      <c r="F1085" s="194">
        <f>IFERROR(IF(INDEX([1]Pivot!$AD$1:$BE$65000,$B1085,F$5)=1,1,IF(INDEX([1]Pivot!$B$1:$AB$65000,$B1085,F$5)="",2,0)),0)</f>
        <v>0</v>
      </c>
      <c r="G1085" s="194">
        <f>IFERROR(IF(INDEX([1]Pivot!$AD$1:$BE$65000,$B1085,G$5)=1,1,IF(INDEX([1]Pivot!$B$1:$AB$65000,$B1085,G$5)="",2,0)),0)</f>
        <v>0</v>
      </c>
      <c r="H1085" s="194">
        <f>IFERROR(IF(INDEX([1]Pivot!$AD$1:$BE$65000,$B1085,H$5)=1,1,IF(INDEX([1]Pivot!$B$1:$AB$65000,$B1085,H$5)="",2,0)),0)</f>
        <v>0</v>
      </c>
      <c r="I1085" s="194">
        <f>IFERROR(IF(INDEX([1]Pivot!$AD$1:$BE$65000,$B1085,I$5)=1,1,IF(INDEX([1]Pivot!$B$1:$AB$65000,$B1085,I$5)="",2,0)),0)</f>
        <v>0</v>
      </c>
      <c r="J1085" s="194">
        <f>IFERROR(IF(INDEX([1]Pivot!$AD$1:$BE$65000,$B1085,J$5)=1,1,IF(INDEX([1]Pivot!$B$1:$AB$65000,$B1085,J$5)="",2,0)),0)</f>
        <v>0</v>
      </c>
      <c r="K1085" s="194">
        <f>IFERROR(IF(INDEX([1]Pivot!$AD$1:$BE$65000,$B1085,K$5)=1,1,IF(INDEX([1]Pivot!$B$1:$AB$65000,$B1085,K$5)="",2,0)),0)</f>
        <v>0</v>
      </c>
      <c r="L1085" s="194">
        <f>IFERROR(IF(INDEX([1]Pivot!$AD$1:$BE$65000,$B1085,L$5)=1,1,IF(INDEX([1]Pivot!$B$1:$AB$65000,$B1085,L$5)="",2,0)),0)</f>
        <v>0</v>
      </c>
      <c r="M1085" s="194">
        <f>IFERROR(IF(INDEX([1]Pivot!$AD$1:$BE$65000,$B1085,M$5)=1,1,IF(INDEX([1]Pivot!$B$1:$AB$65000,$B1085,M$5)="",2,0)),0)</f>
        <v>0</v>
      </c>
      <c r="N1085" s="194">
        <f>IFERROR(IF(INDEX([1]Pivot!$AD$1:$BE$65000,$B1085,N$5)=1,1,IF(INDEX([1]Pivot!$B$1:$AB$65000,$B1085,N$5)="",2,0)),0)</f>
        <v>0</v>
      </c>
      <c r="O1085" s="194">
        <f>IFERROR(IF(INDEX([1]Pivot!$AD$1:$BE$65000,$B1085,O$5)=1,1,IF(INDEX([1]Pivot!$B$1:$AB$65000,$B1085,O$5)="",2,0)),0)</f>
        <v>0</v>
      </c>
      <c r="P1085" s="194">
        <f>IFERROR(IF(INDEX([1]Pivot!$AD$1:$BE$65000,$B1085,P$5)=1,1,IF(INDEX([1]Pivot!$B$1:$AB$65000,$B1085,P$5)="",2,0)),0)</f>
        <v>0</v>
      </c>
      <c r="Q1085" s="194">
        <f>IFERROR(IF(INDEX([1]Pivot!$AD$1:$BE$65000,$B1085,Q$5)=1,1,IF(INDEX([1]Pivot!$B$1:$AB$65000,$B1085,Q$5)="",2,0)),0)</f>
        <v>0</v>
      </c>
      <c r="R1085" s="312"/>
      <c r="S1085" s="194">
        <f>IFERROR(IF(INDEX([1]Pivot!$AD$1:$BE$65000,$B1085,S$5)=1,1,IF(INDEX([1]Pivot!$B$1:$AB$65000,$B1085,S$5)="",2,0)),0)</f>
        <v>0</v>
      </c>
      <c r="T1085" s="194">
        <f>IFERROR(IF(INDEX([1]Pivot!$AD$1:$BE$65000,$B1085,T$5)=1,1,IF(INDEX([1]Pivot!$B$1:$AB$65000,$B1085,T$5)="",2,0)),0)</f>
        <v>0</v>
      </c>
      <c r="U1085" s="194">
        <f>IFERROR(IF(INDEX([1]Pivot!$AD$1:$BE$65000,$B1085,U$5)=1,1,IF(INDEX([1]Pivot!$B$1:$AB$65000,$B1085,U$5)="",2,0)),0)</f>
        <v>0</v>
      </c>
      <c r="V1085" s="194">
        <f>IFERROR(IF(INDEX([1]Pivot!$AD$1:$BE$65000,$B1085,V$5)=1,1,IF(INDEX([1]Pivot!$B$1:$AB$65000,$B1085,V$5)="",2,0)),0)</f>
        <v>0</v>
      </c>
      <c r="W1085" s="194">
        <f>IFERROR(IF(INDEX([1]Pivot!$AD$1:$BE$65000,$B1085,W$5)=1,1,IF(INDEX([1]Pivot!$B$1:$AB$65000,$B1085,W$5)="",2,0)),0)</f>
        <v>0</v>
      </c>
      <c r="X1085" s="194">
        <f>IFERROR(IF(INDEX([1]Pivot!$AD$1:$BE$65000,$B1085,X$5)=1,1,IF(INDEX([1]Pivot!$B$1:$AB$65000,$B1085,X$5)="",2,0)),0)</f>
        <v>0</v>
      </c>
      <c r="Y1085" s="194">
        <f>IFERROR(IF(INDEX([1]Pivot!$AD$1:$BE$65000,$B1085,Y$5)=1,1,IF(INDEX([1]Pivot!$B$1:$AB$65000,$B1085,Y$5)="",2,0)),0)</f>
        <v>0</v>
      </c>
      <c r="Z1085" s="194">
        <f>IFERROR(IF(INDEX([1]Pivot!$AD$1:$BE$65000,$B1085,Z$5)=1,1,IF(INDEX([1]Pivot!$B$1:$AB$65000,$B1085,Z$5)="",2,0)),0)</f>
        <v>0</v>
      </c>
      <c r="AA1085" s="194">
        <f>IFERROR(IF(INDEX([1]Pivot!$AD$1:$BE$65000,$B1085,AA$5)=1,1,IF(INDEX([1]Pivot!$B$1:$AB$65000,$B1085,AA$5)="",2,0)),0)</f>
        <v>0</v>
      </c>
      <c r="AB1085" s="194">
        <f>IFERROR(IF(INDEX([1]Pivot!$AD$1:$BE$65000,$B1085,AB$5)=1,1,IF(INDEX([1]Pivot!$B$1:$AB$65000,$B1085,AB$5)="",2,0)),0)</f>
        <v>0</v>
      </c>
      <c r="AC1085" s="194">
        <f>IFERROR(IF(INDEX([1]Pivot!$AD$1:$BE$65000,$B1085,AC$5)=1,1,IF(INDEX([1]Pivot!$B$1:$AB$65000,$B1085,AC$5)="",2,0)),0)</f>
        <v>0</v>
      </c>
      <c r="AD1085" s="313">
        <f>IFERROR(IF(INDEX([1]Pivot!$BF$1:$CG$65000,$B1085,AD$5)=1,1,IF(INDEX([1]Pivot!$B$1:$AB$65000,$B1085,AD$5)="",2,0)),0)</f>
        <v>0</v>
      </c>
      <c r="AE1085" s="313">
        <f>IFERROR(IF(INDEX([1]Pivot!$BF$1:$CG$65000,$B1085,AE$5)=1,1,IF(INDEX([1]Pivot!$B$1:$AB$65000,$B1085,AE$5)="",2,0)),0)</f>
        <v>0</v>
      </c>
      <c r="AF1085" s="313">
        <f>IFERROR(IF(INDEX([1]Pivot!$BF$1:$CG$65000,$B1085,AF$5)=1,1,IF(INDEX([1]Pivot!$B$1:$AB$65000,$B1085,AF$5)="",2,0)),0)</f>
        <v>0</v>
      </c>
      <c r="AG1085" s="313">
        <f>IFERROR(IF(INDEX([1]Pivot!$BF$1:$CG$65000,$B1085,AG$5)=1,1,IF(INDEX([1]Pivot!$B$1:$AB$65000,$B1085,AG$5)="",2,0)),0)</f>
        <v>0</v>
      </c>
      <c r="AH1085" s="313">
        <f>IFERROR(IF(INDEX([1]Pivot!$BF$1:$CG$65000,$B1085,AH$5)=1,1,IF(INDEX([1]Pivot!$B$1:$AB$65000,$B1085,AH$5)="",2,0)),0)</f>
        <v>0</v>
      </c>
      <c r="AI1085" s="313">
        <f>IFERROR(IF(INDEX([1]Pivot!$BF$1:$CG$65000,$B1085,AI$5)=1,1,IF(INDEX([1]Pivot!$B$1:$AB$65000,$B1085,AI$5)="",2,0)),0)</f>
        <v>0</v>
      </c>
      <c r="AJ1085" s="313">
        <f>IFERROR(IF(INDEX([1]Pivot!$BF$1:$CG$65000,$B1085,AJ$5)=1,1,IF(INDEX([1]Pivot!$B$1:$AB$65000,$B1085,AJ$5)="",2,0)),0)</f>
        <v>0</v>
      </c>
      <c r="AK1085" s="313">
        <f>IFERROR(IF(INDEX([1]Pivot!$BF$1:$CG$65000,$B1085,AK$5)=1,1,IF(INDEX([1]Pivot!$B$1:$AB$65000,$B1085,AK$5)="",2,0)),0)</f>
        <v>0</v>
      </c>
      <c r="AL1085" s="313">
        <f>IFERROR(IF(INDEX([1]Pivot!$BF$1:$CG$65000,$B1085,AL$5)=1,1,IF(INDEX([1]Pivot!$B$1:$AB$65000,$B1085,AL$5)="",2,0)),0)</f>
        <v>0</v>
      </c>
      <c r="AM1085" s="313">
        <f>IFERROR(IF(INDEX([1]Pivot!$BF$1:$CG$65000,$B1085,AM$5)=1,1,IF(INDEX([1]Pivot!$B$1:$AB$65000,$B1085,AM$5)="",2,0)),0)</f>
        <v>0</v>
      </c>
      <c r="AN1085" s="313">
        <f>IFERROR(IF(INDEX([1]Pivot!$BF$1:$CG$65000,$B1085,AN$5)=1,1,IF(INDEX([1]Pivot!$B$1:$AB$65000,$B1085,AN$5)="",2,0)),0)</f>
        <v>0</v>
      </c>
      <c r="AO1085" s="313">
        <f>IFERROR(IF(INDEX([1]Pivot!$BF$1:$CG$65000,$B1085,AO$5)=1,1,IF(INDEX([1]Pivot!$B$1:$AB$65000,$B1085,AO$5)="",2,0)),0)</f>
        <v>0</v>
      </c>
      <c r="AP1085" s="313">
        <f>IFERROR(IF(INDEX([1]Pivot!$BF$1:$CG$65000,$B1085,AP$5)=1,1,IF(INDEX([1]Pivot!$B$1:$AB$65000,$B1085,AP$5)="",2,0)),0)</f>
        <v>0</v>
      </c>
      <c r="AQ1085" s="313">
        <f>IFERROR(IF(INDEX([1]Pivot!$BF$1:$CG$65000,$B1085,AQ$5)=1,1,IF(INDEX([1]Pivot!$B$1:$AB$65000,$B1085,AQ$5)="",2,0)),0)</f>
        <v>0</v>
      </c>
      <c r="AR1085" s="313">
        <f>IFERROR(IF(INDEX([1]Pivot!$BF$1:$CG$65000,$B1085,AR$5)=1,1,IF(INDEX([1]Pivot!$B$1:$AB$65000,$B1085,AR$5)="",2,0)),0)</f>
        <v>0</v>
      </c>
      <c r="AS1085" s="312"/>
      <c r="AT1085" s="313">
        <f>IFERROR(IF(INDEX([1]Pivot!$BF$1:$CG$65000,$B1085,AT$5)=1,1,IF(INDEX([1]Pivot!$B$1:$AB$65000,$B1085,AT$5)="",2,0)),0)</f>
        <v>0</v>
      </c>
      <c r="AU1085" s="313">
        <f>IFERROR(IF(INDEX([1]Pivot!$BF$1:$CG$65000,$B1085,AU$5)=1,1,IF(INDEX([1]Pivot!$B$1:$AB$65000,$B1085,AU$5)="",2,0)),0)</f>
        <v>0</v>
      </c>
      <c r="AV1085" s="313">
        <f>IFERROR(IF(INDEX([1]Pivot!$BF$1:$CG$65000,$B1085,AV$5)=1,1,IF(INDEX([1]Pivot!$B$1:$AB$65000,$B1085,AV$5)="",2,0)),0)</f>
        <v>0</v>
      </c>
      <c r="AW1085" s="313">
        <f>IFERROR(IF(INDEX([1]Pivot!$BF$1:$CG$65000,$B1085,AW$5)=1,1,IF(INDEX([1]Pivot!$B$1:$AB$65000,$B1085,AW$5)="",2,0)),0)</f>
        <v>0</v>
      </c>
      <c r="AX1085" s="313">
        <f>IFERROR(IF(INDEX([1]Pivot!$BF$1:$CG$65000,$B1085,AX$5)=1,1,IF(INDEX([1]Pivot!$B$1:$AB$65000,$B1085,AX$5)="",2,0)),0)</f>
        <v>0</v>
      </c>
      <c r="AY1085" s="313">
        <f>IFERROR(IF(INDEX([1]Pivot!$BF$1:$CG$65000,$B1085,AY$5)=1,1,IF(INDEX([1]Pivot!$B$1:$AB$65000,$B1085,AY$5)="",2,0)),0)</f>
        <v>0</v>
      </c>
      <c r="AZ1085" s="313">
        <f>IFERROR(IF(INDEX([1]Pivot!$BF$1:$CG$65000,$B1085,AZ$5)=1,1,IF(INDEX([1]Pivot!$B$1:$AB$65000,$B1085,AZ$5)="",2,0)),0)</f>
        <v>0</v>
      </c>
      <c r="BA1085" s="313">
        <f>IFERROR(IF(INDEX([1]Pivot!$BF$1:$CG$65000,$B1085,BA$5)=1,1,IF(INDEX([1]Pivot!$B$1:$AB$65000,$B1085,BA$5)="",2,0)),0)</f>
        <v>0</v>
      </c>
      <c r="BB1085" s="313">
        <f>IFERROR(IF(INDEX([1]Pivot!$BF$1:$CG$65000,$B1085,BB$5)=1,1,IF(INDEX([1]Pivot!$B$1:$AB$65000,$B1085,BB$5)="",2,0)),0)</f>
        <v>0</v>
      </c>
      <c r="BC1085" s="313">
        <f>IFERROR(IF(INDEX([1]Pivot!$BF$1:$CG$65000,$B1085,BC$5)=1,1,IF(INDEX([1]Pivot!$B$1:$AB$65000,$B1085,BC$5)="",2,0)),0)</f>
        <v>0</v>
      </c>
      <c r="BD1085" s="313">
        <f>IFERROR(IF(INDEX([1]Pivot!$BF$1:$CG$65000,$B1085,BD$5)=1,1,IF(INDEX([1]Pivot!$B$1:$AB$65000,$B1085,BD$5)="",2,0)),0)</f>
        <v>0</v>
      </c>
    </row>
    <row r="1086" spans="1:56" x14ac:dyDescent="0.25">
      <c r="A1086" s="288">
        <f>'[2]Raw Milk Prices'!A1086</f>
        <v>0</v>
      </c>
      <c r="B1086" s="296" t="e">
        <f>MATCH(DATE(LEFT('[2]Raw Milk Prices'!$A1086,4),RIGHT('[2]Raw Milk Prices'!$A1086,2),1),[1]Pivot!$A$1:$A$65000,0)</f>
        <v>#VALUE!</v>
      </c>
      <c r="C1086" s="194">
        <f>IFERROR(IF(INDEX([1]Pivot!$AD$1:$BE$65000,$B1086,C$5)=1,1,IF(INDEX([1]Pivot!$B$1:$AB$65000,$B1086,C$5)="",2,0)),0)</f>
        <v>0</v>
      </c>
      <c r="D1086" s="194">
        <f>IFERROR(IF(INDEX([1]Pivot!$AD$1:$BE$65000,$B1086,D$5)=1,1,IF(INDEX([1]Pivot!$B$1:$AB$65000,$B1086,D$5)="",2,0)),0)</f>
        <v>0</v>
      </c>
      <c r="E1086" s="194">
        <f>IFERROR(IF(INDEX([1]Pivot!$AD$1:$BE$65000,$B1086,E$5)=1,1,IF(INDEX([1]Pivot!$B$1:$AB$65000,$B1086,E$5)="",2,0)),0)</f>
        <v>0</v>
      </c>
      <c r="F1086" s="194">
        <f>IFERROR(IF(INDEX([1]Pivot!$AD$1:$BE$65000,$B1086,F$5)=1,1,IF(INDEX([1]Pivot!$B$1:$AB$65000,$B1086,F$5)="",2,0)),0)</f>
        <v>0</v>
      </c>
      <c r="G1086" s="194">
        <f>IFERROR(IF(INDEX([1]Pivot!$AD$1:$BE$65000,$B1086,G$5)=1,1,IF(INDEX([1]Pivot!$B$1:$AB$65000,$B1086,G$5)="",2,0)),0)</f>
        <v>0</v>
      </c>
      <c r="H1086" s="194">
        <f>IFERROR(IF(INDEX([1]Pivot!$AD$1:$BE$65000,$B1086,H$5)=1,1,IF(INDEX([1]Pivot!$B$1:$AB$65000,$B1086,H$5)="",2,0)),0)</f>
        <v>0</v>
      </c>
      <c r="I1086" s="194">
        <f>IFERROR(IF(INDEX([1]Pivot!$AD$1:$BE$65000,$B1086,I$5)=1,1,IF(INDEX([1]Pivot!$B$1:$AB$65000,$B1086,I$5)="",2,0)),0)</f>
        <v>0</v>
      </c>
      <c r="J1086" s="194">
        <f>IFERROR(IF(INDEX([1]Pivot!$AD$1:$BE$65000,$B1086,J$5)=1,1,IF(INDEX([1]Pivot!$B$1:$AB$65000,$B1086,J$5)="",2,0)),0)</f>
        <v>0</v>
      </c>
      <c r="K1086" s="194">
        <f>IFERROR(IF(INDEX([1]Pivot!$AD$1:$BE$65000,$B1086,K$5)=1,1,IF(INDEX([1]Pivot!$B$1:$AB$65000,$B1086,K$5)="",2,0)),0)</f>
        <v>0</v>
      </c>
      <c r="L1086" s="194">
        <f>IFERROR(IF(INDEX([1]Pivot!$AD$1:$BE$65000,$B1086,L$5)=1,1,IF(INDEX([1]Pivot!$B$1:$AB$65000,$B1086,L$5)="",2,0)),0)</f>
        <v>0</v>
      </c>
      <c r="M1086" s="194">
        <f>IFERROR(IF(INDEX([1]Pivot!$AD$1:$BE$65000,$B1086,M$5)=1,1,IF(INDEX([1]Pivot!$B$1:$AB$65000,$B1086,M$5)="",2,0)),0)</f>
        <v>0</v>
      </c>
      <c r="N1086" s="194">
        <f>IFERROR(IF(INDEX([1]Pivot!$AD$1:$BE$65000,$B1086,N$5)=1,1,IF(INDEX([1]Pivot!$B$1:$AB$65000,$B1086,N$5)="",2,0)),0)</f>
        <v>0</v>
      </c>
      <c r="O1086" s="194">
        <f>IFERROR(IF(INDEX([1]Pivot!$AD$1:$BE$65000,$B1086,O$5)=1,1,IF(INDEX([1]Pivot!$B$1:$AB$65000,$B1086,O$5)="",2,0)),0)</f>
        <v>0</v>
      </c>
      <c r="P1086" s="194">
        <f>IFERROR(IF(INDEX([1]Pivot!$AD$1:$BE$65000,$B1086,P$5)=1,1,IF(INDEX([1]Pivot!$B$1:$AB$65000,$B1086,P$5)="",2,0)),0)</f>
        <v>0</v>
      </c>
      <c r="Q1086" s="194">
        <f>IFERROR(IF(INDEX([1]Pivot!$AD$1:$BE$65000,$B1086,Q$5)=1,1,IF(INDEX([1]Pivot!$B$1:$AB$65000,$B1086,Q$5)="",2,0)),0)</f>
        <v>0</v>
      </c>
      <c r="R1086" s="312"/>
      <c r="S1086" s="194">
        <f>IFERROR(IF(INDEX([1]Pivot!$AD$1:$BE$65000,$B1086,S$5)=1,1,IF(INDEX([1]Pivot!$B$1:$AB$65000,$B1086,S$5)="",2,0)),0)</f>
        <v>0</v>
      </c>
      <c r="T1086" s="194">
        <f>IFERROR(IF(INDEX([1]Pivot!$AD$1:$BE$65000,$B1086,T$5)=1,1,IF(INDEX([1]Pivot!$B$1:$AB$65000,$B1086,T$5)="",2,0)),0)</f>
        <v>0</v>
      </c>
      <c r="U1086" s="194">
        <f>IFERROR(IF(INDEX([1]Pivot!$AD$1:$BE$65000,$B1086,U$5)=1,1,IF(INDEX([1]Pivot!$B$1:$AB$65000,$B1086,U$5)="",2,0)),0)</f>
        <v>0</v>
      </c>
      <c r="V1086" s="194">
        <f>IFERROR(IF(INDEX([1]Pivot!$AD$1:$BE$65000,$B1086,V$5)=1,1,IF(INDEX([1]Pivot!$B$1:$AB$65000,$B1086,V$5)="",2,0)),0)</f>
        <v>0</v>
      </c>
      <c r="W1086" s="194">
        <f>IFERROR(IF(INDEX([1]Pivot!$AD$1:$BE$65000,$B1086,W$5)=1,1,IF(INDEX([1]Pivot!$B$1:$AB$65000,$B1086,W$5)="",2,0)),0)</f>
        <v>0</v>
      </c>
      <c r="X1086" s="194">
        <f>IFERROR(IF(INDEX([1]Pivot!$AD$1:$BE$65000,$B1086,X$5)=1,1,IF(INDEX([1]Pivot!$B$1:$AB$65000,$B1086,X$5)="",2,0)),0)</f>
        <v>0</v>
      </c>
      <c r="Y1086" s="194">
        <f>IFERROR(IF(INDEX([1]Pivot!$AD$1:$BE$65000,$B1086,Y$5)=1,1,IF(INDEX([1]Pivot!$B$1:$AB$65000,$B1086,Y$5)="",2,0)),0)</f>
        <v>0</v>
      </c>
      <c r="Z1086" s="194">
        <f>IFERROR(IF(INDEX([1]Pivot!$AD$1:$BE$65000,$B1086,Z$5)=1,1,IF(INDEX([1]Pivot!$B$1:$AB$65000,$B1086,Z$5)="",2,0)),0)</f>
        <v>0</v>
      </c>
      <c r="AA1086" s="194">
        <f>IFERROR(IF(INDEX([1]Pivot!$AD$1:$BE$65000,$B1086,AA$5)=1,1,IF(INDEX([1]Pivot!$B$1:$AB$65000,$B1086,AA$5)="",2,0)),0)</f>
        <v>0</v>
      </c>
      <c r="AB1086" s="194">
        <f>IFERROR(IF(INDEX([1]Pivot!$AD$1:$BE$65000,$B1086,AB$5)=1,1,IF(INDEX([1]Pivot!$B$1:$AB$65000,$B1086,AB$5)="",2,0)),0)</f>
        <v>0</v>
      </c>
      <c r="AC1086" s="194">
        <f>IFERROR(IF(INDEX([1]Pivot!$AD$1:$BE$65000,$B1086,AC$5)=1,1,IF(INDEX([1]Pivot!$B$1:$AB$65000,$B1086,AC$5)="",2,0)),0)</f>
        <v>0</v>
      </c>
      <c r="AD1086" s="313">
        <f>IFERROR(IF(INDEX([1]Pivot!$BF$1:$CG$65000,$B1086,AD$5)=1,1,IF(INDEX([1]Pivot!$B$1:$AB$65000,$B1086,AD$5)="",2,0)),0)</f>
        <v>0</v>
      </c>
      <c r="AE1086" s="313">
        <f>IFERROR(IF(INDEX([1]Pivot!$BF$1:$CG$65000,$B1086,AE$5)=1,1,IF(INDEX([1]Pivot!$B$1:$AB$65000,$B1086,AE$5)="",2,0)),0)</f>
        <v>0</v>
      </c>
      <c r="AF1086" s="313">
        <f>IFERROR(IF(INDEX([1]Pivot!$BF$1:$CG$65000,$B1086,AF$5)=1,1,IF(INDEX([1]Pivot!$B$1:$AB$65000,$B1086,AF$5)="",2,0)),0)</f>
        <v>0</v>
      </c>
      <c r="AG1086" s="313">
        <f>IFERROR(IF(INDEX([1]Pivot!$BF$1:$CG$65000,$B1086,AG$5)=1,1,IF(INDEX([1]Pivot!$B$1:$AB$65000,$B1086,AG$5)="",2,0)),0)</f>
        <v>0</v>
      </c>
      <c r="AH1086" s="313">
        <f>IFERROR(IF(INDEX([1]Pivot!$BF$1:$CG$65000,$B1086,AH$5)=1,1,IF(INDEX([1]Pivot!$B$1:$AB$65000,$B1086,AH$5)="",2,0)),0)</f>
        <v>0</v>
      </c>
      <c r="AI1086" s="313">
        <f>IFERROR(IF(INDEX([1]Pivot!$BF$1:$CG$65000,$B1086,AI$5)=1,1,IF(INDEX([1]Pivot!$B$1:$AB$65000,$B1086,AI$5)="",2,0)),0)</f>
        <v>0</v>
      </c>
      <c r="AJ1086" s="313">
        <f>IFERROR(IF(INDEX([1]Pivot!$BF$1:$CG$65000,$B1086,AJ$5)=1,1,IF(INDEX([1]Pivot!$B$1:$AB$65000,$B1086,AJ$5)="",2,0)),0)</f>
        <v>0</v>
      </c>
      <c r="AK1086" s="313">
        <f>IFERROR(IF(INDEX([1]Pivot!$BF$1:$CG$65000,$B1086,AK$5)=1,1,IF(INDEX([1]Pivot!$B$1:$AB$65000,$B1086,AK$5)="",2,0)),0)</f>
        <v>0</v>
      </c>
      <c r="AL1086" s="313">
        <f>IFERROR(IF(INDEX([1]Pivot!$BF$1:$CG$65000,$B1086,AL$5)=1,1,IF(INDEX([1]Pivot!$B$1:$AB$65000,$B1086,AL$5)="",2,0)),0)</f>
        <v>0</v>
      </c>
      <c r="AM1086" s="313">
        <f>IFERROR(IF(INDEX([1]Pivot!$BF$1:$CG$65000,$B1086,AM$5)=1,1,IF(INDEX([1]Pivot!$B$1:$AB$65000,$B1086,AM$5)="",2,0)),0)</f>
        <v>0</v>
      </c>
      <c r="AN1086" s="313">
        <f>IFERROR(IF(INDEX([1]Pivot!$BF$1:$CG$65000,$B1086,AN$5)=1,1,IF(INDEX([1]Pivot!$B$1:$AB$65000,$B1086,AN$5)="",2,0)),0)</f>
        <v>0</v>
      </c>
      <c r="AO1086" s="313">
        <f>IFERROR(IF(INDEX([1]Pivot!$BF$1:$CG$65000,$B1086,AO$5)=1,1,IF(INDEX([1]Pivot!$B$1:$AB$65000,$B1086,AO$5)="",2,0)),0)</f>
        <v>0</v>
      </c>
      <c r="AP1086" s="313">
        <f>IFERROR(IF(INDEX([1]Pivot!$BF$1:$CG$65000,$B1086,AP$5)=1,1,IF(INDEX([1]Pivot!$B$1:$AB$65000,$B1086,AP$5)="",2,0)),0)</f>
        <v>0</v>
      </c>
      <c r="AQ1086" s="313">
        <f>IFERROR(IF(INDEX([1]Pivot!$BF$1:$CG$65000,$B1086,AQ$5)=1,1,IF(INDEX([1]Pivot!$B$1:$AB$65000,$B1086,AQ$5)="",2,0)),0)</f>
        <v>0</v>
      </c>
      <c r="AR1086" s="313">
        <f>IFERROR(IF(INDEX([1]Pivot!$BF$1:$CG$65000,$B1086,AR$5)=1,1,IF(INDEX([1]Pivot!$B$1:$AB$65000,$B1086,AR$5)="",2,0)),0)</f>
        <v>0</v>
      </c>
      <c r="AS1086" s="312"/>
      <c r="AT1086" s="313">
        <f>IFERROR(IF(INDEX([1]Pivot!$BF$1:$CG$65000,$B1086,AT$5)=1,1,IF(INDEX([1]Pivot!$B$1:$AB$65000,$B1086,AT$5)="",2,0)),0)</f>
        <v>0</v>
      </c>
      <c r="AU1086" s="313">
        <f>IFERROR(IF(INDEX([1]Pivot!$BF$1:$CG$65000,$B1086,AU$5)=1,1,IF(INDEX([1]Pivot!$B$1:$AB$65000,$B1086,AU$5)="",2,0)),0)</f>
        <v>0</v>
      </c>
      <c r="AV1086" s="313">
        <f>IFERROR(IF(INDEX([1]Pivot!$BF$1:$CG$65000,$B1086,AV$5)=1,1,IF(INDEX([1]Pivot!$B$1:$AB$65000,$B1086,AV$5)="",2,0)),0)</f>
        <v>0</v>
      </c>
      <c r="AW1086" s="313">
        <f>IFERROR(IF(INDEX([1]Pivot!$BF$1:$CG$65000,$B1086,AW$5)=1,1,IF(INDEX([1]Pivot!$B$1:$AB$65000,$B1086,AW$5)="",2,0)),0)</f>
        <v>0</v>
      </c>
      <c r="AX1086" s="313">
        <f>IFERROR(IF(INDEX([1]Pivot!$BF$1:$CG$65000,$B1086,AX$5)=1,1,IF(INDEX([1]Pivot!$B$1:$AB$65000,$B1086,AX$5)="",2,0)),0)</f>
        <v>0</v>
      </c>
      <c r="AY1086" s="313">
        <f>IFERROR(IF(INDEX([1]Pivot!$BF$1:$CG$65000,$B1086,AY$5)=1,1,IF(INDEX([1]Pivot!$B$1:$AB$65000,$B1086,AY$5)="",2,0)),0)</f>
        <v>0</v>
      </c>
      <c r="AZ1086" s="313">
        <f>IFERROR(IF(INDEX([1]Pivot!$BF$1:$CG$65000,$B1086,AZ$5)=1,1,IF(INDEX([1]Pivot!$B$1:$AB$65000,$B1086,AZ$5)="",2,0)),0)</f>
        <v>0</v>
      </c>
      <c r="BA1086" s="313">
        <f>IFERROR(IF(INDEX([1]Pivot!$BF$1:$CG$65000,$B1086,BA$5)=1,1,IF(INDEX([1]Pivot!$B$1:$AB$65000,$B1086,BA$5)="",2,0)),0)</f>
        <v>0</v>
      </c>
      <c r="BB1086" s="313">
        <f>IFERROR(IF(INDEX([1]Pivot!$BF$1:$CG$65000,$B1086,BB$5)=1,1,IF(INDEX([1]Pivot!$B$1:$AB$65000,$B1086,BB$5)="",2,0)),0)</f>
        <v>0</v>
      </c>
      <c r="BC1086" s="313">
        <f>IFERROR(IF(INDEX([1]Pivot!$BF$1:$CG$65000,$B1086,BC$5)=1,1,IF(INDEX([1]Pivot!$B$1:$AB$65000,$B1086,BC$5)="",2,0)),0)</f>
        <v>0</v>
      </c>
      <c r="BD1086" s="313">
        <f>IFERROR(IF(INDEX([1]Pivot!$BF$1:$CG$65000,$B1086,BD$5)=1,1,IF(INDEX([1]Pivot!$B$1:$AB$65000,$B1086,BD$5)="",2,0)),0)</f>
        <v>0</v>
      </c>
    </row>
    <row r="1087" spans="1:56" x14ac:dyDescent="0.25">
      <c r="A1087" s="288">
        <f>'[2]Raw Milk Prices'!A1087</f>
        <v>0</v>
      </c>
      <c r="B1087" s="296" t="e">
        <f>MATCH(DATE(LEFT('[2]Raw Milk Prices'!$A1087,4),RIGHT('[2]Raw Milk Prices'!$A1087,2),1),[1]Pivot!$A$1:$A$65000,0)</f>
        <v>#VALUE!</v>
      </c>
      <c r="C1087" s="194">
        <f>IFERROR(IF(INDEX([1]Pivot!$AD$1:$BE$65000,$B1087,C$5)=1,1,IF(INDEX([1]Pivot!$B$1:$AB$65000,$B1087,C$5)="",2,0)),0)</f>
        <v>0</v>
      </c>
      <c r="D1087" s="194">
        <f>IFERROR(IF(INDEX([1]Pivot!$AD$1:$BE$65000,$B1087,D$5)=1,1,IF(INDEX([1]Pivot!$B$1:$AB$65000,$B1087,D$5)="",2,0)),0)</f>
        <v>0</v>
      </c>
      <c r="E1087" s="194">
        <f>IFERROR(IF(INDEX([1]Pivot!$AD$1:$BE$65000,$B1087,E$5)=1,1,IF(INDEX([1]Pivot!$B$1:$AB$65000,$B1087,E$5)="",2,0)),0)</f>
        <v>0</v>
      </c>
      <c r="F1087" s="194">
        <f>IFERROR(IF(INDEX([1]Pivot!$AD$1:$BE$65000,$B1087,F$5)=1,1,IF(INDEX([1]Pivot!$B$1:$AB$65000,$B1087,F$5)="",2,0)),0)</f>
        <v>0</v>
      </c>
      <c r="G1087" s="194">
        <f>IFERROR(IF(INDEX([1]Pivot!$AD$1:$BE$65000,$B1087,G$5)=1,1,IF(INDEX([1]Pivot!$B$1:$AB$65000,$B1087,G$5)="",2,0)),0)</f>
        <v>0</v>
      </c>
      <c r="H1087" s="194">
        <f>IFERROR(IF(INDEX([1]Pivot!$AD$1:$BE$65000,$B1087,H$5)=1,1,IF(INDEX([1]Pivot!$B$1:$AB$65000,$B1087,H$5)="",2,0)),0)</f>
        <v>0</v>
      </c>
      <c r="I1087" s="194">
        <f>IFERROR(IF(INDEX([1]Pivot!$AD$1:$BE$65000,$B1087,I$5)=1,1,IF(INDEX([1]Pivot!$B$1:$AB$65000,$B1087,I$5)="",2,0)),0)</f>
        <v>0</v>
      </c>
      <c r="J1087" s="194">
        <f>IFERROR(IF(INDEX([1]Pivot!$AD$1:$BE$65000,$B1087,J$5)=1,1,IF(INDEX([1]Pivot!$B$1:$AB$65000,$B1087,J$5)="",2,0)),0)</f>
        <v>0</v>
      </c>
      <c r="K1087" s="194">
        <f>IFERROR(IF(INDEX([1]Pivot!$AD$1:$BE$65000,$B1087,K$5)=1,1,IF(INDEX([1]Pivot!$B$1:$AB$65000,$B1087,K$5)="",2,0)),0)</f>
        <v>0</v>
      </c>
      <c r="L1087" s="194">
        <f>IFERROR(IF(INDEX([1]Pivot!$AD$1:$BE$65000,$B1087,L$5)=1,1,IF(INDEX([1]Pivot!$B$1:$AB$65000,$B1087,L$5)="",2,0)),0)</f>
        <v>0</v>
      </c>
      <c r="M1087" s="194">
        <f>IFERROR(IF(INDEX([1]Pivot!$AD$1:$BE$65000,$B1087,M$5)=1,1,IF(INDEX([1]Pivot!$B$1:$AB$65000,$B1087,M$5)="",2,0)),0)</f>
        <v>0</v>
      </c>
      <c r="N1087" s="194">
        <f>IFERROR(IF(INDEX([1]Pivot!$AD$1:$BE$65000,$B1087,N$5)=1,1,IF(INDEX([1]Pivot!$B$1:$AB$65000,$B1087,N$5)="",2,0)),0)</f>
        <v>0</v>
      </c>
      <c r="O1087" s="194">
        <f>IFERROR(IF(INDEX([1]Pivot!$AD$1:$BE$65000,$B1087,O$5)=1,1,IF(INDEX([1]Pivot!$B$1:$AB$65000,$B1087,O$5)="",2,0)),0)</f>
        <v>0</v>
      </c>
      <c r="P1087" s="194">
        <f>IFERROR(IF(INDEX([1]Pivot!$AD$1:$BE$65000,$B1087,P$5)=1,1,IF(INDEX([1]Pivot!$B$1:$AB$65000,$B1087,P$5)="",2,0)),0)</f>
        <v>0</v>
      </c>
      <c r="Q1087" s="194">
        <f>IFERROR(IF(INDEX([1]Pivot!$AD$1:$BE$65000,$B1087,Q$5)=1,1,IF(INDEX([1]Pivot!$B$1:$AB$65000,$B1087,Q$5)="",2,0)),0)</f>
        <v>0</v>
      </c>
      <c r="R1087" s="312"/>
      <c r="S1087" s="194">
        <f>IFERROR(IF(INDEX([1]Pivot!$AD$1:$BE$65000,$B1087,S$5)=1,1,IF(INDEX([1]Pivot!$B$1:$AB$65000,$B1087,S$5)="",2,0)),0)</f>
        <v>0</v>
      </c>
      <c r="T1087" s="194">
        <f>IFERROR(IF(INDEX([1]Pivot!$AD$1:$BE$65000,$B1087,T$5)=1,1,IF(INDEX([1]Pivot!$B$1:$AB$65000,$B1087,T$5)="",2,0)),0)</f>
        <v>0</v>
      </c>
      <c r="U1087" s="194">
        <f>IFERROR(IF(INDEX([1]Pivot!$AD$1:$BE$65000,$B1087,U$5)=1,1,IF(INDEX([1]Pivot!$B$1:$AB$65000,$B1087,U$5)="",2,0)),0)</f>
        <v>0</v>
      </c>
      <c r="V1087" s="194">
        <f>IFERROR(IF(INDEX([1]Pivot!$AD$1:$BE$65000,$B1087,V$5)=1,1,IF(INDEX([1]Pivot!$B$1:$AB$65000,$B1087,V$5)="",2,0)),0)</f>
        <v>0</v>
      </c>
      <c r="W1087" s="194">
        <f>IFERROR(IF(INDEX([1]Pivot!$AD$1:$BE$65000,$B1087,W$5)=1,1,IF(INDEX([1]Pivot!$B$1:$AB$65000,$B1087,W$5)="",2,0)),0)</f>
        <v>0</v>
      </c>
      <c r="X1087" s="194">
        <f>IFERROR(IF(INDEX([1]Pivot!$AD$1:$BE$65000,$B1087,X$5)=1,1,IF(INDEX([1]Pivot!$B$1:$AB$65000,$B1087,X$5)="",2,0)),0)</f>
        <v>0</v>
      </c>
      <c r="Y1087" s="194">
        <f>IFERROR(IF(INDEX([1]Pivot!$AD$1:$BE$65000,$B1087,Y$5)=1,1,IF(INDEX([1]Pivot!$B$1:$AB$65000,$B1087,Y$5)="",2,0)),0)</f>
        <v>0</v>
      </c>
      <c r="Z1087" s="194">
        <f>IFERROR(IF(INDEX([1]Pivot!$AD$1:$BE$65000,$B1087,Z$5)=1,1,IF(INDEX([1]Pivot!$B$1:$AB$65000,$B1087,Z$5)="",2,0)),0)</f>
        <v>0</v>
      </c>
      <c r="AA1087" s="194">
        <f>IFERROR(IF(INDEX([1]Pivot!$AD$1:$BE$65000,$B1087,AA$5)=1,1,IF(INDEX([1]Pivot!$B$1:$AB$65000,$B1087,AA$5)="",2,0)),0)</f>
        <v>0</v>
      </c>
      <c r="AB1087" s="194">
        <f>IFERROR(IF(INDEX([1]Pivot!$AD$1:$BE$65000,$B1087,AB$5)=1,1,IF(INDEX([1]Pivot!$B$1:$AB$65000,$B1087,AB$5)="",2,0)),0)</f>
        <v>0</v>
      </c>
      <c r="AC1087" s="194">
        <f>IFERROR(IF(INDEX([1]Pivot!$AD$1:$BE$65000,$B1087,AC$5)=1,1,IF(INDEX([1]Pivot!$B$1:$AB$65000,$B1087,AC$5)="",2,0)),0)</f>
        <v>0</v>
      </c>
      <c r="AD1087" s="313">
        <f>IFERROR(IF(INDEX([1]Pivot!$BF$1:$CG$65000,$B1087,AD$5)=1,1,IF(INDEX([1]Pivot!$B$1:$AB$65000,$B1087,AD$5)="",2,0)),0)</f>
        <v>0</v>
      </c>
      <c r="AE1087" s="313">
        <f>IFERROR(IF(INDEX([1]Pivot!$BF$1:$CG$65000,$B1087,AE$5)=1,1,IF(INDEX([1]Pivot!$B$1:$AB$65000,$B1087,AE$5)="",2,0)),0)</f>
        <v>0</v>
      </c>
      <c r="AF1087" s="313">
        <f>IFERROR(IF(INDEX([1]Pivot!$BF$1:$CG$65000,$B1087,AF$5)=1,1,IF(INDEX([1]Pivot!$B$1:$AB$65000,$B1087,AF$5)="",2,0)),0)</f>
        <v>0</v>
      </c>
      <c r="AG1087" s="313">
        <f>IFERROR(IF(INDEX([1]Pivot!$BF$1:$CG$65000,$B1087,AG$5)=1,1,IF(INDEX([1]Pivot!$B$1:$AB$65000,$B1087,AG$5)="",2,0)),0)</f>
        <v>0</v>
      </c>
      <c r="AH1087" s="313">
        <f>IFERROR(IF(INDEX([1]Pivot!$BF$1:$CG$65000,$B1087,AH$5)=1,1,IF(INDEX([1]Pivot!$B$1:$AB$65000,$B1087,AH$5)="",2,0)),0)</f>
        <v>0</v>
      </c>
      <c r="AI1087" s="313">
        <f>IFERROR(IF(INDEX([1]Pivot!$BF$1:$CG$65000,$B1087,AI$5)=1,1,IF(INDEX([1]Pivot!$B$1:$AB$65000,$B1087,AI$5)="",2,0)),0)</f>
        <v>0</v>
      </c>
      <c r="AJ1087" s="313">
        <f>IFERROR(IF(INDEX([1]Pivot!$BF$1:$CG$65000,$B1087,AJ$5)=1,1,IF(INDEX([1]Pivot!$B$1:$AB$65000,$B1087,AJ$5)="",2,0)),0)</f>
        <v>0</v>
      </c>
      <c r="AK1087" s="313">
        <f>IFERROR(IF(INDEX([1]Pivot!$BF$1:$CG$65000,$B1087,AK$5)=1,1,IF(INDEX([1]Pivot!$B$1:$AB$65000,$B1087,AK$5)="",2,0)),0)</f>
        <v>0</v>
      </c>
      <c r="AL1087" s="313">
        <f>IFERROR(IF(INDEX([1]Pivot!$BF$1:$CG$65000,$B1087,AL$5)=1,1,IF(INDEX([1]Pivot!$B$1:$AB$65000,$B1087,AL$5)="",2,0)),0)</f>
        <v>0</v>
      </c>
      <c r="AM1087" s="313">
        <f>IFERROR(IF(INDEX([1]Pivot!$BF$1:$CG$65000,$B1087,AM$5)=1,1,IF(INDEX([1]Pivot!$B$1:$AB$65000,$B1087,AM$5)="",2,0)),0)</f>
        <v>0</v>
      </c>
      <c r="AN1087" s="313">
        <f>IFERROR(IF(INDEX([1]Pivot!$BF$1:$CG$65000,$B1087,AN$5)=1,1,IF(INDEX([1]Pivot!$B$1:$AB$65000,$B1087,AN$5)="",2,0)),0)</f>
        <v>0</v>
      </c>
      <c r="AO1087" s="313">
        <f>IFERROR(IF(INDEX([1]Pivot!$BF$1:$CG$65000,$B1087,AO$5)=1,1,IF(INDEX([1]Pivot!$B$1:$AB$65000,$B1087,AO$5)="",2,0)),0)</f>
        <v>0</v>
      </c>
      <c r="AP1087" s="313">
        <f>IFERROR(IF(INDEX([1]Pivot!$BF$1:$CG$65000,$B1087,AP$5)=1,1,IF(INDEX([1]Pivot!$B$1:$AB$65000,$B1087,AP$5)="",2,0)),0)</f>
        <v>0</v>
      </c>
      <c r="AQ1087" s="313">
        <f>IFERROR(IF(INDEX([1]Pivot!$BF$1:$CG$65000,$B1087,AQ$5)=1,1,IF(INDEX([1]Pivot!$B$1:$AB$65000,$B1087,AQ$5)="",2,0)),0)</f>
        <v>0</v>
      </c>
      <c r="AR1087" s="313">
        <f>IFERROR(IF(INDEX([1]Pivot!$BF$1:$CG$65000,$B1087,AR$5)=1,1,IF(INDEX([1]Pivot!$B$1:$AB$65000,$B1087,AR$5)="",2,0)),0)</f>
        <v>0</v>
      </c>
      <c r="AS1087" s="312"/>
      <c r="AT1087" s="313">
        <f>IFERROR(IF(INDEX([1]Pivot!$BF$1:$CG$65000,$B1087,AT$5)=1,1,IF(INDEX([1]Pivot!$B$1:$AB$65000,$B1087,AT$5)="",2,0)),0)</f>
        <v>0</v>
      </c>
      <c r="AU1087" s="313">
        <f>IFERROR(IF(INDEX([1]Pivot!$BF$1:$CG$65000,$B1087,AU$5)=1,1,IF(INDEX([1]Pivot!$B$1:$AB$65000,$B1087,AU$5)="",2,0)),0)</f>
        <v>0</v>
      </c>
      <c r="AV1087" s="313">
        <f>IFERROR(IF(INDEX([1]Pivot!$BF$1:$CG$65000,$B1087,AV$5)=1,1,IF(INDEX([1]Pivot!$B$1:$AB$65000,$B1087,AV$5)="",2,0)),0)</f>
        <v>0</v>
      </c>
      <c r="AW1087" s="313">
        <f>IFERROR(IF(INDEX([1]Pivot!$BF$1:$CG$65000,$B1087,AW$5)=1,1,IF(INDEX([1]Pivot!$B$1:$AB$65000,$B1087,AW$5)="",2,0)),0)</f>
        <v>0</v>
      </c>
      <c r="AX1087" s="313">
        <f>IFERROR(IF(INDEX([1]Pivot!$BF$1:$CG$65000,$B1087,AX$5)=1,1,IF(INDEX([1]Pivot!$B$1:$AB$65000,$B1087,AX$5)="",2,0)),0)</f>
        <v>0</v>
      </c>
      <c r="AY1087" s="313">
        <f>IFERROR(IF(INDEX([1]Pivot!$BF$1:$CG$65000,$B1087,AY$5)=1,1,IF(INDEX([1]Pivot!$B$1:$AB$65000,$B1087,AY$5)="",2,0)),0)</f>
        <v>0</v>
      </c>
      <c r="AZ1087" s="313">
        <f>IFERROR(IF(INDEX([1]Pivot!$BF$1:$CG$65000,$B1087,AZ$5)=1,1,IF(INDEX([1]Pivot!$B$1:$AB$65000,$B1087,AZ$5)="",2,0)),0)</f>
        <v>0</v>
      </c>
      <c r="BA1087" s="313">
        <f>IFERROR(IF(INDEX([1]Pivot!$BF$1:$CG$65000,$B1087,BA$5)=1,1,IF(INDEX([1]Pivot!$B$1:$AB$65000,$B1087,BA$5)="",2,0)),0)</f>
        <v>0</v>
      </c>
      <c r="BB1087" s="313">
        <f>IFERROR(IF(INDEX([1]Pivot!$BF$1:$CG$65000,$B1087,BB$5)=1,1,IF(INDEX([1]Pivot!$B$1:$AB$65000,$B1087,BB$5)="",2,0)),0)</f>
        <v>0</v>
      </c>
      <c r="BC1087" s="313">
        <f>IFERROR(IF(INDEX([1]Pivot!$BF$1:$CG$65000,$B1087,BC$5)=1,1,IF(INDEX([1]Pivot!$B$1:$AB$65000,$B1087,BC$5)="",2,0)),0)</f>
        <v>0</v>
      </c>
      <c r="BD1087" s="313">
        <f>IFERROR(IF(INDEX([1]Pivot!$BF$1:$CG$65000,$B1087,BD$5)=1,1,IF(INDEX([1]Pivot!$B$1:$AB$65000,$B1087,BD$5)="",2,0)),0)</f>
        <v>0</v>
      </c>
    </row>
    <row r="1088" spans="1:56" x14ac:dyDescent="0.25">
      <c r="A1088" s="288">
        <f>'[2]Raw Milk Prices'!A1088</f>
        <v>0</v>
      </c>
      <c r="B1088" s="296" t="e">
        <f>MATCH(DATE(LEFT('[2]Raw Milk Prices'!$A1088,4),RIGHT('[2]Raw Milk Prices'!$A1088,2),1),[1]Pivot!$A$1:$A$65000,0)</f>
        <v>#VALUE!</v>
      </c>
      <c r="C1088" s="194">
        <f>IFERROR(IF(INDEX([1]Pivot!$AD$1:$BE$65000,$B1088,C$5)=1,1,IF(INDEX([1]Pivot!$B$1:$AB$65000,$B1088,C$5)="",2,0)),0)</f>
        <v>0</v>
      </c>
      <c r="D1088" s="194">
        <f>IFERROR(IF(INDEX([1]Pivot!$AD$1:$BE$65000,$B1088,D$5)=1,1,IF(INDEX([1]Pivot!$B$1:$AB$65000,$B1088,D$5)="",2,0)),0)</f>
        <v>0</v>
      </c>
      <c r="E1088" s="194">
        <f>IFERROR(IF(INDEX([1]Pivot!$AD$1:$BE$65000,$B1088,E$5)=1,1,IF(INDEX([1]Pivot!$B$1:$AB$65000,$B1088,E$5)="",2,0)),0)</f>
        <v>0</v>
      </c>
      <c r="F1088" s="194">
        <f>IFERROR(IF(INDEX([1]Pivot!$AD$1:$BE$65000,$B1088,F$5)=1,1,IF(INDEX([1]Pivot!$B$1:$AB$65000,$B1088,F$5)="",2,0)),0)</f>
        <v>0</v>
      </c>
      <c r="G1088" s="194">
        <f>IFERROR(IF(INDEX([1]Pivot!$AD$1:$BE$65000,$B1088,G$5)=1,1,IF(INDEX([1]Pivot!$B$1:$AB$65000,$B1088,G$5)="",2,0)),0)</f>
        <v>0</v>
      </c>
      <c r="H1088" s="194">
        <f>IFERROR(IF(INDEX([1]Pivot!$AD$1:$BE$65000,$B1088,H$5)=1,1,IF(INDEX([1]Pivot!$B$1:$AB$65000,$B1088,H$5)="",2,0)),0)</f>
        <v>0</v>
      </c>
      <c r="I1088" s="194">
        <f>IFERROR(IF(INDEX([1]Pivot!$AD$1:$BE$65000,$B1088,I$5)=1,1,IF(INDEX([1]Pivot!$B$1:$AB$65000,$B1088,I$5)="",2,0)),0)</f>
        <v>0</v>
      </c>
      <c r="J1088" s="194">
        <f>IFERROR(IF(INDEX([1]Pivot!$AD$1:$BE$65000,$B1088,J$5)=1,1,IF(INDEX([1]Pivot!$B$1:$AB$65000,$B1088,J$5)="",2,0)),0)</f>
        <v>0</v>
      </c>
      <c r="K1088" s="194">
        <f>IFERROR(IF(INDEX([1]Pivot!$AD$1:$BE$65000,$B1088,K$5)=1,1,IF(INDEX([1]Pivot!$B$1:$AB$65000,$B1088,K$5)="",2,0)),0)</f>
        <v>0</v>
      </c>
      <c r="L1088" s="194">
        <f>IFERROR(IF(INDEX([1]Pivot!$AD$1:$BE$65000,$B1088,L$5)=1,1,IF(INDEX([1]Pivot!$B$1:$AB$65000,$B1088,L$5)="",2,0)),0)</f>
        <v>0</v>
      </c>
      <c r="M1088" s="194">
        <f>IFERROR(IF(INDEX([1]Pivot!$AD$1:$BE$65000,$B1088,M$5)=1,1,IF(INDEX([1]Pivot!$B$1:$AB$65000,$B1088,M$5)="",2,0)),0)</f>
        <v>0</v>
      </c>
      <c r="N1088" s="194">
        <f>IFERROR(IF(INDEX([1]Pivot!$AD$1:$BE$65000,$B1088,N$5)=1,1,IF(INDEX([1]Pivot!$B$1:$AB$65000,$B1088,N$5)="",2,0)),0)</f>
        <v>0</v>
      </c>
      <c r="O1088" s="194">
        <f>IFERROR(IF(INDEX([1]Pivot!$AD$1:$BE$65000,$B1088,O$5)=1,1,IF(INDEX([1]Pivot!$B$1:$AB$65000,$B1088,O$5)="",2,0)),0)</f>
        <v>0</v>
      </c>
      <c r="P1088" s="194">
        <f>IFERROR(IF(INDEX([1]Pivot!$AD$1:$BE$65000,$B1088,P$5)=1,1,IF(INDEX([1]Pivot!$B$1:$AB$65000,$B1088,P$5)="",2,0)),0)</f>
        <v>0</v>
      </c>
      <c r="Q1088" s="194">
        <f>IFERROR(IF(INDEX([1]Pivot!$AD$1:$BE$65000,$B1088,Q$5)=1,1,IF(INDEX([1]Pivot!$B$1:$AB$65000,$B1088,Q$5)="",2,0)),0)</f>
        <v>0</v>
      </c>
      <c r="R1088" s="312"/>
      <c r="S1088" s="194">
        <f>IFERROR(IF(INDEX([1]Pivot!$AD$1:$BE$65000,$B1088,S$5)=1,1,IF(INDEX([1]Pivot!$B$1:$AB$65000,$B1088,S$5)="",2,0)),0)</f>
        <v>0</v>
      </c>
      <c r="T1088" s="194">
        <f>IFERROR(IF(INDEX([1]Pivot!$AD$1:$BE$65000,$B1088,T$5)=1,1,IF(INDEX([1]Pivot!$B$1:$AB$65000,$B1088,T$5)="",2,0)),0)</f>
        <v>0</v>
      </c>
      <c r="U1088" s="194">
        <f>IFERROR(IF(INDEX([1]Pivot!$AD$1:$BE$65000,$B1088,U$5)=1,1,IF(INDEX([1]Pivot!$B$1:$AB$65000,$B1088,U$5)="",2,0)),0)</f>
        <v>0</v>
      </c>
      <c r="V1088" s="194">
        <f>IFERROR(IF(INDEX([1]Pivot!$AD$1:$BE$65000,$B1088,V$5)=1,1,IF(INDEX([1]Pivot!$B$1:$AB$65000,$B1088,V$5)="",2,0)),0)</f>
        <v>0</v>
      </c>
      <c r="W1088" s="194">
        <f>IFERROR(IF(INDEX([1]Pivot!$AD$1:$BE$65000,$B1088,W$5)=1,1,IF(INDEX([1]Pivot!$B$1:$AB$65000,$B1088,W$5)="",2,0)),0)</f>
        <v>0</v>
      </c>
      <c r="X1088" s="194">
        <f>IFERROR(IF(INDEX([1]Pivot!$AD$1:$BE$65000,$B1088,X$5)=1,1,IF(INDEX([1]Pivot!$B$1:$AB$65000,$B1088,X$5)="",2,0)),0)</f>
        <v>0</v>
      </c>
      <c r="Y1088" s="194">
        <f>IFERROR(IF(INDEX([1]Pivot!$AD$1:$BE$65000,$B1088,Y$5)=1,1,IF(INDEX([1]Pivot!$B$1:$AB$65000,$B1088,Y$5)="",2,0)),0)</f>
        <v>0</v>
      </c>
      <c r="Z1088" s="194">
        <f>IFERROR(IF(INDEX([1]Pivot!$AD$1:$BE$65000,$B1088,Z$5)=1,1,IF(INDEX([1]Pivot!$B$1:$AB$65000,$B1088,Z$5)="",2,0)),0)</f>
        <v>0</v>
      </c>
      <c r="AA1088" s="194">
        <f>IFERROR(IF(INDEX([1]Pivot!$AD$1:$BE$65000,$B1088,AA$5)=1,1,IF(INDEX([1]Pivot!$B$1:$AB$65000,$B1088,AA$5)="",2,0)),0)</f>
        <v>0</v>
      </c>
      <c r="AB1088" s="194">
        <f>IFERROR(IF(INDEX([1]Pivot!$AD$1:$BE$65000,$B1088,AB$5)=1,1,IF(INDEX([1]Pivot!$B$1:$AB$65000,$B1088,AB$5)="",2,0)),0)</f>
        <v>0</v>
      </c>
      <c r="AC1088" s="194">
        <f>IFERROR(IF(INDEX([1]Pivot!$AD$1:$BE$65000,$B1088,AC$5)=1,1,IF(INDEX([1]Pivot!$B$1:$AB$65000,$B1088,AC$5)="",2,0)),0)</f>
        <v>0</v>
      </c>
      <c r="AD1088" s="313">
        <f>IFERROR(IF(INDEX([1]Pivot!$BF$1:$CG$65000,$B1088,AD$5)=1,1,IF(INDEX([1]Pivot!$B$1:$AB$65000,$B1088,AD$5)="",2,0)),0)</f>
        <v>0</v>
      </c>
      <c r="AE1088" s="313">
        <f>IFERROR(IF(INDEX([1]Pivot!$BF$1:$CG$65000,$B1088,AE$5)=1,1,IF(INDEX([1]Pivot!$B$1:$AB$65000,$B1088,AE$5)="",2,0)),0)</f>
        <v>0</v>
      </c>
      <c r="AF1088" s="313">
        <f>IFERROR(IF(INDEX([1]Pivot!$BF$1:$CG$65000,$B1088,AF$5)=1,1,IF(INDEX([1]Pivot!$B$1:$AB$65000,$B1088,AF$5)="",2,0)),0)</f>
        <v>0</v>
      </c>
      <c r="AG1088" s="313">
        <f>IFERROR(IF(INDEX([1]Pivot!$BF$1:$CG$65000,$B1088,AG$5)=1,1,IF(INDEX([1]Pivot!$B$1:$AB$65000,$B1088,AG$5)="",2,0)),0)</f>
        <v>0</v>
      </c>
      <c r="AH1088" s="313">
        <f>IFERROR(IF(INDEX([1]Pivot!$BF$1:$CG$65000,$B1088,AH$5)=1,1,IF(INDEX([1]Pivot!$B$1:$AB$65000,$B1088,AH$5)="",2,0)),0)</f>
        <v>0</v>
      </c>
      <c r="AI1088" s="313">
        <f>IFERROR(IF(INDEX([1]Pivot!$BF$1:$CG$65000,$B1088,AI$5)=1,1,IF(INDEX([1]Pivot!$B$1:$AB$65000,$B1088,AI$5)="",2,0)),0)</f>
        <v>0</v>
      </c>
      <c r="AJ1088" s="313">
        <f>IFERROR(IF(INDEX([1]Pivot!$BF$1:$CG$65000,$B1088,AJ$5)=1,1,IF(INDEX([1]Pivot!$B$1:$AB$65000,$B1088,AJ$5)="",2,0)),0)</f>
        <v>0</v>
      </c>
      <c r="AK1088" s="313">
        <f>IFERROR(IF(INDEX([1]Pivot!$BF$1:$CG$65000,$B1088,AK$5)=1,1,IF(INDEX([1]Pivot!$B$1:$AB$65000,$B1088,AK$5)="",2,0)),0)</f>
        <v>0</v>
      </c>
      <c r="AL1088" s="313">
        <f>IFERROR(IF(INDEX([1]Pivot!$BF$1:$CG$65000,$B1088,AL$5)=1,1,IF(INDEX([1]Pivot!$B$1:$AB$65000,$B1088,AL$5)="",2,0)),0)</f>
        <v>0</v>
      </c>
      <c r="AM1088" s="313">
        <f>IFERROR(IF(INDEX([1]Pivot!$BF$1:$CG$65000,$B1088,AM$5)=1,1,IF(INDEX([1]Pivot!$B$1:$AB$65000,$B1088,AM$5)="",2,0)),0)</f>
        <v>0</v>
      </c>
      <c r="AN1088" s="313">
        <f>IFERROR(IF(INDEX([1]Pivot!$BF$1:$CG$65000,$B1088,AN$5)=1,1,IF(INDEX([1]Pivot!$B$1:$AB$65000,$B1088,AN$5)="",2,0)),0)</f>
        <v>0</v>
      </c>
      <c r="AO1088" s="313">
        <f>IFERROR(IF(INDEX([1]Pivot!$BF$1:$CG$65000,$B1088,AO$5)=1,1,IF(INDEX([1]Pivot!$B$1:$AB$65000,$B1088,AO$5)="",2,0)),0)</f>
        <v>0</v>
      </c>
      <c r="AP1088" s="313">
        <f>IFERROR(IF(INDEX([1]Pivot!$BF$1:$CG$65000,$B1088,AP$5)=1,1,IF(INDEX([1]Pivot!$B$1:$AB$65000,$B1088,AP$5)="",2,0)),0)</f>
        <v>0</v>
      </c>
      <c r="AQ1088" s="313">
        <f>IFERROR(IF(INDEX([1]Pivot!$BF$1:$CG$65000,$B1088,AQ$5)=1,1,IF(INDEX([1]Pivot!$B$1:$AB$65000,$B1088,AQ$5)="",2,0)),0)</f>
        <v>0</v>
      </c>
      <c r="AR1088" s="313">
        <f>IFERROR(IF(INDEX([1]Pivot!$BF$1:$CG$65000,$B1088,AR$5)=1,1,IF(INDEX([1]Pivot!$B$1:$AB$65000,$B1088,AR$5)="",2,0)),0)</f>
        <v>0</v>
      </c>
      <c r="AS1088" s="312"/>
      <c r="AT1088" s="313">
        <f>IFERROR(IF(INDEX([1]Pivot!$BF$1:$CG$65000,$B1088,AT$5)=1,1,IF(INDEX([1]Pivot!$B$1:$AB$65000,$B1088,AT$5)="",2,0)),0)</f>
        <v>0</v>
      </c>
      <c r="AU1088" s="313">
        <f>IFERROR(IF(INDEX([1]Pivot!$BF$1:$CG$65000,$B1088,AU$5)=1,1,IF(INDEX([1]Pivot!$B$1:$AB$65000,$B1088,AU$5)="",2,0)),0)</f>
        <v>0</v>
      </c>
      <c r="AV1088" s="313">
        <f>IFERROR(IF(INDEX([1]Pivot!$BF$1:$CG$65000,$B1088,AV$5)=1,1,IF(INDEX([1]Pivot!$B$1:$AB$65000,$B1088,AV$5)="",2,0)),0)</f>
        <v>0</v>
      </c>
      <c r="AW1088" s="313">
        <f>IFERROR(IF(INDEX([1]Pivot!$BF$1:$CG$65000,$B1088,AW$5)=1,1,IF(INDEX([1]Pivot!$B$1:$AB$65000,$B1088,AW$5)="",2,0)),0)</f>
        <v>0</v>
      </c>
      <c r="AX1088" s="313">
        <f>IFERROR(IF(INDEX([1]Pivot!$BF$1:$CG$65000,$B1088,AX$5)=1,1,IF(INDEX([1]Pivot!$B$1:$AB$65000,$B1088,AX$5)="",2,0)),0)</f>
        <v>0</v>
      </c>
      <c r="AY1088" s="313">
        <f>IFERROR(IF(INDEX([1]Pivot!$BF$1:$CG$65000,$B1088,AY$5)=1,1,IF(INDEX([1]Pivot!$B$1:$AB$65000,$B1088,AY$5)="",2,0)),0)</f>
        <v>0</v>
      </c>
      <c r="AZ1088" s="313">
        <f>IFERROR(IF(INDEX([1]Pivot!$BF$1:$CG$65000,$B1088,AZ$5)=1,1,IF(INDEX([1]Pivot!$B$1:$AB$65000,$B1088,AZ$5)="",2,0)),0)</f>
        <v>0</v>
      </c>
      <c r="BA1088" s="313">
        <f>IFERROR(IF(INDEX([1]Pivot!$BF$1:$CG$65000,$B1088,BA$5)=1,1,IF(INDEX([1]Pivot!$B$1:$AB$65000,$B1088,BA$5)="",2,0)),0)</f>
        <v>0</v>
      </c>
      <c r="BB1088" s="313">
        <f>IFERROR(IF(INDEX([1]Pivot!$BF$1:$CG$65000,$B1088,BB$5)=1,1,IF(INDEX([1]Pivot!$B$1:$AB$65000,$B1088,BB$5)="",2,0)),0)</f>
        <v>0</v>
      </c>
      <c r="BC1088" s="313">
        <f>IFERROR(IF(INDEX([1]Pivot!$BF$1:$CG$65000,$B1088,BC$5)=1,1,IF(INDEX([1]Pivot!$B$1:$AB$65000,$B1088,BC$5)="",2,0)),0)</f>
        <v>0</v>
      </c>
      <c r="BD1088" s="313">
        <f>IFERROR(IF(INDEX([1]Pivot!$BF$1:$CG$65000,$B1088,BD$5)=1,1,IF(INDEX([1]Pivot!$B$1:$AB$65000,$B1088,BD$5)="",2,0)),0)</f>
        <v>0</v>
      </c>
    </row>
    <row r="1089" spans="1:56" x14ac:dyDescent="0.25">
      <c r="A1089" s="288">
        <f>'[2]Raw Milk Prices'!A1089</f>
        <v>0</v>
      </c>
      <c r="B1089" s="296" t="e">
        <f>MATCH(DATE(LEFT('[2]Raw Milk Prices'!$A1089,4),RIGHT('[2]Raw Milk Prices'!$A1089,2),1),[1]Pivot!$A$1:$A$65000,0)</f>
        <v>#VALUE!</v>
      </c>
      <c r="C1089" s="194">
        <f>IFERROR(IF(INDEX([1]Pivot!$AD$1:$BE$65000,$B1089,C$5)=1,1,IF(INDEX([1]Pivot!$B$1:$AB$65000,$B1089,C$5)="",2,0)),0)</f>
        <v>0</v>
      </c>
      <c r="D1089" s="194">
        <f>IFERROR(IF(INDEX([1]Pivot!$AD$1:$BE$65000,$B1089,D$5)=1,1,IF(INDEX([1]Pivot!$B$1:$AB$65000,$B1089,D$5)="",2,0)),0)</f>
        <v>0</v>
      </c>
      <c r="E1089" s="194">
        <f>IFERROR(IF(INDEX([1]Pivot!$AD$1:$BE$65000,$B1089,E$5)=1,1,IF(INDEX([1]Pivot!$B$1:$AB$65000,$B1089,E$5)="",2,0)),0)</f>
        <v>0</v>
      </c>
      <c r="F1089" s="194">
        <f>IFERROR(IF(INDEX([1]Pivot!$AD$1:$BE$65000,$B1089,F$5)=1,1,IF(INDEX([1]Pivot!$B$1:$AB$65000,$B1089,F$5)="",2,0)),0)</f>
        <v>0</v>
      </c>
      <c r="G1089" s="194">
        <f>IFERROR(IF(INDEX([1]Pivot!$AD$1:$BE$65000,$B1089,G$5)=1,1,IF(INDEX([1]Pivot!$B$1:$AB$65000,$B1089,G$5)="",2,0)),0)</f>
        <v>0</v>
      </c>
      <c r="H1089" s="194">
        <f>IFERROR(IF(INDEX([1]Pivot!$AD$1:$BE$65000,$B1089,H$5)=1,1,IF(INDEX([1]Pivot!$B$1:$AB$65000,$B1089,H$5)="",2,0)),0)</f>
        <v>0</v>
      </c>
      <c r="I1089" s="194">
        <f>IFERROR(IF(INDEX([1]Pivot!$AD$1:$BE$65000,$B1089,I$5)=1,1,IF(INDEX([1]Pivot!$B$1:$AB$65000,$B1089,I$5)="",2,0)),0)</f>
        <v>0</v>
      </c>
      <c r="J1089" s="194">
        <f>IFERROR(IF(INDEX([1]Pivot!$AD$1:$BE$65000,$B1089,J$5)=1,1,IF(INDEX([1]Pivot!$B$1:$AB$65000,$B1089,J$5)="",2,0)),0)</f>
        <v>0</v>
      </c>
      <c r="K1089" s="194">
        <f>IFERROR(IF(INDEX([1]Pivot!$AD$1:$BE$65000,$B1089,K$5)=1,1,IF(INDEX([1]Pivot!$B$1:$AB$65000,$B1089,K$5)="",2,0)),0)</f>
        <v>0</v>
      </c>
      <c r="L1089" s="194">
        <f>IFERROR(IF(INDEX([1]Pivot!$AD$1:$BE$65000,$B1089,L$5)=1,1,IF(INDEX([1]Pivot!$B$1:$AB$65000,$B1089,L$5)="",2,0)),0)</f>
        <v>0</v>
      </c>
      <c r="M1089" s="194">
        <f>IFERROR(IF(INDEX([1]Pivot!$AD$1:$BE$65000,$B1089,M$5)=1,1,IF(INDEX([1]Pivot!$B$1:$AB$65000,$B1089,M$5)="",2,0)),0)</f>
        <v>0</v>
      </c>
      <c r="N1089" s="194">
        <f>IFERROR(IF(INDEX([1]Pivot!$AD$1:$BE$65000,$B1089,N$5)=1,1,IF(INDEX([1]Pivot!$B$1:$AB$65000,$B1089,N$5)="",2,0)),0)</f>
        <v>0</v>
      </c>
      <c r="O1089" s="194">
        <f>IFERROR(IF(INDEX([1]Pivot!$AD$1:$BE$65000,$B1089,O$5)=1,1,IF(INDEX([1]Pivot!$B$1:$AB$65000,$B1089,O$5)="",2,0)),0)</f>
        <v>0</v>
      </c>
      <c r="P1089" s="194">
        <f>IFERROR(IF(INDEX([1]Pivot!$AD$1:$BE$65000,$B1089,P$5)=1,1,IF(INDEX([1]Pivot!$B$1:$AB$65000,$B1089,P$5)="",2,0)),0)</f>
        <v>0</v>
      </c>
      <c r="Q1089" s="194">
        <f>IFERROR(IF(INDEX([1]Pivot!$AD$1:$BE$65000,$B1089,Q$5)=1,1,IF(INDEX([1]Pivot!$B$1:$AB$65000,$B1089,Q$5)="",2,0)),0)</f>
        <v>0</v>
      </c>
      <c r="R1089" s="312"/>
      <c r="S1089" s="194">
        <f>IFERROR(IF(INDEX([1]Pivot!$AD$1:$BE$65000,$B1089,S$5)=1,1,IF(INDEX([1]Pivot!$B$1:$AB$65000,$B1089,S$5)="",2,0)),0)</f>
        <v>0</v>
      </c>
      <c r="T1089" s="194">
        <f>IFERROR(IF(INDEX([1]Pivot!$AD$1:$BE$65000,$B1089,T$5)=1,1,IF(INDEX([1]Pivot!$B$1:$AB$65000,$B1089,T$5)="",2,0)),0)</f>
        <v>0</v>
      </c>
      <c r="U1089" s="194">
        <f>IFERROR(IF(INDEX([1]Pivot!$AD$1:$BE$65000,$B1089,U$5)=1,1,IF(INDEX([1]Pivot!$B$1:$AB$65000,$B1089,U$5)="",2,0)),0)</f>
        <v>0</v>
      </c>
      <c r="V1089" s="194">
        <f>IFERROR(IF(INDEX([1]Pivot!$AD$1:$BE$65000,$B1089,V$5)=1,1,IF(INDEX([1]Pivot!$B$1:$AB$65000,$B1089,V$5)="",2,0)),0)</f>
        <v>0</v>
      </c>
      <c r="W1089" s="194">
        <f>IFERROR(IF(INDEX([1]Pivot!$AD$1:$BE$65000,$B1089,W$5)=1,1,IF(INDEX([1]Pivot!$B$1:$AB$65000,$B1089,W$5)="",2,0)),0)</f>
        <v>0</v>
      </c>
      <c r="X1089" s="194">
        <f>IFERROR(IF(INDEX([1]Pivot!$AD$1:$BE$65000,$B1089,X$5)=1,1,IF(INDEX([1]Pivot!$B$1:$AB$65000,$B1089,X$5)="",2,0)),0)</f>
        <v>0</v>
      </c>
      <c r="Y1089" s="194">
        <f>IFERROR(IF(INDEX([1]Pivot!$AD$1:$BE$65000,$B1089,Y$5)=1,1,IF(INDEX([1]Pivot!$B$1:$AB$65000,$B1089,Y$5)="",2,0)),0)</f>
        <v>0</v>
      </c>
      <c r="Z1089" s="194">
        <f>IFERROR(IF(INDEX([1]Pivot!$AD$1:$BE$65000,$B1089,Z$5)=1,1,IF(INDEX([1]Pivot!$B$1:$AB$65000,$B1089,Z$5)="",2,0)),0)</f>
        <v>0</v>
      </c>
      <c r="AA1089" s="194">
        <f>IFERROR(IF(INDEX([1]Pivot!$AD$1:$BE$65000,$B1089,AA$5)=1,1,IF(INDEX([1]Pivot!$B$1:$AB$65000,$B1089,AA$5)="",2,0)),0)</f>
        <v>0</v>
      </c>
      <c r="AB1089" s="194">
        <f>IFERROR(IF(INDEX([1]Pivot!$AD$1:$BE$65000,$B1089,AB$5)=1,1,IF(INDEX([1]Pivot!$B$1:$AB$65000,$B1089,AB$5)="",2,0)),0)</f>
        <v>0</v>
      </c>
      <c r="AC1089" s="194">
        <f>IFERROR(IF(INDEX([1]Pivot!$AD$1:$BE$65000,$B1089,AC$5)=1,1,IF(INDEX([1]Pivot!$B$1:$AB$65000,$B1089,AC$5)="",2,0)),0)</f>
        <v>0</v>
      </c>
      <c r="AD1089" s="313">
        <f>IFERROR(IF(INDEX([1]Pivot!$BF$1:$CG$65000,$B1089,AD$5)=1,1,IF(INDEX([1]Pivot!$B$1:$AB$65000,$B1089,AD$5)="",2,0)),0)</f>
        <v>0</v>
      </c>
      <c r="AE1089" s="313">
        <f>IFERROR(IF(INDEX([1]Pivot!$BF$1:$CG$65000,$B1089,AE$5)=1,1,IF(INDEX([1]Pivot!$B$1:$AB$65000,$B1089,AE$5)="",2,0)),0)</f>
        <v>0</v>
      </c>
      <c r="AF1089" s="313">
        <f>IFERROR(IF(INDEX([1]Pivot!$BF$1:$CG$65000,$B1089,AF$5)=1,1,IF(INDEX([1]Pivot!$B$1:$AB$65000,$B1089,AF$5)="",2,0)),0)</f>
        <v>0</v>
      </c>
      <c r="AG1089" s="313">
        <f>IFERROR(IF(INDEX([1]Pivot!$BF$1:$CG$65000,$B1089,AG$5)=1,1,IF(INDEX([1]Pivot!$B$1:$AB$65000,$B1089,AG$5)="",2,0)),0)</f>
        <v>0</v>
      </c>
      <c r="AH1089" s="313">
        <f>IFERROR(IF(INDEX([1]Pivot!$BF$1:$CG$65000,$B1089,AH$5)=1,1,IF(INDEX([1]Pivot!$B$1:$AB$65000,$B1089,AH$5)="",2,0)),0)</f>
        <v>0</v>
      </c>
      <c r="AI1089" s="313">
        <f>IFERROR(IF(INDEX([1]Pivot!$BF$1:$CG$65000,$B1089,AI$5)=1,1,IF(INDEX([1]Pivot!$B$1:$AB$65000,$B1089,AI$5)="",2,0)),0)</f>
        <v>0</v>
      </c>
      <c r="AJ1089" s="313">
        <f>IFERROR(IF(INDEX([1]Pivot!$BF$1:$CG$65000,$B1089,AJ$5)=1,1,IF(INDEX([1]Pivot!$B$1:$AB$65000,$B1089,AJ$5)="",2,0)),0)</f>
        <v>0</v>
      </c>
      <c r="AK1089" s="313">
        <f>IFERROR(IF(INDEX([1]Pivot!$BF$1:$CG$65000,$B1089,AK$5)=1,1,IF(INDEX([1]Pivot!$B$1:$AB$65000,$B1089,AK$5)="",2,0)),0)</f>
        <v>0</v>
      </c>
      <c r="AL1089" s="313">
        <f>IFERROR(IF(INDEX([1]Pivot!$BF$1:$CG$65000,$B1089,AL$5)=1,1,IF(INDEX([1]Pivot!$B$1:$AB$65000,$B1089,AL$5)="",2,0)),0)</f>
        <v>0</v>
      </c>
      <c r="AM1089" s="313">
        <f>IFERROR(IF(INDEX([1]Pivot!$BF$1:$CG$65000,$B1089,AM$5)=1,1,IF(INDEX([1]Pivot!$B$1:$AB$65000,$B1089,AM$5)="",2,0)),0)</f>
        <v>0</v>
      </c>
      <c r="AN1089" s="313">
        <f>IFERROR(IF(INDEX([1]Pivot!$BF$1:$CG$65000,$B1089,AN$5)=1,1,IF(INDEX([1]Pivot!$B$1:$AB$65000,$B1089,AN$5)="",2,0)),0)</f>
        <v>0</v>
      </c>
      <c r="AO1089" s="313">
        <f>IFERROR(IF(INDEX([1]Pivot!$BF$1:$CG$65000,$B1089,AO$5)=1,1,IF(INDEX([1]Pivot!$B$1:$AB$65000,$B1089,AO$5)="",2,0)),0)</f>
        <v>0</v>
      </c>
      <c r="AP1089" s="313">
        <f>IFERROR(IF(INDEX([1]Pivot!$BF$1:$CG$65000,$B1089,AP$5)=1,1,IF(INDEX([1]Pivot!$B$1:$AB$65000,$B1089,AP$5)="",2,0)),0)</f>
        <v>0</v>
      </c>
      <c r="AQ1089" s="313">
        <f>IFERROR(IF(INDEX([1]Pivot!$BF$1:$CG$65000,$B1089,AQ$5)=1,1,IF(INDEX([1]Pivot!$B$1:$AB$65000,$B1089,AQ$5)="",2,0)),0)</f>
        <v>0</v>
      </c>
      <c r="AR1089" s="313">
        <f>IFERROR(IF(INDEX([1]Pivot!$BF$1:$CG$65000,$B1089,AR$5)=1,1,IF(INDEX([1]Pivot!$B$1:$AB$65000,$B1089,AR$5)="",2,0)),0)</f>
        <v>0</v>
      </c>
      <c r="AS1089" s="312"/>
      <c r="AT1089" s="313">
        <f>IFERROR(IF(INDEX([1]Pivot!$BF$1:$CG$65000,$B1089,AT$5)=1,1,IF(INDEX([1]Pivot!$B$1:$AB$65000,$B1089,AT$5)="",2,0)),0)</f>
        <v>0</v>
      </c>
      <c r="AU1089" s="313">
        <f>IFERROR(IF(INDEX([1]Pivot!$BF$1:$CG$65000,$B1089,AU$5)=1,1,IF(INDEX([1]Pivot!$B$1:$AB$65000,$B1089,AU$5)="",2,0)),0)</f>
        <v>0</v>
      </c>
      <c r="AV1089" s="313">
        <f>IFERROR(IF(INDEX([1]Pivot!$BF$1:$CG$65000,$B1089,AV$5)=1,1,IF(INDEX([1]Pivot!$B$1:$AB$65000,$B1089,AV$5)="",2,0)),0)</f>
        <v>0</v>
      </c>
      <c r="AW1089" s="313">
        <f>IFERROR(IF(INDEX([1]Pivot!$BF$1:$CG$65000,$B1089,AW$5)=1,1,IF(INDEX([1]Pivot!$B$1:$AB$65000,$B1089,AW$5)="",2,0)),0)</f>
        <v>0</v>
      </c>
      <c r="AX1089" s="313">
        <f>IFERROR(IF(INDEX([1]Pivot!$BF$1:$CG$65000,$B1089,AX$5)=1,1,IF(INDEX([1]Pivot!$B$1:$AB$65000,$B1089,AX$5)="",2,0)),0)</f>
        <v>0</v>
      </c>
      <c r="AY1089" s="313">
        <f>IFERROR(IF(INDEX([1]Pivot!$BF$1:$CG$65000,$B1089,AY$5)=1,1,IF(INDEX([1]Pivot!$B$1:$AB$65000,$B1089,AY$5)="",2,0)),0)</f>
        <v>0</v>
      </c>
      <c r="AZ1089" s="313">
        <f>IFERROR(IF(INDEX([1]Pivot!$BF$1:$CG$65000,$B1089,AZ$5)=1,1,IF(INDEX([1]Pivot!$B$1:$AB$65000,$B1089,AZ$5)="",2,0)),0)</f>
        <v>0</v>
      </c>
      <c r="BA1089" s="313">
        <f>IFERROR(IF(INDEX([1]Pivot!$BF$1:$CG$65000,$B1089,BA$5)=1,1,IF(INDEX([1]Pivot!$B$1:$AB$65000,$B1089,BA$5)="",2,0)),0)</f>
        <v>0</v>
      </c>
      <c r="BB1089" s="313">
        <f>IFERROR(IF(INDEX([1]Pivot!$BF$1:$CG$65000,$B1089,BB$5)=1,1,IF(INDEX([1]Pivot!$B$1:$AB$65000,$B1089,BB$5)="",2,0)),0)</f>
        <v>0</v>
      </c>
      <c r="BC1089" s="313">
        <f>IFERROR(IF(INDEX([1]Pivot!$BF$1:$CG$65000,$B1089,BC$5)=1,1,IF(INDEX([1]Pivot!$B$1:$AB$65000,$B1089,BC$5)="",2,0)),0)</f>
        <v>0</v>
      </c>
      <c r="BD1089" s="313">
        <f>IFERROR(IF(INDEX([1]Pivot!$BF$1:$CG$65000,$B1089,BD$5)=1,1,IF(INDEX([1]Pivot!$B$1:$AB$65000,$B1089,BD$5)="",2,0)),0)</f>
        <v>0</v>
      </c>
    </row>
    <row r="1090" spans="1:56" x14ac:dyDescent="0.25">
      <c r="A1090" s="288">
        <f>'[2]Raw Milk Prices'!A1090</f>
        <v>0</v>
      </c>
      <c r="B1090" s="296" t="e">
        <f>MATCH(DATE(LEFT('[2]Raw Milk Prices'!$A1090,4),RIGHT('[2]Raw Milk Prices'!$A1090,2),1),[1]Pivot!$A$1:$A$65000,0)</f>
        <v>#VALUE!</v>
      </c>
      <c r="C1090" s="194">
        <f>IFERROR(IF(INDEX([1]Pivot!$AD$1:$BE$65000,$B1090,C$5)=1,1,IF(INDEX([1]Pivot!$B$1:$AB$65000,$B1090,C$5)="",2,0)),0)</f>
        <v>0</v>
      </c>
      <c r="D1090" s="194">
        <f>IFERROR(IF(INDEX([1]Pivot!$AD$1:$BE$65000,$B1090,D$5)=1,1,IF(INDEX([1]Pivot!$B$1:$AB$65000,$B1090,D$5)="",2,0)),0)</f>
        <v>0</v>
      </c>
      <c r="E1090" s="194">
        <f>IFERROR(IF(INDEX([1]Pivot!$AD$1:$BE$65000,$B1090,E$5)=1,1,IF(INDEX([1]Pivot!$B$1:$AB$65000,$B1090,E$5)="",2,0)),0)</f>
        <v>0</v>
      </c>
      <c r="F1090" s="194">
        <f>IFERROR(IF(INDEX([1]Pivot!$AD$1:$BE$65000,$B1090,F$5)=1,1,IF(INDEX([1]Pivot!$B$1:$AB$65000,$B1090,F$5)="",2,0)),0)</f>
        <v>0</v>
      </c>
      <c r="G1090" s="194">
        <f>IFERROR(IF(INDEX([1]Pivot!$AD$1:$BE$65000,$B1090,G$5)=1,1,IF(INDEX([1]Pivot!$B$1:$AB$65000,$B1090,G$5)="",2,0)),0)</f>
        <v>0</v>
      </c>
      <c r="H1090" s="194">
        <f>IFERROR(IF(INDEX([1]Pivot!$AD$1:$BE$65000,$B1090,H$5)=1,1,IF(INDEX([1]Pivot!$B$1:$AB$65000,$B1090,H$5)="",2,0)),0)</f>
        <v>0</v>
      </c>
      <c r="I1090" s="194">
        <f>IFERROR(IF(INDEX([1]Pivot!$AD$1:$BE$65000,$B1090,I$5)=1,1,IF(INDEX([1]Pivot!$B$1:$AB$65000,$B1090,I$5)="",2,0)),0)</f>
        <v>0</v>
      </c>
      <c r="J1090" s="194">
        <f>IFERROR(IF(INDEX([1]Pivot!$AD$1:$BE$65000,$B1090,J$5)=1,1,IF(INDEX([1]Pivot!$B$1:$AB$65000,$B1090,J$5)="",2,0)),0)</f>
        <v>0</v>
      </c>
      <c r="K1090" s="194">
        <f>IFERROR(IF(INDEX([1]Pivot!$AD$1:$BE$65000,$B1090,K$5)=1,1,IF(INDEX([1]Pivot!$B$1:$AB$65000,$B1090,K$5)="",2,0)),0)</f>
        <v>0</v>
      </c>
      <c r="L1090" s="194">
        <f>IFERROR(IF(INDEX([1]Pivot!$AD$1:$BE$65000,$B1090,L$5)=1,1,IF(INDEX([1]Pivot!$B$1:$AB$65000,$B1090,L$5)="",2,0)),0)</f>
        <v>0</v>
      </c>
      <c r="M1090" s="194">
        <f>IFERROR(IF(INDEX([1]Pivot!$AD$1:$BE$65000,$B1090,M$5)=1,1,IF(INDEX([1]Pivot!$B$1:$AB$65000,$B1090,M$5)="",2,0)),0)</f>
        <v>0</v>
      </c>
      <c r="N1090" s="194">
        <f>IFERROR(IF(INDEX([1]Pivot!$AD$1:$BE$65000,$B1090,N$5)=1,1,IF(INDEX([1]Pivot!$B$1:$AB$65000,$B1090,N$5)="",2,0)),0)</f>
        <v>0</v>
      </c>
      <c r="O1090" s="194">
        <f>IFERROR(IF(INDEX([1]Pivot!$AD$1:$BE$65000,$B1090,O$5)=1,1,IF(INDEX([1]Pivot!$B$1:$AB$65000,$B1090,O$5)="",2,0)),0)</f>
        <v>0</v>
      </c>
      <c r="P1090" s="194">
        <f>IFERROR(IF(INDEX([1]Pivot!$AD$1:$BE$65000,$B1090,P$5)=1,1,IF(INDEX([1]Pivot!$B$1:$AB$65000,$B1090,P$5)="",2,0)),0)</f>
        <v>0</v>
      </c>
      <c r="Q1090" s="194">
        <f>IFERROR(IF(INDEX([1]Pivot!$AD$1:$BE$65000,$B1090,Q$5)=1,1,IF(INDEX([1]Pivot!$B$1:$AB$65000,$B1090,Q$5)="",2,0)),0)</f>
        <v>0</v>
      </c>
      <c r="R1090" s="312"/>
      <c r="S1090" s="194">
        <f>IFERROR(IF(INDEX([1]Pivot!$AD$1:$BE$65000,$B1090,S$5)=1,1,IF(INDEX([1]Pivot!$B$1:$AB$65000,$B1090,S$5)="",2,0)),0)</f>
        <v>0</v>
      </c>
      <c r="T1090" s="194">
        <f>IFERROR(IF(INDEX([1]Pivot!$AD$1:$BE$65000,$B1090,T$5)=1,1,IF(INDEX([1]Pivot!$B$1:$AB$65000,$B1090,T$5)="",2,0)),0)</f>
        <v>0</v>
      </c>
      <c r="U1090" s="194">
        <f>IFERROR(IF(INDEX([1]Pivot!$AD$1:$BE$65000,$B1090,U$5)=1,1,IF(INDEX([1]Pivot!$B$1:$AB$65000,$B1090,U$5)="",2,0)),0)</f>
        <v>0</v>
      </c>
      <c r="V1090" s="194">
        <f>IFERROR(IF(INDEX([1]Pivot!$AD$1:$BE$65000,$B1090,V$5)=1,1,IF(INDEX([1]Pivot!$B$1:$AB$65000,$B1090,V$5)="",2,0)),0)</f>
        <v>0</v>
      </c>
      <c r="W1090" s="194">
        <f>IFERROR(IF(INDEX([1]Pivot!$AD$1:$BE$65000,$B1090,W$5)=1,1,IF(INDEX([1]Pivot!$B$1:$AB$65000,$B1090,W$5)="",2,0)),0)</f>
        <v>0</v>
      </c>
      <c r="X1090" s="194">
        <f>IFERROR(IF(INDEX([1]Pivot!$AD$1:$BE$65000,$B1090,X$5)=1,1,IF(INDEX([1]Pivot!$B$1:$AB$65000,$B1090,X$5)="",2,0)),0)</f>
        <v>0</v>
      </c>
      <c r="Y1090" s="194">
        <f>IFERROR(IF(INDEX([1]Pivot!$AD$1:$BE$65000,$B1090,Y$5)=1,1,IF(INDEX([1]Pivot!$B$1:$AB$65000,$B1090,Y$5)="",2,0)),0)</f>
        <v>0</v>
      </c>
      <c r="Z1090" s="194">
        <f>IFERROR(IF(INDEX([1]Pivot!$AD$1:$BE$65000,$B1090,Z$5)=1,1,IF(INDEX([1]Pivot!$B$1:$AB$65000,$B1090,Z$5)="",2,0)),0)</f>
        <v>0</v>
      </c>
      <c r="AA1090" s="194">
        <f>IFERROR(IF(INDEX([1]Pivot!$AD$1:$BE$65000,$B1090,AA$5)=1,1,IF(INDEX([1]Pivot!$B$1:$AB$65000,$B1090,AA$5)="",2,0)),0)</f>
        <v>0</v>
      </c>
      <c r="AB1090" s="194">
        <f>IFERROR(IF(INDEX([1]Pivot!$AD$1:$BE$65000,$B1090,AB$5)=1,1,IF(INDEX([1]Pivot!$B$1:$AB$65000,$B1090,AB$5)="",2,0)),0)</f>
        <v>0</v>
      </c>
      <c r="AC1090" s="194">
        <f>IFERROR(IF(INDEX([1]Pivot!$AD$1:$BE$65000,$B1090,AC$5)=1,1,IF(INDEX([1]Pivot!$B$1:$AB$65000,$B1090,AC$5)="",2,0)),0)</f>
        <v>0</v>
      </c>
      <c r="AD1090" s="313">
        <f>IFERROR(IF(INDEX([1]Pivot!$BF$1:$CG$65000,$B1090,AD$5)=1,1,IF(INDEX([1]Pivot!$B$1:$AB$65000,$B1090,AD$5)="",2,0)),0)</f>
        <v>0</v>
      </c>
      <c r="AE1090" s="313">
        <f>IFERROR(IF(INDEX([1]Pivot!$BF$1:$CG$65000,$B1090,AE$5)=1,1,IF(INDEX([1]Pivot!$B$1:$AB$65000,$B1090,AE$5)="",2,0)),0)</f>
        <v>0</v>
      </c>
      <c r="AF1090" s="313">
        <f>IFERROR(IF(INDEX([1]Pivot!$BF$1:$CG$65000,$B1090,AF$5)=1,1,IF(INDEX([1]Pivot!$B$1:$AB$65000,$B1090,AF$5)="",2,0)),0)</f>
        <v>0</v>
      </c>
      <c r="AG1090" s="313">
        <f>IFERROR(IF(INDEX([1]Pivot!$BF$1:$CG$65000,$B1090,AG$5)=1,1,IF(INDEX([1]Pivot!$B$1:$AB$65000,$B1090,AG$5)="",2,0)),0)</f>
        <v>0</v>
      </c>
      <c r="AH1090" s="313">
        <f>IFERROR(IF(INDEX([1]Pivot!$BF$1:$CG$65000,$B1090,AH$5)=1,1,IF(INDEX([1]Pivot!$B$1:$AB$65000,$B1090,AH$5)="",2,0)),0)</f>
        <v>0</v>
      </c>
      <c r="AI1090" s="313">
        <f>IFERROR(IF(INDEX([1]Pivot!$BF$1:$CG$65000,$B1090,AI$5)=1,1,IF(INDEX([1]Pivot!$B$1:$AB$65000,$B1090,AI$5)="",2,0)),0)</f>
        <v>0</v>
      </c>
      <c r="AJ1090" s="313">
        <f>IFERROR(IF(INDEX([1]Pivot!$BF$1:$CG$65000,$B1090,AJ$5)=1,1,IF(INDEX([1]Pivot!$B$1:$AB$65000,$B1090,AJ$5)="",2,0)),0)</f>
        <v>0</v>
      </c>
      <c r="AK1090" s="313">
        <f>IFERROR(IF(INDEX([1]Pivot!$BF$1:$CG$65000,$B1090,AK$5)=1,1,IF(INDEX([1]Pivot!$B$1:$AB$65000,$B1090,AK$5)="",2,0)),0)</f>
        <v>0</v>
      </c>
      <c r="AL1090" s="313">
        <f>IFERROR(IF(INDEX([1]Pivot!$BF$1:$CG$65000,$B1090,AL$5)=1,1,IF(INDEX([1]Pivot!$B$1:$AB$65000,$B1090,AL$5)="",2,0)),0)</f>
        <v>0</v>
      </c>
      <c r="AM1090" s="313">
        <f>IFERROR(IF(INDEX([1]Pivot!$BF$1:$CG$65000,$B1090,AM$5)=1,1,IF(INDEX([1]Pivot!$B$1:$AB$65000,$B1090,AM$5)="",2,0)),0)</f>
        <v>0</v>
      </c>
      <c r="AN1090" s="313">
        <f>IFERROR(IF(INDEX([1]Pivot!$BF$1:$CG$65000,$B1090,AN$5)=1,1,IF(INDEX([1]Pivot!$B$1:$AB$65000,$B1090,AN$5)="",2,0)),0)</f>
        <v>0</v>
      </c>
      <c r="AO1090" s="313">
        <f>IFERROR(IF(INDEX([1]Pivot!$BF$1:$CG$65000,$B1090,AO$5)=1,1,IF(INDEX([1]Pivot!$B$1:$AB$65000,$B1090,AO$5)="",2,0)),0)</f>
        <v>0</v>
      </c>
      <c r="AP1090" s="313">
        <f>IFERROR(IF(INDEX([1]Pivot!$BF$1:$CG$65000,$B1090,AP$5)=1,1,IF(INDEX([1]Pivot!$B$1:$AB$65000,$B1090,AP$5)="",2,0)),0)</f>
        <v>0</v>
      </c>
      <c r="AQ1090" s="313">
        <f>IFERROR(IF(INDEX([1]Pivot!$BF$1:$CG$65000,$B1090,AQ$5)=1,1,IF(INDEX([1]Pivot!$B$1:$AB$65000,$B1090,AQ$5)="",2,0)),0)</f>
        <v>0</v>
      </c>
      <c r="AR1090" s="313">
        <f>IFERROR(IF(INDEX([1]Pivot!$BF$1:$CG$65000,$B1090,AR$5)=1,1,IF(INDEX([1]Pivot!$B$1:$AB$65000,$B1090,AR$5)="",2,0)),0)</f>
        <v>0</v>
      </c>
      <c r="AS1090" s="312"/>
      <c r="AT1090" s="313">
        <f>IFERROR(IF(INDEX([1]Pivot!$BF$1:$CG$65000,$B1090,AT$5)=1,1,IF(INDEX([1]Pivot!$B$1:$AB$65000,$B1090,AT$5)="",2,0)),0)</f>
        <v>0</v>
      </c>
      <c r="AU1090" s="313">
        <f>IFERROR(IF(INDEX([1]Pivot!$BF$1:$CG$65000,$B1090,AU$5)=1,1,IF(INDEX([1]Pivot!$B$1:$AB$65000,$B1090,AU$5)="",2,0)),0)</f>
        <v>0</v>
      </c>
      <c r="AV1090" s="313">
        <f>IFERROR(IF(INDEX([1]Pivot!$BF$1:$CG$65000,$B1090,AV$5)=1,1,IF(INDEX([1]Pivot!$B$1:$AB$65000,$B1090,AV$5)="",2,0)),0)</f>
        <v>0</v>
      </c>
      <c r="AW1090" s="313">
        <f>IFERROR(IF(INDEX([1]Pivot!$BF$1:$CG$65000,$B1090,AW$5)=1,1,IF(INDEX([1]Pivot!$B$1:$AB$65000,$B1090,AW$5)="",2,0)),0)</f>
        <v>0</v>
      </c>
      <c r="AX1090" s="313">
        <f>IFERROR(IF(INDEX([1]Pivot!$BF$1:$CG$65000,$B1090,AX$5)=1,1,IF(INDEX([1]Pivot!$B$1:$AB$65000,$B1090,AX$5)="",2,0)),0)</f>
        <v>0</v>
      </c>
      <c r="AY1090" s="313">
        <f>IFERROR(IF(INDEX([1]Pivot!$BF$1:$CG$65000,$B1090,AY$5)=1,1,IF(INDEX([1]Pivot!$B$1:$AB$65000,$B1090,AY$5)="",2,0)),0)</f>
        <v>0</v>
      </c>
      <c r="AZ1090" s="313">
        <f>IFERROR(IF(INDEX([1]Pivot!$BF$1:$CG$65000,$B1090,AZ$5)=1,1,IF(INDEX([1]Pivot!$B$1:$AB$65000,$B1090,AZ$5)="",2,0)),0)</f>
        <v>0</v>
      </c>
      <c r="BA1090" s="313">
        <f>IFERROR(IF(INDEX([1]Pivot!$BF$1:$CG$65000,$B1090,BA$5)=1,1,IF(INDEX([1]Pivot!$B$1:$AB$65000,$B1090,BA$5)="",2,0)),0)</f>
        <v>0</v>
      </c>
      <c r="BB1090" s="313">
        <f>IFERROR(IF(INDEX([1]Pivot!$BF$1:$CG$65000,$B1090,BB$5)=1,1,IF(INDEX([1]Pivot!$B$1:$AB$65000,$B1090,BB$5)="",2,0)),0)</f>
        <v>0</v>
      </c>
      <c r="BC1090" s="313">
        <f>IFERROR(IF(INDEX([1]Pivot!$BF$1:$CG$65000,$B1090,BC$5)=1,1,IF(INDEX([1]Pivot!$B$1:$AB$65000,$B1090,BC$5)="",2,0)),0)</f>
        <v>0</v>
      </c>
      <c r="BD1090" s="313">
        <f>IFERROR(IF(INDEX([1]Pivot!$BF$1:$CG$65000,$B1090,BD$5)=1,1,IF(INDEX([1]Pivot!$B$1:$AB$65000,$B1090,BD$5)="",2,0)),0)</f>
        <v>0</v>
      </c>
    </row>
    <row r="1091" spans="1:56" x14ac:dyDescent="0.25">
      <c r="A1091" s="288">
        <f>'[2]Raw Milk Prices'!A1091</f>
        <v>0</v>
      </c>
      <c r="B1091" s="296" t="e">
        <f>MATCH(DATE(LEFT('[2]Raw Milk Prices'!$A1091,4),RIGHT('[2]Raw Milk Prices'!$A1091,2),1),[1]Pivot!$A$1:$A$65000,0)</f>
        <v>#VALUE!</v>
      </c>
      <c r="C1091" s="194">
        <f>IFERROR(IF(INDEX([1]Pivot!$AD$1:$BE$65000,$B1091,C$5)=1,1,IF(INDEX([1]Pivot!$B$1:$AB$65000,$B1091,C$5)="",2,0)),0)</f>
        <v>0</v>
      </c>
      <c r="D1091" s="194">
        <f>IFERROR(IF(INDEX([1]Pivot!$AD$1:$BE$65000,$B1091,D$5)=1,1,IF(INDEX([1]Pivot!$B$1:$AB$65000,$B1091,D$5)="",2,0)),0)</f>
        <v>0</v>
      </c>
      <c r="E1091" s="194">
        <f>IFERROR(IF(INDEX([1]Pivot!$AD$1:$BE$65000,$B1091,E$5)=1,1,IF(INDEX([1]Pivot!$B$1:$AB$65000,$B1091,E$5)="",2,0)),0)</f>
        <v>0</v>
      </c>
      <c r="F1091" s="194">
        <f>IFERROR(IF(INDEX([1]Pivot!$AD$1:$BE$65000,$B1091,F$5)=1,1,IF(INDEX([1]Pivot!$B$1:$AB$65000,$B1091,F$5)="",2,0)),0)</f>
        <v>0</v>
      </c>
      <c r="G1091" s="194">
        <f>IFERROR(IF(INDEX([1]Pivot!$AD$1:$BE$65000,$B1091,G$5)=1,1,IF(INDEX([1]Pivot!$B$1:$AB$65000,$B1091,G$5)="",2,0)),0)</f>
        <v>0</v>
      </c>
      <c r="H1091" s="194">
        <f>IFERROR(IF(INDEX([1]Pivot!$AD$1:$BE$65000,$B1091,H$5)=1,1,IF(INDEX([1]Pivot!$B$1:$AB$65000,$B1091,H$5)="",2,0)),0)</f>
        <v>0</v>
      </c>
      <c r="I1091" s="194">
        <f>IFERROR(IF(INDEX([1]Pivot!$AD$1:$BE$65000,$B1091,I$5)=1,1,IF(INDEX([1]Pivot!$B$1:$AB$65000,$B1091,I$5)="",2,0)),0)</f>
        <v>0</v>
      </c>
      <c r="J1091" s="194">
        <f>IFERROR(IF(INDEX([1]Pivot!$AD$1:$BE$65000,$B1091,J$5)=1,1,IF(INDEX([1]Pivot!$B$1:$AB$65000,$B1091,J$5)="",2,0)),0)</f>
        <v>0</v>
      </c>
      <c r="K1091" s="194">
        <f>IFERROR(IF(INDEX([1]Pivot!$AD$1:$BE$65000,$B1091,K$5)=1,1,IF(INDEX([1]Pivot!$B$1:$AB$65000,$B1091,K$5)="",2,0)),0)</f>
        <v>0</v>
      </c>
      <c r="L1091" s="194">
        <f>IFERROR(IF(INDEX([1]Pivot!$AD$1:$BE$65000,$B1091,L$5)=1,1,IF(INDEX([1]Pivot!$B$1:$AB$65000,$B1091,L$5)="",2,0)),0)</f>
        <v>0</v>
      </c>
      <c r="M1091" s="194">
        <f>IFERROR(IF(INDEX([1]Pivot!$AD$1:$BE$65000,$B1091,M$5)=1,1,IF(INDEX([1]Pivot!$B$1:$AB$65000,$B1091,M$5)="",2,0)),0)</f>
        <v>0</v>
      </c>
      <c r="N1091" s="194">
        <f>IFERROR(IF(INDEX([1]Pivot!$AD$1:$BE$65000,$B1091,N$5)=1,1,IF(INDEX([1]Pivot!$B$1:$AB$65000,$B1091,N$5)="",2,0)),0)</f>
        <v>0</v>
      </c>
      <c r="O1091" s="194">
        <f>IFERROR(IF(INDEX([1]Pivot!$AD$1:$BE$65000,$B1091,O$5)=1,1,IF(INDEX([1]Pivot!$B$1:$AB$65000,$B1091,O$5)="",2,0)),0)</f>
        <v>0</v>
      </c>
      <c r="P1091" s="194">
        <f>IFERROR(IF(INDEX([1]Pivot!$AD$1:$BE$65000,$B1091,P$5)=1,1,IF(INDEX([1]Pivot!$B$1:$AB$65000,$B1091,P$5)="",2,0)),0)</f>
        <v>0</v>
      </c>
      <c r="Q1091" s="194">
        <f>IFERROR(IF(INDEX([1]Pivot!$AD$1:$BE$65000,$B1091,Q$5)=1,1,IF(INDEX([1]Pivot!$B$1:$AB$65000,$B1091,Q$5)="",2,0)),0)</f>
        <v>0</v>
      </c>
      <c r="R1091" s="312"/>
      <c r="S1091" s="194">
        <f>IFERROR(IF(INDEX([1]Pivot!$AD$1:$BE$65000,$B1091,S$5)=1,1,IF(INDEX([1]Pivot!$B$1:$AB$65000,$B1091,S$5)="",2,0)),0)</f>
        <v>0</v>
      </c>
      <c r="T1091" s="194">
        <f>IFERROR(IF(INDEX([1]Pivot!$AD$1:$BE$65000,$B1091,T$5)=1,1,IF(INDEX([1]Pivot!$B$1:$AB$65000,$B1091,T$5)="",2,0)),0)</f>
        <v>0</v>
      </c>
      <c r="U1091" s="194">
        <f>IFERROR(IF(INDEX([1]Pivot!$AD$1:$BE$65000,$B1091,U$5)=1,1,IF(INDEX([1]Pivot!$B$1:$AB$65000,$B1091,U$5)="",2,0)),0)</f>
        <v>0</v>
      </c>
      <c r="V1091" s="194">
        <f>IFERROR(IF(INDEX([1]Pivot!$AD$1:$BE$65000,$B1091,V$5)=1,1,IF(INDEX([1]Pivot!$B$1:$AB$65000,$B1091,V$5)="",2,0)),0)</f>
        <v>0</v>
      </c>
      <c r="W1091" s="194">
        <f>IFERROR(IF(INDEX([1]Pivot!$AD$1:$BE$65000,$B1091,W$5)=1,1,IF(INDEX([1]Pivot!$B$1:$AB$65000,$B1091,W$5)="",2,0)),0)</f>
        <v>0</v>
      </c>
      <c r="X1091" s="194">
        <f>IFERROR(IF(INDEX([1]Pivot!$AD$1:$BE$65000,$B1091,X$5)=1,1,IF(INDEX([1]Pivot!$B$1:$AB$65000,$B1091,X$5)="",2,0)),0)</f>
        <v>0</v>
      </c>
      <c r="Y1091" s="194">
        <f>IFERROR(IF(INDEX([1]Pivot!$AD$1:$BE$65000,$B1091,Y$5)=1,1,IF(INDEX([1]Pivot!$B$1:$AB$65000,$B1091,Y$5)="",2,0)),0)</f>
        <v>0</v>
      </c>
      <c r="Z1091" s="194">
        <f>IFERROR(IF(INDEX([1]Pivot!$AD$1:$BE$65000,$B1091,Z$5)=1,1,IF(INDEX([1]Pivot!$B$1:$AB$65000,$B1091,Z$5)="",2,0)),0)</f>
        <v>0</v>
      </c>
      <c r="AA1091" s="194">
        <f>IFERROR(IF(INDEX([1]Pivot!$AD$1:$BE$65000,$B1091,AA$5)=1,1,IF(INDEX([1]Pivot!$B$1:$AB$65000,$B1091,AA$5)="",2,0)),0)</f>
        <v>0</v>
      </c>
      <c r="AB1091" s="194">
        <f>IFERROR(IF(INDEX([1]Pivot!$AD$1:$BE$65000,$B1091,AB$5)=1,1,IF(INDEX([1]Pivot!$B$1:$AB$65000,$B1091,AB$5)="",2,0)),0)</f>
        <v>0</v>
      </c>
      <c r="AC1091" s="194">
        <f>IFERROR(IF(INDEX([1]Pivot!$AD$1:$BE$65000,$B1091,AC$5)=1,1,IF(INDEX([1]Pivot!$B$1:$AB$65000,$B1091,AC$5)="",2,0)),0)</f>
        <v>0</v>
      </c>
      <c r="AD1091" s="313">
        <f>IFERROR(IF(INDEX([1]Pivot!$BF$1:$CG$65000,$B1091,AD$5)=1,1,IF(INDEX([1]Pivot!$B$1:$AB$65000,$B1091,AD$5)="",2,0)),0)</f>
        <v>0</v>
      </c>
      <c r="AE1091" s="313">
        <f>IFERROR(IF(INDEX([1]Pivot!$BF$1:$CG$65000,$B1091,AE$5)=1,1,IF(INDEX([1]Pivot!$B$1:$AB$65000,$B1091,AE$5)="",2,0)),0)</f>
        <v>0</v>
      </c>
      <c r="AF1091" s="313">
        <f>IFERROR(IF(INDEX([1]Pivot!$BF$1:$CG$65000,$B1091,AF$5)=1,1,IF(INDEX([1]Pivot!$B$1:$AB$65000,$B1091,AF$5)="",2,0)),0)</f>
        <v>0</v>
      </c>
      <c r="AG1091" s="313">
        <f>IFERROR(IF(INDEX([1]Pivot!$BF$1:$CG$65000,$B1091,AG$5)=1,1,IF(INDEX([1]Pivot!$B$1:$AB$65000,$B1091,AG$5)="",2,0)),0)</f>
        <v>0</v>
      </c>
      <c r="AH1091" s="313">
        <f>IFERROR(IF(INDEX([1]Pivot!$BF$1:$CG$65000,$B1091,AH$5)=1,1,IF(INDEX([1]Pivot!$B$1:$AB$65000,$B1091,AH$5)="",2,0)),0)</f>
        <v>0</v>
      </c>
      <c r="AI1091" s="313">
        <f>IFERROR(IF(INDEX([1]Pivot!$BF$1:$CG$65000,$B1091,AI$5)=1,1,IF(INDEX([1]Pivot!$B$1:$AB$65000,$B1091,AI$5)="",2,0)),0)</f>
        <v>0</v>
      </c>
      <c r="AJ1091" s="313">
        <f>IFERROR(IF(INDEX([1]Pivot!$BF$1:$CG$65000,$B1091,AJ$5)=1,1,IF(INDEX([1]Pivot!$B$1:$AB$65000,$B1091,AJ$5)="",2,0)),0)</f>
        <v>0</v>
      </c>
      <c r="AK1091" s="313">
        <f>IFERROR(IF(INDEX([1]Pivot!$BF$1:$CG$65000,$B1091,AK$5)=1,1,IF(INDEX([1]Pivot!$B$1:$AB$65000,$B1091,AK$5)="",2,0)),0)</f>
        <v>0</v>
      </c>
      <c r="AL1091" s="313">
        <f>IFERROR(IF(INDEX([1]Pivot!$BF$1:$CG$65000,$B1091,AL$5)=1,1,IF(INDEX([1]Pivot!$B$1:$AB$65000,$B1091,AL$5)="",2,0)),0)</f>
        <v>0</v>
      </c>
      <c r="AM1091" s="313">
        <f>IFERROR(IF(INDEX([1]Pivot!$BF$1:$CG$65000,$B1091,AM$5)=1,1,IF(INDEX([1]Pivot!$B$1:$AB$65000,$B1091,AM$5)="",2,0)),0)</f>
        <v>0</v>
      </c>
      <c r="AN1091" s="313">
        <f>IFERROR(IF(INDEX([1]Pivot!$BF$1:$CG$65000,$B1091,AN$5)=1,1,IF(INDEX([1]Pivot!$B$1:$AB$65000,$B1091,AN$5)="",2,0)),0)</f>
        <v>0</v>
      </c>
      <c r="AO1091" s="313">
        <f>IFERROR(IF(INDEX([1]Pivot!$BF$1:$CG$65000,$B1091,AO$5)=1,1,IF(INDEX([1]Pivot!$B$1:$AB$65000,$B1091,AO$5)="",2,0)),0)</f>
        <v>0</v>
      </c>
      <c r="AP1091" s="313">
        <f>IFERROR(IF(INDEX([1]Pivot!$BF$1:$CG$65000,$B1091,AP$5)=1,1,IF(INDEX([1]Pivot!$B$1:$AB$65000,$B1091,AP$5)="",2,0)),0)</f>
        <v>0</v>
      </c>
      <c r="AQ1091" s="313">
        <f>IFERROR(IF(INDEX([1]Pivot!$BF$1:$CG$65000,$B1091,AQ$5)=1,1,IF(INDEX([1]Pivot!$B$1:$AB$65000,$B1091,AQ$5)="",2,0)),0)</f>
        <v>0</v>
      </c>
      <c r="AR1091" s="313">
        <f>IFERROR(IF(INDEX([1]Pivot!$BF$1:$CG$65000,$B1091,AR$5)=1,1,IF(INDEX([1]Pivot!$B$1:$AB$65000,$B1091,AR$5)="",2,0)),0)</f>
        <v>0</v>
      </c>
      <c r="AS1091" s="312"/>
      <c r="AT1091" s="313">
        <f>IFERROR(IF(INDEX([1]Pivot!$BF$1:$CG$65000,$B1091,AT$5)=1,1,IF(INDEX([1]Pivot!$B$1:$AB$65000,$B1091,AT$5)="",2,0)),0)</f>
        <v>0</v>
      </c>
      <c r="AU1091" s="313">
        <f>IFERROR(IF(INDEX([1]Pivot!$BF$1:$CG$65000,$B1091,AU$5)=1,1,IF(INDEX([1]Pivot!$B$1:$AB$65000,$B1091,AU$5)="",2,0)),0)</f>
        <v>0</v>
      </c>
      <c r="AV1091" s="313">
        <f>IFERROR(IF(INDEX([1]Pivot!$BF$1:$CG$65000,$B1091,AV$5)=1,1,IF(INDEX([1]Pivot!$B$1:$AB$65000,$B1091,AV$5)="",2,0)),0)</f>
        <v>0</v>
      </c>
      <c r="AW1091" s="313">
        <f>IFERROR(IF(INDEX([1]Pivot!$BF$1:$CG$65000,$B1091,AW$5)=1,1,IF(INDEX([1]Pivot!$B$1:$AB$65000,$B1091,AW$5)="",2,0)),0)</f>
        <v>0</v>
      </c>
      <c r="AX1091" s="313">
        <f>IFERROR(IF(INDEX([1]Pivot!$BF$1:$CG$65000,$B1091,AX$5)=1,1,IF(INDEX([1]Pivot!$B$1:$AB$65000,$B1091,AX$5)="",2,0)),0)</f>
        <v>0</v>
      </c>
      <c r="AY1091" s="313">
        <f>IFERROR(IF(INDEX([1]Pivot!$BF$1:$CG$65000,$B1091,AY$5)=1,1,IF(INDEX([1]Pivot!$B$1:$AB$65000,$B1091,AY$5)="",2,0)),0)</f>
        <v>0</v>
      </c>
      <c r="AZ1091" s="313">
        <f>IFERROR(IF(INDEX([1]Pivot!$BF$1:$CG$65000,$B1091,AZ$5)=1,1,IF(INDEX([1]Pivot!$B$1:$AB$65000,$B1091,AZ$5)="",2,0)),0)</f>
        <v>0</v>
      </c>
      <c r="BA1091" s="313">
        <f>IFERROR(IF(INDEX([1]Pivot!$BF$1:$CG$65000,$B1091,BA$5)=1,1,IF(INDEX([1]Pivot!$B$1:$AB$65000,$B1091,BA$5)="",2,0)),0)</f>
        <v>0</v>
      </c>
      <c r="BB1091" s="313">
        <f>IFERROR(IF(INDEX([1]Pivot!$BF$1:$CG$65000,$B1091,BB$5)=1,1,IF(INDEX([1]Pivot!$B$1:$AB$65000,$B1091,BB$5)="",2,0)),0)</f>
        <v>0</v>
      </c>
      <c r="BC1091" s="313">
        <f>IFERROR(IF(INDEX([1]Pivot!$BF$1:$CG$65000,$B1091,BC$5)=1,1,IF(INDEX([1]Pivot!$B$1:$AB$65000,$B1091,BC$5)="",2,0)),0)</f>
        <v>0</v>
      </c>
      <c r="BD1091" s="313">
        <f>IFERROR(IF(INDEX([1]Pivot!$BF$1:$CG$65000,$B1091,BD$5)=1,1,IF(INDEX([1]Pivot!$B$1:$AB$65000,$B1091,BD$5)="",2,0)),0)</f>
        <v>0</v>
      </c>
    </row>
    <row r="1092" spans="1:56" x14ac:dyDescent="0.25">
      <c r="A1092" s="288">
        <f>'[2]Raw Milk Prices'!A1092</f>
        <v>0</v>
      </c>
      <c r="B1092" s="296" t="e">
        <f>MATCH(DATE(LEFT('[2]Raw Milk Prices'!$A1092,4),RIGHT('[2]Raw Milk Prices'!$A1092,2),1),[1]Pivot!$A$1:$A$65000,0)</f>
        <v>#VALUE!</v>
      </c>
      <c r="C1092" s="194">
        <f>IFERROR(IF(INDEX([1]Pivot!$AD$1:$BE$65000,$B1092,C$5)=1,1,IF(INDEX([1]Pivot!$B$1:$AB$65000,$B1092,C$5)="",2,0)),0)</f>
        <v>0</v>
      </c>
      <c r="D1092" s="194">
        <f>IFERROR(IF(INDEX([1]Pivot!$AD$1:$BE$65000,$B1092,D$5)=1,1,IF(INDEX([1]Pivot!$B$1:$AB$65000,$B1092,D$5)="",2,0)),0)</f>
        <v>0</v>
      </c>
      <c r="E1092" s="194">
        <f>IFERROR(IF(INDEX([1]Pivot!$AD$1:$BE$65000,$B1092,E$5)=1,1,IF(INDEX([1]Pivot!$B$1:$AB$65000,$B1092,E$5)="",2,0)),0)</f>
        <v>0</v>
      </c>
      <c r="F1092" s="194">
        <f>IFERROR(IF(INDEX([1]Pivot!$AD$1:$BE$65000,$B1092,F$5)=1,1,IF(INDEX([1]Pivot!$B$1:$AB$65000,$B1092,F$5)="",2,0)),0)</f>
        <v>0</v>
      </c>
      <c r="G1092" s="194">
        <f>IFERROR(IF(INDEX([1]Pivot!$AD$1:$BE$65000,$B1092,G$5)=1,1,IF(INDEX([1]Pivot!$B$1:$AB$65000,$B1092,G$5)="",2,0)),0)</f>
        <v>0</v>
      </c>
      <c r="H1092" s="194">
        <f>IFERROR(IF(INDEX([1]Pivot!$AD$1:$BE$65000,$B1092,H$5)=1,1,IF(INDEX([1]Pivot!$B$1:$AB$65000,$B1092,H$5)="",2,0)),0)</f>
        <v>0</v>
      </c>
      <c r="I1092" s="194">
        <f>IFERROR(IF(INDEX([1]Pivot!$AD$1:$BE$65000,$B1092,I$5)=1,1,IF(INDEX([1]Pivot!$B$1:$AB$65000,$B1092,I$5)="",2,0)),0)</f>
        <v>0</v>
      </c>
      <c r="J1092" s="194">
        <f>IFERROR(IF(INDEX([1]Pivot!$AD$1:$BE$65000,$B1092,J$5)=1,1,IF(INDEX([1]Pivot!$B$1:$AB$65000,$B1092,J$5)="",2,0)),0)</f>
        <v>0</v>
      </c>
      <c r="K1092" s="194">
        <f>IFERROR(IF(INDEX([1]Pivot!$AD$1:$BE$65000,$B1092,K$5)=1,1,IF(INDEX([1]Pivot!$B$1:$AB$65000,$B1092,K$5)="",2,0)),0)</f>
        <v>0</v>
      </c>
      <c r="L1092" s="194">
        <f>IFERROR(IF(INDEX([1]Pivot!$AD$1:$BE$65000,$B1092,L$5)=1,1,IF(INDEX([1]Pivot!$B$1:$AB$65000,$B1092,L$5)="",2,0)),0)</f>
        <v>0</v>
      </c>
      <c r="M1092" s="194">
        <f>IFERROR(IF(INDEX([1]Pivot!$AD$1:$BE$65000,$B1092,M$5)=1,1,IF(INDEX([1]Pivot!$B$1:$AB$65000,$B1092,M$5)="",2,0)),0)</f>
        <v>0</v>
      </c>
      <c r="N1092" s="194">
        <f>IFERROR(IF(INDEX([1]Pivot!$AD$1:$BE$65000,$B1092,N$5)=1,1,IF(INDEX([1]Pivot!$B$1:$AB$65000,$B1092,N$5)="",2,0)),0)</f>
        <v>0</v>
      </c>
      <c r="O1092" s="194">
        <f>IFERROR(IF(INDEX([1]Pivot!$AD$1:$BE$65000,$B1092,O$5)=1,1,IF(INDEX([1]Pivot!$B$1:$AB$65000,$B1092,O$5)="",2,0)),0)</f>
        <v>0</v>
      </c>
      <c r="P1092" s="194">
        <f>IFERROR(IF(INDEX([1]Pivot!$AD$1:$BE$65000,$B1092,P$5)=1,1,IF(INDEX([1]Pivot!$B$1:$AB$65000,$B1092,P$5)="",2,0)),0)</f>
        <v>0</v>
      </c>
      <c r="Q1092" s="194">
        <f>IFERROR(IF(INDEX([1]Pivot!$AD$1:$BE$65000,$B1092,Q$5)=1,1,IF(INDEX([1]Pivot!$B$1:$AB$65000,$B1092,Q$5)="",2,0)),0)</f>
        <v>0</v>
      </c>
      <c r="R1092" s="312"/>
      <c r="S1092" s="194">
        <f>IFERROR(IF(INDEX([1]Pivot!$AD$1:$BE$65000,$B1092,S$5)=1,1,IF(INDEX([1]Pivot!$B$1:$AB$65000,$B1092,S$5)="",2,0)),0)</f>
        <v>0</v>
      </c>
      <c r="T1092" s="194">
        <f>IFERROR(IF(INDEX([1]Pivot!$AD$1:$BE$65000,$B1092,T$5)=1,1,IF(INDEX([1]Pivot!$B$1:$AB$65000,$B1092,T$5)="",2,0)),0)</f>
        <v>0</v>
      </c>
      <c r="U1092" s="194">
        <f>IFERROR(IF(INDEX([1]Pivot!$AD$1:$BE$65000,$B1092,U$5)=1,1,IF(INDEX([1]Pivot!$B$1:$AB$65000,$B1092,U$5)="",2,0)),0)</f>
        <v>0</v>
      </c>
      <c r="V1092" s="194">
        <f>IFERROR(IF(INDEX([1]Pivot!$AD$1:$BE$65000,$B1092,V$5)=1,1,IF(INDEX([1]Pivot!$B$1:$AB$65000,$B1092,V$5)="",2,0)),0)</f>
        <v>0</v>
      </c>
      <c r="W1092" s="194">
        <f>IFERROR(IF(INDEX([1]Pivot!$AD$1:$BE$65000,$B1092,W$5)=1,1,IF(INDEX([1]Pivot!$B$1:$AB$65000,$B1092,W$5)="",2,0)),0)</f>
        <v>0</v>
      </c>
      <c r="X1092" s="194">
        <f>IFERROR(IF(INDEX([1]Pivot!$AD$1:$BE$65000,$B1092,X$5)=1,1,IF(INDEX([1]Pivot!$B$1:$AB$65000,$B1092,X$5)="",2,0)),0)</f>
        <v>0</v>
      </c>
      <c r="Y1092" s="194">
        <f>IFERROR(IF(INDEX([1]Pivot!$AD$1:$BE$65000,$B1092,Y$5)=1,1,IF(INDEX([1]Pivot!$B$1:$AB$65000,$B1092,Y$5)="",2,0)),0)</f>
        <v>0</v>
      </c>
      <c r="Z1092" s="194">
        <f>IFERROR(IF(INDEX([1]Pivot!$AD$1:$BE$65000,$B1092,Z$5)=1,1,IF(INDEX([1]Pivot!$B$1:$AB$65000,$B1092,Z$5)="",2,0)),0)</f>
        <v>0</v>
      </c>
      <c r="AA1092" s="194">
        <f>IFERROR(IF(INDEX([1]Pivot!$AD$1:$BE$65000,$B1092,AA$5)=1,1,IF(INDEX([1]Pivot!$B$1:$AB$65000,$B1092,AA$5)="",2,0)),0)</f>
        <v>0</v>
      </c>
      <c r="AB1092" s="194">
        <f>IFERROR(IF(INDEX([1]Pivot!$AD$1:$BE$65000,$B1092,AB$5)=1,1,IF(INDEX([1]Pivot!$B$1:$AB$65000,$B1092,AB$5)="",2,0)),0)</f>
        <v>0</v>
      </c>
      <c r="AC1092" s="194">
        <f>IFERROR(IF(INDEX([1]Pivot!$AD$1:$BE$65000,$B1092,AC$5)=1,1,IF(INDEX([1]Pivot!$B$1:$AB$65000,$B1092,AC$5)="",2,0)),0)</f>
        <v>0</v>
      </c>
      <c r="AD1092" s="313">
        <f>IFERROR(IF(INDEX([1]Pivot!$BF$1:$CG$65000,$B1092,AD$5)=1,1,IF(INDEX([1]Pivot!$B$1:$AB$65000,$B1092,AD$5)="",2,0)),0)</f>
        <v>0</v>
      </c>
      <c r="AE1092" s="313">
        <f>IFERROR(IF(INDEX([1]Pivot!$BF$1:$CG$65000,$B1092,AE$5)=1,1,IF(INDEX([1]Pivot!$B$1:$AB$65000,$B1092,AE$5)="",2,0)),0)</f>
        <v>0</v>
      </c>
      <c r="AF1092" s="313">
        <f>IFERROR(IF(INDEX([1]Pivot!$BF$1:$CG$65000,$B1092,AF$5)=1,1,IF(INDEX([1]Pivot!$B$1:$AB$65000,$B1092,AF$5)="",2,0)),0)</f>
        <v>0</v>
      </c>
      <c r="AG1092" s="313">
        <f>IFERROR(IF(INDEX([1]Pivot!$BF$1:$CG$65000,$B1092,AG$5)=1,1,IF(INDEX([1]Pivot!$B$1:$AB$65000,$B1092,AG$5)="",2,0)),0)</f>
        <v>0</v>
      </c>
      <c r="AH1092" s="313">
        <f>IFERROR(IF(INDEX([1]Pivot!$BF$1:$CG$65000,$B1092,AH$5)=1,1,IF(INDEX([1]Pivot!$B$1:$AB$65000,$B1092,AH$5)="",2,0)),0)</f>
        <v>0</v>
      </c>
      <c r="AI1092" s="313">
        <f>IFERROR(IF(INDEX([1]Pivot!$BF$1:$CG$65000,$B1092,AI$5)=1,1,IF(INDEX([1]Pivot!$B$1:$AB$65000,$B1092,AI$5)="",2,0)),0)</f>
        <v>0</v>
      </c>
      <c r="AJ1092" s="313">
        <f>IFERROR(IF(INDEX([1]Pivot!$BF$1:$CG$65000,$B1092,AJ$5)=1,1,IF(INDEX([1]Pivot!$B$1:$AB$65000,$B1092,AJ$5)="",2,0)),0)</f>
        <v>0</v>
      </c>
      <c r="AK1092" s="313">
        <f>IFERROR(IF(INDEX([1]Pivot!$BF$1:$CG$65000,$B1092,AK$5)=1,1,IF(INDEX([1]Pivot!$B$1:$AB$65000,$B1092,AK$5)="",2,0)),0)</f>
        <v>0</v>
      </c>
      <c r="AL1092" s="313">
        <f>IFERROR(IF(INDEX([1]Pivot!$BF$1:$CG$65000,$B1092,AL$5)=1,1,IF(INDEX([1]Pivot!$B$1:$AB$65000,$B1092,AL$5)="",2,0)),0)</f>
        <v>0</v>
      </c>
      <c r="AM1092" s="313">
        <f>IFERROR(IF(INDEX([1]Pivot!$BF$1:$CG$65000,$B1092,AM$5)=1,1,IF(INDEX([1]Pivot!$B$1:$AB$65000,$B1092,AM$5)="",2,0)),0)</f>
        <v>0</v>
      </c>
      <c r="AN1092" s="313">
        <f>IFERROR(IF(INDEX([1]Pivot!$BF$1:$CG$65000,$B1092,AN$5)=1,1,IF(INDEX([1]Pivot!$B$1:$AB$65000,$B1092,AN$5)="",2,0)),0)</f>
        <v>0</v>
      </c>
      <c r="AO1092" s="313">
        <f>IFERROR(IF(INDEX([1]Pivot!$BF$1:$CG$65000,$B1092,AO$5)=1,1,IF(INDEX([1]Pivot!$B$1:$AB$65000,$B1092,AO$5)="",2,0)),0)</f>
        <v>0</v>
      </c>
      <c r="AP1092" s="313">
        <f>IFERROR(IF(INDEX([1]Pivot!$BF$1:$CG$65000,$B1092,AP$5)=1,1,IF(INDEX([1]Pivot!$B$1:$AB$65000,$B1092,AP$5)="",2,0)),0)</f>
        <v>0</v>
      </c>
      <c r="AQ1092" s="313">
        <f>IFERROR(IF(INDEX([1]Pivot!$BF$1:$CG$65000,$B1092,AQ$5)=1,1,IF(INDEX([1]Pivot!$B$1:$AB$65000,$B1092,AQ$5)="",2,0)),0)</f>
        <v>0</v>
      </c>
      <c r="AR1092" s="313">
        <f>IFERROR(IF(INDEX([1]Pivot!$BF$1:$CG$65000,$B1092,AR$5)=1,1,IF(INDEX([1]Pivot!$B$1:$AB$65000,$B1092,AR$5)="",2,0)),0)</f>
        <v>0</v>
      </c>
      <c r="AS1092" s="312"/>
      <c r="AT1092" s="313">
        <f>IFERROR(IF(INDEX([1]Pivot!$BF$1:$CG$65000,$B1092,AT$5)=1,1,IF(INDEX([1]Pivot!$B$1:$AB$65000,$B1092,AT$5)="",2,0)),0)</f>
        <v>0</v>
      </c>
      <c r="AU1092" s="313">
        <f>IFERROR(IF(INDEX([1]Pivot!$BF$1:$CG$65000,$B1092,AU$5)=1,1,IF(INDEX([1]Pivot!$B$1:$AB$65000,$B1092,AU$5)="",2,0)),0)</f>
        <v>0</v>
      </c>
      <c r="AV1092" s="313">
        <f>IFERROR(IF(INDEX([1]Pivot!$BF$1:$CG$65000,$B1092,AV$5)=1,1,IF(INDEX([1]Pivot!$B$1:$AB$65000,$B1092,AV$5)="",2,0)),0)</f>
        <v>0</v>
      </c>
      <c r="AW1092" s="313">
        <f>IFERROR(IF(INDEX([1]Pivot!$BF$1:$CG$65000,$B1092,AW$5)=1,1,IF(INDEX([1]Pivot!$B$1:$AB$65000,$B1092,AW$5)="",2,0)),0)</f>
        <v>0</v>
      </c>
      <c r="AX1092" s="313">
        <f>IFERROR(IF(INDEX([1]Pivot!$BF$1:$CG$65000,$B1092,AX$5)=1,1,IF(INDEX([1]Pivot!$B$1:$AB$65000,$B1092,AX$5)="",2,0)),0)</f>
        <v>0</v>
      </c>
      <c r="AY1092" s="313">
        <f>IFERROR(IF(INDEX([1]Pivot!$BF$1:$CG$65000,$B1092,AY$5)=1,1,IF(INDEX([1]Pivot!$B$1:$AB$65000,$B1092,AY$5)="",2,0)),0)</f>
        <v>0</v>
      </c>
      <c r="AZ1092" s="313">
        <f>IFERROR(IF(INDEX([1]Pivot!$BF$1:$CG$65000,$B1092,AZ$5)=1,1,IF(INDEX([1]Pivot!$B$1:$AB$65000,$B1092,AZ$5)="",2,0)),0)</f>
        <v>0</v>
      </c>
      <c r="BA1092" s="313">
        <f>IFERROR(IF(INDEX([1]Pivot!$BF$1:$CG$65000,$B1092,BA$5)=1,1,IF(INDEX([1]Pivot!$B$1:$AB$65000,$B1092,BA$5)="",2,0)),0)</f>
        <v>0</v>
      </c>
      <c r="BB1092" s="313">
        <f>IFERROR(IF(INDEX([1]Pivot!$BF$1:$CG$65000,$B1092,BB$5)=1,1,IF(INDEX([1]Pivot!$B$1:$AB$65000,$B1092,BB$5)="",2,0)),0)</f>
        <v>0</v>
      </c>
      <c r="BC1092" s="313">
        <f>IFERROR(IF(INDEX([1]Pivot!$BF$1:$CG$65000,$B1092,BC$5)=1,1,IF(INDEX([1]Pivot!$B$1:$AB$65000,$B1092,BC$5)="",2,0)),0)</f>
        <v>0</v>
      </c>
      <c r="BD1092" s="313">
        <f>IFERROR(IF(INDEX([1]Pivot!$BF$1:$CG$65000,$B1092,BD$5)=1,1,IF(INDEX([1]Pivot!$B$1:$AB$65000,$B1092,BD$5)="",2,0)),0)</f>
        <v>0</v>
      </c>
    </row>
    <row r="1093" spans="1:56" x14ac:dyDescent="0.25">
      <c r="A1093" s="288">
        <f>'[2]Raw Milk Prices'!A1093</f>
        <v>0</v>
      </c>
      <c r="B1093" s="296" t="e">
        <f>MATCH(DATE(LEFT('[2]Raw Milk Prices'!$A1093,4),RIGHT('[2]Raw Milk Prices'!$A1093,2),1),[1]Pivot!$A$1:$A$65000,0)</f>
        <v>#VALUE!</v>
      </c>
      <c r="C1093" s="194">
        <f>IFERROR(IF(INDEX([1]Pivot!$AD$1:$BE$65000,$B1093,C$5)=1,1,IF(INDEX([1]Pivot!$B$1:$AB$65000,$B1093,C$5)="",2,0)),0)</f>
        <v>0</v>
      </c>
      <c r="D1093" s="194">
        <f>IFERROR(IF(INDEX([1]Pivot!$AD$1:$BE$65000,$B1093,D$5)=1,1,IF(INDEX([1]Pivot!$B$1:$AB$65000,$B1093,D$5)="",2,0)),0)</f>
        <v>0</v>
      </c>
      <c r="E1093" s="194">
        <f>IFERROR(IF(INDEX([1]Pivot!$AD$1:$BE$65000,$B1093,E$5)=1,1,IF(INDEX([1]Pivot!$B$1:$AB$65000,$B1093,E$5)="",2,0)),0)</f>
        <v>0</v>
      </c>
      <c r="F1093" s="194">
        <f>IFERROR(IF(INDEX([1]Pivot!$AD$1:$BE$65000,$B1093,F$5)=1,1,IF(INDEX([1]Pivot!$B$1:$AB$65000,$B1093,F$5)="",2,0)),0)</f>
        <v>0</v>
      </c>
      <c r="G1093" s="194">
        <f>IFERROR(IF(INDEX([1]Pivot!$AD$1:$BE$65000,$B1093,G$5)=1,1,IF(INDEX([1]Pivot!$B$1:$AB$65000,$B1093,G$5)="",2,0)),0)</f>
        <v>0</v>
      </c>
      <c r="H1093" s="194">
        <f>IFERROR(IF(INDEX([1]Pivot!$AD$1:$BE$65000,$B1093,H$5)=1,1,IF(INDEX([1]Pivot!$B$1:$AB$65000,$B1093,H$5)="",2,0)),0)</f>
        <v>0</v>
      </c>
      <c r="I1093" s="194">
        <f>IFERROR(IF(INDEX([1]Pivot!$AD$1:$BE$65000,$B1093,I$5)=1,1,IF(INDEX([1]Pivot!$B$1:$AB$65000,$B1093,I$5)="",2,0)),0)</f>
        <v>0</v>
      </c>
      <c r="J1093" s="194">
        <f>IFERROR(IF(INDEX([1]Pivot!$AD$1:$BE$65000,$B1093,J$5)=1,1,IF(INDEX([1]Pivot!$B$1:$AB$65000,$B1093,J$5)="",2,0)),0)</f>
        <v>0</v>
      </c>
      <c r="K1093" s="194">
        <f>IFERROR(IF(INDEX([1]Pivot!$AD$1:$BE$65000,$B1093,K$5)=1,1,IF(INDEX([1]Pivot!$B$1:$AB$65000,$B1093,K$5)="",2,0)),0)</f>
        <v>0</v>
      </c>
      <c r="L1093" s="194">
        <f>IFERROR(IF(INDEX([1]Pivot!$AD$1:$BE$65000,$B1093,L$5)=1,1,IF(INDEX([1]Pivot!$B$1:$AB$65000,$B1093,L$5)="",2,0)),0)</f>
        <v>0</v>
      </c>
      <c r="M1093" s="194">
        <f>IFERROR(IF(INDEX([1]Pivot!$AD$1:$BE$65000,$B1093,M$5)=1,1,IF(INDEX([1]Pivot!$B$1:$AB$65000,$B1093,M$5)="",2,0)),0)</f>
        <v>0</v>
      </c>
      <c r="N1093" s="194">
        <f>IFERROR(IF(INDEX([1]Pivot!$AD$1:$BE$65000,$B1093,N$5)=1,1,IF(INDEX([1]Pivot!$B$1:$AB$65000,$B1093,N$5)="",2,0)),0)</f>
        <v>0</v>
      </c>
      <c r="O1093" s="194">
        <f>IFERROR(IF(INDEX([1]Pivot!$AD$1:$BE$65000,$B1093,O$5)=1,1,IF(INDEX([1]Pivot!$B$1:$AB$65000,$B1093,O$5)="",2,0)),0)</f>
        <v>0</v>
      </c>
      <c r="P1093" s="194">
        <f>IFERROR(IF(INDEX([1]Pivot!$AD$1:$BE$65000,$B1093,P$5)=1,1,IF(INDEX([1]Pivot!$B$1:$AB$65000,$B1093,P$5)="",2,0)),0)</f>
        <v>0</v>
      </c>
      <c r="Q1093" s="194">
        <f>IFERROR(IF(INDEX([1]Pivot!$AD$1:$BE$65000,$B1093,Q$5)=1,1,IF(INDEX([1]Pivot!$B$1:$AB$65000,$B1093,Q$5)="",2,0)),0)</f>
        <v>0</v>
      </c>
      <c r="R1093" s="312"/>
      <c r="S1093" s="194">
        <f>IFERROR(IF(INDEX([1]Pivot!$AD$1:$BE$65000,$B1093,S$5)=1,1,IF(INDEX([1]Pivot!$B$1:$AB$65000,$B1093,S$5)="",2,0)),0)</f>
        <v>0</v>
      </c>
      <c r="T1093" s="194">
        <f>IFERROR(IF(INDEX([1]Pivot!$AD$1:$BE$65000,$B1093,T$5)=1,1,IF(INDEX([1]Pivot!$B$1:$AB$65000,$B1093,T$5)="",2,0)),0)</f>
        <v>0</v>
      </c>
      <c r="U1093" s="194">
        <f>IFERROR(IF(INDEX([1]Pivot!$AD$1:$BE$65000,$B1093,U$5)=1,1,IF(INDEX([1]Pivot!$B$1:$AB$65000,$B1093,U$5)="",2,0)),0)</f>
        <v>0</v>
      </c>
      <c r="V1093" s="194">
        <f>IFERROR(IF(INDEX([1]Pivot!$AD$1:$BE$65000,$B1093,V$5)=1,1,IF(INDEX([1]Pivot!$B$1:$AB$65000,$B1093,V$5)="",2,0)),0)</f>
        <v>0</v>
      </c>
      <c r="W1093" s="194">
        <f>IFERROR(IF(INDEX([1]Pivot!$AD$1:$BE$65000,$B1093,W$5)=1,1,IF(INDEX([1]Pivot!$B$1:$AB$65000,$B1093,W$5)="",2,0)),0)</f>
        <v>0</v>
      </c>
      <c r="X1093" s="194">
        <f>IFERROR(IF(INDEX([1]Pivot!$AD$1:$BE$65000,$B1093,X$5)=1,1,IF(INDEX([1]Pivot!$B$1:$AB$65000,$B1093,X$5)="",2,0)),0)</f>
        <v>0</v>
      </c>
      <c r="Y1093" s="194">
        <f>IFERROR(IF(INDEX([1]Pivot!$AD$1:$BE$65000,$B1093,Y$5)=1,1,IF(INDEX([1]Pivot!$B$1:$AB$65000,$B1093,Y$5)="",2,0)),0)</f>
        <v>0</v>
      </c>
      <c r="Z1093" s="194">
        <f>IFERROR(IF(INDEX([1]Pivot!$AD$1:$BE$65000,$B1093,Z$5)=1,1,IF(INDEX([1]Pivot!$B$1:$AB$65000,$B1093,Z$5)="",2,0)),0)</f>
        <v>0</v>
      </c>
      <c r="AA1093" s="194">
        <f>IFERROR(IF(INDEX([1]Pivot!$AD$1:$BE$65000,$B1093,AA$5)=1,1,IF(INDEX([1]Pivot!$B$1:$AB$65000,$B1093,AA$5)="",2,0)),0)</f>
        <v>0</v>
      </c>
      <c r="AB1093" s="194">
        <f>IFERROR(IF(INDEX([1]Pivot!$AD$1:$BE$65000,$B1093,AB$5)=1,1,IF(INDEX([1]Pivot!$B$1:$AB$65000,$B1093,AB$5)="",2,0)),0)</f>
        <v>0</v>
      </c>
      <c r="AC1093" s="194">
        <f>IFERROR(IF(INDEX([1]Pivot!$AD$1:$BE$65000,$B1093,AC$5)=1,1,IF(INDEX([1]Pivot!$B$1:$AB$65000,$B1093,AC$5)="",2,0)),0)</f>
        <v>0</v>
      </c>
      <c r="AD1093" s="313">
        <f>IFERROR(IF(INDEX([1]Pivot!$BF$1:$CG$65000,$B1093,AD$5)=1,1,IF(INDEX([1]Pivot!$B$1:$AB$65000,$B1093,AD$5)="",2,0)),0)</f>
        <v>0</v>
      </c>
      <c r="AE1093" s="313">
        <f>IFERROR(IF(INDEX([1]Pivot!$BF$1:$CG$65000,$B1093,AE$5)=1,1,IF(INDEX([1]Pivot!$B$1:$AB$65000,$B1093,AE$5)="",2,0)),0)</f>
        <v>0</v>
      </c>
      <c r="AF1093" s="313">
        <f>IFERROR(IF(INDEX([1]Pivot!$BF$1:$CG$65000,$B1093,AF$5)=1,1,IF(INDEX([1]Pivot!$B$1:$AB$65000,$B1093,AF$5)="",2,0)),0)</f>
        <v>0</v>
      </c>
      <c r="AG1093" s="313">
        <f>IFERROR(IF(INDEX([1]Pivot!$BF$1:$CG$65000,$B1093,AG$5)=1,1,IF(INDEX([1]Pivot!$B$1:$AB$65000,$B1093,AG$5)="",2,0)),0)</f>
        <v>0</v>
      </c>
      <c r="AH1093" s="313">
        <f>IFERROR(IF(INDEX([1]Pivot!$BF$1:$CG$65000,$B1093,AH$5)=1,1,IF(INDEX([1]Pivot!$B$1:$AB$65000,$B1093,AH$5)="",2,0)),0)</f>
        <v>0</v>
      </c>
      <c r="AI1093" s="313">
        <f>IFERROR(IF(INDEX([1]Pivot!$BF$1:$CG$65000,$B1093,AI$5)=1,1,IF(INDEX([1]Pivot!$B$1:$AB$65000,$B1093,AI$5)="",2,0)),0)</f>
        <v>0</v>
      </c>
      <c r="AJ1093" s="313">
        <f>IFERROR(IF(INDEX([1]Pivot!$BF$1:$CG$65000,$B1093,AJ$5)=1,1,IF(INDEX([1]Pivot!$B$1:$AB$65000,$B1093,AJ$5)="",2,0)),0)</f>
        <v>0</v>
      </c>
      <c r="AK1093" s="313">
        <f>IFERROR(IF(INDEX([1]Pivot!$BF$1:$CG$65000,$B1093,AK$5)=1,1,IF(INDEX([1]Pivot!$B$1:$AB$65000,$B1093,AK$5)="",2,0)),0)</f>
        <v>0</v>
      </c>
      <c r="AL1093" s="313">
        <f>IFERROR(IF(INDEX([1]Pivot!$BF$1:$CG$65000,$B1093,AL$5)=1,1,IF(INDEX([1]Pivot!$B$1:$AB$65000,$B1093,AL$5)="",2,0)),0)</f>
        <v>0</v>
      </c>
      <c r="AM1093" s="313">
        <f>IFERROR(IF(INDEX([1]Pivot!$BF$1:$CG$65000,$B1093,AM$5)=1,1,IF(INDEX([1]Pivot!$B$1:$AB$65000,$B1093,AM$5)="",2,0)),0)</f>
        <v>0</v>
      </c>
      <c r="AN1093" s="313">
        <f>IFERROR(IF(INDEX([1]Pivot!$BF$1:$CG$65000,$B1093,AN$5)=1,1,IF(INDEX([1]Pivot!$B$1:$AB$65000,$B1093,AN$5)="",2,0)),0)</f>
        <v>0</v>
      </c>
      <c r="AO1093" s="313">
        <f>IFERROR(IF(INDEX([1]Pivot!$BF$1:$CG$65000,$B1093,AO$5)=1,1,IF(INDEX([1]Pivot!$B$1:$AB$65000,$B1093,AO$5)="",2,0)),0)</f>
        <v>0</v>
      </c>
      <c r="AP1093" s="313">
        <f>IFERROR(IF(INDEX([1]Pivot!$BF$1:$CG$65000,$B1093,AP$5)=1,1,IF(INDEX([1]Pivot!$B$1:$AB$65000,$B1093,AP$5)="",2,0)),0)</f>
        <v>0</v>
      </c>
      <c r="AQ1093" s="313">
        <f>IFERROR(IF(INDEX([1]Pivot!$BF$1:$CG$65000,$B1093,AQ$5)=1,1,IF(INDEX([1]Pivot!$B$1:$AB$65000,$B1093,AQ$5)="",2,0)),0)</f>
        <v>0</v>
      </c>
      <c r="AR1093" s="313">
        <f>IFERROR(IF(INDEX([1]Pivot!$BF$1:$CG$65000,$B1093,AR$5)=1,1,IF(INDEX([1]Pivot!$B$1:$AB$65000,$B1093,AR$5)="",2,0)),0)</f>
        <v>0</v>
      </c>
      <c r="AS1093" s="312"/>
      <c r="AT1093" s="313">
        <f>IFERROR(IF(INDEX([1]Pivot!$BF$1:$CG$65000,$B1093,AT$5)=1,1,IF(INDEX([1]Pivot!$B$1:$AB$65000,$B1093,AT$5)="",2,0)),0)</f>
        <v>0</v>
      </c>
      <c r="AU1093" s="313">
        <f>IFERROR(IF(INDEX([1]Pivot!$BF$1:$CG$65000,$B1093,AU$5)=1,1,IF(INDEX([1]Pivot!$B$1:$AB$65000,$B1093,AU$5)="",2,0)),0)</f>
        <v>0</v>
      </c>
      <c r="AV1093" s="313">
        <f>IFERROR(IF(INDEX([1]Pivot!$BF$1:$CG$65000,$B1093,AV$5)=1,1,IF(INDEX([1]Pivot!$B$1:$AB$65000,$B1093,AV$5)="",2,0)),0)</f>
        <v>0</v>
      </c>
      <c r="AW1093" s="313">
        <f>IFERROR(IF(INDEX([1]Pivot!$BF$1:$CG$65000,$B1093,AW$5)=1,1,IF(INDEX([1]Pivot!$B$1:$AB$65000,$B1093,AW$5)="",2,0)),0)</f>
        <v>0</v>
      </c>
      <c r="AX1093" s="313">
        <f>IFERROR(IF(INDEX([1]Pivot!$BF$1:$CG$65000,$B1093,AX$5)=1,1,IF(INDEX([1]Pivot!$B$1:$AB$65000,$B1093,AX$5)="",2,0)),0)</f>
        <v>0</v>
      </c>
      <c r="AY1093" s="313">
        <f>IFERROR(IF(INDEX([1]Pivot!$BF$1:$CG$65000,$B1093,AY$5)=1,1,IF(INDEX([1]Pivot!$B$1:$AB$65000,$B1093,AY$5)="",2,0)),0)</f>
        <v>0</v>
      </c>
      <c r="AZ1093" s="313">
        <f>IFERROR(IF(INDEX([1]Pivot!$BF$1:$CG$65000,$B1093,AZ$5)=1,1,IF(INDEX([1]Pivot!$B$1:$AB$65000,$B1093,AZ$5)="",2,0)),0)</f>
        <v>0</v>
      </c>
      <c r="BA1093" s="313">
        <f>IFERROR(IF(INDEX([1]Pivot!$BF$1:$CG$65000,$B1093,BA$5)=1,1,IF(INDEX([1]Pivot!$B$1:$AB$65000,$B1093,BA$5)="",2,0)),0)</f>
        <v>0</v>
      </c>
      <c r="BB1093" s="313">
        <f>IFERROR(IF(INDEX([1]Pivot!$BF$1:$CG$65000,$B1093,BB$5)=1,1,IF(INDEX([1]Pivot!$B$1:$AB$65000,$B1093,BB$5)="",2,0)),0)</f>
        <v>0</v>
      </c>
      <c r="BC1093" s="313">
        <f>IFERROR(IF(INDEX([1]Pivot!$BF$1:$CG$65000,$B1093,BC$5)=1,1,IF(INDEX([1]Pivot!$B$1:$AB$65000,$B1093,BC$5)="",2,0)),0)</f>
        <v>0</v>
      </c>
      <c r="BD1093" s="313">
        <f>IFERROR(IF(INDEX([1]Pivot!$BF$1:$CG$65000,$B1093,BD$5)=1,1,IF(INDEX([1]Pivot!$B$1:$AB$65000,$B1093,BD$5)="",2,0)),0)</f>
        <v>0</v>
      </c>
    </row>
    <row r="1094" spans="1:56" x14ac:dyDescent="0.25">
      <c r="A1094" s="288">
        <f>'[2]Raw Milk Prices'!A1094</f>
        <v>0</v>
      </c>
      <c r="B1094" s="296" t="e">
        <f>MATCH(DATE(LEFT('[2]Raw Milk Prices'!$A1094,4),RIGHT('[2]Raw Milk Prices'!$A1094,2),1),[1]Pivot!$A$1:$A$65000,0)</f>
        <v>#VALUE!</v>
      </c>
      <c r="C1094" s="194">
        <f>IFERROR(IF(INDEX([1]Pivot!$AD$1:$BE$65000,$B1094,C$5)=1,1,IF(INDEX([1]Pivot!$B$1:$AB$65000,$B1094,C$5)="",2,0)),0)</f>
        <v>0</v>
      </c>
      <c r="D1094" s="194">
        <f>IFERROR(IF(INDEX([1]Pivot!$AD$1:$BE$65000,$B1094,D$5)=1,1,IF(INDEX([1]Pivot!$B$1:$AB$65000,$B1094,D$5)="",2,0)),0)</f>
        <v>0</v>
      </c>
      <c r="E1094" s="194">
        <f>IFERROR(IF(INDEX([1]Pivot!$AD$1:$BE$65000,$B1094,E$5)=1,1,IF(INDEX([1]Pivot!$B$1:$AB$65000,$B1094,E$5)="",2,0)),0)</f>
        <v>0</v>
      </c>
      <c r="F1094" s="194">
        <f>IFERROR(IF(INDEX([1]Pivot!$AD$1:$BE$65000,$B1094,F$5)=1,1,IF(INDEX([1]Pivot!$B$1:$AB$65000,$B1094,F$5)="",2,0)),0)</f>
        <v>0</v>
      </c>
      <c r="G1094" s="194">
        <f>IFERROR(IF(INDEX([1]Pivot!$AD$1:$BE$65000,$B1094,G$5)=1,1,IF(INDEX([1]Pivot!$B$1:$AB$65000,$B1094,G$5)="",2,0)),0)</f>
        <v>0</v>
      </c>
      <c r="H1094" s="194">
        <f>IFERROR(IF(INDEX([1]Pivot!$AD$1:$BE$65000,$B1094,H$5)=1,1,IF(INDEX([1]Pivot!$B$1:$AB$65000,$B1094,H$5)="",2,0)),0)</f>
        <v>0</v>
      </c>
      <c r="I1094" s="194">
        <f>IFERROR(IF(INDEX([1]Pivot!$AD$1:$BE$65000,$B1094,I$5)=1,1,IF(INDEX([1]Pivot!$B$1:$AB$65000,$B1094,I$5)="",2,0)),0)</f>
        <v>0</v>
      </c>
      <c r="J1094" s="194">
        <f>IFERROR(IF(INDEX([1]Pivot!$AD$1:$BE$65000,$B1094,J$5)=1,1,IF(INDEX([1]Pivot!$B$1:$AB$65000,$B1094,J$5)="",2,0)),0)</f>
        <v>0</v>
      </c>
      <c r="K1094" s="194">
        <f>IFERROR(IF(INDEX([1]Pivot!$AD$1:$BE$65000,$B1094,K$5)=1,1,IF(INDEX([1]Pivot!$B$1:$AB$65000,$B1094,K$5)="",2,0)),0)</f>
        <v>0</v>
      </c>
      <c r="L1094" s="194">
        <f>IFERROR(IF(INDEX([1]Pivot!$AD$1:$BE$65000,$B1094,L$5)=1,1,IF(INDEX([1]Pivot!$B$1:$AB$65000,$B1094,L$5)="",2,0)),0)</f>
        <v>0</v>
      </c>
      <c r="M1094" s="194">
        <f>IFERROR(IF(INDEX([1]Pivot!$AD$1:$BE$65000,$B1094,M$5)=1,1,IF(INDEX([1]Pivot!$B$1:$AB$65000,$B1094,M$5)="",2,0)),0)</f>
        <v>0</v>
      </c>
      <c r="N1094" s="194">
        <f>IFERROR(IF(INDEX([1]Pivot!$AD$1:$BE$65000,$B1094,N$5)=1,1,IF(INDEX([1]Pivot!$B$1:$AB$65000,$B1094,N$5)="",2,0)),0)</f>
        <v>0</v>
      </c>
      <c r="O1094" s="194">
        <f>IFERROR(IF(INDEX([1]Pivot!$AD$1:$BE$65000,$B1094,O$5)=1,1,IF(INDEX([1]Pivot!$B$1:$AB$65000,$B1094,O$5)="",2,0)),0)</f>
        <v>0</v>
      </c>
      <c r="P1094" s="194">
        <f>IFERROR(IF(INDEX([1]Pivot!$AD$1:$BE$65000,$B1094,P$5)=1,1,IF(INDEX([1]Pivot!$B$1:$AB$65000,$B1094,P$5)="",2,0)),0)</f>
        <v>0</v>
      </c>
      <c r="Q1094" s="194">
        <f>IFERROR(IF(INDEX([1]Pivot!$AD$1:$BE$65000,$B1094,Q$5)=1,1,IF(INDEX([1]Pivot!$B$1:$AB$65000,$B1094,Q$5)="",2,0)),0)</f>
        <v>0</v>
      </c>
      <c r="R1094" s="312"/>
      <c r="S1094" s="194">
        <f>IFERROR(IF(INDEX([1]Pivot!$AD$1:$BE$65000,$B1094,S$5)=1,1,IF(INDEX([1]Pivot!$B$1:$AB$65000,$B1094,S$5)="",2,0)),0)</f>
        <v>0</v>
      </c>
      <c r="T1094" s="194">
        <f>IFERROR(IF(INDEX([1]Pivot!$AD$1:$BE$65000,$B1094,T$5)=1,1,IF(INDEX([1]Pivot!$B$1:$AB$65000,$B1094,T$5)="",2,0)),0)</f>
        <v>0</v>
      </c>
      <c r="U1094" s="194">
        <f>IFERROR(IF(INDEX([1]Pivot!$AD$1:$BE$65000,$B1094,U$5)=1,1,IF(INDEX([1]Pivot!$B$1:$AB$65000,$B1094,U$5)="",2,0)),0)</f>
        <v>0</v>
      </c>
      <c r="V1094" s="194">
        <f>IFERROR(IF(INDEX([1]Pivot!$AD$1:$BE$65000,$B1094,V$5)=1,1,IF(INDEX([1]Pivot!$B$1:$AB$65000,$B1094,V$5)="",2,0)),0)</f>
        <v>0</v>
      </c>
      <c r="W1094" s="194">
        <f>IFERROR(IF(INDEX([1]Pivot!$AD$1:$BE$65000,$B1094,W$5)=1,1,IF(INDEX([1]Pivot!$B$1:$AB$65000,$B1094,W$5)="",2,0)),0)</f>
        <v>0</v>
      </c>
      <c r="X1094" s="194">
        <f>IFERROR(IF(INDEX([1]Pivot!$AD$1:$BE$65000,$B1094,X$5)=1,1,IF(INDEX([1]Pivot!$B$1:$AB$65000,$B1094,X$5)="",2,0)),0)</f>
        <v>0</v>
      </c>
      <c r="Y1094" s="194">
        <f>IFERROR(IF(INDEX([1]Pivot!$AD$1:$BE$65000,$B1094,Y$5)=1,1,IF(INDEX([1]Pivot!$B$1:$AB$65000,$B1094,Y$5)="",2,0)),0)</f>
        <v>0</v>
      </c>
      <c r="Z1094" s="194">
        <f>IFERROR(IF(INDEX([1]Pivot!$AD$1:$BE$65000,$B1094,Z$5)=1,1,IF(INDEX([1]Pivot!$B$1:$AB$65000,$B1094,Z$5)="",2,0)),0)</f>
        <v>0</v>
      </c>
      <c r="AA1094" s="194">
        <f>IFERROR(IF(INDEX([1]Pivot!$AD$1:$BE$65000,$B1094,AA$5)=1,1,IF(INDEX([1]Pivot!$B$1:$AB$65000,$B1094,AA$5)="",2,0)),0)</f>
        <v>0</v>
      </c>
      <c r="AB1094" s="194">
        <f>IFERROR(IF(INDEX([1]Pivot!$AD$1:$BE$65000,$B1094,AB$5)=1,1,IF(INDEX([1]Pivot!$B$1:$AB$65000,$B1094,AB$5)="",2,0)),0)</f>
        <v>0</v>
      </c>
      <c r="AC1094" s="194">
        <f>IFERROR(IF(INDEX([1]Pivot!$AD$1:$BE$65000,$B1094,AC$5)=1,1,IF(INDEX([1]Pivot!$B$1:$AB$65000,$B1094,AC$5)="",2,0)),0)</f>
        <v>0</v>
      </c>
      <c r="AD1094" s="313">
        <f>IFERROR(IF(INDEX([1]Pivot!$BF$1:$CG$65000,$B1094,AD$5)=1,1,IF(INDEX([1]Pivot!$B$1:$AB$65000,$B1094,AD$5)="",2,0)),0)</f>
        <v>0</v>
      </c>
      <c r="AE1094" s="313">
        <f>IFERROR(IF(INDEX([1]Pivot!$BF$1:$CG$65000,$B1094,AE$5)=1,1,IF(INDEX([1]Pivot!$B$1:$AB$65000,$B1094,AE$5)="",2,0)),0)</f>
        <v>0</v>
      </c>
      <c r="AF1094" s="313">
        <f>IFERROR(IF(INDEX([1]Pivot!$BF$1:$CG$65000,$B1094,AF$5)=1,1,IF(INDEX([1]Pivot!$B$1:$AB$65000,$B1094,AF$5)="",2,0)),0)</f>
        <v>0</v>
      </c>
      <c r="AG1094" s="313">
        <f>IFERROR(IF(INDEX([1]Pivot!$BF$1:$CG$65000,$B1094,AG$5)=1,1,IF(INDEX([1]Pivot!$B$1:$AB$65000,$B1094,AG$5)="",2,0)),0)</f>
        <v>0</v>
      </c>
      <c r="AH1094" s="313">
        <f>IFERROR(IF(INDEX([1]Pivot!$BF$1:$CG$65000,$B1094,AH$5)=1,1,IF(INDEX([1]Pivot!$B$1:$AB$65000,$B1094,AH$5)="",2,0)),0)</f>
        <v>0</v>
      </c>
      <c r="AI1094" s="313">
        <f>IFERROR(IF(INDEX([1]Pivot!$BF$1:$CG$65000,$B1094,AI$5)=1,1,IF(INDEX([1]Pivot!$B$1:$AB$65000,$B1094,AI$5)="",2,0)),0)</f>
        <v>0</v>
      </c>
      <c r="AJ1094" s="313">
        <f>IFERROR(IF(INDEX([1]Pivot!$BF$1:$CG$65000,$B1094,AJ$5)=1,1,IF(INDEX([1]Pivot!$B$1:$AB$65000,$B1094,AJ$5)="",2,0)),0)</f>
        <v>0</v>
      </c>
      <c r="AK1094" s="313">
        <f>IFERROR(IF(INDEX([1]Pivot!$BF$1:$CG$65000,$B1094,AK$5)=1,1,IF(INDEX([1]Pivot!$B$1:$AB$65000,$B1094,AK$5)="",2,0)),0)</f>
        <v>0</v>
      </c>
      <c r="AL1094" s="313">
        <f>IFERROR(IF(INDEX([1]Pivot!$BF$1:$CG$65000,$B1094,AL$5)=1,1,IF(INDEX([1]Pivot!$B$1:$AB$65000,$B1094,AL$5)="",2,0)),0)</f>
        <v>0</v>
      </c>
      <c r="AM1094" s="313">
        <f>IFERROR(IF(INDEX([1]Pivot!$BF$1:$CG$65000,$B1094,AM$5)=1,1,IF(INDEX([1]Pivot!$B$1:$AB$65000,$B1094,AM$5)="",2,0)),0)</f>
        <v>0</v>
      </c>
      <c r="AN1094" s="313">
        <f>IFERROR(IF(INDEX([1]Pivot!$BF$1:$CG$65000,$B1094,AN$5)=1,1,IF(INDEX([1]Pivot!$B$1:$AB$65000,$B1094,AN$5)="",2,0)),0)</f>
        <v>0</v>
      </c>
      <c r="AO1094" s="313">
        <f>IFERROR(IF(INDEX([1]Pivot!$BF$1:$CG$65000,$B1094,AO$5)=1,1,IF(INDEX([1]Pivot!$B$1:$AB$65000,$B1094,AO$5)="",2,0)),0)</f>
        <v>0</v>
      </c>
      <c r="AP1094" s="313">
        <f>IFERROR(IF(INDEX([1]Pivot!$BF$1:$CG$65000,$B1094,AP$5)=1,1,IF(INDEX([1]Pivot!$B$1:$AB$65000,$B1094,AP$5)="",2,0)),0)</f>
        <v>0</v>
      </c>
      <c r="AQ1094" s="313">
        <f>IFERROR(IF(INDEX([1]Pivot!$BF$1:$CG$65000,$B1094,AQ$5)=1,1,IF(INDEX([1]Pivot!$B$1:$AB$65000,$B1094,AQ$5)="",2,0)),0)</f>
        <v>0</v>
      </c>
      <c r="AR1094" s="313">
        <f>IFERROR(IF(INDEX([1]Pivot!$BF$1:$CG$65000,$B1094,AR$5)=1,1,IF(INDEX([1]Pivot!$B$1:$AB$65000,$B1094,AR$5)="",2,0)),0)</f>
        <v>0</v>
      </c>
      <c r="AS1094" s="312"/>
      <c r="AT1094" s="313">
        <f>IFERROR(IF(INDEX([1]Pivot!$BF$1:$CG$65000,$B1094,AT$5)=1,1,IF(INDEX([1]Pivot!$B$1:$AB$65000,$B1094,AT$5)="",2,0)),0)</f>
        <v>0</v>
      </c>
      <c r="AU1094" s="313">
        <f>IFERROR(IF(INDEX([1]Pivot!$BF$1:$CG$65000,$B1094,AU$5)=1,1,IF(INDEX([1]Pivot!$B$1:$AB$65000,$B1094,AU$5)="",2,0)),0)</f>
        <v>0</v>
      </c>
      <c r="AV1094" s="313">
        <f>IFERROR(IF(INDEX([1]Pivot!$BF$1:$CG$65000,$B1094,AV$5)=1,1,IF(INDEX([1]Pivot!$B$1:$AB$65000,$B1094,AV$5)="",2,0)),0)</f>
        <v>0</v>
      </c>
      <c r="AW1094" s="313">
        <f>IFERROR(IF(INDEX([1]Pivot!$BF$1:$CG$65000,$B1094,AW$5)=1,1,IF(INDEX([1]Pivot!$B$1:$AB$65000,$B1094,AW$5)="",2,0)),0)</f>
        <v>0</v>
      </c>
      <c r="AX1094" s="313">
        <f>IFERROR(IF(INDEX([1]Pivot!$BF$1:$CG$65000,$B1094,AX$5)=1,1,IF(INDEX([1]Pivot!$B$1:$AB$65000,$B1094,AX$5)="",2,0)),0)</f>
        <v>0</v>
      </c>
      <c r="AY1094" s="313">
        <f>IFERROR(IF(INDEX([1]Pivot!$BF$1:$CG$65000,$B1094,AY$5)=1,1,IF(INDEX([1]Pivot!$B$1:$AB$65000,$B1094,AY$5)="",2,0)),0)</f>
        <v>0</v>
      </c>
      <c r="AZ1094" s="313">
        <f>IFERROR(IF(INDEX([1]Pivot!$BF$1:$CG$65000,$B1094,AZ$5)=1,1,IF(INDEX([1]Pivot!$B$1:$AB$65000,$B1094,AZ$5)="",2,0)),0)</f>
        <v>0</v>
      </c>
      <c r="BA1094" s="313">
        <f>IFERROR(IF(INDEX([1]Pivot!$BF$1:$CG$65000,$B1094,BA$5)=1,1,IF(INDEX([1]Pivot!$B$1:$AB$65000,$B1094,BA$5)="",2,0)),0)</f>
        <v>0</v>
      </c>
      <c r="BB1094" s="313">
        <f>IFERROR(IF(INDEX([1]Pivot!$BF$1:$CG$65000,$B1094,BB$5)=1,1,IF(INDEX([1]Pivot!$B$1:$AB$65000,$B1094,BB$5)="",2,0)),0)</f>
        <v>0</v>
      </c>
      <c r="BC1094" s="313">
        <f>IFERROR(IF(INDEX([1]Pivot!$BF$1:$CG$65000,$B1094,BC$5)=1,1,IF(INDEX([1]Pivot!$B$1:$AB$65000,$B1094,BC$5)="",2,0)),0)</f>
        <v>0</v>
      </c>
      <c r="BD1094" s="313">
        <f>IFERROR(IF(INDEX([1]Pivot!$BF$1:$CG$65000,$B1094,BD$5)=1,1,IF(INDEX([1]Pivot!$B$1:$AB$65000,$B1094,BD$5)="",2,0)),0)</f>
        <v>0</v>
      </c>
    </row>
    <row r="1095" spans="1:56" x14ac:dyDescent="0.25">
      <c r="A1095" s="288">
        <f>'[2]Raw Milk Prices'!A1095</f>
        <v>0</v>
      </c>
      <c r="B1095" s="296" t="e">
        <f>MATCH(DATE(LEFT('[2]Raw Milk Prices'!$A1095,4),RIGHT('[2]Raw Milk Prices'!$A1095,2),1),[1]Pivot!$A$1:$A$65000,0)</f>
        <v>#VALUE!</v>
      </c>
      <c r="C1095" s="194">
        <f>IFERROR(IF(INDEX([1]Pivot!$AD$1:$BE$65000,$B1095,C$5)=1,1,IF(INDEX([1]Pivot!$B$1:$AB$65000,$B1095,C$5)="",2,0)),0)</f>
        <v>0</v>
      </c>
      <c r="D1095" s="194">
        <f>IFERROR(IF(INDEX([1]Pivot!$AD$1:$BE$65000,$B1095,D$5)=1,1,IF(INDEX([1]Pivot!$B$1:$AB$65000,$B1095,D$5)="",2,0)),0)</f>
        <v>0</v>
      </c>
      <c r="E1095" s="194">
        <f>IFERROR(IF(INDEX([1]Pivot!$AD$1:$BE$65000,$B1095,E$5)=1,1,IF(INDEX([1]Pivot!$B$1:$AB$65000,$B1095,E$5)="",2,0)),0)</f>
        <v>0</v>
      </c>
      <c r="F1095" s="194">
        <f>IFERROR(IF(INDEX([1]Pivot!$AD$1:$BE$65000,$B1095,F$5)=1,1,IF(INDEX([1]Pivot!$B$1:$AB$65000,$B1095,F$5)="",2,0)),0)</f>
        <v>0</v>
      </c>
      <c r="G1095" s="194">
        <f>IFERROR(IF(INDEX([1]Pivot!$AD$1:$BE$65000,$B1095,G$5)=1,1,IF(INDEX([1]Pivot!$B$1:$AB$65000,$B1095,G$5)="",2,0)),0)</f>
        <v>0</v>
      </c>
      <c r="H1095" s="194">
        <f>IFERROR(IF(INDEX([1]Pivot!$AD$1:$BE$65000,$B1095,H$5)=1,1,IF(INDEX([1]Pivot!$B$1:$AB$65000,$B1095,H$5)="",2,0)),0)</f>
        <v>0</v>
      </c>
      <c r="I1095" s="194">
        <f>IFERROR(IF(INDEX([1]Pivot!$AD$1:$BE$65000,$B1095,I$5)=1,1,IF(INDEX([1]Pivot!$B$1:$AB$65000,$B1095,I$5)="",2,0)),0)</f>
        <v>0</v>
      </c>
      <c r="J1095" s="194">
        <f>IFERROR(IF(INDEX([1]Pivot!$AD$1:$BE$65000,$B1095,J$5)=1,1,IF(INDEX([1]Pivot!$B$1:$AB$65000,$B1095,J$5)="",2,0)),0)</f>
        <v>0</v>
      </c>
      <c r="K1095" s="194">
        <f>IFERROR(IF(INDEX([1]Pivot!$AD$1:$BE$65000,$B1095,K$5)=1,1,IF(INDEX([1]Pivot!$B$1:$AB$65000,$B1095,K$5)="",2,0)),0)</f>
        <v>0</v>
      </c>
      <c r="L1095" s="194">
        <f>IFERROR(IF(INDEX([1]Pivot!$AD$1:$BE$65000,$B1095,L$5)=1,1,IF(INDEX([1]Pivot!$B$1:$AB$65000,$B1095,L$5)="",2,0)),0)</f>
        <v>0</v>
      </c>
      <c r="M1095" s="194">
        <f>IFERROR(IF(INDEX([1]Pivot!$AD$1:$BE$65000,$B1095,M$5)=1,1,IF(INDEX([1]Pivot!$B$1:$AB$65000,$B1095,M$5)="",2,0)),0)</f>
        <v>0</v>
      </c>
      <c r="N1095" s="194">
        <f>IFERROR(IF(INDEX([1]Pivot!$AD$1:$BE$65000,$B1095,N$5)=1,1,IF(INDEX([1]Pivot!$B$1:$AB$65000,$B1095,N$5)="",2,0)),0)</f>
        <v>0</v>
      </c>
      <c r="O1095" s="194">
        <f>IFERROR(IF(INDEX([1]Pivot!$AD$1:$BE$65000,$B1095,O$5)=1,1,IF(INDEX([1]Pivot!$B$1:$AB$65000,$B1095,O$5)="",2,0)),0)</f>
        <v>0</v>
      </c>
      <c r="P1095" s="194">
        <f>IFERROR(IF(INDEX([1]Pivot!$AD$1:$BE$65000,$B1095,P$5)=1,1,IF(INDEX([1]Pivot!$B$1:$AB$65000,$B1095,P$5)="",2,0)),0)</f>
        <v>0</v>
      </c>
      <c r="Q1095" s="194">
        <f>IFERROR(IF(INDEX([1]Pivot!$AD$1:$BE$65000,$B1095,Q$5)=1,1,IF(INDEX([1]Pivot!$B$1:$AB$65000,$B1095,Q$5)="",2,0)),0)</f>
        <v>0</v>
      </c>
      <c r="R1095" s="312"/>
      <c r="S1095" s="194">
        <f>IFERROR(IF(INDEX([1]Pivot!$AD$1:$BE$65000,$B1095,S$5)=1,1,IF(INDEX([1]Pivot!$B$1:$AB$65000,$B1095,S$5)="",2,0)),0)</f>
        <v>0</v>
      </c>
      <c r="T1095" s="194">
        <f>IFERROR(IF(INDEX([1]Pivot!$AD$1:$BE$65000,$B1095,T$5)=1,1,IF(INDEX([1]Pivot!$B$1:$AB$65000,$B1095,T$5)="",2,0)),0)</f>
        <v>0</v>
      </c>
      <c r="U1095" s="194">
        <f>IFERROR(IF(INDEX([1]Pivot!$AD$1:$BE$65000,$B1095,U$5)=1,1,IF(INDEX([1]Pivot!$B$1:$AB$65000,$B1095,U$5)="",2,0)),0)</f>
        <v>0</v>
      </c>
      <c r="V1095" s="194">
        <f>IFERROR(IF(INDEX([1]Pivot!$AD$1:$BE$65000,$B1095,V$5)=1,1,IF(INDEX([1]Pivot!$B$1:$AB$65000,$B1095,V$5)="",2,0)),0)</f>
        <v>0</v>
      </c>
      <c r="W1095" s="194">
        <f>IFERROR(IF(INDEX([1]Pivot!$AD$1:$BE$65000,$B1095,W$5)=1,1,IF(INDEX([1]Pivot!$B$1:$AB$65000,$B1095,W$5)="",2,0)),0)</f>
        <v>0</v>
      </c>
      <c r="X1095" s="194">
        <f>IFERROR(IF(INDEX([1]Pivot!$AD$1:$BE$65000,$B1095,X$5)=1,1,IF(INDEX([1]Pivot!$B$1:$AB$65000,$B1095,X$5)="",2,0)),0)</f>
        <v>0</v>
      </c>
      <c r="Y1095" s="194">
        <f>IFERROR(IF(INDEX([1]Pivot!$AD$1:$BE$65000,$B1095,Y$5)=1,1,IF(INDEX([1]Pivot!$B$1:$AB$65000,$B1095,Y$5)="",2,0)),0)</f>
        <v>0</v>
      </c>
      <c r="Z1095" s="194">
        <f>IFERROR(IF(INDEX([1]Pivot!$AD$1:$BE$65000,$B1095,Z$5)=1,1,IF(INDEX([1]Pivot!$B$1:$AB$65000,$B1095,Z$5)="",2,0)),0)</f>
        <v>0</v>
      </c>
      <c r="AA1095" s="194">
        <f>IFERROR(IF(INDEX([1]Pivot!$AD$1:$BE$65000,$B1095,AA$5)=1,1,IF(INDEX([1]Pivot!$B$1:$AB$65000,$B1095,AA$5)="",2,0)),0)</f>
        <v>0</v>
      </c>
      <c r="AB1095" s="194">
        <f>IFERROR(IF(INDEX([1]Pivot!$AD$1:$BE$65000,$B1095,AB$5)=1,1,IF(INDEX([1]Pivot!$B$1:$AB$65000,$B1095,AB$5)="",2,0)),0)</f>
        <v>0</v>
      </c>
      <c r="AC1095" s="194">
        <f>IFERROR(IF(INDEX([1]Pivot!$AD$1:$BE$65000,$B1095,AC$5)=1,1,IF(INDEX([1]Pivot!$B$1:$AB$65000,$B1095,AC$5)="",2,0)),0)</f>
        <v>0</v>
      </c>
      <c r="AD1095" s="313">
        <f>IFERROR(IF(INDEX([1]Pivot!$BF$1:$CG$65000,$B1095,AD$5)=1,1,IF(INDEX([1]Pivot!$B$1:$AB$65000,$B1095,AD$5)="",2,0)),0)</f>
        <v>0</v>
      </c>
      <c r="AE1095" s="313">
        <f>IFERROR(IF(INDEX([1]Pivot!$BF$1:$CG$65000,$B1095,AE$5)=1,1,IF(INDEX([1]Pivot!$B$1:$AB$65000,$B1095,AE$5)="",2,0)),0)</f>
        <v>0</v>
      </c>
      <c r="AF1095" s="313">
        <f>IFERROR(IF(INDEX([1]Pivot!$BF$1:$CG$65000,$B1095,AF$5)=1,1,IF(INDEX([1]Pivot!$B$1:$AB$65000,$B1095,AF$5)="",2,0)),0)</f>
        <v>0</v>
      </c>
      <c r="AG1095" s="313">
        <f>IFERROR(IF(INDEX([1]Pivot!$BF$1:$CG$65000,$B1095,AG$5)=1,1,IF(INDEX([1]Pivot!$B$1:$AB$65000,$B1095,AG$5)="",2,0)),0)</f>
        <v>0</v>
      </c>
      <c r="AH1095" s="313">
        <f>IFERROR(IF(INDEX([1]Pivot!$BF$1:$CG$65000,$B1095,AH$5)=1,1,IF(INDEX([1]Pivot!$B$1:$AB$65000,$B1095,AH$5)="",2,0)),0)</f>
        <v>0</v>
      </c>
      <c r="AI1095" s="313">
        <f>IFERROR(IF(INDEX([1]Pivot!$BF$1:$CG$65000,$B1095,AI$5)=1,1,IF(INDEX([1]Pivot!$B$1:$AB$65000,$B1095,AI$5)="",2,0)),0)</f>
        <v>0</v>
      </c>
      <c r="AJ1095" s="313">
        <f>IFERROR(IF(INDEX([1]Pivot!$BF$1:$CG$65000,$B1095,AJ$5)=1,1,IF(INDEX([1]Pivot!$B$1:$AB$65000,$B1095,AJ$5)="",2,0)),0)</f>
        <v>0</v>
      </c>
      <c r="AK1095" s="313">
        <f>IFERROR(IF(INDEX([1]Pivot!$BF$1:$CG$65000,$B1095,AK$5)=1,1,IF(INDEX([1]Pivot!$B$1:$AB$65000,$B1095,AK$5)="",2,0)),0)</f>
        <v>0</v>
      </c>
      <c r="AL1095" s="313">
        <f>IFERROR(IF(INDEX([1]Pivot!$BF$1:$CG$65000,$B1095,AL$5)=1,1,IF(INDEX([1]Pivot!$B$1:$AB$65000,$B1095,AL$5)="",2,0)),0)</f>
        <v>0</v>
      </c>
      <c r="AM1095" s="313">
        <f>IFERROR(IF(INDEX([1]Pivot!$BF$1:$CG$65000,$B1095,AM$5)=1,1,IF(INDEX([1]Pivot!$B$1:$AB$65000,$B1095,AM$5)="",2,0)),0)</f>
        <v>0</v>
      </c>
      <c r="AN1095" s="313">
        <f>IFERROR(IF(INDEX([1]Pivot!$BF$1:$CG$65000,$B1095,AN$5)=1,1,IF(INDEX([1]Pivot!$B$1:$AB$65000,$B1095,AN$5)="",2,0)),0)</f>
        <v>0</v>
      </c>
      <c r="AO1095" s="313">
        <f>IFERROR(IF(INDEX([1]Pivot!$BF$1:$CG$65000,$B1095,AO$5)=1,1,IF(INDEX([1]Pivot!$B$1:$AB$65000,$B1095,AO$5)="",2,0)),0)</f>
        <v>0</v>
      </c>
      <c r="AP1095" s="313">
        <f>IFERROR(IF(INDEX([1]Pivot!$BF$1:$CG$65000,$B1095,AP$5)=1,1,IF(INDEX([1]Pivot!$B$1:$AB$65000,$B1095,AP$5)="",2,0)),0)</f>
        <v>0</v>
      </c>
      <c r="AQ1095" s="313">
        <f>IFERROR(IF(INDEX([1]Pivot!$BF$1:$CG$65000,$B1095,AQ$5)=1,1,IF(INDEX([1]Pivot!$B$1:$AB$65000,$B1095,AQ$5)="",2,0)),0)</f>
        <v>0</v>
      </c>
      <c r="AR1095" s="313">
        <f>IFERROR(IF(INDEX([1]Pivot!$BF$1:$CG$65000,$B1095,AR$5)=1,1,IF(INDEX([1]Pivot!$B$1:$AB$65000,$B1095,AR$5)="",2,0)),0)</f>
        <v>0</v>
      </c>
      <c r="AS1095" s="312"/>
      <c r="AT1095" s="313">
        <f>IFERROR(IF(INDEX([1]Pivot!$BF$1:$CG$65000,$B1095,AT$5)=1,1,IF(INDEX([1]Pivot!$B$1:$AB$65000,$B1095,AT$5)="",2,0)),0)</f>
        <v>0</v>
      </c>
      <c r="AU1095" s="313">
        <f>IFERROR(IF(INDEX([1]Pivot!$BF$1:$CG$65000,$B1095,AU$5)=1,1,IF(INDEX([1]Pivot!$B$1:$AB$65000,$B1095,AU$5)="",2,0)),0)</f>
        <v>0</v>
      </c>
      <c r="AV1095" s="313">
        <f>IFERROR(IF(INDEX([1]Pivot!$BF$1:$CG$65000,$B1095,AV$5)=1,1,IF(INDEX([1]Pivot!$B$1:$AB$65000,$B1095,AV$5)="",2,0)),0)</f>
        <v>0</v>
      </c>
      <c r="AW1095" s="313">
        <f>IFERROR(IF(INDEX([1]Pivot!$BF$1:$CG$65000,$B1095,AW$5)=1,1,IF(INDEX([1]Pivot!$B$1:$AB$65000,$B1095,AW$5)="",2,0)),0)</f>
        <v>0</v>
      </c>
      <c r="AX1095" s="313">
        <f>IFERROR(IF(INDEX([1]Pivot!$BF$1:$CG$65000,$B1095,AX$5)=1,1,IF(INDEX([1]Pivot!$B$1:$AB$65000,$B1095,AX$5)="",2,0)),0)</f>
        <v>0</v>
      </c>
      <c r="AY1095" s="313">
        <f>IFERROR(IF(INDEX([1]Pivot!$BF$1:$CG$65000,$B1095,AY$5)=1,1,IF(INDEX([1]Pivot!$B$1:$AB$65000,$B1095,AY$5)="",2,0)),0)</f>
        <v>0</v>
      </c>
      <c r="AZ1095" s="313">
        <f>IFERROR(IF(INDEX([1]Pivot!$BF$1:$CG$65000,$B1095,AZ$5)=1,1,IF(INDEX([1]Pivot!$B$1:$AB$65000,$B1095,AZ$5)="",2,0)),0)</f>
        <v>0</v>
      </c>
      <c r="BA1095" s="313">
        <f>IFERROR(IF(INDEX([1]Pivot!$BF$1:$CG$65000,$B1095,BA$5)=1,1,IF(INDEX([1]Pivot!$B$1:$AB$65000,$B1095,BA$5)="",2,0)),0)</f>
        <v>0</v>
      </c>
      <c r="BB1095" s="313">
        <f>IFERROR(IF(INDEX([1]Pivot!$BF$1:$CG$65000,$B1095,BB$5)=1,1,IF(INDEX([1]Pivot!$B$1:$AB$65000,$B1095,BB$5)="",2,0)),0)</f>
        <v>0</v>
      </c>
      <c r="BC1095" s="313">
        <f>IFERROR(IF(INDEX([1]Pivot!$BF$1:$CG$65000,$B1095,BC$5)=1,1,IF(INDEX([1]Pivot!$B$1:$AB$65000,$B1095,BC$5)="",2,0)),0)</f>
        <v>0</v>
      </c>
      <c r="BD1095" s="313">
        <f>IFERROR(IF(INDEX([1]Pivot!$BF$1:$CG$65000,$B1095,BD$5)=1,1,IF(INDEX([1]Pivot!$B$1:$AB$65000,$B1095,BD$5)="",2,0)),0)</f>
        <v>0</v>
      </c>
    </row>
    <row r="1096" spans="1:56" x14ac:dyDescent="0.25">
      <c r="A1096" s="288">
        <f>'[2]Raw Milk Prices'!A1096</f>
        <v>0</v>
      </c>
      <c r="B1096" s="296" t="e">
        <f>MATCH(DATE(LEFT('[2]Raw Milk Prices'!$A1096,4),RIGHT('[2]Raw Milk Prices'!$A1096,2),1),[1]Pivot!$A$1:$A$65000,0)</f>
        <v>#VALUE!</v>
      </c>
      <c r="C1096" s="194">
        <f>IFERROR(IF(INDEX([1]Pivot!$AD$1:$BE$65000,$B1096,C$5)=1,1,IF(INDEX([1]Pivot!$B$1:$AB$65000,$B1096,C$5)="",2,0)),0)</f>
        <v>0</v>
      </c>
      <c r="D1096" s="194">
        <f>IFERROR(IF(INDEX([1]Pivot!$AD$1:$BE$65000,$B1096,D$5)=1,1,IF(INDEX([1]Pivot!$B$1:$AB$65000,$B1096,D$5)="",2,0)),0)</f>
        <v>0</v>
      </c>
      <c r="E1096" s="194">
        <f>IFERROR(IF(INDEX([1]Pivot!$AD$1:$BE$65000,$B1096,E$5)=1,1,IF(INDEX([1]Pivot!$B$1:$AB$65000,$B1096,E$5)="",2,0)),0)</f>
        <v>0</v>
      </c>
      <c r="F1096" s="194">
        <f>IFERROR(IF(INDEX([1]Pivot!$AD$1:$BE$65000,$B1096,F$5)=1,1,IF(INDEX([1]Pivot!$B$1:$AB$65000,$B1096,F$5)="",2,0)),0)</f>
        <v>0</v>
      </c>
      <c r="G1096" s="194">
        <f>IFERROR(IF(INDEX([1]Pivot!$AD$1:$BE$65000,$B1096,G$5)=1,1,IF(INDEX([1]Pivot!$B$1:$AB$65000,$B1096,G$5)="",2,0)),0)</f>
        <v>0</v>
      </c>
      <c r="H1096" s="194">
        <f>IFERROR(IF(INDEX([1]Pivot!$AD$1:$BE$65000,$B1096,H$5)=1,1,IF(INDEX([1]Pivot!$B$1:$AB$65000,$B1096,H$5)="",2,0)),0)</f>
        <v>0</v>
      </c>
      <c r="I1096" s="194">
        <f>IFERROR(IF(INDEX([1]Pivot!$AD$1:$BE$65000,$B1096,I$5)=1,1,IF(INDEX([1]Pivot!$B$1:$AB$65000,$B1096,I$5)="",2,0)),0)</f>
        <v>0</v>
      </c>
      <c r="J1096" s="194">
        <f>IFERROR(IF(INDEX([1]Pivot!$AD$1:$BE$65000,$B1096,J$5)=1,1,IF(INDEX([1]Pivot!$B$1:$AB$65000,$B1096,J$5)="",2,0)),0)</f>
        <v>0</v>
      </c>
      <c r="K1096" s="194">
        <f>IFERROR(IF(INDEX([1]Pivot!$AD$1:$BE$65000,$B1096,K$5)=1,1,IF(INDEX([1]Pivot!$B$1:$AB$65000,$B1096,K$5)="",2,0)),0)</f>
        <v>0</v>
      </c>
      <c r="L1096" s="194">
        <f>IFERROR(IF(INDEX([1]Pivot!$AD$1:$BE$65000,$B1096,L$5)=1,1,IF(INDEX([1]Pivot!$B$1:$AB$65000,$B1096,L$5)="",2,0)),0)</f>
        <v>0</v>
      </c>
      <c r="M1096" s="194">
        <f>IFERROR(IF(INDEX([1]Pivot!$AD$1:$BE$65000,$B1096,M$5)=1,1,IF(INDEX([1]Pivot!$B$1:$AB$65000,$B1096,M$5)="",2,0)),0)</f>
        <v>0</v>
      </c>
      <c r="N1096" s="194">
        <f>IFERROR(IF(INDEX([1]Pivot!$AD$1:$BE$65000,$B1096,N$5)=1,1,IF(INDEX([1]Pivot!$B$1:$AB$65000,$B1096,N$5)="",2,0)),0)</f>
        <v>0</v>
      </c>
      <c r="O1096" s="194">
        <f>IFERROR(IF(INDEX([1]Pivot!$AD$1:$BE$65000,$B1096,O$5)=1,1,IF(INDEX([1]Pivot!$B$1:$AB$65000,$B1096,O$5)="",2,0)),0)</f>
        <v>0</v>
      </c>
      <c r="P1096" s="194">
        <f>IFERROR(IF(INDEX([1]Pivot!$AD$1:$BE$65000,$B1096,P$5)=1,1,IF(INDEX([1]Pivot!$B$1:$AB$65000,$B1096,P$5)="",2,0)),0)</f>
        <v>0</v>
      </c>
      <c r="Q1096" s="194">
        <f>IFERROR(IF(INDEX([1]Pivot!$AD$1:$BE$65000,$B1096,Q$5)=1,1,IF(INDEX([1]Pivot!$B$1:$AB$65000,$B1096,Q$5)="",2,0)),0)</f>
        <v>0</v>
      </c>
      <c r="R1096" s="312"/>
      <c r="S1096" s="194">
        <f>IFERROR(IF(INDEX([1]Pivot!$AD$1:$BE$65000,$B1096,S$5)=1,1,IF(INDEX([1]Pivot!$B$1:$AB$65000,$B1096,S$5)="",2,0)),0)</f>
        <v>0</v>
      </c>
      <c r="T1096" s="194">
        <f>IFERROR(IF(INDEX([1]Pivot!$AD$1:$BE$65000,$B1096,T$5)=1,1,IF(INDEX([1]Pivot!$B$1:$AB$65000,$B1096,T$5)="",2,0)),0)</f>
        <v>0</v>
      </c>
      <c r="U1096" s="194">
        <f>IFERROR(IF(INDEX([1]Pivot!$AD$1:$BE$65000,$B1096,U$5)=1,1,IF(INDEX([1]Pivot!$B$1:$AB$65000,$B1096,U$5)="",2,0)),0)</f>
        <v>0</v>
      </c>
      <c r="V1096" s="194">
        <f>IFERROR(IF(INDEX([1]Pivot!$AD$1:$BE$65000,$B1096,V$5)=1,1,IF(INDEX([1]Pivot!$B$1:$AB$65000,$B1096,V$5)="",2,0)),0)</f>
        <v>0</v>
      </c>
      <c r="W1096" s="194">
        <f>IFERROR(IF(INDEX([1]Pivot!$AD$1:$BE$65000,$B1096,W$5)=1,1,IF(INDEX([1]Pivot!$B$1:$AB$65000,$B1096,W$5)="",2,0)),0)</f>
        <v>0</v>
      </c>
      <c r="X1096" s="194">
        <f>IFERROR(IF(INDEX([1]Pivot!$AD$1:$BE$65000,$B1096,X$5)=1,1,IF(INDEX([1]Pivot!$B$1:$AB$65000,$B1096,X$5)="",2,0)),0)</f>
        <v>0</v>
      </c>
      <c r="Y1096" s="194">
        <f>IFERROR(IF(INDEX([1]Pivot!$AD$1:$BE$65000,$B1096,Y$5)=1,1,IF(INDEX([1]Pivot!$B$1:$AB$65000,$B1096,Y$5)="",2,0)),0)</f>
        <v>0</v>
      </c>
      <c r="Z1096" s="194">
        <f>IFERROR(IF(INDEX([1]Pivot!$AD$1:$BE$65000,$B1096,Z$5)=1,1,IF(INDEX([1]Pivot!$B$1:$AB$65000,$B1096,Z$5)="",2,0)),0)</f>
        <v>0</v>
      </c>
      <c r="AA1096" s="194">
        <f>IFERROR(IF(INDEX([1]Pivot!$AD$1:$BE$65000,$B1096,AA$5)=1,1,IF(INDEX([1]Pivot!$B$1:$AB$65000,$B1096,AA$5)="",2,0)),0)</f>
        <v>0</v>
      </c>
      <c r="AB1096" s="194">
        <f>IFERROR(IF(INDEX([1]Pivot!$AD$1:$BE$65000,$B1096,AB$5)=1,1,IF(INDEX([1]Pivot!$B$1:$AB$65000,$B1096,AB$5)="",2,0)),0)</f>
        <v>0</v>
      </c>
      <c r="AC1096" s="194">
        <f>IFERROR(IF(INDEX([1]Pivot!$AD$1:$BE$65000,$B1096,AC$5)=1,1,IF(INDEX([1]Pivot!$B$1:$AB$65000,$B1096,AC$5)="",2,0)),0)</f>
        <v>0</v>
      </c>
      <c r="AD1096" s="313">
        <f>IFERROR(IF(INDEX([1]Pivot!$BF$1:$CG$65000,$B1096,AD$5)=1,1,IF(INDEX([1]Pivot!$B$1:$AB$65000,$B1096,AD$5)="",2,0)),0)</f>
        <v>0</v>
      </c>
      <c r="AE1096" s="313">
        <f>IFERROR(IF(INDEX([1]Pivot!$BF$1:$CG$65000,$B1096,AE$5)=1,1,IF(INDEX([1]Pivot!$B$1:$AB$65000,$B1096,AE$5)="",2,0)),0)</f>
        <v>0</v>
      </c>
      <c r="AF1096" s="313">
        <f>IFERROR(IF(INDEX([1]Pivot!$BF$1:$CG$65000,$B1096,AF$5)=1,1,IF(INDEX([1]Pivot!$B$1:$AB$65000,$B1096,AF$5)="",2,0)),0)</f>
        <v>0</v>
      </c>
      <c r="AG1096" s="313">
        <f>IFERROR(IF(INDEX([1]Pivot!$BF$1:$CG$65000,$B1096,AG$5)=1,1,IF(INDEX([1]Pivot!$B$1:$AB$65000,$B1096,AG$5)="",2,0)),0)</f>
        <v>0</v>
      </c>
      <c r="AH1096" s="313">
        <f>IFERROR(IF(INDEX([1]Pivot!$BF$1:$CG$65000,$B1096,AH$5)=1,1,IF(INDEX([1]Pivot!$B$1:$AB$65000,$B1096,AH$5)="",2,0)),0)</f>
        <v>0</v>
      </c>
      <c r="AI1096" s="313">
        <f>IFERROR(IF(INDEX([1]Pivot!$BF$1:$CG$65000,$B1096,AI$5)=1,1,IF(INDEX([1]Pivot!$B$1:$AB$65000,$B1096,AI$5)="",2,0)),0)</f>
        <v>0</v>
      </c>
      <c r="AJ1096" s="313">
        <f>IFERROR(IF(INDEX([1]Pivot!$BF$1:$CG$65000,$B1096,AJ$5)=1,1,IF(INDEX([1]Pivot!$B$1:$AB$65000,$B1096,AJ$5)="",2,0)),0)</f>
        <v>0</v>
      </c>
      <c r="AK1096" s="313">
        <f>IFERROR(IF(INDEX([1]Pivot!$BF$1:$CG$65000,$B1096,AK$5)=1,1,IF(INDEX([1]Pivot!$B$1:$AB$65000,$B1096,AK$5)="",2,0)),0)</f>
        <v>0</v>
      </c>
      <c r="AL1096" s="313">
        <f>IFERROR(IF(INDEX([1]Pivot!$BF$1:$CG$65000,$B1096,AL$5)=1,1,IF(INDEX([1]Pivot!$B$1:$AB$65000,$B1096,AL$5)="",2,0)),0)</f>
        <v>0</v>
      </c>
      <c r="AM1096" s="313">
        <f>IFERROR(IF(INDEX([1]Pivot!$BF$1:$CG$65000,$B1096,AM$5)=1,1,IF(INDEX([1]Pivot!$B$1:$AB$65000,$B1096,AM$5)="",2,0)),0)</f>
        <v>0</v>
      </c>
      <c r="AN1096" s="313">
        <f>IFERROR(IF(INDEX([1]Pivot!$BF$1:$CG$65000,$B1096,AN$5)=1,1,IF(INDEX([1]Pivot!$B$1:$AB$65000,$B1096,AN$5)="",2,0)),0)</f>
        <v>0</v>
      </c>
      <c r="AO1096" s="313">
        <f>IFERROR(IF(INDEX([1]Pivot!$BF$1:$CG$65000,$B1096,AO$5)=1,1,IF(INDEX([1]Pivot!$B$1:$AB$65000,$B1096,AO$5)="",2,0)),0)</f>
        <v>0</v>
      </c>
      <c r="AP1096" s="313">
        <f>IFERROR(IF(INDEX([1]Pivot!$BF$1:$CG$65000,$B1096,AP$5)=1,1,IF(INDEX([1]Pivot!$B$1:$AB$65000,$B1096,AP$5)="",2,0)),0)</f>
        <v>0</v>
      </c>
      <c r="AQ1096" s="313">
        <f>IFERROR(IF(INDEX([1]Pivot!$BF$1:$CG$65000,$B1096,AQ$5)=1,1,IF(INDEX([1]Pivot!$B$1:$AB$65000,$B1096,AQ$5)="",2,0)),0)</f>
        <v>0</v>
      </c>
      <c r="AR1096" s="313">
        <f>IFERROR(IF(INDEX([1]Pivot!$BF$1:$CG$65000,$B1096,AR$5)=1,1,IF(INDEX([1]Pivot!$B$1:$AB$65000,$B1096,AR$5)="",2,0)),0)</f>
        <v>0</v>
      </c>
      <c r="AS1096" s="312"/>
      <c r="AT1096" s="313">
        <f>IFERROR(IF(INDEX([1]Pivot!$BF$1:$CG$65000,$B1096,AT$5)=1,1,IF(INDEX([1]Pivot!$B$1:$AB$65000,$B1096,AT$5)="",2,0)),0)</f>
        <v>0</v>
      </c>
      <c r="AU1096" s="313">
        <f>IFERROR(IF(INDEX([1]Pivot!$BF$1:$CG$65000,$B1096,AU$5)=1,1,IF(INDEX([1]Pivot!$B$1:$AB$65000,$B1096,AU$5)="",2,0)),0)</f>
        <v>0</v>
      </c>
      <c r="AV1096" s="313">
        <f>IFERROR(IF(INDEX([1]Pivot!$BF$1:$CG$65000,$B1096,AV$5)=1,1,IF(INDEX([1]Pivot!$B$1:$AB$65000,$B1096,AV$5)="",2,0)),0)</f>
        <v>0</v>
      </c>
      <c r="AW1096" s="313">
        <f>IFERROR(IF(INDEX([1]Pivot!$BF$1:$CG$65000,$B1096,AW$5)=1,1,IF(INDEX([1]Pivot!$B$1:$AB$65000,$B1096,AW$5)="",2,0)),0)</f>
        <v>0</v>
      </c>
      <c r="AX1096" s="313">
        <f>IFERROR(IF(INDEX([1]Pivot!$BF$1:$CG$65000,$B1096,AX$5)=1,1,IF(INDEX([1]Pivot!$B$1:$AB$65000,$B1096,AX$5)="",2,0)),0)</f>
        <v>0</v>
      </c>
      <c r="AY1096" s="313">
        <f>IFERROR(IF(INDEX([1]Pivot!$BF$1:$CG$65000,$B1096,AY$5)=1,1,IF(INDEX([1]Pivot!$B$1:$AB$65000,$B1096,AY$5)="",2,0)),0)</f>
        <v>0</v>
      </c>
      <c r="AZ1096" s="313">
        <f>IFERROR(IF(INDEX([1]Pivot!$BF$1:$CG$65000,$B1096,AZ$5)=1,1,IF(INDEX([1]Pivot!$B$1:$AB$65000,$B1096,AZ$5)="",2,0)),0)</f>
        <v>0</v>
      </c>
      <c r="BA1096" s="313">
        <f>IFERROR(IF(INDEX([1]Pivot!$BF$1:$CG$65000,$B1096,BA$5)=1,1,IF(INDEX([1]Pivot!$B$1:$AB$65000,$B1096,BA$5)="",2,0)),0)</f>
        <v>0</v>
      </c>
      <c r="BB1096" s="313">
        <f>IFERROR(IF(INDEX([1]Pivot!$BF$1:$CG$65000,$B1096,BB$5)=1,1,IF(INDEX([1]Pivot!$B$1:$AB$65000,$B1096,BB$5)="",2,0)),0)</f>
        <v>0</v>
      </c>
      <c r="BC1096" s="313">
        <f>IFERROR(IF(INDEX([1]Pivot!$BF$1:$CG$65000,$B1096,BC$5)=1,1,IF(INDEX([1]Pivot!$B$1:$AB$65000,$B1096,BC$5)="",2,0)),0)</f>
        <v>0</v>
      </c>
      <c r="BD1096" s="313">
        <f>IFERROR(IF(INDEX([1]Pivot!$BF$1:$CG$65000,$B1096,BD$5)=1,1,IF(INDEX([1]Pivot!$B$1:$AB$65000,$B1096,BD$5)="",2,0)),0)</f>
        <v>0</v>
      </c>
    </row>
    <row r="1097" spans="1:56" x14ac:dyDescent="0.25">
      <c r="A1097" s="288">
        <f>'[2]Raw Milk Prices'!A1097</f>
        <v>0</v>
      </c>
      <c r="B1097" s="296" t="e">
        <f>MATCH(DATE(LEFT('[2]Raw Milk Prices'!$A1097,4),RIGHT('[2]Raw Milk Prices'!$A1097,2),1),[1]Pivot!$A$1:$A$65000,0)</f>
        <v>#VALUE!</v>
      </c>
      <c r="C1097" s="194">
        <f>IFERROR(IF(INDEX([1]Pivot!$AD$1:$BE$65000,$B1097,C$5)=1,1,IF(INDEX([1]Pivot!$B$1:$AB$65000,$B1097,C$5)="",2,0)),0)</f>
        <v>0</v>
      </c>
      <c r="D1097" s="194">
        <f>IFERROR(IF(INDEX([1]Pivot!$AD$1:$BE$65000,$B1097,D$5)=1,1,IF(INDEX([1]Pivot!$B$1:$AB$65000,$B1097,D$5)="",2,0)),0)</f>
        <v>0</v>
      </c>
      <c r="E1097" s="194">
        <f>IFERROR(IF(INDEX([1]Pivot!$AD$1:$BE$65000,$B1097,E$5)=1,1,IF(INDEX([1]Pivot!$B$1:$AB$65000,$B1097,E$5)="",2,0)),0)</f>
        <v>0</v>
      </c>
      <c r="F1097" s="194">
        <f>IFERROR(IF(INDEX([1]Pivot!$AD$1:$BE$65000,$B1097,F$5)=1,1,IF(INDEX([1]Pivot!$B$1:$AB$65000,$B1097,F$5)="",2,0)),0)</f>
        <v>0</v>
      </c>
      <c r="G1097" s="194">
        <f>IFERROR(IF(INDEX([1]Pivot!$AD$1:$BE$65000,$B1097,G$5)=1,1,IF(INDEX([1]Pivot!$B$1:$AB$65000,$B1097,G$5)="",2,0)),0)</f>
        <v>0</v>
      </c>
      <c r="H1097" s="194">
        <f>IFERROR(IF(INDEX([1]Pivot!$AD$1:$BE$65000,$B1097,H$5)=1,1,IF(INDEX([1]Pivot!$B$1:$AB$65000,$B1097,H$5)="",2,0)),0)</f>
        <v>0</v>
      </c>
      <c r="I1097" s="194">
        <f>IFERROR(IF(INDEX([1]Pivot!$AD$1:$BE$65000,$B1097,I$5)=1,1,IF(INDEX([1]Pivot!$B$1:$AB$65000,$B1097,I$5)="",2,0)),0)</f>
        <v>0</v>
      </c>
      <c r="J1097" s="194">
        <f>IFERROR(IF(INDEX([1]Pivot!$AD$1:$BE$65000,$B1097,J$5)=1,1,IF(INDEX([1]Pivot!$B$1:$AB$65000,$B1097,J$5)="",2,0)),0)</f>
        <v>0</v>
      </c>
      <c r="K1097" s="194">
        <f>IFERROR(IF(INDEX([1]Pivot!$AD$1:$BE$65000,$B1097,K$5)=1,1,IF(INDEX([1]Pivot!$B$1:$AB$65000,$B1097,K$5)="",2,0)),0)</f>
        <v>0</v>
      </c>
      <c r="L1097" s="194">
        <f>IFERROR(IF(INDEX([1]Pivot!$AD$1:$BE$65000,$B1097,L$5)=1,1,IF(INDEX([1]Pivot!$B$1:$AB$65000,$B1097,L$5)="",2,0)),0)</f>
        <v>0</v>
      </c>
      <c r="M1097" s="194">
        <f>IFERROR(IF(INDEX([1]Pivot!$AD$1:$BE$65000,$B1097,M$5)=1,1,IF(INDEX([1]Pivot!$B$1:$AB$65000,$B1097,M$5)="",2,0)),0)</f>
        <v>0</v>
      </c>
      <c r="N1097" s="194">
        <f>IFERROR(IF(INDEX([1]Pivot!$AD$1:$BE$65000,$B1097,N$5)=1,1,IF(INDEX([1]Pivot!$B$1:$AB$65000,$B1097,N$5)="",2,0)),0)</f>
        <v>0</v>
      </c>
      <c r="O1097" s="194">
        <f>IFERROR(IF(INDEX([1]Pivot!$AD$1:$BE$65000,$B1097,O$5)=1,1,IF(INDEX([1]Pivot!$B$1:$AB$65000,$B1097,O$5)="",2,0)),0)</f>
        <v>0</v>
      </c>
      <c r="P1097" s="194">
        <f>IFERROR(IF(INDEX([1]Pivot!$AD$1:$BE$65000,$B1097,P$5)=1,1,IF(INDEX([1]Pivot!$B$1:$AB$65000,$B1097,P$5)="",2,0)),0)</f>
        <v>0</v>
      </c>
      <c r="Q1097" s="194">
        <f>IFERROR(IF(INDEX([1]Pivot!$AD$1:$BE$65000,$B1097,Q$5)=1,1,IF(INDEX([1]Pivot!$B$1:$AB$65000,$B1097,Q$5)="",2,0)),0)</f>
        <v>0</v>
      </c>
      <c r="R1097" s="312"/>
      <c r="S1097" s="194">
        <f>IFERROR(IF(INDEX([1]Pivot!$AD$1:$BE$65000,$B1097,S$5)=1,1,IF(INDEX([1]Pivot!$B$1:$AB$65000,$B1097,S$5)="",2,0)),0)</f>
        <v>0</v>
      </c>
      <c r="T1097" s="194">
        <f>IFERROR(IF(INDEX([1]Pivot!$AD$1:$BE$65000,$B1097,T$5)=1,1,IF(INDEX([1]Pivot!$B$1:$AB$65000,$B1097,T$5)="",2,0)),0)</f>
        <v>0</v>
      </c>
      <c r="U1097" s="194">
        <f>IFERROR(IF(INDEX([1]Pivot!$AD$1:$BE$65000,$B1097,U$5)=1,1,IF(INDEX([1]Pivot!$B$1:$AB$65000,$B1097,U$5)="",2,0)),0)</f>
        <v>0</v>
      </c>
      <c r="V1097" s="194">
        <f>IFERROR(IF(INDEX([1]Pivot!$AD$1:$BE$65000,$B1097,V$5)=1,1,IF(INDEX([1]Pivot!$B$1:$AB$65000,$B1097,V$5)="",2,0)),0)</f>
        <v>0</v>
      </c>
      <c r="W1097" s="194">
        <f>IFERROR(IF(INDEX([1]Pivot!$AD$1:$BE$65000,$B1097,W$5)=1,1,IF(INDEX([1]Pivot!$B$1:$AB$65000,$B1097,W$5)="",2,0)),0)</f>
        <v>0</v>
      </c>
      <c r="X1097" s="194">
        <f>IFERROR(IF(INDEX([1]Pivot!$AD$1:$BE$65000,$B1097,X$5)=1,1,IF(INDEX([1]Pivot!$B$1:$AB$65000,$B1097,X$5)="",2,0)),0)</f>
        <v>0</v>
      </c>
      <c r="Y1097" s="194">
        <f>IFERROR(IF(INDEX([1]Pivot!$AD$1:$BE$65000,$B1097,Y$5)=1,1,IF(INDEX([1]Pivot!$B$1:$AB$65000,$B1097,Y$5)="",2,0)),0)</f>
        <v>0</v>
      </c>
      <c r="Z1097" s="194">
        <f>IFERROR(IF(INDEX([1]Pivot!$AD$1:$BE$65000,$B1097,Z$5)=1,1,IF(INDEX([1]Pivot!$B$1:$AB$65000,$B1097,Z$5)="",2,0)),0)</f>
        <v>0</v>
      </c>
      <c r="AA1097" s="194">
        <f>IFERROR(IF(INDEX([1]Pivot!$AD$1:$BE$65000,$B1097,AA$5)=1,1,IF(INDEX([1]Pivot!$B$1:$AB$65000,$B1097,AA$5)="",2,0)),0)</f>
        <v>0</v>
      </c>
      <c r="AB1097" s="194">
        <f>IFERROR(IF(INDEX([1]Pivot!$AD$1:$BE$65000,$B1097,AB$5)=1,1,IF(INDEX([1]Pivot!$B$1:$AB$65000,$B1097,AB$5)="",2,0)),0)</f>
        <v>0</v>
      </c>
      <c r="AC1097" s="194">
        <f>IFERROR(IF(INDEX([1]Pivot!$AD$1:$BE$65000,$B1097,AC$5)=1,1,IF(INDEX([1]Pivot!$B$1:$AB$65000,$B1097,AC$5)="",2,0)),0)</f>
        <v>0</v>
      </c>
      <c r="AD1097" s="313">
        <f>IFERROR(IF(INDEX([1]Pivot!$BF$1:$CG$65000,$B1097,AD$5)=1,1,IF(INDEX([1]Pivot!$B$1:$AB$65000,$B1097,AD$5)="",2,0)),0)</f>
        <v>0</v>
      </c>
      <c r="AE1097" s="313">
        <f>IFERROR(IF(INDEX([1]Pivot!$BF$1:$CG$65000,$B1097,AE$5)=1,1,IF(INDEX([1]Pivot!$B$1:$AB$65000,$B1097,AE$5)="",2,0)),0)</f>
        <v>0</v>
      </c>
      <c r="AF1097" s="313">
        <f>IFERROR(IF(INDEX([1]Pivot!$BF$1:$CG$65000,$B1097,AF$5)=1,1,IF(INDEX([1]Pivot!$B$1:$AB$65000,$B1097,AF$5)="",2,0)),0)</f>
        <v>0</v>
      </c>
      <c r="AG1097" s="313">
        <f>IFERROR(IF(INDEX([1]Pivot!$BF$1:$CG$65000,$B1097,AG$5)=1,1,IF(INDEX([1]Pivot!$B$1:$AB$65000,$B1097,AG$5)="",2,0)),0)</f>
        <v>0</v>
      </c>
      <c r="AH1097" s="313">
        <f>IFERROR(IF(INDEX([1]Pivot!$BF$1:$CG$65000,$B1097,AH$5)=1,1,IF(INDEX([1]Pivot!$B$1:$AB$65000,$B1097,AH$5)="",2,0)),0)</f>
        <v>0</v>
      </c>
      <c r="AI1097" s="313">
        <f>IFERROR(IF(INDEX([1]Pivot!$BF$1:$CG$65000,$B1097,AI$5)=1,1,IF(INDEX([1]Pivot!$B$1:$AB$65000,$B1097,AI$5)="",2,0)),0)</f>
        <v>0</v>
      </c>
      <c r="AJ1097" s="313">
        <f>IFERROR(IF(INDEX([1]Pivot!$BF$1:$CG$65000,$B1097,AJ$5)=1,1,IF(INDEX([1]Pivot!$B$1:$AB$65000,$B1097,AJ$5)="",2,0)),0)</f>
        <v>0</v>
      </c>
      <c r="AK1097" s="313">
        <f>IFERROR(IF(INDEX([1]Pivot!$BF$1:$CG$65000,$B1097,AK$5)=1,1,IF(INDEX([1]Pivot!$B$1:$AB$65000,$B1097,AK$5)="",2,0)),0)</f>
        <v>0</v>
      </c>
      <c r="AL1097" s="313">
        <f>IFERROR(IF(INDEX([1]Pivot!$BF$1:$CG$65000,$B1097,AL$5)=1,1,IF(INDEX([1]Pivot!$B$1:$AB$65000,$B1097,AL$5)="",2,0)),0)</f>
        <v>0</v>
      </c>
      <c r="AM1097" s="313">
        <f>IFERROR(IF(INDEX([1]Pivot!$BF$1:$CG$65000,$B1097,AM$5)=1,1,IF(INDEX([1]Pivot!$B$1:$AB$65000,$B1097,AM$5)="",2,0)),0)</f>
        <v>0</v>
      </c>
      <c r="AN1097" s="313">
        <f>IFERROR(IF(INDEX([1]Pivot!$BF$1:$CG$65000,$B1097,AN$5)=1,1,IF(INDEX([1]Pivot!$B$1:$AB$65000,$B1097,AN$5)="",2,0)),0)</f>
        <v>0</v>
      </c>
      <c r="AO1097" s="313">
        <f>IFERROR(IF(INDEX([1]Pivot!$BF$1:$CG$65000,$B1097,AO$5)=1,1,IF(INDEX([1]Pivot!$B$1:$AB$65000,$B1097,AO$5)="",2,0)),0)</f>
        <v>0</v>
      </c>
      <c r="AP1097" s="313">
        <f>IFERROR(IF(INDEX([1]Pivot!$BF$1:$CG$65000,$B1097,AP$5)=1,1,IF(INDEX([1]Pivot!$B$1:$AB$65000,$B1097,AP$5)="",2,0)),0)</f>
        <v>0</v>
      </c>
      <c r="AQ1097" s="313">
        <f>IFERROR(IF(INDEX([1]Pivot!$BF$1:$CG$65000,$B1097,AQ$5)=1,1,IF(INDEX([1]Pivot!$B$1:$AB$65000,$B1097,AQ$5)="",2,0)),0)</f>
        <v>0</v>
      </c>
      <c r="AR1097" s="313">
        <f>IFERROR(IF(INDEX([1]Pivot!$BF$1:$CG$65000,$B1097,AR$5)=1,1,IF(INDEX([1]Pivot!$B$1:$AB$65000,$B1097,AR$5)="",2,0)),0)</f>
        <v>0</v>
      </c>
      <c r="AS1097" s="312"/>
      <c r="AT1097" s="313">
        <f>IFERROR(IF(INDEX([1]Pivot!$BF$1:$CG$65000,$B1097,AT$5)=1,1,IF(INDEX([1]Pivot!$B$1:$AB$65000,$B1097,AT$5)="",2,0)),0)</f>
        <v>0</v>
      </c>
      <c r="AU1097" s="313">
        <f>IFERROR(IF(INDEX([1]Pivot!$BF$1:$CG$65000,$B1097,AU$5)=1,1,IF(INDEX([1]Pivot!$B$1:$AB$65000,$B1097,AU$5)="",2,0)),0)</f>
        <v>0</v>
      </c>
      <c r="AV1097" s="313">
        <f>IFERROR(IF(INDEX([1]Pivot!$BF$1:$CG$65000,$B1097,AV$5)=1,1,IF(INDEX([1]Pivot!$B$1:$AB$65000,$B1097,AV$5)="",2,0)),0)</f>
        <v>0</v>
      </c>
      <c r="AW1097" s="313">
        <f>IFERROR(IF(INDEX([1]Pivot!$BF$1:$CG$65000,$B1097,AW$5)=1,1,IF(INDEX([1]Pivot!$B$1:$AB$65000,$B1097,AW$5)="",2,0)),0)</f>
        <v>0</v>
      </c>
      <c r="AX1097" s="313">
        <f>IFERROR(IF(INDEX([1]Pivot!$BF$1:$CG$65000,$B1097,AX$5)=1,1,IF(INDEX([1]Pivot!$B$1:$AB$65000,$B1097,AX$5)="",2,0)),0)</f>
        <v>0</v>
      </c>
      <c r="AY1097" s="313">
        <f>IFERROR(IF(INDEX([1]Pivot!$BF$1:$CG$65000,$B1097,AY$5)=1,1,IF(INDEX([1]Pivot!$B$1:$AB$65000,$B1097,AY$5)="",2,0)),0)</f>
        <v>0</v>
      </c>
      <c r="AZ1097" s="313">
        <f>IFERROR(IF(INDEX([1]Pivot!$BF$1:$CG$65000,$B1097,AZ$5)=1,1,IF(INDEX([1]Pivot!$B$1:$AB$65000,$B1097,AZ$5)="",2,0)),0)</f>
        <v>0</v>
      </c>
      <c r="BA1097" s="313">
        <f>IFERROR(IF(INDEX([1]Pivot!$BF$1:$CG$65000,$B1097,BA$5)=1,1,IF(INDEX([1]Pivot!$B$1:$AB$65000,$B1097,BA$5)="",2,0)),0)</f>
        <v>0</v>
      </c>
      <c r="BB1097" s="313">
        <f>IFERROR(IF(INDEX([1]Pivot!$BF$1:$CG$65000,$B1097,BB$5)=1,1,IF(INDEX([1]Pivot!$B$1:$AB$65000,$B1097,BB$5)="",2,0)),0)</f>
        <v>0</v>
      </c>
      <c r="BC1097" s="313">
        <f>IFERROR(IF(INDEX([1]Pivot!$BF$1:$CG$65000,$B1097,BC$5)=1,1,IF(INDEX([1]Pivot!$B$1:$AB$65000,$B1097,BC$5)="",2,0)),0)</f>
        <v>0</v>
      </c>
      <c r="BD1097" s="313">
        <f>IFERROR(IF(INDEX([1]Pivot!$BF$1:$CG$65000,$B1097,BD$5)=1,1,IF(INDEX([1]Pivot!$B$1:$AB$65000,$B1097,BD$5)="",2,0)),0)</f>
        <v>0</v>
      </c>
    </row>
    <row r="1098" spans="1:56" x14ac:dyDescent="0.25">
      <c r="A1098" s="288">
        <f>'[2]Raw Milk Prices'!A1098</f>
        <v>0</v>
      </c>
      <c r="B1098" s="296" t="e">
        <f>MATCH(DATE(LEFT('[2]Raw Milk Prices'!$A1098,4),RIGHT('[2]Raw Milk Prices'!$A1098,2),1),[1]Pivot!$A$1:$A$65000,0)</f>
        <v>#VALUE!</v>
      </c>
      <c r="C1098" s="194">
        <f>IFERROR(IF(INDEX([1]Pivot!$AD$1:$BE$65000,$B1098,C$5)=1,1,IF(INDEX([1]Pivot!$B$1:$AB$65000,$B1098,C$5)="",2,0)),0)</f>
        <v>0</v>
      </c>
      <c r="D1098" s="194">
        <f>IFERROR(IF(INDEX([1]Pivot!$AD$1:$BE$65000,$B1098,D$5)=1,1,IF(INDEX([1]Pivot!$B$1:$AB$65000,$B1098,D$5)="",2,0)),0)</f>
        <v>0</v>
      </c>
      <c r="E1098" s="194">
        <f>IFERROR(IF(INDEX([1]Pivot!$AD$1:$BE$65000,$B1098,E$5)=1,1,IF(INDEX([1]Pivot!$B$1:$AB$65000,$B1098,E$5)="",2,0)),0)</f>
        <v>0</v>
      </c>
      <c r="F1098" s="194">
        <f>IFERROR(IF(INDEX([1]Pivot!$AD$1:$BE$65000,$B1098,F$5)=1,1,IF(INDEX([1]Pivot!$B$1:$AB$65000,$B1098,F$5)="",2,0)),0)</f>
        <v>0</v>
      </c>
      <c r="G1098" s="194">
        <f>IFERROR(IF(INDEX([1]Pivot!$AD$1:$BE$65000,$B1098,G$5)=1,1,IF(INDEX([1]Pivot!$B$1:$AB$65000,$B1098,G$5)="",2,0)),0)</f>
        <v>0</v>
      </c>
      <c r="H1098" s="194">
        <f>IFERROR(IF(INDEX([1]Pivot!$AD$1:$BE$65000,$B1098,H$5)=1,1,IF(INDEX([1]Pivot!$B$1:$AB$65000,$B1098,H$5)="",2,0)),0)</f>
        <v>0</v>
      </c>
      <c r="I1098" s="194">
        <f>IFERROR(IF(INDEX([1]Pivot!$AD$1:$BE$65000,$B1098,I$5)=1,1,IF(INDEX([1]Pivot!$B$1:$AB$65000,$B1098,I$5)="",2,0)),0)</f>
        <v>0</v>
      </c>
      <c r="J1098" s="194">
        <f>IFERROR(IF(INDEX([1]Pivot!$AD$1:$BE$65000,$B1098,J$5)=1,1,IF(INDEX([1]Pivot!$B$1:$AB$65000,$B1098,J$5)="",2,0)),0)</f>
        <v>0</v>
      </c>
      <c r="K1098" s="194">
        <f>IFERROR(IF(INDEX([1]Pivot!$AD$1:$BE$65000,$B1098,K$5)=1,1,IF(INDEX([1]Pivot!$B$1:$AB$65000,$B1098,K$5)="",2,0)),0)</f>
        <v>0</v>
      </c>
      <c r="L1098" s="194">
        <f>IFERROR(IF(INDEX([1]Pivot!$AD$1:$BE$65000,$B1098,L$5)=1,1,IF(INDEX([1]Pivot!$B$1:$AB$65000,$B1098,L$5)="",2,0)),0)</f>
        <v>0</v>
      </c>
      <c r="M1098" s="194">
        <f>IFERROR(IF(INDEX([1]Pivot!$AD$1:$BE$65000,$B1098,M$5)=1,1,IF(INDEX([1]Pivot!$B$1:$AB$65000,$B1098,M$5)="",2,0)),0)</f>
        <v>0</v>
      </c>
      <c r="N1098" s="194">
        <f>IFERROR(IF(INDEX([1]Pivot!$AD$1:$BE$65000,$B1098,N$5)=1,1,IF(INDEX([1]Pivot!$B$1:$AB$65000,$B1098,N$5)="",2,0)),0)</f>
        <v>0</v>
      </c>
      <c r="O1098" s="194">
        <f>IFERROR(IF(INDEX([1]Pivot!$AD$1:$BE$65000,$B1098,O$5)=1,1,IF(INDEX([1]Pivot!$B$1:$AB$65000,$B1098,O$5)="",2,0)),0)</f>
        <v>0</v>
      </c>
      <c r="P1098" s="194">
        <f>IFERROR(IF(INDEX([1]Pivot!$AD$1:$BE$65000,$B1098,P$5)=1,1,IF(INDEX([1]Pivot!$B$1:$AB$65000,$B1098,P$5)="",2,0)),0)</f>
        <v>0</v>
      </c>
      <c r="Q1098" s="194">
        <f>IFERROR(IF(INDEX([1]Pivot!$AD$1:$BE$65000,$B1098,Q$5)=1,1,IF(INDEX([1]Pivot!$B$1:$AB$65000,$B1098,Q$5)="",2,0)),0)</f>
        <v>0</v>
      </c>
      <c r="R1098" s="312"/>
      <c r="S1098" s="194">
        <f>IFERROR(IF(INDEX([1]Pivot!$AD$1:$BE$65000,$B1098,S$5)=1,1,IF(INDEX([1]Pivot!$B$1:$AB$65000,$B1098,S$5)="",2,0)),0)</f>
        <v>0</v>
      </c>
      <c r="T1098" s="194">
        <f>IFERROR(IF(INDEX([1]Pivot!$AD$1:$BE$65000,$B1098,T$5)=1,1,IF(INDEX([1]Pivot!$B$1:$AB$65000,$B1098,T$5)="",2,0)),0)</f>
        <v>0</v>
      </c>
      <c r="U1098" s="194">
        <f>IFERROR(IF(INDEX([1]Pivot!$AD$1:$BE$65000,$B1098,U$5)=1,1,IF(INDEX([1]Pivot!$B$1:$AB$65000,$B1098,U$5)="",2,0)),0)</f>
        <v>0</v>
      </c>
      <c r="V1098" s="194">
        <f>IFERROR(IF(INDEX([1]Pivot!$AD$1:$BE$65000,$B1098,V$5)=1,1,IF(INDEX([1]Pivot!$B$1:$AB$65000,$B1098,V$5)="",2,0)),0)</f>
        <v>0</v>
      </c>
      <c r="W1098" s="194">
        <f>IFERROR(IF(INDEX([1]Pivot!$AD$1:$BE$65000,$B1098,W$5)=1,1,IF(INDEX([1]Pivot!$B$1:$AB$65000,$B1098,W$5)="",2,0)),0)</f>
        <v>0</v>
      </c>
      <c r="X1098" s="194">
        <f>IFERROR(IF(INDEX([1]Pivot!$AD$1:$BE$65000,$B1098,X$5)=1,1,IF(INDEX([1]Pivot!$B$1:$AB$65000,$B1098,X$5)="",2,0)),0)</f>
        <v>0</v>
      </c>
      <c r="Y1098" s="194">
        <f>IFERROR(IF(INDEX([1]Pivot!$AD$1:$BE$65000,$B1098,Y$5)=1,1,IF(INDEX([1]Pivot!$B$1:$AB$65000,$B1098,Y$5)="",2,0)),0)</f>
        <v>0</v>
      </c>
      <c r="Z1098" s="194">
        <f>IFERROR(IF(INDEX([1]Pivot!$AD$1:$BE$65000,$B1098,Z$5)=1,1,IF(INDEX([1]Pivot!$B$1:$AB$65000,$B1098,Z$5)="",2,0)),0)</f>
        <v>0</v>
      </c>
      <c r="AA1098" s="194">
        <f>IFERROR(IF(INDEX([1]Pivot!$AD$1:$BE$65000,$B1098,AA$5)=1,1,IF(INDEX([1]Pivot!$B$1:$AB$65000,$B1098,AA$5)="",2,0)),0)</f>
        <v>0</v>
      </c>
      <c r="AB1098" s="194">
        <f>IFERROR(IF(INDEX([1]Pivot!$AD$1:$BE$65000,$B1098,AB$5)=1,1,IF(INDEX([1]Pivot!$B$1:$AB$65000,$B1098,AB$5)="",2,0)),0)</f>
        <v>0</v>
      </c>
      <c r="AC1098" s="194">
        <f>IFERROR(IF(INDEX([1]Pivot!$AD$1:$BE$65000,$B1098,AC$5)=1,1,IF(INDEX([1]Pivot!$B$1:$AB$65000,$B1098,AC$5)="",2,0)),0)</f>
        <v>0</v>
      </c>
      <c r="AD1098" s="313">
        <f>IFERROR(IF(INDEX([1]Pivot!$BF$1:$CG$65000,$B1098,AD$5)=1,1,IF(INDEX([1]Pivot!$B$1:$AB$65000,$B1098,AD$5)="",2,0)),0)</f>
        <v>0</v>
      </c>
      <c r="AE1098" s="313">
        <f>IFERROR(IF(INDEX([1]Pivot!$BF$1:$CG$65000,$B1098,AE$5)=1,1,IF(INDEX([1]Pivot!$B$1:$AB$65000,$B1098,AE$5)="",2,0)),0)</f>
        <v>0</v>
      </c>
      <c r="AF1098" s="313">
        <f>IFERROR(IF(INDEX([1]Pivot!$BF$1:$CG$65000,$B1098,AF$5)=1,1,IF(INDEX([1]Pivot!$B$1:$AB$65000,$B1098,AF$5)="",2,0)),0)</f>
        <v>0</v>
      </c>
      <c r="AG1098" s="313">
        <f>IFERROR(IF(INDEX([1]Pivot!$BF$1:$CG$65000,$B1098,AG$5)=1,1,IF(INDEX([1]Pivot!$B$1:$AB$65000,$B1098,AG$5)="",2,0)),0)</f>
        <v>0</v>
      </c>
      <c r="AH1098" s="313">
        <f>IFERROR(IF(INDEX([1]Pivot!$BF$1:$CG$65000,$B1098,AH$5)=1,1,IF(INDEX([1]Pivot!$B$1:$AB$65000,$B1098,AH$5)="",2,0)),0)</f>
        <v>0</v>
      </c>
      <c r="AI1098" s="313">
        <f>IFERROR(IF(INDEX([1]Pivot!$BF$1:$CG$65000,$B1098,AI$5)=1,1,IF(INDEX([1]Pivot!$B$1:$AB$65000,$B1098,AI$5)="",2,0)),0)</f>
        <v>0</v>
      </c>
      <c r="AJ1098" s="313">
        <f>IFERROR(IF(INDEX([1]Pivot!$BF$1:$CG$65000,$B1098,AJ$5)=1,1,IF(INDEX([1]Pivot!$B$1:$AB$65000,$B1098,AJ$5)="",2,0)),0)</f>
        <v>0</v>
      </c>
      <c r="AK1098" s="313">
        <f>IFERROR(IF(INDEX([1]Pivot!$BF$1:$CG$65000,$B1098,AK$5)=1,1,IF(INDEX([1]Pivot!$B$1:$AB$65000,$B1098,AK$5)="",2,0)),0)</f>
        <v>0</v>
      </c>
      <c r="AL1098" s="313">
        <f>IFERROR(IF(INDEX([1]Pivot!$BF$1:$CG$65000,$B1098,AL$5)=1,1,IF(INDEX([1]Pivot!$B$1:$AB$65000,$B1098,AL$5)="",2,0)),0)</f>
        <v>0</v>
      </c>
      <c r="AM1098" s="313">
        <f>IFERROR(IF(INDEX([1]Pivot!$BF$1:$CG$65000,$B1098,AM$5)=1,1,IF(INDEX([1]Pivot!$B$1:$AB$65000,$B1098,AM$5)="",2,0)),0)</f>
        <v>0</v>
      </c>
      <c r="AN1098" s="313">
        <f>IFERROR(IF(INDEX([1]Pivot!$BF$1:$CG$65000,$B1098,AN$5)=1,1,IF(INDEX([1]Pivot!$B$1:$AB$65000,$B1098,AN$5)="",2,0)),0)</f>
        <v>0</v>
      </c>
      <c r="AO1098" s="313">
        <f>IFERROR(IF(INDEX([1]Pivot!$BF$1:$CG$65000,$B1098,AO$5)=1,1,IF(INDEX([1]Pivot!$B$1:$AB$65000,$B1098,AO$5)="",2,0)),0)</f>
        <v>0</v>
      </c>
      <c r="AP1098" s="313">
        <f>IFERROR(IF(INDEX([1]Pivot!$BF$1:$CG$65000,$B1098,AP$5)=1,1,IF(INDEX([1]Pivot!$B$1:$AB$65000,$B1098,AP$5)="",2,0)),0)</f>
        <v>0</v>
      </c>
      <c r="AQ1098" s="313">
        <f>IFERROR(IF(INDEX([1]Pivot!$BF$1:$CG$65000,$B1098,AQ$5)=1,1,IF(INDEX([1]Pivot!$B$1:$AB$65000,$B1098,AQ$5)="",2,0)),0)</f>
        <v>0</v>
      </c>
      <c r="AR1098" s="313">
        <f>IFERROR(IF(INDEX([1]Pivot!$BF$1:$CG$65000,$B1098,AR$5)=1,1,IF(INDEX([1]Pivot!$B$1:$AB$65000,$B1098,AR$5)="",2,0)),0)</f>
        <v>0</v>
      </c>
      <c r="AS1098" s="312"/>
      <c r="AT1098" s="313">
        <f>IFERROR(IF(INDEX([1]Pivot!$BF$1:$CG$65000,$B1098,AT$5)=1,1,IF(INDEX([1]Pivot!$B$1:$AB$65000,$B1098,AT$5)="",2,0)),0)</f>
        <v>0</v>
      </c>
      <c r="AU1098" s="313">
        <f>IFERROR(IF(INDEX([1]Pivot!$BF$1:$CG$65000,$B1098,AU$5)=1,1,IF(INDEX([1]Pivot!$B$1:$AB$65000,$B1098,AU$5)="",2,0)),0)</f>
        <v>0</v>
      </c>
      <c r="AV1098" s="313">
        <f>IFERROR(IF(INDEX([1]Pivot!$BF$1:$CG$65000,$B1098,AV$5)=1,1,IF(INDEX([1]Pivot!$B$1:$AB$65000,$B1098,AV$5)="",2,0)),0)</f>
        <v>0</v>
      </c>
      <c r="AW1098" s="313">
        <f>IFERROR(IF(INDEX([1]Pivot!$BF$1:$CG$65000,$B1098,AW$5)=1,1,IF(INDEX([1]Pivot!$B$1:$AB$65000,$B1098,AW$5)="",2,0)),0)</f>
        <v>0</v>
      </c>
      <c r="AX1098" s="313">
        <f>IFERROR(IF(INDEX([1]Pivot!$BF$1:$CG$65000,$B1098,AX$5)=1,1,IF(INDEX([1]Pivot!$B$1:$AB$65000,$B1098,AX$5)="",2,0)),0)</f>
        <v>0</v>
      </c>
      <c r="AY1098" s="313">
        <f>IFERROR(IF(INDEX([1]Pivot!$BF$1:$CG$65000,$B1098,AY$5)=1,1,IF(INDEX([1]Pivot!$B$1:$AB$65000,$B1098,AY$5)="",2,0)),0)</f>
        <v>0</v>
      </c>
      <c r="AZ1098" s="313">
        <f>IFERROR(IF(INDEX([1]Pivot!$BF$1:$CG$65000,$B1098,AZ$5)=1,1,IF(INDEX([1]Pivot!$B$1:$AB$65000,$B1098,AZ$5)="",2,0)),0)</f>
        <v>0</v>
      </c>
      <c r="BA1098" s="313">
        <f>IFERROR(IF(INDEX([1]Pivot!$BF$1:$CG$65000,$B1098,BA$5)=1,1,IF(INDEX([1]Pivot!$B$1:$AB$65000,$B1098,BA$5)="",2,0)),0)</f>
        <v>0</v>
      </c>
      <c r="BB1098" s="313">
        <f>IFERROR(IF(INDEX([1]Pivot!$BF$1:$CG$65000,$B1098,BB$5)=1,1,IF(INDEX([1]Pivot!$B$1:$AB$65000,$B1098,BB$5)="",2,0)),0)</f>
        <v>0</v>
      </c>
      <c r="BC1098" s="313">
        <f>IFERROR(IF(INDEX([1]Pivot!$BF$1:$CG$65000,$B1098,BC$5)=1,1,IF(INDEX([1]Pivot!$B$1:$AB$65000,$B1098,BC$5)="",2,0)),0)</f>
        <v>0</v>
      </c>
      <c r="BD1098" s="313">
        <f>IFERROR(IF(INDEX([1]Pivot!$BF$1:$CG$65000,$B1098,BD$5)=1,1,IF(INDEX([1]Pivot!$B$1:$AB$65000,$B1098,BD$5)="",2,0)),0)</f>
        <v>0</v>
      </c>
    </row>
    <row r="1099" spans="1:56" x14ac:dyDescent="0.25">
      <c r="A1099" s="288">
        <f>'[2]Raw Milk Prices'!A1099</f>
        <v>0</v>
      </c>
      <c r="B1099" s="296" t="e">
        <f>MATCH(DATE(LEFT('[2]Raw Milk Prices'!$A1099,4),RIGHT('[2]Raw Milk Prices'!$A1099,2),1),[1]Pivot!$A$1:$A$65000,0)</f>
        <v>#VALUE!</v>
      </c>
      <c r="C1099" s="194">
        <f>IFERROR(IF(INDEX([1]Pivot!$AD$1:$BE$65000,$B1099,C$5)=1,1,IF(INDEX([1]Pivot!$B$1:$AB$65000,$B1099,C$5)="",2,0)),0)</f>
        <v>0</v>
      </c>
      <c r="D1099" s="194">
        <f>IFERROR(IF(INDEX([1]Pivot!$AD$1:$BE$65000,$B1099,D$5)=1,1,IF(INDEX([1]Pivot!$B$1:$AB$65000,$B1099,D$5)="",2,0)),0)</f>
        <v>0</v>
      </c>
      <c r="E1099" s="194">
        <f>IFERROR(IF(INDEX([1]Pivot!$AD$1:$BE$65000,$B1099,E$5)=1,1,IF(INDEX([1]Pivot!$B$1:$AB$65000,$B1099,E$5)="",2,0)),0)</f>
        <v>0</v>
      </c>
      <c r="F1099" s="194">
        <f>IFERROR(IF(INDEX([1]Pivot!$AD$1:$BE$65000,$B1099,F$5)=1,1,IF(INDEX([1]Pivot!$B$1:$AB$65000,$B1099,F$5)="",2,0)),0)</f>
        <v>0</v>
      </c>
      <c r="G1099" s="194">
        <f>IFERROR(IF(INDEX([1]Pivot!$AD$1:$BE$65000,$B1099,G$5)=1,1,IF(INDEX([1]Pivot!$B$1:$AB$65000,$B1099,G$5)="",2,0)),0)</f>
        <v>0</v>
      </c>
      <c r="H1099" s="194">
        <f>IFERROR(IF(INDEX([1]Pivot!$AD$1:$BE$65000,$B1099,H$5)=1,1,IF(INDEX([1]Pivot!$B$1:$AB$65000,$B1099,H$5)="",2,0)),0)</f>
        <v>0</v>
      </c>
      <c r="I1099" s="194">
        <f>IFERROR(IF(INDEX([1]Pivot!$AD$1:$BE$65000,$B1099,I$5)=1,1,IF(INDEX([1]Pivot!$B$1:$AB$65000,$B1099,I$5)="",2,0)),0)</f>
        <v>0</v>
      </c>
      <c r="J1099" s="194">
        <f>IFERROR(IF(INDEX([1]Pivot!$AD$1:$BE$65000,$B1099,J$5)=1,1,IF(INDEX([1]Pivot!$B$1:$AB$65000,$B1099,J$5)="",2,0)),0)</f>
        <v>0</v>
      </c>
      <c r="K1099" s="194">
        <f>IFERROR(IF(INDEX([1]Pivot!$AD$1:$BE$65000,$B1099,K$5)=1,1,IF(INDEX([1]Pivot!$B$1:$AB$65000,$B1099,K$5)="",2,0)),0)</f>
        <v>0</v>
      </c>
      <c r="L1099" s="194">
        <f>IFERROR(IF(INDEX([1]Pivot!$AD$1:$BE$65000,$B1099,L$5)=1,1,IF(INDEX([1]Pivot!$B$1:$AB$65000,$B1099,L$5)="",2,0)),0)</f>
        <v>0</v>
      </c>
      <c r="M1099" s="194">
        <f>IFERROR(IF(INDEX([1]Pivot!$AD$1:$BE$65000,$B1099,M$5)=1,1,IF(INDEX([1]Pivot!$B$1:$AB$65000,$B1099,M$5)="",2,0)),0)</f>
        <v>0</v>
      </c>
      <c r="N1099" s="194">
        <f>IFERROR(IF(INDEX([1]Pivot!$AD$1:$BE$65000,$B1099,N$5)=1,1,IF(INDEX([1]Pivot!$B$1:$AB$65000,$B1099,N$5)="",2,0)),0)</f>
        <v>0</v>
      </c>
      <c r="O1099" s="194">
        <f>IFERROR(IF(INDEX([1]Pivot!$AD$1:$BE$65000,$B1099,O$5)=1,1,IF(INDEX([1]Pivot!$B$1:$AB$65000,$B1099,O$5)="",2,0)),0)</f>
        <v>0</v>
      </c>
      <c r="P1099" s="194">
        <f>IFERROR(IF(INDEX([1]Pivot!$AD$1:$BE$65000,$B1099,P$5)=1,1,IF(INDEX([1]Pivot!$B$1:$AB$65000,$B1099,P$5)="",2,0)),0)</f>
        <v>0</v>
      </c>
      <c r="Q1099" s="194">
        <f>IFERROR(IF(INDEX([1]Pivot!$AD$1:$BE$65000,$B1099,Q$5)=1,1,IF(INDEX([1]Pivot!$B$1:$AB$65000,$B1099,Q$5)="",2,0)),0)</f>
        <v>0</v>
      </c>
      <c r="R1099" s="312"/>
      <c r="S1099" s="194">
        <f>IFERROR(IF(INDEX([1]Pivot!$AD$1:$BE$65000,$B1099,S$5)=1,1,IF(INDEX([1]Pivot!$B$1:$AB$65000,$B1099,S$5)="",2,0)),0)</f>
        <v>0</v>
      </c>
      <c r="T1099" s="194">
        <f>IFERROR(IF(INDEX([1]Pivot!$AD$1:$BE$65000,$B1099,T$5)=1,1,IF(INDEX([1]Pivot!$B$1:$AB$65000,$B1099,T$5)="",2,0)),0)</f>
        <v>0</v>
      </c>
      <c r="U1099" s="194">
        <f>IFERROR(IF(INDEX([1]Pivot!$AD$1:$BE$65000,$B1099,U$5)=1,1,IF(INDEX([1]Pivot!$B$1:$AB$65000,$B1099,U$5)="",2,0)),0)</f>
        <v>0</v>
      </c>
      <c r="V1099" s="194">
        <f>IFERROR(IF(INDEX([1]Pivot!$AD$1:$BE$65000,$B1099,V$5)=1,1,IF(INDEX([1]Pivot!$B$1:$AB$65000,$B1099,V$5)="",2,0)),0)</f>
        <v>0</v>
      </c>
      <c r="W1099" s="194">
        <f>IFERROR(IF(INDEX([1]Pivot!$AD$1:$BE$65000,$B1099,W$5)=1,1,IF(INDEX([1]Pivot!$B$1:$AB$65000,$B1099,W$5)="",2,0)),0)</f>
        <v>0</v>
      </c>
      <c r="X1099" s="194">
        <f>IFERROR(IF(INDEX([1]Pivot!$AD$1:$BE$65000,$B1099,X$5)=1,1,IF(INDEX([1]Pivot!$B$1:$AB$65000,$B1099,X$5)="",2,0)),0)</f>
        <v>0</v>
      </c>
      <c r="Y1099" s="194">
        <f>IFERROR(IF(INDEX([1]Pivot!$AD$1:$BE$65000,$B1099,Y$5)=1,1,IF(INDEX([1]Pivot!$B$1:$AB$65000,$B1099,Y$5)="",2,0)),0)</f>
        <v>0</v>
      </c>
      <c r="Z1099" s="194">
        <f>IFERROR(IF(INDEX([1]Pivot!$AD$1:$BE$65000,$B1099,Z$5)=1,1,IF(INDEX([1]Pivot!$B$1:$AB$65000,$B1099,Z$5)="",2,0)),0)</f>
        <v>0</v>
      </c>
      <c r="AA1099" s="194">
        <f>IFERROR(IF(INDEX([1]Pivot!$AD$1:$BE$65000,$B1099,AA$5)=1,1,IF(INDEX([1]Pivot!$B$1:$AB$65000,$B1099,AA$5)="",2,0)),0)</f>
        <v>0</v>
      </c>
      <c r="AB1099" s="194">
        <f>IFERROR(IF(INDEX([1]Pivot!$AD$1:$BE$65000,$B1099,AB$5)=1,1,IF(INDEX([1]Pivot!$B$1:$AB$65000,$B1099,AB$5)="",2,0)),0)</f>
        <v>0</v>
      </c>
      <c r="AC1099" s="194">
        <f>IFERROR(IF(INDEX([1]Pivot!$AD$1:$BE$65000,$B1099,AC$5)=1,1,IF(INDEX([1]Pivot!$B$1:$AB$65000,$B1099,AC$5)="",2,0)),0)</f>
        <v>0</v>
      </c>
      <c r="AD1099" s="313">
        <f>IFERROR(IF(INDEX([1]Pivot!$BF$1:$CG$65000,$B1099,AD$5)=1,1,IF(INDEX([1]Pivot!$B$1:$AB$65000,$B1099,AD$5)="",2,0)),0)</f>
        <v>0</v>
      </c>
      <c r="AE1099" s="313">
        <f>IFERROR(IF(INDEX([1]Pivot!$BF$1:$CG$65000,$B1099,AE$5)=1,1,IF(INDEX([1]Pivot!$B$1:$AB$65000,$B1099,AE$5)="",2,0)),0)</f>
        <v>0</v>
      </c>
      <c r="AF1099" s="313">
        <f>IFERROR(IF(INDEX([1]Pivot!$BF$1:$CG$65000,$B1099,AF$5)=1,1,IF(INDEX([1]Pivot!$B$1:$AB$65000,$B1099,AF$5)="",2,0)),0)</f>
        <v>0</v>
      </c>
      <c r="AG1099" s="313">
        <f>IFERROR(IF(INDEX([1]Pivot!$BF$1:$CG$65000,$B1099,AG$5)=1,1,IF(INDEX([1]Pivot!$B$1:$AB$65000,$B1099,AG$5)="",2,0)),0)</f>
        <v>0</v>
      </c>
      <c r="AH1099" s="313">
        <f>IFERROR(IF(INDEX([1]Pivot!$BF$1:$CG$65000,$B1099,AH$5)=1,1,IF(INDEX([1]Pivot!$B$1:$AB$65000,$B1099,AH$5)="",2,0)),0)</f>
        <v>0</v>
      </c>
      <c r="AI1099" s="313">
        <f>IFERROR(IF(INDEX([1]Pivot!$BF$1:$CG$65000,$B1099,AI$5)=1,1,IF(INDEX([1]Pivot!$B$1:$AB$65000,$B1099,AI$5)="",2,0)),0)</f>
        <v>0</v>
      </c>
      <c r="AJ1099" s="313">
        <f>IFERROR(IF(INDEX([1]Pivot!$BF$1:$CG$65000,$B1099,AJ$5)=1,1,IF(INDEX([1]Pivot!$B$1:$AB$65000,$B1099,AJ$5)="",2,0)),0)</f>
        <v>0</v>
      </c>
      <c r="AK1099" s="313">
        <f>IFERROR(IF(INDEX([1]Pivot!$BF$1:$CG$65000,$B1099,AK$5)=1,1,IF(INDEX([1]Pivot!$B$1:$AB$65000,$B1099,AK$5)="",2,0)),0)</f>
        <v>0</v>
      </c>
      <c r="AL1099" s="313">
        <f>IFERROR(IF(INDEX([1]Pivot!$BF$1:$CG$65000,$B1099,AL$5)=1,1,IF(INDEX([1]Pivot!$B$1:$AB$65000,$B1099,AL$5)="",2,0)),0)</f>
        <v>0</v>
      </c>
      <c r="AM1099" s="313">
        <f>IFERROR(IF(INDEX([1]Pivot!$BF$1:$CG$65000,$B1099,AM$5)=1,1,IF(INDEX([1]Pivot!$B$1:$AB$65000,$B1099,AM$5)="",2,0)),0)</f>
        <v>0</v>
      </c>
      <c r="AN1099" s="313">
        <f>IFERROR(IF(INDEX([1]Pivot!$BF$1:$CG$65000,$B1099,AN$5)=1,1,IF(INDEX([1]Pivot!$B$1:$AB$65000,$B1099,AN$5)="",2,0)),0)</f>
        <v>0</v>
      </c>
      <c r="AO1099" s="313">
        <f>IFERROR(IF(INDEX([1]Pivot!$BF$1:$CG$65000,$B1099,AO$5)=1,1,IF(INDEX([1]Pivot!$B$1:$AB$65000,$B1099,AO$5)="",2,0)),0)</f>
        <v>0</v>
      </c>
      <c r="AP1099" s="313">
        <f>IFERROR(IF(INDEX([1]Pivot!$BF$1:$CG$65000,$B1099,AP$5)=1,1,IF(INDEX([1]Pivot!$B$1:$AB$65000,$B1099,AP$5)="",2,0)),0)</f>
        <v>0</v>
      </c>
      <c r="AQ1099" s="313">
        <f>IFERROR(IF(INDEX([1]Pivot!$BF$1:$CG$65000,$B1099,AQ$5)=1,1,IF(INDEX([1]Pivot!$B$1:$AB$65000,$B1099,AQ$5)="",2,0)),0)</f>
        <v>0</v>
      </c>
      <c r="AR1099" s="313">
        <f>IFERROR(IF(INDEX([1]Pivot!$BF$1:$CG$65000,$B1099,AR$5)=1,1,IF(INDEX([1]Pivot!$B$1:$AB$65000,$B1099,AR$5)="",2,0)),0)</f>
        <v>0</v>
      </c>
      <c r="AS1099" s="312"/>
      <c r="AT1099" s="313">
        <f>IFERROR(IF(INDEX([1]Pivot!$BF$1:$CG$65000,$B1099,AT$5)=1,1,IF(INDEX([1]Pivot!$B$1:$AB$65000,$B1099,AT$5)="",2,0)),0)</f>
        <v>0</v>
      </c>
      <c r="AU1099" s="313">
        <f>IFERROR(IF(INDEX([1]Pivot!$BF$1:$CG$65000,$B1099,AU$5)=1,1,IF(INDEX([1]Pivot!$B$1:$AB$65000,$B1099,AU$5)="",2,0)),0)</f>
        <v>0</v>
      </c>
      <c r="AV1099" s="313">
        <f>IFERROR(IF(INDEX([1]Pivot!$BF$1:$CG$65000,$B1099,AV$5)=1,1,IF(INDEX([1]Pivot!$B$1:$AB$65000,$B1099,AV$5)="",2,0)),0)</f>
        <v>0</v>
      </c>
      <c r="AW1099" s="313">
        <f>IFERROR(IF(INDEX([1]Pivot!$BF$1:$CG$65000,$B1099,AW$5)=1,1,IF(INDEX([1]Pivot!$B$1:$AB$65000,$B1099,AW$5)="",2,0)),0)</f>
        <v>0</v>
      </c>
      <c r="AX1099" s="313">
        <f>IFERROR(IF(INDEX([1]Pivot!$BF$1:$CG$65000,$B1099,AX$5)=1,1,IF(INDEX([1]Pivot!$B$1:$AB$65000,$B1099,AX$5)="",2,0)),0)</f>
        <v>0</v>
      </c>
      <c r="AY1099" s="313">
        <f>IFERROR(IF(INDEX([1]Pivot!$BF$1:$CG$65000,$B1099,AY$5)=1,1,IF(INDEX([1]Pivot!$B$1:$AB$65000,$B1099,AY$5)="",2,0)),0)</f>
        <v>0</v>
      </c>
      <c r="AZ1099" s="313">
        <f>IFERROR(IF(INDEX([1]Pivot!$BF$1:$CG$65000,$B1099,AZ$5)=1,1,IF(INDEX([1]Pivot!$B$1:$AB$65000,$B1099,AZ$5)="",2,0)),0)</f>
        <v>0</v>
      </c>
      <c r="BA1099" s="313">
        <f>IFERROR(IF(INDEX([1]Pivot!$BF$1:$CG$65000,$B1099,BA$5)=1,1,IF(INDEX([1]Pivot!$B$1:$AB$65000,$B1099,BA$5)="",2,0)),0)</f>
        <v>0</v>
      </c>
      <c r="BB1099" s="313">
        <f>IFERROR(IF(INDEX([1]Pivot!$BF$1:$CG$65000,$B1099,BB$5)=1,1,IF(INDEX([1]Pivot!$B$1:$AB$65000,$B1099,BB$5)="",2,0)),0)</f>
        <v>0</v>
      </c>
      <c r="BC1099" s="313">
        <f>IFERROR(IF(INDEX([1]Pivot!$BF$1:$CG$65000,$B1099,BC$5)=1,1,IF(INDEX([1]Pivot!$B$1:$AB$65000,$B1099,BC$5)="",2,0)),0)</f>
        <v>0</v>
      </c>
      <c r="BD1099" s="313">
        <f>IFERROR(IF(INDEX([1]Pivot!$BF$1:$CG$65000,$B1099,BD$5)=1,1,IF(INDEX([1]Pivot!$B$1:$AB$65000,$B1099,BD$5)="",2,0)),0)</f>
        <v>0</v>
      </c>
    </row>
    <row r="1100" spans="1:56" x14ac:dyDescent="0.25">
      <c r="A1100" s="288">
        <f>'[2]Raw Milk Prices'!A1100</f>
        <v>0</v>
      </c>
      <c r="B1100" s="296" t="e">
        <f>MATCH(DATE(LEFT('[2]Raw Milk Prices'!$A1100,4),RIGHT('[2]Raw Milk Prices'!$A1100,2),1),[1]Pivot!$A$1:$A$65000,0)</f>
        <v>#VALUE!</v>
      </c>
      <c r="C1100" s="194">
        <f>IFERROR(IF(INDEX([1]Pivot!$AD$1:$BE$65000,$B1100,C$5)=1,1,IF(INDEX([1]Pivot!$B$1:$AB$65000,$B1100,C$5)="",2,0)),0)</f>
        <v>0</v>
      </c>
      <c r="D1100" s="194">
        <f>IFERROR(IF(INDEX([1]Pivot!$AD$1:$BE$65000,$B1100,D$5)=1,1,IF(INDEX([1]Pivot!$B$1:$AB$65000,$B1100,D$5)="",2,0)),0)</f>
        <v>0</v>
      </c>
      <c r="E1100" s="194">
        <f>IFERROR(IF(INDEX([1]Pivot!$AD$1:$BE$65000,$B1100,E$5)=1,1,IF(INDEX([1]Pivot!$B$1:$AB$65000,$B1100,E$5)="",2,0)),0)</f>
        <v>0</v>
      </c>
      <c r="F1100" s="194">
        <f>IFERROR(IF(INDEX([1]Pivot!$AD$1:$BE$65000,$B1100,F$5)=1,1,IF(INDEX([1]Pivot!$B$1:$AB$65000,$B1100,F$5)="",2,0)),0)</f>
        <v>0</v>
      </c>
      <c r="G1100" s="194">
        <f>IFERROR(IF(INDEX([1]Pivot!$AD$1:$BE$65000,$B1100,G$5)=1,1,IF(INDEX([1]Pivot!$B$1:$AB$65000,$B1100,G$5)="",2,0)),0)</f>
        <v>0</v>
      </c>
      <c r="H1100" s="194">
        <f>IFERROR(IF(INDEX([1]Pivot!$AD$1:$BE$65000,$B1100,H$5)=1,1,IF(INDEX([1]Pivot!$B$1:$AB$65000,$B1100,H$5)="",2,0)),0)</f>
        <v>0</v>
      </c>
      <c r="I1100" s="194">
        <f>IFERROR(IF(INDEX([1]Pivot!$AD$1:$BE$65000,$B1100,I$5)=1,1,IF(INDEX([1]Pivot!$B$1:$AB$65000,$B1100,I$5)="",2,0)),0)</f>
        <v>0</v>
      </c>
      <c r="J1100" s="194">
        <f>IFERROR(IF(INDEX([1]Pivot!$AD$1:$BE$65000,$B1100,J$5)=1,1,IF(INDEX([1]Pivot!$B$1:$AB$65000,$B1100,J$5)="",2,0)),0)</f>
        <v>0</v>
      </c>
      <c r="K1100" s="194">
        <f>IFERROR(IF(INDEX([1]Pivot!$AD$1:$BE$65000,$B1100,K$5)=1,1,IF(INDEX([1]Pivot!$B$1:$AB$65000,$B1100,K$5)="",2,0)),0)</f>
        <v>0</v>
      </c>
      <c r="L1100" s="194">
        <f>IFERROR(IF(INDEX([1]Pivot!$AD$1:$BE$65000,$B1100,L$5)=1,1,IF(INDEX([1]Pivot!$B$1:$AB$65000,$B1100,L$5)="",2,0)),0)</f>
        <v>0</v>
      </c>
      <c r="M1100" s="194">
        <f>IFERROR(IF(INDEX([1]Pivot!$AD$1:$BE$65000,$B1100,M$5)=1,1,IF(INDEX([1]Pivot!$B$1:$AB$65000,$B1100,M$5)="",2,0)),0)</f>
        <v>0</v>
      </c>
      <c r="N1100" s="194">
        <f>IFERROR(IF(INDEX([1]Pivot!$AD$1:$BE$65000,$B1100,N$5)=1,1,IF(INDEX([1]Pivot!$B$1:$AB$65000,$B1100,N$5)="",2,0)),0)</f>
        <v>0</v>
      </c>
      <c r="O1100" s="194">
        <f>IFERROR(IF(INDEX([1]Pivot!$AD$1:$BE$65000,$B1100,O$5)=1,1,IF(INDEX([1]Pivot!$B$1:$AB$65000,$B1100,O$5)="",2,0)),0)</f>
        <v>0</v>
      </c>
      <c r="P1100" s="194">
        <f>IFERROR(IF(INDEX([1]Pivot!$AD$1:$BE$65000,$B1100,P$5)=1,1,IF(INDEX([1]Pivot!$B$1:$AB$65000,$B1100,P$5)="",2,0)),0)</f>
        <v>0</v>
      </c>
      <c r="Q1100" s="194">
        <f>IFERROR(IF(INDEX([1]Pivot!$AD$1:$BE$65000,$B1100,Q$5)=1,1,IF(INDEX([1]Pivot!$B$1:$AB$65000,$B1100,Q$5)="",2,0)),0)</f>
        <v>0</v>
      </c>
      <c r="R1100" s="312"/>
      <c r="S1100" s="194">
        <f>IFERROR(IF(INDEX([1]Pivot!$AD$1:$BE$65000,$B1100,S$5)=1,1,IF(INDEX([1]Pivot!$B$1:$AB$65000,$B1100,S$5)="",2,0)),0)</f>
        <v>0</v>
      </c>
      <c r="T1100" s="194">
        <f>IFERROR(IF(INDEX([1]Pivot!$AD$1:$BE$65000,$B1100,T$5)=1,1,IF(INDEX([1]Pivot!$B$1:$AB$65000,$B1100,T$5)="",2,0)),0)</f>
        <v>0</v>
      </c>
      <c r="U1100" s="194">
        <f>IFERROR(IF(INDEX([1]Pivot!$AD$1:$BE$65000,$B1100,U$5)=1,1,IF(INDEX([1]Pivot!$B$1:$AB$65000,$B1100,U$5)="",2,0)),0)</f>
        <v>0</v>
      </c>
      <c r="V1100" s="194">
        <f>IFERROR(IF(INDEX([1]Pivot!$AD$1:$BE$65000,$B1100,V$5)=1,1,IF(INDEX([1]Pivot!$B$1:$AB$65000,$B1100,V$5)="",2,0)),0)</f>
        <v>0</v>
      </c>
      <c r="W1100" s="194">
        <f>IFERROR(IF(INDEX([1]Pivot!$AD$1:$BE$65000,$B1100,W$5)=1,1,IF(INDEX([1]Pivot!$B$1:$AB$65000,$B1100,W$5)="",2,0)),0)</f>
        <v>0</v>
      </c>
      <c r="X1100" s="194">
        <f>IFERROR(IF(INDEX([1]Pivot!$AD$1:$BE$65000,$B1100,X$5)=1,1,IF(INDEX([1]Pivot!$B$1:$AB$65000,$B1100,X$5)="",2,0)),0)</f>
        <v>0</v>
      </c>
      <c r="Y1100" s="194">
        <f>IFERROR(IF(INDEX([1]Pivot!$AD$1:$BE$65000,$B1100,Y$5)=1,1,IF(INDEX([1]Pivot!$B$1:$AB$65000,$B1100,Y$5)="",2,0)),0)</f>
        <v>0</v>
      </c>
      <c r="Z1100" s="194">
        <f>IFERROR(IF(INDEX([1]Pivot!$AD$1:$BE$65000,$B1100,Z$5)=1,1,IF(INDEX([1]Pivot!$B$1:$AB$65000,$B1100,Z$5)="",2,0)),0)</f>
        <v>0</v>
      </c>
      <c r="AA1100" s="194">
        <f>IFERROR(IF(INDEX([1]Pivot!$AD$1:$BE$65000,$B1100,AA$5)=1,1,IF(INDEX([1]Pivot!$B$1:$AB$65000,$B1100,AA$5)="",2,0)),0)</f>
        <v>0</v>
      </c>
      <c r="AB1100" s="194">
        <f>IFERROR(IF(INDEX([1]Pivot!$AD$1:$BE$65000,$B1100,AB$5)=1,1,IF(INDEX([1]Pivot!$B$1:$AB$65000,$B1100,AB$5)="",2,0)),0)</f>
        <v>0</v>
      </c>
      <c r="AC1100" s="194">
        <f>IFERROR(IF(INDEX([1]Pivot!$AD$1:$BE$65000,$B1100,AC$5)=1,1,IF(INDEX([1]Pivot!$B$1:$AB$65000,$B1100,AC$5)="",2,0)),0)</f>
        <v>0</v>
      </c>
      <c r="AD1100" s="313">
        <f>IFERROR(IF(INDEX([1]Pivot!$BF$1:$CG$65000,$B1100,AD$5)=1,1,IF(INDEX([1]Pivot!$B$1:$AB$65000,$B1100,AD$5)="",2,0)),0)</f>
        <v>0</v>
      </c>
      <c r="AE1100" s="313">
        <f>IFERROR(IF(INDEX([1]Pivot!$BF$1:$CG$65000,$B1100,AE$5)=1,1,IF(INDEX([1]Pivot!$B$1:$AB$65000,$B1100,AE$5)="",2,0)),0)</f>
        <v>0</v>
      </c>
      <c r="AF1100" s="313">
        <f>IFERROR(IF(INDEX([1]Pivot!$BF$1:$CG$65000,$B1100,AF$5)=1,1,IF(INDEX([1]Pivot!$B$1:$AB$65000,$B1100,AF$5)="",2,0)),0)</f>
        <v>0</v>
      </c>
      <c r="AG1100" s="313">
        <f>IFERROR(IF(INDEX([1]Pivot!$BF$1:$CG$65000,$B1100,AG$5)=1,1,IF(INDEX([1]Pivot!$B$1:$AB$65000,$B1100,AG$5)="",2,0)),0)</f>
        <v>0</v>
      </c>
      <c r="AH1100" s="313">
        <f>IFERROR(IF(INDEX([1]Pivot!$BF$1:$CG$65000,$B1100,AH$5)=1,1,IF(INDEX([1]Pivot!$B$1:$AB$65000,$B1100,AH$5)="",2,0)),0)</f>
        <v>0</v>
      </c>
      <c r="AI1100" s="313">
        <f>IFERROR(IF(INDEX([1]Pivot!$BF$1:$CG$65000,$B1100,AI$5)=1,1,IF(INDEX([1]Pivot!$B$1:$AB$65000,$B1100,AI$5)="",2,0)),0)</f>
        <v>0</v>
      </c>
      <c r="AJ1100" s="313">
        <f>IFERROR(IF(INDEX([1]Pivot!$BF$1:$CG$65000,$B1100,AJ$5)=1,1,IF(INDEX([1]Pivot!$B$1:$AB$65000,$B1100,AJ$5)="",2,0)),0)</f>
        <v>0</v>
      </c>
      <c r="AK1100" s="313">
        <f>IFERROR(IF(INDEX([1]Pivot!$BF$1:$CG$65000,$B1100,AK$5)=1,1,IF(INDEX([1]Pivot!$B$1:$AB$65000,$B1100,AK$5)="",2,0)),0)</f>
        <v>0</v>
      </c>
      <c r="AL1100" s="313">
        <f>IFERROR(IF(INDEX([1]Pivot!$BF$1:$CG$65000,$B1100,AL$5)=1,1,IF(INDEX([1]Pivot!$B$1:$AB$65000,$B1100,AL$5)="",2,0)),0)</f>
        <v>0</v>
      </c>
      <c r="AM1100" s="313">
        <f>IFERROR(IF(INDEX([1]Pivot!$BF$1:$CG$65000,$B1100,AM$5)=1,1,IF(INDEX([1]Pivot!$B$1:$AB$65000,$B1100,AM$5)="",2,0)),0)</f>
        <v>0</v>
      </c>
      <c r="AN1100" s="313">
        <f>IFERROR(IF(INDEX([1]Pivot!$BF$1:$CG$65000,$B1100,AN$5)=1,1,IF(INDEX([1]Pivot!$B$1:$AB$65000,$B1100,AN$5)="",2,0)),0)</f>
        <v>0</v>
      </c>
      <c r="AO1100" s="313">
        <f>IFERROR(IF(INDEX([1]Pivot!$BF$1:$CG$65000,$B1100,AO$5)=1,1,IF(INDEX([1]Pivot!$B$1:$AB$65000,$B1100,AO$5)="",2,0)),0)</f>
        <v>0</v>
      </c>
      <c r="AP1100" s="313">
        <f>IFERROR(IF(INDEX([1]Pivot!$BF$1:$CG$65000,$B1100,AP$5)=1,1,IF(INDEX([1]Pivot!$B$1:$AB$65000,$B1100,AP$5)="",2,0)),0)</f>
        <v>0</v>
      </c>
      <c r="AQ1100" s="313">
        <f>IFERROR(IF(INDEX([1]Pivot!$BF$1:$CG$65000,$B1100,AQ$5)=1,1,IF(INDEX([1]Pivot!$B$1:$AB$65000,$B1100,AQ$5)="",2,0)),0)</f>
        <v>0</v>
      </c>
      <c r="AR1100" s="313">
        <f>IFERROR(IF(INDEX([1]Pivot!$BF$1:$CG$65000,$B1100,AR$5)=1,1,IF(INDEX([1]Pivot!$B$1:$AB$65000,$B1100,AR$5)="",2,0)),0)</f>
        <v>0</v>
      </c>
      <c r="AS1100" s="312"/>
      <c r="AT1100" s="313">
        <f>IFERROR(IF(INDEX([1]Pivot!$BF$1:$CG$65000,$B1100,AT$5)=1,1,IF(INDEX([1]Pivot!$B$1:$AB$65000,$B1100,AT$5)="",2,0)),0)</f>
        <v>0</v>
      </c>
      <c r="AU1100" s="313">
        <f>IFERROR(IF(INDEX([1]Pivot!$BF$1:$CG$65000,$B1100,AU$5)=1,1,IF(INDEX([1]Pivot!$B$1:$AB$65000,$B1100,AU$5)="",2,0)),0)</f>
        <v>0</v>
      </c>
      <c r="AV1100" s="313">
        <f>IFERROR(IF(INDEX([1]Pivot!$BF$1:$CG$65000,$B1100,AV$5)=1,1,IF(INDEX([1]Pivot!$B$1:$AB$65000,$B1100,AV$5)="",2,0)),0)</f>
        <v>0</v>
      </c>
      <c r="AW1100" s="313">
        <f>IFERROR(IF(INDEX([1]Pivot!$BF$1:$CG$65000,$B1100,AW$5)=1,1,IF(INDEX([1]Pivot!$B$1:$AB$65000,$B1100,AW$5)="",2,0)),0)</f>
        <v>0</v>
      </c>
      <c r="AX1100" s="313">
        <f>IFERROR(IF(INDEX([1]Pivot!$BF$1:$CG$65000,$B1100,AX$5)=1,1,IF(INDEX([1]Pivot!$B$1:$AB$65000,$B1100,AX$5)="",2,0)),0)</f>
        <v>0</v>
      </c>
      <c r="AY1100" s="313">
        <f>IFERROR(IF(INDEX([1]Pivot!$BF$1:$CG$65000,$B1100,AY$5)=1,1,IF(INDEX([1]Pivot!$B$1:$AB$65000,$B1100,AY$5)="",2,0)),0)</f>
        <v>0</v>
      </c>
      <c r="AZ1100" s="313">
        <f>IFERROR(IF(INDEX([1]Pivot!$BF$1:$CG$65000,$B1100,AZ$5)=1,1,IF(INDEX([1]Pivot!$B$1:$AB$65000,$B1100,AZ$5)="",2,0)),0)</f>
        <v>0</v>
      </c>
      <c r="BA1100" s="313">
        <f>IFERROR(IF(INDEX([1]Pivot!$BF$1:$CG$65000,$B1100,BA$5)=1,1,IF(INDEX([1]Pivot!$B$1:$AB$65000,$B1100,BA$5)="",2,0)),0)</f>
        <v>0</v>
      </c>
      <c r="BB1100" s="313">
        <f>IFERROR(IF(INDEX([1]Pivot!$BF$1:$CG$65000,$B1100,BB$5)=1,1,IF(INDEX([1]Pivot!$B$1:$AB$65000,$B1100,BB$5)="",2,0)),0)</f>
        <v>0</v>
      </c>
      <c r="BC1100" s="313">
        <f>IFERROR(IF(INDEX([1]Pivot!$BF$1:$CG$65000,$B1100,BC$5)=1,1,IF(INDEX([1]Pivot!$B$1:$AB$65000,$B1100,BC$5)="",2,0)),0)</f>
        <v>0</v>
      </c>
      <c r="BD1100" s="313">
        <f>IFERROR(IF(INDEX([1]Pivot!$BF$1:$CG$65000,$B1100,BD$5)=1,1,IF(INDEX([1]Pivot!$B$1:$AB$65000,$B1100,BD$5)="",2,0)),0)</f>
        <v>0</v>
      </c>
    </row>
    <row r="1101" spans="1:56" x14ac:dyDescent="0.25">
      <c r="A1101" s="288">
        <f>'[2]Raw Milk Prices'!A1101</f>
        <v>0</v>
      </c>
      <c r="B1101" s="296" t="e">
        <f>MATCH(DATE(LEFT('[2]Raw Milk Prices'!$A1101,4),RIGHT('[2]Raw Milk Prices'!$A1101,2),1),[1]Pivot!$A$1:$A$65000,0)</f>
        <v>#VALUE!</v>
      </c>
      <c r="C1101" s="194">
        <f>IFERROR(IF(INDEX([1]Pivot!$AD$1:$BE$65000,$B1101,C$5)=1,1,IF(INDEX([1]Pivot!$B$1:$AB$65000,$B1101,C$5)="",2,0)),0)</f>
        <v>0</v>
      </c>
      <c r="D1101" s="194">
        <f>IFERROR(IF(INDEX([1]Pivot!$AD$1:$BE$65000,$B1101,D$5)=1,1,IF(INDEX([1]Pivot!$B$1:$AB$65000,$B1101,D$5)="",2,0)),0)</f>
        <v>0</v>
      </c>
      <c r="E1101" s="194">
        <f>IFERROR(IF(INDEX([1]Pivot!$AD$1:$BE$65000,$B1101,E$5)=1,1,IF(INDEX([1]Pivot!$B$1:$AB$65000,$B1101,E$5)="",2,0)),0)</f>
        <v>0</v>
      </c>
      <c r="F1101" s="194">
        <f>IFERROR(IF(INDEX([1]Pivot!$AD$1:$BE$65000,$B1101,F$5)=1,1,IF(INDEX([1]Pivot!$B$1:$AB$65000,$B1101,F$5)="",2,0)),0)</f>
        <v>0</v>
      </c>
      <c r="G1101" s="194">
        <f>IFERROR(IF(INDEX([1]Pivot!$AD$1:$BE$65000,$B1101,G$5)=1,1,IF(INDEX([1]Pivot!$B$1:$AB$65000,$B1101,G$5)="",2,0)),0)</f>
        <v>0</v>
      </c>
      <c r="H1101" s="194">
        <f>IFERROR(IF(INDEX([1]Pivot!$AD$1:$BE$65000,$B1101,H$5)=1,1,IF(INDEX([1]Pivot!$B$1:$AB$65000,$B1101,H$5)="",2,0)),0)</f>
        <v>0</v>
      </c>
      <c r="I1101" s="194">
        <f>IFERROR(IF(INDEX([1]Pivot!$AD$1:$BE$65000,$B1101,I$5)=1,1,IF(INDEX([1]Pivot!$B$1:$AB$65000,$B1101,I$5)="",2,0)),0)</f>
        <v>0</v>
      </c>
      <c r="J1101" s="194">
        <f>IFERROR(IF(INDEX([1]Pivot!$AD$1:$BE$65000,$B1101,J$5)=1,1,IF(INDEX([1]Pivot!$B$1:$AB$65000,$B1101,J$5)="",2,0)),0)</f>
        <v>0</v>
      </c>
      <c r="K1101" s="194">
        <f>IFERROR(IF(INDEX([1]Pivot!$AD$1:$BE$65000,$B1101,K$5)=1,1,IF(INDEX([1]Pivot!$B$1:$AB$65000,$B1101,K$5)="",2,0)),0)</f>
        <v>0</v>
      </c>
      <c r="L1101" s="194">
        <f>IFERROR(IF(INDEX([1]Pivot!$AD$1:$BE$65000,$B1101,L$5)=1,1,IF(INDEX([1]Pivot!$B$1:$AB$65000,$B1101,L$5)="",2,0)),0)</f>
        <v>0</v>
      </c>
      <c r="M1101" s="194">
        <f>IFERROR(IF(INDEX([1]Pivot!$AD$1:$BE$65000,$B1101,M$5)=1,1,IF(INDEX([1]Pivot!$B$1:$AB$65000,$B1101,M$5)="",2,0)),0)</f>
        <v>0</v>
      </c>
      <c r="N1101" s="194">
        <f>IFERROR(IF(INDEX([1]Pivot!$AD$1:$BE$65000,$B1101,N$5)=1,1,IF(INDEX([1]Pivot!$B$1:$AB$65000,$B1101,N$5)="",2,0)),0)</f>
        <v>0</v>
      </c>
      <c r="O1101" s="194">
        <f>IFERROR(IF(INDEX([1]Pivot!$AD$1:$BE$65000,$B1101,O$5)=1,1,IF(INDEX([1]Pivot!$B$1:$AB$65000,$B1101,O$5)="",2,0)),0)</f>
        <v>0</v>
      </c>
      <c r="P1101" s="194">
        <f>IFERROR(IF(INDEX([1]Pivot!$AD$1:$BE$65000,$B1101,P$5)=1,1,IF(INDEX([1]Pivot!$B$1:$AB$65000,$B1101,P$5)="",2,0)),0)</f>
        <v>0</v>
      </c>
      <c r="Q1101" s="194">
        <f>IFERROR(IF(INDEX([1]Pivot!$AD$1:$BE$65000,$B1101,Q$5)=1,1,IF(INDEX([1]Pivot!$B$1:$AB$65000,$B1101,Q$5)="",2,0)),0)</f>
        <v>0</v>
      </c>
      <c r="R1101" s="312"/>
      <c r="S1101" s="194">
        <f>IFERROR(IF(INDEX([1]Pivot!$AD$1:$BE$65000,$B1101,S$5)=1,1,IF(INDEX([1]Pivot!$B$1:$AB$65000,$B1101,S$5)="",2,0)),0)</f>
        <v>0</v>
      </c>
      <c r="T1101" s="194">
        <f>IFERROR(IF(INDEX([1]Pivot!$AD$1:$BE$65000,$B1101,T$5)=1,1,IF(INDEX([1]Pivot!$B$1:$AB$65000,$B1101,T$5)="",2,0)),0)</f>
        <v>0</v>
      </c>
      <c r="U1101" s="194">
        <f>IFERROR(IF(INDEX([1]Pivot!$AD$1:$BE$65000,$B1101,U$5)=1,1,IF(INDEX([1]Pivot!$B$1:$AB$65000,$B1101,U$5)="",2,0)),0)</f>
        <v>0</v>
      </c>
      <c r="V1101" s="194">
        <f>IFERROR(IF(INDEX([1]Pivot!$AD$1:$BE$65000,$B1101,V$5)=1,1,IF(INDEX([1]Pivot!$B$1:$AB$65000,$B1101,V$5)="",2,0)),0)</f>
        <v>0</v>
      </c>
      <c r="W1101" s="194">
        <f>IFERROR(IF(INDEX([1]Pivot!$AD$1:$BE$65000,$B1101,W$5)=1,1,IF(INDEX([1]Pivot!$B$1:$AB$65000,$B1101,W$5)="",2,0)),0)</f>
        <v>0</v>
      </c>
      <c r="X1101" s="194">
        <f>IFERROR(IF(INDEX([1]Pivot!$AD$1:$BE$65000,$B1101,X$5)=1,1,IF(INDEX([1]Pivot!$B$1:$AB$65000,$B1101,X$5)="",2,0)),0)</f>
        <v>0</v>
      </c>
      <c r="Y1101" s="194">
        <f>IFERROR(IF(INDEX([1]Pivot!$AD$1:$BE$65000,$B1101,Y$5)=1,1,IF(INDEX([1]Pivot!$B$1:$AB$65000,$B1101,Y$5)="",2,0)),0)</f>
        <v>0</v>
      </c>
      <c r="Z1101" s="194">
        <f>IFERROR(IF(INDEX([1]Pivot!$AD$1:$BE$65000,$B1101,Z$5)=1,1,IF(INDEX([1]Pivot!$B$1:$AB$65000,$B1101,Z$5)="",2,0)),0)</f>
        <v>0</v>
      </c>
      <c r="AA1101" s="194">
        <f>IFERROR(IF(INDEX([1]Pivot!$AD$1:$BE$65000,$B1101,AA$5)=1,1,IF(INDEX([1]Pivot!$B$1:$AB$65000,$B1101,AA$5)="",2,0)),0)</f>
        <v>0</v>
      </c>
      <c r="AB1101" s="194">
        <f>IFERROR(IF(INDEX([1]Pivot!$AD$1:$BE$65000,$B1101,AB$5)=1,1,IF(INDEX([1]Pivot!$B$1:$AB$65000,$B1101,AB$5)="",2,0)),0)</f>
        <v>0</v>
      </c>
      <c r="AC1101" s="194">
        <f>IFERROR(IF(INDEX([1]Pivot!$AD$1:$BE$65000,$B1101,AC$5)=1,1,IF(INDEX([1]Pivot!$B$1:$AB$65000,$B1101,AC$5)="",2,0)),0)</f>
        <v>0</v>
      </c>
      <c r="AD1101" s="313">
        <f>IFERROR(IF(INDEX([1]Pivot!$BF$1:$CG$65000,$B1101,AD$5)=1,1,IF(INDEX([1]Pivot!$B$1:$AB$65000,$B1101,AD$5)="",2,0)),0)</f>
        <v>0</v>
      </c>
      <c r="AE1101" s="313">
        <f>IFERROR(IF(INDEX([1]Pivot!$BF$1:$CG$65000,$B1101,AE$5)=1,1,IF(INDEX([1]Pivot!$B$1:$AB$65000,$B1101,AE$5)="",2,0)),0)</f>
        <v>0</v>
      </c>
      <c r="AF1101" s="313">
        <f>IFERROR(IF(INDEX([1]Pivot!$BF$1:$CG$65000,$B1101,AF$5)=1,1,IF(INDEX([1]Pivot!$B$1:$AB$65000,$B1101,AF$5)="",2,0)),0)</f>
        <v>0</v>
      </c>
      <c r="AG1101" s="313">
        <f>IFERROR(IF(INDEX([1]Pivot!$BF$1:$CG$65000,$B1101,AG$5)=1,1,IF(INDEX([1]Pivot!$B$1:$AB$65000,$B1101,AG$5)="",2,0)),0)</f>
        <v>0</v>
      </c>
      <c r="AH1101" s="313">
        <f>IFERROR(IF(INDEX([1]Pivot!$BF$1:$CG$65000,$B1101,AH$5)=1,1,IF(INDEX([1]Pivot!$B$1:$AB$65000,$B1101,AH$5)="",2,0)),0)</f>
        <v>0</v>
      </c>
      <c r="AI1101" s="313">
        <f>IFERROR(IF(INDEX([1]Pivot!$BF$1:$CG$65000,$B1101,AI$5)=1,1,IF(INDEX([1]Pivot!$B$1:$AB$65000,$B1101,AI$5)="",2,0)),0)</f>
        <v>0</v>
      </c>
      <c r="AJ1101" s="313">
        <f>IFERROR(IF(INDEX([1]Pivot!$BF$1:$CG$65000,$B1101,AJ$5)=1,1,IF(INDEX([1]Pivot!$B$1:$AB$65000,$B1101,AJ$5)="",2,0)),0)</f>
        <v>0</v>
      </c>
      <c r="AK1101" s="313">
        <f>IFERROR(IF(INDEX([1]Pivot!$BF$1:$CG$65000,$B1101,AK$5)=1,1,IF(INDEX([1]Pivot!$B$1:$AB$65000,$B1101,AK$5)="",2,0)),0)</f>
        <v>0</v>
      </c>
      <c r="AL1101" s="313">
        <f>IFERROR(IF(INDEX([1]Pivot!$BF$1:$CG$65000,$B1101,AL$5)=1,1,IF(INDEX([1]Pivot!$B$1:$AB$65000,$B1101,AL$5)="",2,0)),0)</f>
        <v>0</v>
      </c>
      <c r="AM1101" s="313">
        <f>IFERROR(IF(INDEX([1]Pivot!$BF$1:$CG$65000,$B1101,AM$5)=1,1,IF(INDEX([1]Pivot!$B$1:$AB$65000,$B1101,AM$5)="",2,0)),0)</f>
        <v>0</v>
      </c>
      <c r="AN1101" s="313">
        <f>IFERROR(IF(INDEX([1]Pivot!$BF$1:$CG$65000,$B1101,AN$5)=1,1,IF(INDEX([1]Pivot!$B$1:$AB$65000,$B1101,AN$5)="",2,0)),0)</f>
        <v>0</v>
      </c>
      <c r="AO1101" s="313">
        <f>IFERROR(IF(INDEX([1]Pivot!$BF$1:$CG$65000,$B1101,AO$5)=1,1,IF(INDEX([1]Pivot!$B$1:$AB$65000,$B1101,AO$5)="",2,0)),0)</f>
        <v>0</v>
      </c>
      <c r="AP1101" s="313">
        <f>IFERROR(IF(INDEX([1]Pivot!$BF$1:$CG$65000,$B1101,AP$5)=1,1,IF(INDEX([1]Pivot!$B$1:$AB$65000,$B1101,AP$5)="",2,0)),0)</f>
        <v>0</v>
      </c>
      <c r="AQ1101" s="313">
        <f>IFERROR(IF(INDEX([1]Pivot!$BF$1:$CG$65000,$B1101,AQ$5)=1,1,IF(INDEX([1]Pivot!$B$1:$AB$65000,$B1101,AQ$5)="",2,0)),0)</f>
        <v>0</v>
      </c>
      <c r="AR1101" s="313">
        <f>IFERROR(IF(INDEX([1]Pivot!$BF$1:$CG$65000,$B1101,AR$5)=1,1,IF(INDEX([1]Pivot!$B$1:$AB$65000,$B1101,AR$5)="",2,0)),0)</f>
        <v>0</v>
      </c>
      <c r="AS1101" s="312"/>
      <c r="AT1101" s="313">
        <f>IFERROR(IF(INDEX([1]Pivot!$BF$1:$CG$65000,$B1101,AT$5)=1,1,IF(INDEX([1]Pivot!$B$1:$AB$65000,$B1101,AT$5)="",2,0)),0)</f>
        <v>0</v>
      </c>
      <c r="AU1101" s="313">
        <f>IFERROR(IF(INDEX([1]Pivot!$BF$1:$CG$65000,$B1101,AU$5)=1,1,IF(INDEX([1]Pivot!$B$1:$AB$65000,$B1101,AU$5)="",2,0)),0)</f>
        <v>0</v>
      </c>
      <c r="AV1101" s="313">
        <f>IFERROR(IF(INDEX([1]Pivot!$BF$1:$CG$65000,$B1101,AV$5)=1,1,IF(INDEX([1]Pivot!$B$1:$AB$65000,$B1101,AV$5)="",2,0)),0)</f>
        <v>0</v>
      </c>
      <c r="AW1101" s="313">
        <f>IFERROR(IF(INDEX([1]Pivot!$BF$1:$CG$65000,$B1101,AW$5)=1,1,IF(INDEX([1]Pivot!$B$1:$AB$65000,$B1101,AW$5)="",2,0)),0)</f>
        <v>0</v>
      </c>
      <c r="AX1101" s="313">
        <f>IFERROR(IF(INDEX([1]Pivot!$BF$1:$CG$65000,$B1101,AX$5)=1,1,IF(INDEX([1]Pivot!$B$1:$AB$65000,$B1101,AX$5)="",2,0)),0)</f>
        <v>0</v>
      </c>
      <c r="AY1101" s="313">
        <f>IFERROR(IF(INDEX([1]Pivot!$BF$1:$CG$65000,$B1101,AY$5)=1,1,IF(INDEX([1]Pivot!$B$1:$AB$65000,$B1101,AY$5)="",2,0)),0)</f>
        <v>0</v>
      </c>
      <c r="AZ1101" s="313">
        <f>IFERROR(IF(INDEX([1]Pivot!$BF$1:$CG$65000,$B1101,AZ$5)=1,1,IF(INDEX([1]Pivot!$B$1:$AB$65000,$B1101,AZ$5)="",2,0)),0)</f>
        <v>0</v>
      </c>
      <c r="BA1101" s="313">
        <f>IFERROR(IF(INDEX([1]Pivot!$BF$1:$CG$65000,$B1101,BA$5)=1,1,IF(INDEX([1]Pivot!$B$1:$AB$65000,$B1101,BA$5)="",2,0)),0)</f>
        <v>0</v>
      </c>
      <c r="BB1101" s="313">
        <f>IFERROR(IF(INDEX([1]Pivot!$BF$1:$CG$65000,$B1101,BB$5)=1,1,IF(INDEX([1]Pivot!$B$1:$AB$65000,$B1101,BB$5)="",2,0)),0)</f>
        <v>0</v>
      </c>
      <c r="BC1101" s="313">
        <f>IFERROR(IF(INDEX([1]Pivot!$BF$1:$CG$65000,$B1101,BC$5)=1,1,IF(INDEX([1]Pivot!$B$1:$AB$65000,$B1101,BC$5)="",2,0)),0)</f>
        <v>0</v>
      </c>
      <c r="BD1101" s="313">
        <f>IFERROR(IF(INDEX([1]Pivot!$BF$1:$CG$65000,$B1101,BD$5)=1,1,IF(INDEX([1]Pivot!$B$1:$AB$65000,$B1101,BD$5)="",2,0)),0)</f>
        <v>0</v>
      </c>
    </row>
    <row r="1102" spans="1:56" x14ac:dyDescent="0.25">
      <c r="A1102" s="288">
        <f>'[2]Raw Milk Prices'!A1102</f>
        <v>0</v>
      </c>
      <c r="B1102" s="296" t="e">
        <f>MATCH(DATE(LEFT('[2]Raw Milk Prices'!$A1102,4),RIGHT('[2]Raw Milk Prices'!$A1102,2),1),[1]Pivot!$A$1:$A$65000,0)</f>
        <v>#VALUE!</v>
      </c>
      <c r="C1102" s="194">
        <f>IFERROR(IF(INDEX([1]Pivot!$AD$1:$BE$65000,$B1102,C$5)=1,1,IF(INDEX([1]Pivot!$B$1:$AB$65000,$B1102,C$5)="",2,0)),0)</f>
        <v>0</v>
      </c>
      <c r="D1102" s="194">
        <f>IFERROR(IF(INDEX([1]Pivot!$AD$1:$BE$65000,$B1102,D$5)=1,1,IF(INDEX([1]Pivot!$B$1:$AB$65000,$B1102,D$5)="",2,0)),0)</f>
        <v>0</v>
      </c>
      <c r="E1102" s="194">
        <f>IFERROR(IF(INDEX([1]Pivot!$AD$1:$BE$65000,$B1102,E$5)=1,1,IF(INDEX([1]Pivot!$B$1:$AB$65000,$B1102,E$5)="",2,0)),0)</f>
        <v>0</v>
      </c>
      <c r="F1102" s="194">
        <f>IFERROR(IF(INDEX([1]Pivot!$AD$1:$BE$65000,$B1102,F$5)=1,1,IF(INDEX([1]Pivot!$B$1:$AB$65000,$B1102,F$5)="",2,0)),0)</f>
        <v>0</v>
      </c>
      <c r="G1102" s="194">
        <f>IFERROR(IF(INDEX([1]Pivot!$AD$1:$BE$65000,$B1102,G$5)=1,1,IF(INDEX([1]Pivot!$B$1:$AB$65000,$B1102,G$5)="",2,0)),0)</f>
        <v>0</v>
      </c>
      <c r="H1102" s="194">
        <f>IFERROR(IF(INDEX([1]Pivot!$AD$1:$BE$65000,$B1102,H$5)=1,1,IF(INDEX([1]Pivot!$B$1:$AB$65000,$B1102,H$5)="",2,0)),0)</f>
        <v>0</v>
      </c>
      <c r="I1102" s="194">
        <f>IFERROR(IF(INDEX([1]Pivot!$AD$1:$BE$65000,$B1102,I$5)=1,1,IF(INDEX([1]Pivot!$B$1:$AB$65000,$B1102,I$5)="",2,0)),0)</f>
        <v>0</v>
      </c>
      <c r="J1102" s="194">
        <f>IFERROR(IF(INDEX([1]Pivot!$AD$1:$BE$65000,$B1102,J$5)=1,1,IF(INDEX([1]Pivot!$B$1:$AB$65000,$B1102,J$5)="",2,0)),0)</f>
        <v>0</v>
      </c>
      <c r="K1102" s="194">
        <f>IFERROR(IF(INDEX([1]Pivot!$AD$1:$BE$65000,$B1102,K$5)=1,1,IF(INDEX([1]Pivot!$B$1:$AB$65000,$B1102,K$5)="",2,0)),0)</f>
        <v>0</v>
      </c>
      <c r="L1102" s="194">
        <f>IFERROR(IF(INDEX([1]Pivot!$AD$1:$BE$65000,$B1102,L$5)=1,1,IF(INDEX([1]Pivot!$B$1:$AB$65000,$B1102,L$5)="",2,0)),0)</f>
        <v>0</v>
      </c>
      <c r="M1102" s="194">
        <f>IFERROR(IF(INDEX([1]Pivot!$AD$1:$BE$65000,$B1102,M$5)=1,1,IF(INDEX([1]Pivot!$B$1:$AB$65000,$B1102,M$5)="",2,0)),0)</f>
        <v>0</v>
      </c>
      <c r="N1102" s="194">
        <f>IFERROR(IF(INDEX([1]Pivot!$AD$1:$BE$65000,$B1102,N$5)=1,1,IF(INDEX([1]Pivot!$B$1:$AB$65000,$B1102,N$5)="",2,0)),0)</f>
        <v>0</v>
      </c>
      <c r="O1102" s="194">
        <f>IFERROR(IF(INDEX([1]Pivot!$AD$1:$BE$65000,$B1102,O$5)=1,1,IF(INDEX([1]Pivot!$B$1:$AB$65000,$B1102,O$5)="",2,0)),0)</f>
        <v>0</v>
      </c>
      <c r="P1102" s="194">
        <f>IFERROR(IF(INDEX([1]Pivot!$AD$1:$BE$65000,$B1102,P$5)=1,1,IF(INDEX([1]Pivot!$B$1:$AB$65000,$B1102,P$5)="",2,0)),0)</f>
        <v>0</v>
      </c>
      <c r="Q1102" s="194">
        <f>IFERROR(IF(INDEX([1]Pivot!$AD$1:$BE$65000,$B1102,Q$5)=1,1,IF(INDEX([1]Pivot!$B$1:$AB$65000,$B1102,Q$5)="",2,0)),0)</f>
        <v>0</v>
      </c>
      <c r="R1102" s="312"/>
      <c r="S1102" s="194">
        <f>IFERROR(IF(INDEX([1]Pivot!$AD$1:$BE$65000,$B1102,S$5)=1,1,IF(INDEX([1]Pivot!$B$1:$AB$65000,$B1102,S$5)="",2,0)),0)</f>
        <v>0</v>
      </c>
      <c r="T1102" s="194">
        <f>IFERROR(IF(INDEX([1]Pivot!$AD$1:$BE$65000,$B1102,T$5)=1,1,IF(INDEX([1]Pivot!$B$1:$AB$65000,$B1102,T$5)="",2,0)),0)</f>
        <v>0</v>
      </c>
      <c r="U1102" s="194">
        <f>IFERROR(IF(INDEX([1]Pivot!$AD$1:$BE$65000,$B1102,U$5)=1,1,IF(INDEX([1]Pivot!$B$1:$AB$65000,$B1102,U$5)="",2,0)),0)</f>
        <v>0</v>
      </c>
      <c r="V1102" s="194">
        <f>IFERROR(IF(INDEX([1]Pivot!$AD$1:$BE$65000,$B1102,V$5)=1,1,IF(INDEX([1]Pivot!$B$1:$AB$65000,$B1102,V$5)="",2,0)),0)</f>
        <v>0</v>
      </c>
      <c r="W1102" s="194">
        <f>IFERROR(IF(INDEX([1]Pivot!$AD$1:$BE$65000,$B1102,W$5)=1,1,IF(INDEX([1]Pivot!$B$1:$AB$65000,$B1102,W$5)="",2,0)),0)</f>
        <v>0</v>
      </c>
      <c r="X1102" s="194">
        <f>IFERROR(IF(INDEX([1]Pivot!$AD$1:$BE$65000,$B1102,X$5)=1,1,IF(INDEX([1]Pivot!$B$1:$AB$65000,$B1102,X$5)="",2,0)),0)</f>
        <v>0</v>
      </c>
      <c r="Y1102" s="194">
        <f>IFERROR(IF(INDEX([1]Pivot!$AD$1:$BE$65000,$B1102,Y$5)=1,1,IF(INDEX([1]Pivot!$B$1:$AB$65000,$B1102,Y$5)="",2,0)),0)</f>
        <v>0</v>
      </c>
      <c r="Z1102" s="194">
        <f>IFERROR(IF(INDEX([1]Pivot!$AD$1:$BE$65000,$B1102,Z$5)=1,1,IF(INDEX([1]Pivot!$B$1:$AB$65000,$B1102,Z$5)="",2,0)),0)</f>
        <v>0</v>
      </c>
      <c r="AA1102" s="194">
        <f>IFERROR(IF(INDEX([1]Pivot!$AD$1:$BE$65000,$B1102,AA$5)=1,1,IF(INDEX([1]Pivot!$B$1:$AB$65000,$B1102,AA$5)="",2,0)),0)</f>
        <v>0</v>
      </c>
      <c r="AB1102" s="194">
        <f>IFERROR(IF(INDEX([1]Pivot!$AD$1:$BE$65000,$B1102,AB$5)=1,1,IF(INDEX([1]Pivot!$B$1:$AB$65000,$B1102,AB$5)="",2,0)),0)</f>
        <v>0</v>
      </c>
      <c r="AC1102" s="194">
        <f>IFERROR(IF(INDEX([1]Pivot!$AD$1:$BE$65000,$B1102,AC$5)=1,1,IF(INDEX([1]Pivot!$B$1:$AB$65000,$B1102,AC$5)="",2,0)),0)</f>
        <v>0</v>
      </c>
      <c r="AD1102" s="313">
        <f>IFERROR(IF(INDEX([1]Pivot!$BF$1:$CG$65000,$B1102,AD$5)=1,1,IF(INDEX([1]Pivot!$B$1:$AB$65000,$B1102,AD$5)="",2,0)),0)</f>
        <v>0</v>
      </c>
      <c r="AE1102" s="313">
        <f>IFERROR(IF(INDEX([1]Pivot!$BF$1:$CG$65000,$B1102,AE$5)=1,1,IF(INDEX([1]Pivot!$B$1:$AB$65000,$B1102,AE$5)="",2,0)),0)</f>
        <v>0</v>
      </c>
      <c r="AF1102" s="313">
        <f>IFERROR(IF(INDEX([1]Pivot!$BF$1:$CG$65000,$B1102,AF$5)=1,1,IF(INDEX([1]Pivot!$B$1:$AB$65000,$B1102,AF$5)="",2,0)),0)</f>
        <v>0</v>
      </c>
      <c r="AG1102" s="313">
        <f>IFERROR(IF(INDEX([1]Pivot!$BF$1:$CG$65000,$B1102,AG$5)=1,1,IF(INDEX([1]Pivot!$B$1:$AB$65000,$B1102,AG$5)="",2,0)),0)</f>
        <v>0</v>
      </c>
      <c r="AH1102" s="313">
        <f>IFERROR(IF(INDEX([1]Pivot!$BF$1:$CG$65000,$B1102,AH$5)=1,1,IF(INDEX([1]Pivot!$B$1:$AB$65000,$B1102,AH$5)="",2,0)),0)</f>
        <v>0</v>
      </c>
      <c r="AI1102" s="313">
        <f>IFERROR(IF(INDEX([1]Pivot!$BF$1:$CG$65000,$B1102,AI$5)=1,1,IF(INDEX([1]Pivot!$B$1:$AB$65000,$B1102,AI$5)="",2,0)),0)</f>
        <v>0</v>
      </c>
      <c r="AJ1102" s="313">
        <f>IFERROR(IF(INDEX([1]Pivot!$BF$1:$CG$65000,$B1102,AJ$5)=1,1,IF(INDEX([1]Pivot!$B$1:$AB$65000,$B1102,AJ$5)="",2,0)),0)</f>
        <v>0</v>
      </c>
      <c r="AK1102" s="313">
        <f>IFERROR(IF(INDEX([1]Pivot!$BF$1:$CG$65000,$B1102,AK$5)=1,1,IF(INDEX([1]Pivot!$B$1:$AB$65000,$B1102,AK$5)="",2,0)),0)</f>
        <v>0</v>
      </c>
      <c r="AL1102" s="313">
        <f>IFERROR(IF(INDEX([1]Pivot!$BF$1:$CG$65000,$B1102,AL$5)=1,1,IF(INDEX([1]Pivot!$B$1:$AB$65000,$B1102,AL$5)="",2,0)),0)</f>
        <v>0</v>
      </c>
      <c r="AM1102" s="313">
        <f>IFERROR(IF(INDEX([1]Pivot!$BF$1:$CG$65000,$B1102,AM$5)=1,1,IF(INDEX([1]Pivot!$B$1:$AB$65000,$B1102,AM$5)="",2,0)),0)</f>
        <v>0</v>
      </c>
      <c r="AN1102" s="313">
        <f>IFERROR(IF(INDEX([1]Pivot!$BF$1:$CG$65000,$B1102,AN$5)=1,1,IF(INDEX([1]Pivot!$B$1:$AB$65000,$B1102,AN$5)="",2,0)),0)</f>
        <v>0</v>
      </c>
      <c r="AO1102" s="313">
        <f>IFERROR(IF(INDEX([1]Pivot!$BF$1:$CG$65000,$B1102,AO$5)=1,1,IF(INDEX([1]Pivot!$B$1:$AB$65000,$B1102,AO$5)="",2,0)),0)</f>
        <v>0</v>
      </c>
      <c r="AP1102" s="313">
        <f>IFERROR(IF(INDEX([1]Pivot!$BF$1:$CG$65000,$B1102,AP$5)=1,1,IF(INDEX([1]Pivot!$B$1:$AB$65000,$B1102,AP$5)="",2,0)),0)</f>
        <v>0</v>
      </c>
      <c r="AQ1102" s="313">
        <f>IFERROR(IF(INDEX([1]Pivot!$BF$1:$CG$65000,$B1102,AQ$5)=1,1,IF(INDEX([1]Pivot!$B$1:$AB$65000,$B1102,AQ$5)="",2,0)),0)</f>
        <v>0</v>
      </c>
      <c r="AR1102" s="313">
        <f>IFERROR(IF(INDEX([1]Pivot!$BF$1:$CG$65000,$B1102,AR$5)=1,1,IF(INDEX([1]Pivot!$B$1:$AB$65000,$B1102,AR$5)="",2,0)),0)</f>
        <v>0</v>
      </c>
      <c r="AS1102" s="312"/>
      <c r="AT1102" s="313">
        <f>IFERROR(IF(INDEX([1]Pivot!$BF$1:$CG$65000,$B1102,AT$5)=1,1,IF(INDEX([1]Pivot!$B$1:$AB$65000,$B1102,AT$5)="",2,0)),0)</f>
        <v>0</v>
      </c>
      <c r="AU1102" s="313">
        <f>IFERROR(IF(INDEX([1]Pivot!$BF$1:$CG$65000,$B1102,AU$5)=1,1,IF(INDEX([1]Pivot!$B$1:$AB$65000,$B1102,AU$5)="",2,0)),0)</f>
        <v>0</v>
      </c>
      <c r="AV1102" s="313">
        <f>IFERROR(IF(INDEX([1]Pivot!$BF$1:$CG$65000,$B1102,AV$5)=1,1,IF(INDEX([1]Pivot!$B$1:$AB$65000,$B1102,AV$5)="",2,0)),0)</f>
        <v>0</v>
      </c>
      <c r="AW1102" s="313">
        <f>IFERROR(IF(INDEX([1]Pivot!$BF$1:$CG$65000,$B1102,AW$5)=1,1,IF(INDEX([1]Pivot!$B$1:$AB$65000,$B1102,AW$5)="",2,0)),0)</f>
        <v>0</v>
      </c>
      <c r="AX1102" s="313">
        <f>IFERROR(IF(INDEX([1]Pivot!$BF$1:$CG$65000,$B1102,AX$5)=1,1,IF(INDEX([1]Pivot!$B$1:$AB$65000,$B1102,AX$5)="",2,0)),0)</f>
        <v>0</v>
      </c>
      <c r="AY1102" s="313">
        <f>IFERROR(IF(INDEX([1]Pivot!$BF$1:$CG$65000,$B1102,AY$5)=1,1,IF(INDEX([1]Pivot!$B$1:$AB$65000,$B1102,AY$5)="",2,0)),0)</f>
        <v>0</v>
      </c>
      <c r="AZ1102" s="313">
        <f>IFERROR(IF(INDEX([1]Pivot!$BF$1:$CG$65000,$B1102,AZ$5)=1,1,IF(INDEX([1]Pivot!$B$1:$AB$65000,$B1102,AZ$5)="",2,0)),0)</f>
        <v>0</v>
      </c>
      <c r="BA1102" s="313">
        <f>IFERROR(IF(INDEX([1]Pivot!$BF$1:$CG$65000,$B1102,BA$5)=1,1,IF(INDEX([1]Pivot!$B$1:$AB$65000,$B1102,BA$5)="",2,0)),0)</f>
        <v>0</v>
      </c>
      <c r="BB1102" s="313">
        <f>IFERROR(IF(INDEX([1]Pivot!$BF$1:$CG$65000,$B1102,BB$5)=1,1,IF(INDEX([1]Pivot!$B$1:$AB$65000,$B1102,BB$5)="",2,0)),0)</f>
        <v>0</v>
      </c>
      <c r="BC1102" s="313">
        <f>IFERROR(IF(INDEX([1]Pivot!$BF$1:$CG$65000,$B1102,BC$5)=1,1,IF(INDEX([1]Pivot!$B$1:$AB$65000,$B1102,BC$5)="",2,0)),0)</f>
        <v>0</v>
      </c>
      <c r="BD1102" s="313">
        <f>IFERROR(IF(INDEX([1]Pivot!$BF$1:$CG$65000,$B1102,BD$5)=1,1,IF(INDEX([1]Pivot!$B$1:$AB$65000,$B1102,BD$5)="",2,0)),0)</f>
        <v>0</v>
      </c>
    </row>
    <row r="1103" spans="1:56" x14ac:dyDescent="0.25">
      <c r="A1103" s="288">
        <f>'[2]Raw Milk Prices'!A1103</f>
        <v>0</v>
      </c>
      <c r="B1103" s="296" t="e">
        <f>MATCH(DATE(LEFT('[2]Raw Milk Prices'!$A1103,4),RIGHT('[2]Raw Milk Prices'!$A1103,2),1),[1]Pivot!$A$1:$A$65000,0)</f>
        <v>#VALUE!</v>
      </c>
      <c r="C1103" s="194">
        <f>IFERROR(IF(INDEX([1]Pivot!$AD$1:$BE$65000,$B1103,C$5)=1,1,IF(INDEX([1]Pivot!$B$1:$AB$65000,$B1103,C$5)="",2,0)),0)</f>
        <v>0</v>
      </c>
      <c r="D1103" s="194">
        <f>IFERROR(IF(INDEX([1]Pivot!$AD$1:$BE$65000,$B1103,D$5)=1,1,IF(INDEX([1]Pivot!$B$1:$AB$65000,$B1103,D$5)="",2,0)),0)</f>
        <v>0</v>
      </c>
      <c r="E1103" s="194">
        <f>IFERROR(IF(INDEX([1]Pivot!$AD$1:$BE$65000,$B1103,E$5)=1,1,IF(INDEX([1]Pivot!$B$1:$AB$65000,$B1103,E$5)="",2,0)),0)</f>
        <v>0</v>
      </c>
      <c r="F1103" s="194">
        <f>IFERROR(IF(INDEX([1]Pivot!$AD$1:$BE$65000,$B1103,F$5)=1,1,IF(INDEX([1]Pivot!$B$1:$AB$65000,$B1103,F$5)="",2,0)),0)</f>
        <v>0</v>
      </c>
      <c r="G1103" s="194">
        <f>IFERROR(IF(INDEX([1]Pivot!$AD$1:$BE$65000,$B1103,G$5)=1,1,IF(INDEX([1]Pivot!$B$1:$AB$65000,$B1103,G$5)="",2,0)),0)</f>
        <v>0</v>
      </c>
      <c r="H1103" s="194">
        <f>IFERROR(IF(INDEX([1]Pivot!$AD$1:$BE$65000,$B1103,H$5)=1,1,IF(INDEX([1]Pivot!$B$1:$AB$65000,$B1103,H$5)="",2,0)),0)</f>
        <v>0</v>
      </c>
      <c r="I1103" s="194">
        <f>IFERROR(IF(INDEX([1]Pivot!$AD$1:$BE$65000,$B1103,I$5)=1,1,IF(INDEX([1]Pivot!$B$1:$AB$65000,$B1103,I$5)="",2,0)),0)</f>
        <v>0</v>
      </c>
      <c r="J1103" s="194">
        <f>IFERROR(IF(INDEX([1]Pivot!$AD$1:$BE$65000,$B1103,J$5)=1,1,IF(INDEX([1]Pivot!$B$1:$AB$65000,$B1103,J$5)="",2,0)),0)</f>
        <v>0</v>
      </c>
      <c r="K1103" s="194">
        <f>IFERROR(IF(INDEX([1]Pivot!$AD$1:$BE$65000,$B1103,K$5)=1,1,IF(INDEX([1]Pivot!$B$1:$AB$65000,$B1103,K$5)="",2,0)),0)</f>
        <v>0</v>
      </c>
      <c r="L1103" s="194">
        <f>IFERROR(IF(INDEX([1]Pivot!$AD$1:$BE$65000,$B1103,L$5)=1,1,IF(INDEX([1]Pivot!$B$1:$AB$65000,$B1103,L$5)="",2,0)),0)</f>
        <v>0</v>
      </c>
      <c r="M1103" s="194">
        <f>IFERROR(IF(INDEX([1]Pivot!$AD$1:$BE$65000,$B1103,M$5)=1,1,IF(INDEX([1]Pivot!$B$1:$AB$65000,$B1103,M$5)="",2,0)),0)</f>
        <v>0</v>
      </c>
      <c r="N1103" s="194">
        <f>IFERROR(IF(INDEX([1]Pivot!$AD$1:$BE$65000,$B1103,N$5)=1,1,IF(INDEX([1]Pivot!$B$1:$AB$65000,$B1103,N$5)="",2,0)),0)</f>
        <v>0</v>
      </c>
      <c r="O1103" s="194">
        <f>IFERROR(IF(INDEX([1]Pivot!$AD$1:$BE$65000,$B1103,O$5)=1,1,IF(INDEX([1]Pivot!$B$1:$AB$65000,$B1103,O$5)="",2,0)),0)</f>
        <v>0</v>
      </c>
      <c r="P1103" s="194">
        <f>IFERROR(IF(INDEX([1]Pivot!$AD$1:$BE$65000,$B1103,P$5)=1,1,IF(INDEX([1]Pivot!$B$1:$AB$65000,$B1103,P$5)="",2,0)),0)</f>
        <v>0</v>
      </c>
      <c r="Q1103" s="194">
        <f>IFERROR(IF(INDEX([1]Pivot!$AD$1:$BE$65000,$B1103,Q$5)=1,1,IF(INDEX([1]Pivot!$B$1:$AB$65000,$B1103,Q$5)="",2,0)),0)</f>
        <v>0</v>
      </c>
      <c r="R1103" s="312"/>
      <c r="S1103" s="194">
        <f>IFERROR(IF(INDEX([1]Pivot!$AD$1:$BE$65000,$B1103,S$5)=1,1,IF(INDEX([1]Pivot!$B$1:$AB$65000,$B1103,S$5)="",2,0)),0)</f>
        <v>0</v>
      </c>
      <c r="T1103" s="194">
        <f>IFERROR(IF(INDEX([1]Pivot!$AD$1:$BE$65000,$B1103,T$5)=1,1,IF(INDEX([1]Pivot!$B$1:$AB$65000,$B1103,T$5)="",2,0)),0)</f>
        <v>0</v>
      </c>
      <c r="U1103" s="194">
        <f>IFERROR(IF(INDEX([1]Pivot!$AD$1:$BE$65000,$B1103,U$5)=1,1,IF(INDEX([1]Pivot!$B$1:$AB$65000,$B1103,U$5)="",2,0)),0)</f>
        <v>0</v>
      </c>
      <c r="V1103" s="194">
        <f>IFERROR(IF(INDEX([1]Pivot!$AD$1:$BE$65000,$B1103,V$5)=1,1,IF(INDEX([1]Pivot!$B$1:$AB$65000,$B1103,V$5)="",2,0)),0)</f>
        <v>0</v>
      </c>
      <c r="W1103" s="194">
        <f>IFERROR(IF(INDEX([1]Pivot!$AD$1:$BE$65000,$B1103,W$5)=1,1,IF(INDEX([1]Pivot!$B$1:$AB$65000,$B1103,W$5)="",2,0)),0)</f>
        <v>0</v>
      </c>
      <c r="X1103" s="194">
        <f>IFERROR(IF(INDEX([1]Pivot!$AD$1:$BE$65000,$B1103,X$5)=1,1,IF(INDEX([1]Pivot!$B$1:$AB$65000,$B1103,X$5)="",2,0)),0)</f>
        <v>0</v>
      </c>
      <c r="Y1103" s="194">
        <f>IFERROR(IF(INDEX([1]Pivot!$AD$1:$BE$65000,$B1103,Y$5)=1,1,IF(INDEX([1]Pivot!$B$1:$AB$65000,$B1103,Y$5)="",2,0)),0)</f>
        <v>0</v>
      </c>
      <c r="Z1103" s="194">
        <f>IFERROR(IF(INDEX([1]Pivot!$AD$1:$BE$65000,$B1103,Z$5)=1,1,IF(INDEX([1]Pivot!$B$1:$AB$65000,$B1103,Z$5)="",2,0)),0)</f>
        <v>0</v>
      </c>
      <c r="AA1103" s="194">
        <f>IFERROR(IF(INDEX([1]Pivot!$AD$1:$BE$65000,$B1103,AA$5)=1,1,IF(INDEX([1]Pivot!$B$1:$AB$65000,$B1103,AA$5)="",2,0)),0)</f>
        <v>0</v>
      </c>
      <c r="AB1103" s="194">
        <f>IFERROR(IF(INDEX([1]Pivot!$AD$1:$BE$65000,$B1103,AB$5)=1,1,IF(INDEX([1]Pivot!$B$1:$AB$65000,$B1103,AB$5)="",2,0)),0)</f>
        <v>0</v>
      </c>
      <c r="AC1103" s="194">
        <f>IFERROR(IF(INDEX([1]Pivot!$AD$1:$BE$65000,$B1103,AC$5)=1,1,IF(INDEX([1]Pivot!$B$1:$AB$65000,$B1103,AC$5)="",2,0)),0)</f>
        <v>0</v>
      </c>
      <c r="AD1103" s="313">
        <f>IFERROR(IF(INDEX([1]Pivot!$BF$1:$CG$65000,$B1103,AD$5)=1,1,IF(INDEX([1]Pivot!$B$1:$AB$65000,$B1103,AD$5)="",2,0)),0)</f>
        <v>0</v>
      </c>
      <c r="AE1103" s="313">
        <f>IFERROR(IF(INDEX([1]Pivot!$BF$1:$CG$65000,$B1103,AE$5)=1,1,IF(INDEX([1]Pivot!$B$1:$AB$65000,$B1103,AE$5)="",2,0)),0)</f>
        <v>0</v>
      </c>
      <c r="AF1103" s="313">
        <f>IFERROR(IF(INDEX([1]Pivot!$BF$1:$CG$65000,$B1103,AF$5)=1,1,IF(INDEX([1]Pivot!$B$1:$AB$65000,$B1103,AF$5)="",2,0)),0)</f>
        <v>0</v>
      </c>
      <c r="AG1103" s="313">
        <f>IFERROR(IF(INDEX([1]Pivot!$BF$1:$CG$65000,$B1103,AG$5)=1,1,IF(INDEX([1]Pivot!$B$1:$AB$65000,$B1103,AG$5)="",2,0)),0)</f>
        <v>0</v>
      </c>
      <c r="AH1103" s="313">
        <f>IFERROR(IF(INDEX([1]Pivot!$BF$1:$CG$65000,$B1103,AH$5)=1,1,IF(INDEX([1]Pivot!$B$1:$AB$65000,$B1103,AH$5)="",2,0)),0)</f>
        <v>0</v>
      </c>
      <c r="AI1103" s="313">
        <f>IFERROR(IF(INDEX([1]Pivot!$BF$1:$CG$65000,$B1103,AI$5)=1,1,IF(INDEX([1]Pivot!$B$1:$AB$65000,$B1103,AI$5)="",2,0)),0)</f>
        <v>0</v>
      </c>
      <c r="AJ1103" s="313">
        <f>IFERROR(IF(INDEX([1]Pivot!$BF$1:$CG$65000,$B1103,AJ$5)=1,1,IF(INDEX([1]Pivot!$B$1:$AB$65000,$B1103,AJ$5)="",2,0)),0)</f>
        <v>0</v>
      </c>
      <c r="AK1103" s="313">
        <f>IFERROR(IF(INDEX([1]Pivot!$BF$1:$CG$65000,$B1103,AK$5)=1,1,IF(INDEX([1]Pivot!$B$1:$AB$65000,$B1103,AK$5)="",2,0)),0)</f>
        <v>0</v>
      </c>
      <c r="AL1103" s="313">
        <f>IFERROR(IF(INDEX([1]Pivot!$BF$1:$CG$65000,$B1103,AL$5)=1,1,IF(INDEX([1]Pivot!$B$1:$AB$65000,$B1103,AL$5)="",2,0)),0)</f>
        <v>0</v>
      </c>
      <c r="AM1103" s="313">
        <f>IFERROR(IF(INDEX([1]Pivot!$BF$1:$CG$65000,$B1103,AM$5)=1,1,IF(INDEX([1]Pivot!$B$1:$AB$65000,$B1103,AM$5)="",2,0)),0)</f>
        <v>0</v>
      </c>
      <c r="AN1103" s="313">
        <f>IFERROR(IF(INDEX([1]Pivot!$BF$1:$CG$65000,$B1103,AN$5)=1,1,IF(INDEX([1]Pivot!$B$1:$AB$65000,$B1103,AN$5)="",2,0)),0)</f>
        <v>0</v>
      </c>
      <c r="AO1103" s="313">
        <f>IFERROR(IF(INDEX([1]Pivot!$BF$1:$CG$65000,$B1103,AO$5)=1,1,IF(INDEX([1]Pivot!$B$1:$AB$65000,$B1103,AO$5)="",2,0)),0)</f>
        <v>0</v>
      </c>
      <c r="AP1103" s="313">
        <f>IFERROR(IF(INDEX([1]Pivot!$BF$1:$CG$65000,$B1103,AP$5)=1,1,IF(INDEX([1]Pivot!$B$1:$AB$65000,$B1103,AP$5)="",2,0)),0)</f>
        <v>0</v>
      </c>
      <c r="AQ1103" s="313">
        <f>IFERROR(IF(INDEX([1]Pivot!$BF$1:$CG$65000,$B1103,AQ$5)=1,1,IF(INDEX([1]Pivot!$B$1:$AB$65000,$B1103,AQ$5)="",2,0)),0)</f>
        <v>0</v>
      </c>
      <c r="AR1103" s="313">
        <f>IFERROR(IF(INDEX([1]Pivot!$BF$1:$CG$65000,$B1103,AR$5)=1,1,IF(INDEX([1]Pivot!$B$1:$AB$65000,$B1103,AR$5)="",2,0)),0)</f>
        <v>0</v>
      </c>
      <c r="AS1103" s="312"/>
      <c r="AT1103" s="313">
        <f>IFERROR(IF(INDEX([1]Pivot!$BF$1:$CG$65000,$B1103,AT$5)=1,1,IF(INDEX([1]Pivot!$B$1:$AB$65000,$B1103,AT$5)="",2,0)),0)</f>
        <v>0</v>
      </c>
      <c r="AU1103" s="313">
        <f>IFERROR(IF(INDEX([1]Pivot!$BF$1:$CG$65000,$B1103,AU$5)=1,1,IF(INDEX([1]Pivot!$B$1:$AB$65000,$B1103,AU$5)="",2,0)),0)</f>
        <v>0</v>
      </c>
      <c r="AV1103" s="313">
        <f>IFERROR(IF(INDEX([1]Pivot!$BF$1:$CG$65000,$B1103,AV$5)=1,1,IF(INDEX([1]Pivot!$B$1:$AB$65000,$B1103,AV$5)="",2,0)),0)</f>
        <v>0</v>
      </c>
      <c r="AW1103" s="313">
        <f>IFERROR(IF(INDEX([1]Pivot!$BF$1:$CG$65000,$B1103,AW$5)=1,1,IF(INDEX([1]Pivot!$B$1:$AB$65000,$B1103,AW$5)="",2,0)),0)</f>
        <v>0</v>
      </c>
      <c r="AX1103" s="313">
        <f>IFERROR(IF(INDEX([1]Pivot!$BF$1:$CG$65000,$B1103,AX$5)=1,1,IF(INDEX([1]Pivot!$B$1:$AB$65000,$B1103,AX$5)="",2,0)),0)</f>
        <v>0</v>
      </c>
      <c r="AY1103" s="313">
        <f>IFERROR(IF(INDEX([1]Pivot!$BF$1:$CG$65000,$B1103,AY$5)=1,1,IF(INDEX([1]Pivot!$B$1:$AB$65000,$B1103,AY$5)="",2,0)),0)</f>
        <v>0</v>
      </c>
      <c r="AZ1103" s="313">
        <f>IFERROR(IF(INDEX([1]Pivot!$BF$1:$CG$65000,$B1103,AZ$5)=1,1,IF(INDEX([1]Pivot!$B$1:$AB$65000,$B1103,AZ$5)="",2,0)),0)</f>
        <v>0</v>
      </c>
      <c r="BA1103" s="313">
        <f>IFERROR(IF(INDEX([1]Pivot!$BF$1:$CG$65000,$B1103,BA$5)=1,1,IF(INDEX([1]Pivot!$B$1:$AB$65000,$B1103,BA$5)="",2,0)),0)</f>
        <v>0</v>
      </c>
      <c r="BB1103" s="313">
        <f>IFERROR(IF(INDEX([1]Pivot!$BF$1:$CG$65000,$B1103,BB$5)=1,1,IF(INDEX([1]Pivot!$B$1:$AB$65000,$B1103,BB$5)="",2,0)),0)</f>
        <v>0</v>
      </c>
      <c r="BC1103" s="313">
        <f>IFERROR(IF(INDEX([1]Pivot!$BF$1:$CG$65000,$B1103,BC$5)=1,1,IF(INDEX([1]Pivot!$B$1:$AB$65000,$B1103,BC$5)="",2,0)),0)</f>
        <v>0</v>
      </c>
      <c r="BD1103" s="313">
        <f>IFERROR(IF(INDEX([1]Pivot!$BF$1:$CG$65000,$B1103,BD$5)=1,1,IF(INDEX([1]Pivot!$B$1:$AB$65000,$B1103,BD$5)="",2,0)),0)</f>
        <v>0</v>
      </c>
    </row>
    <row r="1104" spans="1:56" x14ac:dyDescent="0.25">
      <c r="A1104" s="288">
        <f>'[2]Raw Milk Prices'!A1104</f>
        <v>0</v>
      </c>
      <c r="B1104" s="296" t="e">
        <f>MATCH(DATE(LEFT('[2]Raw Milk Prices'!$A1104,4),RIGHT('[2]Raw Milk Prices'!$A1104,2),1),[1]Pivot!$A$1:$A$65000,0)</f>
        <v>#VALUE!</v>
      </c>
      <c r="C1104" s="194">
        <f>IFERROR(IF(INDEX([1]Pivot!$AD$1:$BE$65000,$B1104,C$5)=1,1,IF(INDEX([1]Pivot!$B$1:$AB$65000,$B1104,C$5)="",2,0)),0)</f>
        <v>0</v>
      </c>
      <c r="D1104" s="194">
        <f>IFERROR(IF(INDEX([1]Pivot!$AD$1:$BE$65000,$B1104,D$5)=1,1,IF(INDEX([1]Pivot!$B$1:$AB$65000,$B1104,D$5)="",2,0)),0)</f>
        <v>0</v>
      </c>
      <c r="E1104" s="194">
        <f>IFERROR(IF(INDEX([1]Pivot!$AD$1:$BE$65000,$B1104,E$5)=1,1,IF(INDEX([1]Pivot!$B$1:$AB$65000,$B1104,E$5)="",2,0)),0)</f>
        <v>0</v>
      </c>
      <c r="F1104" s="194">
        <f>IFERROR(IF(INDEX([1]Pivot!$AD$1:$BE$65000,$B1104,F$5)=1,1,IF(INDEX([1]Pivot!$B$1:$AB$65000,$B1104,F$5)="",2,0)),0)</f>
        <v>0</v>
      </c>
      <c r="G1104" s="194">
        <f>IFERROR(IF(INDEX([1]Pivot!$AD$1:$BE$65000,$B1104,G$5)=1,1,IF(INDEX([1]Pivot!$B$1:$AB$65000,$B1104,G$5)="",2,0)),0)</f>
        <v>0</v>
      </c>
      <c r="H1104" s="194">
        <f>IFERROR(IF(INDEX([1]Pivot!$AD$1:$BE$65000,$B1104,H$5)=1,1,IF(INDEX([1]Pivot!$B$1:$AB$65000,$B1104,H$5)="",2,0)),0)</f>
        <v>0</v>
      </c>
      <c r="I1104" s="194">
        <f>IFERROR(IF(INDEX([1]Pivot!$AD$1:$BE$65000,$B1104,I$5)=1,1,IF(INDEX([1]Pivot!$B$1:$AB$65000,$B1104,I$5)="",2,0)),0)</f>
        <v>0</v>
      </c>
      <c r="J1104" s="194">
        <f>IFERROR(IF(INDEX([1]Pivot!$AD$1:$BE$65000,$B1104,J$5)=1,1,IF(INDEX([1]Pivot!$B$1:$AB$65000,$B1104,J$5)="",2,0)),0)</f>
        <v>0</v>
      </c>
      <c r="K1104" s="194">
        <f>IFERROR(IF(INDEX([1]Pivot!$AD$1:$BE$65000,$B1104,K$5)=1,1,IF(INDEX([1]Pivot!$B$1:$AB$65000,$B1104,K$5)="",2,0)),0)</f>
        <v>0</v>
      </c>
      <c r="L1104" s="194">
        <f>IFERROR(IF(INDEX([1]Pivot!$AD$1:$BE$65000,$B1104,L$5)=1,1,IF(INDEX([1]Pivot!$B$1:$AB$65000,$B1104,L$5)="",2,0)),0)</f>
        <v>0</v>
      </c>
      <c r="M1104" s="194">
        <f>IFERROR(IF(INDEX([1]Pivot!$AD$1:$BE$65000,$B1104,M$5)=1,1,IF(INDEX([1]Pivot!$B$1:$AB$65000,$B1104,M$5)="",2,0)),0)</f>
        <v>0</v>
      </c>
      <c r="N1104" s="194">
        <f>IFERROR(IF(INDEX([1]Pivot!$AD$1:$BE$65000,$B1104,N$5)=1,1,IF(INDEX([1]Pivot!$B$1:$AB$65000,$B1104,N$5)="",2,0)),0)</f>
        <v>0</v>
      </c>
      <c r="O1104" s="194">
        <f>IFERROR(IF(INDEX([1]Pivot!$AD$1:$BE$65000,$B1104,O$5)=1,1,IF(INDEX([1]Pivot!$B$1:$AB$65000,$B1104,O$5)="",2,0)),0)</f>
        <v>0</v>
      </c>
      <c r="P1104" s="194">
        <f>IFERROR(IF(INDEX([1]Pivot!$AD$1:$BE$65000,$B1104,P$5)=1,1,IF(INDEX([1]Pivot!$B$1:$AB$65000,$B1104,P$5)="",2,0)),0)</f>
        <v>0</v>
      </c>
      <c r="Q1104" s="194">
        <f>IFERROR(IF(INDEX([1]Pivot!$AD$1:$BE$65000,$B1104,Q$5)=1,1,IF(INDEX([1]Pivot!$B$1:$AB$65000,$B1104,Q$5)="",2,0)),0)</f>
        <v>0</v>
      </c>
      <c r="R1104" s="312"/>
      <c r="S1104" s="194">
        <f>IFERROR(IF(INDEX([1]Pivot!$AD$1:$BE$65000,$B1104,S$5)=1,1,IF(INDEX([1]Pivot!$B$1:$AB$65000,$B1104,S$5)="",2,0)),0)</f>
        <v>0</v>
      </c>
      <c r="T1104" s="194">
        <f>IFERROR(IF(INDEX([1]Pivot!$AD$1:$BE$65000,$B1104,T$5)=1,1,IF(INDEX([1]Pivot!$B$1:$AB$65000,$B1104,T$5)="",2,0)),0)</f>
        <v>0</v>
      </c>
      <c r="U1104" s="194">
        <f>IFERROR(IF(INDEX([1]Pivot!$AD$1:$BE$65000,$B1104,U$5)=1,1,IF(INDEX([1]Pivot!$B$1:$AB$65000,$B1104,U$5)="",2,0)),0)</f>
        <v>0</v>
      </c>
      <c r="V1104" s="194">
        <f>IFERROR(IF(INDEX([1]Pivot!$AD$1:$BE$65000,$B1104,V$5)=1,1,IF(INDEX([1]Pivot!$B$1:$AB$65000,$B1104,V$5)="",2,0)),0)</f>
        <v>0</v>
      </c>
      <c r="W1104" s="194">
        <f>IFERROR(IF(INDEX([1]Pivot!$AD$1:$BE$65000,$B1104,W$5)=1,1,IF(INDEX([1]Pivot!$B$1:$AB$65000,$B1104,W$5)="",2,0)),0)</f>
        <v>0</v>
      </c>
      <c r="X1104" s="194">
        <f>IFERROR(IF(INDEX([1]Pivot!$AD$1:$BE$65000,$B1104,X$5)=1,1,IF(INDEX([1]Pivot!$B$1:$AB$65000,$B1104,X$5)="",2,0)),0)</f>
        <v>0</v>
      </c>
      <c r="Y1104" s="194">
        <f>IFERROR(IF(INDEX([1]Pivot!$AD$1:$BE$65000,$B1104,Y$5)=1,1,IF(INDEX([1]Pivot!$B$1:$AB$65000,$B1104,Y$5)="",2,0)),0)</f>
        <v>0</v>
      </c>
      <c r="Z1104" s="194">
        <f>IFERROR(IF(INDEX([1]Pivot!$AD$1:$BE$65000,$B1104,Z$5)=1,1,IF(INDEX([1]Pivot!$B$1:$AB$65000,$B1104,Z$5)="",2,0)),0)</f>
        <v>0</v>
      </c>
      <c r="AA1104" s="194">
        <f>IFERROR(IF(INDEX([1]Pivot!$AD$1:$BE$65000,$B1104,AA$5)=1,1,IF(INDEX([1]Pivot!$B$1:$AB$65000,$B1104,AA$5)="",2,0)),0)</f>
        <v>0</v>
      </c>
      <c r="AB1104" s="194">
        <f>IFERROR(IF(INDEX([1]Pivot!$AD$1:$BE$65000,$B1104,AB$5)=1,1,IF(INDEX([1]Pivot!$B$1:$AB$65000,$B1104,AB$5)="",2,0)),0)</f>
        <v>0</v>
      </c>
      <c r="AC1104" s="194">
        <f>IFERROR(IF(INDEX([1]Pivot!$AD$1:$BE$65000,$B1104,AC$5)=1,1,IF(INDEX([1]Pivot!$B$1:$AB$65000,$B1104,AC$5)="",2,0)),0)</f>
        <v>0</v>
      </c>
      <c r="AD1104" s="313">
        <f>IFERROR(IF(INDEX([1]Pivot!$BF$1:$CG$65000,$B1104,AD$5)=1,1,IF(INDEX([1]Pivot!$B$1:$AB$65000,$B1104,AD$5)="",2,0)),0)</f>
        <v>0</v>
      </c>
      <c r="AE1104" s="313">
        <f>IFERROR(IF(INDEX([1]Pivot!$BF$1:$CG$65000,$B1104,AE$5)=1,1,IF(INDEX([1]Pivot!$B$1:$AB$65000,$B1104,AE$5)="",2,0)),0)</f>
        <v>0</v>
      </c>
      <c r="AF1104" s="313">
        <f>IFERROR(IF(INDEX([1]Pivot!$BF$1:$CG$65000,$B1104,AF$5)=1,1,IF(INDEX([1]Pivot!$B$1:$AB$65000,$B1104,AF$5)="",2,0)),0)</f>
        <v>0</v>
      </c>
      <c r="AG1104" s="313">
        <f>IFERROR(IF(INDEX([1]Pivot!$BF$1:$CG$65000,$B1104,AG$5)=1,1,IF(INDEX([1]Pivot!$B$1:$AB$65000,$B1104,AG$5)="",2,0)),0)</f>
        <v>0</v>
      </c>
      <c r="AH1104" s="313">
        <f>IFERROR(IF(INDEX([1]Pivot!$BF$1:$CG$65000,$B1104,AH$5)=1,1,IF(INDEX([1]Pivot!$B$1:$AB$65000,$B1104,AH$5)="",2,0)),0)</f>
        <v>0</v>
      </c>
      <c r="AI1104" s="313">
        <f>IFERROR(IF(INDEX([1]Pivot!$BF$1:$CG$65000,$B1104,AI$5)=1,1,IF(INDEX([1]Pivot!$B$1:$AB$65000,$B1104,AI$5)="",2,0)),0)</f>
        <v>0</v>
      </c>
      <c r="AJ1104" s="313">
        <f>IFERROR(IF(INDEX([1]Pivot!$BF$1:$CG$65000,$B1104,AJ$5)=1,1,IF(INDEX([1]Pivot!$B$1:$AB$65000,$B1104,AJ$5)="",2,0)),0)</f>
        <v>0</v>
      </c>
      <c r="AK1104" s="313">
        <f>IFERROR(IF(INDEX([1]Pivot!$BF$1:$CG$65000,$B1104,AK$5)=1,1,IF(INDEX([1]Pivot!$B$1:$AB$65000,$B1104,AK$5)="",2,0)),0)</f>
        <v>0</v>
      </c>
      <c r="AL1104" s="313">
        <f>IFERROR(IF(INDEX([1]Pivot!$BF$1:$CG$65000,$B1104,AL$5)=1,1,IF(INDEX([1]Pivot!$B$1:$AB$65000,$B1104,AL$5)="",2,0)),0)</f>
        <v>0</v>
      </c>
      <c r="AM1104" s="313">
        <f>IFERROR(IF(INDEX([1]Pivot!$BF$1:$CG$65000,$B1104,AM$5)=1,1,IF(INDEX([1]Pivot!$B$1:$AB$65000,$B1104,AM$5)="",2,0)),0)</f>
        <v>0</v>
      </c>
      <c r="AN1104" s="313">
        <f>IFERROR(IF(INDEX([1]Pivot!$BF$1:$CG$65000,$B1104,AN$5)=1,1,IF(INDEX([1]Pivot!$B$1:$AB$65000,$B1104,AN$5)="",2,0)),0)</f>
        <v>0</v>
      </c>
      <c r="AO1104" s="313">
        <f>IFERROR(IF(INDEX([1]Pivot!$BF$1:$CG$65000,$B1104,AO$5)=1,1,IF(INDEX([1]Pivot!$B$1:$AB$65000,$B1104,AO$5)="",2,0)),0)</f>
        <v>0</v>
      </c>
      <c r="AP1104" s="313">
        <f>IFERROR(IF(INDEX([1]Pivot!$BF$1:$CG$65000,$B1104,AP$5)=1,1,IF(INDEX([1]Pivot!$B$1:$AB$65000,$B1104,AP$5)="",2,0)),0)</f>
        <v>0</v>
      </c>
      <c r="AQ1104" s="313">
        <f>IFERROR(IF(INDEX([1]Pivot!$BF$1:$CG$65000,$B1104,AQ$5)=1,1,IF(INDEX([1]Pivot!$B$1:$AB$65000,$B1104,AQ$5)="",2,0)),0)</f>
        <v>0</v>
      </c>
      <c r="AR1104" s="313">
        <f>IFERROR(IF(INDEX([1]Pivot!$BF$1:$CG$65000,$B1104,AR$5)=1,1,IF(INDEX([1]Pivot!$B$1:$AB$65000,$B1104,AR$5)="",2,0)),0)</f>
        <v>0</v>
      </c>
      <c r="AS1104" s="312"/>
      <c r="AT1104" s="313">
        <f>IFERROR(IF(INDEX([1]Pivot!$BF$1:$CG$65000,$B1104,AT$5)=1,1,IF(INDEX([1]Pivot!$B$1:$AB$65000,$B1104,AT$5)="",2,0)),0)</f>
        <v>0</v>
      </c>
      <c r="AU1104" s="313">
        <f>IFERROR(IF(INDEX([1]Pivot!$BF$1:$CG$65000,$B1104,AU$5)=1,1,IF(INDEX([1]Pivot!$B$1:$AB$65000,$B1104,AU$5)="",2,0)),0)</f>
        <v>0</v>
      </c>
      <c r="AV1104" s="313">
        <f>IFERROR(IF(INDEX([1]Pivot!$BF$1:$CG$65000,$B1104,AV$5)=1,1,IF(INDEX([1]Pivot!$B$1:$AB$65000,$B1104,AV$5)="",2,0)),0)</f>
        <v>0</v>
      </c>
      <c r="AW1104" s="313">
        <f>IFERROR(IF(INDEX([1]Pivot!$BF$1:$CG$65000,$B1104,AW$5)=1,1,IF(INDEX([1]Pivot!$B$1:$AB$65000,$B1104,AW$5)="",2,0)),0)</f>
        <v>0</v>
      </c>
      <c r="AX1104" s="313">
        <f>IFERROR(IF(INDEX([1]Pivot!$BF$1:$CG$65000,$B1104,AX$5)=1,1,IF(INDEX([1]Pivot!$B$1:$AB$65000,$B1104,AX$5)="",2,0)),0)</f>
        <v>0</v>
      </c>
      <c r="AY1104" s="313">
        <f>IFERROR(IF(INDEX([1]Pivot!$BF$1:$CG$65000,$B1104,AY$5)=1,1,IF(INDEX([1]Pivot!$B$1:$AB$65000,$B1104,AY$5)="",2,0)),0)</f>
        <v>0</v>
      </c>
      <c r="AZ1104" s="313">
        <f>IFERROR(IF(INDEX([1]Pivot!$BF$1:$CG$65000,$B1104,AZ$5)=1,1,IF(INDEX([1]Pivot!$B$1:$AB$65000,$B1104,AZ$5)="",2,0)),0)</f>
        <v>0</v>
      </c>
      <c r="BA1104" s="313">
        <f>IFERROR(IF(INDEX([1]Pivot!$BF$1:$CG$65000,$B1104,BA$5)=1,1,IF(INDEX([1]Pivot!$B$1:$AB$65000,$B1104,BA$5)="",2,0)),0)</f>
        <v>0</v>
      </c>
      <c r="BB1104" s="313">
        <f>IFERROR(IF(INDEX([1]Pivot!$BF$1:$CG$65000,$B1104,BB$5)=1,1,IF(INDEX([1]Pivot!$B$1:$AB$65000,$B1104,BB$5)="",2,0)),0)</f>
        <v>0</v>
      </c>
      <c r="BC1104" s="313">
        <f>IFERROR(IF(INDEX([1]Pivot!$BF$1:$CG$65000,$B1104,BC$5)=1,1,IF(INDEX([1]Pivot!$B$1:$AB$65000,$B1104,BC$5)="",2,0)),0)</f>
        <v>0</v>
      </c>
      <c r="BD1104" s="313">
        <f>IFERROR(IF(INDEX([1]Pivot!$BF$1:$CG$65000,$B1104,BD$5)=1,1,IF(INDEX([1]Pivot!$B$1:$AB$65000,$B1104,BD$5)="",2,0)),0)</f>
        <v>0</v>
      </c>
    </row>
    <row r="1105" spans="1:56" x14ac:dyDescent="0.25">
      <c r="A1105" s="288">
        <f>'[2]Raw Milk Prices'!A1105</f>
        <v>0</v>
      </c>
      <c r="B1105" s="296" t="e">
        <f>MATCH(DATE(LEFT('[2]Raw Milk Prices'!$A1105,4),RIGHT('[2]Raw Milk Prices'!$A1105,2),1),[1]Pivot!$A$1:$A$65000,0)</f>
        <v>#VALUE!</v>
      </c>
      <c r="C1105" s="194">
        <f>IFERROR(IF(INDEX([1]Pivot!$AD$1:$BE$65000,$B1105,C$5)=1,1,IF(INDEX([1]Pivot!$B$1:$AB$65000,$B1105,C$5)="",2,0)),0)</f>
        <v>0</v>
      </c>
      <c r="D1105" s="194">
        <f>IFERROR(IF(INDEX([1]Pivot!$AD$1:$BE$65000,$B1105,D$5)=1,1,IF(INDEX([1]Pivot!$B$1:$AB$65000,$B1105,D$5)="",2,0)),0)</f>
        <v>0</v>
      </c>
      <c r="E1105" s="194">
        <f>IFERROR(IF(INDEX([1]Pivot!$AD$1:$BE$65000,$B1105,E$5)=1,1,IF(INDEX([1]Pivot!$B$1:$AB$65000,$B1105,E$5)="",2,0)),0)</f>
        <v>0</v>
      </c>
      <c r="F1105" s="194">
        <f>IFERROR(IF(INDEX([1]Pivot!$AD$1:$BE$65000,$B1105,F$5)=1,1,IF(INDEX([1]Pivot!$B$1:$AB$65000,$B1105,F$5)="",2,0)),0)</f>
        <v>0</v>
      </c>
      <c r="G1105" s="194">
        <f>IFERROR(IF(INDEX([1]Pivot!$AD$1:$BE$65000,$B1105,G$5)=1,1,IF(INDEX([1]Pivot!$B$1:$AB$65000,$B1105,G$5)="",2,0)),0)</f>
        <v>0</v>
      </c>
      <c r="H1105" s="194">
        <f>IFERROR(IF(INDEX([1]Pivot!$AD$1:$BE$65000,$B1105,H$5)=1,1,IF(INDEX([1]Pivot!$B$1:$AB$65000,$B1105,H$5)="",2,0)),0)</f>
        <v>0</v>
      </c>
      <c r="I1105" s="194">
        <f>IFERROR(IF(INDEX([1]Pivot!$AD$1:$BE$65000,$B1105,I$5)=1,1,IF(INDEX([1]Pivot!$B$1:$AB$65000,$B1105,I$5)="",2,0)),0)</f>
        <v>0</v>
      </c>
      <c r="J1105" s="194">
        <f>IFERROR(IF(INDEX([1]Pivot!$AD$1:$BE$65000,$B1105,J$5)=1,1,IF(INDEX([1]Pivot!$B$1:$AB$65000,$B1105,J$5)="",2,0)),0)</f>
        <v>0</v>
      </c>
      <c r="K1105" s="194">
        <f>IFERROR(IF(INDEX([1]Pivot!$AD$1:$BE$65000,$B1105,K$5)=1,1,IF(INDEX([1]Pivot!$B$1:$AB$65000,$B1105,K$5)="",2,0)),0)</f>
        <v>0</v>
      </c>
      <c r="L1105" s="194">
        <f>IFERROR(IF(INDEX([1]Pivot!$AD$1:$BE$65000,$B1105,L$5)=1,1,IF(INDEX([1]Pivot!$B$1:$AB$65000,$B1105,L$5)="",2,0)),0)</f>
        <v>0</v>
      </c>
      <c r="M1105" s="194">
        <f>IFERROR(IF(INDEX([1]Pivot!$AD$1:$BE$65000,$B1105,M$5)=1,1,IF(INDEX([1]Pivot!$B$1:$AB$65000,$B1105,M$5)="",2,0)),0)</f>
        <v>0</v>
      </c>
      <c r="N1105" s="194">
        <f>IFERROR(IF(INDEX([1]Pivot!$AD$1:$BE$65000,$B1105,N$5)=1,1,IF(INDEX([1]Pivot!$B$1:$AB$65000,$B1105,N$5)="",2,0)),0)</f>
        <v>0</v>
      </c>
      <c r="O1105" s="194">
        <f>IFERROR(IF(INDEX([1]Pivot!$AD$1:$BE$65000,$B1105,O$5)=1,1,IF(INDEX([1]Pivot!$B$1:$AB$65000,$B1105,O$5)="",2,0)),0)</f>
        <v>0</v>
      </c>
      <c r="P1105" s="194">
        <f>IFERROR(IF(INDEX([1]Pivot!$AD$1:$BE$65000,$B1105,P$5)=1,1,IF(INDEX([1]Pivot!$B$1:$AB$65000,$B1105,P$5)="",2,0)),0)</f>
        <v>0</v>
      </c>
      <c r="Q1105" s="194">
        <f>IFERROR(IF(INDEX([1]Pivot!$AD$1:$BE$65000,$B1105,Q$5)=1,1,IF(INDEX([1]Pivot!$B$1:$AB$65000,$B1105,Q$5)="",2,0)),0)</f>
        <v>0</v>
      </c>
      <c r="R1105" s="312"/>
      <c r="S1105" s="194">
        <f>IFERROR(IF(INDEX([1]Pivot!$AD$1:$BE$65000,$B1105,S$5)=1,1,IF(INDEX([1]Pivot!$B$1:$AB$65000,$B1105,S$5)="",2,0)),0)</f>
        <v>0</v>
      </c>
      <c r="T1105" s="194">
        <f>IFERROR(IF(INDEX([1]Pivot!$AD$1:$BE$65000,$B1105,T$5)=1,1,IF(INDEX([1]Pivot!$B$1:$AB$65000,$B1105,T$5)="",2,0)),0)</f>
        <v>0</v>
      </c>
      <c r="U1105" s="194">
        <f>IFERROR(IF(INDEX([1]Pivot!$AD$1:$BE$65000,$B1105,U$5)=1,1,IF(INDEX([1]Pivot!$B$1:$AB$65000,$B1105,U$5)="",2,0)),0)</f>
        <v>0</v>
      </c>
      <c r="V1105" s="194">
        <f>IFERROR(IF(INDEX([1]Pivot!$AD$1:$BE$65000,$B1105,V$5)=1,1,IF(INDEX([1]Pivot!$B$1:$AB$65000,$B1105,V$5)="",2,0)),0)</f>
        <v>0</v>
      </c>
      <c r="W1105" s="194">
        <f>IFERROR(IF(INDEX([1]Pivot!$AD$1:$BE$65000,$B1105,W$5)=1,1,IF(INDEX([1]Pivot!$B$1:$AB$65000,$B1105,W$5)="",2,0)),0)</f>
        <v>0</v>
      </c>
      <c r="X1105" s="194">
        <f>IFERROR(IF(INDEX([1]Pivot!$AD$1:$BE$65000,$B1105,X$5)=1,1,IF(INDEX([1]Pivot!$B$1:$AB$65000,$B1105,X$5)="",2,0)),0)</f>
        <v>0</v>
      </c>
      <c r="Y1105" s="194">
        <f>IFERROR(IF(INDEX([1]Pivot!$AD$1:$BE$65000,$B1105,Y$5)=1,1,IF(INDEX([1]Pivot!$B$1:$AB$65000,$B1105,Y$5)="",2,0)),0)</f>
        <v>0</v>
      </c>
      <c r="Z1105" s="194">
        <f>IFERROR(IF(INDEX([1]Pivot!$AD$1:$BE$65000,$B1105,Z$5)=1,1,IF(INDEX([1]Pivot!$B$1:$AB$65000,$B1105,Z$5)="",2,0)),0)</f>
        <v>0</v>
      </c>
      <c r="AA1105" s="194">
        <f>IFERROR(IF(INDEX([1]Pivot!$AD$1:$BE$65000,$B1105,AA$5)=1,1,IF(INDEX([1]Pivot!$B$1:$AB$65000,$B1105,AA$5)="",2,0)),0)</f>
        <v>0</v>
      </c>
      <c r="AB1105" s="194">
        <f>IFERROR(IF(INDEX([1]Pivot!$AD$1:$BE$65000,$B1105,AB$5)=1,1,IF(INDEX([1]Pivot!$B$1:$AB$65000,$B1105,AB$5)="",2,0)),0)</f>
        <v>0</v>
      </c>
      <c r="AC1105" s="194">
        <f>IFERROR(IF(INDEX([1]Pivot!$AD$1:$BE$65000,$B1105,AC$5)=1,1,IF(INDEX([1]Pivot!$B$1:$AB$65000,$B1105,AC$5)="",2,0)),0)</f>
        <v>0</v>
      </c>
      <c r="AD1105" s="313">
        <f>IFERROR(IF(INDEX([1]Pivot!$BF$1:$CG$65000,$B1105,AD$5)=1,1,IF(INDEX([1]Pivot!$B$1:$AB$65000,$B1105,AD$5)="",2,0)),0)</f>
        <v>0</v>
      </c>
      <c r="AE1105" s="313">
        <f>IFERROR(IF(INDEX([1]Pivot!$BF$1:$CG$65000,$B1105,AE$5)=1,1,IF(INDEX([1]Pivot!$B$1:$AB$65000,$B1105,AE$5)="",2,0)),0)</f>
        <v>0</v>
      </c>
      <c r="AF1105" s="313">
        <f>IFERROR(IF(INDEX([1]Pivot!$BF$1:$CG$65000,$B1105,AF$5)=1,1,IF(INDEX([1]Pivot!$B$1:$AB$65000,$B1105,AF$5)="",2,0)),0)</f>
        <v>0</v>
      </c>
      <c r="AG1105" s="313">
        <f>IFERROR(IF(INDEX([1]Pivot!$BF$1:$CG$65000,$B1105,AG$5)=1,1,IF(INDEX([1]Pivot!$B$1:$AB$65000,$B1105,AG$5)="",2,0)),0)</f>
        <v>0</v>
      </c>
      <c r="AH1105" s="313">
        <f>IFERROR(IF(INDEX([1]Pivot!$BF$1:$CG$65000,$B1105,AH$5)=1,1,IF(INDEX([1]Pivot!$B$1:$AB$65000,$B1105,AH$5)="",2,0)),0)</f>
        <v>0</v>
      </c>
      <c r="AI1105" s="313">
        <f>IFERROR(IF(INDEX([1]Pivot!$BF$1:$CG$65000,$B1105,AI$5)=1,1,IF(INDEX([1]Pivot!$B$1:$AB$65000,$B1105,AI$5)="",2,0)),0)</f>
        <v>0</v>
      </c>
      <c r="AJ1105" s="313">
        <f>IFERROR(IF(INDEX([1]Pivot!$BF$1:$CG$65000,$B1105,AJ$5)=1,1,IF(INDEX([1]Pivot!$B$1:$AB$65000,$B1105,AJ$5)="",2,0)),0)</f>
        <v>0</v>
      </c>
      <c r="AK1105" s="313">
        <f>IFERROR(IF(INDEX([1]Pivot!$BF$1:$CG$65000,$B1105,AK$5)=1,1,IF(INDEX([1]Pivot!$B$1:$AB$65000,$B1105,AK$5)="",2,0)),0)</f>
        <v>0</v>
      </c>
      <c r="AL1105" s="313">
        <f>IFERROR(IF(INDEX([1]Pivot!$BF$1:$CG$65000,$B1105,AL$5)=1,1,IF(INDEX([1]Pivot!$B$1:$AB$65000,$B1105,AL$5)="",2,0)),0)</f>
        <v>0</v>
      </c>
      <c r="AM1105" s="313">
        <f>IFERROR(IF(INDEX([1]Pivot!$BF$1:$CG$65000,$B1105,AM$5)=1,1,IF(INDEX([1]Pivot!$B$1:$AB$65000,$B1105,AM$5)="",2,0)),0)</f>
        <v>0</v>
      </c>
      <c r="AN1105" s="313">
        <f>IFERROR(IF(INDEX([1]Pivot!$BF$1:$CG$65000,$B1105,AN$5)=1,1,IF(INDEX([1]Pivot!$B$1:$AB$65000,$B1105,AN$5)="",2,0)),0)</f>
        <v>0</v>
      </c>
      <c r="AO1105" s="313">
        <f>IFERROR(IF(INDEX([1]Pivot!$BF$1:$CG$65000,$B1105,AO$5)=1,1,IF(INDEX([1]Pivot!$B$1:$AB$65000,$B1105,AO$5)="",2,0)),0)</f>
        <v>0</v>
      </c>
      <c r="AP1105" s="313">
        <f>IFERROR(IF(INDEX([1]Pivot!$BF$1:$CG$65000,$B1105,AP$5)=1,1,IF(INDEX([1]Pivot!$B$1:$AB$65000,$B1105,AP$5)="",2,0)),0)</f>
        <v>0</v>
      </c>
      <c r="AQ1105" s="313">
        <f>IFERROR(IF(INDEX([1]Pivot!$BF$1:$CG$65000,$B1105,AQ$5)=1,1,IF(INDEX([1]Pivot!$B$1:$AB$65000,$B1105,AQ$5)="",2,0)),0)</f>
        <v>0</v>
      </c>
      <c r="AR1105" s="313">
        <f>IFERROR(IF(INDEX([1]Pivot!$BF$1:$CG$65000,$B1105,AR$5)=1,1,IF(INDEX([1]Pivot!$B$1:$AB$65000,$B1105,AR$5)="",2,0)),0)</f>
        <v>0</v>
      </c>
      <c r="AS1105" s="312"/>
      <c r="AT1105" s="313">
        <f>IFERROR(IF(INDEX([1]Pivot!$BF$1:$CG$65000,$B1105,AT$5)=1,1,IF(INDEX([1]Pivot!$B$1:$AB$65000,$B1105,AT$5)="",2,0)),0)</f>
        <v>0</v>
      </c>
      <c r="AU1105" s="313">
        <f>IFERROR(IF(INDEX([1]Pivot!$BF$1:$CG$65000,$B1105,AU$5)=1,1,IF(INDEX([1]Pivot!$B$1:$AB$65000,$B1105,AU$5)="",2,0)),0)</f>
        <v>0</v>
      </c>
      <c r="AV1105" s="313">
        <f>IFERROR(IF(INDEX([1]Pivot!$BF$1:$CG$65000,$B1105,AV$5)=1,1,IF(INDEX([1]Pivot!$B$1:$AB$65000,$B1105,AV$5)="",2,0)),0)</f>
        <v>0</v>
      </c>
      <c r="AW1105" s="313">
        <f>IFERROR(IF(INDEX([1]Pivot!$BF$1:$CG$65000,$B1105,AW$5)=1,1,IF(INDEX([1]Pivot!$B$1:$AB$65000,$B1105,AW$5)="",2,0)),0)</f>
        <v>0</v>
      </c>
      <c r="AX1105" s="313">
        <f>IFERROR(IF(INDEX([1]Pivot!$BF$1:$CG$65000,$B1105,AX$5)=1,1,IF(INDEX([1]Pivot!$B$1:$AB$65000,$B1105,AX$5)="",2,0)),0)</f>
        <v>0</v>
      </c>
      <c r="AY1105" s="313">
        <f>IFERROR(IF(INDEX([1]Pivot!$BF$1:$CG$65000,$B1105,AY$5)=1,1,IF(INDEX([1]Pivot!$B$1:$AB$65000,$B1105,AY$5)="",2,0)),0)</f>
        <v>0</v>
      </c>
      <c r="AZ1105" s="313">
        <f>IFERROR(IF(INDEX([1]Pivot!$BF$1:$CG$65000,$B1105,AZ$5)=1,1,IF(INDEX([1]Pivot!$B$1:$AB$65000,$B1105,AZ$5)="",2,0)),0)</f>
        <v>0</v>
      </c>
      <c r="BA1105" s="313">
        <f>IFERROR(IF(INDEX([1]Pivot!$BF$1:$CG$65000,$B1105,BA$5)=1,1,IF(INDEX([1]Pivot!$B$1:$AB$65000,$B1105,BA$5)="",2,0)),0)</f>
        <v>0</v>
      </c>
      <c r="BB1105" s="313">
        <f>IFERROR(IF(INDEX([1]Pivot!$BF$1:$CG$65000,$B1105,BB$5)=1,1,IF(INDEX([1]Pivot!$B$1:$AB$65000,$B1105,BB$5)="",2,0)),0)</f>
        <v>0</v>
      </c>
      <c r="BC1105" s="313">
        <f>IFERROR(IF(INDEX([1]Pivot!$BF$1:$CG$65000,$B1105,BC$5)=1,1,IF(INDEX([1]Pivot!$B$1:$AB$65000,$B1105,BC$5)="",2,0)),0)</f>
        <v>0</v>
      </c>
      <c r="BD1105" s="313">
        <f>IFERROR(IF(INDEX([1]Pivot!$BF$1:$CG$65000,$B1105,BD$5)=1,1,IF(INDEX([1]Pivot!$B$1:$AB$65000,$B1105,BD$5)="",2,0)),0)</f>
        <v>0</v>
      </c>
    </row>
    <row r="1106" spans="1:56" x14ac:dyDescent="0.25">
      <c r="A1106" s="288">
        <f>'[2]Raw Milk Prices'!A1106</f>
        <v>0</v>
      </c>
      <c r="B1106" s="296" t="e">
        <f>MATCH(DATE(LEFT('[2]Raw Milk Prices'!$A1106,4),RIGHT('[2]Raw Milk Prices'!$A1106,2),1),[1]Pivot!$A$1:$A$65000,0)</f>
        <v>#VALUE!</v>
      </c>
      <c r="C1106" s="194">
        <f>IFERROR(IF(INDEX([1]Pivot!$AD$1:$BE$65000,$B1106,C$5)=1,1,IF(INDEX([1]Pivot!$B$1:$AB$65000,$B1106,C$5)="",2,0)),0)</f>
        <v>0</v>
      </c>
      <c r="D1106" s="194">
        <f>IFERROR(IF(INDEX([1]Pivot!$AD$1:$BE$65000,$B1106,D$5)=1,1,IF(INDEX([1]Pivot!$B$1:$AB$65000,$B1106,D$5)="",2,0)),0)</f>
        <v>0</v>
      </c>
      <c r="E1106" s="194">
        <f>IFERROR(IF(INDEX([1]Pivot!$AD$1:$BE$65000,$B1106,E$5)=1,1,IF(INDEX([1]Pivot!$B$1:$AB$65000,$B1106,E$5)="",2,0)),0)</f>
        <v>0</v>
      </c>
      <c r="F1106" s="194">
        <f>IFERROR(IF(INDEX([1]Pivot!$AD$1:$BE$65000,$B1106,F$5)=1,1,IF(INDEX([1]Pivot!$B$1:$AB$65000,$B1106,F$5)="",2,0)),0)</f>
        <v>0</v>
      </c>
      <c r="G1106" s="194">
        <f>IFERROR(IF(INDEX([1]Pivot!$AD$1:$BE$65000,$B1106,G$5)=1,1,IF(INDEX([1]Pivot!$B$1:$AB$65000,$B1106,G$5)="",2,0)),0)</f>
        <v>0</v>
      </c>
      <c r="H1106" s="194">
        <f>IFERROR(IF(INDEX([1]Pivot!$AD$1:$BE$65000,$B1106,H$5)=1,1,IF(INDEX([1]Pivot!$B$1:$AB$65000,$B1106,H$5)="",2,0)),0)</f>
        <v>0</v>
      </c>
      <c r="I1106" s="194">
        <f>IFERROR(IF(INDEX([1]Pivot!$AD$1:$BE$65000,$B1106,I$5)=1,1,IF(INDEX([1]Pivot!$B$1:$AB$65000,$B1106,I$5)="",2,0)),0)</f>
        <v>0</v>
      </c>
      <c r="J1106" s="194">
        <f>IFERROR(IF(INDEX([1]Pivot!$AD$1:$BE$65000,$B1106,J$5)=1,1,IF(INDEX([1]Pivot!$B$1:$AB$65000,$B1106,J$5)="",2,0)),0)</f>
        <v>0</v>
      </c>
      <c r="K1106" s="194">
        <f>IFERROR(IF(INDEX([1]Pivot!$AD$1:$BE$65000,$B1106,K$5)=1,1,IF(INDEX([1]Pivot!$B$1:$AB$65000,$B1106,K$5)="",2,0)),0)</f>
        <v>0</v>
      </c>
      <c r="L1106" s="194">
        <f>IFERROR(IF(INDEX([1]Pivot!$AD$1:$BE$65000,$B1106,L$5)=1,1,IF(INDEX([1]Pivot!$B$1:$AB$65000,$B1106,L$5)="",2,0)),0)</f>
        <v>0</v>
      </c>
      <c r="M1106" s="194">
        <f>IFERROR(IF(INDEX([1]Pivot!$AD$1:$BE$65000,$B1106,M$5)=1,1,IF(INDEX([1]Pivot!$B$1:$AB$65000,$B1106,M$5)="",2,0)),0)</f>
        <v>0</v>
      </c>
      <c r="N1106" s="194">
        <f>IFERROR(IF(INDEX([1]Pivot!$AD$1:$BE$65000,$B1106,N$5)=1,1,IF(INDEX([1]Pivot!$B$1:$AB$65000,$B1106,N$5)="",2,0)),0)</f>
        <v>0</v>
      </c>
      <c r="O1106" s="194">
        <f>IFERROR(IF(INDEX([1]Pivot!$AD$1:$BE$65000,$B1106,O$5)=1,1,IF(INDEX([1]Pivot!$B$1:$AB$65000,$B1106,O$5)="",2,0)),0)</f>
        <v>0</v>
      </c>
      <c r="P1106" s="194">
        <f>IFERROR(IF(INDEX([1]Pivot!$AD$1:$BE$65000,$B1106,P$5)=1,1,IF(INDEX([1]Pivot!$B$1:$AB$65000,$B1106,P$5)="",2,0)),0)</f>
        <v>0</v>
      </c>
      <c r="Q1106" s="194">
        <f>IFERROR(IF(INDEX([1]Pivot!$AD$1:$BE$65000,$B1106,Q$5)=1,1,IF(INDEX([1]Pivot!$B$1:$AB$65000,$B1106,Q$5)="",2,0)),0)</f>
        <v>0</v>
      </c>
      <c r="R1106" s="312"/>
      <c r="S1106" s="194">
        <f>IFERROR(IF(INDEX([1]Pivot!$AD$1:$BE$65000,$B1106,S$5)=1,1,IF(INDEX([1]Pivot!$B$1:$AB$65000,$B1106,S$5)="",2,0)),0)</f>
        <v>0</v>
      </c>
      <c r="T1106" s="194">
        <f>IFERROR(IF(INDEX([1]Pivot!$AD$1:$BE$65000,$B1106,T$5)=1,1,IF(INDEX([1]Pivot!$B$1:$AB$65000,$B1106,T$5)="",2,0)),0)</f>
        <v>0</v>
      </c>
      <c r="U1106" s="194">
        <f>IFERROR(IF(INDEX([1]Pivot!$AD$1:$BE$65000,$B1106,U$5)=1,1,IF(INDEX([1]Pivot!$B$1:$AB$65000,$B1106,U$5)="",2,0)),0)</f>
        <v>0</v>
      </c>
      <c r="V1106" s="194">
        <f>IFERROR(IF(INDEX([1]Pivot!$AD$1:$BE$65000,$B1106,V$5)=1,1,IF(INDEX([1]Pivot!$B$1:$AB$65000,$B1106,V$5)="",2,0)),0)</f>
        <v>0</v>
      </c>
      <c r="W1106" s="194">
        <f>IFERROR(IF(INDEX([1]Pivot!$AD$1:$BE$65000,$B1106,W$5)=1,1,IF(INDEX([1]Pivot!$B$1:$AB$65000,$B1106,W$5)="",2,0)),0)</f>
        <v>0</v>
      </c>
      <c r="X1106" s="194">
        <f>IFERROR(IF(INDEX([1]Pivot!$AD$1:$BE$65000,$B1106,X$5)=1,1,IF(INDEX([1]Pivot!$B$1:$AB$65000,$B1106,X$5)="",2,0)),0)</f>
        <v>0</v>
      </c>
      <c r="Y1106" s="194">
        <f>IFERROR(IF(INDEX([1]Pivot!$AD$1:$BE$65000,$B1106,Y$5)=1,1,IF(INDEX([1]Pivot!$B$1:$AB$65000,$B1106,Y$5)="",2,0)),0)</f>
        <v>0</v>
      </c>
      <c r="Z1106" s="194">
        <f>IFERROR(IF(INDEX([1]Pivot!$AD$1:$BE$65000,$B1106,Z$5)=1,1,IF(INDEX([1]Pivot!$B$1:$AB$65000,$B1106,Z$5)="",2,0)),0)</f>
        <v>0</v>
      </c>
      <c r="AA1106" s="194">
        <f>IFERROR(IF(INDEX([1]Pivot!$AD$1:$BE$65000,$B1106,AA$5)=1,1,IF(INDEX([1]Pivot!$B$1:$AB$65000,$B1106,AA$5)="",2,0)),0)</f>
        <v>0</v>
      </c>
      <c r="AB1106" s="194">
        <f>IFERROR(IF(INDEX([1]Pivot!$AD$1:$BE$65000,$B1106,AB$5)=1,1,IF(INDEX([1]Pivot!$B$1:$AB$65000,$B1106,AB$5)="",2,0)),0)</f>
        <v>0</v>
      </c>
      <c r="AC1106" s="194">
        <f>IFERROR(IF(INDEX([1]Pivot!$AD$1:$BE$65000,$B1106,AC$5)=1,1,IF(INDEX([1]Pivot!$B$1:$AB$65000,$B1106,AC$5)="",2,0)),0)</f>
        <v>0</v>
      </c>
      <c r="AD1106" s="313">
        <f>IFERROR(IF(INDEX([1]Pivot!$BF$1:$CG$65000,$B1106,AD$5)=1,1,IF(INDEX([1]Pivot!$B$1:$AB$65000,$B1106,AD$5)="",2,0)),0)</f>
        <v>0</v>
      </c>
      <c r="AE1106" s="313">
        <f>IFERROR(IF(INDEX([1]Pivot!$BF$1:$CG$65000,$B1106,AE$5)=1,1,IF(INDEX([1]Pivot!$B$1:$AB$65000,$B1106,AE$5)="",2,0)),0)</f>
        <v>0</v>
      </c>
      <c r="AF1106" s="313">
        <f>IFERROR(IF(INDEX([1]Pivot!$BF$1:$CG$65000,$B1106,AF$5)=1,1,IF(INDEX([1]Pivot!$B$1:$AB$65000,$B1106,AF$5)="",2,0)),0)</f>
        <v>0</v>
      </c>
      <c r="AG1106" s="313">
        <f>IFERROR(IF(INDEX([1]Pivot!$BF$1:$CG$65000,$B1106,AG$5)=1,1,IF(INDEX([1]Pivot!$B$1:$AB$65000,$B1106,AG$5)="",2,0)),0)</f>
        <v>0</v>
      </c>
      <c r="AH1106" s="313">
        <f>IFERROR(IF(INDEX([1]Pivot!$BF$1:$CG$65000,$B1106,AH$5)=1,1,IF(INDEX([1]Pivot!$B$1:$AB$65000,$B1106,AH$5)="",2,0)),0)</f>
        <v>0</v>
      </c>
      <c r="AI1106" s="313">
        <f>IFERROR(IF(INDEX([1]Pivot!$BF$1:$CG$65000,$B1106,AI$5)=1,1,IF(INDEX([1]Pivot!$B$1:$AB$65000,$B1106,AI$5)="",2,0)),0)</f>
        <v>0</v>
      </c>
      <c r="AJ1106" s="313">
        <f>IFERROR(IF(INDEX([1]Pivot!$BF$1:$CG$65000,$B1106,AJ$5)=1,1,IF(INDEX([1]Pivot!$B$1:$AB$65000,$B1106,AJ$5)="",2,0)),0)</f>
        <v>0</v>
      </c>
      <c r="AK1106" s="313">
        <f>IFERROR(IF(INDEX([1]Pivot!$BF$1:$CG$65000,$B1106,AK$5)=1,1,IF(INDEX([1]Pivot!$B$1:$AB$65000,$B1106,AK$5)="",2,0)),0)</f>
        <v>0</v>
      </c>
      <c r="AL1106" s="313">
        <f>IFERROR(IF(INDEX([1]Pivot!$BF$1:$CG$65000,$B1106,AL$5)=1,1,IF(INDEX([1]Pivot!$B$1:$AB$65000,$B1106,AL$5)="",2,0)),0)</f>
        <v>0</v>
      </c>
      <c r="AM1106" s="313">
        <f>IFERROR(IF(INDEX([1]Pivot!$BF$1:$CG$65000,$B1106,AM$5)=1,1,IF(INDEX([1]Pivot!$B$1:$AB$65000,$B1106,AM$5)="",2,0)),0)</f>
        <v>0</v>
      </c>
      <c r="AN1106" s="313">
        <f>IFERROR(IF(INDEX([1]Pivot!$BF$1:$CG$65000,$B1106,AN$5)=1,1,IF(INDEX([1]Pivot!$B$1:$AB$65000,$B1106,AN$5)="",2,0)),0)</f>
        <v>0</v>
      </c>
      <c r="AO1106" s="313">
        <f>IFERROR(IF(INDEX([1]Pivot!$BF$1:$CG$65000,$B1106,AO$5)=1,1,IF(INDEX([1]Pivot!$B$1:$AB$65000,$B1106,AO$5)="",2,0)),0)</f>
        <v>0</v>
      </c>
      <c r="AP1106" s="313">
        <f>IFERROR(IF(INDEX([1]Pivot!$BF$1:$CG$65000,$B1106,AP$5)=1,1,IF(INDEX([1]Pivot!$B$1:$AB$65000,$B1106,AP$5)="",2,0)),0)</f>
        <v>0</v>
      </c>
      <c r="AQ1106" s="313">
        <f>IFERROR(IF(INDEX([1]Pivot!$BF$1:$CG$65000,$B1106,AQ$5)=1,1,IF(INDEX([1]Pivot!$B$1:$AB$65000,$B1106,AQ$5)="",2,0)),0)</f>
        <v>0</v>
      </c>
      <c r="AR1106" s="313">
        <f>IFERROR(IF(INDEX([1]Pivot!$BF$1:$CG$65000,$B1106,AR$5)=1,1,IF(INDEX([1]Pivot!$B$1:$AB$65000,$B1106,AR$5)="",2,0)),0)</f>
        <v>0</v>
      </c>
      <c r="AS1106" s="312"/>
      <c r="AT1106" s="313">
        <f>IFERROR(IF(INDEX([1]Pivot!$BF$1:$CG$65000,$B1106,AT$5)=1,1,IF(INDEX([1]Pivot!$B$1:$AB$65000,$B1106,AT$5)="",2,0)),0)</f>
        <v>0</v>
      </c>
      <c r="AU1106" s="313">
        <f>IFERROR(IF(INDEX([1]Pivot!$BF$1:$CG$65000,$B1106,AU$5)=1,1,IF(INDEX([1]Pivot!$B$1:$AB$65000,$B1106,AU$5)="",2,0)),0)</f>
        <v>0</v>
      </c>
      <c r="AV1106" s="313">
        <f>IFERROR(IF(INDEX([1]Pivot!$BF$1:$CG$65000,$B1106,AV$5)=1,1,IF(INDEX([1]Pivot!$B$1:$AB$65000,$B1106,AV$5)="",2,0)),0)</f>
        <v>0</v>
      </c>
      <c r="AW1106" s="313">
        <f>IFERROR(IF(INDEX([1]Pivot!$BF$1:$CG$65000,$B1106,AW$5)=1,1,IF(INDEX([1]Pivot!$B$1:$AB$65000,$B1106,AW$5)="",2,0)),0)</f>
        <v>0</v>
      </c>
      <c r="AX1106" s="313">
        <f>IFERROR(IF(INDEX([1]Pivot!$BF$1:$CG$65000,$B1106,AX$5)=1,1,IF(INDEX([1]Pivot!$B$1:$AB$65000,$B1106,AX$5)="",2,0)),0)</f>
        <v>0</v>
      </c>
      <c r="AY1106" s="313">
        <f>IFERROR(IF(INDEX([1]Pivot!$BF$1:$CG$65000,$B1106,AY$5)=1,1,IF(INDEX([1]Pivot!$B$1:$AB$65000,$B1106,AY$5)="",2,0)),0)</f>
        <v>0</v>
      </c>
      <c r="AZ1106" s="313">
        <f>IFERROR(IF(INDEX([1]Pivot!$BF$1:$CG$65000,$B1106,AZ$5)=1,1,IF(INDEX([1]Pivot!$B$1:$AB$65000,$B1106,AZ$5)="",2,0)),0)</f>
        <v>0</v>
      </c>
      <c r="BA1106" s="313">
        <f>IFERROR(IF(INDEX([1]Pivot!$BF$1:$CG$65000,$B1106,BA$5)=1,1,IF(INDEX([1]Pivot!$B$1:$AB$65000,$B1106,BA$5)="",2,0)),0)</f>
        <v>0</v>
      </c>
      <c r="BB1106" s="313">
        <f>IFERROR(IF(INDEX([1]Pivot!$BF$1:$CG$65000,$B1106,BB$5)=1,1,IF(INDEX([1]Pivot!$B$1:$AB$65000,$B1106,BB$5)="",2,0)),0)</f>
        <v>0</v>
      </c>
      <c r="BC1106" s="313">
        <f>IFERROR(IF(INDEX([1]Pivot!$BF$1:$CG$65000,$B1106,BC$5)=1,1,IF(INDEX([1]Pivot!$B$1:$AB$65000,$B1106,BC$5)="",2,0)),0)</f>
        <v>0</v>
      </c>
      <c r="BD1106" s="313">
        <f>IFERROR(IF(INDEX([1]Pivot!$BF$1:$CG$65000,$B1106,BD$5)=1,1,IF(INDEX([1]Pivot!$B$1:$AB$65000,$B1106,BD$5)="",2,0)),0)</f>
        <v>0</v>
      </c>
    </row>
    <row r="1107" spans="1:56" x14ac:dyDescent="0.25">
      <c r="A1107" s="288">
        <f>'[2]Raw Milk Prices'!A1107</f>
        <v>0</v>
      </c>
      <c r="B1107" s="296" t="e">
        <f>MATCH(DATE(LEFT('[2]Raw Milk Prices'!$A1107,4),RIGHT('[2]Raw Milk Prices'!$A1107,2),1),[1]Pivot!$A$1:$A$65000,0)</f>
        <v>#VALUE!</v>
      </c>
      <c r="C1107" s="194">
        <f>IFERROR(IF(INDEX([1]Pivot!$AD$1:$BE$65000,$B1107,C$5)=1,1,IF(INDEX([1]Pivot!$B$1:$AB$65000,$B1107,C$5)="",2,0)),0)</f>
        <v>0</v>
      </c>
      <c r="D1107" s="194">
        <f>IFERROR(IF(INDEX([1]Pivot!$AD$1:$BE$65000,$B1107,D$5)=1,1,IF(INDEX([1]Pivot!$B$1:$AB$65000,$B1107,D$5)="",2,0)),0)</f>
        <v>0</v>
      </c>
      <c r="E1107" s="194">
        <f>IFERROR(IF(INDEX([1]Pivot!$AD$1:$BE$65000,$B1107,E$5)=1,1,IF(INDEX([1]Pivot!$B$1:$AB$65000,$B1107,E$5)="",2,0)),0)</f>
        <v>0</v>
      </c>
      <c r="F1107" s="194">
        <f>IFERROR(IF(INDEX([1]Pivot!$AD$1:$BE$65000,$B1107,F$5)=1,1,IF(INDEX([1]Pivot!$B$1:$AB$65000,$B1107,F$5)="",2,0)),0)</f>
        <v>0</v>
      </c>
      <c r="G1107" s="194">
        <f>IFERROR(IF(INDEX([1]Pivot!$AD$1:$BE$65000,$B1107,G$5)=1,1,IF(INDEX([1]Pivot!$B$1:$AB$65000,$B1107,G$5)="",2,0)),0)</f>
        <v>0</v>
      </c>
      <c r="H1107" s="194">
        <f>IFERROR(IF(INDEX([1]Pivot!$AD$1:$BE$65000,$B1107,H$5)=1,1,IF(INDEX([1]Pivot!$B$1:$AB$65000,$B1107,H$5)="",2,0)),0)</f>
        <v>0</v>
      </c>
      <c r="I1107" s="194">
        <f>IFERROR(IF(INDEX([1]Pivot!$AD$1:$BE$65000,$B1107,I$5)=1,1,IF(INDEX([1]Pivot!$B$1:$AB$65000,$B1107,I$5)="",2,0)),0)</f>
        <v>0</v>
      </c>
      <c r="J1107" s="194">
        <f>IFERROR(IF(INDEX([1]Pivot!$AD$1:$BE$65000,$B1107,J$5)=1,1,IF(INDEX([1]Pivot!$B$1:$AB$65000,$B1107,J$5)="",2,0)),0)</f>
        <v>0</v>
      </c>
      <c r="K1107" s="194">
        <f>IFERROR(IF(INDEX([1]Pivot!$AD$1:$BE$65000,$B1107,K$5)=1,1,IF(INDEX([1]Pivot!$B$1:$AB$65000,$B1107,K$5)="",2,0)),0)</f>
        <v>0</v>
      </c>
      <c r="L1107" s="194">
        <f>IFERROR(IF(INDEX([1]Pivot!$AD$1:$BE$65000,$B1107,L$5)=1,1,IF(INDEX([1]Pivot!$B$1:$AB$65000,$B1107,L$5)="",2,0)),0)</f>
        <v>0</v>
      </c>
      <c r="M1107" s="194">
        <f>IFERROR(IF(INDEX([1]Pivot!$AD$1:$BE$65000,$B1107,M$5)=1,1,IF(INDEX([1]Pivot!$B$1:$AB$65000,$B1107,M$5)="",2,0)),0)</f>
        <v>0</v>
      </c>
      <c r="N1107" s="194">
        <f>IFERROR(IF(INDEX([1]Pivot!$AD$1:$BE$65000,$B1107,N$5)=1,1,IF(INDEX([1]Pivot!$B$1:$AB$65000,$B1107,N$5)="",2,0)),0)</f>
        <v>0</v>
      </c>
      <c r="O1107" s="194">
        <f>IFERROR(IF(INDEX([1]Pivot!$AD$1:$BE$65000,$B1107,O$5)=1,1,IF(INDEX([1]Pivot!$B$1:$AB$65000,$B1107,O$5)="",2,0)),0)</f>
        <v>0</v>
      </c>
      <c r="P1107" s="194">
        <f>IFERROR(IF(INDEX([1]Pivot!$AD$1:$BE$65000,$B1107,P$5)=1,1,IF(INDEX([1]Pivot!$B$1:$AB$65000,$B1107,P$5)="",2,0)),0)</f>
        <v>0</v>
      </c>
      <c r="Q1107" s="194">
        <f>IFERROR(IF(INDEX([1]Pivot!$AD$1:$BE$65000,$B1107,Q$5)=1,1,IF(INDEX([1]Pivot!$B$1:$AB$65000,$B1107,Q$5)="",2,0)),0)</f>
        <v>0</v>
      </c>
      <c r="R1107" s="312"/>
      <c r="S1107" s="194">
        <f>IFERROR(IF(INDEX([1]Pivot!$AD$1:$BE$65000,$B1107,S$5)=1,1,IF(INDEX([1]Pivot!$B$1:$AB$65000,$B1107,S$5)="",2,0)),0)</f>
        <v>0</v>
      </c>
      <c r="T1107" s="194">
        <f>IFERROR(IF(INDEX([1]Pivot!$AD$1:$BE$65000,$B1107,T$5)=1,1,IF(INDEX([1]Pivot!$B$1:$AB$65000,$B1107,T$5)="",2,0)),0)</f>
        <v>0</v>
      </c>
      <c r="U1107" s="194">
        <f>IFERROR(IF(INDEX([1]Pivot!$AD$1:$BE$65000,$B1107,U$5)=1,1,IF(INDEX([1]Pivot!$B$1:$AB$65000,$B1107,U$5)="",2,0)),0)</f>
        <v>0</v>
      </c>
      <c r="V1107" s="194">
        <f>IFERROR(IF(INDEX([1]Pivot!$AD$1:$BE$65000,$B1107,V$5)=1,1,IF(INDEX([1]Pivot!$B$1:$AB$65000,$B1107,V$5)="",2,0)),0)</f>
        <v>0</v>
      </c>
      <c r="W1107" s="194">
        <f>IFERROR(IF(INDEX([1]Pivot!$AD$1:$BE$65000,$B1107,W$5)=1,1,IF(INDEX([1]Pivot!$B$1:$AB$65000,$B1107,W$5)="",2,0)),0)</f>
        <v>0</v>
      </c>
      <c r="X1107" s="194">
        <f>IFERROR(IF(INDEX([1]Pivot!$AD$1:$BE$65000,$B1107,X$5)=1,1,IF(INDEX([1]Pivot!$B$1:$AB$65000,$B1107,X$5)="",2,0)),0)</f>
        <v>0</v>
      </c>
      <c r="Y1107" s="194">
        <f>IFERROR(IF(INDEX([1]Pivot!$AD$1:$BE$65000,$B1107,Y$5)=1,1,IF(INDEX([1]Pivot!$B$1:$AB$65000,$B1107,Y$5)="",2,0)),0)</f>
        <v>0</v>
      </c>
      <c r="Z1107" s="194">
        <f>IFERROR(IF(INDEX([1]Pivot!$AD$1:$BE$65000,$B1107,Z$5)=1,1,IF(INDEX([1]Pivot!$B$1:$AB$65000,$B1107,Z$5)="",2,0)),0)</f>
        <v>0</v>
      </c>
      <c r="AA1107" s="194">
        <f>IFERROR(IF(INDEX([1]Pivot!$AD$1:$BE$65000,$B1107,AA$5)=1,1,IF(INDEX([1]Pivot!$B$1:$AB$65000,$B1107,AA$5)="",2,0)),0)</f>
        <v>0</v>
      </c>
      <c r="AB1107" s="194">
        <f>IFERROR(IF(INDEX([1]Pivot!$AD$1:$BE$65000,$B1107,AB$5)=1,1,IF(INDEX([1]Pivot!$B$1:$AB$65000,$B1107,AB$5)="",2,0)),0)</f>
        <v>0</v>
      </c>
      <c r="AC1107" s="194">
        <f>IFERROR(IF(INDEX([1]Pivot!$AD$1:$BE$65000,$B1107,AC$5)=1,1,IF(INDEX([1]Pivot!$B$1:$AB$65000,$B1107,AC$5)="",2,0)),0)</f>
        <v>0</v>
      </c>
      <c r="AD1107" s="313">
        <f>IFERROR(IF(INDEX([1]Pivot!$BF$1:$CG$65000,$B1107,AD$5)=1,1,IF(INDEX([1]Pivot!$B$1:$AB$65000,$B1107,AD$5)="",2,0)),0)</f>
        <v>0</v>
      </c>
      <c r="AE1107" s="313">
        <f>IFERROR(IF(INDEX([1]Pivot!$BF$1:$CG$65000,$B1107,AE$5)=1,1,IF(INDEX([1]Pivot!$B$1:$AB$65000,$B1107,AE$5)="",2,0)),0)</f>
        <v>0</v>
      </c>
      <c r="AF1107" s="313">
        <f>IFERROR(IF(INDEX([1]Pivot!$BF$1:$CG$65000,$B1107,AF$5)=1,1,IF(INDEX([1]Pivot!$B$1:$AB$65000,$B1107,AF$5)="",2,0)),0)</f>
        <v>0</v>
      </c>
      <c r="AG1107" s="313">
        <f>IFERROR(IF(INDEX([1]Pivot!$BF$1:$CG$65000,$B1107,AG$5)=1,1,IF(INDEX([1]Pivot!$B$1:$AB$65000,$B1107,AG$5)="",2,0)),0)</f>
        <v>0</v>
      </c>
      <c r="AH1107" s="313">
        <f>IFERROR(IF(INDEX([1]Pivot!$BF$1:$CG$65000,$B1107,AH$5)=1,1,IF(INDEX([1]Pivot!$B$1:$AB$65000,$B1107,AH$5)="",2,0)),0)</f>
        <v>0</v>
      </c>
      <c r="AI1107" s="313">
        <f>IFERROR(IF(INDEX([1]Pivot!$BF$1:$CG$65000,$B1107,AI$5)=1,1,IF(INDEX([1]Pivot!$B$1:$AB$65000,$B1107,AI$5)="",2,0)),0)</f>
        <v>0</v>
      </c>
      <c r="AJ1107" s="313">
        <f>IFERROR(IF(INDEX([1]Pivot!$BF$1:$CG$65000,$B1107,AJ$5)=1,1,IF(INDEX([1]Pivot!$B$1:$AB$65000,$B1107,AJ$5)="",2,0)),0)</f>
        <v>0</v>
      </c>
      <c r="AK1107" s="313">
        <f>IFERROR(IF(INDEX([1]Pivot!$BF$1:$CG$65000,$B1107,AK$5)=1,1,IF(INDEX([1]Pivot!$B$1:$AB$65000,$B1107,AK$5)="",2,0)),0)</f>
        <v>0</v>
      </c>
      <c r="AL1107" s="313">
        <f>IFERROR(IF(INDEX([1]Pivot!$BF$1:$CG$65000,$B1107,AL$5)=1,1,IF(INDEX([1]Pivot!$B$1:$AB$65000,$B1107,AL$5)="",2,0)),0)</f>
        <v>0</v>
      </c>
      <c r="AM1107" s="313">
        <f>IFERROR(IF(INDEX([1]Pivot!$BF$1:$CG$65000,$B1107,AM$5)=1,1,IF(INDEX([1]Pivot!$B$1:$AB$65000,$B1107,AM$5)="",2,0)),0)</f>
        <v>0</v>
      </c>
      <c r="AN1107" s="313">
        <f>IFERROR(IF(INDEX([1]Pivot!$BF$1:$CG$65000,$B1107,AN$5)=1,1,IF(INDEX([1]Pivot!$B$1:$AB$65000,$B1107,AN$5)="",2,0)),0)</f>
        <v>0</v>
      </c>
      <c r="AO1107" s="313">
        <f>IFERROR(IF(INDEX([1]Pivot!$BF$1:$CG$65000,$B1107,AO$5)=1,1,IF(INDEX([1]Pivot!$B$1:$AB$65000,$B1107,AO$5)="",2,0)),0)</f>
        <v>0</v>
      </c>
      <c r="AP1107" s="313">
        <f>IFERROR(IF(INDEX([1]Pivot!$BF$1:$CG$65000,$B1107,AP$5)=1,1,IF(INDEX([1]Pivot!$B$1:$AB$65000,$B1107,AP$5)="",2,0)),0)</f>
        <v>0</v>
      </c>
      <c r="AQ1107" s="313">
        <f>IFERROR(IF(INDEX([1]Pivot!$BF$1:$CG$65000,$B1107,AQ$5)=1,1,IF(INDEX([1]Pivot!$B$1:$AB$65000,$B1107,AQ$5)="",2,0)),0)</f>
        <v>0</v>
      </c>
      <c r="AR1107" s="313">
        <f>IFERROR(IF(INDEX([1]Pivot!$BF$1:$CG$65000,$B1107,AR$5)=1,1,IF(INDEX([1]Pivot!$B$1:$AB$65000,$B1107,AR$5)="",2,0)),0)</f>
        <v>0</v>
      </c>
      <c r="AS1107" s="312"/>
      <c r="AT1107" s="313">
        <f>IFERROR(IF(INDEX([1]Pivot!$BF$1:$CG$65000,$B1107,AT$5)=1,1,IF(INDEX([1]Pivot!$B$1:$AB$65000,$B1107,AT$5)="",2,0)),0)</f>
        <v>0</v>
      </c>
      <c r="AU1107" s="313">
        <f>IFERROR(IF(INDEX([1]Pivot!$BF$1:$CG$65000,$B1107,AU$5)=1,1,IF(INDEX([1]Pivot!$B$1:$AB$65000,$B1107,AU$5)="",2,0)),0)</f>
        <v>0</v>
      </c>
      <c r="AV1107" s="313">
        <f>IFERROR(IF(INDEX([1]Pivot!$BF$1:$CG$65000,$B1107,AV$5)=1,1,IF(INDEX([1]Pivot!$B$1:$AB$65000,$B1107,AV$5)="",2,0)),0)</f>
        <v>0</v>
      </c>
      <c r="AW1107" s="313">
        <f>IFERROR(IF(INDEX([1]Pivot!$BF$1:$CG$65000,$B1107,AW$5)=1,1,IF(INDEX([1]Pivot!$B$1:$AB$65000,$B1107,AW$5)="",2,0)),0)</f>
        <v>0</v>
      </c>
      <c r="AX1107" s="313">
        <f>IFERROR(IF(INDEX([1]Pivot!$BF$1:$CG$65000,$B1107,AX$5)=1,1,IF(INDEX([1]Pivot!$B$1:$AB$65000,$B1107,AX$5)="",2,0)),0)</f>
        <v>0</v>
      </c>
      <c r="AY1107" s="313">
        <f>IFERROR(IF(INDEX([1]Pivot!$BF$1:$CG$65000,$B1107,AY$5)=1,1,IF(INDEX([1]Pivot!$B$1:$AB$65000,$B1107,AY$5)="",2,0)),0)</f>
        <v>0</v>
      </c>
      <c r="AZ1107" s="313">
        <f>IFERROR(IF(INDEX([1]Pivot!$BF$1:$CG$65000,$B1107,AZ$5)=1,1,IF(INDEX([1]Pivot!$B$1:$AB$65000,$B1107,AZ$5)="",2,0)),0)</f>
        <v>0</v>
      </c>
      <c r="BA1107" s="313">
        <f>IFERROR(IF(INDEX([1]Pivot!$BF$1:$CG$65000,$B1107,BA$5)=1,1,IF(INDEX([1]Pivot!$B$1:$AB$65000,$B1107,BA$5)="",2,0)),0)</f>
        <v>0</v>
      </c>
      <c r="BB1107" s="313">
        <f>IFERROR(IF(INDEX([1]Pivot!$BF$1:$CG$65000,$B1107,BB$5)=1,1,IF(INDEX([1]Pivot!$B$1:$AB$65000,$B1107,BB$5)="",2,0)),0)</f>
        <v>0</v>
      </c>
      <c r="BC1107" s="313">
        <f>IFERROR(IF(INDEX([1]Pivot!$BF$1:$CG$65000,$B1107,BC$5)=1,1,IF(INDEX([1]Pivot!$B$1:$AB$65000,$B1107,BC$5)="",2,0)),0)</f>
        <v>0</v>
      </c>
      <c r="BD1107" s="313">
        <f>IFERROR(IF(INDEX([1]Pivot!$BF$1:$CG$65000,$B1107,BD$5)=1,1,IF(INDEX([1]Pivot!$B$1:$AB$65000,$B1107,BD$5)="",2,0)),0)</f>
        <v>0</v>
      </c>
    </row>
    <row r="1108" spans="1:56" x14ac:dyDescent="0.25">
      <c r="A1108" s="288">
        <f>'[2]Raw Milk Prices'!A1108</f>
        <v>0</v>
      </c>
      <c r="B1108" s="296" t="e">
        <f>MATCH(DATE(LEFT('[2]Raw Milk Prices'!$A1108,4),RIGHT('[2]Raw Milk Prices'!$A1108,2),1),[1]Pivot!$A$1:$A$65000,0)</f>
        <v>#VALUE!</v>
      </c>
      <c r="C1108" s="194">
        <f>IFERROR(IF(INDEX([1]Pivot!$AD$1:$BE$65000,$B1108,C$5)=1,1,IF(INDEX([1]Pivot!$B$1:$AB$65000,$B1108,C$5)="",2,0)),0)</f>
        <v>0</v>
      </c>
      <c r="D1108" s="194">
        <f>IFERROR(IF(INDEX([1]Pivot!$AD$1:$BE$65000,$B1108,D$5)=1,1,IF(INDEX([1]Pivot!$B$1:$AB$65000,$B1108,D$5)="",2,0)),0)</f>
        <v>0</v>
      </c>
      <c r="E1108" s="194">
        <f>IFERROR(IF(INDEX([1]Pivot!$AD$1:$BE$65000,$B1108,E$5)=1,1,IF(INDEX([1]Pivot!$B$1:$AB$65000,$B1108,E$5)="",2,0)),0)</f>
        <v>0</v>
      </c>
      <c r="F1108" s="194">
        <f>IFERROR(IF(INDEX([1]Pivot!$AD$1:$BE$65000,$B1108,F$5)=1,1,IF(INDEX([1]Pivot!$B$1:$AB$65000,$B1108,F$5)="",2,0)),0)</f>
        <v>0</v>
      </c>
      <c r="G1108" s="194">
        <f>IFERROR(IF(INDEX([1]Pivot!$AD$1:$BE$65000,$B1108,G$5)=1,1,IF(INDEX([1]Pivot!$B$1:$AB$65000,$B1108,G$5)="",2,0)),0)</f>
        <v>0</v>
      </c>
      <c r="H1108" s="194">
        <f>IFERROR(IF(INDEX([1]Pivot!$AD$1:$BE$65000,$B1108,H$5)=1,1,IF(INDEX([1]Pivot!$B$1:$AB$65000,$B1108,H$5)="",2,0)),0)</f>
        <v>0</v>
      </c>
      <c r="I1108" s="194">
        <f>IFERROR(IF(INDEX([1]Pivot!$AD$1:$BE$65000,$B1108,I$5)=1,1,IF(INDEX([1]Pivot!$B$1:$AB$65000,$B1108,I$5)="",2,0)),0)</f>
        <v>0</v>
      </c>
      <c r="J1108" s="194">
        <f>IFERROR(IF(INDEX([1]Pivot!$AD$1:$BE$65000,$B1108,J$5)=1,1,IF(INDEX([1]Pivot!$B$1:$AB$65000,$B1108,J$5)="",2,0)),0)</f>
        <v>0</v>
      </c>
      <c r="K1108" s="194">
        <f>IFERROR(IF(INDEX([1]Pivot!$AD$1:$BE$65000,$B1108,K$5)=1,1,IF(INDEX([1]Pivot!$B$1:$AB$65000,$B1108,K$5)="",2,0)),0)</f>
        <v>0</v>
      </c>
      <c r="L1108" s="194">
        <f>IFERROR(IF(INDEX([1]Pivot!$AD$1:$BE$65000,$B1108,L$5)=1,1,IF(INDEX([1]Pivot!$B$1:$AB$65000,$B1108,L$5)="",2,0)),0)</f>
        <v>0</v>
      </c>
      <c r="M1108" s="194">
        <f>IFERROR(IF(INDEX([1]Pivot!$AD$1:$BE$65000,$B1108,M$5)=1,1,IF(INDEX([1]Pivot!$B$1:$AB$65000,$B1108,M$5)="",2,0)),0)</f>
        <v>0</v>
      </c>
      <c r="N1108" s="194">
        <f>IFERROR(IF(INDEX([1]Pivot!$AD$1:$BE$65000,$B1108,N$5)=1,1,IF(INDEX([1]Pivot!$B$1:$AB$65000,$B1108,N$5)="",2,0)),0)</f>
        <v>0</v>
      </c>
      <c r="O1108" s="194">
        <f>IFERROR(IF(INDEX([1]Pivot!$AD$1:$BE$65000,$B1108,O$5)=1,1,IF(INDEX([1]Pivot!$B$1:$AB$65000,$B1108,O$5)="",2,0)),0)</f>
        <v>0</v>
      </c>
      <c r="P1108" s="194">
        <f>IFERROR(IF(INDEX([1]Pivot!$AD$1:$BE$65000,$B1108,P$5)=1,1,IF(INDEX([1]Pivot!$B$1:$AB$65000,$B1108,P$5)="",2,0)),0)</f>
        <v>0</v>
      </c>
      <c r="Q1108" s="194">
        <f>IFERROR(IF(INDEX([1]Pivot!$AD$1:$BE$65000,$B1108,Q$5)=1,1,IF(INDEX([1]Pivot!$B$1:$AB$65000,$B1108,Q$5)="",2,0)),0)</f>
        <v>0</v>
      </c>
      <c r="R1108" s="312"/>
      <c r="S1108" s="194">
        <f>IFERROR(IF(INDEX([1]Pivot!$AD$1:$BE$65000,$B1108,S$5)=1,1,IF(INDEX([1]Pivot!$B$1:$AB$65000,$B1108,S$5)="",2,0)),0)</f>
        <v>0</v>
      </c>
      <c r="T1108" s="194">
        <f>IFERROR(IF(INDEX([1]Pivot!$AD$1:$BE$65000,$B1108,T$5)=1,1,IF(INDEX([1]Pivot!$B$1:$AB$65000,$B1108,T$5)="",2,0)),0)</f>
        <v>0</v>
      </c>
      <c r="U1108" s="194">
        <f>IFERROR(IF(INDEX([1]Pivot!$AD$1:$BE$65000,$B1108,U$5)=1,1,IF(INDEX([1]Pivot!$B$1:$AB$65000,$B1108,U$5)="",2,0)),0)</f>
        <v>0</v>
      </c>
      <c r="V1108" s="194">
        <f>IFERROR(IF(INDEX([1]Pivot!$AD$1:$BE$65000,$B1108,V$5)=1,1,IF(INDEX([1]Pivot!$B$1:$AB$65000,$B1108,V$5)="",2,0)),0)</f>
        <v>0</v>
      </c>
      <c r="W1108" s="194">
        <f>IFERROR(IF(INDEX([1]Pivot!$AD$1:$BE$65000,$B1108,W$5)=1,1,IF(INDEX([1]Pivot!$B$1:$AB$65000,$B1108,W$5)="",2,0)),0)</f>
        <v>0</v>
      </c>
      <c r="X1108" s="194">
        <f>IFERROR(IF(INDEX([1]Pivot!$AD$1:$BE$65000,$B1108,X$5)=1,1,IF(INDEX([1]Pivot!$B$1:$AB$65000,$B1108,X$5)="",2,0)),0)</f>
        <v>0</v>
      </c>
      <c r="Y1108" s="194">
        <f>IFERROR(IF(INDEX([1]Pivot!$AD$1:$BE$65000,$B1108,Y$5)=1,1,IF(INDEX([1]Pivot!$B$1:$AB$65000,$B1108,Y$5)="",2,0)),0)</f>
        <v>0</v>
      </c>
      <c r="Z1108" s="194">
        <f>IFERROR(IF(INDEX([1]Pivot!$AD$1:$BE$65000,$B1108,Z$5)=1,1,IF(INDEX([1]Pivot!$B$1:$AB$65000,$B1108,Z$5)="",2,0)),0)</f>
        <v>0</v>
      </c>
      <c r="AA1108" s="194">
        <f>IFERROR(IF(INDEX([1]Pivot!$AD$1:$BE$65000,$B1108,AA$5)=1,1,IF(INDEX([1]Pivot!$B$1:$AB$65000,$B1108,AA$5)="",2,0)),0)</f>
        <v>0</v>
      </c>
      <c r="AB1108" s="194">
        <f>IFERROR(IF(INDEX([1]Pivot!$AD$1:$BE$65000,$B1108,AB$5)=1,1,IF(INDEX([1]Pivot!$B$1:$AB$65000,$B1108,AB$5)="",2,0)),0)</f>
        <v>0</v>
      </c>
      <c r="AC1108" s="194">
        <f>IFERROR(IF(INDEX([1]Pivot!$AD$1:$BE$65000,$B1108,AC$5)=1,1,IF(INDEX([1]Pivot!$B$1:$AB$65000,$B1108,AC$5)="",2,0)),0)</f>
        <v>0</v>
      </c>
      <c r="AD1108" s="313">
        <f>IFERROR(IF(INDEX([1]Pivot!$BF$1:$CG$65000,$B1108,AD$5)=1,1,IF(INDEX([1]Pivot!$B$1:$AB$65000,$B1108,AD$5)="",2,0)),0)</f>
        <v>0</v>
      </c>
      <c r="AE1108" s="313">
        <f>IFERROR(IF(INDEX([1]Pivot!$BF$1:$CG$65000,$B1108,AE$5)=1,1,IF(INDEX([1]Pivot!$B$1:$AB$65000,$B1108,AE$5)="",2,0)),0)</f>
        <v>0</v>
      </c>
      <c r="AF1108" s="313">
        <f>IFERROR(IF(INDEX([1]Pivot!$BF$1:$CG$65000,$B1108,AF$5)=1,1,IF(INDEX([1]Pivot!$B$1:$AB$65000,$B1108,AF$5)="",2,0)),0)</f>
        <v>0</v>
      </c>
      <c r="AG1108" s="313">
        <f>IFERROR(IF(INDEX([1]Pivot!$BF$1:$CG$65000,$B1108,AG$5)=1,1,IF(INDEX([1]Pivot!$B$1:$AB$65000,$B1108,AG$5)="",2,0)),0)</f>
        <v>0</v>
      </c>
      <c r="AH1108" s="313">
        <f>IFERROR(IF(INDEX([1]Pivot!$BF$1:$CG$65000,$B1108,AH$5)=1,1,IF(INDEX([1]Pivot!$B$1:$AB$65000,$B1108,AH$5)="",2,0)),0)</f>
        <v>0</v>
      </c>
      <c r="AI1108" s="313">
        <f>IFERROR(IF(INDEX([1]Pivot!$BF$1:$CG$65000,$B1108,AI$5)=1,1,IF(INDEX([1]Pivot!$B$1:$AB$65000,$B1108,AI$5)="",2,0)),0)</f>
        <v>0</v>
      </c>
      <c r="AJ1108" s="313">
        <f>IFERROR(IF(INDEX([1]Pivot!$BF$1:$CG$65000,$B1108,AJ$5)=1,1,IF(INDEX([1]Pivot!$B$1:$AB$65000,$B1108,AJ$5)="",2,0)),0)</f>
        <v>0</v>
      </c>
      <c r="AK1108" s="313">
        <f>IFERROR(IF(INDEX([1]Pivot!$BF$1:$CG$65000,$B1108,AK$5)=1,1,IF(INDEX([1]Pivot!$B$1:$AB$65000,$B1108,AK$5)="",2,0)),0)</f>
        <v>0</v>
      </c>
      <c r="AL1108" s="313">
        <f>IFERROR(IF(INDEX([1]Pivot!$BF$1:$CG$65000,$B1108,AL$5)=1,1,IF(INDEX([1]Pivot!$B$1:$AB$65000,$B1108,AL$5)="",2,0)),0)</f>
        <v>0</v>
      </c>
      <c r="AM1108" s="313">
        <f>IFERROR(IF(INDEX([1]Pivot!$BF$1:$CG$65000,$B1108,AM$5)=1,1,IF(INDEX([1]Pivot!$B$1:$AB$65000,$B1108,AM$5)="",2,0)),0)</f>
        <v>0</v>
      </c>
      <c r="AN1108" s="313">
        <f>IFERROR(IF(INDEX([1]Pivot!$BF$1:$CG$65000,$B1108,AN$5)=1,1,IF(INDEX([1]Pivot!$B$1:$AB$65000,$B1108,AN$5)="",2,0)),0)</f>
        <v>0</v>
      </c>
      <c r="AO1108" s="313">
        <f>IFERROR(IF(INDEX([1]Pivot!$BF$1:$CG$65000,$B1108,AO$5)=1,1,IF(INDEX([1]Pivot!$B$1:$AB$65000,$B1108,AO$5)="",2,0)),0)</f>
        <v>0</v>
      </c>
      <c r="AP1108" s="313">
        <f>IFERROR(IF(INDEX([1]Pivot!$BF$1:$CG$65000,$B1108,AP$5)=1,1,IF(INDEX([1]Pivot!$B$1:$AB$65000,$B1108,AP$5)="",2,0)),0)</f>
        <v>0</v>
      </c>
      <c r="AQ1108" s="313">
        <f>IFERROR(IF(INDEX([1]Pivot!$BF$1:$CG$65000,$B1108,AQ$5)=1,1,IF(INDEX([1]Pivot!$B$1:$AB$65000,$B1108,AQ$5)="",2,0)),0)</f>
        <v>0</v>
      </c>
      <c r="AR1108" s="313">
        <f>IFERROR(IF(INDEX([1]Pivot!$BF$1:$CG$65000,$B1108,AR$5)=1,1,IF(INDEX([1]Pivot!$B$1:$AB$65000,$B1108,AR$5)="",2,0)),0)</f>
        <v>0</v>
      </c>
      <c r="AS1108" s="312"/>
      <c r="AT1108" s="313">
        <f>IFERROR(IF(INDEX([1]Pivot!$BF$1:$CG$65000,$B1108,AT$5)=1,1,IF(INDEX([1]Pivot!$B$1:$AB$65000,$B1108,AT$5)="",2,0)),0)</f>
        <v>0</v>
      </c>
      <c r="AU1108" s="313">
        <f>IFERROR(IF(INDEX([1]Pivot!$BF$1:$CG$65000,$B1108,AU$5)=1,1,IF(INDEX([1]Pivot!$B$1:$AB$65000,$B1108,AU$5)="",2,0)),0)</f>
        <v>0</v>
      </c>
      <c r="AV1108" s="313">
        <f>IFERROR(IF(INDEX([1]Pivot!$BF$1:$CG$65000,$B1108,AV$5)=1,1,IF(INDEX([1]Pivot!$B$1:$AB$65000,$B1108,AV$5)="",2,0)),0)</f>
        <v>0</v>
      </c>
      <c r="AW1108" s="313">
        <f>IFERROR(IF(INDEX([1]Pivot!$BF$1:$CG$65000,$B1108,AW$5)=1,1,IF(INDEX([1]Pivot!$B$1:$AB$65000,$B1108,AW$5)="",2,0)),0)</f>
        <v>0</v>
      </c>
      <c r="AX1108" s="313">
        <f>IFERROR(IF(INDEX([1]Pivot!$BF$1:$CG$65000,$B1108,AX$5)=1,1,IF(INDEX([1]Pivot!$B$1:$AB$65000,$B1108,AX$5)="",2,0)),0)</f>
        <v>0</v>
      </c>
      <c r="AY1108" s="313">
        <f>IFERROR(IF(INDEX([1]Pivot!$BF$1:$CG$65000,$B1108,AY$5)=1,1,IF(INDEX([1]Pivot!$B$1:$AB$65000,$B1108,AY$5)="",2,0)),0)</f>
        <v>0</v>
      </c>
      <c r="AZ1108" s="313">
        <f>IFERROR(IF(INDEX([1]Pivot!$BF$1:$CG$65000,$B1108,AZ$5)=1,1,IF(INDEX([1]Pivot!$B$1:$AB$65000,$B1108,AZ$5)="",2,0)),0)</f>
        <v>0</v>
      </c>
      <c r="BA1108" s="313">
        <f>IFERROR(IF(INDEX([1]Pivot!$BF$1:$CG$65000,$B1108,BA$5)=1,1,IF(INDEX([1]Pivot!$B$1:$AB$65000,$B1108,BA$5)="",2,0)),0)</f>
        <v>0</v>
      </c>
      <c r="BB1108" s="313">
        <f>IFERROR(IF(INDEX([1]Pivot!$BF$1:$CG$65000,$B1108,BB$5)=1,1,IF(INDEX([1]Pivot!$B$1:$AB$65000,$B1108,BB$5)="",2,0)),0)</f>
        <v>0</v>
      </c>
      <c r="BC1108" s="313">
        <f>IFERROR(IF(INDEX([1]Pivot!$BF$1:$CG$65000,$B1108,BC$5)=1,1,IF(INDEX([1]Pivot!$B$1:$AB$65000,$B1108,BC$5)="",2,0)),0)</f>
        <v>0</v>
      </c>
      <c r="BD1108" s="313">
        <f>IFERROR(IF(INDEX([1]Pivot!$BF$1:$CG$65000,$B1108,BD$5)=1,1,IF(INDEX([1]Pivot!$B$1:$AB$65000,$B1108,BD$5)="",2,0)),0)</f>
        <v>0</v>
      </c>
    </row>
    <row r="1109" spans="1:56" x14ac:dyDescent="0.25">
      <c r="A1109" s="288">
        <f>'[2]Raw Milk Prices'!A1109</f>
        <v>0</v>
      </c>
      <c r="B1109" s="296" t="e">
        <f>MATCH(DATE(LEFT('[2]Raw Milk Prices'!$A1109,4),RIGHT('[2]Raw Milk Prices'!$A1109,2),1),[1]Pivot!$A$1:$A$65000,0)</f>
        <v>#VALUE!</v>
      </c>
      <c r="C1109" s="194">
        <f>IFERROR(IF(INDEX([1]Pivot!$AD$1:$BE$65000,$B1109,C$5)=1,1,IF(INDEX([1]Pivot!$B$1:$AB$65000,$B1109,C$5)="",2,0)),0)</f>
        <v>0</v>
      </c>
      <c r="D1109" s="194">
        <f>IFERROR(IF(INDEX([1]Pivot!$AD$1:$BE$65000,$B1109,D$5)=1,1,IF(INDEX([1]Pivot!$B$1:$AB$65000,$B1109,D$5)="",2,0)),0)</f>
        <v>0</v>
      </c>
      <c r="E1109" s="194">
        <f>IFERROR(IF(INDEX([1]Pivot!$AD$1:$BE$65000,$B1109,E$5)=1,1,IF(INDEX([1]Pivot!$B$1:$AB$65000,$B1109,E$5)="",2,0)),0)</f>
        <v>0</v>
      </c>
      <c r="F1109" s="194">
        <f>IFERROR(IF(INDEX([1]Pivot!$AD$1:$BE$65000,$B1109,F$5)=1,1,IF(INDEX([1]Pivot!$B$1:$AB$65000,$B1109,F$5)="",2,0)),0)</f>
        <v>0</v>
      </c>
      <c r="G1109" s="194">
        <f>IFERROR(IF(INDEX([1]Pivot!$AD$1:$BE$65000,$B1109,G$5)=1,1,IF(INDEX([1]Pivot!$B$1:$AB$65000,$B1109,G$5)="",2,0)),0)</f>
        <v>0</v>
      </c>
      <c r="H1109" s="194">
        <f>IFERROR(IF(INDEX([1]Pivot!$AD$1:$BE$65000,$B1109,H$5)=1,1,IF(INDEX([1]Pivot!$B$1:$AB$65000,$B1109,H$5)="",2,0)),0)</f>
        <v>0</v>
      </c>
      <c r="I1109" s="194">
        <f>IFERROR(IF(INDEX([1]Pivot!$AD$1:$BE$65000,$B1109,I$5)=1,1,IF(INDEX([1]Pivot!$B$1:$AB$65000,$B1109,I$5)="",2,0)),0)</f>
        <v>0</v>
      </c>
      <c r="J1109" s="194">
        <f>IFERROR(IF(INDEX([1]Pivot!$AD$1:$BE$65000,$B1109,J$5)=1,1,IF(INDEX([1]Pivot!$B$1:$AB$65000,$B1109,J$5)="",2,0)),0)</f>
        <v>0</v>
      </c>
      <c r="K1109" s="194">
        <f>IFERROR(IF(INDEX([1]Pivot!$AD$1:$BE$65000,$B1109,K$5)=1,1,IF(INDEX([1]Pivot!$B$1:$AB$65000,$B1109,K$5)="",2,0)),0)</f>
        <v>0</v>
      </c>
      <c r="L1109" s="194">
        <f>IFERROR(IF(INDEX([1]Pivot!$AD$1:$BE$65000,$B1109,L$5)=1,1,IF(INDEX([1]Pivot!$B$1:$AB$65000,$B1109,L$5)="",2,0)),0)</f>
        <v>0</v>
      </c>
      <c r="M1109" s="194">
        <f>IFERROR(IF(INDEX([1]Pivot!$AD$1:$BE$65000,$B1109,M$5)=1,1,IF(INDEX([1]Pivot!$B$1:$AB$65000,$B1109,M$5)="",2,0)),0)</f>
        <v>0</v>
      </c>
      <c r="N1109" s="194">
        <f>IFERROR(IF(INDEX([1]Pivot!$AD$1:$BE$65000,$B1109,N$5)=1,1,IF(INDEX([1]Pivot!$B$1:$AB$65000,$B1109,N$5)="",2,0)),0)</f>
        <v>0</v>
      </c>
      <c r="O1109" s="194">
        <f>IFERROR(IF(INDEX([1]Pivot!$AD$1:$BE$65000,$B1109,O$5)=1,1,IF(INDEX([1]Pivot!$B$1:$AB$65000,$B1109,O$5)="",2,0)),0)</f>
        <v>0</v>
      </c>
      <c r="P1109" s="194">
        <f>IFERROR(IF(INDEX([1]Pivot!$AD$1:$BE$65000,$B1109,P$5)=1,1,IF(INDEX([1]Pivot!$B$1:$AB$65000,$B1109,P$5)="",2,0)),0)</f>
        <v>0</v>
      </c>
      <c r="Q1109" s="194">
        <f>IFERROR(IF(INDEX([1]Pivot!$AD$1:$BE$65000,$B1109,Q$5)=1,1,IF(INDEX([1]Pivot!$B$1:$AB$65000,$B1109,Q$5)="",2,0)),0)</f>
        <v>0</v>
      </c>
      <c r="R1109" s="312"/>
      <c r="S1109" s="194">
        <f>IFERROR(IF(INDEX([1]Pivot!$AD$1:$BE$65000,$B1109,S$5)=1,1,IF(INDEX([1]Pivot!$B$1:$AB$65000,$B1109,S$5)="",2,0)),0)</f>
        <v>0</v>
      </c>
      <c r="T1109" s="194">
        <f>IFERROR(IF(INDEX([1]Pivot!$AD$1:$BE$65000,$B1109,T$5)=1,1,IF(INDEX([1]Pivot!$B$1:$AB$65000,$B1109,T$5)="",2,0)),0)</f>
        <v>0</v>
      </c>
      <c r="U1109" s="194">
        <f>IFERROR(IF(INDEX([1]Pivot!$AD$1:$BE$65000,$B1109,U$5)=1,1,IF(INDEX([1]Pivot!$B$1:$AB$65000,$B1109,U$5)="",2,0)),0)</f>
        <v>0</v>
      </c>
      <c r="V1109" s="194">
        <f>IFERROR(IF(INDEX([1]Pivot!$AD$1:$BE$65000,$B1109,V$5)=1,1,IF(INDEX([1]Pivot!$B$1:$AB$65000,$B1109,V$5)="",2,0)),0)</f>
        <v>0</v>
      </c>
      <c r="W1109" s="194">
        <f>IFERROR(IF(INDEX([1]Pivot!$AD$1:$BE$65000,$B1109,W$5)=1,1,IF(INDEX([1]Pivot!$B$1:$AB$65000,$B1109,W$5)="",2,0)),0)</f>
        <v>0</v>
      </c>
      <c r="X1109" s="194">
        <f>IFERROR(IF(INDEX([1]Pivot!$AD$1:$BE$65000,$B1109,X$5)=1,1,IF(INDEX([1]Pivot!$B$1:$AB$65000,$B1109,X$5)="",2,0)),0)</f>
        <v>0</v>
      </c>
      <c r="Y1109" s="194">
        <f>IFERROR(IF(INDEX([1]Pivot!$AD$1:$BE$65000,$B1109,Y$5)=1,1,IF(INDEX([1]Pivot!$B$1:$AB$65000,$B1109,Y$5)="",2,0)),0)</f>
        <v>0</v>
      </c>
      <c r="Z1109" s="194">
        <f>IFERROR(IF(INDEX([1]Pivot!$AD$1:$BE$65000,$B1109,Z$5)=1,1,IF(INDEX([1]Pivot!$B$1:$AB$65000,$B1109,Z$5)="",2,0)),0)</f>
        <v>0</v>
      </c>
      <c r="AA1109" s="194">
        <f>IFERROR(IF(INDEX([1]Pivot!$AD$1:$BE$65000,$B1109,AA$5)=1,1,IF(INDEX([1]Pivot!$B$1:$AB$65000,$B1109,AA$5)="",2,0)),0)</f>
        <v>0</v>
      </c>
      <c r="AB1109" s="194">
        <f>IFERROR(IF(INDEX([1]Pivot!$AD$1:$BE$65000,$B1109,AB$5)=1,1,IF(INDEX([1]Pivot!$B$1:$AB$65000,$B1109,AB$5)="",2,0)),0)</f>
        <v>0</v>
      </c>
      <c r="AC1109" s="194">
        <f>IFERROR(IF(INDEX([1]Pivot!$AD$1:$BE$65000,$B1109,AC$5)=1,1,IF(INDEX([1]Pivot!$B$1:$AB$65000,$B1109,AC$5)="",2,0)),0)</f>
        <v>0</v>
      </c>
      <c r="AD1109" s="313">
        <f>IFERROR(IF(INDEX([1]Pivot!$BF$1:$CG$65000,$B1109,AD$5)=1,1,IF(INDEX([1]Pivot!$B$1:$AB$65000,$B1109,AD$5)="",2,0)),0)</f>
        <v>0</v>
      </c>
      <c r="AE1109" s="313">
        <f>IFERROR(IF(INDEX([1]Pivot!$BF$1:$CG$65000,$B1109,AE$5)=1,1,IF(INDEX([1]Pivot!$B$1:$AB$65000,$B1109,AE$5)="",2,0)),0)</f>
        <v>0</v>
      </c>
      <c r="AF1109" s="313">
        <f>IFERROR(IF(INDEX([1]Pivot!$BF$1:$CG$65000,$B1109,AF$5)=1,1,IF(INDEX([1]Pivot!$B$1:$AB$65000,$B1109,AF$5)="",2,0)),0)</f>
        <v>0</v>
      </c>
      <c r="AG1109" s="313">
        <f>IFERROR(IF(INDEX([1]Pivot!$BF$1:$CG$65000,$B1109,AG$5)=1,1,IF(INDEX([1]Pivot!$B$1:$AB$65000,$B1109,AG$5)="",2,0)),0)</f>
        <v>0</v>
      </c>
      <c r="AH1109" s="313">
        <f>IFERROR(IF(INDEX([1]Pivot!$BF$1:$CG$65000,$B1109,AH$5)=1,1,IF(INDEX([1]Pivot!$B$1:$AB$65000,$B1109,AH$5)="",2,0)),0)</f>
        <v>0</v>
      </c>
      <c r="AI1109" s="313">
        <f>IFERROR(IF(INDEX([1]Pivot!$BF$1:$CG$65000,$B1109,AI$5)=1,1,IF(INDEX([1]Pivot!$B$1:$AB$65000,$B1109,AI$5)="",2,0)),0)</f>
        <v>0</v>
      </c>
      <c r="AJ1109" s="313">
        <f>IFERROR(IF(INDEX([1]Pivot!$BF$1:$CG$65000,$B1109,AJ$5)=1,1,IF(INDEX([1]Pivot!$B$1:$AB$65000,$B1109,AJ$5)="",2,0)),0)</f>
        <v>0</v>
      </c>
      <c r="AK1109" s="313">
        <f>IFERROR(IF(INDEX([1]Pivot!$BF$1:$CG$65000,$B1109,AK$5)=1,1,IF(INDEX([1]Pivot!$B$1:$AB$65000,$B1109,AK$5)="",2,0)),0)</f>
        <v>0</v>
      </c>
      <c r="AL1109" s="313">
        <f>IFERROR(IF(INDEX([1]Pivot!$BF$1:$CG$65000,$B1109,AL$5)=1,1,IF(INDEX([1]Pivot!$B$1:$AB$65000,$B1109,AL$5)="",2,0)),0)</f>
        <v>0</v>
      </c>
      <c r="AM1109" s="313">
        <f>IFERROR(IF(INDEX([1]Pivot!$BF$1:$CG$65000,$B1109,AM$5)=1,1,IF(INDEX([1]Pivot!$B$1:$AB$65000,$B1109,AM$5)="",2,0)),0)</f>
        <v>0</v>
      </c>
      <c r="AN1109" s="313">
        <f>IFERROR(IF(INDEX([1]Pivot!$BF$1:$CG$65000,$B1109,AN$5)=1,1,IF(INDEX([1]Pivot!$B$1:$AB$65000,$B1109,AN$5)="",2,0)),0)</f>
        <v>0</v>
      </c>
      <c r="AO1109" s="313">
        <f>IFERROR(IF(INDEX([1]Pivot!$BF$1:$CG$65000,$B1109,AO$5)=1,1,IF(INDEX([1]Pivot!$B$1:$AB$65000,$B1109,AO$5)="",2,0)),0)</f>
        <v>0</v>
      </c>
      <c r="AP1109" s="313">
        <f>IFERROR(IF(INDEX([1]Pivot!$BF$1:$CG$65000,$B1109,AP$5)=1,1,IF(INDEX([1]Pivot!$B$1:$AB$65000,$B1109,AP$5)="",2,0)),0)</f>
        <v>0</v>
      </c>
      <c r="AQ1109" s="313">
        <f>IFERROR(IF(INDEX([1]Pivot!$BF$1:$CG$65000,$B1109,AQ$5)=1,1,IF(INDEX([1]Pivot!$B$1:$AB$65000,$B1109,AQ$5)="",2,0)),0)</f>
        <v>0</v>
      </c>
      <c r="AR1109" s="313">
        <f>IFERROR(IF(INDEX([1]Pivot!$BF$1:$CG$65000,$B1109,AR$5)=1,1,IF(INDEX([1]Pivot!$B$1:$AB$65000,$B1109,AR$5)="",2,0)),0)</f>
        <v>0</v>
      </c>
      <c r="AS1109" s="312"/>
      <c r="AT1109" s="313">
        <f>IFERROR(IF(INDEX([1]Pivot!$BF$1:$CG$65000,$B1109,AT$5)=1,1,IF(INDEX([1]Pivot!$B$1:$AB$65000,$B1109,AT$5)="",2,0)),0)</f>
        <v>0</v>
      </c>
      <c r="AU1109" s="313">
        <f>IFERROR(IF(INDEX([1]Pivot!$BF$1:$CG$65000,$B1109,AU$5)=1,1,IF(INDEX([1]Pivot!$B$1:$AB$65000,$B1109,AU$5)="",2,0)),0)</f>
        <v>0</v>
      </c>
      <c r="AV1109" s="313">
        <f>IFERROR(IF(INDEX([1]Pivot!$BF$1:$CG$65000,$B1109,AV$5)=1,1,IF(INDEX([1]Pivot!$B$1:$AB$65000,$B1109,AV$5)="",2,0)),0)</f>
        <v>0</v>
      </c>
      <c r="AW1109" s="313">
        <f>IFERROR(IF(INDEX([1]Pivot!$BF$1:$CG$65000,$B1109,AW$5)=1,1,IF(INDEX([1]Pivot!$B$1:$AB$65000,$B1109,AW$5)="",2,0)),0)</f>
        <v>0</v>
      </c>
      <c r="AX1109" s="313">
        <f>IFERROR(IF(INDEX([1]Pivot!$BF$1:$CG$65000,$B1109,AX$5)=1,1,IF(INDEX([1]Pivot!$B$1:$AB$65000,$B1109,AX$5)="",2,0)),0)</f>
        <v>0</v>
      </c>
      <c r="AY1109" s="313">
        <f>IFERROR(IF(INDEX([1]Pivot!$BF$1:$CG$65000,$B1109,AY$5)=1,1,IF(INDEX([1]Pivot!$B$1:$AB$65000,$B1109,AY$5)="",2,0)),0)</f>
        <v>0</v>
      </c>
      <c r="AZ1109" s="313">
        <f>IFERROR(IF(INDEX([1]Pivot!$BF$1:$CG$65000,$B1109,AZ$5)=1,1,IF(INDEX([1]Pivot!$B$1:$AB$65000,$B1109,AZ$5)="",2,0)),0)</f>
        <v>0</v>
      </c>
      <c r="BA1109" s="313">
        <f>IFERROR(IF(INDEX([1]Pivot!$BF$1:$CG$65000,$B1109,BA$5)=1,1,IF(INDEX([1]Pivot!$B$1:$AB$65000,$B1109,BA$5)="",2,0)),0)</f>
        <v>0</v>
      </c>
      <c r="BB1109" s="313">
        <f>IFERROR(IF(INDEX([1]Pivot!$BF$1:$CG$65000,$B1109,BB$5)=1,1,IF(INDEX([1]Pivot!$B$1:$AB$65000,$B1109,BB$5)="",2,0)),0)</f>
        <v>0</v>
      </c>
      <c r="BC1109" s="313">
        <f>IFERROR(IF(INDEX([1]Pivot!$BF$1:$CG$65000,$B1109,BC$5)=1,1,IF(INDEX([1]Pivot!$B$1:$AB$65000,$B1109,BC$5)="",2,0)),0)</f>
        <v>0</v>
      </c>
      <c r="BD1109" s="313">
        <f>IFERROR(IF(INDEX([1]Pivot!$BF$1:$CG$65000,$B1109,BD$5)=1,1,IF(INDEX([1]Pivot!$B$1:$AB$65000,$B1109,BD$5)="",2,0)),0)</f>
        <v>0</v>
      </c>
    </row>
    <row r="1110" spans="1:56" x14ac:dyDescent="0.25">
      <c r="A1110" s="288">
        <f>'[2]Raw Milk Prices'!A1110</f>
        <v>0</v>
      </c>
      <c r="B1110" s="296" t="e">
        <f>MATCH(DATE(LEFT('[2]Raw Milk Prices'!$A1110,4),RIGHT('[2]Raw Milk Prices'!$A1110,2),1),[1]Pivot!$A$1:$A$65000,0)</f>
        <v>#VALUE!</v>
      </c>
      <c r="C1110" s="194">
        <f>IFERROR(IF(INDEX([1]Pivot!$AD$1:$BE$65000,$B1110,C$5)=1,1,IF(INDEX([1]Pivot!$B$1:$AB$65000,$B1110,C$5)="",2,0)),0)</f>
        <v>0</v>
      </c>
      <c r="D1110" s="194">
        <f>IFERROR(IF(INDEX([1]Pivot!$AD$1:$BE$65000,$B1110,D$5)=1,1,IF(INDEX([1]Pivot!$B$1:$AB$65000,$B1110,D$5)="",2,0)),0)</f>
        <v>0</v>
      </c>
      <c r="E1110" s="194">
        <f>IFERROR(IF(INDEX([1]Pivot!$AD$1:$BE$65000,$B1110,E$5)=1,1,IF(INDEX([1]Pivot!$B$1:$AB$65000,$B1110,E$5)="",2,0)),0)</f>
        <v>0</v>
      </c>
      <c r="F1110" s="194">
        <f>IFERROR(IF(INDEX([1]Pivot!$AD$1:$BE$65000,$B1110,F$5)=1,1,IF(INDEX([1]Pivot!$B$1:$AB$65000,$B1110,F$5)="",2,0)),0)</f>
        <v>0</v>
      </c>
      <c r="G1110" s="194">
        <f>IFERROR(IF(INDEX([1]Pivot!$AD$1:$BE$65000,$B1110,G$5)=1,1,IF(INDEX([1]Pivot!$B$1:$AB$65000,$B1110,G$5)="",2,0)),0)</f>
        <v>0</v>
      </c>
      <c r="H1110" s="194">
        <f>IFERROR(IF(INDEX([1]Pivot!$AD$1:$BE$65000,$B1110,H$5)=1,1,IF(INDEX([1]Pivot!$B$1:$AB$65000,$B1110,H$5)="",2,0)),0)</f>
        <v>0</v>
      </c>
      <c r="I1110" s="194">
        <f>IFERROR(IF(INDEX([1]Pivot!$AD$1:$BE$65000,$B1110,I$5)=1,1,IF(INDEX([1]Pivot!$B$1:$AB$65000,$B1110,I$5)="",2,0)),0)</f>
        <v>0</v>
      </c>
      <c r="J1110" s="194">
        <f>IFERROR(IF(INDEX([1]Pivot!$AD$1:$BE$65000,$B1110,J$5)=1,1,IF(INDEX([1]Pivot!$B$1:$AB$65000,$B1110,J$5)="",2,0)),0)</f>
        <v>0</v>
      </c>
      <c r="K1110" s="194">
        <f>IFERROR(IF(INDEX([1]Pivot!$AD$1:$BE$65000,$B1110,K$5)=1,1,IF(INDEX([1]Pivot!$B$1:$AB$65000,$B1110,K$5)="",2,0)),0)</f>
        <v>0</v>
      </c>
      <c r="L1110" s="194">
        <f>IFERROR(IF(INDEX([1]Pivot!$AD$1:$BE$65000,$B1110,L$5)=1,1,IF(INDEX([1]Pivot!$B$1:$AB$65000,$B1110,L$5)="",2,0)),0)</f>
        <v>0</v>
      </c>
      <c r="M1110" s="194">
        <f>IFERROR(IF(INDEX([1]Pivot!$AD$1:$BE$65000,$B1110,M$5)=1,1,IF(INDEX([1]Pivot!$B$1:$AB$65000,$B1110,M$5)="",2,0)),0)</f>
        <v>0</v>
      </c>
      <c r="N1110" s="194">
        <f>IFERROR(IF(INDEX([1]Pivot!$AD$1:$BE$65000,$B1110,N$5)=1,1,IF(INDEX([1]Pivot!$B$1:$AB$65000,$B1110,N$5)="",2,0)),0)</f>
        <v>0</v>
      </c>
      <c r="O1110" s="194">
        <f>IFERROR(IF(INDEX([1]Pivot!$AD$1:$BE$65000,$B1110,O$5)=1,1,IF(INDEX([1]Pivot!$B$1:$AB$65000,$B1110,O$5)="",2,0)),0)</f>
        <v>0</v>
      </c>
      <c r="P1110" s="194">
        <f>IFERROR(IF(INDEX([1]Pivot!$AD$1:$BE$65000,$B1110,P$5)=1,1,IF(INDEX([1]Pivot!$B$1:$AB$65000,$B1110,P$5)="",2,0)),0)</f>
        <v>0</v>
      </c>
      <c r="Q1110" s="194">
        <f>IFERROR(IF(INDEX([1]Pivot!$AD$1:$BE$65000,$B1110,Q$5)=1,1,IF(INDEX([1]Pivot!$B$1:$AB$65000,$B1110,Q$5)="",2,0)),0)</f>
        <v>0</v>
      </c>
      <c r="R1110" s="312"/>
      <c r="S1110" s="194">
        <f>IFERROR(IF(INDEX([1]Pivot!$AD$1:$BE$65000,$B1110,S$5)=1,1,IF(INDEX([1]Pivot!$B$1:$AB$65000,$B1110,S$5)="",2,0)),0)</f>
        <v>0</v>
      </c>
      <c r="T1110" s="194">
        <f>IFERROR(IF(INDEX([1]Pivot!$AD$1:$BE$65000,$B1110,T$5)=1,1,IF(INDEX([1]Pivot!$B$1:$AB$65000,$B1110,T$5)="",2,0)),0)</f>
        <v>0</v>
      </c>
      <c r="U1110" s="194">
        <f>IFERROR(IF(INDEX([1]Pivot!$AD$1:$BE$65000,$B1110,U$5)=1,1,IF(INDEX([1]Pivot!$B$1:$AB$65000,$B1110,U$5)="",2,0)),0)</f>
        <v>0</v>
      </c>
      <c r="V1110" s="194">
        <f>IFERROR(IF(INDEX([1]Pivot!$AD$1:$BE$65000,$B1110,V$5)=1,1,IF(INDEX([1]Pivot!$B$1:$AB$65000,$B1110,V$5)="",2,0)),0)</f>
        <v>0</v>
      </c>
      <c r="W1110" s="194">
        <f>IFERROR(IF(INDEX([1]Pivot!$AD$1:$BE$65000,$B1110,W$5)=1,1,IF(INDEX([1]Pivot!$B$1:$AB$65000,$B1110,W$5)="",2,0)),0)</f>
        <v>0</v>
      </c>
      <c r="X1110" s="194">
        <f>IFERROR(IF(INDEX([1]Pivot!$AD$1:$BE$65000,$B1110,X$5)=1,1,IF(INDEX([1]Pivot!$B$1:$AB$65000,$B1110,X$5)="",2,0)),0)</f>
        <v>0</v>
      </c>
      <c r="Y1110" s="194">
        <f>IFERROR(IF(INDEX([1]Pivot!$AD$1:$BE$65000,$B1110,Y$5)=1,1,IF(INDEX([1]Pivot!$B$1:$AB$65000,$B1110,Y$5)="",2,0)),0)</f>
        <v>0</v>
      </c>
      <c r="Z1110" s="194">
        <f>IFERROR(IF(INDEX([1]Pivot!$AD$1:$BE$65000,$B1110,Z$5)=1,1,IF(INDEX([1]Pivot!$B$1:$AB$65000,$B1110,Z$5)="",2,0)),0)</f>
        <v>0</v>
      </c>
      <c r="AA1110" s="194">
        <f>IFERROR(IF(INDEX([1]Pivot!$AD$1:$BE$65000,$B1110,AA$5)=1,1,IF(INDEX([1]Pivot!$B$1:$AB$65000,$B1110,AA$5)="",2,0)),0)</f>
        <v>0</v>
      </c>
      <c r="AB1110" s="194">
        <f>IFERROR(IF(INDEX([1]Pivot!$AD$1:$BE$65000,$B1110,AB$5)=1,1,IF(INDEX([1]Pivot!$B$1:$AB$65000,$B1110,AB$5)="",2,0)),0)</f>
        <v>0</v>
      </c>
      <c r="AC1110" s="194">
        <f>IFERROR(IF(INDEX([1]Pivot!$AD$1:$BE$65000,$B1110,AC$5)=1,1,IF(INDEX([1]Pivot!$B$1:$AB$65000,$B1110,AC$5)="",2,0)),0)</f>
        <v>0</v>
      </c>
      <c r="AD1110" s="313">
        <f>IFERROR(IF(INDEX([1]Pivot!$BF$1:$CG$65000,$B1110,AD$5)=1,1,IF(INDEX([1]Pivot!$B$1:$AB$65000,$B1110,AD$5)="",2,0)),0)</f>
        <v>0</v>
      </c>
      <c r="AE1110" s="313">
        <f>IFERROR(IF(INDEX([1]Pivot!$BF$1:$CG$65000,$B1110,AE$5)=1,1,IF(INDEX([1]Pivot!$B$1:$AB$65000,$B1110,AE$5)="",2,0)),0)</f>
        <v>0</v>
      </c>
      <c r="AF1110" s="313">
        <f>IFERROR(IF(INDEX([1]Pivot!$BF$1:$CG$65000,$B1110,AF$5)=1,1,IF(INDEX([1]Pivot!$B$1:$AB$65000,$B1110,AF$5)="",2,0)),0)</f>
        <v>0</v>
      </c>
      <c r="AG1110" s="313">
        <f>IFERROR(IF(INDEX([1]Pivot!$BF$1:$CG$65000,$B1110,AG$5)=1,1,IF(INDEX([1]Pivot!$B$1:$AB$65000,$B1110,AG$5)="",2,0)),0)</f>
        <v>0</v>
      </c>
      <c r="AH1110" s="313">
        <f>IFERROR(IF(INDEX([1]Pivot!$BF$1:$CG$65000,$B1110,AH$5)=1,1,IF(INDEX([1]Pivot!$B$1:$AB$65000,$B1110,AH$5)="",2,0)),0)</f>
        <v>0</v>
      </c>
      <c r="AI1110" s="313">
        <f>IFERROR(IF(INDEX([1]Pivot!$BF$1:$CG$65000,$B1110,AI$5)=1,1,IF(INDEX([1]Pivot!$B$1:$AB$65000,$B1110,AI$5)="",2,0)),0)</f>
        <v>0</v>
      </c>
      <c r="AJ1110" s="313">
        <f>IFERROR(IF(INDEX([1]Pivot!$BF$1:$CG$65000,$B1110,AJ$5)=1,1,IF(INDEX([1]Pivot!$B$1:$AB$65000,$B1110,AJ$5)="",2,0)),0)</f>
        <v>0</v>
      </c>
      <c r="AK1110" s="313">
        <f>IFERROR(IF(INDEX([1]Pivot!$BF$1:$CG$65000,$B1110,AK$5)=1,1,IF(INDEX([1]Pivot!$B$1:$AB$65000,$B1110,AK$5)="",2,0)),0)</f>
        <v>0</v>
      </c>
      <c r="AL1110" s="313">
        <f>IFERROR(IF(INDEX([1]Pivot!$BF$1:$CG$65000,$B1110,AL$5)=1,1,IF(INDEX([1]Pivot!$B$1:$AB$65000,$B1110,AL$5)="",2,0)),0)</f>
        <v>0</v>
      </c>
      <c r="AM1110" s="313">
        <f>IFERROR(IF(INDEX([1]Pivot!$BF$1:$CG$65000,$B1110,AM$5)=1,1,IF(INDEX([1]Pivot!$B$1:$AB$65000,$B1110,AM$5)="",2,0)),0)</f>
        <v>0</v>
      </c>
      <c r="AN1110" s="313">
        <f>IFERROR(IF(INDEX([1]Pivot!$BF$1:$CG$65000,$B1110,AN$5)=1,1,IF(INDEX([1]Pivot!$B$1:$AB$65000,$B1110,AN$5)="",2,0)),0)</f>
        <v>0</v>
      </c>
      <c r="AO1110" s="313">
        <f>IFERROR(IF(INDEX([1]Pivot!$BF$1:$CG$65000,$B1110,AO$5)=1,1,IF(INDEX([1]Pivot!$B$1:$AB$65000,$B1110,AO$5)="",2,0)),0)</f>
        <v>0</v>
      </c>
      <c r="AP1110" s="313">
        <f>IFERROR(IF(INDEX([1]Pivot!$BF$1:$CG$65000,$B1110,AP$5)=1,1,IF(INDEX([1]Pivot!$B$1:$AB$65000,$B1110,AP$5)="",2,0)),0)</f>
        <v>0</v>
      </c>
      <c r="AQ1110" s="313">
        <f>IFERROR(IF(INDEX([1]Pivot!$BF$1:$CG$65000,$B1110,AQ$5)=1,1,IF(INDEX([1]Pivot!$B$1:$AB$65000,$B1110,AQ$5)="",2,0)),0)</f>
        <v>0</v>
      </c>
      <c r="AR1110" s="313">
        <f>IFERROR(IF(INDEX([1]Pivot!$BF$1:$CG$65000,$B1110,AR$5)=1,1,IF(INDEX([1]Pivot!$B$1:$AB$65000,$B1110,AR$5)="",2,0)),0)</f>
        <v>0</v>
      </c>
      <c r="AS1110" s="312"/>
      <c r="AT1110" s="313">
        <f>IFERROR(IF(INDEX([1]Pivot!$BF$1:$CG$65000,$B1110,AT$5)=1,1,IF(INDEX([1]Pivot!$B$1:$AB$65000,$B1110,AT$5)="",2,0)),0)</f>
        <v>0</v>
      </c>
      <c r="AU1110" s="313">
        <f>IFERROR(IF(INDEX([1]Pivot!$BF$1:$CG$65000,$B1110,AU$5)=1,1,IF(INDEX([1]Pivot!$B$1:$AB$65000,$B1110,AU$5)="",2,0)),0)</f>
        <v>0</v>
      </c>
      <c r="AV1110" s="313">
        <f>IFERROR(IF(INDEX([1]Pivot!$BF$1:$CG$65000,$B1110,AV$5)=1,1,IF(INDEX([1]Pivot!$B$1:$AB$65000,$B1110,AV$5)="",2,0)),0)</f>
        <v>0</v>
      </c>
      <c r="AW1110" s="313">
        <f>IFERROR(IF(INDEX([1]Pivot!$BF$1:$CG$65000,$B1110,AW$5)=1,1,IF(INDEX([1]Pivot!$B$1:$AB$65000,$B1110,AW$5)="",2,0)),0)</f>
        <v>0</v>
      </c>
      <c r="AX1110" s="313">
        <f>IFERROR(IF(INDEX([1]Pivot!$BF$1:$CG$65000,$B1110,AX$5)=1,1,IF(INDEX([1]Pivot!$B$1:$AB$65000,$B1110,AX$5)="",2,0)),0)</f>
        <v>0</v>
      </c>
      <c r="AY1110" s="313">
        <f>IFERROR(IF(INDEX([1]Pivot!$BF$1:$CG$65000,$B1110,AY$5)=1,1,IF(INDEX([1]Pivot!$B$1:$AB$65000,$B1110,AY$5)="",2,0)),0)</f>
        <v>0</v>
      </c>
      <c r="AZ1110" s="313">
        <f>IFERROR(IF(INDEX([1]Pivot!$BF$1:$CG$65000,$B1110,AZ$5)=1,1,IF(INDEX([1]Pivot!$B$1:$AB$65000,$B1110,AZ$5)="",2,0)),0)</f>
        <v>0</v>
      </c>
      <c r="BA1110" s="313">
        <f>IFERROR(IF(INDEX([1]Pivot!$BF$1:$CG$65000,$B1110,BA$5)=1,1,IF(INDEX([1]Pivot!$B$1:$AB$65000,$B1110,BA$5)="",2,0)),0)</f>
        <v>0</v>
      </c>
      <c r="BB1110" s="313">
        <f>IFERROR(IF(INDEX([1]Pivot!$BF$1:$CG$65000,$B1110,BB$5)=1,1,IF(INDEX([1]Pivot!$B$1:$AB$65000,$B1110,BB$5)="",2,0)),0)</f>
        <v>0</v>
      </c>
      <c r="BC1110" s="313">
        <f>IFERROR(IF(INDEX([1]Pivot!$BF$1:$CG$65000,$B1110,BC$5)=1,1,IF(INDEX([1]Pivot!$B$1:$AB$65000,$B1110,BC$5)="",2,0)),0)</f>
        <v>0</v>
      </c>
      <c r="BD1110" s="313">
        <f>IFERROR(IF(INDEX([1]Pivot!$BF$1:$CG$65000,$B1110,BD$5)=1,1,IF(INDEX([1]Pivot!$B$1:$AB$65000,$B1110,BD$5)="",2,0)),0)</f>
        <v>0</v>
      </c>
    </row>
    <row r="1111" spans="1:56" x14ac:dyDescent="0.25">
      <c r="A1111" s="288">
        <f>'[2]Raw Milk Prices'!A1111</f>
        <v>0</v>
      </c>
      <c r="B1111" s="296" t="e">
        <f>MATCH(DATE(LEFT('[2]Raw Milk Prices'!$A1111,4),RIGHT('[2]Raw Milk Prices'!$A1111,2),1),[1]Pivot!$A$1:$A$65000,0)</f>
        <v>#VALUE!</v>
      </c>
      <c r="C1111" s="194">
        <f>IFERROR(IF(INDEX([1]Pivot!$AD$1:$BE$65000,$B1111,C$5)=1,1,IF(INDEX([1]Pivot!$B$1:$AB$65000,$B1111,C$5)="",2,0)),0)</f>
        <v>0</v>
      </c>
      <c r="D1111" s="194">
        <f>IFERROR(IF(INDEX([1]Pivot!$AD$1:$BE$65000,$B1111,D$5)=1,1,IF(INDEX([1]Pivot!$B$1:$AB$65000,$B1111,D$5)="",2,0)),0)</f>
        <v>0</v>
      </c>
      <c r="E1111" s="194">
        <f>IFERROR(IF(INDEX([1]Pivot!$AD$1:$BE$65000,$B1111,E$5)=1,1,IF(INDEX([1]Pivot!$B$1:$AB$65000,$B1111,E$5)="",2,0)),0)</f>
        <v>0</v>
      </c>
      <c r="F1111" s="194">
        <f>IFERROR(IF(INDEX([1]Pivot!$AD$1:$BE$65000,$B1111,F$5)=1,1,IF(INDEX([1]Pivot!$B$1:$AB$65000,$B1111,F$5)="",2,0)),0)</f>
        <v>0</v>
      </c>
      <c r="G1111" s="194">
        <f>IFERROR(IF(INDEX([1]Pivot!$AD$1:$BE$65000,$B1111,G$5)=1,1,IF(INDEX([1]Pivot!$B$1:$AB$65000,$B1111,G$5)="",2,0)),0)</f>
        <v>0</v>
      </c>
      <c r="H1111" s="194">
        <f>IFERROR(IF(INDEX([1]Pivot!$AD$1:$BE$65000,$B1111,H$5)=1,1,IF(INDEX([1]Pivot!$B$1:$AB$65000,$B1111,H$5)="",2,0)),0)</f>
        <v>0</v>
      </c>
      <c r="I1111" s="194">
        <f>IFERROR(IF(INDEX([1]Pivot!$AD$1:$BE$65000,$B1111,I$5)=1,1,IF(INDEX([1]Pivot!$B$1:$AB$65000,$B1111,I$5)="",2,0)),0)</f>
        <v>0</v>
      </c>
      <c r="J1111" s="194">
        <f>IFERROR(IF(INDEX([1]Pivot!$AD$1:$BE$65000,$B1111,J$5)=1,1,IF(INDEX([1]Pivot!$B$1:$AB$65000,$B1111,J$5)="",2,0)),0)</f>
        <v>0</v>
      </c>
      <c r="K1111" s="194">
        <f>IFERROR(IF(INDEX([1]Pivot!$AD$1:$BE$65000,$B1111,K$5)=1,1,IF(INDEX([1]Pivot!$B$1:$AB$65000,$B1111,K$5)="",2,0)),0)</f>
        <v>0</v>
      </c>
      <c r="L1111" s="194">
        <f>IFERROR(IF(INDEX([1]Pivot!$AD$1:$BE$65000,$B1111,L$5)=1,1,IF(INDEX([1]Pivot!$B$1:$AB$65000,$B1111,L$5)="",2,0)),0)</f>
        <v>0</v>
      </c>
      <c r="M1111" s="194">
        <f>IFERROR(IF(INDEX([1]Pivot!$AD$1:$BE$65000,$B1111,M$5)=1,1,IF(INDEX([1]Pivot!$B$1:$AB$65000,$B1111,M$5)="",2,0)),0)</f>
        <v>0</v>
      </c>
      <c r="N1111" s="194">
        <f>IFERROR(IF(INDEX([1]Pivot!$AD$1:$BE$65000,$B1111,N$5)=1,1,IF(INDEX([1]Pivot!$B$1:$AB$65000,$B1111,N$5)="",2,0)),0)</f>
        <v>0</v>
      </c>
      <c r="O1111" s="194">
        <f>IFERROR(IF(INDEX([1]Pivot!$AD$1:$BE$65000,$B1111,O$5)=1,1,IF(INDEX([1]Pivot!$B$1:$AB$65000,$B1111,O$5)="",2,0)),0)</f>
        <v>0</v>
      </c>
      <c r="P1111" s="194">
        <f>IFERROR(IF(INDEX([1]Pivot!$AD$1:$BE$65000,$B1111,P$5)=1,1,IF(INDEX([1]Pivot!$B$1:$AB$65000,$B1111,P$5)="",2,0)),0)</f>
        <v>0</v>
      </c>
      <c r="Q1111" s="194">
        <f>IFERROR(IF(INDEX([1]Pivot!$AD$1:$BE$65000,$B1111,Q$5)=1,1,IF(INDEX([1]Pivot!$B$1:$AB$65000,$B1111,Q$5)="",2,0)),0)</f>
        <v>0</v>
      </c>
      <c r="R1111" s="312"/>
      <c r="S1111" s="194">
        <f>IFERROR(IF(INDEX([1]Pivot!$AD$1:$BE$65000,$B1111,S$5)=1,1,IF(INDEX([1]Pivot!$B$1:$AB$65000,$B1111,S$5)="",2,0)),0)</f>
        <v>0</v>
      </c>
      <c r="T1111" s="194">
        <f>IFERROR(IF(INDEX([1]Pivot!$AD$1:$BE$65000,$B1111,T$5)=1,1,IF(INDEX([1]Pivot!$B$1:$AB$65000,$B1111,T$5)="",2,0)),0)</f>
        <v>0</v>
      </c>
      <c r="U1111" s="194">
        <f>IFERROR(IF(INDEX([1]Pivot!$AD$1:$BE$65000,$B1111,U$5)=1,1,IF(INDEX([1]Pivot!$B$1:$AB$65000,$B1111,U$5)="",2,0)),0)</f>
        <v>0</v>
      </c>
      <c r="V1111" s="194">
        <f>IFERROR(IF(INDEX([1]Pivot!$AD$1:$BE$65000,$B1111,V$5)=1,1,IF(INDEX([1]Pivot!$B$1:$AB$65000,$B1111,V$5)="",2,0)),0)</f>
        <v>0</v>
      </c>
      <c r="W1111" s="194">
        <f>IFERROR(IF(INDEX([1]Pivot!$AD$1:$BE$65000,$B1111,W$5)=1,1,IF(INDEX([1]Pivot!$B$1:$AB$65000,$B1111,W$5)="",2,0)),0)</f>
        <v>0</v>
      </c>
      <c r="X1111" s="194">
        <f>IFERROR(IF(INDEX([1]Pivot!$AD$1:$BE$65000,$B1111,X$5)=1,1,IF(INDEX([1]Pivot!$B$1:$AB$65000,$B1111,X$5)="",2,0)),0)</f>
        <v>0</v>
      </c>
      <c r="Y1111" s="194">
        <f>IFERROR(IF(INDEX([1]Pivot!$AD$1:$BE$65000,$B1111,Y$5)=1,1,IF(INDEX([1]Pivot!$B$1:$AB$65000,$B1111,Y$5)="",2,0)),0)</f>
        <v>0</v>
      </c>
      <c r="Z1111" s="194">
        <f>IFERROR(IF(INDEX([1]Pivot!$AD$1:$BE$65000,$B1111,Z$5)=1,1,IF(INDEX([1]Pivot!$B$1:$AB$65000,$B1111,Z$5)="",2,0)),0)</f>
        <v>0</v>
      </c>
      <c r="AA1111" s="194">
        <f>IFERROR(IF(INDEX([1]Pivot!$AD$1:$BE$65000,$B1111,AA$5)=1,1,IF(INDEX([1]Pivot!$B$1:$AB$65000,$B1111,AA$5)="",2,0)),0)</f>
        <v>0</v>
      </c>
      <c r="AB1111" s="194">
        <f>IFERROR(IF(INDEX([1]Pivot!$AD$1:$BE$65000,$B1111,AB$5)=1,1,IF(INDEX([1]Pivot!$B$1:$AB$65000,$B1111,AB$5)="",2,0)),0)</f>
        <v>0</v>
      </c>
      <c r="AC1111" s="194">
        <f>IFERROR(IF(INDEX([1]Pivot!$AD$1:$BE$65000,$B1111,AC$5)=1,1,IF(INDEX([1]Pivot!$B$1:$AB$65000,$B1111,AC$5)="",2,0)),0)</f>
        <v>0</v>
      </c>
      <c r="AD1111" s="313">
        <f>IFERROR(IF(INDEX([1]Pivot!$BF$1:$CG$65000,$B1111,AD$5)=1,1,IF(INDEX([1]Pivot!$B$1:$AB$65000,$B1111,AD$5)="",2,0)),0)</f>
        <v>0</v>
      </c>
      <c r="AE1111" s="313">
        <f>IFERROR(IF(INDEX([1]Pivot!$BF$1:$CG$65000,$B1111,AE$5)=1,1,IF(INDEX([1]Pivot!$B$1:$AB$65000,$B1111,AE$5)="",2,0)),0)</f>
        <v>0</v>
      </c>
      <c r="AF1111" s="313">
        <f>IFERROR(IF(INDEX([1]Pivot!$BF$1:$CG$65000,$B1111,AF$5)=1,1,IF(INDEX([1]Pivot!$B$1:$AB$65000,$B1111,AF$5)="",2,0)),0)</f>
        <v>0</v>
      </c>
      <c r="AG1111" s="313">
        <f>IFERROR(IF(INDEX([1]Pivot!$BF$1:$CG$65000,$B1111,AG$5)=1,1,IF(INDEX([1]Pivot!$B$1:$AB$65000,$B1111,AG$5)="",2,0)),0)</f>
        <v>0</v>
      </c>
      <c r="AH1111" s="313">
        <f>IFERROR(IF(INDEX([1]Pivot!$BF$1:$CG$65000,$B1111,AH$5)=1,1,IF(INDEX([1]Pivot!$B$1:$AB$65000,$B1111,AH$5)="",2,0)),0)</f>
        <v>0</v>
      </c>
      <c r="AI1111" s="313">
        <f>IFERROR(IF(INDEX([1]Pivot!$BF$1:$CG$65000,$B1111,AI$5)=1,1,IF(INDEX([1]Pivot!$B$1:$AB$65000,$B1111,AI$5)="",2,0)),0)</f>
        <v>0</v>
      </c>
      <c r="AJ1111" s="313">
        <f>IFERROR(IF(INDEX([1]Pivot!$BF$1:$CG$65000,$B1111,AJ$5)=1,1,IF(INDEX([1]Pivot!$B$1:$AB$65000,$B1111,AJ$5)="",2,0)),0)</f>
        <v>0</v>
      </c>
      <c r="AK1111" s="313">
        <f>IFERROR(IF(INDEX([1]Pivot!$BF$1:$CG$65000,$B1111,AK$5)=1,1,IF(INDEX([1]Pivot!$B$1:$AB$65000,$B1111,AK$5)="",2,0)),0)</f>
        <v>0</v>
      </c>
      <c r="AL1111" s="313">
        <f>IFERROR(IF(INDEX([1]Pivot!$BF$1:$CG$65000,$B1111,AL$5)=1,1,IF(INDEX([1]Pivot!$B$1:$AB$65000,$B1111,AL$5)="",2,0)),0)</f>
        <v>0</v>
      </c>
      <c r="AM1111" s="313">
        <f>IFERROR(IF(INDEX([1]Pivot!$BF$1:$CG$65000,$B1111,AM$5)=1,1,IF(INDEX([1]Pivot!$B$1:$AB$65000,$B1111,AM$5)="",2,0)),0)</f>
        <v>0</v>
      </c>
      <c r="AN1111" s="313">
        <f>IFERROR(IF(INDEX([1]Pivot!$BF$1:$CG$65000,$B1111,AN$5)=1,1,IF(INDEX([1]Pivot!$B$1:$AB$65000,$B1111,AN$5)="",2,0)),0)</f>
        <v>0</v>
      </c>
      <c r="AO1111" s="313">
        <f>IFERROR(IF(INDEX([1]Pivot!$BF$1:$CG$65000,$B1111,AO$5)=1,1,IF(INDEX([1]Pivot!$B$1:$AB$65000,$B1111,AO$5)="",2,0)),0)</f>
        <v>0</v>
      </c>
      <c r="AP1111" s="313">
        <f>IFERROR(IF(INDEX([1]Pivot!$BF$1:$CG$65000,$B1111,AP$5)=1,1,IF(INDEX([1]Pivot!$B$1:$AB$65000,$B1111,AP$5)="",2,0)),0)</f>
        <v>0</v>
      </c>
      <c r="AQ1111" s="313">
        <f>IFERROR(IF(INDEX([1]Pivot!$BF$1:$CG$65000,$B1111,AQ$5)=1,1,IF(INDEX([1]Pivot!$B$1:$AB$65000,$B1111,AQ$5)="",2,0)),0)</f>
        <v>0</v>
      </c>
      <c r="AR1111" s="313">
        <f>IFERROR(IF(INDEX([1]Pivot!$BF$1:$CG$65000,$B1111,AR$5)=1,1,IF(INDEX([1]Pivot!$B$1:$AB$65000,$B1111,AR$5)="",2,0)),0)</f>
        <v>0</v>
      </c>
      <c r="AS1111" s="312"/>
      <c r="AT1111" s="313">
        <f>IFERROR(IF(INDEX([1]Pivot!$BF$1:$CG$65000,$B1111,AT$5)=1,1,IF(INDEX([1]Pivot!$B$1:$AB$65000,$B1111,AT$5)="",2,0)),0)</f>
        <v>0</v>
      </c>
      <c r="AU1111" s="313">
        <f>IFERROR(IF(INDEX([1]Pivot!$BF$1:$CG$65000,$B1111,AU$5)=1,1,IF(INDEX([1]Pivot!$B$1:$AB$65000,$B1111,AU$5)="",2,0)),0)</f>
        <v>0</v>
      </c>
      <c r="AV1111" s="313">
        <f>IFERROR(IF(INDEX([1]Pivot!$BF$1:$CG$65000,$B1111,AV$5)=1,1,IF(INDEX([1]Pivot!$B$1:$AB$65000,$B1111,AV$5)="",2,0)),0)</f>
        <v>0</v>
      </c>
      <c r="AW1111" s="313">
        <f>IFERROR(IF(INDEX([1]Pivot!$BF$1:$CG$65000,$B1111,AW$5)=1,1,IF(INDEX([1]Pivot!$B$1:$AB$65000,$B1111,AW$5)="",2,0)),0)</f>
        <v>0</v>
      </c>
      <c r="AX1111" s="313">
        <f>IFERROR(IF(INDEX([1]Pivot!$BF$1:$CG$65000,$B1111,AX$5)=1,1,IF(INDEX([1]Pivot!$B$1:$AB$65000,$B1111,AX$5)="",2,0)),0)</f>
        <v>0</v>
      </c>
      <c r="AY1111" s="313">
        <f>IFERROR(IF(INDEX([1]Pivot!$BF$1:$CG$65000,$B1111,AY$5)=1,1,IF(INDEX([1]Pivot!$B$1:$AB$65000,$B1111,AY$5)="",2,0)),0)</f>
        <v>0</v>
      </c>
      <c r="AZ1111" s="313">
        <f>IFERROR(IF(INDEX([1]Pivot!$BF$1:$CG$65000,$B1111,AZ$5)=1,1,IF(INDEX([1]Pivot!$B$1:$AB$65000,$B1111,AZ$5)="",2,0)),0)</f>
        <v>0</v>
      </c>
      <c r="BA1111" s="313">
        <f>IFERROR(IF(INDEX([1]Pivot!$BF$1:$CG$65000,$B1111,BA$5)=1,1,IF(INDEX([1]Pivot!$B$1:$AB$65000,$B1111,BA$5)="",2,0)),0)</f>
        <v>0</v>
      </c>
      <c r="BB1111" s="313">
        <f>IFERROR(IF(INDEX([1]Pivot!$BF$1:$CG$65000,$B1111,BB$5)=1,1,IF(INDEX([1]Pivot!$B$1:$AB$65000,$B1111,BB$5)="",2,0)),0)</f>
        <v>0</v>
      </c>
      <c r="BC1111" s="313">
        <f>IFERROR(IF(INDEX([1]Pivot!$BF$1:$CG$65000,$B1111,BC$5)=1,1,IF(INDEX([1]Pivot!$B$1:$AB$65000,$B1111,BC$5)="",2,0)),0)</f>
        <v>0</v>
      </c>
      <c r="BD1111" s="313">
        <f>IFERROR(IF(INDEX([1]Pivot!$BF$1:$CG$65000,$B1111,BD$5)=1,1,IF(INDEX([1]Pivot!$B$1:$AB$65000,$B1111,BD$5)="",2,0)),0)</f>
        <v>0</v>
      </c>
    </row>
    <row r="1112" spans="1:56" x14ac:dyDescent="0.25">
      <c r="A1112" s="288">
        <f>'[2]Raw Milk Prices'!A1112</f>
        <v>0</v>
      </c>
      <c r="B1112" s="296" t="e">
        <f>MATCH(DATE(LEFT('[2]Raw Milk Prices'!$A1112,4),RIGHT('[2]Raw Milk Prices'!$A1112,2),1),[1]Pivot!$A$1:$A$65000,0)</f>
        <v>#VALUE!</v>
      </c>
      <c r="C1112" s="194">
        <f>IFERROR(IF(INDEX([1]Pivot!$AD$1:$BE$65000,$B1112,C$5)=1,1,IF(INDEX([1]Pivot!$B$1:$AB$65000,$B1112,C$5)="",2,0)),0)</f>
        <v>0</v>
      </c>
      <c r="D1112" s="194">
        <f>IFERROR(IF(INDEX([1]Pivot!$AD$1:$BE$65000,$B1112,D$5)=1,1,IF(INDEX([1]Pivot!$B$1:$AB$65000,$B1112,D$5)="",2,0)),0)</f>
        <v>0</v>
      </c>
      <c r="E1112" s="194">
        <f>IFERROR(IF(INDEX([1]Pivot!$AD$1:$BE$65000,$B1112,E$5)=1,1,IF(INDEX([1]Pivot!$B$1:$AB$65000,$B1112,E$5)="",2,0)),0)</f>
        <v>0</v>
      </c>
      <c r="F1112" s="194">
        <f>IFERROR(IF(INDEX([1]Pivot!$AD$1:$BE$65000,$B1112,F$5)=1,1,IF(INDEX([1]Pivot!$B$1:$AB$65000,$B1112,F$5)="",2,0)),0)</f>
        <v>0</v>
      </c>
      <c r="G1112" s="194">
        <f>IFERROR(IF(INDEX([1]Pivot!$AD$1:$BE$65000,$B1112,G$5)=1,1,IF(INDEX([1]Pivot!$B$1:$AB$65000,$B1112,G$5)="",2,0)),0)</f>
        <v>0</v>
      </c>
      <c r="H1112" s="194">
        <f>IFERROR(IF(INDEX([1]Pivot!$AD$1:$BE$65000,$B1112,H$5)=1,1,IF(INDEX([1]Pivot!$B$1:$AB$65000,$B1112,H$5)="",2,0)),0)</f>
        <v>0</v>
      </c>
      <c r="I1112" s="194">
        <f>IFERROR(IF(INDEX([1]Pivot!$AD$1:$BE$65000,$B1112,I$5)=1,1,IF(INDEX([1]Pivot!$B$1:$AB$65000,$B1112,I$5)="",2,0)),0)</f>
        <v>0</v>
      </c>
      <c r="J1112" s="194">
        <f>IFERROR(IF(INDEX([1]Pivot!$AD$1:$BE$65000,$B1112,J$5)=1,1,IF(INDEX([1]Pivot!$B$1:$AB$65000,$B1112,J$5)="",2,0)),0)</f>
        <v>0</v>
      </c>
      <c r="K1112" s="194">
        <f>IFERROR(IF(INDEX([1]Pivot!$AD$1:$BE$65000,$B1112,K$5)=1,1,IF(INDEX([1]Pivot!$B$1:$AB$65000,$B1112,K$5)="",2,0)),0)</f>
        <v>0</v>
      </c>
      <c r="L1112" s="194">
        <f>IFERROR(IF(INDEX([1]Pivot!$AD$1:$BE$65000,$B1112,L$5)=1,1,IF(INDEX([1]Pivot!$B$1:$AB$65000,$B1112,L$5)="",2,0)),0)</f>
        <v>0</v>
      </c>
      <c r="M1112" s="194">
        <f>IFERROR(IF(INDEX([1]Pivot!$AD$1:$BE$65000,$B1112,M$5)=1,1,IF(INDEX([1]Pivot!$B$1:$AB$65000,$B1112,M$5)="",2,0)),0)</f>
        <v>0</v>
      </c>
      <c r="N1112" s="194">
        <f>IFERROR(IF(INDEX([1]Pivot!$AD$1:$BE$65000,$B1112,N$5)=1,1,IF(INDEX([1]Pivot!$B$1:$AB$65000,$B1112,N$5)="",2,0)),0)</f>
        <v>0</v>
      </c>
      <c r="O1112" s="194">
        <f>IFERROR(IF(INDEX([1]Pivot!$AD$1:$BE$65000,$B1112,O$5)=1,1,IF(INDEX([1]Pivot!$B$1:$AB$65000,$B1112,O$5)="",2,0)),0)</f>
        <v>0</v>
      </c>
      <c r="P1112" s="194">
        <f>IFERROR(IF(INDEX([1]Pivot!$AD$1:$BE$65000,$B1112,P$5)=1,1,IF(INDEX([1]Pivot!$B$1:$AB$65000,$B1112,P$5)="",2,0)),0)</f>
        <v>0</v>
      </c>
      <c r="Q1112" s="194">
        <f>IFERROR(IF(INDEX([1]Pivot!$AD$1:$BE$65000,$B1112,Q$5)=1,1,IF(INDEX([1]Pivot!$B$1:$AB$65000,$B1112,Q$5)="",2,0)),0)</f>
        <v>0</v>
      </c>
      <c r="R1112" s="312"/>
      <c r="S1112" s="194">
        <f>IFERROR(IF(INDEX([1]Pivot!$AD$1:$BE$65000,$B1112,S$5)=1,1,IF(INDEX([1]Pivot!$B$1:$AB$65000,$B1112,S$5)="",2,0)),0)</f>
        <v>0</v>
      </c>
      <c r="T1112" s="194">
        <f>IFERROR(IF(INDEX([1]Pivot!$AD$1:$BE$65000,$B1112,T$5)=1,1,IF(INDEX([1]Pivot!$B$1:$AB$65000,$B1112,T$5)="",2,0)),0)</f>
        <v>0</v>
      </c>
      <c r="U1112" s="194">
        <f>IFERROR(IF(INDEX([1]Pivot!$AD$1:$BE$65000,$B1112,U$5)=1,1,IF(INDEX([1]Pivot!$B$1:$AB$65000,$B1112,U$5)="",2,0)),0)</f>
        <v>0</v>
      </c>
      <c r="V1112" s="194">
        <f>IFERROR(IF(INDEX([1]Pivot!$AD$1:$BE$65000,$B1112,V$5)=1,1,IF(INDEX([1]Pivot!$B$1:$AB$65000,$B1112,V$5)="",2,0)),0)</f>
        <v>0</v>
      </c>
      <c r="W1112" s="194">
        <f>IFERROR(IF(INDEX([1]Pivot!$AD$1:$BE$65000,$B1112,W$5)=1,1,IF(INDEX([1]Pivot!$B$1:$AB$65000,$B1112,W$5)="",2,0)),0)</f>
        <v>0</v>
      </c>
      <c r="X1112" s="194">
        <f>IFERROR(IF(INDEX([1]Pivot!$AD$1:$BE$65000,$B1112,X$5)=1,1,IF(INDEX([1]Pivot!$B$1:$AB$65000,$B1112,X$5)="",2,0)),0)</f>
        <v>0</v>
      </c>
      <c r="Y1112" s="194">
        <f>IFERROR(IF(INDEX([1]Pivot!$AD$1:$BE$65000,$B1112,Y$5)=1,1,IF(INDEX([1]Pivot!$B$1:$AB$65000,$B1112,Y$5)="",2,0)),0)</f>
        <v>0</v>
      </c>
      <c r="Z1112" s="194">
        <f>IFERROR(IF(INDEX([1]Pivot!$AD$1:$BE$65000,$B1112,Z$5)=1,1,IF(INDEX([1]Pivot!$B$1:$AB$65000,$B1112,Z$5)="",2,0)),0)</f>
        <v>0</v>
      </c>
      <c r="AA1112" s="194">
        <f>IFERROR(IF(INDEX([1]Pivot!$AD$1:$BE$65000,$B1112,AA$5)=1,1,IF(INDEX([1]Pivot!$B$1:$AB$65000,$B1112,AA$5)="",2,0)),0)</f>
        <v>0</v>
      </c>
      <c r="AB1112" s="194">
        <f>IFERROR(IF(INDEX([1]Pivot!$AD$1:$BE$65000,$B1112,AB$5)=1,1,IF(INDEX([1]Pivot!$B$1:$AB$65000,$B1112,AB$5)="",2,0)),0)</f>
        <v>0</v>
      </c>
      <c r="AC1112" s="194">
        <f>IFERROR(IF(INDEX([1]Pivot!$AD$1:$BE$65000,$B1112,AC$5)=1,1,IF(INDEX([1]Pivot!$B$1:$AB$65000,$B1112,AC$5)="",2,0)),0)</f>
        <v>0</v>
      </c>
      <c r="AD1112" s="313">
        <f>IFERROR(IF(INDEX([1]Pivot!$BF$1:$CG$65000,$B1112,AD$5)=1,1,IF(INDEX([1]Pivot!$B$1:$AB$65000,$B1112,AD$5)="",2,0)),0)</f>
        <v>0</v>
      </c>
      <c r="AE1112" s="313">
        <f>IFERROR(IF(INDEX([1]Pivot!$BF$1:$CG$65000,$B1112,AE$5)=1,1,IF(INDEX([1]Pivot!$B$1:$AB$65000,$B1112,AE$5)="",2,0)),0)</f>
        <v>0</v>
      </c>
      <c r="AF1112" s="313">
        <f>IFERROR(IF(INDEX([1]Pivot!$BF$1:$CG$65000,$B1112,AF$5)=1,1,IF(INDEX([1]Pivot!$B$1:$AB$65000,$B1112,AF$5)="",2,0)),0)</f>
        <v>0</v>
      </c>
      <c r="AG1112" s="313">
        <f>IFERROR(IF(INDEX([1]Pivot!$BF$1:$CG$65000,$B1112,AG$5)=1,1,IF(INDEX([1]Pivot!$B$1:$AB$65000,$B1112,AG$5)="",2,0)),0)</f>
        <v>0</v>
      </c>
      <c r="AH1112" s="313">
        <f>IFERROR(IF(INDEX([1]Pivot!$BF$1:$CG$65000,$B1112,AH$5)=1,1,IF(INDEX([1]Pivot!$B$1:$AB$65000,$B1112,AH$5)="",2,0)),0)</f>
        <v>0</v>
      </c>
      <c r="AI1112" s="313">
        <f>IFERROR(IF(INDEX([1]Pivot!$BF$1:$CG$65000,$B1112,AI$5)=1,1,IF(INDEX([1]Pivot!$B$1:$AB$65000,$B1112,AI$5)="",2,0)),0)</f>
        <v>0</v>
      </c>
      <c r="AJ1112" s="313">
        <f>IFERROR(IF(INDEX([1]Pivot!$BF$1:$CG$65000,$B1112,AJ$5)=1,1,IF(INDEX([1]Pivot!$B$1:$AB$65000,$B1112,AJ$5)="",2,0)),0)</f>
        <v>0</v>
      </c>
      <c r="AK1112" s="313">
        <f>IFERROR(IF(INDEX([1]Pivot!$BF$1:$CG$65000,$B1112,AK$5)=1,1,IF(INDEX([1]Pivot!$B$1:$AB$65000,$B1112,AK$5)="",2,0)),0)</f>
        <v>0</v>
      </c>
      <c r="AL1112" s="313">
        <f>IFERROR(IF(INDEX([1]Pivot!$BF$1:$CG$65000,$B1112,AL$5)=1,1,IF(INDEX([1]Pivot!$B$1:$AB$65000,$B1112,AL$5)="",2,0)),0)</f>
        <v>0</v>
      </c>
      <c r="AM1112" s="313">
        <f>IFERROR(IF(INDEX([1]Pivot!$BF$1:$CG$65000,$B1112,AM$5)=1,1,IF(INDEX([1]Pivot!$B$1:$AB$65000,$B1112,AM$5)="",2,0)),0)</f>
        <v>0</v>
      </c>
      <c r="AN1112" s="313">
        <f>IFERROR(IF(INDEX([1]Pivot!$BF$1:$CG$65000,$B1112,AN$5)=1,1,IF(INDEX([1]Pivot!$B$1:$AB$65000,$B1112,AN$5)="",2,0)),0)</f>
        <v>0</v>
      </c>
      <c r="AO1112" s="313">
        <f>IFERROR(IF(INDEX([1]Pivot!$BF$1:$CG$65000,$B1112,AO$5)=1,1,IF(INDEX([1]Pivot!$B$1:$AB$65000,$B1112,AO$5)="",2,0)),0)</f>
        <v>0</v>
      </c>
      <c r="AP1112" s="313">
        <f>IFERROR(IF(INDEX([1]Pivot!$BF$1:$CG$65000,$B1112,AP$5)=1,1,IF(INDEX([1]Pivot!$B$1:$AB$65000,$B1112,AP$5)="",2,0)),0)</f>
        <v>0</v>
      </c>
      <c r="AQ1112" s="313">
        <f>IFERROR(IF(INDEX([1]Pivot!$BF$1:$CG$65000,$B1112,AQ$5)=1,1,IF(INDEX([1]Pivot!$B$1:$AB$65000,$B1112,AQ$5)="",2,0)),0)</f>
        <v>0</v>
      </c>
      <c r="AR1112" s="313">
        <f>IFERROR(IF(INDEX([1]Pivot!$BF$1:$CG$65000,$B1112,AR$5)=1,1,IF(INDEX([1]Pivot!$B$1:$AB$65000,$B1112,AR$5)="",2,0)),0)</f>
        <v>0</v>
      </c>
      <c r="AS1112" s="312"/>
      <c r="AT1112" s="313">
        <f>IFERROR(IF(INDEX([1]Pivot!$BF$1:$CG$65000,$B1112,AT$5)=1,1,IF(INDEX([1]Pivot!$B$1:$AB$65000,$B1112,AT$5)="",2,0)),0)</f>
        <v>0</v>
      </c>
      <c r="AU1112" s="313">
        <f>IFERROR(IF(INDEX([1]Pivot!$BF$1:$CG$65000,$B1112,AU$5)=1,1,IF(INDEX([1]Pivot!$B$1:$AB$65000,$B1112,AU$5)="",2,0)),0)</f>
        <v>0</v>
      </c>
      <c r="AV1112" s="313">
        <f>IFERROR(IF(INDEX([1]Pivot!$BF$1:$CG$65000,$B1112,AV$5)=1,1,IF(INDEX([1]Pivot!$B$1:$AB$65000,$B1112,AV$5)="",2,0)),0)</f>
        <v>0</v>
      </c>
      <c r="AW1112" s="313">
        <f>IFERROR(IF(INDEX([1]Pivot!$BF$1:$CG$65000,$B1112,AW$5)=1,1,IF(INDEX([1]Pivot!$B$1:$AB$65000,$B1112,AW$5)="",2,0)),0)</f>
        <v>0</v>
      </c>
      <c r="AX1112" s="313">
        <f>IFERROR(IF(INDEX([1]Pivot!$BF$1:$CG$65000,$B1112,AX$5)=1,1,IF(INDEX([1]Pivot!$B$1:$AB$65000,$B1112,AX$5)="",2,0)),0)</f>
        <v>0</v>
      </c>
      <c r="AY1112" s="313">
        <f>IFERROR(IF(INDEX([1]Pivot!$BF$1:$CG$65000,$B1112,AY$5)=1,1,IF(INDEX([1]Pivot!$B$1:$AB$65000,$B1112,AY$5)="",2,0)),0)</f>
        <v>0</v>
      </c>
      <c r="AZ1112" s="313">
        <f>IFERROR(IF(INDEX([1]Pivot!$BF$1:$CG$65000,$B1112,AZ$5)=1,1,IF(INDEX([1]Pivot!$B$1:$AB$65000,$B1112,AZ$5)="",2,0)),0)</f>
        <v>0</v>
      </c>
      <c r="BA1112" s="313">
        <f>IFERROR(IF(INDEX([1]Pivot!$BF$1:$CG$65000,$B1112,BA$5)=1,1,IF(INDEX([1]Pivot!$B$1:$AB$65000,$B1112,BA$5)="",2,0)),0)</f>
        <v>0</v>
      </c>
      <c r="BB1112" s="313">
        <f>IFERROR(IF(INDEX([1]Pivot!$BF$1:$CG$65000,$B1112,BB$5)=1,1,IF(INDEX([1]Pivot!$B$1:$AB$65000,$B1112,BB$5)="",2,0)),0)</f>
        <v>0</v>
      </c>
      <c r="BC1112" s="313">
        <f>IFERROR(IF(INDEX([1]Pivot!$BF$1:$CG$65000,$B1112,BC$5)=1,1,IF(INDEX([1]Pivot!$B$1:$AB$65000,$B1112,BC$5)="",2,0)),0)</f>
        <v>0</v>
      </c>
      <c r="BD1112" s="313">
        <f>IFERROR(IF(INDEX([1]Pivot!$BF$1:$CG$65000,$B1112,BD$5)=1,1,IF(INDEX([1]Pivot!$B$1:$AB$65000,$B1112,BD$5)="",2,0)),0)</f>
        <v>0</v>
      </c>
    </row>
    <row r="1113" spans="1:56" x14ac:dyDescent="0.25">
      <c r="A1113" s="288">
        <f>'[2]Raw Milk Prices'!A1113</f>
        <v>0</v>
      </c>
      <c r="B1113" s="296" t="e">
        <f>MATCH(DATE(LEFT('[2]Raw Milk Prices'!$A1113,4),RIGHT('[2]Raw Milk Prices'!$A1113,2),1),[1]Pivot!$A$1:$A$65000,0)</f>
        <v>#VALUE!</v>
      </c>
      <c r="C1113" s="194">
        <f>IFERROR(IF(INDEX([1]Pivot!$AD$1:$BE$65000,$B1113,C$5)=1,1,IF(INDEX([1]Pivot!$B$1:$AB$65000,$B1113,C$5)="",2,0)),0)</f>
        <v>0</v>
      </c>
      <c r="D1113" s="194">
        <f>IFERROR(IF(INDEX([1]Pivot!$AD$1:$BE$65000,$B1113,D$5)=1,1,IF(INDEX([1]Pivot!$B$1:$AB$65000,$B1113,D$5)="",2,0)),0)</f>
        <v>0</v>
      </c>
      <c r="E1113" s="194">
        <f>IFERROR(IF(INDEX([1]Pivot!$AD$1:$BE$65000,$B1113,E$5)=1,1,IF(INDEX([1]Pivot!$B$1:$AB$65000,$B1113,E$5)="",2,0)),0)</f>
        <v>0</v>
      </c>
      <c r="F1113" s="194">
        <f>IFERROR(IF(INDEX([1]Pivot!$AD$1:$BE$65000,$B1113,F$5)=1,1,IF(INDEX([1]Pivot!$B$1:$AB$65000,$B1113,F$5)="",2,0)),0)</f>
        <v>0</v>
      </c>
      <c r="G1113" s="194">
        <f>IFERROR(IF(INDEX([1]Pivot!$AD$1:$BE$65000,$B1113,G$5)=1,1,IF(INDEX([1]Pivot!$B$1:$AB$65000,$B1113,G$5)="",2,0)),0)</f>
        <v>0</v>
      </c>
      <c r="H1113" s="194">
        <f>IFERROR(IF(INDEX([1]Pivot!$AD$1:$BE$65000,$B1113,H$5)=1,1,IF(INDEX([1]Pivot!$B$1:$AB$65000,$B1113,H$5)="",2,0)),0)</f>
        <v>0</v>
      </c>
      <c r="I1113" s="194">
        <f>IFERROR(IF(INDEX([1]Pivot!$AD$1:$BE$65000,$B1113,I$5)=1,1,IF(INDEX([1]Pivot!$B$1:$AB$65000,$B1113,I$5)="",2,0)),0)</f>
        <v>0</v>
      </c>
      <c r="J1113" s="194">
        <f>IFERROR(IF(INDEX([1]Pivot!$AD$1:$BE$65000,$B1113,J$5)=1,1,IF(INDEX([1]Pivot!$B$1:$AB$65000,$B1113,J$5)="",2,0)),0)</f>
        <v>0</v>
      </c>
      <c r="K1113" s="194">
        <f>IFERROR(IF(INDEX([1]Pivot!$AD$1:$BE$65000,$B1113,K$5)=1,1,IF(INDEX([1]Pivot!$B$1:$AB$65000,$B1113,K$5)="",2,0)),0)</f>
        <v>0</v>
      </c>
      <c r="L1113" s="194">
        <f>IFERROR(IF(INDEX([1]Pivot!$AD$1:$BE$65000,$B1113,L$5)=1,1,IF(INDEX([1]Pivot!$B$1:$AB$65000,$B1113,L$5)="",2,0)),0)</f>
        <v>0</v>
      </c>
      <c r="M1113" s="194">
        <f>IFERROR(IF(INDEX([1]Pivot!$AD$1:$BE$65000,$B1113,M$5)=1,1,IF(INDEX([1]Pivot!$B$1:$AB$65000,$B1113,M$5)="",2,0)),0)</f>
        <v>0</v>
      </c>
      <c r="N1113" s="194">
        <f>IFERROR(IF(INDEX([1]Pivot!$AD$1:$BE$65000,$B1113,N$5)=1,1,IF(INDEX([1]Pivot!$B$1:$AB$65000,$B1113,N$5)="",2,0)),0)</f>
        <v>0</v>
      </c>
      <c r="O1113" s="194">
        <f>IFERROR(IF(INDEX([1]Pivot!$AD$1:$BE$65000,$B1113,O$5)=1,1,IF(INDEX([1]Pivot!$B$1:$AB$65000,$B1113,O$5)="",2,0)),0)</f>
        <v>0</v>
      </c>
      <c r="P1113" s="194">
        <f>IFERROR(IF(INDEX([1]Pivot!$AD$1:$BE$65000,$B1113,P$5)=1,1,IF(INDEX([1]Pivot!$B$1:$AB$65000,$B1113,P$5)="",2,0)),0)</f>
        <v>0</v>
      </c>
      <c r="Q1113" s="194">
        <f>IFERROR(IF(INDEX([1]Pivot!$AD$1:$BE$65000,$B1113,Q$5)=1,1,IF(INDEX([1]Pivot!$B$1:$AB$65000,$B1113,Q$5)="",2,0)),0)</f>
        <v>0</v>
      </c>
      <c r="R1113" s="312"/>
      <c r="S1113" s="194">
        <f>IFERROR(IF(INDEX([1]Pivot!$AD$1:$BE$65000,$B1113,S$5)=1,1,IF(INDEX([1]Pivot!$B$1:$AB$65000,$B1113,S$5)="",2,0)),0)</f>
        <v>0</v>
      </c>
      <c r="T1113" s="194">
        <f>IFERROR(IF(INDEX([1]Pivot!$AD$1:$BE$65000,$B1113,T$5)=1,1,IF(INDEX([1]Pivot!$B$1:$AB$65000,$B1113,T$5)="",2,0)),0)</f>
        <v>0</v>
      </c>
      <c r="U1113" s="194">
        <f>IFERROR(IF(INDEX([1]Pivot!$AD$1:$BE$65000,$B1113,U$5)=1,1,IF(INDEX([1]Pivot!$B$1:$AB$65000,$B1113,U$5)="",2,0)),0)</f>
        <v>0</v>
      </c>
      <c r="V1113" s="194">
        <f>IFERROR(IF(INDEX([1]Pivot!$AD$1:$BE$65000,$B1113,V$5)=1,1,IF(INDEX([1]Pivot!$B$1:$AB$65000,$B1113,V$5)="",2,0)),0)</f>
        <v>0</v>
      </c>
      <c r="W1113" s="194">
        <f>IFERROR(IF(INDEX([1]Pivot!$AD$1:$BE$65000,$B1113,W$5)=1,1,IF(INDEX([1]Pivot!$B$1:$AB$65000,$B1113,W$5)="",2,0)),0)</f>
        <v>0</v>
      </c>
      <c r="X1113" s="194">
        <f>IFERROR(IF(INDEX([1]Pivot!$AD$1:$BE$65000,$B1113,X$5)=1,1,IF(INDEX([1]Pivot!$B$1:$AB$65000,$B1113,X$5)="",2,0)),0)</f>
        <v>0</v>
      </c>
      <c r="Y1113" s="194">
        <f>IFERROR(IF(INDEX([1]Pivot!$AD$1:$BE$65000,$B1113,Y$5)=1,1,IF(INDEX([1]Pivot!$B$1:$AB$65000,$B1113,Y$5)="",2,0)),0)</f>
        <v>0</v>
      </c>
      <c r="Z1113" s="194">
        <f>IFERROR(IF(INDEX([1]Pivot!$AD$1:$BE$65000,$B1113,Z$5)=1,1,IF(INDEX([1]Pivot!$B$1:$AB$65000,$B1113,Z$5)="",2,0)),0)</f>
        <v>0</v>
      </c>
      <c r="AA1113" s="194">
        <f>IFERROR(IF(INDEX([1]Pivot!$AD$1:$BE$65000,$B1113,AA$5)=1,1,IF(INDEX([1]Pivot!$B$1:$AB$65000,$B1113,AA$5)="",2,0)),0)</f>
        <v>0</v>
      </c>
      <c r="AB1113" s="194">
        <f>IFERROR(IF(INDEX([1]Pivot!$AD$1:$BE$65000,$B1113,AB$5)=1,1,IF(INDEX([1]Pivot!$B$1:$AB$65000,$B1113,AB$5)="",2,0)),0)</f>
        <v>0</v>
      </c>
      <c r="AC1113" s="194">
        <f>IFERROR(IF(INDEX([1]Pivot!$AD$1:$BE$65000,$B1113,AC$5)=1,1,IF(INDEX([1]Pivot!$B$1:$AB$65000,$B1113,AC$5)="",2,0)),0)</f>
        <v>0</v>
      </c>
      <c r="AD1113" s="313">
        <f>IFERROR(IF(INDEX([1]Pivot!$BF$1:$CG$65000,$B1113,AD$5)=1,1,IF(INDEX([1]Pivot!$B$1:$AB$65000,$B1113,AD$5)="",2,0)),0)</f>
        <v>0</v>
      </c>
      <c r="AE1113" s="313">
        <f>IFERROR(IF(INDEX([1]Pivot!$BF$1:$CG$65000,$B1113,AE$5)=1,1,IF(INDEX([1]Pivot!$B$1:$AB$65000,$B1113,AE$5)="",2,0)),0)</f>
        <v>0</v>
      </c>
      <c r="AF1113" s="313">
        <f>IFERROR(IF(INDEX([1]Pivot!$BF$1:$CG$65000,$B1113,AF$5)=1,1,IF(INDEX([1]Pivot!$B$1:$AB$65000,$B1113,AF$5)="",2,0)),0)</f>
        <v>0</v>
      </c>
      <c r="AG1113" s="313">
        <f>IFERROR(IF(INDEX([1]Pivot!$BF$1:$CG$65000,$B1113,AG$5)=1,1,IF(INDEX([1]Pivot!$B$1:$AB$65000,$B1113,AG$5)="",2,0)),0)</f>
        <v>0</v>
      </c>
      <c r="AH1113" s="313">
        <f>IFERROR(IF(INDEX([1]Pivot!$BF$1:$CG$65000,$B1113,AH$5)=1,1,IF(INDEX([1]Pivot!$B$1:$AB$65000,$B1113,AH$5)="",2,0)),0)</f>
        <v>0</v>
      </c>
      <c r="AI1113" s="313">
        <f>IFERROR(IF(INDEX([1]Pivot!$BF$1:$CG$65000,$B1113,AI$5)=1,1,IF(INDEX([1]Pivot!$B$1:$AB$65000,$B1113,AI$5)="",2,0)),0)</f>
        <v>0</v>
      </c>
      <c r="AJ1113" s="313">
        <f>IFERROR(IF(INDEX([1]Pivot!$BF$1:$CG$65000,$B1113,AJ$5)=1,1,IF(INDEX([1]Pivot!$B$1:$AB$65000,$B1113,AJ$5)="",2,0)),0)</f>
        <v>0</v>
      </c>
      <c r="AK1113" s="313">
        <f>IFERROR(IF(INDEX([1]Pivot!$BF$1:$CG$65000,$B1113,AK$5)=1,1,IF(INDEX([1]Pivot!$B$1:$AB$65000,$B1113,AK$5)="",2,0)),0)</f>
        <v>0</v>
      </c>
      <c r="AL1113" s="313">
        <f>IFERROR(IF(INDEX([1]Pivot!$BF$1:$CG$65000,$B1113,AL$5)=1,1,IF(INDEX([1]Pivot!$B$1:$AB$65000,$B1113,AL$5)="",2,0)),0)</f>
        <v>0</v>
      </c>
      <c r="AM1113" s="313">
        <f>IFERROR(IF(INDEX([1]Pivot!$BF$1:$CG$65000,$B1113,AM$5)=1,1,IF(INDEX([1]Pivot!$B$1:$AB$65000,$B1113,AM$5)="",2,0)),0)</f>
        <v>0</v>
      </c>
      <c r="AN1113" s="313">
        <f>IFERROR(IF(INDEX([1]Pivot!$BF$1:$CG$65000,$B1113,AN$5)=1,1,IF(INDEX([1]Pivot!$B$1:$AB$65000,$B1113,AN$5)="",2,0)),0)</f>
        <v>0</v>
      </c>
      <c r="AO1113" s="313">
        <f>IFERROR(IF(INDEX([1]Pivot!$BF$1:$CG$65000,$B1113,AO$5)=1,1,IF(INDEX([1]Pivot!$B$1:$AB$65000,$B1113,AO$5)="",2,0)),0)</f>
        <v>0</v>
      </c>
      <c r="AP1113" s="313">
        <f>IFERROR(IF(INDEX([1]Pivot!$BF$1:$CG$65000,$B1113,AP$5)=1,1,IF(INDEX([1]Pivot!$B$1:$AB$65000,$B1113,AP$5)="",2,0)),0)</f>
        <v>0</v>
      </c>
      <c r="AQ1113" s="313">
        <f>IFERROR(IF(INDEX([1]Pivot!$BF$1:$CG$65000,$B1113,AQ$5)=1,1,IF(INDEX([1]Pivot!$B$1:$AB$65000,$B1113,AQ$5)="",2,0)),0)</f>
        <v>0</v>
      </c>
      <c r="AR1113" s="313">
        <f>IFERROR(IF(INDEX([1]Pivot!$BF$1:$CG$65000,$B1113,AR$5)=1,1,IF(INDEX([1]Pivot!$B$1:$AB$65000,$B1113,AR$5)="",2,0)),0)</f>
        <v>0</v>
      </c>
      <c r="AS1113" s="312"/>
      <c r="AT1113" s="313">
        <f>IFERROR(IF(INDEX([1]Pivot!$BF$1:$CG$65000,$B1113,AT$5)=1,1,IF(INDEX([1]Pivot!$B$1:$AB$65000,$B1113,AT$5)="",2,0)),0)</f>
        <v>0</v>
      </c>
      <c r="AU1113" s="313">
        <f>IFERROR(IF(INDEX([1]Pivot!$BF$1:$CG$65000,$B1113,AU$5)=1,1,IF(INDEX([1]Pivot!$B$1:$AB$65000,$B1113,AU$5)="",2,0)),0)</f>
        <v>0</v>
      </c>
      <c r="AV1113" s="313">
        <f>IFERROR(IF(INDEX([1]Pivot!$BF$1:$CG$65000,$B1113,AV$5)=1,1,IF(INDEX([1]Pivot!$B$1:$AB$65000,$B1113,AV$5)="",2,0)),0)</f>
        <v>0</v>
      </c>
      <c r="AW1113" s="313">
        <f>IFERROR(IF(INDEX([1]Pivot!$BF$1:$CG$65000,$B1113,AW$5)=1,1,IF(INDEX([1]Pivot!$B$1:$AB$65000,$B1113,AW$5)="",2,0)),0)</f>
        <v>0</v>
      </c>
      <c r="AX1113" s="313">
        <f>IFERROR(IF(INDEX([1]Pivot!$BF$1:$CG$65000,$B1113,AX$5)=1,1,IF(INDEX([1]Pivot!$B$1:$AB$65000,$B1113,AX$5)="",2,0)),0)</f>
        <v>0</v>
      </c>
      <c r="AY1113" s="313">
        <f>IFERROR(IF(INDEX([1]Pivot!$BF$1:$CG$65000,$B1113,AY$5)=1,1,IF(INDEX([1]Pivot!$B$1:$AB$65000,$B1113,AY$5)="",2,0)),0)</f>
        <v>0</v>
      </c>
      <c r="AZ1113" s="313">
        <f>IFERROR(IF(INDEX([1]Pivot!$BF$1:$CG$65000,$B1113,AZ$5)=1,1,IF(INDEX([1]Pivot!$B$1:$AB$65000,$B1113,AZ$5)="",2,0)),0)</f>
        <v>0</v>
      </c>
      <c r="BA1113" s="313">
        <f>IFERROR(IF(INDEX([1]Pivot!$BF$1:$CG$65000,$B1113,BA$5)=1,1,IF(INDEX([1]Pivot!$B$1:$AB$65000,$B1113,BA$5)="",2,0)),0)</f>
        <v>0</v>
      </c>
      <c r="BB1113" s="313">
        <f>IFERROR(IF(INDEX([1]Pivot!$BF$1:$CG$65000,$B1113,BB$5)=1,1,IF(INDEX([1]Pivot!$B$1:$AB$65000,$B1113,BB$5)="",2,0)),0)</f>
        <v>0</v>
      </c>
      <c r="BC1113" s="313">
        <f>IFERROR(IF(INDEX([1]Pivot!$BF$1:$CG$65000,$B1113,BC$5)=1,1,IF(INDEX([1]Pivot!$B$1:$AB$65000,$B1113,BC$5)="",2,0)),0)</f>
        <v>0</v>
      </c>
      <c r="BD1113" s="313">
        <f>IFERROR(IF(INDEX([1]Pivot!$BF$1:$CG$65000,$B1113,BD$5)=1,1,IF(INDEX([1]Pivot!$B$1:$AB$65000,$B1113,BD$5)="",2,0)),0)</f>
        <v>0</v>
      </c>
    </row>
    <row r="1114" spans="1:56" x14ac:dyDescent="0.25">
      <c r="A1114" s="288">
        <f>'[2]Raw Milk Prices'!A1114</f>
        <v>0</v>
      </c>
      <c r="B1114" s="296" t="e">
        <f>MATCH(DATE(LEFT('[2]Raw Milk Prices'!$A1114,4),RIGHT('[2]Raw Milk Prices'!$A1114,2),1),[1]Pivot!$A$1:$A$65000,0)</f>
        <v>#VALUE!</v>
      </c>
      <c r="C1114" s="194">
        <f>IFERROR(IF(INDEX([1]Pivot!$AD$1:$BE$65000,$B1114,C$5)=1,1,IF(INDEX([1]Pivot!$B$1:$AB$65000,$B1114,C$5)="",2,0)),0)</f>
        <v>0</v>
      </c>
      <c r="D1114" s="194">
        <f>IFERROR(IF(INDEX([1]Pivot!$AD$1:$BE$65000,$B1114,D$5)=1,1,IF(INDEX([1]Pivot!$B$1:$AB$65000,$B1114,D$5)="",2,0)),0)</f>
        <v>0</v>
      </c>
      <c r="E1114" s="194">
        <f>IFERROR(IF(INDEX([1]Pivot!$AD$1:$BE$65000,$B1114,E$5)=1,1,IF(INDEX([1]Pivot!$B$1:$AB$65000,$B1114,E$5)="",2,0)),0)</f>
        <v>0</v>
      </c>
      <c r="F1114" s="194">
        <f>IFERROR(IF(INDEX([1]Pivot!$AD$1:$BE$65000,$B1114,F$5)=1,1,IF(INDEX([1]Pivot!$B$1:$AB$65000,$B1114,F$5)="",2,0)),0)</f>
        <v>0</v>
      </c>
      <c r="G1114" s="194">
        <f>IFERROR(IF(INDEX([1]Pivot!$AD$1:$BE$65000,$B1114,G$5)=1,1,IF(INDEX([1]Pivot!$B$1:$AB$65000,$B1114,G$5)="",2,0)),0)</f>
        <v>0</v>
      </c>
      <c r="H1114" s="194">
        <f>IFERROR(IF(INDEX([1]Pivot!$AD$1:$BE$65000,$B1114,H$5)=1,1,IF(INDEX([1]Pivot!$B$1:$AB$65000,$B1114,H$5)="",2,0)),0)</f>
        <v>0</v>
      </c>
      <c r="I1114" s="194">
        <f>IFERROR(IF(INDEX([1]Pivot!$AD$1:$BE$65000,$B1114,I$5)=1,1,IF(INDEX([1]Pivot!$B$1:$AB$65000,$B1114,I$5)="",2,0)),0)</f>
        <v>0</v>
      </c>
      <c r="J1114" s="194">
        <f>IFERROR(IF(INDEX([1]Pivot!$AD$1:$BE$65000,$B1114,J$5)=1,1,IF(INDEX([1]Pivot!$B$1:$AB$65000,$B1114,J$5)="",2,0)),0)</f>
        <v>0</v>
      </c>
      <c r="K1114" s="194">
        <f>IFERROR(IF(INDEX([1]Pivot!$AD$1:$BE$65000,$B1114,K$5)=1,1,IF(INDEX([1]Pivot!$B$1:$AB$65000,$B1114,K$5)="",2,0)),0)</f>
        <v>0</v>
      </c>
      <c r="L1114" s="194">
        <f>IFERROR(IF(INDEX([1]Pivot!$AD$1:$BE$65000,$B1114,L$5)=1,1,IF(INDEX([1]Pivot!$B$1:$AB$65000,$B1114,L$5)="",2,0)),0)</f>
        <v>0</v>
      </c>
      <c r="M1114" s="194">
        <f>IFERROR(IF(INDEX([1]Pivot!$AD$1:$BE$65000,$B1114,M$5)=1,1,IF(INDEX([1]Pivot!$B$1:$AB$65000,$B1114,M$5)="",2,0)),0)</f>
        <v>0</v>
      </c>
      <c r="N1114" s="194">
        <f>IFERROR(IF(INDEX([1]Pivot!$AD$1:$BE$65000,$B1114,N$5)=1,1,IF(INDEX([1]Pivot!$B$1:$AB$65000,$B1114,N$5)="",2,0)),0)</f>
        <v>0</v>
      </c>
      <c r="O1114" s="194">
        <f>IFERROR(IF(INDEX([1]Pivot!$AD$1:$BE$65000,$B1114,O$5)=1,1,IF(INDEX([1]Pivot!$B$1:$AB$65000,$B1114,O$5)="",2,0)),0)</f>
        <v>0</v>
      </c>
      <c r="P1114" s="194">
        <f>IFERROR(IF(INDEX([1]Pivot!$AD$1:$BE$65000,$B1114,P$5)=1,1,IF(INDEX([1]Pivot!$B$1:$AB$65000,$B1114,P$5)="",2,0)),0)</f>
        <v>0</v>
      </c>
      <c r="Q1114" s="194">
        <f>IFERROR(IF(INDEX([1]Pivot!$AD$1:$BE$65000,$B1114,Q$5)=1,1,IF(INDEX([1]Pivot!$B$1:$AB$65000,$B1114,Q$5)="",2,0)),0)</f>
        <v>0</v>
      </c>
      <c r="R1114" s="312"/>
      <c r="S1114" s="194">
        <f>IFERROR(IF(INDEX([1]Pivot!$AD$1:$BE$65000,$B1114,S$5)=1,1,IF(INDEX([1]Pivot!$B$1:$AB$65000,$B1114,S$5)="",2,0)),0)</f>
        <v>0</v>
      </c>
      <c r="T1114" s="194">
        <f>IFERROR(IF(INDEX([1]Pivot!$AD$1:$BE$65000,$B1114,T$5)=1,1,IF(INDEX([1]Pivot!$B$1:$AB$65000,$B1114,T$5)="",2,0)),0)</f>
        <v>0</v>
      </c>
      <c r="U1114" s="194">
        <f>IFERROR(IF(INDEX([1]Pivot!$AD$1:$BE$65000,$B1114,U$5)=1,1,IF(INDEX([1]Pivot!$B$1:$AB$65000,$B1114,U$5)="",2,0)),0)</f>
        <v>0</v>
      </c>
      <c r="V1114" s="194">
        <f>IFERROR(IF(INDEX([1]Pivot!$AD$1:$BE$65000,$B1114,V$5)=1,1,IF(INDEX([1]Pivot!$B$1:$AB$65000,$B1114,V$5)="",2,0)),0)</f>
        <v>0</v>
      </c>
      <c r="W1114" s="194">
        <f>IFERROR(IF(INDEX([1]Pivot!$AD$1:$BE$65000,$B1114,W$5)=1,1,IF(INDEX([1]Pivot!$B$1:$AB$65000,$B1114,W$5)="",2,0)),0)</f>
        <v>0</v>
      </c>
      <c r="X1114" s="194">
        <f>IFERROR(IF(INDEX([1]Pivot!$AD$1:$BE$65000,$B1114,X$5)=1,1,IF(INDEX([1]Pivot!$B$1:$AB$65000,$B1114,X$5)="",2,0)),0)</f>
        <v>0</v>
      </c>
      <c r="Y1114" s="194">
        <f>IFERROR(IF(INDEX([1]Pivot!$AD$1:$BE$65000,$B1114,Y$5)=1,1,IF(INDEX([1]Pivot!$B$1:$AB$65000,$B1114,Y$5)="",2,0)),0)</f>
        <v>0</v>
      </c>
      <c r="Z1114" s="194">
        <f>IFERROR(IF(INDEX([1]Pivot!$AD$1:$BE$65000,$B1114,Z$5)=1,1,IF(INDEX([1]Pivot!$B$1:$AB$65000,$B1114,Z$5)="",2,0)),0)</f>
        <v>0</v>
      </c>
      <c r="AA1114" s="194">
        <f>IFERROR(IF(INDEX([1]Pivot!$AD$1:$BE$65000,$B1114,AA$5)=1,1,IF(INDEX([1]Pivot!$B$1:$AB$65000,$B1114,AA$5)="",2,0)),0)</f>
        <v>0</v>
      </c>
      <c r="AB1114" s="194">
        <f>IFERROR(IF(INDEX([1]Pivot!$AD$1:$BE$65000,$B1114,AB$5)=1,1,IF(INDEX([1]Pivot!$B$1:$AB$65000,$B1114,AB$5)="",2,0)),0)</f>
        <v>0</v>
      </c>
      <c r="AC1114" s="194">
        <f>IFERROR(IF(INDEX([1]Pivot!$AD$1:$BE$65000,$B1114,AC$5)=1,1,IF(INDEX([1]Pivot!$B$1:$AB$65000,$B1114,AC$5)="",2,0)),0)</f>
        <v>0</v>
      </c>
      <c r="AD1114" s="313">
        <f>IFERROR(IF(INDEX([1]Pivot!$BF$1:$CG$65000,$B1114,AD$5)=1,1,IF(INDEX([1]Pivot!$B$1:$AB$65000,$B1114,AD$5)="",2,0)),0)</f>
        <v>0</v>
      </c>
      <c r="AE1114" s="313">
        <f>IFERROR(IF(INDEX([1]Pivot!$BF$1:$CG$65000,$B1114,AE$5)=1,1,IF(INDEX([1]Pivot!$B$1:$AB$65000,$B1114,AE$5)="",2,0)),0)</f>
        <v>0</v>
      </c>
      <c r="AF1114" s="313">
        <f>IFERROR(IF(INDEX([1]Pivot!$BF$1:$CG$65000,$B1114,AF$5)=1,1,IF(INDEX([1]Pivot!$B$1:$AB$65000,$B1114,AF$5)="",2,0)),0)</f>
        <v>0</v>
      </c>
      <c r="AG1114" s="313">
        <f>IFERROR(IF(INDEX([1]Pivot!$BF$1:$CG$65000,$B1114,AG$5)=1,1,IF(INDEX([1]Pivot!$B$1:$AB$65000,$B1114,AG$5)="",2,0)),0)</f>
        <v>0</v>
      </c>
      <c r="AH1114" s="313">
        <f>IFERROR(IF(INDEX([1]Pivot!$BF$1:$CG$65000,$B1114,AH$5)=1,1,IF(INDEX([1]Pivot!$B$1:$AB$65000,$B1114,AH$5)="",2,0)),0)</f>
        <v>0</v>
      </c>
      <c r="AI1114" s="313">
        <f>IFERROR(IF(INDEX([1]Pivot!$BF$1:$CG$65000,$B1114,AI$5)=1,1,IF(INDEX([1]Pivot!$B$1:$AB$65000,$B1114,AI$5)="",2,0)),0)</f>
        <v>0</v>
      </c>
      <c r="AJ1114" s="313">
        <f>IFERROR(IF(INDEX([1]Pivot!$BF$1:$CG$65000,$B1114,AJ$5)=1,1,IF(INDEX([1]Pivot!$B$1:$AB$65000,$B1114,AJ$5)="",2,0)),0)</f>
        <v>0</v>
      </c>
      <c r="AK1114" s="313">
        <f>IFERROR(IF(INDEX([1]Pivot!$BF$1:$CG$65000,$B1114,AK$5)=1,1,IF(INDEX([1]Pivot!$B$1:$AB$65000,$B1114,AK$5)="",2,0)),0)</f>
        <v>0</v>
      </c>
      <c r="AL1114" s="313">
        <f>IFERROR(IF(INDEX([1]Pivot!$BF$1:$CG$65000,$B1114,AL$5)=1,1,IF(INDEX([1]Pivot!$B$1:$AB$65000,$B1114,AL$5)="",2,0)),0)</f>
        <v>0</v>
      </c>
      <c r="AM1114" s="313">
        <f>IFERROR(IF(INDEX([1]Pivot!$BF$1:$CG$65000,$B1114,AM$5)=1,1,IF(INDEX([1]Pivot!$B$1:$AB$65000,$B1114,AM$5)="",2,0)),0)</f>
        <v>0</v>
      </c>
      <c r="AN1114" s="313">
        <f>IFERROR(IF(INDEX([1]Pivot!$BF$1:$CG$65000,$B1114,AN$5)=1,1,IF(INDEX([1]Pivot!$B$1:$AB$65000,$B1114,AN$5)="",2,0)),0)</f>
        <v>0</v>
      </c>
      <c r="AO1114" s="313">
        <f>IFERROR(IF(INDEX([1]Pivot!$BF$1:$CG$65000,$B1114,AO$5)=1,1,IF(INDEX([1]Pivot!$B$1:$AB$65000,$B1114,AO$5)="",2,0)),0)</f>
        <v>0</v>
      </c>
      <c r="AP1114" s="313">
        <f>IFERROR(IF(INDEX([1]Pivot!$BF$1:$CG$65000,$B1114,AP$5)=1,1,IF(INDEX([1]Pivot!$B$1:$AB$65000,$B1114,AP$5)="",2,0)),0)</f>
        <v>0</v>
      </c>
      <c r="AQ1114" s="313">
        <f>IFERROR(IF(INDEX([1]Pivot!$BF$1:$CG$65000,$B1114,AQ$5)=1,1,IF(INDEX([1]Pivot!$B$1:$AB$65000,$B1114,AQ$5)="",2,0)),0)</f>
        <v>0</v>
      </c>
      <c r="AR1114" s="313">
        <f>IFERROR(IF(INDEX([1]Pivot!$BF$1:$CG$65000,$B1114,AR$5)=1,1,IF(INDEX([1]Pivot!$B$1:$AB$65000,$B1114,AR$5)="",2,0)),0)</f>
        <v>0</v>
      </c>
      <c r="AS1114" s="312"/>
      <c r="AT1114" s="313">
        <f>IFERROR(IF(INDEX([1]Pivot!$BF$1:$CG$65000,$B1114,AT$5)=1,1,IF(INDEX([1]Pivot!$B$1:$AB$65000,$B1114,AT$5)="",2,0)),0)</f>
        <v>0</v>
      </c>
      <c r="AU1114" s="313">
        <f>IFERROR(IF(INDEX([1]Pivot!$BF$1:$CG$65000,$B1114,AU$5)=1,1,IF(INDEX([1]Pivot!$B$1:$AB$65000,$B1114,AU$5)="",2,0)),0)</f>
        <v>0</v>
      </c>
      <c r="AV1114" s="313">
        <f>IFERROR(IF(INDEX([1]Pivot!$BF$1:$CG$65000,$B1114,AV$5)=1,1,IF(INDEX([1]Pivot!$B$1:$AB$65000,$B1114,AV$5)="",2,0)),0)</f>
        <v>0</v>
      </c>
      <c r="AW1114" s="313">
        <f>IFERROR(IF(INDEX([1]Pivot!$BF$1:$CG$65000,$B1114,AW$5)=1,1,IF(INDEX([1]Pivot!$B$1:$AB$65000,$B1114,AW$5)="",2,0)),0)</f>
        <v>0</v>
      </c>
      <c r="AX1114" s="313">
        <f>IFERROR(IF(INDEX([1]Pivot!$BF$1:$CG$65000,$B1114,AX$5)=1,1,IF(INDEX([1]Pivot!$B$1:$AB$65000,$B1114,AX$5)="",2,0)),0)</f>
        <v>0</v>
      </c>
      <c r="AY1114" s="313">
        <f>IFERROR(IF(INDEX([1]Pivot!$BF$1:$CG$65000,$B1114,AY$5)=1,1,IF(INDEX([1]Pivot!$B$1:$AB$65000,$B1114,AY$5)="",2,0)),0)</f>
        <v>0</v>
      </c>
      <c r="AZ1114" s="313">
        <f>IFERROR(IF(INDEX([1]Pivot!$BF$1:$CG$65000,$B1114,AZ$5)=1,1,IF(INDEX([1]Pivot!$B$1:$AB$65000,$B1114,AZ$5)="",2,0)),0)</f>
        <v>0</v>
      </c>
      <c r="BA1114" s="313">
        <f>IFERROR(IF(INDEX([1]Pivot!$BF$1:$CG$65000,$B1114,BA$5)=1,1,IF(INDEX([1]Pivot!$B$1:$AB$65000,$B1114,BA$5)="",2,0)),0)</f>
        <v>0</v>
      </c>
      <c r="BB1114" s="313">
        <f>IFERROR(IF(INDEX([1]Pivot!$BF$1:$CG$65000,$B1114,BB$5)=1,1,IF(INDEX([1]Pivot!$B$1:$AB$65000,$B1114,BB$5)="",2,0)),0)</f>
        <v>0</v>
      </c>
      <c r="BC1114" s="313">
        <f>IFERROR(IF(INDEX([1]Pivot!$BF$1:$CG$65000,$B1114,BC$5)=1,1,IF(INDEX([1]Pivot!$B$1:$AB$65000,$B1114,BC$5)="",2,0)),0)</f>
        <v>0</v>
      </c>
      <c r="BD1114" s="313">
        <f>IFERROR(IF(INDEX([1]Pivot!$BF$1:$CG$65000,$B1114,BD$5)=1,1,IF(INDEX([1]Pivot!$B$1:$AB$65000,$B1114,BD$5)="",2,0)),0)</f>
        <v>0</v>
      </c>
    </row>
    <row r="1115" spans="1:56" x14ac:dyDescent="0.25">
      <c r="A1115" s="288">
        <f>'[2]Raw Milk Prices'!A1115</f>
        <v>0</v>
      </c>
      <c r="B1115" s="296" t="e">
        <f>MATCH(DATE(LEFT('[2]Raw Milk Prices'!$A1115,4),RIGHT('[2]Raw Milk Prices'!$A1115,2),1),[1]Pivot!$A$1:$A$65000,0)</f>
        <v>#VALUE!</v>
      </c>
      <c r="C1115" s="194">
        <f>IFERROR(IF(INDEX([1]Pivot!$AD$1:$BE$65000,$B1115,C$5)=1,1,IF(INDEX([1]Pivot!$B$1:$AB$65000,$B1115,C$5)="",2,0)),0)</f>
        <v>0</v>
      </c>
      <c r="D1115" s="194">
        <f>IFERROR(IF(INDEX([1]Pivot!$AD$1:$BE$65000,$B1115,D$5)=1,1,IF(INDEX([1]Pivot!$B$1:$AB$65000,$B1115,D$5)="",2,0)),0)</f>
        <v>0</v>
      </c>
      <c r="E1115" s="194">
        <f>IFERROR(IF(INDEX([1]Pivot!$AD$1:$BE$65000,$B1115,E$5)=1,1,IF(INDEX([1]Pivot!$B$1:$AB$65000,$B1115,E$5)="",2,0)),0)</f>
        <v>0</v>
      </c>
      <c r="F1115" s="194">
        <f>IFERROR(IF(INDEX([1]Pivot!$AD$1:$BE$65000,$B1115,F$5)=1,1,IF(INDEX([1]Pivot!$B$1:$AB$65000,$B1115,F$5)="",2,0)),0)</f>
        <v>0</v>
      </c>
      <c r="G1115" s="194">
        <f>IFERROR(IF(INDEX([1]Pivot!$AD$1:$BE$65000,$B1115,G$5)=1,1,IF(INDEX([1]Pivot!$B$1:$AB$65000,$B1115,G$5)="",2,0)),0)</f>
        <v>0</v>
      </c>
      <c r="H1115" s="194">
        <f>IFERROR(IF(INDEX([1]Pivot!$AD$1:$BE$65000,$B1115,H$5)=1,1,IF(INDEX([1]Pivot!$B$1:$AB$65000,$B1115,H$5)="",2,0)),0)</f>
        <v>0</v>
      </c>
      <c r="I1115" s="194">
        <f>IFERROR(IF(INDEX([1]Pivot!$AD$1:$BE$65000,$B1115,I$5)=1,1,IF(INDEX([1]Pivot!$B$1:$AB$65000,$B1115,I$5)="",2,0)),0)</f>
        <v>0</v>
      </c>
      <c r="J1115" s="194">
        <f>IFERROR(IF(INDEX([1]Pivot!$AD$1:$BE$65000,$B1115,J$5)=1,1,IF(INDEX([1]Pivot!$B$1:$AB$65000,$B1115,J$5)="",2,0)),0)</f>
        <v>0</v>
      </c>
      <c r="K1115" s="194">
        <f>IFERROR(IF(INDEX([1]Pivot!$AD$1:$BE$65000,$B1115,K$5)=1,1,IF(INDEX([1]Pivot!$B$1:$AB$65000,$B1115,K$5)="",2,0)),0)</f>
        <v>0</v>
      </c>
      <c r="L1115" s="194">
        <f>IFERROR(IF(INDEX([1]Pivot!$AD$1:$BE$65000,$B1115,L$5)=1,1,IF(INDEX([1]Pivot!$B$1:$AB$65000,$B1115,L$5)="",2,0)),0)</f>
        <v>0</v>
      </c>
      <c r="M1115" s="194">
        <f>IFERROR(IF(INDEX([1]Pivot!$AD$1:$BE$65000,$B1115,M$5)=1,1,IF(INDEX([1]Pivot!$B$1:$AB$65000,$B1115,M$5)="",2,0)),0)</f>
        <v>0</v>
      </c>
      <c r="N1115" s="194">
        <f>IFERROR(IF(INDEX([1]Pivot!$AD$1:$BE$65000,$B1115,N$5)=1,1,IF(INDEX([1]Pivot!$B$1:$AB$65000,$B1115,N$5)="",2,0)),0)</f>
        <v>0</v>
      </c>
      <c r="O1115" s="194">
        <f>IFERROR(IF(INDEX([1]Pivot!$AD$1:$BE$65000,$B1115,O$5)=1,1,IF(INDEX([1]Pivot!$B$1:$AB$65000,$B1115,O$5)="",2,0)),0)</f>
        <v>0</v>
      </c>
      <c r="P1115" s="194">
        <f>IFERROR(IF(INDEX([1]Pivot!$AD$1:$BE$65000,$B1115,P$5)=1,1,IF(INDEX([1]Pivot!$B$1:$AB$65000,$B1115,P$5)="",2,0)),0)</f>
        <v>0</v>
      </c>
      <c r="Q1115" s="194">
        <f>IFERROR(IF(INDEX([1]Pivot!$AD$1:$BE$65000,$B1115,Q$5)=1,1,IF(INDEX([1]Pivot!$B$1:$AB$65000,$B1115,Q$5)="",2,0)),0)</f>
        <v>0</v>
      </c>
      <c r="R1115" s="312"/>
      <c r="S1115" s="194">
        <f>IFERROR(IF(INDEX([1]Pivot!$AD$1:$BE$65000,$B1115,S$5)=1,1,IF(INDEX([1]Pivot!$B$1:$AB$65000,$B1115,S$5)="",2,0)),0)</f>
        <v>0</v>
      </c>
      <c r="T1115" s="194">
        <f>IFERROR(IF(INDEX([1]Pivot!$AD$1:$BE$65000,$B1115,T$5)=1,1,IF(INDEX([1]Pivot!$B$1:$AB$65000,$B1115,T$5)="",2,0)),0)</f>
        <v>0</v>
      </c>
      <c r="U1115" s="194">
        <f>IFERROR(IF(INDEX([1]Pivot!$AD$1:$BE$65000,$B1115,U$5)=1,1,IF(INDEX([1]Pivot!$B$1:$AB$65000,$B1115,U$5)="",2,0)),0)</f>
        <v>0</v>
      </c>
      <c r="V1115" s="194">
        <f>IFERROR(IF(INDEX([1]Pivot!$AD$1:$BE$65000,$B1115,V$5)=1,1,IF(INDEX([1]Pivot!$B$1:$AB$65000,$B1115,V$5)="",2,0)),0)</f>
        <v>0</v>
      </c>
      <c r="W1115" s="194">
        <f>IFERROR(IF(INDEX([1]Pivot!$AD$1:$BE$65000,$B1115,W$5)=1,1,IF(INDEX([1]Pivot!$B$1:$AB$65000,$B1115,W$5)="",2,0)),0)</f>
        <v>0</v>
      </c>
      <c r="X1115" s="194">
        <f>IFERROR(IF(INDEX([1]Pivot!$AD$1:$BE$65000,$B1115,X$5)=1,1,IF(INDEX([1]Pivot!$B$1:$AB$65000,$B1115,X$5)="",2,0)),0)</f>
        <v>0</v>
      </c>
      <c r="Y1115" s="194">
        <f>IFERROR(IF(INDEX([1]Pivot!$AD$1:$BE$65000,$B1115,Y$5)=1,1,IF(INDEX([1]Pivot!$B$1:$AB$65000,$B1115,Y$5)="",2,0)),0)</f>
        <v>0</v>
      </c>
      <c r="Z1115" s="194">
        <f>IFERROR(IF(INDEX([1]Pivot!$AD$1:$BE$65000,$B1115,Z$5)=1,1,IF(INDEX([1]Pivot!$B$1:$AB$65000,$B1115,Z$5)="",2,0)),0)</f>
        <v>0</v>
      </c>
      <c r="AA1115" s="194">
        <f>IFERROR(IF(INDEX([1]Pivot!$AD$1:$BE$65000,$B1115,AA$5)=1,1,IF(INDEX([1]Pivot!$B$1:$AB$65000,$B1115,AA$5)="",2,0)),0)</f>
        <v>0</v>
      </c>
      <c r="AB1115" s="194">
        <f>IFERROR(IF(INDEX([1]Pivot!$AD$1:$BE$65000,$B1115,AB$5)=1,1,IF(INDEX([1]Pivot!$B$1:$AB$65000,$B1115,AB$5)="",2,0)),0)</f>
        <v>0</v>
      </c>
      <c r="AC1115" s="194">
        <f>IFERROR(IF(INDEX([1]Pivot!$AD$1:$BE$65000,$B1115,AC$5)=1,1,IF(INDEX([1]Pivot!$B$1:$AB$65000,$B1115,AC$5)="",2,0)),0)</f>
        <v>0</v>
      </c>
      <c r="AD1115" s="313">
        <f>IFERROR(IF(INDEX([1]Pivot!$BF$1:$CG$65000,$B1115,AD$5)=1,1,IF(INDEX([1]Pivot!$B$1:$AB$65000,$B1115,AD$5)="",2,0)),0)</f>
        <v>0</v>
      </c>
      <c r="AE1115" s="313">
        <f>IFERROR(IF(INDEX([1]Pivot!$BF$1:$CG$65000,$B1115,AE$5)=1,1,IF(INDEX([1]Pivot!$B$1:$AB$65000,$B1115,AE$5)="",2,0)),0)</f>
        <v>0</v>
      </c>
      <c r="AF1115" s="313">
        <f>IFERROR(IF(INDEX([1]Pivot!$BF$1:$CG$65000,$B1115,AF$5)=1,1,IF(INDEX([1]Pivot!$B$1:$AB$65000,$B1115,AF$5)="",2,0)),0)</f>
        <v>0</v>
      </c>
      <c r="AG1115" s="313">
        <f>IFERROR(IF(INDEX([1]Pivot!$BF$1:$CG$65000,$B1115,AG$5)=1,1,IF(INDEX([1]Pivot!$B$1:$AB$65000,$B1115,AG$5)="",2,0)),0)</f>
        <v>0</v>
      </c>
      <c r="AH1115" s="313">
        <f>IFERROR(IF(INDEX([1]Pivot!$BF$1:$CG$65000,$B1115,AH$5)=1,1,IF(INDEX([1]Pivot!$B$1:$AB$65000,$B1115,AH$5)="",2,0)),0)</f>
        <v>0</v>
      </c>
      <c r="AI1115" s="313">
        <f>IFERROR(IF(INDEX([1]Pivot!$BF$1:$CG$65000,$B1115,AI$5)=1,1,IF(INDEX([1]Pivot!$B$1:$AB$65000,$B1115,AI$5)="",2,0)),0)</f>
        <v>0</v>
      </c>
      <c r="AJ1115" s="313">
        <f>IFERROR(IF(INDEX([1]Pivot!$BF$1:$CG$65000,$B1115,AJ$5)=1,1,IF(INDEX([1]Pivot!$B$1:$AB$65000,$B1115,AJ$5)="",2,0)),0)</f>
        <v>0</v>
      </c>
      <c r="AK1115" s="313">
        <f>IFERROR(IF(INDEX([1]Pivot!$BF$1:$CG$65000,$B1115,AK$5)=1,1,IF(INDEX([1]Pivot!$B$1:$AB$65000,$B1115,AK$5)="",2,0)),0)</f>
        <v>0</v>
      </c>
      <c r="AL1115" s="313">
        <f>IFERROR(IF(INDEX([1]Pivot!$BF$1:$CG$65000,$B1115,AL$5)=1,1,IF(INDEX([1]Pivot!$B$1:$AB$65000,$B1115,AL$5)="",2,0)),0)</f>
        <v>0</v>
      </c>
      <c r="AM1115" s="313">
        <f>IFERROR(IF(INDEX([1]Pivot!$BF$1:$CG$65000,$B1115,AM$5)=1,1,IF(INDEX([1]Pivot!$B$1:$AB$65000,$B1115,AM$5)="",2,0)),0)</f>
        <v>0</v>
      </c>
      <c r="AN1115" s="313">
        <f>IFERROR(IF(INDEX([1]Pivot!$BF$1:$CG$65000,$B1115,AN$5)=1,1,IF(INDEX([1]Pivot!$B$1:$AB$65000,$B1115,AN$5)="",2,0)),0)</f>
        <v>0</v>
      </c>
      <c r="AO1115" s="313">
        <f>IFERROR(IF(INDEX([1]Pivot!$BF$1:$CG$65000,$B1115,AO$5)=1,1,IF(INDEX([1]Pivot!$B$1:$AB$65000,$B1115,AO$5)="",2,0)),0)</f>
        <v>0</v>
      </c>
      <c r="AP1115" s="313">
        <f>IFERROR(IF(INDEX([1]Pivot!$BF$1:$CG$65000,$B1115,AP$5)=1,1,IF(INDEX([1]Pivot!$B$1:$AB$65000,$B1115,AP$5)="",2,0)),0)</f>
        <v>0</v>
      </c>
      <c r="AQ1115" s="313">
        <f>IFERROR(IF(INDEX([1]Pivot!$BF$1:$CG$65000,$B1115,AQ$5)=1,1,IF(INDEX([1]Pivot!$B$1:$AB$65000,$B1115,AQ$5)="",2,0)),0)</f>
        <v>0</v>
      </c>
      <c r="AR1115" s="313">
        <f>IFERROR(IF(INDEX([1]Pivot!$BF$1:$CG$65000,$B1115,AR$5)=1,1,IF(INDEX([1]Pivot!$B$1:$AB$65000,$B1115,AR$5)="",2,0)),0)</f>
        <v>0</v>
      </c>
      <c r="AS1115" s="312"/>
      <c r="AT1115" s="313">
        <f>IFERROR(IF(INDEX([1]Pivot!$BF$1:$CG$65000,$B1115,AT$5)=1,1,IF(INDEX([1]Pivot!$B$1:$AB$65000,$B1115,AT$5)="",2,0)),0)</f>
        <v>0</v>
      </c>
      <c r="AU1115" s="313">
        <f>IFERROR(IF(INDEX([1]Pivot!$BF$1:$CG$65000,$B1115,AU$5)=1,1,IF(INDEX([1]Pivot!$B$1:$AB$65000,$B1115,AU$5)="",2,0)),0)</f>
        <v>0</v>
      </c>
      <c r="AV1115" s="313">
        <f>IFERROR(IF(INDEX([1]Pivot!$BF$1:$CG$65000,$B1115,AV$5)=1,1,IF(INDEX([1]Pivot!$B$1:$AB$65000,$B1115,AV$5)="",2,0)),0)</f>
        <v>0</v>
      </c>
      <c r="AW1115" s="313">
        <f>IFERROR(IF(INDEX([1]Pivot!$BF$1:$CG$65000,$B1115,AW$5)=1,1,IF(INDEX([1]Pivot!$B$1:$AB$65000,$B1115,AW$5)="",2,0)),0)</f>
        <v>0</v>
      </c>
      <c r="AX1115" s="313">
        <f>IFERROR(IF(INDEX([1]Pivot!$BF$1:$CG$65000,$B1115,AX$5)=1,1,IF(INDEX([1]Pivot!$B$1:$AB$65000,$B1115,AX$5)="",2,0)),0)</f>
        <v>0</v>
      </c>
      <c r="AY1115" s="313">
        <f>IFERROR(IF(INDEX([1]Pivot!$BF$1:$CG$65000,$B1115,AY$5)=1,1,IF(INDEX([1]Pivot!$B$1:$AB$65000,$B1115,AY$5)="",2,0)),0)</f>
        <v>0</v>
      </c>
      <c r="AZ1115" s="313">
        <f>IFERROR(IF(INDEX([1]Pivot!$BF$1:$CG$65000,$B1115,AZ$5)=1,1,IF(INDEX([1]Pivot!$B$1:$AB$65000,$B1115,AZ$5)="",2,0)),0)</f>
        <v>0</v>
      </c>
      <c r="BA1115" s="313">
        <f>IFERROR(IF(INDEX([1]Pivot!$BF$1:$CG$65000,$B1115,BA$5)=1,1,IF(INDEX([1]Pivot!$B$1:$AB$65000,$B1115,BA$5)="",2,0)),0)</f>
        <v>0</v>
      </c>
      <c r="BB1115" s="313">
        <f>IFERROR(IF(INDEX([1]Pivot!$BF$1:$CG$65000,$B1115,BB$5)=1,1,IF(INDEX([1]Pivot!$B$1:$AB$65000,$B1115,BB$5)="",2,0)),0)</f>
        <v>0</v>
      </c>
      <c r="BC1115" s="313">
        <f>IFERROR(IF(INDEX([1]Pivot!$BF$1:$CG$65000,$B1115,BC$5)=1,1,IF(INDEX([1]Pivot!$B$1:$AB$65000,$B1115,BC$5)="",2,0)),0)</f>
        <v>0</v>
      </c>
      <c r="BD1115" s="313">
        <f>IFERROR(IF(INDEX([1]Pivot!$BF$1:$CG$65000,$B1115,BD$5)=1,1,IF(INDEX([1]Pivot!$B$1:$AB$65000,$B1115,BD$5)="",2,0)),0)</f>
        <v>0</v>
      </c>
    </row>
    <row r="1116" spans="1:56" x14ac:dyDescent="0.25">
      <c r="A1116" s="288">
        <f>'[2]Raw Milk Prices'!A1116</f>
        <v>0</v>
      </c>
      <c r="B1116" s="296" t="e">
        <f>MATCH(DATE(LEFT('[2]Raw Milk Prices'!$A1116,4),RIGHT('[2]Raw Milk Prices'!$A1116,2),1),[1]Pivot!$A$1:$A$65000,0)</f>
        <v>#VALUE!</v>
      </c>
      <c r="C1116" s="194">
        <f>IFERROR(IF(INDEX([1]Pivot!$AD$1:$BE$65000,$B1116,C$5)=1,1,IF(INDEX([1]Pivot!$B$1:$AB$65000,$B1116,C$5)="",2,0)),0)</f>
        <v>0</v>
      </c>
      <c r="D1116" s="194">
        <f>IFERROR(IF(INDEX([1]Pivot!$AD$1:$BE$65000,$B1116,D$5)=1,1,IF(INDEX([1]Pivot!$B$1:$AB$65000,$B1116,D$5)="",2,0)),0)</f>
        <v>0</v>
      </c>
      <c r="E1116" s="194">
        <f>IFERROR(IF(INDEX([1]Pivot!$AD$1:$BE$65000,$B1116,E$5)=1,1,IF(INDEX([1]Pivot!$B$1:$AB$65000,$B1116,E$5)="",2,0)),0)</f>
        <v>0</v>
      </c>
      <c r="F1116" s="194">
        <f>IFERROR(IF(INDEX([1]Pivot!$AD$1:$BE$65000,$B1116,F$5)=1,1,IF(INDEX([1]Pivot!$B$1:$AB$65000,$B1116,F$5)="",2,0)),0)</f>
        <v>0</v>
      </c>
      <c r="G1116" s="194">
        <f>IFERROR(IF(INDEX([1]Pivot!$AD$1:$BE$65000,$B1116,G$5)=1,1,IF(INDEX([1]Pivot!$B$1:$AB$65000,$B1116,G$5)="",2,0)),0)</f>
        <v>0</v>
      </c>
      <c r="H1116" s="194">
        <f>IFERROR(IF(INDEX([1]Pivot!$AD$1:$BE$65000,$B1116,H$5)=1,1,IF(INDEX([1]Pivot!$B$1:$AB$65000,$B1116,H$5)="",2,0)),0)</f>
        <v>0</v>
      </c>
      <c r="I1116" s="194">
        <f>IFERROR(IF(INDEX([1]Pivot!$AD$1:$BE$65000,$B1116,I$5)=1,1,IF(INDEX([1]Pivot!$B$1:$AB$65000,$B1116,I$5)="",2,0)),0)</f>
        <v>0</v>
      </c>
      <c r="J1116" s="194">
        <f>IFERROR(IF(INDEX([1]Pivot!$AD$1:$BE$65000,$B1116,J$5)=1,1,IF(INDEX([1]Pivot!$B$1:$AB$65000,$B1116,J$5)="",2,0)),0)</f>
        <v>0</v>
      </c>
      <c r="K1116" s="194">
        <f>IFERROR(IF(INDEX([1]Pivot!$AD$1:$BE$65000,$B1116,K$5)=1,1,IF(INDEX([1]Pivot!$B$1:$AB$65000,$B1116,K$5)="",2,0)),0)</f>
        <v>0</v>
      </c>
      <c r="L1116" s="194">
        <f>IFERROR(IF(INDEX([1]Pivot!$AD$1:$BE$65000,$B1116,L$5)=1,1,IF(INDEX([1]Pivot!$B$1:$AB$65000,$B1116,L$5)="",2,0)),0)</f>
        <v>0</v>
      </c>
      <c r="M1116" s="194">
        <f>IFERROR(IF(INDEX([1]Pivot!$AD$1:$BE$65000,$B1116,M$5)=1,1,IF(INDEX([1]Pivot!$B$1:$AB$65000,$B1116,M$5)="",2,0)),0)</f>
        <v>0</v>
      </c>
      <c r="N1116" s="194">
        <f>IFERROR(IF(INDEX([1]Pivot!$AD$1:$BE$65000,$B1116,N$5)=1,1,IF(INDEX([1]Pivot!$B$1:$AB$65000,$B1116,N$5)="",2,0)),0)</f>
        <v>0</v>
      </c>
      <c r="O1116" s="194">
        <f>IFERROR(IF(INDEX([1]Pivot!$AD$1:$BE$65000,$B1116,O$5)=1,1,IF(INDEX([1]Pivot!$B$1:$AB$65000,$B1116,O$5)="",2,0)),0)</f>
        <v>0</v>
      </c>
      <c r="P1116" s="194">
        <f>IFERROR(IF(INDEX([1]Pivot!$AD$1:$BE$65000,$B1116,P$5)=1,1,IF(INDEX([1]Pivot!$B$1:$AB$65000,$B1116,P$5)="",2,0)),0)</f>
        <v>0</v>
      </c>
      <c r="Q1116" s="194">
        <f>IFERROR(IF(INDEX([1]Pivot!$AD$1:$BE$65000,$B1116,Q$5)=1,1,IF(INDEX([1]Pivot!$B$1:$AB$65000,$B1116,Q$5)="",2,0)),0)</f>
        <v>0</v>
      </c>
      <c r="R1116" s="312"/>
      <c r="S1116" s="194">
        <f>IFERROR(IF(INDEX([1]Pivot!$AD$1:$BE$65000,$B1116,S$5)=1,1,IF(INDEX([1]Pivot!$B$1:$AB$65000,$B1116,S$5)="",2,0)),0)</f>
        <v>0</v>
      </c>
      <c r="T1116" s="194">
        <f>IFERROR(IF(INDEX([1]Pivot!$AD$1:$BE$65000,$B1116,T$5)=1,1,IF(INDEX([1]Pivot!$B$1:$AB$65000,$B1116,T$5)="",2,0)),0)</f>
        <v>0</v>
      </c>
      <c r="U1116" s="194">
        <f>IFERROR(IF(INDEX([1]Pivot!$AD$1:$BE$65000,$B1116,U$5)=1,1,IF(INDEX([1]Pivot!$B$1:$AB$65000,$B1116,U$5)="",2,0)),0)</f>
        <v>0</v>
      </c>
      <c r="V1116" s="194">
        <f>IFERROR(IF(INDEX([1]Pivot!$AD$1:$BE$65000,$B1116,V$5)=1,1,IF(INDEX([1]Pivot!$B$1:$AB$65000,$B1116,V$5)="",2,0)),0)</f>
        <v>0</v>
      </c>
      <c r="W1116" s="194">
        <f>IFERROR(IF(INDEX([1]Pivot!$AD$1:$BE$65000,$B1116,W$5)=1,1,IF(INDEX([1]Pivot!$B$1:$AB$65000,$B1116,W$5)="",2,0)),0)</f>
        <v>0</v>
      </c>
      <c r="X1116" s="194">
        <f>IFERROR(IF(INDEX([1]Pivot!$AD$1:$BE$65000,$B1116,X$5)=1,1,IF(INDEX([1]Pivot!$B$1:$AB$65000,$B1116,X$5)="",2,0)),0)</f>
        <v>0</v>
      </c>
      <c r="Y1116" s="194">
        <f>IFERROR(IF(INDEX([1]Pivot!$AD$1:$BE$65000,$B1116,Y$5)=1,1,IF(INDEX([1]Pivot!$B$1:$AB$65000,$B1116,Y$5)="",2,0)),0)</f>
        <v>0</v>
      </c>
      <c r="Z1116" s="194">
        <f>IFERROR(IF(INDEX([1]Pivot!$AD$1:$BE$65000,$B1116,Z$5)=1,1,IF(INDEX([1]Pivot!$B$1:$AB$65000,$B1116,Z$5)="",2,0)),0)</f>
        <v>0</v>
      </c>
      <c r="AA1116" s="194">
        <f>IFERROR(IF(INDEX([1]Pivot!$AD$1:$BE$65000,$B1116,AA$5)=1,1,IF(INDEX([1]Pivot!$B$1:$AB$65000,$B1116,AA$5)="",2,0)),0)</f>
        <v>0</v>
      </c>
      <c r="AB1116" s="194">
        <f>IFERROR(IF(INDEX([1]Pivot!$AD$1:$BE$65000,$B1116,AB$5)=1,1,IF(INDEX([1]Pivot!$B$1:$AB$65000,$B1116,AB$5)="",2,0)),0)</f>
        <v>0</v>
      </c>
      <c r="AC1116" s="194">
        <f>IFERROR(IF(INDEX([1]Pivot!$AD$1:$BE$65000,$B1116,AC$5)=1,1,IF(INDEX([1]Pivot!$B$1:$AB$65000,$B1116,AC$5)="",2,0)),0)</f>
        <v>0</v>
      </c>
      <c r="AD1116" s="313">
        <f>IFERROR(IF(INDEX([1]Pivot!$BF$1:$CG$65000,$B1116,AD$5)=1,1,IF(INDEX([1]Pivot!$B$1:$AB$65000,$B1116,AD$5)="",2,0)),0)</f>
        <v>0</v>
      </c>
      <c r="AE1116" s="313">
        <f>IFERROR(IF(INDEX([1]Pivot!$BF$1:$CG$65000,$B1116,AE$5)=1,1,IF(INDEX([1]Pivot!$B$1:$AB$65000,$B1116,AE$5)="",2,0)),0)</f>
        <v>0</v>
      </c>
      <c r="AF1116" s="313">
        <f>IFERROR(IF(INDEX([1]Pivot!$BF$1:$CG$65000,$B1116,AF$5)=1,1,IF(INDEX([1]Pivot!$B$1:$AB$65000,$B1116,AF$5)="",2,0)),0)</f>
        <v>0</v>
      </c>
      <c r="AG1116" s="313">
        <f>IFERROR(IF(INDEX([1]Pivot!$BF$1:$CG$65000,$B1116,AG$5)=1,1,IF(INDEX([1]Pivot!$B$1:$AB$65000,$B1116,AG$5)="",2,0)),0)</f>
        <v>0</v>
      </c>
      <c r="AH1116" s="313">
        <f>IFERROR(IF(INDEX([1]Pivot!$BF$1:$CG$65000,$B1116,AH$5)=1,1,IF(INDEX([1]Pivot!$B$1:$AB$65000,$B1116,AH$5)="",2,0)),0)</f>
        <v>0</v>
      </c>
      <c r="AI1116" s="313">
        <f>IFERROR(IF(INDEX([1]Pivot!$BF$1:$CG$65000,$B1116,AI$5)=1,1,IF(INDEX([1]Pivot!$B$1:$AB$65000,$B1116,AI$5)="",2,0)),0)</f>
        <v>0</v>
      </c>
      <c r="AJ1116" s="313">
        <f>IFERROR(IF(INDEX([1]Pivot!$BF$1:$CG$65000,$B1116,AJ$5)=1,1,IF(INDEX([1]Pivot!$B$1:$AB$65000,$B1116,AJ$5)="",2,0)),0)</f>
        <v>0</v>
      </c>
      <c r="AK1116" s="313">
        <f>IFERROR(IF(INDEX([1]Pivot!$BF$1:$CG$65000,$B1116,AK$5)=1,1,IF(INDEX([1]Pivot!$B$1:$AB$65000,$B1116,AK$5)="",2,0)),0)</f>
        <v>0</v>
      </c>
      <c r="AL1116" s="313">
        <f>IFERROR(IF(INDEX([1]Pivot!$BF$1:$CG$65000,$B1116,AL$5)=1,1,IF(INDEX([1]Pivot!$B$1:$AB$65000,$B1116,AL$5)="",2,0)),0)</f>
        <v>0</v>
      </c>
      <c r="AM1116" s="313">
        <f>IFERROR(IF(INDEX([1]Pivot!$BF$1:$CG$65000,$B1116,AM$5)=1,1,IF(INDEX([1]Pivot!$B$1:$AB$65000,$B1116,AM$5)="",2,0)),0)</f>
        <v>0</v>
      </c>
      <c r="AN1116" s="313">
        <f>IFERROR(IF(INDEX([1]Pivot!$BF$1:$CG$65000,$B1116,AN$5)=1,1,IF(INDEX([1]Pivot!$B$1:$AB$65000,$B1116,AN$5)="",2,0)),0)</f>
        <v>0</v>
      </c>
      <c r="AO1116" s="313">
        <f>IFERROR(IF(INDEX([1]Pivot!$BF$1:$CG$65000,$B1116,AO$5)=1,1,IF(INDEX([1]Pivot!$B$1:$AB$65000,$B1116,AO$5)="",2,0)),0)</f>
        <v>0</v>
      </c>
      <c r="AP1116" s="313">
        <f>IFERROR(IF(INDEX([1]Pivot!$BF$1:$CG$65000,$B1116,AP$5)=1,1,IF(INDEX([1]Pivot!$B$1:$AB$65000,$B1116,AP$5)="",2,0)),0)</f>
        <v>0</v>
      </c>
      <c r="AQ1116" s="313">
        <f>IFERROR(IF(INDEX([1]Pivot!$BF$1:$CG$65000,$B1116,AQ$5)=1,1,IF(INDEX([1]Pivot!$B$1:$AB$65000,$B1116,AQ$5)="",2,0)),0)</f>
        <v>0</v>
      </c>
      <c r="AR1116" s="313">
        <f>IFERROR(IF(INDEX([1]Pivot!$BF$1:$CG$65000,$B1116,AR$5)=1,1,IF(INDEX([1]Pivot!$B$1:$AB$65000,$B1116,AR$5)="",2,0)),0)</f>
        <v>0</v>
      </c>
      <c r="AS1116" s="312"/>
      <c r="AT1116" s="313">
        <f>IFERROR(IF(INDEX([1]Pivot!$BF$1:$CG$65000,$B1116,AT$5)=1,1,IF(INDEX([1]Pivot!$B$1:$AB$65000,$B1116,AT$5)="",2,0)),0)</f>
        <v>0</v>
      </c>
      <c r="AU1116" s="313">
        <f>IFERROR(IF(INDEX([1]Pivot!$BF$1:$CG$65000,$B1116,AU$5)=1,1,IF(INDEX([1]Pivot!$B$1:$AB$65000,$B1116,AU$5)="",2,0)),0)</f>
        <v>0</v>
      </c>
      <c r="AV1116" s="313">
        <f>IFERROR(IF(INDEX([1]Pivot!$BF$1:$CG$65000,$B1116,AV$5)=1,1,IF(INDEX([1]Pivot!$B$1:$AB$65000,$B1116,AV$5)="",2,0)),0)</f>
        <v>0</v>
      </c>
      <c r="AW1116" s="313">
        <f>IFERROR(IF(INDEX([1]Pivot!$BF$1:$CG$65000,$B1116,AW$5)=1,1,IF(INDEX([1]Pivot!$B$1:$AB$65000,$B1116,AW$5)="",2,0)),0)</f>
        <v>0</v>
      </c>
      <c r="AX1116" s="313">
        <f>IFERROR(IF(INDEX([1]Pivot!$BF$1:$CG$65000,$B1116,AX$5)=1,1,IF(INDEX([1]Pivot!$B$1:$AB$65000,$B1116,AX$5)="",2,0)),0)</f>
        <v>0</v>
      </c>
      <c r="AY1116" s="313">
        <f>IFERROR(IF(INDEX([1]Pivot!$BF$1:$CG$65000,$B1116,AY$5)=1,1,IF(INDEX([1]Pivot!$B$1:$AB$65000,$B1116,AY$5)="",2,0)),0)</f>
        <v>0</v>
      </c>
      <c r="AZ1116" s="313">
        <f>IFERROR(IF(INDEX([1]Pivot!$BF$1:$CG$65000,$B1116,AZ$5)=1,1,IF(INDEX([1]Pivot!$B$1:$AB$65000,$B1116,AZ$5)="",2,0)),0)</f>
        <v>0</v>
      </c>
      <c r="BA1116" s="313">
        <f>IFERROR(IF(INDEX([1]Pivot!$BF$1:$CG$65000,$B1116,BA$5)=1,1,IF(INDEX([1]Pivot!$B$1:$AB$65000,$B1116,BA$5)="",2,0)),0)</f>
        <v>0</v>
      </c>
      <c r="BB1116" s="313">
        <f>IFERROR(IF(INDEX([1]Pivot!$BF$1:$CG$65000,$B1116,BB$5)=1,1,IF(INDEX([1]Pivot!$B$1:$AB$65000,$B1116,BB$5)="",2,0)),0)</f>
        <v>0</v>
      </c>
      <c r="BC1116" s="313">
        <f>IFERROR(IF(INDEX([1]Pivot!$BF$1:$CG$65000,$B1116,BC$5)=1,1,IF(INDEX([1]Pivot!$B$1:$AB$65000,$B1116,BC$5)="",2,0)),0)</f>
        <v>0</v>
      </c>
      <c r="BD1116" s="313">
        <f>IFERROR(IF(INDEX([1]Pivot!$BF$1:$CG$65000,$B1116,BD$5)=1,1,IF(INDEX([1]Pivot!$B$1:$AB$65000,$B1116,BD$5)="",2,0)),0)</f>
        <v>0</v>
      </c>
    </row>
    <row r="1117" spans="1:56" x14ac:dyDescent="0.25">
      <c r="A1117" s="288">
        <f>'[2]Raw Milk Prices'!A1117</f>
        <v>0</v>
      </c>
      <c r="B1117" s="296" t="e">
        <f>MATCH(DATE(LEFT('[2]Raw Milk Prices'!$A1117,4),RIGHT('[2]Raw Milk Prices'!$A1117,2),1),[1]Pivot!$A$1:$A$65000,0)</f>
        <v>#VALUE!</v>
      </c>
      <c r="C1117" s="194">
        <f>IFERROR(IF(INDEX([1]Pivot!$AD$1:$BE$65000,$B1117,C$5)=1,1,IF(INDEX([1]Pivot!$B$1:$AB$65000,$B1117,C$5)="",2,0)),0)</f>
        <v>0</v>
      </c>
      <c r="D1117" s="194">
        <f>IFERROR(IF(INDEX([1]Pivot!$AD$1:$BE$65000,$B1117,D$5)=1,1,IF(INDEX([1]Pivot!$B$1:$AB$65000,$B1117,D$5)="",2,0)),0)</f>
        <v>0</v>
      </c>
      <c r="E1117" s="194">
        <f>IFERROR(IF(INDEX([1]Pivot!$AD$1:$BE$65000,$B1117,E$5)=1,1,IF(INDEX([1]Pivot!$B$1:$AB$65000,$B1117,E$5)="",2,0)),0)</f>
        <v>0</v>
      </c>
      <c r="F1117" s="194">
        <f>IFERROR(IF(INDEX([1]Pivot!$AD$1:$BE$65000,$B1117,F$5)=1,1,IF(INDEX([1]Pivot!$B$1:$AB$65000,$B1117,F$5)="",2,0)),0)</f>
        <v>0</v>
      </c>
      <c r="G1117" s="194">
        <f>IFERROR(IF(INDEX([1]Pivot!$AD$1:$BE$65000,$B1117,G$5)=1,1,IF(INDEX([1]Pivot!$B$1:$AB$65000,$B1117,G$5)="",2,0)),0)</f>
        <v>0</v>
      </c>
      <c r="H1117" s="194">
        <f>IFERROR(IF(INDEX([1]Pivot!$AD$1:$BE$65000,$B1117,H$5)=1,1,IF(INDEX([1]Pivot!$B$1:$AB$65000,$B1117,H$5)="",2,0)),0)</f>
        <v>0</v>
      </c>
      <c r="I1117" s="194">
        <f>IFERROR(IF(INDEX([1]Pivot!$AD$1:$BE$65000,$B1117,I$5)=1,1,IF(INDEX([1]Pivot!$B$1:$AB$65000,$B1117,I$5)="",2,0)),0)</f>
        <v>0</v>
      </c>
      <c r="J1117" s="194">
        <f>IFERROR(IF(INDEX([1]Pivot!$AD$1:$BE$65000,$B1117,J$5)=1,1,IF(INDEX([1]Pivot!$B$1:$AB$65000,$B1117,J$5)="",2,0)),0)</f>
        <v>0</v>
      </c>
      <c r="K1117" s="194">
        <f>IFERROR(IF(INDEX([1]Pivot!$AD$1:$BE$65000,$B1117,K$5)=1,1,IF(INDEX([1]Pivot!$B$1:$AB$65000,$B1117,K$5)="",2,0)),0)</f>
        <v>0</v>
      </c>
      <c r="L1117" s="194">
        <f>IFERROR(IF(INDEX([1]Pivot!$AD$1:$BE$65000,$B1117,L$5)=1,1,IF(INDEX([1]Pivot!$B$1:$AB$65000,$B1117,L$5)="",2,0)),0)</f>
        <v>0</v>
      </c>
      <c r="M1117" s="194">
        <f>IFERROR(IF(INDEX([1]Pivot!$AD$1:$BE$65000,$B1117,M$5)=1,1,IF(INDEX([1]Pivot!$B$1:$AB$65000,$B1117,M$5)="",2,0)),0)</f>
        <v>0</v>
      </c>
      <c r="N1117" s="194">
        <f>IFERROR(IF(INDEX([1]Pivot!$AD$1:$BE$65000,$B1117,N$5)=1,1,IF(INDEX([1]Pivot!$B$1:$AB$65000,$B1117,N$5)="",2,0)),0)</f>
        <v>0</v>
      </c>
      <c r="O1117" s="194">
        <f>IFERROR(IF(INDEX([1]Pivot!$AD$1:$BE$65000,$B1117,O$5)=1,1,IF(INDEX([1]Pivot!$B$1:$AB$65000,$B1117,O$5)="",2,0)),0)</f>
        <v>0</v>
      </c>
      <c r="P1117" s="194">
        <f>IFERROR(IF(INDEX([1]Pivot!$AD$1:$BE$65000,$B1117,P$5)=1,1,IF(INDEX([1]Pivot!$B$1:$AB$65000,$B1117,P$5)="",2,0)),0)</f>
        <v>0</v>
      </c>
      <c r="Q1117" s="194">
        <f>IFERROR(IF(INDEX([1]Pivot!$AD$1:$BE$65000,$B1117,Q$5)=1,1,IF(INDEX([1]Pivot!$B$1:$AB$65000,$B1117,Q$5)="",2,0)),0)</f>
        <v>0</v>
      </c>
      <c r="R1117" s="312"/>
      <c r="S1117" s="194">
        <f>IFERROR(IF(INDEX([1]Pivot!$AD$1:$BE$65000,$B1117,S$5)=1,1,IF(INDEX([1]Pivot!$B$1:$AB$65000,$B1117,S$5)="",2,0)),0)</f>
        <v>0</v>
      </c>
      <c r="T1117" s="194">
        <f>IFERROR(IF(INDEX([1]Pivot!$AD$1:$BE$65000,$B1117,T$5)=1,1,IF(INDEX([1]Pivot!$B$1:$AB$65000,$B1117,T$5)="",2,0)),0)</f>
        <v>0</v>
      </c>
      <c r="U1117" s="194">
        <f>IFERROR(IF(INDEX([1]Pivot!$AD$1:$BE$65000,$B1117,U$5)=1,1,IF(INDEX([1]Pivot!$B$1:$AB$65000,$B1117,U$5)="",2,0)),0)</f>
        <v>0</v>
      </c>
      <c r="V1117" s="194">
        <f>IFERROR(IF(INDEX([1]Pivot!$AD$1:$BE$65000,$B1117,V$5)=1,1,IF(INDEX([1]Pivot!$B$1:$AB$65000,$B1117,V$5)="",2,0)),0)</f>
        <v>0</v>
      </c>
      <c r="W1117" s="194">
        <f>IFERROR(IF(INDEX([1]Pivot!$AD$1:$BE$65000,$B1117,W$5)=1,1,IF(INDEX([1]Pivot!$B$1:$AB$65000,$B1117,W$5)="",2,0)),0)</f>
        <v>0</v>
      </c>
      <c r="X1117" s="194">
        <f>IFERROR(IF(INDEX([1]Pivot!$AD$1:$BE$65000,$B1117,X$5)=1,1,IF(INDEX([1]Pivot!$B$1:$AB$65000,$B1117,X$5)="",2,0)),0)</f>
        <v>0</v>
      </c>
      <c r="Y1117" s="194">
        <f>IFERROR(IF(INDEX([1]Pivot!$AD$1:$BE$65000,$B1117,Y$5)=1,1,IF(INDEX([1]Pivot!$B$1:$AB$65000,$B1117,Y$5)="",2,0)),0)</f>
        <v>0</v>
      </c>
      <c r="Z1117" s="194">
        <f>IFERROR(IF(INDEX([1]Pivot!$AD$1:$BE$65000,$B1117,Z$5)=1,1,IF(INDEX([1]Pivot!$B$1:$AB$65000,$B1117,Z$5)="",2,0)),0)</f>
        <v>0</v>
      </c>
      <c r="AA1117" s="194">
        <f>IFERROR(IF(INDEX([1]Pivot!$AD$1:$BE$65000,$B1117,AA$5)=1,1,IF(INDEX([1]Pivot!$B$1:$AB$65000,$B1117,AA$5)="",2,0)),0)</f>
        <v>0</v>
      </c>
      <c r="AB1117" s="194">
        <f>IFERROR(IF(INDEX([1]Pivot!$AD$1:$BE$65000,$B1117,AB$5)=1,1,IF(INDEX([1]Pivot!$B$1:$AB$65000,$B1117,AB$5)="",2,0)),0)</f>
        <v>0</v>
      </c>
      <c r="AC1117" s="194">
        <f>IFERROR(IF(INDEX([1]Pivot!$AD$1:$BE$65000,$B1117,AC$5)=1,1,IF(INDEX([1]Pivot!$B$1:$AB$65000,$B1117,AC$5)="",2,0)),0)</f>
        <v>0</v>
      </c>
      <c r="AD1117" s="313">
        <f>IFERROR(IF(INDEX([1]Pivot!$BF$1:$CG$65000,$B1117,AD$5)=1,1,IF(INDEX([1]Pivot!$B$1:$AB$65000,$B1117,AD$5)="",2,0)),0)</f>
        <v>0</v>
      </c>
      <c r="AE1117" s="313">
        <f>IFERROR(IF(INDEX([1]Pivot!$BF$1:$CG$65000,$B1117,AE$5)=1,1,IF(INDEX([1]Pivot!$B$1:$AB$65000,$B1117,AE$5)="",2,0)),0)</f>
        <v>0</v>
      </c>
      <c r="AF1117" s="313">
        <f>IFERROR(IF(INDEX([1]Pivot!$BF$1:$CG$65000,$B1117,AF$5)=1,1,IF(INDEX([1]Pivot!$B$1:$AB$65000,$B1117,AF$5)="",2,0)),0)</f>
        <v>0</v>
      </c>
      <c r="AG1117" s="313">
        <f>IFERROR(IF(INDEX([1]Pivot!$BF$1:$CG$65000,$B1117,AG$5)=1,1,IF(INDEX([1]Pivot!$B$1:$AB$65000,$B1117,AG$5)="",2,0)),0)</f>
        <v>0</v>
      </c>
      <c r="AH1117" s="313">
        <f>IFERROR(IF(INDEX([1]Pivot!$BF$1:$CG$65000,$B1117,AH$5)=1,1,IF(INDEX([1]Pivot!$B$1:$AB$65000,$B1117,AH$5)="",2,0)),0)</f>
        <v>0</v>
      </c>
      <c r="AI1117" s="313">
        <f>IFERROR(IF(INDEX([1]Pivot!$BF$1:$CG$65000,$B1117,AI$5)=1,1,IF(INDEX([1]Pivot!$B$1:$AB$65000,$B1117,AI$5)="",2,0)),0)</f>
        <v>0</v>
      </c>
      <c r="AJ1117" s="313">
        <f>IFERROR(IF(INDEX([1]Pivot!$BF$1:$CG$65000,$B1117,AJ$5)=1,1,IF(INDEX([1]Pivot!$B$1:$AB$65000,$B1117,AJ$5)="",2,0)),0)</f>
        <v>0</v>
      </c>
      <c r="AK1117" s="313">
        <f>IFERROR(IF(INDEX([1]Pivot!$BF$1:$CG$65000,$B1117,AK$5)=1,1,IF(INDEX([1]Pivot!$B$1:$AB$65000,$B1117,AK$5)="",2,0)),0)</f>
        <v>0</v>
      </c>
      <c r="AL1117" s="313">
        <f>IFERROR(IF(INDEX([1]Pivot!$BF$1:$CG$65000,$B1117,AL$5)=1,1,IF(INDEX([1]Pivot!$B$1:$AB$65000,$B1117,AL$5)="",2,0)),0)</f>
        <v>0</v>
      </c>
      <c r="AM1117" s="313">
        <f>IFERROR(IF(INDEX([1]Pivot!$BF$1:$CG$65000,$B1117,AM$5)=1,1,IF(INDEX([1]Pivot!$B$1:$AB$65000,$B1117,AM$5)="",2,0)),0)</f>
        <v>0</v>
      </c>
      <c r="AN1117" s="313">
        <f>IFERROR(IF(INDEX([1]Pivot!$BF$1:$CG$65000,$B1117,AN$5)=1,1,IF(INDEX([1]Pivot!$B$1:$AB$65000,$B1117,AN$5)="",2,0)),0)</f>
        <v>0</v>
      </c>
      <c r="AO1117" s="313">
        <f>IFERROR(IF(INDEX([1]Pivot!$BF$1:$CG$65000,$B1117,AO$5)=1,1,IF(INDEX([1]Pivot!$B$1:$AB$65000,$B1117,AO$5)="",2,0)),0)</f>
        <v>0</v>
      </c>
      <c r="AP1117" s="313">
        <f>IFERROR(IF(INDEX([1]Pivot!$BF$1:$CG$65000,$B1117,AP$5)=1,1,IF(INDEX([1]Pivot!$B$1:$AB$65000,$B1117,AP$5)="",2,0)),0)</f>
        <v>0</v>
      </c>
      <c r="AQ1117" s="313">
        <f>IFERROR(IF(INDEX([1]Pivot!$BF$1:$CG$65000,$B1117,AQ$5)=1,1,IF(INDEX([1]Pivot!$B$1:$AB$65000,$B1117,AQ$5)="",2,0)),0)</f>
        <v>0</v>
      </c>
      <c r="AR1117" s="313">
        <f>IFERROR(IF(INDEX([1]Pivot!$BF$1:$CG$65000,$B1117,AR$5)=1,1,IF(INDEX([1]Pivot!$B$1:$AB$65000,$B1117,AR$5)="",2,0)),0)</f>
        <v>0</v>
      </c>
      <c r="AS1117" s="312"/>
      <c r="AT1117" s="313">
        <f>IFERROR(IF(INDEX([1]Pivot!$BF$1:$CG$65000,$B1117,AT$5)=1,1,IF(INDEX([1]Pivot!$B$1:$AB$65000,$B1117,AT$5)="",2,0)),0)</f>
        <v>0</v>
      </c>
      <c r="AU1117" s="313">
        <f>IFERROR(IF(INDEX([1]Pivot!$BF$1:$CG$65000,$B1117,AU$5)=1,1,IF(INDEX([1]Pivot!$B$1:$AB$65000,$B1117,AU$5)="",2,0)),0)</f>
        <v>0</v>
      </c>
      <c r="AV1117" s="313">
        <f>IFERROR(IF(INDEX([1]Pivot!$BF$1:$CG$65000,$B1117,AV$5)=1,1,IF(INDEX([1]Pivot!$B$1:$AB$65000,$B1117,AV$5)="",2,0)),0)</f>
        <v>0</v>
      </c>
      <c r="AW1117" s="313">
        <f>IFERROR(IF(INDEX([1]Pivot!$BF$1:$CG$65000,$B1117,AW$5)=1,1,IF(INDEX([1]Pivot!$B$1:$AB$65000,$B1117,AW$5)="",2,0)),0)</f>
        <v>0</v>
      </c>
      <c r="AX1117" s="313">
        <f>IFERROR(IF(INDEX([1]Pivot!$BF$1:$CG$65000,$B1117,AX$5)=1,1,IF(INDEX([1]Pivot!$B$1:$AB$65000,$B1117,AX$5)="",2,0)),0)</f>
        <v>0</v>
      </c>
      <c r="AY1117" s="313">
        <f>IFERROR(IF(INDEX([1]Pivot!$BF$1:$CG$65000,$B1117,AY$5)=1,1,IF(INDEX([1]Pivot!$B$1:$AB$65000,$B1117,AY$5)="",2,0)),0)</f>
        <v>0</v>
      </c>
      <c r="AZ1117" s="313">
        <f>IFERROR(IF(INDEX([1]Pivot!$BF$1:$CG$65000,$B1117,AZ$5)=1,1,IF(INDEX([1]Pivot!$B$1:$AB$65000,$B1117,AZ$5)="",2,0)),0)</f>
        <v>0</v>
      </c>
      <c r="BA1117" s="313">
        <f>IFERROR(IF(INDEX([1]Pivot!$BF$1:$CG$65000,$B1117,BA$5)=1,1,IF(INDEX([1]Pivot!$B$1:$AB$65000,$B1117,BA$5)="",2,0)),0)</f>
        <v>0</v>
      </c>
      <c r="BB1117" s="313">
        <f>IFERROR(IF(INDEX([1]Pivot!$BF$1:$CG$65000,$B1117,BB$5)=1,1,IF(INDEX([1]Pivot!$B$1:$AB$65000,$B1117,BB$5)="",2,0)),0)</f>
        <v>0</v>
      </c>
      <c r="BC1117" s="313">
        <f>IFERROR(IF(INDEX([1]Pivot!$BF$1:$CG$65000,$B1117,BC$5)=1,1,IF(INDEX([1]Pivot!$B$1:$AB$65000,$B1117,BC$5)="",2,0)),0)</f>
        <v>0</v>
      </c>
      <c r="BD1117" s="313">
        <f>IFERROR(IF(INDEX([1]Pivot!$BF$1:$CG$65000,$B1117,BD$5)=1,1,IF(INDEX([1]Pivot!$B$1:$AB$65000,$B1117,BD$5)="",2,0)),0)</f>
        <v>0</v>
      </c>
    </row>
    <row r="1118" spans="1:56" x14ac:dyDescent="0.25">
      <c r="A1118" s="288">
        <f>'[2]Raw Milk Prices'!A1118</f>
        <v>0</v>
      </c>
      <c r="B1118" s="296" t="e">
        <f>MATCH(DATE(LEFT('[2]Raw Milk Prices'!$A1118,4),RIGHT('[2]Raw Milk Prices'!$A1118,2),1),[1]Pivot!$A$1:$A$65000,0)</f>
        <v>#VALUE!</v>
      </c>
      <c r="C1118" s="194">
        <f>IFERROR(IF(INDEX([1]Pivot!$AD$1:$BE$65000,$B1118,C$5)=1,1,IF(INDEX([1]Pivot!$B$1:$AB$65000,$B1118,C$5)="",2,0)),0)</f>
        <v>0</v>
      </c>
      <c r="D1118" s="194">
        <f>IFERROR(IF(INDEX([1]Pivot!$AD$1:$BE$65000,$B1118,D$5)=1,1,IF(INDEX([1]Pivot!$B$1:$AB$65000,$B1118,D$5)="",2,0)),0)</f>
        <v>0</v>
      </c>
      <c r="E1118" s="194">
        <f>IFERROR(IF(INDEX([1]Pivot!$AD$1:$BE$65000,$B1118,E$5)=1,1,IF(INDEX([1]Pivot!$B$1:$AB$65000,$B1118,E$5)="",2,0)),0)</f>
        <v>0</v>
      </c>
      <c r="F1118" s="194">
        <f>IFERROR(IF(INDEX([1]Pivot!$AD$1:$BE$65000,$B1118,F$5)=1,1,IF(INDEX([1]Pivot!$B$1:$AB$65000,$B1118,F$5)="",2,0)),0)</f>
        <v>0</v>
      </c>
      <c r="G1118" s="194">
        <f>IFERROR(IF(INDEX([1]Pivot!$AD$1:$BE$65000,$B1118,G$5)=1,1,IF(INDEX([1]Pivot!$B$1:$AB$65000,$B1118,G$5)="",2,0)),0)</f>
        <v>0</v>
      </c>
      <c r="H1118" s="194">
        <f>IFERROR(IF(INDEX([1]Pivot!$AD$1:$BE$65000,$B1118,H$5)=1,1,IF(INDEX([1]Pivot!$B$1:$AB$65000,$B1118,H$5)="",2,0)),0)</f>
        <v>0</v>
      </c>
      <c r="I1118" s="194">
        <f>IFERROR(IF(INDEX([1]Pivot!$AD$1:$BE$65000,$B1118,I$5)=1,1,IF(INDEX([1]Pivot!$B$1:$AB$65000,$B1118,I$5)="",2,0)),0)</f>
        <v>0</v>
      </c>
      <c r="J1118" s="194">
        <f>IFERROR(IF(INDEX([1]Pivot!$AD$1:$BE$65000,$B1118,J$5)=1,1,IF(INDEX([1]Pivot!$B$1:$AB$65000,$B1118,J$5)="",2,0)),0)</f>
        <v>0</v>
      </c>
      <c r="K1118" s="194">
        <f>IFERROR(IF(INDEX([1]Pivot!$AD$1:$BE$65000,$B1118,K$5)=1,1,IF(INDEX([1]Pivot!$B$1:$AB$65000,$B1118,K$5)="",2,0)),0)</f>
        <v>0</v>
      </c>
      <c r="L1118" s="194">
        <f>IFERROR(IF(INDEX([1]Pivot!$AD$1:$BE$65000,$B1118,L$5)=1,1,IF(INDEX([1]Pivot!$B$1:$AB$65000,$B1118,L$5)="",2,0)),0)</f>
        <v>0</v>
      </c>
      <c r="M1118" s="194">
        <f>IFERROR(IF(INDEX([1]Pivot!$AD$1:$BE$65000,$B1118,M$5)=1,1,IF(INDEX([1]Pivot!$B$1:$AB$65000,$B1118,M$5)="",2,0)),0)</f>
        <v>0</v>
      </c>
      <c r="N1118" s="194">
        <f>IFERROR(IF(INDEX([1]Pivot!$AD$1:$BE$65000,$B1118,N$5)=1,1,IF(INDEX([1]Pivot!$B$1:$AB$65000,$B1118,N$5)="",2,0)),0)</f>
        <v>0</v>
      </c>
      <c r="O1118" s="194">
        <f>IFERROR(IF(INDEX([1]Pivot!$AD$1:$BE$65000,$B1118,O$5)=1,1,IF(INDEX([1]Pivot!$B$1:$AB$65000,$B1118,O$5)="",2,0)),0)</f>
        <v>0</v>
      </c>
      <c r="P1118" s="194">
        <f>IFERROR(IF(INDEX([1]Pivot!$AD$1:$BE$65000,$B1118,P$5)=1,1,IF(INDEX([1]Pivot!$B$1:$AB$65000,$B1118,P$5)="",2,0)),0)</f>
        <v>0</v>
      </c>
      <c r="Q1118" s="194">
        <f>IFERROR(IF(INDEX([1]Pivot!$AD$1:$BE$65000,$B1118,Q$5)=1,1,IF(INDEX([1]Pivot!$B$1:$AB$65000,$B1118,Q$5)="",2,0)),0)</f>
        <v>0</v>
      </c>
      <c r="R1118" s="312"/>
      <c r="S1118" s="194">
        <f>IFERROR(IF(INDEX([1]Pivot!$AD$1:$BE$65000,$B1118,S$5)=1,1,IF(INDEX([1]Pivot!$B$1:$AB$65000,$B1118,S$5)="",2,0)),0)</f>
        <v>0</v>
      </c>
      <c r="T1118" s="194">
        <f>IFERROR(IF(INDEX([1]Pivot!$AD$1:$BE$65000,$B1118,T$5)=1,1,IF(INDEX([1]Pivot!$B$1:$AB$65000,$B1118,T$5)="",2,0)),0)</f>
        <v>0</v>
      </c>
      <c r="U1118" s="194">
        <f>IFERROR(IF(INDEX([1]Pivot!$AD$1:$BE$65000,$B1118,U$5)=1,1,IF(INDEX([1]Pivot!$B$1:$AB$65000,$B1118,U$5)="",2,0)),0)</f>
        <v>0</v>
      </c>
      <c r="V1118" s="194">
        <f>IFERROR(IF(INDEX([1]Pivot!$AD$1:$BE$65000,$B1118,V$5)=1,1,IF(INDEX([1]Pivot!$B$1:$AB$65000,$B1118,V$5)="",2,0)),0)</f>
        <v>0</v>
      </c>
      <c r="W1118" s="194">
        <f>IFERROR(IF(INDEX([1]Pivot!$AD$1:$BE$65000,$B1118,W$5)=1,1,IF(INDEX([1]Pivot!$B$1:$AB$65000,$B1118,W$5)="",2,0)),0)</f>
        <v>0</v>
      </c>
      <c r="X1118" s="194">
        <f>IFERROR(IF(INDEX([1]Pivot!$AD$1:$BE$65000,$B1118,X$5)=1,1,IF(INDEX([1]Pivot!$B$1:$AB$65000,$B1118,X$5)="",2,0)),0)</f>
        <v>0</v>
      </c>
      <c r="Y1118" s="194">
        <f>IFERROR(IF(INDEX([1]Pivot!$AD$1:$BE$65000,$B1118,Y$5)=1,1,IF(INDEX([1]Pivot!$B$1:$AB$65000,$B1118,Y$5)="",2,0)),0)</f>
        <v>0</v>
      </c>
      <c r="Z1118" s="194">
        <f>IFERROR(IF(INDEX([1]Pivot!$AD$1:$BE$65000,$B1118,Z$5)=1,1,IF(INDEX([1]Pivot!$B$1:$AB$65000,$B1118,Z$5)="",2,0)),0)</f>
        <v>0</v>
      </c>
      <c r="AA1118" s="194">
        <f>IFERROR(IF(INDEX([1]Pivot!$AD$1:$BE$65000,$B1118,AA$5)=1,1,IF(INDEX([1]Pivot!$B$1:$AB$65000,$B1118,AA$5)="",2,0)),0)</f>
        <v>0</v>
      </c>
      <c r="AB1118" s="194">
        <f>IFERROR(IF(INDEX([1]Pivot!$AD$1:$BE$65000,$B1118,AB$5)=1,1,IF(INDEX([1]Pivot!$B$1:$AB$65000,$B1118,AB$5)="",2,0)),0)</f>
        <v>0</v>
      </c>
      <c r="AC1118" s="194">
        <f>IFERROR(IF(INDEX([1]Pivot!$AD$1:$BE$65000,$B1118,AC$5)=1,1,IF(INDEX([1]Pivot!$B$1:$AB$65000,$B1118,AC$5)="",2,0)),0)</f>
        <v>0</v>
      </c>
      <c r="AD1118" s="313">
        <f>IFERROR(IF(INDEX([1]Pivot!$BF$1:$CG$65000,$B1118,AD$5)=1,1,IF(INDEX([1]Pivot!$B$1:$AB$65000,$B1118,AD$5)="",2,0)),0)</f>
        <v>0</v>
      </c>
      <c r="AE1118" s="313">
        <f>IFERROR(IF(INDEX([1]Pivot!$BF$1:$CG$65000,$B1118,AE$5)=1,1,IF(INDEX([1]Pivot!$B$1:$AB$65000,$B1118,AE$5)="",2,0)),0)</f>
        <v>0</v>
      </c>
      <c r="AF1118" s="313">
        <f>IFERROR(IF(INDEX([1]Pivot!$BF$1:$CG$65000,$B1118,AF$5)=1,1,IF(INDEX([1]Pivot!$B$1:$AB$65000,$B1118,AF$5)="",2,0)),0)</f>
        <v>0</v>
      </c>
      <c r="AG1118" s="313">
        <f>IFERROR(IF(INDEX([1]Pivot!$BF$1:$CG$65000,$B1118,AG$5)=1,1,IF(INDEX([1]Pivot!$B$1:$AB$65000,$B1118,AG$5)="",2,0)),0)</f>
        <v>0</v>
      </c>
      <c r="AH1118" s="313">
        <f>IFERROR(IF(INDEX([1]Pivot!$BF$1:$CG$65000,$B1118,AH$5)=1,1,IF(INDEX([1]Pivot!$B$1:$AB$65000,$B1118,AH$5)="",2,0)),0)</f>
        <v>0</v>
      </c>
      <c r="AI1118" s="313">
        <f>IFERROR(IF(INDEX([1]Pivot!$BF$1:$CG$65000,$B1118,AI$5)=1,1,IF(INDEX([1]Pivot!$B$1:$AB$65000,$B1118,AI$5)="",2,0)),0)</f>
        <v>0</v>
      </c>
      <c r="AJ1118" s="313">
        <f>IFERROR(IF(INDEX([1]Pivot!$BF$1:$CG$65000,$B1118,AJ$5)=1,1,IF(INDEX([1]Pivot!$B$1:$AB$65000,$B1118,AJ$5)="",2,0)),0)</f>
        <v>0</v>
      </c>
      <c r="AK1118" s="313">
        <f>IFERROR(IF(INDEX([1]Pivot!$BF$1:$CG$65000,$B1118,AK$5)=1,1,IF(INDEX([1]Pivot!$B$1:$AB$65000,$B1118,AK$5)="",2,0)),0)</f>
        <v>0</v>
      </c>
      <c r="AL1118" s="313">
        <f>IFERROR(IF(INDEX([1]Pivot!$BF$1:$CG$65000,$B1118,AL$5)=1,1,IF(INDEX([1]Pivot!$B$1:$AB$65000,$B1118,AL$5)="",2,0)),0)</f>
        <v>0</v>
      </c>
      <c r="AM1118" s="313">
        <f>IFERROR(IF(INDEX([1]Pivot!$BF$1:$CG$65000,$B1118,AM$5)=1,1,IF(INDEX([1]Pivot!$B$1:$AB$65000,$B1118,AM$5)="",2,0)),0)</f>
        <v>0</v>
      </c>
      <c r="AN1118" s="313">
        <f>IFERROR(IF(INDEX([1]Pivot!$BF$1:$CG$65000,$B1118,AN$5)=1,1,IF(INDEX([1]Pivot!$B$1:$AB$65000,$B1118,AN$5)="",2,0)),0)</f>
        <v>0</v>
      </c>
      <c r="AO1118" s="313">
        <f>IFERROR(IF(INDEX([1]Pivot!$BF$1:$CG$65000,$B1118,AO$5)=1,1,IF(INDEX([1]Pivot!$B$1:$AB$65000,$B1118,AO$5)="",2,0)),0)</f>
        <v>0</v>
      </c>
      <c r="AP1118" s="313">
        <f>IFERROR(IF(INDEX([1]Pivot!$BF$1:$CG$65000,$B1118,AP$5)=1,1,IF(INDEX([1]Pivot!$B$1:$AB$65000,$B1118,AP$5)="",2,0)),0)</f>
        <v>0</v>
      </c>
      <c r="AQ1118" s="313">
        <f>IFERROR(IF(INDEX([1]Pivot!$BF$1:$CG$65000,$B1118,AQ$5)=1,1,IF(INDEX([1]Pivot!$B$1:$AB$65000,$B1118,AQ$5)="",2,0)),0)</f>
        <v>0</v>
      </c>
      <c r="AR1118" s="313">
        <f>IFERROR(IF(INDEX([1]Pivot!$BF$1:$CG$65000,$B1118,AR$5)=1,1,IF(INDEX([1]Pivot!$B$1:$AB$65000,$B1118,AR$5)="",2,0)),0)</f>
        <v>0</v>
      </c>
      <c r="AS1118" s="312"/>
      <c r="AT1118" s="313">
        <f>IFERROR(IF(INDEX([1]Pivot!$BF$1:$CG$65000,$B1118,AT$5)=1,1,IF(INDEX([1]Pivot!$B$1:$AB$65000,$B1118,AT$5)="",2,0)),0)</f>
        <v>0</v>
      </c>
      <c r="AU1118" s="313">
        <f>IFERROR(IF(INDEX([1]Pivot!$BF$1:$CG$65000,$B1118,AU$5)=1,1,IF(INDEX([1]Pivot!$B$1:$AB$65000,$B1118,AU$5)="",2,0)),0)</f>
        <v>0</v>
      </c>
      <c r="AV1118" s="313">
        <f>IFERROR(IF(INDEX([1]Pivot!$BF$1:$CG$65000,$B1118,AV$5)=1,1,IF(INDEX([1]Pivot!$B$1:$AB$65000,$B1118,AV$5)="",2,0)),0)</f>
        <v>0</v>
      </c>
      <c r="AW1118" s="313">
        <f>IFERROR(IF(INDEX([1]Pivot!$BF$1:$CG$65000,$B1118,AW$5)=1,1,IF(INDEX([1]Pivot!$B$1:$AB$65000,$B1118,AW$5)="",2,0)),0)</f>
        <v>0</v>
      </c>
      <c r="AX1118" s="313">
        <f>IFERROR(IF(INDEX([1]Pivot!$BF$1:$CG$65000,$B1118,AX$5)=1,1,IF(INDEX([1]Pivot!$B$1:$AB$65000,$B1118,AX$5)="",2,0)),0)</f>
        <v>0</v>
      </c>
      <c r="AY1118" s="313">
        <f>IFERROR(IF(INDEX([1]Pivot!$BF$1:$CG$65000,$B1118,AY$5)=1,1,IF(INDEX([1]Pivot!$B$1:$AB$65000,$B1118,AY$5)="",2,0)),0)</f>
        <v>0</v>
      </c>
      <c r="AZ1118" s="313">
        <f>IFERROR(IF(INDEX([1]Pivot!$BF$1:$CG$65000,$B1118,AZ$5)=1,1,IF(INDEX([1]Pivot!$B$1:$AB$65000,$B1118,AZ$5)="",2,0)),0)</f>
        <v>0</v>
      </c>
      <c r="BA1118" s="313">
        <f>IFERROR(IF(INDEX([1]Pivot!$BF$1:$CG$65000,$B1118,BA$5)=1,1,IF(INDEX([1]Pivot!$B$1:$AB$65000,$B1118,BA$5)="",2,0)),0)</f>
        <v>0</v>
      </c>
      <c r="BB1118" s="313">
        <f>IFERROR(IF(INDEX([1]Pivot!$BF$1:$CG$65000,$B1118,BB$5)=1,1,IF(INDEX([1]Pivot!$B$1:$AB$65000,$B1118,BB$5)="",2,0)),0)</f>
        <v>0</v>
      </c>
      <c r="BC1118" s="313">
        <f>IFERROR(IF(INDEX([1]Pivot!$BF$1:$CG$65000,$B1118,BC$5)=1,1,IF(INDEX([1]Pivot!$B$1:$AB$65000,$B1118,BC$5)="",2,0)),0)</f>
        <v>0</v>
      </c>
      <c r="BD1118" s="313">
        <f>IFERROR(IF(INDEX([1]Pivot!$BF$1:$CG$65000,$B1118,BD$5)=1,1,IF(INDEX([1]Pivot!$B$1:$AB$65000,$B1118,BD$5)="",2,0)),0)</f>
        <v>0</v>
      </c>
    </row>
    <row r="1119" spans="1:56" x14ac:dyDescent="0.25">
      <c r="A1119" s="288">
        <f>'[2]Raw Milk Prices'!A1119</f>
        <v>0</v>
      </c>
      <c r="B1119" s="296" t="e">
        <f>MATCH(DATE(LEFT('[2]Raw Milk Prices'!$A1119,4),RIGHT('[2]Raw Milk Prices'!$A1119,2),1),[1]Pivot!$A$1:$A$65000,0)</f>
        <v>#VALUE!</v>
      </c>
      <c r="C1119" s="194">
        <f>IFERROR(IF(INDEX([1]Pivot!$AD$1:$BE$65000,$B1119,C$5)=1,1,IF(INDEX([1]Pivot!$B$1:$AB$65000,$B1119,C$5)="",2,0)),0)</f>
        <v>0</v>
      </c>
      <c r="D1119" s="194">
        <f>IFERROR(IF(INDEX([1]Pivot!$AD$1:$BE$65000,$B1119,D$5)=1,1,IF(INDEX([1]Pivot!$B$1:$AB$65000,$B1119,D$5)="",2,0)),0)</f>
        <v>0</v>
      </c>
      <c r="E1119" s="194">
        <f>IFERROR(IF(INDEX([1]Pivot!$AD$1:$BE$65000,$B1119,E$5)=1,1,IF(INDEX([1]Pivot!$B$1:$AB$65000,$B1119,E$5)="",2,0)),0)</f>
        <v>0</v>
      </c>
      <c r="F1119" s="194">
        <f>IFERROR(IF(INDEX([1]Pivot!$AD$1:$BE$65000,$B1119,F$5)=1,1,IF(INDEX([1]Pivot!$B$1:$AB$65000,$B1119,F$5)="",2,0)),0)</f>
        <v>0</v>
      </c>
      <c r="G1119" s="194">
        <f>IFERROR(IF(INDEX([1]Pivot!$AD$1:$BE$65000,$B1119,G$5)=1,1,IF(INDEX([1]Pivot!$B$1:$AB$65000,$B1119,G$5)="",2,0)),0)</f>
        <v>0</v>
      </c>
      <c r="H1119" s="194">
        <f>IFERROR(IF(INDEX([1]Pivot!$AD$1:$BE$65000,$B1119,H$5)=1,1,IF(INDEX([1]Pivot!$B$1:$AB$65000,$B1119,H$5)="",2,0)),0)</f>
        <v>0</v>
      </c>
      <c r="I1119" s="194">
        <f>IFERROR(IF(INDEX([1]Pivot!$AD$1:$BE$65000,$B1119,I$5)=1,1,IF(INDEX([1]Pivot!$B$1:$AB$65000,$B1119,I$5)="",2,0)),0)</f>
        <v>0</v>
      </c>
      <c r="J1119" s="194">
        <f>IFERROR(IF(INDEX([1]Pivot!$AD$1:$BE$65000,$B1119,J$5)=1,1,IF(INDEX([1]Pivot!$B$1:$AB$65000,$B1119,J$5)="",2,0)),0)</f>
        <v>0</v>
      </c>
      <c r="K1119" s="194">
        <f>IFERROR(IF(INDEX([1]Pivot!$AD$1:$BE$65000,$B1119,K$5)=1,1,IF(INDEX([1]Pivot!$B$1:$AB$65000,$B1119,K$5)="",2,0)),0)</f>
        <v>0</v>
      </c>
      <c r="L1119" s="194">
        <f>IFERROR(IF(INDEX([1]Pivot!$AD$1:$BE$65000,$B1119,L$5)=1,1,IF(INDEX([1]Pivot!$B$1:$AB$65000,$B1119,L$5)="",2,0)),0)</f>
        <v>0</v>
      </c>
      <c r="M1119" s="194">
        <f>IFERROR(IF(INDEX([1]Pivot!$AD$1:$BE$65000,$B1119,M$5)=1,1,IF(INDEX([1]Pivot!$B$1:$AB$65000,$B1119,M$5)="",2,0)),0)</f>
        <v>0</v>
      </c>
      <c r="N1119" s="194">
        <f>IFERROR(IF(INDEX([1]Pivot!$AD$1:$BE$65000,$B1119,N$5)=1,1,IF(INDEX([1]Pivot!$B$1:$AB$65000,$B1119,N$5)="",2,0)),0)</f>
        <v>0</v>
      </c>
      <c r="O1119" s="194">
        <f>IFERROR(IF(INDEX([1]Pivot!$AD$1:$BE$65000,$B1119,O$5)=1,1,IF(INDEX([1]Pivot!$B$1:$AB$65000,$B1119,O$5)="",2,0)),0)</f>
        <v>0</v>
      </c>
      <c r="P1119" s="194">
        <f>IFERROR(IF(INDEX([1]Pivot!$AD$1:$BE$65000,$B1119,P$5)=1,1,IF(INDEX([1]Pivot!$B$1:$AB$65000,$B1119,P$5)="",2,0)),0)</f>
        <v>0</v>
      </c>
      <c r="Q1119" s="194">
        <f>IFERROR(IF(INDEX([1]Pivot!$AD$1:$BE$65000,$B1119,Q$5)=1,1,IF(INDEX([1]Pivot!$B$1:$AB$65000,$B1119,Q$5)="",2,0)),0)</f>
        <v>0</v>
      </c>
      <c r="R1119" s="312"/>
      <c r="S1119" s="194">
        <f>IFERROR(IF(INDEX([1]Pivot!$AD$1:$BE$65000,$B1119,S$5)=1,1,IF(INDEX([1]Pivot!$B$1:$AB$65000,$B1119,S$5)="",2,0)),0)</f>
        <v>0</v>
      </c>
      <c r="T1119" s="194">
        <f>IFERROR(IF(INDEX([1]Pivot!$AD$1:$BE$65000,$B1119,T$5)=1,1,IF(INDEX([1]Pivot!$B$1:$AB$65000,$B1119,T$5)="",2,0)),0)</f>
        <v>0</v>
      </c>
      <c r="U1119" s="194">
        <f>IFERROR(IF(INDEX([1]Pivot!$AD$1:$BE$65000,$B1119,U$5)=1,1,IF(INDEX([1]Pivot!$B$1:$AB$65000,$B1119,U$5)="",2,0)),0)</f>
        <v>0</v>
      </c>
      <c r="V1119" s="194">
        <f>IFERROR(IF(INDEX([1]Pivot!$AD$1:$BE$65000,$B1119,V$5)=1,1,IF(INDEX([1]Pivot!$B$1:$AB$65000,$B1119,V$5)="",2,0)),0)</f>
        <v>0</v>
      </c>
      <c r="W1119" s="194">
        <f>IFERROR(IF(INDEX([1]Pivot!$AD$1:$BE$65000,$B1119,W$5)=1,1,IF(INDEX([1]Pivot!$B$1:$AB$65000,$B1119,W$5)="",2,0)),0)</f>
        <v>0</v>
      </c>
      <c r="X1119" s="194">
        <f>IFERROR(IF(INDEX([1]Pivot!$AD$1:$BE$65000,$B1119,X$5)=1,1,IF(INDEX([1]Pivot!$B$1:$AB$65000,$B1119,X$5)="",2,0)),0)</f>
        <v>0</v>
      </c>
      <c r="Y1119" s="194">
        <f>IFERROR(IF(INDEX([1]Pivot!$AD$1:$BE$65000,$B1119,Y$5)=1,1,IF(INDEX([1]Pivot!$B$1:$AB$65000,$B1119,Y$5)="",2,0)),0)</f>
        <v>0</v>
      </c>
      <c r="Z1119" s="194">
        <f>IFERROR(IF(INDEX([1]Pivot!$AD$1:$BE$65000,$B1119,Z$5)=1,1,IF(INDEX([1]Pivot!$B$1:$AB$65000,$B1119,Z$5)="",2,0)),0)</f>
        <v>0</v>
      </c>
      <c r="AA1119" s="194">
        <f>IFERROR(IF(INDEX([1]Pivot!$AD$1:$BE$65000,$B1119,AA$5)=1,1,IF(INDEX([1]Pivot!$B$1:$AB$65000,$B1119,AA$5)="",2,0)),0)</f>
        <v>0</v>
      </c>
      <c r="AB1119" s="194">
        <f>IFERROR(IF(INDEX([1]Pivot!$AD$1:$BE$65000,$B1119,AB$5)=1,1,IF(INDEX([1]Pivot!$B$1:$AB$65000,$B1119,AB$5)="",2,0)),0)</f>
        <v>0</v>
      </c>
      <c r="AC1119" s="194">
        <f>IFERROR(IF(INDEX([1]Pivot!$AD$1:$BE$65000,$B1119,AC$5)=1,1,IF(INDEX([1]Pivot!$B$1:$AB$65000,$B1119,AC$5)="",2,0)),0)</f>
        <v>0</v>
      </c>
      <c r="AD1119" s="313">
        <f>IFERROR(IF(INDEX([1]Pivot!$BF$1:$CG$65000,$B1119,AD$5)=1,1,IF(INDEX([1]Pivot!$B$1:$AB$65000,$B1119,AD$5)="",2,0)),0)</f>
        <v>0</v>
      </c>
      <c r="AE1119" s="313">
        <f>IFERROR(IF(INDEX([1]Pivot!$BF$1:$CG$65000,$B1119,AE$5)=1,1,IF(INDEX([1]Pivot!$B$1:$AB$65000,$B1119,AE$5)="",2,0)),0)</f>
        <v>0</v>
      </c>
      <c r="AF1119" s="313">
        <f>IFERROR(IF(INDEX([1]Pivot!$BF$1:$CG$65000,$B1119,AF$5)=1,1,IF(INDEX([1]Pivot!$B$1:$AB$65000,$B1119,AF$5)="",2,0)),0)</f>
        <v>0</v>
      </c>
      <c r="AG1119" s="313">
        <f>IFERROR(IF(INDEX([1]Pivot!$BF$1:$CG$65000,$B1119,AG$5)=1,1,IF(INDEX([1]Pivot!$B$1:$AB$65000,$B1119,AG$5)="",2,0)),0)</f>
        <v>0</v>
      </c>
      <c r="AH1119" s="313">
        <f>IFERROR(IF(INDEX([1]Pivot!$BF$1:$CG$65000,$B1119,AH$5)=1,1,IF(INDEX([1]Pivot!$B$1:$AB$65000,$B1119,AH$5)="",2,0)),0)</f>
        <v>0</v>
      </c>
      <c r="AI1119" s="313">
        <f>IFERROR(IF(INDEX([1]Pivot!$BF$1:$CG$65000,$B1119,AI$5)=1,1,IF(INDEX([1]Pivot!$B$1:$AB$65000,$B1119,AI$5)="",2,0)),0)</f>
        <v>0</v>
      </c>
      <c r="AJ1119" s="313">
        <f>IFERROR(IF(INDEX([1]Pivot!$BF$1:$CG$65000,$B1119,AJ$5)=1,1,IF(INDEX([1]Pivot!$B$1:$AB$65000,$B1119,AJ$5)="",2,0)),0)</f>
        <v>0</v>
      </c>
      <c r="AK1119" s="313">
        <f>IFERROR(IF(INDEX([1]Pivot!$BF$1:$CG$65000,$B1119,AK$5)=1,1,IF(INDEX([1]Pivot!$B$1:$AB$65000,$B1119,AK$5)="",2,0)),0)</f>
        <v>0</v>
      </c>
      <c r="AL1119" s="313">
        <f>IFERROR(IF(INDEX([1]Pivot!$BF$1:$CG$65000,$B1119,AL$5)=1,1,IF(INDEX([1]Pivot!$B$1:$AB$65000,$B1119,AL$5)="",2,0)),0)</f>
        <v>0</v>
      </c>
      <c r="AM1119" s="313">
        <f>IFERROR(IF(INDEX([1]Pivot!$BF$1:$CG$65000,$B1119,AM$5)=1,1,IF(INDEX([1]Pivot!$B$1:$AB$65000,$B1119,AM$5)="",2,0)),0)</f>
        <v>0</v>
      </c>
      <c r="AN1119" s="313">
        <f>IFERROR(IF(INDEX([1]Pivot!$BF$1:$CG$65000,$B1119,AN$5)=1,1,IF(INDEX([1]Pivot!$B$1:$AB$65000,$B1119,AN$5)="",2,0)),0)</f>
        <v>0</v>
      </c>
      <c r="AO1119" s="313">
        <f>IFERROR(IF(INDEX([1]Pivot!$BF$1:$CG$65000,$B1119,AO$5)=1,1,IF(INDEX([1]Pivot!$B$1:$AB$65000,$B1119,AO$5)="",2,0)),0)</f>
        <v>0</v>
      </c>
      <c r="AP1119" s="313">
        <f>IFERROR(IF(INDEX([1]Pivot!$BF$1:$CG$65000,$B1119,AP$5)=1,1,IF(INDEX([1]Pivot!$B$1:$AB$65000,$B1119,AP$5)="",2,0)),0)</f>
        <v>0</v>
      </c>
      <c r="AQ1119" s="313">
        <f>IFERROR(IF(INDEX([1]Pivot!$BF$1:$CG$65000,$B1119,AQ$5)=1,1,IF(INDEX([1]Pivot!$B$1:$AB$65000,$B1119,AQ$5)="",2,0)),0)</f>
        <v>0</v>
      </c>
      <c r="AR1119" s="313">
        <f>IFERROR(IF(INDEX([1]Pivot!$BF$1:$CG$65000,$B1119,AR$5)=1,1,IF(INDEX([1]Pivot!$B$1:$AB$65000,$B1119,AR$5)="",2,0)),0)</f>
        <v>0</v>
      </c>
      <c r="AS1119" s="312"/>
      <c r="AT1119" s="313">
        <f>IFERROR(IF(INDEX([1]Pivot!$BF$1:$CG$65000,$B1119,AT$5)=1,1,IF(INDEX([1]Pivot!$B$1:$AB$65000,$B1119,AT$5)="",2,0)),0)</f>
        <v>0</v>
      </c>
      <c r="AU1119" s="313">
        <f>IFERROR(IF(INDEX([1]Pivot!$BF$1:$CG$65000,$B1119,AU$5)=1,1,IF(INDEX([1]Pivot!$B$1:$AB$65000,$B1119,AU$5)="",2,0)),0)</f>
        <v>0</v>
      </c>
      <c r="AV1119" s="313">
        <f>IFERROR(IF(INDEX([1]Pivot!$BF$1:$CG$65000,$B1119,AV$5)=1,1,IF(INDEX([1]Pivot!$B$1:$AB$65000,$B1119,AV$5)="",2,0)),0)</f>
        <v>0</v>
      </c>
      <c r="AW1119" s="313">
        <f>IFERROR(IF(INDEX([1]Pivot!$BF$1:$CG$65000,$B1119,AW$5)=1,1,IF(INDEX([1]Pivot!$B$1:$AB$65000,$B1119,AW$5)="",2,0)),0)</f>
        <v>0</v>
      </c>
      <c r="AX1119" s="313">
        <f>IFERROR(IF(INDEX([1]Pivot!$BF$1:$CG$65000,$B1119,AX$5)=1,1,IF(INDEX([1]Pivot!$B$1:$AB$65000,$B1119,AX$5)="",2,0)),0)</f>
        <v>0</v>
      </c>
      <c r="AY1119" s="313">
        <f>IFERROR(IF(INDEX([1]Pivot!$BF$1:$CG$65000,$B1119,AY$5)=1,1,IF(INDEX([1]Pivot!$B$1:$AB$65000,$B1119,AY$5)="",2,0)),0)</f>
        <v>0</v>
      </c>
      <c r="AZ1119" s="313">
        <f>IFERROR(IF(INDEX([1]Pivot!$BF$1:$CG$65000,$B1119,AZ$5)=1,1,IF(INDEX([1]Pivot!$B$1:$AB$65000,$B1119,AZ$5)="",2,0)),0)</f>
        <v>0</v>
      </c>
      <c r="BA1119" s="313">
        <f>IFERROR(IF(INDEX([1]Pivot!$BF$1:$CG$65000,$B1119,BA$5)=1,1,IF(INDEX([1]Pivot!$B$1:$AB$65000,$B1119,BA$5)="",2,0)),0)</f>
        <v>0</v>
      </c>
      <c r="BB1119" s="313">
        <f>IFERROR(IF(INDEX([1]Pivot!$BF$1:$CG$65000,$B1119,BB$5)=1,1,IF(INDEX([1]Pivot!$B$1:$AB$65000,$B1119,BB$5)="",2,0)),0)</f>
        <v>0</v>
      </c>
      <c r="BC1119" s="313">
        <f>IFERROR(IF(INDEX([1]Pivot!$BF$1:$CG$65000,$B1119,BC$5)=1,1,IF(INDEX([1]Pivot!$B$1:$AB$65000,$B1119,BC$5)="",2,0)),0)</f>
        <v>0</v>
      </c>
      <c r="BD1119" s="313">
        <f>IFERROR(IF(INDEX([1]Pivot!$BF$1:$CG$65000,$B1119,BD$5)=1,1,IF(INDEX([1]Pivot!$B$1:$AB$65000,$B1119,BD$5)="",2,0)),0)</f>
        <v>0</v>
      </c>
    </row>
    <row r="1120" spans="1:56" x14ac:dyDescent="0.25">
      <c r="A1120" s="288">
        <f>'[2]Raw Milk Prices'!A1120</f>
        <v>0</v>
      </c>
      <c r="B1120" s="296" t="e">
        <f>MATCH(DATE(LEFT('[2]Raw Milk Prices'!$A1120,4),RIGHT('[2]Raw Milk Prices'!$A1120,2),1),[1]Pivot!$A$1:$A$65000,0)</f>
        <v>#VALUE!</v>
      </c>
      <c r="C1120" s="194">
        <f>IFERROR(IF(INDEX([1]Pivot!$AD$1:$BE$65000,$B1120,C$5)=1,1,IF(INDEX([1]Pivot!$B$1:$AB$65000,$B1120,C$5)="",2,0)),0)</f>
        <v>0</v>
      </c>
      <c r="D1120" s="194">
        <f>IFERROR(IF(INDEX([1]Pivot!$AD$1:$BE$65000,$B1120,D$5)=1,1,IF(INDEX([1]Pivot!$B$1:$AB$65000,$B1120,D$5)="",2,0)),0)</f>
        <v>0</v>
      </c>
      <c r="E1120" s="194">
        <f>IFERROR(IF(INDEX([1]Pivot!$AD$1:$BE$65000,$B1120,E$5)=1,1,IF(INDEX([1]Pivot!$B$1:$AB$65000,$B1120,E$5)="",2,0)),0)</f>
        <v>0</v>
      </c>
      <c r="F1120" s="194">
        <f>IFERROR(IF(INDEX([1]Pivot!$AD$1:$BE$65000,$B1120,F$5)=1,1,IF(INDEX([1]Pivot!$B$1:$AB$65000,$B1120,F$5)="",2,0)),0)</f>
        <v>0</v>
      </c>
      <c r="G1120" s="194">
        <f>IFERROR(IF(INDEX([1]Pivot!$AD$1:$BE$65000,$B1120,G$5)=1,1,IF(INDEX([1]Pivot!$B$1:$AB$65000,$B1120,G$5)="",2,0)),0)</f>
        <v>0</v>
      </c>
      <c r="H1120" s="194">
        <f>IFERROR(IF(INDEX([1]Pivot!$AD$1:$BE$65000,$B1120,H$5)=1,1,IF(INDEX([1]Pivot!$B$1:$AB$65000,$B1120,H$5)="",2,0)),0)</f>
        <v>0</v>
      </c>
      <c r="I1120" s="194">
        <f>IFERROR(IF(INDEX([1]Pivot!$AD$1:$BE$65000,$B1120,I$5)=1,1,IF(INDEX([1]Pivot!$B$1:$AB$65000,$B1120,I$5)="",2,0)),0)</f>
        <v>0</v>
      </c>
      <c r="J1120" s="194">
        <f>IFERROR(IF(INDEX([1]Pivot!$AD$1:$BE$65000,$B1120,J$5)=1,1,IF(INDEX([1]Pivot!$B$1:$AB$65000,$B1120,J$5)="",2,0)),0)</f>
        <v>0</v>
      </c>
      <c r="K1120" s="194">
        <f>IFERROR(IF(INDEX([1]Pivot!$AD$1:$BE$65000,$B1120,K$5)=1,1,IF(INDEX([1]Pivot!$B$1:$AB$65000,$B1120,K$5)="",2,0)),0)</f>
        <v>0</v>
      </c>
      <c r="L1120" s="194">
        <f>IFERROR(IF(INDEX([1]Pivot!$AD$1:$BE$65000,$B1120,L$5)=1,1,IF(INDEX([1]Pivot!$B$1:$AB$65000,$B1120,L$5)="",2,0)),0)</f>
        <v>0</v>
      </c>
      <c r="M1120" s="194">
        <f>IFERROR(IF(INDEX([1]Pivot!$AD$1:$BE$65000,$B1120,M$5)=1,1,IF(INDEX([1]Pivot!$B$1:$AB$65000,$B1120,M$5)="",2,0)),0)</f>
        <v>0</v>
      </c>
      <c r="N1120" s="194">
        <f>IFERROR(IF(INDEX([1]Pivot!$AD$1:$BE$65000,$B1120,N$5)=1,1,IF(INDEX([1]Pivot!$B$1:$AB$65000,$B1120,N$5)="",2,0)),0)</f>
        <v>0</v>
      </c>
      <c r="O1120" s="194">
        <f>IFERROR(IF(INDEX([1]Pivot!$AD$1:$BE$65000,$B1120,O$5)=1,1,IF(INDEX([1]Pivot!$B$1:$AB$65000,$B1120,O$5)="",2,0)),0)</f>
        <v>0</v>
      </c>
      <c r="P1120" s="194">
        <f>IFERROR(IF(INDEX([1]Pivot!$AD$1:$BE$65000,$B1120,P$5)=1,1,IF(INDEX([1]Pivot!$B$1:$AB$65000,$B1120,P$5)="",2,0)),0)</f>
        <v>0</v>
      </c>
      <c r="Q1120" s="194">
        <f>IFERROR(IF(INDEX([1]Pivot!$AD$1:$BE$65000,$B1120,Q$5)=1,1,IF(INDEX([1]Pivot!$B$1:$AB$65000,$B1120,Q$5)="",2,0)),0)</f>
        <v>0</v>
      </c>
      <c r="R1120" s="312"/>
      <c r="S1120" s="194">
        <f>IFERROR(IF(INDEX([1]Pivot!$AD$1:$BE$65000,$B1120,S$5)=1,1,IF(INDEX([1]Pivot!$B$1:$AB$65000,$B1120,S$5)="",2,0)),0)</f>
        <v>0</v>
      </c>
      <c r="T1120" s="194">
        <f>IFERROR(IF(INDEX([1]Pivot!$AD$1:$BE$65000,$B1120,T$5)=1,1,IF(INDEX([1]Pivot!$B$1:$AB$65000,$B1120,T$5)="",2,0)),0)</f>
        <v>0</v>
      </c>
      <c r="U1120" s="194">
        <f>IFERROR(IF(INDEX([1]Pivot!$AD$1:$BE$65000,$B1120,U$5)=1,1,IF(INDEX([1]Pivot!$B$1:$AB$65000,$B1120,U$5)="",2,0)),0)</f>
        <v>0</v>
      </c>
      <c r="V1120" s="194">
        <f>IFERROR(IF(INDEX([1]Pivot!$AD$1:$BE$65000,$B1120,V$5)=1,1,IF(INDEX([1]Pivot!$B$1:$AB$65000,$B1120,V$5)="",2,0)),0)</f>
        <v>0</v>
      </c>
      <c r="W1120" s="194">
        <f>IFERROR(IF(INDEX([1]Pivot!$AD$1:$BE$65000,$B1120,W$5)=1,1,IF(INDEX([1]Pivot!$B$1:$AB$65000,$B1120,W$5)="",2,0)),0)</f>
        <v>0</v>
      </c>
      <c r="X1120" s="194">
        <f>IFERROR(IF(INDEX([1]Pivot!$AD$1:$BE$65000,$B1120,X$5)=1,1,IF(INDEX([1]Pivot!$B$1:$AB$65000,$B1120,X$5)="",2,0)),0)</f>
        <v>0</v>
      </c>
      <c r="Y1120" s="194">
        <f>IFERROR(IF(INDEX([1]Pivot!$AD$1:$BE$65000,$B1120,Y$5)=1,1,IF(INDEX([1]Pivot!$B$1:$AB$65000,$B1120,Y$5)="",2,0)),0)</f>
        <v>0</v>
      </c>
      <c r="Z1120" s="194">
        <f>IFERROR(IF(INDEX([1]Pivot!$AD$1:$BE$65000,$B1120,Z$5)=1,1,IF(INDEX([1]Pivot!$B$1:$AB$65000,$B1120,Z$5)="",2,0)),0)</f>
        <v>0</v>
      </c>
      <c r="AA1120" s="194">
        <f>IFERROR(IF(INDEX([1]Pivot!$AD$1:$BE$65000,$B1120,AA$5)=1,1,IF(INDEX([1]Pivot!$B$1:$AB$65000,$B1120,AA$5)="",2,0)),0)</f>
        <v>0</v>
      </c>
      <c r="AB1120" s="194">
        <f>IFERROR(IF(INDEX([1]Pivot!$AD$1:$BE$65000,$B1120,AB$5)=1,1,IF(INDEX([1]Pivot!$B$1:$AB$65000,$B1120,AB$5)="",2,0)),0)</f>
        <v>0</v>
      </c>
      <c r="AC1120" s="194">
        <f>IFERROR(IF(INDEX([1]Pivot!$AD$1:$BE$65000,$B1120,AC$5)=1,1,IF(INDEX([1]Pivot!$B$1:$AB$65000,$B1120,AC$5)="",2,0)),0)</f>
        <v>0</v>
      </c>
      <c r="AD1120" s="313">
        <f>IFERROR(IF(INDEX([1]Pivot!$BF$1:$CG$65000,$B1120,AD$5)=1,1,IF(INDEX([1]Pivot!$B$1:$AB$65000,$B1120,AD$5)="",2,0)),0)</f>
        <v>0</v>
      </c>
      <c r="AE1120" s="313">
        <f>IFERROR(IF(INDEX([1]Pivot!$BF$1:$CG$65000,$B1120,AE$5)=1,1,IF(INDEX([1]Pivot!$B$1:$AB$65000,$B1120,AE$5)="",2,0)),0)</f>
        <v>0</v>
      </c>
      <c r="AF1120" s="313">
        <f>IFERROR(IF(INDEX([1]Pivot!$BF$1:$CG$65000,$B1120,AF$5)=1,1,IF(INDEX([1]Pivot!$B$1:$AB$65000,$B1120,AF$5)="",2,0)),0)</f>
        <v>0</v>
      </c>
      <c r="AG1120" s="313">
        <f>IFERROR(IF(INDEX([1]Pivot!$BF$1:$CG$65000,$B1120,AG$5)=1,1,IF(INDEX([1]Pivot!$B$1:$AB$65000,$B1120,AG$5)="",2,0)),0)</f>
        <v>0</v>
      </c>
      <c r="AH1120" s="313">
        <f>IFERROR(IF(INDEX([1]Pivot!$BF$1:$CG$65000,$B1120,AH$5)=1,1,IF(INDEX([1]Pivot!$B$1:$AB$65000,$B1120,AH$5)="",2,0)),0)</f>
        <v>0</v>
      </c>
      <c r="AI1120" s="313">
        <f>IFERROR(IF(INDEX([1]Pivot!$BF$1:$CG$65000,$B1120,AI$5)=1,1,IF(INDEX([1]Pivot!$B$1:$AB$65000,$B1120,AI$5)="",2,0)),0)</f>
        <v>0</v>
      </c>
      <c r="AJ1120" s="313">
        <f>IFERROR(IF(INDEX([1]Pivot!$BF$1:$CG$65000,$B1120,AJ$5)=1,1,IF(INDEX([1]Pivot!$B$1:$AB$65000,$B1120,AJ$5)="",2,0)),0)</f>
        <v>0</v>
      </c>
      <c r="AK1120" s="313">
        <f>IFERROR(IF(INDEX([1]Pivot!$BF$1:$CG$65000,$B1120,AK$5)=1,1,IF(INDEX([1]Pivot!$B$1:$AB$65000,$B1120,AK$5)="",2,0)),0)</f>
        <v>0</v>
      </c>
      <c r="AL1120" s="313">
        <f>IFERROR(IF(INDEX([1]Pivot!$BF$1:$CG$65000,$B1120,AL$5)=1,1,IF(INDEX([1]Pivot!$B$1:$AB$65000,$B1120,AL$5)="",2,0)),0)</f>
        <v>0</v>
      </c>
      <c r="AM1120" s="313">
        <f>IFERROR(IF(INDEX([1]Pivot!$BF$1:$CG$65000,$B1120,AM$5)=1,1,IF(INDEX([1]Pivot!$B$1:$AB$65000,$B1120,AM$5)="",2,0)),0)</f>
        <v>0</v>
      </c>
      <c r="AN1120" s="313">
        <f>IFERROR(IF(INDEX([1]Pivot!$BF$1:$CG$65000,$B1120,AN$5)=1,1,IF(INDEX([1]Pivot!$B$1:$AB$65000,$B1120,AN$5)="",2,0)),0)</f>
        <v>0</v>
      </c>
      <c r="AO1120" s="313">
        <f>IFERROR(IF(INDEX([1]Pivot!$BF$1:$CG$65000,$B1120,AO$5)=1,1,IF(INDEX([1]Pivot!$B$1:$AB$65000,$B1120,AO$5)="",2,0)),0)</f>
        <v>0</v>
      </c>
      <c r="AP1120" s="313">
        <f>IFERROR(IF(INDEX([1]Pivot!$BF$1:$CG$65000,$B1120,AP$5)=1,1,IF(INDEX([1]Pivot!$B$1:$AB$65000,$B1120,AP$5)="",2,0)),0)</f>
        <v>0</v>
      </c>
      <c r="AQ1120" s="313">
        <f>IFERROR(IF(INDEX([1]Pivot!$BF$1:$CG$65000,$B1120,AQ$5)=1,1,IF(INDEX([1]Pivot!$B$1:$AB$65000,$B1120,AQ$5)="",2,0)),0)</f>
        <v>0</v>
      </c>
      <c r="AR1120" s="313">
        <f>IFERROR(IF(INDEX([1]Pivot!$BF$1:$CG$65000,$B1120,AR$5)=1,1,IF(INDEX([1]Pivot!$B$1:$AB$65000,$B1120,AR$5)="",2,0)),0)</f>
        <v>0</v>
      </c>
      <c r="AS1120" s="312"/>
      <c r="AT1120" s="313">
        <f>IFERROR(IF(INDEX([1]Pivot!$BF$1:$CG$65000,$B1120,AT$5)=1,1,IF(INDEX([1]Pivot!$B$1:$AB$65000,$B1120,AT$5)="",2,0)),0)</f>
        <v>0</v>
      </c>
      <c r="AU1120" s="313">
        <f>IFERROR(IF(INDEX([1]Pivot!$BF$1:$CG$65000,$B1120,AU$5)=1,1,IF(INDEX([1]Pivot!$B$1:$AB$65000,$B1120,AU$5)="",2,0)),0)</f>
        <v>0</v>
      </c>
      <c r="AV1120" s="313">
        <f>IFERROR(IF(INDEX([1]Pivot!$BF$1:$CG$65000,$B1120,AV$5)=1,1,IF(INDEX([1]Pivot!$B$1:$AB$65000,$B1120,AV$5)="",2,0)),0)</f>
        <v>0</v>
      </c>
      <c r="AW1120" s="313">
        <f>IFERROR(IF(INDEX([1]Pivot!$BF$1:$CG$65000,$B1120,AW$5)=1,1,IF(INDEX([1]Pivot!$B$1:$AB$65000,$B1120,AW$5)="",2,0)),0)</f>
        <v>0</v>
      </c>
      <c r="AX1120" s="313">
        <f>IFERROR(IF(INDEX([1]Pivot!$BF$1:$CG$65000,$B1120,AX$5)=1,1,IF(INDEX([1]Pivot!$B$1:$AB$65000,$B1120,AX$5)="",2,0)),0)</f>
        <v>0</v>
      </c>
      <c r="AY1120" s="313">
        <f>IFERROR(IF(INDEX([1]Pivot!$BF$1:$CG$65000,$B1120,AY$5)=1,1,IF(INDEX([1]Pivot!$B$1:$AB$65000,$B1120,AY$5)="",2,0)),0)</f>
        <v>0</v>
      </c>
      <c r="AZ1120" s="313">
        <f>IFERROR(IF(INDEX([1]Pivot!$BF$1:$CG$65000,$B1120,AZ$5)=1,1,IF(INDEX([1]Pivot!$B$1:$AB$65000,$B1120,AZ$5)="",2,0)),0)</f>
        <v>0</v>
      </c>
      <c r="BA1120" s="313">
        <f>IFERROR(IF(INDEX([1]Pivot!$BF$1:$CG$65000,$B1120,BA$5)=1,1,IF(INDEX([1]Pivot!$B$1:$AB$65000,$B1120,BA$5)="",2,0)),0)</f>
        <v>0</v>
      </c>
      <c r="BB1120" s="313">
        <f>IFERROR(IF(INDEX([1]Pivot!$BF$1:$CG$65000,$B1120,BB$5)=1,1,IF(INDEX([1]Pivot!$B$1:$AB$65000,$B1120,BB$5)="",2,0)),0)</f>
        <v>0</v>
      </c>
      <c r="BC1120" s="313">
        <f>IFERROR(IF(INDEX([1]Pivot!$BF$1:$CG$65000,$B1120,BC$5)=1,1,IF(INDEX([1]Pivot!$B$1:$AB$65000,$B1120,BC$5)="",2,0)),0)</f>
        <v>0</v>
      </c>
      <c r="BD1120" s="313">
        <f>IFERROR(IF(INDEX([1]Pivot!$BF$1:$CG$65000,$B1120,BD$5)=1,1,IF(INDEX([1]Pivot!$B$1:$AB$65000,$B1120,BD$5)="",2,0)),0)</f>
        <v>0</v>
      </c>
    </row>
    <row r="1121" spans="1:56" x14ac:dyDescent="0.25">
      <c r="A1121" s="288">
        <f>'[2]Raw Milk Prices'!A1121</f>
        <v>0</v>
      </c>
      <c r="B1121" s="296" t="e">
        <f>MATCH(DATE(LEFT('[2]Raw Milk Prices'!$A1121,4),RIGHT('[2]Raw Milk Prices'!$A1121,2),1),[1]Pivot!$A$1:$A$65000,0)</f>
        <v>#VALUE!</v>
      </c>
      <c r="C1121" s="194">
        <f>IFERROR(IF(INDEX([1]Pivot!$AD$1:$BE$65000,$B1121,C$5)=1,1,IF(INDEX([1]Pivot!$B$1:$AB$65000,$B1121,C$5)="",2,0)),0)</f>
        <v>0</v>
      </c>
      <c r="D1121" s="194">
        <f>IFERROR(IF(INDEX([1]Pivot!$AD$1:$BE$65000,$B1121,D$5)=1,1,IF(INDEX([1]Pivot!$B$1:$AB$65000,$B1121,D$5)="",2,0)),0)</f>
        <v>0</v>
      </c>
      <c r="E1121" s="194">
        <f>IFERROR(IF(INDEX([1]Pivot!$AD$1:$BE$65000,$B1121,E$5)=1,1,IF(INDEX([1]Pivot!$B$1:$AB$65000,$B1121,E$5)="",2,0)),0)</f>
        <v>0</v>
      </c>
      <c r="F1121" s="194">
        <f>IFERROR(IF(INDEX([1]Pivot!$AD$1:$BE$65000,$B1121,F$5)=1,1,IF(INDEX([1]Pivot!$B$1:$AB$65000,$B1121,F$5)="",2,0)),0)</f>
        <v>0</v>
      </c>
      <c r="G1121" s="194">
        <f>IFERROR(IF(INDEX([1]Pivot!$AD$1:$BE$65000,$B1121,G$5)=1,1,IF(INDEX([1]Pivot!$B$1:$AB$65000,$B1121,G$5)="",2,0)),0)</f>
        <v>0</v>
      </c>
      <c r="H1121" s="194">
        <f>IFERROR(IF(INDEX([1]Pivot!$AD$1:$BE$65000,$B1121,H$5)=1,1,IF(INDEX([1]Pivot!$B$1:$AB$65000,$B1121,H$5)="",2,0)),0)</f>
        <v>0</v>
      </c>
      <c r="I1121" s="194">
        <f>IFERROR(IF(INDEX([1]Pivot!$AD$1:$BE$65000,$B1121,I$5)=1,1,IF(INDEX([1]Pivot!$B$1:$AB$65000,$B1121,I$5)="",2,0)),0)</f>
        <v>0</v>
      </c>
      <c r="J1121" s="194">
        <f>IFERROR(IF(INDEX([1]Pivot!$AD$1:$BE$65000,$B1121,J$5)=1,1,IF(INDEX([1]Pivot!$B$1:$AB$65000,$B1121,J$5)="",2,0)),0)</f>
        <v>0</v>
      </c>
      <c r="K1121" s="194">
        <f>IFERROR(IF(INDEX([1]Pivot!$AD$1:$BE$65000,$B1121,K$5)=1,1,IF(INDEX([1]Pivot!$B$1:$AB$65000,$B1121,K$5)="",2,0)),0)</f>
        <v>0</v>
      </c>
      <c r="L1121" s="194">
        <f>IFERROR(IF(INDEX([1]Pivot!$AD$1:$BE$65000,$B1121,L$5)=1,1,IF(INDEX([1]Pivot!$B$1:$AB$65000,$B1121,L$5)="",2,0)),0)</f>
        <v>0</v>
      </c>
      <c r="M1121" s="194">
        <f>IFERROR(IF(INDEX([1]Pivot!$AD$1:$BE$65000,$B1121,M$5)=1,1,IF(INDEX([1]Pivot!$B$1:$AB$65000,$B1121,M$5)="",2,0)),0)</f>
        <v>0</v>
      </c>
      <c r="N1121" s="194">
        <f>IFERROR(IF(INDEX([1]Pivot!$AD$1:$BE$65000,$B1121,N$5)=1,1,IF(INDEX([1]Pivot!$B$1:$AB$65000,$B1121,N$5)="",2,0)),0)</f>
        <v>0</v>
      </c>
      <c r="O1121" s="194">
        <f>IFERROR(IF(INDEX([1]Pivot!$AD$1:$BE$65000,$B1121,O$5)=1,1,IF(INDEX([1]Pivot!$B$1:$AB$65000,$B1121,O$5)="",2,0)),0)</f>
        <v>0</v>
      </c>
      <c r="P1121" s="194">
        <f>IFERROR(IF(INDEX([1]Pivot!$AD$1:$BE$65000,$B1121,P$5)=1,1,IF(INDEX([1]Pivot!$B$1:$AB$65000,$B1121,P$5)="",2,0)),0)</f>
        <v>0</v>
      </c>
      <c r="Q1121" s="194">
        <f>IFERROR(IF(INDEX([1]Pivot!$AD$1:$BE$65000,$B1121,Q$5)=1,1,IF(INDEX([1]Pivot!$B$1:$AB$65000,$B1121,Q$5)="",2,0)),0)</f>
        <v>0</v>
      </c>
      <c r="R1121" s="312"/>
      <c r="S1121" s="194">
        <f>IFERROR(IF(INDEX([1]Pivot!$AD$1:$BE$65000,$B1121,S$5)=1,1,IF(INDEX([1]Pivot!$B$1:$AB$65000,$B1121,S$5)="",2,0)),0)</f>
        <v>0</v>
      </c>
      <c r="T1121" s="194">
        <f>IFERROR(IF(INDEX([1]Pivot!$AD$1:$BE$65000,$B1121,T$5)=1,1,IF(INDEX([1]Pivot!$B$1:$AB$65000,$B1121,T$5)="",2,0)),0)</f>
        <v>0</v>
      </c>
      <c r="U1121" s="194">
        <f>IFERROR(IF(INDEX([1]Pivot!$AD$1:$BE$65000,$B1121,U$5)=1,1,IF(INDEX([1]Pivot!$B$1:$AB$65000,$B1121,U$5)="",2,0)),0)</f>
        <v>0</v>
      </c>
      <c r="V1121" s="194">
        <f>IFERROR(IF(INDEX([1]Pivot!$AD$1:$BE$65000,$B1121,V$5)=1,1,IF(INDEX([1]Pivot!$B$1:$AB$65000,$B1121,V$5)="",2,0)),0)</f>
        <v>0</v>
      </c>
      <c r="W1121" s="194">
        <f>IFERROR(IF(INDEX([1]Pivot!$AD$1:$BE$65000,$B1121,W$5)=1,1,IF(INDEX([1]Pivot!$B$1:$AB$65000,$B1121,W$5)="",2,0)),0)</f>
        <v>0</v>
      </c>
      <c r="X1121" s="194">
        <f>IFERROR(IF(INDEX([1]Pivot!$AD$1:$BE$65000,$B1121,X$5)=1,1,IF(INDEX([1]Pivot!$B$1:$AB$65000,$B1121,X$5)="",2,0)),0)</f>
        <v>0</v>
      </c>
      <c r="Y1121" s="194">
        <f>IFERROR(IF(INDEX([1]Pivot!$AD$1:$BE$65000,$B1121,Y$5)=1,1,IF(INDEX([1]Pivot!$B$1:$AB$65000,$B1121,Y$5)="",2,0)),0)</f>
        <v>0</v>
      </c>
      <c r="Z1121" s="194">
        <f>IFERROR(IF(INDEX([1]Pivot!$AD$1:$BE$65000,$B1121,Z$5)=1,1,IF(INDEX([1]Pivot!$B$1:$AB$65000,$B1121,Z$5)="",2,0)),0)</f>
        <v>0</v>
      </c>
      <c r="AA1121" s="194">
        <f>IFERROR(IF(INDEX([1]Pivot!$AD$1:$BE$65000,$B1121,AA$5)=1,1,IF(INDEX([1]Pivot!$B$1:$AB$65000,$B1121,AA$5)="",2,0)),0)</f>
        <v>0</v>
      </c>
      <c r="AB1121" s="194">
        <f>IFERROR(IF(INDEX([1]Pivot!$AD$1:$BE$65000,$B1121,AB$5)=1,1,IF(INDEX([1]Pivot!$B$1:$AB$65000,$B1121,AB$5)="",2,0)),0)</f>
        <v>0</v>
      </c>
      <c r="AC1121" s="194">
        <f>IFERROR(IF(INDEX([1]Pivot!$AD$1:$BE$65000,$B1121,AC$5)=1,1,IF(INDEX([1]Pivot!$B$1:$AB$65000,$B1121,AC$5)="",2,0)),0)</f>
        <v>0</v>
      </c>
      <c r="AD1121" s="313">
        <f>IFERROR(IF(INDEX([1]Pivot!$BF$1:$CG$65000,$B1121,AD$5)=1,1,IF(INDEX([1]Pivot!$B$1:$AB$65000,$B1121,AD$5)="",2,0)),0)</f>
        <v>0</v>
      </c>
      <c r="AE1121" s="313">
        <f>IFERROR(IF(INDEX([1]Pivot!$BF$1:$CG$65000,$B1121,AE$5)=1,1,IF(INDEX([1]Pivot!$B$1:$AB$65000,$B1121,AE$5)="",2,0)),0)</f>
        <v>0</v>
      </c>
      <c r="AF1121" s="313">
        <f>IFERROR(IF(INDEX([1]Pivot!$BF$1:$CG$65000,$B1121,AF$5)=1,1,IF(INDEX([1]Pivot!$B$1:$AB$65000,$B1121,AF$5)="",2,0)),0)</f>
        <v>0</v>
      </c>
      <c r="AG1121" s="313">
        <f>IFERROR(IF(INDEX([1]Pivot!$BF$1:$CG$65000,$B1121,AG$5)=1,1,IF(INDEX([1]Pivot!$B$1:$AB$65000,$B1121,AG$5)="",2,0)),0)</f>
        <v>0</v>
      </c>
      <c r="AH1121" s="313">
        <f>IFERROR(IF(INDEX([1]Pivot!$BF$1:$CG$65000,$B1121,AH$5)=1,1,IF(INDEX([1]Pivot!$B$1:$AB$65000,$B1121,AH$5)="",2,0)),0)</f>
        <v>0</v>
      </c>
      <c r="AI1121" s="313">
        <f>IFERROR(IF(INDEX([1]Pivot!$BF$1:$CG$65000,$B1121,AI$5)=1,1,IF(INDEX([1]Pivot!$B$1:$AB$65000,$B1121,AI$5)="",2,0)),0)</f>
        <v>0</v>
      </c>
      <c r="AJ1121" s="313">
        <f>IFERROR(IF(INDEX([1]Pivot!$BF$1:$CG$65000,$B1121,AJ$5)=1,1,IF(INDEX([1]Pivot!$B$1:$AB$65000,$B1121,AJ$5)="",2,0)),0)</f>
        <v>0</v>
      </c>
      <c r="AK1121" s="313">
        <f>IFERROR(IF(INDEX([1]Pivot!$BF$1:$CG$65000,$B1121,AK$5)=1,1,IF(INDEX([1]Pivot!$B$1:$AB$65000,$B1121,AK$5)="",2,0)),0)</f>
        <v>0</v>
      </c>
      <c r="AL1121" s="313">
        <f>IFERROR(IF(INDEX([1]Pivot!$BF$1:$CG$65000,$B1121,AL$5)=1,1,IF(INDEX([1]Pivot!$B$1:$AB$65000,$B1121,AL$5)="",2,0)),0)</f>
        <v>0</v>
      </c>
      <c r="AM1121" s="313">
        <f>IFERROR(IF(INDEX([1]Pivot!$BF$1:$CG$65000,$B1121,AM$5)=1,1,IF(INDEX([1]Pivot!$B$1:$AB$65000,$B1121,AM$5)="",2,0)),0)</f>
        <v>0</v>
      </c>
      <c r="AN1121" s="313">
        <f>IFERROR(IF(INDEX([1]Pivot!$BF$1:$CG$65000,$B1121,AN$5)=1,1,IF(INDEX([1]Pivot!$B$1:$AB$65000,$B1121,AN$5)="",2,0)),0)</f>
        <v>0</v>
      </c>
      <c r="AO1121" s="313">
        <f>IFERROR(IF(INDEX([1]Pivot!$BF$1:$CG$65000,$B1121,AO$5)=1,1,IF(INDEX([1]Pivot!$B$1:$AB$65000,$B1121,AO$5)="",2,0)),0)</f>
        <v>0</v>
      </c>
      <c r="AP1121" s="313">
        <f>IFERROR(IF(INDEX([1]Pivot!$BF$1:$CG$65000,$B1121,AP$5)=1,1,IF(INDEX([1]Pivot!$B$1:$AB$65000,$B1121,AP$5)="",2,0)),0)</f>
        <v>0</v>
      </c>
      <c r="AQ1121" s="313">
        <f>IFERROR(IF(INDEX([1]Pivot!$BF$1:$CG$65000,$B1121,AQ$5)=1,1,IF(INDEX([1]Pivot!$B$1:$AB$65000,$B1121,AQ$5)="",2,0)),0)</f>
        <v>0</v>
      </c>
      <c r="AR1121" s="313">
        <f>IFERROR(IF(INDEX([1]Pivot!$BF$1:$CG$65000,$B1121,AR$5)=1,1,IF(INDEX([1]Pivot!$B$1:$AB$65000,$B1121,AR$5)="",2,0)),0)</f>
        <v>0</v>
      </c>
      <c r="AS1121" s="312"/>
      <c r="AT1121" s="313">
        <f>IFERROR(IF(INDEX([1]Pivot!$BF$1:$CG$65000,$B1121,AT$5)=1,1,IF(INDEX([1]Pivot!$B$1:$AB$65000,$B1121,AT$5)="",2,0)),0)</f>
        <v>0</v>
      </c>
      <c r="AU1121" s="313">
        <f>IFERROR(IF(INDEX([1]Pivot!$BF$1:$CG$65000,$B1121,AU$5)=1,1,IF(INDEX([1]Pivot!$B$1:$AB$65000,$B1121,AU$5)="",2,0)),0)</f>
        <v>0</v>
      </c>
      <c r="AV1121" s="313">
        <f>IFERROR(IF(INDEX([1]Pivot!$BF$1:$CG$65000,$B1121,AV$5)=1,1,IF(INDEX([1]Pivot!$B$1:$AB$65000,$B1121,AV$5)="",2,0)),0)</f>
        <v>0</v>
      </c>
      <c r="AW1121" s="313">
        <f>IFERROR(IF(INDEX([1]Pivot!$BF$1:$CG$65000,$B1121,AW$5)=1,1,IF(INDEX([1]Pivot!$B$1:$AB$65000,$B1121,AW$5)="",2,0)),0)</f>
        <v>0</v>
      </c>
      <c r="AX1121" s="313">
        <f>IFERROR(IF(INDEX([1]Pivot!$BF$1:$CG$65000,$B1121,AX$5)=1,1,IF(INDEX([1]Pivot!$B$1:$AB$65000,$B1121,AX$5)="",2,0)),0)</f>
        <v>0</v>
      </c>
      <c r="AY1121" s="313">
        <f>IFERROR(IF(INDEX([1]Pivot!$BF$1:$CG$65000,$B1121,AY$5)=1,1,IF(INDEX([1]Pivot!$B$1:$AB$65000,$B1121,AY$5)="",2,0)),0)</f>
        <v>0</v>
      </c>
      <c r="AZ1121" s="313">
        <f>IFERROR(IF(INDEX([1]Pivot!$BF$1:$CG$65000,$B1121,AZ$5)=1,1,IF(INDEX([1]Pivot!$B$1:$AB$65000,$B1121,AZ$5)="",2,0)),0)</f>
        <v>0</v>
      </c>
      <c r="BA1121" s="313">
        <f>IFERROR(IF(INDEX([1]Pivot!$BF$1:$CG$65000,$B1121,BA$5)=1,1,IF(INDEX([1]Pivot!$B$1:$AB$65000,$B1121,BA$5)="",2,0)),0)</f>
        <v>0</v>
      </c>
      <c r="BB1121" s="313">
        <f>IFERROR(IF(INDEX([1]Pivot!$BF$1:$CG$65000,$B1121,BB$5)=1,1,IF(INDEX([1]Pivot!$B$1:$AB$65000,$B1121,BB$5)="",2,0)),0)</f>
        <v>0</v>
      </c>
      <c r="BC1121" s="313">
        <f>IFERROR(IF(INDEX([1]Pivot!$BF$1:$CG$65000,$B1121,BC$5)=1,1,IF(INDEX([1]Pivot!$B$1:$AB$65000,$B1121,BC$5)="",2,0)),0)</f>
        <v>0</v>
      </c>
      <c r="BD1121" s="313">
        <f>IFERROR(IF(INDEX([1]Pivot!$BF$1:$CG$65000,$B1121,BD$5)=1,1,IF(INDEX([1]Pivot!$B$1:$AB$65000,$B1121,BD$5)="",2,0)),0)</f>
        <v>0</v>
      </c>
    </row>
    <row r="1122" spans="1:56" x14ac:dyDescent="0.25">
      <c r="A1122" s="288">
        <f>'[2]Raw Milk Prices'!A1122</f>
        <v>0</v>
      </c>
      <c r="B1122" s="296" t="e">
        <f>MATCH(DATE(LEFT('[2]Raw Milk Prices'!$A1122,4),RIGHT('[2]Raw Milk Prices'!$A1122,2),1),[1]Pivot!$A$1:$A$65000,0)</f>
        <v>#VALUE!</v>
      </c>
      <c r="C1122" s="194">
        <f>IFERROR(IF(INDEX([1]Pivot!$AD$1:$BE$65000,$B1122,C$5)=1,1,IF(INDEX([1]Pivot!$B$1:$AB$65000,$B1122,C$5)="",2,0)),0)</f>
        <v>0</v>
      </c>
      <c r="D1122" s="194">
        <f>IFERROR(IF(INDEX([1]Pivot!$AD$1:$BE$65000,$B1122,D$5)=1,1,IF(INDEX([1]Pivot!$B$1:$AB$65000,$B1122,D$5)="",2,0)),0)</f>
        <v>0</v>
      </c>
      <c r="E1122" s="194">
        <f>IFERROR(IF(INDEX([1]Pivot!$AD$1:$BE$65000,$B1122,E$5)=1,1,IF(INDEX([1]Pivot!$B$1:$AB$65000,$B1122,E$5)="",2,0)),0)</f>
        <v>0</v>
      </c>
      <c r="F1122" s="194">
        <f>IFERROR(IF(INDEX([1]Pivot!$AD$1:$BE$65000,$B1122,F$5)=1,1,IF(INDEX([1]Pivot!$B$1:$AB$65000,$B1122,F$5)="",2,0)),0)</f>
        <v>0</v>
      </c>
      <c r="G1122" s="194">
        <f>IFERROR(IF(INDEX([1]Pivot!$AD$1:$BE$65000,$B1122,G$5)=1,1,IF(INDEX([1]Pivot!$B$1:$AB$65000,$B1122,G$5)="",2,0)),0)</f>
        <v>0</v>
      </c>
      <c r="H1122" s="194">
        <f>IFERROR(IF(INDEX([1]Pivot!$AD$1:$BE$65000,$B1122,H$5)=1,1,IF(INDEX([1]Pivot!$B$1:$AB$65000,$B1122,H$5)="",2,0)),0)</f>
        <v>0</v>
      </c>
      <c r="I1122" s="194">
        <f>IFERROR(IF(INDEX([1]Pivot!$AD$1:$BE$65000,$B1122,I$5)=1,1,IF(INDEX([1]Pivot!$B$1:$AB$65000,$B1122,I$5)="",2,0)),0)</f>
        <v>0</v>
      </c>
      <c r="J1122" s="194">
        <f>IFERROR(IF(INDEX([1]Pivot!$AD$1:$BE$65000,$B1122,J$5)=1,1,IF(INDEX([1]Pivot!$B$1:$AB$65000,$B1122,J$5)="",2,0)),0)</f>
        <v>0</v>
      </c>
      <c r="K1122" s="194">
        <f>IFERROR(IF(INDEX([1]Pivot!$AD$1:$BE$65000,$B1122,K$5)=1,1,IF(INDEX([1]Pivot!$B$1:$AB$65000,$B1122,K$5)="",2,0)),0)</f>
        <v>0</v>
      </c>
      <c r="L1122" s="194">
        <f>IFERROR(IF(INDEX([1]Pivot!$AD$1:$BE$65000,$B1122,L$5)=1,1,IF(INDEX([1]Pivot!$B$1:$AB$65000,$B1122,L$5)="",2,0)),0)</f>
        <v>0</v>
      </c>
      <c r="M1122" s="194">
        <f>IFERROR(IF(INDEX([1]Pivot!$AD$1:$BE$65000,$B1122,M$5)=1,1,IF(INDEX([1]Pivot!$B$1:$AB$65000,$B1122,M$5)="",2,0)),0)</f>
        <v>0</v>
      </c>
      <c r="N1122" s="194">
        <f>IFERROR(IF(INDEX([1]Pivot!$AD$1:$BE$65000,$B1122,N$5)=1,1,IF(INDEX([1]Pivot!$B$1:$AB$65000,$B1122,N$5)="",2,0)),0)</f>
        <v>0</v>
      </c>
      <c r="O1122" s="194">
        <f>IFERROR(IF(INDEX([1]Pivot!$AD$1:$BE$65000,$B1122,O$5)=1,1,IF(INDEX([1]Pivot!$B$1:$AB$65000,$B1122,O$5)="",2,0)),0)</f>
        <v>0</v>
      </c>
      <c r="P1122" s="194">
        <f>IFERROR(IF(INDEX([1]Pivot!$AD$1:$BE$65000,$B1122,P$5)=1,1,IF(INDEX([1]Pivot!$B$1:$AB$65000,$B1122,P$5)="",2,0)),0)</f>
        <v>0</v>
      </c>
      <c r="Q1122" s="194">
        <f>IFERROR(IF(INDEX([1]Pivot!$AD$1:$BE$65000,$B1122,Q$5)=1,1,IF(INDEX([1]Pivot!$B$1:$AB$65000,$B1122,Q$5)="",2,0)),0)</f>
        <v>0</v>
      </c>
      <c r="R1122" s="312"/>
      <c r="S1122" s="194">
        <f>IFERROR(IF(INDEX([1]Pivot!$AD$1:$BE$65000,$B1122,S$5)=1,1,IF(INDEX([1]Pivot!$B$1:$AB$65000,$B1122,S$5)="",2,0)),0)</f>
        <v>0</v>
      </c>
      <c r="T1122" s="194">
        <f>IFERROR(IF(INDEX([1]Pivot!$AD$1:$BE$65000,$B1122,T$5)=1,1,IF(INDEX([1]Pivot!$B$1:$AB$65000,$B1122,T$5)="",2,0)),0)</f>
        <v>0</v>
      </c>
      <c r="U1122" s="194">
        <f>IFERROR(IF(INDEX([1]Pivot!$AD$1:$BE$65000,$B1122,U$5)=1,1,IF(INDEX([1]Pivot!$B$1:$AB$65000,$B1122,U$5)="",2,0)),0)</f>
        <v>0</v>
      </c>
      <c r="V1122" s="194">
        <f>IFERROR(IF(INDEX([1]Pivot!$AD$1:$BE$65000,$B1122,V$5)=1,1,IF(INDEX([1]Pivot!$B$1:$AB$65000,$B1122,V$5)="",2,0)),0)</f>
        <v>0</v>
      </c>
      <c r="W1122" s="194">
        <f>IFERROR(IF(INDEX([1]Pivot!$AD$1:$BE$65000,$B1122,W$5)=1,1,IF(INDEX([1]Pivot!$B$1:$AB$65000,$B1122,W$5)="",2,0)),0)</f>
        <v>0</v>
      </c>
      <c r="X1122" s="194">
        <f>IFERROR(IF(INDEX([1]Pivot!$AD$1:$BE$65000,$B1122,X$5)=1,1,IF(INDEX([1]Pivot!$B$1:$AB$65000,$B1122,X$5)="",2,0)),0)</f>
        <v>0</v>
      </c>
      <c r="Y1122" s="194">
        <f>IFERROR(IF(INDEX([1]Pivot!$AD$1:$BE$65000,$B1122,Y$5)=1,1,IF(INDEX([1]Pivot!$B$1:$AB$65000,$B1122,Y$5)="",2,0)),0)</f>
        <v>0</v>
      </c>
      <c r="Z1122" s="194">
        <f>IFERROR(IF(INDEX([1]Pivot!$AD$1:$BE$65000,$B1122,Z$5)=1,1,IF(INDEX([1]Pivot!$B$1:$AB$65000,$B1122,Z$5)="",2,0)),0)</f>
        <v>0</v>
      </c>
      <c r="AA1122" s="194">
        <f>IFERROR(IF(INDEX([1]Pivot!$AD$1:$BE$65000,$B1122,AA$5)=1,1,IF(INDEX([1]Pivot!$B$1:$AB$65000,$B1122,AA$5)="",2,0)),0)</f>
        <v>0</v>
      </c>
      <c r="AB1122" s="194">
        <f>IFERROR(IF(INDEX([1]Pivot!$AD$1:$BE$65000,$B1122,AB$5)=1,1,IF(INDEX([1]Pivot!$B$1:$AB$65000,$B1122,AB$5)="",2,0)),0)</f>
        <v>0</v>
      </c>
      <c r="AC1122" s="194">
        <f>IFERROR(IF(INDEX([1]Pivot!$AD$1:$BE$65000,$B1122,AC$5)=1,1,IF(INDEX([1]Pivot!$B$1:$AB$65000,$B1122,AC$5)="",2,0)),0)</f>
        <v>0</v>
      </c>
      <c r="AD1122" s="313">
        <f>IFERROR(IF(INDEX([1]Pivot!$BF$1:$CG$65000,$B1122,AD$5)=1,1,IF(INDEX([1]Pivot!$B$1:$AB$65000,$B1122,AD$5)="",2,0)),0)</f>
        <v>0</v>
      </c>
      <c r="AE1122" s="313">
        <f>IFERROR(IF(INDEX([1]Pivot!$BF$1:$CG$65000,$B1122,AE$5)=1,1,IF(INDEX([1]Pivot!$B$1:$AB$65000,$B1122,AE$5)="",2,0)),0)</f>
        <v>0</v>
      </c>
      <c r="AF1122" s="313">
        <f>IFERROR(IF(INDEX([1]Pivot!$BF$1:$CG$65000,$B1122,AF$5)=1,1,IF(INDEX([1]Pivot!$B$1:$AB$65000,$B1122,AF$5)="",2,0)),0)</f>
        <v>0</v>
      </c>
      <c r="AG1122" s="313">
        <f>IFERROR(IF(INDEX([1]Pivot!$BF$1:$CG$65000,$B1122,AG$5)=1,1,IF(INDEX([1]Pivot!$B$1:$AB$65000,$B1122,AG$5)="",2,0)),0)</f>
        <v>0</v>
      </c>
      <c r="AH1122" s="313">
        <f>IFERROR(IF(INDEX([1]Pivot!$BF$1:$CG$65000,$B1122,AH$5)=1,1,IF(INDEX([1]Pivot!$B$1:$AB$65000,$B1122,AH$5)="",2,0)),0)</f>
        <v>0</v>
      </c>
      <c r="AI1122" s="313">
        <f>IFERROR(IF(INDEX([1]Pivot!$BF$1:$CG$65000,$B1122,AI$5)=1,1,IF(INDEX([1]Pivot!$B$1:$AB$65000,$B1122,AI$5)="",2,0)),0)</f>
        <v>0</v>
      </c>
      <c r="AJ1122" s="313">
        <f>IFERROR(IF(INDEX([1]Pivot!$BF$1:$CG$65000,$B1122,AJ$5)=1,1,IF(INDEX([1]Pivot!$B$1:$AB$65000,$B1122,AJ$5)="",2,0)),0)</f>
        <v>0</v>
      </c>
      <c r="AK1122" s="313">
        <f>IFERROR(IF(INDEX([1]Pivot!$BF$1:$CG$65000,$B1122,AK$5)=1,1,IF(INDEX([1]Pivot!$B$1:$AB$65000,$B1122,AK$5)="",2,0)),0)</f>
        <v>0</v>
      </c>
      <c r="AL1122" s="313">
        <f>IFERROR(IF(INDEX([1]Pivot!$BF$1:$CG$65000,$B1122,AL$5)=1,1,IF(INDEX([1]Pivot!$B$1:$AB$65000,$B1122,AL$5)="",2,0)),0)</f>
        <v>0</v>
      </c>
      <c r="AM1122" s="313">
        <f>IFERROR(IF(INDEX([1]Pivot!$BF$1:$CG$65000,$B1122,AM$5)=1,1,IF(INDEX([1]Pivot!$B$1:$AB$65000,$B1122,AM$5)="",2,0)),0)</f>
        <v>0</v>
      </c>
      <c r="AN1122" s="313">
        <f>IFERROR(IF(INDEX([1]Pivot!$BF$1:$CG$65000,$B1122,AN$5)=1,1,IF(INDEX([1]Pivot!$B$1:$AB$65000,$B1122,AN$5)="",2,0)),0)</f>
        <v>0</v>
      </c>
      <c r="AO1122" s="313">
        <f>IFERROR(IF(INDEX([1]Pivot!$BF$1:$CG$65000,$B1122,AO$5)=1,1,IF(INDEX([1]Pivot!$B$1:$AB$65000,$B1122,AO$5)="",2,0)),0)</f>
        <v>0</v>
      </c>
      <c r="AP1122" s="313">
        <f>IFERROR(IF(INDEX([1]Pivot!$BF$1:$CG$65000,$B1122,AP$5)=1,1,IF(INDEX([1]Pivot!$B$1:$AB$65000,$B1122,AP$5)="",2,0)),0)</f>
        <v>0</v>
      </c>
      <c r="AQ1122" s="313">
        <f>IFERROR(IF(INDEX([1]Pivot!$BF$1:$CG$65000,$B1122,AQ$5)=1,1,IF(INDEX([1]Pivot!$B$1:$AB$65000,$B1122,AQ$5)="",2,0)),0)</f>
        <v>0</v>
      </c>
      <c r="AR1122" s="313">
        <f>IFERROR(IF(INDEX([1]Pivot!$BF$1:$CG$65000,$B1122,AR$5)=1,1,IF(INDEX([1]Pivot!$B$1:$AB$65000,$B1122,AR$5)="",2,0)),0)</f>
        <v>0</v>
      </c>
      <c r="AS1122" s="312"/>
      <c r="AT1122" s="313">
        <f>IFERROR(IF(INDEX([1]Pivot!$BF$1:$CG$65000,$B1122,AT$5)=1,1,IF(INDEX([1]Pivot!$B$1:$AB$65000,$B1122,AT$5)="",2,0)),0)</f>
        <v>0</v>
      </c>
      <c r="AU1122" s="313">
        <f>IFERROR(IF(INDEX([1]Pivot!$BF$1:$CG$65000,$B1122,AU$5)=1,1,IF(INDEX([1]Pivot!$B$1:$AB$65000,$B1122,AU$5)="",2,0)),0)</f>
        <v>0</v>
      </c>
      <c r="AV1122" s="313">
        <f>IFERROR(IF(INDEX([1]Pivot!$BF$1:$CG$65000,$B1122,AV$5)=1,1,IF(INDEX([1]Pivot!$B$1:$AB$65000,$B1122,AV$5)="",2,0)),0)</f>
        <v>0</v>
      </c>
      <c r="AW1122" s="313">
        <f>IFERROR(IF(INDEX([1]Pivot!$BF$1:$CG$65000,$B1122,AW$5)=1,1,IF(INDEX([1]Pivot!$B$1:$AB$65000,$B1122,AW$5)="",2,0)),0)</f>
        <v>0</v>
      </c>
      <c r="AX1122" s="313">
        <f>IFERROR(IF(INDEX([1]Pivot!$BF$1:$CG$65000,$B1122,AX$5)=1,1,IF(INDEX([1]Pivot!$B$1:$AB$65000,$B1122,AX$5)="",2,0)),0)</f>
        <v>0</v>
      </c>
      <c r="AY1122" s="313">
        <f>IFERROR(IF(INDEX([1]Pivot!$BF$1:$CG$65000,$B1122,AY$5)=1,1,IF(INDEX([1]Pivot!$B$1:$AB$65000,$B1122,AY$5)="",2,0)),0)</f>
        <v>0</v>
      </c>
      <c r="AZ1122" s="313">
        <f>IFERROR(IF(INDEX([1]Pivot!$BF$1:$CG$65000,$B1122,AZ$5)=1,1,IF(INDEX([1]Pivot!$B$1:$AB$65000,$B1122,AZ$5)="",2,0)),0)</f>
        <v>0</v>
      </c>
      <c r="BA1122" s="313">
        <f>IFERROR(IF(INDEX([1]Pivot!$BF$1:$CG$65000,$B1122,BA$5)=1,1,IF(INDEX([1]Pivot!$B$1:$AB$65000,$B1122,BA$5)="",2,0)),0)</f>
        <v>0</v>
      </c>
      <c r="BB1122" s="313">
        <f>IFERROR(IF(INDEX([1]Pivot!$BF$1:$CG$65000,$B1122,BB$5)=1,1,IF(INDEX([1]Pivot!$B$1:$AB$65000,$B1122,BB$5)="",2,0)),0)</f>
        <v>0</v>
      </c>
      <c r="BC1122" s="313">
        <f>IFERROR(IF(INDEX([1]Pivot!$BF$1:$CG$65000,$B1122,BC$5)=1,1,IF(INDEX([1]Pivot!$B$1:$AB$65000,$B1122,BC$5)="",2,0)),0)</f>
        <v>0</v>
      </c>
      <c r="BD1122" s="313">
        <f>IFERROR(IF(INDEX([1]Pivot!$BF$1:$CG$65000,$B1122,BD$5)=1,1,IF(INDEX([1]Pivot!$B$1:$AB$65000,$B1122,BD$5)="",2,0)),0)</f>
        <v>0</v>
      </c>
    </row>
    <row r="1123" spans="1:56" x14ac:dyDescent="0.25">
      <c r="A1123" s="288">
        <f>'[2]Raw Milk Prices'!A1123</f>
        <v>0</v>
      </c>
      <c r="B1123" s="296" t="e">
        <f>MATCH(DATE(LEFT('[2]Raw Milk Prices'!$A1123,4),RIGHT('[2]Raw Milk Prices'!$A1123,2),1),[1]Pivot!$A$1:$A$65000,0)</f>
        <v>#VALUE!</v>
      </c>
      <c r="C1123" s="194">
        <f>IFERROR(IF(INDEX([1]Pivot!$AD$1:$BE$65000,$B1123,C$5)=1,1,IF(INDEX([1]Pivot!$B$1:$AB$65000,$B1123,C$5)="",2,0)),0)</f>
        <v>0</v>
      </c>
      <c r="D1123" s="194">
        <f>IFERROR(IF(INDEX([1]Pivot!$AD$1:$BE$65000,$B1123,D$5)=1,1,IF(INDEX([1]Pivot!$B$1:$AB$65000,$B1123,D$5)="",2,0)),0)</f>
        <v>0</v>
      </c>
      <c r="E1123" s="194">
        <f>IFERROR(IF(INDEX([1]Pivot!$AD$1:$BE$65000,$B1123,E$5)=1,1,IF(INDEX([1]Pivot!$B$1:$AB$65000,$B1123,E$5)="",2,0)),0)</f>
        <v>0</v>
      </c>
      <c r="F1123" s="194">
        <f>IFERROR(IF(INDEX([1]Pivot!$AD$1:$BE$65000,$B1123,F$5)=1,1,IF(INDEX([1]Pivot!$B$1:$AB$65000,$B1123,F$5)="",2,0)),0)</f>
        <v>0</v>
      </c>
      <c r="G1123" s="194">
        <f>IFERROR(IF(INDEX([1]Pivot!$AD$1:$BE$65000,$B1123,G$5)=1,1,IF(INDEX([1]Pivot!$B$1:$AB$65000,$B1123,G$5)="",2,0)),0)</f>
        <v>0</v>
      </c>
      <c r="H1123" s="194">
        <f>IFERROR(IF(INDEX([1]Pivot!$AD$1:$BE$65000,$B1123,H$5)=1,1,IF(INDEX([1]Pivot!$B$1:$AB$65000,$B1123,H$5)="",2,0)),0)</f>
        <v>0</v>
      </c>
      <c r="I1123" s="194">
        <f>IFERROR(IF(INDEX([1]Pivot!$AD$1:$BE$65000,$B1123,I$5)=1,1,IF(INDEX([1]Pivot!$B$1:$AB$65000,$B1123,I$5)="",2,0)),0)</f>
        <v>0</v>
      </c>
      <c r="J1123" s="194">
        <f>IFERROR(IF(INDEX([1]Pivot!$AD$1:$BE$65000,$B1123,J$5)=1,1,IF(INDEX([1]Pivot!$B$1:$AB$65000,$B1123,J$5)="",2,0)),0)</f>
        <v>0</v>
      </c>
      <c r="K1123" s="194">
        <f>IFERROR(IF(INDEX([1]Pivot!$AD$1:$BE$65000,$B1123,K$5)=1,1,IF(INDEX([1]Pivot!$B$1:$AB$65000,$B1123,K$5)="",2,0)),0)</f>
        <v>0</v>
      </c>
      <c r="L1123" s="194">
        <f>IFERROR(IF(INDEX([1]Pivot!$AD$1:$BE$65000,$B1123,L$5)=1,1,IF(INDEX([1]Pivot!$B$1:$AB$65000,$B1123,L$5)="",2,0)),0)</f>
        <v>0</v>
      </c>
      <c r="M1123" s="194">
        <f>IFERROR(IF(INDEX([1]Pivot!$AD$1:$BE$65000,$B1123,M$5)=1,1,IF(INDEX([1]Pivot!$B$1:$AB$65000,$B1123,M$5)="",2,0)),0)</f>
        <v>0</v>
      </c>
      <c r="N1123" s="194">
        <f>IFERROR(IF(INDEX([1]Pivot!$AD$1:$BE$65000,$B1123,N$5)=1,1,IF(INDEX([1]Pivot!$B$1:$AB$65000,$B1123,N$5)="",2,0)),0)</f>
        <v>0</v>
      </c>
      <c r="O1123" s="194">
        <f>IFERROR(IF(INDEX([1]Pivot!$AD$1:$BE$65000,$B1123,O$5)=1,1,IF(INDEX([1]Pivot!$B$1:$AB$65000,$B1123,O$5)="",2,0)),0)</f>
        <v>0</v>
      </c>
      <c r="P1123" s="194">
        <f>IFERROR(IF(INDEX([1]Pivot!$AD$1:$BE$65000,$B1123,P$5)=1,1,IF(INDEX([1]Pivot!$B$1:$AB$65000,$B1123,P$5)="",2,0)),0)</f>
        <v>0</v>
      </c>
      <c r="Q1123" s="194">
        <f>IFERROR(IF(INDEX([1]Pivot!$AD$1:$BE$65000,$B1123,Q$5)=1,1,IF(INDEX([1]Pivot!$B$1:$AB$65000,$B1123,Q$5)="",2,0)),0)</f>
        <v>0</v>
      </c>
      <c r="R1123" s="312"/>
      <c r="S1123" s="194">
        <f>IFERROR(IF(INDEX([1]Pivot!$AD$1:$BE$65000,$B1123,S$5)=1,1,IF(INDEX([1]Pivot!$B$1:$AB$65000,$B1123,S$5)="",2,0)),0)</f>
        <v>0</v>
      </c>
      <c r="T1123" s="194">
        <f>IFERROR(IF(INDEX([1]Pivot!$AD$1:$BE$65000,$B1123,T$5)=1,1,IF(INDEX([1]Pivot!$B$1:$AB$65000,$B1123,T$5)="",2,0)),0)</f>
        <v>0</v>
      </c>
      <c r="U1123" s="194">
        <f>IFERROR(IF(INDEX([1]Pivot!$AD$1:$BE$65000,$B1123,U$5)=1,1,IF(INDEX([1]Pivot!$B$1:$AB$65000,$B1123,U$5)="",2,0)),0)</f>
        <v>0</v>
      </c>
      <c r="V1123" s="194">
        <f>IFERROR(IF(INDEX([1]Pivot!$AD$1:$BE$65000,$B1123,V$5)=1,1,IF(INDEX([1]Pivot!$B$1:$AB$65000,$B1123,V$5)="",2,0)),0)</f>
        <v>0</v>
      </c>
      <c r="W1123" s="194">
        <f>IFERROR(IF(INDEX([1]Pivot!$AD$1:$BE$65000,$B1123,W$5)=1,1,IF(INDEX([1]Pivot!$B$1:$AB$65000,$B1123,W$5)="",2,0)),0)</f>
        <v>0</v>
      </c>
      <c r="X1123" s="194">
        <f>IFERROR(IF(INDEX([1]Pivot!$AD$1:$BE$65000,$B1123,X$5)=1,1,IF(INDEX([1]Pivot!$B$1:$AB$65000,$B1123,X$5)="",2,0)),0)</f>
        <v>0</v>
      </c>
      <c r="Y1123" s="194">
        <f>IFERROR(IF(INDEX([1]Pivot!$AD$1:$BE$65000,$B1123,Y$5)=1,1,IF(INDEX([1]Pivot!$B$1:$AB$65000,$B1123,Y$5)="",2,0)),0)</f>
        <v>0</v>
      </c>
      <c r="Z1123" s="194">
        <f>IFERROR(IF(INDEX([1]Pivot!$AD$1:$BE$65000,$B1123,Z$5)=1,1,IF(INDEX([1]Pivot!$B$1:$AB$65000,$B1123,Z$5)="",2,0)),0)</f>
        <v>0</v>
      </c>
      <c r="AA1123" s="194">
        <f>IFERROR(IF(INDEX([1]Pivot!$AD$1:$BE$65000,$B1123,AA$5)=1,1,IF(INDEX([1]Pivot!$B$1:$AB$65000,$B1123,AA$5)="",2,0)),0)</f>
        <v>0</v>
      </c>
      <c r="AB1123" s="194">
        <f>IFERROR(IF(INDEX([1]Pivot!$AD$1:$BE$65000,$B1123,AB$5)=1,1,IF(INDEX([1]Pivot!$B$1:$AB$65000,$B1123,AB$5)="",2,0)),0)</f>
        <v>0</v>
      </c>
      <c r="AC1123" s="194">
        <f>IFERROR(IF(INDEX([1]Pivot!$AD$1:$BE$65000,$B1123,AC$5)=1,1,IF(INDEX([1]Pivot!$B$1:$AB$65000,$B1123,AC$5)="",2,0)),0)</f>
        <v>0</v>
      </c>
      <c r="AD1123" s="313">
        <f>IFERROR(IF(INDEX([1]Pivot!$BF$1:$CG$65000,$B1123,AD$5)=1,1,IF(INDEX([1]Pivot!$B$1:$AB$65000,$B1123,AD$5)="",2,0)),0)</f>
        <v>0</v>
      </c>
      <c r="AE1123" s="313">
        <f>IFERROR(IF(INDEX([1]Pivot!$BF$1:$CG$65000,$B1123,AE$5)=1,1,IF(INDEX([1]Pivot!$B$1:$AB$65000,$B1123,AE$5)="",2,0)),0)</f>
        <v>0</v>
      </c>
      <c r="AF1123" s="313">
        <f>IFERROR(IF(INDEX([1]Pivot!$BF$1:$CG$65000,$B1123,AF$5)=1,1,IF(INDEX([1]Pivot!$B$1:$AB$65000,$B1123,AF$5)="",2,0)),0)</f>
        <v>0</v>
      </c>
      <c r="AG1123" s="313">
        <f>IFERROR(IF(INDEX([1]Pivot!$BF$1:$CG$65000,$B1123,AG$5)=1,1,IF(INDEX([1]Pivot!$B$1:$AB$65000,$B1123,AG$5)="",2,0)),0)</f>
        <v>0</v>
      </c>
      <c r="AH1123" s="313">
        <f>IFERROR(IF(INDEX([1]Pivot!$BF$1:$CG$65000,$B1123,AH$5)=1,1,IF(INDEX([1]Pivot!$B$1:$AB$65000,$B1123,AH$5)="",2,0)),0)</f>
        <v>0</v>
      </c>
      <c r="AI1123" s="313">
        <f>IFERROR(IF(INDEX([1]Pivot!$BF$1:$CG$65000,$B1123,AI$5)=1,1,IF(INDEX([1]Pivot!$B$1:$AB$65000,$B1123,AI$5)="",2,0)),0)</f>
        <v>0</v>
      </c>
      <c r="AJ1123" s="313">
        <f>IFERROR(IF(INDEX([1]Pivot!$BF$1:$CG$65000,$B1123,AJ$5)=1,1,IF(INDEX([1]Pivot!$B$1:$AB$65000,$B1123,AJ$5)="",2,0)),0)</f>
        <v>0</v>
      </c>
      <c r="AK1123" s="313">
        <f>IFERROR(IF(INDEX([1]Pivot!$BF$1:$CG$65000,$B1123,AK$5)=1,1,IF(INDEX([1]Pivot!$B$1:$AB$65000,$B1123,AK$5)="",2,0)),0)</f>
        <v>0</v>
      </c>
      <c r="AL1123" s="313">
        <f>IFERROR(IF(INDEX([1]Pivot!$BF$1:$CG$65000,$B1123,AL$5)=1,1,IF(INDEX([1]Pivot!$B$1:$AB$65000,$B1123,AL$5)="",2,0)),0)</f>
        <v>0</v>
      </c>
      <c r="AM1123" s="313">
        <f>IFERROR(IF(INDEX([1]Pivot!$BF$1:$CG$65000,$B1123,AM$5)=1,1,IF(INDEX([1]Pivot!$B$1:$AB$65000,$B1123,AM$5)="",2,0)),0)</f>
        <v>0</v>
      </c>
      <c r="AN1123" s="313">
        <f>IFERROR(IF(INDEX([1]Pivot!$BF$1:$CG$65000,$B1123,AN$5)=1,1,IF(INDEX([1]Pivot!$B$1:$AB$65000,$B1123,AN$5)="",2,0)),0)</f>
        <v>0</v>
      </c>
      <c r="AO1123" s="313">
        <f>IFERROR(IF(INDEX([1]Pivot!$BF$1:$CG$65000,$B1123,AO$5)=1,1,IF(INDEX([1]Pivot!$B$1:$AB$65000,$B1123,AO$5)="",2,0)),0)</f>
        <v>0</v>
      </c>
      <c r="AP1123" s="313">
        <f>IFERROR(IF(INDEX([1]Pivot!$BF$1:$CG$65000,$B1123,AP$5)=1,1,IF(INDEX([1]Pivot!$B$1:$AB$65000,$B1123,AP$5)="",2,0)),0)</f>
        <v>0</v>
      </c>
      <c r="AQ1123" s="313">
        <f>IFERROR(IF(INDEX([1]Pivot!$BF$1:$CG$65000,$B1123,AQ$5)=1,1,IF(INDEX([1]Pivot!$B$1:$AB$65000,$B1123,AQ$5)="",2,0)),0)</f>
        <v>0</v>
      </c>
      <c r="AR1123" s="313">
        <f>IFERROR(IF(INDEX([1]Pivot!$BF$1:$CG$65000,$B1123,AR$5)=1,1,IF(INDEX([1]Pivot!$B$1:$AB$65000,$B1123,AR$5)="",2,0)),0)</f>
        <v>0</v>
      </c>
      <c r="AS1123" s="312"/>
      <c r="AT1123" s="313">
        <f>IFERROR(IF(INDEX([1]Pivot!$BF$1:$CG$65000,$B1123,AT$5)=1,1,IF(INDEX([1]Pivot!$B$1:$AB$65000,$B1123,AT$5)="",2,0)),0)</f>
        <v>0</v>
      </c>
      <c r="AU1123" s="313">
        <f>IFERROR(IF(INDEX([1]Pivot!$BF$1:$CG$65000,$B1123,AU$5)=1,1,IF(INDEX([1]Pivot!$B$1:$AB$65000,$B1123,AU$5)="",2,0)),0)</f>
        <v>0</v>
      </c>
      <c r="AV1123" s="313">
        <f>IFERROR(IF(INDEX([1]Pivot!$BF$1:$CG$65000,$B1123,AV$5)=1,1,IF(INDEX([1]Pivot!$B$1:$AB$65000,$B1123,AV$5)="",2,0)),0)</f>
        <v>0</v>
      </c>
      <c r="AW1123" s="313">
        <f>IFERROR(IF(INDEX([1]Pivot!$BF$1:$CG$65000,$B1123,AW$5)=1,1,IF(INDEX([1]Pivot!$B$1:$AB$65000,$B1123,AW$5)="",2,0)),0)</f>
        <v>0</v>
      </c>
      <c r="AX1123" s="313">
        <f>IFERROR(IF(INDEX([1]Pivot!$BF$1:$CG$65000,$B1123,AX$5)=1,1,IF(INDEX([1]Pivot!$B$1:$AB$65000,$B1123,AX$5)="",2,0)),0)</f>
        <v>0</v>
      </c>
      <c r="AY1123" s="313">
        <f>IFERROR(IF(INDEX([1]Pivot!$BF$1:$CG$65000,$B1123,AY$5)=1,1,IF(INDEX([1]Pivot!$B$1:$AB$65000,$B1123,AY$5)="",2,0)),0)</f>
        <v>0</v>
      </c>
      <c r="AZ1123" s="313">
        <f>IFERROR(IF(INDEX([1]Pivot!$BF$1:$CG$65000,$B1123,AZ$5)=1,1,IF(INDEX([1]Pivot!$B$1:$AB$65000,$B1123,AZ$5)="",2,0)),0)</f>
        <v>0</v>
      </c>
      <c r="BA1123" s="313">
        <f>IFERROR(IF(INDEX([1]Pivot!$BF$1:$CG$65000,$B1123,BA$5)=1,1,IF(INDEX([1]Pivot!$B$1:$AB$65000,$B1123,BA$5)="",2,0)),0)</f>
        <v>0</v>
      </c>
      <c r="BB1123" s="313">
        <f>IFERROR(IF(INDEX([1]Pivot!$BF$1:$CG$65000,$B1123,BB$5)=1,1,IF(INDEX([1]Pivot!$B$1:$AB$65000,$B1123,BB$5)="",2,0)),0)</f>
        <v>0</v>
      </c>
      <c r="BC1123" s="313">
        <f>IFERROR(IF(INDEX([1]Pivot!$BF$1:$CG$65000,$B1123,BC$5)=1,1,IF(INDEX([1]Pivot!$B$1:$AB$65000,$B1123,BC$5)="",2,0)),0)</f>
        <v>0</v>
      </c>
      <c r="BD1123" s="313">
        <f>IFERROR(IF(INDEX([1]Pivot!$BF$1:$CG$65000,$B1123,BD$5)=1,1,IF(INDEX([1]Pivot!$B$1:$AB$65000,$B1123,BD$5)="",2,0)),0)</f>
        <v>0</v>
      </c>
    </row>
    <row r="1124" spans="1:56" x14ac:dyDescent="0.25">
      <c r="A1124" s="288">
        <f>'[2]Raw Milk Prices'!A1124</f>
        <v>0</v>
      </c>
      <c r="B1124" s="296" t="e">
        <f>MATCH(DATE(LEFT('[2]Raw Milk Prices'!$A1124,4),RIGHT('[2]Raw Milk Prices'!$A1124,2),1),[1]Pivot!$A$1:$A$65000,0)</f>
        <v>#VALUE!</v>
      </c>
      <c r="C1124" s="194">
        <f>IFERROR(IF(INDEX([1]Pivot!$AD$1:$BE$65000,$B1124,C$5)=1,1,IF(INDEX([1]Pivot!$B$1:$AB$65000,$B1124,C$5)="",2,0)),0)</f>
        <v>0</v>
      </c>
      <c r="D1124" s="194">
        <f>IFERROR(IF(INDEX([1]Pivot!$AD$1:$BE$65000,$B1124,D$5)=1,1,IF(INDEX([1]Pivot!$B$1:$AB$65000,$B1124,D$5)="",2,0)),0)</f>
        <v>0</v>
      </c>
      <c r="E1124" s="194">
        <f>IFERROR(IF(INDEX([1]Pivot!$AD$1:$BE$65000,$B1124,E$5)=1,1,IF(INDEX([1]Pivot!$B$1:$AB$65000,$B1124,E$5)="",2,0)),0)</f>
        <v>0</v>
      </c>
      <c r="F1124" s="194">
        <f>IFERROR(IF(INDEX([1]Pivot!$AD$1:$BE$65000,$B1124,F$5)=1,1,IF(INDEX([1]Pivot!$B$1:$AB$65000,$B1124,F$5)="",2,0)),0)</f>
        <v>0</v>
      </c>
      <c r="G1124" s="194">
        <f>IFERROR(IF(INDEX([1]Pivot!$AD$1:$BE$65000,$B1124,G$5)=1,1,IF(INDEX([1]Pivot!$B$1:$AB$65000,$B1124,G$5)="",2,0)),0)</f>
        <v>0</v>
      </c>
      <c r="H1124" s="194">
        <f>IFERROR(IF(INDEX([1]Pivot!$AD$1:$BE$65000,$B1124,H$5)=1,1,IF(INDEX([1]Pivot!$B$1:$AB$65000,$B1124,H$5)="",2,0)),0)</f>
        <v>0</v>
      </c>
      <c r="I1124" s="194">
        <f>IFERROR(IF(INDEX([1]Pivot!$AD$1:$BE$65000,$B1124,I$5)=1,1,IF(INDEX([1]Pivot!$B$1:$AB$65000,$B1124,I$5)="",2,0)),0)</f>
        <v>0</v>
      </c>
      <c r="J1124" s="194">
        <f>IFERROR(IF(INDEX([1]Pivot!$AD$1:$BE$65000,$B1124,J$5)=1,1,IF(INDEX([1]Pivot!$B$1:$AB$65000,$B1124,J$5)="",2,0)),0)</f>
        <v>0</v>
      </c>
      <c r="K1124" s="194">
        <f>IFERROR(IF(INDEX([1]Pivot!$AD$1:$BE$65000,$B1124,K$5)=1,1,IF(INDEX([1]Pivot!$B$1:$AB$65000,$B1124,K$5)="",2,0)),0)</f>
        <v>0</v>
      </c>
      <c r="L1124" s="194">
        <f>IFERROR(IF(INDEX([1]Pivot!$AD$1:$BE$65000,$B1124,L$5)=1,1,IF(INDEX([1]Pivot!$B$1:$AB$65000,$B1124,L$5)="",2,0)),0)</f>
        <v>0</v>
      </c>
      <c r="M1124" s="194">
        <f>IFERROR(IF(INDEX([1]Pivot!$AD$1:$BE$65000,$B1124,M$5)=1,1,IF(INDEX([1]Pivot!$B$1:$AB$65000,$B1124,M$5)="",2,0)),0)</f>
        <v>0</v>
      </c>
      <c r="N1124" s="194">
        <f>IFERROR(IF(INDEX([1]Pivot!$AD$1:$BE$65000,$B1124,N$5)=1,1,IF(INDEX([1]Pivot!$B$1:$AB$65000,$B1124,N$5)="",2,0)),0)</f>
        <v>0</v>
      </c>
      <c r="O1124" s="194">
        <f>IFERROR(IF(INDEX([1]Pivot!$AD$1:$BE$65000,$B1124,O$5)=1,1,IF(INDEX([1]Pivot!$B$1:$AB$65000,$B1124,O$5)="",2,0)),0)</f>
        <v>0</v>
      </c>
      <c r="P1124" s="194">
        <f>IFERROR(IF(INDEX([1]Pivot!$AD$1:$BE$65000,$B1124,P$5)=1,1,IF(INDEX([1]Pivot!$B$1:$AB$65000,$B1124,P$5)="",2,0)),0)</f>
        <v>0</v>
      </c>
      <c r="Q1124" s="194">
        <f>IFERROR(IF(INDEX([1]Pivot!$AD$1:$BE$65000,$B1124,Q$5)=1,1,IF(INDEX([1]Pivot!$B$1:$AB$65000,$B1124,Q$5)="",2,0)),0)</f>
        <v>0</v>
      </c>
      <c r="R1124" s="312"/>
      <c r="S1124" s="194">
        <f>IFERROR(IF(INDEX([1]Pivot!$AD$1:$BE$65000,$B1124,S$5)=1,1,IF(INDEX([1]Pivot!$B$1:$AB$65000,$B1124,S$5)="",2,0)),0)</f>
        <v>0</v>
      </c>
      <c r="T1124" s="194">
        <f>IFERROR(IF(INDEX([1]Pivot!$AD$1:$BE$65000,$B1124,T$5)=1,1,IF(INDEX([1]Pivot!$B$1:$AB$65000,$B1124,T$5)="",2,0)),0)</f>
        <v>0</v>
      </c>
      <c r="U1124" s="194">
        <f>IFERROR(IF(INDEX([1]Pivot!$AD$1:$BE$65000,$B1124,U$5)=1,1,IF(INDEX([1]Pivot!$B$1:$AB$65000,$B1124,U$5)="",2,0)),0)</f>
        <v>0</v>
      </c>
      <c r="V1124" s="194">
        <f>IFERROR(IF(INDEX([1]Pivot!$AD$1:$BE$65000,$B1124,V$5)=1,1,IF(INDEX([1]Pivot!$B$1:$AB$65000,$B1124,V$5)="",2,0)),0)</f>
        <v>0</v>
      </c>
      <c r="W1124" s="194">
        <f>IFERROR(IF(INDEX([1]Pivot!$AD$1:$BE$65000,$B1124,W$5)=1,1,IF(INDEX([1]Pivot!$B$1:$AB$65000,$B1124,W$5)="",2,0)),0)</f>
        <v>0</v>
      </c>
      <c r="X1124" s="194">
        <f>IFERROR(IF(INDEX([1]Pivot!$AD$1:$BE$65000,$B1124,X$5)=1,1,IF(INDEX([1]Pivot!$B$1:$AB$65000,$B1124,X$5)="",2,0)),0)</f>
        <v>0</v>
      </c>
      <c r="Y1124" s="194">
        <f>IFERROR(IF(INDEX([1]Pivot!$AD$1:$BE$65000,$B1124,Y$5)=1,1,IF(INDEX([1]Pivot!$B$1:$AB$65000,$B1124,Y$5)="",2,0)),0)</f>
        <v>0</v>
      </c>
      <c r="Z1124" s="194">
        <f>IFERROR(IF(INDEX([1]Pivot!$AD$1:$BE$65000,$B1124,Z$5)=1,1,IF(INDEX([1]Pivot!$B$1:$AB$65000,$B1124,Z$5)="",2,0)),0)</f>
        <v>0</v>
      </c>
      <c r="AA1124" s="194">
        <f>IFERROR(IF(INDEX([1]Pivot!$AD$1:$BE$65000,$B1124,AA$5)=1,1,IF(INDEX([1]Pivot!$B$1:$AB$65000,$B1124,AA$5)="",2,0)),0)</f>
        <v>0</v>
      </c>
      <c r="AB1124" s="194">
        <f>IFERROR(IF(INDEX([1]Pivot!$AD$1:$BE$65000,$B1124,AB$5)=1,1,IF(INDEX([1]Pivot!$B$1:$AB$65000,$B1124,AB$5)="",2,0)),0)</f>
        <v>0</v>
      </c>
      <c r="AC1124" s="194">
        <f>IFERROR(IF(INDEX([1]Pivot!$AD$1:$BE$65000,$B1124,AC$5)=1,1,IF(INDEX([1]Pivot!$B$1:$AB$65000,$B1124,AC$5)="",2,0)),0)</f>
        <v>0</v>
      </c>
      <c r="AD1124" s="313">
        <f>IFERROR(IF(INDEX([1]Pivot!$BF$1:$CG$65000,$B1124,AD$5)=1,1,IF(INDEX([1]Pivot!$B$1:$AB$65000,$B1124,AD$5)="",2,0)),0)</f>
        <v>0</v>
      </c>
      <c r="AE1124" s="313">
        <f>IFERROR(IF(INDEX([1]Pivot!$BF$1:$CG$65000,$B1124,AE$5)=1,1,IF(INDEX([1]Pivot!$B$1:$AB$65000,$B1124,AE$5)="",2,0)),0)</f>
        <v>0</v>
      </c>
      <c r="AF1124" s="313">
        <f>IFERROR(IF(INDEX([1]Pivot!$BF$1:$CG$65000,$B1124,AF$5)=1,1,IF(INDEX([1]Pivot!$B$1:$AB$65000,$B1124,AF$5)="",2,0)),0)</f>
        <v>0</v>
      </c>
      <c r="AG1124" s="313">
        <f>IFERROR(IF(INDEX([1]Pivot!$BF$1:$CG$65000,$B1124,AG$5)=1,1,IF(INDEX([1]Pivot!$B$1:$AB$65000,$B1124,AG$5)="",2,0)),0)</f>
        <v>0</v>
      </c>
      <c r="AH1124" s="313">
        <f>IFERROR(IF(INDEX([1]Pivot!$BF$1:$CG$65000,$B1124,AH$5)=1,1,IF(INDEX([1]Pivot!$B$1:$AB$65000,$B1124,AH$5)="",2,0)),0)</f>
        <v>0</v>
      </c>
      <c r="AI1124" s="313">
        <f>IFERROR(IF(INDEX([1]Pivot!$BF$1:$CG$65000,$B1124,AI$5)=1,1,IF(INDEX([1]Pivot!$B$1:$AB$65000,$B1124,AI$5)="",2,0)),0)</f>
        <v>0</v>
      </c>
      <c r="AJ1124" s="313">
        <f>IFERROR(IF(INDEX([1]Pivot!$BF$1:$CG$65000,$B1124,AJ$5)=1,1,IF(INDEX([1]Pivot!$B$1:$AB$65000,$B1124,AJ$5)="",2,0)),0)</f>
        <v>0</v>
      </c>
      <c r="AK1124" s="313">
        <f>IFERROR(IF(INDEX([1]Pivot!$BF$1:$CG$65000,$B1124,AK$5)=1,1,IF(INDEX([1]Pivot!$B$1:$AB$65000,$B1124,AK$5)="",2,0)),0)</f>
        <v>0</v>
      </c>
      <c r="AL1124" s="313">
        <f>IFERROR(IF(INDEX([1]Pivot!$BF$1:$CG$65000,$B1124,AL$5)=1,1,IF(INDEX([1]Pivot!$B$1:$AB$65000,$B1124,AL$5)="",2,0)),0)</f>
        <v>0</v>
      </c>
      <c r="AM1124" s="313">
        <f>IFERROR(IF(INDEX([1]Pivot!$BF$1:$CG$65000,$B1124,AM$5)=1,1,IF(INDEX([1]Pivot!$B$1:$AB$65000,$B1124,AM$5)="",2,0)),0)</f>
        <v>0</v>
      </c>
      <c r="AN1124" s="313">
        <f>IFERROR(IF(INDEX([1]Pivot!$BF$1:$CG$65000,$B1124,AN$5)=1,1,IF(INDEX([1]Pivot!$B$1:$AB$65000,$B1124,AN$5)="",2,0)),0)</f>
        <v>0</v>
      </c>
      <c r="AO1124" s="313">
        <f>IFERROR(IF(INDEX([1]Pivot!$BF$1:$CG$65000,$B1124,AO$5)=1,1,IF(INDEX([1]Pivot!$B$1:$AB$65000,$B1124,AO$5)="",2,0)),0)</f>
        <v>0</v>
      </c>
      <c r="AP1124" s="313">
        <f>IFERROR(IF(INDEX([1]Pivot!$BF$1:$CG$65000,$B1124,AP$5)=1,1,IF(INDEX([1]Pivot!$B$1:$AB$65000,$B1124,AP$5)="",2,0)),0)</f>
        <v>0</v>
      </c>
      <c r="AQ1124" s="313">
        <f>IFERROR(IF(INDEX([1]Pivot!$BF$1:$CG$65000,$B1124,AQ$5)=1,1,IF(INDEX([1]Pivot!$B$1:$AB$65000,$B1124,AQ$5)="",2,0)),0)</f>
        <v>0</v>
      </c>
      <c r="AR1124" s="313">
        <f>IFERROR(IF(INDEX([1]Pivot!$BF$1:$CG$65000,$B1124,AR$5)=1,1,IF(INDEX([1]Pivot!$B$1:$AB$65000,$B1124,AR$5)="",2,0)),0)</f>
        <v>0</v>
      </c>
      <c r="AS1124" s="312"/>
      <c r="AT1124" s="313">
        <f>IFERROR(IF(INDEX([1]Pivot!$BF$1:$CG$65000,$B1124,AT$5)=1,1,IF(INDEX([1]Pivot!$B$1:$AB$65000,$B1124,AT$5)="",2,0)),0)</f>
        <v>0</v>
      </c>
      <c r="AU1124" s="313">
        <f>IFERROR(IF(INDEX([1]Pivot!$BF$1:$CG$65000,$B1124,AU$5)=1,1,IF(INDEX([1]Pivot!$B$1:$AB$65000,$B1124,AU$5)="",2,0)),0)</f>
        <v>0</v>
      </c>
      <c r="AV1124" s="313">
        <f>IFERROR(IF(INDEX([1]Pivot!$BF$1:$CG$65000,$B1124,AV$5)=1,1,IF(INDEX([1]Pivot!$B$1:$AB$65000,$B1124,AV$5)="",2,0)),0)</f>
        <v>0</v>
      </c>
      <c r="AW1124" s="313">
        <f>IFERROR(IF(INDEX([1]Pivot!$BF$1:$CG$65000,$B1124,AW$5)=1,1,IF(INDEX([1]Pivot!$B$1:$AB$65000,$B1124,AW$5)="",2,0)),0)</f>
        <v>0</v>
      </c>
      <c r="AX1124" s="313">
        <f>IFERROR(IF(INDEX([1]Pivot!$BF$1:$CG$65000,$B1124,AX$5)=1,1,IF(INDEX([1]Pivot!$B$1:$AB$65000,$B1124,AX$5)="",2,0)),0)</f>
        <v>0</v>
      </c>
      <c r="AY1124" s="313">
        <f>IFERROR(IF(INDEX([1]Pivot!$BF$1:$CG$65000,$B1124,AY$5)=1,1,IF(INDEX([1]Pivot!$B$1:$AB$65000,$B1124,AY$5)="",2,0)),0)</f>
        <v>0</v>
      </c>
      <c r="AZ1124" s="313">
        <f>IFERROR(IF(INDEX([1]Pivot!$BF$1:$CG$65000,$B1124,AZ$5)=1,1,IF(INDEX([1]Pivot!$B$1:$AB$65000,$B1124,AZ$5)="",2,0)),0)</f>
        <v>0</v>
      </c>
      <c r="BA1124" s="313">
        <f>IFERROR(IF(INDEX([1]Pivot!$BF$1:$CG$65000,$B1124,BA$5)=1,1,IF(INDEX([1]Pivot!$B$1:$AB$65000,$B1124,BA$5)="",2,0)),0)</f>
        <v>0</v>
      </c>
      <c r="BB1124" s="313">
        <f>IFERROR(IF(INDEX([1]Pivot!$BF$1:$CG$65000,$B1124,BB$5)=1,1,IF(INDEX([1]Pivot!$B$1:$AB$65000,$B1124,BB$5)="",2,0)),0)</f>
        <v>0</v>
      </c>
      <c r="BC1124" s="313">
        <f>IFERROR(IF(INDEX([1]Pivot!$BF$1:$CG$65000,$B1124,BC$5)=1,1,IF(INDEX([1]Pivot!$B$1:$AB$65000,$B1124,BC$5)="",2,0)),0)</f>
        <v>0</v>
      </c>
      <c r="BD1124" s="313">
        <f>IFERROR(IF(INDEX([1]Pivot!$BF$1:$CG$65000,$B1124,BD$5)=1,1,IF(INDEX([1]Pivot!$B$1:$AB$65000,$B1124,BD$5)="",2,0)),0)</f>
        <v>0</v>
      </c>
    </row>
    <row r="1125" spans="1:56" x14ac:dyDescent="0.25">
      <c r="A1125" s="288">
        <f>'[2]Raw Milk Prices'!A1125</f>
        <v>0</v>
      </c>
      <c r="B1125" s="296" t="e">
        <f>MATCH(DATE(LEFT('[2]Raw Milk Prices'!$A1125,4),RIGHT('[2]Raw Milk Prices'!$A1125,2),1),[1]Pivot!$A$1:$A$65000,0)</f>
        <v>#VALUE!</v>
      </c>
      <c r="C1125" s="194">
        <f>IFERROR(IF(INDEX([1]Pivot!$AD$1:$BE$65000,$B1125,C$5)=1,1,IF(INDEX([1]Pivot!$B$1:$AB$65000,$B1125,C$5)="",2,0)),0)</f>
        <v>0</v>
      </c>
      <c r="D1125" s="194">
        <f>IFERROR(IF(INDEX([1]Pivot!$AD$1:$BE$65000,$B1125,D$5)=1,1,IF(INDEX([1]Pivot!$B$1:$AB$65000,$B1125,D$5)="",2,0)),0)</f>
        <v>0</v>
      </c>
      <c r="E1125" s="194">
        <f>IFERROR(IF(INDEX([1]Pivot!$AD$1:$BE$65000,$B1125,E$5)=1,1,IF(INDEX([1]Pivot!$B$1:$AB$65000,$B1125,E$5)="",2,0)),0)</f>
        <v>0</v>
      </c>
      <c r="F1125" s="194">
        <f>IFERROR(IF(INDEX([1]Pivot!$AD$1:$BE$65000,$B1125,F$5)=1,1,IF(INDEX([1]Pivot!$B$1:$AB$65000,$B1125,F$5)="",2,0)),0)</f>
        <v>0</v>
      </c>
      <c r="G1125" s="194">
        <f>IFERROR(IF(INDEX([1]Pivot!$AD$1:$BE$65000,$B1125,G$5)=1,1,IF(INDEX([1]Pivot!$B$1:$AB$65000,$B1125,G$5)="",2,0)),0)</f>
        <v>0</v>
      </c>
      <c r="H1125" s="194">
        <f>IFERROR(IF(INDEX([1]Pivot!$AD$1:$BE$65000,$B1125,H$5)=1,1,IF(INDEX([1]Pivot!$B$1:$AB$65000,$B1125,H$5)="",2,0)),0)</f>
        <v>0</v>
      </c>
      <c r="I1125" s="194">
        <f>IFERROR(IF(INDEX([1]Pivot!$AD$1:$BE$65000,$B1125,I$5)=1,1,IF(INDEX([1]Pivot!$B$1:$AB$65000,$B1125,I$5)="",2,0)),0)</f>
        <v>0</v>
      </c>
      <c r="J1125" s="194">
        <f>IFERROR(IF(INDEX([1]Pivot!$AD$1:$BE$65000,$B1125,J$5)=1,1,IF(INDEX([1]Pivot!$B$1:$AB$65000,$B1125,J$5)="",2,0)),0)</f>
        <v>0</v>
      </c>
      <c r="K1125" s="194">
        <f>IFERROR(IF(INDEX([1]Pivot!$AD$1:$BE$65000,$B1125,K$5)=1,1,IF(INDEX([1]Pivot!$B$1:$AB$65000,$B1125,K$5)="",2,0)),0)</f>
        <v>0</v>
      </c>
      <c r="L1125" s="194">
        <f>IFERROR(IF(INDEX([1]Pivot!$AD$1:$BE$65000,$B1125,L$5)=1,1,IF(INDEX([1]Pivot!$B$1:$AB$65000,$B1125,L$5)="",2,0)),0)</f>
        <v>0</v>
      </c>
      <c r="M1125" s="194">
        <f>IFERROR(IF(INDEX([1]Pivot!$AD$1:$BE$65000,$B1125,M$5)=1,1,IF(INDEX([1]Pivot!$B$1:$AB$65000,$B1125,M$5)="",2,0)),0)</f>
        <v>0</v>
      </c>
      <c r="N1125" s="194">
        <f>IFERROR(IF(INDEX([1]Pivot!$AD$1:$BE$65000,$B1125,N$5)=1,1,IF(INDEX([1]Pivot!$B$1:$AB$65000,$B1125,N$5)="",2,0)),0)</f>
        <v>0</v>
      </c>
      <c r="O1125" s="194">
        <f>IFERROR(IF(INDEX([1]Pivot!$AD$1:$BE$65000,$B1125,O$5)=1,1,IF(INDEX([1]Pivot!$B$1:$AB$65000,$B1125,O$5)="",2,0)),0)</f>
        <v>0</v>
      </c>
      <c r="P1125" s="194">
        <f>IFERROR(IF(INDEX([1]Pivot!$AD$1:$BE$65000,$B1125,P$5)=1,1,IF(INDEX([1]Pivot!$B$1:$AB$65000,$B1125,P$5)="",2,0)),0)</f>
        <v>0</v>
      </c>
      <c r="Q1125" s="194">
        <f>IFERROR(IF(INDEX([1]Pivot!$AD$1:$BE$65000,$B1125,Q$5)=1,1,IF(INDEX([1]Pivot!$B$1:$AB$65000,$B1125,Q$5)="",2,0)),0)</f>
        <v>0</v>
      </c>
      <c r="R1125" s="312"/>
      <c r="S1125" s="194">
        <f>IFERROR(IF(INDEX([1]Pivot!$AD$1:$BE$65000,$B1125,S$5)=1,1,IF(INDEX([1]Pivot!$B$1:$AB$65000,$B1125,S$5)="",2,0)),0)</f>
        <v>0</v>
      </c>
      <c r="T1125" s="194">
        <f>IFERROR(IF(INDEX([1]Pivot!$AD$1:$BE$65000,$B1125,T$5)=1,1,IF(INDEX([1]Pivot!$B$1:$AB$65000,$B1125,T$5)="",2,0)),0)</f>
        <v>0</v>
      </c>
      <c r="U1125" s="194">
        <f>IFERROR(IF(INDEX([1]Pivot!$AD$1:$BE$65000,$B1125,U$5)=1,1,IF(INDEX([1]Pivot!$B$1:$AB$65000,$B1125,U$5)="",2,0)),0)</f>
        <v>0</v>
      </c>
      <c r="V1125" s="194">
        <f>IFERROR(IF(INDEX([1]Pivot!$AD$1:$BE$65000,$B1125,V$5)=1,1,IF(INDEX([1]Pivot!$B$1:$AB$65000,$B1125,V$5)="",2,0)),0)</f>
        <v>0</v>
      </c>
      <c r="W1125" s="194">
        <f>IFERROR(IF(INDEX([1]Pivot!$AD$1:$BE$65000,$B1125,W$5)=1,1,IF(INDEX([1]Pivot!$B$1:$AB$65000,$B1125,W$5)="",2,0)),0)</f>
        <v>0</v>
      </c>
      <c r="X1125" s="194">
        <f>IFERROR(IF(INDEX([1]Pivot!$AD$1:$BE$65000,$B1125,X$5)=1,1,IF(INDEX([1]Pivot!$B$1:$AB$65000,$B1125,X$5)="",2,0)),0)</f>
        <v>0</v>
      </c>
      <c r="Y1125" s="194">
        <f>IFERROR(IF(INDEX([1]Pivot!$AD$1:$BE$65000,$B1125,Y$5)=1,1,IF(INDEX([1]Pivot!$B$1:$AB$65000,$B1125,Y$5)="",2,0)),0)</f>
        <v>0</v>
      </c>
      <c r="Z1125" s="194">
        <f>IFERROR(IF(INDEX([1]Pivot!$AD$1:$BE$65000,$B1125,Z$5)=1,1,IF(INDEX([1]Pivot!$B$1:$AB$65000,$B1125,Z$5)="",2,0)),0)</f>
        <v>0</v>
      </c>
      <c r="AA1125" s="194">
        <f>IFERROR(IF(INDEX([1]Pivot!$AD$1:$BE$65000,$B1125,AA$5)=1,1,IF(INDEX([1]Pivot!$B$1:$AB$65000,$B1125,AA$5)="",2,0)),0)</f>
        <v>0</v>
      </c>
      <c r="AB1125" s="194">
        <f>IFERROR(IF(INDEX([1]Pivot!$AD$1:$BE$65000,$B1125,AB$5)=1,1,IF(INDEX([1]Pivot!$B$1:$AB$65000,$B1125,AB$5)="",2,0)),0)</f>
        <v>0</v>
      </c>
      <c r="AC1125" s="194">
        <f>IFERROR(IF(INDEX([1]Pivot!$AD$1:$BE$65000,$B1125,AC$5)=1,1,IF(INDEX([1]Pivot!$B$1:$AB$65000,$B1125,AC$5)="",2,0)),0)</f>
        <v>0</v>
      </c>
      <c r="AD1125" s="313">
        <f>IFERROR(IF(INDEX([1]Pivot!$BF$1:$CG$65000,$B1125,AD$5)=1,1,IF(INDEX([1]Pivot!$B$1:$AB$65000,$B1125,AD$5)="",2,0)),0)</f>
        <v>0</v>
      </c>
      <c r="AE1125" s="313">
        <f>IFERROR(IF(INDEX([1]Pivot!$BF$1:$CG$65000,$B1125,AE$5)=1,1,IF(INDEX([1]Pivot!$B$1:$AB$65000,$B1125,AE$5)="",2,0)),0)</f>
        <v>0</v>
      </c>
      <c r="AF1125" s="313">
        <f>IFERROR(IF(INDEX([1]Pivot!$BF$1:$CG$65000,$B1125,AF$5)=1,1,IF(INDEX([1]Pivot!$B$1:$AB$65000,$B1125,AF$5)="",2,0)),0)</f>
        <v>0</v>
      </c>
      <c r="AG1125" s="313">
        <f>IFERROR(IF(INDEX([1]Pivot!$BF$1:$CG$65000,$B1125,AG$5)=1,1,IF(INDEX([1]Pivot!$B$1:$AB$65000,$B1125,AG$5)="",2,0)),0)</f>
        <v>0</v>
      </c>
      <c r="AH1125" s="313">
        <f>IFERROR(IF(INDEX([1]Pivot!$BF$1:$CG$65000,$B1125,AH$5)=1,1,IF(INDEX([1]Pivot!$B$1:$AB$65000,$B1125,AH$5)="",2,0)),0)</f>
        <v>0</v>
      </c>
      <c r="AI1125" s="313">
        <f>IFERROR(IF(INDEX([1]Pivot!$BF$1:$CG$65000,$B1125,AI$5)=1,1,IF(INDEX([1]Pivot!$B$1:$AB$65000,$B1125,AI$5)="",2,0)),0)</f>
        <v>0</v>
      </c>
      <c r="AJ1125" s="313">
        <f>IFERROR(IF(INDEX([1]Pivot!$BF$1:$CG$65000,$B1125,AJ$5)=1,1,IF(INDEX([1]Pivot!$B$1:$AB$65000,$B1125,AJ$5)="",2,0)),0)</f>
        <v>0</v>
      </c>
      <c r="AK1125" s="313">
        <f>IFERROR(IF(INDEX([1]Pivot!$BF$1:$CG$65000,$B1125,AK$5)=1,1,IF(INDEX([1]Pivot!$B$1:$AB$65000,$B1125,AK$5)="",2,0)),0)</f>
        <v>0</v>
      </c>
      <c r="AL1125" s="313">
        <f>IFERROR(IF(INDEX([1]Pivot!$BF$1:$CG$65000,$B1125,AL$5)=1,1,IF(INDEX([1]Pivot!$B$1:$AB$65000,$B1125,AL$5)="",2,0)),0)</f>
        <v>0</v>
      </c>
      <c r="AM1125" s="313">
        <f>IFERROR(IF(INDEX([1]Pivot!$BF$1:$CG$65000,$B1125,AM$5)=1,1,IF(INDEX([1]Pivot!$B$1:$AB$65000,$B1125,AM$5)="",2,0)),0)</f>
        <v>0</v>
      </c>
      <c r="AN1125" s="313">
        <f>IFERROR(IF(INDEX([1]Pivot!$BF$1:$CG$65000,$B1125,AN$5)=1,1,IF(INDEX([1]Pivot!$B$1:$AB$65000,$B1125,AN$5)="",2,0)),0)</f>
        <v>0</v>
      </c>
      <c r="AO1125" s="313">
        <f>IFERROR(IF(INDEX([1]Pivot!$BF$1:$CG$65000,$B1125,AO$5)=1,1,IF(INDEX([1]Pivot!$B$1:$AB$65000,$B1125,AO$5)="",2,0)),0)</f>
        <v>0</v>
      </c>
      <c r="AP1125" s="313">
        <f>IFERROR(IF(INDEX([1]Pivot!$BF$1:$CG$65000,$B1125,AP$5)=1,1,IF(INDEX([1]Pivot!$B$1:$AB$65000,$B1125,AP$5)="",2,0)),0)</f>
        <v>0</v>
      </c>
      <c r="AQ1125" s="313">
        <f>IFERROR(IF(INDEX([1]Pivot!$BF$1:$CG$65000,$B1125,AQ$5)=1,1,IF(INDEX([1]Pivot!$B$1:$AB$65000,$B1125,AQ$5)="",2,0)),0)</f>
        <v>0</v>
      </c>
      <c r="AR1125" s="313">
        <f>IFERROR(IF(INDEX([1]Pivot!$BF$1:$CG$65000,$B1125,AR$5)=1,1,IF(INDEX([1]Pivot!$B$1:$AB$65000,$B1125,AR$5)="",2,0)),0)</f>
        <v>0</v>
      </c>
      <c r="AS1125" s="312"/>
      <c r="AT1125" s="313">
        <f>IFERROR(IF(INDEX([1]Pivot!$BF$1:$CG$65000,$B1125,AT$5)=1,1,IF(INDEX([1]Pivot!$B$1:$AB$65000,$B1125,AT$5)="",2,0)),0)</f>
        <v>0</v>
      </c>
      <c r="AU1125" s="313">
        <f>IFERROR(IF(INDEX([1]Pivot!$BF$1:$CG$65000,$B1125,AU$5)=1,1,IF(INDEX([1]Pivot!$B$1:$AB$65000,$B1125,AU$5)="",2,0)),0)</f>
        <v>0</v>
      </c>
      <c r="AV1125" s="313">
        <f>IFERROR(IF(INDEX([1]Pivot!$BF$1:$CG$65000,$B1125,AV$5)=1,1,IF(INDEX([1]Pivot!$B$1:$AB$65000,$B1125,AV$5)="",2,0)),0)</f>
        <v>0</v>
      </c>
      <c r="AW1125" s="313">
        <f>IFERROR(IF(INDEX([1]Pivot!$BF$1:$CG$65000,$B1125,AW$5)=1,1,IF(INDEX([1]Pivot!$B$1:$AB$65000,$B1125,AW$5)="",2,0)),0)</f>
        <v>0</v>
      </c>
      <c r="AX1125" s="313">
        <f>IFERROR(IF(INDEX([1]Pivot!$BF$1:$CG$65000,$B1125,AX$5)=1,1,IF(INDEX([1]Pivot!$B$1:$AB$65000,$B1125,AX$5)="",2,0)),0)</f>
        <v>0</v>
      </c>
      <c r="AY1125" s="313">
        <f>IFERROR(IF(INDEX([1]Pivot!$BF$1:$CG$65000,$B1125,AY$5)=1,1,IF(INDEX([1]Pivot!$B$1:$AB$65000,$B1125,AY$5)="",2,0)),0)</f>
        <v>0</v>
      </c>
      <c r="AZ1125" s="313">
        <f>IFERROR(IF(INDEX([1]Pivot!$BF$1:$CG$65000,$B1125,AZ$5)=1,1,IF(INDEX([1]Pivot!$B$1:$AB$65000,$B1125,AZ$5)="",2,0)),0)</f>
        <v>0</v>
      </c>
      <c r="BA1125" s="313">
        <f>IFERROR(IF(INDEX([1]Pivot!$BF$1:$CG$65000,$B1125,BA$5)=1,1,IF(INDEX([1]Pivot!$B$1:$AB$65000,$B1125,BA$5)="",2,0)),0)</f>
        <v>0</v>
      </c>
      <c r="BB1125" s="313">
        <f>IFERROR(IF(INDEX([1]Pivot!$BF$1:$CG$65000,$B1125,BB$5)=1,1,IF(INDEX([1]Pivot!$B$1:$AB$65000,$B1125,BB$5)="",2,0)),0)</f>
        <v>0</v>
      </c>
      <c r="BC1125" s="313">
        <f>IFERROR(IF(INDEX([1]Pivot!$BF$1:$CG$65000,$B1125,BC$5)=1,1,IF(INDEX([1]Pivot!$B$1:$AB$65000,$B1125,BC$5)="",2,0)),0)</f>
        <v>0</v>
      </c>
      <c r="BD1125" s="313">
        <f>IFERROR(IF(INDEX([1]Pivot!$BF$1:$CG$65000,$B1125,BD$5)=1,1,IF(INDEX([1]Pivot!$B$1:$AB$65000,$B1125,BD$5)="",2,0)),0)</f>
        <v>0</v>
      </c>
    </row>
    <row r="1126" spans="1:56" x14ac:dyDescent="0.25">
      <c r="A1126" s="288">
        <f>'[2]Raw Milk Prices'!A1126</f>
        <v>0</v>
      </c>
      <c r="B1126" s="296" t="e">
        <f>MATCH(DATE(LEFT('[2]Raw Milk Prices'!$A1126,4),RIGHT('[2]Raw Milk Prices'!$A1126,2),1),[1]Pivot!$A$1:$A$65000,0)</f>
        <v>#VALUE!</v>
      </c>
      <c r="C1126" s="194">
        <f>IFERROR(IF(INDEX([1]Pivot!$AD$1:$BE$65000,$B1126,C$5)=1,1,IF(INDEX([1]Pivot!$B$1:$AB$65000,$B1126,C$5)="",2,0)),0)</f>
        <v>0</v>
      </c>
      <c r="D1126" s="194">
        <f>IFERROR(IF(INDEX([1]Pivot!$AD$1:$BE$65000,$B1126,D$5)=1,1,IF(INDEX([1]Pivot!$B$1:$AB$65000,$B1126,D$5)="",2,0)),0)</f>
        <v>0</v>
      </c>
      <c r="E1126" s="194">
        <f>IFERROR(IF(INDEX([1]Pivot!$AD$1:$BE$65000,$B1126,E$5)=1,1,IF(INDEX([1]Pivot!$B$1:$AB$65000,$B1126,E$5)="",2,0)),0)</f>
        <v>0</v>
      </c>
      <c r="F1126" s="194">
        <f>IFERROR(IF(INDEX([1]Pivot!$AD$1:$BE$65000,$B1126,F$5)=1,1,IF(INDEX([1]Pivot!$B$1:$AB$65000,$B1126,F$5)="",2,0)),0)</f>
        <v>0</v>
      </c>
      <c r="G1126" s="194">
        <f>IFERROR(IF(INDEX([1]Pivot!$AD$1:$BE$65000,$B1126,G$5)=1,1,IF(INDEX([1]Pivot!$B$1:$AB$65000,$B1126,G$5)="",2,0)),0)</f>
        <v>0</v>
      </c>
      <c r="H1126" s="194">
        <f>IFERROR(IF(INDEX([1]Pivot!$AD$1:$BE$65000,$B1126,H$5)=1,1,IF(INDEX([1]Pivot!$B$1:$AB$65000,$B1126,H$5)="",2,0)),0)</f>
        <v>0</v>
      </c>
      <c r="I1126" s="194">
        <f>IFERROR(IF(INDEX([1]Pivot!$AD$1:$BE$65000,$B1126,I$5)=1,1,IF(INDEX([1]Pivot!$B$1:$AB$65000,$B1126,I$5)="",2,0)),0)</f>
        <v>0</v>
      </c>
      <c r="J1126" s="194">
        <f>IFERROR(IF(INDEX([1]Pivot!$AD$1:$BE$65000,$B1126,J$5)=1,1,IF(INDEX([1]Pivot!$B$1:$AB$65000,$B1126,J$5)="",2,0)),0)</f>
        <v>0</v>
      </c>
      <c r="K1126" s="194">
        <f>IFERROR(IF(INDEX([1]Pivot!$AD$1:$BE$65000,$B1126,K$5)=1,1,IF(INDEX([1]Pivot!$B$1:$AB$65000,$B1126,K$5)="",2,0)),0)</f>
        <v>0</v>
      </c>
      <c r="L1126" s="194">
        <f>IFERROR(IF(INDEX([1]Pivot!$AD$1:$BE$65000,$B1126,L$5)=1,1,IF(INDEX([1]Pivot!$B$1:$AB$65000,$B1126,L$5)="",2,0)),0)</f>
        <v>0</v>
      </c>
      <c r="M1126" s="194">
        <f>IFERROR(IF(INDEX([1]Pivot!$AD$1:$BE$65000,$B1126,M$5)=1,1,IF(INDEX([1]Pivot!$B$1:$AB$65000,$B1126,M$5)="",2,0)),0)</f>
        <v>0</v>
      </c>
      <c r="N1126" s="194">
        <f>IFERROR(IF(INDEX([1]Pivot!$AD$1:$BE$65000,$B1126,N$5)=1,1,IF(INDEX([1]Pivot!$B$1:$AB$65000,$B1126,N$5)="",2,0)),0)</f>
        <v>0</v>
      </c>
      <c r="O1126" s="194">
        <f>IFERROR(IF(INDEX([1]Pivot!$AD$1:$BE$65000,$B1126,O$5)=1,1,IF(INDEX([1]Pivot!$B$1:$AB$65000,$B1126,O$5)="",2,0)),0)</f>
        <v>0</v>
      </c>
      <c r="P1126" s="194">
        <f>IFERROR(IF(INDEX([1]Pivot!$AD$1:$BE$65000,$B1126,P$5)=1,1,IF(INDEX([1]Pivot!$B$1:$AB$65000,$B1126,P$5)="",2,0)),0)</f>
        <v>0</v>
      </c>
      <c r="Q1126" s="194">
        <f>IFERROR(IF(INDEX([1]Pivot!$AD$1:$BE$65000,$B1126,Q$5)=1,1,IF(INDEX([1]Pivot!$B$1:$AB$65000,$B1126,Q$5)="",2,0)),0)</f>
        <v>0</v>
      </c>
      <c r="R1126" s="312"/>
      <c r="S1126" s="194">
        <f>IFERROR(IF(INDEX([1]Pivot!$AD$1:$BE$65000,$B1126,S$5)=1,1,IF(INDEX([1]Pivot!$B$1:$AB$65000,$B1126,S$5)="",2,0)),0)</f>
        <v>0</v>
      </c>
      <c r="T1126" s="194">
        <f>IFERROR(IF(INDEX([1]Pivot!$AD$1:$BE$65000,$B1126,T$5)=1,1,IF(INDEX([1]Pivot!$B$1:$AB$65000,$B1126,T$5)="",2,0)),0)</f>
        <v>0</v>
      </c>
      <c r="U1126" s="194">
        <f>IFERROR(IF(INDEX([1]Pivot!$AD$1:$BE$65000,$B1126,U$5)=1,1,IF(INDEX([1]Pivot!$B$1:$AB$65000,$B1126,U$5)="",2,0)),0)</f>
        <v>0</v>
      </c>
      <c r="V1126" s="194">
        <f>IFERROR(IF(INDEX([1]Pivot!$AD$1:$BE$65000,$B1126,V$5)=1,1,IF(INDEX([1]Pivot!$B$1:$AB$65000,$B1126,V$5)="",2,0)),0)</f>
        <v>0</v>
      </c>
      <c r="W1126" s="194">
        <f>IFERROR(IF(INDEX([1]Pivot!$AD$1:$BE$65000,$B1126,W$5)=1,1,IF(INDEX([1]Pivot!$B$1:$AB$65000,$B1126,W$5)="",2,0)),0)</f>
        <v>0</v>
      </c>
      <c r="X1126" s="194">
        <f>IFERROR(IF(INDEX([1]Pivot!$AD$1:$BE$65000,$B1126,X$5)=1,1,IF(INDEX([1]Pivot!$B$1:$AB$65000,$B1126,X$5)="",2,0)),0)</f>
        <v>0</v>
      </c>
      <c r="Y1126" s="194">
        <f>IFERROR(IF(INDEX([1]Pivot!$AD$1:$BE$65000,$B1126,Y$5)=1,1,IF(INDEX([1]Pivot!$B$1:$AB$65000,$B1126,Y$5)="",2,0)),0)</f>
        <v>0</v>
      </c>
      <c r="Z1126" s="194">
        <f>IFERROR(IF(INDEX([1]Pivot!$AD$1:$BE$65000,$B1126,Z$5)=1,1,IF(INDEX([1]Pivot!$B$1:$AB$65000,$B1126,Z$5)="",2,0)),0)</f>
        <v>0</v>
      </c>
      <c r="AA1126" s="194">
        <f>IFERROR(IF(INDEX([1]Pivot!$AD$1:$BE$65000,$B1126,AA$5)=1,1,IF(INDEX([1]Pivot!$B$1:$AB$65000,$B1126,AA$5)="",2,0)),0)</f>
        <v>0</v>
      </c>
      <c r="AB1126" s="194">
        <f>IFERROR(IF(INDEX([1]Pivot!$AD$1:$BE$65000,$B1126,AB$5)=1,1,IF(INDEX([1]Pivot!$B$1:$AB$65000,$B1126,AB$5)="",2,0)),0)</f>
        <v>0</v>
      </c>
      <c r="AC1126" s="194">
        <f>IFERROR(IF(INDEX([1]Pivot!$AD$1:$BE$65000,$B1126,AC$5)=1,1,IF(INDEX([1]Pivot!$B$1:$AB$65000,$B1126,AC$5)="",2,0)),0)</f>
        <v>0</v>
      </c>
      <c r="AD1126" s="313">
        <f>IFERROR(IF(INDEX([1]Pivot!$BF$1:$CG$65000,$B1126,AD$5)=1,1,IF(INDEX([1]Pivot!$B$1:$AB$65000,$B1126,AD$5)="",2,0)),0)</f>
        <v>0</v>
      </c>
      <c r="AE1126" s="313">
        <f>IFERROR(IF(INDEX([1]Pivot!$BF$1:$CG$65000,$B1126,AE$5)=1,1,IF(INDEX([1]Pivot!$B$1:$AB$65000,$B1126,AE$5)="",2,0)),0)</f>
        <v>0</v>
      </c>
      <c r="AF1126" s="313">
        <f>IFERROR(IF(INDEX([1]Pivot!$BF$1:$CG$65000,$B1126,AF$5)=1,1,IF(INDEX([1]Pivot!$B$1:$AB$65000,$B1126,AF$5)="",2,0)),0)</f>
        <v>0</v>
      </c>
      <c r="AG1126" s="313">
        <f>IFERROR(IF(INDEX([1]Pivot!$BF$1:$CG$65000,$B1126,AG$5)=1,1,IF(INDEX([1]Pivot!$B$1:$AB$65000,$B1126,AG$5)="",2,0)),0)</f>
        <v>0</v>
      </c>
      <c r="AH1126" s="313">
        <f>IFERROR(IF(INDEX([1]Pivot!$BF$1:$CG$65000,$B1126,AH$5)=1,1,IF(INDEX([1]Pivot!$B$1:$AB$65000,$B1126,AH$5)="",2,0)),0)</f>
        <v>0</v>
      </c>
      <c r="AI1126" s="313">
        <f>IFERROR(IF(INDEX([1]Pivot!$BF$1:$CG$65000,$B1126,AI$5)=1,1,IF(INDEX([1]Pivot!$B$1:$AB$65000,$B1126,AI$5)="",2,0)),0)</f>
        <v>0</v>
      </c>
      <c r="AJ1126" s="313">
        <f>IFERROR(IF(INDEX([1]Pivot!$BF$1:$CG$65000,$B1126,AJ$5)=1,1,IF(INDEX([1]Pivot!$B$1:$AB$65000,$B1126,AJ$5)="",2,0)),0)</f>
        <v>0</v>
      </c>
      <c r="AK1126" s="313">
        <f>IFERROR(IF(INDEX([1]Pivot!$BF$1:$CG$65000,$B1126,AK$5)=1,1,IF(INDEX([1]Pivot!$B$1:$AB$65000,$B1126,AK$5)="",2,0)),0)</f>
        <v>0</v>
      </c>
      <c r="AL1126" s="313">
        <f>IFERROR(IF(INDEX([1]Pivot!$BF$1:$CG$65000,$B1126,AL$5)=1,1,IF(INDEX([1]Pivot!$B$1:$AB$65000,$B1126,AL$5)="",2,0)),0)</f>
        <v>0</v>
      </c>
      <c r="AM1126" s="313">
        <f>IFERROR(IF(INDEX([1]Pivot!$BF$1:$CG$65000,$B1126,AM$5)=1,1,IF(INDEX([1]Pivot!$B$1:$AB$65000,$B1126,AM$5)="",2,0)),0)</f>
        <v>0</v>
      </c>
      <c r="AN1126" s="313">
        <f>IFERROR(IF(INDEX([1]Pivot!$BF$1:$CG$65000,$B1126,AN$5)=1,1,IF(INDEX([1]Pivot!$B$1:$AB$65000,$B1126,AN$5)="",2,0)),0)</f>
        <v>0</v>
      </c>
      <c r="AO1126" s="313">
        <f>IFERROR(IF(INDEX([1]Pivot!$BF$1:$CG$65000,$B1126,AO$5)=1,1,IF(INDEX([1]Pivot!$B$1:$AB$65000,$B1126,AO$5)="",2,0)),0)</f>
        <v>0</v>
      </c>
      <c r="AP1126" s="313">
        <f>IFERROR(IF(INDEX([1]Pivot!$BF$1:$CG$65000,$B1126,AP$5)=1,1,IF(INDEX([1]Pivot!$B$1:$AB$65000,$B1126,AP$5)="",2,0)),0)</f>
        <v>0</v>
      </c>
      <c r="AQ1126" s="313">
        <f>IFERROR(IF(INDEX([1]Pivot!$BF$1:$CG$65000,$B1126,AQ$5)=1,1,IF(INDEX([1]Pivot!$B$1:$AB$65000,$B1126,AQ$5)="",2,0)),0)</f>
        <v>0</v>
      </c>
      <c r="AR1126" s="313">
        <f>IFERROR(IF(INDEX([1]Pivot!$BF$1:$CG$65000,$B1126,AR$5)=1,1,IF(INDEX([1]Pivot!$B$1:$AB$65000,$B1126,AR$5)="",2,0)),0)</f>
        <v>0</v>
      </c>
      <c r="AS1126" s="312"/>
      <c r="AT1126" s="313">
        <f>IFERROR(IF(INDEX([1]Pivot!$BF$1:$CG$65000,$B1126,AT$5)=1,1,IF(INDEX([1]Pivot!$B$1:$AB$65000,$B1126,AT$5)="",2,0)),0)</f>
        <v>0</v>
      </c>
      <c r="AU1126" s="313">
        <f>IFERROR(IF(INDEX([1]Pivot!$BF$1:$CG$65000,$B1126,AU$5)=1,1,IF(INDEX([1]Pivot!$B$1:$AB$65000,$B1126,AU$5)="",2,0)),0)</f>
        <v>0</v>
      </c>
      <c r="AV1126" s="313">
        <f>IFERROR(IF(INDEX([1]Pivot!$BF$1:$CG$65000,$B1126,AV$5)=1,1,IF(INDEX([1]Pivot!$B$1:$AB$65000,$B1126,AV$5)="",2,0)),0)</f>
        <v>0</v>
      </c>
      <c r="AW1126" s="313">
        <f>IFERROR(IF(INDEX([1]Pivot!$BF$1:$CG$65000,$B1126,AW$5)=1,1,IF(INDEX([1]Pivot!$B$1:$AB$65000,$B1126,AW$5)="",2,0)),0)</f>
        <v>0</v>
      </c>
      <c r="AX1126" s="313">
        <f>IFERROR(IF(INDEX([1]Pivot!$BF$1:$CG$65000,$B1126,AX$5)=1,1,IF(INDEX([1]Pivot!$B$1:$AB$65000,$B1126,AX$5)="",2,0)),0)</f>
        <v>0</v>
      </c>
      <c r="AY1126" s="313">
        <f>IFERROR(IF(INDEX([1]Pivot!$BF$1:$CG$65000,$B1126,AY$5)=1,1,IF(INDEX([1]Pivot!$B$1:$AB$65000,$B1126,AY$5)="",2,0)),0)</f>
        <v>0</v>
      </c>
      <c r="AZ1126" s="313">
        <f>IFERROR(IF(INDEX([1]Pivot!$BF$1:$CG$65000,$B1126,AZ$5)=1,1,IF(INDEX([1]Pivot!$B$1:$AB$65000,$B1126,AZ$5)="",2,0)),0)</f>
        <v>0</v>
      </c>
      <c r="BA1126" s="313">
        <f>IFERROR(IF(INDEX([1]Pivot!$BF$1:$CG$65000,$B1126,BA$5)=1,1,IF(INDEX([1]Pivot!$B$1:$AB$65000,$B1126,BA$5)="",2,0)),0)</f>
        <v>0</v>
      </c>
      <c r="BB1126" s="313">
        <f>IFERROR(IF(INDEX([1]Pivot!$BF$1:$CG$65000,$B1126,BB$5)=1,1,IF(INDEX([1]Pivot!$B$1:$AB$65000,$B1126,BB$5)="",2,0)),0)</f>
        <v>0</v>
      </c>
      <c r="BC1126" s="313">
        <f>IFERROR(IF(INDEX([1]Pivot!$BF$1:$CG$65000,$B1126,BC$5)=1,1,IF(INDEX([1]Pivot!$B$1:$AB$65000,$B1126,BC$5)="",2,0)),0)</f>
        <v>0</v>
      </c>
      <c r="BD1126" s="313">
        <f>IFERROR(IF(INDEX([1]Pivot!$BF$1:$CG$65000,$B1126,BD$5)=1,1,IF(INDEX([1]Pivot!$B$1:$AB$65000,$B1126,BD$5)="",2,0)),0)</f>
        <v>0</v>
      </c>
    </row>
    <row r="1127" spans="1:56" x14ac:dyDescent="0.25">
      <c r="A1127" s="288">
        <f>'[2]Raw Milk Prices'!A1127</f>
        <v>0</v>
      </c>
      <c r="B1127" s="296" t="e">
        <f>MATCH(DATE(LEFT('[2]Raw Milk Prices'!$A1127,4),RIGHT('[2]Raw Milk Prices'!$A1127,2),1),[1]Pivot!$A$1:$A$65000,0)</f>
        <v>#VALUE!</v>
      </c>
      <c r="C1127" s="194">
        <f>IFERROR(IF(INDEX([1]Pivot!$AD$1:$BE$65000,$B1127,C$5)=1,1,IF(INDEX([1]Pivot!$B$1:$AB$65000,$B1127,C$5)="",2,0)),0)</f>
        <v>0</v>
      </c>
      <c r="D1127" s="194">
        <f>IFERROR(IF(INDEX([1]Pivot!$AD$1:$BE$65000,$B1127,D$5)=1,1,IF(INDEX([1]Pivot!$B$1:$AB$65000,$B1127,D$5)="",2,0)),0)</f>
        <v>0</v>
      </c>
      <c r="E1127" s="194">
        <f>IFERROR(IF(INDEX([1]Pivot!$AD$1:$BE$65000,$B1127,E$5)=1,1,IF(INDEX([1]Pivot!$B$1:$AB$65000,$B1127,E$5)="",2,0)),0)</f>
        <v>0</v>
      </c>
      <c r="F1127" s="194">
        <f>IFERROR(IF(INDEX([1]Pivot!$AD$1:$BE$65000,$B1127,F$5)=1,1,IF(INDEX([1]Pivot!$B$1:$AB$65000,$B1127,F$5)="",2,0)),0)</f>
        <v>0</v>
      </c>
      <c r="G1127" s="194">
        <f>IFERROR(IF(INDEX([1]Pivot!$AD$1:$BE$65000,$B1127,G$5)=1,1,IF(INDEX([1]Pivot!$B$1:$AB$65000,$B1127,G$5)="",2,0)),0)</f>
        <v>0</v>
      </c>
      <c r="H1127" s="194">
        <f>IFERROR(IF(INDEX([1]Pivot!$AD$1:$BE$65000,$B1127,H$5)=1,1,IF(INDEX([1]Pivot!$B$1:$AB$65000,$B1127,H$5)="",2,0)),0)</f>
        <v>0</v>
      </c>
      <c r="I1127" s="194">
        <f>IFERROR(IF(INDEX([1]Pivot!$AD$1:$BE$65000,$B1127,I$5)=1,1,IF(INDEX([1]Pivot!$B$1:$AB$65000,$B1127,I$5)="",2,0)),0)</f>
        <v>0</v>
      </c>
      <c r="J1127" s="194">
        <f>IFERROR(IF(INDEX([1]Pivot!$AD$1:$BE$65000,$B1127,J$5)=1,1,IF(INDEX([1]Pivot!$B$1:$AB$65000,$B1127,J$5)="",2,0)),0)</f>
        <v>0</v>
      </c>
      <c r="K1127" s="194">
        <f>IFERROR(IF(INDEX([1]Pivot!$AD$1:$BE$65000,$B1127,K$5)=1,1,IF(INDEX([1]Pivot!$B$1:$AB$65000,$B1127,K$5)="",2,0)),0)</f>
        <v>0</v>
      </c>
      <c r="L1127" s="194">
        <f>IFERROR(IF(INDEX([1]Pivot!$AD$1:$BE$65000,$B1127,L$5)=1,1,IF(INDEX([1]Pivot!$B$1:$AB$65000,$B1127,L$5)="",2,0)),0)</f>
        <v>0</v>
      </c>
      <c r="M1127" s="194">
        <f>IFERROR(IF(INDEX([1]Pivot!$AD$1:$BE$65000,$B1127,M$5)=1,1,IF(INDEX([1]Pivot!$B$1:$AB$65000,$B1127,M$5)="",2,0)),0)</f>
        <v>0</v>
      </c>
      <c r="N1127" s="194">
        <f>IFERROR(IF(INDEX([1]Pivot!$AD$1:$BE$65000,$B1127,N$5)=1,1,IF(INDEX([1]Pivot!$B$1:$AB$65000,$B1127,N$5)="",2,0)),0)</f>
        <v>0</v>
      </c>
      <c r="O1127" s="194">
        <f>IFERROR(IF(INDEX([1]Pivot!$AD$1:$BE$65000,$B1127,O$5)=1,1,IF(INDEX([1]Pivot!$B$1:$AB$65000,$B1127,O$5)="",2,0)),0)</f>
        <v>0</v>
      </c>
      <c r="P1127" s="194">
        <f>IFERROR(IF(INDEX([1]Pivot!$AD$1:$BE$65000,$B1127,P$5)=1,1,IF(INDEX([1]Pivot!$B$1:$AB$65000,$B1127,P$5)="",2,0)),0)</f>
        <v>0</v>
      </c>
      <c r="Q1127" s="194">
        <f>IFERROR(IF(INDEX([1]Pivot!$AD$1:$BE$65000,$B1127,Q$5)=1,1,IF(INDEX([1]Pivot!$B$1:$AB$65000,$B1127,Q$5)="",2,0)),0)</f>
        <v>0</v>
      </c>
      <c r="R1127" s="312"/>
      <c r="S1127" s="194">
        <f>IFERROR(IF(INDEX([1]Pivot!$AD$1:$BE$65000,$B1127,S$5)=1,1,IF(INDEX([1]Pivot!$B$1:$AB$65000,$B1127,S$5)="",2,0)),0)</f>
        <v>0</v>
      </c>
      <c r="T1127" s="194">
        <f>IFERROR(IF(INDEX([1]Pivot!$AD$1:$BE$65000,$B1127,T$5)=1,1,IF(INDEX([1]Pivot!$B$1:$AB$65000,$B1127,T$5)="",2,0)),0)</f>
        <v>0</v>
      </c>
      <c r="U1127" s="194">
        <f>IFERROR(IF(INDEX([1]Pivot!$AD$1:$BE$65000,$B1127,U$5)=1,1,IF(INDEX([1]Pivot!$B$1:$AB$65000,$B1127,U$5)="",2,0)),0)</f>
        <v>0</v>
      </c>
      <c r="V1127" s="194">
        <f>IFERROR(IF(INDEX([1]Pivot!$AD$1:$BE$65000,$B1127,V$5)=1,1,IF(INDEX([1]Pivot!$B$1:$AB$65000,$B1127,V$5)="",2,0)),0)</f>
        <v>0</v>
      </c>
      <c r="W1127" s="194">
        <f>IFERROR(IF(INDEX([1]Pivot!$AD$1:$BE$65000,$B1127,W$5)=1,1,IF(INDEX([1]Pivot!$B$1:$AB$65000,$B1127,W$5)="",2,0)),0)</f>
        <v>0</v>
      </c>
      <c r="X1127" s="194">
        <f>IFERROR(IF(INDEX([1]Pivot!$AD$1:$BE$65000,$B1127,X$5)=1,1,IF(INDEX([1]Pivot!$B$1:$AB$65000,$B1127,X$5)="",2,0)),0)</f>
        <v>0</v>
      </c>
      <c r="Y1127" s="194">
        <f>IFERROR(IF(INDEX([1]Pivot!$AD$1:$BE$65000,$B1127,Y$5)=1,1,IF(INDEX([1]Pivot!$B$1:$AB$65000,$B1127,Y$5)="",2,0)),0)</f>
        <v>0</v>
      </c>
      <c r="Z1127" s="194">
        <f>IFERROR(IF(INDEX([1]Pivot!$AD$1:$BE$65000,$B1127,Z$5)=1,1,IF(INDEX([1]Pivot!$B$1:$AB$65000,$B1127,Z$5)="",2,0)),0)</f>
        <v>0</v>
      </c>
      <c r="AA1127" s="194">
        <f>IFERROR(IF(INDEX([1]Pivot!$AD$1:$BE$65000,$B1127,AA$5)=1,1,IF(INDEX([1]Pivot!$B$1:$AB$65000,$B1127,AA$5)="",2,0)),0)</f>
        <v>0</v>
      </c>
      <c r="AB1127" s="194">
        <f>IFERROR(IF(INDEX([1]Pivot!$AD$1:$BE$65000,$B1127,AB$5)=1,1,IF(INDEX([1]Pivot!$B$1:$AB$65000,$B1127,AB$5)="",2,0)),0)</f>
        <v>0</v>
      </c>
      <c r="AC1127" s="194">
        <f>IFERROR(IF(INDEX([1]Pivot!$AD$1:$BE$65000,$B1127,AC$5)=1,1,IF(INDEX([1]Pivot!$B$1:$AB$65000,$B1127,AC$5)="",2,0)),0)</f>
        <v>0</v>
      </c>
      <c r="AD1127" s="313">
        <f>IFERROR(IF(INDEX([1]Pivot!$BF$1:$CG$65000,$B1127,AD$5)=1,1,IF(INDEX([1]Pivot!$B$1:$AB$65000,$B1127,AD$5)="",2,0)),0)</f>
        <v>0</v>
      </c>
      <c r="AE1127" s="313">
        <f>IFERROR(IF(INDEX([1]Pivot!$BF$1:$CG$65000,$B1127,AE$5)=1,1,IF(INDEX([1]Pivot!$B$1:$AB$65000,$B1127,AE$5)="",2,0)),0)</f>
        <v>0</v>
      </c>
      <c r="AF1127" s="313">
        <f>IFERROR(IF(INDEX([1]Pivot!$BF$1:$CG$65000,$B1127,AF$5)=1,1,IF(INDEX([1]Pivot!$B$1:$AB$65000,$B1127,AF$5)="",2,0)),0)</f>
        <v>0</v>
      </c>
      <c r="AG1127" s="313">
        <f>IFERROR(IF(INDEX([1]Pivot!$BF$1:$CG$65000,$B1127,AG$5)=1,1,IF(INDEX([1]Pivot!$B$1:$AB$65000,$B1127,AG$5)="",2,0)),0)</f>
        <v>0</v>
      </c>
      <c r="AH1127" s="313">
        <f>IFERROR(IF(INDEX([1]Pivot!$BF$1:$CG$65000,$B1127,AH$5)=1,1,IF(INDEX([1]Pivot!$B$1:$AB$65000,$B1127,AH$5)="",2,0)),0)</f>
        <v>0</v>
      </c>
      <c r="AI1127" s="313">
        <f>IFERROR(IF(INDEX([1]Pivot!$BF$1:$CG$65000,$B1127,AI$5)=1,1,IF(INDEX([1]Pivot!$B$1:$AB$65000,$B1127,AI$5)="",2,0)),0)</f>
        <v>0</v>
      </c>
      <c r="AJ1127" s="313">
        <f>IFERROR(IF(INDEX([1]Pivot!$BF$1:$CG$65000,$B1127,AJ$5)=1,1,IF(INDEX([1]Pivot!$B$1:$AB$65000,$B1127,AJ$5)="",2,0)),0)</f>
        <v>0</v>
      </c>
      <c r="AK1127" s="313">
        <f>IFERROR(IF(INDEX([1]Pivot!$BF$1:$CG$65000,$B1127,AK$5)=1,1,IF(INDEX([1]Pivot!$B$1:$AB$65000,$B1127,AK$5)="",2,0)),0)</f>
        <v>0</v>
      </c>
      <c r="AL1127" s="313">
        <f>IFERROR(IF(INDEX([1]Pivot!$BF$1:$CG$65000,$B1127,AL$5)=1,1,IF(INDEX([1]Pivot!$B$1:$AB$65000,$B1127,AL$5)="",2,0)),0)</f>
        <v>0</v>
      </c>
      <c r="AM1127" s="313">
        <f>IFERROR(IF(INDEX([1]Pivot!$BF$1:$CG$65000,$B1127,AM$5)=1,1,IF(INDEX([1]Pivot!$B$1:$AB$65000,$B1127,AM$5)="",2,0)),0)</f>
        <v>0</v>
      </c>
      <c r="AN1127" s="313">
        <f>IFERROR(IF(INDEX([1]Pivot!$BF$1:$CG$65000,$B1127,AN$5)=1,1,IF(INDEX([1]Pivot!$B$1:$AB$65000,$B1127,AN$5)="",2,0)),0)</f>
        <v>0</v>
      </c>
      <c r="AO1127" s="313">
        <f>IFERROR(IF(INDEX([1]Pivot!$BF$1:$CG$65000,$B1127,AO$5)=1,1,IF(INDEX([1]Pivot!$B$1:$AB$65000,$B1127,AO$5)="",2,0)),0)</f>
        <v>0</v>
      </c>
      <c r="AP1127" s="313">
        <f>IFERROR(IF(INDEX([1]Pivot!$BF$1:$CG$65000,$B1127,AP$5)=1,1,IF(INDEX([1]Pivot!$B$1:$AB$65000,$B1127,AP$5)="",2,0)),0)</f>
        <v>0</v>
      </c>
      <c r="AQ1127" s="313">
        <f>IFERROR(IF(INDEX([1]Pivot!$BF$1:$CG$65000,$B1127,AQ$5)=1,1,IF(INDEX([1]Pivot!$B$1:$AB$65000,$B1127,AQ$5)="",2,0)),0)</f>
        <v>0</v>
      </c>
      <c r="AR1127" s="313">
        <f>IFERROR(IF(INDEX([1]Pivot!$BF$1:$CG$65000,$B1127,AR$5)=1,1,IF(INDEX([1]Pivot!$B$1:$AB$65000,$B1127,AR$5)="",2,0)),0)</f>
        <v>0</v>
      </c>
      <c r="AS1127" s="312"/>
      <c r="AT1127" s="313">
        <f>IFERROR(IF(INDEX([1]Pivot!$BF$1:$CG$65000,$B1127,AT$5)=1,1,IF(INDEX([1]Pivot!$B$1:$AB$65000,$B1127,AT$5)="",2,0)),0)</f>
        <v>0</v>
      </c>
      <c r="AU1127" s="313">
        <f>IFERROR(IF(INDEX([1]Pivot!$BF$1:$CG$65000,$B1127,AU$5)=1,1,IF(INDEX([1]Pivot!$B$1:$AB$65000,$B1127,AU$5)="",2,0)),0)</f>
        <v>0</v>
      </c>
      <c r="AV1127" s="313">
        <f>IFERROR(IF(INDEX([1]Pivot!$BF$1:$CG$65000,$B1127,AV$5)=1,1,IF(INDEX([1]Pivot!$B$1:$AB$65000,$B1127,AV$5)="",2,0)),0)</f>
        <v>0</v>
      </c>
      <c r="AW1127" s="313">
        <f>IFERROR(IF(INDEX([1]Pivot!$BF$1:$CG$65000,$B1127,AW$5)=1,1,IF(INDEX([1]Pivot!$B$1:$AB$65000,$B1127,AW$5)="",2,0)),0)</f>
        <v>0</v>
      </c>
      <c r="AX1127" s="313">
        <f>IFERROR(IF(INDEX([1]Pivot!$BF$1:$CG$65000,$B1127,AX$5)=1,1,IF(INDEX([1]Pivot!$B$1:$AB$65000,$B1127,AX$5)="",2,0)),0)</f>
        <v>0</v>
      </c>
      <c r="AY1127" s="313">
        <f>IFERROR(IF(INDEX([1]Pivot!$BF$1:$CG$65000,$B1127,AY$5)=1,1,IF(INDEX([1]Pivot!$B$1:$AB$65000,$B1127,AY$5)="",2,0)),0)</f>
        <v>0</v>
      </c>
      <c r="AZ1127" s="313">
        <f>IFERROR(IF(INDEX([1]Pivot!$BF$1:$CG$65000,$B1127,AZ$5)=1,1,IF(INDEX([1]Pivot!$B$1:$AB$65000,$B1127,AZ$5)="",2,0)),0)</f>
        <v>0</v>
      </c>
      <c r="BA1127" s="313">
        <f>IFERROR(IF(INDEX([1]Pivot!$BF$1:$CG$65000,$B1127,BA$5)=1,1,IF(INDEX([1]Pivot!$B$1:$AB$65000,$B1127,BA$5)="",2,0)),0)</f>
        <v>0</v>
      </c>
      <c r="BB1127" s="313">
        <f>IFERROR(IF(INDEX([1]Pivot!$BF$1:$CG$65000,$B1127,BB$5)=1,1,IF(INDEX([1]Pivot!$B$1:$AB$65000,$B1127,BB$5)="",2,0)),0)</f>
        <v>0</v>
      </c>
      <c r="BC1127" s="313">
        <f>IFERROR(IF(INDEX([1]Pivot!$BF$1:$CG$65000,$B1127,BC$5)=1,1,IF(INDEX([1]Pivot!$B$1:$AB$65000,$B1127,BC$5)="",2,0)),0)</f>
        <v>0</v>
      </c>
      <c r="BD1127" s="313">
        <f>IFERROR(IF(INDEX([1]Pivot!$BF$1:$CG$65000,$B1127,BD$5)=1,1,IF(INDEX([1]Pivot!$B$1:$AB$65000,$B1127,BD$5)="",2,0)),0)</f>
        <v>0</v>
      </c>
    </row>
    <row r="1128" spans="1:56" x14ac:dyDescent="0.25">
      <c r="A1128" s="288">
        <f>'[2]Raw Milk Prices'!A1128</f>
        <v>0</v>
      </c>
      <c r="B1128" s="296" t="e">
        <f>MATCH(DATE(LEFT('[2]Raw Milk Prices'!$A1128,4),RIGHT('[2]Raw Milk Prices'!$A1128,2),1),[1]Pivot!$A$1:$A$65000,0)</f>
        <v>#VALUE!</v>
      </c>
      <c r="C1128" s="194">
        <f>IFERROR(IF(INDEX([1]Pivot!$AD$1:$BE$65000,$B1128,C$5)=1,1,IF(INDEX([1]Pivot!$B$1:$AB$65000,$B1128,C$5)="",2,0)),0)</f>
        <v>0</v>
      </c>
      <c r="D1128" s="194">
        <f>IFERROR(IF(INDEX([1]Pivot!$AD$1:$BE$65000,$B1128,D$5)=1,1,IF(INDEX([1]Pivot!$B$1:$AB$65000,$B1128,D$5)="",2,0)),0)</f>
        <v>0</v>
      </c>
      <c r="E1128" s="194">
        <f>IFERROR(IF(INDEX([1]Pivot!$AD$1:$BE$65000,$B1128,E$5)=1,1,IF(INDEX([1]Pivot!$B$1:$AB$65000,$B1128,E$5)="",2,0)),0)</f>
        <v>0</v>
      </c>
      <c r="F1128" s="194">
        <f>IFERROR(IF(INDEX([1]Pivot!$AD$1:$BE$65000,$B1128,F$5)=1,1,IF(INDEX([1]Pivot!$B$1:$AB$65000,$B1128,F$5)="",2,0)),0)</f>
        <v>0</v>
      </c>
      <c r="G1128" s="194">
        <f>IFERROR(IF(INDEX([1]Pivot!$AD$1:$BE$65000,$B1128,G$5)=1,1,IF(INDEX([1]Pivot!$B$1:$AB$65000,$B1128,G$5)="",2,0)),0)</f>
        <v>0</v>
      </c>
      <c r="H1128" s="194">
        <f>IFERROR(IF(INDEX([1]Pivot!$AD$1:$BE$65000,$B1128,H$5)=1,1,IF(INDEX([1]Pivot!$B$1:$AB$65000,$B1128,H$5)="",2,0)),0)</f>
        <v>0</v>
      </c>
      <c r="I1128" s="194">
        <f>IFERROR(IF(INDEX([1]Pivot!$AD$1:$BE$65000,$B1128,I$5)=1,1,IF(INDEX([1]Pivot!$B$1:$AB$65000,$B1128,I$5)="",2,0)),0)</f>
        <v>0</v>
      </c>
      <c r="J1128" s="194">
        <f>IFERROR(IF(INDEX([1]Pivot!$AD$1:$BE$65000,$B1128,J$5)=1,1,IF(INDEX([1]Pivot!$B$1:$AB$65000,$B1128,J$5)="",2,0)),0)</f>
        <v>0</v>
      </c>
      <c r="K1128" s="194">
        <f>IFERROR(IF(INDEX([1]Pivot!$AD$1:$BE$65000,$B1128,K$5)=1,1,IF(INDEX([1]Pivot!$B$1:$AB$65000,$B1128,K$5)="",2,0)),0)</f>
        <v>0</v>
      </c>
      <c r="L1128" s="194">
        <f>IFERROR(IF(INDEX([1]Pivot!$AD$1:$BE$65000,$B1128,L$5)=1,1,IF(INDEX([1]Pivot!$B$1:$AB$65000,$B1128,L$5)="",2,0)),0)</f>
        <v>0</v>
      </c>
      <c r="M1128" s="194">
        <f>IFERROR(IF(INDEX([1]Pivot!$AD$1:$BE$65000,$B1128,M$5)=1,1,IF(INDEX([1]Pivot!$B$1:$AB$65000,$B1128,M$5)="",2,0)),0)</f>
        <v>0</v>
      </c>
      <c r="N1128" s="194">
        <f>IFERROR(IF(INDEX([1]Pivot!$AD$1:$BE$65000,$B1128,N$5)=1,1,IF(INDEX([1]Pivot!$B$1:$AB$65000,$B1128,N$5)="",2,0)),0)</f>
        <v>0</v>
      </c>
      <c r="O1128" s="194">
        <f>IFERROR(IF(INDEX([1]Pivot!$AD$1:$BE$65000,$B1128,O$5)=1,1,IF(INDEX([1]Pivot!$B$1:$AB$65000,$B1128,O$5)="",2,0)),0)</f>
        <v>0</v>
      </c>
      <c r="P1128" s="194">
        <f>IFERROR(IF(INDEX([1]Pivot!$AD$1:$BE$65000,$B1128,P$5)=1,1,IF(INDEX([1]Pivot!$B$1:$AB$65000,$B1128,P$5)="",2,0)),0)</f>
        <v>0</v>
      </c>
      <c r="Q1128" s="194">
        <f>IFERROR(IF(INDEX([1]Pivot!$AD$1:$BE$65000,$B1128,Q$5)=1,1,IF(INDEX([1]Pivot!$B$1:$AB$65000,$B1128,Q$5)="",2,0)),0)</f>
        <v>0</v>
      </c>
      <c r="R1128" s="312"/>
      <c r="S1128" s="194">
        <f>IFERROR(IF(INDEX([1]Pivot!$AD$1:$BE$65000,$B1128,S$5)=1,1,IF(INDEX([1]Pivot!$B$1:$AB$65000,$B1128,S$5)="",2,0)),0)</f>
        <v>0</v>
      </c>
      <c r="T1128" s="194">
        <f>IFERROR(IF(INDEX([1]Pivot!$AD$1:$BE$65000,$B1128,T$5)=1,1,IF(INDEX([1]Pivot!$B$1:$AB$65000,$B1128,T$5)="",2,0)),0)</f>
        <v>0</v>
      </c>
      <c r="U1128" s="194">
        <f>IFERROR(IF(INDEX([1]Pivot!$AD$1:$BE$65000,$B1128,U$5)=1,1,IF(INDEX([1]Pivot!$B$1:$AB$65000,$B1128,U$5)="",2,0)),0)</f>
        <v>0</v>
      </c>
      <c r="V1128" s="194">
        <f>IFERROR(IF(INDEX([1]Pivot!$AD$1:$BE$65000,$B1128,V$5)=1,1,IF(INDEX([1]Pivot!$B$1:$AB$65000,$B1128,V$5)="",2,0)),0)</f>
        <v>0</v>
      </c>
      <c r="W1128" s="194">
        <f>IFERROR(IF(INDEX([1]Pivot!$AD$1:$BE$65000,$B1128,W$5)=1,1,IF(INDEX([1]Pivot!$B$1:$AB$65000,$B1128,W$5)="",2,0)),0)</f>
        <v>0</v>
      </c>
      <c r="X1128" s="194">
        <f>IFERROR(IF(INDEX([1]Pivot!$AD$1:$BE$65000,$B1128,X$5)=1,1,IF(INDEX([1]Pivot!$B$1:$AB$65000,$B1128,X$5)="",2,0)),0)</f>
        <v>0</v>
      </c>
      <c r="Y1128" s="194">
        <f>IFERROR(IF(INDEX([1]Pivot!$AD$1:$BE$65000,$B1128,Y$5)=1,1,IF(INDEX([1]Pivot!$B$1:$AB$65000,$B1128,Y$5)="",2,0)),0)</f>
        <v>0</v>
      </c>
      <c r="Z1128" s="194">
        <f>IFERROR(IF(INDEX([1]Pivot!$AD$1:$BE$65000,$B1128,Z$5)=1,1,IF(INDEX([1]Pivot!$B$1:$AB$65000,$B1128,Z$5)="",2,0)),0)</f>
        <v>0</v>
      </c>
      <c r="AA1128" s="194">
        <f>IFERROR(IF(INDEX([1]Pivot!$AD$1:$BE$65000,$B1128,AA$5)=1,1,IF(INDEX([1]Pivot!$B$1:$AB$65000,$B1128,AA$5)="",2,0)),0)</f>
        <v>0</v>
      </c>
      <c r="AB1128" s="194">
        <f>IFERROR(IF(INDEX([1]Pivot!$AD$1:$BE$65000,$B1128,AB$5)=1,1,IF(INDEX([1]Pivot!$B$1:$AB$65000,$B1128,AB$5)="",2,0)),0)</f>
        <v>0</v>
      </c>
      <c r="AC1128" s="194">
        <f>IFERROR(IF(INDEX([1]Pivot!$AD$1:$BE$65000,$B1128,AC$5)=1,1,IF(INDEX([1]Pivot!$B$1:$AB$65000,$B1128,AC$5)="",2,0)),0)</f>
        <v>0</v>
      </c>
      <c r="AD1128" s="313">
        <f>IFERROR(IF(INDEX([1]Pivot!$BF$1:$CG$65000,$B1128,AD$5)=1,1,IF(INDEX([1]Pivot!$B$1:$AB$65000,$B1128,AD$5)="",2,0)),0)</f>
        <v>0</v>
      </c>
      <c r="AE1128" s="313">
        <f>IFERROR(IF(INDEX([1]Pivot!$BF$1:$CG$65000,$B1128,AE$5)=1,1,IF(INDEX([1]Pivot!$B$1:$AB$65000,$B1128,AE$5)="",2,0)),0)</f>
        <v>0</v>
      </c>
      <c r="AF1128" s="313">
        <f>IFERROR(IF(INDEX([1]Pivot!$BF$1:$CG$65000,$B1128,AF$5)=1,1,IF(INDEX([1]Pivot!$B$1:$AB$65000,$B1128,AF$5)="",2,0)),0)</f>
        <v>0</v>
      </c>
      <c r="AG1128" s="313">
        <f>IFERROR(IF(INDEX([1]Pivot!$BF$1:$CG$65000,$B1128,AG$5)=1,1,IF(INDEX([1]Pivot!$B$1:$AB$65000,$B1128,AG$5)="",2,0)),0)</f>
        <v>0</v>
      </c>
      <c r="AH1128" s="313">
        <f>IFERROR(IF(INDEX([1]Pivot!$BF$1:$CG$65000,$B1128,AH$5)=1,1,IF(INDEX([1]Pivot!$B$1:$AB$65000,$B1128,AH$5)="",2,0)),0)</f>
        <v>0</v>
      </c>
      <c r="AI1128" s="313">
        <f>IFERROR(IF(INDEX([1]Pivot!$BF$1:$CG$65000,$B1128,AI$5)=1,1,IF(INDEX([1]Pivot!$B$1:$AB$65000,$B1128,AI$5)="",2,0)),0)</f>
        <v>0</v>
      </c>
      <c r="AJ1128" s="313">
        <f>IFERROR(IF(INDEX([1]Pivot!$BF$1:$CG$65000,$B1128,AJ$5)=1,1,IF(INDEX([1]Pivot!$B$1:$AB$65000,$B1128,AJ$5)="",2,0)),0)</f>
        <v>0</v>
      </c>
      <c r="AK1128" s="313">
        <f>IFERROR(IF(INDEX([1]Pivot!$BF$1:$CG$65000,$B1128,AK$5)=1,1,IF(INDEX([1]Pivot!$B$1:$AB$65000,$B1128,AK$5)="",2,0)),0)</f>
        <v>0</v>
      </c>
      <c r="AL1128" s="313">
        <f>IFERROR(IF(INDEX([1]Pivot!$BF$1:$CG$65000,$B1128,AL$5)=1,1,IF(INDEX([1]Pivot!$B$1:$AB$65000,$B1128,AL$5)="",2,0)),0)</f>
        <v>0</v>
      </c>
      <c r="AM1128" s="313">
        <f>IFERROR(IF(INDEX([1]Pivot!$BF$1:$CG$65000,$B1128,AM$5)=1,1,IF(INDEX([1]Pivot!$B$1:$AB$65000,$B1128,AM$5)="",2,0)),0)</f>
        <v>0</v>
      </c>
      <c r="AN1128" s="313">
        <f>IFERROR(IF(INDEX([1]Pivot!$BF$1:$CG$65000,$B1128,AN$5)=1,1,IF(INDEX([1]Pivot!$B$1:$AB$65000,$B1128,AN$5)="",2,0)),0)</f>
        <v>0</v>
      </c>
      <c r="AO1128" s="313">
        <f>IFERROR(IF(INDEX([1]Pivot!$BF$1:$CG$65000,$B1128,AO$5)=1,1,IF(INDEX([1]Pivot!$B$1:$AB$65000,$B1128,AO$5)="",2,0)),0)</f>
        <v>0</v>
      </c>
      <c r="AP1128" s="313">
        <f>IFERROR(IF(INDEX([1]Pivot!$BF$1:$CG$65000,$B1128,AP$5)=1,1,IF(INDEX([1]Pivot!$B$1:$AB$65000,$B1128,AP$5)="",2,0)),0)</f>
        <v>0</v>
      </c>
      <c r="AQ1128" s="313">
        <f>IFERROR(IF(INDEX([1]Pivot!$BF$1:$CG$65000,$B1128,AQ$5)=1,1,IF(INDEX([1]Pivot!$B$1:$AB$65000,$B1128,AQ$5)="",2,0)),0)</f>
        <v>0</v>
      </c>
      <c r="AR1128" s="313">
        <f>IFERROR(IF(INDEX([1]Pivot!$BF$1:$CG$65000,$B1128,AR$5)=1,1,IF(INDEX([1]Pivot!$B$1:$AB$65000,$B1128,AR$5)="",2,0)),0)</f>
        <v>0</v>
      </c>
      <c r="AS1128" s="312"/>
      <c r="AT1128" s="313">
        <f>IFERROR(IF(INDEX([1]Pivot!$BF$1:$CG$65000,$B1128,AT$5)=1,1,IF(INDEX([1]Pivot!$B$1:$AB$65000,$B1128,AT$5)="",2,0)),0)</f>
        <v>0</v>
      </c>
      <c r="AU1128" s="313">
        <f>IFERROR(IF(INDEX([1]Pivot!$BF$1:$CG$65000,$B1128,AU$5)=1,1,IF(INDEX([1]Pivot!$B$1:$AB$65000,$B1128,AU$5)="",2,0)),0)</f>
        <v>0</v>
      </c>
      <c r="AV1128" s="313">
        <f>IFERROR(IF(INDEX([1]Pivot!$BF$1:$CG$65000,$B1128,AV$5)=1,1,IF(INDEX([1]Pivot!$B$1:$AB$65000,$B1128,AV$5)="",2,0)),0)</f>
        <v>0</v>
      </c>
      <c r="AW1128" s="313">
        <f>IFERROR(IF(INDEX([1]Pivot!$BF$1:$CG$65000,$B1128,AW$5)=1,1,IF(INDEX([1]Pivot!$B$1:$AB$65000,$B1128,AW$5)="",2,0)),0)</f>
        <v>0</v>
      </c>
      <c r="AX1128" s="313">
        <f>IFERROR(IF(INDEX([1]Pivot!$BF$1:$CG$65000,$B1128,AX$5)=1,1,IF(INDEX([1]Pivot!$B$1:$AB$65000,$B1128,AX$5)="",2,0)),0)</f>
        <v>0</v>
      </c>
      <c r="AY1128" s="313">
        <f>IFERROR(IF(INDEX([1]Pivot!$BF$1:$CG$65000,$B1128,AY$5)=1,1,IF(INDEX([1]Pivot!$B$1:$AB$65000,$B1128,AY$5)="",2,0)),0)</f>
        <v>0</v>
      </c>
      <c r="AZ1128" s="313">
        <f>IFERROR(IF(INDEX([1]Pivot!$BF$1:$CG$65000,$B1128,AZ$5)=1,1,IF(INDEX([1]Pivot!$B$1:$AB$65000,$B1128,AZ$5)="",2,0)),0)</f>
        <v>0</v>
      </c>
      <c r="BA1128" s="313">
        <f>IFERROR(IF(INDEX([1]Pivot!$BF$1:$CG$65000,$B1128,BA$5)=1,1,IF(INDEX([1]Pivot!$B$1:$AB$65000,$B1128,BA$5)="",2,0)),0)</f>
        <v>0</v>
      </c>
      <c r="BB1128" s="313">
        <f>IFERROR(IF(INDEX([1]Pivot!$BF$1:$CG$65000,$B1128,BB$5)=1,1,IF(INDEX([1]Pivot!$B$1:$AB$65000,$B1128,BB$5)="",2,0)),0)</f>
        <v>0</v>
      </c>
      <c r="BC1128" s="313">
        <f>IFERROR(IF(INDEX([1]Pivot!$BF$1:$CG$65000,$B1128,BC$5)=1,1,IF(INDEX([1]Pivot!$B$1:$AB$65000,$B1128,BC$5)="",2,0)),0)</f>
        <v>0</v>
      </c>
      <c r="BD1128" s="313">
        <f>IFERROR(IF(INDEX([1]Pivot!$BF$1:$CG$65000,$B1128,BD$5)=1,1,IF(INDEX([1]Pivot!$B$1:$AB$65000,$B1128,BD$5)="",2,0)),0)</f>
        <v>0</v>
      </c>
    </row>
    <row r="1129" spans="1:56" x14ac:dyDescent="0.25">
      <c r="A1129" s="288">
        <f>'[2]Raw Milk Prices'!A1129</f>
        <v>0</v>
      </c>
      <c r="B1129" s="296" t="e">
        <f>MATCH(DATE(LEFT('[2]Raw Milk Prices'!$A1129,4),RIGHT('[2]Raw Milk Prices'!$A1129,2),1),[1]Pivot!$A$1:$A$65000,0)</f>
        <v>#VALUE!</v>
      </c>
      <c r="C1129" s="194">
        <f>IFERROR(IF(INDEX([1]Pivot!$AD$1:$BE$65000,$B1129,C$5)=1,1,IF(INDEX([1]Pivot!$B$1:$AB$65000,$B1129,C$5)="",2,0)),0)</f>
        <v>0</v>
      </c>
      <c r="D1129" s="194">
        <f>IFERROR(IF(INDEX([1]Pivot!$AD$1:$BE$65000,$B1129,D$5)=1,1,IF(INDEX([1]Pivot!$B$1:$AB$65000,$B1129,D$5)="",2,0)),0)</f>
        <v>0</v>
      </c>
      <c r="E1129" s="194">
        <f>IFERROR(IF(INDEX([1]Pivot!$AD$1:$BE$65000,$B1129,E$5)=1,1,IF(INDEX([1]Pivot!$B$1:$AB$65000,$B1129,E$5)="",2,0)),0)</f>
        <v>0</v>
      </c>
      <c r="F1129" s="194">
        <f>IFERROR(IF(INDEX([1]Pivot!$AD$1:$BE$65000,$B1129,F$5)=1,1,IF(INDEX([1]Pivot!$B$1:$AB$65000,$B1129,F$5)="",2,0)),0)</f>
        <v>0</v>
      </c>
      <c r="G1129" s="194">
        <f>IFERROR(IF(INDEX([1]Pivot!$AD$1:$BE$65000,$B1129,G$5)=1,1,IF(INDEX([1]Pivot!$B$1:$AB$65000,$B1129,G$5)="",2,0)),0)</f>
        <v>0</v>
      </c>
      <c r="H1129" s="194">
        <f>IFERROR(IF(INDEX([1]Pivot!$AD$1:$BE$65000,$B1129,H$5)=1,1,IF(INDEX([1]Pivot!$B$1:$AB$65000,$B1129,H$5)="",2,0)),0)</f>
        <v>0</v>
      </c>
      <c r="I1129" s="194">
        <f>IFERROR(IF(INDEX([1]Pivot!$AD$1:$BE$65000,$B1129,I$5)=1,1,IF(INDEX([1]Pivot!$B$1:$AB$65000,$B1129,I$5)="",2,0)),0)</f>
        <v>0</v>
      </c>
      <c r="J1129" s="194">
        <f>IFERROR(IF(INDEX([1]Pivot!$AD$1:$BE$65000,$B1129,J$5)=1,1,IF(INDEX([1]Pivot!$B$1:$AB$65000,$B1129,J$5)="",2,0)),0)</f>
        <v>0</v>
      </c>
      <c r="K1129" s="194">
        <f>IFERROR(IF(INDEX([1]Pivot!$AD$1:$BE$65000,$B1129,K$5)=1,1,IF(INDEX([1]Pivot!$B$1:$AB$65000,$B1129,K$5)="",2,0)),0)</f>
        <v>0</v>
      </c>
      <c r="L1129" s="194">
        <f>IFERROR(IF(INDEX([1]Pivot!$AD$1:$BE$65000,$B1129,L$5)=1,1,IF(INDEX([1]Pivot!$B$1:$AB$65000,$B1129,L$5)="",2,0)),0)</f>
        <v>0</v>
      </c>
      <c r="M1129" s="194">
        <f>IFERROR(IF(INDEX([1]Pivot!$AD$1:$BE$65000,$B1129,M$5)=1,1,IF(INDEX([1]Pivot!$B$1:$AB$65000,$B1129,M$5)="",2,0)),0)</f>
        <v>0</v>
      </c>
      <c r="N1129" s="194">
        <f>IFERROR(IF(INDEX([1]Pivot!$AD$1:$BE$65000,$B1129,N$5)=1,1,IF(INDEX([1]Pivot!$B$1:$AB$65000,$B1129,N$5)="",2,0)),0)</f>
        <v>0</v>
      </c>
      <c r="O1129" s="194">
        <f>IFERROR(IF(INDEX([1]Pivot!$AD$1:$BE$65000,$B1129,O$5)=1,1,IF(INDEX([1]Pivot!$B$1:$AB$65000,$B1129,O$5)="",2,0)),0)</f>
        <v>0</v>
      </c>
      <c r="P1129" s="194">
        <f>IFERROR(IF(INDEX([1]Pivot!$AD$1:$BE$65000,$B1129,P$5)=1,1,IF(INDEX([1]Pivot!$B$1:$AB$65000,$B1129,P$5)="",2,0)),0)</f>
        <v>0</v>
      </c>
      <c r="Q1129" s="194">
        <f>IFERROR(IF(INDEX([1]Pivot!$AD$1:$BE$65000,$B1129,Q$5)=1,1,IF(INDEX([1]Pivot!$B$1:$AB$65000,$B1129,Q$5)="",2,0)),0)</f>
        <v>0</v>
      </c>
      <c r="R1129" s="312"/>
      <c r="S1129" s="194">
        <f>IFERROR(IF(INDEX([1]Pivot!$AD$1:$BE$65000,$B1129,S$5)=1,1,IF(INDEX([1]Pivot!$B$1:$AB$65000,$B1129,S$5)="",2,0)),0)</f>
        <v>0</v>
      </c>
      <c r="T1129" s="194">
        <f>IFERROR(IF(INDEX([1]Pivot!$AD$1:$BE$65000,$B1129,T$5)=1,1,IF(INDEX([1]Pivot!$B$1:$AB$65000,$B1129,T$5)="",2,0)),0)</f>
        <v>0</v>
      </c>
      <c r="U1129" s="194">
        <f>IFERROR(IF(INDEX([1]Pivot!$AD$1:$BE$65000,$B1129,U$5)=1,1,IF(INDEX([1]Pivot!$B$1:$AB$65000,$B1129,U$5)="",2,0)),0)</f>
        <v>0</v>
      </c>
      <c r="V1129" s="194">
        <f>IFERROR(IF(INDEX([1]Pivot!$AD$1:$BE$65000,$B1129,V$5)=1,1,IF(INDEX([1]Pivot!$B$1:$AB$65000,$B1129,V$5)="",2,0)),0)</f>
        <v>0</v>
      </c>
      <c r="W1129" s="194">
        <f>IFERROR(IF(INDEX([1]Pivot!$AD$1:$BE$65000,$B1129,W$5)=1,1,IF(INDEX([1]Pivot!$B$1:$AB$65000,$B1129,W$5)="",2,0)),0)</f>
        <v>0</v>
      </c>
      <c r="X1129" s="194">
        <f>IFERROR(IF(INDEX([1]Pivot!$AD$1:$BE$65000,$B1129,X$5)=1,1,IF(INDEX([1]Pivot!$B$1:$AB$65000,$B1129,X$5)="",2,0)),0)</f>
        <v>0</v>
      </c>
      <c r="Y1129" s="194">
        <f>IFERROR(IF(INDEX([1]Pivot!$AD$1:$BE$65000,$B1129,Y$5)=1,1,IF(INDEX([1]Pivot!$B$1:$AB$65000,$B1129,Y$5)="",2,0)),0)</f>
        <v>0</v>
      </c>
      <c r="Z1129" s="194">
        <f>IFERROR(IF(INDEX([1]Pivot!$AD$1:$BE$65000,$B1129,Z$5)=1,1,IF(INDEX([1]Pivot!$B$1:$AB$65000,$B1129,Z$5)="",2,0)),0)</f>
        <v>0</v>
      </c>
      <c r="AA1129" s="194">
        <f>IFERROR(IF(INDEX([1]Pivot!$AD$1:$BE$65000,$B1129,AA$5)=1,1,IF(INDEX([1]Pivot!$B$1:$AB$65000,$B1129,AA$5)="",2,0)),0)</f>
        <v>0</v>
      </c>
      <c r="AB1129" s="194">
        <f>IFERROR(IF(INDEX([1]Pivot!$AD$1:$BE$65000,$B1129,AB$5)=1,1,IF(INDEX([1]Pivot!$B$1:$AB$65000,$B1129,AB$5)="",2,0)),0)</f>
        <v>0</v>
      </c>
      <c r="AC1129" s="194">
        <f>IFERROR(IF(INDEX([1]Pivot!$AD$1:$BE$65000,$B1129,AC$5)=1,1,IF(INDEX([1]Pivot!$B$1:$AB$65000,$B1129,AC$5)="",2,0)),0)</f>
        <v>0</v>
      </c>
      <c r="AD1129" s="313">
        <f>IFERROR(IF(INDEX([1]Pivot!$BF$1:$CG$65000,$B1129,AD$5)=1,1,IF(INDEX([1]Pivot!$B$1:$AB$65000,$B1129,AD$5)="",2,0)),0)</f>
        <v>0</v>
      </c>
      <c r="AE1129" s="313">
        <f>IFERROR(IF(INDEX([1]Pivot!$BF$1:$CG$65000,$B1129,AE$5)=1,1,IF(INDEX([1]Pivot!$B$1:$AB$65000,$B1129,AE$5)="",2,0)),0)</f>
        <v>0</v>
      </c>
      <c r="AF1129" s="313">
        <f>IFERROR(IF(INDEX([1]Pivot!$BF$1:$CG$65000,$B1129,AF$5)=1,1,IF(INDEX([1]Pivot!$B$1:$AB$65000,$B1129,AF$5)="",2,0)),0)</f>
        <v>0</v>
      </c>
      <c r="AG1129" s="313">
        <f>IFERROR(IF(INDEX([1]Pivot!$BF$1:$CG$65000,$B1129,AG$5)=1,1,IF(INDEX([1]Pivot!$B$1:$AB$65000,$B1129,AG$5)="",2,0)),0)</f>
        <v>0</v>
      </c>
      <c r="AH1129" s="313">
        <f>IFERROR(IF(INDEX([1]Pivot!$BF$1:$CG$65000,$B1129,AH$5)=1,1,IF(INDEX([1]Pivot!$B$1:$AB$65000,$B1129,AH$5)="",2,0)),0)</f>
        <v>0</v>
      </c>
      <c r="AI1129" s="313">
        <f>IFERROR(IF(INDEX([1]Pivot!$BF$1:$CG$65000,$B1129,AI$5)=1,1,IF(INDEX([1]Pivot!$B$1:$AB$65000,$B1129,AI$5)="",2,0)),0)</f>
        <v>0</v>
      </c>
      <c r="AJ1129" s="313">
        <f>IFERROR(IF(INDEX([1]Pivot!$BF$1:$CG$65000,$B1129,AJ$5)=1,1,IF(INDEX([1]Pivot!$B$1:$AB$65000,$B1129,AJ$5)="",2,0)),0)</f>
        <v>0</v>
      </c>
      <c r="AK1129" s="313">
        <f>IFERROR(IF(INDEX([1]Pivot!$BF$1:$CG$65000,$B1129,AK$5)=1,1,IF(INDEX([1]Pivot!$B$1:$AB$65000,$B1129,AK$5)="",2,0)),0)</f>
        <v>0</v>
      </c>
      <c r="AL1129" s="313">
        <f>IFERROR(IF(INDEX([1]Pivot!$BF$1:$CG$65000,$B1129,AL$5)=1,1,IF(INDEX([1]Pivot!$B$1:$AB$65000,$B1129,AL$5)="",2,0)),0)</f>
        <v>0</v>
      </c>
      <c r="AM1129" s="313">
        <f>IFERROR(IF(INDEX([1]Pivot!$BF$1:$CG$65000,$B1129,AM$5)=1,1,IF(INDEX([1]Pivot!$B$1:$AB$65000,$B1129,AM$5)="",2,0)),0)</f>
        <v>0</v>
      </c>
      <c r="AN1129" s="313">
        <f>IFERROR(IF(INDEX([1]Pivot!$BF$1:$CG$65000,$B1129,AN$5)=1,1,IF(INDEX([1]Pivot!$B$1:$AB$65000,$B1129,AN$5)="",2,0)),0)</f>
        <v>0</v>
      </c>
      <c r="AO1129" s="313">
        <f>IFERROR(IF(INDEX([1]Pivot!$BF$1:$CG$65000,$B1129,AO$5)=1,1,IF(INDEX([1]Pivot!$B$1:$AB$65000,$B1129,AO$5)="",2,0)),0)</f>
        <v>0</v>
      </c>
      <c r="AP1129" s="313">
        <f>IFERROR(IF(INDEX([1]Pivot!$BF$1:$CG$65000,$B1129,AP$5)=1,1,IF(INDEX([1]Pivot!$B$1:$AB$65000,$B1129,AP$5)="",2,0)),0)</f>
        <v>0</v>
      </c>
      <c r="AQ1129" s="313">
        <f>IFERROR(IF(INDEX([1]Pivot!$BF$1:$CG$65000,$B1129,AQ$5)=1,1,IF(INDEX([1]Pivot!$B$1:$AB$65000,$B1129,AQ$5)="",2,0)),0)</f>
        <v>0</v>
      </c>
      <c r="AR1129" s="313">
        <f>IFERROR(IF(INDEX([1]Pivot!$BF$1:$CG$65000,$B1129,AR$5)=1,1,IF(INDEX([1]Pivot!$B$1:$AB$65000,$B1129,AR$5)="",2,0)),0)</f>
        <v>0</v>
      </c>
      <c r="AS1129" s="312"/>
      <c r="AT1129" s="313">
        <f>IFERROR(IF(INDEX([1]Pivot!$BF$1:$CG$65000,$B1129,AT$5)=1,1,IF(INDEX([1]Pivot!$B$1:$AB$65000,$B1129,AT$5)="",2,0)),0)</f>
        <v>0</v>
      </c>
      <c r="AU1129" s="313">
        <f>IFERROR(IF(INDEX([1]Pivot!$BF$1:$CG$65000,$B1129,AU$5)=1,1,IF(INDEX([1]Pivot!$B$1:$AB$65000,$B1129,AU$5)="",2,0)),0)</f>
        <v>0</v>
      </c>
      <c r="AV1129" s="313">
        <f>IFERROR(IF(INDEX([1]Pivot!$BF$1:$CG$65000,$B1129,AV$5)=1,1,IF(INDEX([1]Pivot!$B$1:$AB$65000,$B1129,AV$5)="",2,0)),0)</f>
        <v>0</v>
      </c>
      <c r="AW1129" s="313">
        <f>IFERROR(IF(INDEX([1]Pivot!$BF$1:$CG$65000,$B1129,AW$5)=1,1,IF(INDEX([1]Pivot!$B$1:$AB$65000,$B1129,AW$5)="",2,0)),0)</f>
        <v>0</v>
      </c>
      <c r="AX1129" s="313">
        <f>IFERROR(IF(INDEX([1]Pivot!$BF$1:$CG$65000,$B1129,AX$5)=1,1,IF(INDEX([1]Pivot!$B$1:$AB$65000,$B1129,AX$5)="",2,0)),0)</f>
        <v>0</v>
      </c>
      <c r="AY1129" s="313">
        <f>IFERROR(IF(INDEX([1]Pivot!$BF$1:$CG$65000,$B1129,AY$5)=1,1,IF(INDEX([1]Pivot!$B$1:$AB$65000,$B1129,AY$5)="",2,0)),0)</f>
        <v>0</v>
      </c>
      <c r="AZ1129" s="313">
        <f>IFERROR(IF(INDEX([1]Pivot!$BF$1:$CG$65000,$B1129,AZ$5)=1,1,IF(INDEX([1]Pivot!$B$1:$AB$65000,$B1129,AZ$5)="",2,0)),0)</f>
        <v>0</v>
      </c>
      <c r="BA1129" s="313">
        <f>IFERROR(IF(INDEX([1]Pivot!$BF$1:$CG$65000,$B1129,BA$5)=1,1,IF(INDEX([1]Pivot!$B$1:$AB$65000,$B1129,BA$5)="",2,0)),0)</f>
        <v>0</v>
      </c>
      <c r="BB1129" s="313">
        <f>IFERROR(IF(INDEX([1]Pivot!$BF$1:$CG$65000,$B1129,BB$5)=1,1,IF(INDEX([1]Pivot!$B$1:$AB$65000,$B1129,BB$5)="",2,0)),0)</f>
        <v>0</v>
      </c>
      <c r="BC1129" s="313">
        <f>IFERROR(IF(INDEX([1]Pivot!$BF$1:$CG$65000,$B1129,BC$5)=1,1,IF(INDEX([1]Pivot!$B$1:$AB$65000,$B1129,BC$5)="",2,0)),0)</f>
        <v>0</v>
      </c>
      <c r="BD1129" s="313">
        <f>IFERROR(IF(INDEX([1]Pivot!$BF$1:$CG$65000,$B1129,BD$5)=1,1,IF(INDEX([1]Pivot!$B$1:$AB$65000,$B1129,BD$5)="",2,0)),0)</f>
        <v>0</v>
      </c>
    </row>
    <row r="1130" spans="1:56" x14ac:dyDescent="0.25">
      <c r="A1130" s="288">
        <f>'[2]Raw Milk Prices'!A1130</f>
        <v>0</v>
      </c>
      <c r="B1130" s="296" t="e">
        <f>MATCH(DATE(LEFT('[2]Raw Milk Prices'!$A1130,4),RIGHT('[2]Raw Milk Prices'!$A1130,2),1),[1]Pivot!$A$1:$A$65000,0)</f>
        <v>#VALUE!</v>
      </c>
      <c r="C1130" s="194">
        <f>IFERROR(IF(INDEX([1]Pivot!$AD$1:$BE$65000,$B1130,C$5)=1,1,IF(INDEX([1]Pivot!$B$1:$AB$65000,$B1130,C$5)="",2,0)),0)</f>
        <v>0</v>
      </c>
      <c r="D1130" s="194">
        <f>IFERROR(IF(INDEX([1]Pivot!$AD$1:$BE$65000,$B1130,D$5)=1,1,IF(INDEX([1]Pivot!$B$1:$AB$65000,$B1130,D$5)="",2,0)),0)</f>
        <v>0</v>
      </c>
      <c r="E1130" s="194">
        <f>IFERROR(IF(INDEX([1]Pivot!$AD$1:$BE$65000,$B1130,E$5)=1,1,IF(INDEX([1]Pivot!$B$1:$AB$65000,$B1130,E$5)="",2,0)),0)</f>
        <v>0</v>
      </c>
      <c r="F1130" s="194">
        <f>IFERROR(IF(INDEX([1]Pivot!$AD$1:$BE$65000,$B1130,F$5)=1,1,IF(INDEX([1]Pivot!$B$1:$AB$65000,$B1130,F$5)="",2,0)),0)</f>
        <v>0</v>
      </c>
      <c r="G1130" s="194">
        <f>IFERROR(IF(INDEX([1]Pivot!$AD$1:$BE$65000,$B1130,G$5)=1,1,IF(INDEX([1]Pivot!$B$1:$AB$65000,$B1130,G$5)="",2,0)),0)</f>
        <v>0</v>
      </c>
      <c r="H1130" s="194">
        <f>IFERROR(IF(INDEX([1]Pivot!$AD$1:$BE$65000,$B1130,H$5)=1,1,IF(INDEX([1]Pivot!$B$1:$AB$65000,$B1130,H$5)="",2,0)),0)</f>
        <v>0</v>
      </c>
      <c r="I1130" s="194">
        <f>IFERROR(IF(INDEX([1]Pivot!$AD$1:$BE$65000,$B1130,I$5)=1,1,IF(INDEX([1]Pivot!$B$1:$AB$65000,$B1130,I$5)="",2,0)),0)</f>
        <v>0</v>
      </c>
      <c r="J1130" s="194">
        <f>IFERROR(IF(INDEX([1]Pivot!$AD$1:$BE$65000,$B1130,J$5)=1,1,IF(INDEX([1]Pivot!$B$1:$AB$65000,$B1130,J$5)="",2,0)),0)</f>
        <v>0</v>
      </c>
      <c r="K1130" s="194">
        <f>IFERROR(IF(INDEX([1]Pivot!$AD$1:$BE$65000,$B1130,K$5)=1,1,IF(INDEX([1]Pivot!$B$1:$AB$65000,$B1130,K$5)="",2,0)),0)</f>
        <v>0</v>
      </c>
      <c r="L1130" s="194">
        <f>IFERROR(IF(INDEX([1]Pivot!$AD$1:$BE$65000,$B1130,L$5)=1,1,IF(INDEX([1]Pivot!$B$1:$AB$65000,$B1130,L$5)="",2,0)),0)</f>
        <v>0</v>
      </c>
      <c r="M1130" s="194">
        <f>IFERROR(IF(INDEX([1]Pivot!$AD$1:$BE$65000,$B1130,M$5)=1,1,IF(INDEX([1]Pivot!$B$1:$AB$65000,$B1130,M$5)="",2,0)),0)</f>
        <v>0</v>
      </c>
      <c r="N1130" s="194">
        <f>IFERROR(IF(INDEX([1]Pivot!$AD$1:$BE$65000,$B1130,N$5)=1,1,IF(INDEX([1]Pivot!$B$1:$AB$65000,$B1130,N$5)="",2,0)),0)</f>
        <v>0</v>
      </c>
      <c r="O1130" s="194">
        <f>IFERROR(IF(INDEX([1]Pivot!$AD$1:$BE$65000,$B1130,O$5)=1,1,IF(INDEX([1]Pivot!$B$1:$AB$65000,$B1130,O$5)="",2,0)),0)</f>
        <v>0</v>
      </c>
      <c r="P1130" s="194">
        <f>IFERROR(IF(INDEX([1]Pivot!$AD$1:$BE$65000,$B1130,P$5)=1,1,IF(INDEX([1]Pivot!$B$1:$AB$65000,$B1130,P$5)="",2,0)),0)</f>
        <v>0</v>
      </c>
      <c r="Q1130" s="194">
        <f>IFERROR(IF(INDEX([1]Pivot!$AD$1:$BE$65000,$B1130,Q$5)=1,1,IF(INDEX([1]Pivot!$B$1:$AB$65000,$B1130,Q$5)="",2,0)),0)</f>
        <v>0</v>
      </c>
      <c r="R1130" s="312"/>
      <c r="S1130" s="194">
        <f>IFERROR(IF(INDEX([1]Pivot!$AD$1:$BE$65000,$B1130,S$5)=1,1,IF(INDEX([1]Pivot!$B$1:$AB$65000,$B1130,S$5)="",2,0)),0)</f>
        <v>0</v>
      </c>
      <c r="T1130" s="194">
        <f>IFERROR(IF(INDEX([1]Pivot!$AD$1:$BE$65000,$B1130,T$5)=1,1,IF(INDEX([1]Pivot!$B$1:$AB$65000,$B1130,T$5)="",2,0)),0)</f>
        <v>0</v>
      </c>
      <c r="U1130" s="194">
        <f>IFERROR(IF(INDEX([1]Pivot!$AD$1:$BE$65000,$B1130,U$5)=1,1,IF(INDEX([1]Pivot!$B$1:$AB$65000,$B1130,U$5)="",2,0)),0)</f>
        <v>0</v>
      </c>
      <c r="V1130" s="194">
        <f>IFERROR(IF(INDEX([1]Pivot!$AD$1:$BE$65000,$B1130,V$5)=1,1,IF(INDEX([1]Pivot!$B$1:$AB$65000,$B1130,V$5)="",2,0)),0)</f>
        <v>0</v>
      </c>
      <c r="W1130" s="194">
        <f>IFERROR(IF(INDEX([1]Pivot!$AD$1:$BE$65000,$B1130,W$5)=1,1,IF(INDEX([1]Pivot!$B$1:$AB$65000,$B1130,W$5)="",2,0)),0)</f>
        <v>0</v>
      </c>
      <c r="X1130" s="194">
        <f>IFERROR(IF(INDEX([1]Pivot!$AD$1:$BE$65000,$B1130,X$5)=1,1,IF(INDEX([1]Pivot!$B$1:$AB$65000,$B1130,X$5)="",2,0)),0)</f>
        <v>0</v>
      </c>
      <c r="Y1130" s="194">
        <f>IFERROR(IF(INDEX([1]Pivot!$AD$1:$BE$65000,$B1130,Y$5)=1,1,IF(INDEX([1]Pivot!$B$1:$AB$65000,$B1130,Y$5)="",2,0)),0)</f>
        <v>0</v>
      </c>
      <c r="Z1130" s="194">
        <f>IFERROR(IF(INDEX([1]Pivot!$AD$1:$BE$65000,$B1130,Z$5)=1,1,IF(INDEX([1]Pivot!$B$1:$AB$65000,$B1130,Z$5)="",2,0)),0)</f>
        <v>0</v>
      </c>
      <c r="AA1130" s="194">
        <f>IFERROR(IF(INDEX([1]Pivot!$AD$1:$BE$65000,$B1130,AA$5)=1,1,IF(INDEX([1]Pivot!$B$1:$AB$65000,$B1130,AA$5)="",2,0)),0)</f>
        <v>0</v>
      </c>
      <c r="AB1130" s="194">
        <f>IFERROR(IF(INDEX([1]Pivot!$AD$1:$BE$65000,$B1130,AB$5)=1,1,IF(INDEX([1]Pivot!$B$1:$AB$65000,$B1130,AB$5)="",2,0)),0)</f>
        <v>0</v>
      </c>
      <c r="AC1130" s="194">
        <f>IFERROR(IF(INDEX([1]Pivot!$AD$1:$BE$65000,$B1130,AC$5)=1,1,IF(INDEX([1]Pivot!$B$1:$AB$65000,$B1130,AC$5)="",2,0)),0)</f>
        <v>0</v>
      </c>
      <c r="AD1130" s="313">
        <f>IFERROR(IF(INDEX([1]Pivot!$BF$1:$CG$65000,$B1130,AD$5)=1,1,IF(INDEX([1]Pivot!$B$1:$AB$65000,$B1130,AD$5)="",2,0)),0)</f>
        <v>0</v>
      </c>
      <c r="AE1130" s="313">
        <f>IFERROR(IF(INDEX([1]Pivot!$BF$1:$CG$65000,$B1130,AE$5)=1,1,IF(INDEX([1]Pivot!$B$1:$AB$65000,$B1130,AE$5)="",2,0)),0)</f>
        <v>0</v>
      </c>
      <c r="AF1130" s="313">
        <f>IFERROR(IF(INDEX([1]Pivot!$BF$1:$CG$65000,$B1130,AF$5)=1,1,IF(INDEX([1]Pivot!$B$1:$AB$65000,$B1130,AF$5)="",2,0)),0)</f>
        <v>0</v>
      </c>
      <c r="AG1130" s="313">
        <f>IFERROR(IF(INDEX([1]Pivot!$BF$1:$CG$65000,$B1130,AG$5)=1,1,IF(INDEX([1]Pivot!$B$1:$AB$65000,$B1130,AG$5)="",2,0)),0)</f>
        <v>0</v>
      </c>
      <c r="AH1130" s="313">
        <f>IFERROR(IF(INDEX([1]Pivot!$BF$1:$CG$65000,$B1130,AH$5)=1,1,IF(INDEX([1]Pivot!$B$1:$AB$65000,$B1130,AH$5)="",2,0)),0)</f>
        <v>0</v>
      </c>
      <c r="AI1130" s="313">
        <f>IFERROR(IF(INDEX([1]Pivot!$BF$1:$CG$65000,$B1130,AI$5)=1,1,IF(INDEX([1]Pivot!$B$1:$AB$65000,$B1130,AI$5)="",2,0)),0)</f>
        <v>0</v>
      </c>
      <c r="AJ1130" s="313">
        <f>IFERROR(IF(INDEX([1]Pivot!$BF$1:$CG$65000,$B1130,AJ$5)=1,1,IF(INDEX([1]Pivot!$B$1:$AB$65000,$B1130,AJ$5)="",2,0)),0)</f>
        <v>0</v>
      </c>
      <c r="AK1130" s="313">
        <f>IFERROR(IF(INDEX([1]Pivot!$BF$1:$CG$65000,$B1130,AK$5)=1,1,IF(INDEX([1]Pivot!$B$1:$AB$65000,$B1130,AK$5)="",2,0)),0)</f>
        <v>0</v>
      </c>
      <c r="AL1130" s="313">
        <f>IFERROR(IF(INDEX([1]Pivot!$BF$1:$CG$65000,$B1130,AL$5)=1,1,IF(INDEX([1]Pivot!$B$1:$AB$65000,$B1130,AL$5)="",2,0)),0)</f>
        <v>0</v>
      </c>
      <c r="AM1130" s="313">
        <f>IFERROR(IF(INDEX([1]Pivot!$BF$1:$CG$65000,$B1130,AM$5)=1,1,IF(INDEX([1]Pivot!$B$1:$AB$65000,$B1130,AM$5)="",2,0)),0)</f>
        <v>0</v>
      </c>
      <c r="AN1130" s="313">
        <f>IFERROR(IF(INDEX([1]Pivot!$BF$1:$CG$65000,$B1130,AN$5)=1,1,IF(INDEX([1]Pivot!$B$1:$AB$65000,$B1130,AN$5)="",2,0)),0)</f>
        <v>0</v>
      </c>
      <c r="AO1130" s="313">
        <f>IFERROR(IF(INDEX([1]Pivot!$BF$1:$CG$65000,$B1130,AO$5)=1,1,IF(INDEX([1]Pivot!$B$1:$AB$65000,$B1130,AO$5)="",2,0)),0)</f>
        <v>0</v>
      </c>
      <c r="AP1130" s="313">
        <f>IFERROR(IF(INDEX([1]Pivot!$BF$1:$CG$65000,$B1130,AP$5)=1,1,IF(INDEX([1]Pivot!$B$1:$AB$65000,$B1130,AP$5)="",2,0)),0)</f>
        <v>0</v>
      </c>
      <c r="AQ1130" s="313">
        <f>IFERROR(IF(INDEX([1]Pivot!$BF$1:$CG$65000,$B1130,AQ$5)=1,1,IF(INDEX([1]Pivot!$B$1:$AB$65000,$B1130,AQ$5)="",2,0)),0)</f>
        <v>0</v>
      </c>
      <c r="AR1130" s="313">
        <f>IFERROR(IF(INDEX([1]Pivot!$BF$1:$CG$65000,$B1130,AR$5)=1,1,IF(INDEX([1]Pivot!$B$1:$AB$65000,$B1130,AR$5)="",2,0)),0)</f>
        <v>0</v>
      </c>
      <c r="AS1130" s="312"/>
      <c r="AT1130" s="313">
        <f>IFERROR(IF(INDEX([1]Pivot!$BF$1:$CG$65000,$B1130,AT$5)=1,1,IF(INDEX([1]Pivot!$B$1:$AB$65000,$B1130,AT$5)="",2,0)),0)</f>
        <v>0</v>
      </c>
      <c r="AU1130" s="313">
        <f>IFERROR(IF(INDEX([1]Pivot!$BF$1:$CG$65000,$B1130,AU$5)=1,1,IF(INDEX([1]Pivot!$B$1:$AB$65000,$B1130,AU$5)="",2,0)),0)</f>
        <v>0</v>
      </c>
      <c r="AV1130" s="313">
        <f>IFERROR(IF(INDEX([1]Pivot!$BF$1:$CG$65000,$B1130,AV$5)=1,1,IF(INDEX([1]Pivot!$B$1:$AB$65000,$B1130,AV$5)="",2,0)),0)</f>
        <v>0</v>
      </c>
      <c r="AW1130" s="313">
        <f>IFERROR(IF(INDEX([1]Pivot!$BF$1:$CG$65000,$B1130,AW$5)=1,1,IF(INDEX([1]Pivot!$B$1:$AB$65000,$B1130,AW$5)="",2,0)),0)</f>
        <v>0</v>
      </c>
      <c r="AX1130" s="313">
        <f>IFERROR(IF(INDEX([1]Pivot!$BF$1:$CG$65000,$B1130,AX$5)=1,1,IF(INDEX([1]Pivot!$B$1:$AB$65000,$B1130,AX$5)="",2,0)),0)</f>
        <v>0</v>
      </c>
      <c r="AY1130" s="313">
        <f>IFERROR(IF(INDEX([1]Pivot!$BF$1:$CG$65000,$B1130,AY$5)=1,1,IF(INDEX([1]Pivot!$B$1:$AB$65000,$B1130,AY$5)="",2,0)),0)</f>
        <v>0</v>
      </c>
      <c r="AZ1130" s="313">
        <f>IFERROR(IF(INDEX([1]Pivot!$BF$1:$CG$65000,$B1130,AZ$5)=1,1,IF(INDEX([1]Pivot!$B$1:$AB$65000,$B1130,AZ$5)="",2,0)),0)</f>
        <v>0</v>
      </c>
      <c r="BA1130" s="313">
        <f>IFERROR(IF(INDEX([1]Pivot!$BF$1:$CG$65000,$B1130,BA$5)=1,1,IF(INDEX([1]Pivot!$B$1:$AB$65000,$B1130,BA$5)="",2,0)),0)</f>
        <v>0</v>
      </c>
      <c r="BB1130" s="313">
        <f>IFERROR(IF(INDEX([1]Pivot!$BF$1:$CG$65000,$B1130,BB$5)=1,1,IF(INDEX([1]Pivot!$B$1:$AB$65000,$B1130,BB$5)="",2,0)),0)</f>
        <v>0</v>
      </c>
      <c r="BC1130" s="313">
        <f>IFERROR(IF(INDEX([1]Pivot!$BF$1:$CG$65000,$B1130,BC$5)=1,1,IF(INDEX([1]Pivot!$B$1:$AB$65000,$B1130,BC$5)="",2,0)),0)</f>
        <v>0</v>
      </c>
      <c r="BD1130" s="313">
        <f>IFERROR(IF(INDEX([1]Pivot!$BF$1:$CG$65000,$B1130,BD$5)=1,1,IF(INDEX([1]Pivot!$B$1:$AB$65000,$B1130,BD$5)="",2,0)),0)</f>
        <v>0</v>
      </c>
    </row>
    <row r="1131" spans="1:56" x14ac:dyDescent="0.25">
      <c r="A1131" s="288">
        <f>'[2]Raw Milk Prices'!A1131</f>
        <v>0</v>
      </c>
      <c r="B1131" s="296" t="e">
        <f>MATCH(DATE(LEFT('[2]Raw Milk Prices'!$A1131,4),RIGHT('[2]Raw Milk Prices'!$A1131,2),1),[1]Pivot!$A$1:$A$65000,0)</f>
        <v>#VALUE!</v>
      </c>
      <c r="C1131" s="194">
        <f>IFERROR(IF(INDEX([1]Pivot!$AD$1:$BE$65000,$B1131,C$5)=1,1,IF(INDEX([1]Pivot!$B$1:$AB$65000,$B1131,C$5)="",2,0)),0)</f>
        <v>0</v>
      </c>
      <c r="D1131" s="194">
        <f>IFERROR(IF(INDEX([1]Pivot!$AD$1:$BE$65000,$B1131,D$5)=1,1,IF(INDEX([1]Pivot!$B$1:$AB$65000,$B1131,D$5)="",2,0)),0)</f>
        <v>0</v>
      </c>
      <c r="E1131" s="194">
        <f>IFERROR(IF(INDEX([1]Pivot!$AD$1:$BE$65000,$B1131,E$5)=1,1,IF(INDEX([1]Pivot!$B$1:$AB$65000,$B1131,E$5)="",2,0)),0)</f>
        <v>0</v>
      </c>
      <c r="F1131" s="194">
        <f>IFERROR(IF(INDEX([1]Pivot!$AD$1:$BE$65000,$B1131,F$5)=1,1,IF(INDEX([1]Pivot!$B$1:$AB$65000,$B1131,F$5)="",2,0)),0)</f>
        <v>0</v>
      </c>
      <c r="G1131" s="194">
        <f>IFERROR(IF(INDEX([1]Pivot!$AD$1:$BE$65000,$B1131,G$5)=1,1,IF(INDEX([1]Pivot!$B$1:$AB$65000,$B1131,G$5)="",2,0)),0)</f>
        <v>0</v>
      </c>
      <c r="H1131" s="194">
        <f>IFERROR(IF(INDEX([1]Pivot!$AD$1:$BE$65000,$B1131,H$5)=1,1,IF(INDEX([1]Pivot!$B$1:$AB$65000,$B1131,H$5)="",2,0)),0)</f>
        <v>0</v>
      </c>
      <c r="I1131" s="194">
        <f>IFERROR(IF(INDEX([1]Pivot!$AD$1:$BE$65000,$B1131,I$5)=1,1,IF(INDEX([1]Pivot!$B$1:$AB$65000,$B1131,I$5)="",2,0)),0)</f>
        <v>0</v>
      </c>
      <c r="J1131" s="194">
        <f>IFERROR(IF(INDEX([1]Pivot!$AD$1:$BE$65000,$B1131,J$5)=1,1,IF(INDEX([1]Pivot!$B$1:$AB$65000,$B1131,J$5)="",2,0)),0)</f>
        <v>0</v>
      </c>
      <c r="K1131" s="194">
        <f>IFERROR(IF(INDEX([1]Pivot!$AD$1:$BE$65000,$B1131,K$5)=1,1,IF(INDEX([1]Pivot!$B$1:$AB$65000,$B1131,K$5)="",2,0)),0)</f>
        <v>0</v>
      </c>
      <c r="L1131" s="194">
        <f>IFERROR(IF(INDEX([1]Pivot!$AD$1:$BE$65000,$B1131,L$5)=1,1,IF(INDEX([1]Pivot!$B$1:$AB$65000,$B1131,L$5)="",2,0)),0)</f>
        <v>0</v>
      </c>
      <c r="M1131" s="194">
        <f>IFERROR(IF(INDEX([1]Pivot!$AD$1:$BE$65000,$B1131,M$5)=1,1,IF(INDEX([1]Pivot!$B$1:$AB$65000,$B1131,M$5)="",2,0)),0)</f>
        <v>0</v>
      </c>
      <c r="N1131" s="194">
        <f>IFERROR(IF(INDEX([1]Pivot!$AD$1:$BE$65000,$B1131,N$5)=1,1,IF(INDEX([1]Pivot!$B$1:$AB$65000,$B1131,N$5)="",2,0)),0)</f>
        <v>0</v>
      </c>
      <c r="O1131" s="194">
        <f>IFERROR(IF(INDEX([1]Pivot!$AD$1:$BE$65000,$B1131,O$5)=1,1,IF(INDEX([1]Pivot!$B$1:$AB$65000,$B1131,O$5)="",2,0)),0)</f>
        <v>0</v>
      </c>
      <c r="P1131" s="194">
        <f>IFERROR(IF(INDEX([1]Pivot!$AD$1:$BE$65000,$B1131,P$5)=1,1,IF(INDEX([1]Pivot!$B$1:$AB$65000,$B1131,P$5)="",2,0)),0)</f>
        <v>0</v>
      </c>
      <c r="Q1131" s="194">
        <f>IFERROR(IF(INDEX([1]Pivot!$AD$1:$BE$65000,$B1131,Q$5)=1,1,IF(INDEX([1]Pivot!$B$1:$AB$65000,$B1131,Q$5)="",2,0)),0)</f>
        <v>0</v>
      </c>
      <c r="R1131" s="312"/>
      <c r="S1131" s="194">
        <f>IFERROR(IF(INDEX([1]Pivot!$AD$1:$BE$65000,$B1131,S$5)=1,1,IF(INDEX([1]Pivot!$B$1:$AB$65000,$B1131,S$5)="",2,0)),0)</f>
        <v>0</v>
      </c>
      <c r="T1131" s="194">
        <f>IFERROR(IF(INDEX([1]Pivot!$AD$1:$BE$65000,$B1131,T$5)=1,1,IF(INDEX([1]Pivot!$B$1:$AB$65000,$B1131,T$5)="",2,0)),0)</f>
        <v>0</v>
      </c>
      <c r="U1131" s="194">
        <f>IFERROR(IF(INDEX([1]Pivot!$AD$1:$BE$65000,$B1131,U$5)=1,1,IF(INDEX([1]Pivot!$B$1:$AB$65000,$B1131,U$5)="",2,0)),0)</f>
        <v>0</v>
      </c>
      <c r="V1131" s="194">
        <f>IFERROR(IF(INDEX([1]Pivot!$AD$1:$BE$65000,$B1131,V$5)=1,1,IF(INDEX([1]Pivot!$B$1:$AB$65000,$B1131,V$5)="",2,0)),0)</f>
        <v>0</v>
      </c>
      <c r="W1131" s="194">
        <f>IFERROR(IF(INDEX([1]Pivot!$AD$1:$BE$65000,$B1131,W$5)=1,1,IF(INDEX([1]Pivot!$B$1:$AB$65000,$B1131,W$5)="",2,0)),0)</f>
        <v>0</v>
      </c>
      <c r="X1131" s="194">
        <f>IFERROR(IF(INDEX([1]Pivot!$AD$1:$BE$65000,$B1131,X$5)=1,1,IF(INDEX([1]Pivot!$B$1:$AB$65000,$B1131,X$5)="",2,0)),0)</f>
        <v>0</v>
      </c>
      <c r="Y1131" s="194">
        <f>IFERROR(IF(INDEX([1]Pivot!$AD$1:$BE$65000,$B1131,Y$5)=1,1,IF(INDEX([1]Pivot!$B$1:$AB$65000,$B1131,Y$5)="",2,0)),0)</f>
        <v>0</v>
      </c>
      <c r="Z1131" s="194">
        <f>IFERROR(IF(INDEX([1]Pivot!$AD$1:$BE$65000,$B1131,Z$5)=1,1,IF(INDEX([1]Pivot!$B$1:$AB$65000,$B1131,Z$5)="",2,0)),0)</f>
        <v>0</v>
      </c>
      <c r="AA1131" s="194">
        <f>IFERROR(IF(INDEX([1]Pivot!$AD$1:$BE$65000,$B1131,AA$5)=1,1,IF(INDEX([1]Pivot!$B$1:$AB$65000,$B1131,AA$5)="",2,0)),0)</f>
        <v>0</v>
      </c>
      <c r="AB1131" s="194">
        <f>IFERROR(IF(INDEX([1]Pivot!$AD$1:$BE$65000,$B1131,AB$5)=1,1,IF(INDEX([1]Pivot!$B$1:$AB$65000,$B1131,AB$5)="",2,0)),0)</f>
        <v>0</v>
      </c>
      <c r="AC1131" s="194">
        <f>IFERROR(IF(INDEX([1]Pivot!$AD$1:$BE$65000,$B1131,AC$5)=1,1,IF(INDEX([1]Pivot!$B$1:$AB$65000,$B1131,AC$5)="",2,0)),0)</f>
        <v>0</v>
      </c>
      <c r="AD1131" s="313">
        <f>IFERROR(IF(INDEX([1]Pivot!$BF$1:$CG$65000,$B1131,AD$5)=1,1,IF(INDEX([1]Pivot!$B$1:$AB$65000,$B1131,AD$5)="",2,0)),0)</f>
        <v>0</v>
      </c>
      <c r="AE1131" s="313">
        <f>IFERROR(IF(INDEX([1]Pivot!$BF$1:$CG$65000,$B1131,AE$5)=1,1,IF(INDEX([1]Pivot!$B$1:$AB$65000,$B1131,AE$5)="",2,0)),0)</f>
        <v>0</v>
      </c>
      <c r="AF1131" s="313">
        <f>IFERROR(IF(INDEX([1]Pivot!$BF$1:$CG$65000,$B1131,AF$5)=1,1,IF(INDEX([1]Pivot!$B$1:$AB$65000,$B1131,AF$5)="",2,0)),0)</f>
        <v>0</v>
      </c>
      <c r="AG1131" s="313">
        <f>IFERROR(IF(INDEX([1]Pivot!$BF$1:$CG$65000,$B1131,AG$5)=1,1,IF(INDEX([1]Pivot!$B$1:$AB$65000,$B1131,AG$5)="",2,0)),0)</f>
        <v>0</v>
      </c>
      <c r="AH1131" s="313">
        <f>IFERROR(IF(INDEX([1]Pivot!$BF$1:$CG$65000,$B1131,AH$5)=1,1,IF(INDEX([1]Pivot!$B$1:$AB$65000,$B1131,AH$5)="",2,0)),0)</f>
        <v>0</v>
      </c>
      <c r="AI1131" s="313">
        <f>IFERROR(IF(INDEX([1]Pivot!$BF$1:$CG$65000,$B1131,AI$5)=1,1,IF(INDEX([1]Pivot!$B$1:$AB$65000,$B1131,AI$5)="",2,0)),0)</f>
        <v>0</v>
      </c>
      <c r="AJ1131" s="313">
        <f>IFERROR(IF(INDEX([1]Pivot!$BF$1:$CG$65000,$B1131,AJ$5)=1,1,IF(INDEX([1]Pivot!$B$1:$AB$65000,$B1131,AJ$5)="",2,0)),0)</f>
        <v>0</v>
      </c>
      <c r="AK1131" s="313">
        <f>IFERROR(IF(INDEX([1]Pivot!$BF$1:$CG$65000,$B1131,AK$5)=1,1,IF(INDEX([1]Pivot!$B$1:$AB$65000,$B1131,AK$5)="",2,0)),0)</f>
        <v>0</v>
      </c>
      <c r="AL1131" s="313">
        <f>IFERROR(IF(INDEX([1]Pivot!$BF$1:$CG$65000,$B1131,AL$5)=1,1,IF(INDEX([1]Pivot!$B$1:$AB$65000,$B1131,AL$5)="",2,0)),0)</f>
        <v>0</v>
      </c>
      <c r="AM1131" s="313">
        <f>IFERROR(IF(INDEX([1]Pivot!$BF$1:$CG$65000,$B1131,AM$5)=1,1,IF(INDEX([1]Pivot!$B$1:$AB$65000,$B1131,AM$5)="",2,0)),0)</f>
        <v>0</v>
      </c>
      <c r="AN1131" s="313">
        <f>IFERROR(IF(INDEX([1]Pivot!$BF$1:$CG$65000,$B1131,AN$5)=1,1,IF(INDEX([1]Pivot!$B$1:$AB$65000,$B1131,AN$5)="",2,0)),0)</f>
        <v>0</v>
      </c>
      <c r="AO1131" s="313">
        <f>IFERROR(IF(INDEX([1]Pivot!$BF$1:$CG$65000,$B1131,AO$5)=1,1,IF(INDEX([1]Pivot!$B$1:$AB$65000,$B1131,AO$5)="",2,0)),0)</f>
        <v>0</v>
      </c>
      <c r="AP1131" s="313">
        <f>IFERROR(IF(INDEX([1]Pivot!$BF$1:$CG$65000,$B1131,AP$5)=1,1,IF(INDEX([1]Pivot!$B$1:$AB$65000,$B1131,AP$5)="",2,0)),0)</f>
        <v>0</v>
      </c>
      <c r="AQ1131" s="313">
        <f>IFERROR(IF(INDEX([1]Pivot!$BF$1:$CG$65000,$B1131,AQ$5)=1,1,IF(INDEX([1]Pivot!$B$1:$AB$65000,$B1131,AQ$5)="",2,0)),0)</f>
        <v>0</v>
      </c>
      <c r="AR1131" s="313">
        <f>IFERROR(IF(INDEX([1]Pivot!$BF$1:$CG$65000,$B1131,AR$5)=1,1,IF(INDEX([1]Pivot!$B$1:$AB$65000,$B1131,AR$5)="",2,0)),0)</f>
        <v>0</v>
      </c>
      <c r="AS1131" s="312"/>
      <c r="AT1131" s="313">
        <f>IFERROR(IF(INDEX([1]Pivot!$BF$1:$CG$65000,$B1131,AT$5)=1,1,IF(INDEX([1]Pivot!$B$1:$AB$65000,$B1131,AT$5)="",2,0)),0)</f>
        <v>0</v>
      </c>
      <c r="AU1131" s="313">
        <f>IFERROR(IF(INDEX([1]Pivot!$BF$1:$CG$65000,$B1131,AU$5)=1,1,IF(INDEX([1]Pivot!$B$1:$AB$65000,$B1131,AU$5)="",2,0)),0)</f>
        <v>0</v>
      </c>
      <c r="AV1131" s="313">
        <f>IFERROR(IF(INDEX([1]Pivot!$BF$1:$CG$65000,$B1131,AV$5)=1,1,IF(INDEX([1]Pivot!$B$1:$AB$65000,$B1131,AV$5)="",2,0)),0)</f>
        <v>0</v>
      </c>
      <c r="AW1131" s="313">
        <f>IFERROR(IF(INDEX([1]Pivot!$BF$1:$CG$65000,$B1131,AW$5)=1,1,IF(INDEX([1]Pivot!$B$1:$AB$65000,$B1131,AW$5)="",2,0)),0)</f>
        <v>0</v>
      </c>
      <c r="AX1131" s="313">
        <f>IFERROR(IF(INDEX([1]Pivot!$BF$1:$CG$65000,$B1131,AX$5)=1,1,IF(INDEX([1]Pivot!$B$1:$AB$65000,$B1131,AX$5)="",2,0)),0)</f>
        <v>0</v>
      </c>
      <c r="AY1131" s="313">
        <f>IFERROR(IF(INDEX([1]Pivot!$BF$1:$CG$65000,$B1131,AY$5)=1,1,IF(INDEX([1]Pivot!$B$1:$AB$65000,$B1131,AY$5)="",2,0)),0)</f>
        <v>0</v>
      </c>
      <c r="AZ1131" s="313">
        <f>IFERROR(IF(INDEX([1]Pivot!$BF$1:$CG$65000,$B1131,AZ$5)=1,1,IF(INDEX([1]Pivot!$B$1:$AB$65000,$B1131,AZ$5)="",2,0)),0)</f>
        <v>0</v>
      </c>
      <c r="BA1131" s="313">
        <f>IFERROR(IF(INDEX([1]Pivot!$BF$1:$CG$65000,$B1131,BA$5)=1,1,IF(INDEX([1]Pivot!$B$1:$AB$65000,$B1131,BA$5)="",2,0)),0)</f>
        <v>0</v>
      </c>
      <c r="BB1131" s="313">
        <f>IFERROR(IF(INDEX([1]Pivot!$BF$1:$CG$65000,$B1131,BB$5)=1,1,IF(INDEX([1]Pivot!$B$1:$AB$65000,$B1131,BB$5)="",2,0)),0)</f>
        <v>0</v>
      </c>
      <c r="BC1131" s="313">
        <f>IFERROR(IF(INDEX([1]Pivot!$BF$1:$CG$65000,$B1131,BC$5)=1,1,IF(INDEX([1]Pivot!$B$1:$AB$65000,$B1131,BC$5)="",2,0)),0)</f>
        <v>0</v>
      </c>
      <c r="BD1131" s="313">
        <f>IFERROR(IF(INDEX([1]Pivot!$BF$1:$CG$65000,$B1131,BD$5)=1,1,IF(INDEX([1]Pivot!$B$1:$AB$65000,$B1131,BD$5)="",2,0)),0)</f>
        <v>0</v>
      </c>
    </row>
    <row r="1132" spans="1:56" x14ac:dyDescent="0.25">
      <c r="A1132" s="288">
        <f>'[2]Raw Milk Prices'!A1132</f>
        <v>0</v>
      </c>
      <c r="B1132" s="296" t="e">
        <f>MATCH(DATE(LEFT('[2]Raw Milk Prices'!$A1132,4),RIGHT('[2]Raw Milk Prices'!$A1132,2),1),[1]Pivot!$A$1:$A$65000,0)</f>
        <v>#VALUE!</v>
      </c>
      <c r="C1132" s="194">
        <f>IFERROR(IF(INDEX([1]Pivot!$AD$1:$BE$65000,$B1132,C$5)=1,1,IF(INDEX([1]Pivot!$B$1:$AB$65000,$B1132,C$5)="",2,0)),0)</f>
        <v>0</v>
      </c>
      <c r="D1132" s="194">
        <f>IFERROR(IF(INDEX([1]Pivot!$AD$1:$BE$65000,$B1132,D$5)=1,1,IF(INDEX([1]Pivot!$B$1:$AB$65000,$B1132,D$5)="",2,0)),0)</f>
        <v>0</v>
      </c>
      <c r="E1132" s="194">
        <f>IFERROR(IF(INDEX([1]Pivot!$AD$1:$BE$65000,$B1132,E$5)=1,1,IF(INDEX([1]Pivot!$B$1:$AB$65000,$B1132,E$5)="",2,0)),0)</f>
        <v>0</v>
      </c>
      <c r="F1132" s="194">
        <f>IFERROR(IF(INDEX([1]Pivot!$AD$1:$BE$65000,$B1132,F$5)=1,1,IF(INDEX([1]Pivot!$B$1:$AB$65000,$B1132,F$5)="",2,0)),0)</f>
        <v>0</v>
      </c>
      <c r="G1132" s="194">
        <f>IFERROR(IF(INDEX([1]Pivot!$AD$1:$BE$65000,$B1132,G$5)=1,1,IF(INDEX([1]Pivot!$B$1:$AB$65000,$B1132,G$5)="",2,0)),0)</f>
        <v>0</v>
      </c>
      <c r="H1132" s="194">
        <f>IFERROR(IF(INDEX([1]Pivot!$AD$1:$BE$65000,$B1132,H$5)=1,1,IF(INDEX([1]Pivot!$B$1:$AB$65000,$B1132,H$5)="",2,0)),0)</f>
        <v>0</v>
      </c>
      <c r="I1132" s="194">
        <f>IFERROR(IF(INDEX([1]Pivot!$AD$1:$BE$65000,$B1132,I$5)=1,1,IF(INDEX([1]Pivot!$B$1:$AB$65000,$B1132,I$5)="",2,0)),0)</f>
        <v>0</v>
      </c>
      <c r="J1132" s="194">
        <f>IFERROR(IF(INDEX([1]Pivot!$AD$1:$BE$65000,$B1132,J$5)=1,1,IF(INDEX([1]Pivot!$B$1:$AB$65000,$B1132,J$5)="",2,0)),0)</f>
        <v>0</v>
      </c>
      <c r="K1132" s="194">
        <f>IFERROR(IF(INDEX([1]Pivot!$AD$1:$BE$65000,$B1132,K$5)=1,1,IF(INDEX([1]Pivot!$B$1:$AB$65000,$B1132,K$5)="",2,0)),0)</f>
        <v>0</v>
      </c>
      <c r="L1132" s="194">
        <f>IFERROR(IF(INDEX([1]Pivot!$AD$1:$BE$65000,$B1132,L$5)=1,1,IF(INDEX([1]Pivot!$B$1:$AB$65000,$B1132,L$5)="",2,0)),0)</f>
        <v>0</v>
      </c>
      <c r="M1132" s="194">
        <f>IFERROR(IF(INDEX([1]Pivot!$AD$1:$BE$65000,$B1132,M$5)=1,1,IF(INDEX([1]Pivot!$B$1:$AB$65000,$B1132,M$5)="",2,0)),0)</f>
        <v>0</v>
      </c>
      <c r="N1132" s="194">
        <f>IFERROR(IF(INDEX([1]Pivot!$AD$1:$BE$65000,$B1132,N$5)=1,1,IF(INDEX([1]Pivot!$B$1:$AB$65000,$B1132,N$5)="",2,0)),0)</f>
        <v>0</v>
      </c>
      <c r="O1132" s="194">
        <f>IFERROR(IF(INDEX([1]Pivot!$AD$1:$BE$65000,$B1132,O$5)=1,1,IF(INDEX([1]Pivot!$B$1:$AB$65000,$B1132,O$5)="",2,0)),0)</f>
        <v>0</v>
      </c>
      <c r="P1132" s="194">
        <f>IFERROR(IF(INDEX([1]Pivot!$AD$1:$BE$65000,$B1132,P$5)=1,1,IF(INDEX([1]Pivot!$B$1:$AB$65000,$B1132,P$5)="",2,0)),0)</f>
        <v>0</v>
      </c>
      <c r="Q1132" s="194">
        <f>IFERROR(IF(INDEX([1]Pivot!$AD$1:$BE$65000,$B1132,Q$5)=1,1,IF(INDEX([1]Pivot!$B$1:$AB$65000,$B1132,Q$5)="",2,0)),0)</f>
        <v>0</v>
      </c>
      <c r="R1132" s="312"/>
      <c r="S1132" s="194">
        <f>IFERROR(IF(INDEX([1]Pivot!$AD$1:$BE$65000,$B1132,S$5)=1,1,IF(INDEX([1]Pivot!$B$1:$AB$65000,$B1132,S$5)="",2,0)),0)</f>
        <v>0</v>
      </c>
      <c r="T1132" s="194">
        <f>IFERROR(IF(INDEX([1]Pivot!$AD$1:$BE$65000,$B1132,T$5)=1,1,IF(INDEX([1]Pivot!$B$1:$AB$65000,$B1132,T$5)="",2,0)),0)</f>
        <v>0</v>
      </c>
      <c r="U1132" s="194">
        <f>IFERROR(IF(INDEX([1]Pivot!$AD$1:$BE$65000,$B1132,U$5)=1,1,IF(INDEX([1]Pivot!$B$1:$AB$65000,$B1132,U$5)="",2,0)),0)</f>
        <v>0</v>
      </c>
      <c r="V1132" s="194">
        <f>IFERROR(IF(INDEX([1]Pivot!$AD$1:$BE$65000,$B1132,V$5)=1,1,IF(INDEX([1]Pivot!$B$1:$AB$65000,$B1132,V$5)="",2,0)),0)</f>
        <v>0</v>
      </c>
      <c r="W1132" s="194">
        <f>IFERROR(IF(INDEX([1]Pivot!$AD$1:$BE$65000,$B1132,W$5)=1,1,IF(INDEX([1]Pivot!$B$1:$AB$65000,$B1132,W$5)="",2,0)),0)</f>
        <v>0</v>
      </c>
      <c r="X1132" s="194">
        <f>IFERROR(IF(INDEX([1]Pivot!$AD$1:$BE$65000,$B1132,X$5)=1,1,IF(INDEX([1]Pivot!$B$1:$AB$65000,$B1132,X$5)="",2,0)),0)</f>
        <v>0</v>
      </c>
      <c r="Y1132" s="194">
        <f>IFERROR(IF(INDEX([1]Pivot!$AD$1:$BE$65000,$B1132,Y$5)=1,1,IF(INDEX([1]Pivot!$B$1:$AB$65000,$B1132,Y$5)="",2,0)),0)</f>
        <v>0</v>
      </c>
      <c r="Z1132" s="194">
        <f>IFERROR(IF(INDEX([1]Pivot!$AD$1:$BE$65000,$B1132,Z$5)=1,1,IF(INDEX([1]Pivot!$B$1:$AB$65000,$B1132,Z$5)="",2,0)),0)</f>
        <v>0</v>
      </c>
      <c r="AA1132" s="194">
        <f>IFERROR(IF(INDEX([1]Pivot!$AD$1:$BE$65000,$B1132,AA$5)=1,1,IF(INDEX([1]Pivot!$B$1:$AB$65000,$B1132,AA$5)="",2,0)),0)</f>
        <v>0</v>
      </c>
      <c r="AB1132" s="194">
        <f>IFERROR(IF(INDEX([1]Pivot!$AD$1:$BE$65000,$B1132,AB$5)=1,1,IF(INDEX([1]Pivot!$B$1:$AB$65000,$B1132,AB$5)="",2,0)),0)</f>
        <v>0</v>
      </c>
      <c r="AC1132" s="194">
        <f>IFERROR(IF(INDEX([1]Pivot!$AD$1:$BE$65000,$B1132,AC$5)=1,1,IF(INDEX([1]Pivot!$B$1:$AB$65000,$B1132,AC$5)="",2,0)),0)</f>
        <v>0</v>
      </c>
      <c r="AD1132" s="313">
        <f>IFERROR(IF(INDEX([1]Pivot!$BF$1:$CG$65000,$B1132,AD$5)=1,1,IF(INDEX([1]Pivot!$B$1:$AB$65000,$B1132,AD$5)="",2,0)),0)</f>
        <v>0</v>
      </c>
      <c r="AE1132" s="313">
        <f>IFERROR(IF(INDEX([1]Pivot!$BF$1:$CG$65000,$B1132,AE$5)=1,1,IF(INDEX([1]Pivot!$B$1:$AB$65000,$B1132,AE$5)="",2,0)),0)</f>
        <v>0</v>
      </c>
      <c r="AF1132" s="313">
        <f>IFERROR(IF(INDEX([1]Pivot!$BF$1:$CG$65000,$B1132,AF$5)=1,1,IF(INDEX([1]Pivot!$B$1:$AB$65000,$B1132,AF$5)="",2,0)),0)</f>
        <v>0</v>
      </c>
      <c r="AG1132" s="313">
        <f>IFERROR(IF(INDEX([1]Pivot!$BF$1:$CG$65000,$B1132,AG$5)=1,1,IF(INDEX([1]Pivot!$B$1:$AB$65000,$B1132,AG$5)="",2,0)),0)</f>
        <v>0</v>
      </c>
      <c r="AH1132" s="313">
        <f>IFERROR(IF(INDEX([1]Pivot!$BF$1:$CG$65000,$B1132,AH$5)=1,1,IF(INDEX([1]Pivot!$B$1:$AB$65000,$B1132,AH$5)="",2,0)),0)</f>
        <v>0</v>
      </c>
      <c r="AI1132" s="313">
        <f>IFERROR(IF(INDEX([1]Pivot!$BF$1:$CG$65000,$B1132,AI$5)=1,1,IF(INDEX([1]Pivot!$B$1:$AB$65000,$B1132,AI$5)="",2,0)),0)</f>
        <v>0</v>
      </c>
      <c r="AJ1132" s="313">
        <f>IFERROR(IF(INDEX([1]Pivot!$BF$1:$CG$65000,$B1132,AJ$5)=1,1,IF(INDEX([1]Pivot!$B$1:$AB$65000,$B1132,AJ$5)="",2,0)),0)</f>
        <v>0</v>
      </c>
      <c r="AK1132" s="313">
        <f>IFERROR(IF(INDEX([1]Pivot!$BF$1:$CG$65000,$B1132,AK$5)=1,1,IF(INDEX([1]Pivot!$B$1:$AB$65000,$B1132,AK$5)="",2,0)),0)</f>
        <v>0</v>
      </c>
      <c r="AL1132" s="313">
        <f>IFERROR(IF(INDEX([1]Pivot!$BF$1:$CG$65000,$B1132,AL$5)=1,1,IF(INDEX([1]Pivot!$B$1:$AB$65000,$B1132,AL$5)="",2,0)),0)</f>
        <v>0</v>
      </c>
      <c r="AM1132" s="313">
        <f>IFERROR(IF(INDEX([1]Pivot!$BF$1:$CG$65000,$B1132,AM$5)=1,1,IF(INDEX([1]Pivot!$B$1:$AB$65000,$B1132,AM$5)="",2,0)),0)</f>
        <v>0</v>
      </c>
      <c r="AN1132" s="313">
        <f>IFERROR(IF(INDEX([1]Pivot!$BF$1:$CG$65000,$B1132,AN$5)=1,1,IF(INDEX([1]Pivot!$B$1:$AB$65000,$B1132,AN$5)="",2,0)),0)</f>
        <v>0</v>
      </c>
      <c r="AO1132" s="313">
        <f>IFERROR(IF(INDEX([1]Pivot!$BF$1:$CG$65000,$B1132,AO$5)=1,1,IF(INDEX([1]Pivot!$B$1:$AB$65000,$B1132,AO$5)="",2,0)),0)</f>
        <v>0</v>
      </c>
      <c r="AP1132" s="313">
        <f>IFERROR(IF(INDEX([1]Pivot!$BF$1:$CG$65000,$B1132,AP$5)=1,1,IF(INDEX([1]Pivot!$B$1:$AB$65000,$B1132,AP$5)="",2,0)),0)</f>
        <v>0</v>
      </c>
      <c r="AQ1132" s="313">
        <f>IFERROR(IF(INDEX([1]Pivot!$BF$1:$CG$65000,$B1132,AQ$5)=1,1,IF(INDEX([1]Pivot!$B$1:$AB$65000,$B1132,AQ$5)="",2,0)),0)</f>
        <v>0</v>
      </c>
      <c r="AR1132" s="313">
        <f>IFERROR(IF(INDEX([1]Pivot!$BF$1:$CG$65000,$B1132,AR$5)=1,1,IF(INDEX([1]Pivot!$B$1:$AB$65000,$B1132,AR$5)="",2,0)),0)</f>
        <v>0</v>
      </c>
      <c r="AS1132" s="312"/>
      <c r="AT1132" s="313">
        <f>IFERROR(IF(INDEX([1]Pivot!$BF$1:$CG$65000,$B1132,AT$5)=1,1,IF(INDEX([1]Pivot!$B$1:$AB$65000,$B1132,AT$5)="",2,0)),0)</f>
        <v>0</v>
      </c>
      <c r="AU1132" s="313">
        <f>IFERROR(IF(INDEX([1]Pivot!$BF$1:$CG$65000,$B1132,AU$5)=1,1,IF(INDEX([1]Pivot!$B$1:$AB$65000,$B1132,AU$5)="",2,0)),0)</f>
        <v>0</v>
      </c>
      <c r="AV1132" s="313">
        <f>IFERROR(IF(INDEX([1]Pivot!$BF$1:$CG$65000,$B1132,AV$5)=1,1,IF(INDEX([1]Pivot!$B$1:$AB$65000,$B1132,AV$5)="",2,0)),0)</f>
        <v>0</v>
      </c>
      <c r="AW1132" s="313">
        <f>IFERROR(IF(INDEX([1]Pivot!$BF$1:$CG$65000,$B1132,AW$5)=1,1,IF(INDEX([1]Pivot!$B$1:$AB$65000,$B1132,AW$5)="",2,0)),0)</f>
        <v>0</v>
      </c>
      <c r="AX1132" s="313">
        <f>IFERROR(IF(INDEX([1]Pivot!$BF$1:$CG$65000,$B1132,AX$5)=1,1,IF(INDEX([1]Pivot!$B$1:$AB$65000,$B1132,AX$5)="",2,0)),0)</f>
        <v>0</v>
      </c>
      <c r="AY1132" s="313">
        <f>IFERROR(IF(INDEX([1]Pivot!$BF$1:$CG$65000,$B1132,AY$5)=1,1,IF(INDEX([1]Pivot!$B$1:$AB$65000,$B1132,AY$5)="",2,0)),0)</f>
        <v>0</v>
      </c>
      <c r="AZ1132" s="313">
        <f>IFERROR(IF(INDEX([1]Pivot!$BF$1:$CG$65000,$B1132,AZ$5)=1,1,IF(INDEX([1]Pivot!$B$1:$AB$65000,$B1132,AZ$5)="",2,0)),0)</f>
        <v>0</v>
      </c>
      <c r="BA1132" s="313">
        <f>IFERROR(IF(INDEX([1]Pivot!$BF$1:$CG$65000,$B1132,BA$5)=1,1,IF(INDEX([1]Pivot!$B$1:$AB$65000,$B1132,BA$5)="",2,0)),0)</f>
        <v>0</v>
      </c>
      <c r="BB1132" s="313">
        <f>IFERROR(IF(INDEX([1]Pivot!$BF$1:$CG$65000,$B1132,BB$5)=1,1,IF(INDEX([1]Pivot!$B$1:$AB$65000,$B1132,BB$5)="",2,0)),0)</f>
        <v>0</v>
      </c>
      <c r="BC1132" s="313">
        <f>IFERROR(IF(INDEX([1]Pivot!$BF$1:$CG$65000,$B1132,BC$5)=1,1,IF(INDEX([1]Pivot!$B$1:$AB$65000,$B1132,BC$5)="",2,0)),0)</f>
        <v>0</v>
      </c>
      <c r="BD1132" s="313">
        <f>IFERROR(IF(INDEX([1]Pivot!$BF$1:$CG$65000,$B1132,BD$5)=1,1,IF(INDEX([1]Pivot!$B$1:$AB$65000,$B1132,BD$5)="",2,0)),0)</f>
        <v>0</v>
      </c>
    </row>
    <row r="1133" spans="1:56" x14ac:dyDescent="0.25">
      <c r="A1133" s="288">
        <f>'[2]Raw Milk Prices'!A1133</f>
        <v>0</v>
      </c>
      <c r="B1133" s="296" t="e">
        <f>MATCH(DATE(LEFT('[2]Raw Milk Prices'!$A1133,4),RIGHT('[2]Raw Milk Prices'!$A1133,2),1),[1]Pivot!$A$1:$A$65000,0)</f>
        <v>#VALUE!</v>
      </c>
      <c r="C1133" s="194">
        <f>IFERROR(IF(INDEX([1]Pivot!$AD$1:$BE$65000,$B1133,C$5)=1,1,IF(INDEX([1]Pivot!$B$1:$AB$65000,$B1133,C$5)="",2,0)),0)</f>
        <v>0</v>
      </c>
      <c r="D1133" s="194">
        <f>IFERROR(IF(INDEX([1]Pivot!$AD$1:$BE$65000,$B1133,D$5)=1,1,IF(INDEX([1]Pivot!$B$1:$AB$65000,$B1133,D$5)="",2,0)),0)</f>
        <v>0</v>
      </c>
      <c r="E1133" s="194">
        <f>IFERROR(IF(INDEX([1]Pivot!$AD$1:$BE$65000,$B1133,E$5)=1,1,IF(INDEX([1]Pivot!$B$1:$AB$65000,$B1133,E$5)="",2,0)),0)</f>
        <v>0</v>
      </c>
      <c r="F1133" s="194">
        <f>IFERROR(IF(INDEX([1]Pivot!$AD$1:$BE$65000,$B1133,F$5)=1,1,IF(INDEX([1]Pivot!$B$1:$AB$65000,$B1133,F$5)="",2,0)),0)</f>
        <v>0</v>
      </c>
      <c r="G1133" s="194">
        <f>IFERROR(IF(INDEX([1]Pivot!$AD$1:$BE$65000,$B1133,G$5)=1,1,IF(INDEX([1]Pivot!$B$1:$AB$65000,$B1133,G$5)="",2,0)),0)</f>
        <v>0</v>
      </c>
      <c r="H1133" s="194">
        <f>IFERROR(IF(INDEX([1]Pivot!$AD$1:$BE$65000,$B1133,H$5)=1,1,IF(INDEX([1]Pivot!$B$1:$AB$65000,$B1133,H$5)="",2,0)),0)</f>
        <v>0</v>
      </c>
      <c r="I1133" s="194">
        <f>IFERROR(IF(INDEX([1]Pivot!$AD$1:$BE$65000,$B1133,I$5)=1,1,IF(INDEX([1]Pivot!$B$1:$AB$65000,$B1133,I$5)="",2,0)),0)</f>
        <v>0</v>
      </c>
      <c r="J1133" s="194">
        <f>IFERROR(IF(INDEX([1]Pivot!$AD$1:$BE$65000,$B1133,J$5)=1,1,IF(INDEX([1]Pivot!$B$1:$AB$65000,$B1133,J$5)="",2,0)),0)</f>
        <v>0</v>
      </c>
      <c r="K1133" s="194">
        <f>IFERROR(IF(INDEX([1]Pivot!$AD$1:$BE$65000,$B1133,K$5)=1,1,IF(INDEX([1]Pivot!$B$1:$AB$65000,$B1133,K$5)="",2,0)),0)</f>
        <v>0</v>
      </c>
      <c r="L1133" s="194">
        <f>IFERROR(IF(INDEX([1]Pivot!$AD$1:$BE$65000,$B1133,L$5)=1,1,IF(INDEX([1]Pivot!$B$1:$AB$65000,$B1133,L$5)="",2,0)),0)</f>
        <v>0</v>
      </c>
      <c r="M1133" s="194">
        <f>IFERROR(IF(INDEX([1]Pivot!$AD$1:$BE$65000,$B1133,M$5)=1,1,IF(INDEX([1]Pivot!$B$1:$AB$65000,$B1133,M$5)="",2,0)),0)</f>
        <v>0</v>
      </c>
      <c r="N1133" s="194">
        <f>IFERROR(IF(INDEX([1]Pivot!$AD$1:$BE$65000,$B1133,N$5)=1,1,IF(INDEX([1]Pivot!$B$1:$AB$65000,$B1133,N$5)="",2,0)),0)</f>
        <v>0</v>
      </c>
      <c r="O1133" s="194">
        <f>IFERROR(IF(INDEX([1]Pivot!$AD$1:$BE$65000,$B1133,O$5)=1,1,IF(INDEX([1]Pivot!$B$1:$AB$65000,$B1133,O$5)="",2,0)),0)</f>
        <v>0</v>
      </c>
      <c r="P1133" s="194">
        <f>IFERROR(IF(INDEX([1]Pivot!$AD$1:$BE$65000,$B1133,P$5)=1,1,IF(INDEX([1]Pivot!$B$1:$AB$65000,$B1133,P$5)="",2,0)),0)</f>
        <v>0</v>
      </c>
      <c r="Q1133" s="194">
        <f>IFERROR(IF(INDEX([1]Pivot!$AD$1:$BE$65000,$B1133,Q$5)=1,1,IF(INDEX([1]Pivot!$B$1:$AB$65000,$B1133,Q$5)="",2,0)),0)</f>
        <v>0</v>
      </c>
      <c r="R1133" s="312"/>
      <c r="S1133" s="194">
        <f>IFERROR(IF(INDEX([1]Pivot!$AD$1:$BE$65000,$B1133,S$5)=1,1,IF(INDEX([1]Pivot!$B$1:$AB$65000,$B1133,S$5)="",2,0)),0)</f>
        <v>0</v>
      </c>
      <c r="T1133" s="194">
        <f>IFERROR(IF(INDEX([1]Pivot!$AD$1:$BE$65000,$B1133,T$5)=1,1,IF(INDEX([1]Pivot!$B$1:$AB$65000,$B1133,T$5)="",2,0)),0)</f>
        <v>0</v>
      </c>
      <c r="U1133" s="194">
        <f>IFERROR(IF(INDEX([1]Pivot!$AD$1:$BE$65000,$B1133,U$5)=1,1,IF(INDEX([1]Pivot!$B$1:$AB$65000,$B1133,U$5)="",2,0)),0)</f>
        <v>0</v>
      </c>
      <c r="V1133" s="194">
        <f>IFERROR(IF(INDEX([1]Pivot!$AD$1:$BE$65000,$B1133,V$5)=1,1,IF(INDEX([1]Pivot!$B$1:$AB$65000,$B1133,V$5)="",2,0)),0)</f>
        <v>0</v>
      </c>
      <c r="W1133" s="194">
        <f>IFERROR(IF(INDEX([1]Pivot!$AD$1:$BE$65000,$B1133,W$5)=1,1,IF(INDEX([1]Pivot!$B$1:$AB$65000,$B1133,W$5)="",2,0)),0)</f>
        <v>0</v>
      </c>
      <c r="X1133" s="194">
        <f>IFERROR(IF(INDEX([1]Pivot!$AD$1:$BE$65000,$B1133,X$5)=1,1,IF(INDEX([1]Pivot!$B$1:$AB$65000,$B1133,X$5)="",2,0)),0)</f>
        <v>0</v>
      </c>
      <c r="Y1133" s="194">
        <f>IFERROR(IF(INDEX([1]Pivot!$AD$1:$BE$65000,$B1133,Y$5)=1,1,IF(INDEX([1]Pivot!$B$1:$AB$65000,$B1133,Y$5)="",2,0)),0)</f>
        <v>0</v>
      </c>
      <c r="Z1133" s="194">
        <f>IFERROR(IF(INDEX([1]Pivot!$AD$1:$BE$65000,$B1133,Z$5)=1,1,IF(INDEX([1]Pivot!$B$1:$AB$65000,$B1133,Z$5)="",2,0)),0)</f>
        <v>0</v>
      </c>
      <c r="AA1133" s="194">
        <f>IFERROR(IF(INDEX([1]Pivot!$AD$1:$BE$65000,$B1133,AA$5)=1,1,IF(INDEX([1]Pivot!$B$1:$AB$65000,$B1133,AA$5)="",2,0)),0)</f>
        <v>0</v>
      </c>
      <c r="AB1133" s="194">
        <f>IFERROR(IF(INDEX([1]Pivot!$AD$1:$BE$65000,$B1133,AB$5)=1,1,IF(INDEX([1]Pivot!$B$1:$AB$65000,$B1133,AB$5)="",2,0)),0)</f>
        <v>0</v>
      </c>
      <c r="AC1133" s="194">
        <f>IFERROR(IF(INDEX([1]Pivot!$AD$1:$BE$65000,$B1133,AC$5)=1,1,IF(INDEX([1]Pivot!$B$1:$AB$65000,$B1133,AC$5)="",2,0)),0)</f>
        <v>0</v>
      </c>
      <c r="AD1133" s="313">
        <f>IFERROR(IF(INDEX([1]Pivot!$BF$1:$CG$65000,$B1133,AD$5)=1,1,IF(INDEX([1]Pivot!$B$1:$AB$65000,$B1133,AD$5)="",2,0)),0)</f>
        <v>0</v>
      </c>
      <c r="AE1133" s="313">
        <f>IFERROR(IF(INDEX([1]Pivot!$BF$1:$CG$65000,$B1133,AE$5)=1,1,IF(INDEX([1]Pivot!$B$1:$AB$65000,$B1133,AE$5)="",2,0)),0)</f>
        <v>0</v>
      </c>
      <c r="AF1133" s="313">
        <f>IFERROR(IF(INDEX([1]Pivot!$BF$1:$CG$65000,$B1133,AF$5)=1,1,IF(INDEX([1]Pivot!$B$1:$AB$65000,$B1133,AF$5)="",2,0)),0)</f>
        <v>0</v>
      </c>
      <c r="AG1133" s="313">
        <f>IFERROR(IF(INDEX([1]Pivot!$BF$1:$CG$65000,$B1133,AG$5)=1,1,IF(INDEX([1]Pivot!$B$1:$AB$65000,$B1133,AG$5)="",2,0)),0)</f>
        <v>0</v>
      </c>
      <c r="AH1133" s="313">
        <f>IFERROR(IF(INDEX([1]Pivot!$BF$1:$CG$65000,$B1133,AH$5)=1,1,IF(INDEX([1]Pivot!$B$1:$AB$65000,$B1133,AH$5)="",2,0)),0)</f>
        <v>0</v>
      </c>
      <c r="AI1133" s="313">
        <f>IFERROR(IF(INDEX([1]Pivot!$BF$1:$CG$65000,$B1133,AI$5)=1,1,IF(INDEX([1]Pivot!$B$1:$AB$65000,$B1133,AI$5)="",2,0)),0)</f>
        <v>0</v>
      </c>
      <c r="AJ1133" s="313">
        <f>IFERROR(IF(INDEX([1]Pivot!$BF$1:$CG$65000,$B1133,AJ$5)=1,1,IF(INDEX([1]Pivot!$B$1:$AB$65000,$B1133,AJ$5)="",2,0)),0)</f>
        <v>0</v>
      </c>
      <c r="AK1133" s="313">
        <f>IFERROR(IF(INDEX([1]Pivot!$BF$1:$CG$65000,$B1133,AK$5)=1,1,IF(INDEX([1]Pivot!$B$1:$AB$65000,$B1133,AK$5)="",2,0)),0)</f>
        <v>0</v>
      </c>
      <c r="AL1133" s="313">
        <f>IFERROR(IF(INDEX([1]Pivot!$BF$1:$CG$65000,$B1133,AL$5)=1,1,IF(INDEX([1]Pivot!$B$1:$AB$65000,$B1133,AL$5)="",2,0)),0)</f>
        <v>0</v>
      </c>
      <c r="AM1133" s="313">
        <f>IFERROR(IF(INDEX([1]Pivot!$BF$1:$CG$65000,$B1133,AM$5)=1,1,IF(INDEX([1]Pivot!$B$1:$AB$65000,$B1133,AM$5)="",2,0)),0)</f>
        <v>0</v>
      </c>
      <c r="AN1133" s="313">
        <f>IFERROR(IF(INDEX([1]Pivot!$BF$1:$CG$65000,$B1133,AN$5)=1,1,IF(INDEX([1]Pivot!$B$1:$AB$65000,$B1133,AN$5)="",2,0)),0)</f>
        <v>0</v>
      </c>
      <c r="AO1133" s="313">
        <f>IFERROR(IF(INDEX([1]Pivot!$BF$1:$CG$65000,$B1133,AO$5)=1,1,IF(INDEX([1]Pivot!$B$1:$AB$65000,$B1133,AO$5)="",2,0)),0)</f>
        <v>0</v>
      </c>
      <c r="AP1133" s="313">
        <f>IFERROR(IF(INDEX([1]Pivot!$BF$1:$CG$65000,$B1133,AP$5)=1,1,IF(INDEX([1]Pivot!$B$1:$AB$65000,$B1133,AP$5)="",2,0)),0)</f>
        <v>0</v>
      </c>
      <c r="AQ1133" s="313">
        <f>IFERROR(IF(INDEX([1]Pivot!$BF$1:$CG$65000,$B1133,AQ$5)=1,1,IF(INDEX([1]Pivot!$B$1:$AB$65000,$B1133,AQ$5)="",2,0)),0)</f>
        <v>0</v>
      </c>
      <c r="AR1133" s="313">
        <f>IFERROR(IF(INDEX([1]Pivot!$BF$1:$CG$65000,$B1133,AR$5)=1,1,IF(INDEX([1]Pivot!$B$1:$AB$65000,$B1133,AR$5)="",2,0)),0)</f>
        <v>0</v>
      </c>
      <c r="AS1133" s="312"/>
      <c r="AT1133" s="313">
        <f>IFERROR(IF(INDEX([1]Pivot!$BF$1:$CG$65000,$B1133,AT$5)=1,1,IF(INDEX([1]Pivot!$B$1:$AB$65000,$B1133,AT$5)="",2,0)),0)</f>
        <v>0</v>
      </c>
      <c r="AU1133" s="313">
        <f>IFERROR(IF(INDEX([1]Pivot!$BF$1:$CG$65000,$B1133,AU$5)=1,1,IF(INDEX([1]Pivot!$B$1:$AB$65000,$B1133,AU$5)="",2,0)),0)</f>
        <v>0</v>
      </c>
      <c r="AV1133" s="313">
        <f>IFERROR(IF(INDEX([1]Pivot!$BF$1:$CG$65000,$B1133,AV$5)=1,1,IF(INDEX([1]Pivot!$B$1:$AB$65000,$B1133,AV$5)="",2,0)),0)</f>
        <v>0</v>
      </c>
      <c r="AW1133" s="313">
        <f>IFERROR(IF(INDEX([1]Pivot!$BF$1:$CG$65000,$B1133,AW$5)=1,1,IF(INDEX([1]Pivot!$B$1:$AB$65000,$B1133,AW$5)="",2,0)),0)</f>
        <v>0</v>
      </c>
      <c r="AX1133" s="313">
        <f>IFERROR(IF(INDEX([1]Pivot!$BF$1:$CG$65000,$B1133,AX$5)=1,1,IF(INDEX([1]Pivot!$B$1:$AB$65000,$B1133,AX$5)="",2,0)),0)</f>
        <v>0</v>
      </c>
      <c r="AY1133" s="313">
        <f>IFERROR(IF(INDEX([1]Pivot!$BF$1:$CG$65000,$B1133,AY$5)=1,1,IF(INDEX([1]Pivot!$B$1:$AB$65000,$B1133,AY$5)="",2,0)),0)</f>
        <v>0</v>
      </c>
      <c r="AZ1133" s="313">
        <f>IFERROR(IF(INDEX([1]Pivot!$BF$1:$CG$65000,$B1133,AZ$5)=1,1,IF(INDEX([1]Pivot!$B$1:$AB$65000,$B1133,AZ$5)="",2,0)),0)</f>
        <v>0</v>
      </c>
      <c r="BA1133" s="313">
        <f>IFERROR(IF(INDEX([1]Pivot!$BF$1:$CG$65000,$B1133,BA$5)=1,1,IF(INDEX([1]Pivot!$B$1:$AB$65000,$B1133,BA$5)="",2,0)),0)</f>
        <v>0</v>
      </c>
      <c r="BB1133" s="313">
        <f>IFERROR(IF(INDEX([1]Pivot!$BF$1:$CG$65000,$B1133,BB$5)=1,1,IF(INDEX([1]Pivot!$B$1:$AB$65000,$B1133,BB$5)="",2,0)),0)</f>
        <v>0</v>
      </c>
      <c r="BC1133" s="313">
        <f>IFERROR(IF(INDEX([1]Pivot!$BF$1:$CG$65000,$B1133,BC$5)=1,1,IF(INDEX([1]Pivot!$B$1:$AB$65000,$B1133,BC$5)="",2,0)),0)</f>
        <v>0</v>
      </c>
      <c r="BD1133" s="313">
        <f>IFERROR(IF(INDEX([1]Pivot!$BF$1:$CG$65000,$B1133,BD$5)=1,1,IF(INDEX([1]Pivot!$B$1:$AB$65000,$B1133,BD$5)="",2,0)),0)</f>
        <v>0</v>
      </c>
    </row>
    <row r="1134" spans="1:56" x14ac:dyDescent="0.25">
      <c r="A1134" s="288">
        <f>'[2]Raw Milk Prices'!A1134</f>
        <v>0</v>
      </c>
      <c r="B1134" s="296" t="e">
        <f>MATCH(DATE(LEFT('[2]Raw Milk Prices'!$A1134,4),RIGHT('[2]Raw Milk Prices'!$A1134,2),1),[1]Pivot!$A$1:$A$65000,0)</f>
        <v>#VALUE!</v>
      </c>
      <c r="C1134" s="194">
        <f>IFERROR(IF(INDEX([1]Pivot!$AD$1:$BE$65000,$B1134,C$5)=1,1,IF(INDEX([1]Pivot!$B$1:$AB$65000,$B1134,C$5)="",2,0)),0)</f>
        <v>0</v>
      </c>
      <c r="D1134" s="194">
        <f>IFERROR(IF(INDEX([1]Pivot!$AD$1:$BE$65000,$B1134,D$5)=1,1,IF(INDEX([1]Pivot!$B$1:$AB$65000,$B1134,D$5)="",2,0)),0)</f>
        <v>0</v>
      </c>
      <c r="E1134" s="194">
        <f>IFERROR(IF(INDEX([1]Pivot!$AD$1:$BE$65000,$B1134,E$5)=1,1,IF(INDEX([1]Pivot!$B$1:$AB$65000,$B1134,E$5)="",2,0)),0)</f>
        <v>0</v>
      </c>
      <c r="F1134" s="194">
        <f>IFERROR(IF(INDEX([1]Pivot!$AD$1:$BE$65000,$B1134,F$5)=1,1,IF(INDEX([1]Pivot!$B$1:$AB$65000,$B1134,F$5)="",2,0)),0)</f>
        <v>0</v>
      </c>
      <c r="G1134" s="194">
        <f>IFERROR(IF(INDEX([1]Pivot!$AD$1:$BE$65000,$B1134,G$5)=1,1,IF(INDEX([1]Pivot!$B$1:$AB$65000,$B1134,G$5)="",2,0)),0)</f>
        <v>0</v>
      </c>
      <c r="H1134" s="194">
        <f>IFERROR(IF(INDEX([1]Pivot!$AD$1:$BE$65000,$B1134,H$5)=1,1,IF(INDEX([1]Pivot!$B$1:$AB$65000,$B1134,H$5)="",2,0)),0)</f>
        <v>0</v>
      </c>
      <c r="I1134" s="194">
        <f>IFERROR(IF(INDEX([1]Pivot!$AD$1:$BE$65000,$B1134,I$5)=1,1,IF(INDEX([1]Pivot!$B$1:$AB$65000,$B1134,I$5)="",2,0)),0)</f>
        <v>0</v>
      </c>
      <c r="J1134" s="194">
        <f>IFERROR(IF(INDEX([1]Pivot!$AD$1:$BE$65000,$B1134,J$5)=1,1,IF(INDEX([1]Pivot!$B$1:$AB$65000,$B1134,J$5)="",2,0)),0)</f>
        <v>0</v>
      </c>
      <c r="K1134" s="194">
        <f>IFERROR(IF(INDEX([1]Pivot!$AD$1:$BE$65000,$B1134,K$5)=1,1,IF(INDEX([1]Pivot!$B$1:$AB$65000,$B1134,K$5)="",2,0)),0)</f>
        <v>0</v>
      </c>
      <c r="L1134" s="194">
        <f>IFERROR(IF(INDEX([1]Pivot!$AD$1:$BE$65000,$B1134,L$5)=1,1,IF(INDEX([1]Pivot!$B$1:$AB$65000,$B1134,L$5)="",2,0)),0)</f>
        <v>0</v>
      </c>
      <c r="M1134" s="194">
        <f>IFERROR(IF(INDEX([1]Pivot!$AD$1:$BE$65000,$B1134,M$5)=1,1,IF(INDEX([1]Pivot!$B$1:$AB$65000,$B1134,M$5)="",2,0)),0)</f>
        <v>0</v>
      </c>
      <c r="N1134" s="194">
        <f>IFERROR(IF(INDEX([1]Pivot!$AD$1:$BE$65000,$B1134,N$5)=1,1,IF(INDEX([1]Pivot!$B$1:$AB$65000,$B1134,N$5)="",2,0)),0)</f>
        <v>0</v>
      </c>
      <c r="O1134" s="194">
        <f>IFERROR(IF(INDEX([1]Pivot!$AD$1:$BE$65000,$B1134,O$5)=1,1,IF(INDEX([1]Pivot!$B$1:$AB$65000,$B1134,O$5)="",2,0)),0)</f>
        <v>0</v>
      </c>
      <c r="P1134" s="194">
        <f>IFERROR(IF(INDEX([1]Pivot!$AD$1:$BE$65000,$B1134,P$5)=1,1,IF(INDEX([1]Pivot!$B$1:$AB$65000,$B1134,P$5)="",2,0)),0)</f>
        <v>0</v>
      </c>
      <c r="Q1134" s="194">
        <f>IFERROR(IF(INDEX([1]Pivot!$AD$1:$BE$65000,$B1134,Q$5)=1,1,IF(INDEX([1]Pivot!$B$1:$AB$65000,$B1134,Q$5)="",2,0)),0)</f>
        <v>0</v>
      </c>
      <c r="R1134" s="312"/>
      <c r="S1134" s="194">
        <f>IFERROR(IF(INDEX([1]Pivot!$AD$1:$BE$65000,$B1134,S$5)=1,1,IF(INDEX([1]Pivot!$B$1:$AB$65000,$B1134,S$5)="",2,0)),0)</f>
        <v>0</v>
      </c>
      <c r="T1134" s="194">
        <f>IFERROR(IF(INDEX([1]Pivot!$AD$1:$BE$65000,$B1134,T$5)=1,1,IF(INDEX([1]Pivot!$B$1:$AB$65000,$B1134,T$5)="",2,0)),0)</f>
        <v>0</v>
      </c>
      <c r="U1134" s="194">
        <f>IFERROR(IF(INDEX([1]Pivot!$AD$1:$BE$65000,$B1134,U$5)=1,1,IF(INDEX([1]Pivot!$B$1:$AB$65000,$B1134,U$5)="",2,0)),0)</f>
        <v>0</v>
      </c>
      <c r="V1134" s="194">
        <f>IFERROR(IF(INDEX([1]Pivot!$AD$1:$BE$65000,$B1134,V$5)=1,1,IF(INDEX([1]Pivot!$B$1:$AB$65000,$B1134,V$5)="",2,0)),0)</f>
        <v>0</v>
      </c>
      <c r="W1134" s="194">
        <f>IFERROR(IF(INDEX([1]Pivot!$AD$1:$BE$65000,$B1134,W$5)=1,1,IF(INDEX([1]Pivot!$B$1:$AB$65000,$B1134,W$5)="",2,0)),0)</f>
        <v>0</v>
      </c>
      <c r="X1134" s="194">
        <f>IFERROR(IF(INDEX([1]Pivot!$AD$1:$BE$65000,$B1134,X$5)=1,1,IF(INDEX([1]Pivot!$B$1:$AB$65000,$B1134,X$5)="",2,0)),0)</f>
        <v>0</v>
      </c>
      <c r="Y1134" s="194">
        <f>IFERROR(IF(INDEX([1]Pivot!$AD$1:$BE$65000,$B1134,Y$5)=1,1,IF(INDEX([1]Pivot!$B$1:$AB$65000,$B1134,Y$5)="",2,0)),0)</f>
        <v>0</v>
      </c>
      <c r="Z1134" s="194">
        <f>IFERROR(IF(INDEX([1]Pivot!$AD$1:$BE$65000,$B1134,Z$5)=1,1,IF(INDEX([1]Pivot!$B$1:$AB$65000,$B1134,Z$5)="",2,0)),0)</f>
        <v>0</v>
      </c>
      <c r="AA1134" s="194">
        <f>IFERROR(IF(INDEX([1]Pivot!$AD$1:$BE$65000,$B1134,AA$5)=1,1,IF(INDEX([1]Pivot!$B$1:$AB$65000,$B1134,AA$5)="",2,0)),0)</f>
        <v>0</v>
      </c>
      <c r="AB1134" s="194">
        <f>IFERROR(IF(INDEX([1]Pivot!$AD$1:$BE$65000,$B1134,AB$5)=1,1,IF(INDEX([1]Pivot!$B$1:$AB$65000,$B1134,AB$5)="",2,0)),0)</f>
        <v>0</v>
      </c>
      <c r="AC1134" s="194">
        <f>IFERROR(IF(INDEX([1]Pivot!$AD$1:$BE$65000,$B1134,AC$5)=1,1,IF(INDEX([1]Pivot!$B$1:$AB$65000,$B1134,AC$5)="",2,0)),0)</f>
        <v>0</v>
      </c>
      <c r="AD1134" s="313">
        <f>IFERROR(IF(INDEX([1]Pivot!$BF$1:$CG$65000,$B1134,AD$5)=1,1,IF(INDEX([1]Pivot!$B$1:$AB$65000,$B1134,AD$5)="",2,0)),0)</f>
        <v>0</v>
      </c>
      <c r="AE1134" s="313">
        <f>IFERROR(IF(INDEX([1]Pivot!$BF$1:$CG$65000,$B1134,AE$5)=1,1,IF(INDEX([1]Pivot!$B$1:$AB$65000,$B1134,AE$5)="",2,0)),0)</f>
        <v>0</v>
      </c>
      <c r="AF1134" s="313">
        <f>IFERROR(IF(INDEX([1]Pivot!$BF$1:$CG$65000,$B1134,AF$5)=1,1,IF(INDEX([1]Pivot!$B$1:$AB$65000,$B1134,AF$5)="",2,0)),0)</f>
        <v>0</v>
      </c>
      <c r="AG1134" s="313">
        <f>IFERROR(IF(INDEX([1]Pivot!$BF$1:$CG$65000,$B1134,AG$5)=1,1,IF(INDEX([1]Pivot!$B$1:$AB$65000,$B1134,AG$5)="",2,0)),0)</f>
        <v>0</v>
      </c>
      <c r="AH1134" s="313">
        <f>IFERROR(IF(INDEX([1]Pivot!$BF$1:$CG$65000,$B1134,AH$5)=1,1,IF(INDEX([1]Pivot!$B$1:$AB$65000,$B1134,AH$5)="",2,0)),0)</f>
        <v>0</v>
      </c>
      <c r="AI1134" s="313">
        <f>IFERROR(IF(INDEX([1]Pivot!$BF$1:$CG$65000,$B1134,AI$5)=1,1,IF(INDEX([1]Pivot!$B$1:$AB$65000,$B1134,AI$5)="",2,0)),0)</f>
        <v>0</v>
      </c>
      <c r="AJ1134" s="313">
        <f>IFERROR(IF(INDEX([1]Pivot!$BF$1:$CG$65000,$B1134,AJ$5)=1,1,IF(INDEX([1]Pivot!$B$1:$AB$65000,$B1134,AJ$5)="",2,0)),0)</f>
        <v>0</v>
      </c>
      <c r="AK1134" s="313">
        <f>IFERROR(IF(INDEX([1]Pivot!$BF$1:$CG$65000,$B1134,AK$5)=1,1,IF(INDEX([1]Pivot!$B$1:$AB$65000,$B1134,AK$5)="",2,0)),0)</f>
        <v>0</v>
      </c>
      <c r="AL1134" s="313">
        <f>IFERROR(IF(INDEX([1]Pivot!$BF$1:$CG$65000,$B1134,AL$5)=1,1,IF(INDEX([1]Pivot!$B$1:$AB$65000,$B1134,AL$5)="",2,0)),0)</f>
        <v>0</v>
      </c>
      <c r="AM1134" s="313">
        <f>IFERROR(IF(INDEX([1]Pivot!$BF$1:$CG$65000,$B1134,AM$5)=1,1,IF(INDEX([1]Pivot!$B$1:$AB$65000,$B1134,AM$5)="",2,0)),0)</f>
        <v>0</v>
      </c>
      <c r="AN1134" s="313">
        <f>IFERROR(IF(INDEX([1]Pivot!$BF$1:$CG$65000,$B1134,AN$5)=1,1,IF(INDEX([1]Pivot!$B$1:$AB$65000,$B1134,AN$5)="",2,0)),0)</f>
        <v>0</v>
      </c>
      <c r="AO1134" s="313">
        <f>IFERROR(IF(INDEX([1]Pivot!$BF$1:$CG$65000,$B1134,AO$5)=1,1,IF(INDEX([1]Pivot!$B$1:$AB$65000,$B1134,AO$5)="",2,0)),0)</f>
        <v>0</v>
      </c>
      <c r="AP1134" s="313">
        <f>IFERROR(IF(INDEX([1]Pivot!$BF$1:$CG$65000,$B1134,AP$5)=1,1,IF(INDEX([1]Pivot!$B$1:$AB$65000,$B1134,AP$5)="",2,0)),0)</f>
        <v>0</v>
      </c>
      <c r="AQ1134" s="313">
        <f>IFERROR(IF(INDEX([1]Pivot!$BF$1:$CG$65000,$B1134,AQ$5)=1,1,IF(INDEX([1]Pivot!$B$1:$AB$65000,$B1134,AQ$5)="",2,0)),0)</f>
        <v>0</v>
      </c>
      <c r="AR1134" s="313">
        <f>IFERROR(IF(INDEX([1]Pivot!$BF$1:$CG$65000,$B1134,AR$5)=1,1,IF(INDEX([1]Pivot!$B$1:$AB$65000,$B1134,AR$5)="",2,0)),0)</f>
        <v>0</v>
      </c>
      <c r="AS1134" s="312"/>
      <c r="AT1134" s="313">
        <f>IFERROR(IF(INDEX([1]Pivot!$BF$1:$CG$65000,$B1134,AT$5)=1,1,IF(INDEX([1]Pivot!$B$1:$AB$65000,$B1134,AT$5)="",2,0)),0)</f>
        <v>0</v>
      </c>
      <c r="AU1134" s="313">
        <f>IFERROR(IF(INDEX([1]Pivot!$BF$1:$CG$65000,$B1134,AU$5)=1,1,IF(INDEX([1]Pivot!$B$1:$AB$65000,$B1134,AU$5)="",2,0)),0)</f>
        <v>0</v>
      </c>
      <c r="AV1134" s="313">
        <f>IFERROR(IF(INDEX([1]Pivot!$BF$1:$CG$65000,$B1134,AV$5)=1,1,IF(INDEX([1]Pivot!$B$1:$AB$65000,$B1134,AV$5)="",2,0)),0)</f>
        <v>0</v>
      </c>
      <c r="AW1134" s="313">
        <f>IFERROR(IF(INDEX([1]Pivot!$BF$1:$CG$65000,$B1134,AW$5)=1,1,IF(INDEX([1]Pivot!$B$1:$AB$65000,$B1134,AW$5)="",2,0)),0)</f>
        <v>0</v>
      </c>
      <c r="AX1134" s="313">
        <f>IFERROR(IF(INDEX([1]Pivot!$BF$1:$CG$65000,$B1134,AX$5)=1,1,IF(INDEX([1]Pivot!$B$1:$AB$65000,$B1134,AX$5)="",2,0)),0)</f>
        <v>0</v>
      </c>
      <c r="AY1134" s="313">
        <f>IFERROR(IF(INDEX([1]Pivot!$BF$1:$CG$65000,$B1134,AY$5)=1,1,IF(INDEX([1]Pivot!$B$1:$AB$65000,$B1134,AY$5)="",2,0)),0)</f>
        <v>0</v>
      </c>
      <c r="AZ1134" s="313">
        <f>IFERROR(IF(INDEX([1]Pivot!$BF$1:$CG$65000,$B1134,AZ$5)=1,1,IF(INDEX([1]Pivot!$B$1:$AB$65000,$B1134,AZ$5)="",2,0)),0)</f>
        <v>0</v>
      </c>
      <c r="BA1134" s="313">
        <f>IFERROR(IF(INDEX([1]Pivot!$BF$1:$CG$65000,$B1134,BA$5)=1,1,IF(INDEX([1]Pivot!$B$1:$AB$65000,$B1134,BA$5)="",2,0)),0)</f>
        <v>0</v>
      </c>
      <c r="BB1134" s="313">
        <f>IFERROR(IF(INDEX([1]Pivot!$BF$1:$CG$65000,$B1134,BB$5)=1,1,IF(INDEX([1]Pivot!$B$1:$AB$65000,$B1134,BB$5)="",2,0)),0)</f>
        <v>0</v>
      </c>
      <c r="BC1134" s="313">
        <f>IFERROR(IF(INDEX([1]Pivot!$BF$1:$CG$65000,$B1134,BC$5)=1,1,IF(INDEX([1]Pivot!$B$1:$AB$65000,$B1134,BC$5)="",2,0)),0)</f>
        <v>0</v>
      </c>
      <c r="BD1134" s="313">
        <f>IFERROR(IF(INDEX([1]Pivot!$BF$1:$CG$65000,$B1134,BD$5)=1,1,IF(INDEX([1]Pivot!$B$1:$AB$65000,$B1134,BD$5)="",2,0)),0)</f>
        <v>0</v>
      </c>
    </row>
    <row r="1135" spans="1:56" x14ac:dyDescent="0.25">
      <c r="A1135" s="288">
        <f>'[2]Raw Milk Prices'!A1135</f>
        <v>0</v>
      </c>
      <c r="B1135" s="296" t="e">
        <f>MATCH(DATE(LEFT('[2]Raw Milk Prices'!$A1135,4),RIGHT('[2]Raw Milk Prices'!$A1135,2),1),[1]Pivot!$A$1:$A$65000,0)</f>
        <v>#VALUE!</v>
      </c>
      <c r="C1135" s="194">
        <f>IFERROR(IF(INDEX([1]Pivot!$AD$1:$BE$65000,$B1135,C$5)=1,1,IF(INDEX([1]Pivot!$B$1:$AB$65000,$B1135,C$5)="",2,0)),0)</f>
        <v>0</v>
      </c>
      <c r="D1135" s="194">
        <f>IFERROR(IF(INDEX([1]Pivot!$AD$1:$BE$65000,$B1135,D$5)=1,1,IF(INDEX([1]Pivot!$B$1:$AB$65000,$B1135,D$5)="",2,0)),0)</f>
        <v>0</v>
      </c>
      <c r="E1135" s="194">
        <f>IFERROR(IF(INDEX([1]Pivot!$AD$1:$BE$65000,$B1135,E$5)=1,1,IF(INDEX([1]Pivot!$B$1:$AB$65000,$B1135,E$5)="",2,0)),0)</f>
        <v>0</v>
      </c>
      <c r="F1135" s="194">
        <f>IFERROR(IF(INDEX([1]Pivot!$AD$1:$BE$65000,$B1135,F$5)=1,1,IF(INDEX([1]Pivot!$B$1:$AB$65000,$B1135,F$5)="",2,0)),0)</f>
        <v>0</v>
      </c>
      <c r="G1135" s="194">
        <f>IFERROR(IF(INDEX([1]Pivot!$AD$1:$BE$65000,$B1135,G$5)=1,1,IF(INDEX([1]Pivot!$B$1:$AB$65000,$B1135,G$5)="",2,0)),0)</f>
        <v>0</v>
      </c>
      <c r="H1135" s="194">
        <f>IFERROR(IF(INDEX([1]Pivot!$AD$1:$BE$65000,$B1135,H$5)=1,1,IF(INDEX([1]Pivot!$B$1:$AB$65000,$B1135,H$5)="",2,0)),0)</f>
        <v>0</v>
      </c>
      <c r="I1135" s="194">
        <f>IFERROR(IF(INDEX([1]Pivot!$AD$1:$BE$65000,$B1135,I$5)=1,1,IF(INDEX([1]Pivot!$B$1:$AB$65000,$B1135,I$5)="",2,0)),0)</f>
        <v>0</v>
      </c>
      <c r="J1135" s="194">
        <f>IFERROR(IF(INDEX([1]Pivot!$AD$1:$BE$65000,$B1135,J$5)=1,1,IF(INDEX([1]Pivot!$B$1:$AB$65000,$B1135,J$5)="",2,0)),0)</f>
        <v>0</v>
      </c>
      <c r="K1135" s="194">
        <f>IFERROR(IF(INDEX([1]Pivot!$AD$1:$BE$65000,$B1135,K$5)=1,1,IF(INDEX([1]Pivot!$B$1:$AB$65000,$B1135,K$5)="",2,0)),0)</f>
        <v>0</v>
      </c>
      <c r="L1135" s="194">
        <f>IFERROR(IF(INDEX([1]Pivot!$AD$1:$BE$65000,$B1135,L$5)=1,1,IF(INDEX([1]Pivot!$B$1:$AB$65000,$B1135,L$5)="",2,0)),0)</f>
        <v>0</v>
      </c>
      <c r="M1135" s="194">
        <f>IFERROR(IF(INDEX([1]Pivot!$AD$1:$BE$65000,$B1135,M$5)=1,1,IF(INDEX([1]Pivot!$B$1:$AB$65000,$B1135,M$5)="",2,0)),0)</f>
        <v>0</v>
      </c>
      <c r="N1135" s="194">
        <f>IFERROR(IF(INDEX([1]Pivot!$AD$1:$BE$65000,$B1135,N$5)=1,1,IF(INDEX([1]Pivot!$B$1:$AB$65000,$B1135,N$5)="",2,0)),0)</f>
        <v>0</v>
      </c>
      <c r="O1135" s="194">
        <f>IFERROR(IF(INDEX([1]Pivot!$AD$1:$BE$65000,$B1135,O$5)=1,1,IF(INDEX([1]Pivot!$B$1:$AB$65000,$B1135,O$5)="",2,0)),0)</f>
        <v>0</v>
      </c>
      <c r="P1135" s="194">
        <f>IFERROR(IF(INDEX([1]Pivot!$AD$1:$BE$65000,$B1135,P$5)=1,1,IF(INDEX([1]Pivot!$B$1:$AB$65000,$B1135,P$5)="",2,0)),0)</f>
        <v>0</v>
      </c>
      <c r="Q1135" s="194">
        <f>IFERROR(IF(INDEX([1]Pivot!$AD$1:$BE$65000,$B1135,Q$5)=1,1,IF(INDEX([1]Pivot!$B$1:$AB$65000,$B1135,Q$5)="",2,0)),0)</f>
        <v>0</v>
      </c>
      <c r="R1135" s="312"/>
      <c r="S1135" s="194">
        <f>IFERROR(IF(INDEX([1]Pivot!$AD$1:$BE$65000,$B1135,S$5)=1,1,IF(INDEX([1]Pivot!$B$1:$AB$65000,$B1135,S$5)="",2,0)),0)</f>
        <v>0</v>
      </c>
      <c r="T1135" s="194">
        <f>IFERROR(IF(INDEX([1]Pivot!$AD$1:$BE$65000,$B1135,T$5)=1,1,IF(INDEX([1]Pivot!$B$1:$AB$65000,$B1135,T$5)="",2,0)),0)</f>
        <v>0</v>
      </c>
      <c r="U1135" s="194">
        <f>IFERROR(IF(INDEX([1]Pivot!$AD$1:$BE$65000,$B1135,U$5)=1,1,IF(INDEX([1]Pivot!$B$1:$AB$65000,$B1135,U$5)="",2,0)),0)</f>
        <v>0</v>
      </c>
      <c r="V1135" s="194">
        <f>IFERROR(IF(INDEX([1]Pivot!$AD$1:$BE$65000,$B1135,V$5)=1,1,IF(INDEX([1]Pivot!$B$1:$AB$65000,$B1135,V$5)="",2,0)),0)</f>
        <v>0</v>
      </c>
      <c r="W1135" s="194">
        <f>IFERROR(IF(INDEX([1]Pivot!$AD$1:$BE$65000,$B1135,W$5)=1,1,IF(INDEX([1]Pivot!$B$1:$AB$65000,$B1135,W$5)="",2,0)),0)</f>
        <v>0</v>
      </c>
      <c r="X1135" s="194">
        <f>IFERROR(IF(INDEX([1]Pivot!$AD$1:$BE$65000,$B1135,X$5)=1,1,IF(INDEX([1]Pivot!$B$1:$AB$65000,$B1135,X$5)="",2,0)),0)</f>
        <v>0</v>
      </c>
      <c r="Y1135" s="194">
        <f>IFERROR(IF(INDEX([1]Pivot!$AD$1:$BE$65000,$B1135,Y$5)=1,1,IF(INDEX([1]Pivot!$B$1:$AB$65000,$B1135,Y$5)="",2,0)),0)</f>
        <v>0</v>
      </c>
      <c r="Z1135" s="194">
        <f>IFERROR(IF(INDEX([1]Pivot!$AD$1:$BE$65000,$B1135,Z$5)=1,1,IF(INDEX([1]Pivot!$B$1:$AB$65000,$B1135,Z$5)="",2,0)),0)</f>
        <v>0</v>
      </c>
      <c r="AA1135" s="194">
        <f>IFERROR(IF(INDEX([1]Pivot!$AD$1:$BE$65000,$B1135,AA$5)=1,1,IF(INDEX([1]Pivot!$B$1:$AB$65000,$B1135,AA$5)="",2,0)),0)</f>
        <v>0</v>
      </c>
      <c r="AB1135" s="194">
        <f>IFERROR(IF(INDEX([1]Pivot!$AD$1:$BE$65000,$B1135,AB$5)=1,1,IF(INDEX([1]Pivot!$B$1:$AB$65000,$B1135,AB$5)="",2,0)),0)</f>
        <v>0</v>
      </c>
      <c r="AC1135" s="194">
        <f>IFERROR(IF(INDEX([1]Pivot!$AD$1:$BE$65000,$B1135,AC$5)=1,1,IF(INDEX([1]Pivot!$B$1:$AB$65000,$B1135,AC$5)="",2,0)),0)</f>
        <v>0</v>
      </c>
      <c r="AD1135" s="313">
        <f>IFERROR(IF(INDEX([1]Pivot!$BF$1:$CG$65000,$B1135,AD$5)=1,1,IF(INDEX([1]Pivot!$B$1:$AB$65000,$B1135,AD$5)="",2,0)),0)</f>
        <v>0</v>
      </c>
      <c r="AE1135" s="313">
        <f>IFERROR(IF(INDEX([1]Pivot!$BF$1:$CG$65000,$B1135,AE$5)=1,1,IF(INDEX([1]Pivot!$B$1:$AB$65000,$B1135,AE$5)="",2,0)),0)</f>
        <v>0</v>
      </c>
      <c r="AF1135" s="313">
        <f>IFERROR(IF(INDEX([1]Pivot!$BF$1:$CG$65000,$B1135,AF$5)=1,1,IF(INDEX([1]Pivot!$B$1:$AB$65000,$B1135,AF$5)="",2,0)),0)</f>
        <v>0</v>
      </c>
      <c r="AG1135" s="313">
        <f>IFERROR(IF(INDEX([1]Pivot!$BF$1:$CG$65000,$B1135,AG$5)=1,1,IF(INDEX([1]Pivot!$B$1:$AB$65000,$B1135,AG$5)="",2,0)),0)</f>
        <v>0</v>
      </c>
      <c r="AH1135" s="313">
        <f>IFERROR(IF(INDEX([1]Pivot!$BF$1:$CG$65000,$B1135,AH$5)=1,1,IF(INDEX([1]Pivot!$B$1:$AB$65000,$B1135,AH$5)="",2,0)),0)</f>
        <v>0</v>
      </c>
      <c r="AI1135" s="313">
        <f>IFERROR(IF(INDEX([1]Pivot!$BF$1:$CG$65000,$B1135,AI$5)=1,1,IF(INDEX([1]Pivot!$B$1:$AB$65000,$B1135,AI$5)="",2,0)),0)</f>
        <v>0</v>
      </c>
      <c r="AJ1135" s="313">
        <f>IFERROR(IF(INDEX([1]Pivot!$BF$1:$CG$65000,$B1135,AJ$5)=1,1,IF(INDEX([1]Pivot!$B$1:$AB$65000,$B1135,AJ$5)="",2,0)),0)</f>
        <v>0</v>
      </c>
      <c r="AK1135" s="313">
        <f>IFERROR(IF(INDEX([1]Pivot!$BF$1:$CG$65000,$B1135,AK$5)=1,1,IF(INDEX([1]Pivot!$B$1:$AB$65000,$B1135,AK$5)="",2,0)),0)</f>
        <v>0</v>
      </c>
      <c r="AL1135" s="313">
        <f>IFERROR(IF(INDEX([1]Pivot!$BF$1:$CG$65000,$B1135,AL$5)=1,1,IF(INDEX([1]Pivot!$B$1:$AB$65000,$B1135,AL$5)="",2,0)),0)</f>
        <v>0</v>
      </c>
      <c r="AM1135" s="313">
        <f>IFERROR(IF(INDEX([1]Pivot!$BF$1:$CG$65000,$B1135,AM$5)=1,1,IF(INDEX([1]Pivot!$B$1:$AB$65000,$B1135,AM$5)="",2,0)),0)</f>
        <v>0</v>
      </c>
      <c r="AN1135" s="313">
        <f>IFERROR(IF(INDEX([1]Pivot!$BF$1:$CG$65000,$B1135,AN$5)=1,1,IF(INDEX([1]Pivot!$B$1:$AB$65000,$B1135,AN$5)="",2,0)),0)</f>
        <v>0</v>
      </c>
      <c r="AO1135" s="313">
        <f>IFERROR(IF(INDEX([1]Pivot!$BF$1:$CG$65000,$B1135,AO$5)=1,1,IF(INDEX([1]Pivot!$B$1:$AB$65000,$B1135,AO$5)="",2,0)),0)</f>
        <v>0</v>
      </c>
      <c r="AP1135" s="313">
        <f>IFERROR(IF(INDEX([1]Pivot!$BF$1:$CG$65000,$B1135,AP$5)=1,1,IF(INDEX([1]Pivot!$B$1:$AB$65000,$B1135,AP$5)="",2,0)),0)</f>
        <v>0</v>
      </c>
      <c r="AQ1135" s="313">
        <f>IFERROR(IF(INDEX([1]Pivot!$BF$1:$CG$65000,$B1135,AQ$5)=1,1,IF(INDEX([1]Pivot!$B$1:$AB$65000,$B1135,AQ$5)="",2,0)),0)</f>
        <v>0</v>
      </c>
      <c r="AR1135" s="313">
        <f>IFERROR(IF(INDEX([1]Pivot!$BF$1:$CG$65000,$B1135,AR$5)=1,1,IF(INDEX([1]Pivot!$B$1:$AB$65000,$B1135,AR$5)="",2,0)),0)</f>
        <v>0</v>
      </c>
      <c r="AS1135" s="312"/>
      <c r="AT1135" s="313">
        <f>IFERROR(IF(INDEX([1]Pivot!$BF$1:$CG$65000,$B1135,AT$5)=1,1,IF(INDEX([1]Pivot!$B$1:$AB$65000,$B1135,AT$5)="",2,0)),0)</f>
        <v>0</v>
      </c>
      <c r="AU1135" s="313">
        <f>IFERROR(IF(INDEX([1]Pivot!$BF$1:$CG$65000,$B1135,AU$5)=1,1,IF(INDEX([1]Pivot!$B$1:$AB$65000,$B1135,AU$5)="",2,0)),0)</f>
        <v>0</v>
      </c>
      <c r="AV1135" s="313">
        <f>IFERROR(IF(INDEX([1]Pivot!$BF$1:$CG$65000,$B1135,AV$5)=1,1,IF(INDEX([1]Pivot!$B$1:$AB$65000,$B1135,AV$5)="",2,0)),0)</f>
        <v>0</v>
      </c>
      <c r="AW1135" s="313">
        <f>IFERROR(IF(INDEX([1]Pivot!$BF$1:$CG$65000,$B1135,AW$5)=1,1,IF(INDEX([1]Pivot!$B$1:$AB$65000,$B1135,AW$5)="",2,0)),0)</f>
        <v>0</v>
      </c>
      <c r="AX1135" s="313">
        <f>IFERROR(IF(INDEX([1]Pivot!$BF$1:$CG$65000,$B1135,AX$5)=1,1,IF(INDEX([1]Pivot!$B$1:$AB$65000,$B1135,AX$5)="",2,0)),0)</f>
        <v>0</v>
      </c>
      <c r="AY1135" s="313">
        <f>IFERROR(IF(INDEX([1]Pivot!$BF$1:$CG$65000,$B1135,AY$5)=1,1,IF(INDEX([1]Pivot!$B$1:$AB$65000,$B1135,AY$5)="",2,0)),0)</f>
        <v>0</v>
      </c>
      <c r="AZ1135" s="313">
        <f>IFERROR(IF(INDEX([1]Pivot!$BF$1:$CG$65000,$B1135,AZ$5)=1,1,IF(INDEX([1]Pivot!$B$1:$AB$65000,$B1135,AZ$5)="",2,0)),0)</f>
        <v>0</v>
      </c>
      <c r="BA1135" s="313">
        <f>IFERROR(IF(INDEX([1]Pivot!$BF$1:$CG$65000,$B1135,BA$5)=1,1,IF(INDEX([1]Pivot!$B$1:$AB$65000,$B1135,BA$5)="",2,0)),0)</f>
        <v>0</v>
      </c>
      <c r="BB1135" s="313">
        <f>IFERROR(IF(INDEX([1]Pivot!$BF$1:$CG$65000,$B1135,BB$5)=1,1,IF(INDEX([1]Pivot!$B$1:$AB$65000,$B1135,BB$5)="",2,0)),0)</f>
        <v>0</v>
      </c>
      <c r="BC1135" s="313">
        <f>IFERROR(IF(INDEX([1]Pivot!$BF$1:$CG$65000,$B1135,BC$5)=1,1,IF(INDEX([1]Pivot!$B$1:$AB$65000,$B1135,BC$5)="",2,0)),0)</f>
        <v>0</v>
      </c>
      <c r="BD1135" s="313">
        <f>IFERROR(IF(INDEX([1]Pivot!$BF$1:$CG$65000,$B1135,BD$5)=1,1,IF(INDEX([1]Pivot!$B$1:$AB$65000,$B1135,BD$5)="",2,0)),0)</f>
        <v>0</v>
      </c>
    </row>
    <row r="1136" spans="1:56" x14ac:dyDescent="0.25">
      <c r="A1136" s="288">
        <f>'[2]Raw Milk Prices'!A1136</f>
        <v>0</v>
      </c>
      <c r="B1136" s="296" t="e">
        <f>MATCH(DATE(LEFT('[2]Raw Milk Prices'!$A1136,4),RIGHT('[2]Raw Milk Prices'!$A1136,2),1),[1]Pivot!$A$1:$A$65000,0)</f>
        <v>#VALUE!</v>
      </c>
      <c r="C1136" s="194">
        <f>IFERROR(IF(INDEX([1]Pivot!$AD$1:$BE$65000,$B1136,C$5)=1,1,IF(INDEX([1]Pivot!$B$1:$AB$65000,$B1136,C$5)="",2,0)),0)</f>
        <v>0</v>
      </c>
      <c r="D1136" s="194">
        <f>IFERROR(IF(INDEX([1]Pivot!$AD$1:$BE$65000,$B1136,D$5)=1,1,IF(INDEX([1]Pivot!$B$1:$AB$65000,$B1136,D$5)="",2,0)),0)</f>
        <v>0</v>
      </c>
      <c r="E1136" s="194">
        <f>IFERROR(IF(INDEX([1]Pivot!$AD$1:$BE$65000,$B1136,E$5)=1,1,IF(INDEX([1]Pivot!$B$1:$AB$65000,$B1136,E$5)="",2,0)),0)</f>
        <v>0</v>
      </c>
      <c r="F1136" s="194">
        <f>IFERROR(IF(INDEX([1]Pivot!$AD$1:$BE$65000,$B1136,F$5)=1,1,IF(INDEX([1]Pivot!$B$1:$AB$65000,$B1136,F$5)="",2,0)),0)</f>
        <v>0</v>
      </c>
      <c r="G1136" s="194">
        <f>IFERROR(IF(INDEX([1]Pivot!$AD$1:$BE$65000,$B1136,G$5)=1,1,IF(INDEX([1]Pivot!$B$1:$AB$65000,$B1136,G$5)="",2,0)),0)</f>
        <v>0</v>
      </c>
      <c r="H1136" s="194">
        <f>IFERROR(IF(INDEX([1]Pivot!$AD$1:$BE$65000,$B1136,H$5)=1,1,IF(INDEX([1]Pivot!$B$1:$AB$65000,$B1136,H$5)="",2,0)),0)</f>
        <v>0</v>
      </c>
      <c r="I1136" s="194">
        <f>IFERROR(IF(INDEX([1]Pivot!$AD$1:$BE$65000,$B1136,I$5)=1,1,IF(INDEX([1]Pivot!$B$1:$AB$65000,$B1136,I$5)="",2,0)),0)</f>
        <v>0</v>
      </c>
      <c r="J1136" s="194">
        <f>IFERROR(IF(INDEX([1]Pivot!$AD$1:$BE$65000,$B1136,J$5)=1,1,IF(INDEX([1]Pivot!$B$1:$AB$65000,$B1136,J$5)="",2,0)),0)</f>
        <v>0</v>
      </c>
      <c r="K1136" s="194">
        <f>IFERROR(IF(INDEX([1]Pivot!$AD$1:$BE$65000,$B1136,K$5)=1,1,IF(INDEX([1]Pivot!$B$1:$AB$65000,$B1136,K$5)="",2,0)),0)</f>
        <v>0</v>
      </c>
      <c r="L1136" s="194">
        <f>IFERROR(IF(INDEX([1]Pivot!$AD$1:$BE$65000,$B1136,L$5)=1,1,IF(INDEX([1]Pivot!$B$1:$AB$65000,$B1136,L$5)="",2,0)),0)</f>
        <v>0</v>
      </c>
      <c r="M1136" s="194">
        <f>IFERROR(IF(INDEX([1]Pivot!$AD$1:$BE$65000,$B1136,M$5)=1,1,IF(INDEX([1]Pivot!$B$1:$AB$65000,$B1136,M$5)="",2,0)),0)</f>
        <v>0</v>
      </c>
      <c r="N1136" s="194">
        <f>IFERROR(IF(INDEX([1]Pivot!$AD$1:$BE$65000,$B1136,N$5)=1,1,IF(INDEX([1]Pivot!$B$1:$AB$65000,$B1136,N$5)="",2,0)),0)</f>
        <v>0</v>
      </c>
      <c r="O1136" s="194">
        <f>IFERROR(IF(INDEX([1]Pivot!$AD$1:$BE$65000,$B1136,O$5)=1,1,IF(INDEX([1]Pivot!$B$1:$AB$65000,$B1136,O$5)="",2,0)),0)</f>
        <v>0</v>
      </c>
      <c r="P1136" s="194">
        <f>IFERROR(IF(INDEX([1]Pivot!$AD$1:$BE$65000,$B1136,P$5)=1,1,IF(INDEX([1]Pivot!$B$1:$AB$65000,$B1136,P$5)="",2,0)),0)</f>
        <v>0</v>
      </c>
      <c r="Q1136" s="194">
        <f>IFERROR(IF(INDEX([1]Pivot!$AD$1:$BE$65000,$B1136,Q$5)=1,1,IF(INDEX([1]Pivot!$B$1:$AB$65000,$B1136,Q$5)="",2,0)),0)</f>
        <v>0</v>
      </c>
      <c r="R1136" s="312"/>
      <c r="S1136" s="194">
        <f>IFERROR(IF(INDEX([1]Pivot!$AD$1:$BE$65000,$B1136,S$5)=1,1,IF(INDEX([1]Pivot!$B$1:$AB$65000,$B1136,S$5)="",2,0)),0)</f>
        <v>0</v>
      </c>
      <c r="T1136" s="194">
        <f>IFERROR(IF(INDEX([1]Pivot!$AD$1:$BE$65000,$B1136,T$5)=1,1,IF(INDEX([1]Pivot!$B$1:$AB$65000,$B1136,T$5)="",2,0)),0)</f>
        <v>0</v>
      </c>
      <c r="U1136" s="194">
        <f>IFERROR(IF(INDEX([1]Pivot!$AD$1:$BE$65000,$B1136,U$5)=1,1,IF(INDEX([1]Pivot!$B$1:$AB$65000,$B1136,U$5)="",2,0)),0)</f>
        <v>0</v>
      </c>
      <c r="V1136" s="194">
        <f>IFERROR(IF(INDEX([1]Pivot!$AD$1:$BE$65000,$B1136,V$5)=1,1,IF(INDEX([1]Pivot!$B$1:$AB$65000,$B1136,V$5)="",2,0)),0)</f>
        <v>0</v>
      </c>
      <c r="W1136" s="194">
        <f>IFERROR(IF(INDEX([1]Pivot!$AD$1:$BE$65000,$B1136,W$5)=1,1,IF(INDEX([1]Pivot!$B$1:$AB$65000,$B1136,W$5)="",2,0)),0)</f>
        <v>0</v>
      </c>
      <c r="X1136" s="194">
        <f>IFERROR(IF(INDEX([1]Pivot!$AD$1:$BE$65000,$B1136,X$5)=1,1,IF(INDEX([1]Pivot!$B$1:$AB$65000,$B1136,X$5)="",2,0)),0)</f>
        <v>0</v>
      </c>
      <c r="Y1136" s="194">
        <f>IFERROR(IF(INDEX([1]Pivot!$AD$1:$BE$65000,$B1136,Y$5)=1,1,IF(INDEX([1]Pivot!$B$1:$AB$65000,$B1136,Y$5)="",2,0)),0)</f>
        <v>0</v>
      </c>
      <c r="Z1136" s="194">
        <f>IFERROR(IF(INDEX([1]Pivot!$AD$1:$BE$65000,$B1136,Z$5)=1,1,IF(INDEX([1]Pivot!$B$1:$AB$65000,$B1136,Z$5)="",2,0)),0)</f>
        <v>0</v>
      </c>
      <c r="AA1136" s="194">
        <f>IFERROR(IF(INDEX([1]Pivot!$AD$1:$BE$65000,$B1136,AA$5)=1,1,IF(INDEX([1]Pivot!$B$1:$AB$65000,$B1136,AA$5)="",2,0)),0)</f>
        <v>0</v>
      </c>
      <c r="AB1136" s="194">
        <f>IFERROR(IF(INDEX([1]Pivot!$AD$1:$BE$65000,$B1136,AB$5)=1,1,IF(INDEX([1]Pivot!$B$1:$AB$65000,$B1136,AB$5)="",2,0)),0)</f>
        <v>0</v>
      </c>
      <c r="AC1136" s="194">
        <f>IFERROR(IF(INDEX([1]Pivot!$AD$1:$BE$65000,$B1136,AC$5)=1,1,IF(INDEX([1]Pivot!$B$1:$AB$65000,$B1136,AC$5)="",2,0)),0)</f>
        <v>0</v>
      </c>
      <c r="AD1136" s="313">
        <f>IFERROR(IF(INDEX([1]Pivot!$BF$1:$CG$65000,$B1136,AD$5)=1,1,IF(INDEX([1]Pivot!$B$1:$AB$65000,$B1136,AD$5)="",2,0)),0)</f>
        <v>0</v>
      </c>
      <c r="AE1136" s="313">
        <f>IFERROR(IF(INDEX([1]Pivot!$BF$1:$CG$65000,$B1136,AE$5)=1,1,IF(INDEX([1]Pivot!$B$1:$AB$65000,$B1136,AE$5)="",2,0)),0)</f>
        <v>0</v>
      </c>
      <c r="AF1136" s="313">
        <f>IFERROR(IF(INDEX([1]Pivot!$BF$1:$CG$65000,$B1136,AF$5)=1,1,IF(INDEX([1]Pivot!$B$1:$AB$65000,$B1136,AF$5)="",2,0)),0)</f>
        <v>0</v>
      </c>
      <c r="AG1136" s="313">
        <f>IFERROR(IF(INDEX([1]Pivot!$BF$1:$CG$65000,$B1136,AG$5)=1,1,IF(INDEX([1]Pivot!$B$1:$AB$65000,$B1136,AG$5)="",2,0)),0)</f>
        <v>0</v>
      </c>
      <c r="AH1136" s="313">
        <f>IFERROR(IF(INDEX([1]Pivot!$BF$1:$CG$65000,$B1136,AH$5)=1,1,IF(INDEX([1]Pivot!$B$1:$AB$65000,$B1136,AH$5)="",2,0)),0)</f>
        <v>0</v>
      </c>
      <c r="AI1136" s="313">
        <f>IFERROR(IF(INDEX([1]Pivot!$BF$1:$CG$65000,$B1136,AI$5)=1,1,IF(INDEX([1]Pivot!$B$1:$AB$65000,$B1136,AI$5)="",2,0)),0)</f>
        <v>0</v>
      </c>
      <c r="AJ1136" s="313">
        <f>IFERROR(IF(INDEX([1]Pivot!$BF$1:$CG$65000,$B1136,AJ$5)=1,1,IF(INDEX([1]Pivot!$B$1:$AB$65000,$B1136,AJ$5)="",2,0)),0)</f>
        <v>0</v>
      </c>
      <c r="AK1136" s="313">
        <f>IFERROR(IF(INDEX([1]Pivot!$BF$1:$CG$65000,$B1136,AK$5)=1,1,IF(INDEX([1]Pivot!$B$1:$AB$65000,$B1136,AK$5)="",2,0)),0)</f>
        <v>0</v>
      </c>
      <c r="AL1136" s="313">
        <f>IFERROR(IF(INDEX([1]Pivot!$BF$1:$CG$65000,$B1136,AL$5)=1,1,IF(INDEX([1]Pivot!$B$1:$AB$65000,$B1136,AL$5)="",2,0)),0)</f>
        <v>0</v>
      </c>
      <c r="AM1136" s="313">
        <f>IFERROR(IF(INDEX([1]Pivot!$BF$1:$CG$65000,$B1136,AM$5)=1,1,IF(INDEX([1]Pivot!$B$1:$AB$65000,$B1136,AM$5)="",2,0)),0)</f>
        <v>0</v>
      </c>
      <c r="AN1136" s="313">
        <f>IFERROR(IF(INDEX([1]Pivot!$BF$1:$CG$65000,$B1136,AN$5)=1,1,IF(INDEX([1]Pivot!$B$1:$AB$65000,$B1136,AN$5)="",2,0)),0)</f>
        <v>0</v>
      </c>
      <c r="AO1136" s="313">
        <f>IFERROR(IF(INDEX([1]Pivot!$BF$1:$CG$65000,$B1136,AO$5)=1,1,IF(INDEX([1]Pivot!$B$1:$AB$65000,$B1136,AO$5)="",2,0)),0)</f>
        <v>0</v>
      </c>
      <c r="AP1136" s="313">
        <f>IFERROR(IF(INDEX([1]Pivot!$BF$1:$CG$65000,$B1136,AP$5)=1,1,IF(INDEX([1]Pivot!$B$1:$AB$65000,$B1136,AP$5)="",2,0)),0)</f>
        <v>0</v>
      </c>
      <c r="AQ1136" s="313">
        <f>IFERROR(IF(INDEX([1]Pivot!$BF$1:$CG$65000,$B1136,AQ$5)=1,1,IF(INDEX([1]Pivot!$B$1:$AB$65000,$B1136,AQ$5)="",2,0)),0)</f>
        <v>0</v>
      </c>
      <c r="AR1136" s="313">
        <f>IFERROR(IF(INDEX([1]Pivot!$BF$1:$CG$65000,$B1136,AR$5)=1,1,IF(INDEX([1]Pivot!$B$1:$AB$65000,$B1136,AR$5)="",2,0)),0)</f>
        <v>0</v>
      </c>
      <c r="AS1136" s="312"/>
      <c r="AT1136" s="313">
        <f>IFERROR(IF(INDEX([1]Pivot!$BF$1:$CG$65000,$B1136,AT$5)=1,1,IF(INDEX([1]Pivot!$B$1:$AB$65000,$B1136,AT$5)="",2,0)),0)</f>
        <v>0</v>
      </c>
      <c r="AU1136" s="313">
        <f>IFERROR(IF(INDEX([1]Pivot!$BF$1:$CG$65000,$B1136,AU$5)=1,1,IF(INDEX([1]Pivot!$B$1:$AB$65000,$B1136,AU$5)="",2,0)),0)</f>
        <v>0</v>
      </c>
      <c r="AV1136" s="313">
        <f>IFERROR(IF(INDEX([1]Pivot!$BF$1:$CG$65000,$B1136,AV$5)=1,1,IF(INDEX([1]Pivot!$B$1:$AB$65000,$B1136,AV$5)="",2,0)),0)</f>
        <v>0</v>
      </c>
      <c r="AW1136" s="313">
        <f>IFERROR(IF(INDEX([1]Pivot!$BF$1:$CG$65000,$B1136,AW$5)=1,1,IF(INDEX([1]Pivot!$B$1:$AB$65000,$B1136,AW$5)="",2,0)),0)</f>
        <v>0</v>
      </c>
      <c r="AX1136" s="313">
        <f>IFERROR(IF(INDEX([1]Pivot!$BF$1:$CG$65000,$B1136,AX$5)=1,1,IF(INDEX([1]Pivot!$B$1:$AB$65000,$B1136,AX$5)="",2,0)),0)</f>
        <v>0</v>
      </c>
      <c r="AY1136" s="313">
        <f>IFERROR(IF(INDEX([1]Pivot!$BF$1:$CG$65000,$B1136,AY$5)=1,1,IF(INDEX([1]Pivot!$B$1:$AB$65000,$B1136,AY$5)="",2,0)),0)</f>
        <v>0</v>
      </c>
      <c r="AZ1136" s="313">
        <f>IFERROR(IF(INDEX([1]Pivot!$BF$1:$CG$65000,$B1136,AZ$5)=1,1,IF(INDEX([1]Pivot!$B$1:$AB$65000,$B1136,AZ$5)="",2,0)),0)</f>
        <v>0</v>
      </c>
      <c r="BA1136" s="313">
        <f>IFERROR(IF(INDEX([1]Pivot!$BF$1:$CG$65000,$B1136,BA$5)=1,1,IF(INDEX([1]Pivot!$B$1:$AB$65000,$B1136,BA$5)="",2,0)),0)</f>
        <v>0</v>
      </c>
      <c r="BB1136" s="313">
        <f>IFERROR(IF(INDEX([1]Pivot!$BF$1:$CG$65000,$B1136,BB$5)=1,1,IF(INDEX([1]Pivot!$B$1:$AB$65000,$B1136,BB$5)="",2,0)),0)</f>
        <v>0</v>
      </c>
      <c r="BC1136" s="313">
        <f>IFERROR(IF(INDEX([1]Pivot!$BF$1:$CG$65000,$B1136,BC$5)=1,1,IF(INDEX([1]Pivot!$B$1:$AB$65000,$B1136,BC$5)="",2,0)),0)</f>
        <v>0</v>
      </c>
      <c r="BD1136" s="313">
        <f>IFERROR(IF(INDEX([1]Pivot!$BF$1:$CG$65000,$B1136,BD$5)=1,1,IF(INDEX([1]Pivot!$B$1:$AB$65000,$B1136,BD$5)="",2,0)),0)</f>
        <v>0</v>
      </c>
    </row>
    <row r="1137" spans="1:56" x14ac:dyDescent="0.25">
      <c r="A1137" s="288">
        <f>'[2]Raw Milk Prices'!A1137</f>
        <v>0</v>
      </c>
      <c r="B1137" s="296" t="e">
        <f>MATCH(DATE(LEFT('[2]Raw Milk Prices'!$A1137,4),RIGHT('[2]Raw Milk Prices'!$A1137,2),1),[1]Pivot!$A$1:$A$65000,0)</f>
        <v>#VALUE!</v>
      </c>
      <c r="C1137" s="194">
        <f>IFERROR(IF(INDEX([1]Pivot!$AD$1:$BE$65000,$B1137,C$5)=1,1,IF(INDEX([1]Pivot!$B$1:$AB$65000,$B1137,C$5)="",2,0)),0)</f>
        <v>0</v>
      </c>
      <c r="D1137" s="194">
        <f>IFERROR(IF(INDEX([1]Pivot!$AD$1:$BE$65000,$B1137,D$5)=1,1,IF(INDEX([1]Pivot!$B$1:$AB$65000,$B1137,D$5)="",2,0)),0)</f>
        <v>0</v>
      </c>
      <c r="E1137" s="194">
        <f>IFERROR(IF(INDEX([1]Pivot!$AD$1:$BE$65000,$B1137,E$5)=1,1,IF(INDEX([1]Pivot!$B$1:$AB$65000,$B1137,E$5)="",2,0)),0)</f>
        <v>0</v>
      </c>
      <c r="F1137" s="194">
        <f>IFERROR(IF(INDEX([1]Pivot!$AD$1:$BE$65000,$B1137,F$5)=1,1,IF(INDEX([1]Pivot!$B$1:$AB$65000,$B1137,F$5)="",2,0)),0)</f>
        <v>0</v>
      </c>
      <c r="G1137" s="194">
        <f>IFERROR(IF(INDEX([1]Pivot!$AD$1:$BE$65000,$B1137,G$5)=1,1,IF(INDEX([1]Pivot!$B$1:$AB$65000,$B1137,G$5)="",2,0)),0)</f>
        <v>0</v>
      </c>
      <c r="H1137" s="194">
        <f>IFERROR(IF(INDEX([1]Pivot!$AD$1:$BE$65000,$B1137,H$5)=1,1,IF(INDEX([1]Pivot!$B$1:$AB$65000,$B1137,H$5)="",2,0)),0)</f>
        <v>0</v>
      </c>
      <c r="I1137" s="194">
        <f>IFERROR(IF(INDEX([1]Pivot!$AD$1:$BE$65000,$B1137,I$5)=1,1,IF(INDEX([1]Pivot!$B$1:$AB$65000,$B1137,I$5)="",2,0)),0)</f>
        <v>0</v>
      </c>
      <c r="J1137" s="194">
        <f>IFERROR(IF(INDEX([1]Pivot!$AD$1:$BE$65000,$B1137,J$5)=1,1,IF(INDEX([1]Pivot!$B$1:$AB$65000,$B1137,J$5)="",2,0)),0)</f>
        <v>0</v>
      </c>
      <c r="K1137" s="194">
        <f>IFERROR(IF(INDEX([1]Pivot!$AD$1:$BE$65000,$B1137,K$5)=1,1,IF(INDEX([1]Pivot!$B$1:$AB$65000,$B1137,K$5)="",2,0)),0)</f>
        <v>0</v>
      </c>
      <c r="L1137" s="194">
        <f>IFERROR(IF(INDEX([1]Pivot!$AD$1:$BE$65000,$B1137,L$5)=1,1,IF(INDEX([1]Pivot!$B$1:$AB$65000,$B1137,L$5)="",2,0)),0)</f>
        <v>0</v>
      </c>
      <c r="M1137" s="194">
        <f>IFERROR(IF(INDEX([1]Pivot!$AD$1:$BE$65000,$B1137,M$5)=1,1,IF(INDEX([1]Pivot!$B$1:$AB$65000,$B1137,M$5)="",2,0)),0)</f>
        <v>0</v>
      </c>
      <c r="N1137" s="194">
        <f>IFERROR(IF(INDEX([1]Pivot!$AD$1:$BE$65000,$B1137,N$5)=1,1,IF(INDEX([1]Pivot!$B$1:$AB$65000,$B1137,N$5)="",2,0)),0)</f>
        <v>0</v>
      </c>
      <c r="O1137" s="194">
        <f>IFERROR(IF(INDEX([1]Pivot!$AD$1:$BE$65000,$B1137,O$5)=1,1,IF(INDEX([1]Pivot!$B$1:$AB$65000,$B1137,O$5)="",2,0)),0)</f>
        <v>0</v>
      </c>
      <c r="P1137" s="194">
        <f>IFERROR(IF(INDEX([1]Pivot!$AD$1:$BE$65000,$B1137,P$5)=1,1,IF(INDEX([1]Pivot!$B$1:$AB$65000,$B1137,P$5)="",2,0)),0)</f>
        <v>0</v>
      </c>
      <c r="Q1137" s="194">
        <f>IFERROR(IF(INDEX([1]Pivot!$AD$1:$BE$65000,$B1137,Q$5)=1,1,IF(INDEX([1]Pivot!$B$1:$AB$65000,$B1137,Q$5)="",2,0)),0)</f>
        <v>0</v>
      </c>
      <c r="R1137" s="312"/>
      <c r="S1137" s="194">
        <f>IFERROR(IF(INDEX([1]Pivot!$AD$1:$BE$65000,$B1137,S$5)=1,1,IF(INDEX([1]Pivot!$B$1:$AB$65000,$B1137,S$5)="",2,0)),0)</f>
        <v>0</v>
      </c>
      <c r="T1137" s="194">
        <f>IFERROR(IF(INDEX([1]Pivot!$AD$1:$BE$65000,$B1137,T$5)=1,1,IF(INDEX([1]Pivot!$B$1:$AB$65000,$B1137,T$5)="",2,0)),0)</f>
        <v>0</v>
      </c>
      <c r="U1137" s="194">
        <f>IFERROR(IF(INDEX([1]Pivot!$AD$1:$BE$65000,$B1137,U$5)=1,1,IF(INDEX([1]Pivot!$B$1:$AB$65000,$B1137,U$5)="",2,0)),0)</f>
        <v>0</v>
      </c>
      <c r="V1137" s="194">
        <f>IFERROR(IF(INDEX([1]Pivot!$AD$1:$BE$65000,$B1137,V$5)=1,1,IF(INDEX([1]Pivot!$B$1:$AB$65000,$B1137,V$5)="",2,0)),0)</f>
        <v>0</v>
      </c>
      <c r="W1137" s="194">
        <f>IFERROR(IF(INDEX([1]Pivot!$AD$1:$BE$65000,$B1137,W$5)=1,1,IF(INDEX([1]Pivot!$B$1:$AB$65000,$B1137,W$5)="",2,0)),0)</f>
        <v>0</v>
      </c>
      <c r="X1137" s="194">
        <f>IFERROR(IF(INDEX([1]Pivot!$AD$1:$BE$65000,$B1137,X$5)=1,1,IF(INDEX([1]Pivot!$B$1:$AB$65000,$B1137,X$5)="",2,0)),0)</f>
        <v>0</v>
      </c>
      <c r="Y1137" s="194">
        <f>IFERROR(IF(INDEX([1]Pivot!$AD$1:$BE$65000,$B1137,Y$5)=1,1,IF(INDEX([1]Pivot!$B$1:$AB$65000,$B1137,Y$5)="",2,0)),0)</f>
        <v>0</v>
      </c>
      <c r="Z1137" s="194">
        <f>IFERROR(IF(INDEX([1]Pivot!$AD$1:$BE$65000,$B1137,Z$5)=1,1,IF(INDEX([1]Pivot!$B$1:$AB$65000,$B1137,Z$5)="",2,0)),0)</f>
        <v>0</v>
      </c>
      <c r="AA1137" s="194">
        <f>IFERROR(IF(INDEX([1]Pivot!$AD$1:$BE$65000,$B1137,AA$5)=1,1,IF(INDEX([1]Pivot!$B$1:$AB$65000,$B1137,AA$5)="",2,0)),0)</f>
        <v>0</v>
      </c>
      <c r="AB1137" s="194">
        <f>IFERROR(IF(INDEX([1]Pivot!$AD$1:$BE$65000,$B1137,AB$5)=1,1,IF(INDEX([1]Pivot!$B$1:$AB$65000,$B1137,AB$5)="",2,0)),0)</f>
        <v>0</v>
      </c>
      <c r="AC1137" s="194">
        <f>IFERROR(IF(INDEX([1]Pivot!$AD$1:$BE$65000,$B1137,AC$5)=1,1,IF(INDEX([1]Pivot!$B$1:$AB$65000,$B1137,AC$5)="",2,0)),0)</f>
        <v>0</v>
      </c>
      <c r="AD1137" s="313">
        <f>IFERROR(IF(INDEX([1]Pivot!$BF$1:$CG$65000,$B1137,AD$5)=1,1,IF(INDEX([1]Pivot!$B$1:$AB$65000,$B1137,AD$5)="",2,0)),0)</f>
        <v>0</v>
      </c>
      <c r="AE1137" s="313">
        <f>IFERROR(IF(INDEX([1]Pivot!$BF$1:$CG$65000,$B1137,AE$5)=1,1,IF(INDEX([1]Pivot!$B$1:$AB$65000,$B1137,AE$5)="",2,0)),0)</f>
        <v>0</v>
      </c>
      <c r="AF1137" s="313">
        <f>IFERROR(IF(INDEX([1]Pivot!$BF$1:$CG$65000,$B1137,AF$5)=1,1,IF(INDEX([1]Pivot!$B$1:$AB$65000,$B1137,AF$5)="",2,0)),0)</f>
        <v>0</v>
      </c>
      <c r="AG1137" s="313">
        <f>IFERROR(IF(INDEX([1]Pivot!$BF$1:$CG$65000,$B1137,AG$5)=1,1,IF(INDEX([1]Pivot!$B$1:$AB$65000,$B1137,AG$5)="",2,0)),0)</f>
        <v>0</v>
      </c>
      <c r="AH1137" s="313">
        <f>IFERROR(IF(INDEX([1]Pivot!$BF$1:$CG$65000,$B1137,AH$5)=1,1,IF(INDEX([1]Pivot!$B$1:$AB$65000,$B1137,AH$5)="",2,0)),0)</f>
        <v>0</v>
      </c>
      <c r="AI1137" s="313">
        <f>IFERROR(IF(INDEX([1]Pivot!$BF$1:$CG$65000,$B1137,AI$5)=1,1,IF(INDEX([1]Pivot!$B$1:$AB$65000,$B1137,AI$5)="",2,0)),0)</f>
        <v>0</v>
      </c>
      <c r="AJ1137" s="313">
        <f>IFERROR(IF(INDEX([1]Pivot!$BF$1:$CG$65000,$B1137,AJ$5)=1,1,IF(INDEX([1]Pivot!$B$1:$AB$65000,$B1137,AJ$5)="",2,0)),0)</f>
        <v>0</v>
      </c>
      <c r="AK1137" s="313">
        <f>IFERROR(IF(INDEX([1]Pivot!$BF$1:$CG$65000,$B1137,AK$5)=1,1,IF(INDEX([1]Pivot!$B$1:$AB$65000,$B1137,AK$5)="",2,0)),0)</f>
        <v>0</v>
      </c>
      <c r="AL1137" s="313">
        <f>IFERROR(IF(INDEX([1]Pivot!$BF$1:$CG$65000,$B1137,AL$5)=1,1,IF(INDEX([1]Pivot!$B$1:$AB$65000,$B1137,AL$5)="",2,0)),0)</f>
        <v>0</v>
      </c>
      <c r="AM1137" s="313">
        <f>IFERROR(IF(INDEX([1]Pivot!$BF$1:$CG$65000,$B1137,AM$5)=1,1,IF(INDEX([1]Pivot!$B$1:$AB$65000,$B1137,AM$5)="",2,0)),0)</f>
        <v>0</v>
      </c>
      <c r="AN1137" s="313">
        <f>IFERROR(IF(INDEX([1]Pivot!$BF$1:$CG$65000,$B1137,AN$5)=1,1,IF(INDEX([1]Pivot!$B$1:$AB$65000,$B1137,AN$5)="",2,0)),0)</f>
        <v>0</v>
      </c>
      <c r="AO1137" s="313">
        <f>IFERROR(IF(INDEX([1]Pivot!$BF$1:$CG$65000,$B1137,AO$5)=1,1,IF(INDEX([1]Pivot!$B$1:$AB$65000,$B1137,AO$5)="",2,0)),0)</f>
        <v>0</v>
      </c>
      <c r="AP1137" s="313">
        <f>IFERROR(IF(INDEX([1]Pivot!$BF$1:$CG$65000,$B1137,AP$5)=1,1,IF(INDEX([1]Pivot!$B$1:$AB$65000,$B1137,AP$5)="",2,0)),0)</f>
        <v>0</v>
      </c>
      <c r="AQ1137" s="313">
        <f>IFERROR(IF(INDEX([1]Pivot!$BF$1:$CG$65000,$B1137,AQ$5)=1,1,IF(INDEX([1]Pivot!$B$1:$AB$65000,$B1137,AQ$5)="",2,0)),0)</f>
        <v>0</v>
      </c>
      <c r="AR1137" s="313">
        <f>IFERROR(IF(INDEX([1]Pivot!$BF$1:$CG$65000,$B1137,AR$5)=1,1,IF(INDEX([1]Pivot!$B$1:$AB$65000,$B1137,AR$5)="",2,0)),0)</f>
        <v>0</v>
      </c>
      <c r="AS1137" s="312"/>
      <c r="AT1137" s="313">
        <f>IFERROR(IF(INDEX([1]Pivot!$BF$1:$CG$65000,$B1137,AT$5)=1,1,IF(INDEX([1]Pivot!$B$1:$AB$65000,$B1137,AT$5)="",2,0)),0)</f>
        <v>0</v>
      </c>
      <c r="AU1137" s="313">
        <f>IFERROR(IF(INDEX([1]Pivot!$BF$1:$CG$65000,$B1137,AU$5)=1,1,IF(INDEX([1]Pivot!$B$1:$AB$65000,$B1137,AU$5)="",2,0)),0)</f>
        <v>0</v>
      </c>
      <c r="AV1137" s="313">
        <f>IFERROR(IF(INDEX([1]Pivot!$BF$1:$CG$65000,$B1137,AV$5)=1,1,IF(INDEX([1]Pivot!$B$1:$AB$65000,$B1137,AV$5)="",2,0)),0)</f>
        <v>0</v>
      </c>
      <c r="AW1137" s="313">
        <f>IFERROR(IF(INDEX([1]Pivot!$BF$1:$CG$65000,$B1137,AW$5)=1,1,IF(INDEX([1]Pivot!$B$1:$AB$65000,$B1137,AW$5)="",2,0)),0)</f>
        <v>0</v>
      </c>
      <c r="AX1137" s="313">
        <f>IFERROR(IF(INDEX([1]Pivot!$BF$1:$CG$65000,$B1137,AX$5)=1,1,IF(INDEX([1]Pivot!$B$1:$AB$65000,$B1137,AX$5)="",2,0)),0)</f>
        <v>0</v>
      </c>
      <c r="AY1137" s="313">
        <f>IFERROR(IF(INDEX([1]Pivot!$BF$1:$CG$65000,$B1137,AY$5)=1,1,IF(INDEX([1]Pivot!$B$1:$AB$65000,$B1137,AY$5)="",2,0)),0)</f>
        <v>0</v>
      </c>
      <c r="AZ1137" s="313">
        <f>IFERROR(IF(INDEX([1]Pivot!$BF$1:$CG$65000,$B1137,AZ$5)=1,1,IF(INDEX([1]Pivot!$B$1:$AB$65000,$B1137,AZ$5)="",2,0)),0)</f>
        <v>0</v>
      </c>
      <c r="BA1137" s="313">
        <f>IFERROR(IF(INDEX([1]Pivot!$BF$1:$CG$65000,$B1137,BA$5)=1,1,IF(INDEX([1]Pivot!$B$1:$AB$65000,$B1137,BA$5)="",2,0)),0)</f>
        <v>0</v>
      </c>
      <c r="BB1137" s="313">
        <f>IFERROR(IF(INDEX([1]Pivot!$BF$1:$CG$65000,$B1137,BB$5)=1,1,IF(INDEX([1]Pivot!$B$1:$AB$65000,$B1137,BB$5)="",2,0)),0)</f>
        <v>0</v>
      </c>
      <c r="BC1137" s="313">
        <f>IFERROR(IF(INDEX([1]Pivot!$BF$1:$CG$65000,$B1137,BC$5)=1,1,IF(INDEX([1]Pivot!$B$1:$AB$65000,$B1137,BC$5)="",2,0)),0)</f>
        <v>0</v>
      </c>
      <c r="BD1137" s="313">
        <f>IFERROR(IF(INDEX([1]Pivot!$BF$1:$CG$65000,$B1137,BD$5)=1,1,IF(INDEX([1]Pivot!$B$1:$AB$65000,$B1137,BD$5)="",2,0)),0)</f>
        <v>0</v>
      </c>
    </row>
    <row r="1138" spans="1:56" x14ac:dyDescent="0.25">
      <c r="A1138" s="288">
        <f>'[2]Raw Milk Prices'!A1138</f>
        <v>0</v>
      </c>
      <c r="B1138" s="296" t="e">
        <f>MATCH(DATE(LEFT('[2]Raw Milk Prices'!$A1138,4),RIGHT('[2]Raw Milk Prices'!$A1138,2),1),[1]Pivot!$A$1:$A$65000,0)</f>
        <v>#VALUE!</v>
      </c>
      <c r="C1138" s="194">
        <f>IFERROR(IF(INDEX([1]Pivot!$AD$1:$BE$65000,$B1138,C$5)=1,1,IF(INDEX([1]Pivot!$B$1:$AB$65000,$B1138,C$5)="",2,0)),0)</f>
        <v>0</v>
      </c>
      <c r="D1138" s="194">
        <f>IFERROR(IF(INDEX([1]Pivot!$AD$1:$BE$65000,$B1138,D$5)=1,1,IF(INDEX([1]Pivot!$B$1:$AB$65000,$B1138,D$5)="",2,0)),0)</f>
        <v>0</v>
      </c>
      <c r="E1138" s="194">
        <f>IFERROR(IF(INDEX([1]Pivot!$AD$1:$BE$65000,$B1138,E$5)=1,1,IF(INDEX([1]Pivot!$B$1:$AB$65000,$B1138,E$5)="",2,0)),0)</f>
        <v>0</v>
      </c>
      <c r="F1138" s="194">
        <f>IFERROR(IF(INDEX([1]Pivot!$AD$1:$BE$65000,$B1138,F$5)=1,1,IF(INDEX([1]Pivot!$B$1:$AB$65000,$B1138,F$5)="",2,0)),0)</f>
        <v>0</v>
      </c>
      <c r="G1138" s="194">
        <f>IFERROR(IF(INDEX([1]Pivot!$AD$1:$BE$65000,$B1138,G$5)=1,1,IF(INDEX([1]Pivot!$B$1:$AB$65000,$B1138,G$5)="",2,0)),0)</f>
        <v>0</v>
      </c>
      <c r="H1138" s="194">
        <f>IFERROR(IF(INDEX([1]Pivot!$AD$1:$BE$65000,$B1138,H$5)=1,1,IF(INDEX([1]Pivot!$B$1:$AB$65000,$B1138,H$5)="",2,0)),0)</f>
        <v>0</v>
      </c>
      <c r="I1138" s="194">
        <f>IFERROR(IF(INDEX([1]Pivot!$AD$1:$BE$65000,$B1138,I$5)=1,1,IF(INDEX([1]Pivot!$B$1:$AB$65000,$B1138,I$5)="",2,0)),0)</f>
        <v>0</v>
      </c>
      <c r="J1138" s="194">
        <f>IFERROR(IF(INDEX([1]Pivot!$AD$1:$BE$65000,$B1138,J$5)=1,1,IF(INDEX([1]Pivot!$B$1:$AB$65000,$B1138,J$5)="",2,0)),0)</f>
        <v>0</v>
      </c>
      <c r="K1138" s="194">
        <f>IFERROR(IF(INDEX([1]Pivot!$AD$1:$BE$65000,$B1138,K$5)=1,1,IF(INDEX([1]Pivot!$B$1:$AB$65000,$B1138,K$5)="",2,0)),0)</f>
        <v>0</v>
      </c>
      <c r="L1138" s="194">
        <f>IFERROR(IF(INDEX([1]Pivot!$AD$1:$BE$65000,$B1138,L$5)=1,1,IF(INDEX([1]Pivot!$B$1:$AB$65000,$B1138,L$5)="",2,0)),0)</f>
        <v>0</v>
      </c>
      <c r="M1138" s="194">
        <f>IFERROR(IF(INDEX([1]Pivot!$AD$1:$BE$65000,$B1138,M$5)=1,1,IF(INDEX([1]Pivot!$B$1:$AB$65000,$B1138,M$5)="",2,0)),0)</f>
        <v>0</v>
      </c>
      <c r="N1138" s="194">
        <f>IFERROR(IF(INDEX([1]Pivot!$AD$1:$BE$65000,$B1138,N$5)=1,1,IF(INDEX([1]Pivot!$B$1:$AB$65000,$B1138,N$5)="",2,0)),0)</f>
        <v>0</v>
      </c>
      <c r="O1138" s="194">
        <f>IFERROR(IF(INDEX([1]Pivot!$AD$1:$BE$65000,$B1138,O$5)=1,1,IF(INDEX([1]Pivot!$B$1:$AB$65000,$B1138,O$5)="",2,0)),0)</f>
        <v>0</v>
      </c>
      <c r="P1138" s="194">
        <f>IFERROR(IF(INDEX([1]Pivot!$AD$1:$BE$65000,$B1138,P$5)=1,1,IF(INDEX([1]Pivot!$B$1:$AB$65000,$B1138,P$5)="",2,0)),0)</f>
        <v>0</v>
      </c>
      <c r="Q1138" s="194">
        <f>IFERROR(IF(INDEX([1]Pivot!$AD$1:$BE$65000,$B1138,Q$5)=1,1,IF(INDEX([1]Pivot!$B$1:$AB$65000,$B1138,Q$5)="",2,0)),0)</f>
        <v>0</v>
      </c>
      <c r="R1138" s="312"/>
      <c r="S1138" s="194">
        <f>IFERROR(IF(INDEX([1]Pivot!$AD$1:$BE$65000,$B1138,S$5)=1,1,IF(INDEX([1]Pivot!$B$1:$AB$65000,$B1138,S$5)="",2,0)),0)</f>
        <v>0</v>
      </c>
      <c r="T1138" s="194">
        <f>IFERROR(IF(INDEX([1]Pivot!$AD$1:$BE$65000,$B1138,T$5)=1,1,IF(INDEX([1]Pivot!$B$1:$AB$65000,$B1138,T$5)="",2,0)),0)</f>
        <v>0</v>
      </c>
      <c r="U1138" s="194">
        <f>IFERROR(IF(INDEX([1]Pivot!$AD$1:$BE$65000,$B1138,U$5)=1,1,IF(INDEX([1]Pivot!$B$1:$AB$65000,$B1138,U$5)="",2,0)),0)</f>
        <v>0</v>
      </c>
      <c r="V1138" s="194">
        <f>IFERROR(IF(INDEX([1]Pivot!$AD$1:$BE$65000,$B1138,V$5)=1,1,IF(INDEX([1]Pivot!$B$1:$AB$65000,$B1138,V$5)="",2,0)),0)</f>
        <v>0</v>
      </c>
      <c r="W1138" s="194">
        <f>IFERROR(IF(INDEX([1]Pivot!$AD$1:$BE$65000,$B1138,W$5)=1,1,IF(INDEX([1]Pivot!$B$1:$AB$65000,$B1138,W$5)="",2,0)),0)</f>
        <v>0</v>
      </c>
      <c r="X1138" s="194">
        <f>IFERROR(IF(INDEX([1]Pivot!$AD$1:$BE$65000,$B1138,X$5)=1,1,IF(INDEX([1]Pivot!$B$1:$AB$65000,$B1138,X$5)="",2,0)),0)</f>
        <v>0</v>
      </c>
      <c r="Y1138" s="194">
        <f>IFERROR(IF(INDEX([1]Pivot!$AD$1:$BE$65000,$B1138,Y$5)=1,1,IF(INDEX([1]Pivot!$B$1:$AB$65000,$B1138,Y$5)="",2,0)),0)</f>
        <v>0</v>
      </c>
      <c r="Z1138" s="194">
        <f>IFERROR(IF(INDEX([1]Pivot!$AD$1:$BE$65000,$B1138,Z$5)=1,1,IF(INDEX([1]Pivot!$B$1:$AB$65000,$B1138,Z$5)="",2,0)),0)</f>
        <v>0</v>
      </c>
      <c r="AA1138" s="194">
        <f>IFERROR(IF(INDEX([1]Pivot!$AD$1:$BE$65000,$B1138,AA$5)=1,1,IF(INDEX([1]Pivot!$B$1:$AB$65000,$B1138,AA$5)="",2,0)),0)</f>
        <v>0</v>
      </c>
      <c r="AB1138" s="194">
        <f>IFERROR(IF(INDEX([1]Pivot!$AD$1:$BE$65000,$B1138,AB$5)=1,1,IF(INDEX([1]Pivot!$B$1:$AB$65000,$B1138,AB$5)="",2,0)),0)</f>
        <v>0</v>
      </c>
      <c r="AC1138" s="194">
        <f>IFERROR(IF(INDEX([1]Pivot!$AD$1:$BE$65000,$B1138,AC$5)=1,1,IF(INDEX([1]Pivot!$B$1:$AB$65000,$B1138,AC$5)="",2,0)),0)</f>
        <v>0</v>
      </c>
      <c r="AD1138" s="313">
        <f>IFERROR(IF(INDEX([1]Pivot!$BF$1:$CG$65000,$B1138,AD$5)=1,1,IF(INDEX([1]Pivot!$B$1:$AB$65000,$B1138,AD$5)="",2,0)),0)</f>
        <v>0</v>
      </c>
      <c r="AE1138" s="313">
        <f>IFERROR(IF(INDEX([1]Pivot!$BF$1:$CG$65000,$B1138,AE$5)=1,1,IF(INDEX([1]Pivot!$B$1:$AB$65000,$B1138,AE$5)="",2,0)),0)</f>
        <v>0</v>
      </c>
      <c r="AF1138" s="313">
        <f>IFERROR(IF(INDEX([1]Pivot!$BF$1:$CG$65000,$B1138,AF$5)=1,1,IF(INDEX([1]Pivot!$B$1:$AB$65000,$B1138,AF$5)="",2,0)),0)</f>
        <v>0</v>
      </c>
      <c r="AG1138" s="313">
        <f>IFERROR(IF(INDEX([1]Pivot!$BF$1:$CG$65000,$B1138,AG$5)=1,1,IF(INDEX([1]Pivot!$B$1:$AB$65000,$B1138,AG$5)="",2,0)),0)</f>
        <v>0</v>
      </c>
      <c r="AH1138" s="313">
        <f>IFERROR(IF(INDEX([1]Pivot!$BF$1:$CG$65000,$B1138,AH$5)=1,1,IF(INDEX([1]Pivot!$B$1:$AB$65000,$B1138,AH$5)="",2,0)),0)</f>
        <v>0</v>
      </c>
      <c r="AI1138" s="313">
        <f>IFERROR(IF(INDEX([1]Pivot!$BF$1:$CG$65000,$B1138,AI$5)=1,1,IF(INDEX([1]Pivot!$B$1:$AB$65000,$B1138,AI$5)="",2,0)),0)</f>
        <v>0</v>
      </c>
      <c r="AJ1138" s="313">
        <f>IFERROR(IF(INDEX([1]Pivot!$BF$1:$CG$65000,$B1138,AJ$5)=1,1,IF(INDEX([1]Pivot!$B$1:$AB$65000,$B1138,AJ$5)="",2,0)),0)</f>
        <v>0</v>
      </c>
      <c r="AK1138" s="313">
        <f>IFERROR(IF(INDEX([1]Pivot!$BF$1:$CG$65000,$B1138,AK$5)=1,1,IF(INDEX([1]Pivot!$B$1:$AB$65000,$B1138,AK$5)="",2,0)),0)</f>
        <v>0</v>
      </c>
      <c r="AL1138" s="313">
        <f>IFERROR(IF(INDEX([1]Pivot!$BF$1:$CG$65000,$B1138,AL$5)=1,1,IF(INDEX([1]Pivot!$B$1:$AB$65000,$B1138,AL$5)="",2,0)),0)</f>
        <v>0</v>
      </c>
      <c r="AM1138" s="313">
        <f>IFERROR(IF(INDEX([1]Pivot!$BF$1:$CG$65000,$B1138,AM$5)=1,1,IF(INDEX([1]Pivot!$B$1:$AB$65000,$B1138,AM$5)="",2,0)),0)</f>
        <v>0</v>
      </c>
      <c r="AN1138" s="313">
        <f>IFERROR(IF(INDEX([1]Pivot!$BF$1:$CG$65000,$B1138,AN$5)=1,1,IF(INDEX([1]Pivot!$B$1:$AB$65000,$B1138,AN$5)="",2,0)),0)</f>
        <v>0</v>
      </c>
      <c r="AO1138" s="313">
        <f>IFERROR(IF(INDEX([1]Pivot!$BF$1:$CG$65000,$B1138,AO$5)=1,1,IF(INDEX([1]Pivot!$B$1:$AB$65000,$B1138,AO$5)="",2,0)),0)</f>
        <v>0</v>
      </c>
      <c r="AP1138" s="313">
        <f>IFERROR(IF(INDEX([1]Pivot!$BF$1:$CG$65000,$B1138,AP$5)=1,1,IF(INDEX([1]Pivot!$B$1:$AB$65000,$B1138,AP$5)="",2,0)),0)</f>
        <v>0</v>
      </c>
      <c r="AQ1138" s="313">
        <f>IFERROR(IF(INDEX([1]Pivot!$BF$1:$CG$65000,$B1138,AQ$5)=1,1,IF(INDEX([1]Pivot!$B$1:$AB$65000,$B1138,AQ$5)="",2,0)),0)</f>
        <v>0</v>
      </c>
      <c r="AR1138" s="313">
        <f>IFERROR(IF(INDEX([1]Pivot!$BF$1:$CG$65000,$B1138,AR$5)=1,1,IF(INDEX([1]Pivot!$B$1:$AB$65000,$B1138,AR$5)="",2,0)),0)</f>
        <v>0</v>
      </c>
      <c r="AS1138" s="312"/>
      <c r="AT1138" s="313">
        <f>IFERROR(IF(INDEX([1]Pivot!$BF$1:$CG$65000,$B1138,AT$5)=1,1,IF(INDEX([1]Pivot!$B$1:$AB$65000,$B1138,AT$5)="",2,0)),0)</f>
        <v>0</v>
      </c>
      <c r="AU1138" s="313">
        <f>IFERROR(IF(INDEX([1]Pivot!$BF$1:$CG$65000,$B1138,AU$5)=1,1,IF(INDEX([1]Pivot!$B$1:$AB$65000,$B1138,AU$5)="",2,0)),0)</f>
        <v>0</v>
      </c>
      <c r="AV1138" s="313">
        <f>IFERROR(IF(INDEX([1]Pivot!$BF$1:$CG$65000,$B1138,AV$5)=1,1,IF(INDEX([1]Pivot!$B$1:$AB$65000,$B1138,AV$5)="",2,0)),0)</f>
        <v>0</v>
      </c>
      <c r="AW1138" s="313">
        <f>IFERROR(IF(INDEX([1]Pivot!$BF$1:$CG$65000,$B1138,AW$5)=1,1,IF(INDEX([1]Pivot!$B$1:$AB$65000,$B1138,AW$5)="",2,0)),0)</f>
        <v>0</v>
      </c>
      <c r="AX1138" s="313">
        <f>IFERROR(IF(INDEX([1]Pivot!$BF$1:$CG$65000,$B1138,AX$5)=1,1,IF(INDEX([1]Pivot!$B$1:$AB$65000,$B1138,AX$5)="",2,0)),0)</f>
        <v>0</v>
      </c>
      <c r="AY1138" s="313">
        <f>IFERROR(IF(INDEX([1]Pivot!$BF$1:$CG$65000,$B1138,AY$5)=1,1,IF(INDEX([1]Pivot!$B$1:$AB$65000,$B1138,AY$5)="",2,0)),0)</f>
        <v>0</v>
      </c>
      <c r="AZ1138" s="313">
        <f>IFERROR(IF(INDEX([1]Pivot!$BF$1:$CG$65000,$B1138,AZ$5)=1,1,IF(INDEX([1]Pivot!$B$1:$AB$65000,$B1138,AZ$5)="",2,0)),0)</f>
        <v>0</v>
      </c>
      <c r="BA1138" s="313">
        <f>IFERROR(IF(INDEX([1]Pivot!$BF$1:$CG$65000,$B1138,BA$5)=1,1,IF(INDEX([1]Pivot!$B$1:$AB$65000,$B1138,BA$5)="",2,0)),0)</f>
        <v>0</v>
      </c>
      <c r="BB1138" s="313">
        <f>IFERROR(IF(INDEX([1]Pivot!$BF$1:$CG$65000,$B1138,BB$5)=1,1,IF(INDEX([1]Pivot!$B$1:$AB$65000,$B1138,BB$5)="",2,0)),0)</f>
        <v>0</v>
      </c>
      <c r="BC1138" s="313">
        <f>IFERROR(IF(INDEX([1]Pivot!$BF$1:$CG$65000,$B1138,BC$5)=1,1,IF(INDEX([1]Pivot!$B$1:$AB$65000,$B1138,BC$5)="",2,0)),0)</f>
        <v>0</v>
      </c>
      <c r="BD1138" s="313">
        <f>IFERROR(IF(INDEX([1]Pivot!$BF$1:$CG$65000,$B1138,BD$5)=1,1,IF(INDEX([1]Pivot!$B$1:$AB$65000,$B1138,BD$5)="",2,0)),0)</f>
        <v>0</v>
      </c>
    </row>
    <row r="1139" spans="1:56" x14ac:dyDescent="0.25">
      <c r="A1139" s="288">
        <f>'[2]Raw Milk Prices'!A1139</f>
        <v>0</v>
      </c>
      <c r="B1139" s="296" t="e">
        <f>MATCH(DATE(LEFT('[2]Raw Milk Prices'!$A1139,4),RIGHT('[2]Raw Milk Prices'!$A1139,2),1),[1]Pivot!$A$1:$A$65000,0)</f>
        <v>#VALUE!</v>
      </c>
      <c r="C1139" s="194">
        <f>IFERROR(IF(INDEX([1]Pivot!$AD$1:$BE$65000,$B1139,C$5)=1,1,IF(INDEX([1]Pivot!$B$1:$AB$65000,$B1139,C$5)="",2,0)),0)</f>
        <v>0</v>
      </c>
      <c r="D1139" s="194">
        <f>IFERROR(IF(INDEX([1]Pivot!$AD$1:$BE$65000,$B1139,D$5)=1,1,IF(INDEX([1]Pivot!$B$1:$AB$65000,$B1139,D$5)="",2,0)),0)</f>
        <v>0</v>
      </c>
      <c r="E1139" s="194">
        <f>IFERROR(IF(INDEX([1]Pivot!$AD$1:$BE$65000,$B1139,E$5)=1,1,IF(INDEX([1]Pivot!$B$1:$AB$65000,$B1139,E$5)="",2,0)),0)</f>
        <v>0</v>
      </c>
      <c r="F1139" s="194">
        <f>IFERROR(IF(INDEX([1]Pivot!$AD$1:$BE$65000,$B1139,F$5)=1,1,IF(INDEX([1]Pivot!$B$1:$AB$65000,$B1139,F$5)="",2,0)),0)</f>
        <v>0</v>
      </c>
      <c r="G1139" s="194">
        <f>IFERROR(IF(INDEX([1]Pivot!$AD$1:$BE$65000,$B1139,G$5)=1,1,IF(INDEX([1]Pivot!$B$1:$AB$65000,$B1139,G$5)="",2,0)),0)</f>
        <v>0</v>
      </c>
      <c r="H1139" s="194">
        <f>IFERROR(IF(INDEX([1]Pivot!$AD$1:$BE$65000,$B1139,H$5)=1,1,IF(INDEX([1]Pivot!$B$1:$AB$65000,$B1139,H$5)="",2,0)),0)</f>
        <v>0</v>
      </c>
      <c r="I1139" s="194">
        <f>IFERROR(IF(INDEX([1]Pivot!$AD$1:$BE$65000,$B1139,I$5)=1,1,IF(INDEX([1]Pivot!$B$1:$AB$65000,$B1139,I$5)="",2,0)),0)</f>
        <v>0</v>
      </c>
      <c r="J1139" s="194">
        <f>IFERROR(IF(INDEX([1]Pivot!$AD$1:$BE$65000,$B1139,J$5)=1,1,IF(INDEX([1]Pivot!$B$1:$AB$65000,$B1139,J$5)="",2,0)),0)</f>
        <v>0</v>
      </c>
      <c r="K1139" s="194">
        <f>IFERROR(IF(INDEX([1]Pivot!$AD$1:$BE$65000,$B1139,K$5)=1,1,IF(INDEX([1]Pivot!$B$1:$AB$65000,$B1139,K$5)="",2,0)),0)</f>
        <v>0</v>
      </c>
      <c r="L1139" s="194">
        <f>IFERROR(IF(INDEX([1]Pivot!$AD$1:$BE$65000,$B1139,L$5)=1,1,IF(INDEX([1]Pivot!$B$1:$AB$65000,$B1139,L$5)="",2,0)),0)</f>
        <v>0</v>
      </c>
      <c r="M1139" s="194">
        <f>IFERROR(IF(INDEX([1]Pivot!$AD$1:$BE$65000,$B1139,M$5)=1,1,IF(INDEX([1]Pivot!$B$1:$AB$65000,$B1139,M$5)="",2,0)),0)</f>
        <v>0</v>
      </c>
      <c r="N1139" s="194">
        <f>IFERROR(IF(INDEX([1]Pivot!$AD$1:$BE$65000,$B1139,N$5)=1,1,IF(INDEX([1]Pivot!$B$1:$AB$65000,$B1139,N$5)="",2,0)),0)</f>
        <v>0</v>
      </c>
      <c r="O1139" s="194">
        <f>IFERROR(IF(INDEX([1]Pivot!$AD$1:$BE$65000,$B1139,O$5)=1,1,IF(INDEX([1]Pivot!$B$1:$AB$65000,$B1139,O$5)="",2,0)),0)</f>
        <v>0</v>
      </c>
      <c r="P1139" s="194">
        <f>IFERROR(IF(INDEX([1]Pivot!$AD$1:$BE$65000,$B1139,P$5)=1,1,IF(INDEX([1]Pivot!$B$1:$AB$65000,$B1139,P$5)="",2,0)),0)</f>
        <v>0</v>
      </c>
      <c r="Q1139" s="194">
        <f>IFERROR(IF(INDEX([1]Pivot!$AD$1:$BE$65000,$B1139,Q$5)=1,1,IF(INDEX([1]Pivot!$B$1:$AB$65000,$B1139,Q$5)="",2,0)),0)</f>
        <v>0</v>
      </c>
      <c r="R1139" s="312"/>
      <c r="S1139" s="194">
        <f>IFERROR(IF(INDEX([1]Pivot!$AD$1:$BE$65000,$B1139,S$5)=1,1,IF(INDEX([1]Pivot!$B$1:$AB$65000,$B1139,S$5)="",2,0)),0)</f>
        <v>0</v>
      </c>
      <c r="T1139" s="194">
        <f>IFERROR(IF(INDEX([1]Pivot!$AD$1:$BE$65000,$B1139,T$5)=1,1,IF(INDEX([1]Pivot!$B$1:$AB$65000,$B1139,T$5)="",2,0)),0)</f>
        <v>0</v>
      </c>
      <c r="U1139" s="194">
        <f>IFERROR(IF(INDEX([1]Pivot!$AD$1:$BE$65000,$B1139,U$5)=1,1,IF(INDEX([1]Pivot!$B$1:$AB$65000,$B1139,U$5)="",2,0)),0)</f>
        <v>0</v>
      </c>
      <c r="V1139" s="194">
        <f>IFERROR(IF(INDEX([1]Pivot!$AD$1:$BE$65000,$B1139,V$5)=1,1,IF(INDEX([1]Pivot!$B$1:$AB$65000,$B1139,V$5)="",2,0)),0)</f>
        <v>0</v>
      </c>
      <c r="W1139" s="194">
        <f>IFERROR(IF(INDEX([1]Pivot!$AD$1:$BE$65000,$B1139,W$5)=1,1,IF(INDEX([1]Pivot!$B$1:$AB$65000,$B1139,W$5)="",2,0)),0)</f>
        <v>0</v>
      </c>
      <c r="X1139" s="194">
        <f>IFERROR(IF(INDEX([1]Pivot!$AD$1:$BE$65000,$B1139,X$5)=1,1,IF(INDEX([1]Pivot!$B$1:$AB$65000,$B1139,X$5)="",2,0)),0)</f>
        <v>0</v>
      </c>
      <c r="Y1139" s="194">
        <f>IFERROR(IF(INDEX([1]Pivot!$AD$1:$BE$65000,$B1139,Y$5)=1,1,IF(INDEX([1]Pivot!$B$1:$AB$65000,$B1139,Y$5)="",2,0)),0)</f>
        <v>0</v>
      </c>
      <c r="Z1139" s="194">
        <f>IFERROR(IF(INDEX([1]Pivot!$AD$1:$BE$65000,$B1139,Z$5)=1,1,IF(INDEX([1]Pivot!$B$1:$AB$65000,$B1139,Z$5)="",2,0)),0)</f>
        <v>0</v>
      </c>
      <c r="AA1139" s="194">
        <f>IFERROR(IF(INDEX([1]Pivot!$AD$1:$BE$65000,$B1139,AA$5)=1,1,IF(INDEX([1]Pivot!$B$1:$AB$65000,$B1139,AA$5)="",2,0)),0)</f>
        <v>0</v>
      </c>
      <c r="AB1139" s="194">
        <f>IFERROR(IF(INDEX([1]Pivot!$AD$1:$BE$65000,$B1139,AB$5)=1,1,IF(INDEX([1]Pivot!$B$1:$AB$65000,$B1139,AB$5)="",2,0)),0)</f>
        <v>0</v>
      </c>
      <c r="AC1139" s="194">
        <f>IFERROR(IF(INDEX([1]Pivot!$AD$1:$BE$65000,$B1139,AC$5)=1,1,IF(INDEX([1]Pivot!$B$1:$AB$65000,$B1139,AC$5)="",2,0)),0)</f>
        <v>0</v>
      </c>
      <c r="AD1139" s="313">
        <f>IFERROR(IF(INDEX([1]Pivot!$BF$1:$CG$65000,$B1139,AD$5)=1,1,IF(INDEX([1]Pivot!$B$1:$AB$65000,$B1139,AD$5)="",2,0)),0)</f>
        <v>0</v>
      </c>
      <c r="AE1139" s="313">
        <f>IFERROR(IF(INDEX([1]Pivot!$BF$1:$CG$65000,$B1139,AE$5)=1,1,IF(INDEX([1]Pivot!$B$1:$AB$65000,$B1139,AE$5)="",2,0)),0)</f>
        <v>0</v>
      </c>
      <c r="AF1139" s="313">
        <f>IFERROR(IF(INDEX([1]Pivot!$BF$1:$CG$65000,$B1139,AF$5)=1,1,IF(INDEX([1]Pivot!$B$1:$AB$65000,$B1139,AF$5)="",2,0)),0)</f>
        <v>0</v>
      </c>
      <c r="AG1139" s="313">
        <f>IFERROR(IF(INDEX([1]Pivot!$BF$1:$CG$65000,$B1139,AG$5)=1,1,IF(INDEX([1]Pivot!$B$1:$AB$65000,$B1139,AG$5)="",2,0)),0)</f>
        <v>0</v>
      </c>
      <c r="AH1139" s="313">
        <f>IFERROR(IF(INDEX([1]Pivot!$BF$1:$CG$65000,$B1139,AH$5)=1,1,IF(INDEX([1]Pivot!$B$1:$AB$65000,$B1139,AH$5)="",2,0)),0)</f>
        <v>0</v>
      </c>
      <c r="AI1139" s="313">
        <f>IFERROR(IF(INDEX([1]Pivot!$BF$1:$CG$65000,$B1139,AI$5)=1,1,IF(INDEX([1]Pivot!$B$1:$AB$65000,$B1139,AI$5)="",2,0)),0)</f>
        <v>0</v>
      </c>
      <c r="AJ1139" s="313">
        <f>IFERROR(IF(INDEX([1]Pivot!$BF$1:$CG$65000,$B1139,AJ$5)=1,1,IF(INDEX([1]Pivot!$B$1:$AB$65000,$B1139,AJ$5)="",2,0)),0)</f>
        <v>0</v>
      </c>
      <c r="AK1139" s="313">
        <f>IFERROR(IF(INDEX([1]Pivot!$BF$1:$CG$65000,$B1139,AK$5)=1,1,IF(INDEX([1]Pivot!$B$1:$AB$65000,$B1139,AK$5)="",2,0)),0)</f>
        <v>0</v>
      </c>
      <c r="AL1139" s="313">
        <f>IFERROR(IF(INDEX([1]Pivot!$BF$1:$CG$65000,$B1139,AL$5)=1,1,IF(INDEX([1]Pivot!$B$1:$AB$65000,$B1139,AL$5)="",2,0)),0)</f>
        <v>0</v>
      </c>
      <c r="AM1139" s="313">
        <f>IFERROR(IF(INDEX([1]Pivot!$BF$1:$CG$65000,$B1139,AM$5)=1,1,IF(INDEX([1]Pivot!$B$1:$AB$65000,$B1139,AM$5)="",2,0)),0)</f>
        <v>0</v>
      </c>
      <c r="AN1139" s="313">
        <f>IFERROR(IF(INDEX([1]Pivot!$BF$1:$CG$65000,$B1139,AN$5)=1,1,IF(INDEX([1]Pivot!$B$1:$AB$65000,$B1139,AN$5)="",2,0)),0)</f>
        <v>0</v>
      </c>
      <c r="AO1139" s="313">
        <f>IFERROR(IF(INDEX([1]Pivot!$BF$1:$CG$65000,$B1139,AO$5)=1,1,IF(INDEX([1]Pivot!$B$1:$AB$65000,$B1139,AO$5)="",2,0)),0)</f>
        <v>0</v>
      </c>
      <c r="AP1139" s="313">
        <f>IFERROR(IF(INDEX([1]Pivot!$BF$1:$CG$65000,$B1139,AP$5)=1,1,IF(INDEX([1]Pivot!$B$1:$AB$65000,$B1139,AP$5)="",2,0)),0)</f>
        <v>0</v>
      </c>
      <c r="AQ1139" s="313">
        <f>IFERROR(IF(INDEX([1]Pivot!$BF$1:$CG$65000,$B1139,AQ$5)=1,1,IF(INDEX([1]Pivot!$B$1:$AB$65000,$B1139,AQ$5)="",2,0)),0)</f>
        <v>0</v>
      </c>
      <c r="AR1139" s="313">
        <f>IFERROR(IF(INDEX([1]Pivot!$BF$1:$CG$65000,$B1139,AR$5)=1,1,IF(INDEX([1]Pivot!$B$1:$AB$65000,$B1139,AR$5)="",2,0)),0)</f>
        <v>0</v>
      </c>
      <c r="AS1139" s="312"/>
      <c r="AT1139" s="313">
        <f>IFERROR(IF(INDEX([1]Pivot!$BF$1:$CG$65000,$B1139,AT$5)=1,1,IF(INDEX([1]Pivot!$B$1:$AB$65000,$B1139,AT$5)="",2,0)),0)</f>
        <v>0</v>
      </c>
      <c r="AU1139" s="313">
        <f>IFERROR(IF(INDEX([1]Pivot!$BF$1:$CG$65000,$B1139,AU$5)=1,1,IF(INDEX([1]Pivot!$B$1:$AB$65000,$B1139,AU$5)="",2,0)),0)</f>
        <v>0</v>
      </c>
      <c r="AV1139" s="313">
        <f>IFERROR(IF(INDEX([1]Pivot!$BF$1:$CG$65000,$B1139,AV$5)=1,1,IF(INDEX([1]Pivot!$B$1:$AB$65000,$B1139,AV$5)="",2,0)),0)</f>
        <v>0</v>
      </c>
      <c r="AW1139" s="313">
        <f>IFERROR(IF(INDEX([1]Pivot!$BF$1:$CG$65000,$B1139,AW$5)=1,1,IF(INDEX([1]Pivot!$B$1:$AB$65000,$B1139,AW$5)="",2,0)),0)</f>
        <v>0</v>
      </c>
      <c r="AX1139" s="313">
        <f>IFERROR(IF(INDEX([1]Pivot!$BF$1:$CG$65000,$B1139,AX$5)=1,1,IF(INDEX([1]Pivot!$B$1:$AB$65000,$B1139,AX$5)="",2,0)),0)</f>
        <v>0</v>
      </c>
      <c r="AY1139" s="313">
        <f>IFERROR(IF(INDEX([1]Pivot!$BF$1:$CG$65000,$B1139,AY$5)=1,1,IF(INDEX([1]Pivot!$B$1:$AB$65000,$B1139,AY$5)="",2,0)),0)</f>
        <v>0</v>
      </c>
      <c r="AZ1139" s="313">
        <f>IFERROR(IF(INDEX([1]Pivot!$BF$1:$CG$65000,$B1139,AZ$5)=1,1,IF(INDEX([1]Pivot!$B$1:$AB$65000,$B1139,AZ$5)="",2,0)),0)</f>
        <v>0</v>
      </c>
      <c r="BA1139" s="313">
        <f>IFERROR(IF(INDEX([1]Pivot!$BF$1:$CG$65000,$B1139,BA$5)=1,1,IF(INDEX([1]Pivot!$B$1:$AB$65000,$B1139,BA$5)="",2,0)),0)</f>
        <v>0</v>
      </c>
      <c r="BB1139" s="313">
        <f>IFERROR(IF(INDEX([1]Pivot!$BF$1:$CG$65000,$B1139,BB$5)=1,1,IF(INDEX([1]Pivot!$B$1:$AB$65000,$B1139,BB$5)="",2,0)),0)</f>
        <v>0</v>
      </c>
      <c r="BC1139" s="313">
        <f>IFERROR(IF(INDEX([1]Pivot!$BF$1:$CG$65000,$B1139,BC$5)=1,1,IF(INDEX([1]Pivot!$B$1:$AB$65000,$B1139,BC$5)="",2,0)),0)</f>
        <v>0</v>
      </c>
      <c r="BD1139" s="313">
        <f>IFERROR(IF(INDEX([1]Pivot!$BF$1:$CG$65000,$B1139,BD$5)=1,1,IF(INDEX([1]Pivot!$B$1:$AB$65000,$B1139,BD$5)="",2,0)),0)</f>
        <v>0</v>
      </c>
    </row>
    <row r="1140" spans="1:56" x14ac:dyDescent="0.25">
      <c r="A1140" s="288">
        <f>'[2]Raw Milk Prices'!A1140</f>
        <v>0</v>
      </c>
      <c r="B1140" s="296" t="e">
        <f>MATCH(DATE(LEFT('[2]Raw Milk Prices'!$A1140,4),RIGHT('[2]Raw Milk Prices'!$A1140,2),1),[1]Pivot!$A$1:$A$65000,0)</f>
        <v>#VALUE!</v>
      </c>
      <c r="C1140" s="194">
        <f>IFERROR(IF(INDEX([1]Pivot!$AD$1:$BE$65000,$B1140,C$5)=1,1,IF(INDEX([1]Pivot!$B$1:$AB$65000,$B1140,C$5)="",2,0)),0)</f>
        <v>0</v>
      </c>
      <c r="D1140" s="194">
        <f>IFERROR(IF(INDEX([1]Pivot!$AD$1:$BE$65000,$B1140,D$5)=1,1,IF(INDEX([1]Pivot!$B$1:$AB$65000,$B1140,D$5)="",2,0)),0)</f>
        <v>0</v>
      </c>
      <c r="E1140" s="194">
        <f>IFERROR(IF(INDEX([1]Pivot!$AD$1:$BE$65000,$B1140,E$5)=1,1,IF(INDEX([1]Pivot!$B$1:$AB$65000,$B1140,E$5)="",2,0)),0)</f>
        <v>0</v>
      </c>
      <c r="F1140" s="194">
        <f>IFERROR(IF(INDEX([1]Pivot!$AD$1:$BE$65000,$B1140,F$5)=1,1,IF(INDEX([1]Pivot!$B$1:$AB$65000,$B1140,F$5)="",2,0)),0)</f>
        <v>0</v>
      </c>
      <c r="G1140" s="194">
        <f>IFERROR(IF(INDEX([1]Pivot!$AD$1:$BE$65000,$B1140,G$5)=1,1,IF(INDEX([1]Pivot!$B$1:$AB$65000,$B1140,G$5)="",2,0)),0)</f>
        <v>0</v>
      </c>
      <c r="H1140" s="194">
        <f>IFERROR(IF(INDEX([1]Pivot!$AD$1:$BE$65000,$B1140,H$5)=1,1,IF(INDEX([1]Pivot!$B$1:$AB$65000,$B1140,H$5)="",2,0)),0)</f>
        <v>0</v>
      </c>
      <c r="I1140" s="194">
        <f>IFERROR(IF(INDEX([1]Pivot!$AD$1:$BE$65000,$B1140,I$5)=1,1,IF(INDEX([1]Pivot!$B$1:$AB$65000,$B1140,I$5)="",2,0)),0)</f>
        <v>0</v>
      </c>
      <c r="J1140" s="194">
        <f>IFERROR(IF(INDEX([1]Pivot!$AD$1:$BE$65000,$B1140,J$5)=1,1,IF(INDEX([1]Pivot!$B$1:$AB$65000,$B1140,J$5)="",2,0)),0)</f>
        <v>0</v>
      </c>
      <c r="K1140" s="194">
        <f>IFERROR(IF(INDEX([1]Pivot!$AD$1:$BE$65000,$B1140,K$5)=1,1,IF(INDEX([1]Pivot!$B$1:$AB$65000,$B1140,K$5)="",2,0)),0)</f>
        <v>0</v>
      </c>
      <c r="L1140" s="194">
        <f>IFERROR(IF(INDEX([1]Pivot!$AD$1:$BE$65000,$B1140,L$5)=1,1,IF(INDEX([1]Pivot!$B$1:$AB$65000,$B1140,L$5)="",2,0)),0)</f>
        <v>0</v>
      </c>
      <c r="M1140" s="194">
        <f>IFERROR(IF(INDEX([1]Pivot!$AD$1:$BE$65000,$B1140,M$5)=1,1,IF(INDEX([1]Pivot!$B$1:$AB$65000,$B1140,M$5)="",2,0)),0)</f>
        <v>0</v>
      </c>
      <c r="N1140" s="194">
        <f>IFERROR(IF(INDEX([1]Pivot!$AD$1:$BE$65000,$B1140,N$5)=1,1,IF(INDEX([1]Pivot!$B$1:$AB$65000,$B1140,N$5)="",2,0)),0)</f>
        <v>0</v>
      </c>
      <c r="O1140" s="194">
        <f>IFERROR(IF(INDEX([1]Pivot!$AD$1:$BE$65000,$B1140,O$5)=1,1,IF(INDEX([1]Pivot!$B$1:$AB$65000,$B1140,O$5)="",2,0)),0)</f>
        <v>0</v>
      </c>
      <c r="P1140" s="194">
        <f>IFERROR(IF(INDEX([1]Pivot!$AD$1:$BE$65000,$B1140,P$5)=1,1,IF(INDEX([1]Pivot!$B$1:$AB$65000,$B1140,P$5)="",2,0)),0)</f>
        <v>0</v>
      </c>
      <c r="Q1140" s="194">
        <f>IFERROR(IF(INDEX([1]Pivot!$AD$1:$BE$65000,$B1140,Q$5)=1,1,IF(INDEX([1]Pivot!$B$1:$AB$65000,$B1140,Q$5)="",2,0)),0)</f>
        <v>0</v>
      </c>
      <c r="R1140" s="312"/>
      <c r="S1140" s="194">
        <f>IFERROR(IF(INDEX([1]Pivot!$AD$1:$BE$65000,$B1140,S$5)=1,1,IF(INDEX([1]Pivot!$B$1:$AB$65000,$B1140,S$5)="",2,0)),0)</f>
        <v>0</v>
      </c>
      <c r="T1140" s="194">
        <f>IFERROR(IF(INDEX([1]Pivot!$AD$1:$BE$65000,$B1140,T$5)=1,1,IF(INDEX([1]Pivot!$B$1:$AB$65000,$B1140,T$5)="",2,0)),0)</f>
        <v>0</v>
      </c>
      <c r="U1140" s="194">
        <f>IFERROR(IF(INDEX([1]Pivot!$AD$1:$BE$65000,$B1140,U$5)=1,1,IF(INDEX([1]Pivot!$B$1:$AB$65000,$B1140,U$5)="",2,0)),0)</f>
        <v>0</v>
      </c>
      <c r="V1140" s="194">
        <f>IFERROR(IF(INDEX([1]Pivot!$AD$1:$BE$65000,$B1140,V$5)=1,1,IF(INDEX([1]Pivot!$B$1:$AB$65000,$B1140,V$5)="",2,0)),0)</f>
        <v>0</v>
      </c>
      <c r="W1140" s="194">
        <f>IFERROR(IF(INDEX([1]Pivot!$AD$1:$BE$65000,$B1140,W$5)=1,1,IF(INDEX([1]Pivot!$B$1:$AB$65000,$B1140,W$5)="",2,0)),0)</f>
        <v>0</v>
      </c>
      <c r="X1140" s="194">
        <f>IFERROR(IF(INDEX([1]Pivot!$AD$1:$BE$65000,$B1140,X$5)=1,1,IF(INDEX([1]Pivot!$B$1:$AB$65000,$B1140,X$5)="",2,0)),0)</f>
        <v>0</v>
      </c>
      <c r="Y1140" s="194">
        <f>IFERROR(IF(INDEX([1]Pivot!$AD$1:$BE$65000,$B1140,Y$5)=1,1,IF(INDEX([1]Pivot!$B$1:$AB$65000,$B1140,Y$5)="",2,0)),0)</f>
        <v>0</v>
      </c>
      <c r="Z1140" s="194">
        <f>IFERROR(IF(INDEX([1]Pivot!$AD$1:$BE$65000,$B1140,Z$5)=1,1,IF(INDEX([1]Pivot!$B$1:$AB$65000,$B1140,Z$5)="",2,0)),0)</f>
        <v>0</v>
      </c>
      <c r="AA1140" s="194">
        <f>IFERROR(IF(INDEX([1]Pivot!$AD$1:$BE$65000,$B1140,AA$5)=1,1,IF(INDEX([1]Pivot!$B$1:$AB$65000,$B1140,AA$5)="",2,0)),0)</f>
        <v>0</v>
      </c>
      <c r="AB1140" s="194">
        <f>IFERROR(IF(INDEX([1]Pivot!$AD$1:$BE$65000,$B1140,AB$5)=1,1,IF(INDEX([1]Pivot!$B$1:$AB$65000,$B1140,AB$5)="",2,0)),0)</f>
        <v>0</v>
      </c>
      <c r="AC1140" s="194">
        <f>IFERROR(IF(INDEX([1]Pivot!$AD$1:$BE$65000,$B1140,AC$5)=1,1,IF(INDEX([1]Pivot!$B$1:$AB$65000,$B1140,AC$5)="",2,0)),0)</f>
        <v>0</v>
      </c>
      <c r="AD1140" s="313">
        <f>IFERROR(IF(INDEX([1]Pivot!$BF$1:$CG$65000,$B1140,AD$5)=1,1,IF(INDEX([1]Pivot!$B$1:$AB$65000,$B1140,AD$5)="",2,0)),0)</f>
        <v>0</v>
      </c>
      <c r="AE1140" s="313">
        <f>IFERROR(IF(INDEX([1]Pivot!$BF$1:$CG$65000,$B1140,AE$5)=1,1,IF(INDEX([1]Pivot!$B$1:$AB$65000,$B1140,AE$5)="",2,0)),0)</f>
        <v>0</v>
      </c>
      <c r="AF1140" s="313">
        <f>IFERROR(IF(INDEX([1]Pivot!$BF$1:$CG$65000,$B1140,AF$5)=1,1,IF(INDEX([1]Pivot!$B$1:$AB$65000,$B1140,AF$5)="",2,0)),0)</f>
        <v>0</v>
      </c>
      <c r="AG1140" s="313">
        <f>IFERROR(IF(INDEX([1]Pivot!$BF$1:$CG$65000,$B1140,AG$5)=1,1,IF(INDEX([1]Pivot!$B$1:$AB$65000,$B1140,AG$5)="",2,0)),0)</f>
        <v>0</v>
      </c>
      <c r="AH1140" s="313">
        <f>IFERROR(IF(INDEX([1]Pivot!$BF$1:$CG$65000,$B1140,AH$5)=1,1,IF(INDEX([1]Pivot!$B$1:$AB$65000,$B1140,AH$5)="",2,0)),0)</f>
        <v>0</v>
      </c>
      <c r="AI1140" s="313">
        <f>IFERROR(IF(INDEX([1]Pivot!$BF$1:$CG$65000,$B1140,AI$5)=1,1,IF(INDEX([1]Pivot!$B$1:$AB$65000,$B1140,AI$5)="",2,0)),0)</f>
        <v>0</v>
      </c>
      <c r="AJ1140" s="313">
        <f>IFERROR(IF(INDEX([1]Pivot!$BF$1:$CG$65000,$B1140,AJ$5)=1,1,IF(INDEX([1]Pivot!$B$1:$AB$65000,$B1140,AJ$5)="",2,0)),0)</f>
        <v>0</v>
      </c>
      <c r="AK1140" s="313">
        <f>IFERROR(IF(INDEX([1]Pivot!$BF$1:$CG$65000,$B1140,AK$5)=1,1,IF(INDEX([1]Pivot!$B$1:$AB$65000,$B1140,AK$5)="",2,0)),0)</f>
        <v>0</v>
      </c>
      <c r="AL1140" s="313">
        <f>IFERROR(IF(INDEX([1]Pivot!$BF$1:$CG$65000,$B1140,AL$5)=1,1,IF(INDEX([1]Pivot!$B$1:$AB$65000,$B1140,AL$5)="",2,0)),0)</f>
        <v>0</v>
      </c>
      <c r="AM1140" s="313">
        <f>IFERROR(IF(INDEX([1]Pivot!$BF$1:$CG$65000,$B1140,AM$5)=1,1,IF(INDEX([1]Pivot!$B$1:$AB$65000,$B1140,AM$5)="",2,0)),0)</f>
        <v>0</v>
      </c>
      <c r="AN1140" s="313">
        <f>IFERROR(IF(INDEX([1]Pivot!$BF$1:$CG$65000,$B1140,AN$5)=1,1,IF(INDEX([1]Pivot!$B$1:$AB$65000,$B1140,AN$5)="",2,0)),0)</f>
        <v>0</v>
      </c>
      <c r="AO1140" s="313">
        <f>IFERROR(IF(INDEX([1]Pivot!$BF$1:$CG$65000,$B1140,AO$5)=1,1,IF(INDEX([1]Pivot!$B$1:$AB$65000,$B1140,AO$5)="",2,0)),0)</f>
        <v>0</v>
      </c>
      <c r="AP1140" s="313">
        <f>IFERROR(IF(INDEX([1]Pivot!$BF$1:$CG$65000,$B1140,AP$5)=1,1,IF(INDEX([1]Pivot!$B$1:$AB$65000,$B1140,AP$5)="",2,0)),0)</f>
        <v>0</v>
      </c>
      <c r="AQ1140" s="313">
        <f>IFERROR(IF(INDEX([1]Pivot!$BF$1:$CG$65000,$B1140,AQ$5)=1,1,IF(INDEX([1]Pivot!$B$1:$AB$65000,$B1140,AQ$5)="",2,0)),0)</f>
        <v>0</v>
      </c>
      <c r="AR1140" s="313">
        <f>IFERROR(IF(INDEX([1]Pivot!$BF$1:$CG$65000,$B1140,AR$5)=1,1,IF(INDEX([1]Pivot!$B$1:$AB$65000,$B1140,AR$5)="",2,0)),0)</f>
        <v>0</v>
      </c>
      <c r="AS1140" s="312"/>
      <c r="AT1140" s="313">
        <f>IFERROR(IF(INDEX([1]Pivot!$BF$1:$CG$65000,$B1140,AT$5)=1,1,IF(INDEX([1]Pivot!$B$1:$AB$65000,$B1140,AT$5)="",2,0)),0)</f>
        <v>0</v>
      </c>
      <c r="AU1140" s="313">
        <f>IFERROR(IF(INDEX([1]Pivot!$BF$1:$CG$65000,$B1140,AU$5)=1,1,IF(INDEX([1]Pivot!$B$1:$AB$65000,$B1140,AU$5)="",2,0)),0)</f>
        <v>0</v>
      </c>
      <c r="AV1140" s="313">
        <f>IFERROR(IF(INDEX([1]Pivot!$BF$1:$CG$65000,$B1140,AV$5)=1,1,IF(INDEX([1]Pivot!$B$1:$AB$65000,$B1140,AV$5)="",2,0)),0)</f>
        <v>0</v>
      </c>
      <c r="AW1140" s="313">
        <f>IFERROR(IF(INDEX([1]Pivot!$BF$1:$CG$65000,$B1140,AW$5)=1,1,IF(INDEX([1]Pivot!$B$1:$AB$65000,$B1140,AW$5)="",2,0)),0)</f>
        <v>0</v>
      </c>
      <c r="AX1140" s="313">
        <f>IFERROR(IF(INDEX([1]Pivot!$BF$1:$CG$65000,$B1140,AX$5)=1,1,IF(INDEX([1]Pivot!$B$1:$AB$65000,$B1140,AX$5)="",2,0)),0)</f>
        <v>0</v>
      </c>
      <c r="AY1140" s="313">
        <f>IFERROR(IF(INDEX([1]Pivot!$BF$1:$CG$65000,$B1140,AY$5)=1,1,IF(INDEX([1]Pivot!$B$1:$AB$65000,$B1140,AY$5)="",2,0)),0)</f>
        <v>0</v>
      </c>
      <c r="AZ1140" s="313">
        <f>IFERROR(IF(INDEX([1]Pivot!$BF$1:$CG$65000,$B1140,AZ$5)=1,1,IF(INDEX([1]Pivot!$B$1:$AB$65000,$B1140,AZ$5)="",2,0)),0)</f>
        <v>0</v>
      </c>
      <c r="BA1140" s="313">
        <f>IFERROR(IF(INDEX([1]Pivot!$BF$1:$CG$65000,$B1140,BA$5)=1,1,IF(INDEX([1]Pivot!$B$1:$AB$65000,$B1140,BA$5)="",2,0)),0)</f>
        <v>0</v>
      </c>
      <c r="BB1140" s="313">
        <f>IFERROR(IF(INDEX([1]Pivot!$BF$1:$CG$65000,$B1140,BB$5)=1,1,IF(INDEX([1]Pivot!$B$1:$AB$65000,$B1140,BB$5)="",2,0)),0)</f>
        <v>0</v>
      </c>
      <c r="BC1140" s="313">
        <f>IFERROR(IF(INDEX([1]Pivot!$BF$1:$CG$65000,$B1140,BC$5)=1,1,IF(INDEX([1]Pivot!$B$1:$AB$65000,$B1140,BC$5)="",2,0)),0)</f>
        <v>0</v>
      </c>
      <c r="BD1140" s="313">
        <f>IFERROR(IF(INDEX([1]Pivot!$BF$1:$CG$65000,$B1140,BD$5)=1,1,IF(INDEX([1]Pivot!$B$1:$AB$65000,$B1140,BD$5)="",2,0)),0)</f>
        <v>0</v>
      </c>
    </row>
    <row r="1141" spans="1:56" x14ac:dyDescent="0.25">
      <c r="A1141" s="288">
        <f>'[2]Raw Milk Prices'!A1141</f>
        <v>0</v>
      </c>
      <c r="B1141" s="296" t="e">
        <f>MATCH(DATE(LEFT('[2]Raw Milk Prices'!$A1141,4),RIGHT('[2]Raw Milk Prices'!$A1141,2),1),[1]Pivot!$A$1:$A$65000,0)</f>
        <v>#VALUE!</v>
      </c>
      <c r="C1141" s="194">
        <f>IFERROR(IF(INDEX([1]Pivot!$AD$1:$BE$65000,$B1141,C$5)=1,1,IF(INDEX([1]Pivot!$B$1:$AB$65000,$B1141,C$5)="",2,0)),0)</f>
        <v>0</v>
      </c>
      <c r="D1141" s="194">
        <f>IFERROR(IF(INDEX([1]Pivot!$AD$1:$BE$65000,$B1141,D$5)=1,1,IF(INDEX([1]Pivot!$B$1:$AB$65000,$B1141,D$5)="",2,0)),0)</f>
        <v>0</v>
      </c>
      <c r="E1141" s="194">
        <f>IFERROR(IF(INDEX([1]Pivot!$AD$1:$BE$65000,$B1141,E$5)=1,1,IF(INDEX([1]Pivot!$B$1:$AB$65000,$B1141,E$5)="",2,0)),0)</f>
        <v>0</v>
      </c>
      <c r="F1141" s="194">
        <f>IFERROR(IF(INDEX([1]Pivot!$AD$1:$BE$65000,$B1141,F$5)=1,1,IF(INDEX([1]Pivot!$B$1:$AB$65000,$B1141,F$5)="",2,0)),0)</f>
        <v>0</v>
      </c>
      <c r="G1141" s="194">
        <f>IFERROR(IF(INDEX([1]Pivot!$AD$1:$BE$65000,$B1141,G$5)=1,1,IF(INDEX([1]Pivot!$B$1:$AB$65000,$B1141,G$5)="",2,0)),0)</f>
        <v>0</v>
      </c>
      <c r="H1141" s="194">
        <f>IFERROR(IF(INDEX([1]Pivot!$AD$1:$BE$65000,$B1141,H$5)=1,1,IF(INDEX([1]Pivot!$B$1:$AB$65000,$B1141,H$5)="",2,0)),0)</f>
        <v>0</v>
      </c>
      <c r="I1141" s="194">
        <f>IFERROR(IF(INDEX([1]Pivot!$AD$1:$BE$65000,$B1141,I$5)=1,1,IF(INDEX([1]Pivot!$B$1:$AB$65000,$B1141,I$5)="",2,0)),0)</f>
        <v>0</v>
      </c>
      <c r="J1141" s="194">
        <f>IFERROR(IF(INDEX([1]Pivot!$AD$1:$BE$65000,$B1141,J$5)=1,1,IF(INDEX([1]Pivot!$B$1:$AB$65000,$B1141,J$5)="",2,0)),0)</f>
        <v>0</v>
      </c>
      <c r="K1141" s="194">
        <f>IFERROR(IF(INDEX([1]Pivot!$AD$1:$BE$65000,$B1141,K$5)=1,1,IF(INDEX([1]Pivot!$B$1:$AB$65000,$B1141,K$5)="",2,0)),0)</f>
        <v>0</v>
      </c>
      <c r="L1141" s="194">
        <f>IFERROR(IF(INDEX([1]Pivot!$AD$1:$BE$65000,$B1141,L$5)=1,1,IF(INDEX([1]Pivot!$B$1:$AB$65000,$B1141,L$5)="",2,0)),0)</f>
        <v>0</v>
      </c>
      <c r="M1141" s="194">
        <f>IFERROR(IF(INDEX([1]Pivot!$AD$1:$BE$65000,$B1141,M$5)=1,1,IF(INDEX([1]Pivot!$B$1:$AB$65000,$B1141,M$5)="",2,0)),0)</f>
        <v>0</v>
      </c>
      <c r="N1141" s="194">
        <f>IFERROR(IF(INDEX([1]Pivot!$AD$1:$BE$65000,$B1141,N$5)=1,1,IF(INDEX([1]Pivot!$B$1:$AB$65000,$B1141,N$5)="",2,0)),0)</f>
        <v>0</v>
      </c>
      <c r="O1141" s="194">
        <f>IFERROR(IF(INDEX([1]Pivot!$AD$1:$BE$65000,$B1141,O$5)=1,1,IF(INDEX([1]Pivot!$B$1:$AB$65000,$B1141,O$5)="",2,0)),0)</f>
        <v>0</v>
      </c>
      <c r="P1141" s="194">
        <f>IFERROR(IF(INDEX([1]Pivot!$AD$1:$BE$65000,$B1141,P$5)=1,1,IF(INDEX([1]Pivot!$B$1:$AB$65000,$B1141,P$5)="",2,0)),0)</f>
        <v>0</v>
      </c>
      <c r="Q1141" s="194">
        <f>IFERROR(IF(INDEX([1]Pivot!$AD$1:$BE$65000,$B1141,Q$5)=1,1,IF(INDEX([1]Pivot!$B$1:$AB$65000,$B1141,Q$5)="",2,0)),0)</f>
        <v>0</v>
      </c>
      <c r="R1141" s="312"/>
      <c r="S1141" s="194">
        <f>IFERROR(IF(INDEX([1]Pivot!$AD$1:$BE$65000,$B1141,S$5)=1,1,IF(INDEX([1]Pivot!$B$1:$AB$65000,$B1141,S$5)="",2,0)),0)</f>
        <v>0</v>
      </c>
      <c r="T1141" s="194">
        <f>IFERROR(IF(INDEX([1]Pivot!$AD$1:$BE$65000,$B1141,T$5)=1,1,IF(INDEX([1]Pivot!$B$1:$AB$65000,$B1141,T$5)="",2,0)),0)</f>
        <v>0</v>
      </c>
      <c r="U1141" s="194">
        <f>IFERROR(IF(INDEX([1]Pivot!$AD$1:$BE$65000,$B1141,U$5)=1,1,IF(INDEX([1]Pivot!$B$1:$AB$65000,$B1141,U$5)="",2,0)),0)</f>
        <v>0</v>
      </c>
      <c r="V1141" s="194">
        <f>IFERROR(IF(INDEX([1]Pivot!$AD$1:$BE$65000,$B1141,V$5)=1,1,IF(INDEX([1]Pivot!$B$1:$AB$65000,$B1141,V$5)="",2,0)),0)</f>
        <v>0</v>
      </c>
      <c r="W1141" s="194">
        <f>IFERROR(IF(INDEX([1]Pivot!$AD$1:$BE$65000,$B1141,W$5)=1,1,IF(INDEX([1]Pivot!$B$1:$AB$65000,$B1141,W$5)="",2,0)),0)</f>
        <v>0</v>
      </c>
      <c r="X1141" s="194">
        <f>IFERROR(IF(INDEX([1]Pivot!$AD$1:$BE$65000,$B1141,X$5)=1,1,IF(INDEX([1]Pivot!$B$1:$AB$65000,$B1141,X$5)="",2,0)),0)</f>
        <v>0</v>
      </c>
      <c r="Y1141" s="194">
        <f>IFERROR(IF(INDEX([1]Pivot!$AD$1:$BE$65000,$B1141,Y$5)=1,1,IF(INDEX([1]Pivot!$B$1:$AB$65000,$B1141,Y$5)="",2,0)),0)</f>
        <v>0</v>
      </c>
      <c r="Z1141" s="194">
        <f>IFERROR(IF(INDEX([1]Pivot!$AD$1:$BE$65000,$B1141,Z$5)=1,1,IF(INDEX([1]Pivot!$B$1:$AB$65000,$B1141,Z$5)="",2,0)),0)</f>
        <v>0</v>
      </c>
      <c r="AA1141" s="194">
        <f>IFERROR(IF(INDEX([1]Pivot!$AD$1:$BE$65000,$B1141,AA$5)=1,1,IF(INDEX([1]Pivot!$B$1:$AB$65000,$B1141,AA$5)="",2,0)),0)</f>
        <v>0</v>
      </c>
      <c r="AB1141" s="194">
        <f>IFERROR(IF(INDEX([1]Pivot!$AD$1:$BE$65000,$B1141,AB$5)=1,1,IF(INDEX([1]Pivot!$B$1:$AB$65000,$B1141,AB$5)="",2,0)),0)</f>
        <v>0</v>
      </c>
      <c r="AC1141" s="194">
        <f>IFERROR(IF(INDEX([1]Pivot!$AD$1:$BE$65000,$B1141,AC$5)=1,1,IF(INDEX([1]Pivot!$B$1:$AB$65000,$B1141,AC$5)="",2,0)),0)</f>
        <v>0</v>
      </c>
      <c r="AD1141" s="313">
        <f>IFERROR(IF(INDEX([1]Pivot!$BF$1:$CG$65000,$B1141,AD$5)=1,1,IF(INDEX([1]Pivot!$B$1:$AB$65000,$B1141,AD$5)="",2,0)),0)</f>
        <v>0</v>
      </c>
      <c r="AE1141" s="313">
        <f>IFERROR(IF(INDEX([1]Pivot!$BF$1:$CG$65000,$B1141,AE$5)=1,1,IF(INDEX([1]Pivot!$B$1:$AB$65000,$B1141,AE$5)="",2,0)),0)</f>
        <v>0</v>
      </c>
      <c r="AF1141" s="313">
        <f>IFERROR(IF(INDEX([1]Pivot!$BF$1:$CG$65000,$B1141,AF$5)=1,1,IF(INDEX([1]Pivot!$B$1:$AB$65000,$B1141,AF$5)="",2,0)),0)</f>
        <v>0</v>
      </c>
      <c r="AG1141" s="313">
        <f>IFERROR(IF(INDEX([1]Pivot!$BF$1:$CG$65000,$B1141,AG$5)=1,1,IF(INDEX([1]Pivot!$B$1:$AB$65000,$B1141,AG$5)="",2,0)),0)</f>
        <v>0</v>
      </c>
      <c r="AH1141" s="313">
        <f>IFERROR(IF(INDEX([1]Pivot!$BF$1:$CG$65000,$B1141,AH$5)=1,1,IF(INDEX([1]Pivot!$B$1:$AB$65000,$B1141,AH$5)="",2,0)),0)</f>
        <v>0</v>
      </c>
      <c r="AI1141" s="313">
        <f>IFERROR(IF(INDEX([1]Pivot!$BF$1:$CG$65000,$B1141,AI$5)=1,1,IF(INDEX([1]Pivot!$B$1:$AB$65000,$B1141,AI$5)="",2,0)),0)</f>
        <v>0</v>
      </c>
      <c r="AJ1141" s="313">
        <f>IFERROR(IF(INDEX([1]Pivot!$BF$1:$CG$65000,$B1141,AJ$5)=1,1,IF(INDEX([1]Pivot!$B$1:$AB$65000,$B1141,AJ$5)="",2,0)),0)</f>
        <v>0</v>
      </c>
      <c r="AK1141" s="313">
        <f>IFERROR(IF(INDEX([1]Pivot!$BF$1:$CG$65000,$B1141,AK$5)=1,1,IF(INDEX([1]Pivot!$B$1:$AB$65000,$B1141,AK$5)="",2,0)),0)</f>
        <v>0</v>
      </c>
      <c r="AL1141" s="313">
        <f>IFERROR(IF(INDEX([1]Pivot!$BF$1:$CG$65000,$B1141,AL$5)=1,1,IF(INDEX([1]Pivot!$B$1:$AB$65000,$B1141,AL$5)="",2,0)),0)</f>
        <v>0</v>
      </c>
      <c r="AM1141" s="313">
        <f>IFERROR(IF(INDEX([1]Pivot!$BF$1:$CG$65000,$B1141,AM$5)=1,1,IF(INDEX([1]Pivot!$B$1:$AB$65000,$B1141,AM$5)="",2,0)),0)</f>
        <v>0</v>
      </c>
      <c r="AN1141" s="313">
        <f>IFERROR(IF(INDEX([1]Pivot!$BF$1:$CG$65000,$B1141,AN$5)=1,1,IF(INDEX([1]Pivot!$B$1:$AB$65000,$B1141,AN$5)="",2,0)),0)</f>
        <v>0</v>
      </c>
      <c r="AO1141" s="313">
        <f>IFERROR(IF(INDEX([1]Pivot!$BF$1:$CG$65000,$B1141,AO$5)=1,1,IF(INDEX([1]Pivot!$B$1:$AB$65000,$B1141,AO$5)="",2,0)),0)</f>
        <v>0</v>
      </c>
      <c r="AP1141" s="313">
        <f>IFERROR(IF(INDEX([1]Pivot!$BF$1:$CG$65000,$B1141,AP$5)=1,1,IF(INDEX([1]Pivot!$B$1:$AB$65000,$B1141,AP$5)="",2,0)),0)</f>
        <v>0</v>
      </c>
      <c r="AQ1141" s="313">
        <f>IFERROR(IF(INDEX([1]Pivot!$BF$1:$CG$65000,$B1141,AQ$5)=1,1,IF(INDEX([1]Pivot!$B$1:$AB$65000,$B1141,AQ$5)="",2,0)),0)</f>
        <v>0</v>
      </c>
      <c r="AR1141" s="313">
        <f>IFERROR(IF(INDEX([1]Pivot!$BF$1:$CG$65000,$B1141,AR$5)=1,1,IF(INDEX([1]Pivot!$B$1:$AB$65000,$B1141,AR$5)="",2,0)),0)</f>
        <v>0</v>
      </c>
      <c r="AS1141" s="312"/>
      <c r="AT1141" s="313">
        <f>IFERROR(IF(INDEX([1]Pivot!$BF$1:$CG$65000,$B1141,AT$5)=1,1,IF(INDEX([1]Pivot!$B$1:$AB$65000,$B1141,AT$5)="",2,0)),0)</f>
        <v>0</v>
      </c>
      <c r="AU1141" s="313">
        <f>IFERROR(IF(INDEX([1]Pivot!$BF$1:$CG$65000,$B1141,AU$5)=1,1,IF(INDEX([1]Pivot!$B$1:$AB$65000,$B1141,AU$5)="",2,0)),0)</f>
        <v>0</v>
      </c>
      <c r="AV1141" s="313">
        <f>IFERROR(IF(INDEX([1]Pivot!$BF$1:$CG$65000,$B1141,AV$5)=1,1,IF(INDEX([1]Pivot!$B$1:$AB$65000,$B1141,AV$5)="",2,0)),0)</f>
        <v>0</v>
      </c>
      <c r="AW1141" s="313">
        <f>IFERROR(IF(INDEX([1]Pivot!$BF$1:$CG$65000,$B1141,AW$5)=1,1,IF(INDEX([1]Pivot!$B$1:$AB$65000,$B1141,AW$5)="",2,0)),0)</f>
        <v>0</v>
      </c>
      <c r="AX1141" s="313">
        <f>IFERROR(IF(INDEX([1]Pivot!$BF$1:$CG$65000,$B1141,AX$5)=1,1,IF(INDEX([1]Pivot!$B$1:$AB$65000,$B1141,AX$5)="",2,0)),0)</f>
        <v>0</v>
      </c>
      <c r="AY1141" s="313">
        <f>IFERROR(IF(INDEX([1]Pivot!$BF$1:$CG$65000,$B1141,AY$5)=1,1,IF(INDEX([1]Pivot!$B$1:$AB$65000,$B1141,AY$5)="",2,0)),0)</f>
        <v>0</v>
      </c>
      <c r="AZ1141" s="313">
        <f>IFERROR(IF(INDEX([1]Pivot!$BF$1:$CG$65000,$B1141,AZ$5)=1,1,IF(INDEX([1]Pivot!$B$1:$AB$65000,$B1141,AZ$5)="",2,0)),0)</f>
        <v>0</v>
      </c>
      <c r="BA1141" s="313">
        <f>IFERROR(IF(INDEX([1]Pivot!$BF$1:$CG$65000,$B1141,BA$5)=1,1,IF(INDEX([1]Pivot!$B$1:$AB$65000,$B1141,BA$5)="",2,0)),0)</f>
        <v>0</v>
      </c>
      <c r="BB1141" s="313">
        <f>IFERROR(IF(INDEX([1]Pivot!$BF$1:$CG$65000,$B1141,BB$5)=1,1,IF(INDEX([1]Pivot!$B$1:$AB$65000,$B1141,BB$5)="",2,0)),0)</f>
        <v>0</v>
      </c>
      <c r="BC1141" s="313">
        <f>IFERROR(IF(INDEX([1]Pivot!$BF$1:$CG$65000,$B1141,BC$5)=1,1,IF(INDEX([1]Pivot!$B$1:$AB$65000,$B1141,BC$5)="",2,0)),0)</f>
        <v>0</v>
      </c>
      <c r="BD1141" s="313">
        <f>IFERROR(IF(INDEX([1]Pivot!$BF$1:$CG$65000,$B1141,BD$5)=1,1,IF(INDEX([1]Pivot!$B$1:$AB$65000,$B1141,BD$5)="",2,0)),0)</f>
        <v>0</v>
      </c>
    </row>
    <row r="1142" spans="1:56" x14ac:dyDescent="0.25">
      <c r="A1142" s="288">
        <f>'[2]Raw Milk Prices'!A1142</f>
        <v>0</v>
      </c>
      <c r="B1142" s="296" t="e">
        <f>MATCH(DATE(LEFT('[2]Raw Milk Prices'!$A1142,4),RIGHT('[2]Raw Milk Prices'!$A1142,2),1),[1]Pivot!$A$1:$A$65000,0)</f>
        <v>#VALUE!</v>
      </c>
      <c r="C1142" s="194">
        <f>IFERROR(IF(INDEX([1]Pivot!$AD$1:$BE$65000,$B1142,C$5)=1,1,IF(INDEX([1]Pivot!$B$1:$AB$65000,$B1142,C$5)="",2,0)),0)</f>
        <v>0</v>
      </c>
      <c r="D1142" s="194">
        <f>IFERROR(IF(INDEX([1]Pivot!$AD$1:$BE$65000,$B1142,D$5)=1,1,IF(INDEX([1]Pivot!$B$1:$AB$65000,$B1142,D$5)="",2,0)),0)</f>
        <v>0</v>
      </c>
      <c r="E1142" s="194">
        <f>IFERROR(IF(INDEX([1]Pivot!$AD$1:$BE$65000,$B1142,E$5)=1,1,IF(INDEX([1]Pivot!$B$1:$AB$65000,$B1142,E$5)="",2,0)),0)</f>
        <v>0</v>
      </c>
      <c r="F1142" s="194">
        <f>IFERROR(IF(INDEX([1]Pivot!$AD$1:$BE$65000,$B1142,F$5)=1,1,IF(INDEX([1]Pivot!$B$1:$AB$65000,$B1142,F$5)="",2,0)),0)</f>
        <v>0</v>
      </c>
      <c r="G1142" s="194">
        <f>IFERROR(IF(INDEX([1]Pivot!$AD$1:$BE$65000,$B1142,G$5)=1,1,IF(INDEX([1]Pivot!$B$1:$AB$65000,$B1142,G$5)="",2,0)),0)</f>
        <v>0</v>
      </c>
      <c r="H1142" s="194">
        <f>IFERROR(IF(INDEX([1]Pivot!$AD$1:$BE$65000,$B1142,H$5)=1,1,IF(INDEX([1]Pivot!$B$1:$AB$65000,$B1142,H$5)="",2,0)),0)</f>
        <v>0</v>
      </c>
      <c r="I1142" s="194">
        <f>IFERROR(IF(INDEX([1]Pivot!$AD$1:$BE$65000,$B1142,I$5)=1,1,IF(INDEX([1]Pivot!$B$1:$AB$65000,$B1142,I$5)="",2,0)),0)</f>
        <v>0</v>
      </c>
      <c r="J1142" s="194">
        <f>IFERROR(IF(INDEX([1]Pivot!$AD$1:$BE$65000,$B1142,J$5)=1,1,IF(INDEX([1]Pivot!$B$1:$AB$65000,$B1142,J$5)="",2,0)),0)</f>
        <v>0</v>
      </c>
      <c r="K1142" s="194">
        <f>IFERROR(IF(INDEX([1]Pivot!$AD$1:$BE$65000,$B1142,K$5)=1,1,IF(INDEX([1]Pivot!$B$1:$AB$65000,$B1142,K$5)="",2,0)),0)</f>
        <v>0</v>
      </c>
      <c r="L1142" s="194">
        <f>IFERROR(IF(INDEX([1]Pivot!$AD$1:$BE$65000,$B1142,L$5)=1,1,IF(INDEX([1]Pivot!$B$1:$AB$65000,$B1142,L$5)="",2,0)),0)</f>
        <v>0</v>
      </c>
      <c r="M1142" s="194">
        <f>IFERROR(IF(INDEX([1]Pivot!$AD$1:$BE$65000,$B1142,M$5)=1,1,IF(INDEX([1]Pivot!$B$1:$AB$65000,$B1142,M$5)="",2,0)),0)</f>
        <v>0</v>
      </c>
      <c r="N1142" s="194">
        <f>IFERROR(IF(INDEX([1]Pivot!$AD$1:$BE$65000,$B1142,N$5)=1,1,IF(INDEX([1]Pivot!$B$1:$AB$65000,$B1142,N$5)="",2,0)),0)</f>
        <v>0</v>
      </c>
      <c r="O1142" s="194">
        <f>IFERROR(IF(INDEX([1]Pivot!$AD$1:$BE$65000,$B1142,O$5)=1,1,IF(INDEX([1]Pivot!$B$1:$AB$65000,$B1142,O$5)="",2,0)),0)</f>
        <v>0</v>
      </c>
      <c r="P1142" s="194">
        <f>IFERROR(IF(INDEX([1]Pivot!$AD$1:$BE$65000,$B1142,P$5)=1,1,IF(INDEX([1]Pivot!$B$1:$AB$65000,$B1142,P$5)="",2,0)),0)</f>
        <v>0</v>
      </c>
      <c r="Q1142" s="194">
        <f>IFERROR(IF(INDEX([1]Pivot!$AD$1:$BE$65000,$B1142,Q$5)=1,1,IF(INDEX([1]Pivot!$B$1:$AB$65000,$B1142,Q$5)="",2,0)),0)</f>
        <v>0</v>
      </c>
      <c r="R1142" s="312"/>
      <c r="S1142" s="194">
        <f>IFERROR(IF(INDEX([1]Pivot!$AD$1:$BE$65000,$B1142,S$5)=1,1,IF(INDEX([1]Pivot!$B$1:$AB$65000,$B1142,S$5)="",2,0)),0)</f>
        <v>0</v>
      </c>
      <c r="T1142" s="194">
        <f>IFERROR(IF(INDEX([1]Pivot!$AD$1:$BE$65000,$B1142,T$5)=1,1,IF(INDEX([1]Pivot!$B$1:$AB$65000,$B1142,T$5)="",2,0)),0)</f>
        <v>0</v>
      </c>
      <c r="U1142" s="194">
        <f>IFERROR(IF(INDEX([1]Pivot!$AD$1:$BE$65000,$B1142,U$5)=1,1,IF(INDEX([1]Pivot!$B$1:$AB$65000,$B1142,U$5)="",2,0)),0)</f>
        <v>0</v>
      </c>
      <c r="V1142" s="194">
        <f>IFERROR(IF(INDEX([1]Pivot!$AD$1:$BE$65000,$B1142,V$5)=1,1,IF(INDEX([1]Pivot!$B$1:$AB$65000,$B1142,V$5)="",2,0)),0)</f>
        <v>0</v>
      </c>
      <c r="W1142" s="194">
        <f>IFERROR(IF(INDEX([1]Pivot!$AD$1:$BE$65000,$B1142,W$5)=1,1,IF(INDEX([1]Pivot!$B$1:$AB$65000,$B1142,W$5)="",2,0)),0)</f>
        <v>0</v>
      </c>
      <c r="X1142" s="194">
        <f>IFERROR(IF(INDEX([1]Pivot!$AD$1:$BE$65000,$B1142,X$5)=1,1,IF(INDEX([1]Pivot!$B$1:$AB$65000,$B1142,X$5)="",2,0)),0)</f>
        <v>0</v>
      </c>
      <c r="Y1142" s="194">
        <f>IFERROR(IF(INDEX([1]Pivot!$AD$1:$BE$65000,$B1142,Y$5)=1,1,IF(INDEX([1]Pivot!$B$1:$AB$65000,$B1142,Y$5)="",2,0)),0)</f>
        <v>0</v>
      </c>
      <c r="Z1142" s="194">
        <f>IFERROR(IF(INDEX([1]Pivot!$AD$1:$BE$65000,$B1142,Z$5)=1,1,IF(INDEX([1]Pivot!$B$1:$AB$65000,$B1142,Z$5)="",2,0)),0)</f>
        <v>0</v>
      </c>
      <c r="AA1142" s="194">
        <f>IFERROR(IF(INDEX([1]Pivot!$AD$1:$BE$65000,$B1142,AA$5)=1,1,IF(INDEX([1]Pivot!$B$1:$AB$65000,$B1142,AA$5)="",2,0)),0)</f>
        <v>0</v>
      </c>
      <c r="AB1142" s="194">
        <f>IFERROR(IF(INDEX([1]Pivot!$AD$1:$BE$65000,$B1142,AB$5)=1,1,IF(INDEX([1]Pivot!$B$1:$AB$65000,$B1142,AB$5)="",2,0)),0)</f>
        <v>0</v>
      </c>
      <c r="AC1142" s="194">
        <f>IFERROR(IF(INDEX([1]Pivot!$AD$1:$BE$65000,$B1142,AC$5)=1,1,IF(INDEX([1]Pivot!$B$1:$AB$65000,$B1142,AC$5)="",2,0)),0)</f>
        <v>0</v>
      </c>
      <c r="AD1142" s="313">
        <f>IFERROR(IF(INDEX([1]Pivot!$BF$1:$CG$65000,$B1142,AD$5)=1,1,IF(INDEX([1]Pivot!$B$1:$AB$65000,$B1142,AD$5)="",2,0)),0)</f>
        <v>0</v>
      </c>
      <c r="AE1142" s="313">
        <f>IFERROR(IF(INDEX([1]Pivot!$BF$1:$CG$65000,$B1142,AE$5)=1,1,IF(INDEX([1]Pivot!$B$1:$AB$65000,$B1142,AE$5)="",2,0)),0)</f>
        <v>0</v>
      </c>
      <c r="AF1142" s="313">
        <f>IFERROR(IF(INDEX([1]Pivot!$BF$1:$CG$65000,$B1142,AF$5)=1,1,IF(INDEX([1]Pivot!$B$1:$AB$65000,$B1142,AF$5)="",2,0)),0)</f>
        <v>0</v>
      </c>
      <c r="AG1142" s="313">
        <f>IFERROR(IF(INDEX([1]Pivot!$BF$1:$CG$65000,$B1142,AG$5)=1,1,IF(INDEX([1]Pivot!$B$1:$AB$65000,$B1142,AG$5)="",2,0)),0)</f>
        <v>0</v>
      </c>
      <c r="AH1142" s="313">
        <f>IFERROR(IF(INDEX([1]Pivot!$BF$1:$CG$65000,$B1142,AH$5)=1,1,IF(INDEX([1]Pivot!$B$1:$AB$65000,$B1142,AH$5)="",2,0)),0)</f>
        <v>0</v>
      </c>
      <c r="AI1142" s="313">
        <f>IFERROR(IF(INDEX([1]Pivot!$BF$1:$CG$65000,$B1142,AI$5)=1,1,IF(INDEX([1]Pivot!$B$1:$AB$65000,$B1142,AI$5)="",2,0)),0)</f>
        <v>0</v>
      </c>
      <c r="AJ1142" s="313">
        <f>IFERROR(IF(INDEX([1]Pivot!$BF$1:$CG$65000,$B1142,AJ$5)=1,1,IF(INDEX([1]Pivot!$B$1:$AB$65000,$B1142,AJ$5)="",2,0)),0)</f>
        <v>0</v>
      </c>
      <c r="AK1142" s="313">
        <f>IFERROR(IF(INDEX([1]Pivot!$BF$1:$CG$65000,$B1142,AK$5)=1,1,IF(INDEX([1]Pivot!$B$1:$AB$65000,$B1142,AK$5)="",2,0)),0)</f>
        <v>0</v>
      </c>
      <c r="AL1142" s="313">
        <f>IFERROR(IF(INDEX([1]Pivot!$BF$1:$CG$65000,$B1142,AL$5)=1,1,IF(INDEX([1]Pivot!$B$1:$AB$65000,$B1142,AL$5)="",2,0)),0)</f>
        <v>0</v>
      </c>
      <c r="AM1142" s="313">
        <f>IFERROR(IF(INDEX([1]Pivot!$BF$1:$CG$65000,$B1142,AM$5)=1,1,IF(INDEX([1]Pivot!$B$1:$AB$65000,$B1142,AM$5)="",2,0)),0)</f>
        <v>0</v>
      </c>
      <c r="AN1142" s="313">
        <f>IFERROR(IF(INDEX([1]Pivot!$BF$1:$CG$65000,$B1142,AN$5)=1,1,IF(INDEX([1]Pivot!$B$1:$AB$65000,$B1142,AN$5)="",2,0)),0)</f>
        <v>0</v>
      </c>
      <c r="AO1142" s="313">
        <f>IFERROR(IF(INDEX([1]Pivot!$BF$1:$CG$65000,$B1142,AO$5)=1,1,IF(INDEX([1]Pivot!$B$1:$AB$65000,$B1142,AO$5)="",2,0)),0)</f>
        <v>0</v>
      </c>
      <c r="AP1142" s="313">
        <f>IFERROR(IF(INDEX([1]Pivot!$BF$1:$CG$65000,$B1142,AP$5)=1,1,IF(INDEX([1]Pivot!$B$1:$AB$65000,$B1142,AP$5)="",2,0)),0)</f>
        <v>0</v>
      </c>
      <c r="AQ1142" s="313">
        <f>IFERROR(IF(INDEX([1]Pivot!$BF$1:$CG$65000,$B1142,AQ$5)=1,1,IF(INDEX([1]Pivot!$B$1:$AB$65000,$B1142,AQ$5)="",2,0)),0)</f>
        <v>0</v>
      </c>
      <c r="AR1142" s="313">
        <f>IFERROR(IF(INDEX([1]Pivot!$BF$1:$CG$65000,$B1142,AR$5)=1,1,IF(INDEX([1]Pivot!$B$1:$AB$65000,$B1142,AR$5)="",2,0)),0)</f>
        <v>0</v>
      </c>
      <c r="AS1142" s="312"/>
      <c r="AT1142" s="313">
        <f>IFERROR(IF(INDEX([1]Pivot!$BF$1:$CG$65000,$B1142,AT$5)=1,1,IF(INDEX([1]Pivot!$B$1:$AB$65000,$B1142,AT$5)="",2,0)),0)</f>
        <v>0</v>
      </c>
      <c r="AU1142" s="313">
        <f>IFERROR(IF(INDEX([1]Pivot!$BF$1:$CG$65000,$B1142,AU$5)=1,1,IF(INDEX([1]Pivot!$B$1:$AB$65000,$B1142,AU$5)="",2,0)),0)</f>
        <v>0</v>
      </c>
      <c r="AV1142" s="313">
        <f>IFERROR(IF(INDEX([1]Pivot!$BF$1:$CG$65000,$B1142,AV$5)=1,1,IF(INDEX([1]Pivot!$B$1:$AB$65000,$B1142,AV$5)="",2,0)),0)</f>
        <v>0</v>
      </c>
      <c r="AW1142" s="313">
        <f>IFERROR(IF(INDEX([1]Pivot!$BF$1:$CG$65000,$B1142,AW$5)=1,1,IF(INDEX([1]Pivot!$B$1:$AB$65000,$B1142,AW$5)="",2,0)),0)</f>
        <v>0</v>
      </c>
      <c r="AX1142" s="313">
        <f>IFERROR(IF(INDEX([1]Pivot!$BF$1:$CG$65000,$B1142,AX$5)=1,1,IF(INDEX([1]Pivot!$B$1:$AB$65000,$B1142,AX$5)="",2,0)),0)</f>
        <v>0</v>
      </c>
      <c r="AY1142" s="313">
        <f>IFERROR(IF(INDEX([1]Pivot!$BF$1:$CG$65000,$B1142,AY$5)=1,1,IF(INDEX([1]Pivot!$B$1:$AB$65000,$B1142,AY$5)="",2,0)),0)</f>
        <v>0</v>
      </c>
      <c r="AZ1142" s="313">
        <f>IFERROR(IF(INDEX([1]Pivot!$BF$1:$CG$65000,$B1142,AZ$5)=1,1,IF(INDEX([1]Pivot!$B$1:$AB$65000,$B1142,AZ$5)="",2,0)),0)</f>
        <v>0</v>
      </c>
      <c r="BA1142" s="313">
        <f>IFERROR(IF(INDEX([1]Pivot!$BF$1:$CG$65000,$B1142,BA$5)=1,1,IF(INDEX([1]Pivot!$B$1:$AB$65000,$B1142,BA$5)="",2,0)),0)</f>
        <v>0</v>
      </c>
      <c r="BB1142" s="313">
        <f>IFERROR(IF(INDEX([1]Pivot!$BF$1:$CG$65000,$B1142,BB$5)=1,1,IF(INDEX([1]Pivot!$B$1:$AB$65000,$B1142,BB$5)="",2,0)),0)</f>
        <v>0</v>
      </c>
      <c r="BC1142" s="313">
        <f>IFERROR(IF(INDEX([1]Pivot!$BF$1:$CG$65000,$B1142,BC$5)=1,1,IF(INDEX([1]Pivot!$B$1:$AB$65000,$B1142,BC$5)="",2,0)),0)</f>
        <v>0</v>
      </c>
      <c r="BD1142" s="313">
        <f>IFERROR(IF(INDEX([1]Pivot!$BF$1:$CG$65000,$B1142,BD$5)=1,1,IF(INDEX([1]Pivot!$B$1:$AB$65000,$B1142,BD$5)="",2,0)),0)</f>
        <v>0</v>
      </c>
    </row>
    <row r="1143" spans="1:56" x14ac:dyDescent="0.25">
      <c r="A1143" s="288">
        <f>'[2]Raw Milk Prices'!A1143</f>
        <v>0</v>
      </c>
      <c r="B1143" s="296" t="e">
        <f>MATCH(DATE(LEFT('[2]Raw Milk Prices'!$A1143,4),RIGHT('[2]Raw Milk Prices'!$A1143,2),1),[1]Pivot!$A$1:$A$65000,0)</f>
        <v>#VALUE!</v>
      </c>
      <c r="C1143" s="194">
        <f>IFERROR(IF(INDEX([1]Pivot!$AD$1:$BE$65000,$B1143,C$5)=1,1,IF(INDEX([1]Pivot!$B$1:$AB$65000,$B1143,C$5)="",2,0)),0)</f>
        <v>0</v>
      </c>
      <c r="D1143" s="194">
        <f>IFERROR(IF(INDEX([1]Pivot!$AD$1:$BE$65000,$B1143,D$5)=1,1,IF(INDEX([1]Pivot!$B$1:$AB$65000,$B1143,D$5)="",2,0)),0)</f>
        <v>0</v>
      </c>
      <c r="E1143" s="194">
        <f>IFERROR(IF(INDEX([1]Pivot!$AD$1:$BE$65000,$B1143,E$5)=1,1,IF(INDEX([1]Pivot!$B$1:$AB$65000,$B1143,E$5)="",2,0)),0)</f>
        <v>0</v>
      </c>
      <c r="F1143" s="194">
        <f>IFERROR(IF(INDEX([1]Pivot!$AD$1:$BE$65000,$B1143,F$5)=1,1,IF(INDEX([1]Pivot!$B$1:$AB$65000,$B1143,F$5)="",2,0)),0)</f>
        <v>0</v>
      </c>
      <c r="G1143" s="194">
        <f>IFERROR(IF(INDEX([1]Pivot!$AD$1:$BE$65000,$B1143,G$5)=1,1,IF(INDEX([1]Pivot!$B$1:$AB$65000,$B1143,G$5)="",2,0)),0)</f>
        <v>0</v>
      </c>
      <c r="H1143" s="194">
        <f>IFERROR(IF(INDEX([1]Pivot!$AD$1:$BE$65000,$B1143,H$5)=1,1,IF(INDEX([1]Pivot!$B$1:$AB$65000,$B1143,H$5)="",2,0)),0)</f>
        <v>0</v>
      </c>
      <c r="I1143" s="194">
        <f>IFERROR(IF(INDEX([1]Pivot!$AD$1:$BE$65000,$B1143,I$5)=1,1,IF(INDEX([1]Pivot!$B$1:$AB$65000,$B1143,I$5)="",2,0)),0)</f>
        <v>0</v>
      </c>
      <c r="J1143" s="194">
        <f>IFERROR(IF(INDEX([1]Pivot!$AD$1:$BE$65000,$B1143,J$5)=1,1,IF(INDEX([1]Pivot!$B$1:$AB$65000,$B1143,J$5)="",2,0)),0)</f>
        <v>0</v>
      </c>
      <c r="K1143" s="194">
        <f>IFERROR(IF(INDEX([1]Pivot!$AD$1:$BE$65000,$B1143,K$5)=1,1,IF(INDEX([1]Pivot!$B$1:$AB$65000,$B1143,K$5)="",2,0)),0)</f>
        <v>0</v>
      </c>
      <c r="L1143" s="194">
        <f>IFERROR(IF(INDEX([1]Pivot!$AD$1:$BE$65000,$B1143,L$5)=1,1,IF(INDEX([1]Pivot!$B$1:$AB$65000,$B1143,L$5)="",2,0)),0)</f>
        <v>0</v>
      </c>
      <c r="M1143" s="194">
        <f>IFERROR(IF(INDEX([1]Pivot!$AD$1:$BE$65000,$B1143,M$5)=1,1,IF(INDEX([1]Pivot!$B$1:$AB$65000,$B1143,M$5)="",2,0)),0)</f>
        <v>0</v>
      </c>
      <c r="N1143" s="194">
        <f>IFERROR(IF(INDEX([1]Pivot!$AD$1:$BE$65000,$B1143,N$5)=1,1,IF(INDEX([1]Pivot!$B$1:$AB$65000,$B1143,N$5)="",2,0)),0)</f>
        <v>0</v>
      </c>
      <c r="O1143" s="194">
        <f>IFERROR(IF(INDEX([1]Pivot!$AD$1:$BE$65000,$B1143,O$5)=1,1,IF(INDEX([1]Pivot!$B$1:$AB$65000,$B1143,O$5)="",2,0)),0)</f>
        <v>0</v>
      </c>
      <c r="P1143" s="194">
        <f>IFERROR(IF(INDEX([1]Pivot!$AD$1:$BE$65000,$B1143,P$5)=1,1,IF(INDEX([1]Pivot!$B$1:$AB$65000,$B1143,P$5)="",2,0)),0)</f>
        <v>0</v>
      </c>
      <c r="Q1143" s="194">
        <f>IFERROR(IF(INDEX([1]Pivot!$AD$1:$BE$65000,$B1143,Q$5)=1,1,IF(INDEX([1]Pivot!$B$1:$AB$65000,$B1143,Q$5)="",2,0)),0)</f>
        <v>0</v>
      </c>
      <c r="R1143" s="312"/>
      <c r="S1143" s="194">
        <f>IFERROR(IF(INDEX([1]Pivot!$AD$1:$BE$65000,$B1143,S$5)=1,1,IF(INDEX([1]Pivot!$B$1:$AB$65000,$B1143,S$5)="",2,0)),0)</f>
        <v>0</v>
      </c>
      <c r="T1143" s="194">
        <f>IFERROR(IF(INDEX([1]Pivot!$AD$1:$BE$65000,$B1143,T$5)=1,1,IF(INDEX([1]Pivot!$B$1:$AB$65000,$B1143,T$5)="",2,0)),0)</f>
        <v>0</v>
      </c>
      <c r="U1143" s="194">
        <f>IFERROR(IF(INDEX([1]Pivot!$AD$1:$BE$65000,$B1143,U$5)=1,1,IF(INDEX([1]Pivot!$B$1:$AB$65000,$B1143,U$5)="",2,0)),0)</f>
        <v>0</v>
      </c>
      <c r="V1143" s="194">
        <f>IFERROR(IF(INDEX([1]Pivot!$AD$1:$BE$65000,$B1143,V$5)=1,1,IF(INDEX([1]Pivot!$B$1:$AB$65000,$B1143,V$5)="",2,0)),0)</f>
        <v>0</v>
      </c>
      <c r="W1143" s="194">
        <f>IFERROR(IF(INDEX([1]Pivot!$AD$1:$BE$65000,$B1143,W$5)=1,1,IF(INDEX([1]Pivot!$B$1:$AB$65000,$B1143,W$5)="",2,0)),0)</f>
        <v>0</v>
      </c>
      <c r="X1143" s="194">
        <f>IFERROR(IF(INDEX([1]Pivot!$AD$1:$BE$65000,$B1143,X$5)=1,1,IF(INDEX([1]Pivot!$B$1:$AB$65000,$B1143,X$5)="",2,0)),0)</f>
        <v>0</v>
      </c>
      <c r="Y1143" s="194">
        <f>IFERROR(IF(INDEX([1]Pivot!$AD$1:$BE$65000,$B1143,Y$5)=1,1,IF(INDEX([1]Pivot!$B$1:$AB$65000,$B1143,Y$5)="",2,0)),0)</f>
        <v>0</v>
      </c>
      <c r="Z1143" s="194">
        <f>IFERROR(IF(INDEX([1]Pivot!$AD$1:$BE$65000,$B1143,Z$5)=1,1,IF(INDEX([1]Pivot!$B$1:$AB$65000,$B1143,Z$5)="",2,0)),0)</f>
        <v>0</v>
      </c>
      <c r="AA1143" s="194">
        <f>IFERROR(IF(INDEX([1]Pivot!$AD$1:$BE$65000,$B1143,AA$5)=1,1,IF(INDEX([1]Pivot!$B$1:$AB$65000,$B1143,AA$5)="",2,0)),0)</f>
        <v>0</v>
      </c>
      <c r="AB1143" s="194">
        <f>IFERROR(IF(INDEX([1]Pivot!$AD$1:$BE$65000,$B1143,AB$5)=1,1,IF(INDEX([1]Pivot!$B$1:$AB$65000,$B1143,AB$5)="",2,0)),0)</f>
        <v>0</v>
      </c>
      <c r="AC1143" s="194">
        <f>IFERROR(IF(INDEX([1]Pivot!$AD$1:$BE$65000,$B1143,AC$5)=1,1,IF(INDEX([1]Pivot!$B$1:$AB$65000,$B1143,AC$5)="",2,0)),0)</f>
        <v>0</v>
      </c>
      <c r="AD1143" s="313">
        <f>IFERROR(IF(INDEX([1]Pivot!$BF$1:$CG$65000,$B1143,AD$5)=1,1,IF(INDEX([1]Pivot!$B$1:$AB$65000,$B1143,AD$5)="",2,0)),0)</f>
        <v>0</v>
      </c>
      <c r="AE1143" s="313">
        <f>IFERROR(IF(INDEX([1]Pivot!$BF$1:$CG$65000,$B1143,AE$5)=1,1,IF(INDEX([1]Pivot!$B$1:$AB$65000,$B1143,AE$5)="",2,0)),0)</f>
        <v>0</v>
      </c>
      <c r="AF1143" s="313">
        <f>IFERROR(IF(INDEX([1]Pivot!$BF$1:$CG$65000,$B1143,AF$5)=1,1,IF(INDEX([1]Pivot!$B$1:$AB$65000,$B1143,AF$5)="",2,0)),0)</f>
        <v>0</v>
      </c>
      <c r="AG1143" s="313">
        <f>IFERROR(IF(INDEX([1]Pivot!$BF$1:$CG$65000,$B1143,AG$5)=1,1,IF(INDEX([1]Pivot!$B$1:$AB$65000,$B1143,AG$5)="",2,0)),0)</f>
        <v>0</v>
      </c>
      <c r="AH1143" s="313">
        <f>IFERROR(IF(INDEX([1]Pivot!$BF$1:$CG$65000,$B1143,AH$5)=1,1,IF(INDEX([1]Pivot!$B$1:$AB$65000,$B1143,AH$5)="",2,0)),0)</f>
        <v>0</v>
      </c>
      <c r="AI1143" s="313">
        <f>IFERROR(IF(INDEX([1]Pivot!$BF$1:$CG$65000,$B1143,AI$5)=1,1,IF(INDEX([1]Pivot!$B$1:$AB$65000,$B1143,AI$5)="",2,0)),0)</f>
        <v>0</v>
      </c>
      <c r="AJ1143" s="313">
        <f>IFERROR(IF(INDEX([1]Pivot!$BF$1:$CG$65000,$B1143,AJ$5)=1,1,IF(INDEX([1]Pivot!$B$1:$AB$65000,$B1143,AJ$5)="",2,0)),0)</f>
        <v>0</v>
      </c>
      <c r="AK1143" s="313">
        <f>IFERROR(IF(INDEX([1]Pivot!$BF$1:$CG$65000,$B1143,AK$5)=1,1,IF(INDEX([1]Pivot!$B$1:$AB$65000,$B1143,AK$5)="",2,0)),0)</f>
        <v>0</v>
      </c>
      <c r="AL1143" s="313">
        <f>IFERROR(IF(INDEX([1]Pivot!$BF$1:$CG$65000,$B1143,AL$5)=1,1,IF(INDEX([1]Pivot!$B$1:$AB$65000,$B1143,AL$5)="",2,0)),0)</f>
        <v>0</v>
      </c>
      <c r="AM1143" s="313">
        <f>IFERROR(IF(INDEX([1]Pivot!$BF$1:$CG$65000,$B1143,AM$5)=1,1,IF(INDEX([1]Pivot!$B$1:$AB$65000,$B1143,AM$5)="",2,0)),0)</f>
        <v>0</v>
      </c>
      <c r="AN1143" s="313">
        <f>IFERROR(IF(INDEX([1]Pivot!$BF$1:$CG$65000,$B1143,AN$5)=1,1,IF(INDEX([1]Pivot!$B$1:$AB$65000,$B1143,AN$5)="",2,0)),0)</f>
        <v>0</v>
      </c>
      <c r="AO1143" s="313">
        <f>IFERROR(IF(INDEX([1]Pivot!$BF$1:$CG$65000,$B1143,AO$5)=1,1,IF(INDEX([1]Pivot!$B$1:$AB$65000,$B1143,AO$5)="",2,0)),0)</f>
        <v>0</v>
      </c>
      <c r="AP1143" s="313">
        <f>IFERROR(IF(INDEX([1]Pivot!$BF$1:$CG$65000,$B1143,AP$5)=1,1,IF(INDEX([1]Pivot!$B$1:$AB$65000,$B1143,AP$5)="",2,0)),0)</f>
        <v>0</v>
      </c>
      <c r="AQ1143" s="313">
        <f>IFERROR(IF(INDEX([1]Pivot!$BF$1:$CG$65000,$B1143,AQ$5)=1,1,IF(INDEX([1]Pivot!$B$1:$AB$65000,$B1143,AQ$5)="",2,0)),0)</f>
        <v>0</v>
      </c>
      <c r="AR1143" s="313">
        <f>IFERROR(IF(INDEX([1]Pivot!$BF$1:$CG$65000,$B1143,AR$5)=1,1,IF(INDEX([1]Pivot!$B$1:$AB$65000,$B1143,AR$5)="",2,0)),0)</f>
        <v>0</v>
      </c>
      <c r="AS1143" s="312"/>
      <c r="AT1143" s="313">
        <f>IFERROR(IF(INDEX([1]Pivot!$BF$1:$CG$65000,$B1143,AT$5)=1,1,IF(INDEX([1]Pivot!$B$1:$AB$65000,$B1143,AT$5)="",2,0)),0)</f>
        <v>0</v>
      </c>
      <c r="AU1143" s="313">
        <f>IFERROR(IF(INDEX([1]Pivot!$BF$1:$CG$65000,$B1143,AU$5)=1,1,IF(INDEX([1]Pivot!$B$1:$AB$65000,$B1143,AU$5)="",2,0)),0)</f>
        <v>0</v>
      </c>
      <c r="AV1143" s="313">
        <f>IFERROR(IF(INDEX([1]Pivot!$BF$1:$CG$65000,$B1143,AV$5)=1,1,IF(INDEX([1]Pivot!$B$1:$AB$65000,$B1143,AV$5)="",2,0)),0)</f>
        <v>0</v>
      </c>
      <c r="AW1143" s="313">
        <f>IFERROR(IF(INDEX([1]Pivot!$BF$1:$CG$65000,$B1143,AW$5)=1,1,IF(INDEX([1]Pivot!$B$1:$AB$65000,$B1143,AW$5)="",2,0)),0)</f>
        <v>0</v>
      </c>
      <c r="AX1143" s="313">
        <f>IFERROR(IF(INDEX([1]Pivot!$BF$1:$CG$65000,$B1143,AX$5)=1,1,IF(INDEX([1]Pivot!$B$1:$AB$65000,$B1143,AX$5)="",2,0)),0)</f>
        <v>0</v>
      </c>
      <c r="AY1143" s="313">
        <f>IFERROR(IF(INDEX([1]Pivot!$BF$1:$CG$65000,$B1143,AY$5)=1,1,IF(INDEX([1]Pivot!$B$1:$AB$65000,$B1143,AY$5)="",2,0)),0)</f>
        <v>0</v>
      </c>
      <c r="AZ1143" s="313">
        <f>IFERROR(IF(INDEX([1]Pivot!$BF$1:$CG$65000,$B1143,AZ$5)=1,1,IF(INDEX([1]Pivot!$B$1:$AB$65000,$B1143,AZ$5)="",2,0)),0)</f>
        <v>0</v>
      </c>
      <c r="BA1143" s="313">
        <f>IFERROR(IF(INDEX([1]Pivot!$BF$1:$CG$65000,$B1143,BA$5)=1,1,IF(INDEX([1]Pivot!$B$1:$AB$65000,$B1143,BA$5)="",2,0)),0)</f>
        <v>0</v>
      </c>
      <c r="BB1143" s="313">
        <f>IFERROR(IF(INDEX([1]Pivot!$BF$1:$CG$65000,$B1143,BB$5)=1,1,IF(INDEX([1]Pivot!$B$1:$AB$65000,$B1143,BB$5)="",2,0)),0)</f>
        <v>0</v>
      </c>
      <c r="BC1143" s="313">
        <f>IFERROR(IF(INDEX([1]Pivot!$BF$1:$CG$65000,$B1143,BC$5)=1,1,IF(INDEX([1]Pivot!$B$1:$AB$65000,$B1143,BC$5)="",2,0)),0)</f>
        <v>0</v>
      </c>
      <c r="BD1143" s="313">
        <f>IFERROR(IF(INDEX([1]Pivot!$BF$1:$CG$65000,$B1143,BD$5)=1,1,IF(INDEX([1]Pivot!$B$1:$AB$65000,$B1143,BD$5)="",2,0)),0)</f>
        <v>0</v>
      </c>
    </row>
    <row r="1144" spans="1:56" x14ac:dyDescent="0.25">
      <c r="A1144" s="288">
        <f>'[2]Raw Milk Prices'!A1144</f>
        <v>0</v>
      </c>
      <c r="B1144" s="296" t="e">
        <f>MATCH(DATE(LEFT('[2]Raw Milk Prices'!$A1144,4),RIGHT('[2]Raw Milk Prices'!$A1144,2),1),[1]Pivot!$A$1:$A$65000,0)</f>
        <v>#VALUE!</v>
      </c>
      <c r="C1144" s="194">
        <f>IFERROR(IF(INDEX([1]Pivot!$AD$1:$BE$65000,$B1144,C$5)=1,1,IF(INDEX([1]Pivot!$B$1:$AB$65000,$B1144,C$5)="",2,0)),0)</f>
        <v>0</v>
      </c>
      <c r="D1144" s="194">
        <f>IFERROR(IF(INDEX([1]Pivot!$AD$1:$BE$65000,$B1144,D$5)=1,1,IF(INDEX([1]Pivot!$B$1:$AB$65000,$B1144,D$5)="",2,0)),0)</f>
        <v>0</v>
      </c>
      <c r="E1144" s="194">
        <f>IFERROR(IF(INDEX([1]Pivot!$AD$1:$BE$65000,$B1144,E$5)=1,1,IF(INDEX([1]Pivot!$B$1:$AB$65000,$B1144,E$5)="",2,0)),0)</f>
        <v>0</v>
      </c>
      <c r="F1144" s="194">
        <f>IFERROR(IF(INDEX([1]Pivot!$AD$1:$BE$65000,$B1144,F$5)=1,1,IF(INDEX([1]Pivot!$B$1:$AB$65000,$B1144,F$5)="",2,0)),0)</f>
        <v>0</v>
      </c>
      <c r="G1144" s="194">
        <f>IFERROR(IF(INDEX([1]Pivot!$AD$1:$BE$65000,$B1144,G$5)=1,1,IF(INDEX([1]Pivot!$B$1:$AB$65000,$B1144,G$5)="",2,0)),0)</f>
        <v>0</v>
      </c>
      <c r="H1144" s="194">
        <f>IFERROR(IF(INDEX([1]Pivot!$AD$1:$BE$65000,$B1144,H$5)=1,1,IF(INDEX([1]Pivot!$B$1:$AB$65000,$B1144,H$5)="",2,0)),0)</f>
        <v>0</v>
      </c>
      <c r="I1144" s="194">
        <f>IFERROR(IF(INDEX([1]Pivot!$AD$1:$BE$65000,$B1144,I$5)=1,1,IF(INDEX([1]Pivot!$B$1:$AB$65000,$B1144,I$5)="",2,0)),0)</f>
        <v>0</v>
      </c>
      <c r="J1144" s="194">
        <f>IFERROR(IF(INDEX([1]Pivot!$AD$1:$BE$65000,$B1144,J$5)=1,1,IF(INDEX([1]Pivot!$B$1:$AB$65000,$B1144,J$5)="",2,0)),0)</f>
        <v>0</v>
      </c>
      <c r="K1144" s="194">
        <f>IFERROR(IF(INDEX([1]Pivot!$AD$1:$BE$65000,$B1144,K$5)=1,1,IF(INDEX([1]Pivot!$B$1:$AB$65000,$B1144,K$5)="",2,0)),0)</f>
        <v>0</v>
      </c>
      <c r="L1144" s="194">
        <f>IFERROR(IF(INDEX([1]Pivot!$AD$1:$BE$65000,$B1144,L$5)=1,1,IF(INDEX([1]Pivot!$B$1:$AB$65000,$B1144,L$5)="",2,0)),0)</f>
        <v>0</v>
      </c>
      <c r="M1144" s="194">
        <f>IFERROR(IF(INDEX([1]Pivot!$AD$1:$BE$65000,$B1144,M$5)=1,1,IF(INDEX([1]Pivot!$B$1:$AB$65000,$B1144,M$5)="",2,0)),0)</f>
        <v>0</v>
      </c>
      <c r="N1144" s="194">
        <f>IFERROR(IF(INDEX([1]Pivot!$AD$1:$BE$65000,$B1144,N$5)=1,1,IF(INDEX([1]Pivot!$B$1:$AB$65000,$B1144,N$5)="",2,0)),0)</f>
        <v>0</v>
      </c>
      <c r="O1144" s="194">
        <f>IFERROR(IF(INDEX([1]Pivot!$AD$1:$BE$65000,$B1144,O$5)=1,1,IF(INDEX([1]Pivot!$B$1:$AB$65000,$B1144,O$5)="",2,0)),0)</f>
        <v>0</v>
      </c>
      <c r="P1144" s="194">
        <f>IFERROR(IF(INDEX([1]Pivot!$AD$1:$BE$65000,$B1144,P$5)=1,1,IF(INDEX([1]Pivot!$B$1:$AB$65000,$B1144,P$5)="",2,0)),0)</f>
        <v>0</v>
      </c>
      <c r="Q1144" s="194">
        <f>IFERROR(IF(INDEX([1]Pivot!$AD$1:$BE$65000,$B1144,Q$5)=1,1,IF(INDEX([1]Pivot!$B$1:$AB$65000,$B1144,Q$5)="",2,0)),0)</f>
        <v>0</v>
      </c>
      <c r="R1144" s="312"/>
      <c r="S1144" s="194">
        <f>IFERROR(IF(INDEX([1]Pivot!$AD$1:$BE$65000,$B1144,S$5)=1,1,IF(INDEX([1]Pivot!$B$1:$AB$65000,$B1144,S$5)="",2,0)),0)</f>
        <v>0</v>
      </c>
      <c r="T1144" s="194">
        <f>IFERROR(IF(INDEX([1]Pivot!$AD$1:$BE$65000,$B1144,T$5)=1,1,IF(INDEX([1]Pivot!$B$1:$AB$65000,$B1144,T$5)="",2,0)),0)</f>
        <v>0</v>
      </c>
      <c r="U1144" s="194">
        <f>IFERROR(IF(INDEX([1]Pivot!$AD$1:$BE$65000,$B1144,U$5)=1,1,IF(INDEX([1]Pivot!$B$1:$AB$65000,$B1144,U$5)="",2,0)),0)</f>
        <v>0</v>
      </c>
      <c r="V1144" s="194">
        <f>IFERROR(IF(INDEX([1]Pivot!$AD$1:$BE$65000,$B1144,V$5)=1,1,IF(INDEX([1]Pivot!$B$1:$AB$65000,$B1144,V$5)="",2,0)),0)</f>
        <v>0</v>
      </c>
      <c r="W1144" s="194">
        <f>IFERROR(IF(INDEX([1]Pivot!$AD$1:$BE$65000,$B1144,W$5)=1,1,IF(INDEX([1]Pivot!$B$1:$AB$65000,$B1144,W$5)="",2,0)),0)</f>
        <v>0</v>
      </c>
      <c r="X1144" s="194">
        <f>IFERROR(IF(INDEX([1]Pivot!$AD$1:$BE$65000,$B1144,X$5)=1,1,IF(INDEX([1]Pivot!$B$1:$AB$65000,$B1144,X$5)="",2,0)),0)</f>
        <v>0</v>
      </c>
      <c r="Y1144" s="194">
        <f>IFERROR(IF(INDEX([1]Pivot!$AD$1:$BE$65000,$B1144,Y$5)=1,1,IF(INDEX([1]Pivot!$B$1:$AB$65000,$B1144,Y$5)="",2,0)),0)</f>
        <v>0</v>
      </c>
      <c r="Z1144" s="194">
        <f>IFERROR(IF(INDEX([1]Pivot!$AD$1:$BE$65000,$B1144,Z$5)=1,1,IF(INDEX([1]Pivot!$B$1:$AB$65000,$B1144,Z$5)="",2,0)),0)</f>
        <v>0</v>
      </c>
      <c r="AA1144" s="194">
        <f>IFERROR(IF(INDEX([1]Pivot!$AD$1:$BE$65000,$B1144,AA$5)=1,1,IF(INDEX([1]Pivot!$B$1:$AB$65000,$B1144,AA$5)="",2,0)),0)</f>
        <v>0</v>
      </c>
      <c r="AB1144" s="194">
        <f>IFERROR(IF(INDEX([1]Pivot!$AD$1:$BE$65000,$B1144,AB$5)=1,1,IF(INDEX([1]Pivot!$B$1:$AB$65000,$B1144,AB$5)="",2,0)),0)</f>
        <v>0</v>
      </c>
      <c r="AC1144" s="194">
        <f>IFERROR(IF(INDEX([1]Pivot!$AD$1:$BE$65000,$B1144,AC$5)=1,1,IF(INDEX([1]Pivot!$B$1:$AB$65000,$B1144,AC$5)="",2,0)),0)</f>
        <v>0</v>
      </c>
      <c r="AD1144" s="313">
        <f>IFERROR(IF(INDEX([1]Pivot!$BF$1:$CG$65000,$B1144,AD$5)=1,1,IF(INDEX([1]Pivot!$B$1:$AB$65000,$B1144,AD$5)="",2,0)),0)</f>
        <v>0</v>
      </c>
      <c r="AE1144" s="313">
        <f>IFERROR(IF(INDEX([1]Pivot!$BF$1:$CG$65000,$B1144,AE$5)=1,1,IF(INDEX([1]Pivot!$B$1:$AB$65000,$B1144,AE$5)="",2,0)),0)</f>
        <v>0</v>
      </c>
      <c r="AF1144" s="313">
        <f>IFERROR(IF(INDEX([1]Pivot!$BF$1:$CG$65000,$B1144,AF$5)=1,1,IF(INDEX([1]Pivot!$B$1:$AB$65000,$B1144,AF$5)="",2,0)),0)</f>
        <v>0</v>
      </c>
      <c r="AG1144" s="313">
        <f>IFERROR(IF(INDEX([1]Pivot!$BF$1:$CG$65000,$B1144,AG$5)=1,1,IF(INDEX([1]Pivot!$B$1:$AB$65000,$B1144,AG$5)="",2,0)),0)</f>
        <v>0</v>
      </c>
      <c r="AH1144" s="313">
        <f>IFERROR(IF(INDEX([1]Pivot!$BF$1:$CG$65000,$B1144,AH$5)=1,1,IF(INDEX([1]Pivot!$B$1:$AB$65000,$B1144,AH$5)="",2,0)),0)</f>
        <v>0</v>
      </c>
      <c r="AI1144" s="313">
        <f>IFERROR(IF(INDEX([1]Pivot!$BF$1:$CG$65000,$B1144,AI$5)=1,1,IF(INDEX([1]Pivot!$B$1:$AB$65000,$B1144,AI$5)="",2,0)),0)</f>
        <v>0</v>
      </c>
      <c r="AJ1144" s="313">
        <f>IFERROR(IF(INDEX([1]Pivot!$BF$1:$CG$65000,$B1144,AJ$5)=1,1,IF(INDEX([1]Pivot!$B$1:$AB$65000,$B1144,AJ$5)="",2,0)),0)</f>
        <v>0</v>
      </c>
      <c r="AK1144" s="313">
        <f>IFERROR(IF(INDEX([1]Pivot!$BF$1:$CG$65000,$B1144,AK$5)=1,1,IF(INDEX([1]Pivot!$B$1:$AB$65000,$B1144,AK$5)="",2,0)),0)</f>
        <v>0</v>
      </c>
      <c r="AL1144" s="313">
        <f>IFERROR(IF(INDEX([1]Pivot!$BF$1:$CG$65000,$B1144,AL$5)=1,1,IF(INDEX([1]Pivot!$B$1:$AB$65000,$B1144,AL$5)="",2,0)),0)</f>
        <v>0</v>
      </c>
      <c r="AM1144" s="313">
        <f>IFERROR(IF(INDEX([1]Pivot!$BF$1:$CG$65000,$B1144,AM$5)=1,1,IF(INDEX([1]Pivot!$B$1:$AB$65000,$B1144,AM$5)="",2,0)),0)</f>
        <v>0</v>
      </c>
      <c r="AN1144" s="313">
        <f>IFERROR(IF(INDEX([1]Pivot!$BF$1:$CG$65000,$B1144,AN$5)=1,1,IF(INDEX([1]Pivot!$B$1:$AB$65000,$B1144,AN$5)="",2,0)),0)</f>
        <v>0</v>
      </c>
      <c r="AO1144" s="313">
        <f>IFERROR(IF(INDEX([1]Pivot!$BF$1:$CG$65000,$B1144,AO$5)=1,1,IF(INDEX([1]Pivot!$B$1:$AB$65000,$B1144,AO$5)="",2,0)),0)</f>
        <v>0</v>
      </c>
      <c r="AP1144" s="313">
        <f>IFERROR(IF(INDEX([1]Pivot!$BF$1:$CG$65000,$B1144,AP$5)=1,1,IF(INDEX([1]Pivot!$B$1:$AB$65000,$B1144,AP$5)="",2,0)),0)</f>
        <v>0</v>
      </c>
      <c r="AQ1144" s="313">
        <f>IFERROR(IF(INDEX([1]Pivot!$BF$1:$CG$65000,$B1144,AQ$5)=1,1,IF(INDEX([1]Pivot!$B$1:$AB$65000,$B1144,AQ$5)="",2,0)),0)</f>
        <v>0</v>
      </c>
      <c r="AR1144" s="313">
        <f>IFERROR(IF(INDEX([1]Pivot!$BF$1:$CG$65000,$B1144,AR$5)=1,1,IF(INDEX([1]Pivot!$B$1:$AB$65000,$B1144,AR$5)="",2,0)),0)</f>
        <v>0</v>
      </c>
      <c r="AS1144" s="312"/>
      <c r="AT1144" s="313">
        <f>IFERROR(IF(INDEX([1]Pivot!$BF$1:$CG$65000,$B1144,AT$5)=1,1,IF(INDEX([1]Pivot!$B$1:$AB$65000,$B1144,AT$5)="",2,0)),0)</f>
        <v>0</v>
      </c>
      <c r="AU1144" s="313">
        <f>IFERROR(IF(INDEX([1]Pivot!$BF$1:$CG$65000,$B1144,AU$5)=1,1,IF(INDEX([1]Pivot!$B$1:$AB$65000,$B1144,AU$5)="",2,0)),0)</f>
        <v>0</v>
      </c>
      <c r="AV1144" s="313">
        <f>IFERROR(IF(INDEX([1]Pivot!$BF$1:$CG$65000,$B1144,AV$5)=1,1,IF(INDEX([1]Pivot!$B$1:$AB$65000,$B1144,AV$5)="",2,0)),0)</f>
        <v>0</v>
      </c>
      <c r="AW1144" s="313">
        <f>IFERROR(IF(INDEX([1]Pivot!$BF$1:$CG$65000,$B1144,AW$5)=1,1,IF(INDEX([1]Pivot!$B$1:$AB$65000,$B1144,AW$5)="",2,0)),0)</f>
        <v>0</v>
      </c>
      <c r="AX1144" s="313">
        <f>IFERROR(IF(INDEX([1]Pivot!$BF$1:$CG$65000,$B1144,AX$5)=1,1,IF(INDEX([1]Pivot!$B$1:$AB$65000,$B1144,AX$5)="",2,0)),0)</f>
        <v>0</v>
      </c>
      <c r="AY1144" s="313">
        <f>IFERROR(IF(INDEX([1]Pivot!$BF$1:$CG$65000,$B1144,AY$5)=1,1,IF(INDEX([1]Pivot!$B$1:$AB$65000,$B1144,AY$5)="",2,0)),0)</f>
        <v>0</v>
      </c>
      <c r="AZ1144" s="313">
        <f>IFERROR(IF(INDEX([1]Pivot!$BF$1:$CG$65000,$B1144,AZ$5)=1,1,IF(INDEX([1]Pivot!$B$1:$AB$65000,$B1144,AZ$5)="",2,0)),0)</f>
        <v>0</v>
      </c>
      <c r="BA1144" s="313">
        <f>IFERROR(IF(INDEX([1]Pivot!$BF$1:$CG$65000,$B1144,BA$5)=1,1,IF(INDEX([1]Pivot!$B$1:$AB$65000,$B1144,BA$5)="",2,0)),0)</f>
        <v>0</v>
      </c>
      <c r="BB1144" s="313">
        <f>IFERROR(IF(INDEX([1]Pivot!$BF$1:$CG$65000,$B1144,BB$5)=1,1,IF(INDEX([1]Pivot!$B$1:$AB$65000,$B1144,BB$5)="",2,0)),0)</f>
        <v>0</v>
      </c>
      <c r="BC1144" s="313">
        <f>IFERROR(IF(INDEX([1]Pivot!$BF$1:$CG$65000,$B1144,BC$5)=1,1,IF(INDEX([1]Pivot!$B$1:$AB$65000,$B1144,BC$5)="",2,0)),0)</f>
        <v>0</v>
      </c>
      <c r="BD1144" s="313">
        <f>IFERROR(IF(INDEX([1]Pivot!$BF$1:$CG$65000,$B1144,BD$5)=1,1,IF(INDEX([1]Pivot!$B$1:$AB$65000,$B1144,BD$5)="",2,0)),0)</f>
        <v>0</v>
      </c>
    </row>
    <row r="1145" spans="1:56" x14ac:dyDescent="0.25">
      <c r="A1145" s="288">
        <f>'[2]Raw Milk Prices'!A1145</f>
        <v>0</v>
      </c>
      <c r="B1145" s="296" t="e">
        <f>MATCH(DATE(LEFT('[2]Raw Milk Prices'!$A1145,4),RIGHT('[2]Raw Milk Prices'!$A1145,2),1),[1]Pivot!$A$1:$A$65000,0)</f>
        <v>#VALUE!</v>
      </c>
      <c r="C1145" s="194">
        <f>IFERROR(IF(INDEX([1]Pivot!$AD$1:$BE$65000,$B1145,C$5)=1,1,IF(INDEX([1]Pivot!$B$1:$AB$65000,$B1145,C$5)="",2,0)),0)</f>
        <v>0</v>
      </c>
      <c r="D1145" s="194">
        <f>IFERROR(IF(INDEX([1]Pivot!$AD$1:$BE$65000,$B1145,D$5)=1,1,IF(INDEX([1]Pivot!$B$1:$AB$65000,$B1145,D$5)="",2,0)),0)</f>
        <v>0</v>
      </c>
      <c r="E1145" s="194">
        <f>IFERROR(IF(INDEX([1]Pivot!$AD$1:$BE$65000,$B1145,E$5)=1,1,IF(INDEX([1]Pivot!$B$1:$AB$65000,$B1145,E$5)="",2,0)),0)</f>
        <v>0</v>
      </c>
      <c r="F1145" s="194">
        <f>IFERROR(IF(INDEX([1]Pivot!$AD$1:$BE$65000,$B1145,F$5)=1,1,IF(INDEX([1]Pivot!$B$1:$AB$65000,$B1145,F$5)="",2,0)),0)</f>
        <v>0</v>
      </c>
      <c r="G1145" s="194">
        <f>IFERROR(IF(INDEX([1]Pivot!$AD$1:$BE$65000,$B1145,G$5)=1,1,IF(INDEX([1]Pivot!$B$1:$AB$65000,$B1145,G$5)="",2,0)),0)</f>
        <v>0</v>
      </c>
      <c r="H1145" s="194">
        <f>IFERROR(IF(INDEX([1]Pivot!$AD$1:$BE$65000,$B1145,H$5)=1,1,IF(INDEX([1]Pivot!$B$1:$AB$65000,$B1145,H$5)="",2,0)),0)</f>
        <v>0</v>
      </c>
      <c r="I1145" s="194">
        <f>IFERROR(IF(INDEX([1]Pivot!$AD$1:$BE$65000,$B1145,I$5)=1,1,IF(INDEX([1]Pivot!$B$1:$AB$65000,$B1145,I$5)="",2,0)),0)</f>
        <v>0</v>
      </c>
      <c r="J1145" s="194">
        <f>IFERROR(IF(INDEX([1]Pivot!$AD$1:$BE$65000,$B1145,J$5)=1,1,IF(INDEX([1]Pivot!$B$1:$AB$65000,$B1145,J$5)="",2,0)),0)</f>
        <v>0</v>
      </c>
      <c r="K1145" s="194">
        <f>IFERROR(IF(INDEX([1]Pivot!$AD$1:$BE$65000,$B1145,K$5)=1,1,IF(INDEX([1]Pivot!$B$1:$AB$65000,$B1145,K$5)="",2,0)),0)</f>
        <v>0</v>
      </c>
      <c r="L1145" s="194">
        <f>IFERROR(IF(INDEX([1]Pivot!$AD$1:$BE$65000,$B1145,L$5)=1,1,IF(INDEX([1]Pivot!$B$1:$AB$65000,$B1145,L$5)="",2,0)),0)</f>
        <v>0</v>
      </c>
      <c r="M1145" s="194">
        <f>IFERROR(IF(INDEX([1]Pivot!$AD$1:$BE$65000,$B1145,M$5)=1,1,IF(INDEX([1]Pivot!$B$1:$AB$65000,$B1145,M$5)="",2,0)),0)</f>
        <v>0</v>
      </c>
      <c r="N1145" s="194">
        <f>IFERROR(IF(INDEX([1]Pivot!$AD$1:$BE$65000,$B1145,N$5)=1,1,IF(INDEX([1]Pivot!$B$1:$AB$65000,$B1145,N$5)="",2,0)),0)</f>
        <v>0</v>
      </c>
      <c r="O1145" s="194">
        <f>IFERROR(IF(INDEX([1]Pivot!$AD$1:$BE$65000,$B1145,O$5)=1,1,IF(INDEX([1]Pivot!$B$1:$AB$65000,$B1145,O$5)="",2,0)),0)</f>
        <v>0</v>
      </c>
      <c r="P1145" s="194">
        <f>IFERROR(IF(INDEX([1]Pivot!$AD$1:$BE$65000,$B1145,P$5)=1,1,IF(INDEX([1]Pivot!$B$1:$AB$65000,$B1145,P$5)="",2,0)),0)</f>
        <v>0</v>
      </c>
      <c r="Q1145" s="194">
        <f>IFERROR(IF(INDEX([1]Pivot!$AD$1:$BE$65000,$B1145,Q$5)=1,1,IF(INDEX([1]Pivot!$B$1:$AB$65000,$B1145,Q$5)="",2,0)),0)</f>
        <v>0</v>
      </c>
      <c r="R1145" s="312"/>
      <c r="S1145" s="194">
        <f>IFERROR(IF(INDEX([1]Pivot!$AD$1:$BE$65000,$B1145,S$5)=1,1,IF(INDEX([1]Pivot!$B$1:$AB$65000,$B1145,S$5)="",2,0)),0)</f>
        <v>0</v>
      </c>
      <c r="T1145" s="194">
        <f>IFERROR(IF(INDEX([1]Pivot!$AD$1:$BE$65000,$B1145,T$5)=1,1,IF(INDEX([1]Pivot!$B$1:$AB$65000,$B1145,T$5)="",2,0)),0)</f>
        <v>0</v>
      </c>
      <c r="U1145" s="194">
        <f>IFERROR(IF(INDEX([1]Pivot!$AD$1:$BE$65000,$B1145,U$5)=1,1,IF(INDEX([1]Pivot!$B$1:$AB$65000,$B1145,U$5)="",2,0)),0)</f>
        <v>0</v>
      </c>
      <c r="V1145" s="194">
        <f>IFERROR(IF(INDEX([1]Pivot!$AD$1:$BE$65000,$B1145,V$5)=1,1,IF(INDEX([1]Pivot!$B$1:$AB$65000,$B1145,V$5)="",2,0)),0)</f>
        <v>0</v>
      </c>
      <c r="W1145" s="194">
        <f>IFERROR(IF(INDEX([1]Pivot!$AD$1:$BE$65000,$B1145,W$5)=1,1,IF(INDEX([1]Pivot!$B$1:$AB$65000,$B1145,W$5)="",2,0)),0)</f>
        <v>0</v>
      </c>
      <c r="X1145" s="194">
        <f>IFERROR(IF(INDEX([1]Pivot!$AD$1:$BE$65000,$B1145,X$5)=1,1,IF(INDEX([1]Pivot!$B$1:$AB$65000,$B1145,X$5)="",2,0)),0)</f>
        <v>0</v>
      </c>
      <c r="Y1145" s="194">
        <f>IFERROR(IF(INDEX([1]Pivot!$AD$1:$BE$65000,$B1145,Y$5)=1,1,IF(INDEX([1]Pivot!$B$1:$AB$65000,$B1145,Y$5)="",2,0)),0)</f>
        <v>0</v>
      </c>
      <c r="Z1145" s="194">
        <f>IFERROR(IF(INDEX([1]Pivot!$AD$1:$BE$65000,$B1145,Z$5)=1,1,IF(INDEX([1]Pivot!$B$1:$AB$65000,$B1145,Z$5)="",2,0)),0)</f>
        <v>0</v>
      </c>
      <c r="AA1145" s="194">
        <f>IFERROR(IF(INDEX([1]Pivot!$AD$1:$BE$65000,$B1145,AA$5)=1,1,IF(INDEX([1]Pivot!$B$1:$AB$65000,$B1145,AA$5)="",2,0)),0)</f>
        <v>0</v>
      </c>
      <c r="AB1145" s="194">
        <f>IFERROR(IF(INDEX([1]Pivot!$AD$1:$BE$65000,$B1145,AB$5)=1,1,IF(INDEX([1]Pivot!$B$1:$AB$65000,$B1145,AB$5)="",2,0)),0)</f>
        <v>0</v>
      </c>
      <c r="AC1145" s="194">
        <f>IFERROR(IF(INDEX([1]Pivot!$AD$1:$BE$65000,$B1145,AC$5)=1,1,IF(INDEX([1]Pivot!$B$1:$AB$65000,$B1145,AC$5)="",2,0)),0)</f>
        <v>0</v>
      </c>
      <c r="AD1145" s="313">
        <f>IFERROR(IF(INDEX([1]Pivot!$BF$1:$CG$65000,$B1145,AD$5)=1,1,IF(INDEX([1]Pivot!$B$1:$AB$65000,$B1145,AD$5)="",2,0)),0)</f>
        <v>0</v>
      </c>
      <c r="AE1145" s="313">
        <f>IFERROR(IF(INDEX([1]Pivot!$BF$1:$CG$65000,$B1145,AE$5)=1,1,IF(INDEX([1]Pivot!$B$1:$AB$65000,$B1145,AE$5)="",2,0)),0)</f>
        <v>0</v>
      </c>
      <c r="AF1145" s="313">
        <f>IFERROR(IF(INDEX([1]Pivot!$BF$1:$CG$65000,$B1145,AF$5)=1,1,IF(INDEX([1]Pivot!$B$1:$AB$65000,$B1145,AF$5)="",2,0)),0)</f>
        <v>0</v>
      </c>
      <c r="AG1145" s="313">
        <f>IFERROR(IF(INDEX([1]Pivot!$BF$1:$CG$65000,$B1145,AG$5)=1,1,IF(INDEX([1]Pivot!$B$1:$AB$65000,$B1145,AG$5)="",2,0)),0)</f>
        <v>0</v>
      </c>
      <c r="AH1145" s="313">
        <f>IFERROR(IF(INDEX([1]Pivot!$BF$1:$CG$65000,$B1145,AH$5)=1,1,IF(INDEX([1]Pivot!$B$1:$AB$65000,$B1145,AH$5)="",2,0)),0)</f>
        <v>0</v>
      </c>
      <c r="AI1145" s="313">
        <f>IFERROR(IF(INDEX([1]Pivot!$BF$1:$CG$65000,$B1145,AI$5)=1,1,IF(INDEX([1]Pivot!$B$1:$AB$65000,$B1145,AI$5)="",2,0)),0)</f>
        <v>0</v>
      </c>
      <c r="AJ1145" s="313">
        <f>IFERROR(IF(INDEX([1]Pivot!$BF$1:$CG$65000,$B1145,AJ$5)=1,1,IF(INDEX([1]Pivot!$B$1:$AB$65000,$B1145,AJ$5)="",2,0)),0)</f>
        <v>0</v>
      </c>
      <c r="AK1145" s="313">
        <f>IFERROR(IF(INDEX([1]Pivot!$BF$1:$CG$65000,$B1145,AK$5)=1,1,IF(INDEX([1]Pivot!$B$1:$AB$65000,$B1145,AK$5)="",2,0)),0)</f>
        <v>0</v>
      </c>
      <c r="AL1145" s="313">
        <f>IFERROR(IF(INDEX([1]Pivot!$BF$1:$CG$65000,$B1145,AL$5)=1,1,IF(INDEX([1]Pivot!$B$1:$AB$65000,$B1145,AL$5)="",2,0)),0)</f>
        <v>0</v>
      </c>
      <c r="AM1145" s="313">
        <f>IFERROR(IF(INDEX([1]Pivot!$BF$1:$CG$65000,$B1145,AM$5)=1,1,IF(INDEX([1]Pivot!$B$1:$AB$65000,$B1145,AM$5)="",2,0)),0)</f>
        <v>0</v>
      </c>
      <c r="AN1145" s="313">
        <f>IFERROR(IF(INDEX([1]Pivot!$BF$1:$CG$65000,$B1145,AN$5)=1,1,IF(INDEX([1]Pivot!$B$1:$AB$65000,$B1145,AN$5)="",2,0)),0)</f>
        <v>0</v>
      </c>
      <c r="AO1145" s="313">
        <f>IFERROR(IF(INDEX([1]Pivot!$BF$1:$CG$65000,$B1145,AO$5)=1,1,IF(INDEX([1]Pivot!$B$1:$AB$65000,$B1145,AO$5)="",2,0)),0)</f>
        <v>0</v>
      </c>
      <c r="AP1145" s="313">
        <f>IFERROR(IF(INDEX([1]Pivot!$BF$1:$CG$65000,$B1145,AP$5)=1,1,IF(INDEX([1]Pivot!$B$1:$AB$65000,$B1145,AP$5)="",2,0)),0)</f>
        <v>0</v>
      </c>
      <c r="AQ1145" s="313">
        <f>IFERROR(IF(INDEX([1]Pivot!$BF$1:$CG$65000,$B1145,AQ$5)=1,1,IF(INDEX([1]Pivot!$B$1:$AB$65000,$B1145,AQ$5)="",2,0)),0)</f>
        <v>0</v>
      </c>
      <c r="AR1145" s="313">
        <f>IFERROR(IF(INDEX([1]Pivot!$BF$1:$CG$65000,$B1145,AR$5)=1,1,IF(INDEX([1]Pivot!$B$1:$AB$65000,$B1145,AR$5)="",2,0)),0)</f>
        <v>0</v>
      </c>
      <c r="AS1145" s="312"/>
      <c r="AT1145" s="313">
        <f>IFERROR(IF(INDEX([1]Pivot!$BF$1:$CG$65000,$B1145,AT$5)=1,1,IF(INDEX([1]Pivot!$B$1:$AB$65000,$B1145,AT$5)="",2,0)),0)</f>
        <v>0</v>
      </c>
      <c r="AU1145" s="313">
        <f>IFERROR(IF(INDEX([1]Pivot!$BF$1:$CG$65000,$B1145,AU$5)=1,1,IF(INDEX([1]Pivot!$B$1:$AB$65000,$B1145,AU$5)="",2,0)),0)</f>
        <v>0</v>
      </c>
      <c r="AV1145" s="313">
        <f>IFERROR(IF(INDEX([1]Pivot!$BF$1:$CG$65000,$B1145,AV$5)=1,1,IF(INDEX([1]Pivot!$B$1:$AB$65000,$B1145,AV$5)="",2,0)),0)</f>
        <v>0</v>
      </c>
      <c r="AW1145" s="313">
        <f>IFERROR(IF(INDEX([1]Pivot!$BF$1:$CG$65000,$B1145,AW$5)=1,1,IF(INDEX([1]Pivot!$B$1:$AB$65000,$B1145,AW$5)="",2,0)),0)</f>
        <v>0</v>
      </c>
      <c r="AX1145" s="313">
        <f>IFERROR(IF(INDEX([1]Pivot!$BF$1:$CG$65000,$B1145,AX$5)=1,1,IF(INDEX([1]Pivot!$B$1:$AB$65000,$B1145,AX$5)="",2,0)),0)</f>
        <v>0</v>
      </c>
      <c r="AY1145" s="313">
        <f>IFERROR(IF(INDEX([1]Pivot!$BF$1:$CG$65000,$B1145,AY$5)=1,1,IF(INDEX([1]Pivot!$B$1:$AB$65000,$B1145,AY$5)="",2,0)),0)</f>
        <v>0</v>
      </c>
      <c r="AZ1145" s="313">
        <f>IFERROR(IF(INDEX([1]Pivot!$BF$1:$CG$65000,$B1145,AZ$5)=1,1,IF(INDEX([1]Pivot!$B$1:$AB$65000,$B1145,AZ$5)="",2,0)),0)</f>
        <v>0</v>
      </c>
      <c r="BA1145" s="313">
        <f>IFERROR(IF(INDEX([1]Pivot!$BF$1:$CG$65000,$B1145,BA$5)=1,1,IF(INDEX([1]Pivot!$B$1:$AB$65000,$B1145,BA$5)="",2,0)),0)</f>
        <v>0</v>
      </c>
      <c r="BB1145" s="313">
        <f>IFERROR(IF(INDEX([1]Pivot!$BF$1:$CG$65000,$B1145,BB$5)=1,1,IF(INDEX([1]Pivot!$B$1:$AB$65000,$B1145,BB$5)="",2,0)),0)</f>
        <v>0</v>
      </c>
      <c r="BC1145" s="313">
        <f>IFERROR(IF(INDEX([1]Pivot!$BF$1:$CG$65000,$B1145,BC$5)=1,1,IF(INDEX([1]Pivot!$B$1:$AB$65000,$B1145,BC$5)="",2,0)),0)</f>
        <v>0</v>
      </c>
      <c r="BD1145" s="313">
        <f>IFERROR(IF(INDEX([1]Pivot!$BF$1:$CG$65000,$B1145,BD$5)=1,1,IF(INDEX([1]Pivot!$B$1:$AB$65000,$B1145,BD$5)="",2,0)),0)</f>
        <v>0</v>
      </c>
    </row>
    <row r="1146" spans="1:56" x14ac:dyDescent="0.25">
      <c r="A1146" s="288">
        <f>'[2]Raw Milk Prices'!A1146</f>
        <v>0</v>
      </c>
      <c r="B1146" s="296" t="e">
        <f>MATCH(DATE(LEFT('[2]Raw Milk Prices'!$A1146,4),RIGHT('[2]Raw Milk Prices'!$A1146,2),1),[1]Pivot!$A$1:$A$65000,0)</f>
        <v>#VALUE!</v>
      </c>
      <c r="C1146" s="194">
        <f>IFERROR(IF(INDEX([1]Pivot!$AD$1:$BE$65000,$B1146,C$5)=1,1,IF(INDEX([1]Pivot!$B$1:$AB$65000,$B1146,C$5)="",2,0)),0)</f>
        <v>0</v>
      </c>
      <c r="D1146" s="194">
        <f>IFERROR(IF(INDEX([1]Pivot!$AD$1:$BE$65000,$B1146,D$5)=1,1,IF(INDEX([1]Pivot!$B$1:$AB$65000,$B1146,D$5)="",2,0)),0)</f>
        <v>0</v>
      </c>
      <c r="E1146" s="194">
        <f>IFERROR(IF(INDEX([1]Pivot!$AD$1:$BE$65000,$B1146,E$5)=1,1,IF(INDEX([1]Pivot!$B$1:$AB$65000,$B1146,E$5)="",2,0)),0)</f>
        <v>0</v>
      </c>
      <c r="F1146" s="194">
        <f>IFERROR(IF(INDEX([1]Pivot!$AD$1:$BE$65000,$B1146,F$5)=1,1,IF(INDEX([1]Pivot!$B$1:$AB$65000,$B1146,F$5)="",2,0)),0)</f>
        <v>0</v>
      </c>
      <c r="G1146" s="194">
        <f>IFERROR(IF(INDEX([1]Pivot!$AD$1:$BE$65000,$B1146,G$5)=1,1,IF(INDEX([1]Pivot!$B$1:$AB$65000,$B1146,G$5)="",2,0)),0)</f>
        <v>0</v>
      </c>
      <c r="H1146" s="194">
        <f>IFERROR(IF(INDEX([1]Pivot!$AD$1:$BE$65000,$B1146,H$5)=1,1,IF(INDEX([1]Pivot!$B$1:$AB$65000,$B1146,H$5)="",2,0)),0)</f>
        <v>0</v>
      </c>
      <c r="I1146" s="194">
        <f>IFERROR(IF(INDEX([1]Pivot!$AD$1:$BE$65000,$B1146,I$5)=1,1,IF(INDEX([1]Pivot!$B$1:$AB$65000,$B1146,I$5)="",2,0)),0)</f>
        <v>0</v>
      </c>
      <c r="J1146" s="194">
        <f>IFERROR(IF(INDEX([1]Pivot!$AD$1:$BE$65000,$B1146,J$5)=1,1,IF(INDEX([1]Pivot!$B$1:$AB$65000,$B1146,J$5)="",2,0)),0)</f>
        <v>0</v>
      </c>
      <c r="K1146" s="194">
        <f>IFERROR(IF(INDEX([1]Pivot!$AD$1:$BE$65000,$B1146,K$5)=1,1,IF(INDEX([1]Pivot!$B$1:$AB$65000,$B1146,K$5)="",2,0)),0)</f>
        <v>0</v>
      </c>
      <c r="L1146" s="194">
        <f>IFERROR(IF(INDEX([1]Pivot!$AD$1:$BE$65000,$B1146,L$5)=1,1,IF(INDEX([1]Pivot!$B$1:$AB$65000,$B1146,L$5)="",2,0)),0)</f>
        <v>0</v>
      </c>
      <c r="M1146" s="194">
        <f>IFERROR(IF(INDEX([1]Pivot!$AD$1:$BE$65000,$B1146,M$5)=1,1,IF(INDEX([1]Pivot!$B$1:$AB$65000,$B1146,M$5)="",2,0)),0)</f>
        <v>0</v>
      </c>
      <c r="N1146" s="194">
        <f>IFERROR(IF(INDEX([1]Pivot!$AD$1:$BE$65000,$B1146,N$5)=1,1,IF(INDEX([1]Pivot!$B$1:$AB$65000,$B1146,N$5)="",2,0)),0)</f>
        <v>0</v>
      </c>
      <c r="O1146" s="194">
        <f>IFERROR(IF(INDEX([1]Pivot!$AD$1:$BE$65000,$B1146,O$5)=1,1,IF(INDEX([1]Pivot!$B$1:$AB$65000,$B1146,O$5)="",2,0)),0)</f>
        <v>0</v>
      </c>
      <c r="P1146" s="194">
        <f>IFERROR(IF(INDEX([1]Pivot!$AD$1:$BE$65000,$B1146,P$5)=1,1,IF(INDEX([1]Pivot!$B$1:$AB$65000,$B1146,P$5)="",2,0)),0)</f>
        <v>0</v>
      </c>
      <c r="Q1146" s="194">
        <f>IFERROR(IF(INDEX([1]Pivot!$AD$1:$BE$65000,$B1146,Q$5)=1,1,IF(INDEX([1]Pivot!$B$1:$AB$65000,$B1146,Q$5)="",2,0)),0)</f>
        <v>0</v>
      </c>
      <c r="R1146" s="312"/>
      <c r="S1146" s="194">
        <f>IFERROR(IF(INDEX([1]Pivot!$AD$1:$BE$65000,$B1146,S$5)=1,1,IF(INDEX([1]Pivot!$B$1:$AB$65000,$B1146,S$5)="",2,0)),0)</f>
        <v>0</v>
      </c>
      <c r="T1146" s="194">
        <f>IFERROR(IF(INDEX([1]Pivot!$AD$1:$BE$65000,$B1146,T$5)=1,1,IF(INDEX([1]Pivot!$B$1:$AB$65000,$B1146,T$5)="",2,0)),0)</f>
        <v>0</v>
      </c>
      <c r="U1146" s="194">
        <f>IFERROR(IF(INDEX([1]Pivot!$AD$1:$BE$65000,$B1146,U$5)=1,1,IF(INDEX([1]Pivot!$B$1:$AB$65000,$B1146,U$5)="",2,0)),0)</f>
        <v>0</v>
      </c>
      <c r="V1146" s="194">
        <f>IFERROR(IF(INDEX([1]Pivot!$AD$1:$BE$65000,$B1146,V$5)=1,1,IF(INDEX([1]Pivot!$B$1:$AB$65000,$B1146,V$5)="",2,0)),0)</f>
        <v>0</v>
      </c>
      <c r="W1146" s="194">
        <f>IFERROR(IF(INDEX([1]Pivot!$AD$1:$BE$65000,$B1146,W$5)=1,1,IF(INDEX([1]Pivot!$B$1:$AB$65000,$B1146,W$5)="",2,0)),0)</f>
        <v>0</v>
      </c>
      <c r="X1146" s="194">
        <f>IFERROR(IF(INDEX([1]Pivot!$AD$1:$BE$65000,$B1146,X$5)=1,1,IF(INDEX([1]Pivot!$B$1:$AB$65000,$B1146,X$5)="",2,0)),0)</f>
        <v>0</v>
      </c>
      <c r="Y1146" s="194">
        <f>IFERROR(IF(INDEX([1]Pivot!$AD$1:$BE$65000,$B1146,Y$5)=1,1,IF(INDEX([1]Pivot!$B$1:$AB$65000,$B1146,Y$5)="",2,0)),0)</f>
        <v>0</v>
      </c>
      <c r="Z1146" s="194">
        <f>IFERROR(IF(INDEX([1]Pivot!$AD$1:$BE$65000,$B1146,Z$5)=1,1,IF(INDEX([1]Pivot!$B$1:$AB$65000,$B1146,Z$5)="",2,0)),0)</f>
        <v>0</v>
      </c>
      <c r="AA1146" s="194">
        <f>IFERROR(IF(INDEX([1]Pivot!$AD$1:$BE$65000,$B1146,AA$5)=1,1,IF(INDEX([1]Pivot!$B$1:$AB$65000,$B1146,AA$5)="",2,0)),0)</f>
        <v>0</v>
      </c>
      <c r="AB1146" s="194">
        <f>IFERROR(IF(INDEX([1]Pivot!$AD$1:$BE$65000,$B1146,AB$5)=1,1,IF(INDEX([1]Pivot!$B$1:$AB$65000,$B1146,AB$5)="",2,0)),0)</f>
        <v>0</v>
      </c>
      <c r="AC1146" s="194">
        <f>IFERROR(IF(INDEX([1]Pivot!$AD$1:$BE$65000,$B1146,AC$5)=1,1,IF(INDEX([1]Pivot!$B$1:$AB$65000,$B1146,AC$5)="",2,0)),0)</f>
        <v>0</v>
      </c>
      <c r="AD1146" s="313">
        <f>IFERROR(IF(INDEX([1]Pivot!$BF$1:$CG$65000,$B1146,AD$5)=1,1,IF(INDEX([1]Pivot!$B$1:$AB$65000,$B1146,AD$5)="",2,0)),0)</f>
        <v>0</v>
      </c>
      <c r="AE1146" s="313">
        <f>IFERROR(IF(INDEX([1]Pivot!$BF$1:$CG$65000,$B1146,AE$5)=1,1,IF(INDEX([1]Pivot!$B$1:$AB$65000,$B1146,AE$5)="",2,0)),0)</f>
        <v>0</v>
      </c>
      <c r="AF1146" s="313">
        <f>IFERROR(IF(INDEX([1]Pivot!$BF$1:$CG$65000,$B1146,AF$5)=1,1,IF(INDEX([1]Pivot!$B$1:$AB$65000,$B1146,AF$5)="",2,0)),0)</f>
        <v>0</v>
      </c>
      <c r="AG1146" s="313">
        <f>IFERROR(IF(INDEX([1]Pivot!$BF$1:$CG$65000,$B1146,AG$5)=1,1,IF(INDEX([1]Pivot!$B$1:$AB$65000,$B1146,AG$5)="",2,0)),0)</f>
        <v>0</v>
      </c>
      <c r="AH1146" s="313">
        <f>IFERROR(IF(INDEX([1]Pivot!$BF$1:$CG$65000,$B1146,AH$5)=1,1,IF(INDEX([1]Pivot!$B$1:$AB$65000,$B1146,AH$5)="",2,0)),0)</f>
        <v>0</v>
      </c>
      <c r="AI1146" s="313">
        <f>IFERROR(IF(INDEX([1]Pivot!$BF$1:$CG$65000,$B1146,AI$5)=1,1,IF(INDEX([1]Pivot!$B$1:$AB$65000,$B1146,AI$5)="",2,0)),0)</f>
        <v>0</v>
      </c>
      <c r="AJ1146" s="313">
        <f>IFERROR(IF(INDEX([1]Pivot!$BF$1:$CG$65000,$B1146,AJ$5)=1,1,IF(INDEX([1]Pivot!$B$1:$AB$65000,$B1146,AJ$5)="",2,0)),0)</f>
        <v>0</v>
      </c>
      <c r="AK1146" s="313">
        <f>IFERROR(IF(INDEX([1]Pivot!$BF$1:$CG$65000,$B1146,AK$5)=1,1,IF(INDEX([1]Pivot!$B$1:$AB$65000,$B1146,AK$5)="",2,0)),0)</f>
        <v>0</v>
      </c>
      <c r="AL1146" s="313">
        <f>IFERROR(IF(INDEX([1]Pivot!$BF$1:$CG$65000,$B1146,AL$5)=1,1,IF(INDEX([1]Pivot!$B$1:$AB$65000,$B1146,AL$5)="",2,0)),0)</f>
        <v>0</v>
      </c>
      <c r="AM1146" s="313">
        <f>IFERROR(IF(INDEX([1]Pivot!$BF$1:$CG$65000,$B1146,AM$5)=1,1,IF(INDEX([1]Pivot!$B$1:$AB$65000,$B1146,AM$5)="",2,0)),0)</f>
        <v>0</v>
      </c>
      <c r="AN1146" s="313">
        <f>IFERROR(IF(INDEX([1]Pivot!$BF$1:$CG$65000,$B1146,AN$5)=1,1,IF(INDEX([1]Pivot!$B$1:$AB$65000,$B1146,AN$5)="",2,0)),0)</f>
        <v>0</v>
      </c>
      <c r="AO1146" s="313">
        <f>IFERROR(IF(INDEX([1]Pivot!$BF$1:$CG$65000,$B1146,AO$5)=1,1,IF(INDEX([1]Pivot!$B$1:$AB$65000,$B1146,AO$5)="",2,0)),0)</f>
        <v>0</v>
      </c>
      <c r="AP1146" s="313">
        <f>IFERROR(IF(INDEX([1]Pivot!$BF$1:$CG$65000,$B1146,AP$5)=1,1,IF(INDEX([1]Pivot!$B$1:$AB$65000,$B1146,AP$5)="",2,0)),0)</f>
        <v>0</v>
      </c>
      <c r="AQ1146" s="313">
        <f>IFERROR(IF(INDEX([1]Pivot!$BF$1:$CG$65000,$B1146,AQ$5)=1,1,IF(INDEX([1]Pivot!$B$1:$AB$65000,$B1146,AQ$5)="",2,0)),0)</f>
        <v>0</v>
      </c>
      <c r="AR1146" s="313">
        <f>IFERROR(IF(INDEX([1]Pivot!$BF$1:$CG$65000,$B1146,AR$5)=1,1,IF(INDEX([1]Pivot!$B$1:$AB$65000,$B1146,AR$5)="",2,0)),0)</f>
        <v>0</v>
      </c>
      <c r="AS1146" s="312"/>
      <c r="AT1146" s="313">
        <f>IFERROR(IF(INDEX([1]Pivot!$BF$1:$CG$65000,$B1146,AT$5)=1,1,IF(INDEX([1]Pivot!$B$1:$AB$65000,$B1146,AT$5)="",2,0)),0)</f>
        <v>0</v>
      </c>
      <c r="AU1146" s="313">
        <f>IFERROR(IF(INDEX([1]Pivot!$BF$1:$CG$65000,$B1146,AU$5)=1,1,IF(INDEX([1]Pivot!$B$1:$AB$65000,$B1146,AU$5)="",2,0)),0)</f>
        <v>0</v>
      </c>
      <c r="AV1146" s="313">
        <f>IFERROR(IF(INDEX([1]Pivot!$BF$1:$CG$65000,$B1146,AV$5)=1,1,IF(INDEX([1]Pivot!$B$1:$AB$65000,$B1146,AV$5)="",2,0)),0)</f>
        <v>0</v>
      </c>
      <c r="AW1146" s="313">
        <f>IFERROR(IF(INDEX([1]Pivot!$BF$1:$CG$65000,$B1146,AW$5)=1,1,IF(INDEX([1]Pivot!$B$1:$AB$65000,$B1146,AW$5)="",2,0)),0)</f>
        <v>0</v>
      </c>
      <c r="AX1146" s="313">
        <f>IFERROR(IF(INDEX([1]Pivot!$BF$1:$CG$65000,$B1146,AX$5)=1,1,IF(INDEX([1]Pivot!$B$1:$AB$65000,$B1146,AX$5)="",2,0)),0)</f>
        <v>0</v>
      </c>
      <c r="AY1146" s="313">
        <f>IFERROR(IF(INDEX([1]Pivot!$BF$1:$CG$65000,$B1146,AY$5)=1,1,IF(INDEX([1]Pivot!$B$1:$AB$65000,$B1146,AY$5)="",2,0)),0)</f>
        <v>0</v>
      </c>
      <c r="AZ1146" s="313">
        <f>IFERROR(IF(INDEX([1]Pivot!$BF$1:$CG$65000,$B1146,AZ$5)=1,1,IF(INDEX([1]Pivot!$B$1:$AB$65000,$B1146,AZ$5)="",2,0)),0)</f>
        <v>0</v>
      </c>
      <c r="BA1146" s="313">
        <f>IFERROR(IF(INDEX([1]Pivot!$BF$1:$CG$65000,$B1146,BA$5)=1,1,IF(INDEX([1]Pivot!$B$1:$AB$65000,$B1146,BA$5)="",2,0)),0)</f>
        <v>0</v>
      </c>
      <c r="BB1146" s="313">
        <f>IFERROR(IF(INDEX([1]Pivot!$BF$1:$CG$65000,$B1146,BB$5)=1,1,IF(INDEX([1]Pivot!$B$1:$AB$65000,$B1146,BB$5)="",2,0)),0)</f>
        <v>0</v>
      </c>
      <c r="BC1146" s="313">
        <f>IFERROR(IF(INDEX([1]Pivot!$BF$1:$CG$65000,$B1146,BC$5)=1,1,IF(INDEX([1]Pivot!$B$1:$AB$65000,$B1146,BC$5)="",2,0)),0)</f>
        <v>0</v>
      </c>
      <c r="BD1146" s="313">
        <f>IFERROR(IF(INDEX([1]Pivot!$BF$1:$CG$65000,$B1146,BD$5)=1,1,IF(INDEX([1]Pivot!$B$1:$AB$65000,$B1146,BD$5)="",2,0)),0)</f>
        <v>0</v>
      </c>
    </row>
    <row r="1147" spans="1:56" x14ac:dyDescent="0.25">
      <c r="A1147" s="288">
        <f>'[2]Raw Milk Prices'!A1147</f>
        <v>0</v>
      </c>
      <c r="B1147" s="296" t="e">
        <f>MATCH(DATE(LEFT('[2]Raw Milk Prices'!$A1147,4),RIGHT('[2]Raw Milk Prices'!$A1147,2),1),[1]Pivot!$A$1:$A$65000,0)</f>
        <v>#VALUE!</v>
      </c>
      <c r="C1147" s="194">
        <f>IFERROR(IF(INDEX([1]Pivot!$AD$1:$BE$65000,$B1147,C$5)=1,1,IF(INDEX([1]Pivot!$B$1:$AB$65000,$B1147,C$5)="",2,0)),0)</f>
        <v>0</v>
      </c>
      <c r="D1147" s="194">
        <f>IFERROR(IF(INDEX([1]Pivot!$AD$1:$BE$65000,$B1147,D$5)=1,1,IF(INDEX([1]Pivot!$B$1:$AB$65000,$B1147,D$5)="",2,0)),0)</f>
        <v>0</v>
      </c>
      <c r="E1147" s="194">
        <f>IFERROR(IF(INDEX([1]Pivot!$AD$1:$BE$65000,$B1147,E$5)=1,1,IF(INDEX([1]Pivot!$B$1:$AB$65000,$B1147,E$5)="",2,0)),0)</f>
        <v>0</v>
      </c>
      <c r="F1147" s="194">
        <f>IFERROR(IF(INDEX([1]Pivot!$AD$1:$BE$65000,$B1147,F$5)=1,1,IF(INDEX([1]Pivot!$B$1:$AB$65000,$B1147,F$5)="",2,0)),0)</f>
        <v>0</v>
      </c>
      <c r="G1147" s="194">
        <f>IFERROR(IF(INDEX([1]Pivot!$AD$1:$BE$65000,$B1147,G$5)=1,1,IF(INDEX([1]Pivot!$B$1:$AB$65000,$B1147,G$5)="",2,0)),0)</f>
        <v>0</v>
      </c>
      <c r="H1147" s="194">
        <f>IFERROR(IF(INDEX([1]Pivot!$AD$1:$BE$65000,$B1147,H$5)=1,1,IF(INDEX([1]Pivot!$B$1:$AB$65000,$B1147,H$5)="",2,0)),0)</f>
        <v>0</v>
      </c>
      <c r="I1147" s="194">
        <f>IFERROR(IF(INDEX([1]Pivot!$AD$1:$BE$65000,$B1147,I$5)=1,1,IF(INDEX([1]Pivot!$B$1:$AB$65000,$B1147,I$5)="",2,0)),0)</f>
        <v>0</v>
      </c>
      <c r="J1147" s="194">
        <f>IFERROR(IF(INDEX([1]Pivot!$AD$1:$BE$65000,$B1147,J$5)=1,1,IF(INDEX([1]Pivot!$B$1:$AB$65000,$B1147,J$5)="",2,0)),0)</f>
        <v>0</v>
      </c>
      <c r="K1147" s="194">
        <f>IFERROR(IF(INDEX([1]Pivot!$AD$1:$BE$65000,$B1147,K$5)=1,1,IF(INDEX([1]Pivot!$B$1:$AB$65000,$B1147,K$5)="",2,0)),0)</f>
        <v>0</v>
      </c>
      <c r="L1147" s="194">
        <f>IFERROR(IF(INDEX([1]Pivot!$AD$1:$BE$65000,$B1147,L$5)=1,1,IF(INDEX([1]Pivot!$B$1:$AB$65000,$B1147,L$5)="",2,0)),0)</f>
        <v>0</v>
      </c>
      <c r="M1147" s="194">
        <f>IFERROR(IF(INDEX([1]Pivot!$AD$1:$BE$65000,$B1147,M$5)=1,1,IF(INDEX([1]Pivot!$B$1:$AB$65000,$B1147,M$5)="",2,0)),0)</f>
        <v>0</v>
      </c>
      <c r="N1147" s="194">
        <f>IFERROR(IF(INDEX([1]Pivot!$AD$1:$BE$65000,$B1147,N$5)=1,1,IF(INDEX([1]Pivot!$B$1:$AB$65000,$B1147,N$5)="",2,0)),0)</f>
        <v>0</v>
      </c>
      <c r="O1147" s="194">
        <f>IFERROR(IF(INDEX([1]Pivot!$AD$1:$BE$65000,$B1147,O$5)=1,1,IF(INDEX([1]Pivot!$B$1:$AB$65000,$B1147,O$5)="",2,0)),0)</f>
        <v>0</v>
      </c>
      <c r="P1147" s="194">
        <f>IFERROR(IF(INDEX([1]Pivot!$AD$1:$BE$65000,$B1147,P$5)=1,1,IF(INDEX([1]Pivot!$B$1:$AB$65000,$B1147,P$5)="",2,0)),0)</f>
        <v>0</v>
      </c>
      <c r="Q1147" s="194">
        <f>IFERROR(IF(INDEX([1]Pivot!$AD$1:$BE$65000,$B1147,Q$5)=1,1,IF(INDEX([1]Pivot!$B$1:$AB$65000,$B1147,Q$5)="",2,0)),0)</f>
        <v>0</v>
      </c>
      <c r="R1147" s="312"/>
      <c r="S1147" s="194">
        <f>IFERROR(IF(INDEX([1]Pivot!$AD$1:$BE$65000,$B1147,S$5)=1,1,IF(INDEX([1]Pivot!$B$1:$AB$65000,$B1147,S$5)="",2,0)),0)</f>
        <v>0</v>
      </c>
      <c r="T1147" s="194">
        <f>IFERROR(IF(INDEX([1]Pivot!$AD$1:$BE$65000,$B1147,T$5)=1,1,IF(INDEX([1]Pivot!$B$1:$AB$65000,$B1147,T$5)="",2,0)),0)</f>
        <v>0</v>
      </c>
      <c r="U1147" s="194">
        <f>IFERROR(IF(INDEX([1]Pivot!$AD$1:$BE$65000,$B1147,U$5)=1,1,IF(INDEX([1]Pivot!$B$1:$AB$65000,$B1147,U$5)="",2,0)),0)</f>
        <v>0</v>
      </c>
      <c r="V1147" s="194">
        <f>IFERROR(IF(INDEX([1]Pivot!$AD$1:$BE$65000,$B1147,V$5)=1,1,IF(INDEX([1]Pivot!$B$1:$AB$65000,$B1147,V$5)="",2,0)),0)</f>
        <v>0</v>
      </c>
      <c r="W1147" s="194">
        <f>IFERROR(IF(INDEX([1]Pivot!$AD$1:$BE$65000,$B1147,W$5)=1,1,IF(INDEX([1]Pivot!$B$1:$AB$65000,$B1147,W$5)="",2,0)),0)</f>
        <v>0</v>
      </c>
      <c r="X1147" s="194">
        <f>IFERROR(IF(INDEX([1]Pivot!$AD$1:$BE$65000,$B1147,X$5)=1,1,IF(INDEX([1]Pivot!$B$1:$AB$65000,$B1147,X$5)="",2,0)),0)</f>
        <v>0</v>
      </c>
      <c r="Y1147" s="194">
        <f>IFERROR(IF(INDEX([1]Pivot!$AD$1:$BE$65000,$B1147,Y$5)=1,1,IF(INDEX([1]Pivot!$B$1:$AB$65000,$B1147,Y$5)="",2,0)),0)</f>
        <v>0</v>
      </c>
      <c r="Z1147" s="194">
        <f>IFERROR(IF(INDEX([1]Pivot!$AD$1:$BE$65000,$B1147,Z$5)=1,1,IF(INDEX([1]Pivot!$B$1:$AB$65000,$B1147,Z$5)="",2,0)),0)</f>
        <v>0</v>
      </c>
      <c r="AA1147" s="194">
        <f>IFERROR(IF(INDEX([1]Pivot!$AD$1:$BE$65000,$B1147,AA$5)=1,1,IF(INDEX([1]Pivot!$B$1:$AB$65000,$B1147,AA$5)="",2,0)),0)</f>
        <v>0</v>
      </c>
      <c r="AB1147" s="194">
        <f>IFERROR(IF(INDEX([1]Pivot!$AD$1:$BE$65000,$B1147,AB$5)=1,1,IF(INDEX([1]Pivot!$B$1:$AB$65000,$B1147,AB$5)="",2,0)),0)</f>
        <v>0</v>
      </c>
      <c r="AC1147" s="194">
        <f>IFERROR(IF(INDEX([1]Pivot!$AD$1:$BE$65000,$B1147,AC$5)=1,1,IF(INDEX([1]Pivot!$B$1:$AB$65000,$B1147,AC$5)="",2,0)),0)</f>
        <v>0</v>
      </c>
      <c r="AD1147" s="313">
        <f>IFERROR(IF(INDEX([1]Pivot!$BF$1:$CG$65000,$B1147,AD$5)=1,1,IF(INDEX([1]Pivot!$B$1:$AB$65000,$B1147,AD$5)="",2,0)),0)</f>
        <v>0</v>
      </c>
      <c r="AE1147" s="313">
        <f>IFERROR(IF(INDEX([1]Pivot!$BF$1:$CG$65000,$B1147,AE$5)=1,1,IF(INDEX([1]Pivot!$B$1:$AB$65000,$B1147,AE$5)="",2,0)),0)</f>
        <v>0</v>
      </c>
      <c r="AF1147" s="313">
        <f>IFERROR(IF(INDEX([1]Pivot!$BF$1:$CG$65000,$B1147,AF$5)=1,1,IF(INDEX([1]Pivot!$B$1:$AB$65000,$B1147,AF$5)="",2,0)),0)</f>
        <v>0</v>
      </c>
      <c r="AG1147" s="313">
        <f>IFERROR(IF(INDEX([1]Pivot!$BF$1:$CG$65000,$B1147,AG$5)=1,1,IF(INDEX([1]Pivot!$B$1:$AB$65000,$B1147,AG$5)="",2,0)),0)</f>
        <v>0</v>
      </c>
      <c r="AH1147" s="313">
        <f>IFERROR(IF(INDEX([1]Pivot!$BF$1:$CG$65000,$B1147,AH$5)=1,1,IF(INDEX([1]Pivot!$B$1:$AB$65000,$B1147,AH$5)="",2,0)),0)</f>
        <v>0</v>
      </c>
      <c r="AI1147" s="313">
        <f>IFERROR(IF(INDEX([1]Pivot!$BF$1:$CG$65000,$B1147,AI$5)=1,1,IF(INDEX([1]Pivot!$B$1:$AB$65000,$B1147,AI$5)="",2,0)),0)</f>
        <v>0</v>
      </c>
      <c r="AJ1147" s="313">
        <f>IFERROR(IF(INDEX([1]Pivot!$BF$1:$CG$65000,$B1147,AJ$5)=1,1,IF(INDEX([1]Pivot!$B$1:$AB$65000,$B1147,AJ$5)="",2,0)),0)</f>
        <v>0</v>
      </c>
      <c r="AK1147" s="313">
        <f>IFERROR(IF(INDEX([1]Pivot!$BF$1:$CG$65000,$B1147,AK$5)=1,1,IF(INDEX([1]Pivot!$B$1:$AB$65000,$B1147,AK$5)="",2,0)),0)</f>
        <v>0</v>
      </c>
      <c r="AL1147" s="313">
        <f>IFERROR(IF(INDEX([1]Pivot!$BF$1:$CG$65000,$B1147,AL$5)=1,1,IF(INDEX([1]Pivot!$B$1:$AB$65000,$B1147,AL$5)="",2,0)),0)</f>
        <v>0</v>
      </c>
      <c r="AM1147" s="313">
        <f>IFERROR(IF(INDEX([1]Pivot!$BF$1:$CG$65000,$B1147,AM$5)=1,1,IF(INDEX([1]Pivot!$B$1:$AB$65000,$B1147,AM$5)="",2,0)),0)</f>
        <v>0</v>
      </c>
      <c r="AN1147" s="313">
        <f>IFERROR(IF(INDEX([1]Pivot!$BF$1:$CG$65000,$B1147,AN$5)=1,1,IF(INDEX([1]Pivot!$B$1:$AB$65000,$B1147,AN$5)="",2,0)),0)</f>
        <v>0</v>
      </c>
      <c r="AO1147" s="313">
        <f>IFERROR(IF(INDEX([1]Pivot!$BF$1:$CG$65000,$B1147,AO$5)=1,1,IF(INDEX([1]Pivot!$B$1:$AB$65000,$B1147,AO$5)="",2,0)),0)</f>
        <v>0</v>
      </c>
      <c r="AP1147" s="313">
        <f>IFERROR(IF(INDEX([1]Pivot!$BF$1:$CG$65000,$B1147,AP$5)=1,1,IF(INDEX([1]Pivot!$B$1:$AB$65000,$B1147,AP$5)="",2,0)),0)</f>
        <v>0</v>
      </c>
      <c r="AQ1147" s="313">
        <f>IFERROR(IF(INDEX([1]Pivot!$BF$1:$CG$65000,$B1147,AQ$5)=1,1,IF(INDEX([1]Pivot!$B$1:$AB$65000,$B1147,AQ$5)="",2,0)),0)</f>
        <v>0</v>
      </c>
      <c r="AR1147" s="313">
        <f>IFERROR(IF(INDEX([1]Pivot!$BF$1:$CG$65000,$B1147,AR$5)=1,1,IF(INDEX([1]Pivot!$B$1:$AB$65000,$B1147,AR$5)="",2,0)),0)</f>
        <v>0</v>
      </c>
      <c r="AS1147" s="312"/>
      <c r="AT1147" s="313">
        <f>IFERROR(IF(INDEX([1]Pivot!$BF$1:$CG$65000,$B1147,AT$5)=1,1,IF(INDEX([1]Pivot!$B$1:$AB$65000,$B1147,AT$5)="",2,0)),0)</f>
        <v>0</v>
      </c>
      <c r="AU1147" s="313">
        <f>IFERROR(IF(INDEX([1]Pivot!$BF$1:$CG$65000,$B1147,AU$5)=1,1,IF(INDEX([1]Pivot!$B$1:$AB$65000,$B1147,AU$5)="",2,0)),0)</f>
        <v>0</v>
      </c>
      <c r="AV1147" s="313">
        <f>IFERROR(IF(INDEX([1]Pivot!$BF$1:$CG$65000,$B1147,AV$5)=1,1,IF(INDEX([1]Pivot!$B$1:$AB$65000,$B1147,AV$5)="",2,0)),0)</f>
        <v>0</v>
      </c>
      <c r="AW1147" s="313">
        <f>IFERROR(IF(INDEX([1]Pivot!$BF$1:$CG$65000,$B1147,AW$5)=1,1,IF(INDEX([1]Pivot!$B$1:$AB$65000,$B1147,AW$5)="",2,0)),0)</f>
        <v>0</v>
      </c>
      <c r="AX1147" s="313">
        <f>IFERROR(IF(INDEX([1]Pivot!$BF$1:$CG$65000,$B1147,AX$5)=1,1,IF(INDEX([1]Pivot!$B$1:$AB$65000,$B1147,AX$5)="",2,0)),0)</f>
        <v>0</v>
      </c>
      <c r="AY1147" s="313">
        <f>IFERROR(IF(INDEX([1]Pivot!$BF$1:$CG$65000,$B1147,AY$5)=1,1,IF(INDEX([1]Pivot!$B$1:$AB$65000,$B1147,AY$5)="",2,0)),0)</f>
        <v>0</v>
      </c>
      <c r="AZ1147" s="313">
        <f>IFERROR(IF(INDEX([1]Pivot!$BF$1:$CG$65000,$B1147,AZ$5)=1,1,IF(INDEX([1]Pivot!$B$1:$AB$65000,$B1147,AZ$5)="",2,0)),0)</f>
        <v>0</v>
      </c>
      <c r="BA1147" s="313">
        <f>IFERROR(IF(INDEX([1]Pivot!$BF$1:$CG$65000,$B1147,BA$5)=1,1,IF(INDEX([1]Pivot!$B$1:$AB$65000,$B1147,BA$5)="",2,0)),0)</f>
        <v>0</v>
      </c>
      <c r="BB1147" s="313">
        <f>IFERROR(IF(INDEX([1]Pivot!$BF$1:$CG$65000,$B1147,BB$5)=1,1,IF(INDEX([1]Pivot!$B$1:$AB$65000,$B1147,BB$5)="",2,0)),0)</f>
        <v>0</v>
      </c>
      <c r="BC1147" s="313">
        <f>IFERROR(IF(INDEX([1]Pivot!$BF$1:$CG$65000,$B1147,BC$5)=1,1,IF(INDEX([1]Pivot!$B$1:$AB$65000,$B1147,BC$5)="",2,0)),0)</f>
        <v>0</v>
      </c>
      <c r="BD1147" s="313">
        <f>IFERROR(IF(INDEX([1]Pivot!$BF$1:$CG$65000,$B1147,BD$5)=1,1,IF(INDEX([1]Pivot!$B$1:$AB$65000,$B1147,BD$5)="",2,0)),0)</f>
        <v>0</v>
      </c>
    </row>
    <row r="1148" spans="1:56" x14ac:dyDescent="0.25">
      <c r="A1148" s="288">
        <f>'[2]Raw Milk Prices'!A1148</f>
        <v>0</v>
      </c>
      <c r="B1148" s="296" t="e">
        <f>MATCH(DATE(LEFT('[2]Raw Milk Prices'!$A1148,4),RIGHT('[2]Raw Milk Prices'!$A1148,2),1),[1]Pivot!$A$1:$A$65000,0)</f>
        <v>#VALUE!</v>
      </c>
      <c r="C1148" s="194">
        <f>IFERROR(IF(INDEX([1]Pivot!$AD$1:$BE$65000,$B1148,C$5)=1,1,IF(INDEX([1]Pivot!$B$1:$AB$65000,$B1148,C$5)="",2,0)),0)</f>
        <v>0</v>
      </c>
      <c r="D1148" s="194">
        <f>IFERROR(IF(INDEX([1]Pivot!$AD$1:$BE$65000,$B1148,D$5)=1,1,IF(INDEX([1]Pivot!$B$1:$AB$65000,$B1148,D$5)="",2,0)),0)</f>
        <v>0</v>
      </c>
      <c r="E1148" s="194">
        <f>IFERROR(IF(INDEX([1]Pivot!$AD$1:$BE$65000,$B1148,E$5)=1,1,IF(INDEX([1]Pivot!$B$1:$AB$65000,$B1148,E$5)="",2,0)),0)</f>
        <v>0</v>
      </c>
      <c r="F1148" s="194">
        <f>IFERROR(IF(INDEX([1]Pivot!$AD$1:$BE$65000,$B1148,F$5)=1,1,IF(INDEX([1]Pivot!$B$1:$AB$65000,$B1148,F$5)="",2,0)),0)</f>
        <v>0</v>
      </c>
      <c r="G1148" s="194">
        <f>IFERROR(IF(INDEX([1]Pivot!$AD$1:$BE$65000,$B1148,G$5)=1,1,IF(INDEX([1]Pivot!$B$1:$AB$65000,$B1148,G$5)="",2,0)),0)</f>
        <v>0</v>
      </c>
      <c r="H1148" s="194">
        <f>IFERROR(IF(INDEX([1]Pivot!$AD$1:$BE$65000,$B1148,H$5)=1,1,IF(INDEX([1]Pivot!$B$1:$AB$65000,$B1148,H$5)="",2,0)),0)</f>
        <v>0</v>
      </c>
      <c r="I1148" s="194">
        <f>IFERROR(IF(INDEX([1]Pivot!$AD$1:$BE$65000,$B1148,I$5)=1,1,IF(INDEX([1]Pivot!$B$1:$AB$65000,$B1148,I$5)="",2,0)),0)</f>
        <v>0</v>
      </c>
      <c r="J1148" s="194">
        <f>IFERROR(IF(INDEX([1]Pivot!$AD$1:$BE$65000,$B1148,J$5)=1,1,IF(INDEX([1]Pivot!$B$1:$AB$65000,$B1148,J$5)="",2,0)),0)</f>
        <v>0</v>
      </c>
      <c r="K1148" s="194">
        <f>IFERROR(IF(INDEX([1]Pivot!$AD$1:$BE$65000,$B1148,K$5)=1,1,IF(INDEX([1]Pivot!$B$1:$AB$65000,$B1148,K$5)="",2,0)),0)</f>
        <v>0</v>
      </c>
      <c r="L1148" s="194">
        <f>IFERROR(IF(INDEX([1]Pivot!$AD$1:$BE$65000,$B1148,L$5)=1,1,IF(INDEX([1]Pivot!$B$1:$AB$65000,$B1148,L$5)="",2,0)),0)</f>
        <v>0</v>
      </c>
      <c r="M1148" s="194">
        <f>IFERROR(IF(INDEX([1]Pivot!$AD$1:$BE$65000,$B1148,M$5)=1,1,IF(INDEX([1]Pivot!$B$1:$AB$65000,$B1148,M$5)="",2,0)),0)</f>
        <v>0</v>
      </c>
      <c r="N1148" s="194">
        <f>IFERROR(IF(INDEX([1]Pivot!$AD$1:$BE$65000,$B1148,N$5)=1,1,IF(INDEX([1]Pivot!$B$1:$AB$65000,$B1148,N$5)="",2,0)),0)</f>
        <v>0</v>
      </c>
      <c r="O1148" s="194">
        <f>IFERROR(IF(INDEX([1]Pivot!$AD$1:$BE$65000,$B1148,O$5)=1,1,IF(INDEX([1]Pivot!$B$1:$AB$65000,$B1148,O$5)="",2,0)),0)</f>
        <v>0</v>
      </c>
      <c r="P1148" s="194">
        <f>IFERROR(IF(INDEX([1]Pivot!$AD$1:$BE$65000,$B1148,P$5)=1,1,IF(INDEX([1]Pivot!$B$1:$AB$65000,$B1148,P$5)="",2,0)),0)</f>
        <v>0</v>
      </c>
      <c r="Q1148" s="194">
        <f>IFERROR(IF(INDEX([1]Pivot!$AD$1:$BE$65000,$B1148,Q$5)=1,1,IF(INDEX([1]Pivot!$B$1:$AB$65000,$B1148,Q$5)="",2,0)),0)</f>
        <v>0</v>
      </c>
      <c r="R1148" s="312"/>
      <c r="S1148" s="194">
        <f>IFERROR(IF(INDEX([1]Pivot!$AD$1:$BE$65000,$B1148,S$5)=1,1,IF(INDEX([1]Pivot!$B$1:$AB$65000,$B1148,S$5)="",2,0)),0)</f>
        <v>0</v>
      </c>
      <c r="T1148" s="194">
        <f>IFERROR(IF(INDEX([1]Pivot!$AD$1:$BE$65000,$B1148,T$5)=1,1,IF(INDEX([1]Pivot!$B$1:$AB$65000,$B1148,T$5)="",2,0)),0)</f>
        <v>0</v>
      </c>
      <c r="U1148" s="194">
        <f>IFERROR(IF(INDEX([1]Pivot!$AD$1:$BE$65000,$B1148,U$5)=1,1,IF(INDEX([1]Pivot!$B$1:$AB$65000,$B1148,U$5)="",2,0)),0)</f>
        <v>0</v>
      </c>
      <c r="V1148" s="194">
        <f>IFERROR(IF(INDEX([1]Pivot!$AD$1:$BE$65000,$B1148,V$5)=1,1,IF(INDEX([1]Pivot!$B$1:$AB$65000,$B1148,V$5)="",2,0)),0)</f>
        <v>0</v>
      </c>
      <c r="W1148" s="194">
        <f>IFERROR(IF(INDEX([1]Pivot!$AD$1:$BE$65000,$B1148,W$5)=1,1,IF(INDEX([1]Pivot!$B$1:$AB$65000,$B1148,W$5)="",2,0)),0)</f>
        <v>0</v>
      </c>
      <c r="X1148" s="194">
        <f>IFERROR(IF(INDEX([1]Pivot!$AD$1:$BE$65000,$B1148,X$5)=1,1,IF(INDEX([1]Pivot!$B$1:$AB$65000,$B1148,X$5)="",2,0)),0)</f>
        <v>0</v>
      </c>
      <c r="Y1148" s="194">
        <f>IFERROR(IF(INDEX([1]Pivot!$AD$1:$BE$65000,$B1148,Y$5)=1,1,IF(INDEX([1]Pivot!$B$1:$AB$65000,$B1148,Y$5)="",2,0)),0)</f>
        <v>0</v>
      </c>
      <c r="Z1148" s="194">
        <f>IFERROR(IF(INDEX([1]Pivot!$AD$1:$BE$65000,$B1148,Z$5)=1,1,IF(INDEX([1]Pivot!$B$1:$AB$65000,$B1148,Z$5)="",2,0)),0)</f>
        <v>0</v>
      </c>
      <c r="AA1148" s="194">
        <f>IFERROR(IF(INDEX([1]Pivot!$AD$1:$BE$65000,$B1148,AA$5)=1,1,IF(INDEX([1]Pivot!$B$1:$AB$65000,$B1148,AA$5)="",2,0)),0)</f>
        <v>0</v>
      </c>
      <c r="AB1148" s="194">
        <f>IFERROR(IF(INDEX([1]Pivot!$AD$1:$BE$65000,$B1148,AB$5)=1,1,IF(INDEX([1]Pivot!$B$1:$AB$65000,$B1148,AB$5)="",2,0)),0)</f>
        <v>0</v>
      </c>
      <c r="AC1148" s="194">
        <f>IFERROR(IF(INDEX([1]Pivot!$AD$1:$BE$65000,$B1148,AC$5)=1,1,IF(INDEX([1]Pivot!$B$1:$AB$65000,$B1148,AC$5)="",2,0)),0)</f>
        <v>0</v>
      </c>
      <c r="AD1148" s="313">
        <f>IFERROR(IF(INDEX([1]Pivot!$BF$1:$CG$65000,$B1148,AD$5)=1,1,IF(INDEX([1]Pivot!$B$1:$AB$65000,$B1148,AD$5)="",2,0)),0)</f>
        <v>0</v>
      </c>
      <c r="AE1148" s="313">
        <f>IFERROR(IF(INDEX([1]Pivot!$BF$1:$CG$65000,$B1148,AE$5)=1,1,IF(INDEX([1]Pivot!$B$1:$AB$65000,$B1148,AE$5)="",2,0)),0)</f>
        <v>0</v>
      </c>
      <c r="AF1148" s="313">
        <f>IFERROR(IF(INDEX([1]Pivot!$BF$1:$CG$65000,$B1148,AF$5)=1,1,IF(INDEX([1]Pivot!$B$1:$AB$65000,$B1148,AF$5)="",2,0)),0)</f>
        <v>0</v>
      </c>
      <c r="AG1148" s="313">
        <f>IFERROR(IF(INDEX([1]Pivot!$BF$1:$CG$65000,$B1148,AG$5)=1,1,IF(INDEX([1]Pivot!$B$1:$AB$65000,$B1148,AG$5)="",2,0)),0)</f>
        <v>0</v>
      </c>
      <c r="AH1148" s="313">
        <f>IFERROR(IF(INDEX([1]Pivot!$BF$1:$CG$65000,$B1148,AH$5)=1,1,IF(INDEX([1]Pivot!$B$1:$AB$65000,$B1148,AH$5)="",2,0)),0)</f>
        <v>0</v>
      </c>
      <c r="AI1148" s="313">
        <f>IFERROR(IF(INDEX([1]Pivot!$BF$1:$CG$65000,$B1148,AI$5)=1,1,IF(INDEX([1]Pivot!$B$1:$AB$65000,$B1148,AI$5)="",2,0)),0)</f>
        <v>0</v>
      </c>
      <c r="AJ1148" s="313">
        <f>IFERROR(IF(INDEX([1]Pivot!$BF$1:$CG$65000,$B1148,AJ$5)=1,1,IF(INDEX([1]Pivot!$B$1:$AB$65000,$B1148,AJ$5)="",2,0)),0)</f>
        <v>0</v>
      </c>
      <c r="AK1148" s="313">
        <f>IFERROR(IF(INDEX([1]Pivot!$BF$1:$CG$65000,$B1148,AK$5)=1,1,IF(INDEX([1]Pivot!$B$1:$AB$65000,$B1148,AK$5)="",2,0)),0)</f>
        <v>0</v>
      </c>
      <c r="AL1148" s="313">
        <f>IFERROR(IF(INDEX([1]Pivot!$BF$1:$CG$65000,$B1148,AL$5)=1,1,IF(INDEX([1]Pivot!$B$1:$AB$65000,$B1148,AL$5)="",2,0)),0)</f>
        <v>0</v>
      </c>
      <c r="AM1148" s="313">
        <f>IFERROR(IF(INDEX([1]Pivot!$BF$1:$CG$65000,$B1148,AM$5)=1,1,IF(INDEX([1]Pivot!$B$1:$AB$65000,$B1148,AM$5)="",2,0)),0)</f>
        <v>0</v>
      </c>
      <c r="AN1148" s="313">
        <f>IFERROR(IF(INDEX([1]Pivot!$BF$1:$CG$65000,$B1148,AN$5)=1,1,IF(INDEX([1]Pivot!$B$1:$AB$65000,$B1148,AN$5)="",2,0)),0)</f>
        <v>0</v>
      </c>
      <c r="AO1148" s="313">
        <f>IFERROR(IF(INDEX([1]Pivot!$BF$1:$CG$65000,$B1148,AO$5)=1,1,IF(INDEX([1]Pivot!$B$1:$AB$65000,$B1148,AO$5)="",2,0)),0)</f>
        <v>0</v>
      </c>
      <c r="AP1148" s="313">
        <f>IFERROR(IF(INDEX([1]Pivot!$BF$1:$CG$65000,$B1148,AP$5)=1,1,IF(INDEX([1]Pivot!$B$1:$AB$65000,$B1148,AP$5)="",2,0)),0)</f>
        <v>0</v>
      </c>
      <c r="AQ1148" s="313">
        <f>IFERROR(IF(INDEX([1]Pivot!$BF$1:$CG$65000,$B1148,AQ$5)=1,1,IF(INDEX([1]Pivot!$B$1:$AB$65000,$B1148,AQ$5)="",2,0)),0)</f>
        <v>0</v>
      </c>
      <c r="AR1148" s="313">
        <f>IFERROR(IF(INDEX([1]Pivot!$BF$1:$CG$65000,$B1148,AR$5)=1,1,IF(INDEX([1]Pivot!$B$1:$AB$65000,$B1148,AR$5)="",2,0)),0)</f>
        <v>0</v>
      </c>
      <c r="AS1148" s="312"/>
      <c r="AT1148" s="313">
        <f>IFERROR(IF(INDEX([1]Pivot!$BF$1:$CG$65000,$B1148,AT$5)=1,1,IF(INDEX([1]Pivot!$B$1:$AB$65000,$B1148,AT$5)="",2,0)),0)</f>
        <v>0</v>
      </c>
      <c r="AU1148" s="313">
        <f>IFERROR(IF(INDEX([1]Pivot!$BF$1:$CG$65000,$B1148,AU$5)=1,1,IF(INDEX([1]Pivot!$B$1:$AB$65000,$B1148,AU$5)="",2,0)),0)</f>
        <v>0</v>
      </c>
      <c r="AV1148" s="313">
        <f>IFERROR(IF(INDEX([1]Pivot!$BF$1:$CG$65000,$B1148,AV$5)=1,1,IF(INDEX([1]Pivot!$B$1:$AB$65000,$B1148,AV$5)="",2,0)),0)</f>
        <v>0</v>
      </c>
      <c r="AW1148" s="313">
        <f>IFERROR(IF(INDEX([1]Pivot!$BF$1:$CG$65000,$B1148,AW$5)=1,1,IF(INDEX([1]Pivot!$B$1:$AB$65000,$B1148,AW$5)="",2,0)),0)</f>
        <v>0</v>
      </c>
      <c r="AX1148" s="313">
        <f>IFERROR(IF(INDEX([1]Pivot!$BF$1:$CG$65000,$B1148,AX$5)=1,1,IF(INDEX([1]Pivot!$B$1:$AB$65000,$B1148,AX$5)="",2,0)),0)</f>
        <v>0</v>
      </c>
      <c r="AY1148" s="313">
        <f>IFERROR(IF(INDEX([1]Pivot!$BF$1:$CG$65000,$B1148,AY$5)=1,1,IF(INDEX([1]Pivot!$B$1:$AB$65000,$B1148,AY$5)="",2,0)),0)</f>
        <v>0</v>
      </c>
      <c r="AZ1148" s="313">
        <f>IFERROR(IF(INDEX([1]Pivot!$BF$1:$CG$65000,$B1148,AZ$5)=1,1,IF(INDEX([1]Pivot!$B$1:$AB$65000,$B1148,AZ$5)="",2,0)),0)</f>
        <v>0</v>
      </c>
      <c r="BA1148" s="313">
        <f>IFERROR(IF(INDEX([1]Pivot!$BF$1:$CG$65000,$B1148,BA$5)=1,1,IF(INDEX([1]Pivot!$B$1:$AB$65000,$B1148,BA$5)="",2,0)),0)</f>
        <v>0</v>
      </c>
      <c r="BB1148" s="313">
        <f>IFERROR(IF(INDEX([1]Pivot!$BF$1:$CG$65000,$B1148,BB$5)=1,1,IF(INDEX([1]Pivot!$B$1:$AB$65000,$B1148,BB$5)="",2,0)),0)</f>
        <v>0</v>
      </c>
      <c r="BC1148" s="313">
        <f>IFERROR(IF(INDEX([1]Pivot!$BF$1:$CG$65000,$B1148,BC$5)=1,1,IF(INDEX([1]Pivot!$B$1:$AB$65000,$B1148,BC$5)="",2,0)),0)</f>
        <v>0</v>
      </c>
      <c r="BD1148" s="313">
        <f>IFERROR(IF(INDEX([1]Pivot!$BF$1:$CG$65000,$B1148,BD$5)=1,1,IF(INDEX([1]Pivot!$B$1:$AB$65000,$B1148,BD$5)="",2,0)),0)</f>
        <v>0</v>
      </c>
    </row>
    <row r="1149" spans="1:56" x14ac:dyDescent="0.25">
      <c r="A1149" s="288">
        <f>'[2]Raw Milk Prices'!A1149</f>
        <v>0</v>
      </c>
      <c r="B1149" s="296" t="e">
        <f>MATCH(DATE(LEFT('[2]Raw Milk Prices'!$A1149,4),RIGHT('[2]Raw Milk Prices'!$A1149,2),1),[1]Pivot!$A$1:$A$65000,0)</f>
        <v>#VALUE!</v>
      </c>
      <c r="C1149" s="194">
        <f>IFERROR(IF(INDEX([1]Pivot!$AD$1:$BE$65000,$B1149,C$5)=1,1,IF(INDEX([1]Pivot!$B$1:$AB$65000,$B1149,C$5)="",2,0)),0)</f>
        <v>0</v>
      </c>
      <c r="D1149" s="194">
        <f>IFERROR(IF(INDEX([1]Pivot!$AD$1:$BE$65000,$B1149,D$5)=1,1,IF(INDEX([1]Pivot!$B$1:$AB$65000,$B1149,D$5)="",2,0)),0)</f>
        <v>0</v>
      </c>
      <c r="E1149" s="194">
        <f>IFERROR(IF(INDEX([1]Pivot!$AD$1:$BE$65000,$B1149,E$5)=1,1,IF(INDEX([1]Pivot!$B$1:$AB$65000,$B1149,E$5)="",2,0)),0)</f>
        <v>0</v>
      </c>
      <c r="F1149" s="194">
        <f>IFERROR(IF(INDEX([1]Pivot!$AD$1:$BE$65000,$B1149,F$5)=1,1,IF(INDEX([1]Pivot!$B$1:$AB$65000,$B1149,F$5)="",2,0)),0)</f>
        <v>0</v>
      </c>
      <c r="G1149" s="194">
        <f>IFERROR(IF(INDEX([1]Pivot!$AD$1:$BE$65000,$B1149,G$5)=1,1,IF(INDEX([1]Pivot!$B$1:$AB$65000,$B1149,G$5)="",2,0)),0)</f>
        <v>0</v>
      </c>
      <c r="H1149" s="194">
        <f>IFERROR(IF(INDEX([1]Pivot!$AD$1:$BE$65000,$B1149,H$5)=1,1,IF(INDEX([1]Pivot!$B$1:$AB$65000,$B1149,H$5)="",2,0)),0)</f>
        <v>0</v>
      </c>
      <c r="I1149" s="194">
        <f>IFERROR(IF(INDEX([1]Pivot!$AD$1:$BE$65000,$B1149,I$5)=1,1,IF(INDEX([1]Pivot!$B$1:$AB$65000,$B1149,I$5)="",2,0)),0)</f>
        <v>0</v>
      </c>
      <c r="J1149" s="194">
        <f>IFERROR(IF(INDEX([1]Pivot!$AD$1:$BE$65000,$B1149,J$5)=1,1,IF(INDEX([1]Pivot!$B$1:$AB$65000,$B1149,J$5)="",2,0)),0)</f>
        <v>0</v>
      </c>
      <c r="K1149" s="194">
        <f>IFERROR(IF(INDEX([1]Pivot!$AD$1:$BE$65000,$B1149,K$5)=1,1,IF(INDEX([1]Pivot!$B$1:$AB$65000,$B1149,K$5)="",2,0)),0)</f>
        <v>0</v>
      </c>
      <c r="L1149" s="194">
        <f>IFERROR(IF(INDEX([1]Pivot!$AD$1:$BE$65000,$B1149,L$5)=1,1,IF(INDEX([1]Pivot!$B$1:$AB$65000,$B1149,L$5)="",2,0)),0)</f>
        <v>0</v>
      </c>
      <c r="M1149" s="194">
        <f>IFERROR(IF(INDEX([1]Pivot!$AD$1:$BE$65000,$B1149,M$5)=1,1,IF(INDEX([1]Pivot!$B$1:$AB$65000,$B1149,M$5)="",2,0)),0)</f>
        <v>0</v>
      </c>
      <c r="N1149" s="194">
        <f>IFERROR(IF(INDEX([1]Pivot!$AD$1:$BE$65000,$B1149,N$5)=1,1,IF(INDEX([1]Pivot!$B$1:$AB$65000,$B1149,N$5)="",2,0)),0)</f>
        <v>0</v>
      </c>
      <c r="O1149" s="194">
        <f>IFERROR(IF(INDEX([1]Pivot!$AD$1:$BE$65000,$B1149,O$5)=1,1,IF(INDEX([1]Pivot!$B$1:$AB$65000,$B1149,O$5)="",2,0)),0)</f>
        <v>0</v>
      </c>
      <c r="P1149" s="194">
        <f>IFERROR(IF(INDEX([1]Pivot!$AD$1:$BE$65000,$B1149,P$5)=1,1,IF(INDEX([1]Pivot!$B$1:$AB$65000,$B1149,P$5)="",2,0)),0)</f>
        <v>0</v>
      </c>
      <c r="Q1149" s="194">
        <f>IFERROR(IF(INDEX([1]Pivot!$AD$1:$BE$65000,$B1149,Q$5)=1,1,IF(INDEX([1]Pivot!$B$1:$AB$65000,$B1149,Q$5)="",2,0)),0)</f>
        <v>0</v>
      </c>
      <c r="R1149" s="312"/>
      <c r="S1149" s="194">
        <f>IFERROR(IF(INDEX([1]Pivot!$AD$1:$BE$65000,$B1149,S$5)=1,1,IF(INDEX([1]Pivot!$B$1:$AB$65000,$B1149,S$5)="",2,0)),0)</f>
        <v>0</v>
      </c>
      <c r="T1149" s="194">
        <f>IFERROR(IF(INDEX([1]Pivot!$AD$1:$BE$65000,$B1149,T$5)=1,1,IF(INDEX([1]Pivot!$B$1:$AB$65000,$B1149,T$5)="",2,0)),0)</f>
        <v>0</v>
      </c>
      <c r="U1149" s="194">
        <f>IFERROR(IF(INDEX([1]Pivot!$AD$1:$BE$65000,$B1149,U$5)=1,1,IF(INDEX([1]Pivot!$B$1:$AB$65000,$B1149,U$5)="",2,0)),0)</f>
        <v>0</v>
      </c>
      <c r="V1149" s="194">
        <f>IFERROR(IF(INDEX([1]Pivot!$AD$1:$BE$65000,$B1149,V$5)=1,1,IF(INDEX([1]Pivot!$B$1:$AB$65000,$B1149,V$5)="",2,0)),0)</f>
        <v>0</v>
      </c>
      <c r="W1149" s="194">
        <f>IFERROR(IF(INDEX([1]Pivot!$AD$1:$BE$65000,$B1149,W$5)=1,1,IF(INDEX([1]Pivot!$B$1:$AB$65000,$B1149,W$5)="",2,0)),0)</f>
        <v>0</v>
      </c>
      <c r="X1149" s="194">
        <f>IFERROR(IF(INDEX([1]Pivot!$AD$1:$BE$65000,$B1149,X$5)=1,1,IF(INDEX([1]Pivot!$B$1:$AB$65000,$B1149,X$5)="",2,0)),0)</f>
        <v>0</v>
      </c>
      <c r="Y1149" s="194">
        <f>IFERROR(IF(INDEX([1]Pivot!$AD$1:$BE$65000,$B1149,Y$5)=1,1,IF(INDEX([1]Pivot!$B$1:$AB$65000,$B1149,Y$5)="",2,0)),0)</f>
        <v>0</v>
      </c>
      <c r="Z1149" s="194">
        <f>IFERROR(IF(INDEX([1]Pivot!$AD$1:$BE$65000,$B1149,Z$5)=1,1,IF(INDEX([1]Pivot!$B$1:$AB$65000,$B1149,Z$5)="",2,0)),0)</f>
        <v>0</v>
      </c>
      <c r="AA1149" s="194">
        <f>IFERROR(IF(INDEX([1]Pivot!$AD$1:$BE$65000,$B1149,AA$5)=1,1,IF(INDEX([1]Pivot!$B$1:$AB$65000,$B1149,AA$5)="",2,0)),0)</f>
        <v>0</v>
      </c>
      <c r="AB1149" s="194">
        <f>IFERROR(IF(INDEX([1]Pivot!$AD$1:$BE$65000,$B1149,AB$5)=1,1,IF(INDEX([1]Pivot!$B$1:$AB$65000,$B1149,AB$5)="",2,0)),0)</f>
        <v>0</v>
      </c>
      <c r="AC1149" s="194">
        <f>IFERROR(IF(INDEX([1]Pivot!$AD$1:$BE$65000,$B1149,AC$5)=1,1,IF(INDEX([1]Pivot!$B$1:$AB$65000,$B1149,AC$5)="",2,0)),0)</f>
        <v>0</v>
      </c>
      <c r="AD1149" s="313">
        <f>IFERROR(IF(INDEX([1]Pivot!$BF$1:$CG$65000,$B1149,AD$5)=1,1,IF(INDEX([1]Pivot!$B$1:$AB$65000,$B1149,AD$5)="",2,0)),0)</f>
        <v>0</v>
      </c>
      <c r="AE1149" s="313">
        <f>IFERROR(IF(INDEX([1]Pivot!$BF$1:$CG$65000,$B1149,AE$5)=1,1,IF(INDEX([1]Pivot!$B$1:$AB$65000,$B1149,AE$5)="",2,0)),0)</f>
        <v>0</v>
      </c>
      <c r="AF1149" s="313">
        <f>IFERROR(IF(INDEX([1]Pivot!$BF$1:$CG$65000,$B1149,AF$5)=1,1,IF(INDEX([1]Pivot!$B$1:$AB$65000,$B1149,AF$5)="",2,0)),0)</f>
        <v>0</v>
      </c>
      <c r="AG1149" s="313">
        <f>IFERROR(IF(INDEX([1]Pivot!$BF$1:$CG$65000,$B1149,AG$5)=1,1,IF(INDEX([1]Pivot!$B$1:$AB$65000,$B1149,AG$5)="",2,0)),0)</f>
        <v>0</v>
      </c>
      <c r="AH1149" s="313">
        <f>IFERROR(IF(INDEX([1]Pivot!$BF$1:$CG$65000,$B1149,AH$5)=1,1,IF(INDEX([1]Pivot!$B$1:$AB$65000,$B1149,AH$5)="",2,0)),0)</f>
        <v>0</v>
      </c>
      <c r="AI1149" s="313">
        <f>IFERROR(IF(INDEX([1]Pivot!$BF$1:$CG$65000,$B1149,AI$5)=1,1,IF(INDEX([1]Pivot!$B$1:$AB$65000,$B1149,AI$5)="",2,0)),0)</f>
        <v>0</v>
      </c>
      <c r="AJ1149" s="313">
        <f>IFERROR(IF(INDEX([1]Pivot!$BF$1:$CG$65000,$B1149,AJ$5)=1,1,IF(INDEX([1]Pivot!$B$1:$AB$65000,$B1149,AJ$5)="",2,0)),0)</f>
        <v>0</v>
      </c>
      <c r="AK1149" s="313">
        <f>IFERROR(IF(INDEX([1]Pivot!$BF$1:$CG$65000,$B1149,AK$5)=1,1,IF(INDEX([1]Pivot!$B$1:$AB$65000,$B1149,AK$5)="",2,0)),0)</f>
        <v>0</v>
      </c>
      <c r="AL1149" s="313">
        <f>IFERROR(IF(INDEX([1]Pivot!$BF$1:$CG$65000,$B1149,AL$5)=1,1,IF(INDEX([1]Pivot!$B$1:$AB$65000,$B1149,AL$5)="",2,0)),0)</f>
        <v>0</v>
      </c>
      <c r="AM1149" s="313">
        <f>IFERROR(IF(INDEX([1]Pivot!$BF$1:$CG$65000,$B1149,AM$5)=1,1,IF(INDEX([1]Pivot!$B$1:$AB$65000,$B1149,AM$5)="",2,0)),0)</f>
        <v>0</v>
      </c>
      <c r="AN1149" s="313">
        <f>IFERROR(IF(INDEX([1]Pivot!$BF$1:$CG$65000,$B1149,AN$5)=1,1,IF(INDEX([1]Pivot!$B$1:$AB$65000,$B1149,AN$5)="",2,0)),0)</f>
        <v>0</v>
      </c>
      <c r="AO1149" s="313">
        <f>IFERROR(IF(INDEX([1]Pivot!$BF$1:$CG$65000,$B1149,AO$5)=1,1,IF(INDEX([1]Pivot!$B$1:$AB$65000,$B1149,AO$5)="",2,0)),0)</f>
        <v>0</v>
      </c>
      <c r="AP1149" s="313">
        <f>IFERROR(IF(INDEX([1]Pivot!$BF$1:$CG$65000,$B1149,AP$5)=1,1,IF(INDEX([1]Pivot!$B$1:$AB$65000,$B1149,AP$5)="",2,0)),0)</f>
        <v>0</v>
      </c>
      <c r="AQ1149" s="313">
        <f>IFERROR(IF(INDEX([1]Pivot!$BF$1:$CG$65000,$B1149,AQ$5)=1,1,IF(INDEX([1]Pivot!$B$1:$AB$65000,$B1149,AQ$5)="",2,0)),0)</f>
        <v>0</v>
      </c>
      <c r="AR1149" s="313">
        <f>IFERROR(IF(INDEX([1]Pivot!$BF$1:$CG$65000,$B1149,AR$5)=1,1,IF(INDEX([1]Pivot!$B$1:$AB$65000,$B1149,AR$5)="",2,0)),0)</f>
        <v>0</v>
      </c>
      <c r="AS1149" s="312"/>
      <c r="AT1149" s="313">
        <f>IFERROR(IF(INDEX([1]Pivot!$BF$1:$CG$65000,$B1149,AT$5)=1,1,IF(INDEX([1]Pivot!$B$1:$AB$65000,$B1149,AT$5)="",2,0)),0)</f>
        <v>0</v>
      </c>
      <c r="AU1149" s="313">
        <f>IFERROR(IF(INDEX([1]Pivot!$BF$1:$CG$65000,$B1149,AU$5)=1,1,IF(INDEX([1]Pivot!$B$1:$AB$65000,$B1149,AU$5)="",2,0)),0)</f>
        <v>0</v>
      </c>
      <c r="AV1149" s="313">
        <f>IFERROR(IF(INDEX([1]Pivot!$BF$1:$CG$65000,$B1149,AV$5)=1,1,IF(INDEX([1]Pivot!$B$1:$AB$65000,$B1149,AV$5)="",2,0)),0)</f>
        <v>0</v>
      </c>
      <c r="AW1149" s="313">
        <f>IFERROR(IF(INDEX([1]Pivot!$BF$1:$CG$65000,$B1149,AW$5)=1,1,IF(INDEX([1]Pivot!$B$1:$AB$65000,$B1149,AW$5)="",2,0)),0)</f>
        <v>0</v>
      </c>
      <c r="AX1149" s="313">
        <f>IFERROR(IF(INDEX([1]Pivot!$BF$1:$CG$65000,$B1149,AX$5)=1,1,IF(INDEX([1]Pivot!$B$1:$AB$65000,$B1149,AX$5)="",2,0)),0)</f>
        <v>0</v>
      </c>
      <c r="AY1149" s="313">
        <f>IFERROR(IF(INDEX([1]Pivot!$BF$1:$CG$65000,$B1149,AY$5)=1,1,IF(INDEX([1]Pivot!$B$1:$AB$65000,$B1149,AY$5)="",2,0)),0)</f>
        <v>0</v>
      </c>
      <c r="AZ1149" s="313">
        <f>IFERROR(IF(INDEX([1]Pivot!$BF$1:$CG$65000,$B1149,AZ$5)=1,1,IF(INDEX([1]Pivot!$B$1:$AB$65000,$B1149,AZ$5)="",2,0)),0)</f>
        <v>0</v>
      </c>
      <c r="BA1149" s="313">
        <f>IFERROR(IF(INDEX([1]Pivot!$BF$1:$CG$65000,$B1149,BA$5)=1,1,IF(INDEX([1]Pivot!$B$1:$AB$65000,$B1149,BA$5)="",2,0)),0)</f>
        <v>0</v>
      </c>
      <c r="BB1149" s="313">
        <f>IFERROR(IF(INDEX([1]Pivot!$BF$1:$CG$65000,$B1149,BB$5)=1,1,IF(INDEX([1]Pivot!$B$1:$AB$65000,$B1149,BB$5)="",2,0)),0)</f>
        <v>0</v>
      </c>
      <c r="BC1149" s="313">
        <f>IFERROR(IF(INDEX([1]Pivot!$BF$1:$CG$65000,$B1149,BC$5)=1,1,IF(INDEX([1]Pivot!$B$1:$AB$65000,$B1149,BC$5)="",2,0)),0)</f>
        <v>0</v>
      </c>
      <c r="BD1149" s="313">
        <f>IFERROR(IF(INDEX([1]Pivot!$BF$1:$CG$65000,$B1149,BD$5)=1,1,IF(INDEX([1]Pivot!$B$1:$AB$65000,$B1149,BD$5)="",2,0)),0)</f>
        <v>0</v>
      </c>
    </row>
    <row r="1150" spans="1:56" x14ac:dyDescent="0.25">
      <c r="A1150" s="288">
        <f>'[2]Raw Milk Prices'!A1150</f>
        <v>0</v>
      </c>
      <c r="B1150" s="296" t="e">
        <f>MATCH(DATE(LEFT('[2]Raw Milk Prices'!$A1150,4),RIGHT('[2]Raw Milk Prices'!$A1150,2),1),[1]Pivot!$A$1:$A$65000,0)</f>
        <v>#VALUE!</v>
      </c>
      <c r="C1150" s="194">
        <f>IFERROR(IF(INDEX([1]Pivot!$AD$1:$BE$65000,$B1150,C$5)=1,1,IF(INDEX([1]Pivot!$B$1:$AB$65000,$B1150,C$5)="",2,0)),0)</f>
        <v>0</v>
      </c>
      <c r="D1150" s="194">
        <f>IFERROR(IF(INDEX([1]Pivot!$AD$1:$BE$65000,$B1150,D$5)=1,1,IF(INDEX([1]Pivot!$B$1:$AB$65000,$B1150,D$5)="",2,0)),0)</f>
        <v>0</v>
      </c>
      <c r="E1150" s="194">
        <f>IFERROR(IF(INDEX([1]Pivot!$AD$1:$BE$65000,$B1150,E$5)=1,1,IF(INDEX([1]Pivot!$B$1:$AB$65000,$B1150,E$5)="",2,0)),0)</f>
        <v>0</v>
      </c>
      <c r="F1150" s="194">
        <f>IFERROR(IF(INDEX([1]Pivot!$AD$1:$BE$65000,$B1150,F$5)=1,1,IF(INDEX([1]Pivot!$B$1:$AB$65000,$B1150,F$5)="",2,0)),0)</f>
        <v>0</v>
      </c>
      <c r="G1150" s="194">
        <f>IFERROR(IF(INDEX([1]Pivot!$AD$1:$BE$65000,$B1150,G$5)=1,1,IF(INDEX([1]Pivot!$B$1:$AB$65000,$B1150,G$5)="",2,0)),0)</f>
        <v>0</v>
      </c>
      <c r="H1150" s="194">
        <f>IFERROR(IF(INDEX([1]Pivot!$AD$1:$BE$65000,$B1150,H$5)=1,1,IF(INDEX([1]Pivot!$B$1:$AB$65000,$B1150,H$5)="",2,0)),0)</f>
        <v>0</v>
      </c>
      <c r="I1150" s="194">
        <f>IFERROR(IF(INDEX([1]Pivot!$AD$1:$BE$65000,$B1150,I$5)=1,1,IF(INDEX([1]Pivot!$B$1:$AB$65000,$B1150,I$5)="",2,0)),0)</f>
        <v>0</v>
      </c>
      <c r="J1150" s="194">
        <f>IFERROR(IF(INDEX([1]Pivot!$AD$1:$BE$65000,$B1150,J$5)=1,1,IF(INDEX([1]Pivot!$B$1:$AB$65000,$B1150,J$5)="",2,0)),0)</f>
        <v>0</v>
      </c>
      <c r="K1150" s="194">
        <f>IFERROR(IF(INDEX([1]Pivot!$AD$1:$BE$65000,$B1150,K$5)=1,1,IF(INDEX([1]Pivot!$B$1:$AB$65000,$B1150,K$5)="",2,0)),0)</f>
        <v>0</v>
      </c>
      <c r="L1150" s="194">
        <f>IFERROR(IF(INDEX([1]Pivot!$AD$1:$BE$65000,$B1150,L$5)=1,1,IF(INDEX([1]Pivot!$B$1:$AB$65000,$B1150,L$5)="",2,0)),0)</f>
        <v>0</v>
      </c>
      <c r="M1150" s="194">
        <f>IFERROR(IF(INDEX([1]Pivot!$AD$1:$BE$65000,$B1150,M$5)=1,1,IF(INDEX([1]Pivot!$B$1:$AB$65000,$B1150,M$5)="",2,0)),0)</f>
        <v>0</v>
      </c>
      <c r="N1150" s="194">
        <f>IFERROR(IF(INDEX([1]Pivot!$AD$1:$BE$65000,$B1150,N$5)=1,1,IF(INDEX([1]Pivot!$B$1:$AB$65000,$B1150,N$5)="",2,0)),0)</f>
        <v>0</v>
      </c>
      <c r="O1150" s="194">
        <f>IFERROR(IF(INDEX([1]Pivot!$AD$1:$BE$65000,$B1150,O$5)=1,1,IF(INDEX([1]Pivot!$B$1:$AB$65000,$B1150,O$5)="",2,0)),0)</f>
        <v>0</v>
      </c>
      <c r="P1150" s="194">
        <f>IFERROR(IF(INDEX([1]Pivot!$AD$1:$BE$65000,$B1150,P$5)=1,1,IF(INDEX([1]Pivot!$B$1:$AB$65000,$B1150,P$5)="",2,0)),0)</f>
        <v>0</v>
      </c>
      <c r="Q1150" s="194">
        <f>IFERROR(IF(INDEX([1]Pivot!$AD$1:$BE$65000,$B1150,Q$5)=1,1,IF(INDEX([1]Pivot!$B$1:$AB$65000,$B1150,Q$5)="",2,0)),0)</f>
        <v>0</v>
      </c>
      <c r="R1150" s="312"/>
      <c r="S1150" s="194">
        <f>IFERROR(IF(INDEX([1]Pivot!$AD$1:$BE$65000,$B1150,S$5)=1,1,IF(INDEX([1]Pivot!$B$1:$AB$65000,$B1150,S$5)="",2,0)),0)</f>
        <v>0</v>
      </c>
      <c r="T1150" s="194">
        <f>IFERROR(IF(INDEX([1]Pivot!$AD$1:$BE$65000,$B1150,T$5)=1,1,IF(INDEX([1]Pivot!$B$1:$AB$65000,$B1150,T$5)="",2,0)),0)</f>
        <v>0</v>
      </c>
      <c r="U1150" s="194">
        <f>IFERROR(IF(INDEX([1]Pivot!$AD$1:$BE$65000,$B1150,U$5)=1,1,IF(INDEX([1]Pivot!$B$1:$AB$65000,$B1150,U$5)="",2,0)),0)</f>
        <v>0</v>
      </c>
      <c r="V1150" s="194">
        <f>IFERROR(IF(INDEX([1]Pivot!$AD$1:$BE$65000,$B1150,V$5)=1,1,IF(INDEX([1]Pivot!$B$1:$AB$65000,$B1150,V$5)="",2,0)),0)</f>
        <v>0</v>
      </c>
      <c r="W1150" s="194">
        <f>IFERROR(IF(INDEX([1]Pivot!$AD$1:$BE$65000,$B1150,W$5)=1,1,IF(INDEX([1]Pivot!$B$1:$AB$65000,$B1150,W$5)="",2,0)),0)</f>
        <v>0</v>
      </c>
      <c r="X1150" s="194">
        <f>IFERROR(IF(INDEX([1]Pivot!$AD$1:$BE$65000,$B1150,X$5)=1,1,IF(INDEX([1]Pivot!$B$1:$AB$65000,$B1150,X$5)="",2,0)),0)</f>
        <v>0</v>
      </c>
      <c r="Y1150" s="194">
        <f>IFERROR(IF(INDEX([1]Pivot!$AD$1:$BE$65000,$B1150,Y$5)=1,1,IF(INDEX([1]Pivot!$B$1:$AB$65000,$B1150,Y$5)="",2,0)),0)</f>
        <v>0</v>
      </c>
      <c r="Z1150" s="194">
        <f>IFERROR(IF(INDEX([1]Pivot!$AD$1:$BE$65000,$B1150,Z$5)=1,1,IF(INDEX([1]Pivot!$B$1:$AB$65000,$B1150,Z$5)="",2,0)),0)</f>
        <v>0</v>
      </c>
      <c r="AA1150" s="194">
        <f>IFERROR(IF(INDEX([1]Pivot!$AD$1:$BE$65000,$B1150,AA$5)=1,1,IF(INDEX([1]Pivot!$B$1:$AB$65000,$B1150,AA$5)="",2,0)),0)</f>
        <v>0</v>
      </c>
      <c r="AB1150" s="194">
        <f>IFERROR(IF(INDEX([1]Pivot!$AD$1:$BE$65000,$B1150,AB$5)=1,1,IF(INDEX([1]Pivot!$B$1:$AB$65000,$B1150,AB$5)="",2,0)),0)</f>
        <v>0</v>
      </c>
      <c r="AC1150" s="194">
        <f>IFERROR(IF(INDEX([1]Pivot!$AD$1:$BE$65000,$B1150,AC$5)=1,1,IF(INDEX([1]Pivot!$B$1:$AB$65000,$B1150,AC$5)="",2,0)),0)</f>
        <v>0</v>
      </c>
      <c r="AD1150" s="313">
        <f>IFERROR(IF(INDEX([1]Pivot!$BF$1:$CG$65000,$B1150,AD$5)=1,1,IF(INDEX([1]Pivot!$B$1:$AB$65000,$B1150,AD$5)="",2,0)),0)</f>
        <v>0</v>
      </c>
      <c r="AE1150" s="313">
        <f>IFERROR(IF(INDEX([1]Pivot!$BF$1:$CG$65000,$B1150,AE$5)=1,1,IF(INDEX([1]Pivot!$B$1:$AB$65000,$B1150,AE$5)="",2,0)),0)</f>
        <v>0</v>
      </c>
      <c r="AF1150" s="313">
        <f>IFERROR(IF(INDEX([1]Pivot!$BF$1:$CG$65000,$B1150,AF$5)=1,1,IF(INDEX([1]Pivot!$B$1:$AB$65000,$B1150,AF$5)="",2,0)),0)</f>
        <v>0</v>
      </c>
      <c r="AG1150" s="313">
        <f>IFERROR(IF(INDEX([1]Pivot!$BF$1:$CG$65000,$B1150,AG$5)=1,1,IF(INDEX([1]Pivot!$B$1:$AB$65000,$B1150,AG$5)="",2,0)),0)</f>
        <v>0</v>
      </c>
      <c r="AH1150" s="313">
        <f>IFERROR(IF(INDEX([1]Pivot!$BF$1:$CG$65000,$B1150,AH$5)=1,1,IF(INDEX([1]Pivot!$B$1:$AB$65000,$B1150,AH$5)="",2,0)),0)</f>
        <v>0</v>
      </c>
      <c r="AI1150" s="313">
        <f>IFERROR(IF(INDEX([1]Pivot!$BF$1:$CG$65000,$B1150,AI$5)=1,1,IF(INDEX([1]Pivot!$B$1:$AB$65000,$B1150,AI$5)="",2,0)),0)</f>
        <v>0</v>
      </c>
      <c r="AJ1150" s="313">
        <f>IFERROR(IF(INDEX([1]Pivot!$BF$1:$CG$65000,$B1150,AJ$5)=1,1,IF(INDEX([1]Pivot!$B$1:$AB$65000,$B1150,AJ$5)="",2,0)),0)</f>
        <v>0</v>
      </c>
      <c r="AK1150" s="313">
        <f>IFERROR(IF(INDEX([1]Pivot!$BF$1:$CG$65000,$B1150,AK$5)=1,1,IF(INDEX([1]Pivot!$B$1:$AB$65000,$B1150,AK$5)="",2,0)),0)</f>
        <v>0</v>
      </c>
      <c r="AL1150" s="313">
        <f>IFERROR(IF(INDEX([1]Pivot!$BF$1:$CG$65000,$B1150,AL$5)=1,1,IF(INDEX([1]Pivot!$B$1:$AB$65000,$B1150,AL$5)="",2,0)),0)</f>
        <v>0</v>
      </c>
      <c r="AM1150" s="313">
        <f>IFERROR(IF(INDEX([1]Pivot!$BF$1:$CG$65000,$B1150,AM$5)=1,1,IF(INDEX([1]Pivot!$B$1:$AB$65000,$B1150,AM$5)="",2,0)),0)</f>
        <v>0</v>
      </c>
      <c r="AN1150" s="313">
        <f>IFERROR(IF(INDEX([1]Pivot!$BF$1:$CG$65000,$B1150,AN$5)=1,1,IF(INDEX([1]Pivot!$B$1:$AB$65000,$B1150,AN$5)="",2,0)),0)</f>
        <v>0</v>
      </c>
      <c r="AO1150" s="313">
        <f>IFERROR(IF(INDEX([1]Pivot!$BF$1:$CG$65000,$B1150,AO$5)=1,1,IF(INDEX([1]Pivot!$B$1:$AB$65000,$B1150,AO$5)="",2,0)),0)</f>
        <v>0</v>
      </c>
      <c r="AP1150" s="313">
        <f>IFERROR(IF(INDEX([1]Pivot!$BF$1:$CG$65000,$B1150,AP$5)=1,1,IF(INDEX([1]Pivot!$B$1:$AB$65000,$B1150,AP$5)="",2,0)),0)</f>
        <v>0</v>
      </c>
      <c r="AQ1150" s="313">
        <f>IFERROR(IF(INDEX([1]Pivot!$BF$1:$CG$65000,$B1150,AQ$5)=1,1,IF(INDEX([1]Pivot!$B$1:$AB$65000,$B1150,AQ$5)="",2,0)),0)</f>
        <v>0</v>
      </c>
      <c r="AR1150" s="313">
        <f>IFERROR(IF(INDEX([1]Pivot!$BF$1:$CG$65000,$B1150,AR$5)=1,1,IF(INDEX([1]Pivot!$B$1:$AB$65000,$B1150,AR$5)="",2,0)),0)</f>
        <v>0</v>
      </c>
      <c r="AS1150" s="312"/>
      <c r="AT1150" s="313">
        <f>IFERROR(IF(INDEX([1]Pivot!$BF$1:$CG$65000,$B1150,AT$5)=1,1,IF(INDEX([1]Pivot!$B$1:$AB$65000,$B1150,AT$5)="",2,0)),0)</f>
        <v>0</v>
      </c>
      <c r="AU1150" s="313">
        <f>IFERROR(IF(INDEX([1]Pivot!$BF$1:$CG$65000,$B1150,AU$5)=1,1,IF(INDEX([1]Pivot!$B$1:$AB$65000,$B1150,AU$5)="",2,0)),0)</f>
        <v>0</v>
      </c>
      <c r="AV1150" s="313">
        <f>IFERROR(IF(INDEX([1]Pivot!$BF$1:$CG$65000,$B1150,AV$5)=1,1,IF(INDEX([1]Pivot!$B$1:$AB$65000,$B1150,AV$5)="",2,0)),0)</f>
        <v>0</v>
      </c>
      <c r="AW1150" s="313">
        <f>IFERROR(IF(INDEX([1]Pivot!$BF$1:$CG$65000,$B1150,AW$5)=1,1,IF(INDEX([1]Pivot!$B$1:$AB$65000,$B1150,AW$5)="",2,0)),0)</f>
        <v>0</v>
      </c>
      <c r="AX1150" s="313">
        <f>IFERROR(IF(INDEX([1]Pivot!$BF$1:$CG$65000,$B1150,AX$5)=1,1,IF(INDEX([1]Pivot!$B$1:$AB$65000,$B1150,AX$5)="",2,0)),0)</f>
        <v>0</v>
      </c>
      <c r="AY1150" s="313">
        <f>IFERROR(IF(INDEX([1]Pivot!$BF$1:$CG$65000,$B1150,AY$5)=1,1,IF(INDEX([1]Pivot!$B$1:$AB$65000,$B1150,AY$5)="",2,0)),0)</f>
        <v>0</v>
      </c>
      <c r="AZ1150" s="313">
        <f>IFERROR(IF(INDEX([1]Pivot!$BF$1:$CG$65000,$B1150,AZ$5)=1,1,IF(INDEX([1]Pivot!$B$1:$AB$65000,$B1150,AZ$5)="",2,0)),0)</f>
        <v>0</v>
      </c>
      <c r="BA1150" s="313">
        <f>IFERROR(IF(INDEX([1]Pivot!$BF$1:$CG$65000,$B1150,BA$5)=1,1,IF(INDEX([1]Pivot!$B$1:$AB$65000,$B1150,BA$5)="",2,0)),0)</f>
        <v>0</v>
      </c>
      <c r="BB1150" s="313">
        <f>IFERROR(IF(INDEX([1]Pivot!$BF$1:$CG$65000,$B1150,BB$5)=1,1,IF(INDEX([1]Pivot!$B$1:$AB$65000,$B1150,BB$5)="",2,0)),0)</f>
        <v>0</v>
      </c>
      <c r="BC1150" s="313">
        <f>IFERROR(IF(INDEX([1]Pivot!$BF$1:$CG$65000,$B1150,BC$5)=1,1,IF(INDEX([1]Pivot!$B$1:$AB$65000,$B1150,BC$5)="",2,0)),0)</f>
        <v>0</v>
      </c>
      <c r="BD1150" s="313">
        <f>IFERROR(IF(INDEX([1]Pivot!$BF$1:$CG$65000,$B1150,BD$5)=1,1,IF(INDEX([1]Pivot!$B$1:$AB$65000,$B1150,BD$5)="",2,0)),0)</f>
        <v>0</v>
      </c>
    </row>
    <row r="1151" spans="1:56" x14ac:dyDescent="0.25">
      <c r="A1151" s="288">
        <f>'[2]Raw Milk Prices'!A1151</f>
        <v>0</v>
      </c>
      <c r="B1151" s="296" t="e">
        <f>MATCH(DATE(LEFT('[2]Raw Milk Prices'!$A1151,4),RIGHT('[2]Raw Milk Prices'!$A1151,2),1),[1]Pivot!$A$1:$A$65000,0)</f>
        <v>#VALUE!</v>
      </c>
      <c r="C1151" s="194">
        <f>IFERROR(IF(INDEX([1]Pivot!$AD$1:$BE$65000,$B1151,C$5)=1,1,IF(INDEX([1]Pivot!$B$1:$AB$65000,$B1151,C$5)="",2,0)),0)</f>
        <v>0</v>
      </c>
      <c r="D1151" s="194">
        <f>IFERROR(IF(INDEX([1]Pivot!$AD$1:$BE$65000,$B1151,D$5)=1,1,IF(INDEX([1]Pivot!$B$1:$AB$65000,$B1151,D$5)="",2,0)),0)</f>
        <v>0</v>
      </c>
      <c r="E1151" s="194">
        <f>IFERROR(IF(INDEX([1]Pivot!$AD$1:$BE$65000,$B1151,E$5)=1,1,IF(INDEX([1]Pivot!$B$1:$AB$65000,$B1151,E$5)="",2,0)),0)</f>
        <v>0</v>
      </c>
      <c r="F1151" s="194">
        <f>IFERROR(IF(INDEX([1]Pivot!$AD$1:$BE$65000,$B1151,F$5)=1,1,IF(INDEX([1]Pivot!$B$1:$AB$65000,$B1151,F$5)="",2,0)),0)</f>
        <v>0</v>
      </c>
      <c r="G1151" s="194">
        <f>IFERROR(IF(INDEX([1]Pivot!$AD$1:$BE$65000,$B1151,G$5)=1,1,IF(INDEX([1]Pivot!$B$1:$AB$65000,$B1151,G$5)="",2,0)),0)</f>
        <v>0</v>
      </c>
      <c r="H1151" s="194">
        <f>IFERROR(IF(INDEX([1]Pivot!$AD$1:$BE$65000,$B1151,H$5)=1,1,IF(INDEX([1]Pivot!$B$1:$AB$65000,$B1151,H$5)="",2,0)),0)</f>
        <v>0</v>
      </c>
      <c r="I1151" s="194">
        <f>IFERROR(IF(INDEX([1]Pivot!$AD$1:$BE$65000,$B1151,I$5)=1,1,IF(INDEX([1]Pivot!$B$1:$AB$65000,$B1151,I$5)="",2,0)),0)</f>
        <v>0</v>
      </c>
      <c r="J1151" s="194">
        <f>IFERROR(IF(INDEX([1]Pivot!$AD$1:$BE$65000,$B1151,J$5)=1,1,IF(INDEX([1]Pivot!$B$1:$AB$65000,$B1151,J$5)="",2,0)),0)</f>
        <v>0</v>
      </c>
      <c r="K1151" s="194">
        <f>IFERROR(IF(INDEX([1]Pivot!$AD$1:$BE$65000,$B1151,K$5)=1,1,IF(INDEX([1]Pivot!$B$1:$AB$65000,$B1151,K$5)="",2,0)),0)</f>
        <v>0</v>
      </c>
      <c r="L1151" s="194">
        <f>IFERROR(IF(INDEX([1]Pivot!$AD$1:$BE$65000,$B1151,L$5)=1,1,IF(INDEX([1]Pivot!$B$1:$AB$65000,$B1151,L$5)="",2,0)),0)</f>
        <v>0</v>
      </c>
      <c r="M1151" s="194">
        <f>IFERROR(IF(INDEX([1]Pivot!$AD$1:$BE$65000,$B1151,M$5)=1,1,IF(INDEX([1]Pivot!$B$1:$AB$65000,$B1151,M$5)="",2,0)),0)</f>
        <v>0</v>
      </c>
      <c r="N1151" s="194">
        <f>IFERROR(IF(INDEX([1]Pivot!$AD$1:$BE$65000,$B1151,N$5)=1,1,IF(INDEX([1]Pivot!$B$1:$AB$65000,$B1151,N$5)="",2,0)),0)</f>
        <v>0</v>
      </c>
      <c r="O1151" s="194">
        <f>IFERROR(IF(INDEX([1]Pivot!$AD$1:$BE$65000,$B1151,O$5)=1,1,IF(INDEX([1]Pivot!$B$1:$AB$65000,$B1151,O$5)="",2,0)),0)</f>
        <v>0</v>
      </c>
      <c r="P1151" s="194">
        <f>IFERROR(IF(INDEX([1]Pivot!$AD$1:$BE$65000,$B1151,P$5)=1,1,IF(INDEX([1]Pivot!$B$1:$AB$65000,$B1151,P$5)="",2,0)),0)</f>
        <v>0</v>
      </c>
      <c r="Q1151" s="194">
        <f>IFERROR(IF(INDEX([1]Pivot!$AD$1:$BE$65000,$B1151,Q$5)=1,1,IF(INDEX([1]Pivot!$B$1:$AB$65000,$B1151,Q$5)="",2,0)),0)</f>
        <v>0</v>
      </c>
      <c r="R1151" s="312"/>
      <c r="S1151" s="194">
        <f>IFERROR(IF(INDEX([1]Pivot!$AD$1:$BE$65000,$B1151,S$5)=1,1,IF(INDEX([1]Pivot!$B$1:$AB$65000,$B1151,S$5)="",2,0)),0)</f>
        <v>0</v>
      </c>
      <c r="T1151" s="194">
        <f>IFERROR(IF(INDEX([1]Pivot!$AD$1:$BE$65000,$B1151,T$5)=1,1,IF(INDEX([1]Pivot!$B$1:$AB$65000,$B1151,T$5)="",2,0)),0)</f>
        <v>0</v>
      </c>
      <c r="U1151" s="194">
        <f>IFERROR(IF(INDEX([1]Pivot!$AD$1:$BE$65000,$B1151,U$5)=1,1,IF(INDEX([1]Pivot!$B$1:$AB$65000,$B1151,U$5)="",2,0)),0)</f>
        <v>0</v>
      </c>
      <c r="V1151" s="194">
        <f>IFERROR(IF(INDEX([1]Pivot!$AD$1:$BE$65000,$B1151,V$5)=1,1,IF(INDEX([1]Pivot!$B$1:$AB$65000,$B1151,V$5)="",2,0)),0)</f>
        <v>0</v>
      </c>
      <c r="W1151" s="194">
        <f>IFERROR(IF(INDEX([1]Pivot!$AD$1:$BE$65000,$B1151,W$5)=1,1,IF(INDEX([1]Pivot!$B$1:$AB$65000,$B1151,W$5)="",2,0)),0)</f>
        <v>0</v>
      </c>
      <c r="X1151" s="194">
        <f>IFERROR(IF(INDEX([1]Pivot!$AD$1:$BE$65000,$B1151,X$5)=1,1,IF(INDEX([1]Pivot!$B$1:$AB$65000,$B1151,X$5)="",2,0)),0)</f>
        <v>0</v>
      </c>
      <c r="Y1151" s="194">
        <f>IFERROR(IF(INDEX([1]Pivot!$AD$1:$BE$65000,$B1151,Y$5)=1,1,IF(INDEX([1]Pivot!$B$1:$AB$65000,$B1151,Y$5)="",2,0)),0)</f>
        <v>0</v>
      </c>
      <c r="Z1151" s="194">
        <f>IFERROR(IF(INDEX([1]Pivot!$AD$1:$BE$65000,$B1151,Z$5)=1,1,IF(INDEX([1]Pivot!$B$1:$AB$65000,$B1151,Z$5)="",2,0)),0)</f>
        <v>0</v>
      </c>
      <c r="AA1151" s="194">
        <f>IFERROR(IF(INDEX([1]Pivot!$AD$1:$BE$65000,$B1151,AA$5)=1,1,IF(INDEX([1]Pivot!$B$1:$AB$65000,$B1151,AA$5)="",2,0)),0)</f>
        <v>0</v>
      </c>
      <c r="AB1151" s="194">
        <f>IFERROR(IF(INDEX([1]Pivot!$AD$1:$BE$65000,$B1151,AB$5)=1,1,IF(INDEX([1]Pivot!$B$1:$AB$65000,$B1151,AB$5)="",2,0)),0)</f>
        <v>0</v>
      </c>
      <c r="AC1151" s="194">
        <f>IFERROR(IF(INDEX([1]Pivot!$AD$1:$BE$65000,$B1151,AC$5)=1,1,IF(INDEX([1]Pivot!$B$1:$AB$65000,$B1151,AC$5)="",2,0)),0)</f>
        <v>0</v>
      </c>
      <c r="AD1151" s="313">
        <f>IFERROR(IF(INDEX([1]Pivot!$BF$1:$CG$65000,$B1151,AD$5)=1,1,IF(INDEX([1]Pivot!$B$1:$AB$65000,$B1151,AD$5)="",2,0)),0)</f>
        <v>0</v>
      </c>
      <c r="AE1151" s="313">
        <f>IFERROR(IF(INDEX([1]Pivot!$BF$1:$CG$65000,$B1151,AE$5)=1,1,IF(INDEX([1]Pivot!$B$1:$AB$65000,$B1151,AE$5)="",2,0)),0)</f>
        <v>0</v>
      </c>
      <c r="AF1151" s="313">
        <f>IFERROR(IF(INDEX([1]Pivot!$BF$1:$CG$65000,$B1151,AF$5)=1,1,IF(INDEX([1]Pivot!$B$1:$AB$65000,$B1151,AF$5)="",2,0)),0)</f>
        <v>0</v>
      </c>
      <c r="AG1151" s="313">
        <f>IFERROR(IF(INDEX([1]Pivot!$BF$1:$CG$65000,$B1151,AG$5)=1,1,IF(INDEX([1]Pivot!$B$1:$AB$65000,$B1151,AG$5)="",2,0)),0)</f>
        <v>0</v>
      </c>
      <c r="AH1151" s="313">
        <f>IFERROR(IF(INDEX([1]Pivot!$BF$1:$CG$65000,$B1151,AH$5)=1,1,IF(INDEX([1]Pivot!$B$1:$AB$65000,$B1151,AH$5)="",2,0)),0)</f>
        <v>0</v>
      </c>
      <c r="AI1151" s="313">
        <f>IFERROR(IF(INDEX([1]Pivot!$BF$1:$CG$65000,$B1151,AI$5)=1,1,IF(INDEX([1]Pivot!$B$1:$AB$65000,$B1151,AI$5)="",2,0)),0)</f>
        <v>0</v>
      </c>
      <c r="AJ1151" s="313">
        <f>IFERROR(IF(INDEX([1]Pivot!$BF$1:$CG$65000,$B1151,AJ$5)=1,1,IF(INDEX([1]Pivot!$B$1:$AB$65000,$B1151,AJ$5)="",2,0)),0)</f>
        <v>0</v>
      </c>
      <c r="AK1151" s="313">
        <f>IFERROR(IF(INDEX([1]Pivot!$BF$1:$CG$65000,$B1151,AK$5)=1,1,IF(INDEX([1]Pivot!$B$1:$AB$65000,$B1151,AK$5)="",2,0)),0)</f>
        <v>0</v>
      </c>
      <c r="AL1151" s="313">
        <f>IFERROR(IF(INDEX([1]Pivot!$BF$1:$CG$65000,$B1151,AL$5)=1,1,IF(INDEX([1]Pivot!$B$1:$AB$65000,$B1151,AL$5)="",2,0)),0)</f>
        <v>0</v>
      </c>
      <c r="AM1151" s="313">
        <f>IFERROR(IF(INDEX([1]Pivot!$BF$1:$CG$65000,$B1151,AM$5)=1,1,IF(INDEX([1]Pivot!$B$1:$AB$65000,$B1151,AM$5)="",2,0)),0)</f>
        <v>0</v>
      </c>
      <c r="AN1151" s="313">
        <f>IFERROR(IF(INDEX([1]Pivot!$BF$1:$CG$65000,$B1151,AN$5)=1,1,IF(INDEX([1]Pivot!$B$1:$AB$65000,$B1151,AN$5)="",2,0)),0)</f>
        <v>0</v>
      </c>
      <c r="AO1151" s="313">
        <f>IFERROR(IF(INDEX([1]Pivot!$BF$1:$CG$65000,$B1151,AO$5)=1,1,IF(INDEX([1]Pivot!$B$1:$AB$65000,$B1151,AO$5)="",2,0)),0)</f>
        <v>0</v>
      </c>
      <c r="AP1151" s="313">
        <f>IFERROR(IF(INDEX([1]Pivot!$BF$1:$CG$65000,$B1151,AP$5)=1,1,IF(INDEX([1]Pivot!$B$1:$AB$65000,$B1151,AP$5)="",2,0)),0)</f>
        <v>0</v>
      </c>
      <c r="AQ1151" s="313">
        <f>IFERROR(IF(INDEX([1]Pivot!$BF$1:$CG$65000,$B1151,AQ$5)=1,1,IF(INDEX([1]Pivot!$B$1:$AB$65000,$B1151,AQ$5)="",2,0)),0)</f>
        <v>0</v>
      </c>
      <c r="AR1151" s="313">
        <f>IFERROR(IF(INDEX([1]Pivot!$BF$1:$CG$65000,$B1151,AR$5)=1,1,IF(INDEX([1]Pivot!$B$1:$AB$65000,$B1151,AR$5)="",2,0)),0)</f>
        <v>0</v>
      </c>
      <c r="AS1151" s="312"/>
      <c r="AT1151" s="313">
        <f>IFERROR(IF(INDEX([1]Pivot!$BF$1:$CG$65000,$B1151,AT$5)=1,1,IF(INDEX([1]Pivot!$B$1:$AB$65000,$B1151,AT$5)="",2,0)),0)</f>
        <v>0</v>
      </c>
      <c r="AU1151" s="313">
        <f>IFERROR(IF(INDEX([1]Pivot!$BF$1:$CG$65000,$B1151,AU$5)=1,1,IF(INDEX([1]Pivot!$B$1:$AB$65000,$B1151,AU$5)="",2,0)),0)</f>
        <v>0</v>
      </c>
      <c r="AV1151" s="313">
        <f>IFERROR(IF(INDEX([1]Pivot!$BF$1:$CG$65000,$B1151,AV$5)=1,1,IF(INDEX([1]Pivot!$B$1:$AB$65000,$B1151,AV$5)="",2,0)),0)</f>
        <v>0</v>
      </c>
      <c r="AW1151" s="313">
        <f>IFERROR(IF(INDEX([1]Pivot!$BF$1:$CG$65000,$B1151,AW$5)=1,1,IF(INDEX([1]Pivot!$B$1:$AB$65000,$B1151,AW$5)="",2,0)),0)</f>
        <v>0</v>
      </c>
      <c r="AX1151" s="313">
        <f>IFERROR(IF(INDEX([1]Pivot!$BF$1:$CG$65000,$B1151,AX$5)=1,1,IF(INDEX([1]Pivot!$B$1:$AB$65000,$B1151,AX$5)="",2,0)),0)</f>
        <v>0</v>
      </c>
      <c r="AY1151" s="313">
        <f>IFERROR(IF(INDEX([1]Pivot!$BF$1:$CG$65000,$B1151,AY$5)=1,1,IF(INDEX([1]Pivot!$B$1:$AB$65000,$B1151,AY$5)="",2,0)),0)</f>
        <v>0</v>
      </c>
      <c r="AZ1151" s="313">
        <f>IFERROR(IF(INDEX([1]Pivot!$BF$1:$CG$65000,$B1151,AZ$5)=1,1,IF(INDEX([1]Pivot!$B$1:$AB$65000,$B1151,AZ$5)="",2,0)),0)</f>
        <v>0</v>
      </c>
      <c r="BA1151" s="313">
        <f>IFERROR(IF(INDEX([1]Pivot!$BF$1:$CG$65000,$B1151,BA$5)=1,1,IF(INDEX([1]Pivot!$B$1:$AB$65000,$B1151,BA$5)="",2,0)),0)</f>
        <v>0</v>
      </c>
      <c r="BB1151" s="313">
        <f>IFERROR(IF(INDEX([1]Pivot!$BF$1:$CG$65000,$B1151,BB$5)=1,1,IF(INDEX([1]Pivot!$B$1:$AB$65000,$B1151,BB$5)="",2,0)),0)</f>
        <v>0</v>
      </c>
      <c r="BC1151" s="313">
        <f>IFERROR(IF(INDEX([1]Pivot!$BF$1:$CG$65000,$B1151,BC$5)=1,1,IF(INDEX([1]Pivot!$B$1:$AB$65000,$B1151,BC$5)="",2,0)),0)</f>
        <v>0</v>
      </c>
      <c r="BD1151" s="313">
        <f>IFERROR(IF(INDEX([1]Pivot!$BF$1:$CG$65000,$B1151,BD$5)=1,1,IF(INDEX([1]Pivot!$B$1:$AB$65000,$B1151,BD$5)="",2,0)),0)</f>
        <v>0</v>
      </c>
    </row>
    <row r="1152" spans="1:56" x14ac:dyDescent="0.25">
      <c r="A1152" s="288">
        <f>'[2]Raw Milk Prices'!A1152</f>
        <v>0</v>
      </c>
      <c r="B1152" s="296" t="e">
        <f>MATCH(DATE(LEFT('[2]Raw Milk Prices'!$A1152,4),RIGHT('[2]Raw Milk Prices'!$A1152,2),1),[1]Pivot!$A$1:$A$65000,0)</f>
        <v>#VALUE!</v>
      </c>
      <c r="C1152" s="194">
        <f>IFERROR(IF(INDEX([1]Pivot!$AD$1:$BE$65000,$B1152,C$5)=1,1,IF(INDEX([1]Pivot!$B$1:$AB$65000,$B1152,C$5)="",2,0)),0)</f>
        <v>0</v>
      </c>
      <c r="D1152" s="194">
        <f>IFERROR(IF(INDEX([1]Pivot!$AD$1:$BE$65000,$B1152,D$5)=1,1,IF(INDEX([1]Pivot!$B$1:$AB$65000,$B1152,D$5)="",2,0)),0)</f>
        <v>0</v>
      </c>
      <c r="E1152" s="194">
        <f>IFERROR(IF(INDEX([1]Pivot!$AD$1:$BE$65000,$B1152,E$5)=1,1,IF(INDEX([1]Pivot!$B$1:$AB$65000,$B1152,E$5)="",2,0)),0)</f>
        <v>0</v>
      </c>
      <c r="F1152" s="194">
        <f>IFERROR(IF(INDEX([1]Pivot!$AD$1:$BE$65000,$B1152,F$5)=1,1,IF(INDEX([1]Pivot!$B$1:$AB$65000,$B1152,F$5)="",2,0)),0)</f>
        <v>0</v>
      </c>
      <c r="G1152" s="194">
        <f>IFERROR(IF(INDEX([1]Pivot!$AD$1:$BE$65000,$B1152,G$5)=1,1,IF(INDEX([1]Pivot!$B$1:$AB$65000,$B1152,G$5)="",2,0)),0)</f>
        <v>0</v>
      </c>
      <c r="H1152" s="194">
        <f>IFERROR(IF(INDEX([1]Pivot!$AD$1:$BE$65000,$B1152,H$5)=1,1,IF(INDEX([1]Pivot!$B$1:$AB$65000,$B1152,H$5)="",2,0)),0)</f>
        <v>0</v>
      </c>
      <c r="I1152" s="194">
        <f>IFERROR(IF(INDEX([1]Pivot!$AD$1:$BE$65000,$B1152,I$5)=1,1,IF(INDEX([1]Pivot!$B$1:$AB$65000,$B1152,I$5)="",2,0)),0)</f>
        <v>0</v>
      </c>
      <c r="J1152" s="194">
        <f>IFERROR(IF(INDEX([1]Pivot!$AD$1:$BE$65000,$B1152,J$5)=1,1,IF(INDEX([1]Pivot!$B$1:$AB$65000,$B1152,J$5)="",2,0)),0)</f>
        <v>0</v>
      </c>
      <c r="K1152" s="194">
        <f>IFERROR(IF(INDEX([1]Pivot!$AD$1:$BE$65000,$B1152,K$5)=1,1,IF(INDEX([1]Pivot!$B$1:$AB$65000,$B1152,K$5)="",2,0)),0)</f>
        <v>0</v>
      </c>
      <c r="L1152" s="194">
        <f>IFERROR(IF(INDEX([1]Pivot!$AD$1:$BE$65000,$B1152,L$5)=1,1,IF(INDEX([1]Pivot!$B$1:$AB$65000,$B1152,L$5)="",2,0)),0)</f>
        <v>0</v>
      </c>
      <c r="M1152" s="194">
        <f>IFERROR(IF(INDEX([1]Pivot!$AD$1:$BE$65000,$B1152,M$5)=1,1,IF(INDEX([1]Pivot!$B$1:$AB$65000,$B1152,M$5)="",2,0)),0)</f>
        <v>0</v>
      </c>
      <c r="N1152" s="194">
        <f>IFERROR(IF(INDEX([1]Pivot!$AD$1:$BE$65000,$B1152,N$5)=1,1,IF(INDEX([1]Pivot!$B$1:$AB$65000,$B1152,N$5)="",2,0)),0)</f>
        <v>0</v>
      </c>
      <c r="O1152" s="194">
        <f>IFERROR(IF(INDEX([1]Pivot!$AD$1:$BE$65000,$B1152,O$5)=1,1,IF(INDEX([1]Pivot!$B$1:$AB$65000,$B1152,O$5)="",2,0)),0)</f>
        <v>0</v>
      </c>
      <c r="P1152" s="194">
        <f>IFERROR(IF(INDEX([1]Pivot!$AD$1:$BE$65000,$B1152,P$5)=1,1,IF(INDEX([1]Pivot!$B$1:$AB$65000,$B1152,P$5)="",2,0)),0)</f>
        <v>0</v>
      </c>
      <c r="Q1152" s="194">
        <f>IFERROR(IF(INDEX([1]Pivot!$AD$1:$BE$65000,$B1152,Q$5)=1,1,IF(INDEX([1]Pivot!$B$1:$AB$65000,$B1152,Q$5)="",2,0)),0)</f>
        <v>0</v>
      </c>
      <c r="R1152" s="312"/>
      <c r="S1152" s="194">
        <f>IFERROR(IF(INDEX([1]Pivot!$AD$1:$BE$65000,$B1152,S$5)=1,1,IF(INDEX([1]Pivot!$B$1:$AB$65000,$B1152,S$5)="",2,0)),0)</f>
        <v>0</v>
      </c>
      <c r="T1152" s="194">
        <f>IFERROR(IF(INDEX([1]Pivot!$AD$1:$BE$65000,$B1152,T$5)=1,1,IF(INDEX([1]Pivot!$B$1:$AB$65000,$B1152,T$5)="",2,0)),0)</f>
        <v>0</v>
      </c>
      <c r="U1152" s="194">
        <f>IFERROR(IF(INDEX([1]Pivot!$AD$1:$BE$65000,$B1152,U$5)=1,1,IF(INDEX([1]Pivot!$B$1:$AB$65000,$B1152,U$5)="",2,0)),0)</f>
        <v>0</v>
      </c>
      <c r="V1152" s="194">
        <f>IFERROR(IF(INDEX([1]Pivot!$AD$1:$BE$65000,$B1152,V$5)=1,1,IF(INDEX([1]Pivot!$B$1:$AB$65000,$B1152,V$5)="",2,0)),0)</f>
        <v>0</v>
      </c>
      <c r="W1152" s="194">
        <f>IFERROR(IF(INDEX([1]Pivot!$AD$1:$BE$65000,$B1152,W$5)=1,1,IF(INDEX([1]Pivot!$B$1:$AB$65000,$B1152,W$5)="",2,0)),0)</f>
        <v>0</v>
      </c>
      <c r="X1152" s="194">
        <f>IFERROR(IF(INDEX([1]Pivot!$AD$1:$BE$65000,$B1152,X$5)=1,1,IF(INDEX([1]Pivot!$B$1:$AB$65000,$B1152,X$5)="",2,0)),0)</f>
        <v>0</v>
      </c>
      <c r="Y1152" s="194">
        <f>IFERROR(IF(INDEX([1]Pivot!$AD$1:$BE$65000,$B1152,Y$5)=1,1,IF(INDEX([1]Pivot!$B$1:$AB$65000,$B1152,Y$5)="",2,0)),0)</f>
        <v>0</v>
      </c>
      <c r="Z1152" s="194">
        <f>IFERROR(IF(INDEX([1]Pivot!$AD$1:$BE$65000,$B1152,Z$5)=1,1,IF(INDEX([1]Pivot!$B$1:$AB$65000,$B1152,Z$5)="",2,0)),0)</f>
        <v>0</v>
      </c>
      <c r="AA1152" s="194">
        <f>IFERROR(IF(INDEX([1]Pivot!$AD$1:$BE$65000,$B1152,AA$5)=1,1,IF(INDEX([1]Pivot!$B$1:$AB$65000,$B1152,AA$5)="",2,0)),0)</f>
        <v>0</v>
      </c>
      <c r="AB1152" s="194">
        <f>IFERROR(IF(INDEX([1]Pivot!$AD$1:$BE$65000,$B1152,AB$5)=1,1,IF(INDEX([1]Pivot!$B$1:$AB$65000,$B1152,AB$5)="",2,0)),0)</f>
        <v>0</v>
      </c>
      <c r="AC1152" s="194">
        <f>IFERROR(IF(INDEX([1]Pivot!$AD$1:$BE$65000,$B1152,AC$5)=1,1,IF(INDEX([1]Pivot!$B$1:$AB$65000,$B1152,AC$5)="",2,0)),0)</f>
        <v>0</v>
      </c>
      <c r="AD1152" s="313">
        <f>IFERROR(IF(INDEX([1]Pivot!$BF$1:$CG$65000,$B1152,AD$5)=1,1,IF(INDEX([1]Pivot!$B$1:$AB$65000,$B1152,AD$5)="",2,0)),0)</f>
        <v>0</v>
      </c>
      <c r="AE1152" s="313">
        <f>IFERROR(IF(INDEX([1]Pivot!$BF$1:$CG$65000,$B1152,AE$5)=1,1,IF(INDEX([1]Pivot!$B$1:$AB$65000,$B1152,AE$5)="",2,0)),0)</f>
        <v>0</v>
      </c>
      <c r="AF1152" s="313">
        <f>IFERROR(IF(INDEX([1]Pivot!$BF$1:$CG$65000,$B1152,AF$5)=1,1,IF(INDEX([1]Pivot!$B$1:$AB$65000,$B1152,AF$5)="",2,0)),0)</f>
        <v>0</v>
      </c>
      <c r="AG1152" s="313">
        <f>IFERROR(IF(INDEX([1]Pivot!$BF$1:$CG$65000,$B1152,AG$5)=1,1,IF(INDEX([1]Pivot!$B$1:$AB$65000,$B1152,AG$5)="",2,0)),0)</f>
        <v>0</v>
      </c>
      <c r="AH1152" s="313">
        <f>IFERROR(IF(INDEX([1]Pivot!$BF$1:$CG$65000,$B1152,AH$5)=1,1,IF(INDEX([1]Pivot!$B$1:$AB$65000,$B1152,AH$5)="",2,0)),0)</f>
        <v>0</v>
      </c>
      <c r="AI1152" s="313">
        <f>IFERROR(IF(INDEX([1]Pivot!$BF$1:$CG$65000,$B1152,AI$5)=1,1,IF(INDEX([1]Pivot!$B$1:$AB$65000,$B1152,AI$5)="",2,0)),0)</f>
        <v>0</v>
      </c>
      <c r="AJ1152" s="313">
        <f>IFERROR(IF(INDEX([1]Pivot!$BF$1:$CG$65000,$B1152,AJ$5)=1,1,IF(INDEX([1]Pivot!$B$1:$AB$65000,$B1152,AJ$5)="",2,0)),0)</f>
        <v>0</v>
      </c>
      <c r="AK1152" s="313">
        <f>IFERROR(IF(INDEX([1]Pivot!$BF$1:$CG$65000,$B1152,AK$5)=1,1,IF(INDEX([1]Pivot!$B$1:$AB$65000,$B1152,AK$5)="",2,0)),0)</f>
        <v>0</v>
      </c>
      <c r="AL1152" s="313">
        <f>IFERROR(IF(INDEX([1]Pivot!$BF$1:$CG$65000,$B1152,AL$5)=1,1,IF(INDEX([1]Pivot!$B$1:$AB$65000,$B1152,AL$5)="",2,0)),0)</f>
        <v>0</v>
      </c>
      <c r="AM1152" s="313">
        <f>IFERROR(IF(INDEX([1]Pivot!$BF$1:$CG$65000,$B1152,AM$5)=1,1,IF(INDEX([1]Pivot!$B$1:$AB$65000,$B1152,AM$5)="",2,0)),0)</f>
        <v>0</v>
      </c>
      <c r="AN1152" s="313">
        <f>IFERROR(IF(INDEX([1]Pivot!$BF$1:$CG$65000,$B1152,AN$5)=1,1,IF(INDEX([1]Pivot!$B$1:$AB$65000,$B1152,AN$5)="",2,0)),0)</f>
        <v>0</v>
      </c>
      <c r="AO1152" s="313">
        <f>IFERROR(IF(INDEX([1]Pivot!$BF$1:$CG$65000,$B1152,AO$5)=1,1,IF(INDEX([1]Pivot!$B$1:$AB$65000,$B1152,AO$5)="",2,0)),0)</f>
        <v>0</v>
      </c>
      <c r="AP1152" s="313">
        <f>IFERROR(IF(INDEX([1]Pivot!$BF$1:$CG$65000,$B1152,AP$5)=1,1,IF(INDEX([1]Pivot!$B$1:$AB$65000,$B1152,AP$5)="",2,0)),0)</f>
        <v>0</v>
      </c>
      <c r="AQ1152" s="313">
        <f>IFERROR(IF(INDEX([1]Pivot!$BF$1:$CG$65000,$B1152,AQ$5)=1,1,IF(INDEX([1]Pivot!$B$1:$AB$65000,$B1152,AQ$5)="",2,0)),0)</f>
        <v>0</v>
      </c>
      <c r="AR1152" s="313">
        <f>IFERROR(IF(INDEX([1]Pivot!$BF$1:$CG$65000,$B1152,AR$5)=1,1,IF(INDEX([1]Pivot!$B$1:$AB$65000,$B1152,AR$5)="",2,0)),0)</f>
        <v>0</v>
      </c>
      <c r="AS1152" s="312"/>
      <c r="AT1152" s="313">
        <f>IFERROR(IF(INDEX([1]Pivot!$BF$1:$CG$65000,$B1152,AT$5)=1,1,IF(INDEX([1]Pivot!$B$1:$AB$65000,$B1152,AT$5)="",2,0)),0)</f>
        <v>0</v>
      </c>
      <c r="AU1152" s="313">
        <f>IFERROR(IF(INDEX([1]Pivot!$BF$1:$CG$65000,$B1152,AU$5)=1,1,IF(INDEX([1]Pivot!$B$1:$AB$65000,$B1152,AU$5)="",2,0)),0)</f>
        <v>0</v>
      </c>
      <c r="AV1152" s="313">
        <f>IFERROR(IF(INDEX([1]Pivot!$BF$1:$CG$65000,$B1152,AV$5)=1,1,IF(INDEX([1]Pivot!$B$1:$AB$65000,$B1152,AV$5)="",2,0)),0)</f>
        <v>0</v>
      </c>
      <c r="AW1152" s="313">
        <f>IFERROR(IF(INDEX([1]Pivot!$BF$1:$CG$65000,$B1152,AW$5)=1,1,IF(INDEX([1]Pivot!$B$1:$AB$65000,$B1152,AW$5)="",2,0)),0)</f>
        <v>0</v>
      </c>
      <c r="AX1152" s="313">
        <f>IFERROR(IF(INDEX([1]Pivot!$BF$1:$CG$65000,$B1152,AX$5)=1,1,IF(INDEX([1]Pivot!$B$1:$AB$65000,$B1152,AX$5)="",2,0)),0)</f>
        <v>0</v>
      </c>
      <c r="AY1152" s="313">
        <f>IFERROR(IF(INDEX([1]Pivot!$BF$1:$CG$65000,$B1152,AY$5)=1,1,IF(INDEX([1]Pivot!$B$1:$AB$65000,$B1152,AY$5)="",2,0)),0)</f>
        <v>0</v>
      </c>
      <c r="AZ1152" s="313">
        <f>IFERROR(IF(INDEX([1]Pivot!$BF$1:$CG$65000,$B1152,AZ$5)=1,1,IF(INDEX([1]Pivot!$B$1:$AB$65000,$B1152,AZ$5)="",2,0)),0)</f>
        <v>0</v>
      </c>
      <c r="BA1152" s="313">
        <f>IFERROR(IF(INDEX([1]Pivot!$BF$1:$CG$65000,$B1152,BA$5)=1,1,IF(INDEX([1]Pivot!$B$1:$AB$65000,$B1152,BA$5)="",2,0)),0)</f>
        <v>0</v>
      </c>
      <c r="BB1152" s="313">
        <f>IFERROR(IF(INDEX([1]Pivot!$BF$1:$CG$65000,$B1152,BB$5)=1,1,IF(INDEX([1]Pivot!$B$1:$AB$65000,$B1152,BB$5)="",2,0)),0)</f>
        <v>0</v>
      </c>
      <c r="BC1152" s="313">
        <f>IFERROR(IF(INDEX([1]Pivot!$BF$1:$CG$65000,$B1152,BC$5)=1,1,IF(INDEX([1]Pivot!$B$1:$AB$65000,$B1152,BC$5)="",2,0)),0)</f>
        <v>0</v>
      </c>
      <c r="BD1152" s="313">
        <f>IFERROR(IF(INDEX([1]Pivot!$BF$1:$CG$65000,$B1152,BD$5)=1,1,IF(INDEX([1]Pivot!$B$1:$AB$65000,$B1152,BD$5)="",2,0)),0)</f>
        <v>0</v>
      </c>
    </row>
    <row r="1153" spans="1:56" x14ac:dyDescent="0.25">
      <c r="A1153" s="288">
        <f>'[2]Raw Milk Prices'!A1153</f>
        <v>0</v>
      </c>
      <c r="B1153" s="296" t="e">
        <f>MATCH(DATE(LEFT('[2]Raw Milk Prices'!$A1153,4),RIGHT('[2]Raw Milk Prices'!$A1153,2),1),[1]Pivot!$A$1:$A$65000,0)</f>
        <v>#VALUE!</v>
      </c>
      <c r="C1153" s="194">
        <f>IFERROR(IF(INDEX([1]Pivot!$AD$1:$BE$65000,$B1153,C$5)=1,1,IF(INDEX([1]Pivot!$B$1:$AB$65000,$B1153,C$5)="",2,0)),0)</f>
        <v>0</v>
      </c>
      <c r="D1153" s="194">
        <f>IFERROR(IF(INDEX([1]Pivot!$AD$1:$BE$65000,$B1153,D$5)=1,1,IF(INDEX([1]Pivot!$B$1:$AB$65000,$B1153,D$5)="",2,0)),0)</f>
        <v>0</v>
      </c>
      <c r="E1153" s="194">
        <f>IFERROR(IF(INDEX([1]Pivot!$AD$1:$BE$65000,$B1153,E$5)=1,1,IF(INDEX([1]Pivot!$B$1:$AB$65000,$B1153,E$5)="",2,0)),0)</f>
        <v>0</v>
      </c>
      <c r="F1153" s="194">
        <f>IFERROR(IF(INDEX([1]Pivot!$AD$1:$BE$65000,$B1153,F$5)=1,1,IF(INDEX([1]Pivot!$B$1:$AB$65000,$B1153,F$5)="",2,0)),0)</f>
        <v>0</v>
      </c>
      <c r="G1153" s="194">
        <f>IFERROR(IF(INDEX([1]Pivot!$AD$1:$BE$65000,$B1153,G$5)=1,1,IF(INDEX([1]Pivot!$B$1:$AB$65000,$B1153,G$5)="",2,0)),0)</f>
        <v>0</v>
      </c>
      <c r="H1153" s="194">
        <f>IFERROR(IF(INDEX([1]Pivot!$AD$1:$BE$65000,$B1153,H$5)=1,1,IF(INDEX([1]Pivot!$B$1:$AB$65000,$B1153,H$5)="",2,0)),0)</f>
        <v>0</v>
      </c>
      <c r="I1153" s="194">
        <f>IFERROR(IF(INDEX([1]Pivot!$AD$1:$BE$65000,$B1153,I$5)=1,1,IF(INDEX([1]Pivot!$B$1:$AB$65000,$B1153,I$5)="",2,0)),0)</f>
        <v>0</v>
      </c>
      <c r="J1153" s="194">
        <f>IFERROR(IF(INDEX([1]Pivot!$AD$1:$BE$65000,$B1153,J$5)=1,1,IF(INDEX([1]Pivot!$B$1:$AB$65000,$B1153,J$5)="",2,0)),0)</f>
        <v>0</v>
      </c>
      <c r="K1153" s="194">
        <f>IFERROR(IF(INDEX([1]Pivot!$AD$1:$BE$65000,$B1153,K$5)=1,1,IF(INDEX([1]Pivot!$B$1:$AB$65000,$B1153,K$5)="",2,0)),0)</f>
        <v>0</v>
      </c>
      <c r="L1153" s="194">
        <f>IFERROR(IF(INDEX([1]Pivot!$AD$1:$BE$65000,$B1153,L$5)=1,1,IF(INDEX([1]Pivot!$B$1:$AB$65000,$B1153,L$5)="",2,0)),0)</f>
        <v>0</v>
      </c>
      <c r="M1153" s="194">
        <f>IFERROR(IF(INDEX([1]Pivot!$AD$1:$BE$65000,$B1153,M$5)=1,1,IF(INDEX([1]Pivot!$B$1:$AB$65000,$B1153,M$5)="",2,0)),0)</f>
        <v>0</v>
      </c>
      <c r="N1153" s="194">
        <f>IFERROR(IF(INDEX([1]Pivot!$AD$1:$BE$65000,$B1153,N$5)=1,1,IF(INDEX([1]Pivot!$B$1:$AB$65000,$B1153,N$5)="",2,0)),0)</f>
        <v>0</v>
      </c>
      <c r="O1153" s="194">
        <f>IFERROR(IF(INDEX([1]Pivot!$AD$1:$BE$65000,$B1153,O$5)=1,1,IF(INDEX([1]Pivot!$B$1:$AB$65000,$B1153,O$5)="",2,0)),0)</f>
        <v>0</v>
      </c>
      <c r="P1153" s="194">
        <f>IFERROR(IF(INDEX([1]Pivot!$AD$1:$BE$65000,$B1153,P$5)=1,1,IF(INDEX([1]Pivot!$B$1:$AB$65000,$B1153,P$5)="",2,0)),0)</f>
        <v>0</v>
      </c>
      <c r="Q1153" s="194">
        <f>IFERROR(IF(INDEX([1]Pivot!$AD$1:$BE$65000,$B1153,Q$5)=1,1,IF(INDEX([1]Pivot!$B$1:$AB$65000,$B1153,Q$5)="",2,0)),0)</f>
        <v>0</v>
      </c>
      <c r="R1153" s="312"/>
      <c r="S1153" s="194">
        <f>IFERROR(IF(INDEX([1]Pivot!$AD$1:$BE$65000,$B1153,S$5)=1,1,IF(INDEX([1]Pivot!$B$1:$AB$65000,$B1153,S$5)="",2,0)),0)</f>
        <v>0</v>
      </c>
      <c r="T1153" s="194">
        <f>IFERROR(IF(INDEX([1]Pivot!$AD$1:$BE$65000,$B1153,T$5)=1,1,IF(INDEX([1]Pivot!$B$1:$AB$65000,$B1153,T$5)="",2,0)),0)</f>
        <v>0</v>
      </c>
      <c r="U1153" s="194">
        <f>IFERROR(IF(INDEX([1]Pivot!$AD$1:$BE$65000,$B1153,U$5)=1,1,IF(INDEX([1]Pivot!$B$1:$AB$65000,$B1153,U$5)="",2,0)),0)</f>
        <v>0</v>
      </c>
      <c r="V1153" s="194">
        <f>IFERROR(IF(INDEX([1]Pivot!$AD$1:$BE$65000,$B1153,V$5)=1,1,IF(INDEX([1]Pivot!$B$1:$AB$65000,$B1153,V$5)="",2,0)),0)</f>
        <v>0</v>
      </c>
      <c r="W1153" s="194">
        <f>IFERROR(IF(INDEX([1]Pivot!$AD$1:$BE$65000,$B1153,W$5)=1,1,IF(INDEX([1]Pivot!$B$1:$AB$65000,$B1153,W$5)="",2,0)),0)</f>
        <v>0</v>
      </c>
      <c r="X1153" s="194">
        <f>IFERROR(IF(INDEX([1]Pivot!$AD$1:$BE$65000,$B1153,X$5)=1,1,IF(INDEX([1]Pivot!$B$1:$AB$65000,$B1153,X$5)="",2,0)),0)</f>
        <v>0</v>
      </c>
      <c r="Y1153" s="194">
        <f>IFERROR(IF(INDEX([1]Pivot!$AD$1:$BE$65000,$B1153,Y$5)=1,1,IF(INDEX([1]Pivot!$B$1:$AB$65000,$B1153,Y$5)="",2,0)),0)</f>
        <v>0</v>
      </c>
      <c r="Z1153" s="194">
        <f>IFERROR(IF(INDEX([1]Pivot!$AD$1:$BE$65000,$B1153,Z$5)=1,1,IF(INDEX([1]Pivot!$B$1:$AB$65000,$B1153,Z$5)="",2,0)),0)</f>
        <v>0</v>
      </c>
      <c r="AA1153" s="194">
        <f>IFERROR(IF(INDEX([1]Pivot!$AD$1:$BE$65000,$B1153,AA$5)=1,1,IF(INDEX([1]Pivot!$B$1:$AB$65000,$B1153,AA$5)="",2,0)),0)</f>
        <v>0</v>
      </c>
      <c r="AB1153" s="194">
        <f>IFERROR(IF(INDEX([1]Pivot!$AD$1:$BE$65000,$B1153,AB$5)=1,1,IF(INDEX([1]Pivot!$B$1:$AB$65000,$B1153,AB$5)="",2,0)),0)</f>
        <v>0</v>
      </c>
      <c r="AC1153" s="194">
        <f>IFERROR(IF(INDEX([1]Pivot!$AD$1:$BE$65000,$B1153,AC$5)=1,1,IF(INDEX([1]Pivot!$B$1:$AB$65000,$B1153,AC$5)="",2,0)),0)</f>
        <v>0</v>
      </c>
      <c r="AD1153" s="313">
        <f>IFERROR(IF(INDEX([1]Pivot!$BF$1:$CG$65000,$B1153,AD$5)=1,1,IF(INDEX([1]Pivot!$B$1:$AB$65000,$B1153,AD$5)="",2,0)),0)</f>
        <v>0</v>
      </c>
      <c r="AE1153" s="313">
        <f>IFERROR(IF(INDEX([1]Pivot!$BF$1:$CG$65000,$B1153,AE$5)=1,1,IF(INDEX([1]Pivot!$B$1:$AB$65000,$B1153,AE$5)="",2,0)),0)</f>
        <v>0</v>
      </c>
      <c r="AF1153" s="313">
        <f>IFERROR(IF(INDEX([1]Pivot!$BF$1:$CG$65000,$B1153,AF$5)=1,1,IF(INDEX([1]Pivot!$B$1:$AB$65000,$B1153,AF$5)="",2,0)),0)</f>
        <v>0</v>
      </c>
      <c r="AG1153" s="313">
        <f>IFERROR(IF(INDEX([1]Pivot!$BF$1:$CG$65000,$B1153,AG$5)=1,1,IF(INDEX([1]Pivot!$B$1:$AB$65000,$B1153,AG$5)="",2,0)),0)</f>
        <v>0</v>
      </c>
      <c r="AH1153" s="313">
        <f>IFERROR(IF(INDEX([1]Pivot!$BF$1:$CG$65000,$B1153,AH$5)=1,1,IF(INDEX([1]Pivot!$B$1:$AB$65000,$B1153,AH$5)="",2,0)),0)</f>
        <v>0</v>
      </c>
      <c r="AI1153" s="313">
        <f>IFERROR(IF(INDEX([1]Pivot!$BF$1:$CG$65000,$B1153,AI$5)=1,1,IF(INDEX([1]Pivot!$B$1:$AB$65000,$B1153,AI$5)="",2,0)),0)</f>
        <v>0</v>
      </c>
      <c r="AJ1153" s="313">
        <f>IFERROR(IF(INDEX([1]Pivot!$BF$1:$CG$65000,$B1153,AJ$5)=1,1,IF(INDEX([1]Pivot!$B$1:$AB$65000,$B1153,AJ$5)="",2,0)),0)</f>
        <v>0</v>
      </c>
      <c r="AK1153" s="313">
        <f>IFERROR(IF(INDEX([1]Pivot!$BF$1:$CG$65000,$B1153,AK$5)=1,1,IF(INDEX([1]Pivot!$B$1:$AB$65000,$B1153,AK$5)="",2,0)),0)</f>
        <v>0</v>
      </c>
      <c r="AL1153" s="313">
        <f>IFERROR(IF(INDEX([1]Pivot!$BF$1:$CG$65000,$B1153,AL$5)=1,1,IF(INDEX([1]Pivot!$B$1:$AB$65000,$B1153,AL$5)="",2,0)),0)</f>
        <v>0</v>
      </c>
      <c r="AM1153" s="313">
        <f>IFERROR(IF(INDEX([1]Pivot!$BF$1:$CG$65000,$B1153,AM$5)=1,1,IF(INDEX([1]Pivot!$B$1:$AB$65000,$B1153,AM$5)="",2,0)),0)</f>
        <v>0</v>
      </c>
      <c r="AN1153" s="313">
        <f>IFERROR(IF(INDEX([1]Pivot!$BF$1:$CG$65000,$B1153,AN$5)=1,1,IF(INDEX([1]Pivot!$B$1:$AB$65000,$B1153,AN$5)="",2,0)),0)</f>
        <v>0</v>
      </c>
      <c r="AO1153" s="313">
        <f>IFERROR(IF(INDEX([1]Pivot!$BF$1:$CG$65000,$B1153,AO$5)=1,1,IF(INDEX([1]Pivot!$B$1:$AB$65000,$B1153,AO$5)="",2,0)),0)</f>
        <v>0</v>
      </c>
      <c r="AP1153" s="313">
        <f>IFERROR(IF(INDEX([1]Pivot!$BF$1:$CG$65000,$B1153,AP$5)=1,1,IF(INDEX([1]Pivot!$B$1:$AB$65000,$B1153,AP$5)="",2,0)),0)</f>
        <v>0</v>
      </c>
      <c r="AQ1153" s="313">
        <f>IFERROR(IF(INDEX([1]Pivot!$BF$1:$CG$65000,$B1153,AQ$5)=1,1,IF(INDEX([1]Pivot!$B$1:$AB$65000,$B1153,AQ$5)="",2,0)),0)</f>
        <v>0</v>
      </c>
      <c r="AR1153" s="313">
        <f>IFERROR(IF(INDEX([1]Pivot!$BF$1:$CG$65000,$B1153,AR$5)=1,1,IF(INDEX([1]Pivot!$B$1:$AB$65000,$B1153,AR$5)="",2,0)),0)</f>
        <v>0</v>
      </c>
      <c r="AS1153" s="312"/>
      <c r="AT1153" s="313">
        <f>IFERROR(IF(INDEX([1]Pivot!$BF$1:$CG$65000,$B1153,AT$5)=1,1,IF(INDEX([1]Pivot!$B$1:$AB$65000,$B1153,AT$5)="",2,0)),0)</f>
        <v>0</v>
      </c>
      <c r="AU1153" s="313">
        <f>IFERROR(IF(INDEX([1]Pivot!$BF$1:$CG$65000,$B1153,AU$5)=1,1,IF(INDEX([1]Pivot!$B$1:$AB$65000,$B1153,AU$5)="",2,0)),0)</f>
        <v>0</v>
      </c>
      <c r="AV1153" s="313">
        <f>IFERROR(IF(INDEX([1]Pivot!$BF$1:$CG$65000,$B1153,AV$5)=1,1,IF(INDEX([1]Pivot!$B$1:$AB$65000,$B1153,AV$5)="",2,0)),0)</f>
        <v>0</v>
      </c>
      <c r="AW1153" s="313">
        <f>IFERROR(IF(INDEX([1]Pivot!$BF$1:$CG$65000,$B1153,AW$5)=1,1,IF(INDEX([1]Pivot!$B$1:$AB$65000,$B1153,AW$5)="",2,0)),0)</f>
        <v>0</v>
      </c>
      <c r="AX1153" s="313">
        <f>IFERROR(IF(INDEX([1]Pivot!$BF$1:$CG$65000,$B1153,AX$5)=1,1,IF(INDEX([1]Pivot!$B$1:$AB$65000,$B1153,AX$5)="",2,0)),0)</f>
        <v>0</v>
      </c>
      <c r="AY1153" s="313">
        <f>IFERROR(IF(INDEX([1]Pivot!$BF$1:$CG$65000,$B1153,AY$5)=1,1,IF(INDEX([1]Pivot!$B$1:$AB$65000,$B1153,AY$5)="",2,0)),0)</f>
        <v>0</v>
      </c>
      <c r="AZ1153" s="313">
        <f>IFERROR(IF(INDEX([1]Pivot!$BF$1:$CG$65000,$B1153,AZ$5)=1,1,IF(INDEX([1]Pivot!$B$1:$AB$65000,$B1153,AZ$5)="",2,0)),0)</f>
        <v>0</v>
      </c>
      <c r="BA1153" s="313">
        <f>IFERROR(IF(INDEX([1]Pivot!$BF$1:$CG$65000,$B1153,BA$5)=1,1,IF(INDEX([1]Pivot!$B$1:$AB$65000,$B1153,BA$5)="",2,0)),0)</f>
        <v>0</v>
      </c>
      <c r="BB1153" s="313">
        <f>IFERROR(IF(INDEX([1]Pivot!$BF$1:$CG$65000,$B1153,BB$5)=1,1,IF(INDEX([1]Pivot!$B$1:$AB$65000,$B1153,BB$5)="",2,0)),0)</f>
        <v>0</v>
      </c>
      <c r="BC1153" s="313">
        <f>IFERROR(IF(INDEX([1]Pivot!$BF$1:$CG$65000,$B1153,BC$5)=1,1,IF(INDEX([1]Pivot!$B$1:$AB$65000,$B1153,BC$5)="",2,0)),0)</f>
        <v>0</v>
      </c>
      <c r="BD1153" s="313">
        <f>IFERROR(IF(INDEX([1]Pivot!$BF$1:$CG$65000,$B1153,BD$5)=1,1,IF(INDEX([1]Pivot!$B$1:$AB$65000,$B1153,BD$5)="",2,0)),0)</f>
        <v>0</v>
      </c>
    </row>
    <row r="1154" spans="1:56" x14ac:dyDescent="0.25">
      <c r="A1154" s="288">
        <f>'[2]Raw Milk Prices'!A1154</f>
        <v>0</v>
      </c>
      <c r="B1154" s="296" t="e">
        <f>MATCH(DATE(LEFT('[2]Raw Milk Prices'!$A1154,4),RIGHT('[2]Raw Milk Prices'!$A1154,2),1),[1]Pivot!$A$1:$A$65000,0)</f>
        <v>#VALUE!</v>
      </c>
      <c r="C1154" s="194">
        <f>IFERROR(IF(INDEX([1]Pivot!$AD$1:$BE$65000,$B1154,C$5)=1,1,IF(INDEX([1]Pivot!$B$1:$AB$65000,$B1154,C$5)="",2,0)),0)</f>
        <v>0</v>
      </c>
      <c r="D1154" s="194">
        <f>IFERROR(IF(INDEX([1]Pivot!$AD$1:$BE$65000,$B1154,D$5)=1,1,IF(INDEX([1]Pivot!$B$1:$AB$65000,$B1154,D$5)="",2,0)),0)</f>
        <v>0</v>
      </c>
      <c r="E1154" s="194">
        <f>IFERROR(IF(INDEX([1]Pivot!$AD$1:$BE$65000,$B1154,E$5)=1,1,IF(INDEX([1]Pivot!$B$1:$AB$65000,$B1154,E$5)="",2,0)),0)</f>
        <v>0</v>
      </c>
      <c r="F1154" s="194">
        <f>IFERROR(IF(INDEX([1]Pivot!$AD$1:$BE$65000,$B1154,F$5)=1,1,IF(INDEX([1]Pivot!$B$1:$AB$65000,$B1154,F$5)="",2,0)),0)</f>
        <v>0</v>
      </c>
      <c r="G1154" s="194">
        <f>IFERROR(IF(INDEX([1]Pivot!$AD$1:$BE$65000,$B1154,G$5)=1,1,IF(INDEX([1]Pivot!$B$1:$AB$65000,$B1154,G$5)="",2,0)),0)</f>
        <v>0</v>
      </c>
      <c r="H1154" s="194">
        <f>IFERROR(IF(INDEX([1]Pivot!$AD$1:$BE$65000,$B1154,H$5)=1,1,IF(INDEX([1]Pivot!$B$1:$AB$65000,$B1154,H$5)="",2,0)),0)</f>
        <v>0</v>
      </c>
      <c r="I1154" s="194">
        <f>IFERROR(IF(INDEX([1]Pivot!$AD$1:$BE$65000,$B1154,I$5)=1,1,IF(INDEX([1]Pivot!$B$1:$AB$65000,$B1154,I$5)="",2,0)),0)</f>
        <v>0</v>
      </c>
      <c r="J1154" s="194">
        <f>IFERROR(IF(INDEX([1]Pivot!$AD$1:$BE$65000,$B1154,J$5)=1,1,IF(INDEX([1]Pivot!$B$1:$AB$65000,$B1154,J$5)="",2,0)),0)</f>
        <v>0</v>
      </c>
      <c r="K1154" s="194">
        <f>IFERROR(IF(INDEX([1]Pivot!$AD$1:$BE$65000,$B1154,K$5)=1,1,IF(INDEX([1]Pivot!$B$1:$AB$65000,$B1154,K$5)="",2,0)),0)</f>
        <v>0</v>
      </c>
      <c r="L1154" s="194">
        <f>IFERROR(IF(INDEX([1]Pivot!$AD$1:$BE$65000,$B1154,L$5)=1,1,IF(INDEX([1]Pivot!$B$1:$AB$65000,$B1154,L$5)="",2,0)),0)</f>
        <v>0</v>
      </c>
      <c r="M1154" s="194">
        <f>IFERROR(IF(INDEX([1]Pivot!$AD$1:$BE$65000,$B1154,M$5)=1,1,IF(INDEX([1]Pivot!$B$1:$AB$65000,$B1154,M$5)="",2,0)),0)</f>
        <v>0</v>
      </c>
      <c r="N1154" s="194">
        <f>IFERROR(IF(INDEX([1]Pivot!$AD$1:$BE$65000,$B1154,N$5)=1,1,IF(INDEX([1]Pivot!$B$1:$AB$65000,$B1154,N$5)="",2,0)),0)</f>
        <v>0</v>
      </c>
      <c r="O1154" s="194">
        <f>IFERROR(IF(INDEX([1]Pivot!$AD$1:$BE$65000,$B1154,O$5)=1,1,IF(INDEX([1]Pivot!$B$1:$AB$65000,$B1154,O$5)="",2,0)),0)</f>
        <v>0</v>
      </c>
      <c r="P1154" s="194">
        <f>IFERROR(IF(INDEX([1]Pivot!$AD$1:$BE$65000,$B1154,P$5)=1,1,IF(INDEX([1]Pivot!$B$1:$AB$65000,$B1154,P$5)="",2,0)),0)</f>
        <v>0</v>
      </c>
      <c r="Q1154" s="194">
        <f>IFERROR(IF(INDEX([1]Pivot!$AD$1:$BE$65000,$B1154,Q$5)=1,1,IF(INDEX([1]Pivot!$B$1:$AB$65000,$B1154,Q$5)="",2,0)),0)</f>
        <v>0</v>
      </c>
      <c r="R1154" s="312"/>
      <c r="S1154" s="194">
        <f>IFERROR(IF(INDEX([1]Pivot!$AD$1:$BE$65000,$B1154,S$5)=1,1,IF(INDEX([1]Pivot!$B$1:$AB$65000,$B1154,S$5)="",2,0)),0)</f>
        <v>0</v>
      </c>
      <c r="T1154" s="194">
        <f>IFERROR(IF(INDEX([1]Pivot!$AD$1:$BE$65000,$B1154,T$5)=1,1,IF(INDEX([1]Pivot!$B$1:$AB$65000,$B1154,T$5)="",2,0)),0)</f>
        <v>0</v>
      </c>
      <c r="U1154" s="194">
        <f>IFERROR(IF(INDEX([1]Pivot!$AD$1:$BE$65000,$B1154,U$5)=1,1,IF(INDEX([1]Pivot!$B$1:$AB$65000,$B1154,U$5)="",2,0)),0)</f>
        <v>0</v>
      </c>
      <c r="V1154" s="194">
        <f>IFERROR(IF(INDEX([1]Pivot!$AD$1:$BE$65000,$B1154,V$5)=1,1,IF(INDEX([1]Pivot!$B$1:$AB$65000,$B1154,V$5)="",2,0)),0)</f>
        <v>0</v>
      </c>
      <c r="W1154" s="194">
        <f>IFERROR(IF(INDEX([1]Pivot!$AD$1:$BE$65000,$B1154,W$5)=1,1,IF(INDEX([1]Pivot!$B$1:$AB$65000,$B1154,W$5)="",2,0)),0)</f>
        <v>0</v>
      </c>
      <c r="X1154" s="194">
        <f>IFERROR(IF(INDEX([1]Pivot!$AD$1:$BE$65000,$B1154,X$5)=1,1,IF(INDEX([1]Pivot!$B$1:$AB$65000,$B1154,X$5)="",2,0)),0)</f>
        <v>0</v>
      </c>
      <c r="Y1154" s="194">
        <f>IFERROR(IF(INDEX([1]Pivot!$AD$1:$BE$65000,$B1154,Y$5)=1,1,IF(INDEX([1]Pivot!$B$1:$AB$65000,$B1154,Y$5)="",2,0)),0)</f>
        <v>0</v>
      </c>
      <c r="Z1154" s="194">
        <f>IFERROR(IF(INDEX([1]Pivot!$AD$1:$BE$65000,$B1154,Z$5)=1,1,IF(INDEX([1]Pivot!$B$1:$AB$65000,$B1154,Z$5)="",2,0)),0)</f>
        <v>0</v>
      </c>
      <c r="AA1154" s="194">
        <f>IFERROR(IF(INDEX([1]Pivot!$AD$1:$BE$65000,$B1154,AA$5)=1,1,IF(INDEX([1]Pivot!$B$1:$AB$65000,$B1154,AA$5)="",2,0)),0)</f>
        <v>0</v>
      </c>
      <c r="AB1154" s="194">
        <f>IFERROR(IF(INDEX([1]Pivot!$AD$1:$BE$65000,$B1154,AB$5)=1,1,IF(INDEX([1]Pivot!$B$1:$AB$65000,$B1154,AB$5)="",2,0)),0)</f>
        <v>0</v>
      </c>
      <c r="AC1154" s="194">
        <f>IFERROR(IF(INDEX([1]Pivot!$AD$1:$BE$65000,$B1154,AC$5)=1,1,IF(INDEX([1]Pivot!$B$1:$AB$65000,$B1154,AC$5)="",2,0)),0)</f>
        <v>0</v>
      </c>
      <c r="AD1154" s="313">
        <f>IFERROR(IF(INDEX([1]Pivot!$BF$1:$CG$65000,$B1154,AD$5)=1,1,IF(INDEX([1]Pivot!$B$1:$AB$65000,$B1154,AD$5)="",2,0)),0)</f>
        <v>0</v>
      </c>
      <c r="AE1154" s="313">
        <f>IFERROR(IF(INDEX([1]Pivot!$BF$1:$CG$65000,$B1154,AE$5)=1,1,IF(INDEX([1]Pivot!$B$1:$AB$65000,$B1154,AE$5)="",2,0)),0)</f>
        <v>0</v>
      </c>
      <c r="AF1154" s="313">
        <f>IFERROR(IF(INDEX([1]Pivot!$BF$1:$CG$65000,$B1154,AF$5)=1,1,IF(INDEX([1]Pivot!$B$1:$AB$65000,$B1154,AF$5)="",2,0)),0)</f>
        <v>0</v>
      </c>
      <c r="AG1154" s="313">
        <f>IFERROR(IF(INDEX([1]Pivot!$BF$1:$CG$65000,$B1154,AG$5)=1,1,IF(INDEX([1]Pivot!$B$1:$AB$65000,$B1154,AG$5)="",2,0)),0)</f>
        <v>0</v>
      </c>
      <c r="AH1154" s="313">
        <f>IFERROR(IF(INDEX([1]Pivot!$BF$1:$CG$65000,$B1154,AH$5)=1,1,IF(INDEX([1]Pivot!$B$1:$AB$65000,$B1154,AH$5)="",2,0)),0)</f>
        <v>0</v>
      </c>
      <c r="AI1154" s="313">
        <f>IFERROR(IF(INDEX([1]Pivot!$BF$1:$CG$65000,$B1154,AI$5)=1,1,IF(INDEX([1]Pivot!$B$1:$AB$65000,$B1154,AI$5)="",2,0)),0)</f>
        <v>0</v>
      </c>
      <c r="AJ1154" s="313">
        <f>IFERROR(IF(INDEX([1]Pivot!$BF$1:$CG$65000,$B1154,AJ$5)=1,1,IF(INDEX([1]Pivot!$B$1:$AB$65000,$B1154,AJ$5)="",2,0)),0)</f>
        <v>0</v>
      </c>
      <c r="AK1154" s="313">
        <f>IFERROR(IF(INDEX([1]Pivot!$BF$1:$CG$65000,$B1154,AK$5)=1,1,IF(INDEX([1]Pivot!$B$1:$AB$65000,$B1154,AK$5)="",2,0)),0)</f>
        <v>0</v>
      </c>
      <c r="AL1154" s="313">
        <f>IFERROR(IF(INDEX([1]Pivot!$BF$1:$CG$65000,$B1154,AL$5)=1,1,IF(INDEX([1]Pivot!$B$1:$AB$65000,$B1154,AL$5)="",2,0)),0)</f>
        <v>0</v>
      </c>
      <c r="AM1154" s="313">
        <f>IFERROR(IF(INDEX([1]Pivot!$BF$1:$CG$65000,$B1154,AM$5)=1,1,IF(INDEX([1]Pivot!$B$1:$AB$65000,$B1154,AM$5)="",2,0)),0)</f>
        <v>0</v>
      </c>
      <c r="AN1154" s="313">
        <f>IFERROR(IF(INDEX([1]Pivot!$BF$1:$CG$65000,$B1154,AN$5)=1,1,IF(INDEX([1]Pivot!$B$1:$AB$65000,$B1154,AN$5)="",2,0)),0)</f>
        <v>0</v>
      </c>
      <c r="AO1154" s="313">
        <f>IFERROR(IF(INDEX([1]Pivot!$BF$1:$CG$65000,$B1154,AO$5)=1,1,IF(INDEX([1]Pivot!$B$1:$AB$65000,$B1154,AO$5)="",2,0)),0)</f>
        <v>0</v>
      </c>
      <c r="AP1154" s="313">
        <f>IFERROR(IF(INDEX([1]Pivot!$BF$1:$CG$65000,$B1154,AP$5)=1,1,IF(INDEX([1]Pivot!$B$1:$AB$65000,$B1154,AP$5)="",2,0)),0)</f>
        <v>0</v>
      </c>
      <c r="AQ1154" s="313">
        <f>IFERROR(IF(INDEX([1]Pivot!$BF$1:$CG$65000,$B1154,AQ$5)=1,1,IF(INDEX([1]Pivot!$B$1:$AB$65000,$B1154,AQ$5)="",2,0)),0)</f>
        <v>0</v>
      </c>
      <c r="AR1154" s="313">
        <f>IFERROR(IF(INDEX([1]Pivot!$BF$1:$CG$65000,$B1154,AR$5)=1,1,IF(INDEX([1]Pivot!$B$1:$AB$65000,$B1154,AR$5)="",2,0)),0)</f>
        <v>0</v>
      </c>
      <c r="AS1154" s="312"/>
      <c r="AT1154" s="313">
        <f>IFERROR(IF(INDEX([1]Pivot!$BF$1:$CG$65000,$B1154,AT$5)=1,1,IF(INDEX([1]Pivot!$B$1:$AB$65000,$B1154,AT$5)="",2,0)),0)</f>
        <v>0</v>
      </c>
      <c r="AU1154" s="313">
        <f>IFERROR(IF(INDEX([1]Pivot!$BF$1:$CG$65000,$B1154,AU$5)=1,1,IF(INDEX([1]Pivot!$B$1:$AB$65000,$B1154,AU$5)="",2,0)),0)</f>
        <v>0</v>
      </c>
      <c r="AV1154" s="313">
        <f>IFERROR(IF(INDEX([1]Pivot!$BF$1:$CG$65000,$B1154,AV$5)=1,1,IF(INDEX([1]Pivot!$B$1:$AB$65000,$B1154,AV$5)="",2,0)),0)</f>
        <v>0</v>
      </c>
      <c r="AW1154" s="313">
        <f>IFERROR(IF(INDEX([1]Pivot!$BF$1:$CG$65000,$B1154,AW$5)=1,1,IF(INDEX([1]Pivot!$B$1:$AB$65000,$B1154,AW$5)="",2,0)),0)</f>
        <v>0</v>
      </c>
      <c r="AX1154" s="313">
        <f>IFERROR(IF(INDEX([1]Pivot!$BF$1:$CG$65000,$B1154,AX$5)=1,1,IF(INDEX([1]Pivot!$B$1:$AB$65000,$B1154,AX$5)="",2,0)),0)</f>
        <v>0</v>
      </c>
      <c r="AY1154" s="313">
        <f>IFERROR(IF(INDEX([1]Pivot!$BF$1:$CG$65000,$B1154,AY$5)=1,1,IF(INDEX([1]Pivot!$B$1:$AB$65000,$B1154,AY$5)="",2,0)),0)</f>
        <v>0</v>
      </c>
      <c r="AZ1154" s="313">
        <f>IFERROR(IF(INDEX([1]Pivot!$BF$1:$CG$65000,$B1154,AZ$5)=1,1,IF(INDEX([1]Pivot!$B$1:$AB$65000,$B1154,AZ$5)="",2,0)),0)</f>
        <v>0</v>
      </c>
      <c r="BA1154" s="313">
        <f>IFERROR(IF(INDEX([1]Pivot!$BF$1:$CG$65000,$B1154,BA$5)=1,1,IF(INDEX([1]Pivot!$B$1:$AB$65000,$B1154,BA$5)="",2,0)),0)</f>
        <v>0</v>
      </c>
      <c r="BB1154" s="313">
        <f>IFERROR(IF(INDEX([1]Pivot!$BF$1:$CG$65000,$B1154,BB$5)=1,1,IF(INDEX([1]Pivot!$B$1:$AB$65000,$B1154,BB$5)="",2,0)),0)</f>
        <v>0</v>
      </c>
      <c r="BC1154" s="313">
        <f>IFERROR(IF(INDEX([1]Pivot!$BF$1:$CG$65000,$B1154,BC$5)=1,1,IF(INDEX([1]Pivot!$B$1:$AB$65000,$B1154,BC$5)="",2,0)),0)</f>
        <v>0</v>
      </c>
      <c r="BD1154" s="313">
        <f>IFERROR(IF(INDEX([1]Pivot!$BF$1:$CG$65000,$B1154,BD$5)=1,1,IF(INDEX([1]Pivot!$B$1:$AB$65000,$B1154,BD$5)="",2,0)),0)</f>
        <v>0</v>
      </c>
    </row>
    <row r="1155" spans="1:56" x14ac:dyDescent="0.25">
      <c r="A1155" s="288">
        <f>'[2]Raw Milk Prices'!A1155</f>
        <v>0</v>
      </c>
      <c r="B1155" s="296" t="e">
        <f>MATCH(DATE(LEFT('[2]Raw Milk Prices'!$A1155,4),RIGHT('[2]Raw Milk Prices'!$A1155,2),1),[1]Pivot!$A$1:$A$65000,0)</f>
        <v>#VALUE!</v>
      </c>
      <c r="C1155" s="194">
        <f>IFERROR(IF(INDEX([1]Pivot!$AD$1:$BE$65000,$B1155,C$5)=1,1,IF(INDEX([1]Pivot!$B$1:$AB$65000,$B1155,C$5)="",2,0)),0)</f>
        <v>0</v>
      </c>
      <c r="D1155" s="194">
        <f>IFERROR(IF(INDEX([1]Pivot!$AD$1:$BE$65000,$B1155,D$5)=1,1,IF(INDEX([1]Pivot!$B$1:$AB$65000,$B1155,D$5)="",2,0)),0)</f>
        <v>0</v>
      </c>
      <c r="E1155" s="194">
        <f>IFERROR(IF(INDEX([1]Pivot!$AD$1:$BE$65000,$B1155,E$5)=1,1,IF(INDEX([1]Pivot!$B$1:$AB$65000,$B1155,E$5)="",2,0)),0)</f>
        <v>0</v>
      </c>
      <c r="F1155" s="194">
        <f>IFERROR(IF(INDEX([1]Pivot!$AD$1:$BE$65000,$B1155,F$5)=1,1,IF(INDEX([1]Pivot!$B$1:$AB$65000,$B1155,F$5)="",2,0)),0)</f>
        <v>0</v>
      </c>
      <c r="G1155" s="194">
        <f>IFERROR(IF(INDEX([1]Pivot!$AD$1:$BE$65000,$B1155,G$5)=1,1,IF(INDEX([1]Pivot!$B$1:$AB$65000,$B1155,G$5)="",2,0)),0)</f>
        <v>0</v>
      </c>
      <c r="H1155" s="194">
        <f>IFERROR(IF(INDEX([1]Pivot!$AD$1:$BE$65000,$B1155,H$5)=1,1,IF(INDEX([1]Pivot!$B$1:$AB$65000,$B1155,H$5)="",2,0)),0)</f>
        <v>0</v>
      </c>
      <c r="I1155" s="194">
        <f>IFERROR(IF(INDEX([1]Pivot!$AD$1:$BE$65000,$B1155,I$5)=1,1,IF(INDEX([1]Pivot!$B$1:$AB$65000,$B1155,I$5)="",2,0)),0)</f>
        <v>0</v>
      </c>
      <c r="J1155" s="194">
        <f>IFERROR(IF(INDEX([1]Pivot!$AD$1:$BE$65000,$B1155,J$5)=1,1,IF(INDEX([1]Pivot!$B$1:$AB$65000,$B1155,J$5)="",2,0)),0)</f>
        <v>0</v>
      </c>
      <c r="K1155" s="194">
        <f>IFERROR(IF(INDEX([1]Pivot!$AD$1:$BE$65000,$B1155,K$5)=1,1,IF(INDEX([1]Pivot!$B$1:$AB$65000,$B1155,K$5)="",2,0)),0)</f>
        <v>0</v>
      </c>
      <c r="L1155" s="194">
        <f>IFERROR(IF(INDEX([1]Pivot!$AD$1:$BE$65000,$B1155,L$5)=1,1,IF(INDEX([1]Pivot!$B$1:$AB$65000,$B1155,L$5)="",2,0)),0)</f>
        <v>0</v>
      </c>
      <c r="M1155" s="194">
        <f>IFERROR(IF(INDEX([1]Pivot!$AD$1:$BE$65000,$B1155,M$5)=1,1,IF(INDEX([1]Pivot!$B$1:$AB$65000,$B1155,M$5)="",2,0)),0)</f>
        <v>0</v>
      </c>
      <c r="N1155" s="194">
        <f>IFERROR(IF(INDEX([1]Pivot!$AD$1:$BE$65000,$B1155,N$5)=1,1,IF(INDEX([1]Pivot!$B$1:$AB$65000,$B1155,N$5)="",2,0)),0)</f>
        <v>0</v>
      </c>
      <c r="O1155" s="194">
        <f>IFERROR(IF(INDEX([1]Pivot!$AD$1:$BE$65000,$B1155,O$5)=1,1,IF(INDEX([1]Pivot!$B$1:$AB$65000,$B1155,O$5)="",2,0)),0)</f>
        <v>0</v>
      </c>
      <c r="P1155" s="194">
        <f>IFERROR(IF(INDEX([1]Pivot!$AD$1:$BE$65000,$B1155,P$5)=1,1,IF(INDEX([1]Pivot!$B$1:$AB$65000,$B1155,P$5)="",2,0)),0)</f>
        <v>0</v>
      </c>
      <c r="Q1155" s="194">
        <f>IFERROR(IF(INDEX([1]Pivot!$AD$1:$BE$65000,$B1155,Q$5)=1,1,IF(INDEX([1]Pivot!$B$1:$AB$65000,$B1155,Q$5)="",2,0)),0)</f>
        <v>0</v>
      </c>
      <c r="R1155" s="312"/>
      <c r="S1155" s="194">
        <f>IFERROR(IF(INDEX([1]Pivot!$AD$1:$BE$65000,$B1155,S$5)=1,1,IF(INDEX([1]Pivot!$B$1:$AB$65000,$B1155,S$5)="",2,0)),0)</f>
        <v>0</v>
      </c>
      <c r="T1155" s="194">
        <f>IFERROR(IF(INDEX([1]Pivot!$AD$1:$BE$65000,$B1155,T$5)=1,1,IF(INDEX([1]Pivot!$B$1:$AB$65000,$B1155,T$5)="",2,0)),0)</f>
        <v>0</v>
      </c>
      <c r="U1155" s="194">
        <f>IFERROR(IF(INDEX([1]Pivot!$AD$1:$BE$65000,$B1155,U$5)=1,1,IF(INDEX([1]Pivot!$B$1:$AB$65000,$B1155,U$5)="",2,0)),0)</f>
        <v>0</v>
      </c>
      <c r="V1155" s="194">
        <f>IFERROR(IF(INDEX([1]Pivot!$AD$1:$BE$65000,$B1155,V$5)=1,1,IF(INDEX([1]Pivot!$B$1:$AB$65000,$B1155,V$5)="",2,0)),0)</f>
        <v>0</v>
      </c>
      <c r="W1155" s="194">
        <f>IFERROR(IF(INDEX([1]Pivot!$AD$1:$BE$65000,$B1155,W$5)=1,1,IF(INDEX([1]Pivot!$B$1:$AB$65000,$B1155,W$5)="",2,0)),0)</f>
        <v>0</v>
      </c>
      <c r="X1155" s="194">
        <f>IFERROR(IF(INDEX([1]Pivot!$AD$1:$BE$65000,$B1155,X$5)=1,1,IF(INDEX([1]Pivot!$B$1:$AB$65000,$B1155,X$5)="",2,0)),0)</f>
        <v>0</v>
      </c>
      <c r="Y1155" s="194">
        <f>IFERROR(IF(INDEX([1]Pivot!$AD$1:$BE$65000,$B1155,Y$5)=1,1,IF(INDEX([1]Pivot!$B$1:$AB$65000,$B1155,Y$5)="",2,0)),0)</f>
        <v>0</v>
      </c>
      <c r="Z1155" s="194">
        <f>IFERROR(IF(INDEX([1]Pivot!$AD$1:$BE$65000,$B1155,Z$5)=1,1,IF(INDEX([1]Pivot!$B$1:$AB$65000,$B1155,Z$5)="",2,0)),0)</f>
        <v>0</v>
      </c>
      <c r="AA1155" s="194">
        <f>IFERROR(IF(INDEX([1]Pivot!$AD$1:$BE$65000,$B1155,AA$5)=1,1,IF(INDEX([1]Pivot!$B$1:$AB$65000,$B1155,AA$5)="",2,0)),0)</f>
        <v>0</v>
      </c>
      <c r="AB1155" s="194">
        <f>IFERROR(IF(INDEX([1]Pivot!$AD$1:$BE$65000,$B1155,AB$5)=1,1,IF(INDEX([1]Pivot!$B$1:$AB$65000,$B1155,AB$5)="",2,0)),0)</f>
        <v>0</v>
      </c>
      <c r="AC1155" s="194">
        <f>IFERROR(IF(INDEX([1]Pivot!$AD$1:$BE$65000,$B1155,AC$5)=1,1,IF(INDEX([1]Pivot!$B$1:$AB$65000,$B1155,AC$5)="",2,0)),0)</f>
        <v>0</v>
      </c>
      <c r="AD1155" s="313">
        <f>IFERROR(IF(INDEX([1]Pivot!$BF$1:$CG$65000,$B1155,AD$5)=1,1,IF(INDEX([1]Pivot!$B$1:$AB$65000,$B1155,AD$5)="",2,0)),0)</f>
        <v>0</v>
      </c>
      <c r="AE1155" s="313">
        <f>IFERROR(IF(INDEX([1]Pivot!$BF$1:$CG$65000,$B1155,AE$5)=1,1,IF(INDEX([1]Pivot!$B$1:$AB$65000,$B1155,AE$5)="",2,0)),0)</f>
        <v>0</v>
      </c>
      <c r="AF1155" s="313">
        <f>IFERROR(IF(INDEX([1]Pivot!$BF$1:$CG$65000,$B1155,AF$5)=1,1,IF(INDEX([1]Pivot!$B$1:$AB$65000,$B1155,AF$5)="",2,0)),0)</f>
        <v>0</v>
      </c>
      <c r="AG1155" s="313">
        <f>IFERROR(IF(INDEX([1]Pivot!$BF$1:$CG$65000,$B1155,AG$5)=1,1,IF(INDEX([1]Pivot!$B$1:$AB$65000,$B1155,AG$5)="",2,0)),0)</f>
        <v>0</v>
      </c>
      <c r="AH1155" s="313">
        <f>IFERROR(IF(INDEX([1]Pivot!$BF$1:$CG$65000,$B1155,AH$5)=1,1,IF(INDEX([1]Pivot!$B$1:$AB$65000,$B1155,AH$5)="",2,0)),0)</f>
        <v>0</v>
      </c>
      <c r="AI1155" s="313">
        <f>IFERROR(IF(INDEX([1]Pivot!$BF$1:$CG$65000,$B1155,AI$5)=1,1,IF(INDEX([1]Pivot!$B$1:$AB$65000,$B1155,AI$5)="",2,0)),0)</f>
        <v>0</v>
      </c>
      <c r="AJ1155" s="313">
        <f>IFERROR(IF(INDEX([1]Pivot!$BF$1:$CG$65000,$B1155,AJ$5)=1,1,IF(INDEX([1]Pivot!$B$1:$AB$65000,$B1155,AJ$5)="",2,0)),0)</f>
        <v>0</v>
      </c>
      <c r="AK1155" s="313">
        <f>IFERROR(IF(INDEX([1]Pivot!$BF$1:$CG$65000,$B1155,AK$5)=1,1,IF(INDEX([1]Pivot!$B$1:$AB$65000,$B1155,AK$5)="",2,0)),0)</f>
        <v>0</v>
      </c>
      <c r="AL1155" s="313">
        <f>IFERROR(IF(INDEX([1]Pivot!$BF$1:$CG$65000,$B1155,AL$5)=1,1,IF(INDEX([1]Pivot!$B$1:$AB$65000,$B1155,AL$5)="",2,0)),0)</f>
        <v>0</v>
      </c>
      <c r="AM1155" s="313">
        <f>IFERROR(IF(INDEX([1]Pivot!$BF$1:$CG$65000,$B1155,AM$5)=1,1,IF(INDEX([1]Pivot!$B$1:$AB$65000,$B1155,AM$5)="",2,0)),0)</f>
        <v>0</v>
      </c>
      <c r="AN1155" s="313">
        <f>IFERROR(IF(INDEX([1]Pivot!$BF$1:$CG$65000,$B1155,AN$5)=1,1,IF(INDEX([1]Pivot!$B$1:$AB$65000,$B1155,AN$5)="",2,0)),0)</f>
        <v>0</v>
      </c>
      <c r="AO1155" s="313">
        <f>IFERROR(IF(INDEX([1]Pivot!$BF$1:$CG$65000,$B1155,AO$5)=1,1,IF(INDEX([1]Pivot!$B$1:$AB$65000,$B1155,AO$5)="",2,0)),0)</f>
        <v>0</v>
      </c>
      <c r="AP1155" s="313">
        <f>IFERROR(IF(INDEX([1]Pivot!$BF$1:$CG$65000,$B1155,AP$5)=1,1,IF(INDEX([1]Pivot!$B$1:$AB$65000,$B1155,AP$5)="",2,0)),0)</f>
        <v>0</v>
      </c>
      <c r="AQ1155" s="313">
        <f>IFERROR(IF(INDEX([1]Pivot!$BF$1:$CG$65000,$B1155,AQ$5)=1,1,IF(INDEX([1]Pivot!$B$1:$AB$65000,$B1155,AQ$5)="",2,0)),0)</f>
        <v>0</v>
      </c>
      <c r="AR1155" s="313">
        <f>IFERROR(IF(INDEX([1]Pivot!$BF$1:$CG$65000,$B1155,AR$5)=1,1,IF(INDEX([1]Pivot!$B$1:$AB$65000,$B1155,AR$5)="",2,0)),0)</f>
        <v>0</v>
      </c>
      <c r="AS1155" s="312"/>
      <c r="AT1155" s="313">
        <f>IFERROR(IF(INDEX([1]Pivot!$BF$1:$CG$65000,$B1155,AT$5)=1,1,IF(INDEX([1]Pivot!$B$1:$AB$65000,$B1155,AT$5)="",2,0)),0)</f>
        <v>0</v>
      </c>
      <c r="AU1155" s="313">
        <f>IFERROR(IF(INDEX([1]Pivot!$BF$1:$CG$65000,$B1155,AU$5)=1,1,IF(INDEX([1]Pivot!$B$1:$AB$65000,$B1155,AU$5)="",2,0)),0)</f>
        <v>0</v>
      </c>
      <c r="AV1155" s="313">
        <f>IFERROR(IF(INDEX([1]Pivot!$BF$1:$CG$65000,$B1155,AV$5)=1,1,IF(INDEX([1]Pivot!$B$1:$AB$65000,$B1155,AV$5)="",2,0)),0)</f>
        <v>0</v>
      </c>
      <c r="AW1155" s="313">
        <f>IFERROR(IF(INDEX([1]Pivot!$BF$1:$CG$65000,$B1155,AW$5)=1,1,IF(INDEX([1]Pivot!$B$1:$AB$65000,$B1155,AW$5)="",2,0)),0)</f>
        <v>0</v>
      </c>
      <c r="AX1155" s="313">
        <f>IFERROR(IF(INDEX([1]Pivot!$BF$1:$CG$65000,$B1155,AX$5)=1,1,IF(INDEX([1]Pivot!$B$1:$AB$65000,$B1155,AX$5)="",2,0)),0)</f>
        <v>0</v>
      </c>
      <c r="AY1155" s="313">
        <f>IFERROR(IF(INDEX([1]Pivot!$BF$1:$CG$65000,$B1155,AY$5)=1,1,IF(INDEX([1]Pivot!$B$1:$AB$65000,$B1155,AY$5)="",2,0)),0)</f>
        <v>0</v>
      </c>
      <c r="AZ1155" s="313">
        <f>IFERROR(IF(INDEX([1]Pivot!$BF$1:$CG$65000,$B1155,AZ$5)=1,1,IF(INDEX([1]Pivot!$B$1:$AB$65000,$B1155,AZ$5)="",2,0)),0)</f>
        <v>0</v>
      </c>
      <c r="BA1155" s="313">
        <f>IFERROR(IF(INDEX([1]Pivot!$BF$1:$CG$65000,$B1155,BA$5)=1,1,IF(INDEX([1]Pivot!$B$1:$AB$65000,$B1155,BA$5)="",2,0)),0)</f>
        <v>0</v>
      </c>
      <c r="BB1155" s="313">
        <f>IFERROR(IF(INDEX([1]Pivot!$BF$1:$CG$65000,$B1155,BB$5)=1,1,IF(INDEX([1]Pivot!$B$1:$AB$65000,$B1155,BB$5)="",2,0)),0)</f>
        <v>0</v>
      </c>
      <c r="BC1155" s="313">
        <f>IFERROR(IF(INDEX([1]Pivot!$BF$1:$CG$65000,$B1155,BC$5)=1,1,IF(INDEX([1]Pivot!$B$1:$AB$65000,$B1155,BC$5)="",2,0)),0)</f>
        <v>0</v>
      </c>
      <c r="BD1155" s="313">
        <f>IFERROR(IF(INDEX([1]Pivot!$BF$1:$CG$65000,$B1155,BD$5)=1,1,IF(INDEX([1]Pivot!$B$1:$AB$65000,$B1155,BD$5)="",2,0)),0)</f>
        <v>0</v>
      </c>
    </row>
    <row r="1156" spans="1:56" x14ac:dyDescent="0.25">
      <c r="A1156" s="288">
        <f>'[2]Raw Milk Prices'!A1156</f>
        <v>0</v>
      </c>
      <c r="B1156" s="296" t="e">
        <f>MATCH(DATE(LEFT('[2]Raw Milk Prices'!$A1156,4),RIGHT('[2]Raw Milk Prices'!$A1156,2),1),[1]Pivot!$A$1:$A$65000,0)</f>
        <v>#VALUE!</v>
      </c>
      <c r="C1156" s="194">
        <f>IFERROR(IF(INDEX([1]Pivot!$AD$1:$BE$65000,$B1156,C$5)=1,1,IF(INDEX([1]Pivot!$B$1:$AB$65000,$B1156,C$5)="",2,0)),0)</f>
        <v>0</v>
      </c>
      <c r="D1156" s="194">
        <f>IFERROR(IF(INDEX([1]Pivot!$AD$1:$BE$65000,$B1156,D$5)=1,1,IF(INDEX([1]Pivot!$B$1:$AB$65000,$B1156,D$5)="",2,0)),0)</f>
        <v>0</v>
      </c>
      <c r="E1156" s="194">
        <f>IFERROR(IF(INDEX([1]Pivot!$AD$1:$BE$65000,$B1156,E$5)=1,1,IF(INDEX([1]Pivot!$B$1:$AB$65000,$B1156,E$5)="",2,0)),0)</f>
        <v>0</v>
      </c>
      <c r="F1156" s="194">
        <f>IFERROR(IF(INDEX([1]Pivot!$AD$1:$BE$65000,$B1156,F$5)=1,1,IF(INDEX([1]Pivot!$B$1:$AB$65000,$B1156,F$5)="",2,0)),0)</f>
        <v>0</v>
      </c>
      <c r="G1156" s="194">
        <f>IFERROR(IF(INDEX([1]Pivot!$AD$1:$BE$65000,$B1156,G$5)=1,1,IF(INDEX([1]Pivot!$B$1:$AB$65000,$B1156,G$5)="",2,0)),0)</f>
        <v>0</v>
      </c>
      <c r="H1156" s="194">
        <f>IFERROR(IF(INDEX([1]Pivot!$AD$1:$BE$65000,$B1156,H$5)=1,1,IF(INDEX([1]Pivot!$B$1:$AB$65000,$B1156,H$5)="",2,0)),0)</f>
        <v>0</v>
      </c>
      <c r="I1156" s="194">
        <f>IFERROR(IF(INDEX([1]Pivot!$AD$1:$BE$65000,$B1156,I$5)=1,1,IF(INDEX([1]Pivot!$B$1:$AB$65000,$B1156,I$5)="",2,0)),0)</f>
        <v>0</v>
      </c>
      <c r="J1156" s="194">
        <f>IFERROR(IF(INDEX([1]Pivot!$AD$1:$BE$65000,$B1156,J$5)=1,1,IF(INDEX([1]Pivot!$B$1:$AB$65000,$B1156,J$5)="",2,0)),0)</f>
        <v>0</v>
      </c>
      <c r="K1156" s="194">
        <f>IFERROR(IF(INDEX([1]Pivot!$AD$1:$BE$65000,$B1156,K$5)=1,1,IF(INDEX([1]Pivot!$B$1:$AB$65000,$B1156,K$5)="",2,0)),0)</f>
        <v>0</v>
      </c>
      <c r="L1156" s="194">
        <f>IFERROR(IF(INDEX([1]Pivot!$AD$1:$BE$65000,$B1156,L$5)=1,1,IF(INDEX([1]Pivot!$B$1:$AB$65000,$B1156,L$5)="",2,0)),0)</f>
        <v>0</v>
      </c>
      <c r="M1156" s="194">
        <f>IFERROR(IF(INDEX([1]Pivot!$AD$1:$BE$65000,$B1156,M$5)=1,1,IF(INDEX([1]Pivot!$B$1:$AB$65000,$B1156,M$5)="",2,0)),0)</f>
        <v>0</v>
      </c>
      <c r="N1156" s="194">
        <f>IFERROR(IF(INDEX([1]Pivot!$AD$1:$BE$65000,$B1156,N$5)=1,1,IF(INDEX([1]Pivot!$B$1:$AB$65000,$B1156,N$5)="",2,0)),0)</f>
        <v>0</v>
      </c>
      <c r="O1156" s="194">
        <f>IFERROR(IF(INDEX([1]Pivot!$AD$1:$BE$65000,$B1156,O$5)=1,1,IF(INDEX([1]Pivot!$B$1:$AB$65000,$B1156,O$5)="",2,0)),0)</f>
        <v>0</v>
      </c>
      <c r="P1156" s="194">
        <f>IFERROR(IF(INDEX([1]Pivot!$AD$1:$BE$65000,$B1156,P$5)=1,1,IF(INDEX([1]Pivot!$B$1:$AB$65000,$B1156,P$5)="",2,0)),0)</f>
        <v>0</v>
      </c>
      <c r="Q1156" s="194">
        <f>IFERROR(IF(INDEX([1]Pivot!$AD$1:$BE$65000,$B1156,Q$5)=1,1,IF(INDEX([1]Pivot!$B$1:$AB$65000,$B1156,Q$5)="",2,0)),0)</f>
        <v>0</v>
      </c>
      <c r="R1156" s="312"/>
      <c r="S1156" s="194">
        <f>IFERROR(IF(INDEX([1]Pivot!$AD$1:$BE$65000,$B1156,S$5)=1,1,IF(INDEX([1]Pivot!$B$1:$AB$65000,$B1156,S$5)="",2,0)),0)</f>
        <v>0</v>
      </c>
      <c r="T1156" s="194">
        <f>IFERROR(IF(INDEX([1]Pivot!$AD$1:$BE$65000,$B1156,T$5)=1,1,IF(INDEX([1]Pivot!$B$1:$AB$65000,$B1156,T$5)="",2,0)),0)</f>
        <v>0</v>
      </c>
      <c r="U1156" s="194">
        <f>IFERROR(IF(INDEX([1]Pivot!$AD$1:$BE$65000,$B1156,U$5)=1,1,IF(INDEX([1]Pivot!$B$1:$AB$65000,$B1156,U$5)="",2,0)),0)</f>
        <v>0</v>
      </c>
      <c r="V1156" s="194">
        <f>IFERROR(IF(INDEX([1]Pivot!$AD$1:$BE$65000,$B1156,V$5)=1,1,IF(INDEX([1]Pivot!$B$1:$AB$65000,$B1156,V$5)="",2,0)),0)</f>
        <v>0</v>
      </c>
      <c r="W1156" s="194">
        <f>IFERROR(IF(INDEX([1]Pivot!$AD$1:$BE$65000,$B1156,W$5)=1,1,IF(INDEX([1]Pivot!$B$1:$AB$65000,$B1156,W$5)="",2,0)),0)</f>
        <v>0</v>
      </c>
      <c r="X1156" s="194">
        <f>IFERROR(IF(INDEX([1]Pivot!$AD$1:$BE$65000,$B1156,X$5)=1,1,IF(INDEX([1]Pivot!$B$1:$AB$65000,$B1156,X$5)="",2,0)),0)</f>
        <v>0</v>
      </c>
      <c r="Y1156" s="194">
        <f>IFERROR(IF(INDEX([1]Pivot!$AD$1:$BE$65000,$B1156,Y$5)=1,1,IF(INDEX([1]Pivot!$B$1:$AB$65000,$B1156,Y$5)="",2,0)),0)</f>
        <v>0</v>
      </c>
      <c r="Z1156" s="194">
        <f>IFERROR(IF(INDEX([1]Pivot!$AD$1:$BE$65000,$B1156,Z$5)=1,1,IF(INDEX([1]Pivot!$B$1:$AB$65000,$B1156,Z$5)="",2,0)),0)</f>
        <v>0</v>
      </c>
      <c r="AA1156" s="194">
        <f>IFERROR(IF(INDEX([1]Pivot!$AD$1:$BE$65000,$B1156,AA$5)=1,1,IF(INDEX([1]Pivot!$B$1:$AB$65000,$B1156,AA$5)="",2,0)),0)</f>
        <v>0</v>
      </c>
      <c r="AB1156" s="194">
        <f>IFERROR(IF(INDEX([1]Pivot!$AD$1:$BE$65000,$B1156,AB$5)=1,1,IF(INDEX([1]Pivot!$B$1:$AB$65000,$B1156,AB$5)="",2,0)),0)</f>
        <v>0</v>
      </c>
      <c r="AC1156" s="194">
        <f>IFERROR(IF(INDEX([1]Pivot!$AD$1:$BE$65000,$B1156,AC$5)=1,1,IF(INDEX([1]Pivot!$B$1:$AB$65000,$B1156,AC$5)="",2,0)),0)</f>
        <v>0</v>
      </c>
      <c r="AD1156" s="313">
        <f>IFERROR(IF(INDEX([1]Pivot!$BF$1:$CG$65000,$B1156,AD$5)=1,1,IF(INDEX([1]Pivot!$B$1:$AB$65000,$B1156,AD$5)="",2,0)),0)</f>
        <v>0</v>
      </c>
      <c r="AE1156" s="313">
        <f>IFERROR(IF(INDEX([1]Pivot!$BF$1:$CG$65000,$B1156,AE$5)=1,1,IF(INDEX([1]Pivot!$B$1:$AB$65000,$B1156,AE$5)="",2,0)),0)</f>
        <v>0</v>
      </c>
      <c r="AF1156" s="313">
        <f>IFERROR(IF(INDEX([1]Pivot!$BF$1:$CG$65000,$B1156,AF$5)=1,1,IF(INDEX([1]Pivot!$B$1:$AB$65000,$B1156,AF$5)="",2,0)),0)</f>
        <v>0</v>
      </c>
      <c r="AG1156" s="313">
        <f>IFERROR(IF(INDEX([1]Pivot!$BF$1:$CG$65000,$B1156,AG$5)=1,1,IF(INDEX([1]Pivot!$B$1:$AB$65000,$B1156,AG$5)="",2,0)),0)</f>
        <v>0</v>
      </c>
      <c r="AH1156" s="313">
        <f>IFERROR(IF(INDEX([1]Pivot!$BF$1:$CG$65000,$B1156,AH$5)=1,1,IF(INDEX([1]Pivot!$B$1:$AB$65000,$B1156,AH$5)="",2,0)),0)</f>
        <v>0</v>
      </c>
      <c r="AI1156" s="313">
        <f>IFERROR(IF(INDEX([1]Pivot!$BF$1:$CG$65000,$B1156,AI$5)=1,1,IF(INDEX([1]Pivot!$B$1:$AB$65000,$B1156,AI$5)="",2,0)),0)</f>
        <v>0</v>
      </c>
      <c r="AJ1156" s="313">
        <f>IFERROR(IF(INDEX([1]Pivot!$BF$1:$CG$65000,$B1156,AJ$5)=1,1,IF(INDEX([1]Pivot!$B$1:$AB$65000,$B1156,AJ$5)="",2,0)),0)</f>
        <v>0</v>
      </c>
      <c r="AK1156" s="313">
        <f>IFERROR(IF(INDEX([1]Pivot!$BF$1:$CG$65000,$B1156,AK$5)=1,1,IF(INDEX([1]Pivot!$B$1:$AB$65000,$B1156,AK$5)="",2,0)),0)</f>
        <v>0</v>
      </c>
      <c r="AL1156" s="313">
        <f>IFERROR(IF(INDEX([1]Pivot!$BF$1:$CG$65000,$B1156,AL$5)=1,1,IF(INDEX([1]Pivot!$B$1:$AB$65000,$B1156,AL$5)="",2,0)),0)</f>
        <v>0</v>
      </c>
      <c r="AM1156" s="313">
        <f>IFERROR(IF(INDEX([1]Pivot!$BF$1:$CG$65000,$B1156,AM$5)=1,1,IF(INDEX([1]Pivot!$B$1:$AB$65000,$B1156,AM$5)="",2,0)),0)</f>
        <v>0</v>
      </c>
      <c r="AN1156" s="313">
        <f>IFERROR(IF(INDEX([1]Pivot!$BF$1:$CG$65000,$B1156,AN$5)=1,1,IF(INDEX([1]Pivot!$B$1:$AB$65000,$B1156,AN$5)="",2,0)),0)</f>
        <v>0</v>
      </c>
      <c r="AO1156" s="313">
        <f>IFERROR(IF(INDEX([1]Pivot!$BF$1:$CG$65000,$B1156,AO$5)=1,1,IF(INDEX([1]Pivot!$B$1:$AB$65000,$B1156,AO$5)="",2,0)),0)</f>
        <v>0</v>
      </c>
      <c r="AP1156" s="313">
        <f>IFERROR(IF(INDEX([1]Pivot!$BF$1:$CG$65000,$B1156,AP$5)=1,1,IF(INDEX([1]Pivot!$B$1:$AB$65000,$B1156,AP$5)="",2,0)),0)</f>
        <v>0</v>
      </c>
      <c r="AQ1156" s="313">
        <f>IFERROR(IF(INDEX([1]Pivot!$BF$1:$CG$65000,$B1156,AQ$5)=1,1,IF(INDEX([1]Pivot!$B$1:$AB$65000,$B1156,AQ$5)="",2,0)),0)</f>
        <v>0</v>
      </c>
      <c r="AR1156" s="313">
        <f>IFERROR(IF(INDEX([1]Pivot!$BF$1:$CG$65000,$B1156,AR$5)=1,1,IF(INDEX([1]Pivot!$B$1:$AB$65000,$B1156,AR$5)="",2,0)),0)</f>
        <v>0</v>
      </c>
      <c r="AS1156" s="312"/>
      <c r="AT1156" s="313">
        <f>IFERROR(IF(INDEX([1]Pivot!$BF$1:$CG$65000,$B1156,AT$5)=1,1,IF(INDEX([1]Pivot!$B$1:$AB$65000,$B1156,AT$5)="",2,0)),0)</f>
        <v>0</v>
      </c>
      <c r="AU1156" s="313">
        <f>IFERROR(IF(INDEX([1]Pivot!$BF$1:$CG$65000,$B1156,AU$5)=1,1,IF(INDEX([1]Pivot!$B$1:$AB$65000,$B1156,AU$5)="",2,0)),0)</f>
        <v>0</v>
      </c>
      <c r="AV1156" s="313">
        <f>IFERROR(IF(INDEX([1]Pivot!$BF$1:$CG$65000,$B1156,AV$5)=1,1,IF(INDEX([1]Pivot!$B$1:$AB$65000,$B1156,AV$5)="",2,0)),0)</f>
        <v>0</v>
      </c>
      <c r="AW1156" s="313">
        <f>IFERROR(IF(INDEX([1]Pivot!$BF$1:$CG$65000,$B1156,AW$5)=1,1,IF(INDEX([1]Pivot!$B$1:$AB$65000,$B1156,AW$5)="",2,0)),0)</f>
        <v>0</v>
      </c>
      <c r="AX1156" s="313">
        <f>IFERROR(IF(INDEX([1]Pivot!$BF$1:$CG$65000,$B1156,AX$5)=1,1,IF(INDEX([1]Pivot!$B$1:$AB$65000,$B1156,AX$5)="",2,0)),0)</f>
        <v>0</v>
      </c>
      <c r="AY1156" s="313">
        <f>IFERROR(IF(INDEX([1]Pivot!$BF$1:$CG$65000,$B1156,AY$5)=1,1,IF(INDEX([1]Pivot!$B$1:$AB$65000,$B1156,AY$5)="",2,0)),0)</f>
        <v>0</v>
      </c>
      <c r="AZ1156" s="313">
        <f>IFERROR(IF(INDEX([1]Pivot!$BF$1:$CG$65000,$B1156,AZ$5)=1,1,IF(INDEX([1]Pivot!$B$1:$AB$65000,$B1156,AZ$5)="",2,0)),0)</f>
        <v>0</v>
      </c>
      <c r="BA1156" s="313">
        <f>IFERROR(IF(INDEX([1]Pivot!$BF$1:$CG$65000,$B1156,BA$5)=1,1,IF(INDEX([1]Pivot!$B$1:$AB$65000,$B1156,BA$5)="",2,0)),0)</f>
        <v>0</v>
      </c>
      <c r="BB1156" s="313">
        <f>IFERROR(IF(INDEX([1]Pivot!$BF$1:$CG$65000,$B1156,BB$5)=1,1,IF(INDEX([1]Pivot!$B$1:$AB$65000,$B1156,BB$5)="",2,0)),0)</f>
        <v>0</v>
      </c>
      <c r="BC1156" s="313">
        <f>IFERROR(IF(INDEX([1]Pivot!$BF$1:$CG$65000,$B1156,BC$5)=1,1,IF(INDEX([1]Pivot!$B$1:$AB$65000,$B1156,BC$5)="",2,0)),0)</f>
        <v>0</v>
      </c>
      <c r="BD1156" s="313">
        <f>IFERROR(IF(INDEX([1]Pivot!$BF$1:$CG$65000,$B1156,BD$5)=1,1,IF(INDEX([1]Pivot!$B$1:$AB$65000,$B1156,BD$5)="",2,0)),0)</f>
        <v>0</v>
      </c>
    </row>
    <row r="1157" spans="1:56" x14ac:dyDescent="0.25">
      <c r="A1157" s="288">
        <f>'[2]Raw Milk Prices'!A1157</f>
        <v>0</v>
      </c>
      <c r="B1157" s="296" t="e">
        <f>MATCH(DATE(LEFT('[2]Raw Milk Prices'!$A1157,4),RIGHT('[2]Raw Milk Prices'!$A1157,2),1),[1]Pivot!$A$1:$A$65000,0)</f>
        <v>#VALUE!</v>
      </c>
      <c r="C1157" s="194">
        <f>IFERROR(IF(INDEX([1]Pivot!$AD$1:$BE$65000,$B1157,C$5)=1,1,IF(INDEX([1]Pivot!$B$1:$AB$65000,$B1157,C$5)="",2,0)),0)</f>
        <v>0</v>
      </c>
      <c r="D1157" s="194">
        <f>IFERROR(IF(INDEX([1]Pivot!$AD$1:$BE$65000,$B1157,D$5)=1,1,IF(INDEX([1]Pivot!$B$1:$AB$65000,$B1157,D$5)="",2,0)),0)</f>
        <v>0</v>
      </c>
      <c r="E1157" s="194">
        <f>IFERROR(IF(INDEX([1]Pivot!$AD$1:$BE$65000,$B1157,E$5)=1,1,IF(INDEX([1]Pivot!$B$1:$AB$65000,$B1157,E$5)="",2,0)),0)</f>
        <v>0</v>
      </c>
      <c r="F1157" s="194">
        <f>IFERROR(IF(INDEX([1]Pivot!$AD$1:$BE$65000,$B1157,F$5)=1,1,IF(INDEX([1]Pivot!$B$1:$AB$65000,$B1157,F$5)="",2,0)),0)</f>
        <v>0</v>
      </c>
      <c r="G1157" s="194">
        <f>IFERROR(IF(INDEX([1]Pivot!$AD$1:$BE$65000,$B1157,G$5)=1,1,IF(INDEX([1]Pivot!$B$1:$AB$65000,$B1157,G$5)="",2,0)),0)</f>
        <v>0</v>
      </c>
      <c r="H1157" s="194">
        <f>IFERROR(IF(INDEX([1]Pivot!$AD$1:$BE$65000,$B1157,H$5)=1,1,IF(INDEX([1]Pivot!$B$1:$AB$65000,$B1157,H$5)="",2,0)),0)</f>
        <v>0</v>
      </c>
      <c r="I1157" s="194">
        <f>IFERROR(IF(INDEX([1]Pivot!$AD$1:$BE$65000,$B1157,I$5)=1,1,IF(INDEX([1]Pivot!$B$1:$AB$65000,$B1157,I$5)="",2,0)),0)</f>
        <v>0</v>
      </c>
      <c r="J1157" s="194">
        <f>IFERROR(IF(INDEX([1]Pivot!$AD$1:$BE$65000,$B1157,J$5)=1,1,IF(INDEX([1]Pivot!$B$1:$AB$65000,$B1157,J$5)="",2,0)),0)</f>
        <v>0</v>
      </c>
      <c r="K1157" s="194">
        <f>IFERROR(IF(INDEX([1]Pivot!$AD$1:$BE$65000,$B1157,K$5)=1,1,IF(INDEX([1]Pivot!$B$1:$AB$65000,$B1157,K$5)="",2,0)),0)</f>
        <v>0</v>
      </c>
      <c r="L1157" s="194">
        <f>IFERROR(IF(INDEX([1]Pivot!$AD$1:$BE$65000,$B1157,L$5)=1,1,IF(INDEX([1]Pivot!$B$1:$AB$65000,$B1157,L$5)="",2,0)),0)</f>
        <v>0</v>
      </c>
      <c r="M1157" s="194">
        <f>IFERROR(IF(INDEX([1]Pivot!$AD$1:$BE$65000,$B1157,M$5)=1,1,IF(INDEX([1]Pivot!$B$1:$AB$65000,$B1157,M$5)="",2,0)),0)</f>
        <v>0</v>
      </c>
      <c r="N1157" s="194">
        <f>IFERROR(IF(INDEX([1]Pivot!$AD$1:$BE$65000,$B1157,N$5)=1,1,IF(INDEX([1]Pivot!$B$1:$AB$65000,$B1157,N$5)="",2,0)),0)</f>
        <v>0</v>
      </c>
      <c r="O1157" s="194">
        <f>IFERROR(IF(INDEX([1]Pivot!$AD$1:$BE$65000,$B1157,O$5)=1,1,IF(INDEX([1]Pivot!$B$1:$AB$65000,$B1157,O$5)="",2,0)),0)</f>
        <v>0</v>
      </c>
      <c r="P1157" s="194">
        <f>IFERROR(IF(INDEX([1]Pivot!$AD$1:$BE$65000,$B1157,P$5)=1,1,IF(INDEX([1]Pivot!$B$1:$AB$65000,$B1157,P$5)="",2,0)),0)</f>
        <v>0</v>
      </c>
      <c r="Q1157" s="194">
        <f>IFERROR(IF(INDEX([1]Pivot!$AD$1:$BE$65000,$B1157,Q$5)=1,1,IF(INDEX([1]Pivot!$B$1:$AB$65000,$B1157,Q$5)="",2,0)),0)</f>
        <v>0</v>
      </c>
      <c r="R1157" s="312"/>
      <c r="S1157" s="194">
        <f>IFERROR(IF(INDEX([1]Pivot!$AD$1:$BE$65000,$B1157,S$5)=1,1,IF(INDEX([1]Pivot!$B$1:$AB$65000,$B1157,S$5)="",2,0)),0)</f>
        <v>0</v>
      </c>
      <c r="T1157" s="194">
        <f>IFERROR(IF(INDEX([1]Pivot!$AD$1:$BE$65000,$B1157,T$5)=1,1,IF(INDEX([1]Pivot!$B$1:$AB$65000,$B1157,T$5)="",2,0)),0)</f>
        <v>0</v>
      </c>
      <c r="U1157" s="194">
        <f>IFERROR(IF(INDEX([1]Pivot!$AD$1:$BE$65000,$B1157,U$5)=1,1,IF(INDEX([1]Pivot!$B$1:$AB$65000,$B1157,U$5)="",2,0)),0)</f>
        <v>0</v>
      </c>
      <c r="V1157" s="194">
        <f>IFERROR(IF(INDEX([1]Pivot!$AD$1:$BE$65000,$B1157,V$5)=1,1,IF(INDEX([1]Pivot!$B$1:$AB$65000,$B1157,V$5)="",2,0)),0)</f>
        <v>0</v>
      </c>
      <c r="W1157" s="194">
        <f>IFERROR(IF(INDEX([1]Pivot!$AD$1:$BE$65000,$B1157,W$5)=1,1,IF(INDEX([1]Pivot!$B$1:$AB$65000,$B1157,W$5)="",2,0)),0)</f>
        <v>0</v>
      </c>
      <c r="X1157" s="194">
        <f>IFERROR(IF(INDEX([1]Pivot!$AD$1:$BE$65000,$B1157,X$5)=1,1,IF(INDEX([1]Pivot!$B$1:$AB$65000,$B1157,X$5)="",2,0)),0)</f>
        <v>0</v>
      </c>
      <c r="Y1157" s="194">
        <f>IFERROR(IF(INDEX([1]Pivot!$AD$1:$BE$65000,$B1157,Y$5)=1,1,IF(INDEX([1]Pivot!$B$1:$AB$65000,$B1157,Y$5)="",2,0)),0)</f>
        <v>0</v>
      </c>
      <c r="Z1157" s="194">
        <f>IFERROR(IF(INDEX([1]Pivot!$AD$1:$BE$65000,$B1157,Z$5)=1,1,IF(INDEX([1]Pivot!$B$1:$AB$65000,$B1157,Z$5)="",2,0)),0)</f>
        <v>0</v>
      </c>
      <c r="AA1157" s="194">
        <f>IFERROR(IF(INDEX([1]Pivot!$AD$1:$BE$65000,$B1157,AA$5)=1,1,IF(INDEX([1]Pivot!$B$1:$AB$65000,$B1157,AA$5)="",2,0)),0)</f>
        <v>0</v>
      </c>
      <c r="AB1157" s="194">
        <f>IFERROR(IF(INDEX([1]Pivot!$AD$1:$BE$65000,$B1157,AB$5)=1,1,IF(INDEX([1]Pivot!$B$1:$AB$65000,$B1157,AB$5)="",2,0)),0)</f>
        <v>0</v>
      </c>
      <c r="AC1157" s="194">
        <f>IFERROR(IF(INDEX([1]Pivot!$AD$1:$BE$65000,$B1157,AC$5)=1,1,IF(INDEX([1]Pivot!$B$1:$AB$65000,$B1157,AC$5)="",2,0)),0)</f>
        <v>0</v>
      </c>
      <c r="AD1157" s="313">
        <f>IFERROR(IF(INDEX([1]Pivot!$BF$1:$CG$65000,$B1157,AD$5)=1,1,IF(INDEX([1]Pivot!$B$1:$AB$65000,$B1157,AD$5)="",2,0)),0)</f>
        <v>0</v>
      </c>
      <c r="AE1157" s="313">
        <f>IFERROR(IF(INDEX([1]Pivot!$BF$1:$CG$65000,$B1157,AE$5)=1,1,IF(INDEX([1]Pivot!$B$1:$AB$65000,$B1157,AE$5)="",2,0)),0)</f>
        <v>0</v>
      </c>
      <c r="AF1157" s="313">
        <f>IFERROR(IF(INDEX([1]Pivot!$BF$1:$CG$65000,$B1157,AF$5)=1,1,IF(INDEX([1]Pivot!$B$1:$AB$65000,$B1157,AF$5)="",2,0)),0)</f>
        <v>0</v>
      </c>
      <c r="AG1157" s="313">
        <f>IFERROR(IF(INDEX([1]Pivot!$BF$1:$CG$65000,$B1157,AG$5)=1,1,IF(INDEX([1]Pivot!$B$1:$AB$65000,$B1157,AG$5)="",2,0)),0)</f>
        <v>0</v>
      </c>
      <c r="AH1157" s="313">
        <f>IFERROR(IF(INDEX([1]Pivot!$BF$1:$CG$65000,$B1157,AH$5)=1,1,IF(INDEX([1]Pivot!$B$1:$AB$65000,$B1157,AH$5)="",2,0)),0)</f>
        <v>0</v>
      </c>
      <c r="AI1157" s="313">
        <f>IFERROR(IF(INDEX([1]Pivot!$BF$1:$CG$65000,$B1157,AI$5)=1,1,IF(INDEX([1]Pivot!$B$1:$AB$65000,$B1157,AI$5)="",2,0)),0)</f>
        <v>0</v>
      </c>
      <c r="AJ1157" s="313">
        <f>IFERROR(IF(INDEX([1]Pivot!$BF$1:$CG$65000,$B1157,AJ$5)=1,1,IF(INDEX([1]Pivot!$B$1:$AB$65000,$B1157,AJ$5)="",2,0)),0)</f>
        <v>0</v>
      </c>
      <c r="AK1157" s="313">
        <f>IFERROR(IF(INDEX([1]Pivot!$BF$1:$CG$65000,$B1157,AK$5)=1,1,IF(INDEX([1]Pivot!$B$1:$AB$65000,$B1157,AK$5)="",2,0)),0)</f>
        <v>0</v>
      </c>
      <c r="AL1157" s="313">
        <f>IFERROR(IF(INDEX([1]Pivot!$BF$1:$CG$65000,$B1157,AL$5)=1,1,IF(INDEX([1]Pivot!$B$1:$AB$65000,$B1157,AL$5)="",2,0)),0)</f>
        <v>0</v>
      </c>
      <c r="AM1157" s="313">
        <f>IFERROR(IF(INDEX([1]Pivot!$BF$1:$CG$65000,$B1157,AM$5)=1,1,IF(INDEX([1]Pivot!$B$1:$AB$65000,$B1157,AM$5)="",2,0)),0)</f>
        <v>0</v>
      </c>
      <c r="AN1157" s="313">
        <f>IFERROR(IF(INDEX([1]Pivot!$BF$1:$CG$65000,$B1157,AN$5)=1,1,IF(INDEX([1]Pivot!$B$1:$AB$65000,$B1157,AN$5)="",2,0)),0)</f>
        <v>0</v>
      </c>
      <c r="AO1157" s="313">
        <f>IFERROR(IF(INDEX([1]Pivot!$BF$1:$CG$65000,$B1157,AO$5)=1,1,IF(INDEX([1]Pivot!$B$1:$AB$65000,$B1157,AO$5)="",2,0)),0)</f>
        <v>0</v>
      </c>
      <c r="AP1157" s="313">
        <f>IFERROR(IF(INDEX([1]Pivot!$BF$1:$CG$65000,$B1157,AP$5)=1,1,IF(INDEX([1]Pivot!$B$1:$AB$65000,$B1157,AP$5)="",2,0)),0)</f>
        <v>0</v>
      </c>
      <c r="AQ1157" s="313">
        <f>IFERROR(IF(INDEX([1]Pivot!$BF$1:$CG$65000,$B1157,AQ$5)=1,1,IF(INDEX([1]Pivot!$B$1:$AB$65000,$B1157,AQ$5)="",2,0)),0)</f>
        <v>0</v>
      </c>
      <c r="AR1157" s="313">
        <f>IFERROR(IF(INDEX([1]Pivot!$BF$1:$CG$65000,$B1157,AR$5)=1,1,IF(INDEX([1]Pivot!$B$1:$AB$65000,$B1157,AR$5)="",2,0)),0)</f>
        <v>0</v>
      </c>
      <c r="AS1157" s="312"/>
      <c r="AT1157" s="313">
        <f>IFERROR(IF(INDEX([1]Pivot!$BF$1:$CG$65000,$B1157,AT$5)=1,1,IF(INDEX([1]Pivot!$B$1:$AB$65000,$B1157,AT$5)="",2,0)),0)</f>
        <v>0</v>
      </c>
      <c r="AU1157" s="313">
        <f>IFERROR(IF(INDEX([1]Pivot!$BF$1:$CG$65000,$B1157,AU$5)=1,1,IF(INDEX([1]Pivot!$B$1:$AB$65000,$B1157,AU$5)="",2,0)),0)</f>
        <v>0</v>
      </c>
      <c r="AV1157" s="313">
        <f>IFERROR(IF(INDEX([1]Pivot!$BF$1:$CG$65000,$B1157,AV$5)=1,1,IF(INDEX([1]Pivot!$B$1:$AB$65000,$B1157,AV$5)="",2,0)),0)</f>
        <v>0</v>
      </c>
      <c r="AW1157" s="313">
        <f>IFERROR(IF(INDEX([1]Pivot!$BF$1:$CG$65000,$B1157,AW$5)=1,1,IF(INDEX([1]Pivot!$B$1:$AB$65000,$B1157,AW$5)="",2,0)),0)</f>
        <v>0</v>
      </c>
      <c r="AX1157" s="313">
        <f>IFERROR(IF(INDEX([1]Pivot!$BF$1:$CG$65000,$B1157,AX$5)=1,1,IF(INDEX([1]Pivot!$B$1:$AB$65000,$B1157,AX$5)="",2,0)),0)</f>
        <v>0</v>
      </c>
      <c r="AY1157" s="313">
        <f>IFERROR(IF(INDEX([1]Pivot!$BF$1:$CG$65000,$B1157,AY$5)=1,1,IF(INDEX([1]Pivot!$B$1:$AB$65000,$B1157,AY$5)="",2,0)),0)</f>
        <v>0</v>
      </c>
      <c r="AZ1157" s="313">
        <f>IFERROR(IF(INDEX([1]Pivot!$BF$1:$CG$65000,$B1157,AZ$5)=1,1,IF(INDEX([1]Pivot!$B$1:$AB$65000,$B1157,AZ$5)="",2,0)),0)</f>
        <v>0</v>
      </c>
      <c r="BA1157" s="313">
        <f>IFERROR(IF(INDEX([1]Pivot!$BF$1:$CG$65000,$B1157,BA$5)=1,1,IF(INDEX([1]Pivot!$B$1:$AB$65000,$B1157,BA$5)="",2,0)),0)</f>
        <v>0</v>
      </c>
      <c r="BB1157" s="313">
        <f>IFERROR(IF(INDEX([1]Pivot!$BF$1:$CG$65000,$B1157,BB$5)=1,1,IF(INDEX([1]Pivot!$B$1:$AB$65000,$B1157,BB$5)="",2,0)),0)</f>
        <v>0</v>
      </c>
      <c r="BC1157" s="313">
        <f>IFERROR(IF(INDEX([1]Pivot!$BF$1:$CG$65000,$B1157,BC$5)=1,1,IF(INDEX([1]Pivot!$B$1:$AB$65000,$B1157,BC$5)="",2,0)),0)</f>
        <v>0</v>
      </c>
      <c r="BD1157" s="313">
        <f>IFERROR(IF(INDEX([1]Pivot!$BF$1:$CG$65000,$B1157,BD$5)=1,1,IF(INDEX([1]Pivot!$B$1:$AB$65000,$B1157,BD$5)="",2,0)),0)</f>
        <v>0</v>
      </c>
    </row>
    <row r="1158" spans="1:56" x14ac:dyDescent="0.25">
      <c r="A1158" s="288">
        <f>'[2]Raw Milk Prices'!A1158</f>
        <v>0</v>
      </c>
      <c r="B1158" s="296" t="e">
        <f>MATCH(DATE(LEFT('[2]Raw Milk Prices'!$A1158,4),RIGHT('[2]Raw Milk Prices'!$A1158,2),1),[1]Pivot!$A$1:$A$65000,0)</f>
        <v>#VALUE!</v>
      </c>
      <c r="C1158" s="194">
        <f>IFERROR(IF(INDEX([1]Pivot!$AD$1:$BE$65000,$B1158,C$5)=1,1,IF(INDEX([1]Pivot!$B$1:$AB$65000,$B1158,C$5)="",2,0)),0)</f>
        <v>0</v>
      </c>
      <c r="D1158" s="194">
        <f>IFERROR(IF(INDEX([1]Pivot!$AD$1:$BE$65000,$B1158,D$5)=1,1,IF(INDEX([1]Pivot!$B$1:$AB$65000,$B1158,D$5)="",2,0)),0)</f>
        <v>0</v>
      </c>
      <c r="E1158" s="194">
        <f>IFERROR(IF(INDEX([1]Pivot!$AD$1:$BE$65000,$B1158,E$5)=1,1,IF(INDEX([1]Pivot!$B$1:$AB$65000,$B1158,E$5)="",2,0)),0)</f>
        <v>0</v>
      </c>
      <c r="F1158" s="194">
        <f>IFERROR(IF(INDEX([1]Pivot!$AD$1:$BE$65000,$B1158,F$5)=1,1,IF(INDEX([1]Pivot!$B$1:$AB$65000,$B1158,F$5)="",2,0)),0)</f>
        <v>0</v>
      </c>
      <c r="G1158" s="194">
        <f>IFERROR(IF(INDEX([1]Pivot!$AD$1:$BE$65000,$B1158,G$5)=1,1,IF(INDEX([1]Pivot!$B$1:$AB$65000,$B1158,G$5)="",2,0)),0)</f>
        <v>0</v>
      </c>
      <c r="H1158" s="194">
        <f>IFERROR(IF(INDEX([1]Pivot!$AD$1:$BE$65000,$B1158,H$5)=1,1,IF(INDEX([1]Pivot!$B$1:$AB$65000,$B1158,H$5)="",2,0)),0)</f>
        <v>0</v>
      </c>
      <c r="I1158" s="194">
        <f>IFERROR(IF(INDEX([1]Pivot!$AD$1:$BE$65000,$B1158,I$5)=1,1,IF(INDEX([1]Pivot!$B$1:$AB$65000,$B1158,I$5)="",2,0)),0)</f>
        <v>0</v>
      </c>
      <c r="J1158" s="194">
        <f>IFERROR(IF(INDEX([1]Pivot!$AD$1:$BE$65000,$B1158,J$5)=1,1,IF(INDEX([1]Pivot!$B$1:$AB$65000,$B1158,J$5)="",2,0)),0)</f>
        <v>0</v>
      </c>
      <c r="K1158" s="194">
        <f>IFERROR(IF(INDEX([1]Pivot!$AD$1:$BE$65000,$B1158,K$5)=1,1,IF(INDEX([1]Pivot!$B$1:$AB$65000,$B1158,K$5)="",2,0)),0)</f>
        <v>0</v>
      </c>
      <c r="L1158" s="194">
        <f>IFERROR(IF(INDEX([1]Pivot!$AD$1:$BE$65000,$B1158,L$5)=1,1,IF(INDEX([1]Pivot!$B$1:$AB$65000,$B1158,L$5)="",2,0)),0)</f>
        <v>0</v>
      </c>
      <c r="M1158" s="194">
        <f>IFERROR(IF(INDEX([1]Pivot!$AD$1:$BE$65000,$B1158,M$5)=1,1,IF(INDEX([1]Pivot!$B$1:$AB$65000,$B1158,M$5)="",2,0)),0)</f>
        <v>0</v>
      </c>
      <c r="N1158" s="194">
        <f>IFERROR(IF(INDEX([1]Pivot!$AD$1:$BE$65000,$B1158,N$5)=1,1,IF(INDEX([1]Pivot!$B$1:$AB$65000,$B1158,N$5)="",2,0)),0)</f>
        <v>0</v>
      </c>
      <c r="O1158" s="194">
        <f>IFERROR(IF(INDEX([1]Pivot!$AD$1:$BE$65000,$B1158,O$5)=1,1,IF(INDEX([1]Pivot!$B$1:$AB$65000,$B1158,O$5)="",2,0)),0)</f>
        <v>0</v>
      </c>
      <c r="P1158" s="194">
        <f>IFERROR(IF(INDEX([1]Pivot!$AD$1:$BE$65000,$B1158,P$5)=1,1,IF(INDEX([1]Pivot!$B$1:$AB$65000,$B1158,P$5)="",2,0)),0)</f>
        <v>0</v>
      </c>
      <c r="Q1158" s="194">
        <f>IFERROR(IF(INDEX([1]Pivot!$AD$1:$BE$65000,$B1158,Q$5)=1,1,IF(INDEX([1]Pivot!$B$1:$AB$65000,$B1158,Q$5)="",2,0)),0)</f>
        <v>0</v>
      </c>
      <c r="R1158" s="312"/>
      <c r="S1158" s="194">
        <f>IFERROR(IF(INDEX([1]Pivot!$AD$1:$BE$65000,$B1158,S$5)=1,1,IF(INDEX([1]Pivot!$B$1:$AB$65000,$B1158,S$5)="",2,0)),0)</f>
        <v>0</v>
      </c>
      <c r="T1158" s="194">
        <f>IFERROR(IF(INDEX([1]Pivot!$AD$1:$BE$65000,$B1158,T$5)=1,1,IF(INDEX([1]Pivot!$B$1:$AB$65000,$B1158,T$5)="",2,0)),0)</f>
        <v>0</v>
      </c>
      <c r="U1158" s="194">
        <f>IFERROR(IF(INDEX([1]Pivot!$AD$1:$BE$65000,$B1158,U$5)=1,1,IF(INDEX([1]Pivot!$B$1:$AB$65000,$B1158,U$5)="",2,0)),0)</f>
        <v>0</v>
      </c>
      <c r="V1158" s="194">
        <f>IFERROR(IF(INDEX([1]Pivot!$AD$1:$BE$65000,$B1158,V$5)=1,1,IF(INDEX([1]Pivot!$B$1:$AB$65000,$B1158,V$5)="",2,0)),0)</f>
        <v>0</v>
      </c>
      <c r="W1158" s="194">
        <f>IFERROR(IF(INDEX([1]Pivot!$AD$1:$BE$65000,$B1158,W$5)=1,1,IF(INDEX([1]Pivot!$B$1:$AB$65000,$B1158,W$5)="",2,0)),0)</f>
        <v>0</v>
      </c>
      <c r="X1158" s="194">
        <f>IFERROR(IF(INDEX([1]Pivot!$AD$1:$BE$65000,$B1158,X$5)=1,1,IF(INDEX([1]Pivot!$B$1:$AB$65000,$B1158,X$5)="",2,0)),0)</f>
        <v>0</v>
      </c>
      <c r="Y1158" s="194">
        <f>IFERROR(IF(INDEX([1]Pivot!$AD$1:$BE$65000,$B1158,Y$5)=1,1,IF(INDEX([1]Pivot!$B$1:$AB$65000,$B1158,Y$5)="",2,0)),0)</f>
        <v>0</v>
      </c>
      <c r="Z1158" s="194">
        <f>IFERROR(IF(INDEX([1]Pivot!$AD$1:$BE$65000,$B1158,Z$5)=1,1,IF(INDEX([1]Pivot!$B$1:$AB$65000,$B1158,Z$5)="",2,0)),0)</f>
        <v>0</v>
      </c>
      <c r="AA1158" s="194">
        <f>IFERROR(IF(INDEX([1]Pivot!$AD$1:$BE$65000,$B1158,AA$5)=1,1,IF(INDEX([1]Pivot!$B$1:$AB$65000,$B1158,AA$5)="",2,0)),0)</f>
        <v>0</v>
      </c>
      <c r="AB1158" s="194">
        <f>IFERROR(IF(INDEX([1]Pivot!$AD$1:$BE$65000,$B1158,AB$5)=1,1,IF(INDEX([1]Pivot!$B$1:$AB$65000,$B1158,AB$5)="",2,0)),0)</f>
        <v>0</v>
      </c>
      <c r="AC1158" s="194">
        <f>IFERROR(IF(INDEX([1]Pivot!$AD$1:$BE$65000,$B1158,AC$5)=1,1,IF(INDEX([1]Pivot!$B$1:$AB$65000,$B1158,AC$5)="",2,0)),0)</f>
        <v>0</v>
      </c>
      <c r="AD1158" s="313">
        <f>IFERROR(IF(INDEX([1]Pivot!$BF$1:$CG$65000,$B1158,AD$5)=1,1,IF(INDEX([1]Pivot!$B$1:$AB$65000,$B1158,AD$5)="",2,0)),0)</f>
        <v>0</v>
      </c>
      <c r="AE1158" s="313">
        <f>IFERROR(IF(INDEX([1]Pivot!$BF$1:$CG$65000,$B1158,AE$5)=1,1,IF(INDEX([1]Pivot!$B$1:$AB$65000,$B1158,AE$5)="",2,0)),0)</f>
        <v>0</v>
      </c>
      <c r="AF1158" s="313">
        <f>IFERROR(IF(INDEX([1]Pivot!$BF$1:$CG$65000,$B1158,AF$5)=1,1,IF(INDEX([1]Pivot!$B$1:$AB$65000,$B1158,AF$5)="",2,0)),0)</f>
        <v>0</v>
      </c>
      <c r="AG1158" s="313">
        <f>IFERROR(IF(INDEX([1]Pivot!$BF$1:$CG$65000,$B1158,AG$5)=1,1,IF(INDEX([1]Pivot!$B$1:$AB$65000,$B1158,AG$5)="",2,0)),0)</f>
        <v>0</v>
      </c>
      <c r="AH1158" s="313">
        <f>IFERROR(IF(INDEX([1]Pivot!$BF$1:$CG$65000,$B1158,AH$5)=1,1,IF(INDEX([1]Pivot!$B$1:$AB$65000,$B1158,AH$5)="",2,0)),0)</f>
        <v>0</v>
      </c>
      <c r="AI1158" s="313">
        <f>IFERROR(IF(INDEX([1]Pivot!$BF$1:$CG$65000,$B1158,AI$5)=1,1,IF(INDEX([1]Pivot!$B$1:$AB$65000,$B1158,AI$5)="",2,0)),0)</f>
        <v>0</v>
      </c>
      <c r="AJ1158" s="313">
        <f>IFERROR(IF(INDEX([1]Pivot!$BF$1:$CG$65000,$B1158,AJ$5)=1,1,IF(INDEX([1]Pivot!$B$1:$AB$65000,$B1158,AJ$5)="",2,0)),0)</f>
        <v>0</v>
      </c>
      <c r="AK1158" s="313">
        <f>IFERROR(IF(INDEX([1]Pivot!$BF$1:$CG$65000,$B1158,AK$5)=1,1,IF(INDEX([1]Pivot!$B$1:$AB$65000,$B1158,AK$5)="",2,0)),0)</f>
        <v>0</v>
      </c>
      <c r="AL1158" s="313">
        <f>IFERROR(IF(INDEX([1]Pivot!$BF$1:$CG$65000,$B1158,AL$5)=1,1,IF(INDEX([1]Pivot!$B$1:$AB$65000,$B1158,AL$5)="",2,0)),0)</f>
        <v>0</v>
      </c>
      <c r="AM1158" s="313">
        <f>IFERROR(IF(INDEX([1]Pivot!$BF$1:$CG$65000,$B1158,AM$5)=1,1,IF(INDEX([1]Pivot!$B$1:$AB$65000,$B1158,AM$5)="",2,0)),0)</f>
        <v>0</v>
      </c>
      <c r="AN1158" s="313">
        <f>IFERROR(IF(INDEX([1]Pivot!$BF$1:$CG$65000,$B1158,AN$5)=1,1,IF(INDEX([1]Pivot!$B$1:$AB$65000,$B1158,AN$5)="",2,0)),0)</f>
        <v>0</v>
      </c>
      <c r="AO1158" s="313">
        <f>IFERROR(IF(INDEX([1]Pivot!$BF$1:$CG$65000,$B1158,AO$5)=1,1,IF(INDEX([1]Pivot!$B$1:$AB$65000,$B1158,AO$5)="",2,0)),0)</f>
        <v>0</v>
      </c>
      <c r="AP1158" s="313">
        <f>IFERROR(IF(INDEX([1]Pivot!$BF$1:$CG$65000,$B1158,AP$5)=1,1,IF(INDEX([1]Pivot!$B$1:$AB$65000,$B1158,AP$5)="",2,0)),0)</f>
        <v>0</v>
      </c>
      <c r="AQ1158" s="313">
        <f>IFERROR(IF(INDEX([1]Pivot!$BF$1:$CG$65000,$B1158,AQ$5)=1,1,IF(INDEX([1]Pivot!$B$1:$AB$65000,$B1158,AQ$5)="",2,0)),0)</f>
        <v>0</v>
      </c>
      <c r="AR1158" s="313">
        <f>IFERROR(IF(INDEX([1]Pivot!$BF$1:$CG$65000,$B1158,AR$5)=1,1,IF(INDEX([1]Pivot!$B$1:$AB$65000,$B1158,AR$5)="",2,0)),0)</f>
        <v>0</v>
      </c>
      <c r="AS1158" s="312"/>
      <c r="AT1158" s="313">
        <f>IFERROR(IF(INDEX([1]Pivot!$BF$1:$CG$65000,$B1158,AT$5)=1,1,IF(INDEX([1]Pivot!$B$1:$AB$65000,$B1158,AT$5)="",2,0)),0)</f>
        <v>0</v>
      </c>
      <c r="AU1158" s="313">
        <f>IFERROR(IF(INDEX([1]Pivot!$BF$1:$CG$65000,$B1158,AU$5)=1,1,IF(INDEX([1]Pivot!$B$1:$AB$65000,$B1158,AU$5)="",2,0)),0)</f>
        <v>0</v>
      </c>
      <c r="AV1158" s="313">
        <f>IFERROR(IF(INDEX([1]Pivot!$BF$1:$CG$65000,$B1158,AV$5)=1,1,IF(INDEX([1]Pivot!$B$1:$AB$65000,$B1158,AV$5)="",2,0)),0)</f>
        <v>0</v>
      </c>
      <c r="AW1158" s="313">
        <f>IFERROR(IF(INDEX([1]Pivot!$BF$1:$CG$65000,$B1158,AW$5)=1,1,IF(INDEX([1]Pivot!$B$1:$AB$65000,$B1158,AW$5)="",2,0)),0)</f>
        <v>0</v>
      </c>
      <c r="AX1158" s="313">
        <f>IFERROR(IF(INDEX([1]Pivot!$BF$1:$CG$65000,$B1158,AX$5)=1,1,IF(INDEX([1]Pivot!$B$1:$AB$65000,$B1158,AX$5)="",2,0)),0)</f>
        <v>0</v>
      </c>
      <c r="AY1158" s="313">
        <f>IFERROR(IF(INDEX([1]Pivot!$BF$1:$CG$65000,$B1158,AY$5)=1,1,IF(INDEX([1]Pivot!$B$1:$AB$65000,$B1158,AY$5)="",2,0)),0)</f>
        <v>0</v>
      </c>
      <c r="AZ1158" s="313">
        <f>IFERROR(IF(INDEX([1]Pivot!$BF$1:$CG$65000,$B1158,AZ$5)=1,1,IF(INDEX([1]Pivot!$B$1:$AB$65000,$B1158,AZ$5)="",2,0)),0)</f>
        <v>0</v>
      </c>
      <c r="BA1158" s="313">
        <f>IFERROR(IF(INDEX([1]Pivot!$BF$1:$CG$65000,$B1158,BA$5)=1,1,IF(INDEX([1]Pivot!$B$1:$AB$65000,$B1158,BA$5)="",2,0)),0)</f>
        <v>0</v>
      </c>
      <c r="BB1158" s="313">
        <f>IFERROR(IF(INDEX([1]Pivot!$BF$1:$CG$65000,$B1158,BB$5)=1,1,IF(INDEX([1]Pivot!$B$1:$AB$65000,$B1158,BB$5)="",2,0)),0)</f>
        <v>0</v>
      </c>
      <c r="BC1158" s="313">
        <f>IFERROR(IF(INDEX([1]Pivot!$BF$1:$CG$65000,$B1158,BC$5)=1,1,IF(INDEX([1]Pivot!$B$1:$AB$65000,$B1158,BC$5)="",2,0)),0)</f>
        <v>0</v>
      </c>
      <c r="BD1158" s="313">
        <f>IFERROR(IF(INDEX([1]Pivot!$BF$1:$CG$65000,$B1158,BD$5)=1,1,IF(INDEX([1]Pivot!$B$1:$AB$65000,$B1158,BD$5)="",2,0)),0)</f>
        <v>0</v>
      </c>
    </row>
    <row r="1159" spans="1:56" x14ac:dyDescent="0.25">
      <c r="A1159" s="288">
        <f>'[2]Raw Milk Prices'!A1159</f>
        <v>0</v>
      </c>
      <c r="B1159" s="296" t="e">
        <f>MATCH(DATE(LEFT('[2]Raw Milk Prices'!$A1159,4),RIGHT('[2]Raw Milk Prices'!$A1159,2),1),[1]Pivot!$A$1:$A$65000,0)</f>
        <v>#VALUE!</v>
      </c>
      <c r="C1159" s="194">
        <f>IFERROR(IF(INDEX([1]Pivot!$AD$1:$BE$65000,$B1159,C$5)=1,1,IF(INDEX([1]Pivot!$B$1:$AB$65000,$B1159,C$5)="",2,0)),0)</f>
        <v>0</v>
      </c>
      <c r="D1159" s="194">
        <f>IFERROR(IF(INDEX([1]Pivot!$AD$1:$BE$65000,$B1159,D$5)=1,1,IF(INDEX([1]Pivot!$B$1:$AB$65000,$B1159,D$5)="",2,0)),0)</f>
        <v>0</v>
      </c>
      <c r="E1159" s="194">
        <f>IFERROR(IF(INDEX([1]Pivot!$AD$1:$BE$65000,$B1159,E$5)=1,1,IF(INDEX([1]Pivot!$B$1:$AB$65000,$B1159,E$5)="",2,0)),0)</f>
        <v>0</v>
      </c>
      <c r="F1159" s="194">
        <f>IFERROR(IF(INDEX([1]Pivot!$AD$1:$BE$65000,$B1159,F$5)=1,1,IF(INDEX([1]Pivot!$B$1:$AB$65000,$B1159,F$5)="",2,0)),0)</f>
        <v>0</v>
      </c>
      <c r="G1159" s="194">
        <f>IFERROR(IF(INDEX([1]Pivot!$AD$1:$BE$65000,$B1159,G$5)=1,1,IF(INDEX([1]Pivot!$B$1:$AB$65000,$B1159,G$5)="",2,0)),0)</f>
        <v>0</v>
      </c>
      <c r="H1159" s="194">
        <f>IFERROR(IF(INDEX([1]Pivot!$AD$1:$BE$65000,$B1159,H$5)=1,1,IF(INDEX([1]Pivot!$B$1:$AB$65000,$B1159,H$5)="",2,0)),0)</f>
        <v>0</v>
      </c>
      <c r="I1159" s="194">
        <f>IFERROR(IF(INDEX([1]Pivot!$AD$1:$BE$65000,$B1159,I$5)=1,1,IF(INDEX([1]Pivot!$B$1:$AB$65000,$B1159,I$5)="",2,0)),0)</f>
        <v>0</v>
      </c>
      <c r="J1159" s="194">
        <f>IFERROR(IF(INDEX([1]Pivot!$AD$1:$BE$65000,$B1159,J$5)=1,1,IF(INDEX([1]Pivot!$B$1:$AB$65000,$B1159,J$5)="",2,0)),0)</f>
        <v>0</v>
      </c>
      <c r="K1159" s="194">
        <f>IFERROR(IF(INDEX([1]Pivot!$AD$1:$BE$65000,$B1159,K$5)=1,1,IF(INDEX([1]Pivot!$B$1:$AB$65000,$B1159,K$5)="",2,0)),0)</f>
        <v>0</v>
      </c>
      <c r="L1159" s="194">
        <f>IFERROR(IF(INDEX([1]Pivot!$AD$1:$BE$65000,$B1159,L$5)=1,1,IF(INDEX([1]Pivot!$B$1:$AB$65000,$B1159,L$5)="",2,0)),0)</f>
        <v>0</v>
      </c>
      <c r="M1159" s="194">
        <f>IFERROR(IF(INDEX([1]Pivot!$AD$1:$BE$65000,$B1159,M$5)=1,1,IF(INDEX([1]Pivot!$B$1:$AB$65000,$B1159,M$5)="",2,0)),0)</f>
        <v>0</v>
      </c>
      <c r="N1159" s="194">
        <f>IFERROR(IF(INDEX([1]Pivot!$AD$1:$BE$65000,$B1159,N$5)=1,1,IF(INDEX([1]Pivot!$B$1:$AB$65000,$B1159,N$5)="",2,0)),0)</f>
        <v>0</v>
      </c>
      <c r="O1159" s="194">
        <f>IFERROR(IF(INDEX([1]Pivot!$AD$1:$BE$65000,$B1159,O$5)=1,1,IF(INDEX([1]Pivot!$B$1:$AB$65000,$B1159,O$5)="",2,0)),0)</f>
        <v>0</v>
      </c>
      <c r="P1159" s="194">
        <f>IFERROR(IF(INDEX([1]Pivot!$AD$1:$BE$65000,$B1159,P$5)=1,1,IF(INDEX([1]Pivot!$B$1:$AB$65000,$B1159,P$5)="",2,0)),0)</f>
        <v>0</v>
      </c>
      <c r="Q1159" s="194">
        <f>IFERROR(IF(INDEX([1]Pivot!$AD$1:$BE$65000,$B1159,Q$5)=1,1,IF(INDEX([1]Pivot!$B$1:$AB$65000,$B1159,Q$5)="",2,0)),0)</f>
        <v>0</v>
      </c>
      <c r="R1159" s="312"/>
      <c r="S1159" s="194">
        <f>IFERROR(IF(INDEX([1]Pivot!$AD$1:$BE$65000,$B1159,S$5)=1,1,IF(INDEX([1]Pivot!$B$1:$AB$65000,$B1159,S$5)="",2,0)),0)</f>
        <v>0</v>
      </c>
      <c r="T1159" s="194">
        <f>IFERROR(IF(INDEX([1]Pivot!$AD$1:$BE$65000,$B1159,T$5)=1,1,IF(INDEX([1]Pivot!$B$1:$AB$65000,$B1159,T$5)="",2,0)),0)</f>
        <v>0</v>
      </c>
      <c r="U1159" s="194">
        <f>IFERROR(IF(INDEX([1]Pivot!$AD$1:$BE$65000,$B1159,U$5)=1,1,IF(INDEX([1]Pivot!$B$1:$AB$65000,$B1159,U$5)="",2,0)),0)</f>
        <v>0</v>
      </c>
      <c r="V1159" s="194">
        <f>IFERROR(IF(INDEX([1]Pivot!$AD$1:$BE$65000,$B1159,V$5)=1,1,IF(INDEX([1]Pivot!$B$1:$AB$65000,$B1159,V$5)="",2,0)),0)</f>
        <v>0</v>
      </c>
      <c r="W1159" s="194">
        <f>IFERROR(IF(INDEX([1]Pivot!$AD$1:$BE$65000,$B1159,W$5)=1,1,IF(INDEX([1]Pivot!$B$1:$AB$65000,$B1159,W$5)="",2,0)),0)</f>
        <v>0</v>
      </c>
      <c r="X1159" s="194">
        <f>IFERROR(IF(INDEX([1]Pivot!$AD$1:$BE$65000,$B1159,X$5)=1,1,IF(INDEX([1]Pivot!$B$1:$AB$65000,$B1159,X$5)="",2,0)),0)</f>
        <v>0</v>
      </c>
      <c r="Y1159" s="194">
        <f>IFERROR(IF(INDEX([1]Pivot!$AD$1:$BE$65000,$B1159,Y$5)=1,1,IF(INDEX([1]Pivot!$B$1:$AB$65000,$B1159,Y$5)="",2,0)),0)</f>
        <v>0</v>
      </c>
      <c r="Z1159" s="194">
        <f>IFERROR(IF(INDEX([1]Pivot!$AD$1:$BE$65000,$B1159,Z$5)=1,1,IF(INDEX([1]Pivot!$B$1:$AB$65000,$B1159,Z$5)="",2,0)),0)</f>
        <v>0</v>
      </c>
      <c r="AA1159" s="194">
        <f>IFERROR(IF(INDEX([1]Pivot!$AD$1:$BE$65000,$B1159,AA$5)=1,1,IF(INDEX([1]Pivot!$B$1:$AB$65000,$B1159,AA$5)="",2,0)),0)</f>
        <v>0</v>
      </c>
      <c r="AB1159" s="194">
        <f>IFERROR(IF(INDEX([1]Pivot!$AD$1:$BE$65000,$B1159,AB$5)=1,1,IF(INDEX([1]Pivot!$B$1:$AB$65000,$B1159,AB$5)="",2,0)),0)</f>
        <v>0</v>
      </c>
      <c r="AC1159" s="194">
        <f>IFERROR(IF(INDEX([1]Pivot!$AD$1:$BE$65000,$B1159,AC$5)=1,1,IF(INDEX([1]Pivot!$B$1:$AB$65000,$B1159,AC$5)="",2,0)),0)</f>
        <v>0</v>
      </c>
      <c r="AD1159" s="313">
        <f>IFERROR(IF(INDEX([1]Pivot!$BF$1:$CG$65000,$B1159,AD$5)=1,1,IF(INDEX([1]Pivot!$B$1:$AB$65000,$B1159,AD$5)="",2,0)),0)</f>
        <v>0</v>
      </c>
      <c r="AE1159" s="313">
        <f>IFERROR(IF(INDEX([1]Pivot!$BF$1:$CG$65000,$B1159,AE$5)=1,1,IF(INDEX([1]Pivot!$B$1:$AB$65000,$B1159,AE$5)="",2,0)),0)</f>
        <v>0</v>
      </c>
      <c r="AF1159" s="313">
        <f>IFERROR(IF(INDEX([1]Pivot!$BF$1:$CG$65000,$B1159,AF$5)=1,1,IF(INDEX([1]Pivot!$B$1:$AB$65000,$B1159,AF$5)="",2,0)),0)</f>
        <v>0</v>
      </c>
      <c r="AG1159" s="313">
        <f>IFERROR(IF(INDEX([1]Pivot!$BF$1:$CG$65000,$B1159,AG$5)=1,1,IF(INDEX([1]Pivot!$B$1:$AB$65000,$B1159,AG$5)="",2,0)),0)</f>
        <v>0</v>
      </c>
      <c r="AH1159" s="313">
        <f>IFERROR(IF(INDEX([1]Pivot!$BF$1:$CG$65000,$B1159,AH$5)=1,1,IF(INDEX([1]Pivot!$B$1:$AB$65000,$B1159,AH$5)="",2,0)),0)</f>
        <v>0</v>
      </c>
      <c r="AI1159" s="313">
        <f>IFERROR(IF(INDEX([1]Pivot!$BF$1:$CG$65000,$B1159,AI$5)=1,1,IF(INDEX([1]Pivot!$B$1:$AB$65000,$B1159,AI$5)="",2,0)),0)</f>
        <v>0</v>
      </c>
      <c r="AJ1159" s="313">
        <f>IFERROR(IF(INDEX([1]Pivot!$BF$1:$CG$65000,$B1159,AJ$5)=1,1,IF(INDEX([1]Pivot!$B$1:$AB$65000,$B1159,AJ$5)="",2,0)),0)</f>
        <v>0</v>
      </c>
      <c r="AK1159" s="313">
        <f>IFERROR(IF(INDEX([1]Pivot!$BF$1:$CG$65000,$B1159,AK$5)=1,1,IF(INDEX([1]Pivot!$B$1:$AB$65000,$B1159,AK$5)="",2,0)),0)</f>
        <v>0</v>
      </c>
      <c r="AL1159" s="313">
        <f>IFERROR(IF(INDEX([1]Pivot!$BF$1:$CG$65000,$B1159,AL$5)=1,1,IF(INDEX([1]Pivot!$B$1:$AB$65000,$B1159,AL$5)="",2,0)),0)</f>
        <v>0</v>
      </c>
      <c r="AM1159" s="313">
        <f>IFERROR(IF(INDEX([1]Pivot!$BF$1:$CG$65000,$B1159,AM$5)=1,1,IF(INDEX([1]Pivot!$B$1:$AB$65000,$B1159,AM$5)="",2,0)),0)</f>
        <v>0</v>
      </c>
      <c r="AN1159" s="313">
        <f>IFERROR(IF(INDEX([1]Pivot!$BF$1:$CG$65000,$B1159,AN$5)=1,1,IF(INDEX([1]Pivot!$B$1:$AB$65000,$B1159,AN$5)="",2,0)),0)</f>
        <v>0</v>
      </c>
      <c r="AO1159" s="313">
        <f>IFERROR(IF(INDEX([1]Pivot!$BF$1:$CG$65000,$B1159,AO$5)=1,1,IF(INDEX([1]Pivot!$B$1:$AB$65000,$B1159,AO$5)="",2,0)),0)</f>
        <v>0</v>
      </c>
      <c r="AP1159" s="313">
        <f>IFERROR(IF(INDEX([1]Pivot!$BF$1:$CG$65000,$B1159,AP$5)=1,1,IF(INDEX([1]Pivot!$B$1:$AB$65000,$B1159,AP$5)="",2,0)),0)</f>
        <v>0</v>
      </c>
      <c r="AQ1159" s="313">
        <f>IFERROR(IF(INDEX([1]Pivot!$BF$1:$CG$65000,$B1159,AQ$5)=1,1,IF(INDEX([1]Pivot!$B$1:$AB$65000,$B1159,AQ$5)="",2,0)),0)</f>
        <v>0</v>
      </c>
      <c r="AR1159" s="313">
        <f>IFERROR(IF(INDEX([1]Pivot!$BF$1:$CG$65000,$B1159,AR$5)=1,1,IF(INDEX([1]Pivot!$B$1:$AB$65000,$B1159,AR$5)="",2,0)),0)</f>
        <v>0</v>
      </c>
      <c r="AS1159" s="312"/>
      <c r="AT1159" s="313">
        <f>IFERROR(IF(INDEX([1]Pivot!$BF$1:$CG$65000,$B1159,AT$5)=1,1,IF(INDEX([1]Pivot!$B$1:$AB$65000,$B1159,AT$5)="",2,0)),0)</f>
        <v>0</v>
      </c>
      <c r="AU1159" s="313">
        <f>IFERROR(IF(INDEX([1]Pivot!$BF$1:$CG$65000,$B1159,AU$5)=1,1,IF(INDEX([1]Pivot!$B$1:$AB$65000,$B1159,AU$5)="",2,0)),0)</f>
        <v>0</v>
      </c>
      <c r="AV1159" s="313">
        <f>IFERROR(IF(INDEX([1]Pivot!$BF$1:$CG$65000,$B1159,AV$5)=1,1,IF(INDEX([1]Pivot!$B$1:$AB$65000,$B1159,AV$5)="",2,0)),0)</f>
        <v>0</v>
      </c>
      <c r="AW1159" s="313">
        <f>IFERROR(IF(INDEX([1]Pivot!$BF$1:$CG$65000,$B1159,AW$5)=1,1,IF(INDEX([1]Pivot!$B$1:$AB$65000,$B1159,AW$5)="",2,0)),0)</f>
        <v>0</v>
      </c>
      <c r="AX1159" s="313">
        <f>IFERROR(IF(INDEX([1]Pivot!$BF$1:$CG$65000,$B1159,AX$5)=1,1,IF(INDEX([1]Pivot!$B$1:$AB$65000,$B1159,AX$5)="",2,0)),0)</f>
        <v>0</v>
      </c>
      <c r="AY1159" s="313">
        <f>IFERROR(IF(INDEX([1]Pivot!$BF$1:$CG$65000,$B1159,AY$5)=1,1,IF(INDEX([1]Pivot!$B$1:$AB$65000,$B1159,AY$5)="",2,0)),0)</f>
        <v>0</v>
      </c>
      <c r="AZ1159" s="313">
        <f>IFERROR(IF(INDEX([1]Pivot!$BF$1:$CG$65000,$B1159,AZ$5)=1,1,IF(INDEX([1]Pivot!$B$1:$AB$65000,$B1159,AZ$5)="",2,0)),0)</f>
        <v>0</v>
      </c>
      <c r="BA1159" s="313">
        <f>IFERROR(IF(INDEX([1]Pivot!$BF$1:$CG$65000,$B1159,BA$5)=1,1,IF(INDEX([1]Pivot!$B$1:$AB$65000,$B1159,BA$5)="",2,0)),0)</f>
        <v>0</v>
      </c>
      <c r="BB1159" s="313">
        <f>IFERROR(IF(INDEX([1]Pivot!$BF$1:$CG$65000,$B1159,BB$5)=1,1,IF(INDEX([1]Pivot!$B$1:$AB$65000,$B1159,BB$5)="",2,0)),0)</f>
        <v>0</v>
      </c>
      <c r="BC1159" s="313">
        <f>IFERROR(IF(INDEX([1]Pivot!$BF$1:$CG$65000,$B1159,BC$5)=1,1,IF(INDEX([1]Pivot!$B$1:$AB$65000,$B1159,BC$5)="",2,0)),0)</f>
        <v>0</v>
      </c>
      <c r="BD1159" s="313">
        <f>IFERROR(IF(INDEX([1]Pivot!$BF$1:$CG$65000,$B1159,BD$5)=1,1,IF(INDEX([1]Pivot!$B$1:$AB$65000,$B1159,BD$5)="",2,0)),0)</f>
        <v>0</v>
      </c>
    </row>
    <row r="1160" spans="1:56" x14ac:dyDescent="0.25">
      <c r="A1160" s="288">
        <f>'[2]Raw Milk Prices'!A1160</f>
        <v>0</v>
      </c>
      <c r="B1160" s="296" t="e">
        <f>MATCH(DATE(LEFT('[2]Raw Milk Prices'!$A1160,4),RIGHT('[2]Raw Milk Prices'!$A1160,2),1),[1]Pivot!$A$1:$A$65000,0)</f>
        <v>#VALUE!</v>
      </c>
      <c r="C1160" s="194">
        <f>IFERROR(IF(INDEX([1]Pivot!$AD$1:$BE$65000,$B1160,C$5)=1,1,IF(INDEX([1]Pivot!$B$1:$AB$65000,$B1160,C$5)="",2,0)),0)</f>
        <v>0</v>
      </c>
      <c r="D1160" s="194">
        <f>IFERROR(IF(INDEX([1]Pivot!$AD$1:$BE$65000,$B1160,D$5)=1,1,IF(INDEX([1]Pivot!$B$1:$AB$65000,$B1160,D$5)="",2,0)),0)</f>
        <v>0</v>
      </c>
      <c r="E1160" s="194">
        <f>IFERROR(IF(INDEX([1]Pivot!$AD$1:$BE$65000,$B1160,E$5)=1,1,IF(INDEX([1]Pivot!$B$1:$AB$65000,$B1160,E$5)="",2,0)),0)</f>
        <v>0</v>
      </c>
      <c r="F1160" s="194">
        <f>IFERROR(IF(INDEX([1]Pivot!$AD$1:$BE$65000,$B1160,F$5)=1,1,IF(INDEX([1]Pivot!$B$1:$AB$65000,$B1160,F$5)="",2,0)),0)</f>
        <v>0</v>
      </c>
      <c r="G1160" s="194">
        <f>IFERROR(IF(INDEX([1]Pivot!$AD$1:$BE$65000,$B1160,G$5)=1,1,IF(INDEX([1]Pivot!$B$1:$AB$65000,$B1160,G$5)="",2,0)),0)</f>
        <v>0</v>
      </c>
      <c r="H1160" s="194">
        <f>IFERROR(IF(INDEX([1]Pivot!$AD$1:$BE$65000,$B1160,H$5)=1,1,IF(INDEX([1]Pivot!$B$1:$AB$65000,$B1160,H$5)="",2,0)),0)</f>
        <v>0</v>
      </c>
      <c r="I1160" s="194">
        <f>IFERROR(IF(INDEX([1]Pivot!$AD$1:$BE$65000,$B1160,I$5)=1,1,IF(INDEX([1]Pivot!$B$1:$AB$65000,$B1160,I$5)="",2,0)),0)</f>
        <v>0</v>
      </c>
      <c r="J1160" s="194">
        <f>IFERROR(IF(INDEX([1]Pivot!$AD$1:$BE$65000,$B1160,J$5)=1,1,IF(INDEX([1]Pivot!$B$1:$AB$65000,$B1160,J$5)="",2,0)),0)</f>
        <v>0</v>
      </c>
      <c r="K1160" s="194">
        <f>IFERROR(IF(INDEX([1]Pivot!$AD$1:$BE$65000,$B1160,K$5)=1,1,IF(INDEX([1]Pivot!$B$1:$AB$65000,$B1160,K$5)="",2,0)),0)</f>
        <v>0</v>
      </c>
      <c r="L1160" s="194">
        <f>IFERROR(IF(INDEX([1]Pivot!$AD$1:$BE$65000,$B1160,L$5)=1,1,IF(INDEX([1]Pivot!$B$1:$AB$65000,$B1160,L$5)="",2,0)),0)</f>
        <v>0</v>
      </c>
      <c r="M1160" s="194">
        <f>IFERROR(IF(INDEX([1]Pivot!$AD$1:$BE$65000,$B1160,M$5)=1,1,IF(INDEX([1]Pivot!$B$1:$AB$65000,$B1160,M$5)="",2,0)),0)</f>
        <v>0</v>
      </c>
      <c r="N1160" s="194">
        <f>IFERROR(IF(INDEX([1]Pivot!$AD$1:$BE$65000,$B1160,N$5)=1,1,IF(INDEX([1]Pivot!$B$1:$AB$65000,$B1160,N$5)="",2,0)),0)</f>
        <v>0</v>
      </c>
      <c r="O1160" s="194">
        <f>IFERROR(IF(INDEX([1]Pivot!$AD$1:$BE$65000,$B1160,O$5)=1,1,IF(INDEX([1]Pivot!$B$1:$AB$65000,$B1160,O$5)="",2,0)),0)</f>
        <v>0</v>
      </c>
      <c r="P1160" s="194">
        <f>IFERROR(IF(INDEX([1]Pivot!$AD$1:$BE$65000,$B1160,P$5)=1,1,IF(INDEX([1]Pivot!$B$1:$AB$65000,$B1160,P$5)="",2,0)),0)</f>
        <v>0</v>
      </c>
      <c r="Q1160" s="194">
        <f>IFERROR(IF(INDEX([1]Pivot!$AD$1:$BE$65000,$B1160,Q$5)=1,1,IF(INDEX([1]Pivot!$B$1:$AB$65000,$B1160,Q$5)="",2,0)),0)</f>
        <v>0</v>
      </c>
      <c r="R1160" s="312"/>
      <c r="S1160" s="194">
        <f>IFERROR(IF(INDEX([1]Pivot!$AD$1:$BE$65000,$B1160,S$5)=1,1,IF(INDEX([1]Pivot!$B$1:$AB$65000,$B1160,S$5)="",2,0)),0)</f>
        <v>0</v>
      </c>
      <c r="T1160" s="194">
        <f>IFERROR(IF(INDEX([1]Pivot!$AD$1:$BE$65000,$B1160,T$5)=1,1,IF(INDEX([1]Pivot!$B$1:$AB$65000,$B1160,T$5)="",2,0)),0)</f>
        <v>0</v>
      </c>
      <c r="U1160" s="194">
        <f>IFERROR(IF(INDEX([1]Pivot!$AD$1:$BE$65000,$B1160,U$5)=1,1,IF(INDEX([1]Pivot!$B$1:$AB$65000,$B1160,U$5)="",2,0)),0)</f>
        <v>0</v>
      </c>
      <c r="V1160" s="194">
        <f>IFERROR(IF(INDEX([1]Pivot!$AD$1:$BE$65000,$B1160,V$5)=1,1,IF(INDEX([1]Pivot!$B$1:$AB$65000,$B1160,V$5)="",2,0)),0)</f>
        <v>0</v>
      </c>
      <c r="W1160" s="194">
        <f>IFERROR(IF(INDEX([1]Pivot!$AD$1:$BE$65000,$B1160,W$5)=1,1,IF(INDEX([1]Pivot!$B$1:$AB$65000,$B1160,W$5)="",2,0)),0)</f>
        <v>0</v>
      </c>
      <c r="X1160" s="194">
        <f>IFERROR(IF(INDEX([1]Pivot!$AD$1:$BE$65000,$B1160,X$5)=1,1,IF(INDEX([1]Pivot!$B$1:$AB$65000,$B1160,X$5)="",2,0)),0)</f>
        <v>0</v>
      </c>
      <c r="Y1160" s="194">
        <f>IFERROR(IF(INDEX([1]Pivot!$AD$1:$BE$65000,$B1160,Y$5)=1,1,IF(INDEX([1]Pivot!$B$1:$AB$65000,$B1160,Y$5)="",2,0)),0)</f>
        <v>0</v>
      </c>
      <c r="Z1160" s="194">
        <f>IFERROR(IF(INDEX([1]Pivot!$AD$1:$BE$65000,$B1160,Z$5)=1,1,IF(INDEX([1]Pivot!$B$1:$AB$65000,$B1160,Z$5)="",2,0)),0)</f>
        <v>0</v>
      </c>
      <c r="AA1160" s="194">
        <f>IFERROR(IF(INDEX([1]Pivot!$AD$1:$BE$65000,$B1160,AA$5)=1,1,IF(INDEX([1]Pivot!$B$1:$AB$65000,$B1160,AA$5)="",2,0)),0)</f>
        <v>0</v>
      </c>
      <c r="AB1160" s="194">
        <f>IFERROR(IF(INDEX([1]Pivot!$AD$1:$BE$65000,$B1160,AB$5)=1,1,IF(INDEX([1]Pivot!$B$1:$AB$65000,$B1160,AB$5)="",2,0)),0)</f>
        <v>0</v>
      </c>
      <c r="AC1160" s="194">
        <f>IFERROR(IF(INDEX([1]Pivot!$AD$1:$BE$65000,$B1160,AC$5)=1,1,IF(INDEX([1]Pivot!$B$1:$AB$65000,$B1160,AC$5)="",2,0)),0)</f>
        <v>0</v>
      </c>
      <c r="AD1160" s="313">
        <f>IFERROR(IF(INDEX([1]Pivot!$BF$1:$CG$65000,$B1160,AD$5)=1,1,IF(INDEX([1]Pivot!$B$1:$AB$65000,$B1160,AD$5)="",2,0)),0)</f>
        <v>0</v>
      </c>
      <c r="AE1160" s="313">
        <f>IFERROR(IF(INDEX([1]Pivot!$BF$1:$CG$65000,$B1160,AE$5)=1,1,IF(INDEX([1]Pivot!$B$1:$AB$65000,$B1160,AE$5)="",2,0)),0)</f>
        <v>0</v>
      </c>
      <c r="AF1160" s="313">
        <f>IFERROR(IF(INDEX([1]Pivot!$BF$1:$CG$65000,$B1160,AF$5)=1,1,IF(INDEX([1]Pivot!$B$1:$AB$65000,$B1160,AF$5)="",2,0)),0)</f>
        <v>0</v>
      </c>
      <c r="AG1160" s="313">
        <f>IFERROR(IF(INDEX([1]Pivot!$BF$1:$CG$65000,$B1160,AG$5)=1,1,IF(INDEX([1]Pivot!$B$1:$AB$65000,$B1160,AG$5)="",2,0)),0)</f>
        <v>0</v>
      </c>
      <c r="AH1160" s="313">
        <f>IFERROR(IF(INDEX([1]Pivot!$BF$1:$CG$65000,$B1160,AH$5)=1,1,IF(INDEX([1]Pivot!$B$1:$AB$65000,$B1160,AH$5)="",2,0)),0)</f>
        <v>0</v>
      </c>
      <c r="AI1160" s="313">
        <f>IFERROR(IF(INDEX([1]Pivot!$BF$1:$CG$65000,$B1160,AI$5)=1,1,IF(INDEX([1]Pivot!$B$1:$AB$65000,$B1160,AI$5)="",2,0)),0)</f>
        <v>0</v>
      </c>
      <c r="AJ1160" s="313">
        <f>IFERROR(IF(INDEX([1]Pivot!$BF$1:$CG$65000,$B1160,AJ$5)=1,1,IF(INDEX([1]Pivot!$B$1:$AB$65000,$B1160,AJ$5)="",2,0)),0)</f>
        <v>0</v>
      </c>
      <c r="AK1160" s="313">
        <f>IFERROR(IF(INDEX([1]Pivot!$BF$1:$CG$65000,$B1160,AK$5)=1,1,IF(INDEX([1]Pivot!$B$1:$AB$65000,$B1160,AK$5)="",2,0)),0)</f>
        <v>0</v>
      </c>
      <c r="AL1160" s="313">
        <f>IFERROR(IF(INDEX([1]Pivot!$BF$1:$CG$65000,$B1160,AL$5)=1,1,IF(INDEX([1]Pivot!$B$1:$AB$65000,$B1160,AL$5)="",2,0)),0)</f>
        <v>0</v>
      </c>
      <c r="AM1160" s="313">
        <f>IFERROR(IF(INDEX([1]Pivot!$BF$1:$CG$65000,$B1160,AM$5)=1,1,IF(INDEX([1]Pivot!$B$1:$AB$65000,$B1160,AM$5)="",2,0)),0)</f>
        <v>0</v>
      </c>
      <c r="AN1160" s="313">
        <f>IFERROR(IF(INDEX([1]Pivot!$BF$1:$CG$65000,$B1160,AN$5)=1,1,IF(INDEX([1]Pivot!$B$1:$AB$65000,$B1160,AN$5)="",2,0)),0)</f>
        <v>0</v>
      </c>
      <c r="AO1160" s="313">
        <f>IFERROR(IF(INDEX([1]Pivot!$BF$1:$CG$65000,$B1160,AO$5)=1,1,IF(INDEX([1]Pivot!$B$1:$AB$65000,$B1160,AO$5)="",2,0)),0)</f>
        <v>0</v>
      </c>
      <c r="AP1160" s="313">
        <f>IFERROR(IF(INDEX([1]Pivot!$BF$1:$CG$65000,$B1160,AP$5)=1,1,IF(INDEX([1]Pivot!$B$1:$AB$65000,$B1160,AP$5)="",2,0)),0)</f>
        <v>0</v>
      </c>
      <c r="AQ1160" s="313">
        <f>IFERROR(IF(INDEX([1]Pivot!$BF$1:$CG$65000,$B1160,AQ$5)=1,1,IF(INDEX([1]Pivot!$B$1:$AB$65000,$B1160,AQ$5)="",2,0)),0)</f>
        <v>0</v>
      </c>
      <c r="AR1160" s="313">
        <f>IFERROR(IF(INDEX([1]Pivot!$BF$1:$CG$65000,$B1160,AR$5)=1,1,IF(INDEX([1]Pivot!$B$1:$AB$65000,$B1160,AR$5)="",2,0)),0)</f>
        <v>0</v>
      </c>
      <c r="AS1160" s="312"/>
      <c r="AT1160" s="313">
        <f>IFERROR(IF(INDEX([1]Pivot!$BF$1:$CG$65000,$B1160,AT$5)=1,1,IF(INDEX([1]Pivot!$B$1:$AB$65000,$B1160,AT$5)="",2,0)),0)</f>
        <v>0</v>
      </c>
      <c r="AU1160" s="313">
        <f>IFERROR(IF(INDEX([1]Pivot!$BF$1:$CG$65000,$B1160,AU$5)=1,1,IF(INDEX([1]Pivot!$B$1:$AB$65000,$B1160,AU$5)="",2,0)),0)</f>
        <v>0</v>
      </c>
      <c r="AV1160" s="313">
        <f>IFERROR(IF(INDEX([1]Pivot!$BF$1:$CG$65000,$B1160,AV$5)=1,1,IF(INDEX([1]Pivot!$B$1:$AB$65000,$B1160,AV$5)="",2,0)),0)</f>
        <v>0</v>
      </c>
      <c r="AW1160" s="313">
        <f>IFERROR(IF(INDEX([1]Pivot!$BF$1:$CG$65000,$B1160,AW$5)=1,1,IF(INDEX([1]Pivot!$B$1:$AB$65000,$B1160,AW$5)="",2,0)),0)</f>
        <v>0</v>
      </c>
      <c r="AX1160" s="313">
        <f>IFERROR(IF(INDEX([1]Pivot!$BF$1:$CG$65000,$B1160,AX$5)=1,1,IF(INDEX([1]Pivot!$B$1:$AB$65000,$B1160,AX$5)="",2,0)),0)</f>
        <v>0</v>
      </c>
      <c r="AY1160" s="313">
        <f>IFERROR(IF(INDEX([1]Pivot!$BF$1:$CG$65000,$B1160,AY$5)=1,1,IF(INDEX([1]Pivot!$B$1:$AB$65000,$B1160,AY$5)="",2,0)),0)</f>
        <v>0</v>
      </c>
      <c r="AZ1160" s="313">
        <f>IFERROR(IF(INDEX([1]Pivot!$BF$1:$CG$65000,$B1160,AZ$5)=1,1,IF(INDEX([1]Pivot!$B$1:$AB$65000,$B1160,AZ$5)="",2,0)),0)</f>
        <v>0</v>
      </c>
      <c r="BA1160" s="313">
        <f>IFERROR(IF(INDEX([1]Pivot!$BF$1:$CG$65000,$B1160,BA$5)=1,1,IF(INDEX([1]Pivot!$B$1:$AB$65000,$B1160,BA$5)="",2,0)),0)</f>
        <v>0</v>
      </c>
      <c r="BB1160" s="313">
        <f>IFERROR(IF(INDEX([1]Pivot!$BF$1:$CG$65000,$B1160,BB$5)=1,1,IF(INDEX([1]Pivot!$B$1:$AB$65000,$B1160,BB$5)="",2,0)),0)</f>
        <v>0</v>
      </c>
      <c r="BC1160" s="313">
        <f>IFERROR(IF(INDEX([1]Pivot!$BF$1:$CG$65000,$B1160,BC$5)=1,1,IF(INDEX([1]Pivot!$B$1:$AB$65000,$B1160,BC$5)="",2,0)),0)</f>
        <v>0</v>
      </c>
      <c r="BD1160" s="313">
        <f>IFERROR(IF(INDEX([1]Pivot!$BF$1:$CG$65000,$B1160,BD$5)=1,1,IF(INDEX([1]Pivot!$B$1:$AB$65000,$B1160,BD$5)="",2,0)),0)</f>
        <v>0</v>
      </c>
    </row>
    <row r="1161" spans="1:56" x14ac:dyDescent="0.25">
      <c r="A1161" s="288">
        <f>'[2]Raw Milk Prices'!A1161</f>
        <v>0</v>
      </c>
      <c r="B1161" s="296" t="e">
        <f>MATCH(DATE(LEFT('[2]Raw Milk Prices'!$A1161,4),RIGHT('[2]Raw Milk Prices'!$A1161,2),1),[1]Pivot!$A$1:$A$65000,0)</f>
        <v>#VALUE!</v>
      </c>
      <c r="C1161" s="194">
        <f>IFERROR(IF(INDEX([1]Pivot!$AD$1:$BE$65000,$B1161,C$5)=1,1,IF(INDEX([1]Pivot!$B$1:$AB$65000,$B1161,C$5)="",2,0)),0)</f>
        <v>0</v>
      </c>
      <c r="D1161" s="194">
        <f>IFERROR(IF(INDEX([1]Pivot!$AD$1:$BE$65000,$B1161,D$5)=1,1,IF(INDEX([1]Pivot!$B$1:$AB$65000,$B1161,D$5)="",2,0)),0)</f>
        <v>0</v>
      </c>
      <c r="E1161" s="194">
        <f>IFERROR(IF(INDEX([1]Pivot!$AD$1:$BE$65000,$B1161,E$5)=1,1,IF(INDEX([1]Pivot!$B$1:$AB$65000,$B1161,E$5)="",2,0)),0)</f>
        <v>0</v>
      </c>
      <c r="F1161" s="194">
        <f>IFERROR(IF(INDEX([1]Pivot!$AD$1:$BE$65000,$B1161,F$5)=1,1,IF(INDEX([1]Pivot!$B$1:$AB$65000,$B1161,F$5)="",2,0)),0)</f>
        <v>0</v>
      </c>
      <c r="G1161" s="194">
        <f>IFERROR(IF(INDEX([1]Pivot!$AD$1:$BE$65000,$B1161,G$5)=1,1,IF(INDEX([1]Pivot!$B$1:$AB$65000,$B1161,G$5)="",2,0)),0)</f>
        <v>0</v>
      </c>
      <c r="H1161" s="194">
        <f>IFERROR(IF(INDEX([1]Pivot!$AD$1:$BE$65000,$B1161,H$5)=1,1,IF(INDEX([1]Pivot!$B$1:$AB$65000,$B1161,H$5)="",2,0)),0)</f>
        <v>0</v>
      </c>
      <c r="I1161" s="194">
        <f>IFERROR(IF(INDEX([1]Pivot!$AD$1:$BE$65000,$B1161,I$5)=1,1,IF(INDEX([1]Pivot!$B$1:$AB$65000,$B1161,I$5)="",2,0)),0)</f>
        <v>0</v>
      </c>
      <c r="J1161" s="194">
        <f>IFERROR(IF(INDEX([1]Pivot!$AD$1:$BE$65000,$B1161,J$5)=1,1,IF(INDEX([1]Pivot!$B$1:$AB$65000,$B1161,J$5)="",2,0)),0)</f>
        <v>0</v>
      </c>
      <c r="K1161" s="194">
        <f>IFERROR(IF(INDEX([1]Pivot!$AD$1:$BE$65000,$B1161,K$5)=1,1,IF(INDEX([1]Pivot!$B$1:$AB$65000,$B1161,K$5)="",2,0)),0)</f>
        <v>0</v>
      </c>
      <c r="L1161" s="194">
        <f>IFERROR(IF(INDEX([1]Pivot!$AD$1:$BE$65000,$B1161,L$5)=1,1,IF(INDEX([1]Pivot!$B$1:$AB$65000,$B1161,L$5)="",2,0)),0)</f>
        <v>0</v>
      </c>
      <c r="M1161" s="194">
        <f>IFERROR(IF(INDEX([1]Pivot!$AD$1:$BE$65000,$B1161,M$5)=1,1,IF(INDEX([1]Pivot!$B$1:$AB$65000,$B1161,M$5)="",2,0)),0)</f>
        <v>0</v>
      </c>
      <c r="N1161" s="194">
        <f>IFERROR(IF(INDEX([1]Pivot!$AD$1:$BE$65000,$B1161,N$5)=1,1,IF(INDEX([1]Pivot!$B$1:$AB$65000,$B1161,N$5)="",2,0)),0)</f>
        <v>0</v>
      </c>
      <c r="O1161" s="194">
        <f>IFERROR(IF(INDEX([1]Pivot!$AD$1:$BE$65000,$B1161,O$5)=1,1,IF(INDEX([1]Pivot!$B$1:$AB$65000,$B1161,O$5)="",2,0)),0)</f>
        <v>0</v>
      </c>
      <c r="P1161" s="194">
        <f>IFERROR(IF(INDEX([1]Pivot!$AD$1:$BE$65000,$B1161,P$5)=1,1,IF(INDEX([1]Pivot!$B$1:$AB$65000,$B1161,P$5)="",2,0)),0)</f>
        <v>0</v>
      </c>
      <c r="Q1161" s="194">
        <f>IFERROR(IF(INDEX([1]Pivot!$AD$1:$BE$65000,$B1161,Q$5)=1,1,IF(INDEX([1]Pivot!$B$1:$AB$65000,$B1161,Q$5)="",2,0)),0)</f>
        <v>0</v>
      </c>
      <c r="R1161" s="312"/>
      <c r="S1161" s="194">
        <f>IFERROR(IF(INDEX([1]Pivot!$AD$1:$BE$65000,$B1161,S$5)=1,1,IF(INDEX([1]Pivot!$B$1:$AB$65000,$B1161,S$5)="",2,0)),0)</f>
        <v>0</v>
      </c>
      <c r="T1161" s="194">
        <f>IFERROR(IF(INDEX([1]Pivot!$AD$1:$BE$65000,$B1161,T$5)=1,1,IF(INDEX([1]Pivot!$B$1:$AB$65000,$B1161,T$5)="",2,0)),0)</f>
        <v>0</v>
      </c>
      <c r="U1161" s="194">
        <f>IFERROR(IF(INDEX([1]Pivot!$AD$1:$BE$65000,$B1161,U$5)=1,1,IF(INDEX([1]Pivot!$B$1:$AB$65000,$B1161,U$5)="",2,0)),0)</f>
        <v>0</v>
      </c>
      <c r="V1161" s="194">
        <f>IFERROR(IF(INDEX([1]Pivot!$AD$1:$BE$65000,$B1161,V$5)=1,1,IF(INDEX([1]Pivot!$B$1:$AB$65000,$B1161,V$5)="",2,0)),0)</f>
        <v>0</v>
      </c>
      <c r="W1161" s="194">
        <f>IFERROR(IF(INDEX([1]Pivot!$AD$1:$BE$65000,$B1161,W$5)=1,1,IF(INDEX([1]Pivot!$B$1:$AB$65000,$B1161,W$5)="",2,0)),0)</f>
        <v>0</v>
      </c>
      <c r="X1161" s="194">
        <f>IFERROR(IF(INDEX([1]Pivot!$AD$1:$BE$65000,$B1161,X$5)=1,1,IF(INDEX([1]Pivot!$B$1:$AB$65000,$B1161,X$5)="",2,0)),0)</f>
        <v>0</v>
      </c>
      <c r="Y1161" s="194">
        <f>IFERROR(IF(INDEX([1]Pivot!$AD$1:$BE$65000,$B1161,Y$5)=1,1,IF(INDEX([1]Pivot!$B$1:$AB$65000,$B1161,Y$5)="",2,0)),0)</f>
        <v>0</v>
      </c>
      <c r="Z1161" s="194">
        <f>IFERROR(IF(INDEX([1]Pivot!$AD$1:$BE$65000,$B1161,Z$5)=1,1,IF(INDEX([1]Pivot!$B$1:$AB$65000,$B1161,Z$5)="",2,0)),0)</f>
        <v>0</v>
      </c>
      <c r="AA1161" s="194">
        <f>IFERROR(IF(INDEX([1]Pivot!$AD$1:$BE$65000,$B1161,AA$5)=1,1,IF(INDEX([1]Pivot!$B$1:$AB$65000,$B1161,AA$5)="",2,0)),0)</f>
        <v>0</v>
      </c>
      <c r="AB1161" s="194">
        <f>IFERROR(IF(INDEX([1]Pivot!$AD$1:$BE$65000,$B1161,AB$5)=1,1,IF(INDEX([1]Pivot!$B$1:$AB$65000,$B1161,AB$5)="",2,0)),0)</f>
        <v>0</v>
      </c>
      <c r="AC1161" s="194">
        <f>IFERROR(IF(INDEX([1]Pivot!$AD$1:$BE$65000,$B1161,AC$5)=1,1,IF(INDEX([1]Pivot!$B$1:$AB$65000,$B1161,AC$5)="",2,0)),0)</f>
        <v>0</v>
      </c>
      <c r="AD1161" s="313">
        <f>IFERROR(IF(INDEX([1]Pivot!$BF$1:$CG$65000,$B1161,AD$5)=1,1,IF(INDEX([1]Pivot!$B$1:$AB$65000,$B1161,AD$5)="",2,0)),0)</f>
        <v>0</v>
      </c>
      <c r="AE1161" s="313">
        <f>IFERROR(IF(INDEX([1]Pivot!$BF$1:$CG$65000,$B1161,AE$5)=1,1,IF(INDEX([1]Pivot!$B$1:$AB$65000,$B1161,AE$5)="",2,0)),0)</f>
        <v>0</v>
      </c>
      <c r="AF1161" s="313">
        <f>IFERROR(IF(INDEX([1]Pivot!$BF$1:$CG$65000,$B1161,AF$5)=1,1,IF(INDEX([1]Pivot!$B$1:$AB$65000,$B1161,AF$5)="",2,0)),0)</f>
        <v>0</v>
      </c>
      <c r="AG1161" s="313">
        <f>IFERROR(IF(INDEX([1]Pivot!$BF$1:$CG$65000,$B1161,AG$5)=1,1,IF(INDEX([1]Pivot!$B$1:$AB$65000,$B1161,AG$5)="",2,0)),0)</f>
        <v>0</v>
      </c>
      <c r="AH1161" s="313">
        <f>IFERROR(IF(INDEX([1]Pivot!$BF$1:$CG$65000,$B1161,AH$5)=1,1,IF(INDEX([1]Pivot!$B$1:$AB$65000,$B1161,AH$5)="",2,0)),0)</f>
        <v>0</v>
      </c>
      <c r="AI1161" s="313">
        <f>IFERROR(IF(INDEX([1]Pivot!$BF$1:$CG$65000,$B1161,AI$5)=1,1,IF(INDEX([1]Pivot!$B$1:$AB$65000,$B1161,AI$5)="",2,0)),0)</f>
        <v>0</v>
      </c>
      <c r="AJ1161" s="313">
        <f>IFERROR(IF(INDEX([1]Pivot!$BF$1:$CG$65000,$B1161,AJ$5)=1,1,IF(INDEX([1]Pivot!$B$1:$AB$65000,$B1161,AJ$5)="",2,0)),0)</f>
        <v>0</v>
      </c>
      <c r="AK1161" s="313">
        <f>IFERROR(IF(INDEX([1]Pivot!$BF$1:$CG$65000,$B1161,AK$5)=1,1,IF(INDEX([1]Pivot!$B$1:$AB$65000,$B1161,AK$5)="",2,0)),0)</f>
        <v>0</v>
      </c>
      <c r="AL1161" s="313">
        <f>IFERROR(IF(INDEX([1]Pivot!$BF$1:$CG$65000,$B1161,AL$5)=1,1,IF(INDEX([1]Pivot!$B$1:$AB$65000,$B1161,AL$5)="",2,0)),0)</f>
        <v>0</v>
      </c>
      <c r="AM1161" s="313">
        <f>IFERROR(IF(INDEX([1]Pivot!$BF$1:$CG$65000,$B1161,AM$5)=1,1,IF(INDEX([1]Pivot!$B$1:$AB$65000,$B1161,AM$5)="",2,0)),0)</f>
        <v>0</v>
      </c>
      <c r="AN1161" s="313">
        <f>IFERROR(IF(INDEX([1]Pivot!$BF$1:$CG$65000,$B1161,AN$5)=1,1,IF(INDEX([1]Pivot!$B$1:$AB$65000,$B1161,AN$5)="",2,0)),0)</f>
        <v>0</v>
      </c>
      <c r="AO1161" s="313">
        <f>IFERROR(IF(INDEX([1]Pivot!$BF$1:$CG$65000,$B1161,AO$5)=1,1,IF(INDEX([1]Pivot!$B$1:$AB$65000,$B1161,AO$5)="",2,0)),0)</f>
        <v>0</v>
      </c>
      <c r="AP1161" s="313">
        <f>IFERROR(IF(INDEX([1]Pivot!$BF$1:$CG$65000,$B1161,AP$5)=1,1,IF(INDEX([1]Pivot!$B$1:$AB$65000,$B1161,AP$5)="",2,0)),0)</f>
        <v>0</v>
      </c>
      <c r="AQ1161" s="313">
        <f>IFERROR(IF(INDEX([1]Pivot!$BF$1:$CG$65000,$B1161,AQ$5)=1,1,IF(INDEX([1]Pivot!$B$1:$AB$65000,$B1161,AQ$5)="",2,0)),0)</f>
        <v>0</v>
      </c>
      <c r="AR1161" s="313">
        <f>IFERROR(IF(INDEX([1]Pivot!$BF$1:$CG$65000,$B1161,AR$5)=1,1,IF(INDEX([1]Pivot!$B$1:$AB$65000,$B1161,AR$5)="",2,0)),0)</f>
        <v>0</v>
      </c>
      <c r="AS1161" s="312"/>
      <c r="AT1161" s="313">
        <f>IFERROR(IF(INDEX([1]Pivot!$BF$1:$CG$65000,$B1161,AT$5)=1,1,IF(INDEX([1]Pivot!$B$1:$AB$65000,$B1161,AT$5)="",2,0)),0)</f>
        <v>0</v>
      </c>
      <c r="AU1161" s="313">
        <f>IFERROR(IF(INDEX([1]Pivot!$BF$1:$CG$65000,$B1161,AU$5)=1,1,IF(INDEX([1]Pivot!$B$1:$AB$65000,$B1161,AU$5)="",2,0)),0)</f>
        <v>0</v>
      </c>
      <c r="AV1161" s="313">
        <f>IFERROR(IF(INDEX([1]Pivot!$BF$1:$CG$65000,$B1161,AV$5)=1,1,IF(INDEX([1]Pivot!$B$1:$AB$65000,$B1161,AV$5)="",2,0)),0)</f>
        <v>0</v>
      </c>
      <c r="AW1161" s="313">
        <f>IFERROR(IF(INDEX([1]Pivot!$BF$1:$CG$65000,$B1161,AW$5)=1,1,IF(INDEX([1]Pivot!$B$1:$AB$65000,$B1161,AW$5)="",2,0)),0)</f>
        <v>0</v>
      </c>
      <c r="AX1161" s="313">
        <f>IFERROR(IF(INDEX([1]Pivot!$BF$1:$CG$65000,$B1161,AX$5)=1,1,IF(INDEX([1]Pivot!$B$1:$AB$65000,$B1161,AX$5)="",2,0)),0)</f>
        <v>0</v>
      </c>
      <c r="AY1161" s="313">
        <f>IFERROR(IF(INDEX([1]Pivot!$BF$1:$CG$65000,$B1161,AY$5)=1,1,IF(INDEX([1]Pivot!$B$1:$AB$65000,$B1161,AY$5)="",2,0)),0)</f>
        <v>0</v>
      </c>
      <c r="AZ1161" s="313">
        <f>IFERROR(IF(INDEX([1]Pivot!$BF$1:$CG$65000,$B1161,AZ$5)=1,1,IF(INDEX([1]Pivot!$B$1:$AB$65000,$B1161,AZ$5)="",2,0)),0)</f>
        <v>0</v>
      </c>
      <c r="BA1161" s="313">
        <f>IFERROR(IF(INDEX([1]Pivot!$BF$1:$CG$65000,$B1161,BA$5)=1,1,IF(INDEX([1]Pivot!$B$1:$AB$65000,$B1161,BA$5)="",2,0)),0)</f>
        <v>0</v>
      </c>
      <c r="BB1161" s="313">
        <f>IFERROR(IF(INDEX([1]Pivot!$BF$1:$CG$65000,$B1161,BB$5)=1,1,IF(INDEX([1]Pivot!$B$1:$AB$65000,$B1161,BB$5)="",2,0)),0)</f>
        <v>0</v>
      </c>
      <c r="BC1161" s="313">
        <f>IFERROR(IF(INDEX([1]Pivot!$BF$1:$CG$65000,$B1161,BC$5)=1,1,IF(INDEX([1]Pivot!$B$1:$AB$65000,$B1161,BC$5)="",2,0)),0)</f>
        <v>0</v>
      </c>
      <c r="BD1161" s="313">
        <f>IFERROR(IF(INDEX([1]Pivot!$BF$1:$CG$65000,$B1161,BD$5)=1,1,IF(INDEX([1]Pivot!$B$1:$AB$65000,$B1161,BD$5)="",2,0)),0)</f>
        <v>0</v>
      </c>
    </row>
    <row r="1162" spans="1:56" x14ac:dyDescent="0.25">
      <c r="A1162" s="288">
        <f>'[2]Raw Milk Prices'!A1162</f>
        <v>0</v>
      </c>
      <c r="B1162" s="296" t="e">
        <f>MATCH(DATE(LEFT('[2]Raw Milk Prices'!$A1162,4),RIGHT('[2]Raw Milk Prices'!$A1162,2),1),[1]Pivot!$A$1:$A$65000,0)</f>
        <v>#VALUE!</v>
      </c>
      <c r="C1162" s="194">
        <f>IFERROR(IF(INDEX([1]Pivot!$AD$1:$BE$65000,$B1162,C$5)=1,1,IF(INDEX([1]Pivot!$B$1:$AB$65000,$B1162,C$5)="",2,0)),0)</f>
        <v>0</v>
      </c>
      <c r="D1162" s="194">
        <f>IFERROR(IF(INDEX([1]Pivot!$AD$1:$BE$65000,$B1162,D$5)=1,1,IF(INDEX([1]Pivot!$B$1:$AB$65000,$B1162,D$5)="",2,0)),0)</f>
        <v>0</v>
      </c>
      <c r="E1162" s="194">
        <f>IFERROR(IF(INDEX([1]Pivot!$AD$1:$BE$65000,$B1162,E$5)=1,1,IF(INDEX([1]Pivot!$B$1:$AB$65000,$B1162,E$5)="",2,0)),0)</f>
        <v>0</v>
      </c>
      <c r="F1162" s="194">
        <f>IFERROR(IF(INDEX([1]Pivot!$AD$1:$BE$65000,$B1162,F$5)=1,1,IF(INDEX([1]Pivot!$B$1:$AB$65000,$B1162,F$5)="",2,0)),0)</f>
        <v>0</v>
      </c>
      <c r="G1162" s="194">
        <f>IFERROR(IF(INDEX([1]Pivot!$AD$1:$BE$65000,$B1162,G$5)=1,1,IF(INDEX([1]Pivot!$B$1:$AB$65000,$B1162,G$5)="",2,0)),0)</f>
        <v>0</v>
      </c>
      <c r="H1162" s="194">
        <f>IFERROR(IF(INDEX([1]Pivot!$AD$1:$BE$65000,$B1162,H$5)=1,1,IF(INDEX([1]Pivot!$B$1:$AB$65000,$B1162,H$5)="",2,0)),0)</f>
        <v>0</v>
      </c>
      <c r="I1162" s="194">
        <f>IFERROR(IF(INDEX([1]Pivot!$AD$1:$BE$65000,$B1162,I$5)=1,1,IF(INDEX([1]Pivot!$B$1:$AB$65000,$B1162,I$5)="",2,0)),0)</f>
        <v>0</v>
      </c>
      <c r="J1162" s="194">
        <f>IFERROR(IF(INDEX([1]Pivot!$AD$1:$BE$65000,$B1162,J$5)=1,1,IF(INDEX([1]Pivot!$B$1:$AB$65000,$B1162,J$5)="",2,0)),0)</f>
        <v>0</v>
      </c>
      <c r="K1162" s="194">
        <f>IFERROR(IF(INDEX([1]Pivot!$AD$1:$BE$65000,$B1162,K$5)=1,1,IF(INDEX([1]Pivot!$B$1:$AB$65000,$B1162,K$5)="",2,0)),0)</f>
        <v>0</v>
      </c>
      <c r="L1162" s="194">
        <f>IFERROR(IF(INDEX([1]Pivot!$AD$1:$BE$65000,$B1162,L$5)=1,1,IF(INDEX([1]Pivot!$B$1:$AB$65000,$B1162,L$5)="",2,0)),0)</f>
        <v>0</v>
      </c>
      <c r="M1162" s="194">
        <f>IFERROR(IF(INDEX([1]Pivot!$AD$1:$BE$65000,$B1162,M$5)=1,1,IF(INDEX([1]Pivot!$B$1:$AB$65000,$B1162,M$5)="",2,0)),0)</f>
        <v>0</v>
      </c>
      <c r="N1162" s="194">
        <f>IFERROR(IF(INDEX([1]Pivot!$AD$1:$BE$65000,$B1162,N$5)=1,1,IF(INDEX([1]Pivot!$B$1:$AB$65000,$B1162,N$5)="",2,0)),0)</f>
        <v>0</v>
      </c>
      <c r="O1162" s="194">
        <f>IFERROR(IF(INDEX([1]Pivot!$AD$1:$BE$65000,$B1162,O$5)=1,1,IF(INDEX([1]Pivot!$B$1:$AB$65000,$B1162,O$5)="",2,0)),0)</f>
        <v>0</v>
      </c>
      <c r="P1162" s="194">
        <f>IFERROR(IF(INDEX([1]Pivot!$AD$1:$BE$65000,$B1162,P$5)=1,1,IF(INDEX([1]Pivot!$B$1:$AB$65000,$B1162,P$5)="",2,0)),0)</f>
        <v>0</v>
      </c>
      <c r="Q1162" s="194">
        <f>IFERROR(IF(INDEX([1]Pivot!$AD$1:$BE$65000,$B1162,Q$5)=1,1,IF(INDEX([1]Pivot!$B$1:$AB$65000,$B1162,Q$5)="",2,0)),0)</f>
        <v>0</v>
      </c>
      <c r="R1162" s="312"/>
      <c r="S1162" s="194">
        <f>IFERROR(IF(INDEX([1]Pivot!$AD$1:$BE$65000,$B1162,S$5)=1,1,IF(INDEX([1]Pivot!$B$1:$AB$65000,$B1162,S$5)="",2,0)),0)</f>
        <v>0</v>
      </c>
      <c r="T1162" s="194">
        <f>IFERROR(IF(INDEX([1]Pivot!$AD$1:$BE$65000,$B1162,T$5)=1,1,IF(INDEX([1]Pivot!$B$1:$AB$65000,$B1162,T$5)="",2,0)),0)</f>
        <v>0</v>
      </c>
      <c r="U1162" s="194">
        <f>IFERROR(IF(INDEX([1]Pivot!$AD$1:$BE$65000,$B1162,U$5)=1,1,IF(INDEX([1]Pivot!$B$1:$AB$65000,$B1162,U$5)="",2,0)),0)</f>
        <v>0</v>
      </c>
      <c r="V1162" s="194">
        <f>IFERROR(IF(INDEX([1]Pivot!$AD$1:$BE$65000,$B1162,V$5)=1,1,IF(INDEX([1]Pivot!$B$1:$AB$65000,$B1162,V$5)="",2,0)),0)</f>
        <v>0</v>
      </c>
      <c r="W1162" s="194">
        <f>IFERROR(IF(INDEX([1]Pivot!$AD$1:$BE$65000,$B1162,W$5)=1,1,IF(INDEX([1]Pivot!$B$1:$AB$65000,$B1162,W$5)="",2,0)),0)</f>
        <v>0</v>
      </c>
      <c r="X1162" s="194">
        <f>IFERROR(IF(INDEX([1]Pivot!$AD$1:$BE$65000,$B1162,X$5)=1,1,IF(INDEX([1]Pivot!$B$1:$AB$65000,$B1162,X$5)="",2,0)),0)</f>
        <v>0</v>
      </c>
      <c r="Y1162" s="194">
        <f>IFERROR(IF(INDEX([1]Pivot!$AD$1:$BE$65000,$B1162,Y$5)=1,1,IF(INDEX([1]Pivot!$B$1:$AB$65000,$B1162,Y$5)="",2,0)),0)</f>
        <v>0</v>
      </c>
      <c r="Z1162" s="194">
        <f>IFERROR(IF(INDEX([1]Pivot!$AD$1:$BE$65000,$B1162,Z$5)=1,1,IF(INDEX([1]Pivot!$B$1:$AB$65000,$B1162,Z$5)="",2,0)),0)</f>
        <v>0</v>
      </c>
      <c r="AA1162" s="194">
        <f>IFERROR(IF(INDEX([1]Pivot!$AD$1:$BE$65000,$B1162,AA$5)=1,1,IF(INDEX([1]Pivot!$B$1:$AB$65000,$B1162,AA$5)="",2,0)),0)</f>
        <v>0</v>
      </c>
      <c r="AB1162" s="194">
        <f>IFERROR(IF(INDEX([1]Pivot!$AD$1:$BE$65000,$B1162,AB$5)=1,1,IF(INDEX([1]Pivot!$B$1:$AB$65000,$B1162,AB$5)="",2,0)),0)</f>
        <v>0</v>
      </c>
      <c r="AC1162" s="194">
        <f>IFERROR(IF(INDEX([1]Pivot!$AD$1:$BE$65000,$B1162,AC$5)=1,1,IF(INDEX([1]Pivot!$B$1:$AB$65000,$B1162,AC$5)="",2,0)),0)</f>
        <v>0</v>
      </c>
      <c r="AD1162" s="313">
        <f>IFERROR(IF(INDEX([1]Pivot!$BF$1:$CG$65000,$B1162,AD$5)=1,1,IF(INDEX([1]Pivot!$B$1:$AB$65000,$B1162,AD$5)="",2,0)),0)</f>
        <v>0</v>
      </c>
      <c r="AE1162" s="313">
        <f>IFERROR(IF(INDEX([1]Pivot!$BF$1:$CG$65000,$B1162,AE$5)=1,1,IF(INDEX([1]Pivot!$B$1:$AB$65000,$B1162,AE$5)="",2,0)),0)</f>
        <v>0</v>
      </c>
      <c r="AF1162" s="313">
        <f>IFERROR(IF(INDEX([1]Pivot!$BF$1:$CG$65000,$B1162,AF$5)=1,1,IF(INDEX([1]Pivot!$B$1:$AB$65000,$B1162,AF$5)="",2,0)),0)</f>
        <v>0</v>
      </c>
      <c r="AG1162" s="313">
        <f>IFERROR(IF(INDEX([1]Pivot!$BF$1:$CG$65000,$B1162,AG$5)=1,1,IF(INDEX([1]Pivot!$B$1:$AB$65000,$B1162,AG$5)="",2,0)),0)</f>
        <v>0</v>
      </c>
      <c r="AH1162" s="313">
        <f>IFERROR(IF(INDEX([1]Pivot!$BF$1:$CG$65000,$B1162,AH$5)=1,1,IF(INDEX([1]Pivot!$B$1:$AB$65000,$B1162,AH$5)="",2,0)),0)</f>
        <v>0</v>
      </c>
      <c r="AI1162" s="313">
        <f>IFERROR(IF(INDEX([1]Pivot!$BF$1:$CG$65000,$B1162,AI$5)=1,1,IF(INDEX([1]Pivot!$B$1:$AB$65000,$B1162,AI$5)="",2,0)),0)</f>
        <v>0</v>
      </c>
      <c r="AJ1162" s="313">
        <f>IFERROR(IF(INDEX([1]Pivot!$BF$1:$CG$65000,$B1162,AJ$5)=1,1,IF(INDEX([1]Pivot!$B$1:$AB$65000,$B1162,AJ$5)="",2,0)),0)</f>
        <v>0</v>
      </c>
      <c r="AK1162" s="313">
        <f>IFERROR(IF(INDEX([1]Pivot!$BF$1:$CG$65000,$B1162,AK$5)=1,1,IF(INDEX([1]Pivot!$B$1:$AB$65000,$B1162,AK$5)="",2,0)),0)</f>
        <v>0</v>
      </c>
      <c r="AL1162" s="313">
        <f>IFERROR(IF(INDEX([1]Pivot!$BF$1:$CG$65000,$B1162,AL$5)=1,1,IF(INDEX([1]Pivot!$B$1:$AB$65000,$B1162,AL$5)="",2,0)),0)</f>
        <v>0</v>
      </c>
      <c r="AM1162" s="313">
        <f>IFERROR(IF(INDEX([1]Pivot!$BF$1:$CG$65000,$B1162,AM$5)=1,1,IF(INDEX([1]Pivot!$B$1:$AB$65000,$B1162,AM$5)="",2,0)),0)</f>
        <v>0</v>
      </c>
      <c r="AN1162" s="313">
        <f>IFERROR(IF(INDEX([1]Pivot!$BF$1:$CG$65000,$B1162,AN$5)=1,1,IF(INDEX([1]Pivot!$B$1:$AB$65000,$B1162,AN$5)="",2,0)),0)</f>
        <v>0</v>
      </c>
      <c r="AO1162" s="313">
        <f>IFERROR(IF(INDEX([1]Pivot!$BF$1:$CG$65000,$B1162,AO$5)=1,1,IF(INDEX([1]Pivot!$B$1:$AB$65000,$B1162,AO$5)="",2,0)),0)</f>
        <v>0</v>
      </c>
      <c r="AP1162" s="313">
        <f>IFERROR(IF(INDEX([1]Pivot!$BF$1:$CG$65000,$B1162,AP$5)=1,1,IF(INDEX([1]Pivot!$B$1:$AB$65000,$B1162,AP$5)="",2,0)),0)</f>
        <v>0</v>
      </c>
      <c r="AQ1162" s="313">
        <f>IFERROR(IF(INDEX([1]Pivot!$BF$1:$CG$65000,$B1162,AQ$5)=1,1,IF(INDEX([1]Pivot!$B$1:$AB$65000,$B1162,AQ$5)="",2,0)),0)</f>
        <v>0</v>
      </c>
      <c r="AR1162" s="313">
        <f>IFERROR(IF(INDEX([1]Pivot!$BF$1:$CG$65000,$B1162,AR$5)=1,1,IF(INDEX([1]Pivot!$B$1:$AB$65000,$B1162,AR$5)="",2,0)),0)</f>
        <v>0</v>
      </c>
      <c r="AS1162" s="312"/>
      <c r="AT1162" s="313">
        <f>IFERROR(IF(INDEX([1]Pivot!$BF$1:$CG$65000,$B1162,AT$5)=1,1,IF(INDEX([1]Pivot!$B$1:$AB$65000,$B1162,AT$5)="",2,0)),0)</f>
        <v>0</v>
      </c>
      <c r="AU1162" s="313">
        <f>IFERROR(IF(INDEX([1]Pivot!$BF$1:$CG$65000,$B1162,AU$5)=1,1,IF(INDEX([1]Pivot!$B$1:$AB$65000,$B1162,AU$5)="",2,0)),0)</f>
        <v>0</v>
      </c>
      <c r="AV1162" s="313">
        <f>IFERROR(IF(INDEX([1]Pivot!$BF$1:$CG$65000,$B1162,AV$5)=1,1,IF(INDEX([1]Pivot!$B$1:$AB$65000,$B1162,AV$5)="",2,0)),0)</f>
        <v>0</v>
      </c>
      <c r="AW1162" s="313">
        <f>IFERROR(IF(INDEX([1]Pivot!$BF$1:$CG$65000,$B1162,AW$5)=1,1,IF(INDEX([1]Pivot!$B$1:$AB$65000,$B1162,AW$5)="",2,0)),0)</f>
        <v>0</v>
      </c>
      <c r="AX1162" s="313">
        <f>IFERROR(IF(INDEX([1]Pivot!$BF$1:$CG$65000,$B1162,AX$5)=1,1,IF(INDEX([1]Pivot!$B$1:$AB$65000,$B1162,AX$5)="",2,0)),0)</f>
        <v>0</v>
      </c>
      <c r="AY1162" s="313">
        <f>IFERROR(IF(INDEX([1]Pivot!$BF$1:$CG$65000,$B1162,AY$5)=1,1,IF(INDEX([1]Pivot!$B$1:$AB$65000,$B1162,AY$5)="",2,0)),0)</f>
        <v>0</v>
      </c>
      <c r="AZ1162" s="313">
        <f>IFERROR(IF(INDEX([1]Pivot!$BF$1:$CG$65000,$B1162,AZ$5)=1,1,IF(INDEX([1]Pivot!$B$1:$AB$65000,$B1162,AZ$5)="",2,0)),0)</f>
        <v>0</v>
      </c>
      <c r="BA1162" s="313">
        <f>IFERROR(IF(INDEX([1]Pivot!$BF$1:$CG$65000,$B1162,BA$5)=1,1,IF(INDEX([1]Pivot!$B$1:$AB$65000,$B1162,BA$5)="",2,0)),0)</f>
        <v>0</v>
      </c>
      <c r="BB1162" s="313">
        <f>IFERROR(IF(INDEX([1]Pivot!$BF$1:$CG$65000,$B1162,BB$5)=1,1,IF(INDEX([1]Pivot!$B$1:$AB$65000,$B1162,BB$5)="",2,0)),0)</f>
        <v>0</v>
      </c>
      <c r="BC1162" s="313">
        <f>IFERROR(IF(INDEX([1]Pivot!$BF$1:$CG$65000,$B1162,BC$5)=1,1,IF(INDEX([1]Pivot!$B$1:$AB$65000,$B1162,BC$5)="",2,0)),0)</f>
        <v>0</v>
      </c>
      <c r="BD1162" s="313">
        <f>IFERROR(IF(INDEX([1]Pivot!$BF$1:$CG$65000,$B1162,BD$5)=1,1,IF(INDEX([1]Pivot!$B$1:$AB$65000,$B1162,BD$5)="",2,0)),0)</f>
        <v>0</v>
      </c>
    </row>
    <row r="1163" spans="1:56" x14ac:dyDescent="0.25">
      <c r="A1163" s="288">
        <f>'[2]Raw Milk Prices'!A1163</f>
        <v>0</v>
      </c>
      <c r="B1163" s="296" t="e">
        <f>MATCH(DATE(LEFT('[2]Raw Milk Prices'!$A1163,4),RIGHT('[2]Raw Milk Prices'!$A1163,2),1),[1]Pivot!$A$1:$A$65000,0)</f>
        <v>#VALUE!</v>
      </c>
      <c r="C1163" s="194">
        <f>IFERROR(IF(INDEX([1]Pivot!$AD$1:$BE$65000,$B1163,C$5)=1,1,IF(INDEX([1]Pivot!$B$1:$AB$65000,$B1163,C$5)="",2,0)),0)</f>
        <v>0</v>
      </c>
      <c r="D1163" s="194">
        <f>IFERROR(IF(INDEX([1]Pivot!$AD$1:$BE$65000,$B1163,D$5)=1,1,IF(INDEX([1]Pivot!$B$1:$AB$65000,$B1163,D$5)="",2,0)),0)</f>
        <v>0</v>
      </c>
      <c r="E1163" s="194">
        <f>IFERROR(IF(INDEX([1]Pivot!$AD$1:$BE$65000,$B1163,E$5)=1,1,IF(INDEX([1]Pivot!$B$1:$AB$65000,$B1163,E$5)="",2,0)),0)</f>
        <v>0</v>
      </c>
      <c r="F1163" s="194">
        <f>IFERROR(IF(INDEX([1]Pivot!$AD$1:$BE$65000,$B1163,F$5)=1,1,IF(INDEX([1]Pivot!$B$1:$AB$65000,$B1163,F$5)="",2,0)),0)</f>
        <v>0</v>
      </c>
      <c r="G1163" s="194">
        <f>IFERROR(IF(INDEX([1]Pivot!$AD$1:$BE$65000,$B1163,G$5)=1,1,IF(INDEX([1]Pivot!$B$1:$AB$65000,$B1163,G$5)="",2,0)),0)</f>
        <v>0</v>
      </c>
      <c r="H1163" s="194">
        <f>IFERROR(IF(INDEX([1]Pivot!$AD$1:$BE$65000,$B1163,H$5)=1,1,IF(INDEX([1]Pivot!$B$1:$AB$65000,$B1163,H$5)="",2,0)),0)</f>
        <v>0</v>
      </c>
      <c r="I1163" s="194">
        <f>IFERROR(IF(INDEX([1]Pivot!$AD$1:$BE$65000,$B1163,I$5)=1,1,IF(INDEX([1]Pivot!$B$1:$AB$65000,$B1163,I$5)="",2,0)),0)</f>
        <v>0</v>
      </c>
      <c r="J1163" s="194">
        <f>IFERROR(IF(INDEX([1]Pivot!$AD$1:$BE$65000,$B1163,J$5)=1,1,IF(INDEX([1]Pivot!$B$1:$AB$65000,$B1163,J$5)="",2,0)),0)</f>
        <v>0</v>
      </c>
      <c r="K1163" s="194">
        <f>IFERROR(IF(INDEX([1]Pivot!$AD$1:$BE$65000,$B1163,K$5)=1,1,IF(INDEX([1]Pivot!$B$1:$AB$65000,$B1163,K$5)="",2,0)),0)</f>
        <v>0</v>
      </c>
      <c r="L1163" s="194">
        <f>IFERROR(IF(INDEX([1]Pivot!$AD$1:$BE$65000,$B1163,L$5)=1,1,IF(INDEX([1]Pivot!$B$1:$AB$65000,$B1163,L$5)="",2,0)),0)</f>
        <v>0</v>
      </c>
      <c r="M1163" s="194">
        <f>IFERROR(IF(INDEX([1]Pivot!$AD$1:$BE$65000,$B1163,M$5)=1,1,IF(INDEX([1]Pivot!$B$1:$AB$65000,$B1163,M$5)="",2,0)),0)</f>
        <v>0</v>
      </c>
      <c r="N1163" s="194">
        <f>IFERROR(IF(INDEX([1]Pivot!$AD$1:$BE$65000,$B1163,N$5)=1,1,IF(INDEX([1]Pivot!$B$1:$AB$65000,$B1163,N$5)="",2,0)),0)</f>
        <v>0</v>
      </c>
      <c r="O1163" s="194">
        <f>IFERROR(IF(INDEX([1]Pivot!$AD$1:$BE$65000,$B1163,O$5)=1,1,IF(INDEX([1]Pivot!$B$1:$AB$65000,$B1163,O$5)="",2,0)),0)</f>
        <v>0</v>
      </c>
      <c r="P1163" s="194">
        <f>IFERROR(IF(INDEX([1]Pivot!$AD$1:$BE$65000,$B1163,P$5)=1,1,IF(INDEX([1]Pivot!$B$1:$AB$65000,$B1163,P$5)="",2,0)),0)</f>
        <v>0</v>
      </c>
      <c r="Q1163" s="194">
        <f>IFERROR(IF(INDEX([1]Pivot!$AD$1:$BE$65000,$B1163,Q$5)=1,1,IF(INDEX([1]Pivot!$B$1:$AB$65000,$B1163,Q$5)="",2,0)),0)</f>
        <v>0</v>
      </c>
      <c r="R1163" s="312"/>
      <c r="S1163" s="194">
        <f>IFERROR(IF(INDEX([1]Pivot!$AD$1:$BE$65000,$B1163,S$5)=1,1,IF(INDEX([1]Pivot!$B$1:$AB$65000,$B1163,S$5)="",2,0)),0)</f>
        <v>0</v>
      </c>
      <c r="T1163" s="194">
        <f>IFERROR(IF(INDEX([1]Pivot!$AD$1:$BE$65000,$B1163,T$5)=1,1,IF(INDEX([1]Pivot!$B$1:$AB$65000,$B1163,T$5)="",2,0)),0)</f>
        <v>0</v>
      </c>
      <c r="U1163" s="194">
        <f>IFERROR(IF(INDEX([1]Pivot!$AD$1:$BE$65000,$B1163,U$5)=1,1,IF(INDEX([1]Pivot!$B$1:$AB$65000,$B1163,U$5)="",2,0)),0)</f>
        <v>0</v>
      </c>
      <c r="V1163" s="194">
        <f>IFERROR(IF(INDEX([1]Pivot!$AD$1:$BE$65000,$B1163,V$5)=1,1,IF(INDEX([1]Pivot!$B$1:$AB$65000,$B1163,V$5)="",2,0)),0)</f>
        <v>0</v>
      </c>
      <c r="W1163" s="194">
        <f>IFERROR(IF(INDEX([1]Pivot!$AD$1:$BE$65000,$B1163,W$5)=1,1,IF(INDEX([1]Pivot!$B$1:$AB$65000,$B1163,W$5)="",2,0)),0)</f>
        <v>0</v>
      </c>
      <c r="X1163" s="194">
        <f>IFERROR(IF(INDEX([1]Pivot!$AD$1:$BE$65000,$B1163,X$5)=1,1,IF(INDEX([1]Pivot!$B$1:$AB$65000,$B1163,X$5)="",2,0)),0)</f>
        <v>0</v>
      </c>
      <c r="Y1163" s="194">
        <f>IFERROR(IF(INDEX([1]Pivot!$AD$1:$BE$65000,$B1163,Y$5)=1,1,IF(INDEX([1]Pivot!$B$1:$AB$65000,$B1163,Y$5)="",2,0)),0)</f>
        <v>0</v>
      </c>
      <c r="Z1163" s="194">
        <f>IFERROR(IF(INDEX([1]Pivot!$AD$1:$BE$65000,$B1163,Z$5)=1,1,IF(INDEX([1]Pivot!$B$1:$AB$65000,$B1163,Z$5)="",2,0)),0)</f>
        <v>0</v>
      </c>
      <c r="AA1163" s="194">
        <f>IFERROR(IF(INDEX([1]Pivot!$AD$1:$BE$65000,$B1163,AA$5)=1,1,IF(INDEX([1]Pivot!$B$1:$AB$65000,$B1163,AA$5)="",2,0)),0)</f>
        <v>0</v>
      </c>
      <c r="AB1163" s="194">
        <f>IFERROR(IF(INDEX([1]Pivot!$AD$1:$BE$65000,$B1163,AB$5)=1,1,IF(INDEX([1]Pivot!$B$1:$AB$65000,$B1163,AB$5)="",2,0)),0)</f>
        <v>0</v>
      </c>
      <c r="AC1163" s="194">
        <f>IFERROR(IF(INDEX([1]Pivot!$AD$1:$BE$65000,$B1163,AC$5)=1,1,IF(INDEX([1]Pivot!$B$1:$AB$65000,$B1163,AC$5)="",2,0)),0)</f>
        <v>0</v>
      </c>
      <c r="AD1163" s="313">
        <f>IFERROR(IF(INDEX([1]Pivot!$BF$1:$CG$65000,$B1163,AD$5)=1,1,IF(INDEX([1]Pivot!$B$1:$AB$65000,$B1163,AD$5)="",2,0)),0)</f>
        <v>0</v>
      </c>
      <c r="AE1163" s="313">
        <f>IFERROR(IF(INDEX([1]Pivot!$BF$1:$CG$65000,$B1163,AE$5)=1,1,IF(INDEX([1]Pivot!$B$1:$AB$65000,$B1163,AE$5)="",2,0)),0)</f>
        <v>0</v>
      </c>
      <c r="AF1163" s="313">
        <f>IFERROR(IF(INDEX([1]Pivot!$BF$1:$CG$65000,$B1163,AF$5)=1,1,IF(INDEX([1]Pivot!$B$1:$AB$65000,$B1163,AF$5)="",2,0)),0)</f>
        <v>0</v>
      </c>
      <c r="AG1163" s="313">
        <f>IFERROR(IF(INDEX([1]Pivot!$BF$1:$CG$65000,$B1163,AG$5)=1,1,IF(INDEX([1]Pivot!$B$1:$AB$65000,$B1163,AG$5)="",2,0)),0)</f>
        <v>0</v>
      </c>
      <c r="AH1163" s="313">
        <f>IFERROR(IF(INDEX([1]Pivot!$BF$1:$CG$65000,$B1163,AH$5)=1,1,IF(INDEX([1]Pivot!$B$1:$AB$65000,$B1163,AH$5)="",2,0)),0)</f>
        <v>0</v>
      </c>
      <c r="AI1163" s="313">
        <f>IFERROR(IF(INDEX([1]Pivot!$BF$1:$CG$65000,$B1163,AI$5)=1,1,IF(INDEX([1]Pivot!$B$1:$AB$65000,$B1163,AI$5)="",2,0)),0)</f>
        <v>0</v>
      </c>
      <c r="AJ1163" s="313">
        <f>IFERROR(IF(INDEX([1]Pivot!$BF$1:$CG$65000,$B1163,AJ$5)=1,1,IF(INDEX([1]Pivot!$B$1:$AB$65000,$B1163,AJ$5)="",2,0)),0)</f>
        <v>0</v>
      </c>
      <c r="AK1163" s="313">
        <f>IFERROR(IF(INDEX([1]Pivot!$BF$1:$CG$65000,$B1163,AK$5)=1,1,IF(INDEX([1]Pivot!$B$1:$AB$65000,$B1163,AK$5)="",2,0)),0)</f>
        <v>0</v>
      </c>
      <c r="AL1163" s="313">
        <f>IFERROR(IF(INDEX([1]Pivot!$BF$1:$CG$65000,$B1163,AL$5)=1,1,IF(INDEX([1]Pivot!$B$1:$AB$65000,$B1163,AL$5)="",2,0)),0)</f>
        <v>0</v>
      </c>
      <c r="AM1163" s="313">
        <f>IFERROR(IF(INDEX([1]Pivot!$BF$1:$CG$65000,$B1163,AM$5)=1,1,IF(INDEX([1]Pivot!$B$1:$AB$65000,$B1163,AM$5)="",2,0)),0)</f>
        <v>0</v>
      </c>
      <c r="AN1163" s="313">
        <f>IFERROR(IF(INDEX([1]Pivot!$BF$1:$CG$65000,$B1163,AN$5)=1,1,IF(INDEX([1]Pivot!$B$1:$AB$65000,$B1163,AN$5)="",2,0)),0)</f>
        <v>0</v>
      </c>
      <c r="AO1163" s="313">
        <f>IFERROR(IF(INDEX([1]Pivot!$BF$1:$CG$65000,$B1163,AO$5)=1,1,IF(INDEX([1]Pivot!$B$1:$AB$65000,$B1163,AO$5)="",2,0)),0)</f>
        <v>0</v>
      </c>
      <c r="AP1163" s="313">
        <f>IFERROR(IF(INDEX([1]Pivot!$BF$1:$CG$65000,$B1163,AP$5)=1,1,IF(INDEX([1]Pivot!$B$1:$AB$65000,$B1163,AP$5)="",2,0)),0)</f>
        <v>0</v>
      </c>
      <c r="AQ1163" s="313">
        <f>IFERROR(IF(INDEX([1]Pivot!$BF$1:$CG$65000,$B1163,AQ$5)=1,1,IF(INDEX([1]Pivot!$B$1:$AB$65000,$B1163,AQ$5)="",2,0)),0)</f>
        <v>0</v>
      </c>
      <c r="AR1163" s="313">
        <f>IFERROR(IF(INDEX([1]Pivot!$BF$1:$CG$65000,$B1163,AR$5)=1,1,IF(INDEX([1]Pivot!$B$1:$AB$65000,$B1163,AR$5)="",2,0)),0)</f>
        <v>0</v>
      </c>
      <c r="AS1163" s="312"/>
      <c r="AT1163" s="313">
        <f>IFERROR(IF(INDEX([1]Pivot!$BF$1:$CG$65000,$B1163,AT$5)=1,1,IF(INDEX([1]Pivot!$B$1:$AB$65000,$B1163,AT$5)="",2,0)),0)</f>
        <v>0</v>
      </c>
      <c r="AU1163" s="313">
        <f>IFERROR(IF(INDEX([1]Pivot!$BF$1:$CG$65000,$B1163,AU$5)=1,1,IF(INDEX([1]Pivot!$B$1:$AB$65000,$B1163,AU$5)="",2,0)),0)</f>
        <v>0</v>
      </c>
      <c r="AV1163" s="313">
        <f>IFERROR(IF(INDEX([1]Pivot!$BF$1:$CG$65000,$B1163,AV$5)=1,1,IF(INDEX([1]Pivot!$B$1:$AB$65000,$B1163,AV$5)="",2,0)),0)</f>
        <v>0</v>
      </c>
      <c r="AW1163" s="313">
        <f>IFERROR(IF(INDEX([1]Pivot!$BF$1:$CG$65000,$B1163,AW$5)=1,1,IF(INDEX([1]Pivot!$B$1:$AB$65000,$B1163,AW$5)="",2,0)),0)</f>
        <v>0</v>
      </c>
      <c r="AX1163" s="313">
        <f>IFERROR(IF(INDEX([1]Pivot!$BF$1:$CG$65000,$B1163,AX$5)=1,1,IF(INDEX([1]Pivot!$B$1:$AB$65000,$B1163,AX$5)="",2,0)),0)</f>
        <v>0</v>
      </c>
      <c r="AY1163" s="313">
        <f>IFERROR(IF(INDEX([1]Pivot!$BF$1:$CG$65000,$B1163,AY$5)=1,1,IF(INDEX([1]Pivot!$B$1:$AB$65000,$B1163,AY$5)="",2,0)),0)</f>
        <v>0</v>
      </c>
      <c r="AZ1163" s="313">
        <f>IFERROR(IF(INDEX([1]Pivot!$BF$1:$CG$65000,$B1163,AZ$5)=1,1,IF(INDEX([1]Pivot!$B$1:$AB$65000,$B1163,AZ$5)="",2,0)),0)</f>
        <v>0</v>
      </c>
      <c r="BA1163" s="313">
        <f>IFERROR(IF(INDEX([1]Pivot!$BF$1:$CG$65000,$B1163,BA$5)=1,1,IF(INDEX([1]Pivot!$B$1:$AB$65000,$B1163,BA$5)="",2,0)),0)</f>
        <v>0</v>
      </c>
      <c r="BB1163" s="313">
        <f>IFERROR(IF(INDEX([1]Pivot!$BF$1:$CG$65000,$B1163,BB$5)=1,1,IF(INDEX([1]Pivot!$B$1:$AB$65000,$B1163,BB$5)="",2,0)),0)</f>
        <v>0</v>
      </c>
      <c r="BC1163" s="313">
        <f>IFERROR(IF(INDEX([1]Pivot!$BF$1:$CG$65000,$B1163,BC$5)=1,1,IF(INDEX([1]Pivot!$B$1:$AB$65000,$B1163,BC$5)="",2,0)),0)</f>
        <v>0</v>
      </c>
      <c r="BD1163" s="313">
        <f>IFERROR(IF(INDEX([1]Pivot!$BF$1:$CG$65000,$B1163,BD$5)=1,1,IF(INDEX([1]Pivot!$B$1:$AB$65000,$B1163,BD$5)="",2,0)),0)</f>
        <v>0</v>
      </c>
    </row>
    <row r="1164" spans="1:56" x14ac:dyDescent="0.25">
      <c r="A1164" s="288">
        <f>'[2]Raw Milk Prices'!A1164</f>
        <v>0</v>
      </c>
      <c r="B1164" s="296" t="e">
        <f>MATCH(DATE(LEFT('[2]Raw Milk Prices'!$A1164,4),RIGHT('[2]Raw Milk Prices'!$A1164,2),1),[1]Pivot!$A$1:$A$65000,0)</f>
        <v>#VALUE!</v>
      </c>
      <c r="C1164" s="194">
        <f>IFERROR(IF(INDEX([1]Pivot!$AD$1:$BE$65000,$B1164,C$5)=1,1,IF(INDEX([1]Pivot!$B$1:$AB$65000,$B1164,C$5)="",2,0)),0)</f>
        <v>0</v>
      </c>
      <c r="D1164" s="194">
        <f>IFERROR(IF(INDEX([1]Pivot!$AD$1:$BE$65000,$B1164,D$5)=1,1,IF(INDEX([1]Pivot!$B$1:$AB$65000,$B1164,D$5)="",2,0)),0)</f>
        <v>0</v>
      </c>
      <c r="E1164" s="194">
        <f>IFERROR(IF(INDEX([1]Pivot!$AD$1:$BE$65000,$B1164,E$5)=1,1,IF(INDEX([1]Pivot!$B$1:$AB$65000,$B1164,E$5)="",2,0)),0)</f>
        <v>0</v>
      </c>
      <c r="F1164" s="194">
        <f>IFERROR(IF(INDEX([1]Pivot!$AD$1:$BE$65000,$B1164,F$5)=1,1,IF(INDEX([1]Pivot!$B$1:$AB$65000,$B1164,F$5)="",2,0)),0)</f>
        <v>0</v>
      </c>
      <c r="G1164" s="194">
        <f>IFERROR(IF(INDEX([1]Pivot!$AD$1:$BE$65000,$B1164,G$5)=1,1,IF(INDEX([1]Pivot!$B$1:$AB$65000,$B1164,G$5)="",2,0)),0)</f>
        <v>0</v>
      </c>
      <c r="H1164" s="194">
        <f>IFERROR(IF(INDEX([1]Pivot!$AD$1:$BE$65000,$B1164,H$5)=1,1,IF(INDEX([1]Pivot!$B$1:$AB$65000,$B1164,H$5)="",2,0)),0)</f>
        <v>0</v>
      </c>
      <c r="I1164" s="194">
        <f>IFERROR(IF(INDEX([1]Pivot!$AD$1:$BE$65000,$B1164,I$5)=1,1,IF(INDEX([1]Pivot!$B$1:$AB$65000,$B1164,I$5)="",2,0)),0)</f>
        <v>0</v>
      </c>
      <c r="J1164" s="194">
        <f>IFERROR(IF(INDEX([1]Pivot!$AD$1:$BE$65000,$B1164,J$5)=1,1,IF(INDEX([1]Pivot!$B$1:$AB$65000,$B1164,J$5)="",2,0)),0)</f>
        <v>0</v>
      </c>
      <c r="K1164" s="194">
        <f>IFERROR(IF(INDEX([1]Pivot!$AD$1:$BE$65000,$B1164,K$5)=1,1,IF(INDEX([1]Pivot!$B$1:$AB$65000,$B1164,K$5)="",2,0)),0)</f>
        <v>0</v>
      </c>
      <c r="L1164" s="194">
        <f>IFERROR(IF(INDEX([1]Pivot!$AD$1:$BE$65000,$B1164,L$5)=1,1,IF(INDEX([1]Pivot!$B$1:$AB$65000,$B1164,L$5)="",2,0)),0)</f>
        <v>0</v>
      </c>
      <c r="M1164" s="194">
        <f>IFERROR(IF(INDEX([1]Pivot!$AD$1:$BE$65000,$B1164,M$5)=1,1,IF(INDEX([1]Pivot!$B$1:$AB$65000,$B1164,M$5)="",2,0)),0)</f>
        <v>0</v>
      </c>
      <c r="N1164" s="194">
        <f>IFERROR(IF(INDEX([1]Pivot!$AD$1:$BE$65000,$B1164,N$5)=1,1,IF(INDEX([1]Pivot!$B$1:$AB$65000,$B1164,N$5)="",2,0)),0)</f>
        <v>0</v>
      </c>
      <c r="O1164" s="194">
        <f>IFERROR(IF(INDEX([1]Pivot!$AD$1:$BE$65000,$B1164,O$5)=1,1,IF(INDEX([1]Pivot!$B$1:$AB$65000,$B1164,O$5)="",2,0)),0)</f>
        <v>0</v>
      </c>
      <c r="P1164" s="194">
        <f>IFERROR(IF(INDEX([1]Pivot!$AD$1:$BE$65000,$B1164,P$5)=1,1,IF(INDEX([1]Pivot!$B$1:$AB$65000,$B1164,P$5)="",2,0)),0)</f>
        <v>0</v>
      </c>
      <c r="Q1164" s="194">
        <f>IFERROR(IF(INDEX([1]Pivot!$AD$1:$BE$65000,$B1164,Q$5)=1,1,IF(INDEX([1]Pivot!$B$1:$AB$65000,$B1164,Q$5)="",2,0)),0)</f>
        <v>0</v>
      </c>
      <c r="R1164" s="312"/>
      <c r="S1164" s="194">
        <f>IFERROR(IF(INDEX([1]Pivot!$AD$1:$BE$65000,$B1164,S$5)=1,1,IF(INDEX([1]Pivot!$B$1:$AB$65000,$B1164,S$5)="",2,0)),0)</f>
        <v>0</v>
      </c>
      <c r="T1164" s="194">
        <f>IFERROR(IF(INDEX([1]Pivot!$AD$1:$BE$65000,$B1164,T$5)=1,1,IF(INDEX([1]Pivot!$B$1:$AB$65000,$B1164,T$5)="",2,0)),0)</f>
        <v>0</v>
      </c>
      <c r="U1164" s="194">
        <f>IFERROR(IF(INDEX([1]Pivot!$AD$1:$BE$65000,$B1164,U$5)=1,1,IF(INDEX([1]Pivot!$B$1:$AB$65000,$B1164,U$5)="",2,0)),0)</f>
        <v>0</v>
      </c>
      <c r="V1164" s="194">
        <f>IFERROR(IF(INDEX([1]Pivot!$AD$1:$BE$65000,$B1164,V$5)=1,1,IF(INDEX([1]Pivot!$B$1:$AB$65000,$B1164,V$5)="",2,0)),0)</f>
        <v>0</v>
      </c>
      <c r="W1164" s="194">
        <f>IFERROR(IF(INDEX([1]Pivot!$AD$1:$BE$65000,$B1164,W$5)=1,1,IF(INDEX([1]Pivot!$B$1:$AB$65000,$B1164,W$5)="",2,0)),0)</f>
        <v>0</v>
      </c>
      <c r="X1164" s="194">
        <f>IFERROR(IF(INDEX([1]Pivot!$AD$1:$BE$65000,$B1164,X$5)=1,1,IF(INDEX([1]Pivot!$B$1:$AB$65000,$B1164,X$5)="",2,0)),0)</f>
        <v>0</v>
      </c>
      <c r="Y1164" s="194">
        <f>IFERROR(IF(INDEX([1]Pivot!$AD$1:$BE$65000,$B1164,Y$5)=1,1,IF(INDEX([1]Pivot!$B$1:$AB$65000,$B1164,Y$5)="",2,0)),0)</f>
        <v>0</v>
      </c>
      <c r="Z1164" s="194">
        <f>IFERROR(IF(INDEX([1]Pivot!$AD$1:$BE$65000,$B1164,Z$5)=1,1,IF(INDEX([1]Pivot!$B$1:$AB$65000,$B1164,Z$5)="",2,0)),0)</f>
        <v>0</v>
      </c>
      <c r="AA1164" s="194">
        <f>IFERROR(IF(INDEX([1]Pivot!$AD$1:$BE$65000,$B1164,AA$5)=1,1,IF(INDEX([1]Pivot!$B$1:$AB$65000,$B1164,AA$5)="",2,0)),0)</f>
        <v>0</v>
      </c>
      <c r="AB1164" s="194">
        <f>IFERROR(IF(INDEX([1]Pivot!$AD$1:$BE$65000,$B1164,AB$5)=1,1,IF(INDEX([1]Pivot!$B$1:$AB$65000,$B1164,AB$5)="",2,0)),0)</f>
        <v>0</v>
      </c>
      <c r="AC1164" s="194">
        <f>IFERROR(IF(INDEX([1]Pivot!$AD$1:$BE$65000,$B1164,AC$5)=1,1,IF(INDEX([1]Pivot!$B$1:$AB$65000,$B1164,AC$5)="",2,0)),0)</f>
        <v>0</v>
      </c>
      <c r="AD1164" s="313">
        <f>IFERROR(IF(INDEX([1]Pivot!$BF$1:$CG$65000,$B1164,AD$5)=1,1,IF(INDEX([1]Pivot!$B$1:$AB$65000,$B1164,AD$5)="",2,0)),0)</f>
        <v>0</v>
      </c>
      <c r="AE1164" s="313">
        <f>IFERROR(IF(INDEX([1]Pivot!$BF$1:$CG$65000,$B1164,AE$5)=1,1,IF(INDEX([1]Pivot!$B$1:$AB$65000,$B1164,AE$5)="",2,0)),0)</f>
        <v>0</v>
      </c>
      <c r="AF1164" s="313">
        <f>IFERROR(IF(INDEX([1]Pivot!$BF$1:$CG$65000,$B1164,AF$5)=1,1,IF(INDEX([1]Pivot!$B$1:$AB$65000,$B1164,AF$5)="",2,0)),0)</f>
        <v>0</v>
      </c>
      <c r="AG1164" s="313">
        <f>IFERROR(IF(INDEX([1]Pivot!$BF$1:$CG$65000,$B1164,AG$5)=1,1,IF(INDEX([1]Pivot!$B$1:$AB$65000,$B1164,AG$5)="",2,0)),0)</f>
        <v>0</v>
      </c>
      <c r="AH1164" s="313">
        <f>IFERROR(IF(INDEX([1]Pivot!$BF$1:$CG$65000,$B1164,AH$5)=1,1,IF(INDEX([1]Pivot!$B$1:$AB$65000,$B1164,AH$5)="",2,0)),0)</f>
        <v>0</v>
      </c>
      <c r="AI1164" s="313">
        <f>IFERROR(IF(INDEX([1]Pivot!$BF$1:$CG$65000,$B1164,AI$5)=1,1,IF(INDEX([1]Pivot!$B$1:$AB$65000,$B1164,AI$5)="",2,0)),0)</f>
        <v>0</v>
      </c>
      <c r="AJ1164" s="313">
        <f>IFERROR(IF(INDEX([1]Pivot!$BF$1:$CG$65000,$B1164,AJ$5)=1,1,IF(INDEX([1]Pivot!$B$1:$AB$65000,$B1164,AJ$5)="",2,0)),0)</f>
        <v>0</v>
      </c>
      <c r="AK1164" s="313">
        <f>IFERROR(IF(INDEX([1]Pivot!$BF$1:$CG$65000,$B1164,AK$5)=1,1,IF(INDEX([1]Pivot!$B$1:$AB$65000,$B1164,AK$5)="",2,0)),0)</f>
        <v>0</v>
      </c>
      <c r="AL1164" s="313">
        <f>IFERROR(IF(INDEX([1]Pivot!$BF$1:$CG$65000,$B1164,AL$5)=1,1,IF(INDEX([1]Pivot!$B$1:$AB$65000,$B1164,AL$5)="",2,0)),0)</f>
        <v>0</v>
      </c>
      <c r="AM1164" s="313">
        <f>IFERROR(IF(INDEX([1]Pivot!$BF$1:$CG$65000,$B1164,AM$5)=1,1,IF(INDEX([1]Pivot!$B$1:$AB$65000,$B1164,AM$5)="",2,0)),0)</f>
        <v>0</v>
      </c>
      <c r="AN1164" s="313">
        <f>IFERROR(IF(INDEX([1]Pivot!$BF$1:$CG$65000,$B1164,AN$5)=1,1,IF(INDEX([1]Pivot!$B$1:$AB$65000,$B1164,AN$5)="",2,0)),0)</f>
        <v>0</v>
      </c>
      <c r="AO1164" s="313">
        <f>IFERROR(IF(INDEX([1]Pivot!$BF$1:$CG$65000,$B1164,AO$5)=1,1,IF(INDEX([1]Pivot!$B$1:$AB$65000,$B1164,AO$5)="",2,0)),0)</f>
        <v>0</v>
      </c>
      <c r="AP1164" s="313">
        <f>IFERROR(IF(INDEX([1]Pivot!$BF$1:$CG$65000,$B1164,AP$5)=1,1,IF(INDEX([1]Pivot!$B$1:$AB$65000,$B1164,AP$5)="",2,0)),0)</f>
        <v>0</v>
      </c>
      <c r="AQ1164" s="313">
        <f>IFERROR(IF(INDEX([1]Pivot!$BF$1:$CG$65000,$B1164,AQ$5)=1,1,IF(INDEX([1]Pivot!$B$1:$AB$65000,$B1164,AQ$5)="",2,0)),0)</f>
        <v>0</v>
      </c>
      <c r="AR1164" s="313">
        <f>IFERROR(IF(INDEX([1]Pivot!$BF$1:$CG$65000,$B1164,AR$5)=1,1,IF(INDEX([1]Pivot!$B$1:$AB$65000,$B1164,AR$5)="",2,0)),0)</f>
        <v>0</v>
      </c>
      <c r="AS1164" s="312"/>
      <c r="AT1164" s="313">
        <f>IFERROR(IF(INDEX([1]Pivot!$BF$1:$CG$65000,$B1164,AT$5)=1,1,IF(INDEX([1]Pivot!$B$1:$AB$65000,$B1164,AT$5)="",2,0)),0)</f>
        <v>0</v>
      </c>
      <c r="AU1164" s="313">
        <f>IFERROR(IF(INDEX([1]Pivot!$BF$1:$CG$65000,$B1164,AU$5)=1,1,IF(INDEX([1]Pivot!$B$1:$AB$65000,$B1164,AU$5)="",2,0)),0)</f>
        <v>0</v>
      </c>
      <c r="AV1164" s="313">
        <f>IFERROR(IF(INDEX([1]Pivot!$BF$1:$CG$65000,$B1164,AV$5)=1,1,IF(INDEX([1]Pivot!$B$1:$AB$65000,$B1164,AV$5)="",2,0)),0)</f>
        <v>0</v>
      </c>
      <c r="AW1164" s="313">
        <f>IFERROR(IF(INDEX([1]Pivot!$BF$1:$CG$65000,$B1164,AW$5)=1,1,IF(INDEX([1]Pivot!$B$1:$AB$65000,$B1164,AW$5)="",2,0)),0)</f>
        <v>0</v>
      </c>
      <c r="AX1164" s="313">
        <f>IFERROR(IF(INDEX([1]Pivot!$BF$1:$CG$65000,$B1164,AX$5)=1,1,IF(INDEX([1]Pivot!$B$1:$AB$65000,$B1164,AX$5)="",2,0)),0)</f>
        <v>0</v>
      </c>
      <c r="AY1164" s="313">
        <f>IFERROR(IF(INDEX([1]Pivot!$BF$1:$CG$65000,$B1164,AY$5)=1,1,IF(INDEX([1]Pivot!$B$1:$AB$65000,$B1164,AY$5)="",2,0)),0)</f>
        <v>0</v>
      </c>
      <c r="AZ1164" s="313">
        <f>IFERROR(IF(INDEX([1]Pivot!$BF$1:$CG$65000,$B1164,AZ$5)=1,1,IF(INDEX([1]Pivot!$B$1:$AB$65000,$B1164,AZ$5)="",2,0)),0)</f>
        <v>0</v>
      </c>
      <c r="BA1164" s="313">
        <f>IFERROR(IF(INDEX([1]Pivot!$BF$1:$CG$65000,$B1164,BA$5)=1,1,IF(INDEX([1]Pivot!$B$1:$AB$65000,$B1164,BA$5)="",2,0)),0)</f>
        <v>0</v>
      </c>
      <c r="BB1164" s="313">
        <f>IFERROR(IF(INDEX([1]Pivot!$BF$1:$CG$65000,$B1164,BB$5)=1,1,IF(INDEX([1]Pivot!$B$1:$AB$65000,$B1164,BB$5)="",2,0)),0)</f>
        <v>0</v>
      </c>
      <c r="BC1164" s="313">
        <f>IFERROR(IF(INDEX([1]Pivot!$BF$1:$CG$65000,$B1164,BC$5)=1,1,IF(INDEX([1]Pivot!$B$1:$AB$65000,$B1164,BC$5)="",2,0)),0)</f>
        <v>0</v>
      </c>
      <c r="BD1164" s="313">
        <f>IFERROR(IF(INDEX([1]Pivot!$BF$1:$CG$65000,$B1164,BD$5)=1,1,IF(INDEX([1]Pivot!$B$1:$AB$65000,$B1164,BD$5)="",2,0)),0)</f>
        <v>0</v>
      </c>
    </row>
    <row r="1165" spans="1:56" x14ac:dyDescent="0.25">
      <c r="A1165" s="288">
        <f>'[2]Raw Milk Prices'!A1165</f>
        <v>0</v>
      </c>
      <c r="B1165" s="296" t="e">
        <f>MATCH(DATE(LEFT('[2]Raw Milk Prices'!$A1165,4),RIGHT('[2]Raw Milk Prices'!$A1165,2),1),[1]Pivot!$A$1:$A$65000,0)</f>
        <v>#VALUE!</v>
      </c>
      <c r="C1165" s="194">
        <f>IFERROR(IF(INDEX([1]Pivot!$AD$1:$BE$65000,$B1165,C$5)=1,1,IF(INDEX([1]Pivot!$B$1:$AB$65000,$B1165,C$5)="",2,0)),0)</f>
        <v>0</v>
      </c>
      <c r="D1165" s="194">
        <f>IFERROR(IF(INDEX([1]Pivot!$AD$1:$BE$65000,$B1165,D$5)=1,1,IF(INDEX([1]Pivot!$B$1:$AB$65000,$B1165,D$5)="",2,0)),0)</f>
        <v>0</v>
      </c>
      <c r="E1165" s="194">
        <f>IFERROR(IF(INDEX([1]Pivot!$AD$1:$BE$65000,$B1165,E$5)=1,1,IF(INDEX([1]Pivot!$B$1:$AB$65000,$B1165,E$5)="",2,0)),0)</f>
        <v>0</v>
      </c>
      <c r="F1165" s="194">
        <f>IFERROR(IF(INDEX([1]Pivot!$AD$1:$BE$65000,$B1165,F$5)=1,1,IF(INDEX([1]Pivot!$B$1:$AB$65000,$B1165,F$5)="",2,0)),0)</f>
        <v>0</v>
      </c>
      <c r="G1165" s="194">
        <f>IFERROR(IF(INDEX([1]Pivot!$AD$1:$BE$65000,$B1165,G$5)=1,1,IF(INDEX([1]Pivot!$B$1:$AB$65000,$B1165,G$5)="",2,0)),0)</f>
        <v>0</v>
      </c>
      <c r="H1165" s="194">
        <f>IFERROR(IF(INDEX([1]Pivot!$AD$1:$BE$65000,$B1165,H$5)=1,1,IF(INDEX([1]Pivot!$B$1:$AB$65000,$B1165,H$5)="",2,0)),0)</f>
        <v>0</v>
      </c>
      <c r="I1165" s="194">
        <f>IFERROR(IF(INDEX([1]Pivot!$AD$1:$BE$65000,$B1165,I$5)=1,1,IF(INDEX([1]Pivot!$B$1:$AB$65000,$B1165,I$5)="",2,0)),0)</f>
        <v>0</v>
      </c>
      <c r="J1165" s="194">
        <f>IFERROR(IF(INDEX([1]Pivot!$AD$1:$BE$65000,$B1165,J$5)=1,1,IF(INDEX([1]Pivot!$B$1:$AB$65000,$B1165,J$5)="",2,0)),0)</f>
        <v>0</v>
      </c>
      <c r="K1165" s="194">
        <f>IFERROR(IF(INDEX([1]Pivot!$AD$1:$BE$65000,$B1165,K$5)=1,1,IF(INDEX([1]Pivot!$B$1:$AB$65000,$B1165,K$5)="",2,0)),0)</f>
        <v>0</v>
      </c>
      <c r="L1165" s="194">
        <f>IFERROR(IF(INDEX([1]Pivot!$AD$1:$BE$65000,$B1165,L$5)=1,1,IF(INDEX([1]Pivot!$B$1:$AB$65000,$B1165,L$5)="",2,0)),0)</f>
        <v>0</v>
      </c>
      <c r="M1165" s="194">
        <f>IFERROR(IF(INDEX([1]Pivot!$AD$1:$BE$65000,$B1165,M$5)=1,1,IF(INDEX([1]Pivot!$B$1:$AB$65000,$B1165,M$5)="",2,0)),0)</f>
        <v>0</v>
      </c>
      <c r="N1165" s="194">
        <f>IFERROR(IF(INDEX([1]Pivot!$AD$1:$BE$65000,$B1165,N$5)=1,1,IF(INDEX([1]Pivot!$B$1:$AB$65000,$B1165,N$5)="",2,0)),0)</f>
        <v>0</v>
      </c>
      <c r="O1165" s="194">
        <f>IFERROR(IF(INDEX([1]Pivot!$AD$1:$BE$65000,$B1165,O$5)=1,1,IF(INDEX([1]Pivot!$B$1:$AB$65000,$B1165,O$5)="",2,0)),0)</f>
        <v>0</v>
      </c>
      <c r="P1165" s="194">
        <f>IFERROR(IF(INDEX([1]Pivot!$AD$1:$BE$65000,$B1165,P$5)=1,1,IF(INDEX([1]Pivot!$B$1:$AB$65000,$B1165,P$5)="",2,0)),0)</f>
        <v>0</v>
      </c>
      <c r="Q1165" s="194">
        <f>IFERROR(IF(INDEX([1]Pivot!$AD$1:$BE$65000,$B1165,Q$5)=1,1,IF(INDEX([1]Pivot!$B$1:$AB$65000,$B1165,Q$5)="",2,0)),0)</f>
        <v>0</v>
      </c>
      <c r="R1165" s="312"/>
      <c r="S1165" s="194">
        <f>IFERROR(IF(INDEX([1]Pivot!$AD$1:$BE$65000,$B1165,S$5)=1,1,IF(INDEX([1]Pivot!$B$1:$AB$65000,$B1165,S$5)="",2,0)),0)</f>
        <v>0</v>
      </c>
      <c r="T1165" s="194">
        <f>IFERROR(IF(INDEX([1]Pivot!$AD$1:$BE$65000,$B1165,T$5)=1,1,IF(INDEX([1]Pivot!$B$1:$AB$65000,$B1165,T$5)="",2,0)),0)</f>
        <v>0</v>
      </c>
      <c r="U1165" s="194">
        <f>IFERROR(IF(INDEX([1]Pivot!$AD$1:$BE$65000,$B1165,U$5)=1,1,IF(INDEX([1]Pivot!$B$1:$AB$65000,$B1165,U$5)="",2,0)),0)</f>
        <v>0</v>
      </c>
      <c r="V1165" s="194">
        <f>IFERROR(IF(INDEX([1]Pivot!$AD$1:$BE$65000,$B1165,V$5)=1,1,IF(INDEX([1]Pivot!$B$1:$AB$65000,$B1165,V$5)="",2,0)),0)</f>
        <v>0</v>
      </c>
      <c r="W1165" s="194">
        <f>IFERROR(IF(INDEX([1]Pivot!$AD$1:$BE$65000,$B1165,W$5)=1,1,IF(INDEX([1]Pivot!$B$1:$AB$65000,$B1165,W$5)="",2,0)),0)</f>
        <v>0</v>
      </c>
      <c r="X1165" s="194">
        <f>IFERROR(IF(INDEX([1]Pivot!$AD$1:$BE$65000,$B1165,X$5)=1,1,IF(INDEX([1]Pivot!$B$1:$AB$65000,$B1165,X$5)="",2,0)),0)</f>
        <v>0</v>
      </c>
      <c r="Y1165" s="194">
        <f>IFERROR(IF(INDEX([1]Pivot!$AD$1:$BE$65000,$B1165,Y$5)=1,1,IF(INDEX([1]Pivot!$B$1:$AB$65000,$B1165,Y$5)="",2,0)),0)</f>
        <v>0</v>
      </c>
      <c r="Z1165" s="194">
        <f>IFERROR(IF(INDEX([1]Pivot!$AD$1:$BE$65000,$B1165,Z$5)=1,1,IF(INDEX([1]Pivot!$B$1:$AB$65000,$B1165,Z$5)="",2,0)),0)</f>
        <v>0</v>
      </c>
      <c r="AA1165" s="194">
        <f>IFERROR(IF(INDEX([1]Pivot!$AD$1:$BE$65000,$B1165,AA$5)=1,1,IF(INDEX([1]Pivot!$B$1:$AB$65000,$B1165,AA$5)="",2,0)),0)</f>
        <v>0</v>
      </c>
      <c r="AB1165" s="194">
        <f>IFERROR(IF(INDEX([1]Pivot!$AD$1:$BE$65000,$B1165,AB$5)=1,1,IF(INDEX([1]Pivot!$B$1:$AB$65000,$B1165,AB$5)="",2,0)),0)</f>
        <v>0</v>
      </c>
      <c r="AC1165" s="194">
        <f>IFERROR(IF(INDEX([1]Pivot!$AD$1:$BE$65000,$B1165,AC$5)=1,1,IF(INDEX([1]Pivot!$B$1:$AB$65000,$B1165,AC$5)="",2,0)),0)</f>
        <v>0</v>
      </c>
      <c r="AD1165" s="313">
        <f>IFERROR(IF(INDEX([1]Pivot!$BF$1:$CG$65000,$B1165,AD$5)=1,1,IF(INDEX([1]Pivot!$B$1:$AB$65000,$B1165,AD$5)="",2,0)),0)</f>
        <v>0</v>
      </c>
      <c r="AE1165" s="313">
        <f>IFERROR(IF(INDEX([1]Pivot!$BF$1:$CG$65000,$B1165,AE$5)=1,1,IF(INDEX([1]Pivot!$B$1:$AB$65000,$B1165,AE$5)="",2,0)),0)</f>
        <v>0</v>
      </c>
      <c r="AF1165" s="313">
        <f>IFERROR(IF(INDEX([1]Pivot!$BF$1:$CG$65000,$B1165,AF$5)=1,1,IF(INDEX([1]Pivot!$B$1:$AB$65000,$B1165,AF$5)="",2,0)),0)</f>
        <v>0</v>
      </c>
      <c r="AG1165" s="313">
        <f>IFERROR(IF(INDEX([1]Pivot!$BF$1:$CG$65000,$B1165,AG$5)=1,1,IF(INDEX([1]Pivot!$B$1:$AB$65000,$B1165,AG$5)="",2,0)),0)</f>
        <v>0</v>
      </c>
      <c r="AH1165" s="313">
        <f>IFERROR(IF(INDEX([1]Pivot!$BF$1:$CG$65000,$B1165,AH$5)=1,1,IF(INDEX([1]Pivot!$B$1:$AB$65000,$B1165,AH$5)="",2,0)),0)</f>
        <v>0</v>
      </c>
      <c r="AI1165" s="313">
        <f>IFERROR(IF(INDEX([1]Pivot!$BF$1:$CG$65000,$B1165,AI$5)=1,1,IF(INDEX([1]Pivot!$B$1:$AB$65000,$B1165,AI$5)="",2,0)),0)</f>
        <v>0</v>
      </c>
      <c r="AJ1165" s="313">
        <f>IFERROR(IF(INDEX([1]Pivot!$BF$1:$CG$65000,$B1165,AJ$5)=1,1,IF(INDEX([1]Pivot!$B$1:$AB$65000,$B1165,AJ$5)="",2,0)),0)</f>
        <v>0</v>
      </c>
      <c r="AK1165" s="313">
        <f>IFERROR(IF(INDEX([1]Pivot!$BF$1:$CG$65000,$B1165,AK$5)=1,1,IF(INDEX([1]Pivot!$B$1:$AB$65000,$B1165,AK$5)="",2,0)),0)</f>
        <v>0</v>
      </c>
      <c r="AL1165" s="313">
        <f>IFERROR(IF(INDEX([1]Pivot!$BF$1:$CG$65000,$B1165,AL$5)=1,1,IF(INDEX([1]Pivot!$B$1:$AB$65000,$B1165,AL$5)="",2,0)),0)</f>
        <v>0</v>
      </c>
      <c r="AM1165" s="313">
        <f>IFERROR(IF(INDEX([1]Pivot!$BF$1:$CG$65000,$B1165,AM$5)=1,1,IF(INDEX([1]Pivot!$B$1:$AB$65000,$B1165,AM$5)="",2,0)),0)</f>
        <v>0</v>
      </c>
      <c r="AN1165" s="313">
        <f>IFERROR(IF(INDEX([1]Pivot!$BF$1:$CG$65000,$B1165,AN$5)=1,1,IF(INDEX([1]Pivot!$B$1:$AB$65000,$B1165,AN$5)="",2,0)),0)</f>
        <v>0</v>
      </c>
      <c r="AO1165" s="313">
        <f>IFERROR(IF(INDEX([1]Pivot!$BF$1:$CG$65000,$B1165,AO$5)=1,1,IF(INDEX([1]Pivot!$B$1:$AB$65000,$B1165,AO$5)="",2,0)),0)</f>
        <v>0</v>
      </c>
      <c r="AP1165" s="313">
        <f>IFERROR(IF(INDEX([1]Pivot!$BF$1:$CG$65000,$B1165,AP$5)=1,1,IF(INDEX([1]Pivot!$B$1:$AB$65000,$B1165,AP$5)="",2,0)),0)</f>
        <v>0</v>
      </c>
      <c r="AQ1165" s="313">
        <f>IFERROR(IF(INDEX([1]Pivot!$BF$1:$CG$65000,$B1165,AQ$5)=1,1,IF(INDEX([1]Pivot!$B$1:$AB$65000,$B1165,AQ$5)="",2,0)),0)</f>
        <v>0</v>
      </c>
      <c r="AR1165" s="313">
        <f>IFERROR(IF(INDEX([1]Pivot!$BF$1:$CG$65000,$B1165,AR$5)=1,1,IF(INDEX([1]Pivot!$B$1:$AB$65000,$B1165,AR$5)="",2,0)),0)</f>
        <v>0</v>
      </c>
      <c r="AS1165" s="312"/>
      <c r="AT1165" s="313">
        <f>IFERROR(IF(INDEX([1]Pivot!$BF$1:$CG$65000,$B1165,AT$5)=1,1,IF(INDEX([1]Pivot!$B$1:$AB$65000,$B1165,AT$5)="",2,0)),0)</f>
        <v>0</v>
      </c>
      <c r="AU1165" s="313">
        <f>IFERROR(IF(INDEX([1]Pivot!$BF$1:$CG$65000,$B1165,AU$5)=1,1,IF(INDEX([1]Pivot!$B$1:$AB$65000,$B1165,AU$5)="",2,0)),0)</f>
        <v>0</v>
      </c>
      <c r="AV1165" s="313">
        <f>IFERROR(IF(INDEX([1]Pivot!$BF$1:$CG$65000,$B1165,AV$5)=1,1,IF(INDEX([1]Pivot!$B$1:$AB$65000,$B1165,AV$5)="",2,0)),0)</f>
        <v>0</v>
      </c>
      <c r="AW1165" s="313">
        <f>IFERROR(IF(INDEX([1]Pivot!$BF$1:$CG$65000,$B1165,AW$5)=1,1,IF(INDEX([1]Pivot!$B$1:$AB$65000,$B1165,AW$5)="",2,0)),0)</f>
        <v>0</v>
      </c>
      <c r="AX1165" s="313">
        <f>IFERROR(IF(INDEX([1]Pivot!$BF$1:$CG$65000,$B1165,AX$5)=1,1,IF(INDEX([1]Pivot!$B$1:$AB$65000,$B1165,AX$5)="",2,0)),0)</f>
        <v>0</v>
      </c>
      <c r="AY1165" s="313">
        <f>IFERROR(IF(INDEX([1]Pivot!$BF$1:$CG$65000,$B1165,AY$5)=1,1,IF(INDEX([1]Pivot!$B$1:$AB$65000,$B1165,AY$5)="",2,0)),0)</f>
        <v>0</v>
      </c>
      <c r="AZ1165" s="313">
        <f>IFERROR(IF(INDEX([1]Pivot!$BF$1:$CG$65000,$B1165,AZ$5)=1,1,IF(INDEX([1]Pivot!$B$1:$AB$65000,$B1165,AZ$5)="",2,0)),0)</f>
        <v>0</v>
      </c>
      <c r="BA1165" s="313">
        <f>IFERROR(IF(INDEX([1]Pivot!$BF$1:$CG$65000,$B1165,BA$5)=1,1,IF(INDEX([1]Pivot!$B$1:$AB$65000,$B1165,BA$5)="",2,0)),0)</f>
        <v>0</v>
      </c>
      <c r="BB1165" s="313">
        <f>IFERROR(IF(INDEX([1]Pivot!$BF$1:$CG$65000,$B1165,BB$5)=1,1,IF(INDEX([1]Pivot!$B$1:$AB$65000,$B1165,BB$5)="",2,0)),0)</f>
        <v>0</v>
      </c>
      <c r="BC1165" s="313">
        <f>IFERROR(IF(INDEX([1]Pivot!$BF$1:$CG$65000,$B1165,BC$5)=1,1,IF(INDEX([1]Pivot!$B$1:$AB$65000,$B1165,BC$5)="",2,0)),0)</f>
        <v>0</v>
      </c>
      <c r="BD1165" s="313">
        <f>IFERROR(IF(INDEX([1]Pivot!$BF$1:$CG$65000,$B1165,BD$5)=1,1,IF(INDEX([1]Pivot!$B$1:$AB$65000,$B1165,BD$5)="",2,0)),0)</f>
        <v>0</v>
      </c>
    </row>
    <row r="1166" spans="1:56" x14ac:dyDescent="0.25">
      <c r="A1166" s="288">
        <f>'[2]Raw Milk Prices'!A1166</f>
        <v>0</v>
      </c>
      <c r="B1166" s="296" t="e">
        <f>MATCH(DATE(LEFT('[2]Raw Milk Prices'!$A1166,4),RIGHT('[2]Raw Milk Prices'!$A1166,2),1),[1]Pivot!$A$1:$A$65000,0)</f>
        <v>#VALUE!</v>
      </c>
      <c r="C1166" s="194">
        <f>IFERROR(IF(INDEX([1]Pivot!$AD$1:$BE$65000,$B1166,C$5)=1,1,IF(INDEX([1]Pivot!$B$1:$AB$65000,$B1166,C$5)="",2,0)),0)</f>
        <v>0</v>
      </c>
      <c r="D1166" s="194">
        <f>IFERROR(IF(INDEX([1]Pivot!$AD$1:$BE$65000,$B1166,D$5)=1,1,IF(INDEX([1]Pivot!$B$1:$AB$65000,$B1166,D$5)="",2,0)),0)</f>
        <v>0</v>
      </c>
      <c r="E1166" s="194">
        <f>IFERROR(IF(INDEX([1]Pivot!$AD$1:$BE$65000,$B1166,E$5)=1,1,IF(INDEX([1]Pivot!$B$1:$AB$65000,$B1166,E$5)="",2,0)),0)</f>
        <v>0</v>
      </c>
      <c r="F1166" s="194">
        <f>IFERROR(IF(INDEX([1]Pivot!$AD$1:$BE$65000,$B1166,F$5)=1,1,IF(INDEX([1]Pivot!$B$1:$AB$65000,$B1166,F$5)="",2,0)),0)</f>
        <v>0</v>
      </c>
      <c r="G1166" s="194">
        <f>IFERROR(IF(INDEX([1]Pivot!$AD$1:$BE$65000,$B1166,G$5)=1,1,IF(INDEX([1]Pivot!$B$1:$AB$65000,$B1166,G$5)="",2,0)),0)</f>
        <v>0</v>
      </c>
      <c r="H1166" s="194">
        <f>IFERROR(IF(INDEX([1]Pivot!$AD$1:$BE$65000,$B1166,H$5)=1,1,IF(INDEX([1]Pivot!$B$1:$AB$65000,$B1166,H$5)="",2,0)),0)</f>
        <v>0</v>
      </c>
      <c r="I1166" s="194">
        <f>IFERROR(IF(INDEX([1]Pivot!$AD$1:$BE$65000,$B1166,I$5)=1,1,IF(INDEX([1]Pivot!$B$1:$AB$65000,$B1166,I$5)="",2,0)),0)</f>
        <v>0</v>
      </c>
      <c r="J1166" s="194">
        <f>IFERROR(IF(INDEX([1]Pivot!$AD$1:$BE$65000,$B1166,J$5)=1,1,IF(INDEX([1]Pivot!$B$1:$AB$65000,$B1166,J$5)="",2,0)),0)</f>
        <v>0</v>
      </c>
      <c r="K1166" s="194">
        <f>IFERROR(IF(INDEX([1]Pivot!$AD$1:$BE$65000,$B1166,K$5)=1,1,IF(INDEX([1]Pivot!$B$1:$AB$65000,$B1166,K$5)="",2,0)),0)</f>
        <v>0</v>
      </c>
      <c r="L1166" s="194">
        <f>IFERROR(IF(INDEX([1]Pivot!$AD$1:$BE$65000,$B1166,L$5)=1,1,IF(INDEX([1]Pivot!$B$1:$AB$65000,$B1166,L$5)="",2,0)),0)</f>
        <v>0</v>
      </c>
      <c r="M1166" s="194">
        <f>IFERROR(IF(INDEX([1]Pivot!$AD$1:$BE$65000,$B1166,M$5)=1,1,IF(INDEX([1]Pivot!$B$1:$AB$65000,$B1166,M$5)="",2,0)),0)</f>
        <v>0</v>
      </c>
      <c r="N1166" s="194">
        <f>IFERROR(IF(INDEX([1]Pivot!$AD$1:$BE$65000,$B1166,N$5)=1,1,IF(INDEX([1]Pivot!$B$1:$AB$65000,$B1166,N$5)="",2,0)),0)</f>
        <v>0</v>
      </c>
      <c r="O1166" s="194">
        <f>IFERROR(IF(INDEX([1]Pivot!$AD$1:$BE$65000,$B1166,O$5)=1,1,IF(INDEX([1]Pivot!$B$1:$AB$65000,$B1166,O$5)="",2,0)),0)</f>
        <v>0</v>
      </c>
      <c r="P1166" s="194">
        <f>IFERROR(IF(INDEX([1]Pivot!$AD$1:$BE$65000,$B1166,P$5)=1,1,IF(INDEX([1]Pivot!$B$1:$AB$65000,$B1166,P$5)="",2,0)),0)</f>
        <v>0</v>
      </c>
      <c r="Q1166" s="194">
        <f>IFERROR(IF(INDEX([1]Pivot!$AD$1:$BE$65000,$B1166,Q$5)=1,1,IF(INDEX([1]Pivot!$B$1:$AB$65000,$B1166,Q$5)="",2,0)),0)</f>
        <v>0</v>
      </c>
      <c r="R1166" s="312"/>
      <c r="S1166" s="194">
        <f>IFERROR(IF(INDEX([1]Pivot!$AD$1:$BE$65000,$B1166,S$5)=1,1,IF(INDEX([1]Pivot!$B$1:$AB$65000,$B1166,S$5)="",2,0)),0)</f>
        <v>0</v>
      </c>
      <c r="T1166" s="194">
        <f>IFERROR(IF(INDEX([1]Pivot!$AD$1:$BE$65000,$B1166,T$5)=1,1,IF(INDEX([1]Pivot!$B$1:$AB$65000,$B1166,T$5)="",2,0)),0)</f>
        <v>0</v>
      </c>
      <c r="U1166" s="194">
        <f>IFERROR(IF(INDEX([1]Pivot!$AD$1:$BE$65000,$B1166,U$5)=1,1,IF(INDEX([1]Pivot!$B$1:$AB$65000,$B1166,U$5)="",2,0)),0)</f>
        <v>0</v>
      </c>
      <c r="V1166" s="194">
        <f>IFERROR(IF(INDEX([1]Pivot!$AD$1:$BE$65000,$B1166,V$5)=1,1,IF(INDEX([1]Pivot!$B$1:$AB$65000,$B1166,V$5)="",2,0)),0)</f>
        <v>0</v>
      </c>
      <c r="W1166" s="194">
        <f>IFERROR(IF(INDEX([1]Pivot!$AD$1:$BE$65000,$B1166,W$5)=1,1,IF(INDEX([1]Pivot!$B$1:$AB$65000,$B1166,W$5)="",2,0)),0)</f>
        <v>0</v>
      </c>
      <c r="X1166" s="194">
        <f>IFERROR(IF(INDEX([1]Pivot!$AD$1:$BE$65000,$B1166,X$5)=1,1,IF(INDEX([1]Pivot!$B$1:$AB$65000,$B1166,X$5)="",2,0)),0)</f>
        <v>0</v>
      </c>
      <c r="Y1166" s="194">
        <f>IFERROR(IF(INDEX([1]Pivot!$AD$1:$BE$65000,$B1166,Y$5)=1,1,IF(INDEX([1]Pivot!$B$1:$AB$65000,$B1166,Y$5)="",2,0)),0)</f>
        <v>0</v>
      </c>
      <c r="Z1166" s="194">
        <f>IFERROR(IF(INDEX([1]Pivot!$AD$1:$BE$65000,$B1166,Z$5)=1,1,IF(INDEX([1]Pivot!$B$1:$AB$65000,$B1166,Z$5)="",2,0)),0)</f>
        <v>0</v>
      </c>
      <c r="AA1166" s="194">
        <f>IFERROR(IF(INDEX([1]Pivot!$AD$1:$BE$65000,$B1166,AA$5)=1,1,IF(INDEX([1]Pivot!$B$1:$AB$65000,$B1166,AA$5)="",2,0)),0)</f>
        <v>0</v>
      </c>
      <c r="AB1166" s="194">
        <f>IFERROR(IF(INDEX([1]Pivot!$AD$1:$BE$65000,$B1166,AB$5)=1,1,IF(INDEX([1]Pivot!$B$1:$AB$65000,$B1166,AB$5)="",2,0)),0)</f>
        <v>0</v>
      </c>
      <c r="AC1166" s="194">
        <f>IFERROR(IF(INDEX([1]Pivot!$AD$1:$BE$65000,$B1166,AC$5)=1,1,IF(INDEX([1]Pivot!$B$1:$AB$65000,$B1166,AC$5)="",2,0)),0)</f>
        <v>0</v>
      </c>
      <c r="AD1166" s="313">
        <f>IFERROR(IF(INDEX([1]Pivot!$BF$1:$CG$65000,$B1166,AD$5)=1,1,IF(INDEX([1]Pivot!$B$1:$AB$65000,$B1166,AD$5)="",2,0)),0)</f>
        <v>0</v>
      </c>
      <c r="AE1166" s="313">
        <f>IFERROR(IF(INDEX([1]Pivot!$BF$1:$CG$65000,$B1166,AE$5)=1,1,IF(INDEX([1]Pivot!$B$1:$AB$65000,$B1166,AE$5)="",2,0)),0)</f>
        <v>0</v>
      </c>
      <c r="AF1166" s="313">
        <f>IFERROR(IF(INDEX([1]Pivot!$BF$1:$CG$65000,$B1166,AF$5)=1,1,IF(INDEX([1]Pivot!$B$1:$AB$65000,$B1166,AF$5)="",2,0)),0)</f>
        <v>0</v>
      </c>
      <c r="AG1166" s="313">
        <f>IFERROR(IF(INDEX([1]Pivot!$BF$1:$CG$65000,$B1166,AG$5)=1,1,IF(INDEX([1]Pivot!$B$1:$AB$65000,$B1166,AG$5)="",2,0)),0)</f>
        <v>0</v>
      </c>
      <c r="AH1166" s="313">
        <f>IFERROR(IF(INDEX([1]Pivot!$BF$1:$CG$65000,$B1166,AH$5)=1,1,IF(INDEX([1]Pivot!$B$1:$AB$65000,$B1166,AH$5)="",2,0)),0)</f>
        <v>0</v>
      </c>
      <c r="AI1166" s="313">
        <f>IFERROR(IF(INDEX([1]Pivot!$BF$1:$CG$65000,$B1166,AI$5)=1,1,IF(INDEX([1]Pivot!$B$1:$AB$65000,$B1166,AI$5)="",2,0)),0)</f>
        <v>0</v>
      </c>
      <c r="AJ1166" s="313">
        <f>IFERROR(IF(INDEX([1]Pivot!$BF$1:$CG$65000,$B1166,AJ$5)=1,1,IF(INDEX([1]Pivot!$B$1:$AB$65000,$B1166,AJ$5)="",2,0)),0)</f>
        <v>0</v>
      </c>
      <c r="AK1166" s="313">
        <f>IFERROR(IF(INDEX([1]Pivot!$BF$1:$CG$65000,$B1166,AK$5)=1,1,IF(INDEX([1]Pivot!$B$1:$AB$65000,$B1166,AK$5)="",2,0)),0)</f>
        <v>0</v>
      </c>
      <c r="AL1166" s="313">
        <f>IFERROR(IF(INDEX([1]Pivot!$BF$1:$CG$65000,$B1166,AL$5)=1,1,IF(INDEX([1]Pivot!$B$1:$AB$65000,$B1166,AL$5)="",2,0)),0)</f>
        <v>0</v>
      </c>
      <c r="AM1166" s="313">
        <f>IFERROR(IF(INDEX([1]Pivot!$BF$1:$CG$65000,$B1166,AM$5)=1,1,IF(INDEX([1]Pivot!$B$1:$AB$65000,$B1166,AM$5)="",2,0)),0)</f>
        <v>0</v>
      </c>
      <c r="AN1166" s="313">
        <f>IFERROR(IF(INDEX([1]Pivot!$BF$1:$CG$65000,$B1166,AN$5)=1,1,IF(INDEX([1]Pivot!$B$1:$AB$65000,$B1166,AN$5)="",2,0)),0)</f>
        <v>0</v>
      </c>
      <c r="AO1166" s="313">
        <f>IFERROR(IF(INDEX([1]Pivot!$BF$1:$CG$65000,$B1166,AO$5)=1,1,IF(INDEX([1]Pivot!$B$1:$AB$65000,$B1166,AO$5)="",2,0)),0)</f>
        <v>0</v>
      </c>
      <c r="AP1166" s="313">
        <f>IFERROR(IF(INDEX([1]Pivot!$BF$1:$CG$65000,$B1166,AP$5)=1,1,IF(INDEX([1]Pivot!$B$1:$AB$65000,$B1166,AP$5)="",2,0)),0)</f>
        <v>0</v>
      </c>
      <c r="AQ1166" s="313">
        <f>IFERROR(IF(INDEX([1]Pivot!$BF$1:$CG$65000,$B1166,AQ$5)=1,1,IF(INDEX([1]Pivot!$B$1:$AB$65000,$B1166,AQ$5)="",2,0)),0)</f>
        <v>0</v>
      </c>
      <c r="AR1166" s="313">
        <f>IFERROR(IF(INDEX([1]Pivot!$BF$1:$CG$65000,$B1166,AR$5)=1,1,IF(INDEX([1]Pivot!$B$1:$AB$65000,$B1166,AR$5)="",2,0)),0)</f>
        <v>0</v>
      </c>
      <c r="AS1166" s="312"/>
      <c r="AT1166" s="313">
        <f>IFERROR(IF(INDEX([1]Pivot!$BF$1:$CG$65000,$B1166,AT$5)=1,1,IF(INDEX([1]Pivot!$B$1:$AB$65000,$B1166,AT$5)="",2,0)),0)</f>
        <v>0</v>
      </c>
      <c r="AU1166" s="313">
        <f>IFERROR(IF(INDEX([1]Pivot!$BF$1:$CG$65000,$B1166,AU$5)=1,1,IF(INDEX([1]Pivot!$B$1:$AB$65000,$B1166,AU$5)="",2,0)),0)</f>
        <v>0</v>
      </c>
      <c r="AV1166" s="313">
        <f>IFERROR(IF(INDEX([1]Pivot!$BF$1:$CG$65000,$B1166,AV$5)=1,1,IF(INDEX([1]Pivot!$B$1:$AB$65000,$B1166,AV$5)="",2,0)),0)</f>
        <v>0</v>
      </c>
      <c r="AW1166" s="313">
        <f>IFERROR(IF(INDEX([1]Pivot!$BF$1:$CG$65000,$B1166,AW$5)=1,1,IF(INDEX([1]Pivot!$B$1:$AB$65000,$B1166,AW$5)="",2,0)),0)</f>
        <v>0</v>
      </c>
      <c r="AX1166" s="313">
        <f>IFERROR(IF(INDEX([1]Pivot!$BF$1:$CG$65000,$B1166,AX$5)=1,1,IF(INDEX([1]Pivot!$B$1:$AB$65000,$B1166,AX$5)="",2,0)),0)</f>
        <v>0</v>
      </c>
      <c r="AY1166" s="313">
        <f>IFERROR(IF(INDEX([1]Pivot!$BF$1:$CG$65000,$B1166,AY$5)=1,1,IF(INDEX([1]Pivot!$B$1:$AB$65000,$B1166,AY$5)="",2,0)),0)</f>
        <v>0</v>
      </c>
      <c r="AZ1166" s="313">
        <f>IFERROR(IF(INDEX([1]Pivot!$BF$1:$CG$65000,$B1166,AZ$5)=1,1,IF(INDEX([1]Pivot!$B$1:$AB$65000,$B1166,AZ$5)="",2,0)),0)</f>
        <v>0</v>
      </c>
      <c r="BA1166" s="313">
        <f>IFERROR(IF(INDEX([1]Pivot!$BF$1:$CG$65000,$B1166,BA$5)=1,1,IF(INDEX([1]Pivot!$B$1:$AB$65000,$B1166,BA$5)="",2,0)),0)</f>
        <v>0</v>
      </c>
      <c r="BB1166" s="313">
        <f>IFERROR(IF(INDEX([1]Pivot!$BF$1:$CG$65000,$B1166,BB$5)=1,1,IF(INDEX([1]Pivot!$B$1:$AB$65000,$B1166,BB$5)="",2,0)),0)</f>
        <v>0</v>
      </c>
      <c r="BC1166" s="313">
        <f>IFERROR(IF(INDEX([1]Pivot!$BF$1:$CG$65000,$B1166,BC$5)=1,1,IF(INDEX([1]Pivot!$B$1:$AB$65000,$B1166,BC$5)="",2,0)),0)</f>
        <v>0</v>
      </c>
      <c r="BD1166" s="313">
        <f>IFERROR(IF(INDEX([1]Pivot!$BF$1:$CG$65000,$B1166,BD$5)=1,1,IF(INDEX([1]Pivot!$B$1:$AB$65000,$B1166,BD$5)="",2,0)),0)</f>
        <v>0</v>
      </c>
    </row>
    <row r="1167" spans="1:56" x14ac:dyDescent="0.25">
      <c r="A1167" s="288">
        <f>'[2]Raw Milk Prices'!A1167</f>
        <v>0</v>
      </c>
      <c r="B1167" s="296" t="e">
        <f>MATCH(DATE(LEFT('[2]Raw Milk Prices'!$A1167,4),RIGHT('[2]Raw Milk Prices'!$A1167,2),1),[1]Pivot!$A$1:$A$65000,0)</f>
        <v>#VALUE!</v>
      </c>
      <c r="C1167" s="194">
        <f>IFERROR(IF(INDEX([1]Pivot!$AD$1:$BE$65000,$B1167,C$5)=1,1,IF(INDEX([1]Pivot!$B$1:$AB$65000,$B1167,C$5)="",2,0)),0)</f>
        <v>0</v>
      </c>
      <c r="D1167" s="194">
        <f>IFERROR(IF(INDEX([1]Pivot!$AD$1:$BE$65000,$B1167,D$5)=1,1,IF(INDEX([1]Pivot!$B$1:$AB$65000,$B1167,D$5)="",2,0)),0)</f>
        <v>0</v>
      </c>
      <c r="E1167" s="194">
        <f>IFERROR(IF(INDEX([1]Pivot!$AD$1:$BE$65000,$B1167,E$5)=1,1,IF(INDEX([1]Pivot!$B$1:$AB$65000,$B1167,E$5)="",2,0)),0)</f>
        <v>0</v>
      </c>
      <c r="F1167" s="194">
        <f>IFERROR(IF(INDEX([1]Pivot!$AD$1:$BE$65000,$B1167,F$5)=1,1,IF(INDEX([1]Pivot!$B$1:$AB$65000,$B1167,F$5)="",2,0)),0)</f>
        <v>0</v>
      </c>
      <c r="G1167" s="194">
        <f>IFERROR(IF(INDEX([1]Pivot!$AD$1:$BE$65000,$B1167,G$5)=1,1,IF(INDEX([1]Pivot!$B$1:$AB$65000,$B1167,G$5)="",2,0)),0)</f>
        <v>0</v>
      </c>
      <c r="H1167" s="194">
        <f>IFERROR(IF(INDEX([1]Pivot!$AD$1:$BE$65000,$B1167,H$5)=1,1,IF(INDEX([1]Pivot!$B$1:$AB$65000,$B1167,H$5)="",2,0)),0)</f>
        <v>0</v>
      </c>
      <c r="I1167" s="194">
        <f>IFERROR(IF(INDEX([1]Pivot!$AD$1:$BE$65000,$B1167,I$5)=1,1,IF(INDEX([1]Pivot!$B$1:$AB$65000,$B1167,I$5)="",2,0)),0)</f>
        <v>0</v>
      </c>
      <c r="J1167" s="194">
        <f>IFERROR(IF(INDEX([1]Pivot!$AD$1:$BE$65000,$B1167,J$5)=1,1,IF(INDEX([1]Pivot!$B$1:$AB$65000,$B1167,J$5)="",2,0)),0)</f>
        <v>0</v>
      </c>
      <c r="K1167" s="194">
        <f>IFERROR(IF(INDEX([1]Pivot!$AD$1:$BE$65000,$B1167,K$5)=1,1,IF(INDEX([1]Pivot!$B$1:$AB$65000,$B1167,K$5)="",2,0)),0)</f>
        <v>0</v>
      </c>
      <c r="L1167" s="194">
        <f>IFERROR(IF(INDEX([1]Pivot!$AD$1:$BE$65000,$B1167,L$5)=1,1,IF(INDEX([1]Pivot!$B$1:$AB$65000,$B1167,L$5)="",2,0)),0)</f>
        <v>0</v>
      </c>
      <c r="M1167" s="194">
        <f>IFERROR(IF(INDEX([1]Pivot!$AD$1:$BE$65000,$B1167,M$5)=1,1,IF(INDEX([1]Pivot!$B$1:$AB$65000,$B1167,M$5)="",2,0)),0)</f>
        <v>0</v>
      </c>
      <c r="N1167" s="194">
        <f>IFERROR(IF(INDEX([1]Pivot!$AD$1:$BE$65000,$B1167,N$5)=1,1,IF(INDEX([1]Pivot!$B$1:$AB$65000,$B1167,N$5)="",2,0)),0)</f>
        <v>0</v>
      </c>
      <c r="O1167" s="194">
        <f>IFERROR(IF(INDEX([1]Pivot!$AD$1:$BE$65000,$B1167,O$5)=1,1,IF(INDEX([1]Pivot!$B$1:$AB$65000,$B1167,O$5)="",2,0)),0)</f>
        <v>0</v>
      </c>
      <c r="P1167" s="194">
        <f>IFERROR(IF(INDEX([1]Pivot!$AD$1:$BE$65000,$B1167,P$5)=1,1,IF(INDEX([1]Pivot!$B$1:$AB$65000,$B1167,P$5)="",2,0)),0)</f>
        <v>0</v>
      </c>
      <c r="Q1167" s="194">
        <f>IFERROR(IF(INDEX([1]Pivot!$AD$1:$BE$65000,$B1167,Q$5)=1,1,IF(INDEX([1]Pivot!$B$1:$AB$65000,$B1167,Q$5)="",2,0)),0)</f>
        <v>0</v>
      </c>
      <c r="R1167" s="312"/>
      <c r="S1167" s="194">
        <f>IFERROR(IF(INDEX([1]Pivot!$AD$1:$BE$65000,$B1167,S$5)=1,1,IF(INDEX([1]Pivot!$B$1:$AB$65000,$B1167,S$5)="",2,0)),0)</f>
        <v>0</v>
      </c>
      <c r="T1167" s="194">
        <f>IFERROR(IF(INDEX([1]Pivot!$AD$1:$BE$65000,$B1167,T$5)=1,1,IF(INDEX([1]Pivot!$B$1:$AB$65000,$B1167,T$5)="",2,0)),0)</f>
        <v>0</v>
      </c>
      <c r="U1167" s="194">
        <f>IFERROR(IF(INDEX([1]Pivot!$AD$1:$BE$65000,$B1167,U$5)=1,1,IF(INDEX([1]Pivot!$B$1:$AB$65000,$B1167,U$5)="",2,0)),0)</f>
        <v>0</v>
      </c>
      <c r="V1167" s="194">
        <f>IFERROR(IF(INDEX([1]Pivot!$AD$1:$BE$65000,$B1167,V$5)=1,1,IF(INDEX([1]Pivot!$B$1:$AB$65000,$B1167,V$5)="",2,0)),0)</f>
        <v>0</v>
      </c>
      <c r="W1167" s="194">
        <f>IFERROR(IF(INDEX([1]Pivot!$AD$1:$BE$65000,$B1167,W$5)=1,1,IF(INDEX([1]Pivot!$B$1:$AB$65000,$B1167,W$5)="",2,0)),0)</f>
        <v>0</v>
      </c>
      <c r="X1167" s="194">
        <f>IFERROR(IF(INDEX([1]Pivot!$AD$1:$BE$65000,$B1167,X$5)=1,1,IF(INDEX([1]Pivot!$B$1:$AB$65000,$B1167,X$5)="",2,0)),0)</f>
        <v>0</v>
      </c>
      <c r="Y1167" s="194">
        <f>IFERROR(IF(INDEX([1]Pivot!$AD$1:$BE$65000,$B1167,Y$5)=1,1,IF(INDEX([1]Pivot!$B$1:$AB$65000,$B1167,Y$5)="",2,0)),0)</f>
        <v>0</v>
      </c>
      <c r="Z1167" s="194">
        <f>IFERROR(IF(INDEX([1]Pivot!$AD$1:$BE$65000,$B1167,Z$5)=1,1,IF(INDEX([1]Pivot!$B$1:$AB$65000,$B1167,Z$5)="",2,0)),0)</f>
        <v>0</v>
      </c>
      <c r="AA1167" s="194">
        <f>IFERROR(IF(INDEX([1]Pivot!$AD$1:$BE$65000,$B1167,AA$5)=1,1,IF(INDEX([1]Pivot!$B$1:$AB$65000,$B1167,AA$5)="",2,0)),0)</f>
        <v>0</v>
      </c>
      <c r="AB1167" s="194">
        <f>IFERROR(IF(INDEX([1]Pivot!$AD$1:$BE$65000,$B1167,AB$5)=1,1,IF(INDEX([1]Pivot!$B$1:$AB$65000,$B1167,AB$5)="",2,0)),0)</f>
        <v>0</v>
      </c>
      <c r="AC1167" s="194">
        <f>IFERROR(IF(INDEX([1]Pivot!$AD$1:$BE$65000,$B1167,AC$5)=1,1,IF(INDEX([1]Pivot!$B$1:$AB$65000,$B1167,AC$5)="",2,0)),0)</f>
        <v>0</v>
      </c>
      <c r="AD1167" s="313">
        <f>IFERROR(IF(INDEX([1]Pivot!$BF$1:$CG$65000,$B1167,AD$5)=1,1,IF(INDEX([1]Pivot!$B$1:$AB$65000,$B1167,AD$5)="",2,0)),0)</f>
        <v>0</v>
      </c>
      <c r="AE1167" s="313">
        <f>IFERROR(IF(INDEX([1]Pivot!$BF$1:$CG$65000,$B1167,AE$5)=1,1,IF(INDEX([1]Pivot!$B$1:$AB$65000,$B1167,AE$5)="",2,0)),0)</f>
        <v>0</v>
      </c>
      <c r="AF1167" s="313">
        <f>IFERROR(IF(INDEX([1]Pivot!$BF$1:$CG$65000,$B1167,AF$5)=1,1,IF(INDEX([1]Pivot!$B$1:$AB$65000,$B1167,AF$5)="",2,0)),0)</f>
        <v>0</v>
      </c>
      <c r="AG1167" s="313">
        <f>IFERROR(IF(INDEX([1]Pivot!$BF$1:$CG$65000,$B1167,AG$5)=1,1,IF(INDEX([1]Pivot!$B$1:$AB$65000,$B1167,AG$5)="",2,0)),0)</f>
        <v>0</v>
      </c>
      <c r="AH1167" s="313">
        <f>IFERROR(IF(INDEX([1]Pivot!$BF$1:$CG$65000,$B1167,AH$5)=1,1,IF(INDEX([1]Pivot!$B$1:$AB$65000,$B1167,AH$5)="",2,0)),0)</f>
        <v>0</v>
      </c>
      <c r="AI1167" s="313">
        <f>IFERROR(IF(INDEX([1]Pivot!$BF$1:$CG$65000,$B1167,AI$5)=1,1,IF(INDEX([1]Pivot!$B$1:$AB$65000,$B1167,AI$5)="",2,0)),0)</f>
        <v>0</v>
      </c>
      <c r="AJ1167" s="313">
        <f>IFERROR(IF(INDEX([1]Pivot!$BF$1:$CG$65000,$B1167,AJ$5)=1,1,IF(INDEX([1]Pivot!$B$1:$AB$65000,$B1167,AJ$5)="",2,0)),0)</f>
        <v>0</v>
      </c>
      <c r="AK1167" s="313">
        <f>IFERROR(IF(INDEX([1]Pivot!$BF$1:$CG$65000,$B1167,AK$5)=1,1,IF(INDEX([1]Pivot!$B$1:$AB$65000,$B1167,AK$5)="",2,0)),0)</f>
        <v>0</v>
      </c>
      <c r="AL1167" s="313">
        <f>IFERROR(IF(INDEX([1]Pivot!$BF$1:$CG$65000,$B1167,AL$5)=1,1,IF(INDEX([1]Pivot!$B$1:$AB$65000,$B1167,AL$5)="",2,0)),0)</f>
        <v>0</v>
      </c>
      <c r="AM1167" s="313">
        <f>IFERROR(IF(INDEX([1]Pivot!$BF$1:$CG$65000,$B1167,AM$5)=1,1,IF(INDEX([1]Pivot!$B$1:$AB$65000,$B1167,AM$5)="",2,0)),0)</f>
        <v>0</v>
      </c>
      <c r="AN1167" s="313">
        <f>IFERROR(IF(INDEX([1]Pivot!$BF$1:$CG$65000,$B1167,AN$5)=1,1,IF(INDEX([1]Pivot!$B$1:$AB$65000,$B1167,AN$5)="",2,0)),0)</f>
        <v>0</v>
      </c>
      <c r="AO1167" s="313">
        <f>IFERROR(IF(INDEX([1]Pivot!$BF$1:$CG$65000,$B1167,AO$5)=1,1,IF(INDEX([1]Pivot!$B$1:$AB$65000,$B1167,AO$5)="",2,0)),0)</f>
        <v>0</v>
      </c>
      <c r="AP1167" s="313">
        <f>IFERROR(IF(INDEX([1]Pivot!$BF$1:$CG$65000,$B1167,AP$5)=1,1,IF(INDEX([1]Pivot!$B$1:$AB$65000,$B1167,AP$5)="",2,0)),0)</f>
        <v>0</v>
      </c>
      <c r="AQ1167" s="313">
        <f>IFERROR(IF(INDEX([1]Pivot!$BF$1:$CG$65000,$B1167,AQ$5)=1,1,IF(INDEX([1]Pivot!$B$1:$AB$65000,$B1167,AQ$5)="",2,0)),0)</f>
        <v>0</v>
      </c>
      <c r="AR1167" s="313">
        <f>IFERROR(IF(INDEX([1]Pivot!$BF$1:$CG$65000,$B1167,AR$5)=1,1,IF(INDEX([1]Pivot!$B$1:$AB$65000,$B1167,AR$5)="",2,0)),0)</f>
        <v>0</v>
      </c>
      <c r="AS1167" s="312"/>
      <c r="AT1167" s="313">
        <f>IFERROR(IF(INDEX([1]Pivot!$BF$1:$CG$65000,$B1167,AT$5)=1,1,IF(INDEX([1]Pivot!$B$1:$AB$65000,$B1167,AT$5)="",2,0)),0)</f>
        <v>0</v>
      </c>
      <c r="AU1167" s="313">
        <f>IFERROR(IF(INDEX([1]Pivot!$BF$1:$CG$65000,$B1167,AU$5)=1,1,IF(INDEX([1]Pivot!$B$1:$AB$65000,$B1167,AU$5)="",2,0)),0)</f>
        <v>0</v>
      </c>
      <c r="AV1167" s="313">
        <f>IFERROR(IF(INDEX([1]Pivot!$BF$1:$CG$65000,$B1167,AV$5)=1,1,IF(INDEX([1]Pivot!$B$1:$AB$65000,$B1167,AV$5)="",2,0)),0)</f>
        <v>0</v>
      </c>
      <c r="AW1167" s="313">
        <f>IFERROR(IF(INDEX([1]Pivot!$BF$1:$CG$65000,$B1167,AW$5)=1,1,IF(INDEX([1]Pivot!$B$1:$AB$65000,$B1167,AW$5)="",2,0)),0)</f>
        <v>0</v>
      </c>
      <c r="AX1167" s="313">
        <f>IFERROR(IF(INDEX([1]Pivot!$BF$1:$CG$65000,$B1167,AX$5)=1,1,IF(INDEX([1]Pivot!$B$1:$AB$65000,$B1167,AX$5)="",2,0)),0)</f>
        <v>0</v>
      </c>
      <c r="AY1167" s="313">
        <f>IFERROR(IF(INDEX([1]Pivot!$BF$1:$CG$65000,$B1167,AY$5)=1,1,IF(INDEX([1]Pivot!$B$1:$AB$65000,$B1167,AY$5)="",2,0)),0)</f>
        <v>0</v>
      </c>
      <c r="AZ1167" s="313">
        <f>IFERROR(IF(INDEX([1]Pivot!$BF$1:$CG$65000,$B1167,AZ$5)=1,1,IF(INDEX([1]Pivot!$B$1:$AB$65000,$B1167,AZ$5)="",2,0)),0)</f>
        <v>0</v>
      </c>
      <c r="BA1167" s="313">
        <f>IFERROR(IF(INDEX([1]Pivot!$BF$1:$CG$65000,$B1167,BA$5)=1,1,IF(INDEX([1]Pivot!$B$1:$AB$65000,$B1167,BA$5)="",2,0)),0)</f>
        <v>0</v>
      </c>
      <c r="BB1167" s="313">
        <f>IFERROR(IF(INDEX([1]Pivot!$BF$1:$CG$65000,$B1167,BB$5)=1,1,IF(INDEX([1]Pivot!$B$1:$AB$65000,$B1167,BB$5)="",2,0)),0)</f>
        <v>0</v>
      </c>
      <c r="BC1167" s="313">
        <f>IFERROR(IF(INDEX([1]Pivot!$BF$1:$CG$65000,$B1167,BC$5)=1,1,IF(INDEX([1]Pivot!$B$1:$AB$65000,$B1167,BC$5)="",2,0)),0)</f>
        <v>0</v>
      </c>
      <c r="BD1167" s="313">
        <f>IFERROR(IF(INDEX([1]Pivot!$BF$1:$CG$65000,$B1167,BD$5)=1,1,IF(INDEX([1]Pivot!$B$1:$AB$65000,$B1167,BD$5)="",2,0)),0)</f>
        <v>0</v>
      </c>
    </row>
    <row r="1168" spans="1:56" x14ac:dyDescent="0.25">
      <c r="A1168" s="288">
        <f>'[2]Raw Milk Prices'!A1168</f>
        <v>0</v>
      </c>
      <c r="B1168" s="296" t="e">
        <f>MATCH(DATE(LEFT('[2]Raw Milk Prices'!$A1168,4),RIGHT('[2]Raw Milk Prices'!$A1168,2),1),[1]Pivot!$A$1:$A$65000,0)</f>
        <v>#VALUE!</v>
      </c>
      <c r="C1168" s="194">
        <f>IFERROR(IF(INDEX([1]Pivot!$AD$1:$BE$65000,$B1168,C$5)=1,1,IF(INDEX([1]Pivot!$B$1:$AB$65000,$B1168,C$5)="",2,0)),0)</f>
        <v>0</v>
      </c>
      <c r="D1168" s="194">
        <f>IFERROR(IF(INDEX([1]Pivot!$AD$1:$BE$65000,$B1168,D$5)=1,1,IF(INDEX([1]Pivot!$B$1:$AB$65000,$B1168,D$5)="",2,0)),0)</f>
        <v>0</v>
      </c>
      <c r="E1168" s="194">
        <f>IFERROR(IF(INDEX([1]Pivot!$AD$1:$BE$65000,$B1168,E$5)=1,1,IF(INDEX([1]Pivot!$B$1:$AB$65000,$B1168,E$5)="",2,0)),0)</f>
        <v>0</v>
      </c>
      <c r="F1168" s="194">
        <f>IFERROR(IF(INDEX([1]Pivot!$AD$1:$BE$65000,$B1168,F$5)=1,1,IF(INDEX([1]Pivot!$B$1:$AB$65000,$B1168,F$5)="",2,0)),0)</f>
        <v>0</v>
      </c>
      <c r="G1168" s="194">
        <f>IFERROR(IF(INDEX([1]Pivot!$AD$1:$BE$65000,$B1168,G$5)=1,1,IF(INDEX([1]Pivot!$B$1:$AB$65000,$B1168,G$5)="",2,0)),0)</f>
        <v>0</v>
      </c>
      <c r="H1168" s="194">
        <f>IFERROR(IF(INDEX([1]Pivot!$AD$1:$BE$65000,$B1168,H$5)=1,1,IF(INDEX([1]Pivot!$B$1:$AB$65000,$B1168,H$5)="",2,0)),0)</f>
        <v>0</v>
      </c>
      <c r="I1168" s="194">
        <f>IFERROR(IF(INDEX([1]Pivot!$AD$1:$BE$65000,$B1168,I$5)=1,1,IF(INDEX([1]Pivot!$B$1:$AB$65000,$B1168,I$5)="",2,0)),0)</f>
        <v>0</v>
      </c>
      <c r="J1168" s="194">
        <f>IFERROR(IF(INDEX([1]Pivot!$AD$1:$BE$65000,$B1168,J$5)=1,1,IF(INDEX([1]Pivot!$B$1:$AB$65000,$B1168,J$5)="",2,0)),0)</f>
        <v>0</v>
      </c>
      <c r="K1168" s="194">
        <f>IFERROR(IF(INDEX([1]Pivot!$AD$1:$BE$65000,$B1168,K$5)=1,1,IF(INDEX([1]Pivot!$B$1:$AB$65000,$B1168,K$5)="",2,0)),0)</f>
        <v>0</v>
      </c>
      <c r="L1168" s="194">
        <f>IFERROR(IF(INDEX([1]Pivot!$AD$1:$BE$65000,$B1168,L$5)=1,1,IF(INDEX([1]Pivot!$B$1:$AB$65000,$B1168,L$5)="",2,0)),0)</f>
        <v>0</v>
      </c>
      <c r="M1168" s="194">
        <f>IFERROR(IF(INDEX([1]Pivot!$AD$1:$BE$65000,$B1168,M$5)=1,1,IF(INDEX([1]Pivot!$B$1:$AB$65000,$B1168,M$5)="",2,0)),0)</f>
        <v>0</v>
      </c>
      <c r="N1168" s="194">
        <f>IFERROR(IF(INDEX([1]Pivot!$AD$1:$BE$65000,$B1168,N$5)=1,1,IF(INDEX([1]Pivot!$B$1:$AB$65000,$B1168,N$5)="",2,0)),0)</f>
        <v>0</v>
      </c>
      <c r="O1168" s="194">
        <f>IFERROR(IF(INDEX([1]Pivot!$AD$1:$BE$65000,$B1168,O$5)=1,1,IF(INDEX([1]Pivot!$B$1:$AB$65000,$B1168,O$5)="",2,0)),0)</f>
        <v>0</v>
      </c>
      <c r="P1168" s="194">
        <f>IFERROR(IF(INDEX([1]Pivot!$AD$1:$BE$65000,$B1168,P$5)=1,1,IF(INDEX([1]Pivot!$B$1:$AB$65000,$B1168,P$5)="",2,0)),0)</f>
        <v>0</v>
      </c>
      <c r="Q1168" s="194">
        <f>IFERROR(IF(INDEX([1]Pivot!$AD$1:$BE$65000,$B1168,Q$5)=1,1,IF(INDEX([1]Pivot!$B$1:$AB$65000,$B1168,Q$5)="",2,0)),0)</f>
        <v>0</v>
      </c>
      <c r="R1168" s="312"/>
      <c r="S1168" s="194">
        <f>IFERROR(IF(INDEX([1]Pivot!$AD$1:$BE$65000,$B1168,S$5)=1,1,IF(INDEX([1]Pivot!$B$1:$AB$65000,$B1168,S$5)="",2,0)),0)</f>
        <v>0</v>
      </c>
      <c r="T1168" s="194">
        <f>IFERROR(IF(INDEX([1]Pivot!$AD$1:$BE$65000,$B1168,T$5)=1,1,IF(INDEX([1]Pivot!$B$1:$AB$65000,$B1168,T$5)="",2,0)),0)</f>
        <v>0</v>
      </c>
      <c r="U1168" s="194">
        <f>IFERROR(IF(INDEX([1]Pivot!$AD$1:$BE$65000,$B1168,U$5)=1,1,IF(INDEX([1]Pivot!$B$1:$AB$65000,$B1168,U$5)="",2,0)),0)</f>
        <v>0</v>
      </c>
      <c r="V1168" s="194">
        <f>IFERROR(IF(INDEX([1]Pivot!$AD$1:$BE$65000,$B1168,V$5)=1,1,IF(INDEX([1]Pivot!$B$1:$AB$65000,$B1168,V$5)="",2,0)),0)</f>
        <v>0</v>
      </c>
      <c r="W1168" s="194">
        <f>IFERROR(IF(INDEX([1]Pivot!$AD$1:$BE$65000,$B1168,W$5)=1,1,IF(INDEX([1]Pivot!$B$1:$AB$65000,$B1168,W$5)="",2,0)),0)</f>
        <v>0</v>
      </c>
      <c r="X1168" s="194">
        <f>IFERROR(IF(INDEX([1]Pivot!$AD$1:$BE$65000,$B1168,X$5)=1,1,IF(INDEX([1]Pivot!$B$1:$AB$65000,$B1168,X$5)="",2,0)),0)</f>
        <v>0</v>
      </c>
      <c r="Y1168" s="194">
        <f>IFERROR(IF(INDEX([1]Pivot!$AD$1:$BE$65000,$B1168,Y$5)=1,1,IF(INDEX([1]Pivot!$B$1:$AB$65000,$B1168,Y$5)="",2,0)),0)</f>
        <v>0</v>
      </c>
      <c r="Z1168" s="194">
        <f>IFERROR(IF(INDEX([1]Pivot!$AD$1:$BE$65000,$B1168,Z$5)=1,1,IF(INDEX([1]Pivot!$B$1:$AB$65000,$B1168,Z$5)="",2,0)),0)</f>
        <v>0</v>
      </c>
      <c r="AA1168" s="194">
        <f>IFERROR(IF(INDEX([1]Pivot!$AD$1:$BE$65000,$B1168,AA$5)=1,1,IF(INDEX([1]Pivot!$B$1:$AB$65000,$B1168,AA$5)="",2,0)),0)</f>
        <v>0</v>
      </c>
      <c r="AB1168" s="194">
        <f>IFERROR(IF(INDEX([1]Pivot!$AD$1:$BE$65000,$B1168,AB$5)=1,1,IF(INDEX([1]Pivot!$B$1:$AB$65000,$B1168,AB$5)="",2,0)),0)</f>
        <v>0</v>
      </c>
      <c r="AC1168" s="194">
        <f>IFERROR(IF(INDEX([1]Pivot!$AD$1:$BE$65000,$B1168,AC$5)=1,1,IF(INDEX([1]Pivot!$B$1:$AB$65000,$B1168,AC$5)="",2,0)),0)</f>
        <v>0</v>
      </c>
      <c r="AD1168" s="313">
        <f>IFERROR(IF(INDEX([1]Pivot!$BF$1:$CG$65000,$B1168,AD$5)=1,1,IF(INDEX([1]Pivot!$B$1:$AB$65000,$B1168,AD$5)="",2,0)),0)</f>
        <v>0</v>
      </c>
      <c r="AE1168" s="313">
        <f>IFERROR(IF(INDEX([1]Pivot!$BF$1:$CG$65000,$B1168,AE$5)=1,1,IF(INDEX([1]Pivot!$B$1:$AB$65000,$B1168,AE$5)="",2,0)),0)</f>
        <v>0</v>
      </c>
      <c r="AF1168" s="313">
        <f>IFERROR(IF(INDEX([1]Pivot!$BF$1:$CG$65000,$B1168,AF$5)=1,1,IF(INDEX([1]Pivot!$B$1:$AB$65000,$B1168,AF$5)="",2,0)),0)</f>
        <v>0</v>
      </c>
      <c r="AG1168" s="313">
        <f>IFERROR(IF(INDEX([1]Pivot!$BF$1:$CG$65000,$B1168,AG$5)=1,1,IF(INDEX([1]Pivot!$B$1:$AB$65000,$B1168,AG$5)="",2,0)),0)</f>
        <v>0</v>
      </c>
      <c r="AH1168" s="313">
        <f>IFERROR(IF(INDEX([1]Pivot!$BF$1:$CG$65000,$B1168,AH$5)=1,1,IF(INDEX([1]Pivot!$B$1:$AB$65000,$B1168,AH$5)="",2,0)),0)</f>
        <v>0</v>
      </c>
      <c r="AI1168" s="313">
        <f>IFERROR(IF(INDEX([1]Pivot!$BF$1:$CG$65000,$B1168,AI$5)=1,1,IF(INDEX([1]Pivot!$B$1:$AB$65000,$B1168,AI$5)="",2,0)),0)</f>
        <v>0</v>
      </c>
      <c r="AJ1168" s="313">
        <f>IFERROR(IF(INDEX([1]Pivot!$BF$1:$CG$65000,$B1168,AJ$5)=1,1,IF(INDEX([1]Pivot!$B$1:$AB$65000,$B1168,AJ$5)="",2,0)),0)</f>
        <v>0</v>
      </c>
      <c r="AK1168" s="313">
        <f>IFERROR(IF(INDEX([1]Pivot!$BF$1:$CG$65000,$B1168,AK$5)=1,1,IF(INDEX([1]Pivot!$B$1:$AB$65000,$B1168,AK$5)="",2,0)),0)</f>
        <v>0</v>
      </c>
      <c r="AL1168" s="313">
        <f>IFERROR(IF(INDEX([1]Pivot!$BF$1:$CG$65000,$B1168,AL$5)=1,1,IF(INDEX([1]Pivot!$B$1:$AB$65000,$B1168,AL$5)="",2,0)),0)</f>
        <v>0</v>
      </c>
      <c r="AM1168" s="313">
        <f>IFERROR(IF(INDEX([1]Pivot!$BF$1:$CG$65000,$B1168,AM$5)=1,1,IF(INDEX([1]Pivot!$B$1:$AB$65000,$B1168,AM$5)="",2,0)),0)</f>
        <v>0</v>
      </c>
      <c r="AN1168" s="313">
        <f>IFERROR(IF(INDEX([1]Pivot!$BF$1:$CG$65000,$B1168,AN$5)=1,1,IF(INDEX([1]Pivot!$B$1:$AB$65000,$B1168,AN$5)="",2,0)),0)</f>
        <v>0</v>
      </c>
      <c r="AO1168" s="313">
        <f>IFERROR(IF(INDEX([1]Pivot!$BF$1:$CG$65000,$B1168,AO$5)=1,1,IF(INDEX([1]Pivot!$B$1:$AB$65000,$B1168,AO$5)="",2,0)),0)</f>
        <v>0</v>
      </c>
      <c r="AP1168" s="313">
        <f>IFERROR(IF(INDEX([1]Pivot!$BF$1:$CG$65000,$B1168,AP$5)=1,1,IF(INDEX([1]Pivot!$B$1:$AB$65000,$B1168,AP$5)="",2,0)),0)</f>
        <v>0</v>
      </c>
      <c r="AQ1168" s="313">
        <f>IFERROR(IF(INDEX([1]Pivot!$BF$1:$CG$65000,$B1168,AQ$5)=1,1,IF(INDEX([1]Pivot!$B$1:$AB$65000,$B1168,AQ$5)="",2,0)),0)</f>
        <v>0</v>
      </c>
      <c r="AR1168" s="313">
        <f>IFERROR(IF(INDEX([1]Pivot!$BF$1:$CG$65000,$B1168,AR$5)=1,1,IF(INDEX([1]Pivot!$B$1:$AB$65000,$B1168,AR$5)="",2,0)),0)</f>
        <v>0</v>
      </c>
      <c r="AS1168" s="312"/>
      <c r="AT1168" s="313">
        <f>IFERROR(IF(INDEX([1]Pivot!$BF$1:$CG$65000,$B1168,AT$5)=1,1,IF(INDEX([1]Pivot!$B$1:$AB$65000,$B1168,AT$5)="",2,0)),0)</f>
        <v>0</v>
      </c>
      <c r="AU1168" s="313">
        <f>IFERROR(IF(INDEX([1]Pivot!$BF$1:$CG$65000,$B1168,AU$5)=1,1,IF(INDEX([1]Pivot!$B$1:$AB$65000,$B1168,AU$5)="",2,0)),0)</f>
        <v>0</v>
      </c>
      <c r="AV1168" s="313">
        <f>IFERROR(IF(INDEX([1]Pivot!$BF$1:$CG$65000,$B1168,AV$5)=1,1,IF(INDEX([1]Pivot!$B$1:$AB$65000,$B1168,AV$5)="",2,0)),0)</f>
        <v>0</v>
      </c>
      <c r="AW1168" s="313">
        <f>IFERROR(IF(INDEX([1]Pivot!$BF$1:$CG$65000,$B1168,AW$5)=1,1,IF(INDEX([1]Pivot!$B$1:$AB$65000,$B1168,AW$5)="",2,0)),0)</f>
        <v>0</v>
      </c>
      <c r="AX1168" s="313">
        <f>IFERROR(IF(INDEX([1]Pivot!$BF$1:$CG$65000,$B1168,AX$5)=1,1,IF(INDEX([1]Pivot!$B$1:$AB$65000,$B1168,AX$5)="",2,0)),0)</f>
        <v>0</v>
      </c>
      <c r="AY1168" s="313">
        <f>IFERROR(IF(INDEX([1]Pivot!$BF$1:$CG$65000,$B1168,AY$5)=1,1,IF(INDEX([1]Pivot!$B$1:$AB$65000,$B1168,AY$5)="",2,0)),0)</f>
        <v>0</v>
      </c>
      <c r="AZ1168" s="313">
        <f>IFERROR(IF(INDEX([1]Pivot!$BF$1:$CG$65000,$B1168,AZ$5)=1,1,IF(INDEX([1]Pivot!$B$1:$AB$65000,$B1168,AZ$5)="",2,0)),0)</f>
        <v>0</v>
      </c>
      <c r="BA1168" s="313">
        <f>IFERROR(IF(INDEX([1]Pivot!$BF$1:$CG$65000,$B1168,BA$5)=1,1,IF(INDEX([1]Pivot!$B$1:$AB$65000,$B1168,BA$5)="",2,0)),0)</f>
        <v>0</v>
      </c>
      <c r="BB1168" s="313">
        <f>IFERROR(IF(INDEX([1]Pivot!$BF$1:$CG$65000,$B1168,BB$5)=1,1,IF(INDEX([1]Pivot!$B$1:$AB$65000,$B1168,BB$5)="",2,0)),0)</f>
        <v>0</v>
      </c>
      <c r="BC1168" s="313">
        <f>IFERROR(IF(INDEX([1]Pivot!$BF$1:$CG$65000,$B1168,BC$5)=1,1,IF(INDEX([1]Pivot!$B$1:$AB$65000,$B1168,BC$5)="",2,0)),0)</f>
        <v>0</v>
      </c>
      <c r="BD1168" s="313">
        <f>IFERROR(IF(INDEX([1]Pivot!$BF$1:$CG$65000,$B1168,BD$5)=1,1,IF(INDEX([1]Pivot!$B$1:$AB$65000,$B1168,BD$5)="",2,0)),0)</f>
        <v>0</v>
      </c>
    </row>
    <row r="1169" spans="1:56" x14ac:dyDescent="0.25">
      <c r="A1169" s="288">
        <f>'[2]Raw Milk Prices'!A1169</f>
        <v>0</v>
      </c>
      <c r="B1169" s="296" t="e">
        <f>MATCH(DATE(LEFT('[2]Raw Milk Prices'!$A1169,4),RIGHT('[2]Raw Milk Prices'!$A1169,2),1),[1]Pivot!$A$1:$A$65000,0)</f>
        <v>#VALUE!</v>
      </c>
      <c r="C1169" s="194">
        <f>IFERROR(IF(INDEX([1]Pivot!$AD$1:$BE$65000,$B1169,C$5)=1,1,IF(INDEX([1]Pivot!$B$1:$AB$65000,$B1169,C$5)="",2,0)),0)</f>
        <v>0</v>
      </c>
      <c r="D1169" s="194">
        <f>IFERROR(IF(INDEX([1]Pivot!$AD$1:$BE$65000,$B1169,D$5)=1,1,IF(INDEX([1]Pivot!$B$1:$AB$65000,$B1169,D$5)="",2,0)),0)</f>
        <v>0</v>
      </c>
      <c r="E1169" s="194">
        <f>IFERROR(IF(INDEX([1]Pivot!$AD$1:$BE$65000,$B1169,E$5)=1,1,IF(INDEX([1]Pivot!$B$1:$AB$65000,$B1169,E$5)="",2,0)),0)</f>
        <v>0</v>
      </c>
      <c r="F1169" s="194">
        <f>IFERROR(IF(INDEX([1]Pivot!$AD$1:$BE$65000,$B1169,F$5)=1,1,IF(INDEX([1]Pivot!$B$1:$AB$65000,$B1169,F$5)="",2,0)),0)</f>
        <v>0</v>
      </c>
      <c r="G1169" s="194">
        <f>IFERROR(IF(INDEX([1]Pivot!$AD$1:$BE$65000,$B1169,G$5)=1,1,IF(INDEX([1]Pivot!$B$1:$AB$65000,$B1169,G$5)="",2,0)),0)</f>
        <v>0</v>
      </c>
      <c r="H1169" s="194">
        <f>IFERROR(IF(INDEX([1]Pivot!$AD$1:$BE$65000,$B1169,H$5)=1,1,IF(INDEX([1]Pivot!$B$1:$AB$65000,$B1169,H$5)="",2,0)),0)</f>
        <v>0</v>
      </c>
      <c r="I1169" s="194">
        <f>IFERROR(IF(INDEX([1]Pivot!$AD$1:$BE$65000,$B1169,I$5)=1,1,IF(INDEX([1]Pivot!$B$1:$AB$65000,$B1169,I$5)="",2,0)),0)</f>
        <v>0</v>
      </c>
      <c r="J1169" s="194">
        <f>IFERROR(IF(INDEX([1]Pivot!$AD$1:$BE$65000,$B1169,J$5)=1,1,IF(INDEX([1]Pivot!$B$1:$AB$65000,$B1169,J$5)="",2,0)),0)</f>
        <v>0</v>
      </c>
      <c r="K1169" s="194">
        <f>IFERROR(IF(INDEX([1]Pivot!$AD$1:$BE$65000,$B1169,K$5)=1,1,IF(INDEX([1]Pivot!$B$1:$AB$65000,$B1169,K$5)="",2,0)),0)</f>
        <v>0</v>
      </c>
      <c r="L1169" s="194">
        <f>IFERROR(IF(INDEX([1]Pivot!$AD$1:$BE$65000,$B1169,L$5)=1,1,IF(INDEX([1]Pivot!$B$1:$AB$65000,$B1169,L$5)="",2,0)),0)</f>
        <v>0</v>
      </c>
      <c r="M1169" s="194">
        <f>IFERROR(IF(INDEX([1]Pivot!$AD$1:$BE$65000,$B1169,M$5)=1,1,IF(INDEX([1]Pivot!$B$1:$AB$65000,$B1169,M$5)="",2,0)),0)</f>
        <v>0</v>
      </c>
      <c r="N1169" s="194">
        <f>IFERROR(IF(INDEX([1]Pivot!$AD$1:$BE$65000,$B1169,N$5)=1,1,IF(INDEX([1]Pivot!$B$1:$AB$65000,$B1169,N$5)="",2,0)),0)</f>
        <v>0</v>
      </c>
      <c r="O1169" s="194">
        <f>IFERROR(IF(INDEX([1]Pivot!$AD$1:$BE$65000,$B1169,O$5)=1,1,IF(INDEX([1]Pivot!$B$1:$AB$65000,$B1169,O$5)="",2,0)),0)</f>
        <v>0</v>
      </c>
      <c r="P1169" s="194">
        <f>IFERROR(IF(INDEX([1]Pivot!$AD$1:$BE$65000,$B1169,P$5)=1,1,IF(INDEX([1]Pivot!$B$1:$AB$65000,$B1169,P$5)="",2,0)),0)</f>
        <v>0</v>
      </c>
      <c r="Q1169" s="194">
        <f>IFERROR(IF(INDEX([1]Pivot!$AD$1:$BE$65000,$B1169,Q$5)=1,1,IF(INDEX([1]Pivot!$B$1:$AB$65000,$B1169,Q$5)="",2,0)),0)</f>
        <v>0</v>
      </c>
      <c r="R1169" s="312"/>
      <c r="S1169" s="194">
        <f>IFERROR(IF(INDEX([1]Pivot!$AD$1:$BE$65000,$B1169,S$5)=1,1,IF(INDEX([1]Pivot!$B$1:$AB$65000,$B1169,S$5)="",2,0)),0)</f>
        <v>0</v>
      </c>
      <c r="T1169" s="194">
        <f>IFERROR(IF(INDEX([1]Pivot!$AD$1:$BE$65000,$B1169,T$5)=1,1,IF(INDEX([1]Pivot!$B$1:$AB$65000,$B1169,T$5)="",2,0)),0)</f>
        <v>0</v>
      </c>
      <c r="U1169" s="194">
        <f>IFERROR(IF(INDEX([1]Pivot!$AD$1:$BE$65000,$B1169,U$5)=1,1,IF(INDEX([1]Pivot!$B$1:$AB$65000,$B1169,U$5)="",2,0)),0)</f>
        <v>0</v>
      </c>
      <c r="V1169" s="194">
        <f>IFERROR(IF(INDEX([1]Pivot!$AD$1:$BE$65000,$B1169,V$5)=1,1,IF(INDEX([1]Pivot!$B$1:$AB$65000,$B1169,V$5)="",2,0)),0)</f>
        <v>0</v>
      </c>
      <c r="W1169" s="194">
        <f>IFERROR(IF(INDEX([1]Pivot!$AD$1:$BE$65000,$B1169,W$5)=1,1,IF(INDEX([1]Pivot!$B$1:$AB$65000,$B1169,W$5)="",2,0)),0)</f>
        <v>0</v>
      </c>
      <c r="X1169" s="194">
        <f>IFERROR(IF(INDEX([1]Pivot!$AD$1:$BE$65000,$B1169,X$5)=1,1,IF(INDEX([1]Pivot!$B$1:$AB$65000,$B1169,X$5)="",2,0)),0)</f>
        <v>0</v>
      </c>
      <c r="Y1169" s="194">
        <f>IFERROR(IF(INDEX([1]Pivot!$AD$1:$BE$65000,$B1169,Y$5)=1,1,IF(INDEX([1]Pivot!$B$1:$AB$65000,$B1169,Y$5)="",2,0)),0)</f>
        <v>0</v>
      </c>
      <c r="Z1169" s="194">
        <f>IFERROR(IF(INDEX([1]Pivot!$AD$1:$BE$65000,$B1169,Z$5)=1,1,IF(INDEX([1]Pivot!$B$1:$AB$65000,$B1169,Z$5)="",2,0)),0)</f>
        <v>0</v>
      </c>
      <c r="AA1169" s="194">
        <f>IFERROR(IF(INDEX([1]Pivot!$AD$1:$BE$65000,$B1169,AA$5)=1,1,IF(INDEX([1]Pivot!$B$1:$AB$65000,$B1169,AA$5)="",2,0)),0)</f>
        <v>0</v>
      </c>
      <c r="AB1169" s="194">
        <f>IFERROR(IF(INDEX([1]Pivot!$AD$1:$BE$65000,$B1169,AB$5)=1,1,IF(INDEX([1]Pivot!$B$1:$AB$65000,$B1169,AB$5)="",2,0)),0)</f>
        <v>0</v>
      </c>
      <c r="AC1169" s="194">
        <f>IFERROR(IF(INDEX([1]Pivot!$AD$1:$BE$65000,$B1169,AC$5)=1,1,IF(INDEX([1]Pivot!$B$1:$AB$65000,$B1169,AC$5)="",2,0)),0)</f>
        <v>0</v>
      </c>
      <c r="AD1169" s="313">
        <f>IFERROR(IF(INDEX([1]Pivot!$BF$1:$CG$65000,$B1169,AD$5)=1,1,IF(INDEX([1]Pivot!$B$1:$AB$65000,$B1169,AD$5)="",2,0)),0)</f>
        <v>0</v>
      </c>
      <c r="AE1169" s="313">
        <f>IFERROR(IF(INDEX([1]Pivot!$BF$1:$CG$65000,$B1169,AE$5)=1,1,IF(INDEX([1]Pivot!$B$1:$AB$65000,$B1169,AE$5)="",2,0)),0)</f>
        <v>0</v>
      </c>
      <c r="AF1169" s="313">
        <f>IFERROR(IF(INDEX([1]Pivot!$BF$1:$CG$65000,$B1169,AF$5)=1,1,IF(INDEX([1]Pivot!$B$1:$AB$65000,$B1169,AF$5)="",2,0)),0)</f>
        <v>0</v>
      </c>
      <c r="AG1169" s="313">
        <f>IFERROR(IF(INDEX([1]Pivot!$BF$1:$CG$65000,$B1169,AG$5)=1,1,IF(INDEX([1]Pivot!$B$1:$AB$65000,$B1169,AG$5)="",2,0)),0)</f>
        <v>0</v>
      </c>
      <c r="AH1169" s="313">
        <f>IFERROR(IF(INDEX([1]Pivot!$BF$1:$CG$65000,$B1169,AH$5)=1,1,IF(INDEX([1]Pivot!$B$1:$AB$65000,$B1169,AH$5)="",2,0)),0)</f>
        <v>0</v>
      </c>
      <c r="AI1169" s="313">
        <f>IFERROR(IF(INDEX([1]Pivot!$BF$1:$CG$65000,$B1169,AI$5)=1,1,IF(INDEX([1]Pivot!$B$1:$AB$65000,$B1169,AI$5)="",2,0)),0)</f>
        <v>0</v>
      </c>
      <c r="AJ1169" s="313">
        <f>IFERROR(IF(INDEX([1]Pivot!$BF$1:$CG$65000,$B1169,AJ$5)=1,1,IF(INDEX([1]Pivot!$B$1:$AB$65000,$B1169,AJ$5)="",2,0)),0)</f>
        <v>0</v>
      </c>
      <c r="AK1169" s="313">
        <f>IFERROR(IF(INDEX([1]Pivot!$BF$1:$CG$65000,$B1169,AK$5)=1,1,IF(INDEX([1]Pivot!$B$1:$AB$65000,$B1169,AK$5)="",2,0)),0)</f>
        <v>0</v>
      </c>
      <c r="AL1169" s="313">
        <f>IFERROR(IF(INDEX([1]Pivot!$BF$1:$CG$65000,$B1169,AL$5)=1,1,IF(INDEX([1]Pivot!$B$1:$AB$65000,$B1169,AL$5)="",2,0)),0)</f>
        <v>0</v>
      </c>
      <c r="AM1169" s="313">
        <f>IFERROR(IF(INDEX([1]Pivot!$BF$1:$CG$65000,$B1169,AM$5)=1,1,IF(INDEX([1]Pivot!$B$1:$AB$65000,$B1169,AM$5)="",2,0)),0)</f>
        <v>0</v>
      </c>
      <c r="AN1169" s="313">
        <f>IFERROR(IF(INDEX([1]Pivot!$BF$1:$CG$65000,$B1169,AN$5)=1,1,IF(INDEX([1]Pivot!$B$1:$AB$65000,$B1169,AN$5)="",2,0)),0)</f>
        <v>0</v>
      </c>
      <c r="AO1169" s="313">
        <f>IFERROR(IF(INDEX([1]Pivot!$BF$1:$CG$65000,$B1169,AO$5)=1,1,IF(INDEX([1]Pivot!$B$1:$AB$65000,$B1169,AO$5)="",2,0)),0)</f>
        <v>0</v>
      </c>
      <c r="AP1169" s="313">
        <f>IFERROR(IF(INDEX([1]Pivot!$BF$1:$CG$65000,$B1169,AP$5)=1,1,IF(INDEX([1]Pivot!$B$1:$AB$65000,$B1169,AP$5)="",2,0)),0)</f>
        <v>0</v>
      </c>
      <c r="AQ1169" s="313">
        <f>IFERROR(IF(INDEX([1]Pivot!$BF$1:$CG$65000,$B1169,AQ$5)=1,1,IF(INDEX([1]Pivot!$B$1:$AB$65000,$B1169,AQ$5)="",2,0)),0)</f>
        <v>0</v>
      </c>
      <c r="AR1169" s="313">
        <f>IFERROR(IF(INDEX([1]Pivot!$BF$1:$CG$65000,$B1169,AR$5)=1,1,IF(INDEX([1]Pivot!$B$1:$AB$65000,$B1169,AR$5)="",2,0)),0)</f>
        <v>0</v>
      </c>
      <c r="AS1169" s="312"/>
      <c r="AT1169" s="313">
        <f>IFERROR(IF(INDEX([1]Pivot!$BF$1:$CG$65000,$B1169,AT$5)=1,1,IF(INDEX([1]Pivot!$B$1:$AB$65000,$B1169,AT$5)="",2,0)),0)</f>
        <v>0</v>
      </c>
      <c r="AU1169" s="313">
        <f>IFERROR(IF(INDEX([1]Pivot!$BF$1:$CG$65000,$B1169,AU$5)=1,1,IF(INDEX([1]Pivot!$B$1:$AB$65000,$B1169,AU$5)="",2,0)),0)</f>
        <v>0</v>
      </c>
      <c r="AV1169" s="313">
        <f>IFERROR(IF(INDEX([1]Pivot!$BF$1:$CG$65000,$B1169,AV$5)=1,1,IF(INDEX([1]Pivot!$B$1:$AB$65000,$B1169,AV$5)="",2,0)),0)</f>
        <v>0</v>
      </c>
      <c r="AW1169" s="313">
        <f>IFERROR(IF(INDEX([1]Pivot!$BF$1:$CG$65000,$B1169,AW$5)=1,1,IF(INDEX([1]Pivot!$B$1:$AB$65000,$B1169,AW$5)="",2,0)),0)</f>
        <v>0</v>
      </c>
      <c r="AX1169" s="313">
        <f>IFERROR(IF(INDEX([1]Pivot!$BF$1:$CG$65000,$B1169,AX$5)=1,1,IF(INDEX([1]Pivot!$B$1:$AB$65000,$B1169,AX$5)="",2,0)),0)</f>
        <v>0</v>
      </c>
      <c r="AY1169" s="313">
        <f>IFERROR(IF(INDEX([1]Pivot!$BF$1:$CG$65000,$B1169,AY$5)=1,1,IF(INDEX([1]Pivot!$B$1:$AB$65000,$B1169,AY$5)="",2,0)),0)</f>
        <v>0</v>
      </c>
      <c r="AZ1169" s="313">
        <f>IFERROR(IF(INDEX([1]Pivot!$BF$1:$CG$65000,$B1169,AZ$5)=1,1,IF(INDEX([1]Pivot!$B$1:$AB$65000,$B1169,AZ$5)="",2,0)),0)</f>
        <v>0</v>
      </c>
      <c r="BA1169" s="313">
        <f>IFERROR(IF(INDEX([1]Pivot!$BF$1:$CG$65000,$B1169,BA$5)=1,1,IF(INDEX([1]Pivot!$B$1:$AB$65000,$B1169,BA$5)="",2,0)),0)</f>
        <v>0</v>
      </c>
      <c r="BB1169" s="313">
        <f>IFERROR(IF(INDEX([1]Pivot!$BF$1:$CG$65000,$B1169,BB$5)=1,1,IF(INDEX([1]Pivot!$B$1:$AB$65000,$B1169,BB$5)="",2,0)),0)</f>
        <v>0</v>
      </c>
      <c r="BC1169" s="313">
        <f>IFERROR(IF(INDEX([1]Pivot!$BF$1:$CG$65000,$B1169,BC$5)=1,1,IF(INDEX([1]Pivot!$B$1:$AB$65000,$B1169,BC$5)="",2,0)),0)</f>
        <v>0</v>
      </c>
      <c r="BD1169" s="313">
        <f>IFERROR(IF(INDEX([1]Pivot!$BF$1:$CG$65000,$B1169,BD$5)=1,1,IF(INDEX([1]Pivot!$B$1:$AB$65000,$B1169,BD$5)="",2,0)),0)</f>
        <v>0</v>
      </c>
    </row>
    <row r="1170" spans="1:56" x14ac:dyDescent="0.25">
      <c r="A1170" s="288">
        <f>'[2]Raw Milk Prices'!A1170</f>
        <v>0</v>
      </c>
      <c r="B1170" s="296" t="e">
        <f>MATCH(DATE(LEFT('[2]Raw Milk Prices'!$A1170,4),RIGHT('[2]Raw Milk Prices'!$A1170,2),1),[1]Pivot!$A$1:$A$65000,0)</f>
        <v>#VALUE!</v>
      </c>
      <c r="C1170" s="194">
        <f>IFERROR(IF(INDEX([1]Pivot!$AD$1:$BE$65000,$B1170,C$5)=1,1,IF(INDEX([1]Pivot!$B$1:$AB$65000,$B1170,C$5)="",2,0)),0)</f>
        <v>0</v>
      </c>
      <c r="D1170" s="194">
        <f>IFERROR(IF(INDEX([1]Pivot!$AD$1:$BE$65000,$B1170,D$5)=1,1,IF(INDEX([1]Pivot!$B$1:$AB$65000,$B1170,D$5)="",2,0)),0)</f>
        <v>0</v>
      </c>
      <c r="E1170" s="194">
        <f>IFERROR(IF(INDEX([1]Pivot!$AD$1:$BE$65000,$B1170,E$5)=1,1,IF(INDEX([1]Pivot!$B$1:$AB$65000,$B1170,E$5)="",2,0)),0)</f>
        <v>0</v>
      </c>
      <c r="F1170" s="194">
        <f>IFERROR(IF(INDEX([1]Pivot!$AD$1:$BE$65000,$B1170,F$5)=1,1,IF(INDEX([1]Pivot!$B$1:$AB$65000,$B1170,F$5)="",2,0)),0)</f>
        <v>0</v>
      </c>
      <c r="G1170" s="194">
        <f>IFERROR(IF(INDEX([1]Pivot!$AD$1:$BE$65000,$B1170,G$5)=1,1,IF(INDEX([1]Pivot!$B$1:$AB$65000,$B1170,G$5)="",2,0)),0)</f>
        <v>0</v>
      </c>
      <c r="H1170" s="194">
        <f>IFERROR(IF(INDEX([1]Pivot!$AD$1:$BE$65000,$B1170,H$5)=1,1,IF(INDEX([1]Pivot!$B$1:$AB$65000,$B1170,H$5)="",2,0)),0)</f>
        <v>0</v>
      </c>
      <c r="I1170" s="194">
        <f>IFERROR(IF(INDEX([1]Pivot!$AD$1:$BE$65000,$B1170,I$5)=1,1,IF(INDEX([1]Pivot!$B$1:$AB$65000,$B1170,I$5)="",2,0)),0)</f>
        <v>0</v>
      </c>
      <c r="J1170" s="194">
        <f>IFERROR(IF(INDEX([1]Pivot!$AD$1:$BE$65000,$B1170,J$5)=1,1,IF(INDEX([1]Pivot!$B$1:$AB$65000,$B1170,J$5)="",2,0)),0)</f>
        <v>0</v>
      </c>
      <c r="K1170" s="194">
        <f>IFERROR(IF(INDEX([1]Pivot!$AD$1:$BE$65000,$B1170,K$5)=1,1,IF(INDEX([1]Pivot!$B$1:$AB$65000,$B1170,K$5)="",2,0)),0)</f>
        <v>0</v>
      </c>
      <c r="L1170" s="194">
        <f>IFERROR(IF(INDEX([1]Pivot!$AD$1:$BE$65000,$B1170,L$5)=1,1,IF(INDEX([1]Pivot!$B$1:$AB$65000,$B1170,L$5)="",2,0)),0)</f>
        <v>0</v>
      </c>
      <c r="M1170" s="194">
        <f>IFERROR(IF(INDEX([1]Pivot!$AD$1:$BE$65000,$B1170,M$5)=1,1,IF(INDEX([1]Pivot!$B$1:$AB$65000,$B1170,M$5)="",2,0)),0)</f>
        <v>0</v>
      </c>
      <c r="N1170" s="194">
        <f>IFERROR(IF(INDEX([1]Pivot!$AD$1:$BE$65000,$B1170,N$5)=1,1,IF(INDEX([1]Pivot!$B$1:$AB$65000,$B1170,N$5)="",2,0)),0)</f>
        <v>0</v>
      </c>
      <c r="O1170" s="194">
        <f>IFERROR(IF(INDEX([1]Pivot!$AD$1:$BE$65000,$B1170,O$5)=1,1,IF(INDEX([1]Pivot!$B$1:$AB$65000,$B1170,O$5)="",2,0)),0)</f>
        <v>0</v>
      </c>
      <c r="P1170" s="194">
        <f>IFERROR(IF(INDEX([1]Pivot!$AD$1:$BE$65000,$B1170,P$5)=1,1,IF(INDEX([1]Pivot!$B$1:$AB$65000,$B1170,P$5)="",2,0)),0)</f>
        <v>0</v>
      </c>
      <c r="Q1170" s="194">
        <f>IFERROR(IF(INDEX([1]Pivot!$AD$1:$BE$65000,$B1170,Q$5)=1,1,IF(INDEX([1]Pivot!$B$1:$AB$65000,$B1170,Q$5)="",2,0)),0)</f>
        <v>0</v>
      </c>
      <c r="R1170" s="312"/>
      <c r="S1170" s="194">
        <f>IFERROR(IF(INDEX([1]Pivot!$AD$1:$BE$65000,$B1170,S$5)=1,1,IF(INDEX([1]Pivot!$B$1:$AB$65000,$B1170,S$5)="",2,0)),0)</f>
        <v>0</v>
      </c>
      <c r="T1170" s="194">
        <f>IFERROR(IF(INDEX([1]Pivot!$AD$1:$BE$65000,$B1170,T$5)=1,1,IF(INDEX([1]Pivot!$B$1:$AB$65000,$B1170,T$5)="",2,0)),0)</f>
        <v>0</v>
      </c>
      <c r="U1170" s="194">
        <f>IFERROR(IF(INDEX([1]Pivot!$AD$1:$BE$65000,$B1170,U$5)=1,1,IF(INDEX([1]Pivot!$B$1:$AB$65000,$B1170,U$5)="",2,0)),0)</f>
        <v>0</v>
      </c>
      <c r="V1170" s="194">
        <f>IFERROR(IF(INDEX([1]Pivot!$AD$1:$BE$65000,$B1170,V$5)=1,1,IF(INDEX([1]Pivot!$B$1:$AB$65000,$B1170,V$5)="",2,0)),0)</f>
        <v>0</v>
      </c>
      <c r="W1170" s="194">
        <f>IFERROR(IF(INDEX([1]Pivot!$AD$1:$BE$65000,$B1170,W$5)=1,1,IF(INDEX([1]Pivot!$B$1:$AB$65000,$B1170,W$5)="",2,0)),0)</f>
        <v>0</v>
      </c>
      <c r="X1170" s="194">
        <f>IFERROR(IF(INDEX([1]Pivot!$AD$1:$BE$65000,$B1170,X$5)=1,1,IF(INDEX([1]Pivot!$B$1:$AB$65000,$B1170,X$5)="",2,0)),0)</f>
        <v>0</v>
      </c>
      <c r="Y1170" s="194">
        <f>IFERROR(IF(INDEX([1]Pivot!$AD$1:$BE$65000,$B1170,Y$5)=1,1,IF(INDEX([1]Pivot!$B$1:$AB$65000,$B1170,Y$5)="",2,0)),0)</f>
        <v>0</v>
      </c>
      <c r="Z1170" s="194">
        <f>IFERROR(IF(INDEX([1]Pivot!$AD$1:$BE$65000,$B1170,Z$5)=1,1,IF(INDEX([1]Pivot!$B$1:$AB$65000,$B1170,Z$5)="",2,0)),0)</f>
        <v>0</v>
      </c>
      <c r="AA1170" s="194">
        <f>IFERROR(IF(INDEX([1]Pivot!$AD$1:$BE$65000,$B1170,AA$5)=1,1,IF(INDEX([1]Pivot!$B$1:$AB$65000,$B1170,AA$5)="",2,0)),0)</f>
        <v>0</v>
      </c>
      <c r="AB1170" s="194">
        <f>IFERROR(IF(INDEX([1]Pivot!$AD$1:$BE$65000,$B1170,AB$5)=1,1,IF(INDEX([1]Pivot!$B$1:$AB$65000,$B1170,AB$5)="",2,0)),0)</f>
        <v>0</v>
      </c>
      <c r="AC1170" s="194">
        <f>IFERROR(IF(INDEX([1]Pivot!$AD$1:$BE$65000,$B1170,AC$5)=1,1,IF(INDEX([1]Pivot!$B$1:$AB$65000,$B1170,AC$5)="",2,0)),0)</f>
        <v>0</v>
      </c>
      <c r="AD1170" s="313">
        <f>IFERROR(IF(INDEX([1]Pivot!$BF$1:$CG$65000,$B1170,AD$5)=1,1,IF(INDEX([1]Pivot!$B$1:$AB$65000,$B1170,AD$5)="",2,0)),0)</f>
        <v>0</v>
      </c>
      <c r="AE1170" s="313">
        <f>IFERROR(IF(INDEX([1]Pivot!$BF$1:$CG$65000,$B1170,AE$5)=1,1,IF(INDEX([1]Pivot!$B$1:$AB$65000,$B1170,AE$5)="",2,0)),0)</f>
        <v>0</v>
      </c>
      <c r="AF1170" s="313">
        <f>IFERROR(IF(INDEX([1]Pivot!$BF$1:$CG$65000,$B1170,AF$5)=1,1,IF(INDEX([1]Pivot!$B$1:$AB$65000,$B1170,AF$5)="",2,0)),0)</f>
        <v>0</v>
      </c>
      <c r="AG1170" s="313">
        <f>IFERROR(IF(INDEX([1]Pivot!$BF$1:$CG$65000,$B1170,AG$5)=1,1,IF(INDEX([1]Pivot!$B$1:$AB$65000,$B1170,AG$5)="",2,0)),0)</f>
        <v>0</v>
      </c>
      <c r="AH1170" s="313">
        <f>IFERROR(IF(INDEX([1]Pivot!$BF$1:$CG$65000,$B1170,AH$5)=1,1,IF(INDEX([1]Pivot!$B$1:$AB$65000,$B1170,AH$5)="",2,0)),0)</f>
        <v>0</v>
      </c>
      <c r="AI1170" s="313">
        <f>IFERROR(IF(INDEX([1]Pivot!$BF$1:$CG$65000,$B1170,AI$5)=1,1,IF(INDEX([1]Pivot!$B$1:$AB$65000,$B1170,AI$5)="",2,0)),0)</f>
        <v>0</v>
      </c>
      <c r="AJ1170" s="313">
        <f>IFERROR(IF(INDEX([1]Pivot!$BF$1:$CG$65000,$B1170,AJ$5)=1,1,IF(INDEX([1]Pivot!$B$1:$AB$65000,$B1170,AJ$5)="",2,0)),0)</f>
        <v>0</v>
      </c>
      <c r="AK1170" s="313">
        <f>IFERROR(IF(INDEX([1]Pivot!$BF$1:$CG$65000,$B1170,AK$5)=1,1,IF(INDEX([1]Pivot!$B$1:$AB$65000,$B1170,AK$5)="",2,0)),0)</f>
        <v>0</v>
      </c>
      <c r="AL1170" s="313">
        <f>IFERROR(IF(INDEX([1]Pivot!$BF$1:$CG$65000,$B1170,AL$5)=1,1,IF(INDEX([1]Pivot!$B$1:$AB$65000,$B1170,AL$5)="",2,0)),0)</f>
        <v>0</v>
      </c>
      <c r="AM1170" s="313">
        <f>IFERROR(IF(INDEX([1]Pivot!$BF$1:$CG$65000,$B1170,AM$5)=1,1,IF(INDEX([1]Pivot!$B$1:$AB$65000,$B1170,AM$5)="",2,0)),0)</f>
        <v>0</v>
      </c>
      <c r="AN1170" s="313">
        <f>IFERROR(IF(INDEX([1]Pivot!$BF$1:$CG$65000,$B1170,AN$5)=1,1,IF(INDEX([1]Pivot!$B$1:$AB$65000,$B1170,AN$5)="",2,0)),0)</f>
        <v>0</v>
      </c>
      <c r="AO1170" s="313">
        <f>IFERROR(IF(INDEX([1]Pivot!$BF$1:$CG$65000,$B1170,AO$5)=1,1,IF(INDEX([1]Pivot!$B$1:$AB$65000,$B1170,AO$5)="",2,0)),0)</f>
        <v>0</v>
      </c>
      <c r="AP1170" s="313">
        <f>IFERROR(IF(INDEX([1]Pivot!$BF$1:$CG$65000,$B1170,AP$5)=1,1,IF(INDEX([1]Pivot!$B$1:$AB$65000,$B1170,AP$5)="",2,0)),0)</f>
        <v>0</v>
      </c>
      <c r="AQ1170" s="313">
        <f>IFERROR(IF(INDEX([1]Pivot!$BF$1:$CG$65000,$B1170,AQ$5)=1,1,IF(INDEX([1]Pivot!$B$1:$AB$65000,$B1170,AQ$5)="",2,0)),0)</f>
        <v>0</v>
      </c>
      <c r="AR1170" s="313">
        <f>IFERROR(IF(INDEX([1]Pivot!$BF$1:$CG$65000,$B1170,AR$5)=1,1,IF(INDEX([1]Pivot!$B$1:$AB$65000,$B1170,AR$5)="",2,0)),0)</f>
        <v>0</v>
      </c>
      <c r="AS1170" s="312"/>
      <c r="AT1170" s="313">
        <f>IFERROR(IF(INDEX([1]Pivot!$BF$1:$CG$65000,$B1170,AT$5)=1,1,IF(INDEX([1]Pivot!$B$1:$AB$65000,$B1170,AT$5)="",2,0)),0)</f>
        <v>0</v>
      </c>
      <c r="AU1170" s="313">
        <f>IFERROR(IF(INDEX([1]Pivot!$BF$1:$CG$65000,$B1170,AU$5)=1,1,IF(INDEX([1]Pivot!$B$1:$AB$65000,$B1170,AU$5)="",2,0)),0)</f>
        <v>0</v>
      </c>
      <c r="AV1170" s="313">
        <f>IFERROR(IF(INDEX([1]Pivot!$BF$1:$CG$65000,$B1170,AV$5)=1,1,IF(INDEX([1]Pivot!$B$1:$AB$65000,$B1170,AV$5)="",2,0)),0)</f>
        <v>0</v>
      </c>
      <c r="AW1170" s="313">
        <f>IFERROR(IF(INDEX([1]Pivot!$BF$1:$CG$65000,$B1170,AW$5)=1,1,IF(INDEX([1]Pivot!$B$1:$AB$65000,$B1170,AW$5)="",2,0)),0)</f>
        <v>0</v>
      </c>
      <c r="AX1170" s="313">
        <f>IFERROR(IF(INDEX([1]Pivot!$BF$1:$CG$65000,$B1170,AX$5)=1,1,IF(INDEX([1]Pivot!$B$1:$AB$65000,$B1170,AX$5)="",2,0)),0)</f>
        <v>0</v>
      </c>
      <c r="AY1170" s="313">
        <f>IFERROR(IF(INDEX([1]Pivot!$BF$1:$CG$65000,$B1170,AY$5)=1,1,IF(INDEX([1]Pivot!$B$1:$AB$65000,$B1170,AY$5)="",2,0)),0)</f>
        <v>0</v>
      </c>
      <c r="AZ1170" s="313">
        <f>IFERROR(IF(INDEX([1]Pivot!$BF$1:$CG$65000,$B1170,AZ$5)=1,1,IF(INDEX([1]Pivot!$B$1:$AB$65000,$B1170,AZ$5)="",2,0)),0)</f>
        <v>0</v>
      </c>
      <c r="BA1170" s="313">
        <f>IFERROR(IF(INDEX([1]Pivot!$BF$1:$CG$65000,$B1170,BA$5)=1,1,IF(INDEX([1]Pivot!$B$1:$AB$65000,$B1170,BA$5)="",2,0)),0)</f>
        <v>0</v>
      </c>
      <c r="BB1170" s="313">
        <f>IFERROR(IF(INDEX([1]Pivot!$BF$1:$CG$65000,$B1170,BB$5)=1,1,IF(INDEX([1]Pivot!$B$1:$AB$65000,$B1170,BB$5)="",2,0)),0)</f>
        <v>0</v>
      </c>
      <c r="BC1170" s="313">
        <f>IFERROR(IF(INDEX([1]Pivot!$BF$1:$CG$65000,$B1170,BC$5)=1,1,IF(INDEX([1]Pivot!$B$1:$AB$65000,$B1170,BC$5)="",2,0)),0)</f>
        <v>0</v>
      </c>
      <c r="BD1170" s="313">
        <f>IFERROR(IF(INDEX([1]Pivot!$BF$1:$CG$65000,$B1170,BD$5)=1,1,IF(INDEX([1]Pivot!$B$1:$AB$65000,$B1170,BD$5)="",2,0)),0)</f>
        <v>0</v>
      </c>
    </row>
    <row r="1171" spans="1:56" x14ac:dyDescent="0.25">
      <c r="A1171" s="288">
        <f>'[2]Raw Milk Prices'!A1171</f>
        <v>0</v>
      </c>
      <c r="B1171" s="296" t="e">
        <f>MATCH(DATE(LEFT('[2]Raw Milk Prices'!$A1171,4),RIGHT('[2]Raw Milk Prices'!$A1171,2),1),[1]Pivot!$A$1:$A$65000,0)</f>
        <v>#VALUE!</v>
      </c>
      <c r="C1171" s="194">
        <f>IFERROR(IF(INDEX([1]Pivot!$AD$1:$BE$65000,$B1171,C$5)=1,1,IF(INDEX([1]Pivot!$B$1:$AB$65000,$B1171,C$5)="",2,0)),0)</f>
        <v>0</v>
      </c>
      <c r="D1171" s="194">
        <f>IFERROR(IF(INDEX([1]Pivot!$AD$1:$BE$65000,$B1171,D$5)=1,1,IF(INDEX([1]Pivot!$B$1:$AB$65000,$B1171,D$5)="",2,0)),0)</f>
        <v>0</v>
      </c>
      <c r="E1171" s="194">
        <f>IFERROR(IF(INDEX([1]Pivot!$AD$1:$BE$65000,$B1171,E$5)=1,1,IF(INDEX([1]Pivot!$B$1:$AB$65000,$B1171,E$5)="",2,0)),0)</f>
        <v>0</v>
      </c>
      <c r="F1171" s="194">
        <f>IFERROR(IF(INDEX([1]Pivot!$AD$1:$BE$65000,$B1171,F$5)=1,1,IF(INDEX([1]Pivot!$B$1:$AB$65000,$B1171,F$5)="",2,0)),0)</f>
        <v>0</v>
      </c>
      <c r="G1171" s="194">
        <f>IFERROR(IF(INDEX([1]Pivot!$AD$1:$BE$65000,$B1171,G$5)=1,1,IF(INDEX([1]Pivot!$B$1:$AB$65000,$B1171,G$5)="",2,0)),0)</f>
        <v>0</v>
      </c>
      <c r="H1171" s="194">
        <f>IFERROR(IF(INDEX([1]Pivot!$AD$1:$BE$65000,$B1171,H$5)=1,1,IF(INDEX([1]Pivot!$B$1:$AB$65000,$B1171,H$5)="",2,0)),0)</f>
        <v>0</v>
      </c>
      <c r="I1171" s="194">
        <f>IFERROR(IF(INDEX([1]Pivot!$AD$1:$BE$65000,$B1171,I$5)=1,1,IF(INDEX([1]Pivot!$B$1:$AB$65000,$B1171,I$5)="",2,0)),0)</f>
        <v>0</v>
      </c>
      <c r="J1171" s="194">
        <f>IFERROR(IF(INDEX([1]Pivot!$AD$1:$BE$65000,$B1171,J$5)=1,1,IF(INDEX([1]Pivot!$B$1:$AB$65000,$B1171,J$5)="",2,0)),0)</f>
        <v>0</v>
      </c>
      <c r="K1171" s="194">
        <f>IFERROR(IF(INDEX([1]Pivot!$AD$1:$BE$65000,$B1171,K$5)=1,1,IF(INDEX([1]Pivot!$B$1:$AB$65000,$B1171,K$5)="",2,0)),0)</f>
        <v>0</v>
      </c>
      <c r="L1171" s="194">
        <f>IFERROR(IF(INDEX([1]Pivot!$AD$1:$BE$65000,$B1171,L$5)=1,1,IF(INDEX([1]Pivot!$B$1:$AB$65000,$B1171,L$5)="",2,0)),0)</f>
        <v>0</v>
      </c>
      <c r="M1171" s="194">
        <f>IFERROR(IF(INDEX([1]Pivot!$AD$1:$BE$65000,$B1171,M$5)=1,1,IF(INDEX([1]Pivot!$B$1:$AB$65000,$B1171,M$5)="",2,0)),0)</f>
        <v>0</v>
      </c>
      <c r="N1171" s="194">
        <f>IFERROR(IF(INDEX([1]Pivot!$AD$1:$BE$65000,$B1171,N$5)=1,1,IF(INDEX([1]Pivot!$B$1:$AB$65000,$B1171,N$5)="",2,0)),0)</f>
        <v>0</v>
      </c>
      <c r="O1171" s="194">
        <f>IFERROR(IF(INDEX([1]Pivot!$AD$1:$BE$65000,$B1171,O$5)=1,1,IF(INDEX([1]Pivot!$B$1:$AB$65000,$B1171,O$5)="",2,0)),0)</f>
        <v>0</v>
      </c>
      <c r="P1171" s="194">
        <f>IFERROR(IF(INDEX([1]Pivot!$AD$1:$BE$65000,$B1171,P$5)=1,1,IF(INDEX([1]Pivot!$B$1:$AB$65000,$B1171,P$5)="",2,0)),0)</f>
        <v>0</v>
      </c>
      <c r="Q1171" s="194">
        <f>IFERROR(IF(INDEX([1]Pivot!$AD$1:$BE$65000,$B1171,Q$5)=1,1,IF(INDEX([1]Pivot!$B$1:$AB$65000,$B1171,Q$5)="",2,0)),0)</f>
        <v>0</v>
      </c>
      <c r="R1171" s="312"/>
      <c r="S1171" s="194">
        <f>IFERROR(IF(INDEX([1]Pivot!$AD$1:$BE$65000,$B1171,S$5)=1,1,IF(INDEX([1]Pivot!$B$1:$AB$65000,$B1171,S$5)="",2,0)),0)</f>
        <v>0</v>
      </c>
      <c r="T1171" s="194">
        <f>IFERROR(IF(INDEX([1]Pivot!$AD$1:$BE$65000,$B1171,T$5)=1,1,IF(INDEX([1]Pivot!$B$1:$AB$65000,$B1171,T$5)="",2,0)),0)</f>
        <v>0</v>
      </c>
      <c r="U1171" s="194">
        <f>IFERROR(IF(INDEX([1]Pivot!$AD$1:$BE$65000,$B1171,U$5)=1,1,IF(INDEX([1]Pivot!$B$1:$AB$65000,$B1171,U$5)="",2,0)),0)</f>
        <v>0</v>
      </c>
      <c r="V1171" s="194">
        <f>IFERROR(IF(INDEX([1]Pivot!$AD$1:$BE$65000,$B1171,V$5)=1,1,IF(INDEX([1]Pivot!$B$1:$AB$65000,$B1171,V$5)="",2,0)),0)</f>
        <v>0</v>
      </c>
      <c r="W1171" s="194">
        <f>IFERROR(IF(INDEX([1]Pivot!$AD$1:$BE$65000,$B1171,W$5)=1,1,IF(INDEX([1]Pivot!$B$1:$AB$65000,$B1171,W$5)="",2,0)),0)</f>
        <v>0</v>
      </c>
      <c r="X1171" s="194">
        <f>IFERROR(IF(INDEX([1]Pivot!$AD$1:$BE$65000,$B1171,X$5)=1,1,IF(INDEX([1]Pivot!$B$1:$AB$65000,$B1171,X$5)="",2,0)),0)</f>
        <v>0</v>
      </c>
      <c r="Y1171" s="194">
        <f>IFERROR(IF(INDEX([1]Pivot!$AD$1:$BE$65000,$B1171,Y$5)=1,1,IF(INDEX([1]Pivot!$B$1:$AB$65000,$B1171,Y$5)="",2,0)),0)</f>
        <v>0</v>
      </c>
      <c r="Z1171" s="194">
        <f>IFERROR(IF(INDEX([1]Pivot!$AD$1:$BE$65000,$B1171,Z$5)=1,1,IF(INDEX([1]Pivot!$B$1:$AB$65000,$B1171,Z$5)="",2,0)),0)</f>
        <v>0</v>
      </c>
      <c r="AA1171" s="194">
        <f>IFERROR(IF(INDEX([1]Pivot!$AD$1:$BE$65000,$B1171,AA$5)=1,1,IF(INDEX([1]Pivot!$B$1:$AB$65000,$B1171,AA$5)="",2,0)),0)</f>
        <v>0</v>
      </c>
      <c r="AB1171" s="194">
        <f>IFERROR(IF(INDEX([1]Pivot!$AD$1:$BE$65000,$B1171,AB$5)=1,1,IF(INDEX([1]Pivot!$B$1:$AB$65000,$B1171,AB$5)="",2,0)),0)</f>
        <v>0</v>
      </c>
      <c r="AC1171" s="194">
        <f>IFERROR(IF(INDEX([1]Pivot!$AD$1:$BE$65000,$B1171,AC$5)=1,1,IF(INDEX([1]Pivot!$B$1:$AB$65000,$B1171,AC$5)="",2,0)),0)</f>
        <v>0</v>
      </c>
      <c r="AD1171" s="313">
        <f>IFERROR(IF(INDEX([1]Pivot!$BF$1:$CG$65000,$B1171,AD$5)=1,1,IF(INDEX([1]Pivot!$B$1:$AB$65000,$B1171,AD$5)="",2,0)),0)</f>
        <v>0</v>
      </c>
      <c r="AE1171" s="313">
        <f>IFERROR(IF(INDEX([1]Pivot!$BF$1:$CG$65000,$B1171,AE$5)=1,1,IF(INDEX([1]Pivot!$B$1:$AB$65000,$B1171,AE$5)="",2,0)),0)</f>
        <v>0</v>
      </c>
      <c r="AF1171" s="313">
        <f>IFERROR(IF(INDEX([1]Pivot!$BF$1:$CG$65000,$B1171,AF$5)=1,1,IF(INDEX([1]Pivot!$B$1:$AB$65000,$B1171,AF$5)="",2,0)),0)</f>
        <v>0</v>
      </c>
      <c r="AG1171" s="313">
        <f>IFERROR(IF(INDEX([1]Pivot!$BF$1:$CG$65000,$B1171,AG$5)=1,1,IF(INDEX([1]Pivot!$B$1:$AB$65000,$B1171,AG$5)="",2,0)),0)</f>
        <v>0</v>
      </c>
      <c r="AH1171" s="313">
        <f>IFERROR(IF(INDEX([1]Pivot!$BF$1:$CG$65000,$B1171,AH$5)=1,1,IF(INDEX([1]Pivot!$B$1:$AB$65000,$B1171,AH$5)="",2,0)),0)</f>
        <v>0</v>
      </c>
      <c r="AI1171" s="313">
        <f>IFERROR(IF(INDEX([1]Pivot!$BF$1:$CG$65000,$B1171,AI$5)=1,1,IF(INDEX([1]Pivot!$B$1:$AB$65000,$B1171,AI$5)="",2,0)),0)</f>
        <v>0</v>
      </c>
      <c r="AJ1171" s="313">
        <f>IFERROR(IF(INDEX([1]Pivot!$BF$1:$CG$65000,$B1171,AJ$5)=1,1,IF(INDEX([1]Pivot!$B$1:$AB$65000,$B1171,AJ$5)="",2,0)),0)</f>
        <v>0</v>
      </c>
      <c r="AK1171" s="313">
        <f>IFERROR(IF(INDEX([1]Pivot!$BF$1:$CG$65000,$B1171,AK$5)=1,1,IF(INDEX([1]Pivot!$B$1:$AB$65000,$B1171,AK$5)="",2,0)),0)</f>
        <v>0</v>
      </c>
      <c r="AL1171" s="313">
        <f>IFERROR(IF(INDEX([1]Pivot!$BF$1:$CG$65000,$B1171,AL$5)=1,1,IF(INDEX([1]Pivot!$B$1:$AB$65000,$B1171,AL$5)="",2,0)),0)</f>
        <v>0</v>
      </c>
      <c r="AM1171" s="313">
        <f>IFERROR(IF(INDEX([1]Pivot!$BF$1:$CG$65000,$B1171,AM$5)=1,1,IF(INDEX([1]Pivot!$B$1:$AB$65000,$B1171,AM$5)="",2,0)),0)</f>
        <v>0</v>
      </c>
      <c r="AN1171" s="313">
        <f>IFERROR(IF(INDEX([1]Pivot!$BF$1:$CG$65000,$B1171,AN$5)=1,1,IF(INDEX([1]Pivot!$B$1:$AB$65000,$B1171,AN$5)="",2,0)),0)</f>
        <v>0</v>
      </c>
      <c r="AO1171" s="313">
        <f>IFERROR(IF(INDEX([1]Pivot!$BF$1:$CG$65000,$B1171,AO$5)=1,1,IF(INDEX([1]Pivot!$B$1:$AB$65000,$B1171,AO$5)="",2,0)),0)</f>
        <v>0</v>
      </c>
      <c r="AP1171" s="313">
        <f>IFERROR(IF(INDEX([1]Pivot!$BF$1:$CG$65000,$B1171,AP$5)=1,1,IF(INDEX([1]Pivot!$B$1:$AB$65000,$B1171,AP$5)="",2,0)),0)</f>
        <v>0</v>
      </c>
      <c r="AQ1171" s="313">
        <f>IFERROR(IF(INDEX([1]Pivot!$BF$1:$CG$65000,$B1171,AQ$5)=1,1,IF(INDEX([1]Pivot!$B$1:$AB$65000,$B1171,AQ$5)="",2,0)),0)</f>
        <v>0</v>
      </c>
      <c r="AR1171" s="313">
        <f>IFERROR(IF(INDEX([1]Pivot!$BF$1:$CG$65000,$B1171,AR$5)=1,1,IF(INDEX([1]Pivot!$B$1:$AB$65000,$B1171,AR$5)="",2,0)),0)</f>
        <v>0</v>
      </c>
      <c r="AS1171" s="312"/>
      <c r="AT1171" s="313">
        <f>IFERROR(IF(INDEX([1]Pivot!$BF$1:$CG$65000,$B1171,AT$5)=1,1,IF(INDEX([1]Pivot!$B$1:$AB$65000,$B1171,AT$5)="",2,0)),0)</f>
        <v>0</v>
      </c>
      <c r="AU1171" s="313">
        <f>IFERROR(IF(INDEX([1]Pivot!$BF$1:$CG$65000,$B1171,AU$5)=1,1,IF(INDEX([1]Pivot!$B$1:$AB$65000,$B1171,AU$5)="",2,0)),0)</f>
        <v>0</v>
      </c>
      <c r="AV1171" s="313">
        <f>IFERROR(IF(INDEX([1]Pivot!$BF$1:$CG$65000,$B1171,AV$5)=1,1,IF(INDEX([1]Pivot!$B$1:$AB$65000,$B1171,AV$5)="",2,0)),0)</f>
        <v>0</v>
      </c>
      <c r="AW1171" s="313">
        <f>IFERROR(IF(INDEX([1]Pivot!$BF$1:$CG$65000,$B1171,AW$5)=1,1,IF(INDEX([1]Pivot!$B$1:$AB$65000,$B1171,AW$5)="",2,0)),0)</f>
        <v>0</v>
      </c>
      <c r="AX1171" s="313">
        <f>IFERROR(IF(INDEX([1]Pivot!$BF$1:$CG$65000,$B1171,AX$5)=1,1,IF(INDEX([1]Pivot!$B$1:$AB$65000,$B1171,AX$5)="",2,0)),0)</f>
        <v>0</v>
      </c>
      <c r="AY1171" s="313">
        <f>IFERROR(IF(INDEX([1]Pivot!$BF$1:$CG$65000,$B1171,AY$5)=1,1,IF(INDEX([1]Pivot!$B$1:$AB$65000,$B1171,AY$5)="",2,0)),0)</f>
        <v>0</v>
      </c>
      <c r="AZ1171" s="313">
        <f>IFERROR(IF(INDEX([1]Pivot!$BF$1:$CG$65000,$B1171,AZ$5)=1,1,IF(INDEX([1]Pivot!$B$1:$AB$65000,$B1171,AZ$5)="",2,0)),0)</f>
        <v>0</v>
      </c>
      <c r="BA1171" s="313">
        <f>IFERROR(IF(INDEX([1]Pivot!$BF$1:$CG$65000,$B1171,BA$5)=1,1,IF(INDEX([1]Pivot!$B$1:$AB$65000,$B1171,BA$5)="",2,0)),0)</f>
        <v>0</v>
      </c>
      <c r="BB1171" s="313">
        <f>IFERROR(IF(INDEX([1]Pivot!$BF$1:$CG$65000,$B1171,BB$5)=1,1,IF(INDEX([1]Pivot!$B$1:$AB$65000,$B1171,BB$5)="",2,0)),0)</f>
        <v>0</v>
      </c>
      <c r="BC1171" s="313">
        <f>IFERROR(IF(INDEX([1]Pivot!$BF$1:$CG$65000,$B1171,BC$5)=1,1,IF(INDEX([1]Pivot!$B$1:$AB$65000,$B1171,BC$5)="",2,0)),0)</f>
        <v>0</v>
      </c>
      <c r="BD1171" s="313">
        <f>IFERROR(IF(INDEX([1]Pivot!$BF$1:$CG$65000,$B1171,BD$5)=1,1,IF(INDEX([1]Pivot!$B$1:$AB$65000,$B1171,BD$5)="",2,0)),0)</f>
        <v>0</v>
      </c>
    </row>
    <row r="1172" spans="1:56" x14ac:dyDescent="0.25">
      <c r="A1172" s="288">
        <f>'[2]Raw Milk Prices'!A1172</f>
        <v>0</v>
      </c>
      <c r="B1172" s="296" t="e">
        <f>MATCH(DATE(LEFT('[2]Raw Milk Prices'!$A1172,4),RIGHT('[2]Raw Milk Prices'!$A1172,2),1),[1]Pivot!$A$1:$A$65000,0)</f>
        <v>#VALUE!</v>
      </c>
      <c r="C1172" s="194">
        <f>IFERROR(IF(INDEX([1]Pivot!$AD$1:$BE$65000,$B1172,C$5)=1,1,IF(INDEX([1]Pivot!$B$1:$AB$65000,$B1172,C$5)="",2,0)),0)</f>
        <v>0</v>
      </c>
      <c r="D1172" s="194">
        <f>IFERROR(IF(INDEX([1]Pivot!$AD$1:$BE$65000,$B1172,D$5)=1,1,IF(INDEX([1]Pivot!$B$1:$AB$65000,$B1172,D$5)="",2,0)),0)</f>
        <v>0</v>
      </c>
      <c r="E1172" s="194">
        <f>IFERROR(IF(INDEX([1]Pivot!$AD$1:$BE$65000,$B1172,E$5)=1,1,IF(INDEX([1]Pivot!$B$1:$AB$65000,$B1172,E$5)="",2,0)),0)</f>
        <v>0</v>
      </c>
      <c r="F1172" s="194">
        <f>IFERROR(IF(INDEX([1]Pivot!$AD$1:$BE$65000,$B1172,F$5)=1,1,IF(INDEX([1]Pivot!$B$1:$AB$65000,$B1172,F$5)="",2,0)),0)</f>
        <v>0</v>
      </c>
      <c r="G1172" s="194">
        <f>IFERROR(IF(INDEX([1]Pivot!$AD$1:$BE$65000,$B1172,G$5)=1,1,IF(INDEX([1]Pivot!$B$1:$AB$65000,$B1172,G$5)="",2,0)),0)</f>
        <v>0</v>
      </c>
      <c r="H1172" s="194">
        <f>IFERROR(IF(INDEX([1]Pivot!$AD$1:$BE$65000,$B1172,H$5)=1,1,IF(INDEX([1]Pivot!$B$1:$AB$65000,$B1172,H$5)="",2,0)),0)</f>
        <v>0</v>
      </c>
      <c r="I1172" s="194">
        <f>IFERROR(IF(INDEX([1]Pivot!$AD$1:$BE$65000,$B1172,I$5)=1,1,IF(INDEX([1]Pivot!$B$1:$AB$65000,$B1172,I$5)="",2,0)),0)</f>
        <v>0</v>
      </c>
      <c r="J1172" s="194">
        <f>IFERROR(IF(INDEX([1]Pivot!$AD$1:$BE$65000,$B1172,J$5)=1,1,IF(INDEX([1]Pivot!$B$1:$AB$65000,$B1172,J$5)="",2,0)),0)</f>
        <v>0</v>
      </c>
      <c r="K1172" s="194">
        <f>IFERROR(IF(INDEX([1]Pivot!$AD$1:$BE$65000,$B1172,K$5)=1,1,IF(INDEX([1]Pivot!$B$1:$AB$65000,$B1172,K$5)="",2,0)),0)</f>
        <v>0</v>
      </c>
      <c r="L1172" s="194">
        <f>IFERROR(IF(INDEX([1]Pivot!$AD$1:$BE$65000,$B1172,L$5)=1,1,IF(INDEX([1]Pivot!$B$1:$AB$65000,$B1172,L$5)="",2,0)),0)</f>
        <v>0</v>
      </c>
      <c r="M1172" s="194">
        <f>IFERROR(IF(INDEX([1]Pivot!$AD$1:$BE$65000,$B1172,M$5)=1,1,IF(INDEX([1]Pivot!$B$1:$AB$65000,$B1172,M$5)="",2,0)),0)</f>
        <v>0</v>
      </c>
      <c r="N1172" s="194">
        <f>IFERROR(IF(INDEX([1]Pivot!$AD$1:$BE$65000,$B1172,N$5)=1,1,IF(INDEX([1]Pivot!$B$1:$AB$65000,$B1172,N$5)="",2,0)),0)</f>
        <v>0</v>
      </c>
      <c r="O1172" s="194">
        <f>IFERROR(IF(INDEX([1]Pivot!$AD$1:$BE$65000,$B1172,O$5)=1,1,IF(INDEX([1]Pivot!$B$1:$AB$65000,$B1172,O$5)="",2,0)),0)</f>
        <v>0</v>
      </c>
      <c r="P1172" s="194">
        <f>IFERROR(IF(INDEX([1]Pivot!$AD$1:$BE$65000,$B1172,P$5)=1,1,IF(INDEX([1]Pivot!$B$1:$AB$65000,$B1172,P$5)="",2,0)),0)</f>
        <v>0</v>
      </c>
      <c r="Q1172" s="194">
        <f>IFERROR(IF(INDEX([1]Pivot!$AD$1:$BE$65000,$B1172,Q$5)=1,1,IF(INDEX([1]Pivot!$B$1:$AB$65000,$B1172,Q$5)="",2,0)),0)</f>
        <v>0</v>
      </c>
      <c r="R1172" s="312"/>
      <c r="S1172" s="194">
        <f>IFERROR(IF(INDEX([1]Pivot!$AD$1:$BE$65000,$B1172,S$5)=1,1,IF(INDEX([1]Pivot!$B$1:$AB$65000,$B1172,S$5)="",2,0)),0)</f>
        <v>0</v>
      </c>
      <c r="T1172" s="194">
        <f>IFERROR(IF(INDEX([1]Pivot!$AD$1:$BE$65000,$B1172,T$5)=1,1,IF(INDEX([1]Pivot!$B$1:$AB$65000,$B1172,T$5)="",2,0)),0)</f>
        <v>0</v>
      </c>
      <c r="U1172" s="194">
        <f>IFERROR(IF(INDEX([1]Pivot!$AD$1:$BE$65000,$B1172,U$5)=1,1,IF(INDEX([1]Pivot!$B$1:$AB$65000,$B1172,U$5)="",2,0)),0)</f>
        <v>0</v>
      </c>
      <c r="V1172" s="194">
        <f>IFERROR(IF(INDEX([1]Pivot!$AD$1:$BE$65000,$B1172,V$5)=1,1,IF(INDEX([1]Pivot!$B$1:$AB$65000,$B1172,V$5)="",2,0)),0)</f>
        <v>0</v>
      </c>
      <c r="W1172" s="194">
        <f>IFERROR(IF(INDEX([1]Pivot!$AD$1:$BE$65000,$B1172,W$5)=1,1,IF(INDEX([1]Pivot!$B$1:$AB$65000,$B1172,W$5)="",2,0)),0)</f>
        <v>0</v>
      </c>
      <c r="X1172" s="194">
        <f>IFERROR(IF(INDEX([1]Pivot!$AD$1:$BE$65000,$B1172,X$5)=1,1,IF(INDEX([1]Pivot!$B$1:$AB$65000,$B1172,X$5)="",2,0)),0)</f>
        <v>0</v>
      </c>
      <c r="Y1172" s="194">
        <f>IFERROR(IF(INDEX([1]Pivot!$AD$1:$BE$65000,$B1172,Y$5)=1,1,IF(INDEX([1]Pivot!$B$1:$AB$65000,$B1172,Y$5)="",2,0)),0)</f>
        <v>0</v>
      </c>
      <c r="Z1172" s="194">
        <f>IFERROR(IF(INDEX([1]Pivot!$AD$1:$BE$65000,$B1172,Z$5)=1,1,IF(INDEX([1]Pivot!$B$1:$AB$65000,$B1172,Z$5)="",2,0)),0)</f>
        <v>0</v>
      </c>
      <c r="AA1172" s="194">
        <f>IFERROR(IF(INDEX([1]Pivot!$AD$1:$BE$65000,$B1172,AA$5)=1,1,IF(INDEX([1]Pivot!$B$1:$AB$65000,$B1172,AA$5)="",2,0)),0)</f>
        <v>0</v>
      </c>
      <c r="AB1172" s="194">
        <f>IFERROR(IF(INDEX([1]Pivot!$AD$1:$BE$65000,$B1172,AB$5)=1,1,IF(INDEX([1]Pivot!$B$1:$AB$65000,$B1172,AB$5)="",2,0)),0)</f>
        <v>0</v>
      </c>
      <c r="AC1172" s="194">
        <f>IFERROR(IF(INDEX([1]Pivot!$AD$1:$BE$65000,$B1172,AC$5)=1,1,IF(INDEX([1]Pivot!$B$1:$AB$65000,$B1172,AC$5)="",2,0)),0)</f>
        <v>0</v>
      </c>
      <c r="AD1172" s="313">
        <f>IFERROR(IF(INDEX([1]Pivot!$BF$1:$CG$65000,$B1172,AD$5)=1,1,IF(INDEX([1]Pivot!$B$1:$AB$65000,$B1172,AD$5)="",2,0)),0)</f>
        <v>0</v>
      </c>
      <c r="AE1172" s="313">
        <f>IFERROR(IF(INDEX([1]Pivot!$BF$1:$CG$65000,$B1172,AE$5)=1,1,IF(INDEX([1]Pivot!$B$1:$AB$65000,$B1172,AE$5)="",2,0)),0)</f>
        <v>0</v>
      </c>
      <c r="AF1172" s="313">
        <f>IFERROR(IF(INDEX([1]Pivot!$BF$1:$CG$65000,$B1172,AF$5)=1,1,IF(INDEX([1]Pivot!$B$1:$AB$65000,$B1172,AF$5)="",2,0)),0)</f>
        <v>0</v>
      </c>
      <c r="AG1172" s="313">
        <f>IFERROR(IF(INDEX([1]Pivot!$BF$1:$CG$65000,$B1172,AG$5)=1,1,IF(INDEX([1]Pivot!$B$1:$AB$65000,$B1172,AG$5)="",2,0)),0)</f>
        <v>0</v>
      </c>
      <c r="AH1172" s="313">
        <f>IFERROR(IF(INDEX([1]Pivot!$BF$1:$CG$65000,$B1172,AH$5)=1,1,IF(INDEX([1]Pivot!$B$1:$AB$65000,$B1172,AH$5)="",2,0)),0)</f>
        <v>0</v>
      </c>
      <c r="AI1172" s="313">
        <f>IFERROR(IF(INDEX([1]Pivot!$BF$1:$CG$65000,$B1172,AI$5)=1,1,IF(INDEX([1]Pivot!$B$1:$AB$65000,$B1172,AI$5)="",2,0)),0)</f>
        <v>0</v>
      </c>
      <c r="AJ1172" s="313">
        <f>IFERROR(IF(INDEX([1]Pivot!$BF$1:$CG$65000,$B1172,AJ$5)=1,1,IF(INDEX([1]Pivot!$B$1:$AB$65000,$B1172,AJ$5)="",2,0)),0)</f>
        <v>0</v>
      </c>
      <c r="AK1172" s="313">
        <f>IFERROR(IF(INDEX([1]Pivot!$BF$1:$CG$65000,$B1172,AK$5)=1,1,IF(INDEX([1]Pivot!$B$1:$AB$65000,$B1172,AK$5)="",2,0)),0)</f>
        <v>0</v>
      </c>
      <c r="AL1172" s="313">
        <f>IFERROR(IF(INDEX([1]Pivot!$BF$1:$CG$65000,$B1172,AL$5)=1,1,IF(INDEX([1]Pivot!$B$1:$AB$65000,$B1172,AL$5)="",2,0)),0)</f>
        <v>0</v>
      </c>
      <c r="AM1172" s="313">
        <f>IFERROR(IF(INDEX([1]Pivot!$BF$1:$CG$65000,$B1172,AM$5)=1,1,IF(INDEX([1]Pivot!$B$1:$AB$65000,$B1172,AM$5)="",2,0)),0)</f>
        <v>0</v>
      </c>
      <c r="AN1172" s="313">
        <f>IFERROR(IF(INDEX([1]Pivot!$BF$1:$CG$65000,$B1172,AN$5)=1,1,IF(INDEX([1]Pivot!$B$1:$AB$65000,$B1172,AN$5)="",2,0)),0)</f>
        <v>0</v>
      </c>
      <c r="AO1172" s="313">
        <f>IFERROR(IF(INDEX([1]Pivot!$BF$1:$CG$65000,$B1172,AO$5)=1,1,IF(INDEX([1]Pivot!$B$1:$AB$65000,$B1172,AO$5)="",2,0)),0)</f>
        <v>0</v>
      </c>
      <c r="AP1172" s="313">
        <f>IFERROR(IF(INDEX([1]Pivot!$BF$1:$CG$65000,$B1172,AP$5)=1,1,IF(INDEX([1]Pivot!$B$1:$AB$65000,$B1172,AP$5)="",2,0)),0)</f>
        <v>0</v>
      </c>
      <c r="AQ1172" s="313">
        <f>IFERROR(IF(INDEX([1]Pivot!$BF$1:$CG$65000,$B1172,AQ$5)=1,1,IF(INDEX([1]Pivot!$B$1:$AB$65000,$B1172,AQ$5)="",2,0)),0)</f>
        <v>0</v>
      </c>
      <c r="AR1172" s="313">
        <f>IFERROR(IF(INDEX([1]Pivot!$BF$1:$CG$65000,$B1172,AR$5)=1,1,IF(INDEX([1]Pivot!$B$1:$AB$65000,$B1172,AR$5)="",2,0)),0)</f>
        <v>0</v>
      </c>
      <c r="AS1172" s="312"/>
      <c r="AT1172" s="313">
        <f>IFERROR(IF(INDEX([1]Pivot!$BF$1:$CG$65000,$B1172,AT$5)=1,1,IF(INDEX([1]Pivot!$B$1:$AB$65000,$B1172,AT$5)="",2,0)),0)</f>
        <v>0</v>
      </c>
      <c r="AU1172" s="313">
        <f>IFERROR(IF(INDEX([1]Pivot!$BF$1:$CG$65000,$B1172,AU$5)=1,1,IF(INDEX([1]Pivot!$B$1:$AB$65000,$B1172,AU$5)="",2,0)),0)</f>
        <v>0</v>
      </c>
      <c r="AV1172" s="313">
        <f>IFERROR(IF(INDEX([1]Pivot!$BF$1:$CG$65000,$B1172,AV$5)=1,1,IF(INDEX([1]Pivot!$B$1:$AB$65000,$B1172,AV$5)="",2,0)),0)</f>
        <v>0</v>
      </c>
      <c r="AW1172" s="313">
        <f>IFERROR(IF(INDEX([1]Pivot!$BF$1:$CG$65000,$B1172,AW$5)=1,1,IF(INDEX([1]Pivot!$B$1:$AB$65000,$B1172,AW$5)="",2,0)),0)</f>
        <v>0</v>
      </c>
      <c r="AX1172" s="313">
        <f>IFERROR(IF(INDEX([1]Pivot!$BF$1:$CG$65000,$B1172,AX$5)=1,1,IF(INDEX([1]Pivot!$B$1:$AB$65000,$B1172,AX$5)="",2,0)),0)</f>
        <v>0</v>
      </c>
      <c r="AY1172" s="313">
        <f>IFERROR(IF(INDEX([1]Pivot!$BF$1:$CG$65000,$B1172,AY$5)=1,1,IF(INDEX([1]Pivot!$B$1:$AB$65000,$B1172,AY$5)="",2,0)),0)</f>
        <v>0</v>
      </c>
      <c r="AZ1172" s="313">
        <f>IFERROR(IF(INDEX([1]Pivot!$BF$1:$CG$65000,$B1172,AZ$5)=1,1,IF(INDEX([1]Pivot!$B$1:$AB$65000,$B1172,AZ$5)="",2,0)),0)</f>
        <v>0</v>
      </c>
      <c r="BA1172" s="313">
        <f>IFERROR(IF(INDEX([1]Pivot!$BF$1:$CG$65000,$B1172,BA$5)=1,1,IF(INDEX([1]Pivot!$B$1:$AB$65000,$B1172,BA$5)="",2,0)),0)</f>
        <v>0</v>
      </c>
      <c r="BB1172" s="313">
        <f>IFERROR(IF(INDEX([1]Pivot!$BF$1:$CG$65000,$B1172,BB$5)=1,1,IF(INDEX([1]Pivot!$B$1:$AB$65000,$B1172,BB$5)="",2,0)),0)</f>
        <v>0</v>
      </c>
      <c r="BC1172" s="313">
        <f>IFERROR(IF(INDEX([1]Pivot!$BF$1:$CG$65000,$B1172,BC$5)=1,1,IF(INDEX([1]Pivot!$B$1:$AB$65000,$B1172,BC$5)="",2,0)),0)</f>
        <v>0</v>
      </c>
      <c r="BD1172" s="313">
        <f>IFERROR(IF(INDEX([1]Pivot!$BF$1:$CG$65000,$B1172,BD$5)=1,1,IF(INDEX([1]Pivot!$B$1:$AB$65000,$B1172,BD$5)="",2,0)),0)</f>
        <v>0</v>
      </c>
    </row>
    <row r="1173" spans="1:56" x14ac:dyDescent="0.25">
      <c r="A1173" s="288">
        <f>'[2]Raw Milk Prices'!A1173</f>
        <v>0</v>
      </c>
      <c r="B1173" s="296" t="e">
        <f>MATCH(DATE(LEFT('[2]Raw Milk Prices'!$A1173,4),RIGHT('[2]Raw Milk Prices'!$A1173,2),1),[1]Pivot!$A$1:$A$65000,0)</f>
        <v>#VALUE!</v>
      </c>
      <c r="C1173" s="194">
        <f>IFERROR(IF(INDEX([1]Pivot!$AD$1:$BE$65000,$B1173,C$5)=1,1,IF(INDEX([1]Pivot!$B$1:$AB$65000,$B1173,C$5)="",2,0)),0)</f>
        <v>0</v>
      </c>
      <c r="D1173" s="194">
        <f>IFERROR(IF(INDEX([1]Pivot!$AD$1:$BE$65000,$B1173,D$5)=1,1,IF(INDEX([1]Pivot!$B$1:$AB$65000,$B1173,D$5)="",2,0)),0)</f>
        <v>0</v>
      </c>
      <c r="E1173" s="194">
        <f>IFERROR(IF(INDEX([1]Pivot!$AD$1:$BE$65000,$B1173,E$5)=1,1,IF(INDEX([1]Pivot!$B$1:$AB$65000,$B1173,E$5)="",2,0)),0)</f>
        <v>0</v>
      </c>
      <c r="F1173" s="194">
        <f>IFERROR(IF(INDEX([1]Pivot!$AD$1:$BE$65000,$B1173,F$5)=1,1,IF(INDEX([1]Pivot!$B$1:$AB$65000,$B1173,F$5)="",2,0)),0)</f>
        <v>0</v>
      </c>
      <c r="G1173" s="194">
        <f>IFERROR(IF(INDEX([1]Pivot!$AD$1:$BE$65000,$B1173,G$5)=1,1,IF(INDEX([1]Pivot!$B$1:$AB$65000,$B1173,G$5)="",2,0)),0)</f>
        <v>0</v>
      </c>
      <c r="H1173" s="194">
        <f>IFERROR(IF(INDEX([1]Pivot!$AD$1:$BE$65000,$B1173,H$5)=1,1,IF(INDEX([1]Pivot!$B$1:$AB$65000,$B1173,H$5)="",2,0)),0)</f>
        <v>0</v>
      </c>
      <c r="I1173" s="194">
        <f>IFERROR(IF(INDEX([1]Pivot!$AD$1:$BE$65000,$B1173,I$5)=1,1,IF(INDEX([1]Pivot!$B$1:$AB$65000,$B1173,I$5)="",2,0)),0)</f>
        <v>0</v>
      </c>
      <c r="J1173" s="194">
        <f>IFERROR(IF(INDEX([1]Pivot!$AD$1:$BE$65000,$B1173,J$5)=1,1,IF(INDEX([1]Pivot!$B$1:$AB$65000,$B1173,J$5)="",2,0)),0)</f>
        <v>0</v>
      </c>
      <c r="K1173" s="194">
        <f>IFERROR(IF(INDEX([1]Pivot!$AD$1:$BE$65000,$B1173,K$5)=1,1,IF(INDEX([1]Pivot!$B$1:$AB$65000,$B1173,K$5)="",2,0)),0)</f>
        <v>0</v>
      </c>
      <c r="L1173" s="194">
        <f>IFERROR(IF(INDEX([1]Pivot!$AD$1:$BE$65000,$B1173,L$5)=1,1,IF(INDEX([1]Pivot!$B$1:$AB$65000,$B1173,L$5)="",2,0)),0)</f>
        <v>0</v>
      </c>
      <c r="M1173" s="194">
        <f>IFERROR(IF(INDEX([1]Pivot!$AD$1:$BE$65000,$B1173,M$5)=1,1,IF(INDEX([1]Pivot!$B$1:$AB$65000,$B1173,M$5)="",2,0)),0)</f>
        <v>0</v>
      </c>
      <c r="N1173" s="194">
        <f>IFERROR(IF(INDEX([1]Pivot!$AD$1:$BE$65000,$B1173,N$5)=1,1,IF(INDEX([1]Pivot!$B$1:$AB$65000,$B1173,N$5)="",2,0)),0)</f>
        <v>0</v>
      </c>
      <c r="O1173" s="194">
        <f>IFERROR(IF(INDEX([1]Pivot!$AD$1:$BE$65000,$B1173,O$5)=1,1,IF(INDEX([1]Pivot!$B$1:$AB$65000,$B1173,O$5)="",2,0)),0)</f>
        <v>0</v>
      </c>
      <c r="P1173" s="194">
        <f>IFERROR(IF(INDEX([1]Pivot!$AD$1:$BE$65000,$B1173,P$5)=1,1,IF(INDEX([1]Pivot!$B$1:$AB$65000,$B1173,P$5)="",2,0)),0)</f>
        <v>0</v>
      </c>
      <c r="Q1173" s="194">
        <f>IFERROR(IF(INDEX([1]Pivot!$AD$1:$BE$65000,$B1173,Q$5)=1,1,IF(INDEX([1]Pivot!$B$1:$AB$65000,$B1173,Q$5)="",2,0)),0)</f>
        <v>0</v>
      </c>
      <c r="R1173" s="312"/>
      <c r="S1173" s="194">
        <f>IFERROR(IF(INDEX([1]Pivot!$AD$1:$BE$65000,$B1173,S$5)=1,1,IF(INDEX([1]Pivot!$B$1:$AB$65000,$B1173,S$5)="",2,0)),0)</f>
        <v>0</v>
      </c>
      <c r="T1173" s="194">
        <f>IFERROR(IF(INDEX([1]Pivot!$AD$1:$BE$65000,$B1173,T$5)=1,1,IF(INDEX([1]Pivot!$B$1:$AB$65000,$B1173,T$5)="",2,0)),0)</f>
        <v>0</v>
      </c>
      <c r="U1173" s="194">
        <f>IFERROR(IF(INDEX([1]Pivot!$AD$1:$BE$65000,$B1173,U$5)=1,1,IF(INDEX([1]Pivot!$B$1:$AB$65000,$B1173,U$5)="",2,0)),0)</f>
        <v>0</v>
      </c>
      <c r="V1173" s="194">
        <f>IFERROR(IF(INDEX([1]Pivot!$AD$1:$BE$65000,$B1173,V$5)=1,1,IF(INDEX([1]Pivot!$B$1:$AB$65000,$B1173,V$5)="",2,0)),0)</f>
        <v>0</v>
      </c>
      <c r="W1173" s="194">
        <f>IFERROR(IF(INDEX([1]Pivot!$AD$1:$BE$65000,$B1173,W$5)=1,1,IF(INDEX([1]Pivot!$B$1:$AB$65000,$B1173,W$5)="",2,0)),0)</f>
        <v>0</v>
      </c>
      <c r="X1173" s="194">
        <f>IFERROR(IF(INDEX([1]Pivot!$AD$1:$BE$65000,$B1173,X$5)=1,1,IF(INDEX([1]Pivot!$B$1:$AB$65000,$B1173,X$5)="",2,0)),0)</f>
        <v>0</v>
      </c>
      <c r="Y1173" s="194">
        <f>IFERROR(IF(INDEX([1]Pivot!$AD$1:$BE$65000,$B1173,Y$5)=1,1,IF(INDEX([1]Pivot!$B$1:$AB$65000,$B1173,Y$5)="",2,0)),0)</f>
        <v>0</v>
      </c>
      <c r="Z1173" s="194">
        <f>IFERROR(IF(INDEX([1]Pivot!$AD$1:$BE$65000,$B1173,Z$5)=1,1,IF(INDEX([1]Pivot!$B$1:$AB$65000,$B1173,Z$5)="",2,0)),0)</f>
        <v>0</v>
      </c>
      <c r="AA1173" s="194">
        <f>IFERROR(IF(INDEX([1]Pivot!$AD$1:$BE$65000,$B1173,AA$5)=1,1,IF(INDEX([1]Pivot!$B$1:$AB$65000,$B1173,AA$5)="",2,0)),0)</f>
        <v>0</v>
      </c>
      <c r="AB1173" s="194">
        <f>IFERROR(IF(INDEX([1]Pivot!$AD$1:$BE$65000,$B1173,AB$5)=1,1,IF(INDEX([1]Pivot!$B$1:$AB$65000,$B1173,AB$5)="",2,0)),0)</f>
        <v>0</v>
      </c>
      <c r="AC1173" s="194">
        <f>IFERROR(IF(INDEX([1]Pivot!$AD$1:$BE$65000,$B1173,AC$5)=1,1,IF(INDEX([1]Pivot!$B$1:$AB$65000,$B1173,AC$5)="",2,0)),0)</f>
        <v>0</v>
      </c>
      <c r="AD1173" s="313">
        <f>IFERROR(IF(INDEX([1]Pivot!$BF$1:$CG$65000,$B1173,AD$5)=1,1,IF(INDEX([1]Pivot!$B$1:$AB$65000,$B1173,AD$5)="",2,0)),0)</f>
        <v>0</v>
      </c>
      <c r="AE1173" s="313">
        <f>IFERROR(IF(INDEX([1]Pivot!$BF$1:$CG$65000,$B1173,AE$5)=1,1,IF(INDEX([1]Pivot!$B$1:$AB$65000,$B1173,AE$5)="",2,0)),0)</f>
        <v>0</v>
      </c>
      <c r="AF1173" s="313">
        <f>IFERROR(IF(INDEX([1]Pivot!$BF$1:$CG$65000,$B1173,AF$5)=1,1,IF(INDEX([1]Pivot!$B$1:$AB$65000,$B1173,AF$5)="",2,0)),0)</f>
        <v>0</v>
      </c>
      <c r="AG1173" s="313">
        <f>IFERROR(IF(INDEX([1]Pivot!$BF$1:$CG$65000,$B1173,AG$5)=1,1,IF(INDEX([1]Pivot!$B$1:$AB$65000,$B1173,AG$5)="",2,0)),0)</f>
        <v>0</v>
      </c>
      <c r="AH1173" s="313">
        <f>IFERROR(IF(INDEX([1]Pivot!$BF$1:$CG$65000,$B1173,AH$5)=1,1,IF(INDEX([1]Pivot!$B$1:$AB$65000,$B1173,AH$5)="",2,0)),0)</f>
        <v>0</v>
      </c>
      <c r="AI1173" s="313">
        <f>IFERROR(IF(INDEX([1]Pivot!$BF$1:$CG$65000,$B1173,AI$5)=1,1,IF(INDEX([1]Pivot!$B$1:$AB$65000,$B1173,AI$5)="",2,0)),0)</f>
        <v>0</v>
      </c>
      <c r="AJ1173" s="313">
        <f>IFERROR(IF(INDEX([1]Pivot!$BF$1:$CG$65000,$B1173,AJ$5)=1,1,IF(INDEX([1]Pivot!$B$1:$AB$65000,$B1173,AJ$5)="",2,0)),0)</f>
        <v>0</v>
      </c>
      <c r="AK1173" s="313">
        <f>IFERROR(IF(INDEX([1]Pivot!$BF$1:$CG$65000,$B1173,AK$5)=1,1,IF(INDEX([1]Pivot!$B$1:$AB$65000,$B1173,AK$5)="",2,0)),0)</f>
        <v>0</v>
      </c>
      <c r="AL1173" s="313">
        <f>IFERROR(IF(INDEX([1]Pivot!$BF$1:$CG$65000,$B1173,AL$5)=1,1,IF(INDEX([1]Pivot!$B$1:$AB$65000,$B1173,AL$5)="",2,0)),0)</f>
        <v>0</v>
      </c>
      <c r="AM1173" s="313">
        <f>IFERROR(IF(INDEX([1]Pivot!$BF$1:$CG$65000,$B1173,AM$5)=1,1,IF(INDEX([1]Pivot!$B$1:$AB$65000,$B1173,AM$5)="",2,0)),0)</f>
        <v>0</v>
      </c>
      <c r="AN1173" s="313">
        <f>IFERROR(IF(INDEX([1]Pivot!$BF$1:$CG$65000,$B1173,AN$5)=1,1,IF(INDEX([1]Pivot!$B$1:$AB$65000,$B1173,AN$5)="",2,0)),0)</f>
        <v>0</v>
      </c>
      <c r="AO1173" s="313">
        <f>IFERROR(IF(INDEX([1]Pivot!$BF$1:$CG$65000,$B1173,AO$5)=1,1,IF(INDEX([1]Pivot!$B$1:$AB$65000,$B1173,AO$5)="",2,0)),0)</f>
        <v>0</v>
      </c>
      <c r="AP1173" s="313">
        <f>IFERROR(IF(INDEX([1]Pivot!$BF$1:$CG$65000,$B1173,AP$5)=1,1,IF(INDEX([1]Pivot!$B$1:$AB$65000,$B1173,AP$5)="",2,0)),0)</f>
        <v>0</v>
      </c>
      <c r="AQ1173" s="313">
        <f>IFERROR(IF(INDEX([1]Pivot!$BF$1:$CG$65000,$B1173,AQ$5)=1,1,IF(INDEX([1]Pivot!$B$1:$AB$65000,$B1173,AQ$5)="",2,0)),0)</f>
        <v>0</v>
      </c>
      <c r="AR1173" s="313">
        <f>IFERROR(IF(INDEX([1]Pivot!$BF$1:$CG$65000,$B1173,AR$5)=1,1,IF(INDEX([1]Pivot!$B$1:$AB$65000,$B1173,AR$5)="",2,0)),0)</f>
        <v>0</v>
      </c>
      <c r="AS1173" s="312"/>
      <c r="AT1173" s="313">
        <f>IFERROR(IF(INDEX([1]Pivot!$BF$1:$CG$65000,$B1173,AT$5)=1,1,IF(INDEX([1]Pivot!$B$1:$AB$65000,$B1173,AT$5)="",2,0)),0)</f>
        <v>0</v>
      </c>
      <c r="AU1173" s="313">
        <f>IFERROR(IF(INDEX([1]Pivot!$BF$1:$CG$65000,$B1173,AU$5)=1,1,IF(INDEX([1]Pivot!$B$1:$AB$65000,$B1173,AU$5)="",2,0)),0)</f>
        <v>0</v>
      </c>
      <c r="AV1173" s="313">
        <f>IFERROR(IF(INDEX([1]Pivot!$BF$1:$CG$65000,$B1173,AV$5)=1,1,IF(INDEX([1]Pivot!$B$1:$AB$65000,$B1173,AV$5)="",2,0)),0)</f>
        <v>0</v>
      </c>
      <c r="AW1173" s="313">
        <f>IFERROR(IF(INDEX([1]Pivot!$BF$1:$CG$65000,$B1173,AW$5)=1,1,IF(INDEX([1]Pivot!$B$1:$AB$65000,$B1173,AW$5)="",2,0)),0)</f>
        <v>0</v>
      </c>
      <c r="AX1173" s="313">
        <f>IFERROR(IF(INDEX([1]Pivot!$BF$1:$CG$65000,$B1173,AX$5)=1,1,IF(INDEX([1]Pivot!$B$1:$AB$65000,$B1173,AX$5)="",2,0)),0)</f>
        <v>0</v>
      </c>
      <c r="AY1173" s="313">
        <f>IFERROR(IF(INDEX([1]Pivot!$BF$1:$CG$65000,$B1173,AY$5)=1,1,IF(INDEX([1]Pivot!$B$1:$AB$65000,$B1173,AY$5)="",2,0)),0)</f>
        <v>0</v>
      </c>
      <c r="AZ1173" s="313">
        <f>IFERROR(IF(INDEX([1]Pivot!$BF$1:$CG$65000,$B1173,AZ$5)=1,1,IF(INDEX([1]Pivot!$B$1:$AB$65000,$B1173,AZ$5)="",2,0)),0)</f>
        <v>0</v>
      </c>
      <c r="BA1173" s="313">
        <f>IFERROR(IF(INDEX([1]Pivot!$BF$1:$CG$65000,$B1173,BA$5)=1,1,IF(INDEX([1]Pivot!$B$1:$AB$65000,$B1173,BA$5)="",2,0)),0)</f>
        <v>0</v>
      </c>
      <c r="BB1173" s="313">
        <f>IFERROR(IF(INDEX([1]Pivot!$BF$1:$CG$65000,$B1173,BB$5)=1,1,IF(INDEX([1]Pivot!$B$1:$AB$65000,$B1173,BB$5)="",2,0)),0)</f>
        <v>0</v>
      </c>
      <c r="BC1173" s="313">
        <f>IFERROR(IF(INDEX([1]Pivot!$BF$1:$CG$65000,$B1173,BC$5)=1,1,IF(INDEX([1]Pivot!$B$1:$AB$65000,$B1173,BC$5)="",2,0)),0)</f>
        <v>0</v>
      </c>
      <c r="BD1173" s="313">
        <f>IFERROR(IF(INDEX([1]Pivot!$BF$1:$CG$65000,$B1173,BD$5)=1,1,IF(INDEX([1]Pivot!$B$1:$AB$65000,$B1173,BD$5)="",2,0)),0)</f>
        <v>0</v>
      </c>
    </row>
    <row r="1174" spans="1:56" x14ac:dyDescent="0.25">
      <c r="A1174" s="288">
        <f>'[2]Raw Milk Prices'!A1174</f>
        <v>0</v>
      </c>
      <c r="B1174" s="296" t="e">
        <f>MATCH(DATE(LEFT('[2]Raw Milk Prices'!$A1174,4),RIGHT('[2]Raw Milk Prices'!$A1174,2),1),[1]Pivot!$A$1:$A$65000,0)</f>
        <v>#VALUE!</v>
      </c>
      <c r="C1174" s="194">
        <f>IFERROR(IF(INDEX([1]Pivot!$AD$1:$BE$65000,$B1174,C$5)=1,1,IF(INDEX([1]Pivot!$B$1:$AB$65000,$B1174,C$5)="",2,0)),0)</f>
        <v>0</v>
      </c>
      <c r="D1174" s="194">
        <f>IFERROR(IF(INDEX([1]Pivot!$AD$1:$BE$65000,$B1174,D$5)=1,1,IF(INDEX([1]Pivot!$B$1:$AB$65000,$B1174,D$5)="",2,0)),0)</f>
        <v>0</v>
      </c>
      <c r="E1174" s="194">
        <f>IFERROR(IF(INDEX([1]Pivot!$AD$1:$BE$65000,$B1174,E$5)=1,1,IF(INDEX([1]Pivot!$B$1:$AB$65000,$B1174,E$5)="",2,0)),0)</f>
        <v>0</v>
      </c>
      <c r="F1174" s="194">
        <f>IFERROR(IF(INDEX([1]Pivot!$AD$1:$BE$65000,$B1174,F$5)=1,1,IF(INDEX([1]Pivot!$B$1:$AB$65000,$B1174,F$5)="",2,0)),0)</f>
        <v>0</v>
      </c>
      <c r="G1174" s="194">
        <f>IFERROR(IF(INDEX([1]Pivot!$AD$1:$BE$65000,$B1174,G$5)=1,1,IF(INDEX([1]Pivot!$B$1:$AB$65000,$B1174,G$5)="",2,0)),0)</f>
        <v>0</v>
      </c>
      <c r="H1174" s="194">
        <f>IFERROR(IF(INDEX([1]Pivot!$AD$1:$BE$65000,$B1174,H$5)=1,1,IF(INDEX([1]Pivot!$B$1:$AB$65000,$B1174,H$5)="",2,0)),0)</f>
        <v>0</v>
      </c>
      <c r="I1174" s="194">
        <f>IFERROR(IF(INDEX([1]Pivot!$AD$1:$BE$65000,$B1174,I$5)=1,1,IF(INDEX([1]Pivot!$B$1:$AB$65000,$B1174,I$5)="",2,0)),0)</f>
        <v>0</v>
      </c>
      <c r="J1174" s="194">
        <f>IFERROR(IF(INDEX([1]Pivot!$AD$1:$BE$65000,$B1174,J$5)=1,1,IF(INDEX([1]Pivot!$B$1:$AB$65000,$B1174,J$5)="",2,0)),0)</f>
        <v>0</v>
      </c>
      <c r="K1174" s="194">
        <f>IFERROR(IF(INDEX([1]Pivot!$AD$1:$BE$65000,$B1174,K$5)=1,1,IF(INDEX([1]Pivot!$B$1:$AB$65000,$B1174,K$5)="",2,0)),0)</f>
        <v>0</v>
      </c>
      <c r="L1174" s="194">
        <f>IFERROR(IF(INDEX([1]Pivot!$AD$1:$BE$65000,$B1174,L$5)=1,1,IF(INDEX([1]Pivot!$B$1:$AB$65000,$B1174,L$5)="",2,0)),0)</f>
        <v>0</v>
      </c>
      <c r="M1174" s="194">
        <f>IFERROR(IF(INDEX([1]Pivot!$AD$1:$BE$65000,$B1174,M$5)=1,1,IF(INDEX([1]Pivot!$B$1:$AB$65000,$B1174,M$5)="",2,0)),0)</f>
        <v>0</v>
      </c>
      <c r="N1174" s="194">
        <f>IFERROR(IF(INDEX([1]Pivot!$AD$1:$BE$65000,$B1174,N$5)=1,1,IF(INDEX([1]Pivot!$B$1:$AB$65000,$B1174,N$5)="",2,0)),0)</f>
        <v>0</v>
      </c>
      <c r="O1174" s="194">
        <f>IFERROR(IF(INDEX([1]Pivot!$AD$1:$BE$65000,$B1174,O$5)=1,1,IF(INDEX([1]Pivot!$B$1:$AB$65000,$B1174,O$5)="",2,0)),0)</f>
        <v>0</v>
      </c>
      <c r="P1174" s="194">
        <f>IFERROR(IF(INDEX([1]Pivot!$AD$1:$BE$65000,$B1174,P$5)=1,1,IF(INDEX([1]Pivot!$B$1:$AB$65000,$B1174,P$5)="",2,0)),0)</f>
        <v>0</v>
      </c>
      <c r="Q1174" s="194">
        <f>IFERROR(IF(INDEX([1]Pivot!$AD$1:$BE$65000,$B1174,Q$5)=1,1,IF(INDEX([1]Pivot!$B$1:$AB$65000,$B1174,Q$5)="",2,0)),0)</f>
        <v>0</v>
      </c>
      <c r="R1174" s="312"/>
      <c r="S1174" s="194">
        <f>IFERROR(IF(INDEX([1]Pivot!$AD$1:$BE$65000,$B1174,S$5)=1,1,IF(INDEX([1]Pivot!$B$1:$AB$65000,$B1174,S$5)="",2,0)),0)</f>
        <v>0</v>
      </c>
      <c r="T1174" s="194">
        <f>IFERROR(IF(INDEX([1]Pivot!$AD$1:$BE$65000,$B1174,T$5)=1,1,IF(INDEX([1]Pivot!$B$1:$AB$65000,$B1174,T$5)="",2,0)),0)</f>
        <v>0</v>
      </c>
      <c r="U1174" s="194">
        <f>IFERROR(IF(INDEX([1]Pivot!$AD$1:$BE$65000,$B1174,U$5)=1,1,IF(INDEX([1]Pivot!$B$1:$AB$65000,$B1174,U$5)="",2,0)),0)</f>
        <v>0</v>
      </c>
      <c r="V1174" s="194">
        <f>IFERROR(IF(INDEX([1]Pivot!$AD$1:$BE$65000,$B1174,V$5)=1,1,IF(INDEX([1]Pivot!$B$1:$AB$65000,$B1174,V$5)="",2,0)),0)</f>
        <v>0</v>
      </c>
      <c r="W1174" s="194">
        <f>IFERROR(IF(INDEX([1]Pivot!$AD$1:$BE$65000,$B1174,W$5)=1,1,IF(INDEX([1]Pivot!$B$1:$AB$65000,$B1174,W$5)="",2,0)),0)</f>
        <v>0</v>
      </c>
      <c r="X1174" s="194">
        <f>IFERROR(IF(INDEX([1]Pivot!$AD$1:$BE$65000,$B1174,X$5)=1,1,IF(INDEX([1]Pivot!$B$1:$AB$65000,$B1174,X$5)="",2,0)),0)</f>
        <v>0</v>
      </c>
      <c r="Y1174" s="194">
        <f>IFERROR(IF(INDEX([1]Pivot!$AD$1:$BE$65000,$B1174,Y$5)=1,1,IF(INDEX([1]Pivot!$B$1:$AB$65000,$B1174,Y$5)="",2,0)),0)</f>
        <v>0</v>
      </c>
      <c r="Z1174" s="194">
        <f>IFERROR(IF(INDEX([1]Pivot!$AD$1:$BE$65000,$B1174,Z$5)=1,1,IF(INDEX([1]Pivot!$B$1:$AB$65000,$B1174,Z$5)="",2,0)),0)</f>
        <v>0</v>
      </c>
      <c r="AA1174" s="194">
        <f>IFERROR(IF(INDEX([1]Pivot!$AD$1:$BE$65000,$B1174,AA$5)=1,1,IF(INDEX([1]Pivot!$B$1:$AB$65000,$B1174,AA$5)="",2,0)),0)</f>
        <v>0</v>
      </c>
      <c r="AB1174" s="194">
        <f>IFERROR(IF(INDEX([1]Pivot!$AD$1:$BE$65000,$B1174,AB$5)=1,1,IF(INDEX([1]Pivot!$B$1:$AB$65000,$B1174,AB$5)="",2,0)),0)</f>
        <v>0</v>
      </c>
      <c r="AC1174" s="194">
        <f>IFERROR(IF(INDEX([1]Pivot!$AD$1:$BE$65000,$B1174,AC$5)=1,1,IF(INDEX([1]Pivot!$B$1:$AB$65000,$B1174,AC$5)="",2,0)),0)</f>
        <v>0</v>
      </c>
      <c r="AD1174" s="313">
        <f>IFERROR(IF(INDEX([1]Pivot!$BF$1:$CG$65000,$B1174,AD$5)=1,1,IF(INDEX([1]Pivot!$B$1:$AB$65000,$B1174,AD$5)="",2,0)),0)</f>
        <v>0</v>
      </c>
      <c r="AE1174" s="313">
        <f>IFERROR(IF(INDEX([1]Pivot!$BF$1:$CG$65000,$B1174,AE$5)=1,1,IF(INDEX([1]Pivot!$B$1:$AB$65000,$B1174,AE$5)="",2,0)),0)</f>
        <v>0</v>
      </c>
      <c r="AF1174" s="313">
        <f>IFERROR(IF(INDEX([1]Pivot!$BF$1:$CG$65000,$B1174,AF$5)=1,1,IF(INDEX([1]Pivot!$B$1:$AB$65000,$B1174,AF$5)="",2,0)),0)</f>
        <v>0</v>
      </c>
      <c r="AG1174" s="313">
        <f>IFERROR(IF(INDEX([1]Pivot!$BF$1:$CG$65000,$B1174,AG$5)=1,1,IF(INDEX([1]Pivot!$B$1:$AB$65000,$B1174,AG$5)="",2,0)),0)</f>
        <v>0</v>
      </c>
      <c r="AH1174" s="313">
        <f>IFERROR(IF(INDEX([1]Pivot!$BF$1:$CG$65000,$B1174,AH$5)=1,1,IF(INDEX([1]Pivot!$B$1:$AB$65000,$B1174,AH$5)="",2,0)),0)</f>
        <v>0</v>
      </c>
      <c r="AI1174" s="313">
        <f>IFERROR(IF(INDEX([1]Pivot!$BF$1:$CG$65000,$B1174,AI$5)=1,1,IF(INDEX([1]Pivot!$B$1:$AB$65000,$B1174,AI$5)="",2,0)),0)</f>
        <v>0</v>
      </c>
      <c r="AJ1174" s="313">
        <f>IFERROR(IF(INDEX([1]Pivot!$BF$1:$CG$65000,$B1174,AJ$5)=1,1,IF(INDEX([1]Pivot!$B$1:$AB$65000,$B1174,AJ$5)="",2,0)),0)</f>
        <v>0</v>
      </c>
      <c r="AK1174" s="313">
        <f>IFERROR(IF(INDEX([1]Pivot!$BF$1:$CG$65000,$B1174,AK$5)=1,1,IF(INDEX([1]Pivot!$B$1:$AB$65000,$B1174,AK$5)="",2,0)),0)</f>
        <v>0</v>
      </c>
      <c r="AL1174" s="313">
        <f>IFERROR(IF(INDEX([1]Pivot!$BF$1:$CG$65000,$B1174,AL$5)=1,1,IF(INDEX([1]Pivot!$B$1:$AB$65000,$B1174,AL$5)="",2,0)),0)</f>
        <v>0</v>
      </c>
      <c r="AM1174" s="313">
        <f>IFERROR(IF(INDEX([1]Pivot!$BF$1:$CG$65000,$B1174,AM$5)=1,1,IF(INDEX([1]Pivot!$B$1:$AB$65000,$B1174,AM$5)="",2,0)),0)</f>
        <v>0</v>
      </c>
      <c r="AN1174" s="313">
        <f>IFERROR(IF(INDEX([1]Pivot!$BF$1:$CG$65000,$B1174,AN$5)=1,1,IF(INDEX([1]Pivot!$B$1:$AB$65000,$B1174,AN$5)="",2,0)),0)</f>
        <v>0</v>
      </c>
      <c r="AO1174" s="313">
        <f>IFERROR(IF(INDEX([1]Pivot!$BF$1:$CG$65000,$B1174,AO$5)=1,1,IF(INDEX([1]Pivot!$B$1:$AB$65000,$B1174,AO$5)="",2,0)),0)</f>
        <v>0</v>
      </c>
      <c r="AP1174" s="313">
        <f>IFERROR(IF(INDEX([1]Pivot!$BF$1:$CG$65000,$B1174,AP$5)=1,1,IF(INDEX([1]Pivot!$B$1:$AB$65000,$B1174,AP$5)="",2,0)),0)</f>
        <v>0</v>
      </c>
      <c r="AQ1174" s="313">
        <f>IFERROR(IF(INDEX([1]Pivot!$BF$1:$CG$65000,$B1174,AQ$5)=1,1,IF(INDEX([1]Pivot!$B$1:$AB$65000,$B1174,AQ$5)="",2,0)),0)</f>
        <v>0</v>
      </c>
      <c r="AR1174" s="313">
        <f>IFERROR(IF(INDEX([1]Pivot!$BF$1:$CG$65000,$B1174,AR$5)=1,1,IF(INDEX([1]Pivot!$B$1:$AB$65000,$B1174,AR$5)="",2,0)),0)</f>
        <v>0</v>
      </c>
      <c r="AS1174" s="312"/>
      <c r="AT1174" s="313">
        <f>IFERROR(IF(INDEX([1]Pivot!$BF$1:$CG$65000,$B1174,AT$5)=1,1,IF(INDEX([1]Pivot!$B$1:$AB$65000,$B1174,AT$5)="",2,0)),0)</f>
        <v>0</v>
      </c>
      <c r="AU1174" s="313">
        <f>IFERROR(IF(INDEX([1]Pivot!$BF$1:$CG$65000,$B1174,AU$5)=1,1,IF(INDEX([1]Pivot!$B$1:$AB$65000,$B1174,AU$5)="",2,0)),0)</f>
        <v>0</v>
      </c>
      <c r="AV1174" s="313">
        <f>IFERROR(IF(INDEX([1]Pivot!$BF$1:$CG$65000,$B1174,AV$5)=1,1,IF(INDEX([1]Pivot!$B$1:$AB$65000,$B1174,AV$5)="",2,0)),0)</f>
        <v>0</v>
      </c>
      <c r="AW1174" s="313">
        <f>IFERROR(IF(INDEX([1]Pivot!$BF$1:$CG$65000,$B1174,AW$5)=1,1,IF(INDEX([1]Pivot!$B$1:$AB$65000,$B1174,AW$5)="",2,0)),0)</f>
        <v>0</v>
      </c>
      <c r="AX1174" s="313">
        <f>IFERROR(IF(INDEX([1]Pivot!$BF$1:$CG$65000,$B1174,AX$5)=1,1,IF(INDEX([1]Pivot!$B$1:$AB$65000,$B1174,AX$5)="",2,0)),0)</f>
        <v>0</v>
      </c>
      <c r="AY1174" s="313">
        <f>IFERROR(IF(INDEX([1]Pivot!$BF$1:$CG$65000,$B1174,AY$5)=1,1,IF(INDEX([1]Pivot!$B$1:$AB$65000,$B1174,AY$5)="",2,0)),0)</f>
        <v>0</v>
      </c>
      <c r="AZ1174" s="313">
        <f>IFERROR(IF(INDEX([1]Pivot!$BF$1:$CG$65000,$B1174,AZ$5)=1,1,IF(INDEX([1]Pivot!$B$1:$AB$65000,$B1174,AZ$5)="",2,0)),0)</f>
        <v>0</v>
      </c>
      <c r="BA1174" s="313">
        <f>IFERROR(IF(INDEX([1]Pivot!$BF$1:$CG$65000,$B1174,BA$5)=1,1,IF(INDEX([1]Pivot!$B$1:$AB$65000,$B1174,BA$5)="",2,0)),0)</f>
        <v>0</v>
      </c>
      <c r="BB1174" s="313">
        <f>IFERROR(IF(INDEX([1]Pivot!$BF$1:$CG$65000,$B1174,BB$5)=1,1,IF(INDEX([1]Pivot!$B$1:$AB$65000,$B1174,BB$5)="",2,0)),0)</f>
        <v>0</v>
      </c>
      <c r="BC1174" s="313">
        <f>IFERROR(IF(INDEX([1]Pivot!$BF$1:$CG$65000,$B1174,BC$5)=1,1,IF(INDEX([1]Pivot!$B$1:$AB$65000,$B1174,BC$5)="",2,0)),0)</f>
        <v>0</v>
      </c>
      <c r="BD1174" s="313">
        <f>IFERROR(IF(INDEX([1]Pivot!$BF$1:$CG$65000,$B1174,BD$5)=1,1,IF(INDEX([1]Pivot!$B$1:$AB$65000,$B1174,BD$5)="",2,0)),0)</f>
        <v>0</v>
      </c>
    </row>
    <row r="1175" spans="1:56" x14ac:dyDescent="0.25">
      <c r="A1175" s="288">
        <f>'[2]Raw Milk Prices'!A1175</f>
        <v>0</v>
      </c>
      <c r="B1175" s="296" t="e">
        <f>MATCH(DATE(LEFT('[2]Raw Milk Prices'!$A1175,4),RIGHT('[2]Raw Milk Prices'!$A1175,2),1),[1]Pivot!$A$1:$A$65000,0)</f>
        <v>#VALUE!</v>
      </c>
      <c r="C1175" s="194">
        <f>IFERROR(IF(INDEX([1]Pivot!$AD$1:$BE$65000,$B1175,C$5)=1,1,IF(INDEX([1]Pivot!$B$1:$AB$65000,$B1175,C$5)="",2,0)),0)</f>
        <v>0</v>
      </c>
      <c r="D1175" s="194">
        <f>IFERROR(IF(INDEX([1]Pivot!$AD$1:$BE$65000,$B1175,D$5)=1,1,IF(INDEX([1]Pivot!$B$1:$AB$65000,$B1175,D$5)="",2,0)),0)</f>
        <v>0</v>
      </c>
      <c r="E1175" s="194">
        <f>IFERROR(IF(INDEX([1]Pivot!$AD$1:$BE$65000,$B1175,E$5)=1,1,IF(INDEX([1]Pivot!$B$1:$AB$65000,$B1175,E$5)="",2,0)),0)</f>
        <v>0</v>
      </c>
      <c r="F1175" s="194">
        <f>IFERROR(IF(INDEX([1]Pivot!$AD$1:$BE$65000,$B1175,F$5)=1,1,IF(INDEX([1]Pivot!$B$1:$AB$65000,$B1175,F$5)="",2,0)),0)</f>
        <v>0</v>
      </c>
      <c r="G1175" s="194">
        <f>IFERROR(IF(INDEX([1]Pivot!$AD$1:$BE$65000,$B1175,G$5)=1,1,IF(INDEX([1]Pivot!$B$1:$AB$65000,$B1175,G$5)="",2,0)),0)</f>
        <v>0</v>
      </c>
      <c r="H1175" s="194">
        <f>IFERROR(IF(INDEX([1]Pivot!$AD$1:$BE$65000,$B1175,H$5)=1,1,IF(INDEX([1]Pivot!$B$1:$AB$65000,$B1175,H$5)="",2,0)),0)</f>
        <v>0</v>
      </c>
      <c r="I1175" s="194">
        <f>IFERROR(IF(INDEX([1]Pivot!$AD$1:$BE$65000,$B1175,I$5)=1,1,IF(INDEX([1]Pivot!$B$1:$AB$65000,$B1175,I$5)="",2,0)),0)</f>
        <v>0</v>
      </c>
      <c r="J1175" s="194">
        <f>IFERROR(IF(INDEX([1]Pivot!$AD$1:$BE$65000,$B1175,J$5)=1,1,IF(INDEX([1]Pivot!$B$1:$AB$65000,$B1175,J$5)="",2,0)),0)</f>
        <v>0</v>
      </c>
      <c r="K1175" s="194">
        <f>IFERROR(IF(INDEX([1]Pivot!$AD$1:$BE$65000,$B1175,K$5)=1,1,IF(INDEX([1]Pivot!$B$1:$AB$65000,$B1175,K$5)="",2,0)),0)</f>
        <v>0</v>
      </c>
      <c r="L1175" s="194">
        <f>IFERROR(IF(INDEX([1]Pivot!$AD$1:$BE$65000,$B1175,L$5)=1,1,IF(INDEX([1]Pivot!$B$1:$AB$65000,$B1175,L$5)="",2,0)),0)</f>
        <v>0</v>
      </c>
      <c r="M1175" s="194">
        <f>IFERROR(IF(INDEX([1]Pivot!$AD$1:$BE$65000,$B1175,M$5)=1,1,IF(INDEX([1]Pivot!$B$1:$AB$65000,$B1175,M$5)="",2,0)),0)</f>
        <v>0</v>
      </c>
      <c r="N1175" s="194">
        <f>IFERROR(IF(INDEX([1]Pivot!$AD$1:$BE$65000,$B1175,N$5)=1,1,IF(INDEX([1]Pivot!$B$1:$AB$65000,$B1175,N$5)="",2,0)),0)</f>
        <v>0</v>
      </c>
      <c r="O1175" s="194">
        <f>IFERROR(IF(INDEX([1]Pivot!$AD$1:$BE$65000,$B1175,O$5)=1,1,IF(INDEX([1]Pivot!$B$1:$AB$65000,$B1175,O$5)="",2,0)),0)</f>
        <v>0</v>
      </c>
      <c r="P1175" s="194">
        <f>IFERROR(IF(INDEX([1]Pivot!$AD$1:$BE$65000,$B1175,P$5)=1,1,IF(INDEX([1]Pivot!$B$1:$AB$65000,$B1175,P$5)="",2,0)),0)</f>
        <v>0</v>
      </c>
      <c r="Q1175" s="194">
        <f>IFERROR(IF(INDEX([1]Pivot!$AD$1:$BE$65000,$B1175,Q$5)=1,1,IF(INDEX([1]Pivot!$B$1:$AB$65000,$B1175,Q$5)="",2,0)),0)</f>
        <v>0</v>
      </c>
      <c r="R1175" s="312"/>
      <c r="S1175" s="194">
        <f>IFERROR(IF(INDEX([1]Pivot!$AD$1:$BE$65000,$B1175,S$5)=1,1,IF(INDEX([1]Pivot!$B$1:$AB$65000,$B1175,S$5)="",2,0)),0)</f>
        <v>0</v>
      </c>
      <c r="T1175" s="194">
        <f>IFERROR(IF(INDEX([1]Pivot!$AD$1:$BE$65000,$B1175,T$5)=1,1,IF(INDEX([1]Pivot!$B$1:$AB$65000,$B1175,T$5)="",2,0)),0)</f>
        <v>0</v>
      </c>
      <c r="U1175" s="194">
        <f>IFERROR(IF(INDEX([1]Pivot!$AD$1:$BE$65000,$B1175,U$5)=1,1,IF(INDEX([1]Pivot!$B$1:$AB$65000,$B1175,U$5)="",2,0)),0)</f>
        <v>0</v>
      </c>
      <c r="V1175" s="194">
        <f>IFERROR(IF(INDEX([1]Pivot!$AD$1:$BE$65000,$B1175,V$5)=1,1,IF(INDEX([1]Pivot!$B$1:$AB$65000,$B1175,V$5)="",2,0)),0)</f>
        <v>0</v>
      </c>
      <c r="W1175" s="194">
        <f>IFERROR(IF(INDEX([1]Pivot!$AD$1:$BE$65000,$B1175,W$5)=1,1,IF(INDEX([1]Pivot!$B$1:$AB$65000,$B1175,W$5)="",2,0)),0)</f>
        <v>0</v>
      </c>
      <c r="X1175" s="194">
        <f>IFERROR(IF(INDEX([1]Pivot!$AD$1:$BE$65000,$B1175,X$5)=1,1,IF(INDEX([1]Pivot!$B$1:$AB$65000,$B1175,X$5)="",2,0)),0)</f>
        <v>0</v>
      </c>
      <c r="Y1175" s="194">
        <f>IFERROR(IF(INDEX([1]Pivot!$AD$1:$BE$65000,$B1175,Y$5)=1,1,IF(INDEX([1]Pivot!$B$1:$AB$65000,$B1175,Y$5)="",2,0)),0)</f>
        <v>0</v>
      </c>
      <c r="Z1175" s="194">
        <f>IFERROR(IF(INDEX([1]Pivot!$AD$1:$BE$65000,$B1175,Z$5)=1,1,IF(INDEX([1]Pivot!$B$1:$AB$65000,$B1175,Z$5)="",2,0)),0)</f>
        <v>0</v>
      </c>
      <c r="AA1175" s="194">
        <f>IFERROR(IF(INDEX([1]Pivot!$AD$1:$BE$65000,$B1175,AA$5)=1,1,IF(INDEX([1]Pivot!$B$1:$AB$65000,$B1175,AA$5)="",2,0)),0)</f>
        <v>0</v>
      </c>
      <c r="AB1175" s="194">
        <f>IFERROR(IF(INDEX([1]Pivot!$AD$1:$BE$65000,$B1175,AB$5)=1,1,IF(INDEX([1]Pivot!$B$1:$AB$65000,$B1175,AB$5)="",2,0)),0)</f>
        <v>0</v>
      </c>
      <c r="AC1175" s="194">
        <f>IFERROR(IF(INDEX([1]Pivot!$AD$1:$BE$65000,$B1175,AC$5)=1,1,IF(INDEX([1]Pivot!$B$1:$AB$65000,$B1175,AC$5)="",2,0)),0)</f>
        <v>0</v>
      </c>
      <c r="AD1175" s="313">
        <f>IFERROR(IF(INDEX([1]Pivot!$BF$1:$CG$65000,$B1175,AD$5)=1,1,IF(INDEX([1]Pivot!$B$1:$AB$65000,$B1175,AD$5)="",2,0)),0)</f>
        <v>0</v>
      </c>
      <c r="AE1175" s="313">
        <f>IFERROR(IF(INDEX([1]Pivot!$BF$1:$CG$65000,$B1175,AE$5)=1,1,IF(INDEX([1]Pivot!$B$1:$AB$65000,$B1175,AE$5)="",2,0)),0)</f>
        <v>0</v>
      </c>
      <c r="AF1175" s="313">
        <f>IFERROR(IF(INDEX([1]Pivot!$BF$1:$CG$65000,$B1175,AF$5)=1,1,IF(INDEX([1]Pivot!$B$1:$AB$65000,$B1175,AF$5)="",2,0)),0)</f>
        <v>0</v>
      </c>
      <c r="AG1175" s="313">
        <f>IFERROR(IF(INDEX([1]Pivot!$BF$1:$CG$65000,$B1175,AG$5)=1,1,IF(INDEX([1]Pivot!$B$1:$AB$65000,$B1175,AG$5)="",2,0)),0)</f>
        <v>0</v>
      </c>
      <c r="AH1175" s="313">
        <f>IFERROR(IF(INDEX([1]Pivot!$BF$1:$CG$65000,$B1175,AH$5)=1,1,IF(INDEX([1]Pivot!$B$1:$AB$65000,$B1175,AH$5)="",2,0)),0)</f>
        <v>0</v>
      </c>
      <c r="AI1175" s="313">
        <f>IFERROR(IF(INDEX([1]Pivot!$BF$1:$CG$65000,$B1175,AI$5)=1,1,IF(INDEX([1]Pivot!$B$1:$AB$65000,$B1175,AI$5)="",2,0)),0)</f>
        <v>0</v>
      </c>
      <c r="AJ1175" s="313">
        <f>IFERROR(IF(INDEX([1]Pivot!$BF$1:$CG$65000,$B1175,AJ$5)=1,1,IF(INDEX([1]Pivot!$B$1:$AB$65000,$B1175,AJ$5)="",2,0)),0)</f>
        <v>0</v>
      </c>
      <c r="AK1175" s="313">
        <f>IFERROR(IF(INDEX([1]Pivot!$BF$1:$CG$65000,$B1175,AK$5)=1,1,IF(INDEX([1]Pivot!$B$1:$AB$65000,$B1175,AK$5)="",2,0)),0)</f>
        <v>0</v>
      </c>
      <c r="AL1175" s="313">
        <f>IFERROR(IF(INDEX([1]Pivot!$BF$1:$CG$65000,$B1175,AL$5)=1,1,IF(INDEX([1]Pivot!$B$1:$AB$65000,$B1175,AL$5)="",2,0)),0)</f>
        <v>0</v>
      </c>
      <c r="AM1175" s="313">
        <f>IFERROR(IF(INDEX([1]Pivot!$BF$1:$CG$65000,$B1175,AM$5)=1,1,IF(INDEX([1]Pivot!$B$1:$AB$65000,$B1175,AM$5)="",2,0)),0)</f>
        <v>0</v>
      </c>
      <c r="AN1175" s="313">
        <f>IFERROR(IF(INDEX([1]Pivot!$BF$1:$CG$65000,$B1175,AN$5)=1,1,IF(INDEX([1]Pivot!$B$1:$AB$65000,$B1175,AN$5)="",2,0)),0)</f>
        <v>0</v>
      </c>
      <c r="AO1175" s="313">
        <f>IFERROR(IF(INDEX([1]Pivot!$BF$1:$CG$65000,$B1175,AO$5)=1,1,IF(INDEX([1]Pivot!$B$1:$AB$65000,$B1175,AO$5)="",2,0)),0)</f>
        <v>0</v>
      </c>
      <c r="AP1175" s="313">
        <f>IFERROR(IF(INDEX([1]Pivot!$BF$1:$CG$65000,$B1175,AP$5)=1,1,IF(INDEX([1]Pivot!$B$1:$AB$65000,$B1175,AP$5)="",2,0)),0)</f>
        <v>0</v>
      </c>
      <c r="AQ1175" s="313">
        <f>IFERROR(IF(INDEX([1]Pivot!$BF$1:$CG$65000,$B1175,AQ$5)=1,1,IF(INDEX([1]Pivot!$B$1:$AB$65000,$B1175,AQ$5)="",2,0)),0)</f>
        <v>0</v>
      </c>
      <c r="AR1175" s="313">
        <f>IFERROR(IF(INDEX([1]Pivot!$BF$1:$CG$65000,$B1175,AR$5)=1,1,IF(INDEX([1]Pivot!$B$1:$AB$65000,$B1175,AR$5)="",2,0)),0)</f>
        <v>0</v>
      </c>
      <c r="AS1175" s="312"/>
      <c r="AT1175" s="313">
        <f>IFERROR(IF(INDEX([1]Pivot!$BF$1:$CG$65000,$B1175,AT$5)=1,1,IF(INDEX([1]Pivot!$B$1:$AB$65000,$B1175,AT$5)="",2,0)),0)</f>
        <v>0</v>
      </c>
      <c r="AU1175" s="313">
        <f>IFERROR(IF(INDEX([1]Pivot!$BF$1:$CG$65000,$B1175,AU$5)=1,1,IF(INDEX([1]Pivot!$B$1:$AB$65000,$B1175,AU$5)="",2,0)),0)</f>
        <v>0</v>
      </c>
      <c r="AV1175" s="313">
        <f>IFERROR(IF(INDEX([1]Pivot!$BF$1:$CG$65000,$B1175,AV$5)=1,1,IF(INDEX([1]Pivot!$B$1:$AB$65000,$B1175,AV$5)="",2,0)),0)</f>
        <v>0</v>
      </c>
      <c r="AW1175" s="313">
        <f>IFERROR(IF(INDEX([1]Pivot!$BF$1:$CG$65000,$B1175,AW$5)=1,1,IF(INDEX([1]Pivot!$B$1:$AB$65000,$B1175,AW$5)="",2,0)),0)</f>
        <v>0</v>
      </c>
      <c r="AX1175" s="313">
        <f>IFERROR(IF(INDEX([1]Pivot!$BF$1:$CG$65000,$B1175,AX$5)=1,1,IF(INDEX([1]Pivot!$B$1:$AB$65000,$B1175,AX$5)="",2,0)),0)</f>
        <v>0</v>
      </c>
      <c r="AY1175" s="313">
        <f>IFERROR(IF(INDEX([1]Pivot!$BF$1:$CG$65000,$B1175,AY$5)=1,1,IF(INDEX([1]Pivot!$B$1:$AB$65000,$B1175,AY$5)="",2,0)),0)</f>
        <v>0</v>
      </c>
      <c r="AZ1175" s="313">
        <f>IFERROR(IF(INDEX([1]Pivot!$BF$1:$CG$65000,$B1175,AZ$5)=1,1,IF(INDEX([1]Pivot!$B$1:$AB$65000,$B1175,AZ$5)="",2,0)),0)</f>
        <v>0</v>
      </c>
      <c r="BA1175" s="313">
        <f>IFERROR(IF(INDEX([1]Pivot!$BF$1:$CG$65000,$B1175,BA$5)=1,1,IF(INDEX([1]Pivot!$B$1:$AB$65000,$B1175,BA$5)="",2,0)),0)</f>
        <v>0</v>
      </c>
      <c r="BB1175" s="313">
        <f>IFERROR(IF(INDEX([1]Pivot!$BF$1:$CG$65000,$B1175,BB$5)=1,1,IF(INDEX([1]Pivot!$B$1:$AB$65000,$B1175,BB$5)="",2,0)),0)</f>
        <v>0</v>
      </c>
      <c r="BC1175" s="313">
        <f>IFERROR(IF(INDEX([1]Pivot!$BF$1:$CG$65000,$B1175,BC$5)=1,1,IF(INDEX([1]Pivot!$B$1:$AB$65000,$B1175,BC$5)="",2,0)),0)</f>
        <v>0</v>
      </c>
      <c r="BD1175" s="313">
        <f>IFERROR(IF(INDEX([1]Pivot!$BF$1:$CG$65000,$B1175,BD$5)=1,1,IF(INDEX([1]Pivot!$B$1:$AB$65000,$B1175,BD$5)="",2,0)),0)</f>
        <v>0</v>
      </c>
    </row>
    <row r="1176" spans="1:56" x14ac:dyDescent="0.25">
      <c r="A1176" s="288">
        <f>'[2]Raw Milk Prices'!A1176</f>
        <v>0</v>
      </c>
      <c r="B1176" s="296" t="e">
        <f>MATCH(DATE(LEFT('[2]Raw Milk Prices'!$A1176,4),RIGHT('[2]Raw Milk Prices'!$A1176,2),1),[1]Pivot!$A$1:$A$65000,0)</f>
        <v>#VALUE!</v>
      </c>
      <c r="C1176" s="194">
        <f>IFERROR(IF(INDEX([1]Pivot!$AD$1:$BE$65000,$B1176,C$5)=1,1,IF(INDEX([1]Pivot!$B$1:$AB$65000,$B1176,C$5)="",2,0)),0)</f>
        <v>0</v>
      </c>
      <c r="D1176" s="194">
        <f>IFERROR(IF(INDEX([1]Pivot!$AD$1:$BE$65000,$B1176,D$5)=1,1,IF(INDEX([1]Pivot!$B$1:$AB$65000,$B1176,D$5)="",2,0)),0)</f>
        <v>0</v>
      </c>
      <c r="E1176" s="194">
        <f>IFERROR(IF(INDEX([1]Pivot!$AD$1:$BE$65000,$B1176,E$5)=1,1,IF(INDEX([1]Pivot!$B$1:$AB$65000,$B1176,E$5)="",2,0)),0)</f>
        <v>0</v>
      </c>
      <c r="F1176" s="194">
        <f>IFERROR(IF(INDEX([1]Pivot!$AD$1:$BE$65000,$B1176,F$5)=1,1,IF(INDEX([1]Pivot!$B$1:$AB$65000,$B1176,F$5)="",2,0)),0)</f>
        <v>0</v>
      </c>
      <c r="G1176" s="194">
        <f>IFERROR(IF(INDEX([1]Pivot!$AD$1:$BE$65000,$B1176,G$5)=1,1,IF(INDEX([1]Pivot!$B$1:$AB$65000,$B1176,G$5)="",2,0)),0)</f>
        <v>0</v>
      </c>
      <c r="H1176" s="194">
        <f>IFERROR(IF(INDEX([1]Pivot!$AD$1:$BE$65000,$B1176,H$5)=1,1,IF(INDEX([1]Pivot!$B$1:$AB$65000,$B1176,H$5)="",2,0)),0)</f>
        <v>0</v>
      </c>
      <c r="I1176" s="194">
        <f>IFERROR(IF(INDEX([1]Pivot!$AD$1:$BE$65000,$B1176,I$5)=1,1,IF(INDEX([1]Pivot!$B$1:$AB$65000,$B1176,I$5)="",2,0)),0)</f>
        <v>0</v>
      </c>
      <c r="J1176" s="194">
        <f>IFERROR(IF(INDEX([1]Pivot!$AD$1:$BE$65000,$B1176,J$5)=1,1,IF(INDEX([1]Pivot!$B$1:$AB$65000,$B1176,J$5)="",2,0)),0)</f>
        <v>0</v>
      </c>
      <c r="K1176" s="194">
        <f>IFERROR(IF(INDEX([1]Pivot!$AD$1:$BE$65000,$B1176,K$5)=1,1,IF(INDEX([1]Pivot!$B$1:$AB$65000,$B1176,K$5)="",2,0)),0)</f>
        <v>0</v>
      </c>
      <c r="L1176" s="194">
        <f>IFERROR(IF(INDEX([1]Pivot!$AD$1:$BE$65000,$B1176,L$5)=1,1,IF(INDEX([1]Pivot!$B$1:$AB$65000,$B1176,L$5)="",2,0)),0)</f>
        <v>0</v>
      </c>
      <c r="M1176" s="194">
        <f>IFERROR(IF(INDEX([1]Pivot!$AD$1:$BE$65000,$B1176,M$5)=1,1,IF(INDEX([1]Pivot!$B$1:$AB$65000,$B1176,M$5)="",2,0)),0)</f>
        <v>0</v>
      </c>
      <c r="N1176" s="194">
        <f>IFERROR(IF(INDEX([1]Pivot!$AD$1:$BE$65000,$B1176,N$5)=1,1,IF(INDEX([1]Pivot!$B$1:$AB$65000,$B1176,N$5)="",2,0)),0)</f>
        <v>0</v>
      </c>
      <c r="O1176" s="194">
        <f>IFERROR(IF(INDEX([1]Pivot!$AD$1:$BE$65000,$B1176,O$5)=1,1,IF(INDEX([1]Pivot!$B$1:$AB$65000,$B1176,O$5)="",2,0)),0)</f>
        <v>0</v>
      </c>
      <c r="P1176" s="194">
        <f>IFERROR(IF(INDEX([1]Pivot!$AD$1:$BE$65000,$B1176,P$5)=1,1,IF(INDEX([1]Pivot!$B$1:$AB$65000,$B1176,P$5)="",2,0)),0)</f>
        <v>0</v>
      </c>
      <c r="Q1176" s="194">
        <f>IFERROR(IF(INDEX([1]Pivot!$AD$1:$BE$65000,$B1176,Q$5)=1,1,IF(INDEX([1]Pivot!$B$1:$AB$65000,$B1176,Q$5)="",2,0)),0)</f>
        <v>0</v>
      </c>
      <c r="R1176" s="312"/>
      <c r="S1176" s="194">
        <f>IFERROR(IF(INDEX([1]Pivot!$AD$1:$BE$65000,$B1176,S$5)=1,1,IF(INDEX([1]Pivot!$B$1:$AB$65000,$B1176,S$5)="",2,0)),0)</f>
        <v>0</v>
      </c>
      <c r="T1176" s="194">
        <f>IFERROR(IF(INDEX([1]Pivot!$AD$1:$BE$65000,$B1176,T$5)=1,1,IF(INDEX([1]Pivot!$B$1:$AB$65000,$B1176,T$5)="",2,0)),0)</f>
        <v>0</v>
      </c>
      <c r="U1176" s="194">
        <f>IFERROR(IF(INDEX([1]Pivot!$AD$1:$BE$65000,$B1176,U$5)=1,1,IF(INDEX([1]Pivot!$B$1:$AB$65000,$B1176,U$5)="",2,0)),0)</f>
        <v>0</v>
      </c>
      <c r="V1176" s="194">
        <f>IFERROR(IF(INDEX([1]Pivot!$AD$1:$BE$65000,$B1176,V$5)=1,1,IF(INDEX([1]Pivot!$B$1:$AB$65000,$B1176,V$5)="",2,0)),0)</f>
        <v>0</v>
      </c>
      <c r="W1176" s="194">
        <f>IFERROR(IF(INDEX([1]Pivot!$AD$1:$BE$65000,$B1176,W$5)=1,1,IF(INDEX([1]Pivot!$B$1:$AB$65000,$B1176,W$5)="",2,0)),0)</f>
        <v>0</v>
      </c>
      <c r="X1176" s="194">
        <f>IFERROR(IF(INDEX([1]Pivot!$AD$1:$BE$65000,$B1176,X$5)=1,1,IF(INDEX([1]Pivot!$B$1:$AB$65000,$B1176,X$5)="",2,0)),0)</f>
        <v>0</v>
      </c>
      <c r="Y1176" s="194">
        <f>IFERROR(IF(INDEX([1]Pivot!$AD$1:$BE$65000,$B1176,Y$5)=1,1,IF(INDEX([1]Pivot!$B$1:$AB$65000,$B1176,Y$5)="",2,0)),0)</f>
        <v>0</v>
      </c>
      <c r="Z1176" s="194">
        <f>IFERROR(IF(INDEX([1]Pivot!$AD$1:$BE$65000,$B1176,Z$5)=1,1,IF(INDEX([1]Pivot!$B$1:$AB$65000,$B1176,Z$5)="",2,0)),0)</f>
        <v>0</v>
      </c>
      <c r="AA1176" s="194">
        <f>IFERROR(IF(INDEX([1]Pivot!$AD$1:$BE$65000,$B1176,AA$5)=1,1,IF(INDEX([1]Pivot!$B$1:$AB$65000,$B1176,AA$5)="",2,0)),0)</f>
        <v>0</v>
      </c>
      <c r="AB1176" s="194">
        <f>IFERROR(IF(INDEX([1]Pivot!$AD$1:$BE$65000,$B1176,AB$5)=1,1,IF(INDEX([1]Pivot!$B$1:$AB$65000,$B1176,AB$5)="",2,0)),0)</f>
        <v>0</v>
      </c>
      <c r="AC1176" s="194">
        <f>IFERROR(IF(INDEX([1]Pivot!$AD$1:$BE$65000,$B1176,AC$5)=1,1,IF(INDEX([1]Pivot!$B$1:$AB$65000,$B1176,AC$5)="",2,0)),0)</f>
        <v>0</v>
      </c>
      <c r="AD1176" s="313">
        <f>IFERROR(IF(INDEX([1]Pivot!$BF$1:$CG$65000,$B1176,AD$5)=1,1,IF(INDEX([1]Pivot!$B$1:$AB$65000,$B1176,AD$5)="",2,0)),0)</f>
        <v>0</v>
      </c>
      <c r="AE1176" s="313">
        <f>IFERROR(IF(INDEX([1]Pivot!$BF$1:$CG$65000,$B1176,AE$5)=1,1,IF(INDEX([1]Pivot!$B$1:$AB$65000,$B1176,AE$5)="",2,0)),0)</f>
        <v>0</v>
      </c>
      <c r="AF1176" s="313">
        <f>IFERROR(IF(INDEX([1]Pivot!$BF$1:$CG$65000,$B1176,AF$5)=1,1,IF(INDEX([1]Pivot!$B$1:$AB$65000,$B1176,AF$5)="",2,0)),0)</f>
        <v>0</v>
      </c>
      <c r="AG1176" s="313">
        <f>IFERROR(IF(INDEX([1]Pivot!$BF$1:$CG$65000,$B1176,AG$5)=1,1,IF(INDEX([1]Pivot!$B$1:$AB$65000,$B1176,AG$5)="",2,0)),0)</f>
        <v>0</v>
      </c>
      <c r="AH1176" s="313">
        <f>IFERROR(IF(INDEX([1]Pivot!$BF$1:$CG$65000,$B1176,AH$5)=1,1,IF(INDEX([1]Pivot!$B$1:$AB$65000,$B1176,AH$5)="",2,0)),0)</f>
        <v>0</v>
      </c>
      <c r="AI1176" s="313">
        <f>IFERROR(IF(INDEX([1]Pivot!$BF$1:$CG$65000,$B1176,AI$5)=1,1,IF(INDEX([1]Pivot!$B$1:$AB$65000,$B1176,AI$5)="",2,0)),0)</f>
        <v>0</v>
      </c>
      <c r="AJ1176" s="313">
        <f>IFERROR(IF(INDEX([1]Pivot!$BF$1:$CG$65000,$B1176,AJ$5)=1,1,IF(INDEX([1]Pivot!$B$1:$AB$65000,$B1176,AJ$5)="",2,0)),0)</f>
        <v>0</v>
      </c>
      <c r="AK1176" s="313">
        <f>IFERROR(IF(INDEX([1]Pivot!$BF$1:$CG$65000,$B1176,AK$5)=1,1,IF(INDEX([1]Pivot!$B$1:$AB$65000,$B1176,AK$5)="",2,0)),0)</f>
        <v>0</v>
      </c>
      <c r="AL1176" s="313">
        <f>IFERROR(IF(INDEX([1]Pivot!$BF$1:$CG$65000,$B1176,AL$5)=1,1,IF(INDEX([1]Pivot!$B$1:$AB$65000,$B1176,AL$5)="",2,0)),0)</f>
        <v>0</v>
      </c>
      <c r="AM1176" s="313">
        <f>IFERROR(IF(INDEX([1]Pivot!$BF$1:$CG$65000,$B1176,AM$5)=1,1,IF(INDEX([1]Pivot!$B$1:$AB$65000,$B1176,AM$5)="",2,0)),0)</f>
        <v>0</v>
      </c>
      <c r="AN1176" s="313">
        <f>IFERROR(IF(INDEX([1]Pivot!$BF$1:$CG$65000,$B1176,AN$5)=1,1,IF(INDEX([1]Pivot!$B$1:$AB$65000,$B1176,AN$5)="",2,0)),0)</f>
        <v>0</v>
      </c>
      <c r="AO1176" s="313">
        <f>IFERROR(IF(INDEX([1]Pivot!$BF$1:$CG$65000,$B1176,AO$5)=1,1,IF(INDEX([1]Pivot!$B$1:$AB$65000,$B1176,AO$5)="",2,0)),0)</f>
        <v>0</v>
      </c>
      <c r="AP1176" s="313">
        <f>IFERROR(IF(INDEX([1]Pivot!$BF$1:$CG$65000,$B1176,AP$5)=1,1,IF(INDEX([1]Pivot!$B$1:$AB$65000,$B1176,AP$5)="",2,0)),0)</f>
        <v>0</v>
      </c>
      <c r="AQ1176" s="313">
        <f>IFERROR(IF(INDEX([1]Pivot!$BF$1:$CG$65000,$B1176,AQ$5)=1,1,IF(INDEX([1]Pivot!$B$1:$AB$65000,$B1176,AQ$5)="",2,0)),0)</f>
        <v>0</v>
      </c>
      <c r="AR1176" s="313">
        <f>IFERROR(IF(INDEX([1]Pivot!$BF$1:$CG$65000,$B1176,AR$5)=1,1,IF(INDEX([1]Pivot!$B$1:$AB$65000,$B1176,AR$5)="",2,0)),0)</f>
        <v>0</v>
      </c>
      <c r="AS1176" s="312"/>
      <c r="AT1176" s="313">
        <f>IFERROR(IF(INDEX([1]Pivot!$BF$1:$CG$65000,$B1176,AT$5)=1,1,IF(INDEX([1]Pivot!$B$1:$AB$65000,$B1176,AT$5)="",2,0)),0)</f>
        <v>0</v>
      </c>
      <c r="AU1176" s="313">
        <f>IFERROR(IF(INDEX([1]Pivot!$BF$1:$CG$65000,$B1176,AU$5)=1,1,IF(INDEX([1]Pivot!$B$1:$AB$65000,$B1176,AU$5)="",2,0)),0)</f>
        <v>0</v>
      </c>
      <c r="AV1176" s="313">
        <f>IFERROR(IF(INDEX([1]Pivot!$BF$1:$CG$65000,$B1176,AV$5)=1,1,IF(INDEX([1]Pivot!$B$1:$AB$65000,$B1176,AV$5)="",2,0)),0)</f>
        <v>0</v>
      </c>
      <c r="AW1176" s="313">
        <f>IFERROR(IF(INDEX([1]Pivot!$BF$1:$CG$65000,$B1176,AW$5)=1,1,IF(INDEX([1]Pivot!$B$1:$AB$65000,$B1176,AW$5)="",2,0)),0)</f>
        <v>0</v>
      </c>
      <c r="AX1176" s="313">
        <f>IFERROR(IF(INDEX([1]Pivot!$BF$1:$CG$65000,$B1176,AX$5)=1,1,IF(INDEX([1]Pivot!$B$1:$AB$65000,$B1176,AX$5)="",2,0)),0)</f>
        <v>0</v>
      </c>
      <c r="AY1176" s="313">
        <f>IFERROR(IF(INDEX([1]Pivot!$BF$1:$CG$65000,$B1176,AY$5)=1,1,IF(INDEX([1]Pivot!$B$1:$AB$65000,$B1176,AY$5)="",2,0)),0)</f>
        <v>0</v>
      </c>
      <c r="AZ1176" s="313">
        <f>IFERROR(IF(INDEX([1]Pivot!$BF$1:$CG$65000,$B1176,AZ$5)=1,1,IF(INDEX([1]Pivot!$B$1:$AB$65000,$B1176,AZ$5)="",2,0)),0)</f>
        <v>0</v>
      </c>
      <c r="BA1176" s="313">
        <f>IFERROR(IF(INDEX([1]Pivot!$BF$1:$CG$65000,$B1176,BA$5)=1,1,IF(INDEX([1]Pivot!$B$1:$AB$65000,$B1176,BA$5)="",2,0)),0)</f>
        <v>0</v>
      </c>
      <c r="BB1176" s="313">
        <f>IFERROR(IF(INDEX([1]Pivot!$BF$1:$CG$65000,$B1176,BB$5)=1,1,IF(INDEX([1]Pivot!$B$1:$AB$65000,$B1176,BB$5)="",2,0)),0)</f>
        <v>0</v>
      </c>
      <c r="BC1176" s="313">
        <f>IFERROR(IF(INDEX([1]Pivot!$BF$1:$CG$65000,$B1176,BC$5)=1,1,IF(INDEX([1]Pivot!$B$1:$AB$65000,$B1176,BC$5)="",2,0)),0)</f>
        <v>0</v>
      </c>
      <c r="BD1176" s="313">
        <f>IFERROR(IF(INDEX([1]Pivot!$BF$1:$CG$65000,$B1176,BD$5)=1,1,IF(INDEX([1]Pivot!$B$1:$AB$65000,$B1176,BD$5)="",2,0)),0)</f>
        <v>0</v>
      </c>
    </row>
    <row r="1177" spans="1:56" x14ac:dyDescent="0.25">
      <c r="A1177" s="288">
        <f>'[2]Raw Milk Prices'!A1177</f>
        <v>0</v>
      </c>
      <c r="B1177" s="296" t="e">
        <f>MATCH(DATE(LEFT('[2]Raw Milk Prices'!$A1177,4),RIGHT('[2]Raw Milk Prices'!$A1177,2),1),[1]Pivot!$A$1:$A$65000,0)</f>
        <v>#VALUE!</v>
      </c>
      <c r="C1177" s="194">
        <f>IFERROR(IF(INDEX([1]Pivot!$AD$1:$BE$65000,$B1177,C$5)=1,1,IF(INDEX([1]Pivot!$B$1:$AB$65000,$B1177,C$5)="",2,0)),0)</f>
        <v>0</v>
      </c>
      <c r="D1177" s="194">
        <f>IFERROR(IF(INDEX([1]Pivot!$AD$1:$BE$65000,$B1177,D$5)=1,1,IF(INDEX([1]Pivot!$B$1:$AB$65000,$B1177,D$5)="",2,0)),0)</f>
        <v>0</v>
      </c>
      <c r="E1177" s="194">
        <f>IFERROR(IF(INDEX([1]Pivot!$AD$1:$BE$65000,$B1177,E$5)=1,1,IF(INDEX([1]Pivot!$B$1:$AB$65000,$B1177,E$5)="",2,0)),0)</f>
        <v>0</v>
      </c>
      <c r="F1177" s="194">
        <f>IFERROR(IF(INDEX([1]Pivot!$AD$1:$BE$65000,$B1177,F$5)=1,1,IF(INDEX([1]Pivot!$B$1:$AB$65000,$B1177,F$5)="",2,0)),0)</f>
        <v>0</v>
      </c>
      <c r="G1177" s="194">
        <f>IFERROR(IF(INDEX([1]Pivot!$AD$1:$BE$65000,$B1177,G$5)=1,1,IF(INDEX([1]Pivot!$B$1:$AB$65000,$B1177,G$5)="",2,0)),0)</f>
        <v>0</v>
      </c>
      <c r="H1177" s="194">
        <f>IFERROR(IF(INDEX([1]Pivot!$AD$1:$BE$65000,$B1177,H$5)=1,1,IF(INDEX([1]Pivot!$B$1:$AB$65000,$B1177,H$5)="",2,0)),0)</f>
        <v>0</v>
      </c>
      <c r="I1177" s="194">
        <f>IFERROR(IF(INDEX([1]Pivot!$AD$1:$BE$65000,$B1177,I$5)=1,1,IF(INDEX([1]Pivot!$B$1:$AB$65000,$B1177,I$5)="",2,0)),0)</f>
        <v>0</v>
      </c>
      <c r="J1177" s="194">
        <f>IFERROR(IF(INDEX([1]Pivot!$AD$1:$BE$65000,$B1177,J$5)=1,1,IF(INDEX([1]Pivot!$B$1:$AB$65000,$B1177,J$5)="",2,0)),0)</f>
        <v>0</v>
      </c>
      <c r="K1177" s="194">
        <f>IFERROR(IF(INDEX([1]Pivot!$AD$1:$BE$65000,$B1177,K$5)=1,1,IF(INDEX([1]Pivot!$B$1:$AB$65000,$B1177,K$5)="",2,0)),0)</f>
        <v>0</v>
      </c>
      <c r="L1177" s="194">
        <f>IFERROR(IF(INDEX([1]Pivot!$AD$1:$BE$65000,$B1177,L$5)=1,1,IF(INDEX([1]Pivot!$B$1:$AB$65000,$B1177,L$5)="",2,0)),0)</f>
        <v>0</v>
      </c>
      <c r="M1177" s="194">
        <f>IFERROR(IF(INDEX([1]Pivot!$AD$1:$BE$65000,$B1177,M$5)=1,1,IF(INDEX([1]Pivot!$B$1:$AB$65000,$B1177,M$5)="",2,0)),0)</f>
        <v>0</v>
      </c>
      <c r="N1177" s="194">
        <f>IFERROR(IF(INDEX([1]Pivot!$AD$1:$BE$65000,$B1177,N$5)=1,1,IF(INDEX([1]Pivot!$B$1:$AB$65000,$B1177,N$5)="",2,0)),0)</f>
        <v>0</v>
      </c>
      <c r="O1177" s="194">
        <f>IFERROR(IF(INDEX([1]Pivot!$AD$1:$BE$65000,$B1177,O$5)=1,1,IF(INDEX([1]Pivot!$B$1:$AB$65000,$B1177,O$5)="",2,0)),0)</f>
        <v>0</v>
      </c>
      <c r="P1177" s="194">
        <f>IFERROR(IF(INDEX([1]Pivot!$AD$1:$BE$65000,$B1177,P$5)=1,1,IF(INDEX([1]Pivot!$B$1:$AB$65000,$B1177,P$5)="",2,0)),0)</f>
        <v>0</v>
      </c>
      <c r="Q1177" s="194">
        <f>IFERROR(IF(INDEX([1]Pivot!$AD$1:$BE$65000,$B1177,Q$5)=1,1,IF(INDEX([1]Pivot!$B$1:$AB$65000,$B1177,Q$5)="",2,0)),0)</f>
        <v>0</v>
      </c>
      <c r="R1177" s="312"/>
      <c r="S1177" s="194">
        <f>IFERROR(IF(INDEX([1]Pivot!$AD$1:$BE$65000,$B1177,S$5)=1,1,IF(INDEX([1]Pivot!$B$1:$AB$65000,$B1177,S$5)="",2,0)),0)</f>
        <v>0</v>
      </c>
      <c r="T1177" s="194">
        <f>IFERROR(IF(INDEX([1]Pivot!$AD$1:$BE$65000,$B1177,T$5)=1,1,IF(INDEX([1]Pivot!$B$1:$AB$65000,$B1177,T$5)="",2,0)),0)</f>
        <v>0</v>
      </c>
      <c r="U1177" s="194">
        <f>IFERROR(IF(INDEX([1]Pivot!$AD$1:$BE$65000,$B1177,U$5)=1,1,IF(INDEX([1]Pivot!$B$1:$AB$65000,$B1177,U$5)="",2,0)),0)</f>
        <v>0</v>
      </c>
      <c r="V1177" s="194">
        <f>IFERROR(IF(INDEX([1]Pivot!$AD$1:$BE$65000,$B1177,V$5)=1,1,IF(INDEX([1]Pivot!$B$1:$AB$65000,$B1177,V$5)="",2,0)),0)</f>
        <v>0</v>
      </c>
      <c r="W1177" s="194">
        <f>IFERROR(IF(INDEX([1]Pivot!$AD$1:$BE$65000,$B1177,W$5)=1,1,IF(INDEX([1]Pivot!$B$1:$AB$65000,$B1177,W$5)="",2,0)),0)</f>
        <v>0</v>
      </c>
      <c r="X1177" s="194">
        <f>IFERROR(IF(INDEX([1]Pivot!$AD$1:$BE$65000,$B1177,X$5)=1,1,IF(INDEX([1]Pivot!$B$1:$AB$65000,$B1177,X$5)="",2,0)),0)</f>
        <v>0</v>
      </c>
      <c r="Y1177" s="194">
        <f>IFERROR(IF(INDEX([1]Pivot!$AD$1:$BE$65000,$B1177,Y$5)=1,1,IF(INDEX([1]Pivot!$B$1:$AB$65000,$B1177,Y$5)="",2,0)),0)</f>
        <v>0</v>
      </c>
      <c r="Z1177" s="194">
        <f>IFERROR(IF(INDEX([1]Pivot!$AD$1:$BE$65000,$B1177,Z$5)=1,1,IF(INDEX([1]Pivot!$B$1:$AB$65000,$B1177,Z$5)="",2,0)),0)</f>
        <v>0</v>
      </c>
      <c r="AA1177" s="194">
        <f>IFERROR(IF(INDEX([1]Pivot!$AD$1:$BE$65000,$B1177,AA$5)=1,1,IF(INDEX([1]Pivot!$B$1:$AB$65000,$B1177,AA$5)="",2,0)),0)</f>
        <v>0</v>
      </c>
      <c r="AB1177" s="194">
        <f>IFERROR(IF(INDEX([1]Pivot!$AD$1:$BE$65000,$B1177,AB$5)=1,1,IF(INDEX([1]Pivot!$B$1:$AB$65000,$B1177,AB$5)="",2,0)),0)</f>
        <v>0</v>
      </c>
      <c r="AC1177" s="194">
        <f>IFERROR(IF(INDEX([1]Pivot!$AD$1:$BE$65000,$B1177,AC$5)=1,1,IF(INDEX([1]Pivot!$B$1:$AB$65000,$B1177,AC$5)="",2,0)),0)</f>
        <v>0</v>
      </c>
      <c r="AD1177" s="313">
        <f>IFERROR(IF(INDEX([1]Pivot!$BF$1:$CG$65000,$B1177,AD$5)=1,1,IF(INDEX([1]Pivot!$B$1:$AB$65000,$B1177,AD$5)="",2,0)),0)</f>
        <v>0</v>
      </c>
      <c r="AE1177" s="313">
        <f>IFERROR(IF(INDEX([1]Pivot!$BF$1:$CG$65000,$B1177,AE$5)=1,1,IF(INDEX([1]Pivot!$B$1:$AB$65000,$B1177,AE$5)="",2,0)),0)</f>
        <v>0</v>
      </c>
      <c r="AF1177" s="313">
        <f>IFERROR(IF(INDEX([1]Pivot!$BF$1:$CG$65000,$B1177,AF$5)=1,1,IF(INDEX([1]Pivot!$B$1:$AB$65000,$B1177,AF$5)="",2,0)),0)</f>
        <v>0</v>
      </c>
      <c r="AG1177" s="313">
        <f>IFERROR(IF(INDEX([1]Pivot!$BF$1:$CG$65000,$B1177,AG$5)=1,1,IF(INDEX([1]Pivot!$B$1:$AB$65000,$B1177,AG$5)="",2,0)),0)</f>
        <v>0</v>
      </c>
      <c r="AH1177" s="313">
        <f>IFERROR(IF(INDEX([1]Pivot!$BF$1:$CG$65000,$B1177,AH$5)=1,1,IF(INDEX([1]Pivot!$B$1:$AB$65000,$B1177,AH$5)="",2,0)),0)</f>
        <v>0</v>
      </c>
      <c r="AI1177" s="313">
        <f>IFERROR(IF(INDEX([1]Pivot!$BF$1:$CG$65000,$B1177,AI$5)=1,1,IF(INDEX([1]Pivot!$B$1:$AB$65000,$B1177,AI$5)="",2,0)),0)</f>
        <v>0</v>
      </c>
      <c r="AJ1177" s="313">
        <f>IFERROR(IF(INDEX([1]Pivot!$BF$1:$CG$65000,$B1177,AJ$5)=1,1,IF(INDEX([1]Pivot!$B$1:$AB$65000,$B1177,AJ$5)="",2,0)),0)</f>
        <v>0</v>
      </c>
      <c r="AK1177" s="313">
        <f>IFERROR(IF(INDEX([1]Pivot!$BF$1:$CG$65000,$B1177,AK$5)=1,1,IF(INDEX([1]Pivot!$B$1:$AB$65000,$B1177,AK$5)="",2,0)),0)</f>
        <v>0</v>
      </c>
      <c r="AL1177" s="313">
        <f>IFERROR(IF(INDEX([1]Pivot!$BF$1:$CG$65000,$B1177,AL$5)=1,1,IF(INDEX([1]Pivot!$B$1:$AB$65000,$B1177,AL$5)="",2,0)),0)</f>
        <v>0</v>
      </c>
      <c r="AM1177" s="313">
        <f>IFERROR(IF(INDEX([1]Pivot!$BF$1:$CG$65000,$B1177,AM$5)=1,1,IF(INDEX([1]Pivot!$B$1:$AB$65000,$B1177,AM$5)="",2,0)),0)</f>
        <v>0</v>
      </c>
      <c r="AN1177" s="313">
        <f>IFERROR(IF(INDEX([1]Pivot!$BF$1:$CG$65000,$B1177,AN$5)=1,1,IF(INDEX([1]Pivot!$B$1:$AB$65000,$B1177,AN$5)="",2,0)),0)</f>
        <v>0</v>
      </c>
      <c r="AO1177" s="313">
        <f>IFERROR(IF(INDEX([1]Pivot!$BF$1:$CG$65000,$B1177,AO$5)=1,1,IF(INDEX([1]Pivot!$B$1:$AB$65000,$B1177,AO$5)="",2,0)),0)</f>
        <v>0</v>
      </c>
      <c r="AP1177" s="313">
        <f>IFERROR(IF(INDEX([1]Pivot!$BF$1:$CG$65000,$B1177,AP$5)=1,1,IF(INDEX([1]Pivot!$B$1:$AB$65000,$B1177,AP$5)="",2,0)),0)</f>
        <v>0</v>
      </c>
      <c r="AQ1177" s="313">
        <f>IFERROR(IF(INDEX([1]Pivot!$BF$1:$CG$65000,$B1177,AQ$5)=1,1,IF(INDEX([1]Pivot!$B$1:$AB$65000,$B1177,AQ$5)="",2,0)),0)</f>
        <v>0</v>
      </c>
      <c r="AR1177" s="313">
        <f>IFERROR(IF(INDEX([1]Pivot!$BF$1:$CG$65000,$B1177,AR$5)=1,1,IF(INDEX([1]Pivot!$B$1:$AB$65000,$B1177,AR$5)="",2,0)),0)</f>
        <v>0</v>
      </c>
      <c r="AS1177" s="312"/>
      <c r="AT1177" s="313">
        <f>IFERROR(IF(INDEX([1]Pivot!$BF$1:$CG$65000,$B1177,AT$5)=1,1,IF(INDEX([1]Pivot!$B$1:$AB$65000,$B1177,AT$5)="",2,0)),0)</f>
        <v>0</v>
      </c>
      <c r="AU1177" s="313">
        <f>IFERROR(IF(INDEX([1]Pivot!$BF$1:$CG$65000,$B1177,AU$5)=1,1,IF(INDEX([1]Pivot!$B$1:$AB$65000,$B1177,AU$5)="",2,0)),0)</f>
        <v>0</v>
      </c>
      <c r="AV1177" s="313">
        <f>IFERROR(IF(INDEX([1]Pivot!$BF$1:$CG$65000,$B1177,AV$5)=1,1,IF(INDEX([1]Pivot!$B$1:$AB$65000,$B1177,AV$5)="",2,0)),0)</f>
        <v>0</v>
      </c>
      <c r="AW1177" s="313">
        <f>IFERROR(IF(INDEX([1]Pivot!$BF$1:$CG$65000,$B1177,AW$5)=1,1,IF(INDEX([1]Pivot!$B$1:$AB$65000,$B1177,AW$5)="",2,0)),0)</f>
        <v>0</v>
      </c>
      <c r="AX1177" s="313">
        <f>IFERROR(IF(INDEX([1]Pivot!$BF$1:$CG$65000,$B1177,AX$5)=1,1,IF(INDEX([1]Pivot!$B$1:$AB$65000,$B1177,AX$5)="",2,0)),0)</f>
        <v>0</v>
      </c>
      <c r="AY1177" s="313">
        <f>IFERROR(IF(INDEX([1]Pivot!$BF$1:$CG$65000,$B1177,AY$5)=1,1,IF(INDEX([1]Pivot!$B$1:$AB$65000,$B1177,AY$5)="",2,0)),0)</f>
        <v>0</v>
      </c>
      <c r="AZ1177" s="313">
        <f>IFERROR(IF(INDEX([1]Pivot!$BF$1:$CG$65000,$B1177,AZ$5)=1,1,IF(INDEX([1]Pivot!$B$1:$AB$65000,$B1177,AZ$5)="",2,0)),0)</f>
        <v>0</v>
      </c>
      <c r="BA1177" s="313">
        <f>IFERROR(IF(INDEX([1]Pivot!$BF$1:$CG$65000,$B1177,BA$5)=1,1,IF(INDEX([1]Pivot!$B$1:$AB$65000,$B1177,BA$5)="",2,0)),0)</f>
        <v>0</v>
      </c>
      <c r="BB1177" s="313">
        <f>IFERROR(IF(INDEX([1]Pivot!$BF$1:$CG$65000,$B1177,BB$5)=1,1,IF(INDEX([1]Pivot!$B$1:$AB$65000,$B1177,BB$5)="",2,0)),0)</f>
        <v>0</v>
      </c>
      <c r="BC1177" s="313">
        <f>IFERROR(IF(INDEX([1]Pivot!$BF$1:$CG$65000,$B1177,BC$5)=1,1,IF(INDEX([1]Pivot!$B$1:$AB$65000,$B1177,BC$5)="",2,0)),0)</f>
        <v>0</v>
      </c>
      <c r="BD1177" s="313">
        <f>IFERROR(IF(INDEX([1]Pivot!$BF$1:$CG$65000,$B1177,BD$5)=1,1,IF(INDEX([1]Pivot!$B$1:$AB$65000,$B1177,BD$5)="",2,0)),0)</f>
        <v>0</v>
      </c>
    </row>
    <row r="1178" spans="1:56" x14ac:dyDescent="0.25">
      <c r="A1178" s="288">
        <f>'[2]Raw Milk Prices'!A1178</f>
        <v>0</v>
      </c>
      <c r="B1178" s="296" t="e">
        <f>MATCH(DATE(LEFT('[2]Raw Milk Prices'!$A1178,4),RIGHT('[2]Raw Milk Prices'!$A1178,2),1),[1]Pivot!$A$1:$A$65000,0)</f>
        <v>#VALUE!</v>
      </c>
      <c r="C1178" s="194">
        <f>IFERROR(IF(INDEX([1]Pivot!$AD$1:$BE$65000,$B1178,C$5)=1,1,IF(INDEX([1]Pivot!$B$1:$AB$65000,$B1178,C$5)="",2,0)),0)</f>
        <v>0</v>
      </c>
      <c r="D1178" s="194">
        <f>IFERROR(IF(INDEX([1]Pivot!$AD$1:$BE$65000,$B1178,D$5)=1,1,IF(INDEX([1]Pivot!$B$1:$AB$65000,$B1178,D$5)="",2,0)),0)</f>
        <v>0</v>
      </c>
      <c r="E1178" s="194">
        <f>IFERROR(IF(INDEX([1]Pivot!$AD$1:$BE$65000,$B1178,E$5)=1,1,IF(INDEX([1]Pivot!$B$1:$AB$65000,$B1178,E$5)="",2,0)),0)</f>
        <v>0</v>
      </c>
      <c r="F1178" s="194">
        <f>IFERROR(IF(INDEX([1]Pivot!$AD$1:$BE$65000,$B1178,F$5)=1,1,IF(INDEX([1]Pivot!$B$1:$AB$65000,$B1178,F$5)="",2,0)),0)</f>
        <v>0</v>
      </c>
      <c r="G1178" s="194">
        <f>IFERROR(IF(INDEX([1]Pivot!$AD$1:$BE$65000,$B1178,G$5)=1,1,IF(INDEX([1]Pivot!$B$1:$AB$65000,$B1178,G$5)="",2,0)),0)</f>
        <v>0</v>
      </c>
      <c r="H1178" s="194">
        <f>IFERROR(IF(INDEX([1]Pivot!$AD$1:$BE$65000,$B1178,H$5)=1,1,IF(INDEX([1]Pivot!$B$1:$AB$65000,$B1178,H$5)="",2,0)),0)</f>
        <v>0</v>
      </c>
      <c r="I1178" s="194">
        <f>IFERROR(IF(INDEX([1]Pivot!$AD$1:$BE$65000,$B1178,I$5)=1,1,IF(INDEX([1]Pivot!$B$1:$AB$65000,$B1178,I$5)="",2,0)),0)</f>
        <v>0</v>
      </c>
      <c r="J1178" s="194">
        <f>IFERROR(IF(INDEX([1]Pivot!$AD$1:$BE$65000,$B1178,J$5)=1,1,IF(INDEX([1]Pivot!$B$1:$AB$65000,$B1178,J$5)="",2,0)),0)</f>
        <v>0</v>
      </c>
      <c r="K1178" s="194">
        <f>IFERROR(IF(INDEX([1]Pivot!$AD$1:$BE$65000,$B1178,K$5)=1,1,IF(INDEX([1]Pivot!$B$1:$AB$65000,$B1178,K$5)="",2,0)),0)</f>
        <v>0</v>
      </c>
      <c r="L1178" s="194">
        <f>IFERROR(IF(INDEX([1]Pivot!$AD$1:$BE$65000,$B1178,L$5)=1,1,IF(INDEX([1]Pivot!$B$1:$AB$65000,$B1178,L$5)="",2,0)),0)</f>
        <v>0</v>
      </c>
      <c r="M1178" s="194">
        <f>IFERROR(IF(INDEX([1]Pivot!$AD$1:$BE$65000,$B1178,M$5)=1,1,IF(INDEX([1]Pivot!$B$1:$AB$65000,$B1178,M$5)="",2,0)),0)</f>
        <v>0</v>
      </c>
      <c r="N1178" s="194">
        <f>IFERROR(IF(INDEX([1]Pivot!$AD$1:$BE$65000,$B1178,N$5)=1,1,IF(INDEX([1]Pivot!$B$1:$AB$65000,$B1178,N$5)="",2,0)),0)</f>
        <v>0</v>
      </c>
      <c r="O1178" s="194">
        <f>IFERROR(IF(INDEX([1]Pivot!$AD$1:$BE$65000,$B1178,O$5)=1,1,IF(INDEX([1]Pivot!$B$1:$AB$65000,$B1178,O$5)="",2,0)),0)</f>
        <v>0</v>
      </c>
      <c r="P1178" s="194">
        <f>IFERROR(IF(INDEX([1]Pivot!$AD$1:$BE$65000,$B1178,P$5)=1,1,IF(INDEX([1]Pivot!$B$1:$AB$65000,$B1178,P$5)="",2,0)),0)</f>
        <v>0</v>
      </c>
      <c r="Q1178" s="194">
        <f>IFERROR(IF(INDEX([1]Pivot!$AD$1:$BE$65000,$B1178,Q$5)=1,1,IF(INDEX([1]Pivot!$B$1:$AB$65000,$B1178,Q$5)="",2,0)),0)</f>
        <v>0</v>
      </c>
      <c r="R1178" s="312"/>
      <c r="S1178" s="194">
        <f>IFERROR(IF(INDEX([1]Pivot!$AD$1:$BE$65000,$B1178,S$5)=1,1,IF(INDEX([1]Pivot!$B$1:$AB$65000,$B1178,S$5)="",2,0)),0)</f>
        <v>0</v>
      </c>
      <c r="T1178" s="194">
        <f>IFERROR(IF(INDEX([1]Pivot!$AD$1:$BE$65000,$B1178,T$5)=1,1,IF(INDEX([1]Pivot!$B$1:$AB$65000,$B1178,T$5)="",2,0)),0)</f>
        <v>0</v>
      </c>
      <c r="U1178" s="194">
        <f>IFERROR(IF(INDEX([1]Pivot!$AD$1:$BE$65000,$B1178,U$5)=1,1,IF(INDEX([1]Pivot!$B$1:$AB$65000,$B1178,U$5)="",2,0)),0)</f>
        <v>0</v>
      </c>
      <c r="V1178" s="194">
        <f>IFERROR(IF(INDEX([1]Pivot!$AD$1:$BE$65000,$B1178,V$5)=1,1,IF(INDEX([1]Pivot!$B$1:$AB$65000,$B1178,V$5)="",2,0)),0)</f>
        <v>0</v>
      </c>
      <c r="W1178" s="194">
        <f>IFERROR(IF(INDEX([1]Pivot!$AD$1:$BE$65000,$B1178,W$5)=1,1,IF(INDEX([1]Pivot!$B$1:$AB$65000,$B1178,W$5)="",2,0)),0)</f>
        <v>0</v>
      </c>
      <c r="X1178" s="194">
        <f>IFERROR(IF(INDEX([1]Pivot!$AD$1:$BE$65000,$B1178,X$5)=1,1,IF(INDEX([1]Pivot!$B$1:$AB$65000,$B1178,X$5)="",2,0)),0)</f>
        <v>0</v>
      </c>
      <c r="Y1178" s="194">
        <f>IFERROR(IF(INDEX([1]Pivot!$AD$1:$BE$65000,$B1178,Y$5)=1,1,IF(INDEX([1]Pivot!$B$1:$AB$65000,$B1178,Y$5)="",2,0)),0)</f>
        <v>0</v>
      </c>
      <c r="Z1178" s="194">
        <f>IFERROR(IF(INDEX([1]Pivot!$AD$1:$BE$65000,$B1178,Z$5)=1,1,IF(INDEX([1]Pivot!$B$1:$AB$65000,$B1178,Z$5)="",2,0)),0)</f>
        <v>0</v>
      </c>
      <c r="AA1178" s="194">
        <f>IFERROR(IF(INDEX([1]Pivot!$AD$1:$BE$65000,$B1178,AA$5)=1,1,IF(INDEX([1]Pivot!$B$1:$AB$65000,$B1178,AA$5)="",2,0)),0)</f>
        <v>0</v>
      </c>
      <c r="AB1178" s="194">
        <f>IFERROR(IF(INDEX([1]Pivot!$AD$1:$BE$65000,$B1178,AB$5)=1,1,IF(INDEX([1]Pivot!$B$1:$AB$65000,$B1178,AB$5)="",2,0)),0)</f>
        <v>0</v>
      </c>
      <c r="AC1178" s="194">
        <f>IFERROR(IF(INDEX([1]Pivot!$AD$1:$BE$65000,$B1178,AC$5)=1,1,IF(INDEX([1]Pivot!$B$1:$AB$65000,$B1178,AC$5)="",2,0)),0)</f>
        <v>0</v>
      </c>
      <c r="AD1178" s="313">
        <f>IFERROR(IF(INDEX([1]Pivot!$BF$1:$CG$65000,$B1178,AD$5)=1,1,IF(INDEX([1]Pivot!$B$1:$AB$65000,$B1178,AD$5)="",2,0)),0)</f>
        <v>0</v>
      </c>
      <c r="AE1178" s="313">
        <f>IFERROR(IF(INDEX([1]Pivot!$BF$1:$CG$65000,$B1178,AE$5)=1,1,IF(INDEX([1]Pivot!$B$1:$AB$65000,$B1178,AE$5)="",2,0)),0)</f>
        <v>0</v>
      </c>
      <c r="AF1178" s="313">
        <f>IFERROR(IF(INDEX([1]Pivot!$BF$1:$CG$65000,$B1178,AF$5)=1,1,IF(INDEX([1]Pivot!$B$1:$AB$65000,$B1178,AF$5)="",2,0)),0)</f>
        <v>0</v>
      </c>
      <c r="AG1178" s="313">
        <f>IFERROR(IF(INDEX([1]Pivot!$BF$1:$CG$65000,$B1178,AG$5)=1,1,IF(INDEX([1]Pivot!$B$1:$AB$65000,$B1178,AG$5)="",2,0)),0)</f>
        <v>0</v>
      </c>
      <c r="AH1178" s="313">
        <f>IFERROR(IF(INDEX([1]Pivot!$BF$1:$CG$65000,$B1178,AH$5)=1,1,IF(INDEX([1]Pivot!$B$1:$AB$65000,$B1178,AH$5)="",2,0)),0)</f>
        <v>0</v>
      </c>
      <c r="AI1178" s="313">
        <f>IFERROR(IF(INDEX([1]Pivot!$BF$1:$CG$65000,$B1178,AI$5)=1,1,IF(INDEX([1]Pivot!$B$1:$AB$65000,$B1178,AI$5)="",2,0)),0)</f>
        <v>0</v>
      </c>
      <c r="AJ1178" s="313">
        <f>IFERROR(IF(INDEX([1]Pivot!$BF$1:$CG$65000,$B1178,AJ$5)=1,1,IF(INDEX([1]Pivot!$B$1:$AB$65000,$B1178,AJ$5)="",2,0)),0)</f>
        <v>0</v>
      </c>
      <c r="AK1178" s="313">
        <f>IFERROR(IF(INDEX([1]Pivot!$BF$1:$CG$65000,$B1178,AK$5)=1,1,IF(INDEX([1]Pivot!$B$1:$AB$65000,$B1178,AK$5)="",2,0)),0)</f>
        <v>0</v>
      </c>
      <c r="AL1178" s="313">
        <f>IFERROR(IF(INDEX([1]Pivot!$BF$1:$CG$65000,$B1178,AL$5)=1,1,IF(INDEX([1]Pivot!$B$1:$AB$65000,$B1178,AL$5)="",2,0)),0)</f>
        <v>0</v>
      </c>
      <c r="AM1178" s="313">
        <f>IFERROR(IF(INDEX([1]Pivot!$BF$1:$CG$65000,$B1178,AM$5)=1,1,IF(INDEX([1]Pivot!$B$1:$AB$65000,$B1178,AM$5)="",2,0)),0)</f>
        <v>0</v>
      </c>
      <c r="AN1178" s="313">
        <f>IFERROR(IF(INDEX([1]Pivot!$BF$1:$CG$65000,$B1178,AN$5)=1,1,IF(INDEX([1]Pivot!$B$1:$AB$65000,$B1178,AN$5)="",2,0)),0)</f>
        <v>0</v>
      </c>
      <c r="AO1178" s="313">
        <f>IFERROR(IF(INDEX([1]Pivot!$BF$1:$CG$65000,$B1178,AO$5)=1,1,IF(INDEX([1]Pivot!$B$1:$AB$65000,$B1178,AO$5)="",2,0)),0)</f>
        <v>0</v>
      </c>
      <c r="AP1178" s="313">
        <f>IFERROR(IF(INDEX([1]Pivot!$BF$1:$CG$65000,$B1178,AP$5)=1,1,IF(INDEX([1]Pivot!$B$1:$AB$65000,$B1178,AP$5)="",2,0)),0)</f>
        <v>0</v>
      </c>
      <c r="AQ1178" s="313">
        <f>IFERROR(IF(INDEX([1]Pivot!$BF$1:$CG$65000,$B1178,AQ$5)=1,1,IF(INDEX([1]Pivot!$B$1:$AB$65000,$B1178,AQ$5)="",2,0)),0)</f>
        <v>0</v>
      </c>
      <c r="AR1178" s="313">
        <f>IFERROR(IF(INDEX([1]Pivot!$BF$1:$CG$65000,$B1178,AR$5)=1,1,IF(INDEX([1]Pivot!$B$1:$AB$65000,$B1178,AR$5)="",2,0)),0)</f>
        <v>0</v>
      </c>
      <c r="AS1178" s="312"/>
      <c r="AT1178" s="313">
        <f>IFERROR(IF(INDEX([1]Pivot!$BF$1:$CG$65000,$B1178,AT$5)=1,1,IF(INDEX([1]Pivot!$B$1:$AB$65000,$B1178,AT$5)="",2,0)),0)</f>
        <v>0</v>
      </c>
      <c r="AU1178" s="313">
        <f>IFERROR(IF(INDEX([1]Pivot!$BF$1:$CG$65000,$B1178,AU$5)=1,1,IF(INDEX([1]Pivot!$B$1:$AB$65000,$B1178,AU$5)="",2,0)),0)</f>
        <v>0</v>
      </c>
      <c r="AV1178" s="313">
        <f>IFERROR(IF(INDEX([1]Pivot!$BF$1:$CG$65000,$B1178,AV$5)=1,1,IF(INDEX([1]Pivot!$B$1:$AB$65000,$B1178,AV$5)="",2,0)),0)</f>
        <v>0</v>
      </c>
      <c r="AW1178" s="313">
        <f>IFERROR(IF(INDEX([1]Pivot!$BF$1:$CG$65000,$B1178,AW$5)=1,1,IF(INDEX([1]Pivot!$B$1:$AB$65000,$B1178,AW$5)="",2,0)),0)</f>
        <v>0</v>
      </c>
      <c r="AX1178" s="313">
        <f>IFERROR(IF(INDEX([1]Pivot!$BF$1:$CG$65000,$B1178,AX$5)=1,1,IF(INDEX([1]Pivot!$B$1:$AB$65000,$B1178,AX$5)="",2,0)),0)</f>
        <v>0</v>
      </c>
      <c r="AY1178" s="313">
        <f>IFERROR(IF(INDEX([1]Pivot!$BF$1:$CG$65000,$B1178,AY$5)=1,1,IF(INDEX([1]Pivot!$B$1:$AB$65000,$B1178,AY$5)="",2,0)),0)</f>
        <v>0</v>
      </c>
      <c r="AZ1178" s="313">
        <f>IFERROR(IF(INDEX([1]Pivot!$BF$1:$CG$65000,$B1178,AZ$5)=1,1,IF(INDEX([1]Pivot!$B$1:$AB$65000,$B1178,AZ$5)="",2,0)),0)</f>
        <v>0</v>
      </c>
      <c r="BA1178" s="313">
        <f>IFERROR(IF(INDEX([1]Pivot!$BF$1:$CG$65000,$B1178,BA$5)=1,1,IF(INDEX([1]Pivot!$B$1:$AB$65000,$B1178,BA$5)="",2,0)),0)</f>
        <v>0</v>
      </c>
      <c r="BB1178" s="313">
        <f>IFERROR(IF(INDEX([1]Pivot!$BF$1:$CG$65000,$B1178,BB$5)=1,1,IF(INDEX([1]Pivot!$B$1:$AB$65000,$B1178,BB$5)="",2,0)),0)</f>
        <v>0</v>
      </c>
      <c r="BC1178" s="313">
        <f>IFERROR(IF(INDEX([1]Pivot!$BF$1:$CG$65000,$B1178,BC$5)=1,1,IF(INDEX([1]Pivot!$B$1:$AB$65000,$B1178,BC$5)="",2,0)),0)</f>
        <v>0</v>
      </c>
      <c r="BD1178" s="313">
        <f>IFERROR(IF(INDEX([1]Pivot!$BF$1:$CG$65000,$B1178,BD$5)=1,1,IF(INDEX([1]Pivot!$B$1:$AB$65000,$B1178,BD$5)="",2,0)),0)</f>
        <v>0</v>
      </c>
    </row>
    <row r="1179" spans="1:56" x14ac:dyDescent="0.25">
      <c r="A1179" s="288">
        <f>'[2]Raw Milk Prices'!A1179</f>
        <v>0</v>
      </c>
      <c r="B1179" s="296" t="e">
        <f>MATCH(DATE(LEFT('[2]Raw Milk Prices'!$A1179,4),RIGHT('[2]Raw Milk Prices'!$A1179,2),1),[1]Pivot!$A$1:$A$65000,0)</f>
        <v>#VALUE!</v>
      </c>
      <c r="C1179" s="194">
        <f>IFERROR(IF(INDEX([1]Pivot!$AD$1:$BE$65000,$B1179,C$5)=1,1,IF(INDEX([1]Pivot!$B$1:$AB$65000,$B1179,C$5)="",2,0)),0)</f>
        <v>0</v>
      </c>
      <c r="D1179" s="194">
        <f>IFERROR(IF(INDEX([1]Pivot!$AD$1:$BE$65000,$B1179,D$5)=1,1,IF(INDEX([1]Pivot!$B$1:$AB$65000,$B1179,D$5)="",2,0)),0)</f>
        <v>0</v>
      </c>
      <c r="E1179" s="194">
        <f>IFERROR(IF(INDEX([1]Pivot!$AD$1:$BE$65000,$B1179,E$5)=1,1,IF(INDEX([1]Pivot!$B$1:$AB$65000,$B1179,E$5)="",2,0)),0)</f>
        <v>0</v>
      </c>
      <c r="F1179" s="194">
        <f>IFERROR(IF(INDEX([1]Pivot!$AD$1:$BE$65000,$B1179,F$5)=1,1,IF(INDEX([1]Pivot!$B$1:$AB$65000,$B1179,F$5)="",2,0)),0)</f>
        <v>0</v>
      </c>
      <c r="G1179" s="194">
        <f>IFERROR(IF(INDEX([1]Pivot!$AD$1:$BE$65000,$B1179,G$5)=1,1,IF(INDEX([1]Pivot!$B$1:$AB$65000,$B1179,G$5)="",2,0)),0)</f>
        <v>0</v>
      </c>
      <c r="H1179" s="194">
        <f>IFERROR(IF(INDEX([1]Pivot!$AD$1:$BE$65000,$B1179,H$5)=1,1,IF(INDEX([1]Pivot!$B$1:$AB$65000,$B1179,H$5)="",2,0)),0)</f>
        <v>0</v>
      </c>
      <c r="I1179" s="194">
        <f>IFERROR(IF(INDEX([1]Pivot!$AD$1:$BE$65000,$B1179,I$5)=1,1,IF(INDEX([1]Pivot!$B$1:$AB$65000,$B1179,I$5)="",2,0)),0)</f>
        <v>0</v>
      </c>
      <c r="J1179" s="194">
        <f>IFERROR(IF(INDEX([1]Pivot!$AD$1:$BE$65000,$B1179,J$5)=1,1,IF(INDEX([1]Pivot!$B$1:$AB$65000,$B1179,J$5)="",2,0)),0)</f>
        <v>0</v>
      </c>
      <c r="K1179" s="194">
        <f>IFERROR(IF(INDEX([1]Pivot!$AD$1:$BE$65000,$B1179,K$5)=1,1,IF(INDEX([1]Pivot!$B$1:$AB$65000,$B1179,K$5)="",2,0)),0)</f>
        <v>0</v>
      </c>
      <c r="L1179" s="194">
        <f>IFERROR(IF(INDEX([1]Pivot!$AD$1:$BE$65000,$B1179,L$5)=1,1,IF(INDEX([1]Pivot!$B$1:$AB$65000,$B1179,L$5)="",2,0)),0)</f>
        <v>0</v>
      </c>
      <c r="M1179" s="194">
        <f>IFERROR(IF(INDEX([1]Pivot!$AD$1:$BE$65000,$B1179,M$5)=1,1,IF(INDEX([1]Pivot!$B$1:$AB$65000,$B1179,M$5)="",2,0)),0)</f>
        <v>0</v>
      </c>
      <c r="N1179" s="194">
        <f>IFERROR(IF(INDEX([1]Pivot!$AD$1:$BE$65000,$B1179,N$5)=1,1,IF(INDEX([1]Pivot!$B$1:$AB$65000,$B1179,N$5)="",2,0)),0)</f>
        <v>0</v>
      </c>
      <c r="O1179" s="194">
        <f>IFERROR(IF(INDEX([1]Pivot!$AD$1:$BE$65000,$B1179,O$5)=1,1,IF(INDEX([1]Pivot!$B$1:$AB$65000,$B1179,O$5)="",2,0)),0)</f>
        <v>0</v>
      </c>
      <c r="P1179" s="194">
        <f>IFERROR(IF(INDEX([1]Pivot!$AD$1:$BE$65000,$B1179,P$5)=1,1,IF(INDEX([1]Pivot!$B$1:$AB$65000,$B1179,P$5)="",2,0)),0)</f>
        <v>0</v>
      </c>
      <c r="Q1179" s="194">
        <f>IFERROR(IF(INDEX([1]Pivot!$AD$1:$BE$65000,$B1179,Q$5)=1,1,IF(INDEX([1]Pivot!$B$1:$AB$65000,$B1179,Q$5)="",2,0)),0)</f>
        <v>0</v>
      </c>
      <c r="R1179" s="312"/>
      <c r="S1179" s="194">
        <f>IFERROR(IF(INDEX([1]Pivot!$AD$1:$BE$65000,$B1179,S$5)=1,1,IF(INDEX([1]Pivot!$B$1:$AB$65000,$B1179,S$5)="",2,0)),0)</f>
        <v>0</v>
      </c>
      <c r="T1179" s="194">
        <f>IFERROR(IF(INDEX([1]Pivot!$AD$1:$BE$65000,$B1179,T$5)=1,1,IF(INDEX([1]Pivot!$B$1:$AB$65000,$B1179,T$5)="",2,0)),0)</f>
        <v>0</v>
      </c>
      <c r="U1179" s="194">
        <f>IFERROR(IF(INDEX([1]Pivot!$AD$1:$BE$65000,$B1179,U$5)=1,1,IF(INDEX([1]Pivot!$B$1:$AB$65000,$B1179,U$5)="",2,0)),0)</f>
        <v>0</v>
      </c>
      <c r="V1179" s="194">
        <f>IFERROR(IF(INDEX([1]Pivot!$AD$1:$BE$65000,$B1179,V$5)=1,1,IF(INDEX([1]Pivot!$B$1:$AB$65000,$B1179,V$5)="",2,0)),0)</f>
        <v>0</v>
      </c>
      <c r="W1179" s="194">
        <f>IFERROR(IF(INDEX([1]Pivot!$AD$1:$BE$65000,$B1179,W$5)=1,1,IF(INDEX([1]Pivot!$B$1:$AB$65000,$B1179,W$5)="",2,0)),0)</f>
        <v>0</v>
      </c>
      <c r="X1179" s="194">
        <f>IFERROR(IF(INDEX([1]Pivot!$AD$1:$BE$65000,$B1179,X$5)=1,1,IF(INDEX([1]Pivot!$B$1:$AB$65000,$B1179,X$5)="",2,0)),0)</f>
        <v>0</v>
      </c>
      <c r="Y1179" s="194">
        <f>IFERROR(IF(INDEX([1]Pivot!$AD$1:$BE$65000,$B1179,Y$5)=1,1,IF(INDEX([1]Pivot!$B$1:$AB$65000,$B1179,Y$5)="",2,0)),0)</f>
        <v>0</v>
      </c>
      <c r="Z1179" s="194">
        <f>IFERROR(IF(INDEX([1]Pivot!$AD$1:$BE$65000,$B1179,Z$5)=1,1,IF(INDEX([1]Pivot!$B$1:$AB$65000,$B1179,Z$5)="",2,0)),0)</f>
        <v>0</v>
      </c>
      <c r="AA1179" s="194">
        <f>IFERROR(IF(INDEX([1]Pivot!$AD$1:$BE$65000,$B1179,AA$5)=1,1,IF(INDEX([1]Pivot!$B$1:$AB$65000,$B1179,AA$5)="",2,0)),0)</f>
        <v>0</v>
      </c>
      <c r="AB1179" s="194">
        <f>IFERROR(IF(INDEX([1]Pivot!$AD$1:$BE$65000,$B1179,AB$5)=1,1,IF(INDEX([1]Pivot!$B$1:$AB$65000,$B1179,AB$5)="",2,0)),0)</f>
        <v>0</v>
      </c>
      <c r="AC1179" s="194">
        <f>IFERROR(IF(INDEX([1]Pivot!$AD$1:$BE$65000,$B1179,AC$5)=1,1,IF(INDEX([1]Pivot!$B$1:$AB$65000,$B1179,AC$5)="",2,0)),0)</f>
        <v>0</v>
      </c>
      <c r="AD1179" s="313">
        <f>IFERROR(IF(INDEX([1]Pivot!$BF$1:$CG$65000,$B1179,AD$5)=1,1,IF(INDEX([1]Pivot!$B$1:$AB$65000,$B1179,AD$5)="",2,0)),0)</f>
        <v>0</v>
      </c>
      <c r="AE1179" s="313">
        <f>IFERROR(IF(INDEX([1]Pivot!$BF$1:$CG$65000,$B1179,AE$5)=1,1,IF(INDEX([1]Pivot!$B$1:$AB$65000,$B1179,AE$5)="",2,0)),0)</f>
        <v>0</v>
      </c>
      <c r="AF1179" s="313">
        <f>IFERROR(IF(INDEX([1]Pivot!$BF$1:$CG$65000,$B1179,AF$5)=1,1,IF(INDEX([1]Pivot!$B$1:$AB$65000,$B1179,AF$5)="",2,0)),0)</f>
        <v>0</v>
      </c>
      <c r="AG1179" s="313">
        <f>IFERROR(IF(INDEX([1]Pivot!$BF$1:$CG$65000,$B1179,AG$5)=1,1,IF(INDEX([1]Pivot!$B$1:$AB$65000,$B1179,AG$5)="",2,0)),0)</f>
        <v>0</v>
      </c>
      <c r="AH1179" s="313">
        <f>IFERROR(IF(INDEX([1]Pivot!$BF$1:$CG$65000,$B1179,AH$5)=1,1,IF(INDEX([1]Pivot!$B$1:$AB$65000,$B1179,AH$5)="",2,0)),0)</f>
        <v>0</v>
      </c>
      <c r="AI1179" s="313">
        <f>IFERROR(IF(INDEX([1]Pivot!$BF$1:$CG$65000,$B1179,AI$5)=1,1,IF(INDEX([1]Pivot!$B$1:$AB$65000,$B1179,AI$5)="",2,0)),0)</f>
        <v>0</v>
      </c>
      <c r="AJ1179" s="313">
        <f>IFERROR(IF(INDEX([1]Pivot!$BF$1:$CG$65000,$B1179,AJ$5)=1,1,IF(INDEX([1]Pivot!$B$1:$AB$65000,$B1179,AJ$5)="",2,0)),0)</f>
        <v>0</v>
      </c>
      <c r="AK1179" s="313">
        <f>IFERROR(IF(INDEX([1]Pivot!$BF$1:$CG$65000,$B1179,AK$5)=1,1,IF(INDEX([1]Pivot!$B$1:$AB$65000,$B1179,AK$5)="",2,0)),0)</f>
        <v>0</v>
      </c>
      <c r="AL1179" s="313">
        <f>IFERROR(IF(INDEX([1]Pivot!$BF$1:$CG$65000,$B1179,AL$5)=1,1,IF(INDEX([1]Pivot!$B$1:$AB$65000,$B1179,AL$5)="",2,0)),0)</f>
        <v>0</v>
      </c>
      <c r="AM1179" s="313">
        <f>IFERROR(IF(INDEX([1]Pivot!$BF$1:$CG$65000,$B1179,AM$5)=1,1,IF(INDEX([1]Pivot!$B$1:$AB$65000,$B1179,AM$5)="",2,0)),0)</f>
        <v>0</v>
      </c>
      <c r="AN1179" s="313">
        <f>IFERROR(IF(INDEX([1]Pivot!$BF$1:$CG$65000,$B1179,AN$5)=1,1,IF(INDEX([1]Pivot!$B$1:$AB$65000,$B1179,AN$5)="",2,0)),0)</f>
        <v>0</v>
      </c>
      <c r="AO1179" s="313">
        <f>IFERROR(IF(INDEX([1]Pivot!$BF$1:$CG$65000,$B1179,AO$5)=1,1,IF(INDEX([1]Pivot!$B$1:$AB$65000,$B1179,AO$5)="",2,0)),0)</f>
        <v>0</v>
      </c>
      <c r="AP1179" s="313">
        <f>IFERROR(IF(INDEX([1]Pivot!$BF$1:$CG$65000,$B1179,AP$5)=1,1,IF(INDEX([1]Pivot!$B$1:$AB$65000,$B1179,AP$5)="",2,0)),0)</f>
        <v>0</v>
      </c>
      <c r="AQ1179" s="313">
        <f>IFERROR(IF(INDEX([1]Pivot!$BF$1:$CG$65000,$B1179,AQ$5)=1,1,IF(INDEX([1]Pivot!$B$1:$AB$65000,$B1179,AQ$5)="",2,0)),0)</f>
        <v>0</v>
      </c>
      <c r="AR1179" s="313">
        <f>IFERROR(IF(INDEX([1]Pivot!$BF$1:$CG$65000,$B1179,AR$5)=1,1,IF(INDEX([1]Pivot!$B$1:$AB$65000,$B1179,AR$5)="",2,0)),0)</f>
        <v>0</v>
      </c>
      <c r="AS1179" s="312"/>
      <c r="AT1179" s="313">
        <f>IFERROR(IF(INDEX([1]Pivot!$BF$1:$CG$65000,$B1179,AT$5)=1,1,IF(INDEX([1]Pivot!$B$1:$AB$65000,$B1179,AT$5)="",2,0)),0)</f>
        <v>0</v>
      </c>
      <c r="AU1179" s="313">
        <f>IFERROR(IF(INDEX([1]Pivot!$BF$1:$CG$65000,$B1179,AU$5)=1,1,IF(INDEX([1]Pivot!$B$1:$AB$65000,$B1179,AU$5)="",2,0)),0)</f>
        <v>0</v>
      </c>
      <c r="AV1179" s="313">
        <f>IFERROR(IF(INDEX([1]Pivot!$BF$1:$CG$65000,$B1179,AV$5)=1,1,IF(INDEX([1]Pivot!$B$1:$AB$65000,$B1179,AV$5)="",2,0)),0)</f>
        <v>0</v>
      </c>
      <c r="AW1179" s="313">
        <f>IFERROR(IF(INDEX([1]Pivot!$BF$1:$CG$65000,$B1179,AW$5)=1,1,IF(INDEX([1]Pivot!$B$1:$AB$65000,$B1179,AW$5)="",2,0)),0)</f>
        <v>0</v>
      </c>
      <c r="AX1179" s="313">
        <f>IFERROR(IF(INDEX([1]Pivot!$BF$1:$CG$65000,$B1179,AX$5)=1,1,IF(INDEX([1]Pivot!$B$1:$AB$65000,$B1179,AX$5)="",2,0)),0)</f>
        <v>0</v>
      </c>
      <c r="AY1179" s="313">
        <f>IFERROR(IF(INDEX([1]Pivot!$BF$1:$CG$65000,$B1179,AY$5)=1,1,IF(INDEX([1]Pivot!$B$1:$AB$65000,$B1179,AY$5)="",2,0)),0)</f>
        <v>0</v>
      </c>
      <c r="AZ1179" s="313">
        <f>IFERROR(IF(INDEX([1]Pivot!$BF$1:$CG$65000,$B1179,AZ$5)=1,1,IF(INDEX([1]Pivot!$B$1:$AB$65000,$B1179,AZ$5)="",2,0)),0)</f>
        <v>0</v>
      </c>
      <c r="BA1179" s="313">
        <f>IFERROR(IF(INDEX([1]Pivot!$BF$1:$CG$65000,$B1179,BA$5)=1,1,IF(INDEX([1]Pivot!$B$1:$AB$65000,$B1179,BA$5)="",2,0)),0)</f>
        <v>0</v>
      </c>
      <c r="BB1179" s="313">
        <f>IFERROR(IF(INDEX([1]Pivot!$BF$1:$CG$65000,$B1179,BB$5)=1,1,IF(INDEX([1]Pivot!$B$1:$AB$65000,$B1179,BB$5)="",2,0)),0)</f>
        <v>0</v>
      </c>
      <c r="BC1179" s="313">
        <f>IFERROR(IF(INDEX([1]Pivot!$BF$1:$CG$65000,$B1179,BC$5)=1,1,IF(INDEX([1]Pivot!$B$1:$AB$65000,$B1179,BC$5)="",2,0)),0)</f>
        <v>0</v>
      </c>
      <c r="BD1179" s="313">
        <f>IFERROR(IF(INDEX([1]Pivot!$BF$1:$CG$65000,$B1179,BD$5)=1,1,IF(INDEX([1]Pivot!$B$1:$AB$65000,$B1179,BD$5)="",2,0)),0)</f>
        <v>0</v>
      </c>
    </row>
    <row r="1180" spans="1:56" x14ac:dyDescent="0.25">
      <c r="A1180" s="288">
        <f>'[2]Raw Milk Prices'!A1180</f>
        <v>0</v>
      </c>
      <c r="B1180" s="296" t="e">
        <f>MATCH(DATE(LEFT('[2]Raw Milk Prices'!$A1180,4),RIGHT('[2]Raw Milk Prices'!$A1180,2),1),[1]Pivot!$A$1:$A$65000,0)</f>
        <v>#VALUE!</v>
      </c>
      <c r="C1180" s="194">
        <f>IFERROR(IF(INDEX([1]Pivot!$AD$1:$BE$65000,$B1180,C$5)=1,1,IF(INDEX([1]Pivot!$B$1:$AB$65000,$B1180,C$5)="",2,0)),0)</f>
        <v>0</v>
      </c>
      <c r="D1180" s="194">
        <f>IFERROR(IF(INDEX([1]Pivot!$AD$1:$BE$65000,$B1180,D$5)=1,1,IF(INDEX([1]Pivot!$B$1:$AB$65000,$B1180,D$5)="",2,0)),0)</f>
        <v>0</v>
      </c>
      <c r="E1180" s="194">
        <f>IFERROR(IF(INDEX([1]Pivot!$AD$1:$BE$65000,$B1180,E$5)=1,1,IF(INDEX([1]Pivot!$B$1:$AB$65000,$B1180,E$5)="",2,0)),0)</f>
        <v>0</v>
      </c>
      <c r="F1180" s="194">
        <f>IFERROR(IF(INDEX([1]Pivot!$AD$1:$BE$65000,$B1180,F$5)=1,1,IF(INDEX([1]Pivot!$B$1:$AB$65000,$B1180,F$5)="",2,0)),0)</f>
        <v>0</v>
      </c>
      <c r="G1180" s="194">
        <f>IFERROR(IF(INDEX([1]Pivot!$AD$1:$BE$65000,$B1180,G$5)=1,1,IF(INDEX([1]Pivot!$B$1:$AB$65000,$B1180,G$5)="",2,0)),0)</f>
        <v>0</v>
      </c>
      <c r="H1180" s="194">
        <f>IFERROR(IF(INDEX([1]Pivot!$AD$1:$BE$65000,$B1180,H$5)=1,1,IF(INDEX([1]Pivot!$B$1:$AB$65000,$B1180,H$5)="",2,0)),0)</f>
        <v>0</v>
      </c>
      <c r="I1180" s="194">
        <f>IFERROR(IF(INDEX([1]Pivot!$AD$1:$BE$65000,$B1180,I$5)=1,1,IF(INDEX([1]Pivot!$B$1:$AB$65000,$B1180,I$5)="",2,0)),0)</f>
        <v>0</v>
      </c>
      <c r="J1180" s="194">
        <f>IFERROR(IF(INDEX([1]Pivot!$AD$1:$BE$65000,$B1180,J$5)=1,1,IF(INDEX([1]Pivot!$B$1:$AB$65000,$B1180,J$5)="",2,0)),0)</f>
        <v>0</v>
      </c>
      <c r="K1180" s="194">
        <f>IFERROR(IF(INDEX([1]Pivot!$AD$1:$BE$65000,$B1180,K$5)=1,1,IF(INDEX([1]Pivot!$B$1:$AB$65000,$B1180,K$5)="",2,0)),0)</f>
        <v>0</v>
      </c>
      <c r="L1180" s="194">
        <f>IFERROR(IF(INDEX([1]Pivot!$AD$1:$BE$65000,$B1180,L$5)=1,1,IF(INDEX([1]Pivot!$B$1:$AB$65000,$B1180,L$5)="",2,0)),0)</f>
        <v>0</v>
      </c>
      <c r="M1180" s="194">
        <f>IFERROR(IF(INDEX([1]Pivot!$AD$1:$BE$65000,$B1180,M$5)=1,1,IF(INDEX([1]Pivot!$B$1:$AB$65000,$B1180,M$5)="",2,0)),0)</f>
        <v>0</v>
      </c>
      <c r="N1180" s="194">
        <f>IFERROR(IF(INDEX([1]Pivot!$AD$1:$BE$65000,$B1180,N$5)=1,1,IF(INDEX([1]Pivot!$B$1:$AB$65000,$B1180,N$5)="",2,0)),0)</f>
        <v>0</v>
      </c>
      <c r="O1180" s="194">
        <f>IFERROR(IF(INDEX([1]Pivot!$AD$1:$BE$65000,$B1180,O$5)=1,1,IF(INDEX([1]Pivot!$B$1:$AB$65000,$B1180,O$5)="",2,0)),0)</f>
        <v>0</v>
      </c>
      <c r="P1180" s="194">
        <f>IFERROR(IF(INDEX([1]Pivot!$AD$1:$BE$65000,$B1180,P$5)=1,1,IF(INDEX([1]Pivot!$B$1:$AB$65000,$B1180,P$5)="",2,0)),0)</f>
        <v>0</v>
      </c>
      <c r="Q1180" s="194">
        <f>IFERROR(IF(INDEX([1]Pivot!$AD$1:$BE$65000,$B1180,Q$5)=1,1,IF(INDEX([1]Pivot!$B$1:$AB$65000,$B1180,Q$5)="",2,0)),0)</f>
        <v>0</v>
      </c>
      <c r="R1180" s="312"/>
      <c r="S1180" s="194">
        <f>IFERROR(IF(INDEX([1]Pivot!$AD$1:$BE$65000,$B1180,S$5)=1,1,IF(INDEX([1]Pivot!$B$1:$AB$65000,$B1180,S$5)="",2,0)),0)</f>
        <v>0</v>
      </c>
      <c r="T1180" s="194">
        <f>IFERROR(IF(INDEX([1]Pivot!$AD$1:$BE$65000,$B1180,T$5)=1,1,IF(INDEX([1]Pivot!$B$1:$AB$65000,$B1180,T$5)="",2,0)),0)</f>
        <v>0</v>
      </c>
      <c r="U1180" s="194">
        <f>IFERROR(IF(INDEX([1]Pivot!$AD$1:$BE$65000,$B1180,U$5)=1,1,IF(INDEX([1]Pivot!$B$1:$AB$65000,$B1180,U$5)="",2,0)),0)</f>
        <v>0</v>
      </c>
      <c r="V1180" s="194">
        <f>IFERROR(IF(INDEX([1]Pivot!$AD$1:$BE$65000,$B1180,V$5)=1,1,IF(INDEX([1]Pivot!$B$1:$AB$65000,$B1180,V$5)="",2,0)),0)</f>
        <v>0</v>
      </c>
      <c r="W1180" s="194">
        <f>IFERROR(IF(INDEX([1]Pivot!$AD$1:$BE$65000,$B1180,W$5)=1,1,IF(INDEX([1]Pivot!$B$1:$AB$65000,$B1180,W$5)="",2,0)),0)</f>
        <v>0</v>
      </c>
      <c r="X1180" s="194">
        <f>IFERROR(IF(INDEX([1]Pivot!$AD$1:$BE$65000,$B1180,X$5)=1,1,IF(INDEX([1]Pivot!$B$1:$AB$65000,$B1180,X$5)="",2,0)),0)</f>
        <v>0</v>
      </c>
      <c r="Y1180" s="194">
        <f>IFERROR(IF(INDEX([1]Pivot!$AD$1:$BE$65000,$B1180,Y$5)=1,1,IF(INDEX([1]Pivot!$B$1:$AB$65000,$B1180,Y$5)="",2,0)),0)</f>
        <v>0</v>
      </c>
      <c r="Z1180" s="194">
        <f>IFERROR(IF(INDEX([1]Pivot!$AD$1:$BE$65000,$B1180,Z$5)=1,1,IF(INDEX([1]Pivot!$B$1:$AB$65000,$B1180,Z$5)="",2,0)),0)</f>
        <v>0</v>
      </c>
      <c r="AA1180" s="194">
        <f>IFERROR(IF(INDEX([1]Pivot!$AD$1:$BE$65000,$B1180,AA$5)=1,1,IF(INDEX([1]Pivot!$B$1:$AB$65000,$B1180,AA$5)="",2,0)),0)</f>
        <v>0</v>
      </c>
      <c r="AB1180" s="194">
        <f>IFERROR(IF(INDEX([1]Pivot!$AD$1:$BE$65000,$B1180,AB$5)=1,1,IF(INDEX([1]Pivot!$B$1:$AB$65000,$B1180,AB$5)="",2,0)),0)</f>
        <v>0</v>
      </c>
      <c r="AC1180" s="194">
        <f>IFERROR(IF(INDEX([1]Pivot!$AD$1:$BE$65000,$B1180,AC$5)=1,1,IF(INDEX([1]Pivot!$B$1:$AB$65000,$B1180,AC$5)="",2,0)),0)</f>
        <v>0</v>
      </c>
      <c r="AD1180" s="313">
        <f>IFERROR(IF(INDEX([1]Pivot!$BF$1:$CG$65000,$B1180,AD$5)=1,1,IF(INDEX([1]Pivot!$B$1:$AB$65000,$B1180,AD$5)="",2,0)),0)</f>
        <v>0</v>
      </c>
      <c r="AE1180" s="313">
        <f>IFERROR(IF(INDEX([1]Pivot!$BF$1:$CG$65000,$B1180,AE$5)=1,1,IF(INDEX([1]Pivot!$B$1:$AB$65000,$B1180,AE$5)="",2,0)),0)</f>
        <v>0</v>
      </c>
      <c r="AF1180" s="313">
        <f>IFERROR(IF(INDEX([1]Pivot!$BF$1:$CG$65000,$B1180,AF$5)=1,1,IF(INDEX([1]Pivot!$B$1:$AB$65000,$B1180,AF$5)="",2,0)),0)</f>
        <v>0</v>
      </c>
      <c r="AG1180" s="313">
        <f>IFERROR(IF(INDEX([1]Pivot!$BF$1:$CG$65000,$B1180,AG$5)=1,1,IF(INDEX([1]Pivot!$B$1:$AB$65000,$B1180,AG$5)="",2,0)),0)</f>
        <v>0</v>
      </c>
      <c r="AH1180" s="313">
        <f>IFERROR(IF(INDEX([1]Pivot!$BF$1:$CG$65000,$B1180,AH$5)=1,1,IF(INDEX([1]Pivot!$B$1:$AB$65000,$B1180,AH$5)="",2,0)),0)</f>
        <v>0</v>
      </c>
      <c r="AI1180" s="313">
        <f>IFERROR(IF(INDEX([1]Pivot!$BF$1:$CG$65000,$B1180,AI$5)=1,1,IF(INDEX([1]Pivot!$B$1:$AB$65000,$B1180,AI$5)="",2,0)),0)</f>
        <v>0</v>
      </c>
      <c r="AJ1180" s="313">
        <f>IFERROR(IF(INDEX([1]Pivot!$BF$1:$CG$65000,$B1180,AJ$5)=1,1,IF(INDEX([1]Pivot!$B$1:$AB$65000,$B1180,AJ$5)="",2,0)),0)</f>
        <v>0</v>
      </c>
      <c r="AK1180" s="313">
        <f>IFERROR(IF(INDEX([1]Pivot!$BF$1:$CG$65000,$B1180,AK$5)=1,1,IF(INDEX([1]Pivot!$B$1:$AB$65000,$B1180,AK$5)="",2,0)),0)</f>
        <v>0</v>
      </c>
      <c r="AL1180" s="313">
        <f>IFERROR(IF(INDEX([1]Pivot!$BF$1:$CG$65000,$B1180,AL$5)=1,1,IF(INDEX([1]Pivot!$B$1:$AB$65000,$B1180,AL$5)="",2,0)),0)</f>
        <v>0</v>
      </c>
      <c r="AM1180" s="313">
        <f>IFERROR(IF(INDEX([1]Pivot!$BF$1:$CG$65000,$B1180,AM$5)=1,1,IF(INDEX([1]Pivot!$B$1:$AB$65000,$B1180,AM$5)="",2,0)),0)</f>
        <v>0</v>
      </c>
      <c r="AN1180" s="313">
        <f>IFERROR(IF(INDEX([1]Pivot!$BF$1:$CG$65000,$B1180,AN$5)=1,1,IF(INDEX([1]Pivot!$B$1:$AB$65000,$B1180,AN$5)="",2,0)),0)</f>
        <v>0</v>
      </c>
      <c r="AO1180" s="313">
        <f>IFERROR(IF(INDEX([1]Pivot!$BF$1:$CG$65000,$B1180,AO$5)=1,1,IF(INDEX([1]Pivot!$B$1:$AB$65000,$B1180,AO$5)="",2,0)),0)</f>
        <v>0</v>
      </c>
      <c r="AP1180" s="313">
        <f>IFERROR(IF(INDEX([1]Pivot!$BF$1:$CG$65000,$B1180,AP$5)=1,1,IF(INDEX([1]Pivot!$B$1:$AB$65000,$B1180,AP$5)="",2,0)),0)</f>
        <v>0</v>
      </c>
      <c r="AQ1180" s="313">
        <f>IFERROR(IF(INDEX([1]Pivot!$BF$1:$CG$65000,$B1180,AQ$5)=1,1,IF(INDEX([1]Pivot!$B$1:$AB$65000,$B1180,AQ$5)="",2,0)),0)</f>
        <v>0</v>
      </c>
      <c r="AR1180" s="313">
        <f>IFERROR(IF(INDEX([1]Pivot!$BF$1:$CG$65000,$B1180,AR$5)=1,1,IF(INDEX([1]Pivot!$B$1:$AB$65000,$B1180,AR$5)="",2,0)),0)</f>
        <v>0</v>
      </c>
      <c r="AS1180" s="312"/>
      <c r="AT1180" s="313">
        <f>IFERROR(IF(INDEX([1]Pivot!$BF$1:$CG$65000,$B1180,AT$5)=1,1,IF(INDEX([1]Pivot!$B$1:$AB$65000,$B1180,AT$5)="",2,0)),0)</f>
        <v>0</v>
      </c>
      <c r="AU1180" s="313">
        <f>IFERROR(IF(INDEX([1]Pivot!$BF$1:$CG$65000,$B1180,AU$5)=1,1,IF(INDEX([1]Pivot!$B$1:$AB$65000,$B1180,AU$5)="",2,0)),0)</f>
        <v>0</v>
      </c>
      <c r="AV1180" s="313">
        <f>IFERROR(IF(INDEX([1]Pivot!$BF$1:$CG$65000,$B1180,AV$5)=1,1,IF(INDEX([1]Pivot!$B$1:$AB$65000,$B1180,AV$5)="",2,0)),0)</f>
        <v>0</v>
      </c>
      <c r="AW1180" s="313">
        <f>IFERROR(IF(INDEX([1]Pivot!$BF$1:$CG$65000,$B1180,AW$5)=1,1,IF(INDEX([1]Pivot!$B$1:$AB$65000,$B1180,AW$5)="",2,0)),0)</f>
        <v>0</v>
      </c>
      <c r="AX1180" s="313">
        <f>IFERROR(IF(INDEX([1]Pivot!$BF$1:$CG$65000,$B1180,AX$5)=1,1,IF(INDEX([1]Pivot!$B$1:$AB$65000,$B1180,AX$5)="",2,0)),0)</f>
        <v>0</v>
      </c>
      <c r="AY1180" s="313">
        <f>IFERROR(IF(INDEX([1]Pivot!$BF$1:$CG$65000,$B1180,AY$5)=1,1,IF(INDEX([1]Pivot!$B$1:$AB$65000,$B1180,AY$5)="",2,0)),0)</f>
        <v>0</v>
      </c>
      <c r="AZ1180" s="313">
        <f>IFERROR(IF(INDEX([1]Pivot!$BF$1:$CG$65000,$B1180,AZ$5)=1,1,IF(INDEX([1]Pivot!$B$1:$AB$65000,$B1180,AZ$5)="",2,0)),0)</f>
        <v>0</v>
      </c>
      <c r="BA1180" s="313">
        <f>IFERROR(IF(INDEX([1]Pivot!$BF$1:$CG$65000,$B1180,BA$5)=1,1,IF(INDEX([1]Pivot!$B$1:$AB$65000,$B1180,BA$5)="",2,0)),0)</f>
        <v>0</v>
      </c>
      <c r="BB1180" s="313">
        <f>IFERROR(IF(INDEX([1]Pivot!$BF$1:$CG$65000,$B1180,BB$5)=1,1,IF(INDEX([1]Pivot!$B$1:$AB$65000,$B1180,BB$5)="",2,0)),0)</f>
        <v>0</v>
      </c>
      <c r="BC1180" s="313">
        <f>IFERROR(IF(INDEX([1]Pivot!$BF$1:$CG$65000,$B1180,BC$5)=1,1,IF(INDEX([1]Pivot!$B$1:$AB$65000,$B1180,BC$5)="",2,0)),0)</f>
        <v>0</v>
      </c>
      <c r="BD1180" s="313">
        <f>IFERROR(IF(INDEX([1]Pivot!$BF$1:$CG$65000,$B1180,BD$5)=1,1,IF(INDEX([1]Pivot!$B$1:$AB$65000,$B1180,BD$5)="",2,0)),0)</f>
        <v>0</v>
      </c>
    </row>
    <row r="1181" spans="1:56" x14ac:dyDescent="0.25">
      <c r="A1181" s="288">
        <f>'[2]Raw Milk Prices'!A1181</f>
        <v>0</v>
      </c>
      <c r="B1181" s="296" t="e">
        <f>MATCH(DATE(LEFT('[2]Raw Milk Prices'!$A1181,4),RIGHT('[2]Raw Milk Prices'!$A1181,2),1),[1]Pivot!$A$1:$A$65000,0)</f>
        <v>#VALUE!</v>
      </c>
      <c r="C1181" s="194">
        <f>IFERROR(IF(INDEX([1]Pivot!$AD$1:$BE$65000,$B1181,C$5)=1,1,IF(INDEX([1]Pivot!$B$1:$AB$65000,$B1181,C$5)="",2,0)),0)</f>
        <v>0</v>
      </c>
      <c r="D1181" s="194">
        <f>IFERROR(IF(INDEX([1]Pivot!$AD$1:$BE$65000,$B1181,D$5)=1,1,IF(INDEX([1]Pivot!$B$1:$AB$65000,$B1181,D$5)="",2,0)),0)</f>
        <v>0</v>
      </c>
      <c r="E1181" s="194">
        <f>IFERROR(IF(INDEX([1]Pivot!$AD$1:$BE$65000,$B1181,E$5)=1,1,IF(INDEX([1]Pivot!$B$1:$AB$65000,$B1181,E$5)="",2,0)),0)</f>
        <v>0</v>
      </c>
      <c r="F1181" s="194">
        <f>IFERROR(IF(INDEX([1]Pivot!$AD$1:$BE$65000,$B1181,F$5)=1,1,IF(INDEX([1]Pivot!$B$1:$AB$65000,$B1181,F$5)="",2,0)),0)</f>
        <v>0</v>
      </c>
      <c r="G1181" s="194">
        <f>IFERROR(IF(INDEX([1]Pivot!$AD$1:$BE$65000,$B1181,G$5)=1,1,IF(INDEX([1]Pivot!$B$1:$AB$65000,$B1181,G$5)="",2,0)),0)</f>
        <v>0</v>
      </c>
      <c r="H1181" s="194">
        <f>IFERROR(IF(INDEX([1]Pivot!$AD$1:$BE$65000,$B1181,H$5)=1,1,IF(INDEX([1]Pivot!$B$1:$AB$65000,$B1181,H$5)="",2,0)),0)</f>
        <v>0</v>
      </c>
      <c r="I1181" s="194">
        <f>IFERROR(IF(INDEX([1]Pivot!$AD$1:$BE$65000,$B1181,I$5)=1,1,IF(INDEX([1]Pivot!$B$1:$AB$65000,$B1181,I$5)="",2,0)),0)</f>
        <v>0</v>
      </c>
      <c r="J1181" s="194">
        <f>IFERROR(IF(INDEX([1]Pivot!$AD$1:$BE$65000,$B1181,J$5)=1,1,IF(INDEX([1]Pivot!$B$1:$AB$65000,$B1181,J$5)="",2,0)),0)</f>
        <v>0</v>
      </c>
      <c r="K1181" s="194">
        <f>IFERROR(IF(INDEX([1]Pivot!$AD$1:$BE$65000,$B1181,K$5)=1,1,IF(INDEX([1]Pivot!$B$1:$AB$65000,$B1181,K$5)="",2,0)),0)</f>
        <v>0</v>
      </c>
      <c r="L1181" s="194">
        <f>IFERROR(IF(INDEX([1]Pivot!$AD$1:$BE$65000,$B1181,L$5)=1,1,IF(INDEX([1]Pivot!$B$1:$AB$65000,$B1181,L$5)="",2,0)),0)</f>
        <v>0</v>
      </c>
      <c r="M1181" s="194">
        <f>IFERROR(IF(INDEX([1]Pivot!$AD$1:$BE$65000,$B1181,M$5)=1,1,IF(INDEX([1]Pivot!$B$1:$AB$65000,$B1181,M$5)="",2,0)),0)</f>
        <v>0</v>
      </c>
      <c r="N1181" s="194">
        <f>IFERROR(IF(INDEX([1]Pivot!$AD$1:$BE$65000,$B1181,N$5)=1,1,IF(INDEX([1]Pivot!$B$1:$AB$65000,$B1181,N$5)="",2,0)),0)</f>
        <v>0</v>
      </c>
      <c r="O1181" s="194">
        <f>IFERROR(IF(INDEX([1]Pivot!$AD$1:$BE$65000,$B1181,O$5)=1,1,IF(INDEX([1]Pivot!$B$1:$AB$65000,$B1181,O$5)="",2,0)),0)</f>
        <v>0</v>
      </c>
      <c r="P1181" s="194">
        <f>IFERROR(IF(INDEX([1]Pivot!$AD$1:$BE$65000,$B1181,P$5)=1,1,IF(INDEX([1]Pivot!$B$1:$AB$65000,$B1181,P$5)="",2,0)),0)</f>
        <v>0</v>
      </c>
      <c r="Q1181" s="194">
        <f>IFERROR(IF(INDEX([1]Pivot!$AD$1:$BE$65000,$B1181,Q$5)=1,1,IF(INDEX([1]Pivot!$B$1:$AB$65000,$B1181,Q$5)="",2,0)),0)</f>
        <v>0</v>
      </c>
      <c r="R1181" s="312"/>
      <c r="S1181" s="194">
        <f>IFERROR(IF(INDEX([1]Pivot!$AD$1:$BE$65000,$B1181,S$5)=1,1,IF(INDEX([1]Pivot!$B$1:$AB$65000,$B1181,S$5)="",2,0)),0)</f>
        <v>0</v>
      </c>
      <c r="T1181" s="194">
        <f>IFERROR(IF(INDEX([1]Pivot!$AD$1:$BE$65000,$B1181,T$5)=1,1,IF(INDEX([1]Pivot!$B$1:$AB$65000,$B1181,T$5)="",2,0)),0)</f>
        <v>0</v>
      </c>
      <c r="U1181" s="194">
        <f>IFERROR(IF(INDEX([1]Pivot!$AD$1:$BE$65000,$B1181,U$5)=1,1,IF(INDEX([1]Pivot!$B$1:$AB$65000,$B1181,U$5)="",2,0)),0)</f>
        <v>0</v>
      </c>
      <c r="V1181" s="194">
        <f>IFERROR(IF(INDEX([1]Pivot!$AD$1:$BE$65000,$B1181,V$5)=1,1,IF(INDEX([1]Pivot!$B$1:$AB$65000,$B1181,V$5)="",2,0)),0)</f>
        <v>0</v>
      </c>
      <c r="W1181" s="194">
        <f>IFERROR(IF(INDEX([1]Pivot!$AD$1:$BE$65000,$B1181,W$5)=1,1,IF(INDEX([1]Pivot!$B$1:$AB$65000,$B1181,W$5)="",2,0)),0)</f>
        <v>0</v>
      </c>
      <c r="X1181" s="194">
        <f>IFERROR(IF(INDEX([1]Pivot!$AD$1:$BE$65000,$B1181,X$5)=1,1,IF(INDEX([1]Pivot!$B$1:$AB$65000,$B1181,X$5)="",2,0)),0)</f>
        <v>0</v>
      </c>
      <c r="Y1181" s="194">
        <f>IFERROR(IF(INDEX([1]Pivot!$AD$1:$BE$65000,$B1181,Y$5)=1,1,IF(INDEX([1]Pivot!$B$1:$AB$65000,$B1181,Y$5)="",2,0)),0)</f>
        <v>0</v>
      </c>
      <c r="Z1181" s="194">
        <f>IFERROR(IF(INDEX([1]Pivot!$AD$1:$BE$65000,$B1181,Z$5)=1,1,IF(INDEX([1]Pivot!$B$1:$AB$65000,$B1181,Z$5)="",2,0)),0)</f>
        <v>0</v>
      </c>
      <c r="AA1181" s="194">
        <f>IFERROR(IF(INDEX([1]Pivot!$AD$1:$BE$65000,$B1181,AA$5)=1,1,IF(INDEX([1]Pivot!$B$1:$AB$65000,$B1181,AA$5)="",2,0)),0)</f>
        <v>0</v>
      </c>
      <c r="AB1181" s="194">
        <f>IFERROR(IF(INDEX([1]Pivot!$AD$1:$BE$65000,$B1181,AB$5)=1,1,IF(INDEX([1]Pivot!$B$1:$AB$65000,$B1181,AB$5)="",2,0)),0)</f>
        <v>0</v>
      </c>
      <c r="AC1181" s="194">
        <f>IFERROR(IF(INDEX([1]Pivot!$AD$1:$BE$65000,$B1181,AC$5)=1,1,IF(INDEX([1]Pivot!$B$1:$AB$65000,$B1181,AC$5)="",2,0)),0)</f>
        <v>0</v>
      </c>
      <c r="AD1181" s="313">
        <f>IFERROR(IF(INDEX([1]Pivot!$BF$1:$CG$65000,$B1181,AD$5)=1,1,IF(INDEX([1]Pivot!$B$1:$AB$65000,$B1181,AD$5)="",2,0)),0)</f>
        <v>0</v>
      </c>
      <c r="AE1181" s="313">
        <f>IFERROR(IF(INDEX([1]Pivot!$BF$1:$CG$65000,$B1181,AE$5)=1,1,IF(INDEX([1]Pivot!$B$1:$AB$65000,$B1181,AE$5)="",2,0)),0)</f>
        <v>0</v>
      </c>
      <c r="AF1181" s="313">
        <f>IFERROR(IF(INDEX([1]Pivot!$BF$1:$CG$65000,$B1181,AF$5)=1,1,IF(INDEX([1]Pivot!$B$1:$AB$65000,$B1181,AF$5)="",2,0)),0)</f>
        <v>0</v>
      </c>
      <c r="AG1181" s="313">
        <f>IFERROR(IF(INDEX([1]Pivot!$BF$1:$CG$65000,$B1181,AG$5)=1,1,IF(INDEX([1]Pivot!$B$1:$AB$65000,$B1181,AG$5)="",2,0)),0)</f>
        <v>0</v>
      </c>
      <c r="AH1181" s="313">
        <f>IFERROR(IF(INDEX([1]Pivot!$BF$1:$CG$65000,$B1181,AH$5)=1,1,IF(INDEX([1]Pivot!$B$1:$AB$65000,$B1181,AH$5)="",2,0)),0)</f>
        <v>0</v>
      </c>
      <c r="AI1181" s="313">
        <f>IFERROR(IF(INDEX([1]Pivot!$BF$1:$CG$65000,$B1181,AI$5)=1,1,IF(INDEX([1]Pivot!$B$1:$AB$65000,$B1181,AI$5)="",2,0)),0)</f>
        <v>0</v>
      </c>
      <c r="AJ1181" s="313">
        <f>IFERROR(IF(INDEX([1]Pivot!$BF$1:$CG$65000,$B1181,AJ$5)=1,1,IF(INDEX([1]Pivot!$B$1:$AB$65000,$B1181,AJ$5)="",2,0)),0)</f>
        <v>0</v>
      </c>
      <c r="AK1181" s="313">
        <f>IFERROR(IF(INDEX([1]Pivot!$BF$1:$CG$65000,$B1181,AK$5)=1,1,IF(INDEX([1]Pivot!$B$1:$AB$65000,$B1181,AK$5)="",2,0)),0)</f>
        <v>0</v>
      </c>
      <c r="AL1181" s="313">
        <f>IFERROR(IF(INDEX([1]Pivot!$BF$1:$CG$65000,$B1181,AL$5)=1,1,IF(INDEX([1]Pivot!$B$1:$AB$65000,$B1181,AL$5)="",2,0)),0)</f>
        <v>0</v>
      </c>
      <c r="AM1181" s="313">
        <f>IFERROR(IF(INDEX([1]Pivot!$BF$1:$CG$65000,$B1181,AM$5)=1,1,IF(INDEX([1]Pivot!$B$1:$AB$65000,$B1181,AM$5)="",2,0)),0)</f>
        <v>0</v>
      </c>
      <c r="AN1181" s="313">
        <f>IFERROR(IF(INDEX([1]Pivot!$BF$1:$CG$65000,$B1181,AN$5)=1,1,IF(INDEX([1]Pivot!$B$1:$AB$65000,$B1181,AN$5)="",2,0)),0)</f>
        <v>0</v>
      </c>
      <c r="AO1181" s="313">
        <f>IFERROR(IF(INDEX([1]Pivot!$BF$1:$CG$65000,$B1181,AO$5)=1,1,IF(INDEX([1]Pivot!$B$1:$AB$65000,$B1181,AO$5)="",2,0)),0)</f>
        <v>0</v>
      </c>
      <c r="AP1181" s="313">
        <f>IFERROR(IF(INDEX([1]Pivot!$BF$1:$CG$65000,$B1181,AP$5)=1,1,IF(INDEX([1]Pivot!$B$1:$AB$65000,$B1181,AP$5)="",2,0)),0)</f>
        <v>0</v>
      </c>
      <c r="AQ1181" s="313">
        <f>IFERROR(IF(INDEX([1]Pivot!$BF$1:$CG$65000,$B1181,AQ$5)=1,1,IF(INDEX([1]Pivot!$B$1:$AB$65000,$B1181,AQ$5)="",2,0)),0)</f>
        <v>0</v>
      </c>
      <c r="AR1181" s="313">
        <f>IFERROR(IF(INDEX([1]Pivot!$BF$1:$CG$65000,$B1181,AR$5)=1,1,IF(INDEX([1]Pivot!$B$1:$AB$65000,$B1181,AR$5)="",2,0)),0)</f>
        <v>0</v>
      </c>
      <c r="AS1181" s="312"/>
      <c r="AT1181" s="313">
        <f>IFERROR(IF(INDEX([1]Pivot!$BF$1:$CG$65000,$B1181,AT$5)=1,1,IF(INDEX([1]Pivot!$B$1:$AB$65000,$B1181,AT$5)="",2,0)),0)</f>
        <v>0</v>
      </c>
      <c r="AU1181" s="313">
        <f>IFERROR(IF(INDEX([1]Pivot!$BF$1:$CG$65000,$B1181,AU$5)=1,1,IF(INDEX([1]Pivot!$B$1:$AB$65000,$B1181,AU$5)="",2,0)),0)</f>
        <v>0</v>
      </c>
      <c r="AV1181" s="313">
        <f>IFERROR(IF(INDEX([1]Pivot!$BF$1:$CG$65000,$B1181,AV$5)=1,1,IF(INDEX([1]Pivot!$B$1:$AB$65000,$B1181,AV$5)="",2,0)),0)</f>
        <v>0</v>
      </c>
      <c r="AW1181" s="313">
        <f>IFERROR(IF(INDEX([1]Pivot!$BF$1:$CG$65000,$B1181,AW$5)=1,1,IF(INDEX([1]Pivot!$B$1:$AB$65000,$B1181,AW$5)="",2,0)),0)</f>
        <v>0</v>
      </c>
      <c r="AX1181" s="313">
        <f>IFERROR(IF(INDEX([1]Pivot!$BF$1:$CG$65000,$B1181,AX$5)=1,1,IF(INDEX([1]Pivot!$B$1:$AB$65000,$B1181,AX$5)="",2,0)),0)</f>
        <v>0</v>
      </c>
      <c r="AY1181" s="313">
        <f>IFERROR(IF(INDEX([1]Pivot!$BF$1:$CG$65000,$B1181,AY$5)=1,1,IF(INDEX([1]Pivot!$B$1:$AB$65000,$B1181,AY$5)="",2,0)),0)</f>
        <v>0</v>
      </c>
      <c r="AZ1181" s="313">
        <f>IFERROR(IF(INDEX([1]Pivot!$BF$1:$CG$65000,$B1181,AZ$5)=1,1,IF(INDEX([1]Pivot!$B$1:$AB$65000,$B1181,AZ$5)="",2,0)),0)</f>
        <v>0</v>
      </c>
      <c r="BA1181" s="313">
        <f>IFERROR(IF(INDEX([1]Pivot!$BF$1:$CG$65000,$B1181,BA$5)=1,1,IF(INDEX([1]Pivot!$B$1:$AB$65000,$B1181,BA$5)="",2,0)),0)</f>
        <v>0</v>
      </c>
      <c r="BB1181" s="313">
        <f>IFERROR(IF(INDEX([1]Pivot!$BF$1:$CG$65000,$B1181,BB$5)=1,1,IF(INDEX([1]Pivot!$B$1:$AB$65000,$B1181,BB$5)="",2,0)),0)</f>
        <v>0</v>
      </c>
      <c r="BC1181" s="313">
        <f>IFERROR(IF(INDEX([1]Pivot!$BF$1:$CG$65000,$B1181,BC$5)=1,1,IF(INDEX([1]Pivot!$B$1:$AB$65000,$B1181,BC$5)="",2,0)),0)</f>
        <v>0</v>
      </c>
      <c r="BD1181" s="313">
        <f>IFERROR(IF(INDEX([1]Pivot!$BF$1:$CG$65000,$B1181,BD$5)=1,1,IF(INDEX([1]Pivot!$B$1:$AB$65000,$B1181,BD$5)="",2,0)),0)</f>
        <v>0</v>
      </c>
    </row>
    <row r="1182" spans="1:56" x14ac:dyDescent="0.25">
      <c r="A1182" s="288">
        <f>'[2]Raw Milk Prices'!A1182</f>
        <v>0</v>
      </c>
      <c r="B1182" s="296" t="e">
        <f>MATCH(DATE(LEFT('[2]Raw Milk Prices'!$A1182,4),RIGHT('[2]Raw Milk Prices'!$A1182,2),1),[1]Pivot!$A$1:$A$65000,0)</f>
        <v>#VALUE!</v>
      </c>
      <c r="C1182" s="194">
        <f>IFERROR(IF(INDEX([1]Pivot!$AD$1:$BE$65000,$B1182,C$5)=1,1,IF(INDEX([1]Pivot!$B$1:$AB$65000,$B1182,C$5)="",2,0)),0)</f>
        <v>0</v>
      </c>
      <c r="D1182" s="194">
        <f>IFERROR(IF(INDEX([1]Pivot!$AD$1:$BE$65000,$B1182,D$5)=1,1,IF(INDEX([1]Pivot!$B$1:$AB$65000,$B1182,D$5)="",2,0)),0)</f>
        <v>0</v>
      </c>
      <c r="E1182" s="194">
        <f>IFERROR(IF(INDEX([1]Pivot!$AD$1:$BE$65000,$B1182,E$5)=1,1,IF(INDEX([1]Pivot!$B$1:$AB$65000,$B1182,E$5)="",2,0)),0)</f>
        <v>0</v>
      </c>
      <c r="F1182" s="194">
        <f>IFERROR(IF(INDEX([1]Pivot!$AD$1:$BE$65000,$B1182,F$5)=1,1,IF(INDEX([1]Pivot!$B$1:$AB$65000,$B1182,F$5)="",2,0)),0)</f>
        <v>0</v>
      </c>
      <c r="G1182" s="194">
        <f>IFERROR(IF(INDEX([1]Pivot!$AD$1:$BE$65000,$B1182,G$5)=1,1,IF(INDEX([1]Pivot!$B$1:$AB$65000,$B1182,G$5)="",2,0)),0)</f>
        <v>0</v>
      </c>
      <c r="H1182" s="194">
        <f>IFERROR(IF(INDEX([1]Pivot!$AD$1:$BE$65000,$B1182,H$5)=1,1,IF(INDEX([1]Pivot!$B$1:$AB$65000,$B1182,H$5)="",2,0)),0)</f>
        <v>0</v>
      </c>
      <c r="I1182" s="194">
        <f>IFERROR(IF(INDEX([1]Pivot!$AD$1:$BE$65000,$B1182,I$5)=1,1,IF(INDEX([1]Pivot!$B$1:$AB$65000,$B1182,I$5)="",2,0)),0)</f>
        <v>0</v>
      </c>
      <c r="J1182" s="194">
        <f>IFERROR(IF(INDEX([1]Pivot!$AD$1:$BE$65000,$B1182,J$5)=1,1,IF(INDEX([1]Pivot!$B$1:$AB$65000,$B1182,J$5)="",2,0)),0)</f>
        <v>0</v>
      </c>
      <c r="K1182" s="194">
        <f>IFERROR(IF(INDEX([1]Pivot!$AD$1:$BE$65000,$B1182,K$5)=1,1,IF(INDEX([1]Pivot!$B$1:$AB$65000,$B1182,K$5)="",2,0)),0)</f>
        <v>0</v>
      </c>
      <c r="L1182" s="194">
        <f>IFERROR(IF(INDEX([1]Pivot!$AD$1:$BE$65000,$B1182,L$5)=1,1,IF(INDEX([1]Pivot!$B$1:$AB$65000,$B1182,L$5)="",2,0)),0)</f>
        <v>0</v>
      </c>
      <c r="M1182" s="194">
        <f>IFERROR(IF(INDEX([1]Pivot!$AD$1:$BE$65000,$B1182,M$5)=1,1,IF(INDEX([1]Pivot!$B$1:$AB$65000,$B1182,M$5)="",2,0)),0)</f>
        <v>0</v>
      </c>
      <c r="N1182" s="194">
        <f>IFERROR(IF(INDEX([1]Pivot!$AD$1:$BE$65000,$B1182,N$5)=1,1,IF(INDEX([1]Pivot!$B$1:$AB$65000,$B1182,N$5)="",2,0)),0)</f>
        <v>0</v>
      </c>
      <c r="O1182" s="194">
        <f>IFERROR(IF(INDEX([1]Pivot!$AD$1:$BE$65000,$B1182,O$5)=1,1,IF(INDEX([1]Pivot!$B$1:$AB$65000,$B1182,O$5)="",2,0)),0)</f>
        <v>0</v>
      </c>
      <c r="P1182" s="194">
        <f>IFERROR(IF(INDEX([1]Pivot!$AD$1:$BE$65000,$B1182,P$5)=1,1,IF(INDEX([1]Pivot!$B$1:$AB$65000,$B1182,P$5)="",2,0)),0)</f>
        <v>0</v>
      </c>
      <c r="Q1182" s="194">
        <f>IFERROR(IF(INDEX([1]Pivot!$AD$1:$BE$65000,$B1182,Q$5)=1,1,IF(INDEX([1]Pivot!$B$1:$AB$65000,$B1182,Q$5)="",2,0)),0)</f>
        <v>0</v>
      </c>
      <c r="R1182" s="312"/>
      <c r="S1182" s="194">
        <f>IFERROR(IF(INDEX([1]Pivot!$AD$1:$BE$65000,$B1182,S$5)=1,1,IF(INDEX([1]Pivot!$B$1:$AB$65000,$B1182,S$5)="",2,0)),0)</f>
        <v>0</v>
      </c>
      <c r="T1182" s="194">
        <f>IFERROR(IF(INDEX([1]Pivot!$AD$1:$BE$65000,$B1182,T$5)=1,1,IF(INDEX([1]Pivot!$B$1:$AB$65000,$B1182,T$5)="",2,0)),0)</f>
        <v>0</v>
      </c>
      <c r="U1182" s="194">
        <f>IFERROR(IF(INDEX([1]Pivot!$AD$1:$BE$65000,$B1182,U$5)=1,1,IF(INDEX([1]Pivot!$B$1:$AB$65000,$B1182,U$5)="",2,0)),0)</f>
        <v>0</v>
      </c>
      <c r="V1182" s="194">
        <f>IFERROR(IF(INDEX([1]Pivot!$AD$1:$BE$65000,$B1182,V$5)=1,1,IF(INDEX([1]Pivot!$B$1:$AB$65000,$B1182,V$5)="",2,0)),0)</f>
        <v>0</v>
      </c>
      <c r="W1182" s="194">
        <f>IFERROR(IF(INDEX([1]Pivot!$AD$1:$BE$65000,$B1182,W$5)=1,1,IF(INDEX([1]Pivot!$B$1:$AB$65000,$B1182,W$5)="",2,0)),0)</f>
        <v>0</v>
      </c>
      <c r="X1182" s="194">
        <f>IFERROR(IF(INDEX([1]Pivot!$AD$1:$BE$65000,$B1182,X$5)=1,1,IF(INDEX([1]Pivot!$B$1:$AB$65000,$B1182,X$5)="",2,0)),0)</f>
        <v>0</v>
      </c>
      <c r="Y1182" s="194">
        <f>IFERROR(IF(INDEX([1]Pivot!$AD$1:$BE$65000,$B1182,Y$5)=1,1,IF(INDEX([1]Pivot!$B$1:$AB$65000,$B1182,Y$5)="",2,0)),0)</f>
        <v>0</v>
      </c>
      <c r="Z1182" s="194">
        <f>IFERROR(IF(INDEX([1]Pivot!$AD$1:$BE$65000,$B1182,Z$5)=1,1,IF(INDEX([1]Pivot!$B$1:$AB$65000,$B1182,Z$5)="",2,0)),0)</f>
        <v>0</v>
      </c>
      <c r="AA1182" s="194">
        <f>IFERROR(IF(INDEX([1]Pivot!$AD$1:$BE$65000,$B1182,AA$5)=1,1,IF(INDEX([1]Pivot!$B$1:$AB$65000,$B1182,AA$5)="",2,0)),0)</f>
        <v>0</v>
      </c>
      <c r="AB1182" s="194">
        <f>IFERROR(IF(INDEX([1]Pivot!$AD$1:$BE$65000,$B1182,AB$5)=1,1,IF(INDEX([1]Pivot!$B$1:$AB$65000,$B1182,AB$5)="",2,0)),0)</f>
        <v>0</v>
      </c>
      <c r="AC1182" s="194">
        <f>IFERROR(IF(INDEX([1]Pivot!$AD$1:$BE$65000,$B1182,AC$5)=1,1,IF(INDEX([1]Pivot!$B$1:$AB$65000,$B1182,AC$5)="",2,0)),0)</f>
        <v>0</v>
      </c>
      <c r="AD1182" s="313">
        <f>IFERROR(IF(INDEX([1]Pivot!$BF$1:$CG$65000,$B1182,AD$5)=1,1,IF(INDEX([1]Pivot!$B$1:$AB$65000,$B1182,AD$5)="",2,0)),0)</f>
        <v>0</v>
      </c>
      <c r="AE1182" s="313">
        <f>IFERROR(IF(INDEX([1]Pivot!$BF$1:$CG$65000,$B1182,AE$5)=1,1,IF(INDEX([1]Pivot!$B$1:$AB$65000,$B1182,AE$5)="",2,0)),0)</f>
        <v>0</v>
      </c>
      <c r="AF1182" s="313">
        <f>IFERROR(IF(INDEX([1]Pivot!$BF$1:$CG$65000,$B1182,AF$5)=1,1,IF(INDEX([1]Pivot!$B$1:$AB$65000,$B1182,AF$5)="",2,0)),0)</f>
        <v>0</v>
      </c>
      <c r="AG1182" s="313">
        <f>IFERROR(IF(INDEX([1]Pivot!$BF$1:$CG$65000,$B1182,AG$5)=1,1,IF(INDEX([1]Pivot!$B$1:$AB$65000,$B1182,AG$5)="",2,0)),0)</f>
        <v>0</v>
      </c>
      <c r="AH1182" s="313">
        <f>IFERROR(IF(INDEX([1]Pivot!$BF$1:$CG$65000,$B1182,AH$5)=1,1,IF(INDEX([1]Pivot!$B$1:$AB$65000,$B1182,AH$5)="",2,0)),0)</f>
        <v>0</v>
      </c>
      <c r="AI1182" s="313">
        <f>IFERROR(IF(INDEX([1]Pivot!$BF$1:$CG$65000,$B1182,AI$5)=1,1,IF(INDEX([1]Pivot!$B$1:$AB$65000,$B1182,AI$5)="",2,0)),0)</f>
        <v>0</v>
      </c>
      <c r="AJ1182" s="313">
        <f>IFERROR(IF(INDEX([1]Pivot!$BF$1:$CG$65000,$B1182,AJ$5)=1,1,IF(INDEX([1]Pivot!$B$1:$AB$65000,$B1182,AJ$5)="",2,0)),0)</f>
        <v>0</v>
      </c>
      <c r="AK1182" s="313">
        <f>IFERROR(IF(INDEX([1]Pivot!$BF$1:$CG$65000,$B1182,AK$5)=1,1,IF(INDEX([1]Pivot!$B$1:$AB$65000,$B1182,AK$5)="",2,0)),0)</f>
        <v>0</v>
      </c>
      <c r="AL1182" s="313">
        <f>IFERROR(IF(INDEX([1]Pivot!$BF$1:$CG$65000,$B1182,AL$5)=1,1,IF(INDEX([1]Pivot!$B$1:$AB$65000,$B1182,AL$5)="",2,0)),0)</f>
        <v>0</v>
      </c>
      <c r="AM1182" s="313">
        <f>IFERROR(IF(INDEX([1]Pivot!$BF$1:$CG$65000,$B1182,AM$5)=1,1,IF(INDEX([1]Pivot!$B$1:$AB$65000,$B1182,AM$5)="",2,0)),0)</f>
        <v>0</v>
      </c>
      <c r="AN1182" s="313">
        <f>IFERROR(IF(INDEX([1]Pivot!$BF$1:$CG$65000,$B1182,AN$5)=1,1,IF(INDEX([1]Pivot!$B$1:$AB$65000,$B1182,AN$5)="",2,0)),0)</f>
        <v>0</v>
      </c>
      <c r="AO1182" s="313">
        <f>IFERROR(IF(INDEX([1]Pivot!$BF$1:$CG$65000,$B1182,AO$5)=1,1,IF(INDEX([1]Pivot!$B$1:$AB$65000,$B1182,AO$5)="",2,0)),0)</f>
        <v>0</v>
      </c>
      <c r="AP1182" s="313">
        <f>IFERROR(IF(INDEX([1]Pivot!$BF$1:$CG$65000,$B1182,AP$5)=1,1,IF(INDEX([1]Pivot!$B$1:$AB$65000,$B1182,AP$5)="",2,0)),0)</f>
        <v>0</v>
      </c>
      <c r="AQ1182" s="313">
        <f>IFERROR(IF(INDEX([1]Pivot!$BF$1:$CG$65000,$B1182,AQ$5)=1,1,IF(INDEX([1]Pivot!$B$1:$AB$65000,$B1182,AQ$5)="",2,0)),0)</f>
        <v>0</v>
      </c>
      <c r="AR1182" s="313">
        <f>IFERROR(IF(INDEX([1]Pivot!$BF$1:$CG$65000,$B1182,AR$5)=1,1,IF(INDEX([1]Pivot!$B$1:$AB$65000,$B1182,AR$5)="",2,0)),0)</f>
        <v>0</v>
      </c>
      <c r="AS1182" s="312"/>
      <c r="AT1182" s="313">
        <f>IFERROR(IF(INDEX([1]Pivot!$BF$1:$CG$65000,$B1182,AT$5)=1,1,IF(INDEX([1]Pivot!$B$1:$AB$65000,$B1182,AT$5)="",2,0)),0)</f>
        <v>0</v>
      </c>
      <c r="AU1182" s="313">
        <f>IFERROR(IF(INDEX([1]Pivot!$BF$1:$CG$65000,$B1182,AU$5)=1,1,IF(INDEX([1]Pivot!$B$1:$AB$65000,$B1182,AU$5)="",2,0)),0)</f>
        <v>0</v>
      </c>
      <c r="AV1182" s="313">
        <f>IFERROR(IF(INDEX([1]Pivot!$BF$1:$CG$65000,$B1182,AV$5)=1,1,IF(INDEX([1]Pivot!$B$1:$AB$65000,$B1182,AV$5)="",2,0)),0)</f>
        <v>0</v>
      </c>
      <c r="AW1182" s="313">
        <f>IFERROR(IF(INDEX([1]Pivot!$BF$1:$CG$65000,$B1182,AW$5)=1,1,IF(INDEX([1]Pivot!$B$1:$AB$65000,$B1182,AW$5)="",2,0)),0)</f>
        <v>0</v>
      </c>
      <c r="AX1182" s="313">
        <f>IFERROR(IF(INDEX([1]Pivot!$BF$1:$CG$65000,$B1182,AX$5)=1,1,IF(INDEX([1]Pivot!$B$1:$AB$65000,$B1182,AX$5)="",2,0)),0)</f>
        <v>0</v>
      </c>
      <c r="AY1182" s="313">
        <f>IFERROR(IF(INDEX([1]Pivot!$BF$1:$CG$65000,$B1182,AY$5)=1,1,IF(INDEX([1]Pivot!$B$1:$AB$65000,$B1182,AY$5)="",2,0)),0)</f>
        <v>0</v>
      </c>
      <c r="AZ1182" s="313">
        <f>IFERROR(IF(INDEX([1]Pivot!$BF$1:$CG$65000,$B1182,AZ$5)=1,1,IF(INDEX([1]Pivot!$B$1:$AB$65000,$B1182,AZ$5)="",2,0)),0)</f>
        <v>0</v>
      </c>
      <c r="BA1182" s="313">
        <f>IFERROR(IF(INDEX([1]Pivot!$BF$1:$CG$65000,$B1182,BA$5)=1,1,IF(INDEX([1]Pivot!$B$1:$AB$65000,$B1182,BA$5)="",2,0)),0)</f>
        <v>0</v>
      </c>
      <c r="BB1182" s="313">
        <f>IFERROR(IF(INDEX([1]Pivot!$BF$1:$CG$65000,$B1182,BB$5)=1,1,IF(INDEX([1]Pivot!$B$1:$AB$65000,$B1182,BB$5)="",2,0)),0)</f>
        <v>0</v>
      </c>
      <c r="BC1182" s="313">
        <f>IFERROR(IF(INDEX([1]Pivot!$BF$1:$CG$65000,$B1182,BC$5)=1,1,IF(INDEX([1]Pivot!$B$1:$AB$65000,$B1182,BC$5)="",2,0)),0)</f>
        <v>0</v>
      </c>
      <c r="BD1182" s="313">
        <f>IFERROR(IF(INDEX([1]Pivot!$BF$1:$CG$65000,$B1182,BD$5)=1,1,IF(INDEX([1]Pivot!$B$1:$AB$65000,$B1182,BD$5)="",2,0)),0)</f>
        <v>0</v>
      </c>
    </row>
    <row r="1183" spans="1:56" x14ac:dyDescent="0.25">
      <c r="A1183" s="288">
        <f>'[2]Raw Milk Prices'!A1183</f>
        <v>0</v>
      </c>
      <c r="B1183" s="296" t="e">
        <f>MATCH(DATE(LEFT('[2]Raw Milk Prices'!$A1183,4),RIGHT('[2]Raw Milk Prices'!$A1183,2),1),[1]Pivot!$A$1:$A$65000,0)</f>
        <v>#VALUE!</v>
      </c>
      <c r="C1183" s="194">
        <f>IFERROR(IF(INDEX([1]Pivot!$AD$1:$BE$65000,$B1183,C$5)=1,1,IF(INDEX([1]Pivot!$B$1:$AB$65000,$B1183,C$5)="",2,0)),0)</f>
        <v>0</v>
      </c>
      <c r="D1183" s="194">
        <f>IFERROR(IF(INDEX([1]Pivot!$AD$1:$BE$65000,$B1183,D$5)=1,1,IF(INDEX([1]Pivot!$B$1:$AB$65000,$B1183,D$5)="",2,0)),0)</f>
        <v>0</v>
      </c>
      <c r="E1183" s="194">
        <f>IFERROR(IF(INDEX([1]Pivot!$AD$1:$BE$65000,$B1183,E$5)=1,1,IF(INDEX([1]Pivot!$B$1:$AB$65000,$B1183,E$5)="",2,0)),0)</f>
        <v>0</v>
      </c>
      <c r="F1183" s="194">
        <f>IFERROR(IF(INDEX([1]Pivot!$AD$1:$BE$65000,$B1183,F$5)=1,1,IF(INDEX([1]Pivot!$B$1:$AB$65000,$B1183,F$5)="",2,0)),0)</f>
        <v>0</v>
      </c>
      <c r="G1183" s="194">
        <f>IFERROR(IF(INDEX([1]Pivot!$AD$1:$BE$65000,$B1183,G$5)=1,1,IF(INDEX([1]Pivot!$B$1:$AB$65000,$B1183,G$5)="",2,0)),0)</f>
        <v>0</v>
      </c>
      <c r="H1183" s="194">
        <f>IFERROR(IF(INDEX([1]Pivot!$AD$1:$BE$65000,$B1183,H$5)=1,1,IF(INDEX([1]Pivot!$B$1:$AB$65000,$B1183,H$5)="",2,0)),0)</f>
        <v>0</v>
      </c>
      <c r="I1183" s="194">
        <f>IFERROR(IF(INDEX([1]Pivot!$AD$1:$BE$65000,$B1183,I$5)=1,1,IF(INDEX([1]Pivot!$B$1:$AB$65000,$B1183,I$5)="",2,0)),0)</f>
        <v>0</v>
      </c>
      <c r="J1183" s="194">
        <f>IFERROR(IF(INDEX([1]Pivot!$AD$1:$BE$65000,$B1183,J$5)=1,1,IF(INDEX([1]Pivot!$B$1:$AB$65000,$B1183,J$5)="",2,0)),0)</f>
        <v>0</v>
      </c>
      <c r="K1183" s="194">
        <f>IFERROR(IF(INDEX([1]Pivot!$AD$1:$BE$65000,$B1183,K$5)=1,1,IF(INDEX([1]Pivot!$B$1:$AB$65000,$B1183,K$5)="",2,0)),0)</f>
        <v>0</v>
      </c>
      <c r="L1183" s="194">
        <f>IFERROR(IF(INDEX([1]Pivot!$AD$1:$BE$65000,$B1183,L$5)=1,1,IF(INDEX([1]Pivot!$B$1:$AB$65000,$B1183,L$5)="",2,0)),0)</f>
        <v>0</v>
      </c>
      <c r="M1183" s="194">
        <f>IFERROR(IF(INDEX([1]Pivot!$AD$1:$BE$65000,$B1183,M$5)=1,1,IF(INDEX([1]Pivot!$B$1:$AB$65000,$B1183,M$5)="",2,0)),0)</f>
        <v>0</v>
      </c>
      <c r="N1183" s="194">
        <f>IFERROR(IF(INDEX([1]Pivot!$AD$1:$BE$65000,$B1183,N$5)=1,1,IF(INDEX([1]Pivot!$B$1:$AB$65000,$B1183,N$5)="",2,0)),0)</f>
        <v>0</v>
      </c>
      <c r="O1183" s="194">
        <f>IFERROR(IF(INDEX([1]Pivot!$AD$1:$BE$65000,$B1183,O$5)=1,1,IF(INDEX([1]Pivot!$B$1:$AB$65000,$B1183,O$5)="",2,0)),0)</f>
        <v>0</v>
      </c>
      <c r="P1183" s="194">
        <f>IFERROR(IF(INDEX([1]Pivot!$AD$1:$BE$65000,$B1183,P$5)=1,1,IF(INDEX([1]Pivot!$B$1:$AB$65000,$B1183,P$5)="",2,0)),0)</f>
        <v>0</v>
      </c>
      <c r="Q1183" s="194">
        <f>IFERROR(IF(INDEX([1]Pivot!$AD$1:$BE$65000,$B1183,Q$5)=1,1,IF(INDEX([1]Pivot!$B$1:$AB$65000,$B1183,Q$5)="",2,0)),0)</f>
        <v>0</v>
      </c>
      <c r="R1183" s="312"/>
      <c r="S1183" s="194">
        <f>IFERROR(IF(INDEX([1]Pivot!$AD$1:$BE$65000,$B1183,S$5)=1,1,IF(INDEX([1]Pivot!$B$1:$AB$65000,$B1183,S$5)="",2,0)),0)</f>
        <v>0</v>
      </c>
      <c r="T1183" s="194">
        <f>IFERROR(IF(INDEX([1]Pivot!$AD$1:$BE$65000,$B1183,T$5)=1,1,IF(INDEX([1]Pivot!$B$1:$AB$65000,$B1183,T$5)="",2,0)),0)</f>
        <v>0</v>
      </c>
      <c r="U1183" s="194">
        <f>IFERROR(IF(INDEX([1]Pivot!$AD$1:$BE$65000,$B1183,U$5)=1,1,IF(INDEX([1]Pivot!$B$1:$AB$65000,$B1183,U$5)="",2,0)),0)</f>
        <v>0</v>
      </c>
      <c r="V1183" s="194">
        <f>IFERROR(IF(INDEX([1]Pivot!$AD$1:$BE$65000,$B1183,V$5)=1,1,IF(INDEX([1]Pivot!$B$1:$AB$65000,$B1183,V$5)="",2,0)),0)</f>
        <v>0</v>
      </c>
      <c r="W1183" s="194">
        <f>IFERROR(IF(INDEX([1]Pivot!$AD$1:$BE$65000,$B1183,W$5)=1,1,IF(INDEX([1]Pivot!$B$1:$AB$65000,$B1183,W$5)="",2,0)),0)</f>
        <v>0</v>
      </c>
      <c r="X1183" s="194">
        <f>IFERROR(IF(INDEX([1]Pivot!$AD$1:$BE$65000,$B1183,X$5)=1,1,IF(INDEX([1]Pivot!$B$1:$AB$65000,$B1183,X$5)="",2,0)),0)</f>
        <v>0</v>
      </c>
      <c r="Y1183" s="194">
        <f>IFERROR(IF(INDEX([1]Pivot!$AD$1:$BE$65000,$B1183,Y$5)=1,1,IF(INDEX([1]Pivot!$B$1:$AB$65000,$B1183,Y$5)="",2,0)),0)</f>
        <v>0</v>
      </c>
      <c r="Z1183" s="194">
        <f>IFERROR(IF(INDEX([1]Pivot!$AD$1:$BE$65000,$B1183,Z$5)=1,1,IF(INDEX([1]Pivot!$B$1:$AB$65000,$B1183,Z$5)="",2,0)),0)</f>
        <v>0</v>
      </c>
      <c r="AA1183" s="194">
        <f>IFERROR(IF(INDEX([1]Pivot!$AD$1:$BE$65000,$B1183,AA$5)=1,1,IF(INDEX([1]Pivot!$B$1:$AB$65000,$B1183,AA$5)="",2,0)),0)</f>
        <v>0</v>
      </c>
      <c r="AB1183" s="194">
        <f>IFERROR(IF(INDEX([1]Pivot!$AD$1:$BE$65000,$B1183,AB$5)=1,1,IF(INDEX([1]Pivot!$B$1:$AB$65000,$B1183,AB$5)="",2,0)),0)</f>
        <v>0</v>
      </c>
      <c r="AC1183" s="194">
        <f>IFERROR(IF(INDEX([1]Pivot!$AD$1:$BE$65000,$B1183,AC$5)=1,1,IF(INDEX([1]Pivot!$B$1:$AB$65000,$B1183,AC$5)="",2,0)),0)</f>
        <v>0</v>
      </c>
      <c r="AD1183" s="313">
        <f>IFERROR(IF(INDEX([1]Pivot!$BF$1:$CG$65000,$B1183,AD$5)=1,1,IF(INDEX([1]Pivot!$B$1:$AB$65000,$B1183,AD$5)="",2,0)),0)</f>
        <v>0</v>
      </c>
      <c r="AE1183" s="313">
        <f>IFERROR(IF(INDEX([1]Pivot!$BF$1:$CG$65000,$B1183,AE$5)=1,1,IF(INDEX([1]Pivot!$B$1:$AB$65000,$B1183,AE$5)="",2,0)),0)</f>
        <v>0</v>
      </c>
      <c r="AF1183" s="313">
        <f>IFERROR(IF(INDEX([1]Pivot!$BF$1:$CG$65000,$B1183,AF$5)=1,1,IF(INDEX([1]Pivot!$B$1:$AB$65000,$B1183,AF$5)="",2,0)),0)</f>
        <v>0</v>
      </c>
      <c r="AG1183" s="313">
        <f>IFERROR(IF(INDEX([1]Pivot!$BF$1:$CG$65000,$B1183,AG$5)=1,1,IF(INDEX([1]Pivot!$B$1:$AB$65000,$B1183,AG$5)="",2,0)),0)</f>
        <v>0</v>
      </c>
      <c r="AH1183" s="313">
        <f>IFERROR(IF(INDEX([1]Pivot!$BF$1:$CG$65000,$B1183,AH$5)=1,1,IF(INDEX([1]Pivot!$B$1:$AB$65000,$B1183,AH$5)="",2,0)),0)</f>
        <v>0</v>
      </c>
      <c r="AI1183" s="313">
        <f>IFERROR(IF(INDEX([1]Pivot!$BF$1:$CG$65000,$B1183,AI$5)=1,1,IF(INDEX([1]Pivot!$B$1:$AB$65000,$B1183,AI$5)="",2,0)),0)</f>
        <v>0</v>
      </c>
      <c r="AJ1183" s="313">
        <f>IFERROR(IF(INDEX([1]Pivot!$BF$1:$CG$65000,$B1183,AJ$5)=1,1,IF(INDEX([1]Pivot!$B$1:$AB$65000,$B1183,AJ$5)="",2,0)),0)</f>
        <v>0</v>
      </c>
      <c r="AK1183" s="313">
        <f>IFERROR(IF(INDEX([1]Pivot!$BF$1:$CG$65000,$B1183,AK$5)=1,1,IF(INDEX([1]Pivot!$B$1:$AB$65000,$B1183,AK$5)="",2,0)),0)</f>
        <v>0</v>
      </c>
      <c r="AL1183" s="313">
        <f>IFERROR(IF(INDEX([1]Pivot!$BF$1:$CG$65000,$B1183,AL$5)=1,1,IF(INDEX([1]Pivot!$B$1:$AB$65000,$B1183,AL$5)="",2,0)),0)</f>
        <v>0</v>
      </c>
      <c r="AM1183" s="313">
        <f>IFERROR(IF(INDEX([1]Pivot!$BF$1:$CG$65000,$B1183,AM$5)=1,1,IF(INDEX([1]Pivot!$B$1:$AB$65000,$B1183,AM$5)="",2,0)),0)</f>
        <v>0</v>
      </c>
      <c r="AN1183" s="313">
        <f>IFERROR(IF(INDEX([1]Pivot!$BF$1:$CG$65000,$B1183,AN$5)=1,1,IF(INDEX([1]Pivot!$B$1:$AB$65000,$B1183,AN$5)="",2,0)),0)</f>
        <v>0</v>
      </c>
      <c r="AO1183" s="313">
        <f>IFERROR(IF(INDEX([1]Pivot!$BF$1:$CG$65000,$B1183,AO$5)=1,1,IF(INDEX([1]Pivot!$B$1:$AB$65000,$B1183,AO$5)="",2,0)),0)</f>
        <v>0</v>
      </c>
      <c r="AP1183" s="313">
        <f>IFERROR(IF(INDEX([1]Pivot!$BF$1:$CG$65000,$B1183,AP$5)=1,1,IF(INDEX([1]Pivot!$B$1:$AB$65000,$B1183,AP$5)="",2,0)),0)</f>
        <v>0</v>
      </c>
      <c r="AQ1183" s="313">
        <f>IFERROR(IF(INDEX([1]Pivot!$BF$1:$CG$65000,$B1183,AQ$5)=1,1,IF(INDEX([1]Pivot!$B$1:$AB$65000,$B1183,AQ$5)="",2,0)),0)</f>
        <v>0</v>
      </c>
      <c r="AR1183" s="313">
        <f>IFERROR(IF(INDEX([1]Pivot!$BF$1:$CG$65000,$B1183,AR$5)=1,1,IF(INDEX([1]Pivot!$B$1:$AB$65000,$B1183,AR$5)="",2,0)),0)</f>
        <v>0</v>
      </c>
      <c r="AS1183" s="312"/>
      <c r="AT1183" s="313">
        <f>IFERROR(IF(INDEX([1]Pivot!$BF$1:$CG$65000,$B1183,AT$5)=1,1,IF(INDEX([1]Pivot!$B$1:$AB$65000,$B1183,AT$5)="",2,0)),0)</f>
        <v>0</v>
      </c>
      <c r="AU1183" s="313">
        <f>IFERROR(IF(INDEX([1]Pivot!$BF$1:$CG$65000,$B1183,AU$5)=1,1,IF(INDEX([1]Pivot!$B$1:$AB$65000,$B1183,AU$5)="",2,0)),0)</f>
        <v>0</v>
      </c>
      <c r="AV1183" s="313">
        <f>IFERROR(IF(INDEX([1]Pivot!$BF$1:$CG$65000,$B1183,AV$5)=1,1,IF(INDEX([1]Pivot!$B$1:$AB$65000,$B1183,AV$5)="",2,0)),0)</f>
        <v>0</v>
      </c>
      <c r="AW1183" s="313">
        <f>IFERROR(IF(INDEX([1]Pivot!$BF$1:$CG$65000,$B1183,AW$5)=1,1,IF(INDEX([1]Pivot!$B$1:$AB$65000,$B1183,AW$5)="",2,0)),0)</f>
        <v>0</v>
      </c>
      <c r="AX1183" s="313">
        <f>IFERROR(IF(INDEX([1]Pivot!$BF$1:$CG$65000,$B1183,AX$5)=1,1,IF(INDEX([1]Pivot!$B$1:$AB$65000,$B1183,AX$5)="",2,0)),0)</f>
        <v>0</v>
      </c>
      <c r="AY1183" s="313">
        <f>IFERROR(IF(INDEX([1]Pivot!$BF$1:$CG$65000,$B1183,AY$5)=1,1,IF(INDEX([1]Pivot!$B$1:$AB$65000,$B1183,AY$5)="",2,0)),0)</f>
        <v>0</v>
      </c>
      <c r="AZ1183" s="313">
        <f>IFERROR(IF(INDEX([1]Pivot!$BF$1:$CG$65000,$B1183,AZ$5)=1,1,IF(INDEX([1]Pivot!$B$1:$AB$65000,$B1183,AZ$5)="",2,0)),0)</f>
        <v>0</v>
      </c>
      <c r="BA1183" s="313">
        <f>IFERROR(IF(INDEX([1]Pivot!$BF$1:$CG$65000,$B1183,BA$5)=1,1,IF(INDEX([1]Pivot!$B$1:$AB$65000,$B1183,BA$5)="",2,0)),0)</f>
        <v>0</v>
      </c>
      <c r="BB1183" s="313">
        <f>IFERROR(IF(INDEX([1]Pivot!$BF$1:$CG$65000,$B1183,BB$5)=1,1,IF(INDEX([1]Pivot!$B$1:$AB$65000,$B1183,BB$5)="",2,0)),0)</f>
        <v>0</v>
      </c>
      <c r="BC1183" s="313">
        <f>IFERROR(IF(INDEX([1]Pivot!$BF$1:$CG$65000,$B1183,BC$5)=1,1,IF(INDEX([1]Pivot!$B$1:$AB$65000,$B1183,BC$5)="",2,0)),0)</f>
        <v>0</v>
      </c>
      <c r="BD1183" s="313">
        <f>IFERROR(IF(INDEX([1]Pivot!$BF$1:$CG$65000,$B1183,BD$5)=1,1,IF(INDEX([1]Pivot!$B$1:$AB$65000,$B1183,BD$5)="",2,0)),0)</f>
        <v>0</v>
      </c>
    </row>
    <row r="1184" spans="1:56" x14ac:dyDescent="0.25">
      <c r="A1184" s="288">
        <f>'[2]Raw Milk Prices'!A1184</f>
        <v>0</v>
      </c>
      <c r="B1184" s="296" t="e">
        <f>MATCH(DATE(LEFT('[2]Raw Milk Prices'!$A1184,4),RIGHT('[2]Raw Milk Prices'!$A1184,2),1),[1]Pivot!$A$1:$A$65000,0)</f>
        <v>#VALUE!</v>
      </c>
      <c r="C1184" s="194">
        <f>IFERROR(IF(INDEX([1]Pivot!$AD$1:$BE$65000,$B1184,C$5)=1,1,IF(INDEX([1]Pivot!$B$1:$AB$65000,$B1184,C$5)="",2,0)),0)</f>
        <v>0</v>
      </c>
      <c r="D1184" s="194">
        <f>IFERROR(IF(INDEX([1]Pivot!$AD$1:$BE$65000,$B1184,D$5)=1,1,IF(INDEX([1]Pivot!$B$1:$AB$65000,$B1184,D$5)="",2,0)),0)</f>
        <v>0</v>
      </c>
      <c r="E1184" s="194">
        <f>IFERROR(IF(INDEX([1]Pivot!$AD$1:$BE$65000,$B1184,E$5)=1,1,IF(INDEX([1]Pivot!$B$1:$AB$65000,$B1184,E$5)="",2,0)),0)</f>
        <v>0</v>
      </c>
      <c r="F1184" s="194">
        <f>IFERROR(IF(INDEX([1]Pivot!$AD$1:$BE$65000,$B1184,F$5)=1,1,IF(INDEX([1]Pivot!$B$1:$AB$65000,$B1184,F$5)="",2,0)),0)</f>
        <v>0</v>
      </c>
      <c r="G1184" s="194">
        <f>IFERROR(IF(INDEX([1]Pivot!$AD$1:$BE$65000,$B1184,G$5)=1,1,IF(INDEX([1]Pivot!$B$1:$AB$65000,$B1184,G$5)="",2,0)),0)</f>
        <v>0</v>
      </c>
      <c r="H1184" s="194">
        <f>IFERROR(IF(INDEX([1]Pivot!$AD$1:$BE$65000,$B1184,H$5)=1,1,IF(INDEX([1]Pivot!$B$1:$AB$65000,$B1184,H$5)="",2,0)),0)</f>
        <v>0</v>
      </c>
      <c r="I1184" s="194">
        <f>IFERROR(IF(INDEX([1]Pivot!$AD$1:$BE$65000,$B1184,I$5)=1,1,IF(INDEX([1]Pivot!$B$1:$AB$65000,$B1184,I$5)="",2,0)),0)</f>
        <v>0</v>
      </c>
      <c r="J1184" s="194">
        <f>IFERROR(IF(INDEX([1]Pivot!$AD$1:$BE$65000,$B1184,J$5)=1,1,IF(INDEX([1]Pivot!$B$1:$AB$65000,$B1184,J$5)="",2,0)),0)</f>
        <v>0</v>
      </c>
      <c r="K1184" s="194">
        <f>IFERROR(IF(INDEX([1]Pivot!$AD$1:$BE$65000,$B1184,K$5)=1,1,IF(INDEX([1]Pivot!$B$1:$AB$65000,$B1184,K$5)="",2,0)),0)</f>
        <v>0</v>
      </c>
      <c r="L1184" s="194">
        <f>IFERROR(IF(INDEX([1]Pivot!$AD$1:$BE$65000,$B1184,L$5)=1,1,IF(INDEX([1]Pivot!$B$1:$AB$65000,$B1184,L$5)="",2,0)),0)</f>
        <v>0</v>
      </c>
      <c r="M1184" s="194">
        <f>IFERROR(IF(INDEX([1]Pivot!$AD$1:$BE$65000,$B1184,M$5)=1,1,IF(INDEX([1]Pivot!$B$1:$AB$65000,$B1184,M$5)="",2,0)),0)</f>
        <v>0</v>
      </c>
      <c r="N1184" s="194">
        <f>IFERROR(IF(INDEX([1]Pivot!$AD$1:$BE$65000,$B1184,N$5)=1,1,IF(INDEX([1]Pivot!$B$1:$AB$65000,$B1184,N$5)="",2,0)),0)</f>
        <v>0</v>
      </c>
      <c r="O1184" s="194">
        <f>IFERROR(IF(INDEX([1]Pivot!$AD$1:$BE$65000,$B1184,O$5)=1,1,IF(INDEX([1]Pivot!$B$1:$AB$65000,$B1184,O$5)="",2,0)),0)</f>
        <v>0</v>
      </c>
      <c r="P1184" s="194">
        <f>IFERROR(IF(INDEX([1]Pivot!$AD$1:$BE$65000,$B1184,P$5)=1,1,IF(INDEX([1]Pivot!$B$1:$AB$65000,$B1184,P$5)="",2,0)),0)</f>
        <v>0</v>
      </c>
      <c r="Q1184" s="194">
        <f>IFERROR(IF(INDEX([1]Pivot!$AD$1:$BE$65000,$B1184,Q$5)=1,1,IF(INDEX([1]Pivot!$B$1:$AB$65000,$B1184,Q$5)="",2,0)),0)</f>
        <v>0</v>
      </c>
      <c r="R1184" s="312"/>
      <c r="S1184" s="194">
        <f>IFERROR(IF(INDEX([1]Pivot!$AD$1:$BE$65000,$B1184,S$5)=1,1,IF(INDEX([1]Pivot!$B$1:$AB$65000,$B1184,S$5)="",2,0)),0)</f>
        <v>0</v>
      </c>
      <c r="T1184" s="194">
        <f>IFERROR(IF(INDEX([1]Pivot!$AD$1:$BE$65000,$B1184,T$5)=1,1,IF(INDEX([1]Pivot!$B$1:$AB$65000,$B1184,T$5)="",2,0)),0)</f>
        <v>0</v>
      </c>
      <c r="U1184" s="194">
        <f>IFERROR(IF(INDEX([1]Pivot!$AD$1:$BE$65000,$B1184,U$5)=1,1,IF(INDEX([1]Pivot!$B$1:$AB$65000,$B1184,U$5)="",2,0)),0)</f>
        <v>0</v>
      </c>
      <c r="V1184" s="194">
        <f>IFERROR(IF(INDEX([1]Pivot!$AD$1:$BE$65000,$B1184,V$5)=1,1,IF(INDEX([1]Pivot!$B$1:$AB$65000,$B1184,V$5)="",2,0)),0)</f>
        <v>0</v>
      </c>
      <c r="W1184" s="194">
        <f>IFERROR(IF(INDEX([1]Pivot!$AD$1:$BE$65000,$B1184,W$5)=1,1,IF(INDEX([1]Pivot!$B$1:$AB$65000,$B1184,W$5)="",2,0)),0)</f>
        <v>0</v>
      </c>
      <c r="X1184" s="194">
        <f>IFERROR(IF(INDEX([1]Pivot!$AD$1:$BE$65000,$B1184,X$5)=1,1,IF(INDEX([1]Pivot!$B$1:$AB$65000,$B1184,X$5)="",2,0)),0)</f>
        <v>0</v>
      </c>
      <c r="Y1184" s="194">
        <f>IFERROR(IF(INDEX([1]Pivot!$AD$1:$BE$65000,$B1184,Y$5)=1,1,IF(INDEX([1]Pivot!$B$1:$AB$65000,$B1184,Y$5)="",2,0)),0)</f>
        <v>0</v>
      </c>
      <c r="Z1184" s="194">
        <f>IFERROR(IF(INDEX([1]Pivot!$AD$1:$BE$65000,$B1184,Z$5)=1,1,IF(INDEX([1]Pivot!$B$1:$AB$65000,$B1184,Z$5)="",2,0)),0)</f>
        <v>0</v>
      </c>
      <c r="AA1184" s="194">
        <f>IFERROR(IF(INDEX([1]Pivot!$AD$1:$BE$65000,$B1184,AA$5)=1,1,IF(INDEX([1]Pivot!$B$1:$AB$65000,$B1184,AA$5)="",2,0)),0)</f>
        <v>0</v>
      </c>
      <c r="AB1184" s="194">
        <f>IFERROR(IF(INDEX([1]Pivot!$AD$1:$BE$65000,$B1184,AB$5)=1,1,IF(INDEX([1]Pivot!$B$1:$AB$65000,$B1184,AB$5)="",2,0)),0)</f>
        <v>0</v>
      </c>
      <c r="AC1184" s="194">
        <f>IFERROR(IF(INDEX([1]Pivot!$AD$1:$BE$65000,$B1184,AC$5)=1,1,IF(INDEX([1]Pivot!$B$1:$AB$65000,$B1184,AC$5)="",2,0)),0)</f>
        <v>0</v>
      </c>
      <c r="AD1184" s="313">
        <f>IFERROR(IF(INDEX([1]Pivot!$BF$1:$CG$65000,$B1184,AD$5)=1,1,IF(INDEX([1]Pivot!$B$1:$AB$65000,$B1184,AD$5)="",2,0)),0)</f>
        <v>0</v>
      </c>
      <c r="AE1184" s="313">
        <f>IFERROR(IF(INDEX([1]Pivot!$BF$1:$CG$65000,$B1184,AE$5)=1,1,IF(INDEX([1]Pivot!$B$1:$AB$65000,$B1184,AE$5)="",2,0)),0)</f>
        <v>0</v>
      </c>
      <c r="AF1184" s="313">
        <f>IFERROR(IF(INDEX([1]Pivot!$BF$1:$CG$65000,$B1184,AF$5)=1,1,IF(INDEX([1]Pivot!$B$1:$AB$65000,$B1184,AF$5)="",2,0)),0)</f>
        <v>0</v>
      </c>
      <c r="AG1184" s="313">
        <f>IFERROR(IF(INDEX([1]Pivot!$BF$1:$CG$65000,$B1184,AG$5)=1,1,IF(INDEX([1]Pivot!$B$1:$AB$65000,$B1184,AG$5)="",2,0)),0)</f>
        <v>0</v>
      </c>
      <c r="AH1184" s="313">
        <f>IFERROR(IF(INDEX([1]Pivot!$BF$1:$CG$65000,$B1184,AH$5)=1,1,IF(INDEX([1]Pivot!$B$1:$AB$65000,$B1184,AH$5)="",2,0)),0)</f>
        <v>0</v>
      </c>
      <c r="AI1184" s="313">
        <f>IFERROR(IF(INDEX([1]Pivot!$BF$1:$CG$65000,$B1184,AI$5)=1,1,IF(INDEX([1]Pivot!$B$1:$AB$65000,$B1184,AI$5)="",2,0)),0)</f>
        <v>0</v>
      </c>
      <c r="AJ1184" s="313">
        <f>IFERROR(IF(INDEX([1]Pivot!$BF$1:$CG$65000,$B1184,AJ$5)=1,1,IF(INDEX([1]Pivot!$B$1:$AB$65000,$B1184,AJ$5)="",2,0)),0)</f>
        <v>0</v>
      </c>
      <c r="AK1184" s="313">
        <f>IFERROR(IF(INDEX([1]Pivot!$BF$1:$CG$65000,$B1184,AK$5)=1,1,IF(INDEX([1]Pivot!$B$1:$AB$65000,$B1184,AK$5)="",2,0)),0)</f>
        <v>0</v>
      </c>
      <c r="AL1184" s="313">
        <f>IFERROR(IF(INDEX([1]Pivot!$BF$1:$CG$65000,$B1184,AL$5)=1,1,IF(INDEX([1]Pivot!$B$1:$AB$65000,$B1184,AL$5)="",2,0)),0)</f>
        <v>0</v>
      </c>
      <c r="AM1184" s="313">
        <f>IFERROR(IF(INDEX([1]Pivot!$BF$1:$CG$65000,$B1184,AM$5)=1,1,IF(INDEX([1]Pivot!$B$1:$AB$65000,$B1184,AM$5)="",2,0)),0)</f>
        <v>0</v>
      </c>
      <c r="AN1184" s="313">
        <f>IFERROR(IF(INDEX([1]Pivot!$BF$1:$CG$65000,$B1184,AN$5)=1,1,IF(INDEX([1]Pivot!$B$1:$AB$65000,$B1184,AN$5)="",2,0)),0)</f>
        <v>0</v>
      </c>
      <c r="AO1184" s="313">
        <f>IFERROR(IF(INDEX([1]Pivot!$BF$1:$CG$65000,$B1184,AO$5)=1,1,IF(INDEX([1]Pivot!$B$1:$AB$65000,$B1184,AO$5)="",2,0)),0)</f>
        <v>0</v>
      </c>
      <c r="AP1184" s="313">
        <f>IFERROR(IF(INDEX([1]Pivot!$BF$1:$CG$65000,$B1184,AP$5)=1,1,IF(INDEX([1]Pivot!$B$1:$AB$65000,$B1184,AP$5)="",2,0)),0)</f>
        <v>0</v>
      </c>
      <c r="AQ1184" s="313">
        <f>IFERROR(IF(INDEX([1]Pivot!$BF$1:$CG$65000,$B1184,AQ$5)=1,1,IF(INDEX([1]Pivot!$B$1:$AB$65000,$B1184,AQ$5)="",2,0)),0)</f>
        <v>0</v>
      </c>
      <c r="AR1184" s="313">
        <f>IFERROR(IF(INDEX([1]Pivot!$BF$1:$CG$65000,$B1184,AR$5)=1,1,IF(INDEX([1]Pivot!$B$1:$AB$65000,$B1184,AR$5)="",2,0)),0)</f>
        <v>0</v>
      </c>
      <c r="AS1184" s="312"/>
      <c r="AT1184" s="313">
        <f>IFERROR(IF(INDEX([1]Pivot!$BF$1:$CG$65000,$B1184,AT$5)=1,1,IF(INDEX([1]Pivot!$B$1:$AB$65000,$B1184,AT$5)="",2,0)),0)</f>
        <v>0</v>
      </c>
      <c r="AU1184" s="313">
        <f>IFERROR(IF(INDEX([1]Pivot!$BF$1:$CG$65000,$B1184,AU$5)=1,1,IF(INDEX([1]Pivot!$B$1:$AB$65000,$B1184,AU$5)="",2,0)),0)</f>
        <v>0</v>
      </c>
      <c r="AV1184" s="313">
        <f>IFERROR(IF(INDEX([1]Pivot!$BF$1:$CG$65000,$B1184,AV$5)=1,1,IF(INDEX([1]Pivot!$B$1:$AB$65000,$B1184,AV$5)="",2,0)),0)</f>
        <v>0</v>
      </c>
      <c r="AW1184" s="313">
        <f>IFERROR(IF(INDEX([1]Pivot!$BF$1:$CG$65000,$B1184,AW$5)=1,1,IF(INDEX([1]Pivot!$B$1:$AB$65000,$B1184,AW$5)="",2,0)),0)</f>
        <v>0</v>
      </c>
      <c r="AX1184" s="313">
        <f>IFERROR(IF(INDEX([1]Pivot!$BF$1:$CG$65000,$B1184,AX$5)=1,1,IF(INDEX([1]Pivot!$B$1:$AB$65000,$B1184,AX$5)="",2,0)),0)</f>
        <v>0</v>
      </c>
      <c r="AY1184" s="313">
        <f>IFERROR(IF(INDEX([1]Pivot!$BF$1:$CG$65000,$B1184,AY$5)=1,1,IF(INDEX([1]Pivot!$B$1:$AB$65000,$B1184,AY$5)="",2,0)),0)</f>
        <v>0</v>
      </c>
      <c r="AZ1184" s="313">
        <f>IFERROR(IF(INDEX([1]Pivot!$BF$1:$CG$65000,$B1184,AZ$5)=1,1,IF(INDEX([1]Pivot!$B$1:$AB$65000,$B1184,AZ$5)="",2,0)),0)</f>
        <v>0</v>
      </c>
      <c r="BA1184" s="313">
        <f>IFERROR(IF(INDEX([1]Pivot!$BF$1:$CG$65000,$B1184,BA$5)=1,1,IF(INDEX([1]Pivot!$B$1:$AB$65000,$B1184,BA$5)="",2,0)),0)</f>
        <v>0</v>
      </c>
      <c r="BB1184" s="313">
        <f>IFERROR(IF(INDEX([1]Pivot!$BF$1:$CG$65000,$B1184,BB$5)=1,1,IF(INDEX([1]Pivot!$B$1:$AB$65000,$B1184,BB$5)="",2,0)),0)</f>
        <v>0</v>
      </c>
      <c r="BC1184" s="313">
        <f>IFERROR(IF(INDEX([1]Pivot!$BF$1:$CG$65000,$B1184,BC$5)=1,1,IF(INDEX([1]Pivot!$B$1:$AB$65000,$B1184,BC$5)="",2,0)),0)</f>
        <v>0</v>
      </c>
      <c r="BD1184" s="313">
        <f>IFERROR(IF(INDEX([1]Pivot!$BF$1:$CG$65000,$B1184,BD$5)=1,1,IF(INDEX([1]Pivot!$B$1:$AB$65000,$B1184,BD$5)="",2,0)),0)</f>
        <v>0</v>
      </c>
    </row>
    <row r="1185" spans="1:56" x14ac:dyDescent="0.25">
      <c r="A1185" s="288">
        <f>'[2]Raw Milk Prices'!A1185</f>
        <v>0</v>
      </c>
      <c r="B1185" s="296" t="e">
        <f>MATCH(DATE(LEFT('[2]Raw Milk Prices'!$A1185,4),RIGHT('[2]Raw Milk Prices'!$A1185,2),1),[1]Pivot!$A$1:$A$65000,0)</f>
        <v>#VALUE!</v>
      </c>
      <c r="C1185" s="194">
        <f>IFERROR(IF(INDEX([1]Pivot!$AD$1:$BE$65000,$B1185,C$5)=1,1,IF(INDEX([1]Pivot!$B$1:$AB$65000,$B1185,C$5)="",2,0)),0)</f>
        <v>0</v>
      </c>
      <c r="D1185" s="194">
        <f>IFERROR(IF(INDEX([1]Pivot!$AD$1:$BE$65000,$B1185,D$5)=1,1,IF(INDEX([1]Pivot!$B$1:$AB$65000,$B1185,D$5)="",2,0)),0)</f>
        <v>0</v>
      </c>
      <c r="E1185" s="194">
        <f>IFERROR(IF(INDEX([1]Pivot!$AD$1:$BE$65000,$B1185,E$5)=1,1,IF(INDEX([1]Pivot!$B$1:$AB$65000,$B1185,E$5)="",2,0)),0)</f>
        <v>0</v>
      </c>
      <c r="F1185" s="194">
        <f>IFERROR(IF(INDEX([1]Pivot!$AD$1:$BE$65000,$B1185,F$5)=1,1,IF(INDEX([1]Pivot!$B$1:$AB$65000,$B1185,F$5)="",2,0)),0)</f>
        <v>0</v>
      </c>
      <c r="G1185" s="194">
        <f>IFERROR(IF(INDEX([1]Pivot!$AD$1:$BE$65000,$B1185,G$5)=1,1,IF(INDEX([1]Pivot!$B$1:$AB$65000,$B1185,G$5)="",2,0)),0)</f>
        <v>0</v>
      </c>
      <c r="H1185" s="194">
        <f>IFERROR(IF(INDEX([1]Pivot!$AD$1:$BE$65000,$B1185,H$5)=1,1,IF(INDEX([1]Pivot!$B$1:$AB$65000,$B1185,H$5)="",2,0)),0)</f>
        <v>0</v>
      </c>
      <c r="I1185" s="194">
        <f>IFERROR(IF(INDEX([1]Pivot!$AD$1:$BE$65000,$B1185,I$5)=1,1,IF(INDEX([1]Pivot!$B$1:$AB$65000,$B1185,I$5)="",2,0)),0)</f>
        <v>0</v>
      </c>
      <c r="J1185" s="194">
        <f>IFERROR(IF(INDEX([1]Pivot!$AD$1:$BE$65000,$B1185,J$5)=1,1,IF(INDEX([1]Pivot!$B$1:$AB$65000,$B1185,J$5)="",2,0)),0)</f>
        <v>0</v>
      </c>
      <c r="K1185" s="194">
        <f>IFERROR(IF(INDEX([1]Pivot!$AD$1:$BE$65000,$B1185,K$5)=1,1,IF(INDEX([1]Pivot!$B$1:$AB$65000,$B1185,K$5)="",2,0)),0)</f>
        <v>0</v>
      </c>
      <c r="L1185" s="194">
        <f>IFERROR(IF(INDEX([1]Pivot!$AD$1:$BE$65000,$B1185,L$5)=1,1,IF(INDEX([1]Pivot!$B$1:$AB$65000,$B1185,L$5)="",2,0)),0)</f>
        <v>0</v>
      </c>
      <c r="M1185" s="194">
        <f>IFERROR(IF(INDEX([1]Pivot!$AD$1:$BE$65000,$B1185,M$5)=1,1,IF(INDEX([1]Pivot!$B$1:$AB$65000,$B1185,M$5)="",2,0)),0)</f>
        <v>0</v>
      </c>
      <c r="N1185" s="194">
        <f>IFERROR(IF(INDEX([1]Pivot!$AD$1:$BE$65000,$B1185,N$5)=1,1,IF(INDEX([1]Pivot!$B$1:$AB$65000,$B1185,N$5)="",2,0)),0)</f>
        <v>0</v>
      </c>
      <c r="O1185" s="194">
        <f>IFERROR(IF(INDEX([1]Pivot!$AD$1:$BE$65000,$B1185,O$5)=1,1,IF(INDEX([1]Pivot!$B$1:$AB$65000,$B1185,O$5)="",2,0)),0)</f>
        <v>0</v>
      </c>
      <c r="P1185" s="194">
        <f>IFERROR(IF(INDEX([1]Pivot!$AD$1:$BE$65000,$B1185,P$5)=1,1,IF(INDEX([1]Pivot!$B$1:$AB$65000,$B1185,P$5)="",2,0)),0)</f>
        <v>0</v>
      </c>
      <c r="Q1185" s="194">
        <f>IFERROR(IF(INDEX([1]Pivot!$AD$1:$BE$65000,$B1185,Q$5)=1,1,IF(INDEX([1]Pivot!$B$1:$AB$65000,$B1185,Q$5)="",2,0)),0)</f>
        <v>0</v>
      </c>
      <c r="R1185" s="312"/>
      <c r="S1185" s="194">
        <f>IFERROR(IF(INDEX([1]Pivot!$AD$1:$BE$65000,$B1185,S$5)=1,1,IF(INDEX([1]Pivot!$B$1:$AB$65000,$B1185,S$5)="",2,0)),0)</f>
        <v>0</v>
      </c>
      <c r="T1185" s="194">
        <f>IFERROR(IF(INDEX([1]Pivot!$AD$1:$BE$65000,$B1185,T$5)=1,1,IF(INDEX([1]Pivot!$B$1:$AB$65000,$B1185,T$5)="",2,0)),0)</f>
        <v>0</v>
      </c>
      <c r="U1185" s="194">
        <f>IFERROR(IF(INDEX([1]Pivot!$AD$1:$BE$65000,$B1185,U$5)=1,1,IF(INDEX([1]Pivot!$B$1:$AB$65000,$B1185,U$5)="",2,0)),0)</f>
        <v>0</v>
      </c>
      <c r="V1185" s="194">
        <f>IFERROR(IF(INDEX([1]Pivot!$AD$1:$BE$65000,$B1185,V$5)=1,1,IF(INDEX([1]Pivot!$B$1:$AB$65000,$B1185,V$5)="",2,0)),0)</f>
        <v>0</v>
      </c>
      <c r="W1185" s="194">
        <f>IFERROR(IF(INDEX([1]Pivot!$AD$1:$BE$65000,$B1185,W$5)=1,1,IF(INDEX([1]Pivot!$B$1:$AB$65000,$B1185,W$5)="",2,0)),0)</f>
        <v>0</v>
      </c>
      <c r="X1185" s="194">
        <f>IFERROR(IF(INDEX([1]Pivot!$AD$1:$BE$65000,$B1185,X$5)=1,1,IF(INDEX([1]Pivot!$B$1:$AB$65000,$B1185,X$5)="",2,0)),0)</f>
        <v>0</v>
      </c>
      <c r="Y1185" s="194">
        <f>IFERROR(IF(INDEX([1]Pivot!$AD$1:$BE$65000,$B1185,Y$5)=1,1,IF(INDEX([1]Pivot!$B$1:$AB$65000,$B1185,Y$5)="",2,0)),0)</f>
        <v>0</v>
      </c>
      <c r="Z1185" s="194">
        <f>IFERROR(IF(INDEX([1]Pivot!$AD$1:$BE$65000,$B1185,Z$5)=1,1,IF(INDEX([1]Pivot!$B$1:$AB$65000,$B1185,Z$5)="",2,0)),0)</f>
        <v>0</v>
      </c>
      <c r="AA1185" s="194">
        <f>IFERROR(IF(INDEX([1]Pivot!$AD$1:$BE$65000,$B1185,AA$5)=1,1,IF(INDEX([1]Pivot!$B$1:$AB$65000,$B1185,AA$5)="",2,0)),0)</f>
        <v>0</v>
      </c>
      <c r="AB1185" s="194">
        <f>IFERROR(IF(INDEX([1]Pivot!$AD$1:$BE$65000,$B1185,AB$5)=1,1,IF(INDEX([1]Pivot!$B$1:$AB$65000,$B1185,AB$5)="",2,0)),0)</f>
        <v>0</v>
      </c>
      <c r="AC1185" s="194">
        <f>IFERROR(IF(INDEX([1]Pivot!$AD$1:$BE$65000,$B1185,AC$5)=1,1,IF(INDEX([1]Pivot!$B$1:$AB$65000,$B1185,AC$5)="",2,0)),0)</f>
        <v>0</v>
      </c>
      <c r="AD1185" s="313">
        <f>IFERROR(IF(INDEX([1]Pivot!$BF$1:$CG$65000,$B1185,AD$5)=1,1,IF(INDEX([1]Pivot!$B$1:$AB$65000,$B1185,AD$5)="",2,0)),0)</f>
        <v>0</v>
      </c>
      <c r="AE1185" s="313">
        <f>IFERROR(IF(INDEX([1]Pivot!$BF$1:$CG$65000,$B1185,AE$5)=1,1,IF(INDEX([1]Pivot!$B$1:$AB$65000,$B1185,AE$5)="",2,0)),0)</f>
        <v>0</v>
      </c>
      <c r="AF1185" s="313">
        <f>IFERROR(IF(INDEX([1]Pivot!$BF$1:$CG$65000,$B1185,AF$5)=1,1,IF(INDEX([1]Pivot!$B$1:$AB$65000,$B1185,AF$5)="",2,0)),0)</f>
        <v>0</v>
      </c>
      <c r="AG1185" s="313">
        <f>IFERROR(IF(INDEX([1]Pivot!$BF$1:$CG$65000,$B1185,AG$5)=1,1,IF(INDEX([1]Pivot!$B$1:$AB$65000,$B1185,AG$5)="",2,0)),0)</f>
        <v>0</v>
      </c>
      <c r="AH1185" s="313">
        <f>IFERROR(IF(INDEX([1]Pivot!$BF$1:$CG$65000,$B1185,AH$5)=1,1,IF(INDEX([1]Pivot!$B$1:$AB$65000,$B1185,AH$5)="",2,0)),0)</f>
        <v>0</v>
      </c>
      <c r="AI1185" s="313">
        <f>IFERROR(IF(INDEX([1]Pivot!$BF$1:$CG$65000,$B1185,AI$5)=1,1,IF(INDEX([1]Pivot!$B$1:$AB$65000,$B1185,AI$5)="",2,0)),0)</f>
        <v>0</v>
      </c>
      <c r="AJ1185" s="313">
        <f>IFERROR(IF(INDEX([1]Pivot!$BF$1:$CG$65000,$B1185,AJ$5)=1,1,IF(INDEX([1]Pivot!$B$1:$AB$65000,$B1185,AJ$5)="",2,0)),0)</f>
        <v>0</v>
      </c>
      <c r="AK1185" s="313">
        <f>IFERROR(IF(INDEX([1]Pivot!$BF$1:$CG$65000,$B1185,AK$5)=1,1,IF(INDEX([1]Pivot!$B$1:$AB$65000,$B1185,AK$5)="",2,0)),0)</f>
        <v>0</v>
      </c>
      <c r="AL1185" s="313">
        <f>IFERROR(IF(INDEX([1]Pivot!$BF$1:$CG$65000,$B1185,AL$5)=1,1,IF(INDEX([1]Pivot!$B$1:$AB$65000,$B1185,AL$5)="",2,0)),0)</f>
        <v>0</v>
      </c>
      <c r="AM1185" s="313">
        <f>IFERROR(IF(INDEX([1]Pivot!$BF$1:$CG$65000,$B1185,AM$5)=1,1,IF(INDEX([1]Pivot!$B$1:$AB$65000,$B1185,AM$5)="",2,0)),0)</f>
        <v>0</v>
      </c>
      <c r="AN1185" s="313">
        <f>IFERROR(IF(INDEX([1]Pivot!$BF$1:$CG$65000,$B1185,AN$5)=1,1,IF(INDEX([1]Pivot!$B$1:$AB$65000,$B1185,AN$5)="",2,0)),0)</f>
        <v>0</v>
      </c>
      <c r="AO1185" s="313">
        <f>IFERROR(IF(INDEX([1]Pivot!$BF$1:$CG$65000,$B1185,AO$5)=1,1,IF(INDEX([1]Pivot!$B$1:$AB$65000,$B1185,AO$5)="",2,0)),0)</f>
        <v>0</v>
      </c>
      <c r="AP1185" s="313">
        <f>IFERROR(IF(INDEX([1]Pivot!$BF$1:$CG$65000,$B1185,AP$5)=1,1,IF(INDEX([1]Pivot!$B$1:$AB$65000,$B1185,AP$5)="",2,0)),0)</f>
        <v>0</v>
      </c>
      <c r="AQ1185" s="313">
        <f>IFERROR(IF(INDEX([1]Pivot!$BF$1:$CG$65000,$B1185,AQ$5)=1,1,IF(INDEX([1]Pivot!$B$1:$AB$65000,$B1185,AQ$5)="",2,0)),0)</f>
        <v>0</v>
      </c>
      <c r="AR1185" s="313">
        <f>IFERROR(IF(INDEX([1]Pivot!$BF$1:$CG$65000,$B1185,AR$5)=1,1,IF(INDEX([1]Pivot!$B$1:$AB$65000,$B1185,AR$5)="",2,0)),0)</f>
        <v>0</v>
      </c>
      <c r="AS1185" s="312"/>
      <c r="AT1185" s="313">
        <f>IFERROR(IF(INDEX([1]Pivot!$BF$1:$CG$65000,$B1185,AT$5)=1,1,IF(INDEX([1]Pivot!$B$1:$AB$65000,$B1185,AT$5)="",2,0)),0)</f>
        <v>0</v>
      </c>
      <c r="AU1185" s="313">
        <f>IFERROR(IF(INDEX([1]Pivot!$BF$1:$CG$65000,$B1185,AU$5)=1,1,IF(INDEX([1]Pivot!$B$1:$AB$65000,$B1185,AU$5)="",2,0)),0)</f>
        <v>0</v>
      </c>
      <c r="AV1185" s="313">
        <f>IFERROR(IF(INDEX([1]Pivot!$BF$1:$CG$65000,$B1185,AV$5)=1,1,IF(INDEX([1]Pivot!$B$1:$AB$65000,$B1185,AV$5)="",2,0)),0)</f>
        <v>0</v>
      </c>
      <c r="AW1185" s="313">
        <f>IFERROR(IF(INDEX([1]Pivot!$BF$1:$CG$65000,$B1185,AW$5)=1,1,IF(INDEX([1]Pivot!$B$1:$AB$65000,$B1185,AW$5)="",2,0)),0)</f>
        <v>0</v>
      </c>
      <c r="AX1185" s="313">
        <f>IFERROR(IF(INDEX([1]Pivot!$BF$1:$CG$65000,$B1185,AX$5)=1,1,IF(INDEX([1]Pivot!$B$1:$AB$65000,$B1185,AX$5)="",2,0)),0)</f>
        <v>0</v>
      </c>
      <c r="AY1185" s="313">
        <f>IFERROR(IF(INDEX([1]Pivot!$BF$1:$CG$65000,$B1185,AY$5)=1,1,IF(INDEX([1]Pivot!$B$1:$AB$65000,$B1185,AY$5)="",2,0)),0)</f>
        <v>0</v>
      </c>
      <c r="AZ1185" s="313">
        <f>IFERROR(IF(INDEX([1]Pivot!$BF$1:$CG$65000,$B1185,AZ$5)=1,1,IF(INDEX([1]Pivot!$B$1:$AB$65000,$B1185,AZ$5)="",2,0)),0)</f>
        <v>0</v>
      </c>
      <c r="BA1185" s="313">
        <f>IFERROR(IF(INDEX([1]Pivot!$BF$1:$CG$65000,$B1185,BA$5)=1,1,IF(INDEX([1]Pivot!$B$1:$AB$65000,$B1185,BA$5)="",2,0)),0)</f>
        <v>0</v>
      </c>
      <c r="BB1185" s="313">
        <f>IFERROR(IF(INDEX([1]Pivot!$BF$1:$CG$65000,$B1185,BB$5)=1,1,IF(INDEX([1]Pivot!$B$1:$AB$65000,$B1185,BB$5)="",2,0)),0)</f>
        <v>0</v>
      </c>
      <c r="BC1185" s="313">
        <f>IFERROR(IF(INDEX([1]Pivot!$BF$1:$CG$65000,$B1185,BC$5)=1,1,IF(INDEX([1]Pivot!$B$1:$AB$65000,$B1185,BC$5)="",2,0)),0)</f>
        <v>0</v>
      </c>
      <c r="BD1185" s="313">
        <f>IFERROR(IF(INDEX([1]Pivot!$BF$1:$CG$65000,$B1185,BD$5)=1,1,IF(INDEX([1]Pivot!$B$1:$AB$65000,$B1185,BD$5)="",2,0)),0)</f>
        <v>0</v>
      </c>
    </row>
    <row r="1186" spans="1:56" x14ac:dyDescent="0.25">
      <c r="A1186" s="288">
        <f>'[2]Raw Milk Prices'!A1186</f>
        <v>0</v>
      </c>
      <c r="B1186" s="296" t="e">
        <f>MATCH(DATE(LEFT('[2]Raw Milk Prices'!$A1186,4),RIGHT('[2]Raw Milk Prices'!$A1186,2),1),[1]Pivot!$A$1:$A$65000,0)</f>
        <v>#VALUE!</v>
      </c>
      <c r="C1186" s="194">
        <f>IFERROR(IF(INDEX([1]Pivot!$AD$1:$BE$65000,$B1186,C$5)=1,1,IF(INDEX([1]Pivot!$B$1:$AB$65000,$B1186,C$5)="",2,0)),0)</f>
        <v>0</v>
      </c>
      <c r="D1186" s="194">
        <f>IFERROR(IF(INDEX([1]Pivot!$AD$1:$BE$65000,$B1186,D$5)=1,1,IF(INDEX([1]Pivot!$B$1:$AB$65000,$B1186,D$5)="",2,0)),0)</f>
        <v>0</v>
      </c>
      <c r="E1186" s="194">
        <f>IFERROR(IF(INDEX([1]Pivot!$AD$1:$BE$65000,$B1186,E$5)=1,1,IF(INDEX([1]Pivot!$B$1:$AB$65000,$B1186,E$5)="",2,0)),0)</f>
        <v>0</v>
      </c>
      <c r="F1186" s="194">
        <f>IFERROR(IF(INDEX([1]Pivot!$AD$1:$BE$65000,$B1186,F$5)=1,1,IF(INDEX([1]Pivot!$B$1:$AB$65000,$B1186,F$5)="",2,0)),0)</f>
        <v>0</v>
      </c>
      <c r="G1186" s="194">
        <f>IFERROR(IF(INDEX([1]Pivot!$AD$1:$BE$65000,$B1186,G$5)=1,1,IF(INDEX([1]Pivot!$B$1:$AB$65000,$B1186,G$5)="",2,0)),0)</f>
        <v>0</v>
      </c>
      <c r="H1186" s="194">
        <f>IFERROR(IF(INDEX([1]Pivot!$AD$1:$BE$65000,$B1186,H$5)=1,1,IF(INDEX([1]Pivot!$B$1:$AB$65000,$B1186,H$5)="",2,0)),0)</f>
        <v>0</v>
      </c>
      <c r="I1186" s="194">
        <f>IFERROR(IF(INDEX([1]Pivot!$AD$1:$BE$65000,$B1186,I$5)=1,1,IF(INDEX([1]Pivot!$B$1:$AB$65000,$B1186,I$5)="",2,0)),0)</f>
        <v>0</v>
      </c>
      <c r="J1186" s="194">
        <f>IFERROR(IF(INDEX([1]Pivot!$AD$1:$BE$65000,$B1186,J$5)=1,1,IF(INDEX([1]Pivot!$B$1:$AB$65000,$B1186,J$5)="",2,0)),0)</f>
        <v>0</v>
      </c>
      <c r="K1186" s="194">
        <f>IFERROR(IF(INDEX([1]Pivot!$AD$1:$BE$65000,$B1186,K$5)=1,1,IF(INDEX([1]Pivot!$B$1:$AB$65000,$B1186,K$5)="",2,0)),0)</f>
        <v>0</v>
      </c>
      <c r="L1186" s="194">
        <f>IFERROR(IF(INDEX([1]Pivot!$AD$1:$BE$65000,$B1186,L$5)=1,1,IF(INDEX([1]Pivot!$B$1:$AB$65000,$B1186,L$5)="",2,0)),0)</f>
        <v>0</v>
      </c>
      <c r="M1186" s="194">
        <f>IFERROR(IF(INDEX([1]Pivot!$AD$1:$BE$65000,$B1186,M$5)=1,1,IF(INDEX([1]Pivot!$B$1:$AB$65000,$B1186,M$5)="",2,0)),0)</f>
        <v>0</v>
      </c>
      <c r="N1186" s="194">
        <f>IFERROR(IF(INDEX([1]Pivot!$AD$1:$BE$65000,$B1186,N$5)=1,1,IF(INDEX([1]Pivot!$B$1:$AB$65000,$B1186,N$5)="",2,0)),0)</f>
        <v>0</v>
      </c>
      <c r="O1186" s="194">
        <f>IFERROR(IF(INDEX([1]Pivot!$AD$1:$BE$65000,$B1186,O$5)=1,1,IF(INDEX([1]Pivot!$B$1:$AB$65000,$B1186,O$5)="",2,0)),0)</f>
        <v>0</v>
      </c>
      <c r="P1186" s="194">
        <f>IFERROR(IF(INDEX([1]Pivot!$AD$1:$BE$65000,$B1186,P$5)=1,1,IF(INDEX([1]Pivot!$B$1:$AB$65000,$B1186,P$5)="",2,0)),0)</f>
        <v>0</v>
      </c>
      <c r="Q1186" s="194">
        <f>IFERROR(IF(INDEX([1]Pivot!$AD$1:$BE$65000,$B1186,Q$5)=1,1,IF(INDEX([1]Pivot!$B$1:$AB$65000,$B1186,Q$5)="",2,0)),0)</f>
        <v>0</v>
      </c>
      <c r="R1186" s="312"/>
      <c r="S1186" s="194">
        <f>IFERROR(IF(INDEX([1]Pivot!$AD$1:$BE$65000,$B1186,S$5)=1,1,IF(INDEX([1]Pivot!$B$1:$AB$65000,$B1186,S$5)="",2,0)),0)</f>
        <v>0</v>
      </c>
      <c r="T1186" s="194">
        <f>IFERROR(IF(INDEX([1]Pivot!$AD$1:$BE$65000,$B1186,T$5)=1,1,IF(INDEX([1]Pivot!$B$1:$AB$65000,$B1186,T$5)="",2,0)),0)</f>
        <v>0</v>
      </c>
      <c r="U1186" s="194">
        <f>IFERROR(IF(INDEX([1]Pivot!$AD$1:$BE$65000,$B1186,U$5)=1,1,IF(INDEX([1]Pivot!$B$1:$AB$65000,$B1186,U$5)="",2,0)),0)</f>
        <v>0</v>
      </c>
      <c r="V1186" s="194">
        <f>IFERROR(IF(INDEX([1]Pivot!$AD$1:$BE$65000,$B1186,V$5)=1,1,IF(INDEX([1]Pivot!$B$1:$AB$65000,$B1186,V$5)="",2,0)),0)</f>
        <v>0</v>
      </c>
      <c r="W1186" s="194">
        <f>IFERROR(IF(INDEX([1]Pivot!$AD$1:$BE$65000,$B1186,W$5)=1,1,IF(INDEX([1]Pivot!$B$1:$AB$65000,$B1186,W$5)="",2,0)),0)</f>
        <v>0</v>
      </c>
      <c r="X1186" s="194">
        <f>IFERROR(IF(INDEX([1]Pivot!$AD$1:$BE$65000,$B1186,X$5)=1,1,IF(INDEX([1]Pivot!$B$1:$AB$65000,$B1186,X$5)="",2,0)),0)</f>
        <v>0</v>
      </c>
      <c r="Y1186" s="194">
        <f>IFERROR(IF(INDEX([1]Pivot!$AD$1:$BE$65000,$B1186,Y$5)=1,1,IF(INDEX([1]Pivot!$B$1:$AB$65000,$B1186,Y$5)="",2,0)),0)</f>
        <v>0</v>
      </c>
      <c r="Z1186" s="194">
        <f>IFERROR(IF(INDEX([1]Pivot!$AD$1:$BE$65000,$B1186,Z$5)=1,1,IF(INDEX([1]Pivot!$B$1:$AB$65000,$B1186,Z$5)="",2,0)),0)</f>
        <v>0</v>
      </c>
      <c r="AA1186" s="194">
        <f>IFERROR(IF(INDEX([1]Pivot!$AD$1:$BE$65000,$B1186,AA$5)=1,1,IF(INDEX([1]Pivot!$B$1:$AB$65000,$B1186,AA$5)="",2,0)),0)</f>
        <v>0</v>
      </c>
      <c r="AB1186" s="194">
        <f>IFERROR(IF(INDEX([1]Pivot!$AD$1:$BE$65000,$B1186,AB$5)=1,1,IF(INDEX([1]Pivot!$B$1:$AB$65000,$B1186,AB$5)="",2,0)),0)</f>
        <v>0</v>
      </c>
      <c r="AC1186" s="194">
        <f>IFERROR(IF(INDEX([1]Pivot!$AD$1:$BE$65000,$B1186,AC$5)=1,1,IF(INDEX([1]Pivot!$B$1:$AB$65000,$B1186,AC$5)="",2,0)),0)</f>
        <v>0</v>
      </c>
      <c r="AD1186" s="313">
        <f>IFERROR(IF(INDEX([1]Pivot!$BF$1:$CG$65000,$B1186,AD$5)=1,1,IF(INDEX([1]Pivot!$B$1:$AB$65000,$B1186,AD$5)="",2,0)),0)</f>
        <v>0</v>
      </c>
      <c r="AE1186" s="313">
        <f>IFERROR(IF(INDEX([1]Pivot!$BF$1:$CG$65000,$B1186,AE$5)=1,1,IF(INDEX([1]Pivot!$B$1:$AB$65000,$B1186,AE$5)="",2,0)),0)</f>
        <v>0</v>
      </c>
      <c r="AF1186" s="313">
        <f>IFERROR(IF(INDEX([1]Pivot!$BF$1:$CG$65000,$B1186,AF$5)=1,1,IF(INDEX([1]Pivot!$B$1:$AB$65000,$B1186,AF$5)="",2,0)),0)</f>
        <v>0</v>
      </c>
      <c r="AG1186" s="313">
        <f>IFERROR(IF(INDEX([1]Pivot!$BF$1:$CG$65000,$B1186,AG$5)=1,1,IF(INDEX([1]Pivot!$B$1:$AB$65000,$B1186,AG$5)="",2,0)),0)</f>
        <v>0</v>
      </c>
      <c r="AH1186" s="313">
        <f>IFERROR(IF(INDEX([1]Pivot!$BF$1:$CG$65000,$B1186,AH$5)=1,1,IF(INDEX([1]Pivot!$B$1:$AB$65000,$B1186,AH$5)="",2,0)),0)</f>
        <v>0</v>
      </c>
      <c r="AI1186" s="313">
        <f>IFERROR(IF(INDEX([1]Pivot!$BF$1:$CG$65000,$B1186,AI$5)=1,1,IF(INDEX([1]Pivot!$B$1:$AB$65000,$B1186,AI$5)="",2,0)),0)</f>
        <v>0</v>
      </c>
      <c r="AJ1186" s="313">
        <f>IFERROR(IF(INDEX([1]Pivot!$BF$1:$CG$65000,$B1186,AJ$5)=1,1,IF(INDEX([1]Pivot!$B$1:$AB$65000,$B1186,AJ$5)="",2,0)),0)</f>
        <v>0</v>
      </c>
      <c r="AK1186" s="313">
        <f>IFERROR(IF(INDEX([1]Pivot!$BF$1:$CG$65000,$B1186,AK$5)=1,1,IF(INDEX([1]Pivot!$B$1:$AB$65000,$B1186,AK$5)="",2,0)),0)</f>
        <v>0</v>
      </c>
      <c r="AL1186" s="313">
        <f>IFERROR(IF(INDEX([1]Pivot!$BF$1:$CG$65000,$B1186,AL$5)=1,1,IF(INDEX([1]Pivot!$B$1:$AB$65000,$B1186,AL$5)="",2,0)),0)</f>
        <v>0</v>
      </c>
      <c r="AM1186" s="313">
        <f>IFERROR(IF(INDEX([1]Pivot!$BF$1:$CG$65000,$B1186,AM$5)=1,1,IF(INDEX([1]Pivot!$B$1:$AB$65000,$B1186,AM$5)="",2,0)),0)</f>
        <v>0</v>
      </c>
      <c r="AN1186" s="313">
        <f>IFERROR(IF(INDEX([1]Pivot!$BF$1:$CG$65000,$B1186,AN$5)=1,1,IF(INDEX([1]Pivot!$B$1:$AB$65000,$B1186,AN$5)="",2,0)),0)</f>
        <v>0</v>
      </c>
      <c r="AO1186" s="313">
        <f>IFERROR(IF(INDEX([1]Pivot!$BF$1:$CG$65000,$B1186,AO$5)=1,1,IF(INDEX([1]Pivot!$B$1:$AB$65000,$B1186,AO$5)="",2,0)),0)</f>
        <v>0</v>
      </c>
      <c r="AP1186" s="313">
        <f>IFERROR(IF(INDEX([1]Pivot!$BF$1:$CG$65000,$B1186,AP$5)=1,1,IF(INDEX([1]Pivot!$B$1:$AB$65000,$B1186,AP$5)="",2,0)),0)</f>
        <v>0</v>
      </c>
      <c r="AQ1186" s="313">
        <f>IFERROR(IF(INDEX([1]Pivot!$BF$1:$CG$65000,$B1186,AQ$5)=1,1,IF(INDEX([1]Pivot!$B$1:$AB$65000,$B1186,AQ$5)="",2,0)),0)</f>
        <v>0</v>
      </c>
      <c r="AR1186" s="313">
        <f>IFERROR(IF(INDEX([1]Pivot!$BF$1:$CG$65000,$B1186,AR$5)=1,1,IF(INDEX([1]Pivot!$B$1:$AB$65000,$B1186,AR$5)="",2,0)),0)</f>
        <v>0</v>
      </c>
      <c r="AS1186" s="312"/>
      <c r="AT1186" s="313">
        <f>IFERROR(IF(INDEX([1]Pivot!$BF$1:$CG$65000,$B1186,AT$5)=1,1,IF(INDEX([1]Pivot!$B$1:$AB$65000,$B1186,AT$5)="",2,0)),0)</f>
        <v>0</v>
      </c>
      <c r="AU1186" s="313">
        <f>IFERROR(IF(INDEX([1]Pivot!$BF$1:$CG$65000,$B1186,AU$5)=1,1,IF(INDEX([1]Pivot!$B$1:$AB$65000,$B1186,AU$5)="",2,0)),0)</f>
        <v>0</v>
      </c>
      <c r="AV1186" s="313">
        <f>IFERROR(IF(INDEX([1]Pivot!$BF$1:$CG$65000,$B1186,AV$5)=1,1,IF(INDEX([1]Pivot!$B$1:$AB$65000,$B1186,AV$5)="",2,0)),0)</f>
        <v>0</v>
      </c>
      <c r="AW1186" s="313">
        <f>IFERROR(IF(INDEX([1]Pivot!$BF$1:$CG$65000,$B1186,AW$5)=1,1,IF(INDEX([1]Pivot!$B$1:$AB$65000,$B1186,AW$5)="",2,0)),0)</f>
        <v>0</v>
      </c>
      <c r="AX1186" s="313">
        <f>IFERROR(IF(INDEX([1]Pivot!$BF$1:$CG$65000,$B1186,AX$5)=1,1,IF(INDEX([1]Pivot!$B$1:$AB$65000,$B1186,AX$5)="",2,0)),0)</f>
        <v>0</v>
      </c>
      <c r="AY1186" s="313">
        <f>IFERROR(IF(INDEX([1]Pivot!$BF$1:$CG$65000,$B1186,AY$5)=1,1,IF(INDEX([1]Pivot!$B$1:$AB$65000,$B1186,AY$5)="",2,0)),0)</f>
        <v>0</v>
      </c>
      <c r="AZ1186" s="313">
        <f>IFERROR(IF(INDEX([1]Pivot!$BF$1:$CG$65000,$B1186,AZ$5)=1,1,IF(INDEX([1]Pivot!$B$1:$AB$65000,$B1186,AZ$5)="",2,0)),0)</f>
        <v>0</v>
      </c>
      <c r="BA1186" s="313">
        <f>IFERROR(IF(INDEX([1]Pivot!$BF$1:$CG$65000,$B1186,BA$5)=1,1,IF(INDEX([1]Pivot!$B$1:$AB$65000,$B1186,BA$5)="",2,0)),0)</f>
        <v>0</v>
      </c>
      <c r="BB1186" s="313">
        <f>IFERROR(IF(INDEX([1]Pivot!$BF$1:$CG$65000,$B1186,BB$5)=1,1,IF(INDEX([1]Pivot!$B$1:$AB$65000,$B1186,BB$5)="",2,0)),0)</f>
        <v>0</v>
      </c>
      <c r="BC1186" s="313">
        <f>IFERROR(IF(INDEX([1]Pivot!$BF$1:$CG$65000,$B1186,BC$5)=1,1,IF(INDEX([1]Pivot!$B$1:$AB$65000,$B1186,BC$5)="",2,0)),0)</f>
        <v>0</v>
      </c>
      <c r="BD1186" s="313">
        <f>IFERROR(IF(INDEX([1]Pivot!$BF$1:$CG$65000,$B1186,BD$5)=1,1,IF(INDEX([1]Pivot!$B$1:$AB$65000,$B1186,BD$5)="",2,0)),0)</f>
        <v>0</v>
      </c>
    </row>
    <row r="1187" spans="1:56" x14ac:dyDescent="0.25">
      <c r="A1187" s="288">
        <f>'[2]Raw Milk Prices'!A1187</f>
        <v>0</v>
      </c>
      <c r="B1187" s="296" t="e">
        <f>MATCH(DATE(LEFT('[2]Raw Milk Prices'!$A1187,4),RIGHT('[2]Raw Milk Prices'!$A1187,2),1),[1]Pivot!$A$1:$A$65000,0)</f>
        <v>#VALUE!</v>
      </c>
      <c r="C1187" s="194">
        <f>IFERROR(IF(INDEX([1]Pivot!$AD$1:$BE$65000,$B1187,C$5)=1,1,IF(INDEX([1]Pivot!$B$1:$AB$65000,$B1187,C$5)="",2,0)),0)</f>
        <v>0</v>
      </c>
      <c r="D1187" s="194">
        <f>IFERROR(IF(INDEX([1]Pivot!$AD$1:$BE$65000,$B1187,D$5)=1,1,IF(INDEX([1]Pivot!$B$1:$AB$65000,$B1187,D$5)="",2,0)),0)</f>
        <v>0</v>
      </c>
      <c r="E1187" s="194">
        <f>IFERROR(IF(INDEX([1]Pivot!$AD$1:$BE$65000,$B1187,E$5)=1,1,IF(INDEX([1]Pivot!$B$1:$AB$65000,$B1187,E$5)="",2,0)),0)</f>
        <v>0</v>
      </c>
      <c r="F1187" s="194">
        <f>IFERROR(IF(INDEX([1]Pivot!$AD$1:$BE$65000,$B1187,F$5)=1,1,IF(INDEX([1]Pivot!$B$1:$AB$65000,$B1187,F$5)="",2,0)),0)</f>
        <v>0</v>
      </c>
      <c r="G1187" s="194">
        <f>IFERROR(IF(INDEX([1]Pivot!$AD$1:$BE$65000,$B1187,G$5)=1,1,IF(INDEX([1]Pivot!$B$1:$AB$65000,$B1187,G$5)="",2,0)),0)</f>
        <v>0</v>
      </c>
      <c r="H1187" s="194">
        <f>IFERROR(IF(INDEX([1]Pivot!$AD$1:$BE$65000,$B1187,H$5)=1,1,IF(INDEX([1]Pivot!$B$1:$AB$65000,$B1187,H$5)="",2,0)),0)</f>
        <v>0</v>
      </c>
      <c r="I1187" s="194">
        <f>IFERROR(IF(INDEX([1]Pivot!$AD$1:$BE$65000,$B1187,I$5)=1,1,IF(INDEX([1]Pivot!$B$1:$AB$65000,$B1187,I$5)="",2,0)),0)</f>
        <v>0</v>
      </c>
      <c r="J1187" s="194">
        <f>IFERROR(IF(INDEX([1]Pivot!$AD$1:$BE$65000,$B1187,J$5)=1,1,IF(INDEX([1]Pivot!$B$1:$AB$65000,$B1187,J$5)="",2,0)),0)</f>
        <v>0</v>
      </c>
      <c r="K1187" s="194">
        <f>IFERROR(IF(INDEX([1]Pivot!$AD$1:$BE$65000,$B1187,K$5)=1,1,IF(INDEX([1]Pivot!$B$1:$AB$65000,$B1187,K$5)="",2,0)),0)</f>
        <v>0</v>
      </c>
      <c r="L1187" s="194">
        <f>IFERROR(IF(INDEX([1]Pivot!$AD$1:$BE$65000,$B1187,L$5)=1,1,IF(INDEX([1]Pivot!$B$1:$AB$65000,$B1187,L$5)="",2,0)),0)</f>
        <v>0</v>
      </c>
      <c r="M1187" s="194">
        <f>IFERROR(IF(INDEX([1]Pivot!$AD$1:$BE$65000,$B1187,M$5)=1,1,IF(INDEX([1]Pivot!$B$1:$AB$65000,$B1187,M$5)="",2,0)),0)</f>
        <v>0</v>
      </c>
      <c r="N1187" s="194">
        <f>IFERROR(IF(INDEX([1]Pivot!$AD$1:$BE$65000,$B1187,N$5)=1,1,IF(INDEX([1]Pivot!$B$1:$AB$65000,$B1187,N$5)="",2,0)),0)</f>
        <v>0</v>
      </c>
      <c r="O1187" s="194">
        <f>IFERROR(IF(INDEX([1]Pivot!$AD$1:$BE$65000,$B1187,O$5)=1,1,IF(INDEX([1]Pivot!$B$1:$AB$65000,$B1187,O$5)="",2,0)),0)</f>
        <v>0</v>
      </c>
      <c r="P1187" s="194">
        <f>IFERROR(IF(INDEX([1]Pivot!$AD$1:$BE$65000,$B1187,P$5)=1,1,IF(INDEX([1]Pivot!$B$1:$AB$65000,$B1187,P$5)="",2,0)),0)</f>
        <v>0</v>
      </c>
      <c r="Q1187" s="194">
        <f>IFERROR(IF(INDEX([1]Pivot!$AD$1:$BE$65000,$B1187,Q$5)=1,1,IF(INDEX([1]Pivot!$B$1:$AB$65000,$B1187,Q$5)="",2,0)),0)</f>
        <v>0</v>
      </c>
      <c r="R1187" s="312"/>
      <c r="S1187" s="194">
        <f>IFERROR(IF(INDEX([1]Pivot!$AD$1:$BE$65000,$B1187,S$5)=1,1,IF(INDEX([1]Pivot!$B$1:$AB$65000,$B1187,S$5)="",2,0)),0)</f>
        <v>0</v>
      </c>
      <c r="T1187" s="194">
        <f>IFERROR(IF(INDEX([1]Pivot!$AD$1:$BE$65000,$B1187,T$5)=1,1,IF(INDEX([1]Pivot!$B$1:$AB$65000,$B1187,T$5)="",2,0)),0)</f>
        <v>0</v>
      </c>
      <c r="U1187" s="194">
        <f>IFERROR(IF(INDEX([1]Pivot!$AD$1:$BE$65000,$B1187,U$5)=1,1,IF(INDEX([1]Pivot!$B$1:$AB$65000,$B1187,U$5)="",2,0)),0)</f>
        <v>0</v>
      </c>
      <c r="V1187" s="194">
        <f>IFERROR(IF(INDEX([1]Pivot!$AD$1:$BE$65000,$B1187,V$5)=1,1,IF(INDEX([1]Pivot!$B$1:$AB$65000,$B1187,V$5)="",2,0)),0)</f>
        <v>0</v>
      </c>
      <c r="W1187" s="194">
        <f>IFERROR(IF(INDEX([1]Pivot!$AD$1:$BE$65000,$B1187,W$5)=1,1,IF(INDEX([1]Pivot!$B$1:$AB$65000,$B1187,W$5)="",2,0)),0)</f>
        <v>0</v>
      </c>
      <c r="X1187" s="194">
        <f>IFERROR(IF(INDEX([1]Pivot!$AD$1:$BE$65000,$B1187,X$5)=1,1,IF(INDEX([1]Pivot!$B$1:$AB$65000,$B1187,X$5)="",2,0)),0)</f>
        <v>0</v>
      </c>
      <c r="Y1187" s="194">
        <f>IFERROR(IF(INDEX([1]Pivot!$AD$1:$BE$65000,$B1187,Y$5)=1,1,IF(INDEX([1]Pivot!$B$1:$AB$65000,$B1187,Y$5)="",2,0)),0)</f>
        <v>0</v>
      </c>
      <c r="Z1187" s="194">
        <f>IFERROR(IF(INDEX([1]Pivot!$AD$1:$BE$65000,$B1187,Z$5)=1,1,IF(INDEX([1]Pivot!$B$1:$AB$65000,$B1187,Z$5)="",2,0)),0)</f>
        <v>0</v>
      </c>
      <c r="AA1187" s="194">
        <f>IFERROR(IF(INDEX([1]Pivot!$AD$1:$BE$65000,$B1187,AA$5)=1,1,IF(INDEX([1]Pivot!$B$1:$AB$65000,$B1187,AA$5)="",2,0)),0)</f>
        <v>0</v>
      </c>
      <c r="AB1187" s="194">
        <f>IFERROR(IF(INDEX([1]Pivot!$AD$1:$BE$65000,$B1187,AB$5)=1,1,IF(INDEX([1]Pivot!$B$1:$AB$65000,$B1187,AB$5)="",2,0)),0)</f>
        <v>0</v>
      </c>
      <c r="AC1187" s="194">
        <f>IFERROR(IF(INDEX([1]Pivot!$AD$1:$BE$65000,$B1187,AC$5)=1,1,IF(INDEX([1]Pivot!$B$1:$AB$65000,$B1187,AC$5)="",2,0)),0)</f>
        <v>0</v>
      </c>
      <c r="AD1187" s="313">
        <f>IFERROR(IF(INDEX([1]Pivot!$BF$1:$CG$65000,$B1187,AD$5)=1,1,IF(INDEX([1]Pivot!$B$1:$AB$65000,$B1187,AD$5)="",2,0)),0)</f>
        <v>0</v>
      </c>
      <c r="AE1187" s="313">
        <f>IFERROR(IF(INDEX([1]Pivot!$BF$1:$CG$65000,$B1187,AE$5)=1,1,IF(INDEX([1]Pivot!$B$1:$AB$65000,$B1187,AE$5)="",2,0)),0)</f>
        <v>0</v>
      </c>
      <c r="AF1187" s="313">
        <f>IFERROR(IF(INDEX([1]Pivot!$BF$1:$CG$65000,$B1187,AF$5)=1,1,IF(INDEX([1]Pivot!$B$1:$AB$65000,$B1187,AF$5)="",2,0)),0)</f>
        <v>0</v>
      </c>
      <c r="AG1187" s="313">
        <f>IFERROR(IF(INDEX([1]Pivot!$BF$1:$CG$65000,$B1187,AG$5)=1,1,IF(INDEX([1]Pivot!$B$1:$AB$65000,$B1187,AG$5)="",2,0)),0)</f>
        <v>0</v>
      </c>
      <c r="AH1187" s="313">
        <f>IFERROR(IF(INDEX([1]Pivot!$BF$1:$CG$65000,$B1187,AH$5)=1,1,IF(INDEX([1]Pivot!$B$1:$AB$65000,$B1187,AH$5)="",2,0)),0)</f>
        <v>0</v>
      </c>
      <c r="AI1187" s="313">
        <f>IFERROR(IF(INDEX([1]Pivot!$BF$1:$CG$65000,$B1187,AI$5)=1,1,IF(INDEX([1]Pivot!$B$1:$AB$65000,$B1187,AI$5)="",2,0)),0)</f>
        <v>0</v>
      </c>
      <c r="AJ1187" s="313">
        <f>IFERROR(IF(INDEX([1]Pivot!$BF$1:$CG$65000,$B1187,AJ$5)=1,1,IF(INDEX([1]Pivot!$B$1:$AB$65000,$B1187,AJ$5)="",2,0)),0)</f>
        <v>0</v>
      </c>
      <c r="AK1187" s="313">
        <f>IFERROR(IF(INDEX([1]Pivot!$BF$1:$CG$65000,$B1187,AK$5)=1,1,IF(INDEX([1]Pivot!$B$1:$AB$65000,$B1187,AK$5)="",2,0)),0)</f>
        <v>0</v>
      </c>
      <c r="AL1187" s="313">
        <f>IFERROR(IF(INDEX([1]Pivot!$BF$1:$CG$65000,$B1187,AL$5)=1,1,IF(INDEX([1]Pivot!$B$1:$AB$65000,$B1187,AL$5)="",2,0)),0)</f>
        <v>0</v>
      </c>
      <c r="AM1187" s="313">
        <f>IFERROR(IF(INDEX([1]Pivot!$BF$1:$CG$65000,$B1187,AM$5)=1,1,IF(INDEX([1]Pivot!$B$1:$AB$65000,$B1187,AM$5)="",2,0)),0)</f>
        <v>0</v>
      </c>
      <c r="AN1187" s="313">
        <f>IFERROR(IF(INDEX([1]Pivot!$BF$1:$CG$65000,$B1187,AN$5)=1,1,IF(INDEX([1]Pivot!$B$1:$AB$65000,$B1187,AN$5)="",2,0)),0)</f>
        <v>0</v>
      </c>
      <c r="AO1187" s="313">
        <f>IFERROR(IF(INDEX([1]Pivot!$BF$1:$CG$65000,$B1187,AO$5)=1,1,IF(INDEX([1]Pivot!$B$1:$AB$65000,$B1187,AO$5)="",2,0)),0)</f>
        <v>0</v>
      </c>
      <c r="AP1187" s="313">
        <f>IFERROR(IF(INDEX([1]Pivot!$BF$1:$CG$65000,$B1187,AP$5)=1,1,IF(INDEX([1]Pivot!$B$1:$AB$65000,$B1187,AP$5)="",2,0)),0)</f>
        <v>0</v>
      </c>
      <c r="AQ1187" s="313">
        <f>IFERROR(IF(INDEX([1]Pivot!$BF$1:$CG$65000,$B1187,AQ$5)=1,1,IF(INDEX([1]Pivot!$B$1:$AB$65000,$B1187,AQ$5)="",2,0)),0)</f>
        <v>0</v>
      </c>
      <c r="AR1187" s="313">
        <f>IFERROR(IF(INDEX([1]Pivot!$BF$1:$CG$65000,$B1187,AR$5)=1,1,IF(INDEX([1]Pivot!$B$1:$AB$65000,$B1187,AR$5)="",2,0)),0)</f>
        <v>0</v>
      </c>
      <c r="AS1187" s="312"/>
      <c r="AT1187" s="313">
        <f>IFERROR(IF(INDEX([1]Pivot!$BF$1:$CG$65000,$B1187,AT$5)=1,1,IF(INDEX([1]Pivot!$B$1:$AB$65000,$B1187,AT$5)="",2,0)),0)</f>
        <v>0</v>
      </c>
      <c r="AU1187" s="313">
        <f>IFERROR(IF(INDEX([1]Pivot!$BF$1:$CG$65000,$B1187,AU$5)=1,1,IF(INDEX([1]Pivot!$B$1:$AB$65000,$B1187,AU$5)="",2,0)),0)</f>
        <v>0</v>
      </c>
      <c r="AV1187" s="313">
        <f>IFERROR(IF(INDEX([1]Pivot!$BF$1:$CG$65000,$B1187,AV$5)=1,1,IF(INDEX([1]Pivot!$B$1:$AB$65000,$B1187,AV$5)="",2,0)),0)</f>
        <v>0</v>
      </c>
      <c r="AW1187" s="313">
        <f>IFERROR(IF(INDEX([1]Pivot!$BF$1:$CG$65000,$B1187,AW$5)=1,1,IF(INDEX([1]Pivot!$B$1:$AB$65000,$B1187,AW$5)="",2,0)),0)</f>
        <v>0</v>
      </c>
      <c r="AX1187" s="313">
        <f>IFERROR(IF(INDEX([1]Pivot!$BF$1:$CG$65000,$B1187,AX$5)=1,1,IF(INDEX([1]Pivot!$B$1:$AB$65000,$B1187,AX$5)="",2,0)),0)</f>
        <v>0</v>
      </c>
      <c r="AY1187" s="313">
        <f>IFERROR(IF(INDEX([1]Pivot!$BF$1:$CG$65000,$B1187,AY$5)=1,1,IF(INDEX([1]Pivot!$B$1:$AB$65000,$B1187,AY$5)="",2,0)),0)</f>
        <v>0</v>
      </c>
      <c r="AZ1187" s="313">
        <f>IFERROR(IF(INDEX([1]Pivot!$BF$1:$CG$65000,$B1187,AZ$5)=1,1,IF(INDEX([1]Pivot!$B$1:$AB$65000,$B1187,AZ$5)="",2,0)),0)</f>
        <v>0</v>
      </c>
      <c r="BA1187" s="313">
        <f>IFERROR(IF(INDEX([1]Pivot!$BF$1:$CG$65000,$B1187,BA$5)=1,1,IF(INDEX([1]Pivot!$B$1:$AB$65000,$B1187,BA$5)="",2,0)),0)</f>
        <v>0</v>
      </c>
      <c r="BB1187" s="313">
        <f>IFERROR(IF(INDEX([1]Pivot!$BF$1:$CG$65000,$B1187,BB$5)=1,1,IF(INDEX([1]Pivot!$B$1:$AB$65000,$B1187,BB$5)="",2,0)),0)</f>
        <v>0</v>
      </c>
      <c r="BC1187" s="313">
        <f>IFERROR(IF(INDEX([1]Pivot!$BF$1:$CG$65000,$B1187,BC$5)=1,1,IF(INDEX([1]Pivot!$B$1:$AB$65000,$B1187,BC$5)="",2,0)),0)</f>
        <v>0</v>
      </c>
      <c r="BD1187" s="313">
        <f>IFERROR(IF(INDEX([1]Pivot!$BF$1:$CG$65000,$B1187,BD$5)=1,1,IF(INDEX([1]Pivot!$B$1:$AB$65000,$B1187,BD$5)="",2,0)),0)</f>
        <v>0</v>
      </c>
    </row>
    <row r="1188" spans="1:56" x14ac:dyDescent="0.25">
      <c r="A1188" s="288">
        <f>'[2]Raw Milk Prices'!A1188</f>
        <v>0</v>
      </c>
      <c r="B1188" s="296" t="e">
        <f>MATCH(DATE(LEFT('[2]Raw Milk Prices'!$A1188,4),RIGHT('[2]Raw Milk Prices'!$A1188,2),1),[1]Pivot!$A$1:$A$65000,0)</f>
        <v>#VALUE!</v>
      </c>
      <c r="C1188" s="194">
        <f>IFERROR(IF(INDEX([1]Pivot!$AD$1:$BE$65000,$B1188,C$5)=1,1,IF(INDEX([1]Pivot!$B$1:$AB$65000,$B1188,C$5)="",2,0)),0)</f>
        <v>0</v>
      </c>
      <c r="D1188" s="194">
        <f>IFERROR(IF(INDEX([1]Pivot!$AD$1:$BE$65000,$B1188,D$5)=1,1,IF(INDEX([1]Pivot!$B$1:$AB$65000,$B1188,D$5)="",2,0)),0)</f>
        <v>0</v>
      </c>
      <c r="E1188" s="194">
        <f>IFERROR(IF(INDEX([1]Pivot!$AD$1:$BE$65000,$B1188,E$5)=1,1,IF(INDEX([1]Pivot!$B$1:$AB$65000,$B1188,E$5)="",2,0)),0)</f>
        <v>0</v>
      </c>
      <c r="F1188" s="194">
        <f>IFERROR(IF(INDEX([1]Pivot!$AD$1:$BE$65000,$B1188,F$5)=1,1,IF(INDEX([1]Pivot!$B$1:$AB$65000,$B1188,F$5)="",2,0)),0)</f>
        <v>0</v>
      </c>
      <c r="G1188" s="194">
        <f>IFERROR(IF(INDEX([1]Pivot!$AD$1:$BE$65000,$B1188,G$5)=1,1,IF(INDEX([1]Pivot!$B$1:$AB$65000,$B1188,G$5)="",2,0)),0)</f>
        <v>0</v>
      </c>
      <c r="H1188" s="194">
        <f>IFERROR(IF(INDEX([1]Pivot!$AD$1:$BE$65000,$B1188,H$5)=1,1,IF(INDEX([1]Pivot!$B$1:$AB$65000,$B1188,H$5)="",2,0)),0)</f>
        <v>0</v>
      </c>
      <c r="I1188" s="194">
        <f>IFERROR(IF(INDEX([1]Pivot!$AD$1:$BE$65000,$B1188,I$5)=1,1,IF(INDEX([1]Pivot!$B$1:$AB$65000,$B1188,I$5)="",2,0)),0)</f>
        <v>0</v>
      </c>
      <c r="J1188" s="194">
        <f>IFERROR(IF(INDEX([1]Pivot!$AD$1:$BE$65000,$B1188,J$5)=1,1,IF(INDEX([1]Pivot!$B$1:$AB$65000,$B1188,J$5)="",2,0)),0)</f>
        <v>0</v>
      </c>
      <c r="K1188" s="194">
        <f>IFERROR(IF(INDEX([1]Pivot!$AD$1:$BE$65000,$B1188,K$5)=1,1,IF(INDEX([1]Pivot!$B$1:$AB$65000,$B1188,K$5)="",2,0)),0)</f>
        <v>0</v>
      </c>
      <c r="L1188" s="194">
        <f>IFERROR(IF(INDEX([1]Pivot!$AD$1:$BE$65000,$B1188,L$5)=1,1,IF(INDEX([1]Pivot!$B$1:$AB$65000,$B1188,L$5)="",2,0)),0)</f>
        <v>0</v>
      </c>
      <c r="M1188" s="194">
        <f>IFERROR(IF(INDEX([1]Pivot!$AD$1:$BE$65000,$B1188,M$5)=1,1,IF(INDEX([1]Pivot!$B$1:$AB$65000,$B1188,M$5)="",2,0)),0)</f>
        <v>0</v>
      </c>
      <c r="N1188" s="194">
        <f>IFERROR(IF(INDEX([1]Pivot!$AD$1:$BE$65000,$B1188,N$5)=1,1,IF(INDEX([1]Pivot!$B$1:$AB$65000,$B1188,N$5)="",2,0)),0)</f>
        <v>0</v>
      </c>
      <c r="O1188" s="194">
        <f>IFERROR(IF(INDEX([1]Pivot!$AD$1:$BE$65000,$B1188,O$5)=1,1,IF(INDEX([1]Pivot!$B$1:$AB$65000,$B1188,O$5)="",2,0)),0)</f>
        <v>0</v>
      </c>
      <c r="P1188" s="194">
        <f>IFERROR(IF(INDEX([1]Pivot!$AD$1:$BE$65000,$B1188,P$5)=1,1,IF(INDEX([1]Pivot!$B$1:$AB$65000,$B1188,P$5)="",2,0)),0)</f>
        <v>0</v>
      </c>
      <c r="Q1188" s="194">
        <f>IFERROR(IF(INDEX([1]Pivot!$AD$1:$BE$65000,$B1188,Q$5)=1,1,IF(INDEX([1]Pivot!$B$1:$AB$65000,$B1188,Q$5)="",2,0)),0)</f>
        <v>0</v>
      </c>
      <c r="R1188" s="312"/>
      <c r="S1188" s="194">
        <f>IFERROR(IF(INDEX([1]Pivot!$AD$1:$BE$65000,$B1188,S$5)=1,1,IF(INDEX([1]Pivot!$B$1:$AB$65000,$B1188,S$5)="",2,0)),0)</f>
        <v>0</v>
      </c>
      <c r="T1188" s="194">
        <f>IFERROR(IF(INDEX([1]Pivot!$AD$1:$BE$65000,$B1188,T$5)=1,1,IF(INDEX([1]Pivot!$B$1:$AB$65000,$B1188,T$5)="",2,0)),0)</f>
        <v>0</v>
      </c>
      <c r="U1188" s="194">
        <f>IFERROR(IF(INDEX([1]Pivot!$AD$1:$BE$65000,$B1188,U$5)=1,1,IF(INDEX([1]Pivot!$B$1:$AB$65000,$B1188,U$5)="",2,0)),0)</f>
        <v>0</v>
      </c>
      <c r="V1188" s="194">
        <f>IFERROR(IF(INDEX([1]Pivot!$AD$1:$BE$65000,$B1188,V$5)=1,1,IF(INDEX([1]Pivot!$B$1:$AB$65000,$B1188,V$5)="",2,0)),0)</f>
        <v>0</v>
      </c>
      <c r="W1188" s="194">
        <f>IFERROR(IF(INDEX([1]Pivot!$AD$1:$BE$65000,$B1188,W$5)=1,1,IF(INDEX([1]Pivot!$B$1:$AB$65000,$B1188,W$5)="",2,0)),0)</f>
        <v>0</v>
      </c>
      <c r="X1188" s="194">
        <f>IFERROR(IF(INDEX([1]Pivot!$AD$1:$BE$65000,$B1188,X$5)=1,1,IF(INDEX([1]Pivot!$B$1:$AB$65000,$B1188,X$5)="",2,0)),0)</f>
        <v>0</v>
      </c>
      <c r="Y1188" s="194">
        <f>IFERROR(IF(INDEX([1]Pivot!$AD$1:$BE$65000,$B1188,Y$5)=1,1,IF(INDEX([1]Pivot!$B$1:$AB$65000,$B1188,Y$5)="",2,0)),0)</f>
        <v>0</v>
      </c>
      <c r="Z1188" s="194">
        <f>IFERROR(IF(INDEX([1]Pivot!$AD$1:$BE$65000,$B1188,Z$5)=1,1,IF(INDEX([1]Pivot!$B$1:$AB$65000,$B1188,Z$5)="",2,0)),0)</f>
        <v>0</v>
      </c>
      <c r="AA1188" s="194">
        <f>IFERROR(IF(INDEX([1]Pivot!$AD$1:$BE$65000,$B1188,AA$5)=1,1,IF(INDEX([1]Pivot!$B$1:$AB$65000,$B1188,AA$5)="",2,0)),0)</f>
        <v>0</v>
      </c>
      <c r="AB1188" s="194">
        <f>IFERROR(IF(INDEX([1]Pivot!$AD$1:$BE$65000,$B1188,AB$5)=1,1,IF(INDEX([1]Pivot!$B$1:$AB$65000,$B1188,AB$5)="",2,0)),0)</f>
        <v>0</v>
      </c>
      <c r="AC1188" s="194">
        <f>IFERROR(IF(INDEX([1]Pivot!$AD$1:$BE$65000,$B1188,AC$5)=1,1,IF(INDEX([1]Pivot!$B$1:$AB$65000,$B1188,AC$5)="",2,0)),0)</f>
        <v>0</v>
      </c>
      <c r="AD1188" s="313">
        <f>IFERROR(IF(INDEX([1]Pivot!$BF$1:$CG$65000,$B1188,AD$5)=1,1,IF(INDEX([1]Pivot!$B$1:$AB$65000,$B1188,AD$5)="",2,0)),0)</f>
        <v>0</v>
      </c>
      <c r="AE1188" s="313">
        <f>IFERROR(IF(INDEX([1]Pivot!$BF$1:$CG$65000,$B1188,AE$5)=1,1,IF(INDEX([1]Pivot!$B$1:$AB$65000,$B1188,AE$5)="",2,0)),0)</f>
        <v>0</v>
      </c>
      <c r="AF1188" s="313">
        <f>IFERROR(IF(INDEX([1]Pivot!$BF$1:$CG$65000,$B1188,AF$5)=1,1,IF(INDEX([1]Pivot!$B$1:$AB$65000,$B1188,AF$5)="",2,0)),0)</f>
        <v>0</v>
      </c>
      <c r="AG1188" s="313">
        <f>IFERROR(IF(INDEX([1]Pivot!$BF$1:$CG$65000,$B1188,AG$5)=1,1,IF(INDEX([1]Pivot!$B$1:$AB$65000,$B1188,AG$5)="",2,0)),0)</f>
        <v>0</v>
      </c>
      <c r="AH1188" s="313">
        <f>IFERROR(IF(INDEX([1]Pivot!$BF$1:$CG$65000,$B1188,AH$5)=1,1,IF(INDEX([1]Pivot!$B$1:$AB$65000,$B1188,AH$5)="",2,0)),0)</f>
        <v>0</v>
      </c>
      <c r="AI1188" s="313">
        <f>IFERROR(IF(INDEX([1]Pivot!$BF$1:$CG$65000,$B1188,AI$5)=1,1,IF(INDEX([1]Pivot!$B$1:$AB$65000,$B1188,AI$5)="",2,0)),0)</f>
        <v>0</v>
      </c>
      <c r="AJ1188" s="313">
        <f>IFERROR(IF(INDEX([1]Pivot!$BF$1:$CG$65000,$B1188,AJ$5)=1,1,IF(INDEX([1]Pivot!$B$1:$AB$65000,$B1188,AJ$5)="",2,0)),0)</f>
        <v>0</v>
      </c>
      <c r="AK1188" s="313">
        <f>IFERROR(IF(INDEX([1]Pivot!$BF$1:$CG$65000,$B1188,AK$5)=1,1,IF(INDEX([1]Pivot!$B$1:$AB$65000,$B1188,AK$5)="",2,0)),0)</f>
        <v>0</v>
      </c>
      <c r="AL1188" s="313">
        <f>IFERROR(IF(INDEX([1]Pivot!$BF$1:$CG$65000,$B1188,AL$5)=1,1,IF(INDEX([1]Pivot!$B$1:$AB$65000,$B1188,AL$5)="",2,0)),0)</f>
        <v>0</v>
      </c>
      <c r="AM1188" s="313">
        <f>IFERROR(IF(INDEX([1]Pivot!$BF$1:$CG$65000,$B1188,AM$5)=1,1,IF(INDEX([1]Pivot!$B$1:$AB$65000,$B1188,AM$5)="",2,0)),0)</f>
        <v>0</v>
      </c>
      <c r="AN1188" s="313">
        <f>IFERROR(IF(INDEX([1]Pivot!$BF$1:$CG$65000,$B1188,AN$5)=1,1,IF(INDEX([1]Pivot!$B$1:$AB$65000,$B1188,AN$5)="",2,0)),0)</f>
        <v>0</v>
      </c>
      <c r="AO1188" s="313">
        <f>IFERROR(IF(INDEX([1]Pivot!$BF$1:$CG$65000,$B1188,AO$5)=1,1,IF(INDEX([1]Pivot!$B$1:$AB$65000,$B1188,AO$5)="",2,0)),0)</f>
        <v>0</v>
      </c>
      <c r="AP1188" s="313">
        <f>IFERROR(IF(INDEX([1]Pivot!$BF$1:$CG$65000,$B1188,AP$5)=1,1,IF(INDEX([1]Pivot!$B$1:$AB$65000,$B1188,AP$5)="",2,0)),0)</f>
        <v>0</v>
      </c>
      <c r="AQ1188" s="313">
        <f>IFERROR(IF(INDEX([1]Pivot!$BF$1:$CG$65000,$B1188,AQ$5)=1,1,IF(INDEX([1]Pivot!$B$1:$AB$65000,$B1188,AQ$5)="",2,0)),0)</f>
        <v>0</v>
      </c>
      <c r="AR1188" s="313">
        <f>IFERROR(IF(INDEX([1]Pivot!$BF$1:$CG$65000,$B1188,AR$5)=1,1,IF(INDEX([1]Pivot!$B$1:$AB$65000,$B1188,AR$5)="",2,0)),0)</f>
        <v>0</v>
      </c>
      <c r="AS1188" s="312"/>
      <c r="AT1188" s="313">
        <f>IFERROR(IF(INDEX([1]Pivot!$BF$1:$CG$65000,$B1188,AT$5)=1,1,IF(INDEX([1]Pivot!$B$1:$AB$65000,$B1188,AT$5)="",2,0)),0)</f>
        <v>0</v>
      </c>
      <c r="AU1188" s="313">
        <f>IFERROR(IF(INDEX([1]Pivot!$BF$1:$CG$65000,$B1188,AU$5)=1,1,IF(INDEX([1]Pivot!$B$1:$AB$65000,$B1188,AU$5)="",2,0)),0)</f>
        <v>0</v>
      </c>
      <c r="AV1188" s="313">
        <f>IFERROR(IF(INDEX([1]Pivot!$BF$1:$CG$65000,$B1188,AV$5)=1,1,IF(INDEX([1]Pivot!$B$1:$AB$65000,$B1188,AV$5)="",2,0)),0)</f>
        <v>0</v>
      </c>
      <c r="AW1188" s="313">
        <f>IFERROR(IF(INDEX([1]Pivot!$BF$1:$CG$65000,$B1188,AW$5)=1,1,IF(INDEX([1]Pivot!$B$1:$AB$65000,$B1188,AW$5)="",2,0)),0)</f>
        <v>0</v>
      </c>
      <c r="AX1188" s="313">
        <f>IFERROR(IF(INDEX([1]Pivot!$BF$1:$CG$65000,$B1188,AX$5)=1,1,IF(INDEX([1]Pivot!$B$1:$AB$65000,$B1188,AX$5)="",2,0)),0)</f>
        <v>0</v>
      </c>
      <c r="AY1188" s="313">
        <f>IFERROR(IF(INDEX([1]Pivot!$BF$1:$CG$65000,$B1188,AY$5)=1,1,IF(INDEX([1]Pivot!$B$1:$AB$65000,$B1188,AY$5)="",2,0)),0)</f>
        <v>0</v>
      </c>
      <c r="AZ1188" s="313">
        <f>IFERROR(IF(INDEX([1]Pivot!$BF$1:$CG$65000,$B1188,AZ$5)=1,1,IF(INDEX([1]Pivot!$B$1:$AB$65000,$B1188,AZ$5)="",2,0)),0)</f>
        <v>0</v>
      </c>
      <c r="BA1188" s="313">
        <f>IFERROR(IF(INDEX([1]Pivot!$BF$1:$CG$65000,$B1188,BA$5)=1,1,IF(INDEX([1]Pivot!$B$1:$AB$65000,$B1188,BA$5)="",2,0)),0)</f>
        <v>0</v>
      </c>
      <c r="BB1188" s="313">
        <f>IFERROR(IF(INDEX([1]Pivot!$BF$1:$CG$65000,$B1188,BB$5)=1,1,IF(INDEX([1]Pivot!$B$1:$AB$65000,$B1188,BB$5)="",2,0)),0)</f>
        <v>0</v>
      </c>
      <c r="BC1188" s="313">
        <f>IFERROR(IF(INDEX([1]Pivot!$BF$1:$CG$65000,$B1188,BC$5)=1,1,IF(INDEX([1]Pivot!$B$1:$AB$65000,$B1188,BC$5)="",2,0)),0)</f>
        <v>0</v>
      </c>
      <c r="BD1188" s="313">
        <f>IFERROR(IF(INDEX([1]Pivot!$BF$1:$CG$65000,$B1188,BD$5)=1,1,IF(INDEX([1]Pivot!$B$1:$AB$65000,$B1188,BD$5)="",2,0)),0)</f>
        <v>0</v>
      </c>
    </row>
    <row r="1189" spans="1:56" x14ac:dyDescent="0.25">
      <c r="A1189" s="288">
        <f>'[2]Raw Milk Prices'!A1189</f>
        <v>0</v>
      </c>
      <c r="B1189" s="296" t="e">
        <f>MATCH(DATE(LEFT('[2]Raw Milk Prices'!$A1189,4),RIGHT('[2]Raw Milk Prices'!$A1189,2),1),[1]Pivot!$A$1:$A$65000,0)</f>
        <v>#VALUE!</v>
      </c>
      <c r="C1189" s="194">
        <f>IFERROR(IF(INDEX([1]Pivot!$AD$1:$BE$65000,$B1189,C$5)=1,1,IF(INDEX([1]Pivot!$B$1:$AB$65000,$B1189,C$5)="",2,0)),0)</f>
        <v>0</v>
      </c>
      <c r="D1189" s="194">
        <f>IFERROR(IF(INDEX([1]Pivot!$AD$1:$BE$65000,$B1189,D$5)=1,1,IF(INDEX([1]Pivot!$B$1:$AB$65000,$B1189,D$5)="",2,0)),0)</f>
        <v>0</v>
      </c>
      <c r="E1189" s="194">
        <f>IFERROR(IF(INDEX([1]Pivot!$AD$1:$BE$65000,$B1189,E$5)=1,1,IF(INDEX([1]Pivot!$B$1:$AB$65000,$B1189,E$5)="",2,0)),0)</f>
        <v>0</v>
      </c>
      <c r="F1189" s="194">
        <f>IFERROR(IF(INDEX([1]Pivot!$AD$1:$BE$65000,$B1189,F$5)=1,1,IF(INDEX([1]Pivot!$B$1:$AB$65000,$B1189,F$5)="",2,0)),0)</f>
        <v>0</v>
      </c>
      <c r="G1189" s="194">
        <f>IFERROR(IF(INDEX([1]Pivot!$AD$1:$BE$65000,$B1189,G$5)=1,1,IF(INDEX([1]Pivot!$B$1:$AB$65000,$B1189,G$5)="",2,0)),0)</f>
        <v>0</v>
      </c>
      <c r="H1189" s="194">
        <f>IFERROR(IF(INDEX([1]Pivot!$AD$1:$BE$65000,$B1189,H$5)=1,1,IF(INDEX([1]Pivot!$B$1:$AB$65000,$B1189,H$5)="",2,0)),0)</f>
        <v>0</v>
      </c>
      <c r="I1189" s="194">
        <f>IFERROR(IF(INDEX([1]Pivot!$AD$1:$BE$65000,$B1189,I$5)=1,1,IF(INDEX([1]Pivot!$B$1:$AB$65000,$B1189,I$5)="",2,0)),0)</f>
        <v>0</v>
      </c>
      <c r="J1189" s="194">
        <f>IFERROR(IF(INDEX([1]Pivot!$AD$1:$BE$65000,$B1189,J$5)=1,1,IF(INDEX([1]Pivot!$B$1:$AB$65000,$B1189,J$5)="",2,0)),0)</f>
        <v>0</v>
      </c>
      <c r="K1189" s="194">
        <f>IFERROR(IF(INDEX([1]Pivot!$AD$1:$BE$65000,$B1189,K$5)=1,1,IF(INDEX([1]Pivot!$B$1:$AB$65000,$B1189,K$5)="",2,0)),0)</f>
        <v>0</v>
      </c>
      <c r="L1189" s="194">
        <f>IFERROR(IF(INDEX([1]Pivot!$AD$1:$BE$65000,$B1189,L$5)=1,1,IF(INDEX([1]Pivot!$B$1:$AB$65000,$B1189,L$5)="",2,0)),0)</f>
        <v>0</v>
      </c>
      <c r="M1189" s="194">
        <f>IFERROR(IF(INDEX([1]Pivot!$AD$1:$BE$65000,$B1189,M$5)=1,1,IF(INDEX([1]Pivot!$B$1:$AB$65000,$B1189,M$5)="",2,0)),0)</f>
        <v>0</v>
      </c>
      <c r="N1189" s="194">
        <f>IFERROR(IF(INDEX([1]Pivot!$AD$1:$BE$65000,$B1189,N$5)=1,1,IF(INDEX([1]Pivot!$B$1:$AB$65000,$B1189,N$5)="",2,0)),0)</f>
        <v>0</v>
      </c>
      <c r="O1189" s="194">
        <f>IFERROR(IF(INDEX([1]Pivot!$AD$1:$BE$65000,$B1189,O$5)=1,1,IF(INDEX([1]Pivot!$B$1:$AB$65000,$B1189,O$5)="",2,0)),0)</f>
        <v>0</v>
      </c>
      <c r="P1189" s="194">
        <f>IFERROR(IF(INDEX([1]Pivot!$AD$1:$BE$65000,$B1189,P$5)=1,1,IF(INDEX([1]Pivot!$B$1:$AB$65000,$B1189,P$5)="",2,0)),0)</f>
        <v>0</v>
      </c>
      <c r="Q1189" s="194">
        <f>IFERROR(IF(INDEX([1]Pivot!$AD$1:$BE$65000,$B1189,Q$5)=1,1,IF(INDEX([1]Pivot!$B$1:$AB$65000,$B1189,Q$5)="",2,0)),0)</f>
        <v>0</v>
      </c>
      <c r="R1189" s="312"/>
      <c r="S1189" s="194">
        <f>IFERROR(IF(INDEX([1]Pivot!$AD$1:$BE$65000,$B1189,S$5)=1,1,IF(INDEX([1]Pivot!$B$1:$AB$65000,$B1189,S$5)="",2,0)),0)</f>
        <v>0</v>
      </c>
      <c r="T1189" s="194">
        <f>IFERROR(IF(INDEX([1]Pivot!$AD$1:$BE$65000,$B1189,T$5)=1,1,IF(INDEX([1]Pivot!$B$1:$AB$65000,$B1189,T$5)="",2,0)),0)</f>
        <v>0</v>
      </c>
      <c r="U1189" s="194">
        <f>IFERROR(IF(INDEX([1]Pivot!$AD$1:$BE$65000,$B1189,U$5)=1,1,IF(INDEX([1]Pivot!$B$1:$AB$65000,$B1189,U$5)="",2,0)),0)</f>
        <v>0</v>
      </c>
      <c r="V1189" s="194">
        <f>IFERROR(IF(INDEX([1]Pivot!$AD$1:$BE$65000,$B1189,V$5)=1,1,IF(INDEX([1]Pivot!$B$1:$AB$65000,$B1189,V$5)="",2,0)),0)</f>
        <v>0</v>
      </c>
      <c r="W1189" s="194">
        <f>IFERROR(IF(INDEX([1]Pivot!$AD$1:$BE$65000,$B1189,W$5)=1,1,IF(INDEX([1]Pivot!$B$1:$AB$65000,$B1189,W$5)="",2,0)),0)</f>
        <v>0</v>
      </c>
      <c r="X1189" s="194">
        <f>IFERROR(IF(INDEX([1]Pivot!$AD$1:$BE$65000,$B1189,X$5)=1,1,IF(INDEX([1]Pivot!$B$1:$AB$65000,$B1189,X$5)="",2,0)),0)</f>
        <v>0</v>
      </c>
      <c r="Y1189" s="194">
        <f>IFERROR(IF(INDEX([1]Pivot!$AD$1:$BE$65000,$B1189,Y$5)=1,1,IF(INDEX([1]Pivot!$B$1:$AB$65000,$B1189,Y$5)="",2,0)),0)</f>
        <v>0</v>
      </c>
      <c r="Z1189" s="194">
        <f>IFERROR(IF(INDEX([1]Pivot!$AD$1:$BE$65000,$B1189,Z$5)=1,1,IF(INDEX([1]Pivot!$B$1:$AB$65000,$B1189,Z$5)="",2,0)),0)</f>
        <v>0</v>
      </c>
      <c r="AA1189" s="194">
        <f>IFERROR(IF(INDEX([1]Pivot!$AD$1:$BE$65000,$B1189,AA$5)=1,1,IF(INDEX([1]Pivot!$B$1:$AB$65000,$B1189,AA$5)="",2,0)),0)</f>
        <v>0</v>
      </c>
      <c r="AB1189" s="194">
        <f>IFERROR(IF(INDEX([1]Pivot!$AD$1:$BE$65000,$B1189,AB$5)=1,1,IF(INDEX([1]Pivot!$B$1:$AB$65000,$B1189,AB$5)="",2,0)),0)</f>
        <v>0</v>
      </c>
      <c r="AC1189" s="194">
        <f>IFERROR(IF(INDEX([1]Pivot!$AD$1:$BE$65000,$B1189,AC$5)=1,1,IF(INDEX([1]Pivot!$B$1:$AB$65000,$B1189,AC$5)="",2,0)),0)</f>
        <v>0</v>
      </c>
      <c r="AD1189" s="313">
        <f>IFERROR(IF(INDEX([1]Pivot!$BF$1:$CG$65000,$B1189,AD$5)=1,1,IF(INDEX([1]Pivot!$B$1:$AB$65000,$B1189,AD$5)="",2,0)),0)</f>
        <v>0</v>
      </c>
      <c r="AE1189" s="313">
        <f>IFERROR(IF(INDEX([1]Pivot!$BF$1:$CG$65000,$B1189,AE$5)=1,1,IF(INDEX([1]Pivot!$B$1:$AB$65000,$B1189,AE$5)="",2,0)),0)</f>
        <v>0</v>
      </c>
      <c r="AF1189" s="313">
        <f>IFERROR(IF(INDEX([1]Pivot!$BF$1:$CG$65000,$B1189,AF$5)=1,1,IF(INDEX([1]Pivot!$B$1:$AB$65000,$B1189,AF$5)="",2,0)),0)</f>
        <v>0</v>
      </c>
      <c r="AG1189" s="313">
        <f>IFERROR(IF(INDEX([1]Pivot!$BF$1:$CG$65000,$B1189,AG$5)=1,1,IF(INDEX([1]Pivot!$B$1:$AB$65000,$B1189,AG$5)="",2,0)),0)</f>
        <v>0</v>
      </c>
      <c r="AH1189" s="313">
        <f>IFERROR(IF(INDEX([1]Pivot!$BF$1:$CG$65000,$B1189,AH$5)=1,1,IF(INDEX([1]Pivot!$B$1:$AB$65000,$B1189,AH$5)="",2,0)),0)</f>
        <v>0</v>
      </c>
      <c r="AI1189" s="313">
        <f>IFERROR(IF(INDEX([1]Pivot!$BF$1:$CG$65000,$B1189,AI$5)=1,1,IF(INDEX([1]Pivot!$B$1:$AB$65000,$B1189,AI$5)="",2,0)),0)</f>
        <v>0</v>
      </c>
      <c r="AJ1189" s="313">
        <f>IFERROR(IF(INDEX([1]Pivot!$BF$1:$CG$65000,$B1189,AJ$5)=1,1,IF(INDEX([1]Pivot!$B$1:$AB$65000,$B1189,AJ$5)="",2,0)),0)</f>
        <v>0</v>
      </c>
      <c r="AK1189" s="313">
        <f>IFERROR(IF(INDEX([1]Pivot!$BF$1:$CG$65000,$B1189,AK$5)=1,1,IF(INDEX([1]Pivot!$B$1:$AB$65000,$B1189,AK$5)="",2,0)),0)</f>
        <v>0</v>
      </c>
      <c r="AL1189" s="313">
        <f>IFERROR(IF(INDEX([1]Pivot!$BF$1:$CG$65000,$B1189,AL$5)=1,1,IF(INDEX([1]Pivot!$B$1:$AB$65000,$B1189,AL$5)="",2,0)),0)</f>
        <v>0</v>
      </c>
      <c r="AM1189" s="313">
        <f>IFERROR(IF(INDEX([1]Pivot!$BF$1:$CG$65000,$B1189,AM$5)=1,1,IF(INDEX([1]Pivot!$B$1:$AB$65000,$B1189,AM$5)="",2,0)),0)</f>
        <v>0</v>
      </c>
      <c r="AN1189" s="313">
        <f>IFERROR(IF(INDEX([1]Pivot!$BF$1:$CG$65000,$B1189,AN$5)=1,1,IF(INDEX([1]Pivot!$B$1:$AB$65000,$B1189,AN$5)="",2,0)),0)</f>
        <v>0</v>
      </c>
      <c r="AO1189" s="313">
        <f>IFERROR(IF(INDEX([1]Pivot!$BF$1:$CG$65000,$B1189,AO$5)=1,1,IF(INDEX([1]Pivot!$B$1:$AB$65000,$B1189,AO$5)="",2,0)),0)</f>
        <v>0</v>
      </c>
      <c r="AP1189" s="313">
        <f>IFERROR(IF(INDEX([1]Pivot!$BF$1:$CG$65000,$B1189,AP$5)=1,1,IF(INDEX([1]Pivot!$B$1:$AB$65000,$B1189,AP$5)="",2,0)),0)</f>
        <v>0</v>
      </c>
      <c r="AQ1189" s="313">
        <f>IFERROR(IF(INDEX([1]Pivot!$BF$1:$CG$65000,$B1189,AQ$5)=1,1,IF(INDEX([1]Pivot!$B$1:$AB$65000,$B1189,AQ$5)="",2,0)),0)</f>
        <v>0</v>
      </c>
      <c r="AR1189" s="313">
        <f>IFERROR(IF(INDEX([1]Pivot!$BF$1:$CG$65000,$B1189,AR$5)=1,1,IF(INDEX([1]Pivot!$B$1:$AB$65000,$B1189,AR$5)="",2,0)),0)</f>
        <v>0</v>
      </c>
      <c r="AS1189" s="312"/>
      <c r="AT1189" s="313">
        <f>IFERROR(IF(INDEX([1]Pivot!$BF$1:$CG$65000,$B1189,AT$5)=1,1,IF(INDEX([1]Pivot!$B$1:$AB$65000,$B1189,AT$5)="",2,0)),0)</f>
        <v>0</v>
      </c>
      <c r="AU1189" s="313">
        <f>IFERROR(IF(INDEX([1]Pivot!$BF$1:$CG$65000,$B1189,AU$5)=1,1,IF(INDEX([1]Pivot!$B$1:$AB$65000,$B1189,AU$5)="",2,0)),0)</f>
        <v>0</v>
      </c>
      <c r="AV1189" s="313">
        <f>IFERROR(IF(INDEX([1]Pivot!$BF$1:$CG$65000,$B1189,AV$5)=1,1,IF(INDEX([1]Pivot!$B$1:$AB$65000,$B1189,AV$5)="",2,0)),0)</f>
        <v>0</v>
      </c>
      <c r="AW1189" s="313">
        <f>IFERROR(IF(INDEX([1]Pivot!$BF$1:$CG$65000,$B1189,AW$5)=1,1,IF(INDEX([1]Pivot!$B$1:$AB$65000,$B1189,AW$5)="",2,0)),0)</f>
        <v>0</v>
      </c>
      <c r="AX1189" s="313">
        <f>IFERROR(IF(INDEX([1]Pivot!$BF$1:$CG$65000,$B1189,AX$5)=1,1,IF(INDEX([1]Pivot!$B$1:$AB$65000,$B1189,AX$5)="",2,0)),0)</f>
        <v>0</v>
      </c>
      <c r="AY1189" s="313">
        <f>IFERROR(IF(INDEX([1]Pivot!$BF$1:$CG$65000,$B1189,AY$5)=1,1,IF(INDEX([1]Pivot!$B$1:$AB$65000,$B1189,AY$5)="",2,0)),0)</f>
        <v>0</v>
      </c>
      <c r="AZ1189" s="313">
        <f>IFERROR(IF(INDEX([1]Pivot!$BF$1:$CG$65000,$B1189,AZ$5)=1,1,IF(INDEX([1]Pivot!$B$1:$AB$65000,$B1189,AZ$5)="",2,0)),0)</f>
        <v>0</v>
      </c>
      <c r="BA1189" s="313">
        <f>IFERROR(IF(INDEX([1]Pivot!$BF$1:$CG$65000,$B1189,BA$5)=1,1,IF(INDEX([1]Pivot!$B$1:$AB$65000,$B1189,BA$5)="",2,0)),0)</f>
        <v>0</v>
      </c>
      <c r="BB1189" s="313">
        <f>IFERROR(IF(INDEX([1]Pivot!$BF$1:$CG$65000,$B1189,BB$5)=1,1,IF(INDEX([1]Pivot!$B$1:$AB$65000,$B1189,BB$5)="",2,0)),0)</f>
        <v>0</v>
      </c>
      <c r="BC1189" s="313">
        <f>IFERROR(IF(INDEX([1]Pivot!$BF$1:$CG$65000,$B1189,BC$5)=1,1,IF(INDEX([1]Pivot!$B$1:$AB$65000,$B1189,BC$5)="",2,0)),0)</f>
        <v>0</v>
      </c>
      <c r="BD1189" s="313">
        <f>IFERROR(IF(INDEX([1]Pivot!$BF$1:$CG$65000,$B1189,BD$5)=1,1,IF(INDEX([1]Pivot!$B$1:$AB$65000,$B1189,BD$5)="",2,0)),0)</f>
        <v>0</v>
      </c>
    </row>
    <row r="1190" spans="1:56" x14ac:dyDescent="0.25">
      <c r="A1190" s="288">
        <f>'[2]Raw Milk Prices'!A1190</f>
        <v>0</v>
      </c>
      <c r="B1190" s="296" t="e">
        <f>MATCH(DATE(LEFT('[2]Raw Milk Prices'!$A1190,4),RIGHT('[2]Raw Milk Prices'!$A1190,2),1),[1]Pivot!$A$1:$A$65000,0)</f>
        <v>#VALUE!</v>
      </c>
      <c r="C1190" s="194">
        <f>IFERROR(IF(INDEX([1]Pivot!$AD$1:$BE$65000,$B1190,C$5)=1,1,IF(INDEX([1]Pivot!$B$1:$AB$65000,$B1190,C$5)="",2,0)),0)</f>
        <v>0</v>
      </c>
      <c r="D1190" s="194">
        <f>IFERROR(IF(INDEX([1]Pivot!$AD$1:$BE$65000,$B1190,D$5)=1,1,IF(INDEX([1]Pivot!$B$1:$AB$65000,$B1190,D$5)="",2,0)),0)</f>
        <v>0</v>
      </c>
      <c r="E1190" s="194">
        <f>IFERROR(IF(INDEX([1]Pivot!$AD$1:$BE$65000,$B1190,E$5)=1,1,IF(INDEX([1]Pivot!$B$1:$AB$65000,$B1190,E$5)="",2,0)),0)</f>
        <v>0</v>
      </c>
      <c r="F1190" s="194">
        <f>IFERROR(IF(INDEX([1]Pivot!$AD$1:$BE$65000,$B1190,F$5)=1,1,IF(INDEX([1]Pivot!$B$1:$AB$65000,$B1190,F$5)="",2,0)),0)</f>
        <v>0</v>
      </c>
      <c r="G1190" s="194">
        <f>IFERROR(IF(INDEX([1]Pivot!$AD$1:$BE$65000,$B1190,G$5)=1,1,IF(INDEX([1]Pivot!$B$1:$AB$65000,$B1190,G$5)="",2,0)),0)</f>
        <v>0</v>
      </c>
      <c r="H1190" s="194">
        <f>IFERROR(IF(INDEX([1]Pivot!$AD$1:$BE$65000,$B1190,H$5)=1,1,IF(INDEX([1]Pivot!$B$1:$AB$65000,$B1190,H$5)="",2,0)),0)</f>
        <v>0</v>
      </c>
      <c r="I1190" s="194">
        <f>IFERROR(IF(INDEX([1]Pivot!$AD$1:$BE$65000,$B1190,I$5)=1,1,IF(INDEX([1]Pivot!$B$1:$AB$65000,$B1190,I$5)="",2,0)),0)</f>
        <v>0</v>
      </c>
      <c r="J1190" s="194">
        <f>IFERROR(IF(INDEX([1]Pivot!$AD$1:$BE$65000,$B1190,J$5)=1,1,IF(INDEX([1]Pivot!$B$1:$AB$65000,$B1190,J$5)="",2,0)),0)</f>
        <v>0</v>
      </c>
      <c r="K1190" s="194">
        <f>IFERROR(IF(INDEX([1]Pivot!$AD$1:$BE$65000,$B1190,K$5)=1,1,IF(INDEX([1]Pivot!$B$1:$AB$65000,$B1190,K$5)="",2,0)),0)</f>
        <v>0</v>
      </c>
      <c r="L1190" s="194">
        <f>IFERROR(IF(INDEX([1]Pivot!$AD$1:$BE$65000,$B1190,L$5)=1,1,IF(INDEX([1]Pivot!$B$1:$AB$65000,$B1190,L$5)="",2,0)),0)</f>
        <v>0</v>
      </c>
      <c r="M1190" s="194">
        <f>IFERROR(IF(INDEX([1]Pivot!$AD$1:$BE$65000,$B1190,M$5)=1,1,IF(INDEX([1]Pivot!$B$1:$AB$65000,$B1190,M$5)="",2,0)),0)</f>
        <v>0</v>
      </c>
      <c r="N1190" s="194">
        <f>IFERROR(IF(INDEX([1]Pivot!$AD$1:$BE$65000,$B1190,N$5)=1,1,IF(INDEX([1]Pivot!$B$1:$AB$65000,$B1190,N$5)="",2,0)),0)</f>
        <v>0</v>
      </c>
      <c r="O1190" s="194">
        <f>IFERROR(IF(INDEX([1]Pivot!$AD$1:$BE$65000,$B1190,O$5)=1,1,IF(INDEX([1]Pivot!$B$1:$AB$65000,$B1190,O$5)="",2,0)),0)</f>
        <v>0</v>
      </c>
      <c r="P1190" s="194">
        <f>IFERROR(IF(INDEX([1]Pivot!$AD$1:$BE$65000,$B1190,P$5)=1,1,IF(INDEX([1]Pivot!$B$1:$AB$65000,$B1190,P$5)="",2,0)),0)</f>
        <v>0</v>
      </c>
      <c r="Q1190" s="194">
        <f>IFERROR(IF(INDEX([1]Pivot!$AD$1:$BE$65000,$B1190,Q$5)=1,1,IF(INDEX([1]Pivot!$B$1:$AB$65000,$B1190,Q$5)="",2,0)),0)</f>
        <v>0</v>
      </c>
      <c r="R1190" s="312"/>
      <c r="S1190" s="194">
        <f>IFERROR(IF(INDEX([1]Pivot!$AD$1:$BE$65000,$B1190,S$5)=1,1,IF(INDEX([1]Pivot!$B$1:$AB$65000,$B1190,S$5)="",2,0)),0)</f>
        <v>0</v>
      </c>
      <c r="T1190" s="194">
        <f>IFERROR(IF(INDEX([1]Pivot!$AD$1:$BE$65000,$B1190,T$5)=1,1,IF(INDEX([1]Pivot!$B$1:$AB$65000,$B1190,T$5)="",2,0)),0)</f>
        <v>0</v>
      </c>
      <c r="U1190" s="194">
        <f>IFERROR(IF(INDEX([1]Pivot!$AD$1:$BE$65000,$B1190,U$5)=1,1,IF(INDEX([1]Pivot!$B$1:$AB$65000,$B1190,U$5)="",2,0)),0)</f>
        <v>0</v>
      </c>
      <c r="V1190" s="194">
        <f>IFERROR(IF(INDEX([1]Pivot!$AD$1:$BE$65000,$B1190,V$5)=1,1,IF(INDEX([1]Pivot!$B$1:$AB$65000,$B1190,V$5)="",2,0)),0)</f>
        <v>0</v>
      </c>
      <c r="W1190" s="194">
        <f>IFERROR(IF(INDEX([1]Pivot!$AD$1:$BE$65000,$B1190,W$5)=1,1,IF(INDEX([1]Pivot!$B$1:$AB$65000,$B1190,W$5)="",2,0)),0)</f>
        <v>0</v>
      </c>
      <c r="X1190" s="194">
        <f>IFERROR(IF(INDEX([1]Pivot!$AD$1:$BE$65000,$B1190,X$5)=1,1,IF(INDEX([1]Pivot!$B$1:$AB$65000,$B1190,X$5)="",2,0)),0)</f>
        <v>0</v>
      </c>
      <c r="Y1190" s="194">
        <f>IFERROR(IF(INDEX([1]Pivot!$AD$1:$BE$65000,$B1190,Y$5)=1,1,IF(INDEX([1]Pivot!$B$1:$AB$65000,$B1190,Y$5)="",2,0)),0)</f>
        <v>0</v>
      </c>
      <c r="Z1190" s="194">
        <f>IFERROR(IF(INDEX([1]Pivot!$AD$1:$BE$65000,$B1190,Z$5)=1,1,IF(INDEX([1]Pivot!$B$1:$AB$65000,$B1190,Z$5)="",2,0)),0)</f>
        <v>0</v>
      </c>
      <c r="AA1190" s="194">
        <f>IFERROR(IF(INDEX([1]Pivot!$AD$1:$BE$65000,$B1190,AA$5)=1,1,IF(INDEX([1]Pivot!$B$1:$AB$65000,$B1190,AA$5)="",2,0)),0)</f>
        <v>0</v>
      </c>
      <c r="AB1190" s="194">
        <f>IFERROR(IF(INDEX([1]Pivot!$AD$1:$BE$65000,$B1190,AB$5)=1,1,IF(INDEX([1]Pivot!$B$1:$AB$65000,$B1190,AB$5)="",2,0)),0)</f>
        <v>0</v>
      </c>
      <c r="AC1190" s="194">
        <f>IFERROR(IF(INDEX([1]Pivot!$AD$1:$BE$65000,$B1190,AC$5)=1,1,IF(INDEX([1]Pivot!$B$1:$AB$65000,$B1190,AC$5)="",2,0)),0)</f>
        <v>0</v>
      </c>
      <c r="AD1190" s="313">
        <f>IFERROR(IF(INDEX([1]Pivot!$BF$1:$CG$65000,$B1190,AD$5)=1,1,IF(INDEX([1]Pivot!$B$1:$AB$65000,$B1190,AD$5)="",2,0)),0)</f>
        <v>0</v>
      </c>
      <c r="AE1190" s="313">
        <f>IFERROR(IF(INDEX([1]Pivot!$BF$1:$CG$65000,$B1190,AE$5)=1,1,IF(INDEX([1]Pivot!$B$1:$AB$65000,$B1190,AE$5)="",2,0)),0)</f>
        <v>0</v>
      </c>
      <c r="AF1190" s="313">
        <f>IFERROR(IF(INDEX([1]Pivot!$BF$1:$CG$65000,$B1190,AF$5)=1,1,IF(INDEX([1]Pivot!$B$1:$AB$65000,$B1190,AF$5)="",2,0)),0)</f>
        <v>0</v>
      </c>
      <c r="AG1190" s="313">
        <f>IFERROR(IF(INDEX([1]Pivot!$BF$1:$CG$65000,$B1190,AG$5)=1,1,IF(INDEX([1]Pivot!$B$1:$AB$65000,$B1190,AG$5)="",2,0)),0)</f>
        <v>0</v>
      </c>
      <c r="AH1190" s="313">
        <f>IFERROR(IF(INDEX([1]Pivot!$BF$1:$CG$65000,$B1190,AH$5)=1,1,IF(INDEX([1]Pivot!$B$1:$AB$65000,$B1190,AH$5)="",2,0)),0)</f>
        <v>0</v>
      </c>
      <c r="AI1190" s="313">
        <f>IFERROR(IF(INDEX([1]Pivot!$BF$1:$CG$65000,$B1190,AI$5)=1,1,IF(INDEX([1]Pivot!$B$1:$AB$65000,$B1190,AI$5)="",2,0)),0)</f>
        <v>0</v>
      </c>
      <c r="AJ1190" s="313">
        <f>IFERROR(IF(INDEX([1]Pivot!$BF$1:$CG$65000,$B1190,AJ$5)=1,1,IF(INDEX([1]Pivot!$B$1:$AB$65000,$B1190,AJ$5)="",2,0)),0)</f>
        <v>0</v>
      </c>
      <c r="AK1190" s="313">
        <f>IFERROR(IF(INDEX([1]Pivot!$BF$1:$CG$65000,$B1190,AK$5)=1,1,IF(INDEX([1]Pivot!$B$1:$AB$65000,$B1190,AK$5)="",2,0)),0)</f>
        <v>0</v>
      </c>
      <c r="AL1190" s="313">
        <f>IFERROR(IF(INDEX([1]Pivot!$BF$1:$CG$65000,$B1190,AL$5)=1,1,IF(INDEX([1]Pivot!$B$1:$AB$65000,$B1190,AL$5)="",2,0)),0)</f>
        <v>0</v>
      </c>
      <c r="AM1190" s="313">
        <f>IFERROR(IF(INDEX([1]Pivot!$BF$1:$CG$65000,$B1190,AM$5)=1,1,IF(INDEX([1]Pivot!$B$1:$AB$65000,$B1190,AM$5)="",2,0)),0)</f>
        <v>0</v>
      </c>
      <c r="AN1190" s="313">
        <f>IFERROR(IF(INDEX([1]Pivot!$BF$1:$CG$65000,$B1190,AN$5)=1,1,IF(INDEX([1]Pivot!$B$1:$AB$65000,$B1190,AN$5)="",2,0)),0)</f>
        <v>0</v>
      </c>
      <c r="AO1190" s="313">
        <f>IFERROR(IF(INDEX([1]Pivot!$BF$1:$CG$65000,$B1190,AO$5)=1,1,IF(INDEX([1]Pivot!$B$1:$AB$65000,$B1190,AO$5)="",2,0)),0)</f>
        <v>0</v>
      </c>
      <c r="AP1190" s="313">
        <f>IFERROR(IF(INDEX([1]Pivot!$BF$1:$CG$65000,$B1190,AP$5)=1,1,IF(INDEX([1]Pivot!$B$1:$AB$65000,$B1190,AP$5)="",2,0)),0)</f>
        <v>0</v>
      </c>
      <c r="AQ1190" s="313">
        <f>IFERROR(IF(INDEX([1]Pivot!$BF$1:$CG$65000,$B1190,AQ$5)=1,1,IF(INDEX([1]Pivot!$B$1:$AB$65000,$B1190,AQ$5)="",2,0)),0)</f>
        <v>0</v>
      </c>
      <c r="AR1190" s="313">
        <f>IFERROR(IF(INDEX([1]Pivot!$BF$1:$CG$65000,$B1190,AR$5)=1,1,IF(INDEX([1]Pivot!$B$1:$AB$65000,$B1190,AR$5)="",2,0)),0)</f>
        <v>0</v>
      </c>
      <c r="AS1190" s="312"/>
      <c r="AT1190" s="313">
        <f>IFERROR(IF(INDEX([1]Pivot!$BF$1:$CG$65000,$B1190,AT$5)=1,1,IF(INDEX([1]Pivot!$B$1:$AB$65000,$B1190,AT$5)="",2,0)),0)</f>
        <v>0</v>
      </c>
      <c r="AU1190" s="313">
        <f>IFERROR(IF(INDEX([1]Pivot!$BF$1:$CG$65000,$B1190,AU$5)=1,1,IF(INDEX([1]Pivot!$B$1:$AB$65000,$B1190,AU$5)="",2,0)),0)</f>
        <v>0</v>
      </c>
      <c r="AV1190" s="313">
        <f>IFERROR(IF(INDEX([1]Pivot!$BF$1:$CG$65000,$B1190,AV$5)=1,1,IF(INDEX([1]Pivot!$B$1:$AB$65000,$B1190,AV$5)="",2,0)),0)</f>
        <v>0</v>
      </c>
      <c r="AW1190" s="313">
        <f>IFERROR(IF(INDEX([1]Pivot!$BF$1:$CG$65000,$B1190,AW$5)=1,1,IF(INDEX([1]Pivot!$B$1:$AB$65000,$B1190,AW$5)="",2,0)),0)</f>
        <v>0</v>
      </c>
      <c r="AX1190" s="313">
        <f>IFERROR(IF(INDEX([1]Pivot!$BF$1:$CG$65000,$B1190,AX$5)=1,1,IF(INDEX([1]Pivot!$B$1:$AB$65000,$B1190,AX$5)="",2,0)),0)</f>
        <v>0</v>
      </c>
      <c r="AY1190" s="313">
        <f>IFERROR(IF(INDEX([1]Pivot!$BF$1:$CG$65000,$B1190,AY$5)=1,1,IF(INDEX([1]Pivot!$B$1:$AB$65000,$B1190,AY$5)="",2,0)),0)</f>
        <v>0</v>
      </c>
      <c r="AZ1190" s="313">
        <f>IFERROR(IF(INDEX([1]Pivot!$BF$1:$CG$65000,$B1190,AZ$5)=1,1,IF(INDEX([1]Pivot!$B$1:$AB$65000,$B1190,AZ$5)="",2,0)),0)</f>
        <v>0</v>
      </c>
      <c r="BA1190" s="313">
        <f>IFERROR(IF(INDEX([1]Pivot!$BF$1:$CG$65000,$B1190,BA$5)=1,1,IF(INDEX([1]Pivot!$B$1:$AB$65000,$B1190,BA$5)="",2,0)),0)</f>
        <v>0</v>
      </c>
      <c r="BB1190" s="313">
        <f>IFERROR(IF(INDEX([1]Pivot!$BF$1:$CG$65000,$B1190,BB$5)=1,1,IF(INDEX([1]Pivot!$B$1:$AB$65000,$B1190,BB$5)="",2,0)),0)</f>
        <v>0</v>
      </c>
      <c r="BC1190" s="313">
        <f>IFERROR(IF(INDEX([1]Pivot!$BF$1:$CG$65000,$B1190,BC$5)=1,1,IF(INDEX([1]Pivot!$B$1:$AB$65000,$B1190,BC$5)="",2,0)),0)</f>
        <v>0</v>
      </c>
      <c r="BD1190" s="313">
        <f>IFERROR(IF(INDEX([1]Pivot!$BF$1:$CG$65000,$B1190,BD$5)=1,1,IF(INDEX([1]Pivot!$B$1:$AB$65000,$B1190,BD$5)="",2,0)),0)</f>
        <v>0</v>
      </c>
    </row>
    <row r="1191" spans="1:56" x14ac:dyDescent="0.25">
      <c r="A1191" s="288">
        <f>'[2]Raw Milk Prices'!A1191</f>
        <v>0</v>
      </c>
      <c r="B1191" s="296" t="e">
        <f>MATCH(DATE(LEFT('[2]Raw Milk Prices'!$A1191,4),RIGHT('[2]Raw Milk Prices'!$A1191,2),1),[1]Pivot!$A$1:$A$65000,0)</f>
        <v>#VALUE!</v>
      </c>
      <c r="C1191" s="194">
        <f>IFERROR(IF(INDEX([1]Pivot!$AD$1:$BE$65000,$B1191,C$5)=1,1,IF(INDEX([1]Pivot!$B$1:$AB$65000,$B1191,C$5)="",2,0)),0)</f>
        <v>0</v>
      </c>
      <c r="D1191" s="194">
        <f>IFERROR(IF(INDEX([1]Pivot!$AD$1:$BE$65000,$B1191,D$5)=1,1,IF(INDEX([1]Pivot!$B$1:$AB$65000,$B1191,D$5)="",2,0)),0)</f>
        <v>0</v>
      </c>
      <c r="E1191" s="194">
        <f>IFERROR(IF(INDEX([1]Pivot!$AD$1:$BE$65000,$B1191,E$5)=1,1,IF(INDEX([1]Pivot!$B$1:$AB$65000,$B1191,E$5)="",2,0)),0)</f>
        <v>0</v>
      </c>
      <c r="F1191" s="194">
        <f>IFERROR(IF(INDEX([1]Pivot!$AD$1:$BE$65000,$B1191,F$5)=1,1,IF(INDEX([1]Pivot!$B$1:$AB$65000,$B1191,F$5)="",2,0)),0)</f>
        <v>0</v>
      </c>
      <c r="G1191" s="194">
        <f>IFERROR(IF(INDEX([1]Pivot!$AD$1:$BE$65000,$B1191,G$5)=1,1,IF(INDEX([1]Pivot!$B$1:$AB$65000,$B1191,G$5)="",2,0)),0)</f>
        <v>0</v>
      </c>
      <c r="H1191" s="194">
        <f>IFERROR(IF(INDEX([1]Pivot!$AD$1:$BE$65000,$B1191,H$5)=1,1,IF(INDEX([1]Pivot!$B$1:$AB$65000,$B1191,H$5)="",2,0)),0)</f>
        <v>0</v>
      </c>
      <c r="I1191" s="194">
        <f>IFERROR(IF(INDEX([1]Pivot!$AD$1:$BE$65000,$B1191,I$5)=1,1,IF(INDEX([1]Pivot!$B$1:$AB$65000,$B1191,I$5)="",2,0)),0)</f>
        <v>0</v>
      </c>
      <c r="J1191" s="194">
        <f>IFERROR(IF(INDEX([1]Pivot!$AD$1:$BE$65000,$B1191,J$5)=1,1,IF(INDEX([1]Pivot!$B$1:$AB$65000,$B1191,J$5)="",2,0)),0)</f>
        <v>0</v>
      </c>
      <c r="K1191" s="194">
        <f>IFERROR(IF(INDEX([1]Pivot!$AD$1:$BE$65000,$B1191,K$5)=1,1,IF(INDEX([1]Pivot!$B$1:$AB$65000,$B1191,K$5)="",2,0)),0)</f>
        <v>0</v>
      </c>
      <c r="L1191" s="194">
        <f>IFERROR(IF(INDEX([1]Pivot!$AD$1:$BE$65000,$B1191,L$5)=1,1,IF(INDEX([1]Pivot!$B$1:$AB$65000,$B1191,L$5)="",2,0)),0)</f>
        <v>0</v>
      </c>
      <c r="M1191" s="194">
        <f>IFERROR(IF(INDEX([1]Pivot!$AD$1:$BE$65000,$B1191,M$5)=1,1,IF(INDEX([1]Pivot!$B$1:$AB$65000,$B1191,M$5)="",2,0)),0)</f>
        <v>0</v>
      </c>
      <c r="N1191" s="194">
        <f>IFERROR(IF(INDEX([1]Pivot!$AD$1:$BE$65000,$B1191,N$5)=1,1,IF(INDEX([1]Pivot!$B$1:$AB$65000,$B1191,N$5)="",2,0)),0)</f>
        <v>0</v>
      </c>
      <c r="O1191" s="194">
        <f>IFERROR(IF(INDEX([1]Pivot!$AD$1:$BE$65000,$B1191,O$5)=1,1,IF(INDEX([1]Pivot!$B$1:$AB$65000,$B1191,O$5)="",2,0)),0)</f>
        <v>0</v>
      </c>
      <c r="P1191" s="194">
        <f>IFERROR(IF(INDEX([1]Pivot!$AD$1:$BE$65000,$B1191,P$5)=1,1,IF(INDEX([1]Pivot!$B$1:$AB$65000,$B1191,P$5)="",2,0)),0)</f>
        <v>0</v>
      </c>
      <c r="Q1191" s="194">
        <f>IFERROR(IF(INDEX([1]Pivot!$AD$1:$BE$65000,$B1191,Q$5)=1,1,IF(INDEX([1]Pivot!$B$1:$AB$65000,$B1191,Q$5)="",2,0)),0)</f>
        <v>0</v>
      </c>
      <c r="R1191" s="312"/>
      <c r="S1191" s="194">
        <f>IFERROR(IF(INDEX([1]Pivot!$AD$1:$BE$65000,$B1191,S$5)=1,1,IF(INDEX([1]Pivot!$B$1:$AB$65000,$B1191,S$5)="",2,0)),0)</f>
        <v>0</v>
      </c>
      <c r="T1191" s="194">
        <f>IFERROR(IF(INDEX([1]Pivot!$AD$1:$BE$65000,$B1191,T$5)=1,1,IF(INDEX([1]Pivot!$B$1:$AB$65000,$B1191,T$5)="",2,0)),0)</f>
        <v>0</v>
      </c>
      <c r="U1191" s="194">
        <f>IFERROR(IF(INDEX([1]Pivot!$AD$1:$BE$65000,$B1191,U$5)=1,1,IF(INDEX([1]Pivot!$B$1:$AB$65000,$B1191,U$5)="",2,0)),0)</f>
        <v>0</v>
      </c>
      <c r="V1191" s="194">
        <f>IFERROR(IF(INDEX([1]Pivot!$AD$1:$BE$65000,$B1191,V$5)=1,1,IF(INDEX([1]Pivot!$B$1:$AB$65000,$B1191,V$5)="",2,0)),0)</f>
        <v>0</v>
      </c>
      <c r="W1191" s="194">
        <f>IFERROR(IF(INDEX([1]Pivot!$AD$1:$BE$65000,$B1191,W$5)=1,1,IF(INDEX([1]Pivot!$B$1:$AB$65000,$B1191,W$5)="",2,0)),0)</f>
        <v>0</v>
      </c>
      <c r="X1191" s="194">
        <f>IFERROR(IF(INDEX([1]Pivot!$AD$1:$BE$65000,$B1191,X$5)=1,1,IF(INDEX([1]Pivot!$B$1:$AB$65000,$B1191,X$5)="",2,0)),0)</f>
        <v>0</v>
      </c>
      <c r="Y1191" s="194">
        <f>IFERROR(IF(INDEX([1]Pivot!$AD$1:$BE$65000,$B1191,Y$5)=1,1,IF(INDEX([1]Pivot!$B$1:$AB$65000,$B1191,Y$5)="",2,0)),0)</f>
        <v>0</v>
      </c>
      <c r="Z1191" s="194">
        <f>IFERROR(IF(INDEX([1]Pivot!$AD$1:$BE$65000,$B1191,Z$5)=1,1,IF(INDEX([1]Pivot!$B$1:$AB$65000,$B1191,Z$5)="",2,0)),0)</f>
        <v>0</v>
      </c>
      <c r="AA1191" s="194">
        <f>IFERROR(IF(INDEX([1]Pivot!$AD$1:$BE$65000,$B1191,AA$5)=1,1,IF(INDEX([1]Pivot!$B$1:$AB$65000,$B1191,AA$5)="",2,0)),0)</f>
        <v>0</v>
      </c>
      <c r="AB1191" s="194">
        <f>IFERROR(IF(INDEX([1]Pivot!$AD$1:$BE$65000,$B1191,AB$5)=1,1,IF(INDEX([1]Pivot!$B$1:$AB$65000,$B1191,AB$5)="",2,0)),0)</f>
        <v>0</v>
      </c>
      <c r="AC1191" s="194">
        <f>IFERROR(IF(INDEX([1]Pivot!$AD$1:$BE$65000,$B1191,AC$5)=1,1,IF(INDEX([1]Pivot!$B$1:$AB$65000,$B1191,AC$5)="",2,0)),0)</f>
        <v>0</v>
      </c>
      <c r="AD1191" s="313">
        <f>IFERROR(IF(INDEX([1]Pivot!$BF$1:$CG$65000,$B1191,AD$5)=1,1,IF(INDEX([1]Pivot!$B$1:$AB$65000,$B1191,AD$5)="",2,0)),0)</f>
        <v>0</v>
      </c>
      <c r="AE1191" s="313">
        <f>IFERROR(IF(INDEX([1]Pivot!$BF$1:$CG$65000,$B1191,AE$5)=1,1,IF(INDEX([1]Pivot!$B$1:$AB$65000,$B1191,AE$5)="",2,0)),0)</f>
        <v>0</v>
      </c>
      <c r="AF1191" s="313">
        <f>IFERROR(IF(INDEX([1]Pivot!$BF$1:$CG$65000,$B1191,AF$5)=1,1,IF(INDEX([1]Pivot!$B$1:$AB$65000,$B1191,AF$5)="",2,0)),0)</f>
        <v>0</v>
      </c>
      <c r="AG1191" s="313">
        <f>IFERROR(IF(INDEX([1]Pivot!$BF$1:$CG$65000,$B1191,AG$5)=1,1,IF(INDEX([1]Pivot!$B$1:$AB$65000,$B1191,AG$5)="",2,0)),0)</f>
        <v>0</v>
      </c>
      <c r="AH1191" s="313">
        <f>IFERROR(IF(INDEX([1]Pivot!$BF$1:$CG$65000,$B1191,AH$5)=1,1,IF(INDEX([1]Pivot!$B$1:$AB$65000,$B1191,AH$5)="",2,0)),0)</f>
        <v>0</v>
      </c>
      <c r="AI1191" s="313">
        <f>IFERROR(IF(INDEX([1]Pivot!$BF$1:$CG$65000,$B1191,AI$5)=1,1,IF(INDEX([1]Pivot!$B$1:$AB$65000,$B1191,AI$5)="",2,0)),0)</f>
        <v>0</v>
      </c>
      <c r="AJ1191" s="313">
        <f>IFERROR(IF(INDEX([1]Pivot!$BF$1:$CG$65000,$B1191,AJ$5)=1,1,IF(INDEX([1]Pivot!$B$1:$AB$65000,$B1191,AJ$5)="",2,0)),0)</f>
        <v>0</v>
      </c>
      <c r="AK1191" s="313">
        <f>IFERROR(IF(INDEX([1]Pivot!$BF$1:$CG$65000,$B1191,AK$5)=1,1,IF(INDEX([1]Pivot!$B$1:$AB$65000,$B1191,AK$5)="",2,0)),0)</f>
        <v>0</v>
      </c>
      <c r="AL1191" s="313">
        <f>IFERROR(IF(INDEX([1]Pivot!$BF$1:$CG$65000,$B1191,AL$5)=1,1,IF(INDEX([1]Pivot!$B$1:$AB$65000,$B1191,AL$5)="",2,0)),0)</f>
        <v>0</v>
      </c>
      <c r="AM1191" s="313">
        <f>IFERROR(IF(INDEX([1]Pivot!$BF$1:$CG$65000,$B1191,AM$5)=1,1,IF(INDEX([1]Pivot!$B$1:$AB$65000,$B1191,AM$5)="",2,0)),0)</f>
        <v>0</v>
      </c>
      <c r="AN1191" s="313">
        <f>IFERROR(IF(INDEX([1]Pivot!$BF$1:$CG$65000,$B1191,AN$5)=1,1,IF(INDEX([1]Pivot!$B$1:$AB$65000,$B1191,AN$5)="",2,0)),0)</f>
        <v>0</v>
      </c>
      <c r="AO1191" s="313">
        <f>IFERROR(IF(INDEX([1]Pivot!$BF$1:$CG$65000,$B1191,AO$5)=1,1,IF(INDEX([1]Pivot!$B$1:$AB$65000,$B1191,AO$5)="",2,0)),0)</f>
        <v>0</v>
      </c>
      <c r="AP1191" s="313">
        <f>IFERROR(IF(INDEX([1]Pivot!$BF$1:$CG$65000,$B1191,AP$5)=1,1,IF(INDEX([1]Pivot!$B$1:$AB$65000,$B1191,AP$5)="",2,0)),0)</f>
        <v>0</v>
      </c>
      <c r="AQ1191" s="313">
        <f>IFERROR(IF(INDEX([1]Pivot!$BF$1:$CG$65000,$B1191,AQ$5)=1,1,IF(INDEX([1]Pivot!$B$1:$AB$65000,$B1191,AQ$5)="",2,0)),0)</f>
        <v>0</v>
      </c>
      <c r="AR1191" s="313">
        <f>IFERROR(IF(INDEX([1]Pivot!$BF$1:$CG$65000,$B1191,AR$5)=1,1,IF(INDEX([1]Pivot!$B$1:$AB$65000,$B1191,AR$5)="",2,0)),0)</f>
        <v>0</v>
      </c>
      <c r="AS1191" s="312"/>
      <c r="AT1191" s="313">
        <f>IFERROR(IF(INDEX([1]Pivot!$BF$1:$CG$65000,$B1191,AT$5)=1,1,IF(INDEX([1]Pivot!$B$1:$AB$65000,$B1191,AT$5)="",2,0)),0)</f>
        <v>0</v>
      </c>
      <c r="AU1191" s="313">
        <f>IFERROR(IF(INDEX([1]Pivot!$BF$1:$CG$65000,$B1191,AU$5)=1,1,IF(INDEX([1]Pivot!$B$1:$AB$65000,$B1191,AU$5)="",2,0)),0)</f>
        <v>0</v>
      </c>
      <c r="AV1191" s="313">
        <f>IFERROR(IF(INDEX([1]Pivot!$BF$1:$CG$65000,$B1191,AV$5)=1,1,IF(INDEX([1]Pivot!$B$1:$AB$65000,$B1191,AV$5)="",2,0)),0)</f>
        <v>0</v>
      </c>
      <c r="AW1191" s="313">
        <f>IFERROR(IF(INDEX([1]Pivot!$BF$1:$CG$65000,$B1191,AW$5)=1,1,IF(INDEX([1]Pivot!$B$1:$AB$65000,$B1191,AW$5)="",2,0)),0)</f>
        <v>0</v>
      </c>
      <c r="AX1191" s="313">
        <f>IFERROR(IF(INDEX([1]Pivot!$BF$1:$CG$65000,$B1191,AX$5)=1,1,IF(INDEX([1]Pivot!$B$1:$AB$65000,$B1191,AX$5)="",2,0)),0)</f>
        <v>0</v>
      </c>
      <c r="AY1191" s="313">
        <f>IFERROR(IF(INDEX([1]Pivot!$BF$1:$CG$65000,$B1191,AY$5)=1,1,IF(INDEX([1]Pivot!$B$1:$AB$65000,$B1191,AY$5)="",2,0)),0)</f>
        <v>0</v>
      </c>
      <c r="AZ1191" s="313">
        <f>IFERROR(IF(INDEX([1]Pivot!$BF$1:$CG$65000,$B1191,AZ$5)=1,1,IF(INDEX([1]Pivot!$B$1:$AB$65000,$B1191,AZ$5)="",2,0)),0)</f>
        <v>0</v>
      </c>
      <c r="BA1191" s="313">
        <f>IFERROR(IF(INDEX([1]Pivot!$BF$1:$CG$65000,$B1191,BA$5)=1,1,IF(INDEX([1]Pivot!$B$1:$AB$65000,$B1191,BA$5)="",2,0)),0)</f>
        <v>0</v>
      </c>
      <c r="BB1191" s="313">
        <f>IFERROR(IF(INDEX([1]Pivot!$BF$1:$CG$65000,$B1191,BB$5)=1,1,IF(INDEX([1]Pivot!$B$1:$AB$65000,$B1191,BB$5)="",2,0)),0)</f>
        <v>0</v>
      </c>
      <c r="BC1191" s="313">
        <f>IFERROR(IF(INDEX([1]Pivot!$BF$1:$CG$65000,$B1191,BC$5)=1,1,IF(INDEX([1]Pivot!$B$1:$AB$65000,$B1191,BC$5)="",2,0)),0)</f>
        <v>0</v>
      </c>
      <c r="BD1191" s="313">
        <f>IFERROR(IF(INDEX([1]Pivot!$BF$1:$CG$65000,$B1191,BD$5)=1,1,IF(INDEX([1]Pivot!$B$1:$AB$65000,$B1191,BD$5)="",2,0)),0)</f>
        <v>0</v>
      </c>
    </row>
    <row r="1192" spans="1:56" x14ac:dyDescent="0.25">
      <c r="A1192" s="288">
        <f>'[2]Raw Milk Prices'!A1192</f>
        <v>0</v>
      </c>
      <c r="B1192" s="296" t="e">
        <f>MATCH(DATE(LEFT('[2]Raw Milk Prices'!$A1192,4),RIGHT('[2]Raw Milk Prices'!$A1192,2),1),[1]Pivot!$A$1:$A$65000,0)</f>
        <v>#VALUE!</v>
      </c>
      <c r="C1192" s="194">
        <f>IFERROR(IF(INDEX([1]Pivot!$AD$1:$BE$65000,$B1192,C$5)=1,1,IF(INDEX([1]Pivot!$B$1:$AB$65000,$B1192,C$5)="",2,0)),0)</f>
        <v>0</v>
      </c>
      <c r="D1192" s="194">
        <f>IFERROR(IF(INDEX([1]Pivot!$AD$1:$BE$65000,$B1192,D$5)=1,1,IF(INDEX([1]Pivot!$B$1:$AB$65000,$B1192,D$5)="",2,0)),0)</f>
        <v>0</v>
      </c>
      <c r="E1192" s="194">
        <f>IFERROR(IF(INDEX([1]Pivot!$AD$1:$BE$65000,$B1192,E$5)=1,1,IF(INDEX([1]Pivot!$B$1:$AB$65000,$B1192,E$5)="",2,0)),0)</f>
        <v>0</v>
      </c>
      <c r="F1192" s="194">
        <f>IFERROR(IF(INDEX([1]Pivot!$AD$1:$BE$65000,$B1192,F$5)=1,1,IF(INDEX([1]Pivot!$B$1:$AB$65000,$B1192,F$5)="",2,0)),0)</f>
        <v>0</v>
      </c>
      <c r="G1192" s="194">
        <f>IFERROR(IF(INDEX([1]Pivot!$AD$1:$BE$65000,$B1192,G$5)=1,1,IF(INDEX([1]Pivot!$B$1:$AB$65000,$B1192,G$5)="",2,0)),0)</f>
        <v>0</v>
      </c>
      <c r="H1192" s="194">
        <f>IFERROR(IF(INDEX([1]Pivot!$AD$1:$BE$65000,$B1192,H$5)=1,1,IF(INDEX([1]Pivot!$B$1:$AB$65000,$B1192,H$5)="",2,0)),0)</f>
        <v>0</v>
      </c>
      <c r="I1192" s="194">
        <f>IFERROR(IF(INDEX([1]Pivot!$AD$1:$BE$65000,$B1192,I$5)=1,1,IF(INDEX([1]Pivot!$B$1:$AB$65000,$B1192,I$5)="",2,0)),0)</f>
        <v>0</v>
      </c>
      <c r="J1192" s="194">
        <f>IFERROR(IF(INDEX([1]Pivot!$AD$1:$BE$65000,$B1192,J$5)=1,1,IF(INDEX([1]Pivot!$B$1:$AB$65000,$B1192,J$5)="",2,0)),0)</f>
        <v>0</v>
      </c>
      <c r="K1192" s="194">
        <f>IFERROR(IF(INDEX([1]Pivot!$AD$1:$BE$65000,$B1192,K$5)=1,1,IF(INDEX([1]Pivot!$B$1:$AB$65000,$B1192,K$5)="",2,0)),0)</f>
        <v>0</v>
      </c>
      <c r="L1192" s="194">
        <f>IFERROR(IF(INDEX([1]Pivot!$AD$1:$BE$65000,$B1192,L$5)=1,1,IF(INDEX([1]Pivot!$B$1:$AB$65000,$B1192,L$5)="",2,0)),0)</f>
        <v>0</v>
      </c>
      <c r="M1192" s="194">
        <f>IFERROR(IF(INDEX([1]Pivot!$AD$1:$BE$65000,$B1192,M$5)=1,1,IF(INDEX([1]Pivot!$B$1:$AB$65000,$B1192,M$5)="",2,0)),0)</f>
        <v>0</v>
      </c>
      <c r="N1192" s="194">
        <f>IFERROR(IF(INDEX([1]Pivot!$AD$1:$BE$65000,$B1192,N$5)=1,1,IF(INDEX([1]Pivot!$B$1:$AB$65000,$B1192,N$5)="",2,0)),0)</f>
        <v>0</v>
      </c>
      <c r="O1192" s="194">
        <f>IFERROR(IF(INDEX([1]Pivot!$AD$1:$BE$65000,$B1192,O$5)=1,1,IF(INDEX([1]Pivot!$B$1:$AB$65000,$B1192,O$5)="",2,0)),0)</f>
        <v>0</v>
      </c>
      <c r="P1192" s="194">
        <f>IFERROR(IF(INDEX([1]Pivot!$AD$1:$BE$65000,$B1192,P$5)=1,1,IF(INDEX([1]Pivot!$B$1:$AB$65000,$B1192,P$5)="",2,0)),0)</f>
        <v>0</v>
      </c>
      <c r="Q1192" s="194">
        <f>IFERROR(IF(INDEX([1]Pivot!$AD$1:$BE$65000,$B1192,Q$5)=1,1,IF(INDEX([1]Pivot!$B$1:$AB$65000,$B1192,Q$5)="",2,0)),0)</f>
        <v>0</v>
      </c>
      <c r="R1192" s="312"/>
      <c r="S1192" s="194">
        <f>IFERROR(IF(INDEX([1]Pivot!$AD$1:$BE$65000,$B1192,S$5)=1,1,IF(INDEX([1]Pivot!$B$1:$AB$65000,$B1192,S$5)="",2,0)),0)</f>
        <v>0</v>
      </c>
      <c r="T1192" s="194">
        <f>IFERROR(IF(INDEX([1]Pivot!$AD$1:$BE$65000,$B1192,T$5)=1,1,IF(INDEX([1]Pivot!$B$1:$AB$65000,$B1192,T$5)="",2,0)),0)</f>
        <v>0</v>
      </c>
      <c r="U1192" s="194">
        <f>IFERROR(IF(INDEX([1]Pivot!$AD$1:$BE$65000,$B1192,U$5)=1,1,IF(INDEX([1]Pivot!$B$1:$AB$65000,$B1192,U$5)="",2,0)),0)</f>
        <v>0</v>
      </c>
      <c r="V1192" s="194">
        <f>IFERROR(IF(INDEX([1]Pivot!$AD$1:$BE$65000,$B1192,V$5)=1,1,IF(INDEX([1]Pivot!$B$1:$AB$65000,$B1192,V$5)="",2,0)),0)</f>
        <v>0</v>
      </c>
      <c r="W1192" s="194">
        <f>IFERROR(IF(INDEX([1]Pivot!$AD$1:$BE$65000,$B1192,W$5)=1,1,IF(INDEX([1]Pivot!$B$1:$AB$65000,$B1192,W$5)="",2,0)),0)</f>
        <v>0</v>
      </c>
      <c r="X1192" s="194">
        <f>IFERROR(IF(INDEX([1]Pivot!$AD$1:$BE$65000,$B1192,X$5)=1,1,IF(INDEX([1]Pivot!$B$1:$AB$65000,$B1192,X$5)="",2,0)),0)</f>
        <v>0</v>
      </c>
      <c r="Y1192" s="194">
        <f>IFERROR(IF(INDEX([1]Pivot!$AD$1:$BE$65000,$B1192,Y$5)=1,1,IF(INDEX([1]Pivot!$B$1:$AB$65000,$B1192,Y$5)="",2,0)),0)</f>
        <v>0</v>
      </c>
      <c r="Z1192" s="194">
        <f>IFERROR(IF(INDEX([1]Pivot!$AD$1:$BE$65000,$B1192,Z$5)=1,1,IF(INDEX([1]Pivot!$B$1:$AB$65000,$B1192,Z$5)="",2,0)),0)</f>
        <v>0</v>
      </c>
      <c r="AA1192" s="194">
        <f>IFERROR(IF(INDEX([1]Pivot!$AD$1:$BE$65000,$B1192,AA$5)=1,1,IF(INDEX([1]Pivot!$B$1:$AB$65000,$B1192,AA$5)="",2,0)),0)</f>
        <v>0</v>
      </c>
      <c r="AB1192" s="194">
        <f>IFERROR(IF(INDEX([1]Pivot!$AD$1:$BE$65000,$B1192,AB$5)=1,1,IF(INDEX([1]Pivot!$B$1:$AB$65000,$B1192,AB$5)="",2,0)),0)</f>
        <v>0</v>
      </c>
      <c r="AC1192" s="194">
        <f>IFERROR(IF(INDEX([1]Pivot!$AD$1:$BE$65000,$B1192,AC$5)=1,1,IF(INDEX([1]Pivot!$B$1:$AB$65000,$B1192,AC$5)="",2,0)),0)</f>
        <v>0</v>
      </c>
      <c r="AD1192" s="313">
        <f>IFERROR(IF(INDEX([1]Pivot!$BF$1:$CG$65000,$B1192,AD$5)=1,1,IF(INDEX([1]Pivot!$B$1:$AB$65000,$B1192,AD$5)="",2,0)),0)</f>
        <v>0</v>
      </c>
      <c r="AE1192" s="313">
        <f>IFERROR(IF(INDEX([1]Pivot!$BF$1:$CG$65000,$B1192,AE$5)=1,1,IF(INDEX([1]Pivot!$B$1:$AB$65000,$B1192,AE$5)="",2,0)),0)</f>
        <v>0</v>
      </c>
      <c r="AF1192" s="313">
        <f>IFERROR(IF(INDEX([1]Pivot!$BF$1:$CG$65000,$B1192,AF$5)=1,1,IF(INDEX([1]Pivot!$B$1:$AB$65000,$B1192,AF$5)="",2,0)),0)</f>
        <v>0</v>
      </c>
      <c r="AG1192" s="313">
        <f>IFERROR(IF(INDEX([1]Pivot!$BF$1:$CG$65000,$B1192,AG$5)=1,1,IF(INDEX([1]Pivot!$B$1:$AB$65000,$B1192,AG$5)="",2,0)),0)</f>
        <v>0</v>
      </c>
      <c r="AH1192" s="313">
        <f>IFERROR(IF(INDEX([1]Pivot!$BF$1:$CG$65000,$B1192,AH$5)=1,1,IF(INDEX([1]Pivot!$B$1:$AB$65000,$B1192,AH$5)="",2,0)),0)</f>
        <v>0</v>
      </c>
      <c r="AI1192" s="313">
        <f>IFERROR(IF(INDEX([1]Pivot!$BF$1:$CG$65000,$B1192,AI$5)=1,1,IF(INDEX([1]Pivot!$B$1:$AB$65000,$B1192,AI$5)="",2,0)),0)</f>
        <v>0</v>
      </c>
      <c r="AJ1192" s="313">
        <f>IFERROR(IF(INDEX([1]Pivot!$BF$1:$CG$65000,$B1192,AJ$5)=1,1,IF(INDEX([1]Pivot!$B$1:$AB$65000,$B1192,AJ$5)="",2,0)),0)</f>
        <v>0</v>
      </c>
      <c r="AK1192" s="313">
        <f>IFERROR(IF(INDEX([1]Pivot!$BF$1:$CG$65000,$B1192,AK$5)=1,1,IF(INDEX([1]Pivot!$B$1:$AB$65000,$B1192,AK$5)="",2,0)),0)</f>
        <v>0</v>
      </c>
      <c r="AL1192" s="313">
        <f>IFERROR(IF(INDEX([1]Pivot!$BF$1:$CG$65000,$B1192,AL$5)=1,1,IF(INDEX([1]Pivot!$B$1:$AB$65000,$B1192,AL$5)="",2,0)),0)</f>
        <v>0</v>
      </c>
      <c r="AM1192" s="313">
        <f>IFERROR(IF(INDEX([1]Pivot!$BF$1:$CG$65000,$B1192,AM$5)=1,1,IF(INDEX([1]Pivot!$B$1:$AB$65000,$B1192,AM$5)="",2,0)),0)</f>
        <v>0</v>
      </c>
      <c r="AN1192" s="313">
        <f>IFERROR(IF(INDEX([1]Pivot!$BF$1:$CG$65000,$B1192,AN$5)=1,1,IF(INDEX([1]Pivot!$B$1:$AB$65000,$B1192,AN$5)="",2,0)),0)</f>
        <v>0</v>
      </c>
      <c r="AO1192" s="313">
        <f>IFERROR(IF(INDEX([1]Pivot!$BF$1:$CG$65000,$B1192,AO$5)=1,1,IF(INDEX([1]Pivot!$B$1:$AB$65000,$B1192,AO$5)="",2,0)),0)</f>
        <v>0</v>
      </c>
      <c r="AP1192" s="313">
        <f>IFERROR(IF(INDEX([1]Pivot!$BF$1:$CG$65000,$B1192,AP$5)=1,1,IF(INDEX([1]Pivot!$B$1:$AB$65000,$B1192,AP$5)="",2,0)),0)</f>
        <v>0</v>
      </c>
      <c r="AQ1192" s="313">
        <f>IFERROR(IF(INDEX([1]Pivot!$BF$1:$CG$65000,$B1192,AQ$5)=1,1,IF(INDEX([1]Pivot!$B$1:$AB$65000,$B1192,AQ$5)="",2,0)),0)</f>
        <v>0</v>
      </c>
      <c r="AR1192" s="313">
        <f>IFERROR(IF(INDEX([1]Pivot!$BF$1:$CG$65000,$B1192,AR$5)=1,1,IF(INDEX([1]Pivot!$B$1:$AB$65000,$B1192,AR$5)="",2,0)),0)</f>
        <v>0</v>
      </c>
      <c r="AS1192" s="312"/>
      <c r="AT1192" s="313">
        <f>IFERROR(IF(INDEX([1]Pivot!$BF$1:$CG$65000,$B1192,AT$5)=1,1,IF(INDEX([1]Pivot!$B$1:$AB$65000,$B1192,AT$5)="",2,0)),0)</f>
        <v>0</v>
      </c>
      <c r="AU1192" s="313">
        <f>IFERROR(IF(INDEX([1]Pivot!$BF$1:$CG$65000,$B1192,AU$5)=1,1,IF(INDEX([1]Pivot!$B$1:$AB$65000,$B1192,AU$5)="",2,0)),0)</f>
        <v>0</v>
      </c>
      <c r="AV1192" s="313">
        <f>IFERROR(IF(INDEX([1]Pivot!$BF$1:$CG$65000,$B1192,AV$5)=1,1,IF(INDEX([1]Pivot!$B$1:$AB$65000,$B1192,AV$5)="",2,0)),0)</f>
        <v>0</v>
      </c>
      <c r="AW1192" s="313">
        <f>IFERROR(IF(INDEX([1]Pivot!$BF$1:$CG$65000,$B1192,AW$5)=1,1,IF(INDEX([1]Pivot!$B$1:$AB$65000,$B1192,AW$5)="",2,0)),0)</f>
        <v>0</v>
      </c>
      <c r="AX1192" s="313">
        <f>IFERROR(IF(INDEX([1]Pivot!$BF$1:$CG$65000,$B1192,AX$5)=1,1,IF(INDEX([1]Pivot!$B$1:$AB$65000,$B1192,AX$5)="",2,0)),0)</f>
        <v>0</v>
      </c>
      <c r="AY1192" s="313">
        <f>IFERROR(IF(INDEX([1]Pivot!$BF$1:$CG$65000,$B1192,AY$5)=1,1,IF(INDEX([1]Pivot!$B$1:$AB$65000,$B1192,AY$5)="",2,0)),0)</f>
        <v>0</v>
      </c>
      <c r="AZ1192" s="313">
        <f>IFERROR(IF(INDEX([1]Pivot!$BF$1:$CG$65000,$B1192,AZ$5)=1,1,IF(INDEX([1]Pivot!$B$1:$AB$65000,$B1192,AZ$5)="",2,0)),0)</f>
        <v>0</v>
      </c>
      <c r="BA1192" s="313">
        <f>IFERROR(IF(INDEX([1]Pivot!$BF$1:$CG$65000,$B1192,BA$5)=1,1,IF(INDEX([1]Pivot!$B$1:$AB$65000,$B1192,BA$5)="",2,0)),0)</f>
        <v>0</v>
      </c>
      <c r="BB1192" s="313">
        <f>IFERROR(IF(INDEX([1]Pivot!$BF$1:$CG$65000,$B1192,BB$5)=1,1,IF(INDEX([1]Pivot!$B$1:$AB$65000,$B1192,BB$5)="",2,0)),0)</f>
        <v>0</v>
      </c>
      <c r="BC1192" s="313">
        <f>IFERROR(IF(INDEX([1]Pivot!$BF$1:$CG$65000,$B1192,BC$5)=1,1,IF(INDEX([1]Pivot!$B$1:$AB$65000,$B1192,BC$5)="",2,0)),0)</f>
        <v>0</v>
      </c>
      <c r="BD1192" s="313">
        <f>IFERROR(IF(INDEX([1]Pivot!$BF$1:$CG$65000,$B1192,BD$5)=1,1,IF(INDEX([1]Pivot!$B$1:$AB$65000,$B1192,BD$5)="",2,0)),0)</f>
        <v>0</v>
      </c>
    </row>
    <row r="1193" spans="1:56" x14ac:dyDescent="0.25">
      <c r="A1193" s="288">
        <f>'[2]Raw Milk Prices'!A1193</f>
        <v>0</v>
      </c>
      <c r="B1193" s="296" t="e">
        <f>MATCH(DATE(LEFT('[2]Raw Milk Prices'!$A1193,4),RIGHT('[2]Raw Milk Prices'!$A1193,2),1),[1]Pivot!$A$1:$A$65000,0)</f>
        <v>#VALUE!</v>
      </c>
      <c r="C1193" s="194">
        <f>IFERROR(IF(INDEX([1]Pivot!$AD$1:$BE$65000,$B1193,C$5)=1,1,IF(INDEX([1]Pivot!$B$1:$AB$65000,$B1193,C$5)="",2,0)),0)</f>
        <v>0</v>
      </c>
      <c r="D1193" s="194">
        <f>IFERROR(IF(INDEX([1]Pivot!$AD$1:$BE$65000,$B1193,D$5)=1,1,IF(INDEX([1]Pivot!$B$1:$AB$65000,$B1193,D$5)="",2,0)),0)</f>
        <v>0</v>
      </c>
      <c r="E1193" s="194">
        <f>IFERROR(IF(INDEX([1]Pivot!$AD$1:$BE$65000,$B1193,E$5)=1,1,IF(INDEX([1]Pivot!$B$1:$AB$65000,$B1193,E$5)="",2,0)),0)</f>
        <v>0</v>
      </c>
      <c r="F1193" s="194">
        <f>IFERROR(IF(INDEX([1]Pivot!$AD$1:$BE$65000,$B1193,F$5)=1,1,IF(INDEX([1]Pivot!$B$1:$AB$65000,$B1193,F$5)="",2,0)),0)</f>
        <v>0</v>
      </c>
      <c r="G1193" s="194">
        <f>IFERROR(IF(INDEX([1]Pivot!$AD$1:$BE$65000,$B1193,G$5)=1,1,IF(INDEX([1]Pivot!$B$1:$AB$65000,$B1193,G$5)="",2,0)),0)</f>
        <v>0</v>
      </c>
      <c r="H1193" s="194">
        <f>IFERROR(IF(INDEX([1]Pivot!$AD$1:$BE$65000,$B1193,H$5)=1,1,IF(INDEX([1]Pivot!$B$1:$AB$65000,$B1193,H$5)="",2,0)),0)</f>
        <v>0</v>
      </c>
      <c r="I1193" s="194">
        <f>IFERROR(IF(INDEX([1]Pivot!$AD$1:$BE$65000,$B1193,I$5)=1,1,IF(INDEX([1]Pivot!$B$1:$AB$65000,$B1193,I$5)="",2,0)),0)</f>
        <v>0</v>
      </c>
      <c r="J1193" s="194">
        <f>IFERROR(IF(INDEX([1]Pivot!$AD$1:$BE$65000,$B1193,J$5)=1,1,IF(INDEX([1]Pivot!$B$1:$AB$65000,$B1193,J$5)="",2,0)),0)</f>
        <v>0</v>
      </c>
      <c r="K1193" s="194">
        <f>IFERROR(IF(INDEX([1]Pivot!$AD$1:$BE$65000,$B1193,K$5)=1,1,IF(INDEX([1]Pivot!$B$1:$AB$65000,$B1193,K$5)="",2,0)),0)</f>
        <v>0</v>
      </c>
      <c r="L1193" s="194">
        <f>IFERROR(IF(INDEX([1]Pivot!$AD$1:$BE$65000,$B1193,L$5)=1,1,IF(INDEX([1]Pivot!$B$1:$AB$65000,$B1193,L$5)="",2,0)),0)</f>
        <v>0</v>
      </c>
      <c r="M1193" s="194">
        <f>IFERROR(IF(INDEX([1]Pivot!$AD$1:$BE$65000,$B1193,M$5)=1,1,IF(INDEX([1]Pivot!$B$1:$AB$65000,$B1193,M$5)="",2,0)),0)</f>
        <v>0</v>
      </c>
      <c r="N1193" s="194">
        <f>IFERROR(IF(INDEX([1]Pivot!$AD$1:$BE$65000,$B1193,N$5)=1,1,IF(INDEX([1]Pivot!$B$1:$AB$65000,$B1193,N$5)="",2,0)),0)</f>
        <v>0</v>
      </c>
      <c r="O1193" s="194">
        <f>IFERROR(IF(INDEX([1]Pivot!$AD$1:$BE$65000,$B1193,O$5)=1,1,IF(INDEX([1]Pivot!$B$1:$AB$65000,$B1193,O$5)="",2,0)),0)</f>
        <v>0</v>
      </c>
      <c r="P1193" s="194">
        <f>IFERROR(IF(INDEX([1]Pivot!$AD$1:$BE$65000,$B1193,P$5)=1,1,IF(INDEX([1]Pivot!$B$1:$AB$65000,$B1193,P$5)="",2,0)),0)</f>
        <v>0</v>
      </c>
      <c r="Q1193" s="194">
        <f>IFERROR(IF(INDEX([1]Pivot!$AD$1:$BE$65000,$B1193,Q$5)=1,1,IF(INDEX([1]Pivot!$B$1:$AB$65000,$B1193,Q$5)="",2,0)),0)</f>
        <v>0</v>
      </c>
      <c r="R1193" s="312"/>
      <c r="S1193" s="194">
        <f>IFERROR(IF(INDEX([1]Pivot!$AD$1:$BE$65000,$B1193,S$5)=1,1,IF(INDEX([1]Pivot!$B$1:$AB$65000,$B1193,S$5)="",2,0)),0)</f>
        <v>0</v>
      </c>
      <c r="T1193" s="194">
        <f>IFERROR(IF(INDEX([1]Pivot!$AD$1:$BE$65000,$B1193,T$5)=1,1,IF(INDEX([1]Pivot!$B$1:$AB$65000,$B1193,T$5)="",2,0)),0)</f>
        <v>0</v>
      </c>
      <c r="U1193" s="194">
        <f>IFERROR(IF(INDEX([1]Pivot!$AD$1:$BE$65000,$B1193,U$5)=1,1,IF(INDEX([1]Pivot!$B$1:$AB$65000,$B1193,U$5)="",2,0)),0)</f>
        <v>0</v>
      </c>
      <c r="V1193" s="194">
        <f>IFERROR(IF(INDEX([1]Pivot!$AD$1:$BE$65000,$B1193,V$5)=1,1,IF(INDEX([1]Pivot!$B$1:$AB$65000,$B1193,V$5)="",2,0)),0)</f>
        <v>0</v>
      </c>
      <c r="W1193" s="194">
        <f>IFERROR(IF(INDEX([1]Pivot!$AD$1:$BE$65000,$B1193,W$5)=1,1,IF(INDEX([1]Pivot!$B$1:$AB$65000,$B1193,W$5)="",2,0)),0)</f>
        <v>0</v>
      </c>
      <c r="X1193" s="194">
        <f>IFERROR(IF(INDEX([1]Pivot!$AD$1:$BE$65000,$B1193,X$5)=1,1,IF(INDEX([1]Pivot!$B$1:$AB$65000,$B1193,X$5)="",2,0)),0)</f>
        <v>0</v>
      </c>
      <c r="Y1193" s="194">
        <f>IFERROR(IF(INDEX([1]Pivot!$AD$1:$BE$65000,$B1193,Y$5)=1,1,IF(INDEX([1]Pivot!$B$1:$AB$65000,$B1193,Y$5)="",2,0)),0)</f>
        <v>0</v>
      </c>
      <c r="Z1193" s="194">
        <f>IFERROR(IF(INDEX([1]Pivot!$AD$1:$BE$65000,$B1193,Z$5)=1,1,IF(INDEX([1]Pivot!$B$1:$AB$65000,$B1193,Z$5)="",2,0)),0)</f>
        <v>0</v>
      </c>
      <c r="AA1193" s="194">
        <f>IFERROR(IF(INDEX([1]Pivot!$AD$1:$BE$65000,$B1193,AA$5)=1,1,IF(INDEX([1]Pivot!$B$1:$AB$65000,$B1193,AA$5)="",2,0)),0)</f>
        <v>0</v>
      </c>
      <c r="AB1193" s="194">
        <f>IFERROR(IF(INDEX([1]Pivot!$AD$1:$BE$65000,$B1193,AB$5)=1,1,IF(INDEX([1]Pivot!$B$1:$AB$65000,$B1193,AB$5)="",2,0)),0)</f>
        <v>0</v>
      </c>
      <c r="AC1193" s="194">
        <f>IFERROR(IF(INDEX([1]Pivot!$AD$1:$BE$65000,$B1193,AC$5)=1,1,IF(INDEX([1]Pivot!$B$1:$AB$65000,$B1193,AC$5)="",2,0)),0)</f>
        <v>0</v>
      </c>
      <c r="AD1193" s="313">
        <f>IFERROR(IF(INDEX([1]Pivot!$BF$1:$CG$65000,$B1193,AD$5)=1,1,IF(INDEX([1]Pivot!$B$1:$AB$65000,$B1193,AD$5)="",2,0)),0)</f>
        <v>0</v>
      </c>
      <c r="AE1193" s="313">
        <f>IFERROR(IF(INDEX([1]Pivot!$BF$1:$CG$65000,$B1193,AE$5)=1,1,IF(INDEX([1]Pivot!$B$1:$AB$65000,$B1193,AE$5)="",2,0)),0)</f>
        <v>0</v>
      </c>
      <c r="AF1193" s="313">
        <f>IFERROR(IF(INDEX([1]Pivot!$BF$1:$CG$65000,$B1193,AF$5)=1,1,IF(INDEX([1]Pivot!$B$1:$AB$65000,$B1193,AF$5)="",2,0)),0)</f>
        <v>0</v>
      </c>
      <c r="AG1193" s="313">
        <f>IFERROR(IF(INDEX([1]Pivot!$BF$1:$CG$65000,$B1193,AG$5)=1,1,IF(INDEX([1]Pivot!$B$1:$AB$65000,$B1193,AG$5)="",2,0)),0)</f>
        <v>0</v>
      </c>
      <c r="AH1193" s="313">
        <f>IFERROR(IF(INDEX([1]Pivot!$BF$1:$CG$65000,$B1193,AH$5)=1,1,IF(INDEX([1]Pivot!$B$1:$AB$65000,$B1193,AH$5)="",2,0)),0)</f>
        <v>0</v>
      </c>
      <c r="AI1193" s="313">
        <f>IFERROR(IF(INDEX([1]Pivot!$BF$1:$CG$65000,$B1193,AI$5)=1,1,IF(INDEX([1]Pivot!$B$1:$AB$65000,$B1193,AI$5)="",2,0)),0)</f>
        <v>0</v>
      </c>
      <c r="AJ1193" s="313">
        <f>IFERROR(IF(INDEX([1]Pivot!$BF$1:$CG$65000,$B1193,AJ$5)=1,1,IF(INDEX([1]Pivot!$B$1:$AB$65000,$B1193,AJ$5)="",2,0)),0)</f>
        <v>0</v>
      </c>
      <c r="AK1193" s="313">
        <f>IFERROR(IF(INDEX([1]Pivot!$BF$1:$CG$65000,$B1193,AK$5)=1,1,IF(INDEX([1]Pivot!$B$1:$AB$65000,$B1193,AK$5)="",2,0)),0)</f>
        <v>0</v>
      </c>
      <c r="AL1193" s="313">
        <f>IFERROR(IF(INDEX([1]Pivot!$BF$1:$CG$65000,$B1193,AL$5)=1,1,IF(INDEX([1]Pivot!$B$1:$AB$65000,$B1193,AL$5)="",2,0)),0)</f>
        <v>0</v>
      </c>
      <c r="AM1193" s="313">
        <f>IFERROR(IF(INDEX([1]Pivot!$BF$1:$CG$65000,$B1193,AM$5)=1,1,IF(INDEX([1]Pivot!$B$1:$AB$65000,$B1193,AM$5)="",2,0)),0)</f>
        <v>0</v>
      </c>
      <c r="AN1193" s="313">
        <f>IFERROR(IF(INDEX([1]Pivot!$BF$1:$CG$65000,$B1193,AN$5)=1,1,IF(INDEX([1]Pivot!$B$1:$AB$65000,$B1193,AN$5)="",2,0)),0)</f>
        <v>0</v>
      </c>
      <c r="AO1193" s="313">
        <f>IFERROR(IF(INDEX([1]Pivot!$BF$1:$CG$65000,$B1193,AO$5)=1,1,IF(INDEX([1]Pivot!$B$1:$AB$65000,$B1193,AO$5)="",2,0)),0)</f>
        <v>0</v>
      </c>
      <c r="AP1193" s="313">
        <f>IFERROR(IF(INDEX([1]Pivot!$BF$1:$CG$65000,$B1193,AP$5)=1,1,IF(INDEX([1]Pivot!$B$1:$AB$65000,$B1193,AP$5)="",2,0)),0)</f>
        <v>0</v>
      </c>
      <c r="AQ1193" s="313">
        <f>IFERROR(IF(INDEX([1]Pivot!$BF$1:$CG$65000,$B1193,AQ$5)=1,1,IF(INDEX([1]Pivot!$B$1:$AB$65000,$B1193,AQ$5)="",2,0)),0)</f>
        <v>0</v>
      </c>
      <c r="AR1193" s="313">
        <f>IFERROR(IF(INDEX([1]Pivot!$BF$1:$CG$65000,$B1193,AR$5)=1,1,IF(INDEX([1]Pivot!$B$1:$AB$65000,$B1193,AR$5)="",2,0)),0)</f>
        <v>0</v>
      </c>
      <c r="AS1193" s="312"/>
      <c r="AT1193" s="313">
        <f>IFERROR(IF(INDEX([1]Pivot!$BF$1:$CG$65000,$B1193,AT$5)=1,1,IF(INDEX([1]Pivot!$B$1:$AB$65000,$B1193,AT$5)="",2,0)),0)</f>
        <v>0</v>
      </c>
      <c r="AU1193" s="313">
        <f>IFERROR(IF(INDEX([1]Pivot!$BF$1:$CG$65000,$B1193,AU$5)=1,1,IF(INDEX([1]Pivot!$B$1:$AB$65000,$B1193,AU$5)="",2,0)),0)</f>
        <v>0</v>
      </c>
      <c r="AV1193" s="313">
        <f>IFERROR(IF(INDEX([1]Pivot!$BF$1:$CG$65000,$B1193,AV$5)=1,1,IF(INDEX([1]Pivot!$B$1:$AB$65000,$B1193,AV$5)="",2,0)),0)</f>
        <v>0</v>
      </c>
      <c r="AW1193" s="313">
        <f>IFERROR(IF(INDEX([1]Pivot!$BF$1:$CG$65000,$B1193,AW$5)=1,1,IF(INDEX([1]Pivot!$B$1:$AB$65000,$B1193,AW$5)="",2,0)),0)</f>
        <v>0</v>
      </c>
      <c r="AX1193" s="313">
        <f>IFERROR(IF(INDEX([1]Pivot!$BF$1:$CG$65000,$B1193,AX$5)=1,1,IF(INDEX([1]Pivot!$B$1:$AB$65000,$B1193,AX$5)="",2,0)),0)</f>
        <v>0</v>
      </c>
      <c r="AY1193" s="313">
        <f>IFERROR(IF(INDEX([1]Pivot!$BF$1:$CG$65000,$B1193,AY$5)=1,1,IF(INDEX([1]Pivot!$B$1:$AB$65000,$B1193,AY$5)="",2,0)),0)</f>
        <v>0</v>
      </c>
      <c r="AZ1193" s="313">
        <f>IFERROR(IF(INDEX([1]Pivot!$BF$1:$CG$65000,$B1193,AZ$5)=1,1,IF(INDEX([1]Pivot!$B$1:$AB$65000,$B1193,AZ$5)="",2,0)),0)</f>
        <v>0</v>
      </c>
      <c r="BA1193" s="313">
        <f>IFERROR(IF(INDEX([1]Pivot!$BF$1:$CG$65000,$B1193,BA$5)=1,1,IF(INDEX([1]Pivot!$B$1:$AB$65000,$B1193,BA$5)="",2,0)),0)</f>
        <v>0</v>
      </c>
      <c r="BB1193" s="313">
        <f>IFERROR(IF(INDEX([1]Pivot!$BF$1:$CG$65000,$B1193,BB$5)=1,1,IF(INDEX([1]Pivot!$B$1:$AB$65000,$B1193,BB$5)="",2,0)),0)</f>
        <v>0</v>
      </c>
      <c r="BC1193" s="313">
        <f>IFERROR(IF(INDEX([1]Pivot!$BF$1:$CG$65000,$B1193,BC$5)=1,1,IF(INDEX([1]Pivot!$B$1:$AB$65000,$B1193,BC$5)="",2,0)),0)</f>
        <v>0</v>
      </c>
      <c r="BD1193" s="313">
        <f>IFERROR(IF(INDEX([1]Pivot!$BF$1:$CG$65000,$B1193,BD$5)=1,1,IF(INDEX([1]Pivot!$B$1:$AB$65000,$B1193,BD$5)="",2,0)),0)</f>
        <v>0</v>
      </c>
    </row>
    <row r="1194" spans="1:56" x14ac:dyDescent="0.25">
      <c r="A1194" s="288">
        <f>'[2]Raw Milk Prices'!A1194</f>
        <v>0</v>
      </c>
      <c r="B1194" s="296" t="e">
        <f>MATCH(DATE(LEFT('[2]Raw Milk Prices'!$A1194,4),RIGHT('[2]Raw Milk Prices'!$A1194,2),1),[1]Pivot!$A$1:$A$65000,0)</f>
        <v>#VALUE!</v>
      </c>
      <c r="C1194" s="194">
        <f>IFERROR(IF(INDEX([1]Pivot!$AD$1:$BE$65000,$B1194,C$5)=1,1,IF(INDEX([1]Pivot!$B$1:$AB$65000,$B1194,C$5)="",2,0)),0)</f>
        <v>0</v>
      </c>
      <c r="D1194" s="194">
        <f>IFERROR(IF(INDEX([1]Pivot!$AD$1:$BE$65000,$B1194,D$5)=1,1,IF(INDEX([1]Pivot!$B$1:$AB$65000,$B1194,D$5)="",2,0)),0)</f>
        <v>0</v>
      </c>
      <c r="E1194" s="194">
        <f>IFERROR(IF(INDEX([1]Pivot!$AD$1:$BE$65000,$B1194,E$5)=1,1,IF(INDEX([1]Pivot!$B$1:$AB$65000,$B1194,E$5)="",2,0)),0)</f>
        <v>0</v>
      </c>
      <c r="F1194" s="194">
        <f>IFERROR(IF(INDEX([1]Pivot!$AD$1:$BE$65000,$B1194,F$5)=1,1,IF(INDEX([1]Pivot!$B$1:$AB$65000,$B1194,F$5)="",2,0)),0)</f>
        <v>0</v>
      </c>
      <c r="G1194" s="194">
        <f>IFERROR(IF(INDEX([1]Pivot!$AD$1:$BE$65000,$B1194,G$5)=1,1,IF(INDEX([1]Pivot!$B$1:$AB$65000,$B1194,G$5)="",2,0)),0)</f>
        <v>0</v>
      </c>
      <c r="H1194" s="194">
        <f>IFERROR(IF(INDEX([1]Pivot!$AD$1:$BE$65000,$B1194,H$5)=1,1,IF(INDEX([1]Pivot!$B$1:$AB$65000,$B1194,H$5)="",2,0)),0)</f>
        <v>0</v>
      </c>
      <c r="I1194" s="194">
        <f>IFERROR(IF(INDEX([1]Pivot!$AD$1:$BE$65000,$B1194,I$5)=1,1,IF(INDEX([1]Pivot!$B$1:$AB$65000,$B1194,I$5)="",2,0)),0)</f>
        <v>0</v>
      </c>
      <c r="J1194" s="194">
        <f>IFERROR(IF(INDEX([1]Pivot!$AD$1:$BE$65000,$B1194,J$5)=1,1,IF(INDEX([1]Pivot!$B$1:$AB$65000,$B1194,J$5)="",2,0)),0)</f>
        <v>0</v>
      </c>
      <c r="K1194" s="194">
        <f>IFERROR(IF(INDEX([1]Pivot!$AD$1:$BE$65000,$B1194,K$5)=1,1,IF(INDEX([1]Pivot!$B$1:$AB$65000,$B1194,K$5)="",2,0)),0)</f>
        <v>0</v>
      </c>
      <c r="L1194" s="194">
        <f>IFERROR(IF(INDEX([1]Pivot!$AD$1:$BE$65000,$B1194,L$5)=1,1,IF(INDEX([1]Pivot!$B$1:$AB$65000,$B1194,L$5)="",2,0)),0)</f>
        <v>0</v>
      </c>
      <c r="M1194" s="194">
        <f>IFERROR(IF(INDEX([1]Pivot!$AD$1:$BE$65000,$B1194,M$5)=1,1,IF(INDEX([1]Pivot!$B$1:$AB$65000,$B1194,M$5)="",2,0)),0)</f>
        <v>0</v>
      </c>
      <c r="N1194" s="194">
        <f>IFERROR(IF(INDEX([1]Pivot!$AD$1:$BE$65000,$B1194,N$5)=1,1,IF(INDEX([1]Pivot!$B$1:$AB$65000,$B1194,N$5)="",2,0)),0)</f>
        <v>0</v>
      </c>
      <c r="O1194" s="194">
        <f>IFERROR(IF(INDEX([1]Pivot!$AD$1:$BE$65000,$B1194,O$5)=1,1,IF(INDEX([1]Pivot!$B$1:$AB$65000,$B1194,O$5)="",2,0)),0)</f>
        <v>0</v>
      </c>
      <c r="P1194" s="194">
        <f>IFERROR(IF(INDEX([1]Pivot!$AD$1:$BE$65000,$B1194,P$5)=1,1,IF(INDEX([1]Pivot!$B$1:$AB$65000,$B1194,P$5)="",2,0)),0)</f>
        <v>0</v>
      </c>
      <c r="Q1194" s="194">
        <f>IFERROR(IF(INDEX([1]Pivot!$AD$1:$BE$65000,$B1194,Q$5)=1,1,IF(INDEX([1]Pivot!$B$1:$AB$65000,$B1194,Q$5)="",2,0)),0)</f>
        <v>0</v>
      </c>
      <c r="R1194" s="312"/>
      <c r="S1194" s="194">
        <f>IFERROR(IF(INDEX([1]Pivot!$AD$1:$BE$65000,$B1194,S$5)=1,1,IF(INDEX([1]Pivot!$B$1:$AB$65000,$B1194,S$5)="",2,0)),0)</f>
        <v>0</v>
      </c>
      <c r="T1194" s="194">
        <f>IFERROR(IF(INDEX([1]Pivot!$AD$1:$BE$65000,$B1194,T$5)=1,1,IF(INDEX([1]Pivot!$B$1:$AB$65000,$B1194,T$5)="",2,0)),0)</f>
        <v>0</v>
      </c>
      <c r="U1194" s="194">
        <f>IFERROR(IF(INDEX([1]Pivot!$AD$1:$BE$65000,$B1194,U$5)=1,1,IF(INDEX([1]Pivot!$B$1:$AB$65000,$B1194,U$5)="",2,0)),0)</f>
        <v>0</v>
      </c>
      <c r="V1194" s="194">
        <f>IFERROR(IF(INDEX([1]Pivot!$AD$1:$BE$65000,$B1194,V$5)=1,1,IF(INDEX([1]Pivot!$B$1:$AB$65000,$B1194,V$5)="",2,0)),0)</f>
        <v>0</v>
      </c>
      <c r="W1194" s="194">
        <f>IFERROR(IF(INDEX([1]Pivot!$AD$1:$BE$65000,$B1194,W$5)=1,1,IF(INDEX([1]Pivot!$B$1:$AB$65000,$B1194,W$5)="",2,0)),0)</f>
        <v>0</v>
      </c>
      <c r="X1194" s="194">
        <f>IFERROR(IF(INDEX([1]Pivot!$AD$1:$BE$65000,$B1194,X$5)=1,1,IF(INDEX([1]Pivot!$B$1:$AB$65000,$B1194,X$5)="",2,0)),0)</f>
        <v>0</v>
      </c>
      <c r="Y1194" s="194">
        <f>IFERROR(IF(INDEX([1]Pivot!$AD$1:$BE$65000,$B1194,Y$5)=1,1,IF(INDEX([1]Pivot!$B$1:$AB$65000,$B1194,Y$5)="",2,0)),0)</f>
        <v>0</v>
      </c>
      <c r="Z1194" s="194">
        <f>IFERROR(IF(INDEX([1]Pivot!$AD$1:$BE$65000,$B1194,Z$5)=1,1,IF(INDEX([1]Pivot!$B$1:$AB$65000,$B1194,Z$5)="",2,0)),0)</f>
        <v>0</v>
      </c>
      <c r="AA1194" s="194">
        <f>IFERROR(IF(INDEX([1]Pivot!$AD$1:$BE$65000,$B1194,AA$5)=1,1,IF(INDEX([1]Pivot!$B$1:$AB$65000,$B1194,AA$5)="",2,0)),0)</f>
        <v>0</v>
      </c>
      <c r="AB1194" s="194">
        <f>IFERROR(IF(INDEX([1]Pivot!$AD$1:$BE$65000,$B1194,AB$5)=1,1,IF(INDEX([1]Pivot!$B$1:$AB$65000,$B1194,AB$5)="",2,0)),0)</f>
        <v>0</v>
      </c>
      <c r="AC1194" s="194">
        <f>IFERROR(IF(INDEX([1]Pivot!$AD$1:$BE$65000,$B1194,AC$5)=1,1,IF(INDEX([1]Pivot!$B$1:$AB$65000,$B1194,AC$5)="",2,0)),0)</f>
        <v>0</v>
      </c>
      <c r="AD1194" s="313">
        <f>IFERROR(IF(INDEX([1]Pivot!$BF$1:$CG$65000,$B1194,AD$5)=1,1,IF(INDEX([1]Pivot!$B$1:$AB$65000,$B1194,AD$5)="",2,0)),0)</f>
        <v>0</v>
      </c>
      <c r="AE1194" s="313">
        <f>IFERROR(IF(INDEX([1]Pivot!$BF$1:$CG$65000,$B1194,AE$5)=1,1,IF(INDEX([1]Pivot!$B$1:$AB$65000,$B1194,AE$5)="",2,0)),0)</f>
        <v>0</v>
      </c>
      <c r="AF1194" s="313">
        <f>IFERROR(IF(INDEX([1]Pivot!$BF$1:$CG$65000,$B1194,AF$5)=1,1,IF(INDEX([1]Pivot!$B$1:$AB$65000,$B1194,AF$5)="",2,0)),0)</f>
        <v>0</v>
      </c>
      <c r="AG1194" s="313">
        <f>IFERROR(IF(INDEX([1]Pivot!$BF$1:$CG$65000,$B1194,AG$5)=1,1,IF(INDEX([1]Pivot!$B$1:$AB$65000,$B1194,AG$5)="",2,0)),0)</f>
        <v>0</v>
      </c>
      <c r="AH1194" s="313">
        <f>IFERROR(IF(INDEX([1]Pivot!$BF$1:$CG$65000,$B1194,AH$5)=1,1,IF(INDEX([1]Pivot!$B$1:$AB$65000,$B1194,AH$5)="",2,0)),0)</f>
        <v>0</v>
      </c>
      <c r="AI1194" s="313">
        <f>IFERROR(IF(INDEX([1]Pivot!$BF$1:$CG$65000,$B1194,AI$5)=1,1,IF(INDEX([1]Pivot!$B$1:$AB$65000,$B1194,AI$5)="",2,0)),0)</f>
        <v>0</v>
      </c>
      <c r="AJ1194" s="313">
        <f>IFERROR(IF(INDEX([1]Pivot!$BF$1:$CG$65000,$B1194,AJ$5)=1,1,IF(INDEX([1]Pivot!$B$1:$AB$65000,$B1194,AJ$5)="",2,0)),0)</f>
        <v>0</v>
      </c>
      <c r="AK1194" s="313">
        <f>IFERROR(IF(INDEX([1]Pivot!$BF$1:$CG$65000,$B1194,AK$5)=1,1,IF(INDEX([1]Pivot!$B$1:$AB$65000,$B1194,AK$5)="",2,0)),0)</f>
        <v>0</v>
      </c>
      <c r="AL1194" s="313">
        <f>IFERROR(IF(INDEX([1]Pivot!$BF$1:$CG$65000,$B1194,AL$5)=1,1,IF(INDEX([1]Pivot!$B$1:$AB$65000,$B1194,AL$5)="",2,0)),0)</f>
        <v>0</v>
      </c>
      <c r="AM1194" s="313">
        <f>IFERROR(IF(INDEX([1]Pivot!$BF$1:$CG$65000,$B1194,AM$5)=1,1,IF(INDEX([1]Pivot!$B$1:$AB$65000,$B1194,AM$5)="",2,0)),0)</f>
        <v>0</v>
      </c>
      <c r="AN1194" s="313">
        <f>IFERROR(IF(INDEX([1]Pivot!$BF$1:$CG$65000,$B1194,AN$5)=1,1,IF(INDEX([1]Pivot!$B$1:$AB$65000,$B1194,AN$5)="",2,0)),0)</f>
        <v>0</v>
      </c>
      <c r="AO1194" s="313">
        <f>IFERROR(IF(INDEX([1]Pivot!$BF$1:$CG$65000,$B1194,AO$5)=1,1,IF(INDEX([1]Pivot!$B$1:$AB$65000,$B1194,AO$5)="",2,0)),0)</f>
        <v>0</v>
      </c>
      <c r="AP1194" s="313">
        <f>IFERROR(IF(INDEX([1]Pivot!$BF$1:$CG$65000,$B1194,AP$5)=1,1,IF(INDEX([1]Pivot!$B$1:$AB$65000,$B1194,AP$5)="",2,0)),0)</f>
        <v>0</v>
      </c>
      <c r="AQ1194" s="313">
        <f>IFERROR(IF(INDEX([1]Pivot!$BF$1:$CG$65000,$B1194,AQ$5)=1,1,IF(INDEX([1]Pivot!$B$1:$AB$65000,$B1194,AQ$5)="",2,0)),0)</f>
        <v>0</v>
      </c>
      <c r="AR1194" s="313">
        <f>IFERROR(IF(INDEX([1]Pivot!$BF$1:$CG$65000,$B1194,AR$5)=1,1,IF(INDEX([1]Pivot!$B$1:$AB$65000,$B1194,AR$5)="",2,0)),0)</f>
        <v>0</v>
      </c>
      <c r="AS1194" s="312"/>
      <c r="AT1194" s="313">
        <f>IFERROR(IF(INDEX([1]Pivot!$BF$1:$CG$65000,$B1194,AT$5)=1,1,IF(INDEX([1]Pivot!$B$1:$AB$65000,$B1194,AT$5)="",2,0)),0)</f>
        <v>0</v>
      </c>
      <c r="AU1194" s="313">
        <f>IFERROR(IF(INDEX([1]Pivot!$BF$1:$CG$65000,$B1194,AU$5)=1,1,IF(INDEX([1]Pivot!$B$1:$AB$65000,$B1194,AU$5)="",2,0)),0)</f>
        <v>0</v>
      </c>
      <c r="AV1194" s="313">
        <f>IFERROR(IF(INDEX([1]Pivot!$BF$1:$CG$65000,$B1194,AV$5)=1,1,IF(INDEX([1]Pivot!$B$1:$AB$65000,$B1194,AV$5)="",2,0)),0)</f>
        <v>0</v>
      </c>
      <c r="AW1194" s="313">
        <f>IFERROR(IF(INDEX([1]Pivot!$BF$1:$CG$65000,$B1194,AW$5)=1,1,IF(INDEX([1]Pivot!$B$1:$AB$65000,$B1194,AW$5)="",2,0)),0)</f>
        <v>0</v>
      </c>
      <c r="AX1194" s="313">
        <f>IFERROR(IF(INDEX([1]Pivot!$BF$1:$CG$65000,$B1194,AX$5)=1,1,IF(INDEX([1]Pivot!$B$1:$AB$65000,$B1194,AX$5)="",2,0)),0)</f>
        <v>0</v>
      </c>
      <c r="AY1194" s="313">
        <f>IFERROR(IF(INDEX([1]Pivot!$BF$1:$CG$65000,$B1194,AY$5)=1,1,IF(INDEX([1]Pivot!$B$1:$AB$65000,$B1194,AY$5)="",2,0)),0)</f>
        <v>0</v>
      </c>
      <c r="AZ1194" s="313">
        <f>IFERROR(IF(INDEX([1]Pivot!$BF$1:$CG$65000,$B1194,AZ$5)=1,1,IF(INDEX([1]Pivot!$B$1:$AB$65000,$B1194,AZ$5)="",2,0)),0)</f>
        <v>0</v>
      </c>
      <c r="BA1194" s="313">
        <f>IFERROR(IF(INDEX([1]Pivot!$BF$1:$CG$65000,$B1194,BA$5)=1,1,IF(INDEX([1]Pivot!$B$1:$AB$65000,$B1194,BA$5)="",2,0)),0)</f>
        <v>0</v>
      </c>
      <c r="BB1194" s="313">
        <f>IFERROR(IF(INDEX([1]Pivot!$BF$1:$CG$65000,$B1194,BB$5)=1,1,IF(INDEX([1]Pivot!$B$1:$AB$65000,$B1194,BB$5)="",2,0)),0)</f>
        <v>0</v>
      </c>
      <c r="BC1194" s="313">
        <f>IFERROR(IF(INDEX([1]Pivot!$BF$1:$CG$65000,$B1194,BC$5)=1,1,IF(INDEX([1]Pivot!$B$1:$AB$65000,$B1194,BC$5)="",2,0)),0)</f>
        <v>0</v>
      </c>
      <c r="BD1194" s="313">
        <f>IFERROR(IF(INDEX([1]Pivot!$BF$1:$CG$65000,$B1194,BD$5)=1,1,IF(INDEX([1]Pivot!$B$1:$AB$65000,$B1194,BD$5)="",2,0)),0)</f>
        <v>0</v>
      </c>
    </row>
    <row r="1195" spans="1:56" x14ac:dyDescent="0.25">
      <c r="A1195" s="288">
        <f>'[2]Raw Milk Prices'!A1195</f>
        <v>0</v>
      </c>
      <c r="B1195" s="296" t="e">
        <f>MATCH(DATE(LEFT('[2]Raw Milk Prices'!$A1195,4),RIGHT('[2]Raw Milk Prices'!$A1195,2),1),[1]Pivot!$A$1:$A$65000,0)</f>
        <v>#VALUE!</v>
      </c>
      <c r="C1195" s="194">
        <f>IFERROR(IF(INDEX([1]Pivot!$AD$1:$BE$65000,$B1195,C$5)=1,1,IF(INDEX([1]Pivot!$B$1:$AB$65000,$B1195,C$5)="",2,0)),0)</f>
        <v>0</v>
      </c>
      <c r="D1195" s="194">
        <f>IFERROR(IF(INDEX([1]Pivot!$AD$1:$BE$65000,$B1195,D$5)=1,1,IF(INDEX([1]Pivot!$B$1:$AB$65000,$B1195,D$5)="",2,0)),0)</f>
        <v>0</v>
      </c>
      <c r="E1195" s="194">
        <f>IFERROR(IF(INDEX([1]Pivot!$AD$1:$BE$65000,$B1195,E$5)=1,1,IF(INDEX([1]Pivot!$B$1:$AB$65000,$B1195,E$5)="",2,0)),0)</f>
        <v>0</v>
      </c>
      <c r="F1195" s="194">
        <f>IFERROR(IF(INDEX([1]Pivot!$AD$1:$BE$65000,$B1195,F$5)=1,1,IF(INDEX([1]Pivot!$B$1:$AB$65000,$B1195,F$5)="",2,0)),0)</f>
        <v>0</v>
      </c>
      <c r="G1195" s="194">
        <f>IFERROR(IF(INDEX([1]Pivot!$AD$1:$BE$65000,$B1195,G$5)=1,1,IF(INDEX([1]Pivot!$B$1:$AB$65000,$B1195,G$5)="",2,0)),0)</f>
        <v>0</v>
      </c>
      <c r="H1195" s="194">
        <f>IFERROR(IF(INDEX([1]Pivot!$AD$1:$BE$65000,$B1195,H$5)=1,1,IF(INDEX([1]Pivot!$B$1:$AB$65000,$B1195,H$5)="",2,0)),0)</f>
        <v>0</v>
      </c>
      <c r="I1195" s="194">
        <f>IFERROR(IF(INDEX([1]Pivot!$AD$1:$BE$65000,$B1195,I$5)=1,1,IF(INDEX([1]Pivot!$B$1:$AB$65000,$B1195,I$5)="",2,0)),0)</f>
        <v>0</v>
      </c>
      <c r="J1195" s="194">
        <f>IFERROR(IF(INDEX([1]Pivot!$AD$1:$BE$65000,$B1195,J$5)=1,1,IF(INDEX([1]Pivot!$B$1:$AB$65000,$B1195,J$5)="",2,0)),0)</f>
        <v>0</v>
      </c>
      <c r="K1195" s="194">
        <f>IFERROR(IF(INDEX([1]Pivot!$AD$1:$BE$65000,$B1195,K$5)=1,1,IF(INDEX([1]Pivot!$B$1:$AB$65000,$B1195,K$5)="",2,0)),0)</f>
        <v>0</v>
      </c>
      <c r="L1195" s="194">
        <f>IFERROR(IF(INDEX([1]Pivot!$AD$1:$BE$65000,$B1195,L$5)=1,1,IF(INDEX([1]Pivot!$B$1:$AB$65000,$B1195,L$5)="",2,0)),0)</f>
        <v>0</v>
      </c>
      <c r="M1195" s="194">
        <f>IFERROR(IF(INDEX([1]Pivot!$AD$1:$BE$65000,$B1195,M$5)=1,1,IF(INDEX([1]Pivot!$B$1:$AB$65000,$B1195,M$5)="",2,0)),0)</f>
        <v>0</v>
      </c>
      <c r="N1195" s="194">
        <f>IFERROR(IF(INDEX([1]Pivot!$AD$1:$BE$65000,$B1195,N$5)=1,1,IF(INDEX([1]Pivot!$B$1:$AB$65000,$B1195,N$5)="",2,0)),0)</f>
        <v>0</v>
      </c>
      <c r="O1195" s="194">
        <f>IFERROR(IF(INDEX([1]Pivot!$AD$1:$BE$65000,$B1195,O$5)=1,1,IF(INDEX([1]Pivot!$B$1:$AB$65000,$B1195,O$5)="",2,0)),0)</f>
        <v>0</v>
      </c>
      <c r="P1195" s="194">
        <f>IFERROR(IF(INDEX([1]Pivot!$AD$1:$BE$65000,$B1195,P$5)=1,1,IF(INDEX([1]Pivot!$B$1:$AB$65000,$B1195,P$5)="",2,0)),0)</f>
        <v>0</v>
      </c>
      <c r="Q1195" s="194">
        <f>IFERROR(IF(INDEX([1]Pivot!$AD$1:$BE$65000,$B1195,Q$5)=1,1,IF(INDEX([1]Pivot!$B$1:$AB$65000,$B1195,Q$5)="",2,0)),0)</f>
        <v>0</v>
      </c>
      <c r="R1195" s="312"/>
      <c r="S1195" s="194">
        <f>IFERROR(IF(INDEX([1]Pivot!$AD$1:$BE$65000,$B1195,S$5)=1,1,IF(INDEX([1]Pivot!$B$1:$AB$65000,$B1195,S$5)="",2,0)),0)</f>
        <v>0</v>
      </c>
      <c r="T1195" s="194">
        <f>IFERROR(IF(INDEX([1]Pivot!$AD$1:$BE$65000,$B1195,T$5)=1,1,IF(INDEX([1]Pivot!$B$1:$AB$65000,$B1195,T$5)="",2,0)),0)</f>
        <v>0</v>
      </c>
      <c r="U1195" s="194">
        <f>IFERROR(IF(INDEX([1]Pivot!$AD$1:$BE$65000,$B1195,U$5)=1,1,IF(INDEX([1]Pivot!$B$1:$AB$65000,$B1195,U$5)="",2,0)),0)</f>
        <v>0</v>
      </c>
      <c r="V1195" s="194">
        <f>IFERROR(IF(INDEX([1]Pivot!$AD$1:$BE$65000,$B1195,V$5)=1,1,IF(INDEX([1]Pivot!$B$1:$AB$65000,$B1195,V$5)="",2,0)),0)</f>
        <v>0</v>
      </c>
      <c r="W1195" s="194">
        <f>IFERROR(IF(INDEX([1]Pivot!$AD$1:$BE$65000,$B1195,W$5)=1,1,IF(INDEX([1]Pivot!$B$1:$AB$65000,$B1195,W$5)="",2,0)),0)</f>
        <v>0</v>
      </c>
      <c r="X1195" s="194">
        <f>IFERROR(IF(INDEX([1]Pivot!$AD$1:$BE$65000,$B1195,X$5)=1,1,IF(INDEX([1]Pivot!$B$1:$AB$65000,$B1195,X$5)="",2,0)),0)</f>
        <v>0</v>
      </c>
      <c r="Y1195" s="194">
        <f>IFERROR(IF(INDEX([1]Pivot!$AD$1:$BE$65000,$B1195,Y$5)=1,1,IF(INDEX([1]Pivot!$B$1:$AB$65000,$B1195,Y$5)="",2,0)),0)</f>
        <v>0</v>
      </c>
      <c r="Z1195" s="194">
        <f>IFERROR(IF(INDEX([1]Pivot!$AD$1:$BE$65000,$B1195,Z$5)=1,1,IF(INDEX([1]Pivot!$B$1:$AB$65000,$B1195,Z$5)="",2,0)),0)</f>
        <v>0</v>
      </c>
      <c r="AA1195" s="194">
        <f>IFERROR(IF(INDEX([1]Pivot!$AD$1:$BE$65000,$B1195,AA$5)=1,1,IF(INDEX([1]Pivot!$B$1:$AB$65000,$B1195,AA$5)="",2,0)),0)</f>
        <v>0</v>
      </c>
      <c r="AB1195" s="194">
        <f>IFERROR(IF(INDEX([1]Pivot!$AD$1:$BE$65000,$B1195,AB$5)=1,1,IF(INDEX([1]Pivot!$B$1:$AB$65000,$B1195,AB$5)="",2,0)),0)</f>
        <v>0</v>
      </c>
      <c r="AC1195" s="194">
        <f>IFERROR(IF(INDEX([1]Pivot!$AD$1:$BE$65000,$B1195,AC$5)=1,1,IF(INDEX([1]Pivot!$B$1:$AB$65000,$B1195,AC$5)="",2,0)),0)</f>
        <v>0</v>
      </c>
      <c r="AD1195" s="313">
        <f>IFERROR(IF(INDEX([1]Pivot!$BF$1:$CG$65000,$B1195,AD$5)=1,1,IF(INDEX([1]Pivot!$B$1:$AB$65000,$B1195,AD$5)="",2,0)),0)</f>
        <v>0</v>
      </c>
      <c r="AE1195" s="313">
        <f>IFERROR(IF(INDEX([1]Pivot!$BF$1:$CG$65000,$B1195,AE$5)=1,1,IF(INDEX([1]Pivot!$B$1:$AB$65000,$B1195,AE$5)="",2,0)),0)</f>
        <v>0</v>
      </c>
      <c r="AF1195" s="313">
        <f>IFERROR(IF(INDEX([1]Pivot!$BF$1:$CG$65000,$B1195,AF$5)=1,1,IF(INDEX([1]Pivot!$B$1:$AB$65000,$B1195,AF$5)="",2,0)),0)</f>
        <v>0</v>
      </c>
      <c r="AG1195" s="313">
        <f>IFERROR(IF(INDEX([1]Pivot!$BF$1:$CG$65000,$B1195,AG$5)=1,1,IF(INDEX([1]Pivot!$B$1:$AB$65000,$B1195,AG$5)="",2,0)),0)</f>
        <v>0</v>
      </c>
      <c r="AH1195" s="313">
        <f>IFERROR(IF(INDEX([1]Pivot!$BF$1:$CG$65000,$B1195,AH$5)=1,1,IF(INDEX([1]Pivot!$B$1:$AB$65000,$B1195,AH$5)="",2,0)),0)</f>
        <v>0</v>
      </c>
      <c r="AI1195" s="313">
        <f>IFERROR(IF(INDEX([1]Pivot!$BF$1:$CG$65000,$B1195,AI$5)=1,1,IF(INDEX([1]Pivot!$B$1:$AB$65000,$B1195,AI$5)="",2,0)),0)</f>
        <v>0</v>
      </c>
      <c r="AJ1195" s="313">
        <f>IFERROR(IF(INDEX([1]Pivot!$BF$1:$CG$65000,$B1195,AJ$5)=1,1,IF(INDEX([1]Pivot!$B$1:$AB$65000,$B1195,AJ$5)="",2,0)),0)</f>
        <v>0</v>
      </c>
      <c r="AK1195" s="313">
        <f>IFERROR(IF(INDEX([1]Pivot!$BF$1:$CG$65000,$B1195,AK$5)=1,1,IF(INDEX([1]Pivot!$B$1:$AB$65000,$B1195,AK$5)="",2,0)),0)</f>
        <v>0</v>
      </c>
      <c r="AL1195" s="313">
        <f>IFERROR(IF(INDEX([1]Pivot!$BF$1:$CG$65000,$B1195,AL$5)=1,1,IF(INDEX([1]Pivot!$B$1:$AB$65000,$B1195,AL$5)="",2,0)),0)</f>
        <v>0</v>
      </c>
      <c r="AM1195" s="313">
        <f>IFERROR(IF(INDEX([1]Pivot!$BF$1:$CG$65000,$B1195,AM$5)=1,1,IF(INDEX([1]Pivot!$B$1:$AB$65000,$B1195,AM$5)="",2,0)),0)</f>
        <v>0</v>
      </c>
      <c r="AN1195" s="313">
        <f>IFERROR(IF(INDEX([1]Pivot!$BF$1:$CG$65000,$B1195,AN$5)=1,1,IF(INDEX([1]Pivot!$B$1:$AB$65000,$B1195,AN$5)="",2,0)),0)</f>
        <v>0</v>
      </c>
      <c r="AO1195" s="313">
        <f>IFERROR(IF(INDEX([1]Pivot!$BF$1:$CG$65000,$B1195,AO$5)=1,1,IF(INDEX([1]Pivot!$B$1:$AB$65000,$B1195,AO$5)="",2,0)),0)</f>
        <v>0</v>
      </c>
      <c r="AP1195" s="313">
        <f>IFERROR(IF(INDEX([1]Pivot!$BF$1:$CG$65000,$B1195,AP$5)=1,1,IF(INDEX([1]Pivot!$B$1:$AB$65000,$B1195,AP$5)="",2,0)),0)</f>
        <v>0</v>
      </c>
      <c r="AQ1195" s="313">
        <f>IFERROR(IF(INDEX([1]Pivot!$BF$1:$CG$65000,$B1195,AQ$5)=1,1,IF(INDEX([1]Pivot!$B$1:$AB$65000,$B1195,AQ$5)="",2,0)),0)</f>
        <v>0</v>
      </c>
      <c r="AR1195" s="313">
        <f>IFERROR(IF(INDEX([1]Pivot!$BF$1:$CG$65000,$B1195,AR$5)=1,1,IF(INDEX([1]Pivot!$B$1:$AB$65000,$B1195,AR$5)="",2,0)),0)</f>
        <v>0</v>
      </c>
      <c r="AS1195" s="312"/>
      <c r="AT1195" s="313">
        <f>IFERROR(IF(INDEX([1]Pivot!$BF$1:$CG$65000,$B1195,AT$5)=1,1,IF(INDEX([1]Pivot!$B$1:$AB$65000,$B1195,AT$5)="",2,0)),0)</f>
        <v>0</v>
      </c>
      <c r="AU1195" s="313">
        <f>IFERROR(IF(INDEX([1]Pivot!$BF$1:$CG$65000,$B1195,AU$5)=1,1,IF(INDEX([1]Pivot!$B$1:$AB$65000,$B1195,AU$5)="",2,0)),0)</f>
        <v>0</v>
      </c>
      <c r="AV1195" s="313">
        <f>IFERROR(IF(INDEX([1]Pivot!$BF$1:$CG$65000,$B1195,AV$5)=1,1,IF(INDEX([1]Pivot!$B$1:$AB$65000,$B1195,AV$5)="",2,0)),0)</f>
        <v>0</v>
      </c>
      <c r="AW1195" s="313">
        <f>IFERROR(IF(INDEX([1]Pivot!$BF$1:$CG$65000,$B1195,AW$5)=1,1,IF(INDEX([1]Pivot!$B$1:$AB$65000,$B1195,AW$5)="",2,0)),0)</f>
        <v>0</v>
      </c>
      <c r="AX1195" s="313">
        <f>IFERROR(IF(INDEX([1]Pivot!$BF$1:$CG$65000,$B1195,AX$5)=1,1,IF(INDEX([1]Pivot!$B$1:$AB$65000,$B1195,AX$5)="",2,0)),0)</f>
        <v>0</v>
      </c>
      <c r="AY1195" s="313">
        <f>IFERROR(IF(INDEX([1]Pivot!$BF$1:$CG$65000,$B1195,AY$5)=1,1,IF(INDEX([1]Pivot!$B$1:$AB$65000,$B1195,AY$5)="",2,0)),0)</f>
        <v>0</v>
      </c>
      <c r="AZ1195" s="313">
        <f>IFERROR(IF(INDEX([1]Pivot!$BF$1:$CG$65000,$B1195,AZ$5)=1,1,IF(INDEX([1]Pivot!$B$1:$AB$65000,$B1195,AZ$5)="",2,0)),0)</f>
        <v>0</v>
      </c>
      <c r="BA1195" s="313">
        <f>IFERROR(IF(INDEX([1]Pivot!$BF$1:$CG$65000,$B1195,BA$5)=1,1,IF(INDEX([1]Pivot!$B$1:$AB$65000,$B1195,BA$5)="",2,0)),0)</f>
        <v>0</v>
      </c>
      <c r="BB1195" s="313">
        <f>IFERROR(IF(INDEX([1]Pivot!$BF$1:$CG$65000,$B1195,BB$5)=1,1,IF(INDEX([1]Pivot!$B$1:$AB$65000,$B1195,BB$5)="",2,0)),0)</f>
        <v>0</v>
      </c>
      <c r="BC1195" s="313">
        <f>IFERROR(IF(INDEX([1]Pivot!$BF$1:$CG$65000,$B1195,BC$5)=1,1,IF(INDEX([1]Pivot!$B$1:$AB$65000,$B1195,BC$5)="",2,0)),0)</f>
        <v>0</v>
      </c>
      <c r="BD1195" s="313">
        <f>IFERROR(IF(INDEX([1]Pivot!$BF$1:$CG$65000,$B1195,BD$5)=1,1,IF(INDEX([1]Pivot!$B$1:$AB$65000,$B1195,BD$5)="",2,0)),0)</f>
        <v>0</v>
      </c>
    </row>
    <row r="1196" spans="1:56" x14ac:dyDescent="0.25">
      <c r="A1196" s="288">
        <f>'[2]Raw Milk Prices'!A1196</f>
        <v>0</v>
      </c>
      <c r="B1196" s="296" t="e">
        <f>MATCH(DATE(LEFT('[2]Raw Milk Prices'!$A1196,4),RIGHT('[2]Raw Milk Prices'!$A1196,2),1),[1]Pivot!$A$1:$A$65000,0)</f>
        <v>#VALUE!</v>
      </c>
      <c r="C1196" s="194">
        <f>IFERROR(IF(INDEX([1]Pivot!$AD$1:$BE$65000,$B1196,C$5)=1,1,IF(INDEX([1]Pivot!$B$1:$AB$65000,$B1196,C$5)="",2,0)),0)</f>
        <v>0</v>
      </c>
      <c r="D1196" s="194">
        <f>IFERROR(IF(INDEX([1]Pivot!$AD$1:$BE$65000,$B1196,D$5)=1,1,IF(INDEX([1]Pivot!$B$1:$AB$65000,$B1196,D$5)="",2,0)),0)</f>
        <v>0</v>
      </c>
      <c r="E1196" s="194">
        <f>IFERROR(IF(INDEX([1]Pivot!$AD$1:$BE$65000,$B1196,E$5)=1,1,IF(INDEX([1]Pivot!$B$1:$AB$65000,$B1196,E$5)="",2,0)),0)</f>
        <v>0</v>
      </c>
      <c r="F1196" s="194">
        <f>IFERROR(IF(INDEX([1]Pivot!$AD$1:$BE$65000,$B1196,F$5)=1,1,IF(INDEX([1]Pivot!$B$1:$AB$65000,$B1196,F$5)="",2,0)),0)</f>
        <v>0</v>
      </c>
      <c r="G1196" s="194">
        <f>IFERROR(IF(INDEX([1]Pivot!$AD$1:$BE$65000,$B1196,G$5)=1,1,IF(INDEX([1]Pivot!$B$1:$AB$65000,$B1196,G$5)="",2,0)),0)</f>
        <v>0</v>
      </c>
      <c r="H1196" s="194">
        <f>IFERROR(IF(INDEX([1]Pivot!$AD$1:$BE$65000,$B1196,H$5)=1,1,IF(INDEX([1]Pivot!$B$1:$AB$65000,$B1196,H$5)="",2,0)),0)</f>
        <v>0</v>
      </c>
      <c r="I1196" s="194">
        <f>IFERROR(IF(INDEX([1]Pivot!$AD$1:$BE$65000,$B1196,I$5)=1,1,IF(INDEX([1]Pivot!$B$1:$AB$65000,$B1196,I$5)="",2,0)),0)</f>
        <v>0</v>
      </c>
      <c r="J1196" s="194">
        <f>IFERROR(IF(INDEX([1]Pivot!$AD$1:$BE$65000,$B1196,J$5)=1,1,IF(INDEX([1]Pivot!$B$1:$AB$65000,$B1196,J$5)="",2,0)),0)</f>
        <v>0</v>
      </c>
      <c r="K1196" s="194">
        <f>IFERROR(IF(INDEX([1]Pivot!$AD$1:$BE$65000,$B1196,K$5)=1,1,IF(INDEX([1]Pivot!$B$1:$AB$65000,$B1196,K$5)="",2,0)),0)</f>
        <v>0</v>
      </c>
      <c r="L1196" s="194">
        <f>IFERROR(IF(INDEX([1]Pivot!$AD$1:$BE$65000,$B1196,L$5)=1,1,IF(INDEX([1]Pivot!$B$1:$AB$65000,$B1196,L$5)="",2,0)),0)</f>
        <v>0</v>
      </c>
      <c r="M1196" s="194">
        <f>IFERROR(IF(INDEX([1]Pivot!$AD$1:$BE$65000,$B1196,M$5)=1,1,IF(INDEX([1]Pivot!$B$1:$AB$65000,$B1196,M$5)="",2,0)),0)</f>
        <v>0</v>
      </c>
      <c r="N1196" s="194">
        <f>IFERROR(IF(INDEX([1]Pivot!$AD$1:$BE$65000,$B1196,N$5)=1,1,IF(INDEX([1]Pivot!$B$1:$AB$65000,$B1196,N$5)="",2,0)),0)</f>
        <v>0</v>
      </c>
      <c r="O1196" s="194">
        <f>IFERROR(IF(INDEX([1]Pivot!$AD$1:$BE$65000,$B1196,O$5)=1,1,IF(INDEX([1]Pivot!$B$1:$AB$65000,$B1196,O$5)="",2,0)),0)</f>
        <v>0</v>
      </c>
      <c r="P1196" s="194">
        <f>IFERROR(IF(INDEX([1]Pivot!$AD$1:$BE$65000,$B1196,P$5)=1,1,IF(INDEX([1]Pivot!$B$1:$AB$65000,$B1196,P$5)="",2,0)),0)</f>
        <v>0</v>
      </c>
      <c r="Q1196" s="194">
        <f>IFERROR(IF(INDEX([1]Pivot!$AD$1:$BE$65000,$B1196,Q$5)=1,1,IF(INDEX([1]Pivot!$B$1:$AB$65000,$B1196,Q$5)="",2,0)),0)</f>
        <v>0</v>
      </c>
      <c r="R1196" s="312"/>
      <c r="S1196" s="194">
        <f>IFERROR(IF(INDEX([1]Pivot!$AD$1:$BE$65000,$B1196,S$5)=1,1,IF(INDEX([1]Pivot!$B$1:$AB$65000,$B1196,S$5)="",2,0)),0)</f>
        <v>0</v>
      </c>
      <c r="T1196" s="194">
        <f>IFERROR(IF(INDEX([1]Pivot!$AD$1:$BE$65000,$B1196,T$5)=1,1,IF(INDEX([1]Pivot!$B$1:$AB$65000,$B1196,T$5)="",2,0)),0)</f>
        <v>0</v>
      </c>
      <c r="U1196" s="194">
        <f>IFERROR(IF(INDEX([1]Pivot!$AD$1:$BE$65000,$B1196,U$5)=1,1,IF(INDEX([1]Pivot!$B$1:$AB$65000,$B1196,U$5)="",2,0)),0)</f>
        <v>0</v>
      </c>
      <c r="V1196" s="194">
        <f>IFERROR(IF(INDEX([1]Pivot!$AD$1:$BE$65000,$B1196,V$5)=1,1,IF(INDEX([1]Pivot!$B$1:$AB$65000,$B1196,V$5)="",2,0)),0)</f>
        <v>0</v>
      </c>
      <c r="W1196" s="194">
        <f>IFERROR(IF(INDEX([1]Pivot!$AD$1:$BE$65000,$B1196,W$5)=1,1,IF(INDEX([1]Pivot!$B$1:$AB$65000,$B1196,W$5)="",2,0)),0)</f>
        <v>0</v>
      </c>
      <c r="X1196" s="194">
        <f>IFERROR(IF(INDEX([1]Pivot!$AD$1:$BE$65000,$B1196,X$5)=1,1,IF(INDEX([1]Pivot!$B$1:$AB$65000,$B1196,X$5)="",2,0)),0)</f>
        <v>0</v>
      </c>
      <c r="Y1196" s="194">
        <f>IFERROR(IF(INDEX([1]Pivot!$AD$1:$BE$65000,$B1196,Y$5)=1,1,IF(INDEX([1]Pivot!$B$1:$AB$65000,$B1196,Y$5)="",2,0)),0)</f>
        <v>0</v>
      </c>
      <c r="Z1196" s="194">
        <f>IFERROR(IF(INDEX([1]Pivot!$AD$1:$BE$65000,$B1196,Z$5)=1,1,IF(INDEX([1]Pivot!$B$1:$AB$65000,$B1196,Z$5)="",2,0)),0)</f>
        <v>0</v>
      </c>
      <c r="AA1196" s="194">
        <f>IFERROR(IF(INDEX([1]Pivot!$AD$1:$BE$65000,$B1196,AA$5)=1,1,IF(INDEX([1]Pivot!$B$1:$AB$65000,$B1196,AA$5)="",2,0)),0)</f>
        <v>0</v>
      </c>
      <c r="AB1196" s="194">
        <f>IFERROR(IF(INDEX([1]Pivot!$AD$1:$BE$65000,$B1196,AB$5)=1,1,IF(INDEX([1]Pivot!$B$1:$AB$65000,$B1196,AB$5)="",2,0)),0)</f>
        <v>0</v>
      </c>
      <c r="AC1196" s="194">
        <f>IFERROR(IF(INDEX([1]Pivot!$AD$1:$BE$65000,$B1196,AC$5)=1,1,IF(INDEX([1]Pivot!$B$1:$AB$65000,$B1196,AC$5)="",2,0)),0)</f>
        <v>0</v>
      </c>
      <c r="AD1196" s="313">
        <f>IFERROR(IF(INDEX([1]Pivot!$BF$1:$CG$65000,$B1196,AD$5)=1,1,IF(INDEX([1]Pivot!$B$1:$AB$65000,$B1196,AD$5)="",2,0)),0)</f>
        <v>0</v>
      </c>
      <c r="AE1196" s="313">
        <f>IFERROR(IF(INDEX([1]Pivot!$BF$1:$CG$65000,$B1196,AE$5)=1,1,IF(INDEX([1]Pivot!$B$1:$AB$65000,$B1196,AE$5)="",2,0)),0)</f>
        <v>0</v>
      </c>
      <c r="AF1196" s="313">
        <f>IFERROR(IF(INDEX([1]Pivot!$BF$1:$CG$65000,$B1196,AF$5)=1,1,IF(INDEX([1]Pivot!$B$1:$AB$65000,$B1196,AF$5)="",2,0)),0)</f>
        <v>0</v>
      </c>
      <c r="AG1196" s="313">
        <f>IFERROR(IF(INDEX([1]Pivot!$BF$1:$CG$65000,$B1196,AG$5)=1,1,IF(INDEX([1]Pivot!$B$1:$AB$65000,$B1196,AG$5)="",2,0)),0)</f>
        <v>0</v>
      </c>
      <c r="AH1196" s="313">
        <f>IFERROR(IF(INDEX([1]Pivot!$BF$1:$CG$65000,$B1196,AH$5)=1,1,IF(INDEX([1]Pivot!$B$1:$AB$65000,$B1196,AH$5)="",2,0)),0)</f>
        <v>0</v>
      </c>
      <c r="AI1196" s="313">
        <f>IFERROR(IF(INDEX([1]Pivot!$BF$1:$CG$65000,$B1196,AI$5)=1,1,IF(INDEX([1]Pivot!$B$1:$AB$65000,$B1196,AI$5)="",2,0)),0)</f>
        <v>0</v>
      </c>
      <c r="AJ1196" s="313">
        <f>IFERROR(IF(INDEX([1]Pivot!$BF$1:$CG$65000,$B1196,AJ$5)=1,1,IF(INDEX([1]Pivot!$B$1:$AB$65000,$B1196,AJ$5)="",2,0)),0)</f>
        <v>0</v>
      </c>
      <c r="AK1196" s="313">
        <f>IFERROR(IF(INDEX([1]Pivot!$BF$1:$CG$65000,$B1196,AK$5)=1,1,IF(INDEX([1]Pivot!$B$1:$AB$65000,$B1196,AK$5)="",2,0)),0)</f>
        <v>0</v>
      </c>
      <c r="AL1196" s="313">
        <f>IFERROR(IF(INDEX([1]Pivot!$BF$1:$CG$65000,$B1196,AL$5)=1,1,IF(INDEX([1]Pivot!$B$1:$AB$65000,$B1196,AL$5)="",2,0)),0)</f>
        <v>0</v>
      </c>
      <c r="AM1196" s="313">
        <f>IFERROR(IF(INDEX([1]Pivot!$BF$1:$CG$65000,$B1196,AM$5)=1,1,IF(INDEX([1]Pivot!$B$1:$AB$65000,$B1196,AM$5)="",2,0)),0)</f>
        <v>0</v>
      </c>
      <c r="AN1196" s="313">
        <f>IFERROR(IF(INDEX([1]Pivot!$BF$1:$CG$65000,$B1196,AN$5)=1,1,IF(INDEX([1]Pivot!$B$1:$AB$65000,$B1196,AN$5)="",2,0)),0)</f>
        <v>0</v>
      </c>
      <c r="AO1196" s="313">
        <f>IFERROR(IF(INDEX([1]Pivot!$BF$1:$CG$65000,$B1196,AO$5)=1,1,IF(INDEX([1]Pivot!$B$1:$AB$65000,$B1196,AO$5)="",2,0)),0)</f>
        <v>0</v>
      </c>
      <c r="AP1196" s="313">
        <f>IFERROR(IF(INDEX([1]Pivot!$BF$1:$CG$65000,$B1196,AP$5)=1,1,IF(INDEX([1]Pivot!$B$1:$AB$65000,$B1196,AP$5)="",2,0)),0)</f>
        <v>0</v>
      </c>
      <c r="AQ1196" s="313">
        <f>IFERROR(IF(INDEX([1]Pivot!$BF$1:$CG$65000,$B1196,AQ$5)=1,1,IF(INDEX([1]Pivot!$B$1:$AB$65000,$B1196,AQ$5)="",2,0)),0)</f>
        <v>0</v>
      </c>
      <c r="AR1196" s="313">
        <f>IFERROR(IF(INDEX([1]Pivot!$BF$1:$CG$65000,$B1196,AR$5)=1,1,IF(INDEX([1]Pivot!$B$1:$AB$65000,$B1196,AR$5)="",2,0)),0)</f>
        <v>0</v>
      </c>
      <c r="AS1196" s="312"/>
      <c r="AT1196" s="313">
        <f>IFERROR(IF(INDEX([1]Pivot!$BF$1:$CG$65000,$B1196,AT$5)=1,1,IF(INDEX([1]Pivot!$B$1:$AB$65000,$B1196,AT$5)="",2,0)),0)</f>
        <v>0</v>
      </c>
      <c r="AU1196" s="313">
        <f>IFERROR(IF(INDEX([1]Pivot!$BF$1:$CG$65000,$B1196,AU$5)=1,1,IF(INDEX([1]Pivot!$B$1:$AB$65000,$B1196,AU$5)="",2,0)),0)</f>
        <v>0</v>
      </c>
      <c r="AV1196" s="313">
        <f>IFERROR(IF(INDEX([1]Pivot!$BF$1:$CG$65000,$B1196,AV$5)=1,1,IF(INDEX([1]Pivot!$B$1:$AB$65000,$B1196,AV$5)="",2,0)),0)</f>
        <v>0</v>
      </c>
      <c r="AW1196" s="313">
        <f>IFERROR(IF(INDEX([1]Pivot!$BF$1:$CG$65000,$B1196,AW$5)=1,1,IF(INDEX([1]Pivot!$B$1:$AB$65000,$B1196,AW$5)="",2,0)),0)</f>
        <v>0</v>
      </c>
      <c r="AX1196" s="313">
        <f>IFERROR(IF(INDEX([1]Pivot!$BF$1:$CG$65000,$B1196,AX$5)=1,1,IF(INDEX([1]Pivot!$B$1:$AB$65000,$B1196,AX$5)="",2,0)),0)</f>
        <v>0</v>
      </c>
      <c r="AY1196" s="313">
        <f>IFERROR(IF(INDEX([1]Pivot!$BF$1:$CG$65000,$B1196,AY$5)=1,1,IF(INDEX([1]Pivot!$B$1:$AB$65000,$B1196,AY$5)="",2,0)),0)</f>
        <v>0</v>
      </c>
      <c r="AZ1196" s="313">
        <f>IFERROR(IF(INDEX([1]Pivot!$BF$1:$CG$65000,$B1196,AZ$5)=1,1,IF(INDEX([1]Pivot!$B$1:$AB$65000,$B1196,AZ$5)="",2,0)),0)</f>
        <v>0</v>
      </c>
      <c r="BA1196" s="313">
        <f>IFERROR(IF(INDEX([1]Pivot!$BF$1:$CG$65000,$B1196,BA$5)=1,1,IF(INDEX([1]Pivot!$B$1:$AB$65000,$B1196,BA$5)="",2,0)),0)</f>
        <v>0</v>
      </c>
      <c r="BB1196" s="313">
        <f>IFERROR(IF(INDEX([1]Pivot!$BF$1:$CG$65000,$B1196,BB$5)=1,1,IF(INDEX([1]Pivot!$B$1:$AB$65000,$B1196,BB$5)="",2,0)),0)</f>
        <v>0</v>
      </c>
      <c r="BC1196" s="313">
        <f>IFERROR(IF(INDEX([1]Pivot!$BF$1:$CG$65000,$B1196,BC$5)=1,1,IF(INDEX([1]Pivot!$B$1:$AB$65000,$B1196,BC$5)="",2,0)),0)</f>
        <v>0</v>
      </c>
      <c r="BD1196" s="313">
        <f>IFERROR(IF(INDEX([1]Pivot!$BF$1:$CG$65000,$B1196,BD$5)=1,1,IF(INDEX([1]Pivot!$B$1:$AB$65000,$B1196,BD$5)="",2,0)),0)</f>
        <v>0</v>
      </c>
    </row>
    <row r="1197" spans="1:56" x14ac:dyDescent="0.25">
      <c r="A1197" s="288">
        <f>'[2]Raw Milk Prices'!A1197</f>
        <v>0</v>
      </c>
      <c r="B1197" s="296" t="e">
        <f>MATCH(DATE(LEFT('[2]Raw Milk Prices'!$A1197,4),RIGHT('[2]Raw Milk Prices'!$A1197,2),1),[1]Pivot!$A$1:$A$65000,0)</f>
        <v>#VALUE!</v>
      </c>
      <c r="C1197" s="194">
        <f>IFERROR(IF(INDEX([1]Pivot!$AD$1:$BE$65000,$B1197,C$5)=1,1,IF(INDEX([1]Pivot!$B$1:$AB$65000,$B1197,C$5)="",2,0)),0)</f>
        <v>0</v>
      </c>
      <c r="D1197" s="194">
        <f>IFERROR(IF(INDEX([1]Pivot!$AD$1:$BE$65000,$B1197,D$5)=1,1,IF(INDEX([1]Pivot!$B$1:$AB$65000,$B1197,D$5)="",2,0)),0)</f>
        <v>0</v>
      </c>
      <c r="E1197" s="194">
        <f>IFERROR(IF(INDEX([1]Pivot!$AD$1:$BE$65000,$B1197,E$5)=1,1,IF(INDEX([1]Pivot!$B$1:$AB$65000,$B1197,E$5)="",2,0)),0)</f>
        <v>0</v>
      </c>
      <c r="F1197" s="194">
        <f>IFERROR(IF(INDEX([1]Pivot!$AD$1:$BE$65000,$B1197,F$5)=1,1,IF(INDEX([1]Pivot!$B$1:$AB$65000,$B1197,F$5)="",2,0)),0)</f>
        <v>0</v>
      </c>
      <c r="G1197" s="194">
        <f>IFERROR(IF(INDEX([1]Pivot!$AD$1:$BE$65000,$B1197,G$5)=1,1,IF(INDEX([1]Pivot!$B$1:$AB$65000,$B1197,G$5)="",2,0)),0)</f>
        <v>0</v>
      </c>
      <c r="H1197" s="194">
        <f>IFERROR(IF(INDEX([1]Pivot!$AD$1:$BE$65000,$B1197,H$5)=1,1,IF(INDEX([1]Pivot!$B$1:$AB$65000,$B1197,H$5)="",2,0)),0)</f>
        <v>0</v>
      </c>
      <c r="I1197" s="194">
        <f>IFERROR(IF(INDEX([1]Pivot!$AD$1:$BE$65000,$B1197,I$5)=1,1,IF(INDEX([1]Pivot!$B$1:$AB$65000,$B1197,I$5)="",2,0)),0)</f>
        <v>0</v>
      </c>
      <c r="J1197" s="194">
        <f>IFERROR(IF(INDEX([1]Pivot!$AD$1:$BE$65000,$B1197,J$5)=1,1,IF(INDEX([1]Pivot!$B$1:$AB$65000,$B1197,J$5)="",2,0)),0)</f>
        <v>0</v>
      </c>
      <c r="K1197" s="194">
        <f>IFERROR(IF(INDEX([1]Pivot!$AD$1:$BE$65000,$B1197,K$5)=1,1,IF(INDEX([1]Pivot!$B$1:$AB$65000,$B1197,K$5)="",2,0)),0)</f>
        <v>0</v>
      </c>
      <c r="L1197" s="194">
        <f>IFERROR(IF(INDEX([1]Pivot!$AD$1:$BE$65000,$B1197,L$5)=1,1,IF(INDEX([1]Pivot!$B$1:$AB$65000,$B1197,L$5)="",2,0)),0)</f>
        <v>0</v>
      </c>
      <c r="M1197" s="194">
        <f>IFERROR(IF(INDEX([1]Pivot!$AD$1:$BE$65000,$B1197,M$5)=1,1,IF(INDEX([1]Pivot!$B$1:$AB$65000,$B1197,M$5)="",2,0)),0)</f>
        <v>0</v>
      </c>
      <c r="N1197" s="194">
        <f>IFERROR(IF(INDEX([1]Pivot!$AD$1:$BE$65000,$B1197,N$5)=1,1,IF(INDEX([1]Pivot!$B$1:$AB$65000,$B1197,N$5)="",2,0)),0)</f>
        <v>0</v>
      </c>
      <c r="O1197" s="194">
        <f>IFERROR(IF(INDEX([1]Pivot!$AD$1:$BE$65000,$B1197,O$5)=1,1,IF(INDEX([1]Pivot!$B$1:$AB$65000,$B1197,O$5)="",2,0)),0)</f>
        <v>0</v>
      </c>
      <c r="P1197" s="194">
        <f>IFERROR(IF(INDEX([1]Pivot!$AD$1:$BE$65000,$B1197,P$5)=1,1,IF(INDEX([1]Pivot!$B$1:$AB$65000,$B1197,P$5)="",2,0)),0)</f>
        <v>0</v>
      </c>
      <c r="Q1197" s="194">
        <f>IFERROR(IF(INDEX([1]Pivot!$AD$1:$BE$65000,$B1197,Q$5)=1,1,IF(INDEX([1]Pivot!$B$1:$AB$65000,$B1197,Q$5)="",2,0)),0)</f>
        <v>0</v>
      </c>
      <c r="R1197" s="312"/>
      <c r="S1197" s="194">
        <f>IFERROR(IF(INDEX([1]Pivot!$AD$1:$BE$65000,$B1197,S$5)=1,1,IF(INDEX([1]Pivot!$B$1:$AB$65000,$B1197,S$5)="",2,0)),0)</f>
        <v>0</v>
      </c>
      <c r="T1197" s="194">
        <f>IFERROR(IF(INDEX([1]Pivot!$AD$1:$BE$65000,$B1197,T$5)=1,1,IF(INDEX([1]Pivot!$B$1:$AB$65000,$B1197,T$5)="",2,0)),0)</f>
        <v>0</v>
      </c>
      <c r="U1197" s="194">
        <f>IFERROR(IF(INDEX([1]Pivot!$AD$1:$BE$65000,$B1197,U$5)=1,1,IF(INDEX([1]Pivot!$B$1:$AB$65000,$B1197,U$5)="",2,0)),0)</f>
        <v>0</v>
      </c>
      <c r="V1197" s="194">
        <f>IFERROR(IF(INDEX([1]Pivot!$AD$1:$BE$65000,$B1197,V$5)=1,1,IF(INDEX([1]Pivot!$B$1:$AB$65000,$B1197,V$5)="",2,0)),0)</f>
        <v>0</v>
      </c>
      <c r="W1197" s="194">
        <f>IFERROR(IF(INDEX([1]Pivot!$AD$1:$BE$65000,$B1197,W$5)=1,1,IF(INDEX([1]Pivot!$B$1:$AB$65000,$B1197,W$5)="",2,0)),0)</f>
        <v>0</v>
      </c>
      <c r="X1197" s="194">
        <f>IFERROR(IF(INDEX([1]Pivot!$AD$1:$BE$65000,$B1197,X$5)=1,1,IF(INDEX([1]Pivot!$B$1:$AB$65000,$B1197,X$5)="",2,0)),0)</f>
        <v>0</v>
      </c>
      <c r="Y1197" s="194">
        <f>IFERROR(IF(INDEX([1]Pivot!$AD$1:$BE$65000,$B1197,Y$5)=1,1,IF(INDEX([1]Pivot!$B$1:$AB$65000,$B1197,Y$5)="",2,0)),0)</f>
        <v>0</v>
      </c>
      <c r="Z1197" s="194">
        <f>IFERROR(IF(INDEX([1]Pivot!$AD$1:$BE$65000,$B1197,Z$5)=1,1,IF(INDEX([1]Pivot!$B$1:$AB$65000,$B1197,Z$5)="",2,0)),0)</f>
        <v>0</v>
      </c>
      <c r="AA1197" s="194">
        <f>IFERROR(IF(INDEX([1]Pivot!$AD$1:$BE$65000,$B1197,AA$5)=1,1,IF(INDEX([1]Pivot!$B$1:$AB$65000,$B1197,AA$5)="",2,0)),0)</f>
        <v>0</v>
      </c>
      <c r="AB1197" s="194">
        <f>IFERROR(IF(INDEX([1]Pivot!$AD$1:$BE$65000,$B1197,AB$5)=1,1,IF(INDEX([1]Pivot!$B$1:$AB$65000,$B1197,AB$5)="",2,0)),0)</f>
        <v>0</v>
      </c>
      <c r="AC1197" s="194">
        <f>IFERROR(IF(INDEX([1]Pivot!$AD$1:$BE$65000,$B1197,AC$5)=1,1,IF(INDEX([1]Pivot!$B$1:$AB$65000,$B1197,AC$5)="",2,0)),0)</f>
        <v>0</v>
      </c>
      <c r="AD1197" s="313">
        <f>IFERROR(IF(INDEX([1]Pivot!$BF$1:$CG$65000,$B1197,AD$5)=1,1,IF(INDEX([1]Pivot!$B$1:$AB$65000,$B1197,AD$5)="",2,0)),0)</f>
        <v>0</v>
      </c>
      <c r="AE1197" s="313">
        <f>IFERROR(IF(INDEX([1]Pivot!$BF$1:$CG$65000,$B1197,AE$5)=1,1,IF(INDEX([1]Pivot!$B$1:$AB$65000,$B1197,AE$5)="",2,0)),0)</f>
        <v>0</v>
      </c>
      <c r="AF1197" s="313">
        <f>IFERROR(IF(INDEX([1]Pivot!$BF$1:$CG$65000,$B1197,AF$5)=1,1,IF(INDEX([1]Pivot!$B$1:$AB$65000,$B1197,AF$5)="",2,0)),0)</f>
        <v>0</v>
      </c>
      <c r="AG1197" s="313">
        <f>IFERROR(IF(INDEX([1]Pivot!$BF$1:$CG$65000,$B1197,AG$5)=1,1,IF(INDEX([1]Pivot!$B$1:$AB$65000,$B1197,AG$5)="",2,0)),0)</f>
        <v>0</v>
      </c>
      <c r="AH1197" s="313">
        <f>IFERROR(IF(INDEX([1]Pivot!$BF$1:$CG$65000,$B1197,AH$5)=1,1,IF(INDEX([1]Pivot!$B$1:$AB$65000,$B1197,AH$5)="",2,0)),0)</f>
        <v>0</v>
      </c>
      <c r="AI1197" s="313">
        <f>IFERROR(IF(INDEX([1]Pivot!$BF$1:$CG$65000,$B1197,AI$5)=1,1,IF(INDEX([1]Pivot!$B$1:$AB$65000,$B1197,AI$5)="",2,0)),0)</f>
        <v>0</v>
      </c>
      <c r="AJ1197" s="313">
        <f>IFERROR(IF(INDEX([1]Pivot!$BF$1:$CG$65000,$B1197,AJ$5)=1,1,IF(INDEX([1]Pivot!$B$1:$AB$65000,$B1197,AJ$5)="",2,0)),0)</f>
        <v>0</v>
      </c>
      <c r="AK1197" s="313">
        <f>IFERROR(IF(INDEX([1]Pivot!$BF$1:$CG$65000,$B1197,AK$5)=1,1,IF(INDEX([1]Pivot!$B$1:$AB$65000,$B1197,AK$5)="",2,0)),0)</f>
        <v>0</v>
      </c>
      <c r="AL1197" s="313">
        <f>IFERROR(IF(INDEX([1]Pivot!$BF$1:$CG$65000,$B1197,AL$5)=1,1,IF(INDEX([1]Pivot!$B$1:$AB$65000,$B1197,AL$5)="",2,0)),0)</f>
        <v>0</v>
      </c>
      <c r="AM1197" s="313">
        <f>IFERROR(IF(INDEX([1]Pivot!$BF$1:$CG$65000,$B1197,AM$5)=1,1,IF(INDEX([1]Pivot!$B$1:$AB$65000,$B1197,AM$5)="",2,0)),0)</f>
        <v>0</v>
      </c>
      <c r="AN1197" s="313">
        <f>IFERROR(IF(INDEX([1]Pivot!$BF$1:$CG$65000,$B1197,AN$5)=1,1,IF(INDEX([1]Pivot!$B$1:$AB$65000,$B1197,AN$5)="",2,0)),0)</f>
        <v>0</v>
      </c>
      <c r="AO1197" s="313">
        <f>IFERROR(IF(INDEX([1]Pivot!$BF$1:$CG$65000,$B1197,AO$5)=1,1,IF(INDEX([1]Pivot!$B$1:$AB$65000,$B1197,AO$5)="",2,0)),0)</f>
        <v>0</v>
      </c>
      <c r="AP1197" s="313">
        <f>IFERROR(IF(INDEX([1]Pivot!$BF$1:$CG$65000,$B1197,AP$5)=1,1,IF(INDEX([1]Pivot!$B$1:$AB$65000,$B1197,AP$5)="",2,0)),0)</f>
        <v>0</v>
      </c>
      <c r="AQ1197" s="313">
        <f>IFERROR(IF(INDEX([1]Pivot!$BF$1:$CG$65000,$B1197,AQ$5)=1,1,IF(INDEX([1]Pivot!$B$1:$AB$65000,$B1197,AQ$5)="",2,0)),0)</f>
        <v>0</v>
      </c>
      <c r="AR1197" s="313">
        <f>IFERROR(IF(INDEX([1]Pivot!$BF$1:$CG$65000,$B1197,AR$5)=1,1,IF(INDEX([1]Pivot!$B$1:$AB$65000,$B1197,AR$5)="",2,0)),0)</f>
        <v>0</v>
      </c>
      <c r="AS1197" s="312"/>
      <c r="AT1197" s="313">
        <f>IFERROR(IF(INDEX([1]Pivot!$BF$1:$CG$65000,$B1197,AT$5)=1,1,IF(INDEX([1]Pivot!$B$1:$AB$65000,$B1197,AT$5)="",2,0)),0)</f>
        <v>0</v>
      </c>
      <c r="AU1197" s="313">
        <f>IFERROR(IF(INDEX([1]Pivot!$BF$1:$CG$65000,$B1197,AU$5)=1,1,IF(INDEX([1]Pivot!$B$1:$AB$65000,$B1197,AU$5)="",2,0)),0)</f>
        <v>0</v>
      </c>
      <c r="AV1197" s="313">
        <f>IFERROR(IF(INDEX([1]Pivot!$BF$1:$CG$65000,$B1197,AV$5)=1,1,IF(INDEX([1]Pivot!$B$1:$AB$65000,$B1197,AV$5)="",2,0)),0)</f>
        <v>0</v>
      </c>
      <c r="AW1197" s="313">
        <f>IFERROR(IF(INDEX([1]Pivot!$BF$1:$CG$65000,$B1197,AW$5)=1,1,IF(INDEX([1]Pivot!$B$1:$AB$65000,$B1197,AW$5)="",2,0)),0)</f>
        <v>0</v>
      </c>
      <c r="AX1197" s="313">
        <f>IFERROR(IF(INDEX([1]Pivot!$BF$1:$CG$65000,$B1197,AX$5)=1,1,IF(INDEX([1]Pivot!$B$1:$AB$65000,$B1197,AX$5)="",2,0)),0)</f>
        <v>0</v>
      </c>
      <c r="AY1197" s="313">
        <f>IFERROR(IF(INDEX([1]Pivot!$BF$1:$CG$65000,$B1197,AY$5)=1,1,IF(INDEX([1]Pivot!$B$1:$AB$65000,$B1197,AY$5)="",2,0)),0)</f>
        <v>0</v>
      </c>
      <c r="AZ1197" s="313">
        <f>IFERROR(IF(INDEX([1]Pivot!$BF$1:$CG$65000,$B1197,AZ$5)=1,1,IF(INDEX([1]Pivot!$B$1:$AB$65000,$B1197,AZ$5)="",2,0)),0)</f>
        <v>0</v>
      </c>
      <c r="BA1197" s="313">
        <f>IFERROR(IF(INDEX([1]Pivot!$BF$1:$CG$65000,$B1197,BA$5)=1,1,IF(INDEX([1]Pivot!$B$1:$AB$65000,$B1197,BA$5)="",2,0)),0)</f>
        <v>0</v>
      </c>
      <c r="BB1197" s="313">
        <f>IFERROR(IF(INDEX([1]Pivot!$BF$1:$CG$65000,$B1197,BB$5)=1,1,IF(INDEX([1]Pivot!$B$1:$AB$65000,$B1197,BB$5)="",2,0)),0)</f>
        <v>0</v>
      </c>
      <c r="BC1197" s="313">
        <f>IFERROR(IF(INDEX([1]Pivot!$BF$1:$CG$65000,$B1197,BC$5)=1,1,IF(INDEX([1]Pivot!$B$1:$AB$65000,$B1197,BC$5)="",2,0)),0)</f>
        <v>0</v>
      </c>
      <c r="BD1197" s="313">
        <f>IFERROR(IF(INDEX([1]Pivot!$BF$1:$CG$65000,$B1197,BD$5)=1,1,IF(INDEX([1]Pivot!$B$1:$AB$65000,$B1197,BD$5)="",2,0)),0)</f>
        <v>0</v>
      </c>
    </row>
    <row r="1198" spans="1:56" x14ac:dyDescent="0.25">
      <c r="A1198" s="288">
        <f>'[2]Raw Milk Prices'!A1198</f>
        <v>0</v>
      </c>
      <c r="B1198" s="296" t="e">
        <f>MATCH(DATE(LEFT('[2]Raw Milk Prices'!$A1198,4),RIGHT('[2]Raw Milk Prices'!$A1198,2),1),[1]Pivot!$A$1:$A$65000,0)</f>
        <v>#VALUE!</v>
      </c>
      <c r="C1198" s="194">
        <f>IFERROR(IF(INDEX([1]Pivot!$AD$1:$BE$65000,$B1198,C$5)=1,1,IF(INDEX([1]Pivot!$B$1:$AB$65000,$B1198,C$5)="",2,0)),0)</f>
        <v>0</v>
      </c>
      <c r="D1198" s="194">
        <f>IFERROR(IF(INDEX([1]Pivot!$AD$1:$BE$65000,$B1198,D$5)=1,1,IF(INDEX([1]Pivot!$B$1:$AB$65000,$B1198,D$5)="",2,0)),0)</f>
        <v>0</v>
      </c>
      <c r="E1198" s="194">
        <f>IFERROR(IF(INDEX([1]Pivot!$AD$1:$BE$65000,$B1198,E$5)=1,1,IF(INDEX([1]Pivot!$B$1:$AB$65000,$B1198,E$5)="",2,0)),0)</f>
        <v>0</v>
      </c>
      <c r="F1198" s="194">
        <f>IFERROR(IF(INDEX([1]Pivot!$AD$1:$BE$65000,$B1198,F$5)=1,1,IF(INDEX([1]Pivot!$B$1:$AB$65000,$B1198,F$5)="",2,0)),0)</f>
        <v>0</v>
      </c>
      <c r="G1198" s="194">
        <f>IFERROR(IF(INDEX([1]Pivot!$AD$1:$BE$65000,$B1198,G$5)=1,1,IF(INDEX([1]Pivot!$B$1:$AB$65000,$B1198,G$5)="",2,0)),0)</f>
        <v>0</v>
      </c>
      <c r="H1198" s="194">
        <f>IFERROR(IF(INDEX([1]Pivot!$AD$1:$BE$65000,$B1198,H$5)=1,1,IF(INDEX([1]Pivot!$B$1:$AB$65000,$B1198,H$5)="",2,0)),0)</f>
        <v>0</v>
      </c>
      <c r="I1198" s="194">
        <f>IFERROR(IF(INDEX([1]Pivot!$AD$1:$BE$65000,$B1198,I$5)=1,1,IF(INDEX([1]Pivot!$B$1:$AB$65000,$B1198,I$5)="",2,0)),0)</f>
        <v>0</v>
      </c>
      <c r="J1198" s="194">
        <f>IFERROR(IF(INDEX([1]Pivot!$AD$1:$BE$65000,$B1198,J$5)=1,1,IF(INDEX([1]Pivot!$B$1:$AB$65000,$B1198,J$5)="",2,0)),0)</f>
        <v>0</v>
      </c>
      <c r="K1198" s="194">
        <f>IFERROR(IF(INDEX([1]Pivot!$AD$1:$BE$65000,$B1198,K$5)=1,1,IF(INDEX([1]Pivot!$B$1:$AB$65000,$B1198,K$5)="",2,0)),0)</f>
        <v>0</v>
      </c>
      <c r="L1198" s="194">
        <f>IFERROR(IF(INDEX([1]Pivot!$AD$1:$BE$65000,$B1198,L$5)=1,1,IF(INDEX([1]Pivot!$B$1:$AB$65000,$B1198,L$5)="",2,0)),0)</f>
        <v>0</v>
      </c>
      <c r="M1198" s="194">
        <f>IFERROR(IF(INDEX([1]Pivot!$AD$1:$BE$65000,$B1198,M$5)=1,1,IF(INDEX([1]Pivot!$B$1:$AB$65000,$B1198,M$5)="",2,0)),0)</f>
        <v>0</v>
      </c>
      <c r="N1198" s="194">
        <f>IFERROR(IF(INDEX([1]Pivot!$AD$1:$BE$65000,$B1198,N$5)=1,1,IF(INDEX([1]Pivot!$B$1:$AB$65000,$B1198,N$5)="",2,0)),0)</f>
        <v>0</v>
      </c>
      <c r="O1198" s="194">
        <f>IFERROR(IF(INDEX([1]Pivot!$AD$1:$BE$65000,$B1198,O$5)=1,1,IF(INDEX([1]Pivot!$B$1:$AB$65000,$B1198,O$5)="",2,0)),0)</f>
        <v>0</v>
      </c>
      <c r="P1198" s="194">
        <f>IFERROR(IF(INDEX([1]Pivot!$AD$1:$BE$65000,$B1198,P$5)=1,1,IF(INDEX([1]Pivot!$B$1:$AB$65000,$B1198,P$5)="",2,0)),0)</f>
        <v>0</v>
      </c>
      <c r="Q1198" s="194">
        <f>IFERROR(IF(INDEX([1]Pivot!$AD$1:$BE$65000,$B1198,Q$5)=1,1,IF(INDEX([1]Pivot!$B$1:$AB$65000,$B1198,Q$5)="",2,0)),0)</f>
        <v>0</v>
      </c>
      <c r="R1198" s="312"/>
      <c r="S1198" s="194">
        <f>IFERROR(IF(INDEX([1]Pivot!$AD$1:$BE$65000,$B1198,S$5)=1,1,IF(INDEX([1]Pivot!$B$1:$AB$65000,$B1198,S$5)="",2,0)),0)</f>
        <v>0</v>
      </c>
      <c r="T1198" s="194">
        <f>IFERROR(IF(INDEX([1]Pivot!$AD$1:$BE$65000,$B1198,T$5)=1,1,IF(INDEX([1]Pivot!$B$1:$AB$65000,$B1198,T$5)="",2,0)),0)</f>
        <v>0</v>
      </c>
      <c r="U1198" s="194">
        <f>IFERROR(IF(INDEX([1]Pivot!$AD$1:$BE$65000,$B1198,U$5)=1,1,IF(INDEX([1]Pivot!$B$1:$AB$65000,$B1198,U$5)="",2,0)),0)</f>
        <v>0</v>
      </c>
      <c r="V1198" s="194">
        <f>IFERROR(IF(INDEX([1]Pivot!$AD$1:$BE$65000,$B1198,V$5)=1,1,IF(INDEX([1]Pivot!$B$1:$AB$65000,$B1198,V$5)="",2,0)),0)</f>
        <v>0</v>
      </c>
      <c r="W1198" s="194">
        <f>IFERROR(IF(INDEX([1]Pivot!$AD$1:$BE$65000,$B1198,W$5)=1,1,IF(INDEX([1]Pivot!$B$1:$AB$65000,$B1198,W$5)="",2,0)),0)</f>
        <v>0</v>
      </c>
      <c r="X1198" s="194">
        <f>IFERROR(IF(INDEX([1]Pivot!$AD$1:$BE$65000,$B1198,X$5)=1,1,IF(INDEX([1]Pivot!$B$1:$AB$65000,$B1198,X$5)="",2,0)),0)</f>
        <v>0</v>
      </c>
      <c r="Y1198" s="194">
        <f>IFERROR(IF(INDEX([1]Pivot!$AD$1:$BE$65000,$B1198,Y$5)=1,1,IF(INDEX([1]Pivot!$B$1:$AB$65000,$B1198,Y$5)="",2,0)),0)</f>
        <v>0</v>
      </c>
      <c r="Z1198" s="194">
        <f>IFERROR(IF(INDEX([1]Pivot!$AD$1:$BE$65000,$B1198,Z$5)=1,1,IF(INDEX([1]Pivot!$B$1:$AB$65000,$B1198,Z$5)="",2,0)),0)</f>
        <v>0</v>
      </c>
      <c r="AA1198" s="194">
        <f>IFERROR(IF(INDEX([1]Pivot!$AD$1:$BE$65000,$B1198,AA$5)=1,1,IF(INDEX([1]Pivot!$B$1:$AB$65000,$B1198,AA$5)="",2,0)),0)</f>
        <v>0</v>
      </c>
      <c r="AB1198" s="194">
        <f>IFERROR(IF(INDEX([1]Pivot!$AD$1:$BE$65000,$B1198,AB$5)=1,1,IF(INDEX([1]Pivot!$B$1:$AB$65000,$B1198,AB$5)="",2,0)),0)</f>
        <v>0</v>
      </c>
      <c r="AC1198" s="194">
        <f>IFERROR(IF(INDEX([1]Pivot!$AD$1:$BE$65000,$B1198,AC$5)=1,1,IF(INDEX([1]Pivot!$B$1:$AB$65000,$B1198,AC$5)="",2,0)),0)</f>
        <v>0</v>
      </c>
      <c r="AD1198" s="313">
        <f>IFERROR(IF(INDEX([1]Pivot!$BF$1:$CG$65000,$B1198,AD$5)=1,1,IF(INDEX([1]Pivot!$B$1:$AB$65000,$B1198,AD$5)="",2,0)),0)</f>
        <v>0</v>
      </c>
      <c r="AE1198" s="313">
        <f>IFERROR(IF(INDEX([1]Pivot!$BF$1:$CG$65000,$B1198,AE$5)=1,1,IF(INDEX([1]Pivot!$B$1:$AB$65000,$B1198,AE$5)="",2,0)),0)</f>
        <v>0</v>
      </c>
      <c r="AF1198" s="313">
        <f>IFERROR(IF(INDEX([1]Pivot!$BF$1:$CG$65000,$B1198,AF$5)=1,1,IF(INDEX([1]Pivot!$B$1:$AB$65000,$B1198,AF$5)="",2,0)),0)</f>
        <v>0</v>
      </c>
      <c r="AG1198" s="313">
        <f>IFERROR(IF(INDEX([1]Pivot!$BF$1:$CG$65000,$B1198,AG$5)=1,1,IF(INDEX([1]Pivot!$B$1:$AB$65000,$B1198,AG$5)="",2,0)),0)</f>
        <v>0</v>
      </c>
      <c r="AH1198" s="313">
        <f>IFERROR(IF(INDEX([1]Pivot!$BF$1:$CG$65000,$B1198,AH$5)=1,1,IF(INDEX([1]Pivot!$B$1:$AB$65000,$B1198,AH$5)="",2,0)),0)</f>
        <v>0</v>
      </c>
      <c r="AI1198" s="313">
        <f>IFERROR(IF(INDEX([1]Pivot!$BF$1:$CG$65000,$B1198,AI$5)=1,1,IF(INDEX([1]Pivot!$B$1:$AB$65000,$B1198,AI$5)="",2,0)),0)</f>
        <v>0</v>
      </c>
      <c r="AJ1198" s="313">
        <f>IFERROR(IF(INDEX([1]Pivot!$BF$1:$CG$65000,$B1198,AJ$5)=1,1,IF(INDEX([1]Pivot!$B$1:$AB$65000,$B1198,AJ$5)="",2,0)),0)</f>
        <v>0</v>
      </c>
      <c r="AK1198" s="313">
        <f>IFERROR(IF(INDEX([1]Pivot!$BF$1:$CG$65000,$B1198,AK$5)=1,1,IF(INDEX([1]Pivot!$B$1:$AB$65000,$B1198,AK$5)="",2,0)),0)</f>
        <v>0</v>
      </c>
      <c r="AL1198" s="313">
        <f>IFERROR(IF(INDEX([1]Pivot!$BF$1:$CG$65000,$B1198,AL$5)=1,1,IF(INDEX([1]Pivot!$B$1:$AB$65000,$B1198,AL$5)="",2,0)),0)</f>
        <v>0</v>
      </c>
      <c r="AM1198" s="313">
        <f>IFERROR(IF(INDEX([1]Pivot!$BF$1:$CG$65000,$B1198,AM$5)=1,1,IF(INDEX([1]Pivot!$B$1:$AB$65000,$B1198,AM$5)="",2,0)),0)</f>
        <v>0</v>
      </c>
      <c r="AN1198" s="313">
        <f>IFERROR(IF(INDEX([1]Pivot!$BF$1:$CG$65000,$B1198,AN$5)=1,1,IF(INDEX([1]Pivot!$B$1:$AB$65000,$B1198,AN$5)="",2,0)),0)</f>
        <v>0</v>
      </c>
      <c r="AO1198" s="313">
        <f>IFERROR(IF(INDEX([1]Pivot!$BF$1:$CG$65000,$B1198,AO$5)=1,1,IF(INDEX([1]Pivot!$B$1:$AB$65000,$B1198,AO$5)="",2,0)),0)</f>
        <v>0</v>
      </c>
      <c r="AP1198" s="313">
        <f>IFERROR(IF(INDEX([1]Pivot!$BF$1:$CG$65000,$B1198,AP$5)=1,1,IF(INDEX([1]Pivot!$B$1:$AB$65000,$B1198,AP$5)="",2,0)),0)</f>
        <v>0</v>
      </c>
      <c r="AQ1198" s="313">
        <f>IFERROR(IF(INDEX([1]Pivot!$BF$1:$CG$65000,$B1198,AQ$5)=1,1,IF(INDEX([1]Pivot!$B$1:$AB$65000,$B1198,AQ$5)="",2,0)),0)</f>
        <v>0</v>
      </c>
      <c r="AR1198" s="313">
        <f>IFERROR(IF(INDEX([1]Pivot!$BF$1:$CG$65000,$B1198,AR$5)=1,1,IF(INDEX([1]Pivot!$B$1:$AB$65000,$B1198,AR$5)="",2,0)),0)</f>
        <v>0</v>
      </c>
      <c r="AS1198" s="312"/>
      <c r="AT1198" s="313">
        <f>IFERROR(IF(INDEX([1]Pivot!$BF$1:$CG$65000,$B1198,AT$5)=1,1,IF(INDEX([1]Pivot!$B$1:$AB$65000,$B1198,AT$5)="",2,0)),0)</f>
        <v>0</v>
      </c>
      <c r="AU1198" s="313">
        <f>IFERROR(IF(INDEX([1]Pivot!$BF$1:$CG$65000,$B1198,AU$5)=1,1,IF(INDEX([1]Pivot!$B$1:$AB$65000,$B1198,AU$5)="",2,0)),0)</f>
        <v>0</v>
      </c>
      <c r="AV1198" s="313">
        <f>IFERROR(IF(INDEX([1]Pivot!$BF$1:$CG$65000,$B1198,AV$5)=1,1,IF(INDEX([1]Pivot!$B$1:$AB$65000,$B1198,AV$5)="",2,0)),0)</f>
        <v>0</v>
      </c>
      <c r="AW1198" s="313">
        <f>IFERROR(IF(INDEX([1]Pivot!$BF$1:$CG$65000,$B1198,AW$5)=1,1,IF(INDEX([1]Pivot!$B$1:$AB$65000,$B1198,AW$5)="",2,0)),0)</f>
        <v>0</v>
      </c>
      <c r="AX1198" s="313">
        <f>IFERROR(IF(INDEX([1]Pivot!$BF$1:$CG$65000,$B1198,AX$5)=1,1,IF(INDEX([1]Pivot!$B$1:$AB$65000,$B1198,AX$5)="",2,0)),0)</f>
        <v>0</v>
      </c>
      <c r="AY1198" s="313">
        <f>IFERROR(IF(INDEX([1]Pivot!$BF$1:$CG$65000,$B1198,AY$5)=1,1,IF(INDEX([1]Pivot!$B$1:$AB$65000,$B1198,AY$5)="",2,0)),0)</f>
        <v>0</v>
      </c>
      <c r="AZ1198" s="313">
        <f>IFERROR(IF(INDEX([1]Pivot!$BF$1:$CG$65000,$B1198,AZ$5)=1,1,IF(INDEX([1]Pivot!$B$1:$AB$65000,$B1198,AZ$5)="",2,0)),0)</f>
        <v>0</v>
      </c>
      <c r="BA1198" s="313">
        <f>IFERROR(IF(INDEX([1]Pivot!$BF$1:$CG$65000,$B1198,BA$5)=1,1,IF(INDEX([1]Pivot!$B$1:$AB$65000,$B1198,BA$5)="",2,0)),0)</f>
        <v>0</v>
      </c>
      <c r="BB1198" s="313">
        <f>IFERROR(IF(INDEX([1]Pivot!$BF$1:$CG$65000,$B1198,BB$5)=1,1,IF(INDEX([1]Pivot!$B$1:$AB$65000,$B1198,BB$5)="",2,0)),0)</f>
        <v>0</v>
      </c>
      <c r="BC1198" s="313">
        <f>IFERROR(IF(INDEX([1]Pivot!$BF$1:$CG$65000,$B1198,BC$5)=1,1,IF(INDEX([1]Pivot!$B$1:$AB$65000,$B1198,BC$5)="",2,0)),0)</f>
        <v>0</v>
      </c>
      <c r="BD1198" s="313">
        <f>IFERROR(IF(INDEX([1]Pivot!$BF$1:$CG$65000,$B1198,BD$5)=1,1,IF(INDEX([1]Pivot!$B$1:$AB$65000,$B1198,BD$5)="",2,0)),0)</f>
        <v>0</v>
      </c>
    </row>
    <row r="1199" spans="1:56" x14ac:dyDescent="0.25">
      <c r="A1199" s="288">
        <f>'[2]Raw Milk Prices'!A1199</f>
        <v>0</v>
      </c>
      <c r="B1199" s="296" t="e">
        <f>MATCH(DATE(LEFT('[2]Raw Milk Prices'!$A1199,4),RIGHT('[2]Raw Milk Prices'!$A1199,2),1),[1]Pivot!$A$1:$A$65000,0)</f>
        <v>#VALUE!</v>
      </c>
      <c r="C1199" s="194">
        <f>IFERROR(IF(INDEX([1]Pivot!$AD$1:$BE$65000,$B1199,C$5)=1,1,IF(INDEX([1]Pivot!$B$1:$AB$65000,$B1199,C$5)="",2,0)),0)</f>
        <v>0</v>
      </c>
      <c r="D1199" s="194">
        <f>IFERROR(IF(INDEX([1]Pivot!$AD$1:$BE$65000,$B1199,D$5)=1,1,IF(INDEX([1]Pivot!$B$1:$AB$65000,$B1199,D$5)="",2,0)),0)</f>
        <v>0</v>
      </c>
      <c r="E1199" s="194">
        <f>IFERROR(IF(INDEX([1]Pivot!$AD$1:$BE$65000,$B1199,E$5)=1,1,IF(INDEX([1]Pivot!$B$1:$AB$65000,$B1199,E$5)="",2,0)),0)</f>
        <v>0</v>
      </c>
      <c r="F1199" s="194">
        <f>IFERROR(IF(INDEX([1]Pivot!$AD$1:$BE$65000,$B1199,F$5)=1,1,IF(INDEX([1]Pivot!$B$1:$AB$65000,$B1199,F$5)="",2,0)),0)</f>
        <v>0</v>
      </c>
      <c r="G1199" s="194">
        <f>IFERROR(IF(INDEX([1]Pivot!$AD$1:$BE$65000,$B1199,G$5)=1,1,IF(INDEX([1]Pivot!$B$1:$AB$65000,$B1199,G$5)="",2,0)),0)</f>
        <v>0</v>
      </c>
      <c r="H1199" s="194">
        <f>IFERROR(IF(INDEX([1]Pivot!$AD$1:$BE$65000,$B1199,H$5)=1,1,IF(INDEX([1]Pivot!$B$1:$AB$65000,$B1199,H$5)="",2,0)),0)</f>
        <v>0</v>
      </c>
      <c r="I1199" s="194">
        <f>IFERROR(IF(INDEX([1]Pivot!$AD$1:$BE$65000,$B1199,I$5)=1,1,IF(INDEX([1]Pivot!$B$1:$AB$65000,$B1199,I$5)="",2,0)),0)</f>
        <v>0</v>
      </c>
      <c r="J1199" s="194">
        <f>IFERROR(IF(INDEX([1]Pivot!$AD$1:$BE$65000,$B1199,J$5)=1,1,IF(INDEX([1]Pivot!$B$1:$AB$65000,$B1199,J$5)="",2,0)),0)</f>
        <v>0</v>
      </c>
      <c r="K1199" s="194">
        <f>IFERROR(IF(INDEX([1]Pivot!$AD$1:$BE$65000,$B1199,K$5)=1,1,IF(INDEX([1]Pivot!$B$1:$AB$65000,$B1199,K$5)="",2,0)),0)</f>
        <v>0</v>
      </c>
      <c r="L1199" s="194">
        <f>IFERROR(IF(INDEX([1]Pivot!$AD$1:$BE$65000,$B1199,L$5)=1,1,IF(INDEX([1]Pivot!$B$1:$AB$65000,$B1199,L$5)="",2,0)),0)</f>
        <v>0</v>
      </c>
      <c r="M1199" s="194">
        <f>IFERROR(IF(INDEX([1]Pivot!$AD$1:$BE$65000,$B1199,M$5)=1,1,IF(INDEX([1]Pivot!$B$1:$AB$65000,$B1199,M$5)="",2,0)),0)</f>
        <v>0</v>
      </c>
      <c r="N1199" s="194">
        <f>IFERROR(IF(INDEX([1]Pivot!$AD$1:$BE$65000,$B1199,N$5)=1,1,IF(INDEX([1]Pivot!$B$1:$AB$65000,$B1199,N$5)="",2,0)),0)</f>
        <v>0</v>
      </c>
      <c r="O1199" s="194">
        <f>IFERROR(IF(INDEX([1]Pivot!$AD$1:$BE$65000,$B1199,O$5)=1,1,IF(INDEX([1]Pivot!$B$1:$AB$65000,$B1199,O$5)="",2,0)),0)</f>
        <v>0</v>
      </c>
      <c r="P1199" s="194">
        <f>IFERROR(IF(INDEX([1]Pivot!$AD$1:$BE$65000,$B1199,P$5)=1,1,IF(INDEX([1]Pivot!$B$1:$AB$65000,$B1199,P$5)="",2,0)),0)</f>
        <v>0</v>
      </c>
      <c r="Q1199" s="194">
        <f>IFERROR(IF(INDEX([1]Pivot!$AD$1:$BE$65000,$B1199,Q$5)=1,1,IF(INDEX([1]Pivot!$B$1:$AB$65000,$B1199,Q$5)="",2,0)),0)</f>
        <v>0</v>
      </c>
      <c r="R1199" s="312"/>
      <c r="S1199" s="194">
        <f>IFERROR(IF(INDEX([1]Pivot!$AD$1:$BE$65000,$B1199,S$5)=1,1,IF(INDEX([1]Pivot!$B$1:$AB$65000,$B1199,S$5)="",2,0)),0)</f>
        <v>0</v>
      </c>
      <c r="T1199" s="194">
        <f>IFERROR(IF(INDEX([1]Pivot!$AD$1:$BE$65000,$B1199,T$5)=1,1,IF(INDEX([1]Pivot!$B$1:$AB$65000,$B1199,T$5)="",2,0)),0)</f>
        <v>0</v>
      </c>
      <c r="U1199" s="194">
        <f>IFERROR(IF(INDEX([1]Pivot!$AD$1:$BE$65000,$B1199,U$5)=1,1,IF(INDEX([1]Pivot!$B$1:$AB$65000,$B1199,U$5)="",2,0)),0)</f>
        <v>0</v>
      </c>
      <c r="V1199" s="194">
        <f>IFERROR(IF(INDEX([1]Pivot!$AD$1:$BE$65000,$B1199,V$5)=1,1,IF(INDEX([1]Pivot!$B$1:$AB$65000,$B1199,V$5)="",2,0)),0)</f>
        <v>0</v>
      </c>
      <c r="W1199" s="194">
        <f>IFERROR(IF(INDEX([1]Pivot!$AD$1:$BE$65000,$B1199,W$5)=1,1,IF(INDEX([1]Pivot!$B$1:$AB$65000,$B1199,W$5)="",2,0)),0)</f>
        <v>0</v>
      </c>
      <c r="X1199" s="194">
        <f>IFERROR(IF(INDEX([1]Pivot!$AD$1:$BE$65000,$B1199,X$5)=1,1,IF(INDEX([1]Pivot!$B$1:$AB$65000,$B1199,X$5)="",2,0)),0)</f>
        <v>0</v>
      </c>
      <c r="Y1199" s="194">
        <f>IFERROR(IF(INDEX([1]Pivot!$AD$1:$BE$65000,$B1199,Y$5)=1,1,IF(INDEX([1]Pivot!$B$1:$AB$65000,$B1199,Y$5)="",2,0)),0)</f>
        <v>0</v>
      </c>
      <c r="Z1199" s="194">
        <f>IFERROR(IF(INDEX([1]Pivot!$AD$1:$BE$65000,$B1199,Z$5)=1,1,IF(INDEX([1]Pivot!$B$1:$AB$65000,$B1199,Z$5)="",2,0)),0)</f>
        <v>0</v>
      </c>
      <c r="AA1199" s="194">
        <f>IFERROR(IF(INDEX([1]Pivot!$AD$1:$BE$65000,$B1199,AA$5)=1,1,IF(INDEX([1]Pivot!$B$1:$AB$65000,$B1199,AA$5)="",2,0)),0)</f>
        <v>0</v>
      </c>
      <c r="AB1199" s="194">
        <f>IFERROR(IF(INDEX([1]Pivot!$AD$1:$BE$65000,$B1199,AB$5)=1,1,IF(INDEX([1]Pivot!$B$1:$AB$65000,$B1199,AB$5)="",2,0)),0)</f>
        <v>0</v>
      </c>
      <c r="AC1199" s="194">
        <f>IFERROR(IF(INDEX([1]Pivot!$AD$1:$BE$65000,$B1199,AC$5)=1,1,IF(INDEX([1]Pivot!$B$1:$AB$65000,$B1199,AC$5)="",2,0)),0)</f>
        <v>0</v>
      </c>
      <c r="AD1199" s="313">
        <f>IFERROR(IF(INDEX([1]Pivot!$BF$1:$CG$65000,$B1199,AD$5)=1,1,IF(INDEX([1]Pivot!$B$1:$AB$65000,$B1199,AD$5)="",2,0)),0)</f>
        <v>0</v>
      </c>
      <c r="AE1199" s="313">
        <f>IFERROR(IF(INDEX([1]Pivot!$BF$1:$CG$65000,$B1199,AE$5)=1,1,IF(INDEX([1]Pivot!$B$1:$AB$65000,$B1199,AE$5)="",2,0)),0)</f>
        <v>0</v>
      </c>
      <c r="AF1199" s="313">
        <f>IFERROR(IF(INDEX([1]Pivot!$BF$1:$CG$65000,$B1199,AF$5)=1,1,IF(INDEX([1]Pivot!$B$1:$AB$65000,$B1199,AF$5)="",2,0)),0)</f>
        <v>0</v>
      </c>
      <c r="AG1199" s="313">
        <f>IFERROR(IF(INDEX([1]Pivot!$BF$1:$CG$65000,$B1199,AG$5)=1,1,IF(INDEX([1]Pivot!$B$1:$AB$65000,$B1199,AG$5)="",2,0)),0)</f>
        <v>0</v>
      </c>
      <c r="AH1199" s="313">
        <f>IFERROR(IF(INDEX([1]Pivot!$BF$1:$CG$65000,$B1199,AH$5)=1,1,IF(INDEX([1]Pivot!$B$1:$AB$65000,$B1199,AH$5)="",2,0)),0)</f>
        <v>0</v>
      </c>
      <c r="AI1199" s="313">
        <f>IFERROR(IF(INDEX([1]Pivot!$BF$1:$CG$65000,$B1199,AI$5)=1,1,IF(INDEX([1]Pivot!$B$1:$AB$65000,$B1199,AI$5)="",2,0)),0)</f>
        <v>0</v>
      </c>
      <c r="AJ1199" s="313">
        <f>IFERROR(IF(INDEX([1]Pivot!$BF$1:$CG$65000,$B1199,AJ$5)=1,1,IF(INDEX([1]Pivot!$B$1:$AB$65000,$B1199,AJ$5)="",2,0)),0)</f>
        <v>0</v>
      </c>
      <c r="AK1199" s="313">
        <f>IFERROR(IF(INDEX([1]Pivot!$BF$1:$CG$65000,$B1199,AK$5)=1,1,IF(INDEX([1]Pivot!$B$1:$AB$65000,$B1199,AK$5)="",2,0)),0)</f>
        <v>0</v>
      </c>
      <c r="AL1199" s="313">
        <f>IFERROR(IF(INDEX([1]Pivot!$BF$1:$CG$65000,$B1199,AL$5)=1,1,IF(INDEX([1]Pivot!$B$1:$AB$65000,$B1199,AL$5)="",2,0)),0)</f>
        <v>0</v>
      </c>
      <c r="AM1199" s="313">
        <f>IFERROR(IF(INDEX([1]Pivot!$BF$1:$CG$65000,$B1199,AM$5)=1,1,IF(INDEX([1]Pivot!$B$1:$AB$65000,$B1199,AM$5)="",2,0)),0)</f>
        <v>0</v>
      </c>
      <c r="AN1199" s="313">
        <f>IFERROR(IF(INDEX([1]Pivot!$BF$1:$CG$65000,$B1199,AN$5)=1,1,IF(INDEX([1]Pivot!$B$1:$AB$65000,$B1199,AN$5)="",2,0)),0)</f>
        <v>0</v>
      </c>
      <c r="AO1199" s="313">
        <f>IFERROR(IF(INDEX([1]Pivot!$BF$1:$CG$65000,$B1199,AO$5)=1,1,IF(INDEX([1]Pivot!$B$1:$AB$65000,$B1199,AO$5)="",2,0)),0)</f>
        <v>0</v>
      </c>
      <c r="AP1199" s="313">
        <f>IFERROR(IF(INDEX([1]Pivot!$BF$1:$CG$65000,$B1199,AP$5)=1,1,IF(INDEX([1]Pivot!$B$1:$AB$65000,$B1199,AP$5)="",2,0)),0)</f>
        <v>0</v>
      </c>
      <c r="AQ1199" s="313">
        <f>IFERROR(IF(INDEX([1]Pivot!$BF$1:$CG$65000,$B1199,AQ$5)=1,1,IF(INDEX([1]Pivot!$B$1:$AB$65000,$B1199,AQ$5)="",2,0)),0)</f>
        <v>0</v>
      </c>
      <c r="AR1199" s="313">
        <f>IFERROR(IF(INDEX([1]Pivot!$BF$1:$CG$65000,$B1199,AR$5)=1,1,IF(INDEX([1]Pivot!$B$1:$AB$65000,$B1199,AR$5)="",2,0)),0)</f>
        <v>0</v>
      </c>
      <c r="AS1199" s="312"/>
      <c r="AT1199" s="313">
        <f>IFERROR(IF(INDEX([1]Pivot!$BF$1:$CG$65000,$B1199,AT$5)=1,1,IF(INDEX([1]Pivot!$B$1:$AB$65000,$B1199,AT$5)="",2,0)),0)</f>
        <v>0</v>
      </c>
      <c r="AU1199" s="313">
        <f>IFERROR(IF(INDEX([1]Pivot!$BF$1:$CG$65000,$B1199,AU$5)=1,1,IF(INDEX([1]Pivot!$B$1:$AB$65000,$B1199,AU$5)="",2,0)),0)</f>
        <v>0</v>
      </c>
      <c r="AV1199" s="313">
        <f>IFERROR(IF(INDEX([1]Pivot!$BF$1:$CG$65000,$B1199,AV$5)=1,1,IF(INDEX([1]Pivot!$B$1:$AB$65000,$B1199,AV$5)="",2,0)),0)</f>
        <v>0</v>
      </c>
      <c r="AW1199" s="313">
        <f>IFERROR(IF(INDEX([1]Pivot!$BF$1:$CG$65000,$B1199,AW$5)=1,1,IF(INDEX([1]Pivot!$B$1:$AB$65000,$B1199,AW$5)="",2,0)),0)</f>
        <v>0</v>
      </c>
      <c r="AX1199" s="313">
        <f>IFERROR(IF(INDEX([1]Pivot!$BF$1:$CG$65000,$B1199,AX$5)=1,1,IF(INDEX([1]Pivot!$B$1:$AB$65000,$B1199,AX$5)="",2,0)),0)</f>
        <v>0</v>
      </c>
      <c r="AY1199" s="313">
        <f>IFERROR(IF(INDEX([1]Pivot!$BF$1:$CG$65000,$B1199,AY$5)=1,1,IF(INDEX([1]Pivot!$B$1:$AB$65000,$B1199,AY$5)="",2,0)),0)</f>
        <v>0</v>
      </c>
      <c r="AZ1199" s="313">
        <f>IFERROR(IF(INDEX([1]Pivot!$BF$1:$CG$65000,$B1199,AZ$5)=1,1,IF(INDEX([1]Pivot!$B$1:$AB$65000,$B1199,AZ$5)="",2,0)),0)</f>
        <v>0</v>
      </c>
      <c r="BA1199" s="313">
        <f>IFERROR(IF(INDEX([1]Pivot!$BF$1:$CG$65000,$B1199,BA$5)=1,1,IF(INDEX([1]Pivot!$B$1:$AB$65000,$B1199,BA$5)="",2,0)),0)</f>
        <v>0</v>
      </c>
      <c r="BB1199" s="313">
        <f>IFERROR(IF(INDEX([1]Pivot!$BF$1:$CG$65000,$B1199,BB$5)=1,1,IF(INDEX([1]Pivot!$B$1:$AB$65000,$B1199,BB$5)="",2,0)),0)</f>
        <v>0</v>
      </c>
      <c r="BC1199" s="313">
        <f>IFERROR(IF(INDEX([1]Pivot!$BF$1:$CG$65000,$B1199,BC$5)=1,1,IF(INDEX([1]Pivot!$B$1:$AB$65000,$B1199,BC$5)="",2,0)),0)</f>
        <v>0</v>
      </c>
      <c r="BD1199" s="313">
        <f>IFERROR(IF(INDEX([1]Pivot!$BF$1:$CG$65000,$B1199,BD$5)=1,1,IF(INDEX([1]Pivot!$B$1:$AB$65000,$B1199,BD$5)="",2,0)),0)</f>
        <v>0</v>
      </c>
    </row>
    <row r="1200" spans="1:56" x14ac:dyDescent="0.25">
      <c r="A1200" s="288">
        <f>'[2]Raw Milk Prices'!A1200</f>
        <v>0</v>
      </c>
      <c r="B1200" s="296" t="e">
        <f>MATCH(DATE(LEFT('[2]Raw Milk Prices'!$A1200,4),RIGHT('[2]Raw Milk Prices'!$A1200,2),1),[1]Pivot!$A$1:$A$65000,0)</f>
        <v>#VALUE!</v>
      </c>
      <c r="C1200" s="194">
        <f>IFERROR(IF(INDEX([1]Pivot!$AD$1:$BE$65000,$B1200,C$5)=1,1,IF(INDEX([1]Pivot!$B$1:$AB$65000,$B1200,C$5)="",2,0)),0)</f>
        <v>0</v>
      </c>
      <c r="D1200" s="194">
        <f>IFERROR(IF(INDEX([1]Pivot!$AD$1:$BE$65000,$B1200,D$5)=1,1,IF(INDEX([1]Pivot!$B$1:$AB$65000,$B1200,D$5)="",2,0)),0)</f>
        <v>0</v>
      </c>
      <c r="E1200" s="194">
        <f>IFERROR(IF(INDEX([1]Pivot!$AD$1:$BE$65000,$B1200,E$5)=1,1,IF(INDEX([1]Pivot!$B$1:$AB$65000,$B1200,E$5)="",2,0)),0)</f>
        <v>0</v>
      </c>
      <c r="F1200" s="194">
        <f>IFERROR(IF(INDEX([1]Pivot!$AD$1:$BE$65000,$B1200,F$5)=1,1,IF(INDEX([1]Pivot!$B$1:$AB$65000,$B1200,F$5)="",2,0)),0)</f>
        <v>0</v>
      </c>
      <c r="G1200" s="194">
        <f>IFERROR(IF(INDEX([1]Pivot!$AD$1:$BE$65000,$B1200,G$5)=1,1,IF(INDEX([1]Pivot!$B$1:$AB$65000,$B1200,G$5)="",2,0)),0)</f>
        <v>0</v>
      </c>
      <c r="H1200" s="194">
        <f>IFERROR(IF(INDEX([1]Pivot!$AD$1:$BE$65000,$B1200,H$5)=1,1,IF(INDEX([1]Pivot!$B$1:$AB$65000,$B1200,H$5)="",2,0)),0)</f>
        <v>0</v>
      </c>
      <c r="I1200" s="194">
        <f>IFERROR(IF(INDEX([1]Pivot!$AD$1:$BE$65000,$B1200,I$5)=1,1,IF(INDEX([1]Pivot!$B$1:$AB$65000,$B1200,I$5)="",2,0)),0)</f>
        <v>0</v>
      </c>
      <c r="J1200" s="194">
        <f>IFERROR(IF(INDEX([1]Pivot!$AD$1:$BE$65000,$B1200,J$5)=1,1,IF(INDEX([1]Pivot!$B$1:$AB$65000,$B1200,J$5)="",2,0)),0)</f>
        <v>0</v>
      </c>
      <c r="K1200" s="194">
        <f>IFERROR(IF(INDEX([1]Pivot!$AD$1:$BE$65000,$B1200,K$5)=1,1,IF(INDEX([1]Pivot!$B$1:$AB$65000,$B1200,K$5)="",2,0)),0)</f>
        <v>0</v>
      </c>
      <c r="L1200" s="194">
        <f>IFERROR(IF(INDEX([1]Pivot!$AD$1:$BE$65000,$B1200,L$5)=1,1,IF(INDEX([1]Pivot!$B$1:$AB$65000,$B1200,L$5)="",2,0)),0)</f>
        <v>0</v>
      </c>
      <c r="M1200" s="194">
        <f>IFERROR(IF(INDEX([1]Pivot!$AD$1:$BE$65000,$B1200,M$5)=1,1,IF(INDEX([1]Pivot!$B$1:$AB$65000,$B1200,M$5)="",2,0)),0)</f>
        <v>0</v>
      </c>
      <c r="N1200" s="194">
        <f>IFERROR(IF(INDEX([1]Pivot!$AD$1:$BE$65000,$B1200,N$5)=1,1,IF(INDEX([1]Pivot!$B$1:$AB$65000,$B1200,N$5)="",2,0)),0)</f>
        <v>0</v>
      </c>
      <c r="O1200" s="194">
        <f>IFERROR(IF(INDEX([1]Pivot!$AD$1:$BE$65000,$B1200,O$5)=1,1,IF(INDEX([1]Pivot!$B$1:$AB$65000,$B1200,O$5)="",2,0)),0)</f>
        <v>0</v>
      </c>
      <c r="P1200" s="194">
        <f>IFERROR(IF(INDEX([1]Pivot!$AD$1:$BE$65000,$B1200,P$5)=1,1,IF(INDEX([1]Pivot!$B$1:$AB$65000,$B1200,P$5)="",2,0)),0)</f>
        <v>0</v>
      </c>
      <c r="Q1200" s="194">
        <f>IFERROR(IF(INDEX([1]Pivot!$AD$1:$BE$65000,$B1200,Q$5)=1,1,IF(INDEX([1]Pivot!$B$1:$AB$65000,$B1200,Q$5)="",2,0)),0)</f>
        <v>0</v>
      </c>
      <c r="R1200" s="312"/>
      <c r="S1200" s="194">
        <f>IFERROR(IF(INDEX([1]Pivot!$AD$1:$BE$65000,$B1200,S$5)=1,1,IF(INDEX([1]Pivot!$B$1:$AB$65000,$B1200,S$5)="",2,0)),0)</f>
        <v>0</v>
      </c>
      <c r="T1200" s="194">
        <f>IFERROR(IF(INDEX([1]Pivot!$AD$1:$BE$65000,$B1200,T$5)=1,1,IF(INDEX([1]Pivot!$B$1:$AB$65000,$B1200,T$5)="",2,0)),0)</f>
        <v>0</v>
      </c>
      <c r="U1200" s="194">
        <f>IFERROR(IF(INDEX([1]Pivot!$AD$1:$BE$65000,$B1200,U$5)=1,1,IF(INDEX([1]Pivot!$B$1:$AB$65000,$B1200,U$5)="",2,0)),0)</f>
        <v>0</v>
      </c>
      <c r="V1200" s="194">
        <f>IFERROR(IF(INDEX([1]Pivot!$AD$1:$BE$65000,$B1200,V$5)=1,1,IF(INDEX([1]Pivot!$B$1:$AB$65000,$B1200,V$5)="",2,0)),0)</f>
        <v>0</v>
      </c>
      <c r="W1200" s="194">
        <f>IFERROR(IF(INDEX([1]Pivot!$AD$1:$BE$65000,$B1200,W$5)=1,1,IF(INDEX([1]Pivot!$B$1:$AB$65000,$B1200,W$5)="",2,0)),0)</f>
        <v>0</v>
      </c>
      <c r="X1200" s="194">
        <f>IFERROR(IF(INDEX([1]Pivot!$AD$1:$BE$65000,$B1200,X$5)=1,1,IF(INDEX([1]Pivot!$B$1:$AB$65000,$B1200,X$5)="",2,0)),0)</f>
        <v>0</v>
      </c>
      <c r="Y1200" s="194">
        <f>IFERROR(IF(INDEX([1]Pivot!$AD$1:$BE$65000,$B1200,Y$5)=1,1,IF(INDEX([1]Pivot!$B$1:$AB$65000,$B1200,Y$5)="",2,0)),0)</f>
        <v>0</v>
      </c>
      <c r="Z1200" s="194">
        <f>IFERROR(IF(INDEX([1]Pivot!$AD$1:$BE$65000,$B1200,Z$5)=1,1,IF(INDEX([1]Pivot!$B$1:$AB$65000,$B1200,Z$5)="",2,0)),0)</f>
        <v>0</v>
      </c>
      <c r="AA1200" s="194">
        <f>IFERROR(IF(INDEX([1]Pivot!$AD$1:$BE$65000,$B1200,AA$5)=1,1,IF(INDEX([1]Pivot!$B$1:$AB$65000,$B1200,AA$5)="",2,0)),0)</f>
        <v>0</v>
      </c>
      <c r="AB1200" s="194">
        <f>IFERROR(IF(INDEX([1]Pivot!$AD$1:$BE$65000,$B1200,AB$5)=1,1,IF(INDEX([1]Pivot!$B$1:$AB$65000,$B1200,AB$5)="",2,0)),0)</f>
        <v>0</v>
      </c>
      <c r="AC1200" s="194">
        <f>IFERROR(IF(INDEX([1]Pivot!$AD$1:$BE$65000,$B1200,AC$5)=1,1,IF(INDEX([1]Pivot!$B$1:$AB$65000,$B1200,AC$5)="",2,0)),0)</f>
        <v>0</v>
      </c>
      <c r="AD1200" s="313">
        <f>IFERROR(IF(INDEX([1]Pivot!$BF$1:$CG$65000,$B1200,AD$5)=1,1,IF(INDEX([1]Pivot!$B$1:$AB$65000,$B1200,AD$5)="",2,0)),0)</f>
        <v>0</v>
      </c>
      <c r="AE1200" s="313">
        <f>IFERROR(IF(INDEX([1]Pivot!$BF$1:$CG$65000,$B1200,AE$5)=1,1,IF(INDEX([1]Pivot!$B$1:$AB$65000,$B1200,AE$5)="",2,0)),0)</f>
        <v>0</v>
      </c>
      <c r="AF1200" s="313">
        <f>IFERROR(IF(INDEX([1]Pivot!$BF$1:$CG$65000,$B1200,AF$5)=1,1,IF(INDEX([1]Pivot!$B$1:$AB$65000,$B1200,AF$5)="",2,0)),0)</f>
        <v>0</v>
      </c>
      <c r="AG1200" s="313">
        <f>IFERROR(IF(INDEX([1]Pivot!$BF$1:$CG$65000,$B1200,AG$5)=1,1,IF(INDEX([1]Pivot!$B$1:$AB$65000,$B1200,AG$5)="",2,0)),0)</f>
        <v>0</v>
      </c>
      <c r="AH1200" s="313">
        <f>IFERROR(IF(INDEX([1]Pivot!$BF$1:$CG$65000,$B1200,AH$5)=1,1,IF(INDEX([1]Pivot!$B$1:$AB$65000,$B1200,AH$5)="",2,0)),0)</f>
        <v>0</v>
      </c>
      <c r="AI1200" s="313">
        <f>IFERROR(IF(INDEX([1]Pivot!$BF$1:$CG$65000,$B1200,AI$5)=1,1,IF(INDEX([1]Pivot!$B$1:$AB$65000,$B1200,AI$5)="",2,0)),0)</f>
        <v>0</v>
      </c>
      <c r="AJ1200" s="313">
        <f>IFERROR(IF(INDEX([1]Pivot!$BF$1:$CG$65000,$B1200,AJ$5)=1,1,IF(INDEX([1]Pivot!$B$1:$AB$65000,$B1200,AJ$5)="",2,0)),0)</f>
        <v>0</v>
      </c>
      <c r="AK1200" s="313">
        <f>IFERROR(IF(INDEX([1]Pivot!$BF$1:$CG$65000,$B1200,AK$5)=1,1,IF(INDEX([1]Pivot!$B$1:$AB$65000,$B1200,AK$5)="",2,0)),0)</f>
        <v>0</v>
      </c>
      <c r="AL1200" s="313">
        <f>IFERROR(IF(INDEX([1]Pivot!$BF$1:$CG$65000,$B1200,AL$5)=1,1,IF(INDEX([1]Pivot!$B$1:$AB$65000,$B1200,AL$5)="",2,0)),0)</f>
        <v>0</v>
      </c>
      <c r="AM1200" s="313">
        <f>IFERROR(IF(INDEX([1]Pivot!$BF$1:$CG$65000,$B1200,AM$5)=1,1,IF(INDEX([1]Pivot!$B$1:$AB$65000,$B1200,AM$5)="",2,0)),0)</f>
        <v>0</v>
      </c>
      <c r="AN1200" s="313">
        <f>IFERROR(IF(INDEX([1]Pivot!$BF$1:$CG$65000,$B1200,AN$5)=1,1,IF(INDEX([1]Pivot!$B$1:$AB$65000,$B1200,AN$5)="",2,0)),0)</f>
        <v>0</v>
      </c>
      <c r="AO1200" s="313">
        <f>IFERROR(IF(INDEX([1]Pivot!$BF$1:$CG$65000,$B1200,AO$5)=1,1,IF(INDEX([1]Pivot!$B$1:$AB$65000,$B1200,AO$5)="",2,0)),0)</f>
        <v>0</v>
      </c>
      <c r="AP1200" s="313">
        <f>IFERROR(IF(INDEX([1]Pivot!$BF$1:$CG$65000,$B1200,AP$5)=1,1,IF(INDEX([1]Pivot!$B$1:$AB$65000,$B1200,AP$5)="",2,0)),0)</f>
        <v>0</v>
      </c>
      <c r="AQ1200" s="313">
        <f>IFERROR(IF(INDEX([1]Pivot!$BF$1:$CG$65000,$B1200,AQ$5)=1,1,IF(INDEX([1]Pivot!$B$1:$AB$65000,$B1200,AQ$5)="",2,0)),0)</f>
        <v>0</v>
      </c>
      <c r="AR1200" s="313">
        <f>IFERROR(IF(INDEX([1]Pivot!$BF$1:$CG$65000,$B1200,AR$5)=1,1,IF(INDEX([1]Pivot!$B$1:$AB$65000,$B1200,AR$5)="",2,0)),0)</f>
        <v>0</v>
      </c>
      <c r="AS1200" s="312"/>
      <c r="AT1200" s="313">
        <f>IFERROR(IF(INDEX([1]Pivot!$BF$1:$CG$65000,$B1200,AT$5)=1,1,IF(INDEX([1]Pivot!$B$1:$AB$65000,$B1200,AT$5)="",2,0)),0)</f>
        <v>0</v>
      </c>
      <c r="AU1200" s="313">
        <f>IFERROR(IF(INDEX([1]Pivot!$BF$1:$CG$65000,$B1200,AU$5)=1,1,IF(INDEX([1]Pivot!$B$1:$AB$65000,$B1200,AU$5)="",2,0)),0)</f>
        <v>0</v>
      </c>
      <c r="AV1200" s="313">
        <f>IFERROR(IF(INDEX([1]Pivot!$BF$1:$CG$65000,$B1200,AV$5)=1,1,IF(INDEX([1]Pivot!$B$1:$AB$65000,$B1200,AV$5)="",2,0)),0)</f>
        <v>0</v>
      </c>
      <c r="AW1200" s="313">
        <f>IFERROR(IF(INDEX([1]Pivot!$BF$1:$CG$65000,$B1200,AW$5)=1,1,IF(INDEX([1]Pivot!$B$1:$AB$65000,$B1200,AW$5)="",2,0)),0)</f>
        <v>0</v>
      </c>
      <c r="AX1200" s="313">
        <f>IFERROR(IF(INDEX([1]Pivot!$BF$1:$CG$65000,$B1200,AX$5)=1,1,IF(INDEX([1]Pivot!$B$1:$AB$65000,$B1200,AX$5)="",2,0)),0)</f>
        <v>0</v>
      </c>
      <c r="AY1200" s="313">
        <f>IFERROR(IF(INDEX([1]Pivot!$BF$1:$CG$65000,$B1200,AY$5)=1,1,IF(INDEX([1]Pivot!$B$1:$AB$65000,$B1200,AY$5)="",2,0)),0)</f>
        <v>0</v>
      </c>
      <c r="AZ1200" s="313">
        <f>IFERROR(IF(INDEX([1]Pivot!$BF$1:$CG$65000,$B1200,AZ$5)=1,1,IF(INDEX([1]Pivot!$B$1:$AB$65000,$B1200,AZ$5)="",2,0)),0)</f>
        <v>0</v>
      </c>
      <c r="BA1200" s="313">
        <f>IFERROR(IF(INDEX([1]Pivot!$BF$1:$CG$65000,$B1200,BA$5)=1,1,IF(INDEX([1]Pivot!$B$1:$AB$65000,$B1200,BA$5)="",2,0)),0)</f>
        <v>0</v>
      </c>
      <c r="BB1200" s="313">
        <f>IFERROR(IF(INDEX([1]Pivot!$BF$1:$CG$65000,$B1200,BB$5)=1,1,IF(INDEX([1]Pivot!$B$1:$AB$65000,$B1200,BB$5)="",2,0)),0)</f>
        <v>0</v>
      </c>
      <c r="BC1200" s="313">
        <f>IFERROR(IF(INDEX([1]Pivot!$BF$1:$CG$65000,$B1200,BC$5)=1,1,IF(INDEX([1]Pivot!$B$1:$AB$65000,$B1200,BC$5)="",2,0)),0)</f>
        <v>0</v>
      </c>
      <c r="BD1200" s="313">
        <f>IFERROR(IF(INDEX([1]Pivot!$BF$1:$CG$65000,$B1200,BD$5)=1,1,IF(INDEX([1]Pivot!$B$1:$AB$65000,$B1200,BD$5)="",2,0)),0)</f>
        <v>0</v>
      </c>
    </row>
    <row r="1201" spans="1:56" x14ac:dyDescent="0.25">
      <c r="A1201" s="288">
        <f>'[2]Raw Milk Prices'!A1201</f>
        <v>0</v>
      </c>
      <c r="B1201" s="296" t="e">
        <f>MATCH(DATE(LEFT('[2]Raw Milk Prices'!$A1201,4),RIGHT('[2]Raw Milk Prices'!$A1201,2),1),[1]Pivot!$A$1:$A$65000,0)</f>
        <v>#VALUE!</v>
      </c>
      <c r="C1201" s="194">
        <f>IFERROR(IF(INDEX([1]Pivot!$AD$1:$BE$65000,$B1201,C$5)=1,1,IF(INDEX([1]Pivot!$B$1:$AB$65000,$B1201,C$5)="",2,0)),0)</f>
        <v>0</v>
      </c>
      <c r="D1201" s="194">
        <f>IFERROR(IF(INDEX([1]Pivot!$AD$1:$BE$65000,$B1201,D$5)=1,1,IF(INDEX([1]Pivot!$B$1:$AB$65000,$B1201,D$5)="",2,0)),0)</f>
        <v>0</v>
      </c>
      <c r="E1201" s="194">
        <f>IFERROR(IF(INDEX([1]Pivot!$AD$1:$BE$65000,$B1201,E$5)=1,1,IF(INDEX([1]Pivot!$B$1:$AB$65000,$B1201,E$5)="",2,0)),0)</f>
        <v>0</v>
      </c>
      <c r="F1201" s="194">
        <f>IFERROR(IF(INDEX([1]Pivot!$AD$1:$BE$65000,$B1201,F$5)=1,1,IF(INDEX([1]Pivot!$B$1:$AB$65000,$B1201,F$5)="",2,0)),0)</f>
        <v>0</v>
      </c>
      <c r="G1201" s="194">
        <f>IFERROR(IF(INDEX([1]Pivot!$AD$1:$BE$65000,$B1201,G$5)=1,1,IF(INDEX([1]Pivot!$B$1:$AB$65000,$B1201,G$5)="",2,0)),0)</f>
        <v>0</v>
      </c>
      <c r="H1201" s="194">
        <f>IFERROR(IF(INDEX([1]Pivot!$AD$1:$BE$65000,$B1201,H$5)=1,1,IF(INDEX([1]Pivot!$B$1:$AB$65000,$B1201,H$5)="",2,0)),0)</f>
        <v>0</v>
      </c>
      <c r="I1201" s="194">
        <f>IFERROR(IF(INDEX([1]Pivot!$AD$1:$BE$65000,$B1201,I$5)=1,1,IF(INDEX([1]Pivot!$B$1:$AB$65000,$B1201,I$5)="",2,0)),0)</f>
        <v>0</v>
      </c>
      <c r="J1201" s="194">
        <f>IFERROR(IF(INDEX([1]Pivot!$AD$1:$BE$65000,$B1201,J$5)=1,1,IF(INDEX([1]Pivot!$B$1:$AB$65000,$B1201,J$5)="",2,0)),0)</f>
        <v>0</v>
      </c>
      <c r="K1201" s="194">
        <f>IFERROR(IF(INDEX([1]Pivot!$AD$1:$BE$65000,$B1201,K$5)=1,1,IF(INDEX([1]Pivot!$B$1:$AB$65000,$B1201,K$5)="",2,0)),0)</f>
        <v>0</v>
      </c>
      <c r="L1201" s="194">
        <f>IFERROR(IF(INDEX([1]Pivot!$AD$1:$BE$65000,$B1201,L$5)=1,1,IF(INDEX([1]Pivot!$B$1:$AB$65000,$B1201,L$5)="",2,0)),0)</f>
        <v>0</v>
      </c>
      <c r="M1201" s="194">
        <f>IFERROR(IF(INDEX([1]Pivot!$AD$1:$BE$65000,$B1201,M$5)=1,1,IF(INDEX([1]Pivot!$B$1:$AB$65000,$B1201,M$5)="",2,0)),0)</f>
        <v>0</v>
      </c>
      <c r="N1201" s="194">
        <f>IFERROR(IF(INDEX([1]Pivot!$AD$1:$BE$65000,$B1201,N$5)=1,1,IF(INDEX([1]Pivot!$B$1:$AB$65000,$B1201,N$5)="",2,0)),0)</f>
        <v>0</v>
      </c>
      <c r="O1201" s="194">
        <f>IFERROR(IF(INDEX([1]Pivot!$AD$1:$BE$65000,$B1201,O$5)=1,1,IF(INDEX([1]Pivot!$B$1:$AB$65000,$B1201,O$5)="",2,0)),0)</f>
        <v>0</v>
      </c>
      <c r="P1201" s="194">
        <f>IFERROR(IF(INDEX([1]Pivot!$AD$1:$BE$65000,$B1201,P$5)=1,1,IF(INDEX([1]Pivot!$B$1:$AB$65000,$B1201,P$5)="",2,0)),0)</f>
        <v>0</v>
      </c>
      <c r="Q1201" s="194">
        <f>IFERROR(IF(INDEX([1]Pivot!$AD$1:$BE$65000,$B1201,Q$5)=1,1,IF(INDEX([1]Pivot!$B$1:$AB$65000,$B1201,Q$5)="",2,0)),0)</f>
        <v>0</v>
      </c>
      <c r="R1201" s="312"/>
      <c r="S1201" s="194">
        <f>IFERROR(IF(INDEX([1]Pivot!$AD$1:$BE$65000,$B1201,S$5)=1,1,IF(INDEX([1]Pivot!$B$1:$AB$65000,$B1201,S$5)="",2,0)),0)</f>
        <v>0</v>
      </c>
      <c r="T1201" s="194">
        <f>IFERROR(IF(INDEX([1]Pivot!$AD$1:$BE$65000,$B1201,T$5)=1,1,IF(INDEX([1]Pivot!$B$1:$AB$65000,$B1201,T$5)="",2,0)),0)</f>
        <v>0</v>
      </c>
      <c r="U1201" s="194">
        <f>IFERROR(IF(INDEX([1]Pivot!$AD$1:$BE$65000,$B1201,U$5)=1,1,IF(INDEX([1]Pivot!$B$1:$AB$65000,$B1201,U$5)="",2,0)),0)</f>
        <v>0</v>
      </c>
      <c r="V1201" s="194">
        <f>IFERROR(IF(INDEX([1]Pivot!$AD$1:$BE$65000,$B1201,V$5)=1,1,IF(INDEX([1]Pivot!$B$1:$AB$65000,$B1201,V$5)="",2,0)),0)</f>
        <v>0</v>
      </c>
      <c r="W1201" s="194">
        <f>IFERROR(IF(INDEX([1]Pivot!$AD$1:$BE$65000,$B1201,W$5)=1,1,IF(INDEX([1]Pivot!$B$1:$AB$65000,$B1201,W$5)="",2,0)),0)</f>
        <v>0</v>
      </c>
      <c r="X1201" s="194">
        <f>IFERROR(IF(INDEX([1]Pivot!$AD$1:$BE$65000,$B1201,X$5)=1,1,IF(INDEX([1]Pivot!$B$1:$AB$65000,$B1201,X$5)="",2,0)),0)</f>
        <v>0</v>
      </c>
      <c r="Y1201" s="194">
        <f>IFERROR(IF(INDEX([1]Pivot!$AD$1:$BE$65000,$B1201,Y$5)=1,1,IF(INDEX([1]Pivot!$B$1:$AB$65000,$B1201,Y$5)="",2,0)),0)</f>
        <v>0</v>
      </c>
      <c r="Z1201" s="194">
        <f>IFERROR(IF(INDEX([1]Pivot!$AD$1:$BE$65000,$B1201,Z$5)=1,1,IF(INDEX([1]Pivot!$B$1:$AB$65000,$B1201,Z$5)="",2,0)),0)</f>
        <v>0</v>
      </c>
      <c r="AA1201" s="194">
        <f>IFERROR(IF(INDEX([1]Pivot!$AD$1:$BE$65000,$B1201,AA$5)=1,1,IF(INDEX([1]Pivot!$B$1:$AB$65000,$B1201,AA$5)="",2,0)),0)</f>
        <v>0</v>
      </c>
      <c r="AB1201" s="194">
        <f>IFERROR(IF(INDEX([1]Pivot!$AD$1:$BE$65000,$B1201,AB$5)=1,1,IF(INDEX([1]Pivot!$B$1:$AB$65000,$B1201,AB$5)="",2,0)),0)</f>
        <v>0</v>
      </c>
      <c r="AC1201" s="194">
        <f>IFERROR(IF(INDEX([1]Pivot!$AD$1:$BE$65000,$B1201,AC$5)=1,1,IF(INDEX([1]Pivot!$B$1:$AB$65000,$B1201,AC$5)="",2,0)),0)</f>
        <v>0</v>
      </c>
      <c r="AD1201" s="313">
        <f>IFERROR(IF(INDEX([1]Pivot!$BF$1:$CG$65000,$B1201,AD$5)=1,1,IF(INDEX([1]Pivot!$B$1:$AB$65000,$B1201,AD$5)="",2,0)),0)</f>
        <v>0</v>
      </c>
      <c r="AE1201" s="313">
        <f>IFERROR(IF(INDEX([1]Pivot!$BF$1:$CG$65000,$B1201,AE$5)=1,1,IF(INDEX([1]Pivot!$B$1:$AB$65000,$B1201,AE$5)="",2,0)),0)</f>
        <v>0</v>
      </c>
      <c r="AF1201" s="313">
        <f>IFERROR(IF(INDEX([1]Pivot!$BF$1:$CG$65000,$B1201,AF$5)=1,1,IF(INDEX([1]Pivot!$B$1:$AB$65000,$B1201,AF$5)="",2,0)),0)</f>
        <v>0</v>
      </c>
      <c r="AG1201" s="313">
        <f>IFERROR(IF(INDEX([1]Pivot!$BF$1:$CG$65000,$B1201,AG$5)=1,1,IF(INDEX([1]Pivot!$B$1:$AB$65000,$B1201,AG$5)="",2,0)),0)</f>
        <v>0</v>
      </c>
      <c r="AH1201" s="313">
        <f>IFERROR(IF(INDEX([1]Pivot!$BF$1:$CG$65000,$B1201,AH$5)=1,1,IF(INDEX([1]Pivot!$B$1:$AB$65000,$B1201,AH$5)="",2,0)),0)</f>
        <v>0</v>
      </c>
      <c r="AI1201" s="313">
        <f>IFERROR(IF(INDEX([1]Pivot!$BF$1:$CG$65000,$B1201,AI$5)=1,1,IF(INDEX([1]Pivot!$B$1:$AB$65000,$B1201,AI$5)="",2,0)),0)</f>
        <v>0</v>
      </c>
      <c r="AJ1201" s="313">
        <f>IFERROR(IF(INDEX([1]Pivot!$BF$1:$CG$65000,$B1201,AJ$5)=1,1,IF(INDEX([1]Pivot!$B$1:$AB$65000,$B1201,AJ$5)="",2,0)),0)</f>
        <v>0</v>
      </c>
      <c r="AK1201" s="313">
        <f>IFERROR(IF(INDEX([1]Pivot!$BF$1:$CG$65000,$B1201,AK$5)=1,1,IF(INDEX([1]Pivot!$B$1:$AB$65000,$B1201,AK$5)="",2,0)),0)</f>
        <v>0</v>
      </c>
      <c r="AL1201" s="313">
        <f>IFERROR(IF(INDEX([1]Pivot!$BF$1:$CG$65000,$B1201,AL$5)=1,1,IF(INDEX([1]Pivot!$B$1:$AB$65000,$B1201,AL$5)="",2,0)),0)</f>
        <v>0</v>
      </c>
      <c r="AM1201" s="313">
        <f>IFERROR(IF(INDEX([1]Pivot!$BF$1:$CG$65000,$B1201,AM$5)=1,1,IF(INDEX([1]Pivot!$B$1:$AB$65000,$B1201,AM$5)="",2,0)),0)</f>
        <v>0</v>
      </c>
      <c r="AN1201" s="313">
        <f>IFERROR(IF(INDEX([1]Pivot!$BF$1:$CG$65000,$B1201,AN$5)=1,1,IF(INDEX([1]Pivot!$B$1:$AB$65000,$B1201,AN$5)="",2,0)),0)</f>
        <v>0</v>
      </c>
      <c r="AO1201" s="313">
        <f>IFERROR(IF(INDEX([1]Pivot!$BF$1:$CG$65000,$B1201,AO$5)=1,1,IF(INDEX([1]Pivot!$B$1:$AB$65000,$B1201,AO$5)="",2,0)),0)</f>
        <v>0</v>
      </c>
      <c r="AP1201" s="313">
        <f>IFERROR(IF(INDEX([1]Pivot!$BF$1:$CG$65000,$B1201,AP$5)=1,1,IF(INDEX([1]Pivot!$B$1:$AB$65000,$B1201,AP$5)="",2,0)),0)</f>
        <v>0</v>
      </c>
      <c r="AQ1201" s="313">
        <f>IFERROR(IF(INDEX([1]Pivot!$BF$1:$CG$65000,$B1201,AQ$5)=1,1,IF(INDEX([1]Pivot!$B$1:$AB$65000,$B1201,AQ$5)="",2,0)),0)</f>
        <v>0</v>
      </c>
      <c r="AR1201" s="313">
        <f>IFERROR(IF(INDEX([1]Pivot!$BF$1:$CG$65000,$B1201,AR$5)=1,1,IF(INDEX([1]Pivot!$B$1:$AB$65000,$B1201,AR$5)="",2,0)),0)</f>
        <v>0</v>
      </c>
      <c r="AS1201" s="312"/>
      <c r="AT1201" s="313">
        <f>IFERROR(IF(INDEX([1]Pivot!$BF$1:$CG$65000,$B1201,AT$5)=1,1,IF(INDEX([1]Pivot!$B$1:$AB$65000,$B1201,AT$5)="",2,0)),0)</f>
        <v>0</v>
      </c>
      <c r="AU1201" s="313">
        <f>IFERROR(IF(INDEX([1]Pivot!$BF$1:$CG$65000,$B1201,AU$5)=1,1,IF(INDEX([1]Pivot!$B$1:$AB$65000,$B1201,AU$5)="",2,0)),0)</f>
        <v>0</v>
      </c>
      <c r="AV1201" s="313">
        <f>IFERROR(IF(INDEX([1]Pivot!$BF$1:$CG$65000,$B1201,AV$5)=1,1,IF(INDEX([1]Pivot!$B$1:$AB$65000,$B1201,AV$5)="",2,0)),0)</f>
        <v>0</v>
      </c>
      <c r="AW1201" s="313">
        <f>IFERROR(IF(INDEX([1]Pivot!$BF$1:$CG$65000,$B1201,AW$5)=1,1,IF(INDEX([1]Pivot!$B$1:$AB$65000,$B1201,AW$5)="",2,0)),0)</f>
        <v>0</v>
      </c>
      <c r="AX1201" s="313">
        <f>IFERROR(IF(INDEX([1]Pivot!$BF$1:$CG$65000,$B1201,AX$5)=1,1,IF(INDEX([1]Pivot!$B$1:$AB$65000,$B1201,AX$5)="",2,0)),0)</f>
        <v>0</v>
      </c>
      <c r="AY1201" s="313">
        <f>IFERROR(IF(INDEX([1]Pivot!$BF$1:$CG$65000,$B1201,AY$5)=1,1,IF(INDEX([1]Pivot!$B$1:$AB$65000,$B1201,AY$5)="",2,0)),0)</f>
        <v>0</v>
      </c>
      <c r="AZ1201" s="313">
        <f>IFERROR(IF(INDEX([1]Pivot!$BF$1:$CG$65000,$B1201,AZ$5)=1,1,IF(INDEX([1]Pivot!$B$1:$AB$65000,$B1201,AZ$5)="",2,0)),0)</f>
        <v>0</v>
      </c>
      <c r="BA1201" s="313">
        <f>IFERROR(IF(INDEX([1]Pivot!$BF$1:$CG$65000,$B1201,BA$5)=1,1,IF(INDEX([1]Pivot!$B$1:$AB$65000,$B1201,BA$5)="",2,0)),0)</f>
        <v>0</v>
      </c>
      <c r="BB1201" s="313">
        <f>IFERROR(IF(INDEX([1]Pivot!$BF$1:$CG$65000,$B1201,BB$5)=1,1,IF(INDEX([1]Pivot!$B$1:$AB$65000,$B1201,BB$5)="",2,0)),0)</f>
        <v>0</v>
      </c>
      <c r="BC1201" s="313">
        <f>IFERROR(IF(INDEX([1]Pivot!$BF$1:$CG$65000,$B1201,BC$5)=1,1,IF(INDEX([1]Pivot!$B$1:$AB$65000,$B1201,BC$5)="",2,0)),0)</f>
        <v>0</v>
      </c>
      <c r="BD1201" s="313">
        <f>IFERROR(IF(INDEX([1]Pivot!$BF$1:$CG$65000,$B1201,BD$5)=1,1,IF(INDEX([1]Pivot!$B$1:$AB$65000,$B1201,BD$5)="",2,0)),0)</f>
        <v>0</v>
      </c>
    </row>
    <row r="1202" spans="1:56" x14ac:dyDescent="0.25">
      <c r="A1202" s="288">
        <f>'[2]Raw Milk Prices'!A1202</f>
        <v>0</v>
      </c>
      <c r="B1202" s="296" t="e">
        <f>MATCH(DATE(LEFT('[2]Raw Milk Prices'!$A1202,4),RIGHT('[2]Raw Milk Prices'!$A1202,2),1),[1]Pivot!$A$1:$A$65000,0)</f>
        <v>#VALUE!</v>
      </c>
      <c r="C1202" s="194">
        <f>IFERROR(IF(INDEX([1]Pivot!$AD$1:$BE$65000,$B1202,C$5)=1,1,IF(INDEX([1]Pivot!$B$1:$AB$65000,$B1202,C$5)="",2,0)),0)</f>
        <v>0</v>
      </c>
      <c r="D1202" s="194">
        <f>IFERROR(IF(INDEX([1]Pivot!$AD$1:$BE$65000,$B1202,D$5)=1,1,IF(INDEX([1]Pivot!$B$1:$AB$65000,$B1202,D$5)="",2,0)),0)</f>
        <v>0</v>
      </c>
      <c r="E1202" s="194">
        <f>IFERROR(IF(INDEX([1]Pivot!$AD$1:$BE$65000,$B1202,E$5)=1,1,IF(INDEX([1]Pivot!$B$1:$AB$65000,$B1202,E$5)="",2,0)),0)</f>
        <v>0</v>
      </c>
      <c r="F1202" s="194">
        <f>IFERROR(IF(INDEX([1]Pivot!$AD$1:$BE$65000,$B1202,F$5)=1,1,IF(INDEX([1]Pivot!$B$1:$AB$65000,$B1202,F$5)="",2,0)),0)</f>
        <v>0</v>
      </c>
      <c r="G1202" s="194">
        <f>IFERROR(IF(INDEX([1]Pivot!$AD$1:$BE$65000,$B1202,G$5)=1,1,IF(INDEX([1]Pivot!$B$1:$AB$65000,$B1202,G$5)="",2,0)),0)</f>
        <v>0</v>
      </c>
      <c r="H1202" s="194">
        <f>IFERROR(IF(INDEX([1]Pivot!$AD$1:$BE$65000,$B1202,H$5)=1,1,IF(INDEX([1]Pivot!$B$1:$AB$65000,$B1202,H$5)="",2,0)),0)</f>
        <v>0</v>
      </c>
      <c r="I1202" s="194">
        <f>IFERROR(IF(INDEX([1]Pivot!$AD$1:$BE$65000,$B1202,I$5)=1,1,IF(INDEX([1]Pivot!$B$1:$AB$65000,$B1202,I$5)="",2,0)),0)</f>
        <v>0</v>
      </c>
      <c r="J1202" s="194">
        <f>IFERROR(IF(INDEX([1]Pivot!$AD$1:$BE$65000,$B1202,J$5)=1,1,IF(INDEX([1]Pivot!$B$1:$AB$65000,$B1202,J$5)="",2,0)),0)</f>
        <v>0</v>
      </c>
      <c r="K1202" s="194">
        <f>IFERROR(IF(INDEX([1]Pivot!$AD$1:$BE$65000,$B1202,K$5)=1,1,IF(INDEX([1]Pivot!$B$1:$AB$65000,$B1202,K$5)="",2,0)),0)</f>
        <v>0</v>
      </c>
      <c r="L1202" s="194">
        <f>IFERROR(IF(INDEX([1]Pivot!$AD$1:$BE$65000,$B1202,L$5)=1,1,IF(INDEX([1]Pivot!$B$1:$AB$65000,$B1202,L$5)="",2,0)),0)</f>
        <v>0</v>
      </c>
      <c r="M1202" s="194">
        <f>IFERROR(IF(INDEX([1]Pivot!$AD$1:$BE$65000,$B1202,M$5)=1,1,IF(INDEX([1]Pivot!$B$1:$AB$65000,$B1202,M$5)="",2,0)),0)</f>
        <v>0</v>
      </c>
      <c r="N1202" s="194">
        <f>IFERROR(IF(INDEX([1]Pivot!$AD$1:$BE$65000,$B1202,N$5)=1,1,IF(INDEX([1]Pivot!$B$1:$AB$65000,$B1202,N$5)="",2,0)),0)</f>
        <v>0</v>
      </c>
      <c r="O1202" s="194">
        <f>IFERROR(IF(INDEX([1]Pivot!$AD$1:$BE$65000,$B1202,O$5)=1,1,IF(INDEX([1]Pivot!$B$1:$AB$65000,$B1202,O$5)="",2,0)),0)</f>
        <v>0</v>
      </c>
      <c r="P1202" s="194">
        <f>IFERROR(IF(INDEX([1]Pivot!$AD$1:$BE$65000,$B1202,P$5)=1,1,IF(INDEX([1]Pivot!$B$1:$AB$65000,$B1202,P$5)="",2,0)),0)</f>
        <v>0</v>
      </c>
      <c r="Q1202" s="194">
        <f>IFERROR(IF(INDEX([1]Pivot!$AD$1:$BE$65000,$B1202,Q$5)=1,1,IF(INDEX([1]Pivot!$B$1:$AB$65000,$B1202,Q$5)="",2,0)),0)</f>
        <v>0</v>
      </c>
      <c r="R1202" s="312"/>
      <c r="S1202" s="194">
        <f>IFERROR(IF(INDEX([1]Pivot!$AD$1:$BE$65000,$B1202,S$5)=1,1,IF(INDEX([1]Pivot!$B$1:$AB$65000,$B1202,S$5)="",2,0)),0)</f>
        <v>0</v>
      </c>
      <c r="T1202" s="194">
        <f>IFERROR(IF(INDEX([1]Pivot!$AD$1:$BE$65000,$B1202,T$5)=1,1,IF(INDEX([1]Pivot!$B$1:$AB$65000,$B1202,T$5)="",2,0)),0)</f>
        <v>0</v>
      </c>
      <c r="U1202" s="194">
        <f>IFERROR(IF(INDEX([1]Pivot!$AD$1:$BE$65000,$B1202,U$5)=1,1,IF(INDEX([1]Pivot!$B$1:$AB$65000,$B1202,U$5)="",2,0)),0)</f>
        <v>0</v>
      </c>
      <c r="V1202" s="194">
        <f>IFERROR(IF(INDEX([1]Pivot!$AD$1:$BE$65000,$B1202,V$5)=1,1,IF(INDEX([1]Pivot!$B$1:$AB$65000,$B1202,V$5)="",2,0)),0)</f>
        <v>0</v>
      </c>
      <c r="W1202" s="194">
        <f>IFERROR(IF(INDEX([1]Pivot!$AD$1:$BE$65000,$B1202,W$5)=1,1,IF(INDEX([1]Pivot!$B$1:$AB$65000,$B1202,W$5)="",2,0)),0)</f>
        <v>0</v>
      </c>
      <c r="X1202" s="194">
        <f>IFERROR(IF(INDEX([1]Pivot!$AD$1:$BE$65000,$B1202,X$5)=1,1,IF(INDEX([1]Pivot!$B$1:$AB$65000,$B1202,X$5)="",2,0)),0)</f>
        <v>0</v>
      </c>
      <c r="Y1202" s="194">
        <f>IFERROR(IF(INDEX([1]Pivot!$AD$1:$BE$65000,$B1202,Y$5)=1,1,IF(INDEX([1]Pivot!$B$1:$AB$65000,$B1202,Y$5)="",2,0)),0)</f>
        <v>0</v>
      </c>
      <c r="Z1202" s="194">
        <f>IFERROR(IF(INDEX([1]Pivot!$AD$1:$BE$65000,$B1202,Z$5)=1,1,IF(INDEX([1]Pivot!$B$1:$AB$65000,$B1202,Z$5)="",2,0)),0)</f>
        <v>0</v>
      </c>
      <c r="AA1202" s="194">
        <f>IFERROR(IF(INDEX([1]Pivot!$AD$1:$BE$65000,$B1202,AA$5)=1,1,IF(INDEX([1]Pivot!$B$1:$AB$65000,$B1202,AA$5)="",2,0)),0)</f>
        <v>0</v>
      </c>
      <c r="AB1202" s="194">
        <f>IFERROR(IF(INDEX([1]Pivot!$AD$1:$BE$65000,$B1202,AB$5)=1,1,IF(INDEX([1]Pivot!$B$1:$AB$65000,$B1202,AB$5)="",2,0)),0)</f>
        <v>0</v>
      </c>
      <c r="AC1202" s="194">
        <f>IFERROR(IF(INDEX([1]Pivot!$AD$1:$BE$65000,$B1202,AC$5)=1,1,IF(INDEX([1]Pivot!$B$1:$AB$65000,$B1202,AC$5)="",2,0)),0)</f>
        <v>0</v>
      </c>
      <c r="AD1202" s="313">
        <f>IFERROR(IF(INDEX([1]Pivot!$BF$1:$CG$65000,$B1202,AD$5)=1,1,IF(INDEX([1]Pivot!$B$1:$AB$65000,$B1202,AD$5)="",2,0)),0)</f>
        <v>0</v>
      </c>
      <c r="AE1202" s="313">
        <f>IFERROR(IF(INDEX([1]Pivot!$BF$1:$CG$65000,$B1202,AE$5)=1,1,IF(INDEX([1]Pivot!$B$1:$AB$65000,$B1202,AE$5)="",2,0)),0)</f>
        <v>0</v>
      </c>
      <c r="AF1202" s="313">
        <f>IFERROR(IF(INDEX([1]Pivot!$BF$1:$CG$65000,$B1202,AF$5)=1,1,IF(INDEX([1]Pivot!$B$1:$AB$65000,$B1202,AF$5)="",2,0)),0)</f>
        <v>0</v>
      </c>
      <c r="AG1202" s="313">
        <f>IFERROR(IF(INDEX([1]Pivot!$BF$1:$CG$65000,$B1202,AG$5)=1,1,IF(INDEX([1]Pivot!$B$1:$AB$65000,$B1202,AG$5)="",2,0)),0)</f>
        <v>0</v>
      </c>
      <c r="AH1202" s="313">
        <f>IFERROR(IF(INDEX([1]Pivot!$BF$1:$CG$65000,$B1202,AH$5)=1,1,IF(INDEX([1]Pivot!$B$1:$AB$65000,$B1202,AH$5)="",2,0)),0)</f>
        <v>0</v>
      </c>
      <c r="AI1202" s="313">
        <f>IFERROR(IF(INDEX([1]Pivot!$BF$1:$CG$65000,$B1202,AI$5)=1,1,IF(INDEX([1]Pivot!$B$1:$AB$65000,$B1202,AI$5)="",2,0)),0)</f>
        <v>0</v>
      </c>
      <c r="AJ1202" s="313">
        <f>IFERROR(IF(INDEX([1]Pivot!$BF$1:$CG$65000,$B1202,AJ$5)=1,1,IF(INDEX([1]Pivot!$B$1:$AB$65000,$B1202,AJ$5)="",2,0)),0)</f>
        <v>0</v>
      </c>
      <c r="AK1202" s="313">
        <f>IFERROR(IF(INDEX([1]Pivot!$BF$1:$CG$65000,$B1202,AK$5)=1,1,IF(INDEX([1]Pivot!$B$1:$AB$65000,$B1202,AK$5)="",2,0)),0)</f>
        <v>0</v>
      </c>
      <c r="AL1202" s="313">
        <f>IFERROR(IF(INDEX([1]Pivot!$BF$1:$CG$65000,$B1202,AL$5)=1,1,IF(INDEX([1]Pivot!$B$1:$AB$65000,$B1202,AL$5)="",2,0)),0)</f>
        <v>0</v>
      </c>
      <c r="AM1202" s="313">
        <f>IFERROR(IF(INDEX([1]Pivot!$BF$1:$CG$65000,$B1202,AM$5)=1,1,IF(INDEX([1]Pivot!$B$1:$AB$65000,$B1202,AM$5)="",2,0)),0)</f>
        <v>0</v>
      </c>
      <c r="AN1202" s="313">
        <f>IFERROR(IF(INDEX([1]Pivot!$BF$1:$CG$65000,$B1202,AN$5)=1,1,IF(INDEX([1]Pivot!$B$1:$AB$65000,$B1202,AN$5)="",2,0)),0)</f>
        <v>0</v>
      </c>
      <c r="AO1202" s="313">
        <f>IFERROR(IF(INDEX([1]Pivot!$BF$1:$CG$65000,$B1202,AO$5)=1,1,IF(INDEX([1]Pivot!$B$1:$AB$65000,$B1202,AO$5)="",2,0)),0)</f>
        <v>0</v>
      </c>
      <c r="AP1202" s="313">
        <f>IFERROR(IF(INDEX([1]Pivot!$BF$1:$CG$65000,$B1202,AP$5)=1,1,IF(INDEX([1]Pivot!$B$1:$AB$65000,$B1202,AP$5)="",2,0)),0)</f>
        <v>0</v>
      </c>
      <c r="AQ1202" s="313">
        <f>IFERROR(IF(INDEX([1]Pivot!$BF$1:$CG$65000,$B1202,AQ$5)=1,1,IF(INDEX([1]Pivot!$B$1:$AB$65000,$B1202,AQ$5)="",2,0)),0)</f>
        <v>0</v>
      </c>
      <c r="AR1202" s="313">
        <f>IFERROR(IF(INDEX([1]Pivot!$BF$1:$CG$65000,$B1202,AR$5)=1,1,IF(INDEX([1]Pivot!$B$1:$AB$65000,$B1202,AR$5)="",2,0)),0)</f>
        <v>0</v>
      </c>
      <c r="AS1202" s="312"/>
      <c r="AT1202" s="313">
        <f>IFERROR(IF(INDEX([1]Pivot!$BF$1:$CG$65000,$B1202,AT$5)=1,1,IF(INDEX([1]Pivot!$B$1:$AB$65000,$B1202,AT$5)="",2,0)),0)</f>
        <v>0</v>
      </c>
      <c r="AU1202" s="313">
        <f>IFERROR(IF(INDEX([1]Pivot!$BF$1:$CG$65000,$B1202,AU$5)=1,1,IF(INDEX([1]Pivot!$B$1:$AB$65000,$B1202,AU$5)="",2,0)),0)</f>
        <v>0</v>
      </c>
      <c r="AV1202" s="313">
        <f>IFERROR(IF(INDEX([1]Pivot!$BF$1:$CG$65000,$B1202,AV$5)=1,1,IF(INDEX([1]Pivot!$B$1:$AB$65000,$B1202,AV$5)="",2,0)),0)</f>
        <v>0</v>
      </c>
      <c r="AW1202" s="313">
        <f>IFERROR(IF(INDEX([1]Pivot!$BF$1:$CG$65000,$B1202,AW$5)=1,1,IF(INDEX([1]Pivot!$B$1:$AB$65000,$B1202,AW$5)="",2,0)),0)</f>
        <v>0</v>
      </c>
      <c r="AX1202" s="313">
        <f>IFERROR(IF(INDEX([1]Pivot!$BF$1:$CG$65000,$B1202,AX$5)=1,1,IF(INDEX([1]Pivot!$B$1:$AB$65000,$B1202,AX$5)="",2,0)),0)</f>
        <v>0</v>
      </c>
      <c r="AY1202" s="313">
        <f>IFERROR(IF(INDEX([1]Pivot!$BF$1:$CG$65000,$B1202,AY$5)=1,1,IF(INDEX([1]Pivot!$B$1:$AB$65000,$B1202,AY$5)="",2,0)),0)</f>
        <v>0</v>
      </c>
      <c r="AZ1202" s="313">
        <f>IFERROR(IF(INDEX([1]Pivot!$BF$1:$CG$65000,$B1202,AZ$5)=1,1,IF(INDEX([1]Pivot!$B$1:$AB$65000,$B1202,AZ$5)="",2,0)),0)</f>
        <v>0</v>
      </c>
      <c r="BA1202" s="313">
        <f>IFERROR(IF(INDEX([1]Pivot!$BF$1:$CG$65000,$B1202,BA$5)=1,1,IF(INDEX([1]Pivot!$B$1:$AB$65000,$B1202,BA$5)="",2,0)),0)</f>
        <v>0</v>
      </c>
      <c r="BB1202" s="313">
        <f>IFERROR(IF(INDEX([1]Pivot!$BF$1:$CG$65000,$B1202,BB$5)=1,1,IF(INDEX([1]Pivot!$B$1:$AB$65000,$B1202,BB$5)="",2,0)),0)</f>
        <v>0</v>
      </c>
      <c r="BC1202" s="313">
        <f>IFERROR(IF(INDEX([1]Pivot!$BF$1:$CG$65000,$B1202,BC$5)=1,1,IF(INDEX([1]Pivot!$B$1:$AB$65000,$B1202,BC$5)="",2,0)),0)</f>
        <v>0</v>
      </c>
      <c r="BD1202" s="313">
        <f>IFERROR(IF(INDEX([1]Pivot!$BF$1:$CG$65000,$B1202,BD$5)=1,1,IF(INDEX([1]Pivot!$B$1:$AB$65000,$B1202,BD$5)="",2,0)),0)</f>
        <v>0</v>
      </c>
    </row>
    <row r="1203" spans="1:56" x14ac:dyDescent="0.25">
      <c r="A1203" s="288">
        <f>'[2]Raw Milk Prices'!A1203</f>
        <v>0</v>
      </c>
      <c r="B1203" s="296" t="e">
        <f>MATCH(DATE(LEFT('[2]Raw Milk Prices'!$A1203,4),RIGHT('[2]Raw Milk Prices'!$A1203,2),1),[1]Pivot!$A$1:$A$65000,0)</f>
        <v>#VALUE!</v>
      </c>
      <c r="C1203" s="194">
        <f>IFERROR(IF(INDEX([1]Pivot!$AD$1:$BE$65000,$B1203,C$5)=1,1,IF(INDEX([1]Pivot!$B$1:$AB$65000,$B1203,C$5)="",2,0)),0)</f>
        <v>0</v>
      </c>
      <c r="D1203" s="194">
        <f>IFERROR(IF(INDEX([1]Pivot!$AD$1:$BE$65000,$B1203,D$5)=1,1,IF(INDEX([1]Pivot!$B$1:$AB$65000,$B1203,D$5)="",2,0)),0)</f>
        <v>0</v>
      </c>
      <c r="E1203" s="194">
        <f>IFERROR(IF(INDEX([1]Pivot!$AD$1:$BE$65000,$B1203,E$5)=1,1,IF(INDEX([1]Pivot!$B$1:$AB$65000,$B1203,E$5)="",2,0)),0)</f>
        <v>0</v>
      </c>
      <c r="F1203" s="194">
        <f>IFERROR(IF(INDEX([1]Pivot!$AD$1:$BE$65000,$B1203,F$5)=1,1,IF(INDEX([1]Pivot!$B$1:$AB$65000,$B1203,F$5)="",2,0)),0)</f>
        <v>0</v>
      </c>
      <c r="G1203" s="194">
        <f>IFERROR(IF(INDEX([1]Pivot!$AD$1:$BE$65000,$B1203,G$5)=1,1,IF(INDEX([1]Pivot!$B$1:$AB$65000,$B1203,G$5)="",2,0)),0)</f>
        <v>0</v>
      </c>
      <c r="H1203" s="194">
        <f>IFERROR(IF(INDEX([1]Pivot!$AD$1:$BE$65000,$B1203,H$5)=1,1,IF(INDEX([1]Pivot!$B$1:$AB$65000,$B1203,H$5)="",2,0)),0)</f>
        <v>0</v>
      </c>
      <c r="I1203" s="194">
        <f>IFERROR(IF(INDEX([1]Pivot!$AD$1:$BE$65000,$B1203,I$5)=1,1,IF(INDEX([1]Pivot!$B$1:$AB$65000,$B1203,I$5)="",2,0)),0)</f>
        <v>0</v>
      </c>
      <c r="J1203" s="194">
        <f>IFERROR(IF(INDEX([1]Pivot!$AD$1:$BE$65000,$B1203,J$5)=1,1,IF(INDEX([1]Pivot!$B$1:$AB$65000,$B1203,J$5)="",2,0)),0)</f>
        <v>0</v>
      </c>
      <c r="K1203" s="194">
        <f>IFERROR(IF(INDEX([1]Pivot!$AD$1:$BE$65000,$B1203,K$5)=1,1,IF(INDEX([1]Pivot!$B$1:$AB$65000,$B1203,K$5)="",2,0)),0)</f>
        <v>0</v>
      </c>
      <c r="L1203" s="194">
        <f>IFERROR(IF(INDEX([1]Pivot!$AD$1:$BE$65000,$B1203,L$5)=1,1,IF(INDEX([1]Pivot!$B$1:$AB$65000,$B1203,L$5)="",2,0)),0)</f>
        <v>0</v>
      </c>
      <c r="M1203" s="194">
        <f>IFERROR(IF(INDEX([1]Pivot!$AD$1:$BE$65000,$B1203,M$5)=1,1,IF(INDEX([1]Pivot!$B$1:$AB$65000,$B1203,M$5)="",2,0)),0)</f>
        <v>0</v>
      </c>
      <c r="N1203" s="194">
        <f>IFERROR(IF(INDEX([1]Pivot!$AD$1:$BE$65000,$B1203,N$5)=1,1,IF(INDEX([1]Pivot!$B$1:$AB$65000,$B1203,N$5)="",2,0)),0)</f>
        <v>0</v>
      </c>
      <c r="O1203" s="194">
        <f>IFERROR(IF(INDEX([1]Pivot!$AD$1:$BE$65000,$B1203,O$5)=1,1,IF(INDEX([1]Pivot!$B$1:$AB$65000,$B1203,O$5)="",2,0)),0)</f>
        <v>0</v>
      </c>
      <c r="P1203" s="194">
        <f>IFERROR(IF(INDEX([1]Pivot!$AD$1:$BE$65000,$B1203,P$5)=1,1,IF(INDEX([1]Pivot!$B$1:$AB$65000,$B1203,P$5)="",2,0)),0)</f>
        <v>0</v>
      </c>
      <c r="Q1203" s="194">
        <f>IFERROR(IF(INDEX([1]Pivot!$AD$1:$BE$65000,$B1203,Q$5)=1,1,IF(INDEX([1]Pivot!$B$1:$AB$65000,$B1203,Q$5)="",2,0)),0)</f>
        <v>0</v>
      </c>
      <c r="R1203" s="312"/>
      <c r="S1203" s="194">
        <f>IFERROR(IF(INDEX([1]Pivot!$AD$1:$BE$65000,$B1203,S$5)=1,1,IF(INDEX([1]Pivot!$B$1:$AB$65000,$B1203,S$5)="",2,0)),0)</f>
        <v>0</v>
      </c>
      <c r="T1203" s="194">
        <f>IFERROR(IF(INDEX([1]Pivot!$AD$1:$BE$65000,$B1203,T$5)=1,1,IF(INDEX([1]Pivot!$B$1:$AB$65000,$B1203,T$5)="",2,0)),0)</f>
        <v>0</v>
      </c>
      <c r="U1203" s="194">
        <f>IFERROR(IF(INDEX([1]Pivot!$AD$1:$BE$65000,$B1203,U$5)=1,1,IF(INDEX([1]Pivot!$B$1:$AB$65000,$B1203,U$5)="",2,0)),0)</f>
        <v>0</v>
      </c>
      <c r="V1203" s="194">
        <f>IFERROR(IF(INDEX([1]Pivot!$AD$1:$BE$65000,$B1203,V$5)=1,1,IF(INDEX([1]Pivot!$B$1:$AB$65000,$B1203,V$5)="",2,0)),0)</f>
        <v>0</v>
      </c>
      <c r="W1203" s="194">
        <f>IFERROR(IF(INDEX([1]Pivot!$AD$1:$BE$65000,$B1203,W$5)=1,1,IF(INDEX([1]Pivot!$B$1:$AB$65000,$B1203,W$5)="",2,0)),0)</f>
        <v>0</v>
      </c>
      <c r="X1203" s="194">
        <f>IFERROR(IF(INDEX([1]Pivot!$AD$1:$BE$65000,$B1203,X$5)=1,1,IF(INDEX([1]Pivot!$B$1:$AB$65000,$B1203,X$5)="",2,0)),0)</f>
        <v>0</v>
      </c>
      <c r="Y1203" s="194">
        <f>IFERROR(IF(INDEX([1]Pivot!$AD$1:$BE$65000,$B1203,Y$5)=1,1,IF(INDEX([1]Pivot!$B$1:$AB$65000,$B1203,Y$5)="",2,0)),0)</f>
        <v>0</v>
      </c>
      <c r="Z1203" s="194">
        <f>IFERROR(IF(INDEX([1]Pivot!$AD$1:$BE$65000,$B1203,Z$5)=1,1,IF(INDEX([1]Pivot!$B$1:$AB$65000,$B1203,Z$5)="",2,0)),0)</f>
        <v>0</v>
      </c>
      <c r="AA1203" s="194">
        <f>IFERROR(IF(INDEX([1]Pivot!$AD$1:$BE$65000,$B1203,AA$5)=1,1,IF(INDEX([1]Pivot!$B$1:$AB$65000,$B1203,AA$5)="",2,0)),0)</f>
        <v>0</v>
      </c>
      <c r="AB1203" s="194">
        <f>IFERROR(IF(INDEX([1]Pivot!$AD$1:$BE$65000,$B1203,AB$5)=1,1,IF(INDEX([1]Pivot!$B$1:$AB$65000,$B1203,AB$5)="",2,0)),0)</f>
        <v>0</v>
      </c>
      <c r="AC1203" s="194">
        <f>IFERROR(IF(INDEX([1]Pivot!$AD$1:$BE$65000,$B1203,AC$5)=1,1,IF(INDEX([1]Pivot!$B$1:$AB$65000,$B1203,AC$5)="",2,0)),0)</f>
        <v>0</v>
      </c>
      <c r="AD1203" s="313">
        <f>IFERROR(IF(INDEX([1]Pivot!$BF$1:$CG$65000,$B1203,AD$5)=1,1,IF(INDEX([1]Pivot!$B$1:$AB$65000,$B1203,AD$5)="",2,0)),0)</f>
        <v>0</v>
      </c>
      <c r="AE1203" s="313">
        <f>IFERROR(IF(INDEX([1]Pivot!$BF$1:$CG$65000,$B1203,AE$5)=1,1,IF(INDEX([1]Pivot!$B$1:$AB$65000,$B1203,AE$5)="",2,0)),0)</f>
        <v>0</v>
      </c>
      <c r="AF1203" s="313">
        <f>IFERROR(IF(INDEX([1]Pivot!$BF$1:$CG$65000,$B1203,AF$5)=1,1,IF(INDEX([1]Pivot!$B$1:$AB$65000,$B1203,AF$5)="",2,0)),0)</f>
        <v>0</v>
      </c>
      <c r="AG1203" s="313">
        <f>IFERROR(IF(INDEX([1]Pivot!$BF$1:$CG$65000,$B1203,AG$5)=1,1,IF(INDEX([1]Pivot!$B$1:$AB$65000,$B1203,AG$5)="",2,0)),0)</f>
        <v>0</v>
      </c>
      <c r="AH1203" s="313">
        <f>IFERROR(IF(INDEX([1]Pivot!$BF$1:$CG$65000,$B1203,AH$5)=1,1,IF(INDEX([1]Pivot!$B$1:$AB$65000,$B1203,AH$5)="",2,0)),0)</f>
        <v>0</v>
      </c>
      <c r="AI1203" s="313">
        <f>IFERROR(IF(INDEX([1]Pivot!$BF$1:$CG$65000,$B1203,AI$5)=1,1,IF(INDEX([1]Pivot!$B$1:$AB$65000,$B1203,AI$5)="",2,0)),0)</f>
        <v>0</v>
      </c>
      <c r="AJ1203" s="313">
        <f>IFERROR(IF(INDEX([1]Pivot!$BF$1:$CG$65000,$B1203,AJ$5)=1,1,IF(INDEX([1]Pivot!$B$1:$AB$65000,$B1203,AJ$5)="",2,0)),0)</f>
        <v>0</v>
      </c>
      <c r="AK1203" s="313">
        <f>IFERROR(IF(INDEX([1]Pivot!$BF$1:$CG$65000,$B1203,AK$5)=1,1,IF(INDEX([1]Pivot!$B$1:$AB$65000,$B1203,AK$5)="",2,0)),0)</f>
        <v>0</v>
      </c>
      <c r="AL1203" s="313">
        <f>IFERROR(IF(INDEX([1]Pivot!$BF$1:$CG$65000,$B1203,AL$5)=1,1,IF(INDEX([1]Pivot!$B$1:$AB$65000,$B1203,AL$5)="",2,0)),0)</f>
        <v>0</v>
      </c>
      <c r="AM1203" s="313">
        <f>IFERROR(IF(INDEX([1]Pivot!$BF$1:$CG$65000,$B1203,AM$5)=1,1,IF(INDEX([1]Pivot!$B$1:$AB$65000,$B1203,AM$5)="",2,0)),0)</f>
        <v>0</v>
      </c>
      <c r="AN1203" s="313">
        <f>IFERROR(IF(INDEX([1]Pivot!$BF$1:$CG$65000,$B1203,AN$5)=1,1,IF(INDEX([1]Pivot!$B$1:$AB$65000,$B1203,AN$5)="",2,0)),0)</f>
        <v>0</v>
      </c>
      <c r="AO1203" s="313">
        <f>IFERROR(IF(INDEX([1]Pivot!$BF$1:$CG$65000,$B1203,AO$5)=1,1,IF(INDEX([1]Pivot!$B$1:$AB$65000,$B1203,AO$5)="",2,0)),0)</f>
        <v>0</v>
      </c>
      <c r="AP1203" s="313">
        <f>IFERROR(IF(INDEX([1]Pivot!$BF$1:$CG$65000,$B1203,AP$5)=1,1,IF(INDEX([1]Pivot!$B$1:$AB$65000,$B1203,AP$5)="",2,0)),0)</f>
        <v>0</v>
      </c>
      <c r="AQ1203" s="313">
        <f>IFERROR(IF(INDEX([1]Pivot!$BF$1:$CG$65000,$B1203,AQ$5)=1,1,IF(INDEX([1]Pivot!$B$1:$AB$65000,$B1203,AQ$5)="",2,0)),0)</f>
        <v>0</v>
      </c>
      <c r="AR1203" s="313">
        <f>IFERROR(IF(INDEX([1]Pivot!$BF$1:$CG$65000,$B1203,AR$5)=1,1,IF(INDEX([1]Pivot!$B$1:$AB$65000,$B1203,AR$5)="",2,0)),0)</f>
        <v>0</v>
      </c>
      <c r="AS1203" s="312"/>
      <c r="AT1203" s="313">
        <f>IFERROR(IF(INDEX([1]Pivot!$BF$1:$CG$65000,$B1203,AT$5)=1,1,IF(INDEX([1]Pivot!$B$1:$AB$65000,$B1203,AT$5)="",2,0)),0)</f>
        <v>0</v>
      </c>
      <c r="AU1203" s="313">
        <f>IFERROR(IF(INDEX([1]Pivot!$BF$1:$CG$65000,$B1203,AU$5)=1,1,IF(INDEX([1]Pivot!$B$1:$AB$65000,$B1203,AU$5)="",2,0)),0)</f>
        <v>0</v>
      </c>
      <c r="AV1203" s="313">
        <f>IFERROR(IF(INDEX([1]Pivot!$BF$1:$CG$65000,$B1203,AV$5)=1,1,IF(INDEX([1]Pivot!$B$1:$AB$65000,$B1203,AV$5)="",2,0)),0)</f>
        <v>0</v>
      </c>
      <c r="AW1203" s="313">
        <f>IFERROR(IF(INDEX([1]Pivot!$BF$1:$CG$65000,$B1203,AW$5)=1,1,IF(INDEX([1]Pivot!$B$1:$AB$65000,$B1203,AW$5)="",2,0)),0)</f>
        <v>0</v>
      </c>
      <c r="AX1203" s="313">
        <f>IFERROR(IF(INDEX([1]Pivot!$BF$1:$CG$65000,$B1203,AX$5)=1,1,IF(INDEX([1]Pivot!$B$1:$AB$65000,$B1203,AX$5)="",2,0)),0)</f>
        <v>0</v>
      </c>
      <c r="AY1203" s="313">
        <f>IFERROR(IF(INDEX([1]Pivot!$BF$1:$CG$65000,$B1203,AY$5)=1,1,IF(INDEX([1]Pivot!$B$1:$AB$65000,$B1203,AY$5)="",2,0)),0)</f>
        <v>0</v>
      </c>
      <c r="AZ1203" s="313">
        <f>IFERROR(IF(INDEX([1]Pivot!$BF$1:$CG$65000,$B1203,AZ$5)=1,1,IF(INDEX([1]Pivot!$B$1:$AB$65000,$B1203,AZ$5)="",2,0)),0)</f>
        <v>0</v>
      </c>
      <c r="BA1203" s="313">
        <f>IFERROR(IF(INDEX([1]Pivot!$BF$1:$CG$65000,$B1203,BA$5)=1,1,IF(INDEX([1]Pivot!$B$1:$AB$65000,$B1203,BA$5)="",2,0)),0)</f>
        <v>0</v>
      </c>
      <c r="BB1203" s="313">
        <f>IFERROR(IF(INDEX([1]Pivot!$BF$1:$CG$65000,$B1203,BB$5)=1,1,IF(INDEX([1]Pivot!$B$1:$AB$65000,$B1203,BB$5)="",2,0)),0)</f>
        <v>0</v>
      </c>
      <c r="BC1203" s="313">
        <f>IFERROR(IF(INDEX([1]Pivot!$BF$1:$CG$65000,$B1203,BC$5)=1,1,IF(INDEX([1]Pivot!$B$1:$AB$65000,$B1203,BC$5)="",2,0)),0)</f>
        <v>0</v>
      </c>
      <c r="BD1203" s="313">
        <f>IFERROR(IF(INDEX([1]Pivot!$BF$1:$CG$65000,$B1203,BD$5)=1,1,IF(INDEX([1]Pivot!$B$1:$AB$65000,$B1203,BD$5)="",2,0)),0)</f>
        <v>0</v>
      </c>
    </row>
    <row r="1204" spans="1:56" x14ac:dyDescent="0.25">
      <c r="A1204" s="288">
        <f>'[2]Raw Milk Prices'!A1204</f>
        <v>0</v>
      </c>
      <c r="B1204" s="296" t="e">
        <f>MATCH(DATE(LEFT('[2]Raw Milk Prices'!$A1204,4),RIGHT('[2]Raw Milk Prices'!$A1204,2),1),[1]Pivot!$A$1:$A$65000,0)</f>
        <v>#VALUE!</v>
      </c>
      <c r="C1204" s="194">
        <f>IFERROR(IF(INDEX([1]Pivot!$AD$1:$BE$65000,$B1204,C$5)=1,1,IF(INDEX([1]Pivot!$B$1:$AB$65000,$B1204,C$5)="",2,0)),0)</f>
        <v>0</v>
      </c>
      <c r="D1204" s="194">
        <f>IFERROR(IF(INDEX([1]Pivot!$AD$1:$BE$65000,$B1204,D$5)=1,1,IF(INDEX([1]Pivot!$B$1:$AB$65000,$B1204,D$5)="",2,0)),0)</f>
        <v>0</v>
      </c>
      <c r="E1204" s="194">
        <f>IFERROR(IF(INDEX([1]Pivot!$AD$1:$BE$65000,$B1204,E$5)=1,1,IF(INDEX([1]Pivot!$B$1:$AB$65000,$B1204,E$5)="",2,0)),0)</f>
        <v>0</v>
      </c>
      <c r="F1204" s="194">
        <f>IFERROR(IF(INDEX([1]Pivot!$AD$1:$BE$65000,$B1204,F$5)=1,1,IF(INDEX([1]Pivot!$B$1:$AB$65000,$B1204,F$5)="",2,0)),0)</f>
        <v>0</v>
      </c>
      <c r="G1204" s="194">
        <f>IFERROR(IF(INDEX([1]Pivot!$AD$1:$BE$65000,$B1204,G$5)=1,1,IF(INDEX([1]Pivot!$B$1:$AB$65000,$B1204,G$5)="",2,0)),0)</f>
        <v>0</v>
      </c>
      <c r="H1204" s="194">
        <f>IFERROR(IF(INDEX([1]Pivot!$AD$1:$BE$65000,$B1204,H$5)=1,1,IF(INDEX([1]Pivot!$B$1:$AB$65000,$B1204,H$5)="",2,0)),0)</f>
        <v>0</v>
      </c>
      <c r="I1204" s="194">
        <f>IFERROR(IF(INDEX([1]Pivot!$AD$1:$BE$65000,$B1204,I$5)=1,1,IF(INDEX([1]Pivot!$B$1:$AB$65000,$B1204,I$5)="",2,0)),0)</f>
        <v>0</v>
      </c>
      <c r="J1204" s="194">
        <f>IFERROR(IF(INDEX([1]Pivot!$AD$1:$BE$65000,$B1204,J$5)=1,1,IF(INDEX([1]Pivot!$B$1:$AB$65000,$B1204,J$5)="",2,0)),0)</f>
        <v>0</v>
      </c>
      <c r="K1204" s="194">
        <f>IFERROR(IF(INDEX([1]Pivot!$AD$1:$BE$65000,$B1204,K$5)=1,1,IF(INDEX([1]Pivot!$B$1:$AB$65000,$B1204,K$5)="",2,0)),0)</f>
        <v>0</v>
      </c>
      <c r="L1204" s="194">
        <f>IFERROR(IF(INDEX([1]Pivot!$AD$1:$BE$65000,$B1204,L$5)=1,1,IF(INDEX([1]Pivot!$B$1:$AB$65000,$B1204,L$5)="",2,0)),0)</f>
        <v>0</v>
      </c>
      <c r="M1204" s="194">
        <f>IFERROR(IF(INDEX([1]Pivot!$AD$1:$BE$65000,$B1204,M$5)=1,1,IF(INDEX([1]Pivot!$B$1:$AB$65000,$B1204,M$5)="",2,0)),0)</f>
        <v>0</v>
      </c>
      <c r="N1204" s="194">
        <f>IFERROR(IF(INDEX([1]Pivot!$AD$1:$BE$65000,$B1204,N$5)=1,1,IF(INDEX([1]Pivot!$B$1:$AB$65000,$B1204,N$5)="",2,0)),0)</f>
        <v>0</v>
      </c>
      <c r="O1204" s="194">
        <f>IFERROR(IF(INDEX([1]Pivot!$AD$1:$BE$65000,$B1204,O$5)=1,1,IF(INDEX([1]Pivot!$B$1:$AB$65000,$B1204,O$5)="",2,0)),0)</f>
        <v>0</v>
      </c>
      <c r="P1204" s="194">
        <f>IFERROR(IF(INDEX([1]Pivot!$AD$1:$BE$65000,$B1204,P$5)=1,1,IF(INDEX([1]Pivot!$B$1:$AB$65000,$B1204,P$5)="",2,0)),0)</f>
        <v>0</v>
      </c>
      <c r="Q1204" s="194">
        <f>IFERROR(IF(INDEX([1]Pivot!$AD$1:$BE$65000,$B1204,Q$5)=1,1,IF(INDEX([1]Pivot!$B$1:$AB$65000,$B1204,Q$5)="",2,0)),0)</f>
        <v>0</v>
      </c>
      <c r="R1204" s="312"/>
      <c r="S1204" s="194">
        <f>IFERROR(IF(INDEX([1]Pivot!$AD$1:$BE$65000,$B1204,S$5)=1,1,IF(INDEX([1]Pivot!$B$1:$AB$65000,$B1204,S$5)="",2,0)),0)</f>
        <v>0</v>
      </c>
      <c r="T1204" s="194">
        <f>IFERROR(IF(INDEX([1]Pivot!$AD$1:$BE$65000,$B1204,T$5)=1,1,IF(INDEX([1]Pivot!$B$1:$AB$65000,$B1204,T$5)="",2,0)),0)</f>
        <v>0</v>
      </c>
      <c r="U1204" s="194">
        <f>IFERROR(IF(INDEX([1]Pivot!$AD$1:$BE$65000,$B1204,U$5)=1,1,IF(INDEX([1]Pivot!$B$1:$AB$65000,$B1204,U$5)="",2,0)),0)</f>
        <v>0</v>
      </c>
      <c r="V1204" s="194">
        <f>IFERROR(IF(INDEX([1]Pivot!$AD$1:$BE$65000,$B1204,V$5)=1,1,IF(INDEX([1]Pivot!$B$1:$AB$65000,$B1204,V$5)="",2,0)),0)</f>
        <v>0</v>
      </c>
      <c r="W1204" s="194">
        <f>IFERROR(IF(INDEX([1]Pivot!$AD$1:$BE$65000,$B1204,W$5)=1,1,IF(INDEX([1]Pivot!$B$1:$AB$65000,$B1204,W$5)="",2,0)),0)</f>
        <v>0</v>
      </c>
      <c r="X1204" s="194">
        <f>IFERROR(IF(INDEX([1]Pivot!$AD$1:$BE$65000,$B1204,X$5)=1,1,IF(INDEX([1]Pivot!$B$1:$AB$65000,$B1204,X$5)="",2,0)),0)</f>
        <v>0</v>
      </c>
      <c r="Y1204" s="194">
        <f>IFERROR(IF(INDEX([1]Pivot!$AD$1:$BE$65000,$B1204,Y$5)=1,1,IF(INDEX([1]Pivot!$B$1:$AB$65000,$B1204,Y$5)="",2,0)),0)</f>
        <v>0</v>
      </c>
      <c r="Z1204" s="194">
        <f>IFERROR(IF(INDEX([1]Pivot!$AD$1:$BE$65000,$B1204,Z$5)=1,1,IF(INDEX([1]Pivot!$B$1:$AB$65000,$B1204,Z$5)="",2,0)),0)</f>
        <v>0</v>
      </c>
      <c r="AA1204" s="194">
        <f>IFERROR(IF(INDEX([1]Pivot!$AD$1:$BE$65000,$B1204,AA$5)=1,1,IF(INDEX([1]Pivot!$B$1:$AB$65000,$B1204,AA$5)="",2,0)),0)</f>
        <v>0</v>
      </c>
      <c r="AB1204" s="194">
        <f>IFERROR(IF(INDEX([1]Pivot!$AD$1:$BE$65000,$B1204,AB$5)=1,1,IF(INDEX([1]Pivot!$B$1:$AB$65000,$B1204,AB$5)="",2,0)),0)</f>
        <v>0</v>
      </c>
      <c r="AC1204" s="194">
        <f>IFERROR(IF(INDEX([1]Pivot!$AD$1:$BE$65000,$B1204,AC$5)=1,1,IF(INDEX([1]Pivot!$B$1:$AB$65000,$B1204,AC$5)="",2,0)),0)</f>
        <v>0</v>
      </c>
      <c r="AD1204" s="313">
        <f>IFERROR(IF(INDEX([1]Pivot!$BF$1:$CG$65000,$B1204,AD$5)=1,1,IF(INDEX([1]Pivot!$B$1:$AB$65000,$B1204,AD$5)="",2,0)),0)</f>
        <v>0</v>
      </c>
      <c r="AE1204" s="313">
        <f>IFERROR(IF(INDEX([1]Pivot!$BF$1:$CG$65000,$B1204,AE$5)=1,1,IF(INDEX([1]Pivot!$B$1:$AB$65000,$B1204,AE$5)="",2,0)),0)</f>
        <v>0</v>
      </c>
      <c r="AF1204" s="313">
        <f>IFERROR(IF(INDEX([1]Pivot!$BF$1:$CG$65000,$B1204,AF$5)=1,1,IF(INDEX([1]Pivot!$B$1:$AB$65000,$B1204,AF$5)="",2,0)),0)</f>
        <v>0</v>
      </c>
      <c r="AG1204" s="313">
        <f>IFERROR(IF(INDEX([1]Pivot!$BF$1:$CG$65000,$B1204,AG$5)=1,1,IF(INDEX([1]Pivot!$B$1:$AB$65000,$B1204,AG$5)="",2,0)),0)</f>
        <v>0</v>
      </c>
      <c r="AH1204" s="313">
        <f>IFERROR(IF(INDEX([1]Pivot!$BF$1:$CG$65000,$B1204,AH$5)=1,1,IF(INDEX([1]Pivot!$B$1:$AB$65000,$B1204,AH$5)="",2,0)),0)</f>
        <v>0</v>
      </c>
      <c r="AI1204" s="313">
        <f>IFERROR(IF(INDEX([1]Pivot!$BF$1:$CG$65000,$B1204,AI$5)=1,1,IF(INDEX([1]Pivot!$B$1:$AB$65000,$B1204,AI$5)="",2,0)),0)</f>
        <v>0</v>
      </c>
      <c r="AJ1204" s="313">
        <f>IFERROR(IF(INDEX([1]Pivot!$BF$1:$CG$65000,$B1204,AJ$5)=1,1,IF(INDEX([1]Pivot!$B$1:$AB$65000,$B1204,AJ$5)="",2,0)),0)</f>
        <v>0</v>
      </c>
      <c r="AK1204" s="313">
        <f>IFERROR(IF(INDEX([1]Pivot!$BF$1:$CG$65000,$B1204,AK$5)=1,1,IF(INDEX([1]Pivot!$B$1:$AB$65000,$B1204,AK$5)="",2,0)),0)</f>
        <v>0</v>
      </c>
      <c r="AL1204" s="313">
        <f>IFERROR(IF(INDEX([1]Pivot!$BF$1:$CG$65000,$B1204,AL$5)=1,1,IF(INDEX([1]Pivot!$B$1:$AB$65000,$B1204,AL$5)="",2,0)),0)</f>
        <v>0</v>
      </c>
      <c r="AM1204" s="313">
        <f>IFERROR(IF(INDEX([1]Pivot!$BF$1:$CG$65000,$B1204,AM$5)=1,1,IF(INDEX([1]Pivot!$B$1:$AB$65000,$B1204,AM$5)="",2,0)),0)</f>
        <v>0</v>
      </c>
      <c r="AN1204" s="313">
        <f>IFERROR(IF(INDEX([1]Pivot!$BF$1:$CG$65000,$B1204,AN$5)=1,1,IF(INDEX([1]Pivot!$B$1:$AB$65000,$B1204,AN$5)="",2,0)),0)</f>
        <v>0</v>
      </c>
      <c r="AO1204" s="313">
        <f>IFERROR(IF(INDEX([1]Pivot!$BF$1:$CG$65000,$B1204,AO$5)=1,1,IF(INDEX([1]Pivot!$B$1:$AB$65000,$B1204,AO$5)="",2,0)),0)</f>
        <v>0</v>
      </c>
      <c r="AP1204" s="313">
        <f>IFERROR(IF(INDEX([1]Pivot!$BF$1:$CG$65000,$B1204,AP$5)=1,1,IF(INDEX([1]Pivot!$B$1:$AB$65000,$B1204,AP$5)="",2,0)),0)</f>
        <v>0</v>
      </c>
      <c r="AQ1204" s="313">
        <f>IFERROR(IF(INDEX([1]Pivot!$BF$1:$CG$65000,$B1204,AQ$5)=1,1,IF(INDEX([1]Pivot!$B$1:$AB$65000,$B1204,AQ$5)="",2,0)),0)</f>
        <v>0</v>
      </c>
      <c r="AR1204" s="313">
        <f>IFERROR(IF(INDEX([1]Pivot!$BF$1:$CG$65000,$B1204,AR$5)=1,1,IF(INDEX([1]Pivot!$B$1:$AB$65000,$B1204,AR$5)="",2,0)),0)</f>
        <v>0</v>
      </c>
      <c r="AS1204" s="312"/>
      <c r="AT1204" s="313">
        <f>IFERROR(IF(INDEX([1]Pivot!$BF$1:$CG$65000,$B1204,AT$5)=1,1,IF(INDEX([1]Pivot!$B$1:$AB$65000,$B1204,AT$5)="",2,0)),0)</f>
        <v>0</v>
      </c>
      <c r="AU1204" s="313">
        <f>IFERROR(IF(INDEX([1]Pivot!$BF$1:$CG$65000,$B1204,AU$5)=1,1,IF(INDEX([1]Pivot!$B$1:$AB$65000,$B1204,AU$5)="",2,0)),0)</f>
        <v>0</v>
      </c>
      <c r="AV1204" s="313">
        <f>IFERROR(IF(INDEX([1]Pivot!$BF$1:$CG$65000,$B1204,AV$5)=1,1,IF(INDEX([1]Pivot!$B$1:$AB$65000,$B1204,AV$5)="",2,0)),0)</f>
        <v>0</v>
      </c>
      <c r="AW1204" s="313">
        <f>IFERROR(IF(INDEX([1]Pivot!$BF$1:$CG$65000,$B1204,AW$5)=1,1,IF(INDEX([1]Pivot!$B$1:$AB$65000,$B1204,AW$5)="",2,0)),0)</f>
        <v>0</v>
      </c>
      <c r="AX1204" s="313">
        <f>IFERROR(IF(INDEX([1]Pivot!$BF$1:$CG$65000,$B1204,AX$5)=1,1,IF(INDEX([1]Pivot!$B$1:$AB$65000,$B1204,AX$5)="",2,0)),0)</f>
        <v>0</v>
      </c>
      <c r="AY1204" s="313">
        <f>IFERROR(IF(INDEX([1]Pivot!$BF$1:$CG$65000,$B1204,AY$5)=1,1,IF(INDEX([1]Pivot!$B$1:$AB$65000,$B1204,AY$5)="",2,0)),0)</f>
        <v>0</v>
      </c>
      <c r="AZ1204" s="313">
        <f>IFERROR(IF(INDEX([1]Pivot!$BF$1:$CG$65000,$B1204,AZ$5)=1,1,IF(INDEX([1]Pivot!$B$1:$AB$65000,$B1204,AZ$5)="",2,0)),0)</f>
        <v>0</v>
      </c>
      <c r="BA1204" s="313">
        <f>IFERROR(IF(INDEX([1]Pivot!$BF$1:$CG$65000,$B1204,BA$5)=1,1,IF(INDEX([1]Pivot!$B$1:$AB$65000,$B1204,BA$5)="",2,0)),0)</f>
        <v>0</v>
      </c>
      <c r="BB1204" s="313">
        <f>IFERROR(IF(INDEX([1]Pivot!$BF$1:$CG$65000,$B1204,BB$5)=1,1,IF(INDEX([1]Pivot!$B$1:$AB$65000,$B1204,BB$5)="",2,0)),0)</f>
        <v>0</v>
      </c>
      <c r="BC1204" s="313">
        <f>IFERROR(IF(INDEX([1]Pivot!$BF$1:$CG$65000,$B1204,BC$5)=1,1,IF(INDEX([1]Pivot!$B$1:$AB$65000,$B1204,BC$5)="",2,0)),0)</f>
        <v>0</v>
      </c>
      <c r="BD1204" s="313">
        <f>IFERROR(IF(INDEX([1]Pivot!$BF$1:$CG$65000,$B1204,BD$5)=1,1,IF(INDEX([1]Pivot!$B$1:$AB$65000,$B1204,BD$5)="",2,0)),0)</f>
        <v>0</v>
      </c>
    </row>
    <row r="1205" spans="1:56" x14ac:dyDescent="0.25">
      <c r="A1205" s="288">
        <f>'[2]Raw Milk Prices'!A1205</f>
        <v>0</v>
      </c>
      <c r="B1205" s="296" t="e">
        <f>MATCH(DATE(LEFT('[2]Raw Milk Prices'!$A1205,4),RIGHT('[2]Raw Milk Prices'!$A1205,2),1),[1]Pivot!$A$1:$A$65000,0)</f>
        <v>#VALUE!</v>
      </c>
      <c r="C1205" s="194">
        <f>IFERROR(IF(INDEX([1]Pivot!$AD$1:$BE$65000,$B1205,C$5)=1,1,IF(INDEX([1]Pivot!$B$1:$AB$65000,$B1205,C$5)="",2,0)),0)</f>
        <v>0</v>
      </c>
      <c r="D1205" s="194">
        <f>IFERROR(IF(INDEX([1]Pivot!$AD$1:$BE$65000,$B1205,D$5)=1,1,IF(INDEX([1]Pivot!$B$1:$AB$65000,$B1205,D$5)="",2,0)),0)</f>
        <v>0</v>
      </c>
      <c r="E1205" s="194">
        <f>IFERROR(IF(INDEX([1]Pivot!$AD$1:$BE$65000,$B1205,E$5)=1,1,IF(INDEX([1]Pivot!$B$1:$AB$65000,$B1205,E$5)="",2,0)),0)</f>
        <v>0</v>
      </c>
      <c r="F1205" s="194">
        <f>IFERROR(IF(INDEX([1]Pivot!$AD$1:$BE$65000,$B1205,F$5)=1,1,IF(INDEX([1]Pivot!$B$1:$AB$65000,$B1205,F$5)="",2,0)),0)</f>
        <v>0</v>
      </c>
      <c r="G1205" s="194">
        <f>IFERROR(IF(INDEX([1]Pivot!$AD$1:$BE$65000,$B1205,G$5)=1,1,IF(INDEX([1]Pivot!$B$1:$AB$65000,$B1205,G$5)="",2,0)),0)</f>
        <v>0</v>
      </c>
      <c r="H1205" s="194">
        <f>IFERROR(IF(INDEX([1]Pivot!$AD$1:$BE$65000,$B1205,H$5)=1,1,IF(INDEX([1]Pivot!$B$1:$AB$65000,$B1205,H$5)="",2,0)),0)</f>
        <v>0</v>
      </c>
      <c r="I1205" s="194">
        <f>IFERROR(IF(INDEX([1]Pivot!$AD$1:$BE$65000,$B1205,I$5)=1,1,IF(INDEX([1]Pivot!$B$1:$AB$65000,$B1205,I$5)="",2,0)),0)</f>
        <v>0</v>
      </c>
      <c r="J1205" s="194">
        <f>IFERROR(IF(INDEX([1]Pivot!$AD$1:$BE$65000,$B1205,J$5)=1,1,IF(INDEX([1]Pivot!$B$1:$AB$65000,$B1205,J$5)="",2,0)),0)</f>
        <v>0</v>
      </c>
      <c r="K1205" s="194">
        <f>IFERROR(IF(INDEX([1]Pivot!$AD$1:$BE$65000,$B1205,K$5)=1,1,IF(INDEX([1]Pivot!$B$1:$AB$65000,$B1205,K$5)="",2,0)),0)</f>
        <v>0</v>
      </c>
      <c r="L1205" s="194">
        <f>IFERROR(IF(INDEX([1]Pivot!$AD$1:$BE$65000,$B1205,L$5)=1,1,IF(INDEX([1]Pivot!$B$1:$AB$65000,$B1205,L$5)="",2,0)),0)</f>
        <v>0</v>
      </c>
      <c r="M1205" s="194">
        <f>IFERROR(IF(INDEX([1]Pivot!$AD$1:$BE$65000,$B1205,M$5)=1,1,IF(INDEX([1]Pivot!$B$1:$AB$65000,$B1205,M$5)="",2,0)),0)</f>
        <v>0</v>
      </c>
      <c r="N1205" s="194">
        <f>IFERROR(IF(INDEX([1]Pivot!$AD$1:$BE$65000,$B1205,N$5)=1,1,IF(INDEX([1]Pivot!$B$1:$AB$65000,$B1205,N$5)="",2,0)),0)</f>
        <v>0</v>
      </c>
      <c r="O1205" s="194">
        <f>IFERROR(IF(INDEX([1]Pivot!$AD$1:$BE$65000,$B1205,O$5)=1,1,IF(INDEX([1]Pivot!$B$1:$AB$65000,$B1205,O$5)="",2,0)),0)</f>
        <v>0</v>
      </c>
      <c r="P1205" s="194">
        <f>IFERROR(IF(INDEX([1]Pivot!$AD$1:$BE$65000,$B1205,P$5)=1,1,IF(INDEX([1]Pivot!$B$1:$AB$65000,$B1205,P$5)="",2,0)),0)</f>
        <v>0</v>
      </c>
      <c r="Q1205" s="194">
        <f>IFERROR(IF(INDEX([1]Pivot!$AD$1:$BE$65000,$B1205,Q$5)=1,1,IF(INDEX([1]Pivot!$B$1:$AB$65000,$B1205,Q$5)="",2,0)),0)</f>
        <v>0</v>
      </c>
      <c r="R1205" s="312"/>
      <c r="S1205" s="194">
        <f>IFERROR(IF(INDEX([1]Pivot!$AD$1:$BE$65000,$B1205,S$5)=1,1,IF(INDEX([1]Pivot!$B$1:$AB$65000,$B1205,S$5)="",2,0)),0)</f>
        <v>0</v>
      </c>
      <c r="T1205" s="194">
        <f>IFERROR(IF(INDEX([1]Pivot!$AD$1:$BE$65000,$B1205,T$5)=1,1,IF(INDEX([1]Pivot!$B$1:$AB$65000,$B1205,T$5)="",2,0)),0)</f>
        <v>0</v>
      </c>
      <c r="U1205" s="194">
        <f>IFERROR(IF(INDEX([1]Pivot!$AD$1:$BE$65000,$B1205,U$5)=1,1,IF(INDEX([1]Pivot!$B$1:$AB$65000,$B1205,U$5)="",2,0)),0)</f>
        <v>0</v>
      </c>
      <c r="V1205" s="194">
        <f>IFERROR(IF(INDEX([1]Pivot!$AD$1:$BE$65000,$B1205,V$5)=1,1,IF(INDEX([1]Pivot!$B$1:$AB$65000,$B1205,V$5)="",2,0)),0)</f>
        <v>0</v>
      </c>
      <c r="W1205" s="194">
        <f>IFERROR(IF(INDEX([1]Pivot!$AD$1:$BE$65000,$B1205,W$5)=1,1,IF(INDEX([1]Pivot!$B$1:$AB$65000,$B1205,W$5)="",2,0)),0)</f>
        <v>0</v>
      </c>
      <c r="X1205" s="194">
        <f>IFERROR(IF(INDEX([1]Pivot!$AD$1:$BE$65000,$B1205,X$5)=1,1,IF(INDEX([1]Pivot!$B$1:$AB$65000,$B1205,X$5)="",2,0)),0)</f>
        <v>0</v>
      </c>
      <c r="Y1205" s="194">
        <f>IFERROR(IF(INDEX([1]Pivot!$AD$1:$BE$65000,$B1205,Y$5)=1,1,IF(INDEX([1]Pivot!$B$1:$AB$65000,$B1205,Y$5)="",2,0)),0)</f>
        <v>0</v>
      </c>
      <c r="Z1205" s="194">
        <f>IFERROR(IF(INDEX([1]Pivot!$AD$1:$BE$65000,$B1205,Z$5)=1,1,IF(INDEX([1]Pivot!$B$1:$AB$65000,$B1205,Z$5)="",2,0)),0)</f>
        <v>0</v>
      </c>
      <c r="AA1205" s="194">
        <f>IFERROR(IF(INDEX([1]Pivot!$AD$1:$BE$65000,$B1205,AA$5)=1,1,IF(INDEX([1]Pivot!$B$1:$AB$65000,$B1205,AA$5)="",2,0)),0)</f>
        <v>0</v>
      </c>
      <c r="AB1205" s="194">
        <f>IFERROR(IF(INDEX([1]Pivot!$AD$1:$BE$65000,$B1205,AB$5)=1,1,IF(INDEX([1]Pivot!$B$1:$AB$65000,$B1205,AB$5)="",2,0)),0)</f>
        <v>0</v>
      </c>
      <c r="AC1205" s="194">
        <f>IFERROR(IF(INDEX([1]Pivot!$AD$1:$BE$65000,$B1205,AC$5)=1,1,IF(INDEX([1]Pivot!$B$1:$AB$65000,$B1205,AC$5)="",2,0)),0)</f>
        <v>0</v>
      </c>
      <c r="AD1205" s="313">
        <f>IFERROR(IF(INDEX([1]Pivot!$BF$1:$CG$65000,$B1205,AD$5)=1,1,IF(INDEX([1]Pivot!$B$1:$AB$65000,$B1205,AD$5)="",2,0)),0)</f>
        <v>0</v>
      </c>
      <c r="AE1205" s="313">
        <f>IFERROR(IF(INDEX([1]Pivot!$BF$1:$CG$65000,$B1205,AE$5)=1,1,IF(INDEX([1]Pivot!$B$1:$AB$65000,$B1205,AE$5)="",2,0)),0)</f>
        <v>0</v>
      </c>
      <c r="AF1205" s="313">
        <f>IFERROR(IF(INDEX([1]Pivot!$BF$1:$CG$65000,$B1205,AF$5)=1,1,IF(INDEX([1]Pivot!$B$1:$AB$65000,$B1205,AF$5)="",2,0)),0)</f>
        <v>0</v>
      </c>
      <c r="AG1205" s="313">
        <f>IFERROR(IF(INDEX([1]Pivot!$BF$1:$CG$65000,$B1205,AG$5)=1,1,IF(INDEX([1]Pivot!$B$1:$AB$65000,$B1205,AG$5)="",2,0)),0)</f>
        <v>0</v>
      </c>
      <c r="AH1205" s="313">
        <f>IFERROR(IF(INDEX([1]Pivot!$BF$1:$CG$65000,$B1205,AH$5)=1,1,IF(INDEX([1]Pivot!$B$1:$AB$65000,$B1205,AH$5)="",2,0)),0)</f>
        <v>0</v>
      </c>
      <c r="AI1205" s="313">
        <f>IFERROR(IF(INDEX([1]Pivot!$BF$1:$CG$65000,$B1205,AI$5)=1,1,IF(INDEX([1]Pivot!$B$1:$AB$65000,$B1205,AI$5)="",2,0)),0)</f>
        <v>0</v>
      </c>
      <c r="AJ1205" s="313">
        <f>IFERROR(IF(INDEX([1]Pivot!$BF$1:$CG$65000,$B1205,AJ$5)=1,1,IF(INDEX([1]Pivot!$B$1:$AB$65000,$B1205,AJ$5)="",2,0)),0)</f>
        <v>0</v>
      </c>
      <c r="AK1205" s="313">
        <f>IFERROR(IF(INDEX([1]Pivot!$BF$1:$CG$65000,$B1205,AK$5)=1,1,IF(INDEX([1]Pivot!$B$1:$AB$65000,$B1205,AK$5)="",2,0)),0)</f>
        <v>0</v>
      </c>
      <c r="AL1205" s="313">
        <f>IFERROR(IF(INDEX([1]Pivot!$BF$1:$CG$65000,$B1205,AL$5)=1,1,IF(INDEX([1]Pivot!$B$1:$AB$65000,$B1205,AL$5)="",2,0)),0)</f>
        <v>0</v>
      </c>
      <c r="AM1205" s="313">
        <f>IFERROR(IF(INDEX([1]Pivot!$BF$1:$CG$65000,$B1205,AM$5)=1,1,IF(INDEX([1]Pivot!$B$1:$AB$65000,$B1205,AM$5)="",2,0)),0)</f>
        <v>0</v>
      </c>
      <c r="AN1205" s="313">
        <f>IFERROR(IF(INDEX([1]Pivot!$BF$1:$CG$65000,$B1205,AN$5)=1,1,IF(INDEX([1]Pivot!$B$1:$AB$65000,$B1205,AN$5)="",2,0)),0)</f>
        <v>0</v>
      </c>
      <c r="AO1205" s="313">
        <f>IFERROR(IF(INDEX([1]Pivot!$BF$1:$CG$65000,$B1205,AO$5)=1,1,IF(INDEX([1]Pivot!$B$1:$AB$65000,$B1205,AO$5)="",2,0)),0)</f>
        <v>0</v>
      </c>
      <c r="AP1205" s="313">
        <f>IFERROR(IF(INDEX([1]Pivot!$BF$1:$CG$65000,$B1205,AP$5)=1,1,IF(INDEX([1]Pivot!$B$1:$AB$65000,$B1205,AP$5)="",2,0)),0)</f>
        <v>0</v>
      </c>
      <c r="AQ1205" s="313">
        <f>IFERROR(IF(INDEX([1]Pivot!$BF$1:$CG$65000,$B1205,AQ$5)=1,1,IF(INDEX([1]Pivot!$B$1:$AB$65000,$B1205,AQ$5)="",2,0)),0)</f>
        <v>0</v>
      </c>
      <c r="AR1205" s="313">
        <f>IFERROR(IF(INDEX([1]Pivot!$BF$1:$CG$65000,$B1205,AR$5)=1,1,IF(INDEX([1]Pivot!$B$1:$AB$65000,$B1205,AR$5)="",2,0)),0)</f>
        <v>0</v>
      </c>
      <c r="AS1205" s="312"/>
      <c r="AT1205" s="313">
        <f>IFERROR(IF(INDEX([1]Pivot!$BF$1:$CG$65000,$B1205,AT$5)=1,1,IF(INDEX([1]Pivot!$B$1:$AB$65000,$B1205,AT$5)="",2,0)),0)</f>
        <v>0</v>
      </c>
      <c r="AU1205" s="313">
        <f>IFERROR(IF(INDEX([1]Pivot!$BF$1:$CG$65000,$B1205,AU$5)=1,1,IF(INDEX([1]Pivot!$B$1:$AB$65000,$B1205,AU$5)="",2,0)),0)</f>
        <v>0</v>
      </c>
      <c r="AV1205" s="313">
        <f>IFERROR(IF(INDEX([1]Pivot!$BF$1:$CG$65000,$B1205,AV$5)=1,1,IF(INDEX([1]Pivot!$B$1:$AB$65000,$B1205,AV$5)="",2,0)),0)</f>
        <v>0</v>
      </c>
      <c r="AW1205" s="313">
        <f>IFERROR(IF(INDEX([1]Pivot!$BF$1:$CG$65000,$B1205,AW$5)=1,1,IF(INDEX([1]Pivot!$B$1:$AB$65000,$B1205,AW$5)="",2,0)),0)</f>
        <v>0</v>
      </c>
      <c r="AX1205" s="313">
        <f>IFERROR(IF(INDEX([1]Pivot!$BF$1:$CG$65000,$B1205,AX$5)=1,1,IF(INDEX([1]Pivot!$B$1:$AB$65000,$B1205,AX$5)="",2,0)),0)</f>
        <v>0</v>
      </c>
      <c r="AY1205" s="313">
        <f>IFERROR(IF(INDEX([1]Pivot!$BF$1:$CG$65000,$B1205,AY$5)=1,1,IF(INDEX([1]Pivot!$B$1:$AB$65000,$B1205,AY$5)="",2,0)),0)</f>
        <v>0</v>
      </c>
      <c r="AZ1205" s="313">
        <f>IFERROR(IF(INDEX([1]Pivot!$BF$1:$CG$65000,$B1205,AZ$5)=1,1,IF(INDEX([1]Pivot!$B$1:$AB$65000,$B1205,AZ$5)="",2,0)),0)</f>
        <v>0</v>
      </c>
      <c r="BA1205" s="313">
        <f>IFERROR(IF(INDEX([1]Pivot!$BF$1:$CG$65000,$B1205,BA$5)=1,1,IF(INDEX([1]Pivot!$B$1:$AB$65000,$B1205,BA$5)="",2,0)),0)</f>
        <v>0</v>
      </c>
      <c r="BB1205" s="313">
        <f>IFERROR(IF(INDEX([1]Pivot!$BF$1:$CG$65000,$B1205,BB$5)=1,1,IF(INDEX([1]Pivot!$B$1:$AB$65000,$B1205,BB$5)="",2,0)),0)</f>
        <v>0</v>
      </c>
      <c r="BC1205" s="313">
        <f>IFERROR(IF(INDEX([1]Pivot!$BF$1:$CG$65000,$B1205,BC$5)=1,1,IF(INDEX([1]Pivot!$B$1:$AB$65000,$B1205,BC$5)="",2,0)),0)</f>
        <v>0</v>
      </c>
      <c r="BD1205" s="313">
        <f>IFERROR(IF(INDEX([1]Pivot!$BF$1:$CG$65000,$B1205,BD$5)=1,1,IF(INDEX([1]Pivot!$B$1:$AB$65000,$B1205,BD$5)="",2,0)),0)</f>
        <v>0</v>
      </c>
    </row>
    <row r="1206" spans="1:56" x14ac:dyDescent="0.25">
      <c r="A1206" s="288">
        <f>'[2]Raw Milk Prices'!A1206</f>
        <v>0</v>
      </c>
      <c r="B1206" s="296" t="e">
        <f>MATCH(DATE(LEFT('[2]Raw Milk Prices'!$A1206,4),RIGHT('[2]Raw Milk Prices'!$A1206,2),1),[1]Pivot!$A$1:$A$65000,0)</f>
        <v>#VALUE!</v>
      </c>
      <c r="C1206" s="194">
        <f>IFERROR(IF(INDEX([1]Pivot!$AD$1:$BE$65000,$B1206,C$5)=1,1,IF(INDEX([1]Pivot!$B$1:$AB$65000,$B1206,C$5)="",2,0)),0)</f>
        <v>0</v>
      </c>
      <c r="D1206" s="194">
        <f>IFERROR(IF(INDEX([1]Pivot!$AD$1:$BE$65000,$B1206,D$5)=1,1,IF(INDEX([1]Pivot!$B$1:$AB$65000,$B1206,D$5)="",2,0)),0)</f>
        <v>0</v>
      </c>
      <c r="E1206" s="194">
        <f>IFERROR(IF(INDEX([1]Pivot!$AD$1:$BE$65000,$B1206,E$5)=1,1,IF(INDEX([1]Pivot!$B$1:$AB$65000,$B1206,E$5)="",2,0)),0)</f>
        <v>0</v>
      </c>
      <c r="F1206" s="194">
        <f>IFERROR(IF(INDEX([1]Pivot!$AD$1:$BE$65000,$B1206,F$5)=1,1,IF(INDEX([1]Pivot!$B$1:$AB$65000,$B1206,F$5)="",2,0)),0)</f>
        <v>0</v>
      </c>
      <c r="G1206" s="194">
        <f>IFERROR(IF(INDEX([1]Pivot!$AD$1:$BE$65000,$B1206,G$5)=1,1,IF(INDEX([1]Pivot!$B$1:$AB$65000,$B1206,G$5)="",2,0)),0)</f>
        <v>0</v>
      </c>
      <c r="H1206" s="194">
        <f>IFERROR(IF(INDEX([1]Pivot!$AD$1:$BE$65000,$B1206,H$5)=1,1,IF(INDEX([1]Pivot!$B$1:$AB$65000,$B1206,H$5)="",2,0)),0)</f>
        <v>0</v>
      </c>
      <c r="I1206" s="194">
        <f>IFERROR(IF(INDEX([1]Pivot!$AD$1:$BE$65000,$B1206,I$5)=1,1,IF(INDEX([1]Pivot!$B$1:$AB$65000,$B1206,I$5)="",2,0)),0)</f>
        <v>0</v>
      </c>
      <c r="J1206" s="194">
        <f>IFERROR(IF(INDEX([1]Pivot!$AD$1:$BE$65000,$B1206,J$5)=1,1,IF(INDEX([1]Pivot!$B$1:$AB$65000,$B1206,J$5)="",2,0)),0)</f>
        <v>0</v>
      </c>
      <c r="K1206" s="194">
        <f>IFERROR(IF(INDEX([1]Pivot!$AD$1:$BE$65000,$B1206,K$5)=1,1,IF(INDEX([1]Pivot!$B$1:$AB$65000,$B1206,K$5)="",2,0)),0)</f>
        <v>0</v>
      </c>
      <c r="L1206" s="194">
        <f>IFERROR(IF(INDEX([1]Pivot!$AD$1:$BE$65000,$B1206,L$5)=1,1,IF(INDEX([1]Pivot!$B$1:$AB$65000,$B1206,L$5)="",2,0)),0)</f>
        <v>0</v>
      </c>
      <c r="M1206" s="194">
        <f>IFERROR(IF(INDEX([1]Pivot!$AD$1:$BE$65000,$B1206,M$5)=1,1,IF(INDEX([1]Pivot!$B$1:$AB$65000,$B1206,M$5)="",2,0)),0)</f>
        <v>0</v>
      </c>
      <c r="N1206" s="194">
        <f>IFERROR(IF(INDEX([1]Pivot!$AD$1:$BE$65000,$B1206,N$5)=1,1,IF(INDEX([1]Pivot!$B$1:$AB$65000,$B1206,N$5)="",2,0)),0)</f>
        <v>0</v>
      </c>
      <c r="O1206" s="194">
        <f>IFERROR(IF(INDEX([1]Pivot!$AD$1:$BE$65000,$B1206,O$5)=1,1,IF(INDEX([1]Pivot!$B$1:$AB$65000,$B1206,O$5)="",2,0)),0)</f>
        <v>0</v>
      </c>
      <c r="P1206" s="194">
        <f>IFERROR(IF(INDEX([1]Pivot!$AD$1:$BE$65000,$B1206,P$5)=1,1,IF(INDEX([1]Pivot!$B$1:$AB$65000,$B1206,P$5)="",2,0)),0)</f>
        <v>0</v>
      </c>
      <c r="Q1206" s="194">
        <f>IFERROR(IF(INDEX([1]Pivot!$AD$1:$BE$65000,$B1206,Q$5)=1,1,IF(INDEX([1]Pivot!$B$1:$AB$65000,$B1206,Q$5)="",2,0)),0)</f>
        <v>0</v>
      </c>
      <c r="R1206" s="312"/>
      <c r="S1206" s="194">
        <f>IFERROR(IF(INDEX([1]Pivot!$AD$1:$BE$65000,$B1206,S$5)=1,1,IF(INDEX([1]Pivot!$B$1:$AB$65000,$B1206,S$5)="",2,0)),0)</f>
        <v>0</v>
      </c>
      <c r="T1206" s="194">
        <f>IFERROR(IF(INDEX([1]Pivot!$AD$1:$BE$65000,$B1206,T$5)=1,1,IF(INDEX([1]Pivot!$B$1:$AB$65000,$B1206,T$5)="",2,0)),0)</f>
        <v>0</v>
      </c>
      <c r="U1206" s="194">
        <f>IFERROR(IF(INDEX([1]Pivot!$AD$1:$BE$65000,$B1206,U$5)=1,1,IF(INDEX([1]Pivot!$B$1:$AB$65000,$B1206,U$5)="",2,0)),0)</f>
        <v>0</v>
      </c>
      <c r="V1206" s="194">
        <f>IFERROR(IF(INDEX([1]Pivot!$AD$1:$BE$65000,$B1206,V$5)=1,1,IF(INDEX([1]Pivot!$B$1:$AB$65000,$B1206,V$5)="",2,0)),0)</f>
        <v>0</v>
      </c>
      <c r="W1206" s="194">
        <f>IFERROR(IF(INDEX([1]Pivot!$AD$1:$BE$65000,$B1206,W$5)=1,1,IF(INDEX([1]Pivot!$B$1:$AB$65000,$B1206,W$5)="",2,0)),0)</f>
        <v>0</v>
      </c>
      <c r="X1206" s="194">
        <f>IFERROR(IF(INDEX([1]Pivot!$AD$1:$BE$65000,$B1206,X$5)=1,1,IF(INDEX([1]Pivot!$B$1:$AB$65000,$B1206,X$5)="",2,0)),0)</f>
        <v>0</v>
      </c>
      <c r="Y1206" s="194">
        <f>IFERROR(IF(INDEX([1]Pivot!$AD$1:$BE$65000,$B1206,Y$5)=1,1,IF(INDEX([1]Pivot!$B$1:$AB$65000,$B1206,Y$5)="",2,0)),0)</f>
        <v>0</v>
      </c>
      <c r="Z1206" s="194">
        <f>IFERROR(IF(INDEX([1]Pivot!$AD$1:$BE$65000,$B1206,Z$5)=1,1,IF(INDEX([1]Pivot!$B$1:$AB$65000,$B1206,Z$5)="",2,0)),0)</f>
        <v>0</v>
      </c>
      <c r="AA1206" s="194">
        <f>IFERROR(IF(INDEX([1]Pivot!$AD$1:$BE$65000,$B1206,AA$5)=1,1,IF(INDEX([1]Pivot!$B$1:$AB$65000,$B1206,AA$5)="",2,0)),0)</f>
        <v>0</v>
      </c>
      <c r="AB1206" s="194">
        <f>IFERROR(IF(INDEX([1]Pivot!$AD$1:$BE$65000,$B1206,AB$5)=1,1,IF(INDEX([1]Pivot!$B$1:$AB$65000,$B1206,AB$5)="",2,0)),0)</f>
        <v>0</v>
      </c>
      <c r="AC1206" s="194">
        <f>IFERROR(IF(INDEX([1]Pivot!$AD$1:$BE$65000,$B1206,AC$5)=1,1,IF(INDEX([1]Pivot!$B$1:$AB$65000,$B1206,AC$5)="",2,0)),0)</f>
        <v>0</v>
      </c>
      <c r="AD1206" s="313">
        <f>IFERROR(IF(INDEX([1]Pivot!$BF$1:$CG$65000,$B1206,AD$5)=1,1,IF(INDEX([1]Pivot!$B$1:$AB$65000,$B1206,AD$5)="",2,0)),0)</f>
        <v>0</v>
      </c>
      <c r="AE1206" s="313">
        <f>IFERROR(IF(INDEX([1]Pivot!$BF$1:$CG$65000,$B1206,AE$5)=1,1,IF(INDEX([1]Pivot!$B$1:$AB$65000,$B1206,AE$5)="",2,0)),0)</f>
        <v>0</v>
      </c>
      <c r="AF1206" s="313">
        <f>IFERROR(IF(INDEX([1]Pivot!$BF$1:$CG$65000,$B1206,AF$5)=1,1,IF(INDEX([1]Pivot!$B$1:$AB$65000,$B1206,AF$5)="",2,0)),0)</f>
        <v>0</v>
      </c>
      <c r="AG1206" s="313">
        <f>IFERROR(IF(INDEX([1]Pivot!$BF$1:$CG$65000,$B1206,AG$5)=1,1,IF(INDEX([1]Pivot!$B$1:$AB$65000,$B1206,AG$5)="",2,0)),0)</f>
        <v>0</v>
      </c>
      <c r="AH1206" s="313">
        <f>IFERROR(IF(INDEX([1]Pivot!$BF$1:$CG$65000,$B1206,AH$5)=1,1,IF(INDEX([1]Pivot!$B$1:$AB$65000,$B1206,AH$5)="",2,0)),0)</f>
        <v>0</v>
      </c>
      <c r="AI1206" s="313">
        <f>IFERROR(IF(INDEX([1]Pivot!$BF$1:$CG$65000,$B1206,AI$5)=1,1,IF(INDEX([1]Pivot!$B$1:$AB$65000,$B1206,AI$5)="",2,0)),0)</f>
        <v>0</v>
      </c>
      <c r="AJ1206" s="313">
        <f>IFERROR(IF(INDEX([1]Pivot!$BF$1:$CG$65000,$B1206,AJ$5)=1,1,IF(INDEX([1]Pivot!$B$1:$AB$65000,$B1206,AJ$5)="",2,0)),0)</f>
        <v>0</v>
      </c>
      <c r="AK1206" s="313">
        <f>IFERROR(IF(INDEX([1]Pivot!$BF$1:$CG$65000,$B1206,AK$5)=1,1,IF(INDEX([1]Pivot!$B$1:$AB$65000,$B1206,AK$5)="",2,0)),0)</f>
        <v>0</v>
      </c>
      <c r="AL1206" s="313">
        <f>IFERROR(IF(INDEX([1]Pivot!$BF$1:$CG$65000,$B1206,AL$5)=1,1,IF(INDEX([1]Pivot!$B$1:$AB$65000,$B1206,AL$5)="",2,0)),0)</f>
        <v>0</v>
      </c>
      <c r="AM1206" s="313">
        <f>IFERROR(IF(INDEX([1]Pivot!$BF$1:$CG$65000,$B1206,AM$5)=1,1,IF(INDEX([1]Pivot!$B$1:$AB$65000,$B1206,AM$5)="",2,0)),0)</f>
        <v>0</v>
      </c>
      <c r="AN1206" s="313">
        <f>IFERROR(IF(INDEX([1]Pivot!$BF$1:$CG$65000,$B1206,AN$5)=1,1,IF(INDEX([1]Pivot!$B$1:$AB$65000,$B1206,AN$5)="",2,0)),0)</f>
        <v>0</v>
      </c>
      <c r="AO1206" s="313">
        <f>IFERROR(IF(INDEX([1]Pivot!$BF$1:$CG$65000,$B1206,AO$5)=1,1,IF(INDEX([1]Pivot!$B$1:$AB$65000,$B1206,AO$5)="",2,0)),0)</f>
        <v>0</v>
      </c>
      <c r="AP1206" s="313">
        <f>IFERROR(IF(INDEX([1]Pivot!$BF$1:$CG$65000,$B1206,AP$5)=1,1,IF(INDEX([1]Pivot!$B$1:$AB$65000,$B1206,AP$5)="",2,0)),0)</f>
        <v>0</v>
      </c>
      <c r="AQ1206" s="313">
        <f>IFERROR(IF(INDEX([1]Pivot!$BF$1:$CG$65000,$B1206,AQ$5)=1,1,IF(INDEX([1]Pivot!$B$1:$AB$65000,$B1206,AQ$5)="",2,0)),0)</f>
        <v>0</v>
      </c>
      <c r="AR1206" s="313">
        <f>IFERROR(IF(INDEX([1]Pivot!$BF$1:$CG$65000,$B1206,AR$5)=1,1,IF(INDEX([1]Pivot!$B$1:$AB$65000,$B1206,AR$5)="",2,0)),0)</f>
        <v>0</v>
      </c>
      <c r="AS1206" s="312"/>
      <c r="AT1206" s="313">
        <f>IFERROR(IF(INDEX([1]Pivot!$BF$1:$CG$65000,$B1206,AT$5)=1,1,IF(INDEX([1]Pivot!$B$1:$AB$65000,$B1206,AT$5)="",2,0)),0)</f>
        <v>0</v>
      </c>
      <c r="AU1206" s="313">
        <f>IFERROR(IF(INDEX([1]Pivot!$BF$1:$CG$65000,$B1206,AU$5)=1,1,IF(INDEX([1]Pivot!$B$1:$AB$65000,$B1206,AU$5)="",2,0)),0)</f>
        <v>0</v>
      </c>
      <c r="AV1206" s="313">
        <f>IFERROR(IF(INDEX([1]Pivot!$BF$1:$CG$65000,$B1206,AV$5)=1,1,IF(INDEX([1]Pivot!$B$1:$AB$65000,$B1206,AV$5)="",2,0)),0)</f>
        <v>0</v>
      </c>
      <c r="AW1206" s="313">
        <f>IFERROR(IF(INDEX([1]Pivot!$BF$1:$CG$65000,$B1206,AW$5)=1,1,IF(INDEX([1]Pivot!$B$1:$AB$65000,$B1206,AW$5)="",2,0)),0)</f>
        <v>0</v>
      </c>
      <c r="AX1206" s="313">
        <f>IFERROR(IF(INDEX([1]Pivot!$BF$1:$CG$65000,$B1206,AX$5)=1,1,IF(INDEX([1]Pivot!$B$1:$AB$65000,$B1206,AX$5)="",2,0)),0)</f>
        <v>0</v>
      </c>
      <c r="AY1206" s="313">
        <f>IFERROR(IF(INDEX([1]Pivot!$BF$1:$CG$65000,$B1206,AY$5)=1,1,IF(INDEX([1]Pivot!$B$1:$AB$65000,$B1206,AY$5)="",2,0)),0)</f>
        <v>0</v>
      </c>
      <c r="AZ1206" s="313">
        <f>IFERROR(IF(INDEX([1]Pivot!$BF$1:$CG$65000,$B1206,AZ$5)=1,1,IF(INDEX([1]Pivot!$B$1:$AB$65000,$B1206,AZ$5)="",2,0)),0)</f>
        <v>0</v>
      </c>
      <c r="BA1206" s="313">
        <f>IFERROR(IF(INDEX([1]Pivot!$BF$1:$CG$65000,$B1206,BA$5)=1,1,IF(INDEX([1]Pivot!$B$1:$AB$65000,$B1206,BA$5)="",2,0)),0)</f>
        <v>0</v>
      </c>
      <c r="BB1206" s="313">
        <f>IFERROR(IF(INDEX([1]Pivot!$BF$1:$CG$65000,$B1206,BB$5)=1,1,IF(INDEX([1]Pivot!$B$1:$AB$65000,$B1206,BB$5)="",2,0)),0)</f>
        <v>0</v>
      </c>
      <c r="BC1206" s="313">
        <f>IFERROR(IF(INDEX([1]Pivot!$BF$1:$CG$65000,$B1206,BC$5)=1,1,IF(INDEX([1]Pivot!$B$1:$AB$65000,$B1206,BC$5)="",2,0)),0)</f>
        <v>0</v>
      </c>
      <c r="BD1206" s="313">
        <f>IFERROR(IF(INDEX([1]Pivot!$BF$1:$CG$65000,$B1206,BD$5)=1,1,IF(INDEX([1]Pivot!$B$1:$AB$65000,$B1206,BD$5)="",2,0)),0)</f>
        <v>0</v>
      </c>
    </row>
    <row r="1207" spans="1:56" x14ac:dyDescent="0.25">
      <c r="A1207" s="288">
        <f>'[2]Raw Milk Prices'!A1207</f>
        <v>0</v>
      </c>
      <c r="B1207" s="296" t="e">
        <f>MATCH(DATE(LEFT('[2]Raw Milk Prices'!$A1207,4),RIGHT('[2]Raw Milk Prices'!$A1207,2),1),[1]Pivot!$A$1:$A$65000,0)</f>
        <v>#VALUE!</v>
      </c>
      <c r="C1207" s="194">
        <f>IFERROR(IF(INDEX([1]Pivot!$AD$1:$BE$65000,$B1207,C$5)=1,1,IF(INDEX([1]Pivot!$B$1:$AB$65000,$B1207,C$5)="",2,0)),0)</f>
        <v>0</v>
      </c>
      <c r="D1207" s="194">
        <f>IFERROR(IF(INDEX([1]Pivot!$AD$1:$BE$65000,$B1207,D$5)=1,1,IF(INDEX([1]Pivot!$B$1:$AB$65000,$B1207,D$5)="",2,0)),0)</f>
        <v>0</v>
      </c>
      <c r="E1207" s="194">
        <f>IFERROR(IF(INDEX([1]Pivot!$AD$1:$BE$65000,$B1207,E$5)=1,1,IF(INDEX([1]Pivot!$B$1:$AB$65000,$B1207,E$5)="",2,0)),0)</f>
        <v>0</v>
      </c>
      <c r="F1207" s="194">
        <f>IFERROR(IF(INDEX([1]Pivot!$AD$1:$BE$65000,$B1207,F$5)=1,1,IF(INDEX([1]Pivot!$B$1:$AB$65000,$B1207,F$5)="",2,0)),0)</f>
        <v>0</v>
      </c>
      <c r="G1207" s="194">
        <f>IFERROR(IF(INDEX([1]Pivot!$AD$1:$BE$65000,$B1207,G$5)=1,1,IF(INDEX([1]Pivot!$B$1:$AB$65000,$B1207,G$5)="",2,0)),0)</f>
        <v>0</v>
      </c>
      <c r="H1207" s="194">
        <f>IFERROR(IF(INDEX([1]Pivot!$AD$1:$BE$65000,$B1207,H$5)=1,1,IF(INDEX([1]Pivot!$B$1:$AB$65000,$B1207,H$5)="",2,0)),0)</f>
        <v>0</v>
      </c>
      <c r="I1207" s="194">
        <f>IFERROR(IF(INDEX([1]Pivot!$AD$1:$BE$65000,$B1207,I$5)=1,1,IF(INDEX([1]Pivot!$B$1:$AB$65000,$B1207,I$5)="",2,0)),0)</f>
        <v>0</v>
      </c>
      <c r="J1207" s="194">
        <f>IFERROR(IF(INDEX([1]Pivot!$AD$1:$BE$65000,$B1207,J$5)=1,1,IF(INDEX([1]Pivot!$B$1:$AB$65000,$B1207,J$5)="",2,0)),0)</f>
        <v>0</v>
      </c>
      <c r="K1207" s="194">
        <f>IFERROR(IF(INDEX([1]Pivot!$AD$1:$BE$65000,$B1207,K$5)=1,1,IF(INDEX([1]Pivot!$B$1:$AB$65000,$B1207,K$5)="",2,0)),0)</f>
        <v>0</v>
      </c>
      <c r="L1207" s="194">
        <f>IFERROR(IF(INDEX([1]Pivot!$AD$1:$BE$65000,$B1207,L$5)=1,1,IF(INDEX([1]Pivot!$B$1:$AB$65000,$B1207,L$5)="",2,0)),0)</f>
        <v>0</v>
      </c>
      <c r="M1207" s="194">
        <f>IFERROR(IF(INDEX([1]Pivot!$AD$1:$BE$65000,$B1207,M$5)=1,1,IF(INDEX([1]Pivot!$B$1:$AB$65000,$B1207,M$5)="",2,0)),0)</f>
        <v>0</v>
      </c>
      <c r="N1207" s="194">
        <f>IFERROR(IF(INDEX([1]Pivot!$AD$1:$BE$65000,$B1207,N$5)=1,1,IF(INDEX([1]Pivot!$B$1:$AB$65000,$B1207,N$5)="",2,0)),0)</f>
        <v>0</v>
      </c>
      <c r="O1207" s="194">
        <f>IFERROR(IF(INDEX([1]Pivot!$AD$1:$BE$65000,$B1207,O$5)=1,1,IF(INDEX([1]Pivot!$B$1:$AB$65000,$B1207,O$5)="",2,0)),0)</f>
        <v>0</v>
      </c>
      <c r="P1207" s="194">
        <f>IFERROR(IF(INDEX([1]Pivot!$AD$1:$BE$65000,$B1207,P$5)=1,1,IF(INDEX([1]Pivot!$B$1:$AB$65000,$B1207,P$5)="",2,0)),0)</f>
        <v>0</v>
      </c>
      <c r="Q1207" s="194">
        <f>IFERROR(IF(INDEX([1]Pivot!$AD$1:$BE$65000,$B1207,Q$5)=1,1,IF(INDEX([1]Pivot!$B$1:$AB$65000,$B1207,Q$5)="",2,0)),0)</f>
        <v>0</v>
      </c>
      <c r="R1207" s="312"/>
      <c r="S1207" s="194">
        <f>IFERROR(IF(INDEX([1]Pivot!$AD$1:$BE$65000,$B1207,S$5)=1,1,IF(INDEX([1]Pivot!$B$1:$AB$65000,$B1207,S$5)="",2,0)),0)</f>
        <v>0</v>
      </c>
      <c r="T1207" s="194">
        <f>IFERROR(IF(INDEX([1]Pivot!$AD$1:$BE$65000,$B1207,T$5)=1,1,IF(INDEX([1]Pivot!$B$1:$AB$65000,$B1207,T$5)="",2,0)),0)</f>
        <v>0</v>
      </c>
      <c r="U1207" s="194">
        <f>IFERROR(IF(INDEX([1]Pivot!$AD$1:$BE$65000,$B1207,U$5)=1,1,IF(INDEX([1]Pivot!$B$1:$AB$65000,$B1207,U$5)="",2,0)),0)</f>
        <v>0</v>
      </c>
      <c r="V1207" s="194">
        <f>IFERROR(IF(INDEX([1]Pivot!$AD$1:$BE$65000,$B1207,V$5)=1,1,IF(INDEX([1]Pivot!$B$1:$AB$65000,$B1207,V$5)="",2,0)),0)</f>
        <v>0</v>
      </c>
      <c r="W1207" s="194">
        <f>IFERROR(IF(INDEX([1]Pivot!$AD$1:$BE$65000,$B1207,W$5)=1,1,IF(INDEX([1]Pivot!$B$1:$AB$65000,$B1207,W$5)="",2,0)),0)</f>
        <v>0</v>
      </c>
      <c r="X1207" s="194">
        <f>IFERROR(IF(INDEX([1]Pivot!$AD$1:$BE$65000,$B1207,X$5)=1,1,IF(INDEX([1]Pivot!$B$1:$AB$65000,$B1207,X$5)="",2,0)),0)</f>
        <v>0</v>
      </c>
      <c r="Y1207" s="194">
        <f>IFERROR(IF(INDEX([1]Pivot!$AD$1:$BE$65000,$B1207,Y$5)=1,1,IF(INDEX([1]Pivot!$B$1:$AB$65000,$B1207,Y$5)="",2,0)),0)</f>
        <v>0</v>
      </c>
      <c r="Z1207" s="194">
        <f>IFERROR(IF(INDEX([1]Pivot!$AD$1:$BE$65000,$B1207,Z$5)=1,1,IF(INDEX([1]Pivot!$B$1:$AB$65000,$B1207,Z$5)="",2,0)),0)</f>
        <v>0</v>
      </c>
      <c r="AA1207" s="194">
        <f>IFERROR(IF(INDEX([1]Pivot!$AD$1:$BE$65000,$B1207,AA$5)=1,1,IF(INDEX([1]Pivot!$B$1:$AB$65000,$B1207,AA$5)="",2,0)),0)</f>
        <v>0</v>
      </c>
      <c r="AB1207" s="194">
        <f>IFERROR(IF(INDEX([1]Pivot!$AD$1:$BE$65000,$B1207,AB$5)=1,1,IF(INDEX([1]Pivot!$B$1:$AB$65000,$B1207,AB$5)="",2,0)),0)</f>
        <v>0</v>
      </c>
      <c r="AC1207" s="194">
        <f>IFERROR(IF(INDEX([1]Pivot!$AD$1:$BE$65000,$B1207,AC$5)=1,1,IF(INDEX([1]Pivot!$B$1:$AB$65000,$B1207,AC$5)="",2,0)),0)</f>
        <v>0</v>
      </c>
      <c r="AD1207" s="313">
        <f>IFERROR(IF(INDEX([1]Pivot!$BF$1:$CG$65000,$B1207,AD$5)=1,1,IF(INDEX([1]Pivot!$B$1:$AB$65000,$B1207,AD$5)="",2,0)),0)</f>
        <v>0</v>
      </c>
      <c r="AE1207" s="313">
        <f>IFERROR(IF(INDEX([1]Pivot!$BF$1:$CG$65000,$B1207,AE$5)=1,1,IF(INDEX([1]Pivot!$B$1:$AB$65000,$B1207,AE$5)="",2,0)),0)</f>
        <v>0</v>
      </c>
      <c r="AF1207" s="313">
        <f>IFERROR(IF(INDEX([1]Pivot!$BF$1:$CG$65000,$B1207,AF$5)=1,1,IF(INDEX([1]Pivot!$B$1:$AB$65000,$B1207,AF$5)="",2,0)),0)</f>
        <v>0</v>
      </c>
      <c r="AG1207" s="313">
        <f>IFERROR(IF(INDEX([1]Pivot!$BF$1:$CG$65000,$B1207,AG$5)=1,1,IF(INDEX([1]Pivot!$B$1:$AB$65000,$B1207,AG$5)="",2,0)),0)</f>
        <v>0</v>
      </c>
      <c r="AH1207" s="313">
        <f>IFERROR(IF(INDEX([1]Pivot!$BF$1:$CG$65000,$B1207,AH$5)=1,1,IF(INDEX([1]Pivot!$B$1:$AB$65000,$B1207,AH$5)="",2,0)),0)</f>
        <v>0</v>
      </c>
      <c r="AI1207" s="313">
        <f>IFERROR(IF(INDEX([1]Pivot!$BF$1:$CG$65000,$B1207,AI$5)=1,1,IF(INDEX([1]Pivot!$B$1:$AB$65000,$B1207,AI$5)="",2,0)),0)</f>
        <v>0</v>
      </c>
      <c r="AJ1207" s="313">
        <f>IFERROR(IF(INDEX([1]Pivot!$BF$1:$CG$65000,$B1207,AJ$5)=1,1,IF(INDEX([1]Pivot!$B$1:$AB$65000,$B1207,AJ$5)="",2,0)),0)</f>
        <v>0</v>
      </c>
      <c r="AK1207" s="313">
        <f>IFERROR(IF(INDEX([1]Pivot!$BF$1:$CG$65000,$B1207,AK$5)=1,1,IF(INDEX([1]Pivot!$B$1:$AB$65000,$B1207,AK$5)="",2,0)),0)</f>
        <v>0</v>
      </c>
      <c r="AL1207" s="313">
        <f>IFERROR(IF(INDEX([1]Pivot!$BF$1:$CG$65000,$B1207,AL$5)=1,1,IF(INDEX([1]Pivot!$B$1:$AB$65000,$B1207,AL$5)="",2,0)),0)</f>
        <v>0</v>
      </c>
      <c r="AM1207" s="313">
        <f>IFERROR(IF(INDEX([1]Pivot!$BF$1:$CG$65000,$B1207,AM$5)=1,1,IF(INDEX([1]Pivot!$B$1:$AB$65000,$B1207,AM$5)="",2,0)),0)</f>
        <v>0</v>
      </c>
      <c r="AN1207" s="313">
        <f>IFERROR(IF(INDEX([1]Pivot!$BF$1:$CG$65000,$B1207,AN$5)=1,1,IF(INDEX([1]Pivot!$B$1:$AB$65000,$B1207,AN$5)="",2,0)),0)</f>
        <v>0</v>
      </c>
      <c r="AO1207" s="313">
        <f>IFERROR(IF(INDEX([1]Pivot!$BF$1:$CG$65000,$B1207,AO$5)=1,1,IF(INDEX([1]Pivot!$B$1:$AB$65000,$B1207,AO$5)="",2,0)),0)</f>
        <v>0</v>
      </c>
      <c r="AP1207" s="313">
        <f>IFERROR(IF(INDEX([1]Pivot!$BF$1:$CG$65000,$B1207,AP$5)=1,1,IF(INDEX([1]Pivot!$B$1:$AB$65000,$B1207,AP$5)="",2,0)),0)</f>
        <v>0</v>
      </c>
      <c r="AQ1207" s="313">
        <f>IFERROR(IF(INDEX([1]Pivot!$BF$1:$CG$65000,$B1207,AQ$5)=1,1,IF(INDEX([1]Pivot!$B$1:$AB$65000,$B1207,AQ$5)="",2,0)),0)</f>
        <v>0</v>
      </c>
      <c r="AR1207" s="313">
        <f>IFERROR(IF(INDEX([1]Pivot!$BF$1:$CG$65000,$B1207,AR$5)=1,1,IF(INDEX([1]Pivot!$B$1:$AB$65000,$B1207,AR$5)="",2,0)),0)</f>
        <v>0</v>
      </c>
      <c r="AS1207" s="312"/>
      <c r="AT1207" s="313">
        <f>IFERROR(IF(INDEX([1]Pivot!$BF$1:$CG$65000,$B1207,AT$5)=1,1,IF(INDEX([1]Pivot!$B$1:$AB$65000,$B1207,AT$5)="",2,0)),0)</f>
        <v>0</v>
      </c>
      <c r="AU1207" s="313">
        <f>IFERROR(IF(INDEX([1]Pivot!$BF$1:$CG$65000,$B1207,AU$5)=1,1,IF(INDEX([1]Pivot!$B$1:$AB$65000,$B1207,AU$5)="",2,0)),0)</f>
        <v>0</v>
      </c>
      <c r="AV1207" s="313">
        <f>IFERROR(IF(INDEX([1]Pivot!$BF$1:$CG$65000,$B1207,AV$5)=1,1,IF(INDEX([1]Pivot!$B$1:$AB$65000,$B1207,AV$5)="",2,0)),0)</f>
        <v>0</v>
      </c>
      <c r="AW1207" s="313">
        <f>IFERROR(IF(INDEX([1]Pivot!$BF$1:$CG$65000,$B1207,AW$5)=1,1,IF(INDEX([1]Pivot!$B$1:$AB$65000,$B1207,AW$5)="",2,0)),0)</f>
        <v>0</v>
      </c>
      <c r="AX1207" s="313">
        <f>IFERROR(IF(INDEX([1]Pivot!$BF$1:$CG$65000,$B1207,AX$5)=1,1,IF(INDEX([1]Pivot!$B$1:$AB$65000,$B1207,AX$5)="",2,0)),0)</f>
        <v>0</v>
      </c>
      <c r="AY1207" s="313">
        <f>IFERROR(IF(INDEX([1]Pivot!$BF$1:$CG$65000,$B1207,AY$5)=1,1,IF(INDEX([1]Pivot!$B$1:$AB$65000,$B1207,AY$5)="",2,0)),0)</f>
        <v>0</v>
      </c>
      <c r="AZ1207" s="313">
        <f>IFERROR(IF(INDEX([1]Pivot!$BF$1:$CG$65000,$B1207,AZ$5)=1,1,IF(INDEX([1]Pivot!$B$1:$AB$65000,$B1207,AZ$5)="",2,0)),0)</f>
        <v>0</v>
      </c>
      <c r="BA1207" s="313">
        <f>IFERROR(IF(INDEX([1]Pivot!$BF$1:$CG$65000,$B1207,BA$5)=1,1,IF(INDEX([1]Pivot!$B$1:$AB$65000,$B1207,BA$5)="",2,0)),0)</f>
        <v>0</v>
      </c>
      <c r="BB1207" s="313">
        <f>IFERROR(IF(INDEX([1]Pivot!$BF$1:$CG$65000,$B1207,BB$5)=1,1,IF(INDEX([1]Pivot!$B$1:$AB$65000,$B1207,BB$5)="",2,0)),0)</f>
        <v>0</v>
      </c>
      <c r="BC1207" s="313">
        <f>IFERROR(IF(INDEX([1]Pivot!$BF$1:$CG$65000,$B1207,BC$5)=1,1,IF(INDEX([1]Pivot!$B$1:$AB$65000,$B1207,BC$5)="",2,0)),0)</f>
        <v>0</v>
      </c>
      <c r="BD1207" s="313">
        <f>IFERROR(IF(INDEX([1]Pivot!$BF$1:$CG$65000,$B1207,BD$5)=1,1,IF(INDEX([1]Pivot!$B$1:$AB$65000,$B1207,BD$5)="",2,0)),0)</f>
        <v>0</v>
      </c>
    </row>
    <row r="1208" spans="1:56" x14ac:dyDescent="0.25">
      <c r="A1208" s="288">
        <f>'[2]Raw Milk Prices'!A1208</f>
        <v>0</v>
      </c>
      <c r="B1208" s="296" t="e">
        <f>MATCH(DATE(LEFT('[2]Raw Milk Prices'!$A1208,4),RIGHT('[2]Raw Milk Prices'!$A1208,2),1),[1]Pivot!$A$1:$A$65000,0)</f>
        <v>#VALUE!</v>
      </c>
      <c r="C1208" s="194">
        <f>IFERROR(IF(INDEX([1]Pivot!$AD$1:$BE$65000,$B1208,C$5)=1,1,IF(INDEX([1]Pivot!$B$1:$AB$65000,$B1208,C$5)="",2,0)),0)</f>
        <v>0</v>
      </c>
      <c r="D1208" s="194">
        <f>IFERROR(IF(INDEX([1]Pivot!$AD$1:$BE$65000,$B1208,D$5)=1,1,IF(INDEX([1]Pivot!$B$1:$AB$65000,$B1208,D$5)="",2,0)),0)</f>
        <v>0</v>
      </c>
      <c r="E1208" s="194">
        <f>IFERROR(IF(INDEX([1]Pivot!$AD$1:$BE$65000,$B1208,E$5)=1,1,IF(INDEX([1]Pivot!$B$1:$AB$65000,$B1208,E$5)="",2,0)),0)</f>
        <v>0</v>
      </c>
      <c r="F1208" s="194">
        <f>IFERROR(IF(INDEX([1]Pivot!$AD$1:$BE$65000,$B1208,F$5)=1,1,IF(INDEX([1]Pivot!$B$1:$AB$65000,$B1208,F$5)="",2,0)),0)</f>
        <v>0</v>
      </c>
      <c r="G1208" s="194">
        <f>IFERROR(IF(INDEX([1]Pivot!$AD$1:$BE$65000,$B1208,G$5)=1,1,IF(INDEX([1]Pivot!$B$1:$AB$65000,$B1208,G$5)="",2,0)),0)</f>
        <v>0</v>
      </c>
      <c r="H1208" s="194">
        <f>IFERROR(IF(INDEX([1]Pivot!$AD$1:$BE$65000,$B1208,H$5)=1,1,IF(INDEX([1]Pivot!$B$1:$AB$65000,$B1208,H$5)="",2,0)),0)</f>
        <v>0</v>
      </c>
      <c r="I1208" s="194">
        <f>IFERROR(IF(INDEX([1]Pivot!$AD$1:$BE$65000,$B1208,I$5)=1,1,IF(INDEX([1]Pivot!$B$1:$AB$65000,$B1208,I$5)="",2,0)),0)</f>
        <v>0</v>
      </c>
      <c r="J1208" s="194">
        <f>IFERROR(IF(INDEX([1]Pivot!$AD$1:$BE$65000,$B1208,J$5)=1,1,IF(INDEX([1]Pivot!$B$1:$AB$65000,$B1208,J$5)="",2,0)),0)</f>
        <v>0</v>
      </c>
      <c r="K1208" s="194">
        <f>IFERROR(IF(INDEX([1]Pivot!$AD$1:$BE$65000,$B1208,K$5)=1,1,IF(INDEX([1]Pivot!$B$1:$AB$65000,$B1208,K$5)="",2,0)),0)</f>
        <v>0</v>
      </c>
      <c r="L1208" s="194">
        <f>IFERROR(IF(INDEX([1]Pivot!$AD$1:$BE$65000,$B1208,L$5)=1,1,IF(INDEX([1]Pivot!$B$1:$AB$65000,$B1208,L$5)="",2,0)),0)</f>
        <v>0</v>
      </c>
      <c r="M1208" s="194">
        <f>IFERROR(IF(INDEX([1]Pivot!$AD$1:$BE$65000,$B1208,M$5)=1,1,IF(INDEX([1]Pivot!$B$1:$AB$65000,$B1208,M$5)="",2,0)),0)</f>
        <v>0</v>
      </c>
      <c r="N1208" s="194">
        <f>IFERROR(IF(INDEX([1]Pivot!$AD$1:$BE$65000,$B1208,N$5)=1,1,IF(INDEX([1]Pivot!$B$1:$AB$65000,$B1208,N$5)="",2,0)),0)</f>
        <v>0</v>
      </c>
      <c r="O1208" s="194">
        <f>IFERROR(IF(INDEX([1]Pivot!$AD$1:$BE$65000,$B1208,O$5)=1,1,IF(INDEX([1]Pivot!$B$1:$AB$65000,$B1208,O$5)="",2,0)),0)</f>
        <v>0</v>
      </c>
      <c r="P1208" s="194">
        <f>IFERROR(IF(INDEX([1]Pivot!$AD$1:$BE$65000,$B1208,P$5)=1,1,IF(INDEX([1]Pivot!$B$1:$AB$65000,$B1208,P$5)="",2,0)),0)</f>
        <v>0</v>
      </c>
      <c r="Q1208" s="194">
        <f>IFERROR(IF(INDEX([1]Pivot!$AD$1:$BE$65000,$B1208,Q$5)=1,1,IF(INDEX([1]Pivot!$B$1:$AB$65000,$B1208,Q$5)="",2,0)),0)</f>
        <v>0</v>
      </c>
      <c r="R1208" s="312"/>
      <c r="S1208" s="194">
        <f>IFERROR(IF(INDEX([1]Pivot!$AD$1:$BE$65000,$B1208,S$5)=1,1,IF(INDEX([1]Pivot!$B$1:$AB$65000,$B1208,S$5)="",2,0)),0)</f>
        <v>0</v>
      </c>
      <c r="T1208" s="194">
        <f>IFERROR(IF(INDEX([1]Pivot!$AD$1:$BE$65000,$B1208,T$5)=1,1,IF(INDEX([1]Pivot!$B$1:$AB$65000,$B1208,T$5)="",2,0)),0)</f>
        <v>0</v>
      </c>
      <c r="U1208" s="194">
        <f>IFERROR(IF(INDEX([1]Pivot!$AD$1:$BE$65000,$B1208,U$5)=1,1,IF(INDEX([1]Pivot!$B$1:$AB$65000,$B1208,U$5)="",2,0)),0)</f>
        <v>0</v>
      </c>
      <c r="V1208" s="194">
        <f>IFERROR(IF(INDEX([1]Pivot!$AD$1:$BE$65000,$B1208,V$5)=1,1,IF(INDEX([1]Pivot!$B$1:$AB$65000,$B1208,V$5)="",2,0)),0)</f>
        <v>0</v>
      </c>
      <c r="W1208" s="194">
        <f>IFERROR(IF(INDEX([1]Pivot!$AD$1:$BE$65000,$B1208,W$5)=1,1,IF(INDEX([1]Pivot!$B$1:$AB$65000,$B1208,W$5)="",2,0)),0)</f>
        <v>0</v>
      </c>
      <c r="X1208" s="194">
        <f>IFERROR(IF(INDEX([1]Pivot!$AD$1:$BE$65000,$B1208,X$5)=1,1,IF(INDEX([1]Pivot!$B$1:$AB$65000,$B1208,X$5)="",2,0)),0)</f>
        <v>0</v>
      </c>
      <c r="Y1208" s="194">
        <f>IFERROR(IF(INDEX([1]Pivot!$AD$1:$BE$65000,$B1208,Y$5)=1,1,IF(INDEX([1]Pivot!$B$1:$AB$65000,$B1208,Y$5)="",2,0)),0)</f>
        <v>0</v>
      </c>
      <c r="Z1208" s="194">
        <f>IFERROR(IF(INDEX([1]Pivot!$AD$1:$BE$65000,$B1208,Z$5)=1,1,IF(INDEX([1]Pivot!$B$1:$AB$65000,$B1208,Z$5)="",2,0)),0)</f>
        <v>0</v>
      </c>
      <c r="AA1208" s="194">
        <f>IFERROR(IF(INDEX([1]Pivot!$AD$1:$BE$65000,$B1208,AA$5)=1,1,IF(INDEX([1]Pivot!$B$1:$AB$65000,$B1208,AA$5)="",2,0)),0)</f>
        <v>0</v>
      </c>
      <c r="AB1208" s="194">
        <f>IFERROR(IF(INDEX([1]Pivot!$AD$1:$BE$65000,$B1208,AB$5)=1,1,IF(INDEX([1]Pivot!$B$1:$AB$65000,$B1208,AB$5)="",2,0)),0)</f>
        <v>0</v>
      </c>
      <c r="AC1208" s="194">
        <f>IFERROR(IF(INDEX([1]Pivot!$AD$1:$BE$65000,$B1208,AC$5)=1,1,IF(INDEX([1]Pivot!$B$1:$AB$65000,$B1208,AC$5)="",2,0)),0)</f>
        <v>0</v>
      </c>
      <c r="AD1208" s="313">
        <f>IFERROR(IF(INDEX([1]Pivot!$BF$1:$CG$65000,$B1208,AD$5)=1,1,IF(INDEX([1]Pivot!$B$1:$AB$65000,$B1208,AD$5)="",2,0)),0)</f>
        <v>0</v>
      </c>
      <c r="AE1208" s="313">
        <f>IFERROR(IF(INDEX([1]Pivot!$BF$1:$CG$65000,$B1208,AE$5)=1,1,IF(INDEX([1]Pivot!$B$1:$AB$65000,$B1208,AE$5)="",2,0)),0)</f>
        <v>0</v>
      </c>
      <c r="AF1208" s="313">
        <f>IFERROR(IF(INDEX([1]Pivot!$BF$1:$CG$65000,$B1208,AF$5)=1,1,IF(INDEX([1]Pivot!$B$1:$AB$65000,$B1208,AF$5)="",2,0)),0)</f>
        <v>0</v>
      </c>
      <c r="AG1208" s="313">
        <f>IFERROR(IF(INDEX([1]Pivot!$BF$1:$CG$65000,$B1208,AG$5)=1,1,IF(INDEX([1]Pivot!$B$1:$AB$65000,$B1208,AG$5)="",2,0)),0)</f>
        <v>0</v>
      </c>
      <c r="AH1208" s="313">
        <f>IFERROR(IF(INDEX([1]Pivot!$BF$1:$CG$65000,$B1208,AH$5)=1,1,IF(INDEX([1]Pivot!$B$1:$AB$65000,$B1208,AH$5)="",2,0)),0)</f>
        <v>0</v>
      </c>
      <c r="AI1208" s="313">
        <f>IFERROR(IF(INDEX([1]Pivot!$BF$1:$CG$65000,$B1208,AI$5)=1,1,IF(INDEX([1]Pivot!$B$1:$AB$65000,$B1208,AI$5)="",2,0)),0)</f>
        <v>0</v>
      </c>
      <c r="AJ1208" s="313">
        <f>IFERROR(IF(INDEX([1]Pivot!$BF$1:$CG$65000,$B1208,AJ$5)=1,1,IF(INDEX([1]Pivot!$B$1:$AB$65000,$B1208,AJ$5)="",2,0)),0)</f>
        <v>0</v>
      </c>
      <c r="AK1208" s="313">
        <f>IFERROR(IF(INDEX([1]Pivot!$BF$1:$CG$65000,$B1208,AK$5)=1,1,IF(INDEX([1]Pivot!$B$1:$AB$65000,$B1208,AK$5)="",2,0)),0)</f>
        <v>0</v>
      </c>
      <c r="AL1208" s="313">
        <f>IFERROR(IF(INDEX([1]Pivot!$BF$1:$CG$65000,$B1208,AL$5)=1,1,IF(INDEX([1]Pivot!$B$1:$AB$65000,$B1208,AL$5)="",2,0)),0)</f>
        <v>0</v>
      </c>
      <c r="AM1208" s="313">
        <f>IFERROR(IF(INDEX([1]Pivot!$BF$1:$CG$65000,$B1208,AM$5)=1,1,IF(INDEX([1]Pivot!$B$1:$AB$65000,$B1208,AM$5)="",2,0)),0)</f>
        <v>0</v>
      </c>
      <c r="AN1208" s="313">
        <f>IFERROR(IF(INDEX([1]Pivot!$BF$1:$CG$65000,$B1208,AN$5)=1,1,IF(INDEX([1]Pivot!$B$1:$AB$65000,$B1208,AN$5)="",2,0)),0)</f>
        <v>0</v>
      </c>
      <c r="AO1208" s="313">
        <f>IFERROR(IF(INDEX([1]Pivot!$BF$1:$CG$65000,$B1208,AO$5)=1,1,IF(INDEX([1]Pivot!$B$1:$AB$65000,$B1208,AO$5)="",2,0)),0)</f>
        <v>0</v>
      </c>
      <c r="AP1208" s="313">
        <f>IFERROR(IF(INDEX([1]Pivot!$BF$1:$CG$65000,$B1208,AP$5)=1,1,IF(INDEX([1]Pivot!$B$1:$AB$65000,$B1208,AP$5)="",2,0)),0)</f>
        <v>0</v>
      </c>
      <c r="AQ1208" s="313">
        <f>IFERROR(IF(INDEX([1]Pivot!$BF$1:$CG$65000,$B1208,AQ$5)=1,1,IF(INDEX([1]Pivot!$B$1:$AB$65000,$B1208,AQ$5)="",2,0)),0)</f>
        <v>0</v>
      </c>
      <c r="AR1208" s="313">
        <f>IFERROR(IF(INDEX([1]Pivot!$BF$1:$CG$65000,$B1208,AR$5)=1,1,IF(INDEX([1]Pivot!$B$1:$AB$65000,$B1208,AR$5)="",2,0)),0)</f>
        <v>0</v>
      </c>
      <c r="AS1208" s="312"/>
      <c r="AT1208" s="313">
        <f>IFERROR(IF(INDEX([1]Pivot!$BF$1:$CG$65000,$B1208,AT$5)=1,1,IF(INDEX([1]Pivot!$B$1:$AB$65000,$B1208,AT$5)="",2,0)),0)</f>
        <v>0</v>
      </c>
      <c r="AU1208" s="313">
        <f>IFERROR(IF(INDEX([1]Pivot!$BF$1:$CG$65000,$B1208,AU$5)=1,1,IF(INDEX([1]Pivot!$B$1:$AB$65000,$B1208,AU$5)="",2,0)),0)</f>
        <v>0</v>
      </c>
      <c r="AV1208" s="313">
        <f>IFERROR(IF(INDEX([1]Pivot!$BF$1:$CG$65000,$B1208,AV$5)=1,1,IF(INDEX([1]Pivot!$B$1:$AB$65000,$B1208,AV$5)="",2,0)),0)</f>
        <v>0</v>
      </c>
      <c r="AW1208" s="313">
        <f>IFERROR(IF(INDEX([1]Pivot!$BF$1:$CG$65000,$B1208,AW$5)=1,1,IF(INDEX([1]Pivot!$B$1:$AB$65000,$B1208,AW$5)="",2,0)),0)</f>
        <v>0</v>
      </c>
      <c r="AX1208" s="313">
        <f>IFERROR(IF(INDEX([1]Pivot!$BF$1:$CG$65000,$B1208,AX$5)=1,1,IF(INDEX([1]Pivot!$B$1:$AB$65000,$B1208,AX$5)="",2,0)),0)</f>
        <v>0</v>
      </c>
      <c r="AY1208" s="313">
        <f>IFERROR(IF(INDEX([1]Pivot!$BF$1:$CG$65000,$B1208,AY$5)=1,1,IF(INDEX([1]Pivot!$B$1:$AB$65000,$B1208,AY$5)="",2,0)),0)</f>
        <v>0</v>
      </c>
      <c r="AZ1208" s="313">
        <f>IFERROR(IF(INDEX([1]Pivot!$BF$1:$CG$65000,$B1208,AZ$5)=1,1,IF(INDEX([1]Pivot!$B$1:$AB$65000,$B1208,AZ$5)="",2,0)),0)</f>
        <v>0</v>
      </c>
      <c r="BA1208" s="313">
        <f>IFERROR(IF(INDEX([1]Pivot!$BF$1:$CG$65000,$B1208,BA$5)=1,1,IF(INDEX([1]Pivot!$B$1:$AB$65000,$B1208,BA$5)="",2,0)),0)</f>
        <v>0</v>
      </c>
      <c r="BB1208" s="313">
        <f>IFERROR(IF(INDEX([1]Pivot!$BF$1:$CG$65000,$B1208,BB$5)=1,1,IF(INDEX([1]Pivot!$B$1:$AB$65000,$B1208,BB$5)="",2,0)),0)</f>
        <v>0</v>
      </c>
      <c r="BC1208" s="313">
        <f>IFERROR(IF(INDEX([1]Pivot!$BF$1:$CG$65000,$B1208,BC$5)=1,1,IF(INDEX([1]Pivot!$B$1:$AB$65000,$B1208,BC$5)="",2,0)),0)</f>
        <v>0</v>
      </c>
      <c r="BD1208" s="313">
        <f>IFERROR(IF(INDEX([1]Pivot!$BF$1:$CG$65000,$B1208,BD$5)=1,1,IF(INDEX([1]Pivot!$B$1:$AB$65000,$B1208,BD$5)="",2,0)),0)</f>
        <v>0</v>
      </c>
    </row>
    <row r="1209" spans="1:56" x14ac:dyDescent="0.25">
      <c r="A1209" s="288">
        <f>'[2]Raw Milk Prices'!A1209</f>
        <v>0</v>
      </c>
      <c r="B1209" s="296" t="e">
        <f>MATCH(DATE(LEFT('[2]Raw Milk Prices'!$A1209,4),RIGHT('[2]Raw Milk Prices'!$A1209,2),1),[1]Pivot!$A$1:$A$65000,0)</f>
        <v>#VALUE!</v>
      </c>
      <c r="C1209" s="194">
        <f>IFERROR(IF(INDEX([1]Pivot!$AD$1:$BE$65000,$B1209,C$5)=1,1,IF(INDEX([1]Pivot!$B$1:$AB$65000,$B1209,C$5)="",2,0)),0)</f>
        <v>0</v>
      </c>
      <c r="D1209" s="194">
        <f>IFERROR(IF(INDEX([1]Pivot!$AD$1:$BE$65000,$B1209,D$5)=1,1,IF(INDEX([1]Pivot!$B$1:$AB$65000,$B1209,D$5)="",2,0)),0)</f>
        <v>0</v>
      </c>
      <c r="E1209" s="194">
        <f>IFERROR(IF(INDEX([1]Pivot!$AD$1:$BE$65000,$B1209,E$5)=1,1,IF(INDEX([1]Pivot!$B$1:$AB$65000,$B1209,E$5)="",2,0)),0)</f>
        <v>0</v>
      </c>
      <c r="F1209" s="194">
        <f>IFERROR(IF(INDEX([1]Pivot!$AD$1:$BE$65000,$B1209,F$5)=1,1,IF(INDEX([1]Pivot!$B$1:$AB$65000,$B1209,F$5)="",2,0)),0)</f>
        <v>0</v>
      </c>
      <c r="G1209" s="194">
        <f>IFERROR(IF(INDEX([1]Pivot!$AD$1:$BE$65000,$B1209,G$5)=1,1,IF(INDEX([1]Pivot!$B$1:$AB$65000,$B1209,G$5)="",2,0)),0)</f>
        <v>0</v>
      </c>
      <c r="H1209" s="194">
        <f>IFERROR(IF(INDEX([1]Pivot!$AD$1:$BE$65000,$B1209,H$5)=1,1,IF(INDEX([1]Pivot!$B$1:$AB$65000,$B1209,H$5)="",2,0)),0)</f>
        <v>0</v>
      </c>
      <c r="I1209" s="194">
        <f>IFERROR(IF(INDEX([1]Pivot!$AD$1:$BE$65000,$B1209,I$5)=1,1,IF(INDEX([1]Pivot!$B$1:$AB$65000,$B1209,I$5)="",2,0)),0)</f>
        <v>0</v>
      </c>
      <c r="J1209" s="194">
        <f>IFERROR(IF(INDEX([1]Pivot!$AD$1:$BE$65000,$B1209,J$5)=1,1,IF(INDEX([1]Pivot!$B$1:$AB$65000,$B1209,J$5)="",2,0)),0)</f>
        <v>0</v>
      </c>
      <c r="K1209" s="194">
        <f>IFERROR(IF(INDEX([1]Pivot!$AD$1:$BE$65000,$B1209,K$5)=1,1,IF(INDEX([1]Pivot!$B$1:$AB$65000,$B1209,K$5)="",2,0)),0)</f>
        <v>0</v>
      </c>
      <c r="L1209" s="194">
        <f>IFERROR(IF(INDEX([1]Pivot!$AD$1:$BE$65000,$B1209,L$5)=1,1,IF(INDEX([1]Pivot!$B$1:$AB$65000,$B1209,L$5)="",2,0)),0)</f>
        <v>0</v>
      </c>
      <c r="M1209" s="194">
        <f>IFERROR(IF(INDEX([1]Pivot!$AD$1:$BE$65000,$B1209,M$5)=1,1,IF(INDEX([1]Pivot!$B$1:$AB$65000,$B1209,M$5)="",2,0)),0)</f>
        <v>0</v>
      </c>
      <c r="N1209" s="194">
        <f>IFERROR(IF(INDEX([1]Pivot!$AD$1:$BE$65000,$B1209,N$5)=1,1,IF(INDEX([1]Pivot!$B$1:$AB$65000,$B1209,N$5)="",2,0)),0)</f>
        <v>0</v>
      </c>
      <c r="O1209" s="194">
        <f>IFERROR(IF(INDEX([1]Pivot!$AD$1:$BE$65000,$B1209,O$5)=1,1,IF(INDEX([1]Pivot!$B$1:$AB$65000,$B1209,O$5)="",2,0)),0)</f>
        <v>0</v>
      </c>
      <c r="P1209" s="194">
        <f>IFERROR(IF(INDEX([1]Pivot!$AD$1:$BE$65000,$B1209,P$5)=1,1,IF(INDEX([1]Pivot!$B$1:$AB$65000,$B1209,P$5)="",2,0)),0)</f>
        <v>0</v>
      </c>
      <c r="Q1209" s="194">
        <f>IFERROR(IF(INDEX([1]Pivot!$AD$1:$BE$65000,$B1209,Q$5)=1,1,IF(INDEX([1]Pivot!$B$1:$AB$65000,$B1209,Q$5)="",2,0)),0)</f>
        <v>0</v>
      </c>
      <c r="R1209" s="312"/>
      <c r="S1209" s="194">
        <f>IFERROR(IF(INDEX([1]Pivot!$AD$1:$BE$65000,$B1209,S$5)=1,1,IF(INDEX([1]Pivot!$B$1:$AB$65000,$B1209,S$5)="",2,0)),0)</f>
        <v>0</v>
      </c>
      <c r="T1209" s="194">
        <f>IFERROR(IF(INDEX([1]Pivot!$AD$1:$BE$65000,$B1209,T$5)=1,1,IF(INDEX([1]Pivot!$B$1:$AB$65000,$B1209,T$5)="",2,0)),0)</f>
        <v>0</v>
      </c>
      <c r="U1209" s="194">
        <f>IFERROR(IF(INDEX([1]Pivot!$AD$1:$BE$65000,$B1209,U$5)=1,1,IF(INDEX([1]Pivot!$B$1:$AB$65000,$B1209,U$5)="",2,0)),0)</f>
        <v>0</v>
      </c>
      <c r="V1209" s="194">
        <f>IFERROR(IF(INDEX([1]Pivot!$AD$1:$BE$65000,$B1209,V$5)=1,1,IF(INDEX([1]Pivot!$B$1:$AB$65000,$B1209,V$5)="",2,0)),0)</f>
        <v>0</v>
      </c>
      <c r="W1209" s="194">
        <f>IFERROR(IF(INDEX([1]Pivot!$AD$1:$BE$65000,$B1209,W$5)=1,1,IF(INDEX([1]Pivot!$B$1:$AB$65000,$B1209,W$5)="",2,0)),0)</f>
        <v>0</v>
      </c>
      <c r="X1209" s="194">
        <f>IFERROR(IF(INDEX([1]Pivot!$AD$1:$BE$65000,$B1209,X$5)=1,1,IF(INDEX([1]Pivot!$B$1:$AB$65000,$B1209,X$5)="",2,0)),0)</f>
        <v>0</v>
      </c>
      <c r="Y1209" s="194">
        <f>IFERROR(IF(INDEX([1]Pivot!$AD$1:$BE$65000,$B1209,Y$5)=1,1,IF(INDEX([1]Pivot!$B$1:$AB$65000,$B1209,Y$5)="",2,0)),0)</f>
        <v>0</v>
      </c>
      <c r="Z1209" s="194">
        <f>IFERROR(IF(INDEX([1]Pivot!$AD$1:$BE$65000,$B1209,Z$5)=1,1,IF(INDEX([1]Pivot!$B$1:$AB$65000,$B1209,Z$5)="",2,0)),0)</f>
        <v>0</v>
      </c>
      <c r="AA1209" s="194">
        <f>IFERROR(IF(INDEX([1]Pivot!$AD$1:$BE$65000,$B1209,AA$5)=1,1,IF(INDEX([1]Pivot!$B$1:$AB$65000,$B1209,AA$5)="",2,0)),0)</f>
        <v>0</v>
      </c>
      <c r="AB1209" s="194">
        <f>IFERROR(IF(INDEX([1]Pivot!$AD$1:$BE$65000,$B1209,AB$5)=1,1,IF(INDEX([1]Pivot!$B$1:$AB$65000,$B1209,AB$5)="",2,0)),0)</f>
        <v>0</v>
      </c>
      <c r="AC1209" s="194">
        <f>IFERROR(IF(INDEX([1]Pivot!$AD$1:$BE$65000,$B1209,AC$5)=1,1,IF(INDEX([1]Pivot!$B$1:$AB$65000,$B1209,AC$5)="",2,0)),0)</f>
        <v>0</v>
      </c>
      <c r="AD1209" s="313">
        <f>IFERROR(IF(INDEX([1]Pivot!$BF$1:$CG$65000,$B1209,AD$5)=1,1,IF(INDEX([1]Pivot!$B$1:$AB$65000,$B1209,AD$5)="",2,0)),0)</f>
        <v>0</v>
      </c>
      <c r="AE1209" s="313">
        <f>IFERROR(IF(INDEX([1]Pivot!$BF$1:$CG$65000,$B1209,AE$5)=1,1,IF(INDEX([1]Pivot!$B$1:$AB$65000,$B1209,AE$5)="",2,0)),0)</f>
        <v>0</v>
      </c>
      <c r="AF1209" s="313">
        <f>IFERROR(IF(INDEX([1]Pivot!$BF$1:$CG$65000,$B1209,AF$5)=1,1,IF(INDEX([1]Pivot!$B$1:$AB$65000,$B1209,AF$5)="",2,0)),0)</f>
        <v>0</v>
      </c>
      <c r="AG1209" s="313">
        <f>IFERROR(IF(INDEX([1]Pivot!$BF$1:$CG$65000,$B1209,AG$5)=1,1,IF(INDEX([1]Pivot!$B$1:$AB$65000,$B1209,AG$5)="",2,0)),0)</f>
        <v>0</v>
      </c>
      <c r="AH1209" s="313">
        <f>IFERROR(IF(INDEX([1]Pivot!$BF$1:$CG$65000,$B1209,AH$5)=1,1,IF(INDEX([1]Pivot!$B$1:$AB$65000,$B1209,AH$5)="",2,0)),0)</f>
        <v>0</v>
      </c>
      <c r="AI1209" s="313">
        <f>IFERROR(IF(INDEX([1]Pivot!$BF$1:$CG$65000,$B1209,AI$5)=1,1,IF(INDEX([1]Pivot!$B$1:$AB$65000,$B1209,AI$5)="",2,0)),0)</f>
        <v>0</v>
      </c>
      <c r="AJ1209" s="313">
        <f>IFERROR(IF(INDEX([1]Pivot!$BF$1:$CG$65000,$B1209,AJ$5)=1,1,IF(INDEX([1]Pivot!$B$1:$AB$65000,$B1209,AJ$5)="",2,0)),0)</f>
        <v>0</v>
      </c>
      <c r="AK1209" s="313">
        <f>IFERROR(IF(INDEX([1]Pivot!$BF$1:$CG$65000,$B1209,AK$5)=1,1,IF(INDEX([1]Pivot!$B$1:$AB$65000,$B1209,AK$5)="",2,0)),0)</f>
        <v>0</v>
      </c>
      <c r="AL1209" s="313">
        <f>IFERROR(IF(INDEX([1]Pivot!$BF$1:$CG$65000,$B1209,AL$5)=1,1,IF(INDEX([1]Pivot!$B$1:$AB$65000,$B1209,AL$5)="",2,0)),0)</f>
        <v>0</v>
      </c>
      <c r="AM1209" s="313">
        <f>IFERROR(IF(INDEX([1]Pivot!$BF$1:$CG$65000,$B1209,AM$5)=1,1,IF(INDEX([1]Pivot!$B$1:$AB$65000,$B1209,AM$5)="",2,0)),0)</f>
        <v>0</v>
      </c>
      <c r="AN1209" s="313">
        <f>IFERROR(IF(INDEX([1]Pivot!$BF$1:$CG$65000,$B1209,AN$5)=1,1,IF(INDEX([1]Pivot!$B$1:$AB$65000,$B1209,AN$5)="",2,0)),0)</f>
        <v>0</v>
      </c>
      <c r="AO1209" s="313">
        <f>IFERROR(IF(INDEX([1]Pivot!$BF$1:$CG$65000,$B1209,AO$5)=1,1,IF(INDEX([1]Pivot!$B$1:$AB$65000,$B1209,AO$5)="",2,0)),0)</f>
        <v>0</v>
      </c>
      <c r="AP1209" s="313">
        <f>IFERROR(IF(INDEX([1]Pivot!$BF$1:$CG$65000,$B1209,AP$5)=1,1,IF(INDEX([1]Pivot!$B$1:$AB$65000,$B1209,AP$5)="",2,0)),0)</f>
        <v>0</v>
      </c>
      <c r="AQ1209" s="313">
        <f>IFERROR(IF(INDEX([1]Pivot!$BF$1:$CG$65000,$B1209,AQ$5)=1,1,IF(INDEX([1]Pivot!$B$1:$AB$65000,$B1209,AQ$5)="",2,0)),0)</f>
        <v>0</v>
      </c>
      <c r="AR1209" s="313">
        <f>IFERROR(IF(INDEX([1]Pivot!$BF$1:$CG$65000,$B1209,AR$5)=1,1,IF(INDEX([1]Pivot!$B$1:$AB$65000,$B1209,AR$5)="",2,0)),0)</f>
        <v>0</v>
      </c>
      <c r="AS1209" s="312"/>
      <c r="AT1209" s="313">
        <f>IFERROR(IF(INDEX([1]Pivot!$BF$1:$CG$65000,$B1209,AT$5)=1,1,IF(INDEX([1]Pivot!$B$1:$AB$65000,$B1209,AT$5)="",2,0)),0)</f>
        <v>0</v>
      </c>
      <c r="AU1209" s="313">
        <f>IFERROR(IF(INDEX([1]Pivot!$BF$1:$CG$65000,$B1209,AU$5)=1,1,IF(INDEX([1]Pivot!$B$1:$AB$65000,$B1209,AU$5)="",2,0)),0)</f>
        <v>0</v>
      </c>
      <c r="AV1209" s="313">
        <f>IFERROR(IF(INDEX([1]Pivot!$BF$1:$CG$65000,$B1209,AV$5)=1,1,IF(INDEX([1]Pivot!$B$1:$AB$65000,$B1209,AV$5)="",2,0)),0)</f>
        <v>0</v>
      </c>
      <c r="AW1209" s="313">
        <f>IFERROR(IF(INDEX([1]Pivot!$BF$1:$CG$65000,$B1209,AW$5)=1,1,IF(INDEX([1]Pivot!$B$1:$AB$65000,$B1209,AW$5)="",2,0)),0)</f>
        <v>0</v>
      </c>
      <c r="AX1209" s="313">
        <f>IFERROR(IF(INDEX([1]Pivot!$BF$1:$CG$65000,$B1209,AX$5)=1,1,IF(INDEX([1]Pivot!$B$1:$AB$65000,$B1209,AX$5)="",2,0)),0)</f>
        <v>0</v>
      </c>
      <c r="AY1209" s="313">
        <f>IFERROR(IF(INDEX([1]Pivot!$BF$1:$CG$65000,$B1209,AY$5)=1,1,IF(INDEX([1]Pivot!$B$1:$AB$65000,$B1209,AY$5)="",2,0)),0)</f>
        <v>0</v>
      </c>
      <c r="AZ1209" s="313">
        <f>IFERROR(IF(INDEX([1]Pivot!$BF$1:$CG$65000,$B1209,AZ$5)=1,1,IF(INDEX([1]Pivot!$B$1:$AB$65000,$B1209,AZ$5)="",2,0)),0)</f>
        <v>0</v>
      </c>
      <c r="BA1209" s="313">
        <f>IFERROR(IF(INDEX([1]Pivot!$BF$1:$CG$65000,$B1209,BA$5)=1,1,IF(INDEX([1]Pivot!$B$1:$AB$65000,$B1209,BA$5)="",2,0)),0)</f>
        <v>0</v>
      </c>
      <c r="BB1209" s="313">
        <f>IFERROR(IF(INDEX([1]Pivot!$BF$1:$CG$65000,$B1209,BB$5)=1,1,IF(INDEX([1]Pivot!$B$1:$AB$65000,$B1209,BB$5)="",2,0)),0)</f>
        <v>0</v>
      </c>
      <c r="BC1209" s="313">
        <f>IFERROR(IF(INDEX([1]Pivot!$BF$1:$CG$65000,$B1209,BC$5)=1,1,IF(INDEX([1]Pivot!$B$1:$AB$65000,$B1209,BC$5)="",2,0)),0)</f>
        <v>0</v>
      </c>
      <c r="BD1209" s="313">
        <f>IFERROR(IF(INDEX([1]Pivot!$BF$1:$CG$65000,$B1209,BD$5)=1,1,IF(INDEX([1]Pivot!$B$1:$AB$65000,$B1209,BD$5)="",2,0)),0)</f>
        <v>0</v>
      </c>
    </row>
    <row r="1210" spans="1:56" x14ac:dyDescent="0.25">
      <c r="A1210" s="288">
        <f>'[2]Raw Milk Prices'!A1210</f>
        <v>0</v>
      </c>
      <c r="B1210" s="296" t="e">
        <f>MATCH(DATE(LEFT('[2]Raw Milk Prices'!$A1210,4),RIGHT('[2]Raw Milk Prices'!$A1210,2),1),[1]Pivot!$A$1:$A$65000,0)</f>
        <v>#VALUE!</v>
      </c>
      <c r="C1210" s="194">
        <f>IFERROR(IF(INDEX([1]Pivot!$AD$1:$BE$65000,$B1210,C$5)=1,1,IF(INDEX([1]Pivot!$B$1:$AB$65000,$B1210,C$5)="",2,0)),0)</f>
        <v>0</v>
      </c>
      <c r="D1210" s="194">
        <f>IFERROR(IF(INDEX([1]Pivot!$AD$1:$BE$65000,$B1210,D$5)=1,1,IF(INDEX([1]Pivot!$B$1:$AB$65000,$B1210,D$5)="",2,0)),0)</f>
        <v>0</v>
      </c>
      <c r="E1210" s="194">
        <f>IFERROR(IF(INDEX([1]Pivot!$AD$1:$BE$65000,$B1210,E$5)=1,1,IF(INDEX([1]Pivot!$B$1:$AB$65000,$B1210,E$5)="",2,0)),0)</f>
        <v>0</v>
      </c>
      <c r="F1210" s="194">
        <f>IFERROR(IF(INDEX([1]Pivot!$AD$1:$BE$65000,$B1210,F$5)=1,1,IF(INDEX([1]Pivot!$B$1:$AB$65000,$B1210,F$5)="",2,0)),0)</f>
        <v>0</v>
      </c>
      <c r="G1210" s="194">
        <f>IFERROR(IF(INDEX([1]Pivot!$AD$1:$BE$65000,$B1210,G$5)=1,1,IF(INDEX([1]Pivot!$B$1:$AB$65000,$B1210,G$5)="",2,0)),0)</f>
        <v>0</v>
      </c>
      <c r="H1210" s="194">
        <f>IFERROR(IF(INDEX([1]Pivot!$AD$1:$BE$65000,$B1210,H$5)=1,1,IF(INDEX([1]Pivot!$B$1:$AB$65000,$B1210,H$5)="",2,0)),0)</f>
        <v>0</v>
      </c>
      <c r="I1210" s="194">
        <f>IFERROR(IF(INDEX([1]Pivot!$AD$1:$BE$65000,$B1210,I$5)=1,1,IF(INDEX([1]Pivot!$B$1:$AB$65000,$B1210,I$5)="",2,0)),0)</f>
        <v>0</v>
      </c>
      <c r="J1210" s="194">
        <f>IFERROR(IF(INDEX([1]Pivot!$AD$1:$BE$65000,$B1210,J$5)=1,1,IF(INDEX([1]Pivot!$B$1:$AB$65000,$B1210,J$5)="",2,0)),0)</f>
        <v>0</v>
      </c>
      <c r="K1210" s="194">
        <f>IFERROR(IF(INDEX([1]Pivot!$AD$1:$BE$65000,$B1210,K$5)=1,1,IF(INDEX([1]Pivot!$B$1:$AB$65000,$B1210,K$5)="",2,0)),0)</f>
        <v>0</v>
      </c>
      <c r="L1210" s="194">
        <f>IFERROR(IF(INDEX([1]Pivot!$AD$1:$BE$65000,$B1210,L$5)=1,1,IF(INDEX([1]Pivot!$B$1:$AB$65000,$B1210,L$5)="",2,0)),0)</f>
        <v>0</v>
      </c>
      <c r="M1210" s="194">
        <f>IFERROR(IF(INDEX([1]Pivot!$AD$1:$BE$65000,$B1210,M$5)=1,1,IF(INDEX([1]Pivot!$B$1:$AB$65000,$B1210,M$5)="",2,0)),0)</f>
        <v>0</v>
      </c>
      <c r="N1210" s="194">
        <f>IFERROR(IF(INDEX([1]Pivot!$AD$1:$BE$65000,$B1210,N$5)=1,1,IF(INDEX([1]Pivot!$B$1:$AB$65000,$B1210,N$5)="",2,0)),0)</f>
        <v>0</v>
      </c>
      <c r="O1210" s="194">
        <f>IFERROR(IF(INDEX([1]Pivot!$AD$1:$BE$65000,$B1210,O$5)=1,1,IF(INDEX([1]Pivot!$B$1:$AB$65000,$B1210,O$5)="",2,0)),0)</f>
        <v>0</v>
      </c>
      <c r="P1210" s="194">
        <f>IFERROR(IF(INDEX([1]Pivot!$AD$1:$BE$65000,$B1210,P$5)=1,1,IF(INDEX([1]Pivot!$B$1:$AB$65000,$B1210,P$5)="",2,0)),0)</f>
        <v>0</v>
      </c>
      <c r="Q1210" s="194">
        <f>IFERROR(IF(INDEX([1]Pivot!$AD$1:$BE$65000,$B1210,Q$5)=1,1,IF(INDEX([1]Pivot!$B$1:$AB$65000,$B1210,Q$5)="",2,0)),0)</f>
        <v>0</v>
      </c>
      <c r="R1210" s="312"/>
      <c r="S1210" s="194">
        <f>IFERROR(IF(INDEX([1]Pivot!$AD$1:$BE$65000,$B1210,S$5)=1,1,IF(INDEX([1]Pivot!$B$1:$AB$65000,$B1210,S$5)="",2,0)),0)</f>
        <v>0</v>
      </c>
      <c r="T1210" s="194">
        <f>IFERROR(IF(INDEX([1]Pivot!$AD$1:$BE$65000,$B1210,T$5)=1,1,IF(INDEX([1]Pivot!$B$1:$AB$65000,$B1210,T$5)="",2,0)),0)</f>
        <v>0</v>
      </c>
      <c r="U1210" s="194">
        <f>IFERROR(IF(INDEX([1]Pivot!$AD$1:$BE$65000,$B1210,U$5)=1,1,IF(INDEX([1]Pivot!$B$1:$AB$65000,$B1210,U$5)="",2,0)),0)</f>
        <v>0</v>
      </c>
      <c r="V1210" s="194">
        <f>IFERROR(IF(INDEX([1]Pivot!$AD$1:$BE$65000,$B1210,V$5)=1,1,IF(INDEX([1]Pivot!$B$1:$AB$65000,$B1210,V$5)="",2,0)),0)</f>
        <v>0</v>
      </c>
      <c r="W1210" s="194">
        <f>IFERROR(IF(INDEX([1]Pivot!$AD$1:$BE$65000,$B1210,W$5)=1,1,IF(INDEX([1]Pivot!$B$1:$AB$65000,$B1210,W$5)="",2,0)),0)</f>
        <v>0</v>
      </c>
      <c r="X1210" s="194">
        <f>IFERROR(IF(INDEX([1]Pivot!$AD$1:$BE$65000,$B1210,X$5)=1,1,IF(INDEX([1]Pivot!$B$1:$AB$65000,$B1210,X$5)="",2,0)),0)</f>
        <v>0</v>
      </c>
      <c r="Y1210" s="194">
        <f>IFERROR(IF(INDEX([1]Pivot!$AD$1:$BE$65000,$B1210,Y$5)=1,1,IF(INDEX([1]Pivot!$B$1:$AB$65000,$B1210,Y$5)="",2,0)),0)</f>
        <v>0</v>
      </c>
      <c r="Z1210" s="194">
        <f>IFERROR(IF(INDEX([1]Pivot!$AD$1:$BE$65000,$B1210,Z$5)=1,1,IF(INDEX([1]Pivot!$B$1:$AB$65000,$B1210,Z$5)="",2,0)),0)</f>
        <v>0</v>
      </c>
      <c r="AA1210" s="194">
        <f>IFERROR(IF(INDEX([1]Pivot!$AD$1:$BE$65000,$B1210,AA$5)=1,1,IF(INDEX([1]Pivot!$B$1:$AB$65000,$B1210,AA$5)="",2,0)),0)</f>
        <v>0</v>
      </c>
      <c r="AB1210" s="194">
        <f>IFERROR(IF(INDEX([1]Pivot!$AD$1:$BE$65000,$B1210,AB$5)=1,1,IF(INDEX([1]Pivot!$B$1:$AB$65000,$B1210,AB$5)="",2,0)),0)</f>
        <v>0</v>
      </c>
      <c r="AC1210" s="194">
        <f>IFERROR(IF(INDEX([1]Pivot!$AD$1:$BE$65000,$B1210,AC$5)=1,1,IF(INDEX([1]Pivot!$B$1:$AB$65000,$B1210,AC$5)="",2,0)),0)</f>
        <v>0</v>
      </c>
      <c r="AD1210" s="313">
        <f>IFERROR(IF(INDEX([1]Pivot!$BF$1:$CG$65000,$B1210,AD$5)=1,1,IF(INDEX([1]Pivot!$B$1:$AB$65000,$B1210,AD$5)="",2,0)),0)</f>
        <v>0</v>
      </c>
      <c r="AE1210" s="313">
        <f>IFERROR(IF(INDEX([1]Pivot!$BF$1:$CG$65000,$B1210,AE$5)=1,1,IF(INDEX([1]Pivot!$B$1:$AB$65000,$B1210,AE$5)="",2,0)),0)</f>
        <v>0</v>
      </c>
      <c r="AF1210" s="313">
        <f>IFERROR(IF(INDEX([1]Pivot!$BF$1:$CG$65000,$B1210,AF$5)=1,1,IF(INDEX([1]Pivot!$B$1:$AB$65000,$B1210,AF$5)="",2,0)),0)</f>
        <v>0</v>
      </c>
      <c r="AG1210" s="313">
        <f>IFERROR(IF(INDEX([1]Pivot!$BF$1:$CG$65000,$B1210,AG$5)=1,1,IF(INDEX([1]Pivot!$B$1:$AB$65000,$B1210,AG$5)="",2,0)),0)</f>
        <v>0</v>
      </c>
      <c r="AH1210" s="313">
        <f>IFERROR(IF(INDEX([1]Pivot!$BF$1:$CG$65000,$B1210,AH$5)=1,1,IF(INDEX([1]Pivot!$B$1:$AB$65000,$B1210,AH$5)="",2,0)),0)</f>
        <v>0</v>
      </c>
      <c r="AI1210" s="313">
        <f>IFERROR(IF(INDEX([1]Pivot!$BF$1:$CG$65000,$B1210,AI$5)=1,1,IF(INDEX([1]Pivot!$B$1:$AB$65000,$B1210,AI$5)="",2,0)),0)</f>
        <v>0</v>
      </c>
      <c r="AJ1210" s="313">
        <f>IFERROR(IF(INDEX([1]Pivot!$BF$1:$CG$65000,$B1210,AJ$5)=1,1,IF(INDEX([1]Pivot!$B$1:$AB$65000,$B1210,AJ$5)="",2,0)),0)</f>
        <v>0</v>
      </c>
      <c r="AK1210" s="313">
        <f>IFERROR(IF(INDEX([1]Pivot!$BF$1:$CG$65000,$B1210,AK$5)=1,1,IF(INDEX([1]Pivot!$B$1:$AB$65000,$B1210,AK$5)="",2,0)),0)</f>
        <v>0</v>
      </c>
      <c r="AL1210" s="313">
        <f>IFERROR(IF(INDEX([1]Pivot!$BF$1:$CG$65000,$B1210,AL$5)=1,1,IF(INDEX([1]Pivot!$B$1:$AB$65000,$B1210,AL$5)="",2,0)),0)</f>
        <v>0</v>
      </c>
      <c r="AM1210" s="313">
        <f>IFERROR(IF(INDEX([1]Pivot!$BF$1:$CG$65000,$B1210,AM$5)=1,1,IF(INDEX([1]Pivot!$B$1:$AB$65000,$B1210,AM$5)="",2,0)),0)</f>
        <v>0</v>
      </c>
      <c r="AN1210" s="313">
        <f>IFERROR(IF(INDEX([1]Pivot!$BF$1:$CG$65000,$B1210,AN$5)=1,1,IF(INDEX([1]Pivot!$B$1:$AB$65000,$B1210,AN$5)="",2,0)),0)</f>
        <v>0</v>
      </c>
      <c r="AO1210" s="313">
        <f>IFERROR(IF(INDEX([1]Pivot!$BF$1:$CG$65000,$B1210,AO$5)=1,1,IF(INDEX([1]Pivot!$B$1:$AB$65000,$B1210,AO$5)="",2,0)),0)</f>
        <v>0</v>
      </c>
      <c r="AP1210" s="313">
        <f>IFERROR(IF(INDEX([1]Pivot!$BF$1:$CG$65000,$B1210,AP$5)=1,1,IF(INDEX([1]Pivot!$B$1:$AB$65000,$B1210,AP$5)="",2,0)),0)</f>
        <v>0</v>
      </c>
      <c r="AQ1210" s="313">
        <f>IFERROR(IF(INDEX([1]Pivot!$BF$1:$CG$65000,$B1210,AQ$5)=1,1,IF(INDEX([1]Pivot!$B$1:$AB$65000,$B1210,AQ$5)="",2,0)),0)</f>
        <v>0</v>
      </c>
      <c r="AR1210" s="313">
        <f>IFERROR(IF(INDEX([1]Pivot!$BF$1:$CG$65000,$B1210,AR$5)=1,1,IF(INDEX([1]Pivot!$B$1:$AB$65000,$B1210,AR$5)="",2,0)),0)</f>
        <v>0</v>
      </c>
      <c r="AS1210" s="312"/>
      <c r="AT1210" s="313">
        <f>IFERROR(IF(INDEX([1]Pivot!$BF$1:$CG$65000,$B1210,AT$5)=1,1,IF(INDEX([1]Pivot!$B$1:$AB$65000,$B1210,AT$5)="",2,0)),0)</f>
        <v>0</v>
      </c>
      <c r="AU1210" s="313">
        <f>IFERROR(IF(INDEX([1]Pivot!$BF$1:$CG$65000,$B1210,AU$5)=1,1,IF(INDEX([1]Pivot!$B$1:$AB$65000,$B1210,AU$5)="",2,0)),0)</f>
        <v>0</v>
      </c>
      <c r="AV1210" s="313">
        <f>IFERROR(IF(INDEX([1]Pivot!$BF$1:$CG$65000,$B1210,AV$5)=1,1,IF(INDEX([1]Pivot!$B$1:$AB$65000,$B1210,AV$5)="",2,0)),0)</f>
        <v>0</v>
      </c>
      <c r="AW1210" s="313">
        <f>IFERROR(IF(INDEX([1]Pivot!$BF$1:$CG$65000,$B1210,AW$5)=1,1,IF(INDEX([1]Pivot!$B$1:$AB$65000,$B1210,AW$5)="",2,0)),0)</f>
        <v>0</v>
      </c>
      <c r="AX1210" s="313">
        <f>IFERROR(IF(INDEX([1]Pivot!$BF$1:$CG$65000,$B1210,AX$5)=1,1,IF(INDEX([1]Pivot!$B$1:$AB$65000,$B1210,AX$5)="",2,0)),0)</f>
        <v>0</v>
      </c>
      <c r="AY1210" s="313">
        <f>IFERROR(IF(INDEX([1]Pivot!$BF$1:$CG$65000,$B1210,AY$5)=1,1,IF(INDEX([1]Pivot!$B$1:$AB$65000,$B1210,AY$5)="",2,0)),0)</f>
        <v>0</v>
      </c>
      <c r="AZ1210" s="313">
        <f>IFERROR(IF(INDEX([1]Pivot!$BF$1:$CG$65000,$B1210,AZ$5)=1,1,IF(INDEX([1]Pivot!$B$1:$AB$65000,$B1210,AZ$5)="",2,0)),0)</f>
        <v>0</v>
      </c>
      <c r="BA1210" s="313">
        <f>IFERROR(IF(INDEX([1]Pivot!$BF$1:$CG$65000,$B1210,BA$5)=1,1,IF(INDEX([1]Pivot!$B$1:$AB$65000,$B1210,BA$5)="",2,0)),0)</f>
        <v>0</v>
      </c>
      <c r="BB1210" s="313">
        <f>IFERROR(IF(INDEX([1]Pivot!$BF$1:$CG$65000,$B1210,BB$5)=1,1,IF(INDEX([1]Pivot!$B$1:$AB$65000,$B1210,BB$5)="",2,0)),0)</f>
        <v>0</v>
      </c>
      <c r="BC1210" s="313">
        <f>IFERROR(IF(INDEX([1]Pivot!$BF$1:$CG$65000,$B1210,BC$5)=1,1,IF(INDEX([1]Pivot!$B$1:$AB$65000,$B1210,BC$5)="",2,0)),0)</f>
        <v>0</v>
      </c>
      <c r="BD1210" s="313">
        <f>IFERROR(IF(INDEX([1]Pivot!$BF$1:$CG$65000,$B1210,BD$5)=1,1,IF(INDEX([1]Pivot!$B$1:$AB$65000,$B1210,BD$5)="",2,0)),0)</f>
        <v>0</v>
      </c>
    </row>
    <row r="1211" spans="1:56" x14ac:dyDescent="0.25">
      <c r="A1211" s="288">
        <f>'[2]Raw Milk Prices'!A1211</f>
        <v>0</v>
      </c>
      <c r="B1211" s="296" t="e">
        <f>MATCH(DATE(LEFT('[2]Raw Milk Prices'!$A1211,4),RIGHT('[2]Raw Milk Prices'!$A1211,2),1),[1]Pivot!$A$1:$A$65000,0)</f>
        <v>#VALUE!</v>
      </c>
      <c r="C1211" s="194">
        <f>IFERROR(IF(INDEX([1]Pivot!$AD$1:$BE$65000,$B1211,C$5)=1,1,IF(INDEX([1]Pivot!$B$1:$AB$65000,$B1211,C$5)="",2,0)),0)</f>
        <v>0</v>
      </c>
      <c r="D1211" s="194">
        <f>IFERROR(IF(INDEX([1]Pivot!$AD$1:$BE$65000,$B1211,D$5)=1,1,IF(INDEX([1]Pivot!$B$1:$AB$65000,$B1211,D$5)="",2,0)),0)</f>
        <v>0</v>
      </c>
      <c r="E1211" s="194">
        <f>IFERROR(IF(INDEX([1]Pivot!$AD$1:$BE$65000,$B1211,E$5)=1,1,IF(INDEX([1]Pivot!$B$1:$AB$65000,$B1211,E$5)="",2,0)),0)</f>
        <v>0</v>
      </c>
      <c r="F1211" s="194">
        <f>IFERROR(IF(INDEX([1]Pivot!$AD$1:$BE$65000,$B1211,F$5)=1,1,IF(INDEX([1]Pivot!$B$1:$AB$65000,$B1211,F$5)="",2,0)),0)</f>
        <v>0</v>
      </c>
      <c r="G1211" s="194">
        <f>IFERROR(IF(INDEX([1]Pivot!$AD$1:$BE$65000,$B1211,G$5)=1,1,IF(INDEX([1]Pivot!$B$1:$AB$65000,$B1211,G$5)="",2,0)),0)</f>
        <v>0</v>
      </c>
      <c r="H1211" s="194">
        <f>IFERROR(IF(INDEX([1]Pivot!$AD$1:$BE$65000,$B1211,H$5)=1,1,IF(INDEX([1]Pivot!$B$1:$AB$65000,$B1211,H$5)="",2,0)),0)</f>
        <v>0</v>
      </c>
      <c r="I1211" s="194">
        <f>IFERROR(IF(INDEX([1]Pivot!$AD$1:$BE$65000,$B1211,I$5)=1,1,IF(INDEX([1]Pivot!$B$1:$AB$65000,$B1211,I$5)="",2,0)),0)</f>
        <v>0</v>
      </c>
      <c r="J1211" s="194">
        <f>IFERROR(IF(INDEX([1]Pivot!$AD$1:$BE$65000,$B1211,J$5)=1,1,IF(INDEX([1]Pivot!$B$1:$AB$65000,$B1211,J$5)="",2,0)),0)</f>
        <v>0</v>
      </c>
      <c r="K1211" s="194">
        <f>IFERROR(IF(INDEX([1]Pivot!$AD$1:$BE$65000,$B1211,K$5)=1,1,IF(INDEX([1]Pivot!$B$1:$AB$65000,$B1211,K$5)="",2,0)),0)</f>
        <v>0</v>
      </c>
      <c r="L1211" s="194">
        <f>IFERROR(IF(INDEX([1]Pivot!$AD$1:$BE$65000,$B1211,L$5)=1,1,IF(INDEX([1]Pivot!$B$1:$AB$65000,$B1211,L$5)="",2,0)),0)</f>
        <v>0</v>
      </c>
      <c r="M1211" s="194">
        <f>IFERROR(IF(INDEX([1]Pivot!$AD$1:$BE$65000,$B1211,M$5)=1,1,IF(INDEX([1]Pivot!$B$1:$AB$65000,$B1211,M$5)="",2,0)),0)</f>
        <v>0</v>
      </c>
      <c r="N1211" s="194">
        <f>IFERROR(IF(INDEX([1]Pivot!$AD$1:$BE$65000,$B1211,N$5)=1,1,IF(INDEX([1]Pivot!$B$1:$AB$65000,$B1211,N$5)="",2,0)),0)</f>
        <v>0</v>
      </c>
      <c r="O1211" s="194">
        <f>IFERROR(IF(INDEX([1]Pivot!$AD$1:$BE$65000,$B1211,O$5)=1,1,IF(INDEX([1]Pivot!$B$1:$AB$65000,$B1211,O$5)="",2,0)),0)</f>
        <v>0</v>
      </c>
      <c r="P1211" s="194">
        <f>IFERROR(IF(INDEX([1]Pivot!$AD$1:$BE$65000,$B1211,P$5)=1,1,IF(INDEX([1]Pivot!$B$1:$AB$65000,$B1211,P$5)="",2,0)),0)</f>
        <v>0</v>
      </c>
      <c r="Q1211" s="194">
        <f>IFERROR(IF(INDEX([1]Pivot!$AD$1:$BE$65000,$B1211,Q$5)=1,1,IF(INDEX([1]Pivot!$B$1:$AB$65000,$B1211,Q$5)="",2,0)),0)</f>
        <v>0</v>
      </c>
      <c r="R1211" s="312"/>
      <c r="S1211" s="194">
        <f>IFERROR(IF(INDEX([1]Pivot!$AD$1:$BE$65000,$B1211,S$5)=1,1,IF(INDEX([1]Pivot!$B$1:$AB$65000,$B1211,S$5)="",2,0)),0)</f>
        <v>0</v>
      </c>
      <c r="T1211" s="194">
        <f>IFERROR(IF(INDEX([1]Pivot!$AD$1:$BE$65000,$B1211,T$5)=1,1,IF(INDEX([1]Pivot!$B$1:$AB$65000,$B1211,T$5)="",2,0)),0)</f>
        <v>0</v>
      </c>
      <c r="U1211" s="194">
        <f>IFERROR(IF(INDEX([1]Pivot!$AD$1:$BE$65000,$B1211,U$5)=1,1,IF(INDEX([1]Pivot!$B$1:$AB$65000,$B1211,U$5)="",2,0)),0)</f>
        <v>0</v>
      </c>
      <c r="V1211" s="194">
        <f>IFERROR(IF(INDEX([1]Pivot!$AD$1:$BE$65000,$B1211,V$5)=1,1,IF(INDEX([1]Pivot!$B$1:$AB$65000,$B1211,V$5)="",2,0)),0)</f>
        <v>0</v>
      </c>
      <c r="W1211" s="194">
        <f>IFERROR(IF(INDEX([1]Pivot!$AD$1:$BE$65000,$B1211,W$5)=1,1,IF(INDEX([1]Pivot!$B$1:$AB$65000,$B1211,W$5)="",2,0)),0)</f>
        <v>0</v>
      </c>
      <c r="X1211" s="194">
        <f>IFERROR(IF(INDEX([1]Pivot!$AD$1:$BE$65000,$B1211,X$5)=1,1,IF(INDEX([1]Pivot!$B$1:$AB$65000,$B1211,X$5)="",2,0)),0)</f>
        <v>0</v>
      </c>
      <c r="Y1211" s="194">
        <f>IFERROR(IF(INDEX([1]Pivot!$AD$1:$BE$65000,$B1211,Y$5)=1,1,IF(INDEX([1]Pivot!$B$1:$AB$65000,$B1211,Y$5)="",2,0)),0)</f>
        <v>0</v>
      </c>
      <c r="Z1211" s="194">
        <f>IFERROR(IF(INDEX([1]Pivot!$AD$1:$BE$65000,$B1211,Z$5)=1,1,IF(INDEX([1]Pivot!$B$1:$AB$65000,$B1211,Z$5)="",2,0)),0)</f>
        <v>0</v>
      </c>
      <c r="AA1211" s="194">
        <f>IFERROR(IF(INDEX([1]Pivot!$AD$1:$BE$65000,$B1211,AA$5)=1,1,IF(INDEX([1]Pivot!$B$1:$AB$65000,$B1211,AA$5)="",2,0)),0)</f>
        <v>0</v>
      </c>
      <c r="AB1211" s="194">
        <f>IFERROR(IF(INDEX([1]Pivot!$AD$1:$BE$65000,$B1211,AB$5)=1,1,IF(INDEX([1]Pivot!$B$1:$AB$65000,$B1211,AB$5)="",2,0)),0)</f>
        <v>0</v>
      </c>
      <c r="AC1211" s="194">
        <f>IFERROR(IF(INDEX([1]Pivot!$AD$1:$BE$65000,$B1211,AC$5)=1,1,IF(INDEX([1]Pivot!$B$1:$AB$65000,$B1211,AC$5)="",2,0)),0)</f>
        <v>0</v>
      </c>
      <c r="AD1211" s="313">
        <f>IFERROR(IF(INDEX([1]Pivot!$BF$1:$CG$65000,$B1211,AD$5)=1,1,IF(INDEX([1]Pivot!$B$1:$AB$65000,$B1211,AD$5)="",2,0)),0)</f>
        <v>0</v>
      </c>
      <c r="AE1211" s="313">
        <f>IFERROR(IF(INDEX([1]Pivot!$BF$1:$CG$65000,$B1211,AE$5)=1,1,IF(INDEX([1]Pivot!$B$1:$AB$65000,$B1211,AE$5)="",2,0)),0)</f>
        <v>0</v>
      </c>
      <c r="AF1211" s="313">
        <f>IFERROR(IF(INDEX([1]Pivot!$BF$1:$CG$65000,$B1211,AF$5)=1,1,IF(INDEX([1]Pivot!$B$1:$AB$65000,$B1211,AF$5)="",2,0)),0)</f>
        <v>0</v>
      </c>
      <c r="AG1211" s="313">
        <f>IFERROR(IF(INDEX([1]Pivot!$BF$1:$CG$65000,$B1211,AG$5)=1,1,IF(INDEX([1]Pivot!$B$1:$AB$65000,$B1211,AG$5)="",2,0)),0)</f>
        <v>0</v>
      </c>
      <c r="AH1211" s="313">
        <f>IFERROR(IF(INDEX([1]Pivot!$BF$1:$CG$65000,$B1211,AH$5)=1,1,IF(INDEX([1]Pivot!$B$1:$AB$65000,$B1211,AH$5)="",2,0)),0)</f>
        <v>0</v>
      </c>
      <c r="AI1211" s="313">
        <f>IFERROR(IF(INDEX([1]Pivot!$BF$1:$CG$65000,$B1211,AI$5)=1,1,IF(INDEX([1]Pivot!$B$1:$AB$65000,$B1211,AI$5)="",2,0)),0)</f>
        <v>0</v>
      </c>
      <c r="AJ1211" s="313">
        <f>IFERROR(IF(INDEX([1]Pivot!$BF$1:$CG$65000,$B1211,AJ$5)=1,1,IF(INDEX([1]Pivot!$B$1:$AB$65000,$B1211,AJ$5)="",2,0)),0)</f>
        <v>0</v>
      </c>
      <c r="AK1211" s="313">
        <f>IFERROR(IF(INDEX([1]Pivot!$BF$1:$CG$65000,$B1211,AK$5)=1,1,IF(INDEX([1]Pivot!$B$1:$AB$65000,$B1211,AK$5)="",2,0)),0)</f>
        <v>0</v>
      </c>
      <c r="AL1211" s="313">
        <f>IFERROR(IF(INDEX([1]Pivot!$BF$1:$CG$65000,$B1211,AL$5)=1,1,IF(INDEX([1]Pivot!$B$1:$AB$65000,$B1211,AL$5)="",2,0)),0)</f>
        <v>0</v>
      </c>
      <c r="AM1211" s="313">
        <f>IFERROR(IF(INDEX([1]Pivot!$BF$1:$CG$65000,$B1211,AM$5)=1,1,IF(INDEX([1]Pivot!$B$1:$AB$65000,$B1211,AM$5)="",2,0)),0)</f>
        <v>0</v>
      </c>
      <c r="AN1211" s="313">
        <f>IFERROR(IF(INDEX([1]Pivot!$BF$1:$CG$65000,$B1211,AN$5)=1,1,IF(INDEX([1]Pivot!$B$1:$AB$65000,$B1211,AN$5)="",2,0)),0)</f>
        <v>0</v>
      </c>
      <c r="AO1211" s="313">
        <f>IFERROR(IF(INDEX([1]Pivot!$BF$1:$CG$65000,$B1211,AO$5)=1,1,IF(INDEX([1]Pivot!$B$1:$AB$65000,$B1211,AO$5)="",2,0)),0)</f>
        <v>0</v>
      </c>
      <c r="AP1211" s="313">
        <f>IFERROR(IF(INDEX([1]Pivot!$BF$1:$CG$65000,$B1211,AP$5)=1,1,IF(INDEX([1]Pivot!$B$1:$AB$65000,$B1211,AP$5)="",2,0)),0)</f>
        <v>0</v>
      </c>
      <c r="AQ1211" s="313">
        <f>IFERROR(IF(INDEX([1]Pivot!$BF$1:$CG$65000,$B1211,AQ$5)=1,1,IF(INDEX([1]Pivot!$B$1:$AB$65000,$B1211,AQ$5)="",2,0)),0)</f>
        <v>0</v>
      </c>
      <c r="AR1211" s="313">
        <f>IFERROR(IF(INDEX([1]Pivot!$BF$1:$CG$65000,$B1211,AR$5)=1,1,IF(INDEX([1]Pivot!$B$1:$AB$65000,$B1211,AR$5)="",2,0)),0)</f>
        <v>0</v>
      </c>
      <c r="AS1211" s="312"/>
      <c r="AT1211" s="313">
        <f>IFERROR(IF(INDEX([1]Pivot!$BF$1:$CG$65000,$B1211,AT$5)=1,1,IF(INDEX([1]Pivot!$B$1:$AB$65000,$B1211,AT$5)="",2,0)),0)</f>
        <v>0</v>
      </c>
      <c r="AU1211" s="313">
        <f>IFERROR(IF(INDEX([1]Pivot!$BF$1:$CG$65000,$B1211,AU$5)=1,1,IF(INDEX([1]Pivot!$B$1:$AB$65000,$B1211,AU$5)="",2,0)),0)</f>
        <v>0</v>
      </c>
      <c r="AV1211" s="313">
        <f>IFERROR(IF(INDEX([1]Pivot!$BF$1:$CG$65000,$B1211,AV$5)=1,1,IF(INDEX([1]Pivot!$B$1:$AB$65000,$B1211,AV$5)="",2,0)),0)</f>
        <v>0</v>
      </c>
      <c r="AW1211" s="313">
        <f>IFERROR(IF(INDEX([1]Pivot!$BF$1:$CG$65000,$B1211,AW$5)=1,1,IF(INDEX([1]Pivot!$B$1:$AB$65000,$B1211,AW$5)="",2,0)),0)</f>
        <v>0</v>
      </c>
      <c r="AX1211" s="313">
        <f>IFERROR(IF(INDEX([1]Pivot!$BF$1:$CG$65000,$B1211,AX$5)=1,1,IF(INDEX([1]Pivot!$B$1:$AB$65000,$B1211,AX$5)="",2,0)),0)</f>
        <v>0</v>
      </c>
      <c r="AY1211" s="313">
        <f>IFERROR(IF(INDEX([1]Pivot!$BF$1:$CG$65000,$B1211,AY$5)=1,1,IF(INDEX([1]Pivot!$B$1:$AB$65000,$B1211,AY$5)="",2,0)),0)</f>
        <v>0</v>
      </c>
      <c r="AZ1211" s="313">
        <f>IFERROR(IF(INDEX([1]Pivot!$BF$1:$CG$65000,$B1211,AZ$5)=1,1,IF(INDEX([1]Pivot!$B$1:$AB$65000,$B1211,AZ$5)="",2,0)),0)</f>
        <v>0</v>
      </c>
      <c r="BA1211" s="313">
        <f>IFERROR(IF(INDEX([1]Pivot!$BF$1:$CG$65000,$B1211,BA$5)=1,1,IF(INDEX([1]Pivot!$B$1:$AB$65000,$B1211,BA$5)="",2,0)),0)</f>
        <v>0</v>
      </c>
      <c r="BB1211" s="313">
        <f>IFERROR(IF(INDEX([1]Pivot!$BF$1:$CG$65000,$B1211,BB$5)=1,1,IF(INDEX([1]Pivot!$B$1:$AB$65000,$B1211,BB$5)="",2,0)),0)</f>
        <v>0</v>
      </c>
      <c r="BC1211" s="313">
        <f>IFERROR(IF(INDEX([1]Pivot!$BF$1:$CG$65000,$B1211,BC$5)=1,1,IF(INDEX([1]Pivot!$B$1:$AB$65000,$B1211,BC$5)="",2,0)),0)</f>
        <v>0</v>
      </c>
      <c r="BD1211" s="313">
        <f>IFERROR(IF(INDEX([1]Pivot!$BF$1:$CG$65000,$B1211,BD$5)=1,1,IF(INDEX([1]Pivot!$B$1:$AB$65000,$B1211,BD$5)="",2,0)),0)</f>
        <v>0</v>
      </c>
    </row>
    <row r="1212" spans="1:56" x14ac:dyDescent="0.25">
      <c r="A1212" s="288">
        <f>'[2]Raw Milk Prices'!A1212</f>
        <v>0</v>
      </c>
      <c r="B1212" s="296" t="e">
        <f>MATCH(DATE(LEFT('[2]Raw Milk Prices'!$A1212,4),RIGHT('[2]Raw Milk Prices'!$A1212,2),1),[1]Pivot!$A$1:$A$65000,0)</f>
        <v>#VALUE!</v>
      </c>
      <c r="C1212" s="194">
        <f>IFERROR(IF(INDEX([1]Pivot!$AD$1:$BE$65000,$B1212,C$5)=1,1,IF(INDEX([1]Pivot!$B$1:$AB$65000,$B1212,C$5)="",2,0)),0)</f>
        <v>0</v>
      </c>
      <c r="D1212" s="194">
        <f>IFERROR(IF(INDEX([1]Pivot!$AD$1:$BE$65000,$B1212,D$5)=1,1,IF(INDEX([1]Pivot!$B$1:$AB$65000,$B1212,D$5)="",2,0)),0)</f>
        <v>0</v>
      </c>
      <c r="E1212" s="194">
        <f>IFERROR(IF(INDEX([1]Pivot!$AD$1:$BE$65000,$B1212,E$5)=1,1,IF(INDEX([1]Pivot!$B$1:$AB$65000,$B1212,E$5)="",2,0)),0)</f>
        <v>0</v>
      </c>
      <c r="F1212" s="194">
        <f>IFERROR(IF(INDEX([1]Pivot!$AD$1:$BE$65000,$B1212,F$5)=1,1,IF(INDEX([1]Pivot!$B$1:$AB$65000,$B1212,F$5)="",2,0)),0)</f>
        <v>0</v>
      </c>
      <c r="G1212" s="194">
        <f>IFERROR(IF(INDEX([1]Pivot!$AD$1:$BE$65000,$B1212,G$5)=1,1,IF(INDEX([1]Pivot!$B$1:$AB$65000,$B1212,G$5)="",2,0)),0)</f>
        <v>0</v>
      </c>
      <c r="H1212" s="194">
        <f>IFERROR(IF(INDEX([1]Pivot!$AD$1:$BE$65000,$B1212,H$5)=1,1,IF(INDEX([1]Pivot!$B$1:$AB$65000,$B1212,H$5)="",2,0)),0)</f>
        <v>0</v>
      </c>
      <c r="I1212" s="194">
        <f>IFERROR(IF(INDEX([1]Pivot!$AD$1:$BE$65000,$B1212,I$5)=1,1,IF(INDEX([1]Pivot!$B$1:$AB$65000,$B1212,I$5)="",2,0)),0)</f>
        <v>0</v>
      </c>
      <c r="J1212" s="194">
        <f>IFERROR(IF(INDEX([1]Pivot!$AD$1:$BE$65000,$B1212,J$5)=1,1,IF(INDEX([1]Pivot!$B$1:$AB$65000,$B1212,J$5)="",2,0)),0)</f>
        <v>0</v>
      </c>
      <c r="K1212" s="194">
        <f>IFERROR(IF(INDEX([1]Pivot!$AD$1:$BE$65000,$B1212,K$5)=1,1,IF(INDEX([1]Pivot!$B$1:$AB$65000,$B1212,K$5)="",2,0)),0)</f>
        <v>0</v>
      </c>
      <c r="L1212" s="194">
        <f>IFERROR(IF(INDEX([1]Pivot!$AD$1:$BE$65000,$B1212,L$5)=1,1,IF(INDEX([1]Pivot!$B$1:$AB$65000,$B1212,L$5)="",2,0)),0)</f>
        <v>0</v>
      </c>
      <c r="M1212" s="194">
        <f>IFERROR(IF(INDEX([1]Pivot!$AD$1:$BE$65000,$B1212,M$5)=1,1,IF(INDEX([1]Pivot!$B$1:$AB$65000,$B1212,M$5)="",2,0)),0)</f>
        <v>0</v>
      </c>
      <c r="N1212" s="194">
        <f>IFERROR(IF(INDEX([1]Pivot!$AD$1:$BE$65000,$B1212,N$5)=1,1,IF(INDEX([1]Pivot!$B$1:$AB$65000,$B1212,N$5)="",2,0)),0)</f>
        <v>0</v>
      </c>
      <c r="O1212" s="194">
        <f>IFERROR(IF(INDEX([1]Pivot!$AD$1:$BE$65000,$B1212,O$5)=1,1,IF(INDEX([1]Pivot!$B$1:$AB$65000,$B1212,O$5)="",2,0)),0)</f>
        <v>0</v>
      </c>
      <c r="P1212" s="194">
        <f>IFERROR(IF(INDEX([1]Pivot!$AD$1:$BE$65000,$B1212,P$5)=1,1,IF(INDEX([1]Pivot!$B$1:$AB$65000,$B1212,P$5)="",2,0)),0)</f>
        <v>0</v>
      </c>
      <c r="Q1212" s="194">
        <f>IFERROR(IF(INDEX([1]Pivot!$AD$1:$BE$65000,$B1212,Q$5)=1,1,IF(INDEX([1]Pivot!$B$1:$AB$65000,$B1212,Q$5)="",2,0)),0)</f>
        <v>0</v>
      </c>
      <c r="R1212" s="312"/>
      <c r="S1212" s="194">
        <f>IFERROR(IF(INDEX([1]Pivot!$AD$1:$BE$65000,$B1212,S$5)=1,1,IF(INDEX([1]Pivot!$B$1:$AB$65000,$B1212,S$5)="",2,0)),0)</f>
        <v>0</v>
      </c>
      <c r="T1212" s="194">
        <f>IFERROR(IF(INDEX([1]Pivot!$AD$1:$BE$65000,$B1212,T$5)=1,1,IF(INDEX([1]Pivot!$B$1:$AB$65000,$B1212,T$5)="",2,0)),0)</f>
        <v>0</v>
      </c>
      <c r="U1212" s="194">
        <f>IFERROR(IF(INDEX([1]Pivot!$AD$1:$BE$65000,$B1212,U$5)=1,1,IF(INDEX([1]Pivot!$B$1:$AB$65000,$B1212,U$5)="",2,0)),0)</f>
        <v>0</v>
      </c>
      <c r="V1212" s="194">
        <f>IFERROR(IF(INDEX([1]Pivot!$AD$1:$BE$65000,$B1212,V$5)=1,1,IF(INDEX([1]Pivot!$B$1:$AB$65000,$B1212,V$5)="",2,0)),0)</f>
        <v>0</v>
      </c>
      <c r="W1212" s="194">
        <f>IFERROR(IF(INDEX([1]Pivot!$AD$1:$BE$65000,$B1212,W$5)=1,1,IF(INDEX([1]Pivot!$B$1:$AB$65000,$B1212,W$5)="",2,0)),0)</f>
        <v>0</v>
      </c>
      <c r="X1212" s="194">
        <f>IFERROR(IF(INDEX([1]Pivot!$AD$1:$BE$65000,$B1212,X$5)=1,1,IF(INDEX([1]Pivot!$B$1:$AB$65000,$B1212,X$5)="",2,0)),0)</f>
        <v>0</v>
      </c>
      <c r="Y1212" s="194">
        <f>IFERROR(IF(INDEX([1]Pivot!$AD$1:$BE$65000,$B1212,Y$5)=1,1,IF(INDEX([1]Pivot!$B$1:$AB$65000,$B1212,Y$5)="",2,0)),0)</f>
        <v>0</v>
      </c>
      <c r="Z1212" s="194">
        <f>IFERROR(IF(INDEX([1]Pivot!$AD$1:$BE$65000,$B1212,Z$5)=1,1,IF(INDEX([1]Pivot!$B$1:$AB$65000,$B1212,Z$5)="",2,0)),0)</f>
        <v>0</v>
      </c>
      <c r="AA1212" s="194">
        <f>IFERROR(IF(INDEX([1]Pivot!$AD$1:$BE$65000,$B1212,AA$5)=1,1,IF(INDEX([1]Pivot!$B$1:$AB$65000,$B1212,AA$5)="",2,0)),0)</f>
        <v>0</v>
      </c>
      <c r="AB1212" s="194">
        <f>IFERROR(IF(INDEX([1]Pivot!$AD$1:$BE$65000,$B1212,AB$5)=1,1,IF(INDEX([1]Pivot!$B$1:$AB$65000,$B1212,AB$5)="",2,0)),0)</f>
        <v>0</v>
      </c>
      <c r="AC1212" s="194">
        <f>IFERROR(IF(INDEX([1]Pivot!$AD$1:$BE$65000,$B1212,AC$5)=1,1,IF(INDEX([1]Pivot!$B$1:$AB$65000,$B1212,AC$5)="",2,0)),0)</f>
        <v>0</v>
      </c>
      <c r="AD1212" s="313">
        <f>IFERROR(IF(INDEX([1]Pivot!$BF$1:$CG$65000,$B1212,AD$5)=1,1,IF(INDEX([1]Pivot!$B$1:$AB$65000,$B1212,AD$5)="",2,0)),0)</f>
        <v>0</v>
      </c>
      <c r="AE1212" s="313">
        <f>IFERROR(IF(INDEX([1]Pivot!$BF$1:$CG$65000,$B1212,AE$5)=1,1,IF(INDEX([1]Pivot!$B$1:$AB$65000,$B1212,AE$5)="",2,0)),0)</f>
        <v>0</v>
      </c>
      <c r="AF1212" s="313">
        <f>IFERROR(IF(INDEX([1]Pivot!$BF$1:$CG$65000,$B1212,AF$5)=1,1,IF(INDEX([1]Pivot!$B$1:$AB$65000,$B1212,AF$5)="",2,0)),0)</f>
        <v>0</v>
      </c>
      <c r="AG1212" s="313">
        <f>IFERROR(IF(INDEX([1]Pivot!$BF$1:$CG$65000,$B1212,AG$5)=1,1,IF(INDEX([1]Pivot!$B$1:$AB$65000,$B1212,AG$5)="",2,0)),0)</f>
        <v>0</v>
      </c>
      <c r="AH1212" s="313">
        <f>IFERROR(IF(INDEX([1]Pivot!$BF$1:$CG$65000,$B1212,AH$5)=1,1,IF(INDEX([1]Pivot!$B$1:$AB$65000,$B1212,AH$5)="",2,0)),0)</f>
        <v>0</v>
      </c>
      <c r="AI1212" s="313">
        <f>IFERROR(IF(INDEX([1]Pivot!$BF$1:$CG$65000,$B1212,AI$5)=1,1,IF(INDEX([1]Pivot!$B$1:$AB$65000,$B1212,AI$5)="",2,0)),0)</f>
        <v>0</v>
      </c>
      <c r="AJ1212" s="313">
        <f>IFERROR(IF(INDEX([1]Pivot!$BF$1:$CG$65000,$B1212,AJ$5)=1,1,IF(INDEX([1]Pivot!$B$1:$AB$65000,$B1212,AJ$5)="",2,0)),0)</f>
        <v>0</v>
      </c>
      <c r="AK1212" s="313">
        <f>IFERROR(IF(INDEX([1]Pivot!$BF$1:$CG$65000,$B1212,AK$5)=1,1,IF(INDEX([1]Pivot!$B$1:$AB$65000,$B1212,AK$5)="",2,0)),0)</f>
        <v>0</v>
      </c>
      <c r="AL1212" s="313">
        <f>IFERROR(IF(INDEX([1]Pivot!$BF$1:$CG$65000,$B1212,AL$5)=1,1,IF(INDEX([1]Pivot!$B$1:$AB$65000,$B1212,AL$5)="",2,0)),0)</f>
        <v>0</v>
      </c>
      <c r="AM1212" s="313">
        <f>IFERROR(IF(INDEX([1]Pivot!$BF$1:$CG$65000,$B1212,AM$5)=1,1,IF(INDEX([1]Pivot!$B$1:$AB$65000,$B1212,AM$5)="",2,0)),0)</f>
        <v>0</v>
      </c>
      <c r="AN1212" s="313">
        <f>IFERROR(IF(INDEX([1]Pivot!$BF$1:$CG$65000,$B1212,AN$5)=1,1,IF(INDEX([1]Pivot!$B$1:$AB$65000,$B1212,AN$5)="",2,0)),0)</f>
        <v>0</v>
      </c>
      <c r="AO1212" s="313">
        <f>IFERROR(IF(INDEX([1]Pivot!$BF$1:$CG$65000,$B1212,AO$5)=1,1,IF(INDEX([1]Pivot!$B$1:$AB$65000,$B1212,AO$5)="",2,0)),0)</f>
        <v>0</v>
      </c>
      <c r="AP1212" s="313">
        <f>IFERROR(IF(INDEX([1]Pivot!$BF$1:$CG$65000,$B1212,AP$5)=1,1,IF(INDEX([1]Pivot!$B$1:$AB$65000,$B1212,AP$5)="",2,0)),0)</f>
        <v>0</v>
      </c>
      <c r="AQ1212" s="313">
        <f>IFERROR(IF(INDEX([1]Pivot!$BF$1:$CG$65000,$B1212,AQ$5)=1,1,IF(INDEX([1]Pivot!$B$1:$AB$65000,$B1212,AQ$5)="",2,0)),0)</f>
        <v>0</v>
      </c>
      <c r="AR1212" s="313">
        <f>IFERROR(IF(INDEX([1]Pivot!$BF$1:$CG$65000,$B1212,AR$5)=1,1,IF(INDEX([1]Pivot!$B$1:$AB$65000,$B1212,AR$5)="",2,0)),0)</f>
        <v>0</v>
      </c>
      <c r="AS1212" s="312"/>
      <c r="AT1212" s="313">
        <f>IFERROR(IF(INDEX([1]Pivot!$BF$1:$CG$65000,$B1212,AT$5)=1,1,IF(INDEX([1]Pivot!$B$1:$AB$65000,$B1212,AT$5)="",2,0)),0)</f>
        <v>0</v>
      </c>
      <c r="AU1212" s="313">
        <f>IFERROR(IF(INDEX([1]Pivot!$BF$1:$CG$65000,$B1212,AU$5)=1,1,IF(INDEX([1]Pivot!$B$1:$AB$65000,$B1212,AU$5)="",2,0)),0)</f>
        <v>0</v>
      </c>
      <c r="AV1212" s="313">
        <f>IFERROR(IF(INDEX([1]Pivot!$BF$1:$CG$65000,$B1212,AV$5)=1,1,IF(INDEX([1]Pivot!$B$1:$AB$65000,$B1212,AV$5)="",2,0)),0)</f>
        <v>0</v>
      </c>
      <c r="AW1212" s="313">
        <f>IFERROR(IF(INDEX([1]Pivot!$BF$1:$CG$65000,$B1212,AW$5)=1,1,IF(INDEX([1]Pivot!$B$1:$AB$65000,$B1212,AW$5)="",2,0)),0)</f>
        <v>0</v>
      </c>
      <c r="AX1212" s="313">
        <f>IFERROR(IF(INDEX([1]Pivot!$BF$1:$CG$65000,$B1212,AX$5)=1,1,IF(INDEX([1]Pivot!$B$1:$AB$65000,$B1212,AX$5)="",2,0)),0)</f>
        <v>0</v>
      </c>
      <c r="AY1212" s="313">
        <f>IFERROR(IF(INDEX([1]Pivot!$BF$1:$CG$65000,$B1212,AY$5)=1,1,IF(INDEX([1]Pivot!$B$1:$AB$65000,$B1212,AY$5)="",2,0)),0)</f>
        <v>0</v>
      </c>
      <c r="AZ1212" s="313">
        <f>IFERROR(IF(INDEX([1]Pivot!$BF$1:$CG$65000,$B1212,AZ$5)=1,1,IF(INDEX([1]Pivot!$B$1:$AB$65000,$B1212,AZ$5)="",2,0)),0)</f>
        <v>0</v>
      </c>
      <c r="BA1212" s="313">
        <f>IFERROR(IF(INDEX([1]Pivot!$BF$1:$CG$65000,$B1212,BA$5)=1,1,IF(INDEX([1]Pivot!$B$1:$AB$65000,$B1212,BA$5)="",2,0)),0)</f>
        <v>0</v>
      </c>
      <c r="BB1212" s="313">
        <f>IFERROR(IF(INDEX([1]Pivot!$BF$1:$CG$65000,$B1212,BB$5)=1,1,IF(INDEX([1]Pivot!$B$1:$AB$65000,$B1212,BB$5)="",2,0)),0)</f>
        <v>0</v>
      </c>
      <c r="BC1212" s="313">
        <f>IFERROR(IF(INDEX([1]Pivot!$BF$1:$CG$65000,$B1212,BC$5)=1,1,IF(INDEX([1]Pivot!$B$1:$AB$65000,$B1212,BC$5)="",2,0)),0)</f>
        <v>0</v>
      </c>
      <c r="BD1212" s="313">
        <f>IFERROR(IF(INDEX([1]Pivot!$BF$1:$CG$65000,$B1212,BD$5)=1,1,IF(INDEX([1]Pivot!$B$1:$AB$65000,$B1212,BD$5)="",2,0)),0)</f>
        <v>0</v>
      </c>
    </row>
    <row r="1213" spans="1:56" x14ac:dyDescent="0.25">
      <c r="A1213" s="288">
        <f>'[2]Raw Milk Prices'!A1213</f>
        <v>0</v>
      </c>
      <c r="B1213" s="296" t="e">
        <f>MATCH(DATE(LEFT('[2]Raw Milk Prices'!$A1213,4),RIGHT('[2]Raw Milk Prices'!$A1213,2),1),[1]Pivot!$A$1:$A$65000,0)</f>
        <v>#VALUE!</v>
      </c>
      <c r="C1213" s="194">
        <f>IFERROR(IF(INDEX([1]Pivot!$AD$1:$BE$65000,$B1213,C$5)=1,1,IF(INDEX([1]Pivot!$B$1:$AB$65000,$B1213,C$5)="",2,0)),0)</f>
        <v>0</v>
      </c>
      <c r="D1213" s="194">
        <f>IFERROR(IF(INDEX([1]Pivot!$AD$1:$BE$65000,$B1213,D$5)=1,1,IF(INDEX([1]Pivot!$B$1:$AB$65000,$B1213,D$5)="",2,0)),0)</f>
        <v>0</v>
      </c>
      <c r="E1213" s="194">
        <f>IFERROR(IF(INDEX([1]Pivot!$AD$1:$BE$65000,$B1213,E$5)=1,1,IF(INDEX([1]Pivot!$B$1:$AB$65000,$B1213,E$5)="",2,0)),0)</f>
        <v>0</v>
      </c>
      <c r="F1213" s="194">
        <f>IFERROR(IF(INDEX([1]Pivot!$AD$1:$BE$65000,$B1213,F$5)=1,1,IF(INDEX([1]Pivot!$B$1:$AB$65000,$B1213,F$5)="",2,0)),0)</f>
        <v>0</v>
      </c>
      <c r="G1213" s="194">
        <f>IFERROR(IF(INDEX([1]Pivot!$AD$1:$BE$65000,$B1213,G$5)=1,1,IF(INDEX([1]Pivot!$B$1:$AB$65000,$B1213,G$5)="",2,0)),0)</f>
        <v>0</v>
      </c>
      <c r="H1213" s="194">
        <f>IFERROR(IF(INDEX([1]Pivot!$AD$1:$BE$65000,$B1213,H$5)=1,1,IF(INDEX([1]Pivot!$B$1:$AB$65000,$B1213,H$5)="",2,0)),0)</f>
        <v>0</v>
      </c>
      <c r="I1213" s="194">
        <f>IFERROR(IF(INDEX([1]Pivot!$AD$1:$BE$65000,$B1213,I$5)=1,1,IF(INDEX([1]Pivot!$B$1:$AB$65000,$B1213,I$5)="",2,0)),0)</f>
        <v>0</v>
      </c>
      <c r="J1213" s="194">
        <f>IFERROR(IF(INDEX([1]Pivot!$AD$1:$BE$65000,$B1213,J$5)=1,1,IF(INDEX([1]Pivot!$B$1:$AB$65000,$B1213,J$5)="",2,0)),0)</f>
        <v>0</v>
      </c>
      <c r="K1213" s="194">
        <f>IFERROR(IF(INDEX([1]Pivot!$AD$1:$BE$65000,$B1213,K$5)=1,1,IF(INDEX([1]Pivot!$B$1:$AB$65000,$B1213,K$5)="",2,0)),0)</f>
        <v>0</v>
      </c>
      <c r="L1213" s="194">
        <f>IFERROR(IF(INDEX([1]Pivot!$AD$1:$BE$65000,$B1213,L$5)=1,1,IF(INDEX([1]Pivot!$B$1:$AB$65000,$B1213,L$5)="",2,0)),0)</f>
        <v>0</v>
      </c>
      <c r="M1213" s="194">
        <f>IFERROR(IF(INDEX([1]Pivot!$AD$1:$BE$65000,$B1213,M$5)=1,1,IF(INDEX([1]Pivot!$B$1:$AB$65000,$B1213,M$5)="",2,0)),0)</f>
        <v>0</v>
      </c>
      <c r="N1213" s="194">
        <f>IFERROR(IF(INDEX([1]Pivot!$AD$1:$BE$65000,$B1213,N$5)=1,1,IF(INDEX([1]Pivot!$B$1:$AB$65000,$B1213,N$5)="",2,0)),0)</f>
        <v>0</v>
      </c>
      <c r="O1213" s="194">
        <f>IFERROR(IF(INDEX([1]Pivot!$AD$1:$BE$65000,$B1213,O$5)=1,1,IF(INDEX([1]Pivot!$B$1:$AB$65000,$B1213,O$5)="",2,0)),0)</f>
        <v>0</v>
      </c>
      <c r="P1213" s="194">
        <f>IFERROR(IF(INDEX([1]Pivot!$AD$1:$BE$65000,$B1213,P$5)=1,1,IF(INDEX([1]Pivot!$B$1:$AB$65000,$B1213,P$5)="",2,0)),0)</f>
        <v>0</v>
      </c>
      <c r="Q1213" s="194">
        <f>IFERROR(IF(INDEX([1]Pivot!$AD$1:$BE$65000,$B1213,Q$5)=1,1,IF(INDEX([1]Pivot!$B$1:$AB$65000,$B1213,Q$5)="",2,0)),0)</f>
        <v>0</v>
      </c>
      <c r="R1213" s="312"/>
      <c r="S1213" s="194">
        <f>IFERROR(IF(INDEX([1]Pivot!$AD$1:$BE$65000,$B1213,S$5)=1,1,IF(INDEX([1]Pivot!$B$1:$AB$65000,$B1213,S$5)="",2,0)),0)</f>
        <v>0</v>
      </c>
      <c r="T1213" s="194">
        <f>IFERROR(IF(INDEX([1]Pivot!$AD$1:$BE$65000,$B1213,T$5)=1,1,IF(INDEX([1]Pivot!$B$1:$AB$65000,$B1213,T$5)="",2,0)),0)</f>
        <v>0</v>
      </c>
      <c r="U1213" s="194">
        <f>IFERROR(IF(INDEX([1]Pivot!$AD$1:$BE$65000,$B1213,U$5)=1,1,IF(INDEX([1]Pivot!$B$1:$AB$65000,$B1213,U$5)="",2,0)),0)</f>
        <v>0</v>
      </c>
      <c r="V1213" s="194">
        <f>IFERROR(IF(INDEX([1]Pivot!$AD$1:$BE$65000,$B1213,V$5)=1,1,IF(INDEX([1]Pivot!$B$1:$AB$65000,$B1213,V$5)="",2,0)),0)</f>
        <v>0</v>
      </c>
      <c r="W1213" s="194">
        <f>IFERROR(IF(INDEX([1]Pivot!$AD$1:$BE$65000,$B1213,W$5)=1,1,IF(INDEX([1]Pivot!$B$1:$AB$65000,$B1213,W$5)="",2,0)),0)</f>
        <v>0</v>
      </c>
      <c r="X1213" s="194">
        <f>IFERROR(IF(INDEX([1]Pivot!$AD$1:$BE$65000,$B1213,X$5)=1,1,IF(INDEX([1]Pivot!$B$1:$AB$65000,$B1213,X$5)="",2,0)),0)</f>
        <v>0</v>
      </c>
      <c r="Y1213" s="194">
        <f>IFERROR(IF(INDEX([1]Pivot!$AD$1:$BE$65000,$B1213,Y$5)=1,1,IF(INDEX([1]Pivot!$B$1:$AB$65000,$B1213,Y$5)="",2,0)),0)</f>
        <v>0</v>
      </c>
      <c r="Z1213" s="194">
        <f>IFERROR(IF(INDEX([1]Pivot!$AD$1:$BE$65000,$B1213,Z$5)=1,1,IF(INDEX([1]Pivot!$B$1:$AB$65000,$B1213,Z$5)="",2,0)),0)</f>
        <v>0</v>
      </c>
      <c r="AA1213" s="194">
        <f>IFERROR(IF(INDEX([1]Pivot!$AD$1:$BE$65000,$B1213,AA$5)=1,1,IF(INDEX([1]Pivot!$B$1:$AB$65000,$B1213,AA$5)="",2,0)),0)</f>
        <v>0</v>
      </c>
      <c r="AB1213" s="194">
        <f>IFERROR(IF(INDEX([1]Pivot!$AD$1:$BE$65000,$B1213,AB$5)=1,1,IF(INDEX([1]Pivot!$B$1:$AB$65000,$B1213,AB$5)="",2,0)),0)</f>
        <v>0</v>
      </c>
      <c r="AC1213" s="194">
        <f>IFERROR(IF(INDEX([1]Pivot!$AD$1:$BE$65000,$B1213,AC$5)=1,1,IF(INDEX([1]Pivot!$B$1:$AB$65000,$B1213,AC$5)="",2,0)),0)</f>
        <v>0</v>
      </c>
      <c r="AD1213" s="313">
        <f>IFERROR(IF(INDEX([1]Pivot!$BF$1:$CG$65000,$B1213,AD$5)=1,1,IF(INDEX([1]Pivot!$B$1:$AB$65000,$B1213,AD$5)="",2,0)),0)</f>
        <v>0</v>
      </c>
      <c r="AE1213" s="313">
        <f>IFERROR(IF(INDEX([1]Pivot!$BF$1:$CG$65000,$B1213,AE$5)=1,1,IF(INDEX([1]Pivot!$B$1:$AB$65000,$B1213,AE$5)="",2,0)),0)</f>
        <v>0</v>
      </c>
      <c r="AF1213" s="313">
        <f>IFERROR(IF(INDEX([1]Pivot!$BF$1:$CG$65000,$B1213,AF$5)=1,1,IF(INDEX([1]Pivot!$B$1:$AB$65000,$B1213,AF$5)="",2,0)),0)</f>
        <v>0</v>
      </c>
      <c r="AG1213" s="313">
        <f>IFERROR(IF(INDEX([1]Pivot!$BF$1:$CG$65000,$B1213,AG$5)=1,1,IF(INDEX([1]Pivot!$B$1:$AB$65000,$B1213,AG$5)="",2,0)),0)</f>
        <v>0</v>
      </c>
      <c r="AH1213" s="313">
        <f>IFERROR(IF(INDEX([1]Pivot!$BF$1:$CG$65000,$B1213,AH$5)=1,1,IF(INDEX([1]Pivot!$B$1:$AB$65000,$B1213,AH$5)="",2,0)),0)</f>
        <v>0</v>
      </c>
      <c r="AI1213" s="313">
        <f>IFERROR(IF(INDEX([1]Pivot!$BF$1:$CG$65000,$B1213,AI$5)=1,1,IF(INDEX([1]Pivot!$B$1:$AB$65000,$B1213,AI$5)="",2,0)),0)</f>
        <v>0</v>
      </c>
      <c r="AJ1213" s="313">
        <f>IFERROR(IF(INDEX([1]Pivot!$BF$1:$CG$65000,$B1213,AJ$5)=1,1,IF(INDEX([1]Pivot!$B$1:$AB$65000,$B1213,AJ$5)="",2,0)),0)</f>
        <v>0</v>
      </c>
      <c r="AK1213" s="313">
        <f>IFERROR(IF(INDEX([1]Pivot!$BF$1:$CG$65000,$B1213,AK$5)=1,1,IF(INDEX([1]Pivot!$B$1:$AB$65000,$B1213,AK$5)="",2,0)),0)</f>
        <v>0</v>
      </c>
      <c r="AL1213" s="313">
        <f>IFERROR(IF(INDEX([1]Pivot!$BF$1:$CG$65000,$B1213,AL$5)=1,1,IF(INDEX([1]Pivot!$B$1:$AB$65000,$B1213,AL$5)="",2,0)),0)</f>
        <v>0</v>
      </c>
      <c r="AM1213" s="313">
        <f>IFERROR(IF(INDEX([1]Pivot!$BF$1:$CG$65000,$B1213,AM$5)=1,1,IF(INDEX([1]Pivot!$B$1:$AB$65000,$B1213,AM$5)="",2,0)),0)</f>
        <v>0</v>
      </c>
      <c r="AN1213" s="313">
        <f>IFERROR(IF(INDEX([1]Pivot!$BF$1:$CG$65000,$B1213,AN$5)=1,1,IF(INDEX([1]Pivot!$B$1:$AB$65000,$B1213,AN$5)="",2,0)),0)</f>
        <v>0</v>
      </c>
      <c r="AO1213" s="313">
        <f>IFERROR(IF(INDEX([1]Pivot!$BF$1:$CG$65000,$B1213,AO$5)=1,1,IF(INDEX([1]Pivot!$B$1:$AB$65000,$B1213,AO$5)="",2,0)),0)</f>
        <v>0</v>
      </c>
      <c r="AP1213" s="313">
        <f>IFERROR(IF(INDEX([1]Pivot!$BF$1:$CG$65000,$B1213,AP$5)=1,1,IF(INDEX([1]Pivot!$B$1:$AB$65000,$B1213,AP$5)="",2,0)),0)</f>
        <v>0</v>
      </c>
      <c r="AQ1213" s="313">
        <f>IFERROR(IF(INDEX([1]Pivot!$BF$1:$CG$65000,$B1213,AQ$5)=1,1,IF(INDEX([1]Pivot!$B$1:$AB$65000,$B1213,AQ$5)="",2,0)),0)</f>
        <v>0</v>
      </c>
      <c r="AR1213" s="313">
        <f>IFERROR(IF(INDEX([1]Pivot!$BF$1:$CG$65000,$B1213,AR$5)=1,1,IF(INDEX([1]Pivot!$B$1:$AB$65000,$B1213,AR$5)="",2,0)),0)</f>
        <v>0</v>
      </c>
      <c r="AS1213" s="312"/>
      <c r="AT1213" s="313">
        <f>IFERROR(IF(INDEX([1]Pivot!$BF$1:$CG$65000,$B1213,AT$5)=1,1,IF(INDEX([1]Pivot!$B$1:$AB$65000,$B1213,AT$5)="",2,0)),0)</f>
        <v>0</v>
      </c>
      <c r="AU1213" s="313">
        <f>IFERROR(IF(INDEX([1]Pivot!$BF$1:$CG$65000,$B1213,AU$5)=1,1,IF(INDEX([1]Pivot!$B$1:$AB$65000,$B1213,AU$5)="",2,0)),0)</f>
        <v>0</v>
      </c>
      <c r="AV1213" s="313">
        <f>IFERROR(IF(INDEX([1]Pivot!$BF$1:$CG$65000,$B1213,AV$5)=1,1,IF(INDEX([1]Pivot!$B$1:$AB$65000,$B1213,AV$5)="",2,0)),0)</f>
        <v>0</v>
      </c>
      <c r="AW1213" s="313">
        <f>IFERROR(IF(INDEX([1]Pivot!$BF$1:$CG$65000,$B1213,AW$5)=1,1,IF(INDEX([1]Pivot!$B$1:$AB$65000,$B1213,AW$5)="",2,0)),0)</f>
        <v>0</v>
      </c>
      <c r="AX1213" s="313">
        <f>IFERROR(IF(INDEX([1]Pivot!$BF$1:$CG$65000,$B1213,AX$5)=1,1,IF(INDEX([1]Pivot!$B$1:$AB$65000,$B1213,AX$5)="",2,0)),0)</f>
        <v>0</v>
      </c>
      <c r="AY1213" s="313">
        <f>IFERROR(IF(INDEX([1]Pivot!$BF$1:$CG$65000,$B1213,AY$5)=1,1,IF(INDEX([1]Pivot!$B$1:$AB$65000,$B1213,AY$5)="",2,0)),0)</f>
        <v>0</v>
      </c>
      <c r="AZ1213" s="313">
        <f>IFERROR(IF(INDEX([1]Pivot!$BF$1:$CG$65000,$B1213,AZ$5)=1,1,IF(INDEX([1]Pivot!$B$1:$AB$65000,$B1213,AZ$5)="",2,0)),0)</f>
        <v>0</v>
      </c>
      <c r="BA1213" s="313">
        <f>IFERROR(IF(INDEX([1]Pivot!$BF$1:$CG$65000,$B1213,BA$5)=1,1,IF(INDEX([1]Pivot!$B$1:$AB$65000,$B1213,BA$5)="",2,0)),0)</f>
        <v>0</v>
      </c>
      <c r="BB1213" s="313">
        <f>IFERROR(IF(INDEX([1]Pivot!$BF$1:$CG$65000,$B1213,BB$5)=1,1,IF(INDEX([1]Pivot!$B$1:$AB$65000,$B1213,BB$5)="",2,0)),0)</f>
        <v>0</v>
      </c>
      <c r="BC1213" s="313">
        <f>IFERROR(IF(INDEX([1]Pivot!$BF$1:$CG$65000,$B1213,BC$5)=1,1,IF(INDEX([1]Pivot!$B$1:$AB$65000,$B1213,BC$5)="",2,0)),0)</f>
        <v>0</v>
      </c>
      <c r="BD1213" s="313">
        <f>IFERROR(IF(INDEX([1]Pivot!$BF$1:$CG$65000,$B1213,BD$5)=1,1,IF(INDEX([1]Pivot!$B$1:$AB$65000,$B1213,BD$5)="",2,0)),0)</f>
        <v>0</v>
      </c>
    </row>
    <row r="1214" spans="1:56" x14ac:dyDescent="0.25">
      <c r="A1214" s="288">
        <f>'[2]Raw Milk Prices'!A1214</f>
        <v>0</v>
      </c>
      <c r="B1214" s="296" t="e">
        <f>MATCH(DATE(LEFT('[2]Raw Milk Prices'!$A1214,4),RIGHT('[2]Raw Milk Prices'!$A1214,2),1),[1]Pivot!$A$1:$A$65000,0)</f>
        <v>#VALUE!</v>
      </c>
      <c r="C1214" s="194">
        <f>IFERROR(IF(INDEX([1]Pivot!$AD$1:$BE$65000,$B1214,C$5)=1,1,IF(INDEX([1]Pivot!$B$1:$AB$65000,$B1214,C$5)="",2,0)),0)</f>
        <v>0</v>
      </c>
      <c r="D1214" s="194">
        <f>IFERROR(IF(INDEX([1]Pivot!$AD$1:$BE$65000,$B1214,D$5)=1,1,IF(INDEX([1]Pivot!$B$1:$AB$65000,$B1214,D$5)="",2,0)),0)</f>
        <v>0</v>
      </c>
      <c r="E1214" s="194">
        <f>IFERROR(IF(INDEX([1]Pivot!$AD$1:$BE$65000,$B1214,E$5)=1,1,IF(INDEX([1]Pivot!$B$1:$AB$65000,$B1214,E$5)="",2,0)),0)</f>
        <v>0</v>
      </c>
      <c r="F1214" s="194">
        <f>IFERROR(IF(INDEX([1]Pivot!$AD$1:$BE$65000,$B1214,F$5)=1,1,IF(INDEX([1]Pivot!$B$1:$AB$65000,$B1214,F$5)="",2,0)),0)</f>
        <v>0</v>
      </c>
      <c r="G1214" s="194">
        <f>IFERROR(IF(INDEX([1]Pivot!$AD$1:$BE$65000,$B1214,G$5)=1,1,IF(INDEX([1]Pivot!$B$1:$AB$65000,$B1214,G$5)="",2,0)),0)</f>
        <v>0</v>
      </c>
      <c r="H1214" s="194">
        <f>IFERROR(IF(INDEX([1]Pivot!$AD$1:$BE$65000,$B1214,H$5)=1,1,IF(INDEX([1]Pivot!$B$1:$AB$65000,$B1214,H$5)="",2,0)),0)</f>
        <v>0</v>
      </c>
      <c r="I1214" s="194">
        <f>IFERROR(IF(INDEX([1]Pivot!$AD$1:$BE$65000,$B1214,I$5)=1,1,IF(INDEX([1]Pivot!$B$1:$AB$65000,$B1214,I$5)="",2,0)),0)</f>
        <v>0</v>
      </c>
      <c r="J1214" s="194">
        <f>IFERROR(IF(INDEX([1]Pivot!$AD$1:$BE$65000,$B1214,J$5)=1,1,IF(INDEX([1]Pivot!$B$1:$AB$65000,$B1214,J$5)="",2,0)),0)</f>
        <v>0</v>
      </c>
      <c r="K1214" s="194">
        <f>IFERROR(IF(INDEX([1]Pivot!$AD$1:$BE$65000,$B1214,K$5)=1,1,IF(INDEX([1]Pivot!$B$1:$AB$65000,$B1214,K$5)="",2,0)),0)</f>
        <v>0</v>
      </c>
      <c r="L1214" s="194">
        <f>IFERROR(IF(INDEX([1]Pivot!$AD$1:$BE$65000,$B1214,L$5)=1,1,IF(INDEX([1]Pivot!$B$1:$AB$65000,$B1214,L$5)="",2,0)),0)</f>
        <v>0</v>
      </c>
      <c r="M1214" s="194">
        <f>IFERROR(IF(INDEX([1]Pivot!$AD$1:$BE$65000,$B1214,M$5)=1,1,IF(INDEX([1]Pivot!$B$1:$AB$65000,$B1214,M$5)="",2,0)),0)</f>
        <v>0</v>
      </c>
      <c r="N1214" s="194">
        <f>IFERROR(IF(INDEX([1]Pivot!$AD$1:$BE$65000,$B1214,N$5)=1,1,IF(INDEX([1]Pivot!$B$1:$AB$65000,$B1214,N$5)="",2,0)),0)</f>
        <v>0</v>
      </c>
      <c r="O1214" s="194">
        <f>IFERROR(IF(INDEX([1]Pivot!$AD$1:$BE$65000,$B1214,O$5)=1,1,IF(INDEX([1]Pivot!$B$1:$AB$65000,$B1214,O$5)="",2,0)),0)</f>
        <v>0</v>
      </c>
      <c r="P1214" s="194">
        <f>IFERROR(IF(INDEX([1]Pivot!$AD$1:$BE$65000,$B1214,P$5)=1,1,IF(INDEX([1]Pivot!$B$1:$AB$65000,$B1214,P$5)="",2,0)),0)</f>
        <v>0</v>
      </c>
      <c r="Q1214" s="194">
        <f>IFERROR(IF(INDEX([1]Pivot!$AD$1:$BE$65000,$B1214,Q$5)=1,1,IF(INDEX([1]Pivot!$B$1:$AB$65000,$B1214,Q$5)="",2,0)),0)</f>
        <v>0</v>
      </c>
      <c r="R1214" s="312"/>
      <c r="S1214" s="194">
        <f>IFERROR(IF(INDEX([1]Pivot!$AD$1:$BE$65000,$B1214,S$5)=1,1,IF(INDEX([1]Pivot!$B$1:$AB$65000,$B1214,S$5)="",2,0)),0)</f>
        <v>0</v>
      </c>
      <c r="T1214" s="194">
        <f>IFERROR(IF(INDEX([1]Pivot!$AD$1:$BE$65000,$B1214,T$5)=1,1,IF(INDEX([1]Pivot!$B$1:$AB$65000,$B1214,T$5)="",2,0)),0)</f>
        <v>0</v>
      </c>
      <c r="U1214" s="194">
        <f>IFERROR(IF(INDEX([1]Pivot!$AD$1:$BE$65000,$B1214,U$5)=1,1,IF(INDEX([1]Pivot!$B$1:$AB$65000,$B1214,U$5)="",2,0)),0)</f>
        <v>0</v>
      </c>
      <c r="V1214" s="194">
        <f>IFERROR(IF(INDEX([1]Pivot!$AD$1:$BE$65000,$B1214,V$5)=1,1,IF(INDEX([1]Pivot!$B$1:$AB$65000,$B1214,V$5)="",2,0)),0)</f>
        <v>0</v>
      </c>
      <c r="W1214" s="194">
        <f>IFERROR(IF(INDEX([1]Pivot!$AD$1:$BE$65000,$B1214,W$5)=1,1,IF(INDEX([1]Pivot!$B$1:$AB$65000,$B1214,W$5)="",2,0)),0)</f>
        <v>0</v>
      </c>
      <c r="X1214" s="194">
        <f>IFERROR(IF(INDEX([1]Pivot!$AD$1:$BE$65000,$B1214,X$5)=1,1,IF(INDEX([1]Pivot!$B$1:$AB$65000,$B1214,X$5)="",2,0)),0)</f>
        <v>0</v>
      </c>
      <c r="Y1214" s="194">
        <f>IFERROR(IF(INDEX([1]Pivot!$AD$1:$BE$65000,$B1214,Y$5)=1,1,IF(INDEX([1]Pivot!$B$1:$AB$65000,$B1214,Y$5)="",2,0)),0)</f>
        <v>0</v>
      </c>
      <c r="Z1214" s="194">
        <f>IFERROR(IF(INDEX([1]Pivot!$AD$1:$BE$65000,$B1214,Z$5)=1,1,IF(INDEX([1]Pivot!$B$1:$AB$65000,$B1214,Z$5)="",2,0)),0)</f>
        <v>0</v>
      </c>
      <c r="AA1214" s="194">
        <f>IFERROR(IF(INDEX([1]Pivot!$AD$1:$BE$65000,$B1214,AA$5)=1,1,IF(INDEX([1]Pivot!$B$1:$AB$65000,$B1214,AA$5)="",2,0)),0)</f>
        <v>0</v>
      </c>
      <c r="AB1214" s="194">
        <f>IFERROR(IF(INDEX([1]Pivot!$AD$1:$BE$65000,$B1214,AB$5)=1,1,IF(INDEX([1]Pivot!$B$1:$AB$65000,$B1214,AB$5)="",2,0)),0)</f>
        <v>0</v>
      </c>
      <c r="AC1214" s="194">
        <f>IFERROR(IF(INDEX([1]Pivot!$AD$1:$BE$65000,$B1214,AC$5)=1,1,IF(INDEX([1]Pivot!$B$1:$AB$65000,$B1214,AC$5)="",2,0)),0)</f>
        <v>0</v>
      </c>
      <c r="AD1214" s="313">
        <f>IFERROR(IF(INDEX([1]Pivot!$BF$1:$CG$65000,$B1214,AD$5)=1,1,IF(INDEX([1]Pivot!$B$1:$AB$65000,$B1214,AD$5)="",2,0)),0)</f>
        <v>0</v>
      </c>
      <c r="AE1214" s="313">
        <f>IFERROR(IF(INDEX([1]Pivot!$BF$1:$CG$65000,$B1214,AE$5)=1,1,IF(INDEX([1]Pivot!$B$1:$AB$65000,$B1214,AE$5)="",2,0)),0)</f>
        <v>0</v>
      </c>
      <c r="AF1214" s="313">
        <f>IFERROR(IF(INDEX([1]Pivot!$BF$1:$CG$65000,$B1214,AF$5)=1,1,IF(INDEX([1]Pivot!$B$1:$AB$65000,$B1214,AF$5)="",2,0)),0)</f>
        <v>0</v>
      </c>
      <c r="AG1214" s="313">
        <f>IFERROR(IF(INDEX([1]Pivot!$BF$1:$CG$65000,$B1214,AG$5)=1,1,IF(INDEX([1]Pivot!$B$1:$AB$65000,$B1214,AG$5)="",2,0)),0)</f>
        <v>0</v>
      </c>
      <c r="AH1214" s="313">
        <f>IFERROR(IF(INDEX([1]Pivot!$BF$1:$CG$65000,$B1214,AH$5)=1,1,IF(INDEX([1]Pivot!$B$1:$AB$65000,$B1214,AH$5)="",2,0)),0)</f>
        <v>0</v>
      </c>
      <c r="AI1214" s="313">
        <f>IFERROR(IF(INDEX([1]Pivot!$BF$1:$CG$65000,$B1214,AI$5)=1,1,IF(INDEX([1]Pivot!$B$1:$AB$65000,$B1214,AI$5)="",2,0)),0)</f>
        <v>0</v>
      </c>
      <c r="AJ1214" s="313">
        <f>IFERROR(IF(INDEX([1]Pivot!$BF$1:$CG$65000,$B1214,AJ$5)=1,1,IF(INDEX([1]Pivot!$B$1:$AB$65000,$B1214,AJ$5)="",2,0)),0)</f>
        <v>0</v>
      </c>
      <c r="AK1214" s="313">
        <f>IFERROR(IF(INDEX([1]Pivot!$BF$1:$CG$65000,$B1214,AK$5)=1,1,IF(INDEX([1]Pivot!$B$1:$AB$65000,$B1214,AK$5)="",2,0)),0)</f>
        <v>0</v>
      </c>
      <c r="AL1214" s="313">
        <f>IFERROR(IF(INDEX([1]Pivot!$BF$1:$CG$65000,$B1214,AL$5)=1,1,IF(INDEX([1]Pivot!$B$1:$AB$65000,$B1214,AL$5)="",2,0)),0)</f>
        <v>0</v>
      </c>
      <c r="AM1214" s="313">
        <f>IFERROR(IF(INDEX([1]Pivot!$BF$1:$CG$65000,$B1214,AM$5)=1,1,IF(INDEX([1]Pivot!$B$1:$AB$65000,$B1214,AM$5)="",2,0)),0)</f>
        <v>0</v>
      </c>
      <c r="AN1214" s="313">
        <f>IFERROR(IF(INDEX([1]Pivot!$BF$1:$CG$65000,$B1214,AN$5)=1,1,IF(INDEX([1]Pivot!$B$1:$AB$65000,$B1214,AN$5)="",2,0)),0)</f>
        <v>0</v>
      </c>
      <c r="AO1214" s="313">
        <f>IFERROR(IF(INDEX([1]Pivot!$BF$1:$CG$65000,$B1214,AO$5)=1,1,IF(INDEX([1]Pivot!$B$1:$AB$65000,$B1214,AO$5)="",2,0)),0)</f>
        <v>0</v>
      </c>
      <c r="AP1214" s="313">
        <f>IFERROR(IF(INDEX([1]Pivot!$BF$1:$CG$65000,$B1214,AP$5)=1,1,IF(INDEX([1]Pivot!$B$1:$AB$65000,$B1214,AP$5)="",2,0)),0)</f>
        <v>0</v>
      </c>
      <c r="AQ1214" s="313">
        <f>IFERROR(IF(INDEX([1]Pivot!$BF$1:$CG$65000,$B1214,AQ$5)=1,1,IF(INDEX([1]Pivot!$B$1:$AB$65000,$B1214,AQ$5)="",2,0)),0)</f>
        <v>0</v>
      </c>
      <c r="AR1214" s="313">
        <f>IFERROR(IF(INDEX([1]Pivot!$BF$1:$CG$65000,$B1214,AR$5)=1,1,IF(INDEX([1]Pivot!$B$1:$AB$65000,$B1214,AR$5)="",2,0)),0)</f>
        <v>0</v>
      </c>
      <c r="AS1214" s="312"/>
      <c r="AT1214" s="313">
        <f>IFERROR(IF(INDEX([1]Pivot!$BF$1:$CG$65000,$B1214,AT$5)=1,1,IF(INDEX([1]Pivot!$B$1:$AB$65000,$B1214,AT$5)="",2,0)),0)</f>
        <v>0</v>
      </c>
      <c r="AU1214" s="313">
        <f>IFERROR(IF(INDEX([1]Pivot!$BF$1:$CG$65000,$B1214,AU$5)=1,1,IF(INDEX([1]Pivot!$B$1:$AB$65000,$B1214,AU$5)="",2,0)),0)</f>
        <v>0</v>
      </c>
      <c r="AV1214" s="313">
        <f>IFERROR(IF(INDEX([1]Pivot!$BF$1:$CG$65000,$B1214,AV$5)=1,1,IF(INDEX([1]Pivot!$B$1:$AB$65000,$B1214,AV$5)="",2,0)),0)</f>
        <v>0</v>
      </c>
      <c r="AW1214" s="313">
        <f>IFERROR(IF(INDEX([1]Pivot!$BF$1:$CG$65000,$B1214,AW$5)=1,1,IF(INDEX([1]Pivot!$B$1:$AB$65000,$B1214,AW$5)="",2,0)),0)</f>
        <v>0</v>
      </c>
      <c r="AX1214" s="313">
        <f>IFERROR(IF(INDEX([1]Pivot!$BF$1:$CG$65000,$B1214,AX$5)=1,1,IF(INDEX([1]Pivot!$B$1:$AB$65000,$B1214,AX$5)="",2,0)),0)</f>
        <v>0</v>
      </c>
      <c r="AY1214" s="313">
        <f>IFERROR(IF(INDEX([1]Pivot!$BF$1:$CG$65000,$B1214,AY$5)=1,1,IF(INDEX([1]Pivot!$B$1:$AB$65000,$B1214,AY$5)="",2,0)),0)</f>
        <v>0</v>
      </c>
      <c r="AZ1214" s="313">
        <f>IFERROR(IF(INDEX([1]Pivot!$BF$1:$CG$65000,$B1214,AZ$5)=1,1,IF(INDEX([1]Pivot!$B$1:$AB$65000,$B1214,AZ$5)="",2,0)),0)</f>
        <v>0</v>
      </c>
      <c r="BA1214" s="313">
        <f>IFERROR(IF(INDEX([1]Pivot!$BF$1:$CG$65000,$B1214,BA$5)=1,1,IF(INDEX([1]Pivot!$B$1:$AB$65000,$B1214,BA$5)="",2,0)),0)</f>
        <v>0</v>
      </c>
      <c r="BB1214" s="313">
        <f>IFERROR(IF(INDEX([1]Pivot!$BF$1:$CG$65000,$B1214,BB$5)=1,1,IF(INDEX([1]Pivot!$B$1:$AB$65000,$B1214,BB$5)="",2,0)),0)</f>
        <v>0</v>
      </c>
      <c r="BC1214" s="313">
        <f>IFERROR(IF(INDEX([1]Pivot!$BF$1:$CG$65000,$B1214,BC$5)=1,1,IF(INDEX([1]Pivot!$B$1:$AB$65000,$B1214,BC$5)="",2,0)),0)</f>
        <v>0</v>
      </c>
      <c r="BD1214" s="313">
        <f>IFERROR(IF(INDEX([1]Pivot!$BF$1:$CG$65000,$B1214,BD$5)=1,1,IF(INDEX([1]Pivot!$B$1:$AB$65000,$B1214,BD$5)="",2,0)),0)</f>
        <v>0</v>
      </c>
    </row>
    <row r="1215" spans="1:56" x14ac:dyDescent="0.25">
      <c r="A1215" s="288">
        <f>'[2]Raw Milk Prices'!A1215</f>
        <v>0</v>
      </c>
      <c r="B1215" s="296" t="e">
        <f>MATCH(DATE(LEFT('[2]Raw Milk Prices'!$A1215,4),RIGHT('[2]Raw Milk Prices'!$A1215,2),1),[1]Pivot!$A$1:$A$65000,0)</f>
        <v>#VALUE!</v>
      </c>
      <c r="C1215" s="194">
        <f>IFERROR(IF(INDEX([1]Pivot!$AD$1:$BE$65000,$B1215,C$5)=1,1,IF(INDEX([1]Pivot!$B$1:$AB$65000,$B1215,C$5)="",2,0)),0)</f>
        <v>0</v>
      </c>
      <c r="D1215" s="194">
        <f>IFERROR(IF(INDEX([1]Pivot!$AD$1:$BE$65000,$B1215,D$5)=1,1,IF(INDEX([1]Pivot!$B$1:$AB$65000,$B1215,D$5)="",2,0)),0)</f>
        <v>0</v>
      </c>
      <c r="E1215" s="194">
        <f>IFERROR(IF(INDEX([1]Pivot!$AD$1:$BE$65000,$B1215,E$5)=1,1,IF(INDEX([1]Pivot!$B$1:$AB$65000,$B1215,E$5)="",2,0)),0)</f>
        <v>0</v>
      </c>
      <c r="F1215" s="194">
        <f>IFERROR(IF(INDEX([1]Pivot!$AD$1:$BE$65000,$B1215,F$5)=1,1,IF(INDEX([1]Pivot!$B$1:$AB$65000,$B1215,F$5)="",2,0)),0)</f>
        <v>0</v>
      </c>
      <c r="G1215" s="194">
        <f>IFERROR(IF(INDEX([1]Pivot!$AD$1:$BE$65000,$B1215,G$5)=1,1,IF(INDEX([1]Pivot!$B$1:$AB$65000,$B1215,G$5)="",2,0)),0)</f>
        <v>0</v>
      </c>
      <c r="H1215" s="194">
        <f>IFERROR(IF(INDEX([1]Pivot!$AD$1:$BE$65000,$B1215,H$5)=1,1,IF(INDEX([1]Pivot!$B$1:$AB$65000,$B1215,H$5)="",2,0)),0)</f>
        <v>0</v>
      </c>
      <c r="I1215" s="194">
        <f>IFERROR(IF(INDEX([1]Pivot!$AD$1:$BE$65000,$B1215,I$5)=1,1,IF(INDEX([1]Pivot!$B$1:$AB$65000,$B1215,I$5)="",2,0)),0)</f>
        <v>0</v>
      </c>
      <c r="J1215" s="194">
        <f>IFERROR(IF(INDEX([1]Pivot!$AD$1:$BE$65000,$B1215,J$5)=1,1,IF(INDEX([1]Pivot!$B$1:$AB$65000,$B1215,J$5)="",2,0)),0)</f>
        <v>0</v>
      </c>
      <c r="K1215" s="194">
        <f>IFERROR(IF(INDEX([1]Pivot!$AD$1:$BE$65000,$B1215,K$5)=1,1,IF(INDEX([1]Pivot!$B$1:$AB$65000,$B1215,K$5)="",2,0)),0)</f>
        <v>0</v>
      </c>
      <c r="L1215" s="194">
        <f>IFERROR(IF(INDEX([1]Pivot!$AD$1:$BE$65000,$B1215,L$5)=1,1,IF(INDEX([1]Pivot!$B$1:$AB$65000,$B1215,L$5)="",2,0)),0)</f>
        <v>0</v>
      </c>
      <c r="M1215" s="194">
        <f>IFERROR(IF(INDEX([1]Pivot!$AD$1:$BE$65000,$B1215,M$5)=1,1,IF(INDEX([1]Pivot!$B$1:$AB$65000,$B1215,M$5)="",2,0)),0)</f>
        <v>0</v>
      </c>
      <c r="N1215" s="194">
        <f>IFERROR(IF(INDEX([1]Pivot!$AD$1:$BE$65000,$B1215,N$5)=1,1,IF(INDEX([1]Pivot!$B$1:$AB$65000,$B1215,N$5)="",2,0)),0)</f>
        <v>0</v>
      </c>
      <c r="O1215" s="194">
        <f>IFERROR(IF(INDEX([1]Pivot!$AD$1:$BE$65000,$B1215,O$5)=1,1,IF(INDEX([1]Pivot!$B$1:$AB$65000,$B1215,O$5)="",2,0)),0)</f>
        <v>0</v>
      </c>
      <c r="P1215" s="194">
        <f>IFERROR(IF(INDEX([1]Pivot!$AD$1:$BE$65000,$B1215,P$5)=1,1,IF(INDEX([1]Pivot!$B$1:$AB$65000,$B1215,P$5)="",2,0)),0)</f>
        <v>0</v>
      </c>
      <c r="Q1215" s="194">
        <f>IFERROR(IF(INDEX([1]Pivot!$AD$1:$BE$65000,$B1215,Q$5)=1,1,IF(INDEX([1]Pivot!$B$1:$AB$65000,$B1215,Q$5)="",2,0)),0)</f>
        <v>0</v>
      </c>
      <c r="R1215" s="312"/>
      <c r="S1215" s="194">
        <f>IFERROR(IF(INDEX([1]Pivot!$AD$1:$BE$65000,$B1215,S$5)=1,1,IF(INDEX([1]Pivot!$B$1:$AB$65000,$B1215,S$5)="",2,0)),0)</f>
        <v>0</v>
      </c>
      <c r="T1215" s="194">
        <f>IFERROR(IF(INDEX([1]Pivot!$AD$1:$BE$65000,$B1215,T$5)=1,1,IF(INDEX([1]Pivot!$B$1:$AB$65000,$B1215,T$5)="",2,0)),0)</f>
        <v>0</v>
      </c>
      <c r="U1215" s="194">
        <f>IFERROR(IF(INDEX([1]Pivot!$AD$1:$BE$65000,$B1215,U$5)=1,1,IF(INDEX([1]Pivot!$B$1:$AB$65000,$B1215,U$5)="",2,0)),0)</f>
        <v>0</v>
      </c>
      <c r="V1215" s="194">
        <f>IFERROR(IF(INDEX([1]Pivot!$AD$1:$BE$65000,$B1215,V$5)=1,1,IF(INDEX([1]Pivot!$B$1:$AB$65000,$B1215,V$5)="",2,0)),0)</f>
        <v>0</v>
      </c>
      <c r="W1215" s="194">
        <f>IFERROR(IF(INDEX([1]Pivot!$AD$1:$BE$65000,$B1215,W$5)=1,1,IF(INDEX([1]Pivot!$B$1:$AB$65000,$B1215,W$5)="",2,0)),0)</f>
        <v>0</v>
      </c>
      <c r="X1215" s="194">
        <f>IFERROR(IF(INDEX([1]Pivot!$AD$1:$BE$65000,$B1215,X$5)=1,1,IF(INDEX([1]Pivot!$B$1:$AB$65000,$B1215,X$5)="",2,0)),0)</f>
        <v>0</v>
      </c>
      <c r="Y1215" s="194">
        <f>IFERROR(IF(INDEX([1]Pivot!$AD$1:$BE$65000,$B1215,Y$5)=1,1,IF(INDEX([1]Pivot!$B$1:$AB$65000,$B1215,Y$5)="",2,0)),0)</f>
        <v>0</v>
      </c>
      <c r="Z1215" s="194">
        <f>IFERROR(IF(INDEX([1]Pivot!$AD$1:$BE$65000,$B1215,Z$5)=1,1,IF(INDEX([1]Pivot!$B$1:$AB$65000,$B1215,Z$5)="",2,0)),0)</f>
        <v>0</v>
      </c>
      <c r="AA1215" s="194">
        <f>IFERROR(IF(INDEX([1]Pivot!$AD$1:$BE$65000,$B1215,AA$5)=1,1,IF(INDEX([1]Pivot!$B$1:$AB$65000,$B1215,AA$5)="",2,0)),0)</f>
        <v>0</v>
      </c>
      <c r="AB1215" s="194">
        <f>IFERROR(IF(INDEX([1]Pivot!$AD$1:$BE$65000,$B1215,AB$5)=1,1,IF(INDEX([1]Pivot!$B$1:$AB$65000,$B1215,AB$5)="",2,0)),0)</f>
        <v>0</v>
      </c>
      <c r="AC1215" s="194">
        <f>IFERROR(IF(INDEX([1]Pivot!$AD$1:$BE$65000,$B1215,AC$5)=1,1,IF(INDEX([1]Pivot!$B$1:$AB$65000,$B1215,AC$5)="",2,0)),0)</f>
        <v>0</v>
      </c>
      <c r="AD1215" s="313">
        <f>IFERROR(IF(INDEX([1]Pivot!$BF$1:$CG$65000,$B1215,AD$5)=1,1,IF(INDEX([1]Pivot!$B$1:$AB$65000,$B1215,AD$5)="",2,0)),0)</f>
        <v>0</v>
      </c>
      <c r="AE1215" s="313">
        <f>IFERROR(IF(INDEX([1]Pivot!$BF$1:$CG$65000,$B1215,AE$5)=1,1,IF(INDEX([1]Pivot!$B$1:$AB$65000,$B1215,AE$5)="",2,0)),0)</f>
        <v>0</v>
      </c>
      <c r="AF1215" s="313">
        <f>IFERROR(IF(INDEX([1]Pivot!$BF$1:$CG$65000,$B1215,AF$5)=1,1,IF(INDEX([1]Pivot!$B$1:$AB$65000,$B1215,AF$5)="",2,0)),0)</f>
        <v>0</v>
      </c>
      <c r="AG1215" s="313">
        <f>IFERROR(IF(INDEX([1]Pivot!$BF$1:$CG$65000,$B1215,AG$5)=1,1,IF(INDEX([1]Pivot!$B$1:$AB$65000,$B1215,AG$5)="",2,0)),0)</f>
        <v>0</v>
      </c>
      <c r="AH1215" s="313">
        <f>IFERROR(IF(INDEX([1]Pivot!$BF$1:$CG$65000,$B1215,AH$5)=1,1,IF(INDEX([1]Pivot!$B$1:$AB$65000,$B1215,AH$5)="",2,0)),0)</f>
        <v>0</v>
      </c>
      <c r="AI1215" s="313">
        <f>IFERROR(IF(INDEX([1]Pivot!$BF$1:$CG$65000,$B1215,AI$5)=1,1,IF(INDEX([1]Pivot!$B$1:$AB$65000,$B1215,AI$5)="",2,0)),0)</f>
        <v>0</v>
      </c>
      <c r="AJ1215" s="313">
        <f>IFERROR(IF(INDEX([1]Pivot!$BF$1:$CG$65000,$B1215,AJ$5)=1,1,IF(INDEX([1]Pivot!$B$1:$AB$65000,$B1215,AJ$5)="",2,0)),0)</f>
        <v>0</v>
      </c>
      <c r="AK1215" s="313">
        <f>IFERROR(IF(INDEX([1]Pivot!$BF$1:$CG$65000,$B1215,AK$5)=1,1,IF(INDEX([1]Pivot!$B$1:$AB$65000,$B1215,AK$5)="",2,0)),0)</f>
        <v>0</v>
      </c>
      <c r="AL1215" s="313">
        <f>IFERROR(IF(INDEX([1]Pivot!$BF$1:$CG$65000,$B1215,AL$5)=1,1,IF(INDEX([1]Pivot!$B$1:$AB$65000,$B1215,AL$5)="",2,0)),0)</f>
        <v>0</v>
      </c>
      <c r="AM1215" s="313">
        <f>IFERROR(IF(INDEX([1]Pivot!$BF$1:$CG$65000,$B1215,AM$5)=1,1,IF(INDEX([1]Pivot!$B$1:$AB$65000,$B1215,AM$5)="",2,0)),0)</f>
        <v>0</v>
      </c>
      <c r="AN1215" s="313">
        <f>IFERROR(IF(INDEX([1]Pivot!$BF$1:$CG$65000,$B1215,AN$5)=1,1,IF(INDEX([1]Pivot!$B$1:$AB$65000,$B1215,AN$5)="",2,0)),0)</f>
        <v>0</v>
      </c>
      <c r="AO1215" s="313">
        <f>IFERROR(IF(INDEX([1]Pivot!$BF$1:$CG$65000,$B1215,AO$5)=1,1,IF(INDEX([1]Pivot!$B$1:$AB$65000,$B1215,AO$5)="",2,0)),0)</f>
        <v>0</v>
      </c>
      <c r="AP1215" s="313">
        <f>IFERROR(IF(INDEX([1]Pivot!$BF$1:$CG$65000,$B1215,AP$5)=1,1,IF(INDEX([1]Pivot!$B$1:$AB$65000,$B1215,AP$5)="",2,0)),0)</f>
        <v>0</v>
      </c>
      <c r="AQ1215" s="313">
        <f>IFERROR(IF(INDEX([1]Pivot!$BF$1:$CG$65000,$B1215,AQ$5)=1,1,IF(INDEX([1]Pivot!$B$1:$AB$65000,$B1215,AQ$5)="",2,0)),0)</f>
        <v>0</v>
      </c>
      <c r="AR1215" s="313">
        <f>IFERROR(IF(INDEX([1]Pivot!$BF$1:$CG$65000,$B1215,AR$5)=1,1,IF(INDEX([1]Pivot!$B$1:$AB$65000,$B1215,AR$5)="",2,0)),0)</f>
        <v>0</v>
      </c>
      <c r="AS1215" s="312"/>
      <c r="AT1215" s="313">
        <f>IFERROR(IF(INDEX([1]Pivot!$BF$1:$CG$65000,$B1215,AT$5)=1,1,IF(INDEX([1]Pivot!$B$1:$AB$65000,$B1215,AT$5)="",2,0)),0)</f>
        <v>0</v>
      </c>
      <c r="AU1215" s="313">
        <f>IFERROR(IF(INDEX([1]Pivot!$BF$1:$CG$65000,$B1215,AU$5)=1,1,IF(INDEX([1]Pivot!$B$1:$AB$65000,$B1215,AU$5)="",2,0)),0)</f>
        <v>0</v>
      </c>
      <c r="AV1215" s="313">
        <f>IFERROR(IF(INDEX([1]Pivot!$BF$1:$CG$65000,$B1215,AV$5)=1,1,IF(INDEX([1]Pivot!$B$1:$AB$65000,$B1215,AV$5)="",2,0)),0)</f>
        <v>0</v>
      </c>
      <c r="AW1215" s="313">
        <f>IFERROR(IF(INDEX([1]Pivot!$BF$1:$CG$65000,$B1215,AW$5)=1,1,IF(INDEX([1]Pivot!$B$1:$AB$65000,$B1215,AW$5)="",2,0)),0)</f>
        <v>0</v>
      </c>
      <c r="AX1215" s="313">
        <f>IFERROR(IF(INDEX([1]Pivot!$BF$1:$CG$65000,$B1215,AX$5)=1,1,IF(INDEX([1]Pivot!$B$1:$AB$65000,$B1215,AX$5)="",2,0)),0)</f>
        <v>0</v>
      </c>
      <c r="AY1215" s="313">
        <f>IFERROR(IF(INDEX([1]Pivot!$BF$1:$CG$65000,$B1215,AY$5)=1,1,IF(INDEX([1]Pivot!$B$1:$AB$65000,$B1215,AY$5)="",2,0)),0)</f>
        <v>0</v>
      </c>
      <c r="AZ1215" s="313">
        <f>IFERROR(IF(INDEX([1]Pivot!$BF$1:$CG$65000,$B1215,AZ$5)=1,1,IF(INDEX([1]Pivot!$B$1:$AB$65000,$B1215,AZ$5)="",2,0)),0)</f>
        <v>0</v>
      </c>
      <c r="BA1215" s="313">
        <f>IFERROR(IF(INDEX([1]Pivot!$BF$1:$CG$65000,$B1215,BA$5)=1,1,IF(INDEX([1]Pivot!$B$1:$AB$65000,$B1215,BA$5)="",2,0)),0)</f>
        <v>0</v>
      </c>
      <c r="BB1215" s="313">
        <f>IFERROR(IF(INDEX([1]Pivot!$BF$1:$CG$65000,$B1215,BB$5)=1,1,IF(INDEX([1]Pivot!$B$1:$AB$65000,$B1215,BB$5)="",2,0)),0)</f>
        <v>0</v>
      </c>
      <c r="BC1215" s="313">
        <f>IFERROR(IF(INDEX([1]Pivot!$BF$1:$CG$65000,$B1215,BC$5)=1,1,IF(INDEX([1]Pivot!$B$1:$AB$65000,$B1215,BC$5)="",2,0)),0)</f>
        <v>0</v>
      </c>
      <c r="BD1215" s="313">
        <f>IFERROR(IF(INDEX([1]Pivot!$BF$1:$CG$65000,$B1215,BD$5)=1,1,IF(INDEX([1]Pivot!$B$1:$AB$65000,$B1215,BD$5)="",2,0)),0)</f>
        <v>0</v>
      </c>
    </row>
  </sheetData>
  <phoneticPr fontId="7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Raw Milk Prices</vt:lpstr>
      <vt:lpstr>Organic milk prices</vt:lpstr>
      <vt:lpstr>Dairy Products Prices</vt:lpstr>
      <vt:lpstr>param</vt:lpstr>
      <vt:lpstr>cur_line</vt:lpstr>
      <vt:lpstr>'Organic milk prices'!Print_Area</vt:lpstr>
      <vt:lpstr>'Raw Milk Prices'!Print_Area</vt:lpstr>
      <vt:lpstr>'Dairy Products Prices'!Print_Titles</vt:lpstr>
      <vt:lpstr>'Organic milk prices'!Print_Titles</vt:lpstr>
      <vt:lpstr>'Raw Milk Prices'!Print_Titles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FOGLIA Damien</dc:creator>
  <cp:lastModifiedBy>DIBEH Lina (AGRI)</cp:lastModifiedBy>
  <cp:lastPrinted>2025-08-06T10:21:23Z</cp:lastPrinted>
  <dcterms:created xsi:type="dcterms:W3CDTF">1999-03-12T09:41:28Z</dcterms:created>
  <dcterms:modified xsi:type="dcterms:W3CDTF">2026-02-25T16:18:39Z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2023-04-04T10:34:40Z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a3048a20-3074-41de-b835-db93ada1322c</vt:lpwstr>
  </property>
  <property fmtid="{D5CDD505-2E9C-101B-9397-08002B2CF9AE}" pid="8" name="MSIP_Label_6bd9ddd1-4d20-43f6-abfa-fc3c07406f94_ContentBits">
    <vt:lpwstr>0</vt:lpwstr>
  </property>
</Properties>
</file>